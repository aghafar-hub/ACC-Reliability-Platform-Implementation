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heet1" sheetId="1" r:id="rId5"/>
    <sheet state="hidden" name="Analysis Report" sheetId="2" r:id="rId6"/>
    <sheet state="visible" name="Oil Sample Tracker 1" sheetId="3" r:id="rId7"/>
    <sheet state="visible" name="Oil Sample Tracker" sheetId="4" r:id="rId8"/>
    <sheet state="visible" name="Oil Change Log" sheetId="5" r:id="rId9"/>
    <sheet state="hidden" name="Data Entry_BD" sheetId="6" r:id="rId10"/>
    <sheet state="visible" name="Data_Entry" sheetId="7" r:id="rId11"/>
    <sheet state="visible" name="📊Analysis Reports" sheetId="8" r:id="rId12"/>
    <sheet state="visible" name="Action Tracker" sheetId="9" r:id="rId13"/>
    <sheet state="visible" name="Equipment Registry" sheetId="10" r:id="rId14"/>
    <sheet name="README" sheetId="11" r:id="rId15"/>
    <sheet name="LP_Register" sheetId="12" r:id="rId16"/>
    <sheet name="OCR_Import_Queue" sheetId="13" state="hidden" r:id="rId17"/>
    <sheet name="OCR_Review" sheetId="14" r:id="rId18"/>
    <sheet name="LP_Mapping_Memory" sheetId="15" state="hidden" r:id="rId19"/>
    <sheet name="PDF_Archive" sheetId="16" state="hidden" r:id="rId20"/>
    <sheet name="Import_Audit_Log" sheetId="17" state="hidden" r:id="rId21"/>
    <sheet name="_Config_Validation" sheetId="18" state="hidden" r:id="rId22"/>
    <sheet name="_Sync_Metadata" sheetId="19" state="hidden" r:id="rId23"/>
  </sheets>
  <definedNames>
    <definedName hidden="1" localSheetId="2" name="_xlnm._FilterDatabase">'Oil Sample Tracker 1'!$A$1:$EQ$152</definedName>
    <definedName hidden="1" localSheetId="3" name="_xlnm._FilterDatabase">'Oil Sample Tracker'!$A$1:$EN$154</definedName>
    <definedName hidden="1" localSheetId="4" name="_xlnm._FilterDatabase">'Oil Change Log'!$A$3:$L$153</definedName>
    <definedName hidden="1" localSheetId="5" name="_xlnm._FilterDatabase">'Data Entry_BD'!$A$5:$AM$744</definedName>
    <definedName hidden="1" localSheetId="6" name="_xlnm._FilterDatabase">Data_Entry!$A$5:$AM$697</definedName>
    <definedName hidden="1" localSheetId="8" name="_xlnm._FilterDatabase">'Action Tracker'!$A$5:$P$641</definedName>
    <definedName hidden="1" localSheetId="9" name="_xlnm._FilterDatabase">'Equipment Registry'!$A$2:$AB$154</definedName>
  </definedNames>
  <calcPr/>
</workbook>
</file>

<file path=xl/sharedStrings.xml><?xml version="1.0" encoding="utf-8"?>
<sst xmlns="http://schemas.openxmlformats.org/spreadsheetml/2006/main" count="1326" uniqueCount="1326">
  <si>
    <t>📊  OIL ANALYSIS – EQUIPMENT DIAGNOSTIC DASHBOARD</t>
  </si>
  <si>
    <t>Select equipment from the dropdown below — all readings, KPIs, and recommendations update automatically</t>
  </si>
  <si>
    <t>SELECT EQUIPMENT:</t>
  </si>
  <si>
    <t>R2.432.KB101(1)</t>
  </si>
  <si>
    <t>⬆ Click the cell above and choose from the dropdown list to switch equipment</t>
  </si>
  <si>
    <t>Asset ID:</t>
  </si>
  <si>
    <t>Description:</t>
  </si>
  <si>
    <t>Manufacturer:</t>
  </si>
  <si>
    <t>Model:</t>
  </si>
  <si>
    <t>Lubricant:</t>
  </si>
  <si>
    <t>Visc Type:</t>
  </si>
  <si>
    <t>Latest Date</t>
  </si>
  <si>
    <t>Latest Sample</t>
  </si>
  <si>
    <t>Overall Status</t>
  </si>
  <si>
    <t>Viscosity</t>
  </si>
  <si>
    <t>TAN</t>
  </si>
  <si>
    <t>Water (Vol%)</t>
  </si>
  <si>
    <t>Fe Iron (ppm)</t>
  </si>
  <si>
    <t>Cu Copper</t>
  </si>
  <si>
    <t>Si Silicon</t>
  </si>
  <si>
    <t>Sample Date</t>
  </si>
  <si>
    <t>Sample ID</t>
  </si>
  <si>
    <t>Status</t>
  </si>
  <si>
    <t>Cont.
Rating</t>
  </si>
  <si>
    <t>Equip.
Rating</t>
  </si>
  <si>
    <t>Lub.
Rating</t>
  </si>
  <si>
    <t>PQ
Index</t>
  </si>
  <si>
    <t>Viscosity
(cSt)</t>
  </si>
  <si>
    <t>TAN
(mgKOH/g)</t>
  </si>
  <si>
    <t>Water
(Vol%)</t>
  </si>
  <si>
    <t>Fe Iron
(ppm)</t>
  </si>
  <si>
    <t>Cu Copper
(ppm)</t>
  </si>
  <si>
    <t>Si Silicon
(ppm)</t>
  </si>
  <si>
    <t>Al Alum.
(ppm)</t>
  </si>
  <si>
    <t>P Phosph.
(ppm)</t>
  </si>
  <si>
    <t>Oxidation
(Ab/cm)</t>
  </si>
  <si>
    <t>📌  ALERT THRESHOLDS &amp; DIAGNOSTIC GUIDE</t>
  </si>
  <si>
    <t>Parameter</t>
  </si>
  <si>
    <t>Sample History  (Last 5 — Oldest → Latest)</t>
  </si>
  <si>
    <t>LUBRICANT</t>
  </si>
  <si>
    <t>Report Status</t>
  </si>
  <si>
    <t>Visc@40°C (cSt)</t>
  </si>
  <si>
    <t>WEAR (ppm)</t>
  </si>
  <si>
    <t>Fe (Iron)</t>
  </si>
  <si>
    <t>Al (Aluminum)</t>
  </si>
  <si>
    <t>Cu (Copper)</t>
  </si>
  <si>
    <t>Cr (Chromium)</t>
  </si>
  <si>
    <t>CONTAM (ppm)</t>
  </si>
  <si>
    <t>Si (Silicon)</t>
  </si>
  <si>
    <t>Na (Sodium)</t>
  </si>
  <si>
    <t>K (Potassium)</t>
  </si>
  <si>
    <t>ADDITIVE (ppm)</t>
  </si>
  <si>
    <t>P (Phosphorus)</t>
  </si>
  <si>
    <t>Zn (Zinc)</t>
  </si>
  <si>
    <t>Ca (Calcium)</t>
  </si>
  <si>
    <t>Oxidation (Ab/cm)</t>
  </si>
  <si>
    <t>PQ Index</t>
  </si>
  <si>
    <t>&lt; 30</t>
  </si>
  <si>
    <t>30 – 60</t>
  </si>
  <si>
    <t>&gt; 60</t>
  </si>
  <si>
    <t>See trend chart</t>
  </si>
  <si>
    <t>⚠  KEY ALERTS &amp; RECOMMENDED ACTIONS  (Latest Sample – auto-updated)</t>
  </si>
  <si>
    <t>#</t>
  </si>
  <si>
    <t>Alert / Recommendation</t>
  </si>
  <si>
    <t>111.AF040 (L)</t>
  </si>
  <si>
    <t>← Choose equipment to update the report</t>
  </si>
  <si>
    <t>ACCOUNT INFORMATION</t>
  </si>
  <si>
    <t>SAMPLE INFORMATION</t>
  </si>
  <si>
    <t>EQUIPMENT INFORMATION</t>
  </si>
  <si>
    <t>ID:</t>
  </si>
  <si>
    <t>Sample ID:</t>
  </si>
  <si>
    <t>Asset Class:</t>
  </si>
  <si>
    <t>Circulating System</t>
  </si>
  <si>
    <t>Name:</t>
  </si>
  <si>
    <t>Reliance Heavy Industries</t>
  </si>
  <si>
    <t>Service Level:</t>
  </si>
  <si>
    <t>N/A</t>
  </si>
  <si>
    <t>Address:</t>
  </si>
  <si>
    <t>Kattameya-Sokhna Road, Suez, EG</t>
  </si>
  <si>
    <t>Latest Sample Date:</t>
  </si>
  <si>
    <t>Tested Lubricant:</t>
  </si>
  <si>
    <t>SAMPLE DATA &amp; TRENDS</t>
  </si>
  <si>
    <t>RECOMMENDATIONS / ACTIONS REQUIRED</t>
  </si>
  <si>
    <t>Alert Type:</t>
  </si>
  <si>
    <t>Contam. Rating:</t>
  </si>
  <si>
    <t>RECOMMENDED ACTION (LATEST SAMPLE)</t>
  </si>
  <si>
    <t>RECOMMENDATION HISTORY  (ALL SAMPLES — OLDEST → LATEST)</t>
  </si>
  <si>
    <t>Alert Type</t>
  </si>
  <si>
    <t>Contam.</t>
  </si>
  <si>
    <t>Recommendation / Action</t>
  </si>
  <si>
    <t>ℹ️  Select equipment using the dropdown at cell E4. The table and recommendations update automatically. To add new data: go to 'Data Entry' sheet → enter sample row (cols A–T) + recommendation (cols U–W). Dates in column E must be real dates (not text) for formulas to work.</t>
  </si>
  <si>
    <t>Equipment</t>
  </si>
  <si>
    <t xml:space="preserve">Last sample </t>
  </si>
  <si>
    <t>interval Days</t>
  </si>
  <si>
    <t>INTERVAL</t>
  </si>
  <si>
    <t>6 Months</t>
  </si>
  <si>
    <t>CAUTION</t>
  </si>
  <si>
    <t>ALERT</t>
  </si>
  <si>
    <t>NORMAL</t>
  </si>
  <si>
    <t>MISSING</t>
  </si>
  <si>
    <t>Normal</t>
  </si>
  <si>
    <t>Alert</t>
  </si>
  <si>
    <t>Caution</t>
  </si>
  <si>
    <t>111.AF040 (R)</t>
  </si>
  <si>
    <t>111.AF060 (L)</t>
  </si>
  <si>
    <t>111.AF060 (R)</t>
  </si>
  <si>
    <t>Oil changed</t>
  </si>
  <si>
    <t>111.BC210</t>
  </si>
  <si>
    <t>111.BC330 (L1)</t>
  </si>
  <si>
    <t>3 Months</t>
  </si>
  <si>
    <t>111.BC330 (L2)</t>
  </si>
  <si>
    <t>111.BC330 (R1)</t>
  </si>
  <si>
    <t>111.BC330 (R2)</t>
  </si>
  <si>
    <t>111.HC100 (HY)</t>
  </si>
  <si>
    <t>111.HC100 (IR)</t>
  </si>
  <si>
    <t>111.HC100 (RGB)</t>
  </si>
  <si>
    <t>123.BC100</t>
  </si>
  <si>
    <t>123.BC200</t>
  </si>
  <si>
    <t>131.BC100</t>
  </si>
  <si>
    <t>131.BC500 (M01)</t>
  </si>
  <si>
    <t>131.BC500 (M02)</t>
  </si>
  <si>
    <t>131.RE300</t>
  </si>
  <si>
    <t>131.RE300.M11</t>
  </si>
  <si>
    <t>131.RE300.M12</t>
  </si>
  <si>
    <t>131.ST200 (HY)</t>
  </si>
  <si>
    <t>131.ST200.M11</t>
  </si>
  <si>
    <t>131.ST200.M12</t>
  </si>
  <si>
    <t>261.CV600</t>
  </si>
  <si>
    <t>If needed</t>
  </si>
  <si>
    <t>261.SH050 (T)</t>
  </si>
  <si>
    <t>263.AF010</t>
  </si>
  <si>
    <t>321.BE220</t>
  </si>
  <si>
    <t>Insufficient Sample</t>
  </si>
  <si>
    <t>321.FN400(Fr.B)</t>
  </si>
  <si>
    <t>321.FN400(Fx.B)</t>
  </si>
  <si>
    <t>321.HY110</t>
  </si>
  <si>
    <t>Monthly</t>
  </si>
  <si>
    <t>321.LQ120 (R1)</t>
  </si>
  <si>
    <t>321.LQ120 (R2)</t>
  </si>
  <si>
    <t>321.LQ120 (R3)</t>
  </si>
  <si>
    <t>321.LQ120 (T)</t>
  </si>
  <si>
    <t>321.LQ145(GB)</t>
  </si>
  <si>
    <t>321.LQ145 (T)</t>
  </si>
  <si>
    <t>321.MD152</t>
  </si>
  <si>
    <t>321.RF090</t>
  </si>
  <si>
    <t>R2.322.BE220</t>
  </si>
  <si>
    <t>R2.322.FN400(Fr.B)</t>
  </si>
  <si>
    <t>R2.322.FN400(Fx.B)</t>
  </si>
  <si>
    <t>R2.322.HY110</t>
  </si>
  <si>
    <t>322.LQ120 (R1)</t>
  </si>
  <si>
    <t>322.LQ120 (R2)</t>
  </si>
  <si>
    <t>322.LQ120 (R3)</t>
  </si>
  <si>
    <t>R2.322.LQ120(T)</t>
  </si>
  <si>
    <t>R2.322.LQ145 (GB)</t>
  </si>
  <si>
    <t>R2.322.LQ145 (T)</t>
  </si>
  <si>
    <t>322.MD152</t>
  </si>
  <si>
    <t>R2.322.RF090</t>
  </si>
  <si>
    <t>331.FN110(Fr.B.)</t>
  </si>
  <si>
    <t>331.FN110(Fx.B.)</t>
  </si>
  <si>
    <t>331.FN400</t>
  </si>
  <si>
    <t>R2.332.FN110(Fr.B.)</t>
  </si>
  <si>
    <t>R2.332.FN110(Fx.B.)</t>
  </si>
  <si>
    <t>332.FN400</t>
  </si>
  <si>
    <t>341.BE040 L</t>
  </si>
  <si>
    <t>341.BE040 R</t>
  </si>
  <si>
    <t>342.BE050 L</t>
  </si>
  <si>
    <t>342.BE050 R</t>
  </si>
  <si>
    <t>351.BE350 L</t>
  </si>
  <si>
    <t>351.BE350 R</t>
  </si>
  <si>
    <t>352.BE340 L</t>
  </si>
  <si>
    <t>352.BE340 R</t>
  </si>
  <si>
    <t>421.FV770</t>
  </si>
  <si>
    <t>421.HR700 (A)</t>
  </si>
  <si>
    <t>421.HR700 (B)</t>
  </si>
  <si>
    <t>431.HT120</t>
  </si>
  <si>
    <t>431.HT120(BE)</t>
  </si>
  <si>
    <t>431.KB101(1)</t>
  </si>
  <si>
    <t>4 Months</t>
  </si>
  <si>
    <t>431.KB101(2)</t>
  </si>
  <si>
    <t>431.KB101(3)</t>
  </si>
  <si>
    <t>431.KB101(4)</t>
  </si>
  <si>
    <t>431.KB102(1)</t>
  </si>
  <si>
    <t>431.KB102(2)</t>
  </si>
  <si>
    <t>431.KB102(3)</t>
  </si>
  <si>
    <t>431.KB102(4)</t>
  </si>
  <si>
    <t>431.KB103(1)</t>
  </si>
  <si>
    <t>431.KB103(2)</t>
  </si>
  <si>
    <t>431.KB103(3)</t>
  </si>
  <si>
    <t>431.KB103(4)</t>
  </si>
  <si>
    <t>431.MD140 (N31)</t>
  </si>
  <si>
    <t>431.MD140 (N32)</t>
  </si>
  <si>
    <t>R2.432.HT120(T)</t>
  </si>
  <si>
    <t>R2.432.HT120(BE)</t>
  </si>
  <si>
    <t>R2.432.KB101(2)</t>
  </si>
  <si>
    <t>R2.432.KB101(3)</t>
  </si>
  <si>
    <t>R2.432.KB101(4)</t>
  </si>
  <si>
    <t>R2.432.KB102(1)</t>
  </si>
  <si>
    <t>R2.432.KB102(2)</t>
  </si>
  <si>
    <t>R2.432.KB102(3)</t>
  </si>
  <si>
    <t>R2.432.KB102(4)</t>
  </si>
  <si>
    <t>R2.432.KB103(1)</t>
  </si>
  <si>
    <t>R2.432.KB103(2)</t>
  </si>
  <si>
    <t>R2.432.KB103(3)</t>
  </si>
  <si>
    <t>R2.432.KB103(4)</t>
  </si>
  <si>
    <t>R2.432.MD140(N31)</t>
  </si>
  <si>
    <t>R2.432.MD140(N32)</t>
  </si>
  <si>
    <t>441.FN590</t>
  </si>
  <si>
    <t>441.MD140 (T)</t>
  </si>
  <si>
    <t>R2.442.FN590</t>
  </si>
  <si>
    <t>R2.442.MD140(T)</t>
  </si>
  <si>
    <t>461.CP524</t>
  </si>
  <si>
    <t>461.CP525</t>
  </si>
  <si>
    <t>461.CP526</t>
  </si>
  <si>
    <t>461.HY110</t>
  </si>
  <si>
    <t>461.LQ120(T)</t>
  </si>
  <si>
    <t>461.LQ145</t>
  </si>
  <si>
    <t>461.MD152</t>
  </si>
  <si>
    <t>462.CP525</t>
  </si>
  <si>
    <t>462.CP530</t>
  </si>
  <si>
    <t>462.CP535</t>
  </si>
  <si>
    <t>462.HY110</t>
  </si>
  <si>
    <t>462.LQ120(T)</t>
  </si>
  <si>
    <t>462.LQ145</t>
  </si>
  <si>
    <t>462.MD152</t>
  </si>
  <si>
    <t>471.AC100</t>
  </si>
  <si>
    <t>471.CV200</t>
  </si>
  <si>
    <t>R2.472.AC100</t>
  </si>
  <si>
    <t>R2.472.CV200</t>
  </si>
  <si>
    <t>481.BC600</t>
  </si>
  <si>
    <t>482.BC600</t>
  </si>
  <si>
    <t>531.BE220</t>
  </si>
  <si>
    <t>531.LQ110</t>
  </si>
  <si>
    <t>531.LQ120</t>
  </si>
  <si>
    <t>531.LQ145</t>
  </si>
  <si>
    <t>531.LQ145 (F)</t>
  </si>
  <si>
    <t>531.LQ305</t>
  </si>
  <si>
    <t>531.MD302</t>
  </si>
  <si>
    <t>532.BE220</t>
  </si>
  <si>
    <t>532.LQ110</t>
  </si>
  <si>
    <t>532.LQ120</t>
  </si>
  <si>
    <t>532.LQ145</t>
  </si>
  <si>
    <t>532.LQ305</t>
  </si>
  <si>
    <t>532.MD302</t>
  </si>
  <si>
    <t>533.BE220</t>
  </si>
  <si>
    <t>533.LQ110</t>
  </si>
  <si>
    <t>533.LQ120</t>
  </si>
  <si>
    <t>533.LQ145</t>
  </si>
  <si>
    <t>533.MD302</t>
  </si>
  <si>
    <t>534.BE220</t>
  </si>
  <si>
    <t>534.LQ110</t>
  </si>
  <si>
    <t>534.LQ120</t>
  </si>
  <si>
    <t>534.LQ145 - Gearbox</t>
  </si>
  <si>
    <t>534.LQ145 - Girth Gear</t>
  </si>
  <si>
    <t>534.MD302</t>
  </si>
  <si>
    <t>541.BE180</t>
  </si>
  <si>
    <t>542.BE180</t>
  </si>
  <si>
    <t>543.BE180</t>
  </si>
  <si>
    <t>544.BE180</t>
  </si>
  <si>
    <t>Jul-22</t>
  </si>
  <si>
    <t>Aug-22</t>
  </si>
  <si>
    <t>Sep-22</t>
  </si>
  <si>
    <t>Oct-22</t>
  </si>
  <si>
    <t>Nov-24</t>
  </si>
  <si>
    <t>Dec-22</t>
  </si>
  <si>
    <t>Jan-23</t>
  </si>
  <si>
    <t>Feb-23</t>
  </si>
  <si>
    <t>Mar-23</t>
  </si>
  <si>
    <t>Apr-23</t>
  </si>
  <si>
    <t>May-23</t>
  </si>
  <si>
    <t>Jun-23</t>
  </si>
  <si>
    <t>Jul-23</t>
  </si>
  <si>
    <t>Aug-23</t>
  </si>
  <si>
    <t>Sep-23</t>
  </si>
  <si>
    <t>Oct-23</t>
  </si>
  <si>
    <t>Nov-23</t>
  </si>
  <si>
    <t>Dec-23</t>
  </si>
  <si>
    <t>Jan-24</t>
  </si>
  <si>
    <t>Feb-24</t>
  </si>
  <si>
    <t>Mar-24</t>
  </si>
  <si>
    <t>Apr-24</t>
  </si>
  <si>
    <t>May-24</t>
  </si>
  <si>
    <t>Jun-24</t>
  </si>
  <si>
    <t>Jul-24</t>
  </si>
  <si>
    <t>Aug-24</t>
  </si>
  <si>
    <t>Sep-24</t>
  </si>
  <si>
    <t>Oct-24</t>
  </si>
  <si>
    <t>Dec-24</t>
  </si>
  <si>
    <t>Jan-25</t>
  </si>
  <si>
    <t>Feb-25</t>
  </si>
  <si>
    <t>Mar-25</t>
  </si>
  <si>
    <t>Apr-25</t>
  </si>
  <si>
    <t>May-25</t>
  </si>
  <si>
    <t>Jun-25</t>
  </si>
  <si>
    <t>Jul-25</t>
  </si>
  <si>
    <t>Aug-25</t>
  </si>
  <si>
    <t>Sep-25</t>
  </si>
  <si>
    <t>Oct-25</t>
  </si>
  <si>
    <t>Nov-25</t>
  </si>
  <si>
    <t>Dec-25</t>
  </si>
  <si>
    <t>Jan-26</t>
  </si>
  <si>
    <t>Feb-26</t>
  </si>
  <si>
    <t>Mar-26</t>
  </si>
  <si>
    <t>Apr-26</t>
  </si>
  <si>
    <t>May-26</t>
  </si>
  <si>
    <t>Jun-26</t>
  </si>
  <si>
    <t>Jul-26</t>
  </si>
  <si>
    <t>Aug-26</t>
  </si>
  <si>
    <t>Sep-26</t>
  </si>
  <si>
    <t>Oct-26</t>
  </si>
  <si>
    <t>Nov-26</t>
  </si>
  <si>
    <t>Dec-26</t>
  </si>
  <si>
    <t>R2.332.FN400(Fr.B)</t>
  </si>
  <si>
    <t>R2.332.FN400(Fx.B)</t>
  </si>
  <si>
    <t xml:space="preserve">📊  OIL Changing LOG Sheet </t>
  </si>
  <si>
    <t>IF any equipment Frequancy change due to oil analysis , so the max Changing is 2 years</t>
  </si>
  <si>
    <t>Asset</t>
  </si>
  <si>
    <t>Asset Name</t>
  </si>
  <si>
    <t>Lubrication Points</t>
  </si>
  <si>
    <t>Frequncy</t>
  </si>
  <si>
    <t xml:space="preserve">Oil Type </t>
  </si>
  <si>
    <t xml:space="preserve">Brand </t>
  </si>
  <si>
    <t>Qty (ltr.)</t>
  </si>
  <si>
    <t>Change Dates</t>
  </si>
  <si>
    <t>Last change</t>
  </si>
  <si>
    <t xml:space="preserve">Next Oil Change </t>
  </si>
  <si>
    <t xml:space="preserve">Status </t>
  </si>
  <si>
    <t>Last Modified</t>
  </si>
  <si>
    <t>Apron Feeder</t>
  </si>
  <si>
    <t>Oil Analysis</t>
  </si>
  <si>
    <t>Mobil SHC 630</t>
  </si>
  <si>
    <t>Mobil</t>
  </si>
  <si>
    <t>2026-06-14T21:56:23.580Z</t>
  </si>
  <si>
    <t>Clay apron feeder right gearbox</t>
  </si>
  <si>
    <t>Limestone Apron Feeder Left Gear Box</t>
  </si>
  <si>
    <t>Limestone Apron Feeder right Gear Box- BREVINI</t>
  </si>
  <si>
    <t>Belt Conveyor</t>
  </si>
  <si>
    <t>Belt Conveyor Gearbox - Rossi</t>
  </si>
  <si>
    <t>Mobil SHC 632</t>
  </si>
  <si>
    <t>Belt conveyor first left Gearbox</t>
  </si>
  <si>
    <t>Belt conveyor second left Gearbox</t>
  </si>
  <si>
    <t>Belt conveyor first right Gearbox</t>
  </si>
  <si>
    <t>Belt conveyor second right Gearbox</t>
  </si>
  <si>
    <t>Hammer Crusher</t>
  </si>
  <si>
    <t>Crusher hydraulic cylinder station</t>
  </si>
  <si>
    <t>Mobil DTE 25</t>
  </si>
  <si>
    <t>Inlet Roller Gear Box</t>
  </si>
  <si>
    <t>Mobil gear 600 XP 320</t>
  </si>
  <si>
    <t>01.10.2023</t>
  </si>
  <si>
    <t>Hammer Crusher Rotor Gear Box</t>
  </si>
  <si>
    <t>Belt conveyor Gearbox</t>
  </si>
  <si>
    <t>Belt Conveyor Gearbox</t>
  </si>
  <si>
    <t>Reclaimer</t>
  </si>
  <si>
    <t>Take up unit Tank for Scraper Chain</t>
  </si>
  <si>
    <t>1.5 Y</t>
  </si>
  <si>
    <t>Reclaimer Chain Scraper gearbox</t>
  </si>
  <si>
    <t>Stacker</t>
  </si>
  <si>
    <t xml:space="preserve">Jib arm Hydraulic Pump Station </t>
  </si>
  <si>
    <t>Stacker Belt gearbox</t>
  </si>
  <si>
    <t>2 Y</t>
  </si>
  <si>
    <t>Drag chain</t>
  </si>
  <si>
    <t>Drag chain for AF#2</t>
  </si>
  <si>
    <t>Shredder</t>
  </si>
  <si>
    <t>Shredder - Hydraulic Sys.</t>
  </si>
  <si>
    <t>Cargo Floor platform</t>
  </si>
  <si>
    <t>Cargo floor hydraulic tank</t>
  </si>
  <si>
    <t>Bucket Elevator</t>
  </si>
  <si>
    <t xml:space="preserve">Bucket Elevator Gearbox </t>
  </si>
  <si>
    <t>Raw Mill Fan</t>
  </si>
  <si>
    <t>Raw Mill free bearing</t>
  </si>
  <si>
    <t>0.5 Y</t>
  </si>
  <si>
    <t>Mobil DTE Heavy Medium</t>
  </si>
  <si>
    <t>Raw Mill fan fixed bearing</t>
  </si>
  <si>
    <t>Mill Hydraulic tensioning system</t>
  </si>
  <si>
    <t>Hydraulic tensioning system for mill</t>
  </si>
  <si>
    <t>RENOLIN B 46</t>
  </si>
  <si>
    <t>FUCHS</t>
  </si>
  <si>
    <t>Roller Lubrication Return R1 (filter Cup)</t>
  </si>
  <si>
    <t>Mobil SHC 639</t>
  </si>
  <si>
    <t>Roller Lubrication Return R2 (filter Cup)</t>
  </si>
  <si>
    <t>Roller Lubrication Return R3 (filter Cup)</t>
  </si>
  <si>
    <t>Mill Roller Lubrication system</t>
  </si>
  <si>
    <t>Roller Lubrication Unit (Tank)</t>
  </si>
  <si>
    <t>Mill Gear lubrication pump unit</t>
  </si>
  <si>
    <t>Gear lubrication Gear Box</t>
  </si>
  <si>
    <t>Gear lubrication pump station Tank</t>
  </si>
  <si>
    <t>Dynamic Separator Main drive, lubrication LQ</t>
  </si>
  <si>
    <t xml:space="preserve">Dynamic Separator Gearbox </t>
  </si>
  <si>
    <t>Rotary Feeder</t>
  </si>
  <si>
    <t>Rotary feeder Gear Box</t>
  </si>
  <si>
    <t xml:space="preserve">R2 Bucket  Elevator Gearbox </t>
  </si>
  <si>
    <t>322.FN400 (Fr.B)</t>
  </si>
  <si>
    <t xml:space="preserve">RM#2 Fan Free bearing </t>
  </si>
  <si>
    <t>322.FN400 (Fx.B)</t>
  </si>
  <si>
    <t xml:space="preserve">RM#2 Fan fixed bearing </t>
  </si>
  <si>
    <t>Hydraulic tensioning sys. Mill 2</t>
  </si>
  <si>
    <t>Rolle Lub. Return R1 ( Filter Cap)</t>
  </si>
  <si>
    <t>Rolle Lub. Return R2 ( Filter Cap)</t>
  </si>
  <si>
    <t>Rolle Lub. Return R3 ( Filter Cap)</t>
  </si>
  <si>
    <t>Mill2 gear Lub pump station tank</t>
  </si>
  <si>
    <t>19.01.2012</t>
  </si>
  <si>
    <t>Mill 2 gear Box</t>
  </si>
  <si>
    <t>Dynamic Separator Gearbox L#2</t>
  </si>
  <si>
    <t>ID-Fan</t>
  </si>
  <si>
    <t>ID fan free bearing</t>
  </si>
  <si>
    <t>ID fan fixed bearing</t>
  </si>
  <si>
    <t>Electrostatic Precipitator Fan</t>
  </si>
  <si>
    <t xml:space="preserve">Main EP Fan Gear drive </t>
  </si>
  <si>
    <t>ID fan free Bearing L#2</t>
  </si>
  <si>
    <t>ID fan fixed Bearing L#2</t>
  </si>
  <si>
    <t>Not Found</t>
  </si>
  <si>
    <t>Bucket Elevator GB - L</t>
  </si>
  <si>
    <t>Mobilgear 600 XP 320</t>
  </si>
  <si>
    <t>Bucket Elevator GB - R</t>
  </si>
  <si>
    <t>Triple flap gate</t>
  </si>
  <si>
    <t>AF sluice FLS Hyd. unit</t>
  </si>
  <si>
    <t>Total Azolla 46</t>
  </si>
  <si>
    <t>Total</t>
  </si>
  <si>
    <t>HOTDISC Drive (A)</t>
  </si>
  <si>
    <t>HOTDISC Drive M01</t>
  </si>
  <si>
    <t>HOTDISC Drive (B)</t>
  </si>
  <si>
    <t>HOTDISC Drive M02</t>
  </si>
  <si>
    <t>Hydraulic thrust device</t>
  </si>
  <si>
    <t xml:space="preserve">Kiln Hydraulic thrust circuit </t>
  </si>
  <si>
    <t>Hydraulic thrust bearing</t>
  </si>
  <si>
    <t>Kiln support No. 1</t>
  </si>
  <si>
    <t xml:space="preserve">Kiln Bearing </t>
  </si>
  <si>
    <t>Mobil gear 600 XP 1000</t>
  </si>
  <si>
    <t>Kiln support No. 2</t>
  </si>
  <si>
    <t>Kiln support No. 3</t>
  </si>
  <si>
    <t>Kiln Main drive</t>
  </si>
  <si>
    <t>Kiln Main drive gearbox W.S side</t>
  </si>
  <si>
    <t>Kiln Main drive gearbox CCR side</t>
  </si>
  <si>
    <t>Kiln Hydraulic thrust circuit L#2</t>
  </si>
  <si>
    <t>Hydraulic thrust bearing L#2</t>
  </si>
  <si>
    <t>Kiln #2 Main drive gearbox (N31)</t>
  </si>
  <si>
    <t>Kiln #2 Main drive gearbox (N32)</t>
  </si>
  <si>
    <t>Cooler ESP Fan</t>
  </si>
  <si>
    <t>Clinker Cooler filter Fan</t>
  </si>
  <si>
    <t>Cooler hydraulic drive</t>
  </si>
  <si>
    <t>Clinker Cooler Drive L#1 ( Tank )</t>
  </si>
  <si>
    <t xml:space="preserve">Clinker Cooler L#2 filter fan </t>
  </si>
  <si>
    <t>Clinker Cooler Drive L#2 ( Tank )</t>
  </si>
  <si>
    <t>Coal#1 - Air Compressor</t>
  </si>
  <si>
    <t>Coal Mill 1 Hyd. tensioning sys.</t>
  </si>
  <si>
    <t>Roller lubrication pump unit</t>
  </si>
  <si>
    <t>Coal Mill 1 Roller Lub. Unit (Tank)</t>
  </si>
  <si>
    <t>2026-06-14T19:18:50.229Z</t>
  </si>
  <si>
    <t>Coal Mill 1 Gear box</t>
  </si>
  <si>
    <t>Coal Mill#1 Separator Gear Box</t>
  </si>
  <si>
    <t>Coal Mill 2 Hyd. tensioning sys.</t>
  </si>
  <si>
    <t>Roller lubrication</t>
  </si>
  <si>
    <t>Coal Mill 2 Roller Lub. Unit (Tank)</t>
  </si>
  <si>
    <t>Coal Mill 2 (T)</t>
  </si>
  <si>
    <t>Coal Mill 2 Separator Gear Box</t>
  </si>
  <si>
    <t>Pan Conveyor</t>
  </si>
  <si>
    <t>Pan Conveyor Main drive gearbox</t>
  </si>
  <si>
    <t>Drag Chain</t>
  </si>
  <si>
    <t>Drag chain geared motor</t>
  </si>
  <si>
    <t>Pan Conv. #2 Main drive gearbox</t>
  </si>
  <si>
    <t>Drag Chain L#2 geared motor</t>
  </si>
  <si>
    <t>Belt conveyor</t>
  </si>
  <si>
    <t>Bucket Elevator BM#1 GB.</t>
  </si>
  <si>
    <t>Inlet bearing lubrication</t>
  </si>
  <si>
    <t>Cement Mill Inlet Slide Shoe Bearing LUB.</t>
  </si>
  <si>
    <t>Mobilgear 600 XP 460</t>
  </si>
  <si>
    <t>Outlet bearing lubrication</t>
  </si>
  <si>
    <t>Cement Mill Outlet Slide Shoe Bearing LUB.</t>
  </si>
  <si>
    <t>Gear lubrication unit</t>
  </si>
  <si>
    <t>Cement Mill #1 Gear box</t>
  </si>
  <si>
    <t>O-sepa separator</t>
  </si>
  <si>
    <t xml:space="preserve">Separator Shaft Lubrication Unit </t>
  </si>
  <si>
    <t>Mobil Vacuoline 528</t>
  </si>
  <si>
    <t>O-sepa separator main drive</t>
  </si>
  <si>
    <t>Cement Mill #1 Separator GB</t>
  </si>
  <si>
    <t>Bucket Elevator BM#2 GB.</t>
  </si>
  <si>
    <t>Cement Mill #2 Gear box</t>
  </si>
  <si>
    <t>Cement Mill #2 separator Gear box</t>
  </si>
  <si>
    <t>Bucket Elevator BM#3 GB.</t>
  </si>
  <si>
    <t>Cement Mill #3 Gear box</t>
  </si>
  <si>
    <t>Sepax separator main drive</t>
  </si>
  <si>
    <t>Cement Mill #3 Separator Gear box</t>
  </si>
  <si>
    <t>Bucket Elevator BM#4 GB.</t>
  </si>
  <si>
    <t>Gearbox lubrication unit</t>
  </si>
  <si>
    <t>Cement Mill #4 Girth Gear</t>
  </si>
  <si>
    <t>Girth Gear lubrication unit</t>
  </si>
  <si>
    <t>Cement Mill #4 Gear box</t>
  </si>
  <si>
    <t>Cement Mill #4 Separator GB</t>
  </si>
  <si>
    <t>Bucket Elevator Cem. Silo#1 GB.</t>
  </si>
  <si>
    <t>Bucket Elevator Cem. Silo#2 GB.</t>
  </si>
  <si>
    <t>Bucket Elevator Cem. Silo#3 GB.</t>
  </si>
  <si>
    <t>Bucket Elevator Cem. Silo#4 GB.</t>
  </si>
  <si>
    <t xml:space="preserve">                                                  🛢  OIL ANALYSIS – MASTER DATA ENTRY  |  Reliance Heavy Industries</t>
  </si>
  <si>
    <t xml:space="preserve">                                                            All equipment readings in one table — select equipment in the Analysis tab to view filtered trends and diagnostics</t>
  </si>
  <si>
    <t xml:space="preserve">ℹ️  Enter data manual on all column </t>
  </si>
  <si>
    <t>EQUIPMENT INFO</t>
  </si>
  <si>
    <t>SAMPLE INFO</t>
  </si>
  <si>
    <t>CONTAMINANT (ppm)</t>
  </si>
  <si>
    <t>Additive (ppm)</t>
  </si>
  <si>
    <t>RECOMMENDATIONS</t>
  </si>
  <si>
    <t>Equipment Code</t>
  </si>
  <si>
    <t>Description</t>
  </si>
  <si>
    <t xml:space="preserve">sample ID </t>
  </si>
  <si>
    <t>Contamination
Rating</t>
  </si>
  <si>
    <t xml:space="preserve">Equipment Rating </t>
  </si>
  <si>
    <t xml:space="preserve">Lubricant Rating </t>
  </si>
  <si>
    <t xml:space="preserve">Particle Count &gt;4um </t>
  </si>
  <si>
    <t xml:space="preserve">Particle Count &gt;6um </t>
  </si>
  <si>
    <t xml:space="preserve">Particle Count &gt;14um </t>
  </si>
  <si>
    <t xml:space="preserve">PQ Index </t>
  </si>
  <si>
    <t>Visc@40C (cSt)</t>
  </si>
  <si>
    <t xml:space="preserve">TAN (mg KOH/g) </t>
  </si>
  <si>
    <t xml:space="preserve">Oxidation (Ab/cm) </t>
  </si>
  <si>
    <t xml:space="preserve">Ag (Silver) </t>
  </si>
  <si>
    <t xml:space="preserve">Cr (Chromium) </t>
  </si>
  <si>
    <t xml:space="preserve">Mo (Molybdenum) </t>
  </si>
  <si>
    <t xml:space="preserve">Ni (Nickel) </t>
  </si>
  <si>
    <t xml:space="preserve">Pb (Lead) </t>
  </si>
  <si>
    <t xml:space="preserve">Sn (Tin) </t>
  </si>
  <si>
    <t xml:space="preserve">K 
(Potassium) </t>
  </si>
  <si>
    <t xml:space="preserve">Si (Silicon) </t>
  </si>
  <si>
    <t xml:space="preserve">B (Boron) </t>
  </si>
  <si>
    <t xml:space="preserve">Ba (Barium) </t>
  </si>
  <si>
    <t xml:space="preserve">Ca (Calcium) </t>
  </si>
  <si>
    <t xml:space="preserve">Mg (Magnesium) </t>
  </si>
  <si>
    <t xml:space="preserve">P (Phosphorus) </t>
  </si>
  <si>
    <t xml:space="preserve">Zn (Zinc) </t>
  </si>
  <si>
    <t>Sample Analysis</t>
  </si>
  <si>
    <t>Caution – Elevated Fe &amp; Si</t>
  </si>
  <si>
    <t>Fe (32 ppm) and Si (29 ppm) elevated. Inspect bearing seals and filtration. Resample at next interval.</t>
  </si>
  <si>
    <t>Excessive Water / Elevated TAN / Elevated Viscosity / Unsatisfactory Oil / Particle Count Not Reported</t>
  </si>
  <si>
    <t>ACTION REQUIRED – Excessive water (0.200 Vol%), viscosity spiked to 269.9 cSt, TAN elevated to 1.50 mg KOH/g, Fe 66 ppm. Sample heavily contaminated with visible sediment – particle count not completed. Determine water source (leaking seals, oil cooler, condensation). Remove water via centrifuge or drain and refill. Contact ExxonMobil representative urgently.</t>
  </si>
  <si>
    <t>Excessive Iron / Excessive Oxidation / Elevated Viscosity / Excessive Water / Unsatisfactory Oil / Particle Count Not Reported</t>
  </si>
  <si>
    <t>ACTION REQUIRED – Fe 75 ppm (excessive wear), viscosity spiked to 215.5 cSt, oxidation 13 Ab/cm (excessive), water 0.100 Vol%, PQ Index 48. Sample heavily contaminated – particle count not completed. Change filter immediately. Drain and replace oil. Inspect equipment for internal damage. Contact ExxonMobil representative urgently.</t>
  </si>
  <si>
    <t>Excessive Fe / Water Ingress / Contamination Alert</t>
  </si>
  <si>
    <t>Fe 52 ppm (excessive), water 0.100 Vol%, Si 2 ppm. PQ Index 30 – elevated ferrous debris. Inspect bearing seals for water ingress and abrasive contamination. Change oil and filter. Resample after corrective action.</t>
  </si>
  <si>
    <t>All parameters within acceptable limits. ISO Code 19/18/17. Continue routine monitoring.</t>
  </si>
  <si>
    <t>High Si / Contamination Alert</t>
  </si>
  <si>
    <t>Si 22 ppm (elevated – abrasive contamination), ISO Code 20/19/17. Inspect filter condition and seals. Replace filter and resample.</t>
  </si>
  <si>
    <t>Reduced Oil Viscosity / Lubricant Alert</t>
  </si>
  <si>
    <t>ACTION REQUIRED – Viscosity dropped to 46.7 cSt (expected ~68 cSt). ISO Code 20/17/16. Determine cause: check for fuel/solvent contamination or wrong oil fill. Resample after corrective action.</t>
  </si>
  <si>
    <t>Viscosity at 49.8 cSt below baseline. ISO Code 22/21/14. Monitor lubricant condition. Resample at next scheduled interval.</t>
  </si>
  <si>
    <t>High Fe / Water Ingress / High Si / Contamination Alert</t>
  </si>
  <si>
    <t>ACTION REQUIRED – Fe 77 ppm (excessive), water 0.200 Vol%, Si 17 ppm. PQ Index 98 – severe ferrous debris. Inspect bearing seals for water and dirt ingress. Change oil and filter immediately. Resample after repair.</t>
  </si>
  <si>
    <t>Caution – Viscosity Declining / Monitor</t>
  </si>
  <si>
    <t>Slight viscosity reduction observed (61.2 cSt). Monitor at next sample. Verify correct lubricant used for top-ups. No immediate action required but continue close monitoring.</t>
  </si>
  <si>
    <t>Reduced Oil Viscosity / Unsatisfactory Oil</t>
  </si>
  <si>
    <t>ACTION REQUIRED – Viscosity dropped to 45.7 cSt (expected ~68 cSt for MOBIL DTE 26). ISO Code 20/18/17. Possible fuel/solvent contamination or wrong oil fill. Inspect seals. Resample after corrective action. If condition continues, recharge system with new oil.</t>
  </si>
  <si>
    <t>Excessive Water Contamination / Contamination Alert</t>
  </si>
  <si>
    <t>ACTION REQUIRED – Excessive water contamination (0.500 Vol%). Oxidation 3 Ab/cm. Determine water source: check seals, oil cooler, breather, tank fill access. Remove water via centrifuge or dehydration unit. Resample after corrective action. Monitor closely.</t>
  </si>
  <si>
    <t>Elevated Fe &amp; Al / Water – Caution</t>
  </si>
  <si>
    <t>Fe (23 ppm) and Al (12 ppm) elevated with slight water detected (0.050%). Monitor bearing wear trend. Inspect filtration. Resample within 45 days.</t>
  </si>
  <si>
    <t>ACTION REQUIRED – Viscosity at 46.6 cSt, well below target ~68 cSt. ISO Code 20/18/16. Determine cause: check for fuel/solvent contamination or wrong oil addition. Inspect seals. Resample after corrective action.</t>
  </si>
  <si>
    <t>Final fan free bearing</t>
  </si>
  <si>
    <t>ACTION REQUIRED – Viscosity at 44.5 cSt, significantly below expected ~100 cSt for Heavy Medium grade. ISO Code 20/18/17. Suspect wrong oil used for top-up. Verify oil fill records. Drain and refill with correct grade.</t>
  </si>
  <si>
    <t>Reduced Oil Viscosity / Unsatisfactory Oil / Increasing Oxidation</t>
  </si>
  <si>
    <t>ACTION REQUIRED – Viscosity still low (45.2 cSt) with oxidation increasing (2 Ab/cm). ISO Code 20/19/17. Recurring viscosity issue – wrong oil likely being used for top-ups. Full drain and refill with correct MOBIL DTE OIL HEAVY MEDIUM strongly recommended. Verify procurement and top-up procedures.</t>
  </si>
  <si>
    <t>Final fan fixed bearing</t>
  </si>
  <si>
    <t>ACTION REQUIRED – Viscosity at 44.5 cSt vs expected ~100 cSt for Heavy Medium grade. ISO Code 20/18/17. Suspect wrong oil used. Verify oil fill records and drain/refill with correct grade.</t>
  </si>
  <si>
    <t>Viscosity recovered to 63.7 cSt. ISO Code 21/20/18. Continue monitoring. Verify correct lubricant is used for top-ups.</t>
  </si>
  <si>
    <t>Elevated Si / Water / Elevated Fe / TAN Elevated</t>
  </si>
  <si>
    <t>ACTION REQUIRED – Si (19 ppm), water (0.110 Vol%), Fe (22 ppm), TAN 1.40 mg KOH/g. Inspect air filters, breather, and seals. Likely dirt ingress from environment. Replace filter and check oil breather integrity. Resample after repair.</t>
  </si>
  <si>
    <t>Parameters within limits. ISO Code 22/19/18. Continue monitoring. Verify air filtration is functioning correctly.</t>
  </si>
  <si>
    <t>Elevated Fe / Si – Caution / TAN Elevated</t>
  </si>
  <si>
    <t>Fe (28 ppm) and Si (23 ppm) trending upward. TAN elevated (1.70 mg KOH/g). Wear and dirt ingress recurring. Inspect filtration and air seals. Monitor closely.</t>
  </si>
  <si>
    <t>Viscosity Declining / TAN Elevated – Caution</t>
  </si>
  <si>
    <t>Viscosity trending down (284.8 cSt). TAN elevated (1.50 mg KOH/g). Monitor oil degradation. Verify no fuel/solvent contamination. Resample within 60 days.</t>
  </si>
  <si>
    <t>Elevated Si / Excessive Water / Elevated TAN / Excessive Fe / Unsatisfactory Oil / Particle Count Not Reported</t>
  </si>
  <si>
    <t>ACTION REQUIRED – Si 47 ppm (abrasive dirt ingress), water 0.200 Vol%, Fe 77 ppm (excessive), TAN 1.50 mg KOH/g. Sample heavily contaminated with visible sediment – particle count not completed. Inspect air filters, breather, seals. Remove water via dehydration unit. Change oil immediately. Contact ExxonMobil representative urgently.</t>
  </si>
  <si>
    <t>Coal mill 1 Roller Lub. Unit (Tank)</t>
  </si>
  <si>
    <t>Elevated Si / Excessive Water / Reduced Viscosity / Elevated Fe</t>
  </si>
  <si>
    <t>ACTION REQUIRED – Si (39 ppm), water (0.300 Vol%), Fe (47 ppm), Cu (8 ppm). PQ Index 40 – significant ferrous debris. TAN 1.40 mg KOH/g. Serious contamination. Inspect air intake filters, breathers, and seals. Remove water immediately. Resample urgently after corrective action.</t>
  </si>
  <si>
    <t>Critical Fe / Si / Water / Equipment Alert</t>
  </si>
  <si>
    <t>ACTION REQUIRED – Fe 84 ppm (critical), Si 56 ppm (abrasive), water 0.300 Vol%. PQ Index 62 – severe metallic debris. TAN 1.20 mg KOH/g. Equipment damage likely. Immediate inspection of rollers and seals required. Change oil after equipment inspection. Consider shutdown for full assessment.</t>
  </si>
  <si>
    <t>Coal mill 2 Roller Lub. Unit (Tank)</t>
  </si>
  <si>
    <t>All parameters within limits. Continue routine monitoring. Si (24 ppm) at boundary – monitor trend.</t>
  </si>
  <si>
    <t>Normal – Monitor TAN</t>
  </si>
  <si>
    <t>Parameters within limits. TAN trending up (1.12 mg KOH/g). Monitor oil acidity at next sample.</t>
  </si>
  <si>
    <t>Parameters within limits. TAN continues to rise (1.13 mg KOH/g). Viscosity slowly declining – verify correct top-up oil. Monitor at next scheduled sample.</t>
  </si>
  <si>
    <t>Coal Mill 2 Separator Gear box</t>
  </si>
  <si>
    <t>Critical Si / Water / Elevated Fe / Cr</t>
  </si>
  <si>
    <t>ACTION REQUIRED – Si 106 ppm (severe abrasive contamination), water (0.100 Vol%), Fe (30 ppm), Cr (5 ppm). TAN 1.60 mg KOH/g. Severe dirt ingress. Inspect all air filters, breathers, seals immediately. Change oil after cleaning system. Equipment inspection for wear damage recommended.</t>
  </si>
  <si>
    <t>Critical Si / Water / Critical Fe / Equipment Alert</t>
  </si>
  <si>
    <t>ACTION REQUIRED – Si 118 ppm (highest – critical abrasive), Fe 77 ppm (severe wear), water 0.200 Vol%. TAN 1.60 mg KOH/g. PQ Index 20. Immediate equipment shutdown and inspection strongly recommended. Change oil after inspection. Replace all filters. Identify and eliminate contamination source.</t>
  </si>
  <si>
    <t>Critical Fe / Elevated Si / Equipment Alert</t>
  </si>
  <si>
    <t>ACTION REQUIRED – Fe 108 ppm (critical – severe metallic wear), Al 21 ppm. TAN 1.40 mg KOH/g. Si 70 ppm (abrasive). Particle count not completed (visible sediment). Equipment experiencing severe wear. Immediate shutdown and inspection required. Change oil, replace all filters, inspect gear teeth and bearings.</t>
  </si>
  <si>
    <t>Elevated Si / Elevated TAN / Contamination Persists</t>
  </si>
  <si>
    <t>ACTION REQUIRED – Si still elevated (51 ppm), TAN at 1.70 mg KOH/g. Fe (21 ppm). Contamination persists despite previous oil change. Inspect air filters and breather. Verify new oil fill was correct grade and quantity. Resample within 30 days to confirm improvement.</t>
  </si>
  <si>
    <t>Clay apron feeder left geared motor</t>
  </si>
  <si>
    <t>All parameters within acceptable limits. ISO Code 21/20/17. Continue routine monitoring.</t>
  </si>
  <si>
    <t>Critical Fe / Water / Contamination Alert</t>
  </si>
  <si>
    <t>ACTION REQUIRED – Fe 99 ppm (critical), water 0.200 Vol%, Al 14 ppm, Cr 3 ppm, Cu 3 ppm. PQ Index 1150 – extreme ferrous debris. TAN 2.10 mg KOH/g. Immediate equipment shutdown and inspection required. Change oil and replace all filters. Identify and eliminate contamination source.</t>
  </si>
  <si>
    <t>Critical Fe / Water / Si / Equipment Alert</t>
  </si>
  <si>
    <t>ACTION REQUIRED – Fe 314 ppm (extreme – severe wear), Al 20 ppm, Cr 6 ppm, water 0.200 Vol%, Si 28 ppm (abrasive), Na 10 ppm. ISO 22/21/20. TAN 1.50 mg KOH/g. Immediate shutdown and inspection required. Change oil, replace all filters. Inspect all gearbox internals for damage.</t>
  </si>
  <si>
    <t>Caution – Elevated Viscosity / Monitor</t>
  </si>
  <si>
    <t>Viscosity elevated to 249.7 cSt. ISO 22/21/20. Wear metals now low – previous corrective action appears effective. Monitor viscosity trend. Verify correct oil is used for top-ups. Resample at next scheduled interval.</t>
  </si>
  <si>
    <t>Caution – Elevated Si / Particle Count High</t>
  </si>
  <si>
    <t>CAUTION – Si 35 ppm (elevated – possible abrasive contamination). ISO 22/21/20, particle count rising (31900 @4µm). TAN 1.26 mg KOH/g. Inspect seals, breathers, and fill caps for dirt ingress. Monitor closely. Change oil immediately if Si escalates. Contact ExxonMobil representative if necessary.</t>
  </si>
  <si>
    <t>Caution – Elevated Si / Contamination</t>
  </si>
  <si>
    <t>Si 33 ppm elevated. Monitor contamination trend. Inspect seals and filtration. Continue monitoring at scheduled intervals.</t>
  </si>
  <si>
    <t>Caution – Elevated Fe / Monitor</t>
  </si>
  <si>
    <t>Fe 13 ppm and Si 22 ppm elevated. Monitor wear trend. Inspect filtration. Resample within 60 days.</t>
  </si>
  <si>
    <t>All parameters within acceptable limits. Continue routine monitoring.</t>
  </si>
  <si>
    <t>Caution – Elevated Si / High Particle Count</t>
  </si>
  <si>
    <t>Si 42 ppm (elevated – abrasive). ISO 22/22/20. Particle count high (30291 @4µm). Water 0.040 Vol%. Inspect breathers, fill caps, seals. Replace filter. Resample within 30 days.</t>
  </si>
  <si>
    <t>Caution – Insufficient Sample Volume / Particle Count Elevated</t>
  </si>
  <si>
    <t>ADMINISTRATION – Insufficient sample volume; certain tests not completed. ISO 22/21/20, particle count still elevated (31082 @4µm). TAN 0.99 mg KOH/g. Water 0.040 Vol%. Ensure adequate sample volumes collected. Monitor Si and particle count trend. Contact ExxonMobil representative.</t>
  </si>
  <si>
    <t>Caution – Elevated Fe / Cu / Water</t>
  </si>
  <si>
    <t>Fe 26 ppm, Cu 12 ppm, water 0.040 Vol%, oxidation 1 Ab/cm. Monitor wear trend. Inspect seals and filtration. Resample within 45 days.</t>
  </si>
  <si>
    <t>Caution – Elevated Fe / Water</t>
  </si>
  <si>
    <t>Fe 19 ppm, Cu 4 ppm, water 0.040 Vol%, oxidation 1 Ab/cm. Monitor wear trend. Inspect seals. Resample within 45 days.</t>
  </si>
  <si>
    <t>All parameters within acceptable limits. ISO Code 20/18/16. Continue routine monitoring.</t>
  </si>
  <si>
    <t>Caution – Elevated Fe / TAN</t>
  </si>
  <si>
    <t>Fe 13 ppm, TAN 1.50 mg KOH/g. Monitor trend. Inspect filtration. Resample within 45 days.</t>
  </si>
  <si>
    <t>Caution – Elevated Fe / TAN / PQ Index</t>
  </si>
  <si>
    <t>Fe 17 ppm, TAN 1.80 mg KOH/g (elevated), PQ Index 63 – elevated ferrous debris. Water 0.060 Vol%. Monitor closely. Inspect filtration and seals. Resample within 30 days.</t>
  </si>
  <si>
    <t>Critical Fe / Excessive Water / TAN Elevated / Particle Count Not Reported</t>
  </si>
  <si>
    <t>ACTION REQUIRED – Fe 222 ppm (extreme), water 0.600 Vol% (excessive), Si 17 ppm. TAN 1.50 mg KOH/g. PQ Index 49. Visible sediment – particle count not completed. Immediate shutdown and inspection required. Change oil and replace all filters. Determine water source. Contact ExxonMobil representative urgently.</t>
  </si>
  <si>
    <t>Critical Fe / Excessive Water / TAN Elevated / Equipment Alert</t>
  </si>
  <si>
    <t>ACTION REQUIRED – Fe 206 ppm (extreme), water 0.500 Vol% (excessive). TAN 1.90 mg KOH/g. PQ Index 83 – severe ferrous debris. Particle count not completed. Equipment damage very likely. Immediate shutdown and inspection required. Change oil, replace filters. Determine water source and seal condition.</t>
  </si>
  <si>
    <t>Caution – Elevated Fe / TAN / Viscosity Low</t>
  </si>
  <si>
    <t>Fe 39 ppm (elevated), Al 13 ppm. TAN 1.70 mg KOH/g. Viscosity 282.6 cSt (below spec). Water 0.050 Vol%. Monitor closely. Inspect filtration. Verify correct oil grade used for top-ups. Resample within 45 days.</t>
  </si>
  <si>
    <t>Caution – Viscosity Low / TAN Elevated</t>
  </si>
  <si>
    <t>Viscosity 289.5 cSt (below spec). TAN 1.60 mg KOH/g. Water 0.080 Vol%. Monitor closely. Verify correct oil used for top-ups. Resample within 45 days.</t>
  </si>
  <si>
    <t>Caution – Excessive Water / Elevated TAN / Viscosity Low / Particle Count Not Reported</t>
  </si>
  <si>
    <t>ACTION REQUIRED – Water 0.050 Vol% (excessive), TAN 1.50 mg KOH/g (above OEM limit). Viscosity still low at 287.7 cSt. Visible sediment – particle count not completed. Determine water source (leaking seals, cooler, condensation). Remove water. Change oil. Contact ExxonMobil representative.</t>
  </si>
  <si>
    <t>ISO Code 22/22/21. All parameters within acceptable limits. Continue routine monitoring.</t>
  </si>
  <si>
    <t>Caution – Elevated Fe / Contamination</t>
  </si>
  <si>
    <t>Fe 48 ppm (elevated), Al 6 ppm. TAN 1.20 mg KOH/g. Monitor wear trend. Inspect filtration. Resample within 60 days.</t>
  </si>
  <si>
    <t>ISO Code 21/20/19. All parameters within acceptable limits. Fe 45 ppm trending – monitor. Continue routine monitoring.</t>
  </si>
  <si>
    <t>ISO Code 21/19/18. All parameters within acceptable limits. Fe 43 ppm – monitor trend. Continue routine monitoring.</t>
  </si>
  <si>
    <t>Caution – Elevated Fe &amp; Si / Particle Count Not Reported</t>
  </si>
  <si>
    <t>Fe 37 ppm and Si 22 ppm (elevated). TAN 1.30 mg KOH/g. Visible sediment – particle count not completed. Inspect air filtration and seals. Monitor Fe trend (43→37 ppm, stabilising). Resample within 45 days.</t>
  </si>
  <si>
    <t>Elevated Fe / Water / Contamination Alert</t>
  </si>
  <si>
    <t>Fe 30 ppm, water 0.100 Vol%, Cr 2 ppm, Al 5 ppm. TAN 1.80 mg KOH/g. Inspect seals for water ingress. Check filtration. Resample after corrective action.</t>
  </si>
  <si>
    <t>Elevated Fe / Al / Water – Caution</t>
  </si>
  <si>
    <t>Fe 72 ppm (elevated – increasing trend), Al 12 ppm, water 0.050 Vol%. TAN 1.40 mg KOH/g. Monitor bearing wear closely. Inspect filtration. Resample within 30 days.</t>
  </si>
  <si>
    <t>All parameters within acceptable limits. Fe reduced (34 ppm). Continue routine monitoring.</t>
  </si>
  <si>
    <t>Fe 42 ppm (elevated – increasing again). TAN 1.60 mg KOH/g. Water 0.030 Vol%. Monitor bearing wear trend. Inspect filtration. Resample within 30 days.</t>
  </si>
  <si>
    <t>Caution – Elevated Si / TAN</t>
  </si>
  <si>
    <t>Si 18 ppm, TAN 1.41 mg KOH/g. Monitor contamination trend. Inspect filtration.</t>
  </si>
  <si>
    <t>Caution – Elevated Si / Particle Count / Water</t>
  </si>
  <si>
    <t>Si 21 ppm, ISO 22/21/19, particle count 23972 @4µm, water 0.050 Vol%. TAN 1.12 mg KOH/g. Viscosity low at 295.0 cSt. Inspect seals, breathers. Replace filter. Resample within 45 days.</t>
  </si>
  <si>
    <t>Caution – Elevated Al / Si / TAN</t>
  </si>
  <si>
    <t>Al 13 ppm, Si 9 ppm. TAN 1.20 mg KOH/g. Monitor wear trend. Inspect filtration.</t>
  </si>
  <si>
    <t>Caution – Elevated Si</t>
  </si>
  <si>
    <t>Si 36 ppm (elevated – abrasive). TAN 1.20 mg KOH/g. Inspect breathers, seals, fill caps. Monitor closely.</t>
  </si>
  <si>
    <t>Caution – Particle Count Not Reported / Monitor</t>
  </si>
  <si>
    <t>Si 15 ppm, TAN 1.30 mg KOH/g, water 0.040 Vol%. Mg 15 ppm (elevated). Visible sediment – particle count not completed. Inspect seals, breathers, fill caps. Ensure adequate sample volumes collected next time. Monitor contamination trend.</t>
  </si>
  <si>
    <t>Caution – Elevated Fe / Cu / Oxidation / Particle Count Not Reported</t>
  </si>
  <si>
    <t>Fe 19 ppm, Cu 7 ppm, Al 4 ppm, Cr 1 ppm, oxidation 1 Ab/cm. Visible sediment – particle count not completed. Inspect seals and filtration. Resample within 45 days.</t>
  </si>
  <si>
    <t>Caution – Elevated Fe / Cu / Particle Count Not Reported</t>
  </si>
  <si>
    <t>Fe 21 ppm, Cu 3 ppm, oxidation 1 Ab/cm. Visible sediment – particle count not completed. Inspect seals and filtration. Resample within 45 days.</t>
  </si>
  <si>
    <t>Fe 18 ppm, Cu 6 ppm, water 0.020 Vol%. Visible sediment – particle count not completed. Inspect seals and filtration. Resample within 45 days.</t>
  </si>
  <si>
    <t>General Caution</t>
  </si>
  <si>
    <t>Continue monitoring; resample at next scheduled interval</t>
  </si>
  <si>
    <t>Normal - No Action Required</t>
  </si>
  <si>
    <t>Continue routine monitoring and sampling schedule</t>
  </si>
  <si>
    <t>Lubricant Condition Caution | Moisture Caution</t>
  </si>
  <si>
    <t>Moisture detected - check breathers and seals; Lubricant showing degradation - plan oil change within 3 months</t>
  </si>
  <si>
    <t>Lubricant Condition Caution | Contamination Caution</t>
  </si>
  <si>
    <t>Lubricant showing degradation - plan oil change within 3 months; Silicon elevated - check air filtration and seals</t>
  </si>
  <si>
    <t>Lubricant Degradation</t>
  </si>
  <si>
    <t>Viscosity critically low - change lubricant immediately</t>
  </si>
  <si>
    <t>Mill2 gear Box</t>
  </si>
  <si>
    <t>Caution – Elevated Fe / Oxidation</t>
  </si>
  <si>
    <t>Fe 42 ppm, ISO 22/20/16, oxidation 2 Ab/cm. Monitor trend. Inspect filtration.</t>
  </si>
  <si>
    <t>Caution – High Oxidation / Elevated Particle Count</t>
  </si>
  <si>
    <t>Oxidation 6 Ab/cm (high). ISO 23/21/17. Particle count 63852 @4µm. Cu 8 ppm, Cr 3 ppm, Al 6 ppm. TAN implied elevated. Monitor closely. Consider oil change if oxidation continues to rise.</t>
  </si>
  <si>
    <t>Alert – Critical Fe / Oxidation</t>
  </si>
  <si>
    <t>ACTION REQUIRED – Fe 57 ppm (critical), oxidation 3 Ab/cm. ISO 23/21/15. Particle count 51134 @4µm. Inspect equipment for wear damage. Change oil immediately. Identify source of Fe contamination.</t>
  </si>
  <si>
    <t>Caution – Elevated Fe / PQ Index / Particle Count Not Reported</t>
  </si>
  <si>
    <t>Fe 26 ppm, PQ Index 36 (elevated ferrous debris). Oxidation 1 Ab/cm. Water 0.040 Vol%. Visible sediment – particle count not completed. Inspect seals, breathers, and filtration. Monitor Fe trend. Resample within 45 days. Contact ExxonMobil representative if condition escalates.</t>
  </si>
  <si>
    <t>Critical Al / Fe / Si / Water / Equipment Alert</t>
  </si>
  <si>
    <t>ACTION REQUIRED – Al 39 ppm (critical), Fe 56 ppm, Si 57 ppm (extreme abrasive), water 0.150 Vol%, Cu 11 ppm. PQ Index 125. TAN 1.40 mg KOH/g. Immediate shutdown and inspection required. Change oil and replace all filters. Identify contamination source. Contact ExxonMobil representative urgently.</t>
  </si>
  <si>
    <t>Alert – Critical Fe / Elevated Si / Sn / Equipment Alert</t>
  </si>
  <si>
    <t>ACTION REQUIRED – Fe 68 ppm (critical), Si 48 ppm (abrasive), Al 7 ppm, Cu 8 ppm, Sn 11 ppm (bearing wear). PQ Index 63. Water 0.020 Vol%. Inspect all components for wear damage. Change oil and replace filters. Contact ExxonMobil representative.</t>
  </si>
  <si>
    <t>Alert – Severely Reduced Viscosity / Lubricant Alert</t>
  </si>
  <si>
    <t>ACTION REQUIRED – Viscosity critically low at 30.2 cSt (expected ~100 cSt for SHC 639). Possible fuel/solvent contamination or wrong oil fill. Si 14 ppm. Inspect system for fuel or coolant ingression. Drain and recharge with correct MOBIL SHC 639. Resample immediately after corrective action.</t>
  </si>
  <si>
    <t>Alert – Severely Reduced Viscosity / Elevated Si</t>
  </si>
  <si>
    <t>ACTION REQUIRED – Viscosity still critically low at 29.5 cSt. Si 53 ppm (elevated). Lubricant condition unsatisfactory. Drain and recharge with correct MOBIL SHC 639 immediately. Inspect system for contamination source. Contact ExxonMobil representative.</t>
  </si>
  <si>
    <t>Caution – Reduced Viscosity / Lubricant Alert</t>
  </si>
  <si>
    <t>ACTION REQUIRED – Viscosity at 69.4 cSt, below expected ~100 cSt for MOBIL SHC 639. TAN 1.20 mg KOH/g. Cu 3 ppm, Fe 11 ppm. Determine cause of low viscosity: check for fuel/solvent contamination or wrong oil fill. Resample after corrective actions. If condition continues, recharge with new oil. Contact ExxonMobil representative.</t>
  </si>
  <si>
    <t>Wear Metal Alert | Water Ingress</t>
  </si>
  <si>
    <t>URGENT: Inspect equipment immediately for wear/damage; High water contamination - check seals, drain water immediately</t>
  </si>
  <si>
    <t>Water Ingress</t>
  </si>
  <si>
    <t>High water contamination - check seals, drain water immediately</t>
  </si>
  <si>
    <t>Wear Metal Caution | Moisture Caution</t>
  </si>
  <si>
    <t>Elevated wear metals - monitor trend; Moisture detected - check breathers and seals</t>
  </si>
  <si>
    <t>Si 39 ppm elevated. ISO 21/21/20. TAN 1.33 mg KOH/g. Inspect seals, breathers and fill caps for dirt ingress. Monitor trend.</t>
  </si>
  <si>
    <t>Caution – Elevated Si &amp; Cr</t>
  </si>
  <si>
    <t>Si 40 ppm, Cr 9 ppm elevated. ISO 21/20/19. Na 3 ppm. Inspect seals and filtration. Resample within 45 days.</t>
  </si>
  <si>
    <t>ISO Code 22/21/19. All parameters within acceptable limits. Continue routine monitoring.</t>
  </si>
  <si>
    <t>Si 45 ppm (elevated – abrasive). ISO 22/21/20. Inspect breathers, seals, fill caps. Monitor closely.</t>
  </si>
  <si>
    <t>NO ACTION REQUIRED. ISO 22/21/20. All levels within acceptable ranges. Examine progressive changes and monitor results for changing trends. Sample at next scheduled interval.</t>
  </si>
  <si>
    <t>Caution – Elevated TAN / Monitor</t>
  </si>
  <si>
    <t>TAN 1.31 mg KOH/g. Monitor trend. Continue routine monitoring.</t>
  </si>
  <si>
    <t>Caution – Low Viscosity / Elevated TAN / Si</t>
  </si>
  <si>
    <t>Viscosity low at 189.7 cSt. TAN 1.50 mg KOH/g. Si 23 ppm. Monitor closely. Verify correct lubricant used for top-ups.</t>
  </si>
  <si>
    <t>Caution – High Particle Count / Water / TAN</t>
  </si>
  <si>
    <t>ISO 22/22/20. Particle count 32917 @4µm. Water 0.060 Vol%. TAN 1.50 mg KOH/g. Inspect seals, breathers, fill caps. Replace filter. Resample within 30 days.</t>
  </si>
  <si>
    <t>Caution – Elevated Si / Particle Count</t>
  </si>
  <si>
    <t>Si 39 ppm (elevated). ISO 22/21/20. Particle count 21768 @4µm. Inspect seals and breathers. Monitor trend.</t>
  </si>
  <si>
    <t>NO ACTION REQUIRED. ISO 22/21/20. All levels within acceptable ranges. Monitor Si trend (previously elevated). Sample at next scheduled interval.</t>
  </si>
  <si>
    <t>Alert – Critical Fe / Oxidation / Equipment Alert</t>
  </si>
  <si>
    <t>ACTION REQUIRED – Fe 64 ppm (critical), oxidation 3 Ab/cm. Al 5 ppm, Na 3 ppm, Sn 2 ppm. Inspect equipment for wear damage. Change oil immediately. Identify source of Fe contamination. Contact ExxonMobil representative.</t>
  </si>
  <si>
    <t>ACTION REQUIRED – Fe 73 ppm (critical – increasing trend), oxidation 3 Ab/cm. Cu 1 ppm, Al 4 ppm. ISO 22/21/20. Inspect equipment for wear damage. Change oil. Contact ExxonMobil representative urgently.</t>
  </si>
  <si>
    <t>ISO Code 22/21/20. All parameters within acceptable limits. Fe improved (13 ppm). Continue routine monitoring.</t>
  </si>
  <si>
    <t>Alert – Excessive Water / Elevated Fe / Contamination Alert</t>
  </si>
  <si>
    <t>ACTION REQUIRED – Water 0.500 Vol% (excessive), Fe 35 ppm, oxidation 2 Ab/cm. ISO 22/21/20. PQ Index 22. Determine water source (leaking seals, cooler, condensation). Remove water via dehydration unit. Resample after corrective action. Contact ExxonMobil representative.</t>
  </si>
  <si>
    <t>ISO Code 20/19/17. All parameters within acceptable limits. Continue routine monitoring.</t>
  </si>
  <si>
    <t>ISO Code 20/19/18. All parameters within acceptable limits. Continue routine monitoring.</t>
  </si>
  <si>
    <t>ISO Code 22/18/17. All parameters within acceptable limits. Continue routine monitoring.</t>
  </si>
  <si>
    <t>ISO Code 22/21/20. All parameters within acceptable limits. Fe 41 ppm – monitor trend. Continue routine monitoring.</t>
  </si>
  <si>
    <t>NO ACTION REQUIRED. ISO 21/20/17. All levels within acceptable ranges. Fe trending down (41→24 ppm). Sample at next scheduled interval.</t>
  </si>
  <si>
    <t>ISO Code 21/20/18. All parameters within acceptable limits. Continue routine monitoring.</t>
  </si>
  <si>
    <t>Caution – Elevated Fe / High Particle Count</t>
  </si>
  <si>
    <t>Fe 30 ppm, ISO 22/22/21. Particle count 39625 @4µm. Oxidation 1 Ab/cm. Water 0.050 Vol%. Monitor trend. Inspect filtration. Resample within 45 days.</t>
  </si>
  <si>
    <t>ISO Code 22/21/20. All parameters within acceptable limits. Continue routine monitoring.</t>
  </si>
  <si>
    <t>All parameters within acceptable limits. Oxidation 2 Ab/cm – monitor trend. Continue routine monitoring.</t>
  </si>
  <si>
    <t>Viscosity elevated to 328.7 cSt. Cu 2 ppm. Water 0.040 Vol%. Monitor viscosity trend. Verify correct lubricant used for top-ups.</t>
  </si>
  <si>
    <t>Caution – Elevated Fe / Si / Contamination</t>
  </si>
  <si>
    <t>Fe 20 ppm, Si 9 ppm, Cr 2 ppm. Oxidation 1 Ab/cm. Water 0.050 Vol%. Monitor wear trend. Inspect filtration. Resample within 45 days.</t>
  </si>
  <si>
    <t>Fe 9 ppm. Oxidation 1 Ab/cm. Water 0.050 Vol%. Monitor trend. Continue routine monitoring.</t>
  </si>
  <si>
    <t>Alert – Elevated Viscosity Spike / Elevated Si / Lubricant Alert</t>
  </si>
  <si>
    <t>ACTION REQUIRED – Viscosity spiked to 418.4 cSt (oil change to MOBIL SHC 634 in progress). Si 28 ppm (elevated). Water 0.050 Vol%. Lubricant rating Alert. Monitor viscosity trend after oil change completion. Resample after corrective action.</t>
  </si>
  <si>
    <t>ISO Code 21/20/17. All parameters within acceptable limits. TAN 0.63 mg KOH/g. Continue routine monitoring.</t>
  </si>
  <si>
    <t>ISO Code 22/22/20. All parameters within acceptable limits. Oxidation 1 Ab/cm – monitor trend. Continue routine monitoring.</t>
  </si>
  <si>
    <t>Alert – Elevated Si / High Particle Count / Contamination Alert</t>
  </si>
  <si>
    <t>Si 30 ppm (abrasive), ISO 23/22/21, particle count 43921 @4µm. Mo 5 ppm. Oxidation 2 Ab/cm. Inspect seals, breathers, fill caps for dirt ingress. Replace filter. Resample within 30 days.</t>
  </si>
  <si>
    <t>ISO Code 22/21/20. All parameters within acceptable limits. Si cleared. Continue routine monitoring.</t>
  </si>
  <si>
    <t>ISO Code 21/20/19. All parameters within acceptable limits. Continue routine monitoring.</t>
  </si>
  <si>
    <t>Caution – Elevated Particle Count / Monitor</t>
  </si>
  <si>
    <t>Particle count not available. Water 0.020 Vol%. Monitor trend. Inspect filtration.</t>
  </si>
  <si>
    <t>Coal Mill 2 Gear box</t>
  </si>
  <si>
    <t>ISO Code 22/21/20. All parameters within acceptable limits. Al 11 ppm – monitor trend. Oxidation 1 Ab/cm. Continue routine monitoring.</t>
  </si>
  <si>
    <t>ISO Code 22/22/21. All parameters within acceptable limits. Oxidation 2 Ab/cm – monitor trend. Continue routine monitoring.</t>
  </si>
  <si>
    <t>Alert – Extreme Viscosity Spike / Lubricant Alert</t>
  </si>
  <si>
    <t>ACTION REQUIRED – Viscosity spiked to 862.0 cSt (extreme – likely wrong oil fill). Si 16 ppm. Water 0.030 Vol%. Determine cause: verify oil fill records. Drain and refill with correct MOBILGEAR 600 XP 320 immediately. Contact ExxonMobil representative urgently.</t>
  </si>
  <si>
    <t>Viscosity critically high - change lubricant immediately</t>
  </si>
  <si>
    <t>ISO Code 20/17/17. All parameters within acceptable limits. Continue routine monitoring.</t>
  </si>
  <si>
    <t>Clinker Cooler #2 filter Fan</t>
  </si>
  <si>
    <t>Contamination Caution</t>
  </si>
  <si>
    <t>Lubricant degradation - plan oil change within 3 months; Silicon elevated - check air filtration and seals</t>
  </si>
  <si>
    <t>ISO Code 20/19/17. All parameters within acceptable limits. Viscosity normalised. Continue routine monitoring.</t>
  </si>
  <si>
    <t>ISO Code 21/20/19. All parameters within acceptable limits. Oxidation 1 Ab/cm – monitor trend. Continue routine monitoring.</t>
  </si>
  <si>
    <t>NO ACTION REQUIRED. ISO 20/19/17. All levels within acceptable ranges. Sample at next scheduled interval.</t>
  </si>
  <si>
    <t>Alert – Excessive Water / Elevated Fe / Unsatisfactory Oil / Particle Count Not Reported</t>
  </si>
  <si>
    <t>ACTION REQUIRED – Water 0.100 Vol% (persistent – chronic issue), Fe 51 ppm (elevated), PQ Index 39. Al 6 ppm, Si 11 ppm. Visible sediment – particle count not completed. Oil condition unsatisfactory. Determine water source (chronic seal failure). Change oil and replace filters immediately. Thorough equipment inspection required. Contact ExxonMobil representative urgently.</t>
  </si>
  <si>
    <t>Caution – Elevated Si / Pb / Cr / Water</t>
  </si>
  <si>
    <t>Si 33 ppm, Pb 8 ppm, Cr 4 ppm, water 0.050 Vol%. TAN 1.30 mg KOH/g. Monitor trend. Inspect seals and filtration. Resample within 45 days. Particle count not available (visible sediment).</t>
  </si>
  <si>
    <t>Caution – Elevated Si / Particle Count Not Reported</t>
  </si>
  <si>
    <t>Si 23 ppm (elevated). TAN 1.21 mg KOH/g. Water 0.010 Vol%. Visible sediment – particle count not completed. Inspect seals and breathers. Monitor trend. Resample within 45 days.</t>
  </si>
  <si>
    <t>Si 32 ppm (elevated – abrasive). TAN 1.28 mg KOH/g. Inspect breathers, seals, fill caps for dirt ingress. Monitor trend. Resample within 45 days.</t>
  </si>
  <si>
    <t>ISO Code 21/21/20. All parameters within acceptable limits. Continue routine monitoring.</t>
  </si>
  <si>
    <t>Caution – Water / TAN Elevated</t>
  </si>
  <si>
    <t>Water 0.050 Vol%. TAN 1.50 mg KOH/g. Monitor trend. Inspect seals. Resample within 45 days.</t>
  </si>
  <si>
    <t>Alert – Extreme Si / High Particle Count / Contamination Alert</t>
  </si>
  <si>
    <t>ACTION REQUIRED – Si 59 ppm (extreme abrasive contamination). ISO 22/21/20. Particle count 29917 @4µm. TAN 1.40 mg KOH/g. Inspect breathers, seals, fill caps for dirt ingress immediately. Replace filter. Change oil if Si is confirmed abrasive. Resample within 15 days.</t>
  </si>
  <si>
    <t>NO ACTION REQUIRED. ISO 22/21/20. Si cleared (4 ppm). All levels within acceptable ranges. Sample at next scheduled interval.</t>
  </si>
  <si>
    <t>Caution – Water / Monitor</t>
  </si>
  <si>
    <t>Water 0.050 Vol%. TAN 1.31 mg KOH/g. Monitor trend. Inspect seals. Resample within 45 days.</t>
  </si>
  <si>
    <t>ISO Code 22/22/20. All parameters within acceptable limits. Continue routine monitoring.</t>
  </si>
  <si>
    <t>ISO Code 22/22/20. All parameters within acceptable limits. Si 28 ppm – monitor trend. Continue routine monitoring.</t>
  </si>
  <si>
    <t>NO ACTION REQUIRED. ISO 22/21/20. All levels within acceptable ranges. Sample at next scheduled interval.</t>
  </si>
  <si>
    <t>Caution – Elevated Fe / Si / Mo</t>
  </si>
  <si>
    <t>Fe 17 ppm, Si 21 ppm, Al 4 ppm, Mo 2 ppm. TAN 1.30 mg KOH/g. Monitor wear trend. Inspect filtration. Resample within 45 days.</t>
  </si>
  <si>
    <t>Caution – Elevated Fe / Al / Si</t>
  </si>
  <si>
    <t>Fe 14 ppm, Al 9 ppm, Si 20 ppm. Monitor trend. Inspect filtration. Resample within 45 days.</t>
  </si>
  <si>
    <t>Fe 44 ppm (elevated – increasing trend), Al 10 ppm, water 0.040 Vol%. Monitor wear trend closely. Inspect filtration and seals. Resample within 30 days.</t>
  </si>
  <si>
    <t>Alert – Severely Reduced Viscosity / Elevated Fe / Contamination Alert</t>
  </si>
  <si>
    <t>ACTION REQUIRED – Viscosity critically low at 116.1 cSt (expected ~220 cSt). ISO 21/21/20. Fe 29 ppm, Al 7 ppm, Si 21 ppm. Mo 2 ppm. Determine cause of extreme viscosity reduction: check for fuel/solvent contamination or wrong oil fill. Drain and refill with correct MOBIL SHC 630 immediately. Contact ExxonMobil representative urgently.</t>
  </si>
  <si>
    <t>Caution – Elevated Fe / Particle Count Not Reported</t>
  </si>
  <si>
    <t>Fe 14 ppm. TAN 0.89 mg KOH/g. Water &lt;0.003 Vol%. Viscosity recovered (222.6 cSt). Visible sediment – particle count not completed. Monitor Fe trend. Inspect filtration. Resample within 45 days.</t>
  </si>
  <si>
    <t>Water detected - inspect seals and breathers</t>
  </si>
  <si>
    <t>Wear Metal Caution</t>
  </si>
  <si>
    <t>Monitor closely - inspect at next planned maintenance</t>
  </si>
  <si>
    <t>General Alert</t>
  </si>
  <si>
    <t>Investigate root cause; increase sampling frequency to monthly</t>
  </si>
  <si>
    <t>Oxidation increasing - monitor and plan oil change</t>
  </si>
  <si>
    <t>Limestone Apron Feeder Right Gear Box</t>
  </si>
  <si>
    <t>Silicon elevated - check air filtration and seals</t>
  </si>
  <si>
    <t>Contamination Alert | Water Ingress</t>
  </si>
  <si>
    <t>Water detected - inspect seals and breathers; Elevated silicon - inspect filters and seals for contamination</t>
  </si>
  <si>
    <t>Wear Metal Caution | Contamination Caution</t>
  </si>
  <si>
    <t>Monitor closely - inspect at next planned maintenance; Lubricant showing degradation - plan oil change within 3 months; Silicon elevated - check air filtration and seals</t>
  </si>
  <si>
    <t>Contamination Alert</t>
  </si>
  <si>
    <t>Elevated silicon - inspect filters and seals for contamination</t>
  </si>
  <si>
    <t>Wear Metal Alert</t>
  </si>
  <si>
    <t>URGENT: Inspect equipment immediately for wear/damage; High wear metals - inspect bearing/gear surfaces; Elevated silicon - inspect filters and seals for contamination</t>
  </si>
  <si>
    <t>Lubricant showing degradation - plan oil change within 3 months</t>
  </si>
  <si>
    <t>Jib arm Hydraulic Pump Station</t>
  </si>
  <si>
    <t>URGENT: Inspect equipment immediately for wear/damage</t>
  </si>
  <si>
    <t>Lubricant Condition Caution</t>
  </si>
  <si>
    <t>High water contamination - check seals and drain water immediately</t>
  </si>
  <si>
    <t>URGENT: Inspect equipment immediately for wear/damage; High water contamination - check seals and drain water immediately</t>
  </si>
  <si>
    <t>URGENT: Inspect equipment immediately for wear/damage; High wear metals - inspect bearing/gear surfaces</t>
  </si>
  <si>
    <t>Monitor closely - inspect at next planned maintenance; Oxidation increasing - monitor and plan oil change</t>
  </si>
  <si>
    <t>Wear Metal Alert | High Particle Count</t>
  </si>
  <si>
    <t>URGENT: Inspect equipment immediately for wear/damage; Critical wear metals detected - schedule immediate inspection; High wear metals - inspect bearing/gear surfaces; Critical particle count - flush system and replace filters</t>
  </si>
  <si>
    <t>Elevated wear metals - monitor trend; inspect at next opportunity; Silicon elevated - check air filtration and seals</t>
  </si>
  <si>
    <t>Kiln Bearing</t>
  </si>
  <si>
    <t>Wear Metal Alert | Lubricant Degradation | Contamination Alert | High Particle Count</t>
  </si>
  <si>
    <t>URGENT: Inspect equipment immediately for wear/damage; Critical wear metals detected - schedule immediate inspection; High wear metals - inspect bearing/gear surfaces; Severe oxidation - lubricant change required urgently; Very high silicon - check/replace air filters, inspect seals; Critical particle count - flush system and replace filters</t>
  </si>
  <si>
    <t>URGENT: Inspect equipment immediately for wear/damage; High wear metals - inspect bearing/gear surfaces; High particle count - replace filters and resample</t>
  </si>
  <si>
    <t>Wear Metal Alert | Contamination Alert</t>
  </si>
  <si>
    <t>URGENT: Inspect equipment immediately for wear/damage; Elevated silicon - inspect filters and seals for contamination</t>
  </si>
  <si>
    <t>URGENT: Inspect equipment immediately for wear/damage; High wear metals - inspect bearing/gear surfaces; Severe oxidation - lubricant change required urgently</t>
  </si>
  <si>
    <t>URGENT: Inspect equipment immediately for wear/damage; High wear metals - inspect bearing/gear surfaces; Severe oxidation - lubricant change required urgently; Elevated silicon - inspect filters and seals for contamination; High particle count - replace filters and resample</t>
  </si>
  <si>
    <t>Wear Metal Alert | Lubricant Degradation</t>
  </si>
  <si>
    <t>URGENT: Inspect equipment immediately for wear/damage; Critical wear metals detected - schedule immediate inspection; High wear metals - inspect bearing/gear surfaces; Severe oxidation - lubricant change required urgently</t>
  </si>
  <si>
    <t>URGENT: Inspect equipment immediately for wear/damage; Severe oxidation - lubricant change required urgently</t>
  </si>
  <si>
    <t>URGENT: Inspect equipment immediately for wear/damage; High particle count - replace filters and resample</t>
  </si>
  <si>
    <t>Wear Metal Alert | Lubricant Degradation | High Particle Count</t>
  </si>
  <si>
    <t>URGENT: Inspect equipment immediately for wear/damage; Critical wear metals detected - schedule immediate inspection; High wear metals - inspect bearing/gear surfaces; Viscosity critically low - change lubricant immediately; Severe oxidation - lubricant change required urgently; Elevated silicon - inspect filters and seals for contamination; High particle count - replace filters and resample</t>
  </si>
  <si>
    <t>URGENT: Inspect equipment immediately for wear/damage; High wear metals - inspect bearing/gear surfaces; Critical particle count - flush system and replace filters</t>
  </si>
  <si>
    <t>URGENT: Inspect equipment immediately for wear/damage; Critical wear metals detected - schedule immediate inspection; High wear metals - inspect bearing/gear surfaces; Severe oxidation - lubricant change required urgently; High particle count - replace filters and resample</t>
  </si>
  <si>
    <t>URGENT: Inspect equipment immediately for wear/damage; Critical wear metals detected - schedule immediate inspection; High wear metals - inspect bearing/gear surfaces; Severe oxidation - lubricant change required urgently; Elevated silicon - inspect filters and seals for contamination; High particle count - replace filters and resample</t>
  </si>
  <si>
    <t>URGENT: Inspect equipment immediately for wear/damage; Severe oxidation - lubricant change required urgently; Elevated silicon - inspect filters and seals for contamination</t>
  </si>
  <si>
    <t>Clinker Cooler Drive (From Tank)</t>
  </si>
  <si>
    <t>High water contamination - check seals and drain water immediately; Elevated silicon - inspect filters and seals for contamination</t>
  </si>
  <si>
    <t>Moisture Caution</t>
  </si>
  <si>
    <t>Moisture detected - check breathers and seals</t>
  </si>
  <si>
    <t>Drag chain #2 geared motor</t>
  </si>
  <si>
    <t>High Particle Count</t>
  </si>
  <si>
    <t>High wear metals - inspect bearing/gear surfaces; Critical particle count - flush system and replace filters</t>
  </si>
  <si>
    <t>Elevated wear metals - monitor trend; inspect at next opportunity</t>
  </si>
  <si>
    <t>URGENT: Inspect equipment immediately for wear/damage; Water detected - inspect seals and breathers; Severe oxidation - lubricant change required urgently; Elevated silicon - inspect filters and seals for contamination</t>
  </si>
  <si>
    <t>Wear Metal Alert | Contamination Alert | Water Ingress | High Particle Count</t>
  </si>
  <si>
    <t>URGENT: Inspect equipment immediately for wear/damage; High wear metals - inspect bearing/gear surfaces; Water detected - inspect seals and breathers; Very high silicon - check/replace air filters, inspect seals; High particle count - replace filters and resample</t>
  </si>
  <si>
    <t>Wear Metal Alert | Contamination Alert | Water Ingress</t>
  </si>
  <si>
    <t>URGENT: Inspect equipment immediately for wear/damage; Water detected - inspect seals and breathers; Very high silicon - check/replace air filters, inspect seals</t>
  </si>
  <si>
    <t>Elevated wear metals - monitor trend; inspect at next opportunity; Oxidation increasing - monitor and plan oil change</t>
  </si>
  <si>
    <t>Elevated wear metals - monitor trend; inspect at next opportunity; Moisture detected - check breathers and seals</t>
  </si>
  <si>
    <t>URGENT: Inspect equipment immediately for wear/damage; High water contamination - check seals and drain water immediately; Elevated silicon - inspect filters and seals for contamination; High particle count - replace filters and resample</t>
  </si>
  <si>
    <t>URGENT: Inspect equipment immediately for wear/damage; High wear metals - inspect bearing/gear surfaces; High water contamination - check seals and drain water immediately; Elevated silicon - inspect filters and seals for contamination; Critical particle count - flush system and replace filters</t>
  </si>
  <si>
    <t>URGENT: Inspect equipment immediately for wear/damage; High wear metals - inspect bearing/gear surfaces; Water detected - inspect seals and breathers; Very high silicon - check/replace air filters, inspect seals; Critical particle count - flush system and replace filters</t>
  </si>
  <si>
    <t>URGENT: Inspect equipment immediately for wear/damage; Critical wear metals detected - schedule immediate inspection; High wear metals - inspect bearing/gear surfaces; High water contamination - check seals and drain water immediately; Very high silicon - check/replace air filters, inspect seals; Critical particle count - flush system and replace filters</t>
  </si>
  <si>
    <t>Wear Metal Alert | Water Ingress | High Particle Count</t>
  </si>
  <si>
    <t>URGENT: Inspect equipment immediately for wear/damage; High water contamination - check seals and drain water immediately; Critical particle count - flush system and replace filters</t>
  </si>
  <si>
    <t>URGENT: Inspect equipment immediately for wear/damage; High wear metals - inspect bearing/gear surfaces; Water detected - inspect seals and breathers; Elevated silicon - inspect filters and seals for contamination; High particle count - replace filters and resample</t>
  </si>
  <si>
    <t>URGENT: Inspect equipment immediately for wear/damage; High water contamination - check seals and drain water immediately; Severe oxidation - lubricant change required urgently; Very high silicon - check/replace air filters, inspect seals; High particle count - replace filters and resample</t>
  </si>
  <si>
    <t>534.LQ145 GearBox</t>
  </si>
  <si>
    <t>URGENT: Inspect equipment immediately for wear/damage; Elevated silicon - inspect filters and seals for contamination; High particle count - replace filters and resample</t>
  </si>
  <si>
    <t>URGENT: Inspect equipment immediately for wear/damage; High water contamination - check seals and drain water immediately; High particle count - replace filters and resample</t>
  </si>
  <si>
    <t>URGENT: Inspect equipment immediately for wear/damage; High wear metals - inspect bearing/gear surfaces; Water detected - inspect seals and breathers; Very high silicon - check/replace air filters, inspect seals</t>
  </si>
  <si>
    <t>URGENT: Inspect equipment immediately for wear/damage; Water detected - inspect seals and breathers; Elevated silicon - inspect filters and seals for contamination</t>
  </si>
  <si>
    <t>432.KB101(3)</t>
  </si>
  <si>
    <t>URGENT: Inspect equipment immediately for wear/damage; Critical wear metals detected - schedule immediate inspection; High wear metals - inspect bearing/gear surfaces; Very high silicon - check/replace air filters, inspect seals</t>
  </si>
  <si>
    <t>Elevated wear metals - monitor trend; inspect at next opportunity; Oxidation increasing - monitor and plan oil change; Silicon elevated - check air filtration and seals</t>
  </si>
  <si>
    <t>Very high silicon - check/replace air filters, inspect seals</t>
  </si>
  <si>
    <t>Wear Metal Alert | Lubricant Degradation | Contamination Alert | Water Ingress | High Particle Count</t>
  </si>
  <si>
    <t>URGENT: Inspect equipment immediately for wear/damage; Critical wear metals detected - schedule immediate inspection; High wear metals - inspect bearing/gear surfaces; High water contamination - check seals and drain water immediately; Elevated silicon - inspect filters and seals for contamination; Critical particle count - flush system and replace filters</t>
  </si>
  <si>
    <t>High wear metals - inspect bearing/gear surfaces; Water detected - inspect seals and breathers; Severe oxidation - lubricant change required urgently; Very high silicon - check/replace air filters, inspect seals; High particle count - replace filters and resample</t>
  </si>
  <si>
    <t>Contamination Alert | Water Ingress | High Particle Count</t>
  </si>
  <si>
    <t>Water detected - inspect seals and breathers; Very high silicon - check/replace air filters, inspect seals; Critical particle count - flush system and replace filters</t>
  </si>
  <si>
    <t>High wear metals - inspect bearing/gear surfaces; Water detected - inspect seals and breathers; Elevated silicon - inspect filters and seals for contamination; Critical particle count - flush system and replace filters</t>
  </si>
  <si>
    <t>URGENT: Inspect equipment immediately for wear/damage; High wear metals - inspect bearing/gear surfaces; High water contamination - check seals and drain water immediately; Severe oxidation - lubricant change required urgently; Elevated silicon - inspect filters and seals for contamination; Critical particle count - flush system and replace filters</t>
  </si>
  <si>
    <t>High wear metals - inspect bearing/gear surfaces; Water detected - inspect seals and breathers; Elevated silicon - inspect filters and seals for contamination; High particle count - replace filters and resample</t>
  </si>
  <si>
    <t>Elevated wear metals - monitor trend; inspect at next opportunity; Lubricant showing degradation - plan oil change within 3 months; Silicon elevated - check air filtration and seals</t>
  </si>
  <si>
    <t>Lubricant Degradation | Water Ingress</t>
  </si>
  <si>
    <t>Water detected - inspect seals and breathers; Viscosity critically low - change lubricant immediately; Elevated silicon - inspect filters and seals for contamination</t>
  </si>
  <si>
    <t>URGENT: Inspect equipment immediately for wear/damage; Critical wear metals detected - schedule immediate inspection; High wear metals - inspect bearing/gear surfaces; Water detected - inspect seals and breathers; Elevated silicon - inspect filters and seals for contamination; Critical particle count - flush system and replace filters</t>
  </si>
  <si>
    <t>High wear metals - inspect bearing/gear surfaces; Water detected - inspect seals and breathers; Elevated silicon - inspect filters and seals for contamination</t>
  </si>
  <si>
    <t>High particle count - replace filters and resample</t>
  </si>
  <si>
    <t>High wear metals - inspect bearing/gear surfaces</t>
  </si>
  <si>
    <t>URGENT: Inspect equipment immediately for wear/damage; Critical wear metals detected - schedule immediate inspection; High wear metals - inspect bearing/gear surfaces; High water contamination - check seals and drain water immediately</t>
  </si>
  <si>
    <t>URGENT: Inspect equipment immediately for wear/damage; Critical wear metals detected - schedule immediate inspection; High wear metals - inspect bearing/gear surfaces; Water detected - inspect seals and breathers; Elevated silicon - inspect filters and seals for contamination; High particle count - replace filters and resample</t>
  </si>
  <si>
    <t>URGENT: Inspect equipment immediately for wear/damage; High wear metals - inspect bearing/gear surfaces; Very high silicon - check/replace air filters, inspect seals</t>
  </si>
  <si>
    <t>URGENT: Inspect equipment immediately for wear/damage; High wear metals - inspect bearing/gear surfaces; Severe oxidation - lubricant change required urgently; Elevated silicon - inspect filters and seals for contamination</t>
  </si>
  <si>
    <t>URGENT: Inspect equipment immediately for wear/damage; High wear metals - inspect bearing/gear surfaces; High water contamination - check seals and drain water immediately; Severe oxidation - lubricant change required urgently; Very high silicon - check/replace air filters, inspect seals</t>
  </si>
  <si>
    <t>URGENT: Inspect equipment immediately for wear/damage; High water contamination - check seals and drain water immediately; Very high silicon - check/replace air filters, inspect seals</t>
  </si>
  <si>
    <t>URGENT: Inspect equipment immediately for wear/damage; Critical wear metals detected - schedule immediate inspection; High wear metals - inspect bearing/gear surfaces; High water contamination - check seals and drain water immediately; Severe oxidation - lubricant change required urgently; Very high silicon - check/replace air filters, inspect seals; Critical particle count - flush system and replace filters</t>
  </si>
  <si>
    <t>URGENT: Inspect equipment immediately for wear/damage; High wear metals - inspect bearing/gear surfaces; High water contamination - check seals and drain water immediately; Elevated silicon - inspect filters and seals for contamination</t>
  </si>
  <si>
    <t>URGENT: Inspect equipment immediately for wear/damage; Critical wear metals detected - schedule immediate inspection; High wear metals - inspect bearing/gear surfaces; Water detected - inspect seals and breathers; Severe oxidation - lubricant change required urgently; Very high silicon - check/replace air filters, inspect seals; Critical particle count - flush system and replace filters</t>
  </si>
  <si>
    <t>URGENT: Inspect equipment immediately for wear/damage; High wear metals - inspect bearing/gear surfaces; Water detected - inspect seals and breathers; Severe oxidation - lubricant change required urgently; Elevated silicon - inspect filters and seals for contamination</t>
  </si>
  <si>
    <t>Severe oxidation - lubricant change required urgently; Elevated silicon - inspect filters and seals for contamination</t>
  </si>
  <si>
    <t>Lubricant showing degradation - plan oil change within 3 months; Oxidation increasing - monitor and plan oil change</t>
  </si>
  <si>
    <t>URGENT: Inspect equipment immediately for wear/damage; Very high silicon - check/replace air filters, inspect seals</t>
  </si>
  <si>
    <t>High water contamination - check seals and drain water immediately; High particle count - replace filters and resample</t>
  </si>
  <si>
    <t>High wear metals - inspect bearing/gear surfaces; Elevated silicon - inspect filters and seals for contamination</t>
  </si>
  <si>
    <t>High wear metals - inspect bearing/gear surfaces; Very high silicon - check/replace air filters, inspect seals</t>
  </si>
  <si>
    <t>URGENT: Inspect equipment immediately for wear/damage; High water contamination - check seals and drain water immediately; Severe oxidation - lubricant change required urgently; Elevated silicon - inspect filters and seals for contamination; High particle count - replace filters and resample</t>
  </si>
  <si>
    <t>URGENT: Inspect equipment immediately for wear/damage; Water detected - inspect seals and breathers; Very high silicon - check/replace air filters, inspect seals; High particle count - replace filters and resample</t>
  </si>
  <si>
    <t>URGENT: Inspect equipment immediately for wear/damage; Critical wear metals detected - schedule immediate inspection; Elevated silicon - inspect filters and seals for contamination</t>
  </si>
  <si>
    <t>URGENT: Inspect equipment immediately for wear/damage; Critical wear metals detected - schedule immediate inspection; High wear metals - inspect bearing/gear surfaces; High water contamination - check seals and drain water immediately; Elevated silicon - inspect filters and seals for contamination; High particle count - replace filters and resample</t>
  </si>
  <si>
    <t>Wear Metal Alert | Lubricant Degradation | Water Ingress | High Particle Count</t>
  </si>
  <si>
    <t>URGENT: Inspect equipment immediately for wear/damage; High water contamination - check seals and drain water immediately; Viscosity critically high - change lubricant immediately; Severe oxidation - lubricant change required urgently; Elevated silicon - inspect filters and seals for contamination; High particle count - replace filters and resample</t>
  </si>
  <si>
    <t>URGENT: Inspect equipment immediately for wear/damage; Critical wear metals detected - schedule immediate inspection; High wear metals - inspect bearing/gear surfaces; Elevated silicon - inspect filters and seals for contamination; High particle count - replace filters and resample</t>
  </si>
  <si>
    <t>URGENT: Inspect equipment immediately for wear/damage; High wear metals - inspect bearing/gear surfaces; High water contamination - check seals and drain water immediately; Severe oxidation - lubricant change required urgently; Elevated silicon - inspect filters and seals for contamination</t>
  </si>
  <si>
    <t>Wear Metal Alert | Lubricant Degradation | Contamination Alert | Water Ingress</t>
  </si>
  <si>
    <t>URGENT: Inspect equipment immediately for wear/damage; High wear metals - inspect bearing/gear surfaces; High water contamination - check seals and drain water immediately; Viscosity critically high - change lubricant immediately; Severe oxidation - lubricant change required urgently; Very high silicon - check/replace air filters, inspect seals; High particle count - replace filters and resample</t>
  </si>
  <si>
    <t>URGENT: Inspect equipment immediately for wear/damage; High wear metals - inspect bearing/gear surfaces; Water detected - inspect seals and breathers; Elevated silicon - inspect filters and seals for contamination</t>
  </si>
  <si>
    <t>R2 Bucket Elevator gearbox</t>
  </si>
  <si>
    <t>Oxidation increasing - monitor and plan oil change; Silicon elevated - check air filtration and seals</t>
  </si>
  <si>
    <t>ID fan free bearing line 2</t>
  </si>
  <si>
    <t>Bucket Elevator gearbox</t>
  </si>
  <si>
    <t>Lubricant Degradation | Contamination Alert | Water Ingress</t>
  </si>
  <si>
    <t>Water detected - inspect seals and breathers; Viscosity critically high - change lubricant immediately; Elevated silicon - inspect filters and seals for contamination</t>
  </si>
  <si>
    <t>Monitor closely - inspect at next planned maintenance; Moisture detected - check breathers and seals</t>
  </si>
  <si>
    <t>Dynamic Separator Gearbox</t>
  </si>
  <si>
    <t>Kiln Hydraulic thrust circuit</t>
  </si>
  <si>
    <t>Kiln Hydraulic thrust Tank</t>
  </si>
  <si>
    <t>Investigate root cause; increase sampling to monthly</t>
  </si>
  <si>
    <t>Raw Mill#2 free bearing</t>
  </si>
  <si>
    <t>URGENT: Inspect equipment immediately for wear/damage; High wear metals - inspect bearing/gear surfaces; Viscosity critically low - change lubricant immediately</t>
  </si>
  <si>
    <t>URGENT: Inspect equipment immediately for wear/damage; Critical wear metals detected - schedule immediate inspection; High wear metals - inspect bearing/gear surfaces; Viscosity critically low - change lubricant immediately; High particle count - replace filters and resample</t>
  </si>
  <si>
    <t>URGENT: Inspect equipment immediately for wear/damage; Critical wear metals detected - schedule immediate inspection; High wear metals - inspect bearing/gear surfaces; Severe oxidation - lubricant change required urgently; Elevated silicon - inspect filters and seals for contamination</t>
  </si>
  <si>
    <t>URGENT: Inspect equipment immediately for wear/damage; High wear metals - inspect bearing/gear surfaces; Severe oxidation - lubricant change required urgently; Critical particle count - flush system and replace filters</t>
  </si>
  <si>
    <t>Viscosity critically low - change lubricant immediately; Elevated silicon - inspect filters and seals for contamination</t>
  </si>
  <si>
    <t>URGENT: Inspect equipment immediately for wear/damage; Critical wear metals detected - schedule immediate inspection; High wear metals - inspect bearing/gear surfaces; Viscosity critically low - change lubricant immediately; Very high silicon - check/replace air filters, inspect seals; Critical particle count - flush system and replace filters</t>
  </si>
  <si>
    <t>URGENT: Inspect equipment immediately for wear/damage; Severe oxidation - lubricant change required urgently; High particle count - replace filters and resample</t>
  </si>
  <si>
    <t>URGENT: Inspect equipment immediately for wear/damage; Critical wear metals detected - schedule immediate inspection; High wear metals - inspect bearing/gear surfaces; Viscosity critically low - change lubricant immediately; Elevated silicon - inspect filters and seals for contamination; Critical particle count - flush system and replace filters</t>
  </si>
  <si>
    <t>URGENT: Inspect equipment immediately for wear/damage; Critical wear metals detected - schedule immediate inspection; High wear metals - inspect bearing/gear surfaces; Viscosity critically low - change lubricant immediately</t>
  </si>
  <si>
    <t>URGENT: Inspect equipment immediately for wear/damage; Critical wear metals detected - schedule immediate inspection; High wear metals - inspect bearing/gear surfaces; Water detected - inspect seals and breathers; Viscosity critically low - change lubricant immediately; Severe oxidation - lubricant change required urgently; Elevated silicon - inspect filters and seals for contamination; Critical particle count - flush system and replace filters</t>
  </si>
  <si>
    <t>URGENT: Inspect equipment immediately for wear/damage; High wear metals - inspect bearing/gear surfaces; Severe oxidation - lubricant change required urgently; High particle count - replace filters and resample</t>
  </si>
  <si>
    <t>URGENT: Inspect equipment immediately for wear/damage; Viscosity critically low - change lubricant immediately</t>
  </si>
  <si>
    <t>URGENT: Inspect equipment immediately for wear/damage; High wear metals - inspect bearing/gear surfaces; Viscosity critically low - change lubricant immediately; Elevated silicon - inspect filters and seals for contamination</t>
  </si>
  <si>
    <t>URGENT: Inspect equipment immediately for wear/damage; Critical wear metals detected - schedule immediate inspection; High wear metals - inspect bearing/gear surfaces; Viscosity critically low - change lubricant immediately; Severe oxidation - lubricant change required urgently; Critical particle count - flush system and replace filters</t>
  </si>
  <si>
    <t>URGENT: Inspect equipment immediately for wear/damage; Critical wear metals detected - schedule immediate inspection; High wear metals - inspect bearing/gear surfaces</t>
  </si>
  <si>
    <t>URGENT: Inspect equipment immediately for wear/damage; Critical wear metals detected - schedule immediate inspection; High wear metals - inspect bearing/gear surfaces; Viscosity critically low - change lubricant immediately; Elevated silicon - inspect filters and seals for contamination; High particle count - replace filters and resample</t>
  </si>
  <si>
    <t>URGENT: Inspect equipment immediately for wear/damage; High wear metals - inspect bearing/gear surfaces; Severe oxidation - urgent lubricant change required</t>
  </si>
  <si>
    <t>URGENT: Inspect equipment immediately for wear/damage; Critical wear metals - schedule immediate inspection; Viscosity critically low - change lubricant immediately; Severe oxidation - urgent lubricant change required</t>
  </si>
  <si>
    <t>Wear Metal Alert | Contamination Alert | High Particle Count</t>
  </si>
  <si>
    <t>URGENT: Inspect equipment immediately for wear/damage; High wear metals - inspect bearing/gear surfaces; Very high silicon - check/replace air filters and seals; Critical particle count - flush system and replace filters</t>
  </si>
  <si>
    <t>URGENT: Inspect equipment immediately for wear/damage; Critical wear metals - schedule immediate inspection; Viscosity critically high - change lubricant immediately; Critical particle count - flush system and replace filters</t>
  </si>
  <si>
    <t>URGENT: Inspect equipment immediately for wear/damage; Critical wear metals - schedule immediate inspection; Water detected - inspect seals and breathers; Severe oxidation - urgent lubricant change required; High particle count - replace filters and resample</t>
  </si>
  <si>
    <t>URGENT: Inspect equipment immediately for wear/damage; Severe oxidation - urgent lubricant change required; High particle count - replace filters and resample</t>
  </si>
  <si>
    <t>URGENT: Inspect equipment immediately for wear/damage; High wear metals - inspect bearing/gear surfaces; Elevated silicon - inspect filters and seals</t>
  </si>
  <si>
    <t>Wear Metal Alert | Lubricant Degradation | Water Ingress</t>
  </si>
  <si>
    <t>URGENT: Inspect equipment immediately for wear/damage; Critical wear metals - schedule immediate inspection; Water detected - inspect seals and breathers; Severe oxidation - urgent lubricant change required</t>
  </si>
  <si>
    <t>URGENT: Inspect equipment immediately for wear/damage; Critical wear metals - schedule immediate inspection; Severe oxidation - urgent lubricant change required; Elevated silicon - inspect filters and seals; High particle count - replace filters and resample</t>
  </si>
  <si>
    <t>URGENT: Inspect equipment immediately for wear/damage; Severe oxidation - urgent lubricant change required</t>
  </si>
  <si>
    <t>Elevated wear metals - monitor trend; Moisture detected - check breathers and seals; Oxidation increasing - monitor and plan oil change</t>
  </si>
  <si>
    <t>Viscosity critically high - change lubricant immediately; Elevated silicon - inspect filters and seals</t>
  </si>
  <si>
    <t>Cement Mill #1 Inlet Shoe Beating Lubrication Unit</t>
  </si>
  <si>
    <t>URGENT: Inspect equipment immediately for wear/damage; High water contamination - check seals, drain immediately; Elevated silicon - inspect filters and seals; High particle count - replace filters and resample</t>
  </si>
  <si>
    <t>Cement Mill #1 Outlet Shoe Beating Lubrication Unit</t>
  </si>
  <si>
    <t>Water detected - inspect seals and breathers; Elevated silicon - inspect filters and seals</t>
  </si>
  <si>
    <t>Cement Mill #1 Gearbox Lubrication Unit</t>
  </si>
  <si>
    <t>URGENT: Inspect equipment immediately for wear/damage; Water detected - inspect seals and breathers; Elevated silicon - inspect filters and seals; High particle count - replace filters and resample</t>
  </si>
  <si>
    <t>Cement Mill #1 Separator Gearbox</t>
  </si>
  <si>
    <t>Elevated silicon - inspect filters and seals</t>
  </si>
  <si>
    <t>Cement Mill #2 Bucket Elevator Gearbox</t>
  </si>
  <si>
    <t>Cement Mill #2 Inlet Shoe Beating Lubrication Unit</t>
  </si>
  <si>
    <t>URGENT: Inspect equipment immediately for wear/damage; High wear metals - inspect bearing/gear surfaces; High water contamination - check seals, drain immediately; Very high silicon - check/replace air filters and seals</t>
  </si>
  <si>
    <t>Cement Mill #2 Outlet Shoe Beating Lubrication Unit</t>
  </si>
  <si>
    <t>Cement Mill #2 Gearbox Lubrication Unit</t>
  </si>
  <si>
    <t>URGENT: Inspect equipment immediately for wear/damage; Critical wear metals - schedule immediate inspection; Water detected - inspect seals and breathers; Very high silicon - check/replace air filters and seals; Critical particle count - flush system and replace filters</t>
  </si>
  <si>
    <t>Cement Mill #3 Inlet Shoe Beating Lubrication Unit</t>
  </si>
  <si>
    <t>URGENT: Inspect equipment immediately for wear/damage; High wear metals - inspect bearing/gear surfaces; High water contamination - check seals, drain immediately; Severe oxidation - urgent lubricant change required; Very high silicon - check/replace air filters and seals; High particle count - replace filters and resample</t>
  </si>
  <si>
    <t>Cement Mill #3 Outlet Shoe Beating Lubrication Unit</t>
  </si>
  <si>
    <t>Cement Mill #3 Gearbox Lubrication Unit</t>
  </si>
  <si>
    <t>URGENT: Inspect equipment immediately for wear/damage; Critical wear metals - schedule immediate inspection; High water contamination - check seals, drain immediately; Very high silicon - check/replace air filters and seals; Critical particle count - flush system and replace filters</t>
  </si>
  <si>
    <t>Cement Mill #4 Inlet Shoe Beating Lubrication Unit</t>
  </si>
  <si>
    <t>Cement Mill #4 Outlet Shoe Beating Lubrication Unit</t>
  </si>
  <si>
    <t>URGENT: Inspect equipment immediately for wear/damage; Critical wear metals - schedule immediate inspection; High water contamination - check seals, drain immediately; Elevated silicon - inspect filters and seals; High particle count - replace filters and resample</t>
  </si>
  <si>
    <t>Cement Mill #4 Gearbox Lubrication Unit</t>
  </si>
  <si>
    <t>URGENT: Inspect equipment immediately for wear/damage; High wear metals - inspect bearing/gear surfaces; High water contamination - check seals, drain immediately; Very high silicon - check/replace air filters and seals; Critical particle count - flush system and replace filters</t>
  </si>
  <si>
    <t>Cement Mill #4 Separator Gearbox</t>
  </si>
  <si>
    <t>Cement Mill #1 Belt Bucket Elevator Gearbox</t>
  </si>
  <si>
    <t>Cement Mill #1 Bucket Elevator Gearbox</t>
  </si>
  <si>
    <t>Cement Mill #2 Separator Gearbox</t>
  </si>
  <si>
    <t>Cement Mill #3 Separator Gearbox</t>
  </si>
  <si>
    <t>Elevated wear metals - monitor trend; Silicon elevated - check air filtration and seals</t>
  </si>
  <si>
    <t>Cement Mill #2 Belt Bucket Elevator Gearbox</t>
  </si>
  <si>
    <t>Cement Mill #3 Belt Bucket Elevator Gearbox</t>
  </si>
  <si>
    <t>Cement Mill #4 Belt Bucket Elevator Gearbox</t>
  </si>
  <si>
    <t>Manfucture</t>
  </si>
  <si>
    <t xml:space="preserve">Last oil change Date </t>
  </si>
  <si>
    <t>Oil Change Interval:</t>
  </si>
  <si>
    <t xml:space="preserve">Sample Date </t>
  </si>
  <si>
    <t xml:space="preserve">Last Oil Change Date </t>
  </si>
  <si>
    <t xml:space="preserve">Contamination Rating </t>
  </si>
  <si>
    <t>10-Sep-2024</t>
  </si>
  <si>
    <t>28-Nov-2024</t>
  </si>
  <si>
    <t>18-Jun-2025</t>
  </si>
  <si>
    <t>17-Nov-2025</t>
  </si>
  <si>
    <t>26-Apr-2026</t>
  </si>
  <si>
    <t>OIL ANALYSIS – ACTION PLAN TRACKER</t>
  </si>
  <si>
    <t>FILTER BY MONTH:</t>
  </si>
  <si>
    <t>All Years</t>
  </si>
  <si>
    <t>All Months</t>
  </si>
  <si>
    <t>← Select month to filter action plan view</t>
  </si>
  <si>
    <t>STATUS SUMMARY</t>
  </si>
  <si>
    <t>Open Actions:</t>
  </si>
  <si>
    <t>In Progress:</t>
  </si>
  <si>
    <t>Completed:</t>
  </si>
  <si>
    <t>Overdue:</t>
  </si>
  <si>
    <t>Total Actions:</t>
  </si>
  <si>
    <t>Ac. No.</t>
  </si>
  <si>
    <t>Revision Date</t>
  </si>
  <si>
    <t xml:space="preserve">Sample Result </t>
  </si>
  <si>
    <t>Last
Change</t>
  </si>
  <si>
    <t xml:space="preserve">Contractor 
Action </t>
  </si>
  <si>
    <t xml:space="preserve">Contractor </t>
  </si>
  <si>
    <t>Completed Date</t>
  </si>
  <si>
    <t xml:space="preserve">Prev. Month 
Agreed Action </t>
  </si>
  <si>
    <t xml:space="preserve">ACC Action </t>
  </si>
  <si>
    <t>Agreed Action</t>
  </si>
  <si>
    <t xml:space="preserve"> Heavily contaminated ( visible sediment ) for many samples 
water contamination (0.050 )
elevated oil visc. (311)</t>
  </si>
  <si>
    <t>Closed</t>
  </si>
  <si>
    <t>Oil will be changed next PM</t>
  </si>
  <si>
    <t>RHI</t>
  </si>
  <si>
    <t>Change oil</t>
  </si>
  <si>
    <t>Oil need to change due to high viscocity and  Heavily contaminated ( visible sediment ) for many samples</t>
  </si>
  <si>
    <t>Heavily contaminated ( visible sediment )</t>
  </si>
  <si>
    <t>change oil </t>
  </si>
  <si>
    <t>Change Oil due to Heavily contaminated ( visible sediment ) for many samples</t>
  </si>
  <si>
    <t>Exessive Iron Level, Reached 55
Visable sediment ( heavily contamination )</t>
  </si>
  <si>
    <t>No sample after changing oil</t>
  </si>
  <si>
    <t>Sample the new oil this month</t>
  </si>
  <si>
    <t>Elevated oil viscocity, Reached 77.2
Visable sediment ( heavily contamination )</t>
  </si>
  <si>
    <t>No sample after that and no action recorded for changing oil</t>
  </si>
  <si>
    <t>Resample oil during this month</t>
  </si>
  <si>
    <t>Missing sample at DEC 2025</t>
  </si>
  <si>
    <t>sample is heavily contaminated ( visible sediment)</t>
  </si>
  <si>
    <t>visable sediment ( one sample)</t>
  </si>
  <si>
    <t>Resample the oil</t>
  </si>
  <si>
    <t>Elevated Tan , Excessive water contamination</t>
  </si>
  <si>
    <t>NO Action or resampled</t>
  </si>
  <si>
    <t>Elevated Tan , Excessive water contamination, reduced oil viscocity</t>
  </si>
  <si>
    <t>Excessive water contamination, reduced oil viscocity</t>
  </si>
  <si>
    <t>Elevated iron level 
Heaviely contaminated ( visible sediment )</t>
  </si>
  <si>
    <t>Missing sample for more than 1 year</t>
  </si>
  <si>
    <t>sample on monthly basis</t>
  </si>
  <si>
    <t xml:space="preserve">Elevated Silicon Level, Reached 53
Redused Oil Vicocity </t>
  </si>
  <si>
    <t>Change oil due to high Si and reduced oil viscocity</t>
  </si>
  <si>
    <t>Elevated Silicon Level
Heaviely contaminated ( visible sediment )</t>
  </si>
  <si>
    <t>reduced oil viscosity 45.5</t>
  </si>
  <si>
    <t>oil need to change due to lower viscocity</t>
  </si>
  <si>
    <t>reduced oil viscosity 46</t>
  </si>
  <si>
    <t>Missing sample on Dec 2025</t>
  </si>
  <si>
    <t>no action or resampled</t>
  </si>
  <si>
    <t>Oil need to change , flushing oil circuit , and resample</t>
  </si>
  <si>
    <t>Oil need to resample</t>
  </si>
  <si>
    <t>Oil need to change</t>
  </si>
  <si>
    <t>Resample this month </t>
  </si>
  <si>
    <t>Resample this month again</t>
  </si>
  <si>
    <t>No action needed</t>
  </si>
  <si>
    <t>Change Oil due to Heavily contaminated ( visible sediment ) for two samples</t>
  </si>
  <si>
    <t>" Heavily contaminated ( visible sediment ) for many samples 
reduced oil visc. (219.3)"</t>
  </si>
  <si>
    <t>oil need to change and internals inspection </t>
  </si>
  <si>
    <t>Change Oil</t>
  </si>
  <si>
    <t>resample this month</t>
  </si>
  <si>
    <t>Change oil </t>
  </si>
  <si>
    <t>Resample oil due to high contamination</t>
  </si>
  <si>
    <t>Resample oil or change it</t>
  </si>
  <si>
    <t>Change oil and check pump condition </t>
  </si>
  <si>
    <t>Exessive wear metal Level, Reached 212
Visable sediment ( heavily contamination )</t>
  </si>
  <si>
    <t>Oil need to change due to visable sediment ( All samples)</t>
  </si>
  <si>
    <t>Change oil and check gearbox internals</t>
  </si>
  <si>
    <t>Change oil and check gearbox internals </t>
  </si>
  <si>
    <t>Elevated Silicon Level, Reached 78
Visable sediment ( heavily contamination )
Reduced oil visc, reached  191.8</t>
  </si>
  <si>
    <t>Oil need to change due to visable sediment ( All samples) and  lower visc.</t>
  </si>
  <si>
    <t>Resample oil during this month </t>
  </si>
  <si>
    <t>Resample this month again , sample will be every 3 months</t>
  </si>
  <si>
    <t>low oil viscocity (46.7)</t>
  </si>
  <si>
    <t>Oil will be resampled</t>
  </si>
  <si>
    <t>oil changed on last overhaul </t>
  </si>
  <si>
    <t>Resample required</t>
  </si>
  <si>
    <t>Change on the next stoppage</t>
  </si>
  <si>
    <t>Oil will be filtered</t>
  </si>
  <si>
    <t>Flushing and check source of contamination ,</t>
  </si>
  <si>
    <t>wear metal level ( ferrous debris) Fe(193 ) Cu (93)
elevated Si level ( 131)
water contamination 
reduced oil visc. (40.1)</t>
  </si>
  <si>
    <t>Oil changed on 18/3/2026</t>
  </si>
  <si>
    <t>resample today , check filters </t>
  </si>
  <si>
    <t>Oil need to change and determine the metal source</t>
  </si>
  <si>
    <t>sample is required</t>
  </si>
  <si>
    <t xml:space="preserve">Water contamination ( 0.500)
Heavily contaminated ( visible sediment ) for two samples </t>
  </si>
  <si>
    <t>Water will be separated from the oil using the new water separator unit</t>
  </si>
  <si>
    <t>Filter oil and resample this week before filtering </t>
  </si>
  <si>
    <t>Change oil due to water and visible sediment contamination , elemainate water source</t>
  </si>
  <si>
    <t>Resample is required , waiting analysis this moth</t>
  </si>
  <si>
    <t>Change Oil </t>
  </si>
  <si>
    <t>Low visc (45.6 )</t>
  </si>
  <si>
    <t>Resample oil</t>
  </si>
  <si>
    <t>Empty tank and check if there is any leakage on the next p.m.</t>
  </si>
  <si>
    <t>filter oil and remove water , resample is required</t>
  </si>
  <si>
    <t>urgent resample this month</t>
  </si>
  <si>
    <t xml:space="preserve">"heavily contamination ( visible sedment ) one sample 
elevated visc ( 797.8 ) </t>
  </si>
  <si>
    <t>Waiting Stoppage</t>
  </si>
  <si>
    <t>Change oil next pm</t>
  </si>
  <si>
    <t>Resample the oil </t>
  </si>
  <si>
    <t>Change oil next stoppage</t>
  </si>
  <si>
    <t>reduced oil visc. ( 46.6 )</t>
  </si>
  <si>
    <t>resample oil</t>
  </si>
  <si>
    <t>332.FN110 (Fr.B</t>
  </si>
  <si>
    <t>Changed on the last shutdown</t>
  </si>
  <si>
    <t>332.FN110(Fx.B)</t>
  </si>
  <si>
    <t>Change oil next PM</t>
  </si>
  <si>
    <t>Change oil next shutdown</t>
  </si>
  <si>
    <t>Resample this month after adding oil</t>
  </si>
  <si>
    <t>resample 1 housing on three tyres during this month </t>
  </si>
  <si>
    <t>Oil will be change next shutdown , resample oil after 4 moths from changing</t>
  </si>
  <si>
    <t>Heavily contaminated ( visible sediment ) for many samples 
elevated Fe (68 ) 
elevated SI (55)</t>
  </si>
  <si>
    <t>will follow up</t>
  </si>
  <si>
    <t>Change oil due to heavily contamination and elevated Fe</t>
  </si>
  <si>
    <t>Heavily contaminated ( visible sediment ) for many samples 
elevated Cu (68) 
elevated Fe (50)
elevated Si (16)</t>
  </si>
  <si>
    <t xml:space="preserve">Heavily contaminated ( visible sediment ) for many samples 
elevated Cu (53) </t>
  </si>
  <si>
    <t>Change oil due to heavily contamination and elevated Cu</t>
  </si>
  <si>
    <t>Heavily contaminated ( visible sediment ) for many samples 
elevated Fe (51)
elevated Si (25)</t>
  </si>
  <si>
    <t>Oil chnaged, resample required on the next month </t>
  </si>
  <si>
    <t>Resample this month</t>
  </si>
  <si>
    <t>"heavily contamination ( visible sedment ) many samples 
elevated water ( 0.050)
elevated visc (418.4)</t>
  </si>
  <si>
    <t>signed with different  oil type , XP460 instead of SHC634</t>
  </si>
  <si>
    <t>Change Oil due to Heavily contaminated ( visible sediment ) for many samples 
and elevated Visc</t>
  </si>
  <si>
    <t>heavily contamination ( visible sedment ) many samples 
elevated wear metal Cu (131)
elevated ferrous debris</t>
  </si>
  <si>
    <t>Change Oil due to Heavily contaminated ( visible sediment ) for many samples 
and elevated ferrous debris</t>
  </si>
  <si>
    <t>heavily contamination ( visible sedment ) many samples 
elevated wear metal Cu (73)</t>
  </si>
  <si>
    <t>Heavily contaminated ( visible sediment )
Elevated Si level (18)</t>
  </si>
  <si>
    <t>Will change next SD</t>
  </si>
  <si>
    <t>chnage oil or flushing , resample after flushing</t>
  </si>
  <si>
    <t>O-103</t>
  </si>
  <si>
    <t>MOBIL SHC 639</t>
  </si>
  <si>
    <t xml:space="preserve">elevated wear metal Cr (29 )
elevated water ( 0.100)
reduced Visc ( 44.7) for many sample </t>
  </si>
  <si>
    <t>oil will be change after changing hoses on the next PM</t>
  </si>
  <si>
    <t>Change oil due to low viscosity for many sample and metal contamination</t>
  </si>
  <si>
    <t>Urgent Change oil next PM</t>
  </si>
  <si>
    <t>2026-06-14T19:18:50.256Z</t>
  </si>
  <si>
    <t>Heavily contaminated ( visible sediment )
water contamination (0.050)</t>
  </si>
  <si>
    <t>Oil will resampled</t>
  </si>
  <si>
    <t>Resample Oil</t>
  </si>
  <si>
    <t>heavily contamination ( visible sedment ) two samples 
elevated Cu ( 69 )
elevated Fe (139 )
eleavted Si ( 106 )</t>
  </si>
  <si>
    <t>Oil will be changed</t>
  </si>
  <si>
    <t>Resample </t>
  </si>
  <si>
    <t>change oil and Check element</t>
  </si>
  <si>
    <t>urgent Change oil and filter today</t>
  </si>
  <si>
    <t>Resample this week </t>
  </si>
  <si>
    <t>Check oil changing or not ?</t>
  </si>
  <si>
    <t>Filtering oil and resample next month</t>
  </si>
  <si>
    <t>Resample is required</t>
  </si>
  <si>
    <t>Resample oil </t>
  </si>
  <si>
    <t>Elevated Si level</t>
  </si>
  <si>
    <t>Under supervision</t>
  </si>
  <si>
    <t>Heavily contaminated ( visible sediment )
Elevated Tan 
Elevated Oil visc 
Elevated water contamination</t>
  </si>
  <si>
    <t>In Progress</t>
  </si>
  <si>
    <t>Resample after separate the water</t>
  </si>
  <si>
    <t>Change or adding oil and  resample</t>
  </si>
  <si>
    <t>Resample Done</t>
  </si>
  <si>
    <t>Oil Changed</t>
  </si>
  <si>
    <t>INSUFFICIENT SAMPLE VOLUME</t>
  </si>
  <si>
    <t>Open</t>
  </si>
  <si>
    <t>Heavily contaminated ( visible sediment )
Excesive iron level 
Excesive oxidation
Elevated water contamination</t>
  </si>
  <si>
    <t>Change oil on the next PM</t>
  </si>
  <si>
    <t>Oil changed last stoppage 4/5/2026</t>
  </si>
  <si>
    <t>Check if oil changed before sample or not</t>
  </si>
  <si>
    <t>oil changed</t>
  </si>
  <si>
    <t>Heavily contaminated ( visible sediment ) for 2 samples</t>
  </si>
  <si>
    <t>Oil has been flushing</t>
  </si>
  <si>
    <t>still we have contamination , check source of contamination, flushing is required and resample</t>
  </si>
  <si>
    <t>321.LQ120 (Tank)</t>
  </si>
  <si>
    <t>Elevated water contamination</t>
  </si>
  <si>
    <t>separate the water</t>
  </si>
  <si>
    <t>elemnate water source , and resample</t>
  </si>
  <si>
    <t>separate the water by the new separate machine</t>
  </si>
  <si>
    <t>321.LQ145 (GB)</t>
  </si>
  <si>
    <t>Heavily contaminated ( visible sediment ) more than 3 samples 
Elevated water contamination</t>
  </si>
  <si>
    <t>Check gearbox internal</t>
  </si>
  <si>
    <t>Seaparate water and filtering the oil on the next Pm , resample this month after action done</t>
  </si>
  <si>
    <t>ASEC</t>
  </si>
  <si>
    <t>Heavily contaminated ( visible sediment ) for 1 sample</t>
  </si>
  <si>
    <t>Flushing and check source of contamination , and resample</t>
  </si>
  <si>
    <t>Filtering the oil this month and resample</t>
  </si>
  <si>
    <t xml:space="preserve">excessive water contamination 
elevated Tan </t>
  </si>
  <si>
    <t>Remove water and resampled (changed 9/3/2026)</t>
  </si>
  <si>
    <t>filter oil and remove water, resample</t>
  </si>
  <si>
    <t>Adding oil to reduce tan level and seperate water, resample after action</t>
  </si>
  <si>
    <t>filtering the oil and resample</t>
  </si>
  <si>
    <t>ordered, delivary date 15 may 2026</t>
  </si>
  <si>
    <t>Reduced oil viscocity</t>
  </si>
  <si>
    <t>oil will be change on the next PM</t>
  </si>
  <si>
    <t>oil changed on the last stoppage</t>
  </si>
  <si>
    <t xml:space="preserve">332.FN400 </t>
  </si>
  <si>
    <t>Change oil on the next stoppage</t>
  </si>
  <si>
    <t xml:space="preserve">Heavily contaminated ( visible sediment ) for many samples
elevated tan 
excessive water contamination </t>
  </si>
  <si>
    <t>to be checked</t>
  </si>
  <si>
    <t>resample the oil</t>
  </si>
  <si>
    <t xml:space="preserve">Heavily contaminated ( visible sediment ) for 1 sample after changing 
elevated tan 
excessive water contamination </t>
  </si>
  <si>
    <t>Oil will be resampled (Changed lasd SD)</t>
  </si>
  <si>
    <t>Check vent , resample the oil</t>
  </si>
  <si>
    <t>LEVATED FERROUS DEBRIS</t>
  </si>
  <si>
    <t>Filtering oil and resample</t>
  </si>
  <si>
    <t>added oil, resample after 2 months</t>
  </si>
  <si>
    <t>scheduled</t>
  </si>
  <si>
    <t xml:space="preserve">Heavily contaminated ( visible sediment ) for many samples 
excessive water contamination </t>
  </si>
  <si>
    <t>Change next stoppage</t>
  </si>
  <si>
    <t>Change oil next stoppage , Check cooling unit for water contamination</t>
  </si>
  <si>
    <t>Heavily contaminated ( visible sediment ) for 3 samples</t>
  </si>
  <si>
    <t>recomended to take sample each 2 month</t>
  </si>
  <si>
    <t>Sample the oil</t>
  </si>
  <si>
    <t>RHI request to take sample each 2 months</t>
  </si>
  <si>
    <t xml:space="preserve">Heavily contaminated ( visible sediment ) for many samples 
</t>
  </si>
  <si>
    <t>Change oil or flushing</t>
  </si>
  <si>
    <t>Flushing the oil and resample</t>
  </si>
  <si>
    <t>change the oil</t>
  </si>
  <si>
    <t>Oil changed last PM</t>
  </si>
  <si>
    <t>oil changed , resample next month</t>
  </si>
  <si>
    <t>no comment</t>
  </si>
  <si>
    <t>excessive water contamination 
Reduced oil viscosity</t>
  </si>
  <si>
    <t>separate water and resample the oil</t>
  </si>
  <si>
    <t>seperate water aand adding oil</t>
  </si>
  <si>
    <t>Heavily contaminated ( visible sediment ) more than 3 samples 
Elevated SI level</t>
  </si>
  <si>
    <t>Resample this month , oil will be change on the next stoppage</t>
  </si>
  <si>
    <t>It will be resampled</t>
  </si>
  <si>
    <t>Oil will be changed according to the approved schedule</t>
  </si>
  <si>
    <t>EQUIPMENT REGISTRY</t>
  </si>
  <si>
    <t>Asset ID</t>
  </si>
  <si>
    <t>Asset Class</t>
  </si>
  <si>
    <t>Lubricant Grade</t>
  </si>
  <si>
    <t xml:space="preserve">Interval </t>
  </si>
  <si>
    <t>Manufacturer</t>
  </si>
  <si>
    <t>Model</t>
  </si>
  <si>
    <t xml:space="preserve">Area </t>
  </si>
  <si>
    <t>Gear Drive</t>
  </si>
  <si>
    <t>MOBIL SHC 630</t>
  </si>
  <si>
    <t>BREVINI</t>
  </si>
  <si>
    <t>SL2PLB08516/FS/223.8/IEC 225 C</t>
  </si>
  <si>
    <t xml:space="preserve">Kiln </t>
  </si>
  <si>
    <t>SL2 PLB 085.16/FS/223,8ILNC22</t>
  </si>
  <si>
    <t>MOBIL SHC 632</t>
  </si>
  <si>
    <t>ROSSI</t>
  </si>
  <si>
    <t>R 3I 320 UP2A / 30 - B3</t>
  </si>
  <si>
    <t>H02 R 3I 400 UP1A / 35.9</t>
  </si>
  <si>
    <t>Hydraulic</t>
  </si>
  <si>
    <t>MOBIL DTE 25</t>
  </si>
  <si>
    <t>MOBILGEAR 600 XP 320</t>
  </si>
  <si>
    <t>FLENDER</t>
  </si>
  <si>
    <t>FLENDER H 3 SH 10 B</t>
  </si>
  <si>
    <t>H1SH-11+ OLOO 06</t>
  </si>
  <si>
    <t>H02 - R 4I 401 UP1L / 191</t>
  </si>
  <si>
    <t>G05 - R 3I 320 UP2A / 37.4</t>
  </si>
  <si>
    <t>H02 - R 3I 400 UP1L / 45.2 - B</t>
  </si>
  <si>
    <t>G0 5R 3I 360 UP2A / 46.8</t>
  </si>
  <si>
    <t>MR C2I 360 UO2V - 250M 4...B5 /</t>
  </si>
  <si>
    <t>MR ICI 160 UO3A - 132M 4 ... B5</t>
  </si>
  <si>
    <t>FLS</t>
  </si>
  <si>
    <t>SF 4X6F CROSS BAR COOLER</t>
  </si>
  <si>
    <t>MOBILEGEAR 600 XP 320</t>
  </si>
  <si>
    <t>B3 DH 10 D</t>
  </si>
  <si>
    <t>MOBIL DTE 26</t>
  </si>
  <si>
    <t>PMC</t>
  </si>
  <si>
    <t>ATOX MILL 45 HYDRAULIC TENSION</t>
  </si>
  <si>
    <t>MAAG</t>
  </si>
  <si>
    <t>WPU-142/C-330 ATOX 45</t>
  </si>
  <si>
    <t>B3SV11</t>
  </si>
  <si>
    <t>Z108-M160L4</t>
  </si>
  <si>
    <t>MOBILE DTE 26</t>
  </si>
  <si>
    <t>B3 SV11</t>
  </si>
  <si>
    <t>H1SH13-3,96-FC</t>
  </si>
  <si>
    <t>MOBIL DTE OIL HEAVY MEDIUM</t>
  </si>
  <si>
    <t>Main EP Fan Gear drive L#2</t>
  </si>
  <si>
    <t>Final fan free bearings</t>
  </si>
  <si>
    <t>Final fan fixed bearings</t>
  </si>
  <si>
    <t>PREHEATER HOTDISK GATE HYD.</t>
  </si>
  <si>
    <t>SEW</t>
  </si>
  <si>
    <t>PARKER</t>
  </si>
  <si>
    <t>MOBILGEAR 600 XP 1000</t>
  </si>
  <si>
    <t>H3SH20</t>
  </si>
  <si>
    <t>MOBIL SHC 634</t>
  </si>
  <si>
    <t>MOBILGEAR 600 XP 460</t>
  </si>
  <si>
    <t>H1SH9-3,55-FC</t>
  </si>
  <si>
    <t>BOSCH</t>
  </si>
  <si>
    <t>MOBIL SHC RARUS 68</t>
  </si>
  <si>
    <t>ATLAS COPCO</t>
  </si>
  <si>
    <t>ATOX MILL 25 HYD. TENSION</t>
  </si>
  <si>
    <t>60181, WPU-27/C ATOX 25</t>
  </si>
  <si>
    <t>MOBIL GLYGOYLE 220</t>
  </si>
  <si>
    <t>BA 500 EN 06.03</t>
  </si>
  <si>
    <t>SL 2 PLB 0 85.16 / FS / 349,3</t>
  </si>
  <si>
    <t>Cement</t>
  </si>
  <si>
    <t>G05 R 3I 320 UP2A / 37.4</t>
  </si>
  <si>
    <t>NA</t>
  </si>
  <si>
    <t>MOBIL VACUOLINE 528</t>
  </si>
  <si>
    <t xml:space="preserve">ACC Oil Analysis Database — V2 Draft (Revision)</t>
  </si>
  <si>
    <t xml:space="preserve">All existing V1 engineering tabs are preserved unchanged in this revision.</t>
  </si>
  <si>
    <t xml:space="preserve">New sheets below are additive only: OCR staging/review, LP register, audit/config.</t>
  </si>
  <si>
    <t xml:space="preserve">See OIL_ANALYSIS_DATABASE_WORKBOOK_V2_PROPOSAL_REVISION.md and WORKBOOK_CHANGE_LOG_REVISION.md.</t>
  </si>
  <si>
    <t xml:space="preserve">LP_ID</t>
  </si>
  <si>
    <t xml:space="preserve">Equipment_Code</t>
  </si>
  <si>
    <t xml:space="preserve">Lubrication_Point</t>
  </si>
  <si>
    <t xml:space="preserve">OA_Interval_Days</t>
  </si>
  <si>
    <t xml:space="preserve">Contractor</t>
  </si>
  <si>
    <t xml:space="preserve">Sample_ID</t>
  </si>
  <si>
    <t xml:space="preserve">Equipment_Code</t>
  </si>
  <si>
    <t xml:space="preserve">Extracted_Fields_JSON</t>
  </si>
  <si>
    <t xml:space="preserve">Confidence</t>
  </si>
  <si>
    <t xml:space="preserve">Status</t>
  </si>
  <si>
    <t xml:space="preserve">Imported_At</t>
  </si>
  <si>
    <t xml:space="preserve">OCR Review — engineer approves before promotion; OCR never writes directly to Data_Entry</t>
  </si>
  <si>
    <t xml:space="preserve">Sample_ID</t>
  </si>
  <si>
    <t xml:space="preserve">Equipment_Code</t>
  </si>
  <si>
    <t xml:space="preserve">Extracted_Fields</t>
  </si>
  <si>
    <t xml:space="preserve">Reviewer</t>
  </si>
  <si>
    <t xml:space="preserve">Decision</t>
  </si>
  <si>
    <t xml:space="preserve">Promoted_At</t>
  </si>
  <si>
    <t xml:space="preserve">LP_ID</t>
  </si>
  <si>
    <t xml:space="preserve">Known_Aliases</t>
  </si>
  <si>
    <t xml:space="preserve">Last_Confirmed_By</t>
  </si>
  <si>
    <t xml:space="preserve">Last_Confirmed_At</t>
  </si>
  <si>
    <t xml:space="preserve">Sample_ID</t>
  </si>
  <si>
    <t xml:space="preserve">PDF_File_Name</t>
  </si>
  <si>
    <t xml:space="preserve">Drive_Link</t>
  </si>
  <si>
    <t xml:space="preserve">Archived_At</t>
  </si>
  <si>
    <t xml:space="preserve">Timestamp</t>
  </si>
  <si>
    <t xml:space="preserve">Actor</t>
  </si>
  <si>
    <t xml:space="preserve">Action</t>
  </si>
  <si>
    <t xml:space="preserve">Sample_ID</t>
  </si>
  <si>
    <t xml:space="preserve">Details</t>
  </si>
  <si>
    <t xml:space="preserve">Rule</t>
  </si>
  <si>
    <t xml:space="preserve">Target</t>
  </si>
  <si>
    <t xml:space="preserve">Status</t>
  </si>
  <si>
    <t xml:space="preserve">Data_Entry is sole production sample table</t>
  </si>
  <si>
    <t xml:space="preserve">Data_Entry</t>
  </si>
  <si>
    <t xml:space="preserve">Enforced</t>
  </si>
  <si>
    <t xml:space="preserve">OCR never writes directly to Data_Entry</t>
  </si>
  <si>
    <t xml:space="preserve">OCR_Import_Queue -&gt; OCR_Review -&gt; Data_Entry</t>
  </si>
  <si>
    <t xml:space="preserve">Enforced</t>
  </si>
  <si>
    <t xml:space="preserve">Action Tracker is Oil Analysis viewer only</t>
  </si>
  <si>
    <t xml:space="preserve">Action Tracker</t>
  </si>
  <si>
    <t xml:space="preserve">Enforced</t>
  </si>
  <si>
    <t xml:space="preserve">Oil Change Log is viewer only (Oil Lubrication source)</t>
  </si>
  <si>
    <t xml:space="preserve">Oil Change Log</t>
  </si>
  <si>
    <t xml:space="preserve">Enforced</t>
  </si>
  <si>
    <t xml:space="preserve">Source_Module</t>
  </si>
  <si>
    <t xml:space="preserve">Last_Sync_At</t>
  </si>
  <si>
    <t xml:space="preserve">Record_Count</t>
  </si>
</sst>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0.0"/>
    <numFmt numFmtId="165" formatCode="0.000"/>
    <numFmt numFmtId="166" formatCode="dd\-mmm\-yyyy"/>
    <numFmt numFmtId="167" formatCode="mmm&quot;-&quot;yy"/>
    <numFmt numFmtId="168" formatCode="mmm-d"/>
    <numFmt numFmtId="169" formatCode="m/d/yyyy"/>
    <numFmt numFmtId="170" formatCode="d mmm yyyy"/>
    <numFmt numFmtId="171" formatCode="mm/dd/yyyy"/>
    <numFmt numFmtId="172" formatCode="mmm&quot; &quot;yyyy"/>
    <numFmt numFmtId="173" formatCode="&quot; &quot;mmm&quot; &quot;yyyy"/>
    <numFmt numFmtId="174" formatCode="&quot; &quot;mmm&quot; &quot;yy"/>
    <numFmt numFmtId="175" formatCode="d&quot; &quot;mmm&quot; &quot;yyyy"/>
    <numFmt numFmtId="176" formatCode="yyyy-mm-dd"/>
    <numFmt numFmtId="177" formatCode="mmm yyyy"/>
    <numFmt numFmtId="178" formatCode="mmmm yyyy"/>
  </numFmts>
  <fonts count="50">
    <font>
      <sz val="11.0"/>
      <color theme="1"/>
      <name val="Calibri"/>
      <scheme val="minor"/>
    </font>
    <font>
      <b/>
      <sz val="15.0"/>
      <color rgb="FFFFFFFF"/>
      <name val="Arial"/>
    </font>
    <font/>
    <font>
      <sz val="11.0"/>
      <color theme="1"/>
      <name val="Calibri"/>
    </font>
    <font>
      <i/>
      <color rgb="FFFFFFFF"/>
      <name val="Arial"/>
    </font>
    <font>
      <b/>
      <sz val="11.0"/>
      <color rgb="FFFFFFFF"/>
      <name val="Arial"/>
    </font>
    <font>
      <b/>
      <sz val="12.0"/>
      <color rgb="FF1A5276"/>
      <name val="Arial"/>
    </font>
    <font>
      <i/>
      <sz val="9.0"/>
      <color rgb="FF5D6D7E"/>
      <name val="Arial"/>
    </font>
    <font>
      <b/>
      <sz val="9.0"/>
      <color rgb="FFFFFFFF"/>
      <name val="Arial"/>
    </font>
    <font>
      <sz val="9.0"/>
      <color rgb="FF2C3E50"/>
      <name val="Arial"/>
    </font>
    <font>
      <b/>
      <sz val="8.0"/>
      <color rgb="FFFFFFFF"/>
      <name val="Arial"/>
    </font>
    <font>
      <sz val="8.0"/>
      <color theme="1"/>
      <name val="Arial"/>
    </font>
    <font>
      <b/>
      <sz val="8.0"/>
      <color theme="1"/>
      <name val="Arial"/>
    </font>
    <font>
      <b/>
      <sz val="10.0"/>
      <color rgb="FFFFFFFF"/>
      <name val="Arial"/>
    </font>
    <font>
      <b/>
      <sz val="9.0"/>
      <color rgb="FF1F497D"/>
      <name val="Arial"/>
    </font>
    <font>
      <b/>
      <sz val="9.0"/>
      <color theme="1"/>
      <name val="Arial"/>
    </font>
    <font>
      <sz val="9.0"/>
      <color theme="1"/>
      <name val="Arial"/>
    </font>
    <font>
      <b/>
      <sz val="8.0"/>
      <color rgb="FFC0392B"/>
      <name val="Arial"/>
    </font>
    <font>
      <b/>
      <sz val="16.0"/>
      <color rgb="FFFFFFFF"/>
      <name val="Arial"/>
    </font>
    <font>
      <sz val="9.0"/>
      <color rgb="FFFFFFFF"/>
      <name val="Arial"/>
    </font>
    <font>
      <b/>
      <sz val="11.0"/>
      <color rgb="FFC00000"/>
      <name val="Arial"/>
    </font>
    <font>
      <i/>
      <sz val="9.0"/>
      <color rgb="FF595959"/>
      <name val="Arial"/>
    </font>
    <font>
      <sz val="8.0"/>
      <color rgb="FFCCCCCC"/>
      <name val="Arial"/>
    </font>
    <font>
      <b/>
      <sz val="9.0"/>
      <color rgb="FF404040"/>
      <name val="Arial"/>
    </font>
    <font>
      <b/>
      <sz val="10.0"/>
      <color theme="1"/>
      <name val="Arial"/>
    </font>
    <font>
      <sz val="10.0"/>
      <color theme="1"/>
      <name val="Arial"/>
    </font>
    <font>
      <i/>
      <sz val="8.0"/>
      <color rgb="FF595959"/>
      <name val="Arial"/>
    </font>
    <font>
      <b/>
      <sz val="11.0"/>
      <color rgb="FFFFFFFF"/>
      <name val="Roboto"/>
    </font>
    <font>
      <color theme="1"/>
      <name val="Arial"/>
    </font>
    <font>
      <color theme="1"/>
      <name val="Roboto"/>
    </font>
    <font>
      <color rgb="FFFFFFFF"/>
      <name val="Roboto"/>
    </font>
    <font>
      <color theme="1"/>
      <name val="Calibri"/>
      <scheme val="minor"/>
    </font>
    <font>
      <b/>
      <sz val="12.0"/>
      <color rgb="FFFFFFFF"/>
      <name val="Arial"/>
    </font>
    <font>
      <b/>
      <sz val="13.0"/>
      <color rgb="FFFFFFFF"/>
      <name val="Arial"/>
    </font>
    <font>
      <b/>
      <color rgb="FFFFFFFF"/>
      <name val="Calibri"/>
      <scheme val="minor"/>
    </font>
    <font>
      <sz val="11.0"/>
      <color rgb="FF000000"/>
      <name val="Roboto"/>
    </font>
    <font>
      <color theme="1"/>
      <name val="Calibri"/>
    </font>
    <font>
      <b/>
      <sz val="11.0"/>
      <color rgb="FF2C3E50"/>
      <name val="Arial"/>
    </font>
    <font>
      <b/>
      <sz val="10.0"/>
      <color rgb="FF2C3E50"/>
      <name val="Arial"/>
    </font>
    <font>
      <b/>
      <sz val="9.0"/>
      <color rgb="FF2C3E50"/>
      <name val="Arial"/>
    </font>
    <font>
      <b/>
      <sz val="11.0"/>
      <color rgb="FFEFEFEF"/>
      <name val="Arial"/>
    </font>
    <font>
      <sz val="11.0"/>
      <color rgb="FFFFFFFF"/>
      <name val="Calibri"/>
    </font>
    <font>
      <color rgb="FFFFFFFF"/>
      <name val="Calibri"/>
    </font>
    <font>
      <sz val="12.0"/>
      <color theme="1"/>
      <name val="Arial"/>
    </font>
    <font>
      <b/>
      <sz val="14.0"/>
      <color rgb="FFFFFFFF"/>
      <name val="Arial"/>
    </font>
    <font>
      <b/>
      <sz val="10.0"/>
      <color rgb="FF404040"/>
      <name val="Arial"/>
    </font>
    <font>
      <b/>
      <sz val="11.0"/>
      <color rgb="FF1F497D"/>
      <name val="Arial"/>
    </font>
    <font>
      <sz val="9.0"/>
      <color rgb="FF000000"/>
      <name val="Arial"/>
    </font>
    <font>
      <sz val="9.0"/>
      <color theme="1"/>
      <name val="Roboto"/>
    </font>
    <font>
      <b/>
      <sz val="9.0"/>
      <color rgb="FFC00000"/>
      <name val="Arial"/>
    </font>
  </fonts>
  <fills count="44">
    <fill>
      <patternFill patternType="none"/>
    </fill>
    <fill>
      <patternFill patternType="lightGray"/>
    </fill>
    <fill>
      <patternFill patternType="solid">
        <fgColor rgb="FF1A5276"/>
        <bgColor rgb="FF1A5276"/>
      </patternFill>
    </fill>
    <fill>
      <patternFill patternType="solid">
        <fgColor rgb="FF5D6D7E"/>
        <bgColor rgb="FF5D6D7E"/>
      </patternFill>
    </fill>
    <fill>
      <patternFill patternType="solid">
        <fgColor rgb="FF2C3E50"/>
        <bgColor rgb="FF2C3E50"/>
      </patternFill>
    </fill>
    <fill>
      <patternFill patternType="solid">
        <fgColor rgb="FFFEF9E7"/>
        <bgColor rgb="FFFEF9E7"/>
      </patternFill>
    </fill>
    <fill>
      <patternFill patternType="solid">
        <fgColor rgb="FFD6EAF8"/>
        <bgColor rgb="FFD6EAF8"/>
      </patternFill>
    </fill>
    <fill>
      <patternFill patternType="solid">
        <fgColor rgb="FFE67E22"/>
        <bgColor rgb="FFE67E22"/>
      </patternFill>
    </fill>
    <fill>
      <patternFill patternType="solid">
        <fgColor rgb="FFC0392B"/>
        <bgColor rgb="FFC0392B"/>
      </patternFill>
    </fill>
    <fill>
      <patternFill patternType="solid">
        <fgColor rgb="FFFDFEFE"/>
        <bgColor rgb="FFFDFEFE"/>
      </patternFill>
    </fill>
    <fill>
      <patternFill patternType="solid">
        <fgColor rgb="FFEBF5FB"/>
        <bgColor rgb="FFEBF5FB"/>
      </patternFill>
    </fill>
    <fill>
      <patternFill patternType="solid">
        <fgColor rgb="FF1F497D"/>
        <bgColor rgb="FF1F497D"/>
      </patternFill>
    </fill>
    <fill>
      <patternFill patternType="solid">
        <fgColor rgb="FF2E75B6"/>
        <bgColor rgb="FF2E75B6"/>
      </patternFill>
    </fill>
    <fill>
      <patternFill patternType="solid">
        <fgColor rgb="FFBDD7EE"/>
        <bgColor rgb="FFBDD7EE"/>
      </patternFill>
    </fill>
    <fill>
      <patternFill patternType="solid">
        <fgColor rgb="FF404040"/>
        <bgColor rgb="FF404040"/>
      </patternFill>
    </fill>
    <fill>
      <patternFill patternType="solid">
        <fgColor rgb="FFF5F5F5"/>
        <bgColor rgb="FFF5F5F5"/>
      </patternFill>
    </fill>
    <fill>
      <patternFill patternType="solid">
        <fgColor rgb="FFFFFFFF"/>
        <bgColor rgb="FFFFFFFF"/>
      </patternFill>
    </fill>
    <fill>
      <patternFill patternType="solid">
        <fgColor rgb="FFF8F9FA"/>
        <bgColor rgb="FFF8F9FA"/>
      </patternFill>
    </fill>
    <fill>
      <patternFill patternType="solid">
        <fgColor rgb="FFFADBD8"/>
        <bgColor rgb="FFFADBD8"/>
      </patternFill>
    </fill>
    <fill>
      <patternFill patternType="solid">
        <fgColor rgb="FFC00000"/>
        <bgColor rgb="FFC00000"/>
      </patternFill>
    </fill>
    <fill>
      <patternFill patternType="solid">
        <fgColor rgb="FFFFF2CC"/>
        <bgColor rgb="FFFFF2CC"/>
      </patternFill>
    </fill>
    <fill>
      <patternFill patternType="solid">
        <fgColor rgb="FF595959"/>
        <bgColor rgb="FF595959"/>
      </patternFill>
    </fill>
    <fill>
      <patternFill patternType="solid">
        <fgColor rgb="FFF2F2F2"/>
        <bgColor rgb="FFF2F2F2"/>
      </patternFill>
    </fill>
    <fill>
      <patternFill patternType="solid">
        <fgColor rgb="FFFFE0E0"/>
        <bgColor rgb="FFFFE0E0"/>
      </patternFill>
    </fill>
    <fill>
      <patternFill patternType="solid">
        <fgColor rgb="FF00138A"/>
        <bgColor rgb="FF00138A"/>
      </patternFill>
    </fill>
    <fill>
      <patternFill patternType="solid">
        <fgColor rgb="FF26A69A"/>
        <bgColor rgb="FF26A69A"/>
      </patternFill>
    </fill>
    <fill>
      <patternFill patternType="solid">
        <fgColor rgb="FF8BC34A"/>
        <bgColor rgb="FF8BC34A"/>
      </patternFill>
    </fill>
    <fill>
      <patternFill patternType="solid">
        <fgColor rgb="FFF1C232"/>
        <bgColor rgb="FFF1C232"/>
      </patternFill>
    </fill>
    <fill>
      <patternFill patternType="solid">
        <fgColor rgb="FFA64D79"/>
        <bgColor rgb="FFA64D79"/>
      </patternFill>
    </fill>
    <fill>
      <patternFill patternType="solid">
        <fgColor rgb="FFF3F3F3"/>
        <bgColor rgb="FFF3F3F3"/>
      </patternFill>
    </fill>
    <fill>
      <patternFill patternType="solid">
        <fgColor rgb="FFDDF2F0"/>
        <bgColor rgb="FFDDF2F0"/>
      </patternFill>
    </fill>
    <fill>
      <patternFill patternType="solid">
        <fgColor rgb="FFEEF7E3"/>
        <bgColor rgb="FFEEF7E3"/>
      </patternFill>
    </fill>
    <fill>
      <patternFill patternType="solid">
        <fgColor rgb="FFFEF8E3"/>
        <bgColor rgb="FFFEF8E3"/>
      </patternFill>
    </fill>
    <fill>
      <patternFill patternType="solid">
        <fgColor rgb="FFFFF4F9"/>
        <bgColor rgb="FFFFF4F9"/>
      </patternFill>
    </fill>
    <fill>
      <patternFill patternType="solid">
        <fgColor rgb="FF262626"/>
        <bgColor rgb="FF262626"/>
      </patternFill>
    </fill>
    <fill>
      <patternFill patternType="solid">
        <fgColor rgb="FF92D050"/>
        <bgColor rgb="FF92D050"/>
      </patternFill>
    </fill>
    <fill>
      <patternFill patternType="solid">
        <fgColor rgb="FFA61C00"/>
        <bgColor rgb="FFA61C00"/>
      </patternFill>
    </fill>
    <fill>
      <patternFill patternType="solid">
        <fgColor rgb="FF7030A0"/>
        <bgColor rgb="FF7030A0"/>
      </patternFill>
    </fill>
    <fill>
      <patternFill patternType="solid">
        <fgColor rgb="FFFFFBE0"/>
        <bgColor rgb="FFFFFBE0"/>
      </patternFill>
    </fill>
    <fill>
      <patternFill patternType="solid">
        <fgColor rgb="FFE0FFE8"/>
        <bgColor rgb="FFE0FFE8"/>
      </patternFill>
    </fill>
    <fill>
      <patternFill patternType="solid">
        <fgColor rgb="FFD0E0E3"/>
        <bgColor rgb="FFD0E0E3"/>
      </patternFill>
    </fill>
    <fill>
      <patternFill patternType="solid">
        <fgColor rgb="FFB6D7A8"/>
        <bgColor rgb="FFB6D7A8"/>
      </patternFill>
    </fill>
    <fill>
      <patternFill patternType="solid">
        <fgColor rgb="FFFFC000"/>
        <bgColor rgb="FFFFC000"/>
      </patternFill>
    </fill>
    <fill>
      <patternFill patternType="solid">
        <fgColor rgb="FF375623"/>
        <bgColor rgb="FF375623"/>
      </patternFill>
    </fill>
  </fills>
  <borders count="43">
    <border/>
    <border>
      <left/>
      <top/>
      <bottom/>
    </border>
    <border>
      <top/>
      <bottom/>
    </border>
    <border>
      <right/>
      <top/>
      <bottom/>
    </border>
    <border>
      <left/>
      <right/>
      <top/>
      <bottom/>
    </border>
    <border>
      <left style="medium">
        <color rgb="FF333333"/>
      </left>
      <top style="medium">
        <color rgb="FF333333"/>
      </top>
      <bottom style="medium">
        <color rgb="FF333333"/>
      </bottom>
    </border>
    <border>
      <top style="medium">
        <color rgb="FF333333"/>
      </top>
      <bottom style="medium">
        <color rgb="FF333333"/>
      </bottom>
    </border>
    <border>
      <right/>
      <top style="medium">
        <color rgb="FF333333"/>
      </top>
      <bottom style="medium">
        <color rgb="FF333333"/>
      </bottom>
    </border>
    <border>
      <left style="thin">
        <color rgb="FFAAAAAA"/>
      </left>
      <top style="thin">
        <color rgb="FFAAAAAA"/>
      </top>
      <bottom style="thin">
        <color rgb="FFAAAAAA"/>
      </bottom>
    </border>
    <border>
      <right/>
      <top style="thin">
        <color rgb="FFAAAAAA"/>
      </top>
      <bottom style="thin">
        <color rgb="FFAAAAAA"/>
      </bottom>
    </border>
    <border>
      <left style="thin">
        <color rgb="FFAAAAAA"/>
      </left>
      <right style="thin">
        <color rgb="FFAAAAAA"/>
      </right>
      <top style="thin">
        <color rgb="FFAAAAAA"/>
      </top>
      <bottom style="thin">
        <color rgb="FFAAAAAA"/>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top style="thin">
        <color rgb="FFAAAAAA"/>
      </top>
      <bottom style="thin">
        <color rgb="FFAAAAAA"/>
      </bottom>
    </border>
    <border>
      <right style="thin">
        <color rgb="FFAAAAAA"/>
      </right>
      <top style="thin">
        <color rgb="FFAAAAAA"/>
      </top>
      <bottom style="thin">
        <color rgb="FFAAAAAA"/>
      </bottom>
    </border>
    <border>
      <left style="hair">
        <color rgb="FF000000"/>
      </left>
      <right style="hair">
        <color rgb="FF000000"/>
      </right>
      <top style="hair">
        <color rgb="FF000000"/>
      </top>
      <bottom style="hair">
        <color rgb="FF000000"/>
      </bottom>
    </border>
    <border>
      <left style="hair">
        <color rgb="FF000000"/>
      </left>
      <right style="thick">
        <color rgb="FF000000"/>
      </right>
      <top style="hair">
        <color rgb="FF000000"/>
      </top>
      <bottom style="hair">
        <color rgb="FF000000"/>
      </bottom>
    </border>
    <border>
      <right style="hair">
        <color rgb="FF000000"/>
      </right>
      <top style="hair">
        <color rgb="FF000000"/>
      </top>
      <bottom style="hair">
        <color rgb="FF000000"/>
      </bottom>
    </border>
    <border>
      <right style="thick">
        <color rgb="FF000000"/>
      </right>
      <top style="hair">
        <color rgb="FF000000"/>
      </top>
      <bottom style="hair">
        <color rgb="FF000000"/>
      </bottom>
    </border>
    <border>
      <right style="thin">
        <color rgb="FF000000"/>
      </right>
      <top style="thin">
        <color rgb="FF000000"/>
      </top>
      <bottom style="thin">
        <color rgb="FF000000"/>
      </bottom>
    </border>
    <border>
      <left style="hair">
        <color rgb="FF000000"/>
      </left>
      <right style="hair">
        <color rgb="FF000000"/>
      </right>
      <bottom style="hair">
        <color rgb="FF000000"/>
      </bottom>
    </border>
    <border>
      <right style="hair">
        <color rgb="FF000000"/>
      </right>
      <bottom style="hair">
        <color rgb="FF000000"/>
      </bottom>
    </border>
    <border>
      <right style="hair">
        <color rgb="FF000000"/>
      </right>
    </border>
    <border>
      <bottom style="hair">
        <color rgb="FF000000"/>
      </bottom>
    </border>
    <border>
      <left style="thin">
        <color rgb="FFFFFFFF"/>
      </left>
      <top style="thin">
        <color rgb="FFFFFFFF"/>
      </top>
      <bottom style="thin">
        <color rgb="FFFFFFFF"/>
      </bottom>
    </border>
    <border>
      <right style="thin">
        <color rgb="FFFFFFFF"/>
      </right>
      <top style="thin">
        <color rgb="FFFFFFFF"/>
      </top>
      <bottom style="thin">
        <color rgb="FFFFFFFF"/>
      </bottom>
    </border>
    <border>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000000"/>
      </left>
      <right style="thin">
        <color rgb="FF000000"/>
      </right>
      <bottom style="thin">
        <color rgb="FF000000"/>
      </bottom>
    </border>
    <border>
      <left/>
      <right/>
      <top/>
    </border>
    <border>
      <left/>
      <top/>
    </border>
    <border>
      <right/>
      <top/>
    </border>
    <border>
      <top/>
    </border>
    <border>
      <left style="thin">
        <color rgb="FF000000"/>
      </left>
      <bottom style="thin">
        <color rgb="FF000000"/>
      </bottom>
    </border>
    <border>
      <left style="thin">
        <color rgb="FF999999"/>
      </left>
      <right style="thin">
        <color rgb="FF999999"/>
      </right>
      <bottom style="thin">
        <color rgb="FF999999"/>
      </bottom>
    </border>
    <border>
      <left style="thin">
        <color rgb="FF999999"/>
      </left>
      <right style="thin">
        <color rgb="FF999999"/>
      </right>
      <top style="thin">
        <color rgb="FF999999"/>
      </top>
      <bottom style="thin">
        <color rgb="FF999999"/>
      </bottom>
    </border>
    <border>
      <left style="thick">
        <color rgb="FFFFC000"/>
      </left>
      <right style="thick">
        <color rgb="FFFFC000"/>
      </right>
      <top style="thick">
        <color rgb="FFFFC000"/>
      </top>
      <bottom style="thin">
        <color rgb="FF000000"/>
      </bottom>
    </border>
    <border>
      <left style="thick">
        <color rgb="FFFFC000"/>
      </left>
      <right style="thick">
        <color rgb="FFFFC000"/>
      </right>
      <top style="thin">
        <color rgb="FF000000"/>
      </top>
      <bottom style="thin">
        <color rgb="FF000000"/>
      </bottom>
    </border>
    <border>
      <left style="thick">
        <color rgb="FFFFC000"/>
      </left>
      <right style="thick">
        <color rgb="FFFFC000"/>
      </right>
      <top style="thin">
        <color rgb="FF000000"/>
      </top>
      <bottom style="thick">
        <color rgb="FFFFC000"/>
      </bottom>
    </border>
    <border>
      <left style="thick">
        <color rgb="FFFFE599"/>
      </left>
      <top style="thin">
        <color rgb="FF000000"/>
      </top>
      <bottom style="thin">
        <color rgb="FF000000"/>
      </bottom>
    </border>
    <border>
      <right style="thick">
        <color rgb="FFFFE599"/>
      </right>
      <top style="thin">
        <color rgb="FF000000"/>
      </top>
      <bottom style="thin">
        <color rgb="FF000000"/>
      </bottom>
    </border>
  </borders>
  <cellStyleXfs count="1">
    <xf borderId="0" fillId="0" fontId="0" numFmtId="0" applyAlignment="1" applyFont="1"/>
  </cellStyleXfs>
  <cellXfs count="331">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0" fillId="0" fontId="3" numFmtId="0" xfId="0" applyAlignment="1" applyFont="1">
      <alignment vertical="bottom"/>
    </xf>
    <xf borderId="1" fillId="3" fontId="4" numFmtId="0" xfId="0" applyAlignment="1" applyBorder="1" applyFill="1" applyFont="1">
      <alignment horizontal="center"/>
    </xf>
    <xf borderId="4" fillId="4" fontId="5" numFmtId="0" xfId="0" applyAlignment="1" applyBorder="1" applyFill="1" applyFont="1">
      <alignment horizontal="right"/>
    </xf>
    <xf borderId="5" fillId="5" fontId="6" numFmtId="0" xfId="0" applyBorder="1" applyFill="1" applyFont="1"/>
    <xf borderId="6" fillId="0" fontId="2" numFmtId="0" xfId="0" applyBorder="1" applyFont="1"/>
    <xf borderId="7" fillId="0" fontId="2" numFmtId="0" xfId="0" applyBorder="1" applyFont="1"/>
    <xf borderId="0" fillId="0" fontId="7" numFmtId="0" xfId="0" applyFont="1"/>
    <xf borderId="4" fillId="4" fontId="8" numFmtId="0" xfId="0" applyAlignment="1" applyBorder="1" applyFont="1">
      <alignment horizontal="right"/>
    </xf>
    <xf borderId="4" fillId="6" fontId="9" numFmtId="0" xfId="0" applyBorder="1" applyFill="1" applyFont="1"/>
    <xf borderId="1" fillId="6" fontId="9" numFmtId="0" xfId="0" applyAlignment="1" applyBorder="1" applyFont="1">
      <alignment horizontal="center"/>
    </xf>
    <xf borderId="8" fillId="4" fontId="10" numFmtId="0" xfId="0" applyAlignment="1" applyBorder="1" applyFont="1">
      <alignment horizontal="center"/>
    </xf>
    <xf borderId="9" fillId="0" fontId="2" numFmtId="0" xfId="0" applyBorder="1" applyFont="1"/>
    <xf borderId="8" fillId="2" fontId="5" numFmtId="0" xfId="0" applyAlignment="1" applyBorder="1" applyFont="1">
      <alignment horizontal="center"/>
    </xf>
    <xf borderId="8" fillId="4" fontId="5" numFmtId="0" xfId="0" applyAlignment="1" applyBorder="1" applyFont="1">
      <alignment horizontal="center"/>
    </xf>
    <xf borderId="8" fillId="7" fontId="5" numFmtId="0" xfId="0" applyAlignment="1" applyBorder="1" applyFill="1" applyFont="1">
      <alignment horizontal="center"/>
    </xf>
    <xf borderId="8" fillId="7" fontId="3" numFmtId="0" xfId="0" applyBorder="1" applyFont="1"/>
    <xf borderId="8" fillId="8" fontId="5" numFmtId="0" xfId="0" applyAlignment="1" applyBorder="1" applyFill="1" applyFont="1">
      <alignment horizontal="center"/>
    </xf>
    <xf borderId="10" fillId="2" fontId="10" numFmtId="0" xfId="0" applyAlignment="1" applyBorder="1" applyFont="1">
      <alignment horizontal="center" shrinkToFit="0" wrapText="1"/>
    </xf>
    <xf borderId="10" fillId="9" fontId="11" numFmtId="0" xfId="0" applyAlignment="1" applyBorder="1" applyFill="1" applyFont="1">
      <alignment horizontal="center"/>
    </xf>
    <xf borderId="10" fillId="9" fontId="12" numFmtId="0" xfId="0" applyAlignment="1" applyBorder="1" applyFont="1">
      <alignment horizontal="center"/>
    </xf>
    <xf borderId="10" fillId="9" fontId="3" numFmtId="0" xfId="0" applyBorder="1" applyFont="1"/>
    <xf borderId="10" fillId="10" fontId="11" numFmtId="0" xfId="0" applyAlignment="1" applyBorder="1" applyFill="1" applyFont="1">
      <alignment horizontal="center"/>
    </xf>
    <xf borderId="10" fillId="10" fontId="12" numFmtId="0" xfId="0" applyAlignment="1" applyBorder="1" applyFont="1">
      <alignment horizontal="center"/>
    </xf>
    <xf borderId="10" fillId="10" fontId="3" numFmtId="0" xfId="0" applyBorder="1" applyFont="1"/>
    <xf borderId="1" fillId="4" fontId="5" numFmtId="0" xfId="0" applyAlignment="1" applyBorder="1" applyFont="1">
      <alignment horizontal="center"/>
    </xf>
    <xf borderId="11" fillId="11" fontId="13" numFmtId="0" xfId="0" applyAlignment="1" applyBorder="1" applyFill="1" applyFont="1">
      <alignment horizontal="center" vertical="center"/>
    </xf>
    <xf borderId="12" fillId="11" fontId="13" numFmtId="0" xfId="0" applyAlignment="1" applyBorder="1" applyFont="1">
      <alignment horizontal="center" vertical="center"/>
    </xf>
    <xf borderId="13" fillId="0" fontId="2" numFmtId="0" xfId="0" applyBorder="1" applyFont="1"/>
    <xf borderId="14" fillId="0" fontId="2" numFmtId="0" xfId="0" applyBorder="1" applyFont="1"/>
    <xf borderId="11" fillId="12" fontId="8" numFmtId="0" xfId="0" applyAlignment="1" applyBorder="1" applyFill="1" applyFont="1">
      <alignment horizontal="center" vertical="center"/>
    </xf>
    <xf borderId="11" fillId="13" fontId="14" numFmtId="0" xfId="0" applyAlignment="1" applyBorder="1" applyFill="1" applyFont="1">
      <alignment horizontal="center" shrinkToFit="0" vertical="center" wrapText="1"/>
    </xf>
    <xf borderId="12" fillId="14" fontId="8" numFmtId="0" xfId="0" applyAlignment="1" applyBorder="1" applyFill="1" applyFont="1">
      <alignment horizontal="left" vertical="center"/>
    </xf>
    <xf borderId="11" fillId="15" fontId="15" numFmtId="0" xfId="0" applyAlignment="1" applyBorder="1" applyFill="1" applyFont="1">
      <alignment horizontal="left" vertical="center"/>
    </xf>
    <xf borderId="11" fillId="15" fontId="16" numFmtId="0" xfId="0" applyAlignment="1" applyBorder="1" applyFont="1">
      <alignment horizontal="center" vertical="center"/>
    </xf>
    <xf borderId="11" fillId="16" fontId="16" numFmtId="0" xfId="0" applyAlignment="1" applyBorder="1" applyFill="1" applyFont="1">
      <alignment horizontal="left" vertical="center"/>
    </xf>
    <xf borderId="11" fillId="16" fontId="16" numFmtId="164" xfId="0" applyAlignment="1" applyBorder="1" applyFont="1" applyNumberFormat="1">
      <alignment horizontal="center" vertical="center"/>
    </xf>
    <xf borderId="11" fillId="15" fontId="16" numFmtId="0" xfId="0" applyAlignment="1" applyBorder="1" applyFont="1">
      <alignment horizontal="left" vertical="center"/>
    </xf>
    <xf borderId="11" fillId="15" fontId="16" numFmtId="165" xfId="0" applyAlignment="1" applyBorder="1" applyFont="1" applyNumberFormat="1">
      <alignment horizontal="center" vertical="center"/>
    </xf>
    <xf borderId="11" fillId="16" fontId="16" numFmtId="1" xfId="0" applyAlignment="1" applyBorder="1" applyFont="1" applyNumberFormat="1">
      <alignment horizontal="center" vertical="center"/>
    </xf>
    <xf borderId="11" fillId="15" fontId="16" numFmtId="1" xfId="0" applyAlignment="1" applyBorder="1" applyFont="1" applyNumberFormat="1">
      <alignment horizontal="center" vertical="center"/>
    </xf>
    <xf borderId="10" fillId="17" fontId="11" numFmtId="0" xfId="0" applyAlignment="1" applyBorder="1" applyFill="1" applyFont="1">
      <alignment horizontal="center" shrinkToFit="0" wrapText="1"/>
    </xf>
    <xf borderId="10" fillId="18" fontId="17" numFmtId="0" xfId="0" applyAlignment="1" applyBorder="1" applyFill="1" applyFont="1">
      <alignment horizontal="center" shrinkToFit="0" wrapText="1"/>
    </xf>
    <xf borderId="10" fillId="0" fontId="11" numFmtId="0" xfId="0" applyAlignment="1" applyBorder="1" applyFont="1">
      <alignment horizontal="center" shrinkToFit="0" wrapText="1"/>
    </xf>
    <xf borderId="1" fillId="8" fontId="5" numFmtId="0" xfId="0" applyAlignment="1" applyBorder="1" applyFont="1">
      <alignment horizontal="center"/>
    </xf>
    <xf borderId="10" fillId="4" fontId="8" numFmtId="0" xfId="0" applyAlignment="1" applyBorder="1" applyFont="1">
      <alignment horizontal="center"/>
    </xf>
    <xf borderId="8" fillId="4" fontId="8" numFmtId="0" xfId="0" applyAlignment="1" applyBorder="1" applyFont="1">
      <alignment horizontal="center"/>
    </xf>
    <xf borderId="15" fillId="0" fontId="2" numFmtId="0" xfId="0" applyBorder="1" applyFont="1"/>
    <xf borderId="16" fillId="0" fontId="2" numFmtId="0" xfId="0" applyBorder="1" applyFont="1"/>
    <xf borderId="10" fillId="3" fontId="8" numFmtId="0" xfId="0" applyAlignment="1" applyBorder="1" applyFont="1">
      <alignment horizontal="center"/>
    </xf>
    <xf borderId="8" fillId="18" fontId="16" numFmtId="0" xfId="0" applyAlignment="1" applyBorder="1" applyFont="1">
      <alignment shrinkToFit="0" wrapText="1"/>
    </xf>
    <xf borderId="8" fillId="5" fontId="16" numFmtId="0" xfId="0" applyAlignment="1" applyBorder="1" applyFont="1">
      <alignment shrinkToFit="0" wrapText="1"/>
    </xf>
    <xf borderId="8" fillId="5" fontId="3" numFmtId="0" xfId="0" applyBorder="1" applyFont="1"/>
    <xf borderId="2" fillId="19" fontId="18" numFmtId="0" xfId="0" applyAlignment="1" applyBorder="1" applyFill="1" applyFont="1">
      <alignment horizontal="center" vertical="center"/>
    </xf>
    <xf borderId="3" fillId="19" fontId="18" numFmtId="0" xfId="0" applyAlignment="1" applyBorder="1" applyFont="1">
      <alignment horizontal="center" vertical="center"/>
    </xf>
    <xf borderId="0" fillId="0" fontId="3" numFmtId="0" xfId="0" applyFont="1"/>
    <xf borderId="2" fillId="14" fontId="19" numFmtId="0" xfId="0" applyAlignment="1" applyBorder="1" applyFont="1">
      <alignment horizontal="center" vertical="center"/>
    </xf>
    <xf borderId="3" fillId="14" fontId="19" numFmtId="0" xfId="0" applyAlignment="1" applyBorder="1" applyFont="1">
      <alignment horizontal="center" vertical="center"/>
    </xf>
    <xf borderId="12" fillId="14" fontId="13" numFmtId="0" xfId="0" applyAlignment="1" applyBorder="1" applyFont="1">
      <alignment horizontal="center" vertical="center"/>
    </xf>
    <xf borderId="12" fillId="20" fontId="20" numFmtId="0" xfId="0" applyAlignment="1" applyBorder="1" applyFill="1" applyFont="1">
      <alignment horizontal="center" readingOrder="0" vertical="center"/>
    </xf>
    <xf borderId="0" fillId="0" fontId="21" numFmtId="0" xfId="0" applyAlignment="1" applyFont="1">
      <alignment horizontal="left" vertical="center"/>
    </xf>
    <xf borderId="0" fillId="0" fontId="22" numFmtId="166" xfId="0" applyAlignment="1" applyFont="1" applyNumberFormat="1">
      <alignment vertical="bottom"/>
    </xf>
    <xf borderId="0" fillId="0" fontId="22" numFmtId="0" xfId="0" applyAlignment="1" applyFont="1">
      <alignment vertical="bottom"/>
    </xf>
    <xf borderId="12" fillId="21" fontId="13" numFmtId="0" xfId="0" applyAlignment="1" applyBorder="1" applyFill="1" applyFont="1">
      <alignment horizontal="center" vertical="center"/>
    </xf>
    <xf borderId="11" fillId="22" fontId="23" numFmtId="0" xfId="0" applyAlignment="1" applyBorder="1" applyFill="1" applyFont="1">
      <alignment horizontal="left" vertical="center"/>
    </xf>
    <xf borderId="12" fillId="0" fontId="16" numFmtId="0" xfId="0" applyAlignment="1" applyBorder="1" applyFont="1">
      <alignment horizontal="left" vertical="center"/>
    </xf>
    <xf borderId="12" fillId="14" fontId="5" numFmtId="0" xfId="0" applyAlignment="1" applyBorder="1" applyFont="1">
      <alignment horizontal="left" vertical="center"/>
    </xf>
    <xf borderId="12" fillId="19" fontId="5" numFmtId="0" xfId="0" applyAlignment="1" applyBorder="1" applyFont="1">
      <alignment horizontal="left" vertical="center"/>
    </xf>
    <xf borderId="11" fillId="21" fontId="8" numFmtId="0" xfId="0" applyAlignment="1" applyBorder="1" applyFont="1">
      <alignment horizontal="left" vertical="center"/>
    </xf>
    <xf borderId="12" fillId="20" fontId="24" numFmtId="0" xfId="0" applyAlignment="1" applyBorder="1" applyFont="1">
      <alignment horizontal="left" vertical="center"/>
    </xf>
    <xf borderId="12" fillId="23" fontId="25" numFmtId="0" xfId="0" applyAlignment="1" applyBorder="1" applyFill="1" applyFont="1">
      <alignment horizontal="left" shrinkToFit="0" vertical="top" wrapText="1"/>
    </xf>
    <xf borderId="12" fillId="11" fontId="13" numFmtId="0" xfId="0" applyAlignment="1" applyBorder="1" applyFont="1">
      <alignment horizontal="left" vertical="center"/>
    </xf>
    <xf borderId="12" fillId="12" fontId="8" numFmtId="0" xfId="0" applyAlignment="1" applyBorder="1" applyFont="1">
      <alignment horizontal="center" vertical="center"/>
    </xf>
    <xf borderId="12" fillId="15" fontId="15" numFmtId="0" xfId="0" applyAlignment="1" applyBorder="1" applyFont="1">
      <alignment horizontal="center" vertical="center"/>
    </xf>
    <xf borderId="12" fillId="15" fontId="16" numFmtId="0" xfId="0" applyAlignment="1" applyBorder="1" applyFont="1">
      <alignment horizontal="center" shrinkToFit="0" vertical="center" wrapText="1"/>
    </xf>
    <xf borderId="11" fillId="15" fontId="15" numFmtId="0" xfId="0" applyAlignment="1" applyBorder="1" applyFont="1">
      <alignment horizontal="center" vertical="center"/>
    </xf>
    <xf borderId="12" fillId="15" fontId="16" numFmtId="0" xfId="0" applyAlignment="1" applyBorder="1" applyFont="1">
      <alignment horizontal="left" shrinkToFit="0" vertical="top" wrapText="1"/>
    </xf>
    <xf borderId="12" fillId="16" fontId="15" numFmtId="0" xfId="0" applyAlignment="1" applyBorder="1" applyFont="1">
      <alignment horizontal="center" vertical="center"/>
    </xf>
    <xf borderId="12" fillId="16" fontId="16" numFmtId="0" xfId="0" applyAlignment="1" applyBorder="1" applyFont="1">
      <alignment horizontal="center" shrinkToFit="0" vertical="center" wrapText="1"/>
    </xf>
    <xf borderId="11" fillId="16" fontId="15" numFmtId="0" xfId="0" applyAlignment="1" applyBorder="1" applyFont="1">
      <alignment horizontal="center" vertical="center"/>
    </xf>
    <xf borderId="12" fillId="16" fontId="16" numFmtId="0" xfId="0" applyAlignment="1" applyBorder="1" applyFont="1">
      <alignment horizontal="left" shrinkToFit="0" vertical="top" wrapText="1"/>
    </xf>
    <xf borderId="12" fillId="20" fontId="26" numFmtId="0" xfId="0" applyAlignment="1" applyBorder="1" applyFont="1">
      <alignment horizontal="left" shrinkToFit="0" vertical="center" wrapText="1"/>
    </xf>
    <xf borderId="17" fillId="24" fontId="27" numFmtId="0" xfId="0" applyAlignment="1" applyBorder="1" applyFill="1" applyFont="1">
      <alignment horizontal="center" vertical="center"/>
    </xf>
    <xf borderId="17" fillId="24" fontId="27" numFmtId="167" xfId="0" applyAlignment="1" applyBorder="1" applyFont="1" applyNumberFormat="1">
      <alignment horizontal="center" vertical="center"/>
    </xf>
    <xf borderId="17" fillId="24" fontId="27" numFmtId="168" xfId="0" applyAlignment="1" applyBorder="1" applyFont="1" applyNumberFormat="1">
      <alignment horizontal="center" vertical="center"/>
    </xf>
    <xf borderId="18" fillId="24" fontId="27" numFmtId="167" xfId="0" applyAlignment="1" applyBorder="1" applyFont="1" applyNumberFormat="1">
      <alignment horizontal="center" vertical="center"/>
    </xf>
    <xf borderId="19" fillId="25" fontId="27" numFmtId="167" xfId="0" applyAlignment="1" applyBorder="1" applyFill="1" applyFont="1" applyNumberFormat="1">
      <alignment horizontal="center" vertical="center"/>
    </xf>
    <xf borderId="17" fillId="25" fontId="27" numFmtId="167" xfId="0" applyAlignment="1" applyBorder="1" applyFont="1" applyNumberFormat="1">
      <alignment horizontal="center" vertical="center"/>
    </xf>
    <xf borderId="18" fillId="25" fontId="27" numFmtId="167" xfId="0" applyAlignment="1" applyBorder="1" applyFont="1" applyNumberFormat="1">
      <alignment horizontal="center" vertical="center"/>
    </xf>
    <xf borderId="19" fillId="26" fontId="27" numFmtId="167" xfId="0" applyAlignment="1" applyBorder="1" applyFill="1" applyFont="1" applyNumberFormat="1">
      <alignment horizontal="center" vertical="center"/>
    </xf>
    <xf borderId="17" fillId="26" fontId="27" numFmtId="167" xfId="0" applyAlignment="1" applyBorder="1" applyFont="1" applyNumberFormat="1">
      <alignment horizontal="center" vertical="center"/>
    </xf>
    <xf borderId="18" fillId="26" fontId="27" numFmtId="167" xfId="0" applyAlignment="1" applyBorder="1" applyFont="1" applyNumberFormat="1">
      <alignment horizontal="center" vertical="center"/>
    </xf>
    <xf borderId="20" fillId="27" fontId="27" numFmtId="167" xfId="0" applyAlignment="1" applyBorder="1" applyFill="1" applyFont="1" applyNumberFormat="1">
      <alignment horizontal="center" vertical="center"/>
    </xf>
    <xf borderId="18" fillId="27" fontId="27" numFmtId="167" xfId="0" applyAlignment="1" applyBorder="1" applyFont="1" applyNumberFormat="1">
      <alignment horizontal="center" vertical="center"/>
    </xf>
    <xf borderId="20" fillId="28" fontId="27" numFmtId="167" xfId="0" applyAlignment="1" applyBorder="1" applyFill="1" applyFont="1" applyNumberFormat="1">
      <alignment horizontal="center" vertical="center"/>
    </xf>
    <xf borderId="18" fillId="28" fontId="27" numFmtId="167" xfId="0" applyAlignment="1" applyBorder="1" applyFont="1" applyNumberFormat="1">
      <alignment horizontal="center" vertical="center"/>
    </xf>
    <xf borderId="19" fillId="0" fontId="28" numFmtId="169" xfId="0" applyAlignment="1" applyBorder="1" applyFont="1" applyNumberFormat="1">
      <alignment horizontal="center" readingOrder="0" vertical="center"/>
    </xf>
    <xf borderId="17" fillId="0" fontId="28" numFmtId="170" xfId="0" applyAlignment="1" applyBorder="1" applyFont="1" applyNumberFormat="1">
      <alignment horizontal="center" readingOrder="0" vertical="center"/>
    </xf>
    <xf borderId="17" fillId="0" fontId="28" numFmtId="171" xfId="0" applyAlignment="1" applyBorder="1" applyFont="1" applyNumberFormat="1">
      <alignment horizontal="center" readingOrder="0" vertical="center"/>
    </xf>
    <xf borderId="17" fillId="0" fontId="28" numFmtId="0" xfId="0" applyAlignment="1" applyBorder="1" applyFont="1">
      <alignment horizontal="center" vertical="center"/>
    </xf>
    <xf borderId="17" fillId="16" fontId="29" numFmtId="0" xfId="0" applyAlignment="1" applyBorder="1" applyFont="1">
      <alignment horizontal="center" vertical="center"/>
    </xf>
    <xf borderId="17" fillId="16" fontId="29" numFmtId="172" xfId="0" applyAlignment="1" applyBorder="1" applyFont="1" applyNumberFormat="1">
      <alignment horizontal="center" readingOrder="0" vertical="center"/>
    </xf>
    <xf borderId="17" fillId="16" fontId="28" numFmtId="0" xfId="0" applyAlignment="1" applyBorder="1" applyFont="1">
      <alignment horizontal="center" vertical="center"/>
    </xf>
    <xf borderId="18" fillId="16" fontId="28" numFmtId="0" xfId="0" applyAlignment="1" applyBorder="1" applyFont="1">
      <alignment horizontal="center" vertical="center"/>
    </xf>
    <xf borderId="19" fillId="16" fontId="28" numFmtId="0" xfId="0" applyAlignment="1" applyBorder="1" applyFont="1">
      <alignment horizontal="center" vertical="center"/>
    </xf>
    <xf borderId="19" fillId="16" fontId="29" numFmtId="0" xfId="0" applyAlignment="1" applyBorder="1" applyFont="1">
      <alignment horizontal="center" vertical="center"/>
    </xf>
    <xf borderId="17" fillId="16" fontId="28" numFmtId="0" xfId="0" applyAlignment="1" applyBorder="1" applyFont="1">
      <alignment horizontal="center" readingOrder="0" vertical="center"/>
    </xf>
    <xf borderId="17" fillId="29" fontId="29" numFmtId="0" xfId="0" applyAlignment="1" applyBorder="1" applyFill="1" applyFont="1">
      <alignment horizontal="center" vertical="center"/>
    </xf>
    <xf borderId="17" fillId="29" fontId="29" numFmtId="172" xfId="0" applyAlignment="1" applyBorder="1" applyFont="1" applyNumberFormat="1">
      <alignment horizontal="center" vertical="center"/>
    </xf>
    <xf borderId="17" fillId="29" fontId="28" numFmtId="0" xfId="0" applyAlignment="1" applyBorder="1" applyFont="1">
      <alignment horizontal="center" vertical="center"/>
    </xf>
    <xf borderId="18" fillId="29" fontId="28" numFmtId="0" xfId="0" applyAlignment="1" applyBorder="1" applyFont="1">
      <alignment horizontal="center" vertical="center"/>
    </xf>
    <xf borderId="19" fillId="30" fontId="28" numFmtId="0" xfId="0" applyAlignment="1" applyBorder="1" applyFill="1" applyFont="1">
      <alignment horizontal="center" vertical="center"/>
    </xf>
    <xf borderId="17" fillId="30" fontId="29" numFmtId="0" xfId="0" applyAlignment="1" applyBorder="1" applyFont="1">
      <alignment horizontal="center" vertical="center"/>
    </xf>
    <xf borderId="17" fillId="30" fontId="28" numFmtId="0" xfId="0" applyAlignment="1" applyBorder="1" applyFont="1">
      <alignment horizontal="center" vertical="center"/>
    </xf>
    <xf borderId="18" fillId="30" fontId="28" numFmtId="0" xfId="0" applyAlignment="1" applyBorder="1" applyFont="1">
      <alignment horizontal="center" vertical="center"/>
    </xf>
    <xf borderId="19" fillId="31" fontId="28" numFmtId="0" xfId="0" applyAlignment="1" applyBorder="1" applyFill="1" applyFont="1">
      <alignment horizontal="center" vertical="center"/>
    </xf>
    <xf borderId="19" fillId="31" fontId="29" numFmtId="0" xfId="0" applyAlignment="1" applyBorder="1" applyFont="1">
      <alignment horizontal="center" vertical="center"/>
    </xf>
    <xf borderId="17" fillId="31" fontId="28" numFmtId="0" xfId="0" applyAlignment="1" applyBorder="1" applyFont="1">
      <alignment horizontal="center" vertical="center"/>
    </xf>
    <xf borderId="17" fillId="31" fontId="29" numFmtId="0" xfId="0" applyAlignment="1" applyBorder="1" applyFont="1">
      <alignment horizontal="center" vertical="center"/>
    </xf>
    <xf borderId="18" fillId="31" fontId="28" numFmtId="0" xfId="0" applyAlignment="1" applyBorder="1" applyFont="1">
      <alignment horizontal="center" vertical="center"/>
    </xf>
    <xf borderId="19" fillId="32" fontId="28" numFmtId="0" xfId="0" applyAlignment="1" applyBorder="1" applyFill="1" applyFont="1">
      <alignment horizontal="center" vertical="center"/>
    </xf>
    <xf borderId="17" fillId="32" fontId="28" numFmtId="0" xfId="0" applyAlignment="1" applyBorder="1" applyFont="1">
      <alignment horizontal="center" vertical="center"/>
    </xf>
    <xf borderId="17" fillId="32" fontId="29" numFmtId="0" xfId="0" applyAlignment="1" applyBorder="1" applyFont="1">
      <alignment horizontal="center" vertical="center"/>
    </xf>
    <xf borderId="18" fillId="32" fontId="28" numFmtId="0" xfId="0" applyAlignment="1" applyBorder="1" applyFont="1">
      <alignment horizontal="center" vertical="center"/>
    </xf>
    <xf borderId="19" fillId="33" fontId="28" numFmtId="0" xfId="0" applyAlignment="1" applyBorder="1" applyFill="1" applyFont="1">
      <alignment horizontal="center" vertical="center"/>
    </xf>
    <xf borderId="17" fillId="33" fontId="29" numFmtId="0" xfId="0" applyAlignment="1" applyBorder="1" applyFont="1">
      <alignment horizontal="center" vertical="center"/>
    </xf>
    <xf borderId="17" fillId="33" fontId="28" numFmtId="0" xfId="0" applyAlignment="1" applyBorder="1" applyFont="1">
      <alignment horizontal="center" vertical="center"/>
    </xf>
    <xf borderId="18" fillId="33" fontId="28" numFmtId="0" xfId="0" applyAlignment="1" applyBorder="1" applyFont="1">
      <alignment horizontal="center" vertical="center"/>
    </xf>
    <xf borderId="17" fillId="16" fontId="29" numFmtId="172" xfId="0" applyAlignment="1" applyBorder="1" applyFont="1" applyNumberFormat="1">
      <alignment horizontal="center" vertical="center"/>
    </xf>
    <xf borderId="19" fillId="30" fontId="29" numFmtId="0" xfId="0" applyAlignment="1" applyBorder="1" applyFont="1">
      <alignment horizontal="center" vertical="center"/>
    </xf>
    <xf borderId="18" fillId="32" fontId="29" numFmtId="0" xfId="0" applyAlignment="1" applyBorder="1" applyFont="1">
      <alignment horizontal="center" vertical="center"/>
    </xf>
    <xf borderId="19" fillId="32" fontId="29" numFmtId="0" xfId="0" applyAlignment="1" applyBorder="1" applyFont="1">
      <alignment horizontal="center" vertical="center"/>
    </xf>
    <xf borderId="19" fillId="33" fontId="29" numFmtId="0" xfId="0" applyAlignment="1" applyBorder="1" applyFont="1">
      <alignment horizontal="center" vertical="center"/>
    </xf>
    <xf borderId="18" fillId="16" fontId="29" numFmtId="0" xfId="0" applyAlignment="1" applyBorder="1" applyFont="1">
      <alignment horizontal="center" vertical="center"/>
    </xf>
    <xf borderId="18" fillId="29" fontId="29" numFmtId="0" xfId="0" applyAlignment="1" applyBorder="1" applyFont="1">
      <alignment horizontal="center" vertical="center"/>
    </xf>
    <xf borderId="17" fillId="29" fontId="29" numFmtId="0" xfId="0" applyAlignment="1" applyBorder="1" applyFont="1">
      <alignment horizontal="center" readingOrder="0" vertical="center"/>
    </xf>
    <xf borderId="17" fillId="16" fontId="29" numFmtId="0" xfId="0" applyAlignment="1" applyBorder="1" applyFont="1">
      <alignment horizontal="center" readingOrder="0" vertical="center"/>
    </xf>
    <xf borderId="18" fillId="31" fontId="29" numFmtId="0" xfId="0" applyAlignment="1" applyBorder="1" applyFont="1">
      <alignment horizontal="center" vertical="center"/>
    </xf>
    <xf borderId="17" fillId="16" fontId="30" numFmtId="172" xfId="0" applyAlignment="1" applyBorder="1" applyFont="1" applyNumberFormat="1">
      <alignment horizontal="center" vertical="center"/>
    </xf>
    <xf borderId="17" fillId="29" fontId="30" numFmtId="172" xfId="0" applyAlignment="1" applyBorder="1" applyFont="1" applyNumberFormat="1">
      <alignment horizontal="center" vertical="center"/>
    </xf>
    <xf borderId="18" fillId="30" fontId="29" numFmtId="0" xfId="0" applyAlignment="1" applyBorder="1" applyFont="1">
      <alignment horizontal="center" vertical="center"/>
    </xf>
    <xf borderId="17" fillId="33" fontId="28" numFmtId="0" xfId="0" applyAlignment="1" applyBorder="1" applyFont="1">
      <alignment horizontal="center" readingOrder="0" vertical="center"/>
    </xf>
    <xf borderId="17" fillId="33" fontId="29" numFmtId="0" xfId="0" applyAlignment="1" applyBorder="1" applyFont="1">
      <alignment horizontal="center" readingOrder="0" vertical="center"/>
    </xf>
    <xf borderId="0" fillId="0" fontId="31" numFmtId="0" xfId="0" applyAlignment="1" applyFont="1">
      <alignment horizontal="center" vertical="center"/>
    </xf>
    <xf borderId="17" fillId="24" fontId="27" numFmtId="49" xfId="0" applyAlignment="1" applyBorder="1" applyFont="1" applyNumberFormat="1">
      <alignment horizontal="center" vertical="center"/>
    </xf>
    <xf borderId="18" fillId="24" fontId="27" numFmtId="49" xfId="0" applyAlignment="1" applyBorder="1" applyFont="1" applyNumberFormat="1">
      <alignment horizontal="center" vertical="center"/>
    </xf>
    <xf borderId="19" fillId="25" fontId="27" numFmtId="49" xfId="0" applyAlignment="1" applyBorder="1" applyFont="1" applyNumberFormat="1">
      <alignment horizontal="center" vertical="center"/>
    </xf>
    <xf borderId="17" fillId="25" fontId="27" numFmtId="49" xfId="0" applyAlignment="1" applyBorder="1" applyFont="1" applyNumberFormat="1">
      <alignment horizontal="center" vertical="center"/>
    </xf>
    <xf borderId="18" fillId="25" fontId="27" numFmtId="49" xfId="0" applyAlignment="1" applyBorder="1" applyFont="1" applyNumberFormat="1">
      <alignment horizontal="center" vertical="center"/>
    </xf>
    <xf borderId="19" fillId="26" fontId="27" numFmtId="49" xfId="0" applyAlignment="1" applyBorder="1" applyFont="1" applyNumberFormat="1">
      <alignment horizontal="center" vertical="center"/>
    </xf>
    <xf borderId="17" fillId="26" fontId="27" numFmtId="49" xfId="0" applyAlignment="1" applyBorder="1" applyFont="1" applyNumberFormat="1">
      <alignment horizontal="center" vertical="center"/>
    </xf>
    <xf borderId="18" fillId="26" fontId="27" numFmtId="49" xfId="0" applyAlignment="1" applyBorder="1" applyFont="1" applyNumberFormat="1">
      <alignment horizontal="center" vertical="center"/>
    </xf>
    <xf borderId="20" fillId="27" fontId="27" numFmtId="49" xfId="0" applyAlignment="1" applyBorder="1" applyFont="1" applyNumberFormat="1">
      <alignment horizontal="center" vertical="center"/>
    </xf>
    <xf borderId="18" fillId="27" fontId="27" numFmtId="49" xfId="0" applyAlignment="1" applyBorder="1" applyFont="1" applyNumberFormat="1">
      <alignment horizontal="center" vertical="center"/>
    </xf>
    <xf borderId="20" fillId="28" fontId="27" numFmtId="49" xfId="0" applyAlignment="1" applyBorder="1" applyFont="1" applyNumberFormat="1">
      <alignment horizontal="center" vertical="center"/>
    </xf>
    <xf borderId="18" fillId="28" fontId="27" numFmtId="49" xfId="0" applyAlignment="1" applyBorder="1" applyFont="1" applyNumberFormat="1">
      <alignment horizontal="center" vertical="center"/>
    </xf>
    <xf borderId="19" fillId="0" fontId="28" numFmtId="49" xfId="0" applyAlignment="1" applyBorder="1" applyFont="1" applyNumberFormat="1">
      <alignment horizontal="center" readingOrder="0" vertical="center"/>
    </xf>
    <xf borderId="17" fillId="0" fontId="28" numFmtId="49" xfId="0" applyAlignment="1" applyBorder="1" applyFont="1" applyNumberFormat="1">
      <alignment horizontal="center" readingOrder="0" vertical="center"/>
    </xf>
    <xf borderId="17" fillId="0" fontId="28" numFmtId="49" xfId="0" applyAlignment="1" applyBorder="1" applyFont="1" applyNumberFormat="1">
      <alignment horizontal="center" vertical="center"/>
    </xf>
    <xf borderId="1" fillId="2" fontId="1" numFmtId="0" xfId="0" applyAlignment="1" applyBorder="1" applyFont="1">
      <alignment horizontal="center" readingOrder="0" vertical="center"/>
    </xf>
    <xf borderId="12" fillId="20" fontId="26" numFmtId="0" xfId="0" applyAlignment="1" applyBorder="1" applyFont="1">
      <alignment horizontal="center" readingOrder="0" shrinkToFit="0" vertical="center" wrapText="1"/>
    </xf>
    <xf borderId="11" fillId="34" fontId="32" numFmtId="0" xfId="0" applyAlignment="1" applyBorder="1" applyFill="1" applyFont="1">
      <alignment horizontal="center" readingOrder="0" shrinkToFit="0" vertical="center" wrapText="0"/>
    </xf>
    <xf borderId="11" fillId="34" fontId="32" numFmtId="0" xfId="0" applyAlignment="1" applyBorder="1" applyFont="1">
      <alignment horizontal="center" readingOrder="0" shrinkToFit="0" vertical="center" wrapText="1"/>
    </xf>
    <xf borderId="11" fillId="35" fontId="32" numFmtId="0" xfId="0" applyAlignment="1" applyBorder="1" applyFill="1" applyFont="1">
      <alignment horizontal="center" readingOrder="0" shrinkToFit="0" vertical="center" wrapText="1"/>
    </xf>
    <xf borderId="11" fillId="35" fontId="32" numFmtId="0" xfId="0" applyAlignment="1" applyBorder="1" applyFont="1">
      <alignment horizontal="center" readingOrder="0" vertical="center"/>
    </xf>
    <xf borderId="12" fillId="35" fontId="33" numFmtId="0" xfId="0" applyAlignment="1" applyBorder="1" applyFont="1">
      <alignment horizontal="center" readingOrder="0" vertical="center"/>
    </xf>
    <xf borderId="21" fillId="35" fontId="33" numFmtId="0" xfId="0" applyAlignment="1" applyBorder="1" applyFont="1">
      <alignment horizontal="center" readingOrder="0" vertical="center"/>
    </xf>
    <xf borderId="0" fillId="36" fontId="34" numFmtId="0" xfId="0" applyAlignment="1" applyFill="1" applyFont="1">
      <alignment horizontal="center" readingOrder="0" vertical="center"/>
    </xf>
    <xf borderId="22" fillId="16" fontId="35" numFmtId="0" xfId="0" applyAlignment="1" applyBorder="1" applyFont="1">
      <alignment horizontal="center" vertical="center"/>
    </xf>
    <xf borderId="23" fillId="16" fontId="35" numFmtId="0" xfId="0" applyAlignment="1" applyBorder="1" applyFont="1">
      <alignment horizontal="center" readingOrder="0" vertical="center"/>
    </xf>
    <xf borderId="23" fillId="16" fontId="35" numFmtId="0" xfId="0" applyAlignment="1" applyBorder="1" applyFont="1">
      <alignment horizontal="center" readingOrder="0" shrinkToFit="0" vertical="center" wrapText="1"/>
    </xf>
    <xf borderId="23" fillId="16" fontId="35" numFmtId="173" xfId="0" applyAlignment="1" applyBorder="1" applyFont="1" applyNumberFormat="1">
      <alignment horizontal="center" readingOrder="0" vertical="center"/>
    </xf>
    <xf borderId="23" fillId="16" fontId="35" numFmtId="14" xfId="0" applyAlignment="1" applyBorder="1" applyFont="1" applyNumberFormat="1">
      <alignment horizontal="center" readingOrder="0" vertical="center"/>
    </xf>
    <xf borderId="23" fillId="16" fontId="35" numFmtId="169" xfId="0" applyAlignment="1" applyBorder="1" applyFont="1" applyNumberFormat="1">
      <alignment horizontal="center" readingOrder="0" vertical="center"/>
    </xf>
    <xf borderId="22" fillId="29" fontId="35" numFmtId="0" xfId="0" applyAlignment="1" applyBorder="1" applyFont="1">
      <alignment horizontal="center" vertical="center"/>
    </xf>
    <xf borderId="23" fillId="29" fontId="35" numFmtId="0" xfId="0" applyAlignment="1" applyBorder="1" applyFont="1">
      <alignment horizontal="center" readingOrder="0" vertical="center"/>
    </xf>
    <xf borderId="23" fillId="29" fontId="35" numFmtId="0" xfId="0" applyAlignment="1" applyBorder="1" applyFont="1">
      <alignment horizontal="center" readingOrder="0" shrinkToFit="0" vertical="center" wrapText="1"/>
    </xf>
    <xf borderId="23" fillId="29" fontId="35" numFmtId="173" xfId="0" applyAlignment="1" applyBorder="1" applyFont="1" applyNumberFormat="1">
      <alignment horizontal="center" readingOrder="0" vertical="center"/>
    </xf>
    <xf borderId="24" fillId="16" fontId="35" numFmtId="14" xfId="0" applyAlignment="1" applyBorder="1" applyFont="1" applyNumberFormat="1">
      <alignment horizontal="center" readingOrder="0" vertical="center"/>
    </xf>
    <xf borderId="25" fillId="29" fontId="35" numFmtId="173" xfId="0" applyAlignment="1" applyBorder="1" applyFont="1" applyNumberFormat="1">
      <alignment horizontal="center" readingOrder="0" vertical="center"/>
    </xf>
    <xf borderId="11" fillId="0" fontId="31" numFmtId="173" xfId="0" applyAlignment="1" applyBorder="1" applyFont="1" applyNumberFormat="1">
      <alignment horizontal="center"/>
    </xf>
    <xf borderId="22" fillId="29" fontId="35" numFmtId="0" xfId="0" applyAlignment="1" applyBorder="1" applyFont="1">
      <alignment horizontal="center" readingOrder="0" vertical="center"/>
    </xf>
    <xf borderId="22" fillId="16" fontId="35" numFmtId="0" xfId="0" applyAlignment="1" applyBorder="1" applyFont="1">
      <alignment horizontal="center" readingOrder="0" vertical="center"/>
    </xf>
    <xf borderId="1" fillId="2" fontId="1" numFmtId="0" xfId="0" applyAlignment="1" applyBorder="1" applyFont="1">
      <alignment horizontal="left"/>
    </xf>
    <xf borderId="1" fillId="3" fontId="4" numFmtId="0" xfId="0" applyAlignment="1" applyBorder="1" applyFont="1">
      <alignment horizontal="left"/>
    </xf>
    <xf borderId="12" fillId="20" fontId="26" numFmtId="0" xfId="0" applyAlignment="1" applyBorder="1" applyFont="1">
      <alignment horizontal="left" readingOrder="0" shrinkToFit="0" vertical="center" wrapText="1"/>
    </xf>
    <xf borderId="0" fillId="20" fontId="13" numFmtId="0" xfId="0" applyAlignment="1" applyFont="1">
      <alignment horizontal="center" vertical="center"/>
    </xf>
    <xf borderId="0" fillId="20" fontId="8" numFmtId="0" xfId="0" applyAlignment="1" applyFont="1">
      <alignment horizontal="center" shrinkToFit="0" vertical="center" wrapText="1"/>
    </xf>
    <xf borderId="26" fillId="11" fontId="13" numFmtId="0" xfId="0" applyAlignment="1" applyBorder="1" applyFont="1">
      <alignment horizontal="center" vertical="center"/>
    </xf>
    <xf borderId="27" fillId="0" fontId="2" numFmtId="0" xfId="0" applyBorder="1" applyFont="1"/>
    <xf borderId="28" fillId="0" fontId="2" numFmtId="0" xfId="0" applyBorder="1" applyFont="1"/>
    <xf borderId="26" fillId="11" fontId="13" numFmtId="0" xfId="0" applyAlignment="1" applyBorder="1" applyFont="1">
      <alignment horizontal="center" readingOrder="0" vertical="center"/>
    </xf>
    <xf borderId="26" fillId="37" fontId="8" numFmtId="0" xfId="0" applyAlignment="1" applyBorder="1" applyFill="1" applyFont="1">
      <alignment horizontal="center" shrinkToFit="0" vertical="center" wrapText="1"/>
    </xf>
    <xf borderId="29" fillId="0" fontId="36" numFmtId="0" xfId="0" applyBorder="1" applyFont="1"/>
    <xf borderId="30" fillId="12" fontId="8" numFmtId="0" xfId="0" applyAlignment="1" applyBorder="1" applyFont="1">
      <alignment horizontal="center" shrinkToFit="0" vertical="center" wrapText="1"/>
    </xf>
    <xf borderId="30" fillId="12" fontId="8" numFmtId="0" xfId="0" applyAlignment="1" applyBorder="1" applyFont="1">
      <alignment horizontal="center" readingOrder="0" shrinkToFit="0" vertical="center" wrapText="1"/>
    </xf>
    <xf borderId="11" fillId="15" fontId="16" numFmtId="0" xfId="0" applyAlignment="1" applyBorder="1" applyFont="1">
      <alignment horizontal="center" readingOrder="0" vertical="center"/>
    </xf>
    <xf borderId="11" fillId="15" fontId="16" numFmtId="0" xfId="0" applyAlignment="1" applyBorder="1" applyFont="1">
      <alignment horizontal="left" readingOrder="0" shrinkToFit="0" vertical="center" wrapText="1"/>
    </xf>
    <xf borderId="11" fillId="15" fontId="16" numFmtId="166" xfId="0" applyAlignment="1" applyBorder="1" applyFont="1" applyNumberFormat="1">
      <alignment horizontal="center" readingOrder="0" vertical="center"/>
    </xf>
    <xf borderId="11" fillId="38" fontId="15" numFmtId="0" xfId="0" applyAlignment="1" applyBorder="1" applyFill="1" applyFont="1">
      <alignment horizontal="center" readingOrder="0" vertical="center"/>
    </xf>
    <xf borderId="11" fillId="39" fontId="15" numFmtId="0" xfId="0" applyAlignment="1" applyBorder="1" applyFill="1" applyFont="1">
      <alignment horizontal="center" readingOrder="0" vertical="center"/>
    </xf>
    <xf borderId="0" fillId="15" fontId="16" numFmtId="0" xfId="0" applyAlignment="1" applyFont="1">
      <alignment horizontal="center" vertical="center"/>
    </xf>
    <xf borderId="11" fillId="15" fontId="16" numFmtId="0" xfId="0" applyAlignment="1" applyBorder="1" applyFont="1">
      <alignment horizontal="left" shrinkToFit="0" vertical="center" wrapText="1"/>
    </xf>
    <xf borderId="11" fillId="15" fontId="16" numFmtId="166" xfId="0" applyAlignment="1" applyBorder="1" applyFont="1" applyNumberFormat="1">
      <alignment horizontal="center" vertical="center"/>
    </xf>
    <xf borderId="11" fillId="38" fontId="15" numFmtId="0" xfId="0" applyAlignment="1" applyBorder="1" applyFont="1">
      <alignment horizontal="center" vertical="center"/>
    </xf>
    <xf borderId="11" fillId="39" fontId="15" numFmtId="0" xfId="0" applyAlignment="1" applyBorder="1" applyFont="1">
      <alignment horizontal="center" vertical="center"/>
    </xf>
    <xf borderId="0" fillId="15" fontId="16" numFmtId="0" xfId="0" applyAlignment="1" applyFont="1">
      <alignment horizontal="left" shrinkToFit="0" vertical="center" wrapText="1"/>
    </xf>
    <xf borderId="0" fillId="15" fontId="16" numFmtId="166" xfId="0" applyAlignment="1" applyFont="1" applyNumberFormat="1">
      <alignment horizontal="center" vertical="center"/>
    </xf>
    <xf borderId="0" fillId="38" fontId="15" numFmtId="0" xfId="0" applyAlignment="1" applyFont="1">
      <alignment horizontal="center" vertical="center"/>
    </xf>
    <xf borderId="0" fillId="39" fontId="15" numFmtId="0" xfId="0" applyAlignment="1" applyFont="1">
      <alignment horizontal="center" vertical="center"/>
    </xf>
    <xf borderId="26" fillId="37" fontId="8" numFmtId="0" xfId="0" applyAlignment="1" applyBorder="1" applyFont="1">
      <alignment horizontal="center" readingOrder="0" shrinkToFit="0" vertical="center" wrapText="1"/>
    </xf>
    <xf borderId="0" fillId="40" fontId="3" numFmtId="0" xfId="0" applyAlignment="1" applyFill="1" applyFont="1">
      <alignment vertical="center"/>
    </xf>
    <xf borderId="1" fillId="2" fontId="1" numFmtId="0" xfId="0" applyAlignment="1" applyBorder="1" applyFont="1">
      <alignment horizontal="center" vertical="center"/>
    </xf>
    <xf borderId="0" fillId="40" fontId="36" numFmtId="0" xfId="0" applyAlignment="1" applyFont="1">
      <alignment vertical="center"/>
    </xf>
    <xf borderId="1" fillId="3" fontId="4" numFmtId="0" xfId="0" applyAlignment="1" applyBorder="1" applyFont="1">
      <alignment horizontal="center" vertical="center"/>
    </xf>
    <xf borderId="0" fillId="0" fontId="3" numFmtId="0" xfId="0" applyAlignment="1" applyFont="1">
      <alignment vertical="center"/>
    </xf>
    <xf borderId="4" fillId="4" fontId="8" numFmtId="0" xfId="0" applyAlignment="1" applyBorder="1" applyFont="1">
      <alignment horizontal="center" vertical="center"/>
    </xf>
    <xf borderId="4" fillId="29" fontId="37" numFmtId="0" xfId="0" applyAlignment="1" applyBorder="1" applyFont="1">
      <alignment horizontal="center" vertical="center"/>
    </xf>
    <xf borderId="1" fillId="29" fontId="38" numFmtId="0" xfId="0" applyAlignment="1" applyBorder="1" applyFont="1">
      <alignment horizontal="center" vertical="center"/>
    </xf>
    <xf borderId="1" fillId="29" fontId="39" numFmtId="0" xfId="0" applyAlignment="1" applyBorder="1" applyFont="1">
      <alignment horizontal="center" vertical="center"/>
    </xf>
    <xf borderId="4" fillId="4" fontId="8" numFmtId="0" xfId="0" applyAlignment="1" applyBorder="1" applyFont="1">
      <alignment horizontal="center" readingOrder="0" vertical="center"/>
    </xf>
    <xf borderId="1" fillId="29" fontId="9" numFmtId="0" xfId="0" applyAlignment="1" applyBorder="1" applyFont="1">
      <alignment horizontal="center" vertical="center"/>
    </xf>
    <xf borderId="0" fillId="40" fontId="3" numFmtId="0" xfId="0" applyAlignment="1" applyFont="1">
      <alignment horizontal="center" vertical="center"/>
    </xf>
    <xf borderId="31" fillId="4" fontId="8" numFmtId="0" xfId="0" applyAlignment="1" applyBorder="1" applyFont="1">
      <alignment horizontal="center" readingOrder="0" vertical="center"/>
    </xf>
    <xf borderId="32" fillId="29" fontId="39" numFmtId="0" xfId="0" applyAlignment="1" applyBorder="1" applyFont="1">
      <alignment horizontal="center" vertical="center"/>
    </xf>
    <xf borderId="33" fillId="0" fontId="2" numFmtId="0" xfId="0" applyBorder="1" applyFont="1"/>
    <xf borderId="34" fillId="0" fontId="2" numFmtId="0" xfId="0" applyBorder="1" applyFont="1"/>
    <xf borderId="32" fillId="4" fontId="8" numFmtId="0" xfId="0" applyAlignment="1" applyBorder="1" applyFont="1">
      <alignment horizontal="center" readingOrder="0" vertical="center"/>
    </xf>
    <xf borderId="32" fillId="29" fontId="9" numFmtId="173" xfId="0" applyAlignment="1" applyBorder="1" applyFont="1" applyNumberFormat="1">
      <alignment horizontal="center" vertical="center"/>
    </xf>
    <xf borderId="1" fillId="4" fontId="8" numFmtId="0" xfId="0" applyAlignment="1" applyBorder="1" applyFont="1">
      <alignment horizontal="center" readingOrder="0" vertical="center"/>
    </xf>
    <xf borderId="33" fillId="29" fontId="9" numFmtId="0" xfId="0" applyAlignment="1" applyBorder="1" applyFont="1">
      <alignment horizontal="center" vertical="center"/>
    </xf>
    <xf borderId="35" fillId="0" fontId="22" numFmtId="166" xfId="0" applyAlignment="1" applyBorder="1" applyFont="1" applyNumberFormat="1">
      <alignment vertical="center"/>
    </xf>
    <xf borderId="36" fillId="0" fontId="22" numFmtId="166" xfId="0" applyAlignment="1" applyBorder="1" applyFont="1" applyNumberFormat="1">
      <alignment horizontal="center" vertical="center"/>
    </xf>
    <xf borderId="0" fillId="0" fontId="5" numFmtId="0" xfId="0" applyAlignment="1" applyFont="1">
      <alignment horizontal="left" vertical="center"/>
    </xf>
    <xf borderId="37" fillId="0" fontId="40" numFmtId="0" xfId="0" applyAlignment="1" applyBorder="1" applyFont="1">
      <alignment horizontal="center" vertical="center"/>
    </xf>
    <xf borderId="0" fillId="40" fontId="5" numFmtId="0" xfId="0" applyAlignment="1" applyFont="1">
      <alignment horizontal="left" vertical="center"/>
    </xf>
    <xf borderId="0" fillId="0" fontId="41" numFmtId="0" xfId="0" applyAlignment="1" applyFont="1">
      <alignment vertical="center"/>
    </xf>
    <xf borderId="0" fillId="0" fontId="41" numFmtId="0" xfId="0" applyAlignment="1" applyFont="1">
      <alignment horizontal="center" vertical="center"/>
    </xf>
    <xf borderId="0" fillId="40" fontId="42" numFmtId="0" xfId="0" applyAlignment="1" applyFont="1">
      <alignment vertical="center"/>
    </xf>
    <xf borderId="11" fillId="12" fontId="8" numFmtId="0" xfId="0" applyAlignment="1" applyBorder="1" applyFont="1">
      <alignment horizontal="center" readingOrder="0" vertical="center"/>
    </xf>
    <xf borderId="11" fillId="13" fontId="14" numFmtId="172" xfId="0" applyAlignment="1" applyBorder="1" applyFont="1" applyNumberFormat="1">
      <alignment horizontal="center" shrinkToFit="0" vertical="center" wrapText="1"/>
    </xf>
    <xf borderId="12" fillId="13" fontId="14" numFmtId="172" xfId="0" applyAlignment="1" applyBorder="1" applyFont="1" applyNumberFormat="1">
      <alignment horizontal="center" shrinkToFit="0" vertical="center" wrapText="1"/>
    </xf>
    <xf borderId="38" fillId="41" fontId="14" numFmtId="172" xfId="0" applyAlignment="1" applyBorder="1" applyFill="1" applyFont="1" applyNumberFormat="1">
      <alignment horizontal="center" shrinkToFit="0" vertical="center" wrapText="1"/>
    </xf>
    <xf borderId="0" fillId="0" fontId="41" numFmtId="172" xfId="0" applyAlignment="1" applyFont="1" applyNumberFormat="1">
      <alignment horizontal="center" readingOrder="0" vertical="center"/>
    </xf>
    <xf borderId="0" fillId="0" fontId="41" numFmtId="164" xfId="0" applyAlignment="1" applyFont="1" applyNumberFormat="1">
      <alignment horizontal="center" readingOrder="0" vertical="center"/>
    </xf>
    <xf borderId="0" fillId="0" fontId="41" numFmtId="0" xfId="0" applyAlignment="1" applyFont="1">
      <alignment horizontal="center" readingOrder="0" vertical="center"/>
    </xf>
    <xf borderId="39" fillId="41" fontId="14" numFmtId="172" xfId="0" applyAlignment="1" applyBorder="1" applyFont="1" applyNumberFormat="1">
      <alignment horizontal="center" shrinkToFit="0" vertical="center" wrapText="1"/>
    </xf>
    <xf borderId="0" fillId="0" fontId="41" numFmtId="164" xfId="0" applyAlignment="1" applyFont="1" applyNumberFormat="1">
      <alignment horizontal="center" vertical="center"/>
    </xf>
    <xf borderId="39" fillId="14" fontId="8" numFmtId="0" xfId="0" applyAlignment="1" applyBorder="1" applyFont="1">
      <alignment horizontal="left" vertical="center"/>
    </xf>
    <xf borderId="12" fillId="15" fontId="16" numFmtId="0" xfId="0" applyAlignment="1" applyBorder="1" applyFont="1">
      <alignment horizontal="center" vertical="center"/>
    </xf>
    <xf borderId="39" fillId="15" fontId="16" numFmtId="0" xfId="0" applyAlignment="1" applyBorder="1" applyFont="1">
      <alignment horizontal="center" vertical="center"/>
    </xf>
    <xf borderId="11" fillId="15" fontId="15" numFmtId="0" xfId="0" applyAlignment="1" applyBorder="1" applyFont="1">
      <alignment horizontal="left" readingOrder="0" vertical="center"/>
    </xf>
    <xf borderId="12" fillId="15" fontId="16" numFmtId="1" xfId="0" applyAlignment="1" applyBorder="1" applyFont="1" applyNumberFormat="1">
      <alignment horizontal="center" vertical="center"/>
    </xf>
    <xf borderId="39" fillId="15" fontId="16" numFmtId="1" xfId="0" applyAlignment="1" applyBorder="1" applyFont="1" applyNumberFormat="1">
      <alignment horizontal="center" vertical="center"/>
    </xf>
    <xf borderId="11" fillId="29" fontId="15" numFmtId="0" xfId="0" applyAlignment="1" applyBorder="1" applyFont="1">
      <alignment horizontal="left" vertical="center"/>
    </xf>
    <xf borderId="11" fillId="29" fontId="16" numFmtId="164" xfId="0" applyAlignment="1" applyBorder="1" applyFont="1" applyNumberFormat="1">
      <alignment horizontal="center" vertical="center"/>
    </xf>
    <xf borderId="12" fillId="29" fontId="16" numFmtId="164" xfId="0" applyAlignment="1" applyBorder="1" applyFont="1" applyNumberFormat="1">
      <alignment horizontal="center" vertical="center"/>
    </xf>
    <xf borderId="39" fillId="29" fontId="16" numFmtId="164" xfId="0" applyAlignment="1" applyBorder="1" applyFont="1" applyNumberFormat="1">
      <alignment horizontal="center" vertical="center"/>
    </xf>
    <xf borderId="12" fillId="15" fontId="16" numFmtId="165" xfId="0" applyAlignment="1" applyBorder="1" applyFont="1" applyNumberFormat="1">
      <alignment horizontal="center" vertical="center"/>
    </xf>
    <xf borderId="39" fillId="15" fontId="16" numFmtId="165" xfId="0" applyAlignment="1" applyBorder="1" applyFont="1" applyNumberFormat="1">
      <alignment horizontal="center" vertical="center"/>
    </xf>
    <xf borderId="11" fillId="16" fontId="16" numFmtId="0" xfId="0" applyAlignment="1" applyBorder="1" applyFont="1">
      <alignment horizontal="left" readingOrder="0" vertical="center"/>
    </xf>
    <xf borderId="12" fillId="16" fontId="16" numFmtId="1" xfId="0" applyAlignment="1" applyBorder="1" applyFont="1" applyNumberFormat="1">
      <alignment horizontal="center" vertical="center"/>
    </xf>
    <xf borderId="39" fillId="16" fontId="16" numFmtId="1" xfId="0" applyAlignment="1" applyBorder="1" applyFont="1" applyNumberFormat="1">
      <alignment horizontal="center" vertical="center"/>
    </xf>
    <xf borderId="0" fillId="0" fontId="41" numFmtId="172" xfId="0" applyAlignment="1" applyFont="1" applyNumberFormat="1">
      <alignment vertical="center"/>
    </xf>
    <xf borderId="0" fillId="0" fontId="41" numFmtId="1" xfId="0" applyAlignment="1" applyFont="1" applyNumberFormat="1">
      <alignment vertical="center"/>
    </xf>
    <xf borderId="0" fillId="40" fontId="42" numFmtId="1" xfId="0" applyAlignment="1" applyFont="1" applyNumberFormat="1">
      <alignment vertical="center"/>
    </xf>
    <xf borderId="11" fillId="15" fontId="16" numFmtId="0" xfId="0" applyAlignment="1" applyBorder="1" applyFont="1">
      <alignment horizontal="left" readingOrder="0" vertical="center"/>
    </xf>
    <xf borderId="12" fillId="14" fontId="8" numFmtId="0" xfId="0" applyAlignment="1" applyBorder="1" applyFont="1">
      <alignment horizontal="left" readingOrder="0" vertical="center"/>
    </xf>
    <xf borderId="13" fillId="14" fontId="8" numFmtId="0" xfId="0" applyAlignment="1" applyBorder="1" applyFont="1">
      <alignment horizontal="left" vertical="center"/>
    </xf>
    <xf borderId="0" fillId="0" fontId="41" numFmtId="172" xfId="0" applyAlignment="1" applyFont="1" applyNumberFormat="1">
      <alignment horizontal="center" vertical="center"/>
    </xf>
    <xf borderId="0" fillId="0" fontId="41" numFmtId="1" xfId="0" applyAlignment="1" applyFont="1" applyNumberFormat="1">
      <alignment horizontal="center" vertical="center"/>
    </xf>
    <xf borderId="40" fillId="16" fontId="16" numFmtId="1" xfId="0" applyAlignment="1" applyBorder="1" applyFont="1" applyNumberFormat="1">
      <alignment horizontal="center" vertical="center"/>
    </xf>
    <xf borderId="0" fillId="40" fontId="41" numFmtId="0" xfId="0" applyAlignment="1" applyFont="1">
      <alignment vertical="center"/>
    </xf>
    <xf borderId="41" fillId="15" fontId="43" numFmtId="0" xfId="0" applyAlignment="1" applyBorder="1" applyFont="1">
      <alignment horizontal="center" vertical="center"/>
    </xf>
    <xf borderId="42" fillId="0" fontId="2" numFmtId="0" xfId="0" applyBorder="1" applyFont="1"/>
    <xf borderId="12" fillId="23" fontId="25" numFmtId="0" xfId="0" applyAlignment="1" applyBorder="1" applyFont="1">
      <alignment horizontal="left" shrinkToFit="0" vertical="center" wrapText="1"/>
    </xf>
    <xf borderId="12" fillId="12" fontId="8" numFmtId="0" xfId="0" applyAlignment="1" applyBorder="1" applyFont="1">
      <alignment horizontal="center" readingOrder="0" vertical="center"/>
    </xf>
    <xf borderId="12" fillId="15" fontId="16" numFmtId="0" xfId="0" applyAlignment="1" applyBorder="1" applyFont="1">
      <alignment horizontal="left" shrinkToFit="0" vertical="center" wrapText="1"/>
    </xf>
    <xf borderId="12" fillId="16" fontId="16" numFmtId="0" xfId="0" applyAlignment="1" applyBorder="1" applyFont="1">
      <alignment horizontal="left" shrinkToFit="0" vertical="center" wrapText="1"/>
    </xf>
    <xf borderId="32" fillId="14" fontId="44" numFmtId="0" xfId="0" applyAlignment="1" applyBorder="1" applyFont="1">
      <alignment horizontal="center" vertical="center"/>
    </xf>
    <xf borderId="34" fillId="14" fontId="44" numFmtId="0" xfId="0" applyAlignment="1" applyBorder="1" applyFont="1">
      <alignment horizontal="center" vertical="center"/>
    </xf>
    <xf borderId="34" fillId="14" fontId="44" numFmtId="0" xfId="0" applyAlignment="1" applyBorder="1" applyFont="1">
      <alignment horizontal="center" readingOrder="0" vertical="center"/>
    </xf>
    <xf borderId="12" fillId="42" fontId="13" numFmtId="0" xfId="0" applyAlignment="1" applyBorder="1" applyFill="1" applyFont="1">
      <alignment horizontal="left" vertical="center"/>
    </xf>
    <xf borderId="13" fillId="42" fontId="13" numFmtId="0" xfId="0" applyAlignment="1" applyBorder="1" applyFont="1">
      <alignment horizontal="center" vertical="center"/>
    </xf>
    <xf borderId="12" fillId="20" fontId="45" numFmtId="0" xfId="0" applyAlignment="1" applyBorder="1" applyFont="1">
      <alignment horizontal="center" readingOrder="0" vertical="center"/>
    </xf>
    <xf borderId="21" fillId="0" fontId="2" numFmtId="0" xfId="0" applyBorder="1" applyFont="1"/>
    <xf borderId="0" fillId="0" fontId="3" numFmtId="0" xfId="0" applyAlignment="1" applyFont="1">
      <alignment horizontal="left"/>
    </xf>
    <xf borderId="12" fillId="11" fontId="8" numFmtId="0" xfId="0" applyAlignment="1" applyBorder="1" applyFont="1">
      <alignment horizontal="left" vertical="center"/>
    </xf>
    <xf borderId="13" fillId="11" fontId="8" numFmtId="0" xfId="0" applyAlignment="1" applyBorder="1" applyFont="1">
      <alignment horizontal="left" vertical="center"/>
    </xf>
    <xf borderId="13" fillId="11" fontId="8" numFmtId="0" xfId="0" applyAlignment="1" applyBorder="1" applyFont="1">
      <alignment horizontal="center" vertical="center"/>
    </xf>
    <xf borderId="14" fillId="11" fontId="8" numFmtId="0" xfId="0" applyAlignment="1" applyBorder="1" applyFont="1">
      <alignment horizontal="left" vertical="center"/>
    </xf>
    <xf borderId="11" fillId="22" fontId="15" numFmtId="0" xfId="0" applyAlignment="1" applyBorder="1" applyFont="1">
      <alignment horizontal="right" vertical="center"/>
    </xf>
    <xf borderId="11" fillId="22" fontId="46" numFmtId="0" xfId="0" applyAlignment="1" applyBorder="1" applyFont="1">
      <alignment horizontal="center" vertical="center"/>
    </xf>
    <xf borderId="11" fillId="22" fontId="15" numFmtId="0" xfId="0" applyAlignment="1" applyBorder="1" applyFont="1">
      <alignment horizontal="center" vertical="center"/>
    </xf>
    <xf borderId="11" fillId="22" fontId="15" numFmtId="0" xfId="0" applyAlignment="1" applyBorder="1" applyFont="1">
      <alignment horizontal="left" vertical="center"/>
    </xf>
    <xf borderId="11" fillId="14" fontId="8" numFmtId="0" xfId="0" applyAlignment="1" applyBorder="1" applyFont="1">
      <alignment horizontal="center" readingOrder="0" shrinkToFit="0" vertical="center" wrapText="1"/>
    </xf>
    <xf borderId="11" fillId="14" fontId="8" numFmtId="0" xfId="0" applyAlignment="1" applyBorder="1" applyFont="1">
      <alignment horizontal="center" shrinkToFit="0" vertical="center" wrapText="1"/>
    </xf>
    <xf borderId="11" fillId="15" fontId="47" numFmtId="0" xfId="0" applyAlignment="1" applyBorder="1" applyFont="1">
      <alignment horizontal="center" shrinkToFit="0" vertical="center" wrapText="1"/>
    </xf>
    <xf borderId="11" fillId="0" fontId="16" numFmtId="0" xfId="0" applyAlignment="1" applyBorder="1" applyFont="1">
      <alignment horizontal="center" readingOrder="0" shrinkToFit="0" vertical="center" wrapText="1"/>
    </xf>
    <xf borderId="11" fillId="0" fontId="16" numFmtId="0" xfId="0" applyAlignment="1" applyBorder="1" applyFont="1">
      <alignment horizontal="center" shrinkToFit="0" vertical="center" wrapText="1"/>
    </xf>
    <xf borderId="11" fillId="15" fontId="16" numFmtId="174" xfId="0" applyAlignment="1" applyBorder="1" applyFont="1" applyNumberFormat="1">
      <alignment horizontal="center" readingOrder="0" shrinkToFit="0" vertical="center" wrapText="1"/>
    </xf>
    <xf borderId="11" fillId="15" fontId="16" numFmtId="175" xfId="0" applyAlignment="1" applyBorder="1" applyFont="1" applyNumberFormat="1">
      <alignment horizontal="center" readingOrder="0" shrinkToFit="0" vertical="center" wrapText="1"/>
    </xf>
    <xf borderId="11" fillId="0" fontId="29" numFmtId="0" xfId="0" applyAlignment="1" applyBorder="1" applyFont="1">
      <alignment horizontal="center" readingOrder="0" vertical="center"/>
    </xf>
    <xf borderId="11" fillId="29" fontId="48" numFmtId="0" xfId="0" applyAlignment="1" applyBorder="1" applyFont="1">
      <alignment horizontal="center" readingOrder="0" shrinkToFit="0" vertical="center" wrapText="1"/>
    </xf>
    <xf borderId="11" fillId="23" fontId="49" numFmtId="0" xfId="0" applyAlignment="1" applyBorder="1" applyFont="1">
      <alignment horizontal="center" readingOrder="0" shrinkToFit="0" vertical="center" wrapText="1"/>
    </xf>
    <xf borderId="11" fillId="0" fontId="16" numFmtId="0" xfId="0" applyAlignment="1" applyBorder="1" applyFont="1">
      <alignment horizontal="left" readingOrder="0" shrinkToFit="0" vertical="center" wrapText="1"/>
    </xf>
    <xf borderId="11" fillId="15" fontId="16" numFmtId="0" xfId="0" applyAlignment="1" applyBorder="1" applyFont="1">
      <alignment horizontal="center" readingOrder="0" shrinkToFit="0" vertical="center" wrapText="1"/>
    </xf>
    <xf borderId="11" fillId="0" fontId="16" numFmtId="173" xfId="0" applyAlignment="1" applyBorder="1" applyFont="1" applyNumberFormat="1">
      <alignment horizontal="center" readingOrder="0" shrinkToFit="0" vertical="center" wrapText="1"/>
    </xf>
    <xf borderId="11" fillId="16" fontId="16" numFmtId="0" xfId="0" applyAlignment="1" applyBorder="1" applyFont="1">
      <alignment horizontal="left" readingOrder="0" shrinkToFit="0" vertical="center" wrapText="1"/>
    </xf>
    <xf borderId="11" fillId="0" fontId="29" numFmtId="0" xfId="0" applyAlignment="1" applyBorder="1" applyFont="1">
      <alignment horizontal="center" vertical="center"/>
    </xf>
    <xf borderId="11" fillId="0" fontId="16" numFmtId="0" xfId="0" applyAlignment="1" applyBorder="1" applyFont="1">
      <alignment horizontal="left" shrinkToFit="0" vertical="center" wrapText="1"/>
    </xf>
    <xf borderId="11" fillId="15" fontId="47" numFmtId="0" xfId="0" applyAlignment="1" applyBorder="1" applyFont="1">
      <alignment horizontal="center" readingOrder="0" shrinkToFit="0" vertical="center" wrapText="1"/>
    </xf>
    <xf borderId="11" fillId="0" fontId="16" numFmtId="176" xfId="0" applyAlignment="1" applyBorder="1" applyFont="1" applyNumberFormat="1">
      <alignment horizontal="center" readingOrder="0" shrinkToFit="0" vertical="center" wrapText="1"/>
    </xf>
    <xf borderId="11" fillId="0" fontId="16" numFmtId="173" xfId="0" applyAlignment="1" applyBorder="1" applyFont="1" applyNumberFormat="1">
      <alignment horizontal="center" shrinkToFit="0" vertical="center" wrapText="1"/>
    </xf>
    <xf borderId="11" fillId="0" fontId="16" numFmtId="177" xfId="0" applyAlignment="1" applyBorder="1" applyFont="1" applyNumberFormat="1">
      <alignment horizontal="center" readingOrder="0" shrinkToFit="0" vertical="center" wrapText="1"/>
    </xf>
    <xf borderId="11" fillId="0" fontId="16" numFmtId="178" xfId="0" applyAlignment="1" applyBorder="1" applyFont="1" applyNumberFormat="1">
      <alignment horizontal="center" readingOrder="0" shrinkToFit="0" vertical="center" wrapText="1"/>
    </xf>
    <xf borderId="11" fillId="15" fontId="16" numFmtId="173" xfId="0" applyAlignment="1" applyBorder="1" applyFont="1" applyNumberFormat="1">
      <alignment horizontal="center" shrinkToFit="0" vertical="center" wrapText="1"/>
    </xf>
    <xf borderId="11" fillId="15" fontId="16" numFmtId="0" xfId="0" applyAlignment="1" applyBorder="1" applyFont="1">
      <alignment horizontal="center" shrinkToFit="0" vertical="center" wrapText="1"/>
    </xf>
    <xf borderId="1" fillId="43" fontId="33" numFmtId="0" xfId="0" applyAlignment="1" applyBorder="1" applyFill="1" applyFont="1">
      <alignment horizontal="center" vertical="center"/>
    </xf>
    <xf borderId="0" fillId="0" fontId="3" numFmtId="0" xfId="0" applyAlignment="1" applyFont="1">
      <alignment horizontal="center"/>
    </xf>
    <xf borderId="11" fillId="43" fontId="8" numFmtId="0" xfId="0" applyAlignment="1" applyBorder="1" applyFont="1">
      <alignment horizontal="center" vertical="center"/>
    </xf>
    <xf borderId="11" fillId="43" fontId="8" numFmtId="0" xfId="0" applyAlignment="1" applyBorder="1" applyFont="1">
      <alignment horizontal="center" shrinkToFit="0" vertical="center" wrapText="1"/>
    </xf>
    <xf borderId="11" fillId="43" fontId="8" numFmtId="0" xfId="0" applyAlignment="1" applyBorder="1" applyFont="1">
      <alignment horizontal="center" readingOrder="0" vertical="center"/>
    </xf>
    <xf borderId="11" fillId="16" fontId="16" numFmtId="0" xfId="0" applyAlignment="1" applyBorder="1" applyFont="1">
      <alignment horizontal="center" readingOrder="0" vertical="center"/>
    </xf>
    <xf borderId="11" fillId="16" fontId="16" numFmtId="0" xfId="0" applyAlignment="1" applyBorder="1" applyFont="1">
      <alignment horizontal="center" readingOrder="0" shrinkToFit="0" vertical="center" wrapText="1"/>
    </xf>
    <xf borderId="0" fillId="0" fontId="3" numFmtId="0" xfId="0" applyAlignment="1" applyFont="1">
      <alignment horizontal="center" vertical="bottom"/>
    </xf>
    <xf borderId="0" fillId="0" fontId="3" numFmtId="0" xfId="0" applyAlignment="1" applyFont="1">
      <alignment horizontal="center" shrinkToFit="0" vertical="bottom" wrapText="1"/>
    </xf>
    <xf borderId="0" fillId="0" fontId="3" numFmtId="0" xfId="0" applyAlignment="1" applyFont="1">
      <alignment horizontal="center" shrinkToFit="0" wrapText="1"/>
    </xf>
  </cellXfs>
  <cellStyles count="1">
    <cellStyle xfId="0" name="Normal" builtinId="0"/>
  </cellStyles>
  <dxfs count="21">
    <dxf>
      <font>
        <b/>
        <color rgb="FFC00000"/>
      </font>
      <fill>
        <patternFill patternType="solid">
          <fgColor rgb="FFFFE0E0"/>
          <bgColor rgb="FFFFE0E0"/>
        </patternFill>
      </fill>
      <border/>
    </dxf>
    <dxf>
      <font>
        <b/>
        <color rgb="FF375623"/>
      </font>
      <fill>
        <patternFill patternType="solid">
          <fgColor rgb="FFE2EFDA"/>
          <bgColor rgb="FFE2EFDA"/>
        </patternFill>
      </fill>
      <border/>
    </dxf>
    <dxf>
      <font>
        <b/>
        <color rgb="FF7F6000"/>
      </font>
      <fill>
        <patternFill patternType="solid">
          <fgColor rgb="FFFFF2CC"/>
          <bgColor rgb="FFFFF2CC"/>
        </patternFill>
      </fill>
      <border/>
    </dxf>
    <dxf>
      <font/>
      <fill>
        <patternFill patternType="solid">
          <fgColor rgb="FFE2EFDA"/>
          <bgColor rgb="FFE2EFDA"/>
        </patternFill>
      </fill>
      <border/>
    </dxf>
    <dxf>
      <font/>
      <fill>
        <patternFill patternType="solid">
          <fgColor rgb="FFFFF2CC"/>
          <bgColor rgb="FFFFF2CC"/>
        </patternFill>
      </fill>
      <border/>
    </dxf>
    <dxf>
      <font/>
      <fill>
        <patternFill patternType="solid">
          <fgColor rgb="FFFFE0E0"/>
          <bgColor rgb="FFFFE0E0"/>
        </patternFill>
      </fill>
      <border/>
    </dxf>
    <dxf>
      <font/>
      <fill>
        <patternFill patternType="none"/>
      </fill>
      <border/>
    </dxf>
    <dxf>
      <font/>
      <fill>
        <patternFill patternType="solid">
          <fgColor rgb="FFF4CCCC"/>
          <bgColor rgb="FFF4CCCC"/>
        </patternFill>
      </fill>
      <border/>
    </dxf>
    <dxf>
      <font/>
      <fill>
        <patternFill patternType="solid">
          <fgColor rgb="FFA61C00"/>
          <bgColor rgb="FFA61C00"/>
        </patternFill>
      </fill>
      <border/>
    </dxf>
    <dxf>
      <font/>
      <fill>
        <patternFill patternType="solid">
          <fgColor rgb="FFEA9999"/>
          <bgColor rgb="FFEA9999"/>
        </patternFill>
      </fill>
      <border/>
    </dxf>
    <dxf>
      <font/>
      <fill>
        <patternFill patternType="solid">
          <fgColor rgb="FFB7E1CD"/>
          <bgColor rgb="FFB7E1CD"/>
        </patternFill>
      </fill>
      <border/>
    </dxf>
    <dxf>
      <font/>
      <fill>
        <patternFill patternType="solid">
          <fgColor rgb="FFEAD1DC"/>
          <bgColor rgb="FFEAD1DC"/>
        </patternFill>
      </fill>
      <border/>
    </dxf>
    <dxf>
      <font/>
      <fill>
        <patternFill patternType="solid">
          <fgColor rgb="FFFFE599"/>
          <bgColor rgb="FFFFE599"/>
        </patternFill>
      </fill>
      <border/>
    </dxf>
    <dxf>
      <font>
        <color rgb="FFC00000"/>
      </font>
      <fill>
        <patternFill patternType="solid">
          <fgColor rgb="FFFFE0E0"/>
          <bgColor rgb="FFFFE0E0"/>
        </patternFill>
      </fill>
      <border/>
    </dxf>
    <dxf>
      <font>
        <color rgb="FF7F6000"/>
      </font>
      <fill>
        <patternFill patternType="solid">
          <fgColor rgb="FFFFF2CC"/>
          <bgColor rgb="FFFFF2CC"/>
        </patternFill>
      </fill>
      <border/>
    </dxf>
    <dxf>
      <font>
        <color rgb="FF375623"/>
      </font>
      <fill>
        <patternFill patternType="solid">
          <fgColor rgb="FFB7E1CD"/>
          <bgColor rgb="FFB7E1CD"/>
        </patternFill>
      </fill>
      <border/>
    </dxf>
    <dxf>
      <font>
        <color rgb="FFCC0000"/>
      </font>
      <fill>
        <patternFill patternType="solid">
          <fgColor rgb="FFF4CCCC"/>
          <bgColor rgb="FFF4CCCC"/>
        </patternFill>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color rgb="FF783F04"/>
      </font>
      <fill>
        <patternFill patternType="solid">
          <fgColor rgb="FFF9CB9C"/>
          <bgColor rgb="FFF9CB9C"/>
        </patternFill>
      </fill>
      <border/>
    </dxf>
  </dxfs>
  <tableStyles count="1">
    <tableStyle count="3" pivot="0" name="Action Tracker-style">
      <tableStyleElement dxfId="17" type="headerRow"/>
      <tableStyleElement dxfId="18" type="firstRowStripe"/>
      <tableStyleElement dxfId="19"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5" Type="http://schemas.openxmlformats.org/officeDocument/2006/relationships/worksheet" Target="worksheets/sheet11.xml"/><Relationship Id="rId16" Type="http://schemas.openxmlformats.org/officeDocument/2006/relationships/worksheet" Target="worksheets/sheet12.xml"/><Relationship Id="rId17" Type="http://schemas.openxmlformats.org/officeDocument/2006/relationships/worksheet" Target="worksheets/sheet13.xml"/><Relationship Id="rId18" Type="http://schemas.openxmlformats.org/officeDocument/2006/relationships/worksheet" Target="worksheets/sheet14.xml"/><Relationship Id="rId19" Type="http://schemas.openxmlformats.org/officeDocument/2006/relationships/worksheet" Target="worksheets/sheet15.xml"/><Relationship Id="rId20" Type="http://schemas.openxmlformats.org/officeDocument/2006/relationships/worksheet" Target="worksheets/sheet16.xml"/><Relationship Id="rId21" Type="http://schemas.openxmlformats.org/officeDocument/2006/relationships/worksheet" Target="worksheets/sheet17.xml"/><Relationship Id="rId22" Type="http://schemas.openxmlformats.org/officeDocument/2006/relationships/worksheet" Target="worksheets/sheet18.xml"/><Relationship Id="rId23" Type="http://schemas.openxmlformats.org/officeDocument/2006/relationships/worksheet" Target="worksheets/sheet19.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400">
                <a:solidFill>
                  <a:srgbClr val="757575"/>
                </a:solidFill>
                <a:latin typeface="+mn-lt"/>
              </a:defRPr>
            </a:pPr>
            <a:r>
              <a:rPr b="1" sz="2400">
                <a:solidFill>
                  <a:srgbClr val="757575"/>
                </a:solidFill>
                <a:latin typeface="+mn-lt"/>
              </a:rPr>
              <a:t>Viscosity</a:t>
            </a:r>
          </a:p>
        </c:rich>
      </c:tx>
      <c:overlay val="0"/>
    </c:title>
    <c:plotArea>
      <c:layout/>
      <c:lineChart>
        <c:varyColors val="0"/>
        <c:ser>
          <c:idx val="0"/>
          <c:order val="0"/>
          <c:tx>
            <c:strRef>
              <c:f>'📊Analysis Reports'!$J$13</c:f>
            </c:strRef>
          </c:tx>
          <c:spPr>
            <a:ln cmpd="sng">
              <a:solidFill>
                <a:srgbClr val="6AA84F">
                  <a:alpha val="100000"/>
                </a:srgbClr>
              </a:solidFill>
            </a:ln>
          </c:spPr>
          <c:marker>
            <c:symbol val="circle"/>
            <c:size val="10"/>
            <c:spPr>
              <a:solidFill>
                <a:srgbClr val="6AA84F">
                  <a:alpha val="100000"/>
                </a:srgbClr>
              </a:solidFill>
              <a:ln cmpd="sng">
                <a:solidFill>
                  <a:srgbClr val="6AA84F">
                    <a:alpha val="100000"/>
                  </a:srgbClr>
                </a:solidFill>
              </a:ln>
            </c:spPr>
          </c:marker>
          <c:dLbls>
            <c:numFmt formatCode="General" sourceLinked="1"/>
            <c:txPr>
              <a:bodyPr/>
              <a:lstStyle/>
              <a:p>
                <a:pPr lvl="0">
                  <a:defRPr/>
                </a:pPr>
              </a:p>
            </c:txPr>
            <c:showLegendKey val="0"/>
            <c:showVal val="1"/>
            <c:showCatName val="0"/>
            <c:showSerName val="0"/>
            <c:showPercent val="0"/>
            <c:showBubbleSize val="0"/>
          </c:dLbls>
          <c:cat>
            <c:strRef>
              <c:f>'📊Analysis Reports'!$I$14:$I$18</c:f>
            </c:strRef>
          </c:cat>
          <c:val>
            <c:numRef>
              <c:f>'📊Analysis Reports'!$J$14:$J$18</c:f>
              <c:numCache/>
            </c:numRef>
          </c:val>
          <c:smooth val="1"/>
        </c:ser>
        <c:axId val="1508689042"/>
        <c:axId val="67697947"/>
      </c:lineChart>
      <c:catAx>
        <c:axId val="15086890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7697947"/>
      </c:catAx>
      <c:valAx>
        <c:axId val="676979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08689042"/>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3000">
                <a:solidFill>
                  <a:srgbClr val="757575"/>
                </a:solidFill>
                <a:latin typeface="+mn-lt"/>
              </a:defRPr>
            </a:pPr>
            <a:r>
              <a:rPr b="1" sz="3000">
                <a:solidFill>
                  <a:srgbClr val="757575"/>
                </a:solidFill>
                <a:latin typeface="+mn-lt"/>
              </a:rPr>
              <a:t>Wear</a:t>
            </a:r>
          </a:p>
        </c:rich>
      </c:tx>
      <c:overlay val="0"/>
    </c:title>
    <c:plotArea>
      <c:layout/>
      <c:lineChart>
        <c:ser>
          <c:idx val="0"/>
          <c:order val="0"/>
          <c:tx>
            <c:strRef>
              <c:f>'📊Analysis Reports'!$I$29</c:f>
            </c:strRef>
          </c:tx>
          <c:spPr>
            <a:ln cmpd="sng">
              <a:solidFill>
                <a:srgbClr val="4F81BD"/>
              </a:solidFill>
            </a:ln>
          </c:spPr>
          <c:marker>
            <c:symbol val="circle"/>
            <c:size val="7"/>
            <c:spPr>
              <a:solidFill>
                <a:srgbClr val="4F81BD"/>
              </a:solidFill>
              <a:ln cmpd="sng">
                <a:solidFill>
                  <a:srgbClr val="4F81BD"/>
                </a:solidFill>
              </a:ln>
            </c:spPr>
          </c:marker>
          <c:cat>
            <c:strRef>
              <c:f>'📊Analysis Reports'!$H$30:$H$34</c:f>
            </c:strRef>
          </c:cat>
          <c:val>
            <c:numRef>
              <c:f>'📊Analysis Reports'!$I$30:$I$34</c:f>
              <c:numCache/>
            </c:numRef>
          </c:val>
          <c:smooth val="1"/>
        </c:ser>
        <c:ser>
          <c:idx val="1"/>
          <c:order val="1"/>
          <c:tx>
            <c:strRef>
              <c:f>'📊Analysis Reports'!$J$29</c:f>
            </c:strRef>
          </c:tx>
          <c:spPr>
            <a:ln cmpd="sng">
              <a:solidFill>
                <a:srgbClr val="C0504D"/>
              </a:solidFill>
            </a:ln>
          </c:spPr>
          <c:marker>
            <c:symbol val="circle"/>
            <c:size val="7"/>
            <c:spPr>
              <a:solidFill>
                <a:srgbClr val="C0504D"/>
              </a:solidFill>
              <a:ln cmpd="sng">
                <a:solidFill>
                  <a:srgbClr val="C0504D"/>
                </a:solidFill>
              </a:ln>
            </c:spPr>
          </c:marker>
          <c:cat>
            <c:strRef>
              <c:f>'📊Analysis Reports'!$H$30:$H$34</c:f>
            </c:strRef>
          </c:cat>
          <c:val>
            <c:numRef>
              <c:f>'📊Analysis Reports'!$J$30:$J$34</c:f>
              <c:numCache/>
            </c:numRef>
          </c:val>
          <c:smooth val="1"/>
        </c:ser>
        <c:ser>
          <c:idx val="2"/>
          <c:order val="2"/>
          <c:tx>
            <c:strRef>
              <c:f>'📊Analysis Reports'!$K$29</c:f>
            </c:strRef>
          </c:tx>
          <c:spPr>
            <a:ln cmpd="sng">
              <a:solidFill>
                <a:srgbClr val="9BBB59"/>
              </a:solidFill>
            </a:ln>
          </c:spPr>
          <c:marker>
            <c:symbol val="circle"/>
            <c:size val="7"/>
            <c:spPr>
              <a:solidFill>
                <a:srgbClr val="9BBB59"/>
              </a:solidFill>
              <a:ln cmpd="sng">
                <a:solidFill>
                  <a:srgbClr val="9BBB59"/>
                </a:solidFill>
              </a:ln>
            </c:spPr>
          </c:marker>
          <c:cat>
            <c:strRef>
              <c:f>'📊Analysis Reports'!$H$30:$H$34</c:f>
            </c:strRef>
          </c:cat>
          <c:val>
            <c:numRef>
              <c:f>'📊Analysis Reports'!$K$30:$K$34</c:f>
              <c:numCache/>
            </c:numRef>
          </c:val>
          <c:smooth val="1"/>
        </c:ser>
        <c:ser>
          <c:idx val="3"/>
          <c:order val="3"/>
          <c:tx>
            <c:strRef>
              <c:f>'📊Analysis Reports'!$L$29</c:f>
            </c:strRef>
          </c:tx>
          <c:spPr>
            <a:ln cmpd="sng">
              <a:solidFill>
                <a:srgbClr val="8064A2"/>
              </a:solidFill>
            </a:ln>
          </c:spPr>
          <c:marker>
            <c:symbol val="circle"/>
            <c:size val="7"/>
            <c:spPr>
              <a:solidFill>
                <a:srgbClr val="8064A2"/>
              </a:solidFill>
              <a:ln cmpd="sng">
                <a:solidFill>
                  <a:srgbClr val="8064A2"/>
                </a:solidFill>
              </a:ln>
            </c:spPr>
          </c:marker>
          <c:cat>
            <c:strRef>
              <c:f>'📊Analysis Reports'!$H$30:$H$34</c:f>
            </c:strRef>
          </c:cat>
          <c:val>
            <c:numRef>
              <c:f>'📊Analysis Reports'!$L$30:$L$34</c:f>
              <c:numCache/>
            </c:numRef>
          </c:val>
          <c:smooth val="1"/>
        </c:ser>
        <c:ser>
          <c:idx val="4"/>
          <c:order val="4"/>
          <c:tx>
            <c:strRef>
              <c:f>'📊Analysis Reports'!$M$29</c:f>
            </c:strRef>
          </c:tx>
          <c:spPr>
            <a:ln cmpd="sng">
              <a:solidFill>
                <a:srgbClr val="4BACC6"/>
              </a:solidFill>
            </a:ln>
          </c:spPr>
          <c:marker>
            <c:symbol val="circle"/>
            <c:size val="7"/>
            <c:spPr>
              <a:solidFill>
                <a:srgbClr val="4BACC6"/>
              </a:solidFill>
              <a:ln cmpd="sng">
                <a:solidFill>
                  <a:srgbClr val="4BACC6"/>
                </a:solidFill>
              </a:ln>
            </c:spPr>
          </c:marker>
          <c:cat>
            <c:strRef>
              <c:f>'📊Analysis Reports'!$H$30:$H$34</c:f>
            </c:strRef>
          </c:cat>
          <c:val>
            <c:numRef>
              <c:f>'📊Analysis Reports'!$M$30:$M$34</c:f>
              <c:numCache/>
            </c:numRef>
          </c:val>
          <c:smooth val="1"/>
        </c:ser>
        <c:ser>
          <c:idx val="5"/>
          <c:order val="5"/>
          <c:tx>
            <c:strRef>
              <c:f>'📊Analysis Reports'!$N$29</c:f>
            </c:strRef>
          </c:tx>
          <c:spPr>
            <a:ln cmpd="sng">
              <a:solidFill>
                <a:srgbClr val="F79646"/>
              </a:solidFill>
            </a:ln>
          </c:spPr>
          <c:marker>
            <c:symbol val="circle"/>
            <c:size val="7"/>
            <c:spPr>
              <a:solidFill>
                <a:srgbClr val="F79646"/>
              </a:solidFill>
              <a:ln cmpd="sng">
                <a:solidFill>
                  <a:srgbClr val="F79646"/>
                </a:solidFill>
              </a:ln>
            </c:spPr>
          </c:marker>
          <c:cat>
            <c:strRef>
              <c:f>'📊Analysis Reports'!$H$30:$H$34</c:f>
            </c:strRef>
          </c:cat>
          <c:val>
            <c:numRef>
              <c:f>'📊Analysis Reports'!$N$30:$N$34</c:f>
              <c:numCache/>
            </c:numRef>
          </c:val>
          <c:smooth val="1"/>
        </c:ser>
        <c:ser>
          <c:idx val="6"/>
          <c:order val="6"/>
          <c:tx>
            <c:strRef>
              <c:f>'📊Analysis Reports'!$O$29</c:f>
            </c:strRef>
          </c:tx>
          <c:spPr>
            <a:ln cmpd="sng">
              <a:solidFill>
                <a:srgbClr val="84A7D1"/>
              </a:solidFill>
            </a:ln>
          </c:spPr>
          <c:marker>
            <c:symbol val="circle"/>
            <c:size val="7"/>
            <c:spPr>
              <a:solidFill>
                <a:srgbClr val="84A7D1"/>
              </a:solidFill>
              <a:ln cmpd="sng">
                <a:solidFill>
                  <a:srgbClr val="84A7D1"/>
                </a:solidFill>
              </a:ln>
            </c:spPr>
          </c:marker>
          <c:cat>
            <c:strRef>
              <c:f>'📊Analysis Reports'!$H$30:$H$34</c:f>
            </c:strRef>
          </c:cat>
          <c:val>
            <c:numRef>
              <c:f>'📊Analysis Reports'!$O$30:$O$34</c:f>
              <c:numCache/>
            </c:numRef>
          </c:val>
          <c:smooth val="1"/>
        </c:ser>
        <c:axId val="770670390"/>
        <c:axId val="685124358"/>
      </c:lineChart>
      <c:catAx>
        <c:axId val="7706703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85124358"/>
      </c:catAx>
      <c:valAx>
        <c:axId val="6851243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70670390"/>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3000">
                <a:solidFill>
                  <a:srgbClr val="757575"/>
                </a:solidFill>
                <a:latin typeface="+mn-lt"/>
              </a:defRPr>
            </a:pPr>
            <a:r>
              <a:rPr b="1" sz="3000">
                <a:solidFill>
                  <a:srgbClr val="757575"/>
                </a:solidFill>
                <a:latin typeface="+mn-lt"/>
              </a:rPr>
              <a:t>Contaminant (ppm)</a:t>
            </a:r>
          </a:p>
        </c:rich>
      </c:tx>
      <c:overlay val="0"/>
    </c:title>
    <c:plotArea>
      <c:layout/>
      <c:lineChart>
        <c:ser>
          <c:idx val="0"/>
          <c:order val="0"/>
          <c:tx>
            <c:strRef>
              <c:f>'📊Analysis Reports'!$I$43</c:f>
            </c:strRef>
          </c:tx>
          <c:spPr>
            <a:ln cmpd="sng">
              <a:solidFill>
                <a:srgbClr val="4F81BD"/>
              </a:solidFill>
            </a:ln>
          </c:spPr>
          <c:marker>
            <c:symbol val="circle"/>
            <c:size val="7"/>
            <c:spPr>
              <a:solidFill>
                <a:srgbClr val="4F81BD"/>
              </a:solidFill>
              <a:ln cmpd="sng">
                <a:solidFill>
                  <a:srgbClr val="4F81BD"/>
                </a:solidFill>
              </a:ln>
            </c:spPr>
          </c:marker>
          <c:cat>
            <c:strRef>
              <c:f>'📊Analysis Reports'!$H$44:$H$48</c:f>
            </c:strRef>
          </c:cat>
          <c:val>
            <c:numRef>
              <c:f>'📊Analysis Reports'!$I$44:$I$48</c:f>
              <c:numCache/>
            </c:numRef>
          </c:val>
          <c:smooth val="1"/>
        </c:ser>
        <c:ser>
          <c:idx val="1"/>
          <c:order val="1"/>
          <c:tx>
            <c:strRef>
              <c:f>'📊Analysis Reports'!$J$43</c:f>
            </c:strRef>
          </c:tx>
          <c:spPr>
            <a:ln cmpd="sng">
              <a:solidFill>
                <a:srgbClr val="C0504D"/>
              </a:solidFill>
            </a:ln>
          </c:spPr>
          <c:marker>
            <c:symbol val="circle"/>
            <c:size val="7"/>
            <c:spPr>
              <a:solidFill>
                <a:srgbClr val="C0504D"/>
              </a:solidFill>
              <a:ln cmpd="sng">
                <a:solidFill>
                  <a:srgbClr val="C0504D"/>
                </a:solidFill>
              </a:ln>
            </c:spPr>
          </c:marker>
          <c:cat>
            <c:strRef>
              <c:f>'📊Analysis Reports'!$H$44:$H$48</c:f>
            </c:strRef>
          </c:cat>
          <c:val>
            <c:numRef>
              <c:f>'📊Analysis Reports'!$J$44:$J$48</c:f>
              <c:numCache/>
            </c:numRef>
          </c:val>
          <c:smooth val="1"/>
        </c:ser>
        <c:ser>
          <c:idx val="2"/>
          <c:order val="2"/>
          <c:tx>
            <c:strRef>
              <c:f>'📊Analysis Reports'!$K$43</c:f>
            </c:strRef>
          </c:tx>
          <c:spPr>
            <a:ln cmpd="sng">
              <a:solidFill>
                <a:srgbClr val="9BBB59"/>
              </a:solidFill>
            </a:ln>
          </c:spPr>
          <c:marker>
            <c:symbol val="circle"/>
            <c:size val="7"/>
            <c:spPr>
              <a:solidFill>
                <a:srgbClr val="9BBB59"/>
              </a:solidFill>
              <a:ln cmpd="sng">
                <a:solidFill>
                  <a:srgbClr val="9BBB59"/>
                </a:solidFill>
              </a:ln>
            </c:spPr>
          </c:marker>
          <c:cat>
            <c:strRef>
              <c:f>'📊Analysis Reports'!$H$44:$H$48</c:f>
            </c:strRef>
          </c:cat>
          <c:val>
            <c:numRef>
              <c:f>'📊Analysis Reports'!$K$44:$K$48</c:f>
              <c:numCache/>
            </c:numRef>
          </c:val>
          <c:smooth val="1"/>
        </c:ser>
        <c:axId val="1059095509"/>
        <c:axId val="1412603587"/>
      </c:lineChart>
      <c:catAx>
        <c:axId val="10590955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12603587"/>
      </c:catAx>
      <c:valAx>
        <c:axId val="14126035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59095509"/>
      </c:valAx>
    </c:plotArea>
    <c:legend>
      <c:legendPos val="r"/>
      <c:overlay val="0"/>
      <c:txPr>
        <a:bodyPr/>
        <a:lstStyle/>
        <a:p>
          <a:pPr lvl="0">
            <a:defRPr b="0">
              <a:solidFill>
                <a:srgbClr val="1A1A1A"/>
              </a:solidFill>
              <a:latin typeface="+mn-lt"/>
            </a:defRPr>
          </a:pPr>
        </a:p>
      </c:txPr>
    </c:legend>
    <c:plotVisOnly val="1"/>
  </c:chart>
</c:chartSpace>
</file>

<file path=xl/drawings/_rels/drawing8.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933450</xdr:colOff>
      <xdr:row>11</xdr:row>
      <xdr:rowOff>228600</xdr:rowOff>
    </xdr:from>
    <xdr:ext cx="6486525" cy="24384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933450</xdr:colOff>
      <xdr:row>24</xdr:row>
      <xdr:rowOff>9525</xdr:rowOff>
    </xdr:from>
    <xdr:ext cx="6486525" cy="24384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933450</xdr:colOff>
      <xdr:row>37</xdr:row>
      <xdr:rowOff>95250</xdr:rowOff>
    </xdr:from>
    <xdr:ext cx="6486525" cy="224790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O940" displayName="Table_1" name="Table_1" id="1">
  <tableColumns count="1">
    <tableColumn name="Column1" id="1"/>
  </tableColumns>
  <tableStyleInfo name="Action Tracker-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1">
      <c r="A1" s="1" t="s">
        <v>0</v>
      </c>
      <c r="B1" s="2"/>
      <c r="C1" s="2"/>
      <c r="D1" s="2"/>
      <c r="E1" s="2"/>
      <c r="F1" s="2"/>
      <c r="G1" s="2"/>
      <c r="H1" s="2"/>
      <c r="I1" s="2"/>
      <c r="J1" s="2"/>
      <c r="K1" s="2"/>
      <c r="L1" s="2"/>
      <c r="M1" s="2"/>
      <c r="N1" s="2"/>
      <c r="O1" s="2"/>
      <c r="P1" s="2"/>
      <c r="Q1" s="2"/>
      <c r="R1" s="3"/>
      <c r="S1" s="4"/>
      <c r="T1" s="4"/>
      <c r="U1" s="4"/>
      <c r="V1" s="4"/>
      <c r="W1" s="4"/>
      <c r="X1" s="4"/>
      <c r="Y1" s="4"/>
      <c r="Z1" s="4"/>
    </row>
    <row r="2">
      <c r="A2" s="5" t="s">
        <v>1</v>
      </c>
      <c r="B2" s="2"/>
      <c r="C2" s="2"/>
      <c r="D2" s="2"/>
      <c r="E2" s="2"/>
      <c r="F2" s="2"/>
      <c r="G2" s="2"/>
      <c r="H2" s="2"/>
      <c r="I2" s="2"/>
      <c r="J2" s="2"/>
      <c r="K2" s="2"/>
      <c r="L2" s="2"/>
      <c r="M2" s="2"/>
      <c r="N2" s="2"/>
      <c r="O2" s="2"/>
      <c r="P2" s="2"/>
      <c r="Q2" s="2"/>
      <c r="R2" s="3"/>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6" t="s">
        <v>2</v>
      </c>
      <c r="B4" s="7" t="s">
        <v>3</v>
      </c>
      <c r="C4" s="8"/>
      <c r="D4" s="8"/>
      <c r="E4" s="9"/>
      <c r="F4" s="10" t="s">
        <v>4</v>
      </c>
      <c r="S4" s="4"/>
      <c r="T4" s="4"/>
      <c r="U4" s="4"/>
      <c r="V4" s="4"/>
      <c r="W4" s="4"/>
      <c r="X4" s="4"/>
      <c r="Y4" s="4"/>
      <c r="Z4" s="4"/>
    </row>
    <row r="5">
      <c r="A5" s="4"/>
      <c r="B5" s="4"/>
      <c r="C5" s="4"/>
      <c r="D5" s="4"/>
      <c r="E5" s="4"/>
      <c r="F5" s="4"/>
      <c r="G5" s="4"/>
      <c r="H5" s="4"/>
      <c r="I5" s="4"/>
      <c r="J5" s="4"/>
      <c r="K5" s="4"/>
      <c r="L5" s="4"/>
      <c r="M5" s="4"/>
      <c r="N5" s="4"/>
      <c r="O5" s="4"/>
      <c r="P5" s="4"/>
      <c r="Q5" s="4"/>
      <c r="R5" s="4"/>
      <c r="S5" s="4"/>
      <c r="T5" s="4"/>
      <c r="U5" s="4"/>
      <c r="V5" s="4"/>
      <c r="W5" s="4"/>
      <c r="X5" s="4"/>
      <c r="Y5" s="4"/>
      <c r="Z5" s="4"/>
    </row>
    <row r="6">
      <c r="A6" s="11" t="s">
        <v>5</v>
      </c>
      <c r="B6" s="12">
        <f t="array" ref="B6">XLOOKUP(B4,'Equipment Registry'!A2:A1016,'Equipment Registry'!C2:C1016)</f>
        <v>40104806</v>
      </c>
      <c r="C6" s="11" t="s">
        <v>6</v>
      </c>
      <c r="D6" s="13" t="str">
        <f t="array" ref="D6">IFERROR(INDEX('_lookup'!$C:$C,MATCH($B$4,'_lookup'!$A:$A,0)),"")</f>
        <v/>
      </c>
      <c r="E6" s="3"/>
      <c r="F6" s="4"/>
      <c r="G6" s="11" t="s">
        <v>7</v>
      </c>
      <c r="H6" s="12" t="str">
        <f t="array" ref="H6">IFERROR(INDEX('_lookup'!$D:$D,MATCH($B$4,'_lookup'!$A:$A,0)),"")</f>
        <v/>
      </c>
      <c r="I6" s="4"/>
      <c r="J6" s="11" t="s">
        <v>8</v>
      </c>
      <c r="K6" s="12" t="str">
        <f t="array" ref="K6">IFERROR(INDEX('_lookup'!$E:$E,MATCH($B$4,'_lookup'!$A:$A,0)),"")</f>
        <v/>
      </c>
      <c r="L6" s="4"/>
      <c r="M6" s="11" t="s">
        <v>9</v>
      </c>
      <c r="N6" s="12" t="str">
        <f t="array" ref="N6">IFERROR(INDEX('_lookup'!$F:$F,MATCH($B$4,'_lookup'!$A:$A,0)),"")</f>
        <v/>
      </c>
      <c r="O6" s="4"/>
      <c r="P6" s="11" t="s">
        <v>10</v>
      </c>
      <c r="Q6" s="12" t="str">
        <f t="array" ref="Q6">IFERROR(INDEX('_lookup'!$G:$G,MATCH($B$4,'_lookup'!$A:$A,0)),"")</f>
        <v/>
      </c>
      <c r="R6" s="4"/>
      <c r="S6" s="4"/>
      <c r="T6" s="4"/>
      <c r="U6" s="4"/>
      <c r="V6" s="4"/>
      <c r="W6" s="4"/>
      <c r="X6" s="4"/>
      <c r="Y6" s="4"/>
      <c r="Z6" s="4"/>
    </row>
    <row r="7">
      <c r="A7" s="4"/>
      <c r="B7" s="4"/>
      <c r="C7" s="4"/>
      <c r="D7" s="4"/>
      <c r="E7" s="4"/>
      <c r="F7" s="4"/>
      <c r="G7" s="4"/>
      <c r="H7" s="4"/>
      <c r="I7" s="4"/>
      <c r="J7" s="4"/>
      <c r="K7" s="4"/>
      <c r="L7" s="4"/>
      <c r="M7" s="4"/>
      <c r="N7" s="4"/>
      <c r="O7" s="4"/>
      <c r="P7" s="4"/>
      <c r="Q7" s="4"/>
      <c r="R7" s="4"/>
      <c r="S7" s="4"/>
      <c r="T7" s="4"/>
      <c r="U7" s="4"/>
      <c r="V7" s="4"/>
      <c r="W7" s="4"/>
      <c r="X7" s="4"/>
      <c r="Y7" s="4"/>
      <c r="Z7" s="4"/>
    </row>
    <row r="8">
      <c r="A8" s="14" t="s">
        <v>11</v>
      </c>
      <c r="B8" s="15"/>
      <c r="C8" s="14" t="s">
        <v>12</v>
      </c>
      <c r="D8" s="15"/>
      <c r="E8" s="14" t="s">
        <v>13</v>
      </c>
      <c r="F8" s="15"/>
      <c r="G8" s="14" t="s">
        <v>14</v>
      </c>
      <c r="H8" s="15"/>
      <c r="I8" s="14" t="s">
        <v>15</v>
      </c>
      <c r="J8" s="15"/>
      <c r="K8" s="14" t="s">
        <v>16</v>
      </c>
      <c r="L8" s="15"/>
      <c r="M8" s="14" t="s">
        <v>17</v>
      </c>
      <c r="N8" s="15"/>
      <c r="O8" s="14" t="s">
        <v>18</v>
      </c>
      <c r="P8" s="15"/>
      <c r="Q8" s="14" t="s">
        <v>19</v>
      </c>
      <c r="R8" s="15"/>
      <c r="S8" s="4"/>
      <c r="T8" s="4"/>
      <c r="U8" s="4"/>
      <c r="V8" s="4"/>
      <c r="W8" s="4"/>
      <c r="X8" s="4"/>
      <c r="Y8" s="4"/>
      <c r="Z8" s="4"/>
    </row>
    <row r="9">
      <c r="A9" s="16" t="str">
        <f t="array" ref="A9">IFERROR(INDEX('_lookup'!$I:$I,MATCH($B$4,'_lookup'!$A:$A,0)),"")</f>
        <v/>
      </c>
      <c r="B9" s="15"/>
      <c r="C9" s="16" t="str">
        <f t="array" ref="C9">IFERROR(INDEX('_lookup'!$J:$J,MATCH($B$4,'_lookup'!$A:$A,0)),"")</f>
        <v/>
      </c>
      <c r="D9" s="15"/>
      <c r="E9" s="17" t="str">
        <f t="array" ref="E9">IFERROR(INDEX('_lookup'!$H:$H,MATCH($B$4,'_lookup'!$A:$A,0)),"")</f>
        <v/>
      </c>
      <c r="F9" s="15"/>
      <c r="G9" s="18" t="str">
        <f t="array" ref="G9">IFERROR(INDEX('_lookup'!$K:$K,MATCH($B$4,'_lookup'!$A:$A,0)),"")</f>
        <v/>
      </c>
      <c r="H9" s="15"/>
      <c r="I9" s="19" t="str">
        <f t="array" ref="I9">IFERROR(INDEX('_lookup'!$L:$L,MATCH($B$4,'_lookup'!$A:$A,0)),"")</f>
        <v/>
      </c>
      <c r="J9" s="15"/>
      <c r="K9" s="18" t="str">
        <f t="array" ref="K9">IFERROR(INDEX('_lookup'!$M:$M,MATCH($B$4,'_lookup'!$A:$A,0)),"")</f>
        <v/>
      </c>
      <c r="L9" s="15"/>
      <c r="M9" s="20" t="str">
        <f t="array" ref="M9">IFERROR(INDEX('_lookup'!$N:$N,MATCH($B$4,'_lookup'!$A:$A,0)),"")</f>
        <v/>
      </c>
      <c r="N9" s="15"/>
      <c r="O9" s="20" t="str">
        <f t="array" ref="O9">IFERROR(INDEX('_lookup'!$O:$O,MATCH($B$4,'_lookup'!$A:$A,0)),"")</f>
        <v/>
      </c>
      <c r="P9" s="15"/>
      <c r="Q9" s="20" t="str">
        <f t="array" ref="Q9">IFERROR(INDEX('_lookup'!$P:$P,MATCH($B$4,'_lookup'!$A:$A,0)),"")</f>
        <v/>
      </c>
      <c r="R9" s="15"/>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21" t="s">
        <v>20</v>
      </c>
      <c r="B12" s="21" t="s">
        <v>21</v>
      </c>
      <c r="C12" s="21" t="s">
        <v>22</v>
      </c>
      <c r="D12" s="21" t="s">
        <v>23</v>
      </c>
      <c r="E12" s="21" t="s">
        <v>24</v>
      </c>
      <c r="F12" s="21" t="s">
        <v>25</v>
      </c>
      <c r="G12" s="21" t="s">
        <v>26</v>
      </c>
      <c r="H12" s="21" t="s">
        <v>27</v>
      </c>
      <c r="I12" s="21" t="s">
        <v>28</v>
      </c>
      <c r="J12" s="21" t="s">
        <v>29</v>
      </c>
      <c r="K12" s="21" t="s">
        <v>30</v>
      </c>
      <c r="L12" s="21" t="s">
        <v>31</v>
      </c>
      <c r="M12" s="21" t="s">
        <v>32</v>
      </c>
      <c r="N12" s="21" t="s">
        <v>33</v>
      </c>
      <c r="O12" s="21" t="s">
        <v>34</v>
      </c>
      <c r="P12" s="21" t="s">
        <v>35</v>
      </c>
      <c r="Q12" s="4"/>
      <c r="R12" s="4"/>
      <c r="S12" s="4"/>
      <c r="T12" s="4"/>
      <c r="U12" s="4"/>
      <c r="V12" s="4"/>
      <c r="W12" s="4"/>
      <c r="X12" s="4"/>
      <c r="Y12" s="4"/>
      <c r="Z12" s="4"/>
    </row>
    <row r="13">
      <c r="A13" s="22" t="str">
        <f t="array" ref="A13">IFERROR(INDEX('_samples'!$B:$B,SMALL(IF('_samples'!$A:$A=$B$4,ROW('_samples'!$A:$A)),1)),"")</f>
        <v/>
      </c>
      <c r="B13" s="22" t="str">
        <f t="array" ref="B13">IFERROR(INDEX('_samples'!$C:$C,SMALL(IF('_samples'!$A:$A=$B$4,ROW('_samples'!$A:$A)),1)),"")</f>
        <v/>
      </c>
      <c r="C13" s="23" t="str">
        <f t="array" ref="C13">IFERROR(INDEX('_samples'!$D:$D,SMALL(IF('_samples'!$A:$A=$B$4,ROW('_samples'!$A:$A)),1)),"")</f>
        <v/>
      </c>
      <c r="D13" s="23" t="str">
        <f t="array" ref="D13">IFERROR(INDEX('_samples'!$E:$E,SMALL(IF('_samples'!$A:$A=$B$4,ROW('_samples'!$A:$A)),1)),"")</f>
        <v/>
      </c>
      <c r="E13" s="23" t="str">
        <f t="array" ref="E13">IFERROR(INDEX('_samples'!$F:$F,SMALL(IF('_samples'!$A:$A=$B$4,ROW('_samples'!$A:$A)),1)),"")</f>
        <v/>
      </c>
      <c r="F13" s="23" t="str">
        <f t="array" ref="F13">IFERROR(INDEX('_samples'!$G:$G,SMALL(IF('_samples'!$A:$A=$B$4,ROW('_samples'!$A:$A)),1)),"")</f>
        <v/>
      </c>
      <c r="G13" s="22" t="str">
        <f t="array" ref="G13">IFERROR(INDEX('_samples'!$H:$H,SMALL(IF('_samples'!$A:$A=$B$4,ROW('_samples'!$A:$A)),1)),"")</f>
        <v/>
      </c>
      <c r="H13" s="22" t="str">
        <f t="array" ref="H13">IFERROR(INDEX('_samples'!$I:$I,SMALL(IF('_samples'!$A:$A=$B$4,ROW('_samples'!$A:$A)),1)),"")</f>
        <v/>
      </c>
      <c r="I13" s="24" t="str">
        <f t="array" ref="I13">IFERROR(INDEX('_samples'!$J:$J,SMALL(IF('_samples'!$A:$A=$B$4,ROW('_samples'!$A:$A)),1)),"")</f>
        <v/>
      </c>
      <c r="J13" s="22" t="str">
        <f t="array" ref="J13">IFERROR(INDEX('_samples'!$K:$K,SMALL(IF('_samples'!$A:$A=$B$4,ROW('_samples'!$A:$A)),1)),"")</f>
        <v/>
      </c>
      <c r="K13" s="22" t="str">
        <f t="array" ref="K13">IFERROR(INDEX('_samples'!$L:$L,SMALL(IF('_samples'!$A:$A=$B$4,ROW('_samples'!$A:$A)),1)),"")</f>
        <v/>
      </c>
      <c r="L13" s="22" t="str">
        <f t="array" ref="L13">IFERROR(INDEX('_samples'!$M:$M,SMALL(IF('_samples'!$A:$A=$B$4,ROW('_samples'!$A:$A)),1)),"")</f>
        <v/>
      </c>
      <c r="M13" s="22" t="str">
        <f t="array" ref="M13">IFERROR(INDEX('_samples'!$N:$N,SMALL(IF('_samples'!$A:$A=$B$4,ROW('_samples'!$A:$A)),1)),"")</f>
        <v/>
      </c>
      <c r="N13" s="22" t="str">
        <f t="array" ref="N13">IFERROR(INDEX('_samples'!$O:$O,SMALL(IF('_samples'!$A:$A=$B$4,ROW('_samples'!$A:$A)),1)),"")</f>
        <v/>
      </c>
      <c r="O13" s="22" t="str">
        <f t="array" ref="O13">IFERROR(INDEX('_samples'!$P:$P,SMALL(IF('_samples'!$A:$A=$B$4,ROW('_samples'!$A:$A)),1)),"")</f>
        <v/>
      </c>
      <c r="P13" s="22" t="str">
        <f t="array" ref="P13">IFERROR(INDEX('_samples'!$R:$R,SMALL(IF('_samples'!$A:$A=$B$4,ROW('_samples'!$A:$A)),1)),"")</f>
        <v/>
      </c>
      <c r="Q13" s="4"/>
      <c r="R13" s="4"/>
      <c r="S13" s="4"/>
      <c r="T13" s="4"/>
      <c r="U13" s="4"/>
      <c r="V13" s="4"/>
      <c r="W13" s="4"/>
      <c r="X13" s="4"/>
      <c r="Y13" s="4"/>
      <c r="Z13" s="4"/>
    </row>
    <row r="14">
      <c r="A14" s="25" t="str">
        <f t="array" ref="A14">IFERROR(INDEX('_samples'!$B:$B,SMALL(IF('_samples'!$A:$A=$B$4,ROW('_samples'!$A:$A)),2)),"")</f>
        <v/>
      </c>
      <c r="B14" s="25" t="str">
        <f t="array" ref="B14">IFERROR(INDEX('_samples'!$C:$C,SMALL(IF('_samples'!$A:$A=$B$4,ROW('_samples'!$A:$A)),2)),"")</f>
        <v/>
      </c>
      <c r="C14" s="26" t="str">
        <f t="array" ref="C14">IFERROR(INDEX('_samples'!$D:$D,SMALL(IF('_samples'!$A:$A=$B$4,ROW('_samples'!$A:$A)),2)),"")</f>
        <v/>
      </c>
      <c r="D14" s="26" t="str">
        <f t="array" ref="D14">IFERROR(INDEX('_samples'!$E:$E,SMALL(IF('_samples'!$A:$A=$B$4,ROW('_samples'!$A:$A)),2)),"")</f>
        <v/>
      </c>
      <c r="E14" s="26" t="str">
        <f t="array" ref="E14">IFERROR(INDEX('_samples'!$F:$F,SMALL(IF('_samples'!$A:$A=$B$4,ROW('_samples'!$A:$A)),2)),"")</f>
        <v/>
      </c>
      <c r="F14" s="26" t="str">
        <f t="array" ref="F14">IFERROR(INDEX('_samples'!$G:$G,SMALL(IF('_samples'!$A:$A=$B$4,ROW('_samples'!$A:$A)),2)),"")</f>
        <v/>
      </c>
      <c r="G14" s="25" t="str">
        <f t="array" ref="G14">IFERROR(INDEX('_samples'!$H:$H,SMALL(IF('_samples'!$A:$A=$B$4,ROW('_samples'!$A:$A)),2)),"")</f>
        <v/>
      </c>
      <c r="H14" s="25" t="str">
        <f t="array" ref="H14">IFERROR(INDEX('_samples'!$I:$I,SMALL(IF('_samples'!$A:$A=$B$4,ROW('_samples'!$A:$A)),2)),"")</f>
        <v/>
      </c>
      <c r="I14" s="27" t="str">
        <f t="array" ref="I14">IFERROR(INDEX('_samples'!$J:$J,SMALL(IF('_samples'!$A:$A=$B$4,ROW('_samples'!$A:$A)),2)),"")</f>
        <v/>
      </c>
      <c r="J14" s="25" t="str">
        <f t="array" ref="J14">IFERROR(INDEX('_samples'!$K:$K,SMALL(IF('_samples'!$A:$A=$B$4,ROW('_samples'!$A:$A)),2)),"")</f>
        <v/>
      </c>
      <c r="K14" s="25" t="str">
        <f t="array" ref="K14">IFERROR(INDEX('_samples'!$L:$L,SMALL(IF('_samples'!$A:$A=$B$4,ROW('_samples'!$A:$A)),2)),"")</f>
        <v/>
      </c>
      <c r="L14" s="25" t="str">
        <f t="array" ref="L14">IFERROR(INDEX('_samples'!$M:$M,SMALL(IF('_samples'!$A:$A=$B$4,ROW('_samples'!$A:$A)),2)),"")</f>
        <v/>
      </c>
      <c r="M14" s="25" t="str">
        <f t="array" ref="M14">IFERROR(INDEX('_samples'!$N:$N,SMALL(IF('_samples'!$A:$A=$B$4,ROW('_samples'!$A:$A)),2)),"")</f>
        <v/>
      </c>
      <c r="N14" s="25" t="str">
        <f t="array" ref="N14">IFERROR(INDEX('_samples'!$O:$O,SMALL(IF('_samples'!$A:$A=$B$4,ROW('_samples'!$A:$A)),2)),"")</f>
        <v/>
      </c>
      <c r="O14" s="25" t="str">
        <f t="array" ref="O14">IFERROR(INDEX('_samples'!$P:$P,SMALL(IF('_samples'!$A:$A=$B$4,ROW('_samples'!$A:$A)),2)),"")</f>
        <v/>
      </c>
      <c r="P14" s="25" t="str">
        <f t="array" ref="P14">IFERROR(INDEX('_samples'!$R:$R,SMALL(IF('_samples'!$A:$A=$B$4,ROW('_samples'!$A:$A)),2)),"")</f>
        <v/>
      </c>
      <c r="Q14" s="4"/>
      <c r="R14" s="4"/>
      <c r="S14" s="4"/>
      <c r="T14" s="4"/>
      <c r="U14" s="4"/>
      <c r="V14" s="4"/>
      <c r="W14" s="4"/>
      <c r="X14" s="4"/>
      <c r="Y14" s="4"/>
      <c r="Z14" s="4"/>
    </row>
    <row r="15">
      <c r="A15" s="22" t="str">
        <f t="array" ref="A15">IFERROR(INDEX('_samples'!$B:$B,SMALL(IF('_samples'!$A:$A=$B$4,ROW('_samples'!$A:$A)),3)),"")</f>
        <v/>
      </c>
      <c r="B15" s="22" t="str">
        <f t="array" ref="B15">IFERROR(INDEX('_samples'!$C:$C,SMALL(IF('_samples'!$A:$A=$B$4,ROW('_samples'!$A:$A)),3)),"")</f>
        <v/>
      </c>
      <c r="C15" s="23" t="str">
        <f t="array" ref="C15">IFERROR(INDEX('_samples'!$D:$D,SMALL(IF('_samples'!$A:$A=$B$4,ROW('_samples'!$A:$A)),3)),"")</f>
        <v/>
      </c>
      <c r="D15" s="23" t="str">
        <f t="array" ref="D15">IFERROR(INDEX('_samples'!$E:$E,SMALL(IF('_samples'!$A:$A=$B$4,ROW('_samples'!$A:$A)),3)),"")</f>
        <v/>
      </c>
      <c r="E15" s="23" t="str">
        <f t="array" ref="E15">IFERROR(INDEX('_samples'!$F:$F,SMALL(IF('_samples'!$A:$A=$B$4,ROW('_samples'!$A:$A)),3)),"")</f>
        <v/>
      </c>
      <c r="F15" s="23" t="str">
        <f t="array" ref="F15">IFERROR(INDEX('_samples'!$G:$G,SMALL(IF('_samples'!$A:$A=$B$4,ROW('_samples'!$A:$A)),3)),"")</f>
        <v/>
      </c>
      <c r="G15" s="22" t="str">
        <f t="array" ref="G15">IFERROR(INDEX('_samples'!$H:$H,SMALL(IF('_samples'!$A:$A=$B$4,ROW('_samples'!$A:$A)),3)),"")</f>
        <v/>
      </c>
      <c r="H15" s="22" t="str">
        <f t="array" ref="H15">IFERROR(INDEX('_samples'!$I:$I,SMALL(IF('_samples'!$A:$A=$B$4,ROW('_samples'!$A:$A)),3)),"")</f>
        <v/>
      </c>
      <c r="I15" s="24" t="str">
        <f t="array" ref="I15">IFERROR(INDEX('_samples'!$J:$J,SMALL(IF('_samples'!$A:$A=$B$4,ROW('_samples'!$A:$A)),3)),"")</f>
        <v/>
      </c>
      <c r="J15" s="22" t="str">
        <f t="array" ref="J15">IFERROR(INDEX('_samples'!$K:$K,SMALL(IF('_samples'!$A:$A=$B$4,ROW('_samples'!$A:$A)),3)),"")</f>
        <v/>
      </c>
      <c r="K15" s="22" t="str">
        <f t="array" ref="K15">IFERROR(INDEX('_samples'!$L:$L,SMALL(IF('_samples'!$A:$A=$B$4,ROW('_samples'!$A:$A)),3)),"")</f>
        <v/>
      </c>
      <c r="L15" s="22" t="str">
        <f t="array" ref="L15">IFERROR(INDEX('_samples'!$M:$M,SMALL(IF('_samples'!$A:$A=$B$4,ROW('_samples'!$A:$A)),3)),"")</f>
        <v/>
      </c>
      <c r="M15" s="22" t="str">
        <f t="array" ref="M15">IFERROR(INDEX('_samples'!$N:$N,SMALL(IF('_samples'!$A:$A=$B$4,ROW('_samples'!$A:$A)),3)),"")</f>
        <v/>
      </c>
      <c r="N15" s="22" t="str">
        <f t="array" ref="N15">IFERROR(INDEX('_samples'!$O:$O,SMALL(IF('_samples'!$A:$A=$B$4,ROW('_samples'!$A:$A)),3)),"")</f>
        <v/>
      </c>
      <c r="O15" s="22" t="str">
        <f t="array" ref="O15">IFERROR(INDEX('_samples'!$P:$P,SMALL(IF('_samples'!$A:$A=$B$4,ROW('_samples'!$A:$A)),3)),"")</f>
        <v/>
      </c>
      <c r="P15" s="22" t="str">
        <f t="array" ref="P15">IFERROR(INDEX('_samples'!$R:$R,SMALL(IF('_samples'!$A:$A=$B$4,ROW('_samples'!$A:$A)),3)),"")</f>
        <v/>
      </c>
      <c r="Q15" s="4"/>
      <c r="R15" s="4"/>
      <c r="S15" s="4"/>
      <c r="T15" s="4"/>
      <c r="U15" s="4"/>
      <c r="V15" s="4"/>
      <c r="W15" s="4"/>
      <c r="X15" s="4"/>
      <c r="Y15" s="4"/>
      <c r="Z15" s="4"/>
    </row>
    <row r="16">
      <c r="A16" s="25" t="str">
        <f t="array" ref="A16">IFERROR(INDEX('_samples'!$B:$B,SMALL(IF('_samples'!$A:$A=$B$4,ROW('_samples'!$A:$A)),4)),"")</f>
        <v/>
      </c>
      <c r="B16" s="25" t="str">
        <f t="array" ref="B16">IFERROR(INDEX('_samples'!$C:$C,SMALL(IF('_samples'!$A:$A=$B$4,ROW('_samples'!$A:$A)),4)),"")</f>
        <v/>
      </c>
      <c r="C16" s="26" t="str">
        <f t="array" ref="C16">IFERROR(INDEX('_samples'!$D:$D,SMALL(IF('_samples'!$A:$A=$B$4,ROW('_samples'!$A:$A)),4)),"")</f>
        <v/>
      </c>
      <c r="D16" s="26" t="str">
        <f t="array" ref="D16">IFERROR(INDEX('_samples'!$E:$E,SMALL(IF('_samples'!$A:$A=$B$4,ROW('_samples'!$A:$A)),4)),"")</f>
        <v/>
      </c>
      <c r="E16" s="26" t="str">
        <f t="array" ref="E16">IFERROR(INDEX('_samples'!$F:$F,SMALL(IF('_samples'!$A:$A=$B$4,ROW('_samples'!$A:$A)),4)),"")</f>
        <v/>
      </c>
      <c r="F16" s="26" t="str">
        <f t="array" ref="F16">IFERROR(INDEX('_samples'!$G:$G,SMALL(IF('_samples'!$A:$A=$B$4,ROW('_samples'!$A:$A)),4)),"")</f>
        <v/>
      </c>
      <c r="G16" s="25" t="str">
        <f t="array" ref="G16">IFERROR(INDEX('_samples'!$H:$H,SMALL(IF('_samples'!$A:$A=$B$4,ROW('_samples'!$A:$A)),4)),"")</f>
        <v/>
      </c>
      <c r="H16" s="25" t="str">
        <f t="array" ref="H16">IFERROR(INDEX('_samples'!$I:$I,SMALL(IF('_samples'!$A:$A=$B$4,ROW('_samples'!$A:$A)),4)),"")</f>
        <v/>
      </c>
      <c r="I16" s="27" t="str">
        <f t="array" ref="I16">IFERROR(INDEX('_samples'!$J:$J,SMALL(IF('_samples'!$A:$A=$B$4,ROW('_samples'!$A:$A)),4)),"")</f>
        <v/>
      </c>
      <c r="J16" s="25" t="str">
        <f t="array" ref="J16">IFERROR(INDEX('_samples'!$K:$K,SMALL(IF('_samples'!$A:$A=$B$4,ROW('_samples'!$A:$A)),4)),"")</f>
        <v/>
      </c>
      <c r="K16" s="25" t="str">
        <f t="array" ref="K16">IFERROR(INDEX('_samples'!$L:$L,SMALL(IF('_samples'!$A:$A=$B$4,ROW('_samples'!$A:$A)),4)),"")</f>
        <v/>
      </c>
      <c r="L16" s="25" t="str">
        <f t="array" ref="L16">IFERROR(INDEX('_samples'!$M:$M,SMALL(IF('_samples'!$A:$A=$B$4,ROW('_samples'!$A:$A)),4)),"")</f>
        <v/>
      </c>
      <c r="M16" s="25" t="str">
        <f t="array" ref="M16">IFERROR(INDEX('_samples'!$N:$N,SMALL(IF('_samples'!$A:$A=$B$4,ROW('_samples'!$A:$A)),4)),"")</f>
        <v/>
      </c>
      <c r="N16" s="25" t="str">
        <f t="array" ref="N16">IFERROR(INDEX('_samples'!$O:$O,SMALL(IF('_samples'!$A:$A=$B$4,ROW('_samples'!$A:$A)),4)),"")</f>
        <v/>
      </c>
      <c r="O16" s="25" t="str">
        <f t="array" ref="O16">IFERROR(INDEX('_samples'!$P:$P,SMALL(IF('_samples'!$A:$A=$B$4,ROW('_samples'!$A:$A)),4)),"")</f>
        <v/>
      </c>
      <c r="P16" s="25" t="str">
        <f t="array" ref="P16">IFERROR(INDEX('_samples'!$R:$R,SMALL(IF('_samples'!$A:$A=$B$4,ROW('_samples'!$A:$A)),4)),"")</f>
        <v/>
      </c>
      <c r="Q16" s="4"/>
      <c r="R16" s="4"/>
      <c r="S16" s="4"/>
      <c r="T16" s="4"/>
      <c r="U16" s="4"/>
      <c r="V16" s="4"/>
      <c r="W16" s="4"/>
      <c r="X16" s="4"/>
      <c r="Y16" s="4"/>
      <c r="Z16" s="4"/>
    </row>
    <row r="17">
      <c r="A17" s="22" t="str">
        <f t="array" ref="A17">IFERROR(INDEX('_samples'!$B:$B,SMALL(IF('_samples'!$A:$A=$B$4,ROW('_samples'!$A:$A)),5)),"")</f>
        <v/>
      </c>
      <c r="B17" s="22" t="str">
        <f t="array" ref="B17">IFERROR(INDEX('_samples'!$C:$C,SMALL(IF('_samples'!$A:$A=$B$4,ROW('_samples'!$A:$A)),5)),"")</f>
        <v/>
      </c>
      <c r="C17" s="23" t="str">
        <f t="array" ref="C17">IFERROR(INDEX('_samples'!$D:$D,SMALL(IF('_samples'!$A:$A=$B$4,ROW('_samples'!$A:$A)),5)),"")</f>
        <v/>
      </c>
      <c r="D17" s="23" t="str">
        <f t="array" ref="D17">IFERROR(INDEX('_samples'!$E:$E,SMALL(IF('_samples'!$A:$A=$B$4,ROW('_samples'!$A:$A)),5)),"")</f>
        <v/>
      </c>
      <c r="E17" s="23" t="str">
        <f t="array" ref="E17">IFERROR(INDEX('_samples'!$F:$F,SMALL(IF('_samples'!$A:$A=$B$4,ROW('_samples'!$A:$A)),5)),"")</f>
        <v/>
      </c>
      <c r="F17" s="23" t="str">
        <f t="array" ref="F17">IFERROR(INDEX('_samples'!$G:$G,SMALL(IF('_samples'!$A:$A=$B$4,ROW('_samples'!$A:$A)),5)),"")</f>
        <v/>
      </c>
      <c r="G17" s="22" t="str">
        <f t="array" ref="G17">IFERROR(INDEX('_samples'!$H:$H,SMALL(IF('_samples'!$A:$A=$B$4,ROW('_samples'!$A:$A)),5)),"")</f>
        <v/>
      </c>
      <c r="H17" s="22" t="str">
        <f t="array" ref="H17">IFERROR(INDEX('_samples'!$I:$I,SMALL(IF('_samples'!$A:$A=$B$4,ROW('_samples'!$A:$A)),5)),"")</f>
        <v/>
      </c>
      <c r="I17" s="24" t="str">
        <f t="array" ref="I17">IFERROR(INDEX('_samples'!$J:$J,SMALL(IF('_samples'!$A:$A=$B$4,ROW('_samples'!$A:$A)),5)),"")</f>
        <v/>
      </c>
      <c r="J17" s="22" t="str">
        <f t="array" ref="J17">IFERROR(INDEX('_samples'!$K:$K,SMALL(IF('_samples'!$A:$A=$B$4,ROW('_samples'!$A:$A)),5)),"")</f>
        <v/>
      </c>
      <c r="K17" s="22" t="str">
        <f t="array" ref="K17">IFERROR(INDEX('_samples'!$L:$L,SMALL(IF('_samples'!$A:$A=$B$4,ROW('_samples'!$A:$A)),5)),"")</f>
        <v/>
      </c>
      <c r="L17" s="22" t="str">
        <f t="array" ref="L17">IFERROR(INDEX('_samples'!$M:$M,SMALL(IF('_samples'!$A:$A=$B$4,ROW('_samples'!$A:$A)),5)),"")</f>
        <v/>
      </c>
      <c r="M17" s="22" t="str">
        <f t="array" ref="M17">IFERROR(INDEX('_samples'!$N:$N,SMALL(IF('_samples'!$A:$A=$B$4,ROW('_samples'!$A:$A)),5)),"")</f>
        <v/>
      </c>
      <c r="N17" s="22" t="str">
        <f t="array" ref="N17">IFERROR(INDEX('_samples'!$O:$O,SMALL(IF('_samples'!$A:$A=$B$4,ROW('_samples'!$A:$A)),5)),"")</f>
        <v/>
      </c>
      <c r="O17" s="22" t="str">
        <f t="array" ref="O17">IFERROR(INDEX('_samples'!$P:$P,SMALL(IF('_samples'!$A:$A=$B$4,ROW('_samples'!$A:$A)),5)),"")</f>
        <v/>
      </c>
      <c r="P17" s="22" t="str">
        <f t="array" ref="P17">IFERROR(INDEX('_samples'!$R:$R,SMALL(IF('_samples'!$A:$A=$B$4,ROW('_samples'!$A:$A)),5)),"")</f>
        <v/>
      </c>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28" t="s">
        <v>36</v>
      </c>
      <c r="B19" s="2"/>
      <c r="C19" s="2"/>
      <c r="D19" s="2"/>
      <c r="E19" s="2"/>
      <c r="F19" s="2"/>
      <c r="G19" s="2"/>
      <c r="H19" s="2"/>
      <c r="I19" s="2"/>
      <c r="J19" s="2"/>
      <c r="K19" s="2"/>
      <c r="L19" s="2"/>
      <c r="M19" s="2"/>
      <c r="N19" s="2"/>
      <c r="O19" s="2"/>
      <c r="P19" s="3"/>
      <c r="Q19" s="4"/>
      <c r="R19" s="4"/>
      <c r="S19" s="4"/>
      <c r="T19" s="4"/>
      <c r="U19" s="4"/>
      <c r="V19" s="4"/>
      <c r="W19" s="4"/>
      <c r="X19" s="4"/>
      <c r="Y19" s="4"/>
      <c r="Z19" s="4"/>
    </row>
    <row r="20">
      <c r="A20" s="29" t="s">
        <v>37</v>
      </c>
      <c r="B20" s="30" t="s">
        <v>38</v>
      </c>
      <c r="C20" s="31"/>
      <c r="D20" s="31"/>
      <c r="E20" s="31"/>
      <c r="F20" s="32"/>
      <c r="G20" s="4"/>
      <c r="H20" s="4"/>
      <c r="I20" s="4"/>
      <c r="J20" s="4"/>
      <c r="K20" s="4"/>
      <c r="L20" s="4"/>
      <c r="M20" s="4"/>
      <c r="N20" s="4"/>
      <c r="O20" s="4"/>
      <c r="P20" s="4"/>
      <c r="Q20" s="4"/>
      <c r="R20" s="4"/>
      <c r="S20" s="4"/>
      <c r="T20" s="4"/>
      <c r="U20" s="4"/>
      <c r="V20" s="4"/>
      <c r="W20" s="4"/>
      <c r="X20" s="4"/>
      <c r="Y20" s="4"/>
    </row>
    <row r="21" ht="15.75" customHeight="1">
      <c r="A21" s="33" t="s">
        <v>37</v>
      </c>
      <c r="B21" s="34" t="str">
        <f>IFERROR(minifs('Data Entry_BD'!$D$6:$D$430,'Data Entry_BD'!$A$6:$A$430,$B$4,'Data Entry_BD'!$D$6:$D$430,"&gt;"&amp;B21),"")</f>
        <v>#REF!</v>
      </c>
      <c r="C21" s="34" t="str">
        <f>IFERROR(TEXT(W12,"dd-mmm-yy"),"—")</f>
        <v>30-Dec-99</v>
      </c>
      <c r="D21" s="34" t="str">
        <f>IFERROR(TEXT(W13,"dd-mmm-yy"),"—")</f>
        <v>30-Dec-99</v>
      </c>
      <c r="E21" s="34" t="str">
        <f>IFERROR(TEXT(T14,"dd-mmm-yy"),"—")</f>
        <v>30-Dec-99</v>
      </c>
      <c r="F21" s="34" t="str">
        <f>IFERROR(TEXT(T15,"dd-mmm-yy"),"—")</f>
        <v>30-Dec-99</v>
      </c>
      <c r="G21" s="4"/>
      <c r="H21" s="4"/>
      <c r="I21" s="4"/>
      <c r="J21" s="4"/>
      <c r="K21" s="4"/>
      <c r="L21" s="4"/>
      <c r="M21" s="4"/>
      <c r="N21" s="4"/>
      <c r="O21" s="4"/>
      <c r="P21" s="4"/>
      <c r="Q21" s="4"/>
      <c r="R21" s="4"/>
      <c r="S21" s="4"/>
      <c r="T21" s="4"/>
      <c r="U21" s="4"/>
      <c r="V21" s="4"/>
      <c r="W21" s="4"/>
      <c r="X21" s="4"/>
      <c r="Y21" s="4"/>
    </row>
    <row r="22" ht="15.75" customHeight="1">
      <c r="A22" s="35" t="s">
        <v>39</v>
      </c>
      <c r="B22" s="31"/>
      <c r="C22" s="31"/>
      <c r="D22" s="31"/>
      <c r="E22" s="31"/>
      <c r="F22" s="32"/>
      <c r="G22" s="4"/>
      <c r="H22" s="4"/>
      <c r="I22" s="4"/>
      <c r="J22" s="4"/>
      <c r="K22" s="4"/>
      <c r="L22" s="4"/>
      <c r="M22" s="4"/>
      <c r="N22" s="4"/>
      <c r="O22" s="4"/>
      <c r="P22" s="4"/>
      <c r="Q22" s="4"/>
      <c r="R22" s="4"/>
      <c r="S22" s="4"/>
      <c r="T22" s="4"/>
      <c r="U22" s="4"/>
      <c r="V22" s="4"/>
      <c r="W22" s="4"/>
      <c r="X22" s="4"/>
      <c r="Y22" s="4"/>
    </row>
    <row r="23" ht="15.75" customHeight="1">
      <c r="A23" s="36" t="s">
        <v>40</v>
      </c>
      <c r="B23" s="37" t="str">
        <f t="array" ref="B23:B24">IFERROR(INDEX('Data Entry_BD'!$E:$E,X11),"—")</f>
        <v>#REF!</v>
      </c>
      <c r="C23" s="37" t="str">
        <f t="array" ref="C23:C24">IFERROR(INDEX('Data Entry_BD'!$E:$E,X12),"—")</f>
        <v>#REF!</v>
      </c>
      <c r="D23" s="37" t="str">
        <f t="array" ref="D23:D24">IFERROR(INDEX('Data Entry_BD'!$E:$E,X13),"—")</f>
        <v>#REF!</v>
      </c>
      <c r="E23" s="37" t="str">
        <f t="array" ref="E23:E24">IFERROR(INDEX('Data Entry_BD'!$E:$E,U14),"—")</f>
        <v>#REF!</v>
      </c>
      <c r="F23" s="37" t="str">
        <f t="array" ref="F23:F24">IFERROR(INDEX('Data Entry_BD'!$E:$E,U15),"—")</f>
        <v>#REF!</v>
      </c>
      <c r="G23" s="4"/>
      <c r="H23" s="4"/>
      <c r="I23" s="4"/>
      <c r="J23" s="4"/>
      <c r="K23" s="4"/>
      <c r="L23" s="4"/>
      <c r="M23" s="4"/>
      <c r="N23" s="4"/>
      <c r="O23" s="4"/>
      <c r="P23" s="4"/>
      <c r="Q23" s="4"/>
      <c r="R23" s="4"/>
      <c r="S23" s="4"/>
      <c r="T23" s="4"/>
      <c r="U23" s="4"/>
      <c r="V23" s="4"/>
      <c r="W23" s="4"/>
      <c r="X23" s="4"/>
      <c r="Y23" s="4"/>
    </row>
    <row r="24" ht="15.75" customHeight="1">
      <c r="A24" s="38" t="s">
        <v>41</v>
      </c>
      <c r="B24" s="39" t="str">
        <f t="array" ref="B24:B25">IFERROR(INDEX('Data Entry_BD'!$M:$M,X11),"—")</f>
        <v>#REF!</v>
      </c>
      <c r="C24" s="39" t="str">
        <f t="array" ref="C24:C25">IFERROR(INDEX('Data Entry_BD'!$M:$M,X12),"—")</f>
        <v>#REF!</v>
      </c>
      <c r="D24" s="39" t="str">
        <f t="array" ref="D24:D25">IFERROR(INDEX('Data Entry_BD'!$M:$M,X13),"—")</f>
        <v>#REF!</v>
      </c>
      <c r="E24" s="39" t="str">
        <f t="array" ref="E24:E25">IFERROR(INDEX('Data Entry_BD'!$M:$M,U14),"—")</f>
        <v>#REF!</v>
      </c>
      <c r="F24" s="39" t="str">
        <f t="array" ref="F24:F25">IFERROR(INDEX('Data Entry_BD'!$M:$M,U15),"—")</f>
        <v>#REF!</v>
      </c>
      <c r="G24" s="4"/>
      <c r="H24" s="4"/>
      <c r="I24" s="4"/>
      <c r="J24" s="4"/>
      <c r="K24" s="4"/>
      <c r="L24" s="4"/>
      <c r="M24" s="4"/>
      <c r="N24" s="4"/>
      <c r="O24" s="4"/>
      <c r="P24" s="4"/>
      <c r="Q24" s="4"/>
      <c r="R24" s="4"/>
      <c r="S24" s="4"/>
      <c r="T24" s="4"/>
      <c r="U24" s="4"/>
      <c r="V24" s="4"/>
      <c r="W24" s="4"/>
      <c r="X24" s="4"/>
      <c r="Y24" s="4"/>
    </row>
    <row r="25" ht="15.75" customHeight="1">
      <c r="A25" s="40" t="s">
        <v>16</v>
      </c>
      <c r="B25" s="41" t="str">
        <f t="array" ref="B25:B27">IFERROR(INDEX('Data Entry_BD'!$P:$P,X11),"—")</f>
        <v>#REF!</v>
      </c>
      <c r="C25" s="41" t="str">
        <f t="array" ref="C25:C27">IFERROR(INDEX('Data Entry_BD'!$P:$P,X12),"—")</f>
        <v>#REF!</v>
      </c>
      <c r="D25" s="41" t="str">
        <f t="array" ref="D25:D27">IFERROR(INDEX('Data Entry_BD'!$P:$P,X13),"—")</f>
        <v>#REF!</v>
      </c>
      <c r="E25" s="41" t="str">
        <f t="array" ref="E25:E27">IFERROR(INDEX('Data Entry_BD'!$P:$P,U14),"—")</f>
        <v>#REF!</v>
      </c>
      <c r="F25" s="41" t="str">
        <f t="array" ref="F25:F27">IFERROR(INDEX('Data Entry_BD'!$P:$P,U15),"—")</f>
        <v>#REF!</v>
      </c>
      <c r="G25" s="4"/>
      <c r="H25" s="4"/>
      <c r="I25" s="4"/>
      <c r="J25" s="4"/>
      <c r="K25" s="4"/>
      <c r="L25" s="4"/>
      <c r="M25" s="4"/>
      <c r="N25" s="4"/>
      <c r="O25" s="4"/>
      <c r="P25" s="4"/>
      <c r="Q25" s="4"/>
      <c r="R25" s="4"/>
      <c r="S25" s="4"/>
      <c r="T25" s="4"/>
      <c r="U25" s="4"/>
      <c r="V25" s="4"/>
      <c r="W25" s="4"/>
      <c r="X25" s="4"/>
      <c r="Y25" s="4"/>
    </row>
    <row r="26" ht="15.75" customHeight="1">
      <c r="A26" s="35" t="s">
        <v>42</v>
      </c>
      <c r="B26" s="31"/>
      <c r="C26" s="31"/>
      <c r="D26" s="31"/>
      <c r="E26" s="31"/>
      <c r="F26" s="32"/>
      <c r="G26" s="4"/>
      <c r="H26" s="4"/>
      <c r="I26" s="4"/>
      <c r="J26" s="4"/>
      <c r="K26" s="4"/>
      <c r="L26" s="4"/>
      <c r="M26" s="4"/>
      <c r="N26" s="4"/>
      <c r="O26" s="4"/>
      <c r="P26" s="4"/>
      <c r="Q26" s="4"/>
      <c r="R26" s="4"/>
      <c r="S26" s="4"/>
      <c r="T26" s="4"/>
      <c r="U26" s="4"/>
      <c r="V26" s="4"/>
      <c r="W26" s="4"/>
      <c r="X26" s="4"/>
      <c r="Y26" s="4"/>
    </row>
    <row r="27" ht="15.75" customHeight="1">
      <c r="A27" s="38" t="s">
        <v>43</v>
      </c>
      <c r="B27" s="42" t="str">
        <f t="array" ref="B27:B28">IFERROR(INDEX('Data Entry_BD'!$T:$T,X11),"—")</f>
        <v>#REF!</v>
      </c>
      <c r="C27" s="42" t="str">
        <f t="array" ref="C27:C28">IFERROR(INDEX('Data Entry_BD'!$T:$T,X12),"—")</f>
        <v>#REF!</v>
      </c>
      <c r="D27" s="42" t="str">
        <f t="array" ref="D27:D28">IFERROR(INDEX('Data Entry_BD'!$T:$T,X13),"—")</f>
        <v>#REF!</v>
      </c>
      <c r="E27" s="42" t="str">
        <f t="array" ref="E27:E28">IFERROR(INDEX('Data Entry_BD'!$T:$T,U14),"—")</f>
        <v>#REF!</v>
      </c>
      <c r="F27" s="42" t="str">
        <f t="array" ref="F27:F28">IFERROR(INDEX('Data Entry_BD'!$T:$T,U15),"—")</f>
        <v>#REF!</v>
      </c>
      <c r="G27" s="4"/>
      <c r="H27" s="4"/>
      <c r="I27" s="4"/>
      <c r="J27" s="4"/>
      <c r="K27" s="4"/>
      <c r="L27" s="4"/>
      <c r="M27" s="4"/>
      <c r="N27" s="4"/>
      <c r="O27" s="4"/>
      <c r="P27" s="4"/>
      <c r="Q27" s="4"/>
      <c r="R27" s="4"/>
      <c r="S27" s="4"/>
      <c r="T27" s="4"/>
      <c r="U27" s="4"/>
      <c r="V27" s="4"/>
      <c r="W27" s="4"/>
      <c r="X27" s="4"/>
      <c r="Y27" s="4"/>
    </row>
    <row r="28" ht="15.75" customHeight="1">
      <c r="A28" s="40" t="s">
        <v>44</v>
      </c>
      <c r="B28" s="43" t="str">
        <f t="array" ref="B28:B29">IFERROR(INDEX('Data Entry_BD'!$U:$U,X11),"—")</f>
        <v>#REF!</v>
      </c>
      <c r="C28" s="43" t="str">
        <f t="array" ref="C28:C29">IFERROR(INDEX('Data Entry_BD'!$U:$U,X12),"—")</f>
        <v>#REF!</v>
      </c>
      <c r="D28" s="43" t="str">
        <f t="array" ref="D28:D29">IFERROR(INDEX('Data Entry_BD'!$U:$U,X13),"—")</f>
        <v>#REF!</v>
      </c>
      <c r="E28" s="43" t="str">
        <f t="array" ref="E28:E29">IFERROR(INDEX('Data Entry_BD'!$U:$U,U14),"—")</f>
        <v>#REF!</v>
      </c>
      <c r="F28" s="43" t="str">
        <f t="array" ref="F28:F29">IFERROR(INDEX('Data Entry_BD'!$U:$U,U15),"—")</f>
        <v>#REF!</v>
      </c>
      <c r="G28" s="4"/>
      <c r="H28" s="4"/>
      <c r="I28" s="4"/>
      <c r="J28" s="4"/>
      <c r="K28" s="4"/>
      <c r="L28" s="4"/>
      <c r="M28" s="4"/>
      <c r="N28" s="4"/>
      <c r="O28" s="4"/>
      <c r="P28" s="4"/>
      <c r="Q28" s="4"/>
      <c r="R28" s="4"/>
      <c r="S28" s="4"/>
      <c r="T28" s="4"/>
      <c r="U28" s="4"/>
      <c r="V28" s="4"/>
      <c r="W28" s="4"/>
      <c r="X28" s="4"/>
      <c r="Y28" s="4"/>
    </row>
    <row r="29" ht="15.75" customHeight="1">
      <c r="A29" s="38" t="s">
        <v>45</v>
      </c>
      <c r="B29" s="42" t="str">
        <f t="array" ref="B29:B30">IFERROR(INDEX('Data Entry_BD'!$V:$V,X11),"—")</f>
        <v>#REF!</v>
      </c>
      <c r="C29" s="42" t="str">
        <f t="array" ref="C29:C30">IFERROR(INDEX('Data Entry_BD'!$V:$V,X12),"—")</f>
        <v>#REF!</v>
      </c>
      <c r="D29" s="42" t="str">
        <f t="array" ref="D29:D30">IFERROR(INDEX('Data Entry_BD'!$V:$V,X13),"—")</f>
        <v>#REF!</v>
      </c>
      <c r="E29" s="42" t="str">
        <f t="array" ref="E29:E30">IFERROR(INDEX('Data Entry_BD'!$V:$V,U14),"—")</f>
        <v>#REF!</v>
      </c>
      <c r="F29" s="42" t="str">
        <f t="array" ref="F29:F30">IFERROR(INDEX('Data Entry_BD'!$V:$V,U15),"—")</f>
        <v>#REF!</v>
      </c>
      <c r="G29" s="4"/>
      <c r="H29" s="4"/>
      <c r="I29" s="4"/>
      <c r="J29" s="4"/>
      <c r="K29" s="4"/>
      <c r="L29" s="4"/>
      <c r="M29" s="4"/>
      <c r="N29" s="4"/>
      <c r="O29" s="4"/>
      <c r="P29" s="4"/>
      <c r="Q29" s="4"/>
      <c r="R29" s="4"/>
      <c r="S29" s="4"/>
      <c r="T29" s="4"/>
      <c r="U29" s="4"/>
      <c r="V29" s="4"/>
      <c r="W29" s="4"/>
      <c r="X29" s="4"/>
      <c r="Y29" s="4"/>
    </row>
    <row r="30" ht="15.75" customHeight="1">
      <c r="A30" s="40" t="s">
        <v>46</v>
      </c>
      <c r="B30" s="43" t="str">
        <f t="array" ref="B30:B32">IFERROR(INDEX('Data Entry_BD'!$W:$W,X11),"—")</f>
        <v>#REF!</v>
      </c>
      <c r="C30" s="43" t="str">
        <f t="array" ref="C30:C32">IFERROR(INDEX('Data Entry_BD'!$W:$W,X12),"—")</f>
        <v>#REF!</v>
      </c>
      <c r="D30" s="43" t="str">
        <f t="array" ref="D30:D32">IFERROR(INDEX('Data Entry_BD'!$W:$W,X13),"—")</f>
        <v>#REF!</v>
      </c>
      <c r="E30" s="43" t="str">
        <f t="array" ref="E30:E32">IFERROR(INDEX('Data Entry_BD'!$W:$W,U14),"—")</f>
        <v>#REF!</v>
      </c>
      <c r="F30" s="43" t="str">
        <f t="array" ref="F30:F32">IFERROR(INDEX('Data Entry_BD'!$W:$W,U15),"—")</f>
        <v>#REF!</v>
      </c>
      <c r="G30" s="4"/>
      <c r="H30" s="4"/>
      <c r="I30" s="4"/>
      <c r="J30" s="4"/>
      <c r="K30" s="4"/>
      <c r="L30" s="4"/>
      <c r="M30" s="4"/>
      <c r="N30" s="4"/>
      <c r="O30" s="4"/>
      <c r="P30" s="4"/>
      <c r="Q30" s="4"/>
      <c r="R30" s="4"/>
      <c r="S30" s="4"/>
      <c r="T30" s="4"/>
      <c r="U30" s="4"/>
      <c r="V30" s="4"/>
      <c r="W30" s="4"/>
      <c r="X30" s="4"/>
      <c r="Y30" s="4"/>
    </row>
    <row r="31" ht="15.75" customHeight="1">
      <c r="A31" s="35" t="s">
        <v>47</v>
      </c>
      <c r="B31" s="31"/>
      <c r="C31" s="31"/>
      <c r="D31" s="31"/>
      <c r="E31" s="31"/>
      <c r="F31" s="32"/>
      <c r="G31" s="4"/>
      <c r="H31" s="4"/>
      <c r="I31" s="4"/>
      <c r="J31" s="4"/>
      <c r="K31" s="4"/>
      <c r="L31" s="4"/>
      <c r="M31" s="4"/>
      <c r="N31" s="4"/>
      <c r="O31" s="4"/>
      <c r="P31" s="4"/>
      <c r="Q31" s="4"/>
      <c r="R31" s="4"/>
      <c r="S31" s="4"/>
      <c r="T31" s="4"/>
      <c r="U31" s="4"/>
      <c r="V31" s="4"/>
      <c r="W31" s="4"/>
      <c r="X31" s="4"/>
      <c r="Y31" s="4"/>
    </row>
    <row r="32" ht="15.75" customHeight="1">
      <c r="A32" s="38" t="s">
        <v>48</v>
      </c>
      <c r="B32" s="42" t="str">
        <f t="array" ref="B32:B33">IFERROR(INDEX('Data Entry_BD'!$Z:$Z,X11),"—")</f>
        <v>#REF!</v>
      </c>
      <c r="C32" s="42" t="str">
        <f t="array" ref="C32:C33">IFERROR(INDEX('Data Entry_BD'!$Z:$Z,X12),"—")</f>
        <v>#REF!</v>
      </c>
      <c r="D32" s="42" t="str">
        <f t="array" ref="D32:D33">IFERROR(INDEX('Data Entry_BD'!$Z:$Z,X13),"—")</f>
        <v>#REF!</v>
      </c>
      <c r="E32" s="42" t="str">
        <f t="array" ref="E32:E33">IFERROR(INDEX('Data Entry_BD'!$Z:$Z,U14),"—")</f>
        <v>#REF!</v>
      </c>
      <c r="F32" s="42" t="str">
        <f t="array" ref="F32:F33">IFERROR(INDEX('Data Entry_BD'!$Z:$Z,U15),"—")</f>
        <v>#REF!</v>
      </c>
      <c r="G32" s="4"/>
      <c r="H32" s="4"/>
      <c r="I32" s="4"/>
      <c r="J32" s="4"/>
      <c r="K32" s="4"/>
      <c r="L32" s="4"/>
      <c r="M32" s="4"/>
      <c r="N32" s="4"/>
      <c r="O32" s="4"/>
      <c r="P32" s="4"/>
      <c r="Q32" s="4"/>
      <c r="R32" s="4"/>
      <c r="S32" s="4"/>
      <c r="T32" s="4"/>
      <c r="U32" s="4"/>
      <c r="V32" s="4"/>
      <c r="W32" s="4"/>
      <c r="X32" s="4"/>
      <c r="Y32" s="4"/>
    </row>
    <row r="33" ht="15.75" customHeight="1">
      <c r="A33" s="40" t="s">
        <v>49</v>
      </c>
      <c r="B33" s="43" t="str">
        <f t="array" ref="B33:B34">IFERROR(INDEX('Data Entry_BD'!$AA:$AA,X11),"—")</f>
        <v>#REF!</v>
      </c>
      <c r="C33" s="43" t="str">
        <f t="array" ref="C33:C34">IFERROR(INDEX('Data Entry_BD'!$AA:$AA,X12),"—")</f>
        <v>#REF!</v>
      </c>
      <c r="D33" s="43" t="str">
        <f t="array" ref="D33:D34">IFERROR(INDEX('Data Entry_BD'!$AA:$AA,X13),"—")</f>
        <v>#REF!</v>
      </c>
      <c r="E33" s="43" t="str">
        <f t="array" ref="E33:E34">IFERROR(INDEX('Data Entry_BD'!$AA:$AA,U14),"—")</f>
        <v>#REF!</v>
      </c>
      <c r="F33" s="43" t="str">
        <f t="array" ref="F33:F34">IFERROR(INDEX('Data Entry_BD'!$AA:$AA,U15),"—")</f>
        <v>#REF!</v>
      </c>
      <c r="G33" s="4"/>
      <c r="H33" s="4"/>
      <c r="I33" s="4"/>
      <c r="J33" s="4"/>
      <c r="K33" s="4"/>
      <c r="L33" s="4"/>
      <c r="M33" s="4"/>
      <c r="N33" s="4"/>
      <c r="O33" s="4"/>
      <c r="P33" s="4"/>
      <c r="Q33" s="4"/>
      <c r="R33" s="4"/>
      <c r="S33" s="4"/>
      <c r="T33" s="4"/>
      <c r="U33" s="4"/>
      <c r="V33" s="4"/>
      <c r="W33" s="4"/>
      <c r="X33" s="4"/>
      <c r="Y33" s="4"/>
    </row>
    <row r="34" ht="15.75" customHeight="1">
      <c r="A34" s="38" t="s">
        <v>50</v>
      </c>
      <c r="B34" s="42" t="str">
        <f t="array" ref="B34:B36">IFERROR(INDEX('Data Entry_BD'!$AB:$AB,X11),"—")</f>
        <v>#REF!</v>
      </c>
      <c r="C34" s="42" t="str">
        <f t="array" ref="C34:C36">IFERROR(INDEX('Data Entry_BD'!$AB:$AB,X12),"—")</f>
        <v>#REF!</v>
      </c>
      <c r="D34" s="42" t="str">
        <f t="array" ref="D34:D36">IFERROR(INDEX('Data Entry_BD'!$AB:$AB,X13),"—")</f>
        <v>#REF!</v>
      </c>
      <c r="E34" s="42" t="str">
        <f t="array" ref="E34:E36">IFERROR(INDEX('Data Entry_BD'!$AB:$AB,U14),"—")</f>
        <v>#REF!</v>
      </c>
      <c r="F34" s="42" t="str">
        <f t="array" ref="F34:F36">IFERROR(INDEX('Data Entry_BD'!$AB:$AB,U15),"—")</f>
        <v>#REF!</v>
      </c>
      <c r="G34" s="4"/>
      <c r="H34" s="4"/>
      <c r="I34" s="4"/>
      <c r="J34" s="4"/>
      <c r="K34" s="4"/>
      <c r="L34" s="4"/>
      <c r="M34" s="4"/>
      <c r="N34" s="4"/>
      <c r="O34" s="4"/>
      <c r="P34" s="4"/>
      <c r="Q34" s="4"/>
      <c r="R34" s="4"/>
      <c r="S34" s="4"/>
      <c r="T34" s="4"/>
      <c r="U34" s="4"/>
      <c r="V34" s="4"/>
      <c r="W34" s="4"/>
      <c r="X34" s="4"/>
      <c r="Y34" s="4"/>
    </row>
    <row r="35" ht="15.75" customHeight="1">
      <c r="A35" s="35" t="s">
        <v>51</v>
      </c>
      <c r="B35" s="31"/>
      <c r="C35" s="31"/>
      <c r="D35" s="31"/>
      <c r="E35" s="31"/>
      <c r="F35" s="32"/>
      <c r="G35" s="4"/>
      <c r="H35" s="4"/>
      <c r="I35" s="4"/>
      <c r="J35" s="4"/>
      <c r="K35" s="4"/>
      <c r="L35" s="4"/>
      <c r="M35" s="4"/>
      <c r="N35" s="4"/>
      <c r="O35" s="4"/>
      <c r="P35" s="4"/>
      <c r="Q35" s="4"/>
      <c r="R35" s="4"/>
      <c r="S35" s="4"/>
      <c r="T35" s="4"/>
      <c r="U35" s="4"/>
      <c r="V35" s="4"/>
      <c r="W35" s="4"/>
      <c r="X35" s="4"/>
      <c r="Y35" s="4"/>
    </row>
    <row r="36" ht="15.75" customHeight="1">
      <c r="A36" s="40" t="s">
        <v>52</v>
      </c>
      <c r="B36" s="43" t="str">
        <f t="array" ref="B36">IFERROR(INDEX(#REF!,X11),"—")</f>
        <v>—</v>
      </c>
      <c r="C36" s="43" t="str">
        <f t="array" ref="C36">IFERROR(INDEX(#REF!,X12),"—")</f>
        <v>—</v>
      </c>
      <c r="D36" s="43" t="str">
        <f t="array" ref="D36">IFERROR(INDEX(#REF!,X13),"—")</f>
        <v>—</v>
      </c>
      <c r="E36" s="43" t="str">
        <f t="array" ref="E36">IFERROR(INDEX(#REF!,U14),"—")</f>
        <v>—</v>
      </c>
      <c r="F36" s="43" t="str">
        <f t="array" ref="F36">IFERROR(INDEX(#REF!,U15),"—")</f>
        <v>—</v>
      </c>
      <c r="G36" s="4"/>
      <c r="H36" s="4"/>
      <c r="I36" s="4"/>
      <c r="J36" s="4"/>
      <c r="K36" s="4"/>
      <c r="L36" s="4"/>
      <c r="M36" s="4"/>
      <c r="N36" s="4"/>
      <c r="O36" s="4"/>
      <c r="P36" s="4"/>
      <c r="Q36" s="4"/>
      <c r="R36" s="4"/>
      <c r="S36" s="4"/>
      <c r="T36" s="4"/>
      <c r="U36" s="4"/>
      <c r="V36" s="4"/>
      <c r="W36" s="4"/>
      <c r="X36" s="4"/>
      <c r="Y36" s="4"/>
    </row>
    <row r="37" ht="15.75" customHeight="1">
      <c r="A37" s="38" t="s">
        <v>53</v>
      </c>
      <c r="B37" s="42" t="str">
        <f t="array" ref="B37:B38">IFERROR(INDEX('Data Entry_BD'!$AF:$AF,X11),"—")</f>
        <v>#REF!</v>
      </c>
      <c r="C37" s="42" t="str">
        <f t="array" ref="C37:C38">IFERROR(INDEX('Data Entry_BD'!$AF:$AF,X12),"—")</f>
        <v>#REF!</v>
      </c>
      <c r="D37" s="42" t="str">
        <f t="array" ref="D37:D38">IFERROR(INDEX('Data Entry_BD'!$AF:$AF,X13),"—")</f>
        <v>#REF!</v>
      </c>
      <c r="E37" s="42" t="str">
        <f t="array" ref="E37:E38">IFERROR(INDEX('Data Entry_BD'!$AF:$AF,U14),"—")</f>
        <v>#REF!</v>
      </c>
      <c r="F37" s="42" t="str">
        <f t="array" ref="F37:F38">IFERROR(INDEX('Data Entry_BD'!$AF:$AF,U15),"—")</f>
        <v>#REF!</v>
      </c>
      <c r="G37" s="4"/>
      <c r="H37" s="4"/>
      <c r="I37" s="4"/>
      <c r="J37" s="4"/>
      <c r="K37" s="4"/>
      <c r="L37" s="4"/>
      <c r="M37" s="4"/>
      <c r="N37" s="4"/>
      <c r="O37" s="4"/>
      <c r="P37" s="4"/>
      <c r="Q37" s="4"/>
      <c r="R37" s="4"/>
      <c r="S37" s="4"/>
      <c r="T37" s="4"/>
      <c r="U37" s="4"/>
      <c r="V37" s="4"/>
      <c r="W37" s="4"/>
      <c r="X37" s="4"/>
      <c r="Y37" s="4"/>
    </row>
    <row r="38" ht="15.75" customHeight="1">
      <c r="A38" s="40" t="s">
        <v>54</v>
      </c>
      <c r="B38" s="43" t="str">
        <f t="array" ref="B38:B39">IFERROR(INDEX('Data Entry_BD'!$AH:$AH,X11),"—")</f>
        <v/>
      </c>
      <c r="C38" s="43" t="str">
        <f t="array" ref="C38:C39">IFERROR(INDEX('Data Entry_BD'!$AH:$AH,X12),"—")</f>
        <v/>
      </c>
      <c r="D38" s="43" t="str">
        <f t="array" ref="D38:D39">IFERROR(INDEX('Data Entry_BD'!$AH:$AH,X13),"—")</f>
        <v/>
      </c>
      <c r="E38" s="43" t="str">
        <f t="array" ref="E38:E39">IFERROR(INDEX('Data Entry_BD'!$AH:$AH,U14),"—")</f>
        <v>#REF!</v>
      </c>
      <c r="F38" s="43" t="str">
        <f t="array" ref="F38:F39">IFERROR(INDEX('Data Entry_BD'!$AH:$AH,U15),"—")</f>
        <v/>
      </c>
      <c r="G38" s="4"/>
      <c r="H38" s="4"/>
      <c r="I38" s="4"/>
      <c r="J38" s="4"/>
      <c r="K38" s="4"/>
      <c r="L38" s="4"/>
      <c r="M38" s="4"/>
      <c r="N38" s="4"/>
      <c r="O38" s="4"/>
      <c r="P38" s="4"/>
      <c r="Q38" s="4"/>
      <c r="R38" s="4"/>
      <c r="S38" s="4"/>
      <c r="T38" s="4"/>
      <c r="U38" s="4"/>
      <c r="V38" s="4"/>
      <c r="W38" s="4"/>
      <c r="X38" s="4"/>
      <c r="Y38" s="4"/>
    </row>
    <row r="39" ht="15.75" customHeight="1">
      <c r="A39" s="44" t="s">
        <v>55</v>
      </c>
      <c r="B39" s="44"/>
      <c r="C39" s="44"/>
      <c r="D39" s="45"/>
      <c r="E39" s="44" t="str">
        <f t="array" ref="E39">IFERROR(INDEX('_lookup'!$Q:$Q,MATCH($B$4,'_lookup'!$A:$A,0)),"")</f>
        <v/>
      </c>
      <c r="F39" s="44"/>
      <c r="G39" s="4"/>
      <c r="H39" s="4"/>
      <c r="I39" s="4"/>
      <c r="J39" s="4"/>
      <c r="K39" s="4"/>
      <c r="L39" s="4"/>
      <c r="M39" s="4"/>
      <c r="N39" s="4"/>
      <c r="O39" s="4"/>
      <c r="P39" s="4"/>
      <c r="Q39" s="4"/>
      <c r="R39" s="4"/>
      <c r="S39" s="4"/>
      <c r="T39" s="4"/>
      <c r="U39" s="4"/>
      <c r="V39" s="4"/>
      <c r="W39" s="4"/>
      <c r="X39" s="4"/>
      <c r="Y39" s="4"/>
    </row>
    <row r="40" ht="15.75" customHeight="1">
      <c r="A40" s="46" t="s">
        <v>56</v>
      </c>
      <c r="B40" s="46" t="s">
        <v>57</v>
      </c>
      <c r="C40" s="46" t="s">
        <v>58</v>
      </c>
      <c r="D40" s="45" t="s">
        <v>59</v>
      </c>
      <c r="E40" s="46" t="str">
        <f t="array" ref="E40">IFERROR(INDEX('_lookup'!$R:$R,MATCH($B$4,'_lookup'!$A:$A,0)),"")</f>
        <v/>
      </c>
      <c r="F40" s="46" t="s">
        <v>60</v>
      </c>
      <c r="G40" s="4"/>
      <c r="H40" s="4"/>
      <c r="I40" s="4"/>
      <c r="J40" s="4"/>
      <c r="K40" s="4"/>
      <c r="L40" s="4"/>
      <c r="M40" s="4"/>
      <c r="N40" s="4"/>
      <c r="O40" s="4"/>
      <c r="P40" s="4"/>
      <c r="Q40" s="4"/>
      <c r="R40" s="4"/>
      <c r="S40" s="4"/>
      <c r="T40" s="4"/>
      <c r="U40" s="4"/>
      <c r="V40" s="4"/>
      <c r="W40" s="4"/>
      <c r="X40" s="4"/>
      <c r="Y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7" t="s">
        <v>61</v>
      </c>
      <c r="B42" s="2"/>
      <c r="C42" s="2"/>
      <c r="D42" s="2"/>
      <c r="E42" s="2"/>
      <c r="F42" s="2"/>
      <c r="G42" s="2"/>
      <c r="H42" s="2"/>
      <c r="I42" s="2"/>
      <c r="J42" s="2"/>
      <c r="K42" s="2"/>
      <c r="L42" s="2"/>
      <c r="M42" s="2"/>
      <c r="N42" s="2"/>
      <c r="O42" s="2"/>
      <c r="P42" s="3"/>
      <c r="Q42" s="4"/>
      <c r="R42" s="4"/>
      <c r="S42" s="4"/>
      <c r="T42" s="4"/>
      <c r="U42" s="4"/>
      <c r="V42" s="4"/>
      <c r="W42" s="4"/>
      <c r="X42" s="4"/>
      <c r="Y42" s="4"/>
      <c r="Z42" s="4"/>
    </row>
    <row r="43" ht="15.75" customHeight="1">
      <c r="A43" s="48" t="s">
        <v>62</v>
      </c>
      <c r="B43" s="49" t="s">
        <v>63</v>
      </c>
      <c r="C43" s="50"/>
      <c r="D43" s="50"/>
      <c r="E43" s="50"/>
      <c r="F43" s="50"/>
      <c r="G43" s="50"/>
      <c r="H43" s="50"/>
      <c r="I43" s="50"/>
      <c r="J43" s="50"/>
      <c r="K43" s="50"/>
      <c r="L43" s="50"/>
      <c r="M43" s="50"/>
      <c r="N43" s="50"/>
      <c r="O43" s="50"/>
      <c r="P43" s="51"/>
      <c r="Q43" s="4"/>
      <c r="R43" s="4"/>
      <c r="S43" s="4"/>
      <c r="T43" s="4"/>
      <c r="U43" s="4"/>
      <c r="V43" s="4"/>
      <c r="W43" s="4"/>
      <c r="X43" s="4"/>
      <c r="Y43" s="4"/>
      <c r="Z43" s="4"/>
    </row>
    <row r="44" ht="15.75" customHeight="1">
      <c r="A44" s="52">
        <v>1.0</v>
      </c>
      <c r="B44" s="53" t="str">
        <f t="array" ref="B44">IFERROR(INDEX('_lookup'!$S:$S,MATCH($B$4,'_lookup'!$A:$A,0)),"")</f>
        <v/>
      </c>
      <c r="C44" s="50"/>
      <c r="D44" s="50"/>
      <c r="E44" s="50"/>
      <c r="F44" s="50"/>
      <c r="G44" s="50"/>
      <c r="H44" s="50"/>
      <c r="I44" s="50"/>
      <c r="J44" s="50"/>
      <c r="K44" s="50"/>
      <c r="L44" s="50"/>
      <c r="M44" s="50"/>
      <c r="N44" s="50"/>
      <c r="O44" s="50"/>
      <c r="P44" s="15"/>
      <c r="Q44" s="4"/>
      <c r="R44" s="4"/>
      <c r="S44" s="4"/>
      <c r="T44" s="4"/>
      <c r="U44" s="4"/>
      <c r="V44" s="4"/>
      <c r="W44" s="4"/>
      <c r="X44" s="4"/>
      <c r="Y44" s="4"/>
      <c r="Z44" s="4"/>
    </row>
    <row r="45" ht="15.75" customHeight="1">
      <c r="A45" s="52">
        <v>2.0</v>
      </c>
      <c r="B45" s="54" t="str">
        <f t="array" ref="B45">IFERROR(INDEX('_lookup'!$T:$T,MATCH($B$4,'_lookup'!$A:$A,0)),"")</f>
        <v/>
      </c>
      <c r="C45" s="50"/>
      <c r="D45" s="50"/>
      <c r="E45" s="50"/>
      <c r="F45" s="50"/>
      <c r="G45" s="50"/>
      <c r="H45" s="50"/>
      <c r="I45" s="50"/>
      <c r="J45" s="50"/>
      <c r="K45" s="50"/>
      <c r="L45" s="50"/>
      <c r="M45" s="50"/>
      <c r="N45" s="50"/>
      <c r="O45" s="50"/>
      <c r="P45" s="15"/>
      <c r="Q45" s="4"/>
      <c r="R45" s="4"/>
      <c r="S45" s="4"/>
      <c r="T45" s="4"/>
      <c r="U45" s="4"/>
      <c r="V45" s="4"/>
      <c r="W45" s="4"/>
      <c r="X45" s="4"/>
      <c r="Y45" s="4"/>
      <c r="Z45" s="4"/>
    </row>
    <row r="46" ht="15.75" customHeight="1">
      <c r="A46" s="52">
        <v>3.0</v>
      </c>
      <c r="B46" s="53" t="str">
        <f t="array" ref="B46">IFERROR(INDEX('_lookup'!$U:$U,MATCH($B$4,'_lookup'!$A:$A,0)),"")</f>
        <v/>
      </c>
      <c r="C46" s="50"/>
      <c r="D46" s="50"/>
      <c r="E46" s="50"/>
      <c r="F46" s="50"/>
      <c r="G46" s="50"/>
      <c r="H46" s="50"/>
      <c r="I46" s="50"/>
      <c r="J46" s="50"/>
      <c r="K46" s="50"/>
      <c r="L46" s="50"/>
      <c r="M46" s="50"/>
      <c r="N46" s="50"/>
      <c r="O46" s="50"/>
      <c r="P46" s="15"/>
      <c r="Q46" s="4"/>
      <c r="R46" s="4"/>
      <c r="S46" s="4"/>
      <c r="T46" s="4"/>
      <c r="U46" s="4"/>
      <c r="V46" s="4"/>
      <c r="W46" s="4"/>
      <c r="X46" s="4"/>
      <c r="Y46" s="4"/>
      <c r="Z46" s="4"/>
    </row>
    <row r="47" ht="15.75" customHeight="1">
      <c r="A47" s="52">
        <v>4.0</v>
      </c>
      <c r="B47" s="54" t="str">
        <f t="array" ref="B47">IFERROR(INDEX('_lookup'!$V:$V,MATCH($B$4,'_lookup'!$A:$A,0)),"")</f>
        <v/>
      </c>
      <c r="C47" s="50"/>
      <c r="D47" s="50"/>
      <c r="E47" s="50"/>
      <c r="F47" s="50"/>
      <c r="G47" s="50"/>
      <c r="H47" s="50"/>
      <c r="I47" s="50"/>
      <c r="J47" s="50"/>
      <c r="K47" s="50"/>
      <c r="L47" s="50"/>
      <c r="M47" s="50"/>
      <c r="N47" s="50"/>
      <c r="O47" s="50"/>
      <c r="P47" s="15"/>
      <c r="Q47" s="4"/>
      <c r="R47" s="4"/>
      <c r="S47" s="4"/>
      <c r="T47" s="4"/>
      <c r="U47" s="4"/>
      <c r="V47" s="4"/>
      <c r="W47" s="4"/>
      <c r="X47" s="4"/>
      <c r="Y47" s="4"/>
      <c r="Z47" s="4"/>
    </row>
    <row r="48" ht="15.75" customHeight="1">
      <c r="A48" s="52">
        <v>5.0</v>
      </c>
      <c r="B48" s="53" t="str">
        <f t="array" ref="B48">IFERROR(INDEX('_lookup'!$W:$W,MATCH($B$4,'_lookup'!$A:$A,0)),"")</f>
        <v/>
      </c>
      <c r="C48" s="50"/>
      <c r="D48" s="50"/>
      <c r="E48" s="50"/>
      <c r="F48" s="50"/>
      <c r="G48" s="50"/>
      <c r="H48" s="50"/>
      <c r="I48" s="50"/>
      <c r="J48" s="50"/>
      <c r="K48" s="50"/>
      <c r="L48" s="50"/>
      <c r="M48" s="50"/>
      <c r="N48" s="50"/>
      <c r="O48" s="50"/>
      <c r="P48" s="15"/>
      <c r="Q48" s="4"/>
      <c r="R48" s="4"/>
      <c r="S48" s="4"/>
      <c r="T48" s="4"/>
      <c r="U48" s="4"/>
      <c r="V48" s="4"/>
      <c r="W48" s="4"/>
      <c r="X48" s="4"/>
      <c r="Y48" s="4"/>
      <c r="Z48" s="4"/>
    </row>
    <row r="49" ht="15.75" customHeight="1">
      <c r="A49" s="52">
        <v>6.0</v>
      </c>
      <c r="B49" s="54" t="str">
        <f t="array" ref="B49">IFERROR(INDEX('_lookup'!$X:$X,MATCH($B$4,'_lookup'!$A:$A,0)),"")</f>
        <v/>
      </c>
      <c r="C49" s="50"/>
      <c r="D49" s="50"/>
      <c r="E49" s="50"/>
      <c r="F49" s="50"/>
      <c r="G49" s="50"/>
      <c r="H49" s="50"/>
      <c r="I49" s="50"/>
      <c r="J49" s="50"/>
      <c r="K49" s="50"/>
      <c r="L49" s="50"/>
      <c r="M49" s="50"/>
      <c r="N49" s="50"/>
      <c r="O49" s="50"/>
      <c r="P49" s="15"/>
      <c r="Q49" s="4"/>
      <c r="R49" s="4"/>
      <c r="S49" s="4"/>
      <c r="T49" s="4"/>
      <c r="U49" s="4"/>
      <c r="V49" s="4"/>
      <c r="W49" s="4"/>
      <c r="X49" s="4"/>
      <c r="Y49" s="4"/>
      <c r="Z49" s="4"/>
    </row>
    <row r="50" ht="15.75" customHeight="1">
      <c r="A50" s="52">
        <v>7.0</v>
      </c>
      <c r="B50" s="53" t="str">
        <f t="array" ref="B50">IFERROR(INDEX('_lookup'!$Y:$Y,MATCH($B$4,'_lookup'!$A:$A,0)),"")</f>
        <v/>
      </c>
      <c r="C50" s="50"/>
      <c r="D50" s="50"/>
      <c r="E50" s="50"/>
      <c r="F50" s="50"/>
      <c r="G50" s="50"/>
      <c r="H50" s="50"/>
      <c r="I50" s="50"/>
      <c r="J50" s="50"/>
      <c r="K50" s="50"/>
      <c r="L50" s="50"/>
      <c r="M50" s="50"/>
      <c r="N50" s="50"/>
      <c r="O50" s="50"/>
      <c r="P50" s="15"/>
      <c r="Q50" s="4"/>
      <c r="R50" s="4"/>
      <c r="S50" s="4"/>
      <c r="T50" s="4"/>
      <c r="U50" s="4"/>
      <c r="V50" s="4"/>
      <c r="W50" s="4"/>
      <c r="X50" s="4"/>
      <c r="Y50" s="4"/>
      <c r="Z50" s="4"/>
    </row>
    <row r="51" ht="15.75" customHeight="1">
      <c r="A51" s="52">
        <v>8.0</v>
      </c>
      <c r="B51" s="55" t="str">
        <f t="array" ref="B51">IFERROR(INDEX('_lookup'!$Z:$Z,MATCH($B$4,'_lookup'!$A:$A,0)),"")</f>
        <v/>
      </c>
      <c r="C51" s="50"/>
      <c r="D51" s="50"/>
      <c r="E51" s="50"/>
      <c r="F51" s="50"/>
      <c r="G51" s="50"/>
      <c r="H51" s="50"/>
      <c r="I51" s="50"/>
      <c r="J51" s="50"/>
      <c r="K51" s="50"/>
      <c r="L51" s="50"/>
      <c r="M51" s="50"/>
      <c r="N51" s="50"/>
      <c r="O51" s="50"/>
      <c r="P51" s="15"/>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9">
    <mergeCell ref="I8:J8"/>
    <mergeCell ref="K8:L8"/>
    <mergeCell ref="I9:J9"/>
    <mergeCell ref="K9:L9"/>
    <mergeCell ref="M8:N8"/>
    <mergeCell ref="O8:P8"/>
    <mergeCell ref="M9:N9"/>
    <mergeCell ref="O9:P9"/>
    <mergeCell ref="Q9:R9"/>
    <mergeCell ref="A1:R1"/>
    <mergeCell ref="A2:R2"/>
    <mergeCell ref="B4:E4"/>
    <mergeCell ref="F4:R4"/>
    <mergeCell ref="D6:E6"/>
    <mergeCell ref="A8:B8"/>
    <mergeCell ref="C8:D8"/>
    <mergeCell ref="Q8:R8"/>
    <mergeCell ref="E8:F8"/>
    <mergeCell ref="G8:H8"/>
    <mergeCell ref="A9:B9"/>
    <mergeCell ref="C9:D9"/>
    <mergeCell ref="E9:F9"/>
    <mergeCell ref="G9:H9"/>
    <mergeCell ref="A19:P19"/>
    <mergeCell ref="B44:P44"/>
    <mergeCell ref="B45:P45"/>
    <mergeCell ref="B46:P46"/>
    <mergeCell ref="B47:P47"/>
    <mergeCell ref="B48:P48"/>
    <mergeCell ref="B49:P49"/>
    <mergeCell ref="B50:P50"/>
    <mergeCell ref="B51:P51"/>
    <mergeCell ref="B20:F20"/>
    <mergeCell ref="A22:F22"/>
    <mergeCell ref="A26:F26"/>
    <mergeCell ref="A31:F31"/>
    <mergeCell ref="A35:F35"/>
    <mergeCell ref="A42:P42"/>
    <mergeCell ref="B43:P43"/>
  </mergeCells>
  <conditionalFormatting sqref="B23:F23">
    <cfRule type="expression" dxfId="0" priority="1">
      <formula>B23="Alert"</formula>
    </cfRule>
  </conditionalFormatting>
  <conditionalFormatting sqref="B23:F23">
    <cfRule type="expression" dxfId="1" priority="2">
      <formula>B23="Normal"</formula>
    </cfRule>
  </conditionalFormatting>
  <conditionalFormatting sqref="B23:F23">
    <cfRule type="expression" dxfId="2" priority="3">
      <formula>B23="Caution"</formula>
    </cfRule>
  </conditionalFormatting>
  <dataValidations>
    <dataValidation type="list" allowBlank="1" sqref="B4">
      <formula1>"461.LQ120 (T),462.LQ145,462.MD152,R2.322.LQ120(T),R2.432.KB101(1),R2.432.KB101(2),R2.432.KB101(3),R2.432.KB101(4),R2.432.KB102(1),R2.432.KB102(3),R2.432.KB102(4),R2.432.KB103(1),R2.432.KB103(2)"</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sheetViews>
  <sheetFormatPr customHeight="1" defaultColWidth="14.43" defaultRowHeight="15.0"/>
  <cols>
    <col customWidth="1" min="1" max="1" width="2.0"/>
    <col customWidth="1" min="2" max="2" width="16.0"/>
    <col customWidth="1" min="3" max="3" width="18.0"/>
    <col customWidth="1" min="4" max="7" width="14.0"/>
    <col customWidth="1" min="8" max="8" width="22.86"/>
    <col customWidth="1" min="9" max="11" width="14.0"/>
    <col customWidth="1" min="12" max="12" width="2.0"/>
    <col customWidth="1" min="13" max="13" width="16.0"/>
    <col customWidth="1" min="14" max="21" width="14.0"/>
    <col customWidth="1" min="22" max="25" width="8.71"/>
  </cols>
  <sheetData>
    <row r="1" ht="34.5" customHeight="1">
      <c r="A1" s="4"/>
      <c r="B1" s="1" t="s">
        <v>0</v>
      </c>
      <c r="C1" s="2"/>
      <c r="D1" s="2"/>
      <c r="E1" s="2"/>
      <c r="F1" s="2"/>
      <c r="G1" s="2"/>
      <c r="H1" s="2"/>
      <c r="I1" s="2"/>
      <c r="J1" s="2"/>
      <c r="K1" s="2"/>
      <c r="L1" s="2"/>
      <c r="M1" s="2"/>
      <c r="N1" s="2"/>
      <c r="O1" s="2"/>
      <c r="P1" s="2"/>
      <c r="Q1" s="2"/>
      <c r="R1" s="2"/>
      <c r="S1" s="3"/>
      <c r="T1" s="56"/>
      <c r="U1" s="57"/>
      <c r="V1" s="58"/>
      <c r="W1" s="58"/>
      <c r="X1" s="58"/>
      <c r="Y1" s="58"/>
      <c r="Z1" s="58"/>
    </row>
    <row r="2" ht="18.0" customHeight="1">
      <c r="A2" s="4"/>
      <c r="B2" s="5" t="s">
        <v>1</v>
      </c>
      <c r="C2" s="2"/>
      <c r="D2" s="2"/>
      <c r="E2" s="2"/>
      <c r="F2" s="2"/>
      <c r="G2" s="2"/>
      <c r="H2" s="2"/>
      <c r="I2" s="2"/>
      <c r="J2" s="2"/>
      <c r="K2" s="2"/>
      <c r="L2" s="2"/>
      <c r="M2" s="2"/>
      <c r="N2" s="2"/>
      <c r="O2" s="2"/>
      <c r="P2" s="2"/>
      <c r="Q2" s="2"/>
      <c r="R2" s="2"/>
      <c r="S2" s="3"/>
      <c r="T2" s="59"/>
      <c r="U2" s="60"/>
      <c r="V2" s="58"/>
      <c r="W2" s="58"/>
      <c r="X2" s="58"/>
      <c r="Y2" s="58"/>
      <c r="Z2" s="58"/>
    </row>
    <row r="3" ht="6.0" customHeight="1">
      <c r="A3" s="4"/>
      <c r="B3" s="4"/>
      <c r="C3" s="4"/>
      <c r="D3" s="4"/>
      <c r="E3" s="4"/>
      <c r="F3" s="4"/>
      <c r="G3" s="4"/>
      <c r="H3" s="4"/>
      <c r="I3" s="4"/>
      <c r="J3" s="4"/>
      <c r="K3" s="4"/>
      <c r="L3" s="4"/>
      <c r="M3" s="4"/>
      <c r="N3" s="4"/>
      <c r="O3" s="4"/>
      <c r="P3" s="4"/>
      <c r="Q3" s="4"/>
      <c r="R3" s="4"/>
      <c r="S3" s="4"/>
      <c r="T3" s="4"/>
      <c r="U3" s="4"/>
      <c r="V3" s="58"/>
      <c r="W3" s="58"/>
      <c r="X3" s="58"/>
      <c r="Y3" s="58"/>
      <c r="Z3" s="58"/>
    </row>
    <row r="4" ht="24.0" customHeight="1">
      <c r="A4" s="4"/>
      <c r="B4" s="61" t="s">
        <v>2</v>
      </c>
      <c r="C4" s="31"/>
      <c r="D4" s="32"/>
      <c r="E4" s="62" t="s">
        <v>64</v>
      </c>
      <c r="F4" s="31"/>
      <c r="G4" s="31"/>
      <c r="H4" s="32"/>
      <c r="I4" s="63" t="s">
        <v>65</v>
      </c>
      <c r="L4" s="4"/>
      <c r="M4" s="4"/>
      <c r="N4" s="4"/>
      <c r="O4" s="4"/>
      <c r="P4" s="4"/>
      <c r="Q4" s="4"/>
      <c r="R4" s="4"/>
      <c r="S4" s="4"/>
      <c r="T4" s="4"/>
      <c r="U4" s="4"/>
      <c r="V4" s="58"/>
      <c r="W4" s="58"/>
      <c r="X4" s="64">
        <f>IFERROR(minifs('Data Entry_BD'!$D$6:$D$430,'Data Entry_BD'!$A$6:$A$430,$E$4),"")</f>
        <v>45545</v>
      </c>
      <c r="Y4" s="65">
        <f>IFERROR(MATCH(X4,'Data Entry_BD'!$D$6:$D$430,0)+4,"")</f>
        <v>136</v>
      </c>
      <c r="Z4" s="58"/>
    </row>
    <row r="5" ht="6.0" customHeight="1">
      <c r="A5" s="4"/>
      <c r="B5" s="4"/>
      <c r="C5" s="4"/>
      <c r="D5" s="4"/>
      <c r="E5" s="4"/>
      <c r="F5" s="4"/>
      <c r="G5" s="4"/>
      <c r="H5" s="4"/>
      <c r="I5" s="4"/>
      <c r="J5" s="4"/>
      <c r="K5" s="4"/>
      <c r="L5" s="4"/>
      <c r="M5" s="4"/>
      <c r="N5" s="4"/>
      <c r="O5" s="4"/>
      <c r="P5" s="4"/>
      <c r="Q5" s="4"/>
      <c r="R5" s="4"/>
      <c r="S5" s="4"/>
      <c r="T5" s="4"/>
      <c r="U5" s="4"/>
      <c r="V5" s="58"/>
      <c r="W5" s="58"/>
      <c r="X5" s="64">
        <f>IFERROR(minifs('Data Entry_BD'!$D$6:$D$430,'Data Entry_BD'!$A$6:$A$430,$E$4,'Data Entry_BD'!$D$6:$D$430,"&gt;"&amp;X4),"")</f>
        <v>45726</v>
      </c>
      <c r="Y5" s="65">
        <f>IFERROR(MATCH(X5,'Data Entry_BD'!$D$6:$D$430,0)+4,"")</f>
        <v>250</v>
      </c>
      <c r="Z5" s="58"/>
    </row>
    <row r="6" ht="18.0" customHeight="1">
      <c r="A6" s="4"/>
      <c r="B6" s="66" t="s">
        <v>66</v>
      </c>
      <c r="C6" s="31"/>
      <c r="D6" s="31"/>
      <c r="E6" s="31"/>
      <c r="F6" s="31"/>
      <c r="G6" s="32"/>
      <c r="H6" s="66" t="s">
        <v>67</v>
      </c>
      <c r="I6" s="31"/>
      <c r="J6" s="31"/>
      <c r="K6" s="31"/>
      <c r="L6" s="32"/>
      <c r="M6" s="66" t="s">
        <v>68</v>
      </c>
      <c r="N6" s="31"/>
      <c r="O6" s="31"/>
      <c r="P6" s="31"/>
      <c r="Q6" s="31"/>
      <c r="R6" s="31"/>
      <c r="S6" s="31"/>
      <c r="T6" s="31"/>
      <c r="U6" s="32"/>
      <c r="V6" s="58"/>
      <c r="W6" s="58"/>
      <c r="X6" s="64">
        <f>IFERROR(minifs('Data Entry_BD'!$D$6:$D$430,'Data Entry_BD'!$A$6:$A$430,$E$4,'Data Entry_BD'!$D$6:$D$430,"&gt;"&amp;X5),"")</f>
        <v>45909</v>
      </c>
      <c r="Y6" s="65">
        <f>IFERROR(MATCH(X6,'Data Entry_BD'!$D$6:$D$430,0)+4,"")</f>
        <v>396</v>
      </c>
      <c r="Z6" s="58"/>
    </row>
    <row r="7" ht="15.75" customHeight="1">
      <c r="A7" s="4"/>
      <c r="B7" s="67" t="s">
        <v>69</v>
      </c>
      <c r="C7" s="68">
        <f>208948</f>
        <v>208948</v>
      </c>
      <c r="D7" s="31"/>
      <c r="E7" s="31"/>
      <c r="F7" s="31"/>
      <c r="G7" s="67" t="s">
        <v>70</v>
      </c>
      <c r="H7" s="68" t="str">
        <f t="array" ref="H7">IFERROR(INDEX(#REF!,MATCH(maxifs('Data Entry_BD'!$D$6:$D$430,'Data Entry_BD'!$A$6:$A$430,$E$4),'Data Entry_BD'!$D$6:$D$430,0)+4),"N/A")</f>
        <v>N/A</v>
      </c>
      <c r="I7" s="31"/>
      <c r="J7" s="31"/>
      <c r="K7" s="67" t="s">
        <v>71</v>
      </c>
      <c r="L7" s="68" t="s">
        <v>72</v>
      </c>
      <c r="M7" s="31"/>
      <c r="N7" s="31"/>
      <c r="O7" s="31"/>
      <c r="P7" s="31"/>
      <c r="Q7" s="31"/>
      <c r="R7" s="31"/>
      <c r="S7" s="58"/>
      <c r="T7" s="58"/>
      <c r="U7" s="58"/>
      <c r="V7" s="58"/>
      <c r="W7" s="58"/>
      <c r="X7" s="64">
        <f>IFERROR(minifs('Data Entry_BD'!$D$6:$D$430,'Data Entry_BD'!$A$6:$A$430,$E$4,'Data Entry_BD'!$D$6:$D$430,"&gt;"&amp;X6),"")</f>
        <v>0</v>
      </c>
      <c r="Y7" s="65" t="str">
        <f>IFERROR(MATCH(X7,'Data Entry_BD'!$D$6:$D$430,0)+4,"")</f>
        <v/>
      </c>
      <c r="Z7" s="58"/>
    </row>
    <row r="8" ht="15.75" customHeight="1">
      <c r="A8" s="4"/>
      <c r="B8" s="67" t="s">
        <v>73</v>
      </c>
      <c r="C8" s="68" t="s">
        <v>74</v>
      </c>
      <c r="D8" s="31"/>
      <c r="E8" s="31"/>
      <c r="F8" s="31"/>
      <c r="G8" s="67" t="s">
        <v>75</v>
      </c>
      <c r="H8" s="68" t="str">
        <f t="array" ref="H8">IFERROR(INDEX(#REF!,MATCH(maxifs('Data Entry_BD'!$D$6:$D$430,'Data Entry_BD'!$A$6:$A$430,$E$4),'Data Entry_BD'!$D$6:$D$430,0)+4),"N/A")</f>
        <v>N/A</v>
      </c>
      <c r="I8" s="31"/>
      <c r="J8" s="31"/>
      <c r="K8" s="67" t="s">
        <v>7</v>
      </c>
      <c r="L8" s="68" t="s">
        <v>76</v>
      </c>
      <c r="M8" s="31"/>
      <c r="N8" s="31"/>
      <c r="O8" s="31"/>
      <c r="P8" s="31"/>
      <c r="Q8" s="31"/>
      <c r="R8" s="31"/>
      <c r="S8" s="58"/>
      <c r="T8" s="58"/>
      <c r="U8" s="58"/>
      <c r="V8" s="58"/>
      <c r="W8" s="58"/>
      <c r="X8" s="64">
        <f>IFERROR(minifs('Data Entry_BD'!$D$6:$D$430,'Data Entry_BD'!$A$6:$A$430,$E$4,'Data Entry_BD'!$D$6:$D$430,"&gt;"&amp;X7),"")</f>
        <v>45545</v>
      </c>
      <c r="Y8" s="65">
        <f>IFERROR(MATCH(X8,'Data Entry_BD'!$D$6:$D$430,0)+4,"")</f>
        <v>136</v>
      </c>
      <c r="Z8" s="58"/>
    </row>
    <row r="9" ht="15.75" customHeight="1">
      <c r="A9" s="4"/>
      <c r="B9" s="67" t="s">
        <v>77</v>
      </c>
      <c r="C9" s="68" t="s">
        <v>78</v>
      </c>
      <c r="D9" s="31"/>
      <c r="E9" s="31"/>
      <c r="F9" s="31"/>
      <c r="G9" s="67" t="s">
        <v>79</v>
      </c>
      <c r="H9" s="68" t="str">
        <f>IFERROR(TEXT(maxifs('Data Entry_BD'!$D$6:$D$430,'Data Entry_BD'!$A$6:$A$430,$E$4),"DD-MMM-YYYY"),"N/A")</f>
        <v>09-Sep-2025</v>
      </c>
      <c r="I9" s="31"/>
      <c r="J9" s="31"/>
      <c r="K9" s="67" t="s">
        <v>8</v>
      </c>
      <c r="L9" s="68" t="s">
        <v>76</v>
      </c>
      <c r="M9" s="31"/>
      <c r="N9" s="31"/>
      <c r="O9" s="31"/>
      <c r="P9" s="31"/>
      <c r="Q9" s="31"/>
      <c r="R9" s="31"/>
      <c r="S9" s="58"/>
      <c r="T9" s="58"/>
      <c r="U9" s="58"/>
      <c r="V9" s="58"/>
      <c r="W9" s="58"/>
      <c r="X9" s="58"/>
      <c r="Y9" s="58"/>
      <c r="Z9" s="58"/>
    </row>
    <row r="10" ht="15.75" customHeight="1">
      <c r="A10" s="4"/>
      <c r="B10" s="4"/>
      <c r="C10" s="4"/>
      <c r="D10" s="4"/>
      <c r="E10" s="4"/>
      <c r="F10" s="4"/>
      <c r="G10" s="67" t="s">
        <v>80</v>
      </c>
      <c r="H10" s="68" t="str">
        <f t="array" ref="H10">IFERROR(INDEX(#REF!,MATCH(maxifs('Data Entry_BD'!$D$6:$D$430,'Data Entry_BD'!$A$6:$A$430,$E$4),'Data Entry_BD'!$D$6:$D$430,0)+4),"N/A")</f>
        <v>N/A</v>
      </c>
      <c r="I10" s="31"/>
      <c r="J10" s="31"/>
      <c r="K10" s="67" t="s">
        <v>9</v>
      </c>
      <c r="L10" s="68" t="str">
        <f t="array" ref="L10">IFERROR(INDEX(#REF!,MATCH(maxifs('Data Entry_BD'!$D$6:$D$430,'Data Entry_BD'!$A$6:$A$430,$E$4),'Data Entry_BD'!$D$6:$D$430,0)+4),"N/A")</f>
        <v>N/A</v>
      </c>
      <c r="M10" s="31"/>
      <c r="N10" s="31"/>
      <c r="O10" s="31"/>
      <c r="P10" s="31"/>
      <c r="Q10" s="31"/>
      <c r="R10" s="31"/>
      <c r="S10" s="58"/>
      <c r="T10" s="58"/>
      <c r="U10" s="58"/>
      <c r="V10" s="58"/>
      <c r="W10" s="58"/>
      <c r="X10" s="58"/>
      <c r="Y10" s="58"/>
      <c r="Z10" s="58"/>
    </row>
    <row r="11" ht="6.0" customHeight="1">
      <c r="A11" s="4"/>
      <c r="B11" s="4"/>
      <c r="C11" s="4"/>
      <c r="D11" s="4"/>
      <c r="E11" s="4"/>
      <c r="F11" s="4"/>
      <c r="G11" s="4"/>
      <c r="H11" s="4"/>
      <c r="I11" s="4"/>
      <c r="J11" s="4"/>
      <c r="K11" s="4"/>
      <c r="L11" s="4"/>
      <c r="M11" s="4"/>
      <c r="N11" s="4"/>
      <c r="O11" s="4"/>
      <c r="P11" s="4"/>
      <c r="Q11" s="4"/>
      <c r="R11" s="4"/>
      <c r="S11" s="4"/>
      <c r="T11" s="4"/>
      <c r="U11" s="4"/>
      <c r="V11" s="58"/>
      <c r="W11" s="58"/>
      <c r="X11" s="58"/>
      <c r="Y11" s="58"/>
      <c r="Z11" s="58"/>
    </row>
    <row r="12" ht="19.5" customHeight="1">
      <c r="A12" s="4"/>
      <c r="B12" s="69" t="s">
        <v>81</v>
      </c>
      <c r="C12" s="31"/>
      <c r="D12" s="31"/>
      <c r="E12" s="31"/>
      <c r="F12" s="31"/>
      <c r="G12" s="31"/>
      <c r="H12" s="31"/>
      <c r="I12" s="31"/>
      <c r="J12" s="31"/>
      <c r="K12" s="31"/>
      <c r="L12" s="31"/>
      <c r="M12" s="31"/>
      <c r="N12" s="31"/>
      <c r="O12" s="31"/>
      <c r="P12" s="31"/>
      <c r="Q12" s="31"/>
      <c r="R12" s="31"/>
      <c r="S12" s="31"/>
      <c r="T12" s="31"/>
      <c r="U12" s="32"/>
      <c r="V12" s="58"/>
      <c r="W12" s="58"/>
      <c r="X12" s="58"/>
      <c r="Y12" s="58"/>
      <c r="Z12" s="58"/>
    </row>
    <row r="13" ht="18.0" customHeight="1">
      <c r="A13" s="4"/>
      <c r="B13" s="29" t="s">
        <v>37</v>
      </c>
      <c r="C13" s="30" t="s">
        <v>38</v>
      </c>
      <c r="D13" s="31"/>
      <c r="E13" s="31"/>
      <c r="F13" s="31"/>
      <c r="G13" s="32"/>
      <c r="H13" s="4"/>
      <c r="I13" s="4"/>
      <c r="J13" s="4"/>
      <c r="K13" s="4"/>
      <c r="L13" s="4"/>
      <c r="M13" s="4"/>
      <c r="N13" s="4"/>
      <c r="O13" s="4"/>
      <c r="P13" s="4"/>
      <c r="Q13" s="4"/>
      <c r="R13" s="4"/>
      <c r="S13" s="4"/>
      <c r="T13" s="4"/>
      <c r="U13" s="4"/>
      <c r="V13" s="58"/>
      <c r="W13" s="58"/>
      <c r="X13" s="58"/>
      <c r="Y13" s="58"/>
      <c r="Z13" s="58"/>
    </row>
    <row r="14" ht="19.5" customHeight="1">
      <c r="A14" s="4"/>
      <c r="B14" s="33" t="s">
        <v>37</v>
      </c>
      <c r="C14" s="34" t="str">
        <f>IFERROR(TEXT(X4,"dd-mmm-yy"),"—")</f>
        <v>10-Sep-24</v>
      </c>
      <c r="D14" s="34" t="str">
        <f>IFERROR(TEXT(X5,"dd-mmm-yy"),"—")</f>
        <v>10-Mar-25</v>
      </c>
      <c r="E14" s="34" t="str">
        <f>IFERROR(TEXT(X6,"dd-mmm-yy"),"—")</f>
        <v>09-Sep-25</v>
      </c>
      <c r="F14" s="34" t="str">
        <f>IFERROR(TEXT(X7,"dd-mmm-yy"),"—")</f>
        <v>30-Dec-99</v>
      </c>
      <c r="G14" s="34" t="str">
        <f>IFERROR(TEXT(X8,"dd-mmm-yy"),"—")</f>
        <v>10-Sep-24</v>
      </c>
      <c r="H14" s="4"/>
      <c r="I14" s="4"/>
      <c r="J14" s="4"/>
      <c r="K14" s="4"/>
      <c r="L14" s="4"/>
      <c r="M14" s="4"/>
      <c r="N14" s="4"/>
      <c r="O14" s="4"/>
      <c r="P14" s="4"/>
      <c r="Q14" s="4"/>
      <c r="R14" s="4"/>
      <c r="S14" s="4"/>
      <c r="T14" s="4"/>
      <c r="U14" s="4"/>
      <c r="V14" s="58"/>
      <c r="W14" s="58"/>
      <c r="X14" s="58"/>
      <c r="Y14" s="58"/>
      <c r="Z14" s="58"/>
    </row>
    <row r="15" ht="13.5" customHeight="1">
      <c r="A15" s="4"/>
      <c r="B15" s="35" t="s">
        <v>39</v>
      </c>
      <c r="C15" s="31"/>
      <c r="D15" s="31"/>
      <c r="E15" s="31"/>
      <c r="F15" s="31"/>
      <c r="G15" s="32"/>
      <c r="H15" s="4"/>
      <c r="I15" s="4"/>
      <c r="J15" s="4"/>
      <c r="K15" s="4"/>
      <c r="L15" s="4"/>
      <c r="M15" s="4"/>
      <c r="N15" s="4"/>
      <c r="O15" s="4"/>
      <c r="P15" s="4"/>
      <c r="Q15" s="4"/>
      <c r="R15" s="4"/>
      <c r="S15" s="4"/>
      <c r="T15" s="4"/>
      <c r="U15" s="4"/>
      <c r="V15" s="58"/>
      <c r="W15" s="58"/>
      <c r="X15" s="58"/>
      <c r="Y15" s="58"/>
      <c r="Z15" s="58"/>
    </row>
    <row r="16" ht="15.75" customHeight="1">
      <c r="A16" s="4"/>
      <c r="B16" s="36" t="s">
        <v>40</v>
      </c>
      <c r="C16" s="37" t="str">
        <f t="array" ref="C16">IFERROR(INDEX('Data Entry_BD'!$E:$E,Y4),"—")</f>
        <v>Normal</v>
      </c>
      <c r="D16" s="37" t="str">
        <f t="array" ref="D16">IFERROR(INDEX('Data Entry_BD'!$E:$E,Y5),"—")</f>
        <v>Caution</v>
      </c>
      <c r="E16" s="37" t="str">
        <f t="array" ref="E16">IFERROR(INDEX('Data Entry_BD'!$E:$E,Y6),"—")</f>
        <v>Normal</v>
      </c>
      <c r="F16" s="37" t="str">
        <f t="array" ref="F16">IFERROR(INDEX('Data Entry_BD'!$E:$E,Y7),"—")</f>
        <v/>
      </c>
      <c r="G16" s="37" t="str">
        <f t="array" ref="G16">IFERROR(INDEX('Data Entry_BD'!$E:$E,Y8),"—")</f>
        <v>Normal</v>
      </c>
      <c r="H16" s="4"/>
      <c r="I16" s="4"/>
      <c r="J16" s="4"/>
      <c r="K16" s="4"/>
      <c r="L16" s="4"/>
      <c r="M16" s="4"/>
      <c r="N16" s="4"/>
      <c r="O16" s="4"/>
      <c r="P16" s="4"/>
      <c r="Q16" s="4"/>
      <c r="R16" s="4"/>
      <c r="S16" s="4"/>
      <c r="T16" s="4"/>
      <c r="U16" s="4"/>
      <c r="V16" s="58"/>
      <c r="W16" s="58"/>
      <c r="X16" s="58"/>
      <c r="Y16" s="58"/>
      <c r="Z16" s="58"/>
    </row>
    <row r="17" ht="15.75" customHeight="1">
      <c r="A17" s="4"/>
      <c r="B17" s="38" t="s">
        <v>41</v>
      </c>
      <c r="C17" s="39">
        <f t="array" ref="C17">IFERROR(INDEX('Data Entry_BD'!$M:$M,Y4),"—")</f>
        <v>66.3</v>
      </c>
      <c r="D17" s="39">
        <f t="array" ref="D17">IFERROR(INDEX('Data Entry_BD'!$M:$M,Y5),"—")</f>
        <v>430.6</v>
      </c>
      <c r="E17" s="39">
        <f t="array" ref="E17">IFERROR(INDEX('Data Entry_BD'!$M:$M,Y6),"—")</f>
        <v>46</v>
      </c>
      <c r="F17" s="39" t="str">
        <f t="array" ref="F17">IFERROR(INDEX('Data Entry_BD'!$M:$M,Y7),"—")</f>
        <v/>
      </c>
      <c r="G17" s="39">
        <f t="array" ref="G17">IFERROR(INDEX('Data Entry_BD'!$M:$M,Y8),"—")</f>
        <v>66.3</v>
      </c>
      <c r="H17" s="4"/>
      <c r="I17" s="4"/>
      <c r="J17" s="4"/>
      <c r="K17" s="4"/>
      <c r="L17" s="4"/>
      <c r="M17" s="4"/>
      <c r="N17" s="4"/>
      <c r="O17" s="4"/>
      <c r="P17" s="4"/>
      <c r="Q17" s="4"/>
      <c r="R17" s="4"/>
      <c r="S17" s="4"/>
      <c r="T17" s="4"/>
      <c r="U17" s="4"/>
      <c r="V17" s="58"/>
      <c r="W17" s="58"/>
      <c r="X17" s="58"/>
      <c r="Y17" s="58"/>
      <c r="Z17" s="58"/>
    </row>
    <row r="18" ht="15.75" customHeight="1">
      <c r="A18" s="4"/>
      <c r="B18" s="40" t="s">
        <v>16</v>
      </c>
      <c r="C18" s="41">
        <f t="array" ref="C18">IFERROR(INDEX('Data Entry_BD'!$P:$P,Y4),"—")</f>
        <v>0.003</v>
      </c>
      <c r="D18" s="41">
        <f t="array" ref="D18">IFERROR(INDEX('Data Entry_BD'!$P:$P,Y5),"—")</f>
        <v>0.06</v>
      </c>
      <c r="E18" s="41">
        <f t="array" ref="E18">IFERROR(INDEX('Data Entry_BD'!$P:$P,Y6),"—")</f>
        <v>0.01</v>
      </c>
      <c r="F18" s="41" t="str">
        <f t="array" ref="F18">IFERROR(INDEX('Data Entry_BD'!$P:$P,Y7),"—")</f>
        <v/>
      </c>
      <c r="G18" s="41">
        <f t="array" ref="G18">IFERROR(INDEX('Data Entry_BD'!$P:$P,Y8),"—")</f>
        <v>0.003</v>
      </c>
      <c r="H18" s="4"/>
      <c r="I18" s="4"/>
      <c r="J18" s="4"/>
      <c r="K18" s="4"/>
      <c r="L18" s="4"/>
      <c r="M18" s="4"/>
      <c r="N18" s="4"/>
      <c r="O18" s="4"/>
      <c r="P18" s="4"/>
      <c r="Q18" s="4"/>
      <c r="R18" s="4"/>
      <c r="S18" s="4"/>
      <c r="T18" s="4"/>
      <c r="U18" s="4"/>
      <c r="V18" s="58"/>
      <c r="W18" s="58"/>
      <c r="X18" s="58"/>
      <c r="Y18" s="58"/>
      <c r="Z18" s="58"/>
    </row>
    <row r="19" ht="13.5" customHeight="1">
      <c r="A19" s="4"/>
      <c r="B19" s="35" t="s">
        <v>42</v>
      </c>
      <c r="C19" s="31"/>
      <c r="D19" s="31"/>
      <c r="E19" s="31"/>
      <c r="F19" s="31"/>
      <c r="G19" s="32"/>
      <c r="H19" s="4"/>
      <c r="I19" s="4"/>
      <c r="J19" s="4"/>
      <c r="K19" s="4"/>
      <c r="L19" s="4"/>
      <c r="M19" s="4"/>
      <c r="N19" s="4"/>
      <c r="O19" s="4"/>
      <c r="P19" s="4"/>
      <c r="Q19" s="4"/>
      <c r="R19" s="4"/>
      <c r="S19" s="4"/>
      <c r="T19" s="4"/>
      <c r="U19" s="4"/>
      <c r="V19" s="58"/>
      <c r="W19" s="58"/>
      <c r="X19" s="58"/>
      <c r="Y19" s="58"/>
      <c r="Z19" s="58"/>
    </row>
    <row r="20" ht="15.75" customHeight="1">
      <c r="A20" s="4"/>
      <c r="B20" s="38" t="s">
        <v>43</v>
      </c>
      <c r="C20" s="42">
        <f t="array" ref="C20">IFERROR(INDEX('Data Entry_BD'!$T:$T,Y4),"—")</f>
        <v>3</v>
      </c>
      <c r="D20" s="42">
        <f t="array" ref="D20">IFERROR(INDEX('Data Entry_BD'!$T:$T,Y5),"—")</f>
        <v>8</v>
      </c>
      <c r="E20" s="42">
        <f t="array" ref="E20">IFERROR(INDEX('Data Entry_BD'!$T:$T,Y6),"—")</f>
        <v>7</v>
      </c>
      <c r="F20" s="42" t="str">
        <f t="array" ref="F20">IFERROR(INDEX('Data Entry_BD'!$T:$T,Y7),"—")</f>
        <v/>
      </c>
      <c r="G20" s="42">
        <f t="array" ref="G20">IFERROR(INDEX('Data Entry_BD'!$T:$T,Y8),"—")</f>
        <v>3</v>
      </c>
      <c r="H20" s="4"/>
      <c r="I20" s="4"/>
      <c r="J20" s="4"/>
      <c r="K20" s="4"/>
      <c r="L20" s="4"/>
      <c r="M20" s="4"/>
      <c r="N20" s="4"/>
      <c r="O20" s="4"/>
      <c r="P20" s="4"/>
      <c r="Q20" s="4"/>
      <c r="R20" s="4"/>
      <c r="S20" s="4"/>
      <c r="T20" s="4"/>
      <c r="U20" s="4"/>
      <c r="V20" s="58"/>
      <c r="W20" s="58"/>
      <c r="X20" s="58"/>
      <c r="Y20" s="58"/>
      <c r="Z20" s="58"/>
    </row>
    <row r="21" ht="15.75" customHeight="1">
      <c r="A21" s="4"/>
      <c r="B21" s="40" t="s">
        <v>44</v>
      </c>
      <c r="C21" s="43">
        <f t="array" ref="C21">IFERROR(INDEX('Data Entry_BD'!$U:$U,Y4),"—")</f>
        <v>2</v>
      </c>
      <c r="D21" s="43">
        <f t="array" ref="D21">IFERROR(INDEX('Data Entry_BD'!$U:$U,Y5),"—")</f>
        <v>20</v>
      </c>
      <c r="E21" s="43">
        <f t="array" ref="E21">IFERROR(INDEX('Data Entry_BD'!$U:$U,Y6),"—")</f>
        <v>11</v>
      </c>
      <c r="F21" s="43" t="str">
        <f t="array" ref="F21">IFERROR(INDEX('Data Entry_BD'!$U:$U,Y7),"—")</f>
        <v/>
      </c>
      <c r="G21" s="43">
        <f t="array" ref="G21">IFERROR(INDEX('Data Entry_BD'!$U:$U,Y8),"—")</f>
        <v>2</v>
      </c>
      <c r="H21" s="4"/>
      <c r="I21" s="4"/>
      <c r="J21" s="4"/>
      <c r="K21" s="4"/>
      <c r="L21" s="4"/>
      <c r="M21" s="4"/>
      <c r="N21" s="4"/>
      <c r="O21" s="4"/>
      <c r="P21" s="4"/>
      <c r="Q21" s="4"/>
      <c r="R21" s="4"/>
      <c r="S21" s="4"/>
      <c r="T21" s="4"/>
      <c r="U21" s="4"/>
      <c r="V21" s="58"/>
      <c r="W21" s="58"/>
      <c r="X21" s="58"/>
      <c r="Y21" s="58"/>
      <c r="Z21" s="58"/>
    </row>
    <row r="22" ht="15.75" customHeight="1">
      <c r="A22" s="4"/>
      <c r="B22" s="38" t="s">
        <v>45</v>
      </c>
      <c r="C22" s="42">
        <f t="array" ref="C22">IFERROR(INDEX('Data Entry_BD'!$V:$V,Y4),"—")</f>
        <v>0</v>
      </c>
      <c r="D22" s="42">
        <f t="array" ref="D22">IFERROR(INDEX('Data Entry_BD'!$V:$V,Y5),"—")</f>
        <v>2</v>
      </c>
      <c r="E22" s="42">
        <f t="array" ref="E22">IFERROR(INDEX('Data Entry_BD'!$V:$V,Y6),"—")</f>
        <v>0</v>
      </c>
      <c r="F22" s="42" t="str">
        <f t="array" ref="F22">IFERROR(INDEX('Data Entry_BD'!$V:$V,Y7),"—")</f>
        <v/>
      </c>
      <c r="G22" s="42">
        <f t="array" ref="G22">IFERROR(INDEX('Data Entry_BD'!$V:$V,Y8),"—")</f>
        <v>0</v>
      </c>
      <c r="H22" s="4"/>
      <c r="I22" s="4"/>
      <c r="J22" s="4"/>
      <c r="K22" s="4"/>
      <c r="L22" s="4"/>
      <c r="M22" s="4"/>
      <c r="N22" s="4"/>
      <c r="O22" s="4"/>
      <c r="P22" s="4"/>
      <c r="Q22" s="4"/>
      <c r="R22" s="4"/>
      <c r="S22" s="4"/>
      <c r="T22" s="4"/>
      <c r="U22" s="4"/>
      <c r="V22" s="58"/>
      <c r="W22" s="58"/>
      <c r="X22" s="58"/>
      <c r="Y22" s="58"/>
      <c r="Z22" s="58"/>
    </row>
    <row r="23" ht="15.75" customHeight="1">
      <c r="A23" s="4"/>
      <c r="B23" s="40" t="s">
        <v>46</v>
      </c>
      <c r="C23" s="43">
        <f t="array" ref="C23">IFERROR(INDEX('Data Entry_BD'!$W:$W,Y4),"—")</f>
        <v>0</v>
      </c>
      <c r="D23" s="43">
        <f t="array" ref="D23">IFERROR(INDEX('Data Entry_BD'!$W:$W,Y5),"—")</f>
        <v>0</v>
      </c>
      <c r="E23" s="43">
        <f t="array" ref="E23">IFERROR(INDEX('Data Entry_BD'!$W:$W,Y6),"—")</f>
        <v>0</v>
      </c>
      <c r="F23" s="43" t="str">
        <f t="array" ref="F23">IFERROR(INDEX('Data Entry_BD'!$W:$W,Y7),"—")</f>
        <v/>
      </c>
      <c r="G23" s="43">
        <f t="array" ref="G23">IFERROR(INDEX('Data Entry_BD'!$W:$W,Y8),"—")</f>
        <v>0</v>
      </c>
      <c r="H23" s="4"/>
      <c r="I23" s="4"/>
      <c r="J23" s="4"/>
      <c r="K23" s="4"/>
      <c r="L23" s="4"/>
      <c r="M23" s="4"/>
      <c r="N23" s="4"/>
      <c r="O23" s="4"/>
      <c r="P23" s="4"/>
      <c r="Q23" s="4"/>
      <c r="R23" s="4"/>
      <c r="S23" s="4"/>
      <c r="T23" s="4"/>
      <c r="U23" s="4"/>
      <c r="V23" s="58"/>
      <c r="W23" s="58"/>
      <c r="X23" s="58"/>
      <c r="Y23" s="58"/>
      <c r="Z23" s="58"/>
    </row>
    <row r="24" ht="13.5" customHeight="1">
      <c r="A24" s="4"/>
      <c r="B24" s="35" t="s">
        <v>47</v>
      </c>
      <c r="C24" s="31"/>
      <c r="D24" s="31"/>
      <c r="E24" s="31"/>
      <c r="F24" s="31"/>
      <c r="G24" s="32"/>
      <c r="H24" s="4"/>
      <c r="I24" s="4"/>
      <c r="J24" s="4"/>
      <c r="K24" s="4"/>
      <c r="L24" s="4"/>
      <c r="M24" s="4"/>
      <c r="N24" s="4"/>
      <c r="O24" s="4"/>
      <c r="P24" s="4"/>
      <c r="Q24" s="4"/>
      <c r="R24" s="4"/>
      <c r="S24" s="4"/>
      <c r="T24" s="4"/>
      <c r="U24" s="4"/>
      <c r="V24" s="58"/>
      <c r="W24" s="58"/>
      <c r="X24" s="58"/>
      <c r="Y24" s="58"/>
      <c r="Z24" s="58"/>
    </row>
    <row r="25" ht="15.75" customHeight="1">
      <c r="A25" s="4"/>
      <c r="B25" s="38" t="s">
        <v>48</v>
      </c>
      <c r="C25" s="42">
        <f t="array" ref="C25">IFERROR(INDEX('Data Entry_BD'!$Z:$Z,Y4),"—")</f>
        <v>0</v>
      </c>
      <c r="D25" s="42">
        <f t="array" ref="D25">IFERROR(INDEX('Data Entry_BD'!$Z:$Z,Y5),"—")</f>
        <v>0</v>
      </c>
      <c r="E25" s="42">
        <f t="array" ref="E25">IFERROR(INDEX('Data Entry_BD'!$Z:$Z,Y6),"—")</f>
        <v>0</v>
      </c>
      <c r="F25" s="42" t="str">
        <f t="array" ref="F25">IFERROR(INDEX('Data Entry_BD'!$Z:$Z,Y7),"—")</f>
        <v/>
      </c>
      <c r="G25" s="42">
        <f t="array" ref="G25">IFERROR(INDEX('Data Entry_BD'!$Z:$Z,Y8),"—")</f>
        <v>0</v>
      </c>
      <c r="H25" s="4"/>
      <c r="I25" s="4"/>
      <c r="J25" s="4"/>
      <c r="K25" s="4"/>
      <c r="L25" s="4"/>
      <c r="M25" s="4"/>
      <c r="N25" s="4"/>
      <c r="O25" s="4"/>
      <c r="P25" s="4"/>
      <c r="Q25" s="4"/>
      <c r="R25" s="4"/>
      <c r="S25" s="4"/>
      <c r="T25" s="4"/>
      <c r="U25" s="4"/>
      <c r="V25" s="58"/>
      <c r="W25" s="58"/>
      <c r="X25" s="58"/>
      <c r="Y25" s="58"/>
      <c r="Z25" s="58"/>
    </row>
    <row r="26" ht="15.75" customHeight="1">
      <c r="A26" s="4"/>
      <c r="B26" s="40" t="s">
        <v>49</v>
      </c>
      <c r="C26" s="43">
        <f t="array" ref="C26">IFERROR(INDEX('Data Entry_BD'!$AA:$AA,Y4),"—")</f>
        <v>0</v>
      </c>
      <c r="D26" s="43">
        <f t="array" ref="D26">IFERROR(INDEX('Data Entry_BD'!$AA:$AA,Y5),"—")</f>
        <v>1</v>
      </c>
      <c r="E26" s="43">
        <f t="array" ref="E26">IFERROR(INDEX('Data Entry_BD'!$AA:$AA,Y6),"—")</f>
        <v>0</v>
      </c>
      <c r="F26" s="43" t="str">
        <f t="array" ref="F26">IFERROR(INDEX('Data Entry_BD'!$AA:$AA,Y7),"—")</f>
        <v/>
      </c>
      <c r="G26" s="43">
        <f t="array" ref="G26">IFERROR(INDEX('Data Entry_BD'!$AA:$AA,Y8),"—")</f>
        <v>0</v>
      </c>
      <c r="H26" s="4"/>
      <c r="I26" s="4"/>
      <c r="J26" s="4"/>
      <c r="K26" s="4"/>
      <c r="L26" s="4"/>
      <c r="M26" s="4"/>
      <c r="N26" s="4"/>
      <c r="O26" s="4"/>
      <c r="P26" s="4"/>
      <c r="Q26" s="4"/>
      <c r="R26" s="4"/>
      <c r="S26" s="4"/>
      <c r="T26" s="4"/>
      <c r="U26" s="4"/>
      <c r="V26" s="58"/>
      <c r="W26" s="58"/>
      <c r="X26" s="58"/>
      <c r="Y26" s="58"/>
      <c r="Z26" s="58"/>
    </row>
    <row r="27" ht="15.75" customHeight="1">
      <c r="A27" s="4"/>
      <c r="B27" s="38" t="s">
        <v>50</v>
      </c>
      <c r="C27" s="42">
        <f t="array" ref="C27">IFERROR(INDEX('Data Entry_BD'!$AB:$AB,Y4),"—")</f>
        <v>4</v>
      </c>
      <c r="D27" s="42">
        <f t="array" ref="D27">IFERROR(INDEX('Data Entry_BD'!$AB:$AB,Y5),"—")</f>
        <v>13</v>
      </c>
      <c r="E27" s="42">
        <f t="array" ref="E27">IFERROR(INDEX('Data Entry_BD'!$AB:$AB,Y6),"—")</f>
        <v>0</v>
      </c>
      <c r="F27" s="42" t="str">
        <f t="array" ref="F27">IFERROR(INDEX('Data Entry_BD'!$AB:$AB,Y7),"—")</f>
        <v/>
      </c>
      <c r="G27" s="42">
        <f t="array" ref="G27">IFERROR(INDEX('Data Entry_BD'!$AB:$AB,Y8),"—")</f>
        <v>4</v>
      </c>
      <c r="H27" s="4"/>
      <c r="I27" s="4"/>
      <c r="J27" s="4"/>
      <c r="K27" s="4"/>
      <c r="L27" s="4"/>
      <c r="M27" s="4"/>
      <c r="N27" s="4"/>
      <c r="O27" s="4"/>
      <c r="P27" s="4"/>
      <c r="Q27" s="4"/>
      <c r="R27" s="4"/>
      <c r="S27" s="4"/>
      <c r="T27" s="4"/>
      <c r="U27" s="4"/>
      <c r="V27" s="58"/>
      <c r="W27" s="58"/>
      <c r="X27" s="58"/>
      <c r="Y27" s="58"/>
      <c r="Z27" s="58"/>
    </row>
    <row r="28" ht="13.5" customHeight="1">
      <c r="A28" s="4"/>
      <c r="B28" s="35" t="s">
        <v>51</v>
      </c>
      <c r="C28" s="31"/>
      <c r="D28" s="31"/>
      <c r="E28" s="31"/>
      <c r="F28" s="31"/>
      <c r="G28" s="32"/>
      <c r="H28" s="4"/>
      <c r="I28" s="4"/>
      <c r="J28" s="4"/>
      <c r="K28" s="4"/>
      <c r="L28" s="4"/>
      <c r="M28" s="4"/>
      <c r="N28" s="4"/>
      <c r="O28" s="4"/>
      <c r="P28" s="4"/>
      <c r="Q28" s="4"/>
      <c r="R28" s="4"/>
      <c r="S28" s="4"/>
      <c r="T28" s="4"/>
      <c r="U28" s="4"/>
      <c r="V28" s="58"/>
      <c r="W28" s="58"/>
      <c r="X28" s="58"/>
      <c r="Y28" s="58"/>
      <c r="Z28" s="58"/>
    </row>
    <row r="29" ht="15.75" customHeight="1">
      <c r="A29" s="4"/>
      <c r="B29" s="40" t="s">
        <v>52</v>
      </c>
      <c r="C29" s="43" t="str">
        <f t="array" ref="C29">IFERROR(INDEX(#REF!,Y4),"—")</f>
        <v>—</v>
      </c>
      <c r="D29" s="43" t="str">
        <f t="array" ref="D29">IFERROR(INDEX(#REF!,Y5),"—")</f>
        <v>—</v>
      </c>
      <c r="E29" s="43" t="str">
        <f t="array" ref="E29">IFERROR(INDEX(#REF!,Y6),"—")</f>
        <v>—</v>
      </c>
      <c r="F29" s="43" t="str">
        <f t="array" ref="F29">IFERROR(INDEX(#REF!,Y7),"—")</f>
        <v>—</v>
      </c>
      <c r="G29" s="43" t="str">
        <f t="array" ref="G29">IFERROR(INDEX(#REF!,Y8),"—")</f>
        <v>—</v>
      </c>
      <c r="H29" s="4"/>
      <c r="I29" s="4"/>
      <c r="J29" s="4"/>
      <c r="K29" s="4"/>
      <c r="L29" s="4"/>
      <c r="M29" s="4"/>
      <c r="N29" s="4"/>
      <c r="O29" s="4"/>
      <c r="P29" s="4"/>
      <c r="Q29" s="4"/>
      <c r="R29" s="4"/>
      <c r="S29" s="4"/>
      <c r="T29" s="4"/>
      <c r="U29" s="4"/>
      <c r="V29" s="58"/>
      <c r="W29" s="58"/>
      <c r="X29" s="58"/>
      <c r="Y29" s="58"/>
      <c r="Z29" s="58"/>
    </row>
    <row r="30" ht="15.75" customHeight="1">
      <c r="A30" s="4"/>
      <c r="B30" s="38" t="s">
        <v>53</v>
      </c>
      <c r="C30" s="42">
        <f t="array" ref="C30">IFERROR(INDEX('Data Entry_BD'!$AF:$AF,Y4),"—")</f>
        <v>0</v>
      </c>
      <c r="D30" s="42">
        <f t="array" ref="D30">IFERROR(INDEX('Data Entry_BD'!$AF:$AF,Y5),"—")</f>
        <v>3</v>
      </c>
      <c r="E30" s="42">
        <f t="array" ref="E30">IFERROR(INDEX('Data Entry_BD'!$AF:$AF,Y6),"—")</f>
        <v>0</v>
      </c>
      <c r="F30" s="42" t="str">
        <f t="array" ref="F30">IFERROR(INDEX('Data Entry_BD'!$AF:$AF,Y7),"—")</f>
        <v/>
      </c>
      <c r="G30" s="42">
        <f t="array" ref="G30">IFERROR(INDEX('Data Entry_BD'!$AF:$AF,Y8),"—")</f>
        <v>0</v>
      </c>
      <c r="H30" s="4"/>
      <c r="I30" s="4"/>
      <c r="J30" s="4"/>
      <c r="K30" s="4"/>
      <c r="L30" s="4"/>
      <c r="M30" s="4"/>
      <c r="N30" s="4"/>
      <c r="O30" s="4"/>
      <c r="P30" s="4"/>
      <c r="Q30" s="4"/>
      <c r="R30" s="4"/>
      <c r="S30" s="4"/>
      <c r="T30" s="4"/>
      <c r="U30" s="4"/>
      <c r="V30" s="58"/>
      <c r="W30" s="58"/>
      <c r="X30" s="58"/>
      <c r="Y30" s="58"/>
      <c r="Z30" s="58"/>
    </row>
    <row r="31" ht="15.75" customHeight="1">
      <c r="A31" s="4"/>
      <c r="B31" s="40" t="s">
        <v>54</v>
      </c>
      <c r="C31" s="43">
        <f t="array" ref="C31">IFERROR(INDEX('Data Entry_BD'!$AH:$AH,Y4),"—")</f>
        <v>19</v>
      </c>
      <c r="D31" s="43">
        <f t="array" ref="D31">IFERROR(INDEX('Data Entry_BD'!$AH:$AH,Y5),"—")</f>
        <v>18</v>
      </c>
      <c r="E31" s="43">
        <f t="array" ref="E31">IFERROR(INDEX('Data Entry_BD'!$AH:$AH,Y6),"—")</f>
        <v>702</v>
      </c>
      <c r="F31" s="43" t="str">
        <f t="array" ref="F31">IFERROR(INDEX('Data Entry_BD'!$AH:$AH,Y7),"—")</f>
        <v/>
      </c>
      <c r="G31" s="43">
        <f t="array" ref="G31">IFERROR(INDEX('Data Entry_BD'!$AH:$AH,Y8),"—")</f>
        <v>19</v>
      </c>
      <c r="H31" s="4"/>
      <c r="I31" s="4"/>
      <c r="J31" s="4"/>
      <c r="K31" s="4"/>
      <c r="L31" s="4"/>
      <c r="M31" s="4"/>
      <c r="N31" s="4"/>
      <c r="O31" s="4"/>
      <c r="P31" s="4"/>
      <c r="Q31" s="4"/>
      <c r="R31" s="4"/>
      <c r="S31" s="4"/>
      <c r="T31" s="4"/>
      <c r="U31" s="4"/>
      <c r="V31" s="58"/>
      <c r="W31" s="58"/>
      <c r="X31" s="58"/>
      <c r="Y31" s="58"/>
      <c r="Z31" s="58"/>
    </row>
    <row r="32" ht="15.0" customHeight="1">
      <c r="A32" s="4"/>
      <c r="B32" s="4"/>
      <c r="C32" s="4"/>
      <c r="D32" s="4"/>
      <c r="E32" s="4"/>
      <c r="F32" s="4"/>
      <c r="G32" s="4"/>
      <c r="H32" s="4"/>
      <c r="I32" s="4"/>
      <c r="J32" s="4"/>
      <c r="K32" s="4"/>
      <c r="L32" s="4"/>
      <c r="M32" s="4"/>
      <c r="N32" s="4"/>
      <c r="O32" s="4"/>
      <c r="P32" s="4"/>
      <c r="Q32" s="4"/>
      <c r="R32" s="4"/>
      <c r="S32" s="4"/>
      <c r="T32" s="4"/>
      <c r="U32" s="4"/>
      <c r="V32" s="58"/>
      <c r="W32" s="58"/>
      <c r="X32" s="58"/>
      <c r="Y32" s="58"/>
      <c r="Z32" s="58"/>
    </row>
    <row r="33" ht="7.5" customHeight="1">
      <c r="A33" s="4"/>
      <c r="B33" s="4"/>
      <c r="C33" s="4"/>
      <c r="D33" s="4"/>
      <c r="E33" s="4"/>
      <c r="F33" s="4"/>
      <c r="G33" s="4"/>
      <c r="H33" s="4"/>
      <c r="I33" s="4"/>
      <c r="J33" s="4"/>
      <c r="K33" s="4"/>
      <c r="L33" s="4"/>
      <c r="M33" s="4"/>
      <c r="N33" s="4"/>
      <c r="O33" s="4"/>
      <c r="P33" s="4"/>
      <c r="Q33" s="4"/>
      <c r="R33" s="4"/>
      <c r="S33" s="4"/>
      <c r="T33" s="4"/>
      <c r="U33" s="4"/>
      <c r="V33" s="58"/>
      <c r="W33" s="58"/>
      <c r="X33" s="58"/>
      <c r="Y33" s="58"/>
      <c r="Z33" s="58"/>
    </row>
    <row r="34" ht="19.5" customHeight="1">
      <c r="A34" s="4"/>
      <c r="B34" s="70" t="s">
        <v>82</v>
      </c>
      <c r="C34" s="31"/>
      <c r="D34" s="31"/>
      <c r="E34" s="31"/>
      <c r="F34" s="31"/>
      <c r="G34" s="31"/>
      <c r="H34" s="31"/>
      <c r="I34" s="31"/>
      <c r="J34" s="31"/>
      <c r="K34" s="31"/>
      <c r="L34" s="31"/>
      <c r="M34" s="31"/>
      <c r="N34" s="31"/>
      <c r="O34" s="31"/>
      <c r="P34" s="31"/>
      <c r="Q34" s="31"/>
      <c r="R34" s="31"/>
      <c r="S34" s="31"/>
      <c r="T34" s="31"/>
      <c r="U34" s="32"/>
      <c r="V34" s="58"/>
      <c r="W34" s="58"/>
      <c r="X34" s="58"/>
      <c r="Y34" s="58"/>
      <c r="Z34" s="58"/>
    </row>
    <row r="35" ht="19.5" customHeight="1">
      <c r="A35" s="4"/>
      <c r="B35" s="71" t="s">
        <v>83</v>
      </c>
      <c r="C35" s="72" t="str">
        <f t="array" ref="C35">IFERROR(INDEX('Data Entry_BD'!$AI:$AI,MATCH(maxifs('Data Entry_BD'!$D$6:$D$430,'Data Entry_BD'!$A$6:$A$430,$E$4),'Data Entry_BD'!$D$6:$D$430,0)+4),"N/A")</f>
        <v>Normal - No Action Required</v>
      </c>
      <c r="D35" s="31"/>
      <c r="E35" s="31"/>
      <c r="F35" s="31"/>
      <c r="G35" s="31"/>
      <c r="H35" s="31"/>
      <c r="I35" s="32"/>
      <c r="J35" s="71" t="s">
        <v>84</v>
      </c>
      <c r="K35" s="72" t="str">
        <f t="array" ref="K35">IFERROR(INDEX(#REF!,MATCH(maxifs('Data Entry_BD'!$D$6:$D$430,'Data Entry_BD'!$A$6:$A$430,$E$4),'Data Entry_BD'!$D$6:$D$430,0)+4),"N/A")</f>
        <v>N/A</v>
      </c>
      <c r="L35" s="31"/>
      <c r="M35" s="31"/>
      <c r="N35" s="31"/>
      <c r="O35" s="31"/>
      <c r="P35" s="31"/>
      <c r="Q35" s="31"/>
      <c r="R35" s="31"/>
      <c r="S35" s="31"/>
      <c r="T35" s="31"/>
      <c r="U35" s="32"/>
      <c r="V35" s="58"/>
      <c r="W35" s="58"/>
      <c r="X35" s="58"/>
      <c r="Y35" s="58"/>
      <c r="Z35" s="58"/>
    </row>
    <row r="36" ht="19.5" customHeight="1">
      <c r="A36" s="4"/>
      <c r="B36" s="35" t="s">
        <v>85</v>
      </c>
      <c r="C36" s="31"/>
      <c r="D36" s="31"/>
      <c r="E36" s="31"/>
      <c r="F36" s="31"/>
      <c r="G36" s="31"/>
      <c r="H36" s="31"/>
      <c r="I36" s="31"/>
      <c r="J36" s="31"/>
      <c r="K36" s="31"/>
      <c r="L36" s="31"/>
      <c r="M36" s="31"/>
      <c r="N36" s="31"/>
      <c r="O36" s="31"/>
      <c r="P36" s="31"/>
      <c r="Q36" s="31"/>
      <c r="R36" s="31"/>
      <c r="S36" s="31"/>
      <c r="T36" s="31"/>
      <c r="U36" s="32"/>
      <c r="V36" s="58"/>
      <c r="W36" s="58"/>
      <c r="X36" s="58"/>
      <c r="Y36" s="58"/>
      <c r="Z36" s="58"/>
    </row>
    <row r="37" ht="15.75" customHeight="1">
      <c r="A37" s="4"/>
      <c r="B37" s="73" t="str">
        <f t="array" ref="B37">IFERROR(INDEX('Data Entry_BD'!$AJ:$AJ,MATCH(maxifs('Data Entry_BD'!$D$6:$D$430,'Data Entry_BD'!$A$6:$A$430,$E$4),'Data Entry_BD'!$D$6:$D$430,0)+4),"N/A")</f>
        <v>Continue routine monitoring and sampling schedule</v>
      </c>
      <c r="C37" s="31"/>
      <c r="D37" s="31"/>
      <c r="E37" s="31"/>
      <c r="F37" s="31"/>
      <c r="G37" s="31"/>
      <c r="H37" s="31"/>
      <c r="I37" s="31"/>
      <c r="J37" s="31"/>
      <c r="K37" s="31"/>
      <c r="L37" s="31"/>
      <c r="M37" s="31"/>
      <c r="N37" s="31"/>
      <c r="O37" s="31"/>
      <c r="P37" s="31"/>
      <c r="Q37" s="31"/>
      <c r="R37" s="31"/>
      <c r="S37" s="31"/>
      <c r="T37" s="31"/>
      <c r="U37" s="32"/>
      <c r="V37" s="58"/>
      <c r="W37" s="58"/>
      <c r="X37" s="58"/>
      <c r="Y37" s="58"/>
      <c r="Z37" s="58"/>
    </row>
    <row r="38" ht="7.5" customHeight="1">
      <c r="A38" s="4"/>
      <c r="B38" s="4"/>
      <c r="C38" s="4"/>
      <c r="D38" s="4"/>
      <c r="E38" s="4"/>
      <c r="F38" s="4"/>
      <c r="G38" s="4"/>
      <c r="H38" s="4"/>
      <c r="I38" s="4"/>
      <c r="J38" s="4"/>
      <c r="K38" s="4"/>
      <c r="L38" s="4"/>
      <c r="M38" s="4"/>
      <c r="N38" s="4"/>
      <c r="O38" s="4"/>
      <c r="P38" s="4"/>
      <c r="Q38" s="4"/>
      <c r="R38" s="4"/>
      <c r="S38" s="4"/>
      <c r="T38" s="4"/>
      <c r="U38" s="4"/>
      <c r="V38" s="58"/>
      <c r="W38" s="58"/>
      <c r="X38" s="58"/>
      <c r="Y38" s="58"/>
      <c r="Z38" s="58"/>
    </row>
    <row r="39" ht="19.5" customHeight="1">
      <c r="A39" s="4"/>
      <c r="B39" s="74" t="s">
        <v>86</v>
      </c>
      <c r="C39" s="31"/>
      <c r="D39" s="31"/>
      <c r="E39" s="31"/>
      <c r="F39" s="31"/>
      <c r="G39" s="31"/>
      <c r="H39" s="31"/>
      <c r="I39" s="31"/>
      <c r="J39" s="31"/>
      <c r="K39" s="31"/>
      <c r="L39" s="31"/>
      <c r="M39" s="31"/>
      <c r="N39" s="31"/>
      <c r="O39" s="31"/>
      <c r="P39" s="31"/>
      <c r="Q39" s="31"/>
      <c r="R39" s="31"/>
      <c r="S39" s="31"/>
      <c r="T39" s="31"/>
      <c r="U39" s="32"/>
      <c r="V39" s="58"/>
      <c r="W39" s="58"/>
      <c r="X39" s="58"/>
      <c r="Y39" s="58"/>
      <c r="Z39" s="58"/>
    </row>
    <row r="40" ht="18.0" customHeight="1">
      <c r="A40" s="4"/>
      <c r="B40" s="75" t="s">
        <v>20</v>
      </c>
      <c r="C40" s="32"/>
      <c r="D40" s="75" t="s">
        <v>40</v>
      </c>
      <c r="E40" s="32"/>
      <c r="F40" s="75" t="s">
        <v>87</v>
      </c>
      <c r="G40" s="32"/>
      <c r="H40" s="33" t="s">
        <v>88</v>
      </c>
      <c r="I40" s="75" t="s">
        <v>89</v>
      </c>
      <c r="J40" s="31"/>
      <c r="K40" s="31"/>
      <c r="L40" s="31"/>
      <c r="M40" s="31"/>
      <c r="N40" s="31"/>
      <c r="O40" s="31"/>
      <c r="P40" s="31"/>
      <c r="Q40" s="31"/>
      <c r="R40" s="31"/>
      <c r="S40" s="31"/>
      <c r="T40" s="31"/>
      <c r="U40" s="32"/>
      <c r="V40" s="58"/>
      <c r="W40" s="58"/>
      <c r="X40" s="58"/>
      <c r="Y40" s="58"/>
      <c r="Z40" s="58"/>
    </row>
    <row r="41" ht="54.75" customHeight="1">
      <c r="A41" s="4"/>
      <c r="B41" s="76" t="str">
        <f t="shared" ref="B41:B45" si="1">IFERROR(TEXT(X4,"dd-mmm-yy"),"—")</f>
        <v>10-Sep-24</v>
      </c>
      <c r="C41" s="32"/>
      <c r="D41" s="76" t="str">
        <f t="array" ref="D41">IFERROR(INDEX('Data Entry_BD'!$E:$E,Y4),"—")</f>
        <v>Normal</v>
      </c>
      <c r="E41" s="32"/>
      <c r="F41" s="77" t="str">
        <f t="array" ref="F41">IFERROR(INDEX('Data Entry_BD'!$AI:$AI,Y4),"—")</f>
        <v>Normal - No Action Required</v>
      </c>
      <c r="G41" s="32"/>
      <c r="H41" s="78" t="str">
        <f t="shared" ref="H41:H45" si="2">IFERROR(INDEX(#REF!,Y4),"—")</f>
        <v>—</v>
      </c>
      <c r="I41" s="79" t="str">
        <f t="array" ref="I41">IFERROR(INDEX('Data Entry_BD'!$AJ:$AJ,Y4),"—")</f>
        <v>Continue routine monitoring and sampling schedule</v>
      </c>
      <c r="J41" s="31"/>
      <c r="K41" s="31"/>
      <c r="L41" s="31"/>
      <c r="M41" s="31"/>
      <c r="N41" s="31"/>
      <c r="O41" s="31"/>
      <c r="P41" s="31"/>
      <c r="Q41" s="31"/>
      <c r="R41" s="31"/>
      <c r="S41" s="31"/>
      <c r="T41" s="31"/>
      <c r="U41" s="32"/>
      <c r="V41" s="58"/>
      <c r="W41" s="58"/>
      <c r="X41" s="58"/>
      <c r="Y41" s="58"/>
      <c r="Z41" s="58"/>
    </row>
    <row r="42" ht="54.75" customHeight="1">
      <c r="A42" s="4"/>
      <c r="B42" s="80" t="str">
        <f t="shared" si="1"/>
        <v>10-Mar-25</v>
      </c>
      <c r="C42" s="32"/>
      <c r="D42" s="80" t="str">
        <f t="array" ref="D42">IFERROR(INDEX('Data Entry_BD'!$E:$E,Y5),"—")</f>
        <v>Caution</v>
      </c>
      <c r="E42" s="32"/>
      <c r="F42" s="81" t="str">
        <f t="array" ref="F42">IFERROR(INDEX('Data Entry_BD'!$AI:$AI,Y5),"—")</f>
        <v>Moisture Caution</v>
      </c>
      <c r="G42" s="32"/>
      <c r="H42" s="82" t="str">
        <f t="shared" si="2"/>
        <v>—</v>
      </c>
      <c r="I42" s="83" t="str">
        <f t="array" ref="I42">IFERROR(INDEX('Data Entry_BD'!$AJ:$AJ,Y5),"—")</f>
        <v>Moisture detected - check breathers and seals</v>
      </c>
      <c r="J42" s="31"/>
      <c r="K42" s="31"/>
      <c r="L42" s="31"/>
      <c r="M42" s="31"/>
      <c r="N42" s="31"/>
      <c r="O42" s="31"/>
      <c r="P42" s="31"/>
      <c r="Q42" s="31"/>
      <c r="R42" s="31"/>
      <c r="S42" s="31"/>
      <c r="T42" s="31"/>
      <c r="U42" s="32"/>
      <c r="V42" s="58"/>
      <c r="W42" s="58"/>
      <c r="X42" s="58"/>
      <c r="Y42" s="58"/>
      <c r="Z42" s="58"/>
    </row>
    <row r="43" ht="54.75" customHeight="1">
      <c r="A43" s="4"/>
      <c r="B43" s="76" t="str">
        <f t="shared" si="1"/>
        <v>09-Sep-25</v>
      </c>
      <c r="C43" s="32"/>
      <c r="D43" s="76" t="str">
        <f t="array" ref="D43">IFERROR(INDEX('Data Entry_BD'!$E:$E,Y6),"—")</f>
        <v>Normal</v>
      </c>
      <c r="E43" s="32"/>
      <c r="F43" s="77" t="str">
        <f t="array" ref="F43">IFERROR(INDEX('Data Entry_BD'!$AI:$AI,Y6),"—")</f>
        <v>Normal - No Action Required</v>
      </c>
      <c r="G43" s="32"/>
      <c r="H43" s="78" t="str">
        <f t="shared" si="2"/>
        <v>—</v>
      </c>
      <c r="I43" s="79" t="str">
        <f t="array" ref="I43">IFERROR(INDEX('Data Entry_BD'!$AJ:$AJ,Y6),"—")</f>
        <v>Continue routine monitoring and sampling schedule</v>
      </c>
      <c r="J43" s="31"/>
      <c r="K43" s="31"/>
      <c r="L43" s="31"/>
      <c r="M43" s="31"/>
      <c r="N43" s="31"/>
      <c r="O43" s="31"/>
      <c r="P43" s="31"/>
      <c r="Q43" s="31"/>
      <c r="R43" s="31"/>
      <c r="S43" s="31"/>
      <c r="T43" s="31"/>
      <c r="U43" s="32"/>
      <c r="V43" s="58"/>
      <c r="W43" s="58"/>
      <c r="X43" s="58"/>
      <c r="Y43" s="58"/>
      <c r="Z43" s="58"/>
    </row>
    <row r="44" ht="54.75" customHeight="1">
      <c r="A44" s="4"/>
      <c r="B44" s="80" t="str">
        <f t="shared" si="1"/>
        <v>30-Dec-99</v>
      </c>
      <c r="C44" s="32"/>
      <c r="D44" s="80" t="str">
        <f t="array" ref="D44">IFERROR(INDEX('Data Entry_BD'!$E:$E,Y7),"—")</f>
        <v/>
      </c>
      <c r="E44" s="32"/>
      <c r="F44" s="81" t="str">
        <f t="array" ref="F44">IFERROR(INDEX('Data Entry_BD'!$AI:$AI,Y7),"—")</f>
        <v/>
      </c>
      <c r="G44" s="32"/>
      <c r="H44" s="82" t="str">
        <f t="shared" si="2"/>
        <v>—</v>
      </c>
      <c r="I44" s="83" t="str">
        <f t="array" ref="I44">IFERROR(INDEX('Data Entry_BD'!$AJ:$AJ,Y7),"—")</f>
        <v/>
      </c>
      <c r="J44" s="31"/>
      <c r="K44" s="31"/>
      <c r="L44" s="31"/>
      <c r="M44" s="31"/>
      <c r="N44" s="31"/>
      <c r="O44" s="31"/>
      <c r="P44" s="31"/>
      <c r="Q44" s="31"/>
      <c r="R44" s="31"/>
      <c r="S44" s="31"/>
      <c r="T44" s="31"/>
      <c r="U44" s="32"/>
      <c r="V44" s="58"/>
      <c r="W44" s="58"/>
      <c r="X44" s="58"/>
      <c r="Y44" s="58"/>
      <c r="Z44" s="58"/>
    </row>
    <row r="45" ht="54.75" customHeight="1">
      <c r="A45" s="4"/>
      <c r="B45" s="76" t="str">
        <f t="shared" si="1"/>
        <v>10-Sep-24</v>
      </c>
      <c r="C45" s="32"/>
      <c r="D45" s="76" t="str">
        <f t="array" ref="D45">IFERROR(INDEX('Data Entry_BD'!$E:$E,Y8),"—")</f>
        <v>Normal</v>
      </c>
      <c r="E45" s="32"/>
      <c r="F45" s="77" t="str">
        <f t="array" ref="F45">IFERROR(INDEX('Data Entry_BD'!$AI:$AI,Y8),"—")</f>
        <v>Normal - No Action Required</v>
      </c>
      <c r="G45" s="32"/>
      <c r="H45" s="78" t="str">
        <f t="shared" si="2"/>
        <v>—</v>
      </c>
      <c r="I45" s="79" t="str">
        <f t="array" ref="I45">IFERROR(INDEX('Data Entry_BD'!$AJ:$AJ,Y8),"—")</f>
        <v>Continue routine monitoring and sampling schedule</v>
      </c>
      <c r="J45" s="31"/>
      <c r="K45" s="31"/>
      <c r="L45" s="31"/>
      <c r="M45" s="31"/>
      <c r="N45" s="31"/>
      <c r="O45" s="31"/>
      <c r="P45" s="31"/>
      <c r="Q45" s="31"/>
      <c r="R45" s="31"/>
      <c r="S45" s="31"/>
      <c r="T45" s="31"/>
      <c r="U45" s="32"/>
      <c r="V45" s="58"/>
      <c r="W45" s="58"/>
      <c r="X45" s="58"/>
      <c r="Y45" s="58"/>
      <c r="Z45" s="58"/>
    </row>
    <row r="46" ht="7.5" customHeight="1">
      <c r="A46" s="4"/>
      <c r="B46" s="4"/>
      <c r="C46" s="4"/>
      <c r="D46" s="4"/>
      <c r="E46" s="4"/>
      <c r="F46" s="4"/>
      <c r="G46" s="4"/>
      <c r="H46" s="4"/>
      <c r="I46" s="4"/>
      <c r="J46" s="4"/>
      <c r="K46" s="4"/>
      <c r="L46" s="4"/>
      <c r="M46" s="4"/>
      <c r="N46" s="4"/>
      <c r="O46" s="4"/>
      <c r="P46" s="4"/>
      <c r="Q46" s="4"/>
      <c r="R46" s="4"/>
      <c r="S46" s="4"/>
      <c r="T46" s="4"/>
      <c r="U46" s="4"/>
      <c r="V46" s="58"/>
      <c r="W46" s="58"/>
      <c r="X46" s="58"/>
      <c r="Y46" s="58"/>
      <c r="Z46" s="58"/>
    </row>
    <row r="47" ht="27.75" customHeight="1">
      <c r="A47" s="4"/>
      <c r="B47" s="84" t="s">
        <v>90</v>
      </c>
      <c r="C47" s="31"/>
      <c r="D47" s="31"/>
      <c r="E47" s="31"/>
      <c r="F47" s="31"/>
      <c r="G47" s="31"/>
      <c r="H47" s="31"/>
      <c r="I47" s="31"/>
      <c r="J47" s="31"/>
      <c r="K47" s="31"/>
      <c r="L47" s="31"/>
      <c r="M47" s="31"/>
      <c r="N47" s="31"/>
      <c r="O47" s="31"/>
      <c r="P47" s="31"/>
      <c r="Q47" s="31"/>
      <c r="R47" s="31"/>
      <c r="S47" s="31"/>
      <c r="T47" s="31"/>
      <c r="U47" s="32"/>
      <c r="V47" s="58"/>
      <c r="W47" s="58"/>
      <c r="X47" s="58"/>
      <c r="Y47" s="58"/>
      <c r="Z47" s="58"/>
    </row>
    <row r="48" ht="15.0" customHeight="1">
      <c r="A48" s="4"/>
      <c r="B48" s="4"/>
      <c r="C48" s="4"/>
      <c r="D48" s="4"/>
      <c r="E48" s="4"/>
      <c r="F48" s="4"/>
      <c r="G48" s="4"/>
      <c r="H48" s="4"/>
      <c r="I48" s="4"/>
      <c r="J48" s="4"/>
      <c r="K48" s="4"/>
      <c r="L48" s="4"/>
      <c r="M48" s="4"/>
      <c r="N48" s="4"/>
      <c r="O48" s="4"/>
      <c r="P48" s="4"/>
      <c r="Q48" s="4"/>
      <c r="R48" s="4"/>
      <c r="S48" s="4"/>
      <c r="T48" s="4"/>
      <c r="U48" s="4"/>
      <c r="V48" s="58"/>
      <c r="W48" s="58"/>
      <c r="X48" s="58"/>
      <c r="Y48" s="58"/>
      <c r="Z48" s="58"/>
    </row>
    <row r="49" ht="15.0" customHeight="1">
      <c r="A49" s="4"/>
      <c r="B49" s="4"/>
      <c r="C49" s="4"/>
      <c r="D49" s="4"/>
      <c r="E49" s="4"/>
      <c r="F49" s="4"/>
      <c r="G49" s="4"/>
      <c r="H49" s="4"/>
      <c r="I49" s="4"/>
      <c r="J49" s="4"/>
      <c r="K49" s="4"/>
      <c r="L49" s="4"/>
      <c r="M49" s="4"/>
      <c r="N49" s="4"/>
      <c r="O49" s="4"/>
      <c r="P49" s="4"/>
      <c r="Q49" s="4"/>
      <c r="R49" s="4"/>
      <c r="S49" s="4"/>
      <c r="T49" s="4"/>
      <c r="U49" s="4"/>
      <c r="V49" s="58"/>
      <c r="W49" s="58"/>
      <c r="X49" s="58"/>
      <c r="Y49" s="58"/>
      <c r="Z49" s="58"/>
    </row>
    <row r="50" ht="15.0" customHeight="1">
      <c r="A50" s="4"/>
      <c r="B50" s="4"/>
      <c r="C50" s="4"/>
      <c r="D50" s="4"/>
      <c r="E50" s="4"/>
      <c r="F50" s="4"/>
      <c r="G50" s="4"/>
      <c r="H50" s="4"/>
      <c r="I50" s="4"/>
      <c r="J50" s="4"/>
      <c r="K50" s="4"/>
      <c r="L50" s="4"/>
      <c r="M50" s="4"/>
      <c r="N50" s="4"/>
      <c r="O50" s="4"/>
      <c r="P50" s="4"/>
      <c r="Q50" s="4"/>
      <c r="R50" s="4"/>
      <c r="S50" s="4"/>
      <c r="T50" s="4"/>
      <c r="U50" s="4"/>
      <c r="V50" s="58"/>
      <c r="W50" s="58"/>
      <c r="X50" s="58"/>
      <c r="Y50" s="58"/>
      <c r="Z50" s="58"/>
    </row>
    <row r="51" ht="15.0" customHeight="1">
      <c r="A51" s="4"/>
      <c r="B51" s="4"/>
      <c r="C51" s="4"/>
      <c r="D51" s="4"/>
      <c r="E51" s="4"/>
      <c r="F51" s="4"/>
      <c r="G51" s="4"/>
      <c r="H51" s="4"/>
      <c r="I51" s="4"/>
      <c r="J51" s="4"/>
      <c r="K51" s="4"/>
      <c r="L51" s="4"/>
      <c r="M51" s="4"/>
      <c r="N51" s="4"/>
      <c r="O51" s="4"/>
      <c r="P51" s="4"/>
      <c r="Q51" s="4"/>
      <c r="R51" s="4"/>
      <c r="S51" s="4"/>
      <c r="T51" s="4"/>
      <c r="U51" s="4"/>
      <c r="V51" s="58"/>
      <c r="W51" s="58"/>
      <c r="X51" s="58"/>
      <c r="Y51" s="58"/>
      <c r="Z51" s="58"/>
    </row>
    <row r="52" ht="15.0" customHeight="1">
      <c r="A52" s="4"/>
      <c r="B52" s="4"/>
      <c r="C52" s="4"/>
      <c r="D52" s="4"/>
      <c r="E52" s="4"/>
      <c r="F52" s="4"/>
      <c r="G52" s="4"/>
      <c r="H52" s="4"/>
      <c r="I52" s="4"/>
      <c r="J52" s="4"/>
      <c r="K52" s="4"/>
      <c r="L52" s="4"/>
      <c r="M52" s="4"/>
      <c r="N52" s="4"/>
      <c r="O52" s="4"/>
      <c r="P52" s="4"/>
      <c r="Q52" s="4"/>
      <c r="R52" s="4"/>
      <c r="S52" s="4"/>
      <c r="T52" s="4"/>
      <c r="U52" s="4"/>
      <c r="V52" s="58"/>
      <c r="W52" s="58"/>
      <c r="X52" s="58"/>
      <c r="Y52" s="58"/>
      <c r="Z52" s="58"/>
    </row>
    <row r="53" ht="15.0" customHeight="1">
      <c r="A53" s="4"/>
      <c r="B53" s="4"/>
      <c r="C53" s="4"/>
      <c r="D53" s="4"/>
      <c r="E53" s="4"/>
      <c r="F53" s="4"/>
      <c r="G53" s="4"/>
      <c r="H53" s="4"/>
      <c r="I53" s="4"/>
      <c r="J53" s="4"/>
      <c r="K53" s="4"/>
      <c r="L53" s="4"/>
      <c r="M53" s="4"/>
      <c r="N53" s="4"/>
      <c r="O53" s="4"/>
      <c r="P53" s="4"/>
      <c r="Q53" s="4"/>
      <c r="R53" s="4"/>
      <c r="S53" s="4"/>
      <c r="T53" s="4"/>
      <c r="U53" s="4"/>
      <c r="V53" s="58"/>
      <c r="W53" s="58"/>
      <c r="X53" s="58"/>
      <c r="Y53" s="58"/>
      <c r="Z53" s="58"/>
    </row>
    <row r="54" ht="15.0" customHeight="1">
      <c r="A54" s="4"/>
      <c r="B54" s="4"/>
      <c r="C54" s="4"/>
      <c r="D54" s="4"/>
      <c r="E54" s="4"/>
      <c r="F54" s="4"/>
      <c r="G54" s="4"/>
      <c r="H54" s="4"/>
      <c r="I54" s="4"/>
      <c r="J54" s="4"/>
      <c r="K54" s="4"/>
      <c r="L54" s="4"/>
      <c r="M54" s="4"/>
      <c r="N54" s="4"/>
      <c r="O54" s="4"/>
      <c r="P54" s="4"/>
      <c r="Q54" s="4"/>
      <c r="R54" s="4"/>
      <c r="S54" s="4"/>
      <c r="T54" s="4"/>
      <c r="U54" s="4"/>
      <c r="V54" s="58"/>
      <c r="W54" s="58"/>
      <c r="X54" s="58"/>
      <c r="Y54" s="58"/>
      <c r="Z54" s="58"/>
    </row>
    <row r="55" ht="15.0" customHeight="1">
      <c r="A55" s="4"/>
      <c r="B55" s="4"/>
      <c r="C55" s="4"/>
      <c r="D55" s="4"/>
      <c r="E55" s="4"/>
      <c r="F55" s="4"/>
      <c r="G55" s="4"/>
      <c r="H55" s="4"/>
      <c r="I55" s="4"/>
      <c r="J55" s="4"/>
      <c r="K55" s="4"/>
      <c r="L55" s="4"/>
      <c r="M55" s="4"/>
      <c r="N55" s="4"/>
      <c r="O55" s="4"/>
      <c r="P55" s="4"/>
      <c r="Q55" s="4"/>
      <c r="R55" s="4"/>
      <c r="S55" s="4"/>
      <c r="T55" s="4"/>
      <c r="U55" s="4"/>
      <c r="V55" s="58"/>
      <c r="W55" s="58"/>
      <c r="X55" s="58"/>
      <c r="Y55" s="58"/>
      <c r="Z55" s="58"/>
    </row>
    <row r="56" ht="15.0" customHeight="1">
      <c r="A56" s="4"/>
      <c r="B56" s="4"/>
      <c r="C56" s="4"/>
      <c r="D56" s="4"/>
      <c r="E56" s="4"/>
      <c r="F56" s="4"/>
      <c r="G56" s="4"/>
      <c r="H56" s="4"/>
      <c r="I56" s="4"/>
      <c r="J56" s="4"/>
      <c r="K56" s="4"/>
      <c r="L56" s="4"/>
      <c r="M56" s="4"/>
      <c r="N56" s="4"/>
      <c r="O56" s="4"/>
      <c r="P56" s="4"/>
      <c r="Q56" s="4"/>
      <c r="R56" s="4"/>
      <c r="S56" s="4"/>
      <c r="T56" s="4"/>
      <c r="U56" s="4"/>
      <c r="V56" s="58"/>
      <c r="W56" s="58"/>
      <c r="X56" s="58"/>
      <c r="Y56" s="58"/>
      <c r="Z56" s="58"/>
    </row>
    <row r="57" ht="15.0" customHeight="1">
      <c r="A57" s="4"/>
      <c r="B57" s="4"/>
      <c r="C57" s="4"/>
      <c r="D57" s="4"/>
      <c r="E57" s="4"/>
      <c r="F57" s="4"/>
      <c r="G57" s="4"/>
      <c r="H57" s="4"/>
      <c r="I57" s="4"/>
      <c r="J57" s="4"/>
      <c r="K57" s="4"/>
      <c r="L57" s="4"/>
      <c r="M57" s="4"/>
      <c r="N57" s="4"/>
      <c r="O57" s="4"/>
      <c r="P57" s="4"/>
      <c r="Q57" s="4"/>
      <c r="R57" s="4"/>
      <c r="S57" s="4"/>
      <c r="T57" s="4"/>
      <c r="U57" s="4"/>
      <c r="V57" s="58"/>
      <c r="W57" s="58"/>
      <c r="X57" s="58"/>
      <c r="Y57" s="58"/>
      <c r="Z57" s="58"/>
    </row>
    <row r="58" ht="15.0" customHeight="1">
      <c r="A58" s="4"/>
      <c r="B58" s="4"/>
      <c r="C58" s="4"/>
      <c r="D58" s="4"/>
      <c r="E58" s="4"/>
      <c r="F58" s="4"/>
      <c r="G58" s="4"/>
      <c r="H58" s="4"/>
      <c r="I58" s="4"/>
      <c r="J58" s="4"/>
      <c r="K58" s="4"/>
      <c r="L58" s="4"/>
      <c r="M58" s="4"/>
      <c r="N58" s="4"/>
      <c r="O58" s="4"/>
      <c r="P58" s="4"/>
      <c r="Q58" s="4"/>
      <c r="R58" s="4"/>
      <c r="S58" s="4"/>
      <c r="T58" s="4"/>
      <c r="U58" s="4"/>
      <c r="V58" s="58"/>
      <c r="W58" s="58"/>
      <c r="X58" s="58"/>
      <c r="Y58" s="58"/>
      <c r="Z58" s="58"/>
    </row>
    <row r="59" ht="15.0" customHeight="1">
      <c r="A59" s="4"/>
      <c r="B59" s="4"/>
      <c r="C59" s="4"/>
      <c r="D59" s="4"/>
      <c r="E59" s="4"/>
      <c r="F59" s="4"/>
      <c r="G59" s="4"/>
      <c r="H59" s="4"/>
      <c r="I59" s="4"/>
      <c r="J59" s="4"/>
      <c r="K59" s="4"/>
      <c r="L59" s="4"/>
      <c r="M59" s="4"/>
      <c r="N59" s="4"/>
      <c r="O59" s="4"/>
      <c r="P59" s="4"/>
      <c r="Q59" s="4"/>
      <c r="R59" s="4"/>
      <c r="S59" s="4"/>
      <c r="T59" s="4"/>
      <c r="U59" s="4"/>
      <c r="V59" s="58"/>
      <c r="W59" s="58"/>
      <c r="X59" s="58"/>
      <c r="Y59" s="58"/>
      <c r="Z59" s="58"/>
    </row>
    <row r="60" ht="15.0" customHeight="1">
      <c r="A60" s="4"/>
      <c r="B60" s="4"/>
      <c r="C60" s="4"/>
      <c r="D60" s="4"/>
      <c r="E60" s="4"/>
      <c r="F60" s="4"/>
      <c r="G60" s="4"/>
      <c r="H60" s="4"/>
      <c r="I60" s="4"/>
      <c r="J60" s="4"/>
      <c r="K60" s="4"/>
      <c r="L60" s="4"/>
      <c r="M60" s="4"/>
      <c r="N60" s="4"/>
      <c r="O60" s="4"/>
      <c r="P60" s="4"/>
      <c r="Q60" s="4"/>
      <c r="R60" s="4"/>
      <c r="S60" s="4"/>
      <c r="T60" s="4"/>
      <c r="U60" s="4"/>
      <c r="V60" s="58"/>
      <c r="W60" s="58"/>
      <c r="X60" s="58"/>
      <c r="Y60" s="58"/>
      <c r="Z60" s="58"/>
    </row>
    <row r="61" ht="15.0" customHeight="1">
      <c r="A61" s="4"/>
      <c r="B61" s="4"/>
      <c r="C61" s="4"/>
      <c r="D61" s="4"/>
      <c r="E61" s="4"/>
      <c r="F61" s="4"/>
      <c r="G61" s="4"/>
      <c r="H61" s="4"/>
      <c r="I61" s="4"/>
      <c r="J61" s="4"/>
      <c r="K61" s="4"/>
      <c r="L61" s="4"/>
      <c r="M61" s="4"/>
      <c r="N61" s="4"/>
      <c r="O61" s="4"/>
      <c r="P61" s="4"/>
      <c r="Q61" s="4"/>
      <c r="R61" s="4"/>
      <c r="S61" s="4"/>
      <c r="T61" s="4"/>
      <c r="U61" s="4"/>
      <c r="V61" s="58"/>
      <c r="W61" s="58"/>
      <c r="X61" s="58"/>
      <c r="Y61" s="58"/>
      <c r="Z61" s="58"/>
    </row>
    <row r="62" ht="15.0" customHeight="1">
      <c r="A62" s="4"/>
      <c r="B62" s="4"/>
      <c r="C62" s="4"/>
      <c r="D62" s="4"/>
      <c r="E62" s="4"/>
      <c r="F62" s="4"/>
      <c r="G62" s="4"/>
      <c r="H62" s="4"/>
      <c r="I62" s="4"/>
      <c r="J62" s="4"/>
      <c r="K62" s="4"/>
      <c r="L62" s="4"/>
      <c r="M62" s="4"/>
      <c r="N62" s="4"/>
      <c r="O62" s="4"/>
      <c r="P62" s="4"/>
      <c r="Q62" s="4"/>
      <c r="R62" s="4"/>
      <c r="S62" s="4"/>
      <c r="T62" s="4"/>
      <c r="U62" s="4"/>
      <c r="V62" s="58"/>
      <c r="W62" s="58"/>
      <c r="X62" s="58"/>
      <c r="Y62" s="58"/>
      <c r="Z62" s="58"/>
    </row>
    <row r="63" ht="15.0" customHeight="1">
      <c r="A63" s="4"/>
      <c r="B63" s="4"/>
      <c r="C63" s="4"/>
      <c r="D63" s="4"/>
      <c r="E63" s="4"/>
      <c r="F63" s="4"/>
      <c r="G63" s="4"/>
      <c r="H63" s="4"/>
      <c r="I63" s="4"/>
      <c r="J63" s="4"/>
      <c r="K63" s="4"/>
      <c r="L63" s="4"/>
      <c r="M63" s="4"/>
      <c r="N63" s="4"/>
      <c r="O63" s="4"/>
      <c r="P63" s="4"/>
      <c r="Q63" s="4"/>
      <c r="R63" s="4"/>
      <c r="S63" s="4"/>
      <c r="T63" s="4"/>
      <c r="U63" s="4"/>
      <c r="V63" s="58"/>
      <c r="W63" s="58"/>
      <c r="X63" s="58"/>
      <c r="Y63" s="58"/>
      <c r="Z63" s="58"/>
    </row>
    <row r="64" ht="15.0" customHeight="1">
      <c r="A64" s="4"/>
      <c r="B64" s="4"/>
      <c r="C64" s="4"/>
      <c r="D64" s="4"/>
      <c r="E64" s="4"/>
      <c r="F64" s="4"/>
      <c r="G64" s="4"/>
      <c r="H64" s="4"/>
      <c r="I64" s="4"/>
      <c r="J64" s="4"/>
      <c r="K64" s="4"/>
      <c r="L64" s="4"/>
      <c r="M64" s="4"/>
      <c r="N64" s="4"/>
      <c r="O64" s="4"/>
      <c r="P64" s="4"/>
      <c r="Q64" s="4"/>
      <c r="R64" s="4"/>
      <c r="S64" s="4"/>
      <c r="T64" s="4"/>
      <c r="U64" s="4"/>
      <c r="V64" s="58"/>
      <c r="W64" s="58"/>
      <c r="X64" s="58"/>
      <c r="Y64" s="58"/>
      <c r="Z64" s="58"/>
    </row>
    <row r="65" ht="15.0" customHeight="1">
      <c r="A65" s="4"/>
      <c r="B65" s="4"/>
      <c r="C65" s="4"/>
      <c r="D65" s="4"/>
      <c r="E65" s="4"/>
      <c r="F65" s="4"/>
      <c r="G65" s="4"/>
      <c r="H65" s="4"/>
      <c r="I65" s="4"/>
      <c r="J65" s="4"/>
      <c r="K65" s="4"/>
      <c r="L65" s="4"/>
      <c r="M65" s="4"/>
      <c r="N65" s="4"/>
      <c r="O65" s="4"/>
      <c r="P65" s="4"/>
      <c r="Q65" s="4"/>
      <c r="R65" s="4"/>
      <c r="S65" s="4"/>
      <c r="T65" s="4"/>
      <c r="U65" s="4"/>
      <c r="V65" s="58"/>
      <c r="W65" s="58"/>
      <c r="X65" s="58"/>
      <c r="Y65" s="58"/>
      <c r="Z65" s="58"/>
    </row>
    <row r="66" ht="15.0" customHeight="1">
      <c r="A66" s="4"/>
      <c r="B66" s="4"/>
      <c r="C66" s="4"/>
      <c r="D66" s="4"/>
      <c r="E66" s="4"/>
      <c r="F66" s="4"/>
      <c r="G66" s="4"/>
      <c r="H66" s="4"/>
      <c r="I66" s="4"/>
      <c r="J66" s="4"/>
      <c r="K66" s="4"/>
      <c r="L66" s="4"/>
      <c r="M66" s="4"/>
      <c r="N66" s="4"/>
      <c r="O66" s="4"/>
      <c r="P66" s="4"/>
      <c r="Q66" s="4"/>
      <c r="R66" s="4"/>
      <c r="S66" s="4"/>
      <c r="T66" s="4"/>
      <c r="U66" s="4"/>
      <c r="V66" s="58"/>
      <c r="W66" s="58"/>
      <c r="X66" s="58"/>
      <c r="Y66" s="58"/>
      <c r="Z66" s="58"/>
    </row>
    <row r="67" ht="15.0" customHeight="1">
      <c r="A67" s="4"/>
      <c r="B67" s="4"/>
      <c r="C67" s="4"/>
      <c r="D67" s="4"/>
      <c r="E67" s="4"/>
      <c r="F67" s="4"/>
      <c r="G67" s="4"/>
      <c r="H67" s="4"/>
      <c r="I67" s="4"/>
      <c r="J67" s="4"/>
      <c r="K67" s="4"/>
      <c r="L67" s="4"/>
      <c r="M67" s="4"/>
      <c r="N67" s="4"/>
      <c r="O67" s="4"/>
      <c r="P67" s="4"/>
      <c r="Q67" s="4"/>
      <c r="R67" s="4"/>
      <c r="S67" s="4"/>
      <c r="T67" s="4"/>
      <c r="U67" s="4"/>
      <c r="V67" s="58"/>
      <c r="W67" s="58"/>
      <c r="X67" s="58"/>
      <c r="Y67" s="58"/>
      <c r="Z67" s="58"/>
    </row>
    <row r="68" ht="15.0" customHeight="1">
      <c r="A68" s="4"/>
      <c r="B68" s="4"/>
      <c r="C68" s="4"/>
      <c r="D68" s="4"/>
      <c r="E68" s="4"/>
      <c r="F68" s="4"/>
      <c r="G68" s="4"/>
      <c r="H68" s="4"/>
      <c r="I68" s="4"/>
      <c r="J68" s="4"/>
      <c r="K68" s="4"/>
      <c r="L68" s="4"/>
      <c r="M68" s="4"/>
      <c r="N68" s="4"/>
      <c r="O68" s="4"/>
      <c r="P68" s="4"/>
      <c r="Q68" s="4"/>
      <c r="R68" s="4"/>
      <c r="S68" s="4"/>
      <c r="T68" s="4"/>
      <c r="U68" s="4"/>
      <c r="V68" s="58"/>
      <c r="W68" s="58"/>
      <c r="X68" s="58"/>
      <c r="Y68" s="58"/>
      <c r="Z68" s="58"/>
    </row>
    <row r="69" ht="15.0" customHeight="1">
      <c r="A69" s="4"/>
      <c r="B69" s="4"/>
      <c r="C69" s="4"/>
      <c r="D69" s="4"/>
      <c r="E69" s="4"/>
      <c r="F69" s="4"/>
      <c r="G69" s="4"/>
      <c r="H69" s="4"/>
      <c r="I69" s="4"/>
      <c r="J69" s="4"/>
      <c r="K69" s="4"/>
      <c r="L69" s="4"/>
      <c r="M69" s="4"/>
      <c r="N69" s="4"/>
      <c r="O69" s="4"/>
      <c r="P69" s="4"/>
      <c r="Q69" s="4"/>
      <c r="R69" s="4"/>
      <c r="S69" s="4"/>
      <c r="T69" s="4"/>
      <c r="U69" s="4"/>
      <c r="V69" s="58"/>
      <c r="W69" s="58"/>
      <c r="X69" s="58"/>
      <c r="Y69" s="58"/>
      <c r="Z69" s="58"/>
    </row>
    <row r="70" ht="15.0" customHeight="1">
      <c r="A70" s="4"/>
      <c r="B70" s="4"/>
      <c r="C70" s="4"/>
      <c r="D70" s="4"/>
      <c r="E70" s="4"/>
      <c r="F70" s="4"/>
      <c r="G70" s="4"/>
      <c r="H70" s="4"/>
      <c r="I70" s="4"/>
      <c r="J70" s="4"/>
      <c r="K70" s="4"/>
      <c r="L70" s="4"/>
      <c r="M70" s="4"/>
      <c r="N70" s="4"/>
      <c r="O70" s="4"/>
      <c r="P70" s="4"/>
      <c r="Q70" s="4"/>
      <c r="R70" s="4"/>
      <c r="S70" s="4"/>
      <c r="T70" s="4"/>
      <c r="U70" s="4"/>
      <c r="V70" s="58"/>
      <c r="W70" s="58"/>
      <c r="X70" s="58"/>
      <c r="Y70" s="58"/>
      <c r="Z70" s="58"/>
    </row>
    <row r="71" ht="15.0" customHeight="1">
      <c r="A71" s="4"/>
      <c r="B71" s="4"/>
      <c r="C71" s="4"/>
      <c r="D71" s="4"/>
      <c r="E71" s="4"/>
      <c r="F71" s="4"/>
      <c r="G71" s="4"/>
      <c r="H71" s="4"/>
      <c r="I71" s="4"/>
      <c r="J71" s="4"/>
      <c r="K71" s="4"/>
      <c r="L71" s="4"/>
      <c r="M71" s="4"/>
      <c r="N71" s="4"/>
      <c r="O71" s="4"/>
      <c r="P71" s="4"/>
      <c r="Q71" s="4"/>
      <c r="R71" s="4"/>
      <c r="S71" s="4"/>
      <c r="T71" s="4"/>
      <c r="U71" s="4"/>
      <c r="V71" s="58"/>
      <c r="W71" s="58"/>
      <c r="X71" s="58"/>
      <c r="Y71" s="58"/>
      <c r="Z71" s="58"/>
    </row>
    <row r="72" ht="15.0" customHeight="1">
      <c r="A72" s="4"/>
      <c r="B72" s="4"/>
      <c r="C72" s="4"/>
      <c r="D72" s="4"/>
      <c r="E72" s="4"/>
      <c r="F72" s="4"/>
      <c r="G72" s="4"/>
      <c r="H72" s="4"/>
      <c r="I72" s="4"/>
      <c r="J72" s="4"/>
      <c r="K72" s="4"/>
      <c r="L72" s="4"/>
      <c r="M72" s="4"/>
      <c r="N72" s="4"/>
      <c r="O72" s="4"/>
      <c r="P72" s="4"/>
      <c r="Q72" s="4"/>
      <c r="R72" s="4"/>
      <c r="S72" s="4"/>
      <c r="T72" s="4"/>
      <c r="U72" s="4"/>
      <c r="V72" s="58"/>
      <c r="W72" s="58"/>
      <c r="X72" s="58"/>
      <c r="Y72" s="58"/>
      <c r="Z72" s="58"/>
    </row>
    <row r="73" ht="15.0" customHeight="1">
      <c r="A73" s="4"/>
      <c r="B73" s="4"/>
      <c r="C73" s="4"/>
      <c r="D73" s="4"/>
      <c r="E73" s="4"/>
      <c r="F73" s="4"/>
      <c r="G73" s="4"/>
      <c r="H73" s="4"/>
      <c r="I73" s="4"/>
      <c r="J73" s="4"/>
      <c r="K73" s="4"/>
      <c r="L73" s="4"/>
      <c r="M73" s="4"/>
      <c r="N73" s="4"/>
      <c r="O73" s="4"/>
      <c r="P73" s="4"/>
      <c r="Q73" s="4"/>
      <c r="R73" s="4"/>
      <c r="S73" s="4"/>
      <c r="T73" s="4"/>
      <c r="U73" s="4"/>
      <c r="V73" s="58"/>
      <c r="W73" s="58"/>
      <c r="X73" s="58"/>
      <c r="Y73" s="58"/>
      <c r="Z73" s="58"/>
    </row>
    <row r="74" ht="15.0" customHeight="1">
      <c r="A74" s="4"/>
      <c r="B74" s="4"/>
      <c r="C74" s="4"/>
      <c r="D74" s="4"/>
      <c r="E74" s="4"/>
      <c r="F74" s="4"/>
      <c r="G74" s="4"/>
      <c r="H74" s="4"/>
      <c r="I74" s="4"/>
      <c r="J74" s="4"/>
      <c r="K74" s="4"/>
      <c r="L74" s="4"/>
      <c r="M74" s="4"/>
      <c r="N74" s="4"/>
      <c r="O74" s="4"/>
      <c r="P74" s="4"/>
      <c r="Q74" s="4"/>
      <c r="R74" s="4"/>
      <c r="S74" s="4"/>
      <c r="T74" s="4"/>
      <c r="U74" s="4"/>
      <c r="V74" s="58"/>
      <c r="W74" s="58"/>
      <c r="X74" s="58"/>
      <c r="Y74" s="58"/>
      <c r="Z74" s="58"/>
    </row>
    <row r="75" ht="15.0" customHeight="1">
      <c r="A75" s="4"/>
      <c r="B75" s="4"/>
      <c r="C75" s="4"/>
      <c r="D75" s="4"/>
      <c r="E75" s="4"/>
      <c r="F75" s="4"/>
      <c r="G75" s="4"/>
      <c r="H75" s="4"/>
      <c r="I75" s="4"/>
      <c r="J75" s="4"/>
      <c r="K75" s="4"/>
      <c r="L75" s="4"/>
      <c r="M75" s="4"/>
      <c r="N75" s="4"/>
      <c r="O75" s="4"/>
      <c r="P75" s="4"/>
      <c r="Q75" s="4"/>
      <c r="R75" s="4"/>
      <c r="S75" s="4"/>
      <c r="T75" s="4"/>
      <c r="U75" s="4"/>
      <c r="V75" s="58"/>
      <c r="W75" s="58"/>
      <c r="X75" s="58"/>
      <c r="Y75" s="58"/>
      <c r="Z75" s="58"/>
    </row>
    <row r="76" ht="15.0" customHeight="1">
      <c r="A76" s="4"/>
      <c r="B76" s="4"/>
      <c r="C76" s="4"/>
      <c r="D76" s="4"/>
      <c r="E76" s="4"/>
      <c r="F76" s="4"/>
      <c r="G76" s="4"/>
      <c r="H76" s="4"/>
      <c r="I76" s="4"/>
      <c r="J76" s="4"/>
      <c r="K76" s="4"/>
      <c r="L76" s="4"/>
      <c r="M76" s="4"/>
      <c r="N76" s="4"/>
      <c r="O76" s="4"/>
      <c r="P76" s="4"/>
      <c r="Q76" s="4"/>
      <c r="R76" s="4"/>
      <c r="S76" s="4"/>
      <c r="T76" s="4"/>
      <c r="U76" s="4"/>
      <c r="V76" s="58"/>
      <c r="W76" s="58"/>
      <c r="X76" s="58"/>
      <c r="Y76" s="58"/>
      <c r="Z76" s="58"/>
    </row>
    <row r="77" ht="15.0" customHeight="1">
      <c r="A77" s="4"/>
      <c r="B77" s="4"/>
      <c r="C77" s="4"/>
      <c r="D77" s="4"/>
      <c r="E77" s="4"/>
      <c r="F77" s="4"/>
      <c r="G77" s="4"/>
      <c r="H77" s="4"/>
      <c r="I77" s="4"/>
      <c r="J77" s="4"/>
      <c r="K77" s="4"/>
      <c r="L77" s="4"/>
      <c r="M77" s="4"/>
      <c r="N77" s="4"/>
      <c r="O77" s="4"/>
      <c r="P77" s="4"/>
      <c r="Q77" s="4"/>
      <c r="R77" s="4"/>
      <c r="S77" s="4"/>
      <c r="T77" s="4"/>
      <c r="U77" s="4"/>
      <c r="V77" s="58"/>
      <c r="W77" s="58"/>
      <c r="X77" s="58"/>
      <c r="Y77" s="58"/>
      <c r="Z77" s="58"/>
    </row>
    <row r="78" ht="15.0" customHeight="1">
      <c r="A78" s="4"/>
      <c r="B78" s="4"/>
      <c r="C78" s="4"/>
      <c r="D78" s="4"/>
      <c r="E78" s="4"/>
      <c r="F78" s="4"/>
      <c r="G78" s="4"/>
      <c r="H78" s="4"/>
      <c r="I78" s="4"/>
      <c r="J78" s="4"/>
      <c r="K78" s="4"/>
      <c r="L78" s="4"/>
      <c r="M78" s="4"/>
      <c r="N78" s="4"/>
      <c r="O78" s="4"/>
      <c r="P78" s="4"/>
      <c r="Q78" s="4"/>
      <c r="R78" s="4"/>
      <c r="S78" s="4"/>
      <c r="T78" s="4"/>
      <c r="U78" s="4"/>
      <c r="V78" s="58"/>
      <c r="W78" s="58"/>
      <c r="X78" s="58"/>
      <c r="Y78" s="58"/>
      <c r="Z78" s="58"/>
    </row>
    <row r="79" ht="15.0" customHeight="1">
      <c r="A79" s="4"/>
      <c r="B79" s="4"/>
      <c r="C79" s="4"/>
      <c r="D79" s="4"/>
      <c r="E79" s="4"/>
      <c r="F79" s="4"/>
      <c r="G79" s="4"/>
      <c r="H79" s="4"/>
      <c r="I79" s="4"/>
      <c r="J79" s="4"/>
      <c r="K79" s="4"/>
      <c r="L79" s="4"/>
      <c r="M79" s="4"/>
      <c r="N79" s="4"/>
      <c r="O79" s="4"/>
      <c r="P79" s="4"/>
      <c r="Q79" s="4"/>
      <c r="R79" s="4"/>
      <c r="S79" s="4"/>
      <c r="T79" s="4"/>
      <c r="U79" s="4"/>
      <c r="V79" s="58"/>
      <c r="W79" s="58"/>
      <c r="X79" s="58"/>
      <c r="Y79" s="58"/>
      <c r="Z79" s="58"/>
    </row>
    <row r="80" ht="15.0" customHeight="1">
      <c r="A80" s="4"/>
      <c r="B80" s="4"/>
      <c r="C80" s="4"/>
      <c r="D80" s="4"/>
      <c r="E80" s="4"/>
      <c r="F80" s="4"/>
      <c r="G80" s="4"/>
      <c r="H80" s="4"/>
      <c r="I80" s="4"/>
      <c r="J80" s="4"/>
      <c r="K80" s="4"/>
      <c r="L80" s="4"/>
      <c r="M80" s="4"/>
      <c r="N80" s="4"/>
      <c r="O80" s="4"/>
      <c r="P80" s="4"/>
      <c r="Q80" s="4"/>
      <c r="R80" s="4"/>
      <c r="S80" s="4"/>
      <c r="T80" s="4"/>
      <c r="U80" s="4"/>
      <c r="V80" s="58"/>
      <c r="W80" s="58"/>
      <c r="X80" s="58"/>
      <c r="Y80" s="58"/>
      <c r="Z80" s="58"/>
    </row>
    <row r="81" ht="15.0" customHeight="1">
      <c r="A81" s="4"/>
      <c r="B81" s="4"/>
      <c r="C81" s="4"/>
      <c r="D81" s="4"/>
      <c r="E81" s="4"/>
      <c r="F81" s="4"/>
      <c r="G81" s="4"/>
      <c r="H81" s="4"/>
      <c r="I81" s="4"/>
      <c r="J81" s="4"/>
      <c r="K81" s="4"/>
      <c r="L81" s="4"/>
      <c r="M81" s="4"/>
      <c r="N81" s="4"/>
      <c r="O81" s="4"/>
      <c r="P81" s="4"/>
      <c r="Q81" s="4"/>
      <c r="R81" s="4"/>
      <c r="S81" s="4"/>
      <c r="T81" s="4"/>
      <c r="U81" s="4"/>
      <c r="V81" s="58"/>
      <c r="W81" s="58"/>
      <c r="X81" s="58"/>
      <c r="Y81" s="58"/>
      <c r="Z81" s="58"/>
    </row>
    <row r="82" ht="15.0" customHeight="1">
      <c r="A82" s="4"/>
      <c r="B82" s="4"/>
      <c r="C82" s="4"/>
      <c r="D82" s="4"/>
      <c r="E82" s="4"/>
      <c r="F82" s="4"/>
      <c r="G82" s="4"/>
      <c r="H82" s="4"/>
      <c r="I82" s="4"/>
      <c r="J82" s="4"/>
      <c r="K82" s="4"/>
      <c r="L82" s="4"/>
      <c r="M82" s="4"/>
      <c r="N82" s="4"/>
      <c r="O82" s="4"/>
      <c r="P82" s="4"/>
      <c r="Q82" s="4"/>
      <c r="R82" s="4"/>
      <c r="S82" s="4"/>
      <c r="T82" s="4"/>
      <c r="U82" s="4"/>
      <c r="V82" s="58"/>
      <c r="W82" s="58"/>
      <c r="X82" s="58"/>
      <c r="Y82" s="58"/>
      <c r="Z82" s="58"/>
    </row>
    <row r="83" ht="15.0" customHeight="1">
      <c r="A83" s="4"/>
      <c r="B83" s="4"/>
      <c r="C83" s="4"/>
      <c r="D83" s="4"/>
      <c r="E83" s="4"/>
      <c r="F83" s="4"/>
      <c r="G83" s="4"/>
      <c r="H83" s="4"/>
      <c r="I83" s="4"/>
      <c r="J83" s="4"/>
      <c r="K83" s="4"/>
      <c r="L83" s="4"/>
      <c r="M83" s="4"/>
      <c r="N83" s="4"/>
      <c r="O83" s="4"/>
      <c r="P83" s="4"/>
      <c r="Q83" s="4"/>
      <c r="R83" s="4"/>
      <c r="S83" s="4"/>
      <c r="T83" s="4"/>
      <c r="U83" s="4"/>
      <c r="V83" s="58"/>
      <c r="W83" s="58"/>
      <c r="X83" s="58"/>
      <c r="Y83" s="58"/>
      <c r="Z83" s="58"/>
    </row>
    <row r="84" ht="15.0" customHeight="1">
      <c r="A84" s="4"/>
      <c r="B84" s="4"/>
      <c r="C84" s="4"/>
      <c r="D84" s="4"/>
      <c r="E84" s="4"/>
      <c r="F84" s="4"/>
      <c r="G84" s="4"/>
      <c r="H84" s="4"/>
      <c r="I84" s="4"/>
      <c r="J84" s="4"/>
      <c r="K84" s="4"/>
      <c r="L84" s="4"/>
      <c r="M84" s="4"/>
      <c r="N84" s="4"/>
      <c r="O84" s="4"/>
      <c r="P84" s="4"/>
      <c r="Q84" s="4"/>
      <c r="R84" s="4"/>
      <c r="S84" s="4"/>
      <c r="T84" s="4"/>
      <c r="U84" s="4"/>
      <c r="V84" s="58"/>
      <c r="W84" s="58"/>
      <c r="X84" s="58"/>
      <c r="Y84" s="58"/>
      <c r="Z84" s="58"/>
    </row>
    <row r="85" ht="15.0" customHeight="1">
      <c r="A85" s="4"/>
      <c r="B85" s="4"/>
      <c r="C85" s="4"/>
      <c r="D85" s="4"/>
      <c r="E85" s="4"/>
      <c r="F85" s="4"/>
      <c r="G85" s="4"/>
      <c r="H85" s="4"/>
      <c r="I85" s="4"/>
      <c r="J85" s="4"/>
      <c r="K85" s="4"/>
      <c r="L85" s="4"/>
      <c r="M85" s="4"/>
      <c r="N85" s="4"/>
      <c r="O85" s="4"/>
      <c r="P85" s="4"/>
      <c r="Q85" s="4"/>
      <c r="R85" s="4"/>
      <c r="S85" s="4"/>
      <c r="T85" s="4"/>
      <c r="U85" s="4"/>
      <c r="V85" s="58"/>
      <c r="W85" s="58"/>
      <c r="X85" s="58"/>
      <c r="Y85" s="58"/>
      <c r="Z85" s="58"/>
    </row>
    <row r="86" ht="15.0" customHeight="1">
      <c r="A86" s="4"/>
      <c r="B86" s="4"/>
      <c r="C86" s="4"/>
      <c r="D86" s="4"/>
      <c r="E86" s="4"/>
      <c r="F86" s="4"/>
      <c r="G86" s="4"/>
      <c r="H86" s="4"/>
      <c r="I86" s="4"/>
      <c r="J86" s="4"/>
      <c r="K86" s="4"/>
      <c r="L86" s="4"/>
      <c r="M86" s="4"/>
      <c r="N86" s="4"/>
      <c r="O86" s="4"/>
      <c r="P86" s="4"/>
      <c r="Q86" s="4"/>
      <c r="R86" s="4"/>
      <c r="S86" s="4"/>
      <c r="T86" s="4"/>
      <c r="U86" s="4"/>
      <c r="V86" s="58"/>
      <c r="W86" s="58"/>
      <c r="X86" s="58"/>
      <c r="Y86" s="58"/>
      <c r="Z86" s="58"/>
    </row>
    <row r="87" ht="15.0" customHeight="1">
      <c r="A87" s="4"/>
      <c r="B87" s="4"/>
      <c r="C87" s="4"/>
      <c r="D87" s="4"/>
      <c r="E87" s="4"/>
      <c r="F87" s="4"/>
      <c r="G87" s="4"/>
      <c r="H87" s="4"/>
      <c r="I87" s="4"/>
      <c r="J87" s="4"/>
      <c r="K87" s="4"/>
      <c r="L87" s="4"/>
      <c r="M87" s="4"/>
      <c r="N87" s="4"/>
      <c r="O87" s="4"/>
      <c r="P87" s="4"/>
      <c r="Q87" s="4"/>
      <c r="R87" s="4"/>
      <c r="S87" s="4"/>
      <c r="T87" s="4"/>
      <c r="U87" s="4"/>
      <c r="V87" s="58"/>
      <c r="W87" s="58"/>
      <c r="X87" s="58"/>
      <c r="Y87" s="58"/>
      <c r="Z87" s="58"/>
    </row>
    <row r="88" ht="15.0" customHeight="1">
      <c r="A88" s="4"/>
      <c r="B88" s="4"/>
      <c r="C88" s="4"/>
      <c r="D88" s="4"/>
      <c r="E88" s="4"/>
      <c r="F88" s="4"/>
      <c r="G88" s="4"/>
      <c r="H88" s="4"/>
      <c r="I88" s="4"/>
      <c r="J88" s="4"/>
      <c r="K88" s="4"/>
      <c r="L88" s="4"/>
      <c r="M88" s="4"/>
      <c r="N88" s="4"/>
      <c r="O88" s="4"/>
      <c r="P88" s="4"/>
      <c r="Q88" s="4"/>
      <c r="R88" s="4"/>
      <c r="S88" s="4"/>
      <c r="T88" s="4"/>
      <c r="U88" s="4"/>
      <c r="V88" s="58"/>
      <c r="W88" s="58"/>
      <c r="X88" s="58"/>
      <c r="Y88" s="58"/>
      <c r="Z88" s="58"/>
    </row>
    <row r="89" ht="15.0" customHeight="1">
      <c r="A89" s="4"/>
      <c r="B89" s="4"/>
      <c r="C89" s="4"/>
      <c r="D89" s="4"/>
      <c r="E89" s="4"/>
      <c r="F89" s="4"/>
      <c r="G89" s="4"/>
      <c r="H89" s="4"/>
      <c r="I89" s="4"/>
      <c r="J89" s="4"/>
      <c r="K89" s="4"/>
      <c r="L89" s="4"/>
      <c r="M89" s="4"/>
      <c r="N89" s="4"/>
      <c r="O89" s="4"/>
      <c r="P89" s="4"/>
      <c r="Q89" s="4"/>
      <c r="R89" s="4"/>
      <c r="S89" s="4"/>
      <c r="T89" s="4"/>
      <c r="U89" s="4"/>
      <c r="V89" s="58"/>
      <c r="W89" s="58"/>
      <c r="X89" s="58"/>
      <c r="Y89" s="58"/>
      <c r="Z89" s="58"/>
    </row>
    <row r="90" ht="15.0" customHeight="1">
      <c r="A90" s="4"/>
      <c r="B90" s="4"/>
      <c r="C90" s="4"/>
      <c r="D90" s="4"/>
      <c r="E90" s="4"/>
      <c r="F90" s="4"/>
      <c r="G90" s="4"/>
      <c r="H90" s="4"/>
      <c r="I90" s="4"/>
      <c r="J90" s="4"/>
      <c r="K90" s="4"/>
      <c r="L90" s="4"/>
      <c r="M90" s="4"/>
      <c r="N90" s="4"/>
      <c r="O90" s="4"/>
      <c r="P90" s="4"/>
      <c r="Q90" s="4"/>
      <c r="R90" s="4"/>
      <c r="S90" s="4"/>
      <c r="T90" s="4"/>
      <c r="U90" s="4"/>
      <c r="V90" s="58"/>
      <c r="W90" s="58"/>
      <c r="X90" s="58"/>
      <c r="Y90" s="58"/>
      <c r="Z90" s="58"/>
    </row>
    <row r="91" ht="15.0" customHeight="1">
      <c r="A91" s="4"/>
      <c r="B91" s="4"/>
      <c r="C91" s="4"/>
      <c r="D91" s="4"/>
      <c r="E91" s="4"/>
      <c r="F91" s="4"/>
      <c r="G91" s="4"/>
      <c r="H91" s="4"/>
      <c r="I91" s="4"/>
      <c r="J91" s="4"/>
      <c r="K91" s="4"/>
      <c r="L91" s="4"/>
      <c r="M91" s="4"/>
      <c r="N91" s="4"/>
      <c r="O91" s="4"/>
      <c r="P91" s="4"/>
      <c r="Q91" s="4"/>
      <c r="R91" s="4"/>
      <c r="S91" s="4"/>
      <c r="T91" s="4"/>
      <c r="U91" s="4"/>
      <c r="V91" s="58"/>
      <c r="W91" s="58"/>
      <c r="X91" s="58"/>
      <c r="Y91" s="58"/>
      <c r="Z91" s="58"/>
    </row>
    <row r="92" ht="15.0" customHeight="1">
      <c r="A92" s="4"/>
      <c r="B92" s="4"/>
      <c r="C92" s="4"/>
      <c r="D92" s="4"/>
      <c r="E92" s="4"/>
      <c r="F92" s="4"/>
      <c r="G92" s="4"/>
      <c r="H92" s="4"/>
      <c r="I92" s="4"/>
      <c r="J92" s="4"/>
      <c r="K92" s="4"/>
      <c r="L92" s="4"/>
      <c r="M92" s="4"/>
      <c r="N92" s="4"/>
      <c r="O92" s="4"/>
      <c r="P92" s="4"/>
      <c r="Q92" s="4"/>
      <c r="R92" s="4"/>
      <c r="S92" s="4"/>
      <c r="T92" s="4"/>
      <c r="U92" s="4"/>
      <c r="V92" s="58"/>
      <c r="W92" s="58"/>
      <c r="X92" s="58"/>
      <c r="Y92" s="58"/>
      <c r="Z92" s="58"/>
    </row>
    <row r="93" ht="15.0" customHeight="1">
      <c r="A93" s="4"/>
      <c r="B93" s="4"/>
      <c r="C93" s="4"/>
      <c r="D93" s="4"/>
      <c r="E93" s="4"/>
      <c r="F93" s="4"/>
      <c r="G93" s="4"/>
      <c r="H93" s="4"/>
      <c r="I93" s="4"/>
      <c r="J93" s="4"/>
      <c r="K93" s="4"/>
      <c r="L93" s="4"/>
      <c r="M93" s="4"/>
      <c r="N93" s="4"/>
      <c r="O93" s="4"/>
      <c r="P93" s="4"/>
      <c r="Q93" s="4"/>
      <c r="R93" s="4"/>
      <c r="S93" s="4"/>
      <c r="T93" s="4"/>
      <c r="U93" s="4"/>
      <c r="V93" s="58"/>
      <c r="W93" s="58"/>
      <c r="X93" s="58"/>
      <c r="Y93" s="58"/>
      <c r="Z93" s="58"/>
    </row>
    <row r="94" ht="15.0" customHeight="1">
      <c r="A94" s="4"/>
      <c r="B94" s="4"/>
      <c r="C94" s="4"/>
      <c r="D94" s="4"/>
      <c r="E94" s="4"/>
      <c r="F94" s="4"/>
      <c r="G94" s="4"/>
      <c r="H94" s="4"/>
      <c r="I94" s="4"/>
      <c r="J94" s="4"/>
      <c r="K94" s="4"/>
      <c r="L94" s="4"/>
      <c r="M94" s="4"/>
      <c r="N94" s="4"/>
      <c r="O94" s="4"/>
      <c r="P94" s="4"/>
      <c r="Q94" s="4"/>
      <c r="R94" s="4"/>
      <c r="S94" s="4"/>
      <c r="T94" s="4"/>
      <c r="U94" s="4"/>
      <c r="V94" s="58"/>
      <c r="W94" s="58"/>
      <c r="X94" s="58"/>
      <c r="Y94" s="58"/>
      <c r="Z94" s="58"/>
    </row>
    <row r="95" ht="15.0" customHeight="1">
      <c r="A95" s="4"/>
      <c r="B95" s="4"/>
      <c r="C95" s="4"/>
      <c r="D95" s="4"/>
      <c r="E95" s="4"/>
      <c r="F95" s="4"/>
      <c r="G95" s="4"/>
      <c r="H95" s="4"/>
      <c r="I95" s="4"/>
      <c r="J95" s="4"/>
      <c r="K95" s="4"/>
      <c r="L95" s="4"/>
      <c r="M95" s="4"/>
      <c r="N95" s="4"/>
      <c r="O95" s="4"/>
      <c r="P95" s="4"/>
      <c r="Q95" s="4"/>
      <c r="R95" s="4"/>
      <c r="S95" s="4"/>
      <c r="T95" s="4"/>
      <c r="U95" s="4"/>
      <c r="V95" s="58"/>
      <c r="W95" s="58"/>
      <c r="X95" s="58"/>
      <c r="Y95" s="58"/>
      <c r="Z95" s="58"/>
    </row>
    <row r="96" ht="15.0" customHeight="1">
      <c r="A96" s="4"/>
      <c r="B96" s="4"/>
      <c r="C96" s="4"/>
      <c r="D96" s="4"/>
      <c r="E96" s="4"/>
      <c r="F96" s="4"/>
      <c r="G96" s="4"/>
      <c r="H96" s="4"/>
      <c r="I96" s="4"/>
      <c r="J96" s="4"/>
      <c r="K96" s="4"/>
      <c r="L96" s="4"/>
      <c r="M96" s="4"/>
      <c r="N96" s="4"/>
      <c r="O96" s="4"/>
      <c r="P96" s="4"/>
      <c r="Q96" s="4"/>
      <c r="R96" s="4"/>
      <c r="S96" s="4"/>
      <c r="T96" s="4"/>
      <c r="U96" s="4"/>
      <c r="V96" s="58"/>
      <c r="W96" s="58"/>
      <c r="X96" s="58"/>
      <c r="Y96" s="58"/>
      <c r="Z96" s="58"/>
    </row>
    <row r="97" ht="15.0" customHeight="1">
      <c r="A97" s="4"/>
      <c r="B97" s="4"/>
      <c r="C97" s="4"/>
      <c r="D97" s="4"/>
      <c r="E97" s="4"/>
      <c r="F97" s="4"/>
      <c r="G97" s="4"/>
      <c r="H97" s="4"/>
      <c r="I97" s="4"/>
      <c r="J97" s="4"/>
      <c r="K97" s="4"/>
      <c r="L97" s="4"/>
      <c r="M97" s="4"/>
      <c r="N97" s="4"/>
      <c r="O97" s="4"/>
      <c r="P97" s="4"/>
      <c r="Q97" s="4"/>
      <c r="R97" s="4"/>
      <c r="S97" s="4"/>
      <c r="T97" s="4"/>
      <c r="U97" s="4"/>
      <c r="V97" s="58"/>
      <c r="W97" s="58"/>
      <c r="X97" s="58"/>
      <c r="Y97" s="58"/>
      <c r="Z97" s="58"/>
    </row>
    <row r="98" ht="15.0" customHeight="1">
      <c r="A98" s="4"/>
      <c r="B98" s="4"/>
      <c r="C98" s="4"/>
      <c r="D98" s="4"/>
      <c r="E98" s="4"/>
      <c r="F98" s="4"/>
      <c r="G98" s="4"/>
      <c r="H98" s="4"/>
      <c r="I98" s="4"/>
      <c r="J98" s="4"/>
      <c r="K98" s="4"/>
      <c r="L98" s="4"/>
      <c r="M98" s="4"/>
      <c r="N98" s="4"/>
      <c r="O98" s="4"/>
      <c r="P98" s="4"/>
      <c r="Q98" s="4"/>
      <c r="R98" s="4"/>
      <c r="S98" s="4"/>
      <c r="T98" s="4"/>
      <c r="U98" s="4"/>
      <c r="V98" s="58"/>
      <c r="W98" s="58"/>
      <c r="X98" s="58"/>
      <c r="Y98" s="58"/>
      <c r="Z98" s="58"/>
    </row>
    <row r="99" ht="15.0" customHeight="1">
      <c r="A99" s="4"/>
      <c r="B99" s="4"/>
      <c r="C99" s="4"/>
      <c r="D99" s="4"/>
      <c r="E99" s="4"/>
      <c r="F99" s="4"/>
      <c r="G99" s="4"/>
      <c r="H99" s="4"/>
      <c r="I99" s="4"/>
      <c r="J99" s="4"/>
      <c r="K99" s="4"/>
      <c r="L99" s="4"/>
      <c r="M99" s="4"/>
      <c r="N99" s="4"/>
      <c r="O99" s="4"/>
      <c r="P99" s="4"/>
      <c r="Q99" s="4"/>
      <c r="R99" s="4"/>
      <c r="S99" s="4"/>
      <c r="T99" s="4"/>
      <c r="U99" s="4"/>
      <c r="V99" s="58"/>
      <c r="W99" s="58"/>
      <c r="X99" s="58"/>
      <c r="Y99" s="58"/>
      <c r="Z99" s="58"/>
    </row>
    <row r="100" ht="15.0" customHeight="1">
      <c r="A100" s="4"/>
      <c r="B100" s="4"/>
      <c r="C100" s="4"/>
      <c r="D100" s="4"/>
      <c r="E100" s="4"/>
      <c r="F100" s="4"/>
      <c r="G100" s="4"/>
      <c r="H100" s="4"/>
      <c r="I100" s="4"/>
      <c r="J100" s="4"/>
      <c r="K100" s="4"/>
      <c r="L100" s="4"/>
      <c r="M100" s="4"/>
      <c r="N100" s="4"/>
      <c r="O100" s="4"/>
      <c r="P100" s="4"/>
      <c r="Q100" s="4"/>
      <c r="R100" s="4"/>
      <c r="S100" s="4"/>
      <c r="T100" s="4"/>
      <c r="U100" s="4"/>
      <c r="V100" s="58"/>
      <c r="W100" s="58"/>
      <c r="X100" s="58"/>
      <c r="Y100" s="58"/>
      <c r="Z100" s="58"/>
    </row>
    <row r="101" ht="15.0" customHeight="1">
      <c r="A101" s="4"/>
      <c r="B101" s="4"/>
      <c r="C101" s="4"/>
      <c r="D101" s="4"/>
      <c r="E101" s="4"/>
      <c r="F101" s="4"/>
      <c r="G101" s="4"/>
      <c r="H101" s="4"/>
      <c r="I101" s="4"/>
      <c r="J101" s="4"/>
      <c r="K101" s="4"/>
      <c r="L101" s="4"/>
      <c r="M101" s="4"/>
      <c r="N101" s="4"/>
      <c r="O101" s="4"/>
      <c r="P101" s="4"/>
      <c r="Q101" s="4"/>
      <c r="R101" s="4"/>
      <c r="S101" s="4"/>
      <c r="T101" s="4"/>
      <c r="U101" s="4"/>
      <c r="V101" s="58"/>
      <c r="W101" s="58"/>
      <c r="X101" s="58"/>
      <c r="Y101" s="58"/>
      <c r="Z101" s="58"/>
    </row>
    <row r="102" ht="15.0" customHeight="1">
      <c r="A102" s="4"/>
      <c r="B102" s="4"/>
      <c r="C102" s="4"/>
      <c r="D102" s="4"/>
      <c r="E102" s="4"/>
      <c r="F102" s="4"/>
      <c r="G102" s="4"/>
      <c r="H102" s="4"/>
      <c r="I102" s="4"/>
      <c r="J102" s="4"/>
      <c r="K102" s="4"/>
      <c r="L102" s="4"/>
      <c r="M102" s="4"/>
      <c r="N102" s="4"/>
      <c r="O102" s="4"/>
      <c r="P102" s="4"/>
      <c r="Q102" s="4"/>
      <c r="R102" s="4"/>
      <c r="S102" s="4"/>
      <c r="T102" s="4"/>
      <c r="U102" s="4"/>
      <c r="V102" s="58"/>
      <c r="W102" s="58"/>
      <c r="X102" s="58"/>
      <c r="Y102" s="58"/>
      <c r="Z102" s="58"/>
    </row>
    <row r="103" ht="15.0" customHeight="1">
      <c r="A103" s="4"/>
      <c r="B103" s="4"/>
      <c r="C103" s="4"/>
      <c r="D103" s="4"/>
      <c r="E103" s="4"/>
      <c r="F103" s="4"/>
      <c r="G103" s="4"/>
      <c r="H103" s="4"/>
      <c r="I103" s="4"/>
      <c r="J103" s="4"/>
      <c r="K103" s="4"/>
      <c r="L103" s="4"/>
      <c r="M103" s="4"/>
      <c r="N103" s="4"/>
      <c r="O103" s="4"/>
      <c r="P103" s="4"/>
      <c r="Q103" s="4"/>
      <c r="R103" s="4"/>
      <c r="S103" s="4"/>
      <c r="T103" s="4"/>
      <c r="U103" s="4"/>
      <c r="V103" s="58"/>
      <c r="W103" s="58"/>
      <c r="X103" s="58"/>
      <c r="Y103" s="58"/>
      <c r="Z103" s="58"/>
    </row>
    <row r="104" ht="15.0" customHeight="1">
      <c r="A104" s="4"/>
      <c r="B104" s="4"/>
      <c r="C104" s="4"/>
      <c r="D104" s="4"/>
      <c r="E104" s="4"/>
      <c r="F104" s="4"/>
      <c r="G104" s="4"/>
      <c r="H104" s="4"/>
      <c r="I104" s="4"/>
      <c r="J104" s="4"/>
      <c r="K104" s="4"/>
      <c r="L104" s="4"/>
      <c r="M104" s="4"/>
      <c r="N104" s="4"/>
      <c r="O104" s="4"/>
      <c r="P104" s="4"/>
      <c r="Q104" s="4"/>
      <c r="R104" s="4"/>
      <c r="S104" s="4"/>
      <c r="T104" s="4"/>
      <c r="U104" s="4"/>
      <c r="V104" s="58"/>
      <c r="W104" s="58"/>
      <c r="X104" s="58"/>
      <c r="Y104" s="58"/>
      <c r="Z104" s="58"/>
    </row>
    <row r="105" ht="15.0" customHeight="1">
      <c r="A105" s="4"/>
      <c r="B105" s="4"/>
      <c r="C105" s="4"/>
      <c r="D105" s="4"/>
      <c r="E105" s="4"/>
      <c r="F105" s="4"/>
      <c r="G105" s="4"/>
      <c r="H105" s="4"/>
      <c r="I105" s="4"/>
      <c r="J105" s="4"/>
      <c r="K105" s="4"/>
      <c r="L105" s="4"/>
      <c r="M105" s="4"/>
      <c r="N105" s="4"/>
      <c r="O105" s="4"/>
      <c r="P105" s="4"/>
      <c r="Q105" s="4"/>
      <c r="R105" s="4"/>
      <c r="S105" s="4"/>
      <c r="T105" s="4"/>
      <c r="U105" s="4"/>
      <c r="V105" s="58"/>
      <c r="W105" s="58"/>
      <c r="X105" s="58"/>
      <c r="Y105" s="58"/>
      <c r="Z105" s="58"/>
    </row>
    <row r="106" ht="15.0" customHeight="1">
      <c r="A106" s="4"/>
      <c r="B106" s="4"/>
      <c r="C106" s="4"/>
      <c r="D106" s="4"/>
      <c r="E106" s="4"/>
      <c r="F106" s="4"/>
      <c r="G106" s="4"/>
      <c r="H106" s="4"/>
      <c r="I106" s="4"/>
      <c r="J106" s="4"/>
      <c r="K106" s="4"/>
      <c r="L106" s="4"/>
      <c r="M106" s="4"/>
      <c r="N106" s="4"/>
      <c r="O106" s="4"/>
      <c r="P106" s="4"/>
      <c r="Q106" s="4"/>
      <c r="R106" s="4"/>
      <c r="S106" s="4"/>
      <c r="T106" s="4"/>
      <c r="U106" s="4"/>
      <c r="V106" s="58"/>
      <c r="W106" s="58"/>
      <c r="X106" s="58"/>
      <c r="Y106" s="58"/>
      <c r="Z106" s="58"/>
    </row>
    <row r="107" ht="15.0" customHeight="1">
      <c r="A107" s="4"/>
      <c r="B107" s="4"/>
      <c r="C107" s="4"/>
      <c r="D107" s="4"/>
      <c r="E107" s="4"/>
      <c r="F107" s="4"/>
      <c r="G107" s="4"/>
      <c r="H107" s="4"/>
      <c r="I107" s="4"/>
      <c r="J107" s="4"/>
      <c r="K107" s="4"/>
      <c r="L107" s="4"/>
      <c r="M107" s="4"/>
      <c r="N107" s="4"/>
      <c r="O107" s="4"/>
      <c r="P107" s="4"/>
      <c r="Q107" s="4"/>
      <c r="R107" s="4"/>
      <c r="S107" s="4"/>
      <c r="T107" s="4"/>
      <c r="U107" s="4"/>
      <c r="V107" s="58"/>
      <c r="W107" s="58"/>
      <c r="X107" s="58"/>
      <c r="Y107" s="58"/>
      <c r="Z107" s="58"/>
    </row>
    <row r="108" ht="15.0" customHeight="1">
      <c r="A108" s="4"/>
      <c r="B108" s="4"/>
      <c r="C108" s="4"/>
      <c r="D108" s="4"/>
      <c r="E108" s="4"/>
      <c r="F108" s="4"/>
      <c r="G108" s="4"/>
      <c r="H108" s="4"/>
      <c r="I108" s="4"/>
      <c r="J108" s="4"/>
      <c r="K108" s="4"/>
      <c r="L108" s="4"/>
      <c r="M108" s="4"/>
      <c r="N108" s="4"/>
      <c r="O108" s="4"/>
      <c r="P108" s="4"/>
      <c r="Q108" s="4"/>
      <c r="R108" s="4"/>
      <c r="S108" s="4"/>
      <c r="T108" s="4"/>
      <c r="U108" s="4"/>
      <c r="V108" s="58"/>
      <c r="W108" s="58"/>
      <c r="X108" s="58"/>
      <c r="Y108" s="58"/>
      <c r="Z108" s="58"/>
    </row>
    <row r="109" ht="15.0" customHeight="1">
      <c r="A109" s="4"/>
      <c r="B109" s="4"/>
      <c r="C109" s="4"/>
      <c r="D109" s="4"/>
      <c r="E109" s="4"/>
      <c r="F109" s="4"/>
      <c r="G109" s="4"/>
      <c r="H109" s="4"/>
      <c r="I109" s="4"/>
      <c r="J109" s="4"/>
      <c r="K109" s="4"/>
      <c r="L109" s="4"/>
      <c r="M109" s="4"/>
      <c r="N109" s="4"/>
      <c r="O109" s="4"/>
      <c r="P109" s="4"/>
      <c r="Q109" s="4"/>
      <c r="R109" s="4"/>
      <c r="S109" s="4"/>
      <c r="T109" s="4"/>
      <c r="U109" s="4"/>
      <c r="V109" s="58"/>
      <c r="W109" s="58"/>
      <c r="X109" s="58"/>
      <c r="Y109" s="58"/>
      <c r="Z109" s="58"/>
    </row>
    <row r="110" ht="15.0" customHeight="1">
      <c r="A110" s="4"/>
      <c r="B110" s="4"/>
      <c r="C110" s="4"/>
      <c r="D110" s="4"/>
      <c r="E110" s="4"/>
      <c r="F110" s="4"/>
      <c r="G110" s="4"/>
      <c r="H110" s="4"/>
      <c r="I110" s="4"/>
      <c r="J110" s="4"/>
      <c r="K110" s="4"/>
      <c r="L110" s="4"/>
      <c r="M110" s="4"/>
      <c r="N110" s="4"/>
      <c r="O110" s="4"/>
      <c r="P110" s="4"/>
      <c r="Q110" s="4"/>
      <c r="R110" s="4"/>
      <c r="S110" s="4"/>
      <c r="T110" s="4"/>
      <c r="U110" s="4"/>
      <c r="V110" s="58"/>
      <c r="W110" s="58"/>
      <c r="X110" s="58"/>
      <c r="Y110" s="58"/>
      <c r="Z110" s="58"/>
    </row>
    <row r="111" ht="15.0" customHeight="1">
      <c r="A111" s="4"/>
      <c r="B111" s="4"/>
      <c r="C111" s="4"/>
      <c r="D111" s="4"/>
      <c r="E111" s="4"/>
      <c r="F111" s="4"/>
      <c r="G111" s="4"/>
      <c r="H111" s="4"/>
      <c r="I111" s="4"/>
      <c r="J111" s="4"/>
      <c r="K111" s="4"/>
      <c r="L111" s="4"/>
      <c r="M111" s="4"/>
      <c r="N111" s="4"/>
      <c r="O111" s="4"/>
      <c r="P111" s="4"/>
      <c r="Q111" s="4"/>
      <c r="R111" s="4"/>
      <c r="S111" s="4"/>
      <c r="T111" s="4"/>
      <c r="U111" s="4"/>
      <c r="V111" s="58"/>
      <c r="W111" s="58"/>
      <c r="X111" s="58"/>
      <c r="Y111" s="58"/>
      <c r="Z111" s="58"/>
    </row>
    <row r="112" ht="15.0" customHeight="1">
      <c r="A112" s="4"/>
      <c r="B112" s="4"/>
      <c r="C112" s="4"/>
      <c r="D112" s="4"/>
      <c r="E112" s="4"/>
      <c r="F112" s="4"/>
      <c r="G112" s="4"/>
      <c r="H112" s="4"/>
      <c r="I112" s="4"/>
      <c r="J112" s="4"/>
      <c r="K112" s="4"/>
      <c r="L112" s="4"/>
      <c r="M112" s="4"/>
      <c r="N112" s="4"/>
      <c r="O112" s="4"/>
      <c r="P112" s="4"/>
      <c r="Q112" s="4"/>
      <c r="R112" s="4"/>
      <c r="S112" s="4"/>
      <c r="T112" s="4"/>
      <c r="U112" s="4"/>
      <c r="V112" s="58"/>
      <c r="W112" s="58"/>
      <c r="X112" s="58"/>
      <c r="Y112" s="58"/>
      <c r="Z112" s="58"/>
    </row>
    <row r="113" ht="15.0" customHeight="1">
      <c r="A113" s="4"/>
      <c r="B113" s="4"/>
      <c r="C113" s="4"/>
      <c r="D113" s="4"/>
      <c r="E113" s="4"/>
      <c r="F113" s="4"/>
      <c r="G113" s="4"/>
      <c r="H113" s="4"/>
      <c r="I113" s="4"/>
      <c r="J113" s="4"/>
      <c r="K113" s="4"/>
      <c r="L113" s="4"/>
      <c r="M113" s="4"/>
      <c r="N113" s="4"/>
      <c r="O113" s="4"/>
      <c r="P113" s="4"/>
      <c r="Q113" s="4"/>
      <c r="R113" s="4"/>
      <c r="S113" s="4"/>
      <c r="T113" s="4"/>
      <c r="U113" s="4"/>
      <c r="V113" s="58"/>
      <c r="W113" s="58"/>
      <c r="X113" s="58"/>
      <c r="Y113" s="58"/>
      <c r="Z113" s="58"/>
    </row>
    <row r="114" ht="15.0" customHeight="1">
      <c r="A114" s="4"/>
      <c r="B114" s="4"/>
      <c r="C114" s="4"/>
      <c r="D114" s="4"/>
      <c r="E114" s="4"/>
      <c r="F114" s="4"/>
      <c r="G114" s="4"/>
      <c r="H114" s="4"/>
      <c r="I114" s="4"/>
      <c r="J114" s="4"/>
      <c r="K114" s="4"/>
      <c r="L114" s="4"/>
      <c r="M114" s="4"/>
      <c r="N114" s="4"/>
      <c r="O114" s="4"/>
      <c r="P114" s="4"/>
      <c r="Q114" s="4"/>
      <c r="R114" s="4"/>
      <c r="S114" s="4"/>
      <c r="T114" s="4"/>
      <c r="U114" s="4"/>
      <c r="V114" s="58"/>
      <c r="W114" s="58"/>
      <c r="X114" s="58"/>
      <c r="Y114" s="58"/>
      <c r="Z114" s="58"/>
    </row>
    <row r="115" ht="15.0" customHeight="1">
      <c r="A115" s="4"/>
      <c r="B115" s="4"/>
      <c r="C115" s="4"/>
      <c r="D115" s="4"/>
      <c r="E115" s="4"/>
      <c r="F115" s="4"/>
      <c r="G115" s="4"/>
      <c r="H115" s="4"/>
      <c r="I115" s="4"/>
      <c r="J115" s="4"/>
      <c r="K115" s="4"/>
      <c r="L115" s="4"/>
      <c r="M115" s="4"/>
      <c r="N115" s="4"/>
      <c r="O115" s="4"/>
      <c r="P115" s="4"/>
      <c r="Q115" s="4"/>
      <c r="R115" s="4"/>
      <c r="S115" s="4"/>
      <c r="T115" s="4"/>
      <c r="U115" s="4"/>
      <c r="V115" s="58"/>
      <c r="W115" s="58"/>
      <c r="X115" s="58"/>
      <c r="Y115" s="58"/>
      <c r="Z115" s="58"/>
    </row>
    <row r="116" ht="15.0" customHeight="1">
      <c r="A116" s="4"/>
      <c r="B116" s="4"/>
      <c r="C116" s="4"/>
      <c r="D116" s="4"/>
      <c r="E116" s="4"/>
      <c r="F116" s="4"/>
      <c r="G116" s="4"/>
      <c r="H116" s="4"/>
      <c r="I116" s="4"/>
      <c r="J116" s="4"/>
      <c r="K116" s="4"/>
      <c r="L116" s="4"/>
      <c r="M116" s="4"/>
      <c r="N116" s="4"/>
      <c r="O116" s="4"/>
      <c r="P116" s="4"/>
      <c r="Q116" s="4"/>
      <c r="R116" s="4"/>
      <c r="S116" s="4"/>
      <c r="T116" s="4"/>
      <c r="U116" s="4"/>
      <c r="V116" s="58"/>
      <c r="W116" s="58"/>
      <c r="X116" s="58"/>
      <c r="Y116" s="58"/>
      <c r="Z116" s="58"/>
    </row>
    <row r="117" ht="15.0" customHeight="1">
      <c r="A117" s="4"/>
      <c r="B117" s="4"/>
      <c r="C117" s="4"/>
      <c r="D117" s="4"/>
      <c r="E117" s="4"/>
      <c r="F117" s="4"/>
      <c r="G117" s="4"/>
      <c r="H117" s="4"/>
      <c r="I117" s="4"/>
      <c r="J117" s="4"/>
      <c r="K117" s="4"/>
      <c r="L117" s="4"/>
      <c r="M117" s="4"/>
      <c r="N117" s="4"/>
      <c r="O117" s="4"/>
      <c r="P117" s="4"/>
      <c r="Q117" s="4"/>
      <c r="R117" s="4"/>
      <c r="S117" s="4"/>
      <c r="T117" s="4"/>
      <c r="U117" s="4"/>
      <c r="V117" s="58"/>
      <c r="W117" s="58"/>
      <c r="X117" s="58"/>
      <c r="Y117" s="58"/>
      <c r="Z117" s="58"/>
    </row>
    <row r="118" ht="15.0" customHeight="1">
      <c r="A118" s="4"/>
      <c r="B118" s="4"/>
      <c r="C118" s="4"/>
      <c r="D118" s="4"/>
      <c r="E118" s="4"/>
      <c r="F118" s="4"/>
      <c r="G118" s="4"/>
      <c r="H118" s="4"/>
      <c r="I118" s="4"/>
      <c r="J118" s="4"/>
      <c r="K118" s="4"/>
      <c r="L118" s="4"/>
      <c r="M118" s="4"/>
      <c r="N118" s="4"/>
      <c r="O118" s="4"/>
      <c r="P118" s="4"/>
      <c r="Q118" s="4"/>
      <c r="R118" s="4"/>
      <c r="S118" s="4"/>
      <c r="T118" s="4"/>
      <c r="U118" s="4"/>
      <c r="V118" s="58"/>
      <c r="W118" s="58"/>
      <c r="X118" s="58"/>
      <c r="Y118" s="58"/>
      <c r="Z118" s="58"/>
    </row>
    <row r="119" ht="15.0" customHeight="1">
      <c r="A119" s="4"/>
      <c r="B119" s="4"/>
      <c r="C119" s="4"/>
      <c r="D119" s="4"/>
      <c r="E119" s="4"/>
      <c r="F119" s="4"/>
      <c r="G119" s="4"/>
      <c r="H119" s="4"/>
      <c r="I119" s="4"/>
      <c r="J119" s="4"/>
      <c r="K119" s="4"/>
      <c r="L119" s="4"/>
      <c r="M119" s="4"/>
      <c r="N119" s="4"/>
      <c r="O119" s="4"/>
      <c r="P119" s="4"/>
      <c r="Q119" s="4"/>
      <c r="R119" s="4"/>
      <c r="S119" s="4"/>
      <c r="T119" s="4"/>
      <c r="U119" s="4"/>
      <c r="V119" s="58"/>
      <c r="W119" s="58"/>
      <c r="X119" s="58"/>
      <c r="Y119" s="58"/>
      <c r="Z119" s="58"/>
    </row>
    <row r="120" ht="15.0" customHeight="1">
      <c r="A120" s="4"/>
      <c r="B120" s="4"/>
      <c r="C120" s="4"/>
      <c r="D120" s="4"/>
      <c r="E120" s="4"/>
      <c r="F120" s="4"/>
      <c r="G120" s="4"/>
      <c r="H120" s="4"/>
      <c r="I120" s="4"/>
      <c r="J120" s="4"/>
      <c r="K120" s="4"/>
      <c r="L120" s="4"/>
      <c r="M120" s="4"/>
      <c r="N120" s="4"/>
      <c r="O120" s="4"/>
      <c r="P120" s="4"/>
      <c r="Q120" s="4"/>
      <c r="R120" s="4"/>
      <c r="S120" s="4"/>
      <c r="T120" s="4"/>
      <c r="U120" s="4"/>
      <c r="V120" s="58"/>
      <c r="W120" s="58"/>
      <c r="X120" s="58"/>
      <c r="Y120" s="58"/>
      <c r="Z120" s="58"/>
    </row>
    <row r="121" ht="15.75" customHeight="1">
      <c r="A121" s="4"/>
      <c r="B121" s="4"/>
      <c r="C121" s="4"/>
      <c r="D121" s="4"/>
      <c r="E121" s="4"/>
      <c r="F121" s="4"/>
      <c r="G121" s="4"/>
      <c r="H121" s="4"/>
      <c r="I121" s="4"/>
      <c r="J121" s="4"/>
      <c r="K121" s="4"/>
      <c r="L121" s="4"/>
      <c r="M121" s="4"/>
      <c r="N121" s="4"/>
      <c r="O121" s="4"/>
      <c r="P121" s="4"/>
      <c r="Q121" s="4"/>
      <c r="R121" s="4"/>
      <c r="S121" s="4"/>
      <c r="T121" s="4"/>
      <c r="U121" s="4"/>
      <c r="V121" s="58"/>
      <c r="W121" s="58"/>
      <c r="X121" s="58"/>
      <c r="Y121" s="58"/>
      <c r="Z121" s="58"/>
    </row>
    <row r="122" ht="15.75" customHeight="1">
      <c r="A122" s="4"/>
      <c r="B122" s="4"/>
      <c r="C122" s="4"/>
      <c r="D122" s="4"/>
      <c r="E122" s="4"/>
      <c r="F122" s="4"/>
      <c r="G122" s="4"/>
      <c r="H122" s="4"/>
      <c r="I122" s="4"/>
      <c r="J122" s="4"/>
      <c r="K122" s="4"/>
      <c r="L122" s="4"/>
      <c r="M122" s="4"/>
      <c r="N122" s="4"/>
      <c r="O122" s="4"/>
      <c r="P122" s="4"/>
      <c r="Q122" s="4"/>
      <c r="R122" s="4"/>
      <c r="S122" s="4"/>
      <c r="T122" s="4"/>
      <c r="U122" s="4"/>
      <c r="V122" s="58"/>
      <c r="W122" s="58"/>
      <c r="X122" s="58"/>
      <c r="Y122" s="58"/>
      <c r="Z122" s="58"/>
    </row>
    <row r="123" ht="15.75" customHeight="1">
      <c r="A123" s="4"/>
      <c r="B123" s="4"/>
      <c r="C123" s="4"/>
      <c r="D123" s="4"/>
      <c r="E123" s="4"/>
      <c r="F123" s="4"/>
      <c r="G123" s="4"/>
      <c r="H123" s="4"/>
      <c r="I123" s="4"/>
      <c r="J123" s="4"/>
      <c r="K123" s="4"/>
      <c r="L123" s="4"/>
      <c r="M123" s="4"/>
      <c r="N123" s="4"/>
      <c r="O123" s="4"/>
      <c r="P123" s="4"/>
      <c r="Q123" s="4"/>
      <c r="R123" s="4"/>
      <c r="S123" s="4"/>
      <c r="T123" s="4"/>
      <c r="U123" s="4"/>
      <c r="V123" s="58"/>
      <c r="W123" s="58"/>
      <c r="X123" s="58"/>
      <c r="Y123" s="58"/>
      <c r="Z123" s="58"/>
    </row>
    <row r="124" ht="15.75" customHeight="1">
      <c r="A124" s="4"/>
      <c r="B124" s="4"/>
      <c r="C124" s="4"/>
      <c r="D124" s="4"/>
      <c r="E124" s="4"/>
      <c r="F124" s="4"/>
      <c r="G124" s="4"/>
      <c r="H124" s="4"/>
      <c r="I124" s="4"/>
      <c r="J124" s="4"/>
      <c r="K124" s="4"/>
      <c r="L124" s="4"/>
      <c r="M124" s="4"/>
      <c r="N124" s="4"/>
      <c r="O124" s="4"/>
      <c r="P124" s="4"/>
      <c r="Q124" s="4"/>
      <c r="R124" s="4"/>
      <c r="S124" s="4"/>
      <c r="T124" s="4"/>
      <c r="U124" s="4"/>
      <c r="V124" s="58"/>
      <c r="W124" s="58"/>
      <c r="X124" s="58"/>
      <c r="Y124" s="58"/>
      <c r="Z124" s="58"/>
    </row>
    <row r="125" ht="15.75" customHeight="1">
      <c r="A125" s="4"/>
      <c r="B125" s="4"/>
      <c r="C125" s="4"/>
      <c r="D125" s="4"/>
      <c r="E125" s="4"/>
      <c r="F125" s="4"/>
      <c r="G125" s="4"/>
      <c r="H125" s="4"/>
      <c r="I125" s="4"/>
      <c r="J125" s="4"/>
      <c r="K125" s="4"/>
      <c r="L125" s="4"/>
      <c r="M125" s="4"/>
      <c r="N125" s="4"/>
      <c r="O125" s="4"/>
      <c r="P125" s="4"/>
      <c r="Q125" s="4"/>
      <c r="R125" s="4"/>
      <c r="S125" s="4"/>
      <c r="T125" s="4"/>
      <c r="U125" s="4"/>
      <c r="V125" s="58"/>
      <c r="W125" s="58"/>
      <c r="X125" s="58"/>
      <c r="Y125" s="58"/>
      <c r="Z125" s="58"/>
    </row>
    <row r="126" ht="15.75" customHeight="1">
      <c r="A126" s="4"/>
      <c r="B126" s="4"/>
      <c r="C126" s="4"/>
      <c r="D126" s="4"/>
      <c r="E126" s="4"/>
      <c r="F126" s="4"/>
      <c r="G126" s="4"/>
      <c r="H126" s="4"/>
      <c r="I126" s="4"/>
      <c r="J126" s="4"/>
      <c r="K126" s="4"/>
      <c r="L126" s="4"/>
      <c r="M126" s="4"/>
      <c r="N126" s="4"/>
      <c r="O126" s="4"/>
      <c r="P126" s="4"/>
      <c r="Q126" s="4"/>
      <c r="R126" s="4"/>
      <c r="S126" s="4"/>
      <c r="T126" s="4"/>
      <c r="U126" s="4"/>
      <c r="V126" s="58"/>
      <c r="W126" s="58"/>
      <c r="X126" s="58"/>
      <c r="Y126" s="58"/>
      <c r="Z126" s="58"/>
    </row>
    <row r="127" ht="15.75" customHeight="1">
      <c r="A127" s="4"/>
      <c r="B127" s="4"/>
      <c r="C127" s="4"/>
      <c r="D127" s="4"/>
      <c r="E127" s="4"/>
      <c r="F127" s="4"/>
      <c r="G127" s="4"/>
      <c r="H127" s="4"/>
      <c r="I127" s="4"/>
      <c r="J127" s="4"/>
      <c r="K127" s="4"/>
      <c r="L127" s="4"/>
      <c r="M127" s="4"/>
      <c r="N127" s="4"/>
      <c r="O127" s="4"/>
      <c r="P127" s="4"/>
      <c r="Q127" s="4"/>
      <c r="R127" s="4"/>
      <c r="S127" s="4"/>
      <c r="T127" s="4"/>
      <c r="U127" s="4"/>
      <c r="V127" s="58"/>
      <c r="W127" s="58"/>
      <c r="X127" s="58"/>
      <c r="Y127" s="58"/>
      <c r="Z127" s="58"/>
    </row>
    <row r="128" ht="15.75" customHeight="1">
      <c r="A128" s="4"/>
      <c r="B128" s="4"/>
      <c r="C128" s="4"/>
      <c r="D128" s="4"/>
      <c r="E128" s="4"/>
      <c r="F128" s="4"/>
      <c r="G128" s="4"/>
      <c r="H128" s="4"/>
      <c r="I128" s="4"/>
      <c r="J128" s="4"/>
      <c r="K128" s="4"/>
      <c r="L128" s="4"/>
      <c r="M128" s="4"/>
      <c r="N128" s="4"/>
      <c r="O128" s="4"/>
      <c r="P128" s="4"/>
      <c r="Q128" s="4"/>
      <c r="R128" s="4"/>
      <c r="S128" s="4"/>
      <c r="T128" s="4"/>
      <c r="U128" s="4"/>
      <c r="V128" s="58"/>
      <c r="W128" s="58"/>
      <c r="X128" s="58"/>
      <c r="Y128" s="58"/>
      <c r="Z128" s="58"/>
    </row>
    <row r="129" ht="15.75" customHeight="1">
      <c r="A129" s="4"/>
      <c r="B129" s="4"/>
      <c r="C129" s="4"/>
      <c r="D129" s="4"/>
      <c r="E129" s="4"/>
      <c r="F129" s="4"/>
      <c r="G129" s="4"/>
      <c r="H129" s="4"/>
      <c r="I129" s="4"/>
      <c r="J129" s="4"/>
      <c r="K129" s="4"/>
      <c r="L129" s="4"/>
      <c r="M129" s="4"/>
      <c r="N129" s="4"/>
      <c r="O129" s="4"/>
      <c r="P129" s="4"/>
      <c r="Q129" s="4"/>
      <c r="R129" s="4"/>
      <c r="S129" s="4"/>
      <c r="T129" s="4"/>
      <c r="U129" s="4"/>
      <c r="V129" s="58"/>
      <c r="W129" s="58"/>
      <c r="X129" s="58"/>
      <c r="Y129" s="58"/>
      <c r="Z129" s="58"/>
    </row>
    <row r="130" ht="15.75" customHeight="1">
      <c r="A130" s="4"/>
      <c r="B130" s="4"/>
      <c r="C130" s="4"/>
      <c r="D130" s="4"/>
      <c r="E130" s="4"/>
      <c r="F130" s="4"/>
      <c r="G130" s="4"/>
      <c r="H130" s="4"/>
      <c r="I130" s="4"/>
      <c r="J130" s="4"/>
      <c r="K130" s="4"/>
      <c r="L130" s="4"/>
      <c r="M130" s="4"/>
      <c r="N130" s="4"/>
      <c r="O130" s="4"/>
      <c r="P130" s="4"/>
      <c r="Q130" s="4"/>
      <c r="R130" s="4"/>
      <c r="S130" s="4"/>
      <c r="T130" s="4"/>
      <c r="U130" s="4"/>
      <c r="V130" s="58"/>
      <c r="W130" s="58"/>
      <c r="X130" s="58"/>
      <c r="Y130" s="58"/>
      <c r="Z130" s="58"/>
    </row>
    <row r="131" ht="15.75" customHeight="1">
      <c r="A131" s="4"/>
      <c r="B131" s="4"/>
      <c r="C131" s="4"/>
      <c r="D131" s="4"/>
      <c r="E131" s="4"/>
      <c r="F131" s="4"/>
      <c r="G131" s="4"/>
      <c r="H131" s="4"/>
      <c r="I131" s="4"/>
      <c r="J131" s="4"/>
      <c r="K131" s="4"/>
      <c r="L131" s="4"/>
      <c r="M131" s="4"/>
      <c r="N131" s="4"/>
      <c r="O131" s="4"/>
      <c r="P131" s="4"/>
      <c r="Q131" s="4"/>
      <c r="R131" s="4"/>
      <c r="S131" s="4"/>
      <c r="T131" s="4"/>
      <c r="U131" s="4"/>
      <c r="V131" s="58"/>
      <c r="W131" s="58"/>
      <c r="X131" s="58"/>
      <c r="Y131" s="58"/>
      <c r="Z131" s="58"/>
    </row>
    <row r="132" ht="15.75" customHeight="1">
      <c r="A132" s="4"/>
      <c r="B132" s="4"/>
      <c r="C132" s="4"/>
      <c r="D132" s="4"/>
      <c r="E132" s="4"/>
      <c r="F132" s="4"/>
      <c r="G132" s="4"/>
      <c r="H132" s="4"/>
      <c r="I132" s="4"/>
      <c r="J132" s="4"/>
      <c r="K132" s="4"/>
      <c r="L132" s="4"/>
      <c r="M132" s="4"/>
      <c r="N132" s="4"/>
      <c r="O132" s="4"/>
      <c r="P132" s="4"/>
      <c r="Q132" s="4"/>
      <c r="R132" s="4"/>
      <c r="S132" s="4"/>
      <c r="T132" s="4"/>
      <c r="U132" s="4"/>
      <c r="V132" s="58"/>
      <c r="W132" s="58"/>
      <c r="X132" s="58"/>
      <c r="Y132" s="58"/>
      <c r="Z132" s="58"/>
    </row>
    <row r="133" ht="15.75" customHeight="1">
      <c r="A133" s="4"/>
      <c r="B133" s="4"/>
      <c r="C133" s="4"/>
      <c r="D133" s="4"/>
      <c r="E133" s="4"/>
      <c r="F133" s="4"/>
      <c r="G133" s="4"/>
      <c r="H133" s="4"/>
      <c r="I133" s="4"/>
      <c r="J133" s="4"/>
      <c r="K133" s="4"/>
      <c r="L133" s="4"/>
      <c r="M133" s="4"/>
      <c r="N133" s="4"/>
      <c r="O133" s="4"/>
      <c r="P133" s="4"/>
      <c r="Q133" s="4"/>
      <c r="R133" s="4"/>
      <c r="S133" s="4"/>
      <c r="T133" s="4"/>
      <c r="U133" s="4"/>
      <c r="V133" s="58"/>
      <c r="W133" s="58"/>
      <c r="X133" s="58"/>
      <c r="Y133" s="58"/>
      <c r="Z133" s="58"/>
    </row>
    <row r="134" ht="15.75" customHeight="1">
      <c r="A134" s="4"/>
      <c r="B134" s="4"/>
      <c r="C134" s="4"/>
      <c r="D134" s="4"/>
      <c r="E134" s="4"/>
      <c r="F134" s="4"/>
      <c r="G134" s="4"/>
      <c r="H134" s="4"/>
      <c r="I134" s="4"/>
      <c r="J134" s="4"/>
      <c r="K134" s="4"/>
      <c r="L134" s="4"/>
      <c r="M134" s="4"/>
      <c r="N134" s="4"/>
      <c r="O134" s="4"/>
      <c r="P134" s="4"/>
      <c r="Q134" s="4"/>
      <c r="R134" s="4"/>
      <c r="S134" s="4"/>
      <c r="T134" s="4"/>
      <c r="U134" s="4"/>
      <c r="V134" s="58"/>
      <c r="W134" s="58"/>
      <c r="X134" s="58"/>
      <c r="Y134" s="58"/>
      <c r="Z134" s="58"/>
    </row>
    <row r="135" ht="15.75" customHeight="1">
      <c r="A135" s="4"/>
      <c r="B135" s="4"/>
      <c r="C135" s="4"/>
      <c r="D135" s="4"/>
      <c r="E135" s="4"/>
      <c r="F135" s="4"/>
      <c r="G135" s="4"/>
      <c r="H135" s="4"/>
      <c r="I135" s="4"/>
      <c r="J135" s="4"/>
      <c r="K135" s="4"/>
      <c r="L135" s="4"/>
      <c r="M135" s="4"/>
      <c r="N135" s="4"/>
      <c r="O135" s="4"/>
      <c r="P135" s="4"/>
      <c r="Q135" s="4"/>
      <c r="R135" s="4"/>
      <c r="S135" s="4"/>
      <c r="T135" s="4"/>
      <c r="U135" s="4"/>
      <c r="V135" s="58"/>
      <c r="W135" s="58"/>
      <c r="X135" s="58"/>
      <c r="Y135" s="58"/>
      <c r="Z135" s="58"/>
    </row>
    <row r="136" ht="15.75" customHeight="1">
      <c r="A136" s="4"/>
      <c r="B136" s="4"/>
      <c r="C136" s="4"/>
      <c r="D136" s="4"/>
      <c r="E136" s="4"/>
      <c r="F136" s="4"/>
      <c r="G136" s="4"/>
      <c r="H136" s="4"/>
      <c r="I136" s="4"/>
      <c r="J136" s="4"/>
      <c r="K136" s="4"/>
      <c r="L136" s="4"/>
      <c r="M136" s="4"/>
      <c r="N136" s="4"/>
      <c r="O136" s="4"/>
      <c r="P136" s="4"/>
      <c r="Q136" s="4"/>
      <c r="R136" s="4"/>
      <c r="S136" s="4"/>
      <c r="T136" s="4"/>
      <c r="U136" s="4"/>
      <c r="V136" s="58"/>
      <c r="W136" s="58"/>
      <c r="X136" s="58"/>
      <c r="Y136" s="58"/>
      <c r="Z136" s="58"/>
    </row>
    <row r="137" ht="15.75" customHeight="1">
      <c r="A137" s="4"/>
      <c r="B137" s="4"/>
      <c r="C137" s="4"/>
      <c r="D137" s="4"/>
      <c r="E137" s="4"/>
      <c r="F137" s="4"/>
      <c r="G137" s="4"/>
      <c r="H137" s="4"/>
      <c r="I137" s="4"/>
      <c r="J137" s="4"/>
      <c r="K137" s="4"/>
      <c r="L137" s="4"/>
      <c r="M137" s="4"/>
      <c r="N137" s="4"/>
      <c r="O137" s="4"/>
      <c r="P137" s="4"/>
      <c r="Q137" s="4"/>
      <c r="R137" s="4"/>
      <c r="S137" s="4"/>
      <c r="T137" s="4"/>
      <c r="U137" s="4"/>
      <c r="V137" s="58"/>
      <c r="W137" s="58"/>
      <c r="X137" s="58"/>
      <c r="Y137" s="58"/>
      <c r="Z137" s="58"/>
    </row>
    <row r="138" ht="15.75" customHeight="1">
      <c r="A138" s="4"/>
      <c r="B138" s="4"/>
      <c r="C138" s="4"/>
      <c r="D138" s="4"/>
      <c r="E138" s="4"/>
      <c r="F138" s="4"/>
      <c r="G138" s="4"/>
      <c r="H138" s="4"/>
      <c r="I138" s="4"/>
      <c r="J138" s="4"/>
      <c r="K138" s="4"/>
      <c r="L138" s="4"/>
      <c r="M138" s="4"/>
      <c r="N138" s="4"/>
      <c r="O138" s="4"/>
      <c r="P138" s="4"/>
      <c r="Q138" s="4"/>
      <c r="R138" s="4"/>
      <c r="S138" s="4"/>
      <c r="T138" s="4"/>
      <c r="U138" s="4"/>
      <c r="V138" s="58"/>
      <c r="W138" s="58"/>
      <c r="X138" s="58"/>
      <c r="Y138" s="58"/>
      <c r="Z138" s="58"/>
    </row>
    <row r="139" ht="15.75" customHeight="1">
      <c r="A139" s="4"/>
      <c r="B139" s="4"/>
      <c r="C139" s="4"/>
      <c r="D139" s="4"/>
      <c r="E139" s="4"/>
      <c r="F139" s="4"/>
      <c r="G139" s="4"/>
      <c r="H139" s="4"/>
      <c r="I139" s="4"/>
      <c r="J139" s="4"/>
      <c r="K139" s="4"/>
      <c r="L139" s="4"/>
      <c r="M139" s="4"/>
      <c r="N139" s="4"/>
      <c r="O139" s="4"/>
      <c r="P139" s="4"/>
      <c r="Q139" s="4"/>
      <c r="R139" s="4"/>
      <c r="S139" s="4"/>
      <c r="T139" s="4"/>
      <c r="U139" s="4"/>
      <c r="V139" s="58"/>
      <c r="W139" s="58"/>
      <c r="X139" s="58"/>
      <c r="Y139" s="58"/>
      <c r="Z139" s="58"/>
    </row>
    <row r="140" ht="15.75" customHeight="1">
      <c r="A140" s="4"/>
      <c r="B140" s="4"/>
      <c r="C140" s="4"/>
      <c r="D140" s="4"/>
      <c r="E140" s="4"/>
      <c r="F140" s="4"/>
      <c r="G140" s="4"/>
      <c r="H140" s="4"/>
      <c r="I140" s="4"/>
      <c r="J140" s="4"/>
      <c r="K140" s="4"/>
      <c r="L140" s="4"/>
      <c r="M140" s="4"/>
      <c r="N140" s="4"/>
      <c r="O140" s="4"/>
      <c r="P140" s="4"/>
      <c r="Q140" s="4"/>
      <c r="R140" s="4"/>
      <c r="S140" s="4"/>
      <c r="T140" s="4"/>
      <c r="U140" s="4"/>
      <c r="V140" s="58"/>
      <c r="W140" s="58"/>
      <c r="X140" s="58"/>
      <c r="Y140" s="58"/>
      <c r="Z140" s="58"/>
    </row>
    <row r="141" ht="15.75" customHeight="1">
      <c r="A141" s="4"/>
      <c r="B141" s="4"/>
      <c r="C141" s="4"/>
      <c r="D141" s="4"/>
      <c r="E141" s="4"/>
      <c r="F141" s="4"/>
      <c r="G141" s="4"/>
      <c r="H141" s="4"/>
      <c r="I141" s="4"/>
      <c r="J141" s="4"/>
      <c r="K141" s="4"/>
      <c r="L141" s="4"/>
      <c r="M141" s="4"/>
      <c r="N141" s="4"/>
      <c r="O141" s="4"/>
      <c r="P141" s="4"/>
      <c r="Q141" s="4"/>
      <c r="R141" s="4"/>
      <c r="S141" s="4"/>
      <c r="T141" s="4"/>
      <c r="U141" s="4"/>
      <c r="V141" s="58"/>
      <c r="W141" s="58"/>
      <c r="X141" s="58"/>
      <c r="Y141" s="58"/>
      <c r="Z141" s="58"/>
    </row>
    <row r="142" ht="15.75" customHeight="1">
      <c r="A142" s="4"/>
      <c r="B142" s="4"/>
      <c r="C142" s="4"/>
      <c r="D142" s="4"/>
      <c r="E142" s="4"/>
      <c r="F142" s="4"/>
      <c r="G142" s="4"/>
      <c r="H142" s="4"/>
      <c r="I142" s="4"/>
      <c r="J142" s="4"/>
      <c r="K142" s="4"/>
      <c r="L142" s="4"/>
      <c r="M142" s="4"/>
      <c r="N142" s="4"/>
      <c r="O142" s="4"/>
      <c r="P142" s="4"/>
      <c r="Q142" s="4"/>
      <c r="R142" s="4"/>
      <c r="S142" s="4"/>
      <c r="T142" s="4"/>
      <c r="U142" s="4"/>
      <c r="V142" s="58"/>
      <c r="W142" s="58"/>
      <c r="X142" s="58"/>
      <c r="Y142" s="58"/>
      <c r="Z142" s="58"/>
    </row>
    <row r="143" ht="15.75" customHeight="1">
      <c r="A143" s="4"/>
      <c r="B143" s="4"/>
      <c r="C143" s="4"/>
      <c r="D143" s="4"/>
      <c r="E143" s="4"/>
      <c r="F143" s="4"/>
      <c r="G143" s="4"/>
      <c r="H143" s="4"/>
      <c r="I143" s="4"/>
      <c r="J143" s="4"/>
      <c r="K143" s="4"/>
      <c r="L143" s="4"/>
      <c r="M143" s="4"/>
      <c r="N143" s="4"/>
      <c r="O143" s="4"/>
      <c r="P143" s="4"/>
      <c r="Q143" s="4"/>
      <c r="R143" s="4"/>
      <c r="S143" s="4"/>
      <c r="T143" s="4"/>
      <c r="U143" s="4"/>
      <c r="V143" s="58"/>
      <c r="W143" s="58"/>
      <c r="X143" s="58"/>
      <c r="Y143" s="58"/>
      <c r="Z143" s="58"/>
    </row>
    <row r="144" ht="15.75" customHeight="1">
      <c r="A144" s="4"/>
      <c r="B144" s="4"/>
      <c r="C144" s="4"/>
      <c r="D144" s="4"/>
      <c r="E144" s="4"/>
      <c r="F144" s="4"/>
      <c r="G144" s="4"/>
      <c r="H144" s="4"/>
      <c r="I144" s="4"/>
      <c r="J144" s="4"/>
      <c r="K144" s="4"/>
      <c r="L144" s="4"/>
      <c r="M144" s="4"/>
      <c r="N144" s="4"/>
      <c r="O144" s="4"/>
      <c r="P144" s="4"/>
      <c r="Q144" s="4"/>
      <c r="R144" s="4"/>
      <c r="S144" s="4"/>
      <c r="T144" s="4"/>
      <c r="U144" s="4"/>
      <c r="V144" s="58"/>
      <c r="W144" s="58"/>
      <c r="X144" s="58"/>
      <c r="Y144" s="58"/>
      <c r="Z144" s="58"/>
    </row>
    <row r="145" ht="15.75" customHeight="1">
      <c r="A145" s="4"/>
      <c r="B145" s="4"/>
      <c r="C145" s="4"/>
      <c r="D145" s="4"/>
      <c r="E145" s="4"/>
      <c r="F145" s="4"/>
      <c r="G145" s="4"/>
      <c r="H145" s="4"/>
      <c r="I145" s="4"/>
      <c r="J145" s="4"/>
      <c r="K145" s="4"/>
      <c r="L145" s="4"/>
      <c r="M145" s="4"/>
      <c r="N145" s="4"/>
      <c r="O145" s="4"/>
      <c r="P145" s="4"/>
      <c r="Q145" s="4"/>
      <c r="R145" s="4"/>
      <c r="S145" s="4"/>
      <c r="T145" s="4"/>
      <c r="U145" s="4"/>
      <c r="V145" s="58"/>
      <c r="W145" s="58"/>
      <c r="X145" s="58"/>
      <c r="Y145" s="58"/>
      <c r="Z145" s="58"/>
    </row>
    <row r="146" ht="15.75" customHeight="1">
      <c r="A146" s="4"/>
      <c r="B146" s="4"/>
      <c r="C146" s="4"/>
      <c r="D146" s="4"/>
      <c r="E146" s="4"/>
      <c r="F146" s="4"/>
      <c r="G146" s="4"/>
      <c r="H146" s="4"/>
      <c r="I146" s="4"/>
      <c r="J146" s="4"/>
      <c r="K146" s="4"/>
      <c r="L146" s="4"/>
      <c r="M146" s="4"/>
      <c r="N146" s="4"/>
      <c r="O146" s="4"/>
      <c r="P146" s="4"/>
      <c r="Q146" s="4"/>
      <c r="R146" s="4"/>
      <c r="S146" s="4"/>
      <c r="T146" s="4"/>
      <c r="U146" s="4"/>
      <c r="V146" s="58"/>
      <c r="W146" s="58"/>
      <c r="X146" s="58"/>
      <c r="Y146" s="58"/>
      <c r="Z146" s="58"/>
    </row>
    <row r="147" ht="15.75" customHeight="1">
      <c r="A147" s="4"/>
      <c r="B147" s="4"/>
      <c r="C147" s="4"/>
      <c r="D147" s="4"/>
      <c r="E147" s="4"/>
      <c r="F147" s="4"/>
      <c r="G147" s="4"/>
      <c r="H147" s="4"/>
      <c r="I147" s="4"/>
      <c r="J147" s="4"/>
      <c r="K147" s="4"/>
      <c r="L147" s="4"/>
      <c r="M147" s="4"/>
      <c r="N147" s="4"/>
      <c r="O147" s="4"/>
      <c r="P147" s="4"/>
      <c r="Q147" s="4"/>
      <c r="R147" s="4"/>
      <c r="S147" s="4"/>
      <c r="T147" s="4"/>
      <c r="U147" s="4"/>
      <c r="V147" s="58"/>
      <c r="W147" s="58"/>
      <c r="X147" s="58"/>
      <c r="Y147" s="58"/>
      <c r="Z147" s="58"/>
    </row>
    <row r="148" ht="15.75" customHeight="1">
      <c r="A148" s="4"/>
      <c r="B148" s="4"/>
      <c r="C148" s="4"/>
      <c r="D148" s="4"/>
      <c r="E148" s="4"/>
      <c r="F148" s="4"/>
      <c r="G148" s="4"/>
      <c r="H148" s="4"/>
      <c r="I148" s="4"/>
      <c r="J148" s="4"/>
      <c r="K148" s="4"/>
      <c r="L148" s="4"/>
      <c r="M148" s="4"/>
      <c r="N148" s="4"/>
      <c r="O148" s="4"/>
      <c r="P148" s="4"/>
      <c r="Q148" s="4"/>
      <c r="R148" s="4"/>
      <c r="S148" s="4"/>
      <c r="T148" s="4"/>
      <c r="U148" s="4"/>
      <c r="V148" s="58"/>
      <c r="W148" s="58"/>
      <c r="X148" s="58"/>
      <c r="Y148" s="58"/>
      <c r="Z148" s="58"/>
    </row>
    <row r="149" ht="15.75" customHeight="1">
      <c r="A149" s="4"/>
      <c r="B149" s="4"/>
      <c r="C149" s="4"/>
      <c r="D149" s="4"/>
      <c r="E149" s="4"/>
      <c r="F149" s="4"/>
      <c r="G149" s="4"/>
      <c r="H149" s="4"/>
      <c r="I149" s="4"/>
      <c r="J149" s="4"/>
      <c r="K149" s="4"/>
      <c r="L149" s="4"/>
      <c r="M149" s="4"/>
      <c r="N149" s="4"/>
      <c r="O149" s="4"/>
      <c r="P149" s="4"/>
      <c r="Q149" s="4"/>
      <c r="R149" s="4"/>
      <c r="S149" s="4"/>
      <c r="T149" s="4"/>
      <c r="U149" s="4"/>
      <c r="V149" s="58"/>
      <c r="W149" s="58"/>
      <c r="X149" s="58"/>
      <c r="Y149" s="58"/>
      <c r="Z149" s="58"/>
    </row>
    <row r="150" ht="15.75" customHeight="1">
      <c r="A150" s="4"/>
      <c r="B150" s="4"/>
      <c r="C150" s="4"/>
      <c r="D150" s="4"/>
      <c r="E150" s="4"/>
      <c r="F150" s="4"/>
      <c r="G150" s="4"/>
      <c r="H150" s="4"/>
      <c r="I150" s="4"/>
      <c r="J150" s="4"/>
      <c r="K150" s="4"/>
      <c r="L150" s="4"/>
      <c r="M150" s="4"/>
      <c r="N150" s="4"/>
      <c r="O150" s="4"/>
      <c r="P150" s="4"/>
      <c r="Q150" s="4"/>
      <c r="R150" s="4"/>
      <c r="S150" s="4"/>
      <c r="T150" s="4"/>
      <c r="U150" s="4"/>
      <c r="V150" s="58"/>
      <c r="W150" s="58"/>
      <c r="X150" s="58"/>
      <c r="Y150" s="58"/>
      <c r="Z150" s="58"/>
    </row>
    <row r="151" ht="15.75" customHeight="1">
      <c r="A151" s="4"/>
      <c r="B151" s="4"/>
      <c r="C151" s="4"/>
      <c r="D151" s="4"/>
      <c r="E151" s="4"/>
      <c r="F151" s="4"/>
      <c r="G151" s="4"/>
      <c r="H151" s="4"/>
      <c r="I151" s="4"/>
      <c r="J151" s="4"/>
      <c r="K151" s="4"/>
      <c r="L151" s="4"/>
      <c r="M151" s="4"/>
      <c r="N151" s="4"/>
      <c r="O151" s="4"/>
      <c r="P151" s="4"/>
      <c r="Q151" s="4"/>
      <c r="R151" s="4"/>
      <c r="S151" s="4"/>
      <c r="T151" s="4"/>
      <c r="U151" s="4"/>
      <c r="V151" s="58"/>
      <c r="W151" s="58"/>
      <c r="X151" s="58"/>
      <c r="Y151" s="58"/>
      <c r="Z151" s="58"/>
    </row>
    <row r="152" ht="15.75" customHeight="1">
      <c r="A152" s="4"/>
      <c r="B152" s="4"/>
      <c r="C152" s="4"/>
      <c r="D152" s="4"/>
      <c r="E152" s="4"/>
      <c r="F152" s="4"/>
      <c r="G152" s="4"/>
      <c r="H152" s="4"/>
      <c r="I152" s="4"/>
      <c r="J152" s="4"/>
      <c r="K152" s="4"/>
      <c r="L152" s="4"/>
      <c r="M152" s="4"/>
      <c r="N152" s="4"/>
      <c r="O152" s="4"/>
      <c r="P152" s="4"/>
      <c r="Q152" s="4"/>
      <c r="R152" s="4"/>
      <c r="S152" s="4"/>
      <c r="T152" s="4"/>
      <c r="U152" s="4"/>
      <c r="V152" s="58"/>
      <c r="W152" s="58"/>
      <c r="X152" s="58"/>
      <c r="Y152" s="58"/>
      <c r="Z152" s="58"/>
    </row>
    <row r="153" ht="15.75" customHeight="1">
      <c r="A153" s="4"/>
      <c r="B153" s="4"/>
      <c r="C153" s="4"/>
      <c r="D153" s="4"/>
      <c r="E153" s="4"/>
      <c r="F153" s="4"/>
      <c r="G153" s="4"/>
      <c r="H153" s="4"/>
      <c r="I153" s="4"/>
      <c r="J153" s="4"/>
      <c r="K153" s="4"/>
      <c r="L153" s="4"/>
      <c r="M153" s="4"/>
      <c r="N153" s="4"/>
      <c r="O153" s="4"/>
      <c r="P153" s="4"/>
      <c r="Q153" s="4"/>
      <c r="R153" s="4"/>
      <c r="S153" s="4"/>
      <c r="T153" s="4"/>
      <c r="U153" s="4"/>
      <c r="V153" s="58"/>
      <c r="W153" s="58"/>
      <c r="X153" s="58"/>
      <c r="Y153" s="58"/>
      <c r="Z153" s="58"/>
    </row>
    <row r="154" ht="15.75" customHeight="1">
      <c r="A154" s="4"/>
      <c r="B154" s="4"/>
      <c r="C154" s="4"/>
      <c r="D154" s="4"/>
      <c r="E154" s="4"/>
      <c r="F154" s="4"/>
      <c r="G154" s="4"/>
      <c r="H154" s="4"/>
      <c r="I154" s="4"/>
      <c r="J154" s="4"/>
      <c r="K154" s="4"/>
      <c r="L154" s="4"/>
      <c r="M154" s="4"/>
      <c r="N154" s="4"/>
      <c r="O154" s="4"/>
      <c r="P154" s="4"/>
      <c r="Q154" s="4"/>
      <c r="R154" s="4"/>
      <c r="S154" s="4"/>
      <c r="T154" s="4"/>
      <c r="U154" s="4"/>
      <c r="V154" s="58"/>
      <c r="W154" s="58"/>
      <c r="X154" s="58"/>
      <c r="Y154" s="58"/>
      <c r="Z154" s="58"/>
    </row>
    <row r="155" ht="15.75" customHeight="1">
      <c r="A155" s="4"/>
      <c r="B155" s="4"/>
      <c r="C155" s="4"/>
      <c r="D155" s="4"/>
      <c r="E155" s="4"/>
      <c r="F155" s="4"/>
      <c r="G155" s="4"/>
      <c r="H155" s="4"/>
      <c r="I155" s="4"/>
      <c r="J155" s="4"/>
      <c r="K155" s="4"/>
      <c r="L155" s="4"/>
      <c r="M155" s="4"/>
      <c r="N155" s="4"/>
      <c r="O155" s="4"/>
      <c r="P155" s="4"/>
      <c r="Q155" s="4"/>
      <c r="R155" s="4"/>
      <c r="S155" s="4"/>
      <c r="T155" s="4"/>
      <c r="U155" s="4"/>
      <c r="V155" s="58"/>
      <c r="W155" s="58"/>
      <c r="X155" s="58"/>
      <c r="Y155" s="58"/>
      <c r="Z155" s="58"/>
    </row>
    <row r="156" ht="15.75" customHeight="1">
      <c r="A156" s="4"/>
      <c r="B156" s="4"/>
      <c r="C156" s="4"/>
      <c r="D156" s="4"/>
      <c r="E156" s="4"/>
      <c r="F156" s="4"/>
      <c r="G156" s="4"/>
      <c r="H156" s="4"/>
      <c r="I156" s="4"/>
      <c r="J156" s="4"/>
      <c r="K156" s="4"/>
      <c r="L156" s="4"/>
      <c r="M156" s="4"/>
      <c r="N156" s="4"/>
      <c r="O156" s="4"/>
      <c r="P156" s="4"/>
      <c r="Q156" s="4"/>
      <c r="R156" s="4"/>
      <c r="S156" s="4"/>
      <c r="T156" s="4"/>
      <c r="U156" s="4"/>
      <c r="V156" s="58"/>
      <c r="W156" s="58"/>
      <c r="X156" s="58"/>
      <c r="Y156" s="58"/>
      <c r="Z156" s="58"/>
    </row>
    <row r="157" ht="15.75" customHeight="1">
      <c r="A157" s="4"/>
      <c r="B157" s="4"/>
      <c r="C157" s="4"/>
      <c r="D157" s="4"/>
      <c r="E157" s="4"/>
      <c r="F157" s="4"/>
      <c r="G157" s="4"/>
      <c r="H157" s="4"/>
      <c r="I157" s="4"/>
      <c r="J157" s="4"/>
      <c r="K157" s="4"/>
      <c r="L157" s="4"/>
      <c r="M157" s="4"/>
      <c r="N157" s="4"/>
      <c r="O157" s="4"/>
      <c r="P157" s="4"/>
      <c r="Q157" s="4"/>
      <c r="R157" s="4"/>
      <c r="S157" s="4"/>
      <c r="T157" s="4"/>
      <c r="U157" s="4"/>
      <c r="V157" s="58"/>
      <c r="W157" s="58"/>
      <c r="X157" s="58"/>
      <c r="Y157" s="58"/>
      <c r="Z157" s="58"/>
    </row>
    <row r="158" ht="15.75" customHeight="1">
      <c r="A158" s="4"/>
      <c r="B158" s="4"/>
      <c r="C158" s="4"/>
      <c r="D158" s="4"/>
      <c r="E158" s="4"/>
      <c r="F158" s="4"/>
      <c r="G158" s="4"/>
      <c r="H158" s="4"/>
      <c r="I158" s="4"/>
      <c r="J158" s="4"/>
      <c r="K158" s="4"/>
      <c r="L158" s="4"/>
      <c r="M158" s="4"/>
      <c r="N158" s="4"/>
      <c r="O158" s="4"/>
      <c r="P158" s="4"/>
      <c r="Q158" s="4"/>
      <c r="R158" s="4"/>
      <c r="S158" s="4"/>
      <c r="T158" s="4"/>
      <c r="U158" s="4"/>
      <c r="V158" s="58"/>
      <c r="W158" s="58"/>
      <c r="X158" s="58"/>
      <c r="Y158" s="58"/>
      <c r="Z158" s="58"/>
    </row>
    <row r="159" ht="15.75" customHeight="1">
      <c r="A159" s="4"/>
      <c r="B159" s="4"/>
      <c r="C159" s="4"/>
      <c r="D159" s="4"/>
      <c r="E159" s="4"/>
      <c r="F159" s="4"/>
      <c r="G159" s="4"/>
      <c r="H159" s="4"/>
      <c r="I159" s="4"/>
      <c r="J159" s="4"/>
      <c r="K159" s="4"/>
      <c r="L159" s="4"/>
      <c r="M159" s="4"/>
      <c r="N159" s="4"/>
      <c r="O159" s="4"/>
      <c r="P159" s="4"/>
      <c r="Q159" s="4"/>
      <c r="R159" s="4"/>
      <c r="S159" s="4"/>
      <c r="T159" s="4"/>
      <c r="U159" s="4"/>
      <c r="V159" s="58"/>
      <c r="W159" s="58"/>
      <c r="X159" s="58"/>
      <c r="Y159" s="58"/>
      <c r="Z159" s="58"/>
    </row>
    <row r="160" ht="15.75" customHeight="1">
      <c r="A160" s="4"/>
      <c r="B160" s="4"/>
      <c r="C160" s="4"/>
      <c r="D160" s="4"/>
      <c r="E160" s="4"/>
      <c r="F160" s="4"/>
      <c r="G160" s="4"/>
      <c r="H160" s="4"/>
      <c r="I160" s="4"/>
      <c r="J160" s="4"/>
      <c r="K160" s="4"/>
      <c r="L160" s="4"/>
      <c r="M160" s="4"/>
      <c r="N160" s="4"/>
      <c r="O160" s="4"/>
      <c r="P160" s="4"/>
      <c r="Q160" s="4"/>
      <c r="R160" s="4"/>
      <c r="S160" s="4"/>
      <c r="T160" s="4"/>
      <c r="U160" s="4"/>
      <c r="V160" s="58"/>
      <c r="W160" s="58"/>
      <c r="X160" s="58"/>
      <c r="Y160" s="58"/>
      <c r="Z160" s="58"/>
    </row>
    <row r="161" ht="15.75" customHeight="1">
      <c r="A161" s="4"/>
      <c r="B161" s="4"/>
      <c r="C161" s="4"/>
      <c r="D161" s="4"/>
      <c r="E161" s="4"/>
      <c r="F161" s="4"/>
      <c r="G161" s="4"/>
      <c r="H161" s="4"/>
      <c r="I161" s="4"/>
      <c r="J161" s="4"/>
      <c r="K161" s="4"/>
      <c r="L161" s="4"/>
      <c r="M161" s="4"/>
      <c r="N161" s="4"/>
      <c r="O161" s="4"/>
      <c r="P161" s="4"/>
      <c r="Q161" s="4"/>
      <c r="R161" s="4"/>
      <c r="S161" s="4"/>
      <c r="T161" s="4"/>
      <c r="U161" s="4"/>
      <c r="V161" s="58"/>
      <c r="W161" s="58"/>
      <c r="X161" s="58"/>
      <c r="Y161" s="58"/>
      <c r="Z161" s="58"/>
    </row>
    <row r="162" ht="15.75" customHeight="1">
      <c r="A162" s="4"/>
      <c r="B162" s="4"/>
      <c r="C162" s="4"/>
      <c r="D162" s="4"/>
      <c r="E162" s="4"/>
      <c r="F162" s="4"/>
      <c r="G162" s="4"/>
      <c r="H162" s="4"/>
      <c r="I162" s="4"/>
      <c r="J162" s="4"/>
      <c r="K162" s="4"/>
      <c r="L162" s="4"/>
      <c r="M162" s="4"/>
      <c r="N162" s="4"/>
      <c r="O162" s="4"/>
      <c r="P162" s="4"/>
      <c r="Q162" s="4"/>
      <c r="R162" s="4"/>
      <c r="S162" s="4"/>
      <c r="T162" s="4"/>
      <c r="U162" s="4"/>
      <c r="V162" s="58"/>
      <c r="W162" s="58"/>
      <c r="X162" s="58"/>
      <c r="Y162" s="58"/>
      <c r="Z162" s="58"/>
    </row>
    <row r="163" ht="15.75" customHeight="1">
      <c r="A163" s="4"/>
      <c r="B163" s="4"/>
      <c r="C163" s="4"/>
      <c r="D163" s="4"/>
      <c r="E163" s="4"/>
      <c r="F163" s="4"/>
      <c r="G163" s="4"/>
      <c r="H163" s="4"/>
      <c r="I163" s="4"/>
      <c r="J163" s="4"/>
      <c r="K163" s="4"/>
      <c r="L163" s="4"/>
      <c r="M163" s="4"/>
      <c r="N163" s="4"/>
      <c r="O163" s="4"/>
      <c r="P163" s="4"/>
      <c r="Q163" s="4"/>
      <c r="R163" s="4"/>
      <c r="S163" s="4"/>
      <c r="T163" s="4"/>
      <c r="U163" s="4"/>
      <c r="V163" s="58"/>
      <c r="W163" s="58"/>
      <c r="X163" s="58"/>
      <c r="Y163" s="58"/>
      <c r="Z163" s="58"/>
    </row>
    <row r="164" ht="15.75" customHeight="1">
      <c r="A164" s="4"/>
      <c r="B164" s="4"/>
      <c r="C164" s="4"/>
      <c r="D164" s="4"/>
      <c r="E164" s="4"/>
      <c r="F164" s="4"/>
      <c r="G164" s="4"/>
      <c r="H164" s="4"/>
      <c r="I164" s="4"/>
      <c r="J164" s="4"/>
      <c r="K164" s="4"/>
      <c r="L164" s="4"/>
      <c r="M164" s="4"/>
      <c r="N164" s="4"/>
      <c r="O164" s="4"/>
      <c r="P164" s="4"/>
      <c r="Q164" s="4"/>
      <c r="R164" s="4"/>
      <c r="S164" s="4"/>
      <c r="T164" s="4"/>
      <c r="U164" s="4"/>
      <c r="V164" s="58"/>
      <c r="W164" s="58"/>
      <c r="X164" s="58"/>
      <c r="Y164" s="58"/>
      <c r="Z164" s="58"/>
    </row>
    <row r="165" ht="15.75" customHeight="1">
      <c r="A165" s="4"/>
      <c r="B165" s="4"/>
      <c r="C165" s="4"/>
      <c r="D165" s="4"/>
      <c r="E165" s="4"/>
      <c r="F165" s="4"/>
      <c r="G165" s="4"/>
      <c r="H165" s="4"/>
      <c r="I165" s="4"/>
      <c r="J165" s="4"/>
      <c r="K165" s="4"/>
      <c r="L165" s="4"/>
      <c r="M165" s="4"/>
      <c r="N165" s="4"/>
      <c r="O165" s="4"/>
      <c r="P165" s="4"/>
      <c r="Q165" s="4"/>
      <c r="R165" s="4"/>
      <c r="S165" s="4"/>
      <c r="T165" s="4"/>
      <c r="U165" s="4"/>
      <c r="V165" s="58"/>
      <c r="W165" s="58"/>
      <c r="X165" s="58"/>
      <c r="Y165" s="58"/>
      <c r="Z165" s="58"/>
    </row>
    <row r="166" ht="15.75" customHeight="1">
      <c r="A166" s="4"/>
      <c r="B166" s="4"/>
      <c r="C166" s="4"/>
      <c r="D166" s="4"/>
      <c r="E166" s="4"/>
      <c r="F166" s="4"/>
      <c r="G166" s="4"/>
      <c r="H166" s="4"/>
      <c r="I166" s="4"/>
      <c r="J166" s="4"/>
      <c r="K166" s="4"/>
      <c r="L166" s="4"/>
      <c r="M166" s="4"/>
      <c r="N166" s="4"/>
      <c r="O166" s="4"/>
      <c r="P166" s="4"/>
      <c r="Q166" s="4"/>
      <c r="R166" s="4"/>
      <c r="S166" s="4"/>
      <c r="T166" s="4"/>
      <c r="U166" s="4"/>
      <c r="V166" s="58"/>
      <c r="W166" s="58"/>
      <c r="X166" s="58"/>
      <c r="Y166" s="58"/>
      <c r="Z166" s="58"/>
    </row>
    <row r="167" ht="15.75" customHeight="1">
      <c r="A167" s="4"/>
      <c r="B167" s="4"/>
      <c r="C167" s="4"/>
      <c r="D167" s="4"/>
      <c r="E167" s="4"/>
      <c r="F167" s="4"/>
      <c r="G167" s="4"/>
      <c r="H167" s="4"/>
      <c r="I167" s="4"/>
      <c r="J167" s="4"/>
      <c r="K167" s="4"/>
      <c r="L167" s="4"/>
      <c r="M167" s="4"/>
      <c r="N167" s="4"/>
      <c r="O167" s="4"/>
      <c r="P167" s="4"/>
      <c r="Q167" s="4"/>
      <c r="R167" s="4"/>
      <c r="S167" s="4"/>
      <c r="T167" s="4"/>
      <c r="U167" s="4"/>
      <c r="V167" s="58"/>
      <c r="W167" s="58"/>
      <c r="X167" s="58"/>
      <c r="Y167" s="58"/>
      <c r="Z167" s="58"/>
    </row>
    <row r="168" ht="15.75" customHeight="1">
      <c r="A168" s="4"/>
      <c r="B168" s="4"/>
      <c r="C168" s="4"/>
      <c r="D168" s="4"/>
      <c r="E168" s="4"/>
      <c r="F168" s="4"/>
      <c r="G168" s="4"/>
      <c r="H168" s="4"/>
      <c r="I168" s="4"/>
      <c r="J168" s="4"/>
      <c r="K168" s="4"/>
      <c r="L168" s="4"/>
      <c r="M168" s="4"/>
      <c r="N168" s="4"/>
      <c r="O168" s="4"/>
      <c r="P168" s="4"/>
      <c r="Q168" s="4"/>
      <c r="R168" s="4"/>
      <c r="S168" s="4"/>
      <c r="T168" s="4"/>
      <c r="U168" s="4"/>
      <c r="V168" s="58"/>
      <c r="W168" s="58"/>
      <c r="X168" s="58"/>
      <c r="Y168" s="58"/>
      <c r="Z168" s="58"/>
    </row>
    <row r="169" ht="15.75" customHeight="1">
      <c r="A169" s="4"/>
      <c r="B169" s="4"/>
      <c r="C169" s="4"/>
      <c r="D169" s="4"/>
      <c r="E169" s="4"/>
      <c r="F169" s="4"/>
      <c r="G169" s="4"/>
      <c r="H169" s="4"/>
      <c r="I169" s="4"/>
      <c r="J169" s="4"/>
      <c r="K169" s="4"/>
      <c r="L169" s="4"/>
      <c r="M169" s="4"/>
      <c r="N169" s="4"/>
      <c r="O169" s="4"/>
      <c r="P169" s="4"/>
      <c r="Q169" s="4"/>
      <c r="R169" s="4"/>
      <c r="S169" s="4"/>
      <c r="T169" s="4"/>
      <c r="U169" s="4"/>
      <c r="V169" s="58"/>
      <c r="W169" s="58"/>
      <c r="X169" s="58"/>
      <c r="Y169" s="58"/>
      <c r="Z169" s="58"/>
    </row>
    <row r="170" ht="15.75" customHeight="1">
      <c r="A170" s="4"/>
      <c r="B170" s="4"/>
      <c r="C170" s="4"/>
      <c r="D170" s="4"/>
      <c r="E170" s="4"/>
      <c r="F170" s="4"/>
      <c r="G170" s="4"/>
      <c r="H170" s="4"/>
      <c r="I170" s="4"/>
      <c r="J170" s="4"/>
      <c r="K170" s="4"/>
      <c r="L170" s="4"/>
      <c r="M170" s="4"/>
      <c r="N170" s="4"/>
      <c r="O170" s="4"/>
      <c r="P170" s="4"/>
      <c r="Q170" s="4"/>
      <c r="R170" s="4"/>
      <c r="S170" s="4"/>
      <c r="T170" s="4"/>
      <c r="U170" s="4"/>
      <c r="V170" s="58"/>
      <c r="W170" s="58"/>
      <c r="X170" s="58"/>
      <c r="Y170" s="58"/>
      <c r="Z170" s="58"/>
    </row>
    <row r="171" ht="15.75" customHeight="1">
      <c r="A171" s="4"/>
      <c r="B171" s="4"/>
      <c r="C171" s="4"/>
      <c r="D171" s="4"/>
      <c r="E171" s="4"/>
      <c r="F171" s="4"/>
      <c r="G171" s="4"/>
      <c r="H171" s="4"/>
      <c r="I171" s="4"/>
      <c r="J171" s="4"/>
      <c r="K171" s="4"/>
      <c r="L171" s="4"/>
      <c r="M171" s="4"/>
      <c r="N171" s="4"/>
      <c r="O171" s="4"/>
      <c r="P171" s="4"/>
      <c r="Q171" s="4"/>
      <c r="R171" s="4"/>
      <c r="S171" s="4"/>
      <c r="T171" s="4"/>
      <c r="U171" s="4"/>
      <c r="V171" s="58"/>
      <c r="W171" s="58"/>
      <c r="X171" s="58"/>
      <c r="Y171" s="58"/>
      <c r="Z171" s="58"/>
    </row>
    <row r="172" ht="15.75" customHeight="1">
      <c r="A172" s="4"/>
      <c r="B172" s="4"/>
      <c r="C172" s="4"/>
      <c r="D172" s="4"/>
      <c r="E172" s="4"/>
      <c r="F172" s="4"/>
      <c r="G172" s="4"/>
      <c r="H172" s="4"/>
      <c r="I172" s="4"/>
      <c r="J172" s="4"/>
      <c r="K172" s="4"/>
      <c r="L172" s="4"/>
      <c r="M172" s="4"/>
      <c r="N172" s="4"/>
      <c r="O172" s="4"/>
      <c r="P172" s="4"/>
      <c r="Q172" s="4"/>
      <c r="R172" s="4"/>
      <c r="S172" s="4"/>
      <c r="T172" s="4"/>
      <c r="U172" s="4"/>
      <c r="V172" s="58"/>
      <c r="W172" s="58"/>
      <c r="X172" s="58"/>
      <c r="Y172" s="58"/>
      <c r="Z172" s="58"/>
    </row>
    <row r="173" ht="15.75" customHeight="1">
      <c r="A173" s="4"/>
      <c r="B173" s="4"/>
      <c r="C173" s="4"/>
      <c r="D173" s="4"/>
      <c r="E173" s="4"/>
      <c r="F173" s="4"/>
      <c r="G173" s="4"/>
      <c r="H173" s="4"/>
      <c r="I173" s="4"/>
      <c r="J173" s="4"/>
      <c r="K173" s="4"/>
      <c r="L173" s="4"/>
      <c r="M173" s="4"/>
      <c r="N173" s="4"/>
      <c r="O173" s="4"/>
      <c r="P173" s="4"/>
      <c r="Q173" s="4"/>
      <c r="R173" s="4"/>
      <c r="S173" s="4"/>
      <c r="T173" s="4"/>
      <c r="U173" s="4"/>
      <c r="V173" s="58"/>
      <c r="W173" s="58"/>
      <c r="X173" s="58"/>
      <c r="Y173" s="58"/>
      <c r="Z173" s="58"/>
    </row>
    <row r="174" ht="15.75" customHeight="1">
      <c r="A174" s="4"/>
      <c r="B174" s="4"/>
      <c r="C174" s="4"/>
      <c r="D174" s="4"/>
      <c r="E174" s="4"/>
      <c r="F174" s="4"/>
      <c r="G174" s="4"/>
      <c r="H174" s="4"/>
      <c r="I174" s="4"/>
      <c r="J174" s="4"/>
      <c r="K174" s="4"/>
      <c r="L174" s="4"/>
      <c r="M174" s="4"/>
      <c r="N174" s="4"/>
      <c r="O174" s="4"/>
      <c r="P174" s="4"/>
      <c r="Q174" s="4"/>
      <c r="R174" s="4"/>
      <c r="S174" s="4"/>
      <c r="T174" s="4"/>
      <c r="U174" s="4"/>
      <c r="V174" s="58"/>
      <c r="W174" s="58"/>
      <c r="X174" s="58"/>
      <c r="Y174" s="58"/>
      <c r="Z174" s="58"/>
    </row>
    <row r="175" ht="15.75" customHeight="1">
      <c r="A175" s="4"/>
      <c r="B175" s="4"/>
      <c r="C175" s="4"/>
      <c r="D175" s="4"/>
      <c r="E175" s="4"/>
      <c r="F175" s="4"/>
      <c r="G175" s="4"/>
      <c r="H175" s="4"/>
      <c r="I175" s="4"/>
      <c r="J175" s="4"/>
      <c r="K175" s="4"/>
      <c r="L175" s="4"/>
      <c r="M175" s="4"/>
      <c r="N175" s="4"/>
      <c r="O175" s="4"/>
      <c r="P175" s="4"/>
      <c r="Q175" s="4"/>
      <c r="R175" s="4"/>
      <c r="S175" s="4"/>
      <c r="T175" s="4"/>
      <c r="U175" s="4"/>
      <c r="V175" s="58"/>
      <c r="W175" s="58"/>
      <c r="X175" s="58"/>
      <c r="Y175" s="58"/>
      <c r="Z175" s="58"/>
    </row>
    <row r="176" ht="15.75" customHeight="1">
      <c r="A176" s="4"/>
      <c r="B176" s="4"/>
      <c r="C176" s="4"/>
      <c r="D176" s="4"/>
      <c r="E176" s="4"/>
      <c r="F176" s="4"/>
      <c r="G176" s="4"/>
      <c r="H176" s="4"/>
      <c r="I176" s="4"/>
      <c r="J176" s="4"/>
      <c r="K176" s="4"/>
      <c r="L176" s="4"/>
      <c r="M176" s="4"/>
      <c r="N176" s="4"/>
      <c r="O176" s="4"/>
      <c r="P176" s="4"/>
      <c r="Q176" s="4"/>
      <c r="R176" s="4"/>
      <c r="S176" s="4"/>
      <c r="T176" s="4"/>
      <c r="U176" s="4"/>
      <c r="V176" s="58"/>
      <c r="W176" s="58"/>
      <c r="X176" s="58"/>
      <c r="Y176" s="58"/>
      <c r="Z176" s="58"/>
    </row>
    <row r="177" ht="15.75" customHeight="1">
      <c r="A177" s="4"/>
      <c r="B177" s="4"/>
      <c r="C177" s="4"/>
      <c r="D177" s="4"/>
      <c r="E177" s="4"/>
      <c r="F177" s="4"/>
      <c r="G177" s="4"/>
      <c r="H177" s="4"/>
      <c r="I177" s="4"/>
      <c r="J177" s="4"/>
      <c r="K177" s="4"/>
      <c r="L177" s="4"/>
      <c r="M177" s="4"/>
      <c r="N177" s="4"/>
      <c r="O177" s="4"/>
      <c r="P177" s="4"/>
      <c r="Q177" s="4"/>
      <c r="R177" s="4"/>
      <c r="S177" s="4"/>
      <c r="T177" s="4"/>
      <c r="U177" s="4"/>
      <c r="V177" s="58"/>
      <c r="W177" s="58"/>
      <c r="X177" s="58"/>
      <c r="Y177" s="58"/>
      <c r="Z177" s="58"/>
    </row>
    <row r="178" ht="15.75" customHeight="1">
      <c r="A178" s="4"/>
      <c r="B178" s="4"/>
      <c r="C178" s="4"/>
      <c r="D178" s="4"/>
      <c r="E178" s="4"/>
      <c r="F178" s="4"/>
      <c r="G178" s="4"/>
      <c r="H178" s="4"/>
      <c r="I178" s="4"/>
      <c r="J178" s="4"/>
      <c r="K178" s="4"/>
      <c r="L178" s="4"/>
      <c r="M178" s="4"/>
      <c r="N178" s="4"/>
      <c r="O178" s="4"/>
      <c r="P178" s="4"/>
      <c r="Q178" s="4"/>
      <c r="R178" s="4"/>
      <c r="S178" s="4"/>
      <c r="T178" s="4"/>
      <c r="U178" s="4"/>
      <c r="V178" s="58"/>
      <c r="W178" s="58"/>
      <c r="X178" s="58"/>
      <c r="Y178" s="58"/>
      <c r="Z178" s="58"/>
    </row>
    <row r="179" ht="15.75" customHeight="1">
      <c r="A179" s="4"/>
      <c r="B179" s="4"/>
      <c r="C179" s="4"/>
      <c r="D179" s="4"/>
      <c r="E179" s="4"/>
      <c r="F179" s="4"/>
      <c r="G179" s="4"/>
      <c r="H179" s="4"/>
      <c r="I179" s="4"/>
      <c r="J179" s="4"/>
      <c r="K179" s="4"/>
      <c r="L179" s="4"/>
      <c r="M179" s="4"/>
      <c r="N179" s="4"/>
      <c r="O179" s="4"/>
      <c r="P179" s="4"/>
      <c r="Q179" s="4"/>
      <c r="R179" s="4"/>
      <c r="S179" s="4"/>
      <c r="T179" s="4"/>
      <c r="U179" s="4"/>
      <c r="V179" s="58"/>
      <c r="W179" s="58"/>
      <c r="X179" s="58"/>
      <c r="Y179" s="58"/>
      <c r="Z179" s="58"/>
    </row>
    <row r="180" ht="15.75" customHeight="1">
      <c r="A180" s="4"/>
      <c r="B180" s="4"/>
      <c r="C180" s="4"/>
      <c r="D180" s="4"/>
      <c r="E180" s="4"/>
      <c r="F180" s="4"/>
      <c r="G180" s="4"/>
      <c r="H180" s="4"/>
      <c r="I180" s="4"/>
      <c r="J180" s="4"/>
      <c r="K180" s="4"/>
      <c r="L180" s="4"/>
      <c r="M180" s="4"/>
      <c r="N180" s="4"/>
      <c r="O180" s="4"/>
      <c r="P180" s="4"/>
      <c r="Q180" s="4"/>
      <c r="R180" s="4"/>
      <c r="S180" s="4"/>
      <c r="T180" s="4"/>
      <c r="U180" s="4"/>
      <c r="V180" s="58"/>
      <c r="W180" s="58"/>
      <c r="X180" s="58"/>
      <c r="Y180" s="58"/>
      <c r="Z180" s="58"/>
    </row>
    <row r="181" ht="15.75" customHeight="1">
      <c r="A181" s="4"/>
      <c r="B181" s="4"/>
      <c r="C181" s="4"/>
      <c r="D181" s="4"/>
      <c r="E181" s="4"/>
      <c r="F181" s="4"/>
      <c r="G181" s="4"/>
      <c r="H181" s="4"/>
      <c r="I181" s="4"/>
      <c r="J181" s="4"/>
      <c r="K181" s="4"/>
      <c r="L181" s="4"/>
      <c r="M181" s="4"/>
      <c r="N181" s="4"/>
      <c r="O181" s="4"/>
      <c r="P181" s="4"/>
      <c r="Q181" s="4"/>
      <c r="R181" s="4"/>
      <c r="S181" s="4"/>
      <c r="T181" s="4"/>
      <c r="U181" s="4"/>
      <c r="V181" s="58"/>
      <c r="W181" s="58"/>
      <c r="X181" s="58"/>
      <c r="Y181" s="58"/>
      <c r="Z181" s="58"/>
    </row>
    <row r="182" ht="15.75" customHeight="1">
      <c r="A182" s="4"/>
      <c r="B182" s="4"/>
      <c r="C182" s="4"/>
      <c r="D182" s="4"/>
      <c r="E182" s="4"/>
      <c r="F182" s="4"/>
      <c r="G182" s="4"/>
      <c r="H182" s="4"/>
      <c r="I182" s="4"/>
      <c r="J182" s="4"/>
      <c r="K182" s="4"/>
      <c r="L182" s="4"/>
      <c r="M182" s="4"/>
      <c r="N182" s="4"/>
      <c r="O182" s="4"/>
      <c r="P182" s="4"/>
      <c r="Q182" s="4"/>
      <c r="R182" s="4"/>
      <c r="S182" s="4"/>
      <c r="T182" s="4"/>
      <c r="U182" s="4"/>
      <c r="V182" s="58"/>
      <c r="W182" s="58"/>
      <c r="X182" s="58"/>
      <c r="Y182" s="58"/>
      <c r="Z182" s="58"/>
    </row>
    <row r="183" ht="15.75" customHeight="1">
      <c r="A183" s="4"/>
      <c r="B183" s="4"/>
      <c r="C183" s="4"/>
      <c r="D183" s="4"/>
      <c r="E183" s="4"/>
      <c r="F183" s="4"/>
      <c r="G183" s="4"/>
      <c r="H183" s="4"/>
      <c r="I183" s="4"/>
      <c r="J183" s="4"/>
      <c r="K183" s="4"/>
      <c r="L183" s="4"/>
      <c r="M183" s="4"/>
      <c r="N183" s="4"/>
      <c r="O183" s="4"/>
      <c r="P183" s="4"/>
      <c r="Q183" s="4"/>
      <c r="R183" s="4"/>
      <c r="S183" s="4"/>
      <c r="T183" s="4"/>
      <c r="U183" s="4"/>
      <c r="V183" s="58"/>
      <c r="W183" s="58"/>
      <c r="X183" s="58"/>
      <c r="Y183" s="58"/>
      <c r="Z183" s="58"/>
    </row>
    <row r="184" ht="15.75" customHeight="1">
      <c r="A184" s="4"/>
      <c r="B184" s="4"/>
      <c r="C184" s="4"/>
      <c r="D184" s="4"/>
      <c r="E184" s="4"/>
      <c r="F184" s="4"/>
      <c r="G184" s="4"/>
      <c r="H184" s="4"/>
      <c r="I184" s="4"/>
      <c r="J184" s="4"/>
      <c r="K184" s="4"/>
      <c r="L184" s="4"/>
      <c r="M184" s="4"/>
      <c r="N184" s="4"/>
      <c r="O184" s="4"/>
      <c r="P184" s="4"/>
      <c r="Q184" s="4"/>
      <c r="R184" s="4"/>
      <c r="S184" s="4"/>
      <c r="T184" s="4"/>
      <c r="U184" s="4"/>
      <c r="V184" s="58"/>
      <c r="W184" s="58"/>
      <c r="X184" s="58"/>
      <c r="Y184" s="58"/>
      <c r="Z184" s="58"/>
    </row>
    <row r="185" ht="15.75" customHeight="1">
      <c r="A185" s="4"/>
      <c r="B185" s="4"/>
      <c r="C185" s="4"/>
      <c r="D185" s="4"/>
      <c r="E185" s="4"/>
      <c r="F185" s="4"/>
      <c r="G185" s="4"/>
      <c r="H185" s="4"/>
      <c r="I185" s="4"/>
      <c r="J185" s="4"/>
      <c r="K185" s="4"/>
      <c r="L185" s="4"/>
      <c r="M185" s="4"/>
      <c r="N185" s="4"/>
      <c r="O185" s="4"/>
      <c r="P185" s="4"/>
      <c r="Q185" s="4"/>
      <c r="R185" s="4"/>
      <c r="S185" s="4"/>
      <c r="T185" s="4"/>
      <c r="U185" s="4"/>
      <c r="V185" s="58"/>
      <c r="W185" s="58"/>
      <c r="X185" s="58"/>
      <c r="Y185" s="58"/>
      <c r="Z185" s="58"/>
    </row>
    <row r="186" ht="15.75" customHeight="1">
      <c r="A186" s="4"/>
      <c r="B186" s="4"/>
      <c r="C186" s="4"/>
      <c r="D186" s="4"/>
      <c r="E186" s="4"/>
      <c r="F186" s="4"/>
      <c r="G186" s="4"/>
      <c r="H186" s="4"/>
      <c r="I186" s="4"/>
      <c r="J186" s="4"/>
      <c r="K186" s="4"/>
      <c r="L186" s="4"/>
      <c r="M186" s="4"/>
      <c r="N186" s="4"/>
      <c r="O186" s="4"/>
      <c r="P186" s="4"/>
      <c r="Q186" s="4"/>
      <c r="R186" s="4"/>
      <c r="S186" s="4"/>
      <c r="T186" s="4"/>
      <c r="U186" s="4"/>
      <c r="V186" s="58"/>
      <c r="W186" s="58"/>
      <c r="X186" s="58"/>
      <c r="Y186" s="58"/>
      <c r="Z186" s="58"/>
    </row>
    <row r="187" ht="15.75" customHeight="1">
      <c r="A187" s="4"/>
      <c r="B187" s="4"/>
      <c r="C187" s="4"/>
      <c r="D187" s="4"/>
      <c r="E187" s="4"/>
      <c r="F187" s="4"/>
      <c r="G187" s="4"/>
      <c r="H187" s="4"/>
      <c r="I187" s="4"/>
      <c r="J187" s="4"/>
      <c r="K187" s="4"/>
      <c r="L187" s="4"/>
      <c r="M187" s="4"/>
      <c r="N187" s="4"/>
      <c r="O187" s="4"/>
      <c r="P187" s="4"/>
      <c r="Q187" s="4"/>
      <c r="R187" s="4"/>
      <c r="S187" s="4"/>
      <c r="T187" s="4"/>
      <c r="U187" s="4"/>
      <c r="V187" s="58"/>
      <c r="W187" s="58"/>
      <c r="X187" s="58"/>
      <c r="Y187" s="58"/>
      <c r="Z187" s="58"/>
    </row>
    <row r="188" ht="15.75" customHeight="1">
      <c r="A188" s="4"/>
      <c r="B188" s="4"/>
      <c r="C188" s="4"/>
      <c r="D188" s="4"/>
      <c r="E188" s="4"/>
      <c r="F188" s="4"/>
      <c r="G188" s="4"/>
      <c r="H188" s="4"/>
      <c r="I188" s="4"/>
      <c r="J188" s="4"/>
      <c r="K188" s="4"/>
      <c r="L188" s="4"/>
      <c r="M188" s="4"/>
      <c r="N188" s="4"/>
      <c r="O188" s="4"/>
      <c r="P188" s="4"/>
      <c r="Q188" s="4"/>
      <c r="R188" s="4"/>
      <c r="S188" s="4"/>
      <c r="T188" s="4"/>
      <c r="U188" s="4"/>
      <c r="V188" s="58"/>
      <c r="W188" s="58"/>
      <c r="X188" s="58"/>
      <c r="Y188" s="58"/>
      <c r="Z188" s="58"/>
    </row>
    <row r="189" ht="15.75" customHeight="1">
      <c r="A189" s="4"/>
      <c r="B189" s="4"/>
      <c r="C189" s="4"/>
      <c r="D189" s="4"/>
      <c r="E189" s="4"/>
      <c r="F189" s="4"/>
      <c r="G189" s="4"/>
      <c r="H189" s="4"/>
      <c r="I189" s="4"/>
      <c r="J189" s="4"/>
      <c r="K189" s="4"/>
      <c r="L189" s="4"/>
      <c r="M189" s="4"/>
      <c r="N189" s="4"/>
      <c r="O189" s="4"/>
      <c r="P189" s="4"/>
      <c r="Q189" s="4"/>
      <c r="R189" s="4"/>
      <c r="S189" s="4"/>
      <c r="T189" s="4"/>
      <c r="U189" s="4"/>
      <c r="V189" s="58"/>
      <c r="W189" s="58"/>
      <c r="X189" s="58"/>
      <c r="Y189" s="58"/>
      <c r="Z189" s="58"/>
    </row>
    <row r="190" ht="15.75" customHeight="1">
      <c r="A190" s="4"/>
      <c r="B190" s="4"/>
      <c r="C190" s="4"/>
      <c r="D190" s="4"/>
      <c r="E190" s="4"/>
      <c r="F190" s="4"/>
      <c r="G190" s="4"/>
      <c r="H190" s="4"/>
      <c r="I190" s="4"/>
      <c r="J190" s="4"/>
      <c r="K190" s="4"/>
      <c r="L190" s="4"/>
      <c r="M190" s="4"/>
      <c r="N190" s="4"/>
      <c r="O190" s="4"/>
      <c r="P190" s="4"/>
      <c r="Q190" s="4"/>
      <c r="R190" s="4"/>
      <c r="S190" s="4"/>
      <c r="T190" s="4"/>
      <c r="U190" s="4"/>
      <c r="V190" s="58"/>
      <c r="W190" s="58"/>
      <c r="X190" s="58"/>
      <c r="Y190" s="58"/>
      <c r="Z190" s="58"/>
    </row>
    <row r="191" ht="15.75" customHeight="1">
      <c r="A191" s="4"/>
      <c r="B191" s="4"/>
      <c r="C191" s="4"/>
      <c r="D191" s="4"/>
      <c r="E191" s="4"/>
      <c r="F191" s="4"/>
      <c r="G191" s="4"/>
      <c r="H191" s="4"/>
      <c r="I191" s="4"/>
      <c r="J191" s="4"/>
      <c r="K191" s="4"/>
      <c r="L191" s="4"/>
      <c r="M191" s="4"/>
      <c r="N191" s="4"/>
      <c r="O191" s="4"/>
      <c r="P191" s="4"/>
      <c r="Q191" s="4"/>
      <c r="R191" s="4"/>
      <c r="S191" s="4"/>
      <c r="T191" s="4"/>
      <c r="U191" s="4"/>
      <c r="V191" s="58"/>
      <c r="W191" s="58"/>
      <c r="X191" s="58"/>
      <c r="Y191" s="58"/>
      <c r="Z191" s="58"/>
    </row>
    <row r="192" ht="15.75" customHeight="1">
      <c r="A192" s="4"/>
      <c r="B192" s="4"/>
      <c r="C192" s="4"/>
      <c r="D192" s="4"/>
      <c r="E192" s="4"/>
      <c r="F192" s="4"/>
      <c r="G192" s="4"/>
      <c r="H192" s="4"/>
      <c r="I192" s="4"/>
      <c r="J192" s="4"/>
      <c r="K192" s="4"/>
      <c r="L192" s="4"/>
      <c r="M192" s="4"/>
      <c r="N192" s="4"/>
      <c r="O192" s="4"/>
      <c r="P192" s="4"/>
      <c r="Q192" s="4"/>
      <c r="R192" s="4"/>
      <c r="S192" s="4"/>
      <c r="T192" s="4"/>
      <c r="U192" s="4"/>
      <c r="V192" s="58"/>
      <c r="W192" s="58"/>
      <c r="X192" s="58"/>
      <c r="Y192" s="58"/>
      <c r="Z192" s="58"/>
    </row>
    <row r="193" ht="15.75" customHeight="1">
      <c r="A193" s="4"/>
      <c r="B193" s="4"/>
      <c r="C193" s="4"/>
      <c r="D193" s="4"/>
      <c r="E193" s="4"/>
      <c r="F193" s="4"/>
      <c r="G193" s="4"/>
      <c r="H193" s="4"/>
      <c r="I193" s="4"/>
      <c r="J193" s="4"/>
      <c r="K193" s="4"/>
      <c r="L193" s="4"/>
      <c r="M193" s="4"/>
      <c r="N193" s="4"/>
      <c r="O193" s="4"/>
      <c r="P193" s="4"/>
      <c r="Q193" s="4"/>
      <c r="R193" s="4"/>
      <c r="S193" s="4"/>
      <c r="T193" s="4"/>
      <c r="U193" s="4"/>
      <c r="V193" s="58"/>
      <c r="W193" s="58"/>
      <c r="X193" s="58"/>
      <c r="Y193" s="58"/>
      <c r="Z193" s="58"/>
    </row>
    <row r="194" ht="15.75" customHeight="1">
      <c r="A194" s="4"/>
      <c r="B194" s="4"/>
      <c r="C194" s="4"/>
      <c r="D194" s="4"/>
      <c r="E194" s="4"/>
      <c r="F194" s="4"/>
      <c r="G194" s="4"/>
      <c r="H194" s="4"/>
      <c r="I194" s="4"/>
      <c r="J194" s="4"/>
      <c r="K194" s="4"/>
      <c r="L194" s="4"/>
      <c r="M194" s="4"/>
      <c r="N194" s="4"/>
      <c r="O194" s="4"/>
      <c r="P194" s="4"/>
      <c r="Q194" s="4"/>
      <c r="R194" s="4"/>
      <c r="S194" s="4"/>
      <c r="T194" s="4"/>
      <c r="U194" s="4"/>
      <c r="V194" s="58"/>
      <c r="W194" s="58"/>
      <c r="X194" s="58"/>
      <c r="Y194" s="58"/>
      <c r="Z194" s="58"/>
    </row>
    <row r="195" ht="15.75" customHeight="1">
      <c r="A195" s="4"/>
      <c r="B195" s="4"/>
      <c r="C195" s="4"/>
      <c r="D195" s="4"/>
      <c r="E195" s="4"/>
      <c r="F195" s="4"/>
      <c r="G195" s="4"/>
      <c r="H195" s="4"/>
      <c r="I195" s="4"/>
      <c r="J195" s="4"/>
      <c r="K195" s="4"/>
      <c r="L195" s="4"/>
      <c r="M195" s="4"/>
      <c r="N195" s="4"/>
      <c r="O195" s="4"/>
      <c r="P195" s="4"/>
      <c r="Q195" s="4"/>
      <c r="R195" s="4"/>
      <c r="S195" s="4"/>
      <c r="T195" s="4"/>
      <c r="U195" s="4"/>
      <c r="V195" s="58"/>
      <c r="W195" s="58"/>
      <c r="X195" s="58"/>
      <c r="Y195" s="58"/>
      <c r="Z195" s="58"/>
    </row>
    <row r="196" ht="15.75" customHeight="1">
      <c r="A196" s="4"/>
      <c r="B196" s="4"/>
      <c r="C196" s="4"/>
      <c r="D196" s="4"/>
      <c r="E196" s="4"/>
      <c r="F196" s="4"/>
      <c r="G196" s="4"/>
      <c r="H196" s="4"/>
      <c r="I196" s="4"/>
      <c r="J196" s="4"/>
      <c r="K196" s="4"/>
      <c r="L196" s="4"/>
      <c r="M196" s="4"/>
      <c r="N196" s="4"/>
      <c r="O196" s="4"/>
      <c r="P196" s="4"/>
      <c r="Q196" s="4"/>
      <c r="R196" s="4"/>
      <c r="S196" s="4"/>
      <c r="T196" s="4"/>
      <c r="U196" s="4"/>
      <c r="V196" s="58"/>
      <c r="W196" s="58"/>
      <c r="X196" s="58"/>
      <c r="Y196" s="58"/>
      <c r="Z196" s="58"/>
    </row>
    <row r="197" ht="15.75" customHeight="1">
      <c r="A197" s="4"/>
      <c r="B197" s="4"/>
      <c r="C197" s="4"/>
      <c r="D197" s="4"/>
      <c r="E197" s="4"/>
      <c r="F197" s="4"/>
      <c r="G197" s="4"/>
      <c r="H197" s="4"/>
      <c r="I197" s="4"/>
      <c r="J197" s="4"/>
      <c r="K197" s="4"/>
      <c r="L197" s="4"/>
      <c r="M197" s="4"/>
      <c r="N197" s="4"/>
      <c r="O197" s="4"/>
      <c r="P197" s="4"/>
      <c r="Q197" s="4"/>
      <c r="R197" s="4"/>
      <c r="S197" s="4"/>
      <c r="T197" s="4"/>
      <c r="U197" s="4"/>
      <c r="V197" s="58"/>
      <c r="W197" s="58"/>
      <c r="X197" s="58"/>
      <c r="Y197" s="58"/>
      <c r="Z197" s="58"/>
    </row>
    <row r="198" ht="15.75" customHeight="1">
      <c r="A198" s="4"/>
      <c r="B198" s="4"/>
      <c r="C198" s="4"/>
      <c r="D198" s="4"/>
      <c r="E198" s="4"/>
      <c r="F198" s="4"/>
      <c r="G198" s="4"/>
      <c r="H198" s="4"/>
      <c r="I198" s="4"/>
      <c r="J198" s="4"/>
      <c r="K198" s="4"/>
      <c r="L198" s="4"/>
      <c r="M198" s="4"/>
      <c r="N198" s="4"/>
      <c r="O198" s="4"/>
      <c r="P198" s="4"/>
      <c r="Q198" s="4"/>
      <c r="R198" s="4"/>
      <c r="S198" s="4"/>
      <c r="T198" s="4"/>
      <c r="U198" s="4"/>
      <c r="V198" s="58"/>
      <c r="W198" s="58"/>
      <c r="X198" s="58"/>
      <c r="Y198" s="58"/>
      <c r="Z198" s="58"/>
    </row>
    <row r="199" ht="15.75" customHeight="1">
      <c r="A199" s="4"/>
      <c r="B199" s="4"/>
      <c r="C199" s="4"/>
      <c r="D199" s="4"/>
      <c r="E199" s="4"/>
      <c r="F199" s="4"/>
      <c r="G199" s="4"/>
      <c r="H199" s="4"/>
      <c r="I199" s="4"/>
      <c r="J199" s="4"/>
      <c r="K199" s="4"/>
      <c r="L199" s="4"/>
      <c r="M199" s="4"/>
      <c r="N199" s="4"/>
      <c r="O199" s="4"/>
      <c r="P199" s="4"/>
      <c r="Q199" s="4"/>
      <c r="R199" s="4"/>
      <c r="S199" s="4"/>
      <c r="T199" s="4"/>
      <c r="U199" s="4"/>
      <c r="V199" s="58"/>
      <c r="W199" s="58"/>
      <c r="X199" s="58"/>
      <c r="Y199" s="58"/>
      <c r="Z199" s="58"/>
    </row>
    <row r="200" ht="15.75" customHeight="1">
      <c r="A200" s="4"/>
      <c r="B200" s="4"/>
      <c r="C200" s="4"/>
      <c r="D200" s="4"/>
      <c r="E200" s="4"/>
      <c r="F200" s="4"/>
      <c r="G200" s="4"/>
      <c r="H200" s="4"/>
      <c r="I200" s="4"/>
      <c r="J200" s="4"/>
      <c r="K200" s="4"/>
      <c r="L200" s="4"/>
      <c r="M200" s="4"/>
      <c r="N200" s="4"/>
      <c r="O200" s="4"/>
      <c r="P200" s="4"/>
      <c r="Q200" s="4"/>
      <c r="R200" s="4"/>
      <c r="S200" s="4"/>
      <c r="T200" s="4"/>
      <c r="U200" s="4"/>
      <c r="V200" s="58"/>
      <c r="W200" s="58"/>
      <c r="X200" s="58"/>
      <c r="Y200" s="58"/>
      <c r="Z200" s="58"/>
    </row>
    <row r="201" ht="15.75" customHeight="1">
      <c r="A201" s="4"/>
      <c r="B201" s="4"/>
      <c r="C201" s="4"/>
      <c r="D201" s="4"/>
      <c r="E201" s="4"/>
      <c r="F201" s="4"/>
      <c r="G201" s="4"/>
      <c r="H201" s="4"/>
      <c r="I201" s="4"/>
      <c r="J201" s="4"/>
      <c r="K201" s="4"/>
      <c r="L201" s="4"/>
      <c r="M201" s="4"/>
      <c r="N201" s="4"/>
      <c r="O201" s="4"/>
      <c r="P201" s="4"/>
      <c r="Q201" s="4"/>
      <c r="R201" s="4"/>
      <c r="S201" s="4"/>
      <c r="T201" s="4"/>
      <c r="U201" s="4"/>
      <c r="V201" s="58"/>
      <c r="W201" s="58"/>
      <c r="X201" s="58"/>
      <c r="Y201" s="58"/>
      <c r="Z201" s="58"/>
    </row>
    <row r="202" ht="15.75" customHeight="1">
      <c r="A202" s="4"/>
      <c r="B202" s="4"/>
      <c r="C202" s="4"/>
      <c r="D202" s="4"/>
      <c r="E202" s="4"/>
      <c r="F202" s="4"/>
      <c r="G202" s="4"/>
      <c r="H202" s="4"/>
      <c r="I202" s="4"/>
      <c r="J202" s="4"/>
      <c r="K202" s="4"/>
      <c r="L202" s="4"/>
      <c r="M202" s="4"/>
      <c r="N202" s="4"/>
      <c r="O202" s="4"/>
      <c r="P202" s="4"/>
      <c r="Q202" s="4"/>
      <c r="R202" s="4"/>
      <c r="S202" s="4"/>
      <c r="T202" s="4"/>
      <c r="U202" s="4"/>
      <c r="V202" s="58"/>
      <c r="W202" s="58"/>
      <c r="X202" s="58"/>
      <c r="Y202" s="58"/>
      <c r="Z202" s="58"/>
    </row>
    <row r="203" ht="15.75" customHeight="1">
      <c r="A203" s="4"/>
      <c r="B203" s="4"/>
      <c r="C203" s="4"/>
      <c r="D203" s="4"/>
      <c r="E203" s="4"/>
      <c r="F203" s="4"/>
      <c r="G203" s="4"/>
      <c r="H203" s="4"/>
      <c r="I203" s="4"/>
      <c r="J203" s="4"/>
      <c r="K203" s="4"/>
      <c r="L203" s="4"/>
      <c r="M203" s="4"/>
      <c r="N203" s="4"/>
      <c r="O203" s="4"/>
      <c r="P203" s="4"/>
      <c r="Q203" s="4"/>
      <c r="R203" s="4"/>
      <c r="S203" s="4"/>
      <c r="T203" s="4"/>
      <c r="U203" s="4"/>
      <c r="V203" s="58"/>
      <c r="W203" s="58"/>
      <c r="X203" s="58"/>
      <c r="Y203" s="58"/>
      <c r="Z203" s="58"/>
    </row>
    <row r="204" ht="15.75" customHeight="1">
      <c r="A204" s="4"/>
      <c r="B204" s="4"/>
      <c r="C204" s="4"/>
      <c r="D204" s="4"/>
      <c r="E204" s="4"/>
      <c r="F204" s="4"/>
      <c r="G204" s="4"/>
      <c r="H204" s="4"/>
      <c r="I204" s="4"/>
      <c r="J204" s="4"/>
      <c r="K204" s="4"/>
      <c r="L204" s="4"/>
      <c r="M204" s="4"/>
      <c r="N204" s="4"/>
      <c r="O204" s="4"/>
      <c r="P204" s="4"/>
      <c r="Q204" s="4"/>
      <c r="R204" s="4"/>
      <c r="S204" s="4"/>
      <c r="T204" s="4"/>
      <c r="U204" s="4"/>
      <c r="V204" s="58"/>
      <c r="W204" s="58"/>
      <c r="X204" s="58"/>
      <c r="Y204" s="58"/>
      <c r="Z204" s="58"/>
    </row>
    <row r="205" ht="15.75" customHeight="1">
      <c r="A205" s="4"/>
      <c r="B205" s="4"/>
      <c r="C205" s="4"/>
      <c r="D205" s="4"/>
      <c r="E205" s="4"/>
      <c r="F205" s="4"/>
      <c r="G205" s="4"/>
      <c r="H205" s="4"/>
      <c r="I205" s="4"/>
      <c r="J205" s="4"/>
      <c r="K205" s="4"/>
      <c r="L205" s="4"/>
      <c r="M205" s="4"/>
      <c r="N205" s="4"/>
      <c r="O205" s="4"/>
      <c r="P205" s="4"/>
      <c r="Q205" s="4"/>
      <c r="R205" s="4"/>
      <c r="S205" s="4"/>
      <c r="T205" s="4"/>
      <c r="U205" s="4"/>
      <c r="V205" s="58"/>
      <c r="W205" s="58"/>
      <c r="X205" s="58"/>
      <c r="Y205" s="58"/>
      <c r="Z205" s="58"/>
    </row>
    <row r="206" ht="15.75" customHeight="1">
      <c r="A206" s="4"/>
      <c r="B206" s="4"/>
      <c r="C206" s="4"/>
      <c r="D206" s="4"/>
      <c r="E206" s="4"/>
      <c r="F206" s="4"/>
      <c r="G206" s="4"/>
      <c r="H206" s="4"/>
      <c r="I206" s="4"/>
      <c r="J206" s="4"/>
      <c r="K206" s="4"/>
      <c r="L206" s="4"/>
      <c r="M206" s="4"/>
      <c r="N206" s="4"/>
      <c r="O206" s="4"/>
      <c r="P206" s="4"/>
      <c r="Q206" s="4"/>
      <c r="R206" s="4"/>
      <c r="S206" s="4"/>
      <c r="T206" s="4"/>
      <c r="U206" s="4"/>
      <c r="V206" s="58"/>
      <c r="W206" s="58"/>
      <c r="X206" s="58"/>
      <c r="Y206" s="58"/>
      <c r="Z206" s="58"/>
    </row>
    <row r="207" ht="15.75" customHeight="1">
      <c r="A207" s="4"/>
      <c r="B207" s="4"/>
      <c r="C207" s="4"/>
      <c r="D207" s="4"/>
      <c r="E207" s="4"/>
      <c r="F207" s="4"/>
      <c r="G207" s="4"/>
      <c r="H207" s="4"/>
      <c r="I207" s="4"/>
      <c r="J207" s="4"/>
      <c r="K207" s="4"/>
      <c r="L207" s="4"/>
      <c r="M207" s="4"/>
      <c r="N207" s="4"/>
      <c r="O207" s="4"/>
      <c r="P207" s="4"/>
      <c r="Q207" s="4"/>
      <c r="R207" s="4"/>
      <c r="S207" s="4"/>
      <c r="T207" s="4"/>
      <c r="U207" s="4"/>
      <c r="V207" s="58"/>
      <c r="W207" s="58"/>
      <c r="X207" s="58"/>
      <c r="Y207" s="58"/>
      <c r="Z207" s="58"/>
    </row>
    <row r="208" ht="15.75" customHeight="1">
      <c r="A208" s="4"/>
      <c r="B208" s="4"/>
      <c r="C208" s="4"/>
      <c r="D208" s="4"/>
      <c r="E208" s="4"/>
      <c r="F208" s="4"/>
      <c r="G208" s="4"/>
      <c r="H208" s="4"/>
      <c r="I208" s="4"/>
      <c r="J208" s="4"/>
      <c r="K208" s="4"/>
      <c r="L208" s="4"/>
      <c r="M208" s="4"/>
      <c r="N208" s="4"/>
      <c r="O208" s="4"/>
      <c r="P208" s="4"/>
      <c r="Q208" s="4"/>
      <c r="R208" s="4"/>
      <c r="S208" s="4"/>
      <c r="T208" s="4"/>
      <c r="U208" s="4"/>
      <c r="V208" s="58"/>
      <c r="W208" s="58"/>
      <c r="X208" s="58"/>
      <c r="Y208" s="58"/>
      <c r="Z208" s="58"/>
    </row>
    <row r="209" ht="15.75" customHeight="1">
      <c r="A209" s="4"/>
      <c r="B209" s="4"/>
      <c r="C209" s="4"/>
      <c r="D209" s="4"/>
      <c r="E209" s="4"/>
      <c r="F209" s="4"/>
      <c r="G209" s="4"/>
      <c r="H209" s="4"/>
      <c r="I209" s="4"/>
      <c r="J209" s="4"/>
      <c r="K209" s="4"/>
      <c r="L209" s="4"/>
      <c r="M209" s="4"/>
      <c r="N209" s="4"/>
      <c r="O209" s="4"/>
      <c r="P209" s="4"/>
      <c r="Q209" s="4"/>
      <c r="R209" s="4"/>
      <c r="S209" s="4"/>
      <c r="T209" s="4"/>
      <c r="U209" s="4"/>
      <c r="V209" s="58"/>
      <c r="W209" s="58"/>
      <c r="X209" s="58"/>
      <c r="Y209" s="58"/>
      <c r="Z209" s="58"/>
    </row>
    <row r="210" ht="15.75" customHeight="1">
      <c r="A210" s="4"/>
      <c r="B210" s="4"/>
      <c r="C210" s="4"/>
      <c r="D210" s="4"/>
      <c r="E210" s="4"/>
      <c r="F210" s="4"/>
      <c r="G210" s="4"/>
      <c r="H210" s="4"/>
      <c r="I210" s="4"/>
      <c r="J210" s="4"/>
      <c r="K210" s="4"/>
      <c r="L210" s="4"/>
      <c r="M210" s="4"/>
      <c r="N210" s="4"/>
      <c r="O210" s="4"/>
      <c r="P210" s="4"/>
      <c r="Q210" s="4"/>
      <c r="R210" s="4"/>
      <c r="S210" s="4"/>
      <c r="T210" s="4"/>
      <c r="U210" s="4"/>
      <c r="V210" s="58"/>
      <c r="W210" s="58"/>
      <c r="X210" s="58"/>
      <c r="Y210" s="58"/>
      <c r="Z210" s="58"/>
    </row>
    <row r="211" ht="15.75" customHeight="1">
      <c r="A211" s="4"/>
      <c r="B211" s="4"/>
      <c r="C211" s="4"/>
      <c r="D211" s="4"/>
      <c r="E211" s="4"/>
      <c r="F211" s="4"/>
      <c r="G211" s="4"/>
      <c r="H211" s="4"/>
      <c r="I211" s="4"/>
      <c r="J211" s="4"/>
      <c r="K211" s="4"/>
      <c r="L211" s="4"/>
      <c r="M211" s="4"/>
      <c r="N211" s="4"/>
      <c r="O211" s="4"/>
      <c r="P211" s="4"/>
      <c r="Q211" s="4"/>
      <c r="R211" s="4"/>
      <c r="S211" s="4"/>
      <c r="T211" s="4"/>
      <c r="U211" s="4"/>
      <c r="V211" s="58"/>
      <c r="W211" s="58"/>
      <c r="X211" s="58"/>
      <c r="Y211" s="58"/>
      <c r="Z211" s="58"/>
    </row>
    <row r="212" ht="15.75" customHeight="1">
      <c r="A212" s="4"/>
      <c r="B212" s="4"/>
      <c r="C212" s="4"/>
      <c r="D212" s="4"/>
      <c r="E212" s="4"/>
      <c r="F212" s="4"/>
      <c r="G212" s="4"/>
      <c r="H212" s="4"/>
      <c r="I212" s="4"/>
      <c r="J212" s="4"/>
      <c r="K212" s="4"/>
      <c r="L212" s="4"/>
      <c r="M212" s="4"/>
      <c r="N212" s="4"/>
      <c r="O212" s="4"/>
      <c r="P212" s="4"/>
      <c r="Q212" s="4"/>
      <c r="R212" s="4"/>
      <c r="S212" s="4"/>
      <c r="T212" s="4"/>
      <c r="U212" s="4"/>
      <c r="V212" s="58"/>
      <c r="W212" s="58"/>
      <c r="X212" s="58"/>
      <c r="Y212" s="58"/>
      <c r="Z212" s="58"/>
    </row>
    <row r="213" ht="15.75" customHeight="1">
      <c r="A213" s="4"/>
      <c r="B213" s="4"/>
      <c r="C213" s="4"/>
      <c r="D213" s="4"/>
      <c r="E213" s="4"/>
      <c r="F213" s="4"/>
      <c r="G213" s="4"/>
      <c r="H213" s="4"/>
      <c r="I213" s="4"/>
      <c r="J213" s="4"/>
      <c r="K213" s="4"/>
      <c r="L213" s="4"/>
      <c r="M213" s="4"/>
      <c r="N213" s="4"/>
      <c r="O213" s="4"/>
      <c r="P213" s="4"/>
      <c r="Q213" s="4"/>
      <c r="R213" s="4"/>
      <c r="S213" s="4"/>
      <c r="T213" s="4"/>
      <c r="U213" s="4"/>
      <c r="V213" s="58"/>
      <c r="W213" s="58"/>
      <c r="X213" s="58"/>
      <c r="Y213" s="58"/>
      <c r="Z213" s="58"/>
    </row>
    <row r="214" ht="15.75" customHeight="1">
      <c r="A214" s="4"/>
      <c r="B214" s="4"/>
      <c r="C214" s="4"/>
      <c r="D214" s="4"/>
      <c r="E214" s="4"/>
      <c r="F214" s="4"/>
      <c r="G214" s="4"/>
      <c r="H214" s="4"/>
      <c r="I214" s="4"/>
      <c r="J214" s="4"/>
      <c r="K214" s="4"/>
      <c r="L214" s="4"/>
      <c r="M214" s="4"/>
      <c r="N214" s="4"/>
      <c r="O214" s="4"/>
      <c r="P214" s="4"/>
      <c r="Q214" s="4"/>
      <c r="R214" s="4"/>
      <c r="S214" s="4"/>
      <c r="T214" s="4"/>
      <c r="U214" s="4"/>
      <c r="V214" s="58"/>
      <c r="W214" s="58"/>
      <c r="X214" s="58"/>
      <c r="Y214" s="58"/>
      <c r="Z214" s="58"/>
    </row>
    <row r="215" ht="15.75" customHeight="1">
      <c r="A215" s="4"/>
      <c r="B215" s="4"/>
      <c r="C215" s="4"/>
      <c r="D215" s="4"/>
      <c r="E215" s="4"/>
      <c r="F215" s="4"/>
      <c r="G215" s="4"/>
      <c r="H215" s="4"/>
      <c r="I215" s="4"/>
      <c r="J215" s="4"/>
      <c r="K215" s="4"/>
      <c r="L215" s="4"/>
      <c r="M215" s="4"/>
      <c r="N215" s="4"/>
      <c r="O215" s="4"/>
      <c r="P215" s="4"/>
      <c r="Q215" s="4"/>
      <c r="R215" s="4"/>
      <c r="S215" s="4"/>
      <c r="T215" s="4"/>
      <c r="U215" s="4"/>
      <c r="V215" s="58"/>
      <c r="W215" s="58"/>
      <c r="X215" s="58"/>
      <c r="Y215" s="58"/>
      <c r="Z215" s="58"/>
    </row>
    <row r="216" ht="15.75" customHeight="1">
      <c r="A216" s="4"/>
      <c r="B216" s="4"/>
      <c r="C216" s="4"/>
      <c r="D216" s="4"/>
      <c r="E216" s="4"/>
      <c r="F216" s="4"/>
      <c r="G216" s="4"/>
      <c r="H216" s="4"/>
      <c r="I216" s="4"/>
      <c r="J216" s="4"/>
      <c r="K216" s="4"/>
      <c r="L216" s="4"/>
      <c r="M216" s="4"/>
      <c r="N216" s="4"/>
      <c r="O216" s="4"/>
      <c r="P216" s="4"/>
      <c r="Q216" s="4"/>
      <c r="R216" s="4"/>
      <c r="S216" s="4"/>
      <c r="T216" s="4"/>
      <c r="U216" s="4"/>
      <c r="V216" s="58"/>
      <c r="W216" s="58"/>
      <c r="X216" s="58"/>
      <c r="Y216" s="58"/>
      <c r="Z216" s="58"/>
    </row>
    <row r="217" ht="15.75" customHeight="1">
      <c r="A217" s="4"/>
      <c r="B217" s="4"/>
      <c r="C217" s="4"/>
      <c r="D217" s="4"/>
      <c r="E217" s="4"/>
      <c r="F217" s="4"/>
      <c r="G217" s="4"/>
      <c r="H217" s="4"/>
      <c r="I217" s="4"/>
      <c r="J217" s="4"/>
      <c r="K217" s="4"/>
      <c r="L217" s="4"/>
      <c r="M217" s="4"/>
      <c r="N217" s="4"/>
      <c r="O217" s="4"/>
      <c r="P217" s="4"/>
      <c r="Q217" s="4"/>
      <c r="R217" s="4"/>
      <c r="S217" s="4"/>
      <c r="T217" s="4"/>
      <c r="U217" s="4"/>
      <c r="V217" s="58"/>
      <c r="W217" s="58"/>
      <c r="X217" s="58"/>
      <c r="Y217" s="58"/>
      <c r="Z217" s="58"/>
    </row>
    <row r="218" ht="15.75" customHeight="1">
      <c r="A218" s="4"/>
      <c r="B218" s="4"/>
      <c r="C218" s="4"/>
      <c r="D218" s="4"/>
      <c r="E218" s="4"/>
      <c r="F218" s="4"/>
      <c r="G218" s="4"/>
      <c r="H218" s="4"/>
      <c r="I218" s="4"/>
      <c r="J218" s="4"/>
      <c r="K218" s="4"/>
      <c r="L218" s="4"/>
      <c r="M218" s="4"/>
      <c r="N218" s="4"/>
      <c r="O218" s="4"/>
      <c r="P218" s="4"/>
      <c r="Q218" s="4"/>
      <c r="R218" s="4"/>
      <c r="S218" s="4"/>
      <c r="T218" s="4"/>
      <c r="U218" s="4"/>
      <c r="V218" s="58"/>
      <c r="W218" s="58"/>
      <c r="X218" s="58"/>
      <c r="Y218" s="58"/>
      <c r="Z218" s="58"/>
    </row>
    <row r="219" ht="15.75" customHeight="1">
      <c r="A219" s="4"/>
      <c r="B219" s="4"/>
      <c r="C219" s="4"/>
      <c r="D219" s="4"/>
      <c r="E219" s="4"/>
      <c r="F219" s="4"/>
      <c r="G219" s="4"/>
      <c r="H219" s="4"/>
      <c r="I219" s="4"/>
      <c r="J219" s="4"/>
      <c r="K219" s="4"/>
      <c r="L219" s="4"/>
      <c r="M219" s="4"/>
      <c r="N219" s="4"/>
      <c r="O219" s="4"/>
      <c r="P219" s="4"/>
      <c r="Q219" s="4"/>
      <c r="R219" s="4"/>
      <c r="S219" s="4"/>
      <c r="T219" s="4"/>
      <c r="U219" s="4"/>
      <c r="V219" s="58"/>
      <c r="W219" s="58"/>
      <c r="X219" s="58"/>
      <c r="Y219" s="58"/>
      <c r="Z219" s="58"/>
    </row>
    <row r="220" ht="15.75" customHeight="1">
      <c r="A220" s="4"/>
      <c r="B220" s="4"/>
      <c r="C220" s="4"/>
      <c r="D220" s="4"/>
      <c r="E220" s="4"/>
      <c r="F220" s="4"/>
      <c r="G220" s="4"/>
      <c r="H220" s="4"/>
      <c r="I220" s="4"/>
      <c r="J220" s="4"/>
      <c r="K220" s="4"/>
      <c r="L220" s="4"/>
      <c r="M220" s="4"/>
      <c r="N220" s="4"/>
      <c r="O220" s="4"/>
      <c r="P220" s="4"/>
      <c r="Q220" s="4"/>
      <c r="R220" s="4"/>
      <c r="S220" s="4"/>
      <c r="T220" s="4"/>
      <c r="U220" s="4"/>
      <c r="V220" s="58"/>
      <c r="W220" s="58"/>
      <c r="X220" s="58"/>
      <c r="Y220" s="58"/>
      <c r="Z220" s="58"/>
    </row>
    <row r="221" ht="15.75" customHeight="1">
      <c r="A221" s="4"/>
      <c r="B221" s="4"/>
      <c r="C221" s="4"/>
      <c r="D221" s="4"/>
      <c r="E221" s="4"/>
      <c r="F221" s="4"/>
      <c r="G221" s="4"/>
      <c r="H221" s="4"/>
      <c r="I221" s="4"/>
      <c r="J221" s="4"/>
      <c r="K221" s="4"/>
      <c r="L221" s="4"/>
      <c r="M221" s="4"/>
      <c r="N221" s="4"/>
      <c r="O221" s="4"/>
      <c r="P221" s="4"/>
      <c r="Q221" s="4"/>
      <c r="R221" s="4"/>
      <c r="S221" s="4"/>
      <c r="T221" s="4"/>
      <c r="U221" s="4"/>
      <c r="V221" s="58"/>
      <c r="W221" s="58"/>
      <c r="X221" s="58"/>
      <c r="Y221" s="58"/>
      <c r="Z221" s="58"/>
    </row>
    <row r="222" ht="15.75" customHeight="1">
      <c r="A222" s="4"/>
      <c r="B222" s="4"/>
      <c r="C222" s="4"/>
      <c r="D222" s="4"/>
      <c r="E222" s="4"/>
      <c r="F222" s="4"/>
      <c r="G222" s="4"/>
      <c r="H222" s="4"/>
      <c r="I222" s="4"/>
      <c r="J222" s="4"/>
      <c r="K222" s="4"/>
      <c r="L222" s="4"/>
      <c r="M222" s="4"/>
      <c r="N222" s="4"/>
      <c r="O222" s="4"/>
      <c r="P222" s="4"/>
      <c r="Q222" s="4"/>
      <c r="R222" s="4"/>
      <c r="S222" s="4"/>
      <c r="T222" s="4"/>
      <c r="U222" s="4"/>
      <c r="V222" s="58"/>
      <c r="W222" s="58"/>
      <c r="X222" s="58"/>
      <c r="Y222" s="58"/>
      <c r="Z222" s="58"/>
    </row>
    <row r="223" ht="15.75" customHeight="1">
      <c r="A223" s="4"/>
      <c r="B223" s="4"/>
      <c r="C223" s="4"/>
      <c r="D223" s="4"/>
      <c r="E223" s="4"/>
      <c r="F223" s="4"/>
      <c r="G223" s="4"/>
      <c r="H223" s="4"/>
      <c r="I223" s="4"/>
      <c r="J223" s="4"/>
      <c r="K223" s="4"/>
      <c r="L223" s="4"/>
      <c r="M223" s="4"/>
      <c r="N223" s="4"/>
      <c r="O223" s="4"/>
      <c r="P223" s="4"/>
      <c r="Q223" s="4"/>
      <c r="R223" s="4"/>
      <c r="S223" s="4"/>
      <c r="T223" s="4"/>
      <c r="U223" s="4"/>
      <c r="V223" s="58"/>
      <c r="W223" s="58"/>
      <c r="X223" s="58"/>
      <c r="Y223" s="58"/>
      <c r="Z223" s="58"/>
    </row>
    <row r="224" ht="15.75" customHeight="1">
      <c r="A224" s="4"/>
      <c r="B224" s="4"/>
      <c r="C224" s="4"/>
      <c r="D224" s="4"/>
      <c r="E224" s="4"/>
      <c r="F224" s="4"/>
      <c r="G224" s="4"/>
      <c r="H224" s="4"/>
      <c r="I224" s="4"/>
      <c r="J224" s="4"/>
      <c r="K224" s="4"/>
      <c r="L224" s="4"/>
      <c r="M224" s="4"/>
      <c r="N224" s="4"/>
      <c r="O224" s="4"/>
      <c r="P224" s="4"/>
      <c r="Q224" s="4"/>
      <c r="R224" s="4"/>
      <c r="S224" s="4"/>
      <c r="T224" s="4"/>
      <c r="U224" s="4"/>
      <c r="V224" s="58"/>
      <c r="W224" s="58"/>
      <c r="X224" s="58"/>
      <c r="Y224" s="58"/>
      <c r="Z224" s="58"/>
    </row>
    <row r="225" ht="15.75" customHeight="1">
      <c r="A225" s="4"/>
      <c r="B225" s="4"/>
      <c r="C225" s="4"/>
      <c r="D225" s="4"/>
      <c r="E225" s="4"/>
      <c r="F225" s="4"/>
      <c r="G225" s="4"/>
      <c r="H225" s="4"/>
      <c r="I225" s="4"/>
      <c r="J225" s="4"/>
      <c r="K225" s="4"/>
      <c r="L225" s="4"/>
      <c r="M225" s="4"/>
      <c r="N225" s="4"/>
      <c r="O225" s="4"/>
      <c r="P225" s="4"/>
      <c r="Q225" s="4"/>
      <c r="R225" s="4"/>
      <c r="S225" s="4"/>
      <c r="T225" s="4"/>
      <c r="U225" s="4"/>
      <c r="V225" s="58"/>
      <c r="W225" s="58"/>
      <c r="X225" s="58"/>
      <c r="Y225" s="58"/>
      <c r="Z225" s="58"/>
    </row>
    <row r="226" ht="15.75" customHeight="1">
      <c r="A226" s="4"/>
      <c r="B226" s="4"/>
      <c r="C226" s="4"/>
      <c r="D226" s="4"/>
      <c r="E226" s="4"/>
      <c r="F226" s="4"/>
      <c r="G226" s="4"/>
      <c r="H226" s="4"/>
      <c r="I226" s="4"/>
      <c r="J226" s="4"/>
      <c r="K226" s="4"/>
      <c r="L226" s="4"/>
      <c r="M226" s="4"/>
      <c r="N226" s="4"/>
      <c r="O226" s="4"/>
      <c r="P226" s="4"/>
      <c r="Q226" s="4"/>
      <c r="R226" s="4"/>
      <c r="S226" s="4"/>
      <c r="T226" s="4"/>
      <c r="U226" s="4"/>
      <c r="V226" s="58"/>
      <c r="W226" s="58"/>
      <c r="X226" s="58"/>
      <c r="Y226" s="58"/>
      <c r="Z226" s="58"/>
    </row>
    <row r="227" ht="15.75" customHeight="1">
      <c r="A227" s="4"/>
      <c r="B227" s="4"/>
      <c r="C227" s="4"/>
      <c r="D227" s="4"/>
      <c r="E227" s="4"/>
      <c r="F227" s="4"/>
      <c r="G227" s="4"/>
      <c r="H227" s="4"/>
      <c r="I227" s="4"/>
      <c r="J227" s="4"/>
      <c r="K227" s="4"/>
      <c r="L227" s="4"/>
      <c r="M227" s="4"/>
      <c r="N227" s="4"/>
      <c r="O227" s="4"/>
      <c r="P227" s="4"/>
      <c r="Q227" s="4"/>
      <c r="R227" s="4"/>
      <c r="S227" s="4"/>
      <c r="T227" s="4"/>
      <c r="U227" s="4"/>
      <c r="V227" s="58"/>
      <c r="W227" s="58"/>
      <c r="X227" s="58"/>
      <c r="Y227" s="58"/>
      <c r="Z227" s="58"/>
    </row>
    <row r="228" ht="15.75" customHeight="1">
      <c r="A228" s="4"/>
      <c r="B228" s="4"/>
      <c r="C228" s="4"/>
      <c r="D228" s="4"/>
      <c r="E228" s="4"/>
      <c r="F228" s="4"/>
      <c r="G228" s="4"/>
      <c r="H228" s="4"/>
      <c r="I228" s="4"/>
      <c r="J228" s="4"/>
      <c r="K228" s="4"/>
      <c r="L228" s="4"/>
      <c r="M228" s="4"/>
      <c r="N228" s="4"/>
      <c r="O228" s="4"/>
      <c r="P228" s="4"/>
      <c r="Q228" s="4"/>
      <c r="R228" s="4"/>
      <c r="S228" s="4"/>
      <c r="T228" s="4"/>
      <c r="U228" s="4"/>
      <c r="V228" s="58"/>
      <c r="W228" s="58"/>
      <c r="X228" s="58"/>
      <c r="Y228" s="58"/>
      <c r="Z228" s="58"/>
    </row>
    <row r="229" ht="15.75" customHeight="1">
      <c r="A229" s="4"/>
      <c r="B229" s="4"/>
      <c r="C229" s="4"/>
      <c r="D229" s="4"/>
      <c r="E229" s="4"/>
      <c r="F229" s="4"/>
      <c r="G229" s="4"/>
      <c r="H229" s="4"/>
      <c r="I229" s="4"/>
      <c r="J229" s="4"/>
      <c r="K229" s="4"/>
      <c r="L229" s="4"/>
      <c r="M229" s="4"/>
      <c r="N229" s="4"/>
      <c r="O229" s="4"/>
      <c r="P229" s="4"/>
      <c r="Q229" s="4"/>
      <c r="R229" s="4"/>
      <c r="S229" s="4"/>
      <c r="T229" s="4"/>
      <c r="U229" s="4"/>
      <c r="V229" s="58"/>
      <c r="W229" s="58"/>
      <c r="X229" s="58"/>
      <c r="Y229" s="58"/>
      <c r="Z229" s="58"/>
    </row>
    <row r="230" ht="15.75" customHeight="1">
      <c r="A230" s="4"/>
      <c r="B230" s="4"/>
      <c r="C230" s="4"/>
      <c r="D230" s="4"/>
      <c r="E230" s="4"/>
      <c r="F230" s="4"/>
      <c r="G230" s="4"/>
      <c r="H230" s="4"/>
      <c r="I230" s="4"/>
      <c r="J230" s="4"/>
      <c r="K230" s="4"/>
      <c r="L230" s="4"/>
      <c r="M230" s="4"/>
      <c r="N230" s="4"/>
      <c r="O230" s="4"/>
      <c r="P230" s="4"/>
      <c r="Q230" s="4"/>
      <c r="R230" s="4"/>
      <c r="S230" s="4"/>
      <c r="T230" s="4"/>
      <c r="U230" s="4"/>
      <c r="V230" s="58"/>
      <c r="W230" s="58"/>
      <c r="X230" s="58"/>
      <c r="Y230" s="58"/>
      <c r="Z230" s="58"/>
    </row>
    <row r="231" ht="15.75" customHeight="1">
      <c r="A231" s="4"/>
      <c r="B231" s="4"/>
      <c r="C231" s="4"/>
      <c r="D231" s="4"/>
      <c r="E231" s="4"/>
      <c r="F231" s="4"/>
      <c r="G231" s="4"/>
      <c r="H231" s="4"/>
      <c r="I231" s="4"/>
      <c r="J231" s="4"/>
      <c r="K231" s="4"/>
      <c r="L231" s="4"/>
      <c r="M231" s="4"/>
      <c r="N231" s="4"/>
      <c r="O231" s="4"/>
      <c r="P231" s="4"/>
      <c r="Q231" s="4"/>
      <c r="R231" s="4"/>
      <c r="S231" s="4"/>
      <c r="T231" s="4"/>
      <c r="U231" s="4"/>
      <c r="V231" s="58"/>
      <c r="W231" s="58"/>
      <c r="X231" s="58"/>
      <c r="Y231" s="58"/>
      <c r="Z231" s="58"/>
    </row>
    <row r="232" ht="15.75" customHeight="1">
      <c r="A232" s="4"/>
      <c r="B232" s="4"/>
      <c r="C232" s="4"/>
      <c r="D232" s="4"/>
      <c r="E232" s="4"/>
      <c r="F232" s="4"/>
      <c r="G232" s="4"/>
      <c r="H232" s="4"/>
      <c r="I232" s="4"/>
      <c r="J232" s="4"/>
      <c r="K232" s="4"/>
      <c r="L232" s="4"/>
      <c r="M232" s="4"/>
      <c r="N232" s="4"/>
      <c r="O232" s="4"/>
      <c r="P232" s="4"/>
      <c r="Q232" s="4"/>
      <c r="R232" s="4"/>
      <c r="S232" s="4"/>
      <c r="T232" s="4"/>
      <c r="U232" s="4"/>
      <c r="V232" s="58"/>
      <c r="W232" s="58"/>
      <c r="X232" s="58"/>
      <c r="Y232" s="58"/>
      <c r="Z232" s="58"/>
    </row>
    <row r="233" ht="15.75" customHeight="1">
      <c r="A233" s="4"/>
      <c r="B233" s="4"/>
      <c r="C233" s="4"/>
      <c r="D233" s="4"/>
      <c r="E233" s="4"/>
      <c r="F233" s="4"/>
      <c r="G233" s="4"/>
      <c r="H233" s="4"/>
      <c r="I233" s="4"/>
      <c r="J233" s="4"/>
      <c r="K233" s="4"/>
      <c r="L233" s="4"/>
      <c r="M233" s="4"/>
      <c r="N233" s="4"/>
      <c r="O233" s="4"/>
      <c r="P233" s="4"/>
      <c r="Q233" s="4"/>
      <c r="R233" s="4"/>
      <c r="S233" s="4"/>
      <c r="T233" s="4"/>
      <c r="U233" s="4"/>
      <c r="V233" s="58"/>
      <c r="W233" s="58"/>
      <c r="X233" s="58"/>
      <c r="Y233" s="58"/>
      <c r="Z233" s="58"/>
    </row>
    <row r="234" ht="15.75" customHeight="1">
      <c r="A234" s="4"/>
      <c r="B234" s="4"/>
      <c r="C234" s="4"/>
      <c r="D234" s="4"/>
      <c r="E234" s="4"/>
      <c r="F234" s="4"/>
      <c r="G234" s="4"/>
      <c r="H234" s="4"/>
      <c r="I234" s="4"/>
      <c r="J234" s="4"/>
      <c r="K234" s="4"/>
      <c r="L234" s="4"/>
      <c r="M234" s="4"/>
      <c r="N234" s="4"/>
      <c r="O234" s="4"/>
      <c r="P234" s="4"/>
      <c r="Q234" s="4"/>
      <c r="R234" s="4"/>
      <c r="S234" s="4"/>
      <c r="T234" s="4"/>
      <c r="U234" s="4"/>
      <c r="V234" s="58"/>
      <c r="W234" s="58"/>
      <c r="X234" s="58"/>
      <c r="Y234" s="58"/>
      <c r="Z234" s="58"/>
    </row>
    <row r="235" ht="15.75" customHeight="1">
      <c r="A235" s="4"/>
      <c r="B235" s="4"/>
      <c r="C235" s="4"/>
      <c r="D235" s="4"/>
      <c r="E235" s="4"/>
      <c r="F235" s="4"/>
      <c r="G235" s="4"/>
      <c r="H235" s="4"/>
      <c r="I235" s="4"/>
      <c r="J235" s="4"/>
      <c r="K235" s="4"/>
      <c r="L235" s="4"/>
      <c r="M235" s="4"/>
      <c r="N235" s="4"/>
      <c r="O235" s="4"/>
      <c r="P235" s="4"/>
      <c r="Q235" s="4"/>
      <c r="R235" s="4"/>
      <c r="S235" s="4"/>
      <c r="T235" s="4"/>
      <c r="U235" s="4"/>
      <c r="V235" s="58"/>
      <c r="W235" s="58"/>
      <c r="X235" s="58"/>
      <c r="Y235" s="58"/>
      <c r="Z235" s="58"/>
    </row>
    <row r="236" ht="15.75" customHeight="1">
      <c r="A236" s="4"/>
      <c r="B236" s="4"/>
      <c r="C236" s="4"/>
      <c r="D236" s="4"/>
      <c r="E236" s="4"/>
      <c r="F236" s="4"/>
      <c r="G236" s="4"/>
      <c r="H236" s="4"/>
      <c r="I236" s="4"/>
      <c r="J236" s="4"/>
      <c r="K236" s="4"/>
      <c r="L236" s="4"/>
      <c r="M236" s="4"/>
      <c r="N236" s="4"/>
      <c r="O236" s="4"/>
      <c r="P236" s="4"/>
      <c r="Q236" s="4"/>
      <c r="R236" s="4"/>
      <c r="S236" s="4"/>
      <c r="T236" s="4"/>
      <c r="U236" s="4"/>
      <c r="V236" s="58"/>
      <c r="W236" s="58"/>
      <c r="X236" s="58"/>
      <c r="Y236" s="58"/>
      <c r="Z236" s="58"/>
    </row>
    <row r="237" ht="15.75" customHeight="1">
      <c r="A237" s="4"/>
      <c r="B237" s="4"/>
      <c r="C237" s="4"/>
      <c r="D237" s="4"/>
      <c r="E237" s="4"/>
      <c r="F237" s="4"/>
      <c r="G237" s="4"/>
      <c r="H237" s="4"/>
      <c r="I237" s="4"/>
      <c r="J237" s="4"/>
      <c r="K237" s="4"/>
      <c r="L237" s="4"/>
      <c r="M237" s="4"/>
      <c r="N237" s="4"/>
      <c r="O237" s="4"/>
      <c r="P237" s="4"/>
      <c r="Q237" s="4"/>
      <c r="R237" s="4"/>
      <c r="S237" s="4"/>
      <c r="T237" s="4"/>
      <c r="U237" s="4"/>
      <c r="V237" s="58"/>
      <c r="W237" s="58"/>
      <c r="X237" s="58"/>
      <c r="Y237" s="58"/>
      <c r="Z237" s="58"/>
    </row>
    <row r="238" ht="15.75" customHeight="1">
      <c r="A238" s="4"/>
      <c r="B238" s="4"/>
      <c r="C238" s="4"/>
      <c r="D238" s="4"/>
      <c r="E238" s="4"/>
      <c r="F238" s="4"/>
      <c r="G238" s="4"/>
      <c r="H238" s="4"/>
      <c r="I238" s="4"/>
      <c r="J238" s="4"/>
      <c r="K238" s="4"/>
      <c r="L238" s="4"/>
      <c r="M238" s="4"/>
      <c r="N238" s="4"/>
      <c r="O238" s="4"/>
      <c r="P238" s="4"/>
      <c r="Q238" s="4"/>
      <c r="R238" s="4"/>
      <c r="S238" s="4"/>
      <c r="T238" s="4"/>
      <c r="U238" s="4"/>
      <c r="V238" s="58"/>
      <c r="W238" s="58"/>
      <c r="X238" s="58"/>
      <c r="Y238" s="58"/>
      <c r="Z238" s="58"/>
    </row>
    <row r="239" ht="15.75" customHeight="1">
      <c r="A239" s="4"/>
      <c r="B239" s="4"/>
      <c r="C239" s="4"/>
      <c r="D239" s="4"/>
      <c r="E239" s="4"/>
      <c r="F239" s="4"/>
      <c r="G239" s="4"/>
      <c r="H239" s="4"/>
      <c r="I239" s="4"/>
      <c r="J239" s="4"/>
      <c r="K239" s="4"/>
      <c r="L239" s="4"/>
      <c r="M239" s="4"/>
      <c r="N239" s="4"/>
      <c r="O239" s="4"/>
      <c r="P239" s="4"/>
      <c r="Q239" s="4"/>
      <c r="R239" s="4"/>
      <c r="S239" s="4"/>
      <c r="T239" s="4"/>
      <c r="U239" s="4"/>
      <c r="V239" s="58"/>
      <c r="W239" s="58"/>
      <c r="X239" s="58"/>
      <c r="Y239" s="58"/>
      <c r="Z239" s="58"/>
    </row>
    <row r="240" ht="15.75" customHeight="1">
      <c r="A240" s="4"/>
      <c r="B240" s="4"/>
      <c r="C240" s="4"/>
      <c r="D240" s="4"/>
      <c r="E240" s="4"/>
      <c r="F240" s="4"/>
      <c r="G240" s="4"/>
      <c r="H240" s="4"/>
      <c r="I240" s="4"/>
      <c r="J240" s="4"/>
      <c r="K240" s="4"/>
      <c r="L240" s="4"/>
      <c r="M240" s="4"/>
      <c r="N240" s="4"/>
      <c r="O240" s="4"/>
      <c r="P240" s="4"/>
      <c r="Q240" s="4"/>
      <c r="R240" s="4"/>
      <c r="S240" s="4"/>
      <c r="T240" s="4"/>
      <c r="U240" s="4"/>
      <c r="V240" s="58"/>
      <c r="W240" s="58"/>
      <c r="X240" s="58"/>
      <c r="Y240" s="58"/>
      <c r="Z240" s="58"/>
    </row>
    <row r="241" ht="15.75" customHeight="1">
      <c r="A241" s="4"/>
      <c r="B241" s="4"/>
      <c r="C241" s="4"/>
      <c r="D241" s="4"/>
      <c r="E241" s="4"/>
      <c r="F241" s="4"/>
      <c r="G241" s="4"/>
      <c r="H241" s="4"/>
      <c r="I241" s="4"/>
      <c r="J241" s="4"/>
      <c r="K241" s="4"/>
      <c r="L241" s="4"/>
      <c r="M241" s="4"/>
      <c r="N241" s="4"/>
      <c r="O241" s="4"/>
      <c r="P241" s="4"/>
      <c r="Q241" s="4"/>
      <c r="R241" s="4"/>
      <c r="S241" s="4"/>
      <c r="T241" s="4"/>
      <c r="U241" s="4"/>
      <c r="V241" s="58"/>
      <c r="W241" s="58"/>
      <c r="X241" s="58"/>
      <c r="Y241" s="58"/>
      <c r="Z241" s="58"/>
    </row>
    <row r="242" ht="15.75" customHeight="1">
      <c r="A242" s="4"/>
      <c r="B242" s="4"/>
      <c r="C242" s="4"/>
      <c r="D242" s="4"/>
      <c r="E242" s="4"/>
      <c r="F242" s="4"/>
      <c r="G242" s="4"/>
      <c r="H242" s="4"/>
      <c r="I242" s="4"/>
      <c r="J242" s="4"/>
      <c r="K242" s="4"/>
      <c r="L242" s="4"/>
      <c r="M242" s="4"/>
      <c r="N242" s="4"/>
      <c r="O242" s="4"/>
      <c r="P242" s="4"/>
      <c r="Q242" s="4"/>
      <c r="R242" s="4"/>
      <c r="S242" s="4"/>
      <c r="T242" s="4"/>
      <c r="U242" s="4"/>
      <c r="V242" s="58"/>
      <c r="W242" s="58"/>
      <c r="X242" s="58"/>
      <c r="Y242" s="58"/>
      <c r="Z242" s="58"/>
    </row>
    <row r="243" ht="15.75" customHeight="1">
      <c r="A243" s="4"/>
      <c r="B243" s="4"/>
      <c r="C243" s="4"/>
      <c r="D243" s="4"/>
      <c r="E243" s="4"/>
      <c r="F243" s="4"/>
      <c r="G243" s="4"/>
      <c r="H243" s="4"/>
      <c r="I243" s="4"/>
      <c r="J243" s="4"/>
      <c r="K243" s="4"/>
      <c r="L243" s="4"/>
      <c r="M243" s="4"/>
      <c r="N243" s="4"/>
      <c r="O243" s="4"/>
      <c r="P243" s="4"/>
      <c r="Q243" s="4"/>
      <c r="R243" s="4"/>
      <c r="S243" s="4"/>
      <c r="T243" s="4"/>
      <c r="U243" s="4"/>
      <c r="V243" s="58"/>
      <c r="W243" s="58"/>
      <c r="X243" s="58"/>
      <c r="Y243" s="58"/>
      <c r="Z243" s="58"/>
    </row>
    <row r="244" ht="15.75" customHeight="1">
      <c r="A244" s="4"/>
      <c r="B244" s="4"/>
      <c r="C244" s="4"/>
      <c r="D244" s="4"/>
      <c r="E244" s="4"/>
      <c r="F244" s="4"/>
      <c r="G244" s="4"/>
      <c r="H244" s="4"/>
      <c r="I244" s="4"/>
      <c r="J244" s="4"/>
      <c r="K244" s="4"/>
      <c r="L244" s="4"/>
      <c r="M244" s="4"/>
      <c r="N244" s="4"/>
      <c r="O244" s="4"/>
      <c r="P244" s="4"/>
      <c r="Q244" s="4"/>
      <c r="R244" s="4"/>
      <c r="S244" s="4"/>
      <c r="T244" s="4"/>
      <c r="U244" s="4"/>
      <c r="V244" s="58"/>
      <c r="W244" s="58"/>
      <c r="X244" s="58"/>
      <c r="Y244" s="58"/>
      <c r="Z244" s="58"/>
    </row>
    <row r="245" ht="15.75" customHeight="1">
      <c r="A245" s="4"/>
      <c r="B245" s="4"/>
      <c r="C245" s="4"/>
      <c r="D245" s="4"/>
      <c r="E245" s="4"/>
      <c r="F245" s="4"/>
      <c r="G245" s="4"/>
      <c r="H245" s="4"/>
      <c r="I245" s="4"/>
      <c r="J245" s="4"/>
      <c r="K245" s="4"/>
      <c r="L245" s="4"/>
      <c r="M245" s="4"/>
      <c r="N245" s="4"/>
      <c r="O245" s="4"/>
      <c r="P245" s="4"/>
      <c r="Q245" s="4"/>
      <c r="R245" s="4"/>
      <c r="S245" s="4"/>
      <c r="T245" s="4"/>
      <c r="U245" s="4"/>
      <c r="V245" s="58"/>
      <c r="W245" s="58"/>
      <c r="X245" s="58"/>
      <c r="Y245" s="58"/>
      <c r="Z245" s="58"/>
    </row>
    <row r="246" ht="15.75" customHeight="1">
      <c r="A246" s="4"/>
      <c r="B246" s="4"/>
      <c r="C246" s="4"/>
      <c r="D246" s="4"/>
      <c r="E246" s="4"/>
      <c r="F246" s="4"/>
      <c r="G246" s="4"/>
      <c r="H246" s="4"/>
      <c r="I246" s="4"/>
      <c r="J246" s="4"/>
      <c r="K246" s="4"/>
      <c r="L246" s="4"/>
      <c r="M246" s="4"/>
      <c r="N246" s="4"/>
      <c r="O246" s="4"/>
      <c r="P246" s="4"/>
      <c r="Q246" s="4"/>
      <c r="R246" s="4"/>
      <c r="S246" s="4"/>
      <c r="T246" s="4"/>
      <c r="U246" s="4"/>
      <c r="V246" s="58"/>
      <c r="W246" s="58"/>
      <c r="X246" s="58"/>
      <c r="Y246" s="58"/>
      <c r="Z246" s="58"/>
    </row>
    <row r="247" ht="15.75" customHeight="1">
      <c r="A247" s="4"/>
      <c r="B247" s="4"/>
      <c r="C247" s="4"/>
      <c r="D247" s="4"/>
      <c r="E247" s="4"/>
      <c r="F247" s="4"/>
      <c r="G247" s="4"/>
      <c r="H247" s="4"/>
      <c r="I247" s="4"/>
      <c r="J247" s="4"/>
      <c r="K247" s="4"/>
      <c r="L247" s="4"/>
      <c r="M247" s="4"/>
      <c r="N247" s="4"/>
      <c r="O247" s="4"/>
      <c r="P247" s="4"/>
      <c r="Q247" s="4"/>
      <c r="R247" s="4"/>
      <c r="S247" s="4"/>
      <c r="T247" s="4"/>
      <c r="U247" s="4"/>
      <c r="V247" s="58"/>
      <c r="W247" s="58"/>
      <c r="X247" s="58"/>
      <c r="Y247" s="58"/>
      <c r="Z247" s="58"/>
    </row>
    <row r="248" ht="15.75" customHeight="1">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row>
    <row r="249" ht="15.75" customHeight="1">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row>
    <row r="250" ht="15.75" customHeight="1">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row>
    <row r="251" ht="15.75" customHeight="1">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row>
    <row r="252" ht="15.75" customHeight="1">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row>
    <row r="253" ht="15.75" customHeight="1">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row>
    <row r="254" ht="15.75" customHeight="1">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row>
    <row r="255" ht="15.75" customHeight="1">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row>
    <row r="256" ht="15.75" customHeight="1">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row>
    <row r="257" ht="15.75" customHeight="1">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row>
    <row r="258" ht="15.75" customHeight="1">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row>
    <row r="259" ht="15.75" customHeight="1">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row>
    <row r="260" ht="15.75" customHeight="1">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row>
    <row r="261" ht="15.75" customHeight="1">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row>
    <row r="262" ht="15.75" customHeight="1">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row>
    <row r="263" ht="15.75" customHeight="1">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row>
    <row r="264" ht="15.75" customHeight="1">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row>
    <row r="265" ht="15.75" customHeight="1">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row>
    <row r="266" ht="15.75" customHeight="1">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row>
    <row r="267" ht="15.75" customHeight="1">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row>
    <row r="268" ht="15.75" customHeight="1">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row>
    <row r="269" ht="15.75" customHeight="1">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row>
    <row r="270" ht="15.75" customHeight="1">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row>
    <row r="271" ht="15.75" customHeight="1">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row>
    <row r="272" ht="15.75" customHeight="1">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row>
    <row r="273" ht="15.75" customHeight="1">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row>
    <row r="274" ht="15.75" customHeight="1">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row>
    <row r="275" ht="15.75" customHeight="1">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row>
    <row r="276" ht="15.75" customHeight="1">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row>
    <row r="277" ht="15.75" customHeight="1">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row>
    <row r="278" ht="15.75" customHeight="1">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row>
    <row r="279" ht="15.75" customHeight="1">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row>
    <row r="280" ht="15.75" customHeight="1">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row>
    <row r="281" ht="15.75" customHeight="1">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row>
    <row r="282" ht="15.75" customHeight="1">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row>
    <row r="283" ht="15.75" customHeight="1">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row>
    <row r="284" ht="15.75" customHeight="1">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row>
    <row r="285" ht="15.75" customHeight="1">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row>
    <row r="286" ht="15.75" customHeight="1">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row>
    <row r="287" ht="15.75" customHeight="1">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row>
    <row r="288" ht="15.75" customHeight="1">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row>
    <row r="289" ht="15.75" customHeight="1">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row>
    <row r="290" ht="15.75" customHeight="1">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row>
    <row r="291" ht="15.75" customHeight="1">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row>
    <row r="292" ht="15.75" customHeight="1">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row>
    <row r="293" ht="15.75" customHeight="1">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row>
    <row r="294" ht="15.75" customHeight="1">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row>
    <row r="295" ht="15.75" customHeight="1">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row>
    <row r="296" ht="15.75" customHeight="1">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row>
    <row r="297" ht="15.75" customHeight="1">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row>
    <row r="298" ht="15.75" customHeight="1">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row>
    <row r="299" ht="15.75" customHeight="1">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row>
    <row r="300" ht="15.75" customHeight="1">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row>
    <row r="301" ht="15.75" customHeight="1">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row>
    <row r="302" ht="15.75" customHeight="1">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row>
    <row r="303" ht="15.75" customHeight="1">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row>
    <row r="304" ht="15.75" customHeight="1">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row>
    <row r="305" ht="15.75" customHeight="1">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row>
    <row r="306" ht="15.75" customHeight="1">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row>
    <row r="307" ht="15.75" customHeight="1">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row>
    <row r="308" ht="15.75" customHeight="1">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row>
    <row r="309" ht="15.75" customHeight="1">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row>
    <row r="310" ht="15.75" customHeight="1">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row>
    <row r="311" ht="15.75" customHeight="1">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row>
    <row r="312" ht="15.75" customHeight="1">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row>
    <row r="313" ht="15.75" customHeight="1">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row>
    <row r="314" ht="15.75" customHeight="1">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row>
    <row r="315" ht="15.75" customHeight="1">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row>
    <row r="316" ht="15.75" customHeight="1">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row>
    <row r="317" ht="15.75" customHeight="1">
      <c r="A317" s="58"/>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row>
    <row r="318" ht="15.75" customHeight="1">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row>
    <row r="319" ht="15.75" customHeight="1">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row>
    <row r="320" ht="15.75" customHeight="1">
      <c r="A320" s="58"/>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row>
    <row r="321" ht="15.75" customHeight="1">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row>
    <row r="322" ht="15.75" customHeight="1">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row>
    <row r="323" ht="15.75" customHeight="1">
      <c r="A323" s="58"/>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row>
    <row r="324" ht="15.75" customHeight="1">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row>
    <row r="325" ht="15.75" customHeight="1">
      <c r="A325" s="58"/>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row>
    <row r="326" ht="15.75" customHeight="1">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row>
    <row r="327" ht="15.75" customHeight="1">
      <c r="A327" s="58"/>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row>
    <row r="328" ht="15.75" customHeight="1">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row>
    <row r="329" ht="15.75" customHeight="1">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row>
    <row r="330" ht="15.75" customHeight="1">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row>
    <row r="331" ht="15.75" customHeight="1">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row>
    <row r="332" ht="15.75" customHeight="1">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row>
    <row r="333" ht="15.75" customHeight="1">
      <c r="A333" s="58"/>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row>
    <row r="334" ht="15.75" customHeight="1">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row>
    <row r="335" ht="15.75" customHeight="1">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row>
    <row r="336" ht="15.75" customHeight="1">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row>
    <row r="337" ht="15.75" customHeight="1">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row>
    <row r="338" ht="15.75" customHeight="1">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row>
    <row r="339" ht="15.75" customHeight="1">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row>
    <row r="340" ht="15.75" customHeight="1">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row>
    <row r="341" ht="15.75" customHeight="1">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row>
    <row r="342" ht="15.75" customHeight="1">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row>
    <row r="343" ht="15.75" customHeight="1">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row>
    <row r="344" ht="15.75" customHeight="1">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row>
    <row r="345" ht="15.75" customHeight="1">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row>
    <row r="346" ht="15.75" customHeight="1">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row>
    <row r="347" ht="15.75" customHeight="1">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row>
    <row r="348" ht="15.75" customHeight="1">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row>
    <row r="349" ht="15.75" customHeight="1">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row>
    <row r="350" ht="15.75" customHeight="1">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row>
    <row r="351" ht="15.75" customHeight="1">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row>
    <row r="352" ht="15.75" customHeight="1">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row>
    <row r="353" ht="15.75" customHeight="1">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row>
    <row r="354" ht="15.75" customHeight="1">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row>
    <row r="355" ht="15.75" customHeight="1">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row>
    <row r="356" ht="15.75" customHeight="1">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row>
    <row r="357" ht="15.75" customHeight="1">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row>
    <row r="358" ht="15.75" customHeight="1">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row>
    <row r="359" ht="15.75" customHeight="1">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row>
    <row r="360" ht="15.75" customHeight="1">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row>
    <row r="361" ht="15.75" customHeight="1">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row>
    <row r="362" ht="15.75" customHeight="1">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row>
    <row r="363" ht="15.75" customHeight="1">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row>
    <row r="364" ht="15.75" customHeight="1">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row>
    <row r="365" ht="15.75" customHeight="1">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row>
    <row r="366" ht="15.75" customHeight="1">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row>
    <row r="367" ht="15.75" customHeight="1">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row>
    <row r="368" ht="15.75" customHeight="1">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row>
    <row r="369" ht="15.75" customHeight="1">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row>
    <row r="370" ht="15.75" customHeight="1">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row>
    <row r="371" ht="15.75" customHeight="1">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row>
    <row r="372" ht="15.75" customHeight="1">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row>
    <row r="373" ht="15.75" customHeight="1">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row>
    <row r="374" ht="15.75" customHeight="1">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row>
    <row r="375" ht="15.75" customHeight="1">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row>
    <row r="376" ht="15.75" customHeight="1">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row>
    <row r="377" ht="15.75" customHeight="1">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row>
    <row r="378" ht="15.75" customHeight="1">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row>
    <row r="379" ht="15.75" customHeight="1">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row>
    <row r="380" ht="15.75" customHeight="1">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row>
    <row r="381" ht="15.75" customHeight="1">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row>
    <row r="382" ht="15.75" customHeight="1">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row>
    <row r="383" ht="15.75" customHeight="1">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row>
    <row r="384" ht="15.75" customHeight="1">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row>
    <row r="385" ht="15.75" customHeight="1">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row>
    <row r="386" ht="15.75" customHeight="1">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row>
    <row r="387" ht="15.75" customHeight="1">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row>
    <row r="388" ht="15.75" customHeight="1">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row>
    <row r="389" ht="15.75" customHeight="1">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row>
    <row r="390" ht="15.75" customHeight="1">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row>
    <row r="391" ht="15.75" customHeight="1">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row>
    <row r="392" ht="15.75" customHeight="1">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row>
    <row r="393" ht="15.75" customHeight="1">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row>
    <row r="394" ht="15.75" customHeight="1">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row>
    <row r="395" ht="15.75" customHeight="1">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row>
    <row r="396" ht="15.75" customHeight="1">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row>
    <row r="397" ht="15.75" customHeight="1">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row>
    <row r="398" ht="15.75" customHeight="1">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row>
    <row r="399" ht="15.75" customHeight="1">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row>
    <row r="400" ht="15.75" customHeight="1">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row>
    <row r="401" ht="15.75" customHeight="1">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row>
    <row r="402" ht="15.75" customHeight="1">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row>
    <row r="403" ht="15.75" customHeight="1">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row>
    <row r="404" ht="15.75" customHeight="1">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row>
    <row r="405" ht="15.75" customHeight="1">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row>
    <row r="406" ht="15.75" customHeight="1">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row>
    <row r="407" ht="15.75" customHeight="1">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row>
    <row r="408" ht="15.75" customHeight="1">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row>
    <row r="409" ht="15.75" customHeight="1">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row>
    <row r="410" ht="15.75" customHeight="1">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row>
    <row r="411" ht="15.75" customHeight="1">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row>
    <row r="412" ht="15.75" customHeight="1">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row>
    <row r="413" ht="15.75" customHeight="1">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row>
    <row r="414" ht="15.75" customHeight="1">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row>
    <row r="415" ht="15.75" customHeight="1">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row>
    <row r="416" ht="15.75" customHeight="1">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row>
    <row r="417" ht="15.75" customHeight="1">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row>
    <row r="418" ht="15.75" customHeight="1">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row>
    <row r="419" ht="15.75" customHeight="1">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row>
    <row r="420" ht="15.75" customHeight="1">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row>
    <row r="421" ht="15.75" customHeight="1">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row>
    <row r="422" ht="15.75" customHeight="1">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row>
    <row r="423" ht="15.75" customHeight="1">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row>
    <row r="424" ht="15.75" customHeight="1">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row>
    <row r="425" ht="15.75" customHeight="1">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row>
    <row r="426" ht="15.75" customHeight="1">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row>
    <row r="427" ht="15.75" customHeight="1">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row>
    <row r="428" ht="15.75" customHeight="1">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row>
    <row r="429" ht="15.75" customHeight="1">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row>
    <row r="430" ht="15.75" customHeight="1">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row>
    <row r="431" ht="15.75" customHeight="1">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row>
    <row r="432" ht="15.75" customHeight="1">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row>
    <row r="433" ht="15.75" customHeight="1">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row>
    <row r="434" ht="15.75" customHeight="1">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row>
    <row r="435" ht="15.75" customHeight="1">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row>
    <row r="436" ht="15.75" customHeight="1">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row>
    <row r="437" ht="15.75" customHeight="1">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row>
    <row r="438" ht="15.75" customHeight="1">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row>
    <row r="439" ht="15.75" customHeight="1">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row>
    <row r="440" ht="15.75" customHeight="1">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row>
    <row r="441" ht="15.75" customHeight="1">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row>
    <row r="442" ht="15.75" customHeight="1">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row>
    <row r="443" ht="15.75" customHeight="1">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row>
    <row r="444" ht="15.75" customHeight="1">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row>
    <row r="445" ht="15.75" customHeight="1">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row>
    <row r="446" ht="15.75" customHeight="1">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row>
    <row r="447" ht="15.75" customHeight="1">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row>
    <row r="448" ht="15.75" customHeight="1">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row>
    <row r="449" ht="15.75" customHeight="1">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row>
    <row r="450" ht="15.75" customHeight="1">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row>
    <row r="451" ht="15.75" customHeight="1">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row>
    <row r="452" ht="15.75" customHeight="1">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row>
    <row r="453" ht="15.75" customHeight="1">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row>
    <row r="454" ht="15.75" customHeight="1">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row>
    <row r="455" ht="15.75" customHeight="1">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row>
    <row r="456" ht="15.75" customHeight="1">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row>
    <row r="457" ht="15.75" customHeight="1">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row>
    <row r="458" ht="15.75" customHeight="1">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row>
    <row r="459" ht="15.75" customHeight="1">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row>
    <row r="460" ht="15.75" customHeight="1">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row>
    <row r="461" ht="15.75" customHeight="1">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row>
    <row r="462" ht="15.75" customHeight="1">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row>
    <row r="463" ht="15.75" customHeight="1">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row>
    <row r="464" ht="15.75" customHeight="1">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row>
    <row r="465" ht="15.75" customHeight="1">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row>
    <row r="466" ht="15.75" customHeight="1">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row>
    <row r="467" ht="15.75" customHeight="1">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row>
    <row r="468" ht="15.75" customHeight="1">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row>
    <row r="469" ht="15.75" customHeight="1">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row>
    <row r="470" ht="15.75" customHeight="1">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row>
    <row r="471" ht="15.75" customHeight="1">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row>
    <row r="472" ht="15.75" customHeight="1">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row>
    <row r="473" ht="15.75" customHeight="1">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row>
    <row r="474" ht="15.75" customHeight="1">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row>
    <row r="475" ht="15.75" customHeight="1">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row>
    <row r="476" ht="15.75" customHeight="1">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row>
    <row r="477" ht="15.75" customHeight="1">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row>
    <row r="478" ht="15.75" customHeight="1">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row>
    <row r="479" ht="15.75" customHeight="1">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row>
    <row r="480" ht="15.75" customHeight="1">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row>
    <row r="481" ht="15.75" customHeight="1">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row>
    <row r="482" ht="15.75" customHeight="1">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row>
    <row r="483" ht="15.75" customHeight="1">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row>
    <row r="484" ht="15.75" customHeight="1">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row>
    <row r="485" ht="15.75" customHeight="1">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row>
    <row r="486" ht="15.75" customHeight="1">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row>
    <row r="487" ht="15.75" customHeight="1">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row>
    <row r="488" ht="15.75" customHeight="1">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row>
    <row r="489" ht="15.75" customHeight="1">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row>
    <row r="490" ht="15.75" customHeight="1">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row>
    <row r="491" ht="15.75" customHeight="1">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row>
    <row r="492" ht="15.75" customHeight="1">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row>
    <row r="493" ht="15.75" customHeight="1">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row>
    <row r="494" ht="15.75" customHeight="1">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row>
    <row r="495" ht="15.75" customHeight="1">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row>
    <row r="496" ht="15.75" customHeight="1">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row>
    <row r="497" ht="15.75" customHeight="1">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row>
    <row r="498" ht="15.75" customHeight="1">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row>
    <row r="499" ht="15.75" customHeight="1">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row>
    <row r="500" ht="15.75" customHeight="1">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row>
    <row r="501" ht="15.75" customHeight="1">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row>
    <row r="502" ht="15.75" customHeight="1">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row>
    <row r="503" ht="15.75" customHeight="1">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row>
    <row r="504" ht="15.75" customHeight="1">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row>
    <row r="505" ht="15.75" customHeight="1">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row>
    <row r="506" ht="15.75" customHeight="1">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row>
    <row r="507" ht="15.75" customHeight="1">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row>
    <row r="508" ht="15.75" customHeight="1">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row>
    <row r="509" ht="15.75" customHeight="1">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row>
    <row r="510" ht="15.75" customHeight="1">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row>
    <row r="511" ht="15.75" customHeight="1">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row>
    <row r="512" ht="15.75" customHeight="1">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row>
    <row r="513" ht="15.75" customHeight="1">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row>
    <row r="514" ht="15.75" customHeight="1">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row>
    <row r="515" ht="15.75" customHeight="1">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row>
    <row r="516" ht="15.75" customHeight="1">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row>
    <row r="517" ht="15.75" customHeight="1">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row>
    <row r="518" ht="15.75" customHeight="1">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row>
    <row r="519" ht="15.75" customHeight="1">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row>
    <row r="520" ht="15.75" customHeight="1">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row>
    <row r="521" ht="15.75" customHeight="1">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row>
    <row r="522" ht="15.75" customHeight="1">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row>
    <row r="523" ht="15.75" customHeight="1">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row>
    <row r="524" ht="15.75" customHeight="1">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row>
    <row r="525" ht="15.75" customHeight="1">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row>
    <row r="526" ht="15.75" customHeight="1">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row>
    <row r="527" ht="15.75" customHeight="1">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row>
    <row r="528" ht="15.75" customHeight="1">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row>
    <row r="529" ht="15.75" customHeight="1">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row>
    <row r="530" ht="15.75" customHeight="1">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row>
    <row r="531" ht="15.75" customHeight="1">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row>
    <row r="532" ht="15.75" customHeight="1">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row>
    <row r="533" ht="15.75" customHeight="1">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row>
    <row r="534" ht="15.75" customHeight="1">
      <c r="A534" s="58"/>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row>
    <row r="535" ht="15.75" customHeight="1">
      <c r="A535" s="58"/>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row>
    <row r="536" ht="15.75" customHeight="1">
      <c r="A536" s="58"/>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row>
    <row r="537" ht="15.75" customHeight="1">
      <c r="A537" s="58"/>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row>
    <row r="538" ht="15.75" customHeight="1">
      <c r="A538" s="58"/>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row>
    <row r="539" ht="15.75" customHeight="1">
      <c r="A539" s="58"/>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row>
    <row r="540" ht="15.75" customHeight="1">
      <c r="A540" s="58"/>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row>
    <row r="541" ht="15.75" customHeight="1">
      <c r="A541" s="58"/>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row>
    <row r="542" ht="15.75" customHeight="1">
      <c r="A542" s="58"/>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row>
    <row r="543" ht="15.75" customHeight="1">
      <c r="A543" s="58"/>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row>
    <row r="544" ht="15.75" customHeight="1">
      <c r="A544" s="58"/>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row>
    <row r="545" ht="15.75" customHeight="1">
      <c r="A545" s="58"/>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row>
    <row r="546" ht="15.75" customHeight="1">
      <c r="A546" s="58"/>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row>
    <row r="547" ht="15.75" customHeight="1">
      <c r="A547" s="58"/>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row>
    <row r="548" ht="15.75" customHeight="1">
      <c r="A548" s="58"/>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row>
    <row r="549" ht="15.75" customHeight="1">
      <c r="A549" s="58"/>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row>
    <row r="550" ht="15.75" customHeight="1">
      <c r="A550" s="58"/>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row>
    <row r="551" ht="15.75" customHeight="1">
      <c r="A551" s="58"/>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row>
    <row r="552" ht="15.75" customHeight="1">
      <c r="A552" s="58"/>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row>
    <row r="553" ht="15.75" customHeight="1">
      <c r="A553" s="58"/>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row>
    <row r="554" ht="15.75" customHeight="1">
      <c r="A554" s="58"/>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row>
    <row r="555" ht="15.75" customHeight="1">
      <c r="A555" s="58"/>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row>
    <row r="556" ht="15.75" customHeight="1">
      <c r="A556" s="58"/>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row>
    <row r="557" ht="15.75" customHeight="1">
      <c r="A557" s="58"/>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row>
    <row r="558" ht="15.75" customHeight="1">
      <c r="A558" s="58"/>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row>
    <row r="559" ht="15.75" customHeight="1">
      <c r="A559" s="58"/>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row>
    <row r="560" ht="15.75" customHeight="1">
      <c r="A560" s="58"/>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row>
    <row r="561" ht="15.75" customHeight="1">
      <c r="A561" s="58"/>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row>
    <row r="562" ht="15.75" customHeight="1">
      <c r="A562" s="58"/>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row>
    <row r="563" ht="15.75" customHeight="1">
      <c r="A563" s="58"/>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row>
    <row r="564" ht="15.75" customHeight="1">
      <c r="A564" s="58"/>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row>
    <row r="565" ht="15.75" customHeight="1">
      <c r="A565" s="58"/>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row>
    <row r="566" ht="15.75" customHeight="1">
      <c r="A566" s="58"/>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row>
    <row r="567" ht="15.75" customHeight="1">
      <c r="A567" s="58"/>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row>
    <row r="568" ht="15.75" customHeight="1">
      <c r="A568" s="58"/>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row>
    <row r="569" ht="15.75" customHeight="1">
      <c r="A569" s="58"/>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row>
    <row r="570" ht="15.75" customHeight="1">
      <c r="A570" s="58"/>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row>
    <row r="571" ht="15.75" customHeight="1">
      <c r="A571" s="58"/>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row>
    <row r="572" ht="15.75" customHeight="1">
      <c r="A572" s="58"/>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row>
    <row r="573" ht="15.75" customHeight="1">
      <c r="A573" s="58"/>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row>
    <row r="574" ht="15.75" customHeight="1">
      <c r="A574" s="58"/>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row>
    <row r="575" ht="15.75" customHeight="1">
      <c r="A575" s="58"/>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row>
    <row r="576" ht="15.75" customHeight="1">
      <c r="A576" s="58"/>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row>
    <row r="577" ht="15.75" customHeight="1">
      <c r="A577" s="58"/>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row>
    <row r="578" ht="15.75" customHeight="1">
      <c r="A578" s="58"/>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row>
    <row r="579" ht="15.75" customHeight="1">
      <c r="A579" s="58"/>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row>
    <row r="580" ht="15.75" customHeight="1">
      <c r="A580" s="58"/>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row>
    <row r="581" ht="15.75" customHeight="1">
      <c r="A581" s="58"/>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row>
    <row r="582" ht="15.75" customHeight="1">
      <c r="A582" s="58"/>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row>
    <row r="583" ht="15.75" customHeight="1">
      <c r="A583" s="58"/>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row>
    <row r="584" ht="15.75" customHeight="1">
      <c r="A584" s="58"/>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row>
    <row r="585" ht="15.75" customHeight="1">
      <c r="A585" s="58"/>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row>
    <row r="586" ht="15.75" customHeight="1">
      <c r="A586" s="58"/>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row>
    <row r="587" ht="15.75" customHeight="1">
      <c r="A587" s="58"/>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row>
    <row r="588" ht="15.75" customHeight="1">
      <c r="A588" s="58"/>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row>
    <row r="589" ht="15.75" customHeight="1">
      <c r="A589" s="58"/>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row>
    <row r="590" ht="15.75" customHeight="1">
      <c r="A590" s="58"/>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row>
    <row r="591" ht="15.75" customHeight="1">
      <c r="A591" s="58"/>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row>
    <row r="592" ht="15.75" customHeight="1">
      <c r="A592" s="58"/>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row>
    <row r="593" ht="15.75" customHeight="1">
      <c r="A593" s="58"/>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row>
    <row r="594" ht="15.75" customHeight="1">
      <c r="A594" s="58"/>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row>
    <row r="595" ht="15.75" customHeight="1">
      <c r="A595" s="58"/>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row>
    <row r="596" ht="15.75" customHeight="1">
      <c r="A596" s="58"/>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row>
    <row r="597" ht="15.75" customHeight="1">
      <c r="A597" s="58"/>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row>
    <row r="598" ht="15.75" customHeight="1">
      <c r="A598" s="58"/>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row>
    <row r="599" ht="15.75" customHeight="1">
      <c r="A599" s="58"/>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row>
    <row r="600" ht="15.75" customHeight="1">
      <c r="A600" s="58"/>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row>
    <row r="601" ht="15.75" customHeight="1">
      <c r="A601" s="58"/>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row>
    <row r="602" ht="15.75" customHeight="1">
      <c r="A602" s="58"/>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row>
    <row r="603" ht="15.75" customHeight="1">
      <c r="A603" s="58"/>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row>
    <row r="604" ht="15.75" customHeight="1">
      <c r="A604" s="58"/>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row>
    <row r="605" ht="15.75" customHeight="1">
      <c r="A605" s="58"/>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row>
    <row r="606" ht="15.75" customHeight="1">
      <c r="A606" s="58"/>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row>
    <row r="607" ht="15.75" customHeight="1">
      <c r="A607" s="58"/>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row>
    <row r="608" ht="15.75" customHeight="1">
      <c r="A608" s="58"/>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row>
    <row r="609" ht="15.75" customHeight="1">
      <c r="A609" s="58"/>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row>
    <row r="610" ht="15.75" customHeight="1">
      <c r="A610" s="58"/>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row>
    <row r="611" ht="15.75" customHeight="1">
      <c r="A611" s="58"/>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row>
    <row r="612" ht="15.75" customHeight="1">
      <c r="A612" s="58"/>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row>
    <row r="613" ht="15.75" customHeight="1">
      <c r="A613" s="58"/>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row>
    <row r="614" ht="15.75" customHeight="1">
      <c r="A614" s="58"/>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row>
    <row r="615" ht="15.75" customHeight="1">
      <c r="A615" s="58"/>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row>
    <row r="616" ht="15.75" customHeight="1">
      <c r="A616" s="58"/>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row>
    <row r="617" ht="15.75" customHeight="1">
      <c r="A617" s="58"/>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row>
    <row r="618" ht="15.75" customHeight="1">
      <c r="A618" s="58"/>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row>
    <row r="619" ht="15.75" customHeight="1">
      <c r="A619" s="58"/>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row>
    <row r="620" ht="15.75" customHeight="1">
      <c r="A620" s="58"/>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row>
    <row r="621" ht="15.75" customHeight="1">
      <c r="A621" s="58"/>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row>
    <row r="622" ht="15.75" customHeight="1">
      <c r="A622" s="58"/>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row>
    <row r="623" ht="15.75" customHeight="1">
      <c r="A623" s="58"/>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row>
    <row r="624" ht="15.75" customHeight="1">
      <c r="A624" s="58"/>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row>
    <row r="625" ht="15.75" customHeight="1">
      <c r="A625" s="58"/>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row>
    <row r="626" ht="15.75" customHeight="1">
      <c r="A626" s="58"/>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row>
    <row r="627" ht="15.75" customHeight="1">
      <c r="A627" s="58"/>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row>
    <row r="628" ht="15.75" customHeight="1">
      <c r="A628" s="58"/>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row>
    <row r="629" ht="15.75" customHeight="1">
      <c r="A629" s="58"/>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row>
    <row r="630" ht="15.75" customHeight="1">
      <c r="A630" s="58"/>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row>
    <row r="631" ht="15.75" customHeight="1">
      <c r="A631" s="58"/>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row>
    <row r="632" ht="15.75" customHeight="1">
      <c r="A632" s="58"/>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row>
    <row r="633" ht="15.75" customHeight="1">
      <c r="A633" s="58"/>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row>
    <row r="634" ht="15.75" customHeight="1">
      <c r="A634" s="58"/>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row>
    <row r="635" ht="15.75" customHeight="1">
      <c r="A635" s="58"/>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row>
    <row r="636" ht="15.75" customHeight="1">
      <c r="A636" s="58"/>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row>
    <row r="637" ht="15.75" customHeight="1">
      <c r="A637" s="58"/>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row>
    <row r="638" ht="15.75" customHeight="1">
      <c r="A638" s="58"/>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row>
    <row r="639" ht="15.75" customHeight="1">
      <c r="A639" s="58"/>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row>
    <row r="640" ht="15.75" customHeight="1">
      <c r="A640" s="58"/>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row>
    <row r="641" ht="15.75" customHeight="1">
      <c r="A641" s="58"/>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row>
    <row r="642" ht="15.75" customHeight="1">
      <c r="A642" s="58"/>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row>
    <row r="643" ht="15.75" customHeight="1">
      <c r="A643" s="58"/>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row>
    <row r="644" ht="15.75" customHeight="1">
      <c r="A644" s="58"/>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row>
    <row r="645" ht="15.75" customHeight="1">
      <c r="A645" s="58"/>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row>
    <row r="646" ht="15.75" customHeight="1">
      <c r="A646" s="58"/>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row>
    <row r="647" ht="15.75" customHeight="1">
      <c r="A647" s="58"/>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row>
    <row r="648" ht="15.75" customHeight="1">
      <c r="A648" s="58"/>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row>
    <row r="649" ht="15.75" customHeight="1">
      <c r="A649" s="58"/>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row>
    <row r="650" ht="15.75" customHeight="1">
      <c r="A650" s="58"/>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row>
    <row r="651" ht="15.75" customHeight="1">
      <c r="A651" s="58"/>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row>
    <row r="652" ht="15.75" customHeight="1">
      <c r="A652" s="58"/>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row>
    <row r="653" ht="15.75" customHeight="1">
      <c r="A653" s="58"/>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row>
    <row r="654" ht="15.75" customHeight="1">
      <c r="A654" s="58"/>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row>
    <row r="655" ht="15.75" customHeight="1">
      <c r="A655" s="58"/>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row>
    <row r="656" ht="15.75" customHeight="1">
      <c r="A656" s="58"/>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row>
    <row r="657" ht="15.75" customHeight="1">
      <c r="A657" s="58"/>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row>
    <row r="658" ht="15.75" customHeight="1">
      <c r="A658" s="58"/>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row>
    <row r="659" ht="15.75" customHeight="1">
      <c r="A659" s="58"/>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row>
    <row r="660" ht="15.75" customHeight="1">
      <c r="A660" s="58"/>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row>
    <row r="661" ht="15.75" customHeight="1">
      <c r="A661" s="58"/>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row>
    <row r="662" ht="15.75" customHeight="1">
      <c r="A662" s="58"/>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row>
    <row r="663" ht="15.75" customHeight="1">
      <c r="A663" s="58"/>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row>
    <row r="664" ht="15.75" customHeight="1">
      <c r="A664" s="58"/>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row>
    <row r="665" ht="15.75" customHeight="1">
      <c r="A665" s="58"/>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row>
    <row r="666" ht="15.75" customHeight="1">
      <c r="A666" s="58"/>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row>
    <row r="667" ht="15.75" customHeight="1">
      <c r="A667" s="58"/>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row>
    <row r="668" ht="15.75" customHeight="1">
      <c r="A668" s="58"/>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row>
    <row r="669" ht="15.75" customHeight="1">
      <c r="A669" s="58"/>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row>
    <row r="670" ht="15.75" customHeight="1">
      <c r="A670" s="58"/>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row>
    <row r="671" ht="15.75" customHeight="1">
      <c r="A671" s="58"/>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row>
    <row r="672" ht="15.75" customHeight="1">
      <c r="A672" s="58"/>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row>
    <row r="673" ht="15.75" customHeight="1">
      <c r="A673" s="58"/>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row>
    <row r="674" ht="15.75" customHeight="1">
      <c r="A674" s="58"/>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row>
    <row r="675" ht="15.75" customHeight="1">
      <c r="A675" s="58"/>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row>
    <row r="676" ht="15.75" customHeight="1">
      <c r="A676" s="58"/>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row>
    <row r="677" ht="15.75" customHeight="1">
      <c r="A677" s="58"/>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row>
    <row r="678" ht="15.75" customHeight="1">
      <c r="A678" s="58"/>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row>
    <row r="679" ht="15.75" customHeight="1">
      <c r="A679" s="58"/>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row>
    <row r="680" ht="15.75" customHeight="1">
      <c r="A680" s="58"/>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row>
    <row r="681" ht="15.75" customHeight="1">
      <c r="A681" s="58"/>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row>
    <row r="682" ht="15.75" customHeight="1">
      <c r="A682" s="58"/>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row>
    <row r="683" ht="15.75" customHeight="1">
      <c r="A683" s="58"/>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row>
    <row r="684" ht="15.75" customHeight="1">
      <c r="A684" s="58"/>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row>
    <row r="685" ht="15.75" customHeight="1">
      <c r="A685" s="58"/>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row>
    <row r="686" ht="15.75" customHeight="1">
      <c r="A686" s="58"/>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row>
    <row r="687" ht="15.75" customHeight="1">
      <c r="A687" s="58"/>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row>
    <row r="688" ht="15.75" customHeight="1">
      <c r="A688" s="58"/>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row>
    <row r="689" ht="15.75" customHeight="1">
      <c r="A689" s="58"/>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row>
    <row r="690" ht="15.75" customHeight="1">
      <c r="A690" s="58"/>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row>
    <row r="691" ht="15.75" customHeight="1">
      <c r="A691" s="58"/>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row>
    <row r="692" ht="15.75" customHeight="1">
      <c r="A692" s="58"/>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row>
    <row r="693" ht="15.75" customHeight="1">
      <c r="A693" s="58"/>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row>
    <row r="694" ht="15.75" customHeight="1">
      <c r="A694" s="58"/>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row>
    <row r="695" ht="15.75" customHeight="1">
      <c r="A695" s="58"/>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row>
    <row r="696" ht="15.75" customHeight="1">
      <c r="A696" s="58"/>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row>
    <row r="697" ht="15.75" customHeight="1">
      <c r="A697" s="58"/>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row>
    <row r="698" ht="15.75" customHeight="1">
      <c r="A698" s="58"/>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row>
    <row r="699" ht="15.75" customHeight="1">
      <c r="A699" s="58"/>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row>
    <row r="700" ht="15.75" customHeight="1">
      <c r="A700" s="58"/>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row>
    <row r="701" ht="15.75" customHeight="1">
      <c r="A701" s="58"/>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row>
    <row r="702" ht="15.75" customHeight="1">
      <c r="A702" s="58"/>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row>
    <row r="703" ht="15.75" customHeight="1">
      <c r="A703" s="58"/>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row>
    <row r="704" ht="15.75" customHeight="1">
      <c r="A704" s="58"/>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row>
    <row r="705" ht="15.75" customHeight="1">
      <c r="A705" s="58"/>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row>
    <row r="706" ht="15.75" customHeight="1">
      <c r="A706" s="58"/>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row>
    <row r="707" ht="15.75" customHeight="1">
      <c r="A707" s="58"/>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row>
    <row r="708" ht="15.75" customHeight="1">
      <c r="A708" s="58"/>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row>
    <row r="709" ht="15.75" customHeight="1">
      <c r="A709" s="58"/>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row>
    <row r="710" ht="15.75" customHeight="1">
      <c r="A710" s="58"/>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row>
    <row r="711" ht="15.75" customHeight="1">
      <c r="A711" s="58"/>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row>
    <row r="712" ht="15.75" customHeight="1">
      <c r="A712" s="58"/>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row>
    <row r="713" ht="15.75" customHeight="1">
      <c r="A713" s="58"/>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row>
    <row r="714" ht="15.75" customHeight="1">
      <c r="A714" s="58"/>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row>
    <row r="715" ht="15.75" customHeight="1">
      <c r="A715" s="58"/>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row>
    <row r="716" ht="15.75" customHeight="1">
      <c r="A716" s="58"/>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row>
    <row r="717" ht="15.75" customHeight="1">
      <c r="A717" s="58"/>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row>
    <row r="718" ht="15.75" customHeight="1">
      <c r="A718" s="58"/>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row>
    <row r="719" ht="15.75" customHeight="1">
      <c r="A719" s="58"/>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row>
    <row r="720" ht="15.75" customHeight="1">
      <c r="A720" s="58"/>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row>
    <row r="721" ht="15.75" customHeight="1">
      <c r="A721" s="58"/>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row>
    <row r="722" ht="15.75" customHeight="1">
      <c r="A722" s="58"/>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row>
    <row r="723" ht="15.75" customHeight="1">
      <c r="A723" s="58"/>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row>
    <row r="724" ht="15.75" customHeight="1">
      <c r="A724" s="58"/>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row>
    <row r="725" ht="15.75" customHeight="1">
      <c r="A725" s="58"/>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row>
    <row r="726" ht="15.75" customHeight="1">
      <c r="A726" s="58"/>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row>
    <row r="727" ht="15.75" customHeight="1">
      <c r="A727" s="58"/>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row>
    <row r="728" ht="15.75" customHeight="1">
      <c r="A728" s="58"/>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row>
    <row r="729" ht="15.75" customHeight="1">
      <c r="A729" s="58"/>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row>
    <row r="730" ht="15.75" customHeight="1">
      <c r="A730" s="58"/>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row>
    <row r="731" ht="15.75" customHeight="1">
      <c r="A731" s="58"/>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row>
    <row r="732" ht="15.75" customHeight="1">
      <c r="A732" s="58"/>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row>
    <row r="733" ht="15.75" customHeight="1">
      <c r="A733" s="58"/>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row>
    <row r="734" ht="15.75" customHeight="1">
      <c r="A734" s="58"/>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row>
    <row r="735" ht="15.75" customHeight="1">
      <c r="A735" s="58"/>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row>
    <row r="736" ht="15.75" customHeight="1">
      <c r="A736" s="58"/>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row>
    <row r="737" ht="15.75" customHeight="1">
      <c r="A737" s="58"/>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row>
    <row r="738" ht="15.75" customHeight="1">
      <c r="A738" s="58"/>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row>
    <row r="739" ht="15.75" customHeight="1">
      <c r="A739" s="58"/>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row>
    <row r="740" ht="15.75" customHeight="1">
      <c r="A740" s="58"/>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row>
    <row r="741" ht="15.75" customHeight="1">
      <c r="A741" s="58"/>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row>
    <row r="742" ht="15.75" customHeight="1">
      <c r="A742" s="58"/>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row>
    <row r="743" ht="15.75" customHeight="1">
      <c r="A743" s="58"/>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row>
    <row r="744" ht="15.75" customHeight="1">
      <c r="A744" s="58"/>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row>
    <row r="745" ht="15.75" customHeight="1">
      <c r="A745" s="58"/>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row>
    <row r="746" ht="15.75" customHeight="1">
      <c r="A746" s="58"/>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row>
    <row r="747" ht="15.75" customHeight="1">
      <c r="A747" s="58"/>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row>
    <row r="748" ht="15.75" customHeight="1">
      <c r="A748" s="58"/>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row>
    <row r="749" ht="15.75" customHeight="1">
      <c r="A749" s="58"/>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row>
    <row r="750" ht="15.75" customHeight="1">
      <c r="A750" s="58"/>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row>
    <row r="751" ht="15.75" customHeight="1">
      <c r="A751" s="58"/>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row>
    <row r="752" ht="15.75" customHeight="1">
      <c r="A752" s="58"/>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row>
    <row r="753" ht="15.75" customHeight="1">
      <c r="A753" s="58"/>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row>
    <row r="754" ht="15.75" customHeight="1">
      <c r="A754" s="58"/>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row>
    <row r="755" ht="15.75" customHeight="1">
      <c r="A755" s="58"/>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row>
    <row r="756" ht="15.75" customHeight="1">
      <c r="A756" s="58"/>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row>
    <row r="757" ht="15.75" customHeight="1">
      <c r="A757" s="58"/>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row>
    <row r="758" ht="15.75" customHeight="1">
      <c r="A758" s="58"/>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row>
    <row r="759" ht="15.75" customHeight="1">
      <c r="A759" s="58"/>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row>
    <row r="760" ht="15.75" customHeight="1">
      <c r="A760" s="58"/>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row>
    <row r="761" ht="15.75" customHeight="1">
      <c r="A761" s="58"/>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row>
    <row r="762" ht="15.75" customHeight="1">
      <c r="A762" s="58"/>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row>
    <row r="763" ht="15.75" customHeight="1">
      <c r="A763" s="58"/>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row>
    <row r="764" ht="15.75" customHeight="1">
      <c r="A764" s="58"/>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row>
    <row r="765" ht="15.75" customHeight="1">
      <c r="A765" s="58"/>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row>
    <row r="766" ht="15.75" customHeight="1">
      <c r="A766" s="58"/>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row>
    <row r="767" ht="15.75" customHeight="1">
      <c r="A767" s="58"/>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row>
    <row r="768" ht="15.75" customHeight="1">
      <c r="A768" s="58"/>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row>
    <row r="769" ht="15.75" customHeight="1">
      <c r="A769" s="58"/>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row>
    <row r="770" ht="15.75" customHeight="1">
      <c r="A770" s="58"/>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row>
    <row r="771" ht="15.75" customHeight="1">
      <c r="A771" s="58"/>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row>
    <row r="772" ht="15.75" customHeight="1">
      <c r="A772" s="58"/>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row>
    <row r="773" ht="15.75" customHeight="1">
      <c r="A773" s="58"/>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row>
    <row r="774" ht="15.75" customHeight="1">
      <c r="A774" s="58"/>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row>
    <row r="775" ht="15.75" customHeight="1">
      <c r="A775" s="58"/>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row>
    <row r="776" ht="15.75" customHeight="1">
      <c r="A776" s="58"/>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row>
    <row r="777" ht="15.75" customHeight="1">
      <c r="A777" s="58"/>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row>
    <row r="778" ht="15.75" customHeight="1">
      <c r="A778" s="58"/>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row>
    <row r="779" ht="15.75" customHeight="1">
      <c r="A779" s="58"/>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row>
    <row r="780" ht="15.75" customHeight="1">
      <c r="A780" s="58"/>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row>
    <row r="781" ht="15.75" customHeight="1">
      <c r="A781" s="58"/>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row>
    <row r="782" ht="15.75" customHeight="1">
      <c r="A782" s="58"/>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row>
    <row r="783" ht="15.75" customHeight="1">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row>
    <row r="784" ht="15.75" customHeight="1">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row>
    <row r="785" ht="15.75" customHeight="1">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row>
    <row r="786" ht="15.75" customHeight="1">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row>
    <row r="787" ht="15.75" customHeight="1">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row>
    <row r="788" ht="15.75" customHeight="1">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row>
    <row r="789" ht="15.75" customHeight="1">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row>
    <row r="790" ht="15.75" customHeight="1">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row>
    <row r="791" ht="15.75" customHeight="1">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row>
    <row r="792" ht="15.75" customHeight="1">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row>
    <row r="793" ht="15.75" customHeight="1">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row>
    <row r="794" ht="15.75" customHeight="1">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row>
    <row r="795" ht="15.75" customHeight="1">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row>
    <row r="796" ht="15.75" customHeight="1">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row>
    <row r="797" ht="15.75" customHeight="1">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row>
    <row r="798" ht="15.75" customHeight="1">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row>
    <row r="799" ht="15.75" customHeight="1">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row>
    <row r="800" ht="15.75" customHeight="1">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row>
    <row r="801" ht="15.75" customHeight="1">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row>
    <row r="802" ht="15.75" customHeight="1">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row>
    <row r="803" ht="15.75" customHeight="1">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row>
    <row r="804" ht="15.75" customHeight="1">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row>
    <row r="805" ht="15.75" customHeight="1">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row>
    <row r="806" ht="15.75" customHeight="1">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row>
    <row r="807" ht="15.75" customHeight="1">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row>
    <row r="808" ht="15.75" customHeight="1">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row>
    <row r="809" ht="15.75" customHeight="1">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row>
    <row r="810" ht="15.75" customHeight="1">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row>
    <row r="811" ht="15.75" customHeight="1">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row>
    <row r="812" ht="15.75" customHeight="1">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row>
    <row r="813" ht="15.75" customHeight="1">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row>
    <row r="814" ht="15.75" customHeight="1">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row>
    <row r="815" ht="15.75" customHeight="1">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row>
    <row r="816" ht="15.75" customHeight="1">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row>
    <row r="817" ht="15.75" customHeight="1">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row>
    <row r="818" ht="15.75" customHeight="1">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row>
    <row r="819" ht="15.75" customHeight="1">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row>
    <row r="820" ht="15.75" customHeight="1">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row>
    <row r="821" ht="15.75" customHeight="1">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row>
    <row r="822" ht="15.75" customHeight="1">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row>
    <row r="823" ht="15.75" customHeight="1">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row>
    <row r="824" ht="15.75" customHeight="1">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row>
    <row r="825" ht="15.75" customHeight="1">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row>
    <row r="826" ht="15.75" customHeight="1">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row>
    <row r="827" ht="15.75" customHeight="1">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row>
    <row r="828" ht="15.75" customHeight="1">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row>
    <row r="829" ht="15.75" customHeight="1">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row>
    <row r="830" ht="15.75" customHeight="1">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row>
    <row r="831" ht="15.75" customHeight="1">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row>
    <row r="832" ht="15.75" customHeight="1">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row>
    <row r="833" ht="15.75" customHeight="1">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row>
    <row r="834" ht="15.75" customHeight="1">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row>
    <row r="835" ht="15.75" customHeight="1">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row>
    <row r="836" ht="15.75" customHeight="1">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row>
    <row r="837" ht="15.75" customHeight="1">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row>
    <row r="838" ht="15.75" customHeight="1">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row>
    <row r="839" ht="15.75" customHeight="1">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row>
    <row r="840" ht="15.75" customHeight="1">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row>
    <row r="841" ht="15.75" customHeight="1">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row>
    <row r="842" ht="15.75" customHeight="1">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row>
    <row r="843" ht="15.75" customHeight="1">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row>
    <row r="844" ht="15.75" customHeight="1">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row>
    <row r="845" ht="15.75" customHeight="1">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row>
    <row r="846" ht="15.75" customHeight="1">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row>
    <row r="847" ht="15.75" customHeight="1">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row>
    <row r="848" ht="15.75" customHeight="1">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row>
    <row r="849" ht="15.75" customHeight="1">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row>
    <row r="850" ht="15.75" customHeight="1">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row>
    <row r="851" ht="15.75" customHeight="1">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row>
    <row r="852" ht="15.75" customHeight="1">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row>
    <row r="853" ht="15.75" customHeight="1">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row>
    <row r="854" ht="15.75" customHeight="1">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row>
    <row r="855" ht="15.75" customHeight="1">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row>
    <row r="856" ht="15.75" customHeight="1">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row>
    <row r="857" ht="15.75" customHeight="1">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row>
    <row r="858" ht="15.75" customHeight="1">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row>
    <row r="859" ht="15.75" customHeight="1">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row>
    <row r="860" ht="15.75" customHeight="1">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row>
    <row r="861" ht="15.75" customHeight="1">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row>
    <row r="862" ht="15.75" customHeight="1">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row>
    <row r="863" ht="15.75" customHeight="1">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row>
    <row r="864" ht="15.75" customHeight="1">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row>
    <row r="865" ht="15.75" customHeight="1">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row>
    <row r="866" ht="15.75" customHeight="1">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row>
    <row r="867" ht="15.75" customHeight="1">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row>
    <row r="868" ht="15.75" customHeight="1">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row>
    <row r="869" ht="15.75" customHeight="1">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row>
    <row r="870" ht="15.75" customHeight="1">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row>
    <row r="871" ht="15.75" customHeight="1">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row>
    <row r="872" ht="15.75" customHeight="1">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row>
    <row r="873" ht="15.75" customHeight="1">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row>
    <row r="874" ht="15.75" customHeight="1">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row>
    <row r="875" ht="15.75" customHeight="1">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row>
    <row r="876" ht="15.75" customHeight="1">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row>
    <row r="877" ht="15.75" customHeight="1">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row>
    <row r="878" ht="15.75" customHeight="1">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row>
    <row r="879" ht="15.75" customHeight="1">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row>
    <row r="880" ht="15.75" customHeight="1">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row>
    <row r="881" ht="15.75" customHeight="1">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row>
    <row r="882" ht="15.75" customHeight="1">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row>
    <row r="883" ht="15.75" customHeight="1">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row>
    <row r="884" ht="15.75" customHeight="1">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row>
    <row r="885" ht="15.75" customHeight="1">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row>
    <row r="886" ht="15.75" customHeight="1">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row>
    <row r="887" ht="15.75" customHeight="1">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row>
    <row r="888" ht="15.75" customHeight="1">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row>
    <row r="889" ht="15.75" customHeight="1">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row>
    <row r="890" ht="15.75" customHeight="1">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row>
    <row r="891" ht="15.75" customHeight="1">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row>
    <row r="892" ht="15.75" customHeight="1">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row>
    <row r="893" ht="15.75" customHeight="1">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row>
    <row r="894" ht="15.75" customHeight="1">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row>
    <row r="895" ht="15.75" customHeight="1">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row>
    <row r="896" ht="15.75" customHeight="1">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row>
    <row r="897" ht="15.75" customHeight="1">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row>
    <row r="898" ht="15.75" customHeight="1">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row>
    <row r="899" ht="15.75" customHeight="1">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row>
    <row r="900" ht="15.75" customHeight="1">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row>
    <row r="901" ht="15.75" customHeight="1">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row>
    <row r="902" ht="15.75" customHeight="1">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row>
    <row r="903" ht="15.75" customHeight="1">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row>
    <row r="904" ht="15.75" customHeight="1">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row>
    <row r="905" ht="15.75" customHeight="1">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row>
    <row r="906" ht="15.75" customHeight="1">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row>
    <row r="907" ht="15.75" customHeight="1">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row>
    <row r="908" ht="15.75" customHeight="1">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row>
    <row r="909" ht="15.75" customHeight="1">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row>
    <row r="910" ht="15.75" customHeight="1">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row>
    <row r="911" ht="15.75" customHeight="1">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row>
    <row r="912" ht="15.75" customHeight="1">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row>
    <row r="913" ht="15.75" customHeight="1">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row>
    <row r="914" ht="15.75" customHeight="1">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row>
    <row r="915" ht="15.75" customHeight="1">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row>
    <row r="916" ht="15.75" customHeight="1">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row>
    <row r="917" ht="15.75" customHeight="1">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row>
    <row r="918" ht="15.75" customHeight="1">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row>
    <row r="919" ht="15.75" customHeight="1">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row>
    <row r="920" ht="15.75" customHeight="1">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row>
    <row r="921" ht="15.75" customHeight="1">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row>
    <row r="922" ht="15.75" customHeight="1">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row>
    <row r="923" ht="15.75" customHeight="1">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row>
    <row r="924" ht="15.75" customHeight="1">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row>
    <row r="925" ht="15.75" customHeight="1">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row>
    <row r="926" ht="15.75" customHeight="1">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row>
    <row r="927" ht="15.75" customHeight="1">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row>
    <row r="928" ht="15.75" customHeight="1">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row>
    <row r="929" ht="15.75" customHeight="1">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row>
    <row r="930" ht="15.75" customHeight="1">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row>
    <row r="931" ht="15.75" customHeight="1">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row>
    <row r="932" ht="15.75" customHeight="1">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row>
    <row r="933" ht="15.75" customHeight="1">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row>
    <row r="934" ht="15.75" customHeight="1">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row>
    <row r="935" ht="15.75" customHeight="1">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row>
    <row r="936" ht="15.75" customHeight="1">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row>
    <row r="937" ht="15.75" customHeight="1">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row>
    <row r="938" ht="15.75" customHeight="1">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row>
    <row r="939" ht="15.75" customHeight="1">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row>
    <row r="940" ht="15.75" customHeight="1">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row>
    <row r="941" ht="15.75" customHeight="1">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row>
    <row r="942" ht="15.75" customHeight="1">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row>
    <row r="943" ht="15.75" customHeight="1">
      <c r="A943" s="58"/>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row>
    <row r="944" ht="15.75" customHeight="1">
      <c r="A944" s="58"/>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row>
    <row r="945" ht="15.75" customHeight="1">
      <c r="A945" s="58"/>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row>
    <row r="946" ht="15.75" customHeight="1">
      <c r="A946" s="58"/>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row>
    <row r="947" ht="15.75" customHeight="1">
      <c r="A947" s="58"/>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row>
    <row r="948" ht="15.75" customHeight="1">
      <c r="A948" s="58"/>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row>
    <row r="949" ht="15.75" customHeight="1">
      <c r="A949" s="58"/>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row>
    <row r="950" ht="15.75" customHeight="1">
      <c r="A950" s="58"/>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row>
    <row r="951" ht="15.75" customHeight="1">
      <c r="A951" s="58"/>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row>
    <row r="952" ht="15.75" customHeight="1">
      <c r="A952" s="58"/>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row>
    <row r="953" ht="15.75" customHeight="1">
      <c r="A953" s="58"/>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row>
    <row r="954" ht="15.75" customHeight="1">
      <c r="A954" s="58"/>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row>
    <row r="955" ht="15.75" customHeight="1">
      <c r="A955" s="58"/>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row>
    <row r="956" ht="15.75" customHeight="1">
      <c r="A956" s="58"/>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row>
    <row r="957" ht="15.75" customHeight="1">
      <c r="A957" s="58"/>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row>
    <row r="958" ht="15.75" customHeight="1">
      <c r="A958" s="58"/>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row>
    <row r="959" ht="15.75" customHeight="1">
      <c r="A959" s="58"/>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row>
    <row r="960" ht="15.75" customHeight="1">
      <c r="A960" s="58"/>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row>
    <row r="961" ht="15.75" customHeight="1">
      <c r="A961" s="58"/>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row>
    <row r="962" ht="15.75" customHeight="1">
      <c r="A962" s="58"/>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row>
    <row r="963" ht="15.75" customHeight="1">
      <c r="A963" s="58"/>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row>
    <row r="964" ht="15.75" customHeight="1">
      <c r="A964" s="58"/>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row>
    <row r="965" ht="15.75" customHeight="1">
      <c r="A965" s="58"/>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row>
    <row r="966" ht="15.75" customHeight="1">
      <c r="A966" s="58"/>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row>
    <row r="967" ht="15.75" customHeight="1">
      <c r="A967" s="58"/>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row>
    <row r="968" ht="15.75" customHeight="1">
      <c r="A968" s="58"/>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row>
    <row r="969" ht="15.75" customHeight="1">
      <c r="A969" s="58"/>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row>
    <row r="970" ht="15.75" customHeight="1">
      <c r="A970" s="58"/>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row>
    <row r="971" ht="15.75" customHeight="1">
      <c r="A971" s="58"/>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row>
    <row r="972" ht="15.75" customHeight="1">
      <c r="A972" s="58"/>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row>
    <row r="973" ht="15.75" customHeight="1">
      <c r="A973" s="58"/>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row>
    <row r="974" ht="15.75" customHeight="1">
      <c r="A974" s="58"/>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row>
    <row r="975" ht="15.75" customHeight="1">
      <c r="A975" s="58"/>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row>
    <row r="976" ht="15.75" customHeight="1">
      <c r="A976" s="58"/>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row>
    <row r="977" ht="15.75" customHeight="1">
      <c r="A977" s="58"/>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row>
    <row r="978" ht="15.75" customHeight="1">
      <c r="A978" s="58"/>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row>
    <row r="979" ht="15.75" customHeight="1">
      <c r="A979" s="58"/>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row>
    <row r="980" ht="15.75" customHeight="1">
      <c r="A980" s="58"/>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row>
    <row r="981" ht="15.75" customHeight="1">
      <c r="A981" s="58"/>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row>
    <row r="982" ht="15.75" customHeight="1">
      <c r="A982" s="58"/>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row>
    <row r="983" ht="15.75" customHeight="1">
      <c r="A983" s="58"/>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row>
    <row r="984" ht="15.75" customHeight="1">
      <c r="A984" s="58"/>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row>
    <row r="985" ht="15.75" customHeight="1">
      <c r="A985" s="58"/>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row>
    <row r="986" ht="15.75" customHeight="1">
      <c r="A986" s="58"/>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row>
    <row r="987" ht="15.75" customHeight="1">
      <c r="A987" s="58"/>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row>
    <row r="988" ht="15.75" customHeight="1">
      <c r="A988" s="58"/>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row>
    <row r="989" ht="15.75" customHeight="1">
      <c r="A989" s="58"/>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row>
    <row r="990" ht="15.75" customHeight="1">
      <c r="A990" s="58"/>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row>
    <row r="991" ht="15.75" customHeight="1">
      <c r="A991" s="58"/>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row>
    <row r="992" ht="15.75" customHeight="1">
      <c r="A992" s="58"/>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row>
    <row r="993" ht="15.75" customHeight="1">
      <c r="A993" s="58"/>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row>
    <row r="994" ht="15.75" customHeight="1">
      <c r="A994" s="58"/>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row>
    <row r="995" ht="15.75" customHeight="1">
      <c r="A995" s="58"/>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row>
    <row r="996" ht="15.75" customHeight="1">
      <c r="A996" s="58"/>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row>
    <row r="997" ht="15.75" customHeight="1">
      <c r="A997" s="58"/>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row>
    <row r="998" ht="15.75" customHeight="1">
      <c r="A998" s="58"/>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row>
    <row r="999" ht="15.75" customHeight="1">
      <c r="A999" s="58"/>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row>
    <row r="1000" ht="15.75" customHeight="1">
      <c r="A1000" s="58"/>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row>
  </sheetData>
  <mergeCells count="56">
    <mergeCell ref="B44:C44"/>
    <mergeCell ref="D44:E44"/>
    <mergeCell ref="F44:G44"/>
    <mergeCell ref="B45:C45"/>
    <mergeCell ref="D45:E45"/>
    <mergeCell ref="F45:G45"/>
    <mergeCell ref="B41:C41"/>
    <mergeCell ref="B42:C42"/>
    <mergeCell ref="D42:E42"/>
    <mergeCell ref="F42:G42"/>
    <mergeCell ref="B43:C43"/>
    <mergeCell ref="D43:E43"/>
    <mergeCell ref="F43:G43"/>
    <mergeCell ref="B1:S1"/>
    <mergeCell ref="B2:S2"/>
    <mergeCell ref="B4:D4"/>
    <mergeCell ref="E4:H4"/>
    <mergeCell ref="I4:K4"/>
    <mergeCell ref="H6:L6"/>
    <mergeCell ref="M6:U6"/>
    <mergeCell ref="H8:J8"/>
    <mergeCell ref="H9:J9"/>
    <mergeCell ref="H10:J10"/>
    <mergeCell ref="B6:G6"/>
    <mergeCell ref="C7:F7"/>
    <mergeCell ref="H7:J7"/>
    <mergeCell ref="L7:R7"/>
    <mergeCell ref="C8:F8"/>
    <mergeCell ref="L8:R8"/>
    <mergeCell ref="C9:F9"/>
    <mergeCell ref="L9:R9"/>
    <mergeCell ref="L10:R10"/>
    <mergeCell ref="B12:U12"/>
    <mergeCell ref="C13:G13"/>
    <mergeCell ref="B15:G15"/>
    <mergeCell ref="B19:G19"/>
    <mergeCell ref="B24:G24"/>
    <mergeCell ref="B28:G28"/>
    <mergeCell ref="B34:U34"/>
    <mergeCell ref="C35:I35"/>
    <mergeCell ref="K35:U35"/>
    <mergeCell ref="B36:U36"/>
    <mergeCell ref="B37:U37"/>
    <mergeCell ref="B39:U39"/>
    <mergeCell ref="I42:U42"/>
    <mergeCell ref="I43:U43"/>
    <mergeCell ref="I44:U44"/>
    <mergeCell ref="I45:U45"/>
    <mergeCell ref="B47:U47"/>
    <mergeCell ref="B40:C40"/>
    <mergeCell ref="D40:E40"/>
    <mergeCell ref="F40:G40"/>
    <mergeCell ref="I40:U40"/>
    <mergeCell ref="D41:E41"/>
    <mergeCell ref="F41:G41"/>
    <mergeCell ref="I41:U41"/>
  </mergeCells>
  <conditionalFormatting sqref="C15:G15">
    <cfRule type="expression" dxfId="0" priority="1">
      <formula>C15="Alert"</formula>
    </cfRule>
  </conditionalFormatting>
  <conditionalFormatting sqref="C15:G15">
    <cfRule type="expression" dxfId="1" priority="2">
      <formula>C15="Normal"</formula>
    </cfRule>
  </conditionalFormatting>
  <conditionalFormatting sqref="C15:G15">
    <cfRule type="expression" dxfId="2" priority="3">
      <formula>C15="Caution"</formula>
    </cfRule>
  </conditionalFormatting>
  <conditionalFormatting sqref="C38">
    <cfRule type="expression" dxfId="0" priority="4">
      <formula>C38="Alert"</formula>
    </cfRule>
  </conditionalFormatting>
  <conditionalFormatting sqref="C38">
    <cfRule type="expression" dxfId="1" priority="5">
      <formula>C38="Normal"</formula>
    </cfRule>
  </conditionalFormatting>
  <conditionalFormatting sqref="C38">
    <cfRule type="expression" dxfId="2" priority="6">
      <formula>C38="Caution"</formula>
    </cfRule>
  </conditionalFormatting>
  <conditionalFormatting sqref="K38">
    <cfRule type="expression" dxfId="0" priority="7">
      <formula>K38="Alert"</formula>
    </cfRule>
  </conditionalFormatting>
  <conditionalFormatting sqref="K38">
    <cfRule type="expression" dxfId="1" priority="8">
      <formula>K38="Normal"</formula>
    </cfRule>
  </conditionalFormatting>
  <conditionalFormatting sqref="K38">
    <cfRule type="expression" dxfId="2" priority="9">
      <formula>K38="Caution"</formula>
    </cfRule>
  </conditionalFormatting>
  <conditionalFormatting sqref="B41">
    <cfRule type="expression" dxfId="3" priority="10">
      <formula>C38="Normal"</formula>
    </cfRule>
  </conditionalFormatting>
  <conditionalFormatting sqref="B41">
    <cfRule type="expression" dxfId="4" priority="11">
      <formula>C38="Caution"</formula>
    </cfRule>
  </conditionalFormatting>
  <conditionalFormatting sqref="D45:U45">
    <cfRule type="expression" dxfId="5" priority="12">
      <formula>$D45="Alert"</formula>
    </cfRule>
  </conditionalFormatting>
  <conditionalFormatting sqref="D45:U45">
    <cfRule type="expression" dxfId="3" priority="13">
      <formula>$D45="Normal"</formula>
    </cfRule>
  </conditionalFormatting>
  <conditionalFormatting sqref="D45:U45">
    <cfRule type="expression" dxfId="4" priority="14">
      <formula>$D45="Caution"</formula>
    </cfRule>
  </conditionalFormatting>
  <conditionalFormatting sqref="D46:U46">
    <cfRule type="expression" dxfId="5" priority="15">
      <formula>$D46="Alert"</formula>
    </cfRule>
  </conditionalFormatting>
  <conditionalFormatting sqref="D46:U46">
    <cfRule type="expression" dxfId="3" priority="16">
      <formula>$D46="Normal"</formula>
    </cfRule>
  </conditionalFormatting>
  <conditionalFormatting sqref="D46:U46">
    <cfRule type="expression" dxfId="4" priority="17">
      <formula>$D46="Caution"</formula>
    </cfRule>
  </conditionalFormatting>
  <conditionalFormatting sqref="D47:U47">
    <cfRule type="expression" dxfId="5" priority="18">
      <formula>$D47="Alert"</formula>
    </cfRule>
  </conditionalFormatting>
  <conditionalFormatting sqref="D47:U47">
    <cfRule type="expression" dxfId="3" priority="19">
      <formula>$D47="Normal"</formula>
    </cfRule>
  </conditionalFormatting>
  <conditionalFormatting sqref="D47:U47">
    <cfRule type="expression" dxfId="4" priority="20">
      <formula>$D47="Caution"</formula>
    </cfRule>
  </conditionalFormatting>
  <conditionalFormatting sqref="D48:U48">
    <cfRule type="expression" dxfId="5" priority="21">
      <formula>$D48="Alert"</formula>
    </cfRule>
  </conditionalFormatting>
  <conditionalFormatting sqref="D48:U48">
    <cfRule type="expression" dxfId="3" priority="22">
      <formula>$D48="Normal"</formula>
    </cfRule>
  </conditionalFormatting>
  <conditionalFormatting sqref="D48:U48">
    <cfRule type="expression" dxfId="4" priority="23">
      <formula>$D48="Caution"</formula>
    </cfRule>
  </conditionalFormatting>
  <conditionalFormatting sqref="D49:U49">
    <cfRule type="expression" dxfId="5" priority="24">
      <formula>$D49="Alert"</formula>
    </cfRule>
  </conditionalFormatting>
  <conditionalFormatting sqref="D49:U49">
    <cfRule type="expression" dxfId="3" priority="25">
      <formula>$D49="Normal"</formula>
    </cfRule>
  </conditionalFormatting>
  <conditionalFormatting sqref="D49:U49">
    <cfRule type="expression" dxfId="4" priority="26">
      <formula>$D49="Caution"</formula>
    </cfRule>
  </conditionalFormatting>
  <conditionalFormatting sqref="C16:G16">
    <cfRule type="expression" dxfId="0" priority="27">
      <formula>C16="Alert"</formula>
    </cfRule>
  </conditionalFormatting>
  <conditionalFormatting sqref="C16:G16">
    <cfRule type="expression" dxfId="1" priority="28">
      <formula>C16="Normal"</formula>
    </cfRule>
  </conditionalFormatting>
  <conditionalFormatting sqref="C16:G16">
    <cfRule type="expression" dxfId="2" priority="29">
      <formula>C16="Caution"</formula>
    </cfRule>
  </conditionalFormatting>
  <conditionalFormatting sqref="C35:U35">
    <cfRule type="expression" dxfId="0" priority="30">
      <formula>$C$35="Alert"</formula>
    </cfRule>
  </conditionalFormatting>
  <conditionalFormatting sqref="C35:U35">
    <cfRule type="expression" dxfId="1" priority="31">
      <formula>$C$35="Normal"</formula>
    </cfRule>
  </conditionalFormatting>
  <conditionalFormatting sqref="C35:U35">
    <cfRule type="expression" dxfId="2" priority="32">
      <formula>$C$35="Caution"</formula>
    </cfRule>
  </conditionalFormatting>
  <conditionalFormatting sqref="B37:U37">
    <cfRule type="expression" dxfId="3" priority="33">
      <formula>$C$35="Normal"</formula>
    </cfRule>
  </conditionalFormatting>
  <conditionalFormatting sqref="B37:U37">
    <cfRule type="expression" dxfId="4" priority="34">
      <formula>$C$35="Caution"</formula>
    </cfRule>
  </conditionalFormatting>
  <conditionalFormatting sqref="B41:U41">
    <cfRule type="expression" dxfId="5" priority="35">
      <formula>$D41="Alert"</formula>
    </cfRule>
  </conditionalFormatting>
  <conditionalFormatting sqref="B41:U41">
    <cfRule type="expression" dxfId="3" priority="36">
      <formula>$D41="Normal"</formula>
    </cfRule>
  </conditionalFormatting>
  <conditionalFormatting sqref="B41:U41">
    <cfRule type="expression" dxfId="4" priority="37">
      <formula>$D41="Caution"</formula>
    </cfRule>
  </conditionalFormatting>
  <conditionalFormatting sqref="B42:U42">
    <cfRule type="expression" dxfId="5" priority="38">
      <formula>$D42="Alert"</formula>
    </cfRule>
  </conditionalFormatting>
  <conditionalFormatting sqref="B42:U42">
    <cfRule type="expression" dxfId="3" priority="39">
      <formula>$D42="Normal"</formula>
    </cfRule>
  </conditionalFormatting>
  <conditionalFormatting sqref="B42:U42">
    <cfRule type="expression" dxfId="4" priority="40">
      <formula>$D42="Caution"</formula>
    </cfRule>
  </conditionalFormatting>
  <conditionalFormatting sqref="B43:U43">
    <cfRule type="expression" dxfId="5" priority="41">
      <formula>$D43="Alert"</formula>
    </cfRule>
  </conditionalFormatting>
  <conditionalFormatting sqref="B43:U43">
    <cfRule type="expression" dxfId="3" priority="42">
      <formula>$D43="Normal"</formula>
    </cfRule>
  </conditionalFormatting>
  <conditionalFormatting sqref="B43:U43">
    <cfRule type="expression" dxfId="4" priority="43">
      <formula>$D43="Caution"</formula>
    </cfRule>
  </conditionalFormatting>
  <conditionalFormatting sqref="B44:U44">
    <cfRule type="expression" dxfId="5" priority="44">
      <formula>$D44="Alert"</formula>
    </cfRule>
  </conditionalFormatting>
  <conditionalFormatting sqref="B44:U44">
    <cfRule type="expression" dxfId="3" priority="45">
      <formula>$D44="Normal"</formula>
    </cfRule>
  </conditionalFormatting>
  <conditionalFormatting sqref="B44:U44">
    <cfRule type="expression" dxfId="4" priority="46">
      <formula>$D44="Caution"</formula>
    </cfRule>
  </conditionalFormatting>
  <conditionalFormatting sqref="B45:U45">
    <cfRule type="expression" dxfId="5" priority="47">
      <formula>$D45="Alert"</formula>
    </cfRule>
  </conditionalFormatting>
  <conditionalFormatting sqref="B45:U45">
    <cfRule type="expression" dxfId="3" priority="48">
      <formula>$D45="Normal"</formula>
    </cfRule>
  </conditionalFormatting>
  <conditionalFormatting sqref="B45:U45">
    <cfRule type="expression" dxfId="4" priority="49">
      <formula>$D45="Caution"</formula>
    </cfRule>
  </conditionalFormatting>
  <dataValidations>
    <dataValidation type="list" allowBlank="1" sqref="E4">
      <formula1>'Equipment Registry'!$A$3:$A$154</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6A5AF"/>
    <outlinePr summaryBelow="0" summaryRight="0"/>
  </sheetPr>
  <sheetViews>
    <sheetView showGridLines="0"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20.57"/>
    <col hidden="1" min="3" max="3" width="14.43"/>
  </cols>
  <sheetData>
    <row r="1" ht="21.75" customHeight="1">
      <c r="A1" s="85" t="s">
        <v>91</v>
      </c>
      <c r="B1" s="85" t="s">
        <v>92</v>
      </c>
      <c r="C1" s="85" t="s">
        <v>93</v>
      </c>
      <c r="D1" s="85" t="s">
        <v>94</v>
      </c>
      <c r="E1" s="86">
        <v>44743.0</v>
      </c>
      <c r="F1" s="86">
        <v>44774.0</v>
      </c>
      <c r="G1" s="86">
        <v>44805.0</v>
      </c>
      <c r="H1" s="86">
        <v>44835.0</v>
      </c>
      <c r="I1" s="87">
        <v>45618.0</v>
      </c>
      <c r="J1" s="88">
        <v>44896.0</v>
      </c>
      <c r="K1" s="89">
        <v>44927.0</v>
      </c>
      <c r="L1" s="90">
        <v>44958.0</v>
      </c>
      <c r="M1" s="90">
        <v>44986.0</v>
      </c>
      <c r="N1" s="90">
        <v>45017.0</v>
      </c>
      <c r="O1" s="90">
        <v>45047.0</v>
      </c>
      <c r="P1" s="90">
        <v>45078.0</v>
      </c>
      <c r="Q1" s="90">
        <v>45108.0</v>
      </c>
      <c r="R1" s="90">
        <v>45139.0</v>
      </c>
      <c r="S1" s="90">
        <v>45170.0</v>
      </c>
      <c r="T1" s="90">
        <v>45200.0</v>
      </c>
      <c r="U1" s="90">
        <v>45231.0</v>
      </c>
      <c r="V1" s="91">
        <v>45261.0</v>
      </c>
      <c r="W1" s="92">
        <v>45292.0</v>
      </c>
      <c r="X1" s="93">
        <v>45323.0</v>
      </c>
      <c r="Y1" s="93">
        <v>45352.0</v>
      </c>
      <c r="Z1" s="93">
        <v>45383.0</v>
      </c>
      <c r="AA1" s="93">
        <v>45413.0</v>
      </c>
      <c r="AB1" s="93">
        <v>45444.0</v>
      </c>
      <c r="AC1" s="93">
        <v>45474.0</v>
      </c>
      <c r="AD1" s="93">
        <v>45505.0</v>
      </c>
      <c r="AE1" s="93">
        <v>45536.0</v>
      </c>
      <c r="AF1" s="93">
        <v>45566.0</v>
      </c>
      <c r="AG1" s="93">
        <v>45597.0</v>
      </c>
      <c r="AH1" s="94">
        <v>45627.0</v>
      </c>
      <c r="AI1" s="95">
        <v>45658.0</v>
      </c>
      <c r="AJ1" s="96">
        <v>45689.0</v>
      </c>
      <c r="AK1" s="96">
        <v>45717.0</v>
      </c>
      <c r="AL1" s="96">
        <v>45748.0</v>
      </c>
      <c r="AM1" s="96">
        <v>45778.0</v>
      </c>
      <c r="AN1" s="96">
        <v>45809.0</v>
      </c>
      <c r="AO1" s="96">
        <v>45839.0</v>
      </c>
      <c r="AP1" s="96">
        <v>45870.0</v>
      </c>
      <c r="AQ1" s="96">
        <v>45901.0</v>
      </c>
      <c r="AR1" s="96">
        <v>45931.0</v>
      </c>
      <c r="AS1" s="96">
        <v>45962.0</v>
      </c>
      <c r="AT1" s="96">
        <v>45992.0</v>
      </c>
      <c r="AU1" s="97">
        <v>46023.0</v>
      </c>
      <c r="AV1" s="98">
        <v>46054.0</v>
      </c>
      <c r="AW1" s="98">
        <v>46082.0</v>
      </c>
      <c r="AX1" s="98">
        <v>46113.0</v>
      </c>
      <c r="AY1" s="98">
        <v>46143.0</v>
      </c>
      <c r="AZ1" s="98">
        <v>46174.0</v>
      </c>
      <c r="BA1" s="98">
        <v>46204.0</v>
      </c>
      <c r="BB1" s="98">
        <v>46235.0</v>
      </c>
      <c r="BC1" s="98">
        <v>46266.0</v>
      </c>
      <c r="BD1" s="98">
        <v>46296.0</v>
      </c>
      <c r="BE1" s="98">
        <v>46327.0</v>
      </c>
      <c r="BF1" s="98">
        <v>46357.0</v>
      </c>
      <c r="BG1" s="99">
        <v>46185.0</v>
      </c>
      <c r="BH1" s="100">
        <v>46187.0</v>
      </c>
      <c r="BI1" s="100">
        <v>46193.0</v>
      </c>
      <c r="BJ1" s="101">
        <v>46183.0</v>
      </c>
      <c r="BK1" s="102"/>
      <c r="BL1" s="102"/>
      <c r="BM1" s="102"/>
      <c r="BN1" s="102"/>
      <c r="BO1" s="102"/>
      <c r="BP1" s="102"/>
      <c r="BQ1" s="102"/>
      <c r="BR1" s="102"/>
      <c r="BS1" s="102"/>
      <c r="BT1" s="102"/>
      <c r="BU1" s="102"/>
      <c r="BV1" s="102"/>
      <c r="BW1" s="102"/>
      <c r="BX1" s="102"/>
      <c r="BY1" s="102"/>
      <c r="BZ1" s="102"/>
      <c r="CA1" s="102"/>
      <c r="CB1" s="102"/>
      <c r="CC1" s="102"/>
      <c r="CD1" s="102"/>
      <c r="CE1" s="102"/>
      <c r="CF1" s="102"/>
      <c r="CG1" s="102"/>
      <c r="CH1" s="102"/>
      <c r="CI1" s="102"/>
      <c r="CJ1" s="102"/>
      <c r="CK1" s="102"/>
      <c r="CL1" s="102"/>
      <c r="CM1" s="102"/>
      <c r="CN1" s="102"/>
      <c r="CO1" s="102"/>
      <c r="CP1" s="102"/>
      <c r="CQ1" s="102"/>
      <c r="CR1" s="102"/>
      <c r="CS1" s="102"/>
      <c r="CT1" s="102"/>
      <c r="CU1" s="102"/>
      <c r="CV1" s="102"/>
      <c r="CW1" s="102"/>
      <c r="CX1" s="102"/>
      <c r="CY1" s="102"/>
      <c r="CZ1" s="102"/>
      <c r="DA1" s="102"/>
      <c r="DB1" s="102"/>
      <c r="DC1" s="102"/>
      <c r="DD1" s="102"/>
      <c r="DE1" s="102"/>
      <c r="DF1" s="102"/>
      <c r="DG1" s="102"/>
      <c r="DH1" s="102"/>
      <c r="DI1" s="102"/>
      <c r="DJ1" s="102"/>
      <c r="DK1" s="102"/>
      <c r="DL1" s="102"/>
      <c r="DM1" s="102"/>
      <c r="DN1" s="102"/>
      <c r="DO1" s="102"/>
      <c r="DP1" s="102"/>
      <c r="DQ1" s="102"/>
      <c r="DR1" s="102"/>
      <c r="DS1" s="102"/>
      <c r="DT1" s="102"/>
      <c r="DU1" s="102"/>
      <c r="DV1" s="102"/>
      <c r="DW1" s="102"/>
      <c r="DX1" s="102"/>
      <c r="DY1" s="102"/>
      <c r="DZ1" s="102"/>
      <c r="EA1" s="102"/>
      <c r="EB1" s="102"/>
      <c r="EC1" s="102"/>
      <c r="ED1" s="102"/>
      <c r="EE1" s="102"/>
      <c r="EF1" s="102"/>
      <c r="EG1" s="102"/>
      <c r="EH1" s="102"/>
      <c r="EI1" s="102"/>
      <c r="EJ1" s="102"/>
      <c r="EK1" s="102"/>
      <c r="EL1" s="102"/>
      <c r="EM1" s="102"/>
      <c r="EN1" s="102"/>
      <c r="EO1" s="102"/>
      <c r="EP1" s="102"/>
      <c r="EQ1" s="102"/>
    </row>
    <row r="2" hidden="1">
      <c r="A2" s="103" t="s">
        <v>64</v>
      </c>
      <c r="B2" s="104">
        <v>46183.0</v>
      </c>
      <c r="C2" s="103">
        <v>210.0</v>
      </c>
      <c r="D2" s="103" t="s">
        <v>95</v>
      </c>
      <c r="E2" s="103" t="s">
        <v>96</v>
      </c>
      <c r="F2" s="103" t="s">
        <v>96</v>
      </c>
      <c r="G2" s="103" t="s">
        <v>97</v>
      </c>
      <c r="H2" s="105"/>
      <c r="I2" s="105"/>
      <c r="J2" s="106"/>
      <c r="K2" s="107"/>
      <c r="L2" s="103" t="s">
        <v>98</v>
      </c>
      <c r="M2" s="105"/>
      <c r="N2" s="105"/>
      <c r="O2" s="105"/>
      <c r="P2" s="105"/>
      <c r="Q2" s="105"/>
      <c r="R2" s="103" t="s">
        <v>98</v>
      </c>
      <c r="S2" s="103" t="s">
        <v>99</v>
      </c>
      <c r="T2" s="105"/>
      <c r="U2" s="105"/>
      <c r="V2" s="106"/>
      <c r="W2" s="107"/>
      <c r="X2" s="108" t="s">
        <v>99</v>
      </c>
      <c r="Y2" s="107"/>
      <c r="Z2" s="107"/>
      <c r="AA2" s="107"/>
      <c r="AB2" s="107"/>
      <c r="AC2" s="105"/>
      <c r="AD2" s="103" t="s">
        <v>99</v>
      </c>
      <c r="AE2" s="103" t="s">
        <v>98</v>
      </c>
      <c r="AF2" s="105"/>
      <c r="AG2" s="105"/>
      <c r="AH2" s="106"/>
      <c r="AI2" s="107"/>
      <c r="AJ2" s="103" t="s">
        <v>97</v>
      </c>
      <c r="AK2" s="105"/>
      <c r="AL2" s="105"/>
      <c r="AM2" s="105"/>
      <c r="AN2" s="105"/>
      <c r="AO2" s="105"/>
      <c r="AP2" s="103" t="s">
        <v>99</v>
      </c>
      <c r="AQ2" s="103" t="s">
        <v>97</v>
      </c>
      <c r="AR2" s="103" t="s">
        <v>96</v>
      </c>
      <c r="AS2" s="105"/>
      <c r="AT2" s="106"/>
      <c r="AU2" s="107"/>
      <c r="AV2" s="105"/>
      <c r="AW2" s="105"/>
      <c r="AX2" s="103" t="s">
        <v>96</v>
      </c>
      <c r="AY2" s="105"/>
      <c r="AZ2" s="105"/>
      <c r="BA2" s="105"/>
      <c r="BB2" s="105"/>
      <c r="BC2" s="105"/>
      <c r="BD2" s="105"/>
      <c r="BE2" s="105"/>
      <c r="BF2" s="106"/>
      <c r="BG2" s="109" t="s">
        <v>100</v>
      </c>
      <c r="BH2" s="109" t="s">
        <v>101</v>
      </c>
      <c r="BI2" s="109" t="s">
        <v>102</v>
      </c>
      <c r="BJ2" s="109" t="s">
        <v>100</v>
      </c>
      <c r="BK2" s="102"/>
      <c r="BL2" s="102"/>
      <c r="BM2" s="102"/>
      <c r="BN2" s="102"/>
      <c r="BO2" s="102"/>
      <c r="BP2" s="102"/>
      <c r="BQ2" s="102"/>
      <c r="BR2" s="102"/>
      <c r="BS2" s="102"/>
      <c r="BT2" s="102"/>
      <c r="BU2" s="102"/>
      <c r="BV2" s="102"/>
      <c r="BW2" s="102"/>
      <c r="BX2" s="102"/>
      <c r="BY2" s="102"/>
      <c r="BZ2" s="102"/>
      <c r="CA2" s="102"/>
      <c r="CB2" s="102"/>
      <c r="CC2" s="102"/>
      <c r="CD2" s="102"/>
      <c r="CE2" s="102"/>
      <c r="CF2" s="102"/>
      <c r="CG2" s="102"/>
      <c r="CH2" s="102"/>
      <c r="CI2" s="102"/>
      <c r="CJ2" s="102"/>
      <c r="CK2" s="102"/>
      <c r="CL2" s="102"/>
      <c r="CM2" s="102"/>
      <c r="CN2" s="102"/>
      <c r="CO2" s="102"/>
      <c r="CP2" s="102"/>
      <c r="CQ2" s="102"/>
      <c r="CR2" s="102"/>
      <c r="CS2" s="102"/>
      <c r="CT2" s="102"/>
      <c r="CU2" s="102"/>
      <c r="CV2" s="102"/>
      <c r="CW2" s="102"/>
      <c r="CX2" s="102"/>
      <c r="CY2" s="102"/>
      <c r="CZ2" s="102"/>
      <c r="DA2" s="102"/>
      <c r="DB2" s="102"/>
      <c r="DC2" s="102"/>
      <c r="DD2" s="102"/>
      <c r="DE2" s="102"/>
      <c r="DF2" s="102"/>
      <c r="DG2" s="102"/>
      <c r="DH2" s="102"/>
      <c r="DI2" s="102"/>
      <c r="DJ2" s="102"/>
      <c r="DK2" s="102"/>
      <c r="DL2" s="102"/>
      <c r="DM2" s="102"/>
      <c r="DN2" s="102"/>
      <c r="DO2" s="102"/>
      <c r="DP2" s="102"/>
      <c r="DQ2" s="102"/>
      <c r="DR2" s="102"/>
      <c r="DS2" s="102"/>
      <c r="DT2" s="102"/>
      <c r="DU2" s="102"/>
      <c r="DV2" s="102"/>
      <c r="DW2" s="102"/>
      <c r="DX2" s="102"/>
      <c r="DY2" s="102"/>
      <c r="DZ2" s="102"/>
      <c r="EA2" s="102"/>
      <c r="EB2" s="102"/>
      <c r="EC2" s="102"/>
      <c r="ED2" s="102"/>
      <c r="EE2" s="102"/>
      <c r="EF2" s="102"/>
      <c r="EG2" s="102"/>
      <c r="EH2" s="102"/>
      <c r="EI2" s="102"/>
      <c r="EJ2" s="102"/>
      <c r="EK2" s="102"/>
      <c r="EL2" s="102"/>
      <c r="EM2" s="102"/>
      <c r="EN2" s="102"/>
      <c r="EO2" s="102"/>
      <c r="EP2" s="102"/>
      <c r="EQ2" s="102"/>
    </row>
    <row r="3" hidden="1">
      <c r="A3" s="110" t="s">
        <v>103</v>
      </c>
      <c r="B3" s="111">
        <f t="shared" ref="B3:B152" si="1">IFERROR(
  INDEX($E$1:$AAA$1, 
    MATCH(2, 
      1/(($E3:$AAA3="NORMAL")+($E3:$AAA3="CAUTION")+($E3:$AAA3="ALERT")+($E3:$AAA3="Oil changed")), 
      1)
  ), 
  "Missing")</f>
        <v>46113</v>
      </c>
      <c r="C3" s="110">
        <v>210.0</v>
      </c>
      <c r="D3" s="110" t="s">
        <v>95</v>
      </c>
      <c r="E3" s="112"/>
      <c r="F3" s="110" t="s">
        <v>96</v>
      </c>
      <c r="G3" s="112"/>
      <c r="H3" s="112"/>
      <c r="I3" s="112"/>
      <c r="J3" s="113"/>
      <c r="K3" s="114"/>
      <c r="L3" s="115" t="s">
        <v>98</v>
      </c>
      <c r="M3" s="116"/>
      <c r="N3" s="116"/>
      <c r="O3" s="116"/>
      <c r="P3" s="116"/>
      <c r="Q3" s="116"/>
      <c r="R3" s="115" t="s">
        <v>98</v>
      </c>
      <c r="S3" s="115" t="s">
        <v>99</v>
      </c>
      <c r="T3" s="116"/>
      <c r="U3" s="116"/>
      <c r="V3" s="117"/>
      <c r="W3" s="118"/>
      <c r="X3" s="119" t="s">
        <v>99</v>
      </c>
      <c r="Y3" s="118"/>
      <c r="Z3" s="118"/>
      <c r="AA3" s="118"/>
      <c r="AB3" s="118"/>
      <c r="AC3" s="120"/>
      <c r="AD3" s="121" t="s">
        <v>99</v>
      </c>
      <c r="AE3" s="121" t="s">
        <v>96</v>
      </c>
      <c r="AF3" s="121" t="s">
        <v>98</v>
      </c>
      <c r="AG3" s="120"/>
      <c r="AH3" s="122"/>
      <c r="AI3" s="123"/>
      <c r="AJ3" s="124"/>
      <c r="AK3" s="124"/>
      <c r="AL3" s="125" t="s">
        <v>99</v>
      </c>
      <c r="AM3" s="124"/>
      <c r="AN3" s="124"/>
      <c r="AO3" s="124"/>
      <c r="AP3" s="124"/>
      <c r="AQ3" s="124"/>
      <c r="AR3" s="125" t="s">
        <v>98</v>
      </c>
      <c r="AS3" s="124"/>
      <c r="AT3" s="126"/>
      <c r="AU3" s="127"/>
      <c r="AV3" s="128" t="s">
        <v>98</v>
      </c>
      <c r="AW3" s="129"/>
      <c r="AX3" s="128" t="s">
        <v>97</v>
      </c>
      <c r="AY3" s="129"/>
      <c r="AZ3" s="129"/>
      <c r="BA3" s="129"/>
      <c r="BB3" s="129"/>
      <c r="BC3" s="129"/>
      <c r="BD3" s="129"/>
      <c r="BE3" s="129"/>
      <c r="BF3" s="130"/>
      <c r="BG3" s="129"/>
      <c r="BH3" s="129"/>
      <c r="BI3" s="129"/>
      <c r="BJ3" s="129"/>
      <c r="BK3" s="102"/>
      <c r="BL3" s="102"/>
      <c r="BM3" s="102"/>
      <c r="BN3" s="102"/>
      <c r="BO3" s="102"/>
      <c r="BP3" s="102"/>
      <c r="BQ3" s="102"/>
      <c r="BR3" s="102"/>
      <c r="BS3" s="102"/>
      <c r="BT3" s="102"/>
      <c r="BU3" s="102"/>
      <c r="BV3" s="102"/>
      <c r="BW3" s="102"/>
      <c r="BX3" s="102"/>
      <c r="BY3" s="102"/>
      <c r="BZ3" s="102"/>
      <c r="CA3" s="102"/>
      <c r="CB3" s="102"/>
      <c r="CC3" s="102"/>
      <c r="CD3" s="102"/>
      <c r="CE3" s="102"/>
      <c r="CF3" s="102"/>
      <c r="CG3" s="102"/>
      <c r="CH3" s="102"/>
      <c r="CI3" s="102"/>
      <c r="CJ3" s="102"/>
      <c r="CK3" s="102"/>
      <c r="CL3" s="102"/>
      <c r="CM3" s="102"/>
      <c r="CN3" s="102"/>
      <c r="CO3" s="102"/>
      <c r="CP3" s="102"/>
      <c r="CQ3" s="102"/>
      <c r="CR3" s="102"/>
      <c r="CS3" s="102"/>
      <c r="CT3" s="102"/>
      <c r="CU3" s="102"/>
      <c r="CV3" s="102"/>
      <c r="CW3" s="102"/>
      <c r="CX3" s="102"/>
      <c r="CY3" s="102"/>
      <c r="CZ3" s="102"/>
      <c r="DA3" s="102"/>
      <c r="DB3" s="102"/>
      <c r="DC3" s="102"/>
      <c r="DD3" s="102"/>
      <c r="DE3" s="102"/>
      <c r="DF3" s="102"/>
      <c r="DG3" s="102"/>
      <c r="DH3" s="102"/>
      <c r="DI3" s="102"/>
      <c r="DJ3" s="102"/>
      <c r="DK3" s="102"/>
      <c r="DL3" s="102"/>
      <c r="DM3" s="102"/>
      <c r="DN3" s="102"/>
      <c r="DO3" s="102"/>
      <c r="DP3" s="102"/>
      <c r="DQ3" s="102"/>
      <c r="DR3" s="102"/>
      <c r="DS3" s="102"/>
      <c r="DT3" s="102"/>
      <c r="DU3" s="102"/>
      <c r="DV3" s="102"/>
      <c r="DW3" s="102"/>
      <c r="DX3" s="102"/>
      <c r="DY3" s="102"/>
      <c r="DZ3" s="102"/>
      <c r="EA3" s="102"/>
      <c r="EB3" s="102"/>
      <c r="EC3" s="102"/>
      <c r="ED3" s="102"/>
      <c r="EE3" s="102"/>
      <c r="EF3" s="102"/>
      <c r="EG3" s="102"/>
      <c r="EH3" s="102"/>
      <c r="EI3" s="102"/>
      <c r="EJ3" s="102"/>
      <c r="EK3" s="102"/>
      <c r="EL3" s="102"/>
      <c r="EM3" s="102"/>
      <c r="EN3" s="102"/>
      <c r="EO3" s="102"/>
      <c r="EP3" s="102"/>
      <c r="EQ3" s="102"/>
    </row>
    <row r="4" hidden="1">
      <c r="A4" s="103" t="s">
        <v>104</v>
      </c>
      <c r="B4" s="131">
        <f t="shared" si="1"/>
        <v>46113</v>
      </c>
      <c r="C4" s="103">
        <v>210.0</v>
      </c>
      <c r="D4" s="103" t="s">
        <v>95</v>
      </c>
      <c r="E4" s="105"/>
      <c r="F4" s="103" t="s">
        <v>98</v>
      </c>
      <c r="G4" s="105"/>
      <c r="H4" s="105"/>
      <c r="I4" s="105"/>
      <c r="J4" s="106"/>
      <c r="K4" s="107"/>
      <c r="L4" s="103" t="s">
        <v>97</v>
      </c>
      <c r="M4" s="105"/>
      <c r="N4" s="105"/>
      <c r="O4" s="105"/>
      <c r="P4" s="105"/>
      <c r="Q4" s="105"/>
      <c r="R4" s="103" t="s">
        <v>98</v>
      </c>
      <c r="S4" s="103" t="s">
        <v>99</v>
      </c>
      <c r="T4" s="105"/>
      <c r="U4" s="105"/>
      <c r="V4" s="106"/>
      <c r="W4" s="107"/>
      <c r="X4" s="108" t="s">
        <v>99</v>
      </c>
      <c r="Y4" s="107"/>
      <c r="Z4" s="107"/>
      <c r="AA4" s="107"/>
      <c r="AB4" s="107"/>
      <c r="AC4" s="105"/>
      <c r="AD4" s="103" t="s">
        <v>99</v>
      </c>
      <c r="AE4" s="103" t="s">
        <v>96</v>
      </c>
      <c r="AF4" s="103" t="s">
        <v>96</v>
      </c>
      <c r="AG4" s="105"/>
      <c r="AH4" s="106"/>
      <c r="AI4" s="107"/>
      <c r="AJ4" s="105"/>
      <c r="AK4" s="105"/>
      <c r="AL4" s="103" t="s">
        <v>99</v>
      </c>
      <c r="AM4" s="105"/>
      <c r="AN4" s="105"/>
      <c r="AO4" s="105"/>
      <c r="AP4" s="105"/>
      <c r="AQ4" s="105"/>
      <c r="AR4" s="103" t="s">
        <v>96</v>
      </c>
      <c r="AS4" s="105"/>
      <c r="AT4" s="106"/>
      <c r="AU4" s="107"/>
      <c r="AV4" s="105"/>
      <c r="AW4" s="105"/>
      <c r="AX4" s="103" t="s">
        <v>98</v>
      </c>
      <c r="AY4" s="105"/>
      <c r="AZ4" s="105"/>
      <c r="BA4" s="105"/>
      <c r="BB4" s="105"/>
      <c r="BC4" s="105"/>
      <c r="BD4" s="105"/>
      <c r="BE4" s="105"/>
      <c r="BF4" s="106"/>
      <c r="BG4" s="105"/>
      <c r="BH4" s="105"/>
      <c r="BI4" s="105"/>
      <c r="BJ4" s="105"/>
      <c r="BK4" s="102"/>
      <c r="BL4" s="102"/>
      <c r="BM4" s="102"/>
      <c r="BN4" s="102"/>
      <c r="BO4" s="102"/>
      <c r="BP4" s="102"/>
      <c r="BQ4" s="102"/>
      <c r="BR4" s="102"/>
      <c r="BS4" s="102"/>
      <c r="BT4" s="102"/>
      <c r="BU4" s="102"/>
      <c r="BV4" s="102"/>
      <c r="BW4" s="102"/>
      <c r="BX4" s="102"/>
      <c r="BY4" s="102"/>
      <c r="BZ4" s="102"/>
      <c r="CA4" s="102"/>
      <c r="CB4" s="102"/>
      <c r="CC4" s="102"/>
      <c r="CD4" s="102"/>
      <c r="CE4" s="102"/>
      <c r="CF4" s="102"/>
      <c r="CG4" s="102"/>
      <c r="CH4" s="102"/>
      <c r="CI4" s="102"/>
      <c r="CJ4" s="102"/>
      <c r="CK4" s="102"/>
      <c r="CL4" s="102"/>
      <c r="CM4" s="102"/>
      <c r="CN4" s="102"/>
      <c r="CO4" s="102"/>
      <c r="CP4" s="102"/>
      <c r="CQ4" s="102"/>
      <c r="CR4" s="102"/>
      <c r="CS4" s="102"/>
      <c r="CT4" s="102"/>
      <c r="CU4" s="102"/>
      <c r="CV4" s="102"/>
      <c r="CW4" s="102"/>
      <c r="CX4" s="102"/>
      <c r="CY4" s="102"/>
      <c r="CZ4" s="102"/>
      <c r="DA4" s="102"/>
      <c r="DB4" s="102"/>
      <c r="DC4" s="102"/>
      <c r="DD4" s="102"/>
      <c r="DE4" s="102"/>
      <c r="DF4" s="102"/>
      <c r="DG4" s="102"/>
      <c r="DH4" s="102"/>
      <c r="DI4" s="102"/>
      <c r="DJ4" s="102"/>
      <c r="DK4" s="102"/>
      <c r="DL4" s="102"/>
      <c r="DM4" s="102"/>
      <c r="DN4" s="102"/>
      <c r="DO4" s="102"/>
      <c r="DP4" s="102"/>
      <c r="DQ4" s="102"/>
      <c r="DR4" s="102"/>
      <c r="DS4" s="102"/>
      <c r="DT4" s="102"/>
      <c r="DU4" s="102"/>
      <c r="DV4" s="102"/>
      <c r="DW4" s="102"/>
      <c r="DX4" s="102"/>
      <c r="DY4" s="102"/>
      <c r="DZ4" s="102"/>
      <c r="EA4" s="102"/>
      <c r="EB4" s="102"/>
      <c r="EC4" s="102"/>
      <c r="ED4" s="102"/>
      <c r="EE4" s="102"/>
      <c r="EF4" s="102"/>
      <c r="EG4" s="102"/>
      <c r="EH4" s="102"/>
      <c r="EI4" s="102"/>
      <c r="EJ4" s="102"/>
      <c r="EK4" s="102"/>
      <c r="EL4" s="102"/>
      <c r="EM4" s="102"/>
      <c r="EN4" s="102"/>
      <c r="EO4" s="102"/>
      <c r="EP4" s="102"/>
      <c r="EQ4" s="102"/>
    </row>
    <row r="5" hidden="1">
      <c r="A5" s="110" t="s">
        <v>105</v>
      </c>
      <c r="B5" s="111">
        <f t="shared" si="1"/>
        <v>46113</v>
      </c>
      <c r="C5" s="110">
        <v>210.0</v>
      </c>
      <c r="D5" s="110" t="s">
        <v>95</v>
      </c>
      <c r="E5" s="112"/>
      <c r="F5" s="110" t="s">
        <v>96</v>
      </c>
      <c r="G5" s="112"/>
      <c r="H5" s="112"/>
      <c r="I5" s="112"/>
      <c r="J5" s="113"/>
      <c r="K5" s="114"/>
      <c r="L5" s="115" t="s">
        <v>97</v>
      </c>
      <c r="M5" s="116"/>
      <c r="N5" s="116"/>
      <c r="O5" s="116"/>
      <c r="P5" s="116"/>
      <c r="Q5" s="116"/>
      <c r="R5" s="115" t="s">
        <v>98</v>
      </c>
      <c r="S5" s="115" t="s">
        <v>99</v>
      </c>
      <c r="T5" s="116"/>
      <c r="U5" s="116"/>
      <c r="V5" s="117"/>
      <c r="W5" s="118"/>
      <c r="X5" s="119" t="s">
        <v>99</v>
      </c>
      <c r="Y5" s="118"/>
      <c r="Z5" s="118"/>
      <c r="AA5" s="118"/>
      <c r="AB5" s="118"/>
      <c r="AC5" s="120"/>
      <c r="AD5" s="121" t="s">
        <v>99</v>
      </c>
      <c r="AE5" s="121" t="s">
        <v>98</v>
      </c>
      <c r="AF5" s="120"/>
      <c r="AG5" s="120"/>
      <c r="AH5" s="122"/>
      <c r="AI5" s="123"/>
      <c r="AJ5" s="125" t="s">
        <v>98</v>
      </c>
      <c r="AK5" s="124"/>
      <c r="AL5" s="124"/>
      <c r="AM5" s="124"/>
      <c r="AN5" s="124"/>
      <c r="AO5" s="124"/>
      <c r="AP5" s="125" t="s">
        <v>99</v>
      </c>
      <c r="AQ5" s="125" t="s">
        <v>98</v>
      </c>
      <c r="AR5" s="124"/>
      <c r="AS5" s="124"/>
      <c r="AT5" s="126"/>
      <c r="AU5" s="127"/>
      <c r="AV5" s="129"/>
      <c r="AW5" s="128" t="s">
        <v>96</v>
      </c>
      <c r="AX5" s="128" t="s">
        <v>106</v>
      </c>
      <c r="AY5" s="129"/>
      <c r="AZ5" s="129"/>
      <c r="BA5" s="129"/>
      <c r="BB5" s="129"/>
      <c r="BC5" s="129"/>
      <c r="BD5" s="129"/>
      <c r="BE5" s="129"/>
      <c r="BF5" s="130"/>
      <c r="BG5" s="129"/>
      <c r="BH5" s="129"/>
      <c r="BI5" s="129"/>
      <c r="BJ5" s="129"/>
      <c r="BK5" s="102"/>
      <c r="BL5" s="102"/>
      <c r="BM5" s="102"/>
      <c r="BN5" s="102"/>
      <c r="BO5" s="102"/>
      <c r="BP5" s="102"/>
      <c r="BQ5" s="102"/>
      <c r="BR5" s="102"/>
      <c r="BS5" s="102"/>
      <c r="BT5" s="102"/>
      <c r="BU5" s="102"/>
      <c r="BV5" s="102"/>
      <c r="BW5" s="102"/>
      <c r="BX5" s="102"/>
      <c r="BY5" s="102"/>
      <c r="BZ5" s="102"/>
      <c r="CA5" s="102"/>
      <c r="CB5" s="102"/>
      <c r="CC5" s="102"/>
      <c r="CD5" s="102"/>
      <c r="CE5" s="102"/>
      <c r="CF5" s="102"/>
      <c r="CG5" s="102"/>
      <c r="CH5" s="102"/>
      <c r="CI5" s="102"/>
      <c r="CJ5" s="102"/>
      <c r="CK5" s="102"/>
      <c r="CL5" s="102"/>
      <c r="CM5" s="102"/>
      <c r="CN5" s="102"/>
      <c r="CO5" s="102"/>
      <c r="CP5" s="102"/>
      <c r="CQ5" s="102"/>
      <c r="CR5" s="102"/>
      <c r="CS5" s="102"/>
      <c r="CT5" s="102"/>
      <c r="CU5" s="102"/>
      <c r="CV5" s="102"/>
      <c r="CW5" s="102"/>
      <c r="CX5" s="102"/>
      <c r="CY5" s="102"/>
      <c r="CZ5" s="102"/>
      <c r="DA5" s="102"/>
      <c r="DB5" s="102"/>
      <c r="DC5" s="102"/>
      <c r="DD5" s="102"/>
      <c r="DE5" s="102"/>
      <c r="DF5" s="102"/>
      <c r="DG5" s="102"/>
      <c r="DH5" s="102"/>
      <c r="DI5" s="102"/>
      <c r="DJ5" s="102"/>
      <c r="DK5" s="102"/>
      <c r="DL5" s="102"/>
      <c r="DM5" s="102"/>
      <c r="DN5" s="102"/>
      <c r="DO5" s="102"/>
      <c r="DP5" s="102"/>
      <c r="DQ5" s="102"/>
      <c r="DR5" s="102"/>
      <c r="DS5" s="102"/>
      <c r="DT5" s="102"/>
      <c r="DU5" s="102"/>
      <c r="DV5" s="102"/>
      <c r="DW5" s="102"/>
      <c r="DX5" s="102"/>
      <c r="DY5" s="102"/>
      <c r="DZ5" s="102"/>
      <c r="EA5" s="102"/>
      <c r="EB5" s="102"/>
      <c r="EC5" s="102"/>
      <c r="ED5" s="102"/>
      <c r="EE5" s="102"/>
      <c r="EF5" s="102"/>
      <c r="EG5" s="102"/>
      <c r="EH5" s="102"/>
      <c r="EI5" s="102"/>
      <c r="EJ5" s="102"/>
      <c r="EK5" s="102"/>
      <c r="EL5" s="102"/>
      <c r="EM5" s="102"/>
      <c r="EN5" s="102"/>
      <c r="EO5" s="102"/>
      <c r="EP5" s="102"/>
      <c r="EQ5" s="102"/>
    </row>
    <row r="6" hidden="1">
      <c r="A6" s="103" t="s">
        <v>107</v>
      </c>
      <c r="B6" s="131">
        <f t="shared" si="1"/>
        <v>46113</v>
      </c>
      <c r="C6" s="103">
        <v>210.0</v>
      </c>
      <c r="D6" s="103" t="s">
        <v>95</v>
      </c>
      <c r="E6" s="105"/>
      <c r="F6" s="103" t="s">
        <v>97</v>
      </c>
      <c r="G6" s="103" t="s">
        <v>97</v>
      </c>
      <c r="H6" s="105"/>
      <c r="I6" s="105"/>
      <c r="J6" s="106"/>
      <c r="K6" s="107"/>
      <c r="L6" s="103" t="s">
        <v>96</v>
      </c>
      <c r="M6" s="105"/>
      <c r="N6" s="105"/>
      <c r="O6" s="105"/>
      <c r="P6" s="105"/>
      <c r="Q6" s="105"/>
      <c r="R6" s="103" t="s">
        <v>97</v>
      </c>
      <c r="S6" s="103" t="s">
        <v>99</v>
      </c>
      <c r="T6" s="105"/>
      <c r="U6" s="105"/>
      <c r="V6" s="106"/>
      <c r="W6" s="107"/>
      <c r="X6" s="108" t="s">
        <v>99</v>
      </c>
      <c r="Y6" s="107"/>
      <c r="Z6" s="107"/>
      <c r="AA6" s="103" t="s">
        <v>97</v>
      </c>
      <c r="AB6" s="103" t="s">
        <v>97</v>
      </c>
      <c r="AC6" s="105"/>
      <c r="AD6" s="105"/>
      <c r="AE6" s="103" t="s">
        <v>97</v>
      </c>
      <c r="AF6" s="105"/>
      <c r="AG6" s="105"/>
      <c r="AH6" s="106"/>
      <c r="AI6" s="107"/>
      <c r="AJ6" s="103" t="s">
        <v>96</v>
      </c>
      <c r="AK6" s="105"/>
      <c r="AL6" s="105"/>
      <c r="AM6" s="105"/>
      <c r="AN6" s="105"/>
      <c r="AO6" s="105"/>
      <c r="AP6" s="103" t="s">
        <v>99</v>
      </c>
      <c r="AQ6" s="103" t="s">
        <v>97</v>
      </c>
      <c r="AR6" s="105"/>
      <c r="AS6" s="105"/>
      <c r="AT6" s="106"/>
      <c r="AU6" s="107"/>
      <c r="AV6" s="105"/>
      <c r="AW6" s="103" t="s">
        <v>97</v>
      </c>
      <c r="AX6" s="103" t="s">
        <v>106</v>
      </c>
      <c r="AY6" s="105"/>
      <c r="AZ6" s="105"/>
      <c r="BA6" s="105"/>
      <c r="BB6" s="105"/>
      <c r="BC6" s="105"/>
      <c r="BD6" s="105"/>
      <c r="BE6" s="105"/>
      <c r="BF6" s="106"/>
      <c r="BG6" s="105"/>
      <c r="BH6" s="105"/>
      <c r="BI6" s="105"/>
      <c r="BJ6" s="105"/>
      <c r="BK6" s="102"/>
      <c r="BL6" s="102"/>
      <c r="BM6" s="102"/>
      <c r="BN6" s="102"/>
      <c r="BO6" s="102"/>
      <c r="BP6" s="102"/>
      <c r="BQ6" s="102"/>
      <c r="BR6" s="102"/>
      <c r="BS6" s="102"/>
      <c r="BT6" s="102"/>
      <c r="BU6" s="102"/>
      <c r="BV6" s="102"/>
      <c r="BW6" s="102"/>
      <c r="BX6" s="102"/>
      <c r="BY6" s="102"/>
      <c r="BZ6" s="102"/>
      <c r="CA6" s="102"/>
      <c r="CB6" s="102"/>
      <c r="CC6" s="102"/>
      <c r="CD6" s="102"/>
      <c r="CE6" s="102"/>
      <c r="CF6" s="102"/>
      <c r="CG6" s="102"/>
      <c r="CH6" s="102"/>
      <c r="CI6" s="102"/>
      <c r="CJ6" s="102"/>
      <c r="CK6" s="102"/>
      <c r="CL6" s="102"/>
      <c r="CM6" s="102"/>
      <c r="CN6" s="102"/>
      <c r="CO6" s="102"/>
      <c r="CP6" s="102"/>
      <c r="CQ6" s="102"/>
      <c r="CR6" s="102"/>
      <c r="CS6" s="102"/>
      <c r="CT6" s="102"/>
      <c r="CU6" s="102"/>
      <c r="CV6" s="102"/>
      <c r="CW6" s="102"/>
      <c r="CX6" s="102"/>
      <c r="CY6" s="102"/>
      <c r="CZ6" s="102"/>
      <c r="DA6" s="102"/>
      <c r="DB6" s="102"/>
      <c r="DC6" s="102"/>
      <c r="DD6" s="102"/>
      <c r="DE6" s="102"/>
      <c r="DF6" s="102"/>
      <c r="DG6" s="102"/>
      <c r="DH6" s="102"/>
      <c r="DI6" s="102"/>
      <c r="DJ6" s="102"/>
      <c r="DK6" s="102"/>
      <c r="DL6" s="102"/>
      <c r="DM6" s="102"/>
      <c r="DN6" s="102"/>
      <c r="DO6" s="102"/>
      <c r="DP6" s="102"/>
      <c r="DQ6" s="102"/>
      <c r="DR6" s="102"/>
      <c r="DS6" s="102"/>
      <c r="DT6" s="102"/>
      <c r="DU6" s="102"/>
      <c r="DV6" s="102"/>
      <c r="DW6" s="102"/>
      <c r="DX6" s="102"/>
      <c r="DY6" s="102"/>
      <c r="DZ6" s="102"/>
      <c r="EA6" s="102"/>
      <c r="EB6" s="102"/>
      <c r="EC6" s="102"/>
      <c r="ED6" s="102"/>
      <c r="EE6" s="102"/>
      <c r="EF6" s="102"/>
      <c r="EG6" s="102"/>
      <c r="EH6" s="102"/>
      <c r="EI6" s="102"/>
      <c r="EJ6" s="102"/>
      <c r="EK6" s="102"/>
      <c r="EL6" s="102"/>
      <c r="EM6" s="102"/>
      <c r="EN6" s="102"/>
      <c r="EO6" s="102"/>
      <c r="EP6" s="102"/>
      <c r="EQ6" s="102"/>
    </row>
    <row r="7" hidden="1">
      <c r="A7" s="110" t="s">
        <v>108</v>
      </c>
      <c r="B7" s="111">
        <f t="shared" si="1"/>
        <v>46113</v>
      </c>
      <c r="C7" s="110">
        <v>120.0</v>
      </c>
      <c r="D7" s="110" t="s">
        <v>109</v>
      </c>
      <c r="E7" s="110" t="s">
        <v>98</v>
      </c>
      <c r="F7" s="112"/>
      <c r="G7" s="112"/>
      <c r="H7" s="110" t="s">
        <v>99</v>
      </c>
      <c r="I7" s="112"/>
      <c r="J7" s="113"/>
      <c r="K7" s="132" t="s">
        <v>98</v>
      </c>
      <c r="L7" s="116"/>
      <c r="M7" s="116"/>
      <c r="N7" s="115" t="s">
        <v>99</v>
      </c>
      <c r="O7" s="116"/>
      <c r="P7" s="116"/>
      <c r="Q7" s="115" t="s">
        <v>96</v>
      </c>
      <c r="R7" s="115" t="s">
        <v>98</v>
      </c>
      <c r="S7" s="115" t="s">
        <v>99</v>
      </c>
      <c r="T7" s="116"/>
      <c r="U7" s="115" t="s">
        <v>99</v>
      </c>
      <c r="V7" s="117"/>
      <c r="W7" s="118"/>
      <c r="X7" s="121" t="s">
        <v>99</v>
      </c>
      <c r="Y7" s="120"/>
      <c r="Z7" s="120"/>
      <c r="AA7" s="121" t="s">
        <v>99</v>
      </c>
      <c r="AB7" s="120"/>
      <c r="AC7" s="121" t="s">
        <v>96</v>
      </c>
      <c r="AD7" s="120"/>
      <c r="AE7" s="121" t="s">
        <v>96</v>
      </c>
      <c r="AF7" s="120"/>
      <c r="AG7" s="121" t="s">
        <v>96</v>
      </c>
      <c r="AH7" s="122"/>
      <c r="AI7" s="123"/>
      <c r="AJ7" s="125" t="s">
        <v>99</v>
      </c>
      <c r="AK7" s="124"/>
      <c r="AL7" s="124"/>
      <c r="AM7" s="125" t="s">
        <v>99</v>
      </c>
      <c r="AN7" s="125" t="s">
        <v>98</v>
      </c>
      <c r="AO7" s="124"/>
      <c r="AP7" s="124"/>
      <c r="AQ7" s="125" t="s">
        <v>99</v>
      </c>
      <c r="AR7" s="125" t="s">
        <v>99</v>
      </c>
      <c r="AS7" s="125" t="s">
        <v>96</v>
      </c>
      <c r="AT7" s="126"/>
      <c r="AU7" s="127"/>
      <c r="AV7" s="128" t="s">
        <v>99</v>
      </c>
      <c r="AW7" s="128" t="s">
        <v>96</v>
      </c>
      <c r="AX7" s="128" t="s">
        <v>96</v>
      </c>
      <c r="AY7" s="129"/>
      <c r="AZ7" s="129"/>
      <c r="BA7" s="129"/>
      <c r="BB7" s="129"/>
      <c r="BC7" s="129"/>
      <c r="BD7" s="129"/>
      <c r="BE7" s="129"/>
      <c r="BF7" s="130"/>
      <c r="BG7" s="129"/>
      <c r="BH7" s="129"/>
      <c r="BI7" s="129"/>
      <c r="BJ7" s="129"/>
      <c r="BK7" s="102"/>
      <c r="BL7" s="102"/>
      <c r="BM7" s="102"/>
      <c r="BN7" s="102"/>
      <c r="BO7" s="102"/>
      <c r="BP7" s="102"/>
      <c r="BQ7" s="102"/>
      <c r="BR7" s="102"/>
      <c r="BS7" s="102"/>
      <c r="BT7" s="102"/>
      <c r="BU7" s="102"/>
      <c r="BV7" s="102"/>
      <c r="BW7" s="102"/>
      <c r="BX7" s="102"/>
      <c r="BY7" s="102"/>
      <c r="BZ7" s="102"/>
      <c r="CA7" s="102"/>
      <c r="CB7" s="102"/>
      <c r="CC7" s="102"/>
      <c r="CD7" s="102"/>
      <c r="CE7" s="102"/>
      <c r="CF7" s="102"/>
      <c r="CG7" s="102"/>
      <c r="CH7" s="102"/>
      <c r="CI7" s="102"/>
      <c r="CJ7" s="102"/>
      <c r="CK7" s="102"/>
      <c r="CL7" s="102"/>
      <c r="CM7" s="102"/>
      <c r="CN7" s="102"/>
      <c r="CO7" s="102"/>
      <c r="CP7" s="102"/>
      <c r="CQ7" s="102"/>
      <c r="CR7" s="102"/>
      <c r="CS7" s="102"/>
      <c r="CT7" s="102"/>
      <c r="CU7" s="102"/>
      <c r="CV7" s="102"/>
      <c r="CW7" s="102"/>
      <c r="CX7" s="102"/>
      <c r="CY7" s="102"/>
      <c r="CZ7" s="102"/>
      <c r="DA7" s="102"/>
      <c r="DB7" s="102"/>
      <c r="DC7" s="102"/>
      <c r="DD7" s="102"/>
      <c r="DE7" s="102"/>
      <c r="DF7" s="102"/>
      <c r="DG7" s="102"/>
      <c r="DH7" s="102"/>
      <c r="DI7" s="102"/>
      <c r="DJ7" s="102"/>
      <c r="DK7" s="102"/>
      <c r="DL7" s="102"/>
      <c r="DM7" s="102"/>
      <c r="DN7" s="102"/>
      <c r="DO7" s="102"/>
      <c r="DP7" s="102"/>
      <c r="DQ7" s="102"/>
      <c r="DR7" s="102"/>
      <c r="DS7" s="102"/>
      <c r="DT7" s="102"/>
      <c r="DU7" s="102"/>
      <c r="DV7" s="102"/>
      <c r="DW7" s="102"/>
      <c r="DX7" s="102"/>
      <c r="DY7" s="102"/>
      <c r="DZ7" s="102"/>
      <c r="EA7" s="102"/>
      <c r="EB7" s="102"/>
      <c r="EC7" s="102"/>
      <c r="ED7" s="102"/>
      <c r="EE7" s="102"/>
      <c r="EF7" s="102"/>
      <c r="EG7" s="102"/>
      <c r="EH7" s="102"/>
      <c r="EI7" s="102"/>
      <c r="EJ7" s="102"/>
      <c r="EK7" s="102"/>
      <c r="EL7" s="102"/>
      <c r="EM7" s="102"/>
      <c r="EN7" s="102"/>
      <c r="EO7" s="102"/>
      <c r="EP7" s="102"/>
      <c r="EQ7" s="102"/>
    </row>
    <row r="8" hidden="1">
      <c r="A8" s="103" t="s">
        <v>110</v>
      </c>
      <c r="B8" s="131">
        <f t="shared" si="1"/>
        <v>46054</v>
      </c>
      <c r="C8" s="103">
        <v>120.0</v>
      </c>
      <c r="D8" s="103" t="s">
        <v>109</v>
      </c>
      <c r="E8" s="103" t="s">
        <v>98</v>
      </c>
      <c r="F8" s="105"/>
      <c r="G8" s="105"/>
      <c r="H8" s="103" t="s">
        <v>99</v>
      </c>
      <c r="I8" s="105"/>
      <c r="J8" s="106"/>
      <c r="K8" s="108" t="s">
        <v>98</v>
      </c>
      <c r="L8" s="105"/>
      <c r="M8" s="105"/>
      <c r="N8" s="103" t="s">
        <v>99</v>
      </c>
      <c r="O8" s="105"/>
      <c r="P8" s="105"/>
      <c r="Q8" s="103" t="s">
        <v>98</v>
      </c>
      <c r="R8" s="105"/>
      <c r="S8" s="103" t="s">
        <v>99</v>
      </c>
      <c r="T8" s="103" t="s">
        <v>99</v>
      </c>
      <c r="U8" s="105"/>
      <c r="V8" s="106"/>
      <c r="W8" s="108" t="s">
        <v>99</v>
      </c>
      <c r="X8" s="105"/>
      <c r="Y8" s="105"/>
      <c r="Z8" s="103" t="s">
        <v>99</v>
      </c>
      <c r="AA8" s="105"/>
      <c r="AB8" s="105"/>
      <c r="AC8" s="103" t="s">
        <v>96</v>
      </c>
      <c r="AD8" s="105"/>
      <c r="AE8" s="103" t="s">
        <v>96</v>
      </c>
      <c r="AF8" s="105"/>
      <c r="AG8" s="103" t="s">
        <v>96</v>
      </c>
      <c r="AH8" s="106"/>
      <c r="AI8" s="107"/>
      <c r="AJ8" s="103" t="s">
        <v>99</v>
      </c>
      <c r="AK8" s="105"/>
      <c r="AL8" s="105"/>
      <c r="AM8" s="103" t="s">
        <v>99</v>
      </c>
      <c r="AN8" s="103" t="s">
        <v>96</v>
      </c>
      <c r="AO8" s="105"/>
      <c r="AP8" s="105"/>
      <c r="AQ8" s="103" t="s">
        <v>99</v>
      </c>
      <c r="AR8" s="103" t="s">
        <v>99</v>
      </c>
      <c r="AS8" s="103" t="s">
        <v>98</v>
      </c>
      <c r="AT8" s="106"/>
      <c r="AU8" s="107"/>
      <c r="AV8" s="103" t="s">
        <v>98</v>
      </c>
      <c r="AW8" s="105"/>
      <c r="AX8" s="105"/>
      <c r="AY8" s="105"/>
      <c r="AZ8" s="105"/>
      <c r="BA8" s="105"/>
      <c r="BB8" s="105"/>
      <c r="BC8" s="105"/>
      <c r="BD8" s="105"/>
      <c r="BE8" s="105"/>
      <c r="BF8" s="106"/>
      <c r="BG8" s="105"/>
      <c r="BH8" s="105"/>
      <c r="BI8" s="105"/>
      <c r="BJ8" s="105"/>
      <c r="BK8" s="102"/>
      <c r="BL8" s="102"/>
      <c r="BM8" s="102"/>
      <c r="BN8" s="102"/>
      <c r="BO8" s="102"/>
      <c r="BP8" s="102"/>
      <c r="BQ8" s="102"/>
      <c r="BR8" s="102"/>
      <c r="BS8" s="102"/>
      <c r="BT8" s="102"/>
      <c r="BU8" s="102"/>
      <c r="BV8" s="102"/>
      <c r="BW8" s="102"/>
      <c r="BX8" s="102"/>
      <c r="BY8" s="102"/>
      <c r="BZ8" s="102"/>
      <c r="CA8" s="102"/>
      <c r="CB8" s="102"/>
      <c r="CC8" s="102"/>
      <c r="CD8" s="102"/>
      <c r="CE8" s="102"/>
      <c r="CF8" s="102"/>
      <c r="CG8" s="102"/>
      <c r="CH8" s="102"/>
      <c r="CI8" s="102"/>
      <c r="CJ8" s="102"/>
      <c r="CK8" s="102"/>
      <c r="CL8" s="102"/>
      <c r="CM8" s="102"/>
      <c r="CN8" s="102"/>
      <c r="CO8" s="102"/>
      <c r="CP8" s="102"/>
      <c r="CQ8" s="102"/>
      <c r="CR8" s="102"/>
      <c r="CS8" s="102"/>
      <c r="CT8" s="102"/>
      <c r="CU8" s="102"/>
      <c r="CV8" s="102"/>
      <c r="CW8" s="102"/>
      <c r="CX8" s="102"/>
      <c r="CY8" s="102"/>
      <c r="CZ8" s="102"/>
      <c r="DA8" s="102"/>
      <c r="DB8" s="102"/>
      <c r="DC8" s="102"/>
      <c r="DD8" s="102"/>
      <c r="DE8" s="102"/>
      <c r="DF8" s="102"/>
      <c r="DG8" s="102"/>
      <c r="DH8" s="102"/>
      <c r="DI8" s="102"/>
      <c r="DJ8" s="102"/>
      <c r="DK8" s="102"/>
      <c r="DL8" s="102"/>
      <c r="DM8" s="102"/>
      <c r="DN8" s="102"/>
      <c r="DO8" s="102"/>
      <c r="DP8" s="102"/>
      <c r="DQ8" s="102"/>
      <c r="DR8" s="102"/>
      <c r="DS8" s="102"/>
      <c r="DT8" s="102"/>
      <c r="DU8" s="102"/>
      <c r="DV8" s="102"/>
      <c r="DW8" s="102"/>
      <c r="DX8" s="102"/>
      <c r="DY8" s="102"/>
      <c r="DZ8" s="102"/>
      <c r="EA8" s="102"/>
      <c r="EB8" s="102"/>
      <c r="EC8" s="102"/>
      <c r="ED8" s="102"/>
      <c r="EE8" s="102"/>
      <c r="EF8" s="102"/>
      <c r="EG8" s="102"/>
      <c r="EH8" s="102"/>
      <c r="EI8" s="102"/>
      <c r="EJ8" s="102"/>
      <c r="EK8" s="102"/>
      <c r="EL8" s="102"/>
      <c r="EM8" s="102"/>
      <c r="EN8" s="102"/>
      <c r="EO8" s="102"/>
      <c r="EP8" s="102"/>
      <c r="EQ8" s="102"/>
    </row>
    <row r="9" hidden="1">
      <c r="A9" s="110" t="s">
        <v>111</v>
      </c>
      <c r="B9" s="111">
        <f t="shared" si="1"/>
        <v>46054</v>
      </c>
      <c r="C9" s="110">
        <v>120.0</v>
      </c>
      <c r="D9" s="110" t="s">
        <v>109</v>
      </c>
      <c r="E9" s="110" t="s">
        <v>98</v>
      </c>
      <c r="F9" s="112"/>
      <c r="G9" s="112"/>
      <c r="H9" s="110" t="s">
        <v>99</v>
      </c>
      <c r="I9" s="112"/>
      <c r="J9" s="113"/>
      <c r="K9" s="132" t="s">
        <v>96</v>
      </c>
      <c r="L9" s="115" t="s">
        <v>96</v>
      </c>
      <c r="M9" s="116"/>
      <c r="N9" s="116"/>
      <c r="O9" s="115" t="s">
        <v>99</v>
      </c>
      <c r="P9" s="116"/>
      <c r="Q9" s="115" t="s">
        <v>96</v>
      </c>
      <c r="R9" s="115" t="s">
        <v>98</v>
      </c>
      <c r="S9" s="115" t="s">
        <v>99</v>
      </c>
      <c r="T9" s="116"/>
      <c r="U9" s="115" t="s">
        <v>99</v>
      </c>
      <c r="V9" s="117"/>
      <c r="W9" s="118"/>
      <c r="X9" s="121" t="s">
        <v>99</v>
      </c>
      <c r="Y9" s="120"/>
      <c r="Z9" s="120"/>
      <c r="AA9" s="121" t="s">
        <v>99</v>
      </c>
      <c r="AB9" s="120"/>
      <c r="AC9" s="121" t="s">
        <v>97</v>
      </c>
      <c r="AD9" s="120"/>
      <c r="AE9" s="121" t="s">
        <v>96</v>
      </c>
      <c r="AF9" s="120"/>
      <c r="AG9" s="121" t="s">
        <v>98</v>
      </c>
      <c r="AH9" s="122"/>
      <c r="AI9" s="123"/>
      <c r="AJ9" s="125" t="s">
        <v>99</v>
      </c>
      <c r="AK9" s="124"/>
      <c r="AL9" s="124"/>
      <c r="AM9" s="125" t="s">
        <v>99</v>
      </c>
      <c r="AN9" s="125" t="s">
        <v>96</v>
      </c>
      <c r="AO9" s="124"/>
      <c r="AP9" s="124"/>
      <c r="AQ9" s="125" t="s">
        <v>99</v>
      </c>
      <c r="AR9" s="125" t="s">
        <v>99</v>
      </c>
      <c r="AS9" s="125" t="s">
        <v>97</v>
      </c>
      <c r="AT9" s="133" t="s">
        <v>98</v>
      </c>
      <c r="AU9" s="127"/>
      <c r="AV9" s="128" t="s">
        <v>98</v>
      </c>
      <c r="AW9" s="129"/>
      <c r="AX9" s="129"/>
      <c r="AY9" s="129"/>
      <c r="AZ9" s="129"/>
      <c r="BA9" s="129"/>
      <c r="BB9" s="129"/>
      <c r="BC9" s="129"/>
      <c r="BD9" s="129"/>
      <c r="BE9" s="129"/>
      <c r="BF9" s="130"/>
      <c r="BG9" s="129"/>
      <c r="BH9" s="129"/>
      <c r="BI9" s="129"/>
      <c r="BJ9" s="129"/>
      <c r="BK9" s="102"/>
      <c r="BL9" s="102"/>
      <c r="BM9" s="102"/>
      <c r="BN9" s="102"/>
      <c r="BO9" s="102"/>
      <c r="BP9" s="102"/>
      <c r="BQ9" s="102"/>
      <c r="BR9" s="102"/>
      <c r="BS9" s="102"/>
      <c r="BT9" s="102"/>
      <c r="BU9" s="102"/>
      <c r="BV9" s="102"/>
      <c r="BW9" s="102"/>
      <c r="BX9" s="102"/>
      <c r="BY9" s="102"/>
      <c r="BZ9" s="102"/>
      <c r="CA9" s="102"/>
      <c r="CB9" s="102"/>
      <c r="CC9" s="102"/>
      <c r="CD9" s="102"/>
      <c r="CE9" s="102"/>
      <c r="CF9" s="102"/>
      <c r="CG9" s="102"/>
      <c r="CH9" s="102"/>
      <c r="CI9" s="102"/>
      <c r="CJ9" s="102"/>
      <c r="CK9" s="102"/>
      <c r="CL9" s="102"/>
      <c r="CM9" s="102"/>
      <c r="CN9" s="102"/>
      <c r="CO9" s="102"/>
      <c r="CP9" s="102"/>
      <c r="CQ9" s="102"/>
      <c r="CR9" s="102"/>
      <c r="CS9" s="102"/>
      <c r="CT9" s="102"/>
      <c r="CU9" s="102"/>
      <c r="CV9" s="102"/>
      <c r="CW9" s="102"/>
      <c r="CX9" s="102"/>
      <c r="CY9" s="102"/>
      <c r="CZ9" s="102"/>
      <c r="DA9" s="102"/>
      <c r="DB9" s="102"/>
      <c r="DC9" s="102"/>
      <c r="DD9" s="102"/>
      <c r="DE9" s="102"/>
      <c r="DF9" s="102"/>
      <c r="DG9" s="102"/>
      <c r="DH9" s="102"/>
      <c r="DI9" s="102"/>
      <c r="DJ9" s="102"/>
      <c r="DK9" s="102"/>
      <c r="DL9" s="102"/>
      <c r="DM9" s="102"/>
      <c r="DN9" s="102"/>
      <c r="DO9" s="102"/>
      <c r="DP9" s="102"/>
      <c r="DQ9" s="102"/>
      <c r="DR9" s="102"/>
      <c r="DS9" s="102"/>
      <c r="DT9" s="102"/>
      <c r="DU9" s="102"/>
      <c r="DV9" s="102"/>
      <c r="DW9" s="102"/>
      <c r="DX9" s="102"/>
      <c r="DY9" s="102"/>
      <c r="DZ9" s="102"/>
      <c r="EA9" s="102"/>
      <c r="EB9" s="102"/>
      <c r="EC9" s="102"/>
      <c r="ED9" s="102"/>
      <c r="EE9" s="102"/>
      <c r="EF9" s="102"/>
      <c r="EG9" s="102"/>
      <c r="EH9" s="102"/>
      <c r="EI9" s="102"/>
      <c r="EJ9" s="102"/>
      <c r="EK9" s="102"/>
      <c r="EL9" s="102"/>
      <c r="EM9" s="102"/>
      <c r="EN9" s="102"/>
      <c r="EO9" s="102"/>
      <c r="EP9" s="102"/>
      <c r="EQ9" s="102"/>
    </row>
    <row r="10" hidden="1">
      <c r="A10" s="103" t="s">
        <v>112</v>
      </c>
      <c r="B10" s="131">
        <f t="shared" si="1"/>
        <v>46113</v>
      </c>
      <c r="C10" s="103">
        <v>120.0</v>
      </c>
      <c r="D10" s="103" t="s">
        <v>109</v>
      </c>
      <c r="E10" s="103" t="s">
        <v>98</v>
      </c>
      <c r="F10" s="105"/>
      <c r="G10" s="105"/>
      <c r="H10" s="103" t="s">
        <v>99</v>
      </c>
      <c r="I10" s="105"/>
      <c r="J10" s="106"/>
      <c r="K10" s="108" t="s">
        <v>96</v>
      </c>
      <c r="L10" s="103" t="s">
        <v>98</v>
      </c>
      <c r="M10" s="105"/>
      <c r="N10" s="105"/>
      <c r="O10" s="103" t="s">
        <v>99</v>
      </c>
      <c r="P10" s="105"/>
      <c r="Q10" s="103" t="s">
        <v>98</v>
      </c>
      <c r="R10" s="105"/>
      <c r="S10" s="103" t="s">
        <v>99</v>
      </c>
      <c r="T10" s="103" t="s">
        <v>99</v>
      </c>
      <c r="U10" s="105"/>
      <c r="V10" s="106"/>
      <c r="W10" s="108" t="s">
        <v>99</v>
      </c>
      <c r="X10" s="105"/>
      <c r="Y10" s="105"/>
      <c r="Z10" s="103" t="s">
        <v>99</v>
      </c>
      <c r="AA10" s="105"/>
      <c r="AB10" s="105"/>
      <c r="AC10" s="103" t="s">
        <v>96</v>
      </c>
      <c r="AD10" s="105"/>
      <c r="AE10" s="103" t="s">
        <v>96</v>
      </c>
      <c r="AF10" s="105"/>
      <c r="AG10" s="103" t="s">
        <v>96</v>
      </c>
      <c r="AH10" s="106"/>
      <c r="AI10" s="107"/>
      <c r="AJ10" s="103" t="s">
        <v>99</v>
      </c>
      <c r="AK10" s="105"/>
      <c r="AL10" s="105"/>
      <c r="AM10" s="103" t="s">
        <v>99</v>
      </c>
      <c r="AN10" s="103" t="s">
        <v>96</v>
      </c>
      <c r="AO10" s="105"/>
      <c r="AP10" s="105"/>
      <c r="AQ10" s="103" t="s">
        <v>99</v>
      </c>
      <c r="AR10" s="103" t="s">
        <v>99</v>
      </c>
      <c r="AS10" s="103" t="s">
        <v>96</v>
      </c>
      <c r="AT10" s="106"/>
      <c r="AU10" s="107"/>
      <c r="AV10" s="103" t="s">
        <v>99</v>
      </c>
      <c r="AW10" s="105"/>
      <c r="AX10" s="103" t="s">
        <v>98</v>
      </c>
      <c r="AY10" s="105"/>
      <c r="AZ10" s="105"/>
      <c r="BA10" s="105"/>
      <c r="BB10" s="105"/>
      <c r="BC10" s="105"/>
      <c r="BD10" s="105"/>
      <c r="BE10" s="105"/>
      <c r="BF10" s="106"/>
      <c r="BG10" s="105"/>
      <c r="BH10" s="105"/>
      <c r="BI10" s="105"/>
      <c r="BJ10" s="105"/>
      <c r="BK10" s="102"/>
      <c r="BL10" s="102"/>
      <c r="BM10" s="102"/>
      <c r="BN10" s="102"/>
      <c r="BO10" s="102"/>
      <c r="BP10" s="102"/>
      <c r="BQ10" s="102"/>
      <c r="BR10" s="102"/>
      <c r="BS10" s="102"/>
      <c r="BT10" s="102"/>
      <c r="BU10" s="102"/>
      <c r="BV10" s="102"/>
      <c r="BW10" s="102"/>
      <c r="BX10" s="102"/>
      <c r="BY10" s="102"/>
      <c r="BZ10" s="102"/>
      <c r="CA10" s="102"/>
      <c r="CB10" s="102"/>
      <c r="CC10" s="102"/>
      <c r="CD10" s="102"/>
      <c r="CE10" s="102"/>
      <c r="CF10" s="102"/>
      <c r="CG10" s="102"/>
      <c r="CH10" s="102"/>
      <c r="CI10" s="102"/>
      <c r="CJ10" s="102"/>
      <c r="CK10" s="102"/>
      <c r="CL10" s="102"/>
      <c r="CM10" s="102"/>
      <c r="CN10" s="102"/>
      <c r="CO10" s="102"/>
      <c r="CP10" s="102"/>
      <c r="CQ10" s="102"/>
      <c r="CR10" s="102"/>
      <c r="CS10" s="102"/>
      <c r="CT10" s="102"/>
      <c r="CU10" s="102"/>
      <c r="CV10" s="102"/>
      <c r="CW10" s="102"/>
      <c r="CX10" s="102"/>
      <c r="CY10" s="102"/>
      <c r="CZ10" s="102"/>
      <c r="DA10" s="102"/>
      <c r="DB10" s="102"/>
      <c r="DC10" s="102"/>
      <c r="DD10" s="102"/>
      <c r="DE10" s="102"/>
      <c r="DF10" s="102"/>
      <c r="DG10" s="102"/>
      <c r="DH10" s="102"/>
      <c r="DI10" s="102"/>
      <c r="DJ10" s="102"/>
      <c r="DK10" s="102"/>
      <c r="DL10" s="102"/>
      <c r="DM10" s="102"/>
      <c r="DN10" s="102"/>
      <c r="DO10" s="102"/>
      <c r="DP10" s="102"/>
      <c r="DQ10" s="102"/>
      <c r="DR10" s="102"/>
      <c r="DS10" s="102"/>
      <c r="DT10" s="102"/>
      <c r="DU10" s="102"/>
      <c r="DV10" s="102"/>
      <c r="DW10" s="102"/>
      <c r="DX10" s="102"/>
      <c r="DY10" s="102"/>
      <c r="DZ10" s="102"/>
      <c r="EA10" s="102"/>
      <c r="EB10" s="102"/>
      <c r="EC10" s="102"/>
      <c r="ED10" s="102"/>
      <c r="EE10" s="102"/>
      <c r="EF10" s="102"/>
      <c r="EG10" s="102"/>
      <c r="EH10" s="102"/>
      <c r="EI10" s="102"/>
      <c r="EJ10" s="102"/>
      <c r="EK10" s="102"/>
      <c r="EL10" s="102"/>
      <c r="EM10" s="102"/>
      <c r="EN10" s="102"/>
      <c r="EO10" s="102"/>
      <c r="EP10" s="102"/>
      <c r="EQ10" s="102"/>
    </row>
    <row r="11" hidden="1">
      <c r="A11" s="110" t="s">
        <v>113</v>
      </c>
      <c r="B11" s="111">
        <f t="shared" si="1"/>
        <v>46054</v>
      </c>
      <c r="C11" s="110">
        <v>210.0</v>
      </c>
      <c r="D11" s="110" t="s">
        <v>95</v>
      </c>
      <c r="E11" s="110" t="s">
        <v>96</v>
      </c>
      <c r="F11" s="112"/>
      <c r="G11" s="112"/>
      <c r="H11" s="112"/>
      <c r="I11" s="112"/>
      <c r="J11" s="113"/>
      <c r="K11" s="132" t="s">
        <v>98</v>
      </c>
      <c r="L11" s="116"/>
      <c r="M11" s="116"/>
      <c r="N11" s="116"/>
      <c r="O11" s="116"/>
      <c r="P11" s="116"/>
      <c r="Q11" s="115" t="s">
        <v>98</v>
      </c>
      <c r="R11" s="116"/>
      <c r="S11" s="115" t="s">
        <v>99</v>
      </c>
      <c r="T11" s="116"/>
      <c r="U11" s="116"/>
      <c r="V11" s="117"/>
      <c r="W11" s="119" t="s">
        <v>99</v>
      </c>
      <c r="X11" s="120"/>
      <c r="Y11" s="120"/>
      <c r="Z11" s="120"/>
      <c r="AA11" s="121" t="s">
        <v>97</v>
      </c>
      <c r="AB11" s="121" t="s">
        <v>97</v>
      </c>
      <c r="AC11" s="121" t="s">
        <v>98</v>
      </c>
      <c r="AD11" s="120"/>
      <c r="AE11" s="120"/>
      <c r="AF11" s="120"/>
      <c r="AG11" s="120"/>
      <c r="AH11" s="122"/>
      <c r="AI11" s="134" t="s">
        <v>97</v>
      </c>
      <c r="AJ11" s="125" t="s">
        <v>98</v>
      </c>
      <c r="AK11" s="124"/>
      <c r="AL11" s="124"/>
      <c r="AM11" s="124"/>
      <c r="AN11" s="124"/>
      <c r="AO11" s="124"/>
      <c r="AP11" s="125" t="s">
        <v>99</v>
      </c>
      <c r="AQ11" s="125" t="s">
        <v>98</v>
      </c>
      <c r="AR11" s="124"/>
      <c r="AS11" s="124"/>
      <c r="AT11" s="126"/>
      <c r="AU11" s="127"/>
      <c r="AV11" s="128" t="s">
        <v>98</v>
      </c>
      <c r="AW11" s="129"/>
      <c r="AX11" s="129"/>
      <c r="AY11" s="129"/>
      <c r="AZ11" s="129"/>
      <c r="BA11" s="129"/>
      <c r="BB11" s="129"/>
      <c r="BC11" s="129"/>
      <c r="BD11" s="129"/>
      <c r="BE11" s="129"/>
      <c r="BF11" s="130"/>
      <c r="BG11" s="129"/>
      <c r="BH11" s="129"/>
      <c r="BI11" s="129"/>
      <c r="BJ11" s="129"/>
      <c r="BK11" s="102"/>
      <c r="BL11" s="102"/>
      <c r="BM11" s="102"/>
      <c r="BN11" s="102"/>
      <c r="BO11" s="102"/>
      <c r="BP11" s="102"/>
      <c r="BQ11" s="102"/>
      <c r="BR11" s="102"/>
      <c r="BS11" s="102"/>
      <c r="BT11" s="102"/>
      <c r="BU11" s="102"/>
      <c r="BV11" s="102"/>
      <c r="BW11" s="102"/>
      <c r="BX11" s="102"/>
      <c r="BY11" s="102"/>
      <c r="BZ11" s="102"/>
      <c r="CA11" s="102"/>
      <c r="CB11" s="102"/>
      <c r="CC11" s="102"/>
      <c r="CD11" s="102"/>
      <c r="CE11" s="102"/>
      <c r="CF11" s="102"/>
      <c r="CG11" s="102"/>
      <c r="CH11" s="102"/>
      <c r="CI11" s="102"/>
      <c r="CJ11" s="102"/>
      <c r="CK11" s="102"/>
      <c r="CL11" s="102"/>
      <c r="CM11" s="102"/>
      <c r="CN11" s="102"/>
      <c r="CO11" s="102"/>
      <c r="CP11" s="102"/>
      <c r="CQ11" s="102"/>
      <c r="CR11" s="102"/>
      <c r="CS11" s="102"/>
      <c r="CT11" s="102"/>
      <c r="CU11" s="102"/>
      <c r="CV11" s="102"/>
      <c r="CW11" s="102"/>
      <c r="CX11" s="102"/>
      <c r="CY11" s="102"/>
      <c r="CZ11" s="102"/>
      <c r="DA11" s="102"/>
      <c r="DB11" s="102"/>
      <c r="DC11" s="102"/>
      <c r="DD11" s="102"/>
      <c r="DE11" s="102"/>
      <c r="DF11" s="102"/>
      <c r="DG11" s="102"/>
      <c r="DH11" s="102"/>
      <c r="DI11" s="102"/>
      <c r="DJ11" s="102"/>
      <c r="DK11" s="102"/>
      <c r="DL11" s="102"/>
      <c r="DM11" s="102"/>
      <c r="DN11" s="102"/>
      <c r="DO11" s="102"/>
      <c r="DP11" s="102"/>
      <c r="DQ11" s="102"/>
      <c r="DR11" s="102"/>
      <c r="DS11" s="102"/>
      <c r="DT11" s="102"/>
      <c r="DU11" s="102"/>
      <c r="DV11" s="102"/>
      <c r="DW11" s="102"/>
      <c r="DX11" s="102"/>
      <c r="DY11" s="102"/>
      <c r="DZ11" s="102"/>
      <c r="EA11" s="102"/>
      <c r="EB11" s="102"/>
      <c r="EC11" s="102"/>
      <c r="ED11" s="102"/>
      <c r="EE11" s="102"/>
      <c r="EF11" s="102"/>
      <c r="EG11" s="102"/>
      <c r="EH11" s="102"/>
      <c r="EI11" s="102"/>
      <c r="EJ11" s="102"/>
      <c r="EK11" s="102"/>
      <c r="EL11" s="102"/>
      <c r="EM11" s="102"/>
      <c r="EN11" s="102"/>
      <c r="EO11" s="102"/>
      <c r="EP11" s="102"/>
      <c r="EQ11" s="102"/>
    </row>
    <row r="12" hidden="1">
      <c r="A12" s="103" t="s">
        <v>114</v>
      </c>
      <c r="B12" s="131">
        <f t="shared" si="1"/>
        <v>46113</v>
      </c>
      <c r="C12" s="103">
        <v>120.0</v>
      </c>
      <c r="D12" s="103" t="s">
        <v>109</v>
      </c>
      <c r="E12" s="103" t="s">
        <v>96</v>
      </c>
      <c r="F12" s="105"/>
      <c r="G12" s="105"/>
      <c r="H12" s="103" t="s">
        <v>99</v>
      </c>
      <c r="I12" s="105"/>
      <c r="J12" s="106"/>
      <c r="K12" s="108" t="s">
        <v>96</v>
      </c>
      <c r="L12" s="103" t="s">
        <v>97</v>
      </c>
      <c r="M12" s="105"/>
      <c r="N12" s="103" t="s">
        <v>97</v>
      </c>
      <c r="O12" s="105"/>
      <c r="P12" s="105"/>
      <c r="Q12" s="103" t="s">
        <v>97</v>
      </c>
      <c r="R12" s="105"/>
      <c r="S12" s="103" t="s">
        <v>99</v>
      </c>
      <c r="T12" s="103" t="s">
        <v>99</v>
      </c>
      <c r="U12" s="105"/>
      <c r="V12" s="106"/>
      <c r="W12" s="108" t="s">
        <v>99</v>
      </c>
      <c r="X12" s="105"/>
      <c r="Y12" s="105"/>
      <c r="Z12" s="103" t="s">
        <v>99</v>
      </c>
      <c r="AA12" s="103" t="s">
        <v>97</v>
      </c>
      <c r="AB12" s="103" t="s">
        <v>97</v>
      </c>
      <c r="AC12" s="103" t="s">
        <v>97</v>
      </c>
      <c r="AD12" s="105"/>
      <c r="AE12" s="105"/>
      <c r="AF12" s="103" t="s">
        <v>99</v>
      </c>
      <c r="AG12" s="105"/>
      <c r="AH12" s="106"/>
      <c r="AI12" s="108" t="s">
        <v>97</v>
      </c>
      <c r="AJ12" s="103" t="s">
        <v>96</v>
      </c>
      <c r="AK12" s="105"/>
      <c r="AL12" s="105"/>
      <c r="AM12" s="103" t="s">
        <v>99</v>
      </c>
      <c r="AN12" s="103" t="s">
        <v>96</v>
      </c>
      <c r="AO12" s="105"/>
      <c r="AP12" s="105"/>
      <c r="AQ12" s="103" t="s">
        <v>97</v>
      </c>
      <c r="AR12" s="103" t="s">
        <v>97</v>
      </c>
      <c r="AS12" s="105"/>
      <c r="AT12" s="106"/>
      <c r="AU12" s="108" t="s">
        <v>99</v>
      </c>
      <c r="AV12" s="103" t="s">
        <v>99</v>
      </c>
      <c r="AW12" s="105"/>
      <c r="AX12" s="103" t="s">
        <v>106</v>
      </c>
      <c r="AY12" s="105"/>
      <c r="AZ12" s="105"/>
      <c r="BA12" s="105"/>
      <c r="BB12" s="105"/>
      <c r="BC12" s="105"/>
      <c r="BD12" s="105"/>
      <c r="BE12" s="105"/>
      <c r="BF12" s="106"/>
      <c r="BG12" s="105"/>
      <c r="BH12" s="105"/>
      <c r="BI12" s="105"/>
      <c r="BJ12" s="105"/>
      <c r="BK12" s="102"/>
      <c r="BL12" s="102"/>
      <c r="BM12" s="102"/>
      <c r="BN12" s="102"/>
      <c r="BO12" s="102"/>
      <c r="BP12" s="102"/>
      <c r="BQ12" s="102"/>
      <c r="BR12" s="102"/>
      <c r="BS12" s="102"/>
      <c r="BT12" s="102"/>
      <c r="BU12" s="102"/>
      <c r="BV12" s="102"/>
      <c r="BW12" s="102"/>
      <c r="BX12" s="102"/>
      <c r="BY12" s="102"/>
      <c r="BZ12" s="102"/>
      <c r="CA12" s="102"/>
      <c r="CB12" s="102"/>
      <c r="CC12" s="102"/>
      <c r="CD12" s="102"/>
      <c r="CE12" s="102"/>
      <c r="CF12" s="102"/>
      <c r="CG12" s="102"/>
      <c r="CH12" s="102"/>
      <c r="CI12" s="102"/>
      <c r="CJ12" s="102"/>
      <c r="CK12" s="102"/>
      <c r="CL12" s="102"/>
      <c r="CM12" s="102"/>
      <c r="CN12" s="102"/>
      <c r="CO12" s="102"/>
      <c r="CP12" s="102"/>
      <c r="CQ12" s="102"/>
      <c r="CR12" s="102"/>
      <c r="CS12" s="102"/>
      <c r="CT12" s="102"/>
      <c r="CU12" s="102"/>
      <c r="CV12" s="102"/>
      <c r="CW12" s="102"/>
      <c r="CX12" s="102"/>
      <c r="CY12" s="102"/>
      <c r="CZ12" s="102"/>
      <c r="DA12" s="102"/>
      <c r="DB12" s="102"/>
      <c r="DC12" s="102"/>
      <c r="DD12" s="102"/>
      <c r="DE12" s="102"/>
      <c r="DF12" s="102"/>
      <c r="DG12" s="102"/>
      <c r="DH12" s="102"/>
      <c r="DI12" s="102"/>
      <c r="DJ12" s="102"/>
      <c r="DK12" s="102"/>
      <c r="DL12" s="102"/>
      <c r="DM12" s="102"/>
      <c r="DN12" s="102"/>
      <c r="DO12" s="102"/>
      <c r="DP12" s="102"/>
      <c r="DQ12" s="102"/>
      <c r="DR12" s="102"/>
      <c r="DS12" s="102"/>
      <c r="DT12" s="102"/>
      <c r="DU12" s="102"/>
      <c r="DV12" s="102"/>
      <c r="DW12" s="102"/>
      <c r="DX12" s="102"/>
      <c r="DY12" s="102"/>
      <c r="DZ12" s="102"/>
      <c r="EA12" s="102"/>
      <c r="EB12" s="102"/>
      <c r="EC12" s="102"/>
      <c r="ED12" s="102"/>
      <c r="EE12" s="102"/>
      <c r="EF12" s="102"/>
      <c r="EG12" s="102"/>
      <c r="EH12" s="102"/>
      <c r="EI12" s="102"/>
      <c r="EJ12" s="102"/>
      <c r="EK12" s="102"/>
      <c r="EL12" s="102"/>
      <c r="EM12" s="102"/>
      <c r="EN12" s="102"/>
      <c r="EO12" s="102"/>
      <c r="EP12" s="102"/>
      <c r="EQ12" s="102"/>
    </row>
    <row r="13" hidden="1">
      <c r="A13" s="110" t="s">
        <v>115</v>
      </c>
      <c r="B13" s="111">
        <f t="shared" si="1"/>
        <v>46113</v>
      </c>
      <c r="C13" s="110">
        <v>120.0</v>
      </c>
      <c r="D13" s="110" t="s">
        <v>109</v>
      </c>
      <c r="E13" s="110" t="s">
        <v>98</v>
      </c>
      <c r="F13" s="112"/>
      <c r="G13" s="112"/>
      <c r="H13" s="110" t="s">
        <v>99</v>
      </c>
      <c r="I13" s="112"/>
      <c r="J13" s="113"/>
      <c r="K13" s="132" t="s">
        <v>97</v>
      </c>
      <c r="L13" s="115" t="s">
        <v>98</v>
      </c>
      <c r="M13" s="116"/>
      <c r="N13" s="116"/>
      <c r="O13" s="115" t="s">
        <v>99</v>
      </c>
      <c r="P13" s="116"/>
      <c r="Q13" s="115" t="s">
        <v>97</v>
      </c>
      <c r="R13" s="116"/>
      <c r="S13" s="115" t="s">
        <v>99</v>
      </c>
      <c r="T13" s="115" t="s">
        <v>98</v>
      </c>
      <c r="U13" s="116"/>
      <c r="V13" s="117"/>
      <c r="W13" s="119" t="s">
        <v>99</v>
      </c>
      <c r="X13" s="120"/>
      <c r="Y13" s="120"/>
      <c r="Z13" s="121" t="s">
        <v>99</v>
      </c>
      <c r="AA13" s="121" t="s">
        <v>96</v>
      </c>
      <c r="AB13" s="121" t="s">
        <v>96</v>
      </c>
      <c r="AC13" s="121" t="s">
        <v>97</v>
      </c>
      <c r="AD13" s="120"/>
      <c r="AE13" s="120"/>
      <c r="AF13" s="121" t="s">
        <v>99</v>
      </c>
      <c r="AG13" s="120"/>
      <c r="AH13" s="122"/>
      <c r="AI13" s="134" t="s">
        <v>96</v>
      </c>
      <c r="AJ13" s="124"/>
      <c r="AK13" s="124"/>
      <c r="AL13" s="125" t="s">
        <v>99</v>
      </c>
      <c r="AM13" s="125" t="s">
        <v>99</v>
      </c>
      <c r="AN13" s="125" t="s">
        <v>96</v>
      </c>
      <c r="AO13" s="124"/>
      <c r="AP13" s="124"/>
      <c r="AQ13" s="125" t="s">
        <v>97</v>
      </c>
      <c r="AR13" s="125" t="s">
        <v>97</v>
      </c>
      <c r="AS13" s="124"/>
      <c r="AT13" s="126"/>
      <c r="AU13" s="135" t="s">
        <v>99</v>
      </c>
      <c r="AV13" s="128" t="s">
        <v>99</v>
      </c>
      <c r="AW13" s="129"/>
      <c r="AX13" s="128" t="s">
        <v>106</v>
      </c>
      <c r="AY13" s="129"/>
      <c r="AZ13" s="129"/>
      <c r="BA13" s="129"/>
      <c r="BB13" s="129"/>
      <c r="BC13" s="129"/>
      <c r="BD13" s="129"/>
      <c r="BE13" s="129"/>
      <c r="BF13" s="130"/>
      <c r="BG13" s="129"/>
      <c r="BH13" s="129"/>
      <c r="BI13" s="129"/>
      <c r="BJ13" s="129"/>
      <c r="BK13" s="102"/>
      <c r="BL13" s="102"/>
      <c r="BM13" s="102"/>
      <c r="BN13" s="102"/>
      <c r="BO13" s="102"/>
      <c r="BP13" s="102"/>
      <c r="BQ13" s="102"/>
      <c r="BR13" s="102"/>
      <c r="BS13" s="102"/>
      <c r="BT13" s="102"/>
      <c r="BU13" s="102"/>
      <c r="BV13" s="102"/>
      <c r="BW13" s="102"/>
      <c r="BX13" s="102"/>
      <c r="BY13" s="102"/>
      <c r="BZ13" s="102"/>
      <c r="CA13" s="102"/>
      <c r="CB13" s="102"/>
      <c r="CC13" s="102"/>
      <c r="CD13" s="102"/>
      <c r="CE13" s="102"/>
      <c r="CF13" s="102"/>
      <c r="CG13" s="102"/>
      <c r="CH13" s="102"/>
      <c r="CI13" s="102"/>
      <c r="CJ13" s="102"/>
      <c r="CK13" s="102"/>
      <c r="CL13" s="102"/>
      <c r="CM13" s="102"/>
      <c r="CN13" s="102"/>
      <c r="CO13" s="102"/>
      <c r="CP13" s="102"/>
      <c r="CQ13" s="102"/>
      <c r="CR13" s="102"/>
      <c r="CS13" s="102"/>
      <c r="CT13" s="102"/>
      <c r="CU13" s="102"/>
      <c r="CV13" s="102"/>
      <c r="CW13" s="102"/>
      <c r="CX13" s="102"/>
      <c r="CY13" s="102"/>
      <c r="CZ13" s="102"/>
      <c r="DA13" s="102"/>
      <c r="DB13" s="102"/>
      <c r="DC13" s="102"/>
      <c r="DD13" s="102"/>
      <c r="DE13" s="102"/>
      <c r="DF13" s="102"/>
      <c r="DG13" s="102"/>
      <c r="DH13" s="102"/>
      <c r="DI13" s="102"/>
      <c r="DJ13" s="102"/>
      <c r="DK13" s="102"/>
      <c r="DL13" s="102"/>
      <c r="DM13" s="102"/>
      <c r="DN13" s="102"/>
      <c r="DO13" s="102"/>
      <c r="DP13" s="102"/>
      <c r="DQ13" s="102"/>
      <c r="DR13" s="102"/>
      <c r="DS13" s="102"/>
      <c r="DT13" s="102"/>
      <c r="DU13" s="102"/>
      <c r="DV13" s="102"/>
      <c r="DW13" s="102"/>
      <c r="DX13" s="102"/>
      <c r="DY13" s="102"/>
      <c r="DZ13" s="102"/>
      <c r="EA13" s="102"/>
      <c r="EB13" s="102"/>
      <c r="EC13" s="102"/>
      <c r="ED13" s="102"/>
      <c r="EE13" s="102"/>
      <c r="EF13" s="102"/>
      <c r="EG13" s="102"/>
      <c r="EH13" s="102"/>
      <c r="EI13" s="102"/>
      <c r="EJ13" s="102"/>
      <c r="EK13" s="102"/>
      <c r="EL13" s="102"/>
      <c r="EM13" s="102"/>
      <c r="EN13" s="102"/>
      <c r="EO13" s="102"/>
      <c r="EP13" s="102"/>
      <c r="EQ13" s="102"/>
    </row>
    <row r="14" hidden="1">
      <c r="A14" s="103" t="s">
        <v>116</v>
      </c>
      <c r="B14" s="131">
        <f t="shared" si="1"/>
        <v>46054</v>
      </c>
      <c r="C14" s="103">
        <v>210.0</v>
      </c>
      <c r="D14" s="103" t="s">
        <v>95</v>
      </c>
      <c r="E14" s="105"/>
      <c r="F14" s="103" t="s">
        <v>98</v>
      </c>
      <c r="G14" s="105"/>
      <c r="H14" s="105"/>
      <c r="I14" s="105"/>
      <c r="J14" s="106"/>
      <c r="K14" s="107"/>
      <c r="L14" s="103" t="s">
        <v>98</v>
      </c>
      <c r="M14" s="105"/>
      <c r="N14" s="105"/>
      <c r="O14" s="105"/>
      <c r="P14" s="105"/>
      <c r="Q14" s="105"/>
      <c r="R14" s="103" t="s">
        <v>96</v>
      </c>
      <c r="S14" s="103" t="s">
        <v>99</v>
      </c>
      <c r="T14" s="105"/>
      <c r="U14" s="105"/>
      <c r="V14" s="106"/>
      <c r="W14" s="107"/>
      <c r="X14" s="103" t="s">
        <v>99</v>
      </c>
      <c r="Y14" s="105"/>
      <c r="Z14" s="105"/>
      <c r="AA14" s="105"/>
      <c r="AB14" s="103" t="s">
        <v>98</v>
      </c>
      <c r="AC14" s="105"/>
      <c r="AD14" s="105"/>
      <c r="AE14" s="105"/>
      <c r="AF14" s="105"/>
      <c r="AG14" s="105"/>
      <c r="AH14" s="106"/>
      <c r="AI14" s="108" t="s">
        <v>98</v>
      </c>
      <c r="AJ14" s="105"/>
      <c r="AK14" s="105"/>
      <c r="AL14" s="105"/>
      <c r="AM14" s="105"/>
      <c r="AN14" s="103" t="s">
        <v>98</v>
      </c>
      <c r="AO14" s="105"/>
      <c r="AP14" s="105"/>
      <c r="AQ14" s="105"/>
      <c r="AR14" s="105"/>
      <c r="AS14" s="105"/>
      <c r="AT14" s="136" t="s">
        <v>98</v>
      </c>
      <c r="AU14" s="107"/>
      <c r="AV14" s="103" t="s">
        <v>98</v>
      </c>
      <c r="AW14" s="105"/>
      <c r="AX14" s="105"/>
      <c r="AY14" s="105"/>
      <c r="AZ14" s="105"/>
      <c r="BA14" s="105"/>
      <c r="BB14" s="105"/>
      <c r="BC14" s="105"/>
      <c r="BD14" s="105"/>
      <c r="BE14" s="105"/>
      <c r="BF14" s="106"/>
      <c r="BG14" s="105"/>
      <c r="BH14" s="105"/>
      <c r="BI14" s="105"/>
      <c r="BJ14" s="105"/>
      <c r="BK14" s="102"/>
      <c r="BL14" s="102"/>
      <c r="BM14" s="102"/>
      <c r="BN14" s="102"/>
      <c r="BO14" s="102"/>
      <c r="BP14" s="102"/>
      <c r="BQ14" s="102"/>
      <c r="BR14" s="102"/>
      <c r="BS14" s="102"/>
      <c r="BT14" s="102"/>
      <c r="BU14" s="102"/>
      <c r="BV14" s="102"/>
      <c r="BW14" s="102"/>
      <c r="BX14" s="102"/>
      <c r="BY14" s="102"/>
      <c r="BZ14" s="102"/>
      <c r="CA14" s="102"/>
      <c r="CB14" s="102"/>
      <c r="CC14" s="102"/>
      <c r="CD14" s="102"/>
      <c r="CE14" s="102"/>
      <c r="CF14" s="102"/>
      <c r="CG14" s="102"/>
      <c r="CH14" s="102"/>
      <c r="CI14" s="102"/>
      <c r="CJ14" s="102"/>
      <c r="CK14" s="102"/>
      <c r="CL14" s="102"/>
      <c r="CM14" s="102"/>
      <c r="CN14" s="102"/>
      <c r="CO14" s="102"/>
      <c r="CP14" s="102"/>
      <c r="CQ14" s="102"/>
      <c r="CR14" s="102"/>
      <c r="CS14" s="102"/>
      <c r="CT14" s="102"/>
      <c r="CU14" s="102"/>
      <c r="CV14" s="102"/>
      <c r="CW14" s="102"/>
      <c r="CX14" s="102"/>
      <c r="CY14" s="102"/>
      <c r="CZ14" s="102"/>
      <c r="DA14" s="102"/>
      <c r="DB14" s="102"/>
      <c r="DC14" s="102"/>
      <c r="DD14" s="102"/>
      <c r="DE14" s="102"/>
      <c r="DF14" s="102"/>
      <c r="DG14" s="102"/>
      <c r="DH14" s="102"/>
      <c r="DI14" s="102"/>
      <c r="DJ14" s="102"/>
      <c r="DK14" s="102"/>
      <c r="DL14" s="102"/>
      <c r="DM14" s="102"/>
      <c r="DN14" s="102"/>
      <c r="DO14" s="102"/>
      <c r="DP14" s="102"/>
      <c r="DQ14" s="102"/>
      <c r="DR14" s="102"/>
      <c r="DS14" s="102"/>
      <c r="DT14" s="102"/>
      <c r="DU14" s="102"/>
      <c r="DV14" s="102"/>
      <c r="DW14" s="102"/>
      <c r="DX14" s="102"/>
      <c r="DY14" s="102"/>
      <c r="DZ14" s="102"/>
      <c r="EA14" s="102"/>
      <c r="EB14" s="102"/>
      <c r="EC14" s="102"/>
      <c r="ED14" s="102"/>
      <c r="EE14" s="102"/>
      <c r="EF14" s="102"/>
      <c r="EG14" s="102"/>
      <c r="EH14" s="102"/>
      <c r="EI14" s="102"/>
      <c r="EJ14" s="102"/>
      <c r="EK14" s="102"/>
      <c r="EL14" s="102"/>
      <c r="EM14" s="102"/>
      <c r="EN14" s="102"/>
      <c r="EO14" s="102"/>
      <c r="EP14" s="102"/>
      <c r="EQ14" s="102"/>
    </row>
    <row r="15" hidden="1">
      <c r="A15" s="110" t="s">
        <v>117</v>
      </c>
      <c r="B15" s="111">
        <f t="shared" si="1"/>
        <v>46082</v>
      </c>
      <c r="C15" s="110">
        <v>210.0</v>
      </c>
      <c r="D15" s="110" t="s">
        <v>95</v>
      </c>
      <c r="E15" s="112"/>
      <c r="F15" s="110" t="s">
        <v>98</v>
      </c>
      <c r="G15" s="112"/>
      <c r="H15" s="112"/>
      <c r="I15" s="112"/>
      <c r="J15" s="113"/>
      <c r="K15" s="114"/>
      <c r="L15" s="115" t="s">
        <v>98</v>
      </c>
      <c r="M15" s="116"/>
      <c r="N15" s="116"/>
      <c r="O15" s="116"/>
      <c r="P15" s="116"/>
      <c r="Q15" s="116"/>
      <c r="R15" s="115" t="s">
        <v>98</v>
      </c>
      <c r="S15" s="115" t="s">
        <v>99</v>
      </c>
      <c r="T15" s="116"/>
      <c r="U15" s="116"/>
      <c r="V15" s="117"/>
      <c r="W15" s="118"/>
      <c r="X15" s="121" t="s">
        <v>99</v>
      </c>
      <c r="Y15" s="120"/>
      <c r="Z15" s="120"/>
      <c r="AA15" s="120"/>
      <c r="AB15" s="121" t="s">
        <v>97</v>
      </c>
      <c r="AC15" s="121" t="s">
        <v>96</v>
      </c>
      <c r="AD15" s="120"/>
      <c r="AE15" s="120"/>
      <c r="AF15" s="120"/>
      <c r="AG15" s="120"/>
      <c r="AH15" s="122"/>
      <c r="AI15" s="134" t="s">
        <v>96</v>
      </c>
      <c r="AJ15" s="125" t="s">
        <v>96</v>
      </c>
      <c r="AK15" s="124"/>
      <c r="AL15" s="124"/>
      <c r="AM15" s="124"/>
      <c r="AN15" s="124"/>
      <c r="AO15" s="124"/>
      <c r="AP15" s="125" t="s">
        <v>99</v>
      </c>
      <c r="AQ15" s="125" t="s">
        <v>97</v>
      </c>
      <c r="AR15" s="125" t="s">
        <v>97</v>
      </c>
      <c r="AS15" s="124"/>
      <c r="AT15" s="126"/>
      <c r="AU15" s="127"/>
      <c r="AV15" s="129"/>
      <c r="AW15" s="128" t="s">
        <v>96</v>
      </c>
      <c r="AX15" s="129"/>
      <c r="AY15" s="129"/>
      <c r="AZ15" s="129"/>
      <c r="BA15" s="129"/>
      <c r="BB15" s="129"/>
      <c r="BC15" s="129"/>
      <c r="BD15" s="129"/>
      <c r="BE15" s="129"/>
      <c r="BF15" s="130"/>
      <c r="BG15" s="129"/>
      <c r="BH15" s="129"/>
      <c r="BI15" s="129"/>
      <c r="BJ15" s="129"/>
      <c r="BK15" s="102"/>
      <c r="BL15" s="102"/>
      <c r="BM15" s="102"/>
      <c r="BN15" s="102"/>
      <c r="BO15" s="102"/>
      <c r="BP15" s="102"/>
      <c r="BQ15" s="102"/>
      <c r="BR15" s="102"/>
      <c r="BS15" s="102"/>
      <c r="BT15" s="102"/>
      <c r="BU15" s="102"/>
      <c r="BV15" s="102"/>
      <c r="BW15" s="102"/>
      <c r="BX15" s="102"/>
      <c r="BY15" s="102"/>
      <c r="BZ15" s="102"/>
      <c r="CA15" s="102"/>
      <c r="CB15" s="102"/>
      <c r="CC15" s="102"/>
      <c r="CD15" s="102"/>
      <c r="CE15" s="102"/>
      <c r="CF15" s="102"/>
      <c r="CG15" s="102"/>
      <c r="CH15" s="102"/>
      <c r="CI15" s="102"/>
      <c r="CJ15" s="102"/>
      <c r="CK15" s="102"/>
      <c r="CL15" s="102"/>
      <c r="CM15" s="102"/>
      <c r="CN15" s="102"/>
      <c r="CO15" s="102"/>
      <c r="CP15" s="102"/>
      <c r="CQ15" s="102"/>
      <c r="CR15" s="102"/>
      <c r="CS15" s="102"/>
      <c r="CT15" s="102"/>
      <c r="CU15" s="102"/>
      <c r="CV15" s="102"/>
      <c r="CW15" s="102"/>
      <c r="CX15" s="102"/>
      <c r="CY15" s="102"/>
      <c r="CZ15" s="102"/>
      <c r="DA15" s="102"/>
      <c r="DB15" s="102"/>
      <c r="DC15" s="102"/>
      <c r="DD15" s="102"/>
      <c r="DE15" s="102"/>
      <c r="DF15" s="102"/>
      <c r="DG15" s="102"/>
      <c r="DH15" s="102"/>
      <c r="DI15" s="102"/>
      <c r="DJ15" s="102"/>
      <c r="DK15" s="102"/>
      <c r="DL15" s="102"/>
      <c r="DM15" s="102"/>
      <c r="DN15" s="102"/>
      <c r="DO15" s="102"/>
      <c r="DP15" s="102"/>
      <c r="DQ15" s="102"/>
      <c r="DR15" s="102"/>
      <c r="DS15" s="102"/>
      <c r="DT15" s="102"/>
      <c r="DU15" s="102"/>
      <c r="DV15" s="102"/>
      <c r="DW15" s="102"/>
      <c r="DX15" s="102"/>
      <c r="DY15" s="102"/>
      <c r="DZ15" s="102"/>
      <c r="EA15" s="102"/>
      <c r="EB15" s="102"/>
      <c r="EC15" s="102"/>
      <c r="ED15" s="102"/>
      <c r="EE15" s="102"/>
      <c r="EF15" s="102"/>
      <c r="EG15" s="102"/>
      <c r="EH15" s="102"/>
      <c r="EI15" s="102"/>
      <c r="EJ15" s="102"/>
      <c r="EK15" s="102"/>
      <c r="EL15" s="102"/>
      <c r="EM15" s="102"/>
      <c r="EN15" s="102"/>
      <c r="EO15" s="102"/>
      <c r="EP15" s="102"/>
      <c r="EQ15" s="102"/>
    </row>
    <row r="16" hidden="1">
      <c r="A16" s="103" t="s">
        <v>118</v>
      </c>
      <c r="B16" s="131">
        <f t="shared" si="1"/>
        <v>46054</v>
      </c>
      <c r="C16" s="103">
        <v>210.0</v>
      </c>
      <c r="D16" s="103" t="s">
        <v>95</v>
      </c>
      <c r="E16" s="105"/>
      <c r="F16" s="103" t="s">
        <v>98</v>
      </c>
      <c r="G16" s="105"/>
      <c r="H16" s="105"/>
      <c r="I16" s="105"/>
      <c r="J16" s="106"/>
      <c r="K16" s="107"/>
      <c r="L16" s="103" t="s">
        <v>98</v>
      </c>
      <c r="M16" s="105"/>
      <c r="N16" s="105"/>
      <c r="O16" s="105"/>
      <c r="P16" s="105"/>
      <c r="Q16" s="105"/>
      <c r="R16" s="103" t="s">
        <v>98</v>
      </c>
      <c r="S16" s="103" t="s">
        <v>99</v>
      </c>
      <c r="T16" s="105"/>
      <c r="U16" s="105"/>
      <c r="V16" s="106"/>
      <c r="W16" s="107"/>
      <c r="X16" s="103" t="s">
        <v>99</v>
      </c>
      <c r="Y16" s="105"/>
      <c r="Z16" s="105"/>
      <c r="AA16" s="105"/>
      <c r="AB16" s="103" t="s">
        <v>98</v>
      </c>
      <c r="AC16" s="105"/>
      <c r="AD16" s="105"/>
      <c r="AE16" s="105"/>
      <c r="AF16" s="105"/>
      <c r="AG16" s="105"/>
      <c r="AH16" s="106"/>
      <c r="AI16" s="108" t="s">
        <v>96</v>
      </c>
      <c r="AJ16" s="105"/>
      <c r="AK16" s="105"/>
      <c r="AL16" s="105"/>
      <c r="AM16" s="105"/>
      <c r="AN16" s="103" t="s">
        <v>98</v>
      </c>
      <c r="AO16" s="105"/>
      <c r="AP16" s="105"/>
      <c r="AQ16" s="105"/>
      <c r="AR16" s="105"/>
      <c r="AS16" s="105"/>
      <c r="AT16" s="136" t="s">
        <v>98</v>
      </c>
      <c r="AU16" s="107"/>
      <c r="AV16" s="103" t="s">
        <v>98</v>
      </c>
      <c r="AW16" s="105"/>
      <c r="AX16" s="105"/>
      <c r="AY16" s="105"/>
      <c r="AZ16" s="105"/>
      <c r="BA16" s="105"/>
      <c r="BB16" s="105"/>
      <c r="BC16" s="105"/>
      <c r="BD16" s="105"/>
      <c r="BE16" s="105"/>
      <c r="BF16" s="106"/>
      <c r="BG16" s="105"/>
      <c r="BH16" s="105"/>
      <c r="BI16" s="105"/>
      <c r="BJ16" s="105"/>
      <c r="BK16" s="102"/>
      <c r="BL16" s="102"/>
      <c r="BM16" s="102"/>
      <c r="BN16" s="102"/>
      <c r="BO16" s="102"/>
      <c r="BP16" s="102"/>
      <c r="BQ16" s="102"/>
      <c r="BR16" s="102"/>
      <c r="BS16" s="102"/>
      <c r="BT16" s="102"/>
      <c r="BU16" s="102"/>
      <c r="BV16" s="102"/>
      <c r="BW16" s="102"/>
      <c r="BX16" s="102"/>
      <c r="BY16" s="102"/>
      <c r="BZ16" s="102"/>
      <c r="CA16" s="102"/>
      <c r="CB16" s="102"/>
      <c r="CC16" s="102"/>
      <c r="CD16" s="102"/>
      <c r="CE16" s="102"/>
      <c r="CF16" s="102"/>
      <c r="CG16" s="102"/>
      <c r="CH16" s="102"/>
      <c r="CI16" s="102"/>
      <c r="CJ16" s="102"/>
      <c r="CK16" s="102"/>
      <c r="CL16" s="102"/>
      <c r="CM16" s="102"/>
      <c r="CN16" s="102"/>
      <c r="CO16" s="102"/>
      <c r="CP16" s="102"/>
      <c r="CQ16" s="102"/>
      <c r="CR16" s="102"/>
      <c r="CS16" s="102"/>
      <c r="CT16" s="102"/>
      <c r="CU16" s="102"/>
      <c r="CV16" s="102"/>
      <c r="CW16" s="102"/>
      <c r="CX16" s="102"/>
      <c r="CY16" s="102"/>
      <c r="CZ16" s="102"/>
      <c r="DA16" s="102"/>
      <c r="DB16" s="102"/>
      <c r="DC16" s="102"/>
      <c r="DD16" s="102"/>
      <c r="DE16" s="102"/>
      <c r="DF16" s="102"/>
      <c r="DG16" s="102"/>
      <c r="DH16" s="102"/>
      <c r="DI16" s="102"/>
      <c r="DJ16" s="102"/>
      <c r="DK16" s="102"/>
      <c r="DL16" s="102"/>
      <c r="DM16" s="102"/>
      <c r="DN16" s="102"/>
      <c r="DO16" s="102"/>
      <c r="DP16" s="102"/>
      <c r="DQ16" s="102"/>
      <c r="DR16" s="102"/>
      <c r="DS16" s="102"/>
      <c r="DT16" s="102"/>
      <c r="DU16" s="102"/>
      <c r="DV16" s="102"/>
      <c r="DW16" s="102"/>
      <c r="DX16" s="102"/>
      <c r="DY16" s="102"/>
      <c r="DZ16" s="102"/>
      <c r="EA16" s="102"/>
      <c r="EB16" s="102"/>
      <c r="EC16" s="102"/>
      <c r="ED16" s="102"/>
      <c r="EE16" s="102"/>
      <c r="EF16" s="102"/>
      <c r="EG16" s="102"/>
      <c r="EH16" s="102"/>
      <c r="EI16" s="102"/>
      <c r="EJ16" s="102"/>
      <c r="EK16" s="102"/>
      <c r="EL16" s="102"/>
      <c r="EM16" s="102"/>
      <c r="EN16" s="102"/>
      <c r="EO16" s="102"/>
      <c r="EP16" s="102"/>
      <c r="EQ16" s="102"/>
    </row>
    <row r="17" hidden="1">
      <c r="A17" s="110" t="s">
        <v>119</v>
      </c>
      <c r="B17" s="111">
        <f t="shared" si="1"/>
        <v>46113</v>
      </c>
      <c r="C17" s="110">
        <v>210.0</v>
      </c>
      <c r="D17" s="110" t="s">
        <v>95</v>
      </c>
      <c r="E17" s="112"/>
      <c r="F17" s="110" t="s">
        <v>98</v>
      </c>
      <c r="G17" s="112"/>
      <c r="H17" s="112"/>
      <c r="I17" s="112"/>
      <c r="J17" s="113"/>
      <c r="K17" s="114"/>
      <c r="L17" s="115" t="s">
        <v>98</v>
      </c>
      <c r="M17" s="116"/>
      <c r="N17" s="116"/>
      <c r="O17" s="116"/>
      <c r="P17" s="116"/>
      <c r="Q17" s="116"/>
      <c r="R17" s="115" t="s">
        <v>96</v>
      </c>
      <c r="S17" s="115" t="s">
        <v>99</v>
      </c>
      <c r="T17" s="116"/>
      <c r="U17" s="116"/>
      <c r="V17" s="117"/>
      <c r="W17" s="118"/>
      <c r="X17" s="121" t="s">
        <v>99</v>
      </c>
      <c r="Y17" s="120"/>
      <c r="Z17" s="120"/>
      <c r="AA17" s="120"/>
      <c r="AB17" s="120"/>
      <c r="AC17" s="121" t="s">
        <v>99</v>
      </c>
      <c r="AD17" s="121" t="s">
        <v>99</v>
      </c>
      <c r="AE17" s="121" t="s">
        <v>96</v>
      </c>
      <c r="AF17" s="120"/>
      <c r="AG17" s="120"/>
      <c r="AH17" s="122"/>
      <c r="AI17" s="123"/>
      <c r="AJ17" s="125" t="s">
        <v>97</v>
      </c>
      <c r="AK17" s="124"/>
      <c r="AL17" s="124"/>
      <c r="AM17" s="124"/>
      <c r="AN17" s="124"/>
      <c r="AO17" s="124"/>
      <c r="AP17" s="125" t="s">
        <v>99</v>
      </c>
      <c r="AQ17" s="125" t="s">
        <v>97</v>
      </c>
      <c r="AR17" s="125" t="s">
        <v>97</v>
      </c>
      <c r="AS17" s="124"/>
      <c r="AT17" s="126"/>
      <c r="AU17" s="127"/>
      <c r="AV17" s="129"/>
      <c r="AW17" s="128" t="s">
        <v>97</v>
      </c>
      <c r="AX17" s="128" t="s">
        <v>106</v>
      </c>
      <c r="AY17" s="129"/>
      <c r="AZ17" s="129"/>
      <c r="BA17" s="129"/>
      <c r="BB17" s="129"/>
      <c r="BC17" s="129"/>
      <c r="BD17" s="129"/>
      <c r="BE17" s="129"/>
      <c r="BF17" s="130"/>
      <c r="BG17" s="129"/>
      <c r="BH17" s="129"/>
      <c r="BI17" s="129"/>
      <c r="BJ17" s="129"/>
      <c r="BK17" s="102"/>
      <c r="BL17" s="102"/>
      <c r="BM17" s="102"/>
      <c r="BN17" s="102"/>
      <c r="BO17" s="102"/>
      <c r="BP17" s="102"/>
      <c r="BQ17" s="102"/>
      <c r="BR17" s="102"/>
      <c r="BS17" s="102"/>
      <c r="BT17" s="102"/>
      <c r="BU17" s="102"/>
      <c r="BV17" s="102"/>
      <c r="BW17" s="102"/>
      <c r="BX17" s="102"/>
      <c r="BY17" s="102"/>
      <c r="BZ17" s="102"/>
      <c r="CA17" s="102"/>
      <c r="CB17" s="102"/>
      <c r="CC17" s="102"/>
      <c r="CD17" s="102"/>
      <c r="CE17" s="102"/>
      <c r="CF17" s="102"/>
      <c r="CG17" s="102"/>
      <c r="CH17" s="102"/>
      <c r="CI17" s="102"/>
      <c r="CJ17" s="102"/>
      <c r="CK17" s="102"/>
      <c r="CL17" s="102"/>
      <c r="CM17" s="102"/>
      <c r="CN17" s="102"/>
      <c r="CO17" s="102"/>
      <c r="CP17" s="102"/>
      <c r="CQ17" s="102"/>
      <c r="CR17" s="102"/>
      <c r="CS17" s="102"/>
      <c r="CT17" s="102"/>
      <c r="CU17" s="102"/>
      <c r="CV17" s="102"/>
      <c r="CW17" s="102"/>
      <c r="CX17" s="102"/>
      <c r="CY17" s="102"/>
      <c r="CZ17" s="102"/>
      <c r="DA17" s="102"/>
      <c r="DB17" s="102"/>
      <c r="DC17" s="102"/>
      <c r="DD17" s="102"/>
      <c r="DE17" s="102"/>
      <c r="DF17" s="102"/>
      <c r="DG17" s="102"/>
      <c r="DH17" s="102"/>
      <c r="DI17" s="102"/>
      <c r="DJ17" s="102"/>
      <c r="DK17" s="102"/>
      <c r="DL17" s="102"/>
      <c r="DM17" s="102"/>
      <c r="DN17" s="102"/>
      <c r="DO17" s="102"/>
      <c r="DP17" s="102"/>
      <c r="DQ17" s="102"/>
      <c r="DR17" s="102"/>
      <c r="DS17" s="102"/>
      <c r="DT17" s="102"/>
      <c r="DU17" s="102"/>
      <c r="DV17" s="102"/>
      <c r="DW17" s="102"/>
      <c r="DX17" s="102"/>
      <c r="DY17" s="102"/>
      <c r="DZ17" s="102"/>
      <c r="EA17" s="102"/>
      <c r="EB17" s="102"/>
      <c r="EC17" s="102"/>
      <c r="ED17" s="102"/>
      <c r="EE17" s="102"/>
      <c r="EF17" s="102"/>
      <c r="EG17" s="102"/>
      <c r="EH17" s="102"/>
      <c r="EI17" s="102"/>
      <c r="EJ17" s="102"/>
      <c r="EK17" s="102"/>
      <c r="EL17" s="102"/>
      <c r="EM17" s="102"/>
      <c r="EN17" s="102"/>
      <c r="EO17" s="102"/>
      <c r="EP17" s="102"/>
      <c r="EQ17" s="102"/>
    </row>
    <row r="18" hidden="1">
      <c r="A18" s="103" t="s">
        <v>120</v>
      </c>
      <c r="B18" s="131">
        <f t="shared" si="1"/>
        <v>46113</v>
      </c>
      <c r="C18" s="103">
        <v>210.0</v>
      </c>
      <c r="D18" s="103" t="s">
        <v>95</v>
      </c>
      <c r="E18" s="105"/>
      <c r="F18" s="103" t="s">
        <v>98</v>
      </c>
      <c r="G18" s="105"/>
      <c r="H18" s="105"/>
      <c r="I18" s="105"/>
      <c r="J18" s="106"/>
      <c r="K18" s="107"/>
      <c r="L18" s="103" t="s">
        <v>98</v>
      </c>
      <c r="M18" s="105"/>
      <c r="N18" s="105"/>
      <c r="O18" s="105"/>
      <c r="P18" s="105"/>
      <c r="Q18" s="105"/>
      <c r="R18" s="103" t="s">
        <v>96</v>
      </c>
      <c r="S18" s="103" t="s">
        <v>99</v>
      </c>
      <c r="T18" s="105"/>
      <c r="U18" s="105"/>
      <c r="V18" s="106"/>
      <c r="W18" s="107"/>
      <c r="X18" s="103" t="s">
        <v>99</v>
      </c>
      <c r="Y18" s="105"/>
      <c r="Z18" s="105"/>
      <c r="AA18" s="105"/>
      <c r="AB18" s="105"/>
      <c r="AC18" s="103" t="s">
        <v>99</v>
      </c>
      <c r="AD18" s="103" t="s">
        <v>99</v>
      </c>
      <c r="AE18" s="103" t="s">
        <v>96</v>
      </c>
      <c r="AF18" s="105"/>
      <c r="AG18" s="105"/>
      <c r="AH18" s="106"/>
      <c r="AI18" s="107"/>
      <c r="AJ18" s="103" t="s">
        <v>96</v>
      </c>
      <c r="AK18" s="105"/>
      <c r="AL18" s="105"/>
      <c r="AM18" s="105"/>
      <c r="AN18" s="105"/>
      <c r="AO18" s="105"/>
      <c r="AP18" s="103" t="s">
        <v>99</v>
      </c>
      <c r="AQ18" s="103" t="s">
        <v>97</v>
      </c>
      <c r="AR18" s="103" t="s">
        <v>97</v>
      </c>
      <c r="AS18" s="105"/>
      <c r="AT18" s="106"/>
      <c r="AU18" s="107"/>
      <c r="AV18" s="105"/>
      <c r="AW18" s="103" t="s">
        <v>96</v>
      </c>
      <c r="AX18" s="103" t="s">
        <v>106</v>
      </c>
      <c r="AY18" s="105"/>
      <c r="AZ18" s="105"/>
      <c r="BA18" s="105"/>
      <c r="BB18" s="105"/>
      <c r="BC18" s="105"/>
      <c r="BD18" s="105"/>
      <c r="BE18" s="105"/>
      <c r="BF18" s="106"/>
      <c r="BG18" s="105"/>
      <c r="BH18" s="105"/>
      <c r="BI18" s="105"/>
      <c r="BJ18" s="105"/>
      <c r="BK18" s="102"/>
      <c r="BL18" s="102"/>
      <c r="BM18" s="102"/>
      <c r="BN18" s="102"/>
      <c r="BO18" s="102"/>
      <c r="BP18" s="102"/>
      <c r="BQ18" s="102"/>
      <c r="BR18" s="102"/>
      <c r="BS18" s="102"/>
      <c r="BT18" s="102"/>
      <c r="BU18" s="102"/>
      <c r="BV18" s="102"/>
      <c r="BW18" s="102"/>
      <c r="BX18" s="102"/>
      <c r="BY18" s="102"/>
      <c r="BZ18" s="102"/>
      <c r="CA18" s="102"/>
      <c r="CB18" s="102"/>
      <c r="CC18" s="102"/>
      <c r="CD18" s="102"/>
      <c r="CE18" s="102"/>
      <c r="CF18" s="102"/>
      <c r="CG18" s="102"/>
      <c r="CH18" s="102"/>
      <c r="CI18" s="102"/>
      <c r="CJ18" s="102"/>
      <c r="CK18" s="102"/>
      <c r="CL18" s="102"/>
      <c r="CM18" s="102"/>
      <c r="CN18" s="102"/>
      <c r="CO18" s="102"/>
      <c r="CP18" s="102"/>
      <c r="CQ18" s="102"/>
      <c r="CR18" s="102"/>
      <c r="CS18" s="102"/>
      <c r="CT18" s="102"/>
      <c r="CU18" s="102"/>
      <c r="CV18" s="102"/>
      <c r="CW18" s="102"/>
      <c r="CX18" s="102"/>
      <c r="CY18" s="102"/>
      <c r="CZ18" s="102"/>
      <c r="DA18" s="102"/>
      <c r="DB18" s="102"/>
      <c r="DC18" s="102"/>
      <c r="DD18" s="102"/>
      <c r="DE18" s="102"/>
      <c r="DF18" s="102"/>
      <c r="DG18" s="102"/>
      <c r="DH18" s="102"/>
      <c r="DI18" s="102"/>
      <c r="DJ18" s="102"/>
      <c r="DK18" s="102"/>
      <c r="DL18" s="102"/>
      <c r="DM18" s="102"/>
      <c r="DN18" s="102"/>
      <c r="DO18" s="102"/>
      <c r="DP18" s="102"/>
      <c r="DQ18" s="102"/>
      <c r="DR18" s="102"/>
      <c r="DS18" s="102"/>
      <c r="DT18" s="102"/>
      <c r="DU18" s="102"/>
      <c r="DV18" s="102"/>
      <c r="DW18" s="102"/>
      <c r="DX18" s="102"/>
      <c r="DY18" s="102"/>
      <c r="DZ18" s="102"/>
      <c r="EA18" s="102"/>
      <c r="EB18" s="102"/>
      <c r="EC18" s="102"/>
      <c r="ED18" s="102"/>
      <c r="EE18" s="102"/>
      <c r="EF18" s="102"/>
      <c r="EG18" s="102"/>
      <c r="EH18" s="102"/>
      <c r="EI18" s="102"/>
      <c r="EJ18" s="102"/>
      <c r="EK18" s="102"/>
      <c r="EL18" s="102"/>
      <c r="EM18" s="102"/>
      <c r="EN18" s="102"/>
      <c r="EO18" s="102"/>
      <c r="EP18" s="102"/>
      <c r="EQ18" s="102"/>
    </row>
    <row r="19" hidden="1">
      <c r="A19" s="110" t="s">
        <v>121</v>
      </c>
      <c r="B19" s="111">
        <f t="shared" si="1"/>
        <v>46113</v>
      </c>
      <c r="C19" s="110">
        <v>210.0</v>
      </c>
      <c r="D19" s="110" t="s">
        <v>95</v>
      </c>
      <c r="E19" s="112"/>
      <c r="F19" s="112"/>
      <c r="G19" s="110" t="s">
        <v>98</v>
      </c>
      <c r="H19" s="112"/>
      <c r="I19" s="112"/>
      <c r="J19" s="113"/>
      <c r="K19" s="114"/>
      <c r="L19" s="116"/>
      <c r="M19" s="115" t="s">
        <v>97</v>
      </c>
      <c r="N19" s="116"/>
      <c r="O19" s="116"/>
      <c r="P19" s="116"/>
      <c r="Q19" s="116"/>
      <c r="R19" s="116"/>
      <c r="S19" s="115" t="s">
        <v>99</v>
      </c>
      <c r="T19" s="116"/>
      <c r="U19" s="116"/>
      <c r="V19" s="117"/>
      <c r="W19" s="118"/>
      <c r="X19" s="120"/>
      <c r="Y19" s="121" t="s">
        <v>99</v>
      </c>
      <c r="Z19" s="120"/>
      <c r="AA19" s="121" t="s">
        <v>96</v>
      </c>
      <c r="AB19" s="120"/>
      <c r="AC19" s="120"/>
      <c r="AD19" s="120"/>
      <c r="AE19" s="120"/>
      <c r="AF19" s="121" t="s">
        <v>98</v>
      </c>
      <c r="AG19" s="120"/>
      <c r="AH19" s="122"/>
      <c r="AI19" s="123"/>
      <c r="AJ19" s="124"/>
      <c r="AK19" s="124"/>
      <c r="AL19" s="125" t="s">
        <v>99</v>
      </c>
      <c r="AM19" s="124"/>
      <c r="AN19" s="124"/>
      <c r="AO19" s="124"/>
      <c r="AP19" s="125" t="s">
        <v>99</v>
      </c>
      <c r="AQ19" s="124"/>
      <c r="AR19" s="125" t="s">
        <v>97</v>
      </c>
      <c r="AS19" s="125" t="s">
        <v>97</v>
      </c>
      <c r="AT19" s="126"/>
      <c r="AU19" s="127"/>
      <c r="AV19" s="129"/>
      <c r="AW19" s="129"/>
      <c r="AX19" s="128" t="s">
        <v>106</v>
      </c>
      <c r="AY19" s="129"/>
      <c r="AZ19" s="129"/>
      <c r="BA19" s="129"/>
      <c r="BB19" s="129"/>
      <c r="BC19" s="129"/>
      <c r="BD19" s="129"/>
      <c r="BE19" s="129"/>
      <c r="BF19" s="130"/>
      <c r="BG19" s="129"/>
      <c r="BH19" s="129"/>
      <c r="BI19" s="129"/>
      <c r="BJ19" s="129"/>
      <c r="BK19" s="102"/>
      <c r="BL19" s="102"/>
      <c r="BM19" s="102"/>
      <c r="BN19" s="102"/>
      <c r="BO19" s="102"/>
      <c r="BP19" s="102"/>
      <c r="BQ19" s="102"/>
      <c r="BR19" s="102"/>
      <c r="BS19" s="102"/>
      <c r="BT19" s="102"/>
      <c r="BU19" s="102"/>
      <c r="BV19" s="102"/>
      <c r="BW19" s="102"/>
      <c r="BX19" s="102"/>
      <c r="BY19" s="102"/>
      <c r="BZ19" s="102"/>
      <c r="CA19" s="102"/>
      <c r="CB19" s="102"/>
      <c r="CC19" s="102"/>
      <c r="CD19" s="102"/>
      <c r="CE19" s="102"/>
      <c r="CF19" s="102"/>
      <c r="CG19" s="102"/>
      <c r="CH19" s="102"/>
      <c r="CI19" s="102"/>
      <c r="CJ19" s="102"/>
      <c r="CK19" s="102"/>
      <c r="CL19" s="102"/>
      <c r="CM19" s="102"/>
      <c r="CN19" s="102"/>
      <c r="CO19" s="102"/>
      <c r="CP19" s="102"/>
      <c r="CQ19" s="102"/>
      <c r="CR19" s="102"/>
      <c r="CS19" s="102"/>
      <c r="CT19" s="102"/>
      <c r="CU19" s="102"/>
      <c r="CV19" s="102"/>
      <c r="CW19" s="102"/>
      <c r="CX19" s="102"/>
      <c r="CY19" s="102"/>
      <c r="CZ19" s="102"/>
      <c r="DA19" s="102"/>
      <c r="DB19" s="102"/>
      <c r="DC19" s="102"/>
      <c r="DD19" s="102"/>
      <c r="DE19" s="102"/>
      <c r="DF19" s="102"/>
      <c r="DG19" s="102"/>
      <c r="DH19" s="102"/>
      <c r="DI19" s="102"/>
      <c r="DJ19" s="102"/>
      <c r="DK19" s="102"/>
      <c r="DL19" s="102"/>
      <c r="DM19" s="102"/>
      <c r="DN19" s="102"/>
      <c r="DO19" s="102"/>
      <c r="DP19" s="102"/>
      <c r="DQ19" s="102"/>
      <c r="DR19" s="102"/>
      <c r="DS19" s="102"/>
      <c r="DT19" s="102"/>
      <c r="DU19" s="102"/>
      <c r="DV19" s="102"/>
      <c r="DW19" s="102"/>
      <c r="DX19" s="102"/>
      <c r="DY19" s="102"/>
      <c r="DZ19" s="102"/>
      <c r="EA19" s="102"/>
      <c r="EB19" s="102"/>
      <c r="EC19" s="102"/>
      <c r="ED19" s="102"/>
      <c r="EE19" s="102"/>
      <c r="EF19" s="102"/>
      <c r="EG19" s="102"/>
      <c r="EH19" s="102"/>
      <c r="EI19" s="102"/>
      <c r="EJ19" s="102"/>
      <c r="EK19" s="102"/>
      <c r="EL19" s="102"/>
      <c r="EM19" s="102"/>
      <c r="EN19" s="102"/>
      <c r="EO19" s="102"/>
      <c r="EP19" s="102"/>
      <c r="EQ19" s="102"/>
    </row>
    <row r="20" hidden="1">
      <c r="A20" s="103" t="s">
        <v>122</v>
      </c>
      <c r="B20" s="131">
        <f t="shared" si="1"/>
        <v>46113</v>
      </c>
      <c r="C20" s="103">
        <v>210.0</v>
      </c>
      <c r="D20" s="103" t="s">
        <v>95</v>
      </c>
      <c r="E20" s="105"/>
      <c r="F20" s="105"/>
      <c r="G20" s="103" t="s">
        <v>98</v>
      </c>
      <c r="H20" s="105"/>
      <c r="I20" s="105"/>
      <c r="J20" s="136" t="s">
        <v>96</v>
      </c>
      <c r="K20" s="108" t="s">
        <v>98</v>
      </c>
      <c r="L20" s="105"/>
      <c r="M20" s="103" t="s">
        <v>98</v>
      </c>
      <c r="N20" s="105"/>
      <c r="O20" s="105"/>
      <c r="P20" s="105"/>
      <c r="Q20" s="105"/>
      <c r="R20" s="105"/>
      <c r="S20" s="103" t="s">
        <v>99</v>
      </c>
      <c r="T20" s="105"/>
      <c r="U20" s="105"/>
      <c r="V20" s="106"/>
      <c r="W20" s="107"/>
      <c r="X20" s="105"/>
      <c r="Y20" s="103" t="s">
        <v>99</v>
      </c>
      <c r="Z20" s="105"/>
      <c r="AA20" s="103" t="s">
        <v>97</v>
      </c>
      <c r="AB20" s="105"/>
      <c r="AC20" s="105"/>
      <c r="AD20" s="105"/>
      <c r="AE20" s="105"/>
      <c r="AF20" s="103" t="s">
        <v>96</v>
      </c>
      <c r="AG20" s="105"/>
      <c r="AH20" s="106"/>
      <c r="AI20" s="107"/>
      <c r="AJ20" s="105"/>
      <c r="AK20" s="105"/>
      <c r="AL20" s="103" t="s">
        <v>99</v>
      </c>
      <c r="AM20" s="105"/>
      <c r="AN20" s="105"/>
      <c r="AO20" s="105"/>
      <c r="AP20" s="103" t="s">
        <v>99</v>
      </c>
      <c r="AQ20" s="105"/>
      <c r="AR20" s="103" t="s">
        <v>97</v>
      </c>
      <c r="AS20" s="103" t="s">
        <v>97</v>
      </c>
      <c r="AT20" s="106"/>
      <c r="AU20" s="107"/>
      <c r="AV20" s="105"/>
      <c r="AW20" s="105"/>
      <c r="AX20" s="103" t="s">
        <v>106</v>
      </c>
      <c r="AY20" s="105"/>
      <c r="AZ20" s="105"/>
      <c r="BA20" s="105"/>
      <c r="BB20" s="105"/>
      <c r="BC20" s="105"/>
      <c r="BD20" s="105"/>
      <c r="BE20" s="105"/>
      <c r="BF20" s="106"/>
      <c r="BG20" s="105"/>
      <c r="BH20" s="105"/>
      <c r="BI20" s="105"/>
      <c r="BJ20" s="105"/>
      <c r="BK20" s="102"/>
      <c r="BL20" s="102"/>
      <c r="BM20" s="102"/>
      <c r="BN20" s="102"/>
      <c r="BO20" s="102"/>
      <c r="BP20" s="102"/>
      <c r="BQ20" s="102"/>
      <c r="BR20" s="102"/>
      <c r="BS20" s="102"/>
      <c r="BT20" s="102"/>
      <c r="BU20" s="102"/>
      <c r="BV20" s="102"/>
      <c r="BW20" s="102"/>
      <c r="BX20" s="102"/>
      <c r="BY20" s="102"/>
      <c r="BZ20" s="102"/>
      <c r="CA20" s="102"/>
      <c r="CB20" s="102"/>
      <c r="CC20" s="102"/>
      <c r="CD20" s="102"/>
      <c r="CE20" s="102"/>
      <c r="CF20" s="102"/>
      <c r="CG20" s="102"/>
      <c r="CH20" s="102"/>
      <c r="CI20" s="102"/>
      <c r="CJ20" s="102"/>
      <c r="CK20" s="102"/>
      <c r="CL20" s="102"/>
      <c r="CM20" s="102"/>
      <c r="CN20" s="102"/>
      <c r="CO20" s="102"/>
      <c r="CP20" s="102"/>
      <c r="CQ20" s="102"/>
      <c r="CR20" s="102"/>
      <c r="CS20" s="102"/>
      <c r="CT20" s="102"/>
      <c r="CU20" s="102"/>
      <c r="CV20" s="102"/>
      <c r="CW20" s="102"/>
      <c r="CX20" s="102"/>
      <c r="CY20" s="102"/>
      <c r="CZ20" s="102"/>
      <c r="DA20" s="102"/>
      <c r="DB20" s="102"/>
      <c r="DC20" s="102"/>
      <c r="DD20" s="102"/>
      <c r="DE20" s="102"/>
      <c r="DF20" s="102"/>
      <c r="DG20" s="102"/>
      <c r="DH20" s="102"/>
      <c r="DI20" s="102"/>
      <c r="DJ20" s="102"/>
      <c r="DK20" s="102"/>
      <c r="DL20" s="102"/>
      <c r="DM20" s="102"/>
      <c r="DN20" s="102"/>
      <c r="DO20" s="102"/>
      <c r="DP20" s="102"/>
      <c r="DQ20" s="102"/>
      <c r="DR20" s="102"/>
      <c r="DS20" s="102"/>
      <c r="DT20" s="102"/>
      <c r="DU20" s="102"/>
      <c r="DV20" s="102"/>
      <c r="DW20" s="102"/>
      <c r="DX20" s="102"/>
      <c r="DY20" s="102"/>
      <c r="DZ20" s="102"/>
      <c r="EA20" s="102"/>
      <c r="EB20" s="102"/>
      <c r="EC20" s="102"/>
      <c r="ED20" s="102"/>
      <c r="EE20" s="102"/>
      <c r="EF20" s="102"/>
      <c r="EG20" s="102"/>
      <c r="EH20" s="102"/>
      <c r="EI20" s="102"/>
      <c r="EJ20" s="102"/>
      <c r="EK20" s="102"/>
      <c r="EL20" s="102"/>
      <c r="EM20" s="102"/>
      <c r="EN20" s="102"/>
      <c r="EO20" s="102"/>
      <c r="EP20" s="102"/>
      <c r="EQ20" s="102"/>
    </row>
    <row r="21" hidden="1">
      <c r="A21" s="110" t="s">
        <v>123</v>
      </c>
      <c r="B21" s="111">
        <f t="shared" si="1"/>
        <v>46113</v>
      </c>
      <c r="C21" s="110">
        <v>210.0</v>
      </c>
      <c r="D21" s="110" t="s">
        <v>95</v>
      </c>
      <c r="E21" s="112"/>
      <c r="F21" s="112"/>
      <c r="G21" s="110" t="s">
        <v>98</v>
      </c>
      <c r="H21" s="112"/>
      <c r="I21" s="112"/>
      <c r="J21" s="137" t="s">
        <v>98</v>
      </c>
      <c r="K21" s="114"/>
      <c r="L21" s="116"/>
      <c r="M21" s="115" t="s">
        <v>98</v>
      </c>
      <c r="N21" s="116"/>
      <c r="O21" s="116"/>
      <c r="P21" s="116"/>
      <c r="Q21" s="116"/>
      <c r="R21" s="116"/>
      <c r="S21" s="115" t="s">
        <v>99</v>
      </c>
      <c r="T21" s="116"/>
      <c r="U21" s="115" t="s">
        <v>98</v>
      </c>
      <c r="V21" s="117"/>
      <c r="W21" s="118"/>
      <c r="X21" s="120"/>
      <c r="Y21" s="120"/>
      <c r="Z21" s="120"/>
      <c r="AA21" s="121" t="s">
        <v>97</v>
      </c>
      <c r="AB21" s="120"/>
      <c r="AC21" s="120"/>
      <c r="AD21" s="120"/>
      <c r="AE21" s="120"/>
      <c r="AF21" s="121" t="s">
        <v>96</v>
      </c>
      <c r="AG21" s="120"/>
      <c r="AH21" s="122"/>
      <c r="AI21" s="123"/>
      <c r="AJ21" s="124"/>
      <c r="AK21" s="124"/>
      <c r="AL21" s="125" t="s">
        <v>99</v>
      </c>
      <c r="AM21" s="124"/>
      <c r="AN21" s="125" t="s">
        <v>97</v>
      </c>
      <c r="AO21" s="124"/>
      <c r="AP21" s="124"/>
      <c r="AQ21" s="125" t="s">
        <v>97</v>
      </c>
      <c r="AR21" s="125" t="s">
        <v>97</v>
      </c>
      <c r="AS21" s="124"/>
      <c r="AT21" s="126"/>
      <c r="AU21" s="127"/>
      <c r="AV21" s="129"/>
      <c r="AW21" s="129"/>
      <c r="AX21" s="128" t="s">
        <v>106</v>
      </c>
      <c r="AY21" s="129"/>
      <c r="AZ21" s="129"/>
      <c r="BA21" s="129"/>
      <c r="BB21" s="129"/>
      <c r="BC21" s="129"/>
      <c r="BD21" s="129"/>
      <c r="BE21" s="129"/>
      <c r="BF21" s="130"/>
      <c r="BG21" s="129"/>
      <c r="BH21" s="129"/>
      <c r="BI21" s="129"/>
      <c r="BJ21" s="129"/>
      <c r="BK21" s="102"/>
      <c r="BL21" s="102"/>
      <c r="BM21" s="102"/>
      <c r="BN21" s="102"/>
      <c r="BO21" s="102"/>
      <c r="BP21" s="102"/>
      <c r="BQ21" s="102"/>
      <c r="BR21" s="102"/>
      <c r="BS21" s="102"/>
      <c r="BT21" s="102"/>
      <c r="BU21" s="102"/>
      <c r="BV21" s="102"/>
      <c r="BW21" s="102"/>
      <c r="BX21" s="102"/>
      <c r="BY21" s="102"/>
      <c r="BZ21" s="102"/>
      <c r="CA21" s="102"/>
      <c r="CB21" s="102"/>
      <c r="CC21" s="102"/>
      <c r="CD21" s="102"/>
      <c r="CE21" s="102"/>
      <c r="CF21" s="102"/>
      <c r="CG21" s="102"/>
      <c r="CH21" s="102"/>
      <c r="CI21" s="102"/>
      <c r="CJ21" s="102"/>
      <c r="CK21" s="102"/>
      <c r="CL21" s="102"/>
      <c r="CM21" s="102"/>
      <c r="CN21" s="102"/>
      <c r="CO21" s="102"/>
      <c r="CP21" s="102"/>
      <c r="CQ21" s="102"/>
      <c r="CR21" s="102"/>
      <c r="CS21" s="102"/>
      <c r="CT21" s="102"/>
      <c r="CU21" s="102"/>
      <c r="CV21" s="102"/>
      <c r="CW21" s="102"/>
      <c r="CX21" s="102"/>
      <c r="CY21" s="102"/>
      <c r="CZ21" s="102"/>
      <c r="DA21" s="102"/>
      <c r="DB21" s="102"/>
      <c r="DC21" s="102"/>
      <c r="DD21" s="102"/>
      <c r="DE21" s="102"/>
      <c r="DF21" s="102"/>
      <c r="DG21" s="102"/>
      <c r="DH21" s="102"/>
      <c r="DI21" s="102"/>
      <c r="DJ21" s="102"/>
      <c r="DK21" s="102"/>
      <c r="DL21" s="102"/>
      <c r="DM21" s="102"/>
      <c r="DN21" s="102"/>
      <c r="DO21" s="102"/>
      <c r="DP21" s="102"/>
      <c r="DQ21" s="102"/>
      <c r="DR21" s="102"/>
      <c r="DS21" s="102"/>
      <c r="DT21" s="102"/>
      <c r="DU21" s="102"/>
      <c r="DV21" s="102"/>
      <c r="DW21" s="102"/>
      <c r="DX21" s="102"/>
      <c r="DY21" s="102"/>
      <c r="DZ21" s="102"/>
      <c r="EA21" s="102"/>
      <c r="EB21" s="102"/>
      <c r="EC21" s="102"/>
      <c r="ED21" s="102"/>
      <c r="EE21" s="102"/>
      <c r="EF21" s="102"/>
      <c r="EG21" s="102"/>
      <c r="EH21" s="102"/>
      <c r="EI21" s="102"/>
      <c r="EJ21" s="102"/>
      <c r="EK21" s="102"/>
      <c r="EL21" s="102"/>
      <c r="EM21" s="102"/>
      <c r="EN21" s="102"/>
      <c r="EO21" s="102"/>
      <c r="EP21" s="102"/>
      <c r="EQ21" s="102"/>
    </row>
    <row r="22" hidden="1">
      <c r="A22" s="103" t="s">
        <v>124</v>
      </c>
      <c r="B22" s="131">
        <f t="shared" si="1"/>
        <v>46113</v>
      </c>
      <c r="C22" s="103">
        <v>210.0</v>
      </c>
      <c r="D22" s="103" t="s">
        <v>95</v>
      </c>
      <c r="E22" s="105"/>
      <c r="F22" s="105"/>
      <c r="G22" s="103" t="s">
        <v>96</v>
      </c>
      <c r="H22" s="103" t="s">
        <v>98</v>
      </c>
      <c r="I22" s="105"/>
      <c r="J22" s="106"/>
      <c r="K22" s="107"/>
      <c r="L22" s="105"/>
      <c r="M22" s="103" t="s">
        <v>96</v>
      </c>
      <c r="N22" s="103" t="s">
        <v>97</v>
      </c>
      <c r="O22" s="105"/>
      <c r="P22" s="105"/>
      <c r="Q22" s="105"/>
      <c r="R22" s="105"/>
      <c r="S22" s="103" t="s">
        <v>99</v>
      </c>
      <c r="T22" s="103" t="s">
        <v>99</v>
      </c>
      <c r="U22" s="105"/>
      <c r="V22" s="106"/>
      <c r="W22" s="107"/>
      <c r="X22" s="105"/>
      <c r="Y22" s="105"/>
      <c r="Z22" s="103" t="s">
        <v>99</v>
      </c>
      <c r="AA22" s="103" t="s">
        <v>98</v>
      </c>
      <c r="AB22" s="105"/>
      <c r="AC22" s="105"/>
      <c r="AD22" s="105"/>
      <c r="AE22" s="105"/>
      <c r="AF22" s="103" t="s">
        <v>96</v>
      </c>
      <c r="AG22" s="105"/>
      <c r="AH22" s="106"/>
      <c r="AI22" s="107"/>
      <c r="AJ22" s="105"/>
      <c r="AK22" s="105"/>
      <c r="AL22" s="103" t="s">
        <v>99</v>
      </c>
      <c r="AM22" s="105"/>
      <c r="AN22" s="103" t="s">
        <v>96</v>
      </c>
      <c r="AO22" s="105"/>
      <c r="AP22" s="105"/>
      <c r="AQ22" s="105"/>
      <c r="AR22" s="103" t="s">
        <v>97</v>
      </c>
      <c r="AS22" s="103" t="s">
        <v>97</v>
      </c>
      <c r="AT22" s="106"/>
      <c r="AU22" s="107"/>
      <c r="AV22" s="105"/>
      <c r="AW22" s="105"/>
      <c r="AX22" s="103" t="s">
        <v>106</v>
      </c>
      <c r="AY22" s="105"/>
      <c r="AZ22" s="105"/>
      <c r="BA22" s="105"/>
      <c r="BB22" s="105"/>
      <c r="BC22" s="105"/>
      <c r="BD22" s="105"/>
      <c r="BE22" s="105"/>
      <c r="BF22" s="106"/>
      <c r="BG22" s="105"/>
      <c r="BH22" s="105"/>
      <c r="BI22" s="105"/>
      <c r="BJ22" s="105"/>
      <c r="BK22" s="102"/>
      <c r="BL22" s="102"/>
      <c r="BM22" s="102"/>
      <c r="BN22" s="102"/>
      <c r="BO22" s="102"/>
      <c r="BP22" s="102"/>
      <c r="BQ22" s="102"/>
      <c r="BR22" s="102"/>
      <c r="BS22" s="102"/>
      <c r="BT22" s="102"/>
      <c r="BU22" s="102"/>
      <c r="BV22" s="102"/>
      <c r="BW22" s="102"/>
      <c r="BX22" s="102"/>
      <c r="BY22" s="102"/>
      <c r="BZ22" s="102"/>
      <c r="CA22" s="102"/>
      <c r="CB22" s="102"/>
      <c r="CC22" s="102"/>
      <c r="CD22" s="102"/>
      <c r="CE22" s="102"/>
      <c r="CF22" s="102"/>
      <c r="CG22" s="102"/>
      <c r="CH22" s="102"/>
      <c r="CI22" s="102"/>
      <c r="CJ22" s="102"/>
      <c r="CK22" s="102"/>
      <c r="CL22" s="102"/>
      <c r="CM22" s="102"/>
      <c r="CN22" s="102"/>
      <c r="CO22" s="102"/>
      <c r="CP22" s="102"/>
      <c r="CQ22" s="102"/>
      <c r="CR22" s="102"/>
      <c r="CS22" s="102"/>
      <c r="CT22" s="102"/>
      <c r="CU22" s="102"/>
      <c r="CV22" s="102"/>
      <c r="CW22" s="102"/>
      <c r="CX22" s="102"/>
      <c r="CY22" s="102"/>
      <c r="CZ22" s="102"/>
      <c r="DA22" s="102"/>
      <c r="DB22" s="102"/>
      <c r="DC22" s="102"/>
      <c r="DD22" s="102"/>
      <c r="DE22" s="102"/>
      <c r="DF22" s="102"/>
      <c r="DG22" s="102"/>
      <c r="DH22" s="102"/>
      <c r="DI22" s="102"/>
      <c r="DJ22" s="102"/>
      <c r="DK22" s="102"/>
      <c r="DL22" s="102"/>
      <c r="DM22" s="102"/>
      <c r="DN22" s="102"/>
      <c r="DO22" s="102"/>
      <c r="DP22" s="102"/>
      <c r="DQ22" s="102"/>
      <c r="DR22" s="102"/>
      <c r="DS22" s="102"/>
      <c r="DT22" s="102"/>
      <c r="DU22" s="102"/>
      <c r="DV22" s="102"/>
      <c r="DW22" s="102"/>
      <c r="DX22" s="102"/>
      <c r="DY22" s="102"/>
      <c r="DZ22" s="102"/>
      <c r="EA22" s="102"/>
      <c r="EB22" s="102"/>
      <c r="EC22" s="102"/>
      <c r="ED22" s="102"/>
      <c r="EE22" s="102"/>
      <c r="EF22" s="102"/>
      <c r="EG22" s="102"/>
      <c r="EH22" s="102"/>
      <c r="EI22" s="102"/>
      <c r="EJ22" s="102"/>
      <c r="EK22" s="102"/>
      <c r="EL22" s="102"/>
      <c r="EM22" s="102"/>
      <c r="EN22" s="102"/>
      <c r="EO22" s="102"/>
      <c r="EP22" s="102"/>
      <c r="EQ22" s="102"/>
    </row>
    <row r="23" hidden="1">
      <c r="A23" s="110" t="s">
        <v>125</v>
      </c>
      <c r="B23" s="111">
        <f t="shared" si="1"/>
        <v>46113</v>
      </c>
      <c r="C23" s="110">
        <v>210.0</v>
      </c>
      <c r="D23" s="110" t="s">
        <v>95</v>
      </c>
      <c r="E23" s="112"/>
      <c r="F23" s="112"/>
      <c r="G23" s="110" t="s">
        <v>97</v>
      </c>
      <c r="H23" s="110" t="s">
        <v>96</v>
      </c>
      <c r="I23" s="110" t="s">
        <v>97</v>
      </c>
      <c r="J23" s="113"/>
      <c r="K23" s="114"/>
      <c r="L23" s="116"/>
      <c r="M23" s="115" t="s">
        <v>98</v>
      </c>
      <c r="N23" s="116"/>
      <c r="O23" s="116"/>
      <c r="P23" s="116"/>
      <c r="Q23" s="116"/>
      <c r="R23" s="116"/>
      <c r="S23" s="115" t="s">
        <v>99</v>
      </c>
      <c r="T23" s="115" t="s">
        <v>98</v>
      </c>
      <c r="U23" s="116"/>
      <c r="V23" s="117"/>
      <c r="W23" s="118"/>
      <c r="X23" s="120"/>
      <c r="Y23" s="120"/>
      <c r="Z23" s="121" t="s">
        <v>99</v>
      </c>
      <c r="AA23" s="121" t="s">
        <v>97</v>
      </c>
      <c r="AB23" s="120"/>
      <c r="AC23" s="120"/>
      <c r="AD23" s="120"/>
      <c r="AE23" s="120"/>
      <c r="AF23" s="121" t="s">
        <v>97</v>
      </c>
      <c r="AG23" s="121" t="s">
        <v>97</v>
      </c>
      <c r="AH23" s="122"/>
      <c r="AI23" s="123"/>
      <c r="AJ23" s="124"/>
      <c r="AK23" s="124"/>
      <c r="AL23" s="124"/>
      <c r="AM23" s="125" t="s">
        <v>99</v>
      </c>
      <c r="AN23" s="125" t="s">
        <v>97</v>
      </c>
      <c r="AO23" s="124"/>
      <c r="AP23" s="124"/>
      <c r="AQ23" s="125" t="s">
        <v>97</v>
      </c>
      <c r="AR23" s="125" t="s">
        <v>97</v>
      </c>
      <c r="AS23" s="125" t="s">
        <v>97</v>
      </c>
      <c r="AT23" s="126"/>
      <c r="AU23" s="127"/>
      <c r="AV23" s="128" t="s">
        <v>97</v>
      </c>
      <c r="AW23" s="129"/>
      <c r="AX23" s="128" t="s">
        <v>106</v>
      </c>
      <c r="AY23" s="129"/>
      <c r="AZ23" s="129"/>
      <c r="BA23" s="129"/>
      <c r="BB23" s="129"/>
      <c r="BC23" s="129"/>
      <c r="BD23" s="129"/>
      <c r="BE23" s="129"/>
      <c r="BF23" s="130"/>
      <c r="BG23" s="129"/>
      <c r="BH23" s="129"/>
      <c r="BI23" s="129"/>
      <c r="BJ23" s="129"/>
      <c r="BK23" s="102"/>
      <c r="BL23" s="102"/>
      <c r="BM23" s="102"/>
      <c r="BN23" s="102"/>
      <c r="BO23" s="102"/>
      <c r="BP23" s="102"/>
      <c r="BQ23" s="102"/>
      <c r="BR23" s="102"/>
      <c r="BS23" s="102"/>
      <c r="BT23" s="102"/>
      <c r="BU23" s="102"/>
      <c r="BV23" s="102"/>
      <c r="BW23" s="102"/>
      <c r="BX23" s="102"/>
      <c r="BY23" s="102"/>
      <c r="BZ23" s="102"/>
      <c r="CA23" s="102"/>
      <c r="CB23" s="102"/>
      <c r="CC23" s="102"/>
      <c r="CD23" s="102"/>
      <c r="CE23" s="102"/>
      <c r="CF23" s="102"/>
      <c r="CG23" s="102"/>
      <c r="CH23" s="102"/>
      <c r="CI23" s="102"/>
      <c r="CJ23" s="102"/>
      <c r="CK23" s="102"/>
      <c r="CL23" s="102"/>
      <c r="CM23" s="102"/>
      <c r="CN23" s="102"/>
      <c r="CO23" s="102"/>
      <c r="CP23" s="102"/>
      <c r="CQ23" s="102"/>
      <c r="CR23" s="102"/>
      <c r="CS23" s="102"/>
      <c r="CT23" s="102"/>
      <c r="CU23" s="102"/>
      <c r="CV23" s="102"/>
      <c r="CW23" s="102"/>
      <c r="CX23" s="102"/>
      <c r="CY23" s="102"/>
      <c r="CZ23" s="102"/>
      <c r="DA23" s="102"/>
      <c r="DB23" s="102"/>
      <c r="DC23" s="102"/>
      <c r="DD23" s="102"/>
      <c r="DE23" s="102"/>
      <c r="DF23" s="102"/>
      <c r="DG23" s="102"/>
      <c r="DH23" s="102"/>
      <c r="DI23" s="102"/>
      <c r="DJ23" s="102"/>
      <c r="DK23" s="102"/>
      <c r="DL23" s="102"/>
      <c r="DM23" s="102"/>
      <c r="DN23" s="102"/>
      <c r="DO23" s="102"/>
      <c r="DP23" s="102"/>
      <c r="DQ23" s="102"/>
      <c r="DR23" s="102"/>
      <c r="DS23" s="102"/>
      <c r="DT23" s="102"/>
      <c r="DU23" s="102"/>
      <c r="DV23" s="102"/>
      <c r="DW23" s="102"/>
      <c r="DX23" s="102"/>
      <c r="DY23" s="102"/>
      <c r="DZ23" s="102"/>
      <c r="EA23" s="102"/>
      <c r="EB23" s="102"/>
      <c r="EC23" s="102"/>
      <c r="ED23" s="102"/>
      <c r="EE23" s="102"/>
      <c r="EF23" s="102"/>
      <c r="EG23" s="102"/>
      <c r="EH23" s="102"/>
      <c r="EI23" s="102"/>
      <c r="EJ23" s="102"/>
      <c r="EK23" s="102"/>
      <c r="EL23" s="102"/>
      <c r="EM23" s="102"/>
      <c r="EN23" s="102"/>
      <c r="EO23" s="102"/>
      <c r="EP23" s="102"/>
      <c r="EQ23" s="102"/>
    </row>
    <row r="24" hidden="1">
      <c r="A24" s="103" t="s">
        <v>126</v>
      </c>
      <c r="B24" s="131">
        <f t="shared" si="1"/>
        <v>46113</v>
      </c>
      <c r="C24" s="103">
        <v>210.0</v>
      </c>
      <c r="D24" s="103" t="s">
        <v>95</v>
      </c>
      <c r="E24" s="105"/>
      <c r="F24" s="105"/>
      <c r="G24" s="103" t="s">
        <v>96</v>
      </c>
      <c r="H24" s="103" t="s">
        <v>96</v>
      </c>
      <c r="I24" s="105"/>
      <c r="J24" s="106"/>
      <c r="K24" s="107"/>
      <c r="L24" s="105"/>
      <c r="M24" s="103" t="s">
        <v>97</v>
      </c>
      <c r="N24" s="105"/>
      <c r="O24" s="105"/>
      <c r="P24" s="105"/>
      <c r="Q24" s="105"/>
      <c r="R24" s="105"/>
      <c r="S24" s="103" t="s">
        <v>99</v>
      </c>
      <c r="T24" s="103" t="s">
        <v>98</v>
      </c>
      <c r="U24" s="105"/>
      <c r="V24" s="106"/>
      <c r="W24" s="107"/>
      <c r="X24" s="105"/>
      <c r="Y24" s="105"/>
      <c r="Z24" s="103" t="s">
        <v>99</v>
      </c>
      <c r="AA24" s="103" t="s">
        <v>97</v>
      </c>
      <c r="AB24" s="105"/>
      <c r="AC24" s="105"/>
      <c r="AD24" s="105"/>
      <c r="AE24" s="105"/>
      <c r="AF24" s="103" t="s">
        <v>97</v>
      </c>
      <c r="AG24" s="103" t="s">
        <v>97</v>
      </c>
      <c r="AH24" s="106"/>
      <c r="AI24" s="107"/>
      <c r="AJ24" s="105"/>
      <c r="AK24" s="105"/>
      <c r="AL24" s="105"/>
      <c r="AM24" s="103" t="s">
        <v>99</v>
      </c>
      <c r="AN24" s="105"/>
      <c r="AO24" s="105"/>
      <c r="AP24" s="103" t="s">
        <v>99</v>
      </c>
      <c r="AQ24" s="105"/>
      <c r="AR24" s="105"/>
      <c r="AS24" s="103" t="s">
        <v>97</v>
      </c>
      <c r="AT24" s="106"/>
      <c r="AU24" s="107"/>
      <c r="AV24" s="103" t="s">
        <v>97</v>
      </c>
      <c r="AW24" s="105"/>
      <c r="AX24" s="103" t="s">
        <v>106</v>
      </c>
      <c r="AY24" s="105"/>
      <c r="AZ24" s="105"/>
      <c r="BA24" s="105"/>
      <c r="BB24" s="105"/>
      <c r="BC24" s="105"/>
      <c r="BD24" s="105"/>
      <c r="BE24" s="105"/>
      <c r="BF24" s="106"/>
      <c r="BG24" s="105"/>
      <c r="BH24" s="105"/>
      <c r="BI24" s="105"/>
      <c r="BJ24" s="105"/>
      <c r="BK24" s="102"/>
      <c r="BL24" s="102"/>
      <c r="BM24" s="102"/>
      <c r="BN24" s="102"/>
      <c r="BO24" s="102"/>
      <c r="BP24" s="102"/>
      <c r="BQ24" s="102"/>
      <c r="BR24" s="102"/>
      <c r="BS24" s="102"/>
      <c r="BT24" s="102"/>
      <c r="BU24" s="102"/>
      <c r="BV24" s="102"/>
      <c r="BW24" s="102"/>
      <c r="BX24" s="102"/>
      <c r="BY24" s="102"/>
      <c r="BZ24" s="102"/>
      <c r="CA24" s="102"/>
      <c r="CB24" s="102"/>
      <c r="CC24" s="102"/>
      <c r="CD24" s="102"/>
      <c r="CE24" s="102"/>
      <c r="CF24" s="102"/>
      <c r="CG24" s="102"/>
      <c r="CH24" s="102"/>
      <c r="CI24" s="102"/>
      <c r="CJ24" s="102"/>
      <c r="CK24" s="102"/>
      <c r="CL24" s="102"/>
      <c r="CM24" s="102"/>
      <c r="CN24" s="102"/>
      <c r="CO24" s="102"/>
      <c r="CP24" s="102"/>
      <c r="CQ24" s="102"/>
      <c r="CR24" s="102"/>
      <c r="CS24" s="102"/>
      <c r="CT24" s="102"/>
      <c r="CU24" s="102"/>
      <c r="CV24" s="102"/>
      <c r="CW24" s="102"/>
      <c r="CX24" s="102"/>
      <c r="CY24" s="102"/>
      <c r="CZ24" s="102"/>
      <c r="DA24" s="102"/>
      <c r="DB24" s="102"/>
      <c r="DC24" s="102"/>
      <c r="DD24" s="102"/>
      <c r="DE24" s="102"/>
      <c r="DF24" s="102"/>
      <c r="DG24" s="102"/>
      <c r="DH24" s="102"/>
      <c r="DI24" s="102"/>
      <c r="DJ24" s="102"/>
      <c r="DK24" s="102"/>
      <c r="DL24" s="102"/>
      <c r="DM24" s="102"/>
      <c r="DN24" s="102"/>
      <c r="DO24" s="102"/>
      <c r="DP24" s="102"/>
      <c r="DQ24" s="102"/>
      <c r="DR24" s="102"/>
      <c r="DS24" s="102"/>
      <c r="DT24" s="102"/>
      <c r="DU24" s="102"/>
      <c r="DV24" s="102"/>
      <c r="DW24" s="102"/>
      <c r="DX24" s="102"/>
      <c r="DY24" s="102"/>
      <c r="DZ24" s="102"/>
      <c r="EA24" s="102"/>
      <c r="EB24" s="102"/>
      <c r="EC24" s="102"/>
      <c r="ED24" s="102"/>
      <c r="EE24" s="102"/>
      <c r="EF24" s="102"/>
      <c r="EG24" s="102"/>
      <c r="EH24" s="102"/>
      <c r="EI24" s="102"/>
      <c r="EJ24" s="102"/>
      <c r="EK24" s="102"/>
      <c r="EL24" s="102"/>
      <c r="EM24" s="102"/>
      <c r="EN24" s="102"/>
      <c r="EO24" s="102"/>
      <c r="EP24" s="102"/>
      <c r="EQ24" s="102"/>
    </row>
    <row r="25" hidden="1">
      <c r="A25" s="110" t="s">
        <v>127</v>
      </c>
      <c r="B25" s="111">
        <f t="shared" si="1"/>
        <v>46054</v>
      </c>
      <c r="C25" s="110">
        <v>365.0</v>
      </c>
      <c r="D25" s="110" t="s">
        <v>128</v>
      </c>
      <c r="E25" s="112"/>
      <c r="F25" s="112"/>
      <c r="G25" s="112"/>
      <c r="H25" s="112"/>
      <c r="I25" s="112"/>
      <c r="J25" s="113"/>
      <c r="K25" s="114"/>
      <c r="L25" s="116"/>
      <c r="M25" s="116"/>
      <c r="N25" s="116"/>
      <c r="O25" s="115" t="s">
        <v>97</v>
      </c>
      <c r="P25" s="116"/>
      <c r="Q25" s="116"/>
      <c r="R25" s="116"/>
      <c r="S25" s="116"/>
      <c r="T25" s="116"/>
      <c r="U25" s="116"/>
      <c r="V25" s="117"/>
      <c r="W25" s="118"/>
      <c r="X25" s="120"/>
      <c r="Y25" s="120"/>
      <c r="Z25" s="120"/>
      <c r="AA25" s="120"/>
      <c r="AB25" s="120"/>
      <c r="AC25" s="120"/>
      <c r="AD25" s="120"/>
      <c r="AE25" s="120"/>
      <c r="AF25" s="120"/>
      <c r="AG25" s="120"/>
      <c r="AH25" s="122"/>
      <c r="AI25" s="123"/>
      <c r="AJ25" s="124"/>
      <c r="AK25" s="124"/>
      <c r="AL25" s="124"/>
      <c r="AM25" s="124"/>
      <c r="AN25" s="124"/>
      <c r="AO25" s="124"/>
      <c r="AP25" s="124"/>
      <c r="AQ25" s="124"/>
      <c r="AR25" s="125" t="s">
        <v>98</v>
      </c>
      <c r="AS25" s="124"/>
      <c r="AT25" s="126"/>
      <c r="AU25" s="127"/>
      <c r="AV25" s="128" t="s">
        <v>98</v>
      </c>
      <c r="AW25" s="129"/>
      <c r="AX25" s="129"/>
      <c r="AY25" s="129"/>
      <c r="AZ25" s="129"/>
      <c r="BA25" s="129"/>
      <c r="BB25" s="129"/>
      <c r="BC25" s="129"/>
      <c r="BD25" s="129"/>
      <c r="BE25" s="129"/>
      <c r="BF25" s="130"/>
      <c r="BG25" s="129"/>
      <c r="BH25" s="129"/>
      <c r="BI25" s="129"/>
      <c r="BJ25" s="129"/>
      <c r="BK25" s="102"/>
      <c r="BL25" s="102"/>
      <c r="BM25" s="102"/>
      <c r="BN25" s="102"/>
      <c r="BO25" s="102"/>
      <c r="BP25" s="102"/>
      <c r="BQ25" s="102"/>
      <c r="BR25" s="102"/>
      <c r="BS25" s="102"/>
      <c r="BT25" s="102"/>
      <c r="BU25" s="102"/>
      <c r="BV25" s="102"/>
      <c r="BW25" s="102"/>
      <c r="BX25" s="102"/>
      <c r="BY25" s="102"/>
      <c r="BZ25" s="102"/>
      <c r="CA25" s="102"/>
      <c r="CB25" s="102"/>
      <c r="CC25" s="102"/>
      <c r="CD25" s="102"/>
      <c r="CE25" s="102"/>
      <c r="CF25" s="102"/>
      <c r="CG25" s="102"/>
      <c r="CH25" s="102"/>
      <c r="CI25" s="102"/>
      <c r="CJ25" s="102"/>
      <c r="CK25" s="102"/>
      <c r="CL25" s="102"/>
      <c r="CM25" s="102"/>
      <c r="CN25" s="102"/>
      <c r="CO25" s="102"/>
      <c r="CP25" s="102"/>
      <c r="CQ25" s="102"/>
      <c r="CR25" s="102"/>
      <c r="CS25" s="102"/>
      <c r="CT25" s="102"/>
      <c r="CU25" s="102"/>
      <c r="CV25" s="102"/>
      <c r="CW25" s="102"/>
      <c r="CX25" s="102"/>
      <c r="CY25" s="102"/>
      <c r="CZ25" s="102"/>
      <c r="DA25" s="102"/>
      <c r="DB25" s="102"/>
      <c r="DC25" s="102"/>
      <c r="DD25" s="102"/>
      <c r="DE25" s="102"/>
      <c r="DF25" s="102"/>
      <c r="DG25" s="102"/>
      <c r="DH25" s="102"/>
      <c r="DI25" s="102"/>
      <c r="DJ25" s="102"/>
      <c r="DK25" s="102"/>
      <c r="DL25" s="102"/>
      <c r="DM25" s="102"/>
      <c r="DN25" s="102"/>
      <c r="DO25" s="102"/>
      <c r="DP25" s="102"/>
      <c r="DQ25" s="102"/>
      <c r="DR25" s="102"/>
      <c r="DS25" s="102"/>
      <c r="DT25" s="102"/>
      <c r="DU25" s="102"/>
      <c r="DV25" s="102"/>
      <c r="DW25" s="102"/>
      <c r="DX25" s="102"/>
      <c r="DY25" s="102"/>
      <c r="DZ25" s="102"/>
      <c r="EA25" s="102"/>
      <c r="EB25" s="102"/>
      <c r="EC25" s="102"/>
      <c r="ED25" s="102"/>
      <c r="EE25" s="102"/>
      <c r="EF25" s="102"/>
      <c r="EG25" s="102"/>
      <c r="EH25" s="102"/>
      <c r="EI25" s="102"/>
      <c r="EJ25" s="102"/>
      <c r="EK25" s="102"/>
      <c r="EL25" s="102"/>
      <c r="EM25" s="102"/>
      <c r="EN25" s="102"/>
      <c r="EO25" s="102"/>
      <c r="EP25" s="102"/>
      <c r="EQ25" s="102"/>
    </row>
    <row r="26" hidden="1">
      <c r="A26" s="103" t="s">
        <v>129</v>
      </c>
      <c r="B26" s="131">
        <f t="shared" si="1"/>
        <v>46082</v>
      </c>
      <c r="C26" s="103">
        <v>365.0</v>
      </c>
      <c r="D26" s="103" t="s">
        <v>128</v>
      </c>
      <c r="E26" s="105"/>
      <c r="F26" s="105"/>
      <c r="G26" s="103" t="s">
        <v>98</v>
      </c>
      <c r="H26" s="103" t="s">
        <v>97</v>
      </c>
      <c r="I26" s="105"/>
      <c r="J26" s="106"/>
      <c r="K26" s="108" t="s">
        <v>98</v>
      </c>
      <c r="L26" s="105"/>
      <c r="M26" s="105"/>
      <c r="N26" s="105"/>
      <c r="O26" s="103" t="s">
        <v>97</v>
      </c>
      <c r="P26" s="105"/>
      <c r="Q26" s="105"/>
      <c r="R26" s="105"/>
      <c r="S26" s="105"/>
      <c r="T26" s="105"/>
      <c r="U26" s="105"/>
      <c r="V26" s="106"/>
      <c r="W26" s="108" t="s">
        <v>97</v>
      </c>
      <c r="X26" s="103" t="s">
        <v>98</v>
      </c>
      <c r="Y26" s="105"/>
      <c r="Z26" s="105"/>
      <c r="AA26" s="105"/>
      <c r="AB26" s="105"/>
      <c r="AC26" s="105"/>
      <c r="AD26" s="105"/>
      <c r="AE26" s="105"/>
      <c r="AF26" s="103" t="s">
        <v>96</v>
      </c>
      <c r="AG26" s="103" t="s">
        <v>96</v>
      </c>
      <c r="AH26" s="106"/>
      <c r="AI26" s="107"/>
      <c r="AJ26" s="103" t="s">
        <v>97</v>
      </c>
      <c r="AK26" s="105"/>
      <c r="AL26" s="105"/>
      <c r="AM26" s="105"/>
      <c r="AN26" s="103" t="s">
        <v>97</v>
      </c>
      <c r="AO26" s="105"/>
      <c r="AP26" s="105"/>
      <c r="AQ26" s="103" t="s">
        <v>98</v>
      </c>
      <c r="AR26" s="103" t="s">
        <v>97</v>
      </c>
      <c r="AS26" s="103" t="s">
        <v>97</v>
      </c>
      <c r="AT26" s="106"/>
      <c r="AU26" s="107"/>
      <c r="AV26" s="103" t="s">
        <v>97</v>
      </c>
      <c r="AW26" s="103" t="s">
        <v>98</v>
      </c>
      <c r="AX26" s="105"/>
      <c r="AY26" s="105"/>
      <c r="AZ26" s="105"/>
      <c r="BA26" s="105"/>
      <c r="BB26" s="105"/>
      <c r="BC26" s="105"/>
      <c r="BD26" s="105"/>
      <c r="BE26" s="105"/>
      <c r="BF26" s="106"/>
      <c r="BG26" s="105"/>
      <c r="BH26" s="105"/>
      <c r="BI26" s="105"/>
      <c r="BJ26" s="105"/>
      <c r="BK26" s="102"/>
      <c r="BL26" s="102"/>
      <c r="BM26" s="102"/>
      <c r="BN26" s="102"/>
      <c r="BO26" s="102"/>
      <c r="BP26" s="102"/>
      <c r="BQ26" s="102"/>
      <c r="BR26" s="102"/>
      <c r="BS26" s="102"/>
      <c r="BT26" s="102"/>
      <c r="BU26" s="102"/>
      <c r="BV26" s="102"/>
      <c r="BW26" s="102"/>
      <c r="BX26" s="102"/>
      <c r="BY26" s="102"/>
      <c r="BZ26" s="102"/>
      <c r="CA26" s="102"/>
      <c r="CB26" s="102"/>
      <c r="CC26" s="102"/>
      <c r="CD26" s="102"/>
      <c r="CE26" s="102"/>
      <c r="CF26" s="102"/>
      <c r="CG26" s="102"/>
      <c r="CH26" s="102"/>
      <c r="CI26" s="102"/>
      <c r="CJ26" s="102"/>
      <c r="CK26" s="102"/>
      <c r="CL26" s="102"/>
      <c r="CM26" s="102"/>
      <c r="CN26" s="102"/>
      <c r="CO26" s="102"/>
      <c r="CP26" s="102"/>
      <c r="CQ26" s="102"/>
      <c r="CR26" s="102"/>
      <c r="CS26" s="102"/>
      <c r="CT26" s="102"/>
      <c r="CU26" s="102"/>
      <c r="CV26" s="102"/>
      <c r="CW26" s="102"/>
      <c r="CX26" s="102"/>
      <c r="CY26" s="102"/>
      <c r="CZ26" s="102"/>
      <c r="DA26" s="102"/>
      <c r="DB26" s="102"/>
      <c r="DC26" s="102"/>
      <c r="DD26" s="102"/>
      <c r="DE26" s="102"/>
      <c r="DF26" s="102"/>
      <c r="DG26" s="102"/>
      <c r="DH26" s="102"/>
      <c r="DI26" s="102"/>
      <c r="DJ26" s="102"/>
      <c r="DK26" s="102"/>
      <c r="DL26" s="102"/>
      <c r="DM26" s="102"/>
      <c r="DN26" s="102"/>
      <c r="DO26" s="102"/>
      <c r="DP26" s="102"/>
      <c r="DQ26" s="102"/>
      <c r="DR26" s="102"/>
      <c r="DS26" s="102"/>
      <c r="DT26" s="102"/>
      <c r="DU26" s="102"/>
      <c r="DV26" s="102"/>
      <c r="DW26" s="102"/>
      <c r="DX26" s="102"/>
      <c r="DY26" s="102"/>
      <c r="DZ26" s="102"/>
      <c r="EA26" s="102"/>
      <c r="EB26" s="102"/>
      <c r="EC26" s="102"/>
      <c r="ED26" s="102"/>
      <c r="EE26" s="102"/>
      <c r="EF26" s="102"/>
      <c r="EG26" s="102"/>
      <c r="EH26" s="102"/>
      <c r="EI26" s="102"/>
      <c r="EJ26" s="102"/>
      <c r="EK26" s="102"/>
      <c r="EL26" s="102"/>
      <c r="EM26" s="102"/>
      <c r="EN26" s="102"/>
      <c r="EO26" s="102"/>
      <c r="EP26" s="102"/>
      <c r="EQ26" s="102"/>
    </row>
    <row r="27" hidden="1">
      <c r="A27" s="110" t="s">
        <v>130</v>
      </c>
      <c r="B27" s="111">
        <f t="shared" si="1"/>
        <v>46113</v>
      </c>
      <c r="C27" s="110">
        <v>365.0</v>
      </c>
      <c r="D27" s="110" t="s">
        <v>128</v>
      </c>
      <c r="E27" s="112"/>
      <c r="F27" s="112"/>
      <c r="G27" s="112"/>
      <c r="H27" s="112"/>
      <c r="I27" s="112"/>
      <c r="J27" s="113"/>
      <c r="K27" s="114"/>
      <c r="L27" s="116"/>
      <c r="M27" s="116"/>
      <c r="N27" s="116"/>
      <c r="O27" s="116"/>
      <c r="P27" s="116"/>
      <c r="Q27" s="116"/>
      <c r="R27" s="116"/>
      <c r="S27" s="116"/>
      <c r="T27" s="116"/>
      <c r="U27" s="116"/>
      <c r="V27" s="117"/>
      <c r="W27" s="118"/>
      <c r="X27" s="120"/>
      <c r="Y27" s="120"/>
      <c r="Z27" s="120"/>
      <c r="AA27" s="120"/>
      <c r="AB27" s="120"/>
      <c r="AC27" s="120"/>
      <c r="AD27" s="120"/>
      <c r="AE27" s="120"/>
      <c r="AF27" s="120"/>
      <c r="AG27" s="121" t="s">
        <v>97</v>
      </c>
      <c r="AH27" s="122"/>
      <c r="AI27" s="123"/>
      <c r="AJ27" s="124"/>
      <c r="AK27" s="124"/>
      <c r="AL27" s="124"/>
      <c r="AM27" s="124"/>
      <c r="AN27" s="124"/>
      <c r="AO27" s="124"/>
      <c r="AP27" s="124"/>
      <c r="AQ27" s="124"/>
      <c r="AR27" s="124"/>
      <c r="AS27" s="124"/>
      <c r="AT27" s="126"/>
      <c r="AU27" s="127"/>
      <c r="AV27" s="128" t="s">
        <v>97</v>
      </c>
      <c r="AW27" s="129"/>
      <c r="AX27" s="128" t="s">
        <v>97</v>
      </c>
      <c r="AY27" s="129"/>
      <c r="AZ27" s="129"/>
      <c r="BA27" s="129"/>
      <c r="BB27" s="129"/>
      <c r="BC27" s="129"/>
      <c r="BD27" s="129"/>
      <c r="BE27" s="129"/>
      <c r="BF27" s="130"/>
      <c r="BG27" s="129"/>
      <c r="BH27" s="129"/>
      <c r="BI27" s="129"/>
      <c r="BJ27" s="129"/>
      <c r="BK27" s="102"/>
      <c r="BL27" s="102"/>
      <c r="BM27" s="102"/>
      <c r="BN27" s="102"/>
      <c r="BO27" s="102"/>
      <c r="BP27" s="102"/>
      <c r="BQ27" s="102"/>
      <c r="BR27" s="102"/>
      <c r="BS27" s="102"/>
      <c r="BT27" s="102"/>
      <c r="BU27" s="102"/>
      <c r="BV27" s="102"/>
      <c r="BW27" s="102"/>
      <c r="BX27" s="102"/>
      <c r="BY27" s="102"/>
      <c r="BZ27" s="102"/>
      <c r="CA27" s="102"/>
      <c r="CB27" s="102"/>
      <c r="CC27" s="102"/>
      <c r="CD27" s="102"/>
      <c r="CE27" s="102"/>
      <c r="CF27" s="102"/>
      <c r="CG27" s="102"/>
      <c r="CH27" s="102"/>
      <c r="CI27" s="102"/>
      <c r="CJ27" s="102"/>
      <c r="CK27" s="102"/>
      <c r="CL27" s="102"/>
      <c r="CM27" s="102"/>
      <c r="CN27" s="102"/>
      <c r="CO27" s="102"/>
      <c r="CP27" s="102"/>
      <c r="CQ27" s="102"/>
      <c r="CR27" s="102"/>
      <c r="CS27" s="102"/>
      <c r="CT27" s="102"/>
      <c r="CU27" s="102"/>
      <c r="CV27" s="102"/>
      <c r="CW27" s="102"/>
      <c r="CX27" s="102"/>
      <c r="CY27" s="102"/>
      <c r="CZ27" s="102"/>
      <c r="DA27" s="102"/>
      <c r="DB27" s="102"/>
      <c r="DC27" s="102"/>
      <c r="DD27" s="102"/>
      <c r="DE27" s="102"/>
      <c r="DF27" s="102"/>
      <c r="DG27" s="102"/>
      <c r="DH27" s="102"/>
      <c r="DI27" s="102"/>
      <c r="DJ27" s="102"/>
      <c r="DK27" s="102"/>
      <c r="DL27" s="102"/>
      <c r="DM27" s="102"/>
      <c r="DN27" s="102"/>
      <c r="DO27" s="102"/>
      <c r="DP27" s="102"/>
      <c r="DQ27" s="102"/>
      <c r="DR27" s="102"/>
      <c r="DS27" s="102"/>
      <c r="DT27" s="102"/>
      <c r="DU27" s="102"/>
      <c r="DV27" s="102"/>
      <c r="DW27" s="102"/>
      <c r="DX27" s="102"/>
      <c r="DY27" s="102"/>
      <c r="DZ27" s="102"/>
      <c r="EA27" s="102"/>
      <c r="EB27" s="102"/>
      <c r="EC27" s="102"/>
      <c r="ED27" s="102"/>
      <c r="EE27" s="102"/>
      <c r="EF27" s="102"/>
      <c r="EG27" s="102"/>
      <c r="EH27" s="102"/>
      <c r="EI27" s="102"/>
      <c r="EJ27" s="102"/>
      <c r="EK27" s="102"/>
      <c r="EL27" s="102"/>
      <c r="EM27" s="102"/>
      <c r="EN27" s="102"/>
      <c r="EO27" s="102"/>
      <c r="EP27" s="102"/>
      <c r="EQ27" s="102"/>
    </row>
    <row r="28" hidden="1">
      <c r="A28" s="103" t="s">
        <v>131</v>
      </c>
      <c r="B28" s="131">
        <f t="shared" si="1"/>
        <v>45962</v>
      </c>
      <c r="C28" s="103">
        <v>210.0</v>
      </c>
      <c r="D28" s="103" t="s">
        <v>95</v>
      </c>
      <c r="E28" s="105"/>
      <c r="F28" s="105"/>
      <c r="G28" s="103" t="s">
        <v>96</v>
      </c>
      <c r="H28" s="103" t="s">
        <v>98</v>
      </c>
      <c r="I28" s="105"/>
      <c r="J28" s="106"/>
      <c r="K28" s="107"/>
      <c r="L28" s="105"/>
      <c r="M28" s="103" t="s">
        <v>98</v>
      </c>
      <c r="N28" s="105"/>
      <c r="O28" s="105"/>
      <c r="P28" s="105"/>
      <c r="Q28" s="105"/>
      <c r="R28" s="105"/>
      <c r="S28" s="103" t="s">
        <v>99</v>
      </c>
      <c r="T28" s="105"/>
      <c r="U28" s="105"/>
      <c r="V28" s="106"/>
      <c r="W28" s="107"/>
      <c r="X28" s="105"/>
      <c r="Y28" s="103" t="s">
        <v>99</v>
      </c>
      <c r="Z28" s="105"/>
      <c r="AA28" s="105"/>
      <c r="AB28" s="105"/>
      <c r="AC28" s="105"/>
      <c r="AD28" s="105"/>
      <c r="AE28" s="103" t="s">
        <v>99</v>
      </c>
      <c r="AF28" s="103" t="s">
        <v>97</v>
      </c>
      <c r="AG28" s="105"/>
      <c r="AH28" s="106"/>
      <c r="AI28" s="107"/>
      <c r="AJ28" s="105"/>
      <c r="AK28" s="105"/>
      <c r="AL28" s="103" t="s">
        <v>99</v>
      </c>
      <c r="AM28" s="105"/>
      <c r="AN28" s="105"/>
      <c r="AO28" s="105"/>
      <c r="AP28" s="103" t="s">
        <v>99</v>
      </c>
      <c r="AQ28" s="105"/>
      <c r="AR28" s="103" t="s">
        <v>132</v>
      </c>
      <c r="AS28" s="103" t="s">
        <v>97</v>
      </c>
      <c r="AT28" s="106"/>
      <c r="AU28" s="107"/>
      <c r="AV28" s="105"/>
      <c r="AW28" s="105"/>
      <c r="AX28" s="105"/>
      <c r="AY28" s="105"/>
      <c r="AZ28" s="105"/>
      <c r="BA28" s="105"/>
      <c r="BB28" s="105"/>
      <c r="BC28" s="105"/>
      <c r="BD28" s="105"/>
      <c r="BE28" s="105"/>
      <c r="BF28" s="106"/>
      <c r="BG28" s="105"/>
      <c r="BH28" s="105"/>
      <c r="BI28" s="105"/>
      <c r="BJ28" s="105"/>
      <c r="BK28" s="102"/>
      <c r="BL28" s="102"/>
      <c r="BM28" s="102"/>
      <c r="BN28" s="102"/>
      <c r="BO28" s="102"/>
      <c r="BP28" s="102"/>
      <c r="BQ28" s="102"/>
      <c r="BR28" s="102"/>
      <c r="BS28" s="102"/>
      <c r="BT28" s="102"/>
      <c r="BU28" s="102"/>
      <c r="BV28" s="102"/>
      <c r="BW28" s="102"/>
      <c r="BX28" s="102"/>
      <c r="BY28" s="102"/>
      <c r="BZ28" s="102"/>
      <c r="CA28" s="102"/>
      <c r="CB28" s="102"/>
      <c r="CC28" s="102"/>
      <c r="CD28" s="102"/>
      <c r="CE28" s="102"/>
      <c r="CF28" s="102"/>
      <c r="CG28" s="102"/>
      <c r="CH28" s="102"/>
      <c r="CI28" s="102"/>
      <c r="CJ28" s="102"/>
      <c r="CK28" s="102"/>
      <c r="CL28" s="102"/>
      <c r="CM28" s="102"/>
      <c r="CN28" s="102"/>
      <c r="CO28" s="102"/>
      <c r="CP28" s="102"/>
      <c r="CQ28" s="102"/>
      <c r="CR28" s="102"/>
      <c r="CS28" s="102"/>
      <c r="CT28" s="102"/>
      <c r="CU28" s="102"/>
      <c r="CV28" s="102"/>
      <c r="CW28" s="102"/>
      <c r="CX28" s="102"/>
      <c r="CY28" s="102"/>
      <c r="CZ28" s="102"/>
      <c r="DA28" s="102"/>
      <c r="DB28" s="102"/>
      <c r="DC28" s="102"/>
      <c r="DD28" s="102"/>
      <c r="DE28" s="102"/>
      <c r="DF28" s="102"/>
      <c r="DG28" s="102"/>
      <c r="DH28" s="102"/>
      <c r="DI28" s="102"/>
      <c r="DJ28" s="102"/>
      <c r="DK28" s="102"/>
      <c r="DL28" s="102"/>
      <c r="DM28" s="102"/>
      <c r="DN28" s="102"/>
      <c r="DO28" s="102"/>
      <c r="DP28" s="102"/>
      <c r="DQ28" s="102"/>
      <c r="DR28" s="102"/>
      <c r="DS28" s="102"/>
      <c r="DT28" s="102"/>
      <c r="DU28" s="102"/>
      <c r="DV28" s="102"/>
      <c r="DW28" s="102"/>
      <c r="DX28" s="102"/>
      <c r="DY28" s="102"/>
      <c r="DZ28" s="102"/>
      <c r="EA28" s="102"/>
      <c r="EB28" s="102"/>
      <c r="EC28" s="102"/>
      <c r="ED28" s="102"/>
      <c r="EE28" s="102"/>
      <c r="EF28" s="102"/>
      <c r="EG28" s="102"/>
      <c r="EH28" s="102"/>
      <c r="EI28" s="102"/>
      <c r="EJ28" s="102"/>
      <c r="EK28" s="102"/>
      <c r="EL28" s="102"/>
      <c r="EM28" s="102"/>
      <c r="EN28" s="102"/>
      <c r="EO28" s="102"/>
      <c r="EP28" s="102"/>
      <c r="EQ28" s="102"/>
    </row>
    <row r="29" hidden="1">
      <c r="A29" s="138" t="s">
        <v>133</v>
      </c>
      <c r="B29" s="111">
        <f t="shared" si="1"/>
        <v>46113</v>
      </c>
      <c r="C29" s="110">
        <v>210.0</v>
      </c>
      <c r="D29" s="110" t="s">
        <v>95</v>
      </c>
      <c r="E29" s="110" t="s">
        <v>96</v>
      </c>
      <c r="F29" s="112"/>
      <c r="G29" s="112"/>
      <c r="H29" s="110" t="s">
        <v>98</v>
      </c>
      <c r="I29" s="112"/>
      <c r="J29" s="113"/>
      <c r="K29" s="114"/>
      <c r="L29" s="116"/>
      <c r="M29" s="115" t="s">
        <v>98</v>
      </c>
      <c r="N29" s="116"/>
      <c r="O29" s="116"/>
      <c r="P29" s="116"/>
      <c r="Q29" s="116"/>
      <c r="R29" s="116"/>
      <c r="S29" s="115" t="s">
        <v>99</v>
      </c>
      <c r="T29" s="116"/>
      <c r="U29" s="116"/>
      <c r="V29" s="117"/>
      <c r="W29" s="118"/>
      <c r="X29" s="120"/>
      <c r="Y29" s="121" t="s">
        <v>99</v>
      </c>
      <c r="Z29" s="120"/>
      <c r="AA29" s="120"/>
      <c r="AB29" s="120"/>
      <c r="AC29" s="120"/>
      <c r="AD29" s="120"/>
      <c r="AE29" s="121" t="s">
        <v>99</v>
      </c>
      <c r="AF29" s="121" t="s">
        <v>97</v>
      </c>
      <c r="AG29" s="120"/>
      <c r="AH29" s="122"/>
      <c r="AI29" s="123"/>
      <c r="AJ29" s="124"/>
      <c r="AK29" s="124"/>
      <c r="AL29" s="125" t="s">
        <v>99</v>
      </c>
      <c r="AM29" s="124"/>
      <c r="AN29" s="124"/>
      <c r="AO29" s="124"/>
      <c r="AP29" s="125" t="s">
        <v>99</v>
      </c>
      <c r="AQ29" s="124"/>
      <c r="AR29" s="125" t="s">
        <v>97</v>
      </c>
      <c r="AS29" s="124"/>
      <c r="AT29" s="126"/>
      <c r="AU29" s="127"/>
      <c r="AV29" s="129"/>
      <c r="AW29" s="128" t="s">
        <v>97</v>
      </c>
      <c r="AX29" s="128" t="s">
        <v>97</v>
      </c>
      <c r="AY29" s="129"/>
      <c r="AZ29" s="129"/>
      <c r="BA29" s="129"/>
      <c r="BB29" s="129"/>
      <c r="BC29" s="129"/>
      <c r="BD29" s="129"/>
      <c r="BE29" s="129"/>
      <c r="BF29" s="130"/>
      <c r="BG29" s="129"/>
      <c r="BH29" s="129"/>
      <c r="BI29" s="129"/>
      <c r="BJ29" s="129"/>
      <c r="BK29" s="102"/>
      <c r="BL29" s="102"/>
      <c r="BM29" s="102"/>
      <c r="BN29" s="102"/>
      <c r="BO29" s="102"/>
      <c r="BP29" s="102"/>
      <c r="BQ29" s="102"/>
      <c r="BR29" s="102"/>
      <c r="BS29" s="102"/>
      <c r="BT29" s="102"/>
      <c r="BU29" s="102"/>
      <c r="BV29" s="102"/>
      <c r="BW29" s="102"/>
      <c r="BX29" s="102"/>
      <c r="BY29" s="102"/>
      <c r="BZ29" s="102"/>
      <c r="CA29" s="102"/>
      <c r="CB29" s="102"/>
      <c r="CC29" s="102"/>
      <c r="CD29" s="102"/>
      <c r="CE29" s="102"/>
      <c r="CF29" s="102"/>
      <c r="CG29" s="102"/>
      <c r="CH29" s="102"/>
      <c r="CI29" s="102"/>
      <c r="CJ29" s="102"/>
      <c r="CK29" s="102"/>
      <c r="CL29" s="102"/>
      <c r="CM29" s="102"/>
      <c r="CN29" s="102"/>
      <c r="CO29" s="102"/>
      <c r="CP29" s="102"/>
      <c r="CQ29" s="102"/>
      <c r="CR29" s="102"/>
      <c r="CS29" s="102"/>
      <c r="CT29" s="102"/>
      <c r="CU29" s="102"/>
      <c r="CV29" s="102"/>
      <c r="CW29" s="102"/>
      <c r="CX29" s="102"/>
      <c r="CY29" s="102"/>
      <c r="CZ29" s="102"/>
      <c r="DA29" s="102"/>
      <c r="DB29" s="102"/>
      <c r="DC29" s="102"/>
      <c r="DD29" s="102"/>
      <c r="DE29" s="102"/>
      <c r="DF29" s="102"/>
      <c r="DG29" s="102"/>
      <c r="DH29" s="102"/>
      <c r="DI29" s="102"/>
      <c r="DJ29" s="102"/>
      <c r="DK29" s="102"/>
      <c r="DL29" s="102"/>
      <c r="DM29" s="102"/>
      <c r="DN29" s="102"/>
      <c r="DO29" s="102"/>
      <c r="DP29" s="102"/>
      <c r="DQ29" s="102"/>
      <c r="DR29" s="102"/>
      <c r="DS29" s="102"/>
      <c r="DT29" s="102"/>
      <c r="DU29" s="102"/>
      <c r="DV29" s="102"/>
      <c r="DW29" s="102"/>
      <c r="DX29" s="102"/>
      <c r="DY29" s="102"/>
      <c r="DZ29" s="102"/>
      <c r="EA29" s="102"/>
      <c r="EB29" s="102"/>
      <c r="EC29" s="102"/>
      <c r="ED29" s="102"/>
      <c r="EE29" s="102"/>
      <c r="EF29" s="102"/>
      <c r="EG29" s="102"/>
      <c r="EH29" s="102"/>
      <c r="EI29" s="102"/>
      <c r="EJ29" s="102"/>
      <c r="EK29" s="102"/>
      <c r="EL29" s="102"/>
      <c r="EM29" s="102"/>
      <c r="EN29" s="102"/>
      <c r="EO29" s="102"/>
      <c r="EP29" s="102"/>
      <c r="EQ29" s="102"/>
    </row>
    <row r="30" hidden="1">
      <c r="A30" s="139" t="s">
        <v>134</v>
      </c>
      <c r="B30" s="131">
        <f t="shared" si="1"/>
        <v>46113</v>
      </c>
      <c r="C30" s="103">
        <v>210.0</v>
      </c>
      <c r="D30" s="103" t="s">
        <v>95</v>
      </c>
      <c r="E30" s="103" t="s">
        <v>96</v>
      </c>
      <c r="F30" s="105"/>
      <c r="G30" s="105"/>
      <c r="H30" s="103" t="s">
        <v>98</v>
      </c>
      <c r="I30" s="105"/>
      <c r="J30" s="106"/>
      <c r="K30" s="107"/>
      <c r="L30" s="105"/>
      <c r="M30" s="103" t="s">
        <v>98</v>
      </c>
      <c r="N30" s="105"/>
      <c r="O30" s="105"/>
      <c r="P30" s="105"/>
      <c r="Q30" s="105"/>
      <c r="R30" s="105"/>
      <c r="S30" s="103" t="s">
        <v>99</v>
      </c>
      <c r="T30" s="105"/>
      <c r="U30" s="105"/>
      <c r="V30" s="106"/>
      <c r="W30" s="107"/>
      <c r="X30" s="105"/>
      <c r="Y30" s="103" t="s">
        <v>99</v>
      </c>
      <c r="Z30" s="105"/>
      <c r="AA30" s="105"/>
      <c r="AB30" s="105"/>
      <c r="AC30" s="105"/>
      <c r="AD30" s="105"/>
      <c r="AE30" s="103" t="s">
        <v>99</v>
      </c>
      <c r="AF30" s="103" t="s">
        <v>97</v>
      </c>
      <c r="AG30" s="105"/>
      <c r="AH30" s="106"/>
      <c r="AI30" s="107"/>
      <c r="AJ30" s="105"/>
      <c r="AK30" s="105"/>
      <c r="AL30" s="103" t="s">
        <v>99</v>
      </c>
      <c r="AM30" s="105"/>
      <c r="AN30" s="105"/>
      <c r="AO30" s="105"/>
      <c r="AP30" s="103" t="s">
        <v>99</v>
      </c>
      <c r="AQ30" s="105"/>
      <c r="AR30" s="103" t="s">
        <v>97</v>
      </c>
      <c r="AS30" s="105"/>
      <c r="AT30" s="106"/>
      <c r="AU30" s="107"/>
      <c r="AV30" s="105"/>
      <c r="AW30" s="105"/>
      <c r="AX30" s="103" t="s">
        <v>97</v>
      </c>
      <c r="AY30" s="105"/>
      <c r="AZ30" s="105"/>
      <c r="BA30" s="105"/>
      <c r="BB30" s="105"/>
      <c r="BC30" s="105"/>
      <c r="BD30" s="105"/>
      <c r="BE30" s="105"/>
      <c r="BF30" s="106"/>
      <c r="BG30" s="105"/>
      <c r="BH30" s="105"/>
      <c r="BI30" s="105"/>
      <c r="BJ30" s="105"/>
      <c r="BK30" s="102"/>
      <c r="BL30" s="102"/>
      <c r="BM30" s="102"/>
      <c r="BN30" s="102"/>
      <c r="BO30" s="102"/>
      <c r="BP30" s="102"/>
      <c r="BQ30" s="102"/>
      <c r="BR30" s="102"/>
      <c r="BS30" s="102"/>
      <c r="BT30" s="102"/>
      <c r="BU30" s="102"/>
      <c r="BV30" s="102"/>
      <c r="BW30" s="102"/>
      <c r="BX30" s="102"/>
      <c r="BY30" s="102"/>
      <c r="BZ30" s="102"/>
      <c r="CA30" s="102"/>
      <c r="CB30" s="102"/>
      <c r="CC30" s="102"/>
      <c r="CD30" s="102"/>
      <c r="CE30" s="102"/>
      <c r="CF30" s="102"/>
      <c r="CG30" s="102"/>
      <c r="CH30" s="102"/>
      <c r="CI30" s="102"/>
      <c r="CJ30" s="102"/>
      <c r="CK30" s="102"/>
      <c r="CL30" s="102"/>
      <c r="CM30" s="102"/>
      <c r="CN30" s="102"/>
      <c r="CO30" s="102"/>
      <c r="CP30" s="102"/>
      <c r="CQ30" s="102"/>
      <c r="CR30" s="102"/>
      <c r="CS30" s="102"/>
      <c r="CT30" s="102"/>
      <c r="CU30" s="102"/>
      <c r="CV30" s="102"/>
      <c r="CW30" s="102"/>
      <c r="CX30" s="102"/>
      <c r="CY30" s="102"/>
      <c r="CZ30" s="102"/>
      <c r="DA30" s="102"/>
      <c r="DB30" s="102"/>
      <c r="DC30" s="102"/>
      <c r="DD30" s="102"/>
      <c r="DE30" s="102"/>
      <c r="DF30" s="102"/>
      <c r="DG30" s="102"/>
      <c r="DH30" s="102"/>
      <c r="DI30" s="102"/>
      <c r="DJ30" s="102"/>
      <c r="DK30" s="102"/>
      <c r="DL30" s="102"/>
      <c r="DM30" s="102"/>
      <c r="DN30" s="102"/>
      <c r="DO30" s="102"/>
      <c r="DP30" s="102"/>
      <c r="DQ30" s="102"/>
      <c r="DR30" s="102"/>
      <c r="DS30" s="102"/>
      <c r="DT30" s="102"/>
      <c r="DU30" s="102"/>
      <c r="DV30" s="102"/>
      <c r="DW30" s="102"/>
      <c r="DX30" s="102"/>
      <c r="DY30" s="102"/>
      <c r="DZ30" s="102"/>
      <c r="EA30" s="102"/>
      <c r="EB30" s="102"/>
      <c r="EC30" s="102"/>
      <c r="ED30" s="102"/>
      <c r="EE30" s="102"/>
      <c r="EF30" s="102"/>
      <c r="EG30" s="102"/>
      <c r="EH30" s="102"/>
      <c r="EI30" s="102"/>
      <c r="EJ30" s="102"/>
      <c r="EK30" s="102"/>
      <c r="EL30" s="102"/>
      <c r="EM30" s="102"/>
      <c r="EN30" s="102"/>
      <c r="EO30" s="102"/>
      <c r="EP30" s="102"/>
      <c r="EQ30" s="102"/>
    </row>
    <row r="31" hidden="1">
      <c r="A31" s="110" t="s">
        <v>135</v>
      </c>
      <c r="B31" s="111">
        <f t="shared" si="1"/>
        <v>46113</v>
      </c>
      <c r="C31" s="110">
        <v>60.0</v>
      </c>
      <c r="D31" s="110" t="s">
        <v>136</v>
      </c>
      <c r="E31" s="110" t="s">
        <v>97</v>
      </c>
      <c r="F31" s="110" t="s">
        <v>96</v>
      </c>
      <c r="G31" s="110" t="s">
        <v>98</v>
      </c>
      <c r="H31" s="110" t="s">
        <v>99</v>
      </c>
      <c r="I31" s="110" t="s">
        <v>97</v>
      </c>
      <c r="J31" s="137" t="s">
        <v>96</v>
      </c>
      <c r="K31" s="132" t="s">
        <v>98</v>
      </c>
      <c r="L31" s="115" t="s">
        <v>99</v>
      </c>
      <c r="M31" s="115" t="s">
        <v>97</v>
      </c>
      <c r="N31" s="115" t="s">
        <v>97</v>
      </c>
      <c r="O31" s="115" t="s">
        <v>96</v>
      </c>
      <c r="P31" s="115" t="s">
        <v>99</v>
      </c>
      <c r="Q31" s="115" t="s">
        <v>97</v>
      </c>
      <c r="R31" s="115" t="s">
        <v>99</v>
      </c>
      <c r="S31" s="115" t="s">
        <v>99</v>
      </c>
      <c r="T31" s="115" t="s">
        <v>98</v>
      </c>
      <c r="U31" s="115" t="s">
        <v>96</v>
      </c>
      <c r="V31" s="115" t="s">
        <v>99</v>
      </c>
      <c r="W31" s="119" t="s">
        <v>96</v>
      </c>
      <c r="X31" s="121" t="s">
        <v>96</v>
      </c>
      <c r="Y31" s="121" t="s">
        <v>99</v>
      </c>
      <c r="Z31" s="121" t="s">
        <v>99</v>
      </c>
      <c r="AA31" s="121" t="s">
        <v>99</v>
      </c>
      <c r="AB31" s="121" t="s">
        <v>99</v>
      </c>
      <c r="AC31" s="121" t="s">
        <v>97</v>
      </c>
      <c r="AD31" s="121" t="s">
        <v>99</v>
      </c>
      <c r="AE31" s="121" t="s">
        <v>97</v>
      </c>
      <c r="AF31" s="121" t="s">
        <v>96</v>
      </c>
      <c r="AG31" s="121" t="s">
        <v>97</v>
      </c>
      <c r="AH31" s="140" t="s">
        <v>99</v>
      </c>
      <c r="AI31" s="134" t="s">
        <v>98</v>
      </c>
      <c r="AJ31" s="125" t="s">
        <v>99</v>
      </c>
      <c r="AK31" s="125" t="s">
        <v>99</v>
      </c>
      <c r="AL31" s="125" t="s">
        <v>99</v>
      </c>
      <c r="AM31" s="125" t="s">
        <v>99</v>
      </c>
      <c r="AN31" s="125" t="s">
        <v>96</v>
      </c>
      <c r="AO31" s="125" t="s">
        <v>99</v>
      </c>
      <c r="AP31" s="125" t="s">
        <v>99</v>
      </c>
      <c r="AQ31" s="125" t="s">
        <v>97</v>
      </c>
      <c r="AR31" s="125" t="s">
        <v>97</v>
      </c>
      <c r="AS31" s="125" t="s">
        <v>97</v>
      </c>
      <c r="AT31" s="133" t="s">
        <v>98</v>
      </c>
      <c r="AU31" s="135" t="s">
        <v>99</v>
      </c>
      <c r="AV31" s="128" t="s">
        <v>98</v>
      </c>
      <c r="AW31" s="128" t="s">
        <v>96</v>
      </c>
      <c r="AX31" s="128" t="s">
        <v>96</v>
      </c>
      <c r="AY31" s="129"/>
      <c r="AZ31" s="129"/>
      <c r="BA31" s="129"/>
      <c r="BB31" s="129"/>
      <c r="BC31" s="129"/>
      <c r="BD31" s="129"/>
      <c r="BE31" s="129"/>
      <c r="BF31" s="130"/>
      <c r="BG31" s="129"/>
      <c r="BH31" s="129"/>
      <c r="BI31" s="129"/>
      <c r="BJ31" s="129"/>
      <c r="BK31" s="102"/>
      <c r="BL31" s="102"/>
      <c r="BM31" s="102"/>
      <c r="BN31" s="102"/>
      <c r="BO31" s="102"/>
      <c r="BP31" s="102"/>
      <c r="BQ31" s="102"/>
      <c r="BR31" s="102"/>
      <c r="BS31" s="102"/>
      <c r="BT31" s="102"/>
      <c r="BU31" s="102"/>
      <c r="BV31" s="102"/>
      <c r="BW31" s="102"/>
      <c r="BX31" s="102"/>
      <c r="BY31" s="102"/>
      <c r="BZ31" s="102"/>
      <c r="CA31" s="102"/>
      <c r="CB31" s="102"/>
      <c r="CC31" s="102"/>
      <c r="CD31" s="102"/>
      <c r="CE31" s="102"/>
      <c r="CF31" s="102"/>
      <c r="CG31" s="102"/>
      <c r="CH31" s="102"/>
      <c r="CI31" s="102"/>
      <c r="CJ31" s="102"/>
      <c r="CK31" s="102"/>
      <c r="CL31" s="102"/>
      <c r="CM31" s="102"/>
      <c r="CN31" s="102"/>
      <c r="CO31" s="102"/>
      <c r="CP31" s="102"/>
      <c r="CQ31" s="102"/>
      <c r="CR31" s="102"/>
      <c r="CS31" s="102"/>
      <c r="CT31" s="102"/>
      <c r="CU31" s="102"/>
      <c r="CV31" s="102"/>
      <c r="CW31" s="102"/>
      <c r="CX31" s="102"/>
      <c r="CY31" s="102"/>
      <c r="CZ31" s="102"/>
      <c r="DA31" s="102"/>
      <c r="DB31" s="102"/>
      <c r="DC31" s="102"/>
      <c r="DD31" s="102"/>
      <c r="DE31" s="102"/>
      <c r="DF31" s="102"/>
      <c r="DG31" s="102"/>
      <c r="DH31" s="102"/>
      <c r="DI31" s="102"/>
      <c r="DJ31" s="102"/>
      <c r="DK31" s="102"/>
      <c r="DL31" s="102"/>
      <c r="DM31" s="102"/>
      <c r="DN31" s="102"/>
      <c r="DO31" s="102"/>
      <c r="DP31" s="102"/>
      <c r="DQ31" s="102"/>
      <c r="DR31" s="102"/>
      <c r="DS31" s="102"/>
      <c r="DT31" s="102"/>
      <c r="DU31" s="102"/>
      <c r="DV31" s="102"/>
      <c r="DW31" s="102"/>
      <c r="DX31" s="102"/>
      <c r="DY31" s="102"/>
      <c r="DZ31" s="102"/>
      <c r="EA31" s="102"/>
      <c r="EB31" s="102"/>
      <c r="EC31" s="102"/>
      <c r="ED31" s="102"/>
      <c r="EE31" s="102"/>
      <c r="EF31" s="102"/>
      <c r="EG31" s="102"/>
      <c r="EH31" s="102"/>
      <c r="EI31" s="102"/>
      <c r="EJ31" s="102"/>
      <c r="EK31" s="102"/>
      <c r="EL31" s="102"/>
      <c r="EM31" s="102"/>
      <c r="EN31" s="102"/>
      <c r="EO31" s="102"/>
      <c r="EP31" s="102"/>
      <c r="EQ31" s="102"/>
    </row>
    <row r="32" hidden="1">
      <c r="A32" s="103" t="s">
        <v>137</v>
      </c>
      <c r="B32" s="141" t="str">
        <f t="shared" si="1"/>
        <v>Missing</v>
      </c>
      <c r="C32" s="103">
        <v>365.0</v>
      </c>
      <c r="D32" s="103" t="s">
        <v>128</v>
      </c>
      <c r="E32" s="105"/>
      <c r="F32" s="105"/>
      <c r="G32" s="105"/>
      <c r="H32" s="105"/>
      <c r="I32" s="105"/>
      <c r="J32" s="106"/>
      <c r="K32" s="107"/>
      <c r="L32" s="105"/>
      <c r="M32" s="105"/>
      <c r="N32" s="105"/>
      <c r="O32" s="105"/>
      <c r="P32" s="105"/>
      <c r="Q32" s="105"/>
      <c r="R32" s="105"/>
      <c r="S32" s="105"/>
      <c r="T32" s="105"/>
      <c r="U32" s="105"/>
      <c r="V32" s="106"/>
      <c r="W32" s="107"/>
      <c r="X32" s="105"/>
      <c r="Y32" s="105"/>
      <c r="Z32" s="105"/>
      <c r="AA32" s="105"/>
      <c r="AB32" s="105"/>
      <c r="AC32" s="105"/>
      <c r="AD32" s="105"/>
      <c r="AE32" s="105"/>
      <c r="AF32" s="105"/>
      <c r="AG32" s="105"/>
      <c r="AH32" s="106"/>
      <c r="AI32" s="107"/>
      <c r="AJ32" s="105"/>
      <c r="AK32" s="105"/>
      <c r="AL32" s="105"/>
      <c r="AM32" s="105"/>
      <c r="AN32" s="105"/>
      <c r="AO32" s="105"/>
      <c r="AP32" s="105"/>
      <c r="AQ32" s="105"/>
      <c r="AR32" s="105"/>
      <c r="AS32" s="105"/>
      <c r="AT32" s="106"/>
      <c r="AU32" s="107"/>
      <c r="AV32" s="103" t="s">
        <v>99</v>
      </c>
      <c r="AW32" s="105"/>
      <c r="AX32" s="105"/>
      <c r="AY32" s="105"/>
      <c r="AZ32" s="105"/>
      <c r="BA32" s="105"/>
      <c r="BB32" s="105"/>
      <c r="BC32" s="105"/>
      <c r="BD32" s="105"/>
      <c r="BE32" s="105"/>
      <c r="BF32" s="106"/>
      <c r="BG32" s="105"/>
      <c r="BH32" s="105"/>
      <c r="BI32" s="105"/>
      <c r="BJ32" s="105"/>
      <c r="BK32" s="102"/>
      <c r="BL32" s="102"/>
      <c r="BM32" s="102"/>
      <c r="BN32" s="102"/>
      <c r="BO32" s="102"/>
      <c r="BP32" s="102"/>
      <c r="BQ32" s="102"/>
      <c r="BR32" s="102"/>
      <c r="BS32" s="102"/>
      <c r="BT32" s="102"/>
      <c r="BU32" s="102"/>
      <c r="BV32" s="102"/>
      <c r="BW32" s="102"/>
      <c r="BX32" s="102"/>
      <c r="BY32" s="102"/>
      <c r="BZ32" s="102"/>
      <c r="CA32" s="102"/>
      <c r="CB32" s="102"/>
      <c r="CC32" s="102"/>
      <c r="CD32" s="102"/>
      <c r="CE32" s="102"/>
      <c r="CF32" s="102"/>
      <c r="CG32" s="102"/>
      <c r="CH32" s="102"/>
      <c r="CI32" s="102"/>
      <c r="CJ32" s="102"/>
      <c r="CK32" s="102"/>
      <c r="CL32" s="102"/>
      <c r="CM32" s="102"/>
      <c r="CN32" s="102"/>
      <c r="CO32" s="102"/>
      <c r="CP32" s="102"/>
      <c r="CQ32" s="102"/>
      <c r="CR32" s="102"/>
      <c r="CS32" s="102"/>
      <c r="CT32" s="102"/>
      <c r="CU32" s="102"/>
      <c r="CV32" s="102"/>
      <c r="CW32" s="102"/>
      <c r="CX32" s="102"/>
      <c r="CY32" s="102"/>
      <c r="CZ32" s="102"/>
      <c r="DA32" s="102"/>
      <c r="DB32" s="102"/>
      <c r="DC32" s="102"/>
      <c r="DD32" s="102"/>
      <c r="DE32" s="102"/>
      <c r="DF32" s="102"/>
      <c r="DG32" s="102"/>
      <c r="DH32" s="102"/>
      <c r="DI32" s="102"/>
      <c r="DJ32" s="102"/>
      <c r="DK32" s="102"/>
      <c r="DL32" s="102"/>
      <c r="DM32" s="102"/>
      <c r="DN32" s="102"/>
      <c r="DO32" s="102"/>
      <c r="DP32" s="102"/>
      <c r="DQ32" s="102"/>
      <c r="DR32" s="102"/>
      <c r="DS32" s="102"/>
      <c r="DT32" s="102"/>
      <c r="DU32" s="102"/>
      <c r="DV32" s="102"/>
      <c r="DW32" s="102"/>
      <c r="DX32" s="102"/>
      <c r="DY32" s="102"/>
      <c r="DZ32" s="102"/>
      <c r="EA32" s="102"/>
      <c r="EB32" s="102"/>
      <c r="EC32" s="102"/>
      <c r="ED32" s="102"/>
      <c r="EE32" s="102"/>
      <c r="EF32" s="102"/>
      <c r="EG32" s="102"/>
      <c r="EH32" s="102"/>
      <c r="EI32" s="102"/>
      <c r="EJ32" s="102"/>
      <c r="EK32" s="102"/>
      <c r="EL32" s="102"/>
      <c r="EM32" s="102"/>
      <c r="EN32" s="102"/>
      <c r="EO32" s="102"/>
      <c r="EP32" s="102"/>
      <c r="EQ32" s="102"/>
    </row>
    <row r="33" hidden="1">
      <c r="A33" s="110" t="s">
        <v>138</v>
      </c>
      <c r="B33" s="142" t="str">
        <f t="shared" si="1"/>
        <v>Missing</v>
      </c>
      <c r="C33" s="110">
        <v>365.0</v>
      </c>
      <c r="D33" s="110" t="s">
        <v>128</v>
      </c>
      <c r="E33" s="112"/>
      <c r="F33" s="112"/>
      <c r="G33" s="112"/>
      <c r="H33" s="112"/>
      <c r="I33" s="112"/>
      <c r="J33" s="113"/>
      <c r="K33" s="114"/>
      <c r="L33" s="116"/>
      <c r="M33" s="116"/>
      <c r="N33" s="116"/>
      <c r="O33" s="116"/>
      <c r="P33" s="116"/>
      <c r="Q33" s="116"/>
      <c r="R33" s="116"/>
      <c r="S33" s="116"/>
      <c r="T33" s="116"/>
      <c r="U33" s="116"/>
      <c r="V33" s="117"/>
      <c r="W33" s="118"/>
      <c r="X33" s="120"/>
      <c r="Y33" s="120"/>
      <c r="Z33" s="120"/>
      <c r="AA33" s="120"/>
      <c r="AB33" s="120"/>
      <c r="AC33" s="120"/>
      <c r="AD33" s="120"/>
      <c r="AE33" s="120"/>
      <c r="AF33" s="120"/>
      <c r="AG33" s="120"/>
      <c r="AH33" s="122"/>
      <c r="AI33" s="123"/>
      <c r="AJ33" s="124"/>
      <c r="AK33" s="124"/>
      <c r="AL33" s="124"/>
      <c r="AM33" s="124"/>
      <c r="AN33" s="124"/>
      <c r="AO33" s="124"/>
      <c r="AP33" s="124"/>
      <c r="AQ33" s="124"/>
      <c r="AR33" s="124"/>
      <c r="AS33" s="124"/>
      <c r="AT33" s="126"/>
      <c r="AU33" s="127"/>
      <c r="AV33" s="128" t="s">
        <v>99</v>
      </c>
      <c r="AW33" s="129"/>
      <c r="AX33" s="129"/>
      <c r="AY33" s="129"/>
      <c r="AZ33" s="129"/>
      <c r="BA33" s="129"/>
      <c r="BB33" s="129"/>
      <c r="BC33" s="129"/>
      <c r="BD33" s="129"/>
      <c r="BE33" s="129"/>
      <c r="BF33" s="130"/>
      <c r="BG33" s="129"/>
      <c r="BH33" s="129"/>
      <c r="BI33" s="129"/>
      <c r="BJ33" s="129"/>
      <c r="BK33" s="102"/>
      <c r="BL33" s="102"/>
      <c r="BM33" s="102"/>
      <c r="BN33" s="102"/>
      <c r="BO33" s="102"/>
      <c r="BP33" s="102"/>
      <c r="BQ33" s="102"/>
      <c r="BR33" s="102"/>
      <c r="BS33" s="102"/>
      <c r="BT33" s="102"/>
      <c r="BU33" s="102"/>
      <c r="BV33" s="102"/>
      <c r="BW33" s="102"/>
      <c r="BX33" s="102"/>
      <c r="BY33" s="102"/>
      <c r="BZ33" s="102"/>
      <c r="CA33" s="102"/>
      <c r="CB33" s="102"/>
      <c r="CC33" s="102"/>
      <c r="CD33" s="102"/>
      <c r="CE33" s="102"/>
      <c r="CF33" s="102"/>
      <c r="CG33" s="102"/>
      <c r="CH33" s="102"/>
      <c r="CI33" s="102"/>
      <c r="CJ33" s="102"/>
      <c r="CK33" s="102"/>
      <c r="CL33" s="102"/>
      <c r="CM33" s="102"/>
      <c r="CN33" s="102"/>
      <c r="CO33" s="102"/>
      <c r="CP33" s="102"/>
      <c r="CQ33" s="102"/>
      <c r="CR33" s="102"/>
      <c r="CS33" s="102"/>
      <c r="CT33" s="102"/>
      <c r="CU33" s="102"/>
      <c r="CV33" s="102"/>
      <c r="CW33" s="102"/>
      <c r="CX33" s="102"/>
      <c r="CY33" s="102"/>
      <c r="CZ33" s="102"/>
      <c r="DA33" s="102"/>
      <c r="DB33" s="102"/>
      <c r="DC33" s="102"/>
      <c r="DD33" s="102"/>
      <c r="DE33" s="102"/>
      <c r="DF33" s="102"/>
      <c r="DG33" s="102"/>
      <c r="DH33" s="102"/>
      <c r="DI33" s="102"/>
      <c r="DJ33" s="102"/>
      <c r="DK33" s="102"/>
      <c r="DL33" s="102"/>
      <c r="DM33" s="102"/>
      <c r="DN33" s="102"/>
      <c r="DO33" s="102"/>
      <c r="DP33" s="102"/>
      <c r="DQ33" s="102"/>
      <c r="DR33" s="102"/>
      <c r="DS33" s="102"/>
      <c r="DT33" s="102"/>
      <c r="DU33" s="102"/>
      <c r="DV33" s="102"/>
      <c r="DW33" s="102"/>
      <c r="DX33" s="102"/>
      <c r="DY33" s="102"/>
      <c r="DZ33" s="102"/>
      <c r="EA33" s="102"/>
      <c r="EB33" s="102"/>
      <c r="EC33" s="102"/>
      <c r="ED33" s="102"/>
      <c r="EE33" s="102"/>
      <c r="EF33" s="102"/>
      <c r="EG33" s="102"/>
      <c r="EH33" s="102"/>
      <c r="EI33" s="102"/>
      <c r="EJ33" s="102"/>
      <c r="EK33" s="102"/>
      <c r="EL33" s="102"/>
      <c r="EM33" s="102"/>
      <c r="EN33" s="102"/>
      <c r="EO33" s="102"/>
      <c r="EP33" s="102"/>
      <c r="EQ33" s="102"/>
    </row>
    <row r="34" hidden="1">
      <c r="A34" s="103" t="s">
        <v>139</v>
      </c>
      <c r="B34" s="131">
        <f t="shared" si="1"/>
        <v>46054</v>
      </c>
      <c r="C34" s="103">
        <v>365.0</v>
      </c>
      <c r="D34" s="103" t="s">
        <v>128</v>
      </c>
      <c r="E34" s="105"/>
      <c r="F34" s="105"/>
      <c r="G34" s="105"/>
      <c r="H34" s="105"/>
      <c r="I34" s="105"/>
      <c r="J34" s="106"/>
      <c r="K34" s="107"/>
      <c r="L34" s="105"/>
      <c r="M34" s="105"/>
      <c r="N34" s="105"/>
      <c r="O34" s="105"/>
      <c r="P34" s="105"/>
      <c r="Q34" s="105"/>
      <c r="R34" s="105"/>
      <c r="S34" s="105"/>
      <c r="T34" s="105"/>
      <c r="U34" s="105"/>
      <c r="V34" s="106"/>
      <c r="W34" s="107"/>
      <c r="X34" s="103" t="s">
        <v>98</v>
      </c>
      <c r="Y34" s="105"/>
      <c r="Z34" s="105"/>
      <c r="AA34" s="105"/>
      <c r="AB34" s="105"/>
      <c r="AC34" s="105"/>
      <c r="AD34" s="105"/>
      <c r="AE34" s="105"/>
      <c r="AF34" s="105"/>
      <c r="AG34" s="105"/>
      <c r="AH34" s="106"/>
      <c r="AI34" s="107"/>
      <c r="AJ34" s="105"/>
      <c r="AK34" s="105"/>
      <c r="AL34" s="105"/>
      <c r="AM34" s="105"/>
      <c r="AN34" s="105"/>
      <c r="AO34" s="105"/>
      <c r="AP34" s="105"/>
      <c r="AQ34" s="105"/>
      <c r="AR34" s="105"/>
      <c r="AS34" s="105"/>
      <c r="AT34" s="106"/>
      <c r="AU34" s="107"/>
      <c r="AV34" s="103" t="s">
        <v>98</v>
      </c>
      <c r="AW34" s="105"/>
      <c r="AX34" s="105"/>
      <c r="AY34" s="105"/>
      <c r="AZ34" s="105"/>
      <c r="BA34" s="105"/>
      <c r="BB34" s="105"/>
      <c r="BC34" s="105"/>
      <c r="BD34" s="105"/>
      <c r="BE34" s="105"/>
      <c r="BF34" s="106"/>
      <c r="BG34" s="105"/>
      <c r="BH34" s="105"/>
      <c r="BI34" s="105"/>
      <c r="BJ34" s="105"/>
      <c r="BK34" s="102"/>
      <c r="BL34" s="102"/>
      <c r="BM34" s="102"/>
      <c r="BN34" s="102"/>
      <c r="BO34" s="102"/>
      <c r="BP34" s="102"/>
      <c r="BQ34" s="102"/>
      <c r="BR34" s="102"/>
      <c r="BS34" s="102"/>
      <c r="BT34" s="102"/>
      <c r="BU34" s="102"/>
      <c r="BV34" s="102"/>
      <c r="BW34" s="102"/>
      <c r="BX34" s="102"/>
      <c r="BY34" s="102"/>
      <c r="BZ34" s="102"/>
      <c r="CA34" s="102"/>
      <c r="CB34" s="102"/>
      <c r="CC34" s="102"/>
      <c r="CD34" s="102"/>
      <c r="CE34" s="102"/>
      <c r="CF34" s="102"/>
      <c r="CG34" s="102"/>
      <c r="CH34" s="102"/>
      <c r="CI34" s="102"/>
      <c r="CJ34" s="102"/>
      <c r="CK34" s="102"/>
      <c r="CL34" s="102"/>
      <c r="CM34" s="102"/>
      <c r="CN34" s="102"/>
      <c r="CO34" s="102"/>
      <c r="CP34" s="102"/>
      <c r="CQ34" s="102"/>
      <c r="CR34" s="102"/>
      <c r="CS34" s="102"/>
      <c r="CT34" s="102"/>
      <c r="CU34" s="102"/>
      <c r="CV34" s="102"/>
      <c r="CW34" s="102"/>
      <c r="CX34" s="102"/>
      <c r="CY34" s="102"/>
      <c r="CZ34" s="102"/>
      <c r="DA34" s="102"/>
      <c r="DB34" s="102"/>
      <c r="DC34" s="102"/>
      <c r="DD34" s="102"/>
      <c r="DE34" s="102"/>
      <c r="DF34" s="102"/>
      <c r="DG34" s="102"/>
      <c r="DH34" s="102"/>
      <c r="DI34" s="102"/>
      <c r="DJ34" s="102"/>
      <c r="DK34" s="102"/>
      <c r="DL34" s="102"/>
      <c r="DM34" s="102"/>
      <c r="DN34" s="102"/>
      <c r="DO34" s="102"/>
      <c r="DP34" s="102"/>
      <c r="DQ34" s="102"/>
      <c r="DR34" s="102"/>
      <c r="DS34" s="102"/>
      <c r="DT34" s="102"/>
      <c r="DU34" s="102"/>
      <c r="DV34" s="102"/>
      <c r="DW34" s="102"/>
      <c r="DX34" s="102"/>
      <c r="DY34" s="102"/>
      <c r="DZ34" s="102"/>
      <c r="EA34" s="102"/>
      <c r="EB34" s="102"/>
      <c r="EC34" s="102"/>
      <c r="ED34" s="102"/>
      <c r="EE34" s="102"/>
      <c r="EF34" s="102"/>
      <c r="EG34" s="102"/>
      <c r="EH34" s="102"/>
      <c r="EI34" s="102"/>
      <c r="EJ34" s="102"/>
      <c r="EK34" s="102"/>
      <c r="EL34" s="102"/>
      <c r="EM34" s="102"/>
      <c r="EN34" s="102"/>
      <c r="EO34" s="102"/>
      <c r="EP34" s="102"/>
      <c r="EQ34" s="102"/>
    </row>
    <row r="35" hidden="1">
      <c r="A35" s="138" t="s">
        <v>140</v>
      </c>
      <c r="B35" s="111">
        <f t="shared" si="1"/>
        <v>46113</v>
      </c>
      <c r="C35" s="110">
        <v>60.0</v>
      </c>
      <c r="D35" s="110" t="s">
        <v>136</v>
      </c>
      <c r="E35" s="110" t="s">
        <v>97</v>
      </c>
      <c r="F35" s="110" t="s">
        <v>97</v>
      </c>
      <c r="G35" s="110" t="s">
        <v>97</v>
      </c>
      <c r="H35" s="110" t="s">
        <v>97</v>
      </c>
      <c r="I35" s="110" t="s">
        <v>97</v>
      </c>
      <c r="J35" s="137" t="s">
        <v>97</v>
      </c>
      <c r="K35" s="132" t="s">
        <v>97</v>
      </c>
      <c r="L35" s="115" t="s">
        <v>97</v>
      </c>
      <c r="M35" s="115" t="s">
        <v>97</v>
      </c>
      <c r="N35" s="115" t="s">
        <v>98</v>
      </c>
      <c r="O35" s="115" t="s">
        <v>98</v>
      </c>
      <c r="P35" s="115" t="s">
        <v>99</v>
      </c>
      <c r="Q35" s="115" t="s">
        <v>97</v>
      </c>
      <c r="R35" s="115" t="s">
        <v>99</v>
      </c>
      <c r="S35" s="115" t="s">
        <v>99</v>
      </c>
      <c r="T35" s="115" t="s">
        <v>97</v>
      </c>
      <c r="U35" s="115" t="s">
        <v>97</v>
      </c>
      <c r="V35" s="143" t="s">
        <v>97</v>
      </c>
      <c r="W35" s="119" t="s">
        <v>97</v>
      </c>
      <c r="X35" s="121" t="s">
        <v>99</v>
      </c>
      <c r="Y35" s="121" t="s">
        <v>99</v>
      </c>
      <c r="Z35" s="121" t="s">
        <v>99</v>
      </c>
      <c r="AA35" s="121" t="s">
        <v>99</v>
      </c>
      <c r="AB35" s="121" t="s">
        <v>98</v>
      </c>
      <c r="AC35" s="121" t="s">
        <v>98</v>
      </c>
      <c r="AD35" s="121" t="s">
        <v>99</v>
      </c>
      <c r="AE35" s="121" t="s">
        <v>98</v>
      </c>
      <c r="AF35" s="121" t="s">
        <v>99</v>
      </c>
      <c r="AG35" s="121" t="s">
        <v>98</v>
      </c>
      <c r="AH35" s="140" t="s">
        <v>99</v>
      </c>
      <c r="AI35" s="134" t="s">
        <v>98</v>
      </c>
      <c r="AJ35" s="125" t="s">
        <v>99</v>
      </c>
      <c r="AK35" s="125" t="s">
        <v>99</v>
      </c>
      <c r="AL35" s="125" t="s">
        <v>99</v>
      </c>
      <c r="AM35" s="125" t="s">
        <v>99</v>
      </c>
      <c r="AN35" s="125" t="s">
        <v>98</v>
      </c>
      <c r="AO35" s="125" t="s">
        <v>99</v>
      </c>
      <c r="AP35" s="125" t="s">
        <v>99</v>
      </c>
      <c r="AQ35" s="125" t="s">
        <v>98</v>
      </c>
      <c r="AR35" s="125" t="s">
        <v>99</v>
      </c>
      <c r="AS35" s="125" t="s">
        <v>96</v>
      </c>
      <c r="AT35" s="133" t="s">
        <v>96</v>
      </c>
      <c r="AU35" s="135" t="s">
        <v>99</v>
      </c>
      <c r="AV35" s="128" t="s">
        <v>99</v>
      </c>
      <c r="AW35" s="128" t="s">
        <v>96</v>
      </c>
      <c r="AX35" s="128" t="s">
        <v>96</v>
      </c>
      <c r="AY35" s="129"/>
      <c r="AZ35" s="129"/>
      <c r="BA35" s="129"/>
      <c r="BB35" s="129"/>
      <c r="BC35" s="129"/>
      <c r="BD35" s="129"/>
      <c r="BE35" s="129"/>
      <c r="BF35" s="130"/>
      <c r="BG35" s="129"/>
      <c r="BH35" s="129"/>
      <c r="BI35" s="129"/>
      <c r="BJ35" s="129"/>
      <c r="BK35" s="102"/>
      <c r="BL35" s="102"/>
      <c r="BM35" s="102"/>
      <c r="BN35" s="102"/>
      <c r="BO35" s="102"/>
      <c r="BP35" s="102"/>
      <c r="BQ35" s="102"/>
      <c r="BR35" s="102"/>
      <c r="BS35" s="102"/>
      <c r="BT35" s="102"/>
      <c r="BU35" s="102"/>
      <c r="BV35" s="102"/>
      <c r="BW35" s="102"/>
      <c r="BX35" s="102"/>
      <c r="BY35" s="102"/>
      <c r="BZ35" s="102"/>
      <c r="CA35" s="102"/>
      <c r="CB35" s="102"/>
      <c r="CC35" s="102"/>
      <c r="CD35" s="102"/>
      <c r="CE35" s="102"/>
      <c r="CF35" s="102"/>
      <c r="CG35" s="102"/>
      <c r="CH35" s="102"/>
      <c r="CI35" s="102"/>
      <c r="CJ35" s="102"/>
      <c r="CK35" s="102"/>
      <c r="CL35" s="102"/>
      <c r="CM35" s="102"/>
      <c r="CN35" s="102"/>
      <c r="CO35" s="102"/>
      <c r="CP35" s="102"/>
      <c r="CQ35" s="102"/>
      <c r="CR35" s="102"/>
      <c r="CS35" s="102"/>
      <c r="CT35" s="102"/>
      <c r="CU35" s="102"/>
      <c r="CV35" s="102"/>
      <c r="CW35" s="102"/>
      <c r="CX35" s="102"/>
      <c r="CY35" s="102"/>
      <c r="CZ35" s="102"/>
      <c r="DA35" s="102"/>
      <c r="DB35" s="102"/>
      <c r="DC35" s="102"/>
      <c r="DD35" s="102"/>
      <c r="DE35" s="102"/>
      <c r="DF35" s="102"/>
      <c r="DG35" s="102"/>
      <c r="DH35" s="102"/>
      <c r="DI35" s="102"/>
      <c r="DJ35" s="102"/>
      <c r="DK35" s="102"/>
      <c r="DL35" s="102"/>
      <c r="DM35" s="102"/>
      <c r="DN35" s="102"/>
      <c r="DO35" s="102"/>
      <c r="DP35" s="102"/>
      <c r="DQ35" s="102"/>
      <c r="DR35" s="102"/>
      <c r="DS35" s="102"/>
      <c r="DT35" s="102"/>
      <c r="DU35" s="102"/>
      <c r="DV35" s="102"/>
      <c r="DW35" s="102"/>
      <c r="DX35" s="102"/>
      <c r="DY35" s="102"/>
      <c r="DZ35" s="102"/>
      <c r="EA35" s="102"/>
      <c r="EB35" s="102"/>
      <c r="EC35" s="102"/>
      <c r="ED35" s="102"/>
      <c r="EE35" s="102"/>
      <c r="EF35" s="102"/>
      <c r="EG35" s="102"/>
      <c r="EH35" s="102"/>
      <c r="EI35" s="102"/>
      <c r="EJ35" s="102"/>
      <c r="EK35" s="102"/>
      <c r="EL35" s="102"/>
      <c r="EM35" s="102"/>
      <c r="EN35" s="102"/>
      <c r="EO35" s="102"/>
      <c r="EP35" s="102"/>
      <c r="EQ35" s="102"/>
    </row>
    <row r="36" hidden="1">
      <c r="A36" s="139" t="s">
        <v>141</v>
      </c>
      <c r="B36" s="131">
        <f t="shared" si="1"/>
        <v>46113</v>
      </c>
      <c r="C36" s="103">
        <v>60.0</v>
      </c>
      <c r="D36" s="103" t="s">
        <v>136</v>
      </c>
      <c r="E36" s="103" t="s">
        <v>98</v>
      </c>
      <c r="F36" s="103" t="s">
        <v>99</v>
      </c>
      <c r="G36" s="103" t="s">
        <v>99</v>
      </c>
      <c r="H36" s="103" t="s">
        <v>96</v>
      </c>
      <c r="I36" s="103" t="s">
        <v>99</v>
      </c>
      <c r="J36" s="136" t="s">
        <v>99</v>
      </c>
      <c r="K36" s="108" t="s">
        <v>98</v>
      </c>
      <c r="L36" s="103" t="s">
        <v>99</v>
      </c>
      <c r="M36" s="103" t="s">
        <v>99</v>
      </c>
      <c r="N36" s="103" t="s">
        <v>97</v>
      </c>
      <c r="O36" s="103" t="s">
        <v>99</v>
      </c>
      <c r="P36" s="103" t="s">
        <v>99</v>
      </c>
      <c r="Q36" s="103" t="s">
        <v>97</v>
      </c>
      <c r="R36" s="103" t="s">
        <v>99</v>
      </c>
      <c r="S36" s="103" t="s">
        <v>99</v>
      </c>
      <c r="T36" s="103" t="s">
        <v>99</v>
      </c>
      <c r="U36" s="103" t="s">
        <v>99</v>
      </c>
      <c r="V36" s="103" t="s">
        <v>99</v>
      </c>
      <c r="W36" s="103" t="s">
        <v>99</v>
      </c>
      <c r="X36" s="103" t="s">
        <v>99</v>
      </c>
      <c r="Y36" s="103" t="s">
        <v>99</v>
      </c>
      <c r="Z36" s="103" t="s">
        <v>99</v>
      </c>
      <c r="AA36" s="103" t="s">
        <v>99</v>
      </c>
      <c r="AB36" s="103" t="s">
        <v>99</v>
      </c>
      <c r="AC36" s="103" t="s">
        <v>96</v>
      </c>
      <c r="AD36" s="103" t="s">
        <v>99</v>
      </c>
      <c r="AE36" s="103" t="s">
        <v>96</v>
      </c>
      <c r="AF36" s="103" t="s">
        <v>99</v>
      </c>
      <c r="AG36" s="103" t="s">
        <v>99</v>
      </c>
      <c r="AH36" s="136" t="s">
        <v>99</v>
      </c>
      <c r="AI36" s="108" t="s">
        <v>97</v>
      </c>
      <c r="AJ36" s="103" t="s">
        <v>99</v>
      </c>
      <c r="AK36" s="103" t="s">
        <v>99</v>
      </c>
      <c r="AL36" s="103" t="s">
        <v>99</v>
      </c>
      <c r="AM36" s="103" t="s">
        <v>99</v>
      </c>
      <c r="AN36" s="103" t="s">
        <v>99</v>
      </c>
      <c r="AO36" s="103" t="s">
        <v>99</v>
      </c>
      <c r="AP36" s="103" t="s">
        <v>99</v>
      </c>
      <c r="AQ36" s="103" t="s">
        <v>99</v>
      </c>
      <c r="AR36" s="103" t="s">
        <v>99</v>
      </c>
      <c r="AS36" s="103" t="s">
        <v>99</v>
      </c>
      <c r="AT36" s="136" t="s">
        <v>99</v>
      </c>
      <c r="AU36" s="108" t="s">
        <v>99</v>
      </c>
      <c r="AV36" s="103" t="s">
        <v>99</v>
      </c>
      <c r="AW36" s="103" t="s">
        <v>97</v>
      </c>
      <c r="AX36" s="103" t="s">
        <v>97</v>
      </c>
      <c r="AY36" s="105"/>
      <c r="AZ36" s="105"/>
      <c r="BA36" s="105"/>
      <c r="BB36" s="105"/>
      <c r="BC36" s="105"/>
      <c r="BD36" s="105"/>
      <c r="BE36" s="105"/>
      <c r="BF36" s="106"/>
      <c r="BG36" s="105"/>
      <c r="BH36" s="105"/>
      <c r="BI36" s="105"/>
      <c r="BJ36" s="105"/>
      <c r="BK36" s="102"/>
      <c r="BL36" s="102"/>
      <c r="BM36" s="102"/>
      <c r="BN36" s="102"/>
      <c r="BO36" s="102"/>
      <c r="BP36" s="102"/>
      <c r="BQ36" s="102"/>
      <c r="BR36" s="102"/>
      <c r="BS36" s="102"/>
      <c r="BT36" s="102"/>
      <c r="BU36" s="102"/>
      <c r="BV36" s="102"/>
      <c r="BW36" s="102"/>
      <c r="BX36" s="102"/>
      <c r="BY36" s="102"/>
      <c r="BZ36" s="102"/>
      <c r="CA36" s="102"/>
      <c r="CB36" s="102"/>
      <c r="CC36" s="102"/>
      <c r="CD36" s="102"/>
      <c r="CE36" s="102"/>
      <c r="CF36" s="102"/>
      <c r="CG36" s="102"/>
      <c r="CH36" s="102"/>
      <c r="CI36" s="102"/>
      <c r="CJ36" s="102"/>
      <c r="CK36" s="102"/>
      <c r="CL36" s="102"/>
      <c r="CM36" s="102"/>
      <c r="CN36" s="102"/>
      <c r="CO36" s="102"/>
      <c r="CP36" s="102"/>
      <c r="CQ36" s="102"/>
      <c r="CR36" s="102"/>
      <c r="CS36" s="102"/>
      <c r="CT36" s="102"/>
      <c r="CU36" s="102"/>
      <c r="CV36" s="102"/>
      <c r="CW36" s="102"/>
      <c r="CX36" s="102"/>
      <c r="CY36" s="102"/>
      <c r="CZ36" s="102"/>
      <c r="DA36" s="102"/>
      <c r="DB36" s="102"/>
      <c r="DC36" s="102"/>
      <c r="DD36" s="102"/>
      <c r="DE36" s="102"/>
      <c r="DF36" s="102"/>
      <c r="DG36" s="102"/>
      <c r="DH36" s="102"/>
      <c r="DI36" s="102"/>
      <c r="DJ36" s="102"/>
      <c r="DK36" s="102"/>
      <c r="DL36" s="102"/>
      <c r="DM36" s="102"/>
      <c r="DN36" s="102"/>
      <c r="DO36" s="102"/>
      <c r="DP36" s="102"/>
      <c r="DQ36" s="102"/>
      <c r="DR36" s="102"/>
      <c r="DS36" s="102"/>
      <c r="DT36" s="102"/>
      <c r="DU36" s="102"/>
      <c r="DV36" s="102"/>
      <c r="DW36" s="102"/>
      <c r="DX36" s="102"/>
      <c r="DY36" s="102"/>
      <c r="DZ36" s="102"/>
      <c r="EA36" s="102"/>
      <c r="EB36" s="102"/>
      <c r="EC36" s="102"/>
      <c r="ED36" s="102"/>
      <c r="EE36" s="102"/>
      <c r="EF36" s="102"/>
      <c r="EG36" s="102"/>
      <c r="EH36" s="102"/>
      <c r="EI36" s="102"/>
      <c r="EJ36" s="102"/>
      <c r="EK36" s="102"/>
      <c r="EL36" s="102"/>
      <c r="EM36" s="102"/>
      <c r="EN36" s="102"/>
      <c r="EO36" s="102"/>
      <c r="EP36" s="102"/>
      <c r="EQ36" s="102"/>
    </row>
    <row r="37" hidden="1">
      <c r="A37" s="110" t="s">
        <v>142</v>
      </c>
      <c r="B37" s="111">
        <f t="shared" si="1"/>
        <v>46113</v>
      </c>
      <c r="C37" s="110">
        <v>365.0</v>
      </c>
      <c r="D37" s="110" t="s">
        <v>128</v>
      </c>
      <c r="E37" s="112"/>
      <c r="F37" s="112"/>
      <c r="G37" s="112"/>
      <c r="H37" s="112"/>
      <c r="I37" s="112"/>
      <c r="J37" s="113"/>
      <c r="K37" s="114"/>
      <c r="L37" s="116"/>
      <c r="M37" s="116"/>
      <c r="N37" s="116"/>
      <c r="O37" s="116"/>
      <c r="P37" s="116"/>
      <c r="Q37" s="116"/>
      <c r="R37" s="116"/>
      <c r="S37" s="116"/>
      <c r="T37" s="115" t="s">
        <v>97</v>
      </c>
      <c r="U37" s="115" t="s">
        <v>97</v>
      </c>
      <c r="V37" s="117"/>
      <c r="W37" s="118"/>
      <c r="X37" s="120"/>
      <c r="Y37" s="121" t="s">
        <v>97</v>
      </c>
      <c r="Z37" s="120"/>
      <c r="AA37" s="120"/>
      <c r="AB37" s="121" t="s">
        <v>97</v>
      </c>
      <c r="AC37" s="120"/>
      <c r="AD37" s="120"/>
      <c r="AE37" s="121" t="s">
        <v>98</v>
      </c>
      <c r="AF37" s="120"/>
      <c r="AG37" s="120"/>
      <c r="AH37" s="122"/>
      <c r="AI37" s="123"/>
      <c r="AJ37" s="124"/>
      <c r="AK37" s="124"/>
      <c r="AL37" s="124"/>
      <c r="AM37" s="124"/>
      <c r="AN37" s="125" t="s">
        <v>97</v>
      </c>
      <c r="AO37" s="124"/>
      <c r="AP37" s="124"/>
      <c r="AQ37" s="124"/>
      <c r="AR37" s="125" t="s">
        <v>98</v>
      </c>
      <c r="AS37" s="124"/>
      <c r="AT37" s="133" t="s">
        <v>97</v>
      </c>
      <c r="AU37" s="127"/>
      <c r="AV37" s="129"/>
      <c r="AW37" s="129"/>
      <c r="AX37" s="128" t="s">
        <v>98</v>
      </c>
      <c r="AY37" s="129"/>
      <c r="AZ37" s="129"/>
      <c r="BA37" s="129"/>
      <c r="BB37" s="129"/>
      <c r="BC37" s="129"/>
      <c r="BD37" s="129"/>
      <c r="BE37" s="129"/>
      <c r="BF37" s="130"/>
      <c r="BG37" s="129"/>
      <c r="BH37" s="129"/>
      <c r="BI37" s="129"/>
      <c r="BJ37" s="129"/>
      <c r="BK37" s="102"/>
      <c r="BL37" s="102"/>
      <c r="BM37" s="102"/>
      <c r="BN37" s="102"/>
      <c r="BO37" s="102"/>
      <c r="BP37" s="102"/>
      <c r="BQ37" s="102"/>
      <c r="BR37" s="102"/>
      <c r="BS37" s="102"/>
      <c r="BT37" s="102"/>
      <c r="BU37" s="102"/>
      <c r="BV37" s="102"/>
      <c r="BW37" s="102"/>
      <c r="BX37" s="102"/>
      <c r="BY37" s="102"/>
      <c r="BZ37" s="102"/>
      <c r="CA37" s="102"/>
      <c r="CB37" s="102"/>
      <c r="CC37" s="102"/>
      <c r="CD37" s="102"/>
      <c r="CE37" s="102"/>
      <c r="CF37" s="102"/>
      <c r="CG37" s="102"/>
      <c r="CH37" s="102"/>
      <c r="CI37" s="102"/>
      <c r="CJ37" s="102"/>
      <c r="CK37" s="102"/>
      <c r="CL37" s="102"/>
      <c r="CM37" s="102"/>
      <c r="CN37" s="102"/>
      <c r="CO37" s="102"/>
      <c r="CP37" s="102"/>
      <c r="CQ37" s="102"/>
      <c r="CR37" s="102"/>
      <c r="CS37" s="102"/>
      <c r="CT37" s="102"/>
      <c r="CU37" s="102"/>
      <c r="CV37" s="102"/>
      <c r="CW37" s="102"/>
      <c r="CX37" s="102"/>
      <c r="CY37" s="102"/>
      <c r="CZ37" s="102"/>
      <c r="DA37" s="102"/>
      <c r="DB37" s="102"/>
      <c r="DC37" s="102"/>
      <c r="DD37" s="102"/>
      <c r="DE37" s="102"/>
      <c r="DF37" s="102"/>
      <c r="DG37" s="102"/>
      <c r="DH37" s="102"/>
      <c r="DI37" s="102"/>
      <c r="DJ37" s="102"/>
      <c r="DK37" s="102"/>
      <c r="DL37" s="102"/>
      <c r="DM37" s="102"/>
      <c r="DN37" s="102"/>
      <c r="DO37" s="102"/>
      <c r="DP37" s="102"/>
      <c r="DQ37" s="102"/>
      <c r="DR37" s="102"/>
      <c r="DS37" s="102"/>
      <c r="DT37" s="102"/>
      <c r="DU37" s="102"/>
      <c r="DV37" s="102"/>
      <c r="DW37" s="102"/>
      <c r="DX37" s="102"/>
      <c r="DY37" s="102"/>
      <c r="DZ37" s="102"/>
      <c r="EA37" s="102"/>
      <c r="EB37" s="102"/>
      <c r="EC37" s="102"/>
      <c r="ED37" s="102"/>
      <c r="EE37" s="102"/>
      <c r="EF37" s="102"/>
      <c r="EG37" s="102"/>
      <c r="EH37" s="102"/>
      <c r="EI37" s="102"/>
      <c r="EJ37" s="102"/>
      <c r="EK37" s="102"/>
      <c r="EL37" s="102"/>
      <c r="EM37" s="102"/>
      <c r="EN37" s="102"/>
      <c r="EO37" s="102"/>
      <c r="EP37" s="102"/>
      <c r="EQ37" s="102"/>
    </row>
    <row r="38" hidden="1">
      <c r="A38" s="103" t="s">
        <v>143</v>
      </c>
      <c r="B38" s="131">
        <f t="shared" si="1"/>
        <v>46113</v>
      </c>
      <c r="C38" s="103">
        <v>210.0</v>
      </c>
      <c r="D38" s="103" t="s">
        <v>95</v>
      </c>
      <c r="E38" s="105"/>
      <c r="F38" s="103" t="s">
        <v>97</v>
      </c>
      <c r="G38" s="105"/>
      <c r="H38" s="105"/>
      <c r="I38" s="105"/>
      <c r="J38" s="106"/>
      <c r="K38" s="107"/>
      <c r="L38" s="103" t="s">
        <v>96</v>
      </c>
      <c r="M38" s="105"/>
      <c r="N38" s="105"/>
      <c r="O38" s="105"/>
      <c r="P38" s="105"/>
      <c r="Q38" s="105"/>
      <c r="R38" s="103" t="s">
        <v>97</v>
      </c>
      <c r="S38" s="103" t="s">
        <v>99</v>
      </c>
      <c r="T38" s="103" t="s">
        <v>97</v>
      </c>
      <c r="U38" s="103" t="s">
        <v>97</v>
      </c>
      <c r="V38" s="136" t="s">
        <v>97</v>
      </c>
      <c r="W38" s="107"/>
      <c r="X38" s="105"/>
      <c r="Y38" s="105"/>
      <c r="Z38" s="105"/>
      <c r="AA38" s="105"/>
      <c r="AB38" s="103" t="s">
        <v>99</v>
      </c>
      <c r="AC38" s="105"/>
      <c r="AD38" s="105"/>
      <c r="AE38" s="103" t="s">
        <v>96</v>
      </c>
      <c r="AF38" s="103" t="s">
        <v>96</v>
      </c>
      <c r="AG38" s="103" t="s">
        <v>96</v>
      </c>
      <c r="AH38" s="106"/>
      <c r="AI38" s="107"/>
      <c r="AJ38" s="105"/>
      <c r="AK38" s="105"/>
      <c r="AL38" s="105"/>
      <c r="AM38" s="103" t="s">
        <v>99</v>
      </c>
      <c r="AN38" s="103" t="s">
        <v>96</v>
      </c>
      <c r="AO38" s="105"/>
      <c r="AP38" s="105"/>
      <c r="AQ38" s="105"/>
      <c r="AR38" s="105"/>
      <c r="AS38" s="103" t="s">
        <v>97</v>
      </c>
      <c r="AT38" s="106"/>
      <c r="AU38" s="107"/>
      <c r="AV38" s="105"/>
      <c r="AW38" s="105"/>
      <c r="AX38" s="103" t="s">
        <v>106</v>
      </c>
      <c r="AY38" s="105"/>
      <c r="AZ38" s="105"/>
      <c r="BA38" s="105"/>
      <c r="BB38" s="105"/>
      <c r="BC38" s="105"/>
      <c r="BD38" s="105"/>
      <c r="BE38" s="105"/>
      <c r="BF38" s="106"/>
      <c r="BG38" s="105"/>
      <c r="BH38" s="105"/>
      <c r="BI38" s="105"/>
      <c r="BJ38" s="105"/>
      <c r="BK38" s="102"/>
      <c r="BL38" s="102"/>
      <c r="BM38" s="102"/>
      <c r="BN38" s="102"/>
      <c r="BO38" s="102"/>
      <c r="BP38" s="102"/>
      <c r="BQ38" s="102"/>
      <c r="BR38" s="102"/>
      <c r="BS38" s="102"/>
      <c r="BT38" s="102"/>
      <c r="BU38" s="102"/>
      <c r="BV38" s="102"/>
      <c r="BW38" s="102"/>
      <c r="BX38" s="102"/>
      <c r="BY38" s="102"/>
      <c r="BZ38" s="102"/>
      <c r="CA38" s="102"/>
      <c r="CB38" s="102"/>
      <c r="CC38" s="102"/>
      <c r="CD38" s="102"/>
      <c r="CE38" s="102"/>
      <c r="CF38" s="102"/>
      <c r="CG38" s="102"/>
      <c r="CH38" s="102"/>
      <c r="CI38" s="102"/>
      <c r="CJ38" s="102"/>
      <c r="CK38" s="102"/>
      <c r="CL38" s="102"/>
      <c r="CM38" s="102"/>
      <c r="CN38" s="102"/>
      <c r="CO38" s="102"/>
      <c r="CP38" s="102"/>
      <c r="CQ38" s="102"/>
      <c r="CR38" s="102"/>
      <c r="CS38" s="102"/>
      <c r="CT38" s="102"/>
      <c r="CU38" s="102"/>
      <c r="CV38" s="102"/>
      <c r="CW38" s="102"/>
      <c r="CX38" s="102"/>
      <c r="CY38" s="102"/>
      <c r="CZ38" s="102"/>
      <c r="DA38" s="102"/>
      <c r="DB38" s="102"/>
      <c r="DC38" s="102"/>
      <c r="DD38" s="102"/>
      <c r="DE38" s="102"/>
      <c r="DF38" s="102"/>
      <c r="DG38" s="102"/>
      <c r="DH38" s="102"/>
      <c r="DI38" s="102"/>
      <c r="DJ38" s="102"/>
      <c r="DK38" s="102"/>
      <c r="DL38" s="102"/>
      <c r="DM38" s="102"/>
      <c r="DN38" s="102"/>
      <c r="DO38" s="102"/>
      <c r="DP38" s="102"/>
      <c r="DQ38" s="102"/>
      <c r="DR38" s="102"/>
      <c r="DS38" s="102"/>
      <c r="DT38" s="102"/>
      <c r="DU38" s="102"/>
      <c r="DV38" s="102"/>
      <c r="DW38" s="102"/>
      <c r="DX38" s="102"/>
      <c r="DY38" s="102"/>
      <c r="DZ38" s="102"/>
      <c r="EA38" s="102"/>
      <c r="EB38" s="102"/>
      <c r="EC38" s="102"/>
      <c r="ED38" s="102"/>
      <c r="EE38" s="102"/>
      <c r="EF38" s="102"/>
      <c r="EG38" s="102"/>
      <c r="EH38" s="102"/>
      <c r="EI38" s="102"/>
      <c r="EJ38" s="102"/>
      <c r="EK38" s="102"/>
      <c r="EL38" s="102"/>
      <c r="EM38" s="102"/>
      <c r="EN38" s="102"/>
      <c r="EO38" s="102"/>
      <c r="EP38" s="102"/>
      <c r="EQ38" s="102"/>
    </row>
    <row r="39" hidden="1">
      <c r="A39" s="110" t="s">
        <v>144</v>
      </c>
      <c r="B39" s="111">
        <f t="shared" si="1"/>
        <v>46054</v>
      </c>
      <c r="C39" s="110">
        <v>210.0</v>
      </c>
      <c r="D39" s="110" t="s">
        <v>95</v>
      </c>
      <c r="E39" s="110" t="s">
        <v>97</v>
      </c>
      <c r="F39" s="110" t="s">
        <v>97</v>
      </c>
      <c r="G39" s="112"/>
      <c r="H39" s="112"/>
      <c r="I39" s="112"/>
      <c r="J39" s="113"/>
      <c r="K39" s="132" t="s">
        <v>98</v>
      </c>
      <c r="L39" s="116"/>
      <c r="M39" s="116"/>
      <c r="N39" s="116"/>
      <c r="O39" s="116"/>
      <c r="P39" s="116"/>
      <c r="Q39" s="115" t="s">
        <v>96</v>
      </c>
      <c r="R39" s="115" t="s">
        <v>98</v>
      </c>
      <c r="S39" s="115" t="s">
        <v>99</v>
      </c>
      <c r="T39" s="116"/>
      <c r="U39" s="116"/>
      <c r="V39" s="117"/>
      <c r="W39" s="119" t="s">
        <v>97</v>
      </c>
      <c r="X39" s="120"/>
      <c r="Y39" s="121" t="s">
        <v>97</v>
      </c>
      <c r="Z39" s="120"/>
      <c r="AA39" s="120"/>
      <c r="AB39" s="120"/>
      <c r="AC39" s="121" t="s">
        <v>97</v>
      </c>
      <c r="AD39" s="120"/>
      <c r="AE39" s="120"/>
      <c r="AF39" s="121" t="s">
        <v>98</v>
      </c>
      <c r="AG39" s="121" t="s">
        <v>96</v>
      </c>
      <c r="AH39" s="122"/>
      <c r="AI39" s="123"/>
      <c r="AJ39" s="124"/>
      <c r="AK39" s="124"/>
      <c r="AL39" s="124"/>
      <c r="AM39" s="125" t="s">
        <v>99</v>
      </c>
      <c r="AN39" s="125" t="s">
        <v>98</v>
      </c>
      <c r="AO39" s="124"/>
      <c r="AP39" s="124"/>
      <c r="AQ39" s="124"/>
      <c r="AR39" s="124"/>
      <c r="AS39" s="124"/>
      <c r="AT39" s="133" t="s">
        <v>99</v>
      </c>
      <c r="AU39" s="127"/>
      <c r="AV39" s="128" t="s">
        <v>98</v>
      </c>
      <c r="AW39" s="129"/>
      <c r="AX39" s="129"/>
      <c r="AY39" s="129"/>
      <c r="AZ39" s="129"/>
      <c r="BA39" s="129"/>
      <c r="BB39" s="129"/>
      <c r="BC39" s="129"/>
      <c r="BD39" s="129"/>
      <c r="BE39" s="129"/>
      <c r="BF39" s="130"/>
      <c r="BG39" s="129"/>
      <c r="BH39" s="129"/>
      <c r="BI39" s="129"/>
      <c r="BJ39" s="129"/>
      <c r="BK39" s="102"/>
      <c r="BL39" s="102"/>
      <c r="BM39" s="102"/>
      <c r="BN39" s="102"/>
      <c r="BO39" s="102"/>
      <c r="BP39" s="102"/>
      <c r="BQ39" s="102"/>
      <c r="BR39" s="102"/>
      <c r="BS39" s="102"/>
      <c r="BT39" s="102"/>
      <c r="BU39" s="102"/>
      <c r="BV39" s="102"/>
      <c r="BW39" s="102"/>
      <c r="BX39" s="102"/>
      <c r="BY39" s="102"/>
      <c r="BZ39" s="102"/>
      <c r="CA39" s="102"/>
      <c r="CB39" s="102"/>
      <c r="CC39" s="102"/>
      <c r="CD39" s="102"/>
      <c r="CE39" s="102"/>
      <c r="CF39" s="102"/>
      <c r="CG39" s="102"/>
      <c r="CH39" s="102"/>
      <c r="CI39" s="102"/>
      <c r="CJ39" s="102"/>
      <c r="CK39" s="102"/>
      <c r="CL39" s="102"/>
      <c r="CM39" s="102"/>
      <c r="CN39" s="102"/>
      <c r="CO39" s="102"/>
      <c r="CP39" s="102"/>
      <c r="CQ39" s="102"/>
      <c r="CR39" s="102"/>
      <c r="CS39" s="102"/>
      <c r="CT39" s="102"/>
      <c r="CU39" s="102"/>
      <c r="CV39" s="102"/>
      <c r="CW39" s="102"/>
      <c r="CX39" s="102"/>
      <c r="CY39" s="102"/>
      <c r="CZ39" s="102"/>
      <c r="DA39" s="102"/>
      <c r="DB39" s="102"/>
      <c r="DC39" s="102"/>
      <c r="DD39" s="102"/>
      <c r="DE39" s="102"/>
      <c r="DF39" s="102"/>
      <c r="DG39" s="102"/>
      <c r="DH39" s="102"/>
      <c r="DI39" s="102"/>
      <c r="DJ39" s="102"/>
      <c r="DK39" s="102"/>
      <c r="DL39" s="102"/>
      <c r="DM39" s="102"/>
      <c r="DN39" s="102"/>
      <c r="DO39" s="102"/>
      <c r="DP39" s="102"/>
      <c r="DQ39" s="102"/>
      <c r="DR39" s="102"/>
      <c r="DS39" s="102"/>
      <c r="DT39" s="102"/>
      <c r="DU39" s="102"/>
      <c r="DV39" s="102"/>
      <c r="DW39" s="102"/>
      <c r="DX39" s="102"/>
      <c r="DY39" s="102"/>
      <c r="DZ39" s="102"/>
      <c r="EA39" s="102"/>
      <c r="EB39" s="102"/>
      <c r="EC39" s="102"/>
      <c r="ED39" s="102"/>
      <c r="EE39" s="102"/>
      <c r="EF39" s="102"/>
      <c r="EG39" s="102"/>
      <c r="EH39" s="102"/>
      <c r="EI39" s="102"/>
      <c r="EJ39" s="102"/>
      <c r="EK39" s="102"/>
      <c r="EL39" s="102"/>
      <c r="EM39" s="102"/>
      <c r="EN39" s="102"/>
      <c r="EO39" s="102"/>
      <c r="EP39" s="102"/>
      <c r="EQ39" s="102"/>
    </row>
    <row r="40" hidden="1">
      <c r="A40" s="139" t="s">
        <v>145</v>
      </c>
      <c r="B40" s="131">
        <f t="shared" si="1"/>
        <v>46113</v>
      </c>
      <c r="C40" s="103">
        <v>210.0</v>
      </c>
      <c r="D40" s="103" t="s">
        <v>95</v>
      </c>
      <c r="E40" s="105"/>
      <c r="F40" s="103" t="s">
        <v>98</v>
      </c>
      <c r="G40" s="105"/>
      <c r="H40" s="105"/>
      <c r="I40" s="105"/>
      <c r="J40" s="106"/>
      <c r="K40" s="107"/>
      <c r="L40" s="105"/>
      <c r="M40" s="103" t="s">
        <v>98</v>
      </c>
      <c r="N40" s="105"/>
      <c r="O40" s="105"/>
      <c r="P40" s="105"/>
      <c r="Q40" s="105"/>
      <c r="R40" s="105"/>
      <c r="S40" s="103" t="s">
        <v>99</v>
      </c>
      <c r="T40" s="105"/>
      <c r="U40" s="105"/>
      <c r="V40" s="105"/>
      <c r="W40" s="105"/>
      <c r="X40" s="105"/>
      <c r="Y40" s="103" t="s">
        <v>99</v>
      </c>
      <c r="Z40" s="105"/>
      <c r="AA40" s="105"/>
      <c r="AB40" s="105"/>
      <c r="AC40" s="105"/>
      <c r="AD40" s="105"/>
      <c r="AE40" s="103" t="s">
        <v>99</v>
      </c>
      <c r="AF40" s="103" t="s">
        <v>98</v>
      </c>
      <c r="AG40" s="105"/>
      <c r="AH40" s="106"/>
      <c r="AI40" s="107"/>
      <c r="AJ40" s="105"/>
      <c r="AK40" s="105"/>
      <c r="AL40" s="103" t="s">
        <v>99</v>
      </c>
      <c r="AM40" s="105"/>
      <c r="AN40" s="105"/>
      <c r="AO40" s="105"/>
      <c r="AP40" s="103" t="s">
        <v>99</v>
      </c>
      <c r="AQ40" s="105"/>
      <c r="AR40" s="103" t="s">
        <v>97</v>
      </c>
      <c r="AS40" s="103" t="s">
        <v>97</v>
      </c>
      <c r="AT40" s="106"/>
      <c r="AU40" s="107"/>
      <c r="AV40" s="105"/>
      <c r="AW40" s="105"/>
      <c r="AX40" s="103" t="s">
        <v>106</v>
      </c>
      <c r="AY40" s="105"/>
      <c r="AZ40" s="105"/>
      <c r="BA40" s="105"/>
      <c r="BB40" s="105"/>
      <c r="BC40" s="105"/>
      <c r="BD40" s="105"/>
      <c r="BE40" s="105"/>
      <c r="BF40" s="106"/>
      <c r="BG40" s="105"/>
      <c r="BH40" s="105"/>
      <c r="BI40" s="105"/>
      <c r="BJ40" s="105"/>
      <c r="BK40" s="102"/>
      <c r="BL40" s="102"/>
      <c r="BM40" s="102"/>
      <c r="BN40" s="102"/>
      <c r="BO40" s="102"/>
      <c r="BP40" s="102"/>
      <c r="BQ40" s="102"/>
      <c r="BR40" s="102"/>
      <c r="BS40" s="102"/>
      <c r="BT40" s="102"/>
      <c r="BU40" s="102"/>
      <c r="BV40" s="102"/>
      <c r="BW40" s="102"/>
      <c r="BX40" s="102"/>
      <c r="BY40" s="102"/>
      <c r="BZ40" s="102"/>
      <c r="CA40" s="102"/>
      <c r="CB40" s="102"/>
      <c r="CC40" s="102"/>
      <c r="CD40" s="102"/>
      <c r="CE40" s="102"/>
      <c r="CF40" s="102"/>
      <c r="CG40" s="102"/>
      <c r="CH40" s="102"/>
      <c r="CI40" s="102"/>
      <c r="CJ40" s="102"/>
      <c r="CK40" s="102"/>
      <c r="CL40" s="102"/>
      <c r="CM40" s="102"/>
      <c r="CN40" s="102"/>
      <c r="CO40" s="102"/>
      <c r="CP40" s="102"/>
      <c r="CQ40" s="102"/>
      <c r="CR40" s="102"/>
      <c r="CS40" s="102"/>
      <c r="CT40" s="102"/>
      <c r="CU40" s="102"/>
      <c r="CV40" s="102"/>
      <c r="CW40" s="102"/>
      <c r="CX40" s="102"/>
      <c r="CY40" s="102"/>
      <c r="CZ40" s="102"/>
      <c r="DA40" s="102"/>
      <c r="DB40" s="102"/>
      <c r="DC40" s="102"/>
      <c r="DD40" s="102"/>
      <c r="DE40" s="102"/>
      <c r="DF40" s="102"/>
      <c r="DG40" s="102"/>
      <c r="DH40" s="102"/>
      <c r="DI40" s="102"/>
      <c r="DJ40" s="102"/>
      <c r="DK40" s="102"/>
      <c r="DL40" s="102"/>
      <c r="DM40" s="102"/>
      <c r="DN40" s="102"/>
      <c r="DO40" s="102"/>
      <c r="DP40" s="102"/>
      <c r="DQ40" s="102"/>
      <c r="DR40" s="102"/>
      <c r="DS40" s="102"/>
      <c r="DT40" s="102"/>
      <c r="DU40" s="102"/>
      <c r="DV40" s="102"/>
      <c r="DW40" s="102"/>
      <c r="DX40" s="102"/>
      <c r="DY40" s="102"/>
      <c r="DZ40" s="102"/>
      <c r="EA40" s="102"/>
      <c r="EB40" s="102"/>
      <c r="EC40" s="102"/>
      <c r="ED40" s="102"/>
      <c r="EE40" s="102"/>
      <c r="EF40" s="102"/>
      <c r="EG40" s="102"/>
      <c r="EH40" s="102"/>
      <c r="EI40" s="102"/>
      <c r="EJ40" s="102"/>
      <c r="EK40" s="102"/>
      <c r="EL40" s="102"/>
      <c r="EM40" s="102"/>
      <c r="EN40" s="102"/>
      <c r="EO40" s="102"/>
      <c r="EP40" s="102"/>
      <c r="EQ40" s="102"/>
    </row>
    <row r="41" hidden="1">
      <c r="A41" s="138" t="s">
        <v>146</v>
      </c>
      <c r="B41" s="111">
        <f t="shared" si="1"/>
        <v>46082</v>
      </c>
      <c r="C41" s="110">
        <v>210.0</v>
      </c>
      <c r="D41" s="110" t="s">
        <v>95</v>
      </c>
      <c r="E41" s="110" t="s">
        <v>98</v>
      </c>
      <c r="F41" s="110" t="s">
        <v>98</v>
      </c>
      <c r="G41" s="112"/>
      <c r="H41" s="112"/>
      <c r="I41" s="112"/>
      <c r="J41" s="113"/>
      <c r="K41" s="132" t="s">
        <v>98</v>
      </c>
      <c r="L41" s="116"/>
      <c r="M41" s="116"/>
      <c r="N41" s="116"/>
      <c r="O41" s="116"/>
      <c r="P41" s="116"/>
      <c r="Q41" s="115" t="s">
        <v>98</v>
      </c>
      <c r="R41" s="115" t="s">
        <v>98</v>
      </c>
      <c r="S41" s="115" t="s">
        <v>99</v>
      </c>
      <c r="T41" s="116"/>
      <c r="U41" s="116"/>
      <c r="V41" s="117"/>
      <c r="W41" s="118"/>
      <c r="X41" s="121" t="s">
        <v>99</v>
      </c>
      <c r="Y41" s="120"/>
      <c r="Z41" s="120"/>
      <c r="AA41" s="120"/>
      <c r="AB41" s="121" t="s">
        <v>98</v>
      </c>
      <c r="AC41" s="121" t="s">
        <v>98</v>
      </c>
      <c r="AD41" s="120"/>
      <c r="AE41" s="120"/>
      <c r="AF41" s="121" t="s">
        <v>98</v>
      </c>
      <c r="AG41" s="120"/>
      <c r="AH41" s="122"/>
      <c r="AI41" s="134" t="s">
        <v>97</v>
      </c>
      <c r="AJ41" s="124"/>
      <c r="AK41" s="124"/>
      <c r="AL41" s="124"/>
      <c r="AM41" s="124"/>
      <c r="AN41" s="124"/>
      <c r="AO41" s="124"/>
      <c r="AP41" s="125" t="s">
        <v>99</v>
      </c>
      <c r="AQ41" s="125" t="s">
        <v>98</v>
      </c>
      <c r="AR41" s="124"/>
      <c r="AS41" s="124"/>
      <c r="AT41" s="126"/>
      <c r="AU41" s="127"/>
      <c r="AV41" s="128" t="s">
        <v>98</v>
      </c>
      <c r="AW41" s="128" t="s">
        <v>97</v>
      </c>
      <c r="AX41" s="129"/>
      <c r="AY41" s="129"/>
      <c r="AZ41" s="129"/>
      <c r="BA41" s="129"/>
      <c r="BB41" s="129"/>
      <c r="BC41" s="129"/>
      <c r="BD41" s="129"/>
      <c r="BE41" s="129"/>
      <c r="BF41" s="130"/>
      <c r="BG41" s="129"/>
      <c r="BH41" s="129"/>
      <c r="BI41" s="129"/>
      <c r="BJ41" s="129"/>
      <c r="BK41" s="102"/>
      <c r="BL41" s="102"/>
      <c r="BM41" s="102"/>
      <c r="BN41" s="102"/>
      <c r="BO41" s="102"/>
      <c r="BP41" s="102"/>
      <c r="BQ41" s="102"/>
      <c r="BR41" s="102"/>
      <c r="BS41" s="102"/>
      <c r="BT41" s="102"/>
      <c r="BU41" s="102"/>
      <c r="BV41" s="102"/>
      <c r="BW41" s="102"/>
      <c r="BX41" s="102"/>
      <c r="BY41" s="102"/>
      <c r="BZ41" s="102"/>
      <c r="CA41" s="102"/>
      <c r="CB41" s="102"/>
      <c r="CC41" s="102"/>
      <c r="CD41" s="102"/>
      <c r="CE41" s="102"/>
      <c r="CF41" s="102"/>
      <c r="CG41" s="102"/>
      <c r="CH41" s="102"/>
      <c r="CI41" s="102"/>
      <c r="CJ41" s="102"/>
      <c r="CK41" s="102"/>
      <c r="CL41" s="102"/>
      <c r="CM41" s="102"/>
      <c r="CN41" s="102"/>
      <c r="CO41" s="102"/>
      <c r="CP41" s="102"/>
      <c r="CQ41" s="102"/>
      <c r="CR41" s="102"/>
      <c r="CS41" s="102"/>
      <c r="CT41" s="102"/>
      <c r="CU41" s="102"/>
      <c r="CV41" s="102"/>
      <c r="CW41" s="102"/>
      <c r="CX41" s="102"/>
      <c r="CY41" s="102"/>
      <c r="CZ41" s="102"/>
      <c r="DA41" s="102"/>
      <c r="DB41" s="102"/>
      <c r="DC41" s="102"/>
      <c r="DD41" s="102"/>
      <c r="DE41" s="102"/>
      <c r="DF41" s="102"/>
      <c r="DG41" s="102"/>
      <c r="DH41" s="102"/>
      <c r="DI41" s="102"/>
      <c r="DJ41" s="102"/>
      <c r="DK41" s="102"/>
      <c r="DL41" s="102"/>
      <c r="DM41" s="102"/>
      <c r="DN41" s="102"/>
      <c r="DO41" s="102"/>
      <c r="DP41" s="102"/>
      <c r="DQ41" s="102"/>
      <c r="DR41" s="102"/>
      <c r="DS41" s="102"/>
      <c r="DT41" s="102"/>
      <c r="DU41" s="102"/>
      <c r="DV41" s="102"/>
      <c r="DW41" s="102"/>
      <c r="DX41" s="102"/>
      <c r="DY41" s="102"/>
      <c r="DZ41" s="102"/>
      <c r="EA41" s="102"/>
      <c r="EB41" s="102"/>
      <c r="EC41" s="102"/>
      <c r="ED41" s="102"/>
      <c r="EE41" s="102"/>
      <c r="EF41" s="102"/>
      <c r="EG41" s="102"/>
      <c r="EH41" s="102"/>
      <c r="EI41" s="102"/>
      <c r="EJ41" s="102"/>
      <c r="EK41" s="102"/>
      <c r="EL41" s="102"/>
      <c r="EM41" s="102"/>
      <c r="EN41" s="102"/>
      <c r="EO41" s="102"/>
      <c r="EP41" s="102"/>
      <c r="EQ41" s="102"/>
    </row>
    <row r="42" hidden="1">
      <c r="A42" s="139" t="s">
        <v>147</v>
      </c>
      <c r="B42" s="131">
        <f t="shared" si="1"/>
        <v>46054</v>
      </c>
      <c r="C42" s="103">
        <v>210.0</v>
      </c>
      <c r="D42" s="103" t="s">
        <v>95</v>
      </c>
      <c r="E42" s="103" t="s">
        <v>97</v>
      </c>
      <c r="F42" s="103" t="s">
        <v>96</v>
      </c>
      <c r="G42" s="105"/>
      <c r="H42" s="105"/>
      <c r="I42" s="105"/>
      <c r="J42" s="106"/>
      <c r="K42" s="108" t="s">
        <v>98</v>
      </c>
      <c r="L42" s="105"/>
      <c r="M42" s="105"/>
      <c r="N42" s="105"/>
      <c r="O42" s="105"/>
      <c r="P42" s="105"/>
      <c r="Q42" s="103" t="s">
        <v>96</v>
      </c>
      <c r="R42" s="103" t="s">
        <v>98</v>
      </c>
      <c r="S42" s="103" t="s">
        <v>99</v>
      </c>
      <c r="T42" s="105"/>
      <c r="U42" s="105"/>
      <c r="V42" s="106"/>
      <c r="W42" s="107"/>
      <c r="X42" s="103" t="s">
        <v>99</v>
      </c>
      <c r="Y42" s="105"/>
      <c r="Z42" s="105"/>
      <c r="AA42" s="105"/>
      <c r="AB42" s="105"/>
      <c r="AC42" s="103" t="s">
        <v>98</v>
      </c>
      <c r="AD42" s="105"/>
      <c r="AE42" s="105"/>
      <c r="AF42" s="103" t="s">
        <v>97</v>
      </c>
      <c r="AG42" s="105"/>
      <c r="AH42" s="106"/>
      <c r="AI42" s="107"/>
      <c r="AJ42" s="105"/>
      <c r="AK42" s="105"/>
      <c r="AL42" s="103" t="s">
        <v>99</v>
      </c>
      <c r="AM42" s="105"/>
      <c r="AN42" s="105"/>
      <c r="AO42" s="105"/>
      <c r="AP42" s="103" t="s">
        <v>99</v>
      </c>
      <c r="AQ42" s="103" t="s">
        <v>132</v>
      </c>
      <c r="AR42" s="105"/>
      <c r="AS42" s="105"/>
      <c r="AT42" s="106"/>
      <c r="AU42" s="107"/>
      <c r="AV42" s="103" t="s">
        <v>98</v>
      </c>
      <c r="AW42" s="105"/>
      <c r="AX42" s="105"/>
      <c r="AY42" s="105"/>
      <c r="AZ42" s="105"/>
      <c r="BA42" s="105"/>
      <c r="BB42" s="105"/>
      <c r="BC42" s="105"/>
      <c r="BD42" s="105"/>
      <c r="BE42" s="105"/>
      <c r="BF42" s="106"/>
      <c r="BG42" s="105"/>
      <c r="BH42" s="105"/>
      <c r="BI42" s="105"/>
      <c r="BJ42" s="105"/>
      <c r="BK42" s="102"/>
      <c r="BL42" s="102"/>
      <c r="BM42" s="102"/>
      <c r="BN42" s="102"/>
      <c r="BO42" s="102"/>
      <c r="BP42" s="102"/>
      <c r="BQ42" s="102"/>
      <c r="BR42" s="102"/>
      <c r="BS42" s="102"/>
      <c r="BT42" s="102"/>
      <c r="BU42" s="102"/>
      <c r="BV42" s="102"/>
      <c r="BW42" s="102"/>
      <c r="BX42" s="102"/>
      <c r="BY42" s="102"/>
      <c r="BZ42" s="102"/>
      <c r="CA42" s="102"/>
      <c r="CB42" s="102"/>
      <c r="CC42" s="102"/>
      <c r="CD42" s="102"/>
      <c r="CE42" s="102"/>
      <c r="CF42" s="102"/>
      <c r="CG42" s="102"/>
      <c r="CH42" s="102"/>
      <c r="CI42" s="102"/>
      <c r="CJ42" s="102"/>
      <c r="CK42" s="102"/>
      <c r="CL42" s="102"/>
      <c r="CM42" s="102"/>
      <c r="CN42" s="102"/>
      <c r="CO42" s="102"/>
      <c r="CP42" s="102"/>
      <c r="CQ42" s="102"/>
      <c r="CR42" s="102"/>
      <c r="CS42" s="102"/>
      <c r="CT42" s="102"/>
      <c r="CU42" s="102"/>
      <c r="CV42" s="102"/>
      <c r="CW42" s="102"/>
      <c r="CX42" s="102"/>
      <c r="CY42" s="102"/>
      <c r="CZ42" s="102"/>
      <c r="DA42" s="102"/>
      <c r="DB42" s="102"/>
      <c r="DC42" s="102"/>
      <c r="DD42" s="102"/>
      <c r="DE42" s="102"/>
      <c r="DF42" s="102"/>
      <c r="DG42" s="102"/>
      <c r="DH42" s="102"/>
      <c r="DI42" s="102"/>
      <c r="DJ42" s="102"/>
      <c r="DK42" s="102"/>
      <c r="DL42" s="102"/>
      <c r="DM42" s="102"/>
      <c r="DN42" s="102"/>
      <c r="DO42" s="102"/>
      <c r="DP42" s="102"/>
      <c r="DQ42" s="102"/>
      <c r="DR42" s="102"/>
      <c r="DS42" s="102"/>
      <c r="DT42" s="102"/>
      <c r="DU42" s="102"/>
      <c r="DV42" s="102"/>
      <c r="DW42" s="102"/>
      <c r="DX42" s="102"/>
      <c r="DY42" s="102"/>
      <c r="DZ42" s="102"/>
      <c r="EA42" s="102"/>
      <c r="EB42" s="102"/>
      <c r="EC42" s="102"/>
      <c r="ED42" s="102"/>
      <c r="EE42" s="102"/>
      <c r="EF42" s="102"/>
      <c r="EG42" s="102"/>
      <c r="EH42" s="102"/>
      <c r="EI42" s="102"/>
      <c r="EJ42" s="102"/>
      <c r="EK42" s="102"/>
      <c r="EL42" s="102"/>
      <c r="EM42" s="102"/>
      <c r="EN42" s="102"/>
      <c r="EO42" s="102"/>
      <c r="EP42" s="102"/>
      <c r="EQ42" s="102"/>
    </row>
    <row r="43" hidden="1">
      <c r="A43" s="138" t="s">
        <v>148</v>
      </c>
      <c r="B43" s="111">
        <f t="shared" si="1"/>
        <v>46113</v>
      </c>
      <c r="C43" s="110">
        <v>60.0</v>
      </c>
      <c r="D43" s="110" t="s">
        <v>136</v>
      </c>
      <c r="E43" s="110" t="s">
        <v>97</v>
      </c>
      <c r="F43" s="110" t="s">
        <v>98</v>
      </c>
      <c r="G43" s="110" t="s">
        <v>98</v>
      </c>
      <c r="H43" s="110" t="s">
        <v>99</v>
      </c>
      <c r="I43" s="110" t="s">
        <v>96</v>
      </c>
      <c r="J43" s="137" t="s">
        <v>98</v>
      </c>
      <c r="K43" s="132" t="s">
        <v>96</v>
      </c>
      <c r="L43" s="115" t="s">
        <v>96</v>
      </c>
      <c r="M43" s="115" t="s">
        <v>98</v>
      </c>
      <c r="N43" s="115" t="s">
        <v>99</v>
      </c>
      <c r="O43" s="115" t="s">
        <v>96</v>
      </c>
      <c r="P43" s="115" t="s">
        <v>99</v>
      </c>
      <c r="Q43" s="115" t="s">
        <v>99</v>
      </c>
      <c r="R43" s="115" t="s">
        <v>99</v>
      </c>
      <c r="S43" s="115" t="s">
        <v>99</v>
      </c>
      <c r="T43" s="115" t="s">
        <v>96</v>
      </c>
      <c r="U43" s="115" t="s">
        <v>98</v>
      </c>
      <c r="V43" s="143" t="s">
        <v>99</v>
      </c>
      <c r="W43" s="119" t="s">
        <v>96</v>
      </c>
      <c r="X43" s="121" t="s">
        <v>99</v>
      </c>
      <c r="Y43" s="121" t="s">
        <v>99</v>
      </c>
      <c r="Z43" s="121" t="s">
        <v>99</v>
      </c>
      <c r="AA43" s="121" t="s">
        <v>99</v>
      </c>
      <c r="AB43" s="121" t="s">
        <v>99</v>
      </c>
      <c r="AC43" s="121" t="s">
        <v>98</v>
      </c>
      <c r="AD43" s="121" t="s">
        <v>99</v>
      </c>
      <c r="AE43" s="121" t="s">
        <v>99</v>
      </c>
      <c r="AF43" s="121" t="s">
        <v>98</v>
      </c>
      <c r="AG43" s="121" t="s">
        <v>96</v>
      </c>
      <c r="AH43" s="140" t="s">
        <v>99</v>
      </c>
      <c r="AI43" s="134" t="s">
        <v>98</v>
      </c>
      <c r="AJ43" s="125" t="s">
        <v>99</v>
      </c>
      <c r="AK43" s="125" t="s">
        <v>99</v>
      </c>
      <c r="AL43" s="125" t="s">
        <v>99</v>
      </c>
      <c r="AM43" s="125" t="s">
        <v>99</v>
      </c>
      <c r="AN43" s="125" t="s">
        <v>96</v>
      </c>
      <c r="AO43" s="125" t="s">
        <v>99</v>
      </c>
      <c r="AP43" s="125" t="s">
        <v>99</v>
      </c>
      <c r="AQ43" s="125" t="s">
        <v>98</v>
      </c>
      <c r="AR43" s="125" t="s">
        <v>97</v>
      </c>
      <c r="AS43" s="125" t="s">
        <v>98</v>
      </c>
      <c r="AT43" s="133" t="s">
        <v>99</v>
      </c>
      <c r="AU43" s="135" t="s">
        <v>99</v>
      </c>
      <c r="AV43" s="128" t="s">
        <v>96</v>
      </c>
      <c r="AW43" s="128" t="s">
        <v>96</v>
      </c>
      <c r="AX43" s="128" t="s">
        <v>96</v>
      </c>
      <c r="AY43" s="129"/>
      <c r="AZ43" s="129"/>
      <c r="BA43" s="129"/>
      <c r="BB43" s="129"/>
      <c r="BC43" s="129"/>
      <c r="BD43" s="129"/>
      <c r="BE43" s="129"/>
      <c r="BF43" s="130"/>
      <c r="BG43" s="129"/>
      <c r="BH43" s="129"/>
      <c r="BI43" s="129"/>
      <c r="BJ43" s="129"/>
      <c r="BK43" s="102"/>
      <c r="BL43" s="102"/>
      <c r="BM43" s="102"/>
      <c r="BN43" s="102"/>
      <c r="BO43" s="102"/>
      <c r="BP43" s="102"/>
      <c r="BQ43" s="102"/>
      <c r="BR43" s="102"/>
      <c r="BS43" s="102"/>
      <c r="BT43" s="102"/>
      <c r="BU43" s="102"/>
      <c r="BV43" s="102"/>
      <c r="BW43" s="102"/>
      <c r="BX43" s="102"/>
      <c r="BY43" s="102"/>
      <c r="BZ43" s="102"/>
      <c r="CA43" s="102"/>
      <c r="CB43" s="102"/>
      <c r="CC43" s="102"/>
      <c r="CD43" s="102"/>
      <c r="CE43" s="102"/>
      <c r="CF43" s="102"/>
      <c r="CG43" s="102"/>
      <c r="CH43" s="102"/>
      <c r="CI43" s="102"/>
      <c r="CJ43" s="102"/>
      <c r="CK43" s="102"/>
      <c r="CL43" s="102"/>
      <c r="CM43" s="102"/>
      <c r="CN43" s="102"/>
      <c r="CO43" s="102"/>
      <c r="CP43" s="102"/>
      <c r="CQ43" s="102"/>
      <c r="CR43" s="102"/>
      <c r="CS43" s="102"/>
      <c r="CT43" s="102"/>
      <c r="CU43" s="102"/>
      <c r="CV43" s="102"/>
      <c r="CW43" s="102"/>
      <c r="CX43" s="102"/>
      <c r="CY43" s="102"/>
      <c r="CZ43" s="102"/>
      <c r="DA43" s="102"/>
      <c r="DB43" s="102"/>
      <c r="DC43" s="102"/>
      <c r="DD43" s="102"/>
      <c r="DE43" s="102"/>
      <c r="DF43" s="102"/>
      <c r="DG43" s="102"/>
      <c r="DH43" s="102"/>
      <c r="DI43" s="102"/>
      <c r="DJ43" s="102"/>
      <c r="DK43" s="102"/>
      <c r="DL43" s="102"/>
      <c r="DM43" s="102"/>
      <c r="DN43" s="102"/>
      <c r="DO43" s="102"/>
      <c r="DP43" s="102"/>
      <c r="DQ43" s="102"/>
      <c r="DR43" s="102"/>
      <c r="DS43" s="102"/>
      <c r="DT43" s="102"/>
      <c r="DU43" s="102"/>
      <c r="DV43" s="102"/>
      <c r="DW43" s="102"/>
      <c r="DX43" s="102"/>
      <c r="DY43" s="102"/>
      <c r="DZ43" s="102"/>
      <c r="EA43" s="102"/>
      <c r="EB43" s="102"/>
      <c r="EC43" s="102"/>
      <c r="ED43" s="102"/>
      <c r="EE43" s="102"/>
      <c r="EF43" s="102"/>
      <c r="EG43" s="102"/>
      <c r="EH43" s="102"/>
      <c r="EI43" s="102"/>
      <c r="EJ43" s="102"/>
      <c r="EK43" s="102"/>
      <c r="EL43" s="102"/>
      <c r="EM43" s="102"/>
      <c r="EN43" s="102"/>
      <c r="EO43" s="102"/>
      <c r="EP43" s="102"/>
      <c r="EQ43" s="102"/>
    </row>
    <row r="44" hidden="1">
      <c r="A44" s="103" t="s">
        <v>149</v>
      </c>
      <c r="B44" s="131">
        <f t="shared" si="1"/>
        <v>46054</v>
      </c>
      <c r="C44" s="103">
        <v>365.0</v>
      </c>
      <c r="D44" s="103" t="s">
        <v>128</v>
      </c>
      <c r="E44" s="105"/>
      <c r="F44" s="105"/>
      <c r="G44" s="105"/>
      <c r="H44" s="105"/>
      <c r="I44" s="105"/>
      <c r="J44" s="106"/>
      <c r="K44" s="107"/>
      <c r="L44" s="105"/>
      <c r="M44" s="105"/>
      <c r="N44" s="105"/>
      <c r="O44" s="105"/>
      <c r="P44" s="105"/>
      <c r="Q44" s="105"/>
      <c r="R44" s="105"/>
      <c r="S44" s="105"/>
      <c r="T44" s="105"/>
      <c r="U44" s="105"/>
      <c r="V44" s="106"/>
      <c r="W44" s="107"/>
      <c r="X44" s="105"/>
      <c r="Y44" s="105"/>
      <c r="Z44" s="105"/>
      <c r="AA44" s="105"/>
      <c r="AB44" s="105"/>
      <c r="AC44" s="105"/>
      <c r="AD44" s="105"/>
      <c r="AE44" s="105"/>
      <c r="AF44" s="105"/>
      <c r="AG44" s="105"/>
      <c r="AH44" s="106"/>
      <c r="AI44" s="108" t="s">
        <v>97</v>
      </c>
      <c r="AJ44" s="105"/>
      <c r="AK44" s="105"/>
      <c r="AL44" s="105"/>
      <c r="AM44" s="105"/>
      <c r="AN44" s="105"/>
      <c r="AO44" s="105"/>
      <c r="AP44" s="105"/>
      <c r="AQ44" s="105"/>
      <c r="AR44" s="105"/>
      <c r="AS44" s="105"/>
      <c r="AT44" s="106"/>
      <c r="AU44" s="107"/>
      <c r="AV44" s="103" t="s">
        <v>97</v>
      </c>
      <c r="AW44" s="105"/>
      <c r="AX44" s="105"/>
      <c r="AY44" s="105"/>
      <c r="AZ44" s="105"/>
      <c r="BA44" s="105"/>
      <c r="BB44" s="105"/>
      <c r="BC44" s="105"/>
      <c r="BD44" s="105"/>
      <c r="BE44" s="105"/>
      <c r="BF44" s="106"/>
      <c r="BG44" s="105"/>
      <c r="BH44" s="105"/>
      <c r="BI44" s="105"/>
      <c r="BJ44" s="105"/>
      <c r="BK44" s="102"/>
      <c r="BL44" s="102"/>
      <c r="BM44" s="102"/>
      <c r="BN44" s="102"/>
      <c r="BO44" s="102"/>
      <c r="BP44" s="102"/>
      <c r="BQ44" s="102"/>
      <c r="BR44" s="102"/>
      <c r="BS44" s="102"/>
      <c r="BT44" s="102"/>
      <c r="BU44" s="102"/>
      <c r="BV44" s="102"/>
      <c r="BW44" s="102"/>
      <c r="BX44" s="102"/>
      <c r="BY44" s="102"/>
      <c r="BZ44" s="102"/>
      <c r="CA44" s="102"/>
      <c r="CB44" s="102"/>
      <c r="CC44" s="102"/>
      <c r="CD44" s="102"/>
      <c r="CE44" s="102"/>
      <c r="CF44" s="102"/>
      <c r="CG44" s="102"/>
      <c r="CH44" s="102"/>
      <c r="CI44" s="102"/>
      <c r="CJ44" s="102"/>
      <c r="CK44" s="102"/>
      <c r="CL44" s="102"/>
      <c r="CM44" s="102"/>
      <c r="CN44" s="102"/>
      <c r="CO44" s="102"/>
      <c r="CP44" s="102"/>
      <c r="CQ44" s="102"/>
      <c r="CR44" s="102"/>
      <c r="CS44" s="102"/>
      <c r="CT44" s="102"/>
      <c r="CU44" s="102"/>
      <c r="CV44" s="102"/>
      <c r="CW44" s="102"/>
      <c r="CX44" s="102"/>
      <c r="CY44" s="102"/>
      <c r="CZ44" s="102"/>
      <c r="DA44" s="102"/>
      <c r="DB44" s="102"/>
      <c r="DC44" s="102"/>
      <c r="DD44" s="102"/>
      <c r="DE44" s="102"/>
      <c r="DF44" s="102"/>
      <c r="DG44" s="102"/>
      <c r="DH44" s="102"/>
      <c r="DI44" s="102"/>
      <c r="DJ44" s="102"/>
      <c r="DK44" s="102"/>
      <c r="DL44" s="102"/>
      <c r="DM44" s="102"/>
      <c r="DN44" s="102"/>
      <c r="DO44" s="102"/>
      <c r="DP44" s="102"/>
      <c r="DQ44" s="102"/>
      <c r="DR44" s="102"/>
      <c r="DS44" s="102"/>
      <c r="DT44" s="102"/>
      <c r="DU44" s="102"/>
      <c r="DV44" s="102"/>
      <c r="DW44" s="102"/>
      <c r="DX44" s="102"/>
      <c r="DY44" s="102"/>
      <c r="DZ44" s="102"/>
      <c r="EA44" s="102"/>
      <c r="EB44" s="102"/>
      <c r="EC44" s="102"/>
      <c r="ED44" s="102"/>
      <c r="EE44" s="102"/>
      <c r="EF44" s="102"/>
      <c r="EG44" s="102"/>
      <c r="EH44" s="102"/>
      <c r="EI44" s="102"/>
      <c r="EJ44" s="102"/>
      <c r="EK44" s="102"/>
      <c r="EL44" s="102"/>
      <c r="EM44" s="102"/>
      <c r="EN44" s="102"/>
      <c r="EO44" s="102"/>
      <c r="EP44" s="102"/>
      <c r="EQ44" s="102"/>
    </row>
    <row r="45" hidden="1">
      <c r="A45" s="110" t="s">
        <v>150</v>
      </c>
      <c r="B45" s="111">
        <f t="shared" si="1"/>
        <v>46054</v>
      </c>
      <c r="C45" s="110">
        <v>365.0</v>
      </c>
      <c r="D45" s="110" t="s">
        <v>128</v>
      </c>
      <c r="E45" s="112"/>
      <c r="F45" s="112"/>
      <c r="G45" s="112"/>
      <c r="H45" s="112"/>
      <c r="I45" s="112"/>
      <c r="J45" s="113"/>
      <c r="K45" s="114"/>
      <c r="L45" s="116"/>
      <c r="M45" s="116"/>
      <c r="N45" s="116"/>
      <c r="O45" s="116"/>
      <c r="P45" s="116"/>
      <c r="Q45" s="116"/>
      <c r="R45" s="116"/>
      <c r="S45" s="116"/>
      <c r="T45" s="116"/>
      <c r="U45" s="116"/>
      <c r="V45" s="117"/>
      <c r="W45" s="118"/>
      <c r="X45" s="120"/>
      <c r="Y45" s="120"/>
      <c r="Z45" s="120"/>
      <c r="AA45" s="120"/>
      <c r="AB45" s="120"/>
      <c r="AC45" s="120"/>
      <c r="AD45" s="120"/>
      <c r="AE45" s="120"/>
      <c r="AF45" s="120"/>
      <c r="AG45" s="120"/>
      <c r="AH45" s="122"/>
      <c r="AI45" s="134" t="s">
        <v>97</v>
      </c>
      <c r="AJ45" s="124"/>
      <c r="AK45" s="124"/>
      <c r="AL45" s="124"/>
      <c r="AM45" s="124"/>
      <c r="AN45" s="124"/>
      <c r="AO45" s="124"/>
      <c r="AP45" s="124"/>
      <c r="AQ45" s="124"/>
      <c r="AR45" s="124"/>
      <c r="AS45" s="124"/>
      <c r="AT45" s="126"/>
      <c r="AU45" s="127"/>
      <c r="AV45" s="128" t="s">
        <v>97</v>
      </c>
      <c r="AW45" s="129"/>
      <c r="AX45" s="129"/>
      <c r="AY45" s="129"/>
      <c r="AZ45" s="129"/>
      <c r="BA45" s="129"/>
      <c r="BB45" s="129"/>
      <c r="BC45" s="129"/>
      <c r="BD45" s="129"/>
      <c r="BE45" s="129"/>
      <c r="BF45" s="130"/>
      <c r="BG45" s="129"/>
      <c r="BH45" s="129"/>
      <c r="BI45" s="129"/>
      <c r="BJ45" s="129"/>
      <c r="BK45" s="102"/>
      <c r="BL45" s="102"/>
      <c r="BM45" s="102"/>
      <c r="BN45" s="102"/>
      <c r="BO45" s="102"/>
      <c r="BP45" s="102"/>
      <c r="BQ45" s="102"/>
      <c r="BR45" s="102"/>
      <c r="BS45" s="102"/>
      <c r="BT45" s="102"/>
      <c r="BU45" s="102"/>
      <c r="BV45" s="102"/>
      <c r="BW45" s="102"/>
      <c r="BX45" s="102"/>
      <c r="BY45" s="102"/>
      <c r="BZ45" s="102"/>
      <c r="CA45" s="102"/>
      <c r="CB45" s="102"/>
      <c r="CC45" s="102"/>
      <c r="CD45" s="102"/>
      <c r="CE45" s="102"/>
      <c r="CF45" s="102"/>
      <c r="CG45" s="102"/>
      <c r="CH45" s="102"/>
      <c r="CI45" s="102"/>
      <c r="CJ45" s="102"/>
      <c r="CK45" s="102"/>
      <c r="CL45" s="102"/>
      <c r="CM45" s="102"/>
      <c r="CN45" s="102"/>
      <c r="CO45" s="102"/>
      <c r="CP45" s="102"/>
      <c r="CQ45" s="102"/>
      <c r="CR45" s="102"/>
      <c r="CS45" s="102"/>
      <c r="CT45" s="102"/>
      <c r="CU45" s="102"/>
      <c r="CV45" s="102"/>
      <c r="CW45" s="102"/>
      <c r="CX45" s="102"/>
      <c r="CY45" s="102"/>
      <c r="CZ45" s="102"/>
      <c r="DA45" s="102"/>
      <c r="DB45" s="102"/>
      <c r="DC45" s="102"/>
      <c r="DD45" s="102"/>
      <c r="DE45" s="102"/>
      <c r="DF45" s="102"/>
      <c r="DG45" s="102"/>
      <c r="DH45" s="102"/>
      <c r="DI45" s="102"/>
      <c r="DJ45" s="102"/>
      <c r="DK45" s="102"/>
      <c r="DL45" s="102"/>
      <c r="DM45" s="102"/>
      <c r="DN45" s="102"/>
      <c r="DO45" s="102"/>
      <c r="DP45" s="102"/>
      <c r="DQ45" s="102"/>
      <c r="DR45" s="102"/>
      <c r="DS45" s="102"/>
      <c r="DT45" s="102"/>
      <c r="DU45" s="102"/>
      <c r="DV45" s="102"/>
      <c r="DW45" s="102"/>
      <c r="DX45" s="102"/>
      <c r="DY45" s="102"/>
      <c r="DZ45" s="102"/>
      <c r="EA45" s="102"/>
      <c r="EB45" s="102"/>
      <c r="EC45" s="102"/>
      <c r="ED45" s="102"/>
      <c r="EE45" s="102"/>
      <c r="EF45" s="102"/>
      <c r="EG45" s="102"/>
      <c r="EH45" s="102"/>
      <c r="EI45" s="102"/>
      <c r="EJ45" s="102"/>
      <c r="EK45" s="102"/>
      <c r="EL45" s="102"/>
      <c r="EM45" s="102"/>
      <c r="EN45" s="102"/>
      <c r="EO45" s="102"/>
      <c r="EP45" s="102"/>
      <c r="EQ45" s="102"/>
    </row>
    <row r="46" hidden="1">
      <c r="A46" s="103" t="s">
        <v>151</v>
      </c>
      <c r="B46" s="131">
        <f t="shared" si="1"/>
        <v>46054</v>
      </c>
      <c r="C46" s="103">
        <v>365.0</v>
      </c>
      <c r="D46" s="103" t="s">
        <v>128</v>
      </c>
      <c r="E46" s="105"/>
      <c r="F46" s="105"/>
      <c r="G46" s="105"/>
      <c r="H46" s="105"/>
      <c r="I46" s="105"/>
      <c r="J46" s="106"/>
      <c r="K46" s="107"/>
      <c r="L46" s="105"/>
      <c r="M46" s="105"/>
      <c r="N46" s="105"/>
      <c r="O46" s="105"/>
      <c r="P46" s="105"/>
      <c r="Q46" s="105"/>
      <c r="R46" s="105"/>
      <c r="S46" s="105"/>
      <c r="T46" s="105"/>
      <c r="U46" s="105"/>
      <c r="V46" s="105"/>
      <c r="W46" s="105"/>
      <c r="X46" s="105"/>
      <c r="Y46" s="105"/>
      <c r="Z46" s="105"/>
      <c r="AA46" s="105"/>
      <c r="AB46" s="105"/>
      <c r="AC46" s="105"/>
      <c r="AD46" s="105"/>
      <c r="AE46" s="105"/>
      <c r="AF46" s="105"/>
      <c r="AG46" s="105"/>
      <c r="AH46" s="106"/>
      <c r="AI46" s="108" t="s">
        <v>97</v>
      </c>
      <c r="AJ46" s="105"/>
      <c r="AK46" s="105"/>
      <c r="AL46" s="105"/>
      <c r="AM46" s="105"/>
      <c r="AN46" s="105"/>
      <c r="AO46" s="105"/>
      <c r="AP46" s="105"/>
      <c r="AQ46" s="105"/>
      <c r="AR46" s="105"/>
      <c r="AS46" s="105"/>
      <c r="AT46" s="106"/>
      <c r="AU46" s="107"/>
      <c r="AV46" s="103" t="s">
        <v>97</v>
      </c>
      <c r="AW46" s="105"/>
      <c r="AX46" s="105"/>
      <c r="AY46" s="105"/>
      <c r="AZ46" s="105"/>
      <c r="BA46" s="105"/>
      <c r="BB46" s="105"/>
      <c r="BC46" s="105"/>
      <c r="BD46" s="105"/>
      <c r="BE46" s="105"/>
      <c r="BF46" s="106"/>
      <c r="BG46" s="105"/>
      <c r="BH46" s="105"/>
      <c r="BI46" s="105"/>
      <c r="BJ46" s="105"/>
      <c r="BK46" s="102"/>
      <c r="BL46" s="102"/>
      <c r="BM46" s="102"/>
      <c r="BN46" s="102"/>
      <c r="BO46" s="102"/>
      <c r="BP46" s="102"/>
      <c r="BQ46" s="102"/>
      <c r="BR46" s="102"/>
      <c r="BS46" s="102"/>
      <c r="BT46" s="102"/>
      <c r="BU46" s="102"/>
      <c r="BV46" s="102"/>
      <c r="BW46" s="102"/>
      <c r="BX46" s="102"/>
      <c r="BY46" s="102"/>
      <c r="BZ46" s="102"/>
      <c r="CA46" s="102"/>
      <c r="CB46" s="102"/>
      <c r="CC46" s="102"/>
      <c r="CD46" s="102"/>
      <c r="CE46" s="102"/>
      <c r="CF46" s="102"/>
      <c r="CG46" s="102"/>
      <c r="CH46" s="102"/>
      <c r="CI46" s="102"/>
      <c r="CJ46" s="102"/>
      <c r="CK46" s="102"/>
      <c r="CL46" s="102"/>
      <c r="CM46" s="102"/>
      <c r="CN46" s="102"/>
      <c r="CO46" s="102"/>
      <c r="CP46" s="102"/>
      <c r="CQ46" s="102"/>
      <c r="CR46" s="102"/>
      <c r="CS46" s="102"/>
      <c r="CT46" s="102"/>
      <c r="CU46" s="102"/>
      <c r="CV46" s="102"/>
      <c r="CW46" s="102"/>
      <c r="CX46" s="102"/>
      <c r="CY46" s="102"/>
      <c r="CZ46" s="102"/>
      <c r="DA46" s="102"/>
      <c r="DB46" s="102"/>
      <c r="DC46" s="102"/>
      <c r="DD46" s="102"/>
      <c r="DE46" s="102"/>
      <c r="DF46" s="102"/>
      <c r="DG46" s="102"/>
      <c r="DH46" s="102"/>
      <c r="DI46" s="102"/>
      <c r="DJ46" s="102"/>
      <c r="DK46" s="102"/>
      <c r="DL46" s="102"/>
      <c r="DM46" s="102"/>
      <c r="DN46" s="102"/>
      <c r="DO46" s="102"/>
      <c r="DP46" s="102"/>
      <c r="DQ46" s="102"/>
      <c r="DR46" s="102"/>
      <c r="DS46" s="102"/>
      <c r="DT46" s="102"/>
      <c r="DU46" s="102"/>
      <c r="DV46" s="102"/>
      <c r="DW46" s="102"/>
      <c r="DX46" s="102"/>
      <c r="DY46" s="102"/>
      <c r="DZ46" s="102"/>
      <c r="EA46" s="102"/>
      <c r="EB46" s="102"/>
      <c r="EC46" s="102"/>
      <c r="ED46" s="102"/>
      <c r="EE46" s="102"/>
      <c r="EF46" s="102"/>
      <c r="EG46" s="102"/>
      <c r="EH46" s="102"/>
      <c r="EI46" s="102"/>
      <c r="EJ46" s="102"/>
      <c r="EK46" s="102"/>
      <c r="EL46" s="102"/>
      <c r="EM46" s="102"/>
      <c r="EN46" s="102"/>
      <c r="EO46" s="102"/>
      <c r="EP46" s="102"/>
      <c r="EQ46" s="102"/>
    </row>
    <row r="47" hidden="1">
      <c r="A47" s="138" t="s">
        <v>152</v>
      </c>
      <c r="B47" s="111">
        <f t="shared" si="1"/>
        <v>46113</v>
      </c>
      <c r="C47" s="110">
        <v>60.0</v>
      </c>
      <c r="D47" s="110" t="s">
        <v>136</v>
      </c>
      <c r="E47" s="110" t="s">
        <v>98</v>
      </c>
      <c r="F47" s="110" t="s">
        <v>96</v>
      </c>
      <c r="G47" s="110" t="s">
        <v>97</v>
      </c>
      <c r="H47" s="110" t="s">
        <v>97</v>
      </c>
      <c r="I47" s="110" t="s">
        <v>97</v>
      </c>
      <c r="J47" s="137" t="s">
        <v>97</v>
      </c>
      <c r="K47" s="132" t="s">
        <v>98</v>
      </c>
      <c r="L47" s="115" t="s">
        <v>99</v>
      </c>
      <c r="M47" s="115" t="s">
        <v>97</v>
      </c>
      <c r="N47" s="115" t="s">
        <v>97</v>
      </c>
      <c r="O47" s="115" t="s">
        <v>97</v>
      </c>
      <c r="P47" s="115" t="s">
        <v>97</v>
      </c>
      <c r="Q47" s="115" t="s">
        <v>99</v>
      </c>
      <c r="R47" s="115" t="s">
        <v>97</v>
      </c>
      <c r="S47" s="115" t="s">
        <v>99</v>
      </c>
      <c r="T47" s="115" t="s">
        <v>99</v>
      </c>
      <c r="U47" s="115" t="s">
        <v>98</v>
      </c>
      <c r="V47" s="143" t="s">
        <v>98</v>
      </c>
      <c r="W47" s="119" t="s">
        <v>98</v>
      </c>
      <c r="X47" s="121" t="s">
        <v>99</v>
      </c>
      <c r="Y47" s="121" t="s">
        <v>97</v>
      </c>
      <c r="Z47" s="121" t="s">
        <v>99</v>
      </c>
      <c r="AA47" s="121" t="s">
        <v>99</v>
      </c>
      <c r="AB47" s="121" t="s">
        <v>97</v>
      </c>
      <c r="AC47" s="121" t="s">
        <v>96</v>
      </c>
      <c r="AD47" s="121" t="s">
        <v>99</v>
      </c>
      <c r="AE47" s="121" t="s">
        <v>97</v>
      </c>
      <c r="AF47" s="121" t="s">
        <v>99</v>
      </c>
      <c r="AG47" s="121" t="s">
        <v>97</v>
      </c>
      <c r="AH47" s="140" t="s">
        <v>99</v>
      </c>
      <c r="AI47" s="134" t="s">
        <v>97</v>
      </c>
      <c r="AJ47" s="125" t="s">
        <v>99</v>
      </c>
      <c r="AK47" s="125" t="s">
        <v>99</v>
      </c>
      <c r="AL47" s="125" t="s">
        <v>99</v>
      </c>
      <c r="AM47" s="125" t="s">
        <v>99</v>
      </c>
      <c r="AN47" s="125" t="s">
        <v>96</v>
      </c>
      <c r="AO47" s="125" t="s">
        <v>99</v>
      </c>
      <c r="AP47" s="125" t="s">
        <v>99</v>
      </c>
      <c r="AQ47" s="125" t="s">
        <v>96</v>
      </c>
      <c r="AR47" s="125" t="s">
        <v>97</v>
      </c>
      <c r="AS47" s="125" t="s">
        <v>96</v>
      </c>
      <c r="AT47" s="133" t="s">
        <v>97</v>
      </c>
      <c r="AU47" s="135" t="s">
        <v>99</v>
      </c>
      <c r="AV47" s="128" t="s">
        <v>99</v>
      </c>
      <c r="AW47" s="128" t="s">
        <v>99</v>
      </c>
      <c r="AX47" s="128" t="s">
        <v>96</v>
      </c>
      <c r="AY47" s="129"/>
      <c r="AZ47" s="129"/>
      <c r="BA47" s="129"/>
      <c r="BB47" s="129"/>
      <c r="BC47" s="129"/>
      <c r="BD47" s="129"/>
      <c r="BE47" s="129"/>
      <c r="BF47" s="130"/>
      <c r="BG47" s="129"/>
      <c r="BH47" s="129"/>
      <c r="BI47" s="129"/>
      <c r="BJ47" s="129"/>
      <c r="BK47" s="102"/>
      <c r="BL47" s="102"/>
      <c r="BM47" s="102"/>
      <c r="BN47" s="102"/>
      <c r="BO47" s="102"/>
      <c r="BP47" s="102"/>
      <c r="BQ47" s="102"/>
      <c r="BR47" s="102"/>
      <c r="BS47" s="102"/>
      <c r="BT47" s="102"/>
      <c r="BU47" s="102"/>
      <c r="BV47" s="102"/>
      <c r="BW47" s="102"/>
      <c r="BX47" s="102"/>
      <c r="BY47" s="102"/>
      <c r="BZ47" s="102"/>
      <c r="CA47" s="102"/>
      <c r="CB47" s="102"/>
      <c r="CC47" s="102"/>
      <c r="CD47" s="102"/>
      <c r="CE47" s="102"/>
      <c r="CF47" s="102"/>
      <c r="CG47" s="102"/>
      <c r="CH47" s="102"/>
      <c r="CI47" s="102"/>
      <c r="CJ47" s="102"/>
      <c r="CK47" s="102"/>
      <c r="CL47" s="102"/>
      <c r="CM47" s="102"/>
      <c r="CN47" s="102"/>
      <c r="CO47" s="102"/>
      <c r="CP47" s="102"/>
      <c r="CQ47" s="102"/>
      <c r="CR47" s="102"/>
      <c r="CS47" s="102"/>
      <c r="CT47" s="102"/>
      <c r="CU47" s="102"/>
      <c r="CV47" s="102"/>
      <c r="CW47" s="102"/>
      <c r="CX47" s="102"/>
      <c r="CY47" s="102"/>
      <c r="CZ47" s="102"/>
      <c r="DA47" s="102"/>
      <c r="DB47" s="102"/>
      <c r="DC47" s="102"/>
      <c r="DD47" s="102"/>
      <c r="DE47" s="102"/>
      <c r="DF47" s="102"/>
      <c r="DG47" s="102"/>
      <c r="DH47" s="102"/>
      <c r="DI47" s="102"/>
      <c r="DJ47" s="102"/>
      <c r="DK47" s="102"/>
      <c r="DL47" s="102"/>
      <c r="DM47" s="102"/>
      <c r="DN47" s="102"/>
      <c r="DO47" s="102"/>
      <c r="DP47" s="102"/>
      <c r="DQ47" s="102"/>
      <c r="DR47" s="102"/>
      <c r="DS47" s="102"/>
      <c r="DT47" s="102"/>
      <c r="DU47" s="102"/>
      <c r="DV47" s="102"/>
      <c r="DW47" s="102"/>
      <c r="DX47" s="102"/>
      <c r="DY47" s="102"/>
      <c r="DZ47" s="102"/>
      <c r="EA47" s="102"/>
      <c r="EB47" s="102"/>
      <c r="EC47" s="102"/>
      <c r="ED47" s="102"/>
      <c r="EE47" s="102"/>
      <c r="EF47" s="102"/>
      <c r="EG47" s="102"/>
      <c r="EH47" s="102"/>
      <c r="EI47" s="102"/>
      <c r="EJ47" s="102"/>
      <c r="EK47" s="102"/>
      <c r="EL47" s="102"/>
      <c r="EM47" s="102"/>
      <c r="EN47" s="102"/>
      <c r="EO47" s="102"/>
      <c r="EP47" s="102"/>
      <c r="EQ47" s="102"/>
    </row>
    <row r="48" hidden="1">
      <c r="A48" s="139" t="s">
        <v>153</v>
      </c>
      <c r="B48" s="131">
        <f t="shared" si="1"/>
        <v>46113</v>
      </c>
      <c r="C48" s="103">
        <v>60.0</v>
      </c>
      <c r="D48" s="103" t="s">
        <v>136</v>
      </c>
      <c r="E48" s="103" t="s">
        <v>98</v>
      </c>
      <c r="F48" s="105"/>
      <c r="G48" s="103" t="s">
        <v>99</v>
      </c>
      <c r="H48" s="103" t="s">
        <v>96</v>
      </c>
      <c r="I48" s="103" t="s">
        <v>98</v>
      </c>
      <c r="J48" s="136" t="s">
        <v>99</v>
      </c>
      <c r="K48" s="108" t="s">
        <v>96</v>
      </c>
      <c r="L48" s="103" t="s">
        <v>97</v>
      </c>
      <c r="M48" s="103" t="s">
        <v>96</v>
      </c>
      <c r="N48" s="103" t="s">
        <v>96</v>
      </c>
      <c r="O48" s="103" t="s">
        <v>99</v>
      </c>
      <c r="P48" s="103" t="s">
        <v>99</v>
      </c>
      <c r="Q48" s="103" t="s">
        <v>99</v>
      </c>
      <c r="R48" s="103" t="s">
        <v>99</v>
      </c>
      <c r="S48" s="103" t="s">
        <v>99</v>
      </c>
      <c r="T48" s="103" t="s">
        <v>99</v>
      </c>
      <c r="U48" s="103" t="s">
        <v>99</v>
      </c>
      <c r="V48" s="136" t="s">
        <v>99</v>
      </c>
      <c r="W48" s="108" t="s">
        <v>99</v>
      </c>
      <c r="X48" s="103" t="s">
        <v>99</v>
      </c>
      <c r="Y48" s="103" t="s">
        <v>99</v>
      </c>
      <c r="Z48" s="103" t="s">
        <v>99</v>
      </c>
      <c r="AA48" s="103" t="s">
        <v>99</v>
      </c>
      <c r="AB48" s="103" t="s">
        <v>99</v>
      </c>
      <c r="AC48" s="103" t="s">
        <v>99</v>
      </c>
      <c r="AD48" s="103" t="s">
        <v>99</v>
      </c>
      <c r="AE48" s="103" t="s">
        <v>97</v>
      </c>
      <c r="AF48" s="103" t="s">
        <v>99</v>
      </c>
      <c r="AG48" s="103" t="s">
        <v>99</v>
      </c>
      <c r="AH48" s="136" t="s">
        <v>99</v>
      </c>
      <c r="AI48" s="108" t="s">
        <v>99</v>
      </c>
      <c r="AJ48" s="103" t="s">
        <v>99</v>
      </c>
      <c r="AK48" s="103" t="s">
        <v>99</v>
      </c>
      <c r="AL48" s="103" t="s">
        <v>99</v>
      </c>
      <c r="AM48" s="103" t="s">
        <v>99</v>
      </c>
      <c r="AN48" s="103" t="s">
        <v>99</v>
      </c>
      <c r="AO48" s="103" t="s">
        <v>99</v>
      </c>
      <c r="AP48" s="103" t="s">
        <v>99</v>
      </c>
      <c r="AQ48" s="103" t="s">
        <v>99</v>
      </c>
      <c r="AR48" s="103" t="s">
        <v>99</v>
      </c>
      <c r="AS48" s="103" t="s">
        <v>99</v>
      </c>
      <c r="AT48" s="136" t="s">
        <v>99</v>
      </c>
      <c r="AU48" s="108" t="s">
        <v>99</v>
      </c>
      <c r="AV48" s="103" t="s">
        <v>97</v>
      </c>
      <c r="AW48" s="103" t="s">
        <v>99</v>
      </c>
      <c r="AX48" s="103" t="s">
        <v>96</v>
      </c>
      <c r="AY48" s="105"/>
      <c r="AZ48" s="105"/>
      <c r="BA48" s="105"/>
      <c r="BB48" s="105"/>
      <c r="BC48" s="105"/>
      <c r="BD48" s="105"/>
      <c r="BE48" s="105"/>
      <c r="BF48" s="106"/>
      <c r="BG48" s="105"/>
      <c r="BH48" s="105"/>
      <c r="BI48" s="105"/>
      <c r="BJ48" s="105"/>
      <c r="BK48" s="102"/>
      <c r="BL48" s="102"/>
      <c r="BM48" s="102"/>
      <c r="BN48" s="102"/>
      <c r="BO48" s="102"/>
      <c r="BP48" s="102"/>
      <c r="BQ48" s="102"/>
      <c r="BR48" s="102"/>
      <c r="BS48" s="102"/>
      <c r="BT48" s="102"/>
      <c r="BU48" s="102"/>
      <c r="BV48" s="102"/>
      <c r="BW48" s="102"/>
      <c r="BX48" s="102"/>
      <c r="BY48" s="102"/>
      <c r="BZ48" s="102"/>
      <c r="CA48" s="102"/>
      <c r="CB48" s="102"/>
      <c r="CC48" s="102"/>
      <c r="CD48" s="102"/>
      <c r="CE48" s="102"/>
      <c r="CF48" s="102"/>
      <c r="CG48" s="102"/>
      <c r="CH48" s="102"/>
      <c r="CI48" s="102"/>
      <c r="CJ48" s="102"/>
      <c r="CK48" s="102"/>
      <c r="CL48" s="102"/>
      <c r="CM48" s="102"/>
      <c r="CN48" s="102"/>
      <c r="CO48" s="102"/>
      <c r="CP48" s="102"/>
      <c r="CQ48" s="102"/>
      <c r="CR48" s="102"/>
      <c r="CS48" s="102"/>
      <c r="CT48" s="102"/>
      <c r="CU48" s="102"/>
      <c r="CV48" s="102"/>
      <c r="CW48" s="102"/>
      <c r="CX48" s="102"/>
      <c r="CY48" s="102"/>
      <c r="CZ48" s="102"/>
      <c r="DA48" s="102"/>
      <c r="DB48" s="102"/>
      <c r="DC48" s="102"/>
      <c r="DD48" s="102"/>
      <c r="DE48" s="102"/>
      <c r="DF48" s="102"/>
      <c r="DG48" s="102"/>
      <c r="DH48" s="102"/>
      <c r="DI48" s="102"/>
      <c r="DJ48" s="102"/>
      <c r="DK48" s="102"/>
      <c r="DL48" s="102"/>
      <c r="DM48" s="102"/>
      <c r="DN48" s="102"/>
      <c r="DO48" s="102"/>
      <c r="DP48" s="102"/>
      <c r="DQ48" s="102"/>
      <c r="DR48" s="102"/>
      <c r="DS48" s="102"/>
      <c r="DT48" s="102"/>
      <c r="DU48" s="102"/>
      <c r="DV48" s="102"/>
      <c r="DW48" s="102"/>
      <c r="DX48" s="102"/>
      <c r="DY48" s="102"/>
      <c r="DZ48" s="102"/>
      <c r="EA48" s="102"/>
      <c r="EB48" s="102"/>
      <c r="EC48" s="102"/>
      <c r="ED48" s="102"/>
      <c r="EE48" s="102"/>
      <c r="EF48" s="102"/>
      <c r="EG48" s="102"/>
      <c r="EH48" s="102"/>
      <c r="EI48" s="102"/>
      <c r="EJ48" s="102"/>
      <c r="EK48" s="102"/>
      <c r="EL48" s="102"/>
      <c r="EM48" s="102"/>
      <c r="EN48" s="102"/>
      <c r="EO48" s="102"/>
      <c r="EP48" s="102"/>
      <c r="EQ48" s="102"/>
    </row>
    <row r="49" hidden="1">
      <c r="A49" s="138" t="s">
        <v>154</v>
      </c>
      <c r="B49" s="111">
        <f t="shared" si="1"/>
        <v>46113</v>
      </c>
      <c r="C49" s="110">
        <v>365.0</v>
      </c>
      <c r="D49" s="110" t="s">
        <v>128</v>
      </c>
      <c r="E49" s="112"/>
      <c r="F49" s="112"/>
      <c r="G49" s="112"/>
      <c r="H49" s="112"/>
      <c r="I49" s="112"/>
      <c r="J49" s="113"/>
      <c r="K49" s="114"/>
      <c r="L49" s="116"/>
      <c r="M49" s="116"/>
      <c r="N49" s="116"/>
      <c r="O49" s="116"/>
      <c r="P49" s="116"/>
      <c r="Q49" s="115" t="s">
        <v>96</v>
      </c>
      <c r="R49" s="116"/>
      <c r="S49" s="116"/>
      <c r="T49" s="115" t="s">
        <v>97</v>
      </c>
      <c r="U49" s="115" t="s">
        <v>97</v>
      </c>
      <c r="V49" s="143" t="s">
        <v>97</v>
      </c>
      <c r="W49" s="119" t="s">
        <v>97</v>
      </c>
      <c r="X49" s="120"/>
      <c r="Y49" s="120"/>
      <c r="Z49" s="120"/>
      <c r="AA49" s="120"/>
      <c r="AB49" s="121" t="s">
        <v>96</v>
      </c>
      <c r="AC49" s="121" t="s">
        <v>97</v>
      </c>
      <c r="AD49" s="120"/>
      <c r="AE49" s="121" t="s">
        <v>98</v>
      </c>
      <c r="AF49" s="120"/>
      <c r="AG49" s="121" t="s">
        <v>97</v>
      </c>
      <c r="AH49" s="122"/>
      <c r="AI49" s="123"/>
      <c r="AJ49" s="124"/>
      <c r="AK49" s="124"/>
      <c r="AL49" s="124"/>
      <c r="AM49" s="124"/>
      <c r="AN49" s="125" t="s">
        <v>98</v>
      </c>
      <c r="AO49" s="124"/>
      <c r="AP49" s="124"/>
      <c r="AQ49" s="125" t="s">
        <v>98</v>
      </c>
      <c r="AR49" s="124"/>
      <c r="AS49" s="125" t="s">
        <v>98</v>
      </c>
      <c r="AT49" s="126"/>
      <c r="AU49" s="127"/>
      <c r="AV49" s="128" t="s">
        <v>98</v>
      </c>
      <c r="AW49" s="128" t="s">
        <v>97</v>
      </c>
      <c r="AX49" s="128" t="s">
        <v>98</v>
      </c>
      <c r="AY49" s="129"/>
      <c r="AZ49" s="129"/>
      <c r="BA49" s="129"/>
      <c r="BB49" s="129"/>
      <c r="BC49" s="129"/>
      <c r="BD49" s="129"/>
      <c r="BE49" s="129"/>
      <c r="BF49" s="130"/>
      <c r="BG49" s="129"/>
      <c r="BH49" s="129"/>
      <c r="BI49" s="129"/>
      <c r="BJ49" s="129"/>
      <c r="BK49" s="102"/>
      <c r="BL49" s="102"/>
      <c r="BM49" s="102"/>
      <c r="BN49" s="102"/>
      <c r="BO49" s="102"/>
      <c r="BP49" s="102"/>
      <c r="BQ49" s="102"/>
      <c r="BR49" s="102"/>
      <c r="BS49" s="102"/>
      <c r="BT49" s="102"/>
      <c r="BU49" s="102"/>
      <c r="BV49" s="102"/>
      <c r="BW49" s="102"/>
      <c r="BX49" s="102"/>
      <c r="BY49" s="102"/>
      <c r="BZ49" s="102"/>
      <c r="CA49" s="102"/>
      <c r="CB49" s="102"/>
      <c r="CC49" s="102"/>
      <c r="CD49" s="102"/>
      <c r="CE49" s="102"/>
      <c r="CF49" s="102"/>
      <c r="CG49" s="102"/>
      <c r="CH49" s="102"/>
      <c r="CI49" s="102"/>
      <c r="CJ49" s="102"/>
      <c r="CK49" s="102"/>
      <c r="CL49" s="102"/>
      <c r="CM49" s="102"/>
      <c r="CN49" s="102"/>
      <c r="CO49" s="102"/>
      <c r="CP49" s="102"/>
      <c r="CQ49" s="102"/>
      <c r="CR49" s="102"/>
      <c r="CS49" s="102"/>
      <c r="CT49" s="102"/>
      <c r="CU49" s="102"/>
      <c r="CV49" s="102"/>
      <c r="CW49" s="102"/>
      <c r="CX49" s="102"/>
      <c r="CY49" s="102"/>
      <c r="CZ49" s="102"/>
      <c r="DA49" s="102"/>
      <c r="DB49" s="102"/>
      <c r="DC49" s="102"/>
      <c r="DD49" s="102"/>
      <c r="DE49" s="102"/>
      <c r="DF49" s="102"/>
      <c r="DG49" s="102"/>
      <c r="DH49" s="102"/>
      <c r="DI49" s="102"/>
      <c r="DJ49" s="102"/>
      <c r="DK49" s="102"/>
      <c r="DL49" s="102"/>
      <c r="DM49" s="102"/>
      <c r="DN49" s="102"/>
      <c r="DO49" s="102"/>
      <c r="DP49" s="102"/>
      <c r="DQ49" s="102"/>
      <c r="DR49" s="102"/>
      <c r="DS49" s="102"/>
      <c r="DT49" s="102"/>
      <c r="DU49" s="102"/>
      <c r="DV49" s="102"/>
      <c r="DW49" s="102"/>
      <c r="DX49" s="102"/>
      <c r="DY49" s="102"/>
      <c r="DZ49" s="102"/>
      <c r="EA49" s="102"/>
      <c r="EB49" s="102"/>
      <c r="EC49" s="102"/>
      <c r="ED49" s="102"/>
      <c r="EE49" s="102"/>
      <c r="EF49" s="102"/>
      <c r="EG49" s="102"/>
      <c r="EH49" s="102"/>
      <c r="EI49" s="102"/>
      <c r="EJ49" s="102"/>
      <c r="EK49" s="102"/>
      <c r="EL49" s="102"/>
      <c r="EM49" s="102"/>
      <c r="EN49" s="102"/>
      <c r="EO49" s="102"/>
      <c r="EP49" s="102"/>
      <c r="EQ49" s="102"/>
    </row>
    <row r="50" hidden="1">
      <c r="A50" s="103" t="s">
        <v>155</v>
      </c>
      <c r="B50" s="131">
        <f t="shared" si="1"/>
        <v>45931</v>
      </c>
      <c r="C50" s="103">
        <v>210.0</v>
      </c>
      <c r="D50" s="103" t="s">
        <v>95</v>
      </c>
      <c r="E50" s="103" t="s">
        <v>96</v>
      </c>
      <c r="F50" s="105"/>
      <c r="G50" s="105"/>
      <c r="H50" s="105"/>
      <c r="I50" s="105"/>
      <c r="J50" s="106"/>
      <c r="K50" s="108" t="s">
        <v>96</v>
      </c>
      <c r="L50" s="105"/>
      <c r="M50" s="105"/>
      <c r="N50" s="105"/>
      <c r="O50" s="105"/>
      <c r="P50" s="105"/>
      <c r="Q50" s="103" t="s">
        <v>99</v>
      </c>
      <c r="R50" s="105"/>
      <c r="S50" s="103" t="s">
        <v>99</v>
      </c>
      <c r="T50" s="105"/>
      <c r="U50" s="105"/>
      <c r="V50" s="106"/>
      <c r="W50" s="108" t="s">
        <v>99</v>
      </c>
      <c r="X50" s="103" t="s">
        <v>98</v>
      </c>
      <c r="Y50" s="105"/>
      <c r="Z50" s="105"/>
      <c r="AA50" s="105"/>
      <c r="AB50" s="105"/>
      <c r="AC50" s="103" t="s">
        <v>97</v>
      </c>
      <c r="AD50" s="105"/>
      <c r="AE50" s="103" t="s">
        <v>97</v>
      </c>
      <c r="AF50" s="105"/>
      <c r="AG50" s="105"/>
      <c r="AH50" s="105"/>
      <c r="AI50" s="105"/>
      <c r="AJ50" s="105"/>
      <c r="AK50" s="103" t="s">
        <v>99</v>
      </c>
      <c r="AL50" s="105"/>
      <c r="AM50" s="105"/>
      <c r="AN50" s="103" t="s">
        <v>96</v>
      </c>
      <c r="AO50" s="105"/>
      <c r="AP50" s="105"/>
      <c r="AQ50" s="103" t="s">
        <v>97</v>
      </c>
      <c r="AR50" s="103" t="s">
        <v>97</v>
      </c>
      <c r="AS50" s="105"/>
      <c r="AT50" s="106"/>
      <c r="AU50" s="107"/>
      <c r="AV50" s="105"/>
      <c r="AW50" s="105"/>
      <c r="AX50" s="103" t="s">
        <v>99</v>
      </c>
      <c r="AY50" s="105"/>
      <c r="AZ50" s="105"/>
      <c r="BA50" s="105"/>
      <c r="BB50" s="105"/>
      <c r="BC50" s="105"/>
      <c r="BD50" s="105"/>
      <c r="BE50" s="105"/>
      <c r="BF50" s="106"/>
      <c r="BG50" s="105"/>
      <c r="BH50" s="105"/>
      <c r="BI50" s="105"/>
      <c r="BJ50" s="105"/>
      <c r="BK50" s="102"/>
      <c r="BL50" s="102"/>
      <c r="BM50" s="102"/>
      <c r="BN50" s="102"/>
      <c r="BO50" s="102"/>
      <c r="BP50" s="102"/>
      <c r="BQ50" s="102"/>
      <c r="BR50" s="102"/>
      <c r="BS50" s="102"/>
      <c r="BT50" s="102"/>
      <c r="BU50" s="102"/>
      <c r="BV50" s="102"/>
      <c r="BW50" s="102"/>
      <c r="BX50" s="102"/>
      <c r="BY50" s="102"/>
      <c r="BZ50" s="102"/>
      <c r="CA50" s="102"/>
      <c r="CB50" s="102"/>
      <c r="CC50" s="102"/>
      <c r="CD50" s="102"/>
      <c r="CE50" s="102"/>
      <c r="CF50" s="102"/>
      <c r="CG50" s="102"/>
      <c r="CH50" s="102"/>
      <c r="CI50" s="102"/>
      <c r="CJ50" s="102"/>
      <c r="CK50" s="102"/>
      <c r="CL50" s="102"/>
      <c r="CM50" s="102"/>
      <c r="CN50" s="102"/>
      <c r="CO50" s="102"/>
      <c r="CP50" s="102"/>
      <c r="CQ50" s="102"/>
      <c r="CR50" s="102"/>
      <c r="CS50" s="102"/>
      <c r="CT50" s="102"/>
      <c r="CU50" s="102"/>
      <c r="CV50" s="102"/>
      <c r="CW50" s="102"/>
      <c r="CX50" s="102"/>
      <c r="CY50" s="102"/>
      <c r="CZ50" s="102"/>
      <c r="DA50" s="102"/>
      <c r="DB50" s="102"/>
      <c r="DC50" s="102"/>
      <c r="DD50" s="102"/>
      <c r="DE50" s="102"/>
      <c r="DF50" s="102"/>
      <c r="DG50" s="102"/>
      <c r="DH50" s="102"/>
      <c r="DI50" s="102"/>
      <c r="DJ50" s="102"/>
      <c r="DK50" s="102"/>
      <c r="DL50" s="102"/>
      <c r="DM50" s="102"/>
      <c r="DN50" s="102"/>
      <c r="DO50" s="102"/>
      <c r="DP50" s="102"/>
      <c r="DQ50" s="102"/>
      <c r="DR50" s="102"/>
      <c r="DS50" s="102"/>
      <c r="DT50" s="102"/>
      <c r="DU50" s="102"/>
      <c r="DV50" s="102"/>
      <c r="DW50" s="102"/>
      <c r="DX50" s="102"/>
      <c r="DY50" s="102"/>
      <c r="DZ50" s="102"/>
      <c r="EA50" s="102"/>
      <c r="EB50" s="102"/>
      <c r="EC50" s="102"/>
      <c r="ED50" s="102"/>
      <c r="EE50" s="102"/>
      <c r="EF50" s="102"/>
      <c r="EG50" s="102"/>
      <c r="EH50" s="102"/>
      <c r="EI50" s="102"/>
      <c r="EJ50" s="102"/>
      <c r="EK50" s="102"/>
      <c r="EL50" s="102"/>
      <c r="EM50" s="102"/>
      <c r="EN50" s="102"/>
      <c r="EO50" s="102"/>
      <c r="EP50" s="102"/>
      <c r="EQ50" s="102"/>
    </row>
    <row r="51" hidden="1">
      <c r="A51" s="138" t="s">
        <v>156</v>
      </c>
      <c r="B51" s="111">
        <f t="shared" si="1"/>
        <v>46113</v>
      </c>
      <c r="C51" s="110">
        <v>210.0</v>
      </c>
      <c r="D51" s="110" t="s">
        <v>95</v>
      </c>
      <c r="E51" s="110" t="s">
        <v>98</v>
      </c>
      <c r="F51" s="112"/>
      <c r="G51" s="112"/>
      <c r="H51" s="112"/>
      <c r="I51" s="112"/>
      <c r="J51" s="113"/>
      <c r="K51" s="132" t="s">
        <v>96</v>
      </c>
      <c r="L51" s="116"/>
      <c r="M51" s="116"/>
      <c r="N51" s="116"/>
      <c r="O51" s="116"/>
      <c r="P51" s="116"/>
      <c r="Q51" s="115" t="s">
        <v>96</v>
      </c>
      <c r="R51" s="116"/>
      <c r="S51" s="115" t="s">
        <v>99</v>
      </c>
      <c r="T51" s="115" t="s">
        <v>98</v>
      </c>
      <c r="U51" s="116"/>
      <c r="V51" s="117"/>
      <c r="W51" s="119" t="s">
        <v>97</v>
      </c>
      <c r="X51" s="121" t="s">
        <v>98</v>
      </c>
      <c r="Y51" s="120"/>
      <c r="Z51" s="120"/>
      <c r="AA51" s="120"/>
      <c r="AB51" s="120"/>
      <c r="AC51" s="121" t="s">
        <v>98</v>
      </c>
      <c r="AD51" s="120"/>
      <c r="AE51" s="120"/>
      <c r="AF51" s="120"/>
      <c r="AG51" s="120"/>
      <c r="AH51" s="120"/>
      <c r="AI51" s="125" t="s">
        <v>99</v>
      </c>
      <c r="AJ51" s="125" t="s">
        <v>97</v>
      </c>
      <c r="AK51" s="124"/>
      <c r="AL51" s="124"/>
      <c r="AM51" s="124"/>
      <c r="AN51" s="124"/>
      <c r="AO51" s="124"/>
      <c r="AP51" s="125" t="s">
        <v>99</v>
      </c>
      <c r="AQ51" s="125" t="s">
        <v>97</v>
      </c>
      <c r="AR51" s="125" t="s">
        <v>97</v>
      </c>
      <c r="AS51" s="124"/>
      <c r="AT51" s="126"/>
      <c r="AU51" s="127"/>
      <c r="AV51" s="128" t="s">
        <v>97</v>
      </c>
      <c r="AW51" s="129"/>
      <c r="AX51" s="128" t="s">
        <v>96</v>
      </c>
      <c r="AY51" s="129"/>
      <c r="AZ51" s="129"/>
      <c r="BA51" s="129"/>
      <c r="BB51" s="129"/>
      <c r="BC51" s="129"/>
      <c r="BD51" s="129"/>
      <c r="BE51" s="129"/>
      <c r="BF51" s="130"/>
      <c r="BG51" s="129"/>
      <c r="BH51" s="129"/>
      <c r="BI51" s="129"/>
      <c r="BJ51" s="129"/>
      <c r="BK51" s="102"/>
      <c r="BL51" s="102"/>
      <c r="BM51" s="102"/>
      <c r="BN51" s="102"/>
      <c r="BO51" s="102"/>
      <c r="BP51" s="102"/>
      <c r="BQ51" s="102"/>
      <c r="BR51" s="102"/>
      <c r="BS51" s="102"/>
      <c r="BT51" s="102"/>
      <c r="BU51" s="102"/>
      <c r="BV51" s="102"/>
      <c r="BW51" s="102"/>
      <c r="BX51" s="102"/>
      <c r="BY51" s="102"/>
      <c r="BZ51" s="102"/>
      <c r="CA51" s="102"/>
      <c r="CB51" s="102"/>
      <c r="CC51" s="102"/>
      <c r="CD51" s="102"/>
      <c r="CE51" s="102"/>
      <c r="CF51" s="102"/>
      <c r="CG51" s="102"/>
      <c r="CH51" s="102"/>
      <c r="CI51" s="102"/>
      <c r="CJ51" s="102"/>
      <c r="CK51" s="102"/>
      <c r="CL51" s="102"/>
      <c r="CM51" s="102"/>
      <c r="CN51" s="102"/>
      <c r="CO51" s="102"/>
      <c r="CP51" s="102"/>
      <c r="CQ51" s="102"/>
      <c r="CR51" s="102"/>
      <c r="CS51" s="102"/>
      <c r="CT51" s="102"/>
      <c r="CU51" s="102"/>
      <c r="CV51" s="102"/>
      <c r="CW51" s="102"/>
      <c r="CX51" s="102"/>
      <c r="CY51" s="102"/>
      <c r="CZ51" s="102"/>
      <c r="DA51" s="102"/>
      <c r="DB51" s="102"/>
      <c r="DC51" s="102"/>
      <c r="DD51" s="102"/>
      <c r="DE51" s="102"/>
      <c r="DF51" s="102"/>
      <c r="DG51" s="102"/>
      <c r="DH51" s="102"/>
      <c r="DI51" s="102"/>
      <c r="DJ51" s="102"/>
      <c r="DK51" s="102"/>
      <c r="DL51" s="102"/>
      <c r="DM51" s="102"/>
      <c r="DN51" s="102"/>
      <c r="DO51" s="102"/>
      <c r="DP51" s="102"/>
      <c r="DQ51" s="102"/>
      <c r="DR51" s="102"/>
      <c r="DS51" s="102"/>
      <c r="DT51" s="102"/>
      <c r="DU51" s="102"/>
      <c r="DV51" s="102"/>
      <c r="DW51" s="102"/>
      <c r="DX51" s="102"/>
      <c r="DY51" s="102"/>
      <c r="DZ51" s="102"/>
      <c r="EA51" s="102"/>
      <c r="EB51" s="102"/>
      <c r="EC51" s="102"/>
      <c r="ED51" s="102"/>
      <c r="EE51" s="102"/>
      <c r="EF51" s="102"/>
      <c r="EG51" s="102"/>
      <c r="EH51" s="102"/>
      <c r="EI51" s="102"/>
      <c r="EJ51" s="102"/>
      <c r="EK51" s="102"/>
      <c r="EL51" s="102"/>
      <c r="EM51" s="102"/>
      <c r="EN51" s="102"/>
      <c r="EO51" s="102"/>
      <c r="EP51" s="102"/>
      <c r="EQ51" s="102"/>
    </row>
    <row r="52" hidden="1">
      <c r="A52" s="139" t="s">
        <v>157</v>
      </c>
      <c r="B52" s="131">
        <f t="shared" si="1"/>
        <v>46113</v>
      </c>
      <c r="C52" s="103">
        <v>210.0</v>
      </c>
      <c r="D52" s="103" t="s">
        <v>95</v>
      </c>
      <c r="E52" s="105"/>
      <c r="F52" s="105"/>
      <c r="G52" s="105"/>
      <c r="H52" s="103" t="s">
        <v>97</v>
      </c>
      <c r="I52" s="105"/>
      <c r="J52" s="106"/>
      <c r="K52" s="107"/>
      <c r="L52" s="105"/>
      <c r="M52" s="103" t="s">
        <v>98</v>
      </c>
      <c r="N52" s="105"/>
      <c r="O52" s="105"/>
      <c r="P52" s="105"/>
      <c r="Q52" s="105"/>
      <c r="R52" s="105"/>
      <c r="S52" s="103" t="s">
        <v>99</v>
      </c>
      <c r="T52" s="105"/>
      <c r="U52" s="105"/>
      <c r="V52" s="106"/>
      <c r="W52" s="107"/>
      <c r="X52" s="105"/>
      <c r="Y52" s="103" t="s">
        <v>99</v>
      </c>
      <c r="Z52" s="105"/>
      <c r="AA52" s="105"/>
      <c r="AB52" s="105"/>
      <c r="AC52" s="105"/>
      <c r="AD52" s="105"/>
      <c r="AE52" s="103" t="s">
        <v>99</v>
      </c>
      <c r="AF52" s="103" t="s">
        <v>97</v>
      </c>
      <c r="AG52" s="103" t="s">
        <v>99</v>
      </c>
      <c r="AH52" s="136" t="s">
        <v>99</v>
      </c>
      <c r="AI52" s="108" t="s">
        <v>99</v>
      </c>
      <c r="AJ52" s="103" t="s">
        <v>99</v>
      </c>
      <c r="AK52" s="103" t="s">
        <v>99</v>
      </c>
      <c r="AL52" s="103" t="s">
        <v>99</v>
      </c>
      <c r="AM52" s="103" t="s">
        <v>99</v>
      </c>
      <c r="AN52" s="103" t="s">
        <v>99</v>
      </c>
      <c r="AO52" s="103" t="s">
        <v>99</v>
      </c>
      <c r="AP52" s="103" t="s">
        <v>99</v>
      </c>
      <c r="AQ52" s="103" t="s">
        <v>97</v>
      </c>
      <c r="AR52" s="103" t="s">
        <v>97</v>
      </c>
      <c r="AS52" s="105"/>
      <c r="AT52" s="106"/>
      <c r="AU52" s="107"/>
      <c r="AV52" s="105"/>
      <c r="AW52" s="105"/>
      <c r="AX52" s="103" t="s">
        <v>97</v>
      </c>
      <c r="AY52" s="105"/>
      <c r="AZ52" s="105"/>
      <c r="BA52" s="105"/>
      <c r="BB52" s="105"/>
      <c r="BC52" s="105"/>
      <c r="BD52" s="105"/>
      <c r="BE52" s="105"/>
      <c r="BF52" s="106"/>
      <c r="BG52" s="105"/>
      <c r="BH52" s="105"/>
      <c r="BI52" s="105"/>
      <c r="BJ52" s="105"/>
      <c r="BK52" s="102"/>
      <c r="BL52" s="102"/>
      <c r="BM52" s="102"/>
      <c r="BN52" s="102"/>
      <c r="BO52" s="102"/>
      <c r="BP52" s="102"/>
      <c r="BQ52" s="102"/>
      <c r="BR52" s="102"/>
      <c r="BS52" s="102"/>
      <c r="BT52" s="102"/>
      <c r="BU52" s="102"/>
      <c r="BV52" s="102"/>
      <c r="BW52" s="102"/>
      <c r="BX52" s="102"/>
      <c r="BY52" s="102"/>
      <c r="BZ52" s="102"/>
      <c r="CA52" s="102"/>
      <c r="CB52" s="102"/>
      <c r="CC52" s="102"/>
      <c r="CD52" s="102"/>
      <c r="CE52" s="102"/>
      <c r="CF52" s="102"/>
      <c r="CG52" s="102"/>
      <c r="CH52" s="102"/>
      <c r="CI52" s="102"/>
      <c r="CJ52" s="102"/>
      <c r="CK52" s="102"/>
      <c r="CL52" s="102"/>
      <c r="CM52" s="102"/>
      <c r="CN52" s="102"/>
      <c r="CO52" s="102"/>
      <c r="CP52" s="102"/>
      <c r="CQ52" s="102"/>
      <c r="CR52" s="102"/>
      <c r="CS52" s="102"/>
      <c r="CT52" s="102"/>
      <c r="CU52" s="102"/>
      <c r="CV52" s="102"/>
      <c r="CW52" s="102"/>
      <c r="CX52" s="102"/>
      <c r="CY52" s="102"/>
      <c r="CZ52" s="102"/>
      <c r="DA52" s="102"/>
      <c r="DB52" s="102"/>
      <c r="DC52" s="102"/>
      <c r="DD52" s="102"/>
      <c r="DE52" s="102"/>
      <c r="DF52" s="102"/>
      <c r="DG52" s="102"/>
      <c r="DH52" s="102"/>
      <c r="DI52" s="102"/>
      <c r="DJ52" s="102"/>
      <c r="DK52" s="102"/>
      <c r="DL52" s="102"/>
      <c r="DM52" s="102"/>
      <c r="DN52" s="102"/>
      <c r="DO52" s="102"/>
      <c r="DP52" s="102"/>
      <c r="DQ52" s="102"/>
      <c r="DR52" s="102"/>
      <c r="DS52" s="102"/>
      <c r="DT52" s="102"/>
      <c r="DU52" s="102"/>
      <c r="DV52" s="102"/>
      <c r="DW52" s="102"/>
      <c r="DX52" s="102"/>
      <c r="DY52" s="102"/>
      <c r="DZ52" s="102"/>
      <c r="EA52" s="102"/>
      <c r="EB52" s="102"/>
      <c r="EC52" s="102"/>
      <c r="ED52" s="102"/>
      <c r="EE52" s="102"/>
      <c r="EF52" s="102"/>
      <c r="EG52" s="102"/>
      <c r="EH52" s="102"/>
      <c r="EI52" s="102"/>
      <c r="EJ52" s="102"/>
      <c r="EK52" s="102"/>
      <c r="EL52" s="102"/>
      <c r="EM52" s="102"/>
      <c r="EN52" s="102"/>
      <c r="EO52" s="102"/>
      <c r="EP52" s="102"/>
      <c r="EQ52" s="102"/>
    </row>
    <row r="53" hidden="1">
      <c r="A53" s="138" t="s">
        <v>158</v>
      </c>
      <c r="B53" s="111">
        <f t="shared" si="1"/>
        <v>46113</v>
      </c>
      <c r="C53" s="110">
        <v>210.0</v>
      </c>
      <c r="D53" s="110" t="s">
        <v>95</v>
      </c>
      <c r="E53" s="112"/>
      <c r="F53" s="112"/>
      <c r="G53" s="112"/>
      <c r="H53" s="110" t="s">
        <v>97</v>
      </c>
      <c r="I53" s="112"/>
      <c r="J53" s="113"/>
      <c r="K53" s="132" t="s">
        <v>97</v>
      </c>
      <c r="L53" s="116"/>
      <c r="M53" s="115" t="s">
        <v>98</v>
      </c>
      <c r="N53" s="116"/>
      <c r="O53" s="116"/>
      <c r="P53" s="116"/>
      <c r="Q53" s="116"/>
      <c r="R53" s="116"/>
      <c r="S53" s="115" t="s">
        <v>99</v>
      </c>
      <c r="T53" s="116"/>
      <c r="U53" s="116"/>
      <c r="V53" s="117"/>
      <c r="W53" s="118"/>
      <c r="X53" s="120"/>
      <c r="Y53" s="121" t="s">
        <v>99</v>
      </c>
      <c r="Z53" s="120"/>
      <c r="AA53" s="120"/>
      <c r="AB53" s="121" t="s">
        <v>96</v>
      </c>
      <c r="AC53" s="121" t="s">
        <v>97</v>
      </c>
      <c r="AD53" s="120"/>
      <c r="AE53" s="120"/>
      <c r="AF53" s="121" t="s">
        <v>97</v>
      </c>
      <c r="AG53" s="121" t="s">
        <v>99</v>
      </c>
      <c r="AH53" s="140" t="s">
        <v>99</v>
      </c>
      <c r="AI53" s="134" t="s">
        <v>99</v>
      </c>
      <c r="AJ53" s="125" t="s">
        <v>99</v>
      </c>
      <c r="AK53" s="125" t="s">
        <v>99</v>
      </c>
      <c r="AL53" s="125" t="s">
        <v>99</v>
      </c>
      <c r="AM53" s="125" t="s">
        <v>99</v>
      </c>
      <c r="AN53" s="125" t="s">
        <v>99</v>
      </c>
      <c r="AO53" s="125" t="s">
        <v>99</v>
      </c>
      <c r="AP53" s="125" t="s">
        <v>99</v>
      </c>
      <c r="AQ53" s="125" t="s">
        <v>99</v>
      </c>
      <c r="AR53" s="125" t="s">
        <v>99</v>
      </c>
      <c r="AS53" s="125" t="s">
        <v>99</v>
      </c>
      <c r="AT53" s="133" t="s">
        <v>99</v>
      </c>
      <c r="AU53" s="135" t="s">
        <v>99</v>
      </c>
      <c r="AV53" s="128" t="s">
        <v>97</v>
      </c>
      <c r="AW53" s="128" t="s">
        <v>97</v>
      </c>
      <c r="AX53" s="128" t="s">
        <v>97</v>
      </c>
      <c r="AY53" s="129"/>
      <c r="AZ53" s="129"/>
      <c r="BA53" s="129"/>
      <c r="BB53" s="129"/>
      <c r="BC53" s="129"/>
      <c r="BD53" s="129"/>
      <c r="BE53" s="129"/>
      <c r="BF53" s="130"/>
      <c r="BG53" s="129"/>
      <c r="BH53" s="129"/>
      <c r="BI53" s="129"/>
      <c r="BJ53" s="129"/>
      <c r="BK53" s="102"/>
      <c r="BL53" s="102"/>
      <c r="BM53" s="102"/>
      <c r="BN53" s="102"/>
      <c r="BO53" s="102"/>
      <c r="BP53" s="102"/>
      <c r="BQ53" s="102"/>
      <c r="BR53" s="102"/>
      <c r="BS53" s="102"/>
      <c r="BT53" s="102"/>
      <c r="BU53" s="102"/>
      <c r="BV53" s="102"/>
      <c r="BW53" s="102"/>
      <c r="BX53" s="102"/>
      <c r="BY53" s="102"/>
      <c r="BZ53" s="102"/>
      <c r="CA53" s="102"/>
      <c r="CB53" s="102"/>
      <c r="CC53" s="102"/>
      <c r="CD53" s="102"/>
      <c r="CE53" s="102"/>
      <c r="CF53" s="102"/>
      <c r="CG53" s="102"/>
      <c r="CH53" s="102"/>
      <c r="CI53" s="102"/>
      <c r="CJ53" s="102"/>
      <c r="CK53" s="102"/>
      <c r="CL53" s="102"/>
      <c r="CM53" s="102"/>
      <c r="CN53" s="102"/>
      <c r="CO53" s="102"/>
      <c r="CP53" s="102"/>
      <c r="CQ53" s="102"/>
      <c r="CR53" s="102"/>
      <c r="CS53" s="102"/>
      <c r="CT53" s="102"/>
      <c r="CU53" s="102"/>
      <c r="CV53" s="102"/>
      <c r="CW53" s="102"/>
      <c r="CX53" s="102"/>
      <c r="CY53" s="102"/>
      <c r="CZ53" s="102"/>
      <c r="DA53" s="102"/>
      <c r="DB53" s="102"/>
      <c r="DC53" s="102"/>
      <c r="DD53" s="102"/>
      <c r="DE53" s="102"/>
      <c r="DF53" s="102"/>
      <c r="DG53" s="102"/>
      <c r="DH53" s="102"/>
      <c r="DI53" s="102"/>
      <c r="DJ53" s="102"/>
      <c r="DK53" s="102"/>
      <c r="DL53" s="102"/>
      <c r="DM53" s="102"/>
      <c r="DN53" s="102"/>
      <c r="DO53" s="102"/>
      <c r="DP53" s="102"/>
      <c r="DQ53" s="102"/>
      <c r="DR53" s="102"/>
      <c r="DS53" s="102"/>
      <c r="DT53" s="102"/>
      <c r="DU53" s="102"/>
      <c r="DV53" s="102"/>
      <c r="DW53" s="102"/>
      <c r="DX53" s="102"/>
      <c r="DY53" s="102"/>
      <c r="DZ53" s="102"/>
      <c r="EA53" s="102"/>
      <c r="EB53" s="102"/>
      <c r="EC53" s="102"/>
      <c r="ED53" s="102"/>
      <c r="EE53" s="102"/>
      <c r="EF53" s="102"/>
      <c r="EG53" s="102"/>
      <c r="EH53" s="102"/>
      <c r="EI53" s="102"/>
      <c r="EJ53" s="102"/>
      <c r="EK53" s="102"/>
      <c r="EL53" s="102"/>
      <c r="EM53" s="102"/>
      <c r="EN53" s="102"/>
      <c r="EO53" s="102"/>
      <c r="EP53" s="102"/>
      <c r="EQ53" s="102"/>
    </row>
    <row r="54" hidden="1">
      <c r="A54" s="103" t="s">
        <v>159</v>
      </c>
      <c r="B54" s="131">
        <f t="shared" si="1"/>
        <v>46054</v>
      </c>
      <c r="C54" s="103">
        <v>210.0</v>
      </c>
      <c r="D54" s="103" t="s">
        <v>95</v>
      </c>
      <c r="E54" s="103" t="s">
        <v>98</v>
      </c>
      <c r="F54" s="105"/>
      <c r="G54" s="105"/>
      <c r="H54" s="105"/>
      <c r="I54" s="105"/>
      <c r="J54" s="106"/>
      <c r="K54" s="108" t="s">
        <v>98</v>
      </c>
      <c r="L54" s="105"/>
      <c r="M54" s="105"/>
      <c r="N54" s="105"/>
      <c r="O54" s="105"/>
      <c r="P54" s="105"/>
      <c r="Q54" s="103" t="s">
        <v>96</v>
      </c>
      <c r="R54" s="105"/>
      <c r="S54" s="103" t="s">
        <v>99</v>
      </c>
      <c r="T54" s="103" t="s">
        <v>97</v>
      </c>
      <c r="U54" s="105"/>
      <c r="V54" s="106"/>
      <c r="W54" s="108" t="s">
        <v>96</v>
      </c>
      <c r="X54" s="105"/>
      <c r="Y54" s="105"/>
      <c r="Z54" s="105"/>
      <c r="AA54" s="105"/>
      <c r="AB54" s="105"/>
      <c r="AC54" s="103" t="s">
        <v>96</v>
      </c>
      <c r="AD54" s="105"/>
      <c r="AE54" s="103" t="s">
        <v>96</v>
      </c>
      <c r="AF54" s="105"/>
      <c r="AG54" s="105"/>
      <c r="AH54" s="106"/>
      <c r="AI54" s="108" t="s">
        <v>96</v>
      </c>
      <c r="AJ54" s="105"/>
      <c r="AK54" s="105"/>
      <c r="AL54" s="105"/>
      <c r="AM54" s="105"/>
      <c r="AN54" s="105"/>
      <c r="AO54" s="105"/>
      <c r="AP54" s="103" t="s">
        <v>99</v>
      </c>
      <c r="AQ54" s="103" t="s">
        <v>99</v>
      </c>
      <c r="AR54" s="103" t="s">
        <v>99</v>
      </c>
      <c r="AS54" s="103" t="s">
        <v>99</v>
      </c>
      <c r="AT54" s="136" t="s">
        <v>99</v>
      </c>
      <c r="AU54" s="108" t="s">
        <v>99</v>
      </c>
      <c r="AV54" s="103" t="s">
        <v>96</v>
      </c>
      <c r="AW54" s="105"/>
      <c r="AX54" s="105"/>
      <c r="AY54" s="105"/>
      <c r="AZ54" s="105"/>
      <c r="BA54" s="105"/>
      <c r="BB54" s="105"/>
      <c r="BC54" s="105"/>
      <c r="BD54" s="105"/>
      <c r="BE54" s="105"/>
      <c r="BF54" s="106"/>
      <c r="BG54" s="105"/>
      <c r="BH54" s="105"/>
      <c r="BI54" s="105"/>
      <c r="BJ54" s="105"/>
      <c r="BK54" s="102"/>
      <c r="BL54" s="102"/>
      <c r="BM54" s="102"/>
      <c r="BN54" s="102"/>
      <c r="BO54" s="102"/>
      <c r="BP54" s="102"/>
      <c r="BQ54" s="102"/>
      <c r="BR54" s="102"/>
      <c r="BS54" s="102"/>
      <c r="BT54" s="102"/>
      <c r="BU54" s="102"/>
      <c r="BV54" s="102"/>
      <c r="BW54" s="102"/>
      <c r="BX54" s="102"/>
      <c r="BY54" s="102"/>
      <c r="BZ54" s="102"/>
      <c r="CA54" s="102"/>
      <c r="CB54" s="102"/>
      <c r="CC54" s="102"/>
      <c r="CD54" s="102"/>
      <c r="CE54" s="102"/>
      <c r="CF54" s="102"/>
      <c r="CG54" s="102"/>
      <c r="CH54" s="102"/>
      <c r="CI54" s="102"/>
      <c r="CJ54" s="102"/>
      <c r="CK54" s="102"/>
      <c r="CL54" s="102"/>
      <c r="CM54" s="102"/>
      <c r="CN54" s="102"/>
      <c r="CO54" s="102"/>
      <c r="CP54" s="102"/>
      <c r="CQ54" s="102"/>
      <c r="CR54" s="102"/>
      <c r="CS54" s="102"/>
      <c r="CT54" s="102"/>
      <c r="CU54" s="102"/>
      <c r="CV54" s="102"/>
      <c r="CW54" s="102"/>
      <c r="CX54" s="102"/>
      <c r="CY54" s="102"/>
      <c r="CZ54" s="102"/>
      <c r="DA54" s="102"/>
      <c r="DB54" s="102"/>
      <c r="DC54" s="102"/>
      <c r="DD54" s="102"/>
      <c r="DE54" s="102"/>
      <c r="DF54" s="102"/>
      <c r="DG54" s="102"/>
      <c r="DH54" s="102"/>
      <c r="DI54" s="102"/>
      <c r="DJ54" s="102"/>
      <c r="DK54" s="102"/>
      <c r="DL54" s="102"/>
      <c r="DM54" s="102"/>
      <c r="DN54" s="102"/>
      <c r="DO54" s="102"/>
      <c r="DP54" s="102"/>
      <c r="DQ54" s="102"/>
      <c r="DR54" s="102"/>
      <c r="DS54" s="102"/>
      <c r="DT54" s="102"/>
      <c r="DU54" s="102"/>
      <c r="DV54" s="102"/>
      <c r="DW54" s="102"/>
      <c r="DX54" s="102"/>
      <c r="DY54" s="102"/>
      <c r="DZ54" s="102"/>
      <c r="EA54" s="102"/>
      <c r="EB54" s="102"/>
      <c r="EC54" s="102"/>
      <c r="ED54" s="102"/>
      <c r="EE54" s="102"/>
      <c r="EF54" s="102"/>
      <c r="EG54" s="102"/>
      <c r="EH54" s="102"/>
      <c r="EI54" s="102"/>
      <c r="EJ54" s="102"/>
      <c r="EK54" s="102"/>
      <c r="EL54" s="102"/>
      <c r="EM54" s="102"/>
      <c r="EN54" s="102"/>
      <c r="EO54" s="102"/>
      <c r="EP54" s="102"/>
      <c r="EQ54" s="102"/>
    </row>
    <row r="55" hidden="1">
      <c r="A55" s="138" t="s">
        <v>160</v>
      </c>
      <c r="B55" s="111">
        <f t="shared" si="1"/>
        <v>46054</v>
      </c>
      <c r="C55" s="110">
        <v>210.0</v>
      </c>
      <c r="D55" s="110" t="s">
        <v>95</v>
      </c>
      <c r="E55" s="110" t="s">
        <v>96</v>
      </c>
      <c r="F55" s="110" t="s">
        <v>97</v>
      </c>
      <c r="G55" s="112"/>
      <c r="H55" s="112"/>
      <c r="I55" s="112"/>
      <c r="J55" s="113"/>
      <c r="K55" s="132" t="s">
        <v>97</v>
      </c>
      <c r="L55" s="116"/>
      <c r="M55" s="116"/>
      <c r="N55" s="116"/>
      <c r="O55" s="116"/>
      <c r="P55" s="116"/>
      <c r="Q55" s="115" t="s">
        <v>99</v>
      </c>
      <c r="R55" s="115" t="s">
        <v>97</v>
      </c>
      <c r="S55" s="115" t="s">
        <v>99</v>
      </c>
      <c r="T55" s="116"/>
      <c r="U55" s="116"/>
      <c r="V55" s="117"/>
      <c r="W55" s="118"/>
      <c r="X55" s="121" t="s">
        <v>99</v>
      </c>
      <c r="Y55" s="120"/>
      <c r="Z55" s="120"/>
      <c r="AA55" s="120"/>
      <c r="AB55" s="121" t="s">
        <v>97</v>
      </c>
      <c r="AC55" s="121" t="s">
        <v>98</v>
      </c>
      <c r="AD55" s="120"/>
      <c r="AE55" s="120"/>
      <c r="AF55" s="121" t="s">
        <v>97</v>
      </c>
      <c r="AG55" s="120"/>
      <c r="AH55" s="122"/>
      <c r="AI55" s="123"/>
      <c r="AJ55" s="124"/>
      <c r="AK55" s="124"/>
      <c r="AL55" s="125" t="s">
        <v>99</v>
      </c>
      <c r="AM55" s="124"/>
      <c r="AN55" s="124"/>
      <c r="AO55" s="124"/>
      <c r="AP55" s="125" t="s">
        <v>99</v>
      </c>
      <c r="AQ55" s="124"/>
      <c r="AR55" s="125" t="s">
        <v>97</v>
      </c>
      <c r="AS55" s="125" t="s">
        <v>97</v>
      </c>
      <c r="AT55" s="126"/>
      <c r="AU55" s="127"/>
      <c r="AV55" s="128" t="s">
        <v>97</v>
      </c>
      <c r="AW55" s="129"/>
      <c r="AX55" s="129"/>
      <c r="AY55" s="129"/>
      <c r="AZ55" s="129"/>
      <c r="BA55" s="129"/>
      <c r="BB55" s="129"/>
      <c r="BC55" s="129"/>
      <c r="BD55" s="129"/>
      <c r="BE55" s="129"/>
      <c r="BF55" s="130"/>
      <c r="BG55" s="129"/>
      <c r="BH55" s="129"/>
      <c r="BI55" s="129"/>
      <c r="BJ55" s="129"/>
      <c r="BK55" s="102"/>
      <c r="BL55" s="102"/>
      <c r="BM55" s="102"/>
      <c r="BN55" s="102"/>
      <c r="BO55" s="102"/>
      <c r="BP55" s="102"/>
      <c r="BQ55" s="102"/>
      <c r="BR55" s="102"/>
      <c r="BS55" s="102"/>
      <c r="BT55" s="102"/>
      <c r="BU55" s="102"/>
      <c r="BV55" s="102"/>
      <c r="BW55" s="102"/>
      <c r="BX55" s="102"/>
      <c r="BY55" s="102"/>
      <c r="BZ55" s="102"/>
      <c r="CA55" s="102"/>
      <c r="CB55" s="102"/>
      <c r="CC55" s="102"/>
      <c r="CD55" s="102"/>
      <c r="CE55" s="102"/>
      <c r="CF55" s="102"/>
      <c r="CG55" s="102"/>
      <c r="CH55" s="102"/>
      <c r="CI55" s="102"/>
      <c r="CJ55" s="102"/>
      <c r="CK55" s="102"/>
      <c r="CL55" s="102"/>
      <c r="CM55" s="102"/>
      <c r="CN55" s="102"/>
      <c r="CO55" s="102"/>
      <c r="CP55" s="102"/>
      <c r="CQ55" s="102"/>
      <c r="CR55" s="102"/>
      <c r="CS55" s="102"/>
      <c r="CT55" s="102"/>
      <c r="CU55" s="102"/>
      <c r="CV55" s="102"/>
      <c r="CW55" s="102"/>
      <c r="CX55" s="102"/>
      <c r="CY55" s="102"/>
      <c r="CZ55" s="102"/>
      <c r="DA55" s="102"/>
      <c r="DB55" s="102"/>
      <c r="DC55" s="102"/>
      <c r="DD55" s="102"/>
      <c r="DE55" s="102"/>
      <c r="DF55" s="102"/>
      <c r="DG55" s="102"/>
      <c r="DH55" s="102"/>
      <c r="DI55" s="102"/>
      <c r="DJ55" s="102"/>
      <c r="DK55" s="102"/>
      <c r="DL55" s="102"/>
      <c r="DM55" s="102"/>
      <c r="DN55" s="102"/>
      <c r="DO55" s="102"/>
      <c r="DP55" s="102"/>
      <c r="DQ55" s="102"/>
      <c r="DR55" s="102"/>
      <c r="DS55" s="102"/>
      <c r="DT55" s="102"/>
      <c r="DU55" s="102"/>
      <c r="DV55" s="102"/>
      <c r="DW55" s="102"/>
      <c r="DX55" s="102"/>
      <c r="DY55" s="102"/>
      <c r="DZ55" s="102"/>
      <c r="EA55" s="102"/>
      <c r="EB55" s="102"/>
      <c r="EC55" s="102"/>
      <c r="ED55" s="102"/>
      <c r="EE55" s="102"/>
      <c r="EF55" s="102"/>
      <c r="EG55" s="102"/>
      <c r="EH55" s="102"/>
      <c r="EI55" s="102"/>
      <c r="EJ55" s="102"/>
      <c r="EK55" s="102"/>
      <c r="EL55" s="102"/>
      <c r="EM55" s="102"/>
      <c r="EN55" s="102"/>
      <c r="EO55" s="102"/>
      <c r="EP55" s="102"/>
      <c r="EQ55" s="102"/>
    </row>
    <row r="56" hidden="1">
      <c r="A56" s="139" t="s">
        <v>161</v>
      </c>
      <c r="B56" s="131">
        <f t="shared" si="1"/>
        <v>46054</v>
      </c>
      <c r="C56" s="103">
        <v>210.0</v>
      </c>
      <c r="D56" s="103" t="s">
        <v>95</v>
      </c>
      <c r="E56" s="103" t="s">
        <v>97</v>
      </c>
      <c r="F56" s="103" t="s">
        <v>97</v>
      </c>
      <c r="G56" s="105"/>
      <c r="H56" s="105"/>
      <c r="I56" s="105"/>
      <c r="J56" s="106"/>
      <c r="K56" s="107"/>
      <c r="L56" s="105"/>
      <c r="M56" s="105"/>
      <c r="N56" s="105"/>
      <c r="O56" s="105"/>
      <c r="P56" s="105"/>
      <c r="Q56" s="103" t="s">
        <v>96</v>
      </c>
      <c r="R56" s="103" t="s">
        <v>96</v>
      </c>
      <c r="S56" s="103" t="s">
        <v>99</v>
      </c>
      <c r="T56" s="105"/>
      <c r="U56" s="105"/>
      <c r="V56" s="106"/>
      <c r="W56" s="107"/>
      <c r="X56" s="103" t="s">
        <v>99</v>
      </c>
      <c r="Y56" s="105"/>
      <c r="Z56" s="105"/>
      <c r="AA56" s="105"/>
      <c r="AB56" s="103" t="s">
        <v>96</v>
      </c>
      <c r="AC56" s="105"/>
      <c r="AD56" s="105"/>
      <c r="AE56" s="105"/>
      <c r="AF56" s="105"/>
      <c r="AG56" s="105"/>
      <c r="AH56" s="136" t="s">
        <v>99</v>
      </c>
      <c r="AI56" s="108" t="s">
        <v>99</v>
      </c>
      <c r="AJ56" s="105"/>
      <c r="AK56" s="105"/>
      <c r="AL56" s="105"/>
      <c r="AM56" s="105"/>
      <c r="AN56" s="105"/>
      <c r="AO56" s="105"/>
      <c r="AP56" s="103" t="s">
        <v>99</v>
      </c>
      <c r="AQ56" s="105"/>
      <c r="AR56" s="103" t="s">
        <v>97</v>
      </c>
      <c r="AS56" s="103" t="s">
        <v>97</v>
      </c>
      <c r="AT56" s="106"/>
      <c r="AU56" s="107"/>
      <c r="AV56" s="103" t="s">
        <v>97</v>
      </c>
      <c r="AW56" s="105"/>
      <c r="AX56" s="105"/>
      <c r="AY56" s="105"/>
      <c r="AZ56" s="105"/>
      <c r="BA56" s="105"/>
      <c r="BB56" s="105"/>
      <c r="BC56" s="105"/>
      <c r="BD56" s="105"/>
      <c r="BE56" s="105"/>
      <c r="BF56" s="106"/>
      <c r="BG56" s="105"/>
      <c r="BH56" s="105"/>
      <c r="BI56" s="105"/>
      <c r="BJ56" s="105"/>
      <c r="BK56" s="102"/>
      <c r="BL56" s="102"/>
      <c r="BM56" s="102"/>
      <c r="BN56" s="102"/>
      <c r="BO56" s="102"/>
      <c r="BP56" s="102"/>
      <c r="BQ56" s="102"/>
      <c r="BR56" s="102"/>
      <c r="BS56" s="102"/>
      <c r="BT56" s="102"/>
      <c r="BU56" s="102"/>
      <c r="BV56" s="102"/>
      <c r="BW56" s="102"/>
      <c r="BX56" s="102"/>
      <c r="BY56" s="102"/>
      <c r="BZ56" s="102"/>
      <c r="CA56" s="102"/>
      <c r="CB56" s="102"/>
      <c r="CC56" s="102"/>
      <c r="CD56" s="102"/>
      <c r="CE56" s="102"/>
      <c r="CF56" s="102"/>
      <c r="CG56" s="102"/>
      <c r="CH56" s="102"/>
      <c r="CI56" s="102"/>
      <c r="CJ56" s="102"/>
      <c r="CK56" s="102"/>
      <c r="CL56" s="102"/>
      <c r="CM56" s="102"/>
      <c r="CN56" s="102"/>
      <c r="CO56" s="102"/>
      <c r="CP56" s="102"/>
      <c r="CQ56" s="102"/>
      <c r="CR56" s="102"/>
      <c r="CS56" s="102"/>
      <c r="CT56" s="102"/>
      <c r="CU56" s="102"/>
      <c r="CV56" s="102"/>
      <c r="CW56" s="102"/>
      <c r="CX56" s="102"/>
      <c r="CY56" s="102"/>
      <c r="CZ56" s="102"/>
      <c r="DA56" s="102"/>
      <c r="DB56" s="102"/>
      <c r="DC56" s="102"/>
      <c r="DD56" s="102"/>
      <c r="DE56" s="102"/>
      <c r="DF56" s="102"/>
      <c r="DG56" s="102"/>
      <c r="DH56" s="102"/>
      <c r="DI56" s="102"/>
      <c r="DJ56" s="102"/>
      <c r="DK56" s="102"/>
      <c r="DL56" s="102"/>
      <c r="DM56" s="102"/>
      <c r="DN56" s="102"/>
      <c r="DO56" s="102"/>
      <c r="DP56" s="102"/>
      <c r="DQ56" s="102"/>
      <c r="DR56" s="102"/>
      <c r="DS56" s="102"/>
      <c r="DT56" s="102"/>
      <c r="DU56" s="102"/>
      <c r="DV56" s="102"/>
      <c r="DW56" s="102"/>
      <c r="DX56" s="102"/>
      <c r="DY56" s="102"/>
      <c r="DZ56" s="102"/>
      <c r="EA56" s="102"/>
      <c r="EB56" s="102"/>
      <c r="EC56" s="102"/>
      <c r="ED56" s="102"/>
      <c r="EE56" s="102"/>
      <c r="EF56" s="102"/>
      <c r="EG56" s="102"/>
      <c r="EH56" s="102"/>
      <c r="EI56" s="102"/>
      <c r="EJ56" s="102"/>
      <c r="EK56" s="102"/>
      <c r="EL56" s="102"/>
      <c r="EM56" s="102"/>
      <c r="EN56" s="102"/>
      <c r="EO56" s="102"/>
      <c r="EP56" s="102"/>
      <c r="EQ56" s="102"/>
    </row>
    <row r="57" hidden="1">
      <c r="A57" s="110" t="s">
        <v>162</v>
      </c>
      <c r="B57" s="111">
        <f t="shared" si="1"/>
        <v>46113</v>
      </c>
      <c r="C57" s="110">
        <v>210.0</v>
      </c>
      <c r="D57" s="110" t="s">
        <v>95</v>
      </c>
      <c r="E57" s="110" t="s">
        <v>98</v>
      </c>
      <c r="F57" s="112"/>
      <c r="G57" s="112"/>
      <c r="H57" s="112"/>
      <c r="I57" s="112"/>
      <c r="J57" s="113"/>
      <c r="K57" s="132" t="s">
        <v>98</v>
      </c>
      <c r="L57" s="116"/>
      <c r="M57" s="116"/>
      <c r="N57" s="116"/>
      <c r="O57" s="116"/>
      <c r="P57" s="116"/>
      <c r="Q57" s="115" t="s">
        <v>96</v>
      </c>
      <c r="R57" s="116"/>
      <c r="S57" s="115" t="s">
        <v>99</v>
      </c>
      <c r="T57" s="116"/>
      <c r="U57" s="116"/>
      <c r="V57" s="117"/>
      <c r="W57" s="119" t="s">
        <v>99</v>
      </c>
      <c r="X57" s="121" t="s">
        <v>98</v>
      </c>
      <c r="Y57" s="120"/>
      <c r="Z57" s="120"/>
      <c r="AA57" s="120"/>
      <c r="AB57" s="120"/>
      <c r="AC57" s="121" t="s">
        <v>96</v>
      </c>
      <c r="AD57" s="120"/>
      <c r="AE57" s="120"/>
      <c r="AF57" s="120"/>
      <c r="AG57" s="120"/>
      <c r="AH57" s="122"/>
      <c r="AI57" s="134" t="s">
        <v>99</v>
      </c>
      <c r="AJ57" s="124"/>
      <c r="AK57" s="124"/>
      <c r="AL57" s="124"/>
      <c r="AM57" s="124"/>
      <c r="AN57" s="124"/>
      <c r="AO57" s="124"/>
      <c r="AP57" s="125" t="s">
        <v>99</v>
      </c>
      <c r="AQ57" s="125" t="s">
        <v>97</v>
      </c>
      <c r="AR57" s="125" t="s">
        <v>97</v>
      </c>
      <c r="AS57" s="124"/>
      <c r="AT57" s="126"/>
      <c r="AU57" s="127"/>
      <c r="AV57" s="129"/>
      <c r="AW57" s="129"/>
      <c r="AX57" s="128" t="s">
        <v>97</v>
      </c>
      <c r="AY57" s="129"/>
      <c r="AZ57" s="129"/>
      <c r="BA57" s="129"/>
      <c r="BB57" s="129"/>
      <c r="BC57" s="129"/>
      <c r="BD57" s="129"/>
      <c r="BE57" s="129"/>
      <c r="BF57" s="130"/>
      <c r="BG57" s="129"/>
      <c r="BH57" s="129"/>
      <c r="BI57" s="129"/>
      <c r="BJ57" s="129"/>
      <c r="BK57" s="102"/>
      <c r="BL57" s="102"/>
      <c r="BM57" s="102"/>
      <c r="BN57" s="102"/>
      <c r="BO57" s="102"/>
      <c r="BP57" s="102"/>
      <c r="BQ57" s="102"/>
      <c r="BR57" s="102"/>
      <c r="BS57" s="102"/>
      <c r="BT57" s="102"/>
      <c r="BU57" s="102"/>
      <c r="BV57" s="102"/>
      <c r="BW57" s="102"/>
      <c r="BX57" s="102"/>
      <c r="BY57" s="102"/>
      <c r="BZ57" s="102"/>
      <c r="CA57" s="102"/>
      <c r="CB57" s="102"/>
      <c r="CC57" s="102"/>
      <c r="CD57" s="102"/>
      <c r="CE57" s="102"/>
      <c r="CF57" s="102"/>
      <c r="CG57" s="102"/>
      <c r="CH57" s="102"/>
      <c r="CI57" s="102"/>
      <c r="CJ57" s="102"/>
      <c r="CK57" s="102"/>
      <c r="CL57" s="102"/>
      <c r="CM57" s="102"/>
      <c r="CN57" s="102"/>
      <c r="CO57" s="102"/>
      <c r="CP57" s="102"/>
      <c r="CQ57" s="102"/>
      <c r="CR57" s="102"/>
      <c r="CS57" s="102"/>
      <c r="CT57" s="102"/>
      <c r="CU57" s="102"/>
      <c r="CV57" s="102"/>
      <c r="CW57" s="102"/>
      <c r="CX57" s="102"/>
      <c r="CY57" s="102"/>
      <c r="CZ57" s="102"/>
      <c r="DA57" s="102"/>
      <c r="DB57" s="102"/>
      <c r="DC57" s="102"/>
      <c r="DD57" s="102"/>
      <c r="DE57" s="102"/>
      <c r="DF57" s="102"/>
      <c r="DG57" s="102"/>
      <c r="DH57" s="102"/>
      <c r="DI57" s="102"/>
      <c r="DJ57" s="102"/>
      <c r="DK57" s="102"/>
      <c r="DL57" s="102"/>
      <c r="DM57" s="102"/>
      <c r="DN57" s="102"/>
      <c r="DO57" s="102"/>
      <c r="DP57" s="102"/>
      <c r="DQ57" s="102"/>
      <c r="DR57" s="102"/>
      <c r="DS57" s="102"/>
      <c r="DT57" s="102"/>
      <c r="DU57" s="102"/>
      <c r="DV57" s="102"/>
      <c r="DW57" s="102"/>
      <c r="DX57" s="102"/>
      <c r="DY57" s="102"/>
      <c r="DZ57" s="102"/>
      <c r="EA57" s="102"/>
      <c r="EB57" s="102"/>
      <c r="EC57" s="102"/>
      <c r="ED57" s="102"/>
      <c r="EE57" s="102"/>
      <c r="EF57" s="102"/>
      <c r="EG57" s="102"/>
      <c r="EH57" s="102"/>
      <c r="EI57" s="102"/>
      <c r="EJ57" s="102"/>
      <c r="EK57" s="102"/>
      <c r="EL57" s="102"/>
      <c r="EM57" s="102"/>
      <c r="EN57" s="102"/>
      <c r="EO57" s="102"/>
      <c r="EP57" s="102"/>
      <c r="EQ57" s="102"/>
    </row>
    <row r="58" hidden="1">
      <c r="A58" s="103" t="s">
        <v>163</v>
      </c>
      <c r="B58" s="131">
        <f t="shared" si="1"/>
        <v>46113</v>
      </c>
      <c r="C58" s="103">
        <v>210.0</v>
      </c>
      <c r="D58" s="103" t="s">
        <v>95</v>
      </c>
      <c r="E58" s="105"/>
      <c r="F58" s="105"/>
      <c r="G58" s="103" t="s">
        <v>96</v>
      </c>
      <c r="H58" s="103" t="s">
        <v>98</v>
      </c>
      <c r="I58" s="105"/>
      <c r="J58" s="106"/>
      <c r="K58" s="107"/>
      <c r="L58" s="105"/>
      <c r="M58" s="103" t="s">
        <v>98</v>
      </c>
      <c r="N58" s="105"/>
      <c r="O58" s="105"/>
      <c r="P58" s="105"/>
      <c r="Q58" s="105"/>
      <c r="R58" s="105"/>
      <c r="S58" s="103" t="s">
        <v>99</v>
      </c>
      <c r="T58" s="105"/>
      <c r="U58" s="105"/>
      <c r="V58" s="106"/>
      <c r="W58" s="107"/>
      <c r="X58" s="105"/>
      <c r="Y58" s="103" t="s">
        <v>99</v>
      </c>
      <c r="Z58" s="103" t="s">
        <v>99</v>
      </c>
      <c r="AA58" s="103" t="s">
        <v>99</v>
      </c>
      <c r="AB58" s="103" t="s">
        <v>99</v>
      </c>
      <c r="AC58" s="103" t="s">
        <v>99</v>
      </c>
      <c r="AD58" s="103" t="s">
        <v>99</v>
      </c>
      <c r="AE58" s="103" t="s">
        <v>99</v>
      </c>
      <c r="AF58" s="103" t="s">
        <v>98</v>
      </c>
      <c r="AG58" s="105"/>
      <c r="AH58" s="106"/>
      <c r="AI58" s="107"/>
      <c r="AJ58" s="105"/>
      <c r="AK58" s="105"/>
      <c r="AL58" s="103" t="s">
        <v>99</v>
      </c>
      <c r="AM58" s="105"/>
      <c r="AN58" s="105"/>
      <c r="AO58" s="105"/>
      <c r="AP58" s="103" t="s">
        <v>99</v>
      </c>
      <c r="AQ58" s="105"/>
      <c r="AR58" s="103" t="s">
        <v>98</v>
      </c>
      <c r="AS58" s="105"/>
      <c r="AT58" s="106"/>
      <c r="AU58" s="107"/>
      <c r="AV58" s="103" t="s">
        <v>98</v>
      </c>
      <c r="AW58" s="105"/>
      <c r="AX58" s="103" t="s">
        <v>98</v>
      </c>
      <c r="AY58" s="105"/>
      <c r="AZ58" s="105"/>
      <c r="BA58" s="105"/>
      <c r="BB58" s="105"/>
      <c r="BC58" s="105"/>
      <c r="BD58" s="105"/>
      <c r="BE58" s="105"/>
      <c r="BF58" s="106"/>
      <c r="BG58" s="105"/>
      <c r="BH58" s="105"/>
      <c r="BI58" s="105"/>
      <c r="BJ58" s="105"/>
      <c r="BK58" s="102"/>
      <c r="BL58" s="102"/>
      <c r="BM58" s="102"/>
      <c r="BN58" s="102"/>
      <c r="BO58" s="102"/>
      <c r="BP58" s="102"/>
      <c r="BQ58" s="102"/>
      <c r="BR58" s="102"/>
      <c r="BS58" s="102"/>
      <c r="BT58" s="102"/>
      <c r="BU58" s="102"/>
      <c r="BV58" s="102"/>
      <c r="BW58" s="102"/>
      <c r="BX58" s="102"/>
      <c r="BY58" s="102"/>
      <c r="BZ58" s="102"/>
      <c r="CA58" s="102"/>
      <c r="CB58" s="102"/>
      <c r="CC58" s="102"/>
      <c r="CD58" s="102"/>
      <c r="CE58" s="102"/>
      <c r="CF58" s="102"/>
      <c r="CG58" s="102"/>
      <c r="CH58" s="102"/>
      <c r="CI58" s="102"/>
      <c r="CJ58" s="102"/>
      <c r="CK58" s="102"/>
      <c r="CL58" s="102"/>
      <c r="CM58" s="102"/>
      <c r="CN58" s="102"/>
      <c r="CO58" s="102"/>
      <c r="CP58" s="102"/>
      <c r="CQ58" s="102"/>
      <c r="CR58" s="102"/>
      <c r="CS58" s="102"/>
      <c r="CT58" s="102"/>
      <c r="CU58" s="102"/>
      <c r="CV58" s="102"/>
      <c r="CW58" s="102"/>
      <c r="CX58" s="102"/>
      <c r="CY58" s="102"/>
      <c r="CZ58" s="102"/>
      <c r="DA58" s="102"/>
      <c r="DB58" s="102"/>
      <c r="DC58" s="102"/>
      <c r="DD58" s="102"/>
      <c r="DE58" s="102"/>
      <c r="DF58" s="102"/>
      <c r="DG58" s="102"/>
      <c r="DH58" s="102"/>
      <c r="DI58" s="102"/>
      <c r="DJ58" s="102"/>
      <c r="DK58" s="102"/>
      <c r="DL58" s="102"/>
      <c r="DM58" s="102"/>
      <c r="DN58" s="102"/>
      <c r="DO58" s="102"/>
      <c r="DP58" s="102"/>
      <c r="DQ58" s="102"/>
      <c r="DR58" s="102"/>
      <c r="DS58" s="102"/>
      <c r="DT58" s="102"/>
      <c r="DU58" s="102"/>
      <c r="DV58" s="102"/>
      <c r="DW58" s="102"/>
      <c r="DX58" s="102"/>
      <c r="DY58" s="102"/>
      <c r="DZ58" s="102"/>
      <c r="EA58" s="102"/>
      <c r="EB58" s="102"/>
      <c r="EC58" s="102"/>
      <c r="ED58" s="102"/>
      <c r="EE58" s="102"/>
      <c r="EF58" s="102"/>
      <c r="EG58" s="102"/>
      <c r="EH58" s="102"/>
      <c r="EI58" s="102"/>
      <c r="EJ58" s="102"/>
      <c r="EK58" s="102"/>
      <c r="EL58" s="102"/>
      <c r="EM58" s="102"/>
      <c r="EN58" s="102"/>
      <c r="EO58" s="102"/>
      <c r="EP58" s="102"/>
      <c r="EQ58" s="102"/>
    </row>
    <row r="59" hidden="1">
      <c r="A59" s="110" t="s">
        <v>164</v>
      </c>
      <c r="B59" s="111">
        <f t="shared" si="1"/>
        <v>46113</v>
      </c>
      <c r="C59" s="110">
        <v>210.0</v>
      </c>
      <c r="D59" s="110" t="s">
        <v>95</v>
      </c>
      <c r="E59" s="112"/>
      <c r="F59" s="112"/>
      <c r="G59" s="110" t="s">
        <v>98</v>
      </c>
      <c r="H59" s="112"/>
      <c r="I59" s="112"/>
      <c r="J59" s="113"/>
      <c r="K59" s="114"/>
      <c r="L59" s="116"/>
      <c r="M59" s="115" t="s">
        <v>97</v>
      </c>
      <c r="N59" s="116"/>
      <c r="O59" s="116"/>
      <c r="P59" s="116"/>
      <c r="Q59" s="116"/>
      <c r="R59" s="116"/>
      <c r="S59" s="115" t="s">
        <v>99</v>
      </c>
      <c r="T59" s="115" t="s">
        <v>97</v>
      </c>
      <c r="U59" s="115" t="s">
        <v>97</v>
      </c>
      <c r="V59" s="117"/>
      <c r="W59" s="118"/>
      <c r="X59" s="120"/>
      <c r="Y59" s="120"/>
      <c r="Z59" s="120"/>
      <c r="AA59" s="121" t="s">
        <v>99</v>
      </c>
      <c r="AB59" s="121" t="s">
        <v>99</v>
      </c>
      <c r="AC59" s="121" t="s">
        <v>99</v>
      </c>
      <c r="AD59" s="121" t="s">
        <v>99</v>
      </c>
      <c r="AE59" s="121" t="s">
        <v>99</v>
      </c>
      <c r="AF59" s="121" t="s">
        <v>97</v>
      </c>
      <c r="AG59" s="120"/>
      <c r="AH59" s="122"/>
      <c r="AI59" s="123"/>
      <c r="AJ59" s="124"/>
      <c r="AK59" s="124"/>
      <c r="AL59" s="125" t="s">
        <v>99</v>
      </c>
      <c r="AM59" s="124"/>
      <c r="AN59" s="124"/>
      <c r="AO59" s="124"/>
      <c r="AP59" s="125" t="s">
        <v>99</v>
      </c>
      <c r="AQ59" s="124"/>
      <c r="AR59" s="125" t="s">
        <v>97</v>
      </c>
      <c r="AS59" s="125" t="s">
        <v>97</v>
      </c>
      <c r="AT59" s="126"/>
      <c r="AU59" s="127"/>
      <c r="AV59" s="129"/>
      <c r="AW59" s="129"/>
      <c r="AX59" s="128" t="s">
        <v>106</v>
      </c>
      <c r="AY59" s="129"/>
      <c r="AZ59" s="129"/>
      <c r="BA59" s="129"/>
      <c r="BB59" s="129"/>
      <c r="BC59" s="129"/>
      <c r="BD59" s="129"/>
      <c r="BE59" s="129"/>
      <c r="BF59" s="130"/>
      <c r="BG59" s="129"/>
      <c r="BH59" s="129"/>
      <c r="BI59" s="129"/>
      <c r="BJ59" s="129"/>
      <c r="BK59" s="102"/>
      <c r="BL59" s="102"/>
      <c r="BM59" s="102"/>
      <c r="BN59" s="102"/>
      <c r="BO59" s="102"/>
      <c r="BP59" s="102"/>
      <c r="BQ59" s="102"/>
      <c r="BR59" s="102"/>
      <c r="BS59" s="102"/>
      <c r="BT59" s="102"/>
      <c r="BU59" s="102"/>
      <c r="BV59" s="102"/>
      <c r="BW59" s="102"/>
      <c r="BX59" s="102"/>
      <c r="BY59" s="102"/>
      <c r="BZ59" s="102"/>
      <c r="CA59" s="102"/>
      <c r="CB59" s="102"/>
      <c r="CC59" s="102"/>
      <c r="CD59" s="102"/>
      <c r="CE59" s="102"/>
      <c r="CF59" s="102"/>
      <c r="CG59" s="102"/>
      <c r="CH59" s="102"/>
      <c r="CI59" s="102"/>
      <c r="CJ59" s="102"/>
      <c r="CK59" s="102"/>
      <c r="CL59" s="102"/>
      <c r="CM59" s="102"/>
      <c r="CN59" s="102"/>
      <c r="CO59" s="102"/>
      <c r="CP59" s="102"/>
      <c r="CQ59" s="102"/>
      <c r="CR59" s="102"/>
      <c r="CS59" s="102"/>
      <c r="CT59" s="102"/>
      <c r="CU59" s="102"/>
      <c r="CV59" s="102"/>
      <c r="CW59" s="102"/>
      <c r="CX59" s="102"/>
      <c r="CY59" s="102"/>
      <c r="CZ59" s="102"/>
      <c r="DA59" s="102"/>
      <c r="DB59" s="102"/>
      <c r="DC59" s="102"/>
      <c r="DD59" s="102"/>
      <c r="DE59" s="102"/>
      <c r="DF59" s="102"/>
      <c r="DG59" s="102"/>
      <c r="DH59" s="102"/>
      <c r="DI59" s="102"/>
      <c r="DJ59" s="102"/>
      <c r="DK59" s="102"/>
      <c r="DL59" s="102"/>
      <c r="DM59" s="102"/>
      <c r="DN59" s="102"/>
      <c r="DO59" s="102"/>
      <c r="DP59" s="102"/>
      <c r="DQ59" s="102"/>
      <c r="DR59" s="102"/>
      <c r="DS59" s="102"/>
      <c r="DT59" s="102"/>
      <c r="DU59" s="102"/>
      <c r="DV59" s="102"/>
      <c r="DW59" s="102"/>
      <c r="DX59" s="102"/>
      <c r="DY59" s="102"/>
      <c r="DZ59" s="102"/>
      <c r="EA59" s="102"/>
      <c r="EB59" s="102"/>
      <c r="EC59" s="102"/>
      <c r="ED59" s="102"/>
      <c r="EE59" s="102"/>
      <c r="EF59" s="102"/>
      <c r="EG59" s="102"/>
      <c r="EH59" s="102"/>
      <c r="EI59" s="102"/>
      <c r="EJ59" s="102"/>
      <c r="EK59" s="102"/>
      <c r="EL59" s="102"/>
      <c r="EM59" s="102"/>
      <c r="EN59" s="102"/>
      <c r="EO59" s="102"/>
      <c r="EP59" s="102"/>
      <c r="EQ59" s="102"/>
    </row>
    <row r="60" hidden="1">
      <c r="A60" s="103" t="s">
        <v>165</v>
      </c>
      <c r="B60" s="131">
        <f t="shared" si="1"/>
        <v>45962</v>
      </c>
      <c r="C60" s="103">
        <v>210.0</v>
      </c>
      <c r="D60" s="103" t="s">
        <v>95</v>
      </c>
      <c r="E60" s="103" t="s">
        <v>97</v>
      </c>
      <c r="F60" s="103" t="s">
        <v>96</v>
      </c>
      <c r="G60" s="103" t="s">
        <v>96</v>
      </c>
      <c r="H60" s="103" t="s">
        <v>96</v>
      </c>
      <c r="I60" s="103" t="s">
        <v>96</v>
      </c>
      <c r="J60" s="106"/>
      <c r="K60" s="107"/>
      <c r="L60" s="105"/>
      <c r="M60" s="103" t="s">
        <v>96</v>
      </c>
      <c r="N60" s="105"/>
      <c r="O60" s="105"/>
      <c r="P60" s="105"/>
      <c r="Q60" s="105"/>
      <c r="R60" s="105"/>
      <c r="S60" s="103" t="s">
        <v>99</v>
      </c>
      <c r="T60" s="103" t="s">
        <v>97</v>
      </c>
      <c r="U60" s="103" t="s">
        <v>97</v>
      </c>
      <c r="V60" s="106"/>
      <c r="W60" s="107"/>
      <c r="X60" s="105"/>
      <c r="Y60" s="105"/>
      <c r="Z60" s="105"/>
      <c r="AA60" s="103" t="s">
        <v>97</v>
      </c>
      <c r="AB60" s="105"/>
      <c r="AC60" s="105"/>
      <c r="AD60" s="105"/>
      <c r="AE60" s="105"/>
      <c r="AF60" s="103" t="s">
        <v>96</v>
      </c>
      <c r="AG60" s="105"/>
      <c r="AH60" s="106"/>
      <c r="AI60" s="107"/>
      <c r="AJ60" s="103" t="s">
        <v>97</v>
      </c>
      <c r="AK60" s="105"/>
      <c r="AL60" s="105"/>
      <c r="AM60" s="105"/>
      <c r="AN60" s="103" t="s">
        <v>96</v>
      </c>
      <c r="AO60" s="105"/>
      <c r="AP60" s="105"/>
      <c r="AQ60" s="105"/>
      <c r="AR60" s="103" t="s">
        <v>97</v>
      </c>
      <c r="AS60" s="103" t="s">
        <v>97</v>
      </c>
      <c r="AT60" s="106"/>
      <c r="AU60" s="107"/>
      <c r="AV60" s="105"/>
      <c r="AW60" s="105"/>
      <c r="AX60" s="105"/>
      <c r="AY60" s="105"/>
      <c r="AZ60" s="105"/>
      <c r="BA60" s="105"/>
      <c r="BB60" s="105"/>
      <c r="BC60" s="105"/>
      <c r="BD60" s="105"/>
      <c r="BE60" s="105"/>
      <c r="BF60" s="106"/>
      <c r="BG60" s="105"/>
      <c r="BH60" s="105"/>
      <c r="BI60" s="105"/>
      <c r="BJ60" s="105"/>
      <c r="BK60" s="102"/>
      <c r="BL60" s="102"/>
      <c r="BM60" s="102"/>
      <c r="BN60" s="102"/>
      <c r="BO60" s="102"/>
      <c r="BP60" s="102"/>
      <c r="BQ60" s="102"/>
      <c r="BR60" s="102"/>
      <c r="BS60" s="102"/>
      <c r="BT60" s="102"/>
      <c r="BU60" s="102"/>
      <c r="BV60" s="102"/>
      <c r="BW60" s="102"/>
      <c r="BX60" s="102"/>
      <c r="BY60" s="102"/>
      <c r="BZ60" s="102"/>
      <c r="CA60" s="102"/>
      <c r="CB60" s="102"/>
      <c r="CC60" s="102"/>
      <c r="CD60" s="102"/>
      <c r="CE60" s="102"/>
      <c r="CF60" s="102"/>
      <c r="CG60" s="102"/>
      <c r="CH60" s="102"/>
      <c r="CI60" s="102"/>
      <c r="CJ60" s="102"/>
      <c r="CK60" s="102"/>
      <c r="CL60" s="102"/>
      <c r="CM60" s="102"/>
      <c r="CN60" s="102"/>
      <c r="CO60" s="102"/>
      <c r="CP60" s="102"/>
      <c r="CQ60" s="102"/>
      <c r="CR60" s="102"/>
      <c r="CS60" s="102"/>
      <c r="CT60" s="102"/>
      <c r="CU60" s="102"/>
      <c r="CV60" s="102"/>
      <c r="CW60" s="102"/>
      <c r="CX60" s="102"/>
      <c r="CY60" s="102"/>
      <c r="CZ60" s="102"/>
      <c r="DA60" s="102"/>
      <c r="DB60" s="102"/>
      <c r="DC60" s="102"/>
      <c r="DD60" s="102"/>
      <c r="DE60" s="102"/>
      <c r="DF60" s="102"/>
      <c r="DG60" s="102"/>
      <c r="DH60" s="102"/>
      <c r="DI60" s="102"/>
      <c r="DJ60" s="102"/>
      <c r="DK60" s="102"/>
      <c r="DL60" s="102"/>
      <c r="DM60" s="102"/>
      <c r="DN60" s="102"/>
      <c r="DO60" s="102"/>
      <c r="DP60" s="102"/>
      <c r="DQ60" s="102"/>
      <c r="DR60" s="102"/>
      <c r="DS60" s="102"/>
      <c r="DT60" s="102"/>
      <c r="DU60" s="102"/>
      <c r="DV60" s="102"/>
      <c r="DW60" s="102"/>
      <c r="DX60" s="102"/>
      <c r="DY60" s="102"/>
      <c r="DZ60" s="102"/>
      <c r="EA60" s="102"/>
      <c r="EB60" s="102"/>
      <c r="EC60" s="102"/>
      <c r="ED60" s="102"/>
      <c r="EE60" s="102"/>
      <c r="EF60" s="102"/>
      <c r="EG60" s="102"/>
      <c r="EH60" s="102"/>
      <c r="EI60" s="102"/>
      <c r="EJ60" s="102"/>
      <c r="EK60" s="102"/>
      <c r="EL60" s="102"/>
      <c r="EM60" s="102"/>
      <c r="EN60" s="102"/>
      <c r="EO60" s="102"/>
      <c r="EP60" s="102"/>
      <c r="EQ60" s="102"/>
    </row>
    <row r="61" hidden="1">
      <c r="A61" s="110" t="s">
        <v>166</v>
      </c>
      <c r="B61" s="111">
        <f t="shared" si="1"/>
        <v>46113</v>
      </c>
      <c r="C61" s="110">
        <v>210.0</v>
      </c>
      <c r="D61" s="110" t="s">
        <v>95</v>
      </c>
      <c r="E61" s="112"/>
      <c r="F61" s="112"/>
      <c r="G61" s="110" t="s">
        <v>98</v>
      </c>
      <c r="H61" s="112"/>
      <c r="I61" s="112"/>
      <c r="J61" s="113"/>
      <c r="K61" s="114"/>
      <c r="L61" s="116"/>
      <c r="M61" s="115" t="s">
        <v>97</v>
      </c>
      <c r="N61" s="116"/>
      <c r="O61" s="116"/>
      <c r="P61" s="116"/>
      <c r="Q61" s="116"/>
      <c r="R61" s="116"/>
      <c r="S61" s="115" t="s">
        <v>99</v>
      </c>
      <c r="T61" s="116"/>
      <c r="U61" s="116"/>
      <c r="V61" s="117"/>
      <c r="W61" s="118"/>
      <c r="X61" s="120"/>
      <c r="Y61" s="121" t="s">
        <v>99</v>
      </c>
      <c r="Z61" s="120"/>
      <c r="AA61" s="121" t="s">
        <v>97</v>
      </c>
      <c r="AB61" s="120"/>
      <c r="AC61" s="120"/>
      <c r="AD61" s="120"/>
      <c r="AE61" s="120"/>
      <c r="AF61" s="121" t="s">
        <v>96</v>
      </c>
      <c r="AG61" s="120"/>
      <c r="AH61" s="122"/>
      <c r="AI61" s="123"/>
      <c r="AJ61" s="125" t="s">
        <v>97</v>
      </c>
      <c r="AK61" s="124"/>
      <c r="AL61" s="124"/>
      <c r="AM61" s="124"/>
      <c r="AN61" s="125" t="s">
        <v>97</v>
      </c>
      <c r="AO61" s="124"/>
      <c r="AP61" s="124"/>
      <c r="AQ61" s="124"/>
      <c r="AR61" s="125" t="s">
        <v>97</v>
      </c>
      <c r="AS61" s="124"/>
      <c r="AT61" s="126"/>
      <c r="AU61" s="127"/>
      <c r="AV61" s="129"/>
      <c r="AW61" s="128" t="s">
        <v>96</v>
      </c>
      <c r="AX61" s="128" t="s">
        <v>96</v>
      </c>
      <c r="AY61" s="129"/>
      <c r="AZ61" s="129"/>
      <c r="BA61" s="129"/>
      <c r="BB61" s="129"/>
      <c r="BC61" s="129"/>
      <c r="BD61" s="129"/>
      <c r="BE61" s="129"/>
      <c r="BF61" s="130"/>
      <c r="BG61" s="129"/>
      <c r="BH61" s="129"/>
      <c r="BI61" s="129"/>
      <c r="BJ61" s="129"/>
      <c r="BK61" s="102"/>
      <c r="BL61" s="102"/>
      <c r="BM61" s="102"/>
      <c r="BN61" s="102"/>
      <c r="BO61" s="102"/>
      <c r="BP61" s="102"/>
      <c r="BQ61" s="102"/>
      <c r="BR61" s="102"/>
      <c r="BS61" s="102"/>
      <c r="BT61" s="102"/>
      <c r="BU61" s="102"/>
      <c r="BV61" s="102"/>
      <c r="BW61" s="102"/>
      <c r="BX61" s="102"/>
      <c r="BY61" s="102"/>
      <c r="BZ61" s="102"/>
      <c r="CA61" s="102"/>
      <c r="CB61" s="102"/>
      <c r="CC61" s="102"/>
      <c r="CD61" s="102"/>
      <c r="CE61" s="102"/>
      <c r="CF61" s="102"/>
      <c r="CG61" s="102"/>
      <c r="CH61" s="102"/>
      <c r="CI61" s="102"/>
      <c r="CJ61" s="102"/>
      <c r="CK61" s="102"/>
      <c r="CL61" s="102"/>
      <c r="CM61" s="102"/>
      <c r="CN61" s="102"/>
      <c r="CO61" s="102"/>
      <c r="CP61" s="102"/>
      <c r="CQ61" s="102"/>
      <c r="CR61" s="102"/>
      <c r="CS61" s="102"/>
      <c r="CT61" s="102"/>
      <c r="CU61" s="102"/>
      <c r="CV61" s="102"/>
      <c r="CW61" s="102"/>
      <c r="CX61" s="102"/>
      <c r="CY61" s="102"/>
      <c r="CZ61" s="102"/>
      <c r="DA61" s="102"/>
      <c r="DB61" s="102"/>
      <c r="DC61" s="102"/>
      <c r="DD61" s="102"/>
      <c r="DE61" s="102"/>
      <c r="DF61" s="102"/>
      <c r="DG61" s="102"/>
      <c r="DH61" s="102"/>
      <c r="DI61" s="102"/>
      <c r="DJ61" s="102"/>
      <c r="DK61" s="102"/>
      <c r="DL61" s="102"/>
      <c r="DM61" s="102"/>
      <c r="DN61" s="102"/>
      <c r="DO61" s="102"/>
      <c r="DP61" s="102"/>
      <c r="DQ61" s="102"/>
      <c r="DR61" s="102"/>
      <c r="DS61" s="102"/>
      <c r="DT61" s="102"/>
      <c r="DU61" s="102"/>
      <c r="DV61" s="102"/>
      <c r="DW61" s="102"/>
      <c r="DX61" s="102"/>
      <c r="DY61" s="102"/>
      <c r="DZ61" s="102"/>
      <c r="EA61" s="102"/>
      <c r="EB61" s="102"/>
      <c r="EC61" s="102"/>
      <c r="ED61" s="102"/>
      <c r="EE61" s="102"/>
      <c r="EF61" s="102"/>
      <c r="EG61" s="102"/>
      <c r="EH61" s="102"/>
      <c r="EI61" s="102"/>
      <c r="EJ61" s="102"/>
      <c r="EK61" s="102"/>
      <c r="EL61" s="102"/>
      <c r="EM61" s="102"/>
      <c r="EN61" s="102"/>
      <c r="EO61" s="102"/>
      <c r="EP61" s="102"/>
      <c r="EQ61" s="102"/>
    </row>
    <row r="62" hidden="1">
      <c r="A62" s="103" t="s">
        <v>167</v>
      </c>
      <c r="B62" s="131">
        <f t="shared" si="1"/>
        <v>46113</v>
      </c>
      <c r="C62" s="103">
        <v>210.0</v>
      </c>
      <c r="D62" s="103" t="s">
        <v>95</v>
      </c>
      <c r="E62" s="105"/>
      <c r="F62" s="105"/>
      <c r="G62" s="103" t="s">
        <v>96</v>
      </c>
      <c r="H62" s="105"/>
      <c r="I62" s="105"/>
      <c r="J62" s="106"/>
      <c r="K62" s="107"/>
      <c r="L62" s="105"/>
      <c r="M62" s="103" t="s">
        <v>98</v>
      </c>
      <c r="N62" s="105"/>
      <c r="O62" s="105"/>
      <c r="P62" s="105"/>
      <c r="Q62" s="105"/>
      <c r="R62" s="105"/>
      <c r="S62" s="103" t="s">
        <v>99</v>
      </c>
      <c r="T62" s="105"/>
      <c r="U62" s="105"/>
      <c r="V62" s="106"/>
      <c r="W62" s="107"/>
      <c r="X62" s="105"/>
      <c r="Y62" s="103" t="s">
        <v>99</v>
      </c>
      <c r="Z62" s="105"/>
      <c r="AA62" s="105"/>
      <c r="AB62" s="105"/>
      <c r="AC62" s="105"/>
      <c r="AD62" s="105"/>
      <c r="AE62" s="103" t="s">
        <v>99</v>
      </c>
      <c r="AF62" s="103" t="s">
        <v>96</v>
      </c>
      <c r="AG62" s="105"/>
      <c r="AH62" s="106"/>
      <c r="AI62" s="107"/>
      <c r="AJ62" s="105"/>
      <c r="AK62" s="105"/>
      <c r="AL62" s="103" t="s">
        <v>99</v>
      </c>
      <c r="AM62" s="105"/>
      <c r="AN62" s="105"/>
      <c r="AO62" s="105"/>
      <c r="AP62" s="103" t="s">
        <v>99</v>
      </c>
      <c r="AQ62" s="105"/>
      <c r="AR62" s="103" t="s">
        <v>98</v>
      </c>
      <c r="AS62" s="105"/>
      <c r="AT62" s="106"/>
      <c r="AU62" s="107"/>
      <c r="AV62" s="103" t="s">
        <v>98</v>
      </c>
      <c r="AW62" s="103" t="s">
        <v>96</v>
      </c>
      <c r="AX62" s="103" t="s">
        <v>96</v>
      </c>
      <c r="AY62" s="105"/>
      <c r="AZ62" s="105"/>
      <c r="BA62" s="105"/>
      <c r="BB62" s="105"/>
      <c r="BC62" s="105"/>
      <c r="BD62" s="105"/>
      <c r="BE62" s="105"/>
      <c r="BF62" s="106"/>
      <c r="BG62" s="105"/>
      <c r="BH62" s="105"/>
      <c r="BI62" s="105"/>
      <c r="BJ62" s="105"/>
      <c r="BK62" s="102"/>
      <c r="BL62" s="102"/>
      <c r="BM62" s="102"/>
      <c r="BN62" s="102"/>
      <c r="BO62" s="102"/>
      <c r="BP62" s="102"/>
      <c r="BQ62" s="102"/>
      <c r="BR62" s="102"/>
      <c r="BS62" s="102"/>
      <c r="BT62" s="102"/>
      <c r="BU62" s="102"/>
      <c r="BV62" s="102"/>
      <c r="BW62" s="102"/>
      <c r="BX62" s="102"/>
      <c r="BY62" s="102"/>
      <c r="BZ62" s="102"/>
      <c r="CA62" s="102"/>
      <c r="CB62" s="102"/>
      <c r="CC62" s="102"/>
      <c r="CD62" s="102"/>
      <c r="CE62" s="102"/>
      <c r="CF62" s="102"/>
      <c r="CG62" s="102"/>
      <c r="CH62" s="102"/>
      <c r="CI62" s="102"/>
      <c r="CJ62" s="102"/>
      <c r="CK62" s="102"/>
      <c r="CL62" s="102"/>
      <c r="CM62" s="102"/>
      <c r="CN62" s="102"/>
      <c r="CO62" s="102"/>
      <c r="CP62" s="102"/>
      <c r="CQ62" s="102"/>
      <c r="CR62" s="102"/>
      <c r="CS62" s="102"/>
      <c r="CT62" s="102"/>
      <c r="CU62" s="102"/>
      <c r="CV62" s="102"/>
      <c r="CW62" s="102"/>
      <c r="CX62" s="102"/>
      <c r="CY62" s="102"/>
      <c r="CZ62" s="102"/>
      <c r="DA62" s="102"/>
      <c r="DB62" s="102"/>
      <c r="DC62" s="102"/>
      <c r="DD62" s="102"/>
      <c r="DE62" s="102"/>
      <c r="DF62" s="102"/>
      <c r="DG62" s="102"/>
      <c r="DH62" s="102"/>
      <c r="DI62" s="102"/>
      <c r="DJ62" s="102"/>
      <c r="DK62" s="102"/>
      <c r="DL62" s="102"/>
      <c r="DM62" s="102"/>
      <c r="DN62" s="102"/>
      <c r="DO62" s="102"/>
      <c r="DP62" s="102"/>
      <c r="DQ62" s="102"/>
      <c r="DR62" s="102"/>
      <c r="DS62" s="102"/>
      <c r="DT62" s="102"/>
      <c r="DU62" s="102"/>
      <c r="DV62" s="102"/>
      <c r="DW62" s="102"/>
      <c r="DX62" s="102"/>
      <c r="DY62" s="102"/>
      <c r="DZ62" s="102"/>
      <c r="EA62" s="102"/>
      <c r="EB62" s="102"/>
      <c r="EC62" s="102"/>
      <c r="ED62" s="102"/>
      <c r="EE62" s="102"/>
      <c r="EF62" s="102"/>
      <c r="EG62" s="102"/>
      <c r="EH62" s="102"/>
      <c r="EI62" s="102"/>
      <c r="EJ62" s="102"/>
      <c r="EK62" s="102"/>
      <c r="EL62" s="102"/>
      <c r="EM62" s="102"/>
      <c r="EN62" s="102"/>
      <c r="EO62" s="102"/>
      <c r="EP62" s="102"/>
      <c r="EQ62" s="102"/>
    </row>
    <row r="63" hidden="1">
      <c r="A63" s="110" t="s">
        <v>168</v>
      </c>
      <c r="B63" s="111">
        <f t="shared" si="1"/>
        <v>45962</v>
      </c>
      <c r="C63" s="110">
        <v>210.0</v>
      </c>
      <c r="D63" s="110" t="s">
        <v>95</v>
      </c>
      <c r="E63" s="112"/>
      <c r="F63" s="112"/>
      <c r="G63" s="110" t="s">
        <v>98</v>
      </c>
      <c r="H63" s="112"/>
      <c r="I63" s="112"/>
      <c r="J63" s="113"/>
      <c r="K63" s="114"/>
      <c r="L63" s="116"/>
      <c r="M63" s="115" t="s">
        <v>97</v>
      </c>
      <c r="N63" s="116"/>
      <c r="O63" s="116"/>
      <c r="P63" s="116"/>
      <c r="Q63" s="116"/>
      <c r="R63" s="116"/>
      <c r="S63" s="115" t="s">
        <v>99</v>
      </c>
      <c r="T63" s="115" t="s">
        <v>96</v>
      </c>
      <c r="U63" s="116"/>
      <c r="V63" s="117"/>
      <c r="W63" s="118"/>
      <c r="X63" s="120"/>
      <c r="Y63" s="120"/>
      <c r="Z63" s="121" t="s">
        <v>99</v>
      </c>
      <c r="AA63" s="120"/>
      <c r="AB63" s="120"/>
      <c r="AC63" s="120"/>
      <c r="AD63" s="120"/>
      <c r="AE63" s="120"/>
      <c r="AF63" s="121" t="s">
        <v>96</v>
      </c>
      <c r="AG63" s="120"/>
      <c r="AH63" s="122"/>
      <c r="AI63" s="123"/>
      <c r="AJ63" s="124"/>
      <c r="AK63" s="124"/>
      <c r="AL63" s="125" t="s">
        <v>99</v>
      </c>
      <c r="AM63" s="124"/>
      <c r="AN63" s="124"/>
      <c r="AO63" s="124"/>
      <c r="AP63" s="125" t="s">
        <v>99</v>
      </c>
      <c r="AQ63" s="124"/>
      <c r="AR63" s="125" t="s">
        <v>97</v>
      </c>
      <c r="AS63" s="125" t="s">
        <v>97</v>
      </c>
      <c r="AT63" s="126"/>
      <c r="AU63" s="127"/>
      <c r="AV63" s="129"/>
      <c r="AW63" s="129"/>
      <c r="AX63" s="129"/>
      <c r="AY63" s="129"/>
      <c r="AZ63" s="129"/>
      <c r="BA63" s="129"/>
      <c r="BB63" s="129"/>
      <c r="BC63" s="129"/>
      <c r="BD63" s="129"/>
      <c r="BE63" s="129"/>
      <c r="BF63" s="130"/>
      <c r="BG63" s="129"/>
      <c r="BH63" s="129"/>
      <c r="BI63" s="129"/>
      <c r="BJ63" s="129"/>
      <c r="BK63" s="102"/>
      <c r="BL63" s="102"/>
      <c r="BM63" s="102"/>
      <c r="BN63" s="102"/>
      <c r="BO63" s="102"/>
      <c r="BP63" s="102"/>
      <c r="BQ63" s="102"/>
      <c r="BR63" s="102"/>
      <c r="BS63" s="102"/>
      <c r="BT63" s="102"/>
      <c r="BU63" s="102"/>
      <c r="BV63" s="102"/>
      <c r="BW63" s="102"/>
      <c r="BX63" s="102"/>
      <c r="BY63" s="102"/>
      <c r="BZ63" s="102"/>
      <c r="CA63" s="102"/>
      <c r="CB63" s="102"/>
      <c r="CC63" s="102"/>
      <c r="CD63" s="102"/>
      <c r="CE63" s="102"/>
      <c r="CF63" s="102"/>
      <c r="CG63" s="102"/>
      <c r="CH63" s="102"/>
      <c r="CI63" s="102"/>
      <c r="CJ63" s="102"/>
      <c r="CK63" s="102"/>
      <c r="CL63" s="102"/>
      <c r="CM63" s="102"/>
      <c r="CN63" s="102"/>
      <c r="CO63" s="102"/>
      <c r="CP63" s="102"/>
      <c r="CQ63" s="102"/>
      <c r="CR63" s="102"/>
      <c r="CS63" s="102"/>
      <c r="CT63" s="102"/>
      <c r="CU63" s="102"/>
      <c r="CV63" s="102"/>
      <c r="CW63" s="102"/>
      <c r="CX63" s="102"/>
      <c r="CY63" s="102"/>
      <c r="CZ63" s="102"/>
      <c r="DA63" s="102"/>
      <c r="DB63" s="102"/>
      <c r="DC63" s="102"/>
      <c r="DD63" s="102"/>
      <c r="DE63" s="102"/>
      <c r="DF63" s="102"/>
      <c r="DG63" s="102"/>
      <c r="DH63" s="102"/>
      <c r="DI63" s="102"/>
      <c r="DJ63" s="102"/>
      <c r="DK63" s="102"/>
      <c r="DL63" s="102"/>
      <c r="DM63" s="102"/>
      <c r="DN63" s="102"/>
      <c r="DO63" s="102"/>
      <c r="DP63" s="102"/>
      <c r="DQ63" s="102"/>
      <c r="DR63" s="102"/>
      <c r="DS63" s="102"/>
      <c r="DT63" s="102"/>
      <c r="DU63" s="102"/>
      <c r="DV63" s="102"/>
      <c r="DW63" s="102"/>
      <c r="DX63" s="102"/>
      <c r="DY63" s="102"/>
      <c r="DZ63" s="102"/>
      <c r="EA63" s="102"/>
      <c r="EB63" s="102"/>
      <c r="EC63" s="102"/>
      <c r="ED63" s="102"/>
      <c r="EE63" s="102"/>
      <c r="EF63" s="102"/>
      <c r="EG63" s="102"/>
      <c r="EH63" s="102"/>
      <c r="EI63" s="102"/>
      <c r="EJ63" s="102"/>
      <c r="EK63" s="102"/>
      <c r="EL63" s="102"/>
      <c r="EM63" s="102"/>
      <c r="EN63" s="102"/>
      <c r="EO63" s="102"/>
      <c r="EP63" s="102"/>
      <c r="EQ63" s="102"/>
    </row>
    <row r="64" hidden="1">
      <c r="A64" s="103" t="s">
        <v>169</v>
      </c>
      <c r="B64" s="131">
        <f t="shared" si="1"/>
        <v>46054</v>
      </c>
      <c r="C64" s="103">
        <v>210.0</v>
      </c>
      <c r="D64" s="103" t="s">
        <v>95</v>
      </c>
      <c r="E64" s="105"/>
      <c r="F64" s="105"/>
      <c r="G64" s="103" t="s">
        <v>97</v>
      </c>
      <c r="H64" s="105"/>
      <c r="I64" s="105"/>
      <c r="J64" s="106"/>
      <c r="K64" s="107"/>
      <c r="L64" s="105"/>
      <c r="M64" s="103" t="s">
        <v>97</v>
      </c>
      <c r="N64" s="105"/>
      <c r="O64" s="105"/>
      <c r="P64" s="105"/>
      <c r="Q64" s="105"/>
      <c r="R64" s="105"/>
      <c r="S64" s="103" t="s">
        <v>99</v>
      </c>
      <c r="T64" s="103" t="s">
        <v>96</v>
      </c>
      <c r="U64" s="103" t="s">
        <v>96</v>
      </c>
      <c r="V64" s="106"/>
      <c r="W64" s="107"/>
      <c r="X64" s="105"/>
      <c r="Y64" s="105"/>
      <c r="Z64" s="105"/>
      <c r="AA64" s="103" t="s">
        <v>97</v>
      </c>
      <c r="AB64" s="105"/>
      <c r="AC64" s="105"/>
      <c r="AD64" s="105"/>
      <c r="AE64" s="105"/>
      <c r="AF64" s="103" t="s">
        <v>98</v>
      </c>
      <c r="AG64" s="105"/>
      <c r="AH64" s="106"/>
      <c r="AI64" s="107"/>
      <c r="AJ64" s="103" t="s">
        <v>97</v>
      </c>
      <c r="AK64" s="105"/>
      <c r="AL64" s="105"/>
      <c r="AM64" s="105"/>
      <c r="AN64" s="103" t="s">
        <v>96</v>
      </c>
      <c r="AO64" s="105"/>
      <c r="AP64" s="105"/>
      <c r="AQ64" s="105"/>
      <c r="AR64" s="103" t="s">
        <v>97</v>
      </c>
      <c r="AS64" s="103" t="s">
        <v>97</v>
      </c>
      <c r="AT64" s="136" t="s">
        <v>97</v>
      </c>
      <c r="AU64" s="107"/>
      <c r="AV64" s="103" t="s">
        <v>98</v>
      </c>
      <c r="AW64" s="105"/>
      <c r="AX64" s="105"/>
      <c r="AY64" s="105"/>
      <c r="AZ64" s="105"/>
      <c r="BA64" s="105"/>
      <c r="BB64" s="105"/>
      <c r="BC64" s="105"/>
      <c r="BD64" s="105"/>
      <c r="BE64" s="105"/>
      <c r="BF64" s="106"/>
      <c r="BG64" s="105"/>
      <c r="BH64" s="105"/>
      <c r="BI64" s="105"/>
      <c r="BJ64" s="105"/>
      <c r="BK64" s="102"/>
      <c r="BL64" s="102"/>
      <c r="BM64" s="102"/>
      <c r="BN64" s="102"/>
      <c r="BO64" s="102"/>
      <c r="BP64" s="102"/>
      <c r="BQ64" s="102"/>
      <c r="BR64" s="102"/>
      <c r="BS64" s="102"/>
      <c r="BT64" s="102"/>
      <c r="BU64" s="102"/>
      <c r="BV64" s="102"/>
      <c r="BW64" s="102"/>
      <c r="BX64" s="102"/>
      <c r="BY64" s="102"/>
      <c r="BZ64" s="102"/>
      <c r="CA64" s="102"/>
      <c r="CB64" s="102"/>
      <c r="CC64" s="102"/>
      <c r="CD64" s="102"/>
      <c r="CE64" s="102"/>
      <c r="CF64" s="102"/>
      <c r="CG64" s="102"/>
      <c r="CH64" s="102"/>
      <c r="CI64" s="102"/>
      <c r="CJ64" s="102"/>
      <c r="CK64" s="102"/>
      <c r="CL64" s="102"/>
      <c r="CM64" s="102"/>
      <c r="CN64" s="102"/>
      <c r="CO64" s="102"/>
      <c r="CP64" s="102"/>
      <c r="CQ64" s="102"/>
      <c r="CR64" s="102"/>
      <c r="CS64" s="102"/>
      <c r="CT64" s="102"/>
      <c r="CU64" s="102"/>
      <c r="CV64" s="102"/>
      <c r="CW64" s="102"/>
      <c r="CX64" s="102"/>
      <c r="CY64" s="102"/>
      <c r="CZ64" s="102"/>
      <c r="DA64" s="102"/>
      <c r="DB64" s="102"/>
      <c r="DC64" s="102"/>
      <c r="DD64" s="102"/>
      <c r="DE64" s="102"/>
      <c r="DF64" s="102"/>
      <c r="DG64" s="102"/>
      <c r="DH64" s="102"/>
      <c r="DI64" s="102"/>
      <c r="DJ64" s="102"/>
      <c r="DK64" s="102"/>
      <c r="DL64" s="102"/>
      <c r="DM64" s="102"/>
      <c r="DN64" s="102"/>
      <c r="DO64" s="102"/>
      <c r="DP64" s="102"/>
      <c r="DQ64" s="102"/>
      <c r="DR64" s="102"/>
      <c r="DS64" s="102"/>
      <c r="DT64" s="102"/>
      <c r="DU64" s="102"/>
      <c r="DV64" s="102"/>
      <c r="DW64" s="102"/>
      <c r="DX64" s="102"/>
      <c r="DY64" s="102"/>
      <c r="DZ64" s="102"/>
      <c r="EA64" s="102"/>
      <c r="EB64" s="102"/>
      <c r="EC64" s="102"/>
      <c r="ED64" s="102"/>
      <c r="EE64" s="102"/>
      <c r="EF64" s="102"/>
      <c r="EG64" s="102"/>
      <c r="EH64" s="102"/>
      <c r="EI64" s="102"/>
      <c r="EJ64" s="102"/>
      <c r="EK64" s="102"/>
      <c r="EL64" s="102"/>
      <c r="EM64" s="102"/>
      <c r="EN64" s="102"/>
      <c r="EO64" s="102"/>
      <c r="EP64" s="102"/>
      <c r="EQ64" s="102"/>
    </row>
    <row r="65" hidden="1">
      <c r="A65" s="110" t="s">
        <v>170</v>
      </c>
      <c r="B65" s="111">
        <f t="shared" si="1"/>
        <v>46113</v>
      </c>
      <c r="C65" s="110">
        <v>210.0</v>
      </c>
      <c r="D65" s="110" t="s">
        <v>95</v>
      </c>
      <c r="E65" s="112"/>
      <c r="F65" s="110" t="s">
        <v>97</v>
      </c>
      <c r="G65" s="110" t="s">
        <v>97</v>
      </c>
      <c r="H65" s="112"/>
      <c r="I65" s="112"/>
      <c r="J65" s="113"/>
      <c r="K65" s="114"/>
      <c r="L65" s="116"/>
      <c r="M65" s="115" t="s">
        <v>97</v>
      </c>
      <c r="N65" s="116"/>
      <c r="O65" s="116"/>
      <c r="P65" s="116"/>
      <c r="Q65" s="116"/>
      <c r="R65" s="116"/>
      <c r="S65" s="115" t="s">
        <v>99</v>
      </c>
      <c r="T65" s="116"/>
      <c r="U65" s="116"/>
      <c r="V65" s="117"/>
      <c r="W65" s="118"/>
      <c r="X65" s="120"/>
      <c r="Y65" s="121" t="s">
        <v>99</v>
      </c>
      <c r="Z65" s="120"/>
      <c r="AA65" s="121" t="s">
        <v>97</v>
      </c>
      <c r="AB65" s="120"/>
      <c r="AC65" s="120"/>
      <c r="AD65" s="120"/>
      <c r="AE65" s="120"/>
      <c r="AF65" s="121" t="s">
        <v>97</v>
      </c>
      <c r="AG65" s="120"/>
      <c r="AH65" s="122"/>
      <c r="AI65" s="123"/>
      <c r="AJ65" s="125" t="s">
        <v>97</v>
      </c>
      <c r="AK65" s="124"/>
      <c r="AL65" s="124"/>
      <c r="AM65" s="124"/>
      <c r="AN65" s="125" t="s">
        <v>96</v>
      </c>
      <c r="AO65" s="124"/>
      <c r="AP65" s="124"/>
      <c r="AQ65" s="124"/>
      <c r="AR65" s="125" t="s">
        <v>97</v>
      </c>
      <c r="AS65" s="124"/>
      <c r="AT65" s="126"/>
      <c r="AU65" s="127"/>
      <c r="AV65" s="129"/>
      <c r="AW65" s="129"/>
      <c r="AX65" s="128" t="s">
        <v>97</v>
      </c>
      <c r="AY65" s="129"/>
      <c r="AZ65" s="129"/>
      <c r="BA65" s="129"/>
      <c r="BB65" s="129"/>
      <c r="BC65" s="129"/>
      <c r="BD65" s="129"/>
      <c r="BE65" s="129"/>
      <c r="BF65" s="130"/>
      <c r="BG65" s="129"/>
      <c r="BH65" s="129"/>
      <c r="BI65" s="129"/>
      <c r="BJ65" s="129"/>
      <c r="BK65" s="102"/>
      <c r="BL65" s="102"/>
      <c r="BM65" s="102"/>
      <c r="BN65" s="102"/>
      <c r="BO65" s="102"/>
      <c r="BP65" s="102"/>
      <c r="BQ65" s="102"/>
      <c r="BR65" s="102"/>
      <c r="BS65" s="102"/>
      <c r="BT65" s="102"/>
      <c r="BU65" s="102"/>
      <c r="BV65" s="102"/>
      <c r="BW65" s="102"/>
      <c r="BX65" s="102"/>
      <c r="BY65" s="102"/>
      <c r="BZ65" s="102"/>
      <c r="CA65" s="102"/>
      <c r="CB65" s="102"/>
      <c r="CC65" s="102"/>
      <c r="CD65" s="102"/>
      <c r="CE65" s="102"/>
      <c r="CF65" s="102"/>
      <c r="CG65" s="102"/>
      <c r="CH65" s="102"/>
      <c r="CI65" s="102"/>
      <c r="CJ65" s="102"/>
      <c r="CK65" s="102"/>
      <c r="CL65" s="102"/>
      <c r="CM65" s="102"/>
      <c r="CN65" s="102"/>
      <c r="CO65" s="102"/>
      <c r="CP65" s="102"/>
      <c r="CQ65" s="102"/>
      <c r="CR65" s="102"/>
      <c r="CS65" s="102"/>
      <c r="CT65" s="102"/>
      <c r="CU65" s="102"/>
      <c r="CV65" s="102"/>
      <c r="CW65" s="102"/>
      <c r="CX65" s="102"/>
      <c r="CY65" s="102"/>
      <c r="CZ65" s="102"/>
      <c r="DA65" s="102"/>
      <c r="DB65" s="102"/>
      <c r="DC65" s="102"/>
      <c r="DD65" s="102"/>
      <c r="DE65" s="102"/>
      <c r="DF65" s="102"/>
      <c r="DG65" s="102"/>
      <c r="DH65" s="102"/>
      <c r="DI65" s="102"/>
      <c r="DJ65" s="102"/>
      <c r="DK65" s="102"/>
      <c r="DL65" s="102"/>
      <c r="DM65" s="102"/>
      <c r="DN65" s="102"/>
      <c r="DO65" s="102"/>
      <c r="DP65" s="102"/>
      <c r="DQ65" s="102"/>
      <c r="DR65" s="102"/>
      <c r="DS65" s="102"/>
      <c r="DT65" s="102"/>
      <c r="DU65" s="102"/>
      <c r="DV65" s="102"/>
      <c r="DW65" s="102"/>
      <c r="DX65" s="102"/>
      <c r="DY65" s="102"/>
      <c r="DZ65" s="102"/>
      <c r="EA65" s="102"/>
      <c r="EB65" s="102"/>
      <c r="EC65" s="102"/>
      <c r="ED65" s="102"/>
      <c r="EE65" s="102"/>
      <c r="EF65" s="102"/>
      <c r="EG65" s="102"/>
      <c r="EH65" s="102"/>
      <c r="EI65" s="102"/>
      <c r="EJ65" s="102"/>
      <c r="EK65" s="102"/>
      <c r="EL65" s="102"/>
      <c r="EM65" s="102"/>
      <c r="EN65" s="102"/>
      <c r="EO65" s="102"/>
      <c r="EP65" s="102"/>
      <c r="EQ65" s="102"/>
    </row>
    <row r="66" hidden="1">
      <c r="A66" s="103" t="s">
        <v>171</v>
      </c>
      <c r="B66" s="131">
        <f t="shared" si="1"/>
        <v>46054</v>
      </c>
      <c r="C66" s="103">
        <v>365.0</v>
      </c>
      <c r="D66" s="103" t="s">
        <v>128</v>
      </c>
      <c r="E66" s="105"/>
      <c r="F66" s="105"/>
      <c r="G66" s="105"/>
      <c r="H66" s="105"/>
      <c r="I66" s="105"/>
      <c r="J66" s="106"/>
      <c r="K66" s="107"/>
      <c r="L66" s="105"/>
      <c r="M66" s="105"/>
      <c r="N66" s="105"/>
      <c r="O66" s="105"/>
      <c r="P66" s="103" t="s">
        <v>98</v>
      </c>
      <c r="Q66" s="105"/>
      <c r="R66" s="105"/>
      <c r="S66" s="105"/>
      <c r="T66" s="105"/>
      <c r="U66" s="105"/>
      <c r="V66" s="136" t="s">
        <v>98</v>
      </c>
      <c r="W66" s="107"/>
      <c r="X66" s="105"/>
      <c r="Y66" s="105"/>
      <c r="Z66" s="105"/>
      <c r="AA66" s="105"/>
      <c r="AB66" s="103" t="s">
        <v>98</v>
      </c>
      <c r="AC66" s="105"/>
      <c r="AD66" s="105"/>
      <c r="AE66" s="105"/>
      <c r="AF66" s="105"/>
      <c r="AG66" s="105"/>
      <c r="AH66" s="106"/>
      <c r="AI66" s="108" t="s">
        <v>98</v>
      </c>
      <c r="AJ66" s="105"/>
      <c r="AK66" s="105"/>
      <c r="AL66" s="105"/>
      <c r="AM66" s="105"/>
      <c r="AN66" s="103" t="s">
        <v>98</v>
      </c>
      <c r="AO66" s="105"/>
      <c r="AP66" s="105"/>
      <c r="AQ66" s="105"/>
      <c r="AR66" s="105"/>
      <c r="AS66" s="105"/>
      <c r="AT66" s="136" t="s">
        <v>98</v>
      </c>
      <c r="AU66" s="107"/>
      <c r="AV66" s="103" t="s">
        <v>98</v>
      </c>
      <c r="AW66" s="105"/>
      <c r="AX66" s="105"/>
      <c r="AY66" s="105"/>
      <c r="AZ66" s="105"/>
      <c r="BA66" s="105"/>
      <c r="BB66" s="105"/>
      <c r="BC66" s="105"/>
      <c r="BD66" s="105"/>
      <c r="BE66" s="105"/>
      <c r="BF66" s="106"/>
      <c r="BG66" s="105"/>
      <c r="BH66" s="105"/>
      <c r="BI66" s="105"/>
      <c r="BJ66" s="105"/>
      <c r="BK66" s="102"/>
      <c r="BL66" s="102"/>
      <c r="BM66" s="102"/>
      <c r="BN66" s="102"/>
      <c r="BO66" s="102"/>
      <c r="BP66" s="102"/>
      <c r="BQ66" s="102"/>
      <c r="BR66" s="102"/>
      <c r="BS66" s="102"/>
      <c r="BT66" s="102"/>
      <c r="BU66" s="102"/>
      <c r="BV66" s="102"/>
      <c r="BW66" s="102"/>
      <c r="BX66" s="102"/>
      <c r="BY66" s="102"/>
      <c r="BZ66" s="102"/>
      <c r="CA66" s="102"/>
      <c r="CB66" s="102"/>
      <c r="CC66" s="102"/>
      <c r="CD66" s="102"/>
      <c r="CE66" s="102"/>
      <c r="CF66" s="102"/>
      <c r="CG66" s="102"/>
      <c r="CH66" s="102"/>
      <c r="CI66" s="102"/>
      <c r="CJ66" s="102"/>
      <c r="CK66" s="102"/>
      <c r="CL66" s="102"/>
      <c r="CM66" s="102"/>
      <c r="CN66" s="102"/>
      <c r="CO66" s="102"/>
      <c r="CP66" s="102"/>
      <c r="CQ66" s="102"/>
      <c r="CR66" s="102"/>
      <c r="CS66" s="102"/>
      <c r="CT66" s="102"/>
      <c r="CU66" s="102"/>
      <c r="CV66" s="102"/>
      <c r="CW66" s="102"/>
      <c r="CX66" s="102"/>
      <c r="CY66" s="102"/>
      <c r="CZ66" s="102"/>
      <c r="DA66" s="102"/>
      <c r="DB66" s="102"/>
      <c r="DC66" s="102"/>
      <c r="DD66" s="102"/>
      <c r="DE66" s="102"/>
      <c r="DF66" s="102"/>
      <c r="DG66" s="102"/>
      <c r="DH66" s="102"/>
      <c r="DI66" s="102"/>
      <c r="DJ66" s="102"/>
      <c r="DK66" s="102"/>
      <c r="DL66" s="102"/>
      <c r="DM66" s="102"/>
      <c r="DN66" s="102"/>
      <c r="DO66" s="102"/>
      <c r="DP66" s="102"/>
      <c r="DQ66" s="102"/>
      <c r="DR66" s="102"/>
      <c r="DS66" s="102"/>
      <c r="DT66" s="102"/>
      <c r="DU66" s="102"/>
      <c r="DV66" s="102"/>
      <c r="DW66" s="102"/>
      <c r="DX66" s="102"/>
      <c r="DY66" s="102"/>
      <c r="DZ66" s="102"/>
      <c r="EA66" s="102"/>
      <c r="EB66" s="102"/>
      <c r="EC66" s="102"/>
      <c r="ED66" s="102"/>
      <c r="EE66" s="102"/>
      <c r="EF66" s="102"/>
      <c r="EG66" s="102"/>
      <c r="EH66" s="102"/>
      <c r="EI66" s="102"/>
      <c r="EJ66" s="102"/>
      <c r="EK66" s="102"/>
      <c r="EL66" s="102"/>
      <c r="EM66" s="102"/>
      <c r="EN66" s="102"/>
      <c r="EO66" s="102"/>
      <c r="EP66" s="102"/>
      <c r="EQ66" s="102"/>
    </row>
    <row r="67" hidden="1">
      <c r="A67" s="138" t="s">
        <v>172</v>
      </c>
      <c r="B67" s="111">
        <f t="shared" si="1"/>
        <v>46113</v>
      </c>
      <c r="C67" s="110">
        <v>365.0</v>
      </c>
      <c r="D67" s="110" t="s">
        <v>128</v>
      </c>
      <c r="E67" s="112"/>
      <c r="F67" s="112"/>
      <c r="G67" s="112"/>
      <c r="H67" s="112"/>
      <c r="I67" s="112"/>
      <c r="J67" s="113"/>
      <c r="K67" s="114"/>
      <c r="L67" s="116"/>
      <c r="M67" s="116"/>
      <c r="N67" s="115" t="s">
        <v>97</v>
      </c>
      <c r="O67" s="115" t="s">
        <v>97</v>
      </c>
      <c r="P67" s="116"/>
      <c r="Q67" s="116"/>
      <c r="R67" s="115" t="s">
        <v>98</v>
      </c>
      <c r="S67" s="116"/>
      <c r="T67" s="116"/>
      <c r="U67" s="116"/>
      <c r="V67" s="143" t="s">
        <v>98</v>
      </c>
      <c r="W67" s="118"/>
      <c r="X67" s="120"/>
      <c r="Y67" s="120"/>
      <c r="Z67" s="120"/>
      <c r="AA67" s="120"/>
      <c r="AB67" s="120"/>
      <c r="AC67" s="120"/>
      <c r="AD67" s="120"/>
      <c r="AE67" s="121" t="s">
        <v>98</v>
      </c>
      <c r="AF67" s="120"/>
      <c r="AG67" s="120"/>
      <c r="AH67" s="122"/>
      <c r="AI67" s="134" t="s">
        <v>96</v>
      </c>
      <c r="AJ67" s="124"/>
      <c r="AK67" s="124"/>
      <c r="AL67" s="124"/>
      <c r="AM67" s="124"/>
      <c r="AN67" s="125" t="s">
        <v>98</v>
      </c>
      <c r="AO67" s="124"/>
      <c r="AP67" s="124"/>
      <c r="AQ67" s="125" t="s">
        <v>98</v>
      </c>
      <c r="AR67" s="124"/>
      <c r="AS67" s="124"/>
      <c r="AT67" s="133" t="s">
        <v>98</v>
      </c>
      <c r="AU67" s="127"/>
      <c r="AV67" s="128" t="s">
        <v>98</v>
      </c>
      <c r="AW67" s="129"/>
      <c r="AX67" s="128" t="s">
        <v>98</v>
      </c>
      <c r="AY67" s="129"/>
      <c r="AZ67" s="129"/>
      <c r="BA67" s="129"/>
      <c r="BB67" s="129"/>
      <c r="BC67" s="129"/>
      <c r="BD67" s="129"/>
      <c r="BE67" s="129"/>
      <c r="BF67" s="130"/>
      <c r="BG67" s="129"/>
      <c r="BH67" s="129"/>
      <c r="BI67" s="129"/>
      <c r="BJ67" s="129"/>
      <c r="BK67" s="102"/>
      <c r="BL67" s="102"/>
      <c r="BM67" s="102"/>
      <c r="BN67" s="102"/>
      <c r="BO67" s="102"/>
      <c r="BP67" s="102"/>
      <c r="BQ67" s="102"/>
      <c r="BR67" s="102"/>
      <c r="BS67" s="102"/>
      <c r="BT67" s="102"/>
      <c r="BU67" s="102"/>
      <c r="BV67" s="102"/>
      <c r="BW67" s="102"/>
      <c r="BX67" s="102"/>
      <c r="BY67" s="102"/>
      <c r="BZ67" s="102"/>
      <c r="CA67" s="102"/>
      <c r="CB67" s="102"/>
      <c r="CC67" s="102"/>
      <c r="CD67" s="102"/>
      <c r="CE67" s="102"/>
      <c r="CF67" s="102"/>
      <c r="CG67" s="102"/>
      <c r="CH67" s="102"/>
      <c r="CI67" s="102"/>
      <c r="CJ67" s="102"/>
      <c r="CK67" s="102"/>
      <c r="CL67" s="102"/>
      <c r="CM67" s="102"/>
      <c r="CN67" s="102"/>
      <c r="CO67" s="102"/>
      <c r="CP67" s="102"/>
      <c r="CQ67" s="102"/>
      <c r="CR67" s="102"/>
      <c r="CS67" s="102"/>
      <c r="CT67" s="102"/>
      <c r="CU67" s="102"/>
      <c r="CV67" s="102"/>
      <c r="CW67" s="102"/>
      <c r="CX67" s="102"/>
      <c r="CY67" s="102"/>
      <c r="CZ67" s="102"/>
      <c r="DA67" s="102"/>
      <c r="DB67" s="102"/>
      <c r="DC67" s="102"/>
      <c r="DD67" s="102"/>
      <c r="DE67" s="102"/>
      <c r="DF67" s="102"/>
      <c r="DG67" s="102"/>
      <c r="DH67" s="102"/>
      <c r="DI67" s="102"/>
      <c r="DJ67" s="102"/>
      <c r="DK67" s="102"/>
      <c r="DL67" s="102"/>
      <c r="DM67" s="102"/>
      <c r="DN67" s="102"/>
      <c r="DO67" s="102"/>
      <c r="DP67" s="102"/>
      <c r="DQ67" s="102"/>
      <c r="DR67" s="102"/>
      <c r="DS67" s="102"/>
      <c r="DT67" s="102"/>
      <c r="DU67" s="102"/>
      <c r="DV67" s="102"/>
      <c r="DW67" s="102"/>
      <c r="DX67" s="102"/>
      <c r="DY67" s="102"/>
      <c r="DZ67" s="102"/>
      <c r="EA67" s="102"/>
      <c r="EB67" s="102"/>
      <c r="EC67" s="102"/>
      <c r="ED67" s="102"/>
      <c r="EE67" s="102"/>
      <c r="EF67" s="102"/>
      <c r="EG67" s="102"/>
      <c r="EH67" s="102"/>
      <c r="EI67" s="102"/>
      <c r="EJ67" s="102"/>
      <c r="EK67" s="102"/>
      <c r="EL67" s="102"/>
      <c r="EM67" s="102"/>
      <c r="EN67" s="102"/>
      <c r="EO67" s="102"/>
      <c r="EP67" s="102"/>
      <c r="EQ67" s="102"/>
    </row>
    <row r="68" hidden="1">
      <c r="A68" s="139" t="s">
        <v>173</v>
      </c>
      <c r="B68" s="131">
        <f t="shared" si="1"/>
        <v>46082</v>
      </c>
      <c r="C68" s="103">
        <v>365.0</v>
      </c>
      <c r="D68" s="103" t="s">
        <v>128</v>
      </c>
      <c r="E68" s="105"/>
      <c r="F68" s="105"/>
      <c r="G68" s="105"/>
      <c r="H68" s="105"/>
      <c r="I68" s="105"/>
      <c r="J68" s="106"/>
      <c r="K68" s="107"/>
      <c r="L68" s="105"/>
      <c r="M68" s="105"/>
      <c r="N68" s="103" t="s">
        <v>97</v>
      </c>
      <c r="O68" s="103" t="s">
        <v>97</v>
      </c>
      <c r="P68" s="105"/>
      <c r="Q68" s="105"/>
      <c r="R68" s="103" t="s">
        <v>97</v>
      </c>
      <c r="S68" s="105"/>
      <c r="T68" s="105"/>
      <c r="U68" s="105"/>
      <c r="V68" s="136" t="s">
        <v>98</v>
      </c>
      <c r="W68" s="107"/>
      <c r="X68" s="105"/>
      <c r="Y68" s="105"/>
      <c r="Z68" s="105"/>
      <c r="AA68" s="105"/>
      <c r="AB68" s="105"/>
      <c r="AC68" s="105"/>
      <c r="AD68" s="105"/>
      <c r="AE68" s="103" t="s">
        <v>96</v>
      </c>
      <c r="AF68" s="103" t="s">
        <v>98</v>
      </c>
      <c r="AG68" s="105"/>
      <c r="AH68" s="106"/>
      <c r="AI68" s="107"/>
      <c r="AJ68" s="105"/>
      <c r="AK68" s="105"/>
      <c r="AL68" s="105"/>
      <c r="AM68" s="105"/>
      <c r="AN68" s="103" t="s">
        <v>98</v>
      </c>
      <c r="AO68" s="105"/>
      <c r="AP68" s="105"/>
      <c r="AQ68" s="105"/>
      <c r="AR68" s="103" t="s">
        <v>98</v>
      </c>
      <c r="AS68" s="105"/>
      <c r="AT68" s="106"/>
      <c r="AU68" s="107"/>
      <c r="AV68" s="103" t="s">
        <v>98</v>
      </c>
      <c r="AW68" s="103" t="s">
        <v>98</v>
      </c>
      <c r="AX68" s="105"/>
      <c r="AY68" s="105"/>
      <c r="AZ68" s="105"/>
      <c r="BA68" s="105"/>
      <c r="BB68" s="105"/>
      <c r="BC68" s="105"/>
      <c r="BD68" s="105"/>
      <c r="BE68" s="105"/>
      <c r="BF68" s="106"/>
      <c r="BG68" s="105"/>
      <c r="BH68" s="105"/>
      <c r="BI68" s="105"/>
      <c r="BJ68" s="105"/>
      <c r="BK68" s="102"/>
      <c r="BL68" s="102"/>
      <c r="BM68" s="102"/>
      <c r="BN68" s="102"/>
      <c r="BO68" s="102"/>
      <c r="BP68" s="102"/>
      <c r="BQ68" s="102"/>
      <c r="BR68" s="102"/>
      <c r="BS68" s="102"/>
      <c r="BT68" s="102"/>
      <c r="BU68" s="102"/>
      <c r="BV68" s="102"/>
      <c r="BW68" s="102"/>
      <c r="BX68" s="102"/>
      <c r="BY68" s="102"/>
      <c r="BZ68" s="102"/>
      <c r="CA68" s="102"/>
      <c r="CB68" s="102"/>
      <c r="CC68" s="102"/>
      <c r="CD68" s="102"/>
      <c r="CE68" s="102"/>
      <c r="CF68" s="102"/>
      <c r="CG68" s="102"/>
      <c r="CH68" s="102"/>
      <c r="CI68" s="102"/>
      <c r="CJ68" s="102"/>
      <c r="CK68" s="102"/>
      <c r="CL68" s="102"/>
      <c r="CM68" s="102"/>
      <c r="CN68" s="102"/>
      <c r="CO68" s="102"/>
      <c r="CP68" s="102"/>
      <c r="CQ68" s="102"/>
      <c r="CR68" s="102"/>
      <c r="CS68" s="102"/>
      <c r="CT68" s="102"/>
      <c r="CU68" s="102"/>
      <c r="CV68" s="102"/>
      <c r="CW68" s="102"/>
      <c r="CX68" s="102"/>
      <c r="CY68" s="102"/>
      <c r="CZ68" s="102"/>
      <c r="DA68" s="102"/>
      <c r="DB68" s="102"/>
      <c r="DC68" s="102"/>
      <c r="DD68" s="102"/>
      <c r="DE68" s="102"/>
      <c r="DF68" s="102"/>
      <c r="DG68" s="102"/>
      <c r="DH68" s="102"/>
      <c r="DI68" s="102"/>
      <c r="DJ68" s="102"/>
      <c r="DK68" s="102"/>
      <c r="DL68" s="102"/>
      <c r="DM68" s="102"/>
      <c r="DN68" s="102"/>
      <c r="DO68" s="102"/>
      <c r="DP68" s="102"/>
      <c r="DQ68" s="102"/>
      <c r="DR68" s="102"/>
      <c r="DS68" s="102"/>
      <c r="DT68" s="102"/>
      <c r="DU68" s="102"/>
      <c r="DV68" s="102"/>
      <c r="DW68" s="102"/>
      <c r="DX68" s="102"/>
      <c r="DY68" s="102"/>
      <c r="DZ68" s="102"/>
      <c r="EA68" s="102"/>
      <c r="EB68" s="102"/>
      <c r="EC68" s="102"/>
      <c r="ED68" s="102"/>
      <c r="EE68" s="102"/>
      <c r="EF68" s="102"/>
      <c r="EG68" s="102"/>
      <c r="EH68" s="102"/>
      <c r="EI68" s="102"/>
      <c r="EJ68" s="102"/>
      <c r="EK68" s="102"/>
      <c r="EL68" s="102"/>
      <c r="EM68" s="102"/>
      <c r="EN68" s="102"/>
      <c r="EO68" s="102"/>
      <c r="EP68" s="102"/>
      <c r="EQ68" s="102"/>
    </row>
    <row r="69" hidden="1">
      <c r="A69" s="110" t="s">
        <v>174</v>
      </c>
      <c r="B69" s="111">
        <f t="shared" si="1"/>
        <v>46054</v>
      </c>
      <c r="C69" s="110">
        <v>120.0</v>
      </c>
      <c r="D69" s="110" t="s">
        <v>109</v>
      </c>
      <c r="E69" s="112"/>
      <c r="F69" s="112"/>
      <c r="G69" s="112"/>
      <c r="H69" s="112"/>
      <c r="I69" s="110" t="s">
        <v>98</v>
      </c>
      <c r="J69" s="113"/>
      <c r="K69" s="114"/>
      <c r="L69" s="115" t="s">
        <v>96</v>
      </c>
      <c r="M69" s="116"/>
      <c r="N69" s="116"/>
      <c r="O69" s="115" t="s">
        <v>98</v>
      </c>
      <c r="P69" s="116"/>
      <c r="Q69" s="116"/>
      <c r="R69" s="115" t="s">
        <v>98</v>
      </c>
      <c r="S69" s="115" t="s">
        <v>99</v>
      </c>
      <c r="T69" s="116"/>
      <c r="U69" s="115" t="s">
        <v>98</v>
      </c>
      <c r="V69" s="117"/>
      <c r="W69" s="118"/>
      <c r="X69" s="121" t="s">
        <v>98</v>
      </c>
      <c r="Y69" s="120"/>
      <c r="Z69" s="120"/>
      <c r="AA69" s="121" t="s">
        <v>99</v>
      </c>
      <c r="AB69" s="121" t="s">
        <v>98</v>
      </c>
      <c r="AC69" s="120"/>
      <c r="AD69" s="120"/>
      <c r="AE69" s="121" t="s">
        <v>98</v>
      </c>
      <c r="AF69" s="120"/>
      <c r="AG69" s="121" t="s">
        <v>98</v>
      </c>
      <c r="AH69" s="122"/>
      <c r="AI69" s="123"/>
      <c r="AJ69" s="125" t="s">
        <v>99</v>
      </c>
      <c r="AK69" s="124"/>
      <c r="AL69" s="124"/>
      <c r="AM69" s="125" t="s">
        <v>99</v>
      </c>
      <c r="AN69" s="125" t="s">
        <v>98</v>
      </c>
      <c r="AO69" s="124"/>
      <c r="AP69" s="124"/>
      <c r="AQ69" s="125" t="s">
        <v>98</v>
      </c>
      <c r="AR69" s="124"/>
      <c r="AS69" s="124"/>
      <c r="AT69" s="133" t="s">
        <v>99</v>
      </c>
      <c r="AU69" s="127"/>
      <c r="AV69" s="128" t="s">
        <v>98</v>
      </c>
      <c r="AW69" s="129"/>
      <c r="AX69" s="129"/>
      <c r="AY69" s="129"/>
      <c r="AZ69" s="129"/>
      <c r="BA69" s="129"/>
      <c r="BB69" s="129"/>
      <c r="BC69" s="129"/>
      <c r="BD69" s="129"/>
      <c r="BE69" s="129"/>
      <c r="BF69" s="130"/>
      <c r="BG69" s="129"/>
      <c r="BH69" s="129"/>
      <c r="BI69" s="129"/>
      <c r="BJ69" s="129"/>
      <c r="BK69" s="102"/>
      <c r="BL69" s="102"/>
      <c r="BM69" s="102"/>
      <c r="BN69" s="102"/>
      <c r="BO69" s="102"/>
      <c r="BP69" s="102"/>
      <c r="BQ69" s="102"/>
      <c r="BR69" s="102"/>
      <c r="BS69" s="102"/>
      <c r="BT69" s="102"/>
      <c r="BU69" s="102"/>
      <c r="BV69" s="102"/>
      <c r="BW69" s="102"/>
      <c r="BX69" s="102"/>
      <c r="BY69" s="102"/>
      <c r="BZ69" s="102"/>
      <c r="CA69" s="102"/>
      <c r="CB69" s="102"/>
      <c r="CC69" s="102"/>
      <c r="CD69" s="102"/>
      <c r="CE69" s="102"/>
      <c r="CF69" s="102"/>
      <c r="CG69" s="102"/>
      <c r="CH69" s="102"/>
      <c r="CI69" s="102"/>
      <c r="CJ69" s="102"/>
      <c r="CK69" s="102"/>
      <c r="CL69" s="102"/>
      <c r="CM69" s="102"/>
      <c r="CN69" s="102"/>
      <c r="CO69" s="102"/>
      <c r="CP69" s="102"/>
      <c r="CQ69" s="102"/>
      <c r="CR69" s="102"/>
      <c r="CS69" s="102"/>
      <c r="CT69" s="102"/>
      <c r="CU69" s="102"/>
      <c r="CV69" s="102"/>
      <c r="CW69" s="102"/>
      <c r="CX69" s="102"/>
      <c r="CY69" s="102"/>
      <c r="CZ69" s="102"/>
      <c r="DA69" s="102"/>
      <c r="DB69" s="102"/>
      <c r="DC69" s="102"/>
      <c r="DD69" s="102"/>
      <c r="DE69" s="102"/>
      <c r="DF69" s="102"/>
      <c r="DG69" s="102"/>
      <c r="DH69" s="102"/>
      <c r="DI69" s="102"/>
      <c r="DJ69" s="102"/>
      <c r="DK69" s="102"/>
      <c r="DL69" s="102"/>
      <c r="DM69" s="102"/>
      <c r="DN69" s="102"/>
      <c r="DO69" s="102"/>
      <c r="DP69" s="102"/>
      <c r="DQ69" s="102"/>
      <c r="DR69" s="102"/>
      <c r="DS69" s="102"/>
      <c r="DT69" s="102"/>
      <c r="DU69" s="102"/>
      <c r="DV69" s="102"/>
      <c r="DW69" s="102"/>
      <c r="DX69" s="102"/>
      <c r="DY69" s="102"/>
      <c r="DZ69" s="102"/>
      <c r="EA69" s="102"/>
      <c r="EB69" s="102"/>
      <c r="EC69" s="102"/>
      <c r="ED69" s="102"/>
      <c r="EE69" s="102"/>
      <c r="EF69" s="102"/>
      <c r="EG69" s="102"/>
      <c r="EH69" s="102"/>
      <c r="EI69" s="102"/>
      <c r="EJ69" s="102"/>
      <c r="EK69" s="102"/>
      <c r="EL69" s="102"/>
      <c r="EM69" s="102"/>
      <c r="EN69" s="102"/>
      <c r="EO69" s="102"/>
      <c r="EP69" s="102"/>
      <c r="EQ69" s="102"/>
    </row>
    <row r="70" hidden="1">
      <c r="A70" s="139" t="s">
        <v>175</v>
      </c>
      <c r="B70" s="131">
        <f t="shared" si="1"/>
        <v>46113</v>
      </c>
      <c r="C70" s="103">
        <v>120.0</v>
      </c>
      <c r="D70" s="103" t="s">
        <v>109</v>
      </c>
      <c r="E70" s="105"/>
      <c r="F70" s="103" t="s">
        <v>97</v>
      </c>
      <c r="G70" s="105"/>
      <c r="H70" s="105"/>
      <c r="I70" s="103" t="s">
        <v>98</v>
      </c>
      <c r="J70" s="106"/>
      <c r="K70" s="107"/>
      <c r="L70" s="105"/>
      <c r="M70" s="103" t="s">
        <v>98</v>
      </c>
      <c r="N70" s="105"/>
      <c r="O70" s="103" t="s">
        <v>98</v>
      </c>
      <c r="P70" s="105"/>
      <c r="Q70" s="105"/>
      <c r="R70" s="103" t="s">
        <v>96</v>
      </c>
      <c r="S70" s="103" t="s">
        <v>99</v>
      </c>
      <c r="T70" s="105"/>
      <c r="U70" s="103" t="s">
        <v>97</v>
      </c>
      <c r="V70" s="106"/>
      <c r="W70" s="107"/>
      <c r="X70" s="103" t="s">
        <v>98</v>
      </c>
      <c r="Y70" s="105"/>
      <c r="Z70" s="105"/>
      <c r="AA70" s="103" t="s">
        <v>99</v>
      </c>
      <c r="AB70" s="103" t="s">
        <v>98</v>
      </c>
      <c r="AC70" s="105"/>
      <c r="AD70" s="105"/>
      <c r="AE70" s="103" t="s">
        <v>99</v>
      </c>
      <c r="AF70" s="103" t="s">
        <v>99</v>
      </c>
      <c r="AG70" s="103" t="s">
        <v>98</v>
      </c>
      <c r="AH70" s="106"/>
      <c r="AI70" s="107"/>
      <c r="AJ70" s="103" t="s">
        <v>99</v>
      </c>
      <c r="AK70" s="105"/>
      <c r="AL70" s="105"/>
      <c r="AM70" s="103" t="s">
        <v>99</v>
      </c>
      <c r="AN70" s="103" t="s">
        <v>97</v>
      </c>
      <c r="AO70" s="105"/>
      <c r="AP70" s="105"/>
      <c r="AQ70" s="103" t="s">
        <v>99</v>
      </c>
      <c r="AR70" s="103" t="s">
        <v>98</v>
      </c>
      <c r="AS70" s="103" t="s">
        <v>98</v>
      </c>
      <c r="AT70" s="106"/>
      <c r="AU70" s="107"/>
      <c r="AV70" s="103" t="s">
        <v>96</v>
      </c>
      <c r="AW70" s="103" t="s">
        <v>96</v>
      </c>
      <c r="AX70" s="103" t="s">
        <v>96</v>
      </c>
      <c r="AY70" s="105"/>
      <c r="AZ70" s="105"/>
      <c r="BA70" s="105"/>
      <c r="BB70" s="105"/>
      <c r="BC70" s="105"/>
      <c r="BD70" s="105"/>
      <c r="BE70" s="105"/>
      <c r="BF70" s="106"/>
      <c r="BG70" s="105"/>
      <c r="BH70" s="105"/>
      <c r="BI70" s="105"/>
      <c r="BJ70" s="105"/>
      <c r="BK70" s="102"/>
      <c r="BL70" s="102"/>
      <c r="BM70" s="102"/>
      <c r="BN70" s="102"/>
      <c r="BO70" s="102"/>
      <c r="BP70" s="102"/>
      <c r="BQ70" s="102"/>
      <c r="BR70" s="102"/>
      <c r="BS70" s="102"/>
      <c r="BT70" s="102"/>
      <c r="BU70" s="102"/>
      <c r="BV70" s="102"/>
      <c r="BW70" s="102"/>
      <c r="BX70" s="102"/>
      <c r="BY70" s="102"/>
      <c r="BZ70" s="102"/>
      <c r="CA70" s="102"/>
      <c r="CB70" s="102"/>
      <c r="CC70" s="102"/>
      <c r="CD70" s="102"/>
      <c r="CE70" s="102"/>
      <c r="CF70" s="102"/>
      <c r="CG70" s="102"/>
      <c r="CH70" s="102"/>
      <c r="CI70" s="102"/>
      <c r="CJ70" s="102"/>
      <c r="CK70" s="102"/>
      <c r="CL70" s="102"/>
      <c r="CM70" s="102"/>
      <c r="CN70" s="102"/>
      <c r="CO70" s="102"/>
      <c r="CP70" s="102"/>
      <c r="CQ70" s="102"/>
      <c r="CR70" s="102"/>
      <c r="CS70" s="102"/>
      <c r="CT70" s="102"/>
      <c r="CU70" s="102"/>
      <c r="CV70" s="102"/>
      <c r="CW70" s="102"/>
      <c r="CX70" s="102"/>
      <c r="CY70" s="102"/>
      <c r="CZ70" s="102"/>
      <c r="DA70" s="102"/>
      <c r="DB70" s="102"/>
      <c r="DC70" s="102"/>
      <c r="DD70" s="102"/>
      <c r="DE70" s="102"/>
      <c r="DF70" s="102"/>
      <c r="DG70" s="102"/>
      <c r="DH70" s="102"/>
      <c r="DI70" s="102"/>
      <c r="DJ70" s="102"/>
      <c r="DK70" s="102"/>
      <c r="DL70" s="102"/>
      <c r="DM70" s="102"/>
      <c r="DN70" s="102"/>
      <c r="DO70" s="102"/>
      <c r="DP70" s="102"/>
      <c r="DQ70" s="102"/>
      <c r="DR70" s="102"/>
      <c r="DS70" s="102"/>
      <c r="DT70" s="102"/>
      <c r="DU70" s="102"/>
      <c r="DV70" s="102"/>
      <c r="DW70" s="102"/>
      <c r="DX70" s="102"/>
      <c r="DY70" s="102"/>
      <c r="DZ70" s="102"/>
      <c r="EA70" s="102"/>
      <c r="EB70" s="102"/>
      <c r="EC70" s="102"/>
      <c r="ED70" s="102"/>
      <c r="EE70" s="102"/>
      <c r="EF70" s="102"/>
      <c r="EG70" s="102"/>
      <c r="EH70" s="102"/>
      <c r="EI70" s="102"/>
      <c r="EJ70" s="102"/>
      <c r="EK70" s="102"/>
      <c r="EL70" s="102"/>
      <c r="EM70" s="102"/>
      <c r="EN70" s="102"/>
      <c r="EO70" s="102"/>
      <c r="EP70" s="102"/>
      <c r="EQ70" s="102"/>
    </row>
    <row r="71" hidden="1">
      <c r="A71" s="138" t="s">
        <v>176</v>
      </c>
      <c r="B71" s="111">
        <f t="shared" si="1"/>
        <v>45992</v>
      </c>
      <c r="C71" s="110">
        <v>150.0</v>
      </c>
      <c r="D71" s="110" t="s">
        <v>177</v>
      </c>
      <c r="E71" s="112"/>
      <c r="F71" s="110" t="s">
        <v>97</v>
      </c>
      <c r="G71" s="112"/>
      <c r="H71" s="112"/>
      <c r="I71" s="112"/>
      <c r="J71" s="137" t="s">
        <v>97</v>
      </c>
      <c r="K71" s="114"/>
      <c r="L71" s="116"/>
      <c r="M71" s="116"/>
      <c r="N71" s="115" t="s">
        <v>97</v>
      </c>
      <c r="O71" s="116"/>
      <c r="P71" s="116"/>
      <c r="Q71" s="116"/>
      <c r="R71" s="115" t="s">
        <v>97</v>
      </c>
      <c r="S71" s="115" t="s">
        <v>99</v>
      </c>
      <c r="T71" s="116"/>
      <c r="U71" s="116"/>
      <c r="V71" s="143" t="s">
        <v>99</v>
      </c>
      <c r="W71" s="118"/>
      <c r="X71" s="120"/>
      <c r="Y71" s="120"/>
      <c r="Z71" s="121" t="s">
        <v>99</v>
      </c>
      <c r="AA71" s="120"/>
      <c r="AB71" s="120"/>
      <c r="AC71" s="120"/>
      <c r="AD71" s="121" t="s">
        <v>99</v>
      </c>
      <c r="AE71" s="121" t="s">
        <v>97</v>
      </c>
      <c r="AF71" s="120"/>
      <c r="AG71" s="120"/>
      <c r="AH71" s="122"/>
      <c r="AI71" s="134" t="s">
        <v>99</v>
      </c>
      <c r="AJ71" s="124"/>
      <c r="AK71" s="124"/>
      <c r="AL71" s="124"/>
      <c r="AM71" s="125" t="s">
        <v>99</v>
      </c>
      <c r="AN71" s="125" t="s">
        <v>99</v>
      </c>
      <c r="AO71" s="125" t="s">
        <v>99</v>
      </c>
      <c r="AP71" s="125" t="s">
        <v>99</v>
      </c>
      <c r="AQ71" s="125" t="s">
        <v>99</v>
      </c>
      <c r="AR71" s="125" t="s">
        <v>99</v>
      </c>
      <c r="AS71" s="125" t="s">
        <v>99</v>
      </c>
      <c r="AT71" s="133" t="s">
        <v>97</v>
      </c>
      <c r="AU71" s="127"/>
      <c r="AV71" s="129"/>
      <c r="AW71" s="129"/>
      <c r="AX71" s="128" t="s">
        <v>99</v>
      </c>
      <c r="AY71" s="129"/>
      <c r="AZ71" s="129"/>
      <c r="BA71" s="129"/>
      <c r="BB71" s="129"/>
      <c r="BC71" s="129"/>
      <c r="BD71" s="129"/>
      <c r="BE71" s="129"/>
      <c r="BF71" s="130"/>
      <c r="BG71" s="129"/>
      <c r="BH71" s="129"/>
      <c r="BI71" s="129"/>
      <c r="BJ71" s="129"/>
      <c r="BK71" s="102"/>
      <c r="BL71" s="102"/>
      <c r="BM71" s="102"/>
      <c r="BN71" s="102"/>
      <c r="BO71" s="102"/>
      <c r="BP71" s="102"/>
      <c r="BQ71" s="102"/>
      <c r="BR71" s="102"/>
      <c r="BS71" s="102"/>
      <c r="BT71" s="102"/>
      <c r="BU71" s="102"/>
      <c r="BV71" s="102"/>
      <c r="BW71" s="102"/>
      <c r="BX71" s="102"/>
      <c r="BY71" s="102"/>
      <c r="BZ71" s="102"/>
      <c r="CA71" s="102"/>
      <c r="CB71" s="102"/>
      <c r="CC71" s="102"/>
      <c r="CD71" s="102"/>
      <c r="CE71" s="102"/>
      <c r="CF71" s="102"/>
      <c r="CG71" s="102"/>
      <c r="CH71" s="102"/>
      <c r="CI71" s="102"/>
      <c r="CJ71" s="102"/>
      <c r="CK71" s="102"/>
      <c r="CL71" s="102"/>
      <c r="CM71" s="102"/>
      <c r="CN71" s="102"/>
      <c r="CO71" s="102"/>
      <c r="CP71" s="102"/>
      <c r="CQ71" s="102"/>
      <c r="CR71" s="102"/>
      <c r="CS71" s="102"/>
      <c r="CT71" s="102"/>
      <c r="CU71" s="102"/>
      <c r="CV71" s="102"/>
      <c r="CW71" s="102"/>
      <c r="CX71" s="102"/>
      <c r="CY71" s="102"/>
      <c r="CZ71" s="102"/>
      <c r="DA71" s="102"/>
      <c r="DB71" s="102"/>
      <c r="DC71" s="102"/>
      <c r="DD71" s="102"/>
      <c r="DE71" s="102"/>
      <c r="DF71" s="102"/>
      <c r="DG71" s="102"/>
      <c r="DH71" s="102"/>
      <c r="DI71" s="102"/>
      <c r="DJ71" s="102"/>
      <c r="DK71" s="102"/>
      <c r="DL71" s="102"/>
      <c r="DM71" s="102"/>
      <c r="DN71" s="102"/>
      <c r="DO71" s="102"/>
      <c r="DP71" s="102"/>
      <c r="DQ71" s="102"/>
      <c r="DR71" s="102"/>
      <c r="DS71" s="102"/>
      <c r="DT71" s="102"/>
      <c r="DU71" s="102"/>
      <c r="DV71" s="102"/>
      <c r="DW71" s="102"/>
      <c r="DX71" s="102"/>
      <c r="DY71" s="102"/>
      <c r="DZ71" s="102"/>
      <c r="EA71" s="102"/>
      <c r="EB71" s="102"/>
      <c r="EC71" s="102"/>
      <c r="ED71" s="102"/>
      <c r="EE71" s="102"/>
      <c r="EF71" s="102"/>
      <c r="EG71" s="102"/>
      <c r="EH71" s="102"/>
      <c r="EI71" s="102"/>
      <c r="EJ71" s="102"/>
      <c r="EK71" s="102"/>
      <c r="EL71" s="102"/>
      <c r="EM71" s="102"/>
      <c r="EN71" s="102"/>
      <c r="EO71" s="102"/>
      <c r="EP71" s="102"/>
      <c r="EQ71" s="102"/>
    </row>
    <row r="72" hidden="1">
      <c r="A72" s="139" t="s">
        <v>178</v>
      </c>
      <c r="B72" s="131">
        <f t="shared" si="1"/>
        <v>46082</v>
      </c>
      <c r="C72" s="103">
        <v>150.0</v>
      </c>
      <c r="D72" s="103" t="s">
        <v>177</v>
      </c>
      <c r="E72" s="105"/>
      <c r="F72" s="103" t="s">
        <v>97</v>
      </c>
      <c r="G72" s="105"/>
      <c r="H72" s="105"/>
      <c r="I72" s="105"/>
      <c r="J72" s="136" t="s">
        <v>97</v>
      </c>
      <c r="K72" s="107"/>
      <c r="L72" s="105"/>
      <c r="M72" s="105"/>
      <c r="N72" s="103" t="s">
        <v>97</v>
      </c>
      <c r="O72" s="105"/>
      <c r="P72" s="105"/>
      <c r="Q72" s="105"/>
      <c r="R72" s="103" t="s">
        <v>97</v>
      </c>
      <c r="S72" s="103" t="s">
        <v>99</v>
      </c>
      <c r="T72" s="105"/>
      <c r="U72" s="105"/>
      <c r="V72" s="136" t="s">
        <v>99</v>
      </c>
      <c r="W72" s="107"/>
      <c r="X72" s="105"/>
      <c r="Y72" s="105"/>
      <c r="Z72" s="103" t="s">
        <v>99</v>
      </c>
      <c r="AA72" s="105"/>
      <c r="AB72" s="105"/>
      <c r="AC72" s="105"/>
      <c r="AD72" s="103" t="s">
        <v>99</v>
      </c>
      <c r="AE72" s="103" t="s">
        <v>97</v>
      </c>
      <c r="AF72" s="105"/>
      <c r="AG72" s="105"/>
      <c r="AH72" s="106"/>
      <c r="AI72" s="108" t="s">
        <v>99</v>
      </c>
      <c r="AJ72" s="105"/>
      <c r="AK72" s="105"/>
      <c r="AL72" s="105"/>
      <c r="AM72" s="103" t="s">
        <v>99</v>
      </c>
      <c r="AN72" s="103" t="s">
        <v>99</v>
      </c>
      <c r="AO72" s="103" t="s">
        <v>99</v>
      </c>
      <c r="AP72" s="103" t="s">
        <v>99</v>
      </c>
      <c r="AQ72" s="103" t="s">
        <v>99</v>
      </c>
      <c r="AR72" s="103" t="s">
        <v>99</v>
      </c>
      <c r="AS72" s="103" t="s">
        <v>99</v>
      </c>
      <c r="AT72" s="136" t="s">
        <v>97</v>
      </c>
      <c r="AU72" s="107"/>
      <c r="AV72" s="105"/>
      <c r="AW72" s="103" t="s">
        <v>97</v>
      </c>
      <c r="AX72" s="105"/>
      <c r="AY72" s="105"/>
      <c r="AZ72" s="105"/>
      <c r="BA72" s="105"/>
      <c r="BB72" s="105"/>
      <c r="BC72" s="105"/>
      <c r="BD72" s="105"/>
      <c r="BE72" s="105"/>
      <c r="BF72" s="106"/>
      <c r="BG72" s="105"/>
      <c r="BH72" s="105"/>
      <c r="BI72" s="105"/>
      <c r="BJ72" s="105"/>
      <c r="BK72" s="102"/>
      <c r="BL72" s="102"/>
      <c r="BM72" s="102"/>
      <c r="BN72" s="102"/>
      <c r="BO72" s="102"/>
      <c r="BP72" s="102"/>
      <c r="BQ72" s="102"/>
      <c r="BR72" s="102"/>
      <c r="BS72" s="102"/>
      <c r="BT72" s="102"/>
      <c r="BU72" s="102"/>
      <c r="BV72" s="102"/>
      <c r="BW72" s="102"/>
      <c r="BX72" s="102"/>
      <c r="BY72" s="102"/>
      <c r="BZ72" s="102"/>
      <c r="CA72" s="102"/>
      <c r="CB72" s="102"/>
      <c r="CC72" s="102"/>
      <c r="CD72" s="102"/>
      <c r="CE72" s="102"/>
      <c r="CF72" s="102"/>
      <c r="CG72" s="102"/>
      <c r="CH72" s="102"/>
      <c r="CI72" s="102"/>
      <c r="CJ72" s="102"/>
      <c r="CK72" s="102"/>
      <c r="CL72" s="102"/>
      <c r="CM72" s="102"/>
      <c r="CN72" s="102"/>
      <c r="CO72" s="102"/>
      <c r="CP72" s="102"/>
      <c r="CQ72" s="102"/>
      <c r="CR72" s="102"/>
      <c r="CS72" s="102"/>
      <c r="CT72" s="102"/>
      <c r="CU72" s="102"/>
      <c r="CV72" s="102"/>
      <c r="CW72" s="102"/>
      <c r="CX72" s="102"/>
      <c r="CY72" s="102"/>
      <c r="CZ72" s="102"/>
      <c r="DA72" s="102"/>
      <c r="DB72" s="102"/>
      <c r="DC72" s="102"/>
      <c r="DD72" s="102"/>
      <c r="DE72" s="102"/>
      <c r="DF72" s="102"/>
      <c r="DG72" s="102"/>
      <c r="DH72" s="102"/>
      <c r="DI72" s="102"/>
      <c r="DJ72" s="102"/>
      <c r="DK72" s="102"/>
      <c r="DL72" s="102"/>
      <c r="DM72" s="102"/>
      <c r="DN72" s="102"/>
      <c r="DO72" s="102"/>
      <c r="DP72" s="102"/>
      <c r="DQ72" s="102"/>
      <c r="DR72" s="102"/>
      <c r="DS72" s="102"/>
      <c r="DT72" s="102"/>
      <c r="DU72" s="102"/>
      <c r="DV72" s="102"/>
      <c r="DW72" s="102"/>
      <c r="DX72" s="102"/>
      <c r="DY72" s="102"/>
      <c r="DZ72" s="102"/>
      <c r="EA72" s="102"/>
      <c r="EB72" s="102"/>
      <c r="EC72" s="102"/>
      <c r="ED72" s="102"/>
      <c r="EE72" s="102"/>
      <c r="EF72" s="102"/>
      <c r="EG72" s="102"/>
      <c r="EH72" s="102"/>
      <c r="EI72" s="102"/>
      <c r="EJ72" s="102"/>
      <c r="EK72" s="102"/>
      <c r="EL72" s="102"/>
      <c r="EM72" s="102"/>
      <c r="EN72" s="102"/>
      <c r="EO72" s="102"/>
      <c r="EP72" s="102"/>
      <c r="EQ72" s="102"/>
    </row>
    <row r="73" hidden="1">
      <c r="A73" s="138" t="s">
        <v>179</v>
      </c>
      <c r="B73" s="111">
        <f t="shared" si="1"/>
        <v>45992</v>
      </c>
      <c r="C73" s="110">
        <v>150.0</v>
      </c>
      <c r="D73" s="110" t="s">
        <v>177</v>
      </c>
      <c r="E73" s="112"/>
      <c r="F73" s="110" t="s">
        <v>97</v>
      </c>
      <c r="G73" s="112"/>
      <c r="H73" s="112"/>
      <c r="I73" s="112"/>
      <c r="J73" s="137" t="s">
        <v>97</v>
      </c>
      <c r="K73" s="114"/>
      <c r="L73" s="116"/>
      <c r="M73" s="116"/>
      <c r="N73" s="115" t="s">
        <v>97</v>
      </c>
      <c r="O73" s="116"/>
      <c r="P73" s="116"/>
      <c r="Q73" s="116"/>
      <c r="R73" s="115" t="s">
        <v>97</v>
      </c>
      <c r="S73" s="115" t="s">
        <v>99</v>
      </c>
      <c r="T73" s="116"/>
      <c r="U73" s="116"/>
      <c r="V73" s="143" t="s">
        <v>99</v>
      </c>
      <c r="W73" s="118"/>
      <c r="X73" s="120"/>
      <c r="Y73" s="120"/>
      <c r="Z73" s="121" t="s">
        <v>99</v>
      </c>
      <c r="AA73" s="120"/>
      <c r="AB73" s="120"/>
      <c r="AC73" s="120"/>
      <c r="AD73" s="121" t="s">
        <v>99</v>
      </c>
      <c r="AE73" s="121" t="s">
        <v>97</v>
      </c>
      <c r="AF73" s="120"/>
      <c r="AG73" s="120"/>
      <c r="AH73" s="122"/>
      <c r="AI73" s="134" t="s">
        <v>99</v>
      </c>
      <c r="AJ73" s="124"/>
      <c r="AK73" s="124"/>
      <c r="AL73" s="124"/>
      <c r="AM73" s="125" t="s">
        <v>99</v>
      </c>
      <c r="AN73" s="125" t="s">
        <v>99</v>
      </c>
      <c r="AO73" s="125" t="s">
        <v>99</v>
      </c>
      <c r="AP73" s="125" t="s">
        <v>99</v>
      </c>
      <c r="AQ73" s="125" t="s">
        <v>99</v>
      </c>
      <c r="AR73" s="125" t="s">
        <v>99</v>
      </c>
      <c r="AS73" s="125" t="s">
        <v>99</v>
      </c>
      <c r="AT73" s="133" t="s">
        <v>97</v>
      </c>
      <c r="AU73" s="127"/>
      <c r="AV73" s="129"/>
      <c r="AW73" s="129"/>
      <c r="AX73" s="128" t="s">
        <v>99</v>
      </c>
      <c r="AY73" s="129"/>
      <c r="AZ73" s="129"/>
      <c r="BA73" s="129"/>
      <c r="BB73" s="129"/>
      <c r="BC73" s="129"/>
      <c r="BD73" s="129"/>
      <c r="BE73" s="129"/>
      <c r="BF73" s="130"/>
      <c r="BG73" s="129"/>
      <c r="BH73" s="129"/>
      <c r="BI73" s="129"/>
      <c r="BJ73" s="129"/>
      <c r="BK73" s="102"/>
      <c r="BL73" s="102"/>
      <c r="BM73" s="102"/>
      <c r="BN73" s="102"/>
      <c r="BO73" s="102"/>
      <c r="BP73" s="102"/>
      <c r="BQ73" s="102"/>
      <c r="BR73" s="102"/>
      <c r="BS73" s="102"/>
      <c r="BT73" s="102"/>
      <c r="BU73" s="102"/>
      <c r="BV73" s="102"/>
      <c r="BW73" s="102"/>
      <c r="BX73" s="102"/>
      <c r="BY73" s="102"/>
      <c r="BZ73" s="102"/>
      <c r="CA73" s="102"/>
      <c r="CB73" s="102"/>
      <c r="CC73" s="102"/>
      <c r="CD73" s="102"/>
      <c r="CE73" s="102"/>
      <c r="CF73" s="102"/>
      <c r="CG73" s="102"/>
      <c r="CH73" s="102"/>
      <c r="CI73" s="102"/>
      <c r="CJ73" s="102"/>
      <c r="CK73" s="102"/>
      <c r="CL73" s="102"/>
      <c r="CM73" s="102"/>
      <c r="CN73" s="102"/>
      <c r="CO73" s="102"/>
      <c r="CP73" s="102"/>
      <c r="CQ73" s="102"/>
      <c r="CR73" s="102"/>
      <c r="CS73" s="102"/>
      <c r="CT73" s="102"/>
      <c r="CU73" s="102"/>
      <c r="CV73" s="102"/>
      <c r="CW73" s="102"/>
      <c r="CX73" s="102"/>
      <c r="CY73" s="102"/>
      <c r="CZ73" s="102"/>
      <c r="DA73" s="102"/>
      <c r="DB73" s="102"/>
      <c r="DC73" s="102"/>
      <c r="DD73" s="102"/>
      <c r="DE73" s="102"/>
      <c r="DF73" s="102"/>
      <c r="DG73" s="102"/>
      <c r="DH73" s="102"/>
      <c r="DI73" s="102"/>
      <c r="DJ73" s="102"/>
      <c r="DK73" s="102"/>
      <c r="DL73" s="102"/>
      <c r="DM73" s="102"/>
      <c r="DN73" s="102"/>
      <c r="DO73" s="102"/>
      <c r="DP73" s="102"/>
      <c r="DQ73" s="102"/>
      <c r="DR73" s="102"/>
      <c r="DS73" s="102"/>
      <c r="DT73" s="102"/>
      <c r="DU73" s="102"/>
      <c r="DV73" s="102"/>
      <c r="DW73" s="102"/>
      <c r="DX73" s="102"/>
      <c r="DY73" s="102"/>
      <c r="DZ73" s="102"/>
      <c r="EA73" s="102"/>
      <c r="EB73" s="102"/>
      <c r="EC73" s="102"/>
      <c r="ED73" s="102"/>
      <c r="EE73" s="102"/>
      <c r="EF73" s="102"/>
      <c r="EG73" s="102"/>
      <c r="EH73" s="102"/>
      <c r="EI73" s="102"/>
      <c r="EJ73" s="102"/>
      <c r="EK73" s="102"/>
      <c r="EL73" s="102"/>
      <c r="EM73" s="102"/>
      <c r="EN73" s="102"/>
      <c r="EO73" s="102"/>
      <c r="EP73" s="102"/>
      <c r="EQ73" s="102"/>
    </row>
    <row r="74" hidden="1">
      <c r="A74" s="139" t="s">
        <v>180</v>
      </c>
      <c r="B74" s="131">
        <f t="shared" si="1"/>
        <v>46082</v>
      </c>
      <c r="C74" s="103">
        <v>150.0</v>
      </c>
      <c r="D74" s="103" t="s">
        <v>177</v>
      </c>
      <c r="E74" s="105"/>
      <c r="F74" s="103" t="s">
        <v>97</v>
      </c>
      <c r="G74" s="105"/>
      <c r="H74" s="105"/>
      <c r="I74" s="105"/>
      <c r="J74" s="136" t="s">
        <v>97</v>
      </c>
      <c r="K74" s="107"/>
      <c r="L74" s="105"/>
      <c r="M74" s="105"/>
      <c r="N74" s="103" t="s">
        <v>97</v>
      </c>
      <c r="O74" s="105"/>
      <c r="P74" s="105"/>
      <c r="Q74" s="105"/>
      <c r="R74" s="103" t="s">
        <v>97</v>
      </c>
      <c r="S74" s="103" t="s">
        <v>99</v>
      </c>
      <c r="T74" s="105"/>
      <c r="U74" s="105"/>
      <c r="V74" s="136" t="s">
        <v>99</v>
      </c>
      <c r="W74" s="107"/>
      <c r="X74" s="105"/>
      <c r="Y74" s="105"/>
      <c r="Z74" s="103" t="s">
        <v>99</v>
      </c>
      <c r="AA74" s="105"/>
      <c r="AB74" s="105"/>
      <c r="AC74" s="105"/>
      <c r="AD74" s="103" t="s">
        <v>99</v>
      </c>
      <c r="AE74" s="103" t="s">
        <v>97</v>
      </c>
      <c r="AF74" s="105"/>
      <c r="AG74" s="105"/>
      <c r="AH74" s="106"/>
      <c r="AI74" s="108" t="s">
        <v>99</v>
      </c>
      <c r="AJ74" s="105"/>
      <c r="AK74" s="105"/>
      <c r="AL74" s="105"/>
      <c r="AM74" s="103" t="s">
        <v>99</v>
      </c>
      <c r="AN74" s="103" t="s">
        <v>99</v>
      </c>
      <c r="AO74" s="103" t="s">
        <v>99</v>
      </c>
      <c r="AP74" s="103" t="s">
        <v>99</v>
      </c>
      <c r="AQ74" s="103" t="s">
        <v>99</v>
      </c>
      <c r="AR74" s="103" t="s">
        <v>99</v>
      </c>
      <c r="AS74" s="103" t="s">
        <v>99</v>
      </c>
      <c r="AT74" s="136" t="s">
        <v>97</v>
      </c>
      <c r="AU74" s="107"/>
      <c r="AV74" s="105"/>
      <c r="AW74" s="103" t="s">
        <v>97</v>
      </c>
      <c r="AX74" s="105"/>
      <c r="AY74" s="105"/>
      <c r="AZ74" s="105"/>
      <c r="BA74" s="105"/>
      <c r="BB74" s="105"/>
      <c r="BC74" s="105"/>
      <c r="BD74" s="105"/>
      <c r="BE74" s="105"/>
      <c r="BF74" s="106"/>
      <c r="BG74" s="105"/>
      <c r="BH74" s="105"/>
      <c r="BI74" s="105"/>
      <c r="BJ74" s="105"/>
      <c r="BK74" s="102"/>
      <c r="BL74" s="102"/>
      <c r="BM74" s="102"/>
      <c r="BN74" s="102"/>
      <c r="BO74" s="102"/>
      <c r="BP74" s="102"/>
      <c r="BQ74" s="102"/>
      <c r="BR74" s="102"/>
      <c r="BS74" s="102"/>
      <c r="BT74" s="102"/>
      <c r="BU74" s="102"/>
      <c r="BV74" s="102"/>
      <c r="BW74" s="102"/>
      <c r="BX74" s="102"/>
      <c r="BY74" s="102"/>
      <c r="BZ74" s="102"/>
      <c r="CA74" s="102"/>
      <c r="CB74" s="102"/>
      <c r="CC74" s="102"/>
      <c r="CD74" s="102"/>
      <c r="CE74" s="102"/>
      <c r="CF74" s="102"/>
      <c r="CG74" s="102"/>
      <c r="CH74" s="102"/>
      <c r="CI74" s="102"/>
      <c r="CJ74" s="102"/>
      <c r="CK74" s="102"/>
      <c r="CL74" s="102"/>
      <c r="CM74" s="102"/>
      <c r="CN74" s="102"/>
      <c r="CO74" s="102"/>
      <c r="CP74" s="102"/>
      <c r="CQ74" s="102"/>
      <c r="CR74" s="102"/>
      <c r="CS74" s="102"/>
      <c r="CT74" s="102"/>
      <c r="CU74" s="102"/>
      <c r="CV74" s="102"/>
      <c r="CW74" s="102"/>
      <c r="CX74" s="102"/>
      <c r="CY74" s="102"/>
      <c r="CZ74" s="102"/>
      <c r="DA74" s="102"/>
      <c r="DB74" s="102"/>
      <c r="DC74" s="102"/>
      <c r="DD74" s="102"/>
      <c r="DE74" s="102"/>
      <c r="DF74" s="102"/>
      <c r="DG74" s="102"/>
      <c r="DH74" s="102"/>
      <c r="DI74" s="102"/>
      <c r="DJ74" s="102"/>
      <c r="DK74" s="102"/>
      <c r="DL74" s="102"/>
      <c r="DM74" s="102"/>
      <c r="DN74" s="102"/>
      <c r="DO74" s="102"/>
      <c r="DP74" s="102"/>
      <c r="DQ74" s="102"/>
      <c r="DR74" s="102"/>
      <c r="DS74" s="102"/>
      <c r="DT74" s="102"/>
      <c r="DU74" s="102"/>
      <c r="DV74" s="102"/>
      <c r="DW74" s="102"/>
      <c r="DX74" s="102"/>
      <c r="DY74" s="102"/>
      <c r="DZ74" s="102"/>
      <c r="EA74" s="102"/>
      <c r="EB74" s="102"/>
      <c r="EC74" s="102"/>
      <c r="ED74" s="102"/>
      <c r="EE74" s="102"/>
      <c r="EF74" s="102"/>
      <c r="EG74" s="102"/>
      <c r="EH74" s="102"/>
      <c r="EI74" s="102"/>
      <c r="EJ74" s="102"/>
      <c r="EK74" s="102"/>
      <c r="EL74" s="102"/>
      <c r="EM74" s="102"/>
      <c r="EN74" s="102"/>
      <c r="EO74" s="102"/>
      <c r="EP74" s="102"/>
      <c r="EQ74" s="102"/>
    </row>
    <row r="75" hidden="1">
      <c r="A75" s="138" t="s">
        <v>181</v>
      </c>
      <c r="B75" s="111">
        <f t="shared" si="1"/>
        <v>45992</v>
      </c>
      <c r="C75" s="110">
        <v>150.0</v>
      </c>
      <c r="D75" s="110" t="s">
        <v>177</v>
      </c>
      <c r="E75" s="112"/>
      <c r="F75" s="110" t="s">
        <v>97</v>
      </c>
      <c r="G75" s="112"/>
      <c r="H75" s="112"/>
      <c r="I75" s="112"/>
      <c r="J75" s="137" t="s">
        <v>99</v>
      </c>
      <c r="K75" s="114"/>
      <c r="L75" s="116"/>
      <c r="M75" s="116"/>
      <c r="N75" s="115" t="s">
        <v>97</v>
      </c>
      <c r="O75" s="116"/>
      <c r="P75" s="116"/>
      <c r="Q75" s="116"/>
      <c r="R75" s="115" t="s">
        <v>97</v>
      </c>
      <c r="S75" s="115" t="s">
        <v>99</v>
      </c>
      <c r="T75" s="116"/>
      <c r="U75" s="116"/>
      <c r="V75" s="143" t="s">
        <v>99</v>
      </c>
      <c r="W75" s="118"/>
      <c r="X75" s="120"/>
      <c r="Y75" s="120"/>
      <c r="Z75" s="121" t="s">
        <v>99</v>
      </c>
      <c r="AA75" s="120"/>
      <c r="AB75" s="120"/>
      <c r="AC75" s="120"/>
      <c r="AD75" s="121" t="s">
        <v>99</v>
      </c>
      <c r="AE75" s="121" t="s">
        <v>97</v>
      </c>
      <c r="AF75" s="120"/>
      <c r="AG75" s="120"/>
      <c r="AH75" s="122"/>
      <c r="AI75" s="134" t="s">
        <v>99</v>
      </c>
      <c r="AJ75" s="124"/>
      <c r="AK75" s="124"/>
      <c r="AL75" s="124"/>
      <c r="AM75" s="125" t="s">
        <v>99</v>
      </c>
      <c r="AN75" s="125" t="s">
        <v>99</v>
      </c>
      <c r="AO75" s="125" t="s">
        <v>99</v>
      </c>
      <c r="AP75" s="125" t="s">
        <v>99</v>
      </c>
      <c r="AQ75" s="125" t="s">
        <v>99</v>
      </c>
      <c r="AR75" s="125" t="s">
        <v>99</v>
      </c>
      <c r="AS75" s="125" t="s">
        <v>99</v>
      </c>
      <c r="AT75" s="133" t="s">
        <v>97</v>
      </c>
      <c r="AU75" s="127"/>
      <c r="AV75" s="129"/>
      <c r="AW75" s="129"/>
      <c r="AX75" s="128" t="s">
        <v>99</v>
      </c>
      <c r="AY75" s="129"/>
      <c r="AZ75" s="129"/>
      <c r="BA75" s="129"/>
      <c r="BB75" s="129"/>
      <c r="BC75" s="129"/>
      <c r="BD75" s="129"/>
      <c r="BE75" s="129"/>
      <c r="BF75" s="130"/>
      <c r="BG75" s="129"/>
      <c r="BH75" s="129"/>
      <c r="BI75" s="129"/>
      <c r="BJ75" s="129"/>
      <c r="BK75" s="102"/>
      <c r="BL75" s="102"/>
      <c r="BM75" s="102"/>
      <c r="BN75" s="102"/>
      <c r="BO75" s="102"/>
      <c r="BP75" s="102"/>
      <c r="BQ75" s="102"/>
      <c r="BR75" s="102"/>
      <c r="BS75" s="102"/>
      <c r="BT75" s="102"/>
      <c r="BU75" s="102"/>
      <c r="BV75" s="102"/>
      <c r="BW75" s="102"/>
      <c r="BX75" s="102"/>
      <c r="BY75" s="102"/>
      <c r="BZ75" s="102"/>
      <c r="CA75" s="102"/>
      <c r="CB75" s="102"/>
      <c r="CC75" s="102"/>
      <c r="CD75" s="102"/>
      <c r="CE75" s="102"/>
      <c r="CF75" s="102"/>
      <c r="CG75" s="102"/>
      <c r="CH75" s="102"/>
      <c r="CI75" s="102"/>
      <c r="CJ75" s="102"/>
      <c r="CK75" s="102"/>
      <c r="CL75" s="102"/>
      <c r="CM75" s="102"/>
      <c r="CN75" s="102"/>
      <c r="CO75" s="102"/>
      <c r="CP75" s="102"/>
      <c r="CQ75" s="102"/>
      <c r="CR75" s="102"/>
      <c r="CS75" s="102"/>
      <c r="CT75" s="102"/>
      <c r="CU75" s="102"/>
      <c r="CV75" s="102"/>
      <c r="CW75" s="102"/>
      <c r="CX75" s="102"/>
      <c r="CY75" s="102"/>
      <c r="CZ75" s="102"/>
      <c r="DA75" s="102"/>
      <c r="DB75" s="102"/>
      <c r="DC75" s="102"/>
      <c r="DD75" s="102"/>
      <c r="DE75" s="102"/>
      <c r="DF75" s="102"/>
      <c r="DG75" s="102"/>
      <c r="DH75" s="102"/>
      <c r="DI75" s="102"/>
      <c r="DJ75" s="102"/>
      <c r="DK75" s="102"/>
      <c r="DL75" s="102"/>
      <c r="DM75" s="102"/>
      <c r="DN75" s="102"/>
      <c r="DO75" s="102"/>
      <c r="DP75" s="102"/>
      <c r="DQ75" s="102"/>
      <c r="DR75" s="102"/>
      <c r="DS75" s="102"/>
      <c r="DT75" s="102"/>
      <c r="DU75" s="102"/>
      <c r="DV75" s="102"/>
      <c r="DW75" s="102"/>
      <c r="DX75" s="102"/>
      <c r="DY75" s="102"/>
      <c r="DZ75" s="102"/>
      <c r="EA75" s="102"/>
      <c r="EB75" s="102"/>
      <c r="EC75" s="102"/>
      <c r="ED75" s="102"/>
      <c r="EE75" s="102"/>
      <c r="EF75" s="102"/>
      <c r="EG75" s="102"/>
      <c r="EH75" s="102"/>
      <c r="EI75" s="102"/>
      <c r="EJ75" s="102"/>
      <c r="EK75" s="102"/>
      <c r="EL75" s="102"/>
      <c r="EM75" s="102"/>
      <c r="EN75" s="102"/>
      <c r="EO75" s="102"/>
      <c r="EP75" s="102"/>
      <c r="EQ75" s="102"/>
    </row>
    <row r="76" hidden="1">
      <c r="A76" s="139" t="s">
        <v>182</v>
      </c>
      <c r="B76" s="131">
        <f t="shared" si="1"/>
        <v>45992</v>
      </c>
      <c r="C76" s="103">
        <v>150.0</v>
      </c>
      <c r="D76" s="103" t="s">
        <v>177</v>
      </c>
      <c r="E76" s="105"/>
      <c r="F76" s="103" t="s">
        <v>97</v>
      </c>
      <c r="G76" s="105"/>
      <c r="H76" s="105"/>
      <c r="I76" s="105"/>
      <c r="J76" s="136" t="s">
        <v>97</v>
      </c>
      <c r="K76" s="107"/>
      <c r="L76" s="105"/>
      <c r="M76" s="105"/>
      <c r="N76" s="103" t="s">
        <v>97</v>
      </c>
      <c r="O76" s="105"/>
      <c r="P76" s="105"/>
      <c r="Q76" s="105"/>
      <c r="R76" s="103" t="s">
        <v>97</v>
      </c>
      <c r="S76" s="103" t="s">
        <v>99</v>
      </c>
      <c r="T76" s="105"/>
      <c r="U76" s="105"/>
      <c r="V76" s="136" t="s">
        <v>99</v>
      </c>
      <c r="W76" s="107"/>
      <c r="X76" s="105"/>
      <c r="Y76" s="105"/>
      <c r="Z76" s="103" t="s">
        <v>99</v>
      </c>
      <c r="AA76" s="105"/>
      <c r="AB76" s="105"/>
      <c r="AC76" s="105"/>
      <c r="AD76" s="103" t="s">
        <v>99</v>
      </c>
      <c r="AE76" s="103" t="s">
        <v>97</v>
      </c>
      <c r="AF76" s="105"/>
      <c r="AG76" s="105"/>
      <c r="AH76" s="106"/>
      <c r="AI76" s="108" t="s">
        <v>99</v>
      </c>
      <c r="AJ76" s="105"/>
      <c r="AK76" s="105"/>
      <c r="AL76" s="105"/>
      <c r="AM76" s="103" t="s">
        <v>99</v>
      </c>
      <c r="AN76" s="103" t="s">
        <v>99</v>
      </c>
      <c r="AO76" s="103" t="s">
        <v>99</v>
      </c>
      <c r="AP76" s="103" t="s">
        <v>99</v>
      </c>
      <c r="AQ76" s="103" t="s">
        <v>99</v>
      </c>
      <c r="AR76" s="103" t="s">
        <v>99</v>
      </c>
      <c r="AS76" s="103" t="s">
        <v>99</v>
      </c>
      <c r="AT76" s="136" t="s">
        <v>97</v>
      </c>
      <c r="AU76" s="107"/>
      <c r="AV76" s="105"/>
      <c r="AW76" s="105"/>
      <c r="AX76" s="103" t="s">
        <v>99</v>
      </c>
      <c r="AY76" s="105"/>
      <c r="AZ76" s="105"/>
      <c r="BA76" s="105"/>
      <c r="BB76" s="105"/>
      <c r="BC76" s="105"/>
      <c r="BD76" s="105"/>
      <c r="BE76" s="105"/>
      <c r="BF76" s="106"/>
      <c r="BG76" s="105"/>
      <c r="BH76" s="105"/>
      <c r="BI76" s="105"/>
      <c r="BJ76" s="105"/>
      <c r="BK76" s="102"/>
      <c r="BL76" s="102"/>
      <c r="BM76" s="102"/>
      <c r="BN76" s="102"/>
      <c r="BO76" s="102"/>
      <c r="BP76" s="102"/>
      <c r="BQ76" s="102"/>
      <c r="BR76" s="102"/>
      <c r="BS76" s="102"/>
      <c r="BT76" s="102"/>
      <c r="BU76" s="102"/>
      <c r="BV76" s="102"/>
      <c r="BW76" s="102"/>
      <c r="BX76" s="102"/>
      <c r="BY76" s="102"/>
      <c r="BZ76" s="102"/>
      <c r="CA76" s="102"/>
      <c r="CB76" s="102"/>
      <c r="CC76" s="102"/>
      <c r="CD76" s="102"/>
      <c r="CE76" s="102"/>
      <c r="CF76" s="102"/>
      <c r="CG76" s="102"/>
      <c r="CH76" s="102"/>
      <c r="CI76" s="102"/>
      <c r="CJ76" s="102"/>
      <c r="CK76" s="102"/>
      <c r="CL76" s="102"/>
      <c r="CM76" s="102"/>
      <c r="CN76" s="102"/>
      <c r="CO76" s="102"/>
      <c r="CP76" s="102"/>
      <c r="CQ76" s="102"/>
      <c r="CR76" s="102"/>
      <c r="CS76" s="102"/>
      <c r="CT76" s="102"/>
      <c r="CU76" s="102"/>
      <c r="CV76" s="102"/>
      <c r="CW76" s="102"/>
      <c r="CX76" s="102"/>
      <c r="CY76" s="102"/>
      <c r="CZ76" s="102"/>
      <c r="DA76" s="102"/>
      <c r="DB76" s="102"/>
      <c r="DC76" s="102"/>
      <c r="DD76" s="102"/>
      <c r="DE76" s="102"/>
      <c r="DF76" s="102"/>
      <c r="DG76" s="102"/>
      <c r="DH76" s="102"/>
      <c r="DI76" s="102"/>
      <c r="DJ76" s="102"/>
      <c r="DK76" s="102"/>
      <c r="DL76" s="102"/>
      <c r="DM76" s="102"/>
      <c r="DN76" s="102"/>
      <c r="DO76" s="102"/>
      <c r="DP76" s="102"/>
      <c r="DQ76" s="102"/>
      <c r="DR76" s="102"/>
      <c r="DS76" s="102"/>
      <c r="DT76" s="102"/>
      <c r="DU76" s="102"/>
      <c r="DV76" s="102"/>
      <c r="DW76" s="102"/>
      <c r="DX76" s="102"/>
      <c r="DY76" s="102"/>
      <c r="DZ76" s="102"/>
      <c r="EA76" s="102"/>
      <c r="EB76" s="102"/>
      <c r="EC76" s="102"/>
      <c r="ED76" s="102"/>
      <c r="EE76" s="102"/>
      <c r="EF76" s="102"/>
      <c r="EG76" s="102"/>
      <c r="EH76" s="102"/>
      <c r="EI76" s="102"/>
      <c r="EJ76" s="102"/>
      <c r="EK76" s="102"/>
      <c r="EL76" s="102"/>
      <c r="EM76" s="102"/>
      <c r="EN76" s="102"/>
      <c r="EO76" s="102"/>
      <c r="EP76" s="102"/>
      <c r="EQ76" s="102"/>
    </row>
    <row r="77" hidden="1">
      <c r="A77" s="138" t="s">
        <v>183</v>
      </c>
      <c r="B77" s="111">
        <f t="shared" si="1"/>
        <v>45992</v>
      </c>
      <c r="C77" s="110">
        <v>150.0</v>
      </c>
      <c r="D77" s="110" t="s">
        <v>177</v>
      </c>
      <c r="E77" s="112"/>
      <c r="F77" s="110" t="s">
        <v>97</v>
      </c>
      <c r="G77" s="112"/>
      <c r="H77" s="112"/>
      <c r="I77" s="112"/>
      <c r="J77" s="137" t="s">
        <v>97</v>
      </c>
      <c r="K77" s="114"/>
      <c r="L77" s="116"/>
      <c r="M77" s="116"/>
      <c r="N77" s="115" t="s">
        <v>97</v>
      </c>
      <c r="O77" s="116"/>
      <c r="P77" s="116"/>
      <c r="Q77" s="116"/>
      <c r="R77" s="115" t="s">
        <v>97</v>
      </c>
      <c r="S77" s="115" t="s">
        <v>99</v>
      </c>
      <c r="T77" s="116"/>
      <c r="U77" s="116"/>
      <c r="V77" s="143" t="s">
        <v>99</v>
      </c>
      <c r="W77" s="118"/>
      <c r="X77" s="120"/>
      <c r="Y77" s="120"/>
      <c r="Z77" s="121" t="s">
        <v>99</v>
      </c>
      <c r="AA77" s="120"/>
      <c r="AB77" s="120"/>
      <c r="AC77" s="120"/>
      <c r="AD77" s="121" t="s">
        <v>99</v>
      </c>
      <c r="AE77" s="121" t="s">
        <v>97</v>
      </c>
      <c r="AF77" s="120"/>
      <c r="AG77" s="120"/>
      <c r="AH77" s="122"/>
      <c r="AI77" s="134" t="s">
        <v>99</v>
      </c>
      <c r="AJ77" s="124"/>
      <c r="AK77" s="124"/>
      <c r="AL77" s="124"/>
      <c r="AM77" s="125" t="s">
        <v>99</v>
      </c>
      <c r="AN77" s="125" t="s">
        <v>99</v>
      </c>
      <c r="AO77" s="125" t="s">
        <v>99</v>
      </c>
      <c r="AP77" s="125" t="s">
        <v>99</v>
      </c>
      <c r="AQ77" s="125" t="s">
        <v>99</v>
      </c>
      <c r="AR77" s="125" t="s">
        <v>99</v>
      </c>
      <c r="AS77" s="125" t="s">
        <v>99</v>
      </c>
      <c r="AT77" s="133" t="s">
        <v>97</v>
      </c>
      <c r="AU77" s="127"/>
      <c r="AV77" s="129"/>
      <c r="AW77" s="129"/>
      <c r="AX77" s="128" t="s">
        <v>99</v>
      </c>
      <c r="AY77" s="129"/>
      <c r="AZ77" s="129"/>
      <c r="BA77" s="129"/>
      <c r="BB77" s="129"/>
      <c r="BC77" s="129"/>
      <c r="BD77" s="129"/>
      <c r="BE77" s="129"/>
      <c r="BF77" s="130"/>
      <c r="BG77" s="129"/>
      <c r="BH77" s="129"/>
      <c r="BI77" s="129"/>
      <c r="BJ77" s="129"/>
      <c r="BK77" s="102"/>
      <c r="BL77" s="102"/>
      <c r="BM77" s="102"/>
      <c r="BN77" s="102"/>
      <c r="BO77" s="102"/>
      <c r="BP77" s="102"/>
      <c r="BQ77" s="102"/>
      <c r="BR77" s="102"/>
      <c r="BS77" s="102"/>
      <c r="BT77" s="102"/>
      <c r="BU77" s="102"/>
      <c r="BV77" s="102"/>
      <c r="BW77" s="102"/>
      <c r="BX77" s="102"/>
      <c r="BY77" s="102"/>
      <c r="BZ77" s="102"/>
      <c r="CA77" s="102"/>
      <c r="CB77" s="102"/>
      <c r="CC77" s="102"/>
      <c r="CD77" s="102"/>
      <c r="CE77" s="102"/>
      <c r="CF77" s="102"/>
      <c r="CG77" s="102"/>
      <c r="CH77" s="102"/>
      <c r="CI77" s="102"/>
      <c r="CJ77" s="102"/>
      <c r="CK77" s="102"/>
      <c r="CL77" s="102"/>
      <c r="CM77" s="102"/>
      <c r="CN77" s="102"/>
      <c r="CO77" s="102"/>
      <c r="CP77" s="102"/>
      <c r="CQ77" s="102"/>
      <c r="CR77" s="102"/>
      <c r="CS77" s="102"/>
      <c r="CT77" s="102"/>
      <c r="CU77" s="102"/>
      <c r="CV77" s="102"/>
      <c r="CW77" s="102"/>
      <c r="CX77" s="102"/>
      <c r="CY77" s="102"/>
      <c r="CZ77" s="102"/>
      <c r="DA77" s="102"/>
      <c r="DB77" s="102"/>
      <c r="DC77" s="102"/>
      <c r="DD77" s="102"/>
      <c r="DE77" s="102"/>
      <c r="DF77" s="102"/>
      <c r="DG77" s="102"/>
      <c r="DH77" s="102"/>
      <c r="DI77" s="102"/>
      <c r="DJ77" s="102"/>
      <c r="DK77" s="102"/>
      <c r="DL77" s="102"/>
      <c r="DM77" s="102"/>
      <c r="DN77" s="102"/>
      <c r="DO77" s="102"/>
      <c r="DP77" s="102"/>
      <c r="DQ77" s="102"/>
      <c r="DR77" s="102"/>
      <c r="DS77" s="102"/>
      <c r="DT77" s="102"/>
      <c r="DU77" s="102"/>
      <c r="DV77" s="102"/>
      <c r="DW77" s="102"/>
      <c r="DX77" s="102"/>
      <c r="DY77" s="102"/>
      <c r="DZ77" s="102"/>
      <c r="EA77" s="102"/>
      <c r="EB77" s="102"/>
      <c r="EC77" s="102"/>
      <c r="ED77" s="102"/>
      <c r="EE77" s="102"/>
      <c r="EF77" s="102"/>
      <c r="EG77" s="102"/>
      <c r="EH77" s="102"/>
      <c r="EI77" s="102"/>
      <c r="EJ77" s="102"/>
      <c r="EK77" s="102"/>
      <c r="EL77" s="102"/>
      <c r="EM77" s="102"/>
      <c r="EN77" s="102"/>
      <c r="EO77" s="102"/>
      <c r="EP77" s="102"/>
      <c r="EQ77" s="102"/>
    </row>
    <row r="78" hidden="1">
      <c r="A78" s="139" t="s">
        <v>184</v>
      </c>
      <c r="B78" s="131">
        <f t="shared" si="1"/>
        <v>46082</v>
      </c>
      <c r="C78" s="103">
        <v>150.0</v>
      </c>
      <c r="D78" s="103" t="s">
        <v>177</v>
      </c>
      <c r="E78" s="105"/>
      <c r="F78" s="103" t="s">
        <v>97</v>
      </c>
      <c r="G78" s="105"/>
      <c r="H78" s="105"/>
      <c r="I78" s="105"/>
      <c r="J78" s="136" t="s">
        <v>97</v>
      </c>
      <c r="K78" s="107"/>
      <c r="L78" s="105"/>
      <c r="M78" s="105"/>
      <c r="N78" s="103" t="s">
        <v>97</v>
      </c>
      <c r="O78" s="105"/>
      <c r="P78" s="105"/>
      <c r="Q78" s="105"/>
      <c r="R78" s="103" t="s">
        <v>97</v>
      </c>
      <c r="S78" s="103" t="s">
        <v>99</v>
      </c>
      <c r="T78" s="105"/>
      <c r="U78" s="105"/>
      <c r="V78" s="136" t="s">
        <v>99</v>
      </c>
      <c r="W78" s="107"/>
      <c r="X78" s="105"/>
      <c r="Y78" s="105"/>
      <c r="Z78" s="103" t="s">
        <v>99</v>
      </c>
      <c r="AA78" s="105"/>
      <c r="AB78" s="105"/>
      <c r="AC78" s="105"/>
      <c r="AD78" s="103" t="s">
        <v>99</v>
      </c>
      <c r="AE78" s="103" t="s">
        <v>97</v>
      </c>
      <c r="AF78" s="105"/>
      <c r="AG78" s="105"/>
      <c r="AH78" s="106"/>
      <c r="AI78" s="108" t="s">
        <v>99</v>
      </c>
      <c r="AJ78" s="105"/>
      <c r="AK78" s="105"/>
      <c r="AL78" s="105"/>
      <c r="AM78" s="103" t="s">
        <v>99</v>
      </c>
      <c r="AN78" s="103" t="s">
        <v>99</v>
      </c>
      <c r="AO78" s="103" t="s">
        <v>99</v>
      </c>
      <c r="AP78" s="103" t="s">
        <v>99</v>
      </c>
      <c r="AQ78" s="103" t="s">
        <v>99</v>
      </c>
      <c r="AR78" s="103" t="s">
        <v>99</v>
      </c>
      <c r="AS78" s="103" t="s">
        <v>99</v>
      </c>
      <c r="AT78" s="136" t="s">
        <v>97</v>
      </c>
      <c r="AU78" s="107"/>
      <c r="AV78" s="105"/>
      <c r="AW78" s="103" t="s">
        <v>97</v>
      </c>
      <c r="AX78" s="105"/>
      <c r="AY78" s="105"/>
      <c r="AZ78" s="105"/>
      <c r="BA78" s="105"/>
      <c r="BB78" s="105"/>
      <c r="BC78" s="105"/>
      <c r="BD78" s="105"/>
      <c r="BE78" s="105"/>
      <c r="BF78" s="106"/>
      <c r="BG78" s="105"/>
      <c r="BH78" s="105"/>
      <c r="BI78" s="105"/>
      <c r="BJ78" s="105"/>
      <c r="BK78" s="102"/>
      <c r="BL78" s="102"/>
      <c r="BM78" s="102"/>
      <c r="BN78" s="102"/>
      <c r="BO78" s="102"/>
      <c r="BP78" s="102"/>
      <c r="BQ78" s="102"/>
      <c r="BR78" s="102"/>
      <c r="BS78" s="102"/>
      <c r="BT78" s="102"/>
      <c r="BU78" s="102"/>
      <c r="BV78" s="102"/>
      <c r="BW78" s="102"/>
      <c r="BX78" s="102"/>
      <c r="BY78" s="102"/>
      <c r="BZ78" s="102"/>
      <c r="CA78" s="102"/>
      <c r="CB78" s="102"/>
      <c r="CC78" s="102"/>
      <c r="CD78" s="102"/>
      <c r="CE78" s="102"/>
      <c r="CF78" s="102"/>
      <c r="CG78" s="102"/>
      <c r="CH78" s="102"/>
      <c r="CI78" s="102"/>
      <c r="CJ78" s="102"/>
      <c r="CK78" s="102"/>
      <c r="CL78" s="102"/>
      <c r="CM78" s="102"/>
      <c r="CN78" s="102"/>
      <c r="CO78" s="102"/>
      <c r="CP78" s="102"/>
      <c r="CQ78" s="102"/>
      <c r="CR78" s="102"/>
      <c r="CS78" s="102"/>
      <c r="CT78" s="102"/>
      <c r="CU78" s="102"/>
      <c r="CV78" s="102"/>
      <c r="CW78" s="102"/>
      <c r="CX78" s="102"/>
      <c r="CY78" s="102"/>
      <c r="CZ78" s="102"/>
      <c r="DA78" s="102"/>
      <c r="DB78" s="102"/>
      <c r="DC78" s="102"/>
      <c r="DD78" s="102"/>
      <c r="DE78" s="102"/>
      <c r="DF78" s="102"/>
      <c r="DG78" s="102"/>
      <c r="DH78" s="102"/>
      <c r="DI78" s="102"/>
      <c r="DJ78" s="102"/>
      <c r="DK78" s="102"/>
      <c r="DL78" s="102"/>
      <c r="DM78" s="102"/>
      <c r="DN78" s="102"/>
      <c r="DO78" s="102"/>
      <c r="DP78" s="102"/>
      <c r="DQ78" s="102"/>
      <c r="DR78" s="102"/>
      <c r="DS78" s="102"/>
      <c r="DT78" s="102"/>
      <c r="DU78" s="102"/>
      <c r="DV78" s="102"/>
      <c r="DW78" s="102"/>
      <c r="DX78" s="102"/>
      <c r="DY78" s="102"/>
      <c r="DZ78" s="102"/>
      <c r="EA78" s="102"/>
      <c r="EB78" s="102"/>
      <c r="EC78" s="102"/>
      <c r="ED78" s="102"/>
      <c r="EE78" s="102"/>
      <c r="EF78" s="102"/>
      <c r="EG78" s="102"/>
      <c r="EH78" s="102"/>
      <c r="EI78" s="102"/>
      <c r="EJ78" s="102"/>
      <c r="EK78" s="102"/>
      <c r="EL78" s="102"/>
      <c r="EM78" s="102"/>
      <c r="EN78" s="102"/>
      <c r="EO78" s="102"/>
      <c r="EP78" s="102"/>
      <c r="EQ78" s="102"/>
    </row>
    <row r="79" hidden="1">
      <c r="A79" s="138" t="s">
        <v>185</v>
      </c>
      <c r="B79" s="111">
        <f t="shared" si="1"/>
        <v>45992</v>
      </c>
      <c r="C79" s="110">
        <v>150.0</v>
      </c>
      <c r="D79" s="110" t="s">
        <v>177</v>
      </c>
      <c r="E79" s="112"/>
      <c r="F79" s="110" t="s">
        <v>97</v>
      </c>
      <c r="G79" s="112"/>
      <c r="H79" s="112"/>
      <c r="I79" s="112"/>
      <c r="J79" s="137" t="s">
        <v>97</v>
      </c>
      <c r="K79" s="114"/>
      <c r="L79" s="116"/>
      <c r="M79" s="116"/>
      <c r="N79" s="115" t="s">
        <v>97</v>
      </c>
      <c r="O79" s="116"/>
      <c r="P79" s="116"/>
      <c r="Q79" s="116"/>
      <c r="R79" s="115" t="s">
        <v>97</v>
      </c>
      <c r="S79" s="115" t="s">
        <v>99</v>
      </c>
      <c r="T79" s="116"/>
      <c r="U79" s="116"/>
      <c r="V79" s="143" t="s">
        <v>99</v>
      </c>
      <c r="W79" s="118"/>
      <c r="X79" s="120"/>
      <c r="Y79" s="120"/>
      <c r="Z79" s="121" t="s">
        <v>99</v>
      </c>
      <c r="AA79" s="120"/>
      <c r="AB79" s="120"/>
      <c r="AC79" s="120"/>
      <c r="AD79" s="121" t="s">
        <v>99</v>
      </c>
      <c r="AE79" s="121" t="s">
        <v>97</v>
      </c>
      <c r="AF79" s="120"/>
      <c r="AG79" s="120"/>
      <c r="AH79" s="122"/>
      <c r="AI79" s="134" t="s">
        <v>99</v>
      </c>
      <c r="AJ79" s="124"/>
      <c r="AK79" s="124"/>
      <c r="AL79" s="124"/>
      <c r="AM79" s="125" t="s">
        <v>99</v>
      </c>
      <c r="AN79" s="125" t="s">
        <v>99</v>
      </c>
      <c r="AO79" s="125" t="s">
        <v>99</v>
      </c>
      <c r="AP79" s="125" t="s">
        <v>99</v>
      </c>
      <c r="AQ79" s="125" t="s">
        <v>99</v>
      </c>
      <c r="AR79" s="125" t="s">
        <v>99</v>
      </c>
      <c r="AS79" s="125" t="s">
        <v>99</v>
      </c>
      <c r="AT79" s="133" t="s">
        <v>97</v>
      </c>
      <c r="AU79" s="127"/>
      <c r="AV79" s="129"/>
      <c r="AW79" s="129"/>
      <c r="AX79" s="128" t="s">
        <v>99</v>
      </c>
      <c r="AY79" s="129"/>
      <c r="AZ79" s="129"/>
      <c r="BA79" s="129"/>
      <c r="BB79" s="129"/>
      <c r="BC79" s="129"/>
      <c r="BD79" s="129"/>
      <c r="BE79" s="129"/>
      <c r="BF79" s="130"/>
      <c r="BG79" s="129"/>
      <c r="BH79" s="129"/>
      <c r="BI79" s="129"/>
      <c r="BJ79" s="129"/>
      <c r="BK79" s="102"/>
      <c r="BL79" s="102"/>
      <c r="BM79" s="102"/>
      <c r="BN79" s="102"/>
      <c r="BO79" s="102"/>
      <c r="BP79" s="102"/>
      <c r="BQ79" s="102"/>
      <c r="BR79" s="102"/>
      <c r="BS79" s="102"/>
      <c r="BT79" s="102"/>
      <c r="BU79" s="102"/>
      <c r="BV79" s="102"/>
      <c r="BW79" s="102"/>
      <c r="BX79" s="102"/>
      <c r="BY79" s="102"/>
      <c r="BZ79" s="102"/>
      <c r="CA79" s="102"/>
      <c r="CB79" s="102"/>
      <c r="CC79" s="102"/>
      <c r="CD79" s="102"/>
      <c r="CE79" s="102"/>
      <c r="CF79" s="102"/>
      <c r="CG79" s="102"/>
      <c r="CH79" s="102"/>
      <c r="CI79" s="102"/>
      <c r="CJ79" s="102"/>
      <c r="CK79" s="102"/>
      <c r="CL79" s="102"/>
      <c r="CM79" s="102"/>
      <c r="CN79" s="102"/>
      <c r="CO79" s="102"/>
      <c r="CP79" s="102"/>
      <c r="CQ79" s="102"/>
      <c r="CR79" s="102"/>
      <c r="CS79" s="102"/>
      <c r="CT79" s="102"/>
      <c r="CU79" s="102"/>
      <c r="CV79" s="102"/>
      <c r="CW79" s="102"/>
      <c r="CX79" s="102"/>
      <c r="CY79" s="102"/>
      <c r="CZ79" s="102"/>
      <c r="DA79" s="102"/>
      <c r="DB79" s="102"/>
      <c r="DC79" s="102"/>
      <c r="DD79" s="102"/>
      <c r="DE79" s="102"/>
      <c r="DF79" s="102"/>
      <c r="DG79" s="102"/>
      <c r="DH79" s="102"/>
      <c r="DI79" s="102"/>
      <c r="DJ79" s="102"/>
      <c r="DK79" s="102"/>
      <c r="DL79" s="102"/>
      <c r="DM79" s="102"/>
      <c r="DN79" s="102"/>
      <c r="DO79" s="102"/>
      <c r="DP79" s="102"/>
      <c r="DQ79" s="102"/>
      <c r="DR79" s="102"/>
      <c r="DS79" s="102"/>
      <c r="DT79" s="102"/>
      <c r="DU79" s="102"/>
      <c r="DV79" s="102"/>
      <c r="DW79" s="102"/>
      <c r="DX79" s="102"/>
      <c r="DY79" s="102"/>
      <c r="DZ79" s="102"/>
      <c r="EA79" s="102"/>
      <c r="EB79" s="102"/>
      <c r="EC79" s="102"/>
      <c r="ED79" s="102"/>
      <c r="EE79" s="102"/>
      <c r="EF79" s="102"/>
      <c r="EG79" s="102"/>
      <c r="EH79" s="102"/>
      <c r="EI79" s="102"/>
      <c r="EJ79" s="102"/>
      <c r="EK79" s="102"/>
      <c r="EL79" s="102"/>
      <c r="EM79" s="102"/>
      <c r="EN79" s="102"/>
      <c r="EO79" s="102"/>
      <c r="EP79" s="102"/>
      <c r="EQ79" s="102"/>
    </row>
    <row r="80" hidden="1">
      <c r="A80" s="139" t="s">
        <v>186</v>
      </c>
      <c r="B80" s="131">
        <f t="shared" si="1"/>
        <v>45992</v>
      </c>
      <c r="C80" s="103">
        <v>150.0</v>
      </c>
      <c r="D80" s="103" t="s">
        <v>177</v>
      </c>
      <c r="E80" s="105"/>
      <c r="F80" s="103" t="s">
        <v>97</v>
      </c>
      <c r="G80" s="105"/>
      <c r="H80" s="105"/>
      <c r="I80" s="105"/>
      <c r="J80" s="136" t="s">
        <v>97</v>
      </c>
      <c r="K80" s="107"/>
      <c r="L80" s="105"/>
      <c r="M80" s="105"/>
      <c r="N80" s="103" t="s">
        <v>97</v>
      </c>
      <c r="O80" s="105"/>
      <c r="P80" s="105"/>
      <c r="Q80" s="105"/>
      <c r="R80" s="103" t="s">
        <v>97</v>
      </c>
      <c r="S80" s="103" t="s">
        <v>99</v>
      </c>
      <c r="T80" s="105"/>
      <c r="U80" s="105"/>
      <c r="V80" s="136" t="s">
        <v>99</v>
      </c>
      <c r="W80" s="107"/>
      <c r="X80" s="105"/>
      <c r="Y80" s="105"/>
      <c r="Z80" s="103" t="s">
        <v>99</v>
      </c>
      <c r="AA80" s="105"/>
      <c r="AB80" s="105"/>
      <c r="AC80" s="105"/>
      <c r="AD80" s="103" t="s">
        <v>99</v>
      </c>
      <c r="AE80" s="103" t="s">
        <v>97</v>
      </c>
      <c r="AF80" s="105"/>
      <c r="AG80" s="105"/>
      <c r="AH80" s="106"/>
      <c r="AI80" s="108" t="s">
        <v>99</v>
      </c>
      <c r="AJ80" s="105"/>
      <c r="AK80" s="105"/>
      <c r="AL80" s="105"/>
      <c r="AM80" s="103" t="s">
        <v>99</v>
      </c>
      <c r="AN80" s="103" t="s">
        <v>99</v>
      </c>
      <c r="AO80" s="103" t="s">
        <v>99</v>
      </c>
      <c r="AP80" s="103" t="s">
        <v>99</v>
      </c>
      <c r="AQ80" s="103" t="s">
        <v>99</v>
      </c>
      <c r="AR80" s="103" t="s">
        <v>99</v>
      </c>
      <c r="AS80" s="103" t="s">
        <v>99</v>
      </c>
      <c r="AT80" s="136" t="s">
        <v>97</v>
      </c>
      <c r="AU80" s="107"/>
      <c r="AV80" s="105"/>
      <c r="AW80" s="105"/>
      <c r="AX80" s="103" t="s">
        <v>99</v>
      </c>
      <c r="AY80" s="105"/>
      <c r="AZ80" s="105"/>
      <c r="BA80" s="105"/>
      <c r="BB80" s="105"/>
      <c r="BC80" s="105"/>
      <c r="BD80" s="105"/>
      <c r="BE80" s="105"/>
      <c r="BF80" s="106"/>
      <c r="BG80" s="105"/>
      <c r="BH80" s="105"/>
      <c r="BI80" s="105"/>
      <c r="BJ80" s="105"/>
      <c r="BK80" s="102"/>
      <c r="BL80" s="102"/>
      <c r="BM80" s="102"/>
      <c r="BN80" s="102"/>
      <c r="BO80" s="102"/>
      <c r="BP80" s="102"/>
      <c r="BQ80" s="102"/>
      <c r="BR80" s="102"/>
      <c r="BS80" s="102"/>
      <c r="BT80" s="102"/>
      <c r="BU80" s="102"/>
      <c r="BV80" s="102"/>
      <c r="BW80" s="102"/>
      <c r="BX80" s="102"/>
      <c r="BY80" s="102"/>
      <c r="BZ80" s="102"/>
      <c r="CA80" s="102"/>
      <c r="CB80" s="102"/>
      <c r="CC80" s="102"/>
      <c r="CD80" s="102"/>
      <c r="CE80" s="102"/>
      <c r="CF80" s="102"/>
      <c r="CG80" s="102"/>
      <c r="CH80" s="102"/>
      <c r="CI80" s="102"/>
      <c r="CJ80" s="102"/>
      <c r="CK80" s="102"/>
      <c r="CL80" s="102"/>
      <c r="CM80" s="102"/>
      <c r="CN80" s="102"/>
      <c r="CO80" s="102"/>
      <c r="CP80" s="102"/>
      <c r="CQ80" s="102"/>
      <c r="CR80" s="102"/>
      <c r="CS80" s="102"/>
      <c r="CT80" s="102"/>
      <c r="CU80" s="102"/>
      <c r="CV80" s="102"/>
      <c r="CW80" s="102"/>
      <c r="CX80" s="102"/>
      <c r="CY80" s="102"/>
      <c r="CZ80" s="102"/>
      <c r="DA80" s="102"/>
      <c r="DB80" s="102"/>
      <c r="DC80" s="102"/>
      <c r="DD80" s="102"/>
      <c r="DE80" s="102"/>
      <c r="DF80" s="102"/>
      <c r="DG80" s="102"/>
      <c r="DH80" s="102"/>
      <c r="DI80" s="102"/>
      <c r="DJ80" s="102"/>
      <c r="DK80" s="102"/>
      <c r="DL80" s="102"/>
      <c r="DM80" s="102"/>
      <c r="DN80" s="102"/>
      <c r="DO80" s="102"/>
      <c r="DP80" s="102"/>
      <c r="DQ80" s="102"/>
      <c r="DR80" s="102"/>
      <c r="DS80" s="102"/>
      <c r="DT80" s="102"/>
      <c r="DU80" s="102"/>
      <c r="DV80" s="102"/>
      <c r="DW80" s="102"/>
      <c r="DX80" s="102"/>
      <c r="DY80" s="102"/>
      <c r="DZ80" s="102"/>
      <c r="EA80" s="102"/>
      <c r="EB80" s="102"/>
      <c r="EC80" s="102"/>
      <c r="ED80" s="102"/>
      <c r="EE80" s="102"/>
      <c r="EF80" s="102"/>
      <c r="EG80" s="102"/>
      <c r="EH80" s="102"/>
      <c r="EI80" s="102"/>
      <c r="EJ80" s="102"/>
      <c r="EK80" s="102"/>
      <c r="EL80" s="102"/>
      <c r="EM80" s="102"/>
      <c r="EN80" s="102"/>
      <c r="EO80" s="102"/>
      <c r="EP80" s="102"/>
      <c r="EQ80" s="102"/>
    </row>
    <row r="81" hidden="1">
      <c r="A81" s="138" t="s">
        <v>187</v>
      </c>
      <c r="B81" s="111">
        <f t="shared" si="1"/>
        <v>46082</v>
      </c>
      <c r="C81" s="110">
        <v>150.0</v>
      </c>
      <c r="D81" s="110" t="s">
        <v>177</v>
      </c>
      <c r="E81" s="112"/>
      <c r="F81" s="110" t="s">
        <v>97</v>
      </c>
      <c r="G81" s="112"/>
      <c r="H81" s="112"/>
      <c r="I81" s="112"/>
      <c r="J81" s="137" t="s">
        <v>97</v>
      </c>
      <c r="K81" s="114"/>
      <c r="L81" s="116"/>
      <c r="M81" s="116"/>
      <c r="N81" s="115" t="s">
        <v>97</v>
      </c>
      <c r="O81" s="116"/>
      <c r="P81" s="116"/>
      <c r="Q81" s="116"/>
      <c r="R81" s="115" t="s">
        <v>97</v>
      </c>
      <c r="S81" s="115" t="s">
        <v>99</v>
      </c>
      <c r="T81" s="116"/>
      <c r="U81" s="116"/>
      <c r="V81" s="143" t="s">
        <v>99</v>
      </c>
      <c r="W81" s="118"/>
      <c r="X81" s="120"/>
      <c r="Y81" s="120"/>
      <c r="Z81" s="121" t="s">
        <v>99</v>
      </c>
      <c r="AA81" s="120"/>
      <c r="AB81" s="120"/>
      <c r="AC81" s="120"/>
      <c r="AD81" s="121" t="s">
        <v>99</v>
      </c>
      <c r="AE81" s="121" t="s">
        <v>97</v>
      </c>
      <c r="AF81" s="120"/>
      <c r="AG81" s="120"/>
      <c r="AH81" s="122"/>
      <c r="AI81" s="134" t="s">
        <v>99</v>
      </c>
      <c r="AJ81" s="124"/>
      <c r="AK81" s="124"/>
      <c r="AL81" s="124"/>
      <c r="AM81" s="125" t="s">
        <v>99</v>
      </c>
      <c r="AN81" s="125" t="s">
        <v>99</v>
      </c>
      <c r="AO81" s="125" t="s">
        <v>99</v>
      </c>
      <c r="AP81" s="125" t="s">
        <v>99</v>
      </c>
      <c r="AQ81" s="125" t="s">
        <v>99</v>
      </c>
      <c r="AR81" s="125" t="s">
        <v>99</v>
      </c>
      <c r="AS81" s="125" t="s">
        <v>99</v>
      </c>
      <c r="AT81" s="133" t="s">
        <v>97</v>
      </c>
      <c r="AU81" s="127"/>
      <c r="AV81" s="129"/>
      <c r="AW81" s="128" t="s">
        <v>96</v>
      </c>
      <c r="AX81" s="129"/>
      <c r="AY81" s="129"/>
      <c r="AZ81" s="129"/>
      <c r="BA81" s="129"/>
      <c r="BB81" s="129"/>
      <c r="BC81" s="129"/>
      <c r="BD81" s="129"/>
      <c r="BE81" s="129"/>
      <c r="BF81" s="130"/>
      <c r="BG81" s="129"/>
      <c r="BH81" s="129"/>
      <c r="BI81" s="129"/>
      <c r="BJ81" s="129"/>
      <c r="BK81" s="102"/>
      <c r="BL81" s="102"/>
      <c r="BM81" s="102"/>
      <c r="BN81" s="102"/>
      <c r="BO81" s="102"/>
      <c r="BP81" s="102"/>
      <c r="BQ81" s="102"/>
      <c r="BR81" s="102"/>
      <c r="BS81" s="102"/>
      <c r="BT81" s="102"/>
      <c r="BU81" s="102"/>
      <c r="BV81" s="102"/>
      <c r="BW81" s="102"/>
      <c r="BX81" s="102"/>
      <c r="BY81" s="102"/>
      <c r="BZ81" s="102"/>
      <c r="CA81" s="102"/>
      <c r="CB81" s="102"/>
      <c r="CC81" s="102"/>
      <c r="CD81" s="102"/>
      <c r="CE81" s="102"/>
      <c r="CF81" s="102"/>
      <c r="CG81" s="102"/>
      <c r="CH81" s="102"/>
      <c r="CI81" s="102"/>
      <c r="CJ81" s="102"/>
      <c r="CK81" s="102"/>
      <c r="CL81" s="102"/>
      <c r="CM81" s="102"/>
      <c r="CN81" s="102"/>
      <c r="CO81" s="102"/>
      <c r="CP81" s="102"/>
      <c r="CQ81" s="102"/>
      <c r="CR81" s="102"/>
      <c r="CS81" s="102"/>
      <c r="CT81" s="102"/>
      <c r="CU81" s="102"/>
      <c r="CV81" s="102"/>
      <c r="CW81" s="102"/>
      <c r="CX81" s="102"/>
      <c r="CY81" s="102"/>
      <c r="CZ81" s="102"/>
      <c r="DA81" s="102"/>
      <c r="DB81" s="102"/>
      <c r="DC81" s="102"/>
      <c r="DD81" s="102"/>
      <c r="DE81" s="102"/>
      <c r="DF81" s="102"/>
      <c r="DG81" s="102"/>
      <c r="DH81" s="102"/>
      <c r="DI81" s="102"/>
      <c r="DJ81" s="102"/>
      <c r="DK81" s="102"/>
      <c r="DL81" s="102"/>
      <c r="DM81" s="102"/>
      <c r="DN81" s="102"/>
      <c r="DO81" s="102"/>
      <c r="DP81" s="102"/>
      <c r="DQ81" s="102"/>
      <c r="DR81" s="102"/>
      <c r="DS81" s="102"/>
      <c r="DT81" s="102"/>
      <c r="DU81" s="102"/>
      <c r="DV81" s="102"/>
      <c r="DW81" s="102"/>
      <c r="DX81" s="102"/>
      <c r="DY81" s="102"/>
      <c r="DZ81" s="102"/>
      <c r="EA81" s="102"/>
      <c r="EB81" s="102"/>
      <c r="EC81" s="102"/>
      <c r="ED81" s="102"/>
      <c r="EE81" s="102"/>
      <c r="EF81" s="102"/>
      <c r="EG81" s="102"/>
      <c r="EH81" s="102"/>
      <c r="EI81" s="102"/>
      <c r="EJ81" s="102"/>
      <c r="EK81" s="102"/>
      <c r="EL81" s="102"/>
      <c r="EM81" s="102"/>
      <c r="EN81" s="102"/>
      <c r="EO81" s="102"/>
      <c r="EP81" s="102"/>
      <c r="EQ81" s="102"/>
    </row>
    <row r="82" hidden="1">
      <c r="A82" s="139" t="s">
        <v>188</v>
      </c>
      <c r="B82" s="131">
        <f t="shared" si="1"/>
        <v>46082</v>
      </c>
      <c r="C82" s="103">
        <v>150.0</v>
      </c>
      <c r="D82" s="103" t="s">
        <v>177</v>
      </c>
      <c r="E82" s="105"/>
      <c r="F82" s="103" t="s">
        <v>97</v>
      </c>
      <c r="G82" s="105"/>
      <c r="H82" s="105"/>
      <c r="I82" s="105"/>
      <c r="J82" s="136" t="s">
        <v>97</v>
      </c>
      <c r="K82" s="107"/>
      <c r="L82" s="105"/>
      <c r="M82" s="105"/>
      <c r="N82" s="103" t="s">
        <v>97</v>
      </c>
      <c r="O82" s="105"/>
      <c r="P82" s="105"/>
      <c r="Q82" s="105"/>
      <c r="R82" s="103" t="s">
        <v>97</v>
      </c>
      <c r="S82" s="103" t="s">
        <v>99</v>
      </c>
      <c r="T82" s="105"/>
      <c r="U82" s="105"/>
      <c r="V82" s="136" t="s">
        <v>99</v>
      </c>
      <c r="W82" s="107"/>
      <c r="X82" s="105"/>
      <c r="Y82" s="105"/>
      <c r="Z82" s="103" t="s">
        <v>99</v>
      </c>
      <c r="AA82" s="105"/>
      <c r="AB82" s="105"/>
      <c r="AC82" s="105"/>
      <c r="AD82" s="103" t="s">
        <v>99</v>
      </c>
      <c r="AE82" s="103" t="s">
        <v>97</v>
      </c>
      <c r="AF82" s="105"/>
      <c r="AG82" s="105"/>
      <c r="AH82" s="106"/>
      <c r="AI82" s="108" t="s">
        <v>99</v>
      </c>
      <c r="AJ82" s="105"/>
      <c r="AK82" s="105"/>
      <c r="AL82" s="105"/>
      <c r="AM82" s="103" t="s">
        <v>99</v>
      </c>
      <c r="AN82" s="103" t="s">
        <v>99</v>
      </c>
      <c r="AO82" s="103" t="s">
        <v>99</v>
      </c>
      <c r="AP82" s="103" t="s">
        <v>99</v>
      </c>
      <c r="AQ82" s="103" t="s">
        <v>99</v>
      </c>
      <c r="AR82" s="103" t="s">
        <v>99</v>
      </c>
      <c r="AS82" s="103" t="s">
        <v>99</v>
      </c>
      <c r="AT82" s="136" t="s">
        <v>97</v>
      </c>
      <c r="AU82" s="107"/>
      <c r="AV82" s="105"/>
      <c r="AW82" s="103" t="s">
        <v>97</v>
      </c>
      <c r="AX82" s="105"/>
      <c r="AY82" s="105"/>
      <c r="AZ82" s="105"/>
      <c r="BA82" s="105"/>
      <c r="BB82" s="105"/>
      <c r="BC82" s="105"/>
      <c r="BD82" s="105"/>
      <c r="BE82" s="105"/>
      <c r="BF82" s="106"/>
      <c r="BG82" s="105"/>
      <c r="BH82" s="105"/>
      <c r="BI82" s="105"/>
      <c r="BJ82" s="105"/>
      <c r="BK82" s="102"/>
      <c r="BL82" s="102"/>
      <c r="BM82" s="102"/>
      <c r="BN82" s="102"/>
      <c r="BO82" s="102"/>
      <c r="BP82" s="102"/>
      <c r="BQ82" s="102"/>
      <c r="BR82" s="102"/>
      <c r="BS82" s="102"/>
      <c r="BT82" s="102"/>
      <c r="BU82" s="102"/>
      <c r="BV82" s="102"/>
      <c r="BW82" s="102"/>
      <c r="BX82" s="102"/>
      <c r="BY82" s="102"/>
      <c r="BZ82" s="102"/>
      <c r="CA82" s="102"/>
      <c r="CB82" s="102"/>
      <c r="CC82" s="102"/>
      <c r="CD82" s="102"/>
      <c r="CE82" s="102"/>
      <c r="CF82" s="102"/>
      <c r="CG82" s="102"/>
      <c r="CH82" s="102"/>
      <c r="CI82" s="102"/>
      <c r="CJ82" s="102"/>
      <c r="CK82" s="102"/>
      <c r="CL82" s="102"/>
      <c r="CM82" s="102"/>
      <c r="CN82" s="102"/>
      <c r="CO82" s="102"/>
      <c r="CP82" s="102"/>
      <c r="CQ82" s="102"/>
      <c r="CR82" s="102"/>
      <c r="CS82" s="102"/>
      <c r="CT82" s="102"/>
      <c r="CU82" s="102"/>
      <c r="CV82" s="102"/>
      <c r="CW82" s="102"/>
      <c r="CX82" s="102"/>
      <c r="CY82" s="102"/>
      <c r="CZ82" s="102"/>
      <c r="DA82" s="102"/>
      <c r="DB82" s="102"/>
      <c r="DC82" s="102"/>
      <c r="DD82" s="102"/>
      <c r="DE82" s="102"/>
      <c r="DF82" s="102"/>
      <c r="DG82" s="102"/>
      <c r="DH82" s="102"/>
      <c r="DI82" s="102"/>
      <c r="DJ82" s="102"/>
      <c r="DK82" s="102"/>
      <c r="DL82" s="102"/>
      <c r="DM82" s="102"/>
      <c r="DN82" s="102"/>
      <c r="DO82" s="102"/>
      <c r="DP82" s="102"/>
      <c r="DQ82" s="102"/>
      <c r="DR82" s="102"/>
      <c r="DS82" s="102"/>
      <c r="DT82" s="102"/>
      <c r="DU82" s="102"/>
      <c r="DV82" s="102"/>
      <c r="DW82" s="102"/>
      <c r="DX82" s="102"/>
      <c r="DY82" s="102"/>
      <c r="DZ82" s="102"/>
      <c r="EA82" s="102"/>
      <c r="EB82" s="102"/>
      <c r="EC82" s="102"/>
      <c r="ED82" s="102"/>
      <c r="EE82" s="102"/>
      <c r="EF82" s="102"/>
      <c r="EG82" s="102"/>
      <c r="EH82" s="102"/>
      <c r="EI82" s="102"/>
      <c r="EJ82" s="102"/>
      <c r="EK82" s="102"/>
      <c r="EL82" s="102"/>
      <c r="EM82" s="102"/>
      <c r="EN82" s="102"/>
      <c r="EO82" s="102"/>
      <c r="EP82" s="102"/>
      <c r="EQ82" s="102"/>
    </row>
    <row r="83" hidden="1">
      <c r="A83" s="138" t="s">
        <v>189</v>
      </c>
      <c r="B83" s="111">
        <f t="shared" si="1"/>
        <v>46113</v>
      </c>
      <c r="C83" s="110">
        <v>150.0</v>
      </c>
      <c r="D83" s="110" t="s">
        <v>177</v>
      </c>
      <c r="E83" s="112"/>
      <c r="F83" s="112"/>
      <c r="G83" s="112"/>
      <c r="H83" s="110" t="s">
        <v>98</v>
      </c>
      <c r="I83" s="112"/>
      <c r="J83" s="113"/>
      <c r="K83" s="114"/>
      <c r="L83" s="115" t="s">
        <v>98</v>
      </c>
      <c r="M83" s="116"/>
      <c r="N83" s="116"/>
      <c r="O83" s="116"/>
      <c r="P83" s="115" t="s">
        <v>96</v>
      </c>
      <c r="Q83" s="116"/>
      <c r="R83" s="116"/>
      <c r="S83" s="115" t="s">
        <v>99</v>
      </c>
      <c r="T83" s="115" t="s">
        <v>98</v>
      </c>
      <c r="U83" s="116"/>
      <c r="V83" s="117"/>
      <c r="W83" s="118"/>
      <c r="X83" s="121" t="s">
        <v>99</v>
      </c>
      <c r="Y83" s="121" t="s">
        <v>96</v>
      </c>
      <c r="Z83" s="120"/>
      <c r="AA83" s="120"/>
      <c r="AB83" s="121" t="s">
        <v>98</v>
      </c>
      <c r="AC83" s="120"/>
      <c r="AD83" s="120"/>
      <c r="AE83" s="121" t="s">
        <v>98</v>
      </c>
      <c r="AF83" s="120"/>
      <c r="AG83" s="120"/>
      <c r="AH83" s="122"/>
      <c r="AI83" s="134" t="s">
        <v>96</v>
      </c>
      <c r="AJ83" s="125" t="s">
        <v>97</v>
      </c>
      <c r="AK83" s="124"/>
      <c r="AL83" s="124"/>
      <c r="AM83" s="124"/>
      <c r="AN83" s="125" t="s">
        <v>98</v>
      </c>
      <c r="AO83" s="124"/>
      <c r="AP83" s="124"/>
      <c r="AQ83" s="124"/>
      <c r="AR83" s="125" t="s">
        <v>98</v>
      </c>
      <c r="AS83" s="124"/>
      <c r="AT83" s="126"/>
      <c r="AU83" s="127"/>
      <c r="AV83" s="128" t="s">
        <v>99</v>
      </c>
      <c r="AW83" s="128" t="s">
        <v>96</v>
      </c>
      <c r="AX83" s="128" t="s">
        <v>98</v>
      </c>
      <c r="AY83" s="129"/>
      <c r="AZ83" s="129"/>
      <c r="BA83" s="129"/>
      <c r="BB83" s="129"/>
      <c r="BC83" s="129"/>
      <c r="BD83" s="129"/>
      <c r="BE83" s="129"/>
      <c r="BF83" s="130"/>
      <c r="BG83" s="129"/>
      <c r="BH83" s="129"/>
      <c r="BI83" s="129"/>
      <c r="BJ83" s="129"/>
      <c r="BK83" s="102"/>
      <c r="BL83" s="102"/>
      <c r="BM83" s="102"/>
      <c r="BN83" s="102"/>
      <c r="BO83" s="102"/>
      <c r="BP83" s="102"/>
      <c r="BQ83" s="102"/>
      <c r="BR83" s="102"/>
      <c r="BS83" s="102"/>
      <c r="BT83" s="102"/>
      <c r="BU83" s="102"/>
      <c r="BV83" s="102"/>
      <c r="BW83" s="102"/>
      <c r="BX83" s="102"/>
      <c r="BY83" s="102"/>
      <c r="BZ83" s="102"/>
      <c r="CA83" s="102"/>
      <c r="CB83" s="102"/>
      <c r="CC83" s="102"/>
      <c r="CD83" s="102"/>
      <c r="CE83" s="102"/>
      <c r="CF83" s="102"/>
      <c r="CG83" s="102"/>
      <c r="CH83" s="102"/>
      <c r="CI83" s="102"/>
      <c r="CJ83" s="102"/>
      <c r="CK83" s="102"/>
      <c r="CL83" s="102"/>
      <c r="CM83" s="102"/>
      <c r="CN83" s="102"/>
      <c r="CO83" s="102"/>
      <c r="CP83" s="102"/>
      <c r="CQ83" s="102"/>
      <c r="CR83" s="102"/>
      <c r="CS83" s="102"/>
      <c r="CT83" s="102"/>
      <c r="CU83" s="102"/>
      <c r="CV83" s="102"/>
      <c r="CW83" s="102"/>
      <c r="CX83" s="102"/>
      <c r="CY83" s="102"/>
      <c r="CZ83" s="102"/>
      <c r="DA83" s="102"/>
      <c r="DB83" s="102"/>
      <c r="DC83" s="102"/>
      <c r="DD83" s="102"/>
      <c r="DE83" s="102"/>
      <c r="DF83" s="102"/>
      <c r="DG83" s="102"/>
      <c r="DH83" s="102"/>
      <c r="DI83" s="102"/>
      <c r="DJ83" s="102"/>
      <c r="DK83" s="102"/>
      <c r="DL83" s="102"/>
      <c r="DM83" s="102"/>
      <c r="DN83" s="102"/>
      <c r="DO83" s="102"/>
      <c r="DP83" s="102"/>
      <c r="DQ83" s="102"/>
      <c r="DR83" s="102"/>
      <c r="DS83" s="102"/>
      <c r="DT83" s="102"/>
      <c r="DU83" s="102"/>
      <c r="DV83" s="102"/>
      <c r="DW83" s="102"/>
      <c r="DX83" s="102"/>
      <c r="DY83" s="102"/>
      <c r="DZ83" s="102"/>
      <c r="EA83" s="102"/>
      <c r="EB83" s="102"/>
      <c r="EC83" s="102"/>
      <c r="ED83" s="102"/>
      <c r="EE83" s="102"/>
      <c r="EF83" s="102"/>
      <c r="EG83" s="102"/>
      <c r="EH83" s="102"/>
      <c r="EI83" s="102"/>
      <c r="EJ83" s="102"/>
      <c r="EK83" s="102"/>
      <c r="EL83" s="102"/>
      <c r="EM83" s="102"/>
      <c r="EN83" s="102"/>
      <c r="EO83" s="102"/>
      <c r="EP83" s="102"/>
      <c r="EQ83" s="102"/>
    </row>
    <row r="84" hidden="1">
      <c r="A84" s="139" t="s">
        <v>190</v>
      </c>
      <c r="B84" s="131">
        <f t="shared" si="1"/>
        <v>46113</v>
      </c>
      <c r="C84" s="103">
        <v>150.0</v>
      </c>
      <c r="D84" s="103" t="s">
        <v>177</v>
      </c>
      <c r="E84" s="105"/>
      <c r="F84" s="105"/>
      <c r="G84" s="105"/>
      <c r="H84" s="103" t="s">
        <v>98</v>
      </c>
      <c r="I84" s="105"/>
      <c r="J84" s="106"/>
      <c r="K84" s="107"/>
      <c r="L84" s="103" t="s">
        <v>98</v>
      </c>
      <c r="M84" s="105"/>
      <c r="N84" s="105"/>
      <c r="O84" s="105"/>
      <c r="P84" s="103" t="s">
        <v>98</v>
      </c>
      <c r="Q84" s="105"/>
      <c r="R84" s="105"/>
      <c r="S84" s="103" t="s">
        <v>99</v>
      </c>
      <c r="T84" s="103" t="s">
        <v>96</v>
      </c>
      <c r="U84" s="103" t="s">
        <v>98</v>
      </c>
      <c r="V84" s="106"/>
      <c r="W84" s="107"/>
      <c r="X84" s="105"/>
      <c r="Y84" s="103" t="s">
        <v>98</v>
      </c>
      <c r="Z84" s="105"/>
      <c r="AA84" s="105"/>
      <c r="AB84" s="103" t="s">
        <v>98</v>
      </c>
      <c r="AC84" s="105"/>
      <c r="AD84" s="105"/>
      <c r="AE84" s="103" t="s">
        <v>98</v>
      </c>
      <c r="AF84" s="105"/>
      <c r="AG84" s="105"/>
      <c r="AH84" s="106"/>
      <c r="AI84" s="108" t="s">
        <v>96</v>
      </c>
      <c r="AJ84" s="105"/>
      <c r="AK84" s="105"/>
      <c r="AL84" s="105"/>
      <c r="AM84" s="103" t="s">
        <v>99</v>
      </c>
      <c r="AN84" s="103" t="s">
        <v>96</v>
      </c>
      <c r="AO84" s="105"/>
      <c r="AP84" s="105"/>
      <c r="AQ84" s="105"/>
      <c r="AR84" s="103" t="s">
        <v>97</v>
      </c>
      <c r="AS84" s="105"/>
      <c r="AT84" s="106"/>
      <c r="AU84" s="107"/>
      <c r="AV84" s="103" t="s">
        <v>99</v>
      </c>
      <c r="AW84" s="103" t="s">
        <v>97</v>
      </c>
      <c r="AX84" s="103" t="s">
        <v>98</v>
      </c>
      <c r="AY84" s="105"/>
      <c r="AZ84" s="105"/>
      <c r="BA84" s="105"/>
      <c r="BB84" s="105"/>
      <c r="BC84" s="105"/>
      <c r="BD84" s="105"/>
      <c r="BE84" s="105"/>
      <c r="BF84" s="106"/>
      <c r="BG84" s="105"/>
      <c r="BH84" s="105"/>
      <c r="BI84" s="105"/>
      <c r="BJ84" s="105"/>
      <c r="BK84" s="102"/>
      <c r="BL84" s="102"/>
      <c r="BM84" s="102"/>
      <c r="BN84" s="102"/>
      <c r="BO84" s="102"/>
      <c r="BP84" s="102"/>
      <c r="BQ84" s="102"/>
      <c r="BR84" s="102"/>
      <c r="BS84" s="102"/>
      <c r="BT84" s="102"/>
      <c r="BU84" s="102"/>
      <c r="BV84" s="102"/>
      <c r="BW84" s="102"/>
      <c r="BX84" s="102"/>
      <c r="BY84" s="102"/>
      <c r="BZ84" s="102"/>
      <c r="CA84" s="102"/>
      <c r="CB84" s="102"/>
      <c r="CC84" s="102"/>
      <c r="CD84" s="102"/>
      <c r="CE84" s="102"/>
      <c r="CF84" s="102"/>
      <c r="CG84" s="102"/>
      <c r="CH84" s="102"/>
      <c r="CI84" s="102"/>
      <c r="CJ84" s="102"/>
      <c r="CK84" s="102"/>
      <c r="CL84" s="102"/>
      <c r="CM84" s="102"/>
      <c r="CN84" s="102"/>
      <c r="CO84" s="102"/>
      <c r="CP84" s="102"/>
      <c r="CQ84" s="102"/>
      <c r="CR84" s="102"/>
      <c r="CS84" s="102"/>
      <c r="CT84" s="102"/>
      <c r="CU84" s="102"/>
      <c r="CV84" s="102"/>
      <c r="CW84" s="102"/>
      <c r="CX84" s="102"/>
      <c r="CY84" s="102"/>
      <c r="CZ84" s="102"/>
      <c r="DA84" s="102"/>
      <c r="DB84" s="102"/>
      <c r="DC84" s="102"/>
      <c r="DD84" s="102"/>
      <c r="DE84" s="102"/>
      <c r="DF84" s="102"/>
      <c r="DG84" s="102"/>
      <c r="DH84" s="102"/>
      <c r="DI84" s="102"/>
      <c r="DJ84" s="102"/>
      <c r="DK84" s="102"/>
      <c r="DL84" s="102"/>
      <c r="DM84" s="102"/>
      <c r="DN84" s="102"/>
      <c r="DO84" s="102"/>
      <c r="DP84" s="102"/>
      <c r="DQ84" s="102"/>
      <c r="DR84" s="102"/>
      <c r="DS84" s="102"/>
      <c r="DT84" s="102"/>
      <c r="DU84" s="102"/>
      <c r="DV84" s="102"/>
      <c r="DW84" s="102"/>
      <c r="DX84" s="102"/>
      <c r="DY84" s="102"/>
      <c r="DZ84" s="102"/>
      <c r="EA84" s="102"/>
      <c r="EB84" s="102"/>
      <c r="EC84" s="102"/>
      <c r="ED84" s="102"/>
      <c r="EE84" s="102"/>
      <c r="EF84" s="102"/>
      <c r="EG84" s="102"/>
      <c r="EH84" s="102"/>
      <c r="EI84" s="102"/>
      <c r="EJ84" s="102"/>
      <c r="EK84" s="102"/>
      <c r="EL84" s="102"/>
      <c r="EM84" s="102"/>
      <c r="EN84" s="102"/>
      <c r="EO84" s="102"/>
      <c r="EP84" s="102"/>
      <c r="EQ84" s="102"/>
    </row>
    <row r="85" hidden="1">
      <c r="A85" s="138" t="s">
        <v>191</v>
      </c>
      <c r="B85" s="111">
        <f t="shared" si="1"/>
        <v>46054</v>
      </c>
      <c r="C85" s="110">
        <v>120.0</v>
      </c>
      <c r="D85" s="110" t="s">
        <v>109</v>
      </c>
      <c r="E85" s="112"/>
      <c r="F85" s="112"/>
      <c r="G85" s="110" t="s">
        <v>97</v>
      </c>
      <c r="H85" s="110" t="s">
        <v>98</v>
      </c>
      <c r="I85" s="112"/>
      <c r="J85" s="137" t="s">
        <v>98</v>
      </c>
      <c r="K85" s="114"/>
      <c r="L85" s="116"/>
      <c r="M85" s="115" t="s">
        <v>98</v>
      </c>
      <c r="N85" s="116"/>
      <c r="O85" s="116"/>
      <c r="P85" s="115" t="s">
        <v>98</v>
      </c>
      <c r="Q85" s="116"/>
      <c r="R85" s="116"/>
      <c r="S85" s="115" t="s">
        <v>99</v>
      </c>
      <c r="T85" s="116"/>
      <c r="U85" s="116"/>
      <c r="V85" s="143" t="s">
        <v>98</v>
      </c>
      <c r="W85" s="118"/>
      <c r="X85" s="120"/>
      <c r="Y85" s="121" t="s">
        <v>99</v>
      </c>
      <c r="Z85" s="120"/>
      <c r="AA85" s="120"/>
      <c r="AB85" s="121" t="s">
        <v>96</v>
      </c>
      <c r="AC85" s="120"/>
      <c r="AD85" s="120"/>
      <c r="AE85" s="121" t="s">
        <v>99</v>
      </c>
      <c r="AF85" s="121" t="s">
        <v>96</v>
      </c>
      <c r="AG85" s="121" t="s">
        <v>96</v>
      </c>
      <c r="AH85" s="122"/>
      <c r="AI85" s="123"/>
      <c r="AJ85" s="125" t="s">
        <v>96</v>
      </c>
      <c r="AK85" s="124"/>
      <c r="AL85" s="124"/>
      <c r="AM85" s="125" t="s">
        <v>99</v>
      </c>
      <c r="AN85" s="125" t="s">
        <v>98</v>
      </c>
      <c r="AO85" s="124"/>
      <c r="AP85" s="124"/>
      <c r="AQ85" s="125" t="s">
        <v>98</v>
      </c>
      <c r="AR85" s="124"/>
      <c r="AS85" s="125" t="s">
        <v>98</v>
      </c>
      <c r="AT85" s="126"/>
      <c r="AU85" s="127"/>
      <c r="AV85" s="128" t="s">
        <v>98</v>
      </c>
      <c r="AW85" s="129"/>
      <c r="AX85" s="129"/>
      <c r="AY85" s="129"/>
      <c r="AZ85" s="129"/>
      <c r="BA85" s="129"/>
      <c r="BB85" s="129"/>
      <c r="BC85" s="129"/>
      <c r="BD85" s="129"/>
      <c r="BE85" s="129"/>
      <c r="BF85" s="130"/>
      <c r="BG85" s="129"/>
      <c r="BH85" s="129"/>
      <c r="BI85" s="129"/>
      <c r="BJ85" s="129"/>
      <c r="BK85" s="102"/>
      <c r="BL85" s="102"/>
      <c r="BM85" s="102"/>
      <c r="BN85" s="102"/>
      <c r="BO85" s="102"/>
      <c r="BP85" s="102"/>
      <c r="BQ85" s="102"/>
      <c r="BR85" s="102"/>
      <c r="BS85" s="102"/>
      <c r="BT85" s="102"/>
      <c r="BU85" s="102"/>
      <c r="BV85" s="102"/>
      <c r="BW85" s="102"/>
      <c r="BX85" s="102"/>
      <c r="BY85" s="102"/>
      <c r="BZ85" s="102"/>
      <c r="CA85" s="102"/>
      <c r="CB85" s="102"/>
      <c r="CC85" s="102"/>
      <c r="CD85" s="102"/>
      <c r="CE85" s="102"/>
      <c r="CF85" s="102"/>
      <c r="CG85" s="102"/>
      <c r="CH85" s="102"/>
      <c r="CI85" s="102"/>
      <c r="CJ85" s="102"/>
      <c r="CK85" s="102"/>
      <c r="CL85" s="102"/>
      <c r="CM85" s="102"/>
      <c r="CN85" s="102"/>
      <c r="CO85" s="102"/>
      <c r="CP85" s="102"/>
      <c r="CQ85" s="102"/>
      <c r="CR85" s="102"/>
      <c r="CS85" s="102"/>
      <c r="CT85" s="102"/>
      <c r="CU85" s="102"/>
      <c r="CV85" s="102"/>
      <c r="CW85" s="102"/>
      <c r="CX85" s="102"/>
      <c r="CY85" s="102"/>
      <c r="CZ85" s="102"/>
      <c r="DA85" s="102"/>
      <c r="DB85" s="102"/>
      <c r="DC85" s="102"/>
      <c r="DD85" s="102"/>
      <c r="DE85" s="102"/>
      <c r="DF85" s="102"/>
      <c r="DG85" s="102"/>
      <c r="DH85" s="102"/>
      <c r="DI85" s="102"/>
      <c r="DJ85" s="102"/>
      <c r="DK85" s="102"/>
      <c r="DL85" s="102"/>
      <c r="DM85" s="102"/>
      <c r="DN85" s="102"/>
      <c r="DO85" s="102"/>
      <c r="DP85" s="102"/>
      <c r="DQ85" s="102"/>
      <c r="DR85" s="102"/>
      <c r="DS85" s="102"/>
      <c r="DT85" s="102"/>
      <c r="DU85" s="102"/>
      <c r="DV85" s="102"/>
      <c r="DW85" s="102"/>
      <c r="DX85" s="102"/>
      <c r="DY85" s="102"/>
      <c r="DZ85" s="102"/>
      <c r="EA85" s="102"/>
      <c r="EB85" s="102"/>
      <c r="EC85" s="102"/>
      <c r="ED85" s="102"/>
      <c r="EE85" s="102"/>
      <c r="EF85" s="102"/>
      <c r="EG85" s="102"/>
      <c r="EH85" s="102"/>
      <c r="EI85" s="102"/>
      <c r="EJ85" s="102"/>
      <c r="EK85" s="102"/>
      <c r="EL85" s="102"/>
      <c r="EM85" s="102"/>
      <c r="EN85" s="102"/>
      <c r="EO85" s="102"/>
      <c r="EP85" s="102"/>
      <c r="EQ85" s="102"/>
    </row>
    <row r="86" hidden="1">
      <c r="A86" s="139" t="s">
        <v>192</v>
      </c>
      <c r="B86" s="131">
        <f t="shared" si="1"/>
        <v>46054</v>
      </c>
      <c r="C86" s="103">
        <v>120.0</v>
      </c>
      <c r="D86" s="103" t="s">
        <v>109</v>
      </c>
      <c r="E86" s="105"/>
      <c r="F86" s="105"/>
      <c r="G86" s="103" t="s">
        <v>98</v>
      </c>
      <c r="H86" s="105"/>
      <c r="I86" s="105"/>
      <c r="J86" s="136" t="s">
        <v>98</v>
      </c>
      <c r="K86" s="107"/>
      <c r="L86" s="105"/>
      <c r="M86" s="103" t="s">
        <v>98</v>
      </c>
      <c r="N86" s="105"/>
      <c r="O86" s="105"/>
      <c r="P86" s="103" t="s">
        <v>98</v>
      </c>
      <c r="Q86" s="105"/>
      <c r="R86" s="105"/>
      <c r="S86" s="103" t="s">
        <v>99</v>
      </c>
      <c r="T86" s="105"/>
      <c r="U86" s="105"/>
      <c r="V86" s="136" t="s">
        <v>97</v>
      </c>
      <c r="W86" s="107"/>
      <c r="X86" s="105"/>
      <c r="Y86" s="103" t="s">
        <v>99</v>
      </c>
      <c r="Z86" s="105"/>
      <c r="AA86" s="105"/>
      <c r="AB86" s="103" t="s">
        <v>97</v>
      </c>
      <c r="AC86" s="105"/>
      <c r="AD86" s="105"/>
      <c r="AE86" s="103" t="s">
        <v>99</v>
      </c>
      <c r="AF86" s="103" t="s">
        <v>96</v>
      </c>
      <c r="AG86" s="103" t="s">
        <v>98</v>
      </c>
      <c r="AH86" s="106"/>
      <c r="AI86" s="107"/>
      <c r="AJ86" s="103" t="s">
        <v>98</v>
      </c>
      <c r="AK86" s="105"/>
      <c r="AL86" s="105"/>
      <c r="AM86" s="103" t="s">
        <v>99</v>
      </c>
      <c r="AN86" s="103" t="s">
        <v>98</v>
      </c>
      <c r="AO86" s="105"/>
      <c r="AP86" s="105"/>
      <c r="AQ86" s="103" t="s">
        <v>98</v>
      </c>
      <c r="AR86" s="105"/>
      <c r="AS86" s="103" t="s">
        <v>98</v>
      </c>
      <c r="AT86" s="106"/>
      <c r="AU86" s="107"/>
      <c r="AV86" s="103" t="s">
        <v>98</v>
      </c>
      <c r="AW86" s="105"/>
      <c r="AX86" s="105"/>
      <c r="AY86" s="105"/>
      <c r="AZ86" s="105"/>
      <c r="BA86" s="105"/>
      <c r="BB86" s="105"/>
      <c r="BC86" s="105"/>
      <c r="BD86" s="105"/>
      <c r="BE86" s="105"/>
      <c r="BF86" s="106"/>
      <c r="BG86" s="105"/>
      <c r="BH86" s="105"/>
      <c r="BI86" s="105"/>
      <c r="BJ86" s="105"/>
      <c r="BK86" s="102"/>
      <c r="BL86" s="102"/>
      <c r="BM86" s="102"/>
      <c r="BN86" s="102"/>
      <c r="BO86" s="102"/>
      <c r="BP86" s="102"/>
      <c r="BQ86" s="102"/>
      <c r="BR86" s="102"/>
      <c r="BS86" s="102"/>
      <c r="BT86" s="102"/>
      <c r="BU86" s="102"/>
      <c r="BV86" s="102"/>
      <c r="BW86" s="102"/>
      <c r="BX86" s="102"/>
      <c r="BY86" s="102"/>
      <c r="BZ86" s="102"/>
      <c r="CA86" s="102"/>
      <c r="CB86" s="102"/>
      <c r="CC86" s="102"/>
      <c r="CD86" s="102"/>
      <c r="CE86" s="102"/>
      <c r="CF86" s="102"/>
      <c r="CG86" s="102"/>
      <c r="CH86" s="102"/>
      <c r="CI86" s="102"/>
      <c r="CJ86" s="102"/>
      <c r="CK86" s="102"/>
      <c r="CL86" s="102"/>
      <c r="CM86" s="102"/>
      <c r="CN86" s="102"/>
      <c r="CO86" s="102"/>
      <c r="CP86" s="102"/>
      <c r="CQ86" s="102"/>
      <c r="CR86" s="102"/>
      <c r="CS86" s="102"/>
      <c r="CT86" s="102"/>
      <c r="CU86" s="102"/>
      <c r="CV86" s="102"/>
      <c r="CW86" s="102"/>
      <c r="CX86" s="102"/>
      <c r="CY86" s="102"/>
      <c r="CZ86" s="102"/>
      <c r="DA86" s="102"/>
      <c r="DB86" s="102"/>
      <c r="DC86" s="102"/>
      <c r="DD86" s="102"/>
      <c r="DE86" s="102"/>
      <c r="DF86" s="102"/>
      <c r="DG86" s="102"/>
      <c r="DH86" s="102"/>
      <c r="DI86" s="102"/>
      <c r="DJ86" s="102"/>
      <c r="DK86" s="102"/>
      <c r="DL86" s="102"/>
      <c r="DM86" s="102"/>
      <c r="DN86" s="102"/>
      <c r="DO86" s="102"/>
      <c r="DP86" s="102"/>
      <c r="DQ86" s="102"/>
      <c r="DR86" s="102"/>
      <c r="DS86" s="102"/>
      <c r="DT86" s="102"/>
      <c r="DU86" s="102"/>
      <c r="DV86" s="102"/>
      <c r="DW86" s="102"/>
      <c r="DX86" s="102"/>
      <c r="DY86" s="102"/>
      <c r="DZ86" s="102"/>
      <c r="EA86" s="102"/>
      <c r="EB86" s="102"/>
      <c r="EC86" s="102"/>
      <c r="ED86" s="102"/>
      <c r="EE86" s="102"/>
      <c r="EF86" s="102"/>
      <c r="EG86" s="102"/>
      <c r="EH86" s="102"/>
      <c r="EI86" s="102"/>
      <c r="EJ86" s="102"/>
      <c r="EK86" s="102"/>
      <c r="EL86" s="102"/>
      <c r="EM86" s="102"/>
      <c r="EN86" s="102"/>
      <c r="EO86" s="102"/>
      <c r="EP86" s="102"/>
      <c r="EQ86" s="102"/>
    </row>
    <row r="87" hidden="1">
      <c r="A87" s="138" t="s">
        <v>3</v>
      </c>
      <c r="B87" s="111">
        <f t="shared" si="1"/>
        <v>45901</v>
      </c>
      <c r="C87" s="110">
        <v>150.0</v>
      </c>
      <c r="D87" s="110" t="s">
        <v>177</v>
      </c>
      <c r="E87" s="112"/>
      <c r="F87" s="112"/>
      <c r="G87" s="110" t="s">
        <v>97</v>
      </c>
      <c r="H87" s="112"/>
      <c r="I87" s="112"/>
      <c r="J87" s="113"/>
      <c r="K87" s="132" t="s">
        <v>97</v>
      </c>
      <c r="L87" s="116"/>
      <c r="M87" s="116"/>
      <c r="N87" s="116"/>
      <c r="O87" s="115" t="s">
        <v>97</v>
      </c>
      <c r="P87" s="116"/>
      <c r="Q87" s="116"/>
      <c r="R87" s="116"/>
      <c r="S87" s="115" t="s">
        <v>99</v>
      </c>
      <c r="T87" s="116"/>
      <c r="U87" s="116"/>
      <c r="V87" s="117"/>
      <c r="W87" s="119" t="s">
        <v>99</v>
      </c>
      <c r="X87" s="120"/>
      <c r="Y87" s="120"/>
      <c r="Z87" s="120"/>
      <c r="AA87" s="121" t="s">
        <v>99</v>
      </c>
      <c r="AB87" s="120"/>
      <c r="AC87" s="120"/>
      <c r="AD87" s="120"/>
      <c r="AE87" s="121" t="s">
        <v>99</v>
      </c>
      <c r="AF87" s="120"/>
      <c r="AG87" s="120"/>
      <c r="AH87" s="122"/>
      <c r="AI87" s="134" t="s">
        <v>99</v>
      </c>
      <c r="AJ87" s="125" t="s">
        <v>97</v>
      </c>
      <c r="AK87" s="124"/>
      <c r="AL87" s="124"/>
      <c r="AM87" s="124"/>
      <c r="AN87" s="125" t="s">
        <v>99</v>
      </c>
      <c r="AO87" s="125" t="s">
        <v>99</v>
      </c>
      <c r="AP87" s="125" t="s">
        <v>99</v>
      </c>
      <c r="AQ87" s="125" t="s">
        <v>97</v>
      </c>
      <c r="AR87" s="124"/>
      <c r="AS87" s="124"/>
      <c r="AT87" s="126"/>
      <c r="AU87" s="135" t="s">
        <v>99</v>
      </c>
      <c r="AV87" s="128" t="s">
        <v>99</v>
      </c>
      <c r="AW87" s="128" t="s">
        <v>99</v>
      </c>
      <c r="AX87" s="128" t="s">
        <v>99</v>
      </c>
      <c r="AY87" s="129"/>
      <c r="AZ87" s="129"/>
      <c r="BA87" s="129"/>
      <c r="BB87" s="129"/>
      <c r="BC87" s="129"/>
      <c r="BD87" s="129"/>
      <c r="BE87" s="129"/>
      <c r="BF87" s="130"/>
      <c r="BG87" s="129"/>
      <c r="BH87" s="129"/>
      <c r="BI87" s="129"/>
      <c r="BJ87" s="129"/>
      <c r="BK87" s="102"/>
      <c r="BL87" s="102"/>
      <c r="BM87" s="102"/>
      <c r="BN87" s="102"/>
      <c r="BO87" s="102"/>
      <c r="BP87" s="102"/>
      <c r="BQ87" s="102"/>
      <c r="BR87" s="102"/>
      <c r="BS87" s="102"/>
      <c r="BT87" s="102"/>
      <c r="BU87" s="102"/>
      <c r="BV87" s="102"/>
      <c r="BW87" s="102"/>
      <c r="BX87" s="102"/>
      <c r="BY87" s="102"/>
      <c r="BZ87" s="102"/>
      <c r="CA87" s="102"/>
      <c r="CB87" s="102"/>
      <c r="CC87" s="102"/>
      <c r="CD87" s="102"/>
      <c r="CE87" s="102"/>
      <c r="CF87" s="102"/>
      <c r="CG87" s="102"/>
      <c r="CH87" s="102"/>
      <c r="CI87" s="102"/>
      <c r="CJ87" s="102"/>
      <c r="CK87" s="102"/>
      <c r="CL87" s="102"/>
      <c r="CM87" s="102"/>
      <c r="CN87" s="102"/>
      <c r="CO87" s="102"/>
      <c r="CP87" s="102"/>
      <c r="CQ87" s="102"/>
      <c r="CR87" s="102"/>
      <c r="CS87" s="102"/>
      <c r="CT87" s="102"/>
      <c r="CU87" s="102"/>
      <c r="CV87" s="102"/>
      <c r="CW87" s="102"/>
      <c r="CX87" s="102"/>
      <c r="CY87" s="102"/>
      <c r="CZ87" s="102"/>
      <c r="DA87" s="102"/>
      <c r="DB87" s="102"/>
      <c r="DC87" s="102"/>
      <c r="DD87" s="102"/>
      <c r="DE87" s="102"/>
      <c r="DF87" s="102"/>
      <c r="DG87" s="102"/>
      <c r="DH87" s="102"/>
      <c r="DI87" s="102"/>
      <c r="DJ87" s="102"/>
      <c r="DK87" s="102"/>
      <c r="DL87" s="102"/>
      <c r="DM87" s="102"/>
      <c r="DN87" s="102"/>
      <c r="DO87" s="102"/>
      <c r="DP87" s="102"/>
      <c r="DQ87" s="102"/>
      <c r="DR87" s="102"/>
      <c r="DS87" s="102"/>
      <c r="DT87" s="102"/>
      <c r="DU87" s="102"/>
      <c r="DV87" s="102"/>
      <c r="DW87" s="102"/>
      <c r="DX87" s="102"/>
      <c r="DY87" s="102"/>
      <c r="DZ87" s="102"/>
      <c r="EA87" s="102"/>
      <c r="EB87" s="102"/>
      <c r="EC87" s="102"/>
      <c r="ED87" s="102"/>
      <c r="EE87" s="102"/>
      <c r="EF87" s="102"/>
      <c r="EG87" s="102"/>
      <c r="EH87" s="102"/>
      <c r="EI87" s="102"/>
      <c r="EJ87" s="102"/>
      <c r="EK87" s="102"/>
      <c r="EL87" s="102"/>
      <c r="EM87" s="102"/>
      <c r="EN87" s="102"/>
      <c r="EO87" s="102"/>
      <c r="EP87" s="102"/>
      <c r="EQ87" s="102"/>
    </row>
    <row r="88" hidden="1">
      <c r="A88" s="139" t="s">
        <v>193</v>
      </c>
      <c r="B88" s="131">
        <f t="shared" si="1"/>
        <v>45901</v>
      </c>
      <c r="C88" s="103">
        <v>150.0</v>
      </c>
      <c r="D88" s="103" t="s">
        <v>177</v>
      </c>
      <c r="E88" s="105"/>
      <c r="F88" s="105"/>
      <c r="G88" s="103" t="s">
        <v>97</v>
      </c>
      <c r="H88" s="105"/>
      <c r="I88" s="105"/>
      <c r="J88" s="106"/>
      <c r="K88" s="108" t="s">
        <v>97</v>
      </c>
      <c r="L88" s="105"/>
      <c r="M88" s="105"/>
      <c r="N88" s="105"/>
      <c r="O88" s="103" t="s">
        <v>97</v>
      </c>
      <c r="P88" s="105"/>
      <c r="Q88" s="105"/>
      <c r="R88" s="105"/>
      <c r="S88" s="103" t="s">
        <v>99</v>
      </c>
      <c r="T88" s="105"/>
      <c r="U88" s="105"/>
      <c r="V88" s="106"/>
      <c r="W88" s="108" t="s">
        <v>99</v>
      </c>
      <c r="X88" s="105"/>
      <c r="Y88" s="105"/>
      <c r="Z88" s="105"/>
      <c r="AA88" s="103" t="s">
        <v>99</v>
      </c>
      <c r="AB88" s="105"/>
      <c r="AC88" s="105"/>
      <c r="AD88" s="105"/>
      <c r="AE88" s="103" t="s">
        <v>99</v>
      </c>
      <c r="AF88" s="105"/>
      <c r="AG88" s="105"/>
      <c r="AH88" s="106"/>
      <c r="AI88" s="108" t="s">
        <v>99</v>
      </c>
      <c r="AJ88" s="103" t="s">
        <v>97</v>
      </c>
      <c r="AK88" s="105"/>
      <c r="AL88" s="105"/>
      <c r="AM88" s="105"/>
      <c r="AN88" s="103" t="s">
        <v>99</v>
      </c>
      <c r="AO88" s="103" t="s">
        <v>99</v>
      </c>
      <c r="AP88" s="103" t="s">
        <v>99</v>
      </c>
      <c r="AQ88" s="103" t="s">
        <v>97</v>
      </c>
      <c r="AR88" s="105"/>
      <c r="AS88" s="105"/>
      <c r="AT88" s="106"/>
      <c r="AU88" s="108" t="s">
        <v>99</v>
      </c>
      <c r="AV88" s="103" t="s">
        <v>99</v>
      </c>
      <c r="AW88" s="103" t="s">
        <v>99</v>
      </c>
      <c r="AX88" s="103" t="s">
        <v>99</v>
      </c>
      <c r="AY88" s="105"/>
      <c r="AZ88" s="105"/>
      <c r="BA88" s="105"/>
      <c r="BB88" s="105"/>
      <c r="BC88" s="105"/>
      <c r="BD88" s="105"/>
      <c r="BE88" s="105"/>
      <c r="BF88" s="106"/>
      <c r="BG88" s="105"/>
      <c r="BH88" s="105"/>
      <c r="BI88" s="105"/>
      <c r="BJ88" s="105"/>
      <c r="BK88" s="102"/>
      <c r="BL88" s="102"/>
      <c r="BM88" s="102"/>
      <c r="BN88" s="102"/>
      <c r="BO88" s="102"/>
      <c r="BP88" s="102"/>
      <c r="BQ88" s="102"/>
      <c r="BR88" s="102"/>
      <c r="BS88" s="102"/>
      <c r="BT88" s="102"/>
      <c r="BU88" s="102"/>
      <c r="BV88" s="102"/>
      <c r="BW88" s="102"/>
      <c r="BX88" s="102"/>
      <c r="BY88" s="102"/>
      <c r="BZ88" s="102"/>
      <c r="CA88" s="102"/>
      <c r="CB88" s="102"/>
      <c r="CC88" s="102"/>
      <c r="CD88" s="102"/>
      <c r="CE88" s="102"/>
      <c r="CF88" s="102"/>
      <c r="CG88" s="102"/>
      <c r="CH88" s="102"/>
      <c r="CI88" s="102"/>
      <c r="CJ88" s="102"/>
      <c r="CK88" s="102"/>
      <c r="CL88" s="102"/>
      <c r="CM88" s="102"/>
      <c r="CN88" s="102"/>
      <c r="CO88" s="102"/>
      <c r="CP88" s="102"/>
      <c r="CQ88" s="102"/>
      <c r="CR88" s="102"/>
      <c r="CS88" s="102"/>
      <c r="CT88" s="102"/>
      <c r="CU88" s="102"/>
      <c r="CV88" s="102"/>
      <c r="CW88" s="102"/>
      <c r="CX88" s="102"/>
      <c r="CY88" s="102"/>
      <c r="CZ88" s="102"/>
      <c r="DA88" s="102"/>
      <c r="DB88" s="102"/>
      <c r="DC88" s="102"/>
      <c r="DD88" s="102"/>
      <c r="DE88" s="102"/>
      <c r="DF88" s="102"/>
      <c r="DG88" s="102"/>
      <c r="DH88" s="102"/>
      <c r="DI88" s="102"/>
      <c r="DJ88" s="102"/>
      <c r="DK88" s="102"/>
      <c r="DL88" s="102"/>
      <c r="DM88" s="102"/>
      <c r="DN88" s="102"/>
      <c r="DO88" s="102"/>
      <c r="DP88" s="102"/>
      <c r="DQ88" s="102"/>
      <c r="DR88" s="102"/>
      <c r="DS88" s="102"/>
      <c r="DT88" s="102"/>
      <c r="DU88" s="102"/>
      <c r="DV88" s="102"/>
      <c r="DW88" s="102"/>
      <c r="DX88" s="102"/>
      <c r="DY88" s="102"/>
      <c r="DZ88" s="102"/>
      <c r="EA88" s="102"/>
      <c r="EB88" s="102"/>
      <c r="EC88" s="102"/>
      <c r="ED88" s="102"/>
      <c r="EE88" s="102"/>
      <c r="EF88" s="102"/>
      <c r="EG88" s="102"/>
      <c r="EH88" s="102"/>
      <c r="EI88" s="102"/>
      <c r="EJ88" s="102"/>
      <c r="EK88" s="102"/>
      <c r="EL88" s="102"/>
      <c r="EM88" s="102"/>
      <c r="EN88" s="102"/>
      <c r="EO88" s="102"/>
      <c r="EP88" s="102"/>
      <c r="EQ88" s="102"/>
    </row>
    <row r="89" hidden="1">
      <c r="A89" s="138" t="s">
        <v>194</v>
      </c>
      <c r="B89" s="111">
        <f t="shared" si="1"/>
        <v>45901</v>
      </c>
      <c r="C89" s="110">
        <v>150.0</v>
      </c>
      <c r="D89" s="110" t="s">
        <v>177</v>
      </c>
      <c r="E89" s="112"/>
      <c r="F89" s="112"/>
      <c r="G89" s="110" t="s">
        <v>97</v>
      </c>
      <c r="H89" s="112"/>
      <c r="I89" s="112"/>
      <c r="J89" s="113"/>
      <c r="K89" s="132" t="s">
        <v>97</v>
      </c>
      <c r="L89" s="116"/>
      <c r="M89" s="116"/>
      <c r="N89" s="116"/>
      <c r="O89" s="115" t="s">
        <v>97</v>
      </c>
      <c r="P89" s="116"/>
      <c r="Q89" s="116"/>
      <c r="R89" s="116"/>
      <c r="S89" s="115" t="s">
        <v>99</v>
      </c>
      <c r="T89" s="116"/>
      <c r="U89" s="116"/>
      <c r="V89" s="117"/>
      <c r="W89" s="119" t="s">
        <v>99</v>
      </c>
      <c r="X89" s="120"/>
      <c r="Y89" s="120"/>
      <c r="Z89" s="120"/>
      <c r="AA89" s="121" t="s">
        <v>99</v>
      </c>
      <c r="AB89" s="120"/>
      <c r="AC89" s="120"/>
      <c r="AD89" s="120"/>
      <c r="AE89" s="121" t="s">
        <v>99</v>
      </c>
      <c r="AF89" s="120"/>
      <c r="AG89" s="120"/>
      <c r="AH89" s="122"/>
      <c r="AI89" s="134" t="s">
        <v>99</v>
      </c>
      <c r="AJ89" s="125" t="s">
        <v>97</v>
      </c>
      <c r="AK89" s="124"/>
      <c r="AL89" s="124"/>
      <c r="AM89" s="124"/>
      <c r="AN89" s="125" t="s">
        <v>99</v>
      </c>
      <c r="AO89" s="125" t="s">
        <v>99</v>
      </c>
      <c r="AP89" s="125" t="s">
        <v>99</v>
      </c>
      <c r="AQ89" s="125" t="s">
        <v>97</v>
      </c>
      <c r="AR89" s="124"/>
      <c r="AS89" s="124"/>
      <c r="AT89" s="126"/>
      <c r="AU89" s="135" t="s">
        <v>99</v>
      </c>
      <c r="AV89" s="128" t="s">
        <v>99</v>
      </c>
      <c r="AW89" s="128" t="s">
        <v>99</v>
      </c>
      <c r="AX89" s="128" t="s">
        <v>99</v>
      </c>
      <c r="AY89" s="129"/>
      <c r="AZ89" s="129"/>
      <c r="BA89" s="129"/>
      <c r="BB89" s="129"/>
      <c r="BC89" s="129"/>
      <c r="BD89" s="129"/>
      <c r="BE89" s="129"/>
      <c r="BF89" s="130"/>
      <c r="BG89" s="129"/>
      <c r="BH89" s="129"/>
      <c r="BI89" s="129"/>
      <c r="BJ89" s="129"/>
      <c r="BK89" s="102"/>
      <c r="BL89" s="102"/>
      <c r="BM89" s="102"/>
      <c r="BN89" s="102"/>
      <c r="BO89" s="102"/>
      <c r="BP89" s="102"/>
      <c r="BQ89" s="102"/>
      <c r="BR89" s="102"/>
      <c r="BS89" s="102"/>
      <c r="BT89" s="102"/>
      <c r="BU89" s="102"/>
      <c r="BV89" s="102"/>
      <c r="BW89" s="102"/>
      <c r="BX89" s="102"/>
      <c r="BY89" s="102"/>
      <c r="BZ89" s="102"/>
      <c r="CA89" s="102"/>
      <c r="CB89" s="102"/>
      <c r="CC89" s="102"/>
      <c r="CD89" s="102"/>
      <c r="CE89" s="102"/>
      <c r="CF89" s="102"/>
      <c r="CG89" s="102"/>
      <c r="CH89" s="102"/>
      <c r="CI89" s="102"/>
      <c r="CJ89" s="102"/>
      <c r="CK89" s="102"/>
      <c r="CL89" s="102"/>
      <c r="CM89" s="102"/>
      <c r="CN89" s="102"/>
      <c r="CO89" s="102"/>
      <c r="CP89" s="102"/>
      <c r="CQ89" s="102"/>
      <c r="CR89" s="102"/>
      <c r="CS89" s="102"/>
      <c r="CT89" s="102"/>
      <c r="CU89" s="102"/>
      <c r="CV89" s="102"/>
      <c r="CW89" s="102"/>
      <c r="CX89" s="102"/>
      <c r="CY89" s="102"/>
      <c r="CZ89" s="102"/>
      <c r="DA89" s="102"/>
      <c r="DB89" s="102"/>
      <c r="DC89" s="102"/>
      <c r="DD89" s="102"/>
      <c r="DE89" s="102"/>
      <c r="DF89" s="102"/>
      <c r="DG89" s="102"/>
      <c r="DH89" s="102"/>
      <c r="DI89" s="102"/>
      <c r="DJ89" s="102"/>
      <c r="DK89" s="102"/>
      <c r="DL89" s="102"/>
      <c r="DM89" s="102"/>
      <c r="DN89" s="102"/>
      <c r="DO89" s="102"/>
      <c r="DP89" s="102"/>
      <c r="DQ89" s="102"/>
      <c r="DR89" s="102"/>
      <c r="DS89" s="102"/>
      <c r="DT89" s="102"/>
      <c r="DU89" s="102"/>
      <c r="DV89" s="102"/>
      <c r="DW89" s="102"/>
      <c r="DX89" s="102"/>
      <c r="DY89" s="102"/>
      <c r="DZ89" s="102"/>
      <c r="EA89" s="102"/>
      <c r="EB89" s="102"/>
      <c r="EC89" s="102"/>
      <c r="ED89" s="102"/>
      <c r="EE89" s="102"/>
      <c r="EF89" s="102"/>
      <c r="EG89" s="102"/>
      <c r="EH89" s="102"/>
      <c r="EI89" s="102"/>
      <c r="EJ89" s="102"/>
      <c r="EK89" s="102"/>
      <c r="EL89" s="102"/>
      <c r="EM89" s="102"/>
      <c r="EN89" s="102"/>
      <c r="EO89" s="102"/>
      <c r="EP89" s="102"/>
      <c r="EQ89" s="102"/>
    </row>
    <row r="90" hidden="1">
      <c r="A90" s="139" t="s">
        <v>195</v>
      </c>
      <c r="B90" s="131">
        <f t="shared" si="1"/>
        <v>46082</v>
      </c>
      <c r="C90" s="103">
        <v>150.0</v>
      </c>
      <c r="D90" s="103" t="s">
        <v>177</v>
      </c>
      <c r="E90" s="105"/>
      <c r="F90" s="105"/>
      <c r="G90" s="103" t="s">
        <v>97</v>
      </c>
      <c r="H90" s="105"/>
      <c r="I90" s="105"/>
      <c r="J90" s="106"/>
      <c r="K90" s="108" t="s">
        <v>97</v>
      </c>
      <c r="L90" s="105"/>
      <c r="M90" s="105"/>
      <c r="N90" s="105"/>
      <c r="O90" s="103" t="s">
        <v>97</v>
      </c>
      <c r="P90" s="105"/>
      <c r="Q90" s="105"/>
      <c r="R90" s="105"/>
      <c r="S90" s="103" t="s">
        <v>99</v>
      </c>
      <c r="T90" s="105"/>
      <c r="U90" s="105"/>
      <c r="V90" s="106"/>
      <c r="W90" s="108" t="s">
        <v>99</v>
      </c>
      <c r="X90" s="105"/>
      <c r="Y90" s="105"/>
      <c r="Z90" s="105"/>
      <c r="AA90" s="103" t="s">
        <v>99</v>
      </c>
      <c r="AB90" s="105"/>
      <c r="AC90" s="105"/>
      <c r="AD90" s="105"/>
      <c r="AE90" s="103" t="s">
        <v>99</v>
      </c>
      <c r="AF90" s="105"/>
      <c r="AG90" s="105"/>
      <c r="AH90" s="106"/>
      <c r="AI90" s="108" t="s">
        <v>99</v>
      </c>
      <c r="AJ90" s="103" t="s">
        <v>97</v>
      </c>
      <c r="AK90" s="105"/>
      <c r="AL90" s="105"/>
      <c r="AM90" s="105"/>
      <c r="AN90" s="103" t="s">
        <v>99</v>
      </c>
      <c r="AO90" s="103" t="s">
        <v>99</v>
      </c>
      <c r="AP90" s="103" t="s">
        <v>99</v>
      </c>
      <c r="AQ90" s="103" t="s">
        <v>97</v>
      </c>
      <c r="AR90" s="105"/>
      <c r="AS90" s="105"/>
      <c r="AT90" s="106"/>
      <c r="AU90" s="108" t="s">
        <v>99</v>
      </c>
      <c r="AV90" s="103" t="s">
        <v>99</v>
      </c>
      <c r="AW90" s="103" t="s">
        <v>97</v>
      </c>
      <c r="AX90" s="105"/>
      <c r="AY90" s="105"/>
      <c r="AZ90" s="105"/>
      <c r="BA90" s="105"/>
      <c r="BB90" s="105"/>
      <c r="BC90" s="105"/>
      <c r="BD90" s="105"/>
      <c r="BE90" s="105"/>
      <c r="BF90" s="106"/>
      <c r="BG90" s="105"/>
      <c r="BH90" s="105"/>
      <c r="BI90" s="105"/>
      <c r="BJ90" s="105"/>
      <c r="BK90" s="102"/>
      <c r="BL90" s="102"/>
      <c r="BM90" s="102"/>
      <c r="BN90" s="102"/>
      <c r="BO90" s="102"/>
      <c r="BP90" s="102"/>
      <c r="BQ90" s="102"/>
      <c r="BR90" s="102"/>
      <c r="BS90" s="102"/>
      <c r="BT90" s="102"/>
      <c r="BU90" s="102"/>
      <c r="BV90" s="102"/>
      <c r="BW90" s="102"/>
      <c r="BX90" s="102"/>
      <c r="BY90" s="102"/>
      <c r="BZ90" s="102"/>
      <c r="CA90" s="102"/>
      <c r="CB90" s="102"/>
      <c r="CC90" s="102"/>
      <c r="CD90" s="102"/>
      <c r="CE90" s="102"/>
      <c r="CF90" s="102"/>
      <c r="CG90" s="102"/>
      <c r="CH90" s="102"/>
      <c r="CI90" s="102"/>
      <c r="CJ90" s="102"/>
      <c r="CK90" s="102"/>
      <c r="CL90" s="102"/>
      <c r="CM90" s="102"/>
      <c r="CN90" s="102"/>
      <c r="CO90" s="102"/>
      <c r="CP90" s="102"/>
      <c r="CQ90" s="102"/>
      <c r="CR90" s="102"/>
      <c r="CS90" s="102"/>
      <c r="CT90" s="102"/>
      <c r="CU90" s="102"/>
      <c r="CV90" s="102"/>
      <c r="CW90" s="102"/>
      <c r="CX90" s="102"/>
      <c r="CY90" s="102"/>
      <c r="CZ90" s="102"/>
      <c r="DA90" s="102"/>
      <c r="DB90" s="102"/>
      <c r="DC90" s="102"/>
      <c r="DD90" s="102"/>
      <c r="DE90" s="102"/>
      <c r="DF90" s="102"/>
      <c r="DG90" s="102"/>
      <c r="DH90" s="102"/>
      <c r="DI90" s="102"/>
      <c r="DJ90" s="102"/>
      <c r="DK90" s="102"/>
      <c r="DL90" s="102"/>
      <c r="DM90" s="102"/>
      <c r="DN90" s="102"/>
      <c r="DO90" s="102"/>
      <c r="DP90" s="102"/>
      <c r="DQ90" s="102"/>
      <c r="DR90" s="102"/>
      <c r="DS90" s="102"/>
      <c r="DT90" s="102"/>
      <c r="DU90" s="102"/>
      <c r="DV90" s="102"/>
      <c r="DW90" s="102"/>
      <c r="DX90" s="102"/>
      <c r="DY90" s="102"/>
      <c r="DZ90" s="102"/>
      <c r="EA90" s="102"/>
      <c r="EB90" s="102"/>
      <c r="EC90" s="102"/>
      <c r="ED90" s="102"/>
      <c r="EE90" s="102"/>
      <c r="EF90" s="102"/>
      <c r="EG90" s="102"/>
      <c r="EH90" s="102"/>
      <c r="EI90" s="102"/>
      <c r="EJ90" s="102"/>
      <c r="EK90" s="102"/>
      <c r="EL90" s="102"/>
      <c r="EM90" s="102"/>
      <c r="EN90" s="102"/>
      <c r="EO90" s="102"/>
      <c r="EP90" s="102"/>
      <c r="EQ90" s="102"/>
    </row>
    <row r="91" hidden="1">
      <c r="A91" s="138" t="s">
        <v>196</v>
      </c>
      <c r="B91" s="111">
        <f t="shared" si="1"/>
        <v>45901</v>
      </c>
      <c r="C91" s="110">
        <v>150.0</v>
      </c>
      <c r="D91" s="110" t="s">
        <v>177</v>
      </c>
      <c r="E91" s="112"/>
      <c r="F91" s="112"/>
      <c r="G91" s="110" t="s">
        <v>97</v>
      </c>
      <c r="H91" s="112"/>
      <c r="I91" s="112"/>
      <c r="J91" s="113"/>
      <c r="K91" s="132" t="s">
        <v>97</v>
      </c>
      <c r="L91" s="116"/>
      <c r="M91" s="116"/>
      <c r="N91" s="116"/>
      <c r="O91" s="115" t="s">
        <v>97</v>
      </c>
      <c r="P91" s="116"/>
      <c r="Q91" s="116"/>
      <c r="R91" s="116"/>
      <c r="S91" s="115" t="s">
        <v>99</v>
      </c>
      <c r="T91" s="116"/>
      <c r="U91" s="116"/>
      <c r="V91" s="117"/>
      <c r="W91" s="119" t="s">
        <v>99</v>
      </c>
      <c r="X91" s="120"/>
      <c r="Y91" s="120"/>
      <c r="Z91" s="120"/>
      <c r="AA91" s="121" t="s">
        <v>99</v>
      </c>
      <c r="AB91" s="120"/>
      <c r="AC91" s="120"/>
      <c r="AD91" s="120"/>
      <c r="AE91" s="121" t="s">
        <v>99</v>
      </c>
      <c r="AF91" s="120"/>
      <c r="AG91" s="120"/>
      <c r="AH91" s="122"/>
      <c r="AI91" s="134" t="s">
        <v>99</v>
      </c>
      <c r="AJ91" s="125" t="s">
        <v>97</v>
      </c>
      <c r="AK91" s="124"/>
      <c r="AL91" s="124"/>
      <c r="AM91" s="124"/>
      <c r="AN91" s="125" t="s">
        <v>99</v>
      </c>
      <c r="AO91" s="125" t="s">
        <v>99</v>
      </c>
      <c r="AP91" s="125" t="s">
        <v>99</v>
      </c>
      <c r="AQ91" s="125" t="s">
        <v>97</v>
      </c>
      <c r="AR91" s="124"/>
      <c r="AS91" s="124"/>
      <c r="AT91" s="126"/>
      <c r="AU91" s="135" t="s">
        <v>99</v>
      </c>
      <c r="AV91" s="128" t="s">
        <v>99</v>
      </c>
      <c r="AW91" s="128" t="s">
        <v>99</v>
      </c>
      <c r="AX91" s="128" t="s">
        <v>99</v>
      </c>
      <c r="AY91" s="129"/>
      <c r="AZ91" s="129"/>
      <c r="BA91" s="129"/>
      <c r="BB91" s="129"/>
      <c r="BC91" s="129"/>
      <c r="BD91" s="129"/>
      <c r="BE91" s="129"/>
      <c r="BF91" s="130"/>
      <c r="BG91" s="129"/>
      <c r="BH91" s="129"/>
      <c r="BI91" s="129"/>
      <c r="BJ91" s="129"/>
      <c r="BK91" s="102"/>
      <c r="BL91" s="102"/>
      <c r="BM91" s="102"/>
      <c r="BN91" s="102"/>
      <c r="BO91" s="102"/>
      <c r="BP91" s="102"/>
      <c r="BQ91" s="102"/>
      <c r="BR91" s="102"/>
      <c r="BS91" s="102"/>
      <c r="BT91" s="102"/>
      <c r="BU91" s="102"/>
      <c r="BV91" s="102"/>
      <c r="BW91" s="102"/>
      <c r="BX91" s="102"/>
      <c r="BY91" s="102"/>
      <c r="BZ91" s="102"/>
      <c r="CA91" s="102"/>
      <c r="CB91" s="102"/>
      <c r="CC91" s="102"/>
      <c r="CD91" s="102"/>
      <c r="CE91" s="102"/>
      <c r="CF91" s="102"/>
      <c r="CG91" s="102"/>
      <c r="CH91" s="102"/>
      <c r="CI91" s="102"/>
      <c r="CJ91" s="102"/>
      <c r="CK91" s="102"/>
      <c r="CL91" s="102"/>
      <c r="CM91" s="102"/>
      <c r="CN91" s="102"/>
      <c r="CO91" s="102"/>
      <c r="CP91" s="102"/>
      <c r="CQ91" s="102"/>
      <c r="CR91" s="102"/>
      <c r="CS91" s="102"/>
      <c r="CT91" s="102"/>
      <c r="CU91" s="102"/>
      <c r="CV91" s="102"/>
      <c r="CW91" s="102"/>
      <c r="CX91" s="102"/>
      <c r="CY91" s="102"/>
      <c r="CZ91" s="102"/>
      <c r="DA91" s="102"/>
      <c r="DB91" s="102"/>
      <c r="DC91" s="102"/>
      <c r="DD91" s="102"/>
      <c r="DE91" s="102"/>
      <c r="DF91" s="102"/>
      <c r="DG91" s="102"/>
      <c r="DH91" s="102"/>
      <c r="DI91" s="102"/>
      <c r="DJ91" s="102"/>
      <c r="DK91" s="102"/>
      <c r="DL91" s="102"/>
      <c r="DM91" s="102"/>
      <c r="DN91" s="102"/>
      <c r="DO91" s="102"/>
      <c r="DP91" s="102"/>
      <c r="DQ91" s="102"/>
      <c r="DR91" s="102"/>
      <c r="DS91" s="102"/>
      <c r="DT91" s="102"/>
      <c r="DU91" s="102"/>
      <c r="DV91" s="102"/>
      <c r="DW91" s="102"/>
      <c r="DX91" s="102"/>
      <c r="DY91" s="102"/>
      <c r="DZ91" s="102"/>
      <c r="EA91" s="102"/>
      <c r="EB91" s="102"/>
      <c r="EC91" s="102"/>
      <c r="ED91" s="102"/>
      <c r="EE91" s="102"/>
      <c r="EF91" s="102"/>
      <c r="EG91" s="102"/>
      <c r="EH91" s="102"/>
      <c r="EI91" s="102"/>
      <c r="EJ91" s="102"/>
      <c r="EK91" s="102"/>
      <c r="EL91" s="102"/>
      <c r="EM91" s="102"/>
      <c r="EN91" s="102"/>
      <c r="EO91" s="102"/>
      <c r="EP91" s="102"/>
      <c r="EQ91" s="102"/>
    </row>
    <row r="92" hidden="1">
      <c r="A92" s="139" t="s">
        <v>197</v>
      </c>
      <c r="B92" s="131">
        <f t="shared" si="1"/>
        <v>45901</v>
      </c>
      <c r="C92" s="103">
        <v>150.0</v>
      </c>
      <c r="D92" s="103" t="s">
        <v>177</v>
      </c>
      <c r="E92" s="105"/>
      <c r="F92" s="105"/>
      <c r="G92" s="103" t="s">
        <v>97</v>
      </c>
      <c r="H92" s="105"/>
      <c r="I92" s="105"/>
      <c r="J92" s="106"/>
      <c r="K92" s="108" t="s">
        <v>97</v>
      </c>
      <c r="L92" s="105"/>
      <c r="M92" s="105"/>
      <c r="N92" s="105"/>
      <c r="O92" s="103" t="s">
        <v>97</v>
      </c>
      <c r="P92" s="105"/>
      <c r="Q92" s="105"/>
      <c r="R92" s="105"/>
      <c r="S92" s="103" t="s">
        <v>99</v>
      </c>
      <c r="T92" s="105"/>
      <c r="U92" s="105"/>
      <c r="V92" s="106"/>
      <c r="W92" s="108" t="s">
        <v>99</v>
      </c>
      <c r="X92" s="105"/>
      <c r="Y92" s="105"/>
      <c r="Z92" s="105"/>
      <c r="AA92" s="103" t="s">
        <v>99</v>
      </c>
      <c r="AB92" s="105"/>
      <c r="AC92" s="105"/>
      <c r="AD92" s="105"/>
      <c r="AE92" s="103" t="s">
        <v>99</v>
      </c>
      <c r="AF92" s="105"/>
      <c r="AG92" s="105"/>
      <c r="AH92" s="106"/>
      <c r="AI92" s="108" t="s">
        <v>99</v>
      </c>
      <c r="AJ92" s="103" t="s">
        <v>97</v>
      </c>
      <c r="AK92" s="105"/>
      <c r="AL92" s="105"/>
      <c r="AM92" s="105"/>
      <c r="AN92" s="103" t="s">
        <v>99</v>
      </c>
      <c r="AO92" s="103" t="s">
        <v>99</v>
      </c>
      <c r="AP92" s="103" t="s">
        <v>99</v>
      </c>
      <c r="AQ92" s="103" t="s">
        <v>97</v>
      </c>
      <c r="AR92" s="105"/>
      <c r="AS92" s="105"/>
      <c r="AT92" s="106"/>
      <c r="AU92" s="108" t="s">
        <v>99</v>
      </c>
      <c r="AV92" s="103" t="s">
        <v>99</v>
      </c>
      <c r="AW92" s="103" t="s">
        <v>99</v>
      </c>
      <c r="AX92" s="103" t="s">
        <v>99</v>
      </c>
      <c r="AY92" s="105"/>
      <c r="AZ92" s="105"/>
      <c r="BA92" s="105"/>
      <c r="BB92" s="105"/>
      <c r="BC92" s="105"/>
      <c r="BD92" s="105"/>
      <c r="BE92" s="105"/>
      <c r="BF92" s="106"/>
      <c r="BG92" s="105"/>
      <c r="BH92" s="105"/>
      <c r="BI92" s="105"/>
      <c r="BJ92" s="105"/>
      <c r="BK92" s="102"/>
      <c r="BL92" s="102"/>
      <c r="BM92" s="102"/>
      <c r="BN92" s="102"/>
      <c r="BO92" s="102"/>
      <c r="BP92" s="102"/>
      <c r="BQ92" s="102"/>
      <c r="BR92" s="102"/>
      <c r="BS92" s="102"/>
      <c r="BT92" s="102"/>
      <c r="BU92" s="102"/>
      <c r="BV92" s="102"/>
      <c r="BW92" s="102"/>
      <c r="BX92" s="102"/>
      <c r="BY92" s="102"/>
      <c r="BZ92" s="102"/>
      <c r="CA92" s="102"/>
      <c r="CB92" s="102"/>
      <c r="CC92" s="102"/>
      <c r="CD92" s="102"/>
      <c r="CE92" s="102"/>
      <c r="CF92" s="102"/>
      <c r="CG92" s="102"/>
      <c r="CH92" s="102"/>
      <c r="CI92" s="102"/>
      <c r="CJ92" s="102"/>
      <c r="CK92" s="102"/>
      <c r="CL92" s="102"/>
      <c r="CM92" s="102"/>
      <c r="CN92" s="102"/>
      <c r="CO92" s="102"/>
      <c r="CP92" s="102"/>
      <c r="CQ92" s="102"/>
      <c r="CR92" s="102"/>
      <c r="CS92" s="102"/>
      <c r="CT92" s="102"/>
      <c r="CU92" s="102"/>
      <c r="CV92" s="102"/>
      <c r="CW92" s="102"/>
      <c r="CX92" s="102"/>
      <c r="CY92" s="102"/>
      <c r="CZ92" s="102"/>
      <c r="DA92" s="102"/>
      <c r="DB92" s="102"/>
      <c r="DC92" s="102"/>
      <c r="DD92" s="102"/>
      <c r="DE92" s="102"/>
      <c r="DF92" s="102"/>
      <c r="DG92" s="102"/>
      <c r="DH92" s="102"/>
      <c r="DI92" s="102"/>
      <c r="DJ92" s="102"/>
      <c r="DK92" s="102"/>
      <c r="DL92" s="102"/>
      <c r="DM92" s="102"/>
      <c r="DN92" s="102"/>
      <c r="DO92" s="102"/>
      <c r="DP92" s="102"/>
      <c r="DQ92" s="102"/>
      <c r="DR92" s="102"/>
      <c r="DS92" s="102"/>
      <c r="DT92" s="102"/>
      <c r="DU92" s="102"/>
      <c r="DV92" s="102"/>
      <c r="DW92" s="102"/>
      <c r="DX92" s="102"/>
      <c r="DY92" s="102"/>
      <c r="DZ92" s="102"/>
      <c r="EA92" s="102"/>
      <c r="EB92" s="102"/>
      <c r="EC92" s="102"/>
      <c r="ED92" s="102"/>
      <c r="EE92" s="102"/>
      <c r="EF92" s="102"/>
      <c r="EG92" s="102"/>
      <c r="EH92" s="102"/>
      <c r="EI92" s="102"/>
      <c r="EJ92" s="102"/>
      <c r="EK92" s="102"/>
      <c r="EL92" s="102"/>
      <c r="EM92" s="102"/>
      <c r="EN92" s="102"/>
      <c r="EO92" s="102"/>
      <c r="EP92" s="102"/>
      <c r="EQ92" s="102"/>
    </row>
    <row r="93" hidden="1">
      <c r="A93" s="138" t="s">
        <v>198</v>
      </c>
      <c r="B93" s="111">
        <f t="shared" si="1"/>
        <v>45901</v>
      </c>
      <c r="C93" s="110">
        <v>150.0</v>
      </c>
      <c r="D93" s="110" t="s">
        <v>177</v>
      </c>
      <c r="E93" s="112"/>
      <c r="F93" s="112"/>
      <c r="G93" s="110" t="s">
        <v>97</v>
      </c>
      <c r="H93" s="112"/>
      <c r="I93" s="112"/>
      <c r="J93" s="113"/>
      <c r="K93" s="132" t="s">
        <v>97</v>
      </c>
      <c r="L93" s="116"/>
      <c r="M93" s="116"/>
      <c r="N93" s="116"/>
      <c r="O93" s="115" t="s">
        <v>97</v>
      </c>
      <c r="P93" s="116"/>
      <c r="Q93" s="116"/>
      <c r="R93" s="116"/>
      <c r="S93" s="115" t="s">
        <v>99</v>
      </c>
      <c r="T93" s="116"/>
      <c r="U93" s="116"/>
      <c r="V93" s="117"/>
      <c r="W93" s="119" t="s">
        <v>99</v>
      </c>
      <c r="X93" s="120"/>
      <c r="Y93" s="120"/>
      <c r="Z93" s="120"/>
      <c r="AA93" s="121" t="s">
        <v>99</v>
      </c>
      <c r="AB93" s="120"/>
      <c r="AC93" s="120"/>
      <c r="AD93" s="120"/>
      <c r="AE93" s="121" t="s">
        <v>99</v>
      </c>
      <c r="AF93" s="120"/>
      <c r="AG93" s="120"/>
      <c r="AH93" s="122"/>
      <c r="AI93" s="134" t="s">
        <v>99</v>
      </c>
      <c r="AJ93" s="125" t="s">
        <v>97</v>
      </c>
      <c r="AK93" s="124"/>
      <c r="AL93" s="124"/>
      <c r="AM93" s="124"/>
      <c r="AN93" s="125" t="s">
        <v>99</v>
      </c>
      <c r="AO93" s="125" t="s">
        <v>99</v>
      </c>
      <c r="AP93" s="125" t="s">
        <v>99</v>
      </c>
      <c r="AQ93" s="125" t="s">
        <v>97</v>
      </c>
      <c r="AR93" s="124"/>
      <c r="AS93" s="124"/>
      <c r="AT93" s="126"/>
      <c r="AU93" s="135" t="s">
        <v>99</v>
      </c>
      <c r="AV93" s="128" t="s">
        <v>99</v>
      </c>
      <c r="AW93" s="128" t="s">
        <v>99</v>
      </c>
      <c r="AX93" s="128" t="s">
        <v>99</v>
      </c>
      <c r="AY93" s="129"/>
      <c r="AZ93" s="129"/>
      <c r="BA93" s="129"/>
      <c r="BB93" s="129"/>
      <c r="BC93" s="129"/>
      <c r="BD93" s="129"/>
      <c r="BE93" s="129"/>
      <c r="BF93" s="130"/>
      <c r="BG93" s="129"/>
      <c r="BH93" s="129"/>
      <c r="BI93" s="129"/>
      <c r="BJ93" s="129"/>
      <c r="BK93" s="102"/>
      <c r="BL93" s="102"/>
      <c r="BM93" s="102"/>
      <c r="BN93" s="102"/>
      <c r="BO93" s="102"/>
      <c r="BP93" s="102"/>
      <c r="BQ93" s="102"/>
      <c r="BR93" s="102"/>
      <c r="BS93" s="102"/>
      <c r="BT93" s="102"/>
      <c r="BU93" s="102"/>
      <c r="BV93" s="102"/>
      <c r="BW93" s="102"/>
      <c r="BX93" s="102"/>
      <c r="BY93" s="102"/>
      <c r="BZ93" s="102"/>
      <c r="CA93" s="102"/>
      <c r="CB93" s="102"/>
      <c r="CC93" s="102"/>
      <c r="CD93" s="102"/>
      <c r="CE93" s="102"/>
      <c r="CF93" s="102"/>
      <c r="CG93" s="102"/>
      <c r="CH93" s="102"/>
      <c r="CI93" s="102"/>
      <c r="CJ93" s="102"/>
      <c r="CK93" s="102"/>
      <c r="CL93" s="102"/>
      <c r="CM93" s="102"/>
      <c r="CN93" s="102"/>
      <c r="CO93" s="102"/>
      <c r="CP93" s="102"/>
      <c r="CQ93" s="102"/>
      <c r="CR93" s="102"/>
      <c r="CS93" s="102"/>
      <c r="CT93" s="102"/>
      <c r="CU93" s="102"/>
      <c r="CV93" s="102"/>
      <c r="CW93" s="102"/>
      <c r="CX93" s="102"/>
      <c r="CY93" s="102"/>
      <c r="CZ93" s="102"/>
      <c r="DA93" s="102"/>
      <c r="DB93" s="102"/>
      <c r="DC93" s="102"/>
      <c r="DD93" s="102"/>
      <c r="DE93" s="102"/>
      <c r="DF93" s="102"/>
      <c r="DG93" s="102"/>
      <c r="DH93" s="102"/>
      <c r="DI93" s="102"/>
      <c r="DJ93" s="102"/>
      <c r="DK93" s="102"/>
      <c r="DL93" s="102"/>
      <c r="DM93" s="102"/>
      <c r="DN93" s="102"/>
      <c r="DO93" s="102"/>
      <c r="DP93" s="102"/>
      <c r="DQ93" s="102"/>
      <c r="DR93" s="102"/>
      <c r="DS93" s="102"/>
      <c r="DT93" s="102"/>
      <c r="DU93" s="102"/>
      <c r="DV93" s="102"/>
      <c r="DW93" s="102"/>
      <c r="DX93" s="102"/>
      <c r="DY93" s="102"/>
      <c r="DZ93" s="102"/>
      <c r="EA93" s="102"/>
      <c r="EB93" s="102"/>
      <c r="EC93" s="102"/>
      <c r="ED93" s="102"/>
      <c r="EE93" s="102"/>
      <c r="EF93" s="102"/>
      <c r="EG93" s="102"/>
      <c r="EH93" s="102"/>
      <c r="EI93" s="102"/>
      <c r="EJ93" s="102"/>
      <c r="EK93" s="102"/>
      <c r="EL93" s="102"/>
      <c r="EM93" s="102"/>
      <c r="EN93" s="102"/>
      <c r="EO93" s="102"/>
      <c r="EP93" s="102"/>
      <c r="EQ93" s="102"/>
    </row>
    <row r="94" hidden="1">
      <c r="A94" s="139" t="s">
        <v>199</v>
      </c>
      <c r="B94" s="131">
        <f t="shared" si="1"/>
        <v>46082</v>
      </c>
      <c r="C94" s="103">
        <v>150.0</v>
      </c>
      <c r="D94" s="103" t="s">
        <v>177</v>
      </c>
      <c r="E94" s="105"/>
      <c r="F94" s="105"/>
      <c r="G94" s="103" t="s">
        <v>96</v>
      </c>
      <c r="H94" s="105"/>
      <c r="I94" s="105"/>
      <c r="J94" s="106"/>
      <c r="K94" s="108" t="s">
        <v>97</v>
      </c>
      <c r="L94" s="105"/>
      <c r="M94" s="105"/>
      <c r="N94" s="105"/>
      <c r="O94" s="103" t="s">
        <v>97</v>
      </c>
      <c r="P94" s="105"/>
      <c r="Q94" s="105"/>
      <c r="R94" s="105"/>
      <c r="S94" s="103" t="s">
        <v>99</v>
      </c>
      <c r="T94" s="105"/>
      <c r="U94" s="105"/>
      <c r="V94" s="106"/>
      <c r="W94" s="108" t="s">
        <v>99</v>
      </c>
      <c r="X94" s="105"/>
      <c r="Y94" s="105"/>
      <c r="Z94" s="105"/>
      <c r="AA94" s="103" t="s">
        <v>99</v>
      </c>
      <c r="AB94" s="105"/>
      <c r="AC94" s="105"/>
      <c r="AD94" s="105"/>
      <c r="AE94" s="103" t="s">
        <v>99</v>
      </c>
      <c r="AF94" s="105"/>
      <c r="AG94" s="105"/>
      <c r="AH94" s="106"/>
      <c r="AI94" s="108" t="s">
        <v>99</v>
      </c>
      <c r="AJ94" s="103" t="s">
        <v>97</v>
      </c>
      <c r="AK94" s="105"/>
      <c r="AL94" s="105"/>
      <c r="AM94" s="105"/>
      <c r="AN94" s="103" t="s">
        <v>99</v>
      </c>
      <c r="AO94" s="103" t="s">
        <v>99</v>
      </c>
      <c r="AP94" s="103" t="s">
        <v>99</v>
      </c>
      <c r="AQ94" s="103" t="s">
        <v>97</v>
      </c>
      <c r="AR94" s="105"/>
      <c r="AS94" s="105"/>
      <c r="AT94" s="106"/>
      <c r="AU94" s="108" t="s">
        <v>99</v>
      </c>
      <c r="AV94" s="103" t="s">
        <v>99</v>
      </c>
      <c r="AW94" s="103" t="s">
        <v>96</v>
      </c>
      <c r="AX94" s="105"/>
      <c r="AY94" s="105"/>
      <c r="AZ94" s="105"/>
      <c r="BA94" s="105"/>
      <c r="BB94" s="105"/>
      <c r="BC94" s="105"/>
      <c r="BD94" s="105"/>
      <c r="BE94" s="105"/>
      <c r="BF94" s="106"/>
      <c r="BG94" s="105"/>
      <c r="BH94" s="105"/>
      <c r="BI94" s="105"/>
      <c r="BJ94" s="105"/>
      <c r="BK94" s="102"/>
      <c r="BL94" s="102"/>
      <c r="BM94" s="102"/>
      <c r="BN94" s="102"/>
      <c r="BO94" s="102"/>
      <c r="BP94" s="102"/>
      <c r="BQ94" s="102"/>
      <c r="BR94" s="102"/>
      <c r="BS94" s="102"/>
      <c r="BT94" s="102"/>
      <c r="BU94" s="102"/>
      <c r="BV94" s="102"/>
      <c r="BW94" s="102"/>
      <c r="BX94" s="102"/>
      <c r="BY94" s="102"/>
      <c r="BZ94" s="102"/>
      <c r="CA94" s="102"/>
      <c r="CB94" s="102"/>
      <c r="CC94" s="102"/>
      <c r="CD94" s="102"/>
      <c r="CE94" s="102"/>
      <c r="CF94" s="102"/>
      <c r="CG94" s="102"/>
      <c r="CH94" s="102"/>
      <c r="CI94" s="102"/>
      <c r="CJ94" s="102"/>
      <c r="CK94" s="102"/>
      <c r="CL94" s="102"/>
      <c r="CM94" s="102"/>
      <c r="CN94" s="102"/>
      <c r="CO94" s="102"/>
      <c r="CP94" s="102"/>
      <c r="CQ94" s="102"/>
      <c r="CR94" s="102"/>
      <c r="CS94" s="102"/>
      <c r="CT94" s="102"/>
      <c r="CU94" s="102"/>
      <c r="CV94" s="102"/>
      <c r="CW94" s="102"/>
      <c r="CX94" s="102"/>
      <c r="CY94" s="102"/>
      <c r="CZ94" s="102"/>
      <c r="DA94" s="102"/>
      <c r="DB94" s="102"/>
      <c r="DC94" s="102"/>
      <c r="DD94" s="102"/>
      <c r="DE94" s="102"/>
      <c r="DF94" s="102"/>
      <c r="DG94" s="102"/>
      <c r="DH94" s="102"/>
      <c r="DI94" s="102"/>
      <c r="DJ94" s="102"/>
      <c r="DK94" s="102"/>
      <c r="DL94" s="102"/>
      <c r="DM94" s="102"/>
      <c r="DN94" s="102"/>
      <c r="DO94" s="102"/>
      <c r="DP94" s="102"/>
      <c r="DQ94" s="102"/>
      <c r="DR94" s="102"/>
      <c r="DS94" s="102"/>
      <c r="DT94" s="102"/>
      <c r="DU94" s="102"/>
      <c r="DV94" s="102"/>
      <c r="DW94" s="102"/>
      <c r="DX94" s="102"/>
      <c r="DY94" s="102"/>
      <c r="DZ94" s="102"/>
      <c r="EA94" s="102"/>
      <c r="EB94" s="102"/>
      <c r="EC94" s="102"/>
      <c r="ED94" s="102"/>
      <c r="EE94" s="102"/>
      <c r="EF94" s="102"/>
      <c r="EG94" s="102"/>
      <c r="EH94" s="102"/>
      <c r="EI94" s="102"/>
      <c r="EJ94" s="102"/>
      <c r="EK94" s="102"/>
      <c r="EL94" s="102"/>
      <c r="EM94" s="102"/>
      <c r="EN94" s="102"/>
      <c r="EO94" s="102"/>
      <c r="EP94" s="102"/>
      <c r="EQ94" s="102"/>
    </row>
    <row r="95" hidden="1">
      <c r="A95" s="138" t="s">
        <v>200</v>
      </c>
      <c r="B95" s="111">
        <f t="shared" si="1"/>
        <v>45901</v>
      </c>
      <c r="C95" s="110">
        <v>150.0</v>
      </c>
      <c r="D95" s="110" t="s">
        <v>177</v>
      </c>
      <c r="E95" s="112"/>
      <c r="F95" s="112"/>
      <c r="G95" s="110" t="s">
        <v>97</v>
      </c>
      <c r="H95" s="112"/>
      <c r="I95" s="112"/>
      <c r="J95" s="113"/>
      <c r="K95" s="132" t="s">
        <v>96</v>
      </c>
      <c r="L95" s="116"/>
      <c r="M95" s="116"/>
      <c r="N95" s="116"/>
      <c r="O95" s="115" t="s">
        <v>97</v>
      </c>
      <c r="P95" s="116"/>
      <c r="Q95" s="116"/>
      <c r="R95" s="116"/>
      <c r="S95" s="115" t="s">
        <v>99</v>
      </c>
      <c r="T95" s="116"/>
      <c r="U95" s="116"/>
      <c r="V95" s="117"/>
      <c r="W95" s="119" t="s">
        <v>99</v>
      </c>
      <c r="X95" s="120"/>
      <c r="Y95" s="120"/>
      <c r="Z95" s="120"/>
      <c r="AA95" s="121" t="s">
        <v>99</v>
      </c>
      <c r="AB95" s="120"/>
      <c r="AC95" s="120"/>
      <c r="AD95" s="120"/>
      <c r="AE95" s="121" t="s">
        <v>99</v>
      </c>
      <c r="AF95" s="120"/>
      <c r="AG95" s="120"/>
      <c r="AH95" s="122"/>
      <c r="AI95" s="134" t="s">
        <v>99</v>
      </c>
      <c r="AJ95" s="125" t="s">
        <v>97</v>
      </c>
      <c r="AK95" s="124"/>
      <c r="AL95" s="124"/>
      <c r="AM95" s="124"/>
      <c r="AN95" s="125" t="s">
        <v>99</v>
      </c>
      <c r="AO95" s="125" t="s">
        <v>99</v>
      </c>
      <c r="AP95" s="125" t="s">
        <v>99</v>
      </c>
      <c r="AQ95" s="125" t="s">
        <v>97</v>
      </c>
      <c r="AR95" s="124"/>
      <c r="AS95" s="124"/>
      <c r="AT95" s="126"/>
      <c r="AU95" s="135" t="s">
        <v>99</v>
      </c>
      <c r="AV95" s="128" t="s">
        <v>99</v>
      </c>
      <c r="AW95" s="128" t="s">
        <v>99</v>
      </c>
      <c r="AX95" s="128" t="s">
        <v>99</v>
      </c>
      <c r="AY95" s="129"/>
      <c r="AZ95" s="129"/>
      <c r="BA95" s="129"/>
      <c r="BB95" s="129"/>
      <c r="BC95" s="129"/>
      <c r="BD95" s="129"/>
      <c r="BE95" s="129"/>
      <c r="BF95" s="130"/>
      <c r="BG95" s="129"/>
      <c r="BH95" s="129"/>
      <c r="BI95" s="129"/>
      <c r="BJ95" s="129"/>
      <c r="BK95" s="102"/>
      <c r="BL95" s="102"/>
      <c r="BM95" s="102"/>
      <c r="BN95" s="102"/>
      <c r="BO95" s="102"/>
      <c r="BP95" s="102"/>
      <c r="BQ95" s="102"/>
      <c r="BR95" s="102"/>
      <c r="BS95" s="102"/>
      <c r="BT95" s="102"/>
      <c r="BU95" s="102"/>
      <c r="BV95" s="102"/>
      <c r="BW95" s="102"/>
      <c r="BX95" s="102"/>
      <c r="BY95" s="102"/>
      <c r="BZ95" s="102"/>
      <c r="CA95" s="102"/>
      <c r="CB95" s="102"/>
      <c r="CC95" s="102"/>
      <c r="CD95" s="102"/>
      <c r="CE95" s="102"/>
      <c r="CF95" s="102"/>
      <c r="CG95" s="102"/>
      <c r="CH95" s="102"/>
      <c r="CI95" s="102"/>
      <c r="CJ95" s="102"/>
      <c r="CK95" s="102"/>
      <c r="CL95" s="102"/>
      <c r="CM95" s="102"/>
      <c r="CN95" s="102"/>
      <c r="CO95" s="102"/>
      <c r="CP95" s="102"/>
      <c r="CQ95" s="102"/>
      <c r="CR95" s="102"/>
      <c r="CS95" s="102"/>
      <c r="CT95" s="102"/>
      <c r="CU95" s="102"/>
      <c r="CV95" s="102"/>
      <c r="CW95" s="102"/>
      <c r="CX95" s="102"/>
      <c r="CY95" s="102"/>
      <c r="CZ95" s="102"/>
      <c r="DA95" s="102"/>
      <c r="DB95" s="102"/>
      <c r="DC95" s="102"/>
      <c r="DD95" s="102"/>
      <c r="DE95" s="102"/>
      <c r="DF95" s="102"/>
      <c r="DG95" s="102"/>
      <c r="DH95" s="102"/>
      <c r="DI95" s="102"/>
      <c r="DJ95" s="102"/>
      <c r="DK95" s="102"/>
      <c r="DL95" s="102"/>
      <c r="DM95" s="102"/>
      <c r="DN95" s="102"/>
      <c r="DO95" s="102"/>
      <c r="DP95" s="102"/>
      <c r="DQ95" s="102"/>
      <c r="DR95" s="102"/>
      <c r="DS95" s="102"/>
      <c r="DT95" s="102"/>
      <c r="DU95" s="102"/>
      <c r="DV95" s="102"/>
      <c r="DW95" s="102"/>
      <c r="DX95" s="102"/>
      <c r="DY95" s="102"/>
      <c r="DZ95" s="102"/>
      <c r="EA95" s="102"/>
      <c r="EB95" s="102"/>
      <c r="EC95" s="102"/>
      <c r="ED95" s="102"/>
      <c r="EE95" s="102"/>
      <c r="EF95" s="102"/>
      <c r="EG95" s="102"/>
      <c r="EH95" s="102"/>
      <c r="EI95" s="102"/>
      <c r="EJ95" s="102"/>
      <c r="EK95" s="102"/>
      <c r="EL95" s="102"/>
      <c r="EM95" s="102"/>
      <c r="EN95" s="102"/>
      <c r="EO95" s="102"/>
      <c r="EP95" s="102"/>
      <c r="EQ95" s="102"/>
    </row>
    <row r="96" hidden="1">
      <c r="A96" s="139" t="s">
        <v>201</v>
      </c>
      <c r="B96" s="131">
        <f t="shared" si="1"/>
        <v>46082</v>
      </c>
      <c r="C96" s="103">
        <v>150.0</v>
      </c>
      <c r="D96" s="103" t="s">
        <v>177</v>
      </c>
      <c r="E96" s="105"/>
      <c r="F96" s="105"/>
      <c r="G96" s="103" t="s">
        <v>97</v>
      </c>
      <c r="H96" s="105"/>
      <c r="I96" s="105"/>
      <c r="J96" s="106"/>
      <c r="K96" s="108" t="s">
        <v>97</v>
      </c>
      <c r="L96" s="105"/>
      <c r="M96" s="105"/>
      <c r="N96" s="105"/>
      <c r="O96" s="103" t="s">
        <v>97</v>
      </c>
      <c r="P96" s="105"/>
      <c r="Q96" s="105"/>
      <c r="R96" s="105"/>
      <c r="S96" s="103" t="s">
        <v>99</v>
      </c>
      <c r="T96" s="105"/>
      <c r="U96" s="105"/>
      <c r="V96" s="106"/>
      <c r="W96" s="108" t="s">
        <v>99</v>
      </c>
      <c r="X96" s="105"/>
      <c r="Y96" s="105"/>
      <c r="Z96" s="105"/>
      <c r="AA96" s="103" t="s">
        <v>99</v>
      </c>
      <c r="AB96" s="105"/>
      <c r="AC96" s="105"/>
      <c r="AD96" s="105"/>
      <c r="AE96" s="103" t="s">
        <v>99</v>
      </c>
      <c r="AF96" s="105"/>
      <c r="AG96" s="105"/>
      <c r="AH96" s="106"/>
      <c r="AI96" s="108" t="s">
        <v>99</v>
      </c>
      <c r="AJ96" s="103" t="s">
        <v>97</v>
      </c>
      <c r="AK96" s="105"/>
      <c r="AL96" s="105"/>
      <c r="AM96" s="105"/>
      <c r="AN96" s="103" t="s">
        <v>99</v>
      </c>
      <c r="AO96" s="103" t="s">
        <v>99</v>
      </c>
      <c r="AP96" s="103" t="s">
        <v>99</v>
      </c>
      <c r="AQ96" s="103" t="s">
        <v>97</v>
      </c>
      <c r="AR96" s="105"/>
      <c r="AS96" s="105"/>
      <c r="AT96" s="106"/>
      <c r="AU96" s="108" t="s">
        <v>99</v>
      </c>
      <c r="AV96" s="103" t="s">
        <v>99</v>
      </c>
      <c r="AW96" s="103" t="s">
        <v>96</v>
      </c>
      <c r="AX96" s="105"/>
      <c r="AY96" s="105"/>
      <c r="AZ96" s="105"/>
      <c r="BA96" s="105"/>
      <c r="BB96" s="105"/>
      <c r="BC96" s="105"/>
      <c r="BD96" s="105"/>
      <c r="BE96" s="105"/>
      <c r="BF96" s="106"/>
      <c r="BG96" s="105"/>
      <c r="BH96" s="105"/>
      <c r="BI96" s="105"/>
      <c r="BJ96" s="105"/>
      <c r="BK96" s="102"/>
      <c r="BL96" s="102"/>
      <c r="BM96" s="102"/>
      <c r="BN96" s="102"/>
      <c r="BO96" s="102"/>
      <c r="BP96" s="102"/>
      <c r="BQ96" s="102"/>
      <c r="BR96" s="102"/>
      <c r="BS96" s="102"/>
      <c r="BT96" s="102"/>
      <c r="BU96" s="102"/>
      <c r="BV96" s="102"/>
      <c r="BW96" s="102"/>
      <c r="BX96" s="102"/>
      <c r="BY96" s="102"/>
      <c r="BZ96" s="102"/>
      <c r="CA96" s="102"/>
      <c r="CB96" s="102"/>
      <c r="CC96" s="102"/>
      <c r="CD96" s="102"/>
      <c r="CE96" s="102"/>
      <c r="CF96" s="102"/>
      <c r="CG96" s="102"/>
      <c r="CH96" s="102"/>
      <c r="CI96" s="102"/>
      <c r="CJ96" s="102"/>
      <c r="CK96" s="102"/>
      <c r="CL96" s="102"/>
      <c r="CM96" s="102"/>
      <c r="CN96" s="102"/>
      <c r="CO96" s="102"/>
      <c r="CP96" s="102"/>
      <c r="CQ96" s="102"/>
      <c r="CR96" s="102"/>
      <c r="CS96" s="102"/>
      <c r="CT96" s="102"/>
      <c r="CU96" s="102"/>
      <c r="CV96" s="102"/>
      <c r="CW96" s="102"/>
      <c r="CX96" s="102"/>
      <c r="CY96" s="102"/>
      <c r="CZ96" s="102"/>
      <c r="DA96" s="102"/>
      <c r="DB96" s="102"/>
      <c r="DC96" s="102"/>
      <c r="DD96" s="102"/>
      <c r="DE96" s="102"/>
      <c r="DF96" s="102"/>
      <c r="DG96" s="102"/>
      <c r="DH96" s="102"/>
      <c r="DI96" s="102"/>
      <c r="DJ96" s="102"/>
      <c r="DK96" s="102"/>
      <c r="DL96" s="102"/>
      <c r="DM96" s="102"/>
      <c r="DN96" s="102"/>
      <c r="DO96" s="102"/>
      <c r="DP96" s="102"/>
      <c r="DQ96" s="102"/>
      <c r="DR96" s="102"/>
      <c r="DS96" s="102"/>
      <c r="DT96" s="102"/>
      <c r="DU96" s="102"/>
      <c r="DV96" s="102"/>
      <c r="DW96" s="102"/>
      <c r="DX96" s="102"/>
      <c r="DY96" s="102"/>
      <c r="DZ96" s="102"/>
      <c r="EA96" s="102"/>
      <c r="EB96" s="102"/>
      <c r="EC96" s="102"/>
      <c r="ED96" s="102"/>
      <c r="EE96" s="102"/>
      <c r="EF96" s="102"/>
      <c r="EG96" s="102"/>
      <c r="EH96" s="102"/>
      <c r="EI96" s="102"/>
      <c r="EJ96" s="102"/>
      <c r="EK96" s="102"/>
      <c r="EL96" s="102"/>
      <c r="EM96" s="102"/>
      <c r="EN96" s="102"/>
      <c r="EO96" s="102"/>
      <c r="EP96" s="102"/>
      <c r="EQ96" s="102"/>
    </row>
    <row r="97" hidden="1">
      <c r="A97" s="138" t="s">
        <v>202</v>
      </c>
      <c r="B97" s="111">
        <f t="shared" si="1"/>
        <v>46082</v>
      </c>
      <c r="C97" s="110">
        <v>150.0</v>
      </c>
      <c r="D97" s="110" t="s">
        <v>177</v>
      </c>
      <c r="E97" s="112"/>
      <c r="F97" s="112"/>
      <c r="G97" s="110" t="s">
        <v>97</v>
      </c>
      <c r="H97" s="112"/>
      <c r="I97" s="112"/>
      <c r="J97" s="113"/>
      <c r="K97" s="132" t="s">
        <v>97</v>
      </c>
      <c r="L97" s="116"/>
      <c r="M97" s="116"/>
      <c r="N97" s="116"/>
      <c r="O97" s="115" t="s">
        <v>97</v>
      </c>
      <c r="P97" s="116"/>
      <c r="Q97" s="116"/>
      <c r="R97" s="116"/>
      <c r="S97" s="115" t="s">
        <v>99</v>
      </c>
      <c r="T97" s="116"/>
      <c r="U97" s="116"/>
      <c r="V97" s="117"/>
      <c r="W97" s="119" t="s">
        <v>99</v>
      </c>
      <c r="X97" s="120"/>
      <c r="Y97" s="120"/>
      <c r="Z97" s="120"/>
      <c r="AA97" s="121" t="s">
        <v>99</v>
      </c>
      <c r="AB97" s="120"/>
      <c r="AC97" s="120"/>
      <c r="AD97" s="120"/>
      <c r="AE97" s="121" t="s">
        <v>99</v>
      </c>
      <c r="AF97" s="120"/>
      <c r="AG97" s="120"/>
      <c r="AH97" s="122"/>
      <c r="AI97" s="134" t="s">
        <v>99</v>
      </c>
      <c r="AJ97" s="125" t="s">
        <v>97</v>
      </c>
      <c r="AK97" s="124"/>
      <c r="AL97" s="124"/>
      <c r="AM97" s="124"/>
      <c r="AN97" s="125" t="s">
        <v>99</v>
      </c>
      <c r="AO97" s="125" t="s">
        <v>99</v>
      </c>
      <c r="AP97" s="125" t="s">
        <v>99</v>
      </c>
      <c r="AQ97" s="125" t="s">
        <v>97</v>
      </c>
      <c r="AR97" s="124"/>
      <c r="AS97" s="124"/>
      <c r="AT97" s="126"/>
      <c r="AU97" s="135" t="s">
        <v>99</v>
      </c>
      <c r="AV97" s="128" t="s">
        <v>99</v>
      </c>
      <c r="AW97" s="128" t="s">
        <v>97</v>
      </c>
      <c r="AX97" s="129"/>
      <c r="AY97" s="129"/>
      <c r="AZ97" s="129"/>
      <c r="BA97" s="129"/>
      <c r="BB97" s="129"/>
      <c r="BC97" s="129"/>
      <c r="BD97" s="129"/>
      <c r="BE97" s="129"/>
      <c r="BF97" s="130"/>
      <c r="BG97" s="129"/>
      <c r="BH97" s="129"/>
      <c r="BI97" s="129"/>
      <c r="BJ97" s="129"/>
      <c r="BK97" s="102"/>
      <c r="BL97" s="102"/>
      <c r="BM97" s="102"/>
      <c r="BN97" s="102"/>
      <c r="BO97" s="102"/>
      <c r="BP97" s="102"/>
      <c r="BQ97" s="102"/>
      <c r="BR97" s="102"/>
      <c r="BS97" s="102"/>
      <c r="BT97" s="102"/>
      <c r="BU97" s="102"/>
      <c r="BV97" s="102"/>
      <c r="BW97" s="102"/>
      <c r="BX97" s="102"/>
      <c r="BY97" s="102"/>
      <c r="BZ97" s="102"/>
      <c r="CA97" s="102"/>
      <c r="CB97" s="102"/>
      <c r="CC97" s="102"/>
      <c r="CD97" s="102"/>
      <c r="CE97" s="102"/>
      <c r="CF97" s="102"/>
      <c r="CG97" s="102"/>
      <c r="CH97" s="102"/>
      <c r="CI97" s="102"/>
      <c r="CJ97" s="102"/>
      <c r="CK97" s="102"/>
      <c r="CL97" s="102"/>
      <c r="CM97" s="102"/>
      <c r="CN97" s="102"/>
      <c r="CO97" s="102"/>
      <c r="CP97" s="102"/>
      <c r="CQ97" s="102"/>
      <c r="CR97" s="102"/>
      <c r="CS97" s="102"/>
      <c r="CT97" s="102"/>
      <c r="CU97" s="102"/>
      <c r="CV97" s="102"/>
      <c r="CW97" s="102"/>
      <c r="CX97" s="102"/>
      <c r="CY97" s="102"/>
      <c r="CZ97" s="102"/>
      <c r="DA97" s="102"/>
      <c r="DB97" s="102"/>
      <c r="DC97" s="102"/>
      <c r="DD97" s="102"/>
      <c r="DE97" s="102"/>
      <c r="DF97" s="102"/>
      <c r="DG97" s="102"/>
      <c r="DH97" s="102"/>
      <c r="DI97" s="102"/>
      <c r="DJ97" s="102"/>
      <c r="DK97" s="102"/>
      <c r="DL97" s="102"/>
      <c r="DM97" s="102"/>
      <c r="DN97" s="102"/>
      <c r="DO97" s="102"/>
      <c r="DP97" s="102"/>
      <c r="DQ97" s="102"/>
      <c r="DR97" s="102"/>
      <c r="DS97" s="102"/>
      <c r="DT97" s="102"/>
      <c r="DU97" s="102"/>
      <c r="DV97" s="102"/>
      <c r="DW97" s="102"/>
      <c r="DX97" s="102"/>
      <c r="DY97" s="102"/>
      <c r="DZ97" s="102"/>
      <c r="EA97" s="102"/>
      <c r="EB97" s="102"/>
      <c r="EC97" s="102"/>
      <c r="ED97" s="102"/>
      <c r="EE97" s="102"/>
      <c r="EF97" s="102"/>
      <c r="EG97" s="102"/>
      <c r="EH97" s="102"/>
      <c r="EI97" s="102"/>
      <c r="EJ97" s="102"/>
      <c r="EK97" s="102"/>
      <c r="EL97" s="102"/>
      <c r="EM97" s="102"/>
      <c r="EN97" s="102"/>
      <c r="EO97" s="102"/>
      <c r="EP97" s="102"/>
      <c r="EQ97" s="102"/>
    </row>
    <row r="98" hidden="1">
      <c r="A98" s="139" t="s">
        <v>203</v>
      </c>
      <c r="B98" s="131">
        <f t="shared" si="1"/>
        <v>46082</v>
      </c>
      <c r="C98" s="103">
        <v>150.0</v>
      </c>
      <c r="D98" s="103" t="s">
        <v>177</v>
      </c>
      <c r="E98" s="105"/>
      <c r="F98" s="105"/>
      <c r="G98" s="103" t="s">
        <v>97</v>
      </c>
      <c r="H98" s="105"/>
      <c r="I98" s="105"/>
      <c r="J98" s="106"/>
      <c r="K98" s="108" t="s">
        <v>97</v>
      </c>
      <c r="L98" s="105"/>
      <c r="M98" s="105"/>
      <c r="N98" s="105"/>
      <c r="O98" s="103" t="s">
        <v>97</v>
      </c>
      <c r="P98" s="105"/>
      <c r="Q98" s="105"/>
      <c r="R98" s="105"/>
      <c r="S98" s="103" t="s">
        <v>99</v>
      </c>
      <c r="T98" s="105"/>
      <c r="U98" s="105"/>
      <c r="V98" s="106"/>
      <c r="W98" s="108" t="s">
        <v>99</v>
      </c>
      <c r="X98" s="105"/>
      <c r="Y98" s="105"/>
      <c r="Z98" s="105"/>
      <c r="AA98" s="103" t="s">
        <v>99</v>
      </c>
      <c r="AB98" s="105"/>
      <c r="AC98" s="105"/>
      <c r="AD98" s="105"/>
      <c r="AE98" s="103" t="s">
        <v>99</v>
      </c>
      <c r="AF98" s="105"/>
      <c r="AG98" s="105"/>
      <c r="AH98" s="106"/>
      <c r="AI98" s="108" t="s">
        <v>99</v>
      </c>
      <c r="AJ98" s="103" t="s">
        <v>97</v>
      </c>
      <c r="AK98" s="105"/>
      <c r="AL98" s="105"/>
      <c r="AM98" s="105"/>
      <c r="AN98" s="103" t="s">
        <v>99</v>
      </c>
      <c r="AO98" s="103" t="s">
        <v>99</v>
      </c>
      <c r="AP98" s="103" t="s">
        <v>99</v>
      </c>
      <c r="AQ98" s="103" t="s">
        <v>97</v>
      </c>
      <c r="AR98" s="105"/>
      <c r="AS98" s="105"/>
      <c r="AT98" s="106"/>
      <c r="AU98" s="108" t="s">
        <v>99</v>
      </c>
      <c r="AV98" s="103" t="s">
        <v>99</v>
      </c>
      <c r="AW98" s="103" t="s">
        <v>96</v>
      </c>
      <c r="AX98" s="105"/>
      <c r="AY98" s="105"/>
      <c r="AZ98" s="105"/>
      <c r="BA98" s="105"/>
      <c r="BB98" s="105"/>
      <c r="BC98" s="105"/>
      <c r="BD98" s="105"/>
      <c r="BE98" s="105"/>
      <c r="BF98" s="106"/>
      <c r="BG98" s="105"/>
      <c r="BH98" s="105"/>
      <c r="BI98" s="105"/>
      <c r="BJ98" s="105"/>
      <c r="BK98" s="102"/>
      <c r="BL98" s="102"/>
      <c r="BM98" s="102"/>
      <c r="BN98" s="102"/>
      <c r="BO98" s="102"/>
      <c r="BP98" s="102"/>
      <c r="BQ98" s="102"/>
      <c r="BR98" s="102"/>
      <c r="BS98" s="102"/>
      <c r="BT98" s="102"/>
      <c r="BU98" s="102"/>
      <c r="BV98" s="102"/>
      <c r="BW98" s="102"/>
      <c r="BX98" s="102"/>
      <c r="BY98" s="102"/>
      <c r="BZ98" s="102"/>
      <c r="CA98" s="102"/>
      <c r="CB98" s="102"/>
      <c r="CC98" s="102"/>
      <c r="CD98" s="102"/>
      <c r="CE98" s="102"/>
      <c r="CF98" s="102"/>
      <c r="CG98" s="102"/>
      <c r="CH98" s="102"/>
      <c r="CI98" s="102"/>
      <c r="CJ98" s="102"/>
      <c r="CK98" s="102"/>
      <c r="CL98" s="102"/>
      <c r="CM98" s="102"/>
      <c r="CN98" s="102"/>
      <c r="CO98" s="102"/>
      <c r="CP98" s="102"/>
      <c r="CQ98" s="102"/>
      <c r="CR98" s="102"/>
      <c r="CS98" s="102"/>
      <c r="CT98" s="102"/>
      <c r="CU98" s="102"/>
      <c r="CV98" s="102"/>
      <c r="CW98" s="102"/>
      <c r="CX98" s="102"/>
      <c r="CY98" s="102"/>
      <c r="CZ98" s="102"/>
      <c r="DA98" s="102"/>
      <c r="DB98" s="102"/>
      <c r="DC98" s="102"/>
      <c r="DD98" s="102"/>
      <c r="DE98" s="102"/>
      <c r="DF98" s="102"/>
      <c r="DG98" s="102"/>
      <c r="DH98" s="102"/>
      <c r="DI98" s="102"/>
      <c r="DJ98" s="102"/>
      <c r="DK98" s="102"/>
      <c r="DL98" s="102"/>
      <c r="DM98" s="102"/>
      <c r="DN98" s="102"/>
      <c r="DO98" s="102"/>
      <c r="DP98" s="102"/>
      <c r="DQ98" s="102"/>
      <c r="DR98" s="102"/>
      <c r="DS98" s="102"/>
      <c r="DT98" s="102"/>
      <c r="DU98" s="102"/>
      <c r="DV98" s="102"/>
      <c r="DW98" s="102"/>
      <c r="DX98" s="102"/>
      <c r="DY98" s="102"/>
      <c r="DZ98" s="102"/>
      <c r="EA98" s="102"/>
      <c r="EB98" s="102"/>
      <c r="EC98" s="102"/>
      <c r="ED98" s="102"/>
      <c r="EE98" s="102"/>
      <c r="EF98" s="102"/>
      <c r="EG98" s="102"/>
      <c r="EH98" s="102"/>
      <c r="EI98" s="102"/>
      <c r="EJ98" s="102"/>
      <c r="EK98" s="102"/>
      <c r="EL98" s="102"/>
      <c r="EM98" s="102"/>
      <c r="EN98" s="102"/>
      <c r="EO98" s="102"/>
      <c r="EP98" s="102"/>
      <c r="EQ98" s="102"/>
    </row>
    <row r="99" hidden="1">
      <c r="A99" s="138" t="s">
        <v>204</v>
      </c>
      <c r="B99" s="111">
        <f t="shared" si="1"/>
        <v>46082</v>
      </c>
      <c r="C99" s="110">
        <v>150.0</v>
      </c>
      <c r="D99" s="110" t="s">
        <v>177</v>
      </c>
      <c r="E99" s="112"/>
      <c r="F99" s="112"/>
      <c r="G99" s="112"/>
      <c r="H99" s="110" t="s">
        <v>98</v>
      </c>
      <c r="I99" s="112"/>
      <c r="J99" s="113"/>
      <c r="K99" s="114"/>
      <c r="L99" s="115" t="s">
        <v>97</v>
      </c>
      <c r="M99" s="116"/>
      <c r="N99" s="116"/>
      <c r="O99" s="116"/>
      <c r="P99" s="115" t="s">
        <v>96</v>
      </c>
      <c r="Q99" s="116"/>
      <c r="R99" s="116"/>
      <c r="S99" s="115" t="s">
        <v>99</v>
      </c>
      <c r="T99" s="115" t="s">
        <v>96</v>
      </c>
      <c r="U99" s="116"/>
      <c r="V99" s="117"/>
      <c r="W99" s="118"/>
      <c r="X99" s="120"/>
      <c r="Y99" s="121" t="s">
        <v>96</v>
      </c>
      <c r="Z99" s="120"/>
      <c r="AA99" s="120"/>
      <c r="AB99" s="121" t="s">
        <v>97</v>
      </c>
      <c r="AC99" s="120"/>
      <c r="AD99" s="120"/>
      <c r="AE99" s="120"/>
      <c r="AF99" s="121" t="s">
        <v>99</v>
      </c>
      <c r="AG99" s="120"/>
      <c r="AH99" s="122"/>
      <c r="AI99" s="134" t="s">
        <v>97</v>
      </c>
      <c r="AJ99" s="124"/>
      <c r="AK99" s="124"/>
      <c r="AL99" s="124"/>
      <c r="AM99" s="125" t="s">
        <v>99</v>
      </c>
      <c r="AN99" s="125" t="s">
        <v>97</v>
      </c>
      <c r="AO99" s="124"/>
      <c r="AP99" s="124"/>
      <c r="AQ99" s="125" t="s">
        <v>97</v>
      </c>
      <c r="AR99" s="124"/>
      <c r="AS99" s="124"/>
      <c r="AT99" s="133" t="s">
        <v>97</v>
      </c>
      <c r="AU99" s="127"/>
      <c r="AV99" s="129"/>
      <c r="AW99" s="128" t="s">
        <v>98</v>
      </c>
      <c r="AX99" s="129"/>
      <c r="AY99" s="129"/>
      <c r="AZ99" s="129"/>
      <c r="BA99" s="129"/>
      <c r="BB99" s="129"/>
      <c r="BC99" s="129"/>
      <c r="BD99" s="129"/>
      <c r="BE99" s="129"/>
      <c r="BF99" s="130"/>
      <c r="BG99" s="129"/>
      <c r="BH99" s="129"/>
      <c r="BI99" s="129"/>
      <c r="BJ99" s="129"/>
      <c r="BK99" s="102"/>
      <c r="BL99" s="102"/>
      <c r="BM99" s="102"/>
      <c r="BN99" s="102"/>
      <c r="BO99" s="102"/>
      <c r="BP99" s="102"/>
      <c r="BQ99" s="102"/>
      <c r="BR99" s="102"/>
      <c r="BS99" s="102"/>
      <c r="BT99" s="102"/>
      <c r="BU99" s="102"/>
      <c r="BV99" s="102"/>
      <c r="BW99" s="102"/>
      <c r="BX99" s="102"/>
      <c r="BY99" s="102"/>
      <c r="BZ99" s="102"/>
      <c r="CA99" s="102"/>
      <c r="CB99" s="102"/>
      <c r="CC99" s="102"/>
      <c r="CD99" s="102"/>
      <c r="CE99" s="102"/>
      <c r="CF99" s="102"/>
      <c r="CG99" s="102"/>
      <c r="CH99" s="102"/>
      <c r="CI99" s="102"/>
      <c r="CJ99" s="102"/>
      <c r="CK99" s="102"/>
      <c r="CL99" s="102"/>
      <c r="CM99" s="102"/>
      <c r="CN99" s="102"/>
      <c r="CO99" s="102"/>
      <c r="CP99" s="102"/>
      <c r="CQ99" s="102"/>
      <c r="CR99" s="102"/>
      <c r="CS99" s="102"/>
      <c r="CT99" s="102"/>
      <c r="CU99" s="102"/>
      <c r="CV99" s="102"/>
      <c r="CW99" s="102"/>
      <c r="CX99" s="102"/>
      <c r="CY99" s="102"/>
      <c r="CZ99" s="102"/>
      <c r="DA99" s="102"/>
      <c r="DB99" s="102"/>
      <c r="DC99" s="102"/>
      <c r="DD99" s="102"/>
      <c r="DE99" s="102"/>
      <c r="DF99" s="102"/>
      <c r="DG99" s="102"/>
      <c r="DH99" s="102"/>
      <c r="DI99" s="102"/>
      <c r="DJ99" s="102"/>
      <c r="DK99" s="102"/>
      <c r="DL99" s="102"/>
      <c r="DM99" s="102"/>
      <c r="DN99" s="102"/>
      <c r="DO99" s="102"/>
      <c r="DP99" s="102"/>
      <c r="DQ99" s="102"/>
      <c r="DR99" s="102"/>
      <c r="DS99" s="102"/>
      <c r="DT99" s="102"/>
      <c r="DU99" s="102"/>
      <c r="DV99" s="102"/>
      <c r="DW99" s="102"/>
      <c r="DX99" s="102"/>
      <c r="DY99" s="102"/>
      <c r="DZ99" s="102"/>
      <c r="EA99" s="102"/>
      <c r="EB99" s="102"/>
      <c r="EC99" s="102"/>
      <c r="ED99" s="102"/>
      <c r="EE99" s="102"/>
      <c r="EF99" s="102"/>
      <c r="EG99" s="102"/>
      <c r="EH99" s="102"/>
      <c r="EI99" s="102"/>
      <c r="EJ99" s="102"/>
      <c r="EK99" s="102"/>
      <c r="EL99" s="102"/>
      <c r="EM99" s="102"/>
      <c r="EN99" s="102"/>
      <c r="EO99" s="102"/>
      <c r="EP99" s="102"/>
      <c r="EQ99" s="102"/>
    </row>
    <row r="100" hidden="1">
      <c r="A100" s="139" t="s">
        <v>205</v>
      </c>
      <c r="B100" s="131">
        <f t="shared" si="1"/>
        <v>46113</v>
      </c>
      <c r="C100" s="103">
        <v>150.0</v>
      </c>
      <c r="D100" s="103" t="s">
        <v>177</v>
      </c>
      <c r="E100" s="105"/>
      <c r="F100" s="105"/>
      <c r="G100" s="105"/>
      <c r="H100" s="103" t="s">
        <v>98</v>
      </c>
      <c r="I100" s="105"/>
      <c r="J100" s="106"/>
      <c r="K100" s="107"/>
      <c r="L100" s="103" t="s">
        <v>98</v>
      </c>
      <c r="M100" s="105"/>
      <c r="N100" s="105"/>
      <c r="O100" s="105"/>
      <c r="P100" s="103" t="s">
        <v>98</v>
      </c>
      <c r="Q100" s="105"/>
      <c r="R100" s="105"/>
      <c r="S100" s="103" t="s">
        <v>99</v>
      </c>
      <c r="T100" s="103" t="s">
        <v>98</v>
      </c>
      <c r="U100" s="105"/>
      <c r="V100" s="106"/>
      <c r="W100" s="107"/>
      <c r="X100" s="105"/>
      <c r="Y100" s="103" t="s">
        <v>96</v>
      </c>
      <c r="Z100" s="105"/>
      <c r="AA100" s="105"/>
      <c r="AB100" s="103" t="s">
        <v>97</v>
      </c>
      <c r="AC100" s="105"/>
      <c r="AD100" s="105"/>
      <c r="AE100" s="105"/>
      <c r="AF100" s="103" t="s">
        <v>99</v>
      </c>
      <c r="AG100" s="105"/>
      <c r="AH100" s="106"/>
      <c r="AI100" s="108" t="s">
        <v>96</v>
      </c>
      <c r="AJ100" s="103" t="s">
        <v>96</v>
      </c>
      <c r="AK100" s="105"/>
      <c r="AL100" s="105"/>
      <c r="AM100" s="105"/>
      <c r="AN100" s="103" t="s">
        <v>96</v>
      </c>
      <c r="AO100" s="105"/>
      <c r="AP100" s="105"/>
      <c r="AQ100" s="103" t="s">
        <v>97</v>
      </c>
      <c r="AR100" s="105"/>
      <c r="AS100" s="105"/>
      <c r="AT100" s="136" t="s">
        <v>97</v>
      </c>
      <c r="AU100" s="107"/>
      <c r="AV100" s="105"/>
      <c r="AW100" s="103" t="s">
        <v>96</v>
      </c>
      <c r="AX100" s="103" t="s">
        <v>96</v>
      </c>
      <c r="AY100" s="105"/>
      <c r="AZ100" s="105"/>
      <c r="BA100" s="105"/>
      <c r="BB100" s="105"/>
      <c r="BC100" s="105"/>
      <c r="BD100" s="105"/>
      <c r="BE100" s="105"/>
      <c r="BF100" s="106"/>
      <c r="BG100" s="105"/>
      <c r="BH100" s="105"/>
      <c r="BI100" s="105"/>
      <c r="BJ100" s="105"/>
      <c r="BK100" s="102"/>
      <c r="BL100" s="102"/>
      <c r="BM100" s="102"/>
      <c r="BN100" s="102"/>
      <c r="BO100" s="102"/>
      <c r="BP100" s="102"/>
      <c r="BQ100" s="102"/>
      <c r="BR100" s="102"/>
      <c r="BS100" s="102"/>
      <c r="BT100" s="102"/>
      <c r="BU100" s="102"/>
      <c r="BV100" s="102"/>
      <c r="BW100" s="102"/>
      <c r="BX100" s="102"/>
      <c r="BY100" s="102"/>
      <c r="BZ100" s="102"/>
      <c r="CA100" s="102"/>
      <c r="CB100" s="102"/>
      <c r="CC100" s="102"/>
      <c r="CD100" s="102"/>
      <c r="CE100" s="102"/>
      <c r="CF100" s="102"/>
      <c r="CG100" s="102"/>
      <c r="CH100" s="102"/>
      <c r="CI100" s="102"/>
      <c r="CJ100" s="102"/>
      <c r="CK100" s="102"/>
      <c r="CL100" s="102"/>
      <c r="CM100" s="102"/>
      <c r="CN100" s="102"/>
      <c r="CO100" s="102"/>
      <c r="CP100" s="102"/>
      <c r="CQ100" s="102"/>
      <c r="CR100" s="102"/>
      <c r="CS100" s="102"/>
      <c r="CT100" s="102"/>
      <c r="CU100" s="102"/>
      <c r="CV100" s="102"/>
      <c r="CW100" s="102"/>
      <c r="CX100" s="102"/>
      <c r="CY100" s="102"/>
      <c r="CZ100" s="102"/>
      <c r="DA100" s="102"/>
      <c r="DB100" s="102"/>
      <c r="DC100" s="102"/>
      <c r="DD100" s="102"/>
      <c r="DE100" s="102"/>
      <c r="DF100" s="102"/>
      <c r="DG100" s="102"/>
      <c r="DH100" s="102"/>
      <c r="DI100" s="102"/>
      <c r="DJ100" s="102"/>
      <c r="DK100" s="102"/>
      <c r="DL100" s="102"/>
      <c r="DM100" s="102"/>
      <c r="DN100" s="102"/>
      <c r="DO100" s="102"/>
      <c r="DP100" s="102"/>
      <c r="DQ100" s="102"/>
      <c r="DR100" s="102"/>
      <c r="DS100" s="102"/>
      <c r="DT100" s="102"/>
      <c r="DU100" s="102"/>
      <c r="DV100" s="102"/>
      <c r="DW100" s="102"/>
      <c r="DX100" s="102"/>
      <c r="DY100" s="102"/>
      <c r="DZ100" s="102"/>
      <c r="EA100" s="102"/>
      <c r="EB100" s="102"/>
      <c r="EC100" s="102"/>
      <c r="ED100" s="102"/>
      <c r="EE100" s="102"/>
      <c r="EF100" s="102"/>
      <c r="EG100" s="102"/>
      <c r="EH100" s="102"/>
      <c r="EI100" s="102"/>
      <c r="EJ100" s="102"/>
      <c r="EK100" s="102"/>
      <c r="EL100" s="102"/>
      <c r="EM100" s="102"/>
      <c r="EN100" s="102"/>
      <c r="EO100" s="102"/>
      <c r="EP100" s="102"/>
      <c r="EQ100" s="102"/>
    </row>
    <row r="101" hidden="1">
      <c r="A101" s="110" t="s">
        <v>206</v>
      </c>
      <c r="B101" s="111">
        <f t="shared" si="1"/>
        <v>46113</v>
      </c>
      <c r="C101" s="110">
        <v>210.0</v>
      </c>
      <c r="D101" s="110" t="s">
        <v>95</v>
      </c>
      <c r="E101" s="110" t="s">
        <v>98</v>
      </c>
      <c r="F101" s="112"/>
      <c r="G101" s="112"/>
      <c r="H101" s="112"/>
      <c r="I101" s="112"/>
      <c r="J101" s="113"/>
      <c r="K101" s="132" t="s">
        <v>98</v>
      </c>
      <c r="L101" s="116"/>
      <c r="M101" s="116"/>
      <c r="N101" s="116"/>
      <c r="O101" s="116"/>
      <c r="P101" s="116"/>
      <c r="Q101" s="115" t="s">
        <v>98</v>
      </c>
      <c r="R101" s="116"/>
      <c r="S101" s="115" t="s">
        <v>99</v>
      </c>
      <c r="T101" s="116"/>
      <c r="U101" s="116"/>
      <c r="V101" s="117"/>
      <c r="W101" s="119" t="s">
        <v>96</v>
      </c>
      <c r="X101" s="121" t="s">
        <v>98</v>
      </c>
      <c r="Y101" s="120"/>
      <c r="Z101" s="120"/>
      <c r="AA101" s="120"/>
      <c r="AB101" s="120"/>
      <c r="AC101" s="121" t="s">
        <v>96</v>
      </c>
      <c r="AD101" s="120"/>
      <c r="AE101" s="120"/>
      <c r="AF101" s="120"/>
      <c r="AG101" s="120"/>
      <c r="AH101" s="122"/>
      <c r="AI101" s="134" t="s">
        <v>96</v>
      </c>
      <c r="AJ101" s="124"/>
      <c r="AK101" s="124"/>
      <c r="AL101" s="124"/>
      <c r="AM101" s="124"/>
      <c r="AN101" s="124"/>
      <c r="AO101" s="124"/>
      <c r="AP101" s="125" t="s">
        <v>99</v>
      </c>
      <c r="AQ101" s="125" t="s">
        <v>97</v>
      </c>
      <c r="AR101" s="125" t="s">
        <v>97</v>
      </c>
      <c r="AS101" s="124"/>
      <c r="AT101" s="126"/>
      <c r="AU101" s="127"/>
      <c r="AV101" s="129"/>
      <c r="AW101" s="128" t="s">
        <v>96</v>
      </c>
      <c r="AX101" s="128" t="s">
        <v>96</v>
      </c>
      <c r="AY101" s="129"/>
      <c r="AZ101" s="129"/>
      <c r="BA101" s="129"/>
      <c r="BB101" s="129"/>
      <c r="BC101" s="129"/>
      <c r="BD101" s="129"/>
      <c r="BE101" s="129"/>
      <c r="BF101" s="130"/>
      <c r="BG101" s="129"/>
      <c r="BH101" s="129"/>
      <c r="BI101" s="129"/>
      <c r="BJ101" s="129"/>
      <c r="BK101" s="102"/>
      <c r="BL101" s="102"/>
      <c r="BM101" s="102"/>
      <c r="BN101" s="102"/>
      <c r="BO101" s="102"/>
      <c r="BP101" s="102"/>
      <c r="BQ101" s="102"/>
      <c r="BR101" s="102"/>
      <c r="BS101" s="102"/>
      <c r="BT101" s="102"/>
      <c r="BU101" s="102"/>
      <c r="BV101" s="102"/>
      <c r="BW101" s="102"/>
      <c r="BX101" s="102"/>
      <c r="BY101" s="102"/>
      <c r="BZ101" s="102"/>
      <c r="CA101" s="102"/>
      <c r="CB101" s="102"/>
      <c r="CC101" s="102"/>
      <c r="CD101" s="102"/>
      <c r="CE101" s="102"/>
      <c r="CF101" s="102"/>
      <c r="CG101" s="102"/>
      <c r="CH101" s="102"/>
      <c r="CI101" s="102"/>
      <c r="CJ101" s="102"/>
      <c r="CK101" s="102"/>
      <c r="CL101" s="102"/>
      <c r="CM101" s="102"/>
      <c r="CN101" s="102"/>
      <c r="CO101" s="102"/>
      <c r="CP101" s="102"/>
      <c r="CQ101" s="102"/>
      <c r="CR101" s="102"/>
      <c r="CS101" s="102"/>
      <c r="CT101" s="102"/>
      <c r="CU101" s="102"/>
      <c r="CV101" s="102"/>
      <c r="CW101" s="102"/>
      <c r="CX101" s="102"/>
      <c r="CY101" s="102"/>
      <c r="CZ101" s="102"/>
      <c r="DA101" s="102"/>
      <c r="DB101" s="102"/>
      <c r="DC101" s="102"/>
      <c r="DD101" s="102"/>
      <c r="DE101" s="102"/>
      <c r="DF101" s="102"/>
      <c r="DG101" s="102"/>
      <c r="DH101" s="102"/>
      <c r="DI101" s="102"/>
      <c r="DJ101" s="102"/>
      <c r="DK101" s="102"/>
      <c r="DL101" s="102"/>
      <c r="DM101" s="102"/>
      <c r="DN101" s="102"/>
      <c r="DO101" s="102"/>
      <c r="DP101" s="102"/>
      <c r="DQ101" s="102"/>
      <c r="DR101" s="102"/>
      <c r="DS101" s="102"/>
      <c r="DT101" s="102"/>
      <c r="DU101" s="102"/>
      <c r="DV101" s="102"/>
      <c r="DW101" s="102"/>
      <c r="DX101" s="102"/>
      <c r="DY101" s="102"/>
      <c r="DZ101" s="102"/>
      <c r="EA101" s="102"/>
      <c r="EB101" s="102"/>
      <c r="EC101" s="102"/>
      <c r="ED101" s="102"/>
      <c r="EE101" s="102"/>
      <c r="EF101" s="102"/>
      <c r="EG101" s="102"/>
      <c r="EH101" s="102"/>
      <c r="EI101" s="102"/>
      <c r="EJ101" s="102"/>
      <c r="EK101" s="102"/>
      <c r="EL101" s="102"/>
      <c r="EM101" s="102"/>
      <c r="EN101" s="102"/>
      <c r="EO101" s="102"/>
      <c r="EP101" s="102"/>
      <c r="EQ101" s="102"/>
    </row>
    <row r="102" hidden="1">
      <c r="A102" s="139" t="s">
        <v>207</v>
      </c>
      <c r="B102" s="131">
        <f t="shared" si="1"/>
        <v>46082</v>
      </c>
      <c r="C102" s="103">
        <v>60.0</v>
      </c>
      <c r="D102" s="103" t="s">
        <v>136</v>
      </c>
      <c r="E102" s="103" t="s">
        <v>98</v>
      </c>
      <c r="F102" s="103" t="s">
        <v>96</v>
      </c>
      <c r="G102" s="103" t="s">
        <v>97</v>
      </c>
      <c r="H102" s="103" t="s">
        <v>99</v>
      </c>
      <c r="I102" s="103" t="s">
        <v>98</v>
      </c>
      <c r="J102" s="136" t="s">
        <v>99</v>
      </c>
      <c r="K102" s="108" t="s">
        <v>99</v>
      </c>
      <c r="L102" s="103" t="s">
        <v>98</v>
      </c>
      <c r="M102" s="103" t="s">
        <v>96</v>
      </c>
      <c r="N102" s="103" t="s">
        <v>96</v>
      </c>
      <c r="O102" s="103" t="s">
        <v>96</v>
      </c>
      <c r="P102" s="103" t="s">
        <v>99</v>
      </c>
      <c r="Q102" s="103" t="s">
        <v>99</v>
      </c>
      <c r="R102" s="103" t="s">
        <v>99</v>
      </c>
      <c r="S102" s="103" t="s">
        <v>99</v>
      </c>
      <c r="T102" s="103" t="s">
        <v>98</v>
      </c>
      <c r="U102" s="103" t="s">
        <v>98</v>
      </c>
      <c r="V102" s="136" t="s">
        <v>97</v>
      </c>
      <c r="W102" s="108" t="s">
        <v>97</v>
      </c>
      <c r="X102" s="103" t="s">
        <v>98</v>
      </c>
      <c r="Y102" s="103" t="s">
        <v>99</v>
      </c>
      <c r="Z102" s="103" t="s">
        <v>99</v>
      </c>
      <c r="AA102" s="103" t="s">
        <v>97</v>
      </c>
      <c r="AB102" s="103" t="s">
        <v>99</v>
      </c>
      <c r="AC102" s="103" t="s">
        <v>96</v>
      </c>
      <c r="AD102" s="103" t="s">
        <v>99</v>
      </c>
      <c r="AE102" s="103" t="s">
        <v>99</v>
      </c>
      <c r="AF102" s="103" t="s">
        <v>98</v>
      </c>
      <c r="AG102" s="103" t="s">
        <v>96</v>
      </c>
      <c r="AH102" s="136" t="s">
        <v>99</v>
      </c>
      <c r="AI102" s="108" t="s">
        <v>96</v>
      </c>
      <c r="AJ102" s="103" t="s">
        <v>99</v>
      </c>
      <c r="AK102" s="103" t="s">
        <v>99</v>
      </c>
      <c r="AL102" s="103" t="s">
        <v>99</v>
      </c>
      <c r="AM102" s="103" t="s">
        <v>99</v>
      </c>
      <c r="AN102" s="103" t="s">
        <v>96</v>
      </c>
      <c r="AO102" s="103" t="s">
        <v>99</v>
      </c>
      <c r="AP102" s="103" t="s">
        <v>99</v>
      </c>
      <c r="AQ102" s="103" t="s">
        <v>98</v>
      </c>
      <c r="AR102" s="103" t="s">
        <v>98</v>
      </c>
      <c r="AS102" s="103" t="s">
        <v>98</v>
      </c>
      <c r="AT102" s="136" t="s">
        <v>99</v>
      </c>
      <c r="AU102" s="108" t="s">
        <v>99</v>
      </c>
      <c r="AV102" s="103" t="s">
        <v>98</v>
      </c>
      <c r="AW102" s="103" t="s">
        <v>98</v>
      </c>
      <c r="AX102" s="103" t="s">
        <v>99</v>
      </c>
      <c r="AY102" s="105"/>
      <c r="AZ102" s="105"/>
      <c r="BA102" s="105"/>
      <c r="BB102" s="105"/>
      <c r="BC102" s="105"/>
      <c r="BD102" s="105"/>
      <c r="BE102" s="105"/>
      <c r="BF102" s="106"/>
      <c r="BG102" s="105"/>
      <c r="BH102" s="105"/>
      <c r="BI102" s="105"/>
      <c r="BJ102" s="105"/>
      <c r="BK102" s="102"/>
      <c r="BL102" s="102"/>
      <c r="BM102" s="102"/>
      <c r="BN102" s="102"/>
      <c r="BO102" s="102"/>
      <c r="BP102" s="102"/>
      <c r="BQ102" s="102"/>
      <c r="BR102" s="102"/>
      <c r="BS102" s="102"/>
      <c r="BT102" s="102"/>
      <c r="BU102" s="102"/>
      <c r="BV102" s="102"/>
      <c r="BW102" s="102"/>
      <c r="BX102" s="102"/>
      <c r="BY102" s="102"/>
      <c r="BZ102" s="102"/>
      <c r="CA102" s="102"/>
      <c r="CB102" s="102"/>
      <c r="CC102" s="102"/>
      <c r="CD102" s="102"/>
      <c r="CE102" s="102"/>
      <c r="CF102" s="102"/>
      <c r="CG102" s="102"/>
      <c r="CH102" s="102"/>
      <c r="CI102" s="102"/>
      <c r="CJ102" s="102"/>
      <c r="CK102" s="102"/>
      <c r="CL102" s="102"/>
      <c r="CM102" s="102"/>
      <c r="CN102" s="102"/>
      <c r="CO102" s="102"/>
      <c r="CP102" s="102"/>
      <c r="CQ102" s="102"/>
      <c r="CR102" s="102"/>
      <c r="CS102" s="102"/>
      <c r="CT102" s="102"/>
      <c r="CU102" s="102"/>
      <c r="CV102" s="102"/>
      <c r="CW102" s="102"/>
      <c r="CX102" s="102"/>
      <c r="CY102" s="102"/>
      <c r="CZ102" s="102"/>
      <c r="DA102" s="102"/>
      <c r="DB102" s="102"/>
      <c r="DC102" s="102"/>
      <c r="DD102" s="102"/>
      <c r="DE102" s="102"/>
      <c r="DF102" s="102"/>
      <c r="DG102" s="102"/>
      <c r="DH102" s="102"/>
      <c r="DI102" s="102"/>
      <c r="DJ102" s="102"/>
      <c r="DK102" s="102"/>
      <c r="DL102" s="102"/>
      <c r="DM102" s="102"/>
      <c r="DN102" s="102"/>
      <c r="DO102" s="102"/>
      <c r="DP102" s="102"/>
      <c r="DQ102" s="102"/>
      <c r="DR102" s="102"/>
      <c r="DS102" s="102"/>
      <c r="DT102" s="102"/>
      <c r="DU102" s="102"/>
      <c r="DV102" s="102"/>
      <c r="DW102" s="102"/>
      <c r="DX102" s="102"/>
      <c r="DY102" s="102"/>
      <c r="DZ102" s="102"/>
      <c r="EA102" s="102"/>
      <c r="EB102" s="102"/>
      <c r="EC102" s="102"/>
      <c r="ED102" s="102"/>
      <c r="EE102" s="102"/>
      <c r="EF102" s="102"/>
      <c r="EG102" s="102"/>
      <c r="EH102" s="102"/>
      <c r="EI102" s="102"/>
      <c r="EJ102" s="102"/>
      <c r="EK102" s="102"/>
      <c r="EL102" s="102"/>
      <c r="EM102" s="102"/>
      <c r="EN102" s="102"/>
      <c r="EO102" s="102"/>
      <c r="EP102" s="102"/>
      <c r="EQ102" s="102"/>
    </row>
    <row r="103" hidden="1">
      <c r="A103" s="138" t="s">
        <v>208</v>
      </c>
      <c r="B103" s="111">
        <f t="shared" si="1"/>
        <v>45992</v>
      </c>
      <c r="C103" s="110">
        <v>210.0</v>
      </c>
      <c r="D103" s="110" t="s">
        <v>95</v>
      </c>
      <c r="E103" s="110" t="s">
        <v>98</v>
      </c>
      <c r="F103" s="112"/>
      <c r="G103" s="112"/>
      <c r="H103" s="112"/>
      <c r="I103" s="112"/>
      <c r="J103" s="113"/>
      <c r="K103" s="132" t="s">
        <v>98</v>
      </c>
      <c r="L103" s="116"/>
      <c r="M103" s="116"/>
      <c r="N103" s="116"/>
      <c r="O103" s="116"/>
      <c r="P103" s="116"/>
      <c r="Q103" s="115" t="s">
        <v>96</v>
      </c>
      <c r="R103" s="115" t="s">
        <v>98</v>
      </c>
      <c r="S103" s="115" t="s">
        <v>99</v>
      </c>
      <c r="T103" s="116"/>
      <c r="U103" s="116"/>
      <c r="V103" s="117"/>
      <c r="W103" s="118"/>
      <c r="X103" s="121" t="s">
        <v>98</v>
      </c>
      <c r="Y103" s="120"/>
      <c r="Z103" s="120"/>
      <c r="AA103" s="120"/>
      <c r="AB103" s="121" t="s">
        <v>98</v>
      </c>
      <c r="AC103" s="120"/>
      <c r="AD103" s="120"/>
      <c r="AE103" s="120"/>
      <c r="AF103" s="120"/>
      <c r="AG103" s="120"/>
      <c r="AH103" s="140" t="s">
        <v>99</v>
      </c>
      <c r="AI103" s="134" t="s">
        <v>96</v>
      </c>
      <c r="AJ103" s="125" t="s">
        <v>96</v>
      </c>
      <c r="AK103" s="124"/>
      <c r="AL103" s="124"/>
      <c r="AM103" s="124"/>
      <c r="AN103" s="125" t="s">
        <v>96</v>
      </c>
      <c r="AO103" s="124"/>
      <c r="AP103" s="124"/>
      <c r="AQ103" s="124"/>
      <c r="AR103" s="124"/>
      <c r="AS103" s="124"/>
      <c r="AT103" s="133" t="s">
        <v>97</v>
      </c>
      <c r="AU103" s="127"/>
      <c r="AV103" s="129"/>
      <c r="AW103" s="129"/>
      <c r="AX103" s="129"/>
      <c r="AY103" s="129"/>
      <c r="AZ103" s="129"/>
      <c r="BA103" s="129"/>
      <c r="BB103" s="129"/>
      <c r="BC103" s="129"/>
      <c r="BD103" s="129"/>
      <c r="BE103" s="129"/>
      <c r="BF103" s="130"/>
      <c r="BG103" s="129"/>
      <c r="BH103" s="129"/>
      <c r="BI103" s="129"/>
      <c r="BJ103" s="129"/>
      <c r="BK103" s="102"/>
      <c r="BL103" s="102"/>
      <c r="BM103" s="102"/>
      <c r="BN103" s="102"/>
      <c r="BO103" s="102"/>
      <c r="BP103" s="102"/>
      <c r="BQ103" s="102"/>
      <c r="BR103" s="102"/>
      <c r="BS103" s="102"/>
      <c r="BT103" s="102"/>
      <c r="BU103" s="102"/>
      <c r="BV103" s="102"/>
      <c r="BW103" s="102"/>
      <c r="BX103" s="102"/>
      <c r="BY103" s="102"/>
      <c r="BZ103" s="102"/>
      <c r="CA103" s="102"/>
      <c r="CB103" s="102"/>
      <c r="CC103" s="102"/>
      <c r="CD103" s="102"/>
      <c r="CE103" s="102"/>
      <c r="CF103" s="102"/>
      <c r="CG103" s="102"/>
      <c r="CH103" s="102"/>
      <c r="CI103" s="102"/>
      <c r="CJ103" s="102"/>
      <c r="CK103" s="102"/>
      <c r="CL103" s="102"/>
      <c r="CM103" s="102"/>
      <c r="CN103" s="102"/>
      <c r="CO103" s="102"/>
      <c r="CP103" s="102"/>
      <c r="CQ103" s="102"/>
      <c r="CR103" s="102"/>
      <c r="CS103" s="102"/>
      <c r="CT103" s="102"/>
      <c r="CU103" s="102"/>
      <c r="CV103" s="102"/>
      <c r="CW103" s="102"/>
      <c r="CX103" s="102"/>
      <c r="CY103" s="102"/>
      <c r="CZ103" s="102"/>
      <c r="DA103" s="102"/>
      <c r="DB103" s="102"/>
      <c r="DC103" s="102"/>
      <c r="DD103" s="102"/>
      <c r="DE103" s="102"/>
      <c r="DF103" s="102"/>
      <c r="DG103" s="102"/>
      <c r="DH103" s="102"/>
      <c r="DI103" s="102"/>
      <c r="DJ103" s="102"/>
      <c r="DK103" s="102"/>
      <c r="DL103" s="102"/>
      <c r="DM103" s="102"/>
      <c r="DN103" s="102"/>
      <c r="DO103" s="102"/>
      <c r="DP103" s="102"/>
      <c r="DQ103" s="102"/>
      <c r="DR103" s="102"/>
      <c r="DS103" s="102"/>
      <c r="DT103" s="102"/>
      <c r="DU103" s="102"/>
      <c r="DV103" s="102"/>
      <c r="DW103" s="102"/>
      <c r="DX103" s="102"/>
      <c r="DY103" s="102"/>
      <c r="DZ103" s="102"/>
      <c r="EA103" s="102"/>
      <c r="EB103" s="102"/>
      <c r="EC103" s="102"/>
      <c r="ED103" s="102"/>
      <c r="EE103" s="102"/>
      <c r="EF103" s="102"/>
      <c r="EG103" s="102"/>
      <c r="EH103" s="102"/>
      <c r="EI103" s="102"/>
      <c r="EJ103" s="102"/>
      <c r="EK103" s="102"/>
      <c r="EL103" s="102"/>
      <c r="EM103" s="102"/>
      <c r="EN103" s="102"/>
      <c r="EO103" s="102"/>
      <c r="EP103" s="102"/>
      <c r="EQ103" s="102"/>
    </row>
    <row r="104" hidden="1">
      <c r="A104" s="139" t="s">
        <v>209</v>
      </c>
      <c r="B104" s="131">
        <f t="shared" si="1"/>
        <v>46082</v>
      </c>
      <c r="C104" s="103">
        <v>60.0</v>
      </c>
      <c r="D104" s="103" t="s">
        <v>136</v>
      </c>
      <c r="E104" s="103" t="s">
        <v>98</v>
      </c>
      <c r="F104" s="103" t="s">
        <v>99</v>
      </c>
      <c r="G104" s="103" t="s">
        <v>98</v>
      </c>
      <c r="H104" s="103" t="s">
        <v>99</v>
      </c>
      <c r="I104" s="103" t="s">
        <v>98</v>
      </c>
      <c r="J104" s="136" t="s">
        <v>99</v>
      </c>
      <c r="K104" s="108" t="s">
        <v>96</v>
      </c>
      <c r="L104" s="103" t="s">
        <v>99</v>
      </c>
      <c r="M104" s="103" t="s">
        <v>98</v>
      </c>
      <c r="N104" s="103" t="s">
        <v>99</v>
      </c>
      <c r="O104" s="103" t="s">
        <v>98</v>
      </c>
      <c r="P104" s="103" t="s">
        <v>99</v>
      </c>
      <c r="Q104" s="103" t="s">
        <v>96</v>
      </c>
      <c r="R104" s="103" t="s">
        <v>97</v>
      </c>
      <c r="S104" s="103" t="s">
        <v>99</v>
      </c>
      <c r="T104" s="103" t="s">
        <v>98</v>
      </c>
      <c r="U104" s="103" t="s">
        <v>97</v>
      </c>
      <c r="V104" s="136" t="s">
        <v>96</v>
      </c>
      <c r="W104" s="108" t="s">
        <v>98</v>
      </c>
      <c r="X104" s="103" t="s">
        <v>99</v>
      </c>
      <c r="Y104" s="103" t="s">
        <v>98</v>
      </c>
      <c r="Z104" s="103" t="s">
        <v>99</v>
      </c>
      <c r="AA104" s="103" t="s">
        <v>99</v>
      </c>
      <c r="AB104" s="103" t="s">
        <v>99</v>
      </c>
      <c r="AC104" s="103" t="s">
        <v>96</v>
      </c>
      <c r="AD104" s="103" t="s">
        <v>99</v>
      </c>
      <c r="AE104" s="103" t="s">
        <v>99</v>
      </c>
      <c r="AF104" s="103" t="s">
        <v>98</v>
      </c>
      <c r="AG104" s="103" t="s">
        <v>98</v>
      </c>
      <c r="AH104" s="136" t="s">
        <v>99</v>
      </c>
      <c r="AI104" s="108" t="s">
        <v>98</v>
      </c>
      <c r="AJ104" s="103" t="s">
        <v>99</v>
      </c>
      <c r="AK104" s="103" t="s">
        <v>99</v>
      </c>
      <c r="AL104" s="103" t="s">
        <v>99</v>
      </c>
      <c r="AM104" s="103" t="s">
        <v>99</v>
      </c>
      <c r="AN104" s="103" t="s">
        <v>97</v>
      </c>
      <c r="AO104" s="103" t="s">
        <v>99</v>
      </c>
      <c r="AP104" s="103" t="s">
        <v>99</v>
      </c>
      <c r="AQ104" s="103" t="s">
        <v>98</v>
      </c>
      <c r="AR104" s="103" t="s">
        <v>98</v>
      </c>
      <c r="AS104" s="103" t="s">
        <v>98</v>
      </c>
      <c r="AT104" s="136" t="s">
        <v>99</v>
      </c>
      <c r="AU104" s="108" t="s">
        <v>99</v>
      </c>
      <c r="AV104" s="103" t="s">
        <v>98</v>
      </c>
      <c r="AW104" s="103" t="s">
        <v>98</v>
      </c>
      <c r="AX104" s="103" t="s">
        <v>99</v>
      </c>
      <c r="AY104" s="105"/>
      <c r="AZ104" s="105"/>
      <c r="BA104" s="105"/>
      <c r="BB104" s="105"/>
      <c r="BC104" s="105"/>
      <c r="BD104" s="105"/>
      <c r="BE104" s="105"/>
      <c r="BF104" s="106"/>
      <c r="BG104" s="105"/>
      <c r="BH104" s="105"/>
      <c r="BI104" s="105"/>
      <c r="BJ104" s="105"/>
      <c r="BK104" s="102"/>
      <c r="BL104" s="102"/>
      <c r="BM104" s="102"/>
      <c r="BN104" s="102"/>
      <c r="BO104" s="102"/>
      <c r="BP104" s="102"/>
      <c r="BQ104" s="102"/>
      <c r="BR104" s="102"/>
      <c r="BS104" s="102"/>
      <c r="BT104" s="102"/>
      <c r="BU104" s="102"/>
      <c r="BV104" s="102"/>
      <c r="BW104" s="102"/>
      <c r="BX104" s="102"/>
      <c r="BY104" s="102"/>
      <c r="BZ104" s="102"/>
      <c r="CA104" s="102"/>
      <c r="CB104" s="102"/>
      <c r="CC104" s="102"/>
      <c r="CD104" s="102"/>
      <c r="CE104" s="102"/>
      <c r="CF104" s="102"/>
      <c r="CG104" s="102"/>
      <c r="CH104" s="102"/>
      <c r="CI104" s="102"/>
      <c r="CJ104" s="102"/>
      <c r="CK104" s="102"/>
      <c r="CL104" s="102"/>
      <c r="CM104" s="102"/>
      <c r="CN104" s="102"/>
      <c r="CO104" s="102"/>
      <c r="CP104" s="102"/>
      <c r="CQ104" s="102"/>
      <c r="CR104" s="102"/>
      <c r="CS104" s="102"/>
      <c r="CT104" s="102"/>
      <c r="CU104" s="102"/>
      <c r="CV104" s="102"/>
      <c r="CW104" s="102"/>
      <c r="CX104" s="102"/>
      <c r="CY104" s="102"/>
      <c r="CZ104" s="102"/>
      <c r="DA104" s="102"/>
      <c r="DB104" s="102"/>
      <c r="DC104" s="102"/>
      <c r="DD104" s="102"/>
      <c r="DE104" s="102"/>
      <c r="DF104" s="102"/>
      <c r="DG104" s="102"/>
      <c r="DH104" s="102"/>
      <c r="DI104" s="102"/>
      <c r="DJ104" s="102"/>
      <c r="DK104" s="102"/>
      <c r="DL104" s="102"/>
      <c r="DM104" s="102"/>
      <c r="DN104" s="102"/>
      <c r="DO104" s="102"/>
      <c r="DP104" s="102"/>
      <c r="DQ104" s="102"/>
      <c r="DR104" s="102"/>
      <c r="DS104" s="102"/>
      <c r="DT104" s="102"/>
      <c r="DU104" s="102"/>
      <c r="DV104" s="102"/>
      <c r="DW104" s="102"/>
      <c r="DX104" s="102"/>
      <c r="DY104" s="102"/>
      <c r="DZ104" s="102"/>
      <c r="EA104" s="102"/>
      <c r="EB104" s="102"/>
      <c r="EC104" s="102"/>
      <c r="ED104" s="102"/>
      <c r="EE104" s="102"/>
      <c r="EF104" s="102"/>
      <c r="EG104" s="102"/>
      <c r="EH104" s="102"/>
      <c r="EI104" s="102"/>
      <c r="EJ104" s="102"/>
      <c r="EK104" s="102"/>
      <c r="EL104" s="102"/>
      <c r="EM104" s="102"/>
      <c r="EN104" s="102"/>
      <c r="EO104" s="102"/>
      <c r="EP104" s="102"/>
      <c r="EQ104" s="102"/>
    </row>
    <row r="105" hidden="1">
      <c r="A105" s="110" t="s">
        <v>210</v>
      </c>
      <c r="B105" s="111">
        <f t="shared" si="1"/>
        <v>46113</v>
      </c>
      <c r="C105" s="110">
        <v>365.0</v>
      </c>
      <c r="D105" s="110" t="s">
        <v>128</v>
      </c>
      <c r="E105" s="112"/>
      <c r="F105" s="112"/>
      <c r="G105" s="112"/>
      <c r="H105" s="112"/>
      <c r="I105" s="112"/>
      <c r="J105" s="113"/>
      <c r="K105" s="114"/>
      <c r="L105" s="116"/>
      <c r="M105" s="116"/>
      <c r="N105" s="116"/>
      <c r="O105" s="116"/>
      <c r="P105" s="116"/>
      <c r="Q105" s="116"/>
      <c r="R105" s="116"/>
      <c r="S105" s="116"/>
      <c r="T105" s="116"/>
      <c r="U105" s="116"/>
      <c r="V105" s="117"/>
      <c r="W105" s="120"/>
      <c r="X105" s="120"/>
      <c r="Y105" s="120"/>
      <c r="Z105" s="120"/>
      <c r="AA105" s="120"/>
      <c r="AB105" s="120"/>
      <c r="AC105" s="120"/>
      <c r="AD105" s="120"/>
      <c r="AE105" s="120"/>
      <c r="AF105" s="121" t="s">
        <v>98</v>
      </c>
      <c r="AG105" s="120"/>
      <c r="AH105" s="122"/>
      <c r="AI105" s="123"/>
      <c r="AJ105" s="124"/>
      <c r="AK105" s="124"/>
      <c r="AL105" s="124"/>
      <c r="AM105" s="124"/>
      <c r="AN105" s="124"/>
      <c r="AO105" s="124"/>
      <c r="AP105" s="124"/>
      <c r="AQ105" s="124"/>
      <c r="AR105" s="125" t="s">
        <v>98</v>
      </c>
      <c r="AS105" s="124"/>
      <c r="AT105" s="126"/>
      <c r="AU105" s="127"/>
      <c r="AV105" s="128" t="s">
        <v>98</v>
      </c>
      <c r="AW105" s="129"/>
      <c r="AX105" s="128" t="s">
        <v>98</v>
      </c>
      <c r="AY105" s="129"/>
      <c r="AZ105" s="129"/>
      <c r="BA105" s="129"/>
      <c r="BB105" s="129"/>
      <c r="BC105" s="129"/>
      <c r="BD105" s="129"/>
      <c r="BE105" s="129"/>
      <c r="BF105" s="130"/>
      <c r="BG105" s="129"/>
      <c r="BH105" s="129"/>
      <c r="BI105" s="129"/>
      <c r="BJ105" s="129"/>
      <c r="BK105" s="102"/>
      <c r="BL105" s="102"/>
      <c r="BM105" s="102"/>
      <c r="BN105" s="102"/>
      <c r="BO105" s="102"/>
      <c r="BP105" s="102"/>
      <c r="BQ105" s="102"/>
      <c r="BR105" s="102"/>
      <c r="BS105" s="102"/>
      <c r="BT105" s="102"/>
      <c r="BU105" s="102"/>
      <c r="BV105" s="102"/>
      <c r="BW105" s="102"/>
      <c r="BX105" s="102"/>
      <c r="BY105" s="102"/>
      <c r="BZ105" s="102"/>
      <c r="CA105" s="102"/>
      <c r="CB105" s="102"/>
      <c r="CC105" s="102"/>
      <c r="CD105" s="102"/>
      <c r="CE105" s="102"/>
      <c r="CF105" s="102"/>
      <c r="CG105" s="102"/>
      <c r="CH105" s="102"/>
      <c r="CI105" s="102"/>
      <c r="CJ105" s="102"/>
      <c r="CK105" s="102"/>
      <c r="CL105" s="102"/>
      <c r="CM105" s="102"/>
      <c r="CN105" s="102"/>
      <c r="CO105" s="102"/>
      <c r="CP105" s="102"/>
      <c r="CQ105" s="102"/>
      <c r="CR105" s="102"/>
      <c r="CS105" s="102"/>
      <c r="CT105" s="102"/>
      <c r="CU105" s="102"/>
      <c r="CV105" s="102"/>
      <c r="CW105" s="102"/>
      <c r="CX105" s="102"/>
      <c r="CY105" s="102"/>
      <c r="CZ105" s="102"/>
      <c r="DA105" s="102"/>
      <c r="DB105" s="102"/>
      <c r="DC105" s="102"/>
      <c r="DD105" s="102"/>
      <c r="DE105" s="102"/>
      <c r="DF105" s="102"/>
      <c r="DG105" s="102"/>
      <c r="DH105" s="102"/>
      <c r="DI105" s="102"/>
      <c r="DJ105" s="102"/>
      <c r="DK105" s="102"/>
      <c r="DL105" s="102"/>
      <c r="DM105" s="102"/>
      <c r="DN105" s="102"/>
      <c r="DO105" s="102"/>
      <c r="DP105" s="102"/>
      <c r="DQ105" s="102"/>
      <c r="DR105" s="102"/>
      <c r="DS105" s="102"/>
      <c r="DT105" s="102"/>
      <c r="DU105" s="102"/>
      <c r="DV105" s="102"/>
      <c r="DW105" s="102"/>
      <c r="DX105" s="102"/>
      <c r="DY105" s="102"/>
      <c r="DZ105" s="102"/>
      <c r="EA105" s="102"/>
      <c r="EB105" s="102"/>
      <c r="EC105" s="102"/>
      <c r="ED105" s="102"/>
      <c r="EE105" s="102"/>
      <c r="EF105" s="102"/>
      <c r="EG105" s="102"/>
      <c r="EH105" s="102"/>
      <c r="EI105" s="102"/>
      <c r="EJ105" s="102"/>
      <c r="EK105" s="102"/>
      <c r="EL105" s="102"/>
      <c r="EM105" s="102"/>
      <c r="EN105" s="102"/>
      <c r="EO105" s="102"/>
      <c r="EP105" s="102"/>
      <c r="EQ105" s="102"/>
    </row>
    <row r="106" hidden="1">
      <c r="A106" s="103" t="s">
        <v>211</v>
      </c>
      <c r="B106" s="141" t="str">
        <f t="shared" si="1"/>
        <v>Missing</v>
      </c>
      <c r="C106" s="103">
        <v>365.0</v>
      </c>
      <c r="D106" s="103" t="s">
        <v>128</v>
      </c>
      <c r="E106" s="105"/>
      <c r="F106" s="105"/>
      <c r="G106" s="105"/>
      <c r="H106" s="105"/>
      <c r="I106" s="105"/>
      <c r="J106" s="106"/>
      <c r="K106" s="107"/>
      <c r="L106" s="105"/>
      <c r="M106" s="105"/>
      <c r="N106" s="105"/>
      <c r="O106" s="105"/>
      <c r="P106" s="105"/>
      <c r="Q106" s="105"/>
      <c r="R106" s="105"/>
      <c r="S106" s="105"/>
      <c r="T106" s="105"/>
      <c r="U106" s="105"/>
      <c r="V106" s="106"/>
      <c r="W106" s="105"/>
      <c r="X106" s="105"/>
      <c r="Y106" s="105"/>
      <c r="Z106" s="105"/>
      <c r="AA106" s="105"/>
      <c r="AB106" s="105"/>
      <c r="AC106" s="105"/>
      <c r="AD106" s="105"/>
      <c r="AE106" s="105"/>
      <c r="AF106" s="105"/>
      <c r="AG106" s="105"/>
      <c r="AH106" s="106"/>
      <c r="AI106" s="107"/>
      <c r="AJ106" s="105"/>
      <c r="AK106" s="105"/>
      <c r="AL106" s="105"/>
      <c r="AM106" s="105"/>
      <c r="AN106" s="105"/>
      <c r="AO106" s="105"/>
      <c r="AP106" s="105"/>
      <c r="AQ106" s="105"/>
      <c r="AR106" s="105"/>
      <c r="AS106" s="105"/>
      <c r="AT106" s="106"/>
      <c r="AU106" s="107"/>
      <c r="AV106" s="105"/>
      <c r="AW106" s="105"/>
      <c r="AX106" s="105"/>
      <c r="AY106" s="105"/>
      <c r="AZ106" s="105"/>
      <c r="BA106" s="105"/>
      <c r="BB106" s="105"/>
      <c r="BC106" s="105"/>
      <c r="BD106" s="105"/>
      <c r="BE106" s="105"/>
      <c r="BF106" s="106"/>
      <c r="BG106" s="105"/>
      <c r="BH106" s="105"/>
      <c r="BI106" s="105"/>
      <c r="BJ106" s="105"/>
      <c r="BK106" s="102"/>
      <c r="BL106" s="102"/>
      <c r="BM106" s="102"/>
      <c r="BN106" s="102"/>
      <c r="BO106" s="102"/>
      <c r="BP106" s="102"/>
      <c r="BQ106" s="102"/>
      <c r="BR106" s="102"/>
      <c r="BS106" s="102"/>
      <c r="BT106" s="102"/>
      <c r="BU106" s="102"/>
      <c r="BV106" s="102"/>
      <c r="BW106" s="102"/>
      <c r="BX106" s="102"/>
      <c r="BY106" s="102"/>
      <c r="BZ106" s="102"/>
      <c r="CA106" s="102"/>
      <c r="CB106" s="102"/>
      <c r="CC106" s="102"/>
      <c r="CD106" s="102"/>
      <c r="CE106" s="102"/>
      <c r="CF106" s="102"/>
      <c r="CG106" s="102"/>
      <c r="CH106" s="102"/>
      <c r="CI106" s="102"/>
      <c r="CJ106" s="102"/>
      <c r="CK106" s="102"/>
      <c r="CL106" s="102"/>
      <c r="CM106" s="102"/>
      <c r="CN106" s="102"/>
      <c r="CO106" s="102"/>
      <c r="CP106" s="102"/>
      <c r="CQ106" s="102"/>
      <c r="CR106" s="102"/>
      <c r="CS106" s="102"/>
      <c r="CT106" s="102"/>
      <c r="CU106" s="102"/>
      <c r="CV106" s="102"/>
      <c r="CW106" s="102"/>
      <c r="CX106" s="102"/>
      <c r="CY106" s="102"/>
      <c r="CZ106" s="102"/>
      <c r="DA106" s="102"/>
      <c r="DB106" s="102"/>
      <c r="DC106" s="102"/>
      <c r="DD106" s="102"/>
      <c r="DE106" s="102"/>
      <c r="DF106" s="102"/>
      <c r="DG106" s="102"/>
      <c r="DH106" s="102"/>
      <c r="DI106" s="102"/>
      <c r="DJ106" s="102"/>
      <c r="DK106" s="102"/>
      <c r="DL106" s="102"/>
      <c r="DM106" s="102"/>
      <c r="DN106" s="102"/>
      <c r="DO106" s="102"/>
      <c r="DP106" s="102"/>
      <c r="DQ106" s="102"/>
      <c r="DR106" s="102"/>
      <c r="DS106" s="102"/>
      <c r="DT106" s="102"/>
      <c r="DU106" s="102"/>
      <c r="DV106" s="102"/>
      <c r="DW106" s="102"/>
      <c r="DX106" s="102"/>
      <c r="DY106" s="102"/>
      <c r="DZ106" s="102"/>
      <c r="EA106" s="102"/>
      <c r="EB106" s="102"/>
      <c r="EC106" s="102"/>
      <c r="ED106" s="102"/>
      <c r="EE106" s="102"/>
      <c r="EF106" s="102"/>
      <c r="EG106" s="102"/>
      <c r="EH106" s="102"/>
      <c r="EI106" s="102"/>
      <c r="EJ106" s="102"/>
      <c r="EK106" s="102"/>
      <c r="EL106" s="102"/>
      <c r="EM106" s="102"/>
      <c r="EN106" s="102"/>
      <c r="EO106" s="102"/>
      <c r="EP106" s="102"/>
      <c r="EQ106" s="102"/>
    </row>
    <row r="107" hidden="1">
      <c r="A107" s="110" t="s">
        <v>212</v>
      </c>
      <c r="B107" s="142" t="str">
        <f t="shared" si="1"/>
        <v>Missing</v>
      </c>
      <c r="C107" s="110">
        <v>365.0</v>
      </c>
      <c r="D107" s="110" t="s">
        <v>128</v>
      </c>
      <c r="E107" s="112"/>
      <c r="F107" s="112"/>
      <c r="G107" s="112"/>
      <c r="H107" s="112"/>
      <c r="I107" s="112"/>
      <c r="J107" s="113"/>
      <c r="K107" s="114"/>
      <c r="L107" s="116"/>
      <c r="M107" s="116"/>
      <c r="N107" s="116"/>
      <c r="O107" s="116"/>
      <c r="P107" s="116"/>
      <c r="Q107" s="116"/>
      <c r="R107" s="116"/>
      <c r="S107" s="116"/>
      <c r="T107" s="116"/>
      <c r="U107" s="116"/>
      <c r="V107" s="117"/>
      <c r="W107" s="120"/>
      <c r="X107" s="120"/>
      <c r="Y107" s="120"/>
      <c r="Z107" s="120"/>
      <c r="AA107" s="120"/>
      <c r="AB107" s="120"/>
      <c r="AC107" s="120"/>
      <c r="AD107" s="120"/>
      <c r="AE107" s="120"/>
      <c r="AF107" s="120"/>
      <c r="AG107" s="120"/>
      <c r="AH107" s="122"/>
      <c r="AI107" s="123"/>
      <c r="AJ107" s="124"/>
      <c r="AK107" s="124"/>
      <c r="AL107" s="124"/>
      <c r="AM107" s="124"/>
      <c r="AN107" s="124"/>
      <c r="AO107" s="124"/>
      <c r="AP107" s="124"/>
      <c r="AQ107" s="124"/>
      <c r="AR107" s="124"/>
      <c r="AS107" s="124"/>
      <c r="AT107" s="126"/>
      <c r="AU107" s="127"/>
      <c r="AV107" s="129"/>
      <c r="AW107" s="129"/>
      <c r="AX107" s="129"/>
      <c r="AY107" s="129"/>
      <c r="AZ107" s="129"/>
      <c r="BA107" s="129"/>
      <c r="BB107" s="129"/>
      <c r="BC107" s="129"/>
      <c r="BD107" s="129"/>
      <c r="BE107" s="129"/>
      <c r="BF107" s="130"/>
      <c r="BG107" s="129"/>
      <c r="BH107" s="129"/>
      <c r="BI107" s="129"/>
      <c r="BJ107" s="129"/>
      <c r="BK107" s="102"/>
      <c r="BL107" s="102"/>
      <c r="BM107" s="102"/>
      <c r="BN107" s="102"/>
      <c r="BO107" s="102"/>
      <c r="BP107" s="102"/>
      <c r="BQ107" s="102"/>
      <c r="BR107" s="102"/>
      <c r="BS107" s="102"/>
      <c r="BT107" s="102"/>
      <c r="BU107" s="102"/>
      <c r="BV107" s="102"/>
      <c r="BW107" s="102"/>
      <c r="BX107" s="102"/>
      <c r="BY107" s="102"/>
      <c r="BZ107" s="102"/>
      <c r="CA107" s="102"/>
      <c r="CB107" s="102"/>
      <c r="CC107" s="102"/>
      <c r="CD107" s="102"/>
      <c r="CE107" s="102"/>
      <c r="CF107" s="102"/>
      <c r="CG107" s="102"/>
      <c r="CH107" s="102"/>
      <c r="CI107" s="102"/>
      <c r="CJ107" s="102"/>
      <c r="CK107" s="102"/>
      <c r="CL107" s="102"/>
      <c r="CM107" s="102"/>
      <c r="CN107" s="102"/>
      <c r="CO107" s="102"/>
      <c r="CP107" s="102"/>
      <c r="CQ107" s="102"/>
      <c r="CR107" s="102"/>
      <c r="CS107" s="102"/>
      <c r="CT107" s="102"/>
      <c r="CU107" s="102"/>
      <c r="CV107" s="102"/>
      <c r="CW107" s="102"/>
      <c r="CX107" s="102"/>
      <c r="CY107" s="102"/>
      <c r="CZ107" s="102"/>
      <c r="DA107" s="102"/>
      <c r="DB107" s="102"/>
      <c r="DC107" s="102"/>
      <c r="DD107" s="102"/>
      <c r="DE107" s="102"/>
      <c r="DF107" s="102"/>
      <c r="DG107" s="102"/>
      <c r="DH107" s="102"/>
      <c r="DI107" s="102"/>
      <c r="DJ107" s="102"/>
      <c r="DK107" s="102"/>
      <c r="DL107" s="102"/>
      <c r="DM107" s="102"/>
      <c r="DN107" s="102"/>
      <c r="DO107" s="102"/>
      <c r="DP107" s="102"/>
      <c r="DQ107" s="102"/>
      <c r="DR107" s="102"/>
      <c r="DS107" s="102"/>
      <c r="DT107" s="102"/>
      <c r="DU107" s="102"/>
      <c r="DV107" s="102"/>
      <c r="DW107" s="102"/>
      <c r="DX107" s="102"/>
      <c r="DY107" s="102"/>
      <c r="DZ107" s="102"/>
      <c r="EA107" s="102"/>
      <c r="EB107" s="102"/>
      <c r="EC107" s="102"/>
      <c r="ED107" s="102"/>
      <c r="EE107" s="102"/>
      <c r="EF107" s="102"/>
      <c r="EG107" s="102"/>
      <c r="EH107" s="102"/>
      <c r="EI107" s="102"/>
      <c r="EJ107" s="102"/>
      <c r="EK107" s="102"/>
      <c r="EL107" s="102"/>
      <c r="EM107" s="102"/>
      <c r="EN107" s="102"/>
      <c r="EO107" s="102"/>
      <c r="EP107" s="102"/>
      <c r="EQ107" s="102"/>
    </row>
    <row r="108" hidden="1">
      <c r="A108" s="103" t="s">
        <v>213</v>
      </c>
      <c r="B108" s="131">
        <f t="shared" si="1"/>
        <v>46113</v>
      </c>
      <c r="C108" s="103">
        <v>60.0</v>
      </c>
      <c r="D108" s="103" t="s">
        <v>136</v>
      </c>
      <c r="E108" s="103" t="s">
        <v>99</v>
      </c>
      <c r="F108" s="103" t="s">
        <v>98</v>
      </c>
      <c r="G108" s="103" t="s">
        <v>99</v>
      </c>
      <c r="H108" s="103" t="s">
        <v>98</v>
      </c>
      <c r="I108" s="103" t="s">
        <v>99</v>
      </c>
      <c r="J108" s="136" t="s">
        <v>98</v>
      </c>
      <c r="K108" s="108" t="s">
        <v>99</v>
      </c>
      <c r="L108" s="103" t="s">
        <v>98</v>
      </c>
      <c r="M108" s="103" t="s">
        <v>99</v>
      </c>
      <c r="N108" s="103" t="s">
        <v>98</v>
      </c>
      <c r="O108" s="103" t="s">
        <v>99</v>
      </c>
      <c r="P108" s="103" t="s">
        <v>98</v>
      </c>
      <c r="Q108" s="103" t="s">
        <v>99</v>
      </c>
      <c r="R108" s="103" t="s">
        <v>98</v>
      </c>
      <c r="S108" s="103" t="s">
        <v>99</v>
      </c>
      <c r="T108" s="103" t="s">
        <v>98</v>
      </c>
      <c r="U108" s="103" t="s">
        <v>99</v>
      </c>
      <c r="V108" s="136" t="s">
        <v>98</v>
      </c>
      <c r="W108" s="103" t="s">
        <v>99</v>
      </c>
      <c r="X108" s="103" t="s">
        <v>99</v>
      </c>
      <c r="Y108" s="103" t="s">
        <v>98</v>
      </c>
      <c r="Z108" s="103" t="s">
        <v>99</v>
      </c>
      <c r="AA108" s="103" t="s">
        <v>99</v>
      </c>
      <c r="AB108" s="103" t="s">
        <v>98</v>
      </c>
      <c r="AC108" s="103" t="s">
        <v>99</v>
      </c>
      <c r="AD108" s="103" t="s">
        <v>99</v>
      </c>
      <c r="AE108" s="103" t="s">
        <v>99</v>
      </c>
      <c r="AF108" s="103" t="s">
        <v>96</v>
      </c>
      <c r="AG108" s="103" t="s">
        <v>97</v>
      </c>
      <c r="AH108" s="136" t="s">
        <v>99</v>
      </c>
      <c r="AI108" s="108" t="s">
        <v>96</v>
      </c>
      <c r="AJ108" s="103" t="s">
        <v>96</v>
      </c>
      <c r="AK108" s="103" t="s">
        <v>99</v>
      </c>
      <c r="AL108" s="103" t="s">
        <v>99</v>
      </c>
      <c r="AM108" s="103" t="s">
        <v>99</v>
      </c>
      <c r="AN108" s="103" t="s">
        <v>98</v>
      </c>
      <c r="AO108" s="103" t="s">
        <v>99</v>
      </c>
      <c r="AP108" s="103" t="s">
        <v>99</v>
      </c>
      <c r="AQ108" s="103" t="s">
        <v>98</v>
      </c>
      <c r="AR108" s="103" t="s">
        <v>97</v>
      </c>
      <c r="AS108" s="103" t="s">
        <v>97</v>
      </c>
      <c r="AT108" s="136" t="s">
        <v>99</v>
      </c>
      <c r="AU108" s="108" t="s">
        <v>99</v>
      </c>
      <c r="AV108" s="103" t="s">
        <v>99</v>
      </c>
      <c r="AW108" s="103" t="s">
        <v>96</v>
      </c>
      <c r="AX108" s="103" t="s">
        <v>96</v>
      </c>
      <c r="AY108" s="105"/>
      <c r="AZ108" s="105"/>
      <c r="BA108" s="105"/>
      <c r="BB108" s="105"/>
      <c r="BC108" s="105"/>
      <c r="BD108" s="105"/>
      <c r="BE108" s="105"/>
      <c r="BF108" s="106"/>
      <c r="BG108" s="105"/>
      <c r="BH108" s="105"/>
      <c r="BI108" s="105"/>
      <c r="BJ108" s="105"/>
      <c r="BK108" s="102"/>
      <c r="BL108" s="102"/>
      <c r="BM108" s="102"/>
      <c r="BN108" s="102"/>
      <c r="BO108" s="102"/>
      <c r="BP108" s="102"/>
      <c r="BQ108" s="102"/>
      <c r="BR108" s="102"/>
      <c r="BS108" s="102"/>
      <c r="BT108" s="102"/>
      <c r="BU108" s="102"/>
      <c r="BV108" s="102"/>
      <c r="BW108" s="102"/>
      <c r="BX108" s="102"/>
      <c r="BY108" s="102"/>
      <c r="BZ108" s="102"/>
      <c r="CA108" s="102"/>
      <c r="CB108" s="102"/>
      <c r="CC108" s="102"/>
      <c r="CD108" s="102"/>
      <c r="CE108" s="102"/>
      <c r="CF108" s="102"/>
      <c r="CG108" s="102"/>
      <c r="CH108" s="102"/>
      <c r="CI108" s="102"/>
      <c r="CJ108" s="102"/>
      <c r="CK108" s="102"/>
      <c r="CL108" s="102"/>
      <c r="CM108" s="102"/>
      <c r="CN108" s="102"/>
      <c r="CO108" s="102"/>
      <c r="CP108" s="102"/>
      <c r="CQ108" s="102"/>
      <c r="CR108" s="102"/>
      <c r="CS108" s="102"/>
      <c r="CT108" s="102"/>
      <c r="CU108" s="102"/>
      <c r="CV108" s="102"/>
      <c r="CW108" s="102"/>
      <c r="CX108" s="102"/>
      <c r="CY108" s="102"/>
      <c r="CZ108" s="102"/>
      <c r="DA108" s="102"/>
      <c r="DB108" s="102"/>
      <c r="DC108" s="102"/>
      <c r="DD108" s="102"/>
      <c r="DE108" s="102"/>
      <c r="DF108" s="102"/>
      <c r="DG108" s="102"/>
      <c r="DH108" s="102"/>
      <c r="DI108" s="102"/>
      <c r="DJ108" s="102"/>
      <c r="DK108" s="102"/>
      <c r="DL108" s="102"/>
      <c r="DM108" s="102"/>
      <c r="DN108" s="102"/>
      <c r="DO108" s="102"/>
      <c r="DP108" s="102"/>
      <c r="DQ108" s="102"/>
      <c r="DR108" s="102"/>
      <c r="DS108" s="102"/>
      <c r="DT108" s="102"/>
      <c r="DU108" s="102"/>
      <c r="DV108" s="102"/>
      <c r="DW108" s="102"/>
      <c r="DX108" s="102"/>
      <c r="DY108" s="102"/>
      <c r="DZ108" s="102"/>
      <c r="EA108" s="102"/>
      <c r="EB108" s="102"/>
      <c r="EC108" s="102"/>
      <c r="ED108" s="102"/>
      <c r="EE108" s="102"/>
      <c r="EF108" s="102"/>
      <c r="EG108" s="102"/>
      <c r="EH108" s="102"/>
      <c r="EI108" s="102"/>
      <c r="EJ108" s="102"/>
      <c r="EK108" s="102"/>
      <c r="EL108" s="102"/>
      <c r="EM108" s="102"/>
      <c r="EN108" s="102"/>
      <c r="EO108" s="102"/>
      <c r="EP108" s="102"/>
      <c r="EQ108" s="102"/>
    </row>
    <row r="109" hidden="1">
      <c r="A109" s="138" t="s">
        <v>214</v>
      </c>
      <c r="B109" s="111">
        <f t="shared" si="1"/>
        <v>46113</v>
      </c>
      <c r="C109" s="110">
        <v>60.0</v>
      </c>
      <c r="D109" s="110" t="s">
        <v>136</v>
      </c>
      <c r="E109" s="110" t="s">
        <v>98</v>
      </c>
      <c r="F109" s="110" t="s">
        <v>98</v>
      </c>
      <c r="G109" s="110" t="s">
        <v>98</v>
      </c>
      <c r="H109" s="110" t="s">
        <v>96</v>
      </c>
      <c r="I109" s="110" t="s">
        <v>98</v>
      </c>
      <c r="J109" s="137" t="s">
        <v>98</v>
      </c>
      <c r="K109" s="132" t="s">
        <v>98</v>
      </c>
      <c r="L109" s="115" t="s">
        <v>98</v>
      </c>
      <c r="M109" s="115" t="s">
        <v>98</v>
      </c>
      <c r="N109" s="115" t="s">
        <v>98</v>
      </c>
      <c r="O109" s="115" t="s">
        <v>98</v>
      </c>
      <c r="P109" s="115" t="s">
        <v>98</v>
      </c>
      <c r="Q109" s="115" t="s">
        <v>98</v>
      </c>
      <c r="R109" s="115" t="s">
        <v>98</v>
      </c>
      <c r="S109" s="115" t="s">
        <v>99</v>
      </c>
      <c r="T109" s="115" t="s">
        <v>98</v>
      </c>
      <c r="U109" s="115" t="s">
        <v>98</v>
      </c>
      <c r="V109" s="115" t="s">
        <v>98</v>
      </c>
      <c r="W109" s="121" t="s">
        <v>99</v>
      </c>
      <c r="X109" s="121" t="s">
        <v>99</v>
      </c>
      <c r="Y109" s="121" t="s">
        <v>98</v>
      </c>
      <c r="Z109" s="121" t="s">
        <v>99</v>
      </c>
      <c r="AA109" s="121" t="s">
        <v>99</v>
      </c>
      <c r="AB109" s="121" t="s">
        <v>98</v>
      </c>
      <c r="AC109" s="121" t="s">
        <v>99</v>
      </c>
      <c r="AD109" s="121" t="s">
        <v>99</v>
      </c>
      <c r="AE109" s="121" t="s">
        <v>96</v>
      </c>
      <c r="AF109" s="121" t="s">
        <v>98</v>
      </c>
      <c r="AG109" s="121" t="s">
        <v>98</v>
      </c>
      <c r="AH109" s="140" t="s">
        <v>99</v>
      </c>
      <c r="AI109" s="134" t="s">
        <v>98</v>
      </c>
      <c r="AJ109" s="125" t="s">
        <v>98</v>
      </c>
      <c r="AK109" s="125" t="s">
        <v>99</v>
      </c>
      <c r="AL109" s="125" t="s">
        <v>99</v>
      </c>
      <c r="AM109" s="125" t="s">
        <v>99</v>
      </c>
      <c r="AN109" s="125" t="s">
        <v>97</v>
      </c>
      <c r="AO109" s="125" t="s">
        <v>99</v>
      </c>
      <c r="AP109" s="125" t="s">
        <v>99</v>
      </c>
      <c r="AQ109" s="125" t="s">
        <v>96</v>
      </c>
      <c r="AR109" s="125" t="s">
        <v>98</v>
      </c>
      <c r="AS109" s="125" t="s">
        <v>97</v>
      </c>
      <c r="AT109" s="133" t="s">
        <v>97</v>
      </c>
      <c r="AU109" s="135" t="s">
        <v>99</v>
      </c>
      <c r="AV109" s="128" t="s">
        <v>99</v>
      </c>
      <c r="AW109" s="128" t="s">
        <v>97</v>
      </c>
      <c r="AX109" s="128" t="s">
        <v>97</v>
      </c>
      <c r="AY109" s="129"/>
      <c r="AZ109" s="129"/>
      <c r="BA109" s="129"/>
      <c r="BB109" s="129"/>
      <c r="BC109" s="129"/>
      <c r="BD109" s="129"/>
      <c r="BE109" s="129"/>
      <c r="BF109" s="130"/>
      <c r="BG109" s="129"/>
      <c r="BH109" s="129"/>
      <c r="BI109" s="129"/>
      <c r="BJ109" s="129"/>
      <c r="BK109" s="102"/>
      <c r="BL109" s="102"/>
      <c r="BM109" s="102"/>
      <c r="BN109" s="102"/>
      <c r="BO109" s="102"/>
      <c r="BP109" s="102"/>
      <c r="BQ109" s="102"/>
      <c r="BR109" s="102"/>
      <c r="BS109" s="102"/>
      <c r="BT109" s="102"/>
      <c r="BU109" s="102"/>
      <c r="BV109" s="102"/>
      <c r="BW109" s="102"/>
      <c r="BX109" s="102"/>
      <c r="BY109" s="102"/>
      <c r="BZ109" s="102"/>
      <c r="CA109" s="102"/>
      <c r="CB109" s="102"/>
      <c r="CC109" s="102"/>
      <c r="CD109" s="102"/>
      <c r="CE109" s="102"/>
      <c r="CF109" s="102"/>
      <c r="CG109" s="102"/>
      <c r="CH109" s="102"/>
      <c r="CI109" s="102"/>
      <c r="CJ109" s="102"/>
      <c r="CK109" s="102"/>
      <c r="CL109" s="102"/>
      <c r="CM109" s="102"/>
      <c r="CN109" s="102"/>
      <c r="CO109" s="102"/>
      <c r="CP109" s="102"/>
      <c r="CQ109" s="102"/>
      <c r="CR109" s="102"/>
      <c r="CS109" s="102"/>
      <c r="CT109" s="102"/>
      <c r="CU109" s="102"/>
      <c r="CV109" s="102"/>
      <c r="CW109" s="102"/>
      <c r="CX109" s="102"/>
      <c r="CY109" s="102"/>
      <c r="CZ109" s="102"/>
      <c r="DA109" s="102"/>
      <c r="DB109" s="102"/>
      <c r="DC109" s="102"/>
      <c r="DD109" s="102"/>
      <c r="DE109" s="102"/>
      <c r="DF109" s="102"/>
      <c r="DG109" s="102"/>
      <c r="DH109" s="102"/>
      <c r="DI109" s="102"/>
      <c r="DJ109" s="102"/>
      <c r="DK109" s="102"/>
      <c r="DL109" s="102"/>
      <c r="DM109" s="102"/>
      <c r="DN109" s="102"/>
      <c r="DO109" s="102"/>
      <c r="DP109" s="102"/>
      <c r="DQ109" s="102"/>
      <c r="DR109" s="102"/>
      <c r="DS109" s="102"/>
      <c r="DT109" s="102"/>
      <c r="DU109" s="102"/>
      <c r="DV109" s="102"/>
      <c r="DW109" s="102"/>
      <c r="DX109" s="102"/>
      <c r="DY109" s="102"/>
      <c r="DZ109" s="102"/>
      <c r="EA109" s="102"/>
      <c r="EB109" s="102"/>
      <c r="EC109" s="102"/>
      <c r="ED109" s="102"/>
      <c r="EE109" s="102"/>
      <c r="EF109" s="102"/>
      <c r="EG109" s="102"/>
      <c r="EH109" s="102"/>
      <c r="EI109" s="102"/>
      <c r="EJ109" s="102"/>
      <c r="EK109" s="102"/>
      <c r="EL109" s="102"/>
      <c r="EM109" s="102"/>
      <c r="EN109" s="102"/>
      <c r="EO109" s="102"/>
      <c r="EP109" s="102"/>
      <c r="EQ109" s="102"/>
    </row>
    <row r="110" hidden="1">
      <c r="A110" s="103" t="s">
        <v>215</v>
      </c>
      <c r="B110" s="131">
        <f t="shared" si="1"/>
        <v>46113</v>
      </c>
      <c r="C110" s="103">
        <v>60.0</v>
      </c>
      <c r="D110" s="103" t="s">
        <v>136</v>
      </c>
      <c r="E110" s="103" t="s">
        <v>98</v>
      </c>
      <c r="F110" s="103" t="s">
        <v>99</v>
      </c>
      <c r="G110" s="103" t="s">
        <v>99</v>
      </c>
      <c r="H110" s="103" t="s">
        <v>96</v>
      </c>
      <c r="I110" s="103" t="s">
        <v>98</v>
      </c>
      <c r="J110" s="136" t="s">
        <v>99</v>
      </c>
      <c r="K110" s="108" t="s">
        <v>98</v>
      </c>
      <c r="L110" s="103" t="s">
        <v>99</v>
      </c>
      <c r="M110" s="103" t="s">
        <v>99</v>
      </c>
      <c r="N110" s="103" t="s">
        <v>98</v>
      </c>
      <c r="O110" s="103" t="s">
        <v>99</v>
      </c>
      <c r="P110" s="103" t="s">
        <v>99</v>
      </c>
      <c r="Q110" s="103" t="s">
        <v>96</v>
      </c>
      <c r="R110" s="103" t="s">
        <v>99</v>
      </c>
      <c r="S110" s="103" t="s">
        <v>99</v>
      </c>
      <c r="T110" s="103" t="s">
        <v>98</v>
      </c>
      <c r="U110" s="103" t="s">
        <v>99</v>
      </c>
      <c r="V110" s="136" t="s">
        <v>99</v>
      </c>
      <c r="W110" s="108" t="s">
        <v>99</v>
      </c>
      <c r="X110" s="103" t="s">
        <v>99</v>
      </c>
      <c r="Y110" s="103" t="s">
        <v>96</v>
      </c>
      <c r="Z110" s="103" t="s">
        <v>99</v>
      </c>
      <c r="AA110" s="103" t="s">
        <v>99</v>
      </c>
      <c r="AB110" s="103" t="s">
        <v>99</v>
      </c>
      <c r="AC110" s="103" t="s">
        <v>98</v>
      </c>
      <c r="AD110" s="103" t="s">
        <v>99</v>
      </c>
      <c r="AE110" s="103" t="s">
        <v>99</v>
      </c>
      <c r="AF110" s="103" t="s">
        <v>98</v>
      </c>
      <c r="AG110" s="103" t="s">
        <v>98</v>
      </c>
      <c r="AH110" s="136" t="s">
        <v>99</v>
      </c>
      <c r="AI110" s="108" t="s">
        <v>99</v>
      </c>
      <c r="AJ110" s="103" t="s">
        <v>98</v>
      </c>
      <c r="AK110" s="103" t="s">
        <v>99</v>
      </c>
      <c r="AL110" s="103" t="s">
        <v>99</v>
      </c>
      <c r="AM110" s="103" t="s">
        <v>99</v>
      </c>
      <c r="AN110" s="103" t="s">
        <v>96</v>
      </c>
      <c r="AO110" s="103" t="s">
        <v>99</v>
      </c>
      <c r="AP110" s="103" t="s">
        <v>99</v>
      </c>
      <c r="AQ110" s="103" t="s">
        <v>99</v>
      </c>
      <c r="AR110" s="103" t="s">
        <v>99</v>
      </c>
      <c r="AS110" s="103" t="s">
        <v>97</v>
      </c>
      <c r="AT110" s="136" t="s">
        <v>98</v>
      </c>
      <c r="AU110" s="108" t="s">
        <v>99</v>
      </c>
      <c r="AV110" s="103" t="s">
        <v>98</v>
      </c>
      <c r="AW110" s="103" t="s">
        <v>96</v>
      </c>
      <c r="AX110" s="103" t="s">
        <v>98</v>
      </c>
      <c r="AY110" s="105"/>
      <c r="AZ110" s="105"/>
      <c r="BA110" s="105"/>
      <c r="BB110" s="105"/>
      <c r="BC110" s="105"/>
      <c r="BD110" s="105"/>
      <c r="BE110" s="105"/>
      <c r="BF110" s="106"/>
      <c r="BG110" s="105"/>
      <c r="BH110" s="105"/>
      <c r="BI110" s="105"/>
      <c r="BJ110" s="105"/>
      <c r="BK110" s="102"/>
      <c r="BL110" s="102"/>
      <c r="BM110" s="102"/>
      <c r="BN110" s="102"/>
      <c r="BO110" s="102"/>
      <c r="BP110" s="102"/>
      <c r="BQ110" s="102"/>
      <c r="BR110" s="102"/>
      <c r="BS110" s="102"/>
      <c r="BT110" s="102"/>
      <c r="BU110" s="102"/>
      <c r="BV110" s="102"/>
      <c r="BW110" s="102"/>
      <c r="BX110" s="102"/>
      <c r="BY110" s="102"/>
      <c r="BZ110" s="102"/>
      <c r="CA110" s="102"/>
      <c r="CB110" s="102"/>
      <c r="CC110" s="102"/>
      <c r="CD110" s="102"/>
      <c r="CE110" s="102"/>
      <c r="CF110" s="102"/>
      <c r="CG110" s="102"/>
      <c r="CH110" s="102"/>
      <c r="CI110" s="102"/>
      <c r="CJ110" s="102"/>
      <c r="CK110" s="102"/>
      <c r="CL110" s="102"/>
      <c r="CM110" s="102"/>
      <c r="CN110" s="102"/>
      <c r="CO110" s="102"/>
      <c r="CP110" s="102"/>
      <c r="CQ110" s="102"/>
      <c r="CR110" s="102"/>
      <c r="CS110" s="102"/>
      <c r="CT110" s="102"/>
      <c r="CU110" s="102"/>
      <c r="CV110" s="102"/>
      <c r="CW110" s="102"/>
      <c r="CX110" s="102"/>
      <c r="CY110" s="102"/>
      <c r="CZ110" s="102"/>
      <c r="DA110" s="102"/>
      <c r="DB110" s="102"/>
      <c r="DC110" s="102"/>
      <c r="DD110" s="102"/>
      <c r="DE110" s="102"/>
      <c r="DF110" s="102"/>
      <c r="DG110" s="102"/>
      <c r="DH110" s="102"/>
      <c r="DI110" s="102"/>
      <c r="DJ110" s="102"/>
      <c r="DK110" s="102"/>
      <c r="DL110" s="102"/>
      <c r="DM110" s="102"/>
      <c r="DN110" s="102"/>
      <c r="DO110" s="102"/>
      <c r="DP110" s="102"/>
      <c r="DQ110" s="102"/>
      <c r="DR110" s="102"/>
      <c r="DS110" s="102"/>
      <c r="DT110" s="102"/>
      <c r="DU110" s="102"/>
      <c r="DV110" s="102"/>
      <c r="DW110" s="102"/>
      <c r="DX110" s="102"/>
      <c r="DY110" s="102"/>
      <c r="DZ110" s="102"/>
      <c r="EA110" s="102"/>
      <c r="EB110" s="102"/>
      <c r="EC110" s="102"/>
      <c r="ED110" s="102"/>
      <c r="EE110" s="102"/>
      <c r="EF110" s="102"/>
      <c r="EG110" s="102"/>
      <c r="EH110" s="102"/>
      <c r="EI110" s="102"/>
      <c r="EJ110" s="102"/>
      <c r="EK110" s="102"/>
      <c r="EL110" s="102"/>
      <c r="EM110" s="102"/>
      <c r="EN110" s="102"/>
      <c r="EO110" s="102"/>
      <c r="EP110" s="102"/>
      <c r="EQ110" s="102"/>
    </row>
    <row r="111" hidden="1">
      <c r="A111" s="110" t="s">
        <v>216</v>
      </c>
      <c r="B111" s="111">
        <f t="shared" si="1"/>
        <v>46113</v>
      </c>
      <c r="C111" s="110">
        <v>210.0</v>
      </c>
      <c r="D111" s="110" t="s">
        <v>95</v>
      </c>
      <c r="E111" s="110" t="s">
        <v>96</v>
      </c>
      <c r="F111" s="112"/>
      <c r="G111" s="112"/>
      <c r="H111" s="112"/>
      <c r="I111" s="112"/>
      <c r="J111" s="113"/>
      <c r="K111" s="132" t="s">
        <v>97</v>
      </c>
      <c r="L111" s="115" t="s">
        <v>98</v>
      </c>
      <c r="M111" s="116"/>
      <c r="N111" s="116"/>
      <c r="O111" s="116"/>
      <c r="P111" s="116"/>
      <c r="Q111" s="116"/>
      <c r="R111" s="115" t="s">
        <v>99</v>
      </c>
      <c r="S111" s="115" t="s">
        <v>99</v>
      </c>
      <c r="T111" s="116"/>
      <c r="U111" s="116"/>
      <c r="V111" s="117"/>
      <c r="W111" s="118"/>
      <c r="X111" s="121" t="s">
        <v>99</v>
      </c>
      <c r="Y111" s="120"/>
      <c r="Z111" s="120"/>
      <c r="AA111" s="120"/>
      <c r="AB111" s="120"/>
      <c r="AC111" s="121" t="s">
        <v>97</v>
      </c>
      <c r="AD111" s="120"/>
      <c r="AE111" s="121" t="s">
        <v>96</v>
      </c>
      <c r="AF111" s="120"/>
      <c r="AG111" s="120"/>
      <c r="AH111" s="122"/>
      <c r="AI111" s="123"/>
      <c r="AJ111" s="124"/>
      <c r="AK111" s="124"/>
      <c r="AL111" s="125" t="s">
        <v>99</v>
      </c>
      <c r="AM111" s="124"/>
      <c r="AN111" s="125" t="s">
        <v>96</v>
      </c>
      <c r="AO111" s="124"/>
      <c r="AP111" s="124"/>
      <c r="AQ111" s="125" t="s">
        <v>97</v>
      </c>
      <c r="AR111" s="125" t="s">
        <v>97</v>
      </c>
      <c r="AS111" s="124"/>
      <c r="AT111" s="126"/>
      <c r="AU111" s="127"/>
      <c r="AV111" s="129"/>
      <c r="AW111" s="129"/>
      <c r="AX111" s="128" t="s">
        <v>106</v>
      </c>
      <c r="AY111" s="129"/>
      <c r="AZ111" s="129"/>
      <c r="BA111" s="129"/>
      <c r="BB111" s="129"/>
      <c r="BC111" s="129"/>
      <c r="BD111" s="129"/>
      <c r="BE111" s="129"/>
      <c r="BF111" s="130"/>
      <c r="BG111" s="129"/>
      <c r="BH111" s="129"/>
      <c r="BI111" s="129"/>
      <c r="BJ111" s="129"/>
      <c r="BK111" s="102"/>
      <c r="BL111" s="102"/>
      <c r="BM111" s="102"/>
      <c r="BN111" s="102"/>
      <c r="BO111" s="102"/>
      <c r="BP111" s="102"/>
      <c r="BQ111" s="102"/>
      <c r="BR111" s="102"/>
      <c r="BS111" s="102"/>
      <c r="BT111" s="102"/>
      <c r="BU111" s="102"/>
      <c r="BV111" s="102"/>
      <c r="BW111" s="102"/>
      <c r="BX111" s="102"/>
      <c r="BY111" s="102"/>
      <c r="BZ111" s="102"/>
      <c r="CA111" s="102"/>
      <c r="CB111" s="102"/>
      <c r="CC111" s="102"/>
      <c r="CD111" s="102"/>
      <c r="CE111" s="102"/>
      <c r="CF111" s="102"/>
      <c r="CG111" s="102"/>
      <c r="CH111" s="102"/>
      <c r="CI111" s="102"/>
      <c r="CJ111" s="102"/>
      <c r="CK111" s="102"/>
      <c r="CL111" s="102"/>
      <c r="CM111" s="102"/>
      <c r="CN111" s="102"/>
      <c r="CO111" s="102"/>
      <c r="CP111" s="102"/>
      <c r="CQ111" s="102"/>
      <c r="CR111" s="102"/>
      <c r="CS111" s="102"/>
      <c r="CT111" s="102"/>
      <c r="CU111" s="102"/>
      <c r="CV111" s="102"/>
      <c r="CW111" s="102"/>
      <c r="CX111" s="102"/>
      <c r="CY111" s="102"/>
      <c r="CZ111" s="102"/>
      <c r="DA111" s="102"/>
      <c r="DB111" s="102"/>
      <c r="DC111" s="102"/>
      <c r="DD111" s="102"/>
      <c r="DE111" s="102"/>
      <c r="DF111" s="102"/>
      <c r="DG111" s="102"/>
      <c r="DH111" s="102"/>
      <c r="DI111" s="102"/>
      <c r="DJ111" s="102"/>
      <c r="DK111" s="102"/>
      <c r="DL111" s="102"/>
      <c r="DM111" s="102"/>
      <c r="DN111" s="102"/>
      <c r="DO111" s="102"/>
      <c r="DP111" s="102"/>
      <c r="DQ111" s="102"/>
      <c r="DR111" s="102"/>
      <c r="DS111" s="102"/>
      <c r="DT111" s="102"/>
      <c r="DU111" s="102"/>
      <c r="DV111" s="102"/>
      <c r="DW111" s="102"/>
      <c r="DX111" s="102"/>
      <c r="DY111" s="102"/>
      <c r="DZ111" s="102"/>
      <c r="EA111" s="102"/>
      <c r="EB111" s="102"/>
      <c r="EC111" s="102"/>
      <c r="ED111" s="102"/>
      <c r="EE111" s="102"/>
      <c r="EF111" s="102"/>
      <c r="EG111" s="102"/>
      <c r="EH111" s="102"/>
      <c r="EI111" s="102"/>
      <c r="EJ111" s="102"/>
      <c r="EK111" s="102"/>
      <c r="EL111" s="102"/>
      <c r="EM111" s="102"/>
      <c r="EN111" s="102"/>
      <c r="EO111" s="102"/>
      <c r="EP111" s="102"/>
      <c r="EQ111" s="102"/>
    </row>
    <row r="112" hidden="1">
      <c r="A112" s="103" t="s">
        <v>217</v>
      </c>
      <c r="B112" s="131">
        <f t="shared" si="1"/>
        <v>46113</v>
      </c>
      <c r="C112" s="103">
        <v>365.0</v>
      </c>
      <c r="D112" s="103" t="s">
        <v>128</v>
      </c>
      <c r="E112" s="105"/>
      <c r="F112" s="105"/>
      <c r="G112" s="105"/>
      <c r="H112" s="105"/>
      <c r="I112" s="105"/>
      <c r="J112" s="106"/>
      <c r="K112" s="107"/>
      <c r="L112" s="105"/>
      <c r="M112" s="105"/>
      <c r="N112" s="105"/>
      <c r="O112" s="105"/>
      <c r="P112" s="105"/>
      <c r="Q112" s="105"/>
      <c r="R112" s="105"/>
      <c r="S112" s="105"/>
      <c r="T112" s="105"/>
      <c r="U112" s="105"/>
      <c r="V112" s="106"/>
      <c r="W112" s="105"/>
      <c r="X112" s="105"/>
      <c r="Y112" s="105"/>
      <c r="Z112" s="105"/>
      <c r="AA112" s="105"/>
      <c r="AB112" s="105"/>
      <c r="AC112" s="105"/>
      <c r="AD112" s="105"/>
      <c r="AE112" s="105"/>
      <c r="AF112" s="103" t="s">
        <v>98</v>
      </c>
      <c r="AG112" s="105"/>
      <c r="AH112" s="106"/>
      <c r="AI112" s="107"/>
      <c r="AJ112" s="105"/>
      <c r="AK112" s="105"/>
      <c r="AL112" s="105"/>
      <c r="AM112" s="105"/>
      <c r="AN112" s="105"/>
      <c r="AO112" s="105"/>
      <c r="AP112" s="105"/>
      <c r="AQ112" s="105"/>
      <c r="AR112" s="103" t="s">
        <v>98</v>
      </c>
      <c r="AS112" s="105"/>
      <c r="AT112" s="106"/>
      <c r="AU112" s="107"/>
      <c r="AV112" s="103" t="s">
        <v>96</v>
      </c>
      <c r="AW112" s="103" t="s">
        <v>97</v>
      </c>
      <c r="AX112" s="103" t="s">
        <v>106</v>
      </c>
      <c r="AY112" s="105"/>
      <c r="AZ112" s="105"/>
      <c r="BA112" s="105"/>
      <c r="BB112" s="105"/>
      <c r="BC112" s="105"/>
      <c r="BD112" s="105"/>
      <c r="BE112" s="105"/>
      <c r="BF112" s="106"/>
      <c r="BG112" s="105"/>
      <c r="BH112" s="105"/>
      <c r="BI112" s="105"/>
      <c r="BJ112" s="105"/>
      <c r="BK112" s="102"/>
      <c r="BL112" s="102"/>
      <c r="BM112" s="102"/>
      <c r="BN112" s="102"/>
      <c r="BO112" s="102"/>
      <c r="BP112" s="102"/>
      <c r="BQ112" s="102"/>
      <c r="BR112" s="102"/>
      <c r="BS112" s="102"/>
      <c r="BT112" s="102"/>
      <c r="BU112" s="102"/>
      <c r="BV112" s="102"/>
      <c r="BW112" s="102"/>
      <c r="BX112" s="102"/>
      <c r="BY112" s="102"/>
      <c r="BZ112" s="102"/>
      <c r="CA112" s="102"/>
      <c r="CB112" s="102"/>
      <c r="CC112" s="102"/>
      <c r="CD112" s="102"/>
      <c r="CE112" s="102"/>
      <c r="CF112" s="102"/>
      <c r="CG112" s="102"/>
      <c r="CH112" s="102"/>
      <c r="CI112" s="102"/>
      <c r="CJ112" s="102"/>
      <c r="CK112" s="102"/>
      <c r="CL112" s="102"/>
      <c r="CM112" s="102"/>
      <c r="CN112" s="102"/>
      <c r="CO112" s="102"/>
      <c r="CP112" s="102"/>
      <c r="CQ112" s="102"/>
      <c r="CR112" s="102"/>
      <c r="CS112" s="102"/>
      <c r="CT112" s="102"/>
      <c r="CU112" s="102"/>
      <c r="CV112" s="102"/>
      <c r="CW112" s="102"/>
      <c r="CX112" s="102"/>
      <c r="CY112" s="102"/>
      <c r="CZ112" s="102"/>
      <c r="DA112" s="102"/>
      <c r="DB112" s="102"/>
      <c r="DC112" s="102"/>
      <c r="DD112" s="102"/>
      <c r="DE112" s="102"/>
      <c r="DF112" s="102"/>
      <c r="DG112" s="102"/>
      <c r="DH112" s="102"/>
      <c r="DI112" s="102"/>
      <c r="DJ112" s="102"/>
      <c r="DK112" s="102"/>
      <c r="DL112" s="102"/>
      <c r="DM112" s="102"/>
      <c r="DN112" s="102"/>
      <c r="DO112" s="102"/>
      <c r="DP112" s="102"/>
      <c r="DQ112" s="102"/>
      <c r="DR112" s="102"/>
      <c r="DS112" s="102"/>
      <c r="DT112" s="102"/>
      <c r="DU112" s="102"/>
      <c r="DV112" s="102"/>
      <c r="DW112" s="102"/>
      <c r="DX112" s="102"/>
      <c r="DY112" s="102"/>
      <c r="DZ112" s="102"/>
      <c r="EA112" s="102"/>
      <c r="EB112" s="102"/>
      <c r="EC112" s="102"/>
      <c r="ED112" s="102"/>
      <c r="EE112" s="102"/>
      <c r="EF112" s="102"/>
      <c r="EG112" s="102"/>
      <c r="EH112" s="102"/>
      <c r="EI112" s="102"/>
      <c r="EJ112" s="102"/>
      <c r="EK112" s="102"/>
      <c r="EL112" s="102"/>
      <c r="EM112" s="102"/>
      <c r="EN112" s="102"/>
      <c r="EO112" s="102"/>
      <c r="EP112" s="102"/>
      <c r="EQ112" s="102"/>
    </row>
    <row r="113" hidden="1">
      <c r="A113" s="110" t="s">
        <v>218</v>
      </c>
      <c r="B113" s="111">
        <f t="shared" si="1"/>
        <v>46082</v>
      </c>
      <c r="C113" s="110">
        <v>365.0</v>
      </c>
      <c r="D113" s="110" t="s">
        <v>128</v>
      </c>
      <c r="E113" s="112"/>
      <c r="F113" s="112"/>
      <c r="G113" s="112"/>
      <c r="H113" s="112"/>
      <c r="I113" s="112"/>
      <c r="J113" s="113"/>
      <c r="K113" s="114"/>
      <c r="L113" s="116"/>
      <c r="M113" s="116"/>
      <c r="N113" s="116"/>
      <c r="O113" s="116"/>
      <c r="P113" s="116"/>
      <c r="Q113" s="116"/>
      <c r="R113" s="116"/>
      <c r="S113" s="116"/>
      <c r="T113" s="116"/>
      <c r="U113" s="116"/>
      <c r="V113" s="117"/>
      <c r="W113" s="120"/>
      <c r="X113" s="120"/>
      <c r="Y113" s="120"/>
      <c r="Z113" s="120"/>
      <c r="AA113" s="120"/>
      <c r="AB113" s="120"/>
      <c r="AC113" s="120"/>
      <c r="AD113" s="120"/>
      <c r="AE113" s="120"/>
      <c r="AF113" s="121" t="s">
        <v>98</v>
      </c>
      <c r="AG113" s="120"/>
      <c r="AH113" s="122"/>
      <c r="AI113" s="123"/>
      <c r="AJ113" s="124"/>
      <c r="AK113" s="124"/>
      <c r="AL113" s="124"/>
      <c r="AM113" s="124"/>
      <c r="AN113" s="124"/>
      <c r="AO113" s="124"/>
      <c r="AP113" s="124"/>
      <c r="AQ113" s="124"/>
      <c r="AR113" s="125" t="s">
        <v>98</v>
      </c>
      <c r="AS113" s="124"/>
      <c r="AT113" s="126"/>
      <c r="AU113" s="127"/>
      <c r="AV113" s="128" t="s">
        <v>96</v>
      </c>
      <c r="AW113" s="128" t="s">
        <v>98</v>
      </c>
      <c r="AX113" s="129"/>
      <c r="AY113" s="129"/>
      <c r="AZ113" s="129"/>
      <c r="BA113" s="129"/>
      <c r="BB113" s="129"/>
      <c r="BC113" s="129"/>
      <c r="BD113" s="129"/>
      <c r="BE113" s="129"/>
      <c r="BF113" s="130"/>
      <c r="BG113" s="129"/>
      <c r="BH113" s="129"/>
      <c r="BI113" s="129"/>
      <c r="BJ113" s="129"/>
      <c r="BK113" s="102"/>
      <c r="BL113" s="102"/>
      <c r="BM113" s="102"/>
      <c r="BN113" s="102"/>
      <c r="BO113" s="102"/>
      <c r="BP113" s="102"/>
      <c r="BQ113" s="102"/>
      <c r="BR113" s="102"/>
      <c r="BS113" s="102"/>
      <c r="BT113" s="102"/>
      <c r="BU113" s="102"/>
      <c r="BV113" s="102"/>
      <c r="BW113" s="102"/>
      <c r="BX113" s="102"/>
      <c r="BY113" s="102"/>
      <c r="BZ113" s="102"/>
      <c r="CA113" s="102"/>
      <c r="CB113" s="102"/>
      <c r="CC113" s="102"/>
      <c r="CD113" s="102"/>
      <c r="CE113" s="102"/>
      <c r="CF113" s="102"/>
      <c r="CG113" s="102"/>
      <c r="CH113" s="102"/>
      <c r="CI113" s="102"/>
      <c r="CJ113" s="102"/>
      <c r="CK113" s="102"/>
      <c r="CL113" s="102"/>
      <c r="CM113" s="102"/>
      <c r="CN113" s="102"/>
      <c r="CO113" s="102"/>
      <c r="CP113" s="102"/>
      <c r="CQ113" s="102"/>
      <c r="CR113" s="102"/>
      <c r="CS113" s="102"/>
      <c r="CT113" s="102"/>
      <c r="CU113" s="102"/>
      <c r="CV113" s="102"/>
      <c r="CW113" s="102"/>
      <c r="CX113" s="102"/>
      <c r="CY113" s="102"/>
      <c r="CZ113" s="102"/>
      <c r="DA113" s="102"/>
      <c r="DB113" s="102"/>
      <c r="DC113" s="102"/>
      <c r="DD113" s="102"/>
      <c r="DE113" s="102"/>
      <c r="DF113" s="102"/>
      <c r="DG113" s="102"/>
      <c r="DH113" s="102"/>
      <c r="DI113" s="102"/>
      <c r="DJ113" s="102"/>
      <c r="DK113" s="102"/>
      <c r="DL113" s="102"/>
      <c r="DM113" s="102"/>
      <c r="DN113" s="102"/>
      <c r="DO113" s="102"/>
      <c r="DP113" s="102"/>
      <c r="DQ113" s="102"/>
      <c r="DR113" s="102"/>
      <c r="DS113" s="102"/>
      <c r="DT113" s="102"/>
      <c r="DU113" s="102"/>
      <c r="DV113" s="102"/>
      <c r="DW113" s="102"/>
      <c r="DX113" s="102"/>
      <c r="DY113" s="102"/>
      <c r="DZ113" s="102"/>
      <c r="EA113" s="102"/>
      <c r="EB113" s="102"/>
      <c r="EC113" s="102"/>
      <c r="ED113" s="102"/>
      <c r="EE113" s="102"/>
      <c r="EF113" s="102"/>
      <c r="EG113" s="102"/>
      <c r="EH113" s="102"/>
      <c r="EI113" s="102"/>
      <c r="EJ113" s="102"/>
      <c r="EK113" s="102"/>
      <c r="EL113" s="102"/>
      <c r="EM113" s="102"/>
      <c r="EN113" s="102"/>
      <c r="EO113" s="102"/>
      <c r="EP113" s="102"/>
      <c r="EQ113" s="102"/>
    </row>
    <row r="114" hidden="1">
      <c r="A114" s="103" t="s">
        <v>219</v>
      </c>
      <c r="B114" s="131">
        <f t="shared" si="1"/>
        <v>46082</v>
      </c>
      <c r="C114" s="103">
        <v>365.0</v>
      </c>
      <c r="D114" s="103" t="s">
        <v>128</v>
      </c>
      <c r="E114" s="105"/>
      <c r="F114" s="105"/>
      <c r="G114" s="105"/>
      <c r="H114" s="105"/>
      <c r="I114" s="105"/>
      <c r="J114" s="106"/>
      <c r="K114" s="107"/>
      <c r="L114" s="105"/>
      <c r="M114" s="105"/>
      <c r="N114" s="105"/>
      <c r="O114" s="105"/>
      <c r="P114" s="105"/>
      <c r="Q114" s="105"/>
      <c r="R114" s="105"/>
      <c r="S114" s="105"/>
      <c r="T114" s="105"/>
      <c r="U114" s="105"/>
      <c r="V114" s="106"/>
      <c r="W114" s="105"/>
      <c r="X114" s="105"/>
      <c r="Y114" s="105"/>
      <c r="Z114" s="105"/>
      <c r="AA114" s="105"/>
      <c r="AB114" s="105"/>
      <c r="AC114" s="105"/>
      <c r="AD114" s="105"/>
      <c r="AE114" s="105"/>
      <c r="AF114" s="103" t="s">
        <v>98</v>
      </c>
      <c r="AG114" s="105"/>
      <c r="AH114" s="106"/>
      <c r="AI114" s="107"/>
      <c r="AJ114" s="105"/>
      <c r="AK114" s="105"/>
      <c r="AL114" s="105"/>
      <c r="AM114" s="105"/>
      <c r="AN114" s="105"/>
      <c r="AO114" s="105"/>
      <c r="AP114" s="105"/>
      <c r="AQ114" s="105"/>
      <c r="AR114" s="103" t="s">
        <v>97</v>
      </c>
      <c r="AS114" s="105"/>
      <c r="AT114" s="106"/>
      <c r="AU114" s="107"/>
      <c r="AV114" s="103" t="s">
        <v>98</v>
      </c>
      <c r="AW114" s="103" t="s">
        <v>98</v>
      </c>
      <c r="AX114" s="105"/>
      <c r="AY114" s="105"/>
      <c r="AZ114" s="105"/>
      <c r="BA114" s="105"/>
      <c r="BB114" s="105"/>
      <c r="BC114" s="105"/>
      <c r="BD114" s="105"/>
      <c r="BE114" s="105"/>
      <c r="BF114" s="106"/>
      <c r="BG114" s="105"/>
      <c r="BH114" s="105"/>
      <c r="BI114" s="105"/>
      <c r="BJ114" s="105"/>
      <c r="BK114" s="102"/>
      <c r="BL114" s="102"/>
      <c r="BM114" s="102"/>
      <c r="BN114" s="102"/>
      <c r="BO114" s="102"/>
      <c r="BP114" s="102"/>
      <c r="BQ114" s="102"/>
      <c r="BR114" s="102"/>
      <c r="BS114" s="102"/>
      <c r="BT114" s="102"/>
      <c r="BU114" s="102"/>
      <c r="BV114" s="102"/>
      <c r="BW114" s="102"/>
      <c r="BX114" s="102"/>
      <c r="BY114" s="102"/>
      <c r="BZ114" s="102"/>
      <c r="CA114" s="102"/>
      <c r="CB114" s="102"/>
      <c r="CC114" s="102"/>
      <c r="CD114" s="102"/>
      <c r="CE114" s="102"/>
      <c r="CF114" s="102"/>
      <c r="CG114" s="102"/>
      <c r="CH114" s="102"/>
      <c r="CI114" s="102"/>
      <c r="CJ114" s="102"/>
      <c r="CK114" s="102"/>
      <c r="CL114" s="102"/>
      <c r="CM114" s="102"/>
      <c r="CN114" s="102"/>
      <c r="CO114" s="102"/>
      <c r="CP114" s="102"/>
      <c r="CQ114" s="102"/>
      <c r="CR114" s="102"/>
      <c r="CS114" s="102"/>
      <c r="CT114" s="102"/>
      <c r="CU114" s="102"/>
      <c r="CV114" s="102"/>
      <c r="CW114" s="102"/>
      <c r="CX114" s="102"/>
      <c r="CY114" s="102"/>
      <c r="CZ114" s="102"/>
      <c r="DA114" s="102"/>
      <c r="DB114" s="102"/>
      <c r="DC114" s="102"/>
      <c r="DD114" s="102"/>
      <c r="DE114" s="102"/>
      <c r="DF114" s="102"/>
      <c r="DG114" s="102"/>
      <c r="DH114" s="102"/>
      <c r="DI114" s="102"/>
      <c r="DJ114" s="102"/>
      <c r="DK114" s="102"/>
      <c r="DL114" s="102"/>
      <c r="DM114" s="102"/>
      <c r="DN114" s="102"/>
      <c r="DO114" s="102"/>
      <c r="DP114" s="102"/>
      <c r="DQ114" s="102"/>
      <c r="DR114" s="102"/>
      <c r="DS114" s="102"/>
      <c r="DT114" s="102"/>
      <c r="DU114" s="102"/>
      <c r="DV114" s="102"/>
      <c r="DW114" s="102"/>
      <c r="DX114" s="102"/>
      <c r="DY114" s="102"/>
      <c r="DZ114" s="102"/>
      <c r="EA114" s="102"/>
      <c r="EB114" s="102"/>
      <c r="EC114" s="102"/>
      <c r="ED114" s="102"/>
      <c r="EE114" s="102"/>
      <c r="EF114" s="102"/>
      <c r="EG114" s="102"/>
      <c r="EH114" s="102"/>
      <c r="EI114" s="102"/>
      <c r="EJ114" s="102"/>
      <c r="EK114" s="102"/>
      <c r="EL114" s="102"/>
      <c r="EM114" s="102"/>
      <c r="EN114" s="102"/>
      <c r="EO114" s="102"/>
      <c r="EP114" s="102"/>
      <c r="EQ114" s="102"/>
    </row>
    <row r="115" hidden="1">
      <c r="A115" s="110" t="s">
        <v>220</v>
      </c>
      <c r="B115" s="111">
        <f t="shared" si="1"/>
        <v>46113</v>
      </c>
      <c r="C115" s="110">
        <v>60.0</v>
      </c>
      <c r="D115" s="110" t="s">
        <v>136</v>
      </c>
      <c r="E115" s="110" t="s">
        <v>99</v>
      </c>
      <c r="F115" s="110" t="s">
        <v>98</v>
      </c>
      <c r="G115" s="110" t="s">
        <v>99</v>
      </c>
      <c r="H115" s="110" t="s">
        <v>96</v>
      </c>
      <c r="I115" s="110" t="s">
        <v>98</v>
      </c>
      <c r="J115" s="137" t="s">
        <v>98</v>
      </c>
      <c r="K115" s="132" t="s">
        <v>99</v>
      </c>
      <c r="L115" s="115" t="s">
        <v>98</v>
      </c>
      <c r="M115" s="115" t="s">
        <v>99</v>
      </c>
      <c r="N115" s="115" t="s">
        <v>98</v>
      </c>
      <c r="O115" s="115" t="s">
        <v>98</v>
      </c>
      <c r="P115" s="115" t="s">
        <v>98</v>
      </c>
      <c r="Q115" s="115" t="s">
        <v>99</v>
      </c>
      <c r="R115" s="115" t="s">
        <v>98</v>
      </c>
      <c r="S115" s="115" t="s">
        <v>99</v>
      </c>
      <c r="T115" s="115" t="s">
        <v>98</v>
      </c>
      <c r="U115" s="115" t="s">
        <v>99</v>
      </c>
      <c r="V115" s="143" t="s">
        <v>98</v>
      </c>
      <c r="W115" s="119" t="s">
        <v>99</v>
      </c>
      <c r="X115" s="121" t="s">
        <v>99</v>
      </c>
      <c r="Y115" s="121" t="s">
        <v>98</v>
      </c>
      <c r="Z115" s="121" t="s">
        <v>99</v>
      </c>
      <c r="AA115" s="121" t="s">
        <v>99</v>
      </c>
      <c r="AB115" s="121" t="s">
        <v>98</v>
      </c>
      <c r="AC115" s="121" t="s">
        <v>99</v>
      </c>
      <c r="AD115" s="121" t="s">
        <v>99</v>
      </c>
      <c r="AE115" s="121" t="s">
        <v>99</v>
      </c>
      <c r="AF115" s="121" t="s">
        <v>98</v>
      </c>
      <c r="AG115" s="121" t="s">
        <v>98</v>
      </c>
      <c r="AH115" s="140" t="s">
        <v>99</v>
      </c>
      <c r="AI115" s="134" t="s">
        <v>98</v>
      </c>
      <c r="AJ115" s="125" t="s">
        <v>99</v>
      </c>
      <c r="AK115" s="125" t="s">
        <v>99</v>
      </c>
      <c r="AL115" s="125" t="s">
        <v>99</v>
      </c>
      <c r="AM115" s="125" t="s">
        <v>99</v>
      </c>
      <c r="AN115" s="125" t="s">
        <v>98</v>
      </c>
      <c r="AO115" s="125" t="s">
        <v>99</v>
      </c>
      <c r="AP115" s="125" t="s">
        <v>99</v>
      </c>
      <c r="AQ115" s="125" t="s">
        <v>98</v>
      </c>
      <c r="AR115" s="125" t="s">
        <v>98</v>
      </c>
      <c r="AS115" s="125" t="s">
        <v>98</v>
      </c>
      <c r="AT115" s="133" t="s">
        <v>99</v>
      </c>
      <c r="AU115" s="135" t="s">
        <v>99</v>
      </c>
      <c r="AV115" s="128" t="s">
        <v>99</v>
      </c>
      <c r="AW115" s="128" t="s">
        <v>98</v>
      </c>
      <c r="AX115" s="128" t="s">
        <v>98</v>
      </c>
      <c r="AY115" s="129"/>
      <c r="AZ115" s="129"/>
      <c r="BA115" s="129"/>
      <c r="BB115" s="129"/>
      <c r="BC115" s="129"/>
      <c r="BD115" s="129"/>
      <c r="BE115" s="129"/>
      <c r="BF115" s="130"/>
      <c r="BG115" s="129"/>
      <c r="BH115" s="129"/>
      <c r="BI115" s="129"/>
      <c r="BJ115" s="129"/>
      <c r="BK115" s="102"/>
      <c r="BL115" s="102"/>
      <c r="BM115" s="102"/>
      <c r="BN115" s="102"/>
      <c r="BO115" s="102"/>
      <c r="BP115" s="102"/>
      <c r="BQ115" s="102"/>
      <c r="BR115" s="102"/>
      <c r="BS115" s="102"/>
      <c r="BT115" s="102"/>
      <c r="BU115" s="102"/>
      <c r="BV115" s="102"/>
      <c r="BW115" s="102"/>
      <c r="BX115" s="102"/>
      <c r="BY115" s="102"/>
      <c r="BZ115" s="102"/>
      <c r="CA115" s="102"/>
      <c r="CB115" s="102"/>
      <c r="CC115" s="102"/>
      <c r="CD115" s="102"/>
      <c r="CE115" s="102"/>
      <c r="CF115" s="102"/>
      <c r="CG115" s="102"/>
      <c r="CH115" s="102"/>
      <c r="CI115" s="102"/>
      <c r="CJ115" s="102"/>
      <c r="CK115" s="102"/>
      <c r="CL115" s="102"/>
      <c r="CM115" s="102"/>
      <c r="CN115" s="102"/>
      <c r="CO115" s="102"/>
      <c r="CP115" s="102"/>
      <c r="CQ115" s="102"/>
      <c r="CR115" s="102"/>
      <c r="CS115" s="102"/>
      <c r="CT115" s="102"/>
      <c r="CU115" s="102"/>
      <c r="CV115" s="102"/>
      <c r="CW115" s="102"/>
      <c r="CX115" s="102"/>
      <c r="CY115" s="102"/>
      <c r="CZ115" s="102"/>
      <c r="DA115" s="102"/>
      <c r="DB115" s="102"/>
      <c r="DC115" s="102"/>
      <c r="DD115" s="102"/>
      <c r="DE115" s="102"/>
      <c r="DF115" s="102"/>
      <c r="DG115" s="102"/>
      <c r="DH115" s="102"/>
      <c r="DI115" s="102"/>
      <c r="DJ115" s="102"/>
      <c r="DK115" s="102"/>
      <c r="DL115" s="102"/>
      <c r="DM115" s="102"/>
      <c r="DN115" s="102"/>
      <c r="DO115" s="102"/>
      <c r="DP115" s="102"/>
      <c r="DQ115" s="102"/>
      <c r="DR115" s="102"/>
      <c r="DS115" s="102"/>
      <c r="DT115" s="102"/>
      <c r="DU115" s="102"/>
      <c r="DV115" s="102"/>
      <c r="DW115" s="102"/>
      <c r="DX115" s="102"/>
      <c r="DY115" s="102"/>
      <c r="DZ115" s="102"/>
      <c r="EA115" s="102"/>
      <c r="EB115" s="102"/>
      <c r="EC115" s="102"/>
      <c r="ED115" s="102"/>
      <c r="EE115" s="102"/>
      <c r="EF115" s="102"/>
      <c r="EG115" s="102"/>
      <c r="EH115" s="102"/>
      <c r="EI115" s="102"/>
      <c r="EJ115" s="102"/>
      <c r="EK115" s="102"/>
      <c r="EL115" s="102"/>
      <c r="EM115" s="102"/>
      <c r="EN115" s="102"/>
      <c r="EO115" s="102"/>
      <c r="EP115" s="102"/>
      <c r="EQ115" s="102"/>
    </row>
    <row r="116" hidden="1">
      <c r="A116" s="139" t="s">
        <v>221</v>
      </c>
      <c r="B116" s="131">
        <f t="shared" si="1"/>
        <v>46113</v>
      </c>
      <c r="C116" s="103">
        <v>60.0</v>
      </c>
      <c r="D116" s="103" t="s">
        <v>136</v>
      </c>
      <c r="E116" s="103" t="s">
        <v>98</v>
      </c>
      <c r="F116" s="103" t="s">
        <v>98</v>
      </c>
      <c r="G116" s="103" t="s">
        <v>98</v>
      </c>
      <c r="H116" s="103" t="s">
        <v>98</v>
      </c>
      <c r="I116" s="103" t="s">
        <v>98</v>
      </c>
      <c r="J116" s="136" t="s">
        <v>98</v>
      </c>
      <c r="K116" s="108" t="s">
        <v>98</v>
      </c>
      <c r="L116" s="103" t="s">
        <v>98</v>
      </c>
      <c r="M116" s="103" t="s">
        <v>98</v>
      </c>
      <c r="N116" s="103" t="s">
        <v>98</v>
      </c>
      <c r="O116" s="103" t="s">
        <v>99</v>
      </c>
      <c r="P116" s="103" t="s">
        <v>96</v>
      </c>
      <c r="Q116" s="103" t="s">
        <v>98</v>
      </c>
      <c r="R116" s="103" t="s">
        <v>98</v>
      </c>
      <c r="S116" s="103" t="s">
        <v>99</v>
      </c>
      <c r="T116" s="103" t="s">
        <v>98</v>
      </c>
      <c r="U116" s="103" t="s">
        <v>98</v>
      </c>
      <c r="V116" s="136" t="s">
        <v>98</v>
      </c>
      <c r="W116" s="108" t="s">
        <v>99</v>
      </c>
      <c r="X116" s="103" t="s">
        <v>99</v>
      </c>
      <c r="Y116" s="103" t="s">
        <v>98</v>
      </c>
      <c r="Z116" s="103" t="s">
        <v>99</v>
      </c>
      <c r="AA116" s="103" t="s">
        <v>99</v>
      </c>
      <c r="AB116" s="103" t="s">
        <v>98</v>
      </c>
      <c r="AC116" s="103" t="s">
        <v>98</v>
      </c>
      <c r="AD116" s="103" t="s">
        <v>99</v>
      </c>
      <c r="AE116" s="103" t="s">
        <v>98</v>
      </c>
      <c r="AF116" s="103" t="s">
        <v>98</v>
      </c>
      <c r="AG116" s="103" t="s">
        <v>98</v>
      </c>
      <c r="AH116" s="136" t="s">
        <v>99</v>
      </c>
      <c r="AI116" s="108" t="s">
        <v>98</v>
      </c>
      <c r="AJ116" s="103" t="s">
        <v>98</v>
      </c>
      <c r="AK116" s="103" t="s">
        <v>99</v>
      </c>
      <c r="AL116" s="103" t="s">
        <v>99</v>
      </c>
      <c r="AM116" s="103" t="s">
        <v>99</v>
      </c>
      <c r="AN116" s="103" t="s">
        <v>98</v>
      </c>
      <c r="AO116" s="103" t="s">
        <v>99</v>
      </c>
      <c r="AP116" s="103" t="s">
        <v>99</v>
      </c>
      <c r="AQ116" s="103" t="s">
        <v>98</v>
      </c>
      <c r="AR116" s="103" t="s">
        <v>98</v>
      </c>
      <c r="AS116" s="103" t="s">
        <v>98</v>
      </c>
      <c r="AT116" s="136" t="s">
        <v>98</v>
      </c>
      <c r="AU116" s="108" t="s">
        <v>99</v>
      </c>
      <c r="AV116" s="103" t="s">
        <v>98</v>
      </c>
      <c r="AW116" s="103" t="s">
        <v>99</v>
      </c>
      <c r="AX116" s="103" t="s">
        <v>97</v>
      </c>
      <c r="AY116" s="105"/>
      <c r="AZ116" s="105"/>
      <c r="BA116" s="105"/>
      <c r="BB116" s="105"/>
      <c r="BC116" s="105"/>
      <c r="BD116" s="105"/>
      <c r="BE116" s="105"/>
      <c r="BF116" s="106"/>
      <c r="BG116" s="105"/>
      <c r="BH116" s="105"/>
      <c r="BI116" s="105"/>
      <c r="BJ116" s="105"/>
      <c r="BK116" s="102"/>
      <c r="BL116" s="102"/>
      <c r="BM116" s="102"/>
      <c r="BN116" s="102"/>
      <c r="BO116" s="102"/>
      <c r="BP116" s="102"/>
      <c r="BQ116" s="102"/>
      <c r="BR116" s="102"/>
      <c r="BS116" s="102"/>
      <c r="BT116" s="102"/>
      <c r="BU116" s="102"/>
      <c r="BV116" s="102"/>
      <c r="BW116" s="102"/>
      <c r="BX116" s="102"/>
      <c r="BY116" s="102"/>
      <c r="BZ116" s="102"/>
      <c r="CA116" s="102"/>
      <c r="CB116" s="102"/>
      <c r="CC116" s="102"/>
      <c r="CD116" s="102"/>
      <c r="CE116" s="102"/>
      <c r="CF116" s="102"/>
      <c r="CG116" s="102"/>
      <c r="CH116" s="102"/>
      <c r="CI116" s="102"/>
      <c r="CJ116" s="102"/>
      <c r="CK116" s="102"/>
      <c r="CL116" s="102"/>
      <c r="CM116" s="102"/>
      <c r="CN116" s="102"/>
      <c r="CO116" s="102"/>
      <c r="CP116" s="102"/>
      <c r="CQ116" s="102"/>
      <c r="CR116" s="102"/>
      <c r="CS116" s="102"/>
      <c r="CT116" s="102"/>
      <c r="CU116" s="102"/>
      <c r="CV116" s="102"/>
      <c r="CW116" s="102"/>
      <c r="CX116" s="102"/>
      <c r="CY116" s="102"/>
      <c r="CZ116" s="102"/>
      <c r="DA116" s="102"/>
      <c r="DB116" s="102"/>
      <c r="DC116" s="102"/>
      <c r="DD116" s="102"/>
      <c r="DE116" s="102"/>
      <c r="DF116" s="102"/>
      <c r="DG116" s="102"/>
      <c r="DH116" s="102"/>
      <c r="DI116" s="102"/>
      <c r="DJ116" s="102"/>
      <c r="DK116" s="102"/>
      <c r="DL116" s="102"/>
      <c r="DM116" s="102"/>
      <c r="DN116" s="102"/>
      <c r="DO116" s="102"/>
      <c r="DP116" s="102"/>
      <c r="DQ116" s="102"/>
      <c r="DR116" s="102"/>
      <c r="DS116" s="102"/>
      <c r="DT116" s="102"/>
      <c r="DU116" s="102"/>
      <c r="DV116" s="102"/>
      <c r="DW116" s="102"/>
      <c r="DX116" s="102"/>
      <c r="DY116" s="102"/>
      <c r="DZ116" s="102"/>
      <c r="EA116" s="102"/>
      <c r="EB116" s="102"/>
      <c r="EC116" s="102"/>
      <c r="ED116" s="102"/>
      <c r="EE116" s="102"/>
      <c r="EF116" s="102"/>
      <c r="EG116" s="102"/>
      <c r="EH116" s="102"/>
      <c r="EI116" s="102"/>
      <c r="EJ116" s="102"/>
      <c r="EK116" s="102"/>
      <c r="EL116" s="102"/>
      <c r="EM116" s="102"/>
      <c r="EN116" s="102"/>
      <c r="EO116" s="102"/>
      <c r="EP116" s="102"/>
      <c r="EQ116" s="102"/>
    </row>
    <row r="117" hidden="1">
      <c r="A117" s="110" t="s">
        <v>222</v>
      </c>
      <c r="B117" s="111">
        <f t="shared" si="1"/>
        <v>46113</v>
      </c>
      <c r="C117" s="110">
        <v>60.0</v>
      </c>
      <c r="D117" s="110" t="s">
        <v>136</v>
      </c>
      <c r="E117" s="110" t="s">
        <v>99</v>
      </c>
      <c r="F117" s="110" t="s">
        <v>99</v>
      </c>
      <c r="G117" s="110" t="s">
        <v>98</v>
      </c>
      <c r="H117" s="110" t="s">
        <v>99</v>
      </c>
      <c r="I117" s="110" t="s">
        <v>99</v>
      </c>
      <c r="J117" s="137" t="s">
        <v>98</v>
      </c>
      <c r="K117" s="132" t="s">
        <v>99</v>
      </c>
      <c r="L117" s="115" t="s">
        <v>99</v>
      </c>
      <c r="M117" s="115" t="s">
        <v>98</v>
      </c>
      <c r="N117" s="115" t="s">
        <v>99</v>
      </c>
      <c r="O117" s="115" t="s">
        <v>99</v>
      </c>
      <c r="P117" s="115" t="s">
        <v>98</v>
      </c>
      <c r="Q117" s="115" t="s">
        <v>99</v>
      </c>
      <c r="R117" s="115" t="s">
        <v>99</v>
      </c>
      <c r="S117" s="115" t="s">
        <v>99</v>
      </c>
      <c r="T117" s="115" t="s">
        <v>99</v>
      </c>
      <c r="U117" s="115" t="s">
        <v>99</v>
      </c>
      <c r="V117" s="143" t="s">
        <v>96</v>
      </c>
      <c r="W117" s="119" t="s">
        <v>99</v>
      </c>
      <c r="X117" s="121" t="s">
        <v>99</v>
      </c>
      <c r="Y117" s="121" t="s">
        <v>98</v>
      </c>
      <c r="Z117" s="121" t="s">
        <v>99</v>
      </c>
      <c r="AA117" s="121" t="s">
        <v>99</v>
      </c>
      <c r="AB117" s="121" t="s">
        <v>98</v>
      </c>
      <c r="AC117" s="121" t="s">
        <v>99</v>
      </c>
      <c r="AD117" s="121" t="s">
        <v>99</v>
      </c>
      <c r="AE117" s="121" t="s">
        <v>99</v>
      </c>
      <c r="AF117" s="121" t="s">
        <v>96</v>
      </c>
      <c r="AG117" s="121" t="s">
        <v>98</v>
      </c>
      <c r="AH117" s="140" t="s">
        <v>99</v>
      </c>
      <c r="AI117" s="134" t="s">
        <v>99</v>
      </c>
      <c r="AJ117" s="125" t="s">
        <v>98</v>
      </c>
      <c r="AK117" s="125" t="s">
        <v>99</v>
      </c>
      <c r="AL117" s="125" t="s">
        <v>99</v>
      </c>
      <c r="AM117" s="125" t="s">
        <v>99</v>
      </c>
      <c r="AN117" s="125" t="s">
        <v>96</v>
      </c>
      <c r="AO117" s="125" t="s">
        <v>99</v>
      </c>
      <c r="AP117" s="125" t="s">
        <v>99</v>
      </c>
      <c r="AQ117" s="125" t="s">
        <v>98</v>
      </c>
      <c r="AR117" s="125" t="s">
        <v>99</v>
      </c>
      <c r="AS117" s="125" t="s">
        <v>98</v>
      </c>
      <c r="AT117" s="133" t="s">
        <v>99</v>
      </c>
      <c r="AU117" s="135" t="s">
        <v>99</v>
      </c>
      <c r="AV117" s="128" t="s">
        <v>99</v>
      </c>
      <c r="AW117" s="128" t="s">
        <v>96</v>
      </c>
      <c r="AX117" s="128" t="s">
        <v>98</v>
      </c>
      <c r="AY117" s="129"/>
      <c r="AZ117" s="129"/>
      <c r="BA117" s="129"/>
      <c r="BB117" s="129"/>
      <c r="BC117" s="129"/>
      <c r="BD117" s="129"/>
      <c r="BE117" s="129"/>
      <c r="BF117" s="130"/>
      <c r="BG117" s="129"/>
      <c r="BH117" s="129"/>
      <c r="BI117" s="129"/>
      <c r="BJ117" s="129"/>
      <c r="BK117" s="102"/>
      <c r="BL117" s="102"/>
      <c r="BM117" s="102"/>
      <c r="BN117" s="102"/>
      <c r="BO117" s="102"/>
      <c r="BP117" s="102"/>
      <c r="BQ117" s="102"/>
      <c r="BR117" s="102"/>
      <c r="BS117" s="102"/>
      <c r="BT117" s="102"/>
      <c r="BU117" s="102"/>
      <c r="BV117" s="102"/>
      <c r="BW117" s="102"/>
      <c r="BX117" s="102"/>
      <c r="BY117" s="102"/>
      <c r="BZ117" s="102"/>
      <c r="CA117" s="102"/>
      <c r="CB117" s="102"/>
      <c r="CC117" s="102"/>
      <c r="CD117" s="102"/>
      <c r="CE117" s="102"/>
      <c r="CF117" s="102"/>
      <c r="CG117" s="102"/>
      <c r="CH117" s="102"/>
      <c r="CI117" s="102"/>
      <c r="CJ117" s="102"/>
      <c r="CK117" s="102"/>
      <c r="CL117" s="102"/>
      <c r="CM117" s="102"/>
      <c r="CN117" s="102"/>
      <c r="CO117" s="102"/>
      <c r="CP117" s="102"/>
      <c r="CQ117" s="102"/>
      <c r="CR117" s="102"/>
      <c r="CS117" s="102"/>
      <c r="CT117" s="102"/>
      <c r="CU117" s="102"/>
      <c r="CV117" s="102"/>
      <c r="CW117" s="102"/>
      <c r="CX117" s="102"/>
      <c r="CY117" s="102"/>
      <c r="CZ117" s="102"/>
      <c r="DA117" s="102"/>
      <c r="DB117" s="102"/>
      <c r="DC117" s="102"/>
      <c r="DD117" s="102"/>
      <c r="DE117" s="102"/>
      <c r="DF117" s="102"/>
      <c r="DG117" s="102"/>
      <c r="DH117" s="102"/>
      <c r="DI117" s="102"/>
      <c r="DJ117" s="102"/>
      <c r="DK117" s="102"/>
      <c r="DL117" s="102"/>
      <c r="DM117" s="102"/>
      <c r="DN117" s="102"/>
      <c r="DO117" s="102"/>
      <c r="DP117" s="102"/>
      <c r="DQ117" s="102"/>
      <c r="DR117" s="102"/>
      <c r="DS117" s="102"/>
      <c r="DT117" s="102"/>
      <c r="DU117" s="102"/>
      <c r="DV117" s="102"/>
      <c r="DW117" s="102"/>
      <c r="DX117" s="102"/>
      <c r="DY117" s="102"/>
      <c r="DZ117" s="102"/>
      <c r="EA117" s="102"/>
      <c r="EB117" s="102"/>
      <c r="EC117" s="102"/>
      <c r="ED117" s="102"/>
      <c r="EE117" s="102"/>
      <c r="EF117" s="102"/>
      <c r="EG117" s="102"/>
      <c r="EH117" s="102"/>
      <c r="EI117" s="102"/>
      <c r="EJ117" s="102"/>
      <c r="EK117" s="102"/>
      <c r="EL117" s="102"/>
      <c r="EM117" s="102"/>
      <c r="EN117" s="102"/>
      <c r="EO117" s="102"/>
      <c r="EP117" s="102"/>
      <c r="EQ117" s="102"/>
    </row>
    <row r="118" hidden="1">
      <c r="A118" s="103" t="s">
        <v>223</v>
      </c>
      <c r="B118" s="131">
        <f t="shared" si="1"/>
        <v>46113</v>
      </c>
      <c r="C118" s="103">
        <v>210.0</v>
      </c>
      <c r="D118" s="103" t="s">
        <v>95</v>
      </c>
      <c r="E118" s="103" t="s">
        <v>98</v>
      </c>
      <c r="F118" s="105"/>
      <c r="G118" s="105"/>
      <c r="H118" s="105"/>
      <c r="I118" s="105"/>
      <c r="J118" s="106"/>
      <c r="K118" s="108" t="s">
        <v>96</v>
      </c>
      <c r="L118" s="103" t="s">
        <v>98</v>
      </c>
      <c r="M118" s="105"/>
      <c r="N118" s="105"/>
      <c r="O118" s="105"/>
      <c r="P118" s="105"/>
      <c r="Q118" s="103" t="s">
        <v>97</v>
      </c>
      <c r="R118" s="105"/>
      <c r="S118" s="103" t="s">
        <v>99</v>
      </c>
      <c r="T118" s="105"/>
      <c r="U118" s="105"/>
      <c r="V118" s="106"/>
      <c r="W118" s="108" t="s">
        <v>99</v>
      </c>
      <c r="X118" s="105"/>
      <c r="Y118" s="105"/>
      <c r="Z118" s="105"/>
      <c r="AA118" s="105"/>
      <c r="AB118" s="105"/>
      <c r="AC118" s="103" t="s">
        <v>97</v>
      </c>
      <c r="AD118" s="105"/>
      <c r="AE118" s="105"/>
      <c r="AF118" s="105"/>
      <c r="AG118" s="105"/>
      <c r="AH118" s="106"/>
      <c r="AI118" s="108" t="s">
        <v>97</v>
      </c>
      <c r="AJ118" s="105"/>
      <c r="AK118" s="105"/>
      <c r="AL118" s="105"/>
      <c r="AM118" s="105"/>
      <c r="AN118" s="105"/>
      <c r="AO118" s="105"/>
      <c r="AP118" s="103" t="s">
        <v>99</v>
      </c>
      <c r="AQ118" s="103" t="s">
        <v>97</v>
      </c>
      <c r="AR118" s="105"/>
      <c r="AS118" s="105"/>
      <c r="AT118" s="106"/>
      <c r="AU118" s="107"/>
      <c r="AV118" s="105"/>
      <c r="AW118" s="103" t="s">
        <v>99</v>
      </c>
      <c r="AX118" s="103" t="s">
        <v>97</v>
      </c>
      <c r="AY118" s="105"/>
      <c r="AZ118" s="105"/>
      <c r="BA118" s="105"/>
      <c r="BB118" s="105"/>
      <c r="BC118" s="105"/>
      <c r="BD118" s="105"/>
      <c r="BE118" s="105"/>
      <c r="BF118" s="106"/>
      <c r="BG118" s="105"/>
      <c r="BH118" s="105"/>
      <c r="BI118" s="105"/>
      <c r="BJ118" s="105"/>
      <c r="BK118" s="102"/>
      <c r="BL118" s="102"/>
      <c r="BM118" s="102"/>
      <c r="BN118" s="102"/>
      <c r="BO118" s="102"/>
      <c r="BP118" s="102"/>
      <c r="BQ118" s="102"/>
      <c r="BR118" s="102"/>
      <c r="BS118" s="102"/>
      <c r="BT118" s="102"/>
      <c r="BU118" s="102"/>
      <c r="BV118" s="102"/>
      <c r="BW118" s="102"/>
      <c r="BX118" s="102"/>
      <c r="BY118" s="102"/>
      <c r="BZ118" s="102"/>
      <c r="CA118" s="102"/>
      <c r="CB118" s="102"/>
      <c r="CC118" s="102"/>
      <c r="CD118" s="102"/>
      <c r="CE118" s="102"/>
      <c r="CF118" s="102"/>
      <c r="CG118" s="102"/>
      <c r="CH118" s="102"/>
      <c r="CI118" s="102"/>
      <c r="CJ118" s="102"/>
      <c r="CK118" s="102"/>
      <c r="CL118" s="102"/>
      <c r="CM118" s="102"/>
      <c r="CN118" s="102"/>
      <c r="CO118" s="102"/>
      <c r="CP118" s="102"/>
      <c r="CQ118" s="102"/>
      <c r="CR118" s="102"/>
      <c r="CS118" s="102"/>
      <c r="CT118" s="102"/>
      <c r="CU118" s="102"/>
      <c r="CV118" s="102"/>
      <c r="CW118" s="102"/>
      <c r="CX118" s="102"/>
      <c r="CY118" s="102"/>
      <c r="CZ118" s="102"/>
      <c r="DA118" s="102"/>
      <c r="DB118" s="102"/>
      <c r="DC118" s="102"/>
      <c r="DD118" s="102"/>
      <c r="DE118" s="102"/>
      <c r="DF118" s="102"/>
      <c r="DG118" s="102"/>
      <c r="DH118" s="102"/>
      <c r="DI118" s="102"/>
      <c r="DJ118" s="102"/>
      <c r="DK118" s="102"/>
      <c r="DL118" s="102"/>
      <c r="DM118" s="102"/>
      <c r="DN118" s="102"/>
      <c r="DO118" s="102"/>
      <c r="DP118" s="102"/>
      <c r="DQ118" s="102"/>
      <c r="DR118" s="102"/>
      <c r="DS118" s="102"/>
      <c r="DT118" s="102"/>
      <c r="DU118" s="102"/>
      <c r="DV118" s="102"/>
      <c r="DW118" s="102"/>
      <c r="DX118" s="102"/>
      <c r="DY118" s="102"/>
      <c r="DZ118" s="102"/>
      <c r="EA118" s="102"/>
      <c r="EB118" s="102"/>
      <c r="EC118" s="102"/>
      <c r="ED118" s="102"/>
      <c r="EE118" s="102"/>
      <c r="EF118" s="102"/>
      <c r="EG118" s="102"/>
      <c r="EH118" s="102"/>
      <c r="EI118" s="102"/>
      <c r="EJ118" s="102"/>
      <c r="EK118" s="102"/>
      <c r="EL118" s="102"/>
      <c r="EM118" s="102"/>
      <c r="EN118" s="102"/>
      <c r="EO118" s="102"/>
      <c r="EP118" s="102"/>
      <c r="EQ118" s="102"/>
    </row>
    <row r="119" hidden="1">
      <c r="A119" s="110" t="s">
        <v>224</v>
      </c>
      <c r="B119" s="111">
        <f t="shared" si="1"/>
        <v>45992</v>
      </c>
      <c r="C119" s="110">
        <v>210.0</v>
      </c>
      <c r="D119" s="110" t="s">
        <v>95</v>
      </c>
      <c r="E119" s="112"/>
      <c r="F119" s="112"/>
      <c r="G119" s="112"/>
      <c r="H119" s="110" t="s">
        <v>98</v>
      </c>
      <c r="I119" s="112"/>
      <c r="J119" s="113"/>
      <c r="K119" s="114"/>
      <c r="L119" s="116"/>
      <c r="M119" s="116"/>
      <c r="N119" s="115" t="s">
        <v>98</v>
      </c>
      <c r="O119" s="116"/>
      <c r="P119" s="116"/>
      <c r="Q119" s="116"/>
      <c r="R119" s="116"/>
      <c r="S119" s="115" t="s">
        <v>99</v>
      </c>
      <c r="T119" s="115" t="s">
        <v>97</v>
      </c>
      <c r="U119" s="115" t="s">
        <v>96</v>
      </c>
      <c r="V119" s="117"/>
      <c r="W119" s="118"/>
      <c r="X119" s="120"/>
      <c r="Y119" s="120"/>
      <c r="Z119" s="120"/>
      <c r="AA119" s="121" t="s">
        <v>99</v>
      </c>
      <c r="AB119" s="120"/>
      <c r="AC119" s="120"/>
      <c r="AD119" s="120"/>
      <c r="AE119" s="120"/>
      <c r="AF119" s="120"/>
      <c r="AG119" s="121" t="s">
        <v>99</v>
      </c>
      <c r="AH119" s="122"/>
      <c r="AI119" s="134" t="s">
        <v>98</v>
      </c>
      <c r="AJ119" s="124"/>
      <c r="AK119" s="124"/>
      <c r="AL119" s="124"/>
      <c r="AM119" s="124"/>
      <c r="AN119" s="125" t="s">
        <v>97</v>
      </c>
      <c r="AO119" s="124"/>
      <c r="AP119" s="124"/>
      <c r="AQ119" s="125" t="s">
        <v>97</v>
      </c>
      <c r="AR119" s="124"/>
      <c r="AS119" s="124"/>
      <c r="AT119" s="133" t="s">
        <v>97</v>
      </c>
      <c r="AU119" s="127"/>
      <c r="AV119" s="129"/>
      <c r="AW119" s="129"/>
      <c r="AX119" s="129"/>
      <c r="AY119" s="129"/>
      <c r="AZ119" s="129"/>
      <c r="BA119" s="129"/>
      <c r="BB119" s="129"/>
      <c r="BC119" s="129"/>
      <c r="BD119" s="129"/>
      <c r="BE119" s="129"/>
      <c r="BF119" s="130"/>
      <c r="BG119" s="129"/>
      <c r="BH119" s="129"/>
      <c r="BI119" s="129"/>
      <c r="BJ119" s="129"/>
      <c r="BK119" s="102"/>
      <c r="BL119" s="102"/>
      <c r="BM119" s="102"/>
      <c r="BN119" s="102"/>
      <c r="BO119" s="102"/>
      <c r="BP119" s="102"/>
      <c r="BQ119" s="102"/>
      <c r="BR119" s="102"/>
      <c r="BS119" s="102"/>
      <c r="BT119" s="102"/>
      <c r="BU119" s="102"/>
      <c r="BV119" s="102"/>
      <c r="BW119" s="102"/>
      <c r="BX119" s="102"/>
      <c r="BY119" s="102"/>
      <c r="BZ119" s="102"/>
      <c r="CA119" s="102"/>
      <c r="CB119" s="102"/>
      <c r="CC119" s="102"/>
      <c r="CD119" s="102"/>
      <c r="CE119" s="102"/>
      <c r="CF119" s="102"/>
      <c r="CG119" s="102"/>
      <c r="CH119" s="102"/>
      <c r="CI119" s="102"/>
      <c r="CJ119" s="102"/>
      <c r="CK119" s="102"/>
      <c r="CL119" s="102"/>
      <c r="CM119" s="102"/>
      <c r="CN119" s="102"/>
      <c r="CO119" s="102"/>
      <c r="CP119" s="102"/>
      <c r="CQ119" s="102"/>
      <c r="CR119" s="102"/>
      <c r="CS119" s="102"/>
      <c r="CT119" s="102"/>
      <c r="CU119" s="102"/>
      <c r="CV119" s="102"/>
      <c r="CW119" s="102"/>
      <c r="CX119" s="102"/>
      <c r="CY119" s="102"/>
      <c r="CZ119" s="102"/>
      <c r="DA119" s="102"/>
      <c r="DB119" s="102"/>
      <c r="DC119" s="102"/>
      <c r="DD119" s="102"/>
      <c r="DE119" s="102"/>
      <c r="DF119" s="102"/>
      <c r="DG119" s="102"/>
      <c r="DH119" s="102"/>
      <c r="DI119" s="102"/>
      <c r="DJ119" s="102"/>
      <c r="DK119" s="102"/>
      <c r="DL119" s="102"/>
      <c r="DM119" s="102"/>
      <c r="DN119" s="102"/>
      <c r="DO119" s="102"/>
      <c r="DP119" s="102"/>
      <c r="DQ119" s="102"/>
      <c r="DR119" s="102"/>
      <c r="DS119" s="102"/>
      <c r="DT119" s="102"/>
      <c r="DU119" s="102"/>
      <c r="DV119" s="102"/>
      <c r="DW119" s="102"/>
      <c r="DX119" s="102"/>
      <c r="DY119" s="102"/>
      <c r="DZ119" s="102"/>
      <c r="EA119" s="102"/>
      <c r="EB119" s="102"/>
      <c r="EC119" s="102"/>
      <c r="ED119" s="102"/>
      <c r="EE119" s="102"/>
      <c r="EF119" s="102"/>
      <c r="EG119" s="102"/>
      <c r="EH119" s="102"/>
      <c r="EI119" s="102"/>
      <c r="EJ119" s="102"/>
      <c r="EK119" s="102"/>
      <c r="EL119" s="102"/>
      <c r="EM119" s="102"/>
      <c r="EN119" s="102"/>
      <c r="EO119" s="102"/>
      <c r="EP119" s="102"/>
      <c r="EQ119" s="102"/>
    </row>
    <row r="120" hidden="1">
      <c r="A120" s="103" t="s">
        <v>225</v>
      </c>
      <c r="B120" s="131">
        <f t="shared" si="1"/>
        <v>45992</v>
      </c>
      <c r="C120" s="103">
        <v>210.0</v>
      </c>
      <c r="D120" s="103" t="s">
        <v>95</v>
      </c>
      <c r="E120" s="105"/>
      <c r="F120" s="105"/>
      <c r="G120" s="105"/>
      <c r="H120" s="103" t="s">
        <v>98</v>
      </c>
      <c r="I120" s="105"/>
      <c r="J120" s="106"/>
      <c r="K120" s="107"/>
      <c r="L120" s="105"/>
      <c r="M120" s="103" t="s">
        <v>96</v>
      </c>
      <c r="N120" s="103" t="s">
        <v>98</v>
      </c>
      <c r="O120" s="105"/>
      <c r="P120" s="105"/>
      <c r="Q120" s="105"/>
      <c r="R120" s="105"/>
      <c r="S120" s="103" t="s">
        <v>99</v>
      </c>
      <c r="T120" s="103" t="s">
        <v>96</v>
      </c>
      <c r="U120" s="105"/>
      <c r="V120" s="106"/>
      <c r="W120" s="107"/>
      <c r="X120" s="105"/>
      <c r="Y120" s="105"/>
      <c r="Z120" s="103" t="s">
        <v>99</v>
      </c>
      <c r="AA120" s="105"/>
      <c r="AB120" s="105"/>
      <c r="AC120" s="105"/>
      <c r="AD120" s="105"/>
      <c r="AE120" s="105"/>
      <c r="AF120" s="103" t="s">
        <v>99</v>
      </c>
      <c r="AG120" s="105"/>
      <c r="AH120" s="106"/>
      <c r="AI120" s="108" t="s">
        <v>98</v>
      </c>
      <c r="AJ120" s="105"/>
      <c r="AK120" s="105"/>
      <c r="AL120" s="105"/>
      <c r="AM120" s="105"/>
      <c r="AN120" s="103" t="s">
        <v>96</v>
      </c>
      <c r="AO120" s="105"/>
      <c r="AP120" s="105"/>
      <c r="AQ120" s="105"/>
      <c r="AR120" s="105"/>
      <c r="AS120" s="105"/>
      <c r="AT120" s="136" t="s">
        <v>97</v>
      </c>
      <c r="AU120" s="107"/>
      <c r="AV120" s="105"/>
      <c r="AW120" s="105"/>
      <c r="AX120" s="105"/>
      <c r="AY120" s="105"/>
      <c r="AZ120" s="105"/>
      <c r="BA120" s="105"/>
      <c r="BB120" s="105"/>
      <c r="BC120" s="105"/>
      <c r="BD120" s="105"/>
      <c r="BE120" s="105"/>
      <c r="BF120" s="106"/>
      <c r="BG120" s="105"/>
      <c r="BH120" s="105"/>
      <c r="BI120" s="105"/>
      <c r="BJ120" s="105"/>
      <c r="BK120" s="102"/>
      <c r="BL120" s="102"/>
      <c r="BM120" s="102"/>
      <c r="BN120" s="102"/>
      <c r="BO120" s="102"/>
      <c r="BP120" s="102"/>
      <c r="BQ120" s="102"/>
      <c r="BR120" s="102"/>
      <c r="BS120" s="102"/>
      <c r="BT120" s="102"/>
      <c r="BU120" s="102"/>
      <c r="BV120" s="102"/>
      <c r="BW120" s="102"/>
      <c r="BX120" s="102"/>
      <c r="BY120" s="102"/>
      <c r="BZ120" s="102"/>
      <c r="CA120" s="102"/>
      <c r="CB120" s="102"/>
      <c r="CC120" s="102"/>
      <c r="CD120" s="102"/>
      <c r="CE120" s="102"/>
      <c r="CF120" s="102"/>
      <c r="CG120" s="102"/>
      <c r="CH120" s="102"/>
      <c r="CI120" s="102"/>
      <c r="CJ120" s="102"/>
      <c r="CK120" s="102"/>
      <c r="CL120" s="102"/>
      <c r="CM120" s="102"/>
      <c r="CN120" s="102"/>
      <c r="CO120" s="102"/>
      <c r="CP120" s="102"/>
      <c r="CQ120" s="102"/>
      <c r="CR120" s="102"/>
      <c r="CS120" s="102"/>
      <c r="CT120" s="102"/>
      <c r="CU120" s="102"/>
      <c r="CV120" s="102"/>
      <c r="CW120" s="102"/>
      <c r="CX120" s="102"/>
      <c r="CY120" s="102"/>
      <c r="CZ120" s="102"/>
      <c r="DA120" s="102"/>
      <c r="DB120" s="102"/>
      <c r="DC120" s="102"/>
      <c r="DD120" s="102"/>
      <c r="DE120" s="102"/>
      <c r="DF120" s="102"/>
      <c r="DG120" s="102"/>
      <c r="DH120" s="102"/>
      <c r="DI120" s="102"/>
      <c r="DJ120" s="102"/>
      <c r="DK120" s="102"/>
      <c r="DL120" s="102"/>
      <c r="DM120" s="102"/>
      <c r="DN120" s="102"/>
      <c r="DO120" s="102"/>
      <c r="DP120" s="102"/>
      <c r="DQ120" s="102"/>
      <c r="DR120" s="102"/>
      <c r="DS120" s="102"/>
      <c r="DT120" s="102"/>
      <c r="DU120" s="102"/>
      <c r="DV120" s="102"/>
      <c r="DW120" s="102"/>
      <c r="DX120" s="102"/>
      <c r="DY120" s="102"/>
      <c r="DZ120" s="102"/>
      <c r="EA120" s="102"/>
      <c r="EB120" s="102"/>
      <c r="EC120" s="102"/>
      <c r="ED120" s="102"/>
      <c r="EE120" s="102"/>
      <c r="EF120" s="102"/>
      <c r="EG120" s="102"/>
      <c r="EH120" s="102"/>
      <c r="EI120" s="102"/>
      <c r="EJ120" s="102"/>
      <c r="EK120" s="102"/>
      <c r="EL120" s="102"/>
      <c r="EM120" s="102"/>
      <c r="EN120" s="102"/>
      <c r="EO120" s="102"/>
      <c r="EP120" s="102"/>
      <c r="EQ120" s="102"/>
    </row>
    <row r="121" hidden="1">
      <c r="A121" s="138" t="s">
        <v>226</v>
      </c>
      <c r="B121" s="111">
        <f t="shared" si="1"/>
        <v>46113</v>
      </c>
      <c r="C121" s="110">
        <v>210.0</v>
      </c>
      <c r="D121" s="110" t="s">
        <v>95</v>
      </c>
      <c r="E121" s="112"/>
      <c r="F121" s="112"/>
      <c r="G121" s="112"/>
      <c r="H121" s="110" t="s">
        <v>98</v>
      </c>
      <c r="I121" s="112"/>
      <c r="J121" s="113"/>
      <c r="K121" s="114"/>
      <c r="L121" s="116"/>
      <c r="M121" s="116"/>
      <c r="N121" s="115" t="s">
        <v>96</v>
      </c>
      <c r="O121" s="116"/>
      <c r="P121" s="116"/>
      <c r="Q121" s="116"/>
      <c r="R121" s="116"/>
      <c r="S121" s="115" t="s">
        <v>99</v>
      </c>
      <c r="T121" s="115" t="s">
        <v>96</v>
      </c>
      <c r="U121" s="115" t="s">
        <v>97</v>
      </c>
      <c r="V121" s="143" t="s">
        <v>97</v>
      </c>
      <c r="W121" s="118"/>
      <c r="X121" s="120"/>
      <c r="Y121" s="120"/>
      <c r="Z121" s="120"/>
      <c r="AA121" s="120"/>
      <c r="AB121" s="121" t="s">
        <v>99</v>
      </c>
      <c r="AC121" s="120"/>
      <c r="AD121" s="120"/>
      <c r="AE121" s="120"/>
      <c r="AF121" s="120"/>
      <c r="AG121" s="120"/>
      <c r="AH121" s="140" t="s">
        <v>99</v>
      </c>
      <c r="AI121" s="134" t="s">
        <v>96</v>
      </c>
      <c r="AJ121" s="124"/>
      <c r="AK121" s="124"/>
      <c r="AL121" s="124"/>
      <c r="AM121" s="124"/>
      <c r="AN121" s="125" t="s">
        <v>98</v>
      </c>
      <c r="AO121" s="124"/>
      <c r="AP121" s="124"/>
      <c r="AQ121" s="124"/>
      <c r="AR121" s="124"/>
      <c r="AS121" s="124"/>
      <c r="AT121" s="133" t="s">
        <v>97</v>
      </c>
      <c r="AU121" s="127"/>
      <c r="AV121" s="128" t="s">
        <v>96</v>
      </c>
      <c r="AW121" s="129"/>
      <c r="AX121" s="128" t="s">
        <v>96</v>
      </c>
      <c r="AY121" s="129"/>
      <c r="AZ121" s="129"/>
      <c r="BA121" s="129"/>
      <c r="BB121" s="129"/>
      <c r="BC121" s="129"/>
      <c r="BD121" s="129"/>
      <c r="BE121" s="129"/>
      <c r="BF121" s="130"/>
      <c r="BG121" s="129"/>
      <c r="BH121" s="129"/>
      <c r="BI121" s="129"/>
      <c r="BJ121" s="129"/>
      <c r="BK121" s="102"/>
      <c r="BL121" s="102"/>
      <c r="BM121" s="102"/>
      <c r="BN121" s="102"/>
      <c r="BO121" s="102"/>
      <c r="BP121" s="102"/>
      <c r="BQ121" s="102"/>
      <c r="BR121" s="102"/>
      <c r="BS121" s="102"/>
      <c r="BT121" s="102"/>
      <c r="BU121" s="102"/>
      <c r="BV121" s="102"/>
      <c r="BW121" s="102"/>
      <c r="BX121" s="102"/>
      <c r="BY121" s="102"/>
      <c r="BZ121" s="102"/>
      <c r="CA121" s="102"/>
      <c r="CB121" s="102"/>
      <c r="CC121" s="102"/>
      <c r="CD121" s="102"/>
      <c r="CE121" s="102"/>
      <c r="CF121" s="102"/>
      <c r="CG121" s="102"/>
      <c r="CH121" s="102"/>
      <c r="CI121" s="102"/>
      <c r="CJ121" s="102"/>
      <c r="CK121" s="102"/>
      <c r="CL121" s="102"/>
      <c r="CM121" s="102"/>
      <c r="CN121" s="102"/>
      <c r="CO121" s="102"/>
      <c r="CP121" s="102"/>
      <c r="CQ121" s="102"/>
      <c r="CR121" s="102"/>
      <c r="CS121" s="102"/>
      <c r="CT121" s="102"/>
      <c r="CU121" s="102"/>
      <c r="CV121" s="102"/>
      <c r="CW121" s="102"/>
      <c r="CX121" s="102"/>
      <c r="CY121" s="102"/>
      <c r="CZ121" s="102"/>
      <c r="DA121" s="102"/>
      <c r="DB121" s="102"/>
      <c r="DC121" s="102"/>
      <c r="DD121" s="102"/>
      <c r="DE121" s="102"/>
      <c r="DF121" s="102"/>
      <c r="DG121" s="102"/>
      <c r="DH121" s="102"/>
      <c r="DI121" s="102"/>
      <c r="DJ121" s="102"/>
      <c r="DK121" s="102"/>
      <c r="DL121" s="102"/>
      <c r="DM121" s="102"/>
      <c r="DN121" s="102"/>
      <c r="DO121" s="102"/>
      <c r="DP121" s="102"/>
      <c r="DQ121" s="102"/>
      <c r="DR121" s="102"/>
      <c r="DS121" s="102"/>
      <c r="DT121" s="102"/>
      <c r="DU121" s="102"/>
      <c r="DV121" s="102"/>
      <c r="DW121" s="102"/>
      <c r="DX121" s="102"/>
      <c r="DY121" s="102"/>
      <c r="DZ121" s="102"/>
      <c r="EA121" s="102"/>
      <c r="EB121" s="102"/>
      <c r="EC121" s="102"/>
      <c r="ED121" s="102"/>
      <c r="EE121" s="102"/>
      <c r="EF121" s="102"/>
      <c r="EG121" s="102"/>
      <c r="EH121" s="102"/>
      <c r="EI121" s="102"/>
      <c r="EJ121" s="102"/>
      <c r="EK121" s="102"/>
      <c r="EL121" s="102"/>
      <c r="EM121" s="102"/>
      <c r="EN121" s="102"/>
      <c r="EO121" s="102"/>
      <c r="EP121" s="102"/>
      <c r="EQ121" s="102"/>
    </row>
    <row r="122" hidden="1">
      <c r="A122" s="139" t="s">
        <v>227</v>
      </c>
      <c r="B122" s="131">
        <f t="shared" si="1"/>
        <v>46054</v>
      </c>
      <c r="C122" s="103">
        <v>210.0</v>
      </c>
      <c r="D122" s="103" t="s">
        <v>95</v>
      </c>
      <c r="E122" s="105"/>
      <c r="F122" s="105"/>
      <c r="G122" s="105"/>
      <c r="H122" s="103" t="s">
        <v>96</v>
      </c>
      <c r="I122" s="105"/>
      <c r="J122" s="106"/>
      <c r="K122" s="107"/>
      <c r="L122" s="105"/>
      <c r="M122" s="105"/>
      <c r="N122" s="103" t="s">
        <v>96</v>
      </c>
      <c r="O122" s="105"/>
      <c r="P122" s="105"/>
      <c r="Q122" s="105"/>
      <c r="R122" s="105"/>
      <c r="S122" s="103" t="s">
        <v>99</v>
      </c>
      <c r="T122" s="103" t="s">
        <v>97</v>
      </c>
      <c r="U122" s="103" t="s">
        <v>96</v>
      </c>
      <c r="V122" s="106"/>
      <c r="W122" s="107"/>
      <c r="X122" s="105"/>
      <c r="Y122" s="105"/>
      <c r="Z122" s="105"/>
      <c r="AA122" s="103" t="s">
        <v>99</v>
      </c>
      <c r="AB122" s="105"/>
      <c r="AC122" s="105"/>
      <c r="AD122" s="105"/>
      <c r="AE122" s="105"/>
      <c r="AF122" s="105"/>
      <c r="AG122" s="103" t="s">
        <v>99</v>
      </c>
      <c r="AH122" s="106"/>
      <c r="AI122" s="108" t="s">
        <v>97</v>
      </c>
      <c r="AJ122" s="105"/>
      <c r="AK122" s="105"/>
      <c r="AL122" s="105"/>
      <c r="AM122" s="105"/>
      <c r="AN122" s="103" t="s">
        <v>97</v>
      </c>
      <c r="AO122" s="105"/>
      <c r="AP122" s="105"/>
      <c r="AQ122" s="103" t="s">
        <v>97</v>
      </c>
      <c r="AR122" s="103" t="s">
        <v>97</v>
      </c>
      <c r="AS122" s="105"/>
      <c r="AT122" s="136" t="s">
        <v>98</v>
      </c>
      <c r="AU122" s="107"/>
      <c r="AV122" s="103" t="s">
        <v>98</v>
      </c>
      <c r="AW122" s="105"/>
      <c r="AX122" s="105"/>
      <c r="AY122" s="105"/>
      <c r="AZ122" s="105"/>
      <c r="BA122" s="105"/>
      <c r="BB122" s="105"/>
      <c r="BC122" s="105"/>
      <c r="BD122" s="105"/>
      <c r="BE122" s="105"/>
      <c r="BF122" s="106"/>
      <c r="BG122" s="105"/>
      <c r="BH122" s="105"/>
      <c r="BI122" s="105"/>
      <c r="BJ122" s="105"/>
      <c r="BK122" s="102"/>
      <c r="BL122" s="102"/>
      <c r="BM122" s="102"/>
      <c r="BN122" s="102"/>
      <c r="BO122" s="102"/>
      <c r="BP122" s="102"/>
      <c r="BQ122" s="102"/>
      <c r="BR122" s="102"/>
      <c r="BS122" s="102"/>
      <c r="BT122" s="102"/>
      <c r="BU122" s="102"/>
      <c r="BV122" s="102"/>
      <c r="BW122" s="102"/>
      <c r="BX122" s="102"/>
      <c r="BY122" s="102"/>
      <c r="BZ122" s="102"/>
      <c r="CA122" s="102"/>
      <c r="CB122" s="102"/>
      <c r="CC122" s="102"/>
      <c r="CD122" s="102"/>
      <c r="CE122" s="102"/>
      <c r="CF122" s="102"/>
      <c r="CG122" s="102"/>
      <c r="CH122" s="102"/>
      <c r="CI122" s="102"/>
      <c r="CJ122" s="102"/>
      <c r="CK122" s="102"/>
      <c r="CL122" s="102"/>
      <c r="CM122" s="102"/>
      <c r="CN122" s="102"/>
      <c r="CO122" s="102"/>
      <c r="CP122" s="102"/>
      <c r="CQ122" s="102"/>
      <c r="CR122" s="102"/>
      <c r="CS122" s="102"/>
      <c r="CT122" s="102"/>
      <c r="CU122" s="102"/>
      <c r="CV122" s="102"/>
      <c r="CW122" s="102"/>
      <c r="CX122" s="102"/>
      <c r="CY122" s="102"/>
      <c r="CZ122" s="102"/>
      <c r="DA122" s="102"/>
      <c r="DB122" s="102"/>
      <c r="DC122" s="102"/>
      <c r="DD122" s="102"/>
      <c r="DE122" s="102"/>
      <c r="DF122" s="102"/>
      <c r="DG122" s="102"/>
      <c r="DH122" s="102"/>
      <c r="DI122" s="102"/>
      <c r="DJ122" s="102"/>
      <c r="DK122" s="102"/>
      <c r="DL122" s="102"/>
      <c r="DM122" s="102"/>
      <c r="DN122" s="102"/>
      <c r="DO122" s="102"/>
      <c r="DP122" s="102"/>
      <c r="DQ122" s="102"/>
      <c r="DR122" s="102"/>
      <c r="DS122" s="102"/>
      <c r="DT122" s="102"/>
      <c r="DU122" s="102"/>
      <c r="DV122" s="102"/>
      <c r="DW122" s="102"/>
      <c r="DX122" s="102"/>
      <c r="DY122" s="102"/>
      <c r="DZ122" s="102"/>
      <c r="EA122" s="102"/>
      <c r="EB122" s="102"/>
      <c r="EC122" s="102"/>
      <c r="ED122" s="102"/>
      <c r="EE122" s="102"/>
      <c r="EF122" s="102"/>
      <c r="EG122" s="102"/>
      <c r="EH122" s="102"/>
      <c r="EI122" s="102"/>
      <c r="EJ122" s="102"/>
      <c r="EK122" s="102"/>
      <c r="EL122" s="102"/>
      <c r="EM122" s="102"/>
      <c r="EN122" s="102"/>
      <c r="EO122" s="102"/>
      <c r="EP122" s="102"/>
      <c r="EQ122" s="102"/>
    </row>
    <row r="123" hidden="1">
      <c r="A123" s="110" t="s">
        <v>228</v>
      </c>
      <c r="B123" s="111">
        <f t="shared" si="1"/>
        <v>46054</v>
      </c>
      <c r="C123" s="110">
        <v>210.0</v>
      </c>
      <c r="D123" s="110" t="s">
        <v>95</v>
      </c>
      <c r="E123" s="112"/>
      <c r="F123" s="112"/>
      <c r="G123" s="112"/>
      <c r="H123" s="110" t="s">
        <v>97</v>
      </c>
      <c r="I123" s="112"/>
      <c r="J123" s="137" t="s">
        <v>97</v>
      </c>
      <c r="K123" s="114"/>
      <c r="L123" s="116"/>
      <c r="M123" s="116"/>
      <c r="N123" s="115" t="s">
        <v>97</v>
      </c>
      <c r="O123" s="116"/>
      <c r="P123" s="116"/>
      <c r="Q123" s="116"/>
      <c r="R123" s="116"/>
      <c r="S123" s="115" t="s">
        <v>99</v>
      </c>
      <c r="T123" s="115" t="s">
        <v>97</v>
      </c>
      <c r="U123" s="115" t="s">
        <v>97</v>
      </c>
      <c r="V123" s="117"/>
      <c r="W123" s="118"/>
      <c r="X123" s="120"/>
      <c r="Y123" s="120"/>
      <c r="Z123" s="120"/>
      <c r="AA123" s="121" t="s">
        <v>99</v>
      </c>
      <c r="AB123" s="120"/>
      <c r="AC123" s="120"/>
      <c r="AD123" s="120"/>
      <c r="AE123" s="120"/>
      <c r="AF123" s="120"/>
      <c r="AG123" s="121" t="s">
        <v>99</v>
      </c>
      <c r="AH123" s="122"/>
      <c r="AI123" s="134" t="s">
        <v>97</v>
      </c>
      <c r="AJ123" s="124"/>
      <c r="AK123" s="124"/>
      <c r="AL123" s="124"/>
      <c r="AM123" s="124"/>
      <c r="AN123" s="125" t="s">
        <v>97</v>
      </c>
      <c r="AO123" s="124"/>
      <c r="AP123" s="124"/>
      <c r="AQ123" s="125" t="s">
        <v>98</v>
      </c>
      <c r="AR123" s="124"/>
      <c r="AS123" s="124"/>
      <c r="AT123" s="133" t="s">
        <v>97</v>
      </c>
      <c r="AU123" s="127"/>
      <c r="AV123" s="128" t="s">
        <v>97</v>
      </c>
      <c r="AW123" s="129"/>
      <c r="AX123" s="129"/>
      <c r="AY123" s="129"/>
      <c r="AZ123" s="129"/>
      <c r="BA123" s="129"/>
      <c r="BB123" s="129"/>
      <c r="BC123" s="129"/>
      <c r="BD123" s="129"/>
      <c r="BE123" s="129"/>
      <c r="BF123" s="130"/>
      <c r="BG123" s="129"/>
      <c r="BH123" s="129"/>
      <c r="BI123" s="129"/>
      <c r="BJ123" s="129"/>
      <c r="BK123" s="102"/>
      <c r="BL123" s="102"/>
      <c r="BM123" s="102"/>
      <c r="BN123" s="102"/>
      <c r="BO123" s="102"/>
      <c r="BP123" s="102"/>
      <c r="BQ123" s="102"/>
      <c r="BR123" s="102"/>
      <c r="BS123" s="102"/>
      <c r="BT123" s="102"/>
      <c r="BU123" s="102"/>
      <c r="BV123" s="102"/>
      <c r="BW123" s="102"/>
      <c r="BX123" s="102"/>
      <c r="BY123" s="102"/>
      <c r="BZ123" s="102"/>
      <c r="CA123" s="102"/>
      <c r="CB123" s="102"/>
      <c r="CC123" s="102"/>
      <c r="CD123" s="102"/>
      <c r="CE123" s="102"/>
      <c r="CF123" s="102"/>
      <c r="CG123" s="102"/>
      <c r="CH123" s="102"/>
      <c r="CI123" s="102"/>
      <c r="CJ123" s="102"/>
      <c r="CK123" s="102"/>
      <c r="CL123" s="102"/>
      <c r="CM123" s="102"/>
      <c r="CN123" s="102"/>
      <c r="CO123" s="102"/>
      <c r="CP123" s="102"/>
      <c r="CQ123" s="102"/>
      <c r="CR123" s="102"/>
      <c r="CS123" s="102"/>
      <c r="CT123" s="102"/>
      <c r="CU123" s="102"/>
      <c r="CV123" s="102"/>
      <c r="CW123" s="102"/>
      <c r="CX123" s="102"/>
      <c r="CY123" s="102"/>
      <c r="CZ123" s="102"/>
      <c r="DA123" s="102"/>
      <c r="DB123" s="102"/>
      <c r="DC123" s="102"/>
      <c r="DD123" s="102"/>
      <c r="DE123" s="102"/>
      <c r="DF123" s="102"/>
      <c r="DG123" s="102"/>
      <c r="DH123" s="102"/>
      <c r="DI123" s="102"/>
      <c r="DJ123" s="102"/>
      <c r="DK123" s="102"/>
      <c r="DL123" s="102"/>
      <c r="DM123" s="102"/>
      <c r="DN123" s="102"/>
      <c r="DO123" s="102"/>
      <c r="DP123" s="102"/>
      <c r="DQ123" s="102"/>
      <c r="DR123" s="102"/>
      <c r="DS123" s="102"/>
      <c r="DT123" s="102"/>
      <c r="DU123" s="102"/>
      <c r="DV123" s="102"/>
      <c r="DW123" s="102"/>
      <c r="DX123" s="102"/>
      <c r="DY123" s="102"/>
      <c r="DZ123" s="102"/>
      <c r="EA123" s="102"/>
      <c r="EB123" s="102"/>
      <c r="EC123" s="102"/>
      <c r="ED123" s="102"/>
      <c r="EE123" s="102"/>
      <c r="EF123" s="102"/>
      <c r="EG123" s="102"/>
      <c r="EH123" s="102"/>
      <c r="EI123" s="102"/>
      <c r="EJ123" s="102"/>
      <c r="EK123" s="102"/>
      <c r="EL123" s="102"/>
      <c r="EM123" s="102"/>
      <c r="EN123" s="102"/>
      <c r="EO123" s="102"/>
      <c r="EP123" s="102"/>
      <c r="EQ123" s="102"/>
    </row>
    <row r="124" hidden="1">
      <c r="A124" s="103" t="s">
        <v>229</v>
      </c>
      <c r="B124" s="131">
        <f t="shared" si="1"/>
        <v>46054</v>
      </c>
      <c r="C124" s="103">
        <v>210.0</v>
      </c>
      <c r="D124" s="103" t="s">
        <v>95</v>
      </c>
      <c r="E124" s="105"/>
      <c r="F124" s="105"/>
      <c r="G124" s="105"/>
      <c r="H124" s="103" t="s">
        <v>98</v>
      </c>
      <c r="I124" s="105"/>
      <c r="J124" s="106"/>
      <c r="K124" s="107"/>
      <c r="L124" s="105"/>
      <c r="M124" s="105"/>
      <c r="N124" s="103" t="s">
        <v>98</v>
      </c>
      <c r="O124" s="105"/>
      <c r="P124" s="105"/>
      <c r="Q124" s="105"/>
      <c r="R124" s="105"/>
      <c r="S124" s="103" t="s">
        <v>99</v>
      </c>
      <c r="T124" s="103" t="s">
        <v>96</v>
      </c>
      <c r="U124" s="103" t="s">
        <v>97</v>
      </c>
      <c r="V124" s="106"/>
      <c r="W124" s="107"/>
      <c r="X124" s="105"/>
      <c r="Y124" s="105"/>
      <c r="Z124" s="105"/>
      <c r="AA124" s="103" t="s">
        <v>99</v>
      </c>
      <c r="AB124" s="105"/>
      <c r="AC124" s="105"/>
      <c r="AD124" s="105"/>
      <c r="AE124" s="105"/>
      <c r="AF124" s="105"/>
      <c r="AG124" s="103" t="s">
        <v>99</v>
      </c>
      <c r="AH124" s="106"/>
      <c r="AI124" s="108" t="s">
        <v>97</v>
      </c>
      <c r="AJ124" s="105"/>
      <c r="AK124" s="105"/>
      <c r="AL124" s="105"/>
      <c r="AM124" s="105"/>
      <c r="AN124" s="103" t="s">
        <v>97</v>
      </c>
      <c r="AO124" s="105"/>
      <c r="AP124" s="105"/>
      <c r="AQ124" s="103" t="s">
        <v>98</v>
      </c>
      <c r="AR124" s="105"/>
      <c r="AS124" s="105"/>
      <c r="AT124" s="136" t="s">
        <v>97</v>
      </c>
      <c r="AU124" s="107"/>
      <c r="AV124" s="103" t="s">
        <v>96</v>
      </c>
      <c r="AW124" s="105"/>
      <c r="AX124" s="105"/>
      <c r="AY124" s="105"/>
      <c r="AZ124" s="105"/>
      <c r="BA124" s="105"/>
      <c r="BB124" s="105"/>
      <c r="BC124" s="105"/>
      <c r="BD124" s="105"/>
      <c r="BE124" s="105"/>
      <c r="BF124" s="106"/>
      <c r="BG124" s="105"/>
      <c r="BH124" s="105"/>
      <c r="BI124" s="105"/>
      <c r="BJ124" s="105"/>
      <c r="BK124" s="102"/>
      <c r="BL124" s="102"/>
      <c r="BM124" s="102"/>
      <c r="BN124" s="102"/>
      <c r="BO124" s="102"/>
      <c r="BP124" s="102"/>
      <c r="BQ124" s="102"/>
      <c r="BR124" s="102"/>
      <c r="BS124" s="102"/>
      <c r="BT124" s="102"/>
      <c r="BU124" s="102"/>
      <c r="BV124" s="102"/>
      <c r="BW124" s="102"/>
      <c r="BX124" s="102"/>
      <c r="BY124" s="102"/>
      <c r="BZ124" s="102"/>
      <c r="CA124" s="102"/>
      <c r="CB124" s="102"/>
      <c r="CC124" s="102"/>
      <c r="CD124" s="102"/>
      <c r="CE124" s="102"/>
      <c r="CF124" s="102"/>
      <c r="CG124" s="102"/>
      <c r="CH124" s="102"/>
      <c r="CI124" s="102"/>
      <c r="CJ124" s="102"/>
      <c r="CK124" s="102"/>
      <c r="CL124" s="102"/>
      <c r="CM124" s="102"/>
      <c r="CN124" s="102"/>
      <c r="CO124" s="102"/>
      <c r="CP124" s="102"/>
      <c r="CQ124" s="102"/>
      <c r="CR124" s="102"/>
      <c r="CS124" s="102"/>
      <c r="CT124" s="102"/>
      <c r="CU124" s="102"/>
      <c r="CV124" s="102"/>
      <c r="CW124" s="102"/>
      <c r="CX124" s="102"/>
      <c r="CY124" s="102"/>
      <c r="CZ124" s="102"/>
      <c r="DA124" s="102"/>
      <c r="DB124" s="102"/>
      <c r="DC124" s="102"/>
      <c r="DD124" s="102"/>
      <c r="DE124" s="102"/>
      <c r="DF124" s="102"/>
      <c r="DG124" s="102"/>
      <c r="DH124" s="102"/>
      <c r="DI124" s="102"/>
      <c r="DJ124" s="102"/>
      <c r="DK124" s="102"/>
      <c r="DL124" s="102"/>
      <c r="DM124" s="102"/>
      <c r="DN124" s="102"/>
      <c r="DO124" s="102"/>
      <c r="DP124" s="102"/>
      <c r="DQ124" s="102"/>
      <c r="DR124" s="102"/>
      <c r="DS124" s="102"/>
      <c r="DT124" s="102"/>
      <c r="DU124" s="102"/>
      <c r="DV124" s="102"/>
      <c r="DW124" s="102"/>
      <c r="DX124" s="102"/>
      <c r="DY124" s="102"/>
      <c r="DZ124" s="102"/>
      <c r="EA124" s="102"/>
      <c r="EB124" s="102"/>
      <c r="EC124" s="102"/>
      <c r="ED124" s="102"/>
      <c r="EE124" s="102"/>
      <c r="EF124" s="102"/>
      <c r="EG124" s="102"/>
      <c r="EH124" s="102"/>
      <c r="EI124" s="102"/>
      <c r="EJ124" s="102"/>
      <c r="EK124" s="102"/>
      <c r="EL124" s="102"/>
      <c r="EM124" s="102"/>
      <c r="EN124" s="102"/>
      <c r="EO124" s="102"/>
      <c r="EP124" s="102"/>
      <c r="EQ124" s="102"/>
    </row>
    <row r="125">
      <c r="A125" s="110" t="s">
        <v>230</v>
      </c>
      <c r="B125" s="111">
        <f t="shared" si="1"/>
        <v>46113</v>
      </c>
      <c r="C125" s="110">
        <v>210.0</v>
      </c>
      <c r="D125" s="110" t="s">
        <v>95</v>
      </c>
      <c r="E125" s="112"/>
      <c r="F125" s="112"/>
      <c r="G125" s="112"/>
      <c r="H125" s="112"/>
      <c r="I125" s="110" t="s">
        <v>98</v>
      </c>
      <c r="J125" s="113"/>
      <c r="K125" s="114"/>
      <c r="L125" s="116"/>
      <c r="M125" s="116"/>
      <c r="N125" s="116"/>
      <c r="O125" s="115" t="s">
        <v>98</v>
      </c>
      <c r="P125" s="116"/>
      <c r="Q125" s="116"/>
      <c r="R125" s="116"/>
      <c r="S125" s="115" t="s">
        <v>99</v>
      </c>
      <c r="T125" s="116"/>
      <c r="U125" s="115" t="s">
        <v>98</v>
      </c>
      <c r="V125" s="117"/>
      <c r="W125" s="118"/>
      <c r="X125" s="120"/>
      <c r="Y125" s="120"/>
      <c r="Z125" s="120"/>
      <c r="AA125" s="121" t="s">
        <v>99</v>
      </c>
      <c r="AB125" s="120"/>
      <c r="AC125" s="120"/>
      <c r="AD125" s="120"/>
      <c r="AE125" s="120"/>
      <c r="AF125" s="120"/>
      <c r="AG125" s="121" t="s">
        <v>99</v>
      </c>
      <c r="AH125" s="122"/>
      <c r="AI125" s="134" t="s">
        <v>98</v>
      </c>
      <c r="AJ125" s="124"/>
      <c r="AK125" s="124"/>
      <c r="AL125" s="124"/>
      <c r="AM125" s="124"/>
      <c r="AN125" s="125" t="s">
        <v>96</v>
      </c>
      <c r="AO125" s="124"/>
      <c r="AP125" s="124"/>
      <c r="AQ125" s="124"/>
      <c r="AR125" s="124"/>
      <c r="AS125" s="124"/>
      <c r="AT125" s="133" t="s">
        <v>97</v>
      </c>
      <c r="AU125" s="127"/>
      <c r="AV125" s="128" t="s">
        <v>97</v>
      </c>
      <c r="AW125" s="129"/>
      <c r="AX125" s="144" t="s">
        <v>96</v>
      </c>
      <c r="AY125" s="129"/>
      <c r="AZ125" s="129"/>
      <c r="BA125" s="129"/>
      <c r="BB125" s="129"/>
      <c r="BC125" s="129"/>
      <c r="BD125" s="129"/>
      <c r="BE125" s="129"/>
      <c r="BF125" s="130"/>
      <c r="BG125" s="129"/>
      <c r="BH125" s="129"/>
      <c r="BI125" s="129"/>
      <c r="BJ125" s="129"/>
      <c r="BK125" s="102"/>
      <c r="BL125" s="102"/>
      <c r="BM125" s="102"/>
      <c r="BN125" s="102"/>
      <c r="BO125" s="102"/>
      <c r="BP125" s="102"/>
      <c r="BQ125" s="102"/>
      <c r="BR125" s="102"/>
      <c r="BS125" s="102"/>
      <c r="BT125" s="102"/>
      <c r="BU125" s="102"/>
      <c r="BV125" s="102"/>
      <c r="BW125" s="102"/>
      <c r="BX125" s="102"/>
      <c r="BY125" s="102"/>
      <c r="BZ125" s="102"/>
      <c r="CA125" s="102"/>
      <c r="CB125" s="102"/>
      <c r="CC125" s="102"/>
      <c r="CD125" s="102"/>
      <c r="CE125" s="102"/>
      <c r="CF125" s="102"/>
      <c r="CG125" s="102"/>
      <c r="CH125" s="102"/>
      <c r="CI125" s="102"/>
      <c r="CJ125" s="102"/>
      <c r="CK125" s="102"/>
      <c r="CL125" s="102"/>
      <c r="CM125" s="102"/>
      <c r="CN125" s="102"/>
      <c r="CO125" s="102"/>
      <c r="CP125" s="102"/>
      <c r="CQ125" s="102"/>
      <c r="CR125" s="102"/>
      <c r="CS125" s="102"/>
      <c r="CT125" s="102"/>
      <c r="CU125" s="102"/>
      <c r="CV125" s="102"/>
      <c r="CW125" s="102"/>
      <c r="CX125" s="102"/>
      <c r="CY125" s="102"/>
      <c r="CZ125" s="102"/>
      <c r="DA125" s="102"/>
      <c r="DB125" s="102"/>
      <c r="DC125" s="102"/>
      <c r="DD125" s="102"/>
      <c r="DE125" s="102"/>
      <c r="DF125" s="102"/>
      <c r="DG125" s="102"/>
      <c r="DH125" s="102"/>
      <c r="DI125" s="102"/>
      <c r="DJ125" s="102"/>
      <c r="DK125" s="102"/>
      <c r="DL125" s="102"/>
      <c r="DM125" s="102"/>
      <c r="DN125" s="102"/>
      <c r="DO125" s="102"/>
      <c r="DP125" s="102"/>
      <c r="DQ125" s="102"/>
      <c r="DR125" s="102"/>
      <c r="DS125" s="102"/>
      <c r="DT125" s="102"/>
      <c r="DU125" s="102"/>
      <c r="DV125" s="102"/>
      <c r="DW125" s="102"/>
      <c r="DX125" s="102"/>
      <c r="DY125" s="102"/>
      <c r="DZ125" s="102"/>
      <c r="EA125" s="102"/>
      <c r="EB125" s="102"/>
      <c r="EC125" s="102"/>
      <c r="ED125" s="102"/>
      <c r="EE125" s="102"/>
      <c r="EF125" s="102"/>
      <c r="EG125" s="102"/>
      <c r="EH125" s="102"/>
      <c r="EI125" s="102"/>
      <c r="EJ125" s="102"/>
      <c r="EK125" s="102"/>
      <c r="EL125" s="102"/>
      <c r="EM125" s="102"/>
      <c r="EN125" s="102"/>
      <c r="EO125" s="102"/>
      <c r="EP125" s="102"/>
      <c r="EQ125" s="102"/>
    </row>
    <row r="126">
      <c r="A126" s="103" t="s">
        <v>231</v>
      </c>
      <c r="B126" s="131">
        <f t="shared" si="1"/>
        <v>46113</v>
      </c>
      <c r="C126" s="103">
        <v>60.0</v>
      </c>
      <c r="D126" s="103" t="s">
        <v>136</v>
      </c>
      <c r="E126" s="103" t="s">
        <v>99</v>
      </c>
      <c r="F126" s="103" t="s">
        <v>97</v>
      </c>
      <c r="G126" s="103" t="s">
        <v>99</v>
      </c>
      <c r="H126" s="103" t="s">
        <v>97</v>
      </c>
      <c r="I126" s="103" t="s">
        <v>99</v>
      </c>
      <c r="J126" s="136" t="s">
        <v>97</v>
      </c>
      <c r="K126" s="108" t="s">
        <v>99</v>
      </c>
      <c r="L126" s="103" t="s">
        <v>99</v>
      </c>
      <c r="M126" s="103" t="s">
        <v>99</v>
      </c>
      <c r="N126" s="103" t="s">
        <v>97</v>
      </c>
      <c r="O126" s="103" t="s">
        <v>99</v>
      </c>
      <c r="P126" s="103" t="s">
        <v>97</v>
      </c>
      <c r="Q126" s="103" t="s">
        <v>99</v>
      </c>
      <c r="R126" s="103" t="s">
        <v>97</v>
      </c>
      <c r="S126" s="103" t="s">
        <v>99</v>
      </c>
      <c r="T126" s="103" t="s">
        <v>97</v>
      </c>
      <c r="U126" s="103" t="s">
        <v>99</v>
      </c>
      <c r="V126" s="136" t="s">
        <v>97</v>
      </c>
      <c r="W126" s="103" t="s">
        <v>99</v>
      </c>
      <c r="X126" s="103" t="s">
        <v>99</v>
      </c>
      <c r="Y126" s="103" t="s">
        <v>99</v>
      </c>
      <c r="Z126" s="103" t="s">
        <v>99</v>
      </c>
      <c r="AA126" s="103" t="s">
        <v>99</v>
      </c>
      <c r="AB126" s="103" t="s">
        <v>97</v>
      </c>
      <c r="AC126" s="103" t="s">
        <v>99</v>
      </c>
      <c r="AD126" s="103" t="s">
        <v>99</v>
      </c>
      <c r="AE126" s="103" t="s">
        <v>97</v>
      </c>
      <c r="AF126" s="103" t="s">
        <v>99</v>
      </c>
      <c r="AG126" s="103" t="s">
        <v>97</v>
      </c>
      <c r="AH126" s="136" t="s">
        <v>99</v>
      </c>
      <c r="AI126" s="108" t="s">
        <v>97</v>
      </c>
      <c r="AJ126" s="103" t="s">
        <v>99</v>
      </c>
      <c r="AK126" s="103" t="s">
        <v>99</v>
      </c>
      <c r="AL126" s="103" t="s">
        <v>99</v>
      </c>
      <c r="AM126" s="103" t="s">
        <v>99</v>
      </c>
      <c r="AN126" s="103" t="s">
        <v>97</v>
      </c>
      <c r="AO126" s="103" t="s">
        <v>99</v>
      </c>
      <c r="AP126" s="103" t="s">
        <v>99</v>
      </c>
      <c r="AQ126" s="103" t="s">
        <v>97</v>
      </c>
      <c r="AR126" s="103" t="s">
        <v>99</v>
      </c>
      <c r="AS126" s="103" t="s">
        <v>97</v>
      </c>
      <c r="AT126" s="136" t="s">
        <v>99</v>
      </c>
      <c r="AU126" s="108" t="s">
        <v>99</v>
      </c>
      <c r="AV126" s="103" t="s">
        <v>97</v>
      </c>
      <c r="AW126" s="105"/>
      <c r="AX126" s="139" t="s">
        <v>97</v>
      </c>
      <c r="AY126" s="105"/>
      <c r="AZ126" s="105"/>
      <c r="BA126" s="105"/>
      <c r="BB126" s="105"/>
      <c r="BC126" s="105"/>
      <c r="BD126" s="105"/>
      <c r="BE126" s="105"/>
      <c r="BF126" s="106"/>
      <c r="BG126" s="105"/>
      <c r="BH126" s="105"/>
      <c r="BI126" s="105"/>
      <c r="BJ126" s="105"/>
      <c r="BK126" s="102"/>
      <c r="BL126" s="102"/>
      <c r="BM126" s="102"/>
      <c r="BN126" s="102"/>
      <c r="BO126" s="102"/>
      <c r="BP126" s="102"/>
      <c r="BQ126" s="102"/>
      <c r="BR126" s="102"/>
      <c r="BS126" s="102"/>
      <c r="BT126" s="102"/>
      <c r="BU126" s="102"/>
      <c r="BV126" s="102"/>
      <c r="BW126" s="102"/>
      <c r="BX126" s="102"/>
      <c r="BY126" s="102"/>
      <c r="BZ126" s="102"/>
      <c r="CA126" s="102"/>
      <c r="CB126" s="102"/>
      <c r="CC126" s="102"/>
      <c r="CD126" s="102"/>
      <c r="CE126" s="102"/>
      <c r="CF126" s="102"/>
      <c r="CG126" s="102"/>
      <c r="CH126" s="102"/>
      <c r="CI126" s="102"/>
      <c r="CJ126" s="102"/>
      <c r="CK126" s="102"/>
      <c r="CL126" s="102"/>
      <c r="CM126" s="102"/>
      <c r="CN126" s="102"/>
      <c r="CO126" s="102"/>
      <c r="CP126" s="102"/>
      <c r="CQ126" s="102"/>
      <c r="CR126" s="102"/>
      <c r="CS126" s="102"/>
      <c r="CT126" s="102"/>
      <c r="CU126" s="102"/>
      <c r="CV126" s="102"/>
      <c r="CW126" s="102"/>
      <c r="CX126" s="102"/>
      <c r="CY126" s="102"/>
      <c r="CZ126" s="102"/>
      <c r="DA126" s="102"/>
      <c r="DB126" s="102"/>
      <c r="DC126" s="102"/>
      <c r="DD126" s="102"/>
      <c r="DE126" s="102"/>
      <c r="DF126" s="102"/>
      <c r="DG126" s="102"/>
      <c r="DH126" s="102"/>
      <c r="DI126" s="102"/>
      <c r="DJ126" s="102"/>
      <c r="DK126" s="102"/>
      <c r="DL126" s="102"/>
      <c r="DM126" s="102"/>
      <c r="DN126" s="102"/>
      <c r="DO126" s="102"/>
      <c r="DP126" s="102"/>
      <c r="DQ126" s="102"/>
      <c r="DR126" s="102"/>
      <c r="DS126" s="102"/>
      <c r="DT126" s="102"/>
      <c r="DU126" s="102"/>
      <c r="DV126" s="102"/>
      <c r="DW126" s="102"/>
      <c r="DX126" s="102"/>
      <c r="DY126" s="102"/>
      <c r="DZ126" s="102"/>
      <c r="EA126" s="102"/>
      <c r="EB126" s="102"/>
      <c r="EC126" s="102"/>
      <c r="ED126" s="102"/>
      <c r="EE126" s="102"/>
      <c r="EF126" s="102"/>
      <c r="EG126" s="102"/>
      <c r="EH126" s="102"/>
      <c r="EI126" s="102"/>
      <c r="EJ126" s="102"/>
      <c r="EK126" s="102"/>
      <c r="EL126" s="102"/>
      <c r="EM126" s="102"/>
      <c r="EN126" s="102"/>
      <c r="EO126" s="102"/>
      <c r="EP126" s="102"/>
      <c r="EQ126" s="102"/>
    </row>
    <row r="127">
      <c r="A127" s="110" t="s">
        <v>232</v>
      </c>
      <c r="B127" s="111">
        <f t="shared" si="1"/>
        <v>46113</v>
      </c>
      <c r="C127" s="110">
        <v>60.0</v>
      </c>
      <c r="D127" s="110" t="s">
        <v>136</v>
      </c>
      <c r="E127" s="110" t="s">
        <v>99</v>
      </c>
      <c r="F127" s="110" t="s">
        <v>97</v>
      </c>
      <c r="G127" s="110" t="s">
        <v>99</v>
      </c>
      <c r="H127" s="110" t="s">
        <v>97</v>
      </c>
      <c r="I127" s="110" t="s">
        <v>99</v>
      </c>
      <c r="J127" s="137" t="s">
        <v>97</v>
      </c>
      <c r="K127" s="132" t="s">
        <v>99</v>
      </c>
      <c r="L127" s="115" t="s">
        <v>99</v>
      </c>
      <c r="M127" s="115" t="s">
        <v>99</v>
      </c>
      <c r="N127" s="115" t="s">
        <v>97</v>
      </c>
      <c r="O127" s="115" t="s">
        <v>99</v>
      </c>
      <c r="P127" s="115" t="s">
        <v>97</v>
      </c>
      <c r="Q127" s="115" t="s">
        <v>99</v>
      </c>
      <c r="R127" s="115" t="s">
        <v>97</v>
      </c>
      <c r="S127" s="115" t="s">
        <v>99</v>
      </c>
      <c r="T127" s="115" t="s">
        <v>97</v>
      </c>
      <c r="U127" s="115" t="s">
        <v>99</v>
      </c>
      <c r="V127" s="143" t="s">
        <v>97</v>
      </c>
      <c r="W127" s="121" t="s">
        <v>99</v>
      </c>
      <c r="X127" s="121" t="s">
        <v>99</v>
      </c>
      <c r="Y127" s="121" t="s">
        <v>99</v>
      </c>
      <c r="Z127" s="121" t="s">
        <v>99</v>
      </c>
      <c r="AA127" s="121" t="s">
        <v>99</v>
      </c>
      <c r="AB127" s="121" t="s">
        <v>97</v>
      </c>
      <c r="AC127" s="121" t="s">
        <v>99</v>
      </c>
      <c r="AD127" s="121" t="s">
        <v>99</v>
      </c>
      <c r="AE127" s="121" t="s">
        <v>97</v>
      </c>
      <c r="AF127" s="121" t="s">
        <v>99</v>
      </c>
      <c r="AG127" s="121" t="s">
        <v>97</v>
      </c>
      <c r="AH127" s="140" t="s">
        <v>99</v>
      </c>
      <c r="AI127" s="134" t="s">
        <v>97</v>
      </c>
      <c r="AJ127" s="125" t="s">
        <v>99</v>
      </c>
      <c r="AK127" s="125" t="s">
        <v>99</v>
      </c>
      <c r="AL127" s="125" t="s">
        <v>99</v>
      </c>
      <c r="AM127" s="125" t="s">
        <v>99</v>
      </c>
      <c r="AN127" s="125" t="s">
        <v>97</v>
      </c>
      <c r="AO127" s="125" t="s">
        <v>99</v>
      </c>
      <c r="AP127" s="125" t="s">
        <v>99</v>
      </c>
      <c r="AQ127" s="125" t="s">
        <v>97</v>
      </c>
      <c r="AR127" s="125" t="s">
        <v>99</v>
      </c>
      <c r="AS127" s="125" t="s">
        <v>97</v>
      </c>
      <c r="AT127" s="133" t="s">
        <v>99</v>
      </c>
      <c r="AU127" s="135" t="s">
        <v>99</v>
      </c>
      <c r="AV127" s="128" t="s">
        <v>97</v>
      </c>
      <c r="AW127" s="129"/>
      <c r="AX127" s="145" t="s">
        <v>97</v>
      </c>
      <c r="AY127" s="129"/>
      <c r="AZ127" s="129"/>
      <c r="BA127" s="129"/>
      <c r="BB127" s="129"/>
      <c r="BC127" s="129"/>
      <c r="BD127" s="129"/>
      <c r="BE127" s="129"/>
      <c r="BF127" s="130"/>
      <c r="BG127" s="129"/>
      <c r="BH127" s="129"/>
      <c r="BI127" s="129"/>
      <c r="BJ127" s="129"/>
      <c r="BK127" s="102"/>
      <c r="BL127" s="102"/>
      <c r="BM127" s="102"/>
      <c r="BN127" s="102"/>
      <c r="BO127" s="102"/>
      <c r="BP127" s="102"/>
      <c r="BQ127" s="102"/>
      <c r="BR127" s="102"/>
      <c r="BS127" s="102"/>
      <c r="BT127" s="102"/>
      <c r="BU127" s="102"/>
      <c r="BV127" s="102"/>
      <c r="BW127" s="102"/>
      <c r="BX127" s="102"/>
      <c r="BY127" s="102"/>
      <c r="BZ127" s="102"/>
      <c r="CA127" s="102"/>
      <c r="CB127" s="102"/>
      <c r="CC127" s="102"/>
      <c r="CD127" s="102"/>
      <c r="CE127" s="102"/>
      <c r="CF127" s="102"/>
      <c r="CG127" s="102"/>
      <c r="CH127" s="102"/>
      <c r="CI127" s="102"/>
      <c r="CJ127" s="102"/>
      <c r="CK127" s="102"/>
      <c r="CL127" s="102"/>
      <c r="CM127" s="102"/>
      <c r="CN127" s="102"/>
      <c r="CO127" s="102"/>
      <c r="CP127" s="102"/>
      <c r="CQ127" s="102"/>
      <c r="CR127" s="102"/>
      <c r="CS127" s="102"/>
      <c r="CT127" s="102"/>
      <c r="CU127" s="102"/>
      <c r="CV127" s="102"/>
      <c r="CW127" s="102"/>
      <c r="CX127" s="102"/>
      <c r="CY127" s="102"/>
      <c r="CZ127" s="102"/>
      <c r="DA127" s="102"/>
      <c r="DB127" s="102"/>
      <c r="DC127" s="102"/>
      <c r="DD127" s="102"/>
      <c r="DE127" s="102"/>
      <c r="DF127" s="102"/>
      <c r="DG127" s="102"/>
      <c r="DH127" s="102"/>
      <c r="DI127" s="102"/>
      <c r="DJ127" s="102"/>
      <c r="DK127" s="102"/>
      <c r="DL127" s="102"/>
      <c r="DM127" s="102"/>
      <c r="DN127" s="102"/>
      <c r="DO127" s="102"/>
      <c r="DP127" s="102"/>
      <c r="DQ127" s="102"/>
      <c r="DR127" s="102"/>
      <c r="DS127" s="102"/>
      <c r="DT127" s="102"/>
      <c r="DU127" s="102"/>
      <c r="DV127" s="102"/>
      <c r="DW127" s="102"/>
      <c r="DX127" s="102"/>
      <c r="DY127" s="102"/>
      <c r="DZ127" s="102"/>
      <c r="EA127" s="102"/>
      <c r="EB127" s="102"/>
      <c r="EC127" s="102"/>
      <c r="ED127" s="102"/>
      <c r="EE127" s="102"/>
      <c r="EF127" s="102"/>
      <c r="EG127" s="102"/>
      <c r="EH127" s="102"/>
      <c r="EI127" s="102"/>
      <c r="EJ127" s="102"/>
      <c r="EK127" s="102"/>
      <c r="EL127" s="102"/>
      <c r="EM127" s="102"/>
      <c r="EN127" s="102"/>
      <c r="EO127" s="102"/>
      <c r="EP127" s="102"/>
      <c r="EQ127" s="102"/>
    </row>
    <row r="128">
      <c r="A128" s="103" t="s">
        <v>233</v>
      </c>
      <c r="B128" s="131">
        <f t="shared" si="1"/>
        <v>46113</v>
      </c>
      <c r="C128" s="103">
        <v>60.0</v>
      </c>
      <c r="D128" s="103" t="s">
        <v>136</v>
      </c>
      <c r="E128" s="103" t="s">
        <v>97</v>
      </c>
      <c r="F128" s="103" t="s">
        <v>97</v>
      </c>
      <c r="G128" s="103" t="s">
        <v>97</v>
      </c>
      <c r="H128" s="103" t="s">
        <v>97</v>
      </c>
      <c r="I128" s="103" t="s">
        <v>97</v>
      </c>
      <c r="J128" s="136" t="s">
        <v>97</v>
      </c>
      <c r="K128" s="108" t="s">
        <v>97</v>
      </c>
      <c r="L128" s="103" t="s">
        <v>99</v>
      </c>
      <c r="M128" s="103" t="s">
        <v>97</v>
      </c>
      <c r="N128" s="103" t="s">
        <v>97</v>
      </c>
      <c r="O128" s="103" t="s">
        <v>97</v>
      </c>
      <c r="P128" s="103" t="s">
        <v>97</v>
      </c>
      <c r="Q128" s="103" t="s">
        <v>99</v>
      </c>
      <c r="R128" s="103" t="s">
        <v>97</v>
      </c>
      <c r="S128" s="103" t="s">
        <v>99</v>
      </c>
      <c r="T128" s="103" t="s">
        <v>97</v>
      </c>
      <c r="U128" s="103" t="s">
        <v>97</v>
      </c>
      <c r="V128" s="136" t="s">
        <v>97</v>
      </c>
      <c r="W128" s="103" t="s">
        <v>99</v>
      </c>
      <c r="X128" s="103" t="s">
        <v>99</v>
      </c>
      <c r="Y128" s="103" t="s">
        <v>99</v>
      </c>
      <c r="Z128" s="103" t="s">
        <v>99</v>
      </c>
      <c r="AA128" s="103" t="s">
        <v>99</v>
      </c>
      <c r="AB128" s="103" t="s">
        <v>97</v>
      </c>
      <c r="AC128" s="103" t="s">
        <v>97</v>
      </c>
      <c r="AD128" s="103" t="s">
        <v>99</v>
      </c>
      <c r="AE128" s="103" t="s">
        <v>97</v>
      </c>
      <c r="AF128" s="103" t="s">
        <v>97</v>
      </c>
      <c r="AG128" s="103" t="s">
        <v>97</v>
      </c>
      <c r="AH128" s="136" t="s">
        <v>99</v>
      </c>
      <c r="AI128" s="108" t="s">
        <v>97</v>
      </c>
      <c r="AJ128" s="103" t="s">
        <v>97</v>
      </c>
      <c r="AK128" s="103" t="s">
        <v>99</v>
      </c>
      <c r="AL128" s="103" t="s">
        <v>99</v>
      </c>
      <c r="AM128" s="103" t="s">
        <v>99</v>
      </c>
      <c r="AN128" s="103" t="s">
        <v>97</v>
      </c>
      <c r="AO128" s="103" t="s">
        <v>99</v>
      </c>
      <c r="AP128" s="103" t="s">
        <v>99</v>
      </c>
      <c r="AQ128" s="103" t="s">
        <v>97</v>
      </c>
      <c r="AR128" s="103" t="s">
        <v>97</v>
      </c>
      <c r="AS128" s="103" t="s">
        <v>99</v>
      </c>
      <c r="AT128" s="136" t="s">
        <v>97</v>
      </c>
      <c r="AU128" s="108" t="s">
        <v>99</v>
      </c>
      <c r="AV128" s="103" t="s">
        <v>97</v>
      </c>
      <c r="AW128" s="105"/>
      <c r="AX128" s="139" t="s">
        <v>97</v>
      </c>
      <c r="AY128" s="105"/>
      <c r="AZ128" s="105"/>
      <c r="BA128" s="105"/>
      <c r="BB128" s="105"/>
      <c r="BC128" s="105"/>
      <c r="BD128" s="105"/>
      <c r="BE128" s="105"/>
      <c r="BF128" s="106"/>
      <c r="BG128" s="105"/>
      <c r="BH128" s="105"/>
      <c r="BI128" s="105"/>
      <c r="BJ128" s="105"/>
      <c r="BK128" s="102"/>
      <c r="BL128" s="102"/>
      <c r="BM128" s="102"/>
      <c r="BN128" s="102"/>
      <c r="BO128" s="102"/>
      <c r="BP128" s="102"/>
      <c r="BQ128" s="102"/>
      <c r="BR128" s="102"/>
      <c r="BS128" s="102"/>
      <c r="BT128" s="102"/>
      <c r="BU128" s="102"/>
      <c r="BV128" s="102"/>
      <c r="BW128" s="102"/>
      <c r="BX128" s="102"/>
      <c r="BY128" s="102"/>
      <c r="BZ128" s="102"/>
      <c r="CA128" s="102"/>
      <c r="CB128" s="102"/>
      <c r="CC128" s="102"/>
      <c r="CD128" s="102"/>
      <c r="CE128" s="102"/>
      <c r="CF128" s="102"/>
      <c r="CG128" s="102"/>
      <c r="CH128" s="102"/>
      <c r="CI128" s="102"/>
      <c r="CJ128" s="102"/>
      <c r="CK128" s="102"/>
      <c r="CL128" s="102"/>
      <c r="CM128" s="102"/>
      <c r="CN128" s="102"/>
      <c r="CO128" s="102"/>
      <c r="CP128" s="102"/>
      <c r="CQ128" s="102"/>
      <c r="CR128" s="102"/>
      <c r="CS128" s="102"/>
      <c r="CT128" s="102"/>
      <c r="CU128" s="102"/>
      <c r="CV128" s="102"/>
      <c r="CW128" s="102"/>
      <c r="CX128" s="102"/>
      <c r="CY128" s="102"/>
      <c r="CZ128" s="102"/>
      <c r="DA128" s="102"/>
      <c r="DB128" s="102"/>
      <c r="DC128" s="102"/>
      <c r="DD128" s="102"/>
      <c r="DE128" s="102"/>
      <c r="DF128" s="102"/>
      <c r="DG128" s="102"/>
      <c r="DH128" s="102"/>
      <c r="DI128" s="102"/>
      <c r="DJ128" s="102"/>
      <c r="DK128" s="102"/>
      <c r="DL128" s="102"/>
      <c r="DM128" s="102"/>
      <c r="DN128" s="102"/>
      <c r="DO128" s="102"/>
      <c r="DP128" s="102"/>
      <c r="DQ128" s="102"/>
      <c r="DR128" s="102"/>
      <c r="DS128" s="102"/>
      <c r="DT128" s="102"/>
      <c r="DU128" s="102"/>
      <c r="DV128" s="102"/>
      <c r="DW128" s="102"/>
      <c r="DX128" s="102"/>
      <c r="DY128" s="102"/>
      <c r="DZ128" s="102"/>
      <c r="EA128" s="102"/>
      <c r="EB128" s="102"/>
      <c r="EC128" s="102"/>
      <c r="ED128" s="102"/>
      <c r="EE128" s="102"/>
      <c r="EF128" s="102"/>
      <c r="EG128" s="102"/>
      <c r="EH128" s="102"/>
      <c r="EI128" s="102"/>
      <c r="EJ128" s="102"/>
      <c r="EK128" s="102"/>
      <c r="EL128" s="102"/>
      <c r="EM128" s="102"/>
      <c r="EN128" s="102"/>
      <c r="EO128" s="102"/>
      <c r="EP128" s="102"/>
      <c r="EQ128" s="102"/>
    </row>
    <row r="129">
      <c r="A129" s="110" t="s">
        <v>234</v>
      </c>
      <c r="B129" s="111">
        <f t="shared" si="1"/>
        <v>46054</v>
      </c>
      <c r="C129" s="110">
        <v>365.0</v>
      </c>
      <c r="D129" s="110" t="s">
        <v>128</v>
      </c>
      <c r="E129" s="112"/>
      <c r="F129" s="112"/>
      <c r="G129" s="112"/>
      <c r="H129" s="112"/>
      <c r="I129" s="112"/>
      <c r="J129" s="113"/>
      <c r="K129" s="114"/>
      <c r="L129" s="116"/>
      <c r="M129" s="116"/>
      <c r="N129" s="116"/>
      <c r="O129" s="116"/>
      <c r="P129" s="116"/>
      <c r="Q129" s="116"/>
      <c r="R129" s="116"/>
      <c r="S129" s="116"/>
      <c r="T129" s="116"/>
      <c r="U129" s="116"/>
      <c r="V129" s="117"/>
      <c r="W129" s="118"/>
      <c r="X129" s="120"/>
      <c r="Y129" s="120"/>
      <c r="Z129" s="120"/>
      <c r="AA129" s="120"/>
      <c r="AB129" s="120"/>
      <c r="AC129" s="120"/>
      <c r="AD129" s="120"/>
      <c r="AE129" s="120"/>
      <c r="AF129" s="120"/>
      <c r="AG129" s="120"/>
      <c r="AH129" s="122"/>
      <c r="AI129" s="123"/>
      <c r="AJ129" s="125" t="s">
        <v>97</v>
      </c>
      <c r="AK129" s="124"/>
      <c r="AL129" s="124"/>
      <c r="AM129" s="124"/>
      <c r="AN129" s="124"/>
      <c r="AO129" s="124"/>
      <c r="AP129" s="124"/>
      <c r="AQ129" s="124"/>
      <c r="AR129" s="124"/>
      <c r="AS129" s="124"/>
      <c r="AT129" s="126"/>
      <c r="AU129" s="127"/>
      <c r="AV129" s="128" t="s">
        <v>97</v>
      </c>
      <c r="AW129" s="129"/>
      <c r="AX129" s="129"/>
      <c r="AY129" s="129"/>
      <c r="AZ129" s="129"/>
      <c r="BA129" s="129"/>
      <c r="BB129" s="129"/>
      <c r="BC129" s="129"/>
      <c r="BD129" s="129"/>
      <c r="BE129" s="129"/>
      <c r="BF129" s="130"/>
      <c r="BG129" s="129"/>
      <c r="BH129" s="129"/>
      <c r="BI129" s="129"/>
      <c r="BJ129" s="129"/>
      <c r="BK129" s="102"/>
      <c r="BL129" s="102"/>
      <c r="BM129" s="102"/>
      <c r="BN129" s="102"/>
      <c r="BO129" s="102"/>
      <c r="BP129" s="102"/>
      <c r="BQ129" s="102"/>
      <c r="BR129" s="102"/>
      <c r="BS129" s="102"/>
      <c r="BT129" s="102"/>
      <c r="BU129" s="102"/>
      <c r="BV129" s="102"/>
      <c r="BW129" s="102"/>
      <c r="BX129" s="102"/>
      <c r="BY129" s="102"/>
      <c r="BZ129" s="102"/>
      <c r="CA129" s="102"/>
      <c r="CB129" s="102"/>
      <c r="CC129" s="102"/>
      <c r="CD129" s="102"/>
      <c r="CE129" s="102"/>
      <c r="CF129" s="102"/>
      <c r="CG129" s="102"/>
      <c r="CH129" s="102"/>
      <c r="CI129" s="102"/>
      <c r="CJ129" s="102"/>
      <c r="CK129" s="102"/>
      <c r="CL129" s="102"/>
      <c r="CM129" s="102"/>
      <c r="CN129" s="102"/>
      <c r="CO129" s="102"/>
      <c r="CP129" s="102"/>
      <c r="CQ129" s="102"/>
      <c r="CR129" s="102"/>
      <c r="CS129" s="102"/>
      <c r="CT129" s="102"/>
      <c r="CU129" s="102"/>
      <c r="CV129" s="102"/>
      <c r="CW129" s="102"/>
      <c r="CX129" s="102"/>
      <c r="CY129" s="102"/>
      <c r="CZ129" s="102"/>
      <c r="DA129" s="102"/>
      <c r="DB129" s="102"/>
      <c r="DC129" s="102"/>
      <c r="DD129" s="102"/>
      <c r="DE129" s="102"/>
      <c r="DF129" s="102"/>
      <c r="DG129" s="102"/>
      <c r="DH129" s="102"/>
      <c r="DI129" s="102"/>
      <c r="DJ129" s="102"/>
      <c r="DK129" s="102"/>
      <c r="DL129" s="102"/>
      <c r="DM129" s="102"/>
      <c r="DN129" s="102"/>
      <c r="DO129" s="102"/>
      <c r="DP129" s="102"/>
      <c r="DQ129" s="102"/>
      <c r="DR129" s="102"/>
      <c r="DS129" s="102"/>
      <c r="DT129" s="102"/>
      <c r="DU129" s="102"/>
      <c r="DV129" s="102"/>
      <c r="DW129" s="102"/>
      <c r="DX129" s="102"/>
      <c r="DY129" s="102"/>
      <c r="DZ129" s="102"/>
      <c r="EA129" s="102"/>
      <c r="EB129" s="102"/>
      <c r="EC129" s="102"/>
      <c r="ED129" s="102"/>
      <c r="EE129" s="102"/>
      <c r="EF129" s="102"/>
      <c r="EG129" s="102"/>
      <c r="EH129" s="102"/>
      <c r="EI129" s="102"/>
      <c r="EJ129" s="102"/>
      <c r="EK129" s="102"/>
      <c r="EL129" s="102"/>
      <c r="EM129" s="102"/>
      <c r="EN129" s="102"/>
      <c r="EO129" s="102"/>
      <c r="EP129" s="102"/>
      <c r="EQ129" s="102"/>
    </row>
    <row r="130">
      <c r="A130" s="103" t="s">
        <v>235</v>
      </c>
      <c r="B130" s="131">
        <f t="shared" si="1"/>
        <v>46054</v>
      </c>
      <c r="C130" s="103">
        <v>120.0</v>
      </c>
      <c r="D130" s="103" t="s">
        <v>109</v>
      </c>
      <c r="E130" s="105"/>
      <c r="F130" s="103" t="s">
        <v>98</v>
      </c>
      <c r="G130" s="103" t="s">
        <v>97</v>
      </c>
      <c r="H130" s="105"/>
      <c r="I130" s="105"/>
      <c r="J130" s="136" t="s">
        <v>97</v>
      </c>
      <c r="K130" s="107"/>
      <c r="L130" s="105"/>
      <c r="M130" s="103" t="s">
        <v>97</v>
      </c>
      <c r="N130" s="105"/>
      <c r="O130" s="105"/>
      <c r="P130" s="103" t="s">
        <v>97</v>
      </c>
      <c r="Q130" s="105"/>
      <c r="R130" s="105"/>
      <c r="S130" s="103" t="s">
        <v>99</v>
      </c>
      <c r="T130" s="103" t="s">
        <v>97</v>
      </c>
      <c r="U130" s="103" t="s">
        <v>97</v>
      </c>
      <c r="V130" s="136" t="s">
        <v>97</v>
      </c>
      <c r="W130" s="107"/>
      <c r="X130" s="105"/>
      <c r="Y130" s="103" t="s">
        <v>99</v>
      </c>
      <c r="Z130" s="105"/>
      <c r="AA130" s="105"/>
      <c r="AB130" s="103" t="s">
        <v>97</v>
      </c>
      <c r="AC130" s="105"/>
      <c r="AD130" s="105"/>
      <c r="AE130" s="103" t="s">
        <v>99</v>
      </c>
      <c r="AF130" s="103" t="s">
        <v>97</v>
      </c>
      <c r="AG130" s="105"/>
      <c r="AH130" s="106"/>
      <c r="AI130" s="108" t="s">
        <v>97</v>
      </c>
      <c r="AJ130" s="103" t="s">
        <v>97</v>
      </c>
      <c r="AK130" s="105"/>
      <c r="AL130" s="105"/>
      <c r="AM130" s="103" t="s">
        <v>99</v>
      </c>
      <c r="AN130" s="103" t="s">
        <v>97</v>
      </c>
      <c r="AO130" s="105"/>
      <c r="AP130" s="105"/>
      <c r="AQ130" s="103" t="s">
        <v>98</v>
      </c>
      <c r="AR130" s="105"/>
      <c r="AS130" s="105"/>
      <c r="AT130" s="136" t="s">
        <v>99</v>
      </c>
      <c r="AU130" s="107"/>
      <c r="AV130" s="103" t="s">
        <v>98</v>
      </c>
      <c r="AW130" s="105"/>
      <c r="AX130" s="105"/>
      <c r="AY130" s="105"/>
      <c r="AZ130" s="105"/>
      <c r="BA130" s="105"/>
      <c r="BB130" s="105"/>
      <c r="BC130" s="105"/>
      <c r="BD130" s="105"/>
      <c r="BE130" s="105"/>
      <c r="BF130" s="106"/>
      <c r="BG130" s="105"/>
      <c r="BH130" s="105"/>
      <c r="BI130" s="105"/>
      <c r="BJ130" s="105"/>
      <c r="BK130" s="102"/>
      <c r="BL130" s="102"/>
      <c r="BM130" s="102"/>
      <c r="BN130" s="102"/>
      <c r="BO130" s="102"/>
      <c r="BP130" s="102"/>
      <c r="BQ130" s="102"/>
      <c r="BR130" s="102"/>
      <c r="BS130" s="102"/>
      <c r="BT130" s="102"/>
      <c r="BU130" s="102"/>
      <c r="BV130" s="102"/>
      <c r="BW130" s="102"/>
      <c r="BX130" s="102"/>
      <c r="BY130" s="102"/>
      <c r="BZ130" s="102"/>
      <c r="CA130" s="102"/>
      <c r="CB130" s="102"/>
      <c r="CC130" s="102"/>
      <c r="CD130" s="102"/>
      <c r="CE130" s="102"/>
      <c r="CF130" s="102"/>
      <c r="CG130" s="102"/>
      <c r="CH130" s="102"/>
      <c r="CI130" s="102"/>
      <c r="CJ130" s="102"/>
      <c r="CK130" s="102"/>
      <c r="CL130" s="102"/>
      <c r="CM130" s="102"/>
      <c r="CN130" s="102"/>
      <c r="CO130" s="102"/>
      <c r="CP130" s="102"/>
      <c r="CQ130" s="102"/>
      <c r="CR130" s="102"/>
      <c r="CS130" s="102"/>
      <c r="CT130" s="102"/>
      <c r="CU130" s="102"/>
      <c r="CV130" s="102"/>
      <c r="CW130" s="102"/>
      <c r="CX130" s="102"/>
      <c r="CY130" s="102"/>
      <c r="CZ130" s="102"/>
      <c r="DA130" s="102"/>
      <c r="DB130" s="102"/>
      <c r="DC130" s="102"/>
      <c r="DD130" s="102"/>
      <c r="DE130" s="102"/>
      <c r="DF130" s="102"/>
      <c r="DG130" s="102"/>
      <c r="DH130" s="102"/>
      <c r="DI130" s="102"/>
      <c r="DJ130" s="102"/>
      <c r="DK130" s="102"/>
      <c r="DL130" s="102"/>
      <c r="DM130" s="102"/>
      <c r="DN130" s="102"/>
      <c r="DO130" s="102"/>
      <c r="DP130" s="102"/>
      <c r="DQ130" s="102"/>
      <c r="DR130" s="102"/>
      <c r="DS130" s="102"/>
      <c r="DT130" s="102"/>
      <c r="DU130" s="102"/>
      <c r="DV130" s="102"/>
      <c r="DW130" s="102"/>
      <c r="DX130" s="102"/>
      <c r="DY130" s="102"/>
      <c r="DZ130" s="102"/>
      <c r="EA130" s="102"/>
      <c r="EB130" s="102"/>
      <c r="EC130" s="102"/>
      <c r="ED130" s="102"/>
      <c r="EE130" s="102"/>
      <c r="EF130" s="102"/>
      <c r="EG130" s="102"/>
      <c r="EH130" s="102"/>
      <c r="EI130" s="102"/>
      <c r="EJ130" s="102"/>
      <c r="EK130" s="102"/>
      <c r="EL130" s="102"/>
      <c r="EM130" s="102"/>
      <c r="EN130" s="102"/>
      <c r="EO130" s="102"/>
      <c r="EP130" s="102"/>
      <c r="EQ130" s="102"/>
    </row>
    <row r="131">
      <c r="A131" s="110" t="s">
        <v>236</v>
      </c>
      <c r="B131" s="111">
        <f t="shared" si="1"/>
        <v>46113</v>
      </c>
      <c r="C131" s="110">
        <v>210.0</v>
      </c>
      <c r="D131" s="110" t="s">
        <v>95</v>
      </c>
      <c r="E131" s="110" t="s">
        <v>97</v>
      </c>
      <c r="F131" s="112"/>
      <c r="G131" s="112"/>
      <c r="H131" s="112"/>
      <c r="I131" s="112"/>
      <c r="J131" s="113"/>
      <c r="K131" s="132" t="s">
        <v>97</v>
      </c>
      <c r="L131" s="115" t="s">
        <v>96</v>
      </c>
      <c r="M131" s="116"/>
      <c r="N131" s="116"/>
      <c r="O131" s="116"/>
      <c r="P131" s="116"/>
      <c r="Q131" s="115" t="s">
        <v>98</v>
      </c>
      <c r="R131" s="116"/>
      <c r="S131" s="115" t="s">
        <v>99</v>
      </c>
      <c r="T131" s="116"/>
      <c r="U131" s="116"/>
      <c r="V131" s="117"/>
      <c r="W131" s="119" t="s">
        <v>99</v>
      </c>
      <c r="X131" s="118"/>
      <c r="Y131" s="118"/>
      <c r="Z131" s="118"/>
      <c r="AA131" s="118"/>
      <c r="AB131" s="118"/>
      <c r="AC131" s="121" t="s">
        <v>97</v>
      </c>
      <c r="AD131" s="120"/>
      <c r="AE131" s="120"/>
      <c r="AF131" s="121" t="s">
        <v>97</v>
      </c>
      <c r="AG131" s="120"/>
      <c r="AH131" s="122"/>
      <c r="AI131" s="123"/>
      <c r="AJ131" s="124"/>
      <c r="AK131" s="124"/>
      <c r="AL131" s="125" t="s">
        <v>99</v>
      </c>
      <c r="AM131" s="124"/>
      <c r="AN131" s="124"/>
      <c r="AO131" s="124"/>
      <c r="AP131" s="125" t="s">
        <v>99</v>
      </c>
      <c r="AQ131" s="124"/>
      <c r="AR131" s="125" t="s">
        <v>97</v>
      </c>
      <c r="AS131" s="125" t="s">
        <v>97</v>
      </c>
      <c r="AT131" s="133" t="s">
        <v>97</v>
      </c>
      <c r="AU131" s="127"/>
      <c r="AV131" s="128" t="s">
        <v>97</v>
      </c>
      <c r="AW131" s="129"/>
      <c r="AX131" s="144" t="s">
        <v>97</v>
      </c>
      <c r="AY131" s="129"/>
      <c r="AZ131" s="129"/>
      <c r="BA131" s="129"/>
      <c r="BB131" s="129"/>
      <c r="BC131" s="129"/>
      <c r="BD131" s="129"/>
      <c r="BE131" s="129"/>
      <c r="BF131" s="130"/>
      <c r="BG131" s="129"/>
      <c r="BH131" s="129"/>
      <c r="BI131" s="129"/>
      <c r="BJ131" s="129"/>
      <c r="BK131" s="102"/>
      <c r="BL131" s="102"/>
      <c r="BM131" s="102"/>
      <c r="BN131" s="102"/>
      <c r="BO131" s="102"/>
      <c r="BP131" s="102"/>
      <c r="BQ131" s="102"/>
      <c r="BR131" s="102"/>
      <c r="BS131" s="102"/>
      <c r="BT131" s="102"/>
      <c r="BU131" s="102"/>
      <c r="BV131" s="102"/>
      <c r="BW131" s="102"/>
      <c r="BX131" s="102"/>
      <c r="BY131" s="102"/>
      <c r="BZ131" s="102"/>
      <c r="CA131" s="102"/>
      <c r="CB131" s="102"/>
      <c r="CC131" s="102"/>
      <c r="CD131" s="102"/>
      <c r="CE131" s="102"/>
      <c r="CF131" s="102"/>
      <c r="CG131" s="102"/>
      <c r="CH131" s="102"/>
      <c r="CI131" s="102"/>
      <c r="CJ131" s="102"/>
      <c r="CK131" s="102"/>
      <c r="CL131" s="102"/>
      <c r="CM131" s="102"/>
      <c r="CN131" s="102"/>
      <c r="CO131" s="102"/>
      <c r="CP131" s="102"/>
      <c r="CQ131" s="102"/>
      <c r="CR131" s="102"/>
      <c r="CS131" s="102"/>
      <c r="CT131" s="102"/>
      <c r="CU131" s="102"/>
      <c r="CV131" s="102"/>
      <c r="CW131" s="102"/>
      <c r="CX131" s="102"/>
      <c r="CY131" s="102"/>
      <c r="CZ131" s="102"/>
      <c r="DA131" s="102"/>
      <c r="DB131" s="102"/>
      <c r="DC131" s="102"/>
      <c r="DD131" s="102"/>
      <c r="DE131" s="102"/>
      <c r="DF131" s="102"/>
      <c r="DG131" s="102"/>
      <c r="DH131" s="102"/>
      <c r="DI131" s="102"/>
      <c r="DJ131" s="102"/>
      <c r="DK131" s="102"/>
      <c r="DL131" s="102"/>
      <c r="DM131" s="102"/>
      <c r="DN131" s="102"/>
      <c r="DO131" s="102"/>
      <c r="DP131" s="102"/>
      <c r="DQ131" s="102"/>
      <c r="DR131" s="102"/>
      <c r="DS131" s="102"/>
      <c r="DT131" s="102"/>
      <c r="DU131" s="102"/>
      <c r="DV131" s="102"/>
      <c r="DW131" s="102"/>
      <c r="DX131" s="102"/>
      <c r="DY131" s="102"/>
      <c r="DZ131" s="102"/>
      <c r="EA131" s="102"/>
      <c r="EB131" s="102"/>
      <c r="EC131" s="102"/>
      <c r="ED131" s="102"/>
      <c r="EE131" s="102"/>
      <c r="EF131" s="102"/>
      <c r="EG131" s="102"/>
      <c r="EH131" s="102"/>
      <c r="EI131" s="102"/>
      <c r="EJ131" s="102"/>
      <c r="EK131" s="102"/>
      <c r="EL131" s="102"/>
      <c r="EM131" s="102"/>
      <c r="EN131" s="102"/>
      <c r="EO131" s="102"/>
      <c r="EP131" s="102"/>
      <c r="EQ131" s="102"/>
    </row>
    <row r="132">
      <c r="A132" s="103" t="s">
        <v>237</v>
      </c>
      <c r="B132" s="131">
        <f t="shared" si="1"/>
        <v>46113</v>
      </c>
      <c r="C132" s="103">
        <v>210.0</v>
      </c>
      <c r="D132" s="103" t="s">
        <v>95</v>
      </c>
      <c r="E132" s="105"/>
      <c r="F132" s="105"/>
      <c r="G132" s="105"/>
      <c r="H132" s="105"/>
      <c r="I132" s="103" t="s">
        <v>97</v>
      </c>
      <c r="J132" s="136" t="s">
        <v>97</v>
      </c>
      <c r="K132" s="108" t="s">
        <v>98</v>
      </c>
      <c r="L132" s="105"/>
      <c r="M132" s="105"/>
      <c r="N132" s="105"/>
      <c r="O132" s="103" t="s">
        <v>98</v>
      </c>
      <c r="P132" s="105"/>
      <c r="Q132" s="105"/>
      <c r="R132" s="105"/>
      <c r="S132" s="103" t="s">
        <v>99</v>
      </c>
      <c r="T132" s="105"/>
      <c r="U132" s="103" t="s">
        <v>96</v>
      </c>
      <c r="V132" s="106"/>
      <c r="W132" s="107"/>
      <c r="X132" s="105"/>
      <c r="Y132" s="105"/>
      <c r="Z132" s="105"/>
      <c r="AA132" s="103" t="s">
        <v>99</v>
      </c>
      <c r="AB132" s="105"/>
      <c r="AC132" s="105"/>
      <c r="AD132" s="105"/>
      <c r="AE132" s="105"/>
      <c r="AF132" s="105"/>
      <c r="AG132" s="103" t="s">
        <v>99</v>
      </c>
      <c r="AH132" s="106"/>
      <c r="AI132" s="108" t="s">
        <v>96</v>
      </c>
      <c r="AJ132" s="105"/>
      <c r="AK132" s="105"/>
      <c r="AL132" s="105"/>
      <c r="AM132" s="105"/>
      <c r="AN132" s="103" t="s">
        <v>96</v>
      </c>
      <c r="AO132" s="105"/>
      <c r="AP132" s="105"/>
      <c r="AQ132" s="105"/>
      <c r="AR132" s="105"/>
      <c r="AS132" s="105"/>
      <c r="AT132" s="136" t="s">
        <v>97</v>
      </c>
      <c r="AU132" s="107"/>
      <c r="AV132" s="103" t="s">
        <v>97</v>
      </c>
      <c r="AW132" s="105"/>
      <c r="AX132" s="109" t="s">
        <v>97</v>
      </c>
      <c r="AY132" s="105"/>
      <c r="AZ132" s="105"/>
      <c r="BA132" s="105"/>
      <c r="BB132" s="105"/>
      <c r="BC132" s="105"/>
      <c r="BD132" s="105"/>
      <c r="BE132" s="105"/>
      <c r="BF132" s="106"/>
      <c r="BG132" s="105"/>
      <c r="BH132" s="105"/>
      <c r="BI132" s="105"/>
      <c r="BJ132" s="105"/>
      <c r="BK132" s="102"/>
      <c r="BL132" s="102"/>
      <c r="BM132" s="102"/>
      <c r="BN132" s="102"/>
      <c r="BO132" s="102"/>
      <c r="BP132" s="102"/>
      <c r="BQ132" s="102"/>
      <c r="BR132" s="102"/>
      <c r="BS132" s="102"/>
      <c r="BT132" s="102"/>
      <c r="BU132" s="102"/>
      <c r="BV132" s="102"/>
      <c r="BW132" s="102"/>
      <c r="BX132" s="102"/>
      <c r="BY132" s="102"/>
      <c r="BZ132" s="102"/>
      <c r="CA132" s="102"/>
      <c r="CB132" s="102"/>
      <c r="CC132" s="102"/>
      <c r="CD132" s="102"/>
      <c r="CE132" s="102"/>
      <c r="CF132" s="102"/>
      <c r="CG132" s="102"/>
      <c r="CH132" s="102"/>
      <c r="CI132" s="102"/>
      <c r="CJ132" s="102"/>
      <c r="CK132" s="102"/>
      <c r="CL132" s="102"/>
      <c r="CM132" s="102"/>
      <c r="CN132" s="102"/>
      <c r="CO132" s="102"/>
      <c r="CP132" s="102"/>
      <c r="CQ132" s="102"/>
      <c r="CR132" s="102"/>
      <c r="CS132" s="102"/>
      <c r="CT132" s="102"/>
      <c r="CU132" s="102"/>
      <c r="CV132" s="102"/>
      <c r="CW132" s="102"/>
      <c r="CX132" s="102"/>
      <c r="CY132" s="102"/>
      <c r="CZ132" s="102"/>
      <c r="DA132" s="102"/>
      <c r="DB132" s="102"/>
      <c r="DC132" s="102"/>
      <c r="DD132" s="102"/>
      <c r="DE132" s="102"/>
      <c r="DF132" s="102"/>
      <c r="DG132" s="102"/>
      <c r="DH132" s="102"/>
      <c r="DI132" s="102"/>
      <c r="DJ132" s="102"/>
      <c r="DK132" s="102"/>
      <c r="DL132" s="102"/>
      <c r="DM132" s="102"/>
      <c r="DN132" s="102"/>
      <c r="DO132" s="102"/>
      <c r="DP132" s="102"/>
      <c r="DQ132" s="102"/>
      <c r="DR132" s="102"/>
      <c r="DS132" s="102"/>
      <c r="DT132" s="102"/>
      <c r="DU132" s="102"/>
      <c r="DV132" s="102"/>
      <c r="DW132" s="102"/>
      <c r="DX132" s="102"/>
      <c r="DY132" s="102"/>
      <c r="DZ132" s="102"/>
      <c r="EA132" s="102"/>
      <c r="EB132" s="102"/>
      <c r="EC132" s="102"/>
      <c r="ED132" s="102"/>
      <c r="EE132" s="102"/>
      <c r="EF132" s="102"/>
      <c r="EG132" s="102"/>
      <c r="EH132" s="102"/>
      <c r="EI132" s="102"/>
      <c r="EJ132" s="102"/>
      <c r="EK132" s="102"/>
      <c r="EL132" s="102"/>
      <c r="EM132" s="102"/>
      <c r="EN132" s="102"/>
      <c r="EO132" s="102"/>
      <c r="EP132" s="102"/>
      <c r="EQ132" s="102"/>
    </row>
    <row r="133">
      <c r="A133" s="110" t="s">
        <v>238</v>
      </c>
      <c r="B133" s="111">
        <f t="shared" si="1"/>
        <v>46113</v>
      </c>
      <c r="C133" s="110">
        <v>60.0</v>
      </c>
      <c r="D133" s="110" t="s">
        <v>136</v>
      </c>
      <c r="E133" s="110" t="s">
        <v>99</v>
      </c>
      <c r="F133" s="110" t="s">
        <v>97</v>
      </c>
      <c r="G133" s="110" t="s">
        <v>99</v>
      </c>
      <c r="H133" s="110" t="s">
        <v>97</v>
      </c>
      <c r="I133" s="110" t="s">
        <v>99</v>
      </c>
      <c r="J133" s="137" t="s">
        <v>97</v>
      </c>
      <c r="K133" s="132" t="s">
        <v>99</v>
      </c>
      <c r="L133" s="115" t="s">
        <v>98</v>
      </c>
      <c r="M133" s="115" t="s">
        <v>99</v>
      </c>
      <c r="N133" s="115" t="s">
        <v>97</v>
      </c>
      <c r="O133" s="115" t="s">
        <v>99</v>
      </c>
      <c r="P133" s="115" t="s">
        <v>97</v>
      </c>
      <c r="Q133" s="115" t="s">
        <v>99</v>
      </c>
      <c r="R133" s="115" t="s">
        <v>97</v>
      </c>
      <c r="S133" s="115" t="s">
        <v>99</v>
      </c>
      <c r="T133" s="115" t="s">
        <v>97</v>
      </c>
      <c r="U133" s="115" t="s">
        <v>99</v>
      </c>
      <c r="V133" s="143" t="s">
        <v>97</v>
      </c>
      <c r="W133" s="121" t="s">
        <v>99</v>
      </c>
      <c r="X133" s="121" t="s">
        <v>99</v>
      </c>
      <c r="Y133" s="121" t="s">
        <v>99</v>
      </c>
      <c r="Z133" s="121" t="s">
        <v>99</v>
      </c>
      <c r="AA133" s="121" t="s">
        <v>99</v>
      </c>
      <c r="AB133" s="121" t="s">
        <v>97</v>
      </c>
      <c r="AC133" s="121" t="s">
        <v>99</v>
      </c>
      <c r="AD133" s="121" t="s">
        <v>99</v>
      </c>
      <c r="AE133" s="121" t="s">
        <v>97</v>
      </c>
      <c r="AF133" s="121" t="s">
        <v>99</v>
      </c>
      <c r="AG133" s="121" t="s">
        <v>97</v>
      </c>
      <c r="AH133" s="140" t="s">
        <v>99</v>
      </c>
      <c r="AI133" s="134" t="s">
        <v>97</v>
      </c>
      <c r="AJ133" s="125" t="s">
        <v>99</v>
      </c>
      <c r="AK133" s="125" t="s">
        <v>99</v>
      </c>
      <c r="AL133" s="125" t="s">
        <v>99</v>
      </c>
      <c r="AM133" s="125" t="s">
        <v>99</v>
      </c>
      <c r="AN133" s="125" t="s">
        <v>99</v>
      </c>
      <c r="AO133" s="125" t="s">
        <v>99</v>
      </c>
      <c r="AP133" s="125" t="s">
        <v>99</v>
      </c>
      <c r="AQ133" s="125" t="s">
        <v>99</v>
      </c>
      <c r="AR133" s="125" t="s">
        <v>99</v>
      </c>
      <c r="AS133" s="125" t="s">
        <v>97</v>
      </c>
      <c r="AT133" s="133" t="s">
        <v>99</v>
      </c>
      <c r="AU133" s="135" t="s">
        <v>99</v>
      </c>
      <c r="AV133" s="128" t="s">
        <v>97</v>
      </c>
      <c r="AW133" s="129"/>
      <c r="AX133" s="144" t="s">
        <v>97</v>
      </c>
      <c r="AY133" s="129"/>
      <c r="AZ133" s="129"/>
      <c r="BA133" s="129"/>
      <c r="BB133" s="129"/>
      <c r="BC133" s="129"/>
      <c r="BD133" s="129"/>
      <c r="BE133" s="129"/>
      <c r="BF133" s="130"/>
      <c r="BG133" s="129"/>
      <c r="BH133" s="129"/>
      <c r="BI133" s="129"/>
      <c r="BJ133" s="129"/>
      <c r="BK133" s="102"/>
      <c r="BL133" s="102"/>
      <c r="BM133" s="102"/>
      <c r="BN133" s="102"/>
      <c r="BO133" s="102"/>
      <c r="BP133" s="102"/>
      <c r="BQ133" s="102"/>
      <c r="BR133" s="102"/>
      <c r="BS133" s="102"/>
      <c r="BT133" s="102"/>
      <c r="BU133" s="102"/>
      <c r="BV133" s="102"/>
      <c r="BW133" s="102"/>
      <c r="BX133" s="102"/>
      <c r="BY133" s="102"/>
      <c r="BZ133" s="102"/>
      <c r="CA133" s="102"/>
      <c r="CB133" s="102"/>
      <c r="CC133" s="102"/>
      <c r="CD133" s="102"/>
      <c r="CE133" s="102"/>
      <c r="CF133" s="102"/>
      <c r="CG133" s="102"/>
      <c r="CH133" s="102"/>
      <c r="CI133" s="102"/>
      <c r="CJ133" s="102"/>
      <c r="CK133" s="102"/>
      <c r="CL133" s="102"/>
      <c r="CM133" s="102"/>
      <c r="CN133" s="102"/>
      <c r="CO133" s="102"/>
      <c r="CP133" s="102"/>
      <c r="CQ133" s="102"/>
      <c r="CR133" s="102"/>
      <c r="CS133" s="102"/>
      <c r="CT133" s="102"/>
      <c r="CU133" s="102"/>
      <c r="CV133" s="102"/>
      <c r="CW133" s="102"/>
      <c r="CX133" s="102"/>
      <c r="CY133" s="102"/>
      <c r="CZ133" s="102"/>
      <c r="DA133" s="102"/>
      <c r="DB133" s="102"/>
      <c r="DC133" s="102"/>
      <c r="DD133" s="102"/>
      <c r="DE133" s="102"/>
      <c r="DF133" s="102"/>
      <c r="DG133" s="102"/>
      <c r="DH133" s="102"/>
      <c r="DI133" s="102"/>
      <c r="DJ133" s="102"/>
      <c r="DK133" s="102"/>
      <c r="DL133" s="102"/>
      <c r="DM133" s="102"/>
      <c r="DN133" s="102"/>
      <c r="DO133" s="102"/>
      <c r="DP133" s="102"/>
      <c r="DQ133" s="102"/>
      <c r="DR133" s="102"/>
      <c r="DS133" s="102"/>
      <c r="DT133" s="102"/>
      <c r="DU133" s="102"/>
      <c r="DV133" s="102"/>
      <c r="DW133" s="102"/>
      <c r="DX133" s="102"/>
      <c r="DY133" s="102"/>
      <c r="DZ133" s="102"/>
      <c r="EA133" s="102"/>
      <c r="EB133" s="102"/>
      <c r="EC133" s="102"/>
      <c r="ED133" s="102"/>
      <c r="EE133" s="102"/>
      <c r="EF133" s="102"/>
      <c r="EG133" s="102"/>
      <c r="EH133" s="102"/>
      <c r="EI133" s="102"/>
      <c r="EJ133" s="102"/>
      <c r="EK133" s="102"/>
      <c r="EL133" s="102"/>
      <c r="EM133" s="102"/>
      <c r="EN133" s="102"/>
      <c r="EO133" s="102"/>
      <c r="EP133" s="102"/>
      <c r="EQ133" s="102"/>
    </row>
    <row r="134">
      <c r="A134" s="103" t="s">
        <v>239</v>
      </c>
      <c r="B134" s="131">
        <f t="shared" si="1"/>
        <v>46113</v>
      </c>
      <c r="C134" s="103">
        <v>60.0</v>
      </c>
      <c r="D134" s="103" t="s">
        <v>136</v>
      </c>
      <c r="E134" s="103" t="s">
        <v>99</v>
      </c>
      <c r="F134" s="103" t="s">
        <v>97</v>
      </c>
      <c r="G134" s="103" t="s">
        <v>99</v>
      </c>
      <c r="H134" s="103" t="s">
        <v>97</v>
      </c>
      <c r="I134" s="103" t="s">
        <v>99</v>
      </c>
      <c r="J134" s="136" t="s">
        <v>96</v>
      </c>
      <c r="K134" s="108" t="s">
        <v>99</v>
      </c>
      <c r="L134" s="103" t="s">
        <v>98</v>
      </c>
      <c r="M134" s="103" t="s">
        <v>99</v>
      </c>
      <c r="N134" s="103" t="s">
        <v>97</v>
      </c>
      <c r="O134" s="103" t="s">
        <v>99</v>
      </c>
      <c r="P134" s="103" t="s">
        <v>97</v>
      </c>
      <c r="Q134" s="103" t="s">
        <v>99</v>
      </c>
      <c r="R134" s="103" t="s">
        <v>96</v>
      </c>
      <c r="S134" s="103" t="s">
        <v>99</v>
      </c>
      <c r="T134" s="103" t="s">
        <v>97</v>
      </c>
      <c r="U134" s="103" t="s">
        <v>99</v>
      </c>
      <c r="V134" s="136" t="s">
        <v>97</v>
      </c>
      <c r="W134" s="103" t="s">
        <v>99</v>
      </c>
      <c r="X134" s="103" t="s">
        <v>99</v>
      </c>
      <c r="Y134" s="103" t="s">
        <v>97</v>
      </c>
      <c r="Z134" s="103" t="s">
        <v>99</v>
      </c>
      <c r="AA134" s="103" t="s">
        <v>99</v>
      </c>
      <c r="AB134" s="103" t="s">
        <v>97</v>
      </c>
      <c r="AC134" s="103" t="s">
        <v>99</v>
      </c>
      <c r="AD134" s="103" t="s">
        <v>99</v>
      </c>
      <c r="AE134" s="103" t="s">
        <v>97</v>
      </c>
      <c r="AF134" s="103" t="s">
        <v>99</v>
      </c>
      <c r="AG134" s="103" t="s">
        <v>97</v>
      </c>
      <c r="AH134" s="136" t="s">
        <v>99</v>
      </c>
      <c r="AI134" s="108" t="s">
        <v>97</v>
      </c>
      <c r="AJ134" s="103" t="s">
        <v>99</v>
      </c>
      <c r="AK134" s="103" t="s">
        <v>99</v>
      </c>
      <c r="AL134" s="103" t="s">
        <v>99</v>
      </c>
      <c r="AM134" s="103" t="s">
        <v>99</v>
      </c>
      <c r="AN134" s="103" t="s">
        <v>96</v>
      </c>
      <c r="AO134" s="103" t="s">
        <v>99</v>
      </c>
      <c r="AP134" s="103" t="s">
        <v>99</v>
      </c>
      <c r="AQ134" s="103" t="s">
        <v>97</v>
      </c>
      <c r="AR134" s="103" t="s">
        <v>97</v>
      </c>
      <c r="AS134" s="103" t="s">
        <v>97</v>
      </c>
      <c r="AT134" s="136" t="s">
        <v>99</v>
      </c>
      <c r="AU134" s="108" t="s">
        <v>99</v>
      </c>
      <c r="AV134" s="103" t="s">
        <v>97</v>
      </c>
      <c r="AW134" s="105"/>
      <c r="AX134" s="109" t="s">
        <v>97</v>
      </c>
      <c r="AY134" s="105"/>
      <c r="AZ134" s="105"/>
      <c r="BA134" s="105"/>
      <c r="BB134" s="105"/>
      <c r="BC134" s="105"/>
      <c r="BD134" s="105"/>
      <c r="BE134" s="105"/>
      <c r="BF134" s="106"/>
      <c r="BG134" s="105"/>
      <c r="BH134" s="105"/>
      <c r="BI134" s="105"/>
      <c r="BJ134" s="105"/>
      <c r="BK134" s="102"/>
      <c r="BL134" s="102"/>
      <c r="BM134" s="102"/>
      <c r="BN134" s="102"/>
      <c r="BO134" s="102"/>
      <c r="BP134" s="102"/>
      <c r="BQ134" s="102"/>
      <c r="BR134" s="102"/>
      <c r="BS134" s="102"/>
      <c r="BT134" s="102"/>
      <c r="BU134" s="102"/>
      <c r="BV134" s="102"/>
      <c r="BW134" s="102"/>
      <c r="BX134" s="102"/>
      <c r="BY134" s="102"/>
      <c r="BZ134" s="102"/>
      <c r="CA134" s="102"/>
      <c r="CB134" s="102"/>
      <c r="CC134" s="102"/>
      <c r="CD134" s="102"/>
      <c r="CE134" s="102"/>
      <c r="CF134" s="102"/>
      <c r="CG134" s="102"/>
      <c r="CH134" s="102"/>
      <c r="CI134" s="102"/>
      <c r="CJ134" s="102"/>
      <c r="CK134" s="102"/>
      <c r="CL134" s="102"/>
      <c r="CM134" s="102"/>
      <c r="CN134" s="102"/>
      <c r="CO134" s="102"/>
      <c r="CP134" s="102"/>
      <c r="CQ134" s="102"/>
      <c r="CR134" s="102"/>
      <c r="CS134" s="102"/>
      <c r="CT134" s="102"/>
      <c r="CU134" s="102"/>
      <c r="CV134" s="102"/>
      <c r="CW134" s="102"/>
      <c r="CX134" s="102"/>
      <c r="CY134" s="102"/>
      <c r="CZ134" s="102"/>
      <c r="DA134" s="102"/>
      <c r="DB134" s="102"/>
      <c r="DC134" s="102"/>
      <c r="DD134" s="102"/>
      <c r="DE134" s="102"/>
      <c r="DF134" s="102"/>
      <c r="DG134" s="102"/>
      <c r="DH134" s="102"/>
      <c r="DI134" s="102"/>
      <c r="DJ134" s="102"/>
      <c r="DK134" s="102"/>
      <c r="DL134" s="102"/>
      <c r="DM134" s="102"/>
      <c r="DN134" s="102"/>
      <c r="DO134" s="102"/>
      <c r="DP134" s="102"/>
      <c r="DQ134" s="102"/>
      <c r="DR134" s="102"/>
      <c r="DS134" s="102"/>
      <c r="DT134" s="102"/>
      <c r="DU134" s="102"/>
      <c r="DV134" s="102"/>
      <c r="DW134" s="102"/>
      <c r="DX134" s="102"/>
      <c r="DY134" s="102"/>
      <c r="DZ134" s="102"/>
      <c r="EA134" s="102"/>
      <c r="EB134" s="102"/>
      <c r="EC134" s="102"/>
      <c r="ED134" s="102"/>
      <c r="EE134" s="102"/>
      <c r="EF134" s="102"/>
      <c r="EG134" s="102"/>
      <c r="EH134" s="102"/>
      <c r="EI134" s="102"/>
      <c r="EJ134" s="102"/>
      <c r="EK134" s="102"/>
      <c r="EL134" s="102"/>
      <c r="EM134" s="102"/>
      <c r="EN134" s="102"/>
      <c r="EO134" s="102"/>
      <c r="EP134" s="102"/>
      <c r="EQ134" s="102"/>
    </row>
    <row r="135">
      <c r="A135" s="110" t="s">
        <v>240</v>
      </c>
      <c r="B135" s="111">
        <f t="shared" si="1"/>
        <v>46113</v>
      </c>
      <c r="C135" s="110">
        <v>60.0</v>
      </c>
      <c r="D135" s="110" t="s">
        <v>136</v>
      </c>
      <c r="E135" s="110" t="s">
        <v>97</v>
      </c>
      <c r="F135" s="110" t="s">
        <v>97</v>
      </c>
      <c r="G135" s="110" t="s">
        <v>99</v>
      </c>
      <c r="H135" s="110" t="s">
        <v>97</v>
      </c>
      <c r="I135" s="110" t="s">
        <v>97</v>
      </c>
      <c r="J135" s="137" t="s">
        <v>97</v>
      </c>
      <c r="K135" s="132" t="s">
        <v>97</v>
      </c>
      <c r="L135" s="115" t="s">
        <v>98</v>
      </c>
      <c r="M135" s="115" t="s">
        <v>97</v>
      </c>
      <c r="N135" s="115" t="s">
        <v>97</v>
      </c>
      <c r="O135" s="115" t="s">
        <v>97</v>
      </c>
      <c r="P135" s="115" t="s">
        <v>97</v>
      </c>
      <c r="Q135" s="115" t="s">
        <v>99</v>
      </c>
      <c r="R135" s="115" t="s">
        <v>97</v>
      </c>
      <c r="S135" s="115" t="s">
        <v>99</v>
      </c>
      <c r="T135" s="115" t="s">
        <v>96</v>
      </c>
      <c r="U135" s="115" t="s">
        <v>97</v>
      </c>
      <c r="V135" s="143" t="s">
        <v>97</v>
      </c>
      <c r="W135" s="121" t="s">
        <v>99</v>
      </c>
      <c r="X135" s="121" t="s">
        <v>99</v>
      </c>
      <c r="Y135" s="121" t="s">
        <v>99</v>
      </c>
      <c r="Z135" s="121" t="s">
        <v>99</v>
      </c>
      <c r="AA135" s="121" t="s">
        <v>99</v>
      </c>
      <c r="AB135" s="121" t="s">
        <v>97</v>
      </c>
      <c r="AC135" s="121" t="s">
        <v>97</v>
      </c>
      <c r="AD135" s="121" t="s">
        <v>99</v>
      </c>
      <c r="AE135" s="121" t="s">
        <v>97</v>
      </c>
      <c r="AF135" s="121" t="s">
        <v>97</v>
      </c>
      <c r="AG135" s="121" t="s">
        <v>97</v>
      </c>
      <c r="AH135" s="140" t="s">
        <v>99</v>
      </c>
      <c r="AI135" s="134" t="s">
        <v>97</v>
      </c>
      <c r="AJ135" s="125" t="s">
        <v>97</v>
      </c>
      <c r="AK135" s="125" t="s">
        <v>99</v>
      </c>
      <c r="AL135" s="125" t="s">
        <v>99</v>
      </c>
      <c r="AM135" s="125" t="s">
        <v>99</v>
      </c>
      <c r="AN135" s="125" t="s">
        <v>99</v>
      </c>
      <c r="AO135" s="125" t="s">
        <v>99</v>
      </c>
      <c r="AP135" s="125" t="s">
        <v>99</v>
      </c>
      <c r="AQ135" s="125" t="s">
        <v>97</v>
      </c>
      <c r="AR135" s="125" t="s">
        <v>97</v>
      </c>
      <c r="AS135" s="125" t="s">
        <v>97</v>
      </c>
      <c r="AT135" s="133" t="s">
        <v>97</v>
      </c>
      <c r="AU135" s="135" t="s">
        <v>99</v>
      </c>
      <c r="AV135" s="128" t="s">
        <v>97</v>
      </c>
      <c r="AW135" s="129"/>
      <c r="AX135" s="144" t="s">
        <v>97</v>
      </c>
      <c r="AY135" s="129"/>
      <c r="AZ135" s="129"/>
      <c r="BA135" s="129"/>
      <c r="BB135" s="129"/>
      <c r="BC135" s="129"/>
      <c r="BD135" s="129"/>
      <c r="BE135" s="129"/>
      <c r="BF135" s="130"/>
      <c r="BG135" s="129"/>
      <c r="BH135" s="129"/>
      <c r="BI135" s="129"/>
      <c r="BJ135" s="129"/>
      <c r="BK135" s="102"/>
      <c r="BL135" s="102"/>
      <c r="BM135" s="102"/>
      <c r="BN135" s="102"/>
      <c r="BO135" s="102"/>
      <c r="BP135" s="102"/>
      <c r="BQ135" s="102"/>
      <c r="BR135" s="102"/>
      <c r="BS135" s="102"/>
      <c r="BT135" s="102"/>
      <c r="BU135" s="102"/>
      <c r="BV135" s="102"/>
      <c r="BW135" s="102"/>
      <c r="BX135" s="102"/>
      <c r="BY135" s="102"/>
      <c r="BZ135" s="102"/>
      <c r="CA135" s="102"/>
      <c r="CB135" s="102"/>
      <c r="CC135" s="102"/>
      <c r="CD135" s="102"/>
      <c r="CE135" s="102"/>
      <c r="CF135" s="102"/>
      <c r="CG135" s="102"/>
      <c r="CH135" s="102"/>
      <c r="CI135" s="102"/>
      <c r="CJ135" s="102"/>
      <c r="CK135" s="102"/>
      <c r="CL135" s="102"/>
      <c r="CM135" s="102"/>
      <c r="CN135" s="102"/>
      <c r="CO135" s="102"/>
      <c r="CP135" s="102"/>
      <c r="CQ135" s="102"/>
      <c r="CR135" s="102"/>
      <c r="CS135" s="102"/>
      <c r="CT135" s="102"/>
      <c r="CU135" s="102"/>
      <c r="CV135" s="102"/>
      <c r="CW135" s="102"/>
      <c r="CX135" s="102"/>
      <c r="CY135" s="102"/>
      <c r="CZ135" s="102"/>
      <c r="DA135" s="102"/>
      <c r="DB135" s="102"/>
      <c r="DC135" s="102"/>
      <c r="DD135" s="102"/>
      <c r="DE135" s="102"/>
      <c r="DF135" s="102"/>
      <c r="DG135" s="102"/>
      <c r="DH135" s="102"/>
      <c r="DI135" s="102"/>
      <c r="DJ135" s="102"/>
      <c r="DK135" s="102"/>
      <c r="DL135" s="102"/>
      <c r="DM135" s="102"/>
      <c r="DN135" s="102"/>
      <c r="DO135" s="102"/>
      <c r="DP135" s="102"/>
      <c r="DQ135" s="102"/>
      <c r="DR135" s="102"/>
      <c r="DS135" s="102"/>
      <c r="DT135" s="102"/>
      <c r="DU135" s="102"/>
      <c r="DV135" s="102"/>
      <c r="DW135" s="102"/>
      <c r="DX135" s="102"/>
      <c r="DY135" s="102"/>
      <c r="DZ135" s="102"/>
      <c r="EA135" s="102"/>
      <c r="EB135" s="102"/>
      <c r="EC135" s="102"/>
      <c r="ED135" s="102"/>
      <c r="EE135" s="102"/>
      <c r="EF135" s="102"/>
      <c r="EG135" s="102"/>
      <c r="EH135" s="102"/>
      <c r="EI135" s="102"/>
      <c r="EJ135" s="102"/>
      <c r="EK135" s="102"/>
      <c r="EL135" s="102"/>
      <c r="EM135" s="102"/>
      <c r="EN135" s="102"/>
      <c r="EO135" s="102"/>
      <c r="EP135" s="102"/>
      <c r="EQ135" s="102"/>
    </row>
    <row r="136">
      <c r="A136" s="103" t="s">
        <v>241</v>
      </c>
      <c r="B136" s="131">
        <f t="shared" si="1"/>
        <v>46054</v>
      </c>
      <c r="C136" s="103">
        <v>120.0</v>
      </c>
      <c r="D136" s="103" t="s">
        <v>109</v>
      </c>
      <c r="E136" s="105"/>
      <c r="F136" s="103" t="s">
        <v>97</v>
      </c>
      <c r="G136" s="105"/>
      <c r="H136" s="103" t="s">
        <v>97</v>
      </c>
      <c r="I136" s="105"/>
      <c r="J136" s="136" t="s">
        <v>97</v>
      </c>
      <c r="K136" s="107"/>
      <c r="L136" s="105"/>
      <c r="M136" s="103" t="s">
        <v>97</v>
      </c>
      <c r="N136" s="103" t="s">
        <v>97</v>
      </c>
      <c r="O136" s="105"/>
      <c r="P136" s="103" t="s">
        <v>97</v>
      </c>
      <c r="Q136" s="105"/>
      <c r="R136" s="105"/>
      <c r="S136" s="103" t="s">
        <v>99</v>
      </c>
      <c r="T136" s="103" t="s">
        <v>97</v>
      </c>
      <c r="U136" s="103" t="s">
        <v>97</v>
      </c>
      <c r="V136" s="136" t="s">
        <v>97</v>
      </c>
      <c r="W136" s="107"/>
      <c r="X136" s="105"/>
      <c r="Y136" s="103" t="s">
        <v>99</v>
      </c>
      <c r="Z136" s="105"/>
      <c r="AA136" s="105"/>
      <c r="AB136" s="103" t="s">
        <v>97</v>
      </c>
      <c r="AC136" s="105"/>
      <c r="AD136" s="105"/>
      <c r="AE136" s="103" t="s">
        <v>99</v>
      </c>
      <c r="AF136" s="103" t="s">
        <v>97</v>
      </c>
      <c r="AG136" s="105"/>
      <c r="AH136" s="106"/>
      <c r="AI136" s="108" t="s">
        <v>97</v>
      </c>
      <c r="AJ136" s="103" t="s">
        <v>97</v>
      </c>
      <c r="AK136" s="105"/>
      <c r="AL136" s="105"/>
      <c r="AM136" s="103" t="s">
        <v>99</v>
      </c>
      <c r="AN136" s="103" t="s">
        <v>97</v>
      </c>
      <c r="AO136" s="105"/>
      <c r="AP136" s="105"/>
      <c r="AQ136" s="103" t="s">
        <v>97</v>
      </c>
      <c r="AR136" s="103" t="s">
        <v>97</v>
      </c>
      <c r="AS136" s="105"/>
      <c r="AT136" s="106"/>
      <c r="AU136" s="108" t="s">
        <v>99</v>
      </c>
      <c r="AV136" s="103" t="s">
        <v>97</v>
      </c>
      <c r="AW136" s="105"/>
      <c r="AX136" s="105"/>
      <c r="AY136" s="105"/>
      <c r="AZ136" s="105"/>
      <c r="BA136" s="105"/>
      <c r="BB136" s="105"/>
      <c r="BC136" s="105"/>
      <c r="BD136" s="105"/>
      <c r="BE136" s="105"/>
      <c r="BF136" s="106"/>
      <c r="BG136" s="105"/>
      <c r="BH136" s="105"/>
      <c r="BI136" s="105"/>
      <c r="BJ136" s="105"/>
      <c r="BK136" s="102"/>
      <c r="BL136" s="102"/>
      <c r="BM136" s="102"/>
      <c r="BN136" s="102"/>
      <c r="BO136" s="102"/>
      <c r="BP136" s="102"/>
      <c r="BQ136" s="102"/>
      <c r="BR136" s="102"/>
      <c r="BS136" s="102"/>
      <c r="BT136" s="102"/>
      <c r="BU136" s="102"/>
      <c r="BV136" s="102"/>
      <c r="BW136" s="102"/>
      <c r="BX136" s="102"/>
      <c r="BY136" s="102"/>
      <c r="BZ136" s="102"/>
      <c r="CA136" s="102"/>
      <c r="CB136" s="102"/>
      <c r="CC136" s="102"/>
      <c r="CD136" s="102"/>
      <c r="CE136" s="102"/>
      <c r="CF136" s="102"/>
      <c r="CG136" s="102"/>
      <c r="CH136" s="102"/>
      <c r="CI136" s="102"/>
      <c r="CJ136" s="102"/>
      <c r="CK136" s="102"/>
      <c r="CL136" s="102"/>
      <c r="CM136" s="102"/>
      <c r="CN136" s="102"/>
      <c r="CO136" s="102"/>
      <c r="CP136" s="102"/>
      <c r="CQ136" s="102"/>
      <c r="CR136" s="102"/>
      <c r="CS136" s="102"/>
      <c r="CT136" s="102"/>
      <c r="CU136" s="102"/>
      <c r="CV136" s="102"/>
      <c r="CW136" s="102"/>
      <c r="CX136" s="102"/>
      <c r="CY136" s="102"/>
      <c r="CZ136" s="102"/>
      <c r="DA136" s="102"/>
      <c r="DB136" s="102"/>
      <c r="DC136" s="102"/>
      <c r="DD136" s="102"/>
      <c r="DE136" s="102"/>
      <c r="DF136" s="102"/>
      <c r="DG136" s="102"/>
      <c r="DH136" s="102"/>
      <c r="DI136" s="102"/>
      <c r="DJ136" s="102"/>
      <c r="DK136" s="102"/>
      <c r="DL136" s="102"/>
      <c r="DM136" s="102"/>
      <c r="DN136" s="102"/>
      <c r="DO136" s="102"/>
      <c r="DP136" s="102"/>
      <c r="DQ136" s="102"/>
      <c r="DR136" s="102"/>
      <c r="DS136" s="102"/>
      <c r="DT136" s="102"/>
      <c r="DU136" s="102"/>
      <c r="DV136" s="102"/>
      <c r="DW136" s="102"/>
      <c r="DX136" s="102"/>
      <c r="DY136" s="102"/>
      <c r="DZ136" s="102"/>
      <c r="EA136" s="102"/>
      <c r="EB136" s="102"/>
      <c r="EC136" s="102"/>
      <c r="ED136" s="102"/>
      <c r="EE136" s="102"/>
      <c r="EF136" s="102"/>
      <c r="EG136" s="102"/>
      <c r="EH136" s="102"/>
      <c r="EI136" s="102"/>
      <c r="EJ136" s="102"/>
      <c r="EK136" s="102"/>
      <c r="EL136" s="102"/>
      <c r="EM136" s="102"/>
      <c r="EN136" s="102"/>
      <c r="EO136" s="102"/>
      <c r="EP136" s="102"/>
      <c r="EQ136" s="102"/>
    </row>
    <row r="137">
      <c r="A137" s="110" t="s">
        <v>242</v>
      </c>
      <c r="B137" s="111">
        <f t="shared" si="1"/>
        <v>46113</v>
      </c>
      <c r="C137" s="110">
        <v>210.0</v>
      </c>
      <c r="D137" s="110" t="s">
        <v>95</v>
      </c>
      <c r="E137" s="110" t="s">
        <v>97</v>
      </c>
      <c r="F137" s="112"/>
      <c r="G137" s="112"/>
      <c r="H137" s="112"/>
      <c r="I137" s="112"/>
      <c r="J137" s="113"/>
      <c r="K137" s="132" t="s">
        <v>97</v>
      </c>
      <c r="L137" s="115" t="s">
        <v>96</v>
      </c>
      <c r="M137" s="116"/>
      <c r="N137" s="116"/>
      <c r="O137" s="116"/>
      <c r="P137" s="116"/>
      <c r="Q137" s="115" t="s">
        <v>98</v>
      </c>
      <c r="R137" s="116"/>
      <c r="S137" s="115" t="s">
        <v>99</v>
      </c>
      <c r="T137" s="116"/>
      <c r="U137" s="116"/>
      <c r="V137" s="117"/>
      <c r="W137" s="119" t="s">
        <v>99</v>
      </c>
      <c r="X137" s="118"/>
      <c r="Y137" s="118"/>
      <c r="Z137" s="118"/>
      <c r="AA137" s="118"/>
      <c r="AB137" s="118"/>
      <c r="AC137" s="121" t="s">
        <v>97</v>
      </c>
      <c r="AD137" s="120"/>
      <c r="AE137" s="120"/>
      <c r="AF137" s="121" t="s">
        <v>97</v>
      </c>
      <c r="AG137" s="120"/>
      <c r="AH137" s="122"/>
      <c r="AI137" s="123"/>
      <c r="AJ137" s="124"/>
      <c r="AK137" s="124"/>
      <c r="AL137" s="125" t="s">
        <v>99</v>
      </c>
      <c r="AM137" s="124"/>
      <c r="AN137" s="124"/>
      <c r="AO137" s="124"/>
      <c r="AP137" s="125" t="s">
        <v>99</v>
      </c>
      <c r="AQ137" s="124"/>
      <c r="AR137" s="125" t="s">
        <v>97</v>
      </c>
      <c r="AS137" s="124"/>
      <c r="AT137" s="126"/>
      <c r="AU137" s="127"/>
      <c r="AV137" s="128" t="s">
        <v>96</v>
      </c>
      <c r="AW137" s="129"/>
      <c r="AX137" s="144" t="s">
        <v>96</v>
      </c>
      <c r="AY137" s="129"/>
      <c r="AZ137" s="129"/>
      <c r="BA137" s="129"/>
      <c r="BB137" s="129"/>
      <c r="BC137" s="129"/>
      <c r="BD137" s="129"/>
      <c r="BE137" s="129"/>
      <c r="BF137" s="130"/>
      <c r="BG137" s="129"/>
      <c r="BH137" s="129"/>
      <c r="BI137" s="129"/>
      <c r="BJ137" s="129"/>
      <c r="BK137" s="102"/>
      <c r="BL137" s="102"/>
      <c r="BM137" s="102"/>
      <c r="BN137" s="102"/>
      <c r="BO137" s="102"/>
      <c r="BP137" s="102"/>
      <c r="BQ137" s="102"/>
      <c r="BR137" s="102"/>
      <c r="BS137" s="102"/>
      <c r="BT137" s="102"/>
      <c r="BU137" s="102"/>
      <c r="BV137" s="102"/>
      <c r="BW137" s="102"/>
      <c r="BX137" s="102"/>
      <c r="BY137" s="102"/>
      <c r="BZ137" s="102"/>
      <c r="CA137" s="102"/>
      <c r="CB137" s="102"/>
      <c r="CC137" s="102"/>
      <c r="CD137" s="102"/>
      <c r="CE137" s="102"/>
      <c r="CF137" s="102"/>
      <c r="CG137" s="102"/>
      <c r="CH137" s="102"/>
      <c r="CI137" s="102"/>
      <c r="CJ137" s="102"/>
      <c r="CK137" s="102"/>
      <c r="CL137" s="102"/>
      <c r="CM137" s="102"/>
      <c r="CN137" s="102"/>
      <c r="CO137" s="102"/>
      <c r="CP137" s="102"/>
      <c r="CQ137" s="102"/>
      <c r="CR137" s="102"/>
      <c r="CS137" s="102"/>
      <c r="CT137" s="102"/>
      <c r="CU137" s="102"/>
      <c r="CV137" s="102"/>
      <c r="CW137" s="102"/>
      <c r="CX137" s="102"/>
      <c r="CY137" s="102"/>
      <c r="CZ137" s="102"/>
      <c r="DA137" s="102"/>
      <c r="DB137" s="102"/>
      <c r="DC137" s="102"/>
      <c r="DD137" s="102"/>
      <c r="DE137" s="102"/>
      <c r="DF137" s="102"/>
      <c r="DG137" s="102"/>
      <c r="DH137" s="102"/>
      <c r="DI137" s="102"/>
      <c r="DJ137" s="102"/>
      <c r="DK137" s="102"/>
      <c r="DL137" s="102"/>
      <c r="DM137" s="102"/>
      <c r="DN137" s="102"/>
      <c r="DO137" s="102"/>
      <c r="DP137" s="102"/>
      <c r="DQ137" s="102"/>
      <c r="DR137" s="102"/>
      <c r="DS137" s="102"/>
      <c r="DT137" s="102"/>
      <c r="DU137" s="102"/>
      <c r="DV137" s="102"/>
      <c r="DW137" s="102"/>
      <c r="DX137" s="102"/>
      <c r="DY137" s="102"/>
      <c r="DZ137" s="102"/>
      <c r="EA137" s="102"/>
      <c r="EB137" s="102"/>
      <c r="EC137" s="102"/>
      <c r="ED137" s="102"/>
      <c r="EE137" s="102"/>
      <c r="EF137" s="102"/>
      <c r="EG137" s="102"/>
      <c r="EH137" s="102"/>
      <c r="EI137" s="102"/>
      <c r="EJ137" s="102"/>
      <c r="EK137" s="102"/>
      <c r="EL137" s="102"/>
      <c r="EM137" s="102"/>
      <c r="EN137" s="102"/>
      <c r="EO137" s="102"/>
      <c r="EP137" s="102"/>
      <c r="EQ137" s="102"/>
    </row>
    <row r="138">
      <c r="A138" s="103" t="s">
        <v>243</v>
      </c>
      <c r="B138" s="131">
        <f t="shared" si="1"/>
        <v>46054</v>
      </c>
      <c r="C138" s="103">
        <v>210.0</v>
      </c>
      <c r="D138" s="103" t="s">
        <v>95</v>
      </c>
      <c r="E138" s="105"/>
      <c r="F138" s="105"/>
      <c r="G138" s="105"/>
      <c r="H138" s="105"/>
      <c r="I138" s="103" t="s">
        <v>96</v>
      </c>
      <c r="J138" s="136" t="s">
        <v>96</v>
      </c>
      <c r="K138" s="107"/>
      <c r="L138" s="105"/>
      <c r="M138" s="105"/>
      <c r="N138" s="105"/>
      <c r="O138" s="103" t="s">
        <v>97</v>
      </c>
      <c r="P138" s="105"/>
      <c r="Q138" s="105"/>
      <c r="R138" s="105"/>
      <c r="S138" s="103" t="s">
        <v>99</v>
      </c>
      <c r="T138" s="105"/>
      <c r="U138" s="103" t="s">
        <v>97</v>
      </c>
      <c r="V138" s="106"/>
      <c r="W138" s="107"/>
      <c r="X138" s="105"/>
      <c r="Y138" s="105"/>
      <c r="Z138" s="105"/>
      <c r="AA138" s="103" t="s">
        <v>99</v>
      </c>
      <c r="AB138" s="105"/>
      <c r="AC138" s="105"/>
      <c r="AD138" s="105"/>
      <c r="AE138" s="105"/>
      <c r="AF138" s="103" t="s">
        <v>97</v>
      </c>
      <c r="AG138" s="105"/>
      <c r="AH138" s="106"/>
      <c r="AI138" s="107"/>
      <c r="AJ138" s="105"/>
      <c r="AK138" s="105"/>
      <c r="AL138" s="103" t="s">
        <v>99</v>
      </c>
      <c r="AM138" s="105"/>
      <c r="AN138" s="105"/>
      <c r="AO138" s="105"/>
      <c r="AP138" s="103" t="s">
        <v>99</v>
      </c>
      <c r="AQ138" s="105"/>
      <c r="AR138" s="103" t="s">
        <v>97</v>
      </c>
      <c r="AS138" s="103" t="s">
        <v>97</v>
      </c>
      <c r="AT138" s="106"/>
      <c r="AU138" s="107"/>
      <c r="AV138" s="103" t="s">
        <v>97</v>
      </c>
      <c r="AW138" s="105"/>
      <c r="AX138" s="105"/>
      <c r="AY138" s="105"/>
      <c r="AZ138" s="105"/>
      <c r="BA138" s="105"/>
      <c r="BB138" s="105"/>
      <c r="BC138" s="105"/>
      <c r="BD138" s="105"/>
      <c r="BE138" s="105"/>
      <c r="BF138" s="106"/>
      <c r="BG138" s="105"/>
      <c r="BH138" s="105"/>
      <c r="BI138" s="105"/>
      <c r="BJ138" s="105"/>
      <c r="BK138" s="102"/>
      <c r="BL138" s="102"/>
      <c r="BM138" s="102"/>
      <c r="BN138" s="102"/>
      <c r="BO138" s="102"/>
      <c r="BP138" s="102"/>
      <c r="BQ138" s="102"/>
      <c r="BR138" s="102"/>
      <c r="BS138" s="102"/>
      <c r="BT138" s="102"/>
      <c r="BU138" s="102"/>
      <c r="BV138" s="102"/>
      <c r="BW138" s="102"/>
      <c r="BX138" s="102"/>
      <c r="BY138" s="102"/>
      <c r="BZ138" s="102"/>
      <c r="CA138" s="102"/>
      <c r="CB138" s="102"/>
      <c r="CC138" s="102"/>
      <c r="CD138" s="102"/>
      <c r="CE138" s="102"/>
      <c r="CF138" s="102"/>
      <c r="CG138" s="102"/>
      <c r="CH138" s="102"/>
      <c r="CI138" s="102"/>
      <c r="CJ138" s="102"/>
      <c r="CK138" s="102"/>
      <c r="CL138" s="102"/>
      <c r="CM138" s="102"/>
      <c r="CN138" s="102"/>
      <c r="CO138" s="102"/>
      <c r="CP138" s="102"/>
      <c r="CQ138" s="102"/>
      <c r="CR138" s="102"/>
      <c r="CS138" s="102"/>
      <c r="CT138" s="102"/>
      <c r="CU138" s="102"/>
      <c r="CV138" s="102"/>
      <c r="CW138" s="102"/>
      <c r="CX138" s="102"/>
      <c r="CY138" s="102"/>
      <c r="CZ138" s="102"/>
      <c r="DA138" s="102"/>
      <c r="DB138" s="102"/>
      <c r="DC138" s="102"/>
      <c r="DD138" s="102"/>
      <c r="DE138" s="102"/>
      <c r="DF138" s="102"/>
      <c r="DG138" s="102"/>
      <c r="DH138" s="102"/>
      <c r="DI138" s="102"/>
      <c r="DJ138" s="102"/>
      <c r="DK138" s="102"/>
      <c r="DL138" s="102"/>
      <c r="DM138" s="102"/>
      <c r="DN138" s="102"/>
      <c r="DO138" s="102"/>
      <c r="DP138" s="102"/>
      <c r="DQ138" s="102"/>
      <c r="DR138" s="102"/>
      <c r="DS138" s="102"/>
      <c r="DT138" s="102"/>
      <c r="DU138" s="102"/>
      <c r="DV138" s="102"/>
      <c r="DW138" s="102"/>
      <c r="DX138" s="102"/>
      <c r="DY138" s="102"/>
      <c r="DZ138" s="102"/>
      <c r="EA138" s="102"/>
      <c r="EB138" s="102"/>
      <c r="EC138" s="102"/>
      <c r="ED138" s="102"/>
      <c r="EE138" s="102"/>
      <c r="EF138" s="102"/>
      <c r="EG138" s="102"/>
      <c r="EH138" s="102"/>
      <c r="EI138" s="102"/>
      <c r="EJ138" s="102"/>
      <c r="EK138" s="102"/>
      <c r="EL138" s="102"/>
      <c r="EM138" s="102"/>
      <c r="EN138" s="102"/>
      <c r="EO138" s="102"/>
      <c r="EP138" s="102"/>
      <c r="EQ138" s="102"/>
    </row>
    <row r="139">
      <c r="A139" s="110" t="s">
        <v>244</v>
      </c>
      <c r="B139" s="111">
        <f t="shared" si="1"/>
        <v>46113</v>
      </c>
      <c r="C139" s="110">
        <v>60.0</v>
      </c>
      <c r="D139" s="110" t="s">
        <v>136</v>
      </c>
      <c r="E139" s="110" t="s">
        <v>99</v>
      </c>
      <c r="F139" s="110" t="s">
        <v>99</v>
      </c>
      <c r="G139" s="110" t="s">
        <v>97</v>
      </c>
      <c r="H139" s="110" t="s">
        <v>99</v>
      </c>
      <c r="I139" s="110" t="s">
        <v>97</v>
      </c>
      <c r="J139" s="137" t="s">
        <v>99</v>
      </c>
      <c r="K139" s="132" t="s">
        <v>97</v>
      </c>
      <c r="L139" s="115" t="s">
        <v>99</v>
      </c>
      <c r="M139" s="115" t="s">
        <v>97</v>
      </c>
      <c r="N139" s="115" t="s">
        <v>99</v>
      </c>
      <c r="O139" s="115" t="s">
        <v>97</v>
      </c>
      <c r="P139" s="115" t="s">
        <v>99</v>
      </c>
      <c r="Q139" s="115" t="s">
        <v>99</v>
      </c>
      <c r="R139" s="115" t="s">
        <v>99</v>
      </c>
      <c r="S139" s="115" t="s">
        <v>99</v>
      </c>
      <c r="T139" s="115" t="s">
        <v>99</v>
      </c>
      <c r="U139" s="115" t="s">
        <v>97</v>
      </c>
      <c r="V139" s="115" t="s">
        <v>99</v>
      </c>
      <c r="W139" s="121" t="s">
        <v>99</v>
      </c>
      <c r="X139" s="121" t="s">
        <v>99</v>
      </c>
      <c r="Y139" s="121" t="s">
        <v>99</v>
      </c>
      <c r="Z139" s="121" t="s">
        <v>99</v>
      </c>
      <c r="AA139" s="121" t="s">
        <v>99</v>
      </c>
      <c r="AB139" s="121" t="s">
        <v>99</v>
      </c>
      <c r="AC139" s="121" t="s">
        <v>97</v>
      </c>
      <c r="AD139" s="121" t="s">
        <v>99</v>
      </c>
      <c r="AE139" s="121" t="s">
        <v>99</v>
      </c>
      <c r="AF139" s="121" t="s">
        <v>97</v>
      </c>
      <c r="AG139" s="121" t="s">
        <v>97</v>
      </c>
      <c r="AH139" s="140" t="s">
        <v>99</v>
      </c>
      <c r="AI139" s="134" t="s">
        <v>97</v>
      </c>
      <c r="AJ139" s="125" t="s">
        <v>99</v>
      </c>
      <c r="AK139" s="125" t="s">
        <v>99</v>
      </c>
      <c r="AL139" s="125" t="s">
        <v>99</v>
      </c>
      <c r="AM139" s="125" t="s">
        <v>99</v>
      </c>
      <c r="AN139" s="125" t="s">
        <v>97</v>
      </c>
      <c r="AO139" s="125" t="s">
        <v>99</v>
      </c>
      <c r="AP139" s="125" t="s">
        <v>99</v>
      </c>
      <c r="AQ139" s="125" t="s">
        <v>97</v>
      </c>
      <c r="AR139" s="125" t="s">
        <v>99</v>
      </c>
      <c r="AS139" s="125" t="s">
        <v>97</v>
      </c>
      <c r="AT139" s="133" t="s">
        <v>99</v>
      </c>
      <c r="AU139" s="135" t="s">
        <v>99</v>
      </c>
      <c r="AV139" s="128" t="s">
        <v>97</v>
      </c>
      <c r="AW139" s="129"/>
      <c r="AX139" s="144" t="s">
        <v>97</v>
      </c>
      <c r="AY139" s="129"/>
      <c r="AZ139" s="129"/>
      <c r="BA139" s="129"/>
      <c r="BB139" s="129"/>
      <c r="BC139" s="129"/>
      <c r="BD139" s="129"/>
      <c r="BE139" s="129"/>
      <c r="BF139" s="130"/>
      <c r="BG139" s="129"/>
      <c r="BH139" s="129"/>
      <c r="BI139" s="129"/>
      <c r="BJ139" s="129"/>
      <c r="BK139" s="102"/>
      <c r="BL139" s="102"/>
      <c r="BM139" s="102"/>
      <c r="BN139" s="102"/>
      <c r="BO139" s="102"/>
      <c r="BP139" s="102"/>
      <c r="BQ139" s="102"/>
      <c r="BR139" s="102"/>
      <c r="BS139" s="102"/>
      <c r="BT139" s="102"/>
      <c r="BU139" s="102"/>
      <c r="BV139" s="102"/>
      <c r="BW139" s="102"/>
      <c r="BX139" s="102"/>
      <c r="BY139" s="102"/>
      <c r="BZ139" s="102"/>
      <c r="CA139" s="102"/>
      <c r="CB139" s="102"/>
      <c r="CC139" s="102"/>
      <c r="CD139" s="102"/>
      <c r="CE139" s="102"/>
      <c r="CF139" s="102"/>
      <c r="CG139" s="102"/>
      <c r="CH139" s="102"/>
      <c r="CI139" s="102"/>
      <c r="CJ139" s="102"/>
      <c r="CK139" s="102"/>
      <c r="CL139" s="102"/>
      <c r="CM139" s="102"/>
      <c r="CN139" s="102"/>
      <c r="CO139" s="102"/>
      <c r="CP139" s="102"/>
      <c r="CQ139" s="102"/>
      <c r="CR139" s="102"/>
      <c r="CS139" s="102"/>
      <c r="CT139" s="102"/>
      <c r="CU139" s="102"/>
      <c r="CV139" s="102"/>
      <c r="CW139" s="102"/>
      <c r="CX139" s="102"/>
      <c r="CY139" s="102"/>
      <c r="CZ139" s="102"/>
      <c r="DA139" s="102"/>
      <c r="DB139" s="102"/>
      <c r="DC139" s="102"/>
      <c r="DD139" s="102"/>
      <c r="DE139" s="102"/>
      <c r="DF139" s="102"/>
      <c r="DG139" s="102"/>
      <c r="DH139" s="102"/>
      <c r="DI139" s="102"/>
      <c r="DJ139" s="102"/>
      <c r="DK139" s="102"/>
      <c r="DL139" s="102"/>
      <c r="DM139" s="102"/>
      <c r="DN139" s="102"/>
      <c r="DO139" s="102"/>
      <c r="DP139" s="102"/>
      <c r="DQ139" s="102"/>
      <c r="DR139" s="102"/>
      <c r="DS139" s="102"/>
      <c r="DT139" s="102"/>
      <c r="DU139" s="102"/>
      <c r="DV139" s="102"/>
      <c r="DW139" s="102"/>
      <c r="DX139" s="102"/>
      <c r="DY139" s="102"/>
      <c r="DZ139" s="102"/>
      <c r="EA139" s="102"/>
      <c r="EB139" s="102"/>
      <c r="EC139" s="102"/>
      <c r="ED139" s="102"/>
      <c r="EE139" s="102"/>
      <c r="EF139" s="102"/>
      <c r="EG139" s="102"/>
      <c r="EH139" s="102"/>
      <c r="EI139" s="102"/>
      <c r="EJ139" s="102"/>
      <c r="EK139" s="102"/>
      <c r="EL139" s="102"/>
      <c r="EM139" s="102"/>
      <c r="EN139" s="102"/>
      <c r="EO139" s="102"/>
      <c r="EP139" s="102"/>
      <c r="EQ139" s="102"/>
    </row>
    <row r="140">
      <c r="A140" s="103" t="s">
        <v>245</v>
      </c>
      <c r="B140" s="131">
        <f t="shared" si="1"/>
        <v>46113</v>
      </c>
      <c r="C140" s="103">
        <v>60.0</v>
      </c>
      <c r="D140" s="103" t="s">
        <v>136</v>
      </c>
      <c r="E140" s="103" t="s">
        <v>99</v>
      </c>
      <c r="F140" s="103" t="s">
        <v>99</v>
      </c>
      <c r="G140" s="103" t="s">
        <v>97</v>
      </c>
      <c r="H140" s="103" t="s">
        <v>99</v>
      </c>
      <c r="I140" s="103" t="s">
        <v>97</v>
      </c>
      <c r="J140" s="136" t="s">
        <v>99</v>
      </c>
      <c r="K140" s="108" t="s">
        <v>97</v>
      </c>
      <c r="L140" s="103" t="s">
        <v>99</v>
      </c>
      <c r="M140" s="103" t="s">
        <v>97</v>
      </c>
      <c r="N140" s="103" t="s">
        <v>99</v>
      </c>
      <c r="O140" s="103" t="s">
        <v>97</v>
      </c>
      <c r="P140" s="103" t="s">
        <v>99</v>
      </c>
      <c r="Q140" s="103" t="s">
        <v>99</v>
      </c>
      <c r="R140" s="103" t="s">
        <v>99</v>
      </c>
      <c r="S140" s="103" t="s">
        <v>99</v>
      </c>
      <c r="T140" s="103" t="s">
        <v>99</v>
      </c>
      <c r="U140" s="103" t="s">
        <v>97</v>
      </c>
      <c r="V140" s="103" t="s">
        <v>99</v>
      </c>
      <c r="W140" s="103" t="s">
        <v>99</v>
      </c>
      <c r="X140" s="103" t="s">
        <v>99</v>
      </c>
      <c r="Y140" s="103" t="s">
        <v>99</v>
      </c>
      <c r="Z140" s="103" t="s">
        <v>99</v>
      </c>
      <c r="AA140" s="103" t="s">
        <v>99</v>
      </c>
      <c r="AB140" s="103" t="s">
        <v>99</v>
      </c>
      <c r="AC140" s="103" t="s">
        <v>97</v>
      </c>
      <c r="AD140" s="103" t="s">
        <v>99</v>
      </c>
      <c r="AE140" s="103" t="s">
        <v>99</v>
      </c>
      <c r="AF140" s="103" t="s">
        <v>97</v>
      </c>
      <c r="AG140" s="103" t="s">
        <v>97</v>
      </c>
      <c r="AH140" s="136" t="s">
        <v>99</v>
      </c>
      <c r="AI140" s="108" t="s">
        <v>97</v>
      </c>
      <c r="AJ140" s="103" t="s">
        <v>99</v>
      </c>
      <c r="AK140" s="103" t="s">
        <v>99</v>
      </c>
      <c r="AL140" s="103" t="s">
        <v>99</v>
      </c>
      <c r="AM140" s="103" t="s">
        <v>99</v>
      </c>
      <c r="AN140" s="103" t="s">
        <v>97</v>
      </c>
      <c r="AO140" s="103" t="s">
        <v>99</v>
      </c>
      <c r="AP140" s="103" t="s">
        <v>99</v>
      </c>
      <c r="AQ140" s="103" t="s">
        <v>97</v>
      </c>
      <c r="AR140" s="103" t="s">
        <v>99</v>
      </c>
      <c r="AS140" s="103" t="s">
        <v>97</v>
      </c>
      <c r="AT140" s="136" t="s">
        <v>99</v>
      </c>
      <c r="AU140" s="108" t="s">
        <v>99</v>
      </c>
      <c r="AV140" s="103" t="s">
        <v>97</v>
      </c>
      <c r="AW140" s="105"/>
      <c r="AX140" s="109" t="s">
        <v>97</v>
      </c>
      <c r="AY140" s="105"/>
      <c r="AZ140" s="105"/>
      <c r="BA140" s="105"/>
      <c r="BB140" s="105"/>
      <c r="BC140" s="105"/>
      <c r="BD140" s="105"/>
      <c r="BE140" s="105"/>
      <c r="BF140" s="106"/>
      <c r="BG140" s="105"/>
      <c r="BH140" s="105"/>
      <c r="BI140" s="105"/>
      <c r="BJ140" s="105"/>
      <c r="BK140" s="102"/>
      <c r="BL140" s="102"/>
      <c r="BM140" s="102"/>
      <c r="BN140" s="102"/>
      <c r="BO140" s="102"/>
      <c r="BP140" s="102"/>
      <c r="BQ140" s="102"/>
      <c r="BR140" s="102"/>
      <c r="BS140" s="102"/>
      <c r="BT140" s="102"/>
      <c r="BU140" s="102"/>
      <c r="BV140" s="102"/>
      <c r="BW140" s="102"/>
      <c r="BX140" s="102"/>
      <c r="BY140" s="102"/>
      <c r="BZ140" s="102"/>
      <c r="CA140" s="102"/>
      <c r="CB140" s="102"/>
      <c r="CC140" s="102"/>
      <c r="CD140" s="102"/>
      <c r="CE140" s="102"/>
      <c r="CF140" s="102"/>
      <c r="CG140" s="102"/>
      <c r="CH140" s="102"/>
      <c r="CI140" s="102"/>
      <c r="CJ140" s="102"/>
      <c r="CK140" s="102"/>
      <c r="CL140" s="102"/>
      <c r="CM140" s="102"/>
      <c r="CN140" s="102"/>
      <c r="CO140" s="102"/>
      <c r="CP140" s="102"/>
      <c r="CQ140" s="102"/>
      <c r="CR140" s="102"/>
      <c r="CS140" s="102"/>
      <c r="CT140" s="102"/>
      <c r="CU140" s="102"/>
      <c r="CV140" s="102"/>
      <c r="CW140" s="102"/>
      <c r="CX140" s="102"/>
      <c r="CY140" s="102"/>
      <c r="CZ140" s="102"/>
      <c r="DA140" s="102"/>
      <c r="DB140" s="102"/>
      <c r="DC140" s="102"/>
      <c r="DD140" s="102"/>
      <c r="DE140" s="102"/>
      <c r="DF140" s="102"/>
      <c r="DG140" s="102"/>
      <c r="DH140" s="102"/>
      <c r="DI140" s="102"/>
      <c r="DJ140" s="102"/>
      <c r="DK140" s="102"/>
      <c r="DL140" s="102"/>
      <c r="DM140" s="102"/>
      <c r="DN140" s="102"/>
      <c r="DO140" s="102"/>
      <c r="DP140" s="102"/>
      <c r="DQ140" s="102"/>
      <c r="DR140" s="102"/>
      <c r="DS140" s="102"/>
      <c r="DT140" s="102"/>
      <c r="DU140" s="102"/>
      <c r="DV140" s="102"/>
      <c r="DW140" s="102"/>
      <c r="DX140" s="102"/>
      <c r="DY140" s="102"/>
      <c r="DZ140" s="102"/>
      <c r="EA140" s="102"/>
      <c r="EB140" s="102"/>
      <c r="EC140" s="102"/>
      <c r="ED140" s="102"/>
      <c r="EE140" s="102"/>
      <c r="EF140" s="102"/>
      <c r="EG140" s="102"/>
      <c r="EH140" s="102"/>
      <c r="EI140" s="102"/>
      <c r="EJ140" s="102"/>
      <c r="EK140" s="102"/>
      <c r="EL140" s="102"/>
      <c r="EM140" s="102"/>
      <c r="EN140" s="102"/>
      <c r="EO140" s="102"/>
      <c r="EP140" s="102"/>
      <c r="EQ140" s="102"/>
    </row>
    <row r="141">
      <c r="A141" s="110" t="s">
        <v>246</v>
      </c>
      <c r="B141" s="111">
        <f t="shared" si="1"/>
        <v>46113</v>
      </c>
      <c r="C141" s="110">
        <v>60.0</v>
      </c>
      <c r="D141" s="110" t="s">
        <v>136</v>
      </c>
      <c r="E141" s="110" t="s">
        <v>97</v>
      </c>
      <c r="F141" s="110" t="s">
        <v>97</v>
      </c>
      <c r="G141" s="110" t="s">
        <v>97</v>
      </c>
      <c r="H141" s="110" t="s">
        <v>97</v>
      </c>
      <c r="I141" s="110" t="s">
        <v>97</v>
      </c>
      <c r="J141" s="137" t="s">
        <v>97</v>
      </c>
      <c r="K141" s="132" t="s">
        <v>97</v>
      </c>
      <c r="L141" s="115" t="s">
        <v>97</v>
      </c>
      <c r="M141" s="115" t="s">
        <v>97</v>
      </c>
      <c r="N141" s="115" t="s">
        <v>97</v>
      </c>
      <c r="O141" s="115" t="s">
        <v>97</v>
      </c>
      <c r="P141" s="115" t="s">
        <v>97</v>
      </c>
      <c r="Q141" s="115" t="s">
        <v>99</v>
      </c>
      <c r="R141" s="115" t="s">
        <v>97</v>
      </c>
      <c r="S141" s="115" t="s">
        <v>99</v>
      </c>
      <c r="T141" s="115" t="s">
        <v>97</v>
      </c>
      <c r="U141" s="115" t="s">
        <v>97</v>
      </c>
      <c r="V141" s="143" t="s">
        <v>97</v>
      </c>
      <c r="W141" s="121" t="s">
        <v>99</v>
      </c>
      <c r="X141" s="121" t="s">
        <v>99</v>
      </c>
      <c r="Y141" s="121" t="s">
        <v>97</v>
      </c>
      <c r="Z141" s="121" t="s">
        <v>99</v>
      </c>
      <c r="AA141" s="121" t="s">
        <v>99</v>
      </c>
      <c r="AB141" s="121" t="s">
        <v>97</v>
      </c>
      <c r="AC141" s="121" t="s">
        <v>97</v>
      </c>
      <c r="AD141" s="121" t="s">
        <v>99</v>
      </c>
      <c r="AE141" s="121" t="s">
        <v>97</v>
      </c>
      <c r="AF141" s="121" t="s">
        <v>97</v>
      </c>
      <c r="AG141" s="121" t="s">
        <v>97</v>
      </c>
      <c r="AH141" s="140" t="s">
        <v>99</v>
      </c>
      <c r="AI141" s="134" t="s">
        <v>97</v>
      </c>
      <c r="AJ141" s="125" t="s">
        <v>97</v>
      </c>
      <c r="AK141" s="125" t="s">
        <v>99</v>
      </c>
      <c r="AL141" s="125" t="s">
        <v>99</v>
      </c>
      <c r="AM141" s="125" t="s">
        <v>99</v>
      </c>
      <c r="AN141" s="125" t="s">
        <v>97</v>
      </c>
      <c r="AO141" s="125" t="s">
        <v>99</v>
      </c>
      <c r="AP141" s="125" t="s">
        <v>99</v>
      </c>
      <c r="AQ141" s="125" t="s">
        <v>97</v>
      </c>
      <c r="AR141" s="125" t="s">
        <v>97</v>
      </c>
      <c r="AS141" s="125" t="s">
        <v>97</v>
      </c>
      <c r="AT141" s="133" t="s">
        <v>97</v>
      </c>
      <c r="AU141" s="135" t="s">
        <v>99</v>
      </c>
      <c r="AV141" s="128" t="s">
        <v>97</v>
      </c>
      <c r="AW141" s="129"/>
      <c r="AX141" s="144" t="s">
        <v>97</v>
      </c>
      <c r="AY141" s="129"/>
      <c r="AZ141" s="129"/>
      <c r="BA141" s="129"/>
      <c r="BB141" s="129"/>
      <c r="BC141" s="129"/>
      <c r="BD141" s="129"/>
      <c r="BE141" s="129"/>
      <c r="BF141" s="130"/>
      <c r="BG141" s="129"/>
      <c r="BH141" s="129"/>
      <c r="BI141" s="129"/>
      <c r="BJ141" s="129"/>
      <c r="BK141" s="102"/>
      <c r="BL141" s="102"/>
      <c r="BM141" s="102"/>
      <c r="BN141" s="102"/>
      <c r="BO141" s="102"/>
      <c r="BP141" s="102"/>
      <c r="BQ141" s="102"/>
      <c r="BR141" s="102"/>
      <c r="BS141" s="102"/>
      <c r="BT141" s="102"/>
      <c r="BU141" s="102"/>
      <c r="BV141" s="102"/>
      <c r="BW141" s="102"/>
      <c r="BX141" s="102"/>
      <c r="BY141" s="102"/>
      <c r="BZ141" s="102"/>
      <c r="CA141" s="102"/>
      <c r="CB141" s="102"/>
      <c r="CC141" s="102"/>
      <c r="CD141" s="102"/>
      <c r="CE141" s="102"/>
      <c r="CF141" s="102"/>
      <c r="CG141" s="102"/>
      <c r="CH141" s="102"/>
      <c r="CI141" s="102"/>
      <c r="CJ141" s="102"/>
      <c r="CK141" s="102"/>
      <c r="CL141" s="102"/>
      <c r="CM141" s="102"/>
      <c r="CN141" s="102"/>
      <c r="CO141" s="102"/>
      <c r="CP141" s="102"/>
      <c r="CQ141" s="102"/>
      <c r="CR141" s="102"/>
      <c r="CS141" s="102"/>
      <c r="CT141" s="102"/>
      <c r="CU141" s="102"/>
      <c r="CV141" s="102"/>
      <c r="CW141" s="102"/>
      <c r="CX141" s="102"/>
      <c r="CY141" s="102"/>
      <c r="CZ141" s="102"/>
      <c r="DA141" s="102"/>
      <c r="DB141" s="102"/>
      <c r="DC141" s="102"/>
      <c r="DD141" s="102"/>
      <c r="DE141" s="102"/>
      <c r="DF141" s="102"/>
      <c r="DG141" s="102"/>
      <c r="DH141" s="102"/>
      <c r="DI141" s="102"/>
      <c r="DJ141" s="102"/>
      <c r="DK141" s="102"/>
      <c r="DL141" s="102"/>
      <c r="DM141" s="102"/>
      <c r="DN141" s="102"/>
      <c r="DO141" s="102"/>
      <c r="DP141" s="102"/>
      <c r="DQ141" s="102"/>
      <c r="DR141" s="102"/>
      <c r="DS141" s="102"/>
      <c r="DT141" s="102"/>
      <c r="DU141" s="102"/>
      <c r="DV141" s="102"/>
      <c r="DW141" s="102"/>
      <c r="DX141" s="102"/>
      <c r="DY141" s="102"/>
      <c r="DZ141" s="102"/>
      <c r="EA141" s="102"/>
      <c r="EB141" s="102"/>
      <c r="EC141" s="102"/>
      <c r="ED141" s="102"/>
      <c r="EE141" s="102"/>
      <c r="EF141" s="102"/>
      <c r="EG141" s="102"/>
      <c r="EH141" s="102"/>
      <c r="EI141" s="102"/>
      <c r="EJ141" s="102"/>
      <c r="EK141" s="102"/>
      <c r="EL141" s="102"/>
      <c r="EM141" s="102"/>
      <c r="EN141" s="102"/>
      <c r="EO141" s="102"/>
      <c r="EP141" s="102"/>
      <c r="EQ141" s="102"/>
    </row>
    <row r="142">
      <c r="A142" s="103" t="s">
        <v>247</v>
      </c>
      <c r="B142" s="131">
        <f t="shared" si="1"/>
        <v>46113</v>
      </c>
      <c r="C142" s="103">
        <v>210.0</v>
      </c>
      <c r="D142" s="103" t="s">
        <v>95</v>
      </c>
      <c r="E142" s="103" t="s">
        <v>96</v>
      </c>
      <c r="F142" s="105"/>
      <c r="G142" s="105"/>
      <c r="H142" s="105"/>
      <c r="I142" s="105"/>
      <c r="J142" s="106"/>
      <c r="K142" s="108" t="s">
        <v>98</v>
      </c>
      <c r="L142" s="105"/>
      <c r="M142" s="105"/>
      <c r="N142" s="105"/>
      <c r="O142" s="105"/>
      <c r="P142" s="105"/>
      <c r="Q142" s="103" t="s">
        <v>96</v>
      </c>
      <c r="R142" s="103" t="s">
        <v>96</v>
      </c>
      <c r="S142" s="103" t="s">
        <v>99</v>
      </c>
      <c r="T142" s="105"/>
      <c r="U142" s="103" t="s">
        <v>97</v>
      </c>
      <c r="V142" s="136" t="s">
        <v>97</v>
      </c>
      <c r="W142" s="107"/>
      <c r="X142" s="105"/>
      <c r="Y142" s="105"/>
      <c r="Z142" s="105"/>
      <c r="AA142" s="105"/>
      <c r="AB142" s="103" t="s">
        <v>99</v>
      </c>
      <c r="AC142" s="105"/>
      <c r="AD142" s="105"/>
      <c r="AE142" s="105"/>
      <c r="AF142" s="105"/>
      <c r="AG142" s="105"/>
      <c r="AH142" s="136" t="s">
        <v>99</v>
      </c>
      <c r="AI142" s="108" t="s">
        <v>97</v>
      </c>
      <c r="AJ142" s="105"/>
      <c r="AK142" s="105"/>
      <c r="AL142" s="105"/>
      <c r="AM142" s="105"/>
      <c r="AN142" s="103" t="s">
        <v>97</v>
      </c>
      <c r="AO142" s="105"/>
      <c r="AP142" s="105"/>
      <c r="AQ142" s="103" t="s">
        <v>97</v>
      </c>
      <c r="AR142" s="103" t="s">
        <v>97</v>
      </c>
      <c r="AS142" s="105"/>
      <c r="AT142" s="106"/>
      <c r="AU142" s="107"/>
      <c r="AV142" s="103" t="s">
        <v>97</v>
      </c>
      <c r="AW142" s="105"/>
      <c r="AX142" s="109" t="s">
        <v>96</v>
      </c>
      <c r="AY142" s="105"/>
      <c r="AZ142" s="105"/>
      <c r="BA142" s="105"/>
      <c r="BB142" s="105"/>
      <c r="BC142" s="105"/>
      <c r="BD142" s="105"/>
      <c r="BE142" s="105"/>
      <c r="BF142" s="106"/>
      <c r="BG142" s="105"/>
      <c r="BH142" s="105"/>
      <c r="BI142" s="105"/>
      <c r="BJ142" s="105"/>
      <c r="BK142" s="102"/>
      <c r="BL142" s="102"/>
      <c r="BM142" s="102"/>
      <c r="BN142" s="102"/>
      <c r="BO142" s="102"/>
      <c r="BP142" s="102"/>
      <c r="BQ142" s="102"/>
      <c r="BR142" s="102"/>
      <c r="BS142" s="102"/>
      <c r="BT142" s="102"/>
      <c r="BU142" s="102"/>
      <c r="BV142" s="102"/>
      <c r="BW142" s="102"/>
      <c r="BX142" s="102"/>
      <c r="BY142" s="102"/>
      <c r="BZ142" s="102"/>
      <c r="CA142" s="102"/>
      <c r="CB142" s="102"/>
      <c r="CC142" s="102"/>
      <c r="CD142" s="102"/>
      <c r="CE142" s="102"/>
      <c r="CF142" s="102"/>
      <c r="CG142" s="102"/>
      <c r="CH142" s="102"/>
      <c r="CI142" s="102"/>
      <c r="CJ142" s="102"/>
      <c r="CK142" s="102"/>
      <c r="CL142" s="102"/>
      <c r="CM142" s="102"/>
      <c r="CN142" s="102"/>
      <c r="CO142" s="102"/>
      <c r="CP142" s="102"/>
      <c r="CQ142" s="102"/>
      <c r="CR142" s="102"/>
      <c r="CS142" s="102"/>
      <c r="CT142" s="102"/>
      <c r="CU142" s="102"/>
      <c r="CV142" s="102"/>
      <c r="CW142" s="102"/>
      <c r="CX142" s="102"/>
      <c r="CY142" s="102"/>
      <c r="CZ142" s="102"/>
      <c r="DA142" s="102"/>
      <c r="DB142" s="102"/>
      <c r="DC142" s="102"/>
      <c r="DD142" s="102"/>
      <c r="DE142" s="102"/>
      <c r="DF142" s="102"/>
      <c r="DG142" s="102"/>
      <c r="DH142" s="102"/>
      <c r="DI142" s="102"/>
      <c r="DJ142" s="102"/>
      <c r="DK142" s="102"/>
      <c r="DL142" s="102"/>
      <c r="DM142" s="102"/>
      <c r="DN142" s="102"/>
      <c r="DO142" s="102"/>
      <c r="DP142" s="102"/>
      <c r="DQ142" s="102"/>
      <c r="DR142" s="102"/>
      <c r="DS142" s="102"/>
      <c r="DT142" s="102"/>
      <c r="DU142" s="102"/>
      <c r="DV142" s="102"/>
      <c r="DW142" s="102"/>
      <c r="DX142" s="102"/>
      <c r="DY142" s="102"/>
      <c r="DZ142" s="102"/>
      <c r="EA142" s="102"/>
      <c r="EB142" s="102"/>
      <c r="EC142" s="102"/>
      <c r="ED142" s="102"/>
      <c r="EE142" s="102"/>
      <c r="EF142" s="102"/>
      <c r="EG142" s="102"/>
      <c r="EH142" s="102"/>
      <c r="EI142" s="102"/>
      <c r="EJ142" s="102"/>
      <c r="EK142" s="102"/>
      <c r="EL142" s="102"/>
      <c r="EM142" s="102"/>
      <c r="EN142" s="102"/>
      <c r="EO142" s="102"/>
      <c r="EP142" s="102"/>
      <c r="EQ142" s="102"/>
    </row>
    <row r="143">
      <c r="A143" s="110" t="s">
        <v>248</v>
      </c>
      <c r="B143" s="111">
        <f t="shared" si="1"/>
        <v>46054</v>
      </c>
      <c r="C143" s="110">
        <v>210.0</v>
      </c>
      <c r="D143" s="110" t="s">
        <v>95</v>
      </c>
      <c r="E143" s="112"/>
      <c r="F143" s="112"/>
      <c r="G143" s="112"/>
      <c r="H143" s="112"/>
      <c r="I143" s="110" t="s">
        <v>98</v>
      </c>
      <c r="J143" s="113"/>
      <c r="K143" s="114"/>
      <c r="L143" s="116"/>
      <c r="M143" s="116"/>
      <c r="N143" s="116"/>
      <c r="O143" s="115" t="s">
        <v>98</v>
      </c>
      <c r="P143" s="116"/>
      <c r="Q143" s="116"/>
      <c r="R143" s="116"/>
      <c r="S143" s="115" t="s">
        <v>99</v>
      </c>
      <c r="T143" s="116"/>
      <c r="U143" s="115" t="s">
        <v>98</v>
      </c>
      <c r="V143" s="117"/>
      <c r="W143" s="118"/>
      <c r="X143" s="120"/>
      <c r="Y143" s="120"/>
      <c r="Z143" s="120"/>
      <c r="AA143" s="121" t="s">
        <v>99</v>
      </c>
      <c r="AB143" s="120"/>
      <c r="AC143" s="120"/>
      <c r="AD143" s="120"/>
      <c r="AE143" s="120"/>
      <c r="AF143" s="120"/>
      <c r="AG143" s="121" t="s">
        <v>99</v>
      </c>
      <c r="AH143" s="122"/>
      <c r="AI143" s="134" t="s">
        <v>98</v>
      </c>
      <c r="AJ143" s="124"/>
      <c r="AK143" s="124"/>
      <c r="AL143" s="124"/>
      <c r="AM143" s="124"/>
      <c r="AN143" s="125" t="s">
        <v>96</v>
      </c>
      <c r="AO143" s="124"/>
      <c r="AP143" s="124"/>
      <c r="AQ143" s="124"/>
      <c r="AR143" s="124"/>
      <c r="AS143" s="124"/>
      <c r="AT143" s="133" t="s">
        <v>98</v>
      </c>
      <c r="AU143" s="127"/>
      <c r="AV143" s="128" t="s">
        <v>98</v>
      </c>
      <c r="AW143" s="129"/>
      <c r="AX143" s="129"/>
      <c r="AY143" s="129"/>
      <c r="AZ143" s="129"/>
      <c r="BA143" s="129"/>
      <c r="BB143" s="129"/>
      <c r="BC143" s="129"/>
      <c r="BD143" s="129"/>
      <c r="BE143" s="129"/>
      <c r="BF143" s="130"/>
      <c r="BG143" s="129"/>
      <c r="BH143" s="129"/>
      <c r="BI143" s="129"/>
      <c r="BJ143" s="129"/>
      <c r="BK143" s="102"/>
      <c r="BL143" s="102"/>
      <c r="BM143" s="102"/>
      <c r="BN143" s="102"/>
      <c r="BO143" s="102"/>
      <c r="BP143" s="102"/>
      <c r="BQ143" s="102"/>
      <c r="BR143" s="102"/>
      <c r="BS143" s="102"/>
      <c r="BT143" s="102"/>
      <c r="BU143" s="102"/>
      <c r="BV143" s="102"/>
      <c r="BW143" s="102"/>
      <c r="BX143" s="102"/>
      <c r="BY143" s="102"/>
      <c r="BZ143" s="102"/>
      <c r="CA143" s="102"/>
      <c r="CB143" s="102"/>
      <c r="CC143" s="102"/>
      <c r="CD143" s="102"/>
      <c r="CE143" s="102"/>
      <c r="CF143" s="102"/>
      <c r="CG143" s="102"/>
      <c r="CH143" s="102"/>
      <c r="CI143" s="102"/>
      <c r="CJ143" s="102"/>
      <c r="CK143" s="102"/>
      <c r="CL143" s="102"/>
      <c r="CM143" s="102"/>
      <c r="CN143" s="102"/>
      <c r="CO143" s="102"/>
      <c r="CP143" s="102"/>
      <c r="CQ143" s="102"/>
      <c r="CR143" s="102"/>
      <c r="CS143" s="102"/>
      <c r="CT143" s="102"/>
      <c r="CU143" s="102"/>
      <c r="CV143" s="102"/>
      <c r="CW143" s="102"/>
      <c r="CX143" s="102"/>
      <c r="CY143" s="102"/>
      <c r="CZ143" s="102"/>
      <c r="DA143" s="102"/>
      <c r="DB143" s="102"/>
      <c r="DC143" s="102"/>
      <c r="DD143" s="102"/>
      <c r="DE143" s="102"/>
      <c r="DF143" s="102"/>
      <c r="DG143" s="102"/>
      <c r="DH143" s="102"/>
      <c r="DI143" s="102"/>
      <c r="DJ143" s="102"/>
      <c r="DK143" s="102"/>
      <c r="DL143" s="102"/>
      <c r="DM143" s="102"/>
      <c r="DN143" s="102"/>
      <c r="DO143" s="102"/>
      <c r="DP143" s="102"/>
      <c r="DQ143" s="102"/>
      <c r="DR143" s="102"/>
      <c r="DS143" s="102"/>
      <c r="DT143" s="102"/>
      <c r="DU143" s="102"/>
      <c r="DV143" s="102"/>
      <c r="DW143" s="102"/>
      <c r="DX143" s="102"/>
      <c r="DY143" s="102"/>
      <c r="DZ143" s="102"/>
      <c r="EA143" s="102"/>
      <c r="EB143" s="102"/>
      <c r="EC143" s="102"/>
      <c r="ED143" s="102"/>
      <c r="EE143" s="102"/>
      <c r="EF143" s="102"/>
      <c r="EG143" s="102"/>
      <c r="EH143" s="102"/>
      <c r="EI143" s="102"/>
      <c r="EJ143" s="102"/>
      <c r="EK143" s="102"/>
      <c r="EL143" s="102"/>
      <c r="EM143" s="102"/>
      <c r="EN143" s="102"/>
      <c r="EO143" s="102"/>
      <c r="EP143" s="102"/>
      <c r="EQ143" s="102"/>
    </row>
    <row r="144">
      <c r="A144" s="103" t="s">
        <v>249</v>
      </c>
      <c r="B144" s="131">
        <f t="shared" si="1"/>
        <v>46113</v>
      </c>
      <c r="C144" s="103">
        <v>30.0</v>
      </c>
      <c r="D144" s="103" t="s">
        <v>136</v>
      </c>
      <c r="E144" s="103" t="s">
        <v>97</v>
      </c>
      <c r="F144" s="103" t="s">
        <v>99</v>
      </c>
      <c r="G144" s="103" t="s">
        <v>97</v>
      </c>
      <c r="H144" s="103" t="s">
        <v>99</v>
      </c>
      <c r="I144" s="103" t="s">
        <v>97</v>
      </c>
      <c r="J144" s="136" t="s">
        <v>97</v>
      </c>
      <c r="K144" s="108" t="s">
        <v>97</v>
      </c>
      <c r="L144" s="103" t="s">
        <v>99</v>
      </c>
      <c r="M144" s="103" t="s">
        <v>97</v>
      </c>
      <c r="N144" s="103" t="s">
        <v>99</v>
      </c>
      <c r="O144" s="103" t="s">
        <v>97</v>
      </c>
      <c r="P144" s="103" t="s">
        <v>99</v>
      </c>
      <c r="Q144" s="103" t="s">
        <v>99</v>
      </c>
      <c r="R144" s="103" t="s">
        <v>99</v>
      </c>
      <c r="S144" s="103" t="s">
        <v>99</v>
      </c>
      <c r="T144" s="103" t="s">
        <v>99</v>
      </c>
      <c r="U144" s="103" t="s">
        <v>97</v>
      </c>
      <c r="V144" s="103" t="s">
        <v>99</v>
      </c>
      <c r="W144" s="103" t="s">
        <v>99</v>
      </c>
      <c r="X144" s="103" t="s">
        <v>99</v>
      </c>
      <c r="Y144" s="103" t="s">
        <v>99</v>
      </c>
      <c r="Z144" s="103" t="s">
        <v>99</v>
      </c>
      <c r="AA144" s="103" t="s">
        <v>99</v>
      </c>
      <c r="AB144" s="103" t="s">
        <v>99</v>
      </c>
      <c r="AC144" s="103" t="s">
        <v>97</v>
      </c>
      <c r="AD144" s="103" t="s">
        <v>99</v>
      </c>
      <c r="AE144" s="103" t="s">
        <v>99</v>
      </c>
      <c r="AF144" s="103" t="s">
        <v>97</v>
      </c>
      <c r="AG144" s="103" t="s">
        <v>97</v>
      </c>
      <c r="AH144" s="136" t="s">
        <v>99</v>
      </c>
      <c r="AI144" s="108" t="s">
        <v>97</v>
      </c>
      <c r="AJ144" s="103" t="s">
        <v>99</v>
      </c>
      <c r="AK144" s="103" t="s">
        <v>99</v>
      </c>
      <c r="AL144" s="103" t="s">
        <v>99</v>
      </c>
      <c r="AM144" s="103" t="s">
        <v>99</v>
      </c>
      <c r="AN144" s="103" t="s">
        <v>97</v>
      </c>
      <c r="AO144" s="103" t="s">
        <v>99</v>
      </c>
      <c r="AP144" s="103" t="s">
        <v>99</v>
      </c>
      <c r="AQ144" s="103" t="s">
        <v>97</v>
      </c>
      <c r="AR144" s="103" t="s">
        <v>99</v>
      </c>
      <c r="AS144" s="103" t="s">
        <v>97</v>
      </c>
      <c r="AT144" s="136" t="s">
        <v>99</v>
      </c>
      <c r="AU144" s="108" t="s">
        <v>99</v>
      </c>
      <c r="AV144" s="103" t="s">
        <v>97</v>
      </c>
      <c r="AW144" s="105"/>
      <c r="AX144" s="109" t="s">
        <v>97</v>
      </c>
      <c r="AY144" s="105"/>
      <c r="AZ144" s="105"/>
      <c r="BA144" s="105"/>
      <c r="BB144" s="105"/>
      <c r="BC144" s="105"/>
      <c r="BD144" s="105"/>
      <c r="BE144" s="105"/>
      <c r="BF144" s="106"/>
      <c r="BG144" s="105"/>
      <c r="BH144" s="105"/>
      <c r="BI144" s="105"/>
      <c r="BJ144" s="105"/>
      <c r="BK144" s="102"/>
      <c r="BL144" s="102"/>
      <c r="BM144" s="102"/>
      <c r="BN144" s="102"/>
      <c r="BO144" s="102"/>
      <c r="BP144" s="102"/>
      <c r="BQ144" s="102"/>
      <c r="BR144" s="102"/>
      <c r="BS144" s="102"/>
      <c r="BT144" s="102"/>
      <c r="BU144" s="102"/>
      <c r="BV144" s="102"/>
      <c r="BW144" s="102"/>
      <c r="BX144" s="102"/>
      <c r="BY144" s="102"/>
      <c r="BZ144" s="102"/>
      <c r="CA144" s="102"/>
      <c r="CB144" s="102"/>
      <c r="CC144" s="102"/>
      <c r="CD144" s="102"/>
      <c r="CE144" s="102"/>
      <c r="CF144" s="102"/>
      <c r="CG144" s="102"/>
      <c r="CH144" s="102"/>
      <c r="CI144" s="102"/>
      <c r="CJ144" s="102"/>
      <c r="CK144" s="102"/>
      <c r="CL144" s="102"/>
      <c r="CM144" s="102"/>
      <c r="CN144" s="102"/>
      <c r="CO144" s="102"/>
      <c r="CP144" s="102"/>
      <c r="CQ144" s="102"/>
      <c r="CR144" s="102"/>
      <c r="CS144" s="102"/>
      <c r="CT144" s="102"/>
      <c r="CU144" s="102"/>
      <c r="CV144" s="102"/>
      <c r="CW144" s="102"/>
      <c r="CX144" s="102"/>
      <c r="CY144" s="102"/>
      <c r="CZ144" s="102"/>
      <c r="DA144" s="102"/>
      <c r="DB144" s="102"/>
      <c r="DC144" s="102"/>
      <c r="DD144" s="102"/>
      <c r="DE144" s="102"/>
      <c r="DF144" s="102"/>
      <c r="DG144" s="102"/>
      <c r="DH144" s="102"/>
      <c r="DI144" s="102"/>
      <c r="DJ144" s="102"/>
      <c r="DK144" s="102"/>
      <c r="DL144" s="102"/>
      <c r="DM144" s="102"/>
      <c r="DN144" s="102"/>
      <c r="DO144" s="102"/>
      <c r="DP144" s="102"/>
      <c r="DQ144" s="102"/>
      <c r="DR144" s="102"/>
      <c r="DS144" s="102"/>
      <c r="DT144" s="102"/>
      <c r="DU144" s="102"/>
      <c r="DV144" s="102"/>
      <c r="DW144" s="102"/>
      <c r="DX144" s="102"/>
      <c r="DY144" s="102"/>
      <c r="DZ144" s="102"/>
      <c r="EA144" s="102"/>
      <c r="EB144" s="102"/>
      <c r="EC144" s="102"/>
      <c r="ED144" s="102"/>
      <c r="EE144" s="102"/>
      <c r="EF144" s="102"/>
      <c r="EG144" s="102"/>
      <c r="EH144" s="102"/>
      <c r="EI144" s="102"/>
      <c r="EJ144" s="102"/>
      <c r="EK144" s="102"/>
      <c r="EL144" s="102"/>
      <c r="EM144" s="102"/>
      <c r="EN144" s="102"/>
      <c r="EO144" s="102"/>
      <c r="EP144" s="102"/>
      <c r="EQ144" s="102"/>
    </row>
    <row r="145">
      <c r="A145" s="110" t="s">
        <v>250</v>
      </c>
      <c r="B145" s="111">
        <f t="shared" si="1"/>
        <v>46113</v>
      </c>
      <c r="C145" s="110">
        <v>60.0</v>
      </c>
      <c r="D145" s="110" t="s">
        <v>136</v>
      </c>
      <c r="E145" s="110" t="s">
        <v>97</v>
      </c>
      <c r="F145" s="110" t="s">
        <v>99</v>
      </c>
      <c r="G145" s="110" t="s">
        <v>97</v>
      </c>
      <c r="H145" s="110" t="s">
        <v>99</v>
      </c>
      <c r="I145" s="110" t="s">
        <v>97</v>
      </c>
      <c r="J145" s="137" t="s">
        <v>99</v>
      </c>
      <c r="K145" s="132" t="s">
        <v>97</v>
      </c>
      <c r="L145" s="115" t="s">
        <v>99</v>
      </c>
      <c r="M145" s="115" t="s">
        <v>97</v>
      </c>
      <c r="N145" s="115" t="s">
        <v>99</v>
      </c>
      <c r="O145" s="115" t="s">
        <v>97</v>
      </c>
      <c r="P145" s="115" t="s">
        <v>99</v>
      </c>
      <c r="Q145" s="115" t="s">
        <v>99</v>
      </c>
      <c r="R145" s="115" t="s">
        <v>99</v>
      </c>
      <c r="S145" s="115" t="s">
        <v>99</v>
      </c>
      <c r="T145" s="115" t="s">
        <v>99</v>
      </c>
      <c r="U145" s="115" t="s">
        <v>97</v>
      </c>
      <c r="V145" s="115" t="s">
        <v>99</v>
      </c>
      <c r="W145" s="121" t="s">
        <v>99</v>
      </c>
      <c r="X145" s="121" t="s">
        <v>99</v>
      </c>
      <c r="Y145" s="121" t="s">
        <v>99</v>
      </c>
      <c r="Z145" s="121" t="s">
        <v>99</v>
      </c>
      <c r="AA145" s="121" t="s">
        <v>99</v>
      </c>
      <c r="AB145" s="121" t="s">
        <v>99</v>
      </c>
      <c r="AC145" s="121" t="s">
        <v>97</v>
      </c>
      <c r="AD145" s="121" t="s">
        <v>99</v>
      </c>
      <c r="AE145" s="121" t="s">
        <v>99</v>
      </c>
      <c r="AF145" s="121" t="s">
        <v>97</v>
      </c>
      <c r="AG145" s="121" t="s">
        <v>97</v>
      </c>
      <c r="AH145" s="140" t="s">
        <v>99</v>
      </c>
      <c r="AI145" s="134" t="s">
        <v>97</v>
      </c>
      <c r="AJ145" s="125" t="s">
        <v>99</v>
      </c>
      <c r="AK145" s="125" t="s">
        <v>99</v>
      </c>
      <c r="AL145" s="125" t="s">
        <v>99</v>
      </c>
      <c r="AM145" s="125" t="s">
        <v>99</v>
      </c>
      <c r="AN145" s="125" t="s">
        <v>97</v>
      </c>
      <c r="AO145" s="125" t="s">
        <v>99</v>
      </c>
      <c r="AP145" s="125" t="s">
        <v>99</v>
      </c>
      <c r="AQ145" s="125" t="s">
        <v>97</v>
      </c>
      <c r="AR145" s="125" t="s">
        <v>99</v>
      </c>
      <c r="AS145" s="125" t="s">
        <v>97</v>
      </c>
      <c r="AT145" s="133" t="s">
        <v>99</v>
      </c>
      <c r="AU145" s="135" t="s">
        <v>99</v>
      </c>
      <c r="AV145" s="128" t="s">
        <v>97</v>
      </c>
      <c r="AW145" s="129"/>
      <c r="AX145" s="144" t="s">
        <v>97</v>
      </c>
      <c r="AY145" s="129"/>
      <c r="AZ145" s="129"/>
      <c r="BA145" s="129"/>
      <c r="BB145" s="129"/>
      <c r="BC145" s="129"/>
      <c r="BD145" s="129"/>
      <c r="BE145" s="129"/>
      <c r="BF145" s="130"/>
      <c r="BG145" s="129"/>
      <c r="BH145" s="129"/>
      <c r="BI145" s="129"/>
      <c r="BJ145" s="129"/>
      <c r="BK145" s="102"/>
      <c r="BL145" s="102"/>
      <c r="BM145" s="102"/>
      <c r="BN145" s="102"/>
      <c r="BO145" s="102"/>
      <c r="BP145" s="102"/>
      <c r="BQ145" s="102"/>
      <c r="BR145" s="102"/>
      <c r="BS145" s="102"/>
      <c r="BT145" s="102"/>
      <c r="BU145" s="102"/>
      <c r="BV145" s="102"/>
      <c r="BW145" s="102"/>
      <c r="BX145" s="102"/>
      <c r="BY145" s="102"/>
      <c r="BZ145" s="102"/>
      <c r="CA145" s="102"/>
      <c r="CB145" s="102"/>
      <c r="CC145" s="102"/>
      <c r="CD145" s="102"/>
      <c r="CE145" s="102"/>
      <c r="CF145" s="102"/>
      <c r="CG145" s="102"/>
      <c r="CH145" s="102"/>
      <c r="CI145" s="102"/>
      <c r="CJ145" s="102"/>
      <c r="CK145" s="102"/>
      <c r="CL145" s="102"/>
      <c r="CM145" s="102"/>
      <c r="CN145" s="102"/>
      <c r="CO145" s="102"/>
      <c r="CP145" s="102"/>
      <c r="CQ145" s="102"/>
      <c r="CR145" s="102"/>
      <c r="CS145" s="102"/>
      <c r="CT145" s="102"/>
      <c r="CU145" s="102"/>
      <c r="CV145" s="102"/>
      <c r="CW145" s="102"/>
      <c r="CX145" s="102"/>
      <c r="CY145" s="102"/>
      <c r="CZ145" s="102"/>
      <c r="DA145" s="102"/>
      <c r="DB145" s="102"/>
      <c r="DC145" s="102"/>
      <c r="DD145" s="102"/>
      <c r="DE145" s="102"/>
      <c r="DF145" s="102"/>
      <c r="DG145" s="102"/>
      <c r="DH145" s="102"/>
      <c r="DI145" s="102"/>
      <c r="DJ145" s="102"/>
      <c r="DK145" s="102"/>
      <c r="DL145" s="102"/>
      <c r="DM145" s="102"/>
      <c r="DN145" s="102"/>
      <c r="DO145" s="102"/>
      <c r="DP145" s="102"/>
      <c r="DQ145" s="102"/>
      <c r="DR145" s="102"/>
      <c r="DS145" s="102"/>
      <c r="DT145" s="102"/>
      <c r="DU145" s="102"/>
      <c r="DV145" s="102"/>
      <c r="DW145" s="102"/>
      <c r="DX145" s="102"/>
      <c r="DY145" s="102"/>
      <c r="DZ145" s="102"/>
      <c r="EA145" s="102"/>
      <c r="EB145" s="102"/>
      <c r="EC145" s="102"/>
      <c r="ED145" s="102"/>
      <c r="EE145" s="102"/>
      <c r="EF145" s="102"/>
      <c r="EG145" s="102"/>
      <c r="EH145" s="102"/>
      <c r="EI145" s="102"/>
      <c r="EJ145" s="102"/>
      <c r="EK145" s="102"/>
      <c r="EL145" s="102"/>
      <c r="EM145" s="102"/>
      <c r="EN145" s="102"/>
      <c r="EO145" s="102"/>
      <c r="EP145" s="102"/>
      <c r="EQ145" s="102"/>
    </row>
    <row r="146">
      <c r="A146" s="139" t="s">
        <v>251</v>
      </c>
      <c r="B146" s="131">
        <f t="shared" si="1"/>
        <v>46113</v>
      </c>
      <c r="C146" s="103">
        <v>60.0</v>
      </c>
      <c r="D146" s="103" t="s">
        <v>136</v>
      </c>
      <c r="E146" s="103" t="s">
        <v>97</v>
      </c>
      <c r="F146" s="103" t="s">
        <v>97</v>
      </c>
      <c r="G146" s="103" t="s">
        <v>96</v>
      </c>
      <c r="H146" s="103" t="s">
        <v>97</v>
      </c>
      <c r="I146" s="103" t="s">
        <v>97</v>
      </c>
      <c r="J146" s="136" t="s">
        <v>97</v>
      </c>
      <c r="K146" s="108" t="s">
        <v>97</v>
      </c>
      <c r="L146" s="103" t="s">
        <v>97</v>
      </c>
      <c r="M146" s="103" t="s">
        <v>97</v>
      </c>
      <c r="N146" s="103" t="s">
        <v>97</v>
      </c>
      <c r="O146" s="103" t="s">
        <v>97</v>
      </c>
      <c r="P146" s="103" t="s">
        <v>97</v>
      </c>
      <c r="Q146" s="103" t="s">
        <v>99</v>
      </c>
      <c r="R146" s="103" t="s">
        <v>98</v>
      </c>
      <c r="S146" s="103" t="s">
        <v>99</v>
      </c>
      <c r="T146" s="103" t="s">
        <v>97</v>
      </c>
      <c r="U146" s="103" t="s">
        <v>97</v>
      </c>
      <c r="V146" s="136" t="s">
        <v>97</v>
      </c>
      <c r="W146" s="103" t="s">
        <v>99</v>
      </c>
      <c r="X146" s="103" t="s">
        <v>96</v>
      </c>
      <c r="Y146" s="103" t="s">
        <v>99</v>
      </c>
      <c r="Z146" s="103" t="s">
        <v>99</v>
      </c>
      <c r="AA146" s="103" t="s">
        <v>99</v>
      </c>
      <c r="AB146" s="103" t="s">
        <v>97</v>
      </c>
      <c r="AC146" s="103" t="s">
        <v>97</v>
      </c>
      <c r="AD146" s="103" t="s">
        <v>99</v>
      </c>
      <c r="AE146" s="103" t="s">
        <v>99</v>
      </c>
      <c r="AF146" s="103" t="s">
        <v>97</v>
      </c>
      <c r="AG146" s="103" t="s">
        <v>97</v>
      </c>
      <c r="AH146" s="136" t="s">
        <v>99</v>
      </c>
      <c r="AI146" s="108" t="s">
        <v>97</v>
      </c>
      <c r="AJ146" s="103" t="s">
        <v>97</v>
      </c>
      <c r="AK146" s="103" t="s">
        <v>99</v>
      </c>
      <c r="AL146" s="103" t="s">
        <v>99</v>
      </c>
      <c r="AM146" s="103" t="s">
        <v>99</v>
      </c>
      <c r="AN146" s="103" t="s">
        <v>97</v>
      </c>
      <c r="AO146" s="103" t="s">
        <v>99</v>
      </c>
      <c r="AP146" s="103" t="s">
        <v>99</v>
      </c>
      <c r="AQ146" s="103" t="s">
        <v>97</v>
      </c>
      <c r="AR146" s="103" t="s">
        <v>97</v>
      </c>
      <c r="AS146" s="103" t="s">
        <v>97</v>
      </c>
      <c r="AT146" s="136" t="s">
        <v>97</v>
      </c>
      <c r="AU146" s="108" t="s">
        <v>99</v>
      </c>
      <c r="AV146" s="103" t="s">
        <v>97</v>
      </c>
      <c r="AW146" s="105"/>
      <c r="AX146" s="109" t="s">
        <v>97</v>
      </c>
      <c r="AY146" s="105"/>
      <c r="AZ146" s="105"/>
      <c r="BA146" s="105"/>
      <c r="BB146" s="105"/>
      <c r="BC146" s="105"/>
      <c r="BD146" s="105"/>
      <c r="BE146" s="105"/>
      <c r="BF146" s="106"/>
      <c r="BG146" s="105"/>
      <c r="BH146" s="105"/>
      <c r="BI146" s="105"/>
      <c r="BJ146" s="105"/>
      <c r="BK146" s="102"/>
      <c r="BL146" s="102"/>
      <c r="BM146" s="102"/>
      <c r="BN146" s="102"/>
      <c r="BO146" s="102"/>
      <c r="BP146" s="102"/>
      <c r="BQ146" s="102"/>
      <c r="BR146" s="102"/>
      <c r="BS146" s="102"/>
      <c r="BT146" s="102"/>
      <c r="BU146" s="102"/>
      <c r="BV146" s="102"/>
      <c r="BW146" s="102"/>
      <c r="BX146" s="102"/>
      <c r="BY146" s="102"/>
      <c r="BZ146" s="102"/>
      <c r="CA146" s="102"/>
      <c r="CB146" s="102"/>
      <c r="CC146" s="102"/>
      <c r="CD146" s="102"/>
      <c r="CE146" s="102"/>
      <c r="CF146" s="102"/>
      <c r="CG146" s="102"/>
      <c r="CH146" s="102"/>
      <c r="CI146" s="102"/>
      <c r="CJ146" s="102"/>
      <c r="CK146" s="102"/>
      <c r="CL146" s="102"/>
      <c r="CM146" s="102"/>
      <c r="CN146" s="102"/>
      <c r="CO146" s="102"/>
      <c r="CP146" s="102"/>
      <c r="CQ146" s="102"/>
      <c r="CR146" s="102"/>
      <c r="CS146" s="102"/>
      <c r="CT146" s="102"/>
      <c r="CU146" s="102"/>
      <c r="CV146" s="102"/>
      <c r="CW146" s="102"/>
      <c r="CX146" s="102"/>
      <c r="CY146" s="102"/>
      <c r="CZ146" s="102"/>
      <c r="DA146" s="102"/>
      <c r="DB146" s="102"/>
      <c r="DC146" s="102"/>
      <c r="DD146" s="102"/>
      <c r="DE146" s="102"/>
      <c r="DF146" s="102"/>
      <c r="DG146" s="102"/>
      <c r="DH146" s="102"/>
      <c r="DI146" s="102"/>
      <c r="DJ146" s="102"/>
      <c r="DK146" s="102"/>
      <c r="DL146" s="102"/>
      <c r="DM146" s="102"/>
      <c r="DN146" s="102"/>
      <c r="DO146" s="102"/>
      <c r="DP146" s="102"/>
      <c r="DQ146" s="102"/>
      <c r="DR146" s="102"/>
      <c r="DS146" s="102"/>
      <c r="DT146" s="102"/>
      <c r="DU146" s="102"/>
      <c r="DV146" s="102"/>
      <c r="DW146" s="102"/>
      <c r="DX146" s="102"/>
      <c r="DY146" s="102"/>
      <c r="DZ146" s="102"/>
      <c r="EA146" s="102"/>
      <c r="EB146" s="102"/>
      <c r="EC146" s="102"/>
      <c r="ED146" s="102"/>
      <c r="EE146" s="102"/>
      <c r="EF146" s="102"/>
      <c r="EG146" s="102"/>
      <c r="EH146" s="102"/>
      <c r="EI146" s="102"/>
      <c r="EJ146" s="102"/>
      <c r="EK146" s="102"/>
      <c r="EL146" s="102"/>
      <c r="EM146" s="102"/>
      <c r="EN146" s="102"/>
      <c r="EO146" s="102"/>
      <c r="EP146" s="102"/>
      <c r="EQ146" s="102"/>
    </row>
    <row r="147">
      <c r="A147" s="138" t="s">
        <v>252</v>
      </c>
      <c r="B147" s="111">
        <f t="shared" si="1"/>
        <v>46113</v>
      </c>
      <c r="C147" s="110">
        <v>60.0</v>
      </c>
      <c r="D147" s="110" t="s">
        <v>136</v>
      </c>
      <c r="E147" s="110"/>
      <c r="F147" s="112"/>
      <c r="G147" s="112"/>
      <c r="H147" s="112"/>
      <c r="I147" s="112"/>
      <c r="J147" s="113"/>
      <c r="K147" s="132"/>
      <c r="L147" s="116"/>
      <c r="M147" s="116"/>
      <c r="N147" s="116"/>
      <c r="O147" s="116"/>
      <c r="P147" s="116"/>
      <c r="Q147" s="115"/>
      <c r="R147" s="116"/>
      <c r="S147" s="115"/>
      <c r="T147" s="116"/>
      <c r="U147" s="116"/>
      <c r="V147" s="117"/>
      <c r="W147" s="119"/>
      <c r="X147" s="118"/>
      <c r="Y147" s="118"/>
      <c r="Z147" s="118"/>
      <c r="AA147" s="118"/>
      <c r="AB147" s="118"/>
      <c r="AC147" s="121"/>
      <c r="AD147" s="120"/>
      <c r="AE147" s="120"/>
      <c r="AF147" s="120"/>
      <c r="AG147" s="120"/>
      <c r="AH147" s="122"/>
      <c r="AI147" s="134"/>
      <c r="AJ147" s="124"/>
      <c r="AK147" s="124"/>
      <c r="AL147" s="124"/>
      <c r="AM147" s="124"/>
      <c r="AN147" s="125"/>
      <c r="AO147" s="124"/>
      <c r="AP147" s="124"/>
      <c r="AQ147" s="125"/>
      <c r="AR147" s="125"/>
      <c r="AS147" s="124"/>
      <c r="AT147" s="133"/>
      <c r="AU147" s="127"/>
      <c r="AV147" s="145" t="s">
        <v>99</v>
      </c>
      <c r="AW147" s="129"/>
      <c r="AX147" s="144" t="s">
        <v>97</v>
      </c>
      <c r="AY147" s="129"/>
      <c r="AZ147" s="129"/>
      <c r="BA147" s="129"/>
      <c r="BB147" s="129"/>
      <c r="BC147" s="129"/>
      <c r="BD147" s="129"/>
      <c r="BE147" s="129"/>
      <c r="BF147" s="130"/>
      <c r="BG147" s="129"/>
      <c r="BH147" s="129"/>
      <c r="BI147" s="129"/>
      <c r="BJ147" s="129"/>
      <c r="BK147" s="102"/>
      <c r="BL147" s="102"/>
      <c r="BM147" s="102"/>
      <c r="BN147" s="102"/>
      <c r="BO147" s="102"/>
      <c r="BP147" s="102"/>
      <c r="BQ147" s="102"/>
      <c r="BR147" s="102"/>
      <c r="BS147" s="102"/>
      <c r="BT147" s="102"/>
      <c r="BU147" s="102"/>
      <c r="BV147" s="102"/>
      <c r="BW147" s="102"/>
      <c r="BX147" s="102"/>
      <c r="BY147" s="102"/>
      <c r="BZ147" s="102"/>
      <c r="CA147" s="102"/>
      <c r="CB147" s="102"/>
      <c r="CC147" s="102"/>
      <c r="CD147" s="102"/>
      <c r="CE147" s="102"/>
      <c r="CF147" s="102"/>
      <c r="CG147" s="102"/>
      <c r="CH147" s="102"/>
      <c r="CI147" s="102"/>
      <c r="CJ147" s="102"/>
      <c r="CK147" s="102"/>
      <c r="CL147" s="102"/>
      <c r="CM147" s="102"/>
      <c r="CN147" s="102"/>
      <c r="CO147" s="102"/>
      <c r="CP147" s="102"/>
      <c r="CQ147" s="102"/>
      <c r="CR147" s="102"/>
      <c r="CS147" s="102"/>
      <c r="CT147" s="102"/>
      <c r="CU147" s="102"/>
      <c r="CV147" s="102"/>
      <c r="CW147" s="102"/>
      <c r="CX147" s="102"/>
      <c r="CY147" s="102"/>
      <c r="CZ147" s="102"/>
      <c r="DA147" s="102"/>
      <c r="DB147" s="102"/>
      <c r="DC147" s="102"/>
      <c r="DD147" s="102"/>
      <c r="DE147" s="102"/>
      <c r="DF147" s="102"/>
      <c r="DG147" s="102"/>
      <c r="DH147" s="102"/>
      <c r="DI147" s="102"/>
      <c r="DJ147" s="102"/>
      <c r="DK147" s="102"/>
      <c r="DL147" s="102"/>
      <c r="DM147" s="102"/>
      <c r="DN147" s="102"/>
      <c r="DO147" s="102"/>
      <c r="DP147" s="102"/>
      <c r="DQ147" s="102"/>
      <c r="DR147" s="102"/>
      <c r="DS147" s="102"/>
      <c r="DT147" s="102"/>
      <c r="DU147" s="102"/>
      <c r="DV147" s="102"/>
      <c r="DW147" s="102"/>
      <c r="DX147" s="102"/>
      <c r="DY147" s="102"/>
      <c r="DZ147" s="102"/>
      <c r="EA147" s="102"/>
      <c r="EB147" s="102"/>
      <c r="EC147" s="102"/>
      <c r="ED147" s="102"/>
      <c r="EE147" s="102"/>
      <c r="EF147" s="102"/>
      <c r="EG147" s="102"/>
      <c r="EH147" s="102"/>
      <c r="EI147" s="102"/>
      <c r="EJ147" s="102"/>
      <c r="EK147" s="102"/>
      <c r="EL147" s="102"/>
      <c r="EM147" s="102"/>
      <c r="EN147" s="102"/>
      <c r="EO147" s="102"/>
      <c r="EP147" s="102"/>
      <c r="EQ147" s="102"/>
    </row>
    <row r="148">
      <c r="A148" s="103" t="s">
        <v>253</v>
      </c>
      <c r="B148" s="131">
        <f t="shared" si="1"/>
        <v>46113</v>
      </c>
      <c r="C148" s="103">
        <v>210.0</v>
      </c>
      <c r="D148" s="103" t="s">
        <v>95</v>
      </c>
      <c r="E148" s="103" t="s">
        <v>97</v>
      </c>
      <c r="F148" s="105"/>
      <c r="G148" s="105"/>
      <c r="H148" s="105"/>
      <c r="I148" s="105"/>
      <c r="J148" s="106"/>
      <c r="K148" s="108" t="s">
        <v>98</v>
      </c>
      <c r="L148" s="105"/>
      <c r="M148" s="105"/>
      <c r="N148" s="105"/>
      <c r="O148" s="105"/>
      <c r="P148" s="105"/>
      <c r="Q148" s="103" t="s">
        <v>98</v>
      </c>
      <c r="R148" s="105"/>
      <c r="S148" s="103" t="s">
        <v>99</v>
      </c>
      <c r="T148" s="105"/>
      <c r="U148" s="105"/>
      <c r="V148" s="106"/>
      <c r="W148" s="108" t="s">
        <v>99</v>
      </c>
      <c r="X148" s="107"/>
      <c r="Y148" s="107"/>
      <c r="Z148" s="107"/>
      <c r="AA148" s="107"/>
      <c r="AB148" s="107"/>
      <c r="AC148" s="103" t="s">
        <v>99</v>
      </c>
      <c r="AD148" s="105"/>
      <c r="AE148" s="105"/>
      <c r="AF148" s="105"/>
      <c r="AG148" s="105"/>
      <c r="AH148" s="106"/>
      <c r="AI148" s="108" t="s">
        <v>99</v>
      </c>
      <c r="AJ148" s="105"/>
      <c r="AK148" s="105"/>
      <c r="AL148" s="105"/>
      <c r="AM148" s="105"/>
      <c r="AN148" s="103" t="s">
        <v>97</v>
      </c>
      <c r="AO148" s="105"/>
      <c r="AP148" s="105"/>
      <c r="AQ148" s="103" t="s">
        <v>97</v>
      </c>
      <c r="AR148" s="103" t="s">
        <v>97</v>
      </c>
      <c r="AS148" s="105"/>
      <c r="AT148" s="136" t="s">
        <v>97</v>
      </c>
      <c r="AU148" s="107"/>
      <c r="AV148" s="103" t="s">
        <v>97</v>
      </c>
      <c r="AW148" s="105"/>
      <c r="AX148" s="109" t="s">
        <v>97</v>
      </c>
      <c r="AY148" s="105"/>
      <c r="AZ148" s="105"/>
      <c r="BA148" s="105"/>
      <c r="BB148" s="105"/>
      <c r="BC148" s="105"/>
      <c r="BD148" s="105"/>
      <c r="BE148" s="105"/>
      <c r="BF148" s="106"/>
      <c r="BG148" s="105"/>
      <c r="BH148" s="105"/>
      <c r="BI148" s="105"/>
      <c r="BJ148" s="105"/>
      <c r="BK148" s="102"/>
      <c r="BL148" s="102"/>
      <c r="BM148" s="102"/>
      <c r="BN148" s="102"/>
      <c r="BO148" s="102"/>
      <c r="BP148" s="102"/>
      <c r="BQ148" s="102"/>
      <c r="BR148" s="102"/>
      <c r="BS148" s="102"/>
      <c r="BT148" s="102"/>
      <c r="BU148" s="102"/>
      <c r="BV148" s="102"/>
      <c r="BW148" s="102"/>
      <c r="BX148" s="102"/>
      <c r="BY148" s="102"/>
      <c r="BZ148" s="102"/>
      <c r="CA148" s="102"/>
      <c r="CB148" s="102"/>
      <c r="CC148" s="102"/>
      <c r="CD148" s="102"/>
      <c r="CE148" s="102"/>
      <c r="CF148" s="102"/>
      <c r="CG148" s="102"/>
      <c r="CH148" s="102"/>
      <c r="CI148" s="102"/>
      <c r="CJ148" s="102"/>
      <c r="CK148" s="102"/>
      <c r="CL148" s="102"/>
      <c r="CM148" s="102"/>
      <c r="CN148" s="102"/>
      <c r="CO148" s="102"/>
      <c r="CP148" s="102"/>
      <c r="CQ148" s="102"/>
      <c r="CR148" s="102"/>
      <c r="CS148" s="102"/>
      <c r="CT148" s="102"/>
      <c r="CU148" s="102"/>
      <c r="CV148" s="102"/>
      <c r="CW148" s="102"/>
      <c r="CX148" s="102"/>
      <c r="CY148" s="102"/>
      <c r="CZ148" s="102"/>
      <c r="DA148" s="102"/>
      <c r="DB148" s="102"/>
      <c r="DC148" s="102"/>
      <c r="DD148" s="102"/>
      <c r="DE148" s="102"/>
      <c r="DF148" s="102"/>
      <c r="DG148" s="102"/>
      <c r="DH148" s="102"/>
      <c r="DI148" s="102"/>
      <c r="DJ148" s="102"/>
      <c r="DK148" s="102"/>
      <c r="DL148" s="102"/>
      <c r="DM148" s="102"/>
      <c r="DN148" s="102"/>
      <c r="DO148" s="102"/>
      <c r="DP148" s="102"/>
      <c r="DQ148" s="102"/>
      <c r="DR148" s="102"/>
      <c r="DS148" s="102"/>
      <c r="DT148" s="102"/>
      <c r="DU148" s="102"/>
      <c r="DV148" s="102"/>
      <c r="DW148" s="102"/>
      <c r="DX148" s="102"/>
      <c r="DY148" s="102"/>
      <c r="DZ148" s="102"/>
      <c r="EA148" s="102"/>
      <c r="EB148" s="102"/>
      <c r="EC148" s="102"/>
      <c r="ED148" s="102"/>
      <c r="EE148" s="102"/>
      <c r="EF148" s="102"/>
      <c r="EG148" s="102"/>
      <c r="EH148" s="102"/>
      <c r="EI148" s="102"/>
      <c r="EJ148" s="102"/>
      <c r="EK148" s="102"/>
      <c r="EL148" s="102"/>
      <c r="EM148" s="102"/>
      <c r="EN148" s="102"/>
      <c r="EO148" s="102"/>
      <c r="EP148" s="102"/>
      <c r="EQ148" s="102"/>
    </row>
    <row r="149">
      <c r="A149" s="110" t="s">
        <v>254</v>
      </c>
      <c r="B149" s="111">
        <f t="shared" si="1"/>
        <v>46113</v>
      </c>
      <c r="C149" s="110">
        <v>210.0</v>
      </c>
      <c r="D149" s="110" t="s">
        <v>95</v>
      </c>
      <c r="E149" s="110" t="s">
        <v>97</v>
      </c>
      <c r="F149" s="110" t="s">
        <v>98</v>
      </c>
      <c r="G149" s="112"/>
      <c r="H149" s="112"/>
      <c r="I149" s="110" t="s">
        <v>96</v>
      </c>
      <c r="J149" s="137" t="s">
        <v>97</v>
      </c>
      <c r="K149" s="114"/>
      <c r="L149" s="116"/>
      <c r="M149" s="116"/>
      <c r="N149" s="116"/>
      <c r="O149" s="115" t="s">
        <v>96</v>
      </c>
      <c r="P149" s="116"/>
      <c r="Q149" s="116"/>
      <c r="R149" s="116"/>
      <c r="S149" s="115" t="s">
        <v>99</v>
      </c>
      <c r="T149" s="116"/>
      <c r="U149" s="116"/>
      <c r="V149" s="143" t="s">
        <v>96</v>
      </c>
      <c r="W149" s="118"/>
      <c r="X149" s="120"/>
      <c r="Y149" s="120"/>
      <c r="Z149" s="120"/>
      <c r="AA149" s="120"/>
      <c r="AB149" s="121" t="s">
        <v>99</v>
      </c>
      <c r="AC149" s="118"/>
      <c r="AD149" s="120"/>
      <c r="AE149" s="120"/>
      <c r="AF149" s="120"/>
      <c r="AG149" s="120"/>
      <c r="AH149" s="140" t="s">
        <v>99</v>
      </c>
      <c r="AI149" s="134" t="s">
        <v>97</v>
      </c>
      <c r="AJ149" s="124"/>
      <c r="AK149" s="124"/>
      <c r="AL149" s="124"/>
      <c r="AM149" s="124"/>
      <c r="AN149" s="125" t="s">
        <v>96</v>
      </c>
      <c r="AO149" s="124"/>
      <c r="AP149" s="124"/>
      <c r="AQ149" s="124"/>
      <c r="AR149" s="124"/>
      <c r="AS149" s="124"/>
      <c r="AT149" s="133" t="s">
        <v>97</v>
      </c>
      <c r="AU149" s="127"/>
      <c r="AV149" s="128" t="s">
        <v>97</v>
      </c>
      <c r="AW149" s="129"/>
      <c r="AX149" s="144" t="s">
        <v>97</v>
      </c>
      <c r="AY149" s="129"/>
      <c r="AZ149" s="129"/>
      <c r="BA149" s="129"/>
      <c r="BB149" s="129"/>
      <c r="BC149" s="129"/>
      <c r="BD149" s="129"/>
      <c r="BE149" s="129"/>
      <c r="BF149" s="130"/>
      <c r="BG149" s="129"/>
      <c r="BH149" s="129"/>
      <c r="BI149" s="129"/>
      <c r="BJ149" s="129"/>
      <c r="BK149" s="102"/>
      <c r="BL149" s="102"/>
      <c r="BM149" s="102"/>
      <c r="BN149" s="102"/>
      <c r="BO149" s="102"/>
      <c r="BP149" s="102"/>
      <c r="BQ149" s="102"/>
      <c r="BR149" s="102"/>
      <c r="BS149" s="102"/>
      <c r="BT149" s="102"/>
      <c r="BU149" s="102"/>
      <c r="BV149" s="102"/>
      <c r="BW149" s="102"/>
      <c r="BX149" s="102"/>
      <c r="BY149" s="102"/>
      <c r="BZ149" s="102"/>
      <c r="CA149" s="102"/>
      <c r="CB149" s="102"/>
      <c r="CC149" s="102"/>
      <c r="CD149" s="102"/>
      <c r="CE149" s="102"/>
      <c r="CF149" s="102"/>
      <c r="CG149" s="102"/>
      <c r="CH149" s="102"/>
      <c r="CI149" s="102"/>
      <c r="CJ149" s="102"/>
      <c r="CK149" s="102"/>
      <c r="CL149" s="102"/>
      <c r="CM149" s="102"/>
      <c r="CN149" s="102"/>
      <c r="CO149" s="102"/>
      <c r="CP149" s="102"/>
      <c r="CQ149" s="102"/>
      <c r="CR149" s="102"/>
      <c r="CS149" s="102"/>
      <c r="CT149" s="102"/>
      <c r="CU149" s="102"/>
      <c r="CV149" s="102"/>
      <c r="CW149" s="102"/>
      <c r="CX149" s="102"/>
      <c r="CY149" s="102"/>
      <c r="CZ149" s="102"/>
      <c r="DA149" s="102"/>
      <c r="DB149" s="102"/>
      <c r="DC149" s="102"/>
      <c r="DD149" s="102"/>
      <c r="DE149" s="102"/>
      <c r="DF149" s="102"/>
      <c r="DG149" s="102"/>
      <c r="DH149" s="102"/>
      <c r="DI149" s="102"/>
      <c r="DJ149" s="102"/>
      <c r="DK149" s="102"/>
      <c r="DL149" s="102"/>
      <c r="DM149" s="102"/>
      <c r="DN149" s="102"/>
      <c r="DO149" s="102"/>
      <c r="DP149" s="102"/>
      <c r="DQ149" s="102"/>
      <c r="DR149" s="102"/>
      <c r="DS149" s="102"/>
      <c r="DT149" s="102"/>
      <c r="DU149" s="102"/>
      <c r="DV149" s="102"/>
      <c r="DW149" s="102"/>
      <c r="DX149" s="102"/>
      <c r="DY149" s="102"/>
      <c r="DZ149" s="102"/>
      <c r="EA149" s="102"/>
      <c r="EB149" s="102"/>
      <c r="EC149" s="102"/>
      <c r="ED149" s="102"/>
      <c r="EE149" s="102"/>
      <c r="EF149" s="102"/>
      <c r="EG149" s="102"/>
      <c r="EH149" s="102"/>
      <c r="EI149" s="102"/>
      <c r="EJ149" s="102"/>
      <c r="EK149" s="102"/>
      <c r="EL149" s="102"/>
      <c r="EM149" s="102"/>
      <c r="EN149" s="102"/>
      <c r="EO149" s="102"/>
      <c r="EP149" s="102"/>
      <c r="EQ149" s="102"/>
    </row>
    <row r="150">
      <c r="A150" s="103" t="s">
        <v>255</v>
      </c>
      <c r="B150" s="131">
        <f t="shared" si="1"/>
        <v>46113</v>
      </c>
      <c r="C150" s="103">
        <v>210.0</v>
      </c>
      <c r="D150" s="103" t="s">
        <v>95</v>
      </c>
      <c r="E150" s="103" t="s">
        <v>98</v>
      </c>
      <c r="F150" s="105"/>
      <c r="G150" s="105"/>
      <c r="H150" s="105"/>
      <c r="I150" s="103" t="s">
        <v>98</v>
      </c>
      <c r="J150" s="106"/>
      <c r="K150" s="107"/>
      <c r="L150" s="105"/>
      <c r="M150" s="105"/>
      <c r="N150" s="105"/>
      <c r="O150" s="103" t="s">
        <v>98</v>
      </c>
      <c r="P150" s="105"/>
      <c r="Q150" s="105"/>
      <c r="R150" s="105"/>
      <c r="S150" s="103" t="s">
        <v>99</v>
      </c>
      <c r="T150" s="105"/>
      <c r="U150" s="105"/>
      <c r="V150" s="136" t="s">
        <v>97</v>
      </c>
      <c r="W150" s="107"/>
      <c r="X150" s="105"/>
      <c r="Y150" s="105"/>
      <c r="Z150" s="105"/>
      <c r="AA150" s="105"/>
      <c r="AB150" s="103" t="s">
        <v>99</v>
      </c>
      <c r="AC150" s="107"/>
      <c r="AD150" s="105"/>
      <c r="AE150" s="105"/>
      <c r="AF150" s="105"/>
      <c r="AG150" s="105"/>
      <c r="AH150" s="136" t="s">
        <v>99</v>
      </c>
      <c r="AI150" s="108" t="s">
        <v>96</v>
      </c>
      <c r="AJ150" s="105"/>
      <c r="AK150" s="105"/>
      <c r="AL150" s="105"/>
      <c r="AM150" s="105"/>
      <c r="AN150" s="103" t="s">
        <v>97</v>
      </c>
      <c r="AO150" s="105"/>
      <c r="AP150" s="105"/>
      <c r="AQ150" s="103" t="s">
        <v>97</v>
      </c>
      <c r="AR150" s="103" t="s">
        <v>97</v>
      </c>
      <c r="AS150" s="105"/>
      <c r="AT150" s="136" t="s">
        <v>98</v>
      </c>
      <c r="AU150" s="107"/>
      <c r="AV150" s="105"/>
      <c r="AW150" s="105"/>
      <c r="AX150" s="109" t="s">
        <v>96</v>
      </c>
      <c r="AY150" s="105"/>
      <c r="AZ150" s="105"/>
      <c r="BA150" s="105"/>
      <c r="BB150" s="105"/>
      <c r="BC150" s="105"/>
      <c r="BD150" s="105"/>
      <c r="BE150" s="105"/>
      <c r="BF150" s="106"/>
      <c r="BG150" s="105"/>
      <c r="BH150" s="105"/>
      <c r="BI150" s="105"/>
      <c r="BJ150" s="105"/>
      <c r="BK150" s="102"/>
      <c r="BL150" s="102"/>
      <c r="BM150" s="102"/>
      <c r="BN150" s="102"/>
      <c r="BO150" s="102"/>
      <c r="BP150" s="102"/>
      <c r="BQ150" s="102"/>
      <c r="BR150" s="102"/>
      <c r="BS150" s="102"/>
      <c r="BT150" s="102"/>
      <c r="BU150" s="102"/>
      <c r="BV150" s="102"/>
      <c r="BW150" s="102"/>
      <c r="BX150" s="102"/>
      <c r="BY150" s="102"/>
      <c r="BZ150" s="102"/>
      <c r="CA150" s="102"/>
      <c r="CB150" s="102"/>
      <c r="CC150" s="102"/>
      <c r="CD150" s="102"/>
      <c r="CE150" s="102"/>
      <c r="CF150" s="102"/>
      <c r="CG150" s="102"/>
      <c r="CH150" s="102"/>
      <c r="CI150" s="102"/>
      <c r="CJ150" s="102"/>
      <c r="CK150" s="102"/>
      <c r="CL150" s="102"/>
      <c r="CM150" s="102"/>
      <c r="CN150" s="102"/>
      <c r="CO150" s="102"/>
      <c r="CP150" s="102"/>
      <c r="CQ150" s="102"/>
      <c r="CR150" s="102"/>
      <c r="CS150" s="102"/>
      <c r="CT150" s="102"/>
      <c r="CU150" s="102"/>
      <c r="CV150" s="102"/>
      <c r="CW150" s="102"/>
      <c r="CX150" s="102"/>
      <c r="CY150" s="102"/>
      <c r="CZ150" s="102"/>
      <c r="DA150" s="102"/>
      <c r="DB150" s="102"/>
      <c r="DC150" s="102"/>
      <c r="DD150" s="102"/>
      <c r="DE150" s="102"/>
      <c r="DF150" s="102"/>
      <c r="DG150" s="102"/>
      <c r="DH150" s="102"/>
      <c r="DI150" s="102"/>
      <c r="DJ150" s="102"/>
      <c r="DK150" s="102"/>
      <c r="DL150" s="102"/>
      <c r="DM150" s="102"/>
      <c r="DN150" s="102"/>
      <c r="DO150" s="102"/>
      <c r="DP150" s="102"/>
      <c r="DQ150" s="102"/>
      <c r="DR150" s="102"/>
      <c r="DS150" s="102"/>
      <c r="DT150" s="102"/>
      <c r="DU150" s="102"/>
      <c r="DV150" s="102"/>
      <c r="DW150" s="102"/>
      <c r="DX150" s="102"/>
      <c r="DY150" s="102"/>
      <c r="DZ150" s="102"/>
      <c r="EA150" s="102"/>
      <c r="EB150" s="102"/>
      <c r="EC150" s="102"/>
      <c r="ED150" s="102"/>
      <c r="EE150" s="102"/>
      <c r="EF150" s="102"/>
      <c r="EG150" s="102"/>
      <c r="EH150" s="102"/>
      <c r="EI150" s="102"/>
      <c r="EJ150" s="102"/>
      <c r="EK150" s="102"/>
      <c r="EL150" s="102"/>
      <c r="EM150" s="102"/>
      <c r="EN150" s="102"/>
      <c r="EO150" s="102"/>
      <c r="EP150" s="102"/>
      <c r="EQ150" s="102"/>
    </row>
    <row r="151">
      <c r="A151" s="110" t="s">
        <v>256</v>
      </c>
      <c r="B151" s="111">
        <f t="shared" si="1"/>
        <v>46113</v>
      </c>
      <c r="C151" s="110">
        <v>210.0</v>
      </c>
      <c r="D151" s="110" t="s">
        <v>95</v>
      </c>
      <c r="E151" s="112"/>
      <c r="F151" s="112"/>
      <c r="G151" s="112"/>
      <c r="H151" s="112"/>
      <c r="I151" s="110" t="s">
        <v>98</v>
      </c>
      <c r="J151" s="113"/>
      <c r="K151" s="114"/>
      <c r="L151" s="116"/>
      <c r="M151" s="116"/>
      <c r="N151" s="116"/>
      <c r="O151" s="115" t="s">
        <v>96</v>
      </c>
      <c r="P151" s="116"/>
      <c r="Q151" s="116"/>
      <c r="R151" s="116"/>
      <c r="S151" s="115" t="s">
        <v>99</v>
      </c>
      <c r="T151" s="116"/>
      <c r="U151" s="116"/>
      <c r="V151" s="143" t="s">
        <v>97</v>
      </c>
      <c r="W151" s="118"/>
      <c r="X151" s="120"/>
      <c r="Y151" s="120"/>
      <c r="Z151" s="120"/>
      <c r="AA151" s="120"/>
      <c r="AB151" s="121" t="s">
        <v>99</v>
      </c>
      <c r="AC151" s="118"/>
      <c r="AD151" s="120"/>
      <c r="AE151" s="120"/>
      <c r="AF151" s="120"/>
      <c r="AG151" s="120"/>
      <c r="AH151" s="140" t="s">
        <v>99</v>
      </c>
      <c r="AI151" s="134" t="s">
        <v>96</v>
      </c>
      <c r="AJ151" s="124"/>
      <c r="AK151" s="124"/>
      <c r="AL151" s="124"/>
      <c r="AM151" s="124"/>
      <c r="AN151" s="125" t="s">
        <v>97</v>
      </c>
      <c r="AO151" s="124"/>
      <c r="AP151" s="124"/>
      <c r="AQ151" s="125" t="s">
        <v>97</v>
      </c>
      <c r="AR151" s="125" t="s">
        <v>97</v>
      </c>
      <c r="AS151" s="125" t="s">
        <v>97</v>
      </c>
      <c r="AT151" s="133" t="s">
        <v>97</v>
      </c>
      <c r="AU151" s="127"/>
      <c r="AV151" s="128" t="s">
        <v>97</v>
      </c>
      <c r="AW151" s="129"/>
      <c r="AX151" s="144" t="s">
        <v>96</v>
      </c>
      <c r="AY151" s="129"/>
      <c r="AZ151" s="129"/>
      <c r="BA151" s="129"/>
      <c r="BB151" s="129"/>
      <c r="BC151" s="129"/>
      <c r="BD151" s="129"/>
      <c r="BE151" s="129"/>
      <c r="BF151" s="130"/>
      <c r="BG151" s="129"/>
      <c r="BH151" s="129"/>
      <c r="BI151" s="129"/>
      <c r="BJ151" s="129"/>
      <c r="BK151" s="102"/>
      <c r="BL151" s="102"/>
      <c r="BM151" s="102"/>
      <c r="BN151" s="102"/>
      <c r="BO151" s="102"/>
      <c r="BP151" s="102"/>
      <c r="BQ151" s="102"/>
      <c r="BR151" s="102"/>
      <c r="BS151" s="102"/>
      <c r="BT151" s="102"/>
      <c r="BU151" s="102"/>
      <c r="BV151" s="102"/>
      <c r="BW151" s="102"/>
      <c r="BX151" s="102"/>
      <c r="BY151" s="102"/>
      <c r="BZ151" s="102"/>
      <c r="CA151" s="102"/>
      <c r="CB151" s="102"/>
      <c r="CC151" s="102"/>
      <c r="CD151" s="102"/>
      <c r="CE151" s="102"/>
      <c r="CF151" s="102"/>
      <c r="CG151" s="102"/>
      <c r="CH151" s="102"/>
      <c r="CI151" s="102"/>
      <c r="CJ151" s="102"/>
      <c r="CK151" s="102"/>
      <c r="CL151" s="102"/>
      <c r="CM151" s="102"/>
      <c r="CN151" s="102"/>
      <c r="CO151" s="102"/>
      <c r="CP151" s="102"/>
      <c r="CQ151" s="102"/>
      <c r="CR151" s="102"/>
      <c r="CS151" s="102"/>
      <c r="CT151" s="102"/>
      <c r="CU151" s="102"/>
      <c r="CV151" s="102"/>
      <c r="CW151" s="102"/>
      <c r="CX151" s="102"/>
      <c r="CY151" s="102"/>
      <c r="CZ151" s="102"/>
      <c r="DA151" s="102"/>
      <c r="DB151" s="102"/>
      <c r="DC151" s="102"/>
      <c r="DD151" s="102"/>
      <c r="DE151" s="102"/>
      <c r="DF151" s="102"/>
      <c r="DG151" s="102"/>
      <c r="DH151" s="102"/>
      <c r="DI151" s="102"/>
      <c r="DJ151" s="102"/>
      <c r="DK151" s="102"/>
      <c r="DL151" s="102"/>
      <c r="DM151" s="102"/>
      <c r="DN151" s="102"/>
      <c r="DO151" s="102"/>
      <c r="DP151" s="102"/>
      <c r="DQ151" s="102"/>
      <c r="DR151" s="102"/>
      <c r="DS151" s="102"/>
      <c r="DT151" s="102"/>
      <c r="DU151" s="102"/>
      <c r="DV151" s="102"/>
      <c r="DW151" s="102"/>
      <c r="DX151" s="102"/>
      <c r="DY151" s="102"/>
      <c r="DZ151" s="102"/>
      <c r="EA151" s="102"/>
      <c r="EB151" s="102"/>
      <c r="EC151" s="102"/>
      <c r="ED151" s="102"/>
      <c r="EE151" s="102"/>
      <c r="EF151" s="102"/>
      <c r="EG151" s="102"/>
      <c r="EH151" s="102"/>
      <c r="EI151" s="102"/>
      <c r="EJ151" s="102"/>
      <c r="EK151" s="102"/>
      <c r="EL151" s="102"/>
      <c r="EM151" s="102"/>
      <c r="EN151" s="102"/>
      <c r="EO151" s="102"/>
      <c r="EP151" s="102"/>
      <c r="EQ151" s="102"/>
    </row>
    <row r="152">
      <c r="A152" s="103" t="s">
        <v>257</v>
      </c>
      <c r="B152" s="131">
        <f t="shared" si="1"/>
        <v>46113</v>
      </c>
      <c r="C152" s="103">
        <v>210.0</v>
      </c>
      <c r="D152" s="103" t="s">
        <v>95</v>
      </c>
      <c r="E152" s="103" t="s">
        <v>96</v>
      </c>
      <c r="F152" s="103" t="s">
        <v>98</v>
      </c>
      <c r="G152" s="105"/>
      <c r="H152" s="105"/>
      <c r="I152" s="103" t="s">
        <v>98</v>
      </c>
      <c r="J152" s="106"/>
      <c r="K152" s="107"/>
      <c r="L152" s="105"/>
      <c r="M152" s="105"/>
      <c r="N152" s="105"/>
      <c r="O152" s="103" t="s">
        <v>96</v>
      </c>
      <c r="P152" s="105"/>
      <c r="Q152" s="105"/>
      <c r="R152" s="105"/>
      <c r="S152" s="103" t="s">
        <v>99</v>
      </c>
      <c r="T152" s="105"/>
      <c r="U152" s="105"/>
      <c r="V152" s="136" t="s">
        <v>96</v>
      </c>
      <c r="W152" s="107"/>
      <c r="X152" s="105"/>
      <c r="Y152" s="105"/>
      <c r="Z152" s="105"/>
      <c r="AA152" s="105"/>
      <c r="AB152" s="103" t="s">
        <v>99</v>
      </c>
      <c r="AC152" s="107"/>
      <c r="AD152" s="105"/>
      <c r="AE152" s="105"/>
      <c r="AF152" s="105"/>
      <c r="AG152" s="105"/>
      <c r="AH152" s="136" t="s">
        <v>99</v>
      </c>
      <c r="AI152" s="108" t="s">
        <v>97</v>
      </c>
      <c r="AJ152" s="105"/>
      <c r="AK152" s="105"/>
      <c r="AL152" s="105"/>
      <c r="AM152" s="105"/>
      <c r="AN152" s="103" t="s">
        <v>97</v>
      </c>
      <c r="AO152" s="105"/>
      <c r="AP152" s="105"/>
      <c r="AQ152" s="103" t="s">
        <v>98</v>
      </c>
      <c r="AR152" s="105"/>
      <c r="AS152" s="105"/>
      <c r="AT152" s="136" t="s">
        <v>97</v>
      </c>
      <c r="AU152" s="107"/>
      <c r="AV152" s="103" t="s">
        <v>97</v>
      </c>
      <c r="AW152" s="105"/>
      <c r="AX152" s="109" t="s">
        <v>96</v>
      </c>
      <c r="AY152" s="105"/>
      <c r="AZ152" s="105"/>
      <c r="BA152" s="105"/>
      <c r="BB152" s="105"/>
      <c r="BC152" s="105"/>
      <c r="BD152" s="105"/>
      <c r="BE152" s="105"/>
      <c r="BF152" s="106"/>
      <c r="BG152" s="105"/>
      <c r="BH152" s="105"/>
      <c r="BI152" s="105"/>
      <c r="BJ152" s="105"/>
      <c r="BK152" s="102"/>
      <c r="BL152" s="102"/>
      <c r="BM152" s="102"/>
      <c r="BN152" s="102"/>
      <c r="BO152" s="102"/>
      <c r="BP152" s="102"/>
      <c r="BQ152" s="102"/>
      <c r="BR152" s="102"/>
      <c r="BS152" s="102"/>
      <c r="BT152" s="102"/>
      <c r="BU152" s="102"/>
      <c r="BV152" s="102"/>
      <c r="BW152" s="102"/>
      <c r="BX152" s="102"/>
      <c r="BY152" s="102"/>
      <c r="BZ152" s="102"/>
      <c r="CA152" s="102"/>
      <c r="CB152" s="102"/>
      <c r="CC152" s="102"/>
      <c r="CD152" s="102"/>
      <c r="CE152" s="102"/>
      <c r="CF152" s="102"/>
      <c r="CG152" s="102"/>
      <c r="CH152" s="102"/>
      <c r="CI152" s="102"/>
      <c r="CJ152" s="102"/>
      <c r="CK152" s="102"/>
      <c r="CL152" s="102"/>
      <c r="CM152" s="102"/>
      <c r="CN152" s="102"/>
      <c r="CO152" s="102"/>
      <c r="CP152" s="102"/>
      <c r="CQ152" s="102"/>
      <c r="CR152" s="102"/>
      <c r="CS152" s="102"/>
      <c r="CT152" s="102"/>
      <c r="CU152" s="102"/>
      <c r="CV152" s="102"/>
      <c r="CW152" s="102"/>
      <c r="CX152" s="102"/>
      <c r="CY152" s="102"/>
      <c r="CZ152" s="102"/>
      <c r="DA152" s="102"/>
      <c r="DB152" s="102"/>
      <c r="DC152" s="102"/>
      <c r="DD152" s="102"/>
      <c r="DE152" s="102"/>
      <c r="DF152" s="102"/>
      <c r="DG152" s="102"/>
      <c r="DH152" s="102"/>
      <c r="DI152" s="102"/>
      <c r="DJ152" s="102"/>
      <c r="DK152" s="102"/>
      <c r="DL152" s="102"/>
      <c r="DM152" s="102"/>
      <c r="DN152" s="102"/>
      <c r="DO152" s="102"/>
      <c r="DP152" s="102"/>
      <c r="DQ152" s="102"/>
      <c r="DR152" s="102"/>
      <c r="DS152" s="102"/>
      <c r="DT152" s="102"/>
      <c r="DU152" s="102"/>
      <c r="DV152" s="102"/>
      <c r="DW152" s="102"/>
      <c r="DX152" s="102"/>
      <c r="DY152" s="102"/>
      <c r="DZ152" s="102"/>
      <c r="EA152" s="102"/>
      <c r="EB152" s="102"/>
      <c r="EC152" s="102"/>
      <c r="ED152" s="102"/>
      <c r="EE152" s="102"/>
      <c r="EF152" s="102"/>
      <c r="EG152" s="102"/>
      <c r="EH152" s="102"/>
      <c r="EI152" s="102"/>
      <c r="EJ152" s="102"/>
      <c r="EK152" s="102"/>
      <c r="EL152" s="102"/>
      <c r="EM152" s="102"/>
      <c r="EN152" s="102"/>
      <c r="EO152" s="102"/>
      <c r="EP152" s="102"/>
      <c r="EQ152" s="102"/>
    </row>
    <row r="153">
      <c r="A153" s="146"/>
      <c r="B153" s="146"/>
      <c r="C153" s="146"/>
      <c r="D153" s="146"/>
      <c r="E153" s="146"/>
      <c r="F153" s="146"/>
      <c r="G153" s="146"/>
      <c r="H153" s="146"/>
      <c r="I153" s="146"/>
      <c r="J153" s="146"/>
      <c r="K153" s="146"/>
      <c r="L153" s="146"/>
      <c r="M153" s="146"/>
      <c r="N153" s="146"/>
      <c r="O153" s="146"/>
      <c r="P153" s="146"/>
      <c r="Q153" s="146"/>
      <c r="R153" s="146"/>
      <c r="S153" s="146"/>
      <c r="T153" s="146"/>
      <c r="U153" s="146"/>
      <c r="V153" s="146"/>
      <c r="W153" s="146"/>
      <c r="X153" s="146"/>
      <c r="Y153" s="146"/>
      <c r="Z153" s="146"/>
      <c r="AA153" s="146"/>
      <c r="AB153" s="146"/>
      <c r="AC153" s="146"/>
      <c r="AD153" s="146"/>
      <c r="AE153" s="146"/>
      <c r="AF153" s="146"/>
      <c r="AG153" s="146"/>
      <c r="AH153" s="146"/>
      <c r="AI153" s="146"/>
      <c r="AJ153" s="146"/>
      <c r="AK153" s="146"/>
      <c r="AL153" s="146"/>
      <c r="AM153" s="146"/>
      <c r="AN153" s="146"/>
      <c r="AO153" s="146"/>
      <c r="AP153" s="146"/>
      <c r="AQ153" s="146"/>
      <c r="AR153" s="146"/>
      <c r="AS153" s="146"/>
      <c r="AT153" s="146"/>
      <c r="AU153" s="146"/>
      <c r="AV153" s="146"/>
      <c r="AW153" s="146"/>
      <c r="AX153" s="146"/>
      <c r="AY153" s="146"/>
      <c r="AZ153" s="146"/>
      <c r="BA153" s="146"/>
      <c r="BB153" s="146"/>
      <c r="BC153" s="146"/>
      <c r="BD153" s="146"/>
      <c r="BE153" s="146"/>
      <c r="BF153" s="146"/>
      <c r="BG153" s="146"/>
      <c r="BH153" s="146"/>
      <c r="BI153" s="146"/>
      <c r="BJ153" s="146"/>
      <c r="BK153" s="146"/>
      <c r="BL153" s="146"/>
      <c r="BM153" s="146"/>
      <c r="BN153" s="146"/>
      <c r="BO153" s="146"/>
      <c r="BP153" s="146"/>
      <c r="BQ153" s="146"/>
      <c r="BR153" s="146"/>
      <c r="BS153" s="146"/>
      <c r="BT153" s="146"/>
      <c r="BU153" s="146"/>
      <c r="BV153" s="146"/>
      <c r="BW153" s="146"/>
      <c r="BX153" s="146"/>
      <c r="BY153" s="146"/>
      <c r="BZ153" s="146"/>
      <c r="CA153" s="146"/>
      <c r="CB153" s="146"/>
      <c r="CC153" s="146"/>
      <c r="CD153" s="146"/>
      <c r="CE153" s="146"/>
      <c r="CF153" s="146"/>
      <c r="CG153" s="146"/>
      <c r="CH153" s="146"/>
      <c r="CI153" s="146"/>
      <c r="CJ153" s="146"/>
      <c r="CK153" s="146"/>
      <c r="CL153" s="146"/>
      <c r="CM153" s="146"/>
      <c r="CN153" s="146"/>
      <c r="CO153" s="146"/>
      <c r="CP153" s="146"/>
      <c r="CQ153" s="146"/>
      <c r="CR153" s="146"/>
      <c r="CS153" s="146"/>
      <c r="CT153" s="146"/>
      <c r="CU153" s="146"/>
      <c r="CV153" s="146"/>
      <c r="CW153" s="146"/>
      <c r="CX153" s="146"/>
      <c r="CY153" s="146"/>
      <c r="CZ153" s="146"/>
      <c r="DA153" s="146"/>
      <c r="DB153" s="146"/>
      <c r="DC153" s="146"/>
      <c r="DD153" s="146"/>
      <c r="DE153" s="146"/>
      <c r="DF153" s="146"/>
      <c r="DG153" s="146"/>
      <c r="DH153" s="146"/>
      <c r="DI153" s="146"/>
      <c r="DJ153" s="146"/>
      <c r="DK153" s="146"/>
      <c r="DL153" s="146"/>
      <c r="DM153" s="146"/>
      <c r="DN153" s="146"/>
      <c r="DO153" s="146"/>
      <c r="DP153" s="146"/>
      <c r="DQ153" s="146"/>
      <c r="DR153" s="146"/>
      <c r="DS153" s="146"/>
      <c r="DT153" s="146"/>
      <c r="DU153" s="146"/>
      <c r="DV153" s="146"/>
      <c r="DW153" s="146"/>
      <c r="DX153" s="146"/>
      <c r="DY153" s="146"/>
      <c r="DZ153" s="146"/>
      <c r="EA153" s="146"/>
      <c r="EB153" s="146"/>
      <c r="EC153" s="146"/>
      <c r="ED153" s="146"/>
      <c r="EE153" s="146"/>
      <c r="EF153" s="146"/>
      <c r="EG153" s="146"/>
      <c r="EH153" s="146"/>
      <c r="EI153" s="146"/>
      <c r="EJ153" s="146"/>
      <c r="EK153" s="146"/>
      <c r="EL153" s="146"/>
      <c r="EM153" s="146"/>
      <c r="EN153" s="146"/>
      <c r="EO153" s="146"/>
      <c r="EP153" s="146"/>
      <c r="EQ153" s="146"/>
    </row>
    <row r="154">
      <c r="A154" s="146"/>
      <c r="B154" s="146"/>
      <c r="C154" s="146"/>
      <c r="D154" s="146"/>
      <c r="E154" s="146"/>
      <c r="F154" s="146"/>
      <c r="G154" s="146"/>
      <c r="H154" s="146"/>
      <c r="I154" s="146"/>
      <c r="J154" s="146"/>
      <c r="K154" s="146"/>
      <c r="L154" s="146"/>
      <c r="M154" s="146"/>
      <c r="N154" s="146"/>
      <c r="O154" s="146"/>
      <c r="P154" s="146"/>
      <c r="Q154" s="146"/>
      <c r="R154" s="146"/>
      <c r="S154" s="146"/>
      <c r="T154" s="146"/>
      <c r="U154" s="146"/>
      <c r="V154" s="146"/>
      <c r="W154" s="146"/>
      <c r="X154" s="146"/>
      <c r="Y154" s="146"/>
      <c r="Z154" s="146"/>
      <c r="AA154" s="146"/>
      <c r="AB154" s="146"/>
      <c r="AC154" s="146"/>
      <c r="AD154" s="146"/>
      <c r="AE154" s="146"/>
      <c r="AF154" s="146"/>
      <c r="AG154" s="146"/>
      <c r="AH154" s="146"/>
      <c r="AI154" s="146"/>
      <c r="AJ154" s="146"/>
      <c r="AK154" s="146"/>
      <c r="AL154" s="146"/>
      <c r="AM154" s="146"/>
      <c r="AN154" s="146"/>
      <c r="AO154" s="146"/>
      <c r="AP154" s="146"/>
      <c r="AQ154" s="146"/>
      <c r="AR154" s="146"/>
      <c r="AS154" s="146"/>
      <c r="AT154" s="146"/>
      <c r="AU154" s="146"/>
      <c r="AV154" s="146"/>
      <c r="AW154" s="146"/>
      <c r="AX154" s="146"/>
      <c r="AY154" s="146"/>
      <c r="AZ154" s="146"/>
      <c r="BA154" s="146"/>
      <c r="BB154" s="146"/>
      <c r="BC154" s="146"/>
      <c r="BD154" s="146"/>
      <c r="BE154" s="146"/>
      <c r="BF154" s="146"/>
      <c r="BG154" s="146"/>
      <c r="BH154" s="146"/>
      <c r="BI154" s="146"/>
      <c r="BJ154" s="146"/>
      <c r="BK154" s="146"/>
      <c r="BL154" s="146"/>
      <c r="BM154" s="146"/>
      <c r="BN154" s="146"/>
      <c r="BO154" s="146"/>
      <c r="BP154" s="146"/>
      <c r="BQ154" s="146"/>
      <c r="BR154" s="146"/>
      <c r="BS154" s="146"/>
      <c r="BT154" s="146"/>
      <c r="BU154" s="146"/>
      <c r="BV154" s="146"/>
      <c r="BW154" s="146"/>
      <c r="BX154" s="146"/>
      <c r="BY154" s="146"/>
      <c r="BZ154" s="146"/>
      <c r="CA154" s="146"/>
      <c r="CB154" s="146"/>
      <c r="CC154" s="146"/>
      <c r="CD154" s="146"/>
      <c r="CE154" s="146"/>
      <c r="CF154" s="146"/>
      <c r="CG154" s="146"/>
      <c r="CH154" s="146"/>
      <c r="CI154" s="146"/>
      <c r="CJ154" s="146"/>
      <c r="CK154" s="146"/>
      <c r="CL154" s="146"/>
      <c r="CM154" s="146"/>
      <c r="CN154" s="146"/>
      <c r="CO154" s="146"/>
      <c r="CP154" s="146"/>
      <c r="CQ154" s="146"/>
      <c r="CR154" s="146"/>
      <c r="CS154" s="146"/>
      <c r="CT154" s="146"/>
      <c r="CU154" s="146"/>
      <c r="CV154" s="146"/>
      <c r="CW154" s="146"/>
      <c r="CX154" s="146"/>
      <c r="CY154" s="146"/>
      <c r="CZ154" s="146"/>
      <c r="DA154" s="146"/>
      <c r="DB154" s="146"/>
      <c r="DC154" s="146"/>
      <c r="DD154" s="146"/>
      <c r="DE154" s="146"/>
      <c r="DF154" s="146"/>
      <c r="DG154" s="146"/>
      <c r="DH154" s="146"/>
      <c r="DI154" s="146"/>
      <c r="DJ154" s="146"/>
      <c r="DK154" s="146"/>
      <c r="DL154" s="146"/>
      <c r="DM154" s="146"/>
      <c r="DN154" s="146"/>
      <c r="DO154" s="146"/>
      <c r="DP154" s="146"/>
      <c r="DQ154" s="146"/>
      <c r="DR154" s="146"/>
      <c r="DS154" s="146"/>
      <c r="DT154" s="146"/>
      <c r="DU154" s="146"/>
      <c r="DV154" s="146"/>
      <c r="DW154" s="146"/>
      <c r="DX154" s="146"/>
      <c r="DY154" s="146"/>
      <c r="DZ154" s="146"/>
      <c r="EA154" s="146"/>
      <c r="EB154" s="146"/>
      <c r="EC154" s="146"/>
      <c r="ED154" s="146"/>
      <c r="EE154" s="146"/>
      <c r="EF154" s="146"/>
      <c r="EG154" s="146"/>
      <c r="EH154" s="146"/>
      <c r="EI154" s="146"/>
      <c r="EJ154" s="146"/>
      <c r="EK154" s="146"/>
      <c r="EL154" s="146"/>
      <c r="EM154" s="146"/>
      <c r="EN154" s="146"/>
      <c r="EO154" s="146"/>
      <c r="EP154" s="146"/>
      <c r="EQ154" s="146"/>
    </row>
    <row r="155">
      <c r="A155" s="146"/>
      <c r="B155" s="146"/>
      <c r="C155" s="146"/>
      <c r="D155" s="146"/>
      <c r="E155" s="146"/>
      <c r="F155" s="146"/>
      <c r="G155" s="146"/>
      <c r="H155" s="146"/>
      <c r="I155" s="146"/>
      <c r="J155" s="146"/>
      <c r="K155" s="146"/>
      <c r="L155" s="146"/>
      <c r="M155" s="146"/>
      <c r="N155" s="146"/>
      <c r="O155" s="146"/>
      <c r="P155" s="146"/>
      <c r="Q155" s="146"/>
      <c r="R155" s="146"/>
      <c r="S155" s="146"/>
      <c r="T155" s="146"/>
      <c r="U155" s="146"/>
      <c r="V155" s="146"/>
      <c r="W155" s="146"/>
      <c r="X155" s="146"/>
      <c r="Y155" s="146"/>
      <c r="Z155" s="146"/>
      <c r="AA155" s="146"/>
      <c r="AB155" s="146"/>
      <c r="AC155" s="146"/>
      <c r="AD155" s="146"/>
      <c r="AE155" s="146"/>
      <c r="AF155" s="146"/>
      <c r="AG155" s="146"/>
      <c r="AH155" s="146"/>
      <c r="AI155" s="146"/>
      <c r="AJ155" s="146"/>
      <c r="AK155" s="146"/>
      <c r="AL155" s="146"/>
      <c r="AM155" s="146"/>
      <c r="AN155" s="146"/>
      <c r="AO155" s="146"/>
      <c r="AP155" s="146"/>
      <c r="AQ155" s="146"/>
      <c r="AR155" s="146"/>
      <c r="AS155" s="146"/>
      <c r="AT155" s="146"/>
      <c r="AU155" s="146"/>
      <c r="AV155" s="146"/>
      <c r="AW155" s="146"/>
      <c r="AX155" s="146"/>
      <c r="AY155" s="146"/>
      <c r="AZ155" s="146"/>
      <c r="BA155" s="146"/>
      <c r="BB155" s="146"/>
      <c r="BC155" s="146"/>
      <c r="BD155" s="146"/>
      <c r="BE155" s="146"/>
      <c r="BF155" s="146"/>
      <c r="BG155" s="146"/>
      <c r="BH155" s="146"/>
      <c r="BI155" s="146"/>
      <c r="BJ155" s="146"/>
      <c r="BK155" s="146"/>
      <c r="BL155" s="146"/>
      <c r="BM155" s="146"/>
      <c r="BN155" s="146"/>
      <c r="BO155" s="146"/>
      <c r="BP155" s="146"/>
      <c r="BQ155" s="146"/>
      <c r="BR155" s="146"/>
      <c r="BS155" s="146"/>
      <c r="BT155" s="146"/>
      <c r="BU155" s="146"/>
      <c r="BV155" s="146"/>
      <c r="BW155" s="146"/>
      <c r="BX155" s="146"/>
      <c r="BY155" s="146"/>
      <c r="BZ155" s="146"/>
      <c r="CA155" s="146"/>
      <c r="CB155" s="146"/>
      <c r="CC155" s="146"/>
      <c r="CD155" s="146"/>
      <c r="CE155" s="146"/>
      <c r="CF155" s="146"/>
      <c r="CG155" s="146"/>
      <c r="CH155" s="146"/>
      <c r="CI155" s="146"/>
      <c r="CJ155" s="146"/>
      <c r="CK155" s="146"/>
      <c r="CL155" s="146"/>
      <c r="CM155" s="146"/>
      <c r="CN155" s="146"/>
      <c r="CO155" s="146"/>
      <c r="CP155" s="146"/>
      <c r="CQ155" s="146"/>
      <c r="CR155" s="146"/>
      <c r="CS155" s="146"/>
      <c r="CT155" s="146"/>
      <c r="CU155" s="146"/>
      <c r="CV155" s="146"/>
      <c r="CW155" s="146"/>
      <c r="CX155" s="146"/>
      <c r="CY155" s="146"/>
      <c r="CZ155" s="146"/>
      <c r="DA155" s="146"/>
      <c r="DB155" s="146"/>
      <c r="DC155" s="146"/>
      <c r="DD155" s="146"/>
      <c r="DE155" s="146"/>
      <c r="DF155" s="146"/>
      <c r="DG155" s="146"/>
      <c r="DH155" s="146"/>
      <c r="DI155" s="146"/>
      <c r="DJ155" s="146"/>
      <c r="DK155" s="146"/>
      <c r="DL155" s="146"/>
      <c r="DM155" s="146"/>
      <c r="DN155" s="146"/>
      <c r="DO155" s="146"/>
      <c r="DP155" s="146"/>
      <c r="DQ155" s="146"/>
      <c r="DR155" s="146"/>
      <c r="DS155" s="146"/>
      <c r="DT155" s="146"/>
      <c r="DU155" s="146"/>
      <c r="DV155" s="146"/>
      <c r="DW155" s="146"/>
      <c r="DX155" s="146"/>
      <c r="DY155" s="146"/>
      <c r="DZ155" s="146"/>
      <c r="EA155" s="146"/>
      <c r="EB155" s="146"/>
      <c r="EC155" s="146"/>
      <c r="ED155" s="146"/>
      <c r="EE155" s="146"/>
      <c r="EF155" s="146"/>
      <c r="EG155" s="146"/>
      <c r="EH155" s="146"/>
      <c r="EI155" s="146"/>
      <c r="EJ155" s="146"/>
      <c r="EK155" s="146"/>
      <c r="EL155" s="146"/>
      <c r="EM155" s="146"/>
      <c r="EN155" s="146"/>
      <c r="EO155" s="146"/>
      <c r="EP155" s="146"/>
      <c r="EQ155" s="146"/>
    </row>
    <row r="156">
      <c r="A156" s="146"/>
      <c r="B156" s="146"/>
      <c r="C156" s="146"/>
      <c r="D156" s="146"/>
      <c r="E156" s="146"/>
      <c r="F156" s="146"/>
      <c r="G156" s="146"/>
      <c r="H156" s="146"/>
      <c r="I156" s="146"/>
      <c r="J156" s="146"/>
      <c r="K156" s="146"/>
      <c r="L156" s="146"/>
      <c r="M156" s="146"/>
      <c r="N156" s="146"/>
      <c r="O156" s="146"/>
      <c r="P156" s="146"/>
      <c r="Q156" s="146"/>
      <c r="R156" s="146"/>
      <c r="S156" s="146"/>
      <c r="T156" s="146"/>
      <c r="U156" s="146"/>
      <c r="V156" s="146"/>
      <c r="W156" s="146"/>
      <c r="X156" s="146"/>
      <c r="Y156" s="146"/>
      <c r="Z156" s="146"/>
      <c r="AA156" s="146"/>
      <c r="AB156" s="146"/>
      <c r="AC156" s="146"/>
      <c r="AD156" s="146"/>
      <c r="AE156" s="146"/>
      <c r="AF156" s="146"/>
      <c r="AG156" s="146"/>
      <c r="AH156" s="146"/>
      <c r="AI156" s="146"/>
      <c r="AJ156" s="146"/>
      <c r="AK156" s="146"/>
      <c r="AL156" s="146"/>
      <c r="AM156" s="146"/>
      <c r="AN156" s="146"/>
      <c r="AO156" s="146"/>
      <c r="AP156" s="146"/>
      <c r="AQ156" s="146"/>
      <c r="AR156" s="146"/>
      <c r="AS156" s="146"/>
      <c r="AT156" s="146"/>
      <c r="AU156" s="146"/>
      <c r="AV156" s="146"/>
      <c r="AW156" s="146"/>
      <c r="AX156" s="146"/>
      <c r="AY156" s="146"/>
      <c r="AZ156" s="146"/>
      <c r="BA156" s="146"/>
      <c r="BB156" s="146"/>
      <c r="BC156" s="146"/>
      <c r="BD156" s="146"/>
      <c r="BE156" s="146"/>
      <c r="BF156" s="146"/>
      <c r="BG156" s="146"/>
      <c r="BH156" s="146"/>
      <c r="BI156" s="146"/>
      <c r="BJ156" s="146"/>
      <c r="BK156" s="146"/>
      <c r="BL156" s="146"/>
      <c r="BM156" s="146"/>
      <c r="BN156" s="146"/>
      <c r="BO156" s="146"/>
      <c r="BP156" s="146"/>
      <c r="BQ156" s="146"/>
      <c r="BR156" s="146"/>
      <c r="BS156" s="146"/>
      <c r="BT156" s="146"/>
      <c r="BU156" s="146"/>
      <c r="BV156" s="146"/>
      <c r="BW156" s="146"/>
      <c r="BX156" s="146"/>
      <c r="BY156" s="146"/>
      <c r="BZ156" s="146"/>
      <c r="CA156" s="146"/>
      <c r="CB156" s="146"/>
      <c r="CC156" s="146"/>
      <c r="CD156" s="146"/>
      <c r="CE156" s="146"/>
      <c r="CF156" s="146"/>
      <c r="CG156" s="146"/>
      <c r="CH156" s="146"/>
      <c r="CI156" s="146"/>
      <c r="CJ156" s="146"/>
      <c r="CK156" s="146"/>
      <c r="CL156" s="146"/>
      <c r="CM156" s="146"/>
      <c r="CN156" s="146"/>
      <c r="CO156" s="146"/>
      <c r="CP156" s="146"/>
      <c r="CQ156" s="146"/>
      <c r="CR156" s="146"/>
      <c r="CS156" s="146"/>
      <c r="CT156" s="146"/>
      <c r="CU156" s="146"/>
      <c r="CV156" s="146"/>
      <c r="CW156" s="146"/>
      <c r="CX156" s="146"/>
      <c r="CY156" s="146"/>
      <c r="CZ156" s="146"/>
      <c r="DA156" s="146"/>
      <c r="DB156" s="146"/>
      <c r="DC156" s="146"/>
      <c r="DD156" s="146"/>
      <c r="DE156" s="146"/>
      <c r="DF156" s="146"/>
      <c r="DG156" s="146"/>
      <c r="DH156" s="146"/>
      <c r="DI156" s="146"/>
      <c r="DJ156" s="146"/>
      <c r="DK156" s="146"/>
      <c r="DL156" s="146"/>
      <c r="DM156" s="146"/>
      <c r="DN156" s="146"/>
      <c r="DO156" s="146"/>
      <c r="DP156" s="146"/>
      <c r="DQ156" s="146"/>
      <c r="DR156" s="146"/>
      <c r="DS156" s="146"/>
      <c r="DT156" s="146"/>
      <c r="DU156" s="146"/>
      <c r="DV156" s="146"/>
      <c r="DW156" s="146"/>
      <c r="DX156" s="146"/>
      <c r="DY156" s="146"/>
      <c r="DZ156" s="146"/>
      <c r="EA156" s="146"/>
      <c r="EB156" s="146"/>
      <c r="EC156" s="146"/>
      <c r="ED156" s="146"/>
      <c r="EE156" s="146"/>
      <c r="EF156" s="146"/>
      <c r="EG156" s="146"/>
      <c r="EH156" s="146"/>
      <c r="EI156" s="146"/>
      <c r="EJ156" s="146"/>
      <c r="EK156" s="146"/>
      <c r="EL156" s="146"/>
      <c r="EM156" s="146"/>
      <c r="EN156" s="146"/>
      <c r="EO156" s="146"/>
      <c r="EP156" s="146"/>
      <c r="EQ156" s="146"/>
    </row>
    <row r="157">
      <c r="A157" s="146"/>
      <c r="B157" s="146"/>
      <c r="C157" s="146"/>
      <c r="D157" s="146"/>
      <c r="E157" s="146"/>
      <c r="F157" s="146"/>
      <c r="G157" s="146"/>
      <c r="H157" s="146"/>
      <c r="I157" s="146"/>
      <c r="J157" s="146"/>
      <c r="K157" s="146"/>
      <c r="L157" s="146"/>
      <c r="M157" s="146"/>
      <c r="N157" s="146"/>
      <c r="O157" s="146"/>
      <c r="P157" s="146"/>
      <c r="Q157" s="146"/>
      <c r="R157" s="146"/>
      <c r="S157" s="146"/>
      <c r="T157" s="146"/>
      <c r="U157" s="146"/>
      <c r="V157" s="146"/>
      <c r="W157" s="146"/>
      <c r="X157" s="146"/>
      <c r="Y157" s="146"/>
      <c r="Z157" s="146"/>
      <c r="AA157" s="146"/>
      <c r="AB157" s="146"/>
      <c r="AC157" s="146"/>
      <c r="AD157" s="146"/>
      <c r="AE157" s="146"/>
      <c r="AF157" s="146"/>
      <c r="AG157" s="146"/>
      <c r="AH157" s="146"/>
      <c r="AI157" s="146"/>
      <c r="AJ157" s="146"/>
      <c r="AK157" s="146"/>
      <c r="AL157" s="146"/>
      <c r="AM157" s="146"/>
      <c r="AN157" s="146"/>
      <c r="AO157" s="146"/>
      <c r="AP157" s="146"/>
      <c r="AQ157" s="146"/>
      <c r="AR157" s="146"/>
      <c r="AS157" s="146"/>
      <c r="AT157" s="146"/>
      <c r="AU157" s="146"/>
      <c r="AV157" s="146"/>
      <c r="AW157" s="146"/>
      <c r="AX157" s="146"/>
      <c r="AY157" s="146"/>
      <c r="AZ157" s="146"/>
      <c r="BA157" s="146"/>
      <c r="BB157" s="146"/>
      <c r="BC157" s="146"/>
      <c r="BD157" s="146"/>
      <c r="BE157" s="146"/>
      <c r="BF157" s="146"/>
      <c r="BG157" s="146"/>
      <c r="BH157" s="146"/>
      <c r="BI157" s="146"/>
      <c r="BJ157" s="146"/>
      <c r="BK157" s="146"/>
      <c r="BL157" s="146"/>
      <c r="BM157" s="146"/>
      <c r="BN157" s="146"/>
      <c r="BO157" s="146"/>
      <c r="BP157" s="146"/>
      <c r="BQ157" s="146"/>
      <c r="BR157" s="146"/>
      <c r="BS157" s="146"/>
      <c r="BT157" s="146"/>
      <c r="BU157" s="146"/>
      <c r="BV157" s="146"/>
      <c r="BW157" s="146"/>
      <c r="BX157" s="146"/>
      <c r="BY157" s="146"/>
      <c r="BZ157" s="146"/>
      <c r="CA157" s="146"/>
      <c r="CB157" s="146"/>
      <c r="CC157" s="146"/>
      <c r="CD157" s="146"/>
      <c r="CE157" s="146"/>
      <c r="CF157" s="146"/>
      <c r="CG157" s="146"/>
      <c r="CH157" s="146"/>
      <c r="CI157" s="146"/>
      <c r="CJ157" s="146"/>
      <c r="CK157" s="146"/>
      <c r="CL157" s="146"/>
      <c r="CM157" s="146"/>
      <c r="CN157" s="146"/>
      <c r="CO157" s="146"/>
      <c r="CP157" s="146"/>
      <c r="CQ157" s="146"/>
      <c r="CR157" s="146"/>
      <c r="CS157" s="146"/>
      <c r="CT157" s="146"/>
      <c r="CU157" s="146"/>
      <c r="CV157" s="146"/>
      <c r="CW157" s="146"/>
      <c r="CX157" s="146"/>
      <c r="CY157" s="146"/>
      <c r="CZ157" s="146"/>
      <c r="DA157" s="146"/>
      <c r="DB157" s="146"/>
      <c r="DC157" s="146"/>
      <c r="DD157" s="146"/>
      <c r="DE157" s="146"/>
      <c r="DF157" s="146"/>
      <c r="DG157" s="146"/>
      <c r="DH157" s="146"/>
      <c r="DI157" s="146"/>
      <c r="DJ157" s="146"/>
      <c r="DK157" s="146"/>
      <c r="DL157" s="146"/>
      <c r="DM157" s="146"/>
      <c r="DN157" s="146"/>
      <c r="DO157" s="146"/>
      <c r="DP157" s="146"/>
      <c r="DQ157" s="146"/>
      <c r="DR157" s="146"/>
      <c r="DS157" s="146"/>
      <c r="DT157" s="146"/>
      <c r="DU157" s="146"/>
      <c r="DV157" s="146"/>
      <c r="DW157" s="146"/>
      <c r="DX157" s="146"/>
      <c r="DY157" s="146"/>
      <c r="DZ157" s="146"/>
      <c r="EA157" s="146"/>
      <c r="EB157" s="146"/>
      <c r="EC157" s="146"/>
      <c r="ED157" s="146"/>
      <c r="EE157" s="146"/>
      <c r="EF157" s="146"/>
      <c r="EG157" s="146"/>
      <c r="EH157" s="146"/>
      <c r="EI157" s="146"/>
      <c r="EJ157" s="146"/>
      <c r="EK157" s="146"/>
      <c r="EL157" s="146"/>
      <c r="EM157" s="146"/>
      <c r="EN157" s="146"/>
      <c r="EO157" s="146"/>
      <c r="EP157" s="146"/>
      <c r="EQ157" s="146"/>
    </row>
    <row r="158">
      <c r="A158" s="146"/>
      <c r="B158" s="146"/>
      <c r="C158" s="146"/>
      <c r="D158" s="146"/>
      <c r="E158" s="146"/>
      <c r="F158" s="146"/>
      <c r="G158" s="146"/>
      <c r="H158" s="146"/>
      <c r="I158" s="146"/>
      <c r="J158" s="146"/>
      <c r="K158" s="146"/>
      <c r="L158" s="146"/>
      <c r="M158" s="146"/>
      <c r="N158" s="146"/>
      <c r="O158" s="146"/>
      <c r="P158" s="146"/>
      <c r="Q158" s="146"/>
      <c r="R158" s="146"/>
      <c r="S158" s="146"/>
      <c r="T158" s="146"/>
      <c r="U158" s="146"/>
      <c r="V158" s="146"/>
      <c r="W158" s="146"/>
      <c r="X158" s="146"/>
      <c r="Y158" s="146"/>
      <c r="Z158" s="146"/>
      <c r="AA158" s="146"/>
      <c r="AB158" s="146"/>
      <c r="AC158" s="146"/>
      <c r="AD158" s="146"/>
      <c r="AE158" s="146"/>
      <c r="AF158" s="146"/>
      <c r="AG158" s="146"/>
      <c r="AH158" s="146"/>
      <c r="AI158" s="146"/>
      <c r="AJ158" s="146"/>
      <c r="AK158" s="146"/>
      <c r="AL158" s="146"/>
      <c r="AM158" s="146"/>
      <c r="AN158" s="146"/>
      <c r="AO158" s="146"/>
      <c r="AP158" s="146"/>
      <c r="AQ158" s="146"/>
      <c r="AR158" s="146"/>
      <c r="AS158" s="146"/>
      <c r="AT158" s="146"/>
      <c r="AU158" s="146"/>
      <c r="AV158" s="146"/>
      <c r="AW158" s="146"/>
      <c r="AX158" s="146"/>
      <c r="AY158" s="146"/>
      <c r="AZ158" s="146"/>
      <c r="BA158" s="146"/>
      <c r="BB158" s="146"/>
      <c r="BC158" s="146"/>
      <c r="BD158" s="146"/>
      <c r="BE158" s="146"/>
      <c r="BF158" s="146"/>
      <c r="BG158" s="146"/>
      <c r="BH158" s="146"/>
      <c r="BI158" s="146"/>
      <c r="BJ158" s="146"/>
      <c r="BK158" s="146"/>
      <c r="BL158" s="146"/>
      <c r="BM158" s="146"/>
      <c r="BN158" s="146"/>
      <c r="BO158" s="146"/>
      <c r="BP158" s="146"/>
      <c r="BQ158" s="146"/>
      <c r="BR158" s="146"/>
      <c r="BS158" s="146"/>
      <c r="BT158" s="146"/>
      <c r="BU158" s="146"/>
      <c r="BV158" s="146"/>
      <c r="BW158" s="146"/>
      <c r="BX158" s="146"/>
      <c r="BY158" s="146"/>
      <c r="BZ158" s="146"/>
      <c r="CA158" s="146"/>
      <c r="CB158" s="146"/>
      <c r="CC158" s="146"/>
      <c r="CD158" s="146"/>
      <c r="CE158" s="146"/>
      <c r="CF158" s="146"/>
      <c r="CG158" s="146"/>
      <c r="CH158" s="146"/>
      <c r="CI158" s="146"/>
      <c r="CJ158" s="146"/>
      <c r="CK158" s="146"/>
      <c r="CL158" s="146"/>
      <c r="CM158" s="146"/>
      <c r="CN158" s="146"/>
      <c r="CO158" s="146"/>
      <c r="CP158" s="146"/>
      <c r="CQ158" s="146"/>
      <c r="CR158" s="146"/>
      <c r="CS158" s="146"/>
      <c r="CT158" s="146"/>
      <c r="CU158" s="146"/>
      <c r="CV158" s="146"/>
      <c r="CW158" s="146"/>
      <c r="CX158" s="146"/>
      <c r="CY158" s="146"/>
      <c r="CZ158" s="146"/>
      <c r="DA158" s="146"/>
      <c r="DB158" s="146"/>
      <c r="DC158" s="146"/>
      <c r="DD158" s="146"/>
      <c r="DE158" s="146"/>
      <c r="DF158" s="146"/>
      <c r="DG158" s="146"/>
      <c r="DH158" s="146"/>
      <c r="DI158" s="146"/>
      <c r="DJ158" s="146"/>
      <c r="DK158" s="146"/>
      <c r="DL158" s="146"/>
      <c r="DM158" s="146"/>
      <c r="DN158" s="146"/>
      <c r="DO158" s="146"/>
      <c r="DP158" s="146"/>
      <c r="DQ158" s="146"/>
      <c r="DR158" s="146"/>
      <c r="DS158" s="146"/>
      <c r="DT158" s="146"/>
      <c r="DU158" s="146"/>
      <c r="DV158" s="146"/>
      <c r="DW158" s="146"/>
      <c r="DX158" s="146"/>
      <c r="DY158" s="146"/>
      <c r="DZ158" s="146"/>
      <c r="EA158" s="146"/>
      <c r="EB158" s="146"/>
      <c r="EC158" s="146"/>
      <c r="ED158" s="146"/>
      <c r="EE158" s="146"/>
      <c r="EF158" s="146"/>
      <c r="EG158" s="146"/>
      <c r="EH158" s="146"/>
      <c r="EI158" s="146"/>
      <c r="EJ158" s="146"/>
      <c r="EK158" s="146"/>
      <c r="EL158" s="146"/>
      <c r="EM158" s="146"/>
      <c r="EN158" s="146"/>
      <c r="EO158" s="146"/>
      <c r="EP158" s="146"/>
      <c r="EQ158" s="146"/>
    </row>
  </sheetData>
  <autoFilter ref="$A$1:$EQ$152">
    <filterColumn colId="0">
      <filters>
        <filter val="533.LQ120"/>
        <filter val="533.LQ110"/>
        <filter val="531.BE220"/>
        <filter val="534.BE220"/>
        <filter val="534.MD302"/>
        <filter val="533.LQ145"/>
        <filter val="534.LQ110"/>
        <filter val="532.LQ145"/>
        <filter val="533.MD302"/>
        <filter val="534.LQ145 - Gearbox"/>
        <filter val="532.LQ305"/>
        <filter val="534.LQ120"/>
        <filter val="541.BE180"/>
        <filter val="532.LQ110"/>
        <filter val="532.BE220"/>
        <filter val="531.LQ305"/>
        <filter val="531.LQ145"/>
        <filter val="532.LQ120"/>
        <filter val="542.BE180"/>
        <filter val="534.LQ145 - Girth Gear"/>
        <filter val="532.MD302"/>
        <filter val="531.LQ120"/>
        <filter val="531.LQ145 (F)"/>
        <filter val="543.BE180"/>
        <filter val="531.MD302"/>
        <filter val="533.BE220"/>
        <filter val="544.BE180"/>
        <filter val="531.LQ110"/>
      </filters>
    </filterColumn>
    <sortState ref="A1:EQ152">
      <sortCondition ref="A1:A152"/>
    </sortState>
  </autoFilter>
  <conditionalFormatting sqref="B2:B152">
    <cfRule type="expression" dxfId="7" priority="1">
      <formula>AND($B2&lt;&gt;"", TODAY() &gt; ($B2 + $C2))</formula>
    </cfRule>
  </conditionalFormatting>
  <conditionalFormatting sqref="B2:B152">
    <cfRule type="containsText" dxfId="8" priority="2" operator="containsText" text="Missing">
      <formula>NOT(ISERROR(SEARCH(("Missing"),(B2))))</formula>
    </cfRule>
  </conditionalFormatting>
  <dataValidations>
    <dataValidation type="list" allowBlank="1" showErrorMessage="1" sqref="D2:D152">
      <formula1>"6 Months,3 Months,If needed,Monthly,4 Months"</formula1>
    </dataValidation>
    <dataValidation type="list" allowBlank="1" showErrorMessage="1" sqref="E2:BF104 E105:R105 T105:BF105 E106:BF111 E112:R114 T112:BF114 E115:BF152">
      <formula1>"CAUTION,NORMAL,ALERT,MISSING,Insufficient Sample,Oil changed"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6A5AF"/>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2.29"/>
  </cols>
  <sheetData>
    <row r="1" ht="21.75" customHeight="1">
      <c r="A1" s="147" t="s">
        <v>91</v>
      </c>
      <c r="B1" s="147" t="s">
        <v>258</v>
      </c>
      <c r="C1" s="147" t="s">
        <v>259</v>
      </c>
      <c r="D1" s="147" t="s">
        <v>260</v>
      </c>
      <c r="E1" s="147" t="s">
        <v>261</v>
      </c>
      <c r="F1" s="147" t="s">
        <v>262</v>
      </c>
      <c r="G1" s="148" t="s">
        <v>263</v>
      </c>
      <c r="H1" s="149" t="s">
        <v>264</v>
      </c>
      <c r="I1" s="150" t="s">
        <v>265</v>
      </c>
      <c r="J1" s="150" t="s">
        <v>266</v>
      </c>
      <c r="K1" s="150" t="s">
        <v>267</v>
      </c>
      <c r="L1" s="150" t="s">
        <v>268</v>
      </c>
      <c r="M1" s="150" t="s">
        <v>269</v>
      </c>
      <c r="N1" s="150" t="s">
        <v>270</v>
      </c>
      <c r="O1" s="150" t="s">
        <v>271</v>
      </c>
      <c r="P1" s="150" t="s">
        <v>272</v>
      </c>
      <c r="Q1" s="150" t="s">
        <v>273</v>
      </c>
      <c r="R1" s="150" t="s">
        <v>274</v>
      </c>
      <c r="S1" s="151" t="s">
        <v>275</v>
      </c>
      <c r="T1" s="152" t="s">
        <v>276</v>
      </c>
      <c r="U1" s="153" t="s">
        <v>277</v>
      </c>
      <c r="V1" s="153" t="s">
        <v>278</v>
      </c>
      <c r="W1" s="153" t="s">
        <v>279</v>
      </c>
      <c r="X1" s="153" t="s">
        <v>280</v>
      </c>
      <c r="Y1" s="153" t="s">
        <v>281</v>
      </c>
      <c r="Z1" s="153" t="s">
        <v>282</v>
      </c>
      <c r="AA1" s="153" t="s">
        <v>283</v>
      </c>
      <c r="AB1" s="153" t="s">
        <v>284</v>
      </c>
      <c r="AC1" s="153" t="s">
        <v>285</v>
      </c>
      <c r="AD1" s="153" t="s">
        <v>262</v>
      </c>
      <c r="AE1" s="154" t="s">
        <v>286</v>
      </c>
      <c r="AF1" s="155" t="s">
        <v>287</v>
      </c>
      <c r="AG1" s="156" t="s">
        <v>288</v>
      </c>
      <c r="AH1" s="156" t="s">
        <v>289</v>
      </c>
      <c r="AI1" s="156" t="s">
        <v>290</v>
      </c>
      <c r="AJ1" s="156" t="s">
        <v>291</v>
      </c>
      <c r="AK1" s="156" t="s">
        <v>292</v>
      </c>
      <c r="AL1" s="156" t="s">
        <v>293</v>
      </c>
      <c r="AM1" s="156" t="s">
        <v>294</v>
      </c>
      <c r="AN1" s="156" t="s">
        <v>295</v>
      </c>
      <c r="AO1" s="156" t="s">
        <v>296</v>
      </c>
      <c r="AP1" s="156" t="s">
        <v>297</v>
      </c>
      <c r="AQ1" s="156" t="s">
        <v>298</v>
      </c>
      <c r="AR1" s="157" t="s">
        <v>299</v>
      </c>
      <c r="AS1" s="158" t="s">
        <v>300</v>
      </c>
      <c r="AT1" s="158" t="s">
        <v>301</v>
      </c>
      <c r="AU1" s="158" t="s">
        <v>302</v>
      </c>
      <c r="AV1" s="158" t="s">
        <v>303</v>
      </c>
      <c r="AW1" s="158" t="s">
        <v>304</v>
      </c>
      <c r="AX1" s="158" t="s">
        <v>305</v>
      </c>
      <c r="AY1" s="158" t="s">
        <v>306</v>
      </c>
      <c r="AZ1" s="158" t="s">
        <v>307</v>
      </c>
      <c r="BA1" s="158" t="s">
        <v>308</v>
      </c>
      <c r="BB1" s="158" t="s">
        <v>309</v>
      </c>
      <c r="BC1" s="158" t="s">
        <v>310</v>
      </c>
      <c r="BD1" s="159"/>
      <c r="BE1" s="160"/>
      <c r="BF1" s="160"/>
      <c r="BG1" s="160"/>
      <c r="BH1" s="161"/>
      <c r="BI1" s="161"/>
      <c r="BJ1" s="161"/>
      <c r="BK1" s="161"/>
      <c r="BL1" s="161"/>
      <c r="BM1" s="161"/>
      <c r="BN1" s="161"/>
      <c r="BO1" s="161"/>
      <c r="BP1" s="161"/>
      <c r="BQ1" s="161"/>
      <c r="BR1" s="161"/>
      <c r="BS1" s="161"/>
      <c r="BT1" s="161"/>
      <c r="BU1" s="161"/>
      <c r="BV1" s="161"/>
      <c r="BW1" s="161"/>
      <c r="BX1" s="161"/>
      <c r="BY1" s="161"/>
      <c r="BZ1" s="161"/>
      <c r="CA1" s="161"/>
      <c r="CB1" s="161"/>
      <c r="CC1" s="161"/>
      <c r="CD1" s="161"/>
      <c r="CE1" s="161"/>
      <c r="CF1" s="161"/>
      <c r="CG1" s="161"/>
      <c r="CH1" s="161"/>
      <c r="CI1" s="161"/>
      <c r="CJ1" s="161"/>
      <c r="CK1" s="161"/>
      <c r="CL1" s="161"/>
      <c r="CM1" s="161"/>
      <c r="CN1" s="161"/>
      <c r="CO1" s="161"/>
      <c r="CP1" s="161"/>
      <c r="CQ1" s="161"/>
      <c r="CR1" s="161"/>
      <c r="CS1" s="161"/>
      <c r="CT1" s="161"/>
      <c r="CU1" s="161"/>
      <c r="CV1" s="161"/>
      <c r="CW1" s="161"/>
      <c r="CX1" s="161"/>
      <c r="CY1" s="161"/>
      <c r="CZ1" s="161"/>
      <c r="DA1" s="161"/>
      <c r="DB1" s="161"/>
      <c r="DC1" s="161"/>
      <c r="DD1" s="161"/>
      <c r="DE1" s="161"/>
      <c r="DF1" s="161"/>
      <c r="DG1" s="161"/>
      <c r="DH1" s="161"/>
      <c r="DI1" s="161"/>
      <c r="DJ1" s="161"/>
      <c r="DK1" s="161"/>
      <c r="DL1" s="161"/>
      <c r="DM1" s="161"/>
      <c r="DN1" s="161"/>
      <c r="DO1" s="161"/>
      <c r="DP1" s="161"/>
      <c r="DQ1" s="161"/>
      <c r="DR1" s="161"/>
      <c r="DS1" s="161"/>
      <c r="DT1" s="161"/>
      <c r="DU1" s="161"/>
      <c r="DV1" s="161"/>
      <c r="DW1" s="161"/>
      <c r="DX1" s="161"/>
      <c r="DY1" s="161"/>
      <c r="DZ1" s="161"/>
      <c r="EA1" s="161"/>
      <c r="EB1" s="161"/>
      <c r="EC1" s="161"/>
      <c r="ED1" s="161"/>
      <c r="EE1" s="161"/>
      <c r="EF1" s="161"/>
      <c r="EG1" s="161"/>
      <c r="EH1" s="161"/>
      <c r="EI1" s="161"/>
      <c r="EJ1" s="161"/>
      <c r="EK1" s="161"/>
      <c r="EL1" s="161"/>
      <c r="EM1" s="161"/>
      <c r="EN1" s="161"/>
    </row>
    <row r="2">
      <c r="A2" s="103" t="s">
        <v>64</v>
      </c>
      <c r="B2" s="103" t="s">
        <v>96</v>
      </c>
      <c r="C2" s="103" t="s">
        <v>96</v>
      </c>
      <c r="D2" s="103" t="s">
        <v>97</v>
      </c>
      <c r="E2" s="105"/>
      <c r="F2" s="105"/>
      <c r="G2" s="106"/>
      <c r="H2" s="107"/>
      <c r="I2" s="103" t="s">
        <v>98</v>
      </c>
      <c r="J2" s="105"/>
      <c r="K2" s="105"/>
      <c r="L2" s="105"/>
      <c r="M2" s="105"/>
      <c r="N2" s="105"/>
      <c r="O2" s="103" t="s">
        <v>98</v>
      </c>
      <c r="P2" s="103" t="s">
        <v>99</v>
      </c>
      <c r="Q2" s="105"/>
      <c r="R2" s="105"/>
      <c r="S2" s="106"/>
      <c r="T2" s="107"/>
      <c r="U2" s="108" t="s">
        <v>99</v>
      </c>
      <c r="V2" s="107"/>
      <c r="W2" s="107"/>
      <c r="X2" s="107"/>
      <c r="Y2" s="107"/>
      <c r="Z2" s="105"/>
      <c r="AA2" s="103" t="s">
        <v>99</v>
      </c>
      <c r="AB2" s="103" t="s">
        <v>98</v>
      </c>
      <c r="AC2" s="105"/>
      <c r="AD2" s="105"/>
      <c r="AE2" s="106"/>
      <c r="AF2" s="107"/>
      <c r="AG2" s="103" t="s">
        <v>97</v>
      </c>
      <c r="AH2" s="105"/>
      <c r="AI2" s="105"/>
      <c r="AJ2" s="105"/>
      <c r="AK2" s="105"/>
      <c r="AL2" s="105"/>
      <c r="AM2" s="103" t="s">
        <v>99</v>
      </c>
      <c r="AN2" s="103" t="s">
        <v>97</v>
      </c>
      <c r="AO2" s="103" t="s">
        <v>96</v>
      </c>
      <c r="AP2" s="105"/>
      <c r="AQ2" s="106"/>
      <c r="AR2" s="107"/>
      <c r="AS2" s="105"/>
      <c r="AT2" s="105"/>
      <c r="AU2" s="103" t="s">
        <v>96</v>
      </c>
      <c r="AV2" s="105"/>
      <c r="AW2" s="105"/>
      <c r="AX2" s="105"/>
      <c r="AY2" s="105"/>
      <c r="AZ2" s="105"/>
      <c r="BA2" s="105"/>
      <c r="BB2" s="105"/>
      <c r="BC2" s="106"/>
      <c r="BD2" s="109"/>
      <c r="BE2" s="109"/>
      <c r="BF2" s="109"/>
      <c r="BG2" s="109"/>
      <c r="BH2" s="102"/>
      <c r="BI2" s="102"/>
      <c r="BJ2" s="102"/>
      <c r="BK2" s="102"/>
      <c r="BL2" s="102"/>
      <c r="BM2" s="102"/>
      <c r="BN2" s="102"/>
      <c r="BO2" s="102"/>
      <c r="BP2" s="102"/>
      <c r="BQ2" s="102"/>
      <c r="BR2" s="102"/>
      <c r="BS2" s="102"/>
      <c r="BT2" s="102"/>
      <c r="BU2" s="102"/>
      <c r="BV2" s="102"/>
      <c r="BW2" s="102"/>
      <c r="BX2" s="102"/>
      <c r="BY2" s="102"/>
      <c r="BZ2" s="102"/>
      <c r="CA2" s="102"/>
      <c r="CB2" s="102"/>
      <c r="CC2" s="102"/>
      <c r="CD2" s="102"/>
      <c r="CE2" s="102"/>
      <c r="CF2" s="102"/>
      <c r="CG2" s="102"/>
      <c r="CH2" s="102"/>
      <c r="CI2" s="102"/>
      <c r="CJ2" s="102"/>
      <c r="CK2" s="102"/>
      <c r="CL2" s="102"/>
      <c r="CM2" s="102"/>
      <c r="CN2" s="102"/>
      <c r="CO2" s="102"/>
      <c r="CP2" s="102"/>
      <c r="CQ2" s="102"/>
      <c r="CR2" s="102"/>
      <c r="CS2" s="102"/>
      <c r="CT2" s="102"/>
      <c r="CU2" s="102"/>
      <c r="CV2" s="102"/>
      <c r="CW2" s="102"/>
      <c r="CX2" s="102"/>
      <c r="CY2" s="102"/>
      <c r="CZ2" s="102"/>
      <c r="DA2" s="102"/>
      <c r="DB2" s="102"/>
      <c r="DC2" s="102"/>
      <c r="DD2" s="102"/>
      <c r="DE2" s="102"/>
      <c r="DF2" s="102"/>
      <c r="DG2" s="102"/>
      <c r="DH2" s="102"/>
      <c r="DI2" s="102"/>
      <c r="DJ2" s="102"/>
      <c r="DK2" s="102"/>
      <c r="DL2" s="102"/>
      <c r="DM2" s="102"/>
      <c r="DN2" s="102"/>
      <c r="DO2" s="102"/>
      <c r="DP2" s="102"/>
      <c r="DQ2" s="102"/>
      <c r="DR2" s="102"/>
      <c r="DS2" s="102"/>
      <c r="DT2" s="102"/>
      <c r="DU2" s="102"/>
      <c r="DV2" s="102"/>
      <c r="DW2" s="102"/>
      <c r="DX2" s="102"/>
      <c r="DY2" s="102"/>
      <c r="DZ2" s="102"/>
      <c r="EA2" s="102"/>
      <c r="EB2" s="102"/>
      <c r="EC2" s="102"/>
      <c r="ED2" s="102"/>
      <c r="EE2" s="102"/>
      <c r="EF2" s="102"/>
      <c r="EG2" s="102"/>
      <c r="EH2" s="102"/>
      <c r="EI2" s="102"/>
      <c r="EJ2" s="102"/>
      <c r="EK2" s="102"/>
      <c r="EL2" s="102"/>
      <c r="EM2" s="102"/>
      <c r="EN2" s="102"/>
    </row>
    <row r="3">
      <c r="A3" s="110" t="s">
        <v>103</v>
      </c>
      <c r="B3" s="112"/>
      <c r="C3" s="110" t="s">
        <v>96</v>
      </c>
      <c r="D3" s="112"/>
      <c r="E3" s="112"/>
      <c r="F3" s="112"/>
      <c r="G3" s="113"/>
      <c r="H3" s="114"/>
      <c r="I3" s="115" t="s">
        <v>98</v>
      </c>
      <c r="J3" s="116"/>
      <c r="K3" s="116"/>
      <c r="L3" s="116"/>
      <c r="M3" s="116"/>
      <c r="N3" s="116"/>
      <c r="O3" s="115" t="s">
        <v>98</v>
      </c>
      <c r="P3" s="115" t="s">
        <v>99</v>
      </c>
      <c r="Q3" s="116"/>
      <c r="R3" s="116"/>
      <c r="S3" s="117"/>
      <c r="T3" s="118"/>
      <c r="U3" s="119" t="s">
        <v>99</v>
      </c>
      <c r="V3" s="118"/>
      <c r="W3" s="118"/>
      <c r="X3" s="118"/>
      <c r="Y3" s="118"/>
      <c r="Z3" s="120"/>
      <c r="AA3" s="121" t="s">
        <v>99</v>
      </c>
      <c r="AB3" s="121" t="s">
        <v>96</v>
      </c>
      <c r="AC3" s="121" t="s">
        <v>98</v>
      </c>
      <c r="AD3" s="120"/>
      <c r="AE3" s="122"/>
      <c r="AF3" s="123"/>
      <c r="AG3" s="124"/>
      <c r="AH3" s="124"/>
      <c r="AI3" s="125" t="s">
        <v>99</v>
      </c>
      <c r="AJ3" s="124"/>
      <c r="AK3" s="124"/>
      <c r="AL3" s="124"/>
      <c r="AM3" s="124"/>
      <c r="AN3" s="124"/>
      <c r="AO3" s="125" t="s">
        <v>98</v>
      </c>
      <c r="AP3" s="124"/>
      <c r="AQ3" s="126"/>
      <c r="AR3" s="127"/>
      <c r="AS3" s="128" t="s">
        <v>98</v>
      </c>
      <c r="AT3" s="129"/>
      <c r="AU3" s="128" t="s">
        <v>97</v>
      </c>
      <c r="AV3" s="129"/>
      <c r="AW3" s="129"/>
      <c r="AX3" s="129"/>
      <c r="AY3" s="129"/>
      <c r="AZ3" s="129"/>
      <c r="BA3" s="129"/>
      <c r="BB3" s="129"/>
      <c r="BC3" s="130"/>
      <c r="BD3" s="129"/>
      <c r="BE3" s="129"/>
      <c r="BF3" s="129"/>
      <c r="BG3" s="129"/>
      <c r="BH3" s="102"/>
      <c r="BI3" s="102"/>
      <c r="BJ3" s="102"/>
      <c r="BK3" s="102"/>
      <c r="BL3" s="102"/>
      <c r="BM3" s="102"/>
      <c r="BN3" s="102"/>
      <c r="BO3" s="102"/>
      <c r="BP3" s="102"/>
      <c r="BQ3" s="102"/>
      <c r="BR3" s="102"/>
      <c r="BS3" s="102"/>
      <c r="BT3" s="102"/>
      <c r="BU3" s="102"/>
      <c r="BV3" s="102"/>
      <c r="BW3" s="102"/>
      <c r="BX3" s="102"/>
      <c r="BY3" s="102"/>
      <c r="BZ3" s="102"/>
      <c r="CA3" s="102"/>
      <c r="CB3" s="102"/>
      <c r="CC3" s="102"/>
      <c r="CD3" s="102"/>
      <c r="CE3" s="102"/>
      <c r="CF3" s="102"/>
      <c r="CG3" s="102"/>
      <c r="CH3" s="102"/>
      <c r="CI3" s="102"/>
      <c r="CJ3" s="102"/>
      <c r="CK3" s="102"/>
      <c r="CL3" s="102"/>
      <c r="CM3" s="102"/>
      <c r="CN3" s="102"/>
      <c r="CO3" s="102"/>
      <c r="CP3" s="102"/>
      <c r="CQ3" s="102"/>
      <c r="CR3" s="102"/>
      <c r="CS3" s="102"/>
      <c r="CT3" s="102"/>
      <c r="CU3" s="102"/>
      <c r="CV3" s="102"/>
      <c r="CW3" s="102"/>
      <c r="CX3" s="102"/>
      <c r="CY3" s="102"/>
      <c r="CZ3" s="102"/>
      <c r="DA3" s="102"/>
      <c r="DB3" s="102"/>
      <c r="DC3" s="102"/>
      <c r="DD3" s="102"/>
      <c r="DE3" s="102"/>
      <c r="DF3" s="102"/>
      <c r="DG3" s="102"/>
      <c r="DH3" s="102"/>
      <c r="DI3" s="102"/>
      <c r="DJ3" s="102"/>
      <c r="DK3" s="102"/>
      <c r="DL3" s="102"/>
      <c r="DM3" s="102"/>
      <c r="DN3" s="102"/>
      <c r="DO3" s="102"/>
      <c r="DP3" s="102"/>
      <c r="DQ3" s="102"/>
      <c r="DR3" s="102"/>
      <c r="DS3" s="102"/>
      <c r="DT3" s="102"/>
      <c r="DU3" s="102"/>
      <c r="DV3" s="102"/>
      <c r="DW3" s="102"/>
      <c r="DX3" s="102"/>
      <c r="DY3" s="102"/>
      <c r="DZ3" s="102"/>
      <c r="EA3" s="102"/>
      <c r="EB3" s="102"/>
      <c r="EC3" s="102"/>
      <c r="ED3" s="102"/>
      <c r="EE3" s="102"/>
      <c r="EF3" s="102"/>
      <c r="EG3" s="102"/>
      <c r="EH3" s="102"/>
      <c r="EI3" s="102"/>
      <c r="EJ3" s="102"/>
      <c r="EK3" s="102"/>
      <c r="EL3" s="102"/>
      <c r="EM3" s="102"/>
      <c r="EN3" s="102"/>
    </row>
    <row r="4">
      <c r="A4" s="103" t="s">
        <v>104</v>
      </c>
      <c r="B4" s="105"/>
      <c r="C4" s="103" t="s">
        <v>98</v>
      </c>
      <c r="D4" s="105"/>
      <c r="E4" s="105"/>
      <c r="F4" s="105"/>
      <c r="G4" s="106"/>
      <c r="H4" s="107"/>
      <c r="I4" s="103" t="s">
        <v>97</v>
      </c>
      <c r="J4" s="105"/>
      <c r="K4" s="105"/>
      <c r="L4" s="105"/>
      <c r="M4" s="105"/>
      <c r="N4" s="105"/>
      <c r="O4" s="103" t="s">
        <v>98</v>
      </c>
      <c r="P4" s="103" t="s">
        <v>99</v>
      </c>
      <c r="Q4" s="105"/>
      <c r="R4" s="105"/>
      <c r="S4" s="106"/>
      <c r="T4" s="107"/>
      <c r="U4" s="108" t="s">
        <v>99</v>
      </c>
      <c r="V4" s="107"/>
      <c r="W4" s="107"/>
      <c r="X4" s="107"/>
      <c r="Y4" s="107"/>
      <c r="Z4" s="105"/>
      <c r="AA4" s="103" t="s">
        <v>99</v>
      </c>
      <c r="AB4" s="103" t="s">
        <v>96</v>
      </c>
      <c r="AC4" s="103" t="s">
        <v>96</v>
      </c>
      <c r="AD4" s="105"/>
      <c r="AE4" s="106"/>
      <c r="AF4" s="107"/>
      <c r="AG4" s="105"/>
      <c r="AH4" s="105"/>
      <c r="AI4" s="103" t="s">
        <v>99</v>
      </c>
      <c r="AJ4" s="105"/>
      <c r="AK4" s="105"/>
      <c r="AL4" s="105"/>
      <c r="AM4" s="105"/>
      <c r="AN4" s="105"/>
      <c r="AO4" s="103" t="s">
        <v>96</v>
      </c>
      <c r="AP4" s="105"/>
      <c r="AQ4" s="106"/>
      <c r="AR4" s="107"/>
      <c r="AS4" s="105"/>
      <c r="AT4" s="105"/>
      <c r="AU4" s="103" t="s">
        <v>98</v>
      </c>
      <c r="AV4" s="105"/>
      <c r="AW4" s="105"/>
      <c r="AX4" s="105"/>
      <c r="AY4" s="105"/>
      <c r="AZ4" s="105"/>
      <c r="BA4" s="105"/>
      <c r="BB4" s="105"/>
      <c r="BC4" s="106"/>
      <c r="BD4" s="105"/>
      <c r="BE4" s="105"/>
      <c r="BF4" s="105"/>
      <c r="BG4" s="105"/>
      <c r="BH4" s="102"/>
      <c r="BI4" s="102"/>
      <c r="BJ4" s="102"/>
      <c r="BK4" s="102"/>
      <c r="BL4" s="102"/>
      <c r="BM4" s="102"/>
      <c r="BN4" s="102"/>
      <c r="BO4" s="102"/>
      <c r="BP4" s="102"/>
      <c r="BQ4" s="102"/>
      <c r="BR4" s="102"/>
      <c r="BS4" s="102"/>
      <c r="BT4" s="102"/>
      <c r="BU4" s="102"/>
      <c r="BV4" s="102"/>
      <c r="BW4" s="102"/>
      <c r="BX4" s="102"/>
      <c r="BY4" s="102"/>
      <c r="BZ4" s="102"/>
      <c r="CA4" s="102"/>
      <c r="CB4" s="102"/>
      <c r="CC4" s="102"/>
      <c r="CD4" s="102"/>
      <c r="CE4" s="102"/>
      <c r="CF4" s="102"/>
      <c r="CG4" s="102"/>
      <c r="CH4" s="102"/>
      <c r="CI4" s="102"/>
      <c r="CJ4" s="102"/>
      <c r="CK4" s="102"/>
      <c r="CL4" s="102"/>
      <c r="CM4" s="102"/>
      <c r="CN4" s="102"/>
      <c r="CO4" s="102"/>
      <c r="CP4" s="102"/>
      <c r="CQ4" s="102"/>
      <c r="CR4" s="102"/>
      <c r="CS4" s="102"/>
      <c r="CT4" s="102"/>
      <c r="CU4" s="102"/>
      <c r="CV4" s="102"/>
      <c r="CW4" s="102"/>
      <c r="CX4" s="102"/>
      <c r="CY4" s="102"/>
      <c r="CZ4" s="102"/>
      <c r="DA4" s="102"/>
      <c r="DB4" s="102"/>
      <c r="DC4" s="102"/>
      <c r="DD4" s="102"/>
      <c r="DE4" s="102"/>
      <c r="DF4" s="102"/>
      <c r="DG4" s="102"/>
      <c r="DH4" s="102"/>
      <c r="DI4" s="102"/>
      <c r="DJ4" s="102"/>
      <c r="DK4" s="102"/>
      <c r="DL4" s="102"/>
      <c r="DM4" s="102"/>
      <c r="DN4" s="102"/>
      <c r="DO4" s="102"/>
      <c r="DP4" s="102"/>
      <c r="DQ4" s="102"/>
      <c r="DR4" s="102"/>
      <c r="DS4" s="102"/>
      <c r="DT4" s="102"/>
      <c r="DU4" s="102"/>
      <c r="DV4" s="102"/>
      <c r="DW4" s="102"/>
      <c r="DX4" s="102"/>
      <c r="DY4" s="102"/>
      <c r="DZ4" s="102"/>
      <c r="EA4" s="102"/>
      <c r="EB4" s="102"/>
      <c r="EC4" s="102"/>
      <c r="ED4" s="102"/>
      <c r="EE4" s="102"/>
      <c r="EF4" s="102"/>
      <c r="EG4" s="102"/>
      <c r="EH4" s="102"/>
      <c r="EI4" s="102"/>
      <c r="EJ4" s="102"/>
      <c r="EK4" s="102"/>
      <c r="EL4" s="102"/>
      <c r="EM4" s="102"/>
      <c r="EN4" s="102"/>
    </row>
    <row r="5">
      <c r="A5" s="110" t="s">
        <v>105</v>
      </c>
      <c r="B5" s="112"/>
      <c r="C5" s="110" t="s">
        <v>96</v>
      </c>
      <c r="D5" s="112"/>
      <c r="E5" s="112"/>
      <c r="F5" s="112"/>
      <c r="G5" s="113"/>
      <c r="H5" s="114"/>
      <c r="I5" s="115" t="s">
        <v>97</v>
      </c>
      <c r="J5" s="116"/>
      <c r="K5" s="116"/>
      <c r="L5" s="116"/>
      <c r="M5" s="116"/>
      <c r="N5" s="116"/>
      <c r="O5" s="115" t="s">
        <v>98</v>
      </c>
      <c r="P5" s="115" t="s">
        <v>99</v>
      </c>
      <c r="Q5" s="116"/>
      <c r="R5" s="116"/>
      <c r="S5" s="117"/>
      <c r="T5" s="118"/>
      <c r="U5" s="119" t="s">
        <v>99</v>
      </c>
      <c r="V5" s="118"/>
      <c r="W5" s="118"/>
      <c r="X5" s="118"/>
      <c r="Y5" s="118"/>
      <c r="Z5" s="120"/>
      <c r="AA5" s="121" t="s">
        <v>99</v>
      </c>
      <c r="AB5" s="121" t="s">
        <v>98</v>
      </c>
      <c r="AC5" s="120"/>
      <c r="AD5" s="120"/>
      <c r="AE5" s="122"/>
      <c r="AF5" s="123"/>
      <c r="AG5" s="125" t="s">
        <v>98</v>
      </c>
      <c r="AH5" s="124"/>
      <c r="AI5" s="124"/>
      <c r="AJ5" s="124"/>
      <c r="AK5" s="124"/>
      <c r="AL5" s="124"/>
      <c r="AM5" s="125" t="s">
        <v>99</v>
      </c>
      <c r="AN5" s="125" t="s">
        <v>98</v>
      </c>
      <c r="AO5" s="124"/>
      <c r="AP5" s="124"/>
      <c r="AQ5" s="126"/>
      <c r="AR5" s="127"/>
      <c r="AS5" s="129"/>
      <c r="AT5" s="128" t="s">
        <v>96</v>
      </c>
      <c r="AU5" s="128" t="s">
        <v>106</v>
      </c>
      <c r="AV5" s="129"/>
      <c r="AW5" s="129"/>
      <c r="AX5" s="129"/>
      <c r="AY5" s="129"/>
      <c r="AZ5" s="129"/>
      <c r="BA5" s="129"/>
      <c r="BB5" s="129"/>
      <c r="BC5" s="130"/>
      <c r="BD5" s="129"/>
      <c r="BE5" s="129"/>
      <c r="BF5" s="129"/>
      <c r="BG5" s="129"/>
      <c r="BH5" s="102"/>
      <c r="BI5" s="102"/>
      <c r="BJ5" s="102"/>
      <c r="BK5" s="102"/>
      <c r="BL5" s="102"/>
      <c r="BM5" s="102"/>
      <c r="BN5" s="102"/>
      <c r="BO5" s="102"/>
      <c r="BP5" s="102"/>
      <c r="BQ5" s="102"/>
      <c r="BR5" s="102"/>
      <c r="BS5" s="102"/>
      <c r="BT5" s="102"/>
      <c r="BU5" s="102"/>
      <c r="BV5" s="102"/>
      <c r="BW5" s="102"/>
      <c r="BX5" s="102"/>
      <c r="BY5" s="102"/>
      <c r="BZ5" s="102"/>
      <c r="CA5" s="102"/>
      <c r="CB5" s="102"/>
      <c r="CC5" s="102"/>
      <c r="CD5" s="102"/>
      <c r="CE5" s="102"/>
      <c r="CF5" s="102"/>
      <c r="CG5" s="102"/>
      <c r="CH5" s="102"/>
      <c r="CI5" s="102"/>
      <c r="CJ5" s="102"/>
      <c r="CK5" s="102"/>
      <c r="CL5" s="102"/>
      <c r="CM5" s="102"/>
      <c r="CN5" s="102"/>
      <c r="CO5" s="102"/>
      <c r="CP5" s="102"/>
      <c r="CQ5" s="102"/>
      <c r="CR5" s="102"/>
      <c r="CS5" s="102"/>
      <c r="CT5" s="102"/>
      <c r="CU5" s="102"/>
      <c r="CV5" s="102"/>
      <c r="CW5" s="102"/>
      <c r="CX5" s="102"/>
      <c r="CY5" s="102"/>
      <c r="CZ5" s="102"/>
      <c r="DA5" s="102"/>
      <c r="DB5" s="102"/>
      <c r="DC5" s="102"/>
      <c r="DD5" s="102"/>
      <c r="DE5" s="102"/>
      <c r="DF5" s="102"/>
      <c r="DG5" s="102"/>
      <c r="DH5" s="102"/>
      <c r="DI5" s="102"/>
      <c r="DJ5" s="102"/>
      <c r="DK5" s="102"/>
      <c r="DL5" s="102"/>
      <c r="DM5" s="102"/>
      <c r="DN5" s="102"/>
      <c r="DO5" s="102"/>
      <c r="DP5" s="102"/>
      <c r="DQ5" s="102"/>
      <c r="DR5" s="102"/>
      <c r="DS5" s="102"/>
      <c r="DT5" s="102"/>
      <c r="DU5" s="102"/>
      <c r="DV5" s="102"/>
      <c r="DW5" s="102"/>
      <c r="DX5" s="102"/>
      <c r="DY5" s="102"/>
      <c r="DZ5" s="102"/>
      <c r="EA5" s="102"/>
      <c r="EB5" s="102"/>
      <c r="EC5" s="102"/>
      <c r="ED5" s="102"/>
      <c r="EE5" s="102"/>
      <c r="EF5" s="102"/>
      <c r="EG5" s="102"/>
      <c r="EH5" s="102"/>
      <c r="EI5" s="102"/>
      <c r="EJ5" s="102"/>
      <c r="EK5" s="102"/>
      <c r="EL5" s="102"/>
      <c r="EM5" s="102"/>
      <c r="EN5" s="102"/>
    </row>
    <row r="6">
      <c r="A6" s="103" t="s">
        <v>107</v>
      </c>
      <c r="B6" s="105"/>
      <c r="C6" s="103" t="s">
        <v>97</v>
      </c>
      <c r="D6" s="103" t="s">
        <v>97</v>
      </c>
      <c r="E6" s="105"/>
      <c r="F6" s="105"/>
      <c r="G6" s="106"/>
      <c r="H6" s="107"/>
      <c r="I6" s="103" t="s">
        <v>96</v>
      </c>
      <c r="J6" s="105"/>
      <c r="K6" s="105"/>
      <c r="L6" s="105"/>
      <c r="M6" s="105"/>
      <c r="N6" s="105"/>
      <c r="O6" s="103" t="s">
        <v>97</v>
      </c>
      <c r="P6" s="103" t="s">
        <v>99</v>
      </c>
      <c r="Q6" s="105"/>
      <c r="R6" s="105"/>
      <c r="S6" s="106"/>
      <c r="T6" s="107"/>
      <c r="U6" s="108" t="s">
        <v>99</v>
      </c>
      <c r="V6" s="107"/>
      <c r="W6" s="107"/>
      <c r="X6" s="103" t="s">
        <v>97</v>
      </c>
      <c r="Y6" s="103" t="s">
        <v>97</v>
      </c>
      <c r="Z6" s="105"/>
      <c r="AA6" s="105"/>
      <c r="AB6" s="103" t="s">
        <v>97</v>
      </c>
      <c r="AC6" s="105"/>
      <c r="AD6" s="105"/>
      <c r="AE6" s="106"/>
      <c r="AF6" s="107"/>
      <c r="AG6" s="103" t="s">
        <v>96</v>
      </c>
      <c r="AH6" s="105"/>
      <c r="AI6" s="105"/>
      <c r="AJ6" s="105"/>
      <c r="AK6" s="105"/>
      <c r="AL6" s="105"/>
      <c r="AM6" s="103" t="s">
        <v>99</v>
      </c>
      <c r="AN6" s="103" t="s">
        <v>97</v>
      </c>
      <c r="AO6" s="105"/>
      <c r="AP6" s="105"/>
      <c r="AQ6" s="106"/>
      <c r="AR6" s="107"/>
      <c r="AS6" s="105"/>
      <c r="AT6" s="103" t="s">
        <v>97</v>
      </c>
      <c r="AU6" s="103" t="s">
        <v>106</v>
      </c>
      <c r="AV6" s="105"/>
      <c r="AW6" s="105"/>
      <c r="AX6" s="105"/>
      <c r="AY6" s="105"/>
      <c r="AZ6" s="105"/>
      <c r="BA6" s="105"/>
      <c r="BB6" s="105"/>
      <c r="BC6" s="106"/>
      <c r="BD6" s="105"/>
      <c r="BE6" s="105"/>
      <c r="BF6" s="105"/>
      <c r="BG6" s="105"/>
      <c r="BH6" s="102"/>
      <c r="BI6" s="102"/>
      <c r="BJ6" s="102"/>
      <c r="BK6" s="102"/>
      <c r="BL6" s="102"/>
      <c r="BM6" s="102"/>
      <c r="BN6" s="102"/>
      <c r="BO6" s="102"/>
      <c r="BP6" s="102"/>
      <c r="BQ6" s="102"/>
      <c r="BR6" s="102"/>
      <c r="BS6" s="102"/>
      <c r="BT6" s="102"/>
      <c r="BU6" s="102"/>
      <c r="BV6" s="102"/>
      <c r="BW6" s="102"/>
      <c r="BX6" s="102"/>
      <c r="BY6" s="102"/>
      <c r="BZ6" s="102"/>
      <c r="CA6" s="102"/>
      <c r="CB6" s="102"/>
      <c r="CC6" s="102"/>
      <c r="CD6" s="102"/>
      <c r="CE6" s="102"/>
      <c r="CF6" s="102"/>
      <c r="CG6" s="102"/>
      <c r="CH6" s="102"/>
      <c r="CI6" s="102"/>
      <c r="CJ6" s="102"/>
      <c r="CK6" s="102"/>
      <c r="CL6" s="102"/>
      <c r="CM6" s="102"/>
      <c r="CN6" s="102"/>
      <c r="CO6" s="102"/>
      <c r="CP6" s="102"/>
      <c r="CQ6" s="102"/>
      <c r="CR6" s="102"/>
      <c r="CS6" s="102"/>
      <c r="CT6" s="102"/>
      <c r="CU6" s="102"/>
      <c r="CV6" s="102"/>
      <c r="CW6" s="102"/>
      <c r="CX6" s="102"/>
      <c r="CY6" s="102"/>
      <c r="CZ6" s="102"/>
      <c r="DA6" s="102"/>
      <c r="DB6" s="102"/>
      <c r="DC6" s="102"/>
      <c r="DD6" s="102"/>
      <c r="DE6" s="102"/>
      <c r="DF6" s="102"/>
      <c r="DG6" s="102"/>
      <c r="DH6" s="102"/>
      <c r="DI6" s="102"/>
      <c r="DJ6" s="102"/>
      <c r="DK6" s="102"/>
      <c r="DL6" s="102"/>
      <c r="DM6" s="102"/>
      <c r="DN6" s="102"/>
      <c r="DO6" s="102"/>
      <c r="DP6" s="102"/>
      <c r="DQ6" s="102"/>
      <c r="DR6" s="102"/>
      <c r="DS6" s="102"/>
      <c r="DT6" s="102"/>
      <c r="DU6" s="102"/>
      <c r="DV6" s="102"/>
      <c r="DW6" s="102"/>
      <c r="DX6" s="102"/>
      <c r="DY6" s="102"/>
      <c r="DZ6" s="102"/>
      <c r="EA6" s="102"/>
      <c r="EB6" s="102"/>
      <c r="EC6" s="102"/>
      <c r="ED6" s="102"/>
      <c r="EE6" s="102"/>
      <c r="EF6" s="102"/>
      <c r="EG6" s="102"/>
      <c r="EH6" s="102"/>
      <c r="EI6" s="102"/>
      <c r="EJ6" s="102"/>
      <c r="EK6" s="102"/>
      <c r="EL6" s="102"/>
      <c r="EM6" s="102"/>
      <c r="EN6" s="102"/>
    </row>
    <row r="7">
      <c r="A7" s="110" t="s">
        <v>108</v>
      </c>
      <c r="B7" s="110" t="s">
        <v>98</v>
      </c>
      <c r="C7" s="112"/>
      <c r="D7" s="112"/>
      <c r="E7" s="110" t="s">
        <v>99</v>
      </c>
      <c r="F7" s="112"/>
      <c r="G7" s="113"/>
      <c r="H7" s="132" t="s">
        <v>98</v>
      </c>
      <c r="I7" s="116"/>
      <c r="J7" s="116"/>
      <c r="K7" s="115" t="s">
        <v>99</v>
      </c>
      <c r="L7" s="116"/>
      <c r="M7" s="116"/>
      <c r="N7" s="115" t="s">
        <v>96</v>
      </c>
      <c r="O7" s="115" t="s">
        <v>98</v>
      </c>
      <c r="P7" s="115" t="s">
        <v>99</v>
      </c>
      <c r="Q7" s="116"/>
      <c r="R7" s="115" t="s">
        <v>99</v>
      </c>
      <c r="S7" s="117"/>
      <c r="T7" s="118"/>
      <c r="U7" s="121" t="s">
        <v>99</v>
      </c>
      <c r="V7" s="120"/>
      <c r="W7" s="120"/>
      <c r="X7" s="121" t="s">
        <v>99</v>
      </c>
      <c r="Y7" s="120"/>
      <c r="Z7" s="121" t="s">
        <v>96</v>
      </c>
      <c r="AA7" s="120"/>
      <c r="AB7" s="121" t="s">
        <v>96</v>
      </c>
      <c r="AC7" s="120"/>
      <c r="AD7" s="121" t="s">
        <v>96</v>
      </c>
      <c r="AE7" s="122"/>
      <c r="AF7" s="123"/>
      <c r="AG7" s="125" t="s">
        <v>99</v>
      </c>
      <c r="AH7" s="124"/>
      <c r="AI7" s="124"/>
      <c r="AJ7" s="125" t="s">
        <v>99</v>
      </c>
      <c r="AK7" s="125" t="s">
        <v>98</v>
      </c>
      <c r="AL7" s="124"/>
      <c r="AM7" s="124"/>
      <c r="AN7" s="125" t="s">
        <v>99</v>
      </c>
      <c r="AO7" s="125" t="s">
        <v>99</v>
      </c>
      <c r="AP7" s="125" t="s">
        <v>96</v>
      </c>
      <c r="AQ7" s="126"/>
      <c r="AR7" s="127"/>
      <c r="AS7" s="128" t="s">
        <v>99</v>
      </c>
      <c r="AT7" s="128" t="s">
        <v>96</v>
      </c>
      <c r="AU7" s="128" t="s">
        <v>96</v>
      </c>
      <c r="AV7" s="129"/>
      <c r="AW7" s="129"/>
      <c r="AX7" s="129"/>
      <c r="AY7" s="129"/>
      <c r="AZ7" s="129"/>
      <c r="BA7" s="129"/>
      <c r="BB7" s="129"/>
      <c r="BC7" s="130"/>
      <c r="BD7" s="129"/>
      <c r="BE7" s="129"/>
      <c r="BF7" s="129"/>
      <c r="BG7" s="129"/>
      <c r="BH7" s="102"/>
      <c r="BI7" s="102"/>
      <c r="BJ7" s="102"/>
      <c r="BK7" s="102"/>
      <c r="BL7" s="102"/>
      <c r="BM7" s="102"/>
      <c r="BN7" s="102"/>
      <c r="BO7" s="102"/>
      <c r="BP7" s="102"/>
      <c r="BQ7" s="102"/>
      <c r="BR7" s="102"/>
      <c r="BS7" s="102"/>
      <c r="BT7" s="102"/>
      <c r="BU7" s="102"/>
      <c r="BV7" s="102"/>
      <c r="BW7" s="102"/>
      <c r="BX7" s="102"/>
      <c r="BY7" s="102"/>
      <c r="BZ7" s="102"/>
      <c r="CA7" s="102"/>
      <c r="CB7" s="102"/>
      <c r="CC7" s="102"/>
      <c r="CD7" s="102"/>
      <c r="CE7" s="102"/>
      <c r="CF7" s="102"/>
      <c r="CG7" s="102"/>
      <c r="CH7" s="102"/>
      <c r="CI7" s="102"/>
      <c r="CJ7" s="102"/>
      <c r="CK7" s="102"/>
      <c r="CL7" s="102"/>
      <c r="CM7" s="102"/>
      <c r="CN7" s="102"/>
      <c r="CO7" s="102"/>
      <c r="CP7" s="102"/>
      <c r="CQ7" s="102"/>
      <c r="CR7" s="102"/>
      <c r="CS7" s="102"/>
      <c r="CT7" s="102"/>
      <c r="CU7" s="102"/>
      <c r="CV7" s="102"/>
      <c r="CW7" s="102"/>
      <c r="CX7" s="102"/>
      <c r="CY7" s="102"/>
      <c r="CZ7" s="102"/>
      <c r="DA7" s="102"/>
      <c r="DB7" s="102"/>
      <c r="DC7" s="102"/>
      <c r="DD7" s="102"/>
      <c r="DE7" s="102"/>
      <c r="DF7" s="102"/>
      <c r="DG7" s="102"/>
      <c r="DH7" s="102"/>
      <c r="DI7" s="102"/>
      <c r="DJ7" s="102"/>
      <c r="DK7" s="102"/>
      <c r="DL7" s="102"/>
      <c r="DM7" s="102"/>
      <c r="DN7" s="102"/>
      <c r="DO7" s="102"/>
      <c r="DP7" s="102"/>
      <c r="DQ7" s="102"/>
      <c r="DR7" s="102"/>
      <c r="DS7" s="102"/>
      <c r="DT7" s="102"/>
      <c r="DU7" s="102"/>
      <c r="DV7" s="102"/>
      <c r="DW7" s="102"/>
      <c r="DX7" s="102"/>
      <c r="DY7" s="102"/>
      <c r="DZ7" s="102"/>
      <c r="EA7" s="102"/>
      <c r="EB7" s="102"/>
      <c r="EC7" s="102"/>
      <c r="ED7" s="102"/>
      <c r="EE7" s="102"/>
      <c r="EF7" s="102"/>
      <c r="EG7" s="102"/>
      <c r="EH7" s="102"/>
      <c r="EI7" s="102"/>
      <c r="EJ7" s="102"/>
      <c r="EK7" s="102"/>
      <c r="EL7" s="102"/>
      <c r="EM7" s="102"/>
      <c r="EN7" s="102"/>
    </row>
    <row r="8">
      <c r="A8" s="103" t="s">
        <v>110</v>
      </c>
      <c r="B8" s="103" t="s">
        <v>98</v>
      </c>
      <c r="C8" s="105"/>
      <c r="D8" s="105"/>
      <c r="E8" s="103" t="s">
        <v>99</v>
      </c>
      <c r="F8" s="105"/>
      <c r="G8" s="106"/>
      <c r="H8" s="108" t="s">
        <v>98</v>
      </c>
      <c r="I8" s="105"/>
      <c r="J8" s="105"/>
      <c r="K8" s="103" t="s">
        <v>99</v>
      </c>
      <c r="L8" s="105"/>
      <c r="M8" s="105"/>
      <c r="N8" s="103" t="s">
        <v>98</v>
      </c>
      <c r="O8" s="105"/>
      <c r="P8" s="103" t="s">
        <v>99</v>
      </c>
      <c r="Q8" s="103" t="s">
        <v>99</v>
      </c>
      <c r="R8" s="105"/>
      <c r="S8" s="106"/>
      <c r="T8" s="108" t="s">
        <v>99</v>
      </c>
      <c r="U8" s="105"/>
      <c r="V8" s="105"/>
      <c r="W8" s="103" t="s">
        <v>99</v>
      </c>
      <c r="X8" s="105"/>
      <c r="Y8" s="105"/>
      <c r="Z8" s="103" t="s">
        <v>96</v>
      </c>
      <c r="AA8" s="105"/>
      <c r="AB8" s="103" t="s">
        <v>96</v>
      </c>
      <c r="AC8" s="105"/>
      <c r="AD8" s="103" t="s">
        <v>96</v>
      </c>
      <c r="AE8" s="106"/>
      <c r="AF8" s="107"/>
      <c r="AG8" s="103" t="s">
        <v>99</v>
      </c>
      <c r="AH8" s="105"/>
      <c r="AI8" s="105"/>
      <c r="AJ8" s="103" t="s">
        <v>99</v>
      </c>
      <c r="AK8" s="103" t="s">
        <v>96</v>
      </c>
      <c r="AL8" s="105"/>
      <c r="AM8" s="105"/>
      <c r="AN8" s="103" t="s">
        <v>99</v>
      </c>
      <c r="AO8" s="103" t="s">
        <v>99</v>
      </c>
      <c r="AP8" s="103" t="s">
        <v>98</v>
      </c>
      <c r="AQ8" s="106"/>
      <c r="AR8" s="107"/>
      <c r="AS8" s="103" t="s">
        <v>98</v>
      </c>
      <c r="AT8" s="105"/>
      <c r="AU8" s="105"/>
      <c r="AV8" s="105"/>
      <c r="AW8" s="105"/>
      <c r="AX8" s="105"/>
      <c r="AY8" s="105"/>
      <c r="AZ8" s="105"/>
      <c r="BA8" s="105"/>
      <c r="BB8" s="105"/>
      <c r="BC8" s="106"/>
      <c r="BD8" s="105"/>
      <c r="BE8" s="105"/>
      <c r="BF8" s="105"/>
      <c r="BG8" s="105"/>
      <c r="BH8" s="102"/>
      <c r="BI8" s="102"/>
      <c r="BJ8" s="102"/>
      <c r="BK8" s="102"/>
      <c r="BL8" s="102"/>
      <c r="BM8" s="102"/>
      <c r="BN8" s="102"/>
      <c r="BO8" s="102"/>
      <c r="BP8" s="102"/>
      <c r="BQ8" s="102"/>
      <c r="BR8" s="102"/>
      <c r="BS8" s="102"/>
      <c r="BT8" s="102"/>
      <c r="BU8" s="102"/>
      <c r="BV8" s="102"/>
      <c r="BW8" s="102"/>
      <c r="BX8" s="102"/>
      <c r="BY8" s="102"/>
      <c r="BZ8" s="102"/>
      <c r="CA8" s="102"/>
      <c r="CB8" s="102"/>
      <c r="CC8" s="102"/>
      <c r="CD8" s="102"/>
      <c r="CE8" s="102"/>
      <c r="CF8" s="102"/>
      <c r="CG8" s="102"/>
      <c r="CH8" s="102"/>
      <c r="CI8" s="102"/>
      <c r="CJ8" s="102"/>
      <c r="CK8" s="102"/>
      <c r="CL8" s="102"/>
      <c r="CM8" s="102"/>
      <c r="CN8" s="102"/>
      <c r="CO8" s="102"/>
      <c r="CP8" s="102"/>
      <c r="CQ8" s="102"/>
      <c r="CR8" s="102"/>
      <c r="CS8" s="102"/>
      <c r="CT8" s="102"/>
      <c r="CU8" s="102"/>
      <c r="CV8" s="102"/>
      <c r="CW8" s="102"/>
      <c r="CX8" s="102"/>
      <c r="CY8" s="102"/>
      <c r="CZ8" s="102"/>
      <c r="DA8" s="102"/>
      <c r="DB8" s="102"/>
      <c r="DC8" s="102"/>
      <c r="DD8" s="102"/>
      <c r="DE8" s="102"/>
      <c r="DF8" s="102"/>
      <c r="DG8" s="102"/>
      <c r="DH8" s="102"/>
      <c r="DI8" s="102"/>
      <c r="DJ8" s="102"/>
      <c r="DK8" s="102"/>
      <c r="DL8" s="102"/>
      <c r="DM8" s="102"/>
      <c r="DN8" s="102"/>
      <c r="DO8" s="102"/>
      <c r="DP8" s="102"/>
      <c r="DQ8" s="102"/>
      <c r="DR8" s="102"/>
      <c r="DS8" s="102"/>
      <c r="DT8" s="102"/>
      <c r="DU8" s="102"/>
      <c r="DV8" s="102"/>
      <c r="DW8" s="102"/>
      <c r="DX8" s="102"/>
      <c r="DY8" s="102"/>
      <c r="DZ8" s="102"/>
      <c r="EA8" s="102"/>
      <c r="EB8" s="102"/>
      <c r="EC8" s="102"/>
      <c r="ED8" s="102"/>
      <c r="EE8" s="102"/>
      <c r="EF8" s="102"/>
      <c r="EG8" s="102"/>
      <c r="EH8" s="102"/>
      <c r="EI8" s="102"/>
      <c r="EJ8" s="102"/>
      <c r="EK8" s="102"/>
      <c r="EL8" s="102"/>
      <c r="EM8" s="102"/>
      <c r="EN8" s="102"/>
    </row>
    <row r="9">
      <c r="A9" s="110" t="s">
        <v>111</v>
      </c>
      <c r="B9" s="110" t="s">
        <v>98</v>
      </c>
      <c r="C9" s="112"/>
      <c r="D9" s="112"/>
      <c r="E9" s="110" t="s">
        <v>99</v>
      </c>
      <c r="F9" s="112"/>
      <c r="G9" s="113"/>
      <c r="H9" s="132" t="s">
        <v>96</v>
      </c>
      <c r="I9" s="115" t="s">
        <v>96</v>
      </c>
      <c r="J9" s="116"/>
      <c r="K9" s="116"/>
      <c r="L9" s="115" t="s">
        <v>99</v>
      </c>
      <c r="M9" s="116"/>
      <c r="N9" s="115" t="s">
        <v>96</v>
      </c>
      <c r="O9" s="115" t="s">
        <v>98</v>
      </c>
      <c r="P9" s="115" t="s">
        <v>99</v>
      </c>
      <c r="Q9" s="116"/>
      <c r="R9" s="115" t="s">
        <v>99</v>
      </c>
      <c r="S9" s="117"/>
      <c r="T9" s="118"/>
      <c r="U9" s="121" t="s">
        <v>99</v>
      </c>
      <c r="V9" s="120"/>
      <c r="W9" s="120"/>
      <c r="X9" s="121" t="s">
        <v>99</v>
      </c>
      <c r="Y9" s="120"/>
      <c r="Z9" s="121" t="s">
        <v>97</v>
      </c>
      <c r="AA9" s="120"/>
      <c r="AB9" s="121" t="s">
        <v>96</v>
      </c>
      <c r="AC9" s="120"/>
      <c r="AD9" s="121" t="s">
        <v>98</v>
      </c>
      <c r="AE9" s="122"/>
      <c r="AF9" s="123"/>
      <c r="AG9" s="125" t="s">
        <v>99</v>
      </c>
      <c r="AH9" s="124"/>
      <c r="AI9" s="124"/>
      <c r="AJ9" s="125" t="s">
        <v>99</v>
      </c>
      <c r="AK9" s="125" t="s">
        <v>96</v>
      </c>
      <c r="AL9" s="124"/>
      <c r="AM9" s="124"/>
      <c r="AN9" s="125" t="s">
        <v>99</v>
      </c>
      <c r="AO9" s="125" t="s">
        <v>99</v>
      </c>
      <c r="AP9" s="125" t="s">
        <v>97</v>
      </c>
      <c r="AQ9" s="133" t="s">
        <v>98</v>
      </c>
      <c r="AR9" s="127"/>
      <c r="AS9" s="128" t="s">
        <v>98</v>
      </c>
      <c r="AT9" s="129"/>
      <c r="AU9" s="129"/>
      <c r="AV9" s="129"/>
      <c r="AW9" s="129"/>
      <c r="AX9" s="129"/>
      <c r="AY9" s="129"/>
      <c r="AZ9" s="129"/>
      <c r="BA9" s="129"/>
      <c r="BB9" s="129"/>
      <c r="BC9" s="130"/>
      <c r="BD9" s="129"/>
      <c r="BE9" s="129"/>
      <c r="BF9" s="129"/>
      <c r="BG9" s="129"/>
      <c r="BH9" s="102"/>
      <c r="BI9" s="102"/>
      <c r="BJ9" s="102"/>
      <c r="BK9" s="102"/>
      <c r="BL9" s="102"/>
      <c r="BM9" s="102"/>
      <c r="BN9" s="102"/>
      <c r="BO9" s="102"/>
      <c r="BP9" s="102"/>
      <c r="BQ9" s="102"/>
      <c r="BR9" s="102"/>
      <c r="BS9" s="102"/>
      <c r="BT9" s="102"/>
      <c r="BU9" s="102"/>
      <c r="BV9" s="102"/>
      <c r="BW9" s="102"/>
      <c r="BX9" s="102"/>
      <c r="BY9" s="102"/>
      <c r="BZ9" s="102"/>
      <c r="CA9" s="102"/>
      <c r="CB9" s="102"/>
      <c r="CC9" s="102"/>
      <c r="CD9" s="102"/>
      <c r="CE9" s="102"/>
      <c r="CF9" s="102"/>
      <c r="CG9" s="102"/>
      <c r="CH9" s="102"/>
      <c r="CI9" s="102"/>
      <c r="CJ9" s="102"/>
      <c r="CK9" s="102"/>
      <c r="CL9" s="102"/>
      <c r="CM9" s="102"/>
      <c r="CN9" s="102"/>
      <c r="CO9" s="102"/>
      <c r="CP9" s="102"/>
      <c r="CQ9" s="102"/>
      <c r="CR9" s="102"/>
      <c r="CS9" s="102"/>
      <c r="CT9" s="102"/>
      <c r="CU9" s="102"/>
      <c r="CV9" s="102"/>
      <c r="CW9" s="102"/>
      <c r="CX9" s="102"/>
      <c r="CY9" s="102"/>
      <c r="CZ9" s="102"/>
      <c r="DA9" s="102"/>
      <c r="DB9" s="102"/>
      <c r="DC9" s="102"/>
      <c r="DD9" s="102"/>
      <c r="DE9" s="102"/>
      <c r="DF9" s="102"/>
      <c r="DG9" s="102"/>
      <c r="DH9" s="102"/>
      <c r="DI9" s="102"/>
      <c r="DJ9" s="102"/>
      <c r="DK9" s="102"/>
      <c r="DL9" s="102"/>
      <c r="DM9" s="102"/>
      <c r="DN9" s="102"/>
      <c r="DO9" s="102"/>
      <c r="DP9" s="102"/>
      <c r="DQ9" s="102"/>
      <c r="DR9" s="102"/>
      <c r="DS9" s="102"/>
      <c r="DT9" s="102"/>
      <c r="DU9" s="102"/>
      <c r="DV9" s="102"/>
      <c r="DW9" s="102"/>
      <c r="DX9" s="102"/>
      <c r="DY9" s="102"/>
      <c r="DZ9" s="102"/>
      <c r="EA9" s="102"/>
      <c r="EB9" s="102"/>
      <c r="EC9" s="102"/>
      <c r="ED9" s="102"/>
      <c r="EE9" s="102"/>
      <c r="EF9" s="102"/>
      <c r="EG9" s="102"/>
      <c r="EH9" s="102"/>
      <c r="EI9" s="102"/>
      <c r="EJ9" s="102"/>
      <c r="EK9" s="102"/>
      <c r="EL9" s="102"/>
      <c r="EM9" s="102"/>
      <c r="EN9" s="102"/>
    </row>
    <row r="10">
      <c r="A10" s="103" t="s">
        <v>112</v>
      </c>
      <c r="B10" s="103" t="s">
        <v>98</v>
      </c>
      <c r="C10" s="105"/>
      <c r="D10" s="105"/>
      <c r="E10" s="103" t="s">
        <v>99</v>
      </c>
      <c r="F10" s="105"/>
      <c r="G10" s="106"/>
      <c r="H10" s="108" t="s">
        <v>96</v>
      </c>
      <c r="I10" s="103" t="s">
        <v>98</v>
      </c>
      <c r="J10" s="105"/>
      <c r="K10" s="105"/>
      <c r="L10" s="103" t="s">
        <v>99</v>
      </c>
      <c r="M10" s="105"/>
      <c r="N10" s="103" t="s">
        <v>98</v>
      </c>
      <c r="O10" s="105"/>
      <c r="P10" s="103" t="s">
        <v>99</v>
      </c>
      <c r="Q10" s="103" t="s">
        <v>99</v>
      </c>
      <c r="R10" s="105"/>
      <c r="S10" s="106"/>
      <c r="T10" s="108" t="s">
        <v>99</v>
      </c>
      <c r="U10" s="105"/>
      <c r="V10" s="105"/>
      <c r="W10" s="103" t="s">
        <v>99</v>
      </c>
      <c r="X10" s="105"/>
      <c r="Y10" s="105"/>
      <c r="Z10" s="103" t="s">
        <v>96</v>
      </c>
      <c r="AA10" s="105"/>
      <c r="AB10" s="103" t="s">
        <v>96</v>
      </c>
      <c r="AC10" s="105"/>
      <c r="AD10" s="103" t="s">
        <v>96</v>
      </c>
      <c r="AE10" s="106"/>
      <c r="AF10" s="107"/>
      <c r="AG10" s="103" t="s">
        <v>99</v>
      </c>
      <c r="AH10" s="105"/>
      <c r="AI10" s="105"/>
      <c r="AJ10" s="103" t="s">
        <v>99</v>
      </c>
      <c r="AK10" s="103" t="s">
        <v>96</v>
      </c>
      <c r="AL10" s="105"/>
      <c r="AM10" s="105"/>
      <c r="AN10" s="103" t="s">
        <v>99</v>
      </c>
      <c r="AO10" s="103" t="s">
        <v>99</v>
      </c>
      <c r="AP10" s="103" t="s">
        <v>96</v>
      </c>
      <c r="AQ10" s="106"/>
      <c r="AR10" s="107"/>
      <c r="AS10" s="103" t="s">
        <v>99</v>
      </c>
      <c r="AT10" s="105"/>
      <c r="AU10" s="103" t="s">
        <v>98</v>
      </c>
      <c r="AV10" s="105"/>
      <c r="AW10" s="105"/>
      <c r="AX10" s="105"/>
      <c r="AY10" s="105"/>
      <c r="AZ10" s="105"/>
      <c r="BA10" s="105"/>
      <c r="BB10" s="105"/>
      <c r="BC10" s="106"/>
      <c r="BD10" s="105"/>
      <c r="BE10" s="105"/>
      <c r="BF10" s="105"/>
      <c r="BG10" s="105"/>
      <c r="BH10" s="102"/>
      <c r="BI10" s="102"/>
      <c r="BJ10" s="102"/>
      <c r="BK10" s="102"/>
      <c r="BL10" s="102"/>
      <c r="BM10" s="102"/>
      <c r="BN10" s="102"/>
      <c r="BO10" s="102"/>
      <c r="BP10" s="102"/>
      <c r="BQ10" s="102"/>
      <c r="BR10" s="102"/>
      <c r="BS10" s="102"/>
      <c r="BT10" s="102"/>
      <c r="BU10" s="102"/>
      <c r="BV10" s="102"/>
      <c r="BW10" s="102"/>
      <c r="BX10" s="102"/>
      <c r="BY10" s="102"/>
      <c r="BZ10" s="102"/>
      <c r="CA10" s="102"/>
      <c r="CB10" s="102"/>
      <c r="CC10" s="102"/>
      <c r="CD10" s="102"/>
      <c r="CE10" s="102"/>
      <c r="CF10" s="102"/>
      <c r="CG10" s="102"/>
      <c r="CH10" s="102"/>
      <c r="CI10" s="102"/>
      <c r="CJ10" s="102"/>
      <c r="CK10" s="102"/>
      <c r="CL10" s="102"/>
      <c r="CM10" s="102"/>
      <c r="CN10" s="102"/>
      <c r="CO10" s="102"/>
      <c r="CP10" s="102"/>
      <c r="CQ10" s="102"/>
      <c r="CR10" s="102"/>
      <c r="CS10" s="102"/>
      <c r="CT10" s="102"/>
      <c r="CU10" s="102"/>
      <c r="CV10" s="102"/>
      <c r="CW10" s="102"/>
      <c r="CX10" s="102"/>
      <c r="CY10" s="102"/>
      <c r="CZ10" s="102"/>
      <c r="DA10" s="102"/>
      <c r="DB10" s="102"/>
      <c r="DC10" s="102"/>
      <c r="DD10" s="102"/>
      <c r="DE10" s="102"/>
      <c r="DF10" s="102"/>
      <c r="DG10" s="102"/>
      <c r="DH10" s="102"/>
      <c r="DI10" s="102"/>
      <c r="DJ10" s="102"/>
      <c r="DK10" s="102"/>
      <c r="DL10" s="102"/>
      <c r="DM10" s="102"/>
      <c r="DN10" s="102"/>
      <c r="DO10" s="102"/>
      <c r="DP10" s="102"/>
      <c r="DQ10" s="102"/>
      <c r="DR10" s="102"/>
      <c r="DS10" s="102"/>
      <c r="DT10" s="102"/>
      <c r="DU10" s="102"/>
      <c r="DV10" s="102"/>
      <c r="DW10" s="102"/>
      <c r="DX10" s="102"/>
      <c r="DY10" s="102"/>
      <c r="DZ10" s="102"/>
      <c r="EA10" s="102"/>
      <c r="EB10" s="102"/>
      <c r="EC10" s="102"/>
      <c r="ED10" s="102"/>
      <c r="EE10" s="102"/>
      <c r="EF10" s="102"/>
      <c r="EG10" s="102"/>
      <c r="EH10" s="102"/>
      <c r="EI10" s="102"/>
      <c r="EJ10" s="102"/>
      <c r="EK10" s="102"/>
      <c r="EL10" s="102"/>
      <c r="EM10" s="102"/>
      <c r="EN10" s="102"/>
    </row>
    <row r="11">
      <c r="A11" s="110" t="s">
        <v>113</v>
      </c>
      <c r="B11" s="110" t="s">
        <v>96</v>
      </c>
      <c r="C11" s="112"/>
      <c r="D11" s="112"/>
      <c r="E11" s="112"/>
      <c r="F11" s="112"/>
      <c r="G11" s="113"/>
      <c r="H11" s="132" t="s">
        <v>98</v>
      </c>
      <c r="I11" s="116"/>
      <c r="J11" s="116"/>
      <c r="K11" s="116"/>
      <c r="L11" s="116"/>
      <c r="M11" s="116"/>
      <c r="N11" s="115" t="s">
        <v>98</v>
      </c>
      <c r="O11" s="116"/>
      <c r="P11" s="115" t="s">
        <v>99</v>
      </c>
      <c r="Q11" s="116"/>
      <c r="R11" s="116"/>
      <c r="S11" s="117"/>
      <c r="T11" s="119" t="s">
        <v>99</v>
      </c>
      <c r="U11" s="120"/>
      <c r="V11" s="120"/>
      <c r="W11" s="120"/>
      <c r="X11" s="121" t="s">
        <v>97</v>
      </c>
      <c r="Y11" s="121" t="s">
        <v>97</v>
      </c>
      <c r="Z11" s="121" t="s">
        <v>98</v>
      </c>
      <c r="AA11" s="120"/>
      <c r="AB11" s="120"/>
      <c r="AC11" s="120"/>
      <c r="AD11" s="120"/>
      <c r="AE11" s="122"/>
      <c r="AF11" s="134" t="s">
        <v>97</v>
      </c>
      <c r="AG11" s="125" t="s">
        <v>98</v>
      </c>
      <c r="AH11" s="124"/>
      <c r="AI11" s="124"/>
      <c r="AJ11" s="124"/>
      <c r="AK11" s="124"/>
      <c r="AL11" s="124"/>
      <c r="AM11" s="125" t="s">
        <v>99</v>
      </c>
      <c r="AN11" s="125" t="s">
        <v>98</v>
      </c>
      <c r="AO11" s="124"/>
      <c r="AP11" s="124"/>
      <c r="AQ11" s="126"/>
      <c r="AR11" s="127"/>
      <c r="AS11" s="128" t="s">
        <v>98</v>
      </c>
      <c r="AT11" s="129"/>
      <c r="AU11" s="129"/>
      <c r="AV11" s="129"/>
      <c r="AW11" s="129"/>
      <c r="AX11" s="129"/>
      <c r="AY11" s="129"/>
      <c r="AZ11" s="129"/>
      <c r="BA11" s="129"/>
      <c r="BB11" s="129"/>
      <c r="BC11" s="130"/>
      <c r="BD11" s="129"/>
      <c r="BE11" s="129"/>
      <c r="BF11" s="129"/>
      <c r="BG11" s="129"/>
      <c r="BH11" s="102"/>
      <c r="BI11" s="102"/>
      <c r="BJ11" s="102"/>
      <c r="BK11" s="102"/>
      <c r="BL11" s="102"/>
      <c r="BM11" s="102"/>
      <c r="BN11" s="102"/>
      <c r="BO11" s="102"/>
      <c r="BP11" s="102"/>
      <c r="BQ11" s="102"/>
      <c r="BR11" s="102"/>
      <c r="BS11" s="102"/>
      <c r="BT11" s="102"/>
      <c r="BU11" s="102"/>
      <c r="BV11" s="102"/>
      <c r="BW11" s="102"/>
      <c r="BX11" s="102"/>
      <c r="BY11" s="102"/>
      <c r="BZ11" s="102"/>
      <c r="CA11" s="102"/>
      <c r="CB11" s="102"/>
      <c r="CC11" s="102"/>
      <c r="CD11" s="102"/>
      <c r="CE11" s="102"/>
      <c r="CF11" s="102"/>
      <c r="CG11" s="102"/>
      <c r="CH11" s="102"/>
      <c r="CI11" s="102"/>
      <c r="CJ11" s="102"/>
      <c r="CK11" s="102"/>
      <c r="CL11" s="102"/>
      <c r="CM11" s="102"/>
      <c r="CN11" s="102"/>
      <c r="CO11" s="102"/>
      <c r="CP11" s="102"/>
      <c r="CQ11" s="102"/>
      <c r="CR11" s="102"/>
      <c r="CS11" s="102"/>
      <c r="CT11" s="102"/>
      <c r="CU11" s="102"/>
      <c r="CV11" s="102"/>
      <c r="CW11" s="102"/>
      <c r="CX11" s="102"/>
      <c r="CY11" s="102"/>
      <c r="CZ11" s="102"/>
      <c r="DA11" s="102"/>
      <c r="DB11" s="102"/>
      <c r="DC11" s="102"/>
      <c r="DD11" s="102"/>
      <c r="DE11" s="102"/>
      <c r="DF11" s="102"/>
      <c r="DG11" s="102"/>
      <c r="DH11" s="102"/>
      <c r="DI11" s="102"/>
      <c r="DJ11" s="102"/>
      <c r="DK11" s="102"/>
      <c r="DL11" s="102"/>
      <c r="DM11" s="102"/>
      <c r="DN11" s="102"/>
      <c r="DO11" s="102"/>
      <c r="DP11" s="102"/>
      <c r="DQ11" s="102"/>
      <c r="DR11" s="102"/>
      <c r="DS11" s="102"/>
      <c r="DT11" s="102"/>
      <c r="DU11" s="102"/>
      <c r="DV11" s="102"/>
      <c r="DW11" s="102"/>
      <c r="DX11" s="102"/>
      <c r="DY11" s="102"/>
      <c r="DZ11" s="102"/>
      <c r="EA11" s="102"/>
      <c r="EB11" s="102"/>
      <c r="EC11" s="102"/>
      <c r="ED11" s="102"/>
      <c r="EE11" s="102"/>
      <c r="EF11" s="102"/>
      <c r="EG11" s="102"/>
      <c r="EH11" s="102"/>
      <c r="EI11" s="102"/>
      <c r="EJ11" s="102"/>
      <c r="EK11" s="102"/>
      <c r="EL11" s="102"/>
      <c r="EM11" s="102"/>
      <c r="EN11" s="102"/>
    </row>
    <row r="12">
      <c r="A12" s="103" t="s">
        <v>114</v>
      </c>
      <c r="B12" s="103" t="s">
        <v>96</v>
      </c>
      <c r="C12" s="105"/>
      <c r="D12" s="105"/>
      <c r="E12" s="103" t="s">
        <v>99</v>
      </c>
      <c r="F12" s="105"/>
      <c r="G12" s="106"/>
      <c r="H12" s="108" t="s">
        <v>96</v>
      </c>
      <c r="I12" s="103" t="s">
        <v>97</v>
      </c>
      <c r="J12" s="105"/>
      <c r="K12" s="103" t="s">
        <v>97</v>
      </c>
      <c r="L12" s="105"/>
      <c r="M12" s="105"/>
      <c r="N12" s="103" t="s">
        <v>97</v>
      </c>
      <c r="O12" s="105"/>
      <c r="P12" s="103" t="s">
        <v>99</v>
      </c>
      <c r="Q12" s="103" t="s">
        <v>99</v>
      </c>
      <c r="R12" s="105"/>
      <c r="S12" s="106"/>
      <c r="T12" s="108" t="s">
        <v>99</v>
      </c>
      <c r="U12" s="105"/>
      <c r="V12" s="105"/>
      <c r="W12" s="103" t="s">
        <v>99</v>
      </c>
      <c r="X12" s="103" t="s">
        <v>97</v>
      </c>
      <c r="Y12" s="103" t="s">
        <v>97</v>
      </c>
      <c r="Z12" s="103" t="s">
        <v>97</v>
      </c>
      <c r="AA12" s="105"/>
      <c r="AB12" s="105"/>
      <c r="AC12" s="103" t="s">
        <v>99</v>
      </c>
      <c r="AD12" s="105"/>
      <c r="AE12" s="106"/>
      <c r="AF12" s="108" t="s">
        <v>97</v>
      </c>
      <c r="AG12" s="103" t="s">
        <v>96</v>
      </c>
      <c r="AH12" s="105"/>
      <c r="AI12" s="105"/>
      <c r="AJ12" s="103" t="s">
        <v>99</v>
      </c>
      <c r="AK12" s="103" t="s">
        <v>96</v>
      </c>
      <c r="AL12" s="105"/>
      <c r="AM12" s="105"/>
      <c r="AN12" s="103" t="s">
        <v>97</v>
      </c>
      <c r="AO12" s="103" t="s">
        <v>97</v>
      </c>
      <c r="AP12" s="105"/>
      <c r="AQ12" s="106"/>
      <c r="AR12" s="108" t="s">
        <v>99</v>
      </c>
      <c r="AS12" s="103" t="s">
        <v>99</v>
      </c>
      <c r="AT12" s="105"/>
      <c r="AU12" s="103" t="s">
        <v>106</v>
      </c>
      <c r="AV12" s="105"/>
      <c r="AW12" s="105"/>
      <c r="AX12" s="105"/>
      <c r="AY12" s="105"/>
      <c r="AZ12" s="105"/>
      <c r="BA12" s="105"/>
      <c r="BB12" s="105"/>
      <c r="BC12" s="106"/>
      <c r="BD12" s="105"/>
      <c r="BE12" s="105"/>
      <c r="BF12" s="105"/>
      <c r="BG12" s="105"/>
      <c r="BH12" s="102"/>
      <c r="BI12" s="102"/>
      <c r="BJ12" s="102"/>
      <c r="BK12" s="102"/>
      <c r="BL12" s="102"/>
      <c r="BM12" s="102"/>
      <c r="BN12" s="102"/>
      <c r="BO12" s="102"/>
      <c r="BP12" s="102"/>
      <c r="BQ12" s="102"/>
      <c r="BR12" s="102"/>
      <c r="BS12" s="102"/>
      <c r="BT12" s="102"/>
      <c r="BU12" s="102"/>
      <c r="BV12" s="102"/>
      <c r="BW12" s="102"/>
      <c r="BX12" s="102"/>
      <c r="BY12" s="102"/>
      <c r="BZ12" s="102"/>
      <c r="CA12" s="102"/>
      <c r="CB12" s="102"/>
      <c r="CC12" s="102"/>
      <c r="CD12" s="102"/>
      <c r="CE12" s="102"/>
      <c r="CF12" s="102"/>
      <c r="CG12" s="102"/>
      <c r="CH12" s="102"/>
      <c r="CI12" s="102"/>
      <c r="CJ12" s="102"/>
      <c r="CK12" s="102"/>
      <c r="CL12" s="102"/>
      <c r="CM12" s="102"/>
      <c r="CN12" s="102"/>
      <c r="CO12" s="102"/>
      <c r="CP12" s="102"/>
      <c r="CQ12" s="102"/>
      <c r="CR12" s="102"/>
      <c r="CS12" s="102"/>
      <c r="CT12" s="102"/>
      <c r="CU12" s="102"/>
      <c r="CV12" s="102"/>
      <c r="CW12" s="102"/>
      <c r="CX12" s="102"/>
      <c r="CY12" s="102"/>
      <c r="CZ12" s="102"/>
      <c r="DA12" s="102"/>
      <c r="DB12" s="102"/>
      <c r="DC12" s="102"/>
      <c r="DD12" s="102"/>
      <c r="DE12" s="102"/>
      <c r="DF12" s="102"/>
      <c r="DG12" s="102"/>
      <c r="DH12" s="102"/>
      <c r="DI12" s="102"/>
      <c r="DJ12" s="102"/>
      <c r="DK12" s="102"/>
      <c r="DL12" s="102"/>
      <c r="DM12" s="102"/>
      <c r="DN12" s="102"/>
      <c r="DO12" s="102"/>
      <c r="DP12" s="102"/>
      <c r="DQ12" s="102"/>
      <c r="DR12" s="102"/>
      <c r="DS12" s="102"/>
      <c r="DT12" s="102"/>
      <c r="DU12" s="102"/>
      <c r="DV12" s="102"/>
      <c r="DW12" s="102"/>
      <c r="DX12" s="102"/>
      <c r="DY12" s="102"/>
      <c r="DZ12" s="102"/>
      <c r="EA12" s="102"/>
      <c r="EB12" s="102"/>
      <c r="EC12" s="102"/>
      <c r="ED12" s="102"/>
      <c r="EE12" s="102"/>
      <c r="EF12" s="102"/>
      <c r="EG12" s="102"/>
      <c r="EH12" s="102"/>
      <c r="EI12" s="102"/>
      <c r="EJ12" s="102"/>
      <c r="EK12" s="102"/>
      <c r="EL12" s="102"/>
      <c r="EM12" s="102"/>
      <c r="EN12" s="102"/>
    </row>
    <row r="13">
      <c r="A13" s="110" t="s">
        <v>115</v>
      </c>
      <c r="B13" s="110" t="s">
        <v>98</v>
      </c>
      <c r="C13" s="112"/>
      <c r="D13" s="112"/>
      <c r="E13" s="110" t="s">
        <v>99</v>
      </c>
      <c r="F13" s="112"/>
      <c r="G13" s="113"/>
      <c r="H13" s="132" t="s">
        <v>97</v>
      </c>
      <c r="I13" s="115" t="s">
        <v>98</v>
      </c>
      <c r="J13" s="116"/>
      <c r="K13" s="116"/>
      <c r="L13" s="115" t="s">
        <v>99</v>
      </c>
      <c r="M13" s="116"/>
      <c r="N13" s="115" t="s">
        <v>97</v>
      </c>
      <c r="O13" s="116"/>
      <c r="P13" s="115" t="s">
        <v>99</v>
      </c>
      <c r="Q13" s="115" t="s">
        <v>98</v>
      </c>
      <c r="R13" s="116"/>
      <c r="S13" s="117"/>
      <c r="T13" s="119" t="s">
        <v>99</v>
      </c>
      <c r="U13" s="120"/>
      <c r="V13" s="120"/>
      <c r="W13" s="121" t="s">
        <v>99</v>
      </c>
      <c r="X13" s="121" t="s">
        <v>96</v>
      </c>
      <c r="Y13" s="121" t="s">
        <v>96</v>
      </c>
      <c r="Z13" s="121" t="s">
        <v>97</v>
      </c>
      <c r="AA13" s="120"/>
      <c r="AB13" s="120"/>
      <c r="AC13" s="121" t="s">
        <v>99</v>
      </c>
      <c r="AD13" s="120"/>
      <c r="AE13" s="122"/>
      <c r="AF13" s="134" t="s">
        <v>96</v>
      </c>
      <c r="AG13" s="124"/>
      <c r="AH13" s="124"/>
      <c r="AI13" s="125" t="s">
        <v>99</v>
      </c>
      <c r="AJ13" s="125" t="s">
        <v>99</v>
      </c>
      <c r="AK13" s="125" t="s">
        <v>96</v>
      </c>
      <c r="AL13" s="124"/>
      <c r="AM13" s="124"/>
      <c r="AN13" s="125" t="s">
        <v>97</v>
      </c>
      <c r="AO13" s="125" t="s">
        <v>97</v>
      </c>
      <c r="AP13" s="124"/>
      <c r="AQ13" s="126"/>
      <c r="AR13" s="135" t="s">
        <v>99</v>
      </c>
      <c r="AS13" s="128" t="s">
        <v>99</v>
      </c>
      <c r="AT13" s="129"/>
      <c r="AU13" s="128" t="s">
        <v>106</v>
      </c>
      <c r="AV13" s="129"/>
      <c r="AW13" s="129"/>
      <c r="AX13" s="129"/>
      <c r="AY13" s="129"/>
      <c r="AZ13" s="129"/>
      <c r="BA13" s="129"/>
      <c r="BB13" s="129"/>
      <c r="BC13" s="130"/>
      <c r="BD13" s="129"/>
      <c r="BE13" s="129"/>
      <c r="BF13" s="129"/>
      <c r="BG13" s="129"/>
      <c r="BH13" s="102"/>
      <c r="BI13" s="102"/>
      <c r="BJ13" s="102"/>
      <c r="BK13" s="102"/>
      <c r="BL13" s="102"/>
      <c r="BM13" s="102"/>
      <c r="BN13" s="102"/>
      <c r="BO13" s="102"/>
      <c r="BP13" s="102"/>
      <c r="BQ13" s="102"/>
      <c r="BR13" s="102"/>
      <c r="BS13" s="102"/>
      <c r="BT13" s="102"/>
      <c r="BU13" s="102"/>
      <c r="BV13" s="102"/>
      <c r="BW13" s="102"/>
      <c r="BX13" s="102"/>
      <c r="BY13" s="102"/>
      <c r="BZ13" s="102"/>
      <c r="CA13" s="102"/>
      <c r="CB13" s="102"/>
      <c r="CC13" s="102"/>
      <c r="CD13" s="102"/>
      <c r="CE13" s="102"/>
      <c r="CF13" s="102"/>
      <c r="CG13" s="102"/>
      <c r="CH13" s="102"/>
      <c r="CI13" s="102"/>
      <c r="CJ13" s="102"/>
      <c r="CK13" s="102"/>
      <c r="CL13" s="102"/>
      <c r="CM13" s="102"/>
      <c r="CN13" s="102"/>
      <c r="CO13" s="102"/>
      <c r="CP13" s="102"/>
      <c r="CQ13" s="102"/>
      <c r="CR13" s="102"/>
      <c r="CS13" s="102"/>
      <c r="CT13" s="102"/>
      <c r="CU13" s="102"/>
      <c r="CV13" s="102"/>
      <c r="CW13" s="102"/>
      <c r="CX13" s="102"/>
      <c r="CY13" s="102"/>
      <c r="CZ13" s="102"/>
      <c r="DA13" s="102"/>
      <c r="DB13" s="102"/>
      <c r="DC13" s="102"/>
      <c r="DD13" s="102"/>
      <c r="DE13" s="102"/>
      <c r="DF13" s="102"/>
      <c r="DG13" s="102"/>
      <c r="DH13" s="102"/>
      <c r="DI13" s="102"/>
      <c r="DJ13" s="102"/>
      <c r="DK13" s="102"/>
      <c r="DL13" s="102"/>
      <c r="DM13" s="102"/>
      <c r="DN13" s="102"/>
      <c r="DO13" s="102"/>
      <c r="DP13" s="102"/>
      <c r="DQ13" s="102"/>
      <c r="DR13" s="102"/>
      <c r="DS13" s="102"/>
      <c r="DT13" s="102"/>
      <c r="DU13" s="102"/>
      <c r="DV13" s="102"/>
      <c r="DW13" s="102"/>
      <c r="DX13" s="102"/>
      <c r="DY13" s="102"/>
      <c r="DZ13" s="102"/>
      <c r="EA13" s="102"/>
      <c r="EB13" s="102"/>
      <c r="EC13" s="102"/>
      <c r="ED13" s="102"/>
      <c r="EE13" s="102"/>
      <c r="EF13" s="102"/>
      <c r="EG13" s="102"/>
      <c r="EH13" s="102"/>
      <c r="EI13" s="102"/>
      <c r="EJ13" s="102"/>
      <c r="EK13" s="102"/>
      <c r="EL13" s="102"/>
      <c r="EM13" s="102"/>
      <c r="EN13" s="102"/>
    </row>
    <row r="14">
      <c r="A14" s="103" t="s">
        <v>116</v>
      </c>
      <c r="B14" s="105"/>
      <c r="C14" s="103" t="s">
        <v>98</v>
      </c>
      <c r="D14" s="105"/>
      <c r="E14" s="105"/>
      <c r="F14" s="105"/>
      <c r="G14" s="106"/>
      <c r="H14" s="107"/>
      <c r="I14" s="103" t="s">
        <v>98</v>
      </c>
      <c r="J14" s="105"/>
      <c r="K14" s="105"/>
      <c r="L14" s="105"/>
      <c r="M14" s="105"/>
      <c r="N14" s="105"/>
      <c r="O14" s="103" t="s">
        <v>96</v>
      </c>
      <c r="P14" s="103" t="s">
        <v>99</v>
      </c>
      <c r="Q14" s="105"/>
      <c r="R14" s="105"/>
      <c r="S14" s="106"/>
      <c r="T14" s="107"/>
      <c r="U14" s="103" t="s">
        <v>99</v>
      </c>
      <c r="V14" s="105"/>
      <c r="W14" s="105"/>
      <c r="X14" s="105"/>
      <c r="Y14" s="103" t="s">
        <v>98</v>
      </c>
      <c r="Z14" s="105"/>
      <c r="AA14" s="105"/>
      <c r="AB14" s="105"/>
      <c r="AC14" s="105"/>
      <c r="AD14" s="105"/>
      <c r="AE14" s="106"/>
      <c r="AF14" s="108" t="s">
        <v>98</v>
      </c>
      <c r="AG14" s="105"/>
      <c r="AH14" s="105"/>
      <c r="AI14" s="105"/>
      <c r="AJ14" s="105"/>
      <c r="AK14" s="103" t="s">
        <v>98</v>
      </c>
      <c r="AL14" s="105"/>
      <c r="AM14" s="105"/>
      <c r="AN14" s="105"/>
      <c r="AO14" s="105"/>
      <c r="AP14" s="105"/>
      <c r="AQ14" s="136" t="s">
        <v>98</v>
      </c>
      <c r="AR14" s="107"/>
      <c r="AS14" s="103" t="s">
        <v>98</v>
      </c>
      <c r="AT14" s="105"/>
      <c r="AU14" s="105"/>
      <c r="AV14" s="105"/>
      <c r="AW14" s="105"/>
      <c r="AX14" s="105"/>
      <c r="AY14" s="105"/>
      <c r="AZ14" s="105"/>
      <c r="BA14" s="105"/>
      <c r="BB14" s="105"/>
      <c r="BC14" s="106"/>
      <c r="BD14" s="105"/>
      <c r="BE14" s="105"/>
      <c r="BF14" s="105"/>
      <c r="BG14" s="105"/>
      <c r="BH14" s="102"/>
      <c r="BI14" s="102"/>
      <c r="BJ14" s="102"/>
      <c r="BK14" s="102"/>
      <c r="BL14" s="102"/>
      <c r="BM14" s="102"/>
      <c r="BN14" s="102"/>
      <c r="BO14" s="102"/>
      <c r="BP14" s="102"/>
      <c r="BQ14" s="102"/>
      <c r="BR14" s="102"/>
      <c r="BS14" s="102"/>
      <c r="BT14" s="102"/>
      <c r="BU14" s="102"/>
      <c r="BV14" s="102"/>
      <c r="BW14" s="102"/>
      <c r="BX14" s="102"/>
      <c r="BY14" s="102"/>
      <c r="BZ14" s="102"/>
      <c r="CA14" s="102"/>
      <c r="CB14" s="102"/>
      <c r="CC14" s="102"/>
      <c r="CD14" s="102"/>
      <c r="CE14" s="102"/>
      <c r="CF14" s="102"/>
      <c r="CG14" s="102"/>
      <c r="CH14" s="102"/>
      <c r="CI14" s="102"/>
      <c r="CJ14" s="102"/>
      <c r="CK14" s="102"/>
      <c r="CL14" s="102"/>
      <c r="CM14" s="102"/>
      <c r="CN14" s="102"/>
      <c r="CO14" s="102"/>
      <c r="CP14" s="102"/>
      <c r="CQ14" s="102"/>
      <c r="CR14" s="102"/>
      <c r="CS14" s="102"/>
      <c r="CT14" s="102"/>
      <c r="CU14" s="102"/>
      <c r="CV14" s="102"/>
      <c r="CW14" s="102"/>
      <c r="CX14" s="102"/>
      <c r="CY14" s="102"/>
      <c r="CZ14" s="102"/>
      <c r="DA14" s="102"/>
      <c r="DB14" s="102"/>
      <c r="DC14" s="102"/>
      <c r="DD14" s="102"/>
      <c r="DE14" s="102"/>
      <c r="DF14" s="102"/>
      <c r="DG14" s="102"/>
      <c r="DH14" s="102"/>
      <c r="DI14" s="102"/>
      <c r="DJ14" s="102"/>
      <c r="DK14" s="102"/>
      <c r="DL14" s="102"/>
      <c r="DM14" s="102"/>
      <c r="DN14" s="102"/>
      <c r="DO14" s="102"/>
      <c r="DP14" s="102"/>
      <c r="DQ14" s="102"/>
      <c r="DR14" s="102"/>
      <c r="DS14" s="102"/>
      <c r="DT14" s="102"/>
      <c r="DU14" s="102"/>
      <c r="DV14" s="102"/>
      <c r="DW14" s="102"/>
      <c r="DX14" s="102"/>
      <c r="DY14" s="102"/>
      <c r="DZ14" s="102"/>
      <c r="EA14" s="102"/>
      <c r="EB14" s="102"/>
      <c r="EC14" s="102"/>
      <c r="ED14" s="102"/>
      <c r="EE14" s="102"/>
      <c r="EF14" s="102"/>
      <c r="EG14" s="102"/>
      <c r="EH14" s="102"/>
      <c r="EI14" s="102"/>
      <c r="EJ14" s="102"/>
      <c r="EK14" s="102"/>
      <c r="EL14" s="102"/>
      <c r="EM14" s="102"/>
      <c r="EN14" s="102"/>
    </row>
    <row r="15">
      <c r="A15" s="110" t="s">
        <v>117</v>
      </c>
      <c r="B15" s="112"/>
      <c r="C15" s="110" t="s">
        <v>98</v>
      </c>
      <c r="D15" s="112"/>
      <c r="E15" s="112"/>
      <c r="F15" s="112"/>
      <c r="G15" s="113"/>
      <c r="H15" s="114"/>
      <c r="I15" s="115" t="s">
        <v>98</v>
      </c>
      <c r="J15" s="116"/>
      <c r="K15" s="116"/>
      <c r="L15" s="116"/>
      <c r="M15" s="116"/>
      <c r="N15" s="116"/>
      <c r="O15" s="115" t="s">
        <v>98</v>
      </c>
      <c r="P15" s="115" t="s">
        <v>99</v>
      </c>
      <c r="Q15" s="116"/>
      <c r="R15" s="116"/>
      <c r="S15" s="117"/>
      <c r="T15" s="118"/>
      <c r="U15" s="121" t="s">
        <v>99</v>
      </c>
      <c r="V15" s="120"/>
      <c r="W15" s="120"/>
      <c r="X15" s="120"/>
      <c r="Y15" s="121" t="s">
        <v>97</v>
      </c>
      <c r="Z15" s="121" t="s">
        <v>96</v>
      </c>
      <c r="AA15" s="120"/>
      <c r="AB15" s="120"/>
      <c r="AC15" s="120"/>
      <c r="AD15" s="120"/>
      <c r="AE15" s="122"/>
      <c r="AF15" s="134" t="s">
        <v>96</v>
      </c>
      <c r="AG15" s="125" t="s">
        <v>96</v>
      </c>
      <c r="AH15" s="124"/>
      <c r="AI15" s="124"/>
      <c r="AJ15" s="124"/>
      <c r="AK15" s="124"/>
      <c r="AL15" s="124"/>
      <c r="AM15" s="125" t="s">
        <v>99</v>
      </c>
      <c r="AN15" s="125" t="s">
        <v>97</v>
      </c>
      <c r="AO15" s="125" t="s">
        <v>97</v>
      </c>
      <c r="AP15" s="124"/>
      <c r="AQ15" s="126"/>
      <c r="AR15" s="127"/>
      <c r="AS15" s="129"/>
      <c r="AT15" s="128" t="s">
        <v>96</v>
      </c>
      <c r="AU15" s="129"/>
      <c r="AV15" s="129"/>
      <c r="AW15" s="129"/>
      <c r="AX15" s="129"/>
      <c r="AY15" s="129"/>
      <c r="AZ15" s="129"/>
      <c r="BA15" s="129"/>
      <c r="BB15" s="129"/>
      <c r="BC15" s="130"/>
      <c r="BD15" s="129"/>
      <c r="BE15" s="129"/>
      <c r="BF15" s="129"/>
      <c r="BG15" s="129"/>
      <c r="BH15" s="102"/>
      <c r="BI15" s="102"/>
      <c r="BJ15" s="102"/>
      <c r="BK15" s="102"/>
      <c r="BL15" s="102"/>
      <c r="BM15" s="102"/>
      <c r="BN15" s="102"/>
      <c r="BO15" s="102"/>
      <c r="BP15" s="102"/>
      <c r="BQ15" s="102"/>
      <c r="BR15" s="102"/>
      <c r="BS15" s="102"/>
      <c r="BT15" s="102"/>
      <c r="BU15" s="102"/>
      <c r="BV15" s="102"/>
      <c r="BW15" s="102"/>
      <c r="BX15" s="102"/>
      <c r="BY15" s="102"/>
      <c r="BZ15" s="102"/>
      <c r="CA15" s="102"/>
      <c r="CB15" s="102"/>
      <c r="CC15" s="102"/>
      <c r="CD15" s="102"/>
      <c r="CE15" s="102"/>
      <c r="CF15" s="102"/>
      <c r="CG15" s="102"/>
      <c r="CH15" s="102"/>
      <c r="CI15" s="102"/>
      <c r="CJ15" s="102"/>
      <c r="CK15" s="102"/>
      <c r="CL15" s="102"/>
      <c r="CM15" s="102"/>
      <c r="CN15" s="102"/>
      <c r="CO15" s="102"/>
      <c r="CP15" s="102"/>
      <c r="CQ15" s="102"/>
      <c r="CR15" s="102"/>
      <c r="CS15" s="102"/>
      <c r="CT15" s="102"/>
      <c r="CU15" s="102"/>
      <c r="CV15" s="102"/>
      <c r="CW15" s="102"/>
      <c r="CX15" s="102"/>
      <c r="CY15" s="102"/>
      <c r="CZ15" s="102"/>
      <c r="DA15" s="102"/>
      <c r="DB15" s="102"/>
      <c r="DC15" s="102"/>
      <c r="DD15" s="102"/>
      <c r="DE15" s="102"/>
      <c r="DF15" s="102"/>
      <c r="DG15" s="102"/>
      <c r="DH15" s="102"/>
      <c r="DI15" s="102"/>
      <c r="DJ15" s="102"/>
      <c r="DK15" s="102"/>
      <c r="DL15" s="102"/>
      <c r="DM15" s="102"/>
      <c r="DN15" s="102"/>
      <c r="DO15" s="102"/>
      <c r="DP15" s="102"/>
      <c r="DQ15" s="102"/>
      <c r="DR15" s="102"/>
      <c r="DS15" s="102"/>
      <c r="DT15" s="102"/>
      <c r="DU15" s="102"/>
      <c r="DV15" s="102"/>
      <c r="DW15" s="102"/>
      <c r="DX15" s="102"/>
      <c r="DY15" s="102"/>
      <c r="DZ15" s="102"/>
      <c r="EA15" s="102"/>
      <c r="EB15" s="102"/>
      <c r="EC15" s="102"/>
      <c r="ED15" s="102"/>
      <c r="EE15" s="102"/>
      <c r="EF15" s="102"/>
      <c r="EG15" s="102"/>
      <c r="EH15" s="102"/>
      <c r="EI15" s="102"/>
      <c r="EJ15" s="102"/>
      <c r="EK15" s="102"/>
      <c r="EL15" s="102"/>
      <c r="EM15" s="102"/>
      <c r="EN15" s="102"/>
    </row>
    <row r="16">
      <c r="A16" s="103" t="s">
        <v>118</v>
      </c>
      <c r="B16" s="105"/>
      <c r="C16" s="103" t="s">
        <v>98</v>
      </c>
      <c r="D16" s="105"/>
      <c r="E16" s="105"/>
      <c r="F16" s="105"/>
      <c r="G16" s="106"/>
      <c r="H16" s="107"/>
      <c r="I16" s="103" t="s">
        <v>98</v>
      </c>
      <c r="J16" s="105"/>
      <c r="K16" s="105"/>
      <c r="L16" s="105"/>
      <c r="M16" s="105"/>
      <c r="N16" s="105"/>
      <c r="O16" s="103" t="s">
        <v>98</v>
      </c>
      <c r="P16" s="103" t="s">
        <v>99</v>
      </c>
      <c r="Q16" s="105"/>
      <c r="R16" s="105"/>
      <c r="S16" s="106"/>
      <c r="T16" s="107"/>
      <c r="U16" s="103" t="s">
        <v>99</v>
      </c>
      <c r="V16" s="105"/>
      <c r="W16" s="105"/>
      <c r="X16" s="105"/>
      <c r="Y16" s="103" t="s">
        <v>98</v>
      </c>
      <c r="Z16" s="105"/>
      <c r="AA16" s="105"/>
      <c r="AB16" s="105"/>
      <c r="AC16" s="105"/>
      <c r="AD16" s="105"/>
      <c r="AE16" s="106"/>
      <c r="AF16" s="108" t="s">
        <v>96</v>
      </c>
      <c r="AG16" s="105"/>
      <c r="AH16" s="105"/>
      <c r="AI16" s="105"/>
      <c r="AJ16" s="105"/>
      <c r="AK16" s="103" t="s">
        <v>98</v>
      </c>
      <c r="AL16" s="105"/>
      <c r="AM16" s="105"/>
      <c r="AN16" s="105"/>
      <c r="AO16" s="105"/>
      <c r="AP16" s="105"/>
      <c r="AQ16" s="136" t="s">
        <v>98</v>
      </c>
      <c r="AR16" s="107"/>
      <c r="AS16" s="103" t="s">
        <v>98</v>
      </c>
      <c r="AT16" s="105"/>
      <c r="AU16" s="105"/>
      <c r="AV16" s="105"/>
      <c r="AW16" s="105"/>
      <c r="AX16" s="105"/>
      <c r="AY16" s="105"/>
      <c r="AZ16" s="105"/>
      <c r="BA16" s="105"/>
      <c r="BB16" s="105"/>
      <c r="BC16" s="106"/>
      <c r="BD16" s="105"/>
      <c r="BE16" s="105"/>
      <c r="BF16" s="105"/>
      <c r="BG16" s="105"/>
      <c r="BH16" s="102"/>
      <c r="BI16" s="102"/>
      <c r="BJ16" s="102"/>
      <c r="BK16" s="102"/>
      <c r="BL16" s="102"/>
      <c r="BM16" s="102"/>
      <c r="BN16" s="102"/>
      <c r="BO16" s="102"/>
      <c r="BP16" s="102"/>
      <c r="BQ16" s="102"/>
      <c r="BR16" s="102"/>
      <c r="BS16" s="102"/>
      <c r="BT16" s="102"/>
      <c r="BU16" s="102"/>
      <c r="BV16" s="102"/>
      <c r="BW16" s="102"/>
      <c r="BX16" s="102"/>
      <c r="BY16" s="102"/>
      <c r="BZ16" s="102"/>
      <c r="CA16" s="102"/>
      <c r="CB16" s="102"/>
      <c r="CC16" s="102"/>
      <c r="CD16" s="102"/>
      <c r="CE16" s="102"/>
      <c r="CF16" s="102"/>
      <c r="CG16" s="102"/>
      <c r="CH16" s="102"/>
      <c r="CI16" s="102"/>
      <c r="CJ16" s="102"/>
      <c r="CK16" s="102"/>
      <c r="CL16" s="102"/>
      <c r="CM16" s="102"/>
      <c r="CN16" s="102"/>
      <c r="CO16" s="102"/>
      <c r="CP16" s="102"/>
      <c r="CQ16" s="102"/>
      <c r="CR16" s="102"/>
      <c r="CS16" s="102"/>
      <c r="CT16" s="102"/>
      <c r="CU16" s="102"/>
      <c r="CV16" s="102"/>
      <c r="CW16" s="102"/>
      <c r="CX16" s="102"/>
      <c r="CY16" s="102"/>
      <c r="CZ16" s="102"/>
      <c r="DA16" s="102"/>
      <c r="DB16" s="102"/>
      <c r="DC16" s="102"/>
      <c r="DD16" s="102"/>
      <c r="DE16" s="102"/>
      <c r="DF16" s="102"/>
      <c r="DG16" s="102"/>
      <c r="DH16" s="102"/>
      <c r="DI16" s="102"/>
      <c r="DJ16" s="102"/>
      <c r="DK16" s="102"/>
      <c r="DL16" s="102"/>
      <c r="DM16" s="102"/>
      <c r="DN16" s="102"/>
      <c r="DO16" s="102"/>
      <c r="DP16" s="102"/>
      <c r="DQ16" s="102"/>
      <c r="DR16" s="102"/>
      <c r="DS16" s="102"/>
      <c r="DT16" s="102"/>
      <c r="DU16" s="102"/>
      <c r="DV16" s="102"/>
      <c r="DW16" s="102"/>
      <c r="DX16" s="102"/>
      <c r="DY16" s="102"/>
      <c r="DZ16" s="102"/>
      <c r="EA16" s="102"/>
      <c r="EB16" s="102"/>
      <c r="EC16" s="102"/>
      <c r="ED16" s="102"/>
      <c r="EE16" s="102"/>
      <c r="EF16" s="102"/>
      <c r="EG16" s="102"/>
      <c r="EH16" s="102"/>
      <c r="EI16" s="102"/>
      <c r="EJ16" s="102"/>
      <c r="EK16" s="102"/>
      <c r="EL16" s="102"/>
      <c r="EM16" s="102"/>
      <c r="EN16" s="102"/>
    </row>
    <row r="17">
      <c r="A17" s="110" t="s">
        <v>119</v>
      </c>
      <c r="B17" s="112"/>
      <c r="C17" s="110" t="s">
        <v>98</v>
      </c>
      <c r="D17" s="112"/>
      <c r="E17" s="112"/>
      <c r="F17" s="112"/>
      <c r="G17" s="113"/>
      <c r="H17" s="114"/>
      <c r="I17" s="115" t="s">
        <v>98</v>
      </c>
      <c r="J17" s="116"/>
      <c r="K17" s="116"/>
      <c r="L17" s="116"/>
      <c r="M17" s="116"/>
      <c r="N17" s="116"/>
      <c r="O17" s="115" t="s">
        <v>96</v>
      </c>
      <c r="P17" s="115" t="s">
        <v>99</v>
      </c>
      <c r="Q17" s="116"/>
      <c r="R17" s="116"/>
      <c r="S17" s="117"/>
      <c r="T17" s="118"/>
      <c r="U17" s="121" t="s">
        <v>99</v>
      </c>
      <c r="V17" s="120"/>
      <c r="W17" s="120"/>
      <c r="X17" s="120"/>
      <c r="Y17" s="120"/>
      <c r="Z17" s="121" t="s">
        <v>99</v>
      </c>
      <c r="AA17" s="121" t="s">
        <v>99</v>
      </c>
      <c r="AB17" s="121" t="s">
        <v>96</v>
      </c>
      <c r="AC17" s="120"/>
      <c r="AD17" s="120"/>
      <c r="AE17" s="122"/>
      <c r="AF17" s="123"/>
      <c r="AG17" s="125" t="s">
        <v>97</v>
      </c>
      <c r="AH17" s="124"/>
      <c r="AI17" s="124"/>
      <c r="AJ17" s="124"/>
      <c r="AK17" s="124"/>
      <c r="AL17" s="124"/>
      <c r="AM17" s="125" t="s">
        <v>99</v>
      </c>
      <c r="AN17" s="125" t="s">
        <v>97</v>
      </c>
      <c r="AO17" s="125" t="s">
        <v>97</v>
      </c>
      <c r="AP17" s="124"/>
      <c r="AQ17" s="126"/>
      <c r="AR17" s="127"/>
      <c r="AS17" s="129"/>
      <c r="AT17" s="128" t="s">
        <v>97</v>
      </c>
      <c r="AU17" s="128" t="s">
        <v>106</v>
      </c>
      <c r="AV17" s="129"/>
      <c r="AW17" s="129"/>
      <c r="AX17" s="129"/>
      <c r="AY17" s="129"/>
      <c r="AZ17" s="129"/>
      <c r="BA17" s="129"/>
      <c r="BB17" s="129"/>
      <c r="BC17" s="130"/>
      <c r="BD17" s="129"/>
      <c r="BE17" s="129"/>
      <c r="BF17" s="129"/>
      <c r="BG17" s="129"/>
      <c r="BH17" s="102"/>
      <c r="BI17" s="102"/>
      <c r="BJ17" s="102"/>
      <c r="BK17" s="102"/>
      <c r="BL17" s="102"/>
      <c r="BM17" s="102"/>
      <c r="BN17" s="102"/>
      <c r="BO17" s="102"/>
      <c r="BP17" s="102"/>
      <c r="BQ17" s="102"/>
      <c r="BR17" s="102"/>
      <c r="BS17" s="102"/>
      <c r="BT17" s="102"/>
      <c r="BU17" s="102"/>
      <c r="BV17" s="102"/>
      <c r="BW17" s="102"/>
      <c r="BX17" s="102"/>
      <c r="BY17" s="102"/>
      <c r="BZ17" s="102"/>
      <c r="CA17" s="102"/>
      <c r="CB17" s="102"/>
      <c r="CC17" s="102"/>
      <c r="CD17" s="102"/>
      <c r="CE17" s="102"/>
      <c r="CF17" s="102"/>
      <c r="CG17" s="102"/>
      <c r="CH17" s="102"/>
      <c r="CI17" s="102"/>
      <c r="CJ17" s="102"/>
      <c r="CK17" s="102"/>
      <c r="CL17" s="102"/>
      <c r="CM17" s="102"/>
      <c r="CN17" s="102"/>
      <c r="CO17" s="102"/>
      <c r="CP17" s="102"/>
      <c r="CQ17" s="102"/>
      <c r="CR17" s="102"/>
      <c r="CS17" s="102"/>
      <c r="CT17" s="102"/>
      <c r="CU17" s="102"/>
      <c r="CV17" s="102"/>
      <c r="CW17" s="102"/>
      <c r="CX17" s="102"/>
      <c r="CY17" s="102"/>
      <c r="CZ17" s="102"/>
      <c r="DA17" s="102"/>
      <c r="DB17" s="102"/>
      <c r="DC17" s="102"/>
      <c r="DD17" s="102"/>
      <c r="DE17" s="102"/>
      <c r="DF17" s="102"/>
      <c r="DG17" s="102"/>
      <c r="DH17" s="102"/>
      <c r="DI17" s="102"/>
      <c r="DJ17" s="102"/>
      <c r="DK17" s="102"/>
      <c r="DL17" s="102"/>
      <c r="DM17" s="102"/>
      <c r="DN17" s="102"/>
      <c r="DO17" s="102"/>
      <c r="DP17" s="102"/>
      <c r="DQ17" s="102"/>
      <c r="DR17" s="102"/>
      <c r="DS17" s="102"/>
      <c r="DT17" s="102"/>
      <c r="DU17" s="102"/>
      <c r="DV17" s="102"/>
      <c r="DW17" s="102"/>
      <c r="DX17" s="102"/>
      <c r="DY17" s="102"/>
      <c r="DZ17" s="102"/>
      <c r="EA17" s="102"/>
      <c r="EB17" s="102"/>
      <c r="EC17" s="102"/>
      <c r="ED17" s="102"/>
      <c r="EE17" s="102"/>
      <c r="EF17" s="102"/>
      <c r="EG17" s="102"/>
      <c r="EH17" s="102"/>
      <c r="EI17" s="102"/>
      <c r="EJ17" s="102"/>
      <c r="EK17" s="102"/>
      <c r="EL17" s="102"/>
      <c r="EM17" s="102"/>
      <c r="EN17" s="102"/>
    </row>
    <row r="18">
      <c r="A18" s="103" t="s">
        <v>120</v>
      </c>
      <c r="B18" s="105"/>
      <c r="C18" s="103" t="s">
        <v>98</v>
      </c>
      <c r="D18" s="105"/>
      <c r="E18" s="105"/>
      <c r="F18" s="105"/>
      <c r="G18" s="106"/>
      <c r="H18" s="107"/>
      <c r="I18" s="103" t="s">
        <v>98</v>
      </c>
      <c r="J18" s="105"/>
      <c r="K18" s="105"/>
      <c r="L18" s="105"/>
      <c r="M18" s="105"/>
      <c r="N18" s="105"/>
      <c r="O18" s="103" t="s">
        <v>96</v>
      </c>
      <c r="P18" s="103" t="s">
        <v>99</v>
      </c>
      <c r="Q18" s="105"/>
      <c r="R18" s="105"/>
      <c r="S18" s="106"/>
      <c r="T18" s="107"/>
      <c r="U18" s="103" t="s">
        <v>99</v>
      </c>
      <c r="V18" s="105"/>
      <c r="W18" s="105"/>
      <c r="X18" s="105"/>
      <c r="Y18" s="105"/>
      <c r="Z18" s="103" t="s">
        <v>99</v>
      </c>
      <c r="AA18" s="103" t="s">
        <v>99</v>
      </c>
      <c r="AB18" s="103" t="s">
        <v>96</v>
      </c>
      <c r="AC18" s="105"/>
      <c r="AD18" s="105"/>
      <c r="AE18" s="106"/>
      <c r="AF18" s="107"/>
      <c r="AG18" s="103" t="s">
        <v>96</v>
      </c>
      <c r="AH18" s="105"/>
      <c r="AI18" s="105"/>
      <c r="AJ18" s="105"/>
      <c r="AK18" s="105"/>
      <c r="AL18" s="105"/>
      <c r="AM18" s="103" t="s">
        <v>99</v>
      </c>
      <c r="AN18" s="103" t="s">
        <v>97</v>
      </c>
      <c r="AO18" s="103" t="s">
        <v>97</v>
      </c>
      <c r="AP18" s="105"/>
      <c r="AQ18" s="106"/>
      <c r="AR18" s="107"/>
      <c r="AS18" s="105"/>
      <c r="AT18" s="103" t="s">
        <v>96</v>
      </c>
      <c r="AU18" s="103" t="s">
        <v>106</v>
      </c>
      <c r="AV18" s="105"/>
      <c r="AW18" s="105"/>
      <c r="AX18" s="105"/>
      <c r="AY18" s="105"/>
      <c r="AZ18" s="105"/>
      <c r="BA18" s="105"/>
      <c r="BB18" s="105"/>
      <c r="BC18" s="106"/>
      <c r="BD18" s="105"/>
      <c r="BE18" s="105"/>
      <c r="BF18" s="105"/>
      <c r="BG18" s="105"/>
      <c r="BH18" s="102"/>
      <c r="BI18" s="102"/>
      <c r="BJ18" s="102"/>
      <c r="BK18" s="102"/>
      <c r="BL18" s="102"/>
      <c r="BM18" s="102"/>
      <c r="BN18" s="102"/>
      <c r="BO18" s="102"/>
      <c r="BP18" s="102"/>
      <c r="BQ18" s="102"/>
      <c r="BR18" s="102"/>
      <c r="BS18" s="102"/>
      <c r="BT18" s="102"/>
      <c r="BU18" s="102"/>
      <c r="BV18" s="102"/>
      <c r="BW18" s="102"/>
      <c r="BX18" s="102"/>
      <c r="BY18" s="102"/>
      <c r="BZ18" s="102"/>
      <c r="CA18" s="102"/>
      <c r="CB18" s="102"/>
      <c r="CC18" s="102"/>
      <c r="CD18" s="102"/>
      <c r="CE18" s="102"/>
      <c r="CF18" s="102"/>
      <c r="CG18" s="102"/>
      <c r="CH18" s="102"/>
      <c r="CI18" s="102"/>
      <c r="CJ18" s="102"/>
      <c r="CK18" s="102"/>
      <c r="CL18" s="102"/>
      <c r="CM18" s="102"/>
      <c r="CN18" s="102"/>
      <c r="CO18" s="102"/>
      <c r="CP18" s="102"/>
      <c r="CQ18" s="102"/>
      <c r="CR18" s="102"/>
      <c r="CS18" s="102"/>
      <c r="CT18" s="102"/>
      <c r="CU18" s="102"/>
      <c r="CV18" s="102"/>
      <c r="CW18" s="102"/>
      <c r="CX18" s="102"/>
      <c r="CY18" s="102"/>
      <c r="CZ18" s="102"/>
      <c r="DA18" s="102"/>
      <c r="DB18" s="102"/>
      <c r="DC18" s="102"/>
      <c r="DD18" s="102"/>
      <c r="DE18" s="102"/>
      <c r="DF18" s="102"/>
      <c r="DG18" s="102"/>
      <c r="DH18" s="102"/>
      <c r="DI18" s="102"/>
      <c r="DJ18" s="102"/>
      <c r="DK18" s="102"/>
      <c r="DL18" s="102"/>
      <c r="DM18" s="102"/>
      <c r="DN18" s="102"/>
      <c r="DO18" s="102"/>
      <c r="DP18" s="102"/>
      <c r="DQ18" s="102"/>
      <c r="DR18" s="102"/>
      <c r="DS18" s="102"/>
      <c r="DT18" s="102"/>
      <c r="DU18" s="102"/>
      <c r="DV18" s="102"/>
      <c r="DW18" s="102"/>
      <c r="DX18" s="102"/>
      <c r="DY18" s="102"/>
      <c r="DZ18" s="102"/>
      <c r="EA18" s="102"/>
      <c r="EB18" s="102"/>
      <c r="EC18" s="102"/>
      <c r="ED18" s="102"/>
      <c r="EE18" s="102"/>
      <c r="EF18" s="102"/>
      <c r="EG18" s="102"/>
      <c r="EH18" s="102"/>
      <c r="EI18" s="102"/>
      <c r="EJ18" s="102"/>
      <c r="EK18" s="102"/>
      <c r="EL18" s="102"/>
      <c r="EM18" s="102"/>
      <c r="EN18" s="102"/>
    </row>
    <row r="19">
      <c r="A19" s="110" t="s">
        <v>121</v>
      </c>
      <c r="B19" s="112"/>
      <c r="C19" s="112"/>
      <c r="D19" s="110" t="s">
        <v>98</v>
      </c>
      <c r="E19" s="112"/>
      <c r="F19" s="112"/>
      <c r="G19" s="113"/>
      <c r="H19" s="114"/>
      <c r="I19" s="116"/>
      <c r="J19" s="115" t="s">
        <v>97</v>
      </c>
      <c r="K19" s="116"/>
      <c r="L19" s="116"/>
      <c r="M19" s="116"/>
      <c r="N19" s="116"/>
      <c r="O19" s="116"/>
      <c r="P19" s="115" t="s">
        <v>99</v>
      </c>
      <c r="Q19" s="116"/>
      <c r="R19" s="116"/>
      <c r="S19" s="117"/>
      <c r="T19" s="118"/>
      <c r="U19" s="120"/>
      <c r="V19" s="121" t="s">
        <v>99</v>
      </c>
      <c r="W19" s="120"/>
      <c r="X19" s="121" t="s">
        <v>96</v>
      </c>
      <c r="Y19" s="120"/>
      <c r="Z19" s="120"/>
      <c r="AA19" s="120"/>
      <c r="AB19" s="120"/>
      <c r="AC19" s="121" t="s">
        <v>98</v>
      </c>
      <c r="AD19" s="120"/>
      <c r="AE19" s="122"/>
      <c r="AF19" s="123"/>
      <c r="AG19" s="124"/>
      <c r="AH19" s="124"/>
      <c r="AI19" s="125" t="s">
        <v>99</v>
      </c>
      <c r="AJ19" s="124"/>
      <c r="AK19" s="124"/>
      <c r="AL19" s="124"/>
      <c r="AM19" s="125" t="s">
        <v>99</v>
      </c>
      <c r="AN19" s="124"/>
      <c r="AO19" s="125" t="s">
        <v>97</v>
      </c>
      <c r="AP19" s="125" t="s">
        <v>97</v>
      </c>
      <c r="AQ19" s="126"/>
      <c r="AR19" s="127"/>
      <c r="AS19" s="129"/>
      <c r="AT19" s="129"/>
      <c r="AU19" s="128" t="s">
        <v>106</v>
      </c>
      <c r="AV19" s="129"/>
      <c r="AW19" s="129"/>
      <c r="AX19" s="129"/>
      <c r="AY19" s="129"/>
      <c r="AZ19" s="129"/>
      <c r="BA19" s="129"/>
      <c r="BB19" s="129"/>
      <c r="BC19" s="130"/>
      <c r="BD19" s="129"/>
      <c r="BE19" s="129"/>
      <c r="BF19" s="129"/>
      <c r="BG19" s="129"/>
      <c r="BH19" s="102"/>
      <c r="BI19" s="102"/>
      <c r="BJ19" s="102"/>
      <c r="BK19" s="102"/>
      <c r="BL19" s="102"/>
      <c r="BM19" s="102"/>
      <c r="BN19" s="102"/>
      <c r="BO19" s="102"/>
      <c r="BP19" s="102"/>
      <c r="BQ19" s="102"/>
      <c r="BR19" s="102"/>
      <c r="BS19" s="102"/>
      <c r="BT19" s="102"/>
      <c r="BU19" s="102"/>
      <c r="BV19" s="102"/>
      <c r="BW19" s="102"/>
      <c r="BX19" s="102"/>
      <c r="BY19" s="102"/>
      <c r="BZ19" s="102"/>
      <c r="CA19" s="102"/>
      <c r="CB19" s="102"/>
      <c r="CC19" s="102"/>
      <c r="CD19" s="102"/>
      <c r="CE19" s="102"/>
      <c r="CF19" s="102"/>
      <c r="CG19" s="102"/>
      <c r="CH19" s="102"/>
      <c r="CI19" s="102"/>
      <c r="CJ19" s="102"/>
      <c r="CK19" s="102"/>
      <c r="CL19" s="102"/>
      <c r="CM19" s="102"/>
      <c r="CN19" s="102"/>
      <c r="CO19" s="102"/>
      <c r="CP19" s="102"/>
      <c r="CQ19" s="102"/>
      <c r="CR19" s="102"/>
      <c r="CS19" s="102"/>
      <c r="CT19" s="102"/>
      <c r="CU19" s="102"/>
      <c r="CV19" s="102"/>
      <c r="CW19" s="102"/>
      <c r="CX19" s="102"/>
      <c r="CY19" s="102"/>
      <c r="CZ19" s="102"/>
      <c r="DA19" s="102"/>
      <c r="DB19" s="102"/>
      <c r="DC19" s="102"/>
      <c r="DD19" s="102"/>
      <c r="DE19" s="102"/>
      <c r="DF19" s="102"/>
      <c r="DG19" s="102"/>
      <c r="DH19" s="102"/>
      <c r="DI19" s="102"/>
      <c r="DJ19" s="102"/>
      <c r="DK19" s="102"/>
      <c r="DL19" s="102"/>
      <c r="DM19" s="102"/>
      <c r="DN19" s="102"/>
      <c r="DO19" s="102"/>
      <c r="DP19" s="102"/>
      <c r="DQ19" s="102"/>
      <c r="DR19" s="102"/>
      <c r="DS19" s="102"/>
      <c r="DT19" s="102"/>
      <c r="DU19" s="102"/>
      <c r="DV19" s="102"/>
      <c r="DW19" s="102"/>
      <c r="DX19" s="102"/>
      <c r="DY19" s="102"/>
      <c r="DZ19" s="102"/>
      <c r="EA19" s="102"/>
      <c r="EB19" s="102"/>
      <c r="EC19" s="102"/>
      <c r="ED19" s="102"/>
      <c r="EE19" s="102"/>
      <c r="EF19" s="102"/>
      <c r="EG19" s="102"/>
      <c r="EH19" s="102"/>
      <c r="EI19" s="102"/>
      <c r="EJ19" s="102"/>
      <c r="EK19" s="102"/>
      <c r="EL19" s="102"/>
      <c r="EM19" s="102"/>
      <c r="EN19" s="102"/>
    </row>
    <row r="20">
      <c r="A20" s="103" t="s">
        <v>122</v>
      </c>
      <c r="B20" s="105"/>
      <c r="C20" s="105"/>
      <c r="D20" s="103" t="s">
        <v>98</v>
      </c>
      <c r="E20" s="105"/>
      <c r="F20" s="105"/>
      <c r="G20" s="136" t="s">
        <v>96</v>
      </c>
      <c r="H20" s="108" t="s">
        <v>98</v>
      </c>
      <c r="I20" s="105"/>
      <c r="J20" s="103" t="s">
        <v>98</v>
      </c>
      <c r="K20" s="105"/>
      <c r="L20" s="105"/>
      <c r="M20" s="105"/>
      <c r="N20" s="105"/>
      <c r="O20" s="105"/>
      <c r="P20" s="103" t="s">
        <v>99</v>
      </c>
      <c r="Q20" s="105"/>
      <c r="R20" s="105"/>
      <c r="S20" s="106"/>
      <c r="T20" s="107"/>
      <c r="U20" s="105"/>
      <c r="V20" s="103" t="s">
        <v>99</v>
      </c>
      <c r="W20" s="105"/>
      <c r="X20" s="103" t="s">
        <v>97</v>
      </c>
      <c r="Y20" s="105"/>
      <c r="Z20" s="105"/>
      <c r="AA20" s="105"/>
      <c r="AB20" s="105"/>
      <c r="AC20" s="103" t="s">
        <v>96</v>
      </c>
      <c r="AD20" s="105"/>
      <c r="AE20" s="106"/>
      <c r="AF20" s="107"/>
      <c r="AG20" s="105"/>
      <c r="AH20" s="105"/>
      <c r="AI20" s="103" t="s">
        <v>99</v>
      </c>
      <c r="AJ20" s="105"/>
      <c r="AK20" s="105"/>
      <c r="AL20" s="105"/>
      <c r="AM20" s="103" t="s">
        <v>99</v>
      </c>
      <c r="AN20" s="105"/>
      <c r="AO20" s="103" t="s">
        <v>97</v>
      </c>
      <c r="AP20" s="103" t="s">
        <v>97</v>
      </c>
      <c r="AQ20" s="106"/>
      <c r="AR20" s="107"/>
      <c r="AS20" s="105"/>
      <c r="AT20" s="105"/>
      <c r="AU20" s="103" t="s">
        <v>106</v>
      </c>
      <c r="AV20" s="105"/>
      <c r="AW20" s="105"/>
      <c r="AX20" s="105"/>
      <c r="AY20" s="105"/>
      <c r="AZ20" s="105"/>
      <c r="BA20" s="105"/>
      <c r="BB20" s="105"/>
      <c r="BC20" s="106"/>
      <c r="BD20" s="105"/>
      <c r="BE20" s="105"/>
      <c r="BF20" s="105"/>
      <c r="BG20" s="105"/>
      <c r="BH20" s="102"/>
      <c r="BI20" s="102"/>
      <c r="BJ20" s="102"/>
      <c r="BK20" s="102"/>
      <c r="BL20" s="102"/>
      <c r="BM20" s="102"/>
      <c r="BN20" s="102"/>
      <c r="BO20" s="102"/>
      <c r="BP20" s="102"/>
      <c r="BQ20" s="102"/>
      <c r="BR20" s="102"/>
      <c r="BS20" s="102"/>
      <c r="BT20" s="102"/>
      <c r="BU20" s="102"/>
      <c r="BV20" s="102"/>
      <c r="BW20" s="102"/>
      <c r="BX20" s="102"/>
      <c r="BY20" s="102"/>
      <c r="BZ20" s="102"/>
      <c r="CA20" s="102"/>
      <c r="CB20" s="102"/>
      <c r="CC20" s="102"/>
      <c r="CD20" s="102"/>
      <c r="CE20" s="102"/>
      <c r="CF20" s="102"/>
      <c r="CG20" s="102"/>
      <c r="CH20" s="102"/>
      <c r="CI20" s="102"/>
      <c r="CJ20" s="102"/>
      <c r="CK20" s="102"/>
      <c r="CL20" s="102"/>
      <c r="CM20" s="102"/>
      <c r="CN20" s="102"/>
      <c r="CO20" s="102"/>
      <c r="CP20" s="102"/>
      <c r="CQ20" s="102"/>
      <c r="CR20" s="102"/>
      <c r="CS20" s="102"/>
      <c r="CT20" s="102"/>
      <c r="CU20" s="102"/>
      <c r="CV20" s="102"/>
      <c r="CW20" s="102"/>
      <c r="CX20" s="102"/>
      <c r="CY20" s="102"/>
      <c r="CZ20" s="102"/>
      <c r="DA20" s="102"/>
      <c r="DB20" s="102"/>
      <c r="DC20" s="102"/>
      <c r="DD20" s="102"/>
      <c r="DE20" s="102"/>
      <c r="DF20" s="102"/>
      <c r="DG20" s="102"/>
      <c r="DH20" s="102"/>
      <c r="DI20" s="102"/>
      <c r="DJ20" s="102"/>
      <c r="DK20" s="102"/>
      <c r="DL20" s="102"/>
      <c r="DM20" s="102"/>
      <c r="DN20" s="102"/>
      <c r="DO20" s="102"/>
      <c r="DP20" s="102"/>
      <c r="DQ20" s="102"/>
      <c r="DR20" s="102"/>
      <c r="DS20" s="102"/>
      <c r="DT20" s="102"/>
      <c r="DU20" s="102"/>
      <c r="DV20" s="102"/>
      <c r="DW20" s="102"/>
      <c r="DX20" s="102"/>
      <c r="DY20" s="102"/>
      <c r="DZ20" s="102"/>
      <c r="EA20" s="102"/>
      <c r="EB20" s="102"/>
      <c r="EC20" s="102"/>
      <c r="ED20" s="102"/>
      <c r="EE20" s="102"/>
      <c r="EF20" s="102"/>
      <c r="EG20" s="102"/>
      <c r="EH20" s="102"/>
      <c r="EI20" s="102"/>
      <c r="EJ20" s="102"/>
      <c r="EK20" s="102"/>
      <c r="EL20" s="102"/>
      <c r="EM20" s="102"/>
      <c r="EN20" s="102"/>
    </row>
    <row r="21">
      <c r="A21" s="110" t="s">
        <v>123</v>
      </c>
      <c r="B21" s="112"/>
      <c r="C21" s="112"/>
      <c r="D21" s="110" t="s">
        <v>98</v>
      </c>
      <c r="E21" s="112"/>
      <c r="F21" s="112"/>
      <c r="G21" s="137" t="s">
        <v>98</v>
      </c>
      <c r="H21" s="114"/>
      <c r="I21" s="116"/>
      <c r="J21" s="115" t="s">
        <v>98</v>
      </c>
      <c r="K21" s="116"/>
      <c r="L21" s="116"/>
      <c r="M21" s="116"/>
      <c r="N21" s="116"/>
      <c r="O21" s="116"/>
      <c r="P21" s="115" t="s">
        <v>99</v>
      </c>
      <c r="Q21" s="116"/>
      <c r="R21" s="115" t="s">
        <v>98</v>
      </c>
      <c r="S21" s="117"/>
      <c r="T21" s="118"/>
      <c r="U21" s="120"/>
      <c r="V21" s="120"/>
      <c r="W21" s="120"/>
      <c r="X21" s="121" t="s">
        <v>97</v>
      </c>
      <c r="Y21" s="120"/>
      <c r="Z21" s="120"/>
      <c r="AA21" s="120"/>
      <c r="AB21" s="120"/>
      <c r="AC21" s="121" t="s">
        <v>96</v>
      </c>
      <c r="AD21" s="120"/>
      <c r="AE21" s="122"/>
      <c r="AF21" s="123"/>
      <c r="AG21" s="124"/>
      <c r="AH21" s="124"/>
      <c r="AI21" s="125" t="s">
        <v>99</v>
      </c>
      <c r="AJ21" s="124"/>
      <c r="AK21" s="125" t="s">
        <v>97</v>
      </c>
      <c r="AL21" s="124"/>
      <c r="AM21" s="124"/>
      <c r="AN21" s="125" t="s">
        <v>97</v>
      </c>
      <c r="AO21" s="125" t="s">
        <v>97</v>
      </c>
      <c r="AP21" s="124"/>
      <c r="AQ21" s="126"/>
      <c r="AR21" s="127"/>
      <c r="AS21" s="129"/>
      <c r="AT21" s="129"/>
      <c r="AU21" s="128" t="s">
        <v>106</v>
      </c>
      <c r="AV21" s="129"/>
      <c r="AW21" s="129"/>
      <c r="AX21" s="129"/>
      <c r="AY21" s="129"/>
      <c r="AZ21" s="129"/>
      <c r="BA21" s="129"/>
      <c r="BB21" s="129"/>
      <c r="BC21" s="130"/>
      <c r="BD21" s="129"/>
      <c r="BE21" s="129"/>
      <c r="BF21" s="129"/>
      <c r="BG21" s="129"/>
      <c r="BH21" s="102"/>
      <c r="BI21" s="102"/>
      <c r="BJ21" s="102"/>
      <c r="BK21" s="102"/>
      <c r="BL21" s="102"/>
      <c r="BM21" s="102"/>
      <c r="BN21" s="102"/>
      <c r="BO21" s="102"/>
      <c r="BP21" s="102"/>
      <c r="BQ21" s="102"/>
      <c r="BR21" s="102"/>
      <c r="BS21" s="102"/>
      <c r="BT21" s="102"/>
      <c r="BU21" s="102"/>
      <c r="BV21" s="102"/>
      <c r="BW21" s="102"/>
      <c r="BX21" s="102"/>
      <c r="BY21" s="102"/>
      <c r="BZ21" s="102"/>
      <c r="CA21" s="102"/>
      <c r="CB21" s="102"/>
      <c r="CC21" s="102"/>
      <c r="CD21" s="102"/>
      <c r="CE21" s="102"/>
      <c r="CF21" s="102"/>
      <c r="CG21" s="102"/>
      <c r="CH21" s="102"/>
      <c r="CI21" s="102"/>
      <c r="CJ21" s="102"/>
      <c r="CK21" s="102"/>
      <c r="CL21" s="102"/>
      <c r="CM21" s="102"/>
      <c r="CN21" s="102"/>
      <c r="CO21" s="102"/>
      <c r="CP21" s="102"/>
      <c r="CQ21" s="102"/>
      <c r="CR21" s="102"/>
      <c r="CS21" s="102"/>
      <c r="CT21" s="102"/>
      <c r="CU21" s="102"/>
      <c r="CV21" s="102"/>
      <c r="CW21" s="102"/>
      <c r="CX21" s="102"/>
      <c r="CY21" s="102"/>
      <c r="CZ21" s="102"/>
      <c r="DA21" s="102"/>
      <c r="DB21" s="102"/>
      <c r="DC21" s="102"/>
      <c r="DD21" s="102"/>
      <c r="DE21" s="102"/>
      <c r="DF21" s="102"/>
      <c r="DG21" s="102"/>
      <c r="DH21" s="102"/>
      <c r="DI21" s="102"/>
      <c r="DJ21" s="102"/>
      <c r="DK21" s="102"/>
      <c r="DL21" s="102"/>
      <c r="DM21" s="102"/>
      <c r="DN21" s="102"/>
      <c r="DO21" s="102"/>
      <c r="DP21" s="102"/>
      <c r="DQ21" s="102"/>
      <c r="DR21" s="102"/>
      <c r="DS21" s="102"/>
      <c r="DT21" s="102"/>
      <c r="DU21" s="102"/>
      <c r="DV21" s="102"/>
      <c r="DW21" s="102"/>
      <c r="DX21" s="102"/>
      <c r="DY21" s="102"/>
      <c r="DZ21" s="102"/>
      <c r="EA21" s="102"/>
      <c r="EB21" s="102"/>
      <c r="EC21" s="102"/>
      <c r="ED21" s="102"/>
      <c r="EE21" s="102"/>
      <c r="EF21" s="102"/>
      <c r="EG21" s="102"/>
      <c r="EH21" s="102"/>
      <c r="EI21" s="102"/>
      <c r="EJ21" s="102"/>
      <c r="EK21" s="102"/>
      <c r="EL21" s="102"/>
      <c r="EM21" s="102"/>
      <c r="EN21" s="102"/>
    </row>
    <row r="22">
      <c r="A22" s="103" t="s">
        <v>124</v>
      </c>
      <c r="B22" s="105"/>
      <c r="C22" s="105"/>
      <c r="D22" s="103" t="s">
        <v>96</v>
      </c>
      <c r="E22" s="103" t="s">
        <v>98</v>
      </c>
      <c r="F22" s="105"/>
      <c r="G22" s="106"/>
      <c r="H22" s="107"/>
      <c r="I22" s="105"/>
      <c r="J22" s="103" t="s">
        <v>96</v>
      </c>
      <c r="K22" s="103" t="s">
        <v>97</v>
      </c>
      <c r="L22" s="105"/>
      <c r="M22" s="105"/>
      <c r="N22" s="105"/>
      <c r="O22" s="105"/>
      <c r="P22" s="103" t="s">
        <v>99</v>
      </c>
      <c r="Q22" s="103" t="s">
        <v>99</v>
      </c>
      <c r="R22" s="105"/>
      <c r="S22" s="106"/>
      <c r="T22" s="107"/>
      <c r="U22" s="105"/>
      <c r="V22" s="105"/>
      <c r="W22" s="103" t="s">
        <v>99</v>
      </c>
      <c r="X22" s="103" t="s">
        <v>98</v>
      </c>
      <c r="Y22" s="105"/>
      <c r="Z22" s="105"/>
      <c r="AA22" s="105"/>
      <c r="AB22" s="105"/>
      <c r="AC22" s="103" t="s">
        <v>96</v>
      </c>
      <c r="AD22" s="105"/>
      <c r="AE22" s="106"/>
      <c r="AF22" s="107"/>
      <c r="AG22" s="105"/>
      <c r="AH22" s="105"/>
      <c r="AI22" s="103" t="s">
        <v>99</v>
      </c>
      <c r="AJ22" s="105"/>
      <c r="AK22" s="103" t="s">
        <v>96</v>
      </c>
      <c r="AL22" s="105"/>
      <c r="AM22" s="105"/>
      <c r="AN22" s="105"/>
      <c r="AO22" s="103" t="s">
        <v>97</v>
      </c>
      <c r="AP22" s="103" t="s">
        <v>97</v>
      </c>
      <c r="AQ22" s="106"/>
      <c r="AR22" s="107"/>
      <c r="AS22" s="105"/>
      <c r="AT22" s="105"/>
      <c r="AU22" s="103" t="s">
        <v>106</v>
      </c>
      <c r="AV22" s="105"/>
      <c r="AW22" s="105"/>
      <c r="AX22" s="105"/>
      <c r="AY22" s="105"/>
      <c r="AZ22" s="105"/>
      <c r="BA22" s="105"/>
      <c r="BB22" s="105"/>
      <c r="BC22" s="106"/>
      <c r="BD22" s="105"/>
      <c r="BE22" s="105"/>
      <c r="BF22" s="105"/>
      <c r="BG22" s="105"/>
      <c r="BH22" s="102"/>
      <c r="BI22" s="102"/>
      <c r="BJ22" s="102"/>
      <c r="BK22" s="102"/>
      <c r="BL22" s="102"/>
      <c r="BM22" s="102"/>
      <c r="BN22" s="102"/>
      <c r="BO22" s="102"/>
      <c r="BP22" s="102"/>
      <c r="BQ22" s="102"/>
      <c r="BR22" s="102"/>
      <c r="BS22" s="102"/>
      <c r="BT22" s="102"/>
      <c r="BU22" s="102"/>
      <c r="BV22" s="102"/>
      <c r="BW22" s="102"/>
      <c r="BX22" s="102"/>
      <c r="BY22" s="102"/>
      <c r="BZ22" s="102"/>
      <c r="CA22" s="102"/>
      <c r="CB22" s="102"/>
      <c r="CC22" s="102"/>
      <c r="CD22" s="102"/>
      <c r="CE22" s="102"/>
      <c r="CF22" s="102"/>
      <c r="CG22" s="102"/>
      <c r="CH22" s="102"/>
      <c r="CI22" s="102"/>
      <c r="CJ22" s="102"/>
      <c r="CK22" s="102"/>
      <c r="CL22" s="102"/>
      <c r="CM22" s="102"/>
      <c r="CN22" s="102"/>
      <c r="CO22" s="102"/>
      <c r="CP22" s="102"/>
      <c r="CQ22" s="102"/>
      <c r="CR22" s="102"/>
      <c r="CS22" s="102"/>
      <c r="CT22" s="102"/>
      <c r="CU22" s="102"/>
      <c r="CV22" s="102"/>
      <c r="CW22" s="102"/>
      <c r="CX22" s="102"/>
      <c r="CY22" s="102"/>
      <c r="CZ22" s="102"/>
      <c r="DA22" s="102"/>
      <c r="DB22" s="102"/>
      <c r="DC22" s="102"/>
      <c r="DD22" s="102"/>
      <c r="DE22" s="102"/>
      <c r="DF22" s="102"/>
      <c r="DG22" s="102"/>
      <c r="DH22" s="102"/>
      <c r="DI22" s="102"/>
      <c r="DJ22" s="102"/>
      <c r="DK22" s="102"/>
      <c r="DL22" s="102"/>
      <c r="DM22" s="102"/>
      <c r="DN22" s="102"/>
      <c r="DO22" s="102"/>
      <c r="DP22" s="102"/>
      <c r="DQ22" s="102"/>
      <c r="DR22" s="102"/>
      <c r="DS22" s="102"/>
      <c r="DT22" s="102"/>
      <c r="DU22" s="102"/>
      <c r="DV22" s="102"/>
      <c r="DW22" s="102"/>
      <c r="DX22" s="102"/>
      <c r="DY22" s="102"/>
      <c r="DZ22" s="102"/>
      <c r="EA22" s="102"/>
      <c r="EB22" s="102"/>
      <c r="EC22" s="102"/>
      <c r="ED22" s="102"/>
      <c r="EE22" s="102"/>
      <c r="EF22" s="102"/>
      <c r="EG22" s="102"/>
      <c r="EH22" s="102"/>
      <c r="EI22" s="102"/>
      <c r="EJ22" s="102"/>
      <c r="EK22" s="102"/>
      <c r="EL22" s="102"/>
      <c r="EM22" s="102"/>
      <c r="EN22" s="102"/>
    </row>
    <row r="23">
      <c r="A23" s="110" t="s">
        <v>125</v>
      </c>
      <c r="B23" s="112"/>
      <c r="C23" s="112"/>
      <c r="D23" s="110" t="s">
        <v>97</v>
      </c>
      <c r="E23" s="110" t="s">
        <v>96</v>
      </c>
      <c r="F23" s="110" t="s">
        <v>97</v>
      </c>
      <c r="G23" s="113"/>
      <c r="H23" s="114"/>
      <c r="I23" s="116"/>
      <c r="J23" s="115" t="s">
        <v>98</v>
      </c>
      <c r="K23" s="116"/>
      <c r="L23" s="116"/>
      <c r="M23" s="116"/>
      <c r="N23" s="116"/>
      <c r="O23" s="116"/>
      <c r="P23" s="115" t="s">
        <v>99</v>
      </c>
      <c r="Q23" s="115" t="s">
        <v>98</v>
      </c>
      <c r="R23" s="116"/>
      <c r="S23" s="117"/>
      <c r="T23" s="118"/>
      <c r="U23" s="120"/>
      <c r="V23" s="120"/>
      <c r="W23" s="121" t="s">
        <v>99</v>
      </c>
      <c r="X23" s="121" t="s">
        <v>97</v>
      </c>
      <c r="Y23" s="120"/>
      <c r="Z23" s="120"/>
      <c r="AA23" s="120"/>
      <c r="AB23" s="120"/>
      <c r="AC23" s="121" t="s">
        <v>97</v>
      </c>
      <c r="AD23" s="121" t="s">
        <v>97</v>
      </c>
      <c r="AE23" s="122"/>
      <c r="AF23" s="123"/>
      <c r="AG23" s="124"/>
      <c r="AH23" s="124"/>
      <c r="AI23" s="124"/>
      <c r="AJ23" s="125" t="s">
        <v>99</v>
      </c>
      <c r="AK23" s="125" t="s">
        <v>97</v>
      </c>
      <c r="AL23" s="124"/>
      <c r="AM23" s="124"/>
      <c r="AN23" s="125" t="s">
        <v>97</v>
      </c>
      <c r="AO23" s="125" t="s">
        <v>97</v>
      </c>
      <c r="AP23" s="125" t="s">
        <v>97</v>
      </c>
      <c r="AQ23" s="126"/>
      <c r="AR23" s="127"/>
      <c r="AS23" s="128" t="s">
        <v>97</v>
      </c>
      <c r="AT23" s="129"/>
      <c r="AU23" s="128" t="s">
        <v>106</v>
      </c>
      <c r="AV23" s="129"/>
      <c r="AW23" s="129"/>
      <c r="AX23" s="129"/>
      <c r="AY23" s="129"/>
      <c r="AZ23" s="129"/>
      <c r="BA23" s="129"/>
      <c r="BB23" s="129"/>
      <c r="BC23" s="130"/>
      <c r="BD23" s="129"/>
      <c r="BE23" s="129"/>
      <c r="BF23" s="129"/>
      <c r="BG23" s="129"/>
      <c r="BH23" s="102"/>
      <c r="BI23" s="102"/>
      <c r="BJ23" s="102"/>
      <c r="BK23" s="102"/>
      <c r="BL23" s="102"/>
      <c r="BM23" s="102"/>
      <c r="BN23" s="102"/>
      <c r="BO23" s="102"/>
      <c r="BP23" s="102"/>
      <c r="BQ23" s="102"/>
      <c r="BR23" s="102"/>
      <c r="BS23" s="102"/>
      <c r="BT23" s="102"/>
      <c r="BU23" s="102"/>
      <c r="BV23" s="102"/>
      <c r="BW23" s="102"/>
      <c r="BX23" s="102"/>
      <c r="BY23" s="102"/>
      <c r="BZ23" s="102"/>
      <c r="CA23" s="102"/>
      <c r="CB23" s="102"/>
      <c r="CC23" s="102"/>
      <c r="CD23" s="102"/>
      <c r="CE23" s="102"/>
      <c r="CF23" s="102"/>
      <c r="CG23" s="102"/>
      <c r="CH23" s="102"/>
      <c r="CI23" s="102"/>
      <c r="CJ23" s="102"/>
      <c r="CK23" s="102"/>
      <c r="CL23" s="102"/>
      <c r="CM23" s="102"/>
      <c r="CN23" s="102"/>
      <c r="CO23" s="102"/>
      <c r="CP23" s="102"/>
      <c r="CQ23" s="102"/>
      <c r="CR23" s="102"/>
      <c r="CS23" s="102"/>
      <c r="CT23" s="102"/>
      <c r="CU23" s="102"/>
      <c r="CV23" s="102"/>
      <c r="CW23" s="102"/>
      <c r="CX23" s="102"/>
      <c r="CY23" s="102"/>
      <c r="CZ23" s="102"/>
      <c r="DA23" s="102"/>
      <c r="DB23" s="102"/>
      <c r="DC23" s="102"/>
      <c r="DD23" s="102"/>
      <c r="DE23" s="102"/>
      <c r="DF23" s="102"/>
      <c r="DG23" s="102"/>
      <c r="DH23" s="102"/>
      <c r="DI23" s="102"/>
      <c r="DJ23" s="102"/>
      <c r="DK23" s="102"/>
      <c r="DL23" s="102"/>
      <c r="DM23" s="102"/>
      <c r="DN23" s="102"/>
      <c r="DO23" s="102"/>
      <c r="DP23" s="102"/>
      <c r="DQ23" s="102"/>
      <c r="DR23" s="102"/>
      <c r="DS23" s="102"/>
      <c r="DT23" s="102"/>
      <c r="DU23" s="102"/>
      <c r="DV23" s="102"/>
      <c r="DW23" s="102"/>
      <c r="DX23" s="102"/>
      <c r="DY23" s="102"/>
      <c r="DZ23" s="102"/>
      <c r="EA23" s="102"/>
      <c r="EB23" s="102"/>
      <c r="EC23" s="102"/>
      <c r="ED23" s="102"/>
      <c r="EE23" s="102"/>
      <c r="EF23" s="102"/>
      <c r="EG23" s="102"/>
      <c r="EH23" s="102"/>
      <c r="EI23" s="102"/>
      <c r="EJ23" s="102"/>
      <c r="EK23" s="102"/>
      <c r="EL23" s="102"/>
      <c r="EM23" s="102"/>
      <c r="EN23" s="102"/>
    </row>
    <row r="24">
      <c r="A24" s="103" t="s">
        <v>126</v>
      </c>
      <c r="B24" s="105"/>
      <c r="C24" s="105"/>
      <c r="D24" s="103" t="s">
        <v>96</v>
      </c>
      <c r="E24" s="103" t="s">
        <v>96</v>
      </c>
      <c r="F24" s="105"/>
      <c r="G24" s="106"/>
      <c r="H24" s="107"/>
      <c r="I24" s="105"/>
      <c r="J24" s="103" t="s">
        <v>97</v>
      </c>
      <c r="K24" s="105"/>
      <c r="L24" s="105"/>
      <c r="M24" s="105"/>
      <c r="N24" s="105"/>
      <c r="O24" s="105"/>
      <c r="P24" s="103" t="s">
        <v>99</v>
      </c>
      <c r="Q24" s="103" t="s">
        <v>98</v>
      </c>
      <c r="R24" s="105"/>
      <c r="S24" s="106"/>
      <c r="T24" s="107"/>
      <c r="U24" s="105"/>
      <c r="V24" s="105"/>
      <c r="W24" s="103" t="s">
        <v>99</v>
      </c>
      <c r="X24" s="103" t="s">
        <v>97</v>
      </c>
      <c r="Y24" s="105"/>
      <c r="Z24" s="105"/>
      <c r="AA24" s="105"/>
      <c r="AB24" s="105"/>
      <c r="AC24" s="103" t="s">
        <v>97</v>
      </c>
      <c r="AD24" s="103" t="s">
        <v>97</v>
      </c>
      <c r="AE24" s="106"/>
      <c r="AF24" s="107"/>
      <c r="AG24" s="105"/>
      <c r="AH24" s="105"/>
      <c r="AI24" s="105"/>
      <c r="AJ24" s="103" t="s">
        <v>99</v>
      </c>
      <c r="AK24" s="105"/>
      <c r="AL24" s="105"/>
      <c r="AM24" s="103" t="s">
        <v>99</v>
      </c>
      <c r="AN24" s="105"/>
      <c r="AO24" s="105"/>
      <c r="AP24" s="103" t="s">
        <v>97</v>
      </c>
      <c r="AQ24" s="106"/>
      <c r="AR24" s="107"/>
      <c r="AS24" s="103" t="s">
        <v>97</v>
      </c>
      <c r="AT24" s="105"/>
      <c r="AU24" s="103" t="s">
        <v>106</v>
      </c>
      <c r="AV24" s="105"/>
      <c r="AW24" s="105"/>
      <c r="AX24" s="105"/>
      <c r="AY24" s="105"/>
      <c r="AZ24" s="105"/>
      <c r="BA24" s="105"/>
      <c r="BB24" s="105"/>
      <c r="BC24" s="106"/>
      <c r="BD24" s="105"/>
      <c r="BE24" s="105"/>
      <c r="BF24" s="105"/>
      <c r="BG24" s="105"/>
      <c r="BH24" s="102"/>
      <c r="BI24" s="102"/>
      <c r="BJ24" s="102"/>
      <c r="BK24" s="102"/>
      <c r="BL24" s="102"/>
      <c r="BM24" s="102"/>
      <c r="BN24" s="102"/>
      <c r="BO24" s="102"/>
      <c r="BP24" s="102"/>
      <c r="BQ24" s="102"/>
      <c r="BR24" s="102"/>
      <c r="BS24" s="102"/>
      <c r="BT24" s="102"/>
      <c r="BU24" s="102"/>
      <c r="BV24" s="102"/>
      <c r="BW24" s="102"/>
      <c r="BX24" s="102"/>
      <c r="BY24" s="102"/>
      <c r="BZ24" s="102"/>
      <c r="CA24" s="102"/>
      <c r="CB24" s="102"/>
      <c r="CC24" s="102"/>
      <c r="CD24" s="102"/>
      <c r="CE24" s="102"/>
      <c r="CF24" s="102"/>
      <c r="CG24" s="102"/>
      <c r="CH24" s="102"/>
      <c r="CI24" s="102"/>
      <c r="CJ24" s="102"/>
      <c r="CK24" s="102"/>
      <c r="CL24" s="102"/>
      <c r="CM24" s="102"/>
      <c r="CN24" s="102"/>
      <c r="CO24" s="102"/>
      <c r="CP24" s="102"/>
      <c r="CQ24" s="102"/>
      <c r="CR24" s="102"/>
      <c r="CS24" s="102"/>
      <c r="CT24" s="102"/>
      <c r="CU24" s="102"/>
      <c r="CV24" s="102"/>
      <c r="CW24" s="102"/>
      <c r="CX24" s="102"/>
      <c r="CY24" s="102"/>
      <c r="CZ24" s="102"/>
      <c r="DA24" s="102"/>
      <c r="DB24" s="102"/>
      <c r="DC24" s="102"/>
      <c r="DD24" s="102"/>
      <c r="DE24" s="102"/>
      <c r="DF24" s="102"/>
      <c r="DG24" s="102"/>
      <c r="DH24" s="102"/>
      <c r="DI24" s="102"/>
      <c r="DJ24" s="102"/>
      <c r="DK24" s="102"/>
      <c r="DL24" s="102"/>
      <c r="DM24" s="102"/>
      <c r="DN24" s="102"/>
      <c r="DO24" s="102"/>
      <c r="DP24" s="102"/>
      <c r="DQ24" s="102"/>
      <c r="DR24" s="102"/>
      <c r="DS24" s="102"/>
      <c r="DT24" s="102"/>
      <c r="DU24" s="102"/>
      <c r="DV24" s="102"/>
      <c r="DW24" s="102"/>
      <c r="DX24" s="102"/>
      <c r="DY24" s="102"/>
      <c r="DZ24" s="102"/>
      <c r="EA24" s="102"/>
      <c r="EB24" s="102"/>
      <c r="EC24" s="102"/>
      <c r="ED24" s="102"/>
      <c r="EE24" s="102"/>
      <c r="EF24" s="102"/>
      <c r="EG24" s="102"/>
      <c r="EH24" s="102"/>
      <c r="EI24" s="102"/>
      <c r="EJ24" s="102"/>
      <c r="EK24" s="102"/>
      <c r="EL24" s="102"/>
      <c r="EM24" s="102"/>
      <c r="EN24" s="102"/>
    </row>
    <row r="25">
      <c r="A25" s="110" t="s">
        <v>127</v>
      </c>
      <c r="B25" s="112"/>
      <c r="C25" s="112"/>
      <c r="D25" s="112"/>
      <c r="E25" s="112"/>
      <c r="F25" s="112"/>
      <c r="G25" s="113"/>
      <c r="H25" s="114"/>
      <c r="I25" s="116"/>
      <c r="J25" s="116"/>
      <c r="K25" s="116"/>
      <c r="L25" s="115" t="s">
        <v>97</v>
      </c>
      <c r="M25" s="116"/>
      <c r="N25" s="116"/>
      <c r="O25" s="116"/>
      <c r="P25" s="116"/>
      <c r="Q25" s="116"/>
      <c r="R25" s="116"/>
      <c r="S25" s="117"/>
      <c r="T25" s="118"/>
      <c r="U25" s="120"/>
      <c r="V25" s="120"/>
      <c r="W25" s="120"/>
      <c r="X25" s="120"/>
      <c r="Y25" s="120"/>
      <c r="Z25" s="120"/>
      <c r="AA25" s="120"/>
      <c r="AB25" s="120"/>
      <c r="AC25" s="120"/>
      <c r="AD25" s="120"/>
      <c r="AE25" s="122"/>
      <c r="AF25" s="123"/>
      <c r="AG25" s="124"/>
      <c r="AH25" s="124"/>
      <c r="AI25" s="124"/>
      <c r="AJ25" s="124"/>
      <c r="AK25" s="124"/>
      <c r="AL25" s="124"/>
      <c r="AM25" s="124"/>
      <c r="AN25" s="124"/>
      <c r="AO25" s="125" t="s">
        <v>98</v>
      </c>
      <c r="AP25" s="124"/>
      <c r="AQ25" s="126"/>
      <c r="AR25" s="127"/>
      <c r="AS25" s="128" t="s">
        <v>98</v>
      </c>
      <c r="AT25" s="129"/>
      <c r="AU25" s="129"/>
      <c r="AV25" s="129"/>
      <c r="AW25" s="129"/>
      <c r="AX25" s="129"/>
      <c r="AY25" s="129"/>
      <c r="AZ25" s="129"/>
      <c r="BA25" s="129"/>
      <c r="BB25" s="129"/>
      <c r="BC25" s="130"/>
      <c r="BD25" s="129"/>
      <c r="BE25" s="129"/>
      <c r="BF25" s="129"/>
      <c r="BG25" s="129"/>
      <c r="BH25" s="102"/>
      <c r="BI25" s="102"/>
      <c r="BJ25" s="102"/>
      <c r="BK25" s="102"/>
      <c r="BL25" s="102"/>
      <c r="BM25" s="102"/>
      <c r="BN25" s="102"/>
      <c r="BO25" s="102"/>
      <c r="BP25" s="102"/>
      <c r="BQ25" s="102"/>
      <c r="BR25" s="102"/>
      <c r="BS25" s="102"/>
      <c r="BT25" s="102"/>
      <c r="BU25" s="102"/>
      <c r="BV25" s="102"/>
      <c r="BW25" s="102"/>
      <c r="BX25" s="102"/>
      <c r="BY25" s="102"/>
      <c r="BZ25" s="102"/>
      <c r="CA25" s="102"/>
      <c r="CB25" s="102"/>
      <c r="CC25" s="102"/>
      <c r="CD25" s="102"/>
      <c r="CE25" s="102"/>
      <c r="CF25" s="102"/>
      <c r="CG25" s="102"/>
      <c r="CH25" s="102"/>
      <c r="CI25" s="102"/>
      <c r="CJ25" s="102"/>
      <c r="CK25" s="102"/>
      <c r="CL25" s="102"/>
      <c r="CM25" s="102"/>
      <c r="CN25" s="102"/>
      <c r="CO25" s="102"/>
      <c r="CP25" s="102"/>
      <c r="CQ25" s="102"/>
      <c r="CR25" s="102"/>
      <c r="CS25" s="102"/>
      <c r="CT25" s="102"/>
      <c r="CU25" s="102"/>
      <c r="CV25" s="102"/>
      <c r="CW25" s="102"/>
      <c r="CX25" s="102"/>
      <c r="CY25" s="102"/>
      <c r="CZ25" s="102"/>
      <c r="DA25" s="102"/>
      <c r="DB25" s="102"/>
      <c r="DC25" s="102"/>
      <c r="DD25" s="102"/>
      <c r="DE25" s="102"/>
      <c r="DF25" s="102"/>
      <c r="DG25" s="102"/>
      <c r="DH25" s="102"/>
      <c r="DI25" s="102"/>
      <c r="DJ25" s="102"/>
      <c r="DK25" s="102"/>
      <c r="DL25" s="102"/>
      <c r="DM25" s="102"/>
      <c r="DN25" s="102"/>
      <c r="DO25" s="102"/>
      <c r="DP25" s="102"/>
      <c r="DQ25" s="102"/>
      <c r="DR25" s="102"/>
      <c r="DS25" s="102"/>
      <c r="DT25" s="102"/>
      <c r="DU25" s="102"/>
      <c r="DV25" s="102"/>
      <c r="DW25" s="102"/>
      <c r="DX25" s="102"/>
      <c r="DY25" s="102"/>
      <c r="DZ25" s="102"/>
      <c r="EA25" s="102"/>
      <c r="EB25" s="102"/>
      <c r="EC25" s="102"/>
      <c r="ED25" s="102"/>
      <c r="EE25" s="102"/>
      <c r="EF25" s="102"/>
      <c r="EG25" s="102"/>
      <c r="EH25" s="102"/>
      <c r="EI25" s="102"/>
      <c r="EJ25" s="102"/>
      <c r="EK25" s="102"/>
      <c r="EL25" s="102"/>
      <c r="EM25" s="102"/>
      <c r="EN25" s="102"/>
    </row>
    <row r="26">
      <c r="A26" s="103" t="s">
        <v>129</v>
      </c>
      <c r="B26" s="105"/>
      <c r="C26" s="105"/>
      <c r="D26" s="103" t="s">
        <v>98</v>
      </c>
      <c r="E26" s="103" t="s">
        <v>97</v>
      </c>
      <c r="F26" s="105"/>
      <c r="G26" s="106"/>
      <c r="H26" s="108" t="s">
        <v>98</v>
      </c>
      <c r="I26" s="105"/>
      <c r="J26" s="105"/>
      <c r="K26" s="105"/>
      <c r="L26" s="103" t="s">
        <v>97</v>
      </c>
      <c r="M26" s="105"/>
      <c r="N26" s="105"/>
      <c r="O26" s="105"/>
      <c r="P26" s="105"/>
      <c r="Q26" s="105"/>
      <c r="R26" s="105"/>
      <c r="S26" s="106"/>
      <c r="T26" s="108" t="s">
        <v>97</v>
      </c>
      <c r="U26" s="103" t="s">
        <v>98</v>
      </c>
      <c r="V26" s="105"/>
      <c r="W26" s="105"/>
      <c r="X26" s="105"/>
      <c r="Y26" s="105"/>
      <c r="Z26" s="105"/>
      <c r="AA26" s="105"/>
      <c r="AB26" s="105"/>
      <c r="AC26" s="103" t="s">
        <v>96</v>
      </c>
      <c r="AD26" s="103" t="s">
        <v>96</v>
      </c>
      <c r="AE26" s="106"/>
      <c r="AF26" s="107"/>
      <c r="AG26" s="103" t="s">
        <v>97</v>
      </c>
      <c r="AH26" s="105"/>
      <c r="AI26" s="105"/>
      <c r="AJ26" s="105"/>
      <c r="AK26" s="103" t="s">
        <v>97</v>
      </c>
      <c r="AL26" s="105"/>
      <c r="AM26" s="105"/>
      <c r="AN26" s="103" t="s">
        <v>98</v>
      </c>
      <c r="AO26" s="103" t="s">
        <v>97</v>
      </c>
      <c r="AP26" s="103" t="s">
        <v>97</v>
      </c>
      <c r="AQ26" s="106"/>
      <c r="AR26" s="107"/>
      <c r="AS26" s="103" t="s">
        <v>97</v>
      </c>
      <c r="AT26" s="103" t="s">
        <v>98</v>
      </c>
      <c r="AU26" s="105"/>
      <c r="AV26" s="105"/>
      <c r="AW26" s="105"/>
      <c r="AX26" s="105"/>
      <c r="AY26" s="105"/>
      <c r="AZ26" s="105"/>
      <c r="BA26" s="105"/>
      <c r="BB26" s="105"/>
      <c r="BC26" s="106"/>
      <c r="BD26" s="105"/>
      <c r="BE26" s="105"/>
      <c r="BF26" s="105"/>
      <c r="BG26" s="105"/>
      <c r="BH26" s="102"/>
      <c r="BI26" s="102"/>
      <c r="BJ26" s="102"/>
      <c r="BK26" s="102"/>
      <c r="BL26" s="102"/>
      <c r="BM26" s="102"/>
      <c r="BN26" s="102"/>
      <c r="BO26" s="102"/>
      <c r="BP26" s="102"/>
      <c r="BQ26" s="102"/>
      <c r="BR26" s="102"/>
      <c r="BS26" s="102"/>
      <c r="BT26" s="102"/>
      <c r="BU26" s="102"/>
      <c r="BV26" s="102"/>
      <c r="BW26" s="102"/>
      <c r="BX26" s="102"/>
      <c r="BY26" s="102"/>
      <c r="BZ26" s="102"/>
      <c r="CA26" s="102"/>
      <c r="CB26" s="102"/>
      <c r="CC26" s="102"/>
      <c r="CD26" s="102"/>
      <c r="CE26" s="102"/>
      <c r="CF26" s="102"/>
      <c r="CG26" s="102"/>
      <c r="CH26" s="102"/>
      <c r="CI26" s="102"/>
      <c r="CJ26" s="102"/>
      <c r="CK26" s="102"/>
      <c r="CL26" s="102"/>
      <c r="CM26" s="102"/>
      <c r="CN26" s="102"/>
      <c r="CO26" s="102"/>
      <c r="CP26" s="102"/>
      <c r="CQ26" s="102"/>
      <c r="CR26" s="102"/>
      <c r="CS26" s="102"/>
      <c r="CT26" s="102"/>
      <c r="CU26" s="102"/>
      <c r="CV26" s="102"/>
      <c r="CW26" s="102"/>
      <c r="CX26" s="102"/>
      <c r="CY26" s="102"/>
      <c r="CZ26" s="102"/>
      <c r="DA26" s="102"/>
      <c r="DB26" s="102"/>
      <c r="DC26" s="102"/>
      <c r="DD26" s="102"/>
      <c r="DE26" s="102"/>
      <c r="DF26" s="102"/>
      <c r="DG26" s="102"/>
      <c r="DH26" s="102"/>
      <c r="DI26" s="102"/>
      <c r="DJ26" s="102"/>
      <c r="DK26" s="102"/>
      <c r="DL26" s="102"/>
      <c r="DM26" s="102"/>
      <c r="DN26" s="102"/>
      <c r="DO26" s="102"/>
      <c r="DP26" s="102"/>
      <c r="DQ26" s="102"/>
      <c r="DR26" s="102"/>
      <c r="DS26" s="102"/>
      <c r="DT26" s="102"/>
      <c r="DU26" s="102"/>
      <c r="DV26" s="102"/>
      <c r="DW26" s="102"/>
      <c r="DX26" s="102"/>
      <c r="DY26" s="102"/>
      <c r="DZ26" s="102"/>
      <c r="EA26" s="102"/>
      <c r="EB26" s="102"/>
      <c r="EC26" s="102"/>
      <c r="ED26" s="102"/>
      <c r="EE26" s="102"/>
      <c r="EF26" s="102"/>
      <c r="EG26" s="102"/>
      <c r="EH26" s="102"/>
      <c r="EI26" s="102"/>
      <c r="EJ26" s="102"/>
      <c r="EK26" s="102"/>
      <c r="EL26" s="102"/>
      <c r="EM26" s="102"/>
      <c r="EN26" s="102"/>
    </row>
    <row r="27">
      <c r="A27" s="110" t="s">
        <v>130</v>
      </c>
      <c r="B27" s="112"/>
      <c r="C27" s="112"/>
      <c r="D27" s="112"/>
      <c r="E27" s="112"/>
      <c r="F27" s="112"/>
      <c r="G27" s="113"/>
      <c r="H27" s="114"/>
      <c r="I27" s="116"/>
      <c r="J27" s="116"/>
      <c r="K27" s="116"/>
      <c r="L27" s="116"/>
      <c r="M27" s="116"/>
      <c r="N27" s="116"/>
      <c r="O27" s="116"/>
      <c r="P27" s="116"/>
      <c r="Q27" s="116"/>
      <c r="R27" s="116"/>
      <c r="S27" s="117"/>
      <c r="T27" s="118"/>
      <c r="U27" s="120"/>
      <c r="V27" s="120"/>
      <c r="W27" s="120"/>
      <c r="X27" s="120"/>
      <c r="Y27" s="120"/>
      <c r="Z27" s="120"/>
      <c r="AA27" s="120"/>
      <c r="AB27" s="120"/>
      <c r="AC27" s="120"/>
      <c r="AD27" s="121" t="s">
        <v>97</v>
      </c>
      <c r="AE27" s="122"/>
      <c r="AF27" s="123"/>
      <c r="AG27" s="124"/>
      <c r="AH27" s="124"/>
      <c r="AI27" s="124"/>
      <c r="AJ27" s="124"/>
      <c r="AK27" s="124"/>
      <c r="AL27" s="124"/>
      <c r="AM27" s="124"/>
      <c r="AN27" s="124"/>
      <c r="AO27" s="124"/>
      <c r="AP27" s="124"/>
      <c r="AQ27" s="126"/>
      <c r="AR27" s="127"/>
      <c r="AS27" s="128" t="s">
        <v>97</v>
      </c>
      <c r="AT27" s="129"/>
      <c r="AU27" s="128" t="s">
        <v>97</v>
      </c>
      <c r="AV27" s="129"/>
      <c r="AW27" s="129"/>
      <c r="AX27" s="129"/>
      <c r="AY27" s="129"/>
      <c r="AZ27" s="129"/>
      <c r="BA27" s="129"/>
      <c r="BB27" s="129"/>
      <c r="BC27" s="130"/>
      <c r="BD27" s="129"/>
      <c r="BE27" s="129"/>
      <c r="BF27" s="129"/>
      <c r="BG27" s="129"/>
      <c r="BH27" s="102"/>
      <c r="BI27" s="102"/>
      <c r="BJ27" s="102"/>
      <c r="BK27" s="102"/>
      <c r="BL27" s="102"/>
      <c r="BM27" s="102"/>
      <c r="BN27" s="102"/>
      <c r="BO27" s="102"/>
      <c r="BP27" s="102"/>
      <c r="BQ27" s="102"/>
      <c r="BR27" s="102"/>
      <c r="BS27" s="102"/>
      <c r="BT27" s="102"/>
      <c r="BU27" s="102"/>
      <c r="BV27" s="102"/>
      <c r="BW27" s="102"/>
      <c r="BX27" s="102"/>
      <c r="BY27" s="102"/>
      <c r="BZ27" s="102"/>
      <c r="CA27" s="102"/>
      <c r="CB27" s="102"/>
      <c r="CC27" s="102"/>
      <c r="CD27" s="102"/>
      <c r="CE27" s="102"/>
      <c r="CF27" s="102"/>
      <c r="CG27" s="102"/>
      <c r="CH27" s="102"/>
      <c r="CI27" s="102"/>
      <c r="CJ27" s="102"/>
      <c r="CK27" s="102"/>
      <c r="CL27" s="102"/>
      <c r="CM27" s="102"/>
      <c r="CN27" s="102"/>
      <c r="CO27" s="102"/>
      <c r="CP27" s="102"/>
      <c r="CQ27" s="102"/>
      <c r="CR27" s="102"/>
      <c r="CS27" s="102"/>
      <c r="CT27" s="102"/>
      <c r="CU27" s="102"/>
      <c r="CV27" s="102"/>
      <c r="CW27" s="102"/>
      <c r="CX27" s="102"/>
      <c r="CY27" s="102"/>
      <c r="CZ27" s="102"/>
      <c r="DA27" s="102"/>
      <c r="DB27" s="102"/>
      <c r="DC27" s="102"/>
      <c r="DD27" s="102"/>
      <c r="DE27" s="102"/>
      <c r="DF27" s="102"/>
      <c r="DG27" s="102"/>
      <c r="DH27" s="102"/>
      <c r="DI27" s="102"/>
      <c r="DJ27" s="102"/>
      <c r="DK27" s="102"/>
      <c r="DL27" s="102"/>
      <c r="DM27" s="102"/>
      <c r="DN27" s="102"/>
      <c r="DO27" s="102"/>
      <c r="DP27" s="102"/>
      <c r="DQ27" s="102"/>
      <c r="DR27" s="102"/>
      <c r="DS27" s="102"/>
      <c r="DT27" s="102"/>
      <c r="DU27" s="102"/>
      <c r="DV27" s="102"/>
      <c r="DW27" s="102"/>
      <c r="DX27" s="102"/>
      <c r="DY27" s="102"/>
      <c r="DZ27" s="102"/>
      <c r="EA27" s="102"/>
      <c r="EB27" s="102"/>
      <c r="EC27" s="102"/>
      <c r="ED27" s="102"/>
      <c r="EE27" s="102"/>
      <c r="EF27" s="102"/>
      <c r="EG27" s="102"/>
      <c r="EH27" s="102"/>
      <c r="EI27" s="102"/>
      <c r="EJ27" s="102"/>
      <c r="EK27" s="102"/>
      <c r="EL27" s="102"/>
      <c r="EM27" s="102"/>
      <c r="EN27" s="102"/>
    </row>
    <row r="28">
      <c r="A28" s="103" t="s">
        <v>131</v>
      </c>
      <c r="B28" s="105"/>
      <c r="C28" s="105"/>
      <c r="D28" s="103" t="s">
        <v>96</v>
      </c>
      <c r="E28" s="103" t="s">
        <v>98</v>
      </c>
      <c r="F28" s="105"/>
      <c r="G28" s="106"/>
      <c r="H28" s="107"/>
      <c r="I28" s="105"/>
      <c r="J28" s="103" t="s">
        <v>98</v>
      </c>
      <c r="K28" s="105"/>
      <c r="L28" s="105"/>
      <c r="M28" s="105"/>
      <c r="N28" s="105"/>
      <c r="O28" s="105"/>
      <c r="P28" s="103" t="s">
        <v>99</v>
      </c>
      <c r="Q28" s="105"/>
      <c r="R28" s="105"/>
      <c r="S28" s="106"/>
      <c r="T28" s="107"/>
      <c r="U28" s="105"/>
      <c r="V28" s="103" t="s">
        <v>99</v>
      </c>
      <c r="W28" s="105"/>
      <c r="X28" s="105"/>
      <c r="Y28" s="105"/>
      <c r="Z28" s="105"/>
      <c r="AA28" s="105"/>
      <c r="AB28" s="103" t="s">
        <v>99</v>
      </c>
      <c r="AC28" s="103" t="s">
        <v>97</v>
      </c>
      <c r="AD28" s="105"/>
      <c r="AE28" s="106"/>
      <c r="AF28" s="107"/>
      <c r="AG28" s="105"/>
      <c r="AH28" s="105"/>
      <c r="AI28" s="103" t="s">
        <v>99</v>
      </c>
      <c r="AJ28" s="105"/>
      <c r="AK28" s="105"/>
      <c r="AL28" s="105"/>
      <c r="AM28" s="103" t="s">
        <v>99</v>
      </c>
      <c r="AN28" s="105"/>
      <c r="AO28" s="103" t="s">
        <v>132</v>
      </c>
      <c r="AP28" s="103" t="s">
        <v>97</v>
      </c>
      <c r="AQ28" s="106"/>
      <c r="AR28" s="107"/>
      <c r="AS28" s="105"/>
      <c r="AT28" s="105"/>
      <c r="AU28" s="105"/>
      <c r="AV28" s="105"/>
      <c r="AW28" s="105"/>
      <c r="AX28" s="105"/>
      <c r="AY28" s="105"/>
      <c r="AZ28" s="105"/>
      <c r="BA28" s="105"/>
      <c r="BB28" s="105"/>
      <c r="BC28" s="106"/>
      <c r="BD28" s="105"/>
      <c r="BE28" s="105"/>
      <c r="BF28" s="105"/>
      <c r="BG28" s="105"/>
      <c r="BH28" s="102"/>
      <c r="BI28" s="102"/>
      <c r="BJ28" s="102"/>
      <c r="BK28" s="102"/>
      <c r="BL28" s="102"/>
      <c r="BM28" s="102"/>
      <c r="BN28" s="102"/>
      <c r="BO28" s="102"/>
      <c r="BP28" s="102"/>
      <c r="BQ28" s="102"/>
      <c r="BR28" s="102"/>
      <c r="BS28" s="102"/>
      <c r="BT28" s="102"/>
      <c r="BU28" s="102"/>
      <c r="BV28" s="102"/>
      <c r="BW28" s="102"/>
      <c r="BX28" s="102"/>
      <c r="BY28" s="102"/>
      <c r="BZ28" s="102"/>
      <c r="CA28" s="102"/>
      <c r="CB28" s="102"/>
      <c r="CC28" s="102"/>
      <c r="CD28" s="102"/>
      <c r="CE28" s="102"/>
      <c r="CF28" s="102"/>
      <c r="CG28" s="102"/>
      <c r="CH28" s="102"/>
      <c r="CI28" s="102"/>
      <c r="CJ28" s="102"/>
      <c r="CK28" s="102"/>
      <c r="CL28" s="102"/>
      <c r="CM28" s="102"/>
      <c r="CN28" s="102"/>
      <c r="CO28" s="102"/>
      <c r="CP28" s="102"/>
      <c r="CQ28" s="102"/>
      <c r="CR28" s="102"/>
      <c r="CS28" s="102"/>
      <c r="CT28" s="102"/>
      <c r="CU28" s="102"/>
      <c r="CV28" s="102"/>
      <c r="CW28" s="102"/>
      <c r="CX28" s="102"/>
      <c r="CY28" s="102"/>
      <c r="CZ28" s="102"/>
      <c r="DA28" s="102"/>
      <c r="DB28" s="102"/>
      <c r="DC28" s="102"/>
      <c r="DD28" s="102"/>
      <c r="DE28" s="102"/>
      <c r="DF28" s="102"/>
      <c r="DG28" s="102"/>
      <c r="DH28" s="102"/>
      <c r="DI28" s="102"/>
      <c r="DJ28" s="102"/>
      <c r="DK28" s="102"/>
      <c r="DL28" s="102"/>
      <c r="DM28" s="102"/>
      <c r="DN28" s="102"/>
      <c r="DO28" s="102"/>
      <c r="DP28" s="102"/>
      <c r="DQ28" s="102"/>
      <c r="DR28" s="102"/>
      <c r="DS28" s="102"/>
      <c r="DT28" s="102"/>
      <c r="DU28" s="102"/>
      <c r="DV28" s="102"/>
      <c r="DW28" s="102"/>
      <c r="DX28" s="102"/>
      <c r="DY28" s="102"/>
      <c r="DZ28" s="102"/>
      <c r="EA28" s="102"/>
      <c r="EB28" s="102"/>
      <c r="EC28" s="102"/>
      <c r="ED28" s="102"/>
      <c r="EE28" s="102"/>
      <c r="EF28" s="102"/>
      <c r="EG28" s="102"/>
      <c r="EH28" s="102"/>
      <c r="EI28" s="102"/>
      <c r="EJ28" s="102"/>
      <c r="EK28" s="102"/>
      <c r="EL28" s="102"/>
      <c r="EM28" s="102"/>
      <c r="EN28" s="102"/>
    </row>
    <row r="29">
      <c r="A29" s="138" t="s">
        <v>133</v>
      </c>
      <c r="B29" s="110" t="s">
        <v>96</v>
      </c>
      <c r="C29" s="112"/>
      <c r="D29" s="112"/>
      <c r="E29" s="110" t="s">
        <v>98</v>
      </c>
      <c r="F29" s="112"/>
      <c r="G29" s="113"/>
      <c r="H29" s="114"/>
      <c r="I29" s="116"/>
      <c r="J29" s="115" t="s">
        <v>98</v>
      </c>
      <c r="K29" s="116"/>
      <c r="L29" s="116"/>
      <c r="M29" s="116"/>
      <c r="N29" s="116"/>
      <c r="O29" s="116"/>
      <c r="P29" s="115" t="s">
        <v>99</v>
      </c>
      <c r="Q29" s="116"/>
      <c r="R29" s="116"/>
      <c r="S29" s="117"/>
      <c r="T29" s="118"/>
      <c r="U29" s="120"/>
      <c r="V29" s="121" t="s">
        <v>99</v>
      </c>
      <c r="W29" s="120"/>
      <c r="X29" s="120"/>
      <c r="Y29" s="120"/>
      <c r="Z29" s="120"/>
      <c r="AA29" s="120"/>
      <c r="AB29" s="121" t="s">
        <v>99</v>
      </c>
      <c r="AC29" s="121" t="s">
        <v>97</v>
      </c>
      <c r="AD29" s="120"/>
      <c r="AE29" s="122"/>
      <c r="AF29" s="123"/>
      <c r="AG29" s="124"/>
      <c r="AH29" s="124"/>
      <c r="AI29" s="125" t="s">
        <v>99</v>
      </c>
      <c r="AJ29" s="124"/>
      <c r="AK29" s="124"/>
      <c r="AL29" s="124"/>
      <c r="AM29" s="125" t="s">
        <v>99</v>
      </c>
      <c r="AN29" s="124"/>
      <c r="AO29" s="125" t="s">
        <v>97</v>
      </c>
      <c r="AP29" s="124"/>
      <c r="AQ29" s="126"/>
      <c r="AR29" s="127"/>
      <c r="AS29" s="129"/>
      <c r="AT29" s="128" t="s">
        <v>97</v>
      </c>
      <c r="AU29" s="128" t="s">
        <v>97</v>
      </c>
      <c r="AV29" s="129"/>
      <c r="AW29" s="129"/>
      <c r="AX29" s="129"/>
      <c r="AY29" s="129"/>
      <c r="AZ29" s="129"/>
      <c r="BA29" s="129"/>
      <c r="BB29" s="129"/>
      <c r="BC29" s="130"/>
      <c r="BD29" s="129"/>
      <c r="BE29" s="129"/>
      <c r="BF29" s="129"/>
      <c r="BG29" s="129"/>
      <c r="BH29" s="102"/>
      <c r="BI29" s="102"/>
      <c r="BJ29" s="102"/>
      <c r="BK29" s="102"/>
      <c r="BL29" s="102"/>
      <c r="BM29" s="102"/>
      <c r="BN29" s="102"/>
      <c r="BO29" s="102"/>
      <c r="BP29" s="102"/>
      <c r="BQ29" s="102"/>
      <c r="BR29" s="102"/>
      <c r="BS29" s="102"/>
      <c r="BT29" s="102"/>
      <c r="BU29" s="102"/>
      <c r="BV29" s="102"/>
      <c r="BW29" s="102"/>
      <c r="BX29" s="102"/>
      <c r="BY29" s="102"/>
      <c r="BZ29" s="102"/>
      <c r="CA29" s="102"/>
      <c r="CB29" s="102"/>
      <c r="CC29" s="102"/>
      <c r="CD29" s="102"/>
      <c r="CE29" s="102"/>
      <c r="CF29" s="102"/>
      <c r="CG29" s="102"/>
      <c r="CH29" s="102"/>
      <c r="CI29" s="102"/>
      <c r="CJ29" s="102"/>
      <c r="CK29" s="102"/>
      <c r="CL29" s="102"/>
      <c r="CM29" s="102"/>
      <c r="CN29" s="102"/>
      <c r="CO29" s="102"/>
      <c r="CP29" s="102"/>
      <c r="CQ29" s="102"/>
      <c r="CR29" s="102"/>
      <c r="CS29" s="102"/>
      <c r="CT29" s="102"/>
      <c r="CU29" s="102"/>
      <c r="CV29" s="102"/>
      <c r="CW29" s="102"/>
      <c r="CX29" s="102"/>
      <c r="CY29" s="102"/>
      <c r="CZ29" s="102"/>
      <c r="DA29" s="102"/>
      <c r="DB29" s="102"/>
      <c r="DC29" s="102"/>
      <c r="DD29" s="102"/>
      <c r="DE29" s="102"/>
      <c r="DF29" s="102"/>
      <c r="DG29" s="102"/>
      <c r="DH29" s="102"/>
      <c r="DI29" s="102"/>
      <c r="DJ29" s="102"/>
      <c r="DK29" s="102"/>
      <c r="DL29" s="102"/>
      <c r="DM29" s="102"/>
      <c r="DN29" s="102"/>
      <c r="DO29" s="102"/>
      <c r="DP29" s="102"/>
      <c r="DQ29" s="102"/>
      <c r="DR29" s="102"/>
      <c r="DS29" s="102"/>
      <c r="DT29" s="102"/>
      <c r="DU29" s="102"/>
      <c r="DV29" s="102"/>
      <c r="DW29" s="102"/>
      <c r="DX29" s="102"/>
      <c r="DY29" s="102"/>
      <c r="DZ29" s="102"/>
      <c r="EA29" s="102"/>
      <c r="EB29" s="102"/>
      <c r="EC29" s="102"/>
      <c r="ED29" s="102"/>
      <c r="EE29" s="102"/>
      <c r="EF29" s="102"/>
      <c r="EG29" s="102"/>
      <c r="EH29" s="102"/>
      <c r="EI29" s="102"/>
      <c r="EJ29" s="102"/>
      <c r="EK29" s="102"/>
      <c r="EL29" s="102"/>
      <c r="EM29" s="102"/>
      <c r="EN29" s="102"/>
    </row>
    <row r="30">
      <c r="A30" s="139" t="s">
        <v>134</v>
      </c>
      <c r="B30" s="103" t="s">
        <v>96</v>
      </c>
      <c r="C30" s="105"/>
      <c r="D30" s="105"/>
      <c r="E30" s="103" t="s">
        <v>98</v>
      </c>
      <c r="F30" s="105"/>
      <c r="G30" s="106"/>
      <c r="H30" s="107"/>
      <c r="I30" s="105"/>
      <c r="J30" s="103" t="s">
        <v>98</v>
      </c>
      <c r="K30" s="105"/>
      <c r="L30" s="105"/>
      <c r="M30" s="105"/>
      <c r="N30" s="105"/>
      <c r="O30" s="105"/>
      <c r="P30" s="103" t="s">
        <v>99</v>
      </c>
      <c r="Q30" s="105"/>
      <c r="R30" s="105"/>
      <c r="S30" s="106"/>
      <c r="T30" s="107"/>
      <c r="U30" s="105"/>
      <c r="V30" s="103" t="s">
        <v>99</v>
      </c>
      <c r="W30" s="105"/>
      <c r="X30" s="105"/>
      <c r="Y30" s="105"/>
      <c r="Z30" s="105"/>
      <c r="AA30" s="105"/>
      <c r="AB30" s="103" t="s">
        <v>99</v>
      </c>
      <c r="AC30" s="103" t="s">
        <v>97</v>
      </c>
      <c r="AD30" s="105"/>
      <c r="AE30" s="106"/>
      <c r="AF30" s="107"/>
      <c r="AG30" s="105"/>
      <c r="AH30" s="105"/>
      <c r="AI30" s="103" t="s">
        <v>99</v>
      </c>
      <c r="AJ30" s="105"/>
      <c r="AK30" s="105"/>
      <c r="AL30" s="105"/>
      <c r="AM30" s="103" t="s">
        <v>99</v>
      </c>
      <c r="AN30" s="105"/>
      <c r="AO30" s="103" t="s">
        <v>97</v>
      </c>
      <c r="AP30" s="105"/>
      <c r="AQ30" s="106"/>
      <c r="AR30" s="107"/>
      <c r="AS30" s="105"/>
      <c r="AT30" s="105"/>
      <c r="AU30" s="103" t="s">
        <v>97</v>
      </c>
      <c r="AV30" s="105"/>
      <c r="AW30" s="105"/>
      <c r="AX30" s="105"/>
      <c r="AY30" s="105"/>
      <c r="AZ30" s="105"/>
      <c r="BA30" s="105"/>
      <c r="BB30" s="105"/>
      <c r="BC30" s="106"/>
      <c r="BD30" s="105"/>
      <c r="BE30" s="105"/>
      <c r="BF30" s="105"/>
      <c r="BG30" s="105"/>
      <c r="BH30" s="102"/>
      <c r="BI30" s="102"/>
      <c r="BJ30" s="102"/>
      <c r="BK30" s="102"/>
      <c r="BL30" s="102"/>
      <c r="BM30" s="102"/>
      <c r="BN30" s="102"/>
      <c r="BO30" s="102"/>
      <c r="BP30" s="102"/>
      <c r="BQ30" s="102"/>
      <c r="BR30" s="102"/>
      <c r="BS30" s="102"/>
      <c r="BT30" s="102"/>
      <c r="BU30" s="102"/>
      <c r="BV30" s="102"/>
      <c r="BW30" s="102"/>
      <c r="BX30" s="102"/>
      <c r="BY30" s="102"/>
      <c r="BZ30" s="102"/>
      <c r="CA30" s="102"/>
      <c r="CB30" s="102"/>
      <c r="CC30" s="102"/>
      <c r="CD30" s="102"/>
      <c r="CE30" s="102"/>
      <c r="CF30" s="102"/>
      <c r="CG30" s="102"/>
      <c r="CH30" s="102"/>
      <c r="CI30" s="102"/>
      <c r="CJ30" s="102"/>
      <c r="CK30" s="102"/>
      <c r="CL30" s="102"/>
      <c r="CM30" s="102"/>
      <c r="CN30" s="102"/>
      <c r="CO30" s="102"/>
      <c r="CP30" s="102"/>
      <c r="CQ30" s="102"/>
      <c r="CR30" s="102"/>
      <c r="CS30" s="102"/>
      <c r="CT30" s="102"/>
      <c r="CU30" s="102"/>
      <c r="CV30" s="102"/>
      <c r="CW30" s="102"/>
      <c r="CX30" s="102"/>
      <c r="CY30" s="102"/>
      <c r="CZ30" s="102"/>
      <c r="DA30" s="102"/>
      <c r="DB30" s="102"/>
      <c r="DC30" s="102"/>
      <c r="DD30" s="102"/>
      <c r="DE30" s="102"/>
      <c r="DF30" s="102"/>
      <c r="DG30" s="102"/>
      <c r="DH30" s="102"/>
      <c r="DI30" s="102"/>
      <c r="DJ30" s="102"/>
      <c r="DK30" s="102"/>
      <c r="DL30" s="102"/>
      <c r="DM30" s="102"/>
      <c r="DN30" s="102"/>
      <c r="DO30" s="102"/>
      <c r="DP30" s="102"/>
      <c r="DQ30" s="102"/>
      <c r="DR30" s="102"/>
      <c r="DS30" s="102"/>
      <c r="DT30" s="102"/>
      <c r="DU30" s="102"/>
      <c r="DV30" s="102"/>
      <c r="DW30" s="102"/>
      <c r="DX30" s="102"/>
      <c r="DY30" s="102"/>
      <c r="DZ30" s="102"/>
      <c r="EA30" s="102"/>
      <c r="EB30" s="102"/>
      <c r="EC30" s="102"/>
      <c r="ED30" s="102"/>
      <c r="EE30" s="102"/>
      <c r="EF30" s="102"/>
      <c r="EG30" s="102"/>
      <c r="EH30" s="102"/>
      <c r="EI30" s="102"/>
      <c r="EJ30" s="102"/>
      <c r="EK30" s="102"/>
      <c r="EL30" s="102"/>
      <c r="EM30" s="102"/>
      <c r="EN30" s="102"/>
    </row>
    <row r="31">
      <c r="A31" s="110" t="s">
        <v>135</v>
      </c>
      <c r="B31" s="110" t="s">
        <v>97</v>
      </c>
      <c r="C31" s="110" t="s">
        <v>96</v>
      </c>
      <c r="D31" s="110" t="s">
        <v>98</v>
      </c>
      <c r="E31" s="110" t="s">
        <v>99</v>
      </c>
      <c r="F31" s="110" t="s">
        <v>97</v>
      </c>
      <c r="G31" s="137" t="s">
        <v>96</v>
      </c>
      <c r="H31" s="132" t="s">
        <v>98</v>
      </c>
      <c r="I31" s="115" t="s">
        <v>99</v>
      </c>
      <c r="J31" s="115" t="s">
        <v>97</v>
      </c>
      <c r="K31" s="115" t="s">
        <v>97</v>
      </c>
      <c r="L31" s="115" t="s">
        <v>96</v>
      </c>
      <c r="M31" s="115" t="s">
        <v>99</v>
      </c>
      <c r="N31" s="115" t="s">
        <v>97</v>
      </c>
      <c r="O31" s="115" t="s">
        <v>99</v>
      </c>
      <c r="P31" s="115" t="s">
        <v>99</v>
      </c>
      <c r="Q31" s="115" t="s">
        <v>98</v>
      </c>
      <c r="R31" s="115" t="s">
        <v>96</v>
      </c>
      <c r="S31" s="115" t="s">
        <v>99</v>
      </c>
      <c r="T31" s="119" t="s">
        <v>96</v>
      </c>
      <c r="U31" s="121" t="s">
        <v>96</v>
      </c>
      <c r="V31" s="121" t="s">
        <v>99</v>
      </c>
      <c r="W31" s="121" t="s">
        <v>99</v>
      </c>
      <c r="X31" s="121" t="s">
        <v>99</v>
      </c>
      <c r="Y31" s="121" t="s">
        <v>99</v>
      </c>
      <c r="Z31" s="121" t="s">
        <v>97</v>
      </c>
      <c r="AA31" s="121" t="s">
        <v>99</v>
      </c>
      <c r="AB31" s="121" t="s">
        <v>97</v>
      </c>
      <c r="AC31" s="121" t="s">
        <v>96</v>
      </c>
      <c r="AD31" s="121" t="s">
        <v>97</v>
      </c>
      <c r="AE31" s="140" t="s">
        <v>99</v>
      </c>
      <c r="AF31" s="134" t="s">
        <v>98</v>
      </c>
      <c r="AG31" s="125" t="s">
        <v>99</v>
      </c>
      <c r="AH31" s="125" t="s">
        <v>99</v>
      </c>
      <c r="AI31" s="125" t="s">
        <v>99</v>
      </c>
      <c r="AJ31" s="125" t="s">
        <v>99</v>
      </c>
      <c r="AK31" s="125" t="s">
        <v>96</v>
      </c>
      <c r="AL31" s="125" t="s">
        <v>99</v>
      </c>
      <c r="AM31" s="125" t="s">
        <v>99</v>
      </c>
      <c r="AN31" s="125" t="s">
        <v>97</v>
      </c>
      <c r="AO31" s="125" t="s">
        <v>97</v>
      </c>
      <c r="AP31" s="125" t="s">
        <v>97</v>
      </c>
      <c r="AQ31" s="133" t="s">
        <v>98</v>
      </c>
      <c r="AR31" s="135" t="s">
        <v>99</v>
      </c>
      <c r="AS31" s="128" t="s">
        <v>98</v>
      </c>
      <c r="AT31" s="128" t="s">
        <v>96</v>
      </c>
      <c r="AU31" s="128" t="s">
        <v>96</v>
      </c>
      <c r="AV31" s="129"/>
      <c r="AW31" s="129"/>
      <c r="AX31" s="129"/>
      <c r="AY31" s="129"/>
      <c r="AZ31" s="129"/>
      <c r="BA31" s="129"/>
      <c r="BB31" s="129"/>
      <c r="BC31" s="130"/>
      <c r="BD31" s="129"/>
      <c r="BE31" s="129"/>
      <c r="BF31" s="129"/>
      <c r="BG31" s="129"/>
      <c r="BH31" s="102"/>
      <c r="BI31" s="102"/>
      <c r="BJ31" s="102"/>
      <c r="BK31" s="102"/>
      <c r="BL31" s="102"/>
      <c r="BM31" s="102"/>
      <c r="BN31" s="102"/>
      <c r="BO31" s="102"/>
      <c r="BP31" s="102"/>
      <c r="BQ31" s="102"/>
      <c r="BR31" s="102"/>
      <c r="BS31" s="102"/>
      <c r="BT31" s="102"/>
      <c r="BU31" s="102"/>
      <c r="BV31" s="102"/>
      <c r="BW31" s="102"/>
      <c r="BX31" s="102"/>
      <c r="BY31" s="102"/>
      <c r="BZ31" s="102"/>
      <c r="CA31" s="102"/>
      <c r="CB31" s="102"/>
      <c r="CC31" s="102"/>
      <c r="CD31" s="102"/>
      <c r="CE31" s="102"/>
      <c r="CF31" s="102"/>
      <c r="CG31" s="102"/>
      <c r="CH31" s="102"/>
      <c r="CI31" s="102"/>
      <c r="CJ31" s="102"/>
      <c r="CK31" s="102"/>
      <c r="CL31" s="102"/>
      <c r="CM31" s="102"/>
      <c r="CN31" s="102"/>
      <c r="CO31" s="102"/>
      <c r="CP31" s="102"/>
      <c r="CQ31" s="102"/>
      <c r="CR31" s="102"/>
      <c r="CS31" s="102"/>
      <c r="CT31" s="102"/>
      <c r="CU31" s="102"/>
      <c r="CV31" s="102"/>
      <c r="CW31" s="102"/>
      <c r="CX31" s="102"/>
      <c r="CY31" s="102"/>
      <c r="CZ31" s="102"/>
      <c r="DA31" s="102"/>
      <c r="DB31" s="102"/>
      <c r="DC31" s="102"/>
      <c r="DD31" s="102"/>
      <c r="DE31" s="102"/>
      <c r="DF31" s="102"/>
      <c r="DG31" s="102"/>
      <c r="DH31" s="102"/>
      <c r="DI31" s="102"/>
      <c r="DJ31" s="102"/>
      <c r="DK31" s="102"/>
      <c r="DL31" s="102"/>
      <c r="DM31" s="102"/>
      <c r="DN31" s="102"/>
      <c r="DO31" s="102"/>
      <c r="DP31" s="102"/>
      <c r="DQ31" s="102"/>
      <c r="DR31" s="102"/>
      <c r="DS31" s="102"/>
      <c r="DT31" s="102"/>
      <c r="DU31" s="102"/>
      <c r="DV31" s="102"/>
      <c r="DW31" s="102"/>
      <c r="DX31" s="102"/>
      <c r="DY31" s="102"/>
      <c r="DZ31" s="102"/>
      <c r="EA31" s="102"/>
      <c r="EB31" s="102"/>
      <c r="EC31" s="102"/>
      <c r="ED31" s="102"/>
      <c r="EE31" s="102"/>
      <c r="EF31" s="102"/>
      <c r="EG31" s="102"/>
      <c r="EH31" s="102"/>
      <c r="EI31" s="102"/>
      <c r="EJ31" s="102"/>
      <c r="EK31" s="102"/>
      <c r="EL31" s="102"/>
      <c r="EM31" s="102"/>
      <c r="EN31" s="102"/>
    </row>
    <row r="32">
      <c r="A32" s="103" t="s">
        <v>137</v>
      </c>
      <c r="B32" s="105"/>
      <c r="C32" s="105"/>
      <c r="D32" s="105"/>
      <c r="E32" s="105"/>
      <c r="F32" s="105"/>
      <c r="G32" s="106"/>
      <c r="H32" s="107"/>
      <c r="I32" s="105"/>
      <c r="J32" s="105"/>
      <c r="K32" s="105"/>
      <c r="L32" s="105"/>
      <c r="M32" s="105"/>
      <c r="N32" s="105"/>
      <c r="O32" s="105"/>
      <c r="P32" s="105"/>
      <c r="Q32" s="105"/>
      <c r="R32" s="105"/>
      <c r="S32" s="106"/>
      <c r="T32" s="107"/>
      <c r="U32" s="105"/>
      <c r="V32" s="105"/>
      <c r="W32" s="105"/>
      <c r="X32" s="105"/>
      <c r="Y32" s="105"/>
      <c r="Z32" s="105"/>
      <c r="AA32" s="105"/>
      <c r="AB32" s="105"/>
      <c r="AC32" s="105"/>
      <c r="AD32" s="105"/>
      <c r="AE32" s="106"/>
      <c r="AF32" s="107"/>
      <c r="AG32" s="105"/>
      <c r="AH32" s="105"/>
      <c r="AI32" s="105"/>
      <c r="AJ32" s="105"/>
      <c r="AK32" s="105"/>
      <c r="AL32" s="105"/>
      <c r="AM32" s="105"/>
      <c r="AN32" s="105"/>
      <c r="AO32" s="105"/>
      <c r="AP32" s="105"/>
      <c r="AQ32" s="106"/>
      <c r="AR32" s="107"/>
      <c r="AS32" s="103" t="s">
        <v>99</v>
      </c>
      <c r="AT32" s="105"/>
      <c r="AU32" s="105"/>
      <c r="AV32" s="105"/>
      <c r="AW32" s="105"/>
      <c r="AX32" s="105"/>
      <c r="AY32" s="105"/>
      <c r="AZ32" s="105"/>
      <c r="BA32" s="105"/>
      <c r="BB32" s="105"/>
      <c r="BC32" s="106"/>
      <c r="BD32" s="105"/>
      <c r="BE32" s="105"/>
      <c r="BF32" s="105"/>
      <c r="BG32" s="105"/>
      <c r="BH32" s="102"/>
      <c r="BI32" s="102"/>
      <c r="BJ32" s="102"/>
      <c r="BK32" s="102"/>
      <c r="BL32" s="102"/>
      <c r="BM32" s="102"/>
      <c r="BN32" s="102"/>
      <c r="BO32" s="102"/>
      <c r="BP32" s="102"/>
      <c r="BQ32" s="102"/>
      <c r="BR32" s="102"/>
      <c r="BS32" s="102"/>
      <c r="BT32" s="102"/>
      <c r="BU32" s="102"/>
      <c r="BV32" s="102"/>
      <c r="BW32" s="102"/>
      <c r="BX32" s="102"/>
      <c r="BY32" s="102"/>
      <c r="BZ32" s="102"/>
      <c r="CA32" s="102"/>
      <c r="CB32" s="102"/>
      <c r="CC32" s="102"/>
      <c r="CD32" s="102"/>
      <c r="CE32" s="102"/>
      <c r="CF32" s="102"/>
      <c r="CG32" s="102"/>
      <c r="CH32" s="102"/>
      <c r="CI32" s="102"/>
      <c r="CJ32" s="102"/>
      <c r="CK32" s="102"/>
      <c r="CL32" s="102"/>
      <c r="CM32" s="102"/>
      <c r="CN32" s="102"/>
      <c r="CO32" s="102"/>
      <c r="CP32" s="102"/>
      <c r="CQ32" s="102"/>
      <c r="CR32" s="102"/>
      <c r="CS32" s="102"/>
      <c r="CT32" s="102"/>
      <c r="CU32" s="102"/>
      <c r="CV32" s="102"/>
      <c r="CW32" s="102"/>
      <c r="CX32" s="102"/>
      <c r="CY32" s="102"/>
      <c r="CZ32" s="102"/>
      <c r="DA32" s="102"/>
      <c r="DB32" s="102"/>
      <c r="DC32" s="102"/>
      <c r="DD32" s="102"/>
      <c r="DE32" s="102"/>
      <c r="DF32" s="102"/>
      <c r="DG32" s="102"/>
      <c r="DH32" s="102"/>
      <c r="DI32" s="102"/>
      <c r="DJ32" s="102"/>
      <c r="DK32" s="102"/>
      <c r="DL32" s="102"/>
      <c r="DM32" s="102"/>
      <c r="DN32" s="102"/>
      <c r="DO32" s="102"/>
      <c r="DP32" s="102"/>
      <c r="DQ32" s="102"/>
      <c r="DR32" s="102"/>
      <c r="DS32" s="102"/>
      <c r="DT32" s="102"/>
      <c r="DU32" s="102"/>
      <c r="DV32" s="102"/>
      <c r="DW32" s="102"/>
      <c r="DX32" s="102"/>
      <c r="DY32" s="102"/>
      <c r="DZ32" s="102"/>
      <c r="EA32" s="102"/>
      <c r="EB32" s="102"/>
      <c r="EC32" s="102"/>
      <c r="ED32" s="102"/>
      <c r="EE32" s="102"/>
      <c r="EF32" s="102"/>
      <c r="EG32" s="102"/>
      <c r="EH32" s="102"/>
      <c r="EI32" s="102"/>
      <c r="EJ32" s="102"/>
      <c r="EK32" s="102"/>
      <c r="EL32" s="102"/>
      <c r="EM32" s="102"/>
      <c r="EN32" s="102"/>
    </row>
    <row r="33">
      <c r="A33" s="110" t="s">
        <v>138</v>
      </c>
      <c r="B33" s="112"/>
      <c r="C33" s="112"/>
      <c r="D33" s="112"/>
      <c r="E33" s="112"/>
      <c r="F33" s="112"/>
      <c r="G33" s="113"/>
      <c r="H33" s="114"/>
      <c r="I33" s="116"/>
      <c r="J33" s="116"/>
      <c r="K33" s="116"/>
      <c r="L33" s="116"/>
      <c r="M33" s="116"/>
      <c r="N33" s="116"/>
      <c r="O33" s="116"/>
      <c r="P33" s="116"/>
      <c r="Q33" s="116"/>
      <c r="R33" s="116"/>
      <c r="S33" s="117"/>
      <c r="T33" s="118"/>
      <c r="U33" s="120"/>
      <c r="V33" s="120"/>
      <c r="W33" s="120"/>
      <c r="X33" s="120"/>
      <c r="Y33" s="120"/>
      <c r="Z33" s="120"/>
      <c r="AA33" s="120"/>
      <c r="AB33" s="120"/>
      <c r="AC33" s="120"/>
      <c r="AD33" s="120"/>
      <c r="AE33" s="122"/>
      <c r="AF33" s="123"/>
      <c r="AG33" s="124"/>
      <c r="AH33" s="124"/>
      <c r="AI33" s="124"/>
      <c r="AJ33" s="124"/>
      <c r="AK33" s="124"/>
      <c r="AL33" s="124"/>
      <c r="AM33" s="124"/>
      <c r="AN33" s="124"/>
      <c r="AO33" s="124"/>
      <c r="AP33" s="124"/>
      <c r="AQ33" s="126"/>
      <c r="AR33" s="127"/>
      <c r="AS33" s="128" t="s">
        <v>99</v>
      </c>
      <c r="AT33" s="129"/>
      <c r="AU33" s="129"/>
      <c r="AV33" s="129"/>
      <c r="AW33" s="129"/>
      <c r="AX33" s="129"/>
      <c r="AY33" s="129"/>
      <c r="AZ33" s="129"/>
      <c r="BA33" s="129"/>
      <c r="BB33" s="129"/>
      <c r="BC33" s="130"/>
      <c r="BD33" s="129"/>
      <c r="BE33" s="129"/>
      <c r="BF33" s="129"/>
      <c r="BG33" s="129"/>
      <c r="BH33" s="102"/>
      <c r="BI33" s="102"/>
      <c r="BJ33" s="102"/>
      <c r="BK33" s="102"/>
      <c r="BL33" s="102"/>
      <c r="BM33" s="102"/>
      <c r="BN33" s="102"/>
      <c r="BO33" s="102"/>
      <c r="BP33" s="102"/>
      <c r="BQ33" s="102"/>
      <c r="BR33" s="102"/>
      <c r="BS33" s="102"/>
      <c r="BT33" s="102"/>
      <c r="BU33" s="102"/>
      <c r="BV33" s="102"/>
      <c r="BW33" s="102"/>
      <c r="BX33" s="102"/>
      <c r="BY33" s="102"/>
      <c r="BZ33" s="102"/>
      <c r="CA33" s="102"/>
      <c r="CB33" s="102"/>
      <c r="CC33" s="102"/>
      <c r="CD33" s="102"/>
      <c r="CE33" s="102"/>
      <c r="CF33" s="102"/>
      <c r="CG33" s="102"/>
      <c r="CH33" s="102"/>
      <c r="CI33" s="102"/>
      <c r="CJ33" s="102"/>
      <c r="CK33" s="102"/>
      <c r="CL33" s="102"/>
      <c r="CM33" s="102"/>
      <c r="CN33" s="102"/>
      <c r="CO33" s="102"/>
      <c r="CP33" s="102"/>
      <c r="CQ33" s="102"/>
      <c r="CR33" s="102"/>
      <c r="CS33" s="102"/>
      <c r="CT33" s="102"/>
      <c r="CU33" s="102"/>
      <c r="CV33" s="102"/>
      <c r="CW33" s="102"/>
      <c r="CX33" s="102"/>
      <c r="CY33" s="102"/>
      <c r="CZ33" s="102"/>
      <c r="DA33" s="102"/>
      <c r="DB33" s="102"/>
      <c r="DC33" s="102"/>
      <c r="DD33" s="102"/>
      <c r="DE33" s="102"/>
      <c r="DF33" s="102"/>
      <c r="DG33" s="102"/>
      <c r="DH33" s="102"/>
      <c r="DI33" s="102"/>
      <c r="DJ33" s="102"/>
      <c r="DK33" s="102"/>
      <c r="DL33" s="102"/>
      <c r="DM33" s="102"/>
      <c r="DN33" s="102"/>
      <c r="DO33" s="102"/>
      <c r="DP33" s="102"/>
      <c r="DQ33" s="102"/>
      <c r="DR33" s="102"/>
      <c r="DS33" s="102"/>
      <c r="DT33" s="102"/>
      <c r="DU33" s="102"/>
      <c r="DV33" s="102"/>
      <c r="DW33" s="102"/>
      <c r="DX33" s="102"/>
      <c r="DY33" s="102"/>
      <c r="DZ33" s="102"/>
      <c r="EA33" s="102"/>
      <c r="EB33" s="102"/>
      <c r="EC33" s="102"/>
      <c r="ED33" s="102"/>
      <c r="EE33" s="102"/>
      <c r="EF33" s="102"/>
      <c r="EG33" s="102"/>
      <c r="EH33" s="102"/>
      <c r="EI33" s="102"/>
      <c r="EJ33" s="102"/>
      <c r="EK33" s="102"/>
      <c r="EL33" s="102"/>
      <c r="EM33" s="102"/>
      <c r="EN33" s="102"/>
    </row>
    <row r="34">
      <c r="A34" s="103" t="s">
        <v>139</v>
      </c>
      <c r="B34" s="105"/>
      <c r="C34" s="105"/>
      <c r="D34" s="105"/>
      <c r="E34" s="105"/>
      <c r="F34" s="105"/>
      <c r="G34" s="106"/>
      <c r="H34" s="107"/>
      <c r="I34" s="105"/>
      <c r="J34" s="105"/>
      <c r="K34" s="105"/>
      <c r="L34" s="105"/>
      <c r="M34" s="105"/>
      <c r="N34" s="105"/>
      <c r="O34" s="105"/>
      <c r="P34" s="105"/>
      <c r="Q34" s="105"/>
      <c r="R34" s="105"/>
      <c r="S34" s="106"/>
      <c r="T34" s="107"/>
      <c r="U34" s="103" t="s">
        <v>98</v>
      </c>
      <c r="V34" s="105"/>
      <c r="W34" s="105"/>
      <c r="X34" s="105"/>
      <c r="Y34" s="105"/>
      <c r="Z34" s="105"/>
      <c r="AA34" s="105"/>
      <c r="AB34" s="105"/>
      <c r="AC34" s="105"/>
      <c r="AD34" s="105"/>
      <c r="AE34" s="106"/>
      <c r="AF34" s="107"/>
      <c r="AG34" s="105"/>
      <c r="AH34" s="105"/>
      <c r="AI34" s="105"/>
      <c r="AJ34" s="105"/>
      <c r="AK34" s="105"/>
      <c r="AL34" s="105"/>
      <c r="AM34" s="105"/>
      <c r="AN34" s="105"/>
      <c r="AO34" s="105"/>
      <c r="AP34" s="105"/>
      <c r="AQ34" s="106"/>
      <c r="AR34" s="107"/>
      <c r="AS34" s="103" t="s">
        <v>98</v>
      </c>
      <c r="AT34" s="105"/>
      <c r="AU34" s="105"/>
      <c r="AV34" s="105"/>
      <c r="AW34" s="105"/>
      <c r="AX34" s="105"/>
      <c r="AY34" s="105"/>
      <c r="AZ34" s="105"/>
      <c r="BA34" s="105"/>
      <c r="BB34" s="105"/>
      <c r="BC34" s="106"/>
      <c r="BD34" s="105"/>
      <c r="BE34" s="105"/>
      <c r="BF34" s="105"/>
      <c r="BG34" s="105"/>
      <c r="BH34" s="102"/>
      <c r="BI34" s="102"/>
      <c r="BJ34" s="102"/>
      <c r="BK34" s="102"/>
      <c r="BL34" s="102"/>
      <c r="BM34" s="102"/>
      <c r="BN34" s="102"/>
      <c r="BO34" s="102"/>
      <c r="BP34" s="102"/>
      <c r="BQ34" s="102"/>
      <c r="BR34" s="102"/>
      <c r="BS34" s="102"/>
      <c r="BT34" s="102"/>
      <c r="BU34" s="102"/>
      <c r="BV34" s="102"/>
      <c r="BW34" s="102"/>
      <c r="BX34" s="102"/>
      <c r="BY34" s="102"/>
      <c r="BZ34" s="102"/>
      <c r="CA34" s="102"/>
      <c r="CB34" s="102"/>
      <c r="CC34" s="102"/>
      <c r="CD34" s="102"/>
      <c r="CE34" s="102"/>
      <c r="CF34" s="102"/>
      <c r="CG34" s="102"/>
      <c r="CH34" s="102"/>
      <c r="CI34" s="102"/>
      <c r="CJ34" s="102"/>
      <c r="CK34" s="102"/>
      <c r="CL34" s="102"/>
      <c r="CM34" s="102"/>
      <c r="CN34" s="102"/>
      <c r="CO34" s="102"/>
      <c r="CP34" s="102"/>
      <c r="CQ34" s="102"/>
      <c r="CR34" s="102"/>
      <c r="CS34" s="102"/>
      <c r="CT34" s="102"/>
      <c r="CU34" s="102"/>
      <c r="CV34" s="102"/>
      <c r="CW34" s="102"/>
      <c r="CX34" s="102"/>
      <c r="CY34" s="102"/>
      <c r="CZ34" s="102"/>
      <c r="DA34" s="102"/>
      <c r="DB34" s="102"/>
      <c r="DC34" s="102"/>
      <c r="DD34" s="102"/>
      <c r="DE34" s="102"/>
      <c r="DF34" s="102"/>
      <c r="DG34" s="102"/>
      <c r="DH34" s="102"/>
      <c r="DI34" s="102"/>
      <c r="DJ34" s="102"/>
      <c r="DK34" s="102"/>
      <c r="DL34" s="102"/>
      <c r="DM34" s="102"/>
      <c r="DN34" s="102"/>
      <c r="DO34" s="102"/>
      <c r="DP34" s="102"/>
      <c r="DQ34" s="102"/>
      <c r="DR34" s="102"/>
      <c r="DS34" s="102"/>
      <c r="DT34" s="102"/>
      <c r="DU34" s="102"/>
      <c r="DV34" s="102"/>
      <c r="DW34" s="102"/>
      <c r="DX34" s="102"/>
      <c r="DY34" s="102"/>
      <c r="DZ34" s="102"/>
      <c r="EA34" s="102"/>
      <c r="EB34" s="102"/>
      <c r="EC34" s="102"/>
      <c r="ED34" s="102"/>
      <c r="EE34" s="102"/>
      <c r="EF34" s="102"/>
      <c r="EG34" s="102"/>
      <c r="EH34" s="102"/>
      <c r="EI34" s="102"/>
      <c r="EJ34" s="102"/>
      <c r="EK34" s="102"/>
      <c r="EL34" s="102"/>
      <c r="EM34" s="102"/>
      <c r="EN34" s="102"/>
    </row>
    <row r="35">
      <c r="A35" s="138" t="s">
        <v>140</v>
      </c>
      <c r="B35" s="110" t="s">
        <v>97</v>
      </c>
      <c r="C35" s="110" t="s">
        <v>97</v>
      </c>
      <c r="D35" s="110" t="s">
        <v>97</v>
      </c>
      <c r="E35" s="110" t="s">
        <v>97</v>
      </c>
      <c r="F35" s="110" t="s">
        <v>97</v>
      </c>
      <c r="G35" s="137" t="s">
        <v>97</v>
      </c>
      <c r="H35" s="132" t="s">
        <v>97</v>
      </c>
      <c r="I35" s="115" t="s">
        <v>97</v>
      </c>
      <c r="J35" s="115" t="s">
        <v>97</v>
      </c>
      <c r="K35" s="115" t="s">
        <v>98</v>
      </c>
      <c r="L35" s="115" t="s">
        <v>98</v>
      </c>
      <c r="M35" s="115" t="s">
        <v>99</v>
      </c>
      <c r="N35" s="115" t="s">
        <v>97</v>
      </c>
      <c r="O35" s="115" t="s">
        <v>99</v>
      </c>
      <c r="P35" s="115" t="s">
        <v>99</v>
      </c>
      <c r="Q35" s="115" t="s">
        <v>97</v>
      </c>
      <c r="R35" s="115" t="s">
        <v>97</v>
      </c>
      <c r="S35" s="143" t="s">
        <v>97</v>
      </c>
      <c r="T35" s="119" t="s">
        <v>97</v>
      </c>
      <c r="U35" s="121" t="s">
        <v>99</v>
      </c>
      <c r="V35" s="121" t="s">
        <v>99</v>
      </c>
      <c r="W35" s="121" t="s">
        <v>99</v>
      </c>
      <c r="X35" s="121" t="s">
        <v>99</v>
      </c>
      <c r="Y35" s="121" t="s">
        <v>98</v>
      </c>
      <c r="Z35" s="121" t="s">
        <v>98</v>
      </c>
      <c r="AA35" s="121" t="s">
        <v>99</v>
      </c>
      <c r="AB35" s="121" t="s">
        <v>98</v>
      </c>
      <c r="AC35" s="121" t="s">
        <v>99</v>
      </c>
      <c r="AD35" s="121" t="s">
        <v>98</v>
      </c>
      <c r="AE35" s="140" t="s">
        <v>99</v>
      </c>
      <c r="AF35" s="134" t="s">
        <v>98</v>
      </c>
      <c r="AG35" s="125" t="s">
        <v>99</v>
      </c>
      <c r="AH35" s="125" t="s">
        <v>99</v>
      </c>
      <c r="AI35" s="125" t="s">
        <v>99</v>
      </c>
      <c r="AJ35" s="125" t="s">
        <v>99</v>
      </c>
      <c r="AK35" s="125" t="s">
        <v>98</v>
      </c>
      <c r="AL35" s="125" t="s">
        <v>99</v>
      </c>
      <c r="AM35" s="125" t="s">
        <v>99</v>
      </c>
      <c r="AN35" s="125" t="s">
        <v>98</v>
      </c>
      <c r="AO35" s="125" t="s">
        <v>99</v>
      </c>
      <c r="AP35" s="125" t="s">
        <v>96</v>
      </c>
      <c r="AQ35" s="133" t="s">
        <v>96</v>
      </c>
      <c r="AR35" s="135" t="s">
        <v>99</v>
      </c>
      <c r="AS35" s="128" t="s">
        <v>99</v>
      </c>
      <c r="AT35" s="128" t="s">
        <v>96</v>
      </c>
      <c r="AU35" s="128" t="s">
        <v>96</v>
      </c>
      <c r="AV35" s="129"/>
      <c r="AW35" s="129"/>
      <c r="AX35" s="129"/>
      <c r="AY35" s="129"/>
      <c r="AZ35" s="129"/>
      <c r="BA35" s="129"/>
      <c r="BB35" s="129"/>
      <c r="BC35" s="130"/>
      <c r="BD35" s="129"/>
      <c r="BE35" s="129"/>
      <c r="BF35" s="129"/>
      <c r="BG35" s="129"/>
      <c r="BH35" s="102"/>
      <c r="BI35" s="102"/>
      <c r="BJ35" s="102"/>
      <c r="BK35" s="102"/>
      <c r="BL35" s="102"/>
      <c r="BM35" s="102"/>
      <c r="BN35" s="102"/>
      <c r="BO35" s="102"/>
      <c r="BP35" s="102"/>
      <c r="BQ35" s="102"/>
      <c r="BR35" s="102"/>
      <c r="BS35" s="102"/>
      <c r="BT35" s="102"/>
      <c r="BU35" s="102"/>
      <c r="BV35" s="102"/>
      <c r="BW35" s="102"/>
      <c r="BX35" s="102"/>
      <c r="BY35" s="102"/>
      <c r="BZ35" s="102"/>
      <c r="CA35" s="102"/>
      <c r="CB35" s="102"/>
      <c r="CC35" s="102"/>
      <c r="CD35" s="102"/>
      <c r="CE35" s="102"/>
      <c r="CF35" s="102"/>
      <c r="CG35" s="102"/>
      <c r="CH35" s="102"/>
      <c r="CI35" s="102"/>
      <c r="CJ35" s="102"/>
      <c r="CK35" s="102"/>
      <c r="CL35" s="102"/>
      <c r="CM35" s="102"/>
      <c r="CN35" s="102"/>
      <c r="CO35" s="102"/>
      <c r="CP35" s="102"/>
      <c r="CQ35" s="102"/>
      <c r="CR35" s="102"/>
      <c r="CS35" s="102"/>
      <c r="CT35" s="102"/>
      <c r="CU35" s="102"/>
      <c r="CV35" s="102"/>
      <c r="CW35" s="102"/>
      <c r="CX35" s="102"/>
      <c r="CY35" s="102"/>
      <c r="CZ35" s="102"/>
      <c r="DA35" s="102"/>
      <c r="DB35" s="102"/>
      <c r="DC35" s="102"/>
      <c r="DD35" s="102"/>
      <c r="DE35" s="102"/>
      <c r="DF35" s="102"/>
      <c r="DG35" s="102"/>
      <c r="DH35" s="102"/>
      <c r="DI35" s="102"/>
      <c r="DJ35" s="102"/>
      <c r="DK35" s="102"/>
      <c r="DL35" s="102"/>
      <c r="DM35" s="102"/>
      <c r="DN35" s="102"/>
      <c r="DO35" s="102"/>
      <c r="DP35" s="102"/>
      <c r="DQ35" s="102"/>
      <c r="DR35" s="102"/>
      <c r="DS35" s="102"/>
      <c r="DT35" s="102"/>
      <c r="DU35" s="102"/>
      <c r="DV35" s="102"/>
      <c r="DW35" s="102"/>
      <c r="DX35" s="102"/>
      <c r="DY35" s="102"/>
      <c r="DZ35" s="102"/>
      <c r="EA35" s="102"/>
      <c r="EB35" s="102"/>
      <c r="EC35" s="102"/>
      <c r="ED35" s="102"/>
      <c r="EE35" s="102"/>
      <c r="EF35" s="102"/>
      <c r="EG35" s="102"/>
      <c r="EH35" s="102"/>
      <c r="EI35" s="102"/>
      <c r="EJ35" s="102"/>
      <c r="EK35" s="102"/>
      <c r="EL35" s="102"/>
      <c r="EM35" s="102"/>
      <c r="EN35" s="102"/>
    </row>
    <row r="36">
      <c r="A36" s="139" t="s">
        <v>141</v>
      </c>
      <c r="B36" s="103" t="s">
        <v>98</v>
      </c>
      <c r="C36" s="103" t="s">
        <v>99</v>
      </c>
      <c r="D36" s="103" t="s">
        <v>99</v>
      </c>
      <c r="E36" s="103" t="s">
        <v>96</v>
      </c>
      <c r="F36" s="103" t="s">
        <v>99</v>
      </c>
      <c r="G36" s="136" t="s">
        <v>99</v>
      </c>
      <c r="H36" s="108" t="s">
        <v>98</v>
      </c>
      <c r="I36" s="103" t="s">
        <v>99</v>
      </c>
      <c r="J36" s="103" t="s">
        <v>99</v>
      </c>
      <c r="K36" s="103" t="s">
        <v>97</v>
      </c>
      <c r="L36" s="103" t="s">
        <v>99</v>
      </c>
      <c r="M36" s="103" t="s">
        <v>99</v>
      </c>
      <c r="N36" s="103" t="s">
        <v>97</v>
      </c>
      <c r="O36" s="103" t="s">
        <v>99</v>
      </c>
      <c r="P36" s="103" t="s">
        <v>99</v>
      </c>
      <c r="Q36" s="103" t="s">
        <v>99</v>
      </c>
      <c r="R36" s="103" t="s">
        <v>99</v>
      </c>
      <c r="S36" s="103" t="s">
        <v>99</v>
      </c>
      <c r="T36" s="103" t="s">
        <v>99</v>
      </c>
      <c r="U36" s="103" t="s">
        <v>99</v>
      </c>
      <c r="V36" s="103" t="s">
        <v>99</v>
      </c>
      <c r="W36" s="103" t="s">
        <v>99</v>
      </c>
      <c r="X36" s="103" t="s">
        <v>99</v>
      </c>
      <c r="Y36" s="103" t="s">
        <v>99</v>
      </c>
      <c r="Z36" s="103" t="s">
        <v>96</v>
      </c>
      <c r="AA36" s="103" t="s">
        <v>99</v>
      </c>
      <c r="AB36" s="103" t="s">
        <v>96</v>
      </c>
      <c r="AC36" s="103" t="s">
        <v>99</v>
      </c>
      <c r="AD36" s="103" t="s">
        <v>99</v>
      </c>
      <c r="AE36" s="136" t="s">
        <v>99</v>
      </c>
      <c r="AF36" s="108" t="s">
        <v>97</v>
      </c>
      <c r="AG36" s="103" t="s">
        <v>99</v>
      </c>
      <c r="AH36" s="103" t="s">
        <v>99</v>
      </c>
      <c r="AI36" s="103" t="s">
        <v>99</v>
      </c>
      <c r="AJ36" s="103" t="s">
        <v>99</v>
      </c>
      <c r="AK36" s="103" t="s">
        <v>99</v>
      </c>
      <c r="AL36" s="103" t="s">
        <v>99</v>
      </c>
      <c r="AM36" s="103" t="s">
        <v>99</v>
      </c>
      <c r="AN36" s="103" t="s">
        <v>99</v>
      </c>
      <c r="AO36" s="103" t="s">
        <v>99</v>
      </c>
      <c r="AP36" s="103" t="s">
        <v>99</v>
      </c>
      <c r="AQ36" s="136" t="s">
        <v>99</v>
      </c>
      <c r="AR36" s="108" t="s">
        <v>99</v>
      </c>
      <c r="AS36" s="103" t="s">
        <v>99</v>
      </c>
      <c r="AT36" s="103" t="s">
        <v>97</v>
      </c>
      <c r="AU36" s="103" t="s">
        <v>97</v>
      </c>
      <c r="AV36" s="105"/>
      <c r="AW36" s="105"/>
      <c r="AX36" s="105"/>
      <c r="AY36" s="105"/>
      <c r="AZ36" s="105"/>
      <c r="BA36" s="105"/>
      <c r="BB36" s="105"/>
      <c r="BC36" s="106"/>
      <c r="BD36" s="105"/>
      <c r="BE36" s="105"/>
      <c r="BF36" s="105"/>
      <c r="BG36" s="105"/>
      <c r="BH36" s="102"/>
      <c r="BI36" s="102"/>
      <c r="BJ36" s="102"/>
      <c r="BK36" s="102"/>
      <c r="BL36" s="102"/>
      <c r="BM36" s="102"/>
      <c r="BN36" s="102"/>
      <c r="BO36" s="102"/>
      <c r="BP36" s="102"/>
      <c r="BQ36" s="102"/>
      <c r="BR36" s="102"/>
      <c r="BS36" s="102"/>
      <c r="BT36" s="102"/>
      <c r="BU36" s="102"/>
      <c r="BV36" s="102"/>
      <c r="BW36" s="102"/>
      <c r="BX36" s="102"/>
      <c r="BY36" s="102"/>
      <c r="BZ36" s="102"/>
      <c r="CA36" s="102"/>
      <c r="CB36" s="102"/>
      <c r="CC36" s="102"/>
      <c r="CD36" s="102"/>
      <c r="CE36" s="102"/>
      <c r="CF36" s="102"/>
      <c r="CG36" s="102"/>
      <c r="CH36" s="102"/>
      <c r="CI36" s="102"/>
      <c r="CJ36" s="102"/>
      <c r="CK36" s="102"/>
      <c r="CL36" s="102"/>
      <c r="CM36" s="102"/>
      <c r="CN36" s="102"/>
      <c r="CO36" s="102"/>
      <c r="CP36" s="102"/>
      <c r="CQ36" s="102"/>
      <c r="CR36" s="102"/>
      <c r="CS36" s="102"/>
      <c r="CT36" s="102"/>
      <c r="CU36" s="102"/>
      <c r="CV36" s="102"/>
      <c r="CW36" s="102"/>
      <c r="CX36" s="102"/>
      <c r="CY36" s="102"/>
      <c r="CZ36" s="102"/>
      <c r="DA36" s="102"/>
      <c r="DB36" s="102"/>
      <c r="DC36" s="102"/>
      <c r="DD36" s="102"/>
      <c r="DE36" s="102"/>
      <c r="DF36" s="102"/>
      <c r="DG36" s="102"/>
      <c r="DH36" s="102"/>
      <c r="DI36" s="102"/>
      <c r="DJ36" s="102"/>
      <c r="DK36" s="102"/>
      <c r="DL36" s="102"/>
      <c r="DM36" s="102"/>
      <c r="DN36" s="102"/>
      <c r="DO36" s="102"/>
      <c r="DP36" s="102"/>
      <c r="DQ36" s="102"/>
      <c r="DR36" s="102"/>
      <c r="DS36" s="102"/>
      <c r="DT36" s="102"/>
      <c r="DU36" s="102"/>
      <c r="DV36" s="102"/>
      <c r="DW36" s="102"/>
      <c r="DX36" s="102"/>
      <c r="DY36" s="102"/>
      <c r="DZ36" s="102"/>
      <c r="EA36" s="102"/>
      <c r="EB36" s="102"/>
      <c r="EC36" s="102"/>
      <c r="ED36" s="102"/>
      <c r="EE36" s="102"/>
      <c r="EF36" s="102"/>
      <c r="EG36" s="102"/>
      <c r="EH36" s="102"/>
      <c r="EI36" s="102"/>
      <c r="EJ36" s="102"/>
      <c r="EK36" s="102"/>
      <c r="EL36" s="102"/>
      <c r="EM36" s="102"/>
      <c r="EN36" s="102"/>
    </row>
    <row r="37">
      <c r="A37" s="110" t="s">
        <v>142</v>
      </c>
      <c r="B37" s="112"/>
      <c r="C37" s="112"/>
      <c r="D37" s="112"/>
      <c r="E37" s="112"/>
      <c r="F37" s="112"/>
      <c r="G37" s="113"/>
      <c r="H37" s="114"/>
      <c r="I37" s="116"/>
      <c r="J37" s="116"/>
      <c r="K37" s="116"/>
      <c r="L37" s="116"/>
      <c r="M37" s="116"/>
      <c r="N37" s="116"/>
      <c r="O37" s="116"/>
      <c r="P37" s="116"/>
      <c r="Q37" s="115" t="s">
        <v>97</v>
      </c>
      <c r="R37" s="115" t="s">
        <v>97</v>
      </c>
      <c r="S37" s="117"/>
      <c r="T37" s="118"/>
      <c r="U37" s="120"/>
      <c r="V37" s="121" t="s">
        <v>97</v>
      </c>
      <c r="W37" s="120"/>
      <c r="X37" s="120"/>
      <c r="Y37" s="121" t="s">
        <v>97</v>
      </c>
      <c r="Z37" s="120"/>
      <c r="AA37" s="120"/>
      <c r="AB37" s="121" t="s">
        <v>98</v>
      </c>
      <c r="AC37" s="120"/>
      <c r="AD37" s="120"/>
      <c r="AE37" s="122"/>
      <c r="AF37" s="123"/>
      <c r="AG37" s="124"/>
      <c r="AH37" s="124"/>
      <c r="AI37" s="124"/>
      <c r="AJ37" s="124"/>
      <c r="AK37" s="125" t="s">
        <v>97</v>
      </c>
      <c r="AL37" s="124"/>
      <c r="AM37" s="124"/>
      <c r="AN37" s="124"/>
      <c r="AO37" s="125" t="s">
        <v>98</v>
      </c>
      <c r="AP37" s="124"/>
      <c r="AQ37" s="133" t="s">
        <v>97</v>
      </c>
      <c r="AR37" s="127"/>
      <c r="AS37" s="129"/>
      <c r="AT37" s="129"/>
      <c r="AU37" s="128" t="s">
        <v>98</v>
      </c>
      <c r="AV37" s="129"/>
      <c r="AW37" s="129"/>
      <c r="AX37" s="129"/>
      <c r="AY37" s="129"/>
      <c r="AZ37" s="129"/>
      <c r="BA37" s="129"/>
      <c r="BB37" s="129"/>
      <c r="BC37" s="130"/>
      <c r="BD37" s="129"/>
      <c r="BE37" s="129"/>
      <c r="BF37" s="129"/>
      <c r="BG37" s="129"/>
      <c r="BH37" s="102"/>
      <c r="BI37" s="102"/>
      <c r="BJ37" s="102"/>
      <c r="BK37" s="102"/>
      <c r="BL37" s="102"/>
      <c r="BM37" s="102"/>
      <c r="BN37" s="102"/>
      <c r="BO37" s="102"/>
      <c r="BP37" s="102"/>
      <c r="BQ37" s="102"/>
      <c r="BR37" s="102"/>
      <c r="BS37" s="102"/>
      <c r="BT37" s="102"/>
      <c r="BU37" s="102"/>
      <c r="BV37" s="102"/>
      <c r="BW37" s="102"/>
      <c r="BX37" s="102"/>
      <c r="BY37" s="102"/>
      <c r="BZ37" s="102"/>
      <c r="CA37" s="102"/>
      <c r="CB37" s="102"/>
      <c r="CC37" s="102"/>
      <c r="CD37" s="102"/>
      <c r="CE37" s="102"/>
      <c r="CF37" s="102"/>
      <c r="CG37" s="102"/>
      <c r="CH37" s="102"/>
      <c r="CI37" s="102"/>
      <c r="CJ37" s="102"/>
      <c r="CK37" s="102"/>
      <c r="CL37" s="102"/>
      <c r="CM37" s="102"/>
      <c r="CN37" s="102"/>
      <c r="CO37" s="102"/>
      <c r="CP37" s="102"/>
      <c r="CQ37" s="102"/>
      <c r="CR37" s="102"/>
      <c r="CS37" s="102"/>
      <c r="CT37" s="102"/>
      <c r="CU37" s="102"/>
      <c r="CV37" s="102"/>
      <c r="CW37" s="102"/>
      <c r="CX37" s="102"/>
      <c r="CY37" s="102"/>
      <c r="CZ37" s="102"/>
      <c r="DA37" s="102"/>
      <c r="DB37" s="102"/>
      <c r="DC37" s="102"/>
      <c r="DD37" s="102"/>
      <c r="DE37" s="102"/>
      <c r="DF37" s="102"/>
      <c r="DG37" s="102"/>
      <c r="DH37" s="102"/>
      <c r="DI37" s="102"/>
      <c r="DJ37" s="102"/>
      <c r="DK37" s="102"/>
      <c r="DL37" s="102"/>
      <c r="DM37" s="102"/>
      <c r="DN37" s="102"/>
      <c r="DO37" s="102"/>
      <c r="DP37" s="102"/>
      <c r="DQ37" s="102"/>
      <c r="DR37" s="102"/>
      <c r="DS37" s="102"/>
      <c r="DT37" s="102"/>
      <c r="DU37" s="102"/>
      <c r="DV37" s="102"/>
      <c r="DW37" s="102"/>
      <c r="DX37" s="102"/>
      <c r="DY37" s="102"/>
      <c r="DZ37" s="102"/>
      <c r="EA37" s="102"/>
      <c r="EB37" s="102"/>
      <c r="EC37" s="102"/>
      <c r="ED37" s="102"/>
      <c r="EE37" s="102"/>
      <c r="EF37" s="102"/>
      <c r="EG37" s="102"/>
      <c r="EH37" s="102"/>
      <c r="EI37" s="102"/>
      <c r="EJ37" s="102"/>
      <c r="EK37" s="102"/>
      <c r="EL37" s="102"/>
      <c r="EM37" s="102"/>
      <c r="EN37" s="102"/>
    </row>
    <row r="38">
      <c r="A38" s="103" t="s">
        <v>143</v>
      </c>
      <c r="B38" s="105"/>
      <c r="C38" s="103" t="s">
        <v>97</v>
      </c>
      <c r="D38" s="105"/>
      <c r="E38" s="105"/>
      <c r="F38" s="105"/>
      <c r="G38" s="106"/>
      <c r="H38" s="107"/>
      <c r="I38" s="103" t="s">
        <v>96</v>
      </c>
      <c r="J38" s="105"/>
      <c r="K38" s="105"/>
      <c r="L38" s="105"/>
      <c r="M38" s="105"/>
      <c r="N38" s="105"/>
      <c r="O38" s="103" t="s">
        <v>97</v>
      </c>
      <c r="P38" s="103" t="s">
        <v>99</v>
      </c>
      <c r="Q38" s="103" t="s">
        <v>97</v>
      </c>
      <c r="R38" s="103" t="s">
        <v>97</v>
      </c>
      <c r="S38" s="136" t="s">
        <v>97</v>
      </c>
      <c r="T38" s="107"/>
      <c r="U38" s="105"/>
      <c r="V38" s="105"/>
      <c r="W38" s="105"/>
      <c r="X38" s="105"/>
      <c r="Y38" s="103" t="s">
        <v>99</v>
      </c>
      <c r="Z38" s="105"/>
      <c r="AA38" s="105"/>
      <c r="AB38" s="103" t="s">
        <v>96</v>
      </c>
      <c r="AC38" s="103" t="s">
        <v>96</v>
      </c>
      <c r="AD38" s="103" t="s">
        <v>96</v>
      </c>
      <c r="AE38" s="106"/>
      <c r="AF38" s="107"/>
      <c r="AG38" s="105"/>
      <c r="AH38" s="105"/>
      <c r="AI38" s="105"/>
      <c r="AJ38" s="103" t="s">
        <v>99</v>
      </c>
      <c r="AK38" s="103" t="s">
        <v>96</v>
      </c>
      <c r="AL38" s="105"/>
      <c r="AM38" s="105"/>
      <c r="AN38" s="105"/>
      <c r="AO38" s="105"/>
      <c r="AP38" s="103" t="s">
        <v>97</v>
      </c>
      <c r="AQ38" s="106"/>
      <c r="AR38" s="107"/>
      <c r="AS38" s="105"/>
      <c r="AT38" s="105"/>
      <c r="AU38" s="103" t="s">
        <v>106</v>
      </c>
      <c r="AV38" s="105"/>
      <c r="AW38" s="105"/>
      <c r="AX38" s="105"/>
      <c r="AY38" s="105"/>
      <c r="AZ38" s="105"/>
      <c r="BA38" s="105"/>
      <c r="BB38" s="105"/>
      <c r="BC38" s="106"/>
      <c r="BD38" s="105"/>
      <c r="BE38" s="105"/>
      <c r="BF38" s="105"/>
      <c r="BG38" s="105"/>
      <c r="BH38" s="102"/>
      <c r="BI38" s="102"/>
      <c r="BJ38" s="102"/>
      <c r="BK38" s="102"/>
      <c r="BL38" s="102"/>
      <c r="BM38" s="102"/>
      <c r="BN38" s="102"/>
      <c r="BO38" s="102"/>
      <c r="BP38" s="102"/>
      <c r="BQ38" s="102"/>
      <c r="BR38" s="102"/>
      <c r="BS38" s="102"/>
      <c r="BT38" s="102"/>
      <c r="BU38" s="102"/>
      <c r="BV38" s="102"/>
      <c r="BW38" s="102"/>
      <c r="BX38" s="102"/>
      <c r="BY38" s="102"/>
      <c r="BZ38" s="102"/>
      <c r="CA38" s="102"/>
      <c r="CB38" s="102"/>
      <c r="CC38" s="102"/>
      <c r="CD38" s="102"/>
      <c r="CE38" s="102"/>
      <c r="CF38" s="102"/>
      <c r="CG38" s="102"/>
      <c r="CH38" s="102"/>
      <c r="CI38" s="102"/>
      <c r="CJ38" s="102"/>
      <c r="CK38" s="102"/>
      <c r="CL38" s="102"/>
      <c r="CM38" s="102"/>
      <c r="CN38" s="102"/>
      <c r="CO38" s="102"/>
      <c r="CP38" s="102"/>
      <c r="CQ38" s="102"/>
      <c r="CR38" s="102"/>
      <c r="CS38" s="102"/>
      <c r="CT38" s="102"/>
      <c r="CU38" s="102"/>
      <c r="CV38" s="102"/>
      <c r="CW38" s="102"/>
      <c r="CX38" s="102"/>
      <c r="CY38" s="102"/>
      <c r="CZ38" s="102"/>
      <c r="DA38" s="102"/>
      <c r="DB38" s="102"/>
      <c r="DC38" s="102"/>
      <c r="DD38" s="102"/>
      <c r="DE38" s="102"/>
      <c r="DF38" s="102"/>
      <c r="DG38" s="102"/>
      <c r="DH38" s="102"/>
      <c r="DI38" s="102"/>
      <c r="DJ38" s="102"/>
      <c r="DK38" s="102"/>
      <c r="DL38" s="102"/>
      <c r="DM38" s="102"/>
      <c r="DN38" s="102"/>
      <c r="DO38" s="102"/>
      <c r="DP38" s="102"/>
      <c r="DQ38" s="102"/>
      <c r="DR38" s="102"/>
      <c r="DS38" s="102"/>
      <c r="DT38" s="102"/>
      <c r="DU38" s="102"/>
      <c r="DV38" s="102"/>
      <c r="DW38" s="102"/>
      <c r="DX38" s="102"/>
      <c r="DY38" s="102"/>
      <c r="DZ38" s="102"/>
      <c r="EA38" s="102"/>
      <c r="EB38" s="102"/>
      <c r="EC38" s="102"/>
      <c r="ED38" s="102"/>
      <c r="EE38" s="102"/>
      <c r="EF38" s="102"/>
      <c r="EG38" s="102"/>
      <c r="EH38" s="102"/>
      <c r="EI38" s="102"/>
      <c r="EJ38" s="102"/>
      <c r="EK38" s="102"/>
      <c r="EL38" s="102"/>
      <c r="EM38" s="102"/>
      <c r="EN38" s="102"/>
    </row>
    <row r="39">
      <c r="A39" s="110" t="s">
        <v>144</v>
      </c>
      <c r="B39" s="110" t="s">
        <v>97</v>
      </c>
      <c r="C39" s="110" t="s">
        <v>97</v>
      </c>
      <c r="D39" s="112"/>
      <c r="E39" s="112"/>
      <c r="F39" s="112"/>
      <c r="G39" s="113"/>
      <c r="H39" s="132" t="s">
        <v>98</v>
      </c>
      <c r="I39" s="116"/>
      <c r="J39" s="116"/>
      <c r="K39" s="116"/>
      <c r="L39" s="116"/>
      <c r="M39" s="116"/>
      <c r="N39" s="115" t="s">
        <v>96</v>
      </c>
      <c r="O39" s="115" t="s">
        <v>98</v>
      </c>
      <c r="P39" s="115" t="s">
        <v>99</v>
      </c>
      <c r="Q39" s="116"/>
      <c r="R39" s="116"/>
      <c r="S39" s="117"/>
      <c r="T39" s="119" t="s">
        <v>97</v>
      </c>
      <c r="U39" s="120"/>
      <c r="V39" s="121" t="s">
        <v>97</v>
      </c>
      <c r="W39" s="120"/>
      <c r="X39" s="120"/>
      <c r="Y39" s="120"/>
      <c r="Z39" s="121" t="s">
        <v>97</v>
      </c>
      <c r="AA39" s="120"/>
      <c r="AB39" s="120"/>
      <c r="AC39" s="121" t="s">
        <v>98</v>
      </c>
      <c r="AD39" s="121" t="s">
        <v>96</v>
      </c>
      <c r="AE39" s="122"/>
      <c r="AF39" s="123"/>
      <c r="AG39" s="124"/>
      <c r="AH39" s="124"/>
      <c r="AI39" s="124"/>
      <c r="AJ39" s="125" t="s">
        <v>99</v>
      </c>
      <c r="AK39" s="125" t="s">
        <v>98</v>
      </c>
      <c r="AL39" s="124"/>
      <c r="AM39" s="124"/>
      <c r="AN39" s="124"/>
      <c r="AO39" s="124"/>
      <c r="AP39" s="124"/>
      <c r="AQ39" s="133" t="s">
        <v>99</v>
      </c>
      <c r="AR39" s="127"/>
      <c r="AS39" s="128" t="s">
        <v>98</v>
      </c>
      <c r="AT39" s="129"/>
      <c r="AU39" s="129"/>
      <c r="AV39" s="129"/>
      <c r="AW39" s="129"/>
      <c r="AX39" s="129"/>
      <c r="AY39" s="129"/>
      <c r="AZ39" s="129"/>
      <c r="BA39" s="129"/>
      <c r="BB39" s="129"/>
      <c r="BC39" s="130"/>
      <c r="BD39" s="129"/>
      <c r="BE39" s="129"/>
      <c r="BF39" s="129"/>
      <c r="BG39" s="129"/>
      <c r="BH39" s="102"/>
      <c r="BI39" s="102"/>
      <c r="BJ39" s="102"/>
      <c r="BK39" s="102"/>
      <c r="BL39" s="102"/>
      <c r="BM39" s="102"/>
      <c r="BN39" s="102"/>
      <c r="BO39" s="102"/>
      <c r="BP39" s="102"/>
      <c r="BQ39" s="102"/>
      <c r="BR39" s="102"/>
      <c r="BS39" s="102"/>
      <c r="BT39" s="102"/>
      <c r="BU39" s="102"/>
      <c r="BV39" s="102"/>
      <c r="BW39" s="102"/>
      <c r="BX39" s="102"/>
      <c r="BY39" s="102"/>
      <c r="BZ39" s="102"/>
      <c r="CA39" s="102"/>
      <c r="CB39" s="102"/>
      <c r="CC39" s="102"/>
      <c r="CD39" s="102"/>
      <c r="CE39" s="102"/>
      <c r="CF39" s="102"/>
      <c r="CG39" s="102"/>
      <c r="CH39" s="102"/>
      <c r="CI39" s="102"/>
      <c r="CJ39" s="102"/>
      <c r="CK39" s="102"/>
      <c r="CL39" s="102"/>
      <c r="CM39" s="102"/>
      <c r="CN39" s="102"/>
      <c r="CO39" s="102"/>
      <c r="CP39" s="102"/>
      <c r="CQ39" s="102"/>
      <c r="CR39" s="102"/>
      <c r="CS39" s="102"/>
      <c r="CT39" s="102"/>
      <c r="CU39" s="102"/>
      <c r="CV39" s="102"/>
      <c r="CW39" s="102"/>
      <c r="CX39" s="102"/>
      <c r="CY39" s="102"/>
      <c r="CZ39" s="102"/>
      <c r="DA39" s="102"/>
      <c r="DB39" s="102"/>
      <c r="DC39" s="102"/>
      <c r="DD39" s="102"/>
      <c r="DE39" s="102"/>
      <c r="DF39" s="102"/>
      <c r="DG39" s="102"/>
      <c r="DH39" s="102"/>
      <c r="DI39" s="102"/>
      <c r="DJ39" s="102"/>
      <c r="DK39" s="102"/>
      <c r="DL39" s="102"/>
      <c r="DM39" s="102"/>
      <c r="DN39" s="102"/>
      <c r="DO39" s="102"/>
      <c r="DP39" s="102"/>
      <c r="DQ39" s="102"/>
      <c r="DR39" s="102"/>
      <c r="DS39" s="102"/>
      <c r="DT39" s="102"/>
      <c r="DU39" s="102"/>
      <c r="DV39" s="102"/>
      <c r="DW39" s="102"/>
      <c r="DX39" s="102"/>
      <c r="DY39" s="102"/>
      <c r="DZ39" s="102"/>
      <c r="EA39" s="102"/>
      <c r="EB39" s="102"/>
      <c r="EC39" s="102"/>
      <c r="ED39" s="102"/>
      <c r="EE39" s="102"/>
      <c r="EF39" s="102"/>
      <c r="EG39" s="102"/>
      <c r="EH39" s="102"/>
      <c r="EI39" s="102"/>
      <c r="EJ39" s="102"/>
      <c r="EK39" s="102"/>
      <c r="EL39" s="102"/>
      <c r="EM39" s="102"/>
      <c r="EN39" s="102"/>
    </row>
    <row r="40">
      <c r="A40" s="139" t="s">
        <v>145</v>
      </c>
      <c r="B40" s="105"/>
      <c r="C40" s="103" t="s">
        <v>98</v>
      </c>
      <c r="D40" s="105"/>
      <c r="E40" s="105"/>
      <c r="F40" s="105"/>
      <c r="G40" s="106"/>
      <c r="H40" s="107"/>
      <c r="I40" s="105"/>
      <c r="J40" s="103" t="s">
        <v>98</v>
      </c>
      <c r="K40" s="105"/>
      <c r="L40" s="105"/>
      <c r="M40" s="105"/>
      <c r="N40" s="105"/>
      <c r="O40" s="105"/>
      <c r="P40" s="103" t="s">
        <v>99</v>
      </c>
      <c r="Q40" s="105"/>
      <c r="R40" s="105"/>
      <c r="S40" s="105"/>
      <c r="T40" s="105"/>
      <c r="U40" s="105"/>
      <c r="V40" s="103" t="s">
        <v>99</v>
      </c>
      <c r="W40" s="105"/>
      <c r="X40" s="105"/>
      <c r="Y40" s="105"/>
      <c r="Z40" s="105"/>
      <c r="AA40" s="105"/>
      <c r="AB40" s="103" t="s">
        <v>99</v>
      </c>
      <c r="AC40" s="103" t="s">
        <v>98</v>
      </c>
      <c r="AD40" s="105"/>
      <c r="AE40" s="106"/>
      <c r="AF40" s="107"/>
      <c r="AG40" s="105"/>
      <c r="AH40" s="105"/>
      <c r="AI40" s="103" t="s">
        <v>99</v>
      </c>
      <c r="AJ40" s="105"/>
      <c r="AK40" s="105"/>
      <c r="AL40" s="105"/>
      <c r="AM40" s="103" t="s">
        <v>99</v>
      </c>
      <c r="AN40" s="105"/>
      <c r="AO40" s="103" t="s">
        <v>97</v>
      </c>
      <c r="AP40" s="103" t="s">
        <v>97</v>
      </c>
      <c r="AQ40" s="106"/>
      <c r="AR40" s="107"/>
      <c r="AS40" s="105"/>
      <c r="AT40" s="105"/>
      <c r="AU40" s="103" t="s">
        <v>106</v>
      </c>
      <c r="AV40" s="105"/>
      <c r="AW40" s="105"/>
      <c r="AX40" s="105"/>
      <c r="AY40" s="105"/>
      <c r="AZ40" s="105"/>
      <c r="BA40" s="105"/>
      <c r="BB40" s="105"/>
      <c r="BC40" s="106"/>
      <c r="BD40" s="105"/>
      <c r="BE40" s="105"/>
      <c r="BF40" s="105"/>
      <c r="BG40" s="105"/>
      <c r="BH40" s="102"/>
      <c r="BI40" s="102"/>
      <c r="BJ40" s="102"/>
      <c r="BK40" s="102"/>
      <c r="BL40" s="102"/>
      <c r="BM40" s="102"/>
      <c r="BN40" s="102"/>
      <c r="BO40" s="102"/>
      <c r="BP40" s="102"/>
      <c r="BQ40" s="102"/>
      <c r="BR40" s="102"/>
      <c r="BS40" s="102"/>
      <c r="BT40" s="102"/>
      <c r="BU40" s="102"/>
      <c r="BV40" s="102"/>
      <c r="BW40" s="102"/>
      <c r="BX40" s="102"/>
      <c r="BY40" s="102"/>
      <c r="BZ40" s="102"/>
      <c r="CA40" s="102"/>
      <c r="CB40" s="102"/>
      <c r="CC40" s="102"/>
      <c r="CD40" s="102"/>
      <c r="CE40" s="102"/>
      <c r="CF40" s="102"/>
      <c r="CG40" s="102"/>
      <c r="CH40" s="102"/>
      <c r="CI40" s="102"/>
      <c r="CJ40" s="102"/>
      <c r="CK40" s="102"/>
      <c r="CL40" s="102"/>
      <c r="CM40" s="102"/>
      <c r="CN40" s="102"/>
      <c r="CO40" s="102"/>
      <c r="CP40" s="102"/>
      <c r="CQ40" s="102"/>
      <c r="CR40" s="102"/>
      <c r="CS40" s="102"/>
      <c r="CT40" s="102"/>
      <c r="CU40" s="102"/>
      <c r="CV40" s="102"/>
      <c r="CW40" s="102"/>
      <c r="CX40" s="102"/>
      <c r="CY40" s="102"/>
      <c r="CZ40" s="102"/>
      <c r="DA40" s="102"/>
      <c r="DB40" s="102"/>
      <c r="DC40" s="102"/>
      <c r="DD40" s="102"/>
      <c r="DE40" s="102"/>
      <c r="DF40" s="102"/>
      <c r="DG40" s="102"/>
      <c r="DH40" s="102"/>
      <c r="DI40" s="102"/>
      <c r="DJ40" s="102"/>
      <c r="DK40" s="102"/>
      <c r="DL40" s="102"/>
      <c r="DM40" s="102"/>
      <c r="DN40" s="102"/>
      <c r="DO40" s="102"/>
      <c r="DP40" s="102"/>
      <c r="DQ40" s="102"/>
      <c r="DR40" s="102"/>
      <c r="DS40" s="102"/>
      <c r="DT40" s="102"/>
      <c r="DU40" s="102"/>
      <c r="DV40" s="102"/>
      <c r="DW40" s="102"/>
      <c r="DX40" s="102"/>
      <c r="DY40" s="102"/>
      <c r="DZ40" s="102"/>
      <c r="EA40" s="102"/>
      <c r="EB40" s="102"/>
      <c r="EC40" s="102"/>
      <c r="ED40" s="102"/>
      <c r="EE40" s="102"/>
      <c r="EF40" s="102"/>
      <c r="EG40" s="102"/>
      <c r="EH40" s="102"/>
      <c r="EI40" s="102"/>
      <c r="EJ40" s="102"/>
      <c r="EK40" s="102"/>
      <c r="EL40" s="102"/>
      <c r="EM40" s="102"/>
      <c r="EN40" s="102"/>
    </row>
    <row r="41">
      <c r="A41" s="138" t="s">
        <v>146</v>
      </c>
      <c r="B41" s="110" t="s">
        <v>98</v>
      </c>
      <c r="C41" s="110" t="s">
        <v>98</v>
      </c>
      <c r="D41" s="112"/>
      <c r="E41" s="112"/>
      <c r="F41" s="112"/>
      <c r="G41" s="113"/>
      <c r="H41" s="132" t="s">
        <v>98</v>
      </c>
      <c r="I41" s="116"/>
      <c r="J41" s="116"/>
      <c r="K41" s="116"/>
      <c r="L41" s="116"/>
      <c r="M41" s="116"/>
      <c r="N41" s="115" t="s">
        <v>98</v>
      </c>
      <c r="O41" s="115" t="s">
        <v>98</v>
      </c>
      <c r="P41" s="115" t="s">
        <v>99</v>
      </c>
      <c r="Q41" s="116"/>
      <c r="R41" s="116"/>
      <c r="S41" s="117"/>
      <c r="T41" s="118"/>
      <c r="U41" s="121" t="s">
        <v>99</v>
      </c>
      <c r="V41" s="120"/>
      <c r="W41" s="120"/>
      <c r="X41" s="120"/>
      <c r="Y41" s="121" t="s">
        <v>98</v>
      </c>
      <c r="Z41" s="121" t="s">
        <v>98</v>
      </c>
      <c r="AA41" s="120"/>
      <c r="AB41" s="120"/>
      <c r="AC41" s="121" t="s">
        <v>98</v>
      </c>
      <c r="AD41" s="120"/>
      <c r="AE41" s="122"/>
      <c r="AF41" s="134" t="s">
        <v>97</v>
      </c>
      <c r="AG41" s="124"/>
      <c r="AH41" s="124"/>
      <c r="AI41" s="124"/>
      <c r="AJ41" s="124"/>
      <c r="AK41" s="124"/>
      <c r="AL41" s="124"/>
      <c r="AM41" s="125" t="s">
        <v>99</v>
      </c>
      <c r="AN41" s="125" t="s">
        <v>98</v>
      </c>
      <c r="AO41" s="124"/>
      <c r="AP41" s="124"/>
      <c r="AQ41" s="126"/>
      <c r="AR41" s="127"/>
      <c r="AS41" s="128" t="s">
        <v>98</v>
      </c>
      <c r="AT41" s="128" t="s">
        <v>97</v>
      </c>
      <c r="AU41" s="129"/>
      <c r="AV41" s="129"/>
      <c r="AW41" s="129"/>
      <c r="AX41" s="129"/>
      <c r="AY41" s="129"/>
      <c r="AZ41" s="129"/>
      <c r="BA41" s="129"/>
      <c r="BB41" s="129"/>
      <c r="BC41" s="130"/>
      <c r="BD41" s="129"/>
      <c r="BE41" s="129"/>
      <c r="BF41" s="129"/>
      <c r="BG41" s="129"/>
      <c r="BH41" s="102"/>
      <c r="BI41" s="102"/>
      <c r="BJ41" s="102"/>
      <c r="BK41" s="102"/>
      <c r="BL41" s="102"/>
      <c r="BM41" s="102"/>
      <c r="BN41" s="102"/>
      <c r="BO41" s="102"/>
      <c r="BP41" s="102"/>
      <c r="BQ41" s="102"/>
      <c r="BR41" s="102"/>
      <c r="BS41" s="102"/>
      <c r="BT41" s="102"/>
      <c r="BU41" s="102"/>
      <c r="BV41" s="102"/>
      <c r="BW41" s="102"/>
      <c r="BX41" s="102"/>
      <c r="BY41" s="102"/>
      <c r="BZ41" s="102"/>
      <c r="CA41" s="102"/>
      <c r="CB41" s="102"/>
      <c r="CC41" s="102"/>
      <c r="CD41" s="102"/>
      <c r="CE41" s="102"/>
      <c r="CF41" s="102"/>
      <c r="CG41" s="102"/>
      <c r="CH41" s="102"/>
      <c r="CI41" s="102"/>
      <c r="CJ41" s="102"/>
      <c r="CK41" s="102"/>
      <c r="CL41" s="102"/>
      <c r="CM41" s="102"/>
      <c r="CN41" s="102"/>
      <c r="CO41" s="102"/>
      <c r="CP41" s="102"/>
      <c r="CQ41" s="102"/>
      <c r="CR41" s="102"/>
      <c r="CS41" s="102"/>
      <c r="CT41" s="102"/>
      <c r="CU41" s="102"/>
      <c r="CV41" s="102"/>
      <c r="CW41" s="102"/>
      <c r="CX41" s="102"/>
      <c r="CY41" s="102"/>
      <c r="CZ41" s="102"/>
      <c r="DA41" s="102"/>
      <c r="DB41" s="102"/>
      <c r="DC41" s="102"/>
      <c r="DD41" s="102"/>
      <c r="DE41" s="102"/>
      <c r="DF41" s="102"/>
      <c r="DG41" s="102"/>
      <c r="DH41" s="102"/>
      <c r="DI41" s="102"/>
      <c r="DJ41" s="102"/>
      <c r="DK41" s="102"/>
      <c r="DL41" s="102"/>
      <c r="DM41" s="102"/>
      <c r="DN41" s="102"/>
      <c r="DO41" s="102"/>
      <c r="DP41" s="102"/>
      <c r="DQ41" s="102"/>
      <c r="DR41" s="102"/>
      <c r="DS41" s="102"/>
      <c r="DT41" s="102"/>
      <c r="DU41" s="102"/>
      <c r="DV41" s="102"/>
      <c r="DW41" s="102"/>
      <c r="DX41" s="102"/>
      <c r="DY41" s="102"/>
      <c r="DZ41" s="102"/>
      <c r="EA41" s="102"/>
      <c r="EB41" s="102"/>
      <c r="EC41" s="102"/>
      <c r="ED41" s="102"/>
      <c r="EE41" s="102"/>
      <c r="EF41" s="102"/>
      <c r="EG41" s="102"/>
      <c r="EH41" s="102"/>
      <c r="EI41" s="102"/>
      <c r="EJ41" s="102"/>
      <c r="EK41" s="102"/>
      <c r="EL41" s="102"/>
      <c r="EM41" s="102"/>
      <c r="EN41" s="102"/>
    </row>
    <row r="42">
      <c r="A42" s="139" t="s">
        <v>147</v>
      </c>
      <c r="B42" s="103" t="s">
        <v>97</v>
      </c>
      <c r="C42" s="103" t="s">
        <v>96</v>
      </c>
      <c r="D42" s="105"/>
      <c r="E42" s="105"/>
      <c r="F42" s="105"/>
      <c r="G42" s="106"/>
      <c r="H42" s="108" t="s">
        <v>98</v>
      </c>
      <c r="I42" s="105"/>
      <c r="J42" s="105"/>
      <c r="K42" s="105"/>
      <c r="L42" s="105"/>
      <c r="M42" s="105"/>
      <c r="N42" s="103" t="s">
        <v>96</v>
      </c>
      <c r="O42" s="103" t="s">
        <v>98</v>
      </c>
      <c r="P42" s="103" t="s">
        <v>99</v>
      </c>
      <c r="Q42" s="105"/>
      <c r="R42" s="105"/>
      <c r="S42" s="106"/>
      <c r="T42" s="107"/>
      <c r="U42" s="103" t="s">
        <v>99</v>
      </c>
      <c r="V42" s="105"/>
      <c r="W42" s="105"/>
      <c r="X42" s="105"/>
      <c r="Y42" s="105"/>
      <c r="Z42" s="103" t="s">
        <v>98</v>
      </c>
      <c r="AA42" s="105"/>
      <c r="AB42" s="105"/>
      <c r="AC42" s="103" t="s">
        <v>97</v>
      </c>
      <c r="AD42" s="105"/>
      <c r="AE42" s="106"/>
      <c r="AF42" s="107"/>
      <c r="AG42" s="105"/>
      <c r="AH42" s="105"/>
      <c r="AI42" s="103" t="s">
        <v>99</v>
      </c>
      <c r="AJ42" s="105"/>
      <c r="AK42" s="105"/>
      <c r="AL42" s="105"/>
      <c r="AM42" s="103" t="s">
        <v>99</v>
      </c>
      <c r="AN42" s="103" t="s">
        <v>132</v>
      </c>
      <c r="AO42" s="105"/>
      <c r="AP42" s="105"/>
      <c r="AQ42" s="106"/>
      <c r="AR42" s="107"/>
      <c r="AS42" s="103" t="s">
        <v>98</v>
      </c>
      <c r="AT42" s="105"/>
      <c r="AU42" s="105"/>
      <c r="AV42" s="105"/>
      <c r="AW42" s="105"/>
      <c r="AX42" s="105"/>
      <c r="AY42" s="105"/>
      <c r="AZ42" s="105"/>
      <c r="BA42" s="105"/>
      <c r="BB42" s="105"/>
      <c r="BC42" s="106"/>
      <c r="BD42" s="105"/>
      <c r="BE42" s="105"/>
      <c r="BF42" s="105"/>
      <c r="BG42" s="105"/>
      <c r="BH42" s="102"/>
      <c r="BI42" s="102"/>
      <c r="BJ42" s="102"/>
      <c r="BK42" s="102"/>
      <c r="BL42" s="102"/>
      <c r="BM42" s="102"/>
      <c r="BN42" s="102"/>
      <c r="BO42" s="102"/>
      <c r="BP42" s="102"/>
      <c r="BQ42" s="102"/>
      <c r="BR42" s="102"/>
      <c r="BS42" s="102"/>
      <c r="BT42" s="102"/>
      <c r="BU42" s="102"/>
      <c r="BV42" s="102"/>
      <c r="BW42" s="102"/>
      <c r="BX42" s="102"/>
      <c r="BY42" s="102"/>
      <c r="BZ42" s="102"/>
      <c r="CA42" s="102"/>
      <c r="CB42" s="102"/>
      <c r="CC42" s="102"/>
      <c r="CD42" s="102"/>
      <c r="CE42" s="102"/>
      <c r="CF42" s="102"/>
      <c r="CG42" s="102"/>
      <c r="CH42" s="102"/>
      <c r="CI42" s="102"/>
      <c r="CJ42" s="102"/>
      <c r="CK42" s="102"/>
      <c r="CL42" s="102"/>
      <c r="CM42" s="102"/>
      <c r="CN42" s="102"/>
      <c r="CO42" s="102"/>
      <c r="CP42" s="102"/>
      <c r="CQ42" s="102"/>
      <c r="CR42" s="102"/>
      <c r="CS42" s="102"/>
      <c r="CT42" s="102"/>
      <c r="CU42" s="102"/>
      <c r="CV42" s="102"/>
      <c r="CW42" s="102"/>
      <c r="CX42" s="102"/>
      <c r="CY42" s="102"/>
      <c r="CZ42" s="102"/>
      <c r="DA42" s="102"/>
      <c r="DB42" s="102"/>
      <c r="DC42" s="102"/>
      <c r="DD42" s="102"/>
      <c r="DE42" s="102"/>
      <c r="DF42" s="102"/>
      <c r="DG42" s="102"/>
      <c r="DH42" s="102"/>
      <c r="DI42" s="102"/>
      <c r="DJ42" s="102"/>
      <c r="DK42" s="102"/>
      <c r="DL42" s="102"/>
      <c r="DM42" s="102"/>
      <c r="DN42" s="102"/>
      <c r="DO42" s="102"/>
      <c r="DP42" s="102"/>
      <c r="DQ42" s="102"/>
      <c r="DR42" s="102"/>
      <c r="DS42" s="102"/>
      <c r="DT42" s="102"/>
      <c r="DU42" s="102"/>
      <c r="DV42" s="102"/>
      <c r="DW42" s="102"/>
      <c r="DX42" s="102"/>
      <c r="DY42" s="102"/>
      <c r="DZ42" s="102"/>
      <c r="EA42" s="102"/>
      <c r="EB42" s="102"/>
      <c r="EC42" s="102"/>
      <c r="ED42" s="102"/>
      <c r="EE42" s="102"/>
      <c r="EF42" s="102"/>
      <c r="EG42" s="102"/>
      <c r="EH42" s="102"/>
      <c r="EI42" s="102"/>
      <c r="EJ42" s="102"/>
      <c r="EK42" s="102"/>
      <c r="EL42" s="102"/>
      <c r="EM42" s="102"/>
      <c r="EN42" s="102"/>
    </row>
    <row r="43">
      <c r="A43" s="138" t="s">
        <v>148</v>
      </c>
      <c r="B43" s="110" t="s">
        <v>97</v>
      </c>
      <c r="C43" s="110" t="s">
        <v>98</v>
      </c>
      <c r="D43" s="110" t="s">
        <v>98</v>
      </c>
      <c r="E43" s="110" t="s">
        <v>99</v>
      </c>
      <c r="F43" s="110" t="s">
        <v>96</v>
      </c>
      <c r="G43" s="137" t="s">
        <v>98</v>
      </c>
      <c r="H43" s="132" t="s">
        <v>96</v>
      </c>
      <c r="I43" s="115" t="s">
        <v>96</v>
      </c>
      <c r="J43" s="115" t="s">
        <v>98</v>
      </c>
      <c r="K43" s="115" t="s">
        <v>99</v>
      </c>
      <c r="L43" s="115" t="s">
        <v>96</v>
      </c>
      <c r="M43" s="115" t="s">
        <v>99</v>
      </c>
      <c r="N43" s="115" t="s">
        <v>99</v>
      </c>
      <c r="O43" s="115" t="s">
        <v>99</v>
      </c>
      <c r="P43" s="115" t="s">
        <v>99</v>
      </c>
      <c r="Q43" s="115" t="s">
        <v>96</v>
      </c>
      <c r="R43" s="115" t="s">
        <v>98</v>
      </c>
      <c r="S43" s="143" t="s">
        <v>99</v>
      </c>
      <c r="T43" s="119" t="s">
        <v>96</v>
      </c>
      <c r="U43" s="121" t="s">
        <v>99</v>
      </c>
      <c r="V43" s="121" t="s">
        <v>99</v>
      </c>
      <c r="W43" s="121" t="s">
        <v>99</v>
      </c>
      <c r="X43" s="121" t="s">
        <v>99</v>
      </c>
      <c r="Y43" s="121" t="s">
        <v>99</v>
      </c>
      <c r="Z43" s="121" t="s">
        <v>98</v>
      </c>
      <c r="AA43" s="121" t="s">
        <v>99</v>
      </c>
      <c r="AB43" s="121" t="s">
        <v>99</v>
      </c>
      <c r="AC43" s="121" t="s">
        <v>98</v>
      </c>
      <c r="AD43" s="121" t="s">
        <v>96</v>
      </c>
      <c r="AE43" s="140" t="s">
        <v>99</v>
      </c>
      <c r="AF43" s="134" t="s">
        <v>98</v>
      </c>
      <c r="AG43" s="125" t="s">
        <v>99</v>
      </c>
      <c r="AH43" s="125" t="s">
        <v>99</v>
      </c>
      <c r="AI43" s="125" t="s">
        <v>99</v>
      </c>
      <c r="AJ43" s="125" t="s">
        <v>99</v>
      </c>
      <c r="AK43" s="125" t="s">
        <v>96</v>
      </c>
      <c r="AL43" s="125" t="s">
        <v>99</v>
      </c>
      <c r="AM43" s="125" t="s">
        <v>99</v>
      </c>
      <c r="AN43" s="125" t="s">
        <v>98</v>
      </c>
      <c r="AO43" s="125" t="s">
        <v>97</v>
      </c>
      <c r="AP43" s="125" t="s">
        <v>98</v>
      </c>
      <c r="AQ43" s="133" t="s">
        <v>99</v>
      </c>
      <c r="AR43" s="135" t="s">
        <v>99</v>
      </c>
      <c r="AS43" s="128" t="s">
        <v>96</v>
      </c>
      <c r="AT43" s="128" t="s">
        <v>96</v>
      </c>
      <c r="AU43" s="128" t="s">
        <v>96</v>
      </c>
      <c r="AV43" s="129"/>
      <c r="AW43" s="129"/>
      <c r="AX43" s="129"/>
      <c r="AY43" s="129"/>
      <c r="AZ43" s="129"/>
      <c r="BA43" s="129"/>
      <c r="BB43" s="129"/>
      <c r="BC43" s="130"/>
      <c r="BD43" s="129"/>
      <c r="BE43" s="129"/>
      <c r="BF43" s="129"/>
      <c r="BG43" s="129"/>
      <c r="BH43" s="102"/>
      <c r="BI43" s="102"/>
      <c r="BJ43" s="102"/>
      <c r="BK43" s="102"/>
      <c r="BL43" s="102"/>
      <c r="BM43" s="102"/>
      <c r="BN43" s="102"/>
      <c r="BO43" s="102"/>
      <c r="BP43" s="102"/>
      <c r="BQ43" s="102"/>
      <c r="BR43" s="102"/>
      <c r="BS43" s="102"/>
      <c r="BT43" s="102"/>
      <c r="BU43" s="102"/>
      <c r="BV43" s="102"/>
      <c r="BW43" s="102"/>
      <c r="BX43" s="102"/>
      <c r="BY43" s="102"/>
      <c r="BZ43" s="102"/>
      <c r="CA43" s="102"/>
      <c r="CB43" s="102"/>
      <c r="CC43" s="102"/>
      <c r="CD43" s="102"/>
      <c r="CE43" s="102"/>
      <c r="CF43" s="102"/>
      <c r="CG43" s="102"/>
      <c r="CH43" s="102"/>
      <c r="CI43" s="102"/>
      <c r="CJ43" s="102"/>
      <c r="CK43" s="102"/>
      <c r="CL43" s="102"/>
      <c r="CM43" s="102"/>
      <c r="CN43" s="102"/>
      <c r="CO43" s="102"/>
      <c r="CP43" s="102"/>
      <c r="CQ43" s="102"/>
      <c r="CR43" s="102"/>
      <c r="CS43" s="102"/>
      <c r="CT43" s="102"/>
      <c r="CU43" s="102"/>
      <c r="CV43" s="102"/>
      <c r="CW43" s="102"/>
      <c r="CX43" s="102"/>
      <c r="CY43" s="102"/>
      <c r="CZ43" s="102"/>
      <c r="DA43" s="102"/>
      <c r="DB43" s="102"/>
      <c r="DC43" s="102"/>
      <c r="DD43" s="102"/>
      <c r="DE43" s="102"/>
      <c r="DF43" s="102"/>
      <c r="DG43" s="102"/>
      <c r="DH43" s="102"/>
      <c r="DI43" s="102"/>
      <c r="DJ43" s="102"/>
      <c r="DK43" s="102"/>
      <c r="DL43" s="102"/>
      <c r="DM43" s="102"/>
      <c r="DN43" s="102"/>
      <c r="DO43" s="102"/>
      <c r="DP43" s="102"/>
      <c r="DQ43" s="102"/>
      <c r="DR43" s="102"/>
      <c r="DS43" s="102"/>
      <c r="DT43" s="102"/>
      <c r="DU43" s="102"/>
      <c r="DV43" s="102"/>
      <c r="DW43" s="102"/>
      <c r="DX43" s="102"/>
      <c r="DY43" s="102"/>
      <c r="DZ43" s="102"/>
      <c r="EA43" s="102"/>
      <c r="EB43" s="102"/>
      <c r="EC43" s="102"/>
      <c r="ED43" s="102"/>
      <c r="EE43" s="102"/>
      <c r="EF43" s="102"/>
      <c r="EG43" s="102"/>
      <c r="EH43" s="102"/>
      <c r="EI43" s="102"/>
      <c r="EJ43" s="102"/>
      <c r="EK43" s="102"/>
      <c r="EL43" s="102"/>
      <c r="EM43" s="102"/>
      <c r="EN43" s="102"/>
    </row>
    <row r="44">
      <c r="A44" s="103" t="s">
        <v>149</v>
      </c>
      <c r="B44" s="105"/>
      <c r="C44" s="105"/>
      <c r="D44" s="105"/>
      <c r="E44" s="105"/>
      <c r="F44" s="105"/>
      <c r="G44" s="106"/>
      <c r="H44" s="107"/>
      <c r="I44" s="105"/>
      <c r="J44" s="105"/>
      <c r="K44" s="105"/>
      <c r="L44" s="105"/>
      <c r="M44" s="105"/>
      <c r="N44" s="105"/>
      <c r="O44" s="105"/>
      <c r="P44" s="105"/>
      <c r="Q44" s="105"/>
      <c r="R44" s="105"/>
      <c r="S44" s="106"/>
      <c r="T44" s="107"/>
      <c r="U44" s="105"/>
      <c r="V44" s="105"/>
      <c r="W44" s="105"/>
      <c r="X44" s="105"/>
      <c r="Y44" s="105"/>
      <c r="Z44" s="105"/>
      <c r="AA44" s="105"/>
      <c r="AB44" s="105"/>
      <c r="AC44" s="105"/>
      <c r="AD44" s="105"/>
      <c r="AE44" s="106"/>
      <c r="AF44" s="108" t="s">
        <v>97</v>
      </c>
      <c r="AG44" s="105"/>
      <c r="AH44" s="105"/>
      <c r="AI44" s="105"/>
      <c r="AJ44" s="105"/>
      <c r="AK44" s="105"/>
      <c r="AL44" s="105"/>
      <c r="AM44" s="105"/>
      <c r="AN44" s="105"/>
      <c r="AO44" s="105"/>
      <c r="AP44" s="105"/>
      <c r="AQ44" s="106"/>
      <c r="AR44" s="107"/>
      <c r="AS44" s="103" t="s">
        <v>97</v>
      </c>
      <c r="AT44" s="105"/>
      <c r="AU44" s="105"/>
      <c r="AV44" s="105"/>
      <c r="AW44" s="105"/>
      <c r="AX44" s="105"/>
      <c r="AY44" s="105"/>
      <c r="AZ44" s="105"/>
      <c r="BA44" s="105"/>
      <c r="BB44" s="105"/>
      <c r="BC44" s="106"/>
      <c r="BD44" s="105"/>
      <c r="BE44" s="105"/>
      <c r="BF44" s="105"/>
      <c r="BG44" s="105"/>
      <c r="BH44" s="102"/>
      <c r="BI44" s="102"/>
      <c r="BJ44" s="102"/>
      <c r="BK44" s="102"/>
      <c r="BL44" s="102"/>
      <c r="BM44" s="102"/>
      <c r="BN44" s="102"/>
      <c r="BO44" s="102"/>
      <c r="BP44" s="102"/>
      <c r="BQ44" s="102"/>
      <c r="BR44" s="102"/>
      <c r="BS44" s="102"/>
      <c r="BT44" s="102"/>
      <c r="BU44" s="102"/>
      <c r="BV44" s="102"/>
      <c r="BW44" s="102"/>
      <c r="BX44" s="102"/>
      <c r="BY44" s="102"/>
      <c r="BZ44" s="102"/>
      <c r="CA44" s="102"/>
      <c r="CB44" s="102"/>
      <c r="CC44" s="102"/>
      <c r="CD44" s="102"/>
      <c r="CE44" s="102"/>
      <c r="CF44" s="102"/>
      <c r="CG44" s="102"/>
      <c r="CH44" s="102"/>
      <c r="CI44" s="102"/>
      <c r="CJ44" s="102"/>
      <c r="CK44" s="102"/>
      <c r="CL44" s="102"/>
      <c r="CM44" s="102"/>
      <c r="CN44" s="102"/>
      <c r="CO44" s="102"/>
      <c r="CP44" s="102"/>
      <c r="CQ44" s="102"/>
      <c r="CR44" s="102"/>
      <c r="CS44" s="102"/>
      <c r="CT44" s="102"/>
      <c r="CU44" s="102"/>
      <c r="CV44" s="102"/>
      <c r="CW44" s="102"/>
      <c r="CX44" s="102"/>
      <c r="CY44" s="102"/>
      <c r="CZ44" s="102"/>
      <c r="DA44" s="102"/>
      <c r="DB44" s="102"/>
      <c r="DC44" s="102"/>
      <c r="DD44" s="102"/>
      <c r="DE44" s="102"/>
      <c r="DF44" s="102"/>
      <c r="DG44" s="102"/>
      <c r="DH44" s="102"/>
      <c r="DI44" s="102"/>
      <c r="DJ44" s="102"/>
      <c r="DK44" s="102"/>
      <c r="DL44" s="102"/>
      <c r="DM44" s="102"/>
      <c r="DN44" s="102"/>
      <c r="DO44" s="102"/>
      <c r="DP44" s="102"/>
      <c r="DQ44" s="102"/>
      <c r="DR44" s="102"/>
      <c r="DS44" s="102"/>
      <c r="DT44" s="102"/>
      <c r="DU44" s="102"/>
      <c r="DV44" s="102"/>
      <c r="DW44" s="102"/>
      <c r="DX44" s="102"/>
      <c r="DY44" s="102"/>
      <c r="DZ44" s="102"/>
      <c r="EA44" s="102"/>
      <c r="EB44" s="102"/>
      <c r="EC44" s="102"/>
      <c r="ED44" s="102"/>
      <c r="EE44" s="102"/>
      <c r="EF44" s="102"/>
      <c r="EG44" s="102"/>
      <c r="EH44" s="102"/>
      <c r="EI44" s="102"/>
      <c r="EJ44" s="102"/>
      <c r="EK44" s="102"/>
      <c r="EL44" s="102"/>
      <c r="EM44" s="102"/>
      <c r="EN44" s="102"/>
    </row>
    <row r="45">
      <c r="A45" s="110" t="s">
        <v>150</v>
      </c>
      <c r="B45" s="112"/>
      <c r="C45" s="112"/>
      <c r="D45" s="112"/>
      <c r="E45" s="112"/>
      <c r="F45" s="112"/>
      <c r="G45" s="113"/>
      <c r="H45" s="114"/>
      <c r="I45" s="116"/>
      <c r="J45" s="116"/>
      <c r="K45" s="116"/>
      <c r="L45" s="116"/>
      <c r="M45" s="116"/>
      <c r="N45" s="116"/>
      <c r="O45" s="116"/>
      <c r="P45" s="116"/>
      <c r="Q45" s="116"/>
      <c r="R45" s="116"/>
      <c r="S45" s="117"/>
      <c r="T45" s="118"/>
      <c r="U45" s="120"/>
      <c r="V45" s="120"/>
      <c r="W45" s="120"/>
      <c r="X45" s="120"/>
      <c r="Y45" s="120"/>
      <c r="Z45" s="120"/>
      <c r="AA45" s="120"/>
      <c r="AB45" s="120"/>
      <c r="AC45" s="120"/>
      <c r="AD45" s="120"/>
      <c r="AE45" s="122"/>
      <c r="AF45" s="134" t="s">
        <v>97</v>
      </c>
      <c r="AG45" s="124"/>
      <c r="AH45" s="124"/>
      <c r="AI45" s="124"/>
      <c r="AJ45" s="124"/>
      <c r="AK45" s="124"/>
      <c r="AL45" s="124"/>
      <c r="AM45" s="124"/>
      <c r="AN45" s="124"/>
      <c r="AO45" s="124"/>
      <c r="AP45" s="124"/>
      <c r="AQ45" s="126"/>
      <c r="AR45" s="127"/>
      <c r="AS45" s="128" t="s">
        <v>97</v>
      </c>
      <c r="AT45" s="129"/>
      <c r="AU45" s="129"/>
      <c r="AV45" s="129"/>
      <c r="AW45" s="129"/>
      <c r="AX45" s="129"/>
      <c r="AY45" s="129"/>
      <c r="AZ45" s="129"/>
      <c r="BA45" s="129"/>
      <c r="BB45" s="129"/>
      <c r="BC45" s="130"/>
      <c r="BD45" s="129"/>
      <c r="BE45" s="129"/>
      <c r="BF45" s="129"/>
      <c r="BG45" s="129"/>
      <c r="BH45" s="102"/>
      <c r="BI45" s="102"/>
      <c r="BJ45" s="102"/>
      <c r="BK45" s="102"/>
      <c r="BL45" s="102"/>
      <c r="BM45" s="102"/>
      <c r="BN45" s="102"/>
      <c r="BO45" s="102"/>
      <c r="BP45" s="102"/>
      <c r="BQ45" s="102"/>
      <c r="BR45" s="102"/>
      <c r="BS45" s="102"/>
      <c r="BT45" s="102"/>
      <c r="BU45" s="102"/>
      <c r="BV45" s="102"/>
      <c r="BW45" s="102"/>
      <c r="BX45" s="102"/>
      <c r="BY45" s="102"/>
      <c r="BZ45" s="102"/>
      <c r="CA45" s="102"/>
      <c r="CB45" s="102"/>
      <c r="CC45" s="102"/>
      <c r="CD45" s="102"/>
      <c r="CE45" s="102"/>
      <c r="CF45" s="102"/>
      <c r="CG45" s="102"/>
      <c r="CH45" s="102"/>
      <c r="CI45" s="102"/>
      <c r="CJ45" s="102"/>
      <c r="CK45" s="102"/>
      <c r="CL45" s="102"/>
      <c r="CM45" s="102"/>
      <c r="CN45" s="102"/>
      <c r="CO45" s="102"/>
      <c r="CP45" s="102"/>
      <c r="CQ45" s="102"/>
      <c r="CR45" s="102"/>
      <c r="CS45" s="102"/>
      <c r="CT45" s="102"/>
      <c r="CU45" s="102"/>
      <c r="CV45" s="102"/>
      <c r="CW45" s="102"/>
      <c r="CX45" s="102"/>
      <c r="CY45" s="102"/>
      <c r="CZ45" s="102"/>
      <c r="DA45" s="102"/>
      <c r="DB45" s="102"/>
      <c r="DC45" s="102"/>
      <c r="DD45" s="102"/>
      <c r="DE45" s="102"/>
      <c r="DF45" s="102"/>
      <c r="DG45" s="102"/>
      <c r="DH45" s="102"/>
      <c r="DI45" s="102"/>
      <c r="DJ45" s="102"/>
      <c r="DK45" s="102"/>
      <c r="DL45" s="102"/>
      <c r="DM45" s="102"/>
      <c r="DN45" s="102"/>
      <c r="DO45" s="102"/>
      <c r="DP45" s="102"/>
      <c r="DQ45" s="102"/>
      <c r="DR45" s="102"/>
      <c r="DS45" s="102"/>
      <c r="DT45" s="102"/>
      <c r="DU45" s="102"/>
      <c r="DV45" s="102"/>
      <c r="DW45" s="102"/>
      <c r="DX45" s="102"/>
      <c r="DY45" s="102"/>
      <c r="DZ45" s="102"/>
      <c r="EA45" s="102"/>
      <c r="EB45" s="102"/>
      <c r="EC45" s="102"/>
      <c r="ED45" s="102"/>
      <c r="EE45" s="102"/>
      <c r="EF45" s="102"/>
      <c r="EG45" s="102"/>
      <c r="EH45" s="102"/>
      <c r="EI45" s="102"/>
      <c r="EJ45" s="102"/>
      <c r="EK45" s="102"/>
      <c r="EL45" s="102"/>
      <c r="EM45" s="102"/>
      <c r="EN45" s="102"/>
    </row>
    <row r="46">
      <c r="A46" s="103" t="s">
        <v>151</v>
      </c>
      <c r="B46" s="105"/>
      <c r="C46" s="105"/>
      <c r="D46" s="105"/>
      <c r="E46" s="105"/>
      <c r="F46" s="105"/>
      <c r="G46" s="106"/>
      <c r="H46" s="107"/>
      <c r="I46" s="105"/>
      <c r="J46" s="105"/>
      <c r="K46" s="105"/>
      <c r="L46" s="105"/>
      <c r="M46" s="105"/>
      <c r="N46" s="105"/>
      <c r="O46" s="105"/>
      <c r="P46" s="105"/>
      <c r="Q46" s="105"/>
      <c r="R46" s="105"/>
      <c r="S46" s="105"/>
      <c r="T46" s="105"/>
      <c r="U46" s="105"/>
      <c r="V46" s="105"/>
      <c r="W46" s="105"/>
      <c r="X46" s="105"/>
      <c r="Y46" s="105"/>
      <c r="Z46" s="105"/>
      <c r="AA46" s="105"/>
      <c r="AB46" s="105"/>
      <c r="AC46" s="105"/>
      <c r="AD46" s="105"/>
      <c r="AE46" s="106"/>
      <c r="AF46" s="108" t="s">
        <v>97</v>
      </c>
      <c r="AG46" s="105"/>
      <c r="AH46" s="105"/>
      <c r="AI46" s="105"/>
      <c r="AJ46" s="105"/>
      <c r="AK46" s="105"/>
      <c r="AL46" s="105"/>
      <c r="AM46" s="105"/>
      <c r="AN46" s="105"/>
      <c r="AO46" s="105"/>
      <c r="AP46" s="105"/>
      <c r="AQ46" s="106"/>
      <c r="AR46" s="107"/>
      <c r="AS46" s="103" t="s">
        <v>97</v>
      </c>
      <c r="AT46" s="105"/>
      <c r="AU46" s="105"/>
      <c r="AV46" s="105"/>
      <c r="AW46" s="105"/>
      <c r="AX46" s="105"/>
      <c r="AY46" s="105"/>
      <c r="AZ46" s="105"/>
      <c r="BA46" s="105"/>
      <c r="BB46" s="105"/>
      <c r="BC46" s="106"/>
      <c r="BD46" s="105"/>
      <c r="BE46" s="105"/>
      <c r="BF46" s="105"/>
      <c r="BG46" s="105"/>
      <c r="BH46" s="102"/>
      <c r="BI46" s="102"/>
      <c r="BJ46" s="102"/>
      <c r="BK46" s="102"/>
      <c r="BL46" s="102"/>
      <c r="BM46" s="102"/>
      <c r="BN46" s="102"/>
      <c r="BO46" s="102"/>
      <c r="BP46" s="102"/>
      <c r="BQ46" s="102"/>
      <c r="BR46" s="102"/>
      <c r="BS46" s="102"/>
      <c r="BT46" s="102"/>
      <c r="BU46" s="102"/>
      <c r="BV46" s="102"/>
      <c r="BW46" s="102"/>
      <c r="BX46" s="102"/>
      <c r="BY46" s="102"/>
      <c r="BZ46" s="102"/>
      <c r="CA46" s="102"/>
      <c r="CB46" s="102"/>
      <c r="CC46" s="102"/>
      <c r="CD46" s="102"/>
      <c r="CE46" s="102"/>
      <c r="CF46" s="102"/>
      <c r="CG46" s="102"/>
      <c r="CH46" s="102"/>
      <c r="CI46" s="102"/>
      <c r="CJ46" s="102"/>
      <c r="CK46" s="102"/>
      <c r="CL46" s="102"/>
      <c r="CM46" s="102"/>
      <c r="CN46" s="102"/>
      <c r="CO46" s="102"/>
      <c r="CP46" s="102"/>
      <c r="CQ46" s="102"/>
      <c r="CR46" s="102"/>
      <c r="CS46" s="102"/>
      <c r="CT46" s="102"/>
      <c r="CU46" s="102"/>
      <c r="CV46" s="102"/>
      <c r="CW46" s="102"/>
      <c r="CX46" s="102"/>
      <c r="CY46" s="102"/>
      <c r="CZ46" s="102"/>
      <c r="DA46" s="102"/>
      <c r="DB46" s="102"/>
      <c r="DC46" s="102"/>
      <c r="DD46" s="102"/>
      <c r="DE46" s="102"/>
      <c r="DF46" s="102"/>
      <c r="DG46" s="102"/>
      <c r="DH46" s="102"/>
      <c r="DI46" s="102"/>
      <c r="DJ46" s="102"/>
      <c r="DK46" s="102"/>
      <c r="DL46" s="102"/>
      <c r="DM46" s="102"/>
      <c r="DN46" s="102"/>
      <c r="DO46" s="102"/>
      <c r="DP46" s="102"/>
      <c r="DQ46" s="102"/>
      <c r="DR46" s="102"/>
      <c r="DS46" s="102"/>
      <c r="DT46" s="102"/>
      <c r="DU46" s="102"/>
      <c r="DV46" s="102"/>
      <c r="DW46" s="102"/>
      <c r="DX46" s="102"/>
      <c r="DY46" s="102"/>
      <c r="DZ46" s="102"/>
      <c r="EA46" s="102"/>
      <c r="EB46" s="102"/>
      <c r="EC46" s="102"/>
      <c r="ED46" s="102"/>
      <c r="EE46" s="102"/>
      <c r="EF46" s="102"/>
      <c r="EG46" s="102"/>
      <c r="EH46" s="102"/>
      <c r="EI46" s="102"/>
      <c r="EJ46" s="102"/>
      <c r="EK46" s="102"/>
      <c r="EL46" s="102"/>
      <c r="EM46" s="102"/>
      <c r="EN46" s="102"/>
    </row>
    <row r="47">
      <c r="A47" s="138" t="s">
        <v>152</v>
      </c>
      <c r="B47" s="110" t="s">
        <v>98</v>
      </c>
      <c r="C47" s="110" t="s">
        <v>96</v>
      </c>
      <c r="D47" s="110" t="s">
        <v>97</v>
      </c>
      <c r="E47" s="110" t="s">
        <v>97</v>
      </c>
      <c r="F47" s="110" t="s">
        <v>97</v>
      </c>
      <c r="G47" s="137" t="s">
        <v>97</v>
      </c>
      <c r="H47" s="132" t="s">
        <v>98</v>
      </c>
      <c r="I47" s="115" t="s">
        <v>99</v>
      </c>
      <c r="J47" s="115" t="s">
        <v>97</v>
      </c>
      <c r="K47" s="115" t="s">
        <v>97</v>
      </c>
      <c r="L47" s="115" t="s">
        <v>97</v>
      </c>
      <c r="M47" s="115" t="s">
        <v>97</v>
      </c>
      <c r="N47" s="115" t="s">
        <v>99</v>
      </c>
      <c r="O47" s="115" t="s">
        <v>97</v>
      </c>
      <c r="P47" s="115" t="s">
        <v>99</v>
      </c>
      <c r="Q47" s="115" t="s">
        <v>99</v>
      </c>
      <c r="R47" s="115" t="s">
        <v>98</v>
      </c>
      <c r="S47" s="143" t="s">
        <v>98</v>
      </c>
      <c r="T47" s="119" t="s">
        <v>98</v>
      </c>
      <c r="U47" s="121" t="s">
        <v>99</v>
      </c>
      <c r="V47" s="121" t="s">
        <v>97</v>
      </c>
      <c r="W47" s="121" t="s">
        <v>99</v>
      </c>
      <c r="X47" s="121" t="s">
        <v>99</v>
      </c>
      <c r="Y47" s="121" t="s">
        <v>97</v>
      </c>
      <c r="Z47" s="121" t="s">
        <v>96</v>
      </c>
      <c r="AA47" s="121" t="s">
        <v>99</v>
      </c>
      <c r="AB47" s="121" t="s">
        <v>97</v>
      </c>
      <c r="AC47" s="121" t="s">
        <v>99</v>
      </c>
      <c r="AD47" s="121" t="s">
        <v>97</v>
      </c>
      <c r="AE47" s="140" t="s">
        <v>99</v>
      </c>
      <c r="AF47" s="134" t="s">
        <v>97</v>
      </c>
      <c r="AG47" s="125" t="s">
        <v>99</v>
      </c>
      <c r="AH47" s="125" t="s">
        <v>99</v>
      </c>
      <c r="AI47" s="125" t="s">
        <v>99</v>
      </c>
      <c r="AJ47" s="125" t="s">
        <v>99</v>
      </c>
      <c r="AK47" s="125" t="s">
        <v>96</v>
      </c>
      <c r="AL47" s="125" t="s">
        <v>99</v>
      </c>
      <c r="AM47" s="125" t="s">
        <v>99</v>
      </c>
      <c r="AN47" s="125" t="s">
        <v>96</v>
      </c>
      <c r="AO47" s="125" t="s">
        <v>97</v>
      </c>
      <c r="AP47" s="125" t="s">
        <v>96</v>
      </c>
      <c r="AQ47" s="133" t="s">
        <v>97</v>
      </c>
      <c r="AR47" s="135" t="s">
        <v>99</v>
      </c>
      <c r="AS47" s="128" t="s">
        <v>99</v>
      </c>
      <c r="AT47" s="128" t="s">
        <v>99</v>
      </c>
      <c r="AU47" s="128" t="s">
        <v>96</v>
      </c>
      <c r="AV47" s="129"/>
      <c r="AW47" s="129"/>
      <c r="AX47" s="129"/>
      <c r="AY47" s="129"/>
      <c r="AZ47" s="129"/>
      <c r="BA47" s="129"/>
      <c r="BB47" s="129"/>
      <c r="BC47" s="130"/>
      <c r="BD47" s="129"/>
      <c r="BE47" s="129"/>
      <c r="BF47" s="129"/>
      <c r="BG47" s="129"/>
      <c r="BH47" s="102"/>
      <c r="BI47" s="102"/>
      <c r="BJ47" s="102"/>
      <c r="BK47" s="102"/>
      <c r="BL47" s="102"/>
      <c r="BM47" s="102"/>
      <c r="BN47" s="102"/>
      <c r="BO47" s="102"/>
      <c r="BP47" s="102"/>
      <c r="BQ47" s="102"/>
      <c r="BR47" s="102"/>
      <c r="BS47" s="102"/>
      <c r="BT47" s="102"/>
      <c r="BU47" s="102"/>
      <c r="BV47" s="102"/>
      <c r="BW47" s="102"/>
      <c r="BX47" s="102"/>
      <c r="BY47" s="102"/>
      <c r="BZ47" s="102"/>
      <c r="CA47" s="102"/>
      <c r="CB47" s="102"/>
      <c r="CC47" s="102"/>
      <c r="CD47" s="102"/>
      <c r="CE47" s="102"/>
      <c r="CF47" s="102"/>
      <c r="CG47" s="102"/>
      <c r="CH47" s="102"/>
      <c r="CI47" s="102"/>
      <c r="CJ47" s="102"/>
      <c r="CK47" s="102"/>
      <c r="CL47" s="102"/>
      <c r="CM47" s="102"/>
      <c r="CN47" s="102"/>
      <c r="CO47" s="102"/>
      <c r="CP47" s="102"/>
      <c r="CQ47" s="102"/>
      <c r="CR47" s="102"/>
      <c r="CS47" s="102"/>
      <c r="CT47" s="102"/>
      <c r="CU47" s="102"/>
      <c r="CV47" s="102"/>
      <c r="CW47" s="102"/>
      <c r="CX47" s="102"/>
      <c r="CY47" s="102"/>
      <c r="CZ47" s="102"/>
      <c r="DA47" s="102"/>
      <c r="DB47" s="102"/>
      <c r="DC47" s="102"/>
      <c r="DD47" s="102"/>
      <c r="DE47" s="102"/>
      <c r="DF47" s="102"/>
      <c r="DG47" s="102"/>
      <c r="DH47" s="102"/>
      <c r="DI47" s="102"/>
      <c r="DJ47" s="102"/>
      <c r="DK47" s="102"/>
      <c r="DL47" s="102"/>
      <c r="DM47" s="102"/>
      <c r="DN47" s="102"/>
      <c r="DO47" s="102"/>
      <c r="DP47" s="102"/>
      <c r="DQ47" s="102"/>
      <c r="DR47" s="102"/>
      <c r="DS47" s="102"/>
      <c r="DT47" s="102"/>
      <c r="DU47" s="102"/>
      <c r="DV47" s="102"/>
      <c r="DW47" s="102"/>
      <c r="DX47" s="102"/>
      <c r="DY47" s="102"/>
      <c r="DZ47" s="102"/>
      <c r="EA47" s="102"/>
      <c r="EB47" s="102"/>
      <c r="EC47" s="102"/>
      <c r="ED47" s="102"/>
      <c r="EE47" s="102"/>
      <c r="EF47" s="102"/>
      <c r="EG47" s="102"/>
      <c r="EH47" s="102"/>
      <c r="EI47" s="102"/>
      <c r="EJ47" s="102"/>
      <c r="EK47" s="102"/>
      <c r="EL47" s="102"/>
      <c r="EM47" s="102"/>
      <c r="EN47" s="102"/>
    </row>
    <row r="48">
      <c r="A48" s="139" t="s">
        <v>153</v>
      </c>
      <c r="B48" s="103" t="s">
        <v>98</v>
      </c>
      <c r="C48" s="105"/>
      <c r="D48" s="103" t="s">
        <v>99</v>
      </c>
      <c r="E48" s="103" t="s">
        <v>96</v>
      </c>
      <c r="F48" s="103" t="s">
        <v>98</v>
      </c>
      <c r="G48" s="136" t="s">
        <v>99</v>
      </c>
      <c r="H48" s="108" t="s">
        <v>96</v>
      </c>
      <c r="I48" s="103" t="s">
        <v>97</v>
      </c>
      <c r="J48" s="103" t="s">
        <v>96</v>
      </c>
      <c r="K48" s="103" t="s">
        <v>96</v>
      </c>
      <c r="L48" s="103" t="s">
        <v>99</v>
      </c>
      <c r="M48" s="103" t="s">
        <v>99</v>
      </c>
      <c r="N48" s="103" t="s">
        <v>99</v>
      </c>
      <c r="O48" s="103" t="s">
        <v>99</v>
      </c>
      <c r="P48" s="103" t="s">
        <v>99</v>
      </c>
      <c r="Q48" s="103" t="s">
        <v>99</v>
      </c>
      <c r="R48" s="103" t="s">
        <v>99</v>
      </c>
      <c r="S48" s="136" t="s">
        <v>99</v>
      </c>
      <c r="T48" s="108" t="s">
        <v>99</v>
      </c>
      <c r="U48" s="103" t="s">
        <v>99</v>
      </c>
      <c r="V48" s="103" t="s">
        <v>99</v>
      </c>
      <c r="W48" s="103" t="s">
        <v>99</v>
      </c>
      <c r="X48" s="103" t="s">
        <v>99</v>
      </c>
      <c r="Y48" s="103" t="s">
        <v>99</v>
      </c>
      <c r="Z48" s="103" t="s">
        <v>99</v>
      </c>
      <c r="AA48" s="103" t="s">
        <v>99</v>
      </c>
      <c r="AB48" s="103" t="s">
        <v>97</v>
      </c>
      <c r="AC48" s="103" t="s">
        <v>99</v>
      </c>
      <c r="AD48" s="103" t="s">
        <v>99</v>
      </c>
      <c r="AE48" s="136" t="s">
        <v>99</v>
      </c>
      <c r="AF48" s="108" t="s">
        <v>99</v>
      </c>
      <c r="AG48" s="103" t="s">
        <v>99</v>
      </c>
      <c r="AH48" s="103" t="s">
        <v>99</v>
      </c>
      <c r="AI48" s="103" t="s">
        <v>99</v>
      </c>
      <c r="AJ48" s="103" t="s">
        <v>99</v>
      </c>
      <c r="AK48" s="103" t="s">
        <v>99</v>
      </c>
      <c r="AL48" s="103" t="s">
        <v>99</v>
      </c>
      <c r="AM48" s="103" t="s">
        <v>99</v>
      </c>
      <c r="AN48" s="103" t="s">
        <v>99</v>
      </c>
      <c r="AO48" s="103" t="s">
        <v>99</v>
      </c>
      <c r="AP48" s="103" t="s">
        <v>99</v>
      </c>
      <c r="AQ48" s="136" t="s">
        <v>99</v>
      </c>
      <c r="AR48" s="108" t="s">
        <v>99</v>
      </c>
      <c r="AS48" s="103" t="s">
        <v>97</v>
      </c>
      <c r="AT48" s="103" t="s">
        <v>99</v>
      </c>
      <c r="AU48" s="103" t="s">
        <v>96</v>
      </c>
      <c r="AV48" s="105"/>
      <c r="AW48" s="105"/>
      <c r="AX48" s="105"/>
      <c r="AY48" s="105"/>
      <c r="AZ48" s="105"/>
      <c r="BA48" s="105"/>
      <c r="BB48" s="105"/>
      <c r="BC48" s="106"/>
      <c r="BD48" s="105"/>
      <c r="BE48" s="105"/>
      <c r="BF48" s="105"/>
      <c r="BG48" s="105"/>
      <c r="BH48" s="102"/>
      <c r="BI48" s="102"/>
      <c r="BJ48" s="102"/>
      <c r="BK48" s="102"/>
      <c r="BL48" s="102"/>
      <c r="BM48" s="102"/>
      <c r="BN48" s="102"/>
      <c r="BO48" s="102"/>
      <c r="BP48" s="102"/>
      <c r="BQ48" s="102"/>
      <c r="BR48" s="102"/>
      <c r="BS48" s="102"/>
      <c r="BT48" s="102"/>
      <c r="BU48" s="102"/>
      <c r="BV48" s="102"/>
      <c r="BW48" s="102"/>
      <c r="BX48" s="102"/>
      <c r="BY48" s="102"/>
      <c r="BZ48" s="102"/>
      <c r="CA48" s="102"/>
      <c r="CB48" s="102"/>
      <c r="CC48" s="102"/>
      <c r="CD48" s="102"/>
      <c r="CE48" s="102"/>
      <c r="CF48" s="102"/>
      <c r="CG48" s="102"/>
      <c r="CH48" s="102"/>
      <c r="CI48" s="102"/>
      <c r="CJ48" s="102"/>
      <c r="CK48" s="102"/>
      <c r="CL48" s="102"/>
      <c r="CM48" s="102"/>
      <c r="CN48" s="102"/>
      <c r="CO48" s="102"/>
      <c r="CP48" s="102"/>
      <c r="CQ48" s="102"/>
      <c r="CR48" s="102"/>
      <c r="CS48" s="102"/>
      <c r="CT48" s="102"/>
      <c r="CU48" s="102"/>
      <c r="CV48" s="102"/>
      <c r="CW48" s="102"/>
      <c r="CX48" s="102"/>
      <c r="CY48" s="102"/>
      <c r="CZ48" s="102"/>
      <c r="DA48" s="102"/>
      <c r="DB48" s="102"/>
      <c r="DC48" s="102"/>
      <c r="DD48" s="102"/>
      <c r="DE48" s="102"/>
      <c r="DF48" s="102"/>
      <c r="DG48" s="102"/>
      <c r="DH48" s="102"/>
      <c r="DI48" s="102"/>
      <c r="DJ48" s="102"/>
      <c r="DK48" s="102"/>
      <c r="DL48" s="102"/>
      <c r="DM48" s="102"/>
      <c r="DN48" s="102"/>
      <c r="DO48" s="102"/>
      <c r="DP48" s="102"/>
      <c r="DQ48" s="102"/>
      <c r="DR48" s="102"/>
      <c r="DS48" s="102"/>
      <c r="DT48" s="102"/>
      <c r="DU48" s="102"/>
      <c r="DV48" s="102"/>
      <c r="DW48" s="102"/>
      <c r="DX48" s="102"/>
      <c r="DY48" s="102"/>
      <c r="DZ48" s="102"/>
      <c r="EA48" s="102"/>
      <c r="EB48" s="102"/>
      <c r="EC48" s="102"/>
      <c r="ED48" s="102"/>
      <c r="EE48" s="102"/>
      <c r="EF48" s="102"/>
      <c r="EG48" s="102"/>
      <c r="EH48" s="102"/>
      <c r="EI48" s="102"/>
      <c r="EJ48" s="102"/>
      <c r="EK48" s="102"/>
      <c r="EL48" s="102"/>
      <c r="EM48" s="102"/>
      <c r="EN48" s="102"/>
    </row>
    <row r="49">
      <c r="A49" s="138" t="s">
        <v>154</v>
      </c>
      <c r="B49" s="112"/>
      <c r="C49" s="112"/>
      <c r="D49" s="112"/>
      <c r="E49" s="112"/>
      <c r="F49" s="112"/>
      <c r="G49" s="113"/>
      <c r="H49" s="114"/>
      <c r="I49" s="116"/>
      <c r="J49" s="116"/>
      <c r="K49" s="116"/>
      <c r="L49" s="116"/>
      <c r="M49" s="116"/>
      <c r="N49" s="115" t="s">
        <v>96</v>
      </c>
      <c r="O49" s="116"/>
      <c r="P49" s="116"/>
      <c r="Q49" s="115" t="s">
        <v>97</v>
      </c>
      <c r="R49" s="115" t="s">
        <v>97</v>
      </c>
      <c r="S49" s="143" t="s">
        <v>97</v>
      </c>
      <c r="T49" s="119" t="s">
        <v>97</v>
      </c>
      <c r="U49" s="120"/>
      <c r="V49" s="120"/>
      <c r="W49" s="120"/>
      <c r="X49" s="120"/>
      <c r="Y49" s="121" t="s">
        <v>96</v>
      </c>
      <c r="Z49" s="121" t="s">
        <v>97</v>
      </c>
      <c r="AA49" s="120"/>
      <c r="AB49" s="121" t="s">
        <v>98</v>
      </c>
      <c r="AC49" s="120"/>
      <c r="AD49" s="121" t="s">
        <v>97</v>
      </c>
      <c r="AE49" s="122"/>
      <c r="AF49" s="123"/>
      <c r="AG49" s="124"/>
      <c r="AH49" s="124"/>
      <c r="AI49" s="124"/>
      <c r="AJ49" s="124"/>
      <c r="AK49" s="125" t="s">
        <v>98</v>
      </c>
      <c r="AL49" s="124"/>
      <c r="AM49" s="124"/>
      <c r="AN49" s="125" t="s">
        <v>98</v>
      </c>
      <c r="AO49" s="124"/>
      <c r="AP49" s="125" t="s">
        <v>98</v>
      </c>
      <c r="AQ49" s="126"/>
      <c r="AR49" s="127"/>
      <c r="AS49" s="128" t="s">
        <v>98</v>
      </c>
      <c r="AT49" s="128" t="s">
        <v>97</v>
      </c>
      <c r="AU49" s="128" t="s">
        <v>98</v>
      </c>
      <c r="AV49" s="129"/>
      <c r="AW49" s="129"/>
      <c r="AX49" s="129"/>
      <c r="AY49" s="129"/>
      <c r="AZ49" s="129"/>
      <c r="BA49" s="129"/>
      <c r="BB49" s="129"/>
      <c r="BC49" s="130"/>
      <c r="BD49" s="129"/>
      <c r="BE49" s="129"/>
      <c r="BF49" s="129"/>
      <c r="BG49" s="129"/>
      <c r="BH49" s="102"/>
      <c r="BI49" s="102"/>
      <c r="BJ49" s="102"/>
      <c r="BK49" s="102"/>
      <c r="BL49" s="102"/>
      <c r="BM49" s="102"/>
      <c r="BN49" s="102"/>
      <c r="BO49" s="102"/>
      <c r="BP49" s="102"/>
      <c r="BQ49" s="102"/>
      <c r="BR49" s="102"/>
      <c r="BS49" s="102"/>
      <c r="BT49" s="102"/>
      <c r="BU49" s="102"/>
      <c r="BV49" s="102"/>
      <c r="BW49" s="102"/>
      <c r="BX49" s="102"/>
      <c r="BY49" s="102"/>
      <c r="BZ49" s="102"/>
      <c r="CA49" s="102"/>
      <c r="CB49" s="102"/>
      <c r="CC49" s="102"/>
      <c r="CD49" s="102"/>
      <c r="CE49" s="102"/>
      <c r="CF49" s="102"/>
      <c r="CG49" s="102"/>
      <c r="CH49" s="102"/>
      <c r="CI49" s="102"/>
      <c r="CJ49" s="102"/>
      <c r="CK49" s="102"/>
      <c r="CL49" s="102"/>
      <c r="CM49" s="102"/>
      <c r="CN49" s="102"/>
      <c r="CO49" s="102"/>
      <c r="CP49" s="102"/>
      <c r="CQ49" s="102"/>
      <c r="CR49" s="102"/>
      <c r="CS49" s="102"/>
      <c r="CT49" s="102"/>
      <c r="CU49" s="102"/>
      <c r="CV49" s="102"/>
      <c r="CW49" s="102"/>
      <c r="CX49" s="102"/>
      <c r="CY49" s="102"/>
      <c r="CZ49" s="102"/>
      <c r="DA49" s="102"/>
      <c r="DB49" s="102"/>
      <c r="DC49" s="102"/>
      <c r="DD49" s="102"/>
      <c r="DE49" s="102"/>
      <c r="DF49" s="102"/>
      <c r="DG49" s="102"/>
      <c r="DH49" s="102"/>
      <c r="DI49" s="102"/>
      <c r="DJ49" s="102"/>
      <c r="DK49" s="102"/>
      <c r="DL49" s="102"/>
      <c r="DM49" s="102"/>
      <c r="DN49" s="102"/>
      <c r="DO49" s="102"/>
      <c r="DP49" s="102"/>
      <c r="DQ49" s="102"/>
      <c r="DR49" s="102"/>
      <c r="DS49" s="102"/>
      <c r="DT49" s="102"/>
      <c r="DU49" s="102"/>
      <c r="DV49" s="102"/>
      <c r="DW49" s="102"/>
      <c r="DX49" s="102"/>
      <c r="DY49" s="102"/>
      <c r="DZ49" s="102"/>
      <c r="EA49" s="102"/>
      <c r="EB49" s="102"/>
      <c r="EC49" s="102"/>
      <c r="ED49" s="102"/>
      <c r="EE49" s="102"/>
      <c r="EF49" s="102"/>
      <c r="EG49" s="102"/>
      <c r="EH49" s="102"/>
      <c r="EI49" s="102"/>
      <c r="EJ49" s="102"/>
      <c r="EK49" s="102"/>
      <c r="EL49" s="102"/>
      <c r="EM49" s="102"/>
      <c r="EN49" s="102"/>
    </row>
    <row r="50">
      <c r="A50" s="103" t="s">
        <v>155</v>
      </c>
      <c r="B50" s="103" t="s">
        <v>96</v>
      </c>
      <c r="C50" s="105"/>
      <c r="D50" s="105"/>
      <c r="E50" s="105"/>
      <c r="F50" s="105"/>
      <c r="G50" s="106"/>
      <c r="H50" s="108" t="s">
        <v>96</v>
      </c>
      <c r="I50" s="105"/>
      <c r="J50" s="105"/>
      <c r="K50" s="105"/>
      <c r="L50" s="105"/>
      <c r="M50" s="105"/>
      <c r="N50" s="103" t="s">
        <v>99</v>
      </c>
      <c r="O50" s="105"/>
      <c r="P50" s="103" t="s">
        <v>99</v>
      </c>
      <c r="Q50" s="105"/>
      <c r="R50" s="105"/>
      <c r="S50" s="106"/>
      <c r="T50" s="108" t="s">
        <v>99</v>
      </c>
      <c r="U50" s="103" t="s">
        <v>98</v>
      </c>
      <c r="V50" s="105"/>
      <c r="W50" s="105"/>
      <c r="X50" s="105"/>
      <c r="Y50" s="105"/>
      <c r="Z50" s="103" t="s">
        <v>97</v>
      </c>
      <c r="AA50" s="105"/>
      <c r="AB50" s="103" t="s">
        <v>97</v>
      </c>
      <c r="AC50" s="105"/>
      <c r="AD50" s="105"/>
      <c r="AE50" s="105"/>
      <c r="AF50" s="105"/>
      <c r="AG50" s="105"/>
      <c r="AH50" s="103" t="s">
        <v>99</v>
      </c>
      <c r="AI50" s="105"/>
      <c r="AJ50" s="105"/>
      <c r="AK50" s="103" t="s">
        <v>96</v>
      </c>
      <c r="AL50" s="105"/>
      <c r="AM50" s="105"/>
      <c r="AN50" s="103" t="s">
        <v>97</v>
      </c>
      <c r="AO50" s="103" t="s">
        <v>97</v>
      </c>
      <c r="AP50" s="105"/>
      <c r="AQ50" s="106"/>
      <c r="AR50" s="107"/>
      <c r="AS50" s="105"/>
      <c r="AT50" s="105"/>
      <c r="AU50" s="103" t="s">
        <v>99</v>
      </c>
      <c r="AV50" s="105"/>
      <c r="AW50" s="105"/>
      <c r="AX50" s="105"/>
      <c r="AY50" s="105"/>
      <c r="AZ50" s="105"/>
      <c r="BA50" s="105"/>
      <c r="BB50" s="105"/>
      <c r="BC50" s="106"/>
      <c r="BD50" s="105"/>
      <c r="BE50" s="105"/>
      <c r="BF50" s="105"/>
      <c r="BG50" s="105"/>
      <c r="BH50" s="102"/>
      <c r="BI50" s="102"/>
      <c r="BJ50" s="102"/>
      <c r="BK50" s="102"/>
      <c r="BL50" s="102"/>
      <c r="BM50" s="102"/>
      <c r="BN50" s="102"/>
      <c r="BO50" s="102"/>
      <c r="BP50" s="102"/>
      <c r="BQ50" s="102"/>
      <c r="BR50" s="102"/>
      <c r="BS50" s="102"/>
      <c r="BT50" s="102"/>
      <c r="BU50" s="102"/>
      <c r="BV50" s="102"/>
      <c r="BW50" s="102"/>
      <c r="BX50" s="102"/>
      <c r="BY50" s="102"/>
      <c r="BZ50" s="102"/>
      <c r="CA50" s="102"/>
      <c r="CB50" s="102"/>
      <c r="CC50" s="102"/>
      <c r="CD50" s="102"/>
      <c r="CE50" s="102"/>
      <c r="CF50" s="102"/>
      <c r="CG50" s="102"/>
      <c r="CH50" s="102"/>
      <c r="CI50" s="102"/>
      <c r="CJ50" s="102"/>
      <c r="CK50" s="102"/>
      <c r="CL50" s="102"/>
      <c r="CM50" s="102"/>
      <c r="CN50" s="102"/>
      <c r="CO50" s="102"/>
      <c r="CP50" s="102"/>
      <c r="CQ50" s="102"/>
      <c r="CR50" s="102"/>
      <c r="CS50" s="102"/>
      <c r="CT50" s="102"/>
      <c r="CU50" s="102"/>
      <c r="CV50" s="102"/>
      <c r="CW50" s="102"/>
      <c r="CX50" s="102"/>
      <c r="CY50" s="102"/>
      <c r="CZ50" s="102"/>
      <c r="DA50" s="102"/>
      <c r="DB50" s="102"/>
      <c r="DC50" s="102"/>
      <c r="DD50" s="102"/>
      <c r="DE50" s="102"/>
      <c r="DF50" s="102"/>
      <c r="DG50" s="102"/>
      <c r="DH50" s="102"/>
      <c r="DI50" s="102"/>
      <c r="DJ50" s="102"/>
      <c r="DK50" s="102"/>
      <c r="DL50" s="102"/>
      <c r="DM50" s="102"/>
      <c r="DN50" s="102"/>
      <c r="DO50" s="102"/>
      <c r="DP50" s="102"/>
      <c r="DQ50" s="102"/>
      <c r="DR50" s="102"/>
      <c r="DS50" s="102"/>
      <c r="DT50" s="102"/>
      <c r="DU50" s="102"/>
      <c r="DV50" s="102"/>
      <c r="DW50" s="102"/>
      <c r="DX50" s="102"/>
      <c r="DY50" s="102"/>
      <c r="DZ50" s="102"/>
      <c r="EA50" s="102"/>
      <c r="EB50" s="102"/>
      <c r="EC50" s="102"/>
      <c r="ED50" s="102"/>
      <c r="EE50" s="102"/>
      <c r="EF50" s="102"/>
      <c r="EG50" s="102"/>
      <c r="EH50" s="102"/>
      <c r="EI50" s="102"/>
      <c r="EJ50" s="102"/>
      <c r="EK50" s="102"/>
      <c r="EL50" s="102"/>
      <c r="EM50" s="102"/>
      <c r="EN50" s="102"/>
    </row>
    <row r="51">
      <c r="A51" s="138" t="s">
        <v>156</v>
      </c>
      <c r="B51" s="110" t="s">
        <v>98</v>
      </c>
      <c r="C51" s="112"/>
      <c r="D51" s="112"/>
      <c r="E51" s="112"/>
      <c r="F51" s="112"/>
      <c r="G51" s="113"/>
      <c r="H51" s="132" t="s">
        <v>96</v>
      </c>
      <c r="I51" s="116"/>
      <c r="J51" s="116"/>
      <c r="K51" s="116"/>
      <c r="L51" s="116"/>
      <c r="M51" s="116"/>
      <c r="N51" s="115" t="s">
        <v>96</v>
      </c>
      <c r="O51" s="116"/>
      <c r="P51" s="115" t="s">
        <v>99</v>
      </c>
      <c r="Q51" s="115" t="s">
        <v>98</v>
      </c>
      <c r="R51" s="116"/>
      <c r="S51" s="117"/>
      <c r="T51" s="119" t="s">
        <v>97</v>
      </c>
      <c r="U51" s="121" t="s">
        <v>98</v>
      </c>
      <c r="V51" s="120"/>
      <c r="W51" s="120"/>
      <c r="X51" s="120"/>
      <c r="Y51" s="120"/>
      <c r="Z51" s="121" t="s">
        <v>98</v>
      </c>
      <c r="AA51" s="120"/>
      <c r="AB51" s="120"/>
      <c r="AC51" s="120"/>
      <c r="AD51" s="120"/>
      <c r="AE51" s="120"/>
      <c r="AF51" s="125" t="s">
        <v>99</v>
      </c>
      <c r="AG51" s="125" t="s">
        <v>97</v>
      </c>
      <c r="AH51" s="124"/>
      <c r="AI51" s="124"/>
      <c r="AJ51" s="124"/>
      <c r="AK51" s="124"/>
      <c r="AL51" s="124"/>
      <c r="AM51" s="125" t="s">
        <v>99</v>
      </c>
      <c r="AN51" s="125" t="s">
        <v>97</v>
      </c>
      <c r="AO51" s="125" t="s">
        <v>97</v>
      </c>
      <c r="AP51" s="124"/>
      <c r="AQ51" s="126"/>
      <c r="AR51" s="127"/>
      <c r="AS51" s="128" t="s">
        <v>97</v>
      </c>
      <c r="AT51" s="129"/>
      <c r="AU51" s="128" t="s">
        <v>96</v>
      </c>
      <c r="AV51" s="129"/>
      <c r="AW51" s="129"/>
      <c r="AX51" s="129"/>
      <c r="AY51" s="129"/>
      <c r="AZ51" s="129"/>
      <c r="BA51" s="129"/>
      <c r="BB51" s="129"/>
      <c r="BC51" s="130"/>
      <c r="BD51" s="129"/>
      <c r="BE51" s="129"/>
      <c r="BF51" s="129"/>
      <c r="BG51" s="129"/>
      <c r="BH51" s="102"/>
      <c r="BI51" s="102"/>
      <c r="BJ51" s="102"/>
      <c r="BK51" s="102"/>
      <c r="BL51" s="102"/>
      <c r="BM51" s="102"/>
      <c r="BN51" s="102"/>
      <c r="BO51" s="102"/>
      <c r="BP51" s="102"/>
      <c r="BQ51" s="102"/>
      <c r="BR51" s="102"/>
      <c r="BS51" s="102"/>
      <c r="BT51" s="102"/>
      <c r="BU51" s="102"/>
      <c r="BV51" s="102"/>
      <c r="BW51" s="102"/>
      <c r="BX51" s="102"/>
      <c r="BY51" s="102"/>
      <c r="BZ51" s="102"/>
      <c r="CA51" s="102"/>
      <c r="CB51" s="102"/>
      <c r="CC51" s="102"/>
      <c r="CD51" s="102"/>
      <c r="CE51" s="102"/>
      <c r="CF51" s="102"/>
      <c r="CG51" s="102"/>
      <c r="CH51" s="102"/>
      <c r="CI51" s="102"/>
      <c r="CJ51" s="102"/>
      <c r="CK51" s="102"/>
      <c r="CL51" s="102"/>
      <c r="CM51" s="102"/>
      <c r="CN51" s="102"/>
      <c r="CO51" s="102"/>
      <c r="CP51" s="102"/>
      <c r="CQ51" s="102"/>
      <c r="CR51" s="102"/>
      <c r="CS51" s="102"/>
      <c r="CT51" s="102"/>
      <c r="CU51" s="102"/>
      <c r="CV51" s="102"/>
      <c r="CW51" s="102"/>
      <c r="CX51" s="102"/>
      <c r="CY51" s="102"/>
      <c r="CZ51" s="102"/>
      <c r="DA51" s="102"/>
      <c r="DB51" s="102"/>
      <c r="DC51" s="102"/>
      <c r="DD51" s="102"/>
      <c r="DE51" s="102"/>
      <c r="DF51" s="102"/>
      <c r="DG51" s="102"/>
      <c r="DH51" s="102"/>
      <c r="DI51" s="102"/>
      <c r="DJ51" s="102"/>
      <c r="DK51" s="102"/>
      <c r="DL51" s="102"/>
      <c r="DM51" s="102"/>
      <c r="DN51" s="102"/>
      <c r="DO51" s="102"/>
      <c r="DP51" s="102"/>
      <c r="DQ51" s="102"/>
      <c r="DR51" s="102"/>
      <c r="DS51" s="102"/>
      <c r="DT51" s="102"/>
      <c r="DU51" s="102"/>
      <c r="DV51" s="102"/>
      <c r="DW51" s="102"/>
      <c r="DX51" s="102"/>
      <c r="DY51" s="102"/>
      <c r="DZ51" s="102"/>
      <c r="EA51" s="102"/>
      <c r="EB51" s="102"/>
      <c r="EC51" s="102"/>
      <c r="ED51" s="102"/>
      <c r="EE51" s="102"/>
      <c r="EF51" s="102"/>
      <c r="EG51" s="102"/>
      <c r="EH51" s="102"/>
      <c r="EI51" s="102"/>
      <c r="EJ51" s="102"/>
      <c r="EK51" s="102"/>
      <c r="EL51" s="102"/>
      <c r="EM51" s="102"/>
      <c r="EN51" s="102"/>
    </row>
    <row r="52">
      <c r="A52" s="139" t="s">
        <v>157</v>
      </c>
      <c r="B52" s="105"/>
      <c r="C52" s="105"/>
      <c r="D52" s="105"/>
      <c r="E52" s="103" t="s">
        <v>97</v>
      </c>
      <c r="F52" s="105"/>
      <c r="G52" s="106"/>
      <c r="H52" s="107"/>
      <c r="I52" s="105"/>
      <c r="J52" s="103" t="s">
        <v>98</v>
      </c>
      <c r="K52" s="105"/>
      <c r="L52" s="105"/>
      <c r="M52" s="105"/>
      <c r="N52" s="105"/>
      <c r="O52" s="105"/>
      <c r="P52" s="103" t="s">
        <v>99</v>
      </c>
      <c r="Q52" s="105"/>
      <c r="R52" s="105"/>
      <c r="S52" s="106"/>
      <c r="T52" s="107"/>
      <c r="U52" s="105"/>
      <c r="V52" s="103" t="s">
        <v>99</v>
      </c>
      <c r="W52" s="105"/>
      <c r="X52" s="105"/>
      <c r="Y52" s="105"/>
      <c r="Z52" s="105"/>
      <c r="AA52" s="105"/>
      <c r="AB52" s="103" t="s">
        <v>99</v>
      </c>
      <c r="AC52" s="103" t="s">
        <v>97</v>
      </c>
      <c r="AD52" s="103" t="s">
        <v>99</v>
      </c>
      <c r="AE52" s="136" t="s">
        <v>99</v>
      </c>
      <c r="AF52" s="108" t="s">
        <v>99</v>
      </c>
      <c r="AG52" s="103" t="s">
        <v>99</v>
      </c>
      <c r="AH52" s="103" t="s">
        <v>99</v>
      </c>
      <c r="AI52" s="103" t="s">
        <v>99</v>
      </c>
      <c r="AJ52" s="103" t="s">
        <v>99</v>
      </c>
      <c r="AK52" s="103" t="s">
        <v>99</v>
      </c>
      <c r="AL52" s="103" t="s">
        <v>99</v>
      </c>
      <c r="AM52" s="103" t="s">
        <v>99</v>
      </c>
      <c r="AN52" s="103" t="s">
        <v>97</v>
      </c>
      <c r="AO52" s="103" t="s">
        <v>97</v>
      </c>
      <c r="AP52" s="105"/>
      <c r="AQ52" s="106"/>
      <c r="AR52" s="107"/>
      <c r="AS52" s="105"/>
      <c r="AT52" s="105"/>
      <c r="AU52" s="103" t="s">
        <v>97</v>
      </c>
      <c r="AV52" s="105"/>
      <c r="AW52" s="105"/>
      <c r="AX52" s="105"/>
      <c r="AY52" s="105"/>
      <c r="AZ52" s="105"/>
      <c r="BA52" s="105"/>
      <c r="BB52" s="105"/>
      <c r="BC52" s="106"/>
      <c r="BD52" s="105"/>
      <c r="BE52" s="105"/>
      <c r="BF52" s="105"/>
      <c r="BG52" s="105"/>
      <c r="BH52" s="102"/>
      <c r="BI52" s="102"/>
      <c r="BJ52" s="102"/>
      <c r="BK52" s="102"/>
      <c r="BL52" s="102"/>
      <c r="BM52" s="102"/>
      <c r="BN52" s="102"/>
      <c r="BO52" s="102"/>
      <c r="BP52" s="102"/>
      <c r="BQ52" s="102"/>
      <c r="BR52" s="102"/>
      <c r="BS52" s="102"/>
      <c r="BT52" s="102"/>
      <c r="BU52" s="102"/>
      <c r="BV52" s="102"/>
      <c r="BW52" s="102"/>
      <c r="BX52" s="102"/>
      <c r="BY52" s="102"/>
      <c r="BZ52" s="102"/>
      <c r="CA52" s="102"/>
      <c r="CB52" s="102"/>
      <c r="CC52" s="102"/>
      <c r="CD52" s="102"/>
      <c r="CE52" s="102"/>
      <c r="CF52" s="102"/>
      <c r="CG52" s="102"/>
      <c r="CH52" s="102"/>
      <c r="CI52" s="102"/>
      <c r="CJ52" s="102"/>
      <c r="CK52" s="102"/>
      <c r="CL52" s="102"/>
      <c r="CM52" s="102"/>
      <c r="CN52" s="102"/>
      <c r="CO52" s="102"/>
      <c r="CP52" s="102"/>
      <c r="CQ52" s="102"/>
      <c r="CR52" s="102"/>
      <c r="CS52" s="102"/>
      <c r="CT52" s="102"/>
      <c r="CU52" s="102"/>
      <c r="CV52" s="102"/>
      <c r="CW52" s="102"/>
      <c r="CX52" s="102"/>
      <c r="CY52" s="102"/>
      <c r="CZ52" s="102"/>
      <c r="DA52" s="102"/>
      <c r="DB52" s="102"/>
      <c r="DC52" s="102"/>
      <c r="DD52" s="102"/>
      <c r="DE52" s="102"/>
      <c r="DF52" s="102"/>
      <c r="DG52" s="102"/>
      <c r="DH52" s="102"/>
      <c r="DI52" s="102"/>
      <c r="DJ52" s="102"/>
      <c r="DK52" s="102"/>
      <c r="DL52" s="102"/>
      <c r="DM52" s="102"/>
      <c r="DN52" s="102"/>
      <c r="DO52" s="102"/>
      <c r="DP52" s="102"/>
      <c r="DQ52" s="102"/>
      <c r="DR52" s="102"/>
      <c r="DS52" s="102"/>
      <c r="DT52" s="102"/>
      <c r="DU52" s="102"/>
      <c r="DV52" s="102"/>
      <c r="DW52" s="102"/>
      <c r="DX52" s="102"/>
      <c r="DY52" s="102"/>
      <c r="DZ52" s="102"/>
      <c r="EA52" s="102"/>
      <c r="EB52" s="102"/>
      <c r="EC52" s="102"/>
      <c r="ED52" s="102"/>
      <c r="EE52" s="102"/>
      <c r="EF52" s="102"/>
      <c r="EG52" s="102"/>
      <c r="EH52" s="102"/>
      <c r="EI52" s="102"/>
      <c r="EJ52" s="102"/>
      <c r="EK52" s="102"/>
      <c r="EL52" s="102"/>
      <c r="EM52" s="102"/>
      <c r="EN52" s="102"/>
    </row>
    <row r="53">
      <c r="A53" s="138" t="s">
        <v>158</v>
      </c>
      <c r="B53" s="112"/>
      <c r="C53" s="112"/>
      <c r="D53" s="112"/>
      <c r="E53" s="110" t="s">
        <v>97</v>
      </c>
      <c r="F53" s="112"/>
      <c r="G53" s="113"/>
      <c r="H53" s="132" t="s">
        <v>97</v>
      </c>
      <c r="I53" s="116"/>
      <c r="J53" s="115" t="s">
        <v>98</v>
      </c>
      <c r="K53" s="116"/>
      <c r="L53" s="116"/>
      <c r="M53" s="116"/>
      <c r="N53" s="116"/>
      <c r="O53" s="116"/>
      <c r="P53" s="115" t="s">
        <v>99</v>
      </c>
      <c r="Q53" s="116"/>
      <c r="R53" s="116"/>
      <c r="S53" s="117"/>
      <c r="T53" s="118"/>
      <c r="U53" s="120"/>
      <c r="V53" s="121" t="s">
        <v>99</v>
      </c>
      <c r="W53" s="120"/>
      <c r="X53" s="120"/>
      <c r="Y53" s="121" t="s">
        <v>96</v>
      </c>
      <c r="Z53" s="121" t="s">
        <v>97</v>
      </c>
      <c r="AA53" s="120"/>
      <c r="AB53" s="120"/>
      <c r="AC53" s="121" t="s">
        <v>97</v>
      </c>
      <c r="AD53" s="121" t="s">
        <v>99</v>
      </c>
      <c r="AE53" s="140" t="s">
        <v>99</v>
      </c>
      <c r="AF53" s="134" t="s">
        <v>99</v>
      </c>
      <c r="AG53" s="125" t="s">
        <v>99</v>
      </c>
      <c r="AH53" s="125" t="s">
        <v>99</v>
      </c>
      <c r="AI53" s="125" t="s">
        <v>99</v>
      </c>
      <c r="AJ53" s="125" t="s">
        <v>99</v>
      </c>
      <c r="AK53" s="125" t="s">
        <v>99</v>
      </c>
      <c r="AL53" s="125" t="s">
        <v>99</v>
      </c>
      <c r="AM53" s="125" t="s">
        <v>99</v>
      </c>
      <c r="AN53" s="125" t="s">
        <v>99</v>
      </c>
      <c r="AO53" s="125" t="s">
        <v>99</v>
      </c>
      <c r="AP53" s="125" t="s">
        <v>99</v>
      </c>
      <c r="AQ53" s="133" t="s">
        <v>99</v>
      </c>
      <c r="AR53" s="135" t="s">
        <v>99</v>
      </c>
      <c r="AS53" s="128" t="s">
        <v>97</v>
      </c>
      <c r="AT53" s="128" t="s">
        <v>97</v>
      </c>
      <c r="AU53" s="128" t="s">
        <v>97</v>
      </c>
      <c r="AV53" s="129"/>
      <c r="AW53" s="129"/>
      <c r="AX53" s="129"/>
      <c r="AY53" s="129"/>
      <c r="AZ53" s="129"/>
      <c r="BA53" s="129"/>
      <c r="BB53" s="129"/>
      <c r="BC53" s="130"/>
      <c r="BD53" s="129"/>
      <c r="BE53" s="129"/>
      <c r="BF53" s="129"/>
      <c r="BG53" s="129"/>
      <c r="BH53" s="102"/>
      <c r="BI53" s="102"/>
      <c r="BJ53" s="102"/>
      <c r="BK53" s="102"/>
      <c r="BL53" s="102"/>
      <c r="BM53" s="102"/>
      <c r="BN53" s="102"/>
      <c r="BO53" s="102"/>
      <c r="BP53" s="102"/>
      <c r="BQ53" s="102"/>
      <c r="BR53" s="102"/>
      <c r="BS53" s="102"/>
      <c r="BT53" s="102"/>
      <c r="BU53" s="102"/>
      <c r="BV53" s="102"/>
      <c r="BW53" s="102"/>
      <c r="BX53" s="102"/>
      <c r="BY53" s="102"/>
      <c r="BZ53" s="102"/>
      <c r="CA53" s="102"/>
      <c r="CB53" s="102"/>
      <c r="CC53" s="102"/>
      <c r="CD53" s="102"/>
      <c r="CE53" s="102"/>
      <c r="CF53" s="102"/>
      <c r="CG53" s="102"/>
      <c r="CH53" s="102"/>
      <c r="CI53" s="102"/>
      <c r="CJ53" s="102"/>
      <c r="CK53" s="102"/>
      <c r="CL53" s="102"/>
      <c r="CM53" s="102"/>
      <c r="CN53" s="102"/>
      <c r="CO53" s="102"/>
      <c r="CP53" s="102"/>
      <c r="CQ53" s="102"/>
      <c r="CR53" s="102"/>
      <c r="CS53" s="102"/>
      <c r="CT53" s="102"/>
      <c r="CU53" s="102"/>
      <c r="CV53" s="102"/>
      <c r="CW53" s="102"/>
      <c r="CX53" s="102"/>
      <c r="CY53" s="102"/>
      <c r="CZ53" s="102"/>
      <c r="DA53" s="102"/>
      <c r="DB53" s="102"/>
      <c r="DC53" s="102"/>
      <c r="DD53" s="102"/>
      <c r="DE53" s="102"/>
      <c r="DF53" s="102"/>
      <c r="DG53" s="102"/>
      <c r="DH53" s="102"/>
      <c r="DI53" s="102"/>
      <c r="DJ53" s="102"/>
      <c r="DK53" s="102"/>
      <c r="DL53" s="102"/>
      <c r="DM53" s="102"/>
      <c r="DN53" s="102"/>
      <c r="DO53" s="102"/>
      <c r="DP53" s="102"/>
      <c r="DQ53" s="102"/>
      <c r="DR53" s="102"/>
      <c r="DS53" s="102"/>
      <c r="DT53" s="102"/>
      <c r="DU53" s="102"/>
      <c r="DV53" s="102"/>
      <c r="DW53" s="102"/>
      <c r="DX53" s="102"/>
      <c r="DY53" s="102"/>
      <c r="DZ53" s="102"/>
      <c r="EA53" s="102"/>
      <c r="EB53" s="102"/>
      <c r="EC53" s="102"/>
      <c r="ED53" s="102"/>
      <c r="EE53" s="102"/>
      <c r="EF53" s="102"/>
      <c r="EG53" s="102"/>
      <c r="EH53" s="102"/>
      <c r="EI53" s="102"/>
      <c r="EJ53" s="102"/>
      <c r="EK53" s="102"/>
      <c r="EL53" s="102"/>
      <c r="EM53" s="102"/>
      <c r="EN53" s="102"/>
    </row>
    <row r="54">
      <c r="A54" s="103" t="s">
        <v>159</v>
      </c>
      <c r="B54" s="103" t="s">
        <v>98</v>
      </c>
      <c r="C54" s="105"/>
      <c r="D54" s="105"/>
      <c r="E54" s="105"/>
      <c r="F54" s="105"/>
      <c r="G54" s="106"/>
      <c r="H54" s="108" t="s">
        <v>98</v>
      </c>
      <c r="I54" s="105"/>
      <c r="J54" s="105"/>
      <c r="K54" s="105"/>
      <c r="L54" s="105"/>
      <c r="M54" s="105"/>
      <c r="N54" s="103" t="s">
        <v>96</v>
      </c>
      <c r="O54" s="105"/>
      <c r="P54" s="103" t="s">
        <v>99</v>
      </c>
      <c r="Q54" s="103" t="s">
        <v>97</v>
      </c>
      <c r="R54" s="105"/>
      <c r="S54" s="106"/>
      <c r="T54" s="108" t="s">
        <v>96</v>
      </c>
      <c r="U54" s="105"/>
      <c r="V54" s="105"/>
      <c r="W54" s="105"/>
      <c r="X54" s="105"/>
      <c r="Y54" s="105"/>
      <c r="Z54" s="103" t="s">
        <v>96</v>
      </c>
      <c r="AA54" s="105"/>
      <c r="AB54" s="103" t="s">
        <v>96</v>
      </c>
      <c r="AC54" s="105"/>
      <c r="AD54" s="105"/>
      <c r="AE54" s="106"/>
      <c r="AF54" s="108" t="s">
        <v>96</v>
      </c>
      <c r="AG54" s="105"/>
      <c r="AH54" s="105"/>
      <c r="AI54" s="105"/>
      <c r="AJ54" s="105"/>
      <c r="AK54" s="105"/>
      <c r="AL54" s="105"/>
      <c r="AM54" s="103" t="s">
        <v>99</v>
      </c>
      <c r="AN54" s="103" t="s">
        <v>99</v>
      </c>
      <c r="AO54" s="103" t="s">
        <v>99</v>
      </c>
      <c r="AP54" s="103" t="s">
        <v>99</v>
      </c>
      <c r="AQ54" s="136" t="s">
        <v>99</v>
      </c>
      <c r="AR54" s="108" t="s">
        <v>99</v>
      </c>
      <c r="AS54" s="103" t="s">
        <v>96</v>
      </c>
      <c r="AT54" s="105"/>
      <c r="AU54" s="105"/>
      <c r="AV54" s="105"/>
      <c r="AW54" s="105"/>
      <c r="AX54" s="105"/>
      <c r="AY54" s="105"/>
      <c r="AZ54" s="105"/>
      <c r="BA54" s="105"/>
      <c r="BB54" s="105"/>
      <c r="BC54" s="106"/>
      <c r="BD54" s="105"/>
      <c r="BE54" s="105"/>
      <c r="BF54" s="105"/>
      <c r="BG54" s="105"/>
      <c r="BH54" s="102"/>
      <c r="BI54" s="102"/>
      <c r="BJ54" s="102"/>
      <c r="BK54" s="102"/>
      <c r="BL54" s="102"/>
      <c r="BM54" s="102"/>
      <c r="BN54" s="102"/>
      <c r="BO54" s="102"/>
      <c r="BP54" s="102"/>
      <c r="BQ54" s="102"/>
      <c r="BR54" s="102"/>
      <c r="BS54" s="102"/>
      <c r="BT54" s="102"/>
      <c r="BU54" s="102"/>
      <c r="BV54" s="102"/>
      <c r="BW54" s="102"/>
      <c r="BX54" s="102"/>
      <c r="BY54" s="102"/>
      <c r="BZ54" s="102"/>
      <c r="CA54" s="102"/>
      <c r="CB54" s="102"/>
      <c r="CC54" s="102"/>
      <c r="CD54" s="102"/>
      <c r="CE54" s="102"/>
      <c r="CF54" s="102"/>
      <c r="CG54" s="102"/>
      <c r="CH54" s="102"/>
      <c r="CI54" s="102"/>
      <c r="CJ54" s="102"/>
      <c r="CK54" s="102"/>
      <c r="CL54" s="102"/>
      <c r="CM54" s="102"/>
      <c r="CN54" s="102"/>
      <c r="CO54" s="102"/>
      <c r="CP54" s="102"/>
      <c r="CQ54" s="102"/>
      <c r="CR54" s="102"/>
      <c r="CS54" s="102"/>
      <c r="CT54" s="102"/>
      <c r="CU54" s="102"/>
      <c r="CV54" s="102"/>
      <c r="CW54" s="102"/>
      <c r="CX54" s="102"/>
      <c r="CY54" s="102"/>
      <c r="CZ54" s="102"/>
      <c r="DA54" s="102"/>
      <c r="DB54" s="102"/>
      <c r="DC54" s="102"/>
      <c r="DD54" s="102"/>
      <c r="DE54" s="102"/>
      <c r="DF54" s="102"/>
      <c r="DG54" s="102"/>
      <c r="DH54" s="102"/>
      <c r="DI54" s="102"/>
      <c r="DJ54" s="102"/>
      <c r="DK54" s="102"/>
      <c r="DL54" s="102"/>
      <c r="DM54" s="102"/>
      <c r="DN54" s="102"/>
      <c r="DO54" s="102"/>
      <c r="DP54" s="102"/>
      <c r="DQ54" s="102"/>
      <c r="DR54" s="102"/>
      <c r="DS54" s="102"/>
      <c r="DT54" s="102"/>
      <c r="DU54" s="102"/>
      <c r="DV54" s="102"/>
      <c r="DW54" s="102"/>
      <c r="DX54" s="102"/>
      <c r="DY54" s="102"/>
      <c r="DZ54" s="102"/>
      <c r="EA54" s="102"/>
      <c r="EB54" s="102"/>
      <c r="EC54" s="102"/>
      <c r="ED54" s="102"/>
      <c r="EE54" s="102"/>
      <c r="EF54" s="102"/>
      <c r="EG54" s="102"/>
      <c r="EH54" s="102"/>
      <c r="EI54" s="102"/>
      <c r="EJ54" s="102"/>
      <c r="EK54" s="102"/>
      <c r="EL54" s="102"/>
      <c r="EM54" s="102"/>
      <c r="EN54" s="102"/>
    </row>
    <row r="55">
      <c r="A55" s="138" t="s">
        <v>160</v>
      </c>
      <c r="B55" s="110" t="s">
        <v>96</v>
      </c>
      <c r="C55" s="110" t="s">
        <v>97</v>
      </c>
      <c r="D55" s="112"/>
      <c r="E55" s="112"/>
      <c r="F55" s="112"/>
      <c r="G55" s="113"/>
      <c r="H55" s="132" t="s">
        <v>97</v>
      </c>
      <c r="I55" s="116"/>
      <c r="J55" s="116"/>
      <c r="K55" s="116"/>
      <c r="L55" s="116"/>
      <c r="M55" s="116"/>
      <c r="N55" s="115" t="s">
        <v>99</v>
      </c>
      <c r="O55" s="115" t="s">
        <v>97</v>
      </c>
      <c r="P55" s="115" t="s">
        <v>99</v>
      </c>
      <c r="Q55" s="116"/>
      <c r="R55" s="116"/>
      <c r="S55" s="117"/>
      <c r="T55" s="118"/>
      <c r="U55" s="121" t="s">
        <v>99</v>
      </c>
      <c r="V55" s="120"/>
      <c r="W55" s="120"/>
      <c r="X55" s="120"/>
      <c r="Y55" s="121" t="s">
        <v>97</v>
      </c>
      <c r="Z55" s="121" t="s">
        <v>98</v>
      </c>
      <c r="AA55" s="120"/>
      <c r="AB55" s="120"/>
      <c r="AC55" s="121" t="s">
        <v>97</v>
      </c>
      <c r="AD55" s="120"/>
      <c r="AE55" s="122"/>
      <c r="AF55" s="123"/>
      <c r="AG55" s="124"/>
      <c r="AH55" s="124"/>
      <c r="AI55" s="125" t="s">
        <v>99</v>
      </c>
      <c r="AJ55" s="124"/>
      <c r="AK55" s="124"/>
      <c r="AL55" s="124"/>
      <c r="AM55" s="125" t="s">
        <v>99</v>
      </c>
      <c r="AN55" s="124"/>
      <c r="AO55" s="125" t="s">
        <v>97</v>
      </c>
      <c r="AP55" s="125" t="s">
        <v>97</v>
      </c>
      <c r="AQ55" s="126"/>
      <c r="AR55" s="127"/>
      <c r="AS55" s="128" t="s">
        <v>97</v>
      </c>
      <c r="AT55" s="129"/>
      <c r="AU55" s="129"/>
      <c r="AV55" s="129"/>
      <c r="AW55" s="129"/>
      <c r="AX55" s="129"/>
      <c r="AY55" s="129"/>
      <c r="AZ55" s="129"/>
      <c r="BA55" s="129"/>
      <c r="BB55" s="129"/>
      <c r="BC55" s="130"/>
      <c r="BD55" s="129"/>
      <c r="BE55" s="129"/>
      <c r="BF55" s="129"/>
      <c r="BG55" s="129"/>
      <c r="BH55" s="102"/>
      <c r="BI55" s="102"/>
      <c r="BJ55" s="102"/>
      <c r="BK55" s="102"/>
      <c r="BL55" s="102"/>
      <c r="BM55" s="102"/>
      <c r="BN55" s="102"/>
      <c r="BO55" s="102"/>
      <c r="BP55" s="102"/>
      <c r="BQ55" s="102"/>
      <c r="BR55" s="102"/>
      <c r="BS55" s="102"/>
      <c r="BT55" s="102"/>
      <c r="BU55" s="102"/>
      <c r="BV55" s="102"/>
      <c r="BW55" s="102"/>
      <c r="BX55" s="102"/>
      <c r="BY55" s="102"/>
      <c r="BZ55" s="102"/>
      <c r="CA55" s="102"/>
      <c r="CB55" s="102"/>
      <c r="CC55" s="102"/>
      <c r="CD55" s="102"/>
      <c r="CE55" s="102"/>
      <c r="CF55" s="102"/>
      <c r="CG55" s="102"/>
      <c r="CH55" s="102"/>
      <c r="CI55" s="102"/>
      <c r="CJ55" s="102"/>
      <c r="CK55" s="102"/>
      <c r="CL55" s="102"/>
      <c r="CM55" s="102"/>
      <c r="CN55" s="102"/>
      <c r="CO55" s="102"/>
      <c r="CP55" s="102"/>
      <c r="CQ55" s="102"/>
      <c r="CR55" s="102"/>
      <c r="CS55" s="102"/>
      <c r="CT55" s="102"/>
      <c r="CU55" s="102"/>
      <c r="CV55" s="102"/>
      <c r="CW55" s="102"/>
      <c r="CX55" s="102"/>
      <c r="CY55" s="102"/>
      <c r="CZ55" s="102"/>
      <c r="DA55" s="102"/>
      <c r="DB55" s="102"/>
      <c r="DC55" s="102"/>
      <c r="DD55" s="102"/>
      <c r="DE55" s="102"/>
      <c r="DF55" s="102"/>
      <c r="DG55" s="102"/>
      <c r="DH55" s="102"/>
      <c r="DI55" s="102"/>
      <c r="DJ55" s="102"/>
      <c r="DK55" s="102"/>
      <c r="DL55" s="102"/>
      <c r="DM55" s="102"/>
      <c r="DN55" s="102"/>
      <c r="DO55" s="102"/>
      <c r="DP55" s="102"/>
      <c r="DQ55" s="102"/>
      <c r="DR55" s="102"/>
      <c r="DS55" s="102"/>
      <c r="DT55" s="102"/>
      <c r="DU55" s="102"/>
      <c r="DV55" s="102"/>
      <c r="DW55" s="102"/>
      <c r="DX55" s="102"/>
      <c r="DY55" s="102"/>
      <c r="DZ55" s="102"/>
      <c r="EA55" s="102"/>
      <c r="EB55" s="102"/>
      <c r="EC55" s="102"/>
      <c r="ED55" s="102"/>
      <c r="EE55" s="102"/>
      <c r="EF55" s="102"/>
      <c r="EG55" s="102"/>
      <c r="EH55" s="102"/>
      <c r="EI55" s="102"/>
      <c r="EJ55" s="102"/>
      <c r="EK55" s="102"/>
      <c r="EL55" s="102"/>
      <c r="EM55" s="102"/>
      <c r="EN55" s="102"/>
    </row>
    <row r="56">
      <c r="A56" s="139" t="s">
        <v>161</v>
      </c>
      <c r="B56" s="103" t="s">
        <v>97</v>
      </c>
      <c r="C56" s="103" t="s">
        <v>97</v>
      </c>
      <c r="D56" s="105"/>
      <c r="E56" s="105"/>
      <c r="F56" s="105"/>
      <c r="G56" s="106"/>
      <c r="H56" s="107"/>
      <c r="I56" s="105"/>
      <c r="J56" s="105"/>
      <c r="K56" s="105"/>
      <c r="L56" s="105"/>
      <c r="M56" s="105"/>
      <c r="N56" s="103" t="s">
        <v>96</v>
      </c>
      <c r="O56" s="103" t="s">
        <v>96</v>
      </c>
      <c r="P56" s="103" t="s">
        <v>99</v>
      </c>
      <c r="Q56" s="105"/>
      <c r="R56" s="105"/>
      <c r="S56" s="106"/>
      <c r="T56" s="107"/>
      <c r="U56" s="103" t="s">
        <v>99</v>
      </c>
      <c r="V56" s="105"/>
      <c r="W56" s="105"/>
      <c r="X56" s="105"/>
      <c r="Y56" s="103" t="s">
        <v>96</v>
      </c>
      <c r="Z56" s="105"/>
      <c r="AA56" s="105"/>
      <c r="AB56" s="105"/>
      <c r="AC56" s="105"/>
      <c r="AD56" s="105"/>
      <c r="AE56" s="136" t="s">
        <v>99</v>
      </c>
      <c r="AF56" s="108" t="s">
        <v>99</v>
      </c>
      <c r="AG56" s="105"/>
      <c r="AH56" s="105"/>
      <c r="AI56" s="105"/>
      <c r="AJ56" s="105"/>
      <c r="AK56" s="105"/>
      <c r="AL56" s="105"/>
      <c r="AM56" s="103" t="s">
        <v>99</v>
      </c>
      <c r="AN56" s="105"/>
      <c r="AO56" s="103" t="s">
        <v>97</v>
      </c>
      <c r="AP56" s="103" t="s">
        <v>97</v>
      </c>
      <c r="AQ56" s="106"/>
      <c r="AR56" s="107"/>
      <c r="AS56" s="103" t="s">
        <v>97</v>
      </c>
      <c r="AT56" s="105"/>
      <c r="AU56" s="105"/>
      <c r="AV56" s="105"/>
      <c r="AW56" s="105"/>
      <c r="AX56" s="105"/>
      <c r="AY56" s="105"/>
      <c r="AZ56" s="105"/>
      <c r="BA56" s="105"/>
      <c r="BB56" s="105"/>
      <c r="BC56" s="106"/>
      <c r="BD56" s="105"/>
      <c r="BE56" s="105"/>
      <c r="BF56" s="105"/>
      <c r="BG56" s="105"/>
      <c r="BH56" s="102"/>
      <c r="BI56" s="102"/>
      <c r="BJ56" s="102"/>
      <c r="BK56" s="102"/>
      <c r="BL56" s="102"/>
      <c r="BM56" s="102"/>
      <c r="BN56" s="102"/>
      <c r="BO56" s="102"/>
      <c r="BP56" s="102"/>
      <c r="BQ56" s="102"/>
      <c r="BR56" s="102"/>
      <c r="BS56" s="102"/>
      <c r="BT56" s="102"/>
      <c r="BU56" s="102"/>
      <c r="BV56" s="102"/>
      <c r="BW56" s="102"/>
      <c r="BX56" s="102"/>
      <c r="BY56" s="102"/>
      <c r="BZ56" s="102"/>
      <c r="CA56" s="102"/>
      <c r="CB56" s="102"/>
      <c r="CC56" s="102"/>
      <c r="CD56" s="102"/>
      <c r="CE56" s="102"/>
      <c r="CF56" s="102"/>
      <c r="CG56" s="102"/>
      <c r="CH56" s="102"/>
      <c r="CI56" s="102"/>
      <c r="CJ56" s="102"/>
      <c r="CK56" s="102"/>
      <c r="CL56" s="102"/>
      <c r="CM56" s="102"/>
      <c r="CN56" s="102"/>
      <c r="CO56" s="102"/>
      <c r="CP56" s="102"/>
      <c r="CQ56" s="102"/>
      <c r="CR56" s="102"/>
      <c r="CS56" s="102"/>
      <c r="CT56" s="102"/>
      <c r="CU56" s="102"/>
      <c r="CV56" s="102"/>
      <c r="CW56" s="102"/>
      <c r="CX56" s="102"/>
      <c r="CY56" s="102"/>
      <c r="CZ56" s="102"/>
      <c r="DA56" s="102"/>
      <c r="DB56" s="102"/>
      <c r="DC56" s="102"/>
      <c r="DD56" s="102"/>
      <c r="DE56" s="102"/>
      <c r="DF56" s="102"/>
      <c r="DG56" s="102"/>
      <c r="DH56" s="102"/>
      <c r="DI56" s="102"/>
      <c r="DJ56" s="102"/>
      <c r="DK56" s="102"/>
      <c r="DL56" s="102"/>
      <c r="DM56" s="102"/>
      <c r="DN56" s="102"/>
      <c r="DO56" s="102"/>
      <c r="DP56" s="102"/>
      <c r="DQ56" s="102"/>
      <c r="DR56" s="102"/>
      <c r="DS56" s="102"/>
      <c r="DT56" s="102"/>
      <c r="DU56" s="102"/>
      <c r="DV56" s="102"/>
      <c r="DW56" s="102"/>
      <c r="DX56" s="102"/>
      <c r="DY56" s="102"/>
      <c r="DZ56" s="102"/>
      <c r="EA56" s="102"/>
      <c r="EB56" s="102"/>
      <c r="EC56" s="102"/>
      <c r="ED56" s="102"/>
      <c r="EE56" s="102"/>
      <c r="EF56" s="102"/>
      <c r="EG56" s="102"/>
      <c r="EH56" s="102"/>
      <c r="EI56" s="102"/>
      <c r="EJ56" s="102"/>
      <c r="EK56" s="102"/>
      <c r="EL56" s="102"/>
      <c r="EM56" s="102"/>
      <c r="EN56" s="102"/>
    </row>
    <row r="57">
      <c r="A57" s="110" t="s">
        <v>162</v>
      </c>
      <c r="B57" s="110" t="s">
        <v>98</v>
      </c>
      <c r="C57" s="112"/>
      <c r="D57" s="112"/>
      <c r="E57" s="112"/>
      <c r="F57" s="112"/>
      <c r="G57" s="113"/>
      <c r="H57" s="132" t="s">
        <v>98</v>
      </c>
      <c r="I57" s="116"/>
      <c r="J57" s="116"/>
      <c r="K57" s="116"/>
      <c r="L57" s="116"/>
      <c r="M57" s="116"/>
      <c r="N57" s="115" t="s">
        <v>96</v>
      </c>
      <c r="O57" s="116"/>
      <c r="P57" s="115" t="s">
        <v>99</v>
      </c>
      <c r="Q57" s="116"/>
      <c r="R57" s="116"/>
      <c r="S57" s="117"/>
      <c r="T57" s="119" t="s">
        <v>99</v>
      </c>
      <c r="U57" s="121" t="s">
        <v>98</v>
      </c>
      <c r="V57" s="120"/>
      <c r="W57" s="120"/>
      <c r="X57" s="120"/>
      <c r="Y57" s="120"/>
      <c r="Z57" s="121" t="s">
        <v>96</v>
      </c>
      <c r="AA57" s="120"/>
      <c r="AB57" s="120"/>
      <c r="AC57" s="120"/>
      <c r="AD57" s="120"/>
      <c r="AE57" s="122"/>
      <c r="AF57" s="134" t="s">
        <v>99</v>
      </c>
      <c r="AG57" s="124"/>
      <c r="AH57" s="124"/>
      <c r="AI57" s="124"/>
      <c r="AJ57" s="124"/>
      <c r="AK57" s="124"/>
      <c r="AL57" s="124"/>
      <c r="AM57" s="125" t="s">
        <v>99</v>
      </c>
      <c r="AN57" s="125" t="s">
        <v>97</v>
      </c>
      <c r="AO57" s="125" t="s">
        <v>97</v>
      </c>
      <c r="AP57" s="124"/>
      <c r="AQ57" s="126"/>
      <c r="AR57" s="127"/>
      <c r="AS57" s="129"/>
      <c r="AT57" s="129"/>
      <c r="AU57" s="128" t="s">
        <v>97</v>
      </c>
      <c r="AV57" s="129"/>
      <c r="AW57" s="129"/>
      <c r="AX57" s="129"/>
      <c r="AY57" s="129"/>
      <c r="AZ57" s="129"/>
      <c r="BA57" s="129"/>
      <c r="BB57" s="129"/>
      <c r="BC57" s="130"/>
      <c r="BD57" s="129"/>
      <c r="BE57" s="129"/>
      <c r="BF57" s="129"/>
      <c r="BG57" s="129"/>
      <c r="BH57" s="102"/>
      <c r="BI57" s="102"/>
      <c r="BJ57" s="102"/>
      <c r="BK57" s="102"/>
      <c r="BL57" s="102"/>
      <c r="BM57" s="102"/>
      <c r="BN57" s="102"/>
      <c r="BO57" s="102"/>
      <c r="BP57" s="102"/>
      <c r="BQ57" s="102"/>
      <c r="BR57" s="102"/>
      <c r="BS57" s="102"/>
      <c r="BT57" s="102"/>
      <c r="BU57" s="102"/>
      <c r="BV57" s="102"/>
      <c r="BW57" s="102"/>
      <c r="BX57" s="102"/>
      <c r="BY57" s="102"/>
      <c r="BZ57" s="102"/>
      <c r="CA57" s="102"/>
      <c r="CB57" s="102"/>
      <c r="CC57" s="102"/>
      <c r="CD57" s="102"/>
      <c r="CE57" s="102"/>
      <c r="CF57" s="102"/>
      <c r="CG57" s="102"/>
      <c r="CH57" s="102"/>
      <c r="CI57" s="102"/>
      <c r="CJ57" s="102"/>
      <c r="CK57" s="102"/>
      <c r="CL57" s="102"/>
      <c r="CM57" s="102"/>
      <c r="CN57" s="102"/>
      <c r="CO57" s="102"/>
      <c r="CP57" s="102"/>
      <c r="CQ57" s="102"/>
      <c r="CR57" s="102"/>
      <c r="CS57" s="102"/>
      <c r="CT57" s="102"/>
      <c r="CU57" s="102"/>
      <c r="CV57" s="102"/>
      <c r="CW57" s="102"/>
      <c r="CX57" s="102"/>
      <c r="CY57" s="102"/>
      <c r="CZ57" s="102"/>
      <c r="DA57" s="102"/>
      <c r="DB57" s="102"/>
      <c r="DC57" s="102"/>
      <c r="DD57" s="102"/>
      <c r="DE57" s="102"/>
      <c r="DF57" s="102"/>
      <c r="DG57" s="102"/>
      <c r="DH57" s="102"/>
      <c r="DI57" s="102"/>
      <c r="DJ57" s="102"/>
      <c r="DK57" s="102"/>
      <c r="DL57" s="102"/>
      <c r="DM57" s="102"/>
      <c r="DN57" s="102"/>
      <c r="DO57" s="102"/>
      <c r="DP57" s="102"/>
      <c r="DQ57" s="102"/>
      <c r="DR57" s="102"/>
      <c r="DS57" s="102"/>
      <c r="DT57" s="102"/>
      <c r="DU57" s="102"/>
      <c r="DV57" s="102"/>
      <c r="DW57" s="102"/>
      <c r="DX57" s="102"/>
      <c r="DY57" s="102"/>
      <c r="DZ57" s="102"/>
      <c r="EA57" s="102"/>
      <c r="EB57" s="102"/>
      <c r="EC57" s="102"/>
      <c r="ED57" s="102"/>
      <c r="EE57" s="102"/>
      <c r="EF57" s="102"/>
      <c r="EG57" s="102"/>
      <c r="EH57" s="102"/>
      <c r="EI57" s="102"/>
      <c r="EJ57" s="102"/>
      <c r="EK57" s="102"/>
      <c r="EL57" s="102"/>
      <c r="EM57" s="102"/>
      <c r="EN57" s="102"/>
    </row>
    <row r="58">
      <c r="A58" s="139" t="s">
        <v>311</v>
      </c>
      <c r="B58" s="105"/>
      <c r="C58" s="105"/>
      <c r="D58" s="103"/>
      <c r="E58" s="103"/>
      <c r="F58" s="105"/>
      <c r="G58" s="106"/>
      <c r="H58" s="107"/>
      <c r="I58" s="105"/>
      <c r="J58" s="103"/>
      <c r="K58" s="105"/>
      <c r="L58" s="105"/>
      <c r="M58" s="105"/>
      <c r="N58" s="105"/>
      <c r="O58" s="105"/>
      <c r="P58" s="103"/>
      <c r="Q58" s="105"/>
      <c r="R58" s="105"/>
      <c r="S58" s="106"/>
      <c r="T58" s="107"/>
      <c r="U58" s="105"/>
      <c r="V58" s="103"/>
      <c r="W58" s="103"/>
      <c r="X58" s="103"/>
      <c r="Y58" s="103"/>
      <c r="Z58" s="103"/>
      <c r="AA58" s="103"/>
      <c r="AB58" s="103"/>
      <c r="AC58" s="103"/>
      <c r="AD58" s="105"/>
      <c r="AE58" s="106"/>
      <c r="AF58" s="107"/>
      <c r="AG58" s="105"/>
      <c r="AH58" s="105"/>
      <c r="AI58" s="103"/>
      <c r="AJ58" s="105"/>
      <c r="AK58" s="105"/>
      <c r="AL58" s="105"/>
      <c r="AM58" s="103"/>
      <c r="AN58" s="105"/>
      <c r="AO58" s="103"/>
      <c r="AP58" s="105"/>
      <c r="AQ58" s="106"/>
      <c r="AR58" s="107"/>
      <c r="AS58" s="103"/>
      <c r="AT58" s="105"/>
      <c r="AU58" s="103"/>
      <c r="AV58" s="105"/>
      <c r="AW58" s="105"/>
      <c r="AX58" s="105"/>
      <c r="AY58" s="105"/>
      <c r="AZ58" s="105"/>
      <c r="BA58" s="105"/>
      <c r="BB58" s="105"/>
      <c r="BC58" s="106"/>
      <c r="BD58" s="105"/>
      <c r="BE58" s="105"/>
      <c r="BF58" s="105"/>
      <c r="BG58" s="105"/>
      <c r="BH58" s="102"/>
      <c r="BI58" s="102"/>
      <c r="BJ58" s="102"/>
      <c r="BK58" s="102"/>
      <c r="BL58" s="102"/>
      <c r="BM58" s="102"/>
      <c r="BN58" s="102"/>
      <c r="BO58" s="102"/>
      <c r="BP58" s="102"/>
      <c r="BQ58" s="102"/>
      <c r="BR58" s="102"/>
      <c r="BS58" s="102"/>
      <c r="BT58" s="102"/>
      <c r="BU58" s="102"/>
      <c r="BV58" s="102"/>
      <c r="BW58" s="102"/>
      <c r="BX58" s="102"/>
      <c r="BY58" s="102"/>
      <c r="BZ58" s="102"/>
      <c r="CA58" s="102"/>
      <c r="CB58" s="102"/>
      <c r="CC58" s="102"/>
      <c r="CD58" s="102"/>
      <c r="CE58" s="102"/>
      <c r="CF58" s="102"/>
      <c r="CG58" s="102"/>
      <c r="CH58" s="102"/>
      <c r="CI58" s="102"/>
      <c r="CJ58" s="102"/>
      <c r="CK58" s="102"/>
      <c r="CL58" s="102"/>
      <c r="CM58" s="102"/>
      <c r="CN58" s="102"/>
      <c r="CO58" s="102"/>
      <c r="CP58" s="102"/>
      <c r="CQ58" s="102"/>
      <c r="CR58" s="102"/>
      <c r="CS58" s="102"/>
      <c r="CT58" s="102"/>
      <c r="CU58" s="102"/>
      <c r="CV58" s="102"/>
      <c r="CW58" s="102"/>
      <c r="CX58" s="102"/>
      <c r="CY58" s="102"/>
      <c r="CZ58" s="102"/>
      <c r="DA58" s="102"/>
      <c r="DB58" s="102"/>
      <c r="DC58" s="102"/>
      <c r="DD58" s="102"/>
      <c r="DE58" s="102"/>
      <c r="DF58" s="102"/>
      <c r="DG58" s="102"/>
      <c r="DH58" s="102"/>
      <c r="DI58" s="102"/>
      <c r="DJ58" s="102"/>
      <c r="DK58" s="102"/>
      <c r="DL58" s="102"/>
      <c r="DM58" s="102"/>
      <c r="DN58" s="102"/>
      <c r="DO58" s="102"/>
      <c r="DP58" s="102"/>
      <c r="DQ58" s="102"/>
      <c r="DR58" s="102"/>
      <c r="DS58" s="102"/>
      <c r="DT58" s="102"/>
      <c r="DU58" s="102"/>
      <c r="DV58" s="102"/>
      <c r="DW58" s="102"/>
      <c r="DX58" s="102"/>
      <c r="DY58" s="102"/>
      <c r="DZ58" s="102"/>
      <c r="EA58" s="102"/>
      <c r="EB58" s="102"/>
      <c r="EC58" s="102"/>
      <c r="ED58" s="102"/>
      <c r="EE58" s="102"/>
      <c r="EF58" s="102"/>
      <c r="EG58" s="102"/>
      <c r="EH58" s="102"/>
      <c r="EI58" s="102"/>
      <c r="EJ58" s="102"/>
      <c r="EK58" s="102"/>
      <c r="EL58" s="102"/>
      <c r="EM58" s="102"/>
      <c r="EN58" s="102"/>
    </row>
    <row r="59">
      <c r="A59" s="138" t="s">
        <v>312</v>
      </c>
      <c r="B59" s="112"/>
      <c r="C59" s="112"/>
      <c r="D59" s="110"/>
      <c r="E59" s="110"/>
      <c r="F59" s="112"/>
      <c r="G59" s="113"/>
      <c r="H59" s="114"/>
      <c r="I59" s="116"/>
      <c r="J59" s="115"/>
      <c r="K59" s="116"/>
      <c r="L59" s="116"/>
      <c r="M59" s="116"/>
      <c r="N59" s="116"/>
      <c r="O59" s="116"/>
      <c r="P59" s="115"/>
      <c r="Q59" s="116"/>
      <c r="R59" s="116"/>
      <c r="S59" s="117"/>
      <c r="T59" s="118"/>
      <c r="U59" s="120"/>
      <c r="V59" s="121"/>
      <c r="W59" s="121"/>
      <c r="X59" s="121"/>
      <c r="Y59" s="121"/>
      <c r="Z59" s="121"/>
      <c r="AA59" s="121"/>
      <c r="AB59" s="121"/>
      <c r="AC59" s="121"/>
      <c r="AD59" s="120"/>
      <c r="AE59" s="122"/>
      <c r="AF59" s="123"/>
      <c r="AG59" s="124"/>
      <c r="AH59" s="124"/>
      <c r="AI59" s="125"/>
      <c r="AJ59" s="124"/>
      <c r="AK59" s="124"/>
      <c r="AL59" s="124"/>
      <c r="AM59" s="125"/>
      <c r="AN59" s="124"/>
      <c r="AO59" s="125"/>
      <c r="AP59" s="124"/>
      <c r="AQ59" s="126"/>
      <c r="AR59" s="127"/>
      <c r="AS59" s="128"/>
      <c r="AT59" s="129"/>
      <c r="AU59" s="128"/>
      <c r="AV59" s="129"/>
      <c r="AW59" s="129"/>
      <c r="AX59" s="129"/>
      <c r="AY59" s="129"/>
      <c r="AZ59" s="129"/>
      <c r="BA59" s="129"/>
      <c r="BB59" s="129"/>
      <c r="BC59" s="130"/>
      <c r="BD59" s="129"/>
      <c r="BE59" s="129"/>
      <c r="BF59" s="129"/>
      <c r="BG59" s="129"/>
      <c r="BH59" s="102"/>
      <c r="BI59" s="102"/>
      <c r="BJ59" s="102"/>
      <c r="BK59" s="102"/>
      <c r="BL59" s="102"/>
      <c r="BM59" s="102"/>
      <c r="BN59" s="102"/>
      <c r="BO59" s="102"/>
      <c r="BP59" s="102"/>
      <c r="BQ59" s="102"/>
      <c r="BR59" s="102"/>
      <c r="BS59" s="102"/>
      <c r="BT59" s="102"/>
      <c r="BU59" s="102"/>
      <c r="BV59" s="102"/>
      <c r="BW59" s="102"/>
      <c r="BX59" s="102"/>
      <c r="BY59" s="102"/>
      <c r="BZ59" s="102"/>
      <c r="CA59" s="102"/>
      <c r="CB59" s="102"/>
      <c r="CC59" s="102"/>
      <c r="CD59" s="102"/>
      <c r="CE59" s="102"/>
      <c r="CF59" s="102"/>
      <c r="CG59" s="102"/>
      <c r="CH59" s="102"/>
      <c r="CI59" s="102"/>
      <c r="CJ59" s="102"/>
      <c r="CK59" s="102"/>
      <c r="CL59" s="102"/>
      <c r="CM59" s="102"/>
      <c r="CN59" s="102"/>
      <c r="CO59" s="102"/>
      <c r="CP59" s="102"/>
      <c r="CQ59" s="102"/>
      <c r="CR59" s="102"/>
      <c r="CS59" s="102"/>
      <c r="CT59" s="102"/>
      <c r="CU59" s="102"/>
      <c r="CV59" s="102"/>
      <c r="CW59" s="102"/>
      <c r="CX59" s="102"/>
      <c r="CY59" s="102"/>
      <c r="CZ59" s="102"/>
      <c r="DA59" s="102"/>
      <c r="DB59" s="102"/>
      <c r="DC59" s="102"/>
      <c r="DD59" s="102"/>
      <c r="DE59" s="102"/>
      <c r="DF59" s="102"/>
      <c r="DG59" s="102"/>
      <c r="DH59" s="102"/>
      <c r="DI59" s="102"/>
      <c r="DJ59" s="102"/>
      <c r="DK59" s="102"/>
      <c r="DL59" s="102"/>
      <c r="DM59" s="102"/>
      <c r="DN59" s="102"/>
      <c r="DO59" s="102"/>
      <c r="DP59" s="102"/>
      <c r="DQ59" s="102"/>
      <c r="DR59" s="102"/>
      <c r="DS59" s="102"/>
      <c r="DT59" s="102"/>
      <c r="DU59" s="102"/>
      <c r="DV59" s="102"/>
      <c r="DW59" s="102"/>
      <c r="DX59" s="102"/>
      <c r="DY59" s="102"/>
      <c r="DZ59" s="102"/>
      <c r="EA59" s="102"/>
      <c r="EB59" s="102"/>
      <c r="EC59" s="102"/>
      <c r="ED59" s="102"/>
      <c r="EE59" s="102"/>
      <c r="EF59" s="102"/>
      <c r="EG59" s="102"/>
      <c r="EH59" s="102"/>
      <c r="EI59" s="102"/>
      <c r="EJ59" s="102"/>
      <c r="EK59" s="102"/>
      <c r="EL59" s="102"/>
      <c r="EM59" s="102"/>
      <c r="EN59" s="102"/>
    </row>
    <row r="60">
      <c r="A60" s="103" t="s">
        <v>163</v>
      </c>
      <c r="B60" s="105"/>
      <c r="C60" s="105"/>
      <c r="D60" s="103" t="s">
        <v>96</v>
      </c>
      <c r="E60" s="103" t="s">
        <v>98</v>
      </c>
      <c r="F60" s="105"/>
      <c r="G60" s="106"/>
      <c r="H60" s="107"/>
      <c r="I60" s="105"/>
      <c r="J60" s="103" t="s">
        <v>98</v>
      </c>
      <c r="K60" s="105"/>
      <c r="L60" s="105"/>
      <c r="M60" s="105"/>
      <c r="N60" s="105"/>
      <c r="O60" s="105"/>
      <c r="P60" s="103" t="s">
        <v>99</v>
      </c>
      <c r="Q60" s="105"/>
      <c r="R60" s="105"/>
      <c r="S60" s="106"/>
      <c r="T60" s="107"/>
      <c r="U60" s="105"/>
      <c r="V60" s="103" t="s">
        <v>99</v>
      </c>
      <c r="W60" s="103" t="s">
        <v>99</v>
      </c>
      <c r="X60" s="103" t="s">
        <v>99</v>
      </c>
      <c r="Y60" s="103" t="s">
        <v>99</v>
      </c>
      <c r="Z60" s="103" t="s">
        <v>99</v>
      </c>
      <c r="AA60" s="103" t="s">
        <v>99</v>
      </c>
      <c r="AB60" s="103" t="s">
        <v>99</v>
      </c>
      <c r="AC60" s="103" t="s">
        <v>98</v>
      </c>
      <c r="AD60" s="105"/>
      <c r="AE60" s="106"/>
      <c r="AF60" s="107"/>
      <c r="AG60" s="105"/>
      <c r="AH60" s="105"/>
      <c r="AI60" s="103" t="s">
        <v>99</v>
      </c>
      <c r="AJ60" s="105"/>
      <c r="AK60" s="105"/>
      <c r="AL60" s="105"/>
      <c r="AM60" s="103" t="s">
        <v>99</v>
      </c>
      <c r="AN60" s="105"/>
      <c r="AO60" s="103" t="s">
        <v>98</v>
      </c>
      <c r="AP60" s="105"/>
      <c r="AQ60" s="106"/>
      <c r="AR60" s="107"/>
      <c r="AS60" s="103" t="s">
        <v>98</v>
      </c>
      <c r="AT60" s="105"/>
      <c r="AU60" s="103" t="s">
        <v>98</v>
      </c>
      <c r="AV60" s="105"/>
      <c r="AW60" s="105"/>
      <c r="AX60" s="105"/>
      <c r="AY60" s="105"/>
      <c r="AZ60" s="105"/>
      <c r="BA60" s="105"/>
      <c r="BB60" s="105"/>
      <c r="BC60" s="106"/>
      <c r="BD60" s="105"/>
      <c r="BE60" s="105"/>
      <c r="BF60" s="105"/>
      <c r="BG60" s="105"/>
      <c r="BH60" s="102"/>
      <c r="BI60" s="102"/>
      <c r="BJ60" s="102"/>
      <c r="BK60" s="102"/>
      <c r="BL60" s="102"/>
      <c r="BM60" s="102"/>
      <c r="BN60" s="102"/>
      <c r="BO60" s="102"/>
      <c r="BP60" s="102"/>
      <c r="BQ60" s="102"/>
      <c r="BR60" s="102"/>
      <c r="BS60" s="102"/>
      <c r="BT60" s="102"/>
      <c r="BU60" s="102"/>
      <c r="BV60" s="102"/>
      <c r="BW60" s="102"/>
      <c r="BX60" s="102"/>
      <c r="BY60" s="102"/>
      <c r="BZ60" s="102"/>
      <c r="CA60" s="102"/>
      <c r="CB60" s="102"/>
      <c r="CC60" s="102"/>
      <c r="CD60" s="102"/>
      <c r="CE60" s="102"/>
      <c r="CF60" s="102"/>
      <c r="CG60" s="102"/>
      <c r="CH60" s="102"/>
      <c r="CI60" s="102"/>
      <c r="CJ60" s="102"/>
      <c r="CK60" s="102"/>
      <c r="CL60" s="102"/>
      <c r="CM60" s="102"/>
      <c r="CN60" s="102"/>
      <c r="CO60" s="102"/>
      <c r="CP60" s="102"/>
      <c r="CQ60" s="102"/>
      <c r="CR60" s="102"/>
      <c r="CS60" s="102"/>
      <c r="CT60" s="102"/>
      <c r="CU60" s="102"/>
      <c r="CV60" s="102"/>
      <c r="CW60" s="102"/>
      <c r="CX60" s="102"/>
      <c r="CY60" s="102"/>
      <c r="CZ60" s="102"/>
      <c r="DA60" s="102"/>
      <c r="DB60" s="102"/>
      <c r="DC60" s="102"/>
      <c r="DD60" s="102"/>
      <c r="DE60" s="102"/>
      <c r="DF60" s="102"/>
      <c r="DG60" s="102"/>
      <c r="DH60" s="102"/>
      <c r="DI60" s="102"/>
      <c r="DJ60" s="102"/>
      <c r="DK60" s="102"/>
      <c r="DL60" s="102"/>
      <c r="DM60" s="102"/>
      <c r="DN60" s="102"/>
      <c r="DO60" s="102"/>
      <c r="DP60" s="102"/>
      <c r="DQ60" s="102"/>
      <c r="DR60" s="102"/>
      <c r="DS60" s="102"/>
      <c r="DT60" s="102"/>
      <c r="DU60" s="102"/>
      <c r="DV60" s="102"/>
      <c r="DW60" s="102"/>
      <c r="DX60" s="102"/>
      <c r="DY60" s="102"/>
      <c r="DZ60" s="102"/>
      <c r="EA60" s="102"/>
      <c r="EB60" s="102"/>
      <c r="EC60" s="102"/>
      <c r="ED60" s="102"/>
      <c r="EE60" s="102"/>
      <c r="EF60" s="102"/>
      <c r="EG60" s="102"/>
      <c r="EH60" s="102"/>
      <c r="EI60" s="102"/>
      <c r="EJ60" s="102"/>
      <c r="EK60" s="102"/>
      <c r="EL60" s="102"/>
      <c r="EM60" s="102"/>
      <c r="EN60" s="102"/>
    </row>
    <row r="61">
      <c r="A61" s="110" t="s">
        <v>164</v>
      </c>
      <c r="B61" s="112"/>
      <c r="C61" s="112"/>
      <c r="D61" s="110" t="s">
        <v>98</v>
      </c>
      <c r="E61" s="112"/>
      <c r="F61" s="112"/>
      <c r="G61" s="113"/>
      <c r="H61" s="114"/>
      <c r="I61" s="116"/>
      <c r="J61" s="115" t="s">
        <v>97</v>
      </c>
      <c r="K61" s="116"/>
      <c r="L61" s="116"/>
      <c r="M61" s="116"/>
      <c r="N61" s="116"/>
      <c r="O61" s="116"/>
      <c r="P61" s="115" t="s">
        <v>99</v>
      </c>
      <c r="Q61" s="115" t="s">
        <v>97</v>
      </c>
      <c r="R61" s="115" t="s">
        <v>97</v>
      </c>
      <c r="S61" s="117"/>
      <c r="T61" s="118"/>
      <c r="U61" s="120"/>
      <c r="V61" s="120"/>
      <c r="W61" s="120"/>
      <c r="X61" s="121" t="s">
        <v>99</v>
      </c>
      <c r="Y61" s="121" t="s">
        <v>99</v>
      </c>
      <c r="Z61" s="121" t="s">
        <v>99</v>
      </c>
      <c r="AA61" s="121" t="s">
        <v>99</v>
      </c>
      <c r="AB61" s="121" t="s">
        <v>99</v>
      </c>
      <c r="AC61" s="121" t="s">
        <v>97</v>
      </c>
      <c r="AD61" s="120"/>
      <c r="AE61" s="122"/>
      <c r="AF61" s="123"/>
      <c r="AG61" s="124"/>
      <c r="AH61" s="124"/>
      <c r="AI61" s="125" t="s">
        <v>99</v>
      </c>
      <c r="AJ61" s="124"/>
      <c r="AK61" s="124"/>
      <c r="AL61" s="124"/>
      <c r="AM61" s="125" t="s">
        <v>99</v>
      </c>
      <c r="AN61" s="124"/>
      <c r="AO61" s="125" t="s">
        <v>97</v>
      </c>
      <c r="AP61" s="125" t="s">
        <v>97</v>
      </c>
      <c r="AQ61" s="126"/>
      <c r="AR61" s="127"/>
      <c r="AS61" s="129"/>
      <c r="AT61" s="129"/>
      <c r="AU61" s="128" t="s">
        <v>106</v>
      </c>
      <c r="AV61" s="129"/>
      <c r="AW61" s="129"/>
      <c r="AX61" s="129"/>
      <c r="AY61" s="129"/>
      <c r="AZ61" s="129"/>
      <c r="BA61" s="129"/>
      <c r="BB61" s="129"/>
      <c r="BC61" s="130"/>
      <c r="BD61" s="129"/>
      <c r="BE61" s="129"/>
      <c r="BF61" s="129"/>
      <c r="BG61" s="129"/>
      <c r="BH61" s="102"/>
      <c r="BI61" s="102"/>
      <c r="BJ61" s="102"/>
      <c r="BK61" s="102"/>
      <c r="BL61" s="102"/>
      <c r="BM61" s="102"/>
      <c r="BN61" s="102"/>
      <c r="BO61" s="102"/>
      <c r="BP61" s="102"/>
      <c r="BQ61" s="102"/>
      <c r="BR61" s="102"/>
      <c r="BS61" s="102"/>
      <c r="BT61" s="102"/>
      <c r="BU61" s="102"/>
      <c r="BV61" s="102"/>
      <c r="BW61" s="102"/>
      <c r="BX61" s="102"/>
      <c r="BY61" s="102"/>
      <c r="BZ61" s="102"/>
      <c r="CA61" s="102"/>
      <c r="CB61" s="102"/>
      <c r="CC61" s="102"/>
      <c r="CD61" s="102"/>
      <c r="CE61" s="102"/>
      <c r="CF61" s="102"/>
      <c r="CG61" s="102"/>
      <c r="CH61" s="102"/>
      <c r="CI61" s="102"/>
      <c r="CJ61" s="102"/>
      <c r="CK61" s="102"/>
      <c r="CL61" s="102"/>
      <c r="CM61" s="102"/>
      <c r="CN61" s="102"/>
      <c r="CO61" s="102"/>
      <c r="CP61" s="102"/>
      <c r="CQ61" s="102"/>
      <c r="CR61" s="102"/>
      <c r="CS61" s="102"/>
      <c r="CT61" s="102"/>
      <c r="CU61" s="102"/>
      <c r="CV61" s="102"/>
      <c r="CW61" s="102"/>
      <c r="CX61" s="102"/>
      <c r="CY61" s="102"/>
      <c r="CZ61" s="102"/>
      <c r="DA61" s="102"/>
      <c r="DB61" s="102"/>
      <c r="DC61" s="102"/>
      <c r="DD61" s="102"/>
      <c r="DE61" s="102"/>
      <c r="DF61" s="102"/>
      <c r="DG61" s="102"/>
      <c r="DH61" s="102"/>
      <c r="DI61" s="102"/>
      <c r="DJ61" s="102"/>
      <c r="DK61" s="102"/>
      <c r="DL61" s="102"/>
      <c r="DM61" s="102"/>
      <c r="DN61" s="102"/>
      <c r="DO61" s="102"/>
      <c r="DP61" s="102"/>
      <c r="DQ61" s="102"/>
      <c r="DR61" s="102"/>
      <c r="DS61" s="102"/>
      <c r="DT61" s="102"/>
      <c r="DU61" s="102"/>
      <c r="DV61" s="102"/>
      <c r="DW61" s="102"/>
      <c r="DX61" s="102"/>
      <c r="DY61" s="102"/>
      <c r="DZ61" s="102"/>
      <c r="EA61" s="102"/>
      <c r="EB61" s="102"/>
      <c r="EC61" s="102"/>
      <c r="ED61" s="102"/>
      <c r="EE61" s="102"/>
      <c r="EF61" s="102"/>
      <c r="EG61" s="102"/>
      <c r="EH61" s="102"/>
      <c r="EI61" s="102"/>
      <c r="EJ61" s="102"/>
      <c r="EK61" s="102"/>
      <c r="EL61" s="102"/>
      <c r="EM61" s="102"/>
      <c r="EN61" s="102"/>
    </row>
    <row r="62">
      <c r="A62" s="103" t="s">
        <v>165</v>
      </c>
      <c r="B62" s="103" t="s">
        <v>97</v>
      </c>
      <c r="C62" s="103" t="s">
        <v>96</v>
      </c>
      <c r="D62" s="103" t="s">
        <v>96</v>
      </c>
      <c r="E62" s="103" t="s">
        <v>96</v>
      </c>
      <c r="F62" s="103" t="s">
        <v>96</v>
      </c>
      <c r="G62" s="106"/>
      <c r="H62" s="107"/>
      <c r="I62" s="105"/>
      <c r="J62" s="103" t="s">
        <v>96</v>
      </c>
      <c r="K62" s="105"/>
      <c r="L62" s="105"/>
      <c r="M62" s="105"/>
      <c r="N62" s="105"/>
      <c r="O62" s="105"/>
      <c r="P62" s="103" t="s">
        <v>99</v>
      </c>
      <c r="Q62" s="103" t="s">
        <v>97</v>
      </c>
      <c r="R62" s="103" t="s">
        <v>97</v>
      </c>
      <c r="S62" s="106"/>
      <c r="T62" s="107"/>
      <c r="U62" s="105"/>
      <c r="V62" s="105"/>
      <c r="W62" s="105"/>
      <c r="X62" s="103" t="s">
        <v>97</v>
      </c>
      <c r="Y62" s="105"/>
      <c r="Z62" s="105"/>
      <c r="AA62" s="105"/>
      <c r="AB62" s="105"/>
      <c r="AC62" s="103" t="s">
        <v>96</v>
      </c>
      <c r="AD62" s="105"/>
      <c r="AE62" s="106"/>
      <c r="AF62" s="107"/>
      <c r="AG62" s="103" t="s">
        <v>97</v>
      </c>
      <c r="AH62" s="105"/>
      <c r="AI62" s="105"/>
      <c r="AJ62" s="105"/>
      <c r="AK62" s="103" t="s">
        <v>96</v>
      </c>
      <c r="AL62" s="105"/>
      <c r="AM62" s="105"/>
      <c r="AN62" s="105"/>
      <c r="AO62" s="103" t="s">
        <v>97</v>
      </c>
      <c r="AP62" s="103" t="s">
        <v>97</v>
      </c>
      <c r="AQ62" s="106"/>
      <c r="AR62" s="107"/>
      <c r="AS62" s="105"/>
      <c r="AT62" s="105"/>
      <c r="AU62" s="105"/>
      <c r="AV62" s="105"/>
      <c r="AW62" s="105"/>
      <c r="AX62" s="105"/>
      <c r="AY62" s="105"/>
      <c r="AZ62" s="105"/>
      <c r="BA62" s="105"/>
      <c r="BB62" s="105"/>
      <c r="BC62" s="106"/>
      <c r="BD62" s="105"/>
      <c r="BE62" s="105"/>
      <c r="BF62" s="105"/>
      <c r="BG62" s="105"/>
      <c r="BH62" s="102"/>
      <c r="BI62" s="102"/>
      <c r="BJ62" s="102"/>
      <c r="BK62" s="102"/>
      <c r="BL62" s="102"/>
      <c r="BM62" s="102"/>
      <c r="BN62" s="102"/>
      <c r="BO62" s="102"/>
      <c r="BP62" s="102"/>
      <c r="BQ62" s="102"/>
      <c r="BR62" s="102"/>
      <c r="BS62" s="102"/>
      <c r="BT62" s="102"/>
      <c r="BU62" s="102"/>
      <c r="BV62" s="102"/>
      <c r="BW62" s="102"/>
      <c r="BX62" s="102"/>
      <c r="BY62" s="102"/>
      <c r="BZ62" s="102"/>
      <c r="CA62" s="102"/>
      <c r="CB62" s="102"/>
      <c r="CC62" s="102"/>
      <c r="CD62" s="102"/>
      <c r="CE62" s="102"/>
      <c r="CF62" s="102"/>
      <c r="CG62" s="102"/>
      <c r="CH62" s="102"/>
      <c r="CI62" s="102"/>
      <c r="CJ62" s="102"/>
      <c r="CK62" s="102"/>
      <c r="CL62" s="102"/>
      <c r="CM62" s="102"/>
      <c r="CN62" s="102"/>
      <c r="CO62" s="102"/>
      <c r="CP62" s="102"/>
      <c r="CQ62" s="102"/>
      <c r="CR62" s="102"/>
      <c r="CS62" s="102"/>
      <c r="CT62" s="102"/>
      <c r="CU62" s="102"/>
      <c r="CV62" s="102"/>
      <c r="CW62" s="102"/>
      <c r="CX62" s="102"/>
      <c r="CY62" s="102"/>
      <c r="CZ62" s="102"/>
      <c r="DA62" s="102"/>
      <c r="DB62" s="102"/>
      <c r="DC62" s="102"/>
      <c r="DD62" s="102"/>
      <c r="DE62" s="102"/>
      <c r="DF62" s="102"/>
      <c r="DG62" s="102"/>
      <c r="DH62" s="102"/>
      <c r="DI62" s="102"/>
      <c r="DJ62" s="102"/>
      <c r="DK62" s="102"/>
      <c r="DL62" s="102"/>
      <c r="DM62" s="102"/>
      <c r="DN62" s="102"/>
      <c r="DO62" s="102"/>
      <c r="DP62" s="102"/>
      <c r="DQ62" s="102"/>
      <c r="DR62" s="102"/>
      <c r="DS62" s="102"/>
      <c r="DT62" s="102"/>
      <c r="DU62" s="102"/>
      <c r="DV62" s="102"/>
      <c r="DW62" s="102"/>
      <c r="DX62" s="102"/>
      <c r="DY62" s="102"/>
      <c r="DZ62" s="102"/>
      <c r="EA62" s="102"/>
      <c r="EB62" s="102"/>
      <c r="EC62" s="102"/>
      <c r="ED62" s="102"/>
      <c r="EE62" s="102"/>
      <c r="EF62" s="102"/>
      <c r="EG62" s="102"/>
      <c r="EH62" s="102"/>
      <c r="EI62" s="102"/>
      <c r="EJ62" s="102"/>
      <c r="EK62" s="102"/>
      <c r="EL62" s="102"/>
      <c r="EM62" s="102"/>
      <c r="EN62" s="102"/>
    </row>
    <row r="63">
      <c r="A63" s="110" t="s">
        <v>166</v>
      </c>
      <c r="B63" s="112"/>
      <c r="C63" s="112"/>
      <c r="D63" s="110" t="s">
        <v>98</v>
      </c>
      <c r="E63" s="112"/>
      <c r="F63" s="112"/>
      <c r="G63" s="113"/>
      <c r="H63" s="114"/>
      <c r="I63" s="116"/>
      <c r="J63" s="115" t="s">
        <v>97</v>
      </c>
      <c r="K63" s="116"/>
      <c r="L63" s="116"/>
      <c r="M63" s="116"/>
      <c r="N63" s="116"/>
      <c r="O63" s="116"/>
      <c r="P63" s="115" t="s">
        <v>99</v>
      </c>
      <c r="Q63" s="116"/>
      <c r="R63" s="116"/>
      <c r="S63" s="117"/>
      <c r="T63" s="118"/>
      <c r="U63" s="120"/>
      <c r="V63" s="121" t="s">
        <v>99</v>
      </c>
      <c r="W63" s="120"/>
      <c r="X63" s="121" t="s">
        <v>97</v>
      </c>
      <c r="Y63" s="120"/>
      <c r="Z63" s="120"/>
      <c r="AA63" s="120"/>
      <c r="AB63" s="120"/>
      <c r="AC63" s="121" t="s">
        <v>96</v>
      </c>
      <c r="AD63" s="120"/>
      <c r="AE63" s="122"/>
      <c r="AF63" s="123"/>
      <c r="AG63" s="125" t="s">
        <v>97</v>
      </c>
      <c r="AH63" s="124"/>
      <c r="AI63" s="124"/>
      <c r="AJ63" s="124"/>
      <c r="AK63" s="125" t="s">
        <v>97</v>
      </c>
      <c r="AL63" s="124"/>
      <c r="AM63" s="124"/>
      <c r="AN63" s="124"/>
      <c r="AO63" s="125" t="s">
        <v>97</v>
      </c>
      <c r="AP63" s="124"/>
      <c r="AQ63" s="126"/>
      <c r="AR63" s="127"/>
      <c r="AS63" s="129"/>
      <c r="AT63" s="128" t="s">
        <v>96</v>
      </c>
      <c r="AU63" s="128" t="s">
        <v>96</v>
      </c>
      <c r="AV63" s="129"/>
      <c r="AW63" s="129"/>
      <c r="AX63" s="129"/>
      <c r="AY63" s="129"/>
      <c r="AZ63" s="129"/>
      <c r="BA63" s="129"/>
      <c r="BB63" s="129"/>
      <c r="BC63" s="130"/>
      <c r="BD63" s="129"/>
      <c r="BE63" s="129"/>
      <c r="BF63" s="129"/>
      <c r="BG63" s="129"/>
      <c r="BH63" s="102"/>
      <c r="BI63" s="102"/>
      <c r="BJ63" s="102"/>
      <c r="BK63" s="102"/>
      <c r="BL63" s="102"/>
      <c r="BM63" s="102"/>
      <c r="BN63" s="102"/>
      <c r="BO63" s="102"/>
      <c r="BP63" s="102"/>
      <c r="BQ63" s="102"/>
      <c r="BR63" s="102"/>
      <c r="BS63" s="102"/>
      <c r="BT63" s="102"/>
      <c r="BU63" s="102"/>
      <c r="BV63" s="102"/>
      <c r="BW63" s="102"/>
      <c r="BX63" s="102"/>
      <c r="BY63" s="102"/>
      <c r="BZ63" s="102"/>
      <c r="CA63" s="102"/>
      <c r="CB63" s="102"/>
      <c r="CC63" s="102"/>
      <c r="CD63" s="102"/>
      <c r="CE63" s="102"/>
      <c r="CF63" s="102"/>
      <c r="CG63" s="102"/>
      <c r="CH63" s="102"/>
      <c r="CI63" s="102"/>
      <c r="CJ63" s="102"/>
      <c r="CK63" s="102"/>
      <c r="CL63" s="102"/>
      <c r="CM63" s="102"/>
      <c r="CN63" s="102"/>
      <c r="CO63" s="102"/>
      <c r="CP63" s="102"/>
      <c r="CQ63" s="102"/>
      <c r="CR63" s="102"/>
      <c r="CS63" s="102"/>
      <c r="CT63" s="102"/>
      <c r="CU63" s="102"/>
      <c r="CV63" s="102"/>
      <c r="CW63" s="102"/>
      <c r="CX63" s="102"/>
      <c r="CY63" s="102"/>
      <c r="CZ63" s="102"/>
      <c r="DA63" s="102"/>
      <c r="DB63" s="102"/>
      <c r="DC63" s="102"/>
      <c r="DD63" s="102"/>
      <c r="DE63" s="102"/>
      <c r="DF63" s="102"/>
      <c r="DG63" s="102"/>
      <c r="DH63" s="102"/>
      <c r="DI63" s="102"/>
      <c r="DJ63" s="102"/>
      <c r="DK63" s="102"/>
      <c r="DL63" s="102"/>
      <c r="DM63" s="102"/>
      <c r="DN63" s="102"/>
      <c r="DO63" s="102"/>
      <c r="DP63" s="102"/>
      <c r="DQ63" s="102"/>
      <c r="DR63" s="102"/>
      <c r="DS63" s="102"/>
      <c r="DT63" s="102"/>
      <c r="DU63" s="102"/>
      <c r="DV63" s="102"/>
      <c r="DW63" s="102"/>
      <c r="DX63" s="102"/>
      <c r="DY63" s="102"/>
      <c r="DZ63" s="102"/>
      <c r="EA63" s="102"/>
      <c r="EB63" s="102"/>
      <c r="EC63" s="102"/>
      <c r="ED63" s="102"/>
      <c r="EE63" s="102"/>
      <c r="EF63" s="102"/>
      <c r="EG63" s="102"/>
      <c r="EH63" s="102"/>
      <c r="EI63" s="102"/>
      <c r="EJ63" s="102"/>
      <c r="EK63" s="102"/>
      <c r="EL63" s="102"/>
      <c r="EM63" s="102"/>
      <c r="EN63" s="102"/>
    </row>
    <row r="64">
      <c r="A64" s="103" t="s">
        <v>167</v>
      </c>
      <c r="B64" s="105"/>
      <c r="C64" s="105"/>
      <c r="D64" s="103" t="s">
        <v>96</v>
      </c>
      <c r="E64" s="105"/>
      <c r="F64" s="105"/>
      <c r="G64" s="106"/>
      <c r="H64" s="107"/>
      <c r="I64" s="105"/>
      <c r="J64" s="103" t="s">
        <v>98</v>
      </c>
      <c r="K64" s="105"/>
      <c r="L64" s="105"/>
      <c r="M64" s="105"/>
      <c r="N64" s="105"/>
      <c r="O64" s="105"/>
      <c r="P64" s="103" t="s">
        <v>99</v>
      </c>
      <c r="Q64" s="105"/>
      <c r="R64" s="105"/>
      <c r="S64" s="106"/>
      <c r="T64" s="107"/>
      <c r="U64" s="105"/>
      <c r="V64" s="103" t="s">
        <v>99</v>
      </c>
      <c r="W64" s="105"/>
      <c r="X64" s="105"/>
      <c r="Y64" s="105"/>
      <c r="Z64" s="105"/>
      <c r="AA64" s="105"/>
      <c r="AB64" s="103" t="s">
        <v>99</v>
      </c>
      <c r="AC64" s="103" t="s">
        <v>96</v>
      </c>
      <c r="AD64" s="105"/>
      <c r="AE64" s="106"/>
      <c r="AF64" s="107"/>
      <c r="AG64" s="105"/>
      <c r="AH64" s="105"/>
      <c r="AI64" s="103" t="s">
        <v>99</v>
      </c>
      <c r="AJ64" s="105"/>
      <c r="AK64" s="105"/>
      <c r="AL64" s="105"/>
      <c r="AM64" s="103" t="s">
        <v>99</v>
      </c>
      <c r="AN64" s="105"/>
      <c r="AO64" s="103" t="s">
        <v>98</v>
      </c>
      <c r="AP64" s="105"/>
      <c r="AQ64" s="106"/>
      <c r="AR64" s="107"/>
      <c r="AS64" s="103" t="s">
        <v>98</v>
      </c>
      <c r="AT64" s="103" t="s">
        <v>96</v>
      </c>
      <c r="AU64" s="103" t="s">
        <v>96</v>
      </c>
      <c r="AV64" s="105"/>
      <c r="AW64" s="105"/>
      <c r="AX64" s="105"/>
      <c r="AY64" s="105"/>
      <c r="AZ64" s="105"/>
      <c r="BA64" s="105"/>
      <c r="BB64" s="105"/>
      <c r="BC64" s="106"/>
      <c r="BD64" s="105"/>
      <c r="BE64" s="105"/>
      <c r="BF64" s="105"/>
      <c r="BG64" s="105"/>
      <c r="BH64" s="102"/>
      <c r="BI64" s="102"/>
      <c r="BJ64" s="102"/>
      <c r="BK64" s="102"/>
      <c r="BL64" s="102"/>
      <c r="BM64" s="102"/>
      <c r="BN64" s="102"/>
      <c r="BO64" s="102"/>
      <c r="BP64" s="102"/>
      <c r="BQ64" s="102"/>
      <c r="BR64" s="102"/>
      <c r="BS64" s="102"/>
      <c r="BT64" s="102"/>
      <c r="BU64" s="102"/>
      <c r="BV64" s="102"/>
      <c r="BW64" s="102"/>
      <c r="BX64" s="102"/>
      <c r="BY64" s="102"/>
      <c r="BZ64" s="102"/>
      <c r="CA64" s="102"/>
      <c r="CB64" s="102"/>
      <c r="CC64" s="102"/>
      <c r="CD64" s="102"/>
      <c r="CE64" s="102"/>
      <c r="CF64" s="102"/>
      <c r="CG64" s="102"/>
      <c r="CH64" s="102"/>
      <c r="CI64" s="102"/>
      <c r="CJ64" s="102"/>
      <c r="CK64" s="102"/>
      <c r="CL64" s="102"/>
      <c r="CM64" s="102"/>
      <c r="CN64" s="102"/>
      <c r="CO64" s="102"/>
      <c r="CP64" s="102"/>
      <c r="CQ64" s="102"/>
      <c r="CR64" s="102"/>
      <c r="CS64" s="102"/>
      <c r="CT64" s="102"/>
      <c r="CU64" s="102"/>
      <c r="CV64" s="102"/>
      <c r="CW64" s="102"/>
      <c r="CX64" s="102"/>
      <c r="CY64" s="102"/>
      <c r="CZ64" s="102"/>
      <c r="DA64" s="102"/>
      <c r="DB64" s="102"/>
      <c r="DC64" s="102"/>
      <c r="DD64" s="102"/>
      <c r="DE64" s="102"/>
      <c r="DF64" s="102"/>
      <c r="DG64" s="102"/>
      <c r="DH64" s="102"/>
      <c r="DI64" s="102"/>
      <c r="DJ64" s="102"/>
      <c r="DK64" s="102"/>
      <c r="DL64" s="102"/>
      <c r="DM64" s="102"/>
      <c r="DN64" s="102"/>
      <c r="DO64" s="102"/>
      <c r="DP64" s="102"/>
      <c r="DQ64" s="102"/>
      <c r="DR64" s="102"/>
      <c r="DS64" s="102"/>
      <c r="DT64" s="102"/>
      <c r="DU64" s="102"/>
      <c r="DV64" s="102"/>
      <c r="DW64" s="102"/>
      <c r="DX64" s="102"/>
      <c r="DY64" s="102"/>
      <c r="DZ64" s="102"/>
      <c r="EA64" s="102"/>
      <c r="EB64" s="102"/>
      <c r="EC64" s="102"/>
      <c r="ED64" s="102"/>
      <c r="EE64" s="102"/>
      <c r="EF64" s="102"/>
      <c r="EG64" s="102"/>
      <c r="EH64" s="102"/>
      <c r="EI64" s="102"/>
      <c r="EJ64" s="102"/>
      <c r="EK64" s="102"/>
      <c r="EL64" s="102"/>
      <c r="EM64" s="102"/>
      <c r="EN64" s="102"/>
    </row>
    <row r="65">
      <c r="A65" s="110" t="s">
        <v>168</v>
      </c>
      <c r="B65" s="112"/>
      <c r="C65" s="112"/>
      <c r="D65" s="110" t="s">
        <v>98</v>
      </c>
      <c r="E65" s="112"/>
      <c r="F65" s="112"/>
      <c r="G65" s="113"/>
      <c r="H65" s="114"/>
      <c r="I65" s="116"/>
      <c r="J65" s="115" t="s">
        <v>97</v>
      </c>
      <c r="K65" s="116"/>
      <c r="L65" s="116"/>
      <c r="M65" s="116"/>
      <c r="N65" s="116"/>
      <c r="O65" s="116"/>
      <c r="P65" s="115" t="s">
        <v>99</v>
      </c>
      <c r="Q65" s="115" t="s">
        <v>96</v>
      </c>
      <c r="R65" s="116"/>
      <c r="S65" s="117"/>
      <c r="T65" s="118"/>
      <c r="U65" s="120"/>
      <c r="V65" s="120"/>
      <c r="W65" s="121" t="s">
        <v>99</v>
      </c>
      <c r="X65" s="120"/>
      <c r="Y65" s="120"/>
      <c r="Z65" s="120"/>
      <c r="AA65" s="120"/>
      <c r="AB65" s="120"/>
      <c r="AC65" s="121" t="s">
        <v>96</v>
      </c>
      <c r="AD65" s="120"/>
      <c r="AE65" s="122"/>
      <c r="AF65" s="123"/>
      <c r="AG65" s="124"/>
      <c r="AH65" s="124"/>
      <c r="AI65" s="125" t="s">
        <v>99</v>
      </c>
      <c r="AJ65" s="124"/>
      <c r="AK65" s="124"/>
      <c r="AL65" s="124"/>
      <c r="AM65" s="125" t="s">
        <v>99</v>
      </c>
      <c r="AN65" s="124"/>
      <c r="AO65" s="125" t="s">
        <v>97</v>
      </c>
      <c r="AP65" s="125" t="s">
        <v>97</v>
      </c>
      <c r="AQ65" s="126"/>
      <c r="AR65" s="127"/>
      <c r="AS65" s="129"/>
      <c r="AT65" s="129"/>
      <c r="AU65" s="129"/>
      <c r="AV65" s="129"/>
      <c r="AW65" s="129"/>
      <c r="AX65" s="129"/>
      <c r="AY65" s="129"/>
      <c r="AZ65" s="129"/>
      <c r="BA65" s="129"/>
      <c r="BB65" s="129"/>
      <c r="BC65" s="130"/>
      <c r="BD65" s="129"/>
      <c r="BE65" s="129"/>
      <c r="BF65" s="129"/>
      <c r="BG65" s="129"/>
      <c r="BH65" s="102"/>
      <c r="BI65" s="102"/>
      <c r="BJ65" s="102"/>
      <c r="BK65" s="102"/>
      <c r="BL65" s="102"/>
      <c r="BM65" s="102"/>
      <c r="BN65" s="102"/>
      <c r="BO65" s="102"/>
      <c r="BP65" s="102"/>
      <c r="BQ65" s="102"/>
      <c r="BR65" s="102"/>
      <c r="BS65" s="102"/>
      <c r="BT65" s="102"/>
      <c r="BU65" s="102"/>
      <c r="BV65" s="102"/>
      <c r="BW65" s="102"/>
      <c r="BX65" s="102"/>
      <c r="BY65" s="102"/>
      <c r="BZ65" s="102"/>
      <c r="CA65" s="102"/>
      <c r="CB65" s="102"/>
      <c r="CC65" s="102"/>
      <c r="CD65" s="102"/>
      <c r="CE65" s="102"/>
      <c r="CF65" s="102"/>
      <c r="CG65" s="102"/>
      <c r="CH65" s="102"/>
      <c r="CI65" s="102"/>
      <c r="CJ65" s="102"/>
      <c r="CK65" s="102"/>
      <c r="CL65" s="102"/>
      <c r="CM65" s="102"/>
      <c r="CN65" s="102"/>
      <c r="CO65" s="102"/>
      <c r="CP65" s="102"/>
      <c r="CQ65" s="102"/>
      <c r="CR65" s="102"/>
      <c r="CS65" s="102"/>
      <c r="CT65" s="102"/>
      <c r="CU65" s="102"/>
      <c r="CV65" s="102"/>
      <c r="CW65" s="102"/>
      <c r="CX65" s="102"/>
      <c r="CY65" s="102"/>
      <c r="CZ65" s="102"/>
      <c r="DA65" s="102"/>
      <c r="DB65" s="102"/>
      <c r="DC65" s="102"/>
      <c r="DD65" s="102"/>
      <c r="DE65" s="102"/>
      <c r="DF65" s="102"/>
      <c r="DG65" s="102"/>
      <c r="DH65" s="102"/>
      <c r="DI65" s="102"/>
      <c r="DJ65" s="102"/>
      <c r="DK65" s="102"/>
      <c r="DL65" s="102"/>
      <c r="DM65" s="102"/>
      <c r="DN65" s="102"/>
      <c r="DO65" s="102"/>
      <c r="DP65" s="102"/>
      <c r="DQ65" s="102"/>
      <c r="DR65" s="102"/>
      <c r="DS65" s="102"/>
      <c r="DT65" s="102"/>
      <c r="DU65" s="102"/>
      <c r="DV65" s="102"/>
      <c r="DW65" s="102"/>
      <c r="DX65" s="102"/>
      <c r="DY65" s="102"/>
      <c r="DZ65" s="102"/>
      <c r="EA65" s="102"/>
      <c r="EB65" s="102"/>
      <c r="EC65" s="102"/>
      <c r="ED65" s="102"/>
      <c r="EE65" s="102"/>
      <c r="EF65" s="102"/>
      <c r="EG65" s="102"/>
      <c r="EH65" s="102"/>
      <c r="EI65" s="102"/>
      <c r="EJ65" s="102"/>
      <c r="EK65" s="102"/>
      <c r="EL65" s="102"/>
      <c r="EM65" s="102"/>
      <c r="EN65" s="102"/>
    </row>
    <row r="66">
      <c r="A66" s="103" t="s">
        <v>169</v>
      </c>
      <c r="B66" s="105"/>
      <c r="C66" s="105"/>
      <c r="D66" s="103" t="s">
        <v>97</v>
      </c>
      <c r="E66" s="105"/>
      <c r="F66" s="105"/>
      <c r="G66" s="106"/>
      <c r="H66" s="107"/>
      <c r="I66" s="105"/>
      <c r="J66" s="103" t="s">
        <v>97</v>
      </c>
      <c r="K66" s="105"/>
      <c r="L66" s="105"/>
      <c r="M66" s="105"/>
      <c r="N66" s="105"/>
      <c r="O66" s="105"/>
      <c r="P66" s="103" t="s">
        <v>99</v>
      </c>
      <c r="Q66" s="103" t="s">
        <v>96</v>
      </c>
      <c r="R66" s="103" t="s">
        <v>96</v>
      </c>
      <c r="S66" s="106"/>
      <c r="T66" s="107"/>
      <c r="U66" s="105"/>
      <c r="V66" s="105"/>
      <c r="W66" s="105"/>
      <c r="X66" s="103" t="s">
        <v>97</v>
      </c>
      <c r="Y66" s="105"/>
      <c r="Z66" s="105"/>
      <c r="AA66" s="105"/>
      <c r="AB66" s="105"/>
      <c r="AC66" s="103" t="s">
        <v>98</v>
      </c>
      <c r="AD66" s="105"/>
      <c r="AE66" s="106"/>
      <c r="AF66" s="107"/>
      <c r="AG66" s="103" t="s">
        <v>97</v>
      </c>
      <c r="AH66" s="105"/>
      <c r="AI66" s="105"/>
      <c r="AJ66" s="105"/>
      <c r="AK66" s="103" t="s">
        <v>96</v>
      </c>
      <c r="AL66" s="105"/>
      <c r="AM66" s="105"/>
      <c r="AN66" s="105"/>
      <c r="AO66" s="103" t="s">
        <v>97</v>
      </c>
      <c r="AP66" s="103" t="s">
        <v>97</v>
      </c>
      <c r="AQ66" s="136" t="s">
        <v>97</v>
      </c>
      <c r="AR66" s="107"/>
      <c r="AS66" s="103" t="s">
        <v>98</v>
      </c>
      <c r="AT66" s="105"/>
      <c r="AU66" s="105"/>
      <c r="AV66" s="105"/>
      <c r="AW66" s="105"/>
      <c r="AX66" s="105"/>
      <c r="AY66" s="105"/>
      <c r="AZ66" s="105"/>
      <c r="BA66" s="105"/>
      <c r="BB66" s="105"/>
      <c r="BC66" s="106"/>
      <c r="BD66" s="105"/>
      <c r="BE66" s="105"/>
      <c r="BF66" s="105"/>
      <c r="BG66" s="105"/>
      <c r="BH66" s="102"/>
      <c r="BI66" s="102"/>
      <c r="BJ66" s="102"/>
      <c r="BK66" s="102"/>
      <c r="BL66" s="102"/>
      <c r="BM66" s="102"/>
      <c r="BN66" s="102"/>
      <c r="BO66" s="102"/>
      <c r="BP66" s="102"/>
      <c r="BQ66" s="102"/>
      <c r="BR66" s="102"/>
      <c r="BS66" s="102"/>
      <c r="BT66" s="102"/>
      <c r="BU66" s="102"/>
      <c r="BV66" s="102"/>
      <c r="BW66" s="102"/>
      <c r="BX66" s="102"/>
      <c r="BY66" s="102"/>
      <c r="BZ66" s="102"/>
      <c r="CA66" s="102"/>
      <c r="CB66" s="102"/>
      <c r="CC66" s="102"/>
      <c r="CD66" s="102"/>
      <c r="CE66" s="102"/>
      <c r="CF66" s="102"/>
      <c r="CG66" s="102"/>
      <c r="CH66" s="102"/>
      <c r="CI66" s="102"/>
      <c r="CJ66" s="102"/>
      <c r="CK66" s="102"/>
      <c r="CL66" s="102"/>
      <c r="CM66" s="102"/>
      <c r="CN66" s="102"/>
      <c r="CO66" s="102"/>
      <c r="CP66" s="102"/>
      <c r="CQ66" s="102"/>
      <c r="CR66" s="102"/>
      <c r="CS66" s="102"/>
      <c r="CT66" s="102"/>
      <c r="CU66" s="102"/>
      <c r="CV66" s="102"/>
      <c r="CW66" s="102"/>
      <c r="CX66" s="102"/>
      <c r="CY66" s="102"/>
      <c r="CZ66" s="102"/>
      <c r="DA66" s="102"/>
      <c r="DB66" s="102"/>
      <c r="DC66" s="102"/>
      <c r="DD66" s="102"/>
      <c r="DE66" s="102"/>
      <c r="DF66" s="102"/>
      <c r="DG66" s="102"/>
      <c r="DH66" s="102"/>
      <c r="DI66" s="102"/>
      <c r="DJ66" s="102"/>
      <c r="DK66" s="102"/>
      <c r="DL66" s="102"/>
      <c r="DM66" s="102"/>
      <c r="DN66" s="102"/>
      <c r="DO66" s="102"/>
      <c r="DP66" s="102"/>
      <c r="DQ66" s="102"/>
      <c r="DR66" s="102"/>
      <c r="DS66" s="102"/>
      <c r="DT66" s="102"/>
      <c r="DU66" s="102"/>
      <c r="DV66" s="102"/>
      <c r="DW66" s="102"/>
      <c r="DX66" s="102"/>
      <c r="DY66" s="102"/>
      <c r="DZ66" s="102"/>
      <c r="EA66" s="102"/>
      <c r="EB66" s="102"/>
      <c r="EC66" s="102"/>
      <c r="ED66" s="102"/>
      <c r="EE66" s="102"/>
      <c r="EF66" s="102"/>
      <c r="EG66" s="102"/>
      <c r="EH66" s="102"/>
      <c r="EI66" s="102"/>
      <c r="EJ66" s="102"/>
      <c r="EK66" s="102"/>
      <c r="EL66" s="102"/>
      <c r="EM66" s="102"/>
      <c r="EN66" s="102"/>
    </row>
    <row r="67">
      <c r="A67" s="110" t="s">
        <v>170</v>
      </c>
      <c r="B67" s="112"/>
      <c r="C67" s="110" t="s">
        <v>97</v>
      </c>
      <c r="D67" s="110" t="s">
        <v>97</v>
      </c>
      <c r="E67" s="112"/>
      <c r="F67" s="112"/>
      <c r="G67" s="113"/>
      <c r="H67" s="114"/>
      <c r="I67" s="116"/>
      <c r="J67" s="115" t="s">
        <v>97</v>
      </c>
      <c r="K67" s="116"/>
      <c r="L67" s="116"/>
      <c r="M67" s="116"/>
      <c r="N67" s="116"/>
      <c r="O67" s="116"/>
      <c r="P67" s="115" t="s">
        <v>99</v>
      </c>
      <c r="Q67" s="116"/>
      <c r="R67" s="116"/>
      <c r="S67" s="117"/>
      <c r="T67" s="118"/>
      <c r="U67" s="120"/>
      <c r="V67" s="121" t="s">
        <v>99</v>
      </c>
      <c r="W67" s="120"/>
      <c r="X67" s="121" t="s">
        <v>97</v>
      </c>
      <c r="Y67" s="120"/>
      <c r="Z67" s="120"/>
      <c r="AA67" s="120"/>
      <c r="AB67" s="120"/>
      <c r="AC67" s="121" t="s">
        <v>97</v>
      </c>
      <c r="AD67" s="120"/>
      <c r="AE67" s="122"/>
      <c r="AF67" s="123"/>
      <c r="AG67" s="125" t="s">
        <v>97</v>
      </c>
      <c r="AH67" s="124"/>
      <c r="AI67" s="124"/>
      <c r="AJ67" s="124"/>
      <c r="AK67" s="125" t="s">
        <v>96</v>
      </c>
      <c r="AL67" s="124"/>
      <c r="AM67" s="124"/>
      <c r="AN67" s="124"/>
      <c r="AO67" s="125" t="s">
        <v>97</v>
      </c>
      <c r="AP67" s="124"/>
      <c r="AQ67" s="126"/>
      <c r="AR67" s="127"/>
      <c r="AS67" s="129"/>
      <c r="AT67" s="129"/>
      <c r="AU67" s="128" t="s">
        <v>97</v>
      </c>
      <c r="AV67" s="129"/>
      <c r="AW67" s="129"/>
      <c r="AX67" s="129"/>
      <c r="AY67" s="129"/>
      <c r="AZ67" s="129"/>
      <c r="BA67" s="129"/>
      <c r="BB67" s="129"/>
      <c r="BC67" s="130"/>
      <c r="BD67" s="129"/>
      <c r="BE67" s="129"/>
      <c r="BF67" s="129"/>
      <c r="BG67" s="129"/>
      <c r="BH67" s="102"/>
      <c r="BI67" s="102"/>
      <c r="BJ67" s="102"/>
      <c r="BK67" s="102"/>
      <c r="BL67" s="102"/>
      <c r="BM67" s="102"/>
      <c r="BN67" s="102"/>
      <c r="BO67" s="102"/>
      <c r="BP67" s="102"/>
      <c r="BQ67" s="102"/>
      <c r="BR67" s="102"/>
      <c r="BS67" s="102"/>
      <c r="BT67" s="102"/>
      <c r="BU67" s="102"/>
      <c r="BV67" s="102"/>
      <c r="BW67" s="102"/>
      <c r="BX67" s="102"/>
      <c r="BY67" s="102"/>
      <c r="BZ67" s="102"/>
      <c r="CA67" s="102"/>
      <c r="CB67" s="102"/>
      <c r="CC67" s="102"/>
      <c r="CD67" s="102"/>
      <c r="CE67" s="102"/>
      <c r="CF67" s="102"/>
      <c r="CG67" s="102"/>
      <c r="CH67" s="102"/>
      <c r="CI67" s="102"/>
      <c r="CJ67" s="102"/>
      <c r="CK67" s="102"/>
      <c r="CL67" s="102"/>
      <c r="CM67" s="102"/>
      <c r="CN67" s="102"/>
      <c r="CO67" s="102"/>
      <c r="CP67" s="102"/>
      <c r="CQ67" s="102"/>
      <c r="CR67" s="102"/>
      <c r="CS67" s="102"/>
      <c r="CT67" s="102"/>
      <c r="CU67" s="102"/>
      <c r="CV67" s="102"/>
      <c r="CW67" s="102"/>
      <c r="CX67" s="102"/>
      <c r="CY67" s="102"/>
      <c r="CZ67" s="102"/>
      <c r="DA67" s="102"/>
      <c r="DB67" s="102"/>
      <c r="DC67" s="102"/>
      <c r="DD67" s="102"/>
      <c r="DE67" s="102"/>
      <c r="DF67" s="102"/>
      <c r="DG67" s="102"/>
      <c r="DH67" s="102"/>
      <c r="DI67" s="102"/>
      <c r="DJ67" s="102"/>
      <c r="DK67" s="102"/>
      <c r="DL67" s="102"/>
      <c r="DM67" s="102"/>
      <c r="DN67" s="102"/>
      <c r="DO67" s="102"/>
      <c r="DP67" s="102"/>
      <c r="DQ67" s="102"/>
      <c r="DR67" s="102"/>
      <c r="DS67" s="102"/>
      <c r="DT67" s="102"/>
      <c r="DU67" s="102"/>
      <c r="DV67" s="102"/>
      <c r="DW67" s="102"/>
      <c r="DX67" s="102"/>
      <c r="DY67" s="102"/>
      <c r="DZ67" s="102"/>
      <c r="EA67" s="102"/>
      <c r="EB67" s="102"/>
      <c r="EC67" s="102"/>
      <c r="ED67" s="102"/>
      <c r="EE67" s="102"/>
      <c r="EF67" s="102"/>
      <c r="EG67" s="102"/>
      <c r="EH67" s="102"/>
      <c r="EI67" s="102"/>
      <c r="EJ67" s="102"/>
      <c r="EK67" s="102"/>
      <c r="EL67" s="102"/>
      <c r="EM67" s="102"/>
      <c r="EN67" s="102"/>
    </row>
    <row r="68">
      <c r="A68" s="103" t="s">
        <v>171</v>
      </c>
      <c r="B68" s="105"/>
      <c r="C68" s="105"/>
      <c r="D68" s="105"/>
      <c r="E68" s="105"/>
      <c r="F68" s="105"/>
      <c r="G68" s="106"/>
      <c r="H68" s="107"/>
      <c r="I68" s="105"/>
      <c r="J68" s="105"/>
      <c r="K68" s="105"/>
      <c r="L68" s="105"/>
      <c r="M68" s="103" t="s">
        <v>98</v>
      </c>
      <c r="N68" s="105"/>
      <c r="O68" s="105"/>
      <c r="P68" s="105"/>
      <c r="Q68" s="105"/>
      <c r="R68" s="105"/>
      <c r="S68" s="136" t="s">
        <v>98</v>
      </c>
      <c r="T68" s="107"/>
      <c r="U68" s="105"/>
      <c r="V68" s="105"/>
      <c r="W68" s="105"/>
      <c r="X68" s="105"/>
      <c r="Y68" s="103" t="s">
        <v>98</v>
      </c>
      <c r="Z68" s="105"/>
      <c r="AA68" s="105"/>
      <c r="AB68" s="105"/>
      <c r="AC68" s="105"/>
      <c r="AD68" s="105"/>
      <c r="AE68" s="106"/>
      <c r="AF68" s="108" t="s">
        <v>98</v>
      </c>
      <c r="AG68" s="105"/>
      <c r="AH68" s="105"/>
      <c r="AI68" s="105"/>
      <c r="AJ68" s="105"/>
      <c r="AK68" s="103" t="s">
        <v>98</v>
      </c>
      <c r="AL68" s="105"/>
      <c r="AM68" s="105"/>
      <c r="AN68" s="105"/>
      <c r="AO68" s="105"/>
      <c r="AP68" s="105"/>
      <c r="AQ68" s="136" t="s">
        <v>98</v>
      </c>
      <c r="AR68" s="107"/>
      <c r="AS68" s="103" t="s">
        <v>98</v>
      </c>
      <c r="AT68" s="105"/>
      <c r="AU68" s="105"/>
      <c r="AV68" s="105"/>
      <c r="AW68" s="105"/>
      <c r="AX68" s="105"/>
      <c r="AY68" s="105"/>
      <c r="AZ68" s="105"/>
      <c r="BA68" s="105"/>
      <c r="BB68" s="105"/>
      <c r="BC68" s="106"/>
      <c r="BD68" s="105"/>
      <c r="BE68" s="105"/>
      <c r="BF68" s="105"/>
      <c r="BG68" s="105"/>
      <c r="BH68" s="102"/>
      <c r="BI68" s="102"/>
      <c r="BJ68" s="102"/>
      <c r="BK68" s="102"/>
      <c r="BL68" s="102"/>
      <c r="BM68" s="102"/>
      <c r="BN68" s="102"/>
      <c r="BO68" s="102"/>
      <c r="BP68" s="102"/>
      <c r="BQ68" s="102"/>
      <c r="BR68" s="102"/>
      <c r="BS68" s="102"/>
      <c r="BT68" s="102"/>
      <c r="BU68" s="102"/>
      <c r="BV68" s="102"/>
      <c r="BW68" s="102"/>
      <c r="BX68" s="102"/>
      <c r="BY68" s="102"/>
      <c r="BZ68" s="102"/>
      <c r="CA68" s="102"/>
      <c r="CB68" s="102"/>
      <c r="CC68" s="102"/>
      <c r="CD68" s="102"/>
      <c r="CE68" s="102"/>
      <c r="CF68" s="102"/>
      <c r="CG68" s="102"/>
      <c r="CH68" s="102"/>
      <c r="CI68" s="102"/>
      <c r="CJ68" s="102"/>
      <c r="CK68" s="102"/>
      <c r="CL68" s="102"/>
      <c r="CM68" s="102"/>
      <c r="CN68" s="102"/>
      <c r="CO68" s="102"/>
      <c r="CP68" s="102"/>
      <c r="CQ68" s="102"/>
      <c r="CR68" s="102"/>
      <c r="CS68" s="102"/>
      <c r="CT68" s="102"/>
      <c r="CU68" s="102"/>
      <c r="CV68" s="102"/>
      <c r="CW68" s="102"/>
      <c r="CX68" s="102"/>
      <c r="CY68" s="102"/>
      <c r="CZ68" s="102"/>
      <c r="DA68" s="102"/>
      <c r="DB68" s="102"/>
      <c r="DC68" s="102"/>
      <c r="DD68" s="102"/>
      <c r="DE68" s="102"/>
      <c r="DF68" s="102"/>
      <c r="DG68" s="102"/>
      <c r="DH68" s="102"/>
      <c r="DI68" s="102"/>
      <c r="DJ68" s="102"/>
      <c r="DK68" s="102"/>
      <c r="DL68" s="102"/>
      <c r="DM68" s="102"/>
      <c r="DN68" s="102"/>
      <c r="DO68" s="102"/>
      <c r="DP68" s="102"/>
      <c r="DQ68" s="102"/>
      <c r="DR68" s="102"/>
      <c r="DS68" s="102"/>
      <c r="DT68" s="102"/>
      <c r="DU68" s="102"/>
      <c r="DV68" s="102"/>
      <c r="DW68" s="102"/>
      <c r="DX68" s="102"/>
      <c r="DY68" s="102"/>
      <c r="DZ68" s="102"/>
      <c r="EA68" s="102"/>
      <c r="EB68" s="102"/>
      <c r="EC68" s="102"/>
      <c r="ED68" s="102"/>
      <c r="EE68" s="102"/>
      <c r="EF68" s="102"/>
      <c r="EG68" s="102"/>
      <c r="EH68" s="102"/>
      <c r="EI68" s="102"/>
      <c r="EJ68" s="102"/>
      <c r="EK68" s="102"/>
      <c r="EL68" s="102"/>
      <c r="EM68" s="102"/>
      <c r="EN68" s="102"/>
    </row>
    <row r="69">
      <c r="A69" s="138" t="s">
        <v>172</v>
      </c>
      <c r="B69" s="112"/>
      <c r="C69" s="112"/>
      <c r="D69" s="112"/>
      <c r="E69" s="112"/>
      <c r="F69" s="112"/>
      <c r="G69" s="113"/>
      <c r="H69" s="114"/>
      <c r="I69" s="116"/>
      <c r="J69" s="116"/>
      <c r="K69" s="115" t="s">
        <v>97</v>
      </c>
      <c r="L69" s="115" t="s">
        <v>97</v>
      </c>
      <c r="M69" s="116"/>
      <c r="N69" s="116"/>
      <c r="O69" s="115" t="s">
        <v>98</v>
      </c>
      <c r="P69" s="116"/>
      <c r="Q69" s="116"/>
      <c r="R69" s="116"/>
      <c r="S69" s="143" t="s">
        <v>98</v>
      </c>
      <c r="T69" s="118"/>
      <c r="U69" s="120"/>
      <c r="V69" s="120"/>
      <c r="W69" s="120"/>
      <c r="X69" s="120"/>
      <c r="Y69" s="120"/>
      <c r="Z69" s="120"/>
      <c r="AA69" s="120"/>
      <c r="AB69" s="121" t="s">
        <v>98</v>
      </c>
      <c r="AC69" s="120"/>
      <c r="AD69" s="120"/>
      <c r="AE69" s="122"/>
      <c r="AF69" s="134" t="s">
        <v>96</v>
      </c>
      <c r="AG69" s="124"/>
      <c r="AH69" s="124"/>
      <c r="AI69" s="124"/>
      <c r="AJ69" s="124"/>
      <c r="AK69" s="125" t="s">
        <v>98</v>
      </c>
      <c r="AL69" s="124"/>
      <c r="AM69" s="124"/>
      <c r="AN69" s="125" t="s">
        <v>98</v>
      </c>
      <c r="AO69" s="124"/>
      <c r="AP69" s="124"/>
      <c r="AQ69" s="133" t="s">
        <v>98</v>
      </c>
      <c r="AR69" s="127"/>
      <c r="AS69" s="128" t="s">
        <v>98</v>
      </c>
      <c r="AT69" s="129"/>
      <c r="AU69" s="128" t="s">
        <v>98</v>
      </c>
      <c r="AV69" s="129"/>
      <c r="AW69" s="129"/>
      <c r="AX69" s="129"/>
      <c r="AY69" s="129"/>
      <c r="AZ69" s="129"/>
      <c r="BA69" s="129"/>
      <c r="BB69" s="129"/>
      <c r="BC69" s="130"/>
      <c r="BD69" s="129"/>
      <c r="BE69" s="129"/>
      <c r="BF69" s="129"/>
      <c r="BG69" s="129"/>
      <c r="BH69" s="102"/>
      <c r="BI69" s="102"/>
      <c r="BJ69" s="102"/>
      <c r="BK69" s="102"/>
      <c r="BL69" s="102"/>
      <c r="BM69" s="102"/>
      <c r="BN69" s="102"/>
      <c r="BO69" s="102"/>
      <c r="BP69" s="102"/>
      <c r="BQ69" s="102"/>
      <c r="BR69" s="102"/>
      <c r="BS69" s="102"/>
      <c r="BT69" s="102"/>
      <c r="BU69" s="102"/>
      <c r="BV69" s="102"/>
      <c r="BW69" s="102"/>
      <c r="BX69" s="102"/>
      <c r="BY69" s="102"/>
      <c r="BZ69" s="102"/>
      <c r="CA69" s="102"/>
      <c r="CB69" s="102"/>
      <c r="CC69" s="102"/>
      <c r="CD69" s="102"/>
      <c r="CE69" s="102"/>
      <c r="CF69" s="102"/>
      <c r="CG69" s="102"/>
      <c r="CH69" s="102"/>
      <c r="CI69" s="102"/>
      <c r="CJ69" s="102"/>
      <c r="CK69" s="102"/>
      <c r="CL69" s="102"/>
      <c r="CM69" s="102"/>
      <c r="CN69" s="102"/>
      <c r="CO69" s="102"/>
      <c r="CP69" s="102"/>
      <c r="CQ69" s="102"/>
      <c r="CR69" s="102"/>
      <c r="CS69" s="102"/>
      <c r="CT69" s="102"/>
      <c r="CU69" s="102"/>
      <c r="CV69" s="102"/>
      <c r="CW69" s="102"/>
      <c r="CX69" s="102"/>
      <c r="CY69" s="102"/>
      <c r="CZ69" s="102"/>
      <c r="DA69" s="102"/>
      <c r="DB69" s="102"/>
      <c r="DC69" s="102"/>
      <c r="DD69" s="102"/>
      <c r="DE69" s="102"/>
      <c r="DF69" s="102"/>
      <c r="DG69" s="102"/>
      <c r="DH69" s="102"/>
      <c r="DI69" s="102"/>
      <c r="DJ69" s="102"/>
      <c r="DK69" s="102"/>
      <c r="DL69" s="102"/>
      <c r="DM69" s="102"/>
      <c r="DN69" s="102"/>
      <c r="DO69" s="102"/>
      <c r="DP69" s="102"/>
      <c r="DQ69" s="102"/>
      <c r="DR69" s="102"/>
      <c r="DS69" s="102"/>
      <c r="DT69" s="102"/>
      <c r="DU69" s="102"/>
      <c r="DV69" s="102"/>
      <c r="DW69" s="102"/>
      <c r="DX69" s="102"/>
      <c r="DY69" s="102"/>
      <c r="DZ69" s="102"/>
      <c r="EA69" s="102"/>
      <c r="EB69" s="102"/>
      <c r="EC69" s="102"/>
      <c r="ED69" s="102"/>
      <c r="EE69" s="102"/>
      <c r="EF69" s="102"/>
      <c r="EG69" s="102"/>
      <c r="EH69" s="102"/>
      <c r="EI69" s="102"/>
      <c r="EJ69" s="102"/>
      <c r="EK69" s="102"/>
      <c r="EL69" s="102"/>
      <c r="EM69" s="102"/>
      <c r="EN69" s="102"/>
    </row>
    <row r="70">
      <c r="A70" s="139" t="s">
        <v>173</v>
      </c>
      <c r="B70" s="105"/>
      <c r="C70" s="105"/>
      <c r="D70" s="105"/>
      <c r="E70" s="105"/>
      <c r="F70" s="105"/>
      <c r="G70" s="106"/>
      <c r="H70" s="107"/>
      <c r="I70" s="105"/>
      <c r="J70" s="105"/>
      <c r="K70" s="103" t="s">
        <v>97</v>
      </c>
      <c r="L70" s="103" t="s">
        <v>97</v>
      </c>
      <c r="M70" s="105"/>
      <c r="N70" s="105"/>
      <c r="O70" s="103" t="s">
        <v>97</v>
      </c>
      <c r="P70" s="105"/>
      <c r="Q70" s="105"/>
      <c r="R70" s="105"/>
      <c r="S70" s="136" t="s">
        <v>98</v>
      </c>
      <c r="T70" s="107"/>
      <c r="U70" s="105"/>
      <c r="V70" s="105"/>
      <c r="W70" s="105"/>
      <c r="X70" s="105"/>
      <c r="Y70" s="105"/>
      <c r="Z70" s="105"/>
      <c r="AA70" s="105"/>
      <c r="AB70" s="103" t="s">
        <v>96</v>
      </c>
      <c r="AC70" s="103" t="s">
        <v>98</v>
      </c>
      <c r="AD70" s="105"/>
      <c r="AE70" s="106"/>
      <c r="AF70" s="107"/>
      <c r="AG70" s="105"/>
      <c r="AH70" s="105"/>
      <c r="AI70" s="105"/>
      <c r="AJ70" s="105"/>
      <c r="AK70" s="103" t="s">
        <v>98</v>
      </c>
      <c r="AL70" s="105"/>
      <c r="AM70" s="105"/>
      <c r="AN70" s="105"/>
      <c r="AO70" s="103" t="s">
        <v>98</v>
      </c>
      <c r="AP70" s="105"/>
      <c r="AQ70" s="106"/>
      <c r="AR70" s="107"/>
      <c r="AS70" s="103" t="s">
        <v>98</v>
      </c>
      <c r="AT70" s="103" t="s">
        <v>98</v>
      </c>
      <c r="AU70" s="105"/>
      <c r="AV70" s="105"/>
      <c r="AW70" s="105"/>
      <c r="AX70" s="105"/>
      <c r="AY70" s="105"/>
      <c r="AZ70" s="105"/>
      <c r="BA70" s="105"/>
      <c r="BB70" s="105"/>
      <c r="BC70" s="106"/>
      <c r="BD70" s="105"/>
      <c r="BE70" s="105"/>
      <c r="BF70" s="105"/>
      <c r="BG70" s="105"/>
      <c r="BH70" s="102"/>
      <c r="BI70" s="102"/>
      <c r="BJ70" s="102"/>
      <c r="BK70" s="102"/>
      <c r="BL70" s="102"/>
      <c r="BM70" s="102"/>
      <c r="BN70" s="102"/>
      <c r="BO70" s="102"/>
      <c r="BP70" s="102"/>
      <c r="BQ70" s="102"/>
      <c r="BR70" s="102"/>
      <c r="BS70" s="102"/>
      <c r="BT70" s="102"/>
      <c r="BU70" s="102"/>
      <c r="BV70" s="102"/>
      <c r="BW70" s="102"/>
      <c r="BX70" s="102"/>
      <c r="BY70" s="102"/>
      <c r="BZ70" s="102"/>
      <c r="CA70" s="102"/>
      <c r="CB70" s="102"/>
      <c r="CC70" s="102"/>
      <c r="CD70" s="102"/>
      <c r="CE70" s="102"/>
      <c r="CF70" s="102"/>
      <c r="CG70" s="102"/>
      <c r="CH70" s="102"/>
      <c r="CI70" s="102"/>
      <c r="CJ70" s="102"/>
      <c r="CK70" s="102"/>
      <c r="CL70" s="102"/>
      <c r="CM70" s="102"/>
      <c r="CN70" s="102"/>
      <c r="CO70" s="102"/>
      <c r="CP70" s="102"/>
      <c r="CQ70" s="102"/>
      <c r="CR70" s="102"/>
      <c r="CS70" s="102"/>
      <c r="CT70" s="102"/>
      <c r="CU70" s="102"/>
      <c r="CV70" s="102"/>
      <c r="CW70" s="102"/>
      <c r="CX70" s="102"/>
      <c r="CY70" s="102"/>
      <c r="CZ70" s="102"/>
      <c r="DA70" s="102"/>
      <c r="DB70" s="102"/>
      <c r="DC70" s="102"/>
      <c r="DD70" s="102"/>
      <c r="DE70" s="102"/>
      <c r="DF70" s="102"/>
      <c r="DG70" s="102"/>
      <c r="DH70" s="102"/>
      <c r="DI70" s="102"/>
      <c r="DJ70" s="102"/>
      <c r="DK70" s="102"/>
      <c r="DL70" s="102"/>
      <c r="DM70" s="102"/>
      <c r="DN70" s="102"/>
      <c r="DO70" s="102"/>
      <c r="DP70" s="102"/>
      <c r="DQ70" s="102"/>
      <c r="DR70" s="102"/>
      <c r="DS70" s="102"/>
      <c r="DT70" s="102"/>
      <c r="DU70" s="102"/>
      <c r="DV70" s="102"/>
      <c r="DW70" s="102"/>
      <c r="DX70" s="102"/>
      <c r="DY70" s="102"/>
      <c r="DZ70" s="102"/>
      <c r="EA70" s="102"/>
      <c r="EB70" s="102"/>
      <c r="EC70" s="102"/>
      <c r="ED70" s="102"/>
      <c r="EE70" s="102"/>
      <c r="EF70" s="102"/>
      <c r="EG70" s="102"/>
      <c r="EH70" s="102"/>
      <c r="EI70" s="102"/>
      <c r="EJ70" s="102"/>
      <c r="EK70" s="102"/>
      <c r="EL70" s="102"/>
      <c r="EM70" s="102"/>
      <c r="EN70" s="102"/>
    </row>
    <row r="71">
      <c r="A71" s="110" t="s">
        <v>174</v>
      </c>
      <c r="B71" s="112"/>
      <c r="C71" s="112"/>
      <c r="D71" s="112"/>
      <c r="E71" s="112"/>
      <c r="F71" s="110" t="s">
        <v>98</v>
      </c>
      <c r="G71" s="113"/>
      <c r="H71" s="114"/>
      <c r="I71" s="115" t="s">
        <v>96</v>
      </c>
      <c r="J71" s="116"/>
      <c r="K71" s="116"/>
      <c r="L71" s="115" t="s">
        <v>98</v>
      </c>
      <c r="M71" s="116"/>
      <c r="N71" s="116"/>
      <c r="O71" s="115" t="s">
        <v>98</v>
      </c>
      <c r="P71" s="115" t="s">
        <v>99</v>
      </c>
      <c r="Q71" s="116"/>
      <c r="R71" s="115" t="s">
        <v>98</v>
      </c>
      <c r="S71" s="117"/>
      <c r="T71" s="118"/>
      <c r="U71" s="121" t="s">
        <v>98</v>
      </c>
      <c r="V71" s="120"/>
      <c r="W71" s="120"/>
      <c r="X71" s="121" t="s">
        <v>99</v>
      </c>
      <c r="Y71" s="121" t="s">
        <v>98</v>
      </c>
      <c r="Z71" s="120"/>
      <c r="AA71" s="120"/>
      <c r="AB71" s="121" t="s">
        <v>98</v>
      </c>
      <c r="AC71" s="120"/>
      <c r="AD71" s="121" t="s">
        <v>98</v>
      </c>
      <c r="AE71" s="122"/>
      <c r="AF71" s="123"/>
      <c r="AG71" s="125" t="s">
        <v>99</v>
      </c>
      <c r="AH71" s="124"/>
      <c r="AI71" s="124"/>
      <c r="AJ71" s="125" t="s">
        <v>99</v>
      </c>
      <c r="AK71" s="125" t="s">
        <v>98</v>
      </c>
      <c r="AL71" s="124"/>
      <c r="AM71" s="124"/>
      <c r="AN71" s="125" t="s">
        <v>98</v>
      </c>
      <c r="AO71" s="124"/>
      <c r="AP71" s="124"/>
      <c r="AQ71" s="133" t="s">
        <v>99</v>
      </c>
      <c r="AR71" s="127"/>
      <c r="AS71" s="128" t="s">
        <v>98</v>
      </c>
      <c r="AT71" s="129"/>
      <c r="AU71" s="129"/>
      <c r="AV71" s="129"/>
      <c r="AW71" s="129"/>
      <c r="AX71" s="129"/>
      <c r="AY71" s="129"/>
      <c r="AZ71" s="129"/>
      <c r="BA71" s="129"/>
      <c r="BB71" s="129"/>
      <c r="BC71" s="130"/>
      <c r="BD71" s="129"/>
      <c r="BE71" s="129"/>
      <c r="BF71" s="129"/>
      <c r="BG71" s="129"/>
      <c r="BH71" s="102"/>
      <c r="BI71" s="102"/>
      <c r="BJ71" s="102"/>
      <c r="BK71" s="102"/>
      <c r="BL71" s="102"/>
      <c r="BM71" s="102"/>
      <c r="BN71" s="102"/>
      <c r="BO71" s="102"/>
      <c r="BP71" s="102"/>
      <c r="BQ71" s="102"/>
      <c r="BR71" s="102"/>
      <c r="BS71" s="102"/>
      <c r="BT71" s="102"/>
      <c r="BU71" s="102"/>
      <c r="BV71" s="102"/>
      <c r="BW71" s="102"/>
      <c r="BX71" s="102"/>
      <c r="BY71" s="102"/>
      <c r="BZ71" s="102"/>
      <c r="CA71" s="102"/>
      <c r="CB71" s="102"/>
      <c r="CC71" s="102"/>
      <c r="CD71" s="102"/>
      <c r="CE71" s="102"/>
      <c r="CF71" s="102"/>
      <c r="CG71" s="102"/>
      <c r="CH71" s="102"/>
      <c r="CI71" s="102"/>
      <c r="CJ71" s="102"/>
      <c r="CK71" s="102"/>
      <c r="CL71" s="102"/>
      <c r="CM71" s="102"/>
      <c r="CN71" s="102"/>
      <c r="CO71" s="102"/>
      <c r="CP71" s="102"/>
      <c r="CQ71" s="102"/>
      <c r="CR71" s="102"/>
      <c r="CS71" s="102"/>
      <c r="CT71" s="102"/>
      <c r="CU71" s="102"/>
      <c r="CV71" s="102"/>
      <c r="CW71" s="102"/>
      <c r="CX71" s="102"/>
      <c r="CY71" s="102"/>
      <c r="CZ71" s="102"/>
      <c r="DA71" s="102"/>
      <c r="DB71" s="102"/>
      <c r="DC71" s="102"/>
      <c r="DD71" s="102"/>
      <c r="DE71" s="102"/>
      <c r="DF71" s="102"/>
      <c r="DG71" s="102"/>
      <c r="DH71" s="102"/>
      <c r="DI71" s="102"/>
      <c r="DJ71" s="102"/>
      <c r="DK71" s="102"/>
      <c r="DL71" s="102"/>
      <c r="DM71" s="102"/>
      <c r="DN71" s="102"/>
      <c r="DO71" s="102"/>
      <c r="DP71" s="102"/>
      <c r="DQ71" s="102"/>
      <c r="DR71" s="102"/>
      <c r="DS71" s="102"/>
      <c r="DT71" s="102"/>
      <c r="DU71" s="102"/>
      <c r="DV71" s="102"/>
      <c r="DW71" s="102"/>
      <c r="DX71" s="102"/>
      <c r="DY71" s="102"/>
      <c r="DZ71" s="102"/>
      <c r="EA71" s="102"/>
      <c r="EB71" s="102"/>
      <c r="EC71" s="102"/>
      <c r="ED71" s="102"/>
      <c r="EE71" s="102"/>
      <c r="EF71" s="102"/>
      <c r="EG71" s="102"/>
      <c r="EH71" s="102"/>
      <c r="EI71" s="102"/>
      <c r="EJ71" s="102"/>
      <c r="EK71" s="102"/>
      <c r="EL71" s="102"/>
      <c r="EM71" s="102"/>
      <c r="EN71" s="102"/>
    </row>
    <row r="72">
      <c r="A72" s="139" t="s">
        <v>175</v>
      </c>
      <c r="B72" s="105"/>
      <c r="C72" s="103" t="s">
        <v>97</v>
      </c>
      <c r="D72" s="105"/>
      <c r="E72" s="105"/>
      <c r="F72" s="103" t="s">
        <v>98</v>
      </c>
      <c r="G72" s="106"/>
      <c r="H72" s="107"/>
      <c r="I72" s="105"/>
      <c r="J72" s="103" t="s">
        <v>98</v>
      </c>
      <c r="K72" s="105"/>
      <c r="L72" s="103" t="s">
        <v>98</v>
      </c>
      <c r="M72" s="105"/>
      <c r="N72" s="105"/>
      <c r="O72" s="103" t="s">
        <v>96</v>
      </c>
      <c r="P72" s="103" t="s">
        <v>99</v>
      </c>
      <c r="Q72" s="105"/>
      <c r="R72" s="103" t="s">
        <v>97</v>
      </c>
      <c r="S72" s="106"/>
      <c r="T72" s="107"/>
      <c r="U72" s="103" t="s">
        <v>98</v>
      </c>
      <c r="V72" s="105"/>
      <c r="W72" s="105"/>
      <c r="X72" s="103" t="s">
        <v>99</v>
      </c>
      <c r="Y72" s="103" t="s">
        <v>98</v>
      </c>
      <c r="Z72" s="105"/>
      <c r="AA72" s="105"/>
      <c r="AB72" s="103" t="s">
        <v>99</v>
      </c>
      <c r="AC72" s="103" t="s">
        <v>99</v>
      </c>
      <c r="AD72" s="103" t="s">
        <v>98</v>
      </c>
      <c r="AE72" s="106"/>
      <c r="AF72" s="107"/>
      <c r="AG72" s="103" t="s">
        <v>99</v>
      </c>
      <c r="AH72" s="105"/>
      <c r="AI72" s="105"/>
      <c r="AJ72" s="103" t="s">
        <v>99</v>
      </c>
      <c r="AK72" s="103" t="s">
        <v>97</v>
      </c>
      <c r="AL72" s="105"/>
      <c r="AM72" s="105"/>
      <c r="AN72" s="103" t="s">
        <v>99</v>
      </c>
      <c r="AO72" s="103" t="s">
        <v>98</v>
      </c>
      <c r="AP72" s="103" t="s">
        <v>98</v>
      </c>
      <c r="AQ72" s="106"/>
      <c r="AR72" s="107"/>
      <c r="AS72" s="103" t="s">
        <v>96</v>
      </c>
      <c r="AT72" s="103" t="s">
        <v>96</v>
      </c>
      <c r="AU72" s="103" t="s">
        <v>96</v>
      </c>
      <c r="AV72" s="105"/>
      <c r="AW72" s="105"/>
      <c r="AX72" s="105"/>
      <c r="AY72" s="105"/>
      <c r="AZ72" s="105"/>
      <c r="BA72" s="105"/>
      <c r="BB72" s="105"/>
      <c r="BC72" s="106"/>
      <c r="BD72" s="105"/>
      <c r="BE72" s="105"/>
      <c r="BF72" s="105"/>
      <c r="BG72" s="105"/>
      <c r="BH72" s="102"/>
      <c r="BI72" s="102"/>
      <c r="BJ72" s="102"/>
      <c r="BK72" s="102"/>
      <c r="BL72" s="102"/>
      <c r="BM72" s="102"/>
      <c r="BN72" s="102"/>
      <c r="BO72" s="102"/>
      <c r="BP72" s="102"/>
      <c r="BQ72" s="102"/>
      <c r="BR72" s="102"/>
      <c r="BS72" s="102"/>
      <c r="BT72" s="102"/>
      <c r="BU72" s="102"/>
      <c r="BV72" s="102"/>
      <c r="BW72" s="102"/>
      <c r="BX72" s="102"/>
      <c r="BY72" s="102"/>
      <c r="BZ72" s="102"/>
      <c r="CA72" s="102"/>
      <c r="CB72" s="102"/>
      <c r="CC72" s="102"/>
      <c r="CD72" s="102"/>
      <c r="CE72" s="102"/>
      <c r="CF72" s="102"/>
      <c r="CG72" s="102"/>
      <c r="CH72" s="102"/>
      <c r="CI72" s="102"/>
      <c r="CJ72" s="102"/>
      <c r="CK72" s="102"/>
      <c r="CL72" s="102"/>
      <c r="CM72" s="102"/>
      <c r="CN72" s="102"/>
      <c r="CO72" s="102"/>
      <c r="CP72" s="102"/>
      <c r="CQ72" s="102"/>
      <c r="CR72" s="102"/>
      <c r="CS72" s="102"/>
      <c r="CT72" s="102"/>
      <c r="CU72" s="102"/>
      <c r="CV72" s="102"/>
      <c r="CW72" s="102"/>
      <c r="CX72" s="102"/>
      <c r="CY72" s="102"/>
      <c r="CZ72" s="102"/>
      <c r="DA72" s="102"/>
      <c r="DB72" s="102"/>
      <c r="DC72" s="102"/>
      <c r="DD72" s="102"/>
      <c r="DE72" s="102"/>
      <c r="DF72" s="102"/>
      <c r="DG72" s="102"/>
      <c r="DH72" s="102"/>
      <c r="DI72" s="102"/>
      <c r="DJ72" s="102"/>
      <c r="DK72" s="102"/>
      <c r="DL72" s="102"/>
      <c r="DM72" s="102"/>
      <c r="DN72" s="102"/>
      <c r="DO72" s="102"/>
      <c r="DP72" s="102"/>
      <c r="DQ72" s="102"/>
      <c r="DR72" s="102"/>
      <c r="DS72" s="102"/>
      <c r="DT72" s="102"/>
      <c r="DU72" s="102"/>
      <c r="DV72" s="102"/>
      <c r="DW72" s="102"/>
      <c r="DX72" s="102"/>
      <c r="DY72" s="102"/>
      <c r="DZ72" s="102"/>
      <c r="EA72" s="102"/>
      <c r="EB72" s="102"/>
      <c r="EC72" s="102"/>
      <c r="ED72" s="102"/>
      <c r="EE72" s="102"/>
      <c r="EF72" s="102"/>
      <c r="EG72" s="102"/>
      <c r="EH72" s="102"/>
      <c r="EI72" s="102"/>
      <c r="EJ72" s="102"/>
      <c r="EK72" s="102"/>
      <c r="EL72" s="102"/>
      <c r="EM72" s="102"/>
      <c r="EN72" s="102"/>
    </row>
    <row r="73">
      <c r="A73" s="138" t="s">
        <v>176</v>
      </c>
      <c r="B73" s="112"/>
      <c r="C73" s="110" t="s">
        <v>97</v>
      </c>
      <c r="D73" s="112"/>
      <c r="E73" s="112"/>
      <c r="F73" s="112"/>
      <c r="G73" s="137" t="s">
        <v>97</v>
      </c>
      <c r="H73" s="114"/>
      <c r="I73" s="116"/>
      <c r="J73" s="116"/>
      <c r="K73" s="115" t="s">
        <v>97</v>
      </c>
      <c r="L73" s="116"/>
      <c r="M73" s="116"/>
      <c r="N73" s="116"/>
      <c r="O73" s="115" t="s">
        <v>97</v>
      </c>
      <c r="P73" s="115" t="s">
        <v>99</v>
      </c>
      <c r="Q73" s="116"/>
      <c r="R73" s="116"/>
      <c r="S73" s="143" t="s">
        <v>99</v>
      </c>
      <c r="T73" s="118"/>
      <c r="U73" s="120"/>
      <c r="V73" s="120"/>
      <c r="W73" s="121" t="s">
        <v>99</v>
      </c>
      <c r="X73" s="120"/>
      <c r="Y73" s="120"/>
      <c r="Z73" s="120"/>
      <c r="AA73" s="121" t="s">
        <v>99</v>
      </c>
      <c r="AB73" s="121" t="s">
        <v>97</v>
      </c>
      <c r="AC73" s="120"/>
      <c r="AD73" s="120"/>
      <c r="AE73" s="122"/>
      <c r="AF73" s="134" t="s">
        <v>99</v>
      </c>
      <c r="AG73" s="124"/>
      <c r="AH73" s="124"/>
      <c r="AI73" s="124"/>
      <c r="AJ73" s="125" t="s">
        <v>99</v>
      </c>
      <c r="AK73" s="125" t="s">
        <v>99</v>
      </c>
      <c r="AL73" s="125" t="s">
        <v>99</v>
      </c>
      <c r="AM73" s="125" t="s">
        <v>99</v>
      </c>
      <c r="AN73" s="125" t="s">
        <v>99</v>
      </c>
      <c r="AO73" s="125" t="s">
        <v>99</v>
      </c>
      <c r="AP73" s="125" t="s">
        <v>99</v>
      </c>
      <c r="AQ73" s="133" t="s">
        <v>97</v>
      </c>
      <c r="AR73" s="127"/>
      <c r="AS73" s="129"/>
      <c r="AT73" s="129"/>
      <c r="AU73" s="128" t="s">
        <v>99</v>
      </c>
      <c r="AV73" s="129"/>
      <c r="AW73" s="129"/>
      <c r="AX73" s="129"/>
      <c r="AY73" s="129"/>
      <c r="AZ73" s="129"/>
      <c r="BA73" s="129"/>
      <c r="BB73" s="129"/>
      <c r="BC73" s="130"/>
      <c r="BD73" s="129"/>
      <c r="BE73" s="129"/>
      <c r="BF73" s="129"/>
      <c r="BG73" s="129"/>
      <c r="BH73" s="102"/>
      <c r="BI73" s="102"/>
      <c r="BJ73" s="102"/>
      <c r="BK73" s="102"/>
      <c r="BL73" s="102"/>
      <c r="BM73" s="102"/>
      <c r="BN73" s="102"/>
      <c r="BO73" s="102"/>
      <c r="BP73" s="102"/>
      <c r="BQ73" s="102"/>
      <c r="BR73" s="102"/>
      <c r="BS73" s="102"/>
      <c r="BT73" s="102"/>
      <c r="BU73" s="102"/>
      <c r="BV73" s="102"/>
      <c r="BW73" s="102"/>
      <c r="BX73" s="102"/>
      <c r="BY73" s="102"/>
      <c r="BZ73" s="102"/>
      <c r="CA73" s="102"/>
      <c r="CB73" s="102"/>
      <c r="CC73" s="102"/>
      <c r="CD73" s="102"/>
      <c r="CE73" s="102"/>
      <c r="CF73" s="102"/>
      <c r="CG73" s="102"/>
      <c r="CH73" s="102"/>
      <c r="CI73" s="102"/>
      <c r="CJ73" s="102"/>
      <c r="CK73" s="102"/>
      <c r="CL73" s="102"/>
      <c r="CM73" s="102"/>
      <c r="CN73" s="102"/>
      <c r="CO73" s="102"/>
      <c r="CP73" s="102"/>
      <c r="CQ73" s="102"/>
      <c r="CR73" s="102"/>
      <c r="CS73" s="102"/>
      <c r="CT73" s="102"/>
      <c r="CU73" s="102"/>
      <c r="CV73" s="102"/>
      <c r="CW73" s="102"/>
      <c r="CX73" s="102"/>
      <c r="CY73" s="102"/>
      <c r="CZ73" s="102"/>
      <c r="DA73" s="102"/>
      <c r="DB73" s="102"/>
      <c r="DC73" s="102"/>
      <c r="DD73" s="102"/>
      <c r="DE73" s="102"/>
      <c r="DF73" s="102"/>
      <c r="DG73" s="102"/>
      <c r="DH73" s="102"/>
      <c r="DI73" s="102"/>
      <c r="DJ73" s="102"/>
      <c r="DK73" s="102"/>
      <c r="DL73" s="102"/>
      <c r="DM73" s="102"/>
      <c r="DN73" s="102"/>
      <c r="DO73" s="102"/>
      <c r="DP73" s="102"/>
      <c r="DQ73" s="102"/>
      <c r="DR73" s="102"/>
      <c r="DS73" s="102"/>
      <c r="DT73" s="102"/>
      <c r="DU73" s="102"/>
      <c r="DV73" s="102"/>
      <c r="DW73" s="102"/>
      <c r="DX73" s="102"/>
      <c r="DY73" s="102"/>
      <c r="DZ73" s="102"/>
      <c r="EA73" s="102"/>
      <c r="EB73" s="102"/>
      <c r="EC73" s="102"/>
      <c r="ED73" s="102"/>
      <c r="EE73" s="102"/>
      <c r="EF73" s="102"/>
      <c r="EG73" s="102"/>
      <c r="EH73" s="102"/>
      <c r="EI73" s="102"/>
      <c r="EJ73" s="102"/>
      <c r="EK73" s="102"/>
      <c r="EL73" s="102"/>
      <c r="EM73" s="102"/>
      <c r="EN73" s="102"/>
    </row>
    <row r="74">
      <c r="A74" s="139" t="s">
        <v>178</v>
      </c>
      <c r="B74" s="105"/>
      <c r="C74" s="103" t="s">
        <v>97</v>
      </c>
      <c r="D74" s="105"/>
      <c r="E74" s="105"/>
      <c r="F74" s="105"/>
      <c r="G74" s="136" t="s">
        <v>97</v>
      </c>
      <c r="H74" s="107"/>
      <c r="I74" s="105"/>
      <c r="J74" s="105"/>
      <c r="K74" s="103" t="s">
        <v>97</v>
      </c>
      <c r="L74" s="105"/>
      <c r="M74" s="105"/>
      <c r="N74" s="105"/>
      <c r="O74" s="103" t="s">
        <v>97</v>
      </c>
      <c r="P74" s="103" t="s">
        <v>99</v>
      </c>
      <c r="Q74" s="105"/>
      <c r="R74" s="105"/>
      <c r="S74" s="136" t="s">
        <v>99</v>
      </c>
      <c r="T74" s="107"/>
      <c r="U74" s="105"/>
      <c r="V74" s="105"/>
      <c r="W74" s="103" t="s">
        <v>99</v>
      </c>
      <c r="X74" s="105"/>
      <c r="Y74" s="105"/>
      <c r="Z74" s="105"/>
      <c r="AA74" s="103" t="s">
        <v>99</v>
      </c>
      <c r="AB74" s="103" t="s">
        <v>97</v>
      </c>
      <c r="AC74" s="105"/>
      <c r="AD74" s="105"/>
      <c r="AE74" s="106"/>
      <c r="AF74" s="108" t="s">
        <v>99</v>
      </c>
      <c r="AG74" s="105"/>
      <c r="AH74" s="105"/>
      <c r="AI74" s="105"/>
      <c r="AJ74" s="103" t="s">
        <v>99</v>
      </c>
      <c r="AK74" s="103" t="s">
        <v>99</v>
      </c>
      <c r="AL74" s="103" t="s">
        <v>99</v>
      </c>
      <c r="AM74" s="103" t="s">
        <v>99</v>
      </c>
      <c r="AN74" s="103" t="s">
        <v>99</v>
      </c>
      <c r="AO74" s="103" t="s">
        <v>99</v>
      </c>
      <c r="AP74" s="103" t="s">
        <v>99</v>
      </c>
      <c r="AQ74" s="136" t="s">
        <v>97</v>
      </c>
      <c r="AR74" s="107"/>
      <c r="AS74" s="105"/>
      <c r="AT74" s="103" t="s">
        <v>97</v>
      </c>
      <c r="AU74" s="105"/>
      <c r="AV74" s="105"/>
      <c r="AW74" s="105"/>
      <c r="AX74" s="105"/>
      <c r="AY74" s="105"/>
      <c r="AZ74" s="105"/>
      <c r="BA74" s="105"/>
      <c r="BB74" s="105"/>
      <c r="BC74" s="106"/>
      <c r="BD74" s="105"/>
      <c r="BE74" s="105"/>
      <c r="BF74" s="105"/>
      <c r="BG74" s="105"/>
      <c r="BH74" s="102"/>
      <c r="BI74" s="102"/>
      <c r="BJ74" s="102"/>
      <c r="BK74" s="102"/>
      <c r="BL74" s="102"/>
      <c r="BM74" s="102"/>
      <c r="BN74" s="102"/>
      <c r="BO74" s="102"/>
      <c r="BP74" s="102"/>
      <c r="BQ74" s="102"/>
      <c r="BR74" s="102"/>
      <c r="BS74" s="102"/>
      <c r="BT74" s="102"/>
      <c r="BU74" s="102"/>
      <c r="BV74" s="102"/>
      <c r="BW74" s="102"/>
      <c r="BX74" s="102"/>
      <c r="BY74" s="102"/>
      <c r="BZ74" s="102"/>
      <c r="CA74" s="102"/>
      <c r="CB74" s="102"/>
      <c r="CC74" s="102"/>
      <c r="CD74" s="102"/>
      <c r="CE74" s="102"/>
      <c r="CF74" s="102"/>
      <c r="CG74" s="102"/>
      <c r="CH74" s="102"/>
      <c r="CI74" s="102"/>
      <c r="CJ74" s="102"/>
      <c r="CK74" s="102"/>
      <c r="CL74" s="102"/>
      <c r="CM74" s="102"/>
      <c r="CN74" s="102"/>
      <c r="CO74" s="102"/>
      <c r="CP74" s="102"/>
      <c r="CQ74" s="102"/>
      <c r="CR74" s="102"/>
      <c r="CS74" s="102"/>
      <c r="CT74" s="102"/>
      <c r="CU74" s="102"/>
      <c r="CV74" s="102"/>
      <c r="CW74" s="102"/>
      <c r="CX74" s="102"/>
      <c r="CY74" s="102"/>
      <c r="CZ74" s="102"/>
      <c r="DA74" s="102"/>
      <c r="DB74" s="102"/>
      <c r="DC74" s="102"/>
      <c r="DD74" s="102"/>
      <c r="DE74" s="102"/>
      <c r="DF74" s="102"/>
      <c r="DG74" s="102"/>
      <c r="DH74" s="102"/>
      <c r="DI74" s="102"/>
      <c r="DJ74" s="102"/>
      <c r="DK74" s="102"/>
      <c r="DL74" s="102"/>
      <c r="DM74" s="102"/>
      <c r="DN74" s="102"/>
      <c r="DO74" s="102"/>
      <c r="DP74" s="102"/>
      <c r="DQ74" s="102"/>
      <c r="DR74" s="102"/>
      <c r="DS74" s="102"/>
      <c r="DT74" s="102"/>
      <c r="DU74" s="102"/>
      <c r="DV74" s="102"/>
      <c r="DW74" s="102"/>
      <c r="DX74" s="102"/>
      <c r="DY74" s="102"/>
      <c r="DZ74" s="102"/>
      <c r="EA74" s="102"/>
      <c r="EB74" s="102"/>
      <c r="EC74" s="102"/>
      <c r="ED74" s="102"/>
      <c r="EE74" s="102"/>
      <c r="EF74" s="102"/>
      <c r="EG74" s="102"/>
      <c r="EH74" s="102"/>
      <c r="EI74" s="102"/>
      <c r="EJ74" s="102"/>
      <c r="EK74" s="102"/>
      <c r="EL74" s="102"/>
      <c r="EM74" s="102"/>
      <c r="EN74" s="102"/>
    </row>
    <row r="75">
      <c r="A75" s="138" t="s">
        <v>179</v>
      </c>
      <c r="B75" s="112"/>
      <c r="C75" s="110" t="s">
        <v>97</v>
      </c>
      <c r="D75" s="112"/>
      <c r="E75" s="112"/>
      <c r="F75" s="112"/>
      <c r="G75" s="137" t="s">
        <v>97</v>
      </c>
      <c r="H75" s="114"/>
      <c r="I75" s="116"/>
      <c r="J75" s="116"/>
      <c r="K75" s="115" t="s">
        <v>97</v>
      </c>
      <c r="L75" s="116"/>
      <c r="M75" s="116"/>
      <c r="N75" s="116"/>
      <c r="O75" s="115" t="s">
        <v>97</v>
      </c>
      <c r="P75" s="115" t="s">
        <v>99</v>
      </c>
      <c r="Q75" s="116"/>
      <c r="R75" s="116"/>
      <c r="S75" s="143" t="s">
        <v>99</v>
      </c>
      <c r="T75" s="118"/>
      <c r="U75" s="120"/>
      <c r="V75" s="120"/>
      <c r="W75" s="121" t="s">
        <v>99</v>
      </c>
      <c r="X75" s="120"/>
      <c r="Y75" s="120"/>
      <c r="Z75" s="120"/>
      <c r="AA75" s="121" t="s">
        <v>99</v>
      </c>
      <c r="AB75" s="121" t="s">
        <v>97</v>
      </c>
      <c r="AC75" s="120"/>
      <c r="AD75" s="120"/>
      <c r="AE75" s="122"/>
      <c r="AF75" s="134" t="s">
        <v>99</v>
      </c>
      <c r="AG75" s="124"/>
      <c r="AH75" s="124"/>
      <c r="AI75" s="124"/>
      <c r="AJ75" s="125" t="s">
        <v>99</v>
      </c>
      <c r="AK75" s="125" t="s">
        <v>99</v>
      </c>
      <c r="AL75" s="125" t="s">
        <v>99</v>
      </c>
      <c r="AM75" s="125" t="s">
        <v>99</v>
      </c>
      <c r="AN75" s="125" t="s">
        <v>99</v>
      </c>
      <c r="AO75" s="125" t="s">
        <v>99</v>
      </c>
      <c r="AP75" s="125" t="s">
        <v>99</v>
      </c>
      <c r="AQ75" s="133" t="s">
        <v>97</v>
      </c>
      <c r="AR75" s="127"/>
      <c r="AS75" s="129"/>
      <c r="AT75" s="129"/>
      <c r="AU75" s="128" t="s">
        <v>99</v>
      </c>
      <c r="AV75" s="129"/>
      <c r="AW75" s="129"/>
      <c r="AX75" s="129"/>
      <c r="AY75" s="129"/>
      <c r="AZ75" s="129"/>
      <c r="BA75" s="129"/>
      <c r="BB75" s="129"/>
      <c r="BC75" s="130"/>
      <c r="BD75" s="129"/>
      <c r="BE75" s="129"/>
      <c r="BF75" s="129"/>
      <c r="BG75" s="129"/>
      <c r="BH75" s="102"/>
      <c r="BI75" s="102"/>
      <c r="BJ75" s="102"/>
      <c r="BK75" s="102"/>
      <c r="BL75" s="102"/>
      <c r="BM75" s="102"/>
      <c r="BN75" s="102"/>
      <c r="BO75" s="102"/>
      <c r="BP75" s="102"/>
      <c r="BQ75" s="102"/>
      <c r="BR75" s="102"/>
      <c r="BS75" s="102"/>
      <c r="BT75" s="102"/>
      <c r="BU75" s="102"/>
      <c r="BV75" s="102"/>
      <c r="BW75" s="102"/>
      <c r="BX75" s="102"/>
      <c r="BY75" s="102"/>
      <c r="BZ75" s="102"/>
      <c r="CA75" s="102"/>
      <c r="CB75" s="102"/>
      <c r="CC75" s="102"/>
      <c r="CD75" s="102"/>
      <c r="CE75" s="102"/>
      <c r="CF75" s="102"/>
      <c r="CG75" s="102"/>
      <c r="CH75" s="102"/>
      <c r="CI75" s="102"/>
      <c r="CJ75" s="102"/>
      <c r="CK75" s="102"/>
      <c r="CL75" s="102"/>
      <c r="CM75" s="102"/>
      <c r="CN75" s="102"/>
      <c r="CO75" s="102"/>
      <c r="CP75" s="102"/>
      <c r="CQ75" s="102"/>
      <c r="CR75" s="102"/>
      <c r="CS75" s="102"/>
      <c r="CT75" s="102"/>
      <c r="CU75" s="102"/>
      <c r="CV75" s="102"/>
      <c r="CW75" s="102"/>
      <c r="CX75" s="102"/>
      <c r="CY75" s="102"/>
      <c r="CZ75" s="102"/>
      <c r="DA75" s="102"/>
      <c r="DB75" s="102"/>
      <c r="DC75" s="102"/>
      <c r="DD75" s="102"/>
      <c r="DE75" s="102"/>
      <c r="DF75" s="102"/>
      <c r="DG75" s="102"/>
      <c r="DH75" s="102"/>
      <c r="DI75" s="102"/>
      <c r="DJ75" s="102"/>
      <c r="DK75" s="102"/>
      <c r="DL75" s="102"/>
      <c r="DM75" s="102"/>
      <c r="DN75" s="102"/>
      <c r="DO75" s="102"/>
      <c r="DP75" s="102"/>
      <c r="DQ75" s="102"/>
      <c r="DR75" s="102"/>
      <c r="DS75" s="102"/>
      <c r="DT75" s="102"/>
      <c r="DU75" s="102"/>
      <c r="DV75" s="102"/>
      <c r="DW75" s="102"/>
      <c r="DX75" s="102"/>
      <c r="DY75" s="102"/>
      <c r="DZ75" s="102"/>
      <c r="EA75" s="102"/>
      <c r="EB75" s="102"/>
      <c r="EC75" s="102"/>
      <c r="ED75" s="102"/>
      <c r="EE75" s="102"/>
      <c r="EF75" s="102"/>
      <c r="EG75" s="102"/>
      <c r="EH75" s="102"/>
      <c r="EI75" s="102"/>
      <c r="EJ75" s="102"/>
      <c r="EK75" s="102"/>
      <c r="EL75" s="102"/>
      <c r="EM75" s="102"/>
      <c r="EN75" s="102"/>
    </row>
    <row r="76">
      <c r="A76" s="139" t="s">
        <v>180</v>
      </c>
      <c r="B76" s="105"/>
      <c r="C76" s="103" t="s">
        <v>97</v>
      </c>
      <c r="D76" s="105"/>
      <c r="E76" s="105"/>
      <c r="F76" s="105"/>
      <c r="G76" s="136" t="s">
        <v>97</v>
      </c>
      <c r="H76" s="107"/>
      <c r="I76" s="105"/>
      <c r="J76" s="105"/>
      <c r="K76" s="103" t="s">
        <v>97</v>
      </c>
      <c r="L76" s="105"/>
      <c r="M76" s="105"/>
      <c r="N76" s="105"/>
      <c r="O76" s="103" t="s">
        <v>97</v>
      </c>
      <c r="P76" s="103" t="s">
        <v>99</v>
      </c>
      <c r="Q76" s="105"/>
      <c r="R76" s="105"/>
      <c r="S76" s="136" t="s">
        <v>99</v>
      </c>
      <c r="T76" s="107"/>
      <c r="U76" s="105"/>
      <c r="V76" s="105"/>
      <c r="W76" s="103" t="s">
        <v>99</v>
      </c>
      <c r="X76" s="105"/>
      <c r="Y76" s="105"/>
      <c r="Z76" s="105"/>
      <c r="AA76" s="103" t="s">
        <v>99</v>
      </c>
      <c r="AB76" s="103" t="s">
        <v>97</v>
      </c>
      <c r="AC76" s="105"/>
      <c r="AD76" s="105"/>
      <c r="AE76" s="106"/>
      <c r="AF76" s="108" t="s">
        <v>99</v>
      </c>
      <c r="AG76" s="105"/>
      <c r="AH76" s="105"/>
      <c r="AI76" s="105"/>
      <c r="AJ76" s="103" t="s">
        <v>99</v>
      </c>
      <c r="AK76" s="103" t="s">
        <v>99</v>
      </c>
      <c r="AL76" s="103" t="s">
        <v>99</v>
      </c>
      <c r="AM76" s="103" t="s">
        <v>99</v>
      </c>
      <c r="AN76" s="103" t="s">
        <v>99</v>
      </c>
      <c r="AO76" s="103" t="s">
        <v>99</v>
      </c>
      <c r="AP76" s="103" t="s">
        <v>99</v>
      </c>
      <c r="AQ76" s="136" t="s">
        <v>97</v>
      </c>
      <c r="AR76" s="107"/>
      <c r="AS76" s="105"/>
      <c r="AT76" s="103" t="s">
        <v>97</v>
      </c>
      <c r="AU76" s="105"/>
      <c r="AV76" s="105"/>
      <c r="AW76" s="105"/>
      <c r="AX76" s="105"/>
      <c r="AY76" s="105"/>
      <c r="AZ76" s="105"/>
      <c r="BA76" s="105"/>
      <c r="BB76" s="105"/>
      <c r="BC76" s="106"/>
      <c r="BD76" s="105"/>
      <c r="BE76" s="105"/>
      <c r="BF76" s="105"/>
      <c r="BG76" s="105"/>
      <c r="BH76" s="102"/>
      <c r="BI76" s="102"/>
      <c r="BJ76" s="102"/>
      <c r="BK76" s="102"/>
      <c r="BL76" s="102"/>
      <c r="BM76" s="102"/>
      <c r="BN76" s="102"/>
      <c r="BO76" s="102"/>
      <c r="BP76" s="102"/>
      <c r="BQ76" s="102"/>
      <c r="BR76" s="102"/>
      <c r="BS76" s="102"/>
      <c r="BT76" s="102"/>
      <c r="BU76" s="102"/>
      <c r="BV76" s="102"/>
      <c r="BW76" s="102"/>
      <c r="BX76" s="102"/>
      <c r="BY76" s="102"/>
      <c r="BZ76" s="102"/>
      <c r="CA76" s="102"/>
      <c r="CB76" s="102"/>
      <c r="CC76" s="102"/>
      <c r="CD76" s="102"/>
      <c r="CE76" s="102"/>
      <c r="CF76" s="102"/>
      <c r="CG76" s="102"/>
      <c r="CH76" s="102"/>
      <c r="CI76" s="102"/>
      <c r="CJ76" s="102"/>
      <c r="CK76" s="102"/>
      <c r="CL76" s="102"/>
      <c r="CM76" s="102"/>
      <c r="CN76" s="102"/>
      <c r="CO76" s="102"/>
      <c r="CP76" s="102"/>
      <c r="CQ76" s="102"/>
      <c r="CR76" s="102"/>
      <c r="CS76" s="102"/>
      <c r="CT76" s="102"/>
      <c r="CU76" s="102"/>
      <c r="CV76" s="102"/>
      <c r="CW76" s="102"/>
      <c r="CX76" s="102"/>
      <c r="CY76" s="102"/>
      <c r="CZ76" s="102"/>
      <c r="DA76" s="102"/>
      <c r="DB76" s="102"/>
      <c r="DC76" s="102"/>
      <c r="DD76" s="102"/>
      <c r="DE76" s="102"/>
      <c r="DF76" s="102"/>
      <c r="DG76" s="102"/>
      <c r="DH76" s="102"/>
      <c r="DI76" s="102"/>
      <c r="DJ76" s="102"/>
      <c r="DK76" s="102"/>
      <c r="DL76" s="102"/>
      <c r="DM76" s="102"/>
      <c r="DN76" s="102"/>
      <c r="DO76" s="102"/>
      <c r="DP76" s="102"/>
      <c r="DQ76" s="102"/>
      <c r="DR76" s="102"/>
      <c r="DS76" s="102"/>
      <c r="DT76" s="102"/>
      <c r="DU76" s="102"/>
      <c r="DV76" s="102"/>
      <c r="DW76" s="102"/>
      <c r="DX76" s="102"/>
      <c r="DY76" s="102"/>
      <c r="DZ76" s="102"/>
      <c r="EA76" s="102"/>
      <c r="EB76" s="102"/>
      <c r="EC76" s="102"/>
      <c r="ED76" s="102"/>
      <c r="EE76" s="102"/>
      <c r="EF76" s="102"/>
      <c r="EG76" s="102"/>
      <c r="EH76" s="102"/>
      <c r="EI76" s="102"/>
      <c r="EJ76" s="102"/>
      <c r="EK76" s="102"/>
      <c r="EL76" s="102"/>
      <c r="EM76" s="102"/>
      <c r="EN76" s="102"/>
    </row>
    <row r="77">
      <c r="A77" s="138" t="s">
        <v>181</v>
      </c>
      <c r="B77" s="112"/>
      <c r="C77" s="110" t="s">
        <v>97</v>
      </c>
      <c r="D77" s="112"/>
      <c r="E77" s="112"/>
      <c r="F77" s="112"/>
      <c r="G77" s="137" t="s">
        <v>99</v>
      </c>
      <c r="H77" s="114"/>
      <c r="I77" s="116"/>
      <c r="J77" s="116"/>
      <c r="K77" s="115" t="s">
        <v>97</v>
      </c>
      <c r="L77" s="116"/>
      <c r="M77" s="116"/>
      <c r="N77" s="116"/>
      <c r="O77" s="115" t="s">
        <v>97</v>
      </c>
      <c r="P77" s="115" t="s">
        <v>99</v>
      </c>
      <c r="Q77" s="116"/>
      <c r="R77" s="116"/>
      <c r="S77" s="143" t="s">
        <v>99</v>
      </c>
      <c r="T77" s="118"/>
      <c r="U77" s="120"/>
      <c r="V77" s="120"/>
      <c r="W77" s="121" t="s">
        <v>99</v>
      </c>
      <c r="X77" s="120"/>
      <c r="Y77" s="120"/>
      <c r="Z77" s="120"/>
      <c r="AA77" s="121" t="s">
        <v>99</v>
      </c>
      <c r="AB77" s="121" t="s">
        <v>97</v>
      </c>
      <c r="AC77" s="120"/>
      <c r="AD77" s="120"/>
      <c r="AE77" s="122"/>
      <c r="AF77" s="134" t="s">
        <v>99</v>
      </c>
      <c r="AG77" s="124"/>
      <c r="AH77" s="124"/>
      <c r="AI77" s="124"/>
      <c r="AJ77" s="125" t="s">
        <v>99</v>
      </c>
      <c r="AK77" s="125" t="s">
        <v>99</v>
      </c>
      <c r="AL77" s="125" t="s">
        <v>99</v>
      </c>
      <c r="AM77" s="125" t="s">
        <v>99</v>
      </c>
      <c r="AN77" s="125" t="s">
        <v>99</v>
      </c>
      <c r="AO77" s="125" t="s">
        <v>99</v>
      </c>
      <c r="AP77" s="125" t="s">
        <v>99</v>
      </c>
      <c r="AQ77" s="133" t="s">
        <v>97</v>
      </c>
      <c r="AR77" s="127"/>
      <c r="AS77" s="129"/>
      <c r="AT77" s="129"/>
      <c r="AU77" s="128" t="s">
        <v>99</v>
      </c>
      <c r="AV77" s="129"/>
      <c r="AW77" s="129"/>
      <c r="AX77" s="129"/>
      <c r="AY77" s="129"/>
      <c r="AZ77" s="129"/>
      <c r="BA77" s="129"/>
      <c r="BB77" s="129"/>
      <c r="BC77" s="130"/>
      <c r="BD77" s="129"/>
      <c r="BE77" s="129"/>
      <c r="BF77" s="129"/>
      <c r="BG77" s="129"/>
      <c r="BH77" s="102"/>
      <c r="BI77" s="102"/>
      <c r="BJ77" s="102"/>
      <c r="BK77" s="102"/>
      <c r="BL77" s="102"/>
      <c r="BM77" s="102"/>
      <c r="BN77" s="102"/>
      <c r="BO77" s="102"/>
      <c r="BP77" s="102"/>
      <c r="BQ77" s="102"/>
      <c r="BR77" s="102"/>
      <c r="BS77" s="102"/>
      <c r="BT77" s="102"/>
      <c r="BU77" s="102"/>
      <c r="BV77" s="102"/>
      <c r="BW77" s="102"/>
      <c r="BX77" s="102"/>
      <c r="BY77" s="102"/>
      <c r="BZ77" s="102"/>
      <c r="CA77" s="102"/>
      <c r="CB77" s="102"/>
      <c r="CC77" s="102"/>
      <c r="CD77" s="102"/>
      <c r="CE77" s="102"/>
      <c r="CF77" s="102"/>
      <c r="CG77" s="102"/>
      <c r="CH77" s="102"/>
      <c r="CI77" s="102"/>
      <c r="CJ77" s="102"/>
      <c r="CK77" s="102"/>
      <c r="CL77" s="102"/>
      <c r="CM77" s="102"/>
      <c r="CN77" s="102"/>
      <c r="CO77" s="102"/>
      <c r="CP77" s="102"/>
      <c r="CQ77" s="102"/>
      <c r="CR77" s="102"/>
      <c r="CS77" s="102"/>
      <c r="CT77" s="102"/>
      <c r="CU77" s="102"/>
      <c r="CV77" s="102"/>
      <c r="CW77" s="102"/>
      <c r="CX77" s="102"/>
      <c r="CY77" s="102"/>
      <c r="CZ77" s="102"/>
      <c r="DA77" s="102"/>
      <c r="DB77" s="102"/>
      <c r="DC77" s="102"/>
      <c r="DD77" s="102"/>
      <c r="DE77" s="102"/>
      <c r="DF77" s="102"/>
      <c r="DG77" s="102"/>
      <c r="DH77" s="102"/>
      <c r="DI77" s="102"/>
      <c r="DJ77" s="102"/>
      <c r="DK77" s="102"/>
      <c r="DL77" s="102"/>
      <c r="DM77" s="102"/>
      <c r="DN77" s="102"/>
      <c r="DO77" s="102"/>
      <c r="DP77" s="102"/>
      <c r="DQ77" s="102"/>
      <c r="DR77" s="102"/>
      <c r="DS77" s="102"/>
      <c r="DT77" s="102"/>
      <c r="DU77" s="102"/>
      <c r="DV77" s="102"/>
      <c r="DW77" s="102"/>
      <c r="DX77" s="102"/>
      <c r="DY77" s="102"/>
      <c r="DZ77" s="102"/>
      <c r="EA77" s="102"/>
      <c r="EB77" s="102"/>
      <c r="EC77" s="102"/>
      <c r="ED77" s="102"/>
      <c r="EE77" s="102"/>
      <c r="EF77" s="102"/>
      <c r="EG77" s="102"/>
      <c r="EH77" s="102"/>
      <c r="EI77" s="102"/>
      <c r="EJ77" s="102"/>
      <c r="EK77" s="102"/>
      <c r="EL77" s="102"/>
      <c r="EM77" s="102"/>
      <c r="EN77" s="102"/>
    </row>
    <row r="78">
      <c r="A78" s="139" t="s">
        <v>182</v>
      </c>
      <c r="B78" s="105"/>
      <c r="C78" s="103" t="s">
        <v>97</v>
      </c>
      <c r="D78" s="105"/>
      <c r="E78" s="105"/>
      <c r="F78" s="105"/>
      <c r="G78" s="136" t="s">
        <v>97</v>
      </c>
      <c r="H78" s="107"/>
      <c r="I78" s="105"/>
      <c r="J78" s="105"/>
      <c r="K78" s="103" t="s">
        <v>97</v>
      </c>
      <c r="L78" s="105"/>
      <c r="M78" s="105"/>
      <c r="N78" s="105"/>
      <c r="O78" s="103" t="s">
        <v>97</v>
      </c>
      <c r="P78" s="103" t="s">
        <v>99</v>
      </c>
      <c r="Q78" s="105"/>
      <c r="R78" s="105"/>
      <c r="S78" s="136" t="s">
        <v>99</v>
      </c>
      <c r="T78" s="107"/>
      <c r="U78" s="105"/>
      <c r="V78" s="105"/>
      <c r="W78" s="103" t="s">
        <v>99</v>
      </c>
      <c r="X78" s="105"/>
      <c r="Y78" s="105"/>
      <c r="Z78" s="105"/>
      <c r="AA78" s="103" t="s">
        <v>99</v>
      </c>
      <c r="AB78" s="103" t="s">
        <v>97</v>
      </c>
      <c r="AC78" s="105"/>
      <c r="AD78" s="105"/>
      <c r="AE78" s="106"/>
      <c r="AF78" s="108" t="s">
        <v>99</v>
      </c>
      <c r="AG78" s="105"/>
      <c r="AH78" s="105"/>
      <c r="AI78" s="105"/>
      <c r="AJ78" s="103" t="s">
        <v>99</v>
      </c>
      <c r="AK78" s="103" t="s">
        <v>99</v>
      </c>
      <c r="AL78" s="103" t="s">
        <v>99</v>
      </c>
      <c r="AM78" s="103" t="s">
        <v>99</v>
      </c>
      <c r="AN78" s="103" t="s">
        <v>99</v>
      </c>
      <c r="AO78" s="103" t="s">
        <v>99</v>
      </c>
      <c r="AP78" s="103" t="s">
        <v>99</v>
      </c>
      <c r="AQ78" s="136" t="s">
        <v>97</v>
      </c>
      <c r="AR78" s="107"/>
      <c r="AS78" s="105"/>
      <c r="AT78" s="105"/>
      <c r="AU78" s="103" t="s">
        <v>99</v>
      </c>
      <c r="AV78" s="105"/>
      <c r="AW78" s="105"/>
      <c r="AX78" s="105"/>
      <c r="AY78" s="105"/>
      <c r="AZ78" s="105"/>
      <c r="BA78" s="105"/>
      <c r="BB78" s="105"/>
      <c r="BC78" s="106"/>
      <c r="BD78" s="105"/>
      <c r="BE78" s="105"/>
      <c r="BF78" s="105"/>
      <c r="BG78" s="105"/>
      <c r="BH78" s="102"/>
      <c r="BI78" s="102"/>
      <c r="BJ78" s="102"/>
      <c r="BK78" s="102"/>
      <c r="BL78" s="102"/>
      <c r="BM78" s="102"/>
      <c r="BN78" s="102"/>
      <c r="BO78" s="102"/>
      <c r="BP78" s="102"/>
      <c r="BQ78" s="102"/>
      <c r="BR78" s="102"/>
      <c r="BS78" s="102"/>
      <c r="BT78" s="102"/>
      <c r="BU78" s="102"/>
      <c r="BV78" s="102"/>
      <c r="BW78" s="102"/>
      <c r="BX78" s="102"/>
      <c r="BY78" s="102"/>
      <c r="BZ78" s="102"/>
      <c r="CA78" s="102"/>
      <c r="CB78" s="102"/>
      <c r="CC78" s="102"/>
      <c r="CD78" s="102"/>
      <c r="CE78" s="102"/>
      <c r="CF78" s="102"/>
      <c r="CG78" s="102"/>
      <c r="CH78" s="102"/>
      <c r="CI78" s="102"/>
      <c r="CJ78" s="102"/>
      <c r="CK78" s="102"/>
      <c r="CL78" s="102"/>
      <c r="CM78" s="102"/>
      <c r="CN78" s="102"/>
      <c r="CO78" s="102"/>
      <c r="CP78" s="102"/>
      <c r="CQ78" s="102"/>
      <c r="CR78" s="102"/>
      <c r="CS78" s="102"/>
      <c r="CT78" s="102"/>
      <c r="CU78" s="102"/>
      <c r="CV78" s="102"/>
      <c r="CW78" s="102"/>
      <c r="CX78" s="102"/>
      <c r="CY78" s="102"/>
      <c r="CZ78" s="102"/>
      <c r="DA78" s="102"/>
      <c r="DB78" s="102"/>
      <c r="DC78" s="102"/>
      <c r="DD78" s="102"/>
      <c r="DE78" s="102"/>
      <c r="DF78" s="102"/>
      <c r="DG78" s="102"/>
      <c r="DH78" s="102"/>
      <c r="DI78" s="102"/>
      <c r="DJ78" s="102"/>
      <c r="DK78" s="102"/>
      <c r="DL78" s="102"/>
      <c r="DM78" s="102"/>
      <c r="DN78" s="102"/>
      <c r="DO78" s="102"/>
      <c r="DP78" s="102"/>
      <c r="DQ78" s="102"/>
      <c r="DR78" s="102"/>
      <c r="DS78" s="102"/>
      <c r="DT78" s="102"/>
      <c r="DU78" s="102"/>
      <c r="DV78" s="102"/>
      <c r="DW78" s="102"/>
      <c r="DX78" s="102"/>
      <c r="DY78" s="102"/>
      <c r="DZ78" s="102"/>
      <c r="EA78" s="102"/>
      <c r="EB78" s="102"/>
      <c r="EC78" s="102"/>
      <c r="ED78" s="102"/>
      <c r="EE78" s="102"/>
      <c r="EF78" s="102"/>
      <c r="EG78" s="102"/>
      <c r="EH78" s="102"/>
      <c r="EI78" s="102"/>
      <c r="EJ78" s="102"/>
      <c r="EK78" s="102"/>
      <c r="EL78" s="102"/>
      <c r="EM78" s="102"/>
      <c r="EN78" s="102"/>
    </row>
    <row r="79">
      <c r="A79" s="138" t="s">
        <v>183</v>
      </c>
      <c r="B79" s="112"/>
      <c r="C79" s="110" t="s">
        <v>97</v>
      </c>
      <c r="D79" s="112"/>
      <c r="E79" s="112"/>
      <c r="F79" s="112"/>
      <c r="G79" s="137" t="s">
        <v>97</v>
      </c>
      <c r="H79" s="114"/>
      <c r="I79" s="116"/>
      <c r="J79" s="116"/>
      <c r="K79" s="115" t="s">
        <v>97</v>
      </c>
      <c r="L79" s="116"/>
      <c r="M79" s="116"/>
      <c r="N79" s="116"/>
      <c r="O79" s="115" t="s">
        <v>97</v>
      </c>
      <c r="P79" s="115" t="s">
        <v>99</v>
      </c>
      <c r="Q79" s="116"/>
      <c r="R79" s="116"/>
      <c r="S79" s="143" t="s">
        <v>99</v>
      </c>
      <c r="T79" s="118"/>
      <c r="U79" s="120"/>
      <c r="V79" s="120"/>
      <c r="W79" s="121" t="s">
        <v>99</v>
      </c>
      <c r="X79" s="120"/>
      <c r="Y79" s="120"/>
      <c r="Z79" s="120"/>
      <c r="AA79" s="121" t="s">
        <v>99</v>
      </c>
      <c r="AB79" s="121" t="s">
        <v>97</v>
      </c>
      <c r="AC79" s="120"/>
      <c r="AD79" s="120"/>
      <c r="AE79" s="122"/>
      <c r="AF79" s="134" t="s">
        <v>99</v>
      </c>
      <c r="AG79" s="124"/>
      <c r="AH79" s="124"/>
      <c r="AI79" s="124"/>
      <c r="AJ79" s="125" t="s">
        <v>99</v>
      </c>
      <c r="AK79" s="125" t="s">
        <v>99</v>
      </c>
      <c r="AL79" s="125" t="s">
        <v>99</v>
      </c>
      <c r="AM79" s="125" t="s">
        <v>99</v>
      </c>
      <c r="AN79" s="125" t="s">
        <v>99</v>
      </c>
      <c r="AO79" s="125" t="s">
        <v>99</v>
      </c>
      <c r="AP79" s="125" t="s">
        <v>99</v>
      </c>
      <c r="AQ79" s="133" t="s">
        <v>97</v>
      </c>
      <c r="AR79" s="127"/>
      <c r="AS79" s="129"/>
      <c r="AT79" s="129"/>
      <c r="AU79" s="128" t="s">
        <v>99</v>
      </c>
      <c r="AV79" s="129"/>
      <c r="AW79" s="129"/>
      <c r="AX79" s="129"/>
      <c r="AY79" s="129"/>
      <c r="AZ79" s="129"/>
      <c r="BA79" s="129"/>
      <c r="BB79" s="129"/>
      <c r="BC79" s="130"/>
      <c r="BD79" s="129"/>
      <c r="BE79" s="129"/>
      <c r="BF79" s="129"/>
      <c r="BG79" s="129"/>
      <c r="BH79" s="102"/>
      <c r="BI79" s="102"/>
      <c r="BJ79" s="102"/>
      <c r="BK79" s="102"/>
      <c r="BL79" s="102"/>
      <c r="BM79" s="102"/>
      <c r="BN79" s="102"/>
      <c r="BO79" s="102"/>
      <c r="BP79" s="102"/>
      <c r="BQ79" s="102"/>
      <c r="BR79" s="102"/>
      <c r="BS79" s="102"/>
      <c r="BT79" s="102"/>
      <c r="BU79" s="102"/>
      <c r="BV79" s="102"/>
      <c r="BW79" s="102"/>
      <c r="BX79" s="102"/>
      <c r="BY79" s="102"/>
      <c r="BZ79" s="102"/>
      <c r="CA79" s="102"/>
      <c r="CB79" s="102"/>
      <c r="CC79" s="102"/>
      <c r="CD79" s="102"/>
      <c r="CE79" s="102"/>
      <c r="CF79" s="102"/>
      <c r="CG79" s="102"/>
      <c r="CH79" s="102"/>
      <c r="CI79" s="102"/>
      <c r="CJ79" s="102"/>
      <c r="CK79" s="102"/>
      <c r="CL79" s="102"/>
      <c r="CM79" s="102"/>
      <c r="CN79" s="102"/>
      <c r="CO79" s="102"/>
      <c r="CP79" s="102"/>
      <c r="CQ79" s="102"/>
      <c r="CR79" s="102"/>
      <c r="CS79" s="102"/>
      <c r="CT79" s="102"/>
      <c r="CU79" s="102"/>
      <c r="CV79" s="102"/>
      <c r="CW79" s="102"/>
      <c r="CX79" s="102"/>
      <c r="CY79" s="102"/>
      <c r="CZ79" s="102"/>
      <c r="DA79" s="102"/>
      <c r="DB79" s="102"/>
      <c r="DC79" s="102"/>
      <c r="DD79" s="102"/>
      <c r="DE79" s="102"/>
      <c r="DF79" s="102"/>
      <c r="DG79" s="102"/>
      <c r="DH79" s="102"/>
      <c r="DI79" s="102"/>
      <c r="DJ79" s="102"/>
      <c r="DK79" s="102"/>
      <c r="DL79" s="102"/>
      <c r="DM79" s="102"/>
      <c r="DN79" s="102"/>
      <c r="DO79" s="102"/>
      <c r="DP79" s="102"/>
      <c r="DQ79" s="102"/>
      <c r="DR79" s="102"/>
      <c r="DS79" s="102"/>
      <c r="DT79" s="102"/>
      <c r="DU79" s="102"/>
      <c r="DV79" s="102"/>
      <c r="DW79" s="102"/>
      <c r="DX79" s="102"/>
      <c r="DY79" s="102"/>
      <c r="DZ79" s="102"/>
      <c r="EA79" s="102"/>
      <c r="EB79" s="102"/>
      <c r="EC79" s="102"/>
      <c r="ED79" s="102"/>
      <c r="EE79" s="102"/>
      <c r="EF79" s="102"/>
      <c r="EG79" s="102"/>
      <c r="EH79" s="102"/>
      <c r="EI79" s="102"/>
      <c r="EJ79" s="102"/>
      <c r="EK79" s="102"/>
      <c r="EL79" s="102"/>
      <c r="EM79" s="102"/>
      <c r="EN79" s="102"/>
    </row>
    <row r="80">
      <c r="A80" s="139" t="s">
        <v>184</v>
      </c>
      <c r="B80" s="105"/>
      <c r="C80" s="103" t="s">
        <v>97</v>
      </c>
      <c r="D80" s="105"/>
      <c r="E80" s="105"/>
      <c r="F80" s="105"/>
      <c r="G80" s="136" t="s">
        <v>97</v>
      </c>
      <c r="H80" s="107"/>
      <c r="I80" s="105"/>
      <c r="J80" s="105"/>
      <c r="K80" s="103" t="s">
        <v>97</v>
      </c>
      <c r="L80" s="105"/>
      <c r="M80" s="105"/>
      <c r="N80" s="105"/>
      <c r="O80" s="103" t="s">
        <v>97</v>
      </c>
      <c r="P80" s="103" t="s">
        <v>99</v>
      </c>
      <c r="Q80" s="105"/>
      <c r="R80" s="105"/>
      <c r="S80" s="136" t="s">
        <v>99</v>
      </c>
      <c r="T80" s="107"/>
      <c r="U80" s="105"/>
      <c r="V80" s="105"/>
      <c r="W80" s="103" t="s">
        <v>99</v>
      </c>
      <c r="X80" s="105"/>
      <c r="Y80" s="105"/>
      <c r="Z80" s="105"/>
      <c r="AA80" s="103" t="s">
        <v>99</v>
      </c>
      <c r="AB80" s="103" t="s">
        <v>97</v>
      </c>
      <c r="AC80" s="105"/>
      <c r="AD80" s="105"/>
      <c r="AE80" s="106"/>
      <c r="AF80" s="108" t="s">
        <v>99</v>
      </c>
      <c r="AG80" s="105"/>
      <c r="AH80" s="105"/>
      <c r="AI80" s="105"/>
      <c r="AJ80" s="103" t="s">
        <v>99</v>
      </c>
      <c r="AK80" s="103" t="s">
        <v>99</v>
      </c>
      <c r="AL80" s="103" t="s">
        <v>99</v>
      </c>
      <c r="AM80" s="103" t="s">
        <v>99</v>
      </c>
      <c r="AN80" s="103" t="s">
        <v>99</v>
      </c>
      <c r="AO80" s="103" t="s">
        <v>99</v>
      </c>
      <c r="AP80" s="103" t="s">
        <v>99</v>
      </c>
      <c r="AQ80" s="136" t="s">
        <v>97</v>
      </c>
      <c r="AR80" s="107"/>
      <c r="AS80" s="105"/>
      <c r="AT80" s="103" t="s">
        <v>97</v>
      </c>
      <c r="AU80" s="105"/>
      <c r="AV80" s="105"/>
      <c r="AW80" s="105"/>
      <c r="AX80" s="105"/>
      <c r="AY80" s="105"/>
      <c r="AZ80" s="105"/>
      <c r="BA80" s="105"/>
      <c r="BB80" s="105"/>
      <c r="BC80" s="106"/>
      <c r="BD80" s="105"/>
      <c r="BE80" s="105"/>
      <c r="BF80" s="105"/>
      <c r="BG80" s="105"/>
      <c r="BH80" s="102"/>
      <c r="BI80" s="102"/>
      <c r="BJ80" s="102"/>
      <c r="BK80" s="102"/>
      <c r="BL80" s="102"/>
      <c r="BM80" s="102"/>
      <c r="BN80" s="102"/>
      <c r="BO80" s="102"/>
      <c r="BP80" s="102"/>
      <c r="BQ80" s="102"/>
      <c r="BR80" s="102"/>
      <c r="BS80" s="102"/>
      <c r="BT80" s="102"/>
      <c r="BU80" s="102"/>
      <c r="BV80" s="102"/>
      <c r="BW80" s="102"/>
      <c r="BX80" s="102"/>
      <c r="BY80" s="102"/>
      <c r="BZ80" s="102"/>
      <c r="CA80" s="102"/>
      <c r="CB80" s="102"/>
      <c r="CC80" s="102"/>
      <c r="CD80" s="102"/>
      <c r="CE80" s="102"/>
      <c r="CF80" s="102"/>
      <c r="CG80" s="102"/>
      <c r="CH80" s="102"/>
      <c r="CI80" s="102"/>
      <c r="CJ80" s="102"/>
      <c r="CK80" s="102"/>
      <c r="CL80" s="102"/>
      <c r="CM80" s="102"/>
      <c r="CN80" s="102"/>
      <c r="CO80" s="102"/>
      <c r="CP80" s="102"/>
      <c r="CQ80" s="102"/>
      <c r="CR80" s="102"/>
      <c r="CS80" s="102"/>
      <c r="CT80" s="102"/>
      <c r="CU80" s="102"/>
      <c r="CV80" s="102"/>
      <c r="CW80" s="102"/>
      <c r="CX80" s="102"/>
      <c r="CY80" s="102"/>
      <c r="CZ80" s="102"/>
      <c r="DA80" s="102"/>
      <c r="DB80" s="102"/>
      <c r="DC80" s="102"/>
      <c r="DD80" s="102"/>
      <c r="DE80" s="102"/>
      <c r="DF80" s="102"/>
      <c r="DG80" s="102"/>
      <c r="DH80" s="102"/>
      <c r="DI80" s="102"/>
      <c r="DJ80" s="102"/>
      <c r="DK80" s="102"/>
      <c r="DL80" s="102"/>
      <c r="DM80" s="102"/>
      <c r="DN80" s="102"/>
      <c r="DO80" s="102"/>
      <c r="DP80" s="102"/>
      <c r="DQ80" s="102"/>
      <c r="DR80" s="102"/>
      <c r="DS80" s="102"/>
      <c r="DT80" s="102"/>
      <c r="DU80" s="102"/>
      <c r="DV80" s="102"/>
      <c r="DW80" s="102"/>
      <c r="DX80" s="102"/>
      <c r="DY80" s="102"/>
      <c r="DZ80" s="102"/>
      <c r="EA80" s="102"/>
      <c r="EB80" s="102"/>
      <c r="EC80" s="102"/>
      <c r="ED80" s="102"/>
      <c r="EE80" s="102"/>
      <c r="EF80" s="102"/>
      <c r="EG80" s="102"/>
      <c r="EH80" s="102"/>
      <c r="EI80" s="102"/>
      <c r="EJ80" s="102"/>
      <c r="EK80" s="102"/>
      <c r="EL80" s="102"/>
      <c r="EM80" s="102"/>
      <c r="EN80" s="102"/>
    </row>
    <row r="81">
      <c r="A81" s="138" t="s">
        <v>185</v>
      </c>
      <c r="B81" s="112"/>
      <c r="C81" s="110" t="s">
        <v>97</v>
      </c>
      <c r="D81" s="112"/>
      <c r="E81" s="112"/>
      <c r="F81" s="112"/>
      <c r="G81" s="137" t="s">
        <v>97</v>
      </c>
      <c r="H81" s="114"/>
      <c r="I81" s="116"/>
      <c r="J81" s="116"/>
      <c r="K81" s="115" t="s">
        <v>97</v>
      </c>
      <c r="L81" s="116"/>
      <c r="M81" s="116"/>
      <c r="N81" s="116"/>
      <c r="O81" s="115" t="s">
        <v>97</v>
      </c>
      <c r="P81" s="115" t="s">
        <v>99</v>
      </c>
      <c r="Q81" s="116"/>
      <c r="R81" s="116"/>
      <c r="S81" s="143" t="s">
        <v>99</v>
      </c>
      <c r="T81" s="118"/>
      <c r="U81" s="120"/>
      <c r="V81" s="120"/>
      <c r="W81" s="121" t="s">
        <v>99</v>
      </c>
      <c r="X81" s="120"/>
      <c r="Y81" s="120"/>
      <c r="Z81" s="120"/>
      <c r="AA81" s="121" t="s">
        <v>99</v>
      </c>
      <c r="AB81" s="121" t="s">
        <v>97</v>
      </c>
      <c r="AC81" s="120"/>
      <c r="AD81" s="120"/>
      <c r="AE81" s="122"/>
      <c r="AF81" s="134" t="s">
        <v>99</v>
      </c>
      <c r="AG81" s="124"/>
      <c r="AH81" s="124"/>
      <c r="AI81" s="124"/>
      <c r="AJ81" s="125" t="s">
        <v>99</v>
      </c>
      <c r="AK81" s="125" t="s">
        <v>99</v>
      </c>
      <c r="AL81" s="125" t="s">
        <v>99</v>
      </c>
      <c r="AM81" s="125" t="s">
        <v>99</v>
      </c>
      <c r="AN81" s="125" t="s">
        <v>99</v>
      </c>
      <c r="AO81" s="125" t="s">
        <v>99</v>
      </c>
      <c r="AP81" s="125" t="s">
        <v>99</v>
      </c>
      <c r="AQ81" s="133" t="s">
        <v>97</v>
      </c>
      <c r="AR81" s="127"/>
      <c r="AS81" s="129"/>
      <c r="AT81" s="129"/>
      <c r="AU81" s="128" t="s">
        <v>99</v>
      </c>
      <c r="AV81" s="129"/>
      <c r="AW81" s="129"/>
      <c r="AX81" s="129"/>
      <c r="AY81" s="129"/>
      <c r="AZ81" s="129"/>
      <c r="BA81" s="129"/>
      <c r="BB81" s="129"/>
      <c r="BC81" s="130"/>
      <c r="BD81" s="129"/>
      <c r="BE81" s="129"/>
      <c r="BF81" s="129"/>
      <c r="BG81" s="129"/>
      <c r="BH81" s="102"/>
      <c r="BI81" s="102"/>
      <c r="BJ81" s="102"/>
      <c r="BK81" s="102"/>
      <c r="BL81" s="102"/>
      <c r="BM81" s="102"/>
      <c r="BN81" s="102"/>
      <c r="BO81" s="102"/>
      <c r="BP81" s="102"/>
      <c r="BQ81" s="102"/>
      <c r="BR81" s="102"/>
      <c r="BS81" s="102"/>
      <c r="BT81" s="102"/>
      <c r="BU81" s="102"/>
      <c r="BV81" s="102"/>
      <c r="BW81" s="102"/>
      <c r="BX81" s="102"/>
      <c r="BY81" s="102"/>
      <c r="BZ81" s="102"/>
      <c r="CA81" s="102"/>
      <c r="CB81" s="102"/>
      <c r="CC81" s="102"/>
      <c r="CD81" s="102"/>
      <c r="CE81" s="102"/>
      <c r="CF81" s="102"/>
      <c r="CG81" s="102"/>
      <c r="CH81" s="102"/>
      <c r="CI81" s="102"/>
      <c r="CJ81" s="102"/>
      <c r="CK81" s="102"/>
      <c r="CL81" s="102"/>
      <c r="CM81" s="102"/>
      <c r="CN81" s="102"/>
      <c r="CO81" s="102"/>
      <c r="CP81" s="102"/>
      <c r="CQ81" s="102"/>
      <c r="CR81" s="102"/>
      <c r="CS81" s="102"/>
      <c r="CT81" s="102"/>
      <c r="CU81" s="102"/>
      <c r="CV81" s="102"/>
      <c r="CW81" s="102"/>
      <c r="CX81" s="102"/>
      <c r="CY81" s="102"/>
      <c r="CZ81" s="102"/>
      <c r="DA81" s="102"/>
      <c r="DB81" s="102"/>
      <c r="DC81" s="102"/>
      <c r="DD81" s="102"/>
      <c r="DE81" s="102"/>
      <c r="DF81" s="102"/>
      <c r="DG81" s="102"/>
      <c r="DH81" s="102"/>
      <c r="DI81" s="102"/>
      <c r="DJ81" s="102"/>
      <c r="DK81" s="102"/>
      <c r="DL81" s="102"/>
      <c r="DM81" s="102"/>
      <c r="DN81" s="102"/>
      <c r="DO81" s="102"/>
      <c r="DP81" s="102"/>
      <c r="DQ81" s="102"/>
      <c r="DR81" s="102"/>
      <c r="DS81" s="102"/>
      <c r="DT81" s="102"/>
      <c r="DU81" s="102"/>
      <c r="DV81" s="102"/>
      <c r="DW81" s="102"/>
      <c r="DX81" s="102"/>
      <c r="DY81" s="102"/>
      <c r="DZ81" s="102"/>
      <c r="EA81" s="102"/>
      <c r="EB81" s="102"/>
      <c r="EC81" s="102"/>
      <c r="ED81" s="102"/>
      <c r="EE81" s="102"/>
      <c r="EF81" s="102"/>
      <c r="EG81" s="102"/>
      <c r="EH81" s="102"/>
      <c r="EI81" s="102"/>
      <c r="EJ81" s="102"/>
      <c r="EK81" s="102"/>
      <c r="EL81" s="102"/>
      <c r="EM81" s="102"/>
      <c r="EN81" s="102"/>
    </row>
    <row r="82">
      <c r="A82" s="139" t="s">
        <v>186</v>
      </c>
      <c r="B82" s="105"/>
      <c r="C82" s="103" t="s">
        <v>97</v>
      </c>
      <c r="D82" s="105"/>
      <c r="E82" s="105"/>
      <c r="F82" s="105"/>
      <c r="G82" s="136" t="s">
        <v>97</v>
      </c>
      <c r="H82" s="107"/>
      <c r="I82" s="105"/>
      <c r="J82" s="105"/>
      <c r="K82" s="103" t="s">
        <v>97</v>
      </c>
      <c r="L82" s="105"/>
      <c r="M82" s="105"/>
      <c r="N82" s="105"/>
      <c r="O82" s="103" t="s">
        <v>97</v>
      </c>
      <c r="P82" s="103" t="s">
        <v>99</v>
      </c>
      <c r="Q82" s="105"/>
      <c r="R82" s="105"/>
      <c r="S82" s="136" t="s">
        <v>99</v>
      </c>
      <c r="T82" s="107"/>
      <c r="U82" s="105"/>
      <c r="V82" s="105"/>
      <c r="W82" s="103" t="s">
        <v>99</v>
      </c>
      <c r="X82" s="105"/>
      <c r="Y82" s="105"/>
      <c r="Z82" s="105"/>
      <c r="AA82" s="103" t="s">
        <v>99</v>
      </c>
      <c r="AB82" s="103" t="s">
        <v>97</v>
      </c>
      <c r="AC82" s="105"/>
      <c r="AD82" s="105"/>
      <c r="AE82" s="106"/>
      <c r="AF82" s="108" t="s">
        <v>99</v>
      </c>
      <c r="AG82" s="105"/>
      <c r="AH82" s="105"/>
      <c r="AI82" s="105"/>
      <c r="AJ82" s="103" t="s">
        <v>99</v>
      </c>
      <c r="AK82" s="103" t="s">
        <v>99</v>
      </c>
      <c r="AL82" s="103" t="s">
        <v>99</v>
      </c>
      <c r="AM82" s="103" t="s">
        <v>99</v>
      </c>
      <c r="AN82" s="103" t="s">
        <v>99</v>
      </c>
      <c r="AO82" s="103" t="s">
        <v>99</v>
      </c>
      <c r="AP82" s="103" t="s">
        <v>99</v>
      </c>
      <c r="AQ82" s="136" t="s">
        <v>97</v>
      </c>
      <c r="AR82" s="107"/>
      <c r="AS82" s="105"/>
      <c r="AT82" s="105"/>
      <c r="AU82" s="103" t="s">
        <v>99</v>
      </c>
      <c r="AV82" s="105"/>
      <c r="AW82" s="105"/>
      <c r="AX82" s="105"/>
      <c r="AY82" s="105"/>
      <c r="AZ82" s="105"/>
      <c r="BA82" s="105"/>
      <c r="BB82" s="105"/>
      <c r="BC82" s="106"/>
      <c r="BD82" s="105"/>
      <c r="BE82" s="105"/>
      <c r="BF82" s="105"/>
      <c r="BG82" s="105"/>
      <c r="BH82" s="102"/>
      <c r="BI82" s="102"/>
      <c r="BJ82" s="102"/>
      <c r="BK82" s="102"/>
      <c r="BL82" s="102"/>
      <c r="BM82" s="102"/>
      <c r="BN82" s="102"/>
      <c r="BO82" s="102"/>
      <c r="BP82" s="102"/>
      <c r="BQ82" s="102"/>
      <c r="BR82" s="102"/>
      <c r="BS82" s="102"/>
      <c r="BT82" s="102"/>
      <c r="BU82" s="102"/>
      <c r="BV82" s="102"/>
      <c r="BW82" s="102"/>
      <c r="BX82" s="102"/>
      <c r="BY82" s="102"/>
      <c r="BZ82" s="102"/>
      <c r="CA82" s="102"/>
      <c r="CB82" s="102"/>
      <c r="CC82" s="102"/>
      <c r="CD82" s="102"/>
      <c r="CE82" s="102"/>
      <c r="CF82" s="102"/>
      <c r="CG82" s="102"/>
      <c r="CH82" s="102"/>
      <c r="CI82" s="102"/>
      <c r="CJ82" s="102"/>
      <c r="CK82" s="102"/>
      <c r="CL82" s="102"/>
      <c r="CM82" s="102"/>
      <c r="CN82" s="102"/>
      <c r="CO82" s="102"/>
      <c r="CP82" s="102"/>
      <c r="CQ82" s="102"/>
      <c r="CR82" s="102"/>
      <c r="CS82" s="102"/>
      <c r="CT82" s="102"/>
      <c r="CU82" s="102"/>
      <c r="CV82" s="102"/>
      <c r="CW82" s="102"/>
      <c r="CX82" s="102"/>
      <c r="CY82" s="102"/>
      <c r="CZ82" s="102"/>
      <c r="DA82" s="102"/>
      <c r="DB82" s="102"/>
      <c r="DC82" s="102"/>
      <c r="DD82" s="102"/>
      <c r="DE82" s="102"/>
      <c r="DF82" s="102"/>
      <c r="DG82" s="102"/>
      <c r="DH82" s="102"/>
      <c r="DI82" s="102"/>
      <c r="DJ82" s="102"/>
      <c r="DK82" s="102"/>
      <c r="DL82" s="102"/>
      <c r="DM82" s="102"/>
      <c r="DN82" s="102"/>
      <c r="DO82" s="102"/>
      <c r="DP82" s="102"/>
      <c r="DQ82" s="102"/>
      <c r="DR82" s="102"/>
      <c r="DS82" s="102"/>
      <c r="DT82" s="102"/>
      <c r="DU82" s="102"/>
      <c r="DV82" s="102"/>
      <c r="DW82" s="102"/>
      <c r="DX82" s="102"/>
      <c r="DY82" s="102"/>
      <c r="DZ82" s="102"/>
      <c r="EA82" s="102"/>
      <c r="EB82" s="102"/>
      <c r="EC82" s="102"/>
      <c r="ED82" s="102"/>
      <c r="EE82" s="102"/>
      <c r="EF82" s="102"/>
      <c r="EG82" s="102"/>
      <c r="EH82" s="102"/>
      <c r="EI82" s="102"/>
      <c r="EJ82" s="102"/>
      <c r="EK82" s="102"/>
      <c r="EL82" s="102"/>
      <c r="EM82" s="102"/>
      <c r="EN82" s="102"/>
    </row>
    <row r="83">
      <c r="A83" s="138" t="s">
        <v>187</v>
      </c>
      <c r="B83" s="112"/>
      <c r="C83" s="110" t="s">
        <v>97</v>
      </c>
      <c r="D83" s="112"/>
      <c r="E83" s="112"/>
      <c r="F83" s="112"/>
      <c r="G83" s="137" t="s">
        <v>97</v>
      </c>
      <c r="H83" s="114"/>
      <c r="I83" s="116"/>
      <c r="J83" s="116"/>
      <c r="K83" s="115" t="s">
        <v>97</v>
      </c>
      <c r="L83" s="116"/>
      <c r="M83" s="116"/>
      <c r="N83" s="116"/>
      <c r="O83" s="115" t="s">
        <v>97</v>
      </c>
      <c r="P83" s="115" t="s">
        <v>99</v>
      </c>
      <c r="Q83" s="116"/>
      <c r="R83" s="116"/>
      <c r="S83" s="143" t="s">
        <v>99</v>
      </c>
      <c r="T83" s="118"/>
      <c r="U83" s="120"/>
      <c r="V83" s="120"/>
      <c r="W83" s="121" t="s">
        <v>99</v>
      </c>
      <c r="X83" s="120"/>
      <c r="Y83" s="120"/>
      <c r="Z83" s="120"/>
      <c r="AA83" s="121" t="s">
        <v>99</v>
      </c>
      <c r="AB83" s="121" t="s">
        <v>97</v>
      </c>
      <c r="AC83" s="120"/>
      <c r="AD83" s="120"/>
      <c r="AE83" s="122"/>
      <c r="AF83" s="134" t="s">
        <v>99</v>
      </c>
      <c r="AG83" s="124"/>
      <c r="AH83" s="124"/>
      <c r="AI83" s="124"/>
      <c r="AJ83" s="125" t="s">
        <v>99</v>
      </c>
      <c r="AK83" s="125" t="s">
        <v>99</v>
      </c>
      <c r="AL83" s="125" t="s">
        <v>99</v>
      </c>
      <c r="AM83" s="125" t="s">
        <v>99</v>
      </c>
      <c r="AN83" s="125" t="s">
        <v>99</v>
      </c>
      <c r="AO83" s="125" t="s">
        <v>99</v>
      </c>
      <c r="AP83" s="125" t="s">
        <v>99</v>
      </c>
      <c r="AQ83" s="133" t="s">
        <v>97</v>
      </c>
      <c r="AR83" s="127"/>
      <c r="AS83" s="129"/>
      <c r="AT83" s="128" t="s">
        <v>96</v>
      </c>
      <c r="AU83" s="129"/>
      <c r="AV83" s="129"/>
      <c r="AW83" s="129"/>
      <c r="AX83" s="129"/>
      <c r="AY83" s="129"/>
      <c r="AZ83" s="129"/>
      <c r="BA83" s="129"/>
      <c r="BB83" s="129"/>
      <c r="BC83" s="130"/>
      <c r="BD83" s="129"/>
      <c r="BE83" s="129"/>
      <c r="BF83" s="129"/>
      <c r="BG83" s="129"/>
      <c r="BH83" s="102"/>
      <c r="BI83" s="102"/>
      <c r="BJ83" s="102"/>
      <c r="BK83" s="102"/>
      <c r="BL83" s="102"/>
      <c r="BM83" s="102"/>
      <c r="BN83" s="102"/>
      <c r="BO83" s="102"/>
      <c r="BP83" s="102"/>
      <c r="BQ83" s="102"/>
      <c r="BR83" s="102"/>
      <c r="BS83" s="102"/>
      <c r="BT83" s="102"/>
      <c r="BU83" s="102"/>
      <c r="BV83" s="102"/>
      <c r="BW83" s="102"/>
      <c r="BX83" s="102"/>
      <c r="BY83" s="102"/>
      <c r="BZ83" s="102"/>
      <c r="CA83" s="102"/>
      <c r="CB83" s="102"/>
      <c r="CC83" s="102"/>
      <c r="CD83" s="102"/>
      <c r="CE83" s="102"/>
      <c r="CF83" s="102"/>
      <c r="CG83" s="102"/>
      <c r="CH83" s="102"/>
      <c r="CI83" s="102"/>
      <c r="CJ83" s="102"/>
      <c r="CK83" s="102"/>
      <c r="CL83" s="102"/>
      <c r="CM83" s="102"/>
      <c r="CN83" s="102"/>
      <c r="CO83" s="102"/>
      <c r="CP83" s="102"/>
      <c r="CQ83" s="102"/>
      <c r="CR83" s="102"/>
      <c r="CS83" s="102"/>
      <c r="CT83" s="102"/>
      <c r="CU83" s="102"/>
      <c r="CV83" s="102"/>
      <c r="CW83" s="102"/>
      <c r="CX83" s="102"/>
      <c r="CY83" s="102"/>
      <c r="CZ83" s="102"/>
      <c r="DA83" s="102"/>
      <c r="DB83" s="102"/>
      <c r="DC83" s="102"/>
      <c r="DD83" s="102"/>
      <c r="DE83" s="102"/>
      <c r="DF83" s="102"/>
      <c r="DG83" s="102"/>
      <c r="DH83" s="102"/>
      <c r="DI83" s="102"/>
      <c r="DJ83" s="102"/>
      <c r="DK83" s="102"/>
      <c r="DL83" s="102"/>
      <c r="DM83" s="102"/>
      <c r="DN83" s="102"/>
      <c r="DO83" s="102"/>
      <c r="DP83" s="102"/>
      <c r="DQ83" s="102"/>
      <c r="DR83" s="102"/>
      <c r="DS83" s="102"/>
      <c r="DT83" s="102"/>
      <c r="DU83" s="102"/>
      <c r="DV83" s="102"/>
      <c r="DW83" s="102"/>
      <c r="DX83" s="102"/>
      <c r="DY83" s="102"/>
      <c r="DZ83" s="102"/>
      <c r="EA83" s="102"/>
      <c r="EB83" s="102"/>
      <c r="EC83" s="102"/>
      <c r="ED83" s="102"/>
      <c r="EE83" s="102"/>
      <c r="EF83" s="102"/>
      <c r="EG83" s="102"/>
      <c r="EH83" s="102"/>
      <c r="EI83" s="102"/>
      <c r="EJ83" s="102"/>
      <c r="EK83" s="102"/>
      <c r="EL83" s="102"/>
      <c r="EM83" s="102"/>
      <c r="EN83" s="102"/>
    </row>
    <row r="84">
      <c r="A84" s="139" t="s">
        <v>188</v>
      </c>
      <c r="B84" s="105"/>
      <c r="C84" s="103" t="s">
        <v>97</v>
      </c>
      <c r="D84" s="105"/>
      <c r="E84" s="105"/>
      <c r="F84" s="105"/>
      <c r="G84" s="136" t="s">
        <v>97</v>
      </c>
      <c r="H84" s="107"/>
      <c r="I84" s="105"/>
      <c r="J84" s="105"/>
      <c r="K84" s="103" t="s">
        <v>97</v>
      </c>
      <c r="L84" s="105"/>
      <c r="M84" s="105"/>
      <c r="N84" s="105"/>
      <c r="O84" s="103" t="s">
        <v>97</v>
      </c>
      <c r="P84" s="103" t="s">
        <v>99</v>
      </c>
      <c r="Q84" s="105"/>
      <c r="R84" s="105"/>
      <c r="S84" s="136" t="s">
        <v>99</v>
      </c>
      <c r="T84" s="107"/>
      <c r="U84" s="105"/>
      <c r="V84" s="105"/>
      <c r="W84" s="103" t="s">
        <v>99</v>
      </c>
      <c r="X84" s="105"/>
      <c r="Y84" s="105"/>
      <c r="Z84" s="105"/>
      <c r="AA84" s="103" t="s">
        <v>99</v>
      </c>
      <c r="AB84" s="103" t="s">
        <v>97</v>
      </c>
      <c r="AC84" s="105"/>
      <c r="AD84" s="105"/>
      <c r="AE84" s="106"/>
      <c r="AF84" s="108" t="s">
        <v>99</v>
      </c>
      <c r="AG84" s="105"/>
      <c r="AH84" s="105"/>
      <c r="AI84" s="105"/>
      <c r="AJ84" s="103" t="s">
        <v>99</v>
      </c>
      <c r="AK84" s="103" t="s">
        <v>99</v>
      </c>
      <c r="AL84" s="103" t="s">
        <v>99</v>
      </c>
      <c r="AM84" s="103" t="s">
        <v>99</v>
      </c>
      <c r="AN84" s="103" t="s">
        <v>99</v>
      </c>
      <c r="AO84" s="103" t="s">
        <v>99</v>
      </c>
      <c r="AP84" s="103" t="s">
        <v>99</v>
      </c>
      <c r="AQ84" s="136" t="s">
        <v>97</v>
      </c>
      <c r="AR84" s="107"/>
      <c r="AS84" s="105"/>
      <c r="AT84" s="103" t="s">
        <v>97</v>
      </c>
      <c r="AU84" s="105"/>
      <c r="AV84" s="105"/>
      <c r="AW84" s="105"/>
      <c r="AX84" s="105"/>
      <c r="AY84" s="105"/>
      <c r="AZ84" s="105"/>
      <c r="BA84" s="105"/>
      <c r="BB84" s="105"/>
      <c r="BC84" s="106"/>
      <c r="BD84" s="105"/>
      <c r="BE84" s="105"/>
      <c r="BF84" s="105"/>
      <c r="BG84" s="105"/>
      <c r="BH84" s="102"/>
      <c r="BI84" s="102"/>
      <c r="BJ84" s="102"/>
      <c r="BK84" s="102"/>
      <c r="BL84" s="102"/>
      <c r="BM84" s="102"/>
      <c r="BN84" s="102"/>
      <c r="BO84" s="102"/>
      <c r="BP84" s="102"/>
      <c r="BQ84" s="102"/>
      <c r="BR84" s="102"/>
      <c r="BS84" s="102"/>
      <c r="BT84" s="102"/>
      <c r="BU84" s="102"/>
      <c r="BV84" s="102"/>
      <c r="BW84" s="102"/>
      <c r="BX84" s="102"/>
      <c r="BY84" s="102"/>
      <c r="BZ84" s="102"/>
      <c r="CA84" s="102"/>
      <c r="CB84" s="102"/>
      <c r="CC84" s="102"/>
      <c r="CD84" s="102"/>
      <c r="CE84" s="102"/>
      <c r="CF84" s="102"/>
      <c r="CG84" s="102"/>
      <c r="CH84" s="102"/>
      <c r="CI84" s="102"/>
      <c r="CJ84" s="102"/>
      <c r="CK84" s="102"/>
      <c r="CL84" s="102"/>
      <c r="CM84" s="102"/>
      <c r="CN84" s="102"/>
      <c r="CO84" s="102"/>
      <c r="CP84" s="102"/>
      <c r="CQ84" s="102"/>
      <c r="CR84" s="102"/>
      <c r="CS84" s="102"/>
      <c r="CT84" s="102"/>
      <c r="CU84" s="102"/>
      <c r="CV84" s="102"/>
      <c r="CW84" s="102"/>
      <c r="CX84" s="102"/>
      <c r="CY84" s="102"/>
      <c r="CZ84" s="102"/>
      <c r="DA84" s="102"/>
      <c r="DB84" s="102"/>
      <c r="DC84" s="102"/>
      <c r="DD84" s="102"/>
      <c r="DE84" s="102"/>
      <c r="DF84" s="102"/>
      <c r="DG84" s="102"/>
      <c r="DH84" s="102"/>
      <c r="DI84" s="102"/>
      <c r="DJ84" s="102"/>
      <c r="DK84" s="102"/>
      <c r="DL84" s="102"/>
      <c r="DM84" s="102"/>
      <c r="DN84" s="102"/>
      <c r="DO84" s="102"/>
      <c r="DP84" s="102"/>
      <c r="DQ84" s="102"/>
      <c r="DR84" s="102"/>
      <c r="DS84" s="102"/>
      <c r="DT84" s="102"/>
      <c r="DU84" s="102"/>
      <c r="DV84" s="102"/>
      <c r="DW84" s="102"/>
      <c r="DX84" s="102"/>
      <c r="DY84" s="102"/>
      <c r="DZ84" s="102"/>
      <c r="EA84" s="102"/>
      <c r="EB84" s="102"/>
      <c r="EC84" s="102"/>
      <c r="ED84" s="102"/>
      <c r="EE84" s="102"/>
      <c r="EF84" s="102"/>
      <c r="EG84" s="102"/>
      <c r="EH84" s="102"/>
      <c r="EI84" s="102"/>
      <c r="EJ84" s="102"/>
      <c r="EK84" s="102"/>
      <c r="EL84" s="102"/>
      <c r="EM84" s="102"/>
      <c r="EN84" s="102"/>
    </row>
    <row r="85">
      <c r="A85" s="138" t="s">
        <v>189</v>
      </c>
      <c r="B85" s="112"/>
      <c r="C85" s="112"/>
      <c r="D85" s="112"/>
      <c r="E85" s="110" t="s">
        <v>98</v>
      </c>
      <c r="F85" s="112"/>
      <c r="G85" s="113"/>
      <c r="H85" s="114"/>
      <c r="I85" s="115" t="s">
        <v>98</v>
      </c>
      <c r="J85" s="116"/>
      <c r="K85" s="116"/>
      <c r="L85" s="116"/>
      <c r="M85" s="115" t="s">
        <v>96</v>
      </c>
      <c r="N85" s="116"/>
      <c r="O85" s="116"/>
      <c r="P85" s="115" t="s">
        <v>99</v>
      </c>
      <c r="Q85" s="115" t="s">
        <v>98</v>
      </c>
      <c r="R85" s="116"/>
      <c r="S85" s="117"/>
      <c r="T85" s="118"/>
      <c r="U85" s="121" t="s">
        <v>99</v>
      </c>
      <c r="V85" s="121" t="s">
        <v>96</v>
      </c>
      <c r="W85" s="120"/>
      <c r="X85" s="120"/>
      <c r="Y85" s="121" t="s">
        <v>98</v>
      </c>
      <c r="Z85" s="120"/>
      <c r="AA85" s="120"/>
      <c r="AB85" s="121" t="s">
        <v>98</v>
      </c>
      <c r="AC85" s="120"/>
      <c r="AD85" s="120"/>
      <c r="AE85" s="122"/>
      <c r="AF85" s="134" t="s">
        <v>96</v>
      </c>
      <c r="AG85" s="125" t="s">
        <v>97</v>
      </c>
      <c r="AH85" s="124"/>
      <c r="AI85" s="124"/>
      <c r="AJ85" s="124"/>
      <c r="AK85" s="125" t="s">
        <v>98</v>
      </c>
      <c r="AL85" s="124"/>
      <c r="AM85" s="124"/>
      <c r="AN85" s="124"/>
      <c r="AO85" s="125" t="s">
        <v>98</v>
      </c>
      <c r="AP85" s="124"/>
      <c r="AQ85" s="126"/>
      <c r="AR85" s="127"/>
      <c r="AS85" s="128" t="s">
        <v>99</v>
      </c>
      <c r="AT85" s="128" t="s">
        <v>96</v>
      </c>
      <c r="AU85" s="128" t="s">
        <v>98</v>
      </c>
      <c r="AV85" s="129"/>
      <c r="AW85" s="129"/>
      <c r="AX85" s="129"/>
      <c r="AY85" s="129"/>
      <c r="AZ85" s="129"/>
      <c r="BA85" s="129"/>
      <c r="BB85" s="129"/>
      <c r="BC85" s="130"/>
      <c r="BD85" s="129"/>
      <c r="BE85" s="129"/>
      <c r="BF85" s="129"/>
      <c r="BG85" s="129"/>
      <c r="BH85" s="102"/>
      <c r="BI85" s="102"/>
      <c r="BJ85" s="102"/>
      <c r="BK85" s="102"/>
      <c r="BL85" s="102"/>
      <c r="BM85" s="102"/>
      <c r="BN85" s="102"/>
      <c r="BO85" s="102"/>
      <c r="BP85" s="102"/>
      <c r="BQ85" s="102"/>
      <c r="BR85" s="102"/>
      <c r="BS85" s="102"/>
      <c r="BT85" s="102"/>
      <c r="BU85" s="102"/>
      <c r="BV85" s="102"/>
      <c r="BW85" s="102"/>
      <c r="BX85" s="102"/>
      <c r="BY85" s="102"/>
      <c r="BZ85" s="102"/>
      <c r="CA85" s="102"/>
      <c r="CB85" s="102"/>
      <c r="CC85" s="102"/>
      <c r="CD85" s="102"/>
      <c r="CE85" s="102"/>
      <c r="CF85" s="102"/>
      <c r="CG85" s="102"/>
      <c r="CH85" s="102"/>
      <c r="CI85" s="102"/>
      <c r="CJ85" s="102"/>
      <c r="CK85" s="102"/>
      <c r="CL85" s="102"/>
      <c r="CM85" s="102"/>
      <c r="CN85" s="102"/>
      <c r="CO85" s="102"/>
      <c r="CP85" s="102"/>
      <c r="CQ85" s="102"/>
      <c r="CR85" s="102"/>
      <c r="CS85" s="102"/>
      <c r="CT85" s="102"/>
      <c r="CU85" s="102"/>
      <c r="CV85" s="102"/>
      <c r="CW85" s="102"/>
      <c r="CX85" s="102"/>
      <c r="CY85" s="102"/>
      <c r="CZ85" s="102"/>
      <c r="DA85" s="102"/>
      <c r="DB85" s="102"/>
      <c r="DC85" s="102"/>
      <c r="DD85" s="102"/>
      <c r="DE85" s="102"/>
      <c r="DF85" s="102"/>
      <c r="DG85" s="102"/>
      <c r="DH85" s="102"/>
      <c r="DI85" s="102"/>
      <c r="DJ85" s="102"/>
      <c r="DK85" s="102"/>
      <c r="DL85" s="102"/>
      <c r="DM85" s="102"/>
      <c r="DN85" s="102"/>
      <c r="DO85" s="102"/>
      <c r="DP85" s="102"/>
      <c r="DQ85" s="102"/>
      <c r="DR85" s="102"/>
      <c r="DS85" s="102"/>
      <c r="DT85" s="102"/>
      <c r="DU85" s="102"/>
      <c r="DV85" s="102"/>
      <c r="DW85" s="102"/>
      <c r="DX85" s="102"/>
      <c r="DY85" s="102"/>
      <c r="DZ85" s="102"/>
      <c r="EA85" s="102"/>
      <c r="EB85" s="102"/>
      <c r="EC85" s="102"/>
      <c r="ED85" s="102"/>
      <c r="EE85" s="102"/>
      <c r="EF85" s="102"/>
      <c r="EG85" s="102"/>
      <c r="EH85" s="102"/>
      <c r="EI85" s="102"/>
      <c r="EJ85" s="102"/>
      <c r="EK85" s="102"/>
      <c r="EL85" s="102"/>
      <c r="EM85" s="102"/>
      <c r="EN85" s="102"/>
    </row>
    <row r="86">
      <c r="A86" s="139" t="s">
        <v>190</v>
      </c>
      <c r="B86" s="105"/>
      <c r="C86" s="105"/>
      <c r="D86" s="105"/>
      <c r="E86" s="103" t="s">
        <v>98</v>
      </c>
      <c r="F86" s="105"/>
      <c r="G86" s="106"/>
      <c r="H86" s="107"/>
      <c r="I86" s="103" t="s">
        <v>98</v>
      </c>
      <c r="J86" s="105"/>
      <c r="K86" s="105"/>
      <c r="L86" s="105"/>
      <c r="M86" s="103" t="s">
        <v>98</v>
      </c>
      <c r="N86" s="105"/>
      <c r="O86" s="105"/>
      <c r="P86" s="103" t="s">
        <v>99</v>
      </c>
      <c r="Q86" s="103" t="s">
        <v>96</v>
      </c>
      <c r="R86" s="103" t="s">
        <v>98</v>
      </c>
      <c r="S86" s="106"/>
      <c r="T86" s="107"/>
      <c r="U86" s="105"/>
      <c r="V86" s="103" t="s">
        <v>98</v>
      </c>
      <c r="W86" s="105"/>
      <c r="X86" s="105"/>
      <c r="Y86" s="103" t="s">
        <v>98</v>
      </c>
      <c r="Z86" s="105"/>
      <c r="AA86" s="105"/>
      <c r="AB86" s="103" t="s">
        <v>98</v>
      </c>
      <c r="AC86" s="105"/>
      <c r="AD86" s="105"/>
      <c r="AE86" s="106"/>
      <c r="AF86" s="108" t="s">
        <v>96</v>
      </c>
      <c r="AG86" s="105"/>
      <c r="AH86" s="105"/>
      <c r="AI86" s="105"/>
      <c r="AJ86" s="103" t="s">
        <v>99</v>
      </c>
      <c r="AK86" s="103" t="s">
        <v>96</v>
      </c>
      <c r="AL86" s="105"/>
      <c r="AM86" s="105"/>
      <c r="AN86" s="105"/>
      <c r="AO86" s="103" t="s">
        <v>97</v>
      </c>
      <c r="AP86" s="105"/>
      <c r="AQ86" s="106"/>
      <c r="AR86" s="107"/>
      <c r="AS86" s="103" t="s">
        <v>99</v>
      </c>
      <c r="AT86" s="103" t="s">
        <v>97</v>
      </c>
      <c r="AU86" s="103" t="s">
        <v>98</v>
      </c>
      <c r="AV86" s="105"/>
      <c r="AW86" s="105"/>
      <c r="AX86" s="105"/>
      <c r="AY86" s="105"/>
      <c r="AZ86" s="105"/>
      <c r="BA86" s="105"/>
      <c r="BB86" s="105"/>
      <c r="BC86" s="106"/>
      <c r="BD86" s="105"/>
      <c r="BE86" s="105"/>
      <c r="BF86" s="105"/>
      <c r="BG86" s="105"/>
      <c r="BH86" s="102"/>
      <c r="BI86" s="102"/>
      <c r="BJ86" s="102"/>
      <c r="BK86" s="102"/>
      <c r="BL86" s="102"/>
      <c r="BM86" s="102"/>
      <c r="BN86" s="102"/>
      <c r="BO86" s="102"/>
      <c r="BP86" s="102"/>
      <c r="BQ86" s="102"/>
      <c r="BR86" s="102"/>
      <c r="BS86" s="102"/>
      <c r="BT86" s="102"/>
      <c r="BU86" s="102"/>
      <c r="BV86" s="102"/>
      <c r="BW86" s="102"/>
      <c r="BX86" s="102"/>
      <c r="BY86" s="102"/>
      <c r="BZ86" s="102"/>
      <c r="CA86" s="102"/>
      <c r="CB86" s="102"/>
      <c r="CC86" s="102"/>
      <c r="CD86" s="102"/>
      <c r="CE86" s="102"/>
      <c r="CF86" s="102"/>
      <c r="CG86" s="102"/>
      <c r="CH86" s="102"/>
      <c r="CI86" s="102"/>
      <c r="CJ86" s="102"/>
      <c r="CK86" s="102"/>
      <c r="CL86" s="102"/>
      <c r="CM86" s="102"/>
      <c r="CN86" s="102"/>
      <c r="CO86" s="102"/>
      <c r="CP86" s="102"/>
      <c r="CQ86" s="102"/>
      <c r="CR86" s="102"/>
      <c r="CS86" s="102"/>
      <c r="CT86" s="102"/>
      <c r="CU86" s="102"/>
      <c r="CV86" s="102"/>
      <c r="CW86" s="102"/>
      <c r="CX86" s="102"/>
      <c r="CY86" s="102"/>
      <c r="CZ86" s="102"/>
      <c r="DA86" s="102"/>
      <c r="DB86" s="102"/>
      <c r="DC86" s="102"/>
      <c r="DD86" s="102"/>
      <c r="DE86" s="102"/>
      <c r="DF86" s="102"/>
      <c r="DG86" s="102"/>
      <c r="DH86" s="102"/>
      <c r="DI86" s="102"/>
      <c r="DJ86" s="102"/>
      <c r="DK86" s="102"/>
      <c r="DL86" s="102"/>
      <c r="DM86" s="102"/>
      <c r="DN86" s="102"/>
      <c r="DO86" s="102"/>
      <c r="DP86" s="102"/>
      <c r="DQ86" s="102"/>
      <c r="DR86" s="102"/>
      <c r="DS86" s="102"/>
      <c r="DT86" s="102"/>
      <c r="DU86" s="102"/>
      <c r="DV86" s="102"/>
      <c r="DW86" s="102"/>
      <c r="DX86" s="102"/>
      <c r="DY86" s="102"/>
      <c r="DZ86" s="102"/>
      <c r="EA86" s="102"/>
      <c r="EB86" s="102"/>
      <c r="EC86" s="102"/>
      <c r="ED86" s="102"/>
      <c r="EE86" s="102"/>
      <c r="EF86" s="102"/>
      <c r="EG86" s="102"/>
      <c r="EH86" s="102"/>
      <c r="EI86" s="102"/>
      <c r="EJ86" s="102"/>
      <c r="EK86" s="102"/>
      <c r="EL86" s="102"/>
      <c r="EM86" s="102"/>
      <c r="EN86" s="102"/>
    </row>
    <row r="87">
      <c r="A87" s="138" t="s">
        <v>191</v>
      </c>
      <c r="B87" s="112"/>
      <c r="C87" s="112"/>
      <c r="D87" s="110" t="s">
        <v>97</v>
      </c>
      <c r="E87" s="110" t="s">
        <v>98</v>
      </c>
      <c r="F87" s="112"/>
      <c r="G87" s="137" t="s">
        <v>98</v>
      </c>
      <c r="H87" s="114"/>
      <c r="I87" s="116"/>
      <c r="J87" s="115" t="s">
        <v>98</v>
      </c>
      <c r="K87" s="116"/>
      <c r="L87" s="116"/>
      <c r="M87" s="115" t="s">
        <v>98</v>
      </c>
      <c r="N87" s="116"/>
      <c r="O87" s="116"/>
      <c r="P87" s="115" t="s">
        <v>99</v>
      </c>
      <c r="Q87" s="116"/>
      <c r="R87" s="116"/>
      <c r="S87" s="143" t="s">
        <v>98</v>
      </c>
      <c r="T87" s="118"/>
      <c r="U87" s="120"/>
      <c r="V87" s="121" t="s">
        <v>99</v>
      </c>
      <c r="W87" s="120"/>
      <c r="X87" s="120"/>
      <c r="Y87" s="121" t="s">
        <v>96</v>
      </c>
      <c r="Z87" s="120"/>
      <c r="AA87" s="120"/>
      <c r="AB87" s="121" t="s">
        <v>99</v>
      </c>
      <c r="AC87" s="121" t="s">
        <v>96</v>
      </c>
      <c r="AD87" s="121" t="s">
        <v>96</v>
      </c>
      <c r="AE87" s="122"/>
      <c r="AF87" s="123"/>
      <c r="AG87" s="125" t="s">
        <v>96</v>
      </c>
      <c r="AH87" s="124"/>
      <c r="AI87" s="124"/>
      <c r="AJ87" s="125" t="s">
        <v>99</v>
      </c>
      <c r="AK87" s="125" t="s">
        <v>98</v>
      </c>
      <c r="AL87" s="124"/>
      <c r="AM87" s="124"/>
      <c r="AN87" s="125" t="s">
        <v>98</v>
      </c>
      <c r="AO87" s="124"/>
      <c r="AP87" s="125" t="s">
        <v>98</v>
      </c>
      <c r="AQ87" s="126"/>
      <c r="AR87" s="127"/>
      <c r="AS87" s="128" t="s">
        <v>98</v>
      </c>
      <c r="AT87" s="129"/>
      <c r="AU87" s="129"/>
      <c r="AV87" s="129"/>
      <c r="AW87" s="129"/>
      <c r="AX87" s="129"/>
      <c r="AY87" s="129"/>
      <c r="AZ87" s="129"/>
      <c r="BA87" s="129"/>
      <c r="BB87" s="129"/>
      <c r="BC87" s="130"/>
      <c r="BD87" s="129"/>
      <c r="BE87" s="129"/>
      <c r="BF87" s="129"/>
      <c r="BG87" s="129"/>
      <c r="BH87" s="102"/>
      <c r="BI87" s="102"/>
      <c r="BJ87" s="102"/>
      <c r="BK87" s="102"/>
      <c r="BL87" s="102"/>
      <c r="BM87" s="102"/>
      <c r="BN87" s="102"/>
      <c r="BO87" s="102"/>
      <c r="BP87" s="102"/>
      <c r="BQ87" s="102"/>
      <c r="BR87" s="102"/>
      <c r="BS87" s="102"/>
      <c r="BT87" s="102"/>
      <c r="BU87" s="102"/>
      <c r="BV87" s="102"/>
      <c r="BW87" s="102"/>
      <c r="BX87" s="102"/>
      <c r="BY87" s="102"/>
      <c r="BZ87" s="102"/>
      <c r="CA87" s="102"/>
      <c r="CB87" s="102"/>
      <c r="CC87" s="102"/>
      <c r="CD87" s="102"/>
      <c r="CE87" s="102"/>
      <c r="CF87" s="102"/>
      <c r="CG87" s="102"/>
      <c r="CH87" s="102"/>
      <c r="CI87" s="102"/>
      <c r="CJ87" s="102"/>
      <c r="CK87" s="102"/>
      <c r="CL87" s="102"/>
      <c r="CM87" s="102"/>
      <c r="CN87" s="102"/>
      <c r="CO87" s="102"/>
      <c r="CP87" s="102"/>
      <c r="CQ87" s="102"/>
      <c r="CR87" s="102"/>
      <c r="CS87" s="102"/>
      <c r="CT87" s="102"/>
      <c r="CU87" s="102"/>
      <c r="CV87" s="102"/>
      <c r="CW87" s="102"/>
      <c r="CX87" s="102"/>
      <c r="CY87" s="102"/>
      <c r="CZ87" s="102"/>
      <c r="DA87" s="102"/>
      <c r="DB87" s="102"/>
      <c r="DC87" s="102"/>
      <c r="DD87" s="102"/>
      <c r="DE87" s="102"/>
      <c r="DF87" s="102"/>
      <c r="DG87" s="102"/>
      <c r="DH87" s="102"/>
      <c r="DI87" s="102"/>
      <c r="DJ87" s="102"/>
      <c r="DK87" s="102"/>
      <c r="DL87" s="102"/>
      <c r="DM87" s="102"/>
      <c r="DN87" s="102"/>
      <c r="DO87" s="102"/>
      <c r="DP87" s="102"/>
      <c r="DQ87" s="102"/>
      <c r="DR87" s="102"/>
      <c r="DS87" s="102"/>
      <c r="DT87" s="102"/>
      <c r="DU87" s="102"/>
      <c r="DV87" s="102"/>
      <c r="DW87" s="102"/>
      <c r="DX87" s="102"/>
      <c r="DY87" s="102"/>
      <c r="DZ87" s="102"/>
      <c r="EA87" s="102"/>
      <c r="EB87" s="102"/>
      <c r="EC87" s="102"/>
      <c r="ED87" s="102"/>
      <c r="EE87" s="102"/>
      <c r="EF87" s="102"/>
      <c r="EG87" s="102"/>
      <c r="EH87" s="102"/>
      <c r="EI87" s="102"/>
      <c r="EJ87" s="102"/>
      <c r="EK87" s="102"/>
      <c r="EL87" s="102"/>
      <c r="EM87" s="102"/>
      <c r="EN87" s="102"/>
    </row>
    <row r="88">
      <c r="A88" s="139" t="s">
        <v>192</v>
      </c>
      <c r="B88" s="105"/>
      <c r="C88" s="105"/>
      <c r="D88" s="103" t="s">
        <v>98</v>
      </c>
      <c r="E88" s="105"/>
      <c r="F88" s="105"/>
      <c r="G88" s="136" t="s">
        <v>98</v>
      </c>
      <c r="H88" s="107"/>
      <c r="I88" s="105"/>
      <c r="J88" s="103" t="s">
        <v>98</v>
      </c>
      <c r="K88" s="105"/>
      <c r="L88" s="105"/>
      <c r="M88" s="103" t="s">
        <v>98</v>
      </c>
      <c r="N88" s="105"/>
      <c r="O88" s="105"/>
      <c r="P88" s="103" t="s">
        <v>99</v>
      </c>
      <c r="Q88" s="105"/>
      <c r="R88" s="105"/>
      <c r="S88" s="136" t="s">
        <v>97</v>
      </c>
      <c r="T88" s="107"/>
      <c r="U88" s="105"/>
      <c r="V88" s="103" t="s">
        <v>99</v>
      </c>
      <c r="W88" s="105"/>
      <c r="X88" s="105"/>
      <c r="Y88" s="103" t="s">
        <v>97</v>
      </c>
      <c r="Z88" s="105"/>
      <c r="AA88" s="105"/>
      <c r="AB88" s="103" t="s">
        <v>99</v>
      </c>
      <c r="AC88" s="103" t="s">
        <v>96</v>
      </c>
      <c r="AD88" s="103" t="s">
        <v>98</v>
      </c>
      <c r="AE88" s="106"/>
      <c r="AF88" s="107"/>
      <c r="AG88" s="103" t="s">
        <v>98</v>
      </c>
      <c r="AH88" s="105"/>
      <c r="AI88" s="105"/>
      <c r="AJ88" s="103" t="s">
        <v>99</v>
      </c>
      <c r="AK88" s="103" t="s">
        <v>98</v>
      </c>
      <c r="AL88" s="105"/>
      <c r="AM88" s="105"/>
      <c r="AN88" s="103" t="s">
        <v>98</v>
      </c>
      <c r="AO88" s="105"/>
      <c r="AP88" s="103" t="s">
        <v>98</v>
      </c>
      <c r="AQ88" s="106"/>
      <c r="AR88" s="107"/>
      <c r="AS88" s="103" t="s">
        <v>98</v>
      </c>
      <c r="AT88" s="105"/>
      <c r="AU88" s="105"/>
      <c r="AV88" s="105"/>
      <c r="AW88" s="105"/>
      <c r="AX88" s="105"/>
      <c r="AY88" s="105"/>
      <c r="AZ88" s="105"/>
      <c r="BA88" s="105"/>
      <c r="BB88" s="105"/>
      <c r="BC88" s="106"/>
      <c r="BD88" s="105"/>
      <c r="BE88" s="105"/>
      <c r="BF88" s="105"/>
      <c r="BG88" s="105"/>
      <c r="BH88" s="102"/>
      <c r="BI88" s="102"/>
      <c r="BJ88" s="102"/>
      <c r="BK88" s="102"/>
      <c r="BL88" s="102"/>
      <c r="BM88" s="102"/>
      <c r="BN88" s="102"/>
      <c r="BO88" s="102"/>
      <c r="BP88" s="102"/>
      <c r="BQ88" s="102"/>
      <c r="BR88" s="102"/>
      <c r="BS88" s="102"/>
      <c r="BT88" s="102"/>
      <c r="BU88" s="102"/>
      <c r="BV88" s="102"/>
      <c r="BW88" s="102"/>
      <c r="BX88" s="102"/>
      <c r="BY88" s="102"/>
      <c r="BZ88" s="102"/>
      <c r="CA88" s="102"/>
      <c r="CB88" s="102"/>
      <c r="CC88" s="102"/>
      <c r="CD88" s="102"/>
      <c r="CE88" s="102"/>
      <c r="CF88" s="102"/>
      <c r="CG88" s="102"/>
      <c r="CH88" s="102"/>
      <c r="CI88" s="102"/>
      <c r="CJ88" s="102"/>
      <c r="CK88" s="102"/>
      <c r="CL88" s="102"/>
      <c r="CM88" s="102"/>
      <c r="CN88" s="102"/>
      <c r="CO88" s="102"/>
      <c r="CP88" s="102"/>
      <c r="CQ88" s="102"/>
      <c r="CR88" s="102"/>
      <c r="CS88" s="102"/>
      <c r="CT88" s="102"/>
      <c r="CU88" s="102"/>
      <c r="CV88" s="102"/>
      <c r="CW88" s="102"/>
      <c r="CX88" s="102"/>
      <c r="CY88" s="102"/>
      <c r="CZ88" s="102"/>
      <c r="DA88" s="102"/>
      <c r="DB88" s="102"/>
      <c r="DC88" s="102"/>
      <c r="DD88" s="102"/>
      <c r="DE88" s="102"/>
      <c r="DF88" s="102"/>
      <c r="DG88" s="102"/>
      <c r="DH88" s="102"/>
      <c r="DI88" s="102"/>
      <c r="DJ88" s="102"/>
      <c r="DK88" s="102"/>
      <c r="DL88" s="102"/>
      <c r="DM88" s="102"/>
      <c r="DN88" s="102"/>
      <c r="DO88" s="102"/>
      <c r="DP88" s="102"/>
      <c r="DQ88" s="102"/>
      <c r="DR88" s="102"/>
      <c r="DS88" s="102"/>
      <c r="DT88" s="102"/>
      <c r="DU88" s="102"/>
      <c r="DV88" s="102"/>
      <c r="DW88" s="102"/>
      <c r="DX88" s="102"/>
      <c r="DY88" s="102"/>
      <c r="DZ88" s="102"/>
      <c r="EA88" s="102"/>
      <c r="EB88" s="102"/>
      <c r="EC88" s="102"/>
      <c r="ED88" s="102"/>
      <c r="EE88" s="102"/>
      <c r="EF88" s="102"/>
      <c r="EG88" s="102"/>
      <c r="EH88" s="102"/>
      <c r="EI88" s="102"/>
      <c r="EJ88" s="102"/>
      <c r="EK88" s="102"/>
      <c r="EL88" s="102"/>
      <c r="EM88" s="102"/>
      <c r="EN88" s="102"/>
    </row>
    <row r="89">
      <c r="A89" s="138" t="s">
        <v>3</v>
      </c>
      <c r="B89" s="112"/>
      <c r="C89" s="112"/>
      <c r="D89" s="110" t="s">
        <v>97</v>
      </c>
      <c r="E89" s="112"/>
      <c r="F89" s="112"/>
      <c r="G89" s="113"/>
      <c r="H89" s="132" t="s">
        <v>97</v>
      </c>
      <c r="I89" s="116"/>
      <c r="J89" s="116"/>
      <c r="K89" s="116"/>
      <c r="L89" s="115" t="s">
        <v>97</v>
      </c>
      <c r="M89" s="116"/>
      <c r="N89" s="116"/>
      <c r="O89" s="116"/>
      <c r="P89" s="115" t="s">
        <v>99</v>
      </c>
      <c r="Q89" s="116"/>
      <c r="R89" s="116"/>
      <c r="S89" s="117"/>
      <c r="T89" s="119" t="s">
        <v>99</v>
      </c>
      <c r="U89" s="120"/>
      <c r="V89" s="120"/>
      <c r="W89" s="120"/>
      <c r="X89" s="121" t="s">
        <v>99</v>
      </c>
      <c r="Y89" s="120"/>
      <c r="Z89" s="120"/>
      <c r="AA89" s="120"/>
      <c r="AB89" s="121" t="s">
        <v>99</v>
      </c>
      <c r="AC89" s="120"/>
      <c r="AD89" s="120"/>
      <c r="AE89" s="122"/>
      <c r="AF89" s="134" t="s">
        <v>99</v>
      </c>
      <c r="AG89" s="125" t="s">
        <v>97</v>
      </c>
      <c r="AH89" s="124"/>
      <c r="AI89" s="124"/>
      <c r="AJ89" s="124"/>
      <c r="AK89" s="125" t="s">
        <v>99</v>
      </c>
      <c r="AL89" s="125" t="s">
        <v>99</v>
      </c>
      <c r="AM89" s="125" t="s">
        <v>99</v>
      </c>
      <c r="AN89" s="125" t="s">
        <v>97</v>
      </c>
      <c r="AO89" s="124"/>
      <c r="AP89" s="124"/>
      <c r="AQ89" s="126"/>
      <c r="AR89" s="135" t="s">
        <v>99</v>
      </c>
      <c r="AS89" s="128" t="s">
        <v>99</v>
      </c>
      <c r="AT89" s="128" t="s">
        <v>99</v>
      </c>
      <c r="AU89" s="128" t="s">
        <v>99</v>
      </c>
      <c r="AV89" s="129"/>
      <c r="AW89" s="129"/>
      <c r="AX89" s="129"/>
      <c r="AY89" s="129"/>
      <c r="AZ89" s="129"/>
      <c r="BA89" s="129"/>
      <c r="BB89" s="129"/>
      <c r="BC89" s="130"/>
      <c r="BD89" s="129"/>
      <c r="BE89" s="129"/>
      <c r="BF89" s="129"/>
      <c r="BG89" s="129"/>
      <c r="BH89" s="102"/>
      <c r="BI89" s="102"/>
      <c r="BJ89" s="102"/>
      <c r="BK89" s="102"/>
      <c r="BL89" s="102"/>
      <c r="BM89" s="102"/>
      <c r="BN89" s="102"/>
      <c r="BO89" s="102"/>
      <c r="BP89" s="102"/>
      <c r="BQ89" s="102"/>
      <c r="BR89" s="102"/>
      <c r="BS89" s="102"/>
      <c r="BT89" s="102"/>
      <c r="BU89" s="102"/>
      <c r="BV89" s="102"/>
      <c r="BW89" s="102"/>
      <c r="BX89" s="102"/>
      <c r="BY89" s="102"/>
      <c r="BZ89" s="102"/>
      <c r="CA89" s="102"/>
      <c r="CB89" s="102"/>
      <c r="CC89" s="102"/>
      <c r="CD89" s="102"/>
      <c r="CE89" s="102"/>
      <c r="CF89" s="102"/>
      <c r="CG89" s="102"/>
      <c r="CH89" s="102"/>
      <c r="CI89" s="102"/>
      <c r="CJ89" s="102"/>
      <c r="CK89" s="102"/>
      <c r="CL89" s="102"/>
      <c r="CM89" s="102"/>
      <c r="CN89" s="102"/>
      <c r="CO89" s="102"/>
      <c r="CP89" s="102"/>
      <c r="CQ89" s="102"/>
      <c r="CR89" s="102"/>
      <c r="CS89" s="102"/>
      <c r="CT89" s="102"/>
      <c r="CU89" s="102"/>
      <c r="CV89" s="102"/>
      <c r="CW89" s="102"/>
      <c r="CX89" s="102"/>
      <c r="CY89" s="102"/>
      <c r="CZ89" s="102"/>
      <c r="DA89" s="102"/>
      <c r="DB89" s="102"/>
      <c r="DC89" s="102"/>
      <c r="DD89" s="102"/>
      <c r="DE89" s="102"/>
      <c r="DF89" s="102"/>
      <c r="DG89" s="102"/>
      <c r="DH89" s="102"/>
      <c r="DI89" s="102"/>
      <c r="DJ89" s="102"/>
      <c r="DK89" s="102"/>
      <c r="DL89" s="102"/>
      <c r="DM89" s="102"/>
      <c r="DN89" s="102"/>
      <c r="DO89" s="102"/>
      <c r="DP89" s="102"/>
      <c r="DQ89" s="102"/>
      <c r="DR89" s="102"/>
      <c r="DS89" s="102"/>
      <c r="DT89" s="102"/>
      <c r="DU89" s="102"/>
      <c r="DV89" s="102"/>
      <c r="DW89" s="102"/>
      <c r="DX89" s="102"/>
      <c r="DY89" s="102"/>
      <c r="DZ89" s="102"/>
      <c r="EA89" s="102"/>
      <c r="EB89" s="102"/>
      <c r="EC89" s="102"/>
      <c r="ED89" s="102"/>
      <c r="EE89" s="102"/>
      <c r="EF89" s="102"/>
      <c r="EG89" s="102"/>
      <c r="EH89" s="102"/>
      <c r="EI89" s="102"/>
      <c r="EJ89" s="102"/>
      <c r="EK89" s="102"/>
      <c r="EL89" s="102"/>
      <c r="EM89" s="102"/>
      <c r="EN89" s="102"/>
    </row>
    <row r="90">
      <c r="A90" s="139" t="s">
        <v>193</v>
      </c>
      <c r="B90" s="105"/>
      <c r="C90" s="105"/>
      <c r="D90" s="103" t="s">
        <v>97</v>
      </c>
      <c r="E90" s="105"/>
      <c r="F90" s="105"/>
      <c r="G90" s="106"/>
      <c r="H90" s="108" t="s">
        <v>97</v>
      </c>
      <c r="I90" s="105"/>
      <c r="J90" s="105"/>
      <c r="K90" s="105"/>
      <c r="L90" s="103" t="s">
        <v>97</v>
      </c>
      <c r="M90" s="105"/>
      <c r="N90" s="105"/>
      <c r="O90" s="105"/>
      <c r="P90" s="103" t="s">
        <v>99</v>
      </c>
      <c r="Q90" s="105"/>
      <c r="R90" s="105"/>
      <c r="S90" s="106"/>
      <c r="T90" s="108" t="s">
        <v>99</v>
      </c>
      <c r="U90" s="105"/>
      <c r="V90" s="105"/>
      <c r="W90" s="105"/>
      <c r="X90" s="103" t="s">
        <v>99</v>
      </c>
      <c r="Y90" s="105"/>
      <c r="Z90" s="105"/>
      <c r="AA90" s="105"/>
      <c r="AB90" s="103" t="s">
        <v>99</v>
      </c>
      <c r="AC90" s="105"/>
      <c r="AD90" s="105"/>
      <c r="AE90" s="106"/>
      <c r="AF90" s="108" t="s">
        <v>99</v>
      </c>
      <c r="AG90" s="103" t="s">
        <v>97</v>
      </c>
      <c r="AH90" s="105"/>
      <c r="AI90" s="105"/>
      <c r="AJ90" s="105"/>
      <c r="AK90" s="103" t="s">
        <v>99</v>
      </c>
      <c r="AL90" s="103" t="s">
        <v>99</v>
      </c>
      <c r="AM90" s="103" t="s">
        <v>99</v>
      </c>
      <c r="AN90" s="103" t="s">
        <v>97</v>
      </c>
      <c r="AO90" s="105"/>
      <c r="AP90" s="105"/>
      <c r="AQ90" s="106"/>
      <c r="AR90" s="108" t="s">
        <v>99</v>
      </c>
      <c r="AS90" s="103" t="s">
        <v>99</v>
      </c>
      <c r="AT90" s="103" t="s">
        <v>99</v>
      </c>
      <c r="AU90" s="103" t="s">
        <v>99</v>
      </c>
      <c r="AV90" s="105"/>
      <c r="AW90" s="105"/>
      <c r="AX90" s="105"/>
      <c r="AY90" s="105"/>
      <c r="AZ90" s="105"/>
      <c r="BA90" s="105"/>
      <c r="BB90" s="105"/>
      <c r="BC90" s="106"/>
      <c r="BD90" s="105"/>
      <c r="BE90" s="105"/>
      <c r="BF90" s="105"/>
      <c r="BG90" s="105"/>
      <c r="BH90" s="102"/>
      <c r="BI90" s="102"/>
      <c r="BJ90" s="102"/>
      <c r="BK90" s="102"/>
      <c r="BL90" s="102"/>
      <c r="BM90" s="102"/>
      <c r="BN90" s="102"/>
      <c r="BO90" s="102"/>
      <c r="BP90" s="102"/>
      <c r="BQ90" s="102"/>
      <c r="BR90" s="102"/>
      <c r="BS90" s="102"/>
      <c r="BT90" s="102"/>
      <c r="BU90" s="102"/>
      <c r="BV90" s="102"/>
      <c r="BW90" s="102"/>
      <c r="BX90" s="102"/>
      <c r="BY90" s="102"/>
      <c r="BZ90" s="102"/>
      <c r="CA90" s="102"/>
      <c r="CB90" s="102"/>
      <c r="CC90" s="102"/>
      <c r="CD90" s="102"/>
      <c r="CE90" s="102"/>
      <c r="CF90" s="102"/>
      <c r="CG90" s="102"/>
      <c r="CH90" s="102"/>
      <c r="CI90" s="102"/>
      <c r="CJ90" s="102"/>
      <c r="CK90" s="102"/>
      <c r="CL90" s="102"/>
      <c r="CM90" s="102"/>
      <c r="CN90" s="102"/>
      <c r="CO90" s="102"/>
      <c r="CP90" s="102"/>
      <c r="CQ90" s="102"/>
      <c r="CR90" s="102"/>
      <c r="CS90" s="102"/>
      <c r="CT90" s="102"/>
      <c r="CU90" s="102"/>
      <c r="CV90" s="102"/>
      <c r="CW90" s="102"/>
      <c r="CX90" s="102"/>
      <c r="CY90" s="102"/>
      <c r="CZ90" s="102"/>
      <c r="DA90" s="102"/>
      <c r="DB90" s="102"/>
      <c r="DC90" s="102"/>
      <c r="DD90" s="102"/>
      <c r="DE90" s="102"/>
      <c r="DF90" s="102"/>
      <c r="DG90" s="102"/>
      <c r="DH90" s="102"/>
      <c r="DI90" s="102"/>
      <c r="DJ90" s="102"/>
      <c r="DK90" s="102"/>
      <c r="DL90" s="102"/>
      <c r="DM90" s="102"/>
      <c r="DN90" s="102"/>
      <c r="DO90" s="102"/>
      <c r="DP90" s="102"/>
      <c r="DQ90" s="102"/>
      <c r="DR90" s="102"/>
      <c r="DS90" s="102"/>
      <c r="DT90" s="102"/>
      <c r="DU90" s="102"/>
      <c r="DV90" s="102"/>
      <c r="DW90" s="102"/>
      <c r="DX90" s="102"/>
      <c r="DY90" s="102"/>
      <c r="DZ90" s="102"/>
      <c r="EA90" s="102"/>
      <c r="EB90" s="102"/>
      <c r="EC90" s="102"/>
      <c r="ED90" s="102"/>
      <c r="EE90" s="102"/>
      <c r="EF90" s="102"/>
      <c r="EG90" s="102"/>
      <c r="EH90" s="102"/>
      <c r="EI90" s="102"/>
      <c r="EJ90" s="102"/>
      <c r="EK90" s="102"/>
      <c r="EL90" s="102"/>
      <c r="EM90" s="102"/>
      <c r="EN90" s="102"/>
    </row>
    <row r="91">
      <c r="A91" s="138" t="s">
        <v>194</v>
      </c>
      <c r="B91" s="112"/>
      <c r="C91" s="112"/>
      <c r="D91" s="110" t="s">
        <v>97</v>
      </c>
      <c r="E91" s="112"/>
      <c r="F91" s="112"/>
      <c r="G91" s="113"/>
      <c r="H91" s="132" t="s">
        <v>97</v>
      </c>
      <c r="I91" s="116"/>
      <c r="J91" s="116"/>
      <c r="K91" s="116"/>
      <c r="L91" s="115" t="s">
        <v>97</v>
      </c>
      <c r="M91" s="116"/>
      <c r="N91" s="116"/>
      <c r="O91" s="116"/>
      <c r="P91" s="115" t="s">
        <v>99</v>
      </c>
      <c r="Q91" s="116"/>
      <c r="R91" s="116"/>
      <c r="S91" s="117"/>
      <c r="T91" s="119" t="s">
        <v>99</v>
      </c>
      <c r="U91" s="120"/>
      <c r="V91" s="120"/>
      <c r="W91" s="120"/>
      <c r="X91" s="121" t="s">
        <v>99</v>
      </c>
      <c r="Y91" s="120"/>
      <c r="Z91" s="120"/>
      <c r="AA91" s="120"/>
      <c r="AB91" s="121" t="s">
        <v>99</v>
      </c>
      <c r="AC91" s="120"/>
      <c r="AD91" s="120"/>
      <c r="AE91" s="122"/>
      <c r="AF91" s="134" t="s">
        <v>99</v>
      </c>
      <c r="AG91" s="125" t="s">
        <v>97</v>
      </c>
      <c r="AH91" s="124"/>
      <c r="AI91" s="124"/>
      <c r="AJ91" s="124"/>
      <c r="AK91" s="125" t="s">
        <v>99</v>
      </c>
      <c r="AL91" s="125" t="s">
        <v>99</v>
      </c>
      <c r="AM91" s="125" t="s">
        <v>99</v>
      </c>
      <c r="AN91" s="125" t="s">
        <v>97</v>
      </c>
      <c r="AO91" s="124"/>
      <c r="AP91" s="124"/>
      <c r="AQ91" s="126"/>
      <c r="AR91" s="135" t="s">
        <v>99</v>
      </c>
      <c r="AS91" s="128" t="s">
        <v>99</v>
      </c>
      <c r="AT91" s="128" t="s">
        <v>99</v>
      </c>
      <c r="AU91" s="128" t="s">
        <v>99</v>
      </c>
      <c r="AV91" s="129"/>
      <c r="AW91" s="129"/>
      <c r="AX91" s="129"/>
      <c r="AY91" s="129"/>
      <c r="AZ91" s="129"/>
      <c r="BA91" s="129"/>
      <c r="BB91" s="129"/>
      <c r="BC91" s="130"/>
      <c r="BD91" s="129"/>
      <c r="BE91" s="129"/>
      <c r="BF91" s="129"/>
      <c r="BG91" s="129"/>
      <c r="BH91" s="102"/>
      <c r="BI91" s="102"/>
      <c r="BJ91" s="102"/>
      <c r="BK91" s="102"/>
      <c r="BL91" s="102"/>
      <c r="BM91" s="102"/>
      <c r="BN91" s="102"/>
      <c r="BO91" s="102"/>
      <c r="BP91" s="102"/>
      <c r="BQ91" s="102"/>
      <c r="BR91" s="102"/>
      <c r="BS91" s="102"/>
      <c r="BT91" s="102"/>
      <c r="BU91" s="102"/>
      <c r="BV91" s="102"/>
      <c r="BW91" s="102"/>
      <c r="BX91" s="102"/>
      <c r="BY91" s="102"/>
      <c r="BZ91" s="102"/>
      <c r="CA91" s="102"/>
      <c r="CB91" s="102"/>
      <c r="CC91" s="102"/>
      <c r="CD91" s="102"/>
      <c r="CE91" s="102"/>
      <c r="CF91" s="102"/>
      <c r="CG91" s="102"/>
      <c r="CH91" s="102"/>
      <c r="CI91" s="102"/>
      <c r="CJ91" s="102"/>
      <c r="CK91" s="102"/>
      <c r="CL91" s="102"/>
      <c r="CM91" s="102"/>
      <c r="CN91" s="102"/>
      <c r="CO91" s="102"/>
      <c r="CP91" s="102"/>
      <c r="CQ91" s="102"/>
      <c r="CR91" s="102"/>
      <c r="CS91" s="102"/>
      <c r="CT91" s="102"/>
      <c r="CU91" s="102"/>
      <c r="CV91" s="102"/>
      <c r="CW91" s="102"/>
      <c r="CX91" s="102"/>
      <c r="CY91" s="102"/>
      <c r="CZ91" s="102"/>
      <c r="DA91" s="102"/>
      <c r="DB91" s="102"/>
      <c r="DC91" s="102"/>
      <c r="DD91" s="102"/>
      <c r="DE91" s="102"/>
      <c r="DF91" s="102"/>
      <c r="DG91" s="102"/>
      <c r="DH91" s="102"/>
      <c r="DI91" s="102"/>
      <c r="DJ91" s="102"/>
      <c r="DK91" s="102"/>
      <c r="DL91" s="102"/>
      <c r="DM91" s="102"/>
      <c r="DN91" s="102"/>
      <c r="DO91" s="102"/>
      <c r="DP91" s="102"/>
      <c r="DQ91" s="102"/>
      <c r="DR91" s="102"/>
      <c r="DS91" s="102"/>
      <c r="DT91" s="102"/>
      <c r="DU91" s="102"/>
      <c r="DV91" s="102"/>
      <c r="DW91" s="102"/>
      <c r="DX91" s="102"/>
      <c r="DY91" s="102"/>
      <c r="DZ91" s="102"/>
      <c r="EA91" s="102"/>
      <c r="EB91" s="102"/>
      <c r="EC91" s="102"/>
      <c r="ED91" s="102"/>
      <c r="EE91" s="102"/>
      <c r="EF91" s="102"/>
      <c r="EG91" s="102"/>
      <c r="EH91" s="102"/>
      <c r="EI91" s="102"/>
      <c r="EJ91" s="102"/>
      <c r="EK91" s="102"/>
      <c r="EL91" s="102"/>
      <c r="EM91" s="102"/>
      <c r="EN91" s="102"/>
    </row>
    <row r="92">
      <c r="A92" s="139" t="s">
        <v>195</v>
      </c>
      <c r="B92" s="105"/>
      <c r="C92" s="105"/>
      <c r="D92" s="103" t="s">
        <v>97</v>
      </c>
      <c r="E92" s="105"/>
      <c r="F92" s="105"/>
      <c r="G92" s="106"/>
      <c r="H92" s="108" t="s">
        <v>97</v>
      </c>
      <c r="I92" s="105"/>
      <c r="J92" s="105"/>
      <c r="K92" s="105"/>
      <c r="L92" s="103" t="s">
        <v>97</v>
      </c>
      <c r="M92" s="105"/>
      <c r="N92" s="105"/>
      <c r="O92" s="105"/>
      <c r="P92" s="103" t="s">
        <v>99</v>
      </c>
      <c r="Q92" s="105"/>
      <c r="R92" s="105"/>
      <c r="S92" s="106"/>
      <c r="T92" s="108" t="s">
        <v>99</v>
      </c>
      <c r="U92" s="105"/>
      <c r="V92" s="105"/>
      <c r="W92" s="105"/>
      <c r="X92" s="103" t="s">
        <v>99</v>
      </c>
      <c r="Y92" s="105"/>
      <c r="Z92" s="105"/>
      <c r="AA92" s="105"/>
      <c r="AB92" s="103" t="s">
        <v>99</v>
      </c>
      <c r="AC92" s="105"/>
      <c r="AD92" s="105"/>
      <c r="AE92" s="106"/>
      <c r="AF92" s="108" t="s">
        <v>99</v>
      </c>
      <c r="AG92" s="103" t="s">
        <v>97</v>
      </c>
      <c r="AH92" s="105"/>
      <c r="AI92" s="105"/>
      <c r="AJ92" s="105"/>
      <c r="AK92" s="103" t="s">
        <v>99</v>
      </c>
      <c r="AL92" s="103" t="s">
        <v>99</v>
      </c>
      <c r="AM92" s="103" t="s">
        <v>99</v>
      </c>
      <c r="AN92" s="103" t="s">
        <v>97</v>
      </c>
      <c r="AO92" s="105"/>
      <c r="AP92" s="105"/>
      <c r="AQ92" s="106"/>
      <c r="AR92" s="108" t="s">
        <v>99</v>
      </c>
      <c r="AS92" s="103" t="s">
        <v>99</v>
      </c>
      <c r="AT92" s="103" t="s">
        <v>97</v>
      </c>
      <c r="AU92" s="105"/>
      <c r="AV92" s="105"/>
      <c r="AW92" s="105"/>
      <c r="AX92" s="105"/>
      <c r="AY92" s="105"/>
      <c r="AZ92" s="105"/>
      <c r="BA92" s="105"/>
      <c r="BB92" s="105"/>
      <c r="BC92" s="106"/>
      <c r="BD92" s="105"/>
      <c r="BE92" s="105"/>
      <c r="BF92" s="105"/>
      <c r="BG92" s="105"/>
      <c r="BH92" s="102"/>
      <c r="BI92" s="102"/>
      <c r="BJ92" s="102"/>
      <c r="BK92" s="102"/>
      <c r="BL92" s="102"/>
      <c r="BM92" s="102"/>
      <c r="BN92" s="102"/>
      <c r="BO92" s="102"/>
      <c r="BP92" s="102"/>
      <c r="BQ92" s="102"/>
      <c r="BR92" s="102"/>
      <c r="BS92" s="102"/>
      <c r="BT92" s="102"/>
      <c r="BU92" s="102"/>
      <c r="BV92" s="102"/>
      <c r="BW92" s="102"/>
      <c r="BX92" s="102"/>
      <c r="BY92" s="102"/>
      <c r="BZ92" s="102"/>
      <c r="CA92" s="102"/>
      <c r="CB92" s="102"/>
      <c r="CC92" s="102"/>
      <c r="CD92" s="102"/>
      <c r="CE92" s="102"/>
      <c r="CF92" s="102"/>
      <c r="CG92" s="102"/>
      <c r="CH92" s="102"/>
      <c r="CI92" s="102"/>
      <c r="CJ92" s="102"/>
      <c r="CK92" s="102"/>
      <c r="CL92" s="102"/>
      <c r="CM92" s="102"/>
      <c r="CN92" s="102"/>
      <c r="CO92" s="102"/>
      <c r="CP92" s="102"/>
      <c r="CQ92" s="102"/>
      <c r="CR92" s="102"/>
      <c r="CS92" s="102"/>
      <c r="CT92" s="102"/>
      <c r="CU92" s="102"/>
      <c r="CV92" s="102"/>
      <c r="CW92" s="102"/>
      <c r="CX92" s="102"/>
      <c r="CY92" s="102"/>
      <c r="CZ92" s="102"/>
      <c r="DA92" s="102"/>
      <c r="DB92" s="102"/>
      <c r="DC92" s="102"/>
      <c r="DD92" s="102"/>
      <c r="DE92" s="102"/>
      <c r="DF92" s="102"/>
      <c r="DG92" s="102"/>
      <c r="DH92" s="102"/>
      <c r="DI92" s="102"/>
      <c r="DJ92" s="102"/>
      <c r="DK92" s="102"/>
      <c r="DL92" s="102"/>
      <c r="DM92" s="102"/>
      <c r="DN92" s="102"/>
      <c r="DO92" s="102"/>
      <c r="DP92" s="102"/>
      <c r="DQ92" s="102"/>
      <c r="DR92" s="102"/>
      <c r="DS92" s="102"/>
      <c r="DT92" s="102"/>
      <c r="DU92" s="102"/>
      <c r="DV92" s="102"/>
      <c r="DW92" s="102"/>
      <c r="DX92" s="102"/>
      <c r="DY92" s="102"/>
      <c r="DZ92" s="102"/>
      <c r="EA92" s="102"/>
      <c r="EB92" s="102"/>
      <c r="EC92" s="102"/>
      <c r="ED92" s="102"/>
      <c r="EE92" s="102"/>
      <c r="EF92" s="102"/>
      <c r="EG92" s="102"/>
      <c r="EH92" s="102"/>
      <c r="EI92" s="102"/>
      <c r="EJ92" s="102"/>
      <c r="EK92" s="102"/>
      <c r="EL92" s="102"/>
      <c r="EM92" s="102"/>
      <c r="EN92" s="102"/>
    </row>
    <row r="93">
      <c r="A93" s="138" t="s">
        <v>196</v>
      </c>
      <c r="B93" s="112"/>
      <c r="C93" s="112"/>
      <c r="D93" s="110" t="s">
        <v>97</v>
      </c>
      <c r="E93" s="112"/>
      <c r="F93" s="112"/>
      <c r="G93" s="113"/>
      <c r="H93" s="132" t="s">
        <v>97</v>
      </c>
      <c r="I93" s="116"/>
      <c r="J93" s="116"/>
      <c r="K93" s="116"/>
      <c r="L93" s="115" t="s">
        <v>97</v>
      </c>
      <c r="M93" s="116"/>
      <c r="N93" s="116"/>
      <c r="O93" s="116"/>
      <c r="P93" s="115" t="s">
        <v>99</v>
      </c>
      <c r="Q93" s="116"/>
      <c r="R93" s="116"/>
      <c r="S93" s="117"/>
      <c r="T93" s="119" t="s">
        <v>99</v>
      </c>
      <c r="U93" s="120"/>
      <c r="V93" s="120"/>
      <c r="W93" s="120"/>
      <c r="X93" s="121" t="s">
        <v>99</v>
      </c>
      <c r="Y93" s="120"/>
      <c r="Z93" s="120"/>
      <c r="AA93" s="120"/>
      <c r="AB93" s="121" t="s">
        <v>99</v>
      </c>
      <c r="AC93" s="120"/>
      <c r="AD93" s="120"/>
      <c r="AE93" s="122"/>
      <c r="AF93" s="134" t="s">
        <v>99</v>
      </c>
      <c r="AG93" s="125" t="s">
        <v>97</v>
      </c>
      <c r="AH93" s="124"/>
      <c r="AI93" s="124"/>
      <c r="AJ93" s="124"/>
      <c r="AK93" s="125" t="s">
        <v>99</v>
      </c>
      <c r="AL93" s="125" t="s">
        <v>99</v>
      </c>
      <c r="AM93" s="125" t="s">
        <v>99</v>
      </c>
      <c r="AN93" s="125" t="s">
        <v>97</v>
      </c>
      <c r="AO93" s="124"/>
      <c r="AP93" s="124"/>
      <c r="AQ93" s="126"/>
      <c r="AR93" s="135" t="s">
        <v>99</v>
      </c>
      <c r="AS93" s="128" t="s">
        <v>99</v>
      </c>
      <c r="AT93" s="128" t="s">
        <v>99</v>
      </c>
      <c r="AU93" s="128" t="s">
        <v>99</v>
      </c>
      <c r="AV93" s="129"/>
      <c r="AW93" s="129"/>
      <c r="AX93" s="129"/>
      <c r="AY93" s="129"/>
      <c r="AZ93" s="129"/>
      <c r="BA93" s="129"/>
      <c r="BB93" s="129"/>
      <c r="BC93" s="130"/>
      <c r="BD93" s="129"/>
      <c r="BE93" s="129"/>
      <c r="BF93" s="129"/>
      <c r="BG93" s="129"/>
      <c r="BH93" s="102"/>
      <c r="BI93" s="102"/>
      <c r="BJ93" s="102"/>
      <c r="BK93" s="102"/>
      <c r="BL93" s="102"/>
      <c r="BM93" s="102"/>
      <c r="BN93" s="102"/>
      <c r="BO93" s="102"/>
      <c r="BP93" s="102"/>
      <c r="BQ93" s="102"/>
      <c r="BR93" s="102"/>
      <c r="BS93" s="102"/>
      <c r="BT93" s="102"/>
      <c r="BU93" s="102"/>
      <c r="BV93" s="102"/>
      <c r="BW93" s="102"/>
      <c r="BX93" s="102"/>
      <c r="BY93" s="102"/>
      <c r="BZ93" s="102"/>
      <c r="CA93" s="102"/>
      <c r="CB93" s="102"/>
      <c r="CC93" s="102"/>
      <c r="CD93" s="102"/>
      <c r="CE93" s="102"/>
      <c r="CF93" s="102"/>
      <c r="CG93" s="102"/>
      <c r="CH93" s="102"/>
      <c r="CI93" s="102"/>
      <c r="CJ93" s="102"/>
      <c r="CK93" s="102"/>
      <c r="CL93" s="102"/>
      <c r="CM93" s="102"/>
      <c r="CN93" s="102"/>
      <c r="CO93" s="102"/>
      <c r="CP93" s="102"/>
      <c r="CQ93" s="102"/>
      <c r="CR93" s="102"/>
      <c r="CS93" s="102"/>
      <c r="CT93" s="102"/>
      <c r="CU93" s="102"/>
      <c r="CV93" s="102"/>
      <c r="CW93" s="102"/>
      <c r="CX93" s="102"/>
      <c r="CY93" s="102"/>
      <c r="CZ93" s="102"/>
      <c r="DA93" s="102"/>
      <c r="DB93" s="102"/>
      <c r="DC93" s="102"/>
      <c r="DD93" s="102"/>
      <c r="DE93" s="102"/>
      <c r="DF93" s="102"/>
      <c r="DG93" s="102"/>
      <c r="DH93" s="102"/>
      <c r="DI93" s="102"/>
      <c r="DJ93" s="102"/>
      <c r="DK93" s="102"/>
      <c r="DL93" s="102"/>
      <c r="DM93" s="102"/>
      <c r="DN93" s="102"/>
      <c r="DO93" s="102"/>
      <c r="DP93" s="102"/>
      <c r="DQ93" s="102"/>
      <c r="DR93" s="102"/>
      <c r="DS93" s="102"/>
      <c r="DT93" s="102"/>
      <c r="DU93" s="102"/>
      <c r="DV93" s="102"/>
      <c r="DW93" s="102"/>
      <c r="DX93" s="102"/>
      <c r="DY93" s="102"/>
      <c r="DZ93" s="102"/>
      <c r="EA93" s="102"/>
      <c r="EB93" s="102"/>
      <c r="EC93" s="102"/>
      <c r="ED93" s="102"/>
      <c r="EE93" s="102"/>
      <c r="EF93" s="102"/>
      <c r="EG93" s="102"/>
      <c r="EH93" s="102"/>
      <c r="EI93" s="102"/>
      <c r="EJ93" s="102"/>
      <c r="EK93" s="102"/>
      <c r="EL93" s="102"/>
      <c r="EM93" s="102"/>
      <c r="EN93" s="102"/>
    </row>
    <row r="94">
      <c r="A94" s="139" t="s">
        <v>197</v>
      </c>
      <c r="B94" s="105"/>
      <c r="C94" s="105"/>
      <c r="D94" s="103" t="s">
        <v>97</v>
      </c>
      <c r="E94" s="105"/>
      <c r="F94" s="105"/>
      <c r="G94" s="106"/>
      <c r="H94" s="108" t="s">
        <v>97</v>
      </c>
      <c r="I94" s="105"/>
      <c r="J94" s="105"/>
      <c r="K94" s="105"/>
      <c r="L94" s="103" t="s">
        <v>97</v>
      </c>
      <c r="M94" s="105"/>
      <c r="N94" s="105"/>
      <c r="O94" s="105"/>
      <c r="P94" s="103" t="s">
        <v>99</v>
      </c>
      <c r="Q94" s="105"/>
      <c r="R94" s="105"/>
      <c r="S94" s="106"/>
      <c r="T94" s="108" t="s">
        <v>99</v>
      </c>
      <c r="U94" s="105"/>
      <c r="V94" s="105"/>
      <c r="W94" s="105"/>
      <c r="X94" s="103" t="s">
        <v>99</v>
      </c>
      <c r="Y94" s="105"/>
      <c r="Z94" s="105"/>
      <c r="AA94" s="105"/>
      <c r="AB94" s="103" t="s">
        <v>99</v>
      </c>
      <c r="AC94" s="105"/>
      <c r="AD94" s="105"/>
      <c r="AE94" s="106"/>
      <c r="AF94" s="108" t="s">
        <v>99</v>
      </c>
      <c r="AG94" s="103" t="s">
        <v>97</v>
      </c>
      <c r="AH94" s="105"/>
      <c r="AI94" s="105"/>
      <c r="AJ94" s="105"/>
      <c r="AK94" s="103" t="s">
        <v>99</v>
      </c>
      <c r="AL94" s="103" t="s">
        <v>99</v>
      </c>
      <c r="AM94" s="103" t="s">
        <v>99</v>
      </c>
      <c r="AN94" s="103" t="s">
        <v>97</v>
      </c>
      <c r="AO94" s="105"/>
      <c r="AP94" s="105"/>
      <c r="AQ94" s="106"/>
      <c r="AR94" s="108" t="s">
        <v>99</v>
      </c>
      <c r="AS94" s="103" t="s">
        <v>99</v>
      </c>
      <c r="AT94" s="103" t="s">
        <v>99</v>
      </c>
      <c r="AU94" s="103" t="s">
        <v>99</v>
      </c>
      <c r="AV94" s="105"/>
      <c r="AW94" s="105"/>
      <c r="AX94" s="105"/>
      <c r="AY94" s="105"/>
      <c r="AZ94" s="105"/>
      <c r="BA94" s="105"/>
      <c r="BB94" s="105"/>
      <c r="BC94" s="106"/>
      <c r="BD94" s="105"/>
      <c r="BE94" s="105"/>
      <c r="BF94" s="105"/>
      <c r="BG94" s="105"/>
      <c r="BH94" s="102"/>
      <c r="BI94" s="102"/>
      <c r="BJ94" s="102"/>
      <c r="BK94" s="102"/>
      <c r="BL94" s="102"/>
      <c r="BM94" s="102"/>
      <c r="BN94" s="102"/>
      <c r="BO94" s="102"/>
      <c r="BP94" s="102"/>
      <c r="BQ94" s="102"/>
      <c r="BR94" s="102"/>
      <c r="BS94" s="102"/>
      <c r="BT94" s="102"/>
      <c r="BU94" s="102"/>
      <c r="BV94" s="102"/>
      <c r="BW94" s="102"/>
      <c r="BX94" s="102"/>
      <c r="BY94" s="102"/>
      <c r="BZ94" s="102"/>
      <c r="CA94" s="102"/>
      <c r="CB94" s="102"/>
      <c r="CC94" s="102"/>
      <c r="CD94" s="102"/>
      <c r="CE94" s="102"/>
      <c r="CF94" s="102"/>
      <c r="CG94" s="102"/>
      <c r="CH94" s="102"/>
      <c r="CI94" s="102"/>
      <c r="CJ94" s="102"/>
      <c r="CK94" s="102"/>
      <c r="CL94" s="102"/>
      <c r="CM94" s="102"/>
      <c r="CN94" s="102"/>
      <c r="CO94" s="102"/>
      <c r="CP94" s="102"/>
      <c r="CQ94" s="102"/>
      <c r="CR94" s="102"/>
      <c r="CS94" s="102"/>
      <c r="CT94" s="102"/>
      <c r="CU94" s="102"/>
      <c r="CV94" s="102"/>
      <c r="CW94" s="102"/>
      <c r="CX94" s="102"/>
      <c r="CY94" s="102"/>
      <c r="CZ94" s="102"/>
      <c r="DA94" s="102"/>
      <c r="DB94" s="102"/>
      <c r="DC94" s="102"/>
      <c r="DD94" s="102"/>
      <c r="DE94" s="102"/>
      <c r="DF94" s="102"/>
      <c r="DG94" s="102"/>
      <c r="DH94" s="102"/>
      <c r="DI94" s="102"/>
      <c r="DJ94" s="102"/>
      <c r="DK94" s="102"/>
      <c r="DL94" s="102"/>
      <c r="DM94" s="102"/>
      <c r="DN94" s="102"/>
      <c r="DO94" s="102"/>
      <c r="DP94" s="102"/>
      <c r="DQ94" s="102"/>
      <c r="DR94" s="102"/>
      <c r="DS94" s="102"/>
      <c r="DT94" s="102"/>
      <c r="DU94" s="102"/>
      <c r="DV94" s="102"/>
      <c r="DW94" s="102"/>
      <c r="DX94" s="102"/>
      <c r="DY94" s="102"/>
      <c r="DZ94" s="102"/>
      <c r="EA94" s="102"/>
      <c r="EB94" s="102"/>
      <c r="EC94" s="102"/>
      <c r="ED94" s="102"/>
      <c r="EE94" s="102"/>
      <c r="EF94" s="102"/>
      <c r="EG94" s="102"/>
      <c r="EH94" s="102"/>
      <c r="EI94" s="102"/>
      <c r="EJ94" s="102"/>
      <c r="EK94" s="102"/>
      <c r="EL94" s="102"/>
      <c r="EM94" s="102"/>
      <c r="EN94" s="102"/>
    </row>
    <row r="95">
      <c r="A95" s="138" t="s">
        <v>198</v>
      </c>
      <c r="B95" s="112"/>
      <c r="C95" s="112"/>
      <c r="D95" s="110" t="s">
        <v>97</v>
      </c>
      <c r="E95" s="112"/>
      <c r="F95" s="112"/>
      <c r="G95" s="113"/>
      <c r="H95" s="132" t="s">
        <v>97</v>
      </c>
      <c r="I95" s="116"/>
      <c r="J95" s="116"/>
      <c r="K95" s="116"/>
      <c r="L95" s="115" t="s">
        <v>97</v>
      </c>
      <c r="M95" s="116"/>
      <c r="N95" s="116"/>
      <c r="O95" s="116"/>
      <c r="P95" s="115" t="s">
        <v>99</v>
      </c>
      <c r="Q95" s="116"/>
      <c r="R95" s="116"/>
      <c r="S95" s="117"/>
      <c r="T95" s="119" t="s">
        <v>99</v>
      </c>
      <c r="U95" s="120"/>
      <c r="V95" s="120"/>
      <c r="W95" s="120"/>
      <c r="X95" s="121" t="s">
        <v>99</v>
      </c>
      <c r="Y95" s="120"/>
      <c r="Z95" s="120"/>
      <c r="AA95" s="120"/>
      <c r="AB95" s="121" t="s">
        <v>99</v>
      </c>
      <c r="AC95" s="120"/>
      <c r="AD95" s="120"/>
      <c r="AE95" s="122"/>
      <c r="AF95" s="134" t="s">
        <v>99</v>
      </c>
      <c r="AG95" s="125" t="s">
        <v>97</v>
      </c>
      <c r="AH95" s="124"/>
      <c r="AI95" s="124"/>
      <c r="AJ95" s="124"/>
      <c r="AK95" s="125" t="s">
        <v>99</v>
      </c>
      <c r="AL95" s="125" t="s">
        <v>99</v>
      </c>
      <c r="AM95" s="125" t="s">
        <v>99</v>
      </c>
      <c r="AN95" s="125" t="s">
        <v>97</v>
      </c>
      <c r="AO95" s="124"/>
      <c r="AP95" s="124"/>
      <c r="AQ95" s="126"/>
      <c r="AR95" s="135" t="s">
        <v>99</v>
      </c>
      <c r="AS95" s="128" t="s">
        <v>99</v>
      </c>
      <c r="AT95" s="128" t="s">
        <v>99</v>
      </c>
      <c r="AU95" s="128" t="s">
        <v>99</v>
      </c>
      <c r="AV95" s="129"/>
      <c r="AW95" s="129"/>
      <c r="AX95" s="129"/>
      <c r="AY95" s="129"/>
      <c r="AZ95" s="129"/>
      <c r="BA95" s="129"/>
      <c r="BB95" s="129"/>
      <c r="BC95" s="130"/>
      <c r="BD95" s="129"/>
      <c r="BE95" s="129"/>
      <c r="BF95" s="129"/>
      <c r="BG95" s="129"/>
      <c r="BH95" s="102"/>
      <c r="BI95" s="102"/>
      <c r="BJ95" s="102"/>
      <c r="BK95" s="102"/>
      <c r="BL95" s="102"/>
      <c r="BM95" s="102"/>
      <c r="BN95" s="102"/>
      <c r="BO95" s="102"/>
      <c r="BP95" s="102"/>
      <c r="BQ95" s="102"/>
      <c r="BR95" s="102"/>
      <c r="BS95" s="102"/>
      <c r="BT95" s="102"/>
      <c r="BU95" s="102"/>
      <c r="BV95" s="102"/>
      <c r="BW95" s="102"/>
      <c r="BX95" s="102"/>
      <c r="BY95" s="102"/>
      <c r="BZ95" s="102"/>
      <c r="CA95" s="102"/>
      <c r="CB95" s="102"/>
      <c r="CC95" s="102"/>
      <c r="CD95" s="102"/>
      <c r="CE95" s="102"/>
      <c r="CF95" s="102"/>
      <c r="CG95" s="102"/>
      <c r="CH95" s="102"/>
      <c r="CI95" s="102"/>
      <c r="CJ95" s="102"/>
      <c r="CK95" s="102"/>
      <c r="CL95" s="102"/>
      <c r="CM95" s="102"/>
      <c r="CN95" s="102"/>
      <c r="CO95" s="102"/>
      <c r="CP95" s="102"/>
      <c r="CQ95" s="102"/>
      <c r="CR95" s="102"/>
      <c r="CS95" s="102"/>
      <c r="CT95" s="102"/>
      <c r="CU95" s="102"/>
      <c r="CV95" s="102"/>
      <c r="CW95" s="102"/>
      <c r="CX95" s="102"/>
      <c r="CY95" s="102"/>
      <c r="CZ95" s="102"/>
      <c r="DA95" s="102"/>
      <c r="DB95" s="102"/>
      <c r="DC95" s="102"/>
      <c r="DD95" s="102"/>
      <c r="DE95" s="102"/>
      <c r="DF95" s="102"/>
      <c r="DG95" s="102"/>
      <c r="DH95" s="102"/>
      <c r="DI95" s="102"/>
      <c r="DJ95" s="102"/>
      <c r="DK95" s="102"/>
      <c r="DL95" s="102"/>
      <c r="DM95" s="102"/>
      <c r="DN95" s="102"/>
      <c r="DO95" s="102"/>
      <c r="DP95" s="102"/>
      <c r="DQ95" s="102"/>
      <c r="DR95" s="102"/>
      <c r="DS95" s="102"/>
      <c r="DT95" s="102"/>
      <c r="DU95" s="102"/>
      <c r="DV95" s="102"/>
      <c r="DW95" s="102"/>
      <c r="DX95" s="102"/>
      <c r="DY95" s="102"/>
      <c r="DZ95" s="102"/>
      <c r="EA95" s="102"/>
      <c r="EB95" s="102"/>
      <c r="EC95" s="102"/>
      <c r="ED95" s="102"/>
      <c r="EE95" s="102"/>
      <c r="EF95" s="102"/>
      <c r="EG95" s="102"/>
      <c r="EH95" s="102"/>
      <c r="EI95" s="102"/>
      <c r="EJ95" s="102"/>
      <c r="EK95" s="102"/>
      <c r="EL95" s="102"/>
      <c r="EM95" s="102"/>
      <c r="EN95" s="102"/>
    </row>
    <row r="96">
      <c r="A96" s="139" t="s">
        <v>199</v>
      </c>
      <c r="B96" s="105"/>
      <c r="C96" s="105"/>
      <c r="D96" s="103" t="s">
        <v>96</v>
      </c>
      <c r="E96" s="105"/>
      <c r="F96" s="105"/>
      <c r="G96" s="106"/>
      <c r="H96" s="108" t="s">
        <v>97</v>
      </c>
      <c r="I96" s="105"/>
      <c r="J96" s="105"/>
      <c r="K96" s="105"/>
      <c r="L96" s="103" t="s">
        <v>97</v>
      </c>
      <c r="M96" s="105"/>
      <c r="N96" s="105"/>
      <c r="O96" s="105"/>
      <c r="P96" s="103" t="s">
        <v>99</v>
      </c>
      <c r="Q96" s="105"/>
      <c r="R96" s="105"/>
      <c r="S96" s="106"/>
      <c r="T96" s="108" t="s">
        <v>99</v>
      </c>
      <c r="U96" s="105"/>
      <c r="V96" s="105"/>
      <c r="W96" s="105"/>
      <c r="X96" s="103" t="s">
        <v>99</v>
      </c>
      <c r="Y96" s="105"/>
      <c r="Z96" s="105"/>
      <c r="AA96" s="105"/>
      <c r="AB96" s="103" t="s">
        <v>99</v>
      </c>
      <c r="AC96" s="105"/>
      <c r="AD96" s="105"/>
      <c r="AE96" s="106"/>
      <c r="AF96" s="108" t="s">
        <v>99</v>
      </c>
      <c r="AG96" s="103" t="s">
        <v>97</v>
      </c>
      <c r="AH96" s="105"/>
      <c r="AI96" s="105"/>
      <c r="AJ96" s="105"/>
      <c r="AK96" s="103" t="s">
        <v>99</v>
      </c>
      <c r="AL96" s="103" t="s">
        <v>99</v>
      </c>
      <c r="AM96" s="103" t="s">
        <v>99</v>
      </c>
      <c r="AN96" s="103" t="s">
        <v>97</v>
      </c>
      <c r="AO96" s="105"/>
      <c r="AP96" s="105"/>
      <c r="AQ96" s="106"/>
      <c r="AR96" s="108" t="s">
        <v>99</v>
      </c>
      <c r="AS96" s="103" t="s">
        <v>99</v>
      </c>
      <c r="AT96" s="103" t="s">
        <v>96</v>
      </c>
      <c r="AU96" s="105"/>
      <c r="AV96" s="105"/>
      <c r="AW96" s="105"/>
      <c r="AX96" s="105"/>
      <c r="AY96" s="105"/>
      <c r="AZ96" s="105"/>
      <c r="BA96" s="105"/>
      <c r="BB96" s="105"/>
      <c r="BC96" s="106"/>
      <c r="BD96" s="105"/>
      <c r="BE96" s="105"/>
      <c r="BF96" s="105"/>
      <c r="BG96" s="105"/>
      <c r="BH96" s="102"/>
      <c r="BI96" s="102"/>
      <c r="BJ96" s="102"/>
      <c r="BK96" s="102"/>
      <c r="BL96" s="102"/>
      <c r="BM96" s="102"/>
      <c r="BN96" s="102"/>
      <c r="BO96" s="102"/>
      <c r="BP96" s="102"/>
      <c r="BQ96" s="102"/>
      <c r="BR96" s="102"/>
      <c r="BS96" s="102"/>
      <c r="BT96" s="102"/>
      <c r="BU96" s="102"/>
      <c r="BV96" s="102"/>
      <c r="BW96" s="102"/>
      <c r="BX96" s="102"/>
      <c r="BY96" s="102"/>
      <c r="BZ96" s="102"/>
      <c r="CA96" s="102"/>
      <c r="CB96" s="102"/>
      <c r="CC96" s="102"/>
      <c r="CD96" s="102"/>
      <c r="CE96" s="102"/>
      <c r="CF96" s="102"/>
      <c r="CG96" s="102"/>
      <c r="CH96" s="102"/>
      <c r="CI96" s="102"/>
      <c r="CJ96" s="102"/>
      <c r="CK96" s="102"/>
      <c r="CL96" s="102"/>
      <c r="CM96" s="102"/>
      <c r="CN96" s="102"/>
      <c r="CO96" s="102"/>
      <c r="CP96" s="102"/>
      <c r="CQ96" s="102"/>
      <c r="CR96" s="102"/>
      <c r="CS96" s="102"/>
      <c r="CT96" s="102"/>
      <c r="CU96" s="102"/>
      <c r="CV96" s="102"/>
      <c r="CW96" s="102"/>
      <c r="CX96" s="102"/>
      <c r="CY96" s="102"/>
      <c r="CZ96" s="102"/>
      <c r="DA96" s="102"/>
      <c r="DB96" s="102"/>
      <c r="DC96" s="102"/>
      <c r="DD96" s="102"/>
      <c r="DE96" s="102"/>
      <c r="DF96" s="102"/>
      <c r="DG96" s="102"/>
      <c r="DH96" s="102"/>
      <c r="DI96" s="102"/>
      <c r="DJ96" s="102"/>
      <c r="DK96" s="102"/>
      <c r="DL96" s="102"/>
      <c r="DM96" s="102"/>
      <c r="DN96" s="102"/>
      <c r="DO96" s="102"/>
      <c r="DP96" s="102"/>
      <c r="DQ96" s="102"/>
      <c r="DR96" s="102"/>
      <c r="DS96" s="102"/>
      <c r="DT96" s="102"/>
      <c r="DU96" s="102"/>
      <c r="DV96" s="102"/>
      <c r="DW96" s="102"/>
      <c r="DX96" s="102"/>
      <c r="DY96" s="102"/>
      <c r="DZ96" s="102"/>
      <c r="EA96" s="102"/>
      <c r="EB96" s="102"/>
      <c r="EC96" s="102"/>
      <c r="ED96" s="102"/>
      <c r="EE96" s="102"/>
      <c r="EF96" s="102"/>
      <c r="EG96" s="102"/>
      <c r="EH96" s="102"/>
      <c r="EI96" s="102"/>
      <c r="EJ96" s="102"/>
      <c r="EK96" s="102"/>
      <c r="EL96" s="102"/>
      <c r="EM96" s="102"/>
      <c r="EN96" s="102"/>
    </row>
    <row r="97">
      <c r="A97" s="138" t="s">
        <v>200</v>
      </c>
      <c r="B97" s="112"/>
      <c r="C97" s="112"/>
      <c r="D97" s="110" t="s">
        <v>97</v>
      </c>
      <c r="E97" s="112"/>
      <c r="F97" s="112"/>
      <c r="G97" s="113"/>
      <c r="H97" s="132" t="s">
        <v>96</v>
      </c>
      <c r="I97" s="116"/>
      <c r="J97" s="116"/>
      <c r="K97" s="116"/>
      <c r="L97" s="115" t="s">
        <v>97</v>
      </c>
      <c r="M97" s="116"/>
      <c r="N97" s="116"/>
      <c r="O97" s="116"/>
      <c r="P97" s="115" t="s">
        <v>99</v>
      </c>
      <c r="Q97" s="116"/>
      <c r="R97" s="116"/>
      <c r="S97" s="117"/>
      <c r="T97" s="119" t="s">
        <v>99</v>
      </c>
      <c r="U97" s="120"/>
      <c r="V97" s="120"/>
      <c r="W97" s="120"/>
      <c r="X97" s="121" t="s">
        <v>99</v>
      </c>
      <c r="Y97" s="120"/>
      <c r="Z97" s="120"/>
      <c r="AA97" s="120"/>
      <c r="AB97" s="121" t="s">
        <v>99</v>
      </c>
      <c r="AC97" s="120"/>
      <c r="AD97" s="120"/>
      <c r="AE97" s="122"/>
      <c r="AF97" s="134" t="s">
        <v>99</v>
      </c>
      <c r="AG97" s="125" t="s">
        <v>97</v>
      </c>
      <c r="AH97" s="124"/>
      <c r="AI97" s="124"/>
      <c r="AJ97" s="124"/>
      <c r="AK97" s="125" t="s">
        <v>99</v>
      </c>
      <c r="AL97" s="125" t="s">
        <v>99</v>
      </c>
      <c r="AM97" s="125" t="s">
        <v>99</v>
      </c>
      <c r="AN97" s="125" t="s">
        <v>97</v>
      </c>
      <c r="AO97" s="124"/>
      <c r="AP97" s="124"/>
      <c r="AQ97" s="126"/>
      <c r="AR97" s="135" t="s">
        <v>99</v>
      </c>
      <c r="AS97" s="128" t="s">
        <v>99</v>
      </c>
      <c r="AT97" s="128" t="s">
        <v>99</v>
      </c>
      <c r="AU97" s="128" t="s">
        <v>99</v>
      </c>
      <c r="AV97" s="129"/>
      <c r="AW97" s="129"/>
      <c r="AX97" s="129"/>
      <c r="AY97" s="129"/>
      <c r="AZ97" s="129"/>
      <c r="BA97" s="129"/>
      <c r="BB97" s="129"/>
      <c r="BC97" s="130"/>
      <c r="BD97" s="129"/>
      <c r="BE97" s="129"/>
      <c r="BF97" s="129"/>
      <c r="BG97" s="129"/>
      <c r="BH97" s="102"/>
      <c r="BI97" s="102"/>
      <c r="BJ97" s="102"/>
      <c r="BK97" s="102"/>
      <c r="BL97" s="102"/>
      <c r="BM97" s="102"/>
      <c r="BN97" s="102"/>
      <c r="BO97" s="102"/>
      <c r="BP97" s="102"/>
      <c r="BQ97" s="102"/>
      <c r="BR97" s="102"/>
      <c r="BS97" s="102"/>
      <c r="BT97" s="102"/>
      <c r="BU97" s="102"/>
      <c r="BV97" s="102"/>
      <c r="BW97" s="102"/>
      <c r="BX97" s="102"/>
      <c r="BY97" s="102"/>
      <c r="BZ97" s="102"/>
      <c r="CA97" s="102"/>
      <c r="CB97" s="102"/>
      <c r="CC97" s="102"/>
      <c r="CD97" s="102"/>
      <c r="CE97" s="102"/>
      <c r="CF97" s="102"/>
      <c r="CG97" s="102"/>
      <c r="CH97" s="102"/>
      <c r="CI97" s="102"/>
      <c r="CJ97" s="102"/>
      <c r="CK97" s="102"/>
      <c r="CL97" s="102"/>
      <c r="CM97" s="102"/>
      <c r="CN97" s="102"/>
      <c r="CO97" s="102"/>
      <c r="CP97" s="102"/>
      <c r="CQ97" s="102"/>
      <c r="CR97" s="102"/>
      <c r="CS97" s="102"/>
      <c r="CT97" s="102"/>
      <c r="CU97" s="102"/>
      <c r="CV97" s="102"/>
      <c r="CW97" s="102"/>
      <c r="CX97" s="102"/>
      <c r="CY97" s="102"/>
      <c r="CZ97" s="102"/>
      <c r="DA97" s="102"/>
      <c r="DB97" s="102"/>
      <c r="DC97" s="102"/>
      <c r="DD97" s="102"/>
      <c r="DE97" s="102"/>
      <c r="DF97" s="102"/>
      <c r="DG97" s="102"/>
      <c r="DH97" s="102"/>
      <c r="DI97" s="102"/>
      <c r="DJ97" s="102"/>
      <c r="DK97" s="102"/>
      <c r="DL97" s="102"/>
      <c r="DM97" s="102"/>
      <c r="DN97" s="102"/>
      <c r="DO97" s="102"/>
      <c r="DP97" s="102"/>
      <c r="DQ97" s="102"/>
      <c r="DR97" s="102"/>
      <c r="DS97" s="102"/>
      <c r="DT97" s="102"/>
      <c r="DU97" s="102"/>
      <c r="DV97" s="102"/>
      <c r="DW97" s="102"/>
      <c r="DX97" s="102"/>
      <c r="DY97" s="102"/>
      <c r="DZ97" s="102"/>
      <c r="EA97" s="102"/>
      <c r="EB97" s="102"/>
      <c r="EC97" s="102"/>
      <c r="ED97" s="102"/>
      <c r="EE97" s="102"/>
      <c r="EF97" s="102"/>
      <c r="EG97" s="102"/>
      <c r="EH97" s="102"/>
      <c r="EI97" s="102"/>
      <c r="EJ97" s="102"/>
      <c r="EK97" s="102"/>
      <c r="EL97" s="102"/>
      <c r="EM97" s="102"/>
      <c r="EN97" s="102"/>
    </row>
    <row r="98">
      <c r="A98" s="139" t="s">
        <v>201</v>
      </c>
      <c r="B98" s="105"/>
      <c r="C98" s="105"/>
      <c r="D98" s="103" t="s">
        <v>97</v>
      </c>
      <c r="E98" s="105"/>
      <c r="F98" s="105"/>
      <c r="G98" s="106"/>
      <c r="H98" s="108" t="s">
        <v>97</v>
      </c>
      <c r="I98" s="105"/>
      <c r="J98" s="105"/>
      <c r="K98" s="105"/>
      <c r="L98" s="103" t="s">
        <v>97</v>
      </c>
      <c r="M98" s="105"/>
      <c r="N98" s="105"/>
      <c r="O98" s="105"/>
      <c r="P98" s="103" t="s">
        <v>99</v>
      </c>
      <c r="Q98" s="105"/>
      <c r="R98" s="105"/>
      <c r="S98" s="106"/>
      <c r="T98" s="108" t="s">
        <v>99</v>
      </c>
      <c r="U98" s="105"/>
      <c r="V98" s="105"/>
      <c r="W98" s="105"/>
      <c r="X98" s="103" t="s">
        <v>99</v>
      </c>
      <c r="Y98" s="105"/>
      <c r="Z98" s="105"/>
      <c r="AA98" s="105"/>
      <c r="AB98" s="103" t="s">
        <v>99</v>
      </c>
      <c r="AC98" s="105"/>
      <c r="AD98" s="105"/>
      <c r="AE98" s="106"/>
      <c r="AF98" s="108" t="s">
        <v>99</v>
      </c>
      <c r="AG98" s="103" t="s">
        <v>97</v>
      </c>
      <c r="AH98" s="105"/>
      <c r="AI98" s="105"/>
      <c r="AJ98" s="105"/>
      <c r="AK98" s="103" t="s">
        <v>99</v>
      </c>
      <c r="AL98" s="103" t="s">
        <v>99</v>
      </c>
      <c r="AM98" s="103" t="s">
        <v>99</v>
      </c>
      <c r="AN98" s="103" t="s">
        <v>97</v>
      </c>
      <c r="AO98" s="105"/>
      <c r="AP98" s="105"/>
      <c r="AQ98" s="106"/>
      <c r="AR98" s="108" t="s">
        <v>99</v>
      </c>
      <c r="AS98" s="103" t="s">
        <v>99</v>
      </c>
      <c r="AT98" s="103" t="s">
        <v>96</v>
      </c>
      <c r="AU98" s="105"/>
      <c r="AV98" s="105"/>
      <c r="AW98" s="105"/>
      <c r="AX98" s="105"/>
      <c r="AY98" s="105"/>
      <c r="AZ98" s="105"/>
      <c r="BA98" s="105"/>
      <c r="BB98" s="105"/>
      <c r="BC98" s="106"/>
      <c r="BD98" s="105"/>
      <c r="BE98" s="105"/>
      <c r="BF98" s="105"/>
      <c r="BG98" s="105"/>
      <c r="BH98" s="102"/>
      <c r="BI98" s="102"/>
      <c r="BJ98" s="102"/>
      <c r="BK98" s="102"/>
      <c r="BL98" s="102"/>
      <c r="BM98" s="102"/>
      <c r="BN98" s="102"/>
      <c r="BO98" s="102"/>
      <c r="BP98" s="102"/>
      <c r="BQ98" s="102"/>
      <c r="BR98" s="102"/>
      <c r="BS98" s="102"/>
      <c r="BT98" s="102"/>
      <c r="BU98" s="102"/>
      <c r="BV98" s="102"/>
      <c r="BW98" s="102"/>
      <c r="BX98" s="102"/>
      <c r="BY98" s="102"/>
      <c r="BZ98" s="102"/>
      <c r="CA98" s="102"/>
      <c r="CB98" s="102"/>
      <c r="CC98" s="102"/>
      <c r="CD98" s="102"/>
      <c r="CE98" s="102"/>
      <c r="CF98" s="102"/>
      <c r="CG98" s="102"/>
      <c r="CH98" s="102"/>
      <c r="CI98" s="102"/>
      <c r="CJ98" s="102"/>
      <c r="CK98" s="102"/>
      <c r="CL98" s="102"/>
      <c r="CM98" s="102"/>
      <c r="CN98" s="102"/>
      <c r="CO98" s="102"/>
      <c r="CP98" s="102"/>
      <c r="CQ98" s="102"/>
      <c r="CR98" s="102"/>
      <c r="CS98" s="102"/>
      <c r="CT98" s="102"/>
      <c r="CU98" s="102"/>
      <c r="CV98" s="102"/>
      <c r="CW98" s="102"/>
      <c r="CX98" s="102"/>
      <c r="CY98" s="102"/>
      <c r="CZ98" s="102"/>
      <c r="DA98" s="102"/>
      <c r="DB98" s="102"/>
      <c r="DC98" s="102"/>
      <c r="DD98" s="102"/>
      <c r="DE98" s="102"/>
      <c r="DF98" s="102"/>
      <c r="DG98" s="102"/>
      <c r="DH98" s="102"/>
      <c r="DI98" s="102"/>
      <c r="DJ98" s="102"/>
      <c r="DK98" s="102"/>
      <c r="DL98" s="102"/>
      <c r="DM98" s="102"/>
      <c r="DN98" s="102"/>
      <c r="DO98" s="102"/>
      <c r="DP98" s="102"/>
      <c r="DQ98" s="102"/>
      <c r="DR98" s="102"/>
      <c r="DS98" s="102"/>
      <c r="DT98" s="102"/>
      <c r="DU98" s="102"/>
      <c r="DV98" s="102"/>
      <c r="DW98" s="102"/>
      <c r="DX98" s="102"/>
      <c r="DY98" s="102"/>
      <c r="DZ98" s="102"/>
      <c r="EA98" s="102"/>
      <c r="EB98" s="102"/>
      <c r="EC98" s="102"/>
      <c r="ED98" s="102"/>
      <c r="EE98" s="102"/>
      <c r="EF98" s="102"/>
      <c r="EG98" s="102"/>
      <c r="EH98" s="102"/>
      <c r="EI98" s="102"/>
      <c r="EJ98" s="102"/>
      <c r="EK98" s="102"/>
      <c r="EL98" s="102"/>
      <c r="EM98" s="102"/>
      <c r="EN98" s="102"/>
    </row>
    <row r="99">
      <c r="A99" s="138" t="s">
        <v>202</v>
      </c>
      <c r="B99" s="112"/>
      <c r="C99" s="112"/>
      <c r="D99" s="110" t="s">
        <v>97</v>
      </c>
      <c r="E99" s="112"/>
      <c r="F99" s="112"/>
      <c r="G99" s="113"/>
      <c r="H99" s="132" t="s">
        <v>97</v>
      </c>
      <c r="I99" s="116"/>
      <c r="J99" s="116"/>
      <c r="K99" s="116"/>
      <c r="L99" s="115" t="s">
        <v>97</v>
      </c>
      <c r="M99" s="116"/>
      <c r="N99" s="116"/>
      <c r="O99" s="116"/>
      <c r="P99" s="115" t="s">
        <v>99</v>
      </c>
      <c r="Q99" s="116"/>
      <c r="R99" s="116"/>
      <c r="S99" s="117"/>
      <c r="T99" s="119" t="s">
        <v>99</v>
      </c>
      <c r="U99" s="120"/>
      <c r="V99" s="120"/>
      <c r="W99" s="120"/>
      <c r="X99" s="121" t="s">
        <v>99</v>
      </c>
      <c r="Y99" s="120"/>
      <c r="Z99" s="120"/>
      <c r="AA99" s="120"/>
      <c r="AB99" s="121" t="s">
        <v>99</v>
      </c>
      <c r="AC99" s="120"/>
      <c r="AD99" s="120"/>
      <c r="AE99" s="122"/>
      <c r="AF99" s="134" t="s">
        <v>99</v>
      </c>
      <c r="AG99" s="125" t="s">
        <v>97</v>
      </c>
      <c r="AH99" s="124"/>
      <c r="AI99" s="124"/>
      <c r="AJ99" s="124"/>
      <c r="AK99" s="125" t="s">
        <v>99</v>
      </c>
      <c r="AL99" s="125" t="s">
        <v>99</v>
      </c>
      <c r="AM99" s="125" t="s">
        <v>99</v>
      </c>
      <c r="AN99" s="125" t="s">
        <v>97</v>
      </c>
      <c r="AO99" s="124"/>
      <c r="AP99" s="124"/>
      <c r="AQ99" s="126"/>
      <c r="AR99" s="135" t="s">
        <v>99</v>
      </c>
      <c r="AS99" s="128" t="s">
        <v>99</v>
      </c>
      <c r="AT99" s="128" t="s">
        <v>97</v>
      </c>
      <c r="AU99" s="129"/>
      <c r="AV99" s="129"/>
      <c r="AW99" s="129"/>
      <c r="AX99" s="129"/>
      <c r="AY99" s="129"/>
      <c r="AZ99" s="129"/>
      <c r="BA99" s="129"/>
      <c r="BB99" s="129"/>
      <c r="BC99" s="130"/>
      <c r="BD99" s="129"/>
      <c r="BE99" s="129"/>
      <c r="BF99" s="129"/>
      <c r="BG99" s="129"/>
      <c r="BH99" s="102"/>
      <c r="BI99" s="102"/>
      <c r="BJ99" s="102"/>
      <c r="BK99" s="102"/>
      <c r="BL99" s="102"/>
      <c r="BM99" s="102"/>
      <c r="BN99" s="102"/>
      <c r="BO99" s="102"/>
      <c r="BP99" s="102"/>
      <c r="BQ99" s="102"/>
      <c r="BR99" s="102"/>
      <c r="BS99" s="102"/>
      <c r="BT99" s="102"/>
      <c r="BU99" s="102"/>
      <c r="BV99" s="102"/>
      <c r="BW99" s="102"/>
      <c r="BX99" s="102"/>
      <c r="BY99" s="102"/>
      <c r="BZ99" s="102"/>
      <c r="CA99" s="102"/>
      <c r="CB99" s="102"/>
      <c r="CC99" s="102"/>
      <c r="CD99" s="102"/>
      <c r="CE99" s="102"/>
      <c r="CF99" s="102"/>
      <c r="CG99" s="102"/>
      <c r="CH99" s="102"/>
      <c r="CI99" s="102"/>
      <c r="CJ99" s="102"/>
      <c r="CK99" s="102"/>
      <c r="CL99" s="102"/>
      <c r="CM99" s="102"/>
      <c r="CN99" s="102"/>
      <c r="CO99" s="102"/>
      <c r="CP99" s="102"/>
      <c r="CQ99" s="102"/>
      <c r="CR99" s="102"/>
      <c r="CS99" s="102"/>
      <c r="CT99" s="102"/>
      <c r="CU99" s="102"/>
      <c r="CV99" s="102"/>
      <c r="CW99" s="102"/>
      <c r="CX99" s="102"/>
      <c r="CY99" s="102"/>
      <c r="CZ99" s="102"/>
      <c r="DA99" s="102"/>
      <c r="DB99" s="102"/>
      <c r="DC99" s="102"/>
      <c r="DD99" s="102"/>
      <c r="DE99" s="102"/>
      <c r="DF99" s="102"/>
      <c r="DG99" s="102"/>
      <c r="DH99" s="102"/>
      <c r="DI99" s="102"/>
      <c r="DJ99" s="102"/>
      <c r="DK99" s="102"/>
      <c r="DL99" s="102"/>
      <c r="DM99" s="102"/>
      <c r="DN99" s="102"/>
      <c r="DO99" s="102"/>
      <c r="DP99" s="102"/>
      <c r="DQ99" s="102"/>
      <c r="DR99" s="102"/>
      <c r="DS99" s="102"/>
      <c r="DT99" s="102"/>
      <c r="DU99" s="102"/>
      <c r="DV99" s="102"/>
      <c r="DW99" s="102"/>
      <c r="DX99" s="102"/>
      <c r="DY99" s="102"/>
      <c r="DZ99" s="102"/>
      <c r="EA99" s="102"/>
      <c r="EB99" s="102"/>
      <c r="EC99" s="102"/>
      <c r="ED99" s="102"/>
      <c r="EE99" s="102"/>
      <c r="EF99" s="102"/>
      <c r="EG99" s="102"/>
      <c r="EH99" s="102"/>
      <c r="EI99" s="102"/>
      <c r="EJ99" s="102"/>
      <c r="EK99" s="102"/>
      <c r="EL99" s="102"/>
      <c r="EM99" s="102"/>
      <c r="EN99" s="102"/>
    </row>
    <row r="100">
      <c r="A100" s="139" t="s">
        <v>203</v>
      </c>
      <c r="B100" s="105"/>
      <c r="C100" s="105"/>
      <c r="D100" s="103" t="s">
        <v>97</v>
      </c>
      <c r="E100" s="105"/>
      <c r="F100" s="105"/>
      <c r="G100" s="106"/>
      <c r="H100" s="108" t="s">
        <v>97</v>
      </c>
      <c r="I100" s="105"/>
      <c r="J100" s="105"/>
      <c r="K100" s="105"/>
      <c r="L100" s="103" t="s">
        <v>97</v>
      </c>
      <c r="M100" s="105"/>
      <c r="N100" s="105"/>
      <c r="O100" s="105"/>
      <c r="P100" s="103" t="s">
        <v>99</v>
      </c>
      <c r="Q100" s="105"/>
      <c r="R100" s="105"/>
      <c r="S100" s="106"/>
      <c r="T100" s="108" t="s">
        <v>99</v>
      </c>
      <c r="U100" s="105"/>
      <c r="V100" s="105"/>
      <c r="W100" s="105"/>
      <c r="X100" s="103" t="s">
        <v>99</v>
      </c>
      <c r="Y100" s="105"/>
      <c r="Z100" s="105"/>
      <c r="AA100" s="105"/>
      <c r="AB100" s="103" t="s">
        <v>99</v>
      </c>
      <c r="AC100" s="105"/>
      <c r="AD100" s="105"/>
      <c r="AE100" s="106"/>
      <c r="AF100" s="108" t="s">
        <v>99</v>
      </c>
      <c r="AG100" s="103" t="s">
        <v>97</v>
      </c>
      <c r="AH100" s="105"/>
      <c r="AI100" s="105"/>
      <c r="AJ100" s="105"/>
      <c r="AK100" s="103" t="s">
        <v>99</v>
      </c>
      <c r="AL100" s="103" t="s">
        <v>99</v>
      </c>
      <c r="AM100" s="103" t="s">
        <v>99</v>
      </c>
      <c r="AN100" s="103" t="s">
        <v>97</v>
      </c>
      <c r="AO100" s="105"/>
      <c r="AP100" s="105"/>
      <c r="AQ100" s="106"/>
      <c r="AR100" s="108" t="s">
        <v>99</v>
      </c>
      <c r="AS100" s="103" t="s">
        <v>99</v>
      </c>
      <c r="AT100" s="103" t="s">
        <v>96</v>
      </c>
      <c r="AU100" s="105"/>
      <c r="AV100" s="105"/>
      <c r="AW100" s="105"/>
      <c r="AX100" s="105"/>
      <c r="AY100" s="105"/>
      <c r="AZ100" s="105"/>
      <c r="BA100" s="105"/>
      <c r="BB100" s="105"/>
      <c r="BC100" s="106"/>
      <c r="BD100" s="105"/>
      <c r="BE100" s="105"/>
      <c r="BF100" s="105"/>
      <c r="BG100" s="105"/>
      <c r="BH100" s="102"/>
      <c r="BI100" s="102"/>
      <c r="BJ100" s="102"/>
      <c r="BK100" s="102"/>
      <c r="BL100" s="102"/>
      <c r="BM100" s="102"/>
      <c r="BN100" s="102"/>
      <c r="BO100" s="102"/>
      <c r="BP100" s="102"/>
      <c r="BQ100" s="102"/>
      <c r="BR100" s="102"/>
      <c r="BS100" s="102"/>
      <c r="BT100" s="102"/>
      <c r="BU100" s="102"/>
      <c r="BV100" s="102"/>
      <c r="BW100" s="102"/>
      <c r="BX100" s="102"/>
      <c r="BY100" s="102"/>
      <c r="BZ100" s="102"/>
      <c r="CA100" s="102"/>
      <c r="CB100" s="102"/>
      <c r="CC100" s="102"/>
      <c r="CD100" s="102"/>
      <c r="CE100" s="102"/>
      <c r="CF100" s="102"/>
      <c r="CG100" s="102"/>
      <c r="CH100" s="102"/>
      <c r="CI100" s="102"/>
      <c r="CJ100" s="102"/>
      <c r="CK100" s="102"/>
      <c r="CL100" s="102"/>
      <c r="CM100" s="102"/>
      <c r="CN100" s="102"/>
      <c r="CO100" s="102"/>
      <c r="CP100" s="102"/>
      <c r="CQ100" s="102"/>
      <c r="CR100" s="102"/>
      <c r="CS100" s="102"/>
      <c r="CT100" s="102"/>
      <c r="CU100" s="102"/>
      <c r="CV100" s="102"/>
      <c r="CW100" s="102"/>
      <c r="CX100" s="102"/>
      <c r="CY100" s="102"/>
      <c r="CZ100" s="102"/>
      <c r="DA100" s="102"/>
      <c r="DB100" s="102"/>
      <c r="DC100" s="102"/>
      <c r="DD100" s="102"/>
      <c r="DE100" s="102"/>
      <c r="DF100" s="102"/>
      <c r="DG100" s="102"/>
      <c r="DH100" s="102"/>
      <c r="DI100" s="102"/>
      <c r="DJ100" s="102"/>
      <c r="DK100" s="102"/>
      <c r="DL100" s="102"/>
      <c r="DM100" s="102"/>
      <c r="DN100" s="102"/>
      <c r="DO100" s="102"/>
      <c r="DP100" s="102"/>
      <c r="DQ100" s="102"/>
      <c r="DR100" s="102"/>
      <c r="DS100" s="102"/>
      <c r="DT100" s="102"/>
      <c r="DU100" s="102"/>
      <c r="DV100" s="102"/>
      <c r="DW100" s="102"/>
      <c r="DX100" s="102"/>
      <c r="DY100" s="102"/>
      <c r="DZ100" s="102"/>
      <c r="EA100" s="102"/>
      <c r="EB100" s="102"/>
      <c r="EC100" s="102"/>
      <c r="ED100" s="102"/>
      <c r="EE100" s="102"/>
      <c r="EF100" s="102"/>
      <c r="EG100" s="102"/>
      <c r="EH100" s="102"/>
      <c r="EI100" s="102"/>
      <c r="EJ100" s="102"/>
      <c r="EK100" s="102"/>
      <c r="EL100" s="102"/>
      <c r="EM100" s="102"/>
      <c r="EN100" s="102"/>
    </row>
    <row r="101">
      <c r="A101" s="138" t="s">
        <v>204</v>
      </c>
      <c r="B101" s="112"/>
      <c r="C101" s="112"/>
      <c r="D101" s="112"/>
      <c r="E101" s="110" t="s">
        <v>98</v>
      </c>
      <c r="F101" s="112"/>
      <c r="G101" s="113"/>
      <c r="H101" s="114"/>
      <c r="I101" s="115" t="s">
        <v>97</v>
      </c>
      <c r="J101" s="116"/>
      <c r="K101" s="116"/>
      <c r="L101" s="116"/>
      <c r="M101" s="115" t="s">
        <v>96</v>
      </c>
      <c r="N101" s="116"/>
      <c r="O101" s="116"/>
      <c r="P101" s="115" t="s">
        <v>99</v>
      </c>
      <c r="Q101" s="115" t="s">
        <v>96</v>
      </c>
      <c r="R101" s="116"/>
      <c r="S101" s="117"/>
      <c r="T101" s="118"/>
      <c r="U101" s="120"/>
      <c r="V101" s="121" t="s">
        <v>96</v>
      </c>
      <c r="W101" s="120"/>
      <c r="X101" s="120"/>
      <c r="Y101" s="121" t="s">
        <v>97</v>
      </c>
      <c r="Z101" s="120"/>
      <c r="AA101" s="120"/>
      <c r="AB101" s="120"/>
      <c r="AC101" s="121" t="s">
        <v>99</v>
      </c>
      <c r="AD101" s="120"/>
      <c r="AE101" s="122"/>
      <c r="AF101" s="134" t="s">
        <v>97</v>
      </c>
      <c r="AG101" s="124"/>
      <c r="AH101" s="124"/>
      <c r="AI101" s="124"/>
      <c r="AJ101" s="125" t="s">
        <v>99</v>
      </c>
      <c r="AK101" s="125" t="s">
        <v>97</v>
      </c>
      <c r="AL101" s="124"/>
      <c r="AM101" s="124"/>
      <c r="AN101" s="125" t="s">
        <v>97</v>
      </c>
      <c r="AO101" s="124"/>
      <c r="AP101" s="124"/>
      <c r="AQ101" s="133" t="s">
        <v>97</v>
      </c>
      <c r="AR101" s="127"/>
      <c r="AS101" s="129"/>
      <c r="AT101" s="128" t="s">
        <v>98</v>
      </c>
      <c r="AU101" s="129"/>
      <c r="AV101" s="129"/>
      <c r="AW101" s="129"/>
      <c r="AX101" s="129"/>
      <c r="AY101" s="129"/>
      <c r="AZ101" s="129"/>
      <c r="BA101" s="129"/>
      <c r="BB101" s="129"/>
      <c r="BC101" s="130"/>
      <c r="BD101" s="129"/>
      <c r="BE101" s="129"/>
      <c r="BF101" s="129"/>
      <c r="BG101" s="129"/>
      <c r="BH101" s="102"/>
      <c r="BI101" s="102"/>
      <c r="BJ101" s="102"/>
      <c r="BK101" s="102"/>
      <c r="BL101" s="102"/>
      <c r="BM101" s="102"/>
      <c r="BN101" s="102"/>
      <c r="BO101" s="102"/>
      <c r="BP101" s="102"/>
      <c r="BQ101" s="102"/>
      <c r="BR101" s="102"/>
      <c r="BS101" s="102"/>
      <c r="BT101" s="102"/>
      <c r="BU101" s="102"/>
      <c r="BV101" s="102"/>
      <c r="BW101" s="102"/>
      <c r="BX101" s="102"/>
      <c r="BY101" s="102"/>
      <c r="BZ101" s="102"/>
      <c r="CA101" s="102"/>
      <c r="CB101" s="102"/>
      <c r="CC101" s="102"/>
      <c r="CD101" s="102"/>
      <c r="CE101" s="102"/>
      <c r="CF101" s="102"/>
      <c r="CG101" s="102"/>
      <c r="CH101" s="102"/>
      <c r="CI101" s="102"/>
      <c r="CJ101" s="102"/>
      <c r="CK101" s="102"/>
      <c r="CL101" s="102"/>
      <c r="CM101" s="102"/>
      <c r="CN101" s="102"/>
      <c r="CO101" s="102"/>
      <c r="CP101" s="102"/>
      <c r="CQ101" s="102"/>
      <c r="CR101" s="102"/>
      <c r="CS101" s="102"/>
      <c r="CT101" s="102"/>
      <c r="CU101" s="102"/>
      <c r="CV101" s="102"/>
      <c r="CW101" s="102"/>
      <c r="CX101" s="102"/>
      <c r="CY101" s="102"/>
      <c r="CZ101" s="102"/>
      <c r="DA101" s="102"/>
      <c r="DB101" s="102"/>
      <c r="DC101" s="102"/>
      <c r="DD101" s="102"/>
      <c r="DE101" s="102"/>
      <c r="DF101" s="102"/>
      <c r="DG101" s="102"/>
      <c r="DH101" s="102"/>
      <c r="DI101" s="102"/>
      <c r="DJ101" s="102"/>
      <c r="DK101" s="102"/>
      <c r="DL101" s="102"/>
      <c r="DM101" s="102"/>
      <c r="DN101" s="102"/>
      <c r="DO101" s="102"/>
      <c r="DP101" s="102"/>
      <c r="DQ101" s="102"/>
      <c r="DR101" s="102"/>
      <c r="DS101" s="102"/>
      <c r="DT101" s="102"/>
      <c r="DU101" s="102"/>
      <c r="DV101" s="102"/>
      <c r="DW101" s="102"/>
      <c r="DX101" s="102"/>
      <c r="DY101" s="102"/>
      <c r="DZ101" s="102"/>
      <c r="EA101" s="102"/>
      <c r="EB101" s="102"/>
      <c r="EC101" s="102"/>
      <c r="ED101" s="102"/>
      <c r="EE101" s="102"/>
      <c r="EF101" s="102"/>
      <c r="EG101" s="102"/>
      <c r="EH101" s="102"/>
      <c r="EI101" s="102"/>
      <c r="EJ101" s="102"/>
      <c r="EK101" s="102"/>
      <c r="EL101" s="102"/>
      <c r="EM101" s="102"/>
      <c r="EN101" s="102"/>
    </row>
    <row r="102">
      <c r="A102" s="139" t="s">
        <v>205</v>
      </c>
      <c r="B102" s="105"/>
      <c r="C102" s="105"/>
      <c r="D102" s="105"/>
      <c r="E102" s="103" t="s">
        <v>98</v>
      </c>
      <c r="F102" s="105"/>
      <c r="G102" s="106"/>
      <c r="H102" s="107"/>
      <c r="I102" s="103" t="s">
        <v>98</v>
      </c>
      <c r="J102" s="105"/>
      <c r="K102" s="105"/>
      <c r="L102" s="105"/>
      <c r="M102" s="103" t="s">
        <v>98</v>
      </c>
      <c r="N102" s="105"/>
      <c r="O102" s="105"/>
      <c r="P102" s="103" t="s">
        <v>99</v>
      </c>
      <c r="Q102" s="103" t="s">
        <v>98</v>
      </c>
      <c r="R102" s="105"/>
      <c r="S102" s="106"/>
      <c r="T102" s="107"/>
      <c r="U102" s="105"/>
      <c r="V102" s="103" t="s">
        <v>96</v>
      </c>
      <c r="W102" s="105"/>
      <c r="X102" s="105"/>
      <c r="Y102" s="103" t="s">
        <v>97</v>
      </c>
      <c r="Z102" s="105"/>
      <c r="AA102" s="105"/>
      <c r="AB102" s="105"/>
      <c r="AC102" s="103" t="s">
        <v>99</v>
      </c>
      <c r="AD102" s="105"/>
      <c r="AE102" s="106"/>
      <c r="AF102" s="108" t="s">
        <v>96</v>
      </c>
      <c r="AG102" s="103" t="s">
        <v>96</v>
      </c>
      <c r="AH102" s="105"/>
      <c r="AI102" s="105"/>
      <c r="AJ102" s="105"/>
      <c r="AK102" s="103" t="s">
        <v>96</v>
      </c>
      <c r="AL102" s="105"/>
      <c r="AM102" s="105"/>
      <c r="AN102" s="103" t="s">
        <v>97</v>
      </c>
      <c r="AO102" s="105"/>
      <c r="AP102" s="105"/>
      <c r="AQ102" s="136" t="s">
        <v>97</v>
      </c>
      <c r="AR102" s="107"/>
      <c r="AS102" s="105"/>
      <c r="AT102" s="103" t="s">
        <v>96</v>
      </c>
      <c r="AU102" s="103" t="s">
        <v>96</v>
      </c>
      <c r="AV102" s="105"/>
      <c r="AW102" s="105"/>
      <c r="AX102" s="105"/>
      <c r="AY102" s="105"/>
      <c r="AZ102" s="105"/>
      <c r="BA102" s="105"/>
      <c r="BB102" s="105"/>
      <c r="BC102" s="106"/>
      <c r="BD102" s="105"/>
      <c r="BE102" s="105"/>
      <c r="BF102" s="105"/>
      <c r="BG102" s="105"/>
      <c r="BH102" s="102"/>
      <c r="BI102" s="102"/>
      <c r="BJ102" s="102"/>
      <c r="BK102" s="102"/>
      <c r="BL102" s="102"/>
      <c r="BM102" s="102"/>
      <c r="BN102" s="102"/>
      <c r="BO102" s="102"/>
      <c r="BP102" s="102"/>
      <c r="BQ102" s="102"/>
      <c r="BR102" s="102"/>
      <c r="BS102" s="102"/>
      <c r="BT102" s="102"/>
      <c r="BU102" s="102"/>
      <c r="BV102" s="102"/>
      <c r="BW102" s="102"/>
      <c r="BX102" s="102"/>
      <c r="BY102" s="102"/>
      <c r="BZ102" s="102"/>
      <c r="CA102" s="102"/>
      <c r="CB102" s="102"/>
      <c r="CC102" s="102"/>
      <c r="CD102" s="102"/>
      <c r="CE102" s="102"/>
      <c r="CF102" s="102"/>
      <c r="CG102" s="102"/>
      <c r="CH102" s="102"/>
      <c r="CI102" s="102"/>
      <c r="CJ102" s="102"/>
      <c r="CK102" s="102"/>
      <c r="CL102" s="102"/>
      <c r="CM102" s="102"/>
      <c r="CN102" s="102"/>
      <c r="CO102" s="102"/>
      <c r="CP102" s="102"/>
      <c r="CQ102" s="102"/>
      <c r="CR102" s="102"/>
      <c r="CS102" s="102"/>
      <c r="CT102" s="102"/>
      <c r="CU102" s="102"/>
      <c r="CV102" s="102"/>
      <c r="CW102" s="102"/>
      <c r="CX102" s="102"/>
      <c r="CY102" s="102"/>
      <c r="CZ102" s="102"/>
      <c r="DA102" s="102"/>
      <c r="DB102" s="102"/>
      <c r="DC102" s="102"/>
      <c r="DD102" s="102"/>
      <c r="DE102" s="102"/>
      <c r="DF102" s="102"/>
      <c r="DG102" s="102"/>
      <c r="DH102" s="102"/>
      <c r="DI102" s="102"/>
      <c r="DJ102" s="102"/>
      <c r="DK102" s="102"/>
      <c r="DL102" s="102"/>
      <c r="DM102" s="102"/>
      <c r="DN102" s="102"/>
      <c r="DO102" s="102"/>
      <c r="DP102" s="102"/>
      <c r="DQ102" s="102"/>
      <c r="DR102" s="102"/>
      <c r="DS102" s="102"/>
      <c r="DT102" s="102"/>
      <c r="DU102" s="102"/>
      <c r="DV102" s="102"/>
      <c r="DW102" s="102"/>
      <c r="DX102" s="102"/>
      <c r="DY102" s="102"/>
      <c r="DZ102" s="102"/>
      <c r="EA102" s="102"/>
      <c r="EB102" s="102"/>
      <c r="EC102" s="102"/>
      <c r="ED102" s="102"/>
      <c r="EE102" s="102"/>
      <c r="EF102" s="102"/>
      <c r="EG102" s="102"/>
      <c r="EH102" s="102"/>
      <c r="EI102" s="102"/>
      <c r="EJ102" s="102"/>
      <c r="EK102" s="102"/>
      <c r="EL102" s="102"/>
      <c r="EM102" s="102"/>
      <c r="EN102" s="102"/>
    </row>
    <row r="103">
      <c r="A103" s="110" t="s">
        <v>206</v>
      </c>
      <c r="B103" s="110" t="s">
        <v>98</v>
      </c>
      <c r="C103" s="112"/>
      <c r="D103" s="112"/>
      <c r="E103" s="112"/>
      <c r="F103" s="112"/>
      <c r="G103" s="113"/>
      <c r="H103" s="132" t="s">
        <v>98</v>
      </c>
      <c r="I103" s="116"/>
      <c r="J103" s="116"/>
      <c r="K103" s="116"/>
      <c r="L103" s="116"/>
      <c r="M103" s="116"/>
      <c r="N103" s="115" t="s">
        <v>98</v>
      </c>
      <c r="O103" s="116"/>
      <c r="P103" s="115" t="s">
        <v>99</v>
      </c>
      <c r="Q103" s="116"/>
      <c r="R103" s="116"/>
      <c r="S103" s="117"/>
      <c r="T103" s="119" t="s">
        <v>96</v>
      </c>
      <c r="U103" s="121" t="s">
        <v>98</v>
      </c>
      <c r="V103" s="120"/>
      <c r="W103" s="120"/>
      <c r="X103" s="120"/>
      <c r="Y103" s="120"/>
      <c r="Z103" s="121" t="s">
        <v>96</v>
      </c>
      <c r="AA103" s="120"/>
      <c r="AB103" s="120"/>
      <c r="AC103" s="120"/>
      <c r="AD103" s="120"/>
      <c r="AE103" s="122"/>
      <c r="AF103" s="134" t="s">
        <v>96</v>
      </c>
      <c r="AG103" s="124"/>
      <c r="AH103" s="124"/>
      <c r="AI103" s="124"/>
      <c r="AJ103" s="124"/>
      <c r="AK103" s="124"/>
      <c r="AL103" s="124"/>
      <c r="AM103" s="125" t="s">
        <v>99</v>
      </c>
      <c r="AN103" s="125" t="s">
        <v>97</v>
      </c>
      <c r="AO103" s="125" t="s">
        <v>97</v>
      </c>
      <c r="AP103" s="124"/>
      <c r="AQ103" s="126"/>
      <c r="AR103" s="127"/>
      <c r="AS103" s="129"/>
      <c r="AT103" s="128" t="s">
        <v>96</v>
      </c>
      <c r="AU103" s="128" t="s">
        <v>96</v>
      </c>
      <c r="AV103" s="129"/>
      <c r="AW103" s="129"/>
      <c r="AX103" s="129"/>
      <c r="AY103" s="129"/>
      <c r="AZ103" s="129"/>
      <c r="BA103" s="129"/>
      <c r="BB103" s="129"/>
      <c r="BC103" s="130"/>
      <c r="BD103" s="129"/>
      <c r="BE103" s="129"/>
      <c r="BF103" s="129"/>
      <c r="BG103" s="129"/>
      <c r="BH103" s="102"/>
      <c r="BI103" s="102"/>
      <c r="BJ103" s="102"/>
      <c r="BK103" s="102"/>
      <c r="BL103" s="102"/>
      <c r="BM103" s="102"/>
      <c r="BN103" s="102"/>
      <c r="BO103" s="102"/>
      <c r="BP103" s="102"/>
      <c r="BQ103" s="102"/>
      <c r="BR103" s="102"/>
      <c r="BS103" s="102"/>
      <c r="BT103" s="102"/>
      <c r="BU103" s="102"/>
      <c r="BV103" s="102"/>
      <c r="BW103" s="102"/>
      <c r="BX103" s="102"/>
      <c r="BY103" s="102"/>
      <c r="BZ103" s="102"/>
      <c r="CA103" s="102"/>
      <c r="CB103" s="102"/>
      <c r="CC103" s="102"/>
      <c r="CD103" s="102"/>
      <c r="CE103" s="102"/>
      <c r="CF103" s="102"/>
      <c r="CG103" s="102"/>
      <c r="CH103" s="102"/>
      <c r="CI103" s="102"/>
      <c r="CJ103" s="102"/>
      <c r="CK103" s="102"/>
      <c r="CL103" s="102"/>
      <c r="CM103" s="102"/>
      <c r="CN103" s="102"/>
      <c r="CO103" s="102"/>
      <c r="CP103" s="102"/>
      <c r="CQ103" s="102"/>
      <c r="CR103" s="102"/>
      <c r="CS103" s="102"/>
      <c r="CT103" s="102"/>
      <c r="CU103" s="102"/>
      <c r="CV103" s="102"/>
      <c r="CW103" s="102"/>
      <c r="CX103" s="102"/>
      <c r="CY103" s="102"/>
      <c r="CZ103" s="102"/>
      <c r="DA103" s="102"/>
      <c r="DB103" s="102"/>
      <c r="DC103" s="102"/>
      <c r="DD103" s="102"/>
      <c r="DE103" s="102"/>
      <c r="DF103" s="102"/>
      <c r="DG103" s="102"/>
      <c r="DH103" s="102"/>
      <c r="DI103" s="102"/>
      <c r="DJ103" s="102"/>
      <c r="DK103" s="102"/>
      <c r="DL103" s="102"/>
      <c r="DM103" s="102"/>
      <c r="DN103" s="102"/>
      <c r="DO103" s="102"/>
      <c r="DP103" s="102"/>
      <c r="DQ103" s="102"/>
      <c r="DR103" s="102"/>
      <c r="DS103" s="102"/>
      <c r="DT103" s="102"/>
      <c r="DU103" s="102"/>
      <c r="DV103" s="102"/>
      <c r="DW103" s="102"/>
      <c r="DX103" s="102"/>
      <c r="DY103" s="102"/>
      <c r="DZ103" s="102"/>
      <c r="EA103" s="102"/>
      <c r="EB103" s="102"/>
      <c r="EC103" s="102"/>
      <c r="ED103" s="102"/>
      <c r="EE103" s="102"/>
      <c r="EF103" s="102"/>
      <c r="EG103" s="102"/>
      <c r="EH103" s="102"/>
      <c r="EI103" s="102"/>
      <c r="EJ103" s="102"/>
      <c r="EK103" s="102"/>
      <c r="EL103" s="102"/>
      <c r="EM103" s="102"/>
      <c r="EN103" s="102"/>
    </row>
    <row r="104">
      <c r="A104" s="139" t="s">
        <v>207</v>
      </c>
      <c r="B104" s="103" t="s">
        <v>98</v>
      </c>
      <c r="C104" s="103" t="s">
        <v>96</v>
      </c>
      <c r="D104" s="103" t="s">
        <v>97</v>
      </c>
      <c r="E104" s="103" t="s">
        <v>99</v>
      </c>
      <c r="F104" s="103" t="s">
        <v>98</v>
      </c>
      <c r="G104" s="136" t="s">
        <v>99</v>
      </c>
      <c r="H104" s="108" t="s">
        <v>99</v>
      </c>
      <c r="I104" s="103" t="s">
        <v>98</v>
      </c>
      <c r="J104" s="103" t="s">
        <v>96</v>
      </c>
      <c r="K104" s="103" t="s">
        <v>96</v>
      </c>
      <c r="L104" s="103" t="s">
        <v>96</v>
      </c>
      <c r="M104" s="103" t="s">
        <v>99</v>
      </c>
      <c r="N104" s="103" t="s">
        <v>99</v>
      </c>
      <c r="O104" s="103" t="s">
        <v>99</v>
      </c>
      <c r="P104" s="103" t="s">
        <v>99</v>
      </c>
      <c r="Q104" s="103" t="s">
        <v>98</v>
      </c>
      <c r="R104" s="103" t="s">
        <v>98</v>
      </c>
      <c r="S104" s="136" t="s">
        <v>97</v>
      </c>
      <c r="T104" s="108" t="s">
        <v>97</v>
      </c>
      <c r="U104" s="103" t="s">
        <v>98</v>
      </c>
      <c r="V104" s="103" t="s">
        <v>99</v>
      </c>
      <c r="W104" s="103" t="s">
        <v>99</v>
      </c>
      <c r="X104" s="103" t="s">
        <v>97</v>
      </c>
      <c r="Y104" s="103" t="s">
        <v>99</v>
      </c>
      <c r="Z104" s="103" t="s">
        <v>96</v>
      </c>
      <c r="AA104" s="103" t="s">
        <v>99</v>
      </c>
      <c r="AB104" s="103" t="s">
        <v>99</v>
      </c>
      <c r="AC104" s="103" t="s">
        <v>98</v>
      </c>
      <c r="AD104" s="103" t="s">
        <v>96</v>
      </c>
      <c r="AE104" s="136" t="s">
        <v>99</v>
      </c>
      <c r="AF104" s="108" t="s">
        <v>96</v>
      </c>
      <c r="AG104" s="103" t="s">
        <v>99</v>
      </c>
      <c r="AH104" s="103" t="s">
        <v>99</v>
      </c>
      <c r="AI104" s="103" t="s">
        <v>99</v>
      </c>
      <c r="AJ104" s="103" t="s">
        <v>99</v>
      </c>
      <c r="AK104" s="103" t="s">
        <v>96</v>
      </c>
      <c r="AL104" s="103" t="s">
        <v>99</v>
      </c>
      <c r="AM104" s="103" t="s">
        <v>99</v>
      </c>
      <c r="AN104" s="103" t="s">
        <v>98</v>
      </c>
      <c r="AO104" s="103" t="s">
        <v>98</v>
      </c>
      <c r="AP104" s="103" t="s">
        <v>98</v>
      </c>
      <c r="AQ104" s="136" t="s">
        <v>99</v>
      </c>
      <c r="AR104" s="108" t="s">
        <v>99</v>
      </c>
      <c r="AS104" s="103" t="s">
        <v>98</v>
      </c>
      <c r="AT104" s="103" t="s">
        <v>98</v>
      </c>
      <c r="AU104" s="103" t="s">
        <v>99</v>
      </c>
      <c r="AV104" s="105"/>
      <c r="AW104" s="105"/>
      <c r="AX104" s="105"/>
      <c r="AY104" s="105"/>
      <c r="AZ104" s="105"/>
      <c r="BA104" s="105"/>
      <c r="BB104" s="105"/>
      <c r="BC104" s="106"/>
      <c r="BD104" s="105"/>
      <c r="BE104" s="105"/>
      <c r="BF104" s="105"/>
      <c r="BG104" s="105"/>
      <c r="BH104" s="102"/>
      <c r="BI104" s="102"/>
      <c r="BJ104" s="102"/>
      <c r="BK104" s="102"/>
      <c r="BL104" s="102"/>
      <c r="BM104" s="102"/>
      <c r="BN104" s="102"/>
      <c r="BO104" s="102"/>
      <c r="BP104" s="102"/>
      <c r="BQ104" s="102"/>
      <c r="BR104" s="102"/>
      <c r="BS104" s="102"/>
      <c r="BT104" s="102"/>
      <c r="BU104" s="102"/>
      <c r="BV104" s="102"/>
      <c r="BW104" s="102"/>
      <c r="BX104" s="102"/>
      <c r="BY104" s="102"/>
      <c r="BZ104" s="102"/>
      <c r="CA104" s="102"/>
      <c r="CB104" s="102"/>
      <c r="CC104" s="102"/>
      <c r="CD104" s="102"/>
      <c r="CE104" s="102"/>
      <c r="CF104" s="102"/>
      <c r="CG104" s="102"/>
      <c r="CH104" s="102"/>
      <c r="CI104" s="102"/>
      <c r="CJ104" s="102"/>
      <c r="CK104" s="102"/>
      <c r="CL104" s="102"/>
      <c r="CM104" s="102"/>
      <c r="CN104" s="102"/>
      <c r="CO104" s="102"/>
      <c r="CP104" s="102"/>
      <c r="CQ104" s="102"/>
      <c r="CR104" s="102"/>
      <c r="CS104" s="102"/>
      <c r="CT104" s="102"/>
      <c r="CU104" s="102"/>
      <c r="CV104" s="102"/>
      <c r="CW104" s="102"/>
      <c r="CX104" s="102"/>
      <c r="CY104" s="102"/>
      <c r="CZ104" s="102"/>
      <c r="DA104" s="102"/>
      <c r="DB104" s="102"/>
      <c r="DC104" s="102"/>
      <c r="DD104" s="102"/>
      <c r="DE104" s="102"/>
      <c r="DF104" s="102"/>
      <c r="DG104" s="102"/>
      <c r="DH104" s="102"/>
      <c r="DI104" s="102"/>
      <c r="DJ104" s="102"/>
      <c r="DK104" s="102"/>
      <c r="DL104" s="102"/>
      <c r="DM104" s="102"/>
      <c r="DN104" s="102"/>
      <c r="DO104" s="102"/>
      <c r="DP104" s="102"/>
      <c r="DQ104" s="102"/>
      <c r="DR104" s="102"/>
      <c r="DS104" s="102"/>
      <c r="DT104" s="102"/>
      <c r="DU104" s="102"/>
      <c r="DV104" s="102"/>
      <c r="DW104" s="102"/>
      <c r="DX104" s="102"/>
      <c r="DY104" s="102"/>
      <c r="DZ104" s="102"/>
      <c r="EA104" s="102"/>
      <c r="EB104" s="102"/>
      <c r="EC104" s="102"/>
      <c r="ED104" s="102"/>
      <c r="EE104" s="102"/>
      <c r="EF104" s="102"/>
      <c r="EG104" s="102"/>
      <c r="EH104" s="102"/>
      <c r="EI104" s="102"/>
      <c r="EJ104" s="102"/>
      <c r="EK104" s="102"/>
      <c r="EL104" s="102"/>
      <c r="EM104" s="102"/>
      <c r="EN104" s="102"/>
    </row>
    <row r="105">
      <c r="A105" s="138" t="s">
        <v>208</v>
      </c>
      <c r="B105" s="110" t="s">
        <v>98</v>
      </c>
      <c r="C105" s="112"/>
      <c r="D105" s="112"/>
      <c r="E105" s="112"/>
      <c r="F105" s="112"/>
      <c r="G105" s="113"/>
      <c r="H105" s="132" t="s">
        <v>98</v>
      </c>
      <c r="I105" s="116"/>
      <c r="J105" s="116"/>
      <c r="K105" s="116"/>
      <c r="L105" s="116"/>
      <c r="M105" s="116"/>
      <c r="N105" s="115" t="s">
        <v>96</v>
      </c>
      <c r="O105" s="115" t="s">
        <v>98</v>
      </c>
      <c r="P105" s="115" t="s">
        <v>99</v>
      </c>
      <c r="Q105" s="116"/>
      <c r="R105" s="116"/>
      <c r="S105" s="117"/>
      <c r="T105" s="118"/>
      <c r="U105" s="121" t="s">
        <v>98</v>
      </c>
      <c r="V105" s="120"/>
      <c r="W105" s="120"/>
      <c r="X105" s="120"/>
      <c r="Y105" s="121" t="s">
        <v>98</v>
      </c>
      <c r="Z105" s="120"/>
      <c r="AA105" s="120"/>
      <c r="AB105" s="120"/>
      <c r="AC105" s="120"/>
      <c r="AD105" s="120"/>
      <c r="AE105" s="140" t="s">
        <v>99</v>
      </c>
      <c r="AF105" s="134" t="s">
        <v>96</v>
      </c>
      <c r="AG105" s="125" t="s">
        <v>96</v>
      </c>
      <c r="AH105" s="124"/>
      <c r="AI105" s="124"/>
      <c r="AJ105" s="124"/>
      <c r="AK105" s="125" t="s">
        <v>96</v>
      </c>
      <c r="AL105" s="124"/>
      <c r="AM105" s="124"/>
      <c r="AN105" s="124"/>
      <c r="AO105" s="124"/>
      <c r="AP105" s="124"/>
      <c r="AQ105" s="133" t="s">
        <v>97</v>
      </c>
      <c r="AR105" s="127"/>
      <c r="AS105" s="129"/>
      <c r="AT105" s="129"/>
      <c r="AU105" s="129"/>
      <c r="AV105" s="129"/>
      <c r="AW105" s="129"/>
      <c r="AX105" s="129"/>
      <c r="AY105" s="129"/>
      <c r="AZ105" s="129"/>
      <c r="BA105" s="129"/>
      <c r="BB105" s="129"/>
      <c r="BC105" s="130"/>
      <c r="BD105" s="129"/>
      <c r="BE105" s="129"/>
      <c r="BF105" s="129"/>
      <c r="BG105" s="129"/>
      <c r="BH105" s="102"/>
      <c r="BI105" s="102"/>
      <c r="BJ105" s="102"/>
      <c r="BK105" s="102"/>
      <c r="BL105" s="102"/>
      <c r="BM105" s="102"/>
      <c r="BN105" s="102"/>
      <c r="BO105" s="102"/>
      <c r="BP105" s="102"/>
      <c r="BQ105" s="102"/>
      <c r="BR105" s="102"/>
      <c r="BS105" s="102"/>
      <c r="BT105" s="102"/>
      <c r="BU105" s="102"/>
      <c r="BV105" s="102"/>
      <c r="BW105" s="102"/>
      <c r="BX105" s="102"/>
      <c r="BY105" s="102"/>
      <c r="BZ105" s="102"/>
      <c r="CA105" s="102"/>
      <c r="CB105" s="102"/>
      <c r="CC105" s="102"/>
      <c r="CD105" s="102"/>
      <c r="CE105" s="102"/>
      <c r="CF105" s="102"/>
      <c r="CG105" s="102"/>
      <c r="CH105" s="102"/>
      <c r="CI105" s="102"/>
      <c r="CJ105" s="102"/>
      <c r="CK105" s="102"/>
      <c r="CL105" s="102"/>
      <c r="CM105" s="102"/>
      <c r="CN105" s="102"/>
      <c r="CO105" s="102"/>
      <c r="CP105" s="102"/>
      <c r="CQ105" s="102"/>
      <c r="CR105" s="102"/>
      <c r="CS105" s="102"/>
      <c r="CT105" s="102"/>
      <c r="CU105" s="102"/>
      <c r="CV105" s="102"/>
      <c r="CW105" s="102"/>
      <c r="CX105" s="102"/>
      <c r="CY105" s="102"/>
      <c r="CZ105" s="102"/>
      <c r="DA105" s="102"/>
      <c r="DB105" s="102"/>
      <c r="DC105" s="102"/>
      <c r="DD105" s="102"/>
      <c r="DE105" s="102"/>
      <c r="DF105" s="102"/>
      <c r="DG105" s="102"/>
      <c r="DH105" s="102"/>
      <c r="DI105" s="102"/>
      <c r="DJ105" s="102"/>
      <c r="DK105" s="102"/>
      <c r="DL105" s="102"/>
      <c r="DM105" s="102"/>
      <c r="DN105" s="102"/>
      <c r="DO105" s="102"/>
      <c r="DP105" s="102"/>
      <c r="DQ105" s="102"/>
      <c r="DR105" s="102"/>
      <c r="DS105" s="102"/>
      <c r="DT105" s="102"/>
      <c r="DU105" s="102"/>
      <c r="DV105" s="102"/>
      <c r="DW105" s="102"/>
      <c r="DX105" s="102"/>
      <c r="DY105" s="102"/>
      <c r="DZ105" s="102"/>
      <c r="EA105" s="102"/>
      <c r="EB105" s="102"/>
      <c r="EC105" s="102"/>
      <c r="ED105" s="102"/>
      <c r="EE105" s="102"/>
      <c r="EF105" s="102"/>
      <c r="EG105" s="102"/>
      <c r="EH105" s="102"/>
      <c r="EI105" s="102"/>
      <c r="EJ105" s="102"/>
      <c r="EK105" s="102"/>
      <c r="EL105" s="102"/>
      <c r="EM105" s="102"/>
      <c r="EN105" s="102"/>
    </row>
    <row r="106">
      <c r="A106" s="139" t="s">
        <v>209</v>
      </c>
      <c r="B106" s="103" t="s">
        <v>98</v>
      </c>
      <c r="C106" s="103" t="s">
        <v>99</v>
      </c>
      <c r="D106" s="103" t="s">
        <v>98</v>
      </c>
      <c r="E106" s="103" t="s">
        <v>99</v>
      </c>
      <c r="F106" s="103" t="s">
        <v>98</v>
      </c>
      <c r="G106" s="136" t="s">
        <v>99</v>
      </c>
      <c r="H106" s="108" t="s">
        <v>96</v>
      </c>
      <c r="I106" s="103" t="s">
        <v>99</v>
      </c>
      <c r="J106" s="103" t="s">
        <v>98</v>
      </c>
      <c r="K106" s="103" t="s">
        <v>99</v>
      </c>
      <c r="L106" s="103" t="s">
        <v>98</v>
      </c>
      <c r="M106" s="103" t="s">
        <v>99</v>
      </c>
      <c r="N106" s="103" t="s">
        <v>96</v>
      </c>
      <c r="O106" s="103" t="s">
        <v>97</v>
      </c>
      <c r="P106" s="103" t="s">
        <v>99</v>
      </c>
      <c r="Q106" s="103" t="s">
        <v>98</v>
      </c>
      <c r="R106" s="103" t="s">
        <v>97</v>
      </c>
      <c r="S106" s="136" t="s">
        <v>96</v>
      </c>
      <c r="T106" s="108" t="s">
        <v>98</v>
      </c>
      <c r="U106" s="103" t="s">
        <v>99</v>
      </c>
      <c r="V106" s="103" t="s">
        <v>98</v>
      </c>
      <c r="W106" s="103" t="s">
        <v>99</v>
      </c>
      <c r="X106" s="103" t="s">
        <v>99</v>
      </c>
      <c r="Y106" s="103" t="s">
        <v>99</v>
      </c>
      <c r="Z106" s="103" t="s">
        <v>96</v>
      </c>
      <c r="AA106" s="103" t="s">
        <v>99</v>
      </c>
      <c r="AB106" s="103" t="s">
        <v>99</v>
      </c>
      <c r="AC106" s="103" t="s">
        <v>98</v>
      </c>
      <c r="AD106" s="103" t="s">
        <v>98</v>
      </c>
      <c r="AE106" s="136" t="s">
        <v>99</v>
      </c>
      <c r="AF106" s="108" t="s">
        <v>98</v>
      </c>
      <c r="AG106" s="103" t="s">
        <v>99</v>
      </c>
      <c r="AH106" s="103" t="s">
        <v>99</v>
      </c>
      <c r="AI106" s="103" t="s">
        <v>99</v>
      </c>
      <c r="AJ106" s="103" t="s">
        <v>99</v>
      </c>
      <c r="AK106" s="103" t="s">
        <v>97</v>
      </c>
      <c r="AL106" s="103" t="s">
        <v>99</v>
      </c>
      <c r="AM106" s="103" t="s">
        <v>99</v>
      </c>
      <c r="AN106" s="103" t="s">
        <v>98</v>
      </c>
      <c r="AO106" s="103" t="s">
        <v>98</v>
      </c>
      <c r="AP106" s="103" t="s">
        <v>98</v>
      </c>
      <c r="AQ106" s="136" t="s">
        <v>99</v>
      </c>
      <c r="AR106" s="108" t="s">
        <v>99</v>
      </c>
      <c r="AS106" s="103" t="s">
        <v>98</v>
      </c>
      <c r="AT106" s="103" t="s">
        <v>98</v>
      </c>
      <c r="AU106" s="103" t="s">
        <v>99</v>
      </c>
      <c r="AV106" s="105"/>
      <c r="AW106" s="105"/>
      <c r="AX106" s="105"/>
      <c r="AY106" s="105"/>
      <c r="AZ106" s="105"/>
      <c r="BA106" s="105"/>
      <c r="BB106" s="105"/>
      <c r="BC106" s="106"/>
      <c r="BD106" s="105"/>
      <c r="BE106" s="105"/>
      <c r="BF106" s="105"/>
      <c r="BG106" s="105"/>
      <c r="BH106" s="102"/>
      <c r="BI106" s="102"/>
      <c r="BJ106" s="102"/>
      <c r="BK106" s="102"/>
      <c r="BL106" s="102"/>
      <c r="BM106" s="102"/>
      <c r="BN106" s="102"/>
      <c r="BO106" s="102"/>
      <c r="BP106" s="102"/>
      <c r="BQ106" s="102"/>
      <c r="BR106" s="102"/>
      <c r="BS106" s="102"/>
      <c r="BT106" s="102"/>
      <c r="BU106" s="102"/>
      <c r="BV106" s="102"/>
      <c r="BW106" s="102"/>
      <c r="BX106" s="102"/>
      <c r="BY106" s="102"/>
      <c r="BZ106" s="102"/>
      <c r="CA106" s="102"/>
      <c r="CB106" s="102"/>
      <c r="CC106" s="102"/>
      <c r="CD106" s="102"/>
      <c r="CE106" s="102"/>
      <c r="CF106" s="102"/>
      <c r="CG106" s="102"/>
      <c r="CH106" s="102"/>
      <c r="CI106" s="102"/>
      <c r="CJ106" s="102"/>
      <c r="CK106" s="102"/>
      <c r="CL106" s="102"/>
      <c r="CM106" s="102"/>
      <c r="CN106" s="102"/>
      <c r="CO106" s="102"/>
      <c r="CP106" s="102"/>
      <c r="CQ106" s="102"/>
      <c r="CR106" s="102"/>
      <c r="CS106" s="102"/>
      <c r="CT106" s="102"/>
      <c r="CU106" s="102"/>
      <c r="CV106" s="102"/>
      <c r="CW106" s="102"/>
      <c r="CX106" s="102"/>
      <c r="CY106" s="102"/>
      <c r="CZ106" s="102"/>
      <c r="DA106" s="102"/>
      <c r="DB106" s="102"/>
      <c r="DC106" s="102"/>
      <c r="DD106" s="102"/>
      <c r="DE106" s="102"/>
      <c r="DF106" s="102"/>
      <c r="DG106" s="102"/>
      <c r="DH106" s="102"/>
      <c r="DI106" s="102"/>
      <c r="DJ106" s="102"/>
      <c r="DK106" s="102"/>
      <c r="DL106" s="102"/>
      <c r="DM106" s="102"/>
      <c r="DN106" s="102"/>
      <c r="DO106" s="102"/>
      <c r="DP106" s="102"/>
      <c r="DQ106" s="102"/>
      <c r="DR106" s="102"/>
      <c r="DS106" s="102"/>
      <c r="DT106" s="102"/>
      <c r="DU106" s="102"/>
      <c r="DV106" s="102"/>
      <c r="DW106" s="102"/>
      <c r="DX106" s="102"/>
      <c r="DY106" s="102"/>
      <c r="DZ106" s="102"/>
      <c r="EA106" s="102"/>
      <c r="EB106" s="102"/>
      <c r="EC106" s="102"/>
      <c r="ED106" s="102"/>
      <c r="EE106" s="102"/>
      <c r="EF106" s="102"/>
      <c r="EG106" s="102"/>
      <c r="EH106" s="102"/>
      <c r="EI106" s="102"/>
      <c r="EJ106" s="102"/>
      <c r="EK106" s="102"/>
      <c r="EL106" s="102"/>
      <c r="EM106" s="102"/>
      <c r="EN106" s="102"/>
    </row>
    <row r="107">
      <c r="A107" s="110" t="s">
        <v>210</v>
      </c>
      <c r="B107" s="112"/>
      <c r="C107" s="112"/>
      <c r="D107" s="112"/>
      <c r="E107" s="112"/>
      <c r="F107" s="112"/>
      <c r="G107" s="113"/>
      <c r="H107" s="114"/>
      <c r="I107" s="116"/>
      <c r="J107" s="116"/>
      <c r="K107" s="116"/>
      <c r="L107" s="116"/>
      <c r="M107" s="116"/>
      <c r="N107" s="116"/>
      <c r="O107" s="116"/>
      <c r="P107" s="116"/>
      <c r="Q107" s="116"/>
      <c r="R107" s="116"/>
      <c r="S107" s="117"/>
      <c r="T107" s="120"/>
      <c r="U107" s="120"/>
      <c r="V107" s="120"/>
      <c r="W107" s="120"/>
      <c r="X107" s="120"/>
      <c r="Y107" s="120"/>
      <c r="Z107" s="120"/>
      <c r="AA107" s="120"/>
      <c r="AB107" s="120"/>
      <c r="AC107" s="121" t="s">
        <v>98</v>
      </c>
      <c r="AD107" s="120"/>
      <c r="AE107" s="122"/>
      <c r="AF107" s="123"/>
      <c r="AG107" s="124"/>
      <c r="AH107" s="124"/>
      <c r="AI107" s="124"/>
      <c r="AJ107" s="124"/>
      <c r="AK107" s="124"/>
      <c r="AL107" s="124"/>
      <c r="AM107" s="124"/>
      <c r="AN107" s="124"/>
      <c r="AO107" s="125" t="s">
        <v>98</v>
      </c>
      <c r="AP107" s="124"/>
      <c r="AQ107" s="126"/>
      <c r="AR107" s="127"/>
      <c r="AS107" s="128" t="s">
        <v>98</v>
      </c>
      <c r="AT107" s="129"/>
      <c r="AU107" s="128" t="s">
        <v>98</v>
      </c>
      <c r="AV107" s="129"/>
      <c r="AW107" s="129"/>
      <c r="AX107" s="129"/>
      <c r="AY107" s="129"/>
      <c r="AZ107" s="129"/>
      <c r="BA107" s="129"/>
      <c r="BB107" s="129"/>
      <c r="BC107" s="130"/>
      <c r="BD107" s="129"/>
      <c r="BE107" s="129"/>
      <c r="BF107" s="129"/>
      <c r="BG107" s="129"/>
      <c r="BH107" s="102"/>
      <c r="BI107" s="102"/>
      <c r="BJ107" s="102"/>
      <c r="BK107" s="102"/>
      <c r="BL107" s="102"/>
      <c r="BM107" s="102"/>
      <c r="BN107" s="102"/>
      <c r="BO107" s="102"/>
      <c r="BP107" s="102"/>
      <c r="BQ107" s="102"/>
      <c r="BR107" s="102"/>
      <c r="BS107" s="102"/>
      <c r="BT107" s="102"/>
      <c r="BU107" s="102"/>
      <c r="BV107" s="102"/>
      <c r="BW107" s="102"/>
      <c r="BX107" s="102"/>
      <c r="BY107" s="102"/>
      <c r="BZ107" s="102"/>
      <c r="CA107" s="102"/>
      <c r="CB107" s="102"/>
      <c r="CC107" s="102"/>
      <c r="CD107" s="102"/>
      <c r="CE107" s="102"/>
      <c r="CF107" s="102"/>
      <c r="CG107" s="102"/>
      <c r="CH107" s="102"/>
      <c r="CI107" s="102"/>
      <c r="CJ107" s="102"/>
      <c r="CK107" s="102"/>
      <c r="CL107" s="102"/>
      <c r="CM107" s="102"/>
      <c r="CN107" s="102"/>
      <c r="CO107" s="102"/>
      <c r="CP107" s="102"/>
      <c r="CQ107" s="102"/>
      <c r="CR107" s="102"/>
      <c r="CS107" s="102"/>
      <c r="CT107" s="102"/>
      <c r="CU107" s="102"/>
      <c r="CV107" s="102"/>
      <c r="CW107" s="102"/>
      <c r="CX107" s="102"/>
      <c r="CY107" s="102"/>
      <c r="CZ107" s="102"/>
      <c r="DA107" s="102"/>
      <c r="DB107" s="102"/>
      <c r="DC107" s="102"/>
      <c r="DD107" s="102"/>
      <c r="DE107" s="102"/>
      <c r="DF107" s="102"/>
      <c r="DG107" s="102"/>
      <c r="DH107" s="102"/>
      <c r="DI107" s="102"/>
      <c r="DJ107" s="102"/>
      <c r="DK107" s="102"/>
      <c r="DL107" s="102"/>
      <c r="DM107" s="102"/>
      <c r="DN107" s="102"/>
      <c r="DO107" s="102"/>
      <c r="DP107" s="102"/>
      <c r="DQ107" s="102"/>
      <c r="DR107" s="102"/>
      <c r="DS107" s="102"/>
      <c r="DT107" s="102"/>
      <c r="DU107" s="102"/>
      <c r="DV107" s="102"/>
      <c r="DW107" s="102"/>
      <c r="DX107" s="102"/>
      <c r="DY107" s="102"/>
      <c r="DZ107" s="102"/>
      <c r="EA107" s="102"/>
      <c r="EB107" s="102"/>
      <c r="EC107" s="102"/>
      <c r="ED107" s="102"/>
      <c r="EE107" s="102"/>
      <c r="EF107" s="102"/>
      <c r="EG107" s="102"/>
      <c r="EH107" s="102"/>
      <c r="EI107" s="102"/>
      <c r="EJ107" s="102"/>
      <c r="EK107" s="102"/>
      <c r="EL107" s="102"/>
      <c r="EM107" s="102"/>
      <c r="EN107" s="102"/>
    </row>
    <row r="108">
      <c r="A108" s="103" t="s">
        <v>211</v>
      </c>
      <c r="B108" s="105"/>
      <c r="C108" s="105"/>
      <c r="D108" s="105"/>
      <c r="E108" s="105"/>
      <c r="F108" s="105"/>
      <c r="G108" s="106"/>
      <c r="H108" s="107"/>
      <c r="I108" s="105"/>
      <c r="J108" s="105"/>
      <c r="K108" s="105"/>
      <c r="L108" s="105"/>
      <c r="M108" s="105"/>
      <c r="N108" s="105"/>
      <c r="O108" s="105"/>
      <c r="P108" s="105"/>
      <c r="Q108" s="105"/>
      <c r="R108" s="105"/>
      <c r="S108" s="106"/>
      <c r="T108" s="105"/>
      <c r="U108" s="105"/>
      <c r="V108" s="105"/>
      <c r="W108" s="105"/>
      <c r="X108" s="105"/>
      <c r="Y108" s="105"/>
      <c r="Z108" s="105"/>
      <c r="AA108" s="105"/>
      <c r="AB108" s="105"/>
      <c r="AC108" s="105"/>
      <c r="AD108" s="105"/>
      <c r="AE108" s="106"/>
      <c r="AF108" s="107"/>
      <c r="AG108" s="105"/>
      <c r="AH108" s="105"/>
      <c r="AI108" s="105"/>
      <c r="AJ108" s="105"/>
      <c r="AK108" s="105"/>
      <c r="AL108" s="105"/>
      <c r="AM108" s="105"/>
      <c r="AN108" s="105"/>
      <c r="AO108" s="105"/>
      <c r="AP108" s="105"/>
      <c r="AQ108" s="106"/>
      <c r="AR108" s="107"/>
      <c r="AS108" s="105"/>
      <c r="AT108" s="105"/>
      <c r="AU108" s="105"/>
      <c r="AV108" s="105"/>
      <c r="AW108" s="105"/>
      <c r="AX108" s="105"/>
      <c r="AY108" s="105"/>
      <c r="AZ108" s="105"/>
      <c r="BA108" s="105"/>
      <c r="BB108" s="105"/>
      <c r="BC108" s="106"/>
      <c r="BD108" s="105"/>
      <c r="BE108" s="105"/>
      <c r="BF108" s="105"/>
      <c r="BG108" s="105"/>
      <c r="BH108" s="102"/>
      <c r="BI108" s="102"/>
      <c r="BJ108" s="102"/>
      <c r="BK108" s="102"/>
      <c r="BL108" s="102"/>
      <c r="BM108" s="102"/>
      <c r="BN108" s="102"/>
      <c r="BO108" s="102"/>
      <c r="BP108" s="102"/>
      <c r="BQ108" s="102"/>
      <c r="BR108" s="102"/>
      <c r="BS108" s="102"/>
      <c r="BT108" s="102"/>
      <c r="BU108" s="102"/>
      <c r="BV108" s="102"/>
      <c r="BW108" s="102"/>
      <c r="BX108" s="102"/>
      <c r="BY108" s="102"/>
      <c r="BZ108" s="102"/>
      <c r="CA108" s="102"/>
      <c r="CB108" s="102"/>
      <c r="CC108" s="102"/>
      <c r="CD108" s="102"/>
      <c r="CE108" s="102"/>
      <c r="CF108" s="102"/>
      <c r="CG108" s="102"/>
      <c r="CH108" s="102"/>
      <c r="CI108" s="102"/>
      <c r="CJ108" s="102"/>
      <c r="CK108" s="102"/>
      <c r="CL108" s="102"/>
      <c r="CM108" s="102"/>
      <c r="CN108" s="102"/>
      <c r="CO108" s="102"/>
      <c r="CP108" s="102"/>
      <c r="CQ108" s="102"/>
      <c r="CR108" s="102"/>
      <c r="CS108" s="102"/>
      <c r="CT108" s="102"/>
      <c r="CU108" s="102"/>
      <c r="CV108" s="102"/>
      <c r="CW108" s="102"/>
      <c r="CX108" s="102"/>
      <c r="CY108" s="102"/>
      <c r="CZ108" s="102"/>
      <c r="DA108" s="102"/>
      <c r="DB108" s="102"/>
      <c r="DC108" s="102"/>
      <c r="DD108" s="102"/>
      <c r="DE108" s="102"/>
      <c r="DF108" s="102"/>
      <c r="DG108" s="102"/>
      <c r="DH108" s="102"/>
      <c r="DI108" s="102"/>
      <c r="DJ108" s="102"/>
      <c r="DK108" s="102"/>
      <c r="DL108" s="102"/>
      <c r="DM108" s="102"/>
      <c r="DN108" s="102"/>
      <c r="DO108" s="102"/>
      <c r="DP108" s="102"/>
      <c r="DQ108" s="102"/>
      <c r="DR108" s="102"/>
      <c r="DS108" s="102"/>
      <c r="DT108" s="102"/>
      <c r="DU108" s="102"/>
      <c r="DV108" s="102"/>
      <c r="DW108" s="102"/>
      <c r="DX108" s="102"/>
      <c r="DY108" s="102"/>
      <c r="DZ108" s="102"/>
      <c r="EA108" s="102"/>
      <c r="EB108" s="102"/>
      <c r="EC108" s="102"/>
      <c r="ED108" s="102"/>
      <c r="EE108" s="102"/>
      <c r="EF108" s="102"/>
      <c r="EG108" s="102"/>
      <c r="EH108" s="102"/>
      <c r="EI108" s="102"/>
      <c r="EJ108" s="102"/>
      <c r="EK108" s="102"/>
      <c r="EL108" s="102"/>
      <c r="EM108" s="102"/>
      <c r="EN108" s="102"/>
    </row>
    <row r="109">
      <c r="A109" s="110" t="s">
        <v>212</v>
      </c>
      <c r="B109" s="112"/>
      <c r="C109" s="112"/>
      <c r="D109" s="112"/>
      <c r="E109" s="112"/>
      <c r="F109" s="112"/>
      <c r="G109" s="113"/>
      <c r="H109" s="114"/>
      <c r="I109" s="116"/>
      <c r="J109" s="116"/>
      <c r="K109" s="116"/>
      <c r="L109" s="116"/>
      <c r="M109" s="116"/>
      <c r="N109" s="116"/>
      <c r="O109" s="116"/>
      <c r="P109" s="116"/>
      <c r="Q109" s="116"/>
      <c r="R109" s="116"/>
      <c r="S109" s="117"/>
      <c r="T109" s="120"/>
      <c r="U109" s="120"/>
      <c r="V109" s="120"/>
      <c r="W109" s="120"/>
      <c r="X109" s="120"/>
      <c r="Y109" s="120"/>
      <c r="Z109" s="120"/>
      <c r="AA109" s="120"/>
      <c r="AB109" s="120"/>
      <c r="AC109" s="120"/>
      <c r="AD109" s="120"/>
      <c r="AE109" s="122"/>
      <c r="AF109" s="123"/>
      <c r="AG109" s="124"/>
      <c r="AH109" s="124"/>
      <c r="AI109" s="124"/>
      <c r="AJ109" s="124"/>
      <c r="AK109" s="124"/>
      <c r="AL109" s="124"/>
      <c r="AM109" s="124"/>
      <c r="AN109" s="124"/>
      <c r="AO109" s="124"/>
      <c r="AP109" s="124"/>
      <c r="AQ109" s="126"/>
      <c r="AR109" s="127"/>
      <c r="AS109" s="129"/>
      <c r="AT109" s="129"/>
      <c r="AU109" s="129"/>
      <c r="AV109" s="129"/>
      <c r="AW109" s="129"/>
      <c r="AX109" s="129"/>
      <c r="AY109" s="129"/>
      <c r="AZ109" s="129"/>
      <c r="BA109" s="129"/>
      <c r="BB109" s="129"/>
      <c r="BC109" s="130"/>
      <c r="BD109" s="129"/>
      <c r="BE109" s="129"/>
      <c r="BF109" s="129"/>
      <c r="BG109" s="129"/>
      <c r="BH109" s="102"/>
      <c r="BI109" s="102"/>
      <c r="BJ109" s="102"/>
      <c r="BK109" s="102"/>
      <c r="BL109" s="102"/>
      <c r="BM109" s="102"/>
      <c r="BN109" s="102"/>
      <c r="BO109" s="102"/>
      <c r="BP109" s="102"/>
      <c r="BQ109" s="102"/>
      <c r="BR109" s="102"/>
      <c r="BS109" s="102"/>
      <c r="BT109" s="102"/>
      <c r="BU109" s="102"/>
      <c r="BV109" s="102"/>
      <c r="BW109" s="102"/>
      <c r="BX109" s="102"/>
      <c r="BY109" s="102"/>
      <c r="BZ109" s="102"/>
      <c r="CA109" s="102"/>
      <c r="CB109" s="102"/>
      <c r="CC109" s="102"/>
      <c r="CD109" s="102"/>
      <c r="CE109" s="102"/>
      <c r="CF109" s="102"/>
      <c r="CG109" s="102"/>
      <c r="CH109" s="102"/>
      <c r="CI109" s="102"/>
      <c r="CJ109" s="102"/>
      <c r="CK109" s="102"/>
      <c r="CL109" s="102"/>
      <c r="CM109" s="102"/>
      <c r="CN109" s="102"/>
      <c r="CO109" s="102"/>
      <c r="CP109" s="102"/>
      <c r="CQ109" s="102"/>
      <c r="CR109" s="102"/>
      <c r="CS109" s="102"/>
      <c r="CT109" s="102"/>
      <c r="CU109" s="102"/>
      <c r="CV109" s="102"/>
      <c r="CW109" s="102"/>
      <c r="CX109" s="102"/>
      <c r="CY109" s="102"/>
      <c r="CZ109" s="102"/>
      <c r="DA109" s="102"/>
      <c r="DB109" s="102"/>
      <c r="DC109" s="102"/>
      <c r="DD109" s="102"/>
      <c r="DE109" s="102"/>
      <c r="DF109" s="102"/>
      <c r="DG109" s="102"/>
      <c r="DH109" s="102"/>
      <c r="DI109" s="102"/>
      <c r="DJ109" s="102"/>
      <c r="DK109" s="102"/>
      <c r="DL109" s="102"/>
      <c r="DM109" s="102"/>
      <c r="DN109" s="102"/>
      <c r="DO109" s="102"/>
      <c r="DP109" s="102"/>
      <c r="DQ109" s="102"/>
      <c r="DR109" s="102"/>
      <c r="DS109" s="102"/>
      <c r="DT109" s="102"/>
      <c r="DU109" s="102"/>
      <c r="DV109" s="102"/>
      <c r="DW109" s="102"/>
      <c r="DX109" s="102"/>
      <c r="DY109" s="102"/>
      <c r="DZ109" s="102"/>
      <c r="EA109" s="102"/>
      <c r="EB109" s="102"/>
      <c r="EC109" s="102"/>
      <c r="ED109" s="102"/>
      <c r="EE109" s="102"/>
      <c r="EF109" s="102"/>
      <c r="EG109" s="102"/>
      <c r="EH109" s="102"/>
      <c r="EI109" s="102"/>
      <c r="EJ109" s="102"/>
      <c r="EK109" s="102"/>
      <c r="EL109" s="102"/>
      <c r="EM109" s="102"/>
      <c r="EN109" s="102"/>
    </row>
    <row r="110">
      <c r="A110" s="103" t="s">
        <v>213</v>
      </c>
      <c r="B110" s="103" t="s">
        <v>99</v>
      </c>
      <c r="C110" s="103" t="s">
        <v>98</v>
      </c>
      <c r="D110" s="103" t="s">
        <v>99</v>
      </c>
      <c r="E110" s="103" t="s">
        <v>98</v>
      </c>
      <c r="F110" s="103" t="s">
        <v>99</v>
      </c>
      <c r="G110" s="136" t="s">
        <v>98</v>
      </c>
      <c r="H110" s="108" t="s">
        <v>99</v>
      </c>
      <c r="I110" s="103" t="s">
        <v>98</v>
      </c>
      <c r="J110" s="103" t="s">
        <v>99</v>
      </c>
      <c r="K110" s="103" t="s">
        <v>98</v>
      </c>
      <c r="L110" s="103" t="s">
        <v>99</v>
      </c>
      <c r="M110" s="103" t="s">
        <v>98</v>
      </c>
      <c r="N110" s="103" t="s">
        <v>99</v>
      </c>
      <c r="O110" s="103" t="s">
        <v>98</v>
      </c>
      <c r="P110" s="103" t="s">
        <v>99</v>
      </c>
      <c r="Q110" s="103" t="s">
        <v>98</v>
      </c>
      <c r="R110" s="103" t="s">
        <v>99</v>
      </c>
      <c r="S110" s="136" t="s">
        <v>98</v>
      </c>
      <c r="T110" s="103" t="s">
        <v>99</v>
      </c>
      <c r="U110" s="103" t="s">
        <v>99</v>
      </c>
      <c r="V110" s="103" t="s">
        <v>98</v>
      </c>
      <c r="W110" s="103" t="s">
        <v>99</v>
      </c>
      <c r="X110" s="103" t="s">
        <v>99</v>
      </c>
      <c r="Y110" s="103" t="s">
        <v>98</v>
      </c>
      <c r="Z110" s="103" t="s">
        <v>99</v>
      </c>
      <c r="AA110" s="103" t="s">
        <v>99</v>
      </c>
      <c r="AB110" s="103" t="s">
        <v>99</v>
      </c>
      <c r="AC110" s="103" t="s">
        <v>96</v>
      </c>
      <c r="AD110" s="103" t="s">
        <v>97</v>
      </c>
      <c r="AE110" s="136" t="s">
        <v>99</v>
      </c>
      <c r="AF110" s="108" t="s">
        <v>96</v>
      </c>
      <c r="AG110" s="103" t="s">
        <v>96</v>
      </c>
      <c r="AH110" s="103" t="s">
        <v>99</v>
      </c>
      <c r="AI110" s="103" t="s">
        <v>99</v>
      </c>
      <c r="AJ110" s="103" t="s">
        <v>99</v>
      </c>
      <c r="AK110" s="103" t="s">
        <v>98</v>
      </c>
      <c r="AL110" s="103" t="s">
        <v>99</v>
      </c>
      <c r="AM110" s="103" t="s">
        <v>99</v>
      </c>
      <c r="AN110" s="103" t="s">
        <v>98</v>
      </c>
      <c r="AO110" s="103" t="s">
        <v>97</v>
      </c>
      <c r="AP110" s="103" t="s">
        <v>97</v>
      </c>
      <c r="AQ110" s="136" t="s">
        <v>99</v>
      </c>
      <c r="AR110" s="108" t="s">
        <v>99</v>
      </c>
      <c r="AS110" s="103" t="s">
        <v>99</v>
      </c>
      <c r="AT110" s="103" t="s">
        <v>96</v>
      </c>
      <c r="AU110" s="103" t="s">
        <v>96</v>
      </c>
      <c r="AV110" s="105"/>
      <c r="AW110" s="105"/>
      <c r="AX110" s="105"/>
      <c r="AY110" s="105"/>
      <c r="AZ110" s="105"/>
      <c r="BA110" s="105"/>
      <c r="BB110" s="105"/>
      <c r="BC110" s="106"/>
      <c r="BD110" s="105"/>
      <c r="BE110" s="105"/>
      <c r="BF110" s="105"/>
      <c r="BG110" s="105"/>
      <c r="BH110" s="102"/>
      <c r="BI110" s="102"/>
      <c r="BJ110" s="102"/>
      <c r="BK110" s="102"/>
      <c r="BL110" s="102"/>
      <c r="BM110" s="102"/>
      <c r="BN110" s="102"/>
      <c r="BO110" s="102"/>
      <c r="BP110" s="102"/>
      <c r="BQ110" s="102"/>
      <c r="BR110" s="102"/>
      <c r="BS110" s="102"/>
      <c r="BT110" s="102"/>
      <c r="BU110" s="102"/>
      <c r="BV110" s="102"/>
      <c r="BW110" s="102"/>
      <c r="BX110" s="102"/>
      <c r="BY110" s="102"/>
      <c r="BZ110" s="102"/>
      <c r="CA110" s="102"/>
      <c r="CB110" s="102"/>
      <c r="CC110" s="102"/>
      <c r="CD110" s="102"/>
      <c r="CE110" s="102"/>
      <c r="CF110" s="102"/>
      <c r="CG110" s="102"/>
      <c r="CH110" s="102"/>
      <c r="CI110" s="102"/>
      <c r="CJ110" s="102"/>
      <c r="CK110" s="102"/>
      <c r="CL110" s="102"/>
      <c r="CM110" s="102"/>
      <c r="CN110" s="102"/>
      <c r="CO110" s="102"/>
      <c r="CP110" s="102"/>
      <c r="CQ110" s="102"/>
      <c r="CR110" s="102"/>
      <c r="CS110" s="102"/>
      <c r="CT110" s="102"/>
      <c r="CU110" s="102"/>
      <c r="CV110" s="102"/>
      <c r="CW110" s="102"/>
      <c r="CX110" s="102"/>
      <c r="CY110" s="102"/>
      <c r="CZ110" s="102"/>
      <c r="DA110" s="102"/>
      <c r="DB110" s="102"/>
      <c r="DC110" s="102"/>
      <c r="DD110" s="102"/>
      <c r="DE110" s="102"/>
      <c r="DF110" s="102"/>
      <c r="DG110" s="102"/>
      <c r="DH110" s="102"/>
      <c r="DI110" s="102"/>
      <c r="DJ110" s="102"/>
      <c r="DK110" s="102"/>
      <c r="DL110" s="102"/>
      <c r="DM110" s="102"/>
      <c r="DN110" s="102"/>
      <c r="DO110" s="102"/>
      <c r="DP110" s="102"/>
      <c r="DQ110" s="102"/>
      <c r="DR110" s="102"/>
      <c r="DS110" s="102"/>
      <c r="DT110" s="102"/>
      <c r="DU110" s="102"/>
      <c r="DV110" s="102"/>
      <c r="DW110" s="102"/>
      <c r="DX110" s="102"/>
      <c r="DY110" s="102"/>
      <c r="DZ110" s="102"/>
      <c r="EA110" s="102"/>
      <c r="EB110" s="102"/>
      <c r="EC110" s="102"/>
      <c r="ED110" s="102"/>
      <c r="EE110" s="102"/>
      <c r="EF110" s="102"/>
      <c r="EG110" s="102"/>
      <c r="EH110" s="102"/>
      <c r="EI110" s="102"/>
      <c r="EJ110" s="102"/>
      <c r="EK110" s="102"/>
      <c r="EL110" s="102"/>
      <c r="EM110" s="102"/>
      <c r="EN110" s="102"/>
    </row>
    <row r="111">
      <c r="A111" s="138" t="s">
        <v>214</v>
      </c>
      <c r="B111" s="110" t="s">
        <v>98</v>
      </c>
      <c r="C111" s="110" t="s">
        <v>98</v>
      </c>
      <c r="D111" s="110" t="s">
        <v>98</v>
      </c>
      <c r="E111" s="110" t="s">
        <v>96</v>
      </c>
      <c r="F111" s="110" t="s">
        <v>98</v>
      </c>
      <c r="G111" s="137" t="s">
        <v>98</v>
      </c>
      <c r="H111" s="132" t="s">
        <v>98</v>
      </c>
      <c r="I111" s="115" t="s">
        <v>98</v>
      </c>
      <c r="J111" s="115" t="s">
        <v>98</v>
      </c>
      <c r="K111" s="115" t="s">
        <v>98</v>
      </c>
      <c r="L111" s="115" t="s">
        <v>98</v>
      </c>
      <c r="M111" s="115" t="s">
        <v>98</v>
      </c>
      <c r="N111" s="115" t="s">
        <v>98</v>
      </c>
      <c r="O111" s="115" t="s">
        <v>98</v>
      </c>
      <c r="P111" s="115" t="s">
        <v>99</v>
      </c>
      <c r="Q111" s="115" t="s">
        <v>98</v>
      </c>
      <c r="R111" s="115" t="s">
        <v>98</v>
      </c>
      <c r="S111" s="115" t="s">
        <v>98</v>
      </c>
      <c r="T111" s="121" t="s">
        <v>99</v>
      </c>
      <c r="U111" s="121" t="s">
        <v>99</v>
      </c>
      <c r="V111" s="121" t="s">
        <v>98</v>
      </c>
      <c r="W111" s="121" t="s">
        <v>99</v>
      </c>
      <c r="X111" s="121" t="s">
        <v>99</v>
      </c>
      <c r="Y111" s="121" t="s">
        <v>98</v>
      </c>
      <c r="Z111" s="121" t="s">
        <v>99</v>
      </c>
      <c r="AA111" s="121" t="s">
        <v>99</v>
      </c>
      <c r="AB111" s="121" t="s">
        <v>96</v>
      </c>
      <c r="AC111" s="121" t="s">
        <v>98</v>
      </c>
      <c r="AD111" s="121" t="s">
        <v>98</v>
      </c>
      <c r="AE111" s="140" t="s">
        <v>99</v>
      </c>
      <c r="AF111" s="134" t="s">
        <v>98</v>
      </c>
      <c r="AG111" s="125" t="s">
        <v>98</v>
      </c>
      <c r="AH111" s="125" t="s">
        <v>99</v>
      </c>
      <c r="AI111" s="125" t="s">
        <v>99</v>
      </c>
      <c r="AJ111" s="125" t="s">
        <v>99</v>
      </c>
      <c r="AK111" s="125" t="s">
        <v>97</v>
      </c>
      <c r="AL111" s="125" t="s">
        <v>99</v>
      </c>
      <c r="AM111" s="125" t="s">
        <v>99</v>
      </c>
      <c r="AN111" s="125" t="s">
        <v>96</v>
      </c>
      <c r="AO111" s="125" t="s">
        <v>98</v>
      </c>
      <c r="AP111" s="125" t="s">
        <v>97</v>
      </c>
      <c r="AQ111" s="133" t="s">
        <v>97</v>
      </c>
      <c r="AR111" s="135" t="s">
        <v>99</v>
      </c>
      <c r="AS111" s="128" t="s">
        <v>99</v>
      </c>
      <c r="AT111" s="128" t="s">
        <v>97</v>
      </c>
      <c r="AU111" s="128" t="s">
        <v>97</v>
      </c>
      <c r="AV111" s="129"/>
      <c r="AW111" s="129"/>
      <c r="AX111" s="129"/>
      <c r="AY111" s="129"/>
      <c r="AZ111" s="129"/>
      <c r="BA111" s="129"/>
      <c r="BB111" s="129"/>
      <c r="BC111" s="130"/>
      <c r="BD111" s="129"/>
      <c r="BE111" s="129"/>
      <c r="BF111" s="129"/>
      <c r="BG111" s="129"/>
      <c r="BH111" s="102"/>
      <c r="BI111" s="102"/>
      <c r="BJ111" s="102"/>
      <c r="BK111" s="102"/>
      <c r="BL111" s="102"/>
      <c r="BM111" s="102"/>
      <c r="BN111" s="102"/>
      <c r="BO111" s="102"/>
      <c r="BP111" s="102"/>
      <c r="BQ111" s="102"/>
      <c r="BR111" s="102"/>
      <c r="BS111" s="102"/>
      <c r="BT111" s="102"/>
      <c r="BU111" s="102"/>
      <c r="BV111" s="102"/>
      <c r="BW111" s="102"/>
      <c r="BX111" s="102"/>
      <c r="BY111" s="102"/>
      <c r="BZ111" s="102"/>
      <c r="CA111" s="102"/>
      <c r="CB111" s="102"/>
      <c r="CC111" s="102"/>
      <c r="CD111" s="102"/>
      <c r="CE111" s="102"/>
      <c r="CF111" s="102"/>
      <c r="CG111" s="102"/>
      <c r="CH111" s="102"/>
      <c r="CI111" s="102"/>
      <c r="CJ111" s="102"/>
      <c r="CK111" s="102"/>
      <c r="CL111" s="102"/>
      <c r="CM111" s="102"/>
      <c r="CN111" s="102"/>
      <c r="CO111" s="102"/>
      <c r="CP111" s="102"/>
      <c r="CQ111" s="102"/>
      <c r="CR111" s="102"/>
      <c r="CS111" s="102"/>
      <c r="CT111" s="102"/>
      <c r="CU111" s="102"/>
      <c r="CV111" s="102"/>
      <c r="CW111" s="102"/>
      <c r="CX111" s="102"/>
      <c r="CY111" s="102"/>
      <c r="CZ111" s="102"/>
      <c r="DA111" s="102"/>
      <c r="DB111" s="102"/>
      <c r="DC111" s="102"/>
      <c r="DD111" s="102"/>
      <c r="DE111" s="102"/>
      <c r="DF111" s="102"/>
      <c r="DG111" s="102"/>
      <c r="DH111" s="102"/>
      <c r="DI111" s="102"/>
      <c r="DJ111" s="102"/>
      <c r="DK111" s="102"/>
      <c r="DL111" s="102"/>
      <c r="DM111" s="102"/>
      <c r="DN111" s="102"/>
      <c r="DO111" s="102"/>
      <c r="DP111" s="102"/>
      <c r="DQ111" s="102"/>
      <c r="DR111" s="102"/>
      <c r="DS111" s="102"/>
      <c r="DT111" s="102"/>
      <c r="DU111" s="102"/>
      <c r="DV111" s="102"/>
      <c r="DW111" s="102"/>
      <c r="DX111" s="102"/>
      <c r="DY111" s="102"/>
      <c r="DZ111" s="102"/>
      <c r="EA111" s="102"/>
      <c r="EB111" s="102"/>
      <c r="EC111" s="102"/>
      <c r="ED111" s="102"/>
      <c r="EE111" s="102"/>
      <c r="EF111" s="102"/>
      <c r="EG111" s="102"/>
      <c r="EH111" s="102"/>
      <c r="EI111" s="102"/>
      <c r="EJ111" s="102"/>
      <c r="EK111" s="102"/>
      <c r="EL111" s="102"/>
      <c r="EM111" s="102"/>
      <c r="EN111" s="102"/>
    </row>
    <row r="112">
      <c r="A112" s="103" t="s">
        <v>215</v>
      </c>
      <c r="B112" s="103" t="s">
        <v>98</v>
      </c>
      <c r="C112" s="103" t="s">
        <v>99</v>
      </c>
      <c r="D112" s="103" t="s">
        <v>99</v>
      </c>
      <c r="E112" s="103" t="s">
        <v>96</v>
      </c>
      <c r="F112" s="103" t="s">
        <v>98</v>
      </c>
      <c r="G112" s="136" t="s">
        <v>99</v>
      </c>
      <c r="H112" s="108" t="s">
        <v>98</v>
      </c>
      <c r="I112" s="103" t="s">
        <v>99</v>
      </c>
      <c r="J112" s="103" t="s">
        <v>99</v>
      </c>
      <c r="K112" s="103" t="s">
        <v>98</v>
      </c>
      <c r="L112" s="103" t="s">
        <v>99</v>
      </c>
      <c r="M112" s="103" t="s">
        <v>99</v>
      </c>
      <c r="N112" s="103" t="s">
        <v>96</v>
      </c>
      <c r="O112" s="103" t="s">
        <v>99</v>
      </c>
      <c r="P112" s="103" t="s">
        <v>99</v>
      </c>
      <c r="Q112" s="103" t="s">
        <v>98</v>
      </c>
      <c r="R112" s="103" t="s">
        <v>99</v>
      </c>
      <c r="S112" s="136" t="s">
        <v>99</v>
      </c>
      <c r="T112" s="108" t="s">
        <v>99</v>
      </c>
      <c r="U112" s="103" t="s">
        <v>99</v>
      </c>
      <c r="V112" s="103" t="s">
        <v>96</v>
      </c>
      <c r="W112" s="103" t="s">
        <v>99</v>
      </c>
      <c r="X112" s="103" t="s">
        <v>99</v>
      </c>
      <c r="Y112" s="103" t="s">
        <v>99</v>
      </c>
      <c r="Z112" s="103" t="s">
        <v>98</v>
      </c>
      <c r="AA112" s="103" t="s">
        <v>99</v>
      </c>
      <c r="AB112" s="103" t="s">
        <v>99</v>
      </c>
      <c r="AC112" s="103" t="s">
        <v>98</v>
      </c>
      <c r="AD112" s="103" t="s">
        <v>98</v>
      </c>
      <c r="AE112" s="136" t="s">
        <v>99</v>
      </c>
      <c r="AF112" s="108" t="s">
        <v>99</v>
      </c>
      <c r="AG112" s="103" t="s">
        <v>98</v>
      </c>
      <c r="AH112" s="103" t="s">
        <v>99</v>
      </c>
      <c r="AI112" s="103" t="s">
        <v>99</v>
      </c>
      <c r="AJ112" s="103" t="s">
        <v>99</v>
      </c>
      <c r="AK112" s="103" t="s">
        <v>96</v>
      </c>
      <c r="AL112" s="103" t="s">
        <v>99</v>
      </c>
      <c r="AM112" s="103" t="s">
        <v>99</v>
      </c>
      <c r="AN112" s="103" t="s">
        <v>99</v>
      </c>
      <c r="AO112" s="103" t="s">
        <v>99</v>
      </c>
      <c r="AP112" s="103" t="s">
        <v>97</v>
      </c>
      <c r="AQ112" s="136" t="s">
        <v>98</v>
      </c>
      <c r="AR112" s="108" t="s">
        <v>99</v>
      </c>
      <c r="AS112" s="103" t="s">
        <v>98</v>
      </c>
      <c r="AT112" s="103" t="s">
        <v>96</v>
      </c>
      <c r="AU112" s="103" t="s">
        <v>98</v>
      </c>
      <c r="AV112" s="105"/>
      <c r="AW112" s="105"/>
      <c r="AX112" s="105"/>
      <c r="AY112" s="105"/>
      <c r="AZ112" s="105"/>
      <c r="BA112" s="105"/>
      <c r="BB112" s="105"/>
      <c r="BC112" s="106"/>
      <c r="BD112" s="105"/>
      <c r="BE112" s="105"/>
      <c r="BF112" s="105"/>
      <c r="BG112" s="105"/>
      <c r="BH112" s="102"/>
      <c r="BI112" s="102"/>
      <c r="BJ112" s="102"/>
      <c r="BK112" s="102"/>
      <c r="BL112" s="102"/>
      <c r="BM112" s="102"/>
      <c r="BN112" s="102"/>
      <c r="BO112" s="102"/>
      <c r="BP112" s="102"/>
      <c r="BQ112" s="102"/>
      <c r="BR112" s="102"/>
      <c r="BS112" s="102"/>
      <c r="BT112" s="102"/>
      <c r="BU112" s="102"/>
      <c r="BV112" s="102"/>
      <c r="BW112" s="102"/>
      <c r="BX112" s="102"/>
      <c r="BY112" s="102"/>
      <c r="BZ112" s="102"/>
      <c r="CA112" s="102"/>
      <c r="CB112" s="102"/>
      <c r="CC112" s="102"/>
      <c r="CD112" s="102"/>
      <c r="CE112" s="102"/>
      <c r="CF112" s="102"/>
      <c r="CG112" s="102"/>
      <c r="CH112" s="102"/>
      <c r="CI112" s="102"/>
      <c r="CJ112" s="102"/>
      <c r="CK112" s="102"/>
      <c r="CL112" s="102"/>
      <c r="CM112" s="102"/>
      <c r="CN112" s="102"/>
      <c r="CO112" s="102"/>
      <c r="CP112" s="102"/>
      <c r="CQ112" s="102"/>
      <c r="CR112" s="102"/>
      <c r="CS112" s="102"/>
      <c r="CT112" s="102"/>
      <c r="CU112" s="102"/>
      <c r="CV112" s="102"/>
      <c r="CW112" s="102"/>
      <c r="CX112" s="102"/>
      <c r="CY112" s="102"/>
      <c r="CZ112" s="102"/>
      <c r="DA112" s="102"/>
      <c r="DB112" s="102"/>
      <c r="DC112" s="102"/>
      <c r="DD112" s="102"/>
      <c r="DE112" s="102"/>
      <c r="DF112" s="102"/>
      <c r="DG112" s="102"/>
      <c r="DH112" s="102"/>
      <c r="DI112" s="102"/>
      <c r="DJ112" s="102"/>
      <c r="DK112" s="102"/>
      <c r="DL112" s="102"/>
      <c r="DM112" s="102"/>
      <c r="DN112" s="102"/>
      <c r="DO112" s="102"/>
      <c r="DP112" s="102"/>
      <c r="DQ112" s="102"/>
      <c r="DR112" s="102"/>
      <c r="DS112" s="102"/>
      <c r="DT112" s="102"/>
      <c r="DU112" s="102"/>
      <c r="DV112" s="102"/>
      <c r="DW112" s="102"/>
      <c r="DX112" s="102"/>
      <c r="DY112" s="102"/>
      <c r="DZ112" s="102"/>
      <c r="EA112" s="102"/>
      <c r="EB112" s="102"/>
      <c r="EC112" s="102"/>
      <c r="ED112" s="102"/>
      <c r="EE112" s="102"/>
      <c r="EF112" s="102"/>
      <c r="EG112" s="102"/>
      <c r="EH112" s="102"/>
      <c r="EI112" s="102"/>
      <c r="EJ112" s="102"/>
      <c r="EK112" s="102"/>
      <c r="EL112" s="102"/>
      <c r="EM112" s="102"/>
      <c r="EN112" s="102"/>
    </row>
    <row r="113">
      <c r="A113" s="110" t="s">
        <v>216</v>
      </c>
      <c r="B113" s="110" t="s">
        <v>96</v>
      </c>
      <c r="C113" s="112"/>
      <c r="D113" s="112"/>
      <c r="E113" s="112"/>
      <c r="F113" s="112"/>
      <c r="G113" s="113"/>
      <c r="H113" s="132" t="s">
        <v>97</v>
      </c>
      <c r="I113" s="115" t="s">
        <v>98</v>
      </c>
      <c r="J113" s="116"/>
      <c r="K113" s="116"/>
      <c r="L113" s="116"/>
      <c r="M113" s="116"/>
      <c r="N113" s="116"/>
      <c r="O113" s="115" t="s">
        <v>99</v>
      </c>
      <c r="P113" s="115" t="s">
        <v>99</v>
      </c>
      <c r="Q113" s="116"/>
      <c r="R113" s="116"/>
      <c r="S113" s="117"/>
      <c r="T113" s="118"/>
      <c r="U113" s="121" t="s">
        <v>99</v>
      </c>
      <c r="V113" s="120"/>
      <c r="W113" s="120"/>
      <c r="X113" s="120"/>
      <c r="Y113" s="120"/>
      <c r="Z113" s="121" t="s">
        <v>97</v>
      </c>
      <c r="AA113" s="120"/>
      <c r="AB113" s="121" t="s">
        <v>96</v>
      </c>
      <c r="AC113" s="120"/>
      <c r="AD113" s="120"/>
      <c r="AE113" s="122"/>
      <c r="AF113" s="123"/>
      <c r="AG113" s="124"/>
      <c r="AH113" s="124"/>
      <c r="AI113" s="125" t="s">
        <v>99</v>
      </c>
      <c r="AJ113" s="124"/>
      <c r="AK113" s="125" t="s">
        <v>96</v>
      </c>
      <c r="AL113" s="124"/>
      <c r="AM113" s="124"/>
      <c r="AN113" s="125" t="s">
        <v>97</v>
      </c>
      <c r="AO113" s="125" t="s">
        <v>97</v>
      </c>
      <c r="AP113" s="124"/>
      <c r="AQ113" s="126"/>
      <c r="AR113" s="127"/>
      <c r="AS113" s="129"/>
      <c r="AT113" s="129"/>
      <c r="AU113" s="128" t="s">
        <v>106</v>
      </c>
      <c r="AV113" s="129"/>
      <c r="AW113" s="129"/>
      <c r="AX113" s="129"/>
      <c r="AY113" s="129"/>
      <c r="AZ113" s="129"/>
      <c r="BA113" s="129"/>
      <c r="BB113" s="129"/>
      <c r="BC113" s="130"/>
      <c r="BD113" s="129"/>
      <c r="BE113" s="129"/>
      <c r="BF113" s="129"/>
      <c r="BG113" s="129"/>
      <c r="BH113" s="102"/>
      <c r="BI113" s="102"/>
      <c r="BJ113" s="102"/>
      <c r="BK113" s="102"/>
      <c r="BL113" s="102"/>
      <c r="BM113" s="102"/>
      <c r="BN113" s="102"/>
      <c r="BO113" s="102"/>
      <c r="BP113" s="102"/>
      <c r="BQ113" s="102"/>
      <c r="BR113" s="102"/>
      <c r="BS113" s="102"/>
      <c r="BT113" s="102"/>
      <c r="BU113" s="102"/>
      <c r="BV113" s="102"/>
      <c r="BW113" s="102"/>
      <c r="BX113" s="102"/>
      <c r="BY113" s="102"/>
      <c r="BZ113" s="102"/>
      <c r="CA113" s="102"/>
      <c r="CB113" s="102"/>
      <c r="CC113" s="102"/>
      <c r="CD113" s="102"/>
      <c r="CE113" s="102"/>
      <c r="CF113" s="102"/>
      <c r="CG113" s="102"/>
      <c r="CH113" s="102"/>
      <c r="CI113" s="102"/>
      <c r="CJ113" s="102"/>
      <c r="CK113" s="102"/>
      <c r="CL113" s="102"/>
      <c r="CM113" s="102"/>
      <c r="CN113" s="102"/>
      <c r="CO113" s="102"/>
      <c r="CP113" s="102"/>
      <c r="CQ113" s="102"/>
      <c r="CR113" s="102"/>
      <c r="CS113" s="102"/>
      <c r="CT113" s="102"/>
      <c r="CU113" s="102"/>
      <c r="CV113" s="102"/>
      <c r="CW113" s="102"/>
      <c r="CX113" s="102"/>
      <c r="CY113" s="102"/>
      <c r="CZ113" s="102"/>
      <c r="DA113" s="102"/>
      <c r="DB113" s="102"/>
      <c r="DC113" s="102"/>
      <c r="DD113" s="102"/>
      <c r="DE113" s="102"/>
      <c r="DF113" s="102"/>
      <c r="DG113" s="102"/>
      <c r="DH113" s="102"/>
      <c r="DI113" s="102"/>
      <c r="DJ113" s="102"/>
      <c r="DK113" s="102"/>
      <c r="DL113" s="102"/>
      <c r="DM113" s="102"/>
      <c r="DN113" s="102"/>
      <c r="DO113" s="102"/>
      <c r="DP113" s="102"/>
      <c r="DQ113" s="102"/>
      <c r="DR113" s="102"/>
      <c r="DS113" s="102"/>
      <c r="DT113" s="102"/>
      <c r="DU113" s="102"/>
      <c r="DV113" s="102"/>
      <c r="DW113" s="102"/>
      <c r="DX113" s="102"/>
      <c r="DY113" s="102"/>
      <c r="DZ113" s="102"/>
      <c r="EA113" s="102"/>
      <c r="EB113" s="102"/>
      <c r="EC113" s="102"/>
      <c r="ED113" s="102"/>
      <c r="EE113" s="102"/>
      <c r="EF113" s="102"/>
      <c r="EG113" s="102"/>
      <c r="EH113" s="102"/>
      <c r="EI113" s="102"/>
      <c r="EJ113" s="102"/>
      <c r="EK113" s="102"/>
      <c r="EL113" s="102"/>
      <c r="EM113" s="102"/>
      <c r="EN113" s="102"/>
    </row>
    <row r="114">
      <c r="A114" s="103" t="s">
        <v>217</v>
      </c>
      <c r="B114" s="105"/>
      <c r="C114" s="105"/>
      <c r="D114" s="105"/>
      <c r="E114" s="105"/>
      <c r="F114" s="105"/>
      <c r="G114" s="106"/>
      <c r="H114" s="107"/>
      <c r="I114" s="105"/>
      <c r="J114" s="105"/>
      <c r="K114" s="105"/>
      <c r="L114" s="105"/>
      <c r="M114" s="105"/>
      <c r="N114" s="105"/>
      <c r="O114" s="105"/>
      <c r="P114" s="105"/>
      <c r="Q114" s="105"/>
      <c r="R114" s="105"/>
      <c r="S114" s="106"/>
      <c r="T114" s="105"/>
      <c r="U114" s="105"/>
      <c r="V114" s="105"/>
      <c r="W114" s="105"/>
      <c r="X114" s="105"/>
      <c r="Y114" s="105"/>
      <c r="Z114" s="105"/>
      <c r="AA114" s="105"/>
      <c r="AB114" s="105"/>
      <c r="AC114" s="103" t="s">
        <v>98</v>
      </c>
      <c r="AD114" s="105"/>
      <c r="AE114" s="106"/>
      <c r="AF114" s="107"/>
      <c r="AG114" s="105"/>
      <c r="AH114" s="105"/>
      <c r="AI114" s="105"/>
      <c r="AJ114" s="105"/>
      <c r="AK114" s="105"/>
      <c r="AL114" s="105"/>
      <c r="AM114" s="105"/>
      <c r="AN114" s="105"/>
      <c r="AO114" s="103" t="s">
        <v>98</v>
      </c>
      <c r="AP114" s="105"/>
      <c r="AQ114" s="106"/>
      <c r="AR114" s="107"/>
      <c r="AS114" s="103" t="s">
        <v>96</v>
      </c>
      <c r="AT114" s="103" t="s">
        <v>97</v>
      </c>
      <c r="AU114" s="103" t="s">
        <v>106</v>
      </c>
      <c r="AV114" s="105"/>
      <c r="AW114" s="105"/>
      <c r="AX114" s="105"/>
      <c r="AY114" s="105"/>
      <c r="AZ114" s="105"/>
      <c r="BA114" s="105"/>
      <c r="BB114" s="105"/>
      <c r="BC114" s="106"/>
      <c r="BD114" s="105"/>
      <c r="BE114" s="105"/>
      <c r="BF114" s="105"/>
      <c r="BG114" s="105"/>
      <c r="BH114" s="102"/>
      <c r="BI114" s="102"/>
      <c r="BJ114" s="102"/>
      <c r="BK114" s="102"/>
      <c r="BL114" s="102"/>
      <c r="BM114" s="102"/>
      <c r="BN114" s="102"/>
      <c r="BO114" s="102"/>
      <c r="BP114" s="102"/>
      <c r="BQ114" s="102"/>
      <c r="BR114" s="102"/>
      <c r="BS114" s="102"/>
      <c r="BT114" s="102"/>
      <c r="BU114" s="102"/>
      <c r="BV114" s="102"/>
      <c r="BW114" s="102"/>
      <c r="BX114" s="102"/>
      <c r="BY114" s="102"/>
      <c r="BZ114" s="102"/>
      <c r="CA114" s="102"/>
      <c r="CB114" s="102"/>
      <c r="CC114" s="102"/>
      <c r="CD114" s="102"/>
      <c r="CE114" s="102"/>
      <c r="CF114" s="102"/>
      <c r="CG114" s="102"/>
      <c r="CH114" s="102"/>
      <c r="CI114" s="102"/>
      <c r="CJ114" s="102"/>
      <c r="CK114" s="102"/>
      <c r="CL114" s="102"/>
      <c r="CM114" s="102"/>
      <c r="CN114" s="102"/>
      <c r="CO114" s="102"/>
      <c r="CP114" s="102"/>
      <c r="CQ114" s="102"/>
      <c r="CR114" s="102"/>
      <c r="CS114" s="102"/>
      <c r="CT114" s="102"/>
      <c r="CU114" s="102"/>
      <c r="CV114" s="102"/>
      <c r="CW114" s="102"/>
      <c r="CX114" s="102"/>
      <c r="CY114" s="102"/>
      <c r="CZ114" s="102"/>
      <c r="DA114" s="102"/>
      <c r="DB114" s="102"/>
      <c r="DC114" s="102"/>
      <c r="DD114" s="102"/>
      <c r="DE114" s="102"/>
      <c r="DF114" s="102"/>
      <c r="DG114" s="102"/>
      <c r="DH114" s="102"/>
      <c r="DI114" s="102"/>
      <c r="DJ114" s="102"/>
      <c r="DK114" s="102"/>
      <c r="DL114" s="102"/>
      <c r="DM114" s="102"/>
      <c r="DN114" s="102"/>
      <c r="DO114" s="102"/>
      <c r="DP114" s="102"/>
      <c r="DQ114" s="102"/>
      <c r="DR114" s="102"/>
      <c r="DS114" s="102"/>
      <c r="DT114" s="102"/>
      <c r="DU114" s="102"/>
      <c r="DV114" s="102"/>
      <c r="DW114" s="102"/>
      <c r="DX114" s="102"/>
      <c r="DY114" s="102"/>
      <c r="DZ114" s="102"/>
      <c r="EA114" s="102"/>
      <c r="EB114" s="102"/>
      <c r="EC114" s="102"/>
      <c r="ED114" s="102"/>
      <c r="EE114" s="102"/>
      <c r="EF114" s="102"/>
      <c r="EG114" s="102"/>
      <c r="EH114" s="102"/>
      <c r="EI114" s="102"/>
      <c r="EJ114" s="102"/>
      <c r="EK114" s="102"/>
      <c r="EL114" s="102"/>
      <c r="EM114" s="102"/>
      <c r="EN114" s="102"/>
    </row>
    <row r="115">
      <c r="A115" s="110" t="s">
        <v>218</v>
      </c>
      <c r="B115" s="112"/>
      <c r="C115" s="112"/>
      <c r="D115" s="112"/>
      <c r="E115" s="112"/>
      <c r="F115" s="112"/>
      <c r="G115" s="113"/>
      <c r="H115" s="114"/>
      <c r="I115" s="116"/>
      <c r="J115" s="116"/>
      <c r="K115" s="116"/>
      <c r="L115" s="116"/>
      <c r="M115" s="116"/>
      <c r="N115" s="116"/>
      <c r="O115" s="116"/>
      <c r="P115" s="116"/>
      <c r="Q115" s="116"/>
      <c r="R115" s="116"/>
      <c r="S115" s="117"/>
      <c r="T115" s="120"/>
      <c r="U115" s="120"/>
      <c r="V115" s="120"/>
      <c r="W115" s="120"/>
      <c r="X115" s="120"/>
      <c r="Y115" s="120"/>
      <c r="Z115" s="120"/>
      <c r="AA115" s="120"/>
      <c r="AB115" s="120"/>
      <c r="AC115" s="121" t="s">
        <v>98</v>
      </c>
      <c r="AD115" s="120"/>
      <c r="AE115" s="122"/>
      <c r="AF115" s="123"/>
      <c r="AG115" s="124"/>
      <c r="AH115" s="124"/>
      <c r="AI115" s="124"/>
      <c r="AJ115" s="124"/>
      <c r="AK115" s="124"/>
      <c r="AL115" s="124"/>
      <c r="AM115" s="124"/>
      <c r="AN115" s="124"/>
      <c r="AO115" s="125" t="s">
        <v>98</v>
      </c>
      <c r="AP115" s="124"/>
      <c r="AQ115" s="126"/>
      <c r="AR115" s="127"/>
      <c r="AS115" s="128" t="s">
        <v>96</v>
      </c>
      <c r="AT115" s="128" t="s">
        <v>98</v>
      </c>
      <c r="AU115" s="129"/>
      <c r="AV115" s="129"/>
      <c r="AW115" s="129"/>
      <c r="AX115" s="129"/>
      <c r="AY115" s="129"/>
      <c r="AZ115" s="129"/>
      <c r="BA115" s="129"/>
      <c r="BB115" s="129"/>
      <c r="BC115" s="130"/>
      <c r="BD115" s="129"/>
      <c r="BE115" s="129"/>
      <c r="BF115" s="129"/>
      <c r="BG115" s="129"/>
      <c r="BH115" s="102"/>
      <c r="BI115" s="102"/>
      <c r="BJ115" s="102"/>
      <c r="BK115" s="102"/>
      <c r="BL115" s="102"/>
      <c r="BM115" s="102"/>
      <c r="BN115" s="102"/>
      <c r="BO115" s="102"/>
      <c r="BP115" s="102"/>
      <c r="BQ115" s="102"/>
      <c r="BR115" s="102"/>
      <c r="BS115" s="102"/>
      <c r="BT115" s="102"/>
      <c r="BU115" s="102"/>
      <c r="BV115" s="102"/>
      <c r="BW115" s="102"/>
      <c r="BX115" s="102"/>
      <c r="BY115" s="102"/>
      <c r="BZ115" s="102"/>
      <c r="CA115" s="102"/>
      <c r="CB115" s="102"/>
      <c r="CC115" s="102"/>
      <c r="CD115" s="102"/>
      <c r="CE115" s="102"/>
      <c r="CF115" s="102"/>
      <c r="CG115" s="102"/>
      <c r="CH115" s="102"/>
      <c r="CI115" s="102"/>
      <c r="CJ115" s="102"/>
      <c r="CK115" s="102"/>
      <c r="CL115" s="102"/>
      <c r="CM115" s="102"/>
      <c r="CN115" s="102"/>
      <c r="CO115" s="102"/>
      <c r="CP115" s="102"/>
      <c r="CQ115" s="102"/>
      <c r="CR115" s="102"/>
      <c r="CS115" s="102"/>
      <c r="CT115" s="102"/>
      <c r="CU115" s="102"/>
      <c r="CV115" s="102"/>
      <c r="CW115" s="102"/>
      <c r="CX115" s="102"/>
      <c r="CY115" s="102"/>
      <c r="CZ115" s="102"/>
      <c r="DA115" s="102"/>
      <c r="DB115" s="102"/>
      <c r="DC115" s="102"/>
      <c r="DD115" s="102"/>
      <c r="DE115" s="102"/>
      <c r="DF115" s="102"/>
      <c r="DG115" s="102"/>
      <c r="DH115" s="102"/>
      <c r="DI115" s="102"/>
      <c r="DJ115" s="102"/>
      <c r="DK115" s="102"/>
      <c r="DL115" s="102"/>
      <c r="DM115" s="102"/>
      <c r="DN115" s="102"/>
      <c r="DO115" s="102"/>
      <c r="DP115" s="102"/>
      <c r="DQ115" s="102"/>
      <c r="DR115" s="102"/>
      <c r="DS115" s="102"/>
      <c r="DT115" s="102"/>
      <c r="DU115" s="102"/>
      <c r="DV115" s="102"/>
      <c r="DW115" s="102"/>
      <c r="DX115" s="102"/>
      <c r="DY115" s="102"/>
      <c r="DZ115" s="102"/>
      <c r="EA115" s="102"/>
      <c r="EB115" s="102"/>
      <c r="EC115" s="102"/>
      <c r="ED115" s="102"/>
      <c r="EE115" s="102"/>
      <c r="EF115" s="102"/>
      <c r="EG115" s="102"/>
      <c r="EH115" s="102"/>
      <c r="EI115" s="102"/>
      <c r="EJ115" s="102"/>
      <c r="EK115" s="102"/>
      <c r="EL115" s="102"/>
      <c r="EM115" s="102"/>
      <c r="EN115" s="102"/>
    </row>
    <row r="116">
      <c r="A116" s="103" t="s">
        <v>219</v>
      </c>
      <c r="B116" s="105"/>
      <c r="C116" s="105"/>
      <c r="D116" s="105"/>
      <c r="E116" s="105"/>
      <c r="F116" s="105"/>
      <c r="G116" s="106"/>
      <c r="H116" s="107"/>
      <c r="I116" s="105"/>
      <c r="J116" s="105"/>
      <c r="K116" s="105"/>
      <c r="L116" s="105"/>
      <c r="M116" s="105"/>
      <c r="N116" s="105"/>
      <c r="O116" s="105"/>
      <c r="P116" s="105"/>
      <c r="Q116" s="105"/>
      <c r="R116" s="105"/>
      <c r="S116" s="106"/>
      <c r="T116" s="105"/>
      <c r="U116" s="105"/>
      <c r="V116" s="105"/>
      <c r="W116" s="105"/>
      <c r="X116" s="105"/>
      <c r="Y116" s="105"/>
      <c r="Z116" s="105"/>
      <c r="AA116" s="105"/>
      <c r="AB116" s="105"/>
      <c r="AC116" s="103" t="s">
        <v>98</v>
      </c>
      <c r="AD116" s="105"/>
      <c r="AE116" s="106"/>
      <c r="AF116" s="107"/>
      <c r="AG116" s="105"/>
      <c r="AH116" s="105"/>
      <c r="AI116" s="105"/>
      <c r="AJ116" s="105"/>
      <c r="AK116" s="105"/>
      <c r="AL116" s="105"/>
      <c r="AM116" s="105"/>
      <c r="AN116" s="105"/>
      <c r="AO116" s="103" t="s">
        <v>97</v>
      </c>
      <c r="AP116" s="105"/>
      <c r="AQ116" s="106"/>
      <c r="AR116" s="107"/>
      <c r="AS116" s="103" t="s">
        <v>98</v>
      </c>
      <c r="AT116" s="103" t="s">
        <v>98</v>
      </c>
      <c r="AU116" s="105"/>
      <c r="AV116" s="105"/>
      <c r="AW116" s="105"/>
      <c r="AX116" s="105"/>
      <c r="AY116" s="105"/>
      <c r="AZ116" s="105"/>
      <c r="BA116" s="105"/>
      <c r="BB116" s="105"/>
      <c r="BC116" s="106"/>
      <c r="BD116" s="105"/>
      <c r="BE116" s="105"/>
      <c r="BF116" s="105"/>
      <c r="BG116" s="105"/>
      <c r="BH116" s="102"/>
      <c r="BI116" s="102"/>
      <c r="BJ116" s="102"/>
      <c r="BK116" s="102"/>
      <c r="BL116" s="102"/>
      <c r="BM116" s="102"/>
      <c r="BN116" s="102"/>
      <c r="BO116" s="102"/>
      <c r="BP116" s="102"/>
      <c r="BQ116" s="102"/>
      <c r="BR116" s="102"/>
      <c r="BS116" s="102"/>
      <c r="BT116" s="102"/>
      <c r="BU116" s="102"/>
      <c r="BV116" s="102"/>
      <c r="BW116" s="102"/>
      <c r="BX116" s="102"/>
      <c r="BY116" s="102"/>
      <c r="BZ116" s="102"/>
      <c r="CA116" s="102"/>
      <c r="CB116" s="102"/>
      <c r="CC116" s="102"/>
      <c r="CD116" s="102"/>
      <c r="CE116" s="102"/>
      <c r="CF116" s="102"/>
      <c r="CG116" s="102"/>
      <c r="CH116" s="102"/>
      <c r="CI116" s="102"/>
      <c r="CJ116" s="102"/>
      <c r="CK116" s="102"/>
      <c r="CL116" s="102"/>
      <c r="CM116" s="102"/>
      <c r="CN116" s="102"/>
      <c r="CO116" s="102"/>
      <c r="CP116" s="102"/>
      <c r="CQ116" s="102"/>
      <c r="CR116" s="102"/>
      <c r="CS116" s="102"/>
      <c r="CT116" s="102"/>
      <c r="CU116" s="102"/>
      <c r="CV116" s="102"/>
      <c r="CW116" s="102"/>
      <c r="CX116" s="102"/>
      <c r="CY116" s="102"/>
      <c r="CZ116" s="102"/>
      <c r="DA116" s="102"/>
      <c r="DB116" s="102"/>
      <c r="DC116" s="102"/>
      <c r="DD116" s="102"/>
      <c r="DE116" s="102"/>
      <c r="DF116" s="102"/>
      <c r="DG116" s="102"/>
      <c r="DH116" s="102"/>
      <c r="DI116" s="102"/>
      <c r="DJ116" s="102"/>
      <c r="DK116" s="102"/>
      <c r="DL116" s="102"/>
      <c r="DM116" s="102"/>
      <c r="DN116" s="102"/>
      <c r="DO116" s="102"/>
      <c r="DP116" s="102"/>
      <c r="DQ116" s="102"/>
      <c r="DR116" s="102"/>
      <c r="DS116" s="102"/>
      <c r="DT116" s="102"/>
      <c r="DU116" s="102"/>
      <c r="DV116" s="102"/>
      <c r="DW116" s="102"/>
      <c r="DX116" s="102"/>
      <c r="DY116" s="102"/>
      <c r="DZ116" s="102"/>
      <c r="EA116" s="102"/>
      <c r="EB116" s="102"/>
      <c r="EC116" s="102"/>
      <c r="ED116" s="102"/>
      <c r="EE116" s="102"/>
      <c r="EF116" s="102"/>
      <c r="EG116" s="102"/>
      <c r="EH116" s="102"/>
      <c r="EI116" s="102"/>
      <c r="EJ116" s="102"/>
      <c r="EK116" s="102"/>
      <c r="EL116" s="102"/>
      <c r="EM116" s="102"/>
      <c r="EN116" s="102"/>
    </row>
    <row r="117">
      <c r="A117" s="110" t="s">
        <v>220</v>
      </c>
      <c r="B117" s="110" t="s">
        <v>99</v>
      </c>
      <c r="C117" s="110" t="s">
        <v>98</v>
      </c>
      <c r="D117" s="110" t="s">
        <v>99</v>
      </c>
      <c r="E117" s="110" t="s">
        <v>96</v>
      </c>
      <c r="F117" s="110" t="s">
        <v>98</v>
      </c>
      <c r="G117" s="137" t="s">
        <v>98</v>
      </c>
      <c r="H117" s="132" t="s">
        <v>99</v>
      </c>
      <c r="I117" s="115" t="s">
        <v>98</v>
      </c>
      <c r="J117" s="115" t="s">
        <v>99</v>
      </c>
      <c r="K117" s="115" t="s">
        <v>98</v>
      </c>
      <c r="L117" s="115" t="s">
        <v>98</v>
      </c>
      <c r="M117" s="115" t="s">
        <v>98</v>
      </c>
      <c r="N117" s="115" t="s">
        <v>99</v>
      </c>
      <c r="O117" s="115" t="s">
        <v>98</v>
      </c>
      <c r="P117" s="115" t="s">
        <v>99</v>
      </c>
      <c r="Q117" s="115" t="s">
        <v>98</v>
      </c>
      <c r="R117" s="115" t="s">
        <v>99</v>
      </c>
      <c r="S117" s="143" t="s">
        <v>98</v>
      </c>
      <c r="T117" s="119" t="s">
        <v>99</v>
      </c>
      <c r="U117" s="121" t="s">
        <v>99</v>
      </c>
      <c r="V117" s="121" t="s">
        <v>98</v>
      </c>
      <c r="W117" s="121" t="s">
        <v>99</v>
      </c>
      <c r="X117" s="121" t="s">
        <v>99</v>
      </c>
      <c r="Y117" s="121" t="s">
        <v>98</v>
      </c>
      <c r="Z117" s="121" t="s">
        <v>99</v>
      </c>
      <c r="AA117" s="121" t="s">
        <v>99</v>
      </c>
      <c r="AB117" s="121" t="s">
        <v>99</v>
      </c>
      <c r="AC117" s="121" t="s">
        <v>98</v>
      </c>
      <c r="AD117" s="121" t="s">
        <v>98</v>
      </c>
      <c r="AE117" s="140" t="s">
        <v>99</v>
      </c>
      <c r="AF117" s="134" t="s">
        <v>98</v>
      </c>
      <c r="AG117" s="125" t="s">
        <v>99</v>
      </c>
      <c r="AH117" s="125" t="s">
        <v>99</v>
      </c>
      <c r="AI117" s="125" t="s">
        <v>99</v>
      </c>
      <c r="AJ117" s="125" t="s">
        <v>99</v>
      </c>
      <c r="AK117" s="125" t="s">
        <v>98</v>
      </c>
      <c r="AL117" s="125" t="s">
        <v>99</v>
      </c>
      <c r="AM117" s="125" t="s">
        <v>99</v>
      </c>
      <c r="AN117" s="125" t="s">
        <v>98</v>
      </c>
      <c r="AO117" s="125" t="s">
        <v>98</v>
      </c>
      <c r="AP117" s="125" t="s">
        <v>98</v>
      </c>
      <c r="AQ117" s="133" t="s">
        <v>99</v>
      </c>
      <c r="AR117" s="135" t="s">
        <v>99</v>
      </c>
      <c r="AS117" s="128" t="s">
        <v>99</v>
      </c>
      <c r="AT117" s="128" t="s">
        <v>98</v>
      </c>
      <c r="AU117" s="128" t="s">
        <v>98</v>
      </c>
      <c r="AV117" s="129"/>
      <c r="AW117" s="129"/>
      <c r="AX117" s="129"/>
      <c r="AY117" s="129"/>
      <c r="AZ117" s="129"/>
      <c r="BA117" s="129"/>
      <c r="BB117" s="129"/>
      <c r="BC117" s="130"/>
      <c r="BD117" s="129"/>
      <c r="BE117" s="129"/>
      <c r="BF117" s="129"/>
      <c r="BG117" s="129"/>
      <c r="BH117" s="102"/>
      <c r="BI117" s="102"/>
      <c r="BJ117" s="102"/>
      <c r="BK117" s="102"/>
      <c r="BL117" s="102"/>
      <c r="BM117" s="102"/>
      <c r="BN117" s="102"/>
      <c r="BO117" s="102"/>
      <c r="BP117" s="102"/>
      <c r="BQ117" s="102"/>
      <c r="BR117" s="102"/>
      <c r="BS117" s="102"/>
      <c r="BT117" s="102"/>
      <c r="BU117" s="102"/>
      <c r="BV117" s="102"/>
      <c r="BW117" s="102"/>
      <c r="BX117" s="102"/>
      <c r="BY117" s="102"/>
      <c r="BZ117" s="102"/>
      <c r="CA117" s="102"/>
      <c r="CB117" s="102"/>
      <c r="CC117" s="102"/>
      <c r="CD117" s="102"/>
      <c r="CE117" s="102"/>
      <c r="CF117" s="102"/>
      <c r="CG117" s="102"/>
      <c r="CH117" s="102"/>
      <c r="CI117" s="102"/>
      <c r="CJ117" s="102"/>
      <c r="CK117" s="102"/>
      <c r="CL117" s="102"/>
      <c r="CM117" s="102"/>
      <c r="CN117" s="102"/>
      <c r="CO117" s="102"/>
      <c r="CP117" s="102"/>
      <c r="CQ117" s="102"/>
      <c r="CR117" s="102"/>
      <c r="CS117" s="102"/>
      <c r="CT117" s="102"/>
      <c r="CU117" s="102"/>
      <c r="CV117" s="102"/>
      <c r="CW117" s="102"/>
      <c r="CX117" s="102"/>
      <c r="CY117" s="102"/>
      <c r="CZ117" s="102"/>
      <c r="DA117" s="102"/>
      <c r="DB117" s="102"/>
      <c r="DC117" s="102"/>
      <c r="DD117" s="102"/>
      <c r="DE117" s="102"/>
      <c r="DF117" s="102"/>
      <c r="DG117" s="102"/>
      <c r="DH117" s="102"/>
      <c r="DI117" s="102"/>
      <c r="DJ117" s="102"/>
      <c r="DK117" s="102"/>
      <c r="DL117" s="102"/>
      <c r="DM117" s="102"/>
      <c r="DN117" s="102"/>
      <c r="DO117" s="102"/>
      <c r="DP117" s="102"/>
      <c r="DQ117" s="102"/>
      <c r="DR117" s="102"/>
      <c r="DS117" s="102"/>
      <c r="DT117" s="102"/>
      <c r="DU117" s="102"/>
      <c r="DV117" s="102"/>
      <c r="DW117" s="102"/>
      <c r="DX117" s="102"/>
      <c r="DY117" s="102"/>
      <c r="DZ117" s="102"/>
      <c r="EA117" s="102"/>
      <c r="EB117" s="102"/>
      <c r="EC117" s="102"/>
      <c r="ED117" s="102"/>
      <c r="EE117" s="102"/>
      <c r="EF117" s="102"/>
      <c r="EG117" s="102"/>
      <c r="EH117" s="102"/>
      <c r="EI117" s="102"/>
      <c r="EJ117" s="102"/>
      <c r="EK117" s="102"/>
      <c r="EL117" s="102"/>
      <c r="EM117" s="102"/>
      <c r="EN117" s="102"/>
    </row>
    <row r="118">
      <c r="A118" s="139" t="s">
        <v>221</v>
      </c>
      <c r="B118" s="103" t="s">
        <v>98</v>
      </c>
      <c r="C118" s="103" t="s">
        <v>98</v>
      </c>
      <c r="D118" s="103" t="s">
        <v>98</v>
      </c>
      <c r="E118" s="103" t="s">
        <v>98</v>
      </c>
      <c r="F118" s="103" t="s">
        <v>98</v>
      </c>
      <c r="G118" s="136" t="s">
        <v>98</v>
      </c>
      <c r="H118" s="108" t="s">
        <v>98</v>
      </c>
      <c r="I118" s="103" t="s">
        <v>98</v>
      </c>
      <c r="J118" s="103" t="s">
        <v>98</v>
      </c>
      <c r="K118" s="103" t="s">
        <v>98</v>
      </c>
      <c r="L118" s="103" t="s">
        <v>99</v>
      </c>
      <c r="M118" s="103" t="s">
        <v>96</v>
      </c>
      <c r="N118" s="103" t="s">
        <v>98</v>
      </c>
      <c r="O118" s="103" t="s">
        <v>98</v>
      </c>
      <c r="P118" s="103" t="s">
        <v>99</v>
      </c>
      <c r="Q118" s="103" t="s">
        <v>98</v>
      </c>
      <c r="R118" s="103" t="s">
        <v>98</v>
      </c>
      <c r="S118" s="136" t="s">
        <v>98</v>
      </c>
      <c r="T118" s="108" t="s">
        <v>99</v>
      </c>
      <c r="U118" s="103" t="s">
        <v>99</v>
      </c>
      <c r="V118" s="103" t="s">
        <v>98</v>
      </c>
      <c r="W118" s="103" t="s">
        <v>99</v>
      </c>
      <c r="X118" s="103" t="s">
        <v>99</v>
      </c>
      <c r="Y118" s="103" t="s">
        <v>98</v>
      </c>
      <c r="Z118" s="103" t="s">
        <v>98</v>
      </c>
      <c r="AA118" s="103" t="s">
        <v>99</v>
      </c>
      <c r="AB118" s="103" t="s">
        <v>98</v>
      </c>
      <c r="AC118" s="103" t="s">
        <v>98</v>
      </c>
      <c r="AD118" s="103" t="s">
        <v>98</v>
      </c>
      <c r="AE118" s="136" t="s">
        <v>99</v>
      </c>
      <c r="AF118" s="108" t="s">
        <v>98</v>
      </c>
      <c r="AG118" s="103" t="s">
        <v>98</v>
      </c>
      <c r="AH118" s="103" t="s">
        <v>99</v>
      </c>
      <c r="AI118" s="103" t="s">
        <v>99</v>
      </c>
      <c r="AJ118" s="103" t="s">
        <v>99</v>
      </c>
      <c r="AK118" s="103" t="s">
        <v>98</v>
      </c>
      <c r="AL118" s="103" t="s">
        <v>99</v>
      </c>
      <c r="AM118" s="103" t="s">
        <v>99</v>
      </c>
      <c r="AN118" s="103" t="s">
        <v>98</v>
      </c>
      <c r="AO118" s="103" t="s">
        <v>98</v>
      </c>
      <c r="AP118" s="103" t="s">
        <v>98</v>
      </c>
      <c r="AQ118" s="136" t="s">
        <v>98</v>
      </c>
      <c r="AR118" s="108" t="s">
        <v>99</v>
      </c>
      <c r="AS118" s="103" t="s">
        <v>98</v>
      </c>
      <c r="AT118" s="103" t="s">
        <v>99</v>
      </c>
      <c r="AU118" s="103" t="s">
        <v>97</v>
      </c>
      <c r="AV118" s="105"/>
      <c r="AW118" s="105"/>
      <c r="AX118" s="105"/>
      <c r="AY118" s="105"/>
      <c r="AZ118" s="105"/>
      <c r="BA118" s="105"/>
      <c r="BB118" s="105"/>
      <c r="BC118" s="106"/>
      <c r="BD118" s="105"/>
      <c r="BE118" s="105"/>
      <c r="BF118" s="105"/>
      <c r="BG118" s="105"/>
      <c r="BH118" s="102"/>
      <c r="BI118" s="102"/>
      <c r="BJ118" s="102"/>
      <c r="BK118" s="102"/>
      <c r="BL118" s="102"/>
      <c r="BM118" s="102"/>
      <c r="BN118" s="102"/>
      <c r="BO118" s="102"/>
      <c r="BP118" s="102"/>
      <c r="BQ118" s="102"/>
      <c r="BR118" s="102"/>
      <c r="BS118" s="102"/>
      <c r="BT118" s="102"/>
      <c r="BU118" s="102"/>
      <c r="BV118" s="102"/>
      <c r="BW118" s="102"/>
      <c r="BX118" s="102"/>
      <c r="BY118" s="102"/>
      <c r="BZ118" s="102"/>
      <c r="CA118" s="102"/>
      <c r="CB118" s="102"/>
      <c r="CC118" s="102"/>
      <c r="CD118" s="102"/>
      <c r="CE118" s="102"/>
      <c r="CF118" s="102"/>
      <c r="CG118" s="102"/>
      <c r="CH118" s="102"/>
      <c r="CI118" s="102"/>
      <c r="CJ118" s="102"/>
      <c r="CK118" s="102"/>
      <c r="CL118" s="102"/>
      <c r="CM118" s="102"/>
      <c r="CN118" s="102"/>
      <c r="CO118" s="102"/>
      <c r="CP118" s="102"/>
      <c r="CQ118" s="102"/>
      <c r="CR118" s="102"/>
      <c r="CS118" s="102"/>
      <c r="CT118" s="102"/>
      <c r="CU118" s="102"/>
      <c r="CV118" s="102"/>
      <c r="CW118" s="102"/>
      <c r="CX118" s="102"/>
      <c r="CY118" s="102"/>
      <c r="CZ118" s="102"/>
      <c r="DA118" s="102"/>
      <c r="DB118" s="102"/>
      <c r="DC118" s="102"/>
      <c r="DD118" s="102"/>
      <c r="DE118" s="102"/>
      <c r="DF118" s="102"/>
      <c r="DG118" s="102"/>
      <c r="DH118" s="102"/>
      <c r="DI118" s="102"/>
      <c r="DJ118" s="102"/>
      <c r="DK118" s="102"/>
      <c r="DL118" s="102"/>
      <c r="DM118" s="102"/>
      <c r="DN118" s="102"/>
      <c r="DO118" s="102"/>
      <c r="DP118" s="102"/>
      <c r="DQ118" s="102"/>
      <c r="DR118" s="102"/>
      <c r="DS118" s="102"/>
      <c r="DT118" s="102"/>
      <c r="DU118" s="102"/>
      <c r="DV118" s="102"/>
      <c r="DW118" s="102"/>
      <c r="DX118" s="102"/>
      <c r="DY118" s="102"/>
      <c r="DZ118" s="102"/>
      <c r="EA118" s="102"/>
      <c r="EB118" s="102"/>
      <c r="EC118" s="102"/>
      <c r="ED118" s="102"/>
      <c r="EE118" s="102"/>
      <c r="EF118" s="102"/>
      <c r="EG118" s="102"/>
      <c r="EH118" s="102"/>
      <c r="EI118" s="102"/>
      <c r="EJ118" s="102"/>
      <c r="EK118" s="102"/>
      <c r="EL118" s="102"/>
      <c r="EM118" s="102"/>
      <c r="EN118" s="102"/>
    </row>
    <row r="119">
      <c r="A119" s="110" t="s">
        <v>222</v>
      </c>
      <c r="B119" s="110" t="s">
        <v>99</v>
      </c>
      <c r="C119" s="110" t="s">
        <v>99</v>
      </c>
      <c r="D119" s="110" t="s">
        <v>98</v>
      </c>
      <c r="E119" s="110" t="s">
        <v>99</v>
      </c>
      <c r="F119" s="110" t="s">
        <v>99</v>
      </c>
      <c r="G119" s="137" t="s">
        <v>98</v>
      </c>
      <c r="H119" s="132" t="s">
        <v>99</v>
      </c>
      <c r="I119" s="115" t="s">
        <v>99</v>
      </c>
      <c r="J119" s="115" t="s">
        <v>98</v>
      </c>
      <c r="K119" s="115" t="s">
        <v>99</v>
      </c>
      <c r="L119" s="115" t="s">
        <v>99</v>
      </c>
      <c r="M119" s="115" t="s">
        <v>98</v>
      </c>
      <c r="N119" s="115" t="s">
        <v>99</v>
      </c>
      <c r="O119" s="115" t="s">
        <v>99</v>
      </c>
      <c r="P119" s="115" t="s">
        <v>99</v>
      </c>
      <c r="Q119" s="115" t="s">
        <v>99</v>
      </c>
      <c r="R119" s="115" t="s">
        <v>99</v>
      </c>
      <c r="S119" s="143" t="s">
        <v>96</v>
      </c>
      <c r="T119" s="119" t="s">
        <v>99</v>
      </c>
      <c r="U119" s="121" t="s">
        <v>99</v>
      </c>
      <c r="V119" s="121" t="s">
        <v>98</v>
      </c>
      <c r="W119" s="121" t="s">
        <v>99</v>
      </c>
      <c r="X119" s="121" t="s">
        <v>99</v>
      </c>
      <c r="Y119" s="121" t="s">
        <v>98</v>
      </c>
      <c r="Z119" s="121" t="s">
        <v>99</v>
      </c>
      <c r="AA119" s="121" t="s">
        <v>99</v>
      </c>
      <c r="AB119" s="121" t="s">
        <v>99</v>
      </c>
      <c r="AC119" s="121" t="s">
        <v>96</v>
      </c>
      <c r="AD119" s="121" t="s">
        <v>98</v>
      </c>
      <c r="AE119" s="140" t="s">
        <v>99</v>
      </c>
      <c r="AF119" s="134" t="s">
        <v>99</v>
      </c>
      <c r="AG119" s="125" t="s">
        <v>98</v>
      </c>
      <c r="AH119" s="125" t="s">
        <v>99</v>
      </c>
      <c r="AI119" s="125" t="s">
        <v>99</v>
      </c>
      <c r="AJ119" s="125" t="s">
        <v>99</v>
      </c>
      <c r="AK119" s="125" t="s">
        <v>96</v>
      </c>
      <c r="AL119" s="125" t="s">
        <v>99</v>
      </c>
      <c r="AM119" s="125" t="s">
        <v>99</v>
      </c>
      <c r="AN119" s="125" t="s">
        <v>98</v>
      </c>
      <c r="AO119" s="125" t="s">
        <v>99</v>
      </c>
      <c r="AP119" s="125" t="s">
        <v>98</v>
      </c>
      <c r="AQ119" s="133" t="s">
        <v>99</v>
      </c>
      <c r="AR119" s="135" t="s">
        <v>99</v>
      </c>
      <c r="AS119" s="128" t="s">
        <v>99</v>
      </c>
      <c r="AT119" s="128" t="s">
        <v>96</v>
      </c>
      <c r="AU119" s="128" t="s">
        <v>98</v>
      </c>
      <c r="AV119" s="129"/>
      <c r="AW119" s="129"/>
      <c r="AX119" s="129"/>
      <c r="AY119" s="129"/>
      <c r="AZ119" s="129"/>
      <c r="BA119" s="129"/>
      <c r="BB119" s="129"/>
      <c r="BC119" s="130"/>
      <c r="BD119" s="129"/>
      <c r="BE119" s="129"/>
      <c r="BF119" s="129"/>
      <c r="BG119" s="129"/>
      <c r="BH119" s="102"/>
      <c r="BI119" s="102"/>
      <c r="BJ119" s="102"/>
      <c r="BK119" s="102"/>
      <c r="BL119" s="102"/>
      <c r="BM119" s="102"/>
      <c r="BN119" s="102"/>
      <c r="BO119" s="102"/>
      <c r="BP119" s="102"/>
      <c r="BQ119" s="102"/>
      <c r="BR119" s="102"/>
      <c r="BS119" s="102"/>
      <c r="BT119" s="102"/>
      <c r="BU119" s="102"/>
      <c r="BV119" s="102"/>
      <c r="BW119" s="102"/>
      <c r="BX119" s="102"/>
      <c r="BY119" s="102"/>
      <c r="BZ119" s="102"/>
      <c r="CA119" s="102"/>
      <c r="CB119" s="102"/>
      <c r="CC119" s="102"/>
      <c r="CD119" s="102"/>
      <c r="CE119" s="102"/>
      <c r="CF119" s="102"/>
      <c r="CG119" s="102"/>
      <c r="CH119" s="102"/>
      <c r="CI119" s="102"/>
      <c r="CJ119" s="102"/>
      <c r="CK119" s="102"/>
      <c r="CL119" s="102"/>
      <c r="CM119" s="102"/>
      <c r="CN119" s="102"/>
      <c r="CO119" s="102"/>
      <c r="CP119" s="102"/>
      <c r="CQ119" s="102"/>
      <c r="CR119" s="102"/>
      <c r="CS119" s="102"/>
      <c r="CT119" s="102"/>
      <c r="CU119" s="102"/>
      <c r="CV119" s="102"/>
      <c r="CW119" s="102"/>
      <c r="CX119" s="102"/>
      <c r="CY119" s="102"/>
      <c r="CZ119" s="102"/>
      <c r="DA119" s="102"/>
      <c r="DB119" s="102"/>
      <c r="DC119" s="102"/>
      <c r="DD119" s="102"/>
      <c r="DE119" s="102"/>
      <c r="DF119" s="102"/>
      <c r="DG119" s="102"/>
      <c r="DH119" s="102"/>
      <c r="DI119" s="102"/>
      <c r="DJ119" s="102"/>
      <c r="DK119" s="102"/>
      <c r="DL119" s="102"/>
      <c r="DM119" s="102"/>
      <c r="DN119" s="102"/>
      <c r="DO119" s="102"/>
      <c r="DP119" s="102"/>
      <c r="DQ119" s="102"/>
      <c r="DR119" s="102"/>
      <c r="DS119" s="102"/>
      <c r="DT119" s="102"/>
      <c r="DU119" s="102"/>
      <c r="DV119" s="102"/>
      <c r="DW119" s="102"/>
      <c r="DX119" s="102"/>
      <c r="DY119" s="102"/>
      <c r="DZ119" s="102"/>
      <c r="EA119" s="102"/>
      <c r="EB119" s="102"/>
      <c r="EC119" s="102"/>
      <c r="ED119" s="102"/>
      <c r="EE119" s="102"/>
      <c r="EF119" s="102"/>
      <c r="EG119" s="102"/>
      <c r="EH119" s="102"/>
      <c r="EI119" s="102"/>
      <c r="EJ119" s="102"/>
      <c r="EK119" s="102"/>
      <c r="EL119" s="102"/>
      <c r="EM119" s="102"/>
      <c r="EN119" s="102"/>
    </row>
    <row r="120">
      <c r="A120" s="103" t="s">
        <v>223</v>
      </c>
      <c r="B120" s="103" t="s">
        <v>98</v>
      </c>
      <c r="C120" s="105"/>
      <c r="D120" s="105"/>
      <c r="E120" s="105"/>
      <c r="F120" s="105"/>
      <c r="G120" s="106"/>
      <c r="H120" s="108" t="s">
        <v>96</v>
      </c>
      <c r="I120" s="103" t="s">
        <v>98</v>
      </c>
      <c r="J120" s="105"/>
      <c r="K120" s="105"/>
      <c r="L120" s="105"/>
      <c r="M120" s="105"/>
      <c r="N120" s="103" t="s">
        <v>97</v>
      </c>
      <c r="O120" s="105"/>
      <c r="P120" s="103" t="s">
        <v>99</v>
      </c>
      <c r="Q120" s="105"/>
      <c r="R120" s="105"/>
      <c r="S120" s="106"/>
      <c r="T120" s="108" t="s">
        <v>99</v>
      </c>
      <c r="U120" s="105"/>
      <c r="V120" s="105"/>
      <c r="W120" s="105"/>
      <c r="X120" s="105"/>
      <c r="Y120" s="105"/>
      <c r="Z120" s="103" t="s">
        <v>97</v>
      </c>
      <c r="AA120" s="105"/>
      <c r="AB120" s="105"/>
      <c r="AC120" s="105"/>
      <c r="AD120" s="105"/>
      <c r="AE120" s="106"/>
      <c r="AF120" s="108" t="s">
        <v>97</v>
      </c>
      <c r="AG120" s="105"/>
      <c r="AH120" s="105"/>
      <c r="AI120" s="105"/>
      <c r="AJ120" s="105"/>
      <c r="AK120" s="105"/>
      <c r="AL120" s="105"/>
      <c r="AM120" s="103" t="s">
        <v>99</v>
      </c>
      <c r="AN120" s="103" t="s">
        <v>97</v>
      </c>
      <c r="AO120" s="105"/>
      <c r="AP120" s="105"/>
      <c r="AQ120" s="106"/>
      <c r="AR120" s="107"/>
      <c r="AS120" s="105"/>
      <c r="AT120" s="103" t="s">
        <v>99</v>
      </c>
      <c r="AU120" s="103" t="s">
        <v>97</v>
      </c>
      <c r="AV120" s="105"/>
      <c r="AW120" s="105"/>
      <c r="AX120" s="105"/>
      <c r="AY120" s="105"/>
      <c r="AZ120" s="105"/>
      <c r="BA120" s="105"/>
      <c r="BB120" s="105"/>
      <c r="BC120" s="106"/>
      <c r="BD120" s="105"/>
      <c r="BE120" s="105"/>
      <c r="BF120" s="105"/>
      <c r="BG120" s="105"/>
      <c r="BH120" s="102"/>
      <c r="BI120" s="102"/>
      <c r="BJ120" s="102"/>
      <c r="BK120" s="102"/>
      <c r="BL120" s="102"/>
      <c r="BM120" s="102"/>
      <c r="BN120" s="102"/>
      <c r="BO120" s="102"/>
      <c r="BP120" s="102"/>
      <c r="BQ120" s="102"/>
      <c r="BR120" s="102"/>
      <c r="BS120" s="102"/>
      <c r="BT120" s="102"/>
      <c r="BU120" s="102"/>
      <c r="BV120" s="102"/>
      <c r="BW120" s="102"/>
      <c r="BX120" s="102"/>
      <c r="BY120" s="102"/>
      <c r="BZ120" s="102"/>
      <c r="CA120" s="102"/>
      <c r="CB120" s="102"/>
      <c r="CC120" s="102"/>
      <c r="CD120" s="102"/>
      <c r="CE120" s="102"/>
      <c r="CF120" s="102"/>
      <c r="CG120" s="102"/>
      <c r="CH120" s="102"/>
      <c r="CI120" s="102"/>
      <c r="CJ120" s="102"/>
      <c r="CK120" s="102"/>
      <c r="CL120" s="102"/>
      <c r="CM120" s="102"/>
      <c r="CN120" s="102"/>
      <c r="CO120" s="102"/>
      <c r="CP120" s="102"/>
      <c r="CQ120" s="102"/>
      <c r="CR120" s="102"/>
      <c r="CS120" s="102"/>
      <c r="CT120" s="102"/>
      <c r="CU120" s="102"/>
      <c r="CV120" s="102"/>
      <c r="CW120" s="102"/>
      <c r="CX120" s="102"/>
      <c r="CY120" s="102"/>
      <c r="CZ120" s="102"/>
      <c r="DA120" s="102"/>
      <c r="DB120" s="102"/>
      <c r="DC120" s="102"/>
      <c r="DD120" s="102"/>
      <c r="DE120" s="102"/>
      <c r="DF120" s="102"/>
      <c r="DG120" s="102"/>
      <c r="DH120" s="102"/>
      <c r="DI120" s="102"/>
      <c r="DJ120" s="102"/>
      <c r="DK120" s="102"/>
      <c r="DL120" s="102"/>
      <c r="DM120" s="102"/>
      <c r="DN120" s="102"/>
      <c r="DO120" s="102"/>
      <c r="DP120" s="102"/>
      <c r="DQ120" s="102"/>
      <c r="DR120" s="102"/>
      <c r="DS120" s="102"/>
      <c r="DT120" s="102"/>
      <c r="DU120" s="102"/>
      <c r="DV120" s="102"/>
      <c r="DW120" s="102"/>
      <c r="DX120" s="102"/>
      <c r="DY120" s="102"/>
      <c r="DZ120" s="102"/>
      <c r="EA120" s="102"/>
      <c r="EB120" s="102"/>
      <c r="EC120" s="102"/>
      <c r="ED120" s="102"/>
      <c r="EE120" s="102"/>
      <c r="EF120" s="102"/>
      <c r="EG120" s="102"/>
      <c r="EH120" s="102"/>
      <c r="EI120" s="102"/>
      <c r="EJ120" s="102"/>
      <c r="EK120" s="102"/>
      <c r="EL120" s="102"/>
      <c r="EM120" s="102"/>
      <c r="EN120" s="102"/>
    </row>
    <row r="121">
      <c r="A121" s="110" t="s">
        <v>224</v>
      </c>
      <c r="B121" s="112"/>
      <c r="C121" s="112"/>
      <c r="D121" s="112"/>
      <c r="E121" s="110" t="s">
        <v>98</v>
      </c>
      <c r="F121" s="112"/>
      <c r="G121" s="113"/>
      <c r="H121" s="114"/>
      <c r="I121" s="116"/>
      <c r="J121" s="116"/>
      <c r="K121" s="115" t="s">
        <v>98</v>
      </c>
      <c r="L121" s="116"/>
      <c r="M121" s="116"/>
      <c r="N121" s="116"/>
      <c r="O121" s="116"/>
      <c r="P121" s="115" t="s">
        <v>99</v>
      </c>
      <c r="Q121" s="115" t="s">
        <v>97</v>
      </c>
      <c r="R121" s="115" t="s">
        <v>96</v>
      </c>
      <c r="S121" s="117"/>
      <c r="T121" s="118"/>
      <c r="U121" s="120"/>
      <c r="V121" s="120"/>
      <c r="W121" s="120"/>
      <c r="X121" s="121" t="s">
        <v>99</v>
      </c>
      <c r="Y121" s="120"/>
      <c r="Z121" s="120"/>
      <c r="AA121" s="120"/>
      <c r="AB121" s="120"/>
      <c r="AC121" s="120"/>
      <c r="AD121" s="121" t="s">
        <v>99</v>
      </c>
      <c r="AE121" s="122"/>
      <c r="AF121" s="134" t="s">
        <v>98</v>
      </c>
      <c r="AG121" s="124"/>
      <c r="AH121" s="124"/>
      <c r="AI121" s="124"/>
      <c r="AJ121" s="124"/>
      <c r="AK121" s="125" t="s">
        <v>97</v>
      </c>
      <c r="AL121" s="124"/>
      <c r="AM121" s="124"/>
      <c r="AN121" s="125" t="s">
        <v>97</v>
      </c>
      <c r="AO121" s="124"/>
      <c r="AP121" s="124"/>
      <c r="AQ121" s="133" t="s">
        <v>97</v>
      </c>
      <c r="AR121" s="127"/>
      <c r="AS121" s="129"/>
      <c r="AT121" s="129"/>
      <c r="AU121" s="129"/>
      <c r="AV121" s="129"/>
      <c r="AW121" s="129"/>
      <c r="AX121" s="129"/>
      <c r="AY121" s="129"/>
      <c r="AZ121" s="129"/>
      <c r="BA121" s="129"/>
      <c r="BB121" s="129"/>
      <c r="BC121" s="130"/>
      <c r="BD121" s="129"/>
      <c r="BE121" s="129"/>
      <c r="BF121" s="129"/>
      <c r="BG121" s="129"/>
      <c r="BH121" s="102"/>
      <c r="BI121" s="102"/>
      <c r="BJ121" s="102"/>
      <c r="BK121" s="102"/>
      <c r="BL121" s="102"/>
      <c r="BM121" s="102"/>
      <c r="BN121" s="102"/>
      <c r="BO121" s="102"/>
      <c r="BP121" s="102"/>
      <c r="BQ121" s="102"/>
      <c r="BR121" s="102"/>
      <c r="BS121" s="102"/>
      <c r="BT121" s="102"/>
      <c r="BU121" s="102"/>
      <c r="BV121" s="102"/>
      <c r="BW121" s="102"/>
      <c r="BX121" s="102"/>
      <c r="BY121" s="102"/>
      <c r="BZ121" s="102"/>
      <c r="CA121" s="102"/>
      <c r="CB121" s="102"/>
      <c r="CC121" s="102"/>
      <c r="CD121" s="102"/>
      <c r="CE121" s="102"/>
      <c r="CF121" s="102"/>
      <c r="CG121" s="102"/>
      <c r="CH121" s="102"/>
      <c r="CI121" s="102"/>
      <c r="CJ121" s="102"/>
      <c r="CK121" s="102"/>
      <c r="CL121" s="102"/>
      <c r="CM121" s="102"/>
      <c r="CN121" s="102"/>
      <c r="CO121" s="102"/>
      <c r="CP121" s="102"/>
      <c r="CQ121" s="102"/>
      <c r="CR121" s="102"/>
      <c r="CS121" s="102"/>
      <c r="CT121" s="102"/>
      <c r="CU121" s="102"/>
      <c r="CV121" s="102"/>
      <c r="CW121" s="102"/>
      <c r="CX121" s="102"/>
      <c r="CY121" s="102"/>
      <c r="CZ121" s="102"/>
      <c r="DA121" s="102"/>
      <c r="DB121" s="102"/>
      <c r="DC121" s="102"/>
      <c r="DD121" s="102"/>
      <c r="DE121" s="102"/>
      <c r="DF121" s="102"/>
      <c r="DG121" s="102"/>
      <c r="DH121" s="102"/>
      <c r="DI121" s="102"/>
      <c r="DJ121" s="102"/>
      <c r="DK121" s="102"/>
      <c r="DL121" s="102"/>
      <c r="DM121" s="102"/>
      <c r="DN121" s="102"/>
      <c r="DO121" s="102"/>
      <c r="DP121" s="102"/>
      <c r="DQ121" s="102"/>
      <c r="DR121" s="102"/>
      <c r="DS121" s="102"/>
      <c r="DT121" s="102"/>
      <c r="DU121" s="102"/>
      <c r="DV121" s="102"/>
      <c r="DW121" s="102"/>
      <c r="DX121" s="102"/>
      <c r="DY121" s="102"/>
      <c r="DZ121" s="102"/>
      <c r="EA121" s="102"/>
      <c r="EB121" s="102"/>
      <c r="EC121" s="102"/>
      <c r="ED121" s="102"/>
      <c r="EE121" s="102"/>
      <c r="EF121" s="102"/>
      <c r="EG121" s="102"/>
      <c r="EH121" s="102"/>
      <c r="EI121" s="102"/>
      <c r="EJ121" s="102"/>
      <c r="EK121" s="102"/>
      <c r="EL121" s="102"/>
      <c r="EM121" s="102"/>
      <c r="EN121" s="102"/>
    </row>
    <row r="122">
      <c r="A122" s="103" t="s">
        <v>225</v>
      </c>
      <c r="B122" s="105"/>
      <c r="C122" s="105"/>
      <c r="D122" s="105"/>
      <c r="E122" s="103" t="s">
        <v>98</v>
      </c>
      <c r="F122" s="105"/>
      <c r="G122" s="106"/>
      <c r="H122" s="107"/>
      <c r="I122" s="105"/>
      <c r="J122" s="103" t="s">
        <v>96</v>
      </c>
      <c r="K122" s="103" t="s">
        <v>98</v>
      </c>
      <c r="L122" s="105"/>
      <c r="M122" s="105"/>
      <c r="N122" s="105"/>
      <c r="O122" s="105"/>
      <c r="P122" s="103" t="s">
        <v>99</v>
      </c>
      <c r="Q122" s="103" t="s">
        <v>96</v>
      </c>
      <c r="R122" s="105"/>
      <c r="S122" s="106"/>
      <c r="T122" s="107"/>
      <c r="U122" s="105"/>
      <c r="V122" s="105"/>
      <c r="W122" s="103" t="s">
        <v>99</v>
      </c>
      <c r="X122" s="105"/>
      <c r="Y122" s="105"/>
      <c r="Z122" s="105"/>
      <c r="AA122" s="105"/>
      <c r="AB122" s="105"/>
      <c r="AC122" s="103" t="s">
        <v>99</v>
      </c>
      <c r="AD122" s="105"/>
      <c r="AE122" s="106"/>
      <c r="AF122" s="108" t="s">
        <v>98</v>
      </c>
      <c r="AG122" s="105"/>
      <c r="AH122" s="105"/>
      <c r="AI122" s="105"/>
      <c r="AJ122" s="105"/>
      <c r="AK122" s="103" t="s">
        <v>96</v>
      </c>
      <c r="AL122" s="105"/>
      <c r="AM122" s="105"/>
      <c r="AN122" s="105"/>
      <c r="AO122" s="105"/>
      <c r="AP122" s="105"/>
      <c r="AQ122" s="136" t="s">
        <v>97</v>
      </c>
      <c r="AR122" s="107"/>
      <c r="AS122" s="105"/>
      <c r="AT122" s="105"/>
      <c r="AU122" s="105"/>
      <c r="AV122" s="105"/>
      <c r="AW122" s="105"/>
      <c r="AX122" s="105"/>
      <c r="AY122" s="105"/>
      <c r="AZ122" s="105"/>
      <c r="BA122" s="105"/>
      <c r="BB122" s="105"/>
      <c r="BC122" s="106"/>
      <c r="BD122" s="105"/>
      <c r="BE122" s="105"/>
      <c r="BF122" s="105"/>
      <c r="BG122" s="105"/>
      <c r="BH122" s="102"/>
      <c r="BI122" s="102"/>
      <c r="BJ122" s="102"/>
      <c r="BK122" s="102"/>
      <c r="BL122" s="102"/>
      <c r="BM122" s="102"/>
      <c r="BN122" s="102"/>
      <c r="BO122" s="102"/>
      <c r="BP122" s="102"/>
      <c r="BQ122" s="102"/>
      <c r="BR122" s="102"/>
      <c r="BS122" s="102"/>
      <c r="BT122" s="102"/>
      <c r="BU122" s="102"/>
      <c r="BV122" s="102"/>
      <c r="BW122" s="102"/>
      <c r="BX122" s="102"/>
      <c r="BY122" s="102"/>
      <c r="BZ122" s="102"/>
      <c r="CA122" s="102"/>
      <c r="CB122" s="102"/>
      <c r="CC122" s="102"/>
      <c r="CD122" s="102"/>
      <c r="CE122" s="102"/>
      <c r="CF122" s="102"/>
      <c r="CG122" s="102"/>
      <c r="CH122" s="102"/>
      <c r="CI122" s="102"/>
      <c r="CJ122" s="102"/>
      <c r="CK122" s="102"/>
      <c r="CL122" s="102"/>
      <c r="CM122" s="102"/>
      <c r="CN122" s="102"/>
      <c r="CO122" s="102"/>
      <c r="CP122" s="102"/>
      <c r="CQ122" s="102"/>
      <c r="CR122" s="102"/>
      <c r="CS122" s="102"/>
      <c r="CT122" s="102"/>
      <c r="CU122" s="102"/>
      <c r="CV122" s="102"/>
      <c r="CW122" s="102"/>
      <c r="CX122" s="102"/>
      <c r="CY122" s="102"/>
      <c r="CZ122" s="102"/>
      <c r="DA122" s="102"/>
      <c r="DB122" s="102"/>
      <c r="DC122" s="102"/>
      <c r="DD122" s="102"/>
      <c r="DE122" s="102"/>
      <c r="DF122" s="102"/>
      <c r="DG122" s="102"/>
      <c r="DH122" s="102"/>
      <c r="DI122" s="102"/>
      <c r="DJ122" s="102"/>
      <c r="DK122" s="102"/>
      <c r="DL122" s="102"/>
      <c r="DM122" s="102"/>
      <c r="DN122" s="102"/>
      <c r="DO122" s="102"/>
      <c r="DP122" s="102"/>
      <c r="DQ122" s="102"/>
      <c r="DR122" s="102"/>
      <c r="DS122" s="102"/>
      <c r="DT122" s="102"/>
      <c r="DU122" s="102"/>
      <c r="DV122" s="102"/>
      <c r="DW122" s="102"/>
      <c r="DX122" s="102"/>
      <c r="DY122" s="102"/>
      <c r="DZ122" s="102"/>
      <c r="EA122" s="102"/>
      <c r="EB122" s="102"/>
      <c r="EC122" s="102"/>
      <c r="ED122" s="102"/>
      <c r="EE122" s="102"/>
      <c r="EF122" s="102"/>
      <c r="EG122" s="102"/>
      <c r="EH122" s="102"/>
      <c r="EI122" s="102"/>
      <c r="EJ122" s="102"/>
      <c r="EK122" s="102"/>
      <c r="EL122" s="102"/>
      <c r="EM122" s="102"/>
      <c r="EN122" s="102"/>
    </row>
    <row r="123">
      <c r="A123" s="138" t="s">
        <v>226</v>
      </c>
      <c r="B123" s="112"/>
      <c r="C123" s="112"/>
      <c r="D123" s="112"/>
      <c r="E123" s="110" t="s">
        <v>98</v>
      </c>
      <c r="F123" s="112"/>
      <c r="G123" s="113"/>
      <c r="H123" s="114"/>
      <c r="I123" s="116"/>
      <c r="J123" s="116"/>
      <c r="K123" s="115" t="s">
        <v>96</v>
      </c>
      <c r="L123" s="116"/>
      <c r="M123" s="116"/>
      <c r="N123" s="116"/>
      <c r="O123" s="116"/>
      <c r="P123" s="115" t="s">
        <v>99</v>
      </c>
      <c r="Q123" s="115" t="s">
        <v>96</v>
      </c>
      <c r="R123" s="115" t="s">
        <v>97</v>
      </c>
      <c r="S123" s="143" t="s">
        <v>97</v>
      </c>
      <c r="T123" s="118"/>
      <c r="U123" s="120"/>
      <c r="V123" s="120"/>
      <c r="W123" s="120"/>
      <c r="X123" s="120"/>
      <c r="Y123" s="121" t="s">
        <v>99</v>
      </c>
      <c r="Z123" s="120"/>
      <c r="AA123" s="120"/>
      <c r="AB123" s="120"/>
      <c r="AC123" s="120"/>
      <c r="AD123" s="120"/>
      <c r="AE123" s="140" t="s">
        <v>99</v>
      </c>
      <c r="AF123" s="134" t="s">
        <v>96</v>
      </c>
      <c r="AG123" s="124"/>
      <c r="AH123" s="124"/>
      <c r="AI123" s="124"/>
      <c r="AJ123" s="124"/>
      <c r="AK123" s="125" t="s">
        <v>98</v>
      </c>
      <c r="AL123" s="124"/>
      <c r="AM123" s="124"/>
      <c r="AN123" s="124"/>
      <c r="AO123" s="124"/>
      <c r="AP123" s="124"/>
      <c r="AQ123" s="133" t="s">
        <v>97</v>
      </c>
      <c r="AR123" s="127"/>
      <c r="AS123" s="128" t="s">
        <v>96</v>
      </c>
      <c r="AT123" s="129"/>
      <c r="AU123" s="128" t="s">
        <v>96</v>
      </c>
      <c r="AV123" s="129"/>
      <c r="AW123" s="129"/>
      <c r="AX123" s="129"/>
      <c r="AY123" s="129"/>
      <c r="AZ123" s="129"/>
      <c r="BA123" s="129"/>
      <c r="BB123" s="129"/>
      <c r="BC123" s="130"/>
      <c r="BD123" s="129"/>
      <c r="BE123" s="129"/>
      <c r="BF123" s="129"/>
      <c r="BG123" s="129"/>
      <c r="BH123" s="102"/>
      <c r="BI123" s="102"/>
      <c r="BJ123" s="102"/>
      <c r="BK123" s="102"/>
      <c r="BL123" s="102"/>
      <c r="BM123" s="102"/>
      <c r="BN123" s="102"/>
      <c r="BO123" s="102"/>
      <c r="BP123" s="102"/>
      <c r="BQ123" s="102"/>
      <c r="BR123" s="102"/>
      <c r="BS123" s="102"/>
      <c r="BT123" s="102"/>
      <c r="BU123" s="102"/>
      <c r="BV123" s="102"/>
      <c r="BW123" s="102"/>
      <c r="BX123" s="102"/>
      <c r="BY123" s="102"/>
      <c r="BZ123" s="102"/>
      <c r="CA123" s="102"/>
      <c r="CB123" s="102"/>
      <c r="CC123" s="102"/>
      <c r="CD123" s="102"/>
      <c r="CE123" s="102"/>
      <c r="CF123" s="102"/>
      <c r="CG123" s="102"/>
      <c r="CH123" s="102"/>
      <c r="CI123" s="102"/>
      <c r="CJ123" s="102"/>
      <c r="CK123" s="102"/>
      <c r="CL123" s="102"/>
      <c r="CM123" s="102"/>
      <c r="CN123" s="102"/>
      <c r="CO123" s="102"/>
      <c r="CP123" s="102"/>
      <c r="CQ123" s="102"/>
      <c r="CR123" s="102"/>
      <c r="CS123" s="102"/>
      <c r="CT123" s="102"/>
      <c r="CU123" s="102"/>
      <c r="CV123" s="102"/>
      <c r="CW123" s="102"/>
      <c r="CX123" s="102"/>
      <c r="CY123" s="102"/>
      <c r="CZ123" s="102"/>
      <c r="DA123" s="102"/>
      <c r="DB123" s="102"/>
      <c r="DC123" s="102"/>
      <c r="DD123" s="102"/>
      <c r="DE123" s="102"/>
      <c r="DF123" s="102"/>
      <c r="DG123" s="102"/>
      <c r="DH123" s="102"/>
      <c r="DI123" s="102"/>
      <c r="DJ123" s="102"/>
      <c r="DK123" s="102"/>
      <c r="DL123" s="102"/>
      <c r="DM123" s="102"/>
      <c r="DN123" s="102"/>
      <c r="DO123" s="102"/>
      <c r="DP123" s="102"/>
      <c r="DQ123" s="102"/>
      <c r="DR123" s="102"/>
      <c r="DS123" s="102"/>
      <c r="DT123" s="102"/>
      <c r="DU123" s="102"/>
      <c r="DV123" s="102"/>
      <c r="DW123" s="102"/>
      <c r="DX123" s="102"/>
      <c r="DY123" s="102"/>
      <c r="DZ123" s="102"/>
      <c r="EA123" s="102"/>
      <c r="EB123" s="102"/>
      <c r="EC123" s="102"/>
      <c r="ED123" s="102"/>
      <c r="EE123" s="102"/>
      <c r="EF123" s="102"/>
      <c r="EG123" s="102"/>
      <c r="EH123" s="102"/>
      <c r="EI123" s="102"/>
      <c r="EJ123" s="102"/>
      <c r="EK123" s="102"/>
      <c r="EL123" s="102"/>
      <c r="EM123" s="102"/>
      <c r="EN123" s="102"/>
    </row>
    <row r="124">
      <c r="A124" s="139" t="s">
        <v>227</v>
      </c>
      <c r="B124" s="105"/>
      <c r="C124" s="105"/>
      <c r="D124" s="105"/>
      <c r="E124" s="103" t="s">
        <v>96</v>
      </c>
      <c r="F124" s="105"/>
      <c r="G124" s="106"/>
      <c r="H124" s="107"/>
      <c r="I124" s="105"/>
      <c r="J124" s="105"/>
      <c r="K124" s="103" t="s">
        <v>96</v>
      </c>
      <c r="L124" s="105"/>
      <c r="M124" s="105"/>
      <c r="N124" s="105"/>
      <c r="O124" s="105"/>
      <c r="P124" s="103" t="s">
        <v>99</v>
      </c>
      <c r="Q124" s="103" t="s">
        <v>97</v>
      </c>
      <c r="R124" s="103" t="s">
        <v>96</v>
      </c>
      <c r="S124" s="106"/>
      <c r="T124" s="107"/>
      <c r="U124" s="105"/>
      <c r="V124" s="105"/>
      <c r="W124" s="105"/>
      <c r="X124" s="103" t="s">
        <v>99</v>
      </c>
      <c r="Y124" s="105"/>
      <c r="Z124" s="105"/>
      <c r="AA124" s="105"/>
      <c r="AB124" s="105"/>
      <c r="AC124" s="105"/>
      <c r="AD124" s="103" t="s">
        <v>99</v>
      </c>
      <c r="AE124" s="106"/>
      <c r="AF124" s="108" t="s">
        <v>97</v>
      </c>
      <c r="AG124" s="105"/>
      <c r="AH124" s="105"/>
      <c r="AI124" s="105"/>
      <c r="AJ124" s="105"/>
      <c r="AK124" s="103" t="s">
        <v>97</v>
      </c>
      <c r="AL124" s="105"/>
      <c r="AM124" s="105"/>
      <c r="AN124" s="103" t="s">
        <v>97</v>
      </c>
      <c r="AO124" s="103" t="s">
        <v>97</v>
      </c>
      <c r="AP124" s="105"/>
      <c r="AQ124" s="136" t="s">
        <v>98</v>
      </c>
      <c r="AR124" s="107"/>
      <c r="AS124" s="103" t="s">
        <v>98</v>
      </c>
      <c r="AT124" s="105"/>
      <c r="AU124" s="105"/>
      <c r="AV124" s="105"/>
      <c r="AW124" s="105"/>
      <c r="AX124" s="105"/>
      <c r="AY124" s="105"/>
      <c r="AZ124" s="105"/>
      <c r="BA124" s="105"/>
      <c r="BB124" s="105"/>
      <c r="BC124" s="106"/>
      <c r="BD124" s="105"/>
      <c r="BE124" s="105"/>
      <c r="BF124" s="105"/>
      <c r="BG124" s="105"/>
      <c r="BH124" s="102"/>
      <c r="BI124" s="102"/>
      <c r="BJ124" s="102"/>
      <c r="BK124" s="102"/>
      <c r="BL124" s="102"/>
      <c r="BM124" s="102"/>
      <c r="BN124" s="102"/>
      <c r="BO124" s="102"/>
      <c r="BP124" s="102"/>
      <c r="BQ124" s="102"/>
      <c r="BR124" s="102"/>
      <c r="BS124" s="102"/>
      <c r="BT124" s="102"/>
      <c r="BU124" s="102"/>
      <c r="BV124" s="102"/>
      <c r="BW124" s="102"/>
      <c r="BX124" s="102"/>
      <c r="BY124" s="102"/>
      <c r="BZ124" s="102"/>
      <c r="CA124" s="102"/>
      <c r="CB124" s="102"/>
      <c r="CC124" s="102"/>
      <c r="CD124" s="102"/>
      <c r="CE124" s="102"/>
      <c r="CF124" s="102"/>
      <c r="CG124" s="102"/>
      <c r="CH124" s="102"/>
      <c r="CI124" s="102"/>
      <c r="CJ124" s="102"/>
      <c r="CK124" s="102"/>
      <c r="CL124" s="102"/>
      <c r="CM124" s="102"/>
      <c r="CN124" s="102"/>
      <c r="CO124" s="102"/>
      <c r="CP124" s="102"/>
      <c r="CQ124" s="102"/>
      <c r="CR124" s="102"/>
      <c r="CS124" s="102"/>
      <c r="CT124" s="102"/>
      <c r="CU124" s="102"/>
      <c r="CV124" s="102"/>
      <c r="CW124" s="102"/>
      <c r="CX124" s="102"/>
      <c r="CY124" s="102"/>
      <c r="CZ124" s="102"/>
      <c r="DA124" s="102"/>
      <c r="DB124" s="102"/>
      <c r="DC124" s="102"/>
      <c r="DD124" s="102"/>
      <c r="DE124" s="102"/>
      <c r="DF124" s="102"/>
      <c r="DG124" s="102"/>
      <c r="DH124" s="102"/>
      <c r="DI124" s="102"/>
      <c r="DJ124" s="102"/>
      <c r="DK124" s="102"/>
      <c r="DL124" s="102"/>
      <c r="DM124" s="102"/>
      <c r="DN124" s="102"/>
      <c r="DO124" s="102"/>
      <c r="DP124" s="102"/>
      <c r="DQ124" s="102"/>
      <c r="DR124" s="102"/>
      <c r="DS124" s="102"/>
      <c r="DT124" s="102"/>
      <c r="DU124" s="102"/>
      <c r="DV124" s="102"/>
      <c r="DW124" s="102"/>
      <c r="DX124" s="102"/>
      <c r="DY124" s="102"/>
      <c r="DZ124" s="102"/>
      <c r="EA124" s="102"/>
      <c r="EB124" s="102"/>
      <c r="EC124" s="102"/>
      <c r="ED124" s="102"/>
      <c r="EE124" s="102"/>
      <c r="EF124" s="102"/>
      <c r="EG124" s="102"/>
      <c r="EH124" s="102"/>
      <c r="EI124" s="102"/>
      <c r="EJ124" s="102"/>
      <c r="EK124" s="102"/>
      <c r="EL124" s="102"/>
      <c r="EM124" s="102"/>
      <c r="EN124" s="102"/>
    </row>
    <row r="125">
      <c r="A125" s="110" t="s">
        <v>228</v>
      </c>
      <c r="B125" s="112"/>
      <c r="C125" s="112"/>
      <c r="D125" s="112"/>
      <c r="E125" s="110" t="s">
        <v>97</v>
      </c>
      <c r="F125" s="112"/>
      <c r="G125" s="137" t="s">
        <v>97</v>
      </c>
      <c r="H125" s="114"/>
      <c r="I125" s="116"/>
      <c r="J125" s="116"/>
      <c r="K125" s="115" t="s">
        <v>97</v>
      </c>
      <c r="L125" s="116"/>
      <c r="M125" s="116"/>
      <c r="N125" s="116"/>
      <c r="O125" s="116"/>
      <c r="P125" s="115" t="s">
        <v>99</v>
      </c>
      <c r="Q125" s="115" t="s">
        <v>97</v>
      </c>
      <c r="R125" s="115" t="s">
        <v>97</v>
      </c>
      <c r="S125" s="117"/>
      <c r="T125" s="118"/>
      <c r="U125" s="120"/>
      <c r="V125" s="120"/>
      <c r="W125" s="120"/>
      <c r="X125" s="121" t="s">
        <v>99</v>
      </c>
      <c r="Y125" s="120"/>
      <c r="Z125" s="120"/>
      <c r="AA125" s="120"/>
      <c r="AB125" s="120"/>
      <c r="AC125" s="120"/>
      <c r="AD125" s="121" t="s">
        <v>99</v>
      </c>
      <c r="AE125" s="122"/>
      <c r="AF125" s="134" t="s">
        <v>97</v>
      </c>
      <c r="AG125" s="124"/>
      <c r="AH125" s="124"/>
      <c r="AI125" s="124"/>
      <c r="AJ125" s="124"/>
      <c r="AK125" s="125" t="s">
        <v>97</v>
      </c>
      <c r="AL125" s="124"/>
      <c r="AM125" s="124"/>
      <c r="AN125" s="125" t="s">
        <v>98</v>
      </c>
      <c r="AO125" s="124"/>
      <c r="AP125" s="124"/>
      <c r="AQ125" s="133" t="s">
        <v>97</v>
      </c>
      <c r="AR125" s="127"/>
      <c r="AS125" s="128" t="s">
        <v>97</v>
      </c>
      <c r="AT125" s="129"/>
      <c r="AU125" s="129"/>
      <c r="AV125" s="129"/>
      <c r="AW125" s="129"/>
      <c r="AX125" s="129"/>
      <c r="AY125" s="129"/>
      <c r="AZ125" s="129"/>
      <c r="BA125" s="129"/>
      <c r="BB125" s="129"/>
      <c r="BC125" s="130"/>
      <c r="BD125" s="129"/>
      <c r="BE125" s="129"/>
      <c r="BF125" s="129"/>
      <c r="BG125" s="129"/>
      <c r="BH125" s="102"/>
      <c r="BI125" s="102"/>
      <c r="BJ125" s="102"/>
      <c r="BK125" s="102"/>
      <c r="BL125" s="102"/>
      <c r="BM125" s="102"/>
      <c r="BN125" s="102"/>
      <c r="BO125" s="102"/>
      <c r="BP125" s="102"/>
      <c r="BQ125" s="102"/>
      <c r="BR125" s="102"/>
      <c r="BS125" s="102"/>
      <c r="BT125" s="102"/>
      <c r="BU125" s="102"/>
      <c r="BV125" s="102"/>
      <c r="BW125" s="102"/>
      <c r="BX125" s="102"/>
      <c r="BY125" s="102"/>
      <c r="BZ125" s="102"/>
      <c r="CA125" s="102"/>
      <c r="CB125" s="102"/>
      <c r="CC125" s="102"/>
      <c r="CD125" s="102"/>
      <c r="CE125" s="102"/>
      <c r="CF125" s="102"/>
      <c r="CG125" s="102"/>
      <c r="CH125" s="102"/>
      <c r="CI125" s="102"/>
      <c r="CJ125" s="102"/>
      <c r="CK125" s="102"/>
      <c r="CL125" s="102"/>
      <c r="CM125" s="102"/>
      <c r="CN125" s="102"/>
      <c r="CO125" s="102"/>
      <c r="CP125" s="102"/>
      <c r="CQ125" s="102"/>
      <c r="CR125" s="102"/>
      <c r="CS125" s="102"/>
      <c r="CT125" s="102"/>
      <c r="CU125" s="102"/>
      <c r="CV125" s="102"/>
      <c r="CW125" s="102"/>
      <c r="CX125" s="102"/>
      <c r="CY125" s="102"/>
      <c r="CZ125" s="102"/>
      <c r="DA125" s="102"/>
      <c r="DB125" s="102"/>
      <c r="DC125" s="102"/>
      <c r="DD125" s="102"/>
      <c r="DE125" s="102"/>
      <c r="DF125" s="102"/>
      <c r="DG125" s="102"/>
      <c r="DH125" s="102"/>
      <c r="DI125" s="102"/>
      <c r="DJ125" s="102"/>
      <c r="DK125" s="102"/>
      <c r="DL125" s="102"/>
      <c r="DM125" s="102"/>
      <c r="DN125" s="102"/>
      <c r="DO125" s="102"/>
      <c r="DP125" s="102"/>
      <c r="DQ125" s="102"/>
      <c r="DR125" s="102"/>
      <c r="DS125" s="102"/>
      <c r="DT125" s="102"/>
      <c r="DU125" s="102"/>
      <c r="DV125" s="102"/>
      <c r="DW125" s="102"/>
      <c r="DX125" s="102"/>
      <c r="DY125" s="102"/>
      <c r="DZ125" s="102"/>
      <c r="EA125" s="102"/>
      <c r="EB125" s="102"/>
      <c r="EC125" s="102"/>
      <c r="ED125" s="102"/>
      <c r="EE125" s="102"/>
      <c r="EF125" s="102"/>
      <c r="EG125" s="102"/>
      <c r="EH125" s="102"/>
      <c r="EI125" s="102"/>
      <c r="EJ125" s="102"/>
      <c r="EK125" s="102"/>
      <c r="EL125" s="102"/>
      <c r="EM125" s="102"/>
      <c r="EN125" s="102"/>
    </row>
    <row r="126">
      <c r="A126" s="103" t="s">
        <v>229</v>
      </c>
      <c r="B126" s="105"/>
      <c r="C126" s="105"/>
      <c r="D126" s="105"/>
      <c r="E126" s="103" t="s">
        <v>98</v>
      </c>
      <c r="F126" s="105"/>
      <c r="G126" s="106"/>
      <c r="H126" s="107"/>
      <c r="I126" s="105"/>
      <c r="J126" s="105"/>
      <c r="K126" s="103" t="s">
        <v>98</v>
      </c>
      <c r="L126" s="105"/>
      <c r="M126" s="105"/>
      <c r="N126" s="105"/>
      <c r="O126" s="105"/>
      <c r="P126" s="103" t="s">
        <v>99</v>
      </c>
      <c r="Q126" s="103" t="s">
        <v>96</v>
      </c>
      <c r="R126" s="103" t="s">
        <v>97</v>
      </c>
      <c r="S126" s="106"/>
      <c r="T126" s="107"/>
      <c r="U126" s="105"/>
      <c r="V126" s="105"/>
      <c r="W126" s="105"/>
      <c r="X126" s="103" t="s">
        <v>99</v>
      </c>
      <c r="Y126" s="105"/>
      <c r="Z126" s="105"/>
      <c r="AA126" s="105"/>
      <c r="AB126" s="105"/>
      <c r="AC126" s="105"/>
      <c r="AD126" s="103" t="s">
        <v>99</v>
      </c>
      <c r="AE126" s="106"/>
      <c r="AF126" s="108" t="s">
        <v>97</v>
      </c>
      <c r="AG126" s="105"/>
      <c r="AH126" s="105"/>
      <c r="AI126" s="105"/>
      <c r="AJ126" s="105"/>
      <c r="AK126" s="103" t="s">
        <v>97</v>
      </c>
      <c r="AL126" s="105"/>
      <c r="AM126" s="105"/>
      <c r="AN126" s="103" t="s">
        <v>98</v>
      </c>
      <c r="AO126" s="105"/>
      <c r="AP126" s="105"/>
      <c r="AQ126" s="136" t="s">
        <v>97</v>
      </c>
      <c r="AR126" s="107"/>
      <c r="AS126" s="103" t="s">
        <v>96</v>
      </c>
      <c r="AT126" s="105"/>
      <c r="AU126" s="105"/>
      <c r="AV126" s="105"/>
      <c r="AW126" s="105"/>
      <c r="AX126" s="105"/>
      <c r="AY126" s="105"/>
      <c r="AZ126" s="105"/>
      <c r="BA126" s="105"/>
      <c r="BB126" s="105"/>
      <c r="BC126" s="106"/>
      <c r="BD126" s="105"/>
      <c r="BE126" s="105"/>
      <c r="BF126" s="105"/>
      <c r="BG126" s="105"/>
      <c r="BH126" s="102"/>
      <c r="BI126" s="102"/>
      <c r="BJ126" s="102"/>
      <c r="BK126" s="102"/>
      <c r="BL126" s="102"/>
      <c r="BM126" s="102"/>
      <c r="BN126" s="102"/>
      <c r="BO126" s="102"/>
      <c r="BP126" s="102"/>
      <c r="BQ126" s="102"/>
      <c r="BR126" s="102"/>
      <c r="BS126" s="102"/>
      <c r="BT126" s="102"/>
      <c r="BU126" s="102"/>
      <c r="BV126" s="102"/>
      <c r="BW126" s="102"/>
      <c r="BX126" s="102"/>
      <c r="BY126" s="102"/>
      <c r="BZ126" s="102"/>
      <c r="CA126" s="102"/>
      <c r="CB126" s="102"/>
      <c r="CC126" s="102"/>
      <c r="CD126" s="102"/>
      <c r="CE126" s="102"/>
      <c r="CF126" s="102"/>
      <c r="CG126" s="102"/>
      <c r="CH126" s="102"/>
      <c r="CI126" s="102"/>
      <c r="CJ126" s="102"/>
      <c r="CK126" s="102"/>
      <c r="CL126" s="102"/>
      <c r="CM126" s="102"/>
      <c r="CN126" s="102"/>
      <c r="CO126" s="102"/>
      <c r="CP126" s="102"/>
      <c r="CQ126" s="102"/>
      <c r="CR126" s="102"/>
      <c r="CS126" s="102"/>
      <c r="CT126" s="102"/>
      <c r="CU126" s="102"/>
      <c r="CV126" s="102"/>
      <c r="CW126" s="102"/>
      <c r="CX126" s="102"/>
      <c r="CY126" s="102"/>
      <c r="CZ126" s="102"/>
      <c r="DA126" s="102"/>
      <c r="DB126" s="102"/>
      <c r="DC126" s="102"/>
      <c r="DD126" s="102"/>
      <c r="DE126" s="102"/>
      <c r="DF126" s="102"/>
      <c r="DG126" s="102"/>
      <c r="DH126" s="102"/>
      <c r="DI126" s="102"/>
      <c r="DJ126" s="102"/>
      <c r="DK126" s="102"/>
      <c r="DL126" s="102"/>
      <c r="DM126" s="102"/>
      <c r="DN126" s="102"/>
      <c r="DO126" s="102"/>
      <c r="DP126" s="102"/>
      <c r="DQ126" s="102"/>
      <c r="DR126" s="102"/>
      <c r="DS126" s="102"/>
      <c r="DT126" s="102"/>
      <c r="DU126" s="102"/>
      <c r="DV126" s="102"/>
      <c r="DW126" s="102"/>
      <c r="DX126" s="102"/>
      <c r="DY126" s="102"/>
      <c r="DZ126" s="102"/>
      <c r="EA126" s="102"/>
      <c r="EB126" s="102"/>
      <c r="EC126" s="102"/>
      <c r="ED126" s="102"/>
      <c r="EE126" s="102"/>
      <c r="EF126" s="102"/>
      <c r="EG126" s="102"/>
      <c r="EH126" s="102"/>
      <c r="EI126" s="102"/>
      <c r="EJ126" s="102"/>
      <c r="EK126" s="102"/>
      <c r="EL126" s="102"/>
      <c r="EM126" s="102"/>
      <c r="EN126" s="102"/>
    </row>
    <row r="127">
      <c r="A127" s="110" t="s">
        <v>230</v>
      </c>
      <c r="B127" s="112"/>
      <c r="C127" s="112"/>
      <c r="D127" s="112"/>
      <c r="E127" s="112"/>
      <c r="F127" s="110" t="s">
        <v>98</v>
      </c>
      <c r="G127" s="113"/>
      <c r="H127" s="114"/>
      <c r="I127" s="116"/>
      <c r="J127" s="116"/>
      <c r="K127" s="116"/>
      <c r="L127" s="115" t="s">
        <v>98</v>
      </c>
      <c r="M127" s="116"/>
      <c r="N127" s="116"/>
      <c r="O127" s="116"/>
      <c r="P127" s="115" t="s">
        <v>99</v>
      </c>
      <c r="Q127" s="116"/>
      <c r="R127" s="115" t="s">
        <v>98</v>
      </c>
      <c r="S127" s="117"/>
      <c r="T127" s="118"/>
      <c r="U127" s="120"/>
      <c r="V127" s="120"/>
      <c r="W127" s="120"/>
      <c r="X127" s="121" t="s">
        <v>99</v>
      </c>
      <c r="Y127" s="120"/>
      <c r="Z127" s="120"/>
      <c r="AA127" s="120"/>
      <c r="AB127" s="120"/>
      <c r="AC127" s="120"/>
      <c r="AD127" s="121" t="s">
        <v>99</v>
      </c>
      <c r="AE127" s="122"/>
      <c r="AF127" s="134" t="s">
        <v>98</v>
      </c>
      <c r="AG127" s="124"/>
      <c r="AH127" s="124"/>
      <c r="AI127" s="124"/>
      <c r="AJ127" s="124"/>
      <c r="AK127" s="125" t="s">
        <v>96</v>
      </c>
      <c r="AL127" s="124"/>
      <c r="AM127" s="124"/>
      <c r="AN127" s="124"/>
      <c r="AO127" s="124"/>
      <c r="AP127" s="124"/>
      <c r="AQ127" s="133" t="s">
        <v>97</v>
      </c>
      <c r="AR127" s="127"/>
      <c r="AS127" s="128" t="s">
        <v>97</v>
      </c>
      <c r="AT127" s="129"/>
      <c r="AU127" s="144" t="s">
        <v>96</v>
      </c>
      <c r="AV127" s="129"/>
      <c r="AW127" s="129"/>
      <c r="AX127" s="129"/>
      <c r="AY127" s="129"/>
      <c r="AZ127" s="129"/>
      <c r="BA127" s="129"/>
      <c r="BB127" s="129"/>
      <c r="BC127" s="130"/>
      <c r="BD127" s="129"/>
      <c r="BE127" s="129"/>
      <c r="BF127" s="129"/>
      <c r="BG127" s="129"/>
      <c r="BH127" s="102"/>
      <c r="BI127" s="102"/>
      <c r="BJ127" s="102"/>
      <c r="BK127" s="102"/>
      <c r="BL127" s="102"/>
      <c r="BM127" s="102"/>
      <c r="BN127" s="102"/>
      <c r="BO127" s="102"/>
      <c r="BP127" s="102"/>
      <c r="BQ127" s="102"/>
      <c r="BR127" s="102"/>
      <c r="BS127" s="102"/>
      <c r="BT127" s="102"/>
      <c r="BU127" s="102"/>
      <c r="BV127" s="102"/>
      <c r="BW127" s="102"/>
      <c r="BX127" s="102"/>
      <c r="BY127" s="102"/>
      <c r="BZ127" s="102"/>
      <c r="CA127" s="102"/>
      <c r="CB127" s="102"/>
      <c r="CC127" s="102"/>
      <c r="CD127" s="102"/>
      <c r="CE127" s="102"/>
      <c r="CF127" s="102"/>
      <c r="CG127" s="102"/>
      <c r="CH127" s="102"/>
      <c r="CI127" s="102"/>
      <c r="CJ127" s="102"/>
      <c r="CK127" s="102"/>
      <c r="CL127" s="102"/>
      <c r="CM127" s="102"/>
      <c r="CN127" s="102"/>
      <c r="CO127" s="102"/>
      <c r="CP127" s="102"/>
      <c r="CQ127" s="102"/>
      <c r="CR127" s="102"/>
      <c r="CS127" s="102"/>
      <c r="CT127" s="102"/>
      <c r="CU127" s="102"/>
      <c r="CV127" s="102"/>
      <c r="CW127" s="102"/>
      <c r="CX127" s="102"/>
      <c r="CY127" s="102"/>
      <c r="CZ127" s="102"/>
      <c r="DA127" s="102"/>
      <c r="DB127" s="102"/>
      <c r="DC127" s="102"/>
      <c r="DD127" s="102"/>
      <c r="DE127" s="102"/>
      <c r="DF127" s="102"/>
      <c r="DG127" s="102"/>
      <c r="DH127" s="102"/>
      <c r="DI127" s="102"/>
      <c r="DJ127" s="102"/>
      <c r="DK127" s="102"/>
      <c r="DL127" s="102"/>
      <c r="DM127" s="102"/>
      <c r="DN127" s="102"/>
      <c r="DO127" s="102"/>
      <c r="DP127" s="102"/>
      <c r="DQ127" s="102"/>
      <c r="DR127" s="102"/>
      <c r="DS127" s="102"/>
      <c r="DT127" s="102"/>
      <c r="DU127" s="102"/>
      <c r="DV127" s="102"/>
      <c r="DW127" s="102"/>
      <c r="DX127" s="102"/>
      <c r="DY127" s="102"/>
      <c r="DZ127" s="102"/>
      <c r="EA127" s="102"/>
      <c r="EB127" s="102"/>
      <c r="EC127" s="102"/>
      <c r="ED127" s="102"/>
      <c r="EE127" s="102"/>
      <c r="EF127" s="102"/>
      <c r="EG127" s="102"/>
      <c r="EH127" s="102"/>
      <c r="EI127" s="102"/>
      <c r="EJ127" s="102"/>
      <c r="EK127" s="102"/>
      <c r="EL127" s="102"/>
      <c r="EM127" s="102"/>
      <c r="EN127" s="102"/>
    </row>
    <row r="128">
      <c r="A128" s="103" t="s">
        <v>231</v>
      </c>
      <c r="B128" s="103" t="s">
        <v>99</v>
      </c>
      <c r="C128" s="103" t="s">
        <v>97</v>
      </c>
      <c r="D128" s="103" t="s">
        <v>99</v>
      </c>
      <c r="E128" s="103" t="s">
        <v>97</v>
      </c>
      <c r="F128" s="103" t="s">
        <v>99</v>
      </c>
      <c r="G128" s="136" t="s">
        <v>97</v>
      </c>
      <c r="H128" s="108" t="s">
        <v>99</v>
      </c>
      <c r="I128" s="103" t="s">
        <v>99</v>
      </c>
      <c r="J128" s="103" t="s">
        <v>99</v>
      </c>
      <c r="K128" s="103" t="s">
        <v>97</v>
      </c>
      <c r="L128" s="103" t="s">
        <v>99</v>
      </c>
      <c r="M128" s="103" t="s">
        <v>97</v>
      </c>
      <c r="N128" s="103" t="s">
        <v>99</v>
      </c>
      <c r="O128" s="103" t="s">
        <v>97</v>
      </c>
      <c r="P128" s="103" t="s">
        <v>99</v>
      </c>
      <c r="Q128" s="103" t="s">
        <v>97</v>
      </c>
      <c r="R128" s="103" t="s">
        <v>99</v>
      </c>
      <c r="S128" s="136" t="s">
        <v>97</v>
      </c>
      <c r="T128" s="103" t="s">
        <v>99</v>
      </c>
      <c r="U128" s="103" t="s">
        <v>99</v>
      </c>
      <c r="V128" s="103" t="s">
        <v>99</v>
      </c>
      <c r="W128" s="103" t="s">
        <v>99</v>
      </c>
      <c r="X128" s="103" t="s">
        <v>99</v>
      </c>
      <c r="Y128" s="103" t="s">
        <v>97</v>
      </c>
      <c r="Z128" s="103" t="s">
        <v>99</v>
      </c>
      <c r="AA128" s="103" t="s">
        <v>99</v>
      </c>
      <c r="AB128" s="103" t="s">
        <v>97</v>
      </c>
      <c r="AC128" s="103" t="s">
        <v>99</v>
      </c>
      <c r="AD128" s="103" t="s">
        <v>97</v>
      </c>
      <c r="AE128" s="136" t="s">
        <v>99</v>
      </c>
      <c r="AF128" s="108" t="s">
        <v>97</v>
      </c>
      <c r="AG128" s="103" t="s">
        <v>99</v>
      </c>
      <c r="AH128" s="103" t="s">
        <v>99</v>
      </c>
      <c r="AI128" s="103" t="s">
        <v>99</v>
      </c>
      <c r="AJ128" s="103" t="s">
        <v>99</v>
      </c>
      <c r="AK128" s="103" t="s">
        <v>97</v>
      </c>
      <c r="AL128" s="103" t="s">
        <v>99</v>
      </c>
      <c r="AM128" s="103" t="s">
        <v>99</v>
      </c>
      <c r="AN128" s="103" t="s">
        <v>97</v>
      </c>
      <c r="AO128" s="103" t="s">
        <v>99</v>
      </c>
      <c r="AP128" s="103" t="s">
        <v>97</v>
      </c>
      <c r="AQ128" s="136" t="s">
        <v>99</v>
      </c>
      <c r="AR128" s="108" t="s">
        <v>99</v>
      </c>
      <c r="AS128" s="103" t="s">
        <v>97</v>
      </c>
      <c r="AT128" s="105"/>
      <c r="AU128" s="139" t="s">
        <v>97</v>
      </c>
      <c r="AV128" s="105"/>
      <c r="AW128" s="105"/>
      <c r="AX128" s="105"/>
      <c r="AY128" s="105"/>
      <c r="AZ128" s="105"/>
      <c r="BA128" s="105"/>
      <c r="BB128" s="105"/>
      <c r="BC128" s="106"/>
      <c r="BD128" s="105"/>
      <c r="BE128" s="105"/>
      <c r="BF128" s="105"/>
      <c r="BG128" s="105"/>
      <c r="BH128" s="102"/>
      <c r="BI128" s="102"/>
      <c r="BJ128" s="102"/>
      <c r="BK128" s="102"/>
      <c r="BL128" s="102"/>
      <c r="BM128" s="102"/>
      <c r="BN128" s="102"/>
      <c r="BO128" s="102"/>
      <c r="BP128" s="102"/>
      <c r="BQ128" s="102"/>
      <c r="BR128" s="102"/>
      <c r="BS128" s="102"/>
      <c r="BT128" s="102"/>
      <c r="BU128" s="102"/>
      <c r="BV128" s="102"/>
      <c r="BW128" s="102"/>
      <c r="BX128" s="102"/>
      <c r="BY128" s="102"/>
      <c r="BZ128" s="102"/>
      <c r="CA128" s="102"/>
      <c r="CB128" s="102"/>
      <c r="CC128" s="102"/>
      <c r="CD128" s="102"/>
      <c r="CE128" s="102"/>
      <c r="CF128" s="102"/>
      <c r="CG128" s="102"/>
      <c r="CH128" s="102"/>
      <c r="CI128" s="102"/>
      <c r="CJ128" s="102"/>
      <c r="CK128" s="102"/>
      <c r="CL128" s="102"/>
      <c r="CM128" s="102"/>
      <c r="CN128" s="102"/>
      <c r="CO128" s="102"/>
      <c r="CP128" s="102"/>
      <c r="CQ128" s="102"/>
      <c r="CR128" s="102"/>
      <c r="CS128" s="102"/>
      <c r="CT128" s="102"/>
      <c r="CU128" s="102"/>
      <c r="CV128" s="102"/>
      <c r="CW128" s="102"/>
      <c r="CX128" s="102"/>
      <c r="CY128" s="102"/>
      <c r="CZ128" s="102"/>
      <c r="DA128" s="102"/>
      <c r="DB128" s="102"/>
      <c r="DC128" s="102"/>
      <c r="DD128" s="102"/>
      <c r="DE128" s="102"/>
      <c r="DF128" s="102"/>
      <c r="DG128" s="102"/>
      <c r="DH128" s="102"/>
      <c r="DI128" s="102"/>
      <c r="DJ128" s="102"/>
      <c r="DK128" s="102"/>
      <c r="DL128" s="102"/>
      <c r="DM128" s="102"/>
      <c r="DN128" s="102"/>
      <c r="DO128" s="102"/>
      <c r="DP128" s="102"/>
      <c r="DQ128" s="102"/>
      <c r="DR128" s="102"/>
      <c r="DS128" s="102"/>
      <c r="DT128" s="102"/>
      <c r="DU128" s="102"/>
      <c r="DV128" s="102"/>
      <c r="DW128" s="102"/>
      <c r="DX128" s="102"/>
      <c r="DY128" s="102"/>
      <c r="DZ128" s="102"/>
      <c r="EA128" s="102"/>
      <c r="EB128" s="102"/>
      <c r="EC128" s="102"/>
      <c r="ED128" s="102"/>
      <c r="EE128" s="102"/>
      <c r="EF128" s="102"/>
      <c r="EG128" s="102"/>
      <c r="EH128" s="102"/>
      <c r="EI128" s="102"/>
      <c r="EJ128" s="102"/>
      <c r="EK128" s="102"/>
      <c r="EL128" s="102"/>
      <c r="EM128" s="102"/>
      <c r="EN128" s="102"/>
    </row>
    <row r="129">
      <c r="A129" s="110" t="s">
        <v>232</v>
      </c>
      <c r="B129" s="110" t="s">
        <v>99</v>
      </c>
      <c r="C129" s="110" t="s">
        <v>97</v>
      </c>
      <c r="D129" s="110" t="s">
        <v>99</v>
      </c>
      <c r="E129" s="110" t="s">
        <v>97</v>
      </c>
      <c r="F129" s="110" t="s">
        <v>99</v>
      </c>
      <c r="G129" s="137" t="s">
        <v>97</v>
      </c>
      <c r="H129" s="132" t="s">
        <v>99</v>
      </c>
      <c r="I129" s="115" t="s">
        <v>99</v>
      </c>
      <c r="J129" s="115" t="s">
        <v>99</v>
      </c>
      <c r="K129" s="115" t="s">
        <v>97</v>
      </c>
      <c r="L129" s="115" t="s">
        <v>99</v>
      </c>
      <c r="M129" s="115" t="s">
        <v>97</v>
      </c>
      <c r="N129" s="115" t="s">
        <v>99</v>
      </c>
      <c r="O129" s="115" t="s">
        <v>97</v>
      </c>
      <c r="P129" s="115" t="s">
        <v>99</v>
      </c>
      <c r="Q129" s="115" t="s">
        <v>97</v>
      </c>
      <c r="R129" s="115" t="s">
        <v>99</v>
      </c>
      <c r="S129" s="143" t="s">
        <v>97</v>
      </c>
      <c r="T129" s="121" t="s">
        <v>99</v>
      </c>
      <c r="U129" s="121" t="s">
        <v>99</v>
      </c>
      <c r="V129" s="121" t="s">
        <v>99</v>
      </c>
      <c r="W129" s="121" t="s">
        <v>99</v>
      </c>
      <c r="X129" s="121" t="s">
        <v>99</v>
      </c>
      <c r="Y129" s="121" t="s">
        <v>97</v>
      </c>
      <c r="Z129" s="121" t="s">
        <v>99</v>
      </c>
      <c r="AA129" s="121" t="s">
        <v>99</v>
      </c>
      <c r="AB129" s="121" t="s">
        <v>97</v>
      </c>
      <c r="AC129" s="121" t="s">
        <v>99</v>
      </c>
      <c r="AD129" s="121" t="s">
        <v>97</v>
      </c>
      <c r="AE129" s="140" t="s">
        <v>99</v>
      </c>
      <c r="AF129" s="134" t="s">
        <v>97</v>
      </c>
      <c r="AG129" s="125" t="s">
        <v>99</v>
      </c>
      <c r="AH129" s="125" t="s">
        <v>99</v>
      </c>
      <c r="AI129" s="125" t="s">
        <v>99</v>
      </c>
      <c r="AJ129" s="125" t="s">
        <v>99</v>
      </c>
      <c r="AK129" s="125" t="s">
        <v>97</v>
      </c>
      <c r="AL129" s="125" t="s">
        <v>99</v>
      </c>
      <c r="AM129" s="125" t="s">
        <v>99</v>
      </c>
      <c r="AN129" s="125" t="s">
        <v>97</v>
      </c>
      <c r="AO129" s="125" t="s">
        <v>99</v>
      </c>
      <c r="AP129" s="125" t="s">
        <v>97</v>
      </c>
      <c r="AQ129" s="133" t="s">
        <v>99</v>
      </c>
      <c r="AR129" s="135" t="s">
        <v>99</v>
      </c>
      <c r="AS129" s="128" t="s">
        <v>97</v>
      </c>
      <c r="AT129" s="129"/>
      <c r="AU129" s="145" t="s">
        <v>97</v>
      </c>
      <c r="AV129" s="129"/>
      <c r="AW129" s="129"/>
      <c r="AX129" s="129"/>
      <c r="AY129" s="129"/>
      <c r="AZ129" s="129"/>
      <c r="BA129" s="129"/>
      <c r="BB129" s="129"/>
      <c r="BC129" s="130"/>
      <c r="BD129" s="129"/>
      <c r="BE129" s="129"/>
      <c r="BF129" s="129"/>
      <c r="BG129" s="129"/>
      <c r="BH129" s="102"/>
      <c r="BI129" s="102"/>
      <c r="BJ129" s="102"/>
      <c r="BK129" s="102"/>
      <c r="BL129" s="102"/>
      <c r="BM129" s="102"/>
      <c r="BN129" s="102"/>
      <c r="BO129" s="102"/>
      <c r="BP129" s="102"/>
      <c r="BQ129" s="102"/>
      <c r="BR129" s="102"/>
      <c r="BS129" s="102"/>
      <c r="BT129" s="102"/>
      <c r="BU129" s="102"/>
      <c r="BV129" s="102"/>
      <c r="BW129" s="102"/>
      <c r="BX129" s="102"/>
      <c r="BY129" s="102"/>
      <c r="BZ129" s="102"/>
      <c r="CA129" s="102"/>
      <c r="CB129" s="102"/>
      <c r="CC129" s="102"/>
      <c r="CD129" s="102"/>
      <c r="CE129" s="102"/>
      <c r="CF129" s="102"/>
      <c r="CG129" s="102"/>
      <c r="CH129" s="102"/>
      <c r="CI129" s="102"/>
      <c r="CJ129" s="102"/>
      <c r="CK129" s="102"/>
      <c r="CL129" s="102"/>
      <c r="CM129" s="102"/>
      <c r="CN129" s="102"/>
      <c r="CO129" s="102"/>
      <c r="CP129" s="102"/>
      <c r="CQ129" s="102"/>
      <c r="CR129" s="102"/>
      <c r="CS129" s="102"/>
      <c r="CT129" s="102"/>
      <c r="CU129" s="102"/>
      <c r="CV129" s="102"/>
      <c r="CW129" s="102"/>
      <c r="CX129" s="102"/>
      <c r="CY129" s="102"/>
      <c r="CZ129" s="102"/>
      <c r="DA129" s="102"/>
      <c r="DB129" s="102"/>
      <c r="DC129" s="102"/>
      <c r="DD129" s="102"/>
      <c r="DE129" s="102"/>
      <c r="DF129" s="102"/>
      <c r="DG129" s="102"/>
      <c r="DH129" s="102"/>
      <c r="DI129" s="102"/>
      <c r="DJ129" s="102"/>
      <c r="DK129" s="102"/>
      <c r="DL129" s="102"/>
      <c r="DM129" s="102"/>
      <c r="DN129" s="102"/>
      <c r="DO129" s="102"/>
      <c r="DP129" s="102"/>
      <c r="DQ129" s="102"/>
      <c r="DR129" s="102"/>
      <c r="DS129" s="102"/>
      <c r="DT129" s="102"/>
      <c r="DU129" s="102"/>
      <c r="DV129" s="102"/>
      <c r="DW129" s="102"/>
      <c r="DX129" s="102"/>
      <c r="DY129" s="102"/>
      <c r="DZ129" s="102"/>
      <c r="EA129" s="102"/>
      <c r="EB129" s="102"/>
      <c r="EC129" s="102"/>
      <c r="ED129" s="102"/>
      <c r="EE129" s="102"/>
      <c r="EF129" s="102"/>
      <c r="EG129" s="102"/>
      <c r="EH129" s="102"/>
      <c r="EI129" s="102"/>
      <c r="EJ129" s="102"/>
      <c r="EK129" s="102"/>
      <c r="EL129" s="102"/>
      <c r="EM129" s="102"/>
      <c r="EN129" s="102"/>
    </row>
    <row r="130">
      <c r="A130" s="103" t="s">
        <v>233</v>
      </c>
      <c r="B130" s="103" t="s">
        <v>97</v>
      </c>
      <c r="C130" s="103" t="s">
        <v>97</v>
      </c>
      <c r="D130" s="103" t="s">
        <v>97</v>
      </c>
      <c r="E130" s="103" t="s">
        <v>97</v>
      </c>
      <c r="F130" s="103" t="s">
        <v>97</v>
      </c>
      <c r="G130" s="136" t="s">
        <v>97</v>
      </c>
      <c r="H130" s="108" t="s">
        <v>97</v>
      </c>
      <c r="I130" s="103" t="s">
        <v>99</v>
      </c>
      <c r="J130" s="103" t="s">
        <v>97</v>
      </c>
      <c r="K130" s="103" t="s">
        <v>97</v>
      </c>
      <c r="L130" s="103" t="s">
        <v>97</v>
      </c>
      <c r="M130" s="103" t="s">
        <v>97</v>
      </c>
      <c r="N130" s="103" t="s">
        <v>99</v>
      </c>
      <c r="O130" s="103" t="s">
        <v>97</v>
      </c>
      <c r="P130" s="103" t="s">
        <v>99</v>
      </c>
      <c r="Q130" s="103" t="s">
        <v>97</v>
      </c>
      <c r="R130" s="103" t="s">
        <v>97</v>
      </c>
      <c r="S130" s="136" t="s">
        <v>97</v>
      </c>
      <c r="T130" s="103" t="s">
        <v>99</v>
      </c>
      <c r="U130" s="103" t="s">
        <v>99</v>
      </c>
      <c r="V130" s="103" t="s">
        <v>99</v>
      </c>
      <c r="W130" s="103" t="s">
        <v>99</v>
      </c>
      <c r="X130" s="103" t="s">
        <v>99</v>
      </c>
      <c r="Y130" s="103" t="s">
        <v>97</v>
      </c>
      <c r="Z130" s="103" t="s">
        <v>97</v>
      </c>
      <c r="AA130" s="103" t="s">
        <v>99</v>
      </c>
      <c r="AB130" s="103" t="s">
        <v>97</v>
      </c>
      <c r="AC130" s="103" t="s">
        <v>97</v>
      </c>
      <c r="AD130" s="103" t="s">
        <v>97</v>
      </c>
      <c r="AE130" s="136" t="s">
        <v>99</v>
      </c>
      <c r="AF130" s="108" t="s">
        <v>97</v>
      </c>
      <c r="AG130" s="103" t="s">
        <v>97</v>
      </c>
      <c r="AH130" s="103" t="s">
        <v>99</v>
      </c>
      <c r="AI130" s="103" t="s">
        <v>99</v>
      </c>
      <c r="AJ130" s="103" t="s">
        <v>99</v>
      </c>
      <c r="AK130" s="103" t="s">
        <v>97</v>
      </c>
      <c r="AL130" s="103" t="s">
        <v>99</v>
      </c>
      <c r="AM130" s="103" t="s">
        <v>99</v>
      </c>
      <c r="AN130" s="103" t="s">
        <v>97</v>
      </c>
      <c r="AO130" s="103" t="s">
        <v>97</v>
      </c>
      <c r="AP130" s="103" t="s">
        <v>99</v>
      </c>
      <c r="AQ130" s="136" t="s">
        <v>97</v>
      </c>
      <c r="AR130" s="108" t="s">
        <v>99</v>
      </c>
      <c r="AS130" s="103" t="s">
        <v>97</v>
      </c>
      <c r="AT130" s="105"/>
      <c r="AU130" s="139" t="s">
        <v>97</v>
      </c>
      <c r="AV130" s="105"/>
      <c r="AW130" s="105"/>
      <c r="AX130" s="105"/>
      <c r="AY130" s="105"/>
      <c r="AZ130" s="105"/>
      <c r="BA130" s="105"/>
      <c r="BB130" s="105"/>
      <c r="BC130" s="106"/>
      <c r="BD130" s="105"/>
      <c r="BE130" s="105"/>
      <c r="BF130" s="105"/>
      <c r="BG130" s="105"/>
      <c r="BH130" s="102"/>
      <c r="BI130" s="102"/>
      <c r="BJ130" s="102"/>
      <c r="BK130" s="102"/>
      <c r="BL130" s="102"/>
      <c r="BM130" s="102"/>
      <c r="BN130" s="102"/>
      <c r="BO130" s="102"/>
      <c r="BP130" s="102"/>
      <c r="BQ130" s="102"/>
      <c r="BR130" s="102"/>
      <c r="BS130" s="102"/>
      <c r="BT130" s="102"/>
      <c r="BU130" s="102"/>
      <c r="BV130" s="102"/>
      <c r="BW130" s="102"/>
      <c r="BX130" s="102"/>
      <c r="BY130" s="102"/>
      <c r="BZ130" s="102"/>
      <c r="CA130" s="102"/>
      <c r="CB130" s="102"/>
      <c r="CC130" s="102"/>
      <c r="CD130" s="102"/>
      <c r="CE130" s="102"/>
      <c r="CF130" s="102"/>
      <c r="CG130" s="102"/>
      <c r="CH130" s="102"/>
      <c r="CI130" s="102"/>
      <c r="CJ130" s="102"/>
      <c r="CK130" s="102"/>
      <c r="CL130" s="102"/>
      <c r="CM130" s="102"/>
      <c r="CN130" s="102"/>
      <c r="CO130" s="102"/>
      <c r="CP130" s="102"/>
      <c r="CQ130" s="102"/>
      <c r="CR130" s="102"/>
      <c r="CS130" s="102"/>
      <c r="CT130" s="102"/>
      <c r="CU130" s="102"/>
      <c r="CV130" s="102"/>
      <c r="CW130" s="102"/>
      <c r="CX130" s="102"/>
      <c r="CY130" s="102"/>
      <c r="CZ130" s="102"/>
      <c r="DA130" s="102"/>
      <c r="DB130" s="102"/>
      <c r="DC130" s="102"/>
      <c r="DD130" s="102"/>
      <c r="DE130" s="102"/>
      <c r="DF130" s="102"/>
      <c r="DG130" s="102"/>
      <c r="DH130" s="102"/>
      <c r="DI130" s="102"/>
      <c r="DJ130" s="102"/>
      <c r="DK130" s="102"/>
      <c r="DL130" s="102"/>
      <c r="DM130" s="102"/>
      <c r="DN130" s="102"/>
      <c r="DO130" s="102"/>
      <c r="DP130" s="102"/>
      <c r="DQ130" s="102"/>
      <c r="DR130" s="102"/>
      <c r="DS130" s="102"/>
      <c r="DT130" s="102"/>
      <c r="DU130" s="102"/>
      <c r="DV130" s="102"/>
      <c r="DW130" s="102"/>
      <c r="DX130" s="102"/>
      <c r="DY130" s="102"/>
      <c r="DZ130" s="102"/>
      <c r="EA130" s="102"/>
      <c r="EB130" s="102"/>
      <c r="EC130" s="102"/>
      <c r="ED130" s="102"/>
      <c r="EE130" s="102"/>
      <c r="EF130" s="102"/>
      <c r="EG130" s="102"/>
      <c r="EH130" s="102"/>
      <c r="EI130" s="102"/>
      <c r="EJ130" s="102"/>
      <c r="EK130" s="102"/>
      <c r="EL130" s="102"/>
      <c r="EM130" s="102"/>
      <c r="EN130" s="102"/>
    </row>
    <row r="131">
      <c r="A131" s="110" t="s">
        <v>234</v>
      </c>
      <c r="B131" s="112"/>
      <c r="C131" s="112"/>
      <c r="D131" s="112"/>
      <c r="E131" s="112"/>
      <c r="F131" s="112"/>
      <c r="G131" s="113"/>
      <c r="H131" s="114"/>
      <c r="I131" s="116"/>
      <c r="J131" s="116"/>
      <c r="K131" s="116"/>
      <c r="L131" s="116"/>
      <c r="M131" s="116"/>
      <c r="N131" s="116"/>
      <c r="O131" s="116"/>
      <c r="P131" s="116"/>
      <c r="Q131" s="116"/>
      <c r="R131" s="116"/>
      <c r="S131" s="117"/>
      <c r="T131" s="118"/>
      <c r="U131" s="120"/>
      <c r="V131" s="120"/>
      <c r="W131" s="120"/>
      <c r="X131" s="120"/>
      <c r="Y131" s="120"/>
      <c r="Z131" s="120"/>
      <c r="AA131" s="120"/>
      <c r="AB131" s="120"/>
      <c r="AC131" s="120"/>
      <c r="AD131" s="120"/>
      <c r="AE131" s="122"/>
      <c r="AF131" s="123"/>
      <c r="AG131" s="125" t="s">
        <v>97</v>
      </c>
      <c r="AH131" s="124"/>
      <c r="AI131" s="124"/>
      <c r="AJ131" s="124"/>
      <c r="AK131" s="124"/>
      <c r="AL131" s="124"/>
      <c r="AM131" s="124"/>
      <c r="AN131" s="124"/>
      <c r="AO131" s="124"/>
      <c r="AP131" s="124"/>
      <c r="AQ131" s="126"/>
      <c r="AR131" s="127"/>
      <c r="AS131" s="128" t="s">
        <v>97</v>
      </c>
      <c r="AT131" s="129"/>
      <c r="AU131" s="129"/>
      <c r="AV131" s="129"/>
      <c r="AW131" s="129"/>
      <c r="AX131" s="129"/>
      <c r="AY131" s="129"/>
      <c r="AZ131" s="129"/>
      <c r="BA131" s="129"/>
      <c r="BB131" s="129"/>
      <c r="BC131" s="130"/>
      <c r="BD131" s="129"/>
      <c r="BE131" s="129"/>
      <c r="BF131" s="129"/>
      <c r="BG131" s="129"/>
      <c r="BH131" s="102"/>
      <c r="BI131" s="102"/>
      <c r="BJ131" s="102"/>
      <c r="BK131" s="102"/>
      <c r="BL131" s="102"/>
      <c r="BM131" s="102"/>
      <c r="BN131" s="102"/>
      <c r="BO131" s="102"/>
      <c r="BP131" s="102"/>
      <c r="BQ131" s="102"/>
      <c r="BR131" s="102"/>
      <c r="BS131" s="102"/>
      <c r="BT131" s="102"/>
      <c r="BU131" s="102"/>
      <c r="BV131" s="102"/>
      <c r="BW131" s="102"/>
      <c r="BX131" s="102"/>
      <c r="BY131" s="102"/>
      <c r="BZ131" s="102"/>
      <c r="CA131" s="102"/>
      <c r="CB131" s="102"/>
      <c r="CC131" s="102"/>
      <c r="CD131" s="102"/>
      <c r="CE131" s="102"/>
      <c r="CF131" s="102"/>
      <c r="CG131" s="102"/>
      <c r="CH131" s="102"/>
      <c r="CI131" s="102"/>
      <c r="CJ131" s="102"/>
      <c r="CK131" s="102"/>
      <c r="CL131" s="102"/>
      <c r="CM131" s="102"/>
      <c r="CN131" s="102"/>
      <c r="CO131" s="102"/>
      <c r="CP131" s="102"/>
      <c r="CQ131" s="102"/>
      <c r="CR131" s="102"/>
      <c r="CS131" s="102"/>
      <c r="CT131" s="102"/>
      <c r="CU131" s="102"/>
      <c r="CV131" s="102"/>
      <c r="CW131" s="102"/>
      <c r="CX131" s="102"/>
      <c r="CY131" s="102"/>
      <c r="CZ131" s="102"/>
      <c r="DA131" s="102"/>
      <c r="DB131" s="102"/>
      <c r="DC131" s="102"/>
      <c r="DD131" s="102"/>
      <c r="DE131" s="102"/>
      <c r="DF131" s="102"/>
      <c r="DG131" s="102"/>
      <c r="DH131" s="102"/>
      <c r="DI131" s="102"/>
      <c r="DJ131" s="102"/>
      <c r="DK131" s="102"/>
      <c r="DL131" s="102"/>
      <c r="DM131" s="102"/>
      <c r="DN131" s="102"/>
      <c r="DO131" s="102"/>
      <c r="DP131" s="102"/>
      <c r="DQ131" s="102"/>
      <c r="DR131" s="102"/>
      <c r="DS131" s="102"/>
      <c r="DT131" s="102"/>
      <c r="DU131" s="102"/>
      <c r="DV131" s="102"/>
      <c r="DW131" s="102"/>
      <c r="DX131" s="102"/>
      <c r="DY131" s="102"/>
      <c r="DZ131" s="102"/>
      <c r="EA131" s="102"/>
      <c r="EB131" s="102"/>
      <c r="EC131" s="102"/>
      <c r="ED131" s="102"/>
      <c r="EE131" s="102"/>
      <c r="EF131" s="102"/>
      <c r="EG131" s="102"/>
      <c r="EH131" s="102"/>
      <c r="EI131" s="102"/>
      <c r="EJ131" s="102"/>
      <c r="EK131" s="102"/>
      <c r="EL131" s="102"/>
      <c r="EM131" s="102"/>
      <c r="EN131" s="102"/>
    </row>
    <row r="132">
      <c r="A132" s="103" t="s">
        <v>235</v>
      </c>
      <c r="B132" s="105"/>
      <c r="C132" s="103" t="s">
        <v>98</v>
      </c>
      <c r="D132" s="103" t="s">
        <v>97</v>
      </c>
      <c r="E132" s="105"/>
      <c r="F132" s="105"/>
      <c r="G132" s="136" t="s">
        <v>97</v>
      </c>
      <c r="H132" s="107"/>
      <c r="I132" s="105"/>
      <c r="J132" s="103" t="s">
        <v>97</v>
      </c>
      <c r="K132" s="105"/>
      <c r="L132" s="105"/>
      <c r="M132" s="103" t="s">
        <v>97</v>
      </c>
      <c r="N132" s="105"/>
      <c r="O132" s="105"/>
      <c r="P132" s="103" t="s">
        <v>99</v>
      </c>
      <c r="Q132" s="103" t="s">
        <v>97</v>
      </c>
      <c r="R132" s="103" t="s">
        <v>97</v>
      </c>
      <c r="S132" s="136" t="s">
        <v>97</v>
      </c>
      <c r="T132" s="107"/>
      <c r="U132" s="105"/>
      <c r="V132" s="103" t="s">
        <v>99</v>
      </c>
      <c r="W132" s="105"/>
      <c r="X132" s="105"/>
      <c r="Y132" s="103" t="s">
        <v>97</v>
      </c>
      <c r="Z132" s="105"/>
      <c r="AA132" s="105"/>
      <c r="AB132" s="103" t="s">
        <v>99</v>
      </c>
      <c r="AC132" s="103" t="s">
        <v>97</v>
      </c>
      <c r="AD132" s="105"/>
      <c r="AE132" s="106"/>
      <c r="AF132" s="108" t="s">
        <v>97</v>
      </c>
      <c r="AG132" s="103" t="s">
        <v>97</v>
      </c>
      <c r="AH132" s="105"/>
      <c r="AI132" s="105"/>
      <c r="AJ132" s="103" t="s">
        <v>99</v>
      </c>
      <c r="AK132" s="103" t="s">
        <v>97</v>
      </c>
      <c r="AL132" s="105"/>
      <c r="AM132" s="105"/>
      <c r="AN132" s="103" t="s">
        <v>98</v>
      </c>
      <c r="AO132" s="105"/>
      <c r="AP132" s="105"/>
      <c r="AQ132" s="136" t="s">
        <v>99</v>
      </c>
      <c r="AR132" s="107"/>
      <c r="AS132" s="103" t="s">
        <v>98</v>
      </c>
      <c r="AT132" s="105"/>
      <c r="AU132" s="105"/>
      <c r="AV132" s="105"/>
      <c r="AW132" s="105"/>
      <c r="AX132" s="105"/>
      <c r="AY132" s="105"/>
      <c r="AZ132" s="105"/>
      <c r="BA132" s="105"/>
      <c r="BB132" s="105"/>
      <c r="BC132" s="106"/>
      <c r="BD132" s="105"/>
      <c r="BE132" s="105"/>
      <c r="BF132" s="105"/>
      <c r="BG132" s="105"/>
      <c r="BH132" s="102"/>
      <c r="BI132" s="102"/>
      <c r="BJ132" s="102"/>
      <c r="BK132" s="102"/>
      <c r="BL132" s="102"/>
      <c r="BM132" s="102"/>
      <c r="BN132" s="102"/>
      <c r="BO132" s="102"/>
      <c r="BP132" s="102"/>
      <c r="BQ132" s="102"/>
      <c r="BR132" s="102"/>
      <c r="BS132" s="102"/>
      <c r="BT132" s="102"/>
      <c r="BU132" s="102"/>
      <c r="BV132" s="102"/>
      <c r="BW132" s="102"/>
      <c r="BX132" s="102"/>
      <c r="BY132" s="102"/>
      <c r="BZ132" s="102"/>
      <c r="CA132" s="102"/>
      <c r="CB132" s="102"/>
      <c r="CC132" s="102"/>
      <c r="CD132" s="102"/>
      <c r="CE132" s="102"/>
      <c r="CF132" s="102"/>
      <c r="CG132" s="102"/>
      <c r="CH132" s="102"/>
      <c r="CI132" s="102"/>
      <c r="CJ132" s="102"/>
      <c r="CK132" s="102"/>
      <c r="CL132" s="102"/>
      <c r="CM132" s="102"/>
      <c r="CN132" s="102"/>
      <c r="CO132" s="102"/>
      <c r="CP132" s="102"/>
      <c r="CQ132" s="102"/>
      <c r="CR132" s="102"/>
      <c r="CS132" s="102"/>
      <c r="CT132" s="102"/>
      <c r="CU132" s="102"/>
      <c r="CV132" s="102"/>
      <c r="CW132" s="102"/>
      <c r="CX132" s="102"/>
      <c r="CY132" s="102"/>
      <c r="CZ132" s="102"/>
      <c r="DA132" s="102"/>
      <c r="DB132" s="102"/>
      <c r="DC132" s="102"/>
      <c r="DD132" s="102"/>
      <c r="DE132" s="102"/>
      <c r="DF132" s="102"/>
      <c r="DG132" s="102"/>
      <c r="DH132" s="102"/>
      <c r="DI132" s="102"/>
      <c r="DJ132" s="102"/>
      <c r="DK132" s="102"/>
      <c r="DL132" s="102"/>
      <c r="DM132" s="102"/>
      <c r="DN132" s="102"/>
      <c r="DO132" s="102"/>
      <c r="DP132" s="102"/>
      <c r="DQ132" s="102"/>
      <c r="DR132" s="102"/>
      <c r="DS132" s="102"/>
      <c r="DT132" s="102"/>
      <c r="DU132" s="102"/>
      <c r="DV132" s="102"/>
      <c r="DW132" s="102"/>
      <c r="DX132" s="102"/>
      <c r="DY132" s="102"/>
      <c r="DZ132" s="102"/>
      <c r="EA132" s="102"/>
      <c r="EB132" s="102"/>
      <c r="EC132" s="102"/>
      <c r="ED132" s="102"/>
      <c r="EE132" s="102"/>
      <c r="EF132" s="102"/>
      <c r="EG132" s="102"/>
      <c r="EH132" s="102"/>
      <c r="EI132" s="102"/>
      <c r="EJ132" s="102"/>
      <c r="EK132" s="102"/>
      <c r="EL132" s="102"/>
      <c r="EM132" s="102"/>
      <c r="EN132" s="102"/>
    </row>
    <row r="133">
      <c r="A133" s="110" t="s">
        <v>236</v>
      </c>
      <c r="B133" s="110" t="s">
        <v>97</v>
      </c>
      <c r="C133" s="112"/>
      <c r="D133" s="112"/>
      <c r="E133" s="112"/>
      <c r="F133" s="112"/>
      <c r="G133" s="113"/>
      <c r="H133" s="132" t="s">
        <v>97</v>
      </c>
      <c r="I133" s="115" t="s">
        <v>96</v>
      </c>
      <c r="J133" s="116"/>
      <c r="K133" s="116"/>
      <c r="L133" s="116"/>
      <c r="M133" s="116"/>
      <c r="N133" s="115" t="s">
        <v>98</v>
      </c>
      <c r="O133" s="116"/>
      <c r="P133" s="115" t="s">
        <v>99</v>
      </c>
      <c r="Q133" s="116"/>
      <c r="R133" s="116"/>
      <c r="S133" s="117"/>
      <c r="T133" s="119" t="s">
        <v>99</v>
      </c>
      <c r="U133" s="118"/>
      <c r="V133" s="118"/>
      <c r="W133" s="118"/>
      <c r="X133" s="118"/>
      <c r="Y133" s="118"/>
      <c r="Z133" s="121" t="s">
        <v>97</v>
      </c>
      <c r="AA133" s="120"/>
      <c r="AB133" s="120"/>
      <c r="AC133" s="121" t="s">
        <v>97</v>
      </c>
      <c r="AD133" s="120"/>
      <c r="AE133" s="122"/>
      <c r="AF133" s="123"/>
      <c r="AG133" s="124"/>
      <c r="AH133" s="124"/>
      <c r="AI133" s="125" t="s">
        <v>99</v>
      </c>
      <c r="AJ133" s="124"/>
      <c r="AK133" s="124"/>
      <c r="AL133" s="124"/>
      <c r="AM133" s="125" t="s">
        <v>99</v>
      </c>
      <c r="AN133" s="124"/>
      <c r="AO133" s="125" t="s">
        <v>97</v>
      </c>
      <c r="AP133" s="125" t="s">
        <v>97</v>
      </c>
      <c r="AQ133" s="133" t="s">
        <v>97</v>
      </c>
      <c r="AR133" s="127"/>
      <c r="AS133" s="128" t="s">
        <v>97</v>
      </c>
      <c r="AT133" s="129"/>
      <c r="AU133" s="144" t="s">
        <v>97</v>
      </c>
      <c r="AV133" s="129"/>
      <c r="AW133" s="129"/>
      <c r="AX133" s="129"/>
      <c r="AY133" s="129"/>
      <c r="AZ133" s="129"/>
      <c r="BA133" s="129"/>
      <c r="BB133" s="129"/>
      <c r="BC133" s="130"/>
      <c r="BD133" s="129"/>
      <c r="BE133" s="129"/>
      <c r="BF133" s="129"/>
      <c r="BG133" s="129"/>
      <c r="BH133" s="102"/>
      <c r="BI133" s="102"/>
      <c r="BJ133" s="102"/>
      <c r="BK133" s="102"/>
      <c r="BL133" s="102"/>
      <c r="BM133" s="102"/>
      <c r="BN133" s="102"/>
      <c r="BO133" s="102"/>
      <c r="BP133" s="102"/>
      <c r="BQ133" s="102"/>
      <c r="BR133" s="102"/>
      <c r="BS133" s="102"/>
      <c r="BT133" s="102"/>
      <c r="BU133" s="102"/>
      <c r="BV133" s="102"/>
      <c r="BW133" s="102"/>
      <c r="BX133" s="102"/>
      <c r="BY133" s="102"/>
      <c r="BZ133" s="102"/>
      <c r="CA133" s="102"/>
      <c r="CB133" s="102"/>
      <c r="CC133" s="102"/>
      <c r="CD133" s="102"/>
      <c r="CE133" s="102"/>
      <c r="CF133" s="102"/>
      <c r="CG133" s="102"/>
      <c r="CH133" s="102"/>
      <c r="CI133" s="102"/>
      <c r="CJ133" s="102"/>
      <c r="CK133" s="102"/>
      <c r="CL133" s="102"/>
      <c r="CM133" s="102"/>
      <c r="CN133" s="102"/>
      <c r="CO133" s="102"/>
      <c r="CP133" s="102"/>
      <c r="CQ133" s="102"/>
      <c r="CR133" s="102"/>
      <c r="CS133" s="102"/>
      <c r="CT133" s="102"/>
      <c r="CU133" s="102"/>
      <c r="CV133" s="102"/>
      <c r="CW133" s="102"/>
      <c r="CX133" s="102"/>
      <c r="CY133" s="102"/>
      <c r="CZ133" s="102"/>
      <c r="DA133" s="102"/>
      <c r="DB133" s="102"/>
      <c r="DC133" s="102"/>
      <c r="DD133" s="102"/>
      <c r="DE133" s="102"/>
      <c r="DF133" s="102"/>
      <c r="DG133" s="102"/>
      <c r="DH133" s="102"/>
      <c r="DI133" s="102"/>
      <c r="DJ133" s="102"/>
      <c r="DK133" s="102"/>
      <c r="DL133" s="102"/>
      <c r="DM133" s="102"/>
      <c r="DN133" s="102"/>
      <c r="DO133" s="102"/>
      <c r="DP133" s="102"/>
      <c r="DQ133" s="102"/>
      <c r="DR133" s="102"/>
      <c r="DS133" s="102"/>
      <c r="DT133" s="102"/>
      <c r="DU133" s="102"/>
      <c r="DV133" s="102"/>
      <c r="DW133" s="102"/>
      <c r="DX133" s="102"/>
      <c r="DY133" s="102"/>
      <c r="DZ133" s="102"/>
      <c r="EA133" s="102"/>
      <c r="EB133" s="102"/>
      <c r="EC133" s="102"/>
      <c r="ED133" s="102"/>
      <c r="EE133" s="102"/>
      <c r="EF133" s="102"/>
      <c r="EG133" s="102"/>
      <c r="EH133" s="102"/>
      <c r="EI133" s="102"/>
      <c r="EJ133" s="102"/>
      <c r="EK133" s="102"/>
      <c r="EL133" s="102"/>
      <c r="EM133" s="102"/>
      <c r="EN133" s="102"/>
    </row>
    <row r="134">
      <c r="A134" s="103" t="s">
        <v>237</v>
      </c>
      <c r="B134" s="105"/>
      <c r="C134" s="105"/>
      <c r="D134" s="105"/>
      <c r="E134" s="105"/>
      <c r="F134" s="103" t="s">
        <v>97</v>
      </c>
      <c r="G134" s="136" t="s">
        <v>97</v>
      </c>
      <c r="H134" s="108" t="s">
        <v>98</v>
      </c>
      <c r="I134" s="105"/>
      <c r="J134" s="105"/>
      <c r="K134" s="105"/>
      <c r="L134" s="103" t="s">
        <v>98</v>
      </c>
      <c r="M134" s="105"/>
      <c r="N134" s="105"/>
      <c r="O134" s="105"/>
      <c r="P134" s="103" t="s">
        <v>99</v>
      </c>
      <c r="Q134" s="105"/>
      <c r="R134" s="103" t="s">
        <v>96</v>
      </c>
      <c r="S134" s="106"/>
      <c r="T134" s="107"/>
      <c r="U134" s="105"/>
      <c r="V134" s="105"/>
      <c r="W134" s="105"/>
      <c r="X134" s="103" t="s">
        <v>99</v>
      </c>
      <c r="Y134" s="105"/>
      <c r="Z134" s="105"/>
      <c r="AA134" s="105"/>
      <c r="AB134" s="105"/>
      <c r="AC134" s="105"/>
      <c r="AD134" s="103" t="s">
        <v>99</v>
      </c>
      <c r="AE134" s="106"/>
      <c r="AF134" s="108" t="s">
        <v>96</v>
      </c>
      <c r="AG134" s="105"/>
      <c r="AH134" s="105"/>
      <c r="AI134" s="105"/>
      <c r="AJ134" s="105"/>
      <c r="AK134" s="103" t="s">
        <v>96</v>
      </c>
      <c r="AL134" s="105"/>
      <c r="AM134" s="105"/>
      <c r="AN134" s="105"/>
      <c r="AO134" s="105"/>
      <c r="AP134" s="105"/>
      <c r="AQ134" s="136" t="s">
        <v>97</v>
      </c>
      <c r="AR134" s="107"/>
      <c r="AS134" s="103" t="s">
        <v>97</v>
      </c>
      <c r="AT134" s="105"/>
      <c r="AU134" s="109" t="s">
        <v>97</v>
      </c>
      <c r="AV134" s="105"/>
      <c r="AW134" s="105"/>
      <c r="AX134" s="105"/>
      <c r="AY134" s="105"/>
      <c r="AZ134" s="105"/>
      <c r="BA134" s="105"/>
      <c r="BB134" s="105"/>
      <c r="BC134" s="106"/>
      <c r="BD134" s="105"/>
      <c r="BE134" s="105"/>
      <c r="BF134" s="105"/>
      <c r="BG134" s="105"/>
      <c r="BH134" s="102"/>
      <c r="BI134" s="102"/>
      <c r="BJ134" s="102"/>
      <c r="BK134" s="102"/>
      <c r="BL134" s="102"/>
      <c r="BM134" s="102"/>
      <c r="BN134" s="102"/>
      <c r="BO134" s="102"/>
      <c r="BP134" s="102"/>
      <c r="BQ134" s="102"/>
      <c r="BR134" s="102"/>
      <c r="BS134" s="102"/>
      <c r="BT134" s="102"/>
      <c r="BU134" s="102"/>
      <c r="BV134" s="102"/>
      <c r="BW134" s="102"/>
      <c r="BX134" s="102"/>
      <c r="BY134" s="102"/>
      <c r="BZ134" s="102"/>
      <c r="CA134" s="102"/>
      <c r="CB134" s="102"/>
      <c r="CC134" s="102"/>
      <c r="CD134" s="102"/>
      <c r="CE134" s="102"/>
      <c r="CF134" s="102"/>
      <c r="CG134" s="102"/>
      <c r="CH134" s="102"/>
      <c r="CI134" s="102"/>
      <c r="CJ134" s="102"/>
      <c r="CK134" s="102"/>
      <c r="CL134" s="102"/>
      <c r="CM134" s="102"/>
      <c r="CN134" s="102"/>
      <c r="CO134" s="102"/>
      <c r="CP134" s="102"/>
      <c r="CQ134" s="102"/>
      <c r="CR134" s="102"/>
      <c r="CS134" s="102"/>
      <c r="CT134" s="102"/>
      <c r="CU134" s="102"/>
      <c r="CV134" s="102"/>
      <c r="CW134" s="102"/>
      <c r="CX134" s="102"/>
      <c r="CY134" s="102"/>
      <c r="CZ134" s="102"/>
      <c r="DA134" s="102"/>
      <c r="DB134" s="102"/>
      <c r="DC134" s="102"/>
      <c r="DD134" s="102"/>
      <c r="DE134" s="102"/>
      <c r="DF134" s="102"/>
      <c r="DG134" s="102"/>
      <c r="DH134" s="102"/>
      <c r="DI134" s="102"/>
      <c r="DJ134" s="102"/>
      <c r="DK134" s="102"/>
      <c r="DL134" s="102"/>
      <c r="DM134" s="102"/>
      <c r="DN134" s="102"/>
      <c r="DO134" s="102"/>
      <c r="DP134" s="102"/>
      <c r="DQ134" s="102"/>
      <c r="DR134" s="102"/>
      <c r="DS134" s="102"/>
      <c r="DT134" s="102"/>
      <c r="DU134" s="102"/>
      <c r="DV134" s="102"/>
      <c r="DW134" s="102"/>
      <c r="DX134" s="102"/>
      <c r="DY134" s="102"/>
      <c r="DZ134" s="102"/>
      <c r="EA134" s="102"/>
      <c r="EB134" s="102"/>
      <c r="EC134" s="102"/>
      <c r="ED134" s="102"/>
      <c r="EE134" s="102"/>
      <c r="EF134" s="102"/>
      <c r="EG134" s="102"/>
      <c r="EH134" s="102"/>
      <c r="EI134" s="102"/>
      <c r="EJ134" s="102"/>
      <c r="EK134" s="102"/>
      <c r="EL134" s="102"/>
      <c r="EM134" s="102"/>
      <c r="EN134" s="102"/>
    </row>
    <row r="135">
      <c r="A135" s="110" t="s">
        <v>238</v>
      </c>
      <c r="B135" s="110" t="s">
        <v>99</v>
      </c>
      <c r="C135" s="110" t="s">
        <v>97</v>
      </c>
      <c r="D135" s="110" t="s">
        <v>99</v>
      </c>
      <c r="E135" s="110" t="s">
        <v>97</v>
      </c>
      <c r="F135" s="110" t="s">
        <v>99</v>
      </c>
      <c r="G135" s="137" t="s">
        <v>97</v>
      </c>
      <c r="H135" s="132" t="s">
        <v>99</v>
      </c>
      <c r="I135" s="115" t="s">
        <v>98</v>
      </c>
      <c r="J135" s="115" t="s">
        <v>99</v>
      </c>
      <c r="K135" s="115" t="s">
        <v>97</v>
      </c>
      <c r="L135" s="115" t="s">
        <v>99</v>
      </c>
      <c r="M135" s="115" t="s">
        <v>97</v>
      </c>
      <c r="N135" s="115" t="s">
        <v>99</v>
      </c>
      <c r="O135" s="115" t="s">
        <v>97</v>
      </c>
      <c r="P135" s="115" t="s">
        <v>99</v>
      </c>
      <c r="Q135" s="115" t="s">
        <v>97</v>
      </c>
      <c r="R135" s="115" t="s">
        <v>99</v>
      </c>
      <c r="S135" s="143" t="s">
        <v>97</v>
      </c>
      <c r="T135" s="121" t="s">
        <v>99</v>
      </c>
      <c r="U135" s="121" t="s">
        <v>99</v>
      </c>
      <c r="V135" s="121" t="s">
        <v>99</v>
      </c>
      <c r="W135" s="121" t="s">
        <v>99</v>
      </c>
      <c r="X135" s="121" t="s">
        <v>99</v>
      </c>
      <c r="Y135" s="121" t="s">
        <v>97</v>
      </c>
      <c r="Z135" s="121" t="s">
        <v>99</v>
      </c>
      <c r="AA135" s="121" t="s">
        <v>99</v>
      </c>
      <c r="AB135" s="121" t="s">
        <v>97</v>
      </c>
      <c r="AC135" s="121" t="s">
        <v>99</v>
      </c>
      <c r="AD135" s="121" t="s">
        <v>97</v>
      </c>
      <c r="AE135" s="140" t="s">
        <v>99</v>
      </c>
      <c r="AF135" s="134" t="s">
        <v>97</v>
      </c>
      <c r="AG135" s="125" t="s">
        <v>99</v>
      </c>
      <c r="AH135" s="125" t="s">
        <v>99</v>
      </c>
      <c r="AI135" s="125" t="s">
        <v>99</v>
      </c>
      <c r="AJ135" s="125" t="s">
        <v>99</v>
      </c>
      <c r="AK135" s="125" t="s">
        <v>99</v>
      </c>
      <c r="AL135" s="125" t="s">
        <v>99</v>
      </c>
      <c r="AM135" s="125" t="s">
        <v>99</v>
      </c>
      <c r="AN135" s="125" t="s">
        <v>99</v>
      </c>
      <c r="AO135" s="125" t="s">
        <v>99</v>
      </c>
      <c r="AP135" s="125" t="s">
        <v>97</v>
      </c>
      <c r="AQ135" s="133" t="s">
        <v>99</v>
      </c>
      <c r="AR135" s="135" t="s">
        <v>99</v>
      </c>
      <c r="AS135" s="128" t="s">
        <v>97</v>
      </c>
      <c r="AT135" s="129"/>
      <c r="AU135" s="144" t="s">
        <v>97</v>
      </c>
      <c r="AV135" s="129"/>
      <c r="AW135" s="129"/>
      <c r="AX135" s="129"/>
      <c r="AY135" s="129"/>
      <c r="AZ135" s="129"/>
      <c r="BA135" s="129"/>
      <c r="BB135" s="129"/>
      <c r="BC135" s="130"/>
      <c r="BD135" s="129"/>
      <c r="BE135" s="129"/>
      <c r="BF135" s="129"/>
      <c r="BG135" s="129"/>
      <c r="BH135" s="102"/>
      <c r="BI135" s="102"/>
      <c r="BJ135" s="102"/>
      <c r="BK135" s="102"/>
      <c r="BL135" s="102"/>
      <c r="BM135" s="102"/>
      <c r="BN135" s="102"/>
      <c r="BO135" s="102"/>
      <c r="BP135" s="102"/>
      <c r="BQ135" s="102"/>
      <c r="BR135" s="102"/>
      <c r="BS135" s="102"/>
      <c r="BT135" s="102"/>
      <c r="BU135" s="102"/>
      <c r="BV135" s="102"/>
      <c r="BW135" s="102"/>
      <c r="BX135" s="102"/>
      <c r="BY135" s="102"/>
      <c r="BZ135" s="102"/>
      <c r="CA135" s="102"/>
      <c r="CB135" s="102"/>
      <c r="CC135" s="102"/>
      <c r="CD135" s="102"/>
      <c r="CE135" s="102"/>
      <c r="CF135" s="102"/>
      <c r="CG135" s="102"/>
      <c r="CH135" s="102"/>
      <c r="CI135" s="102"/>
      <c r="CJ135" s="102"/>
      <c r="CK135" s="102"/>
      <c r="CL135" s="102"/>
      <c r="CM135" s="102"/>
      <c r="CN135" s="102"/>
      <c r="CO135" s="102"/>
      <c r="CP135" s="102"/>
      <c r="CQ135" s="102"/>
      <c r="CR135" s="102"/>
      <c r="CS135" s="102"/>
      <c r="CT135" s="102"/>
      <c r="CU135" s="102"/>
      <c r="CV135" s="102"/>
      <c r="CW135" s="102"/>
      <c r="CX135" s="102"/>
      <c r="CY135" s="102"/>
      <c r="CZ135" s="102"/>
      <c r="DA135" s="102"/>
      <c r="DB135" s="102"/>
      <c r="DC135" s="102"/>
      <c r="DD135" s="102"/>
      <c r="DE135" s="102"/>
      <c r="DF135" s="102"/>
      <c r="DG135" s="102"/>
      <c r="DH135" s="102"/>
      <c r="DI135" s="102"/>
      <c r="DJ135" s="102"/>
      <c r="DK135" s="102"/>
      <c r="DL135" s="102"/>
      <c r="DM135" s="102"/>
      <c r="DN135" s="102"/>
      <c r="DO135" s="102"/>
      <c r="DP135" s="102"/>
      <c r="DQ135" s="102"/>
      <c r="DR135" s="102"/>
      <c r="DS135" s="102"/>
      <c r="DT135" s="102"/>
      <c r="DU135" s="102"/>
      <c r="DV135" s="102"/>
      <c r="DW135" s="102"/>
      <c r="DX135" s="102"/>
      <c r="DY135" s="102"/>
      <c r="DZ135" s="102"/>
      <c r="EA135" s="102"/>
      <c r="EB135" s="102"/>
      <c r="EC135" s="102"/>
      <c r="ED135" s="102"/>
      <c r="EE135" s="102"/>
      <c r="EF135" s="102"/>
      <c r="EG135" s="102"/>
      <c r="EH135" s="102"/>
      <c r="EI135" s="102"/>
      <c r="EJ135" s="102"/>
      <c r="EK135" s="102"/>
      <c r="EL135" s="102"/>
      <c r="EM135" s="102"/>
      <c r="EN135" s="102"/>
    </row>
    <row r="136">
      <c r="A136" s="103" t="s">
        <v>239</v>
      </c>
      <c r="B136" s="103" t="s">
        <v>99</v>
      </c>
      <c r="C136" s="103" t="s">
        <v>97</v>
      </c>
      <c r="D136" s="103" t="s">
        <v>99</v>
      </c>
      <c r="E136" s="103" t="s">
        <v>97</v>
      </c>
      <c r="F136" s="103" t="s">
        <v>99</v>
      </c>
      <c r="G136" s="136" t="s">
        <v>96</v>
      </c>
      <c r="H136" s="108" t="s">
        <v>99</v>
      </c>
      <c r="I136" s="103" t="s">
        <v>98</v>
      </c>
      <c r="J136" s="103" t="s">
        <v>99</v>
      </c>
      <c r="K136" s="103" t="s">
        <v>97</v>
      </c>
      <c r="L136" s="103" t="s">
        <v>99</v>
      </c>
      <c r="M136" s="103" t="s">
        <v>97</v>
      </c>
      <c r="N136" s="103" t="s">
        <v>99</v>
      </c>
      <c r="O136" s="103" t="s">
        <v>96</v>
      </c>
      <c r="P136" s="103" t="s">
        <v>99</v>
      </c>
      <c r="Q136" s="103" t="s">
        <v>97</v>
      </c>
      <c r="R136" s="103" t="s">
        <v>99</v>
      </c>
      <c r="S136" s="136" t="s">
        <v>97</v>
      </c>
      <c r="T136" s="103" t="s">
        <v>99</v>
      </c>
      <c r="U136" s="103" t="s">
        <v>99</v>
      </c>
      <c r="V136" s="103" t="s">
        <v>97</v>
      </c>
      <c r="W136" s="103" t="s">
        <v>99</v>
      </c>
      <c r="X136" s="103" t="s">
        <v>99</v>
      </c>
      <c r="Y136" s="103" t="s">
        <v>97</v>
      </c>
      <c r="Z136" s="103" t="s">
        <v>99</v>
      </c>
      <c r="AA136" s="103" t="s">
        <v>99</v>
      </c>
      <c r="AB136" s="103" t="s">
        <v>97</v>
      </c>
      <c r="AC136" s="103" t="s">
        <v>99</v>
      </c>
      <c r="AD136" s="103" t="s">
        <v>97</v>
      </c>
      <c r="AE136" s="136" t="s">
        <v>99</v>
      </c>
      <c r="AF136" s="108" t="s">
        <v>97</v>
      </c>
      <c r="AG136" s="103" t="s">
        <v>99</v>
      </c>
      <c r="AH136" s="103" t="s">
        <v>99</v>
      </c>
      <c r="AI136" s="103" t="s">
        <v>99</v>
      </c>
      <c r="AJ136" s="103" t="s">
        <v>99</v>
      </c>
      <c r="AK136" s="103" t="s">
        <v>96</v>
      </c>
      <c r="AL136" s="103" t="s">
        <v>99</v>
      </c>
      <c r="AM136" s="103" t="s">
        <v>99</v>
      </c>
      <c r="AN136" s="103" t="s">
        <v>97</v>
      </c>
      <c r="AO136" s="103" t="s">
        <v>97</v>
      </c>
      <c r="AP136" s="103" t="s">
        <v>97</v>
      </c>
      <c r="AQ136" s="136" t="s">
        <v>99</v>
      </c>
      <c r="AR136" s="108" t="s">
        <v>99</v>
      </c>
      <c r="AS136" s="103" t="s">
        <v>97</v>
      </c>
      <c r="AT136" s="105"/>
      <c r="AU136" s="109" t="s">
        <v>97</v>
      </c>
      <c r="AV136" s="105"/>
      <c r="AW136" s="105"/>
      <c r="AX136" s="105"/>
      <c r="AY136" s="105"/>
      <c r="AZ136" s="105"/>
      <c r="BA136" s="105"/>
      <c r="BB136" s="105"/>
      <c r="BC136" s="106"/>
      <c r="BD136" s="105"/>
      <c r="BE136" s="105"/>
      <c r="BF136" s="105"/>
      <c r="BG136" s="105"/>
      <c r="BH136" s="102"/>
      <c r="BI136" s="102"/>
      <c r="BJ136" s="102"/>
      <c r="BK136" s="102"/>
      <c r="BL136" s="102"/>
      <c r="BM136" s="102"/>
      <c r="BN136" s="102"/>
      <c r="BO136" s="102"/>
      <c r="BP136" s="102"/>
      <c r="BQ136" s="102"/>
      <c r="BR136" s="102"/>
      <c r="BS136" s="102"/>
      <c r="BT136" s="102"/>
      <c r="BU136" s="102"/>
      <c r="BV136" s="102"/>
      <c r="BW136" s="102"/>
      <c r="BX136" s="102"/>
      <c r="BY136" s="102"/>
      <c r="BZ136" s="102"/>
      <c r="CA136" s="102"/>
      <c r="CB136" s="102"/>
      <c r="CC136" s="102"/>
      <c r="CD136" s="102"/>
      <c r="CE136" s="102"/>
      <c r="CF136" s="102"/>
      <c r="CG136" s="102"/>
      <c r="CH136" s="102"/>
      <c r="CI136" s="102"/>
      <c r="CJ136" s="102"/>
      <c r="CK136" s="102"/>
      <c r="CL136" s="102"/>
      <c r="CM136" s="102"/>
      <c r="CN136" s="102"/>
      <c r="CO136" s="102"/>
      <c r="CP136" s="102"/>
      <c r="CQ136" s="102"/>
      <c r="CR136" s="102"/>
      <c r="CS136" s="102"/>
      <c r="CT136" s="102"/>
      <c r="CU136" s="102"/>
      <c r="CV136" s="102"/>
      <c r="CW136" s="102"/>
      <c r="CX136" s="102"/>
      <c r="CY136" s="102"/>
      <c r="CZ136" s="102"/>
      <c r="DA136" s="102"/>
      <c r="DB136" s="102"/>
      <c r="DC136" s="102"/>
      <c r="DD136" s="102"/>
      <c r="DE136" s="102"/>
      <c r="DF136" s="102"/>
      <c r="DG136" s="102"/>
      <c r="DH136" s="102"/>
      <c r="DI136" s="102"/>
      <c r="DJ136" s="102"/>
      <c r="DK136" s="102"/>
      <c r="DL136" s="102"/>
      <c r="DM136" s="102"/>
      <c r="DN136" s="102"/>
      <c r="DO136" s="102"/>
      <c r="DP136" s="102"/>
      <c r="DQ136" s="102"/>
      <c r="DR136" s="102"/>
      <c r="DS136" s="102"/>
      <c r="DT136" s="102"/>
      <c r="DU136" s="102"/>
      <c r="DV136" s="102"/>
      <c r="DW136" s="102"/>
      <c r="DX136" s="102"/>
      <c r="DY136" s="102"/>
      <c r="DZ136" s="102"/>
      <c r="EA136" s="102"/>
      <c r="EB136" s="102"/>
      <c r="EC136" s="102"/>
      <c r="ED136" s="102"/>
      <c r="EE136" s="102"/>
      <c r="EF136" s="102"/>
      <c r="EG136" s="102"/>
      <c r="EH136" s="102"/>
      <c r="EI136" s="102"/>
      <c r="EJ136" s="102"/>
      <c r="EK136" s="102"/>
      <c r="EL136" s="102"/>
      <c r="EM136" s="102"/>
      <c r="EN136" s="102"/>
    </row>
    <row r="137">
      <c r="A137" s="110" t="s">
        <v>240</v>
      </c>
      <c r="B137" s="110" t="s">
        <v>97</v>
      </c>
      <c r="C137" s="110" t="s">
        <v>97</v>
      </c>
      <c r="D137" s="110" t="s">
        <v>99</v>
      </c>
      <c r="E137" s="110" t="s">
        <v>97</v>
      </c>
      <c r="F137" s="110" t="s">
        <v>97</v>
      </c>
      <c r="G137" s="137" t="s">
        <v>97</v>
      </c>
      <c r="H137" s="132" t="s">
        <v>97</v>
      </c>
      <c r="I137" s="115" t="s">
        <v>98</v>
      </c>
      <c r="J137" s="115" t="s">
        <v>97</v>
      </c>
      <c r="K137" s="115" t="s">
        <v>97</v>
      </c>
      <c r="L137" s="115" t="s">
        <v>97</v>
      </c>
      <c r="M137" s="115" t="s">
        <v>97</v>
      </c>
      <c r="N137" s="115" t="s">
        <v>99</v>
      </c>
      <c r="O137" s="115" t="s">
        <v>97</v>
      </c>
      <c r="P137" s="115" t="s">
        <v>99</v>
      </c>
      <c r="Q137" s="115" t="s">
        <v>96</v>
      </c>
      <c r="R137" s="115" t="s">
        <v>97</v>
      </c>
      <c r="S137" s="143" t="s">
        <v>97</v>
      </c>
      <c r="T137" s="121" t="s">
        <v>99</v>
      </c>
      <c r="U137" s="121" t="s">
        <v>99</v>
      </c>
      <c r="V137" s="121" t="s">
        <v>99</v>
      </c>
      <c r="W137" s="121" t="s">
        <v>99</v>
      </c>
      <c r="X137" s="121" t="s">
        <v>99</v>
      </c>
      <c r="Y137" s="121" t="s">
        <v>97</v>
      </c>
      <c r="Z137" s="121" t="s">
        <v>97</v>
      </c>
      <c r="AA137" s="121" t="s">
        <v>99</v>
      </c>
      <c r="AB137" s="121" t="s">
        <v>97</v>
      </c>
      <c r="AC137" s="121" t="s">
        <v>97</v>
      </c>
      <c r="AD137" s="121" t="s">
        <v>97</v>
      </c>
      <c r="AE137" s="140" t="s">
        <v>99</v>
      </c>
      <c r="AF137" s="134" t="s">
        <v>97</v>
      </c>
      <c r="AG137" s="125" t="s">
        <v>97</v>
      </c>
      <c r="AH137" s="125" t="s">
        <v>99</v>
      </c>
      <c r="AI137" s="125" t="s">
        <v>99</v>
      </c>
      <c r="AJ137" s="125" t="s">
        <v>99</v>
      </c>
      <c r="AK137" s="125" t="s">
        <v>99</v>
      </c>
      <c r="AL137" s="125" t="s">
        <v>99</v>
      </c>
      <c r="AM137" s="125" t="s">
        <v>99</v>
      </c>
      <c r="AN137" s="125" t="s">
        <v>97</v>
      </c>
      <c r="AO137" s="125" t="s">
        <v>97</v>
      </c>
      <c r="AP137" s="125" t="s">
        <v>97</v>
      </c>
      <c r="AQ137" s="133" t="s">
        <v>97</v>
      </c>
      <c r="AR137" s="135" t="s">
        <v>99</v>
      </c>
      <c r="AS137" s="128" t="s">
        <v>97</v>
      </c>
      <c r="AT137" s="129"/>
      <c r="AU137" s="144" t="s">
        <v>97</v>
      </c>
      <c r="AV137" s="129"/>
      <c r="AW137" s="129"/>
      <c r="AX137" s="129"/>
      <c r="AY137" s="129"/>
      <c r="AZ137" s="129"/>
      <c r="BA137" s="129"/>
      <c r="BB137" s="129"/>
      <c r="BC137" s="130"/>
      <c r="BD137" s="129"/>
      <c r="BE137" s="129"/>
      <c r="BF137" s="129"/>
      <c r="BG137" s="129"/>
      <c r="BH137" s="102"/>
      <c r="BI137" s="102"/>
      <c r="BJ137" s="102"/>
      <c r="BK137" s="102"/>
      <c r="BL137" s="102"/>
      <c r="BM137" s="102"/>
      <c r="BN137" s="102"/>
      <c r="BO137" s="102"/>
      <c r="BP137" s="102"/>
      <c r="BQ137" s="102"/>
      <c r="BR137" s="102"/>
      <c r="BS137" s="102"/>
      <c r="BT137" s="102"/>
      <c r="BU137" s="102"/>
      <c r="BV137" s="102"/>
      <c r="BW137" s="102"/>
      <c r="BX137" s="102"/>
      <c r="BY137" s="102"/>
      <c r="BZ137" s="102"/>
      <c r="CA137" s="102"/>
      <c r="CB137" s="102"/>
      <c r="CC137" s="102"/>
      <c r="CD137" s="102"/>
      <c r="CE137" s="102"/>
      <c r="CF137" s="102"/>
      <c r="CG137" s="102"/>
      <c r="CH137" s="102"/>
      <c r="CI137" s="102"/>
      <c r="CJ137" s="102"/>
      <c r="CK137" s="102"/>
      <c r="CL137" s="102"/>
      <c r="CM137" s="102"/>
      <c r="CN137" s="102"/>
      <c r="CO137" s="102"/>
      <c r="CP137" s="102"/>
      <c r="CQ137" s="102"/>
      <c r="CR137" s="102"/>
      <c r="CS137" s="102"/>
      <c r="CT137" s="102"/>
      <c r="CU137" s="102"/>
      <c r="CV137" s="102"/>
      <c r="CW137" s="102"/>
      <c r="CX137" s="102"/>
      <c r="CY137" s="102"/>
      <c r="CZ137" s="102"/>
      <c r="DA137" s="102"/>
      <c r="DB137" s="102"/>
      <c r="DC137" s="102"/>
      <c r="DD137" s="102"/>
      <c r="DE137" s="102"/>
      <c r="DF137" s="102"/>
      <c r="DG137" s="102"/>
      <c r="DH137" s="102"/>
      <c r="DI137" s="102"/>
      <c r="DJ137" s="102"/>
      <c r="DK137" s="102"/>
      <c r="DL137" s="102"/>
      <c r="DM137" s="102"/>
      <c r="DN137" s="102"/>
      <c r="DO137" s="102"/>
      <c r="DP137" s="102"/>
      <c r="DQ137" s="102"/>
      <c r="DR137" s="102"/>
      <c r="DS137" s="102"/>
      <c r="DT137" s="102"/>
      <c r="DU137" s="102"/>
      <c r="DV137" s="102"/>
      <c r="DW137" s="102"/>
      <c r="DX137" s="102"/>
      <c r="DY137" s="102"/>
      <c r="DZ137" s="102"/>
      <c r="EA137" s="102"/>
      <c r="EB137" s="102"/>
      <c r="EC137" s="102"/>
      <c r="ED137" s="102"/>
      <c r="EE137" s="102"/>
      <c r="EF137" s="102"/>
      <c r="EG137" s="102"/>
      <c r="EH137" s="102"/>
      <c r="EI137" s="102"/>
      <c r="EJ137" s="102"/>
      <c r="EK137" s="102"/>
      <c r="EL137" s="102"/>
      <c r="EM137" s="102"/>
      <c r="EN137" s="102"/>
    </row>
    <row r="138">
      <c r="A138" s="103" t="s">
        <v>241</v>
      </c>
      <c r="B138" s="105"/>
      <c r="C138" s="103" t="s">
        <v>97</v>
      </c>
      <c r="D138" s="105"/>
      <c r="E138" s="103" t="s">
        <v>97</v>
      </c>
      <c r="F138" s="105"/>
      <c r="G138" s="136" t="s">
        <v>97</v>
      </c>
      <c r="H138" s="107"/>
      <c r="I138" s="105"/>
      <c r="J138" s="103" t="s">
        <v>97</v>
      </c>
      <c r="K138" s="103" t="s">
        <v>97</v>
      </c>
      <c r="L138" s="105"/>
      <c r="M138" s="103" t="s">
        <v>97</v>
      </c>
      <c r="N138" s="105"/>
      <c r="O138" s="105"/>
      <c r="P138" s="103" t="s">
        <v>99</v>
      </c>
      <c r="Q138" s="103" t="s">
        <v>97</v>
      </c>
      <c r="R138" s="103" t="s">
        <v>97</v>
      </c>
      <c r="S138" s="136" t="s">
        <v>97</v>
      </c>
      <c r="T138" s="107"/>
      <c r="U138" s="105"/>
      <c r="V138" s="103" t="s">
        <v>99</v>
      </c>
      <c r="W138" s="105"/>
      <c r="X138" s="105"/>
      <c r="Y138" s="103" t="s">
        <v>97</v>
      </c>
      <c r="Z138" s="105"/>
      <c r="AA138" s="105"/>
      <c r="AB138" s="103" t="s">
        <v>99</v>
      </c>
      <c r="AC138" s="103" t="s">
        <v>97</v>
      </c>
      <c r="AD138" s="105"/>
      <c r="AE138" s="106"/>
      <c r="AF138" s="108" t="s">
        <v>97</v>
      </c>
      <c r="AG138" s="103" t="s">
        <v>97</v>
      </c>
      <c r="AH138" s="105"/>
      <c r="AI138" s="105"/>
      <c r="AJ138" s="103" t="s">
        <v>99</v>
      </c>
      <c r="AK138" s="103" t="s">
        <v>97</v>
      </c>
      <c r="AL138" s="105"/>
      <c r="AM138" s="105"/>
      <c r="AN138" s="103" t="s">
        <v>97</v>
      </c>
      <c r="AO138" s="103" t="s">
        <v>97</v>
      </c>
      <c r="AP138" s="105"/>
      <c r="AQ138" s="106"/>
      <c r="AR138" s="108" t="s">
        <v>99</v>
      </c>
      <c r="AS138" s="103" t="s">
        <v>97</v>
      </c>
      <c r="AT138" s="105"/>
      <c r="AU138" s="105"/>
      <c r="AV138" s="105"/>
      <c r="AW138" s="105"/>
      <c r="AX138" s="105"/>
      <c r="AY138" s="105"/>
      <c r="AZ138" s="105"/>
      <c r="BA138" s="105"/>
      <c r="BB138" s="105"/>
      <c r="BC138" s="106"/>
      <c r="BD138" s="105"/>
      <c r="BE138" s="105"/>
      <c r="BF138" s="105"/>
      <c r="BG138" s="105"/>
      <c r="BH138" s="102"/>
      <c r="BI138" s="102"/>
      <c r="BJ138" s="102"/>
      <c r="BK138" s="102"/>
      <c r="BL138" s="102"/>
      <c r="BM138" s="102"/>
      <c r="BN138" s="102"/>
      <c r="BO138" s="102"/>
      <c r="BP138" s="102"/>
      <c r="BQ138" s="102"/>
      <c r="BR138" s="102"/>
      <c r="BS138" s="102"/>
      <c r="BT138" s="102"/>
      <c r="BU138" s="102"/>
      <c r="BV138" s="102"/>
      <c r="BW138" s="102"/>
      <c r="BX138" s="102"/>
      <c r="BY138" s="102"/>
      <c r="BZ138" s="102"/>
      <c r="CA138" s="102"/>
      <c r="CB138" s="102"/>
      <c r="CC138" s="102"/>
      <c r="CD138" s="102"/>
      <c r="CE138" s="102"/>
      <c r="CF138" s="102"/>
      <c r="CG138" s="102"/>
      <c r="CH138" s="102"/>
      <c r="CI138" s="102"/>
      <c r="CJ138" s="102"/>
      <c r="CK138" s="102"/>
      <c r="CL138" s="102"/>
      <c r="CM138" s="102"/>
      <c r="CN138" s="102"/>
      <c r="CO138" s="102"/>
      <c r="CP138" s="102"/>
      <c r="CQ138" s="102"/>
      <c r="CR138" s="102"/>
      <c r="CS138" s="102"/>
      <c r="CT138" s="102"/>
      <c r="CU138" s="102"/>
      <c r="CV138" s="102"/>
      <c r="CW138" s="102"/>
      <c r="CX138" s="102"/>
      <c r="CY138" s="102"/>
      <c r="CZ138" s="102"/>
      <c r="DA138" s="102"/>
      <c r="DB138" s="102"/>
      <c r="DC138" s="102"/>
      <c r="DD138" s="102"/>
      <c r="DE138" s="102"/>
      <c r="DF138" s="102"/>
      <c r="DG138" s="102"/>
      <c r="DH138" s="102"/>
      <c r="DI138" s="102"/>
      <c r="DJ138" s="102"/>
      <c r="DK138" s="102"/>
      <c r="DL138" s="102"/>
      <c r="DM138" s="102"/>
      <c r="DN138" s="102"/>
      <c r="DO138" s="102"/>
      <c r="DP138" s="102"/>
      <c r="DQ138" s="102"/>
      <c r="DR138" s="102"/>
      <c r="DS138" s="102"/>
      <c r="DT138" s="102"/>
      <c r="DU138" s="102"/>
      <c r="DV138" s="102"/>
      <c r="DW138" s="102"/>
      <c r="DX138" s="102"/>
      <c r="DY138" s="102"/>
      <c r="DZ138" s="102"/>
      <c r="EA138" s="102"/>
      <c r="EB138" s="102"/>
      <c r="EC138" s="102"/>
      <c r="ED138" s="102"/>
      <c r="EE138" s="102"/>
      <c r="EF138" s="102"/>
      <c r="EG138" s="102"/>
      <c r="EH138" s="102"/>
      <c r="EI138" s="102"/>
      <c r="EJ138" s="102"/>
      <c r="EK138" s="102"/>
      <c r="EL138" s="102"/>
      <c r="EM138" s="102"/>
      <c r="EN138" s="102"/>
    </row>
    <row r="139">
      <c r="A139" s="110" t="s">
        <v>242</v>
      </c>
      <c r="B139" s="110" t="s">
        <v>97</v>
      </c>
      <c r="C139" s="112"/>
      <c r="D139" s="112"/>
      <c r="E139" s="112"/>
      <c r="F139" s="112"/>
      <c r="G139" s="113"/>
      <c r="H139" s="132" t="s">
        <v>97</v>
      </c>
      <c r="I139" s="115" t="s">
        <v>96</v>
      </c>
      <c r="J139" s="116"/>
      <c r="K139" s="116"/>
      <c r="L139" s="116"/>
      <c r="M139" s="116"/>
      <c r="N139" s="115" t="s">
        <v>98</v>
      </c>
      <c r="O139" s="116"/>
      <c r="P139" s="115" t="s">
        <v>99</v>
      </c>
      <c r="Q139" s="116"/>
      <c r="R139" s="116"/>
      <c r="S139" s="117"/>
      <c r="T139" s="119" t="s">
        <v>99</v>
      </c>
      <c r="U139" s="118"/>
      <c r="V139" s="118"/>
      <c r="W139" s="118"/>
      <c r="X139" s="118"/>
      <c r="Y139" s="118"/>
      <c r="Z139" s="121" t="s">
        <v>97</v>
      </c>
      <c r="AA139" s="120"/>
      <c r="AB139" s="120"/>
      <c r="AC139" s="121" t="s">
        <v>97</v>
      </c>
      <c r="AD139" s="120"/>
      <c r="AE139" s="122"/>
      <c r="AF139" s="123"/>
      <c r="AG139" s="124"/>
      <c r="AH139" s="124"/>
      <c r="AI139" s="125" t="s">
        <v>99</v>
      </c>
      <c r="AJ139" s="124"/>
      <c r="AK139" s="124"/>
      <c r="AL139" s="124"/>
      <c r="AM139" s="125" t="s">
        <v>99</v>
      </c>
      <c r="AN139" s="124"/>
      <c r="AO139" s="125" t="s">
        <v>97</v>
      </c>
      <c r="AP139" s="124"/>
      <c r="AQ139" s="126"/>
      <c r="AR139" s="127"/>
      <c r="AS139" s="128" t="s">
        <v>96</v>
      </c>
      <c r="AT139" s="129"/>
      <c r="AU139" s="144" t="s">
        <v>96</v>
      </c>
      <c r="AV139" s="129"/>
      <c r="AW139" s="129"/>
      <c r="AX139" s="129"/>
      <c r="AY139" s="129"/>
      <c r="AZ139" s="129"/>
      <c r="BA139" s="129"/>
      <c r="BB139" s="129"/>
      <c r="BC139" s="130"/>
      <c r="BD139" s="129"/>
      <c r="BE139" s="129"/>
      <c r="BF139" s="129"/>
      <c r="BG139" s="129"/>
      <c r="BH139" s="102"/>
      <c r="BI139" s="102"/>
      <c r="BJ139" s="102"/>
      <c r="BK139" s="102"/>
      <c r="BL139" s="102"/>
      <c r="BM139" s="102"/>
      <c r="BN139" s="102"/>
      <c r="BO139" s="102"/>
      <c r="BP139" s="102"/>
      <c r="BQ139" s="102"/>
      <c r="BR139" s="102"/>
      <c r="BS139" s="102"/>
      <c r="BT139" s="102"/>
      <c r="BU139" s="102"/>
      <c r="BV139" s="102"/>
      <c r="BW139" s="102"/>
      <c r="BX139" s="102"/>
      <c r="BY139" s="102"/>
      <c r="BZ139" s="102"/>
      <c r="CA139" s="102"/>
      <c r="CB139" s="102"/>
      <c r="CC139" s="102"/>
      <c r="CD139" s="102"/>
      <c r="CE139" s="102"/>
      <c r="CF139" s="102"/>
      <c r="CG139" s="102"/>
      <c r="CH139" s="102"/>
      <c r="CI139" s="102"/>
      <c r="CJ139" s="102"/>
      <c r="CK139" s="102"/>
      <c r="CL139" s="102"/>
      <c r="CM139" s="102"/>
      <c r="CN139" s="102"/>
      <c r="CO139" s="102"/>
      <c r="CP139" s="102"/>
      <c r="CQ139" s="102"/>
      <c r="CR139" s="102"/>
      <c r="CS139" s="102"/>
      <c r="CT139" s="102"/>
      <c r="CU139" s="102"/>
      <c r="CV139" s="102"/>
      <c r="CW139" s="102"/>
      <c r="CX139" s="102"/>
      <c r="CY139" s="102"/>
      <c r="CZ139" s="102"/>
      <c r="DA139" s="102"/>
      <c r="DB139" s="102"/>
      <c r="DC139" s="102"/>
      <c r="DD139" s="102"/>
      <c r="DE139" s="102"/>
      <c r="DF139" s="102"/>
      <c r="DG139" s="102"/>
      <c r="DH139" s="102"/>
      <c r="DI139" s="102"/>
      <c r="DJ139" s="102"/>
      <c r="DK139" s="102"/>
      <c r="DL139" s="102"/>
      <c r="DM139" s="102"/>
      <c r="DN139" s="102"/>
      <c r="DO139" s="102"/>
      <c r="DP139" s="102"/>
      <c r="DQ139" s="102"/>
      <c r="DR139" s="102"/>
      <c r="DS139" s="102"/>
      <c r="DT139" s="102"/>
      <c r="DU139" s="102"/>
      <c r="DV139" s="102"/>
      <c r="DW139" s="102"/>
      <c r="DX139" s="102"/>
      <c r="DY139" s="102"/>
      <c r="DZ139" s="102"/>
      <c r="EA139" s="102"/>
      <c r="EB139" s="102"/>
      <c r="EC139" s="102"/>
      <c r="ED139" s="102"/>
      <c r="EE139" s="102"/>
      <c r="EF139" s="102"/>
      <c r="EG139" s="102"/>
      <c r="EH139" s="102"/>
      <c r="EI139" s="102"/>
      <c r="EJ139" s="102"/>
      <c r="EK139" s="102"/>
      <c r="EL139" s="102"/>
      <c r="EM139" s="102"/>
      <c r="EN139" s="102"/>
    </row>
    <row r="140">
      <c r="A140" s="103" t="s">
        <v>243</v>
      </c>
      <c r="B140" s="105"/>
      <c r="C140" s="105"/>
      <c r="D140" s="105"/>
      <c r="E140" s="105"/>
      <c r="F140" s="103" t="s">
        <v>96</v>
      </c>
      <c r="G140" s="136" t="s">
        <v>96</v>
      </c>
      <c r="H140" s="107"/>
      <c r="I140" s="105"/>
      <c r="J140" s="105"/>
      <c r="K140" s="105"/>
      <c r="L140" s="103" t="s">
        <v>97</v>
      </c>
      <c r="M140" s="105"/>
      <c r="N140" s="105"/>
      <c r="O140" s="105"/>
      <c r="P140" s="103" t="s">
        <v>99</v>
      </c>
      <c r="Q140" s="105"/>
      <c r="R140" s="103" t="s">
        <v>97</v>
      </c>
      <c r="S140" s="106"/>
      <c r="T140" s="107"/>
      <c r="U140" s="105"/>
      <c r="V140" s="105"/>
      <c r="W140" s="105"/>
      <c r="X140" s="103" t="s">
        <v>99</v>
      </c>
      <c r="Y140" s="105"/>
      <c r="Z140" s="105"/>
      <c r="AA140" s="105"/>
      <c r="AB140" s="105"/>
      <c r="AC140" s="103" t="s">
        <v>97</v>
      </c>
      <c r="AD140" s="105"/>
      <c r="AE140" s="106"/>
      <c r="AF140" s="107"/>
      <c r="AG140" s="105"/>
      <c r="AH140" s="105"/>
      <c r="AI140" s="103" t="s">
        <v>99</v>
      </c>
      <c r="AJ140" s="105"/>
      <c r="AK140" s="105"/>
      <c r="AL140" s="105"/>
      <c r="AM140" s="103" t="s">
        <v>99</v>
      </c>
      <c r="AN140" s="105"/>
      <c r="AO140" s="103" t="s">
        <v>97</v>
      </c>
      <c r="AP140" s="103" t="s">
        <v>97</v>
      </c>
      <c r="AQ140" s="106"/>
      <c r="AR140" s="107"/>
      <c r="AS140" s="103" t="s">
        <v>97</v>
      </c>
      <c r="AT140" s="105"/>
      <c r="AU140" s="105"/>
      <c r="AV140" s="105"/>
      <c r="AW140" s="105"/>
      <c r="AX140" s="105"/>
      <c r="AY140" s="105"/>
      <c r="AZ140" s="105"/>
      <c r="BA140" s="105"/>
      <c r="BB140" s="105"/>
      <c r="BC140" s="106"/>
      <c r="BD140" s="105"/>
      <c r="BE140" s="105"/>
      <c r="BF140" s="105"/>
      <c r="BG140" s="105"/>
      <c r="BH140" s="102"/>
      <c r="BI140" s="102"/>
      <c r="BJ140" s="102"/>
      <c r="BK140" s="102"/>
      <c r="BL140" s="102"/>
      <c r="BM140" s="102"/>
      <c r="BN140" s="102"/>
      <c r="BO140" s="102"/>
      <c r="BP140" s="102"/>
      <c r="BQ140" s="102"/>
      <c r="BR140" s="102"/>
      <c r="BS140" s="102"/>
      <c r="BT140" s="102"/>
      <c r="BU140" s="102"/>
      <c r="BV140" s="102"/>
      <c r="BW140" s="102"/>
      <c r="BX140" s="102"/>
      <c r="BY140" s="102"/>
      <c r="BZ140" s="102"/>
      <c r="CA140" s="102"/>
      <c r="CB140" s="102"/>
      <c r="CC140" s="102"/>
      <c r="CD140" s="102"/>
      <c r="CE140" s="102"/>
      <c r="CF140" s="102"/>
      <c r="CG140" s="102"/>
      <c r="CH140" s="102"/>
      <c r="CI140" s="102"/>
      <c r="CJ140" s="102"/>
      <c r="CK140" s="102"/>
      <c r="CL140" s="102"/>
      <c r="CM140" s="102"/>
      <c r="CN140" s="102"/>
      <c r="CO140" s="102"/>
      <c r="CP140" s="102"/>
      <c r="CQ140" s="102"/>
      <c r="CR140" s="102"/>
      <c r="CS140" s="102"/>
      <c r="CT140" s="102"/>
      <c r="CU140" s="102"/>
      <c r="CV140" s="102"/>
      <c r="CW140" s="102"/>
      <c r="CX140" s="102"/>
      <c r="CY140" s="102"/>
      <c r="CZ140" s="102"/>
      <c r="DA140" s="102"/>
      <c r="DB140" s="102"/>
      <c r="DC140" s="102"/>
      <c r="DD140" s="102"/>
      <c r="DE140" s="102"/>
      <c r="DF140" s="102"/>
      <c r="DG140" s="102"/>
      <c r="DH140" s="102"/>
      <c r="DI140" s="102"/>
      <c r="DJ140" s="102"/>
      <c r="DK140" s="102"/>
      <c r="DL140" s="102"/>
      <c r="DM140" s="102"/>
      <c r="DN140" s="102"/>
      <c r="DO140" s="102"/>
      <c r="DP140" s="102"/>
      <c r="DQ140" s="102"/>
      <c r="DR140" s="102"/>
      <c r="DS140" s="102"/>
      <c r="DT140" s="102"/>
      <c r="DU140" s="102"/>
      <c r="DV140" s="102"/>
      <c r="DW140" s="102"/>
      <c r="DX140" s="102"/>
      <c r="DY140" s="102"/>
      <c r="DZ140" s="102"/>
      <c r="EA140" s="102"/>
      <c r="EB140" s="102"/>
      <c r="EC140" s="102"/>
      <c r="ED140" s="102"/>
      <c r="EE140" s="102"/>
      <c r="EF140" s="102"/>
      <c r="EG140" s="102"/>
      <c r="EH140" s="102"/>
      <c r="EI140" s="102"/>
      <c r="EJ140" s="102"/>
      <c r="EK140" s="102"/>
      <c r="EL140" s="102"/>
      <c r="EM140" s="102"/>
      <c r="EN140" s="102"/>
    </row>
    <row r="141">
      <c r="A141" s="110" t="s">
        <v>244</v>
      </c>
      <c r="B141" s="110" t="s">
        <v>99</v>
      </c>
      <c r="C141" s="110" t="s">
        <v>99</v>
      </c>
      <c r="D141" s="110" t="s">
        <v>97</v>
      </c>
      <c r="E141" s="110" t="s">
        <v>99</v>
      </c>
      <c r="F141" s="110" t="s">
        <v>97</v>
      </c>
      <c r="G141" s="137" t="s">
        <v>99</v>
      </c>
      <c r="H141" s="132" t="s">
        <v>97</v>
      </c>
      <c r="I141" s="115" t="s">
        <v>99</v>
      </c>
      <c r="J141" s="115" t="s">
        <v>97</v>
      </c>
      <c r="K141" s="115" t="s">
        <v>99</v>
      </c>
      <c r="L141" s="115" t="s">
        <v>97</v>
      </c>
      <c r="M141" s="115" t="s">
        <v>99</v>
      </c>
      <c r="N141" s="115" t="s">
        <v>99</v>
      </c>
      <c r="O141" s="115" t="s">
        <v>99</v>
      </c>
      <c r="P141" s="115" t="s">
        <v>99</v>
      </c>
      <c r="Q141" s="115" t="s">
        <v>99</v>
      </c>
      <c r="R141" s="115" t="s">
        <v>97</v>
      </c>
      <c r="S141" s="115" t="s">
        <v>99</v>
      </c>
      <c r="T141" s="121" t="s">
        <v>99</v>
      </c>
      <c r="U141" s="121" t="s">
        <v>99</v>
      </c>
      <c r="V141" s="121" t="s">
        <v>99</v>
      </c>
      <c r="W141" s="121" t="s">
        <v>99</v>
      </c>
      <c r="X141" s="121" t="s">
        <v>99</v>
      </c>
      <c r="Y141" s="121" t="s">
        <v>99</v>
      </c>
      <c r="Z141" s="121" t="s">
        <v>97</v>
      </c>
      <c r="AA141" s="121" t="s">
        <v>99</v>
      </c>
      <c r="AB141" s="121" t="s">
        <v>99</v>
      </c>
      <c r="AC141" s="121" t="s">
        <v>97</v>
      </c>
      <c r="AD141" s="121" t="s">
        <v>97</v>
      </c>
      <c r="AE141" s="140" t="s">
        <v>99</v>
      </c>
      <c r="AF141" s="134" t="s">
        <v>97</v>
      </c>
      <c r="AG141" s="125" t="s">
        <v>99</v>
      </c>
      <c r="AH141" s="125" t="s">
        <v>99</v>
      </c>
      <c r="AI141" s="125" t="s">
        <v>99</v>
      </c>
      <c r="AJ141" s="125" t="s">
        <v>99</v>
      </c>
      <c r="AK141" s="125" t="s">
        <v>97</v>
      </c>
      <c r="AL141" s="125" t="s">
        <v>99</v>
      </c>
      <c r="AM141" s="125" t="s">
        <v>99</v>
      </c>
      <c r="AN141" s="125" t="s">
        <v>97</v>
      </c>
      <c r="AO141" s="125" t="s">
        <v>99</v>
      </c>
      <c r="AP141" s="125" t="s">
        <v>97</v>
      </c>
      <c r="AQ141" s="133" t="s">
        <v>99</v>
      </c>
      <c r="AR141" s="135" t="s">
        <v>99</v>
      </c>
      <c r="AS141" s="128" t="s">
        <v>97</v>
      </c>
      <c r="AT141" s="129"/>
      <c r="AU141" s="144" t="s">
        <v>97</v>
      </c>
      <c r="AV141" s="129"/>
      <c r="AW141" s="129"/>
      <c r="AX141" s="129"/>
      <c r="AY141" s="129"/>
      <c r="AZ141" s="129"/>
      <c r="BA141" s="129"/>
      <c r="BB141" s="129"/>
      <c r="BC141" s="130"/>
      <c r="BD141" s="129"/>
      <c r="BE141" s="129"/>
      <c r="BF141" s="129"/>
      <c r="BG141" s="129"/>
      <c r="BH141" s="102"/>
      <c r="BI141" s="102"/>
      <c r="BJ141" s="102"/>
      <c r="BK141" s="102"/>
      <c r="BL141" s="102"/>
      <c r="BM141" s="102"/>
      <c r="BN141" s="102"/>
      <c r="BO141" s="102"/>
      <c r="BP141" s="102"/>
      <c r="BQ141" s="102"/>
      <c r="BR141" s="102"/>
      <c r="BS141" s="102"/>
      <c r="BT141" s="102"/>
      <c r="BU141" s="102"/>
      <c r="BV141" s="102"/>
      <c r="BW141" s="102"/>
      <c r="BX141" s="102"/>
      <c r="BY141" s="102"/>
      <c r="BZ141" s="102"/>
      <c r="CA141" s="102"/>
      <c r="CB141" s="102"/>
      <c r="CC141" s="102"/>
      <c r="CD141" s="102"/>
      <c r="CE141" s="102"/>
      <c r="CF141" s="102"/>
      <c r="CG141" s="102"/>
      <c r="CH141" s="102"/>
      <c r="CI141" s="102"/>
      <c r="CJ141" s="102"/>
      <c r="CK141" s="102"/>
      <c r="CL141" s="102"/>
      <c r="CM141" s="102"/>
      <c r="CN141" s="102"/>
      <c r="CO141" s="102"/>
      <c r="CP141" s="102"/>
      <c r="CQ141" s="102"/>
      <c r="CR141" s="102"/>
      <c r="CS141" s="102"/>
      <c r="CT141" s="102"/>
      <c r="CU141" s="102"/>
      <c r="CV141" s="102"/>
      <c r="CW141" s="102"/>
      <c r="CX141" s="102"/>
      <c r="CY141" s="102"/>
      <c r="CZ141" s="102"/>
      <c r="DA141" s="102"/>
      <c r="DB141" s="102"/>
      <c r="DC141" s="102"/>
      <c r="DD141" s="102"/>
      <c r="DE141" s="102"/>
      <c r="DF141" s="102"/>
      <c r="DG141" s="102"/>
      <c r="DH141" s="102"/>
      <c r="DI141" s="102"/>
      <c r="DJ141" s="102"/>
      <c r="DK141" s="102"/>
      <c r="DL141" s="102"/>
      <c r="DM141" s="102"/>
      <c r="DN141" s="102"/>
      <c r="DO141" s="102"/>
      <c r="DP141" s="102"/>
      <c r="DQ141" s="102"/>
      <c r="DR141" s="102"/>
      <c r="DS141" s="102"/>
      <c r="DT141" s="102"/>
      <c r="DU141" s="102"/>
      <c r="DV141" s="102"/>
      <c r="DW141" s="102"/>
      <c r="DX141" s="102"/>
      <c r="DY141" s="102"/>
      <c r="DZ141" s="102"/>
      <c r="EA141" s="102"/>
      <c r="EB141" s="102"/>
      <c r="EC141" s="102"/>
      <c r="ED141" s="102"/>
      <c r="EE141" s="102"/>
      <c r="EF141" s="102"/>
      <c r="EG141" s="102"/>
      <c r="EH141" s="102"/>
      <c r="EI141" s="102"/>
      <c r="EJ141" s="102"/>
      <c r="EK141" s="102"/>
      <c r="EL141" s="102"/>
      <c r="EM141" s="102"/>
      <c r="EN141" s="102"/>
    </row>
    <row r="142">
      <c r="A142" s="103" t="s">
        <v>245</v>
      </c>
      <c r="B142" s="103" t="s">
        <v>99</v>
      </c>
      <c r="C142" s="103" t="s">
        <v>99</v>
      </c>
      <c r="D142" s="103" t="s">
        <v>97</v>
      </c>
      <c r="E142" s="103" t="s">
        <v>99</v>
      </c>
      <c r="F142" s="103" t="s">
        <v>97</v>
      </c>
      <c r="G142" s="136" t="s">
        <v>99</v>
      </c>
      <c r="H142" s="108" t="s">
        <v>97</v>
      </c>
      <c r="I142" s="103" t="s">
        <v>99</v>
      </c>
      <c r="J142" s="103" t="s">
        <v>97</v>
      </c>
      <c r="K142" s="103" t="s">
        <v>99</v>
      </c>
      <c r="L142" s="103" t="s">
        <v>97</v>
      </c>
      <c r="M142" s="103" t="s">
        <v>99</v>
      </c>
      <c r="N142" s="103" t="s">
        <v>99</v>
      </c>
      <c r="O142" s="103" t="s">
        <v>99</v>
      </c>
      <c r="P142" s="103" t="s">
        <v>99</v>
      </c>
      <c r="Q142" s="103" t="s">
        <v>99</v>
      </c>
      <c r="R142" s="103" t="s">
        <v>97</v>
      </c>
      <c r="S142" s="103" t="s">
        <v>99</v>
      </c>
      <c r="T142" s="103" t="s">
        <v>99</v>
      </c>
      <c r="U142" s="103" t="s">
        <v>99</v>
      </c>
      <c r="V142" s="103" t="s">
        <v>99</v>
      </c>
      <c r="W142" s="103" t="s">
        <v>99</v>
      </c>
      <c r="X142" s="103" t="s">
        <v>99</v>
      </c>
      <c r="Y142" s="103" t="s">
        <v>99</v>
      </c>
      <c r="Z142" s="103" t="s">
        <v>97</v>
      </c>
      <c r="AA142" s="103" t="s">
        <v>99</v>
      </c>
      <c r="AB142" s="103" t="s">
        <v>99</v>
      </c>
      <c r="AC142" s="103" t="s">
        <v>97</v>
      </c>
      <c r="AD142" s="103" t="s">
        <v>97</v>
      </c>
      <c r="AE142" s="136" t="s">
        <v>99</v>
      </c>
      <c r="AF142" s="108" t="s">
        <v>97</v>
      </c>
      <c r="AG142" s="103" t="s">
        <v>99</v>
      </c>
      <c r="AH142" s="103" t="s">
        <v>99</v>
      </c>
      <c r="AI142" s="103" t="s">
        <v>99</v>
      </c>
      <c r="AJ142" s="103" t="s">
        <v>99</v>
      </c>
      <c r="AK142" s="103" t="s">
        <v>97</v>
      </c>
      <c r="AL142" s="103" t="s">
        <v>99</v>
      </c>
      <c r="AM142" s="103" t="s">
        <v>99</v>
      </c>
      <c r="AN142" s="103" t="s">
        <v>97</v>
      </c>
      <c r="AO142" s="103" t="s">
        <v>99</v>
      </c>
      <c r="AP142" s="103" t="s">
        <v>97</v>
      </c>
      <c r="AQ142" s="136" t="s">
        <v>99</v>
      </c>
      <c r="AR142" s="108" t="s">
        <v>99</v>
      </c>
      <c r="AS142" s="103" t="s">
        <v>97</v>
      </c>
      <c r="AT142" s="105"/>
      <c r="AU142" s="109" t="s">
        <v>97</v>
      </c>
      <c r="AV142" s="105"/>
      <c r="AW142" s="105"/>
      <c r="AX142" s="105"/>
      <c r="AY142" s="105"/>
      <c r="AZ142" s="105"/>
      <c r="BA142" s="105"/>
      <c r="BB142" s="105"/>
      <c r="BC142" s="106"/>
      <c r="BD142" s="105"/>
      <c r="BE142" s="105"/>
      <c r="BF142" s="105"/>
      <c r="BG142" s="105"/>
      <c r="BH142" s="102"/>
      <c r="BI142" s="102"/>
      <c r="BJ142" s="102"/>
      <c r="BK142" s="102"/>
      <c r="BL142" s="102"/>
      <c r="BM142" s="102"/>
      <c r="BN142" s="102"/>
      <c r="BO142" s="102"/>
      <c r="BP142" s="102"/>
      <c r="BQ142" s="102"/>
      <c r="BR142" s="102"/>
      <c r="BS142" s="102"/>
      <c r="BT142" s="102"/>
      <c r="BU142" s="102"/>
      <c r="BV142" s="102"/>
      <c r="BW142" s="102"/>
      <c r="BX142" s="102"/>
      <c r="BY142" s="102"/>
      <c r="BZ142" s="102"/>
      <c r="CA142" s="102"/>
      <c r="CB142" s="102"/>
      <c r="CC142" s="102"/>
      <c r="CD142" s="102"/>
      <c r="CE142" s="102"/>
      <c r="CF142" s="102"/>
      <c r="CG142" s="102"/>
      <c r="CH142" s="102"/>
      <c r="CI142" s="102"/>
      <c r="CJ142" s="102"/>
      <c r="CK142" s="102"/>
      <c r="CL142" s="102"/>
      <c r="CM142" s="102"/>
      <c r="CN142" s="102"/>
      <c r="CO142" s="102"/>
      <c r="CP142" s="102"/>
      <c r="CQ142" s="102"/>
      <c r="CR142" s="102"/>
      <c r="CS142" s="102"/>
      <c r="CT142" s="102"/>
      <c r="CU142" s="102"/>
      <c r="CV142" s="102"/>
      <c r="CW142" s="102"/>
      <c r="CX142" s="102"/>
      <c r="CY142" s="102"/>
      <c r="CZ142" s="102"/>
      <c r="DA142" s="102"/>
      <c r="DB142" s="102"/>
      <c r="DC142" s="102"/>
      <c r="DD142" s="102"/>
      <c r="DE142" s="102"/>
      <c r="DF142" s="102"/>
      <c r="DG142" s="102"/>
      <c r="DH142" s="102"/>
      <c r="DI142" s="102"/>
      <c r="DJ142" s="102"/>
      <c r="DK142" s="102"/>
      <c r="DL142" s="102"/>
      <c r="DM142" s="102"/>
      <c r="DN142" s="102"/>
      <c r="DO142" s="102"/>
      <c r="DP142" s="102"/>
      <c r="DQ142" s="102"/>
      <c r="DR142" s="102"/>
      <c r="DS142" s="102"/>
      <c r="DT142" s="102"/>
      <c r="DU142" s="102"/>
      <c r="DV142" s="102"/>
      <c r="DW142" s="102"/>
      <c r="DX142" s="102"/>
      <c r="DY142" s="102"/>
      <c r="DZ142" s="102"/>
      <c r="EA142" s="102"/>
      <c r="EB142" s="102"/>
      <c r="EC142" s="102"/>
      <c r="ED142" s="102"/>
      <c r="EE142" s="102"/>
      <c r="EF142" s="102"/>
      <c r="EG142" s="102"/>
      <c r="EH142" s="102"/>
      <c r="EI142" s="102"/>
      <c r="EJ142" s="102"/>
      <c r="EK142" s="102"/>
      <c r="EL142" s="102"/>
      <c r="EM142" s="102"/>
      <c r="EN142" s="102"/>
    </row>
    <row r="143">
      <c r="A143" s="110" t="s">
        <v>246</v>
      </c>
      <c r="B143" s="110" t="s">
        <v>97</v>
      </c>
      <c r="C143" s="110" t="s">
        <v>97</v>
      </c>
      <c r="D143" s="110" t="s">
        <v>97</v>
      </c>
      <c r="E143" s="110" t="s">
        <v>97</v>
      </c>
      <c r="F143" s="110" t="s">
        <v>97</v>
      </c>
      <c r="G143" s="137" t="s">
        <v>97</v>
      </c>
      <c r="H143" s="132" t="s">
        <v>97</v>
      </c>
      <c r="I143" s="115" t="s">
        <v>97</v>
      </c>
      <c r="J143" s="115" t="s">
        <v>97</v>
      </c>
      <c r="K143" s="115" t="s">
        <v>97</v>
      </c>
      <c r="L143" s="115" t="s">
        <v>97</v>
      </c>
      <c r="M143" s="115" t="s">
        <v>97</v>
      </c>
      <c r="N143" s="115" t="s">
        <v>99</v>
      </c>
      <c r="O143" s="115" t="s">
        <v>97</v>
      </c>
      <c r="P143" s="115" t="s">
        <v>99</v>
      </c>
      <c r="Q143" s="115" t="s">
        <v>97</v>
      </c>
      <c r="R143" s="115" t="s">
        <v>97</v>
      </c>
      <c r="S143" s="143" t="s">
        <v>97</v>
      </c>
      <c r="T143" s="121" t="s">
        <v>99</v>
      </c>
      <c r="U143" s="121" t="s">
        <v>99</v>
      </c>
      <c r="V143" s="121" t="s">
        <v>97</v>
      </c>
      <c r="W143" s="121" t="s">
        <v>99</v>
      </c>
      <c r="X143" s="121" t="s">
        <v>99</v>
      </c>
      <c r="Y143" s="121" t="s">
        <v>97</v>
      </c>
      <c r="Z143" s="121" t="s">
        <v>97</v>
      </c>
      <c r="AA143" s="121" t="s">
        <v>99</v>
      </c>
      <c r="AB143" s="121" t="s">
        <v>97</v>
      </c>
      <c r="AC143" s="121" t="s">
        <v>97</v>
      </c>
      <c r="AD143" s="121" t="s">
        <v>97</v>
      </c>
      <c r="AE143" s="140" t="s">
        <v>99</v>
      </c>
      <c r="AF143" s="134" t="s">
        <v>97</v>
      </c>
      <c r="AG143" s="125" t="s">
        <v>97</v>
      </c>
      <c r="AH143" s="125" t="s">
        <v>99</v>
      </c>
      <c r="AI143" s="125" t="s">
        <v>99</v>
      </c>
      <c r="AJ143" s="125" t="s">
        <v>99</v>
      </c>
      <c r="AK143" s="125" t="s">
        <v>97</v>
      </c>
      <c r="AL143" s="125" t="s">
        <v>99</v>
      </c>
      <c r="AM143" s="125" t="s">
        <v>99</v>
      </c>
      <c r="AN143" s="125" t="s">
        <v>97</v>
      </c>
      <c r="AO143" s="125" t="s">
        <v>97</v>
      </c>
      <c r="AP143" s="125" t="s">
        <v>97</v>
      </c>
      <c r="AQ143" s="133" t="s">
        <v>97</v>
      </c>
      <c r="AR143" s="135" t="s">
        <v>99</v>
      </c>
      <c r="AS143" s="128" t="s">
        <v>97</v>
      </c>
      <c r="AT143" s="129"/>
      <c r="AU143" s="144" t="s">
        <v>97</v>
      </c>
      <c r="AV143" s="129"/>
      <c r="AW143" s="129"/>
      <c r="AX143" s="129"/>
      <c r="AY143" s="129"/>
      <c r="AZ143" s="129"/>
      <c r="BA143" s="129"/>
      <c r="BB143" s="129"/>
      <c r="BC143" s="130"/>
      <c r="BD143" s="129"/>
      <c r="BE143" s="129"/>
      <c r="BF143" s="129"/>
      <c r="BG143" s="129"/>
      <c r="BH143" s="102"/>
      <c r="BI143" s="102"/>
      <c r="BJ143" s="102"/>
      <c r="BK143" s="102"/>
      <c r="BL143" s="102"/>
      <c r="BM143" s="102"/>
      <c r="BN143" s="102"/>
      <c r="BO143" s="102"/>
      <c r="BP143" s="102"/>
      <c r="BQ143" s="102"/>
      <c r="BR143" s="102"/>
      <c r="BS143" s="102"/>
      <c r="BT143" s="102"/>
      <c r="BU143" s="102"/>
      <c r="BV143" s="102"/>
      <c r="BW143" s="102"/>
      <c r="BX143" s="102"/>
      <c r="BY143" s="102"/>
      <c r="BZ143" s="102"/>
      <c r="CA143" s="102"/>
      <c r="CB143" s="102"/>
      <c r="CC143" s="102"/>
      <c r="CD143" s="102"/>
      <c r="CE143" s="102"/>
      <c r="CF143" s="102"/>
      <c r="CG143" s="102"/>
      <c r="CH143" s="102"/>
      <c r="CI143" s="102"/>
      <c r="CJ143" s="102"/>
      <c r="CK143" s="102"/>
      <c r="CL143" s="102"/>
      <c r="CM143" s="102"/>
      <c r="CN143" s="102"/>
      <c r="CO143" s="102"/>
      <c r="CP143" s="102"/>
      <c r="CQ143" s="102"/>
      <c r="CR143" s="102"/>
      <c r="CS143" s="102"/>
      <c r="CT143" s="102"/>
      <c r="CU143" s="102"/>
      <c r="CV143" s="102"/>
      <c r="CW143" s="102"/>
      <c r="CX143" s="102"/>
      <c r="CY143" s="102"/>
      <c r="CZ143" s="102"/>
      <c r="DA143" s="102"/>
      <c r="DB143" s="102"/>
      <c r="DC143" s="102"/>
      <c r="DD143" s="102"/>
      <c r="DE143" s="102"/>
      <c r="DF143" s="102"/>
      <c r="DG143" s="102"/>
      <c r="DH143" s="102"/>
      <c r="DI143" s="102"/>
      <c r="DJ143" s="102"/>
      <c r="DK143" s="102"/>
      <c r="DL143" s="102"/>
      <c r="DM143" s="102"/>
      <c r="DN143" s="102"/>
      <c r="DO143" s="102"/>
      <c r="DP143" s="102"/>
      <c r="DQ143" s="102"/>
      <c r="DR143" s="102"/>
      <c r="DS143" s="102"/>
      <c r="DT143" s="102"/>
      <c r="DU143" s="102"/>
      <c r="DV143" s="102"/>
      <c r="DW143" s="102"/>
      <c r="DX143" s="102"/>
      <c r="DY143" s="102"/>
      <c r="DZ143" s="102"/>
      <c r="EA143" s="102"/>
      <c r="EB143" s="102"/>
      <c r="EC143" s="102"/>
      <c r="ED143" s="102"/>
      <c r="EE143" s="102"/>
      <c r="EF143" s="102"/>
      <c r="EG143" s="102"/>
      <c r="EH143" s="102"/>
      <c r="EI143" s="102"/>
      <c r="EJ143" s="102"/>
      <c r="EK143" s="102"/>
      <c r="EL143" s="102"/>
      <c r="EM143" s="102"/>
      <c r="EN143" s="102"/>
    </row>
    <row r="144">
      <c r="A144" s="103" t="s">
        <v>247</v>
      </c>
      <c r="B144" s="103" t="s">
        <v>96</v>
      </c>
      <c r="C144" s="105"/>
      <c r="D144" s="105"/>
      <c r="E144" s="105"/>
      <c r="F144" s="105"/>
      <c r="G144" s="106"/>
      <c r="H144" s="108" t="s">
        <v>98</v>
      </c>
      <c r="I144" s="105"/>
      <c r="J144" s="105"/>
      <c r="K144" s="105"/>
      <c r="L144" s="105"/>
      <c r="M144" s="105"/>
      <c r="N144" s="103" t="s">
        <v>96</v>
      </c>
      <c r="O144" s="103" t="s">
        <v>96</v>
      </c>
      <c r="P144" s="103" t="s">
        <v>99</v>
      </c>
      <c r="Q144" s="105"/>
      <c r="R144" s="103" t="s">
        <v>97</v>
      </c>
      <c r="S144" s="136" t="s">
        <v>97</v>
      </c>
      <c r="T144" s="107"/>
      <c r="U144" s="105"/>
      <c r="V144" s="105"/>
      <c r="W144" s="105"/>
      <c r="X144" s="105"/>
      <c r="Y144" s="103" t="s">
        <v>99</v>
      </c>
      <c r="Z144" s="105"/>
      <c r="AA144" s="105"/>
      <c r="AB144" s="105"/>
      <c r="AC144" s="105"/>
      <c r="AD144" s="105"/>
      <c r="AE144" s="136" t="s">
        <v>99</v>
      </c>
      <c r="AF144" s="108" t="s">
        <v>97</v>
      </c>
      <c r="AG144" s="105"/>
      <c r="AH144" s="105"/>
      <c r="AI144" s="105"/>
      <c r="AJ144" s="105"/>
      <c r="AK144" s="103" t="s">
        <v>97</v>
      </c>
      <c r="AL144" s="105"/>
      <c r="AM144" s="105"/>
      <c r="AN144" s="103" t="s">
        <v>97</v>
      </c>
      <c r="AO144" s="103" t="s">
        <v>97</v>
      </c>
      <c r="AP144" s="105"/>
      <c r="AQ144" s="106"/>
      <c r="AR144" s="107"/>
      <c r="AS144" s="103" t="s">
        <v>97</v>
      </c>
      <c r="AT144" s="105"/>
      <c r="AU144" s="109" t="s">
        <v>96</v>
      </c>
      <c r="AV144" s="105"/>
      <c r="AW144" s="105"/>
      <c r="AX144" s="105"/>
      <c r="AY144" s="105"/>
      <c r="AZ144" s="105"/>
      <c r="BA144" s="105"/>
      <c r="BB144" s="105"/>
      <c r="BC144" s="106"/>
      <c r="BD144" s="105"/>
      <c r="BE144" s="105"/>
      <c r="BF144" s="105"/>
      <c r="BG144" s="105"/>
      <c r="BH144" s="102"/>
      <c r="BI144" s="102"/>
      <c r="BJ144" s="102"/>
      <c r="BK144" s="102"/>
      <c r="BL144" s="102"/>
      <c r="BM144" s="102"/>
      <c r="BN144" s="102"/>
      <c r="BO144" s="102"/>
      <c r="BP144" s="102"/>
      <c r="BQ144" s="102"/>
      <c r="BR144" s="102"/>
      <c r="BS144" s="102"/>
      <c r="BT144" s="102"/>
      <c r="BU144" s="102"/>
      <c r="BV144" s="102"/>
      <c r="BW144" s="102"/>
      <c r="BX144" s="102"/>
      <c r="BY144" s="102"/>
      <c r="BZ144" s="102"/>
      <c r="CA144" s="102"/>
      <c r="CB144" s="102"/>
      <c r="CC144" s="102"/>
      <c r="CD144" s="102"/>
      <c r="CE144" s="102"/>
      <c r="CF144" s="102"/>
      <c r="CG144" s="102"/>
      <c r="CH144" s="102"/>
      <c r="CI144" s="102"/>
      <c r="CJ144" s="102"/>
      <c r="CK144" s="102"/>
      <c r="CL144" s="102"/>
      <c r="CM144" s="102"/>
      <c r="CN144" s="102"/>
      <c r="CO144" s="102"/>
      <c r="CP144" s="102"/>
      <c r="CQ144" s="102"/>
      <c r="CR144" s="102"/>
      <c r="CS144" s="102"/>
      <c r="CT144" s="102"/>
      <c r="CU144" s="102"/>
      <c r="CV144" s="102"/>
      <c r="CW144" s="102"/>
      <c r="CX144" s="102"/>
      <c r="CY144" s="102"/>
      <c r="CZ144" s="102"/>
      <c r="DA144" s="102"/>
      <c r="DB144" s="102"/>
      <c r="DC144" s="102"/>
      <c r="DD144" s="102"/>
      <c r="DE144" s="102"/>
      <c r="DF144" s="102"/>
      <c r="DG144" s="102"/>
      <c r="DH144" s="102"/>
      <c r="DI144" s="102"/>
      <c r="DJ144" s="102"/>
      <c r="DK144" s="102"/>
      <c r="DL144" s="102"/>
      <c r="DM144" s="102"/>
      <c r="DN144" s="102"/>
      <c r="DO144" s="102"/>
      <c r="DP144" s="102"/>
      <c r="DQ144" s="102"/>
      <c r="DR144" s="102"/>
      <c r="DS144" s="102"/>
      <c r="DT144" s="102"/>
      <c r="DU144" s="102"/>
      <c r="DV144" s="102"/>
      <c r="DW144" s="102"/>
      <c r="DX144" s="102"/>
      <c r="DY144" s="102"/>
      <c r="DZ144" s="102"/>
      <c r="EA144" s="102"/>
      <c r="EB144" s="102"/>
      <c r="EC144" s="102"/>
      <c r="ED144" s="102"/>
      <c r="EE144" s="102"/>
      <c r="EF144" s="102"/>
      <c r="EG144" s="102"/>
      <c r="EH144" s="102"/>
      <c r="EI144" s="102"/>
      <c r="EJ144" s="102"/>
      <c r="EK144" s="102"/>
      <c r="EL144" s="102"/>
      <c r="EM144" s="102"/>
      <c r="EN144" s="102"/>
    </row>
    <row r="145">
      <c r="A145" s="110" t="s">
        <v>248</v>
      </c>
      <c r="B145" s="112"/>
      <c r="C145" s="112"/>
      <c r="D145" s="112"/>
      <c r="E145" s="112"/>
      <c r="F145" s="110" t="s">
        <v>98</v>
      </c>
      <c r="G145" s="113"/>
      <c r="H145" s="114"/>
      <c r="I145" s="116"/>
      <c r="J145" s="116"/>
      <c r="K145" s="116"/>
      <c r="L145" s="115" t="s">
        <v>98</v>
      </c>
      <c r="M145" s="116"/>
      <c r="N145" s="116"/>
      <c r="O145" s="116"/>
      <c r="P145" s="115" t="s">
        <v>99</v>
      </c>
      <c r="Q145" s="116"/>
      <c r="R145" s="115" t="s">
        <v>98</v>
      </c>
      <c r="S145" s="117"/>
      <c r="T145" s="118"/>
      <c r="U145" s="120"/>
      <c r="V145" s="120"/>
      <c r="W145" s="120"/>
      <c r="X145" s="121" t="s">
        <v>99</v>
      </c>
      <c r="Y145" s="120"/>
      <c r="Z145" s="120"/>
      <c r="AA145" s="120"/>
      <c r="AB145" s="120"/>
      <c r="AC145" s="120"/>
      <c r="AD145" s="121" t="s">
        <v>99</v>
      </c>
      <c r="AE145" s="122"/>
      <c r="AF145" s="134" t="s">
        <v>98</v>
      </c>
      <c r="AG145" s="124"/>
      <c r="AH145" s="124"/>
      <c r="AI145" s="124"/>
      <c r="AJ145" s="124"/>
      <c r="AK145" s="125" t="s">
        <v>96</v>
      </c>
      <c r="AL145" s="124"/>
      <c r="AM145" s="124"/>
      <c r="AN145" s="124"/>
      <c r="AO145" s="124"/>
      <c r="AP145" s="124"/>
      <c r="AQ145" s="133" t="s">
        <v>98</v>
      </c>
      <c r="AR145" s="127"/>
      <c r="AS145" s="128" t="s">
        <v>98</v>
      </c>
      <c r="AT145" s="129"/>
      <c r="AU145" s="129"/>
      <c r="AV145" s="129"/>
      <c r="AW145" s="129"/>
      <c r="AX145" s="129"/>
      <c r="AY145" s="129"/>
      <c r="AZ145" s="129"/>
      <c r="BA145" s="129"/>
      <c r="BB145" s="129"/>
      <c r="BC145" s="130"/>
      <c r="BD145" s="129"/>
      <c r="BE145" s="129"/>
      <c r="BF145" s="129"/>
      <c r="BG145" s="129"/>
      <c r="BH145" s="102"/>
      <c r="BI145" s="102"/>
      <c r="BJ145" s="102"/>
      <c r="BK145" s="102"/>
      <c r="BL145" s="102"/>
      <c r="BM145" s="102"/>
      <c r="BN145" s="102"/>
      <c r="BO145" s="102"/>
      <c r="BP145" s="102"/>
      <c r="BQ145" s="102"/>
      <c r="BR145" s="102"/>
      <c r="BS145" s="102"/>
      <c r="BT145" s="102"/>
      <c r="BU145" s="102"/>
      <c r="BV145" s="102"/>
      <c r="BW145" s="102"/>
      <c r="BX145" s="102"/>
      <c r="BY145" s="102"/>
      <c r="BZ145" s="102"/>
      <c r="CA145" s="102"/>
      <c r="CB145" s="102"/>
      <c r="CC145" s="102"/>
      <c r="CD145" s="102"/>
      <c r="CE145" s="102"/>
      <c r="CF145" s="102"/>
      <c r="CG145" s="102"/>
      <c r="CH145" s="102"/>
      <c r="CI145" s="102"/>
      <c r="CJ145" s="102"/>
      <c r="CK145" s="102"/>
      <c r="CL145" s="102"/>
      <c r="CM145" s="102"/>
      <c r="CN145" s="102"/>
      <c r="CO145" s="102"/>
      <c r="CP145" s="102"/>
      <c r="CQ145" s="102"/>
      <c r="CR145" s="102"/>
      <c r="CS145" s="102"/>
      <c r="CT145" s="102"/>
      <c r="CU145" s="102"/>
      <c r="CV145" s="102"/>
      <c r="CW145" s="102"/>
      <c r="CX145" s="102"/>
      <c r="CY145" s="102"/>
      <c r="CZ145" s="102"/>
      <c r="DA145" s="102"/>
      <c r="DB145" s="102"/>
      <c r="DC145" s="102"/>
      <c r="DD145" s="102"/>
      <c r="DE145" s="102"/>
      <c r="DF145" s="102"/>
      <c r="DG145" s="102"/>
      <c r="DH145" s="102"/>
      <c r="DI145" s="102"/>
      <c r="DJ145" s="102"/>
      <c r="DK145" s="102"/>
      <c r="DL145" s="102"/>
      <c r="DM145" s="102"/>
      <c r="DN145" s="102"/>
      <c r="DO145" s="102"/>
      <c r="DP145" s="102"/>
      <c r="DQ145" s="102"/>
      <c r="DR145" s="102"/>
      <c r="DS145" s="102"/>
      <c r="DT145" s="102"/>
      <c r="DU145" s="102"/>
      <c r="DV145" s="102"/>
      <c r="DW145" s="102"/>
      <c r="DX145" s="102"/>
      <c r="DY145" s="102"/>
      <c r="DZ145" s="102"/>
      <c r="EA145" s="102"/>
      <c r="EB145" s="102"/>
      <c r="EC145" s="102"/>
      <c r="ED145" s="102"/>
      <c r="EE145" s="102"/>
      <c r="EF145" s="102"/>
      <c r="EG145" s="102"/>
      <c r="EH145" s="102"/>
      <c r="EI145" s="102"/>
      <c r="EJ145" s="102"/>
      <c r="EK145" s="102"/>
      <c r="EL145" s="102"/>
      <c r="EM145" s="102"/>
      <c r="EN145" s="102"/>
    </row>
    <row r="146">
      <c r="A146" s="103" t="s">
        <v>249</v>
      </c>
      <c r="B146" s="103" t="s">
        <v>97</v>
      </c>
      <c r="C146" s="103" t="s">
        <v>99</v>
      </c>
      <c r="D146" s="103" t="s">
        <v>97</v>
      </c>
      <c r="E146" s="103" t="s">
        <v>99</v>
      </c>
      <c r="F146" s="103" t="s">
        <v>97</v>
      </c>
      <c r="G146" s="136" t="s">
        <v>97</v>
      </c>
      <c r="H146" s="108" t="s">
        <v>97</v>
      </c>
      <c r="I146" s="103" t="s">
        <v>99</v>
      </c>
      <c r="J146" s="103" t="s">
        <v>97</v>
      </c>
      <c r="K146" s="103" t="s">
        <v>99</v>
      </c>
      <c r="L146" s="103" t="s">
        <v>97</v>
      </c>
      <c r="M146" s="103" t="s">
        <v>99</v>
      </c>
      <c r="N146" s="103" t="s">
        <v>99</v>
      </c>
      <c r="O146" s="103" t="s">
        <v>99</v>
      </c>
      <c r="P146" s="103" t="s">
        <v>99</v>
      </c>
      <c r="Q146" s="103" t="s">
        <v>99</v>
      </c>
      <c r="R146" s="103" t="s">
        <v>97</v>
      </c>
      <c r="S146" s="103" t="s">
        <v>99</v>
      </c>
      <c r="T146" s="103" t="s">
        <v>99</v>
      </c>
      <c r="U146" s="103" t="s">
        <v>99</v>
      </c>
      <c r="V146" s="103" t="s">
        <v>99</v>
      </c>
      <c r="W146" s="103" t="s">
        <v>99</v>
      </c>
      <c r="X146" s="103" t="s">
        <v>99</v>
      </c>
      <c r="Y146" s="103" t="s">
        <v>99</v>
      </c>
      <c r="Z146" s="103" t="s">
        <v>97</v>
      </c>
      <c r="AA146" s="103" t="s">
        <v>99</v>
      </c>
      <c r="AB146" s="103" t="s">
        <v>99</v>
      </c>
      <c r="AC146" s="103" t="s">
        <v>97</v>
      </c>
      <c r="AD146" s="103" t="s">
        <v>97</v>
      </c>
      <c r="AE146" s="136" t="s">
        <v>99</v>
      </c>
      <c r="AF146" s="108" t="s">
        <v>97</v>
      </c>
      <c r="AG146" s="103" t="s">
        <v>99</v>
      </c>
      <c r="AH146" s="103" t="s">
        <v>99</v>
      </c>
      <c r="AI146" s="103" t="s">
        <v>99</v>
      </c>
      <c r="AJ146" s="103" t="s">
        <v>99</v>
      </c>
      <c r="AK146" s="103" t="s">
        <v>97</v>
      </c>
      <c r="AL146" s="103" t="s">
        <v>99</v>
      </c>
      <c r="AM146" s="103" t="s">
        <v>99</v>
      </c>
      <c r="AN146" s="103" t="s">
        <v>97</v>
      </c>
      <c r="AO146" s="103" t="s">
        <v>99</v>
      </c>
      <c r="AP146" s="103" t="s">
        <v>97</v>
      </c>
      <c r="AQ146" s="136" t="s">
        <v>99</v>
      </c>
      <c r="AR146" s="108" t="s">
        <v>99</v>
      </c>
      <c r="AS146" s="103" t="s">
        <v>97</v>
      </c>
      <c r="AT146" s="105"/>
      <c r="AU146" s="109" t="s">
        <v>97</v>
      </c>
      <c r="AV146" s="105"/>
      <c r="AW146" s="105"/>
      <c r="AX146" s="105"/>
      <c r="AY146" s="105"/>
      <c r="AZ146" s="105"/>
      <c r="BA146" s="105"/>
      <c r="BB146" s="105"/>
      <c r="BC146" s="106"/>
      <c r="BD146" s="105"/>
      <c r="BE146" s="105"/>
      <c r="BF146" s="105"/>
      <c r="BG146" s="105"/>
      <c r="BH146" s="102"/>
      <c r="BI146" s="102"/>
      <c r="BJ146" s="102"/>
      <c r="BK146" s="102"/>
      <c r="BL146" s="102"/>
      <c r="BM146" s="102"/>
      <c r="BN146" s="102"/>
      <c r="BO146" s="102"/>
      <c r="BP146" s="102"/>
      <c r="BQ146" s="102"/>
      <c r="BR146" s="102"/>
      <c r="BS146" s="102"/>
      <c r="BT146" s="102"/>
      <c r="BU146" s="102"/>
      <c r="BV146" s="102"/>
      <c r="BW146" s="102"/>
      <c r="BX146" s="102"/>
      <c r="BY146" s="102"/>
      <c r="BZ146" s="102"/>
      <c r="CA146" s="102"/>
      <c r="CB146" s="102"/>
      <c r="CC146" s="102"/>
      <c r="CD146" s="102"/>
      <c r="CE146" s="102"/>
      <c r="CF146" s="102"/>
      <c r="CG146" s="102"/>
      <c r="CH146" s="102"/>
      <c r="CI146" s="102"/>
      <c r="CJ146" s="102"/>
      <c r="CK146" s="102"/>
      <c r="CL146" s="102"/>
      <c r="CM146" s="102"/>
      <c r="CN146" s="102"/>
      <c r="CO146" s="102"/>
      <c r="CP146" s="102"/>
      <c r="CQ146" s="102"/>
      <c r="CR146" s="102"/>
      <c r="CS146" s="102"/>
      <c r="CT146" s="102"/>
      <c r="CU146" s="102"/>
      <c r="CV146" s="102"/>
      <c r="CW146" s="102"/>
      <c r="CX146" s="102"/>
      <c r="CY146" s="102"/>
      <c r="CZ146" s="102"/>
      <c r="DA146" s="102"/>
      <c r="DB146" s="102"/>
      <c r="DC146" s="102"/>
      <c r="DD146" s="102"/>
      <c r="DE146" s="102"/>
      <c r="DF146" s="102"/>
      <c r="DG146" s="102"/>
      <c r="DH146" s="102"/>
      <c r="DI146" s="102"/>
      <c r="DJ146" s="102"/>
      <c r="DK146" s="102"/>
      <c r="DL146" s="102"/>
      <c r="DM146" s="102"/>
      <c r="DN146" s="102"/>
      <c r="DO146" s="102"/>
      <c r="DP146" s="102"/>
      <c r="DQ146" s="102"/>
      <c r="DR146" s="102"/>
      <c r="DS146" s="102"/>
      <c r="DT146" s="102"/>
      <c r="DU146" s="102"/>
      <c r="DV146" s="102"/>
      <c r="DW146" s="102"/>
      <c r="DX146" s="102"/>
      <c r="DY146" s="102"/>
      <c r="DZ146" s="102"/>
      <c r="EA146" s="102"/>
      <c r="EB146" s="102"/>
      <c r="EC146" s="102"/>
      <c r="ED146" s="102"/>
      <c r="EE146" s="102"/>
      <c r="EF146" s="102"/>
      <c r="EG146" s="102"/>
      <c r="EH146" s="102"/>
      <c r="EI146" s="102"/>
      <c r="EJ146" s="102"/>
      <c r="EK146" s="102"/>
      <c r="EL146" s="102"/>
      <c r="EM146" s="102"/>
      <c r="EN146" s="102"/>
    </row>
    <row r="147">
      <c r="A147" s="110" t="s">
        <v>250</v>
      </c>
      <c r="B147" s="110" t="s">
        <v>97</v>
      </c>
      <c r="C147" s="110" t="s">
        <v>99</v>
      </c>
      <c r="D147" s="110" t="s">
        <v>97</v>
      </c>
      <c r="E147" s="110" t="s">
        <v>99</v>
      </c>
      <c r="F147" s="110" t="s">
        <v>97</v>
      </c>
      <c r="G147" s="137" t="s">
        <v>99</v>
      </c>
      <c r="H147" s="132" t="s">
        <v>97</v>
      </c>
      <c r="I147" s="115" t="s">
        <v>99</v>
      </c>
      <c r="J147" s="115" t="s">
        <v>97</v>
      </c>
      <c r="K147" s="115" t="s">
        <v>99</v>
      </c>
      <c r="L147" s="115" t="s">
        <v>97</v>
      </c>
      <c r="M147" s="115" t="s">
        <v>99</v>
      </c>
      <c r="N147" s="115" t="s">
        <v>99</v>
      </c>
      <c r="O147" s="115" t="s">
        <v>99</v>
      </c>
      <c r="P147" s="115" t="s">
        <v>99</v>
      </c>
      <c r="Q147" s="115" t="s">
        <v>99</v>
      </c>
      <c r="R147" s="115" t="s">
        <v>97</v>
      </c>
      <c r="S147" s="115" t="s">
        <v>99</v>
      </c>
      <c r="T147" s="121" t="s">
        <v>99</v>
      </c>
      <c r="U147" s="121" t="s">
        <v>99</v>
      </c>
      <c r="V147" s="121" t="s">
        <v>99</v>
      </c>
      <c r="W147" s="121" t="s">
        <v>99</v>
      </c>
      <c r="X147" s="121" t="s">
        <v>99</v>
      </c>
      <c r="Y147" s="121" t="s">
        <v>99</v>
      </c>
      <c r="Z147" s="121" t="s">
        <v>97</v>
      </c>
      <c r="AA147" s="121" t="s">
        <v>99</v>
      </c>
      <c r="AB147" s="121" t="s">
        <v>99</v>
      </c>
      <c r="AC147" s="121" t="s">
        <v>97</v>
      </c>
      <c r="AD147" s="121" t="s">
        <v>97</v>
      </c>
      <c r="AE147" s="140" t="s">
        <v>99</v>
      </c>
      <c r="AF147" s="134" t="s">
        <v>97</v>
      </c>
      <c r="AG147" s="125" t="s">
        <v>99</v>
      </c>
      <c r="AH147" s="125" t="s">
        <v>99</v>
      </c>
      <c r="AI147" s="125" t="s">
        <v>99</v>
      </c>
      <c r="AJ147" s="125" t="s">
        <v>99</v>
      </c>
      <c r="AK147" s="125" t="s">
        <v>97</v>
      </c>
      <c r="AL147" s="125" t="s">
        <v>99</v>
      </c>
      <c r="AM147" s="125" t="s">
        <v>99</v>
      </c>
      <c r="AN147" s="125" t="s">
        <v>97</v>
      </c>
      <c r="AO147" s="125" t="s">
        <v>99</v>
      </c>
      <c r="AP147" s="125" t="s">
        <v>97</v>
      </c>
      <c r="AQ147" s="133" t="s">
        <v>99</v>
      </c>
      <c r="AR147" s="135" t="s">
        <v>99</v>
      </c>
      <c r="AS147" s="128" t="s">
        <v>97</v>
      </c>
      <c r="AT147" s="129"/>
      <c r="AU147" s="144" t="s">
        <v>97</v>
      </c>
      <c r="AV147" s="129"/>
      <c r="AW147" s="129"/>
      <c r="AX147" s="129"/>
      <c r="AY147" s="129"/>
      <c r="AZ147" s="129"/>
      <c r="BA147" s="129"/>
      <c r="BB147" s="129"/>
      <c r="BC147" s="130"/>
      <c r="BD147" s="129"/>
      <c r="BE147" s="129"/>
      <c r="BF147" s="129"/>
      <c r="BG147" s="129"/>
      <c r="BH147" s="102"/>
      <c r="BI147" s="102"/>
      <c r="BJ147" s="102"/>
      <c r="BK147" s="102"/>
      <c r="BL147" s="102"/>
      <c r="BM147" s="102"/>
      <c r="BN147" s="102"/>
      <c r="BO147" s="102"/>
      <c r="BP147" s="102"/>
      <c r="BQ147" s="102"/>
      <c r="BR147" s="102"/>
      <c r="BS147" s="102"/>
      <c r="BT147" s="102"/>
      <c r="BU147" s="102"/>
      <c r="BV147" s="102"/>
      <c r="BW147" s="102"/>
      <c r="BX147" s="102"/>
      <c r="BY147" s="102"/>
      <c r="BZ147" s="102"/>
      <c r="CA147" s="102"/>
      <c r="CB147" s="102"/>
      <c r="CC147" s="102"/>
      <c r="CD147" s="102"/>
      <c r="CE147" s="102"/>
      <c r="CF147" s="102"/>
      <c r="CG147" s="102"/>
      <c r="CH147" s="102"/>
      <c r="CI147" s="102"/>
      <c r="CJ147" s="102"/>
      <c r="CK147" s="102"/>
      <c r="CL147" s="102"/>
      <c r="CM147" s="102"/>
      <c r="CN147" s="102"/>
      <c r="CO147" s="102"/>
      <c r="CP147" s="102"/>
      <c r="CQ147" s="102"/>
      <c r="CR147" s="102"/>
      <c r="CS147" s="102"/>
      <c r="CT147" s="102"/>
      <c r="CU147" s="102"/>
      <c r="CV147" s="102"/>
      <c r="CW147" s="102"/>
      <c r="CX147" s="102"/>
      <c r="CY147" s="102"/>
      <c r="CZ147" s="102"/>
      <c r="DA147" s="102"/>
      <c r="DB147" s="102"/>
      <c r="DC147" s="102"/>
      <c r="DD147" s="102"/>
      <c r="DE147" s="102"/>
      <c r="DF147" s="102"/>
      <c r="DG147" s="102"/>
      <c r="DH147" s="102"/>
      <c r="DI147" s="102"/>
      <c r="DJ147" s="102"/>
      <c r="DK147" s="102"/>
      <c r="DL147" s="102"/>
      <c r="DM147" s="102"/>
      <c r="DN147" s="102"/>
      <c r="DO147" s="102"/>
      <c r="DP147" s="102"/>
      <c r="DQ147" s="102"/>
      <c r="DR147" s="102"/>
      <c r="DS147" s="102"/>
      <c r="DT147" s="102"/>
      <c r="DU147" s="102"/>
      <c r="DV147" s="102"/>
      <c r="DW147" s="102"/>
      <c r="DX147" s="102"/>
      <c r="DY147" s="102"/>
      <c r="DZ147" s="102"/>
      <c r="EA147" s="102"/>
      <c r="EB147" s="102"/>
      <c r="EC147" s="102"/>
      <c r="ED147" s="102"/>
      <c r="EE147" s="102"/>
      <c r="EF147" s="102"/>
      <c r="EG147" s="102"/>
      <c r="EH147" s="102"/>
      <c r="EI147" s="102"/>
      <c r="EJ147" s="102"/>
      <c r="EK147" s="102"/>
      <c r="EL147" s="102"/>
      <c r="EM147" s="102"/>
      <c r="EN147" s="102"/>
    </row>
    <row r="148">
      <c r="A148" s="139" t="s">
        <v>251</v>
      </c>
      <c r="B148" s="103" t="s">
        <v>97</v>
      </c>
      <c r="C148" s="103" t="s">
        <v>97</v>
      </c>
      <c r="D148" s="103" t="s">
        <v>96</v>
      </c>
      <c r="E148" s="103" t="s">
        <v>97</v>
      </c>
      <c r="F148" s="103" t="s">
        <v>97</v>
      </c>
      <c r="G148" s="136" t="s">
        <v>97</v>
      </c>
      <c r="H148" s="108" t="s">
        <v>97</v>
      </c>
      <c r="I148" s="103" t="s">
        <v>97</v>
      </c>
      <c r="J148" s="103" t="s">
        <v>97</v>
      </c>
      <c r="K148" s="103" t="s">
        <v>97</v>
      </c>
      <c r="L148" s="103" t="s">
        <v>97</v>
      </c>
      <c r="M148" s="103" t="s">
        <v>97</v>
      </c>
      <c r="N148" s="103" t="s">
        <v>99</v>
      </c>
      <c r="O148" s="103" t="s">
        <v>98</v>
      </c>
      <c r="P148" s="103" t="s">
        <v>99</v>
      </c>
      <c r="Q148" s="103" t="s">
        <v>97</v>
      </c>
      <c r="R148" s="103" t="s">
        <v>97</v>
      </c>
      <c r="S148" s="136" t="s">
        <v>97</v>
      </c>
      <c r="T148" s="103" t="s">
        <v>99</v>
      </c>
      <c r="U148" s="103" t="s">
        <v>96</v>
      </c>
      <c r="V148" s="103" t="s">
        <v>99</v>
      </c>
      <c r="W148" s="103" t="s">
        <v>99</v>
      </c>
      <c r="X148" s="103" t="s">
        <v>99</v>
      </c>
      <c r="Y148" s="103" t="s">
        <v>97</v>
      </c>
      <c r="Z148" s="103" t="s">
        <v>97</v>
      </c>
      <c r="AA148" s="103" t="s">
        <v>99</v>
      </c>
      <c r="AB148" s="103" t="s">
        <v>99</v>
      </c>
      <c r="AC148" s="103" t="s">
        <v>97</v>
      </c>
      <c r="AD148" s="103" t="s">
        <v>97</v>
      </c>
      <c r="AE148" s="136" t="s">
        <v>99</v>
      </c>
      <c r="AF148" s="108" t="s">
        <v>97</v>
      </c>
      <c r="AG148" s="103" t="s">
        <v>97</v>
      </c>
      <c r="AH148" s="103" t="s">
        <v>99</v>
      </c>
      <c r="AI148" s="103" t="s">
        <v>99</v>
      </c>
      <c r="AJ148" s="103" t="s">
        <v>99</v>
      </c>
      <c r="AK148" s="103" t="s">
        <v>97</v>
      </c>
      <c r="AL148" s="103" t="s">
        <v>99</v>
      </c>
      <c r="AM148" s="103" t="s">
        <v>99</v>
      </c>
      <c r="AN148" s="103" t="s">
        <v>97</v>
      </c>
      <c r="AO148" s="103" t="s">
        <v>97</v>
      </c>
      <c r="AP148" s="103" t="s">
        <v>97</v>
      </c>
      <c r="AQ148" s="136" t="s">
        <v>97</v>
      </c>
      <c r="AR148" s="108" t="s">
        <v>99</v>
      </c>
      <c r="AS148" s="103" t="s">
        <v>97</v>
      </c>
      <c r="AT148" s="105"/>
      <c r="AU148" s="109" t="s">
        <v>97</v>
      </c>
      <c r="AV148" s="105"/>
      <c r="AW148" s="105"/>
      <c r="AX148" s="105"/>
      <c r="AY148" s="105"/>
      <c r="AZ148" s="105"/>
      <c r="BA148" s="105"/>
      <c r="BB148" s="105"/>
      <c r="BC148" s="106"/>
      <c r="BD148" s="105"/>
      <c r="BE148" s="105"/>
      <c r="BF148" s="105"/>
      <c r="BG148" s="105"/>
      <c r="BH148" s="102"/>
      <c r="BI148" s="102"/>
      <c r="BJ148" s="102"/>
      <c r="BK148" s="102"/>
      <c r="BL148" s="102"/>
      <c r="BM148" s="102"/>
      <c r="BN148" s="102"/>
      <c r="BO148" s="102"/>
      <c r="BP148" s="102"/>
      <c r="BQ148" s="102"/>
      <c r="BR148" s="102"/>
      <c r="BS148" s="102"/>
      <c r="BT148" s="102"/>
      <c r="BU148" s="102"/>
      <c r="BV148" s="102"/>
      <c r="BW148" s="102"/>
      <c r="BX148" s="102"/>
      <c r="BY148" s="102"/>
      <c r="BZ148" s="102"/>
      <c r="CA148" s="102"/>
      <c r="CB148" s="102"/>
      <c r="CC148" s="102"/>
      <c r="CD148" s="102"/>
      <c r="CE148" s="102"/>
      <c r="CF148" s="102"/>
      <c r="CG148" s="102"/>
      <c r="CH148" s="102"/>
      <c r="CI148" s="102"/>
      <c r="CJ148" s="102"/>
      <c r="CK148" s="102"/>
      <c r="CL148" s="102"/>
      <c r="CM148" s="102"/>
      <c r="CN148" s="102"/>
      <c r="CO148" s="102"/>
      <c r="CP148" s="102"/>
      <c r="CQ148" s="102"/>
      <c r="CR148" s="102"/>
      <c r="CS148" s="102"/>
      <c r="CT148" s="102"/>
      <c r="CU148" s="102"/>
      <c r="CV148" s="102"/>
      <c r="CW148" s="102"/>
      <c r="CX148" s="102"/>
      <c r="CY148" s="102"/>
      <c r="CZ148" s="102"/>
      <c r="DA148" s="102"/>
      <c r="DB148" s="102"/>
      <c r="DC148" s="102"/>
      <c r="DD148" s="102"/>
      <c r="DE148" s="102"/>
      <c r="DF148" s="102"/>
      <c r="DG148" s="102"/>
      <c r="DH148" s="102"/>
      <c r="DI148" s="102"/>
      <c r="DJ148" s="102"/>
      <c r="DK148" s="102"/>
      <c r="DL148" s="102"/>
      <c r="DM148" s="102"/>
      <c r="DN148" s="102"/>
      <c r="DO148" s="102"/>
      <c r="DP148" s="102"/>
      <c r="DQ148" s="102"/>
      <c r="DR148" s="102"/>
      <c r="DS148" s="102"/>
      <c r="DT148" s="102"/>
      <c r="DU148" s="102"/>
      <c r="DV148" s="102"/>
      <c r="DW148" s="102"/>
      <c r="DX148" s="102"/>
      <c r="DY148" s="102"/>
      <c r="DZ148" s="102"/>
      <c r="EA148" s="102"/>
      <c r="EB148" s="102"/>
      <c r="EC148" s="102"/>
      <c r="ED148" s="102"/>
      <c r="EE148" s="102"/>
      <c r="EF148" s="102"/>
      <c r="EG148" s="102"/>
      <c r="EH148" s="102"/>
      <c r="EI148" s="102"/>
      <c r="EJ148" s="102"/>
      <c r="EK148" s="102"/>
      <c r="EL148" s="102"/>
      <c r="EM148" s="102"/>
      <c r="EN148" s="102"/>
    </row>
    <row r="149">
      <c r="A149" s="138" t="s">
        <v>252</v>
      </c>
      <c r="B149" s="110"/>
      <c r="C149" s="112"/>
      <c r="D149" s="112"/>
      <c r="E149" s="112"/>
      <c r="F149" s="112"/>
      <c r="G149" s="113"/>
      <c r="H149" s="132"/>
      <c r="I149" s="116"/>
      <c r="J149" s="116"/>
      <c r="K149" s="116"/>
      <c r="L149" s="116"/>
      <c r="M149" s="116"/>
      <c r="N149" s="115"/>
      <c r="O149" s="116"/>
      <c r="P149" s="115"/>
      <c r="Q149" s="116"/>
      <c r="R149" s="116"/>
      <c r="S149" s="117"/>
      <c r="T149" s="119"/>
      <c r="U149" s="118"/>
      <c r="V149" s="118"/>
      <c r="W149" s="118"/>
      <c r="X149" s="118"/>
      <c r="Y149" s="118"/>
      <c r="Z149" s="121"/>
      <c r="AA149" s="120"/>
      <c r="AB149" s="120"/>
      <c r="AC149" s="120"/>
      <c r="AD149" s="120"/>
      <c r="AE149" s="122"/>
      <c r="AF149" s="134"/>
      <c r="AG149" s="124"/>
      <c r="AH149" s="124"/>
      <c r="AI149" s="124"/>
      <c r="AJ149" s="124"/>
      <c r="AK149" s="125"/>
      <c r="AL149" s="124"/>
      <c r="AM149" s="124"/>
      <c r="AN149" s="125"/>
      <c r="AO149" s="125"/>
      <c r="AP149" s="124"/>
      <c r="AQ149" s="133"/>
      <c r="AR149" s="127"/>
      <c r="AS149" s="145" t="s">
        <v>99</v>
      </c>
      <c r="AT149" s="129"/>
      <c r="AU149" s="144" t="s">
        <v>97</v>
      </c>
      <c r="AV149" s="129"/>
      <c r="AW149" s="129"/>
      <c r="AX149" s="129"/>
      <c r="AY149" s="129"/>
      <c r="AZ149" s="129"/>
      <c r="BA149" s="129"/>
      <c r="BB149" s="129"/>
      <c r="BC149" s="130"/>
      <c r="BD149" s="129"/>
      <c r="BE149" s="129"/>
      <c r="BF149" s="129"/>
      <c r="BG149" s="129"/>
      <c r="BH149" s="102"/>
      <c r="BI149" s="102"/>
      <c r="BJ149" s="102"/>
      <c r="BK149" s="102"/>
      <c r="BL149" s="102"/>
      <c r="BM149" s="102"/>
      <c r="BN149" s="102"/>
      <c r="BO149" s="102"/>
      <c r="BP149" s="102"/>
      <c r="BQ149" s="102"/>
      <c r="BR149" s="102"/>
      <c r="BS149" s="102"/>
      <c r="BT149" s="102"/>
      <c r="BU149" s="102"/>
      <c r="BV149" s="102"/>
      <c r="BW149" s="102"/>
      <c r="BX149" s="102"/>
      <c r="BY149" s="102"/>
      <c r="BZ149" s="102"/>
      <c r="CA149" s="102"/>
      <c r="CB149" s="102"/>
      <c r="CC149" s="102"/>
      <c r="CD149" s="102"/>
      <c r="CE149" s="102"/>
      <c r="CF149" s="102"/>
      <c r="CG149" s="102"/>
      <c r="CH149" s="102"/>
      <c r="CI149" s="102"/>
      <c r="CJ149" s="102"/>
      <c r="CK149" s="102"/>
      <c r="CL149" s="102"/>
      <c r="CM149" s="102"/>
      <c r="CN149" s="102"/>
      <c r="CO149" s="102"/>
      <c r="CP149" s="102"/>
      <c r="CQ149" s="102"/>
      <c r="CR149" s="102"/>
      <c r="CS149" s="102"/>
      <c r="CT149" s="102"/>
      <c r="CU149" s="102"/>
      <c r="CV149" s="102"/>
      <c r="CW149" s="102"/>
      <c r="CX149" s="102"/>
      <c r="CY149" s="102"/>
      <c r="CZ149" s="102"/>
      <c r="DA149" s="102"/>
      <c r="DB149" s="102"/>
      <c r="DC149" s="102"/>
      <c r="DD149" s="102"/>
      <c r="DE149" s="102"/>
      <c r="DF149" s="102"/>
      <c r="DG149" s="102"/>
      <c r="DH149" s="102"/>
      <c r="DI149" s="102"/>
      <c r="DJ149" s="102"/>
      <c r="DK149" s="102"/>
      <c r="DL149" s="102"/>
      <c r="DM149" s="102"/>
      <c r="DN149" s="102"/>
      <c r="DO149" s="102"/>
      <c r="DP149" s="102"/>
      <c r="DQ149" s="102"/>
      <c r="DR149" s="102"/>
      <c r="DS149" s="102"/>
      <c r="DT149" s="102"/>
      <c r="DU149" s="102"/>
      <c r="DV149" s="102"/>
      <c r="DW149" s="102"/>
      <c r="DX149" s="102"/>
      <c r="DY149" s="102"/>
      <c r="DZ149" s="102"/>
      <c r="EA149" s="102"/>
      <c r="EB149" s="102"/>
      <c r="EC149" s="102"/>
      <c r="ED149" s="102"/>
      <c r="EE149" s="102"/>
      <c r="EF149" s="102"/>
      <c r="EG149" s="102"/>
      <c r="EH149" s="102"/>
      <c r="EI149" s="102"/>
      <c r="EJ149" s="102"/>
      <c r="EK149" s="102"/>
      <c r="EL149" s="102"/>
      <c r="EM149" s="102"/>
      <c r="EN149" s="102"/>
    </row>
    <row r="150">
      <c r="A150" s="103" t="s">
        <v>253</v>
      </c>
      <c r="B150" s="103" t="s">
        <v>97</v>
      </c>
      <c r="C150" s="105"/>
      <c r="D150" s="105"/>
      <c r="E150" s="105"/>
      <c r="F150" s="105"/>
      <c r="G150" s="106"/>
      <c r="H150" s="108" t="s">
        <v>98</v>
      </c>
      <c r="I150" s="105"/>
      <c r="J150" s="105"/>
      <c r="K150" s="105"/>
      <c r="L150" s="105"/>
      <c r="M150" s="105"/>
      <c r="N150" s="103" t="s">
        <v>98</v>
      </c>
      <c r="O150" s="105"/>
      <c r="P150" s="103" t="s">
        <v>99</v>
      </c>
      <c r="Q150" s="105"/>
      <c r="R150" s="105"/>
      <c r="S150" s="106"/>
      <c r="T150" s="108" t="s">
        <v>99</v>
      </c>
      <c r="U150" s="107"/>
      <c r="V150" s="107"/>
      <c r="W150" s="107"/>
      <c r="X150" s="107"/>
      <c r="Y150" s="107"/>
      <c r="Z150" s="103" t="s">
        <v>99</v>
      </c>
      <c r="AA150" s="105"/>
      <c r="AB150" s="105"/>
      <c r="AC150" s="105"/>
      <c r="AD150" s="105"/>
      <c r="AE150" s="106"/>
      <c r="AF150" s="108" t="s">
        <v>99</v>
      </c>
      <c r="AG150" s="105"/>
      <c r="AH150" s="105"/>
      <c r="AI150" s="105"/>
      <c r="AJ150" s="105"/>
      <c r="AK150" s="103" t="s">
        <v>97</v>
      </c>
      <c r="AL150" s="105"/>
      <c r="AM150" s="105"/>
      <c r="AN150" s="103" t="s">
        <v>97</v>
      </c>
      <c r="AO150" s="103" t="s">
        <v>97</v>
      </c>
      <c r="AP150" s="105"/>
      <c r="AQ150" s="136" t="s">
        <v>97</v>
      </c>
      <c r="AR150" s="107"/>
      <c r="AS150" s="103" t="s">
        <v>97</v>
      </c>
      <c r="AT150" s="105"/>
      <c r="AU150" s="109" t="s">
        <v>97</v>
      </c>
      <c r="AV150" s="105"/>
      <c r="AW150" s="105"/>
      <c r="AX150" s="105"/>
      <c r="AY150" s="105"/>
      <c r="AZ150" s="105"/>
      <c r="BA150" s="105"/>
      <c r="BB150" s="105"/>
      <c r="BC150" s="106"/>
      <c r="BD150" s="105"/>
      <c r="BE150" s="105"/>
      <c r="BF150" s="105"/>
      <c r="BG150" s="105"/>
      <c r="BH150" s="102"/>
      <c r="BI150" s="102"/>
      <c r="BJ150" s="102"/>
      <c r="BK150" s="102"/>
      <c r="BL150" s="102"/>
      <c r="BM150" s="102"/>
      <c r="BN150" s="102"/>
      <c r="BO150" s="102"/>
      <c r="BP150" s="102"/>
      <c r="BQ150" s="102"/>
      <c r="BR150" s="102"/>
      <c r="BS150" s="102"/>
      <c r="BT150" s="102"/>
      <c r="BU150" s="102"/>
      <c r="BV150" s="102"/>
      <c r="BW150" s="102"/>
      <c r="BX150" s="102"/>
      <c r="BY150" s="102"/>
      <c r="BZ150" s="102"/>
      <c r="CA150" s="102"/>
      <c r="CB150" s="102"/>
      <c r="CC150" s="102"/>
      <c r="CD150" s="102"/>
      <c r="CE150" s="102"/>
      <c r="CF150" s="102"/>
      <c r="CG150" s="102"/>
      <c r="CH150" s="102"/>
      <c r="CI150" s="102"/>
      <c r="CJ150" s="102"/>
      <c r="CK150" s="102"/>
      <c r="CL150" s="102"/>
      <c r="CM150" s="102"/>
      <c r="CN150" s="102"/>
      <c r="CO150" s="102"/>
      <c r="CP150" s="102"/>
      <c r="CQ150" s="102"/>
      <c r="CR150" s="102"/>
      <c r="CS150" s="102"/>
      <c r="CT150" s="102"/>
      <c r="CU150" s="102"/>
      <c r="CV150" s="102"/>
      <c r="CW150" s="102"/>
      <c r="CX150" s="102"/>
      <c r="CY150" s="102"/>
      <c r="CZ150" s="102"/>
      <c r="DA150" s="102"/>
      <c r="DB150" s="102"/>
      <c r="DC150" s="102"/>
      <c r="DD150" s="102"/>
      <c r="DE150" s="102"/>
      <c r="DF150" s="102"/>
      <c r="DG150" s="102"/>
      <c r="DH150" s="102"/>
      <c r="DI150" s="102"/>
      <c r="DJ150" s="102"/>
      <c r="DK150" s="102"/>
      <c r="DL150" s="102"/>
      <c r="DM150" s="102"/>
      <c r="DN150" s="102"/>
      <c r="DO150" s="102"/>
      <c r="DP150" s="102"/>
      <c r="DQ150" s="102"/>
      <c r="DR150" s="102"/>
      <c r="DS150" s="102"/>
      <c r="DT150" s="102"/>
      <c r="DU150" s="102"/>
      <c r="DV150" s="102"/>
      <c r="DW150" s="102"/>
      <c r="DX150" s="102"/>
      <c r="DY150" s="102"/>
      <c r="DZ150" s="102"/>
      <c r="EA150" s="102"/>
      <c r="EB150" s="102"/>
      <c r="EC150" s="102"/>
      <c r="ED150" s="102"/>
      <c r="EE150" s="102"/>
      <c r="EF150" s="102"/>
      <c r="EG150" s="102"/>
      <c r="EH150" s="102"/>
      <c r="EI150" s="102"/>
      <c r="EJ150" s="102"/>
      <c r="EK150" s="102"/>
      <c r="EL150" s="102"/>
      <c r="EM150" s="102"/>
      <c r="EN150" s="102"/>
    </row>
    <row r="151">
      <c r="A151" s="110" t="s">
        <v>254</v>
      </c>
      <c r="B151" s="110" t="s">
        <v>97</v>
      </c>
      <c r="C151" s="110" t="s">
        <v>98</v>
      </c>
      <c r="D151" s="112"/>
      <c r="E151" s="112"/>
      <c r="F151" s="110" t="s">
        <v>96</v>
      </c>
      <c r="G151" s="137" t="s">
        <v>97</v>
      </c>
      <c r="H151" s="114"/>
      <c r="I151" s="116"/>
      <c r="J151" s="116"/>
      <c r="K151" s="116"/>
      <c r="L151" s="115" t="s">
        <v>96</v>
      </c>
      <c r="M151" s="116"/>
      <c r="N151" s="116"/>
      <c r="O151" s="116"/>
      <c r="P151" s="115" t="s">
        <v>99</v>
      </c>
      <c r="Q151" s="116"/>
      <c r="R151" s="116"/>
      <c r="S151" s="143" t="s">
        <v>96</v>
      </c>
      <c r="T151" s="118"/>
      <c r="U151" s="120"/>
      <c r="V151" s="120"/>
      <c r="W151" s="120"/>
      <c r="X151" s="120"/>
      <c r="Y151" s="121" t="s">
        <v>99</v>
      </c>
      <c r="Z151" s="118"/>
      <c r="AA151" s="120"/>
      <c r="AB151" s="120"/>
      <c r="AC151" s="120"/>
      <c r="AD151" s="120"/>
      <c r="AE151" s="140" t="s">
        <v>99</v>
      </c>
      <c r="AF151" s="134" t="s">
        <v>97</v>
      </c>
      <c r="AG151" s="124"/>
      <c r="AH151" s="124"/>
      <c r="AI151" s="124"/>
      <c r="AJ151" s="124"/>
      <c r="AK151" s="125" t="s">
        <v>96</v>
      </c>
      <c r="AL151" s="124"/>
      <c r="AM151" s="124"/>
      <c r="AN151" s="124"/>
      <c r="AO151" s="124"/>
      <c r="AP151" s="124"/>
      <c r="AQ151" s="133" t="s">
        <v>97</v>
      </c>
      <c r="AR151" s="127"/>
      <c r="AS151" s="128" t="s">
        <v>97</v>
      </c>
      <c r="AT151" s="129"/>
      <c r="AU151" s="144" t="s">
        <v>97</v>
      </c>
      <c r="AV151" s="129"/>
      <c r="AW151" s="129"/>
      <c r="AX151" s="129"/>
      <c r="AY151" s="129"/>
      <c r="AZ151" s="129"/>
      <c r="BA151" s="129"/>
      <c r="BB151" s="129"/>
      <c r="BC151" s="130"/>
      <c r="BD151" s="129"/>
      <c r="BE151" s="129"/>
      <c r="BF151" s="129"/>
      <c r="BG151" s="129"/>
      <c r="BH151" s="102"/>
      <c r="BI151" s="102"/>
      <c r="BJ151" s="102"/>
      <c r="BK151" s="102"/>
      <c r="BL151" s="102"/>
      <c r="BM151" s="102"/>
      <c r="BN151" s="102"/>
      <c r="BO151" s="102"/>
      <c r="BP151" s="102"/>
      <c r="BQ151" s="102"/>
      <c r="BR151" s="102"/>
      <c r="BS151" s="102"/>
      <c r="BT151" s="102"/>
      <c r="BU151" s="102"/>
      <c r="BV151" s="102"/>
      <c r="BW151" s="102"/>
      <c r="BX151" s="102"/>
      <c r="BY151" s="102"/>
      <c r="BZ151" s="102"/>
      <c r="CA151" s="102"/>
      <c r="CB151" s="102"/>
      <c r="CC151" s="102"/>
      <c r="CD151" s="102"/>
      <c r="CE151" s="102"/>
      <c r="CF151" s="102"/>
      <c r="CG151" s="102"/>
      <c r="CH151" s="102"/>
      <c r="CI151" s="102"/>
      <c r="CJ151" s="102"/>
      <c r="CK151" s="102"/>
      <c r="CL151" s="102"/>
      <c r="CM151" s="102"/>
      <c r="CN151" s="102"/>
      <c r="CO151" s="102"/>
      <c r="CP151" s="102"/>
      <c r="CQ151" s="102"/>
      <c r="CR151" s="102"/>
      <c r="CS151" s="102"/>
      <c r="CT151" s="102"/>
      <c r="CU151" s="102"/>
      <c r="CV151" s="102"/>
      <c r="CW151" s="102"/>
      <c r="CX151" s="102"/>
      <c r="CY151" s="102"/>
      <c r="CZ151" s="102"/>
      <c r="DA151" s="102"/>
      <c r="DB151" s="102"/>
      <c r="DC151" s="102"/>
      <c r="DD151" s="102"/>
      <c r="DE151" s="102"/>
      <c r="DF151" s="102"/>
      <c r="DG151" s="102"/>
      <c r="DH151" s="102"/>
      <c r="DI151" s="102"/>
      <c r="DJ151" s="102"/>
      <c r="DK151" s="102"/>
      <c r="DL151" s="102"/>
      <c r="DM151" s="102"/>
      <c r="DN151" s="102"/>
      <c r="DO151" s="102"/>
      <c r="DP151" s="102"/>
      <c r="DQ151" s="102"/>
      <c r="DR151" s="102"/>
      <c r="DS151" s="102"/>
      <c r="DT151" s="102"/>
      <c r="DU151" s="102"/>
      <c r="DV151" s="102"/>
      <c r="DW151" s="102"/>
      <c r="DX151" s="102"/>
      <c r="DY151" s="102"/>
      <c r="DZ151" s="102"/>
      <c r="EA151" s="102"/>
      <c r="EB151" s="102"/>
      <c r="EC151" s="102"/>
      <c r="ED151" s="102"/>
      <c r="EE151" s="102"/>
      <c r="EF151" s="102"/>
      <c r="EG151" s="102"/>
      <c r="EH151" s="102"/>
      <c r="EI151" s="102"/>
      <c r="EJ151" s="102"/>
      <c r="EK151" s="102"/>
      <c r="EL151" s="102"/>
      <c r="EM151" s="102"/>
      <c r="EN151" s="102"/>
    </row>
    <row r="152">
      <c r="A152" s="103" t="s">
        <v>255</v>
      </c>
      <c r="B152" s="103" t="s">
        <v>98</v>
      </c>
      <c r="C152" s="105"/>
      <c r="D152" s="105"/>
      <c r="E152" s="105"/>
      <c r="F152" s="103" t="s">
        <v>98</v>
      </c>
      <c r="G152" s="106"/>
      <c r="H152" s="107"/>
      <c r="I152" s="105"/>
      <c r="J152" s="105"/>
      <c r="K152" s="105"/>
      <c r="L152" s="103" t="s">
        <v>98</v>
      </c>
      <c r="M152" s="105"/>
      <c r="N152" s="105"/>
      <c r="O152" s="105"/>
      <c r="P152" s="103" t="s">
        <v>99</v>
      </c>
      <c r="Q152" s="105"/>
      <c r="R152" s="105"/>
      <c r="S152" s="136" t="s">
        <v>97</v>
      </c>
      <c r="T152" s="107"/>
      <c r="U152" s="105"/>
      <c r="V152" s="105"/>
      <c r="W152" s="105"/>
      <c r="X152" s="105"/>
      <c r="Y152" s="103" t="s">
        <v>99</v>
      </c>
      <c r="Z152" s="107"/>
      <c r="AA152" s="105"/>
      <c r="AB152" s="105"/>
      <c r="AC152" s="105"/>
      <c r="AD152" s="105"/>
      <c r="AE152" s="136" t="s">
        <v>99</v>
      </c>
      <c r="AF152" s="108" t="s">
        <v>96</v>
      </c>
      <c r="AG152" s="105"/>
      <c r="AH152" s="105"/>
      <c r="AI152" s="105"/>
      <c r="AJ152" s="105"/>
      <c r="AK152" s="103" t="s">
        <v>97</v>
      </c>
      <c r="AL152" s="105"/>
      <c r="AM152" s="105"/>
      <c r="AN152" s="103" t="s">
        <v>97</v>
      </c>
      <c r="AO152" s="103" t="s">
        <v>97</v>
      </c>
      <c r="AP152" s="105"/>
      <c r="AQ152" s="136" t="s">
        <v>98</v>
      </c>
      <c r="AR152" s="107"/>
      <c r="AS152" s="105"/>
      <c r="AT152" s="105"/>
      <c r="AU152" s="109" t="s">
        <v>96</v>
      </c>
      <c r="AV152" s="105"/>
      <c r="AW152" s="105"/>
      <c r="AX152" s="105"/>
      <c r="AY152" s="105"/>
      <c r="AZ152" s="105"/>
      <c r="BA152" s="105"/>
      <c r="BB152" s="105"/>
      <c r="BC152" s="106"/>
      <c r="BD152" s="105"/>
      <c r="BE152" s="105"/>
      <c r="BF152" s="105"/>
      <c r="BG152" s="105"/>
      <c r="BH152" s="102"/>
      <c r="BI152" s="102"/>
      <c r="BJ152" s="102"/>
      <c r="BK152" s="102"/>
      <c r="BL152" s="102"/>
      <c r="BM152" s="102"/>
      <c r="BN152" s="102"/>
      <c r="BO152" s="102"/>
      <c r="BP152" s="102"/>
      <c r="BQ152" s="102"/>
      <c r="BR152" s="102"/>
      <c r="BS152" s="102"/>
      <c r="BT152" s="102"/>
      <c r="BU152" s="102"/>
      <c r="BV152" s="102"/>
      <c r="BW152" s="102"/>
      <c r="BX152" s="102"/>
      <c r="BY152" s="102"/>
      <c r="BZ152" s="102"/>
      <c r="CA152" s="102"/>
      <c r="CB152" s="102"/>
      <c r="CC152" s="102"/>
      <c r="CD152" s="102"/>
      <c r="CE152" s="102"/>
      <c r="CF152" s="102"/>
      <c r="CG152" s="102"/>
      <c r="CH152" s="102"/>
      <c r="CI152" s="102"/>
      <c r="CJ152" s="102"/>
      <c r="CK152" s="102"/>
      <c r="CL152" s="102"/>
      <c r="CM152" s="102"/>
      <c r="CN152" s="102"/>
      <c r="CO152" s="102"/>
      <c r="CP152" s="102"/>
      <c r="CQ152" s="102"/>
      <c r="CR152" s="102"/>
      <c r="CS152" s="102"/>
      <c r="CT152" s="102"/>
      <c r="CU152" s="102"/>
      <c r="CV152" s="102"/>
      <c r="CW152" s="102"/>
      <c r="CX152" s="102"/>
      <c r="CY152" s="102"/>
      <c r="CZ152" s="102"/>
      <c r="DA152" s="102"/>
      <c r="DB152" s="102"/>
      <c r="DC152" s="102"/>
      <c r="DD152" s="102"/>
      <c r="DE152" s="102"/>
      <c r="DF152" s="102"/>
      <c r="DG152" s="102"/>
      <c r="DH152" s="102"/>
      <c r="DI152" s="102"/>
      <c r="DJ152" s="102"/>
      <c r="DK152" s="102"/>
      <c r="DL152" s="102"/>
      <c r="DM152" s="102"/>
      <c r="DN152" s="102"/>
      <c r="DO152" s="102"/>
      <c r="DP152" s="102"/>
      <c r="DQ152" s="102"/>
      <c r="DR152" s="102"/>
      <c r="DS152" s="102"/>
      <c r="DT152" s="102"/>
      <c r="DU152" s="102"/>
      <c r="DV152" s="102"/>
      <c r="DW152" s="102"/>
      <c r="DX152" s="102"/>
      <c r="DY152" s="102"/>
      <c r="DZ152" s="102"/>
      <c r="EA152" s="102"/>
      <c r="EB152" s="102"/>
      <c r="EC152" s="102"/>
      <c r="ED152" s="102"/>
      <c r="EE152" s="102"/>
      <c r="EF152" s="102"/>
      <c r="EG152" s="102"/>
      <c r="EH152" s="102"/>
      <c r="EI152" s="102"/>
      <c r="EJ152" s="102"/>
      <c r="EK152" s="102"/>
      <c r="EL152" s="102"/>
      <c r="EM152" s="102"/>
      <c r="EN152" s="102"/>
    </row>
    <row r="153">
      <c r="A153" s="110" t="s">
        <v>256</v>
      </c>
      <c r="B153" s="112"/>
      <c r="C153" s="112"/>
      <c r="D153" s="112"/>
      <c r="E153" s="112"/>
      <c r="F153" s="110" t="s">
        <v>98</v>
      </c>
      <c r="G153" s="113"/>
      <c r="H153" s="114"/>
      <c r="I153" s="116"/>
      <c r="J153" s="116"/>
      <c r="K153" s="116"/>
      <c r="L153" s="115" t="s">
        <v>96</v>
      </c>
      <c r="M153" s="116"/>
      <c r="N153" s="116"/>
      <c r="O153" s="116"/>
      <c r="P153" s="115" t="s">
        <v>99</v>
      </c>
      <c r="Q153" s="116"/>
      <c r="R153" s="116"/>
      <c r="S153" s="143" t="s">
        <v>97</v>
      </c>
      <c r="T153" s="118"/>
      <c r="U153" s="120"/>
      <c r="V153" s="120"/>
      <c r="W153" s="120"/>
      <c r="X153" s="120"/>
      <c r="Y153" s="121" t="s">
        <v>99</v>
      </c>
      <c r="Z153" s="118"/>
      <c r="AA153" s="120"/>
      <c r="AB153" s="120"/>
      <c r="AC153" s="120"/>
      <c r="AD153" s="120"/>
      <c r="AE153" s="140" t="s">
        <v>99</v>
      </c>
      <c r="AF153" s="134" t="s">
        <v>96</v>
      </c>
      <c r="AG153" s="124"/>
      <c r="AH153" s="124"/>
      <c r="AI153" s="124"/>
      <c r="AJ153" s="124"/>
      <c r="AK153" s="125" t="s">
        <v>97</v>
      </c>
      <c r="AL153" s="124"/>
      <c r="AM153" s="124"/>
      <c r="AN153" s="125" t="s">
        <v>97</v>
      </c>
      <c r="AO153" s="125" t="s">
        <v>97</v>
      </c>
      <c r="AP153" s="125" t="s">
        <v>97</v>
      </c>
      <c r="AQ153" s="133" t="s">
        <v>97</v>
      </c>
      <c r="AR153" s="127"/>
      <c r="AS153" s="128" t="s">
        <v>97</v>
      </c>
      <c r="AT153" s="129"/>
      <c r="AU153" s="144" t="s">
        <v>96</v>
      </c>
      <c r="AV153" s="129"/>
      <c r="AW153" s="129"/>
      <c r="AX153" s="129"/>
      <c r="AY153" s="129"/>
      <c r="AZ153" s="129"/>
      <c r="BA153" s="129"/>
      <c r="BB153" s="129"/>
      <c r="BC153" s="130"/>
      <c r="BD153" s="129"/>
      <c r="BE153" s="129"/>
      <c r="BF153" s="129"/>
      <c r="BG153" s="129"/>
      <c r="BH153" s="102"/>
      <c r="BI153" s="102"/>
      <c r="BJ153" s="102"/>
      <c r="BK153" s="102"/>
      <c r="BL153" s="102"/>
      <c r="BM153" s="102"/>
      <c r="BN153" s="102"/>
      <c r="BO153" s="102"/>
      <c r="BP153" s="102"/>
      <c r="BQ153" s="102"/>
      <c r="BR153" s="102"/>
      <c r="BS153" s="102"/>
      <c r="BT153" s="102"/>
      <c r="BU153" s="102"/>
      <c r="BV153" s="102"/>
      <c r="BW153" s="102"/>
      <c r="BX153" s="102"/>
      <c r="BY153" s="102"/>
      <c r="BZ153" s="102"/>
      <c r="CA153" s="102"/>
      <c r="CB153" s="102"/>
      <c r="CC153" s="102"/>
      <c r="CD153" s="102"/>
      <c r="CE153" s="102"/>
      <c r="CF153" s="102"/>
      <c r="CG153" s="102"/>
      <c r="CH153" s="102"/>
      <c r="CI153" s="102"/>
      <c r="CJ153" s="102"/>
      <c r="CK153" s="102"/>
      <c r="CL153" s="102"/>
      <c r="CM153" s="102"/>
      <c r="CN153" s="102"/>
      <c r="CO153" s="102"/>
      <c r="CP153" s="102"/>
      <c r="CQ153" s="102"/>
      <c r="CR153" s="102"/>
      <c r="CS153" s="102"/>
      <c r="CT153" s="102"/>
      <c r="CU153" s="102"/>
      <c r="CV153" s="102"/>
      <c r="CW153" s="102"/>
      <c r="CX153" s="102"/>
      <c r="CY153" s="102"/>
      <c r="CZ153" s="102"/>
      <c r="DA153" s="102"/>
      <c r="DB153" s="102"/>
      <c r="DC153" s="102"/>
      <c r="DD153" s="102"/>
      <c r="DE153" s="102"/>
      <c r="DF153" s="102"/>
      <c r="DG153" s="102"/>
      <c r="DH153" s="102"/>
      <c r="DI153" s="102"/>
      <c r="DJ153" s="102"/>
      <c r="DK153" s="102"/>
      <c r="DL153" s="102"/>
      <c r="DM153" s="102"/>
      <c r="DN153" s="102"/>
      <c r="DO153" s="102"/>
      <c r="DP153" s="102"/>
      <c r="DQ153" s="102"/>
      <c r="DR153" s="102"/>
      <c r="DS153" s="102"/>
      <c r="DT153" s="102"/>
      <c r="DU153" s="102"/>
      <c r="DV153" s="102"/>
      <c r="DW153" s="102"/>
      <c r="DX153" s="102"/>
      <c r="DY153" s="102"/>
      <c r="DZ153" s="102"/>
      <c r="EA153" s="102"/>
      <c r="EB153" s="102"/>
      <c r="EC153" s="102"/>
      <c r="ED153" s="102"/>
      <c r="EE153" s="102"/>
      <c r="EF153" s="102"/>
      <c r="EG153" s="102"/>
      <c r="EH153" s="102"/>
      <c r="EI153" s="102"/>
      <c r="EJ153" s="102"/>
      <c r="EK153" s="102"/>
      <c r="EL153" s="102"/>
      <c r="EM153" s="102"/>
      <c r="EN153" s="102"/>
    </row>
    <row r="154">
      <c r="A154" s="103" t="s">
        <v>257</v>
      </c>
      <c r="B154" s="103" t="s">
        <v>96</v>
      </c>
      <c r="C154" s="103" t="s">
        <v>98</v>
      </c>
      <c r="D154" s="105"/>
      <c r="E154" s="105"/>
      <c r="F154" s="103" t="s">
        <v>98</v>
      </c>
      <c r="G154" s="106"/>
      <c r="H154" s="107"/>
      <c r="I154" s="105"/>
      <c r="J154" s="105"/>
      <c r="K154" s="105"/>
      <c r="L154" s="103" t="s">
        <v>96</v>
      </c>
      <c r="M154" s="105"/>
      <c r="N154" s="105"/>
      <c r="O154" s="105"/>
      <c r="P154" s="103" t="s">
        <v>99</v>
      </c>
      <c r="Q154" s="105"/>
      <c r="R154" s="105"/>
      <c r="S154" s="136" t="s">
        <v>96</v>
      </c>
      <c r="T154" s="107"/>
      <c r="U154" s="105"/>
      <c r="V154" s="105"/>
      <c r="W154" s="105"/>
      <c r="X154" s="105"/>
      <c r="Y154" s="103" t="s">
        <v>99</v>
      </c>
      <c r="Z154" s="107"/>
      <c r="AA154" s="105"/>
      <c r="AB154" s="105"/>
      <c r="AC154" s="105"/>
      <c r="AD154" s="105"/>
      <c r="AE154" s="136" t="s">
        <v>99</v>
      </c>
      <c r="AF154" s="108" t="s">
        <v>97</v>
      </c>
      <c r="AG154" s="105"/>
      <c r="AH154" s="105"/>
      <c r="AI154" s="105"/>
      <c r="AJ154" s="105"/>
      <c r="AK154" s="103" t="s">
        <v>97</v>
      </c>
      <c r="AL154" s="105"/>
      <c r="AM154" s="105"/>
      <c r="AN154" s="103" t="s">
        <v>98</v>
      </c>
      <c r="AO154" s="105"/>
      <c r="AP154" s="105"/>
      <c r="AQ154" s="136" t="s">
        <v>97</v>
      </c>
      <c r="AR154" s="107"/>
      <c r="AS154" s="103" t="s">
        <v>97</v>
      </c>
      <c r="AT154" s="105"/>
      <c r="AU154" s="109" t="s">
        <v>96</v>
      </c>
      <c r="AV154" s="105"/>
      <c r="AW154" s="105"/>
      <c r="AX154" s="105"/>
      <c r="AY154" s="105"/>
      <c r="AZ154" s="105"/>
      <c r="BA154" s="105"/>
      <c r="BB154" s="105"/>
      <c r="BC154" s="106"/>
      <c r="BD154" s="105"/>
      <c r="BE154" s="105"/>
      <c r="BF154" s="105"/>
      <c r="BG154" s="105"/>
      <c r="BH154" s="102"/>
      <c r="BI154" s="102"/>
      <c r="BJ154" s="102"/>
      <c r="BK154" s="102"/>
      <c r="BL154" s="102"/>
      <c r="BM154" s="102"/>
      <c r="BN154" s="102"/>
      <c r="BO154" s="102"/>
      <c r="BP154" s="102"/>
      <c r="BQ154" s="102"/>
      <c r="BR154" s="102"/>
      <c r="BS154" s="102"/>
      <c r="BT154" s="102"/>
      <c r="BU154" s="102"/>
      <c r="BV154" s="102"/>
      <c r="BW154" s="102"/>
      <c r="BX154" s="102"/>
      <c r="BY154" s="102"/>
      <c r="BZ154" s="102"/>
      <c r="CA154" s="102"/>
      <c r="CB154" s="102"/>
      <c r="CC154" s="102"/>
      <c r="CD154" s="102"/>
      <c r="CE154" s="102"/>
      <c r="CF154" s="102"/>
      <c r="CG154" s="102"/>
      <c r="CH154" s="102"/>
      <c r="CI154" s="102"/>
      <c r="CJ154" s="102"/>
      <c r="CK154" s="102"/>
      <c r="CL154" s="102"/>
      <c r="CM154" s="102"/>
      <c r="CN154" s="102"/>
      <c r="CO154" s="102"/>
      <c r="CP154" s="102"/>
      <c r="CQ154" s="102"/>
      <c r="CR154" s="102"/>
      <c r="CS154" s="102"/>
      <c r="CT154" s="102"/>
      <c r="CU154" s="102"/>
      <c r="CV154" s="102"/>
      <c r="CW154" s="102"/>
      <c r="CX154" s="102"/>
      <c r="CY154" s="102"/>
      <c r="CZ154" s="102"/>
      <c r="DA154" s="102"/>
      <c r="DB154" s="102"/>
      <c r="DC154" s="102"/>
      <c r="DD154" s="102"/>
      <c r="DE154" s="102"/>
      <c r="DF154" s="102"/>
      <c r="DG154" s="102"/>
      <c r="DH154" s="102"/>
      <c r="DI154" s="102"/>
      <c r="DJ154" s="102"/>
      <c r="DK154" s="102"/>
      <c r="DL154" s="102"/>
      <c r="DM154" s="102"/>
      <c r="DN154" s="102"/>
      <c r="DO154" s="102"/>
      <c r="DP154" s="102"/>
      <c r="DQ154" s="102"/>
      <c r="DR154" s="102"/>
      <c r="DS154" s="102"/>
      <c r="DT154" s="102"/>
      <c r="DU154" s="102"/>
      <c r="DV154" s="102"/>
      <c r="DW154" s="102"/>
      <c r="DX154" s="102"/>
      <c r="DY154" s="102"/>
      <c r="DZ154" s="102"/>
      <c r="EA154" s="102"/>
      <c r="EB154" s="102"/>
      <c r="EC154" s="102"/>
      <c r="ED154" s="102"/>
      <c r="EE154" s="102"/>
      <c r="EF154" s="102"/>
      <c r="EG154" s="102"/>
      <c r="EH154" s="102"/>
      <c r="EI154" s="102"/>
      <c r="EJ154" s="102"/>
      <c r="EK154" s="102"/>
      <c r="EL154" s="102"/>
      <c r="EM154" s="102"/>
      <c r="EN154" s="102"/>
    </row>
    <row r="155">
      <c r="A155" s="146"/>
      <c r="B155" s="146"/>
      <c r="C155" s="146"/>
      <c r="D155" s="146"/>
      <c r="E155" s="146"/>
      <c r="F155" s="146"/>
      <c r="G155" s="146"/>
      <c r="H155" s="146"/>
      <c r="I155" s="146"/>
      <c r="J155" s="146"/>
      <c r="K155" s="146"/>
      <c r="L155" s="146"/>
      <c r="M155" s="146"/>
      <c r="N155" s="146"/>
      <c r="O155" s="146"/>
      <c r="P155" s="146"/>
      <c r="Q155" s="146"/>
      <c r="R155" s="146"/>
      <c r="S155" s="146"/>
      <c r="T155" s="146"/>
      <c r="U155" s="146"/>
      <c r="V155" s="146"/>
      <c r="W155" s="146"/>
      <c r="X155" s="146"/>
      <c r="Y155" s="146"/>
      <c r="Z155" s="146"/>
      <c r="AA155" s="146"/>
      <c r="AB155" s="146"/>
      <c r="AC155" s="146"/>
      <c r="AD155" s="146"/>
      <c r="AE155" s="146"/>
      <c r="AF155" s="146"/>
      <c r="AG155" s="146"/>
      <c r="AH155" s="146"/>
      <c r="AI155" s="146"/>
      <c r="AJ155" s="146"/>
      <c r="AK155" s="146"/>
      <c r="AL155" s="146"/>
      <c r="AM155" s="146"/>
      <c r="AN155" s="146"/>
      <c r="AO155" s="146"/>
      <c r="AP155" s="146"/>
      <c r="AQ155" s="146"/>
      <c r="AR155" s="146"/>
      <c r="AS155" s="146"/>
      <c r="AT155" s="146"/>
      <c r="AU155" s="146"/>
      <c r="AV155" s="146"/>
      <c r="AW155" s="146"/>
      <c r="AX155" s="146"/>
      <c r="AY155" s="146"/>
      <c r="AZ155" s="146"/>
      <c r="BA155" s="146"/>
      <c r="BB155" s="146"/>
      <c r="BC155" s="146"/>
      <c r="BD155" s="146"/>
      <c r="BE155" s="146"/>
      <c r="BF155" s="146"/>
      <c r="BG155" s="146"/>
      <c r="BH155" s="146"/>
      <c r="BI155" s="146"/>
      <c r="BJ155" s="146"/>
      <c r="BK155" s="146"/>
      <c r="BL155" s="146"/>
      <c r="BM155" s="146"/>
      <c r="BN155" s="146"/>
      <c r="BO155" s="146"/>
      <c r="BP155" s="146"/>
      <c r="BQ155" s="146"/>
      <c r="BR155" s="146"/>
      <c r="BS155" s="146"/>
      <c r="BT155" s="146"/>
      <c r="BU155" s="146"/>
      <c r="BV155" s="146"/>
      <c r="BW155" s="146"/>
      <c r="BX155" s="146"/>
      <c r="BY155" s="146"/>
      <c r="BZ155" s="146"/>
      <c r="CA155" s="146"/>
      <c r="CB155" s="146"/>
      <c r="CC155" s="146"/>
      <c r="CD155" s="146"/>
      <c r="CE155" s="146"/>
      <c r="CF155" s="146"/>
      <c r="CG155" s="146"/>
      <c r="CH155" s="146"/>
      <c r="CI155" s="146"/>
      <c r="CJ155" s="146"/>
      <c r="CK155" s="146"/>
      <c r="CL155" s="146"/>
      <c r="CM155" s="146"/>
      <c r="CN155" s="146"/>
      <c r="CO155" s="146"/>
      <c r="CP155" s="146"/>
      <c r="CQ155" s="146"/>
      <c r="CR155" s="146"/>
      <c r="CS155" s="146"/>
      <c r="CT155" s="146"/>
      <c r="CU155" s="146"/>
      <c r="CV155" s="146"/>
      <c r="CW155" s="146"/>
      <c r="CX155" s="146"/>
      <c r="CY155" s="146"/>
      <c r="CZ155" s="146"/>
      <c r="DA155" s="146"/>
      <c r="DB155" s="146"/>
      <c r="DC155" s="146"/>
      <c r="DD155" s="146"/>
      <c r="DE155" s="146"/>
      <c r="DF155" s="146"/>
      <c r="DG155" s="146"/>
      <c r="DH155" s="146"/>
      <c r="DI155" s="146"/>
      <c r="DJ155" s="146"/>
      <c r="DK155" s="146"/>
      <c r="DL155" s="146"/>
      <c r="DM155" s="146"/>
      <c r="DN155" s="146"/>
      <c r="DO155" s="146"/>
      <c r="DP155" s="146"/>
      <c r="DQ155" s="146"/>
      <c r="DR155" s="146"/>
      <c r="DS155" s="146"/>
      <c r="DT155" s="146"/>
      <c r="DU155" s="146"/>
      <c r="DV155" s="146"/>
      <c r="DW155" s="146"/>
      <c r="DX155" s="146"/>
      <c r="DY155" s="146"/>
      <c r="DZ155" s="146"/>
      <c r="EA155" s="146"/>
      <c r="EB155" s="146"/>
      <c r="EC155" s="146"/>
      <c r="ED155" s="146"/>
      <c r="EE155" s="146"/>
      <c r="EF155" s="146"/>
      <c r="EG155" s="146"/>
      <c r="EH155" s="146"/>
      <c r="EI155" s="146"/>
      <c r="EJ155" s="146"/>
      <c r="EK155" s="146"/>
      <c r="EL155" s="146"/>
      <c r="EM155" s="146"/>
      <c r="EN155" s="146"/>
    </row>
    <row r="156">
      <c r="A156" s="146"/>
      <c r="B156" s="146"/>
      <c r="C156" s="146"/>
      <c r="D156" s="146"/>
      <c r="E156" s="146"/>
      <c r="F156" s="146"/>
      <c r="G156" s="146"/>
      <c r="H156" s="146"/>
      <c r="I156" s="146"/>
      <c r="J156" s="146"/>
      <c r="K156" s="146"/>
      <c r="L156" s="146"/>
      <c r="M156" s="146"/>
      <c r="N156" s="146"/>
      <c r="O156" s="146"/>
      <c r="P156" s="146"/>
      <c r="Q156" s="146"/>
      <c r="R156" s="146"/>
      <c r="S156" s="146"/>
      <c r="T156" s="146"/>
      <c r="U156" s="146"/>
      <c r="V156" s="146"/>
      <c r="W156" s="146"/>
      <c r="X156" s="146"/>
      <c r="Y156" s="146"/>
      <c r="Z156" s="146"/>
      <c r="AA156" s="146"/>
      <c r="AB156" s="146"/>
      <c r="AC156" s="146"/>
      <c r="AD156" s="146"/>
      <c r="AE156" s="146"/>
      <c r="AF156" s="146"/>
      <c r="AG156" s="146"/>
      <c r="AH156" s="146"/>
      <c r="AI156" s="146"/>
      <c r="AJ156" s="146"/>
      <c r="AK156" s="146"/>
      <c r="AL156" s="146"/>
      <c r="AM156" s="146"/>
      <c r="AN156" s="146"/>
      <c r="AO156" s="146"/>
      <c r="AP156" s="146"/>
      <c r="AQ156" s="146"/>
      <c r="AR156" s="146"/>
      <c r="AS156" s="146"/>
      <c r="AT156" s="146"/>
      <c r="AU156" s="146"/>
      <c r="AV156" s="146"/>
      <c r="AW156" s="146"/>
      <c r="AX156" s="146"/>
      <c r="AY156" s="146"/>
      <c r="AZ156" s="146"/>
      <c r="BA156" s="146"/>
      <c r="BB156" s="146"/>
      <c r="BC156" s="146"/>
      <c r="BD156" s="146"/>
      <c r="BE156" s="146"/>
      <c r="BF156" s="146"/>
      <c r="BG156" s="146"/>
      <c r="BH156" s="146"/>
      <c r="BI156" s="146"/>
      <c r="BJ156" s="146"/>
      <c r="BK156" s="146"/>
      <c r="BL156" s="146"/>
      <c r="BM156" s="146"/>
      <c r="BN156" s="146"/>
      <c r="BO156" s="146"/>
      <c r="BP156" s="146"/>
      <c r="BQ156" s="146"/>
      <c r="BR156" s="146"/>
      <c r="BS156" s="146"/>
      <c r="BT156" s="146"/>
      <c r="BU156" s="146"/>
      <c r="BV156" s="146"/>
      <c r="BW156" s="146"/>
      <c r="BX156" s="146"/>
      <c r="BY156" s="146"/>
      <c r="BZ156" s="146"/>
      <c r="CA156" s="146"/>
      <c r="CB156" s="146"/>
      <c r="CC156" s="146"/>
      <c r="CD156" s="146"/>
      <c r="CE156" s="146"/>
      <c r="CF156" s="146"/>
      <c r="CG156" s="146"/>
      <c r="CH156" s="146"/>
      <c r="CI156" s="146"/>
      <c r="CJ156" s="146"/>
      <c r="CK156" s="146"/>
      <c r="CL156" s="146"/>
      <c r="CM156" s="146"/>
      <c r="CN156" s="146"/>
      <c r="CO156" s="146"/>
      <c r="CP156" s="146"/>
      <c r="CQ156" s="146"/>
      <c r="CR156" s="146"/>
      <c r="CS156" s="146"/>
      <c r="CT156" s="146"/>
      <c r="CU156" s="146"/>
      <c r="CV156" s="146"/>
      <c r="CW156" s="146"/>
      <c r="CX156" s="146"/>
      <c r="CY156" s="146"/>
      <c r="CZ156" s="146"/>
      <c r="DA156" s="146"/>
      <c r="DB156" s="146"/>
      <c r="DC156" s="146"/>
      <c r="DD156" s="146"/>
      <c r="DE156" s="146"/>
      <c r="DF156" s="146"/>
      <c r="DG156" s="146"/>
      <c r="DH156" s="146"/>
      <c r="DI156" s="146"/>
      <c r="DJ156" s="146"/>
      <c r="DK156" s="146"/>
      <c r="DL156" s="146"/>
      <c r="DM156" s="146"/>
      <c r="DN156" s="146"/>
      <c r="DO156" s="146"/>
      <c r="DP156" s="146"/>
      <c r="DQ156" s="146"/>
      <c r="DR156" s="146"/>
      <c r="DS156" s="146"/>
      <c r="DT156" s="146"/>
      <c r="DU156" s="146"/>
      <c r="DV156" s="146"/>
      <c r="DW156" s="146"/>
      <c r="DX156" s="146"/>
      <c r="DY156" s="146"/>
      <c r="DZ156" s="146"/>
      <c r="EA156" s="146"/>
      <c r="EB156" s="146"/>
      <c r="EC156" s="146"/>
      <c r="ED156" s="146"/>
      <c r="EE156" s="146"/>
      <c r="EF156" s="146"/>
      <c r="EG156" s="146"/>
      <c r="EH156" s="146"/>
      <c r="EI156" s="146"/>
      <c r="EJ156" s="146"/>
      <c r="EK156" s="146"/>
      <c r="EL156" s="146"/>
      <c r="EM156" s="146"/>
      <c r="EN156" s="146"/>
    </row>
    <row r="157">
      <c r="A157" s="146"/>
      <c r="B157" s="146"/>
      <c r="C157" s="146"/>
      <c r="D157" s="146"/>
      <c r="E157" s="146"/>
      <c r="F157" s="146"/>
      <c r="G157" s="146"/>
      <c r="H157" s="146"/>
      <c r="I157" s="146"/>
      <c r="J157" s="146"/>
      <c r="K157" s="146"/>
      <c r="L157" s="146"/>
      <c r="M157" s="146"/>
      <c r="N157" s="146"/>
      <c r="O157" s="146"/>
      <c r="P157" s="146"/>
      <c r="Q157" s="146"/>
      <c r="R157" s="146"/>
      <c r="S157" s="146"/>
      <c r="T157" s="146"/>
      <c r="U157" s="146"/>
      <c r="V157" s="146"/>
      <c r="W157" s="146"/>
      <c r="X157" s="146"/>
      <c r="Y157" s="146"/>
      <c r="Z157" s="146"/>
      <c r="AA157" s="146"/>
      <c r="AB157" s="146"/>
      <c r="AC157" s="146"/>
      <c r="AD157" s="146"/>
      <c r="AE157" s="146"/>
      <c r="AF157" s="146"/>
      <c r="AG157" s="146"/>
      <c r="AH157" s="146"/>
      <c r="AI157" s="146"/>
      <c r="AJ157" s="146"/>
      <c r="AK157" s="146"/>
      <c r="AL157" s="146"/>
      <c r="AM157" s="146"/>
      <c r="AN157" s="146"/>
      <c r="AO157" s="146"/>
      <c r="AP157" s="146"/>
      <c r="AQ157" s="146"/>
      <c r="AR157" s="146"/>
      <c r="AS157" s="146"/>
      <c r="AT157" s="146"/>
      <c r="AU157" s="146"/>
      <c r="AV157" s="146"/>
      <c r="AW157" s="146"/>
      <c r="AX157" s="146"/>
      <c r="AY157" s="146"/>
      <c r="AZ157" s="146"/>
      <c r="BA157" s="146"/>
      <c r="BB157" s="146"/>
      <c r="BC157" s="146"/>
      <c r="BD157" s="146"/>
      <c r="BE157" s="146"/>
      <c r="BF157" s="146"/>
      <c r="BG157" s="146"/>
      <c r="BH157" s="146"/>
      <c r="BI157" s="146"/>
      <c r="BJ157" s="146"/>
      <c r="BK157" s="146"/>
      <c r="BL157" s="146"/>
      <c r="BM157" s="146"/>
      <c r="BN157" s="146"/>
      <c r="BO157" s="146"/>
      <c r="BP157" s="146"/>
      <c r="BQ157" s="146"/>
      <c r="BR157" s="146"/>
      <c r="BS157" s="146"/>
      <c r="BT157" s="146"/>
      <c r="BU157" s="146"/>
      <c r="BV157" s="146"/>
      <c r="BW157" s="146"/>
      <c r="BX157" s="146"/>
      <c r="BY157" s="146"/>
      <c r="BZ157" s="146"/>
      <c r="CA157" s="146"/>
      <c r="CB157" s="146"/>
      <c r="CC157" s="146"/>
      <c r="CD157" s="146"/>
      <c r="CE157" s="146"/>
      <c r="CF157" s="146"/>
      <c r="CG157" s="146"/>
      <c r="CH157" s="146"/>
      <c r="CI157" s="146"/>
      <c r="CJ157" s="146"/>
      <c r="CK157" s="146"/>
      <c r="CL157" s="146"/>
      <c r="CM157" s="146"/>
      <c r="CN157" s="146"/>
      <c r="CO157" s="146"/>
      <c r="CP157" s="146"/>
      <c r="CQ157" s="146"/>
      <c r="CR157" s="146"/>
      <c r="CS157" s="146"/>
      <c r="CT157" s="146"/>
      <c r="CU157" s="146"/>
      <c r="CV157" s="146"/>
      <c r="CW157" s="146"/>
      <c r="CX157" s="146"/>
      <c r="CY157" s="146"/>
      <c r="CZ157" s="146"/>
      <c r="DA157" s="146"/>
      <c r="DB157" s="146"/>
      <c r="DC157" s="146"/>
      <c r="DD157" s="146"/>
      <c r="DE157" s="146"/>
      <c r="DF157" s="146"/>
      <c r="DG157" s="146"/>
      <c r="DH157" s="146"/>
      <c r="DI157" s="146"/>
      <c r="DJ157" s="146"/>
      <c r="DK157" s="146"/>
      <c r="DL157" s="146"/>
      <c r="DM157" s="146"/>
      <c r="DN157" s="146"/>
      <c r="DO157" s="146"/>
      <c r="DP157" s="146"/>
      <c r="DQ157" s="146"/>
      <c r="DR157" s="146"/>
      <c r="DS157" s="146"/>
      <c r="DT157" s="146"/>
      <c r="DU157" s="146"/>
      <c r="DV157" s="146"/>
      <c r="DW157" s="146"/>
      <c r="DX157" s="146"/>
      <c r="DY157" s="146"/>
      <c r="DZ157" s="146"/>
      <c r="EA157" s="146"/>
      <c r="EB157" s="146"/>
      <c r="EC157" s="146"/>
      <c r="ED157" s="146"/>
      <c r="EE157" s="146"/>
      <c r="EF157" s="146"/>
      <c r="EG157" s="146"/>
      <c r="EH157" s="146"/>
      <c r="EI157" s="146"/>
      <c r="EJ157" s="146"/>
      <c r="EK157" s="146"/>
      <c r="EL157" s="146"/>
      <c r="EM157" s="146"/>
      <c r="EN157" s="146"/>
    </row>
    <row r="158">
      <c r="A158" s="146"/>
      <c r="B158" s="146"/>
      <c r="C158" s="146"/>
      <c r="D158" s="146"/>
      <c r="E158" s="146"/>
      <c r="F158" s="146"/>
      <c r="G158" s="146"/>
      <c r="H158" s="146"/>
      <c r="I158" s="146"/>
      <c r="J158" s="146"/>
      <c r="K158" s="146"/>
      <c r="L158" s="146"/>
      <c r="M158" s="146"/>
      <c r="N158" s="146"/>
      <c r="O158" s="146"/>
      <c r="P158" s="146"/>
      <c r="Q158" s="146"/>
      <c r="R158" s="146"/>
      <c r="S158" s="146"/>
      <c r="T158" s="146"/>
      <c r="U158" s="146"/>
      <c r="V158" s="146"/>
      <c r="W158" s="146"/>
      <c r="X158" s="146"/>
      <c r="Y158" s="146"/>
      <c r="Z158" s="146"/>
      <c r="AA158" s="146"/>
      <c r="AB158" s="146"/>
      <c r="AC158" s="146"/>
      <c r="AD158" s="146"/>
      <c r="AE158" s="146"/>
      <c r="AF158" s="146"/>
      <c r="AG158" s="146"/>
      <c r="AH158" s="146"/>
      <c r="AI158" s="146"/>
      <c r="AJ158" s="146"/>
      <c r="AK158" s="146"/>
      <c r="AL158" s="146"/>
      <c r="AM158" s="146"/>
      <c r="AN158" s="146"/>
      <c r="AO158" s="146"/>
      <c r="AP158" s="146"/>
      <c r="AQ158" s="146"/>
      <c r="AR158" s="146"/>
      <c r="AS158" s="146"/>
      <c r="AT158" s="146"/>
      <c r="AU158" s="146"/>
      <c r="AV158" s="146"/>
      <c r="AW158" s="146"/>
      <c r="AX158" s="146"/>
      <c r="AY158" s="146"/>
      <c r="AZ158" s="146"/>
      <c r="BA158" s="146"/>
      <c r="BB158" s="146"/>
      <c r="BC158" s="146"/>
      <c r="BD158" s="146"/>
      <c r="BE158" s="146"/>
      <c r="BF158" s="146"/>
      <c r="BG158" s="146"/>
      <c r="BH158" s="146"/>
      <c r="BI158" s="146"/>
      <c r="BJ158" s="146"/>
      <c r="BK158" s="146"/>
      <c r="BL158" s="146"/>
      <c r="BM158" s="146"/>
      <c r="BN158" s="146"/>
      <c r="BO158" s="146"/>
      <c r="BP158" s="146"/>
      <c r="BQ158" s="146"/>
      <c r="BR158" s="146"/>
      <c r="BS158" s="146"/>
      <c r="BT158" s="146"/>
      <c r="BU158" s="146"/>
      <c r="BV158" s="146"/>
      <c r="BW158" s="146"/>
      <c r="BX158" s="146"/>
      <c r="BY158" s="146"/>
      <c r="BZ158" s="146"/>
      <c r="CA158" s="146"/>
      <c r="CB158" s="146"/>
      <c r="CC158" s="146"/>
      <c r="CD158" s="146"/>
      <c r="CE158" s="146"/>
      <c r="CF158" s="146"/>
      <c r="CG158" s="146"/>
      <c r="CH158" s="146"/>
      <c r="CI158" s="146"/>
      <c r="CJ158" s="146"/>
      <c r="CK158" s="146"/>
      <c r="CL158" s="146"/>
      <c r="CM158" s="146"/>
      <c r="CN158" s="146"/>
      <c r="CO158" s="146"/>
      <c r="CP158" s="146"/>
      <c r="CQ158" s="146"/>
      <c r="CR158" s="146"/>
      <c r="CS158" s="146"/>
      <c r="CT158" s="146"/>
      <c r="CU158" s="146"/>
      <c r="CV158" s="146"/>
      <c r="CW158" s="146"/>
      <c r="CX158" s="146"/>
      <c r="CY158" s="146"/>
      <c r="CZ158" s="146"/>
      <c r="DA158" s="146"/>
      <c r="DB158" s="146"/>
      <c r="DC158" s="146"/>
      <c r="DD158" s="146"/>
      <c r="DE158" s="146"/>
      <c r="DF158" s="146"/>
      <c r="DG158" s="146"/>
      <c r="DH158" s="146"/>
      <c r="DI158" s="146"/>
      <c r="DJ158" s="146"/>
      <c r="DK158" s="146"/>
      <c r="DL158" s="146"/>
      <c r="DM158" s="146"/>
      <c r="DN158" s="146"/>
      <c r="DO158" s="146"/>
      <c r="DP158" s="146"/>
      <c r="DQ158" s="146"/>
      <c r="DR158" s="146"/>
      <c r="DS158" s="146"/>
      <c r="DT158" s="146"/>
      <c r="DU158" s="146"/>
      <c r="DV158" s="146"/>
      <c r="DW158" s="146"/>
      <c r="DX158" s="146"/>
      <c r="DY158" s="146"/>
      <c r="DZ158" s="146"/>
      <c r="EA158" s="146"/>
      <c r="EB158" s="146"/>
      <c r="EC158" s="146"/>
      <c r="ED158" s="146"/>
      <c r="EE158" s="146"/>
      <c r="EF158" s="146"/>
      <c r="EG158" s="146"/>
      <c r="EH158" s="146"/>
      <c r="EI158" s="146"/>
      <c r="EJ158" s="146"/>
      <c r="EK158" s="146"/>
      <c r="EL158" s="146"/>
      <c r="EM158" s="146"/>
      <c r="EN158" s="146"/>
    </row>
    <row r="159">
      <c r="A159" s="146"/>
      <c r="B159" s="146"/>
      <c r="C159" s="146"/>
      <c r="D159" s="146"/>
      <c r="E159" s="146"/>
      <c r="F159" s="146"/>
      <c r="G159" s="146"/>
      <c r="H159" s="146"/>
      <c r="I159" s="146"/>
      <c r="J159" s="146"/>
      <c r="K159" s="146"/>
      <c r="L159" s="146"/>
      <c r="M159" s="146"/>
      <c r="N159" s="146"/>
      <c r="O159" s="146"/>
      <c r="P159" s="146"/>
      <c r="Q159" s="146"/>
      <c r="R159" s="146"/>
      <c r="S159" s="146"/>
      <c r="T159" s="146"/>
      <c r="U159" s="146"/>
      <c r="V159" s="146"/>
      <c r="W159" s="146"/>
      <c r="X159" s="146"/>
      <c r="Y159" s="146"/>
      <c r="Z159" s="146"/>
      <c r="AA159" s="146"/>
      <c r="AB159" s="146"/>
      <c r="AC159" s="146"/>
      <c r="AD159" s="146"/>
      <c r="AE159" s="146"/>
      <c r="AF159" s="146"/>
      <c r="AG159" s="146"/>
      <c r="AH159" s="146"/>
      <c r="AI159" s="146"/>
      <c r="AJ159" s="146"/>
      <c r="AK159" s="146"/>
      <c r="AL159" s="146"/>
      <c r="AM159" s="146"/>
      <c r="AN159" s="146"/>
      <c r="AO159" s="146"/>
      <c r="AP159" s="146"/>
      <c r="AQ159" s="146"/>
      <c r="AR159" s="146"/>
      <c r="AS159" s="146"/>
      <c r="AT159" s="146"/>
      <c r="AU159" s="146"/>
      <c r="AV159" s="146"/>
      <c r="AW159" s="146"/>
      <c r="AX159" s="146"/>
      <c r="AY159" s="146"/>
      <c r="AZ159" s="146"/>
      <c r="BA159" s="146"/>
      <c r="BB159" s="146"/>
      <c r="BC159" s="146"/>
      <c r="BD159" s="146"/>
      <c r="BE159" s="146"/>
      <c r="BF159" s="146"/>
      <c r="BG159" s="146"/>
      <c r="BH159" s="146"/>
      <c r="BI159" s="146"/>
      <c r="BJ159" s="146"/>
      <c r="BK159" s="146"/>
      <c r="BL159" s="146"/>
      <c r="BM159" s="146"/>
      <c r="BN159" s="146"/>
      <c r="BO159" s="146"/>
      <c r="BP159" s="146"/>
      <c r="BQ159" s="146"/>
      <c r="BR159" s="146"/>
      <c r="BS159" s="146"/>
      <c r="BT159" s="146"/>
      <c r="BU159" s="146"/>
      <c r="BV159" s="146"/>
      <c r="BW159" s="146"/>
      <c r="BX159" s="146"/>
      <c r="BY159" s="146"/>
      <c r="BZ159" s="146"/>
      <c r="CA159" s="146"/>
      <c r="CB159" s="146"/>
      <c r="CC159" s="146"/>
      <c r="CD159" s="146"/>
      <c r="CE159" s="146"/>
      <c r="CF159" s="146"/>
      <c r="CG159" s="146"/>
      <c r="CH159" s="146"/>
      <c r="CI159" s="146"/>
      <c r="CJ159" s="146"/>
      <c r="CK159" s="146"/>
      <c r="CL159" s="146"/>
      <c r="CM159" s="146"/>
      <c r="CN159" s="146"/>
      <c r="CO159" s="146"/>
      <c r="CP159" s="146"/>
      <c r="CQ159" s="146"/>
      <c r="CR159" s="146"/>
      <c r="CS159" s="146"/>
      <c r="CT159" s="146"/>
      <c r="CU159" s="146"/>
      <c r="CV159" s="146"/>
      <c r="CW159" s="146"/>
      <c r="CX159" s="146"/>
      <c r="CY159" s="146"/>
      <c r="CZ159" s="146"/>
      <c r="DA159" s="146"/>
      <c r="DB159" s="146"/>
      <c r="DC159" s="146"/>
      <c r="DD159" s="146"/>
      <c r="DE159" s="146"/>
      <c r="DF159" s="146"/>
      <c r="DG159" s="146"/>
      <c r="DH159" s="146"/>
      <c r="DI159" s="146"/>
      <c r="DJ159" s="146"/>
      <c r="DK159" s="146"/>
      <c r="DL159" s="146"/>
      <c r="DM159" s="146"/>
      <c r="DN159" s="146"/>
      <c r="DO159" s="146"/>
      <c r="DP159" s="146"/>
      <c r="DQ159" s="146"/>
      <c r="DR159" s="146"/>
      <c r="DS159" s="146"/>
      <c r="DT159" s="146"/>
      <c r="DU159" s="146"/>
      <c r="DV159" s="146"/>
      <c r="DW159" s="146"/>
      <c r="DX159" s="146"/>
      <c r="DY159" s="146"/>
      <c r="DZ159" s="146"/>
      <c r="EA159" s="146"/>
      <c r="EB159" s="146"/>
      <c r="EC159" s="146"/>
      <c r="ED159" s="146"/>
      <c r="EE159" s="146"/>
      <c r="EF159" s="146"/>
      <c r="EG159" s="146"/>
      <c r="EH159" s="146"/>
      <c r="EI159" s="146"/>
      <c r="EJ159" s="146"/>
      <c r="EK159" s="146"/>
      <c r="EL159" s="146"/>
      <c r="EM159" s="146"/>
      <c r="EN159" s="146"/>
    </row>
    <row r="160">
      <c r="A160" s="146"/>
      <c r="B160" s="146"/>
      <c r="C160" s="146"/>
      <c r="D160" s="146"/>
      <c r="E160" s="146"/>
      <c r="F160" s="146"/>
      <c r="G160" s="146"/>
      <c r="H160" s="146"/>
      <c r="I160" s="146"/>
      <c r="J160" s="146"/>
      <c r="K160" s="146"/>
      <c r="L160" s="146"/>
      <c r="M160" s="146"/>
      <c r="N160" s="146"/>
      <c r="O160" s="146"/>
      <c r="P160" s="146"/>
      <c r="Q160" s="146"/>
      <c r="R160" s="146"/>
      <c r="S160" s="146"/>
      <c r="T160" s="146"/>
      <c r="U160" s="146"/>
      <c r="V160" s="146"/>
      <c r="W160" s="146"/>
      <c r="X160" s="146"/>
      <c r="Y160" s="146"/>
      <c r="Z160" s="146"/>
      <c r="AA160" s="146"/>
      <c r="AB160" s="146"/>
      <c r="AC160" s="146"/>
      <c r="AD160" s="146"/>
      <c r="AE160" s="146"/>
      <c r="AF160" s="146"/>
      <c r="AG160" s="146"/>
      <c r="AH160" s="146"/>
      <c r="AI160" s="146"/>
      <c r="AJ160" s="146"/>
      <c r="AK160" s="146"/>
      <c r="AL160" s="146"/>
      <c r="AM160" s="146"/>
      <c r="AN160" s="146"/>
      <c r="AO160" s="146"/>
      <c r="AP160" s="146"/>
      <c r="AQ160" s="146"/>
      <c r="AR160" s="146"/>
      <c r="AS160" s="146"/>
      <c r="AT160" s="146"/>
      <c r="AU160" s="146"/>
      <c r="AV160" s="146"/>
      <c r="AW160" s="146"/>
      <c r="AX160" s="146"/>
      <c r="AY160" s="146"/>
      <c r="AZ160" s="146"/>
      <c r="BA160" s="146"/>
      <c r="BB160" s="146"/>
      <c r="BC160" s="146"/>
      <c r="BD160" s="146"/>
      <c r="BE160" s="146"/>
      <c r="BF160" s="146"/>
      <c r="BG160" s="146"/>
      <c r="BH160" s="146"/>
      <c r="BI160" s="146"/>
      <c r="BJ160" s="146"/>
      <c r="BK160" s="146"/>
      <c r="BL160" s="146"/>
      <c r="BM160" s="146"/>
      <c r="BN160" s="146"/>
      <c r="BO160" s="146"/>
      <c r="BP160" s="146"/>
      <c r="BQ160" s="146"/>
      <c r="BR160" s="146"/>
      <c r="BS160" s="146"/>
      <c r="BT160" s="146"/>
      <c r="BU160" s="146"/>
      <c r="BV160" s="146"/>
      <c r="BW160" s="146"/>
      <c r="BX160" s="146"/>
      <c r="BY160" s="146"/>
      <c r="BZ160" s="146"/>
      <c r="CA160" s="146"/>
      <c r="CB160" s="146"/>
      <c r="CC160" s="146"/>
      <c r="CD160" s="146"/>
      <c r="CE160" s="146"/>
      <c r="CF160" s="146"/>
      <c r="CG160" s="146"/>
      <c r="CH160" s="146"/>
      <c r="CI160" s="146"/>
      <c r="CJ160" s="146"/>
      <c r="CK160" s="146"/>
      <c r="CL160" s="146"/>
      <c r="CM160" s="146"/>
      <c r="CN160" s="146"/>
      <c r="CO160" s="146"/>
      <c r="CP160" s="146"/>
      <c r="CQ160" s="146"/>
      <c r="CR160" s="146"/>
      <c r="CS160" s="146"/>
      <c r="CT160" s="146"/>
      <c r="CU160" s="146"/>
      <c r="CV160" s="146"/>
      <c r="CW160" s="146"/>
      <c r="CX160" s="146"/>
      <c r="CY160" s="146"/>
      <c r="CZ160" s="146"/>
      <c r="DA160" s="146"/>
      <c r="DB160" s="146"/>
      <c r="DC160" s="146"/>
      <c r="DD160" s="146"/>
      <c r="DE160" s="146"/>
      <c r="DF160" s="146"/>
      <c r="DG160" s="146"/>
      <c r="DH160" s="146"/>
      <c r="DI160" s="146"/>
      <c r="DJ160" s="146"/>
      <c r="DK160" s="146"/>
      <c r="DL160" s="146"/>
      <c r="DM160" s="146"/>
      <c r="DN160" s="146"/>
      <c r="DO160" s="146"/>
      <c r="DP160" s="146"/>
      <c r="DQ160" s="146"/>
      <c r="DR160" s="146"/>
      <c r="DS160" s="146"/>
      <c r="DT160" s="146"/>
      <c r="DU160" s="146"/>
      <c r="DV160" s="146"/>
      <c r="DW160" s="146"/>
      <c r="DX160" s="146"/>
      <c r="DY160" s="146"/>
      <c r="DZ160" s="146"/>
      <c r="EA160" s="146"/>
      <c r="EB160" s="146"/>
      <c r="EC160" s="146"/>
      <c r="ED160" s="146"/>
      <c r="EE160" s="146"/>
      <c r="EF160" s="146"/>
      <c r="EG160" s="146"/>
      <c r="EH160" s="146"/>
      <c r="EI160" s="146"/>
      <c r="EJ160" s="146"/>
      <c r="EK160" s="146"/>
      <c r="EL160" s="146"/>
      <c r="EM160" s="146"/>
      <c r="EN160" s="146"/>
    </row>
  </sheetData>
  <autoFilter ref="$A$1:$EN$154">
    <sortState ref="A1:EN154">
      <sortCondition ref="A1:A154"/>
    </sortState>
  </autoFilter>
  <dataValidations>
    <dataValidation type="list" allowBlank="1" showErrorMessage="1" sqref="B2:BC106 B107:O107 Q107:BC107 B108:BC113 B114:O116 Q114:BC116 B117:BC154">
      <formula1>"CAUTION,NORMAL,ALERT,MISSING,Insufficient Sample,Oil changed"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sheetPr>
  <sheetViews>
    <sheetView showGridLines="0" workbookViewId="0"/>
  </sheetViews>
  <sheetFormatPr customHeight="1" defaultColWidth="14.43" defaultRowHeight="15.0"/>
  <cols>
    <col customWidth="1" min="1" max="1" width="20.57"/>
    <col customWidth="1" hidden="1" min="2" max="2" width="42.86"/>
    <col customWidth="1" min="3" max="3" width="20.43"/>
    <col customWidth="1" min="5" max="5" width="19.29"/>
    <col customWidth="1" min="6" max="6" width="8.43"/>
    <col customWidth="1" min="7" max="7" width="12.71"/>
    <col customWidth="1" min="8" max="9" width="13.0"/>
    <col customWidth="1" min="10" max="11" width="18.43"/>
    <col customWidth="1" min="13" max="13" width="26.43"/>
  </cols>
  <sheetData>
    <row r="1">
      <c r="A1" s="162" t="s">
        <v>313</v>
      </c>
      <c r="B1" s="2"/>
      <c r="C1" s="2"/>
      <c r="D1" s="2"/>
      <c r="E1" s="2"/>
      <c r="F1" s="2"/>
      <c r="G1" s="2"/>
      <c r="H1" s="2"/>
      <c r="I1" s="2"/>
      <c r="J1" s="2"/>
      <c r="K1" s="2"/>
      <c r="L1" s="3"/>
      <c r="N1" s="146"/>
      <c r="O1" s="146"/>
      <c r="P1" s="146"/>
      <c r="Q1" s="146"/>
      <c r="R1" s="146"/>
      <c r="S1" s="146"/>
      <c r="T1" s="146"/>
      <c r="U1" s="146"/>
      <c r="V1" s="146"/>
      <c r="W1" s="146"/>
      <c r="X1" s="146"/>
      <c r="Y1" s="146"/>
      <c r="Z1" s="146"/>
      <c r="AA1" s="146"/>
      <c r="AB1" s="146"/>
      <c r="AC1" s="146"/>
      <c r="AD1" s="146"/>
      <c r="AE1" s="146"/>
      <c r="AF1" s="146"/>
      <c r="AG1" s="146"/>
      <c r="AH1" s="146"/>
      <c r="AI1" s="146"/>
      <c r="AJ1" s="146"/>
      <c r="AK1" s="146"/>
      <c r="AL1" s="146"/>
      <c r="AM1" s="146"/>
      <c r="AN1" s="146"/>
      <c r="AO1" s="146"/>
      <c r="AP1" s="146"/>
      <c r="AQ1" s="146"/>
      <c r="AR1" s="146"/>
      <c r="AS1" s="146"/>
      <c r="AT1" s="146"/>
      <c r="AU1" s="146"/>
      <c r="AV1" s="146"/>
      <c r="AW1" s="146"/>
      <c r="AX1" s="146"/>
      <c r="AY1" s="146"/>
      <c r="AZ1" s="146"/>
      <c r="BA1" s="146"/>
      <c r="BB1" s="146"/>
      <c r="BC1" s="146"/>
      <c r="BD1" s="146"/>
      <c r="BE1" s="146"/>
      <c r="BF1" s="146"/>
      <c r="BG1" s="146"/>
      <c r="BH1" s="146"/>
      <c r="BI1" s="146"/>
      <c r="BJ1" s="146"/>
      <c r="BK1" s="146"/>
      <c r="BL1" s="146"/>
      <c r="BM1" s="146"/>
      <c r="BN1" s="146"/>
      <c r="BO1" s="146"/>
      <c r="BP1" s="146"/>
      <c r="BQ1" s="146"/>
      <c r="BR1" s="146"/>
      <c r="BS1" s="146"/>
      <c r="BT1" s="146"/>
      <c r="BU1" s="146"/>
      <c r="BV1" s="146"/>
      <c r="BW1" s="146"/>
      <c r="BX1" s="146"/>
      <c r="BY1" s="146"/>
      <c r="BZ1" s="146"/>
      <c r="CA1" s="146"/>
      <c r="CB1" s="146"/>
      <c r="CC1" s="146"/>
      <c r="CD1" s="146"/>
      <c r="CE1" s="146"/>
      <c r="CF1" s="146"/>
      <c r="CG1" s="146"/>
      <c r="CH1" s="146"/>
      <c r="CI1" s="146"/>
      <c r="CJ1" s="146"/>
      <c r="CK1" s="146"/>
      <c r="CL1" s="146"/>
      <c r="CM1" s="146"/>
      <c r="CN1" s="146"/>
      <c r="CO1" s="146"/>
      <c r="CP1" s="146"/>
      <c r="CQ1" s="146"/>
      <c r="CR1" s="146"/>
      <c r="CS1" s="146"/>
      <c r="CT1" s="146"/>
      <c r="CU1" s="146"/>
      <c r="CV1" s="146"/>
      <c r="CW1" s="146"/>
      <c r="CX1" s="146"/>
      <c r="CY1" s="146"/>
      <c r="CZ1" s="146"/>
      <c r="DA1" s="146"/>
      <c r="DB1" s="146"/>
      <c r="DC1" s="146"/>
      <c r="DD1" s="146"/>
      <c r="DE1" s="146"/>
      <c r="DF1" s="146"/>
      <c r="DG1" s="146"/>
      <c r="DH1" s="146"/>
      <c r="DI1" s="146"/>
      <c r="DJ1" s="146"/>
      <c r="DK1" s="146"/>
      <c r="DL1" s="146"/>
      <c r="DM1" s="146"/>
      <c r="DN1" s="146"/>
      <c r="DO1" s="146"/>
      <c r="DP1" s="146"/>
      <c r="DQ1" s="146"/>
      <c r="DR1" s="146"/>
      <c r="DS1" s="146"/>
      <c r="DT1" s="146"/>
      <c r="DU1" s="146"/>
      <c r="DV1" s="146"/>
      <c r="DW1" s="146"/>
      <c r="DX1" s="146"/>
      <c r="DY1" s="146"/>
      <c r="DZ1" s="146"/>
      <c r="EA1" s="146"/>
      <c r="EB1" s="146"/>
      <c r="EC1" s="146"/>
      <c r="ED1" s="146"/>
      <c r="EE1" s="146"/>
      <c r="EF1" s="146"/>
      <c r="EG1" s="146"/>
      <c r="EH1" s="146"/>
      <c r="EI1" s="146"/>
      <c r="EJ1" s="146"/>
      <c r="EK1" s="146"/>
      <c r="EL1" s="146"/>
      <c r="EM1" s="146"/>
      <c r="EN1" s="146"/>
      <c r="EO1" s="146"/>
      <c r="EP1" s="146"/>
      <c r="EQ1" s="146"/>
    </row>
    <row r="2">
      <c r="A2" s="163" t="s">
        <v>314</v>
      </c>
      <c r="B2" s="31"/>
      <c r="C2" s="31"/>
      <c r="D2" s="31"/>
      <c r="E2" s="31"/>
      <c r="F2" s="31"/>
      <c r="G2" s="31"/>
      <c r="H2" s="31"/>
      <c r="I2" s="31"/>
      <c r="J2" s="31"/>
      <c r="K2" s="31"/>
      <c r="L2" s="32"/>
      <c r="N2" s="146"/>
      <c r="O2" s="146"/>
      <c r="P2" s="146"/>
      <c r="Q2" s="146"/>
      <c r="R2" s="146"/>
      <c r="S2" s="146"/>
      <c r="T2" s="146"/>
      <c r="U2" s="146"/>
      <c r="V2" s="146"/>
      <c r="W2" s="146"/>
      <c r="X2" s="146"/>
      <c r="Y2" s="146"/>
      <c r="Z2" s="146"/>
      <c r="AA2" s="146"/>
      <c r="AB2" s="146"/>
      <c r="AC2" s="146"/>
      <c r="AD2" s="146"/>
      <c r="AE2" s="146"/>
      <c r="AF2" s="146"/>
      <c r="AG2" s="146"/>
      <c r="AH2" s="146"/>
      <c r="AI2" s="146"/>
      <c r="AJ2" s="146"/>
      <c r="AK2" s="146"/>
      <c r="AL2" s="146"/>
      <c r="AM2" s="146"/>
      <c r="AN2" s="146"/>
      <c r="AO2" s="146"/>
      <c r="AP2" s="146"/>
      <c r="AQ2" s="146"/>
      <c r="AR2" s="146"/>
      <c r="AS2" s="146"/>
      <c r="AT2" s="146"/>
      <c r="AU2" s="146"/>
      <c r="AV2" s="146"/>
      <c r="AW2" s="146"/>
      <c r="AX2" s="146"/>
      <c r="AY2" s="146"/>
      <c r="AZ2" s="146"/>
      <c r="BA2" s="146"/>
      <c r="BB2" s="146"/>
      <c r="BC2" s="146"/>
      <c r="BD2" s="146"/>
      <c r="BE2" s="146"/>
      <c r="BF2" s="146"/>
      <c r="BG2" s="146"/>
      <c r="BH2" s="146"/>
      <c r="BI2" s="146"/>
      <c r="BJ2" s="146"/>
      <c r="BK2" s="146"/>
      <c r="BL2" s="146"/>
      <c r="BM2" s="146"/>
      <c r="BN2" s="146"/>
      <c r="BO2" s="146"/>
      <c r="BP2" s="146"/>
      <c r="BQ2" s="146"/>
      <c r="BR2" s="146"/>
      <c r="BS2" s="146"/>
      <c r="BT2" s="146"/>
      <c r="BU2" s="146"/>
      <c r="BV2" s="146"/>
      <c r="BW2" s="146"/>
      <c r="BX2" s="146"/>
      <c r="BY2" s="146"/>
      <c r="BZ2" s="146"/>
      <c r="CA2" s="146"/>
      <c r="CB2" s="146"/>
      <c r="CC2" s="146"/>
      <c r="CD2" s="146"/>
      <c r="CE2" s="146"/>
      <c r="CF2" s="146"/>
      <c r="CG2" s="146"/>
      <c r="CH2" s="146"/>
      <c r="CI2" s="146"/>
      <c r="CJ2" s="146"/>
      <c r="CK2" s="146"/>
      <c r="CL2" s="146"/>
      <c r="CM2" s="146"/>
      <c r="CN2" s="146"/>
      <c r="CO2" s="146"/>
      <c r="CP2" s="146"/>
      <c r="CQ2" s="146"/>
      <c r="CR2" s="146"/>
      <c r="CS2" s="146"/>
      <c r="CT2" s="146"/>
      <c r="CU2" s="146"/>
      <c r="CV2" s="146"/>
      <c r="CW2" s="146"/>
      <c r="CX2" s="146"/>
      <c r="CY2" s="146"/>
      <c r="CZ2" s="146"/>
      <c r="DA2" s="146"/>
      <c r="DB2" s="146"/>
      <c r="DC2" s="146"/>
      <c r="DD2" s="146"/>
      <c r="DE2" s="146"/>
      <c r="DF2" s="146"/>
      <c r="DG2" s="146"/>
      <c r="DH2" s="146"/>
      <c r="DI2" s="146"/>
      <c r="DJ2" s="146"/>
      <c r="DK2" s="146"/>
      <c r="DL2" s="146"/>
      <c r="DM2" s="146"/>
      <c r="DN2" s="146"/>
      <c r="DO2" s="146"/>
      <c r="DP2" s="146"/>
      <c r="DQ2" s="146"/>
      <c r="DR2" s="146"/>
      <c r="DS2" s="146"/>
      <c r="DT2" s="146"/>
      <c r="DU2" s="146"/>
      <c r="DV2" s="146"/>
      <c r="DW2" s="146"/>
      <c r="DX2" s="146"/>
      <c r="DY2" s="146"/>
      <c r="DZ2" s="146"/>
      <c r="EA2" s="146"/>
      <c r="EB2" s="146"/>
      <c r="EC2" s="146"/>
      <c r="ED2" s="146"/>
      <c r="EE2" s="146"/>
      <c r="EF2" s="146"/>
      <c r="EG2" s="146"/>
      <c r="EH2" s="146"/>
      <c r="EI2" s="146"/>
      <c r="EJ2" s="146"/>
      <c r="EK2" s="146"/>
      <c r="EL2" s="146"/>
      <c r="EM2" s="146"/>
      <c r="EN2" s="146"/>
      <c r="EO2" s="146"/>
      <c r="EP2" s="146"/>
      <c r="EQ2" s="146"/>
    </row>
    <row r="3">
      <c r="A3" s="164" t="s">
        <v>315</v>
      </c>
      <c r="B3" s="164" t="s">
        <v>316</v>
      </c>
      <c r="C3" s="165" t="s">
        <v>317</v>
      </c>
      <c r="D3" s="164" t="s">
        <v>318</v>
      </c>
      <c r="E3" s="166" t="s">
        <v>319</v>
      </c>
      <c r="F3" s="167" t="s">
        <v>320</v>
      </c>
      <c r="G3" s="167" t="s">
        <v>321</v>
      </c>
      <c r="H3" s="168" t="s">
        <v>322</v>
      </c>
      <c r="I3" s="31"/>
      <c r="J3" s="169" t="s">
        <v>323</v>
      </c>
      <c r="K3" s="170" t="s">
        <v>324</v>
      </c>
      <c r="L3" s="170" t="s">
        <v>325</v>
      </c>
      <c r="M3" s="170" t="s">
        <v>326</v>
      </c>
      <c r="N3" s="146"/>
      <c r="O3" s="146"/>
      <c r="P3" s="146"/>
      <c r="Q3" s="146"/>
      <c r="R3" s="146"/>
      <c r="S3" s="146"/>
      <c r="T3" s="146"/>
      <c r="U3" s="146"/>
      <c r="V3" s="146"/>
      <c r="W3" s="146"/>
      <c r="X3" s="146"/>
      <c r="Y3" s="146"/>
      <c r="Z3" s="146"/>
      <c r="AA3" s="146"/>
      <c r="AB3" s="146"/>
      <c r="AC3" s="146"/>
      <c r="AD3" s="146"/>
      <c r="AE3" s="146"/>
      <c r="AF3" s="146"/>
      <c r="AG3" s="146"/>
      <c r="AH3" s="146"/>
      <c r="AI3" s="146"/>
      <c r="AJ3" s="146"/>
      <c r="AK3" s="146"/>
      <c r="AL3" s="146"/>
      <c r="AM3" s="146"/>
      <c r="AN3" s="146"/>
      <c r="AO3" s="146"/>
      <c r="AP3" s="146"/>
      <c r="AQ3" s="146"/>
      <c r="AR3" s="146"/>
      <c r="AS3" s="146"/>
      <c r="AT3" s="146"/>
      <c r="AU3" s="146"/>
      <c r="AV3" s="146"/>
      <c r="AW3" s="146"/>
      <c r="AX3" s="146"/>
      <c r="AY3" s="146"/>
      <c r="AZ3" s="146"/>
      <c r="BA3" s="146"/>
      <c r="BB3" s="146"/>
      <c r="BC3" s="146"/>
      <c r="BD3" s="146"/>
      <c r="BE3" s="146"/>
      <c r="BF3" s="146"/>
      <c r="BG3" s="146"/>
      <c r="BH3" s="146"/>
      <c r="BI3" s="146"/>
      <c r="BJ3" s="146"/>
      <c r="BK3" s="146"/>
      <c r="BL3" s="146"/>
      <c r="BM3" s="146"/>
      <c r="BN3" s="146"/>
      <c r="BO3" s="146"/>
      <c r="BP3" s="146"/>
      <c r="BQ3" s="146"/>
      <c r="BR3" s="146"/>
      <c r="BS3" s="146"/>
      <c r="BT3" s="146"/>
      <c r="BU3" s="146"/>
      <c r="BV3" s="146"/>
      <c r="BW3" s="146"/>
      <c r="BX3" s="146"/>
      <c r="BY3" s="146"/>
      <c r="BZ3" s="146"/>
      <c r="CA3" s="146"/>
      <c r="CB3" s="146"/>
      <c r="CC3" s="146"/>
      <c r="CD3" s="146"/>
      <c r="CE3" s="146"/>
      <c r="CF3" s="146"/>
      <c r="CG3" s="146"/>
      <c r="CH3" s="146"/>
      <c r="CI3" s="146"/>
      <c r="CJ3" s="146"/>
      <c r="CK3" s="146"/>
      <c r="CL3" s="146"/>
      <c r="CM3" s="146"/>
      <c r="CN3" s="146"/>
      <c r="CO3" s="146"/>
      <c r="CP3" s="146"/>
      <c r="CQ3" s="146"/>
      <c r="CR3" s="146"/>
      <c r="CS3" s="146"/>
      <c r="CT3" s="146"/>
      <c r="CU3" s="146"/>
      <c r="CV3" s="146"/>
      <c r="CW3" s="146"/>
      <c r="CX3" s="146"/>
      <c r="CY3" s="146"/>
      <c r="CZ3" s="146"/>
      <c r="DA3" s="146"/>
      <c r="DB3" s="146"/>
      <c r="DC3" s="146"/>
      <c r="DD3" s="146"/>
      <c r="DE3" s="146"/>
      <c r="DF3" s="146"/>
      <c r="DG3" s="146"/>
      <c r="DH3" s="146"/>
      <c r="DI3" s="146"/>
      <c r="DJ3" s="146"/>
      <c r="DK3" s="146"/>
      <c r="DL3" s="146"/>
      <c r="DM3" s="146"/>
      <c r="DN3" s="146"/>
      <c r="DO3" s="146"/>
      <c r="DP3" s="146"/>
      <c r="DQ3" s="146"/>
      <c r="DR3" s="146"/>
      <c r="DS3" s="146"/>
      <c r="DT3" s="146"/>
      <c r="DU3" s="146"/>
      <c r="DV3" s="146"/>
      <c r="DW3" s="146"/>
      <c r="DX3" s="146"/>
      <c r="DY3" s="146"/>
      <c r="DZ3" s="146"/>
      <c r="EA3" s="146"/>
      <c r="EB3" s="146"/>
      <c r="EC3" s="146"/>
      <c r="ED3" s="146"/>
      <c r="EE3" s="146"/>
      <c r="EF3" s="146"/>
      <c r="EG3" s="146"/>
      <c r="EH3" s="146"/>
      <c r="EI3" s="146"/>
      <c r="EJ3" s="146"/>
      <c r="EK3" s="146"/>
      <c r="EL3" s="146"/>
      <c r="EM3" s="146"/>
      <c r="EN3" s="146"/>
      <c r="EO3" s="146"/>
      <c r="EP3" s="146"/>
      <c r="EQ3" s="146"/>
    </row>
    <row r="4">
      <c r="A4" s="171" t="s">
        <v>64</v>
      </c>
      <c r="B4" s="172" t="s">
        <v>327</v>
      </c>
      <c r="C4" s="173" t="str">
        <f t="array" ref="C4:C153">IF(A4:A153="", "", XLOOKUP(A4:A153, 'Equipment Registry'!A2:A153, 'Equipment Registry'!B2:B153, "Not Found"))</f>
        <v>Clay apron feeder left geared motor</v>
      </c>
      <c r="D4" s="172" t="s">
        <v>328</v>
      </c>
      <c r="E4" s="173" t="s">
        <v>329</v>
      </c>
      <c r="F4" s="172" t="s">
        <v>330</v>
      </c>
      <c r="G4" s="172">
        <v>41.0</v>
      </c>
      <c r="H4" s="174"/>
      <c r="I4" s="174"/>
      <c r="J4" s="174">
        <v>44378.0</v>
      </c>
      <c r="K4" s="175">
        <f t="shared" ref="K4:K20" si="1">EDATE(J4, 36)</f>
        <v>45474</v>
      </c>
      <c r="L4" s="176" t="str">
        <f t="shared" ref="L4:L153" si="2">IF(ISBLANK(K4:K153), "", IF(K4:K153 &lt; TODAY(), "Overdue", "Ok"))</f>
        <v>Overdue</v>
      </c>
      <c r="M4" s="172" t="s">
        <v>331</v>
      </c>
      <c r="N4" s="146"/>
      <c r="O4" s="146"/>
      <c r="P4" s="146"/>
      <c r="Q4" s="146"/>
      <c r="R4" s="146"/>
      <c r="S4" s="146"/>
      <c r="T4" s="146"/>
      <c r="U4" s="146"/>
      <c r="V4" s="146"/>
      <c r="W4" s="146"/>
      <c r="X4" s="146"/>
      <c r="Y4" s="146"/>
      <c r="Z4" s="146"/>
      <c r="AA4" s="146"/>
      <c r="AB4" s="146"/>
      <c r="AC4" s="146"/>
      <c r="AD4" s="146"/>
      <c r="AE4" s="146"/>
      <c r="AF4" s="146"/>
      <c r="AG4" s="146"/>
      <c r="AH4" s="146"/>
      <c r="AI4" s="146"/>
      <c r="AJ4" s="146"/>
      <c r="AK4" s="146"/>
      <c r="AL4" s="146"/>
      <c r="AM4" s="146"/>
      <c r="AN4" s="146"/>
      <c r="AO4" s="146"/>
      <c r="AP4" s="146"/>
      <c r="AQ4" s="146"/>
      <c r="AR4" s="146"/>
      <c r="AS4" s="146"/>
      <c r="AT4" s="146"/>
      <c r="AU4" s="146"/>
      <c r="AV4" s="146"/>
      <c r="AW4" s="146"/>
      <c r="AX4" s="146"/>
      <c r="AY4" s="146"/>
      <c r="AZ4" s="146"/>
      <c r="BA4" s="146"/>
      <c r="BB4" s="146"/>
      <c r="BC4" s="146"/>
      <c r="BD4" s="146"/>
      <c r="BE4" s="146"/>
      <c r="BF4" s="146"/>
      <c r="BG4" s="146"/>
      <c r="BH4" s="146"/>
      <c r="BI4" s="146"/>
      <c r="BJ4" s="146"/>
      <c r="BK4" s="146"/>
      <c r="BL4" s="146"/>
      <c r="BM4" s="146"/>
      <c r="BN4" s="146"/>
      <c r="BO4" s="146"/>
      <c r="BP4" s="146"/>
      <c r="BQ4" s="146"/>
      <c r="BR4" s="146"/>
      <c r="BS4" s="146"/>
      <c r="BT4" s="146"/>
      <c r="BU4" s="146"/>
      <c r="BV4" s="146"/>
      <c r="BW4" s="146"/>
      <c r="BX4" s="146"/>
      <c r="BY4" s="146"/>
      <c r="BZ4" s="146"/>
      <c r="CA4" s="146"/>
      <c r="CB4" s="146"/>
      <c r="CC4" s="146"/>
      <c r="CD4" s="146"/>
      <c r="CE4" s="146"/>
      <c r="CF4" s="146"/>
      <c r="CG4" s="146"/>
      <c r="CH4" s="146"/>
      <c r="CI4" s="146"/>
      <c r="CJ4" s="146"/>
      <c r="CK4" s="146"/>
      <c r="CL4" s="146"/>
      <c r="CM4" s="146"/>
      <c r="CN4" s="146"/>
      <c r="CO4" s="146"/>
      <c r="CP4" s="146"/>
      <c r="CQ4" s="146"/>
      <c r="CR4" s="146"/>
      <c r="CS4" s="146"/>
      <c r="CT4" s="146"/>
      <c r="CU4" s="146"/>
      <c r="CV4" s="146"/>
      <c r="CW4" s="146"/>
      <c r="CX4" s="146"/>
      <c r="CY4" s="146"/>
      <c r="CZ4" s="146"/>
      <c r="DA4" s="146"/>
      <c r="DB4" s="146"/>
      <c r="DC4" s="146"/>
      <c r="DD4" s="146"/>
      <c r="DE4" s="146"/>
      <c r="DF4" s="146"/>
      <c r="DG4" s="146"/>
      <c r="DH4" s="146"/>
      <c r="DI4" s="146"/>
      <c r="DJ4" s="146"/>
      <c r="DK4" s="146"/>
      <c r="DL4" s="146"/>
      <c r="DM4" s="146"/>
      <c r="DN4" s="146"/>
      <c r="DO4" s="146"/>
      <c r="DP4" s="146"/>
      <c r="DQ4" s="146"/>
      <c r="DR4" s="146"/>
      <c r="DS4" s="146"/>
      <c r="DT4" s="146"/>
      <c r="DU4" s="146"/>
      <c r="DV4" s="146"/>
      <c r="DW4" s="146"/>
      <c r="DX4" s="146"/>
      <c r="DY4" s="146"/>
      <c r="DZ4" s="146"/>
      <c r="EA4" s="146"/>
      <c r="EB4" s="146"/>
      <c r="EC4" s="146"/>
      <c r="ED4" s="146"/>
      <c r="EE4" s="146"/>
      <c r="EF4" s="146"/>
      <c r="EG4" s="146"/>
      <c r="EH4" s="146"/>
      <c r="EI4" s="146"/>
      <c r="EJ4" s="146"/>
      <c r="EK4" s="146"/>
      <c r="EL4" s="146"/>
      <c r="EM4" s="146"/>
      <c r="EN4" s="146"/>
      <c r="EO4" s="146"/>
      <c r="EP4" s="146"/>
      <c r="EQ4" s="146"/>
    </row>
    <row r="5">
      <c r="A5" s="177" t="s">
        <v>103</v>
      </c>
      <c r="B5" s="178" t="s">
        <v>327</v>
      </c>
      <c r="C5" s="179" t="s">
        <v>332</v>
      </c>
      <c r="D5" s="178" t="s">
        <v>328</v>
      </c>
      <c r="E5" s="179" t="s">
        <v>329</v>
      </c>
      <c r="F5" s="178" t="s">
        <v>330</v>
      </c>
      <c r="G5" s="178">
        <v>41.0</v>
      </c>
      <c r="H5" s="180"/>
      <c r="I5" s="180"/>
      <c r="J5" s="180">
        <v>44378.0</v>
      </c>
      <c r="K5" s="175">
        <f t="shared" si="1"/>
        <v>45474</v>
      </c>
      <c r="L5" s="176" t="str">
        <f t="shared" si="2"/>
        <v>Overdue</v>
      </c>
      <c r="M5" s="180"/>
      <c r="N5" s="146"/>
      <c r="O5" s="146"/>
      <c r="P5" s="146"/>
      <c r="Q5" s="146"/>
      <c r="R5" s="146"/>
      <c r="S5" s="146"/>
      <c r="T5" s="146"/>
      <c r="U5" s="146"/>
      <c r="V5" s="146"/>
      <c r="W5" s="146"/>
      <c r="X5" s="146"/>
      <c r="Y5" s="146"/>
      <c r="Z5" s="146"/>
      <c r="AA5" s="146"/>
      <c r="AB5" s="146"/>
      <c r="AC5" s="146"/>
      <c r="AD5" s="146"/>
      <c r="AE5" s="146"/>
      <c r="AF5" s="146"/>
      <c r="AG5" s="146"/>
      <c r="AH5" s="146"/>
      <c r="AI5" s="146"/>
      <c r="AJ5" s="146"/>
      <c r="AK5" s="146"/>
      <c r="AL5" s="146"/>
      <c r="AM5" s="146"/>
      <c r="AN5" s="146"/>
      <c r="AO5" s="146"/>
      <c r="AP5" s="146"/>
      <c r="AQ5" s="146"/>
      <c r="AR5" s="146"/>
      <c r="AS5" s="146"/>
      <c r="AT5" s="146"/>
      <c r="AU5" s="146"/>
      <c r="AV5" s="146"/>
      <c r="AW5" s="146"/>
      <c r="AX5" s="146"/>
      <c r="AY5" s="146"/>
      <c r="AZ5" s="146"/>
      <c r="BA5" s="146"/>
      <c r="BB5" s="146"/>
      <c r="BC5" s="146"/>
      <c r="BD5" s="146"/>
      <c r="BE5" s="146"/>
      <c r="BF5" s="146"/>
      <c r="BG5" s="146"/>
      <c r="BH5" s="146"/>
      <c r="BI5" s="146"/>
      <c r="BJ5" s="146"/>
      <c r="BK5" s="146"/>
      <c r="BL5" s="146"/>
      <c r="BM5" s="146"/>
      <c r="BN5" s="146"/>
      <c r="BO5" s="146"/>
      <c r="BP5" s="146"/>
      <c r="BQ5" s="146"/>
      <c r="BR5" s="146"/>
      <c r="BS5" s="146"/>
      <c r="BT5" s="146"/>
      <c r="BU5" s="146"/>
      <c r="BV5" s="146"/>
      <c r="BW5" s="146"/>
      <c r="BX5" s="146"/>
      <c r="BY5" s="146"/>
      <c r="BZ5" s="146"/>
      <c r="CA5" s="146"/>
      <c r="CB5" s="146"/>
      <c r="CC5" s="146"/>
      <c r="CD5" s="146"/>
      <c r="CE5" s="146"/>
      <c r="CF5" s="146"/>
      <c r="CG5" s="146"/>
      <c r="CH5" s="146"/>
      <c r="CI5" s="146"/>
      <c r="CJ5" s="146"/>
      <c r="CK5" s="146"/>
      <c r="CL5" s="146"/>
      <c r="CM5" s="146"/>
      <c r="CN5" s="146"/>
      <c r="CO5" s="146"/>
      <c r="CP5" s="146"/>
      <c r="CQ5" s="146"/>
      <c r="CR5" s="146"/>
      <c r="CS5" s="146"/>
      <c r="CT5" s="146"/>
      <c r="CU5" s="146"/>
      <c r="CV5" s="146"/>
      <c r="CW5" s="146"/>
      <c r="CX5" s="146"/>
      <c r="CY5" s="146"/>
      <c r="CZ5" s="146"/>
      <c r="DA5" s="146"/>
      <c r="DB5" s="146"/>
      <c r="DC5" s="146"/>
      <c r="DD5" s="146"/>
      <c r="DE5" s="146"/>
      <c r="DF5" s="146"/>
      <c r="DG5" s="146"/>
      <c r="DH5" s="146"/>
      <c r="DI5" s="146"/>
      <c r="DJ5" s="146"/>
      <c r="DK5" s="146"/>
      <c r="DL5" s="146"/>
      <c r="DM5" s="146"/>
      <c r="DN5" s="146"/>
      <c r="DO5" s="146"/>
      <c r="DP5" s="146"/>
      <c r="DQ5" s="146"/>
      <c r="DR5" s="146"/>
      <c r="DS5" s="146"/>
      <c r="DT5" s="146"/>
      <c r="DU5" s="146"/>
      <c r="DV5" s="146"/>
      <c r="DW5" s="146"/>
      <c r="DX5" s="146"/>
      <c r="DY5" s="146"/>
      <c r="DZ5" s="146"/>
      <c r="EA5" s="146"/>
      <c r="EB5" s="146"/>
      <c r="EC5" s="146"/>
      <c r="ED5" s="146"/>
      <c r="EE5" s="146"/>
      <c r="EF5" s="146"/>
      <c r="EG5" s="146"/>
      <c r="EH5" s="146"/>
      <c r="EI5" s="146"/>
      <c r="EJ5" s="146"/>
      <c r="EK5" s="146"/>
      <c r="EL5" s="146"/>
      <c r="EM5" s="146"/>
      <c r="EN5" s="146"/>
      <c r="EO5" s="146"/>
      <c r="EP5" s="146"/>
      <c r="EQ5" s="146"/>
    </row>
    <row r="6">
      <c r="A6" s="171" t="s">
        <v>104</v>
      </c>
      <c r="B6" s="172" t="s">
        <v>327</v>
      </c>
      <c r="C6" s="173" t="s">
        <v>333</v>
      </c>
      <c r="D6" s="172" t="s">
        <v>328</v>
      </c>
      <c r="E6" s="173" t="s">
        <v>329</v>
      </c>
      <c r="F6" s="172" t="s">
        <v>330</v>
      </c>
      <c r="G6" s="172">
        <v>41.0</v>
      </c>
      <c r="H6" s="174"/>
      <c r="I6" s="174">
        <v>44378.0</v>
      </c>
      <c r="J6" s="174">
        <v>44954.0</v>
      </c>
      <c r="K6" s="175">
        <f t="shared" si="1"/>
        <v>46050</v>
      </c>
      <c r="L6" s="176" t="str">
        <f t="shared" si="2"/>
        <v>Overdue</v>
      </c>
      <c r="M6" s="174"/>
      <c r="N6" s="146"/>
      <c r="O6" s="146"/>
      <c r="P6" s="146"/>
      <c r="Q6" s="146"/>
      <c r="R6" s="146"/>
      <c r="S6" s="146"/>
      <c r="T6" s="146"/>
      <c r="U6" s="146"/>
      <c r="V6" s="146"/>
      <c r="W6" s="146"/>
      <c r="X6" s="146"/>
      <c r="Y6" s="146"/>
      <c r="Z6" s="146"/>
      <c r="AA6" s="146"/>
      <c r="AB6" s="146"/>
      <c r="AC6" s="146"/>
      <c r="AD6" s="146"/>
      <c r="AE6" s="146"/>
      <c r="AF6" s="146"/>
      <c r="AG6" s="146"/>
      <c r="AH6" s="146"/>
      <c r="AI6" s="146"/>
      <c r="AJ6" s="146"/>
      <c r="AK6" s="146"/>
      <c r="AL6" s="146"/>
      <c r="AM6" s="146"/>
      <c r="AN6" s="146"/>
      <c r="AO6" s="146"/>
      <c r="AP6" s="146"/>
      <c r="AQ6" s="146"/>
      <c r="AR6" s="146"/>
      <c r="AS6" s="146"/>
      <c r="AT6" s="146"/>
      <c r="AU6" s="146"/>
      <c r="AV6" s="146"/>
      <c r="AW6" s="146"/>
      <c r="AX6" s="146"/>
      <c r="AY6" s="146"/>
      <c r="AZ6" s="146"/>
      <c r="BA6" s="146"/>
      <c r="BB6" s="146"/>
      <c r="BC6" s="146"/>
      <c r="BD6" s="146"/>
      <c r="BE6" s="146"/>
      <c r="BF6" s="146"/>
      <c r="BG6" s="146"/>
      <c r="BH6" s="146"/>
      <c r="BI6" s="146"/>
      <c r="BJ6" s="146"/>
      <c r="BK6" s="146"/>
      <c r="BL6" s="146"/>
      <c r="BM6" s="146"/>
      <c r="BN6" s="146"/>
      <c r="BO6" s="146"/>
      <c r="BP6" s="146"/>
      <c r="BQ6" s="146"/>
      <c r="BR6" s="146"/>
      <c r="BS6" s="146"/>
      <c r="BT6" s="146"/>
      <c r="BU6" s="146"/>
      <c r="BV6" s="146"/>
      <c r="BW6" s="146"/>
      <c r="BX6" s="146"/>
      <c r="BY6" s="146"/>
      <c r="BZ6" s="146"/>
      <c r="CA6" s="146"/>
      <c r="CB6" s="146"/>
      <c r="CC6" s="146"/>
      <c r="CD6" s="146"/>
      <c r="CE6" s="146"/>
      <c r="CF6" s="146"/>
      <c r="CG6" s="146"/>
      <c r="CH6" s="146"/>
      <c r="CI6" s="146"/>
      <c r="CJ6" s="146"/>
      <c r="CK6" s="146"/>
      <c r="CL6" s="146"/>
      <c r="CM6" s="146"/>
      <c r="CN6" s="146"/>
      <c r="CO6" s="146"/>
      <c r="CP6" s="146"/>
      <c r="CQ6" s="146"/>
      <c r="CR6" s="146"/>
      <c r="CS6" s="146"/>
      <c r="CT6" s="146"/>
      <c r="CU6" s="146"/>
      <c r="CV6" s="146"/>
      <c r="CW6" s="146"/>
      <c r="CX6" s="146"/>
      <c r="CY6" s="146"/>
      <c r="CZ6" s="146"/>
      <c r="DA6" s="146"/>
      <c r="DB6" s="146"/>
      <c r="DC6" s="146"/>
      <c r="DD6" s="146"/>
      <c r="DE6" s="146"/>
      <c r="DF6" s="146"/>
      <c r="DG6" s="146"/>
      <c r="DH6" s="146"/>
      <c r="DI6" s="146"/>
      <c r="DJ6" s="146"/>
      <c r="DK6" s="146"/>
      <c r="DL6" s="146"/>
      <c r="DM6" s="146"/>
      <c r="DN6" s="146"/>
      <c r="DO6" s="146"/>
      <c r="DP6" s="146"/>
      <c r="DQ6" s="146"/>
      <c r="DR6" s="146"/>
      <c r="DS6" s="146"/>
      <c r="DT6" s="146"/>
      <c r="DU6" s="146"/>
      <c r="DV6" s="146"/>
      <c r="DW6" s="146"/>
      <c r="DX6" s="146"/>
      <c r="DY6" s="146"/>
      <c r="DZ6" s="146"/>
      <c r="EA6" s="146"/>
      <c r="EB6" s="146"/>
      <c r="EC6" s="146"/>
      <c r="ED6" s="146"/>
      <c r="EE6" s="146"/>
      <c r="EF6" s="146"/>
      <c r="EG6" s="146"/>
      <c r="EH6" s="146"/>
      <c r="EI6" s="146"/>
      <c r="EJ6" s="146"/>
      <c r="EK6" s="146"/>
      <c r="EL6" s="146"/>
      <c r="EM6" s="146"/>
      <c r="EN6" s="146"/>
      <c r="EO6" s="146"/>
      <c r="EP6" s="146"/>
      <c r="EQ6" s="146"/>
    </row>
    <row r="7">
      <c r="A7" s="177" t="s">
        <v>105</v>
      </c>
      <c r="B7" s="178" t="s">
        <v>327</v>
      </c>
      <c r="C7" s="179" t="s">
        <v>334</v>
      </c>
      <c r="D7" s="178" t="s">
        <v>328</v>
      </c>
      <c r="E7" s="179" t="s">
        <v>329</v>
      </c>
      <c r="F7" s="178" t="s">
        <v>330</v>
      </c>
      <c r="G7" s="178">
        <v>41.0</v>
      </c>
      <c r="H7" s="180"/>
      <c r="I7" s="180">
        <v>44378.0</v>
      </c>
      <c r="J7" s="180">
        <v>44954.0</v>
      </c>
      <c r="K7" s="175">
        <f t="shared" si="1"/>
        <v>46050</v>
      </c>
      <c r="L7" s="176" t="str">
        <f t="shared" si="2"/>
        <v>Overdue</v>
      </c>
      <c r="M7" s="180"/>
      <c r="N7" s="146"/>
      <c r="O7" s="146"/>
      <c r="P7" s="146"/>
      <c r="Q7" s="146"/>
      <c r="R7" s="146"/>
      <c r="S7" s="146"/>
      <c r="T7" s="146"/>
      <c r="U7" s="146"/>
      <c r="V7" s="146"/>
      <c r="W7" s="146"/>
      <c r="X7" s="146"/>
      <c r="Y7" s="146"/>
      <c r="Z7" s="146"/>
      <c r="AA7" s="146"/>
      <c r="AB7" s="146"/>
      <c r="AC7" s="146"/>
      <c r="AD7" s="146"/>
      <c r="AE7" s="146"/>
      <c r="AF7" s="146"/>
      <c r="AG7" s="146"/>
      <c r="AH7" s="146"/>
      <c r="AI7" s="146"/>
      <c r="AJ7" s="146"/>
      <c r="AK7" s="146"/>
      <c r="AL7" s="146"/>
      <c r="AM7" s="146"/>
      <c r="AN7" s="146"/>
      <c r="AO7" s="146"/>
      <c r="AP7" s="146"/>
      <c r="AQ7" s="146"/>
      <c r="AR7" s="146"/>
      <c r="AS7" s="146"/>
      <c r="AT7" s="146"/>
      <c r="AU7" s="146"/>
      <c r="AV7" s="146"/>
      <c r="AW7" s="146"/>
      <c r="AX7" s="146"/>
      <c r="AY7" s="146"/>
      <c r="AZ7" s="146"/>
      <c r="BA7" s="146"/>
      <c r="BB7" s="146"/>
      <c r="BC7" s="146"/>
      <c r="BD7" s="146"/>
      <c r="BE7" s="146"/>
      <c r="BF7" s="146"/>
      <c r="BG7" s="146"/>
      <c r="BH7" s="146"/>
      <c r="BI7" s="146"/>
      <c r="BJ7" s="146"/>
      <c r="BK7" s="146"/>
      <c r="BL7" s="146"/>
      <c r="BM7" s="146"/>
      <c r="BN7" s="146"/>
      <c r="BO7" s="146"/>
      <c r="BP7" s="146"/>
      <c r="BQ7" s="146"/>
      <c r="BR7" s="146"/>
      <c r="BS7" s="146"/>
      <c r="BT7" s="146"/>
      <c r="BU7" s="146"/>
      <c r="BV7" s="146"/>
      <c r="BW7" s="146"/>
      <c r="BX7" s="146"/>
      <c r="BY7" s="146"/>
      <c r="BZ7" s="146"/>
      <c r="CA7" s="146"/>
      <c r="CB7" s="146"/>
      <c r="CC7" s="146"/>
      <c r="CD7" s="146"/>
      <c r="CE7" s="146"/>
      <c r="CF7" s="146"/>
      <c r="CG7" s="146"/>
      <c r="CH7" s="146"/>
      <c r="CI7" s="146"/>
      <c r="CJ7" s="146"/>
      <c r="CK7" s="146"/>
      <c r="CL7" s="146"/>
      <c r="CM7" s="146"/>
      <c r="CN7" s="146"/>
      <c r="CO7" s="146"/>
      <c r="CP7" s="146"/>
      <c r="CQ7" s="146"/>
      <c r="CR7" s="146"/>
      <c r="CS7" s="146"/>
      <c r="CT7" s="146"/>
      <c r="CU7" s="146"/>
      <c r="CV7" s="146"/>
      <c r="CW7" s="146"/>
      <c r="CX7" s="146"/>
      <c r="CY7" s="146"/>
      <c r="CZ7" s="146"/>
      <c r="DA7" s="146"/>
      <c r="DB7" s="146"/>
      <c r="DC7" s="146"/>
      <c r="DD7" s="146"/>
      <c r="DE7" s="146"/>
      <c r="DF7" s="146"/>
      <c r="DG7" s="146"/>
      <c r="DH7" s="146"/>
      <c r="DI7" s="146"/>
      <c r="DJ7" s="146"/>
      <c r="DK7" s="146"/>
      <c r="DL7" s="146"/>
      <c r="DM7" s="146"/>
      <c r="DN7" s="146"/>
      <c r="DO7" s="146"/>
      <c r="DP7" s="146"/>
      <c r="DQ7" s="146"/>
      <c r="DR7" s="146"/>
      <c r="DS7" s="146"/>
      <c r="DT7" s="146"/>
      <c r="DU7" s="146"/>
      <c r="DV7" s="146"/>
      <c r="DW7" s="146"/>
      <c r="DX7" s="146"/>
      <c r="DY7" s="146"/>
      <c r="DZ7" s="146"/>
      <c r="EA7" s="146"/>
      <c r="EB7" s="146"/>
      <c r="EC7" s="146"/>
      <c r="ED7" s="146"/>
      <c r="EE7" s="146"/>
      <c r="EF7" s="146"/>
      <c r="EG7" s="146"/>
      <c r="EH7" s="146"/>
      <c r="EI7" s="146"/>
      <c r="EJ7" s="146"/>
      <c r="EK7" s="146"/>
      <c r="EL7" s="146"/>
      <c r="EM7" s="146"/>
      <c r="EN7" s="146"/>
      <c r="EO7" s="146"/>
      <c r="EP7" s="146"/>
      <c r="EQ7" s="146"/>
    </row>
    <row r="8">
      <c r="A8" s="171" t="s">
        <v>107</v>
      </c>
      <c r="B8" s="172" t="s">
        <v>335</v>
      </c>
      <c r="C8" s="173" t="s">
        <v>336</v>
      </c>
      <c r="D8" s="172" t="s">
        <v>328</v>
      </c>
      <c r="E8" s="173" t="s">
        <v>337</v>
      </c>
      <c r="F8" s="172" t="s">
        <v>330</v>
      </c>
      <c r="G8" s="172">
        <v>100.0</v>
      </c>
      <c r="H8" s="174"/>
      <c r="I8" s="174"/>
      <c r="J8" s="174">
        <v>46149.0</v>
      </c>
      <c r="K8" s="175">
        <f t="shared" si="1"/>
        <v>47245</v>
      </c>
      <c r="L8" s="176" t="str">
        <f t="shared" si="2"/>
        <v>Ok</v>
      </c>
      <c r="M8" s="174"/>
      <c r="N8" s="146"/>
      <c r="O8" s="146"/>
      <c r="P8" s="146"/>
      <c r="Q8" s="146"/>
      <c r="R8" s="146"/>
      <c r="S8" s="146"/>
      <c r="T8" s="146"/>
      <c r="U8" s="146"/>
      <c r="V8" s="146"/>
      <c r="W8" s="146"/>
      <c r="X8" s="146"/>
      <c r="Y8" s="146"/>
      <c r="Z8" s="146"/>
      <c r="AA8" s="146"/>
      <c r="AB8" s="146"/>
      <c r="AC8" s="146"/>
      <c r="AD8" s="146"/>
      <c r="AE8" s="146"/>
      <c r="AF8" s="146"/>
      <c r="AG8" s="146"/>
      <c r="AH8" s="146"/>
      <c r="AI8" s="146"/>
      <c r="AJ8" s="146"/>
      <c r="AK8" s="146"/>
      <c r="AL8" s="146"/>
      <c r="AM8" s="146"/>
      <c r="AN8" s="146"/>
      <c r="AO8" s="146"/>
      <c r="AP8" s="146"/>
      <c r="AQ8" s="146"/>
      <c r="AR8" s="146"/>
      <c r="AS8" s="146"/>
      <c r="AT8" s="146"/>
      <c r="AU8" s="146"/>
      <c r="AV8" s="146"/>
      <c r="AW8" s="146"/>
      <c r="AX8" s="146"/>
      <c r="AY8" s="146"/>
      <c r="AZ8" s="146"/>
      <c r="BA8" s="146"/>
      <c r="BB8" s="146"/>
      <c r="BC8" s="146"/>
      <c r="BD8" s="146"/>
      <c r="BE8" s="146"/>
      <c r="BF8" s="146"/>
      <c r="BG8" s="146"/>
      <c r="BH8" s="146"/>
      <c r="BI8" s="146"/>
      <c r="BJ8" s="146"/>
      <c r="BK8" s="146"/>
      <c r="BL8" s="146"/>
      <c r="BM8" s="146"/>
      <c r="BN8" s="146"/>
      <c r="BO8" s="146"/>
      <c r="BP8" s="146"/>
      <c r="BQ8" s="146"/>
      <c r="BR8" s="146"/>
      <c r="BS8" s="146"/>
      <c r="BT8" s="146"/>
      <c r="BU8" s="146"/>
      <c r="BV8" s="146"/>
      <c r="BW8" s="146"/>
      <c r="BX8" s="146"/>
      <c r="BY8" s="146"/>
      <c r="BZ8" s="146"/>
      <c r="CA8" s="146"/>
      <c r="CB8" s="146"/>
      <c r="CC8" s="146"/>
      <c r="CD8" s="146"/>
      <c r="CE8" s="146"/>
      <c r="CF8" s="146"/>
      <c r="CG8" s="146"/>
      <c r="CH8" s="146"/>
      <c r="CI8" s="146"/>
      <c r="CJ8" s="146"/>
      <c r="CK8" s="146"/>
      <c r="CL8" s="146"/>
      <c r="CM8" s="146"/>
      <c r="CN8" s="146"/>
      <c r="CO8" s="146"/>
      <c r="CP8" s="146"/>
      <c r="CQ8" s="146"/>
      <c r="CR8" s="146"/>
      <c r="CS8" s="146"/>
      <c r="CT8" s="146"/>
      <c r="CU8" s="146"/>
      <c r="CV8" s="146"/>
      <c r="CW8" s="146"/>
      <c r="CX8" s="146"/>
      <c r="CY8" s="146"/>
      <c r="CZ8" s="146"/>
      <c r="DA8" s="146"/>
      <c r="DB8" s="146"/>
      <c r="DC8" s="146"/>
      <c r="DD8" s="146"/>
      <c r="DE8" s="146"/>
      <c r="DF8" s="146"/>
      <c r="DG8" s="146"/>
      <c r="DH8" s="146"/>
      <c r="DI8" s="146"/>
      <c r="DJ8" s="146"/>
      <c r="DK8" s="146"/>
      <c r="DL8" s="146"/>
      <c r="DM8" s="146"/>
      <c r="DN8" s="146"/>
      <c r="DO8" s="146"/>
      <c r="DP8" s="146"/>
      <c r="DQ8" s="146"/>
      <c r="DR8" s="146"/>
      <c r="DS8" s="146"/>
      <c r="DT8" s="146"/>
      <c r="DU8" s="146"/>
      <c r="DV8" s="146"/>
      <c r="DW8" s="146"/>
      <c r="DX8" s="146"/>
      <c r="DY8" s="146"/>
      <c r="DZ8" s="146"/>
      <c r="EA8" s="146"/>
      <c r="EB8" s="146"/>
      <c r="EC8" s="146"/>
      <c r="ED8" s="146"/>
      <c r="EE8" s="146"/>
      <c r="EF8" s="146"/>
      <c r="EG8" s="146"/>
      <c r="EH8" s="146"/>
      <c r="EI8" s="146"/>
      <c r="EJ8" s="146"/>
      <c r="EK8" s="146"/>
      <c r="EL8" s="146"/>
      <c r="EM8" s="146"/>
      <c r="EN8" s="146"/>
      <c r="EO8" s="146"/>
      <c r="EP8" s="146"/>
      <c r="EQ8" s="146"/>
    </row>
    <row r="9">
      <c r="A9" s="177" t="s">
        <v>108</v>
      </c>
      <c r="B9" s="178" t="s">
        <v>335</v>
      </c>
      <c r="C9" s="179" t="s">
        <v>338</v>
      </c>
      <c r="D9" s="178" t="s">
        <v>328</v>
      </c>
      <c r="E9" s="179" t="s">
        <v>329</v>
      </c>
      <c r="F9" s="178" t="s">
        <v>330</v>
      </c>
      <c r="G9" s="178">
        <v>125.0</v>
      </c>
      <c r="H9" s="180"/>
      <c r="I9" s="180"/>
      <c r="J9" s="180">
        <v>43843.0</v>
      </c>
      <c r="K9" s="175">
        <f t="shared" si="1"/>
        <v>44939</v>
      </c>
      <c r="L9" s="176" t="str">
        <f t="shared" si="2"/>
        <v>Overdue</v>
      </c>
      <c r="M9" s="180"/>
      <c r="N9" s="146"/>
      <c r="O9" s="146"/>
      <c r="P9" s="146"/>
      <c r="Q9" s="146"/>
      <c r="R9" s="146"/>
      <c r="S9" s="146"/>
      <c r="T9" s="146"/>
      <c r="U9" s="146"/>
      <c r="V9" s="146"/>
      <c r="W9" s="146"/>
      <c r="X9" s="146"/>
      <c r="Y9" s="146"/>
      <c r="Z9" s="146"/>
      <c r="AA9" s="146"/>
      <c r="AB9" s="146"/>
      <c r="AC9" s="146"/>
      <c r="AD9" s="146"/>
      <c r="AE9" s="146"/>
      <c r="AF9" s="146"/>
      <c r="AG9" s="146"/>
      <c r="AH9" s="146"/>
      <c r="AI9" s="146"/>
      <c r="AJ9" s="146"/>
      <c r="AK9" s="146"/>
      <c r="AL9" s="146"/>
      <c r="AM9" s="146"/>
      <c r="AN9" s="146"/>
      <c r="AO9" s="146"/>
      <c r="AP9" s="146"/>
      <c r="AQ9" s="146"/>
      <c r="AR9" s="146"/>
      <c r="AS9" s="146"/>
      <c r="AT9" s="146"/>
      <c r="AU9" s="146"/>
      <c r="AV9" s="146"/>
      <c r="AW9" s="146"/>
      <c r="AX9" s="146"/>
      <c r="AY9" s="146"/>
      <c r="AZ9" s="146"/>
      <c r="BA9" s="146"/>
      <c r="BB9" s="146"/>
      <c r="BC9" s="146"/>
      <c r="BD9" s="146"/>
      <c r="BE9" s="146"/>
      <c r="BF9" s="146"/>
      <c r="BG9" s="146"/>
      <c r="BH9" s="146"/>
      <c r="BI9" s="146"/>
      <c r="BJ9" s="146"/>
      <c r="BK9" s="146"/>
      <c r="BL9" s="146"/>
      <c r="BM9" s="146"/>
      <c r="BN9" s="146"/>
      <c r="BO9" s="146"/>
      <c r="BP9" s="146"/>
      <c r="BQ9" s="146"/>
      <c r="BR9" s="146"/>
      <c r="BS9" s="146"/>
      <c r="BT9" s="146"/>
      <c r="BU9" s="146"/>
      <c r="BV9" s="146"/>
      <c r="BW9" s="146"/>
      <c r="BX9" s="146"/>
      <c r="BY9" s="146"/>
      <c r="BZ9" s="146"/>
      <c r="CA9" s="146"/>
      <c r="CB9" s="146"/>
      <c r="CC9" s="146"/>
      <c r="CD9" s="146"/>
      <c r="CE9" s="146"/>
      <c r="CF9" s="146"/>
      <c r="CG9" s="146"/>
      <c r="CH9" s="146"/>
      <c r="CI9" s="146"/>
      <c r="CJ9" s="146"/>
      <c r="CK9" s="146"/>
      <c r="CL9" s="146"/>
      <c r="CM9" s="146"/>
      <c r="CN9" s="146"/>
      <c r="CO9" s="146"/>
      <c r="CP9" s="146"/>
      <c r="CQ9" s="146"/>
      <c r="CR9" s="146"/>
      <c r="CS9" s="146"/>
      <c r="CT9" s="146"/>
      <c r="CU9" s="146"/>
      <c r="CV9" s="146"/>
      <c r="CW9" s="146"/>
      <c r="CX9" s="146"/>
      <c r="CY9" s="146"/>
      <c r="CZ9" s="146"/>
      <c r="DA9" s="146"/>
      <c r="DB9" s="146"/>
      <c r="DC9" s="146"/>
      <c r="DD9" s="146"/>
      <c r="DE9" s="146"/>
      <c r="DF9" s="146"/>
      <c r="DG9" s="146"/>
      <c r="DH9" s="146"/>
      <c r="DI9" s="146"/>
      <c r="DJ9" s="146"/>
      <c r="DK9" s="146"/>
      <c r="DL9" s="146"/>
      <c r="DM9" s="146"/>
      <c r="DN9" s="146"/>
      <c r="DO9" s="146"/>
      <c r="DP9" s="146"/>
      <c r="DQ9" s="146"/>
      <c r="DR9" s="146"/>
      <c r="DS9" s="146"/>
      <c r="DT9" s="146"/>
      <c r="DU9" s="146"/>
      <c r="DV9" s="146"/>
      <c r="DW9" s="146"/>
      <c r="DX9" s="146"/>
      <c r="DY9" s="146"/>
      <c r="DZ9" s="146"/>
      <c r="EA9" s="146"/>
      <c r="EB9" s="146"/>
      <c r="EC9" s="146"/>
      <c r="ED9" s="146"/>
      <c r="EE9" s="146"/>
      <c r="EF9" s="146"/>
      <c r="EG9" s="146"/>
      <c r="EH9" s="146"/>
      <c r="EI9" s="146"/>
      <c r="EJ9" s="146"/>
      <c r="EK9" s="146"/>
      <c r="EL9" s="146"/>
      <c r="EM9" s="146"/>
      <c r="EN9" s="146"/>
      <c r="EO9" s="146"/>
      <c r="EP9" s="146"/>
      <c r="EQ9" s="146"/>
    </row>
    <row r="10">
      <c r="A10" s="171" t="s">
        <v>110</v>
      </c>
      <c r="B10" s="172" t="s">
        <v>335</v>
      </c>
      <c r="C10" s="173" t="s">
        <v>339</v>
      </c>
      <c r="D10" s="172" t="s">
        <v>328</v>
      </c>
      <c r="E10" s="173" t="s">
        <v>329</v>
      </c>
      <c r="F10" s="172" t="s">
        <v>330</v>
      </c>
      <c r="G10" s="172">
        <v>125.0</v>
      </c>
      <c r="H10" s="174"/>
      <c r="I10" s="174"/>
      <c r="J10" s="174">
        <v>43843.0</v>
      </c>
      <c r="K10" s="175">
        <f t="shared" si="1"/>
        <v>44939</v>
      </c>
      <c r="L10" s="176" t="str">
        <f t="shared" si="2"/>
        <v>Overdue</v>
      </c>
      <c r="M10" s="174"/>
      <c r="N10" s="146"/>
      <c r="O10" s="146"/>
      <c r="P10" s="146"/>
      <c r="Q10" s="146"/>
      <c r="R10" s="146"/>
      <c r="S10" s="146"/>
      <c r="T10" s="146"/>
      <c r="U10" s="146"/>
      <c r="V10" s="146"/>
      <c r="W10" s="146"/>
      <c r="X10" s="146"/>
      <c r="Y10" s="146"/>
      <c r="Z10" s="146"/>
      <c r="AA10" s="146"/>
      <c r="AB10" s="146"/>
      <c r="AC10" s="146"/>
      <c r="AD10" s="146"/>
      <c r="AE10" s="146"/>
      <c r="AF10" s="146"/>
      <c r="AG10" s="146"/>
      <c r="AH10" s="146"/>
      <c r="AI10" s="146"/>
      <c r="AJ10" s="146"/>
      <c r="AK10" s="146"/>
      <c r="AL10" s="146"/>
      <c r="AM10" s="146"/>
      <c r="AN10" s="146"/>
      <c r="AO10" s="146"/>
      <c r="AP10" s="146"/>
      <c r="AQ10" s="146"/>
      <c r="AR10" s="146"/>
      <c r="AS10" s="146"/>
      <c r="AT10" s="146"/>
      <c r="AU10" s="146"/>
      <c r="AV10" s="146"/>
      <c r="AW10" s="146"/>
      <c r="AX10" s="146"/>
      <c r="AY10" s="146"/>
      <c r="AZ10" s="146"/>
      <c r="BA10" s="146"/>
      <c r="BB10" s="146"/>
      <c r="BC10" s="146"/>
      <c r="BD10" s="146"/>
      <c r="BE10" s="146"/>
      <c r="BF10" s="146"/>
      <c r="BG10" s="146"/>
      <c r="BH10" s="146"/>
      <c r="BI10" s="146"/>
      <c r="BJ10" s="146"/>
      <c r="BK10" s="146"/>
      <c r="BL10" s="146"/>
      <c r="BM10" s="146"/>
      <c r="BN10" s="146"/>
      <c r="BO10" s="146"/>
      <c r="BP10" s="146"/>
      <c r="BQ10" s="146"/>
      <c r="BR10" s="146"/>
      <c r="BS10" s="146"/>
      <c r="BT10" s="146"/>
      <c r="BU10" s="146"/>
      <c r="BV10" s="146"/>
      <c r="BW10" s="146"/>
      <c r="BX10" s="146"/>
      <c r="BY10" s="146"/>
      <c r="BZ10" s="146"/>
      <c r="CA10" s="146"/>
      <c r="CB10" s="146"/>
      <c r="CC10" s="146"/>
      <c r="CD10" s="146"/>
      <c r="CE10" s="146"/>
      <c r="CF10" s="146"/>
      <c r="CG10" s="146"/>
      <c r="CH10" s="146"/>
      <c r="CI10" s="146"/>
      <c r="CJ10" s="146"/>
      <c r="CK10" s="146"/>
      <c r="CL10" s="146"/>
      <c r="CM10" s="146"/>
      <c r="CN10" s="146"/>
      <c r="CO10" s="146"/>
      <c r="CP10" s="146"/>
      <c r="CQ10" s="146"/>
      <c r="CR10" s="146"/>
      <c r="CS10" s="146"/>
      <c r="CT10" s="146"/>
      <c r="CU10" s="146"/>
      <c r="CV10" s="146"/>
      <c r="CW10" s="146"/>
      <c r="CX10" s="146"/>
      <c r="CY10" s="146"/>
      <c r="CZ10" s="146"/>
      <c r="DA10" s="146"/>
      <c r="DB10" s="146"/>
      <c r="DC10" s="146"/>
      <c r="DD10" s="146"/>
      <c r="DE10" s="146"/>
      <c r="DF10" s="146"/>
      <c r="DG10" s="146"/>
      <c r="DH10" s="146"/>
      <c r="DI10" s="146"/>
      <c r="DJ10" s="146"/>
      <c r="DK10" s="146"/>
      <c r="DL10" s="146"/>
      <c r="DM10" s="146"/>
      <c r="DN10" s="146"/>
      <c r="DO10" s="146"/>
      <c r="DP10" s="146"/>
      <c r="DQ10" s="146"/>
      <c r="DR10" s="146"/>
      <c r="DS10" s="146"/>
      <c r="DT10" s="146"/>
      <c r="DU10" s="146"/>
      <c r="DV10" s="146"/>
      <c r="DW10" s="146"/>
      <c r="DX10" s="146"/>
      <c r="DY10" s="146"/>
      <c r="DZ10" s="146"/>
      <c r="EA10" s="146"/>
      <c r="EB10" s="146"/>
      <c r="EC10" s="146"/>
      <c r="ED10" s="146"/>
      <c r="EE10" s="146"/>
      <c r="EF10" s="146"/>
      <c r="EG10" s="146"/>
      <c r="EH10" s="146"/>
      <c r="EI10" s="146"/>
      <c r="EJ10" s="146"/>
      <c r="EK10" s="146"/>
      <c r="EL10" s="146"/>
      <c r="EM10" s="146"/>
      <c r="EN10" s="146"/>
      <c r="EO10" s="146"/>
      <c r="EP10" s="146"/>
      <c r="EQ10" s="146"/>
    </row>
    <row r="11">
      <c r="A11" s="177" t="s">
        <v>111</v>
      </c>
      <c r="B11" s="178" t="s">
        <v>335</v>
      </c>
      <c r="C11" s="179" t="s">
        <v>340</v>
      </c>
      <c r="D11" s="178" t="s">
        <v>328</v>
      </c>
      <c r="E11" s="179" t="s">
        <v>329</v>
      </c>
      <c r="F11" s="178" t="s">
        <v>330</v>
      </c>
      <c r="G11" s="178">
        <v>125.0</v>
      </c>
      <c r="H11" s="180"/>
      <c r="I11" s="180"/>
      <c r="J11" s="180">
        <v>43843.0</v>
      </c>
      <c r="K11" s="175">
        <f t="shared" si="1"/>
        <v>44939</v>
      </c>
      <c r="L11" s="176" t="str">
        <f t="shared" si="2"/>
        <v>Overdue</v>
      </c>
      <c r="M11" s="180"/>
      <c r="N11" s="146"/>
      <c r="O11" s="146"/>
      <c r="P11" s="146"/>
      <c r="Q11" s="146"/>
      <c r="R11" s="146"/>
      <c r="S11" s="146"/>
      <c r="T11" s="146"/>
      <c r="U11" s="146"/>
      <c r="V11" s="146"/>
      <c r="W11" s="146"/>
      <c r="X11" s="146"/>
      <c r="Y11" s="146"/>
      <c r="Z11" s="146"/>
      <c r="AA11" s="146"/>
      <c r="AB11" s="146"/>
      <c r="AC11" s="146"/>
      <c r="AD11" s="146"/>
      <c r="AE11" s="146"/>
      <c r="AF11" s="146"/>
      <c r="AG11" s="146"/>
      <c r="AH11" s="146"/>
      <c r="AI11" s="146"/>
      <c r="AJ11" s="146"/>
      <c r="AK11" s="146"/>
      <c r="AL11" s="146"/>
      <c r="AM11" s="146"/>
      <c r="AN11" s="146"/>
      <c r="AO11" s="146"/>
      <c r="AP11" s="146"/>
      <c r="AQ11" s="146"/>
      <c r="AR11" s="146"/>
      <c r="AS11" s="146"/>
      <c r="AT11" s="146"/>
      <c r="AU11" s="146"/>
      <c r="AV11" s="146"/>
      <c r="AW11" s="146"/>
      <c r="AX11" s="146"/>
      <c r="AY11" s="146"/>
      <c r="AZ11" s="146"/>
      <c r="BA11" s="146"/>
      <c r="BB11" s="146"/>
      <c r="BC11" s="146"/>
      <c r="BD11" s="146"/>
      <c r="BE11" s="146"/>
      <c r="BF11" s="146"/>
      <c r="BG11" s="146"/>
      <c r="BH11" s="146"/>
      <c r="BI11" s="146"/>
      <c r="BJ11" s="146"/>
      <c r="BK11" s="146"/>
      <c r="BL11" s="146"/>
      <c r="BM11" s="146"/>
      <c r="BN11" s="146"/>
      <c r="BO11" s="146"/>
      <c r="BP11" s="146"/>
      <c r="BQ11" s="146"/>
      <c r="BR11" s="146"/>
      <c r="BS11" s="146"/>
      <c r="BT11" s="146"/>
      <c r="BU11" s="146"/>
      <c r="BV11" s="146"/>
      <c r="BW11" s="146"/>
      <c r="BX11" s="146"/>
      <c r="BY11" s="146"/>
      <c r="BZ11" s="146"/>
      <c r="CA11" s="146"/>
      <c r="CB11" s="146"/>
      <c r="CC11" s="146"/>
      <c r="CD11" s="146"/>
      <c r="CE11" s="146"/>
      <c r="CF11" s="146"/>
      <c r="CG11" s="146"/>
      <c r="CH11" s="146"/>
      <c r="CI11" s="146"/>
      <c r="CJ11" s="146"/>
      <c r="CK11" s="146"/>
      <c r="CL11" s="146"/>
      <c r="CM11" s="146"/>
      <c r="CN11" s="146"/>
      <c r="CO11" s="146"/>
      <c r="CP11" s="146"/>
      <c r="CQ11" s="146"/>
      <c r="CR11" s="146"/>
      <c r="CS11" s="146"/>
      <c r="CT11" s="146"/>
      <c r="CU11" s="146"/>
      <c r="CV11" s="146"/>
      <c r="CW11" s="146"/>
      <c r="CX11" s="146"/>
      <c r="CY11" s="146"/>
      <c r="CZ11" s="146"/>
      <c r="DA11" s="146"/>
      <c r="DB11" s="146"/>
      <c r="DC11" s="146"/>
      <c r="DD11" s="146"/>
      <c r="DE11" s="146"/>
      <c r="DF11" s="146"/>
      <c r="DG11" s="146"/>
      <c r="DH11" s="146"/>
      <c r="DI11" s="146"/>
      <c r="DJ11" s="146"/>
      <c r="DK11" s="146"/>
      <c r="DL11" s="146"/>
      <c r="DM11" s="146"/>
      <c r="DN11" s="146"/>
      <c r="DO11" s="146"/>
      <c r="DP11" s="146"/>
      <c r="DQ11" s="146"/>
      <c r="DR11" s="146"/>
      <c r="DS11" s="146"/>
      <c r="DT11" s="146"/>
      <c r="DU11" s="146"/>
      <c r="DV11" s="146"/>
      <c r="DW11" s="146"/>
      <c r="DX11" s="146"/>
      <c r="DY11" s="146"/>
      <c r="DZ11" s="146"/>
      <c r="EA11" s="146"/>
      <c r="EB11" s="146"/>
      <c r="EC11" s="146"/>
      <c r="ED11" s="146"/>
      <c r="EE11" s="146"/>
      <c r="EF11" s="146"/>
      <c r="EG11" s="146"/>
      <c r="EH11" s="146"/>
      <c r="EI11" s="146"/>
      <c r="EJ11" s="146"/>
      <c r="EK11" s="146"/>
      <c r="EL11" s="146"/>
      <c r="EM11" s="146"/>
      <c r="EN11" s="146"/>
      <c r="EO11" s="146"/>
      <c r="EP11" s="146"/>
      <c r="EQ11" s="146"/>
    </row>
    <row r="12">
      <c r="A12" s="171" t="s">
        <v>112</v>
      </c>
      <c r="B12" s="172" t="s">
        <v>335</v>
      </c>
      <c r="C12" s="173" t="s">
        <v>341</v>
      </c>
      <c r="D12" s="172" t="s">
        <v>328</v>
      </c>
      <c r="E12" s="173" t="s">
        <v>329</v>
      </c>
      <c r="F12" s="172" t="s">
        <v>330</v>
      </c>
      <c r="G12" s="172">
        <v>125.0</v>
      </c>
      <c r="H12" s="174"/>
      <c r="I12" s="174"/>
      <c r="J12" s="174">
        <v>43843.0</v>
      </c>
      <c r="K12" s="175">
        <f t="shared" si="1"/>
        <v>44939</v>
      </c>
      <c r="L12" s="176" t="str">
        <f t="shared" si="2"/>
        <v>Overdue</v>
      </c>
      <c r="M12" s="174"/>
      <c r="N12" s="146"/>
      <c r="O12" s="146"/>
      <c r="P12" s="146"/>
      <c r="Q12" s="146"/>
      <c r="R12" s="146"/>
      <c r="S12" s="146"/>
      <c r="T12" s="146"/>
      <c r="U12" s="146"/>
      <c r="V12" s="146"/>
      <c r="W12" s="146"/>
      <c r="X12" s="146"/>
      <c r="Y12" s="146"/>
      <c r="Z12" s="146"/>
      <c r="AA12" s="146"/>
      <c r="AB12" s="146"/>
      <c r="AC12" s="146"/>
      <c r="AD12" s="146"/>
      <c r="AE12" s="146"/>
      <c r="AF12" s="146"/>
      <c r="AG12" s="146"/>
      <c r="AH12" s="146"/>
      <c r="AI12" s="146"/>
      <c r="AJ12" s="146"/>
      <c r="AK12" s="146"/>
      <c r="AL12" s="146"/>
      <c r="AM12" s="146"/>
      <c r="AN12" s="146"/>
      <c r="AO12" s="146"/>
      <c r="AP12" s="146"/>
      <c r="AQ12" s="146"/>
      <c r="AR12" s="146"/>
      <c r="AS12" s="146"/>
      <c r="AT12" s="146"/>
      <c r="AU12" s="146"/>
      <c r="AV12" s="146"/>
      <c r="AW12" s="146"/>
      <c r="AX12" s="146"/>
      <c r="AY12" s="146"/>
      <c r="AZ12" s="146"/>
      <c r="BA12" s="146"/>
      <c r="BB12" s="146"/>
      <c r="BC12" s="146"/>
      <c r="BD12" s="146"/>
      <c r="BE12" s="146"/>
      <c r="BF12" s="146"/>
      <c r="BG12" s="146"/>
      <c r="BH12" s="146"/>
      <c r="BI12" s="146"/>
      <c r="BJ12" s="146"/>
      <c r="BK12" s="146"/>
      <c r="BL12" s="146"/>
      <c r="BM12" s="146"/>
      <c r="BN12" s="146"/>
      <c r="BO12" s="146"/>
      <c r="BP12" s="146"/>
      <c r="BQ12" s="146"/>
      <c r="BR12" s="146"/>
      <c r="BS12" s="146"/>
      <c r="BT12" s="146"/>
      <c r="BU12" s="146"/>
      <c r="BV12" s="146"/>
      <c r="BW12" s="146"/>
      <c r="BX12" s="146"/>
      <c r="BY12" s="146"/>
      <c r="BZ12" s="146"/>
      <c r="CA12" s="146"/>
      <c r="CB12" s="146"/>
      <c r="CC12" s="146"/>
      <c r="CD12" s="146"/>
      <c r="CE12" s="146"/>
      <c r="CF12" s="146"/>
      <c r="CG12" s="146"/>
      <c r="CH12" s="146"/>
      <c r="CI12" s="146"/>
      <c r="CJ12" s="146"/>
      <c r="CK12" s="146"/>
      <c r="CL12" s="146"/>
      <c r="CM12" s="146"/>
      <c r="CN12" s="146"/>
      <c r="CO12" s="146"/>
      <c r="CP12" s="146"/>
      <c r="CQ12" s="146"/>
      <c r="CR12" s="146"/>
      <c r="CS12" s="146"/>
      <c r="CT12" s="146"/>
      <c r="CU12" s="146"/>
      <c r="CV12" s="146"/>
      <c r="CW12" s="146"/>
      <c r="CX12" s="146"/>
      <c r="CY12" s="146"/>
      <c r="CZ12" s="146"/>
      <c r="DA12" s="146"/>
      <c r="DB12" s="146"/>
      <c r="DC12" s="146"/>
      <c r="DD12" s="146"/>
      <c r="DE12" s="146"/>
      <c r="DF12" s="146"/>
      <c r="DG12" s="146"/>
      <c r="DH12" s="146"/>
      <c r="DI12" s="146"/>
      <c r="DJ12" s="146"/>
      <c r="DK12" s="146"/>
      <c r="DL12" s="146"/>
      <c r="DM12" s="146"/>
      <c r="DN12" s="146"/>
      <c r="DO12" s="146"/>
      <c r="DP12" s="146"/>
      <c r="DQ12" s="146"/>
      <c r="DR12" s="146"/>
      <c r="DS12" s="146"/>
      <c r="DT12" s="146"/>
      <c r="DU12" s="146"/>
      <c r="DV12" s="146"/>
      <c r="DW12" s="146"/>
      <c r="DX12" s="146"/>
      <c r="DY12" s="146"/>
      <c r="DZ12" s="146"/>
      <c r="EA12" s="146"/>
      <c r="EB12" s="146"/>
      <c r="EC12" s="146"/>
      <c r="ED12" s="146"/>
      <c r="EE12" s="146"/>
      <c r="EF12" s="146"/>
      <c r="EG12" s="146"/>
      <c r="EH12" s="146"/>
      <c r="EI12" s="146"/>
      <c r="EJ12" s="146"/>
      <c r="EK12" s="146"/>
      <c r="EL12" s="146"/>
      <c r="EM12" s="146"/>
      <c r="EN12" s="146"/>
      <c r="EO12" s="146"/>
      <c r="EP12" s="146"/>
      <c r="EQ12" s="146"/>
    </row>
    <row r="13">
      <c r="A13" s="177" t="s">
        <v>113</v>
      </c>
      <c r="B13" s="178" t="s">
        <v>342</v>
      </c>
      <c r="C13" s="179" t="s">
        <v>343</v>
      </c>
      <c r="D13" s="178" t="s">
        <v>328</v>
      </c>
      <c r="E13" s="179" t="s">
        <v>344</v>
      </c>
      <c r="F13" s="178" t="s">
        <v>330</v>
      </c>
      <c r="G13" s="178">
        <v>90.0</v>
      </c>
      <c r="H13" s="180"/>
      <c r="I13" s="180"/>
      <c r="J13" s="180">
        <v>43843.0</v>
      </c>
      <c r="K13" s="175">
        <f t="shared" si="1"/>
        <v>44939</v>
      </c>
      <c r="L13" s="176" t="str">
        <f t="shared" si="2"/>
        <v>Overdue</v>
      </c>
      <c r="M13" s="180"/>
      <c r="N13" s="146"/>
      <c r="O13" s="146"/>
      <c r="P13" s="146"/>
      <c r="Q13" s="146"/>
      <c r="R13" s="146"/>
      <c r="S13" s="146"/>
      <c r="T13" s="146"/>
      <c r="U13" s="146"/>
      <c r="V13" s="146"/>
      <c r="W13" s="146"/>
      <c r="X13" s="146"/>
      <c r="Y13" s="146"/>
      <c r="Z13" s="146"/>
      <c r="AA13" s="146"/>
      <c r="AB13" s="146"/>
      <c r="AC13" s="146"/>
      <c r="AD13" s="146"/>
      <c r="AE13" s="146"/>
      <c r="AF13" s="146"/>
      <c r="AG13" s="146"/>
      <c r="AH13" s="146"/>
      <c r="AI13" s="146"/>
      <c r="AJ13" s="146"/>
      <c r="AK13" s="146"/>
      <c r="AL13" s="146"/>
      <c r="AM13" s="146"/>
      <c r="AN13" s="146"/>
      <c r="AO13" s="146"/>
      <c r="AP13" s="146"/>
      <c r="AQ13" s="146"/>
      <c r="AR13" s="146"/>
      <c r="AS13" s="146"/>
      <c r="AT13" s="146"/>
      <c r="AU13" s="146"/>
      <c r="AV13" s="146"/>
      <c r="AW13" s="146"/>
      <c r="AX13" s="146"/>
      <c r="AY13" s="146"/>
      <c r="AZ13" s="146"/>
      <c r="BA13" s="146"/>
      <c r="BB13" s="146"/>
      <c r="BC13" s="146"/>
      <c r="BD13" s="146"/>
      <c r="BE13" s="146"/>
      <c r="BF13" s="146"/>
      <c r="BG13" s="146"/>
      <c r="BH13" s="146"/>
      <c r="BI13" s="146"/>
      <c r="BJ13" s="146"/>
      <c r="BK13" s="146"/>
      <c r="BL13" s="146"/>
      <c r="BM13" s="146"/>
      <c r="BN13" s="146"/>
      <c r="BO13" s="146"/>
      <c r="BP13" s="146"/>
      <c r="BQ13" s="146"/>
      <c r="BR13" s="146"/>
      <c r="BS13" s="146"/>
      <c r="BT13" s="146"/>
      <c r="BU13" s="146"/>
      <c r="BV13" s="146"/>
      <c r="BW13" s="146"/>
      <c r="BX13" s="146"/>
      <c r="BY13" s="146"/>
      <c r="BZ13" s="146"/>
      <c r="CA13" s="146"/>
      <c r="CB13" s="146"/>
      <c r="CC13" s="146"/>
      <c r="CD13" s="146"/>
      <c r="CE13" s="146"/>
      <c r="CF13" s="146"/>
      <c r="CG13" s="146"/>
      <c r="CH13" s="146"/>
      <c r="CI13" s="146"/>
      <c r="CJ13" s="146"/>
      <c r="CK13" s="146"/>
      <c r="CL13" s="146"/>
      <c r="CM13" s="146"/>
      <c r="CN13" s="146"/>
      <c r="CO13" s="146"/>
      <c r="CP13" s="146"/>
      <c r="CQ13" s="146"/>
      <c r="CR13" s="146"/>
      <c r="CS13" s="146"/>
      <c r="CT13" s="146"/>
      <c r="CU13" s="146"/>
      <c r="CV13" s="146"/>
      <c r="CW13" s="146"/>
      <c r="CX13" s="146"/>
      <c r="CY13" s="146"/>
      <c r="CZ13" s="146"/>
      <c r="DA13" s="146"/>
      <c r="DB13" s="146"/>
      <c r="DC13" s="146"/>
      <c r="DD13" s="146"/>
      <c r="DE13" s="146"/>
      <c r="DF13" s="146"/>
      <c r="DG13" s="146"/>
      <c r="DH13" s="146"/>
      <c r="DI13" s="146"/>
      <c r="DJ13" s="146"/>
      <c r="DK13" s="146"/>
      <c r="DL13" s="146"/>
      <c r="DM13" s="146"/>
      <c r="DN13" s="146"/>
      <c r="DO13" s="146"/>
      <c r="DP13" s="146"/>
      <c r="DQ13" s="146"/>
      <c r="DR13" s="146"/>
      <c r="DS13" s="146"/>
      <c r="DT13" s="146"/>
      <c r="DU13" s="146"/>
      <c r="DV13" s="146"/>
      <c r="DW13" s="146"/>
      <c r="DX13" s="146"/>
      <c r="DY13" s="146"/>
      <c r="DZ13" s="146"/>
      <c r="EA13" s="146"/>
      <c r="EB13" s="146"/>
      <c r="EC13" s="146"/>
      <c r="ED13" s="146"/>
      <c r="EE13" s="146"/>
      <c r="EF13" s="146"/>
      <c r="EG13" s="146"/>
      <c r="EH13" s="146"/>
      <c r="EI13" s="146"/>
      <c r="EJ13" s="146"/>
      <c r="EK13" s="146"/>
      <c r="EL13" s="146"/>
      <c r="EM13" s="146"/>
      <c r="EN13" s="146"/>
      <c r="EO13" s="146"/>
      <c r="EP13" s="146"/>
      <c r="EQ13" s="146"/>
    </row>
    <row r="14">
      <c r="A14" s="171" t="s">
        <v>114</v>
      </c>
      <c r="B14" s="172" t="s">
        <v>342</v>
      </c>
      <c r="C14" s="173" t="s">
        <v>345</v>
      </c>
      <c r="D14" s="172" t="s">
        <v>328</v>
      </c>
      <c r="E14" s="173" t="s">
        <v>346</v>
      </c>
      <c r="F14" s="172" t="s">
        <v>330</v>
      </c>
      <c r="G14" s="172">
        <v>50.0</v>
      </c>
      <c r="H14" s="174">
        <v>44615.0</v>
      </c>
      <c r="I14" s="174" t="s">
        <v>347</v>
      </c>
      <c r="J14" s="174">
        <v>45558.0</v>
      </c>
      <c r="K14" s="175">
        <f t="shared" si="1"/>
        <v>46653</v>
      </c>
      <c r="L14" s="176" t="str">
        <f t="shared" si="2"/>
        <v>Ok</v>
      </c>
      <c r="M14" s="174"/>
      <c r="N14" s="146"/>
      <c r="O14" s="146"/>
      <c r="P14" s="146"/>
      <c r="Q14" s="146"/>
      <c r="R14" s="146"/>
      <c r="S14" s="146"/>
      <c r="T14" s="146"/>
      <c r="U14" s="146"/>
      <c r="V14" s="146"/>
      <c r="W14" s="146"/>
      <c r="X14" s="146"/>
      <c r="Y14" s="146"/>
      <c r="Z14" s="146"/>
      <c r="AA14" s="146"/>
      <c r="AB14" s="146"/>
      <c r="AC14" s="146"/>
      <c r="AD14" s="146"/>
      <c r="AE14" s="146"/>
      <c r="AF14" s="146"/>
      <c r="AG14" s="146"/>
      <c r="AH14" s="146"/>
      <c r="AI14" s="146"/>
      <c r="AJ14" s="146"/>
      <c r="AK14" s="146"/>
      <c r="AL14" s="146"/>
      <c r="AM14" s="146"/>
      <c r="AN14" s="146"/>
      <c r="AO14" s="146"/>
      <c r="AP14" s="146"/>
      <c r="AQ14" s="146"/>
      <c r="AR14" s="146"/>
      <c r="AS14" s="146"/>
      <c r="AT14" s="146"/>
      <c r="AU14" s="146"/>
      <c r="AV14" s="146"/>
      <c r="AW14" s="146"/>
      <c r="AX14" s="146"/>
      <c r="AY14" s="146"/>
      <c r="AZ14" s="146"/>
      <c r="BA14" s="146"/>
      <c r="BB14" s="146"/>
      <c r="BC14" s="146"/>
      <c r="BD14" s="146"/>
      <c r="BE14" s="146"/>
      <c r="BF14" s="146"/>
      <c r="BG14" s="146"/>
      <c r="BH14" s="146"/>
      <c r="BI14" s="146"/>
      <c r="BJ14" s="146"/>
      <c r="BK14" s="146"/>
      <c r="BL14" s="146"/>
      <c r="BM14" s="146"/>
      <c r="BN14" s="146"/>
      <c r="BO14" s="146"/>
      <c r="BP14" s="146"/>
      <c r="BQ14" s="146"/>
      <c r="BR14" s="146"/>
      <c r="BS14" s="146"/>
      <c r="BT14" s="146"/>
      <c r="BU14" s="146"/>
      <c r="BV14" s="146"/>
      <c r="BW14" s="146"/>
      <c r="BX14" s="146"/>
      <c r="BY14" s="146"/>
      <c r="BZ14" s="146"/>
      <c r="CA14" s="146"/>
      <c r="CB14" s="146"/>
      <c r="CC14" s="146"/>
      <c r="CD14" s="146"/>
      <c r="CE14" s="146"/>
      <c r="CF14" s="146"/>
      <c r="CG14" s="146"/>
      <c r="CH14" s="146"/>
      <c r="CI14" s="146"/>
      <c r="CJ14" s="146"/>
      <c r="CK14" s="146"/>
      <c r="CL14" s="146"/>
      <c r="CM14" s="146"/>
      <c r="CN14" s="146"/>
      <c r="CO14" s="146"/>
      <c r="CP14" s="146"/>
      <c r="CQ14" s="146"/>
      <c r="CR14" s="146"/>
      <c r="CS14" s="146"/>
      <c r="CT14" s="146"/>
      <c r="CU14" s="146"/>
      <c r="CV14" s="146"/>
      <c r="CW14" s="146"/>
      <c r="CX14" s="146"/>
      <c r="CY14" s="146"/>
      <c r="CZ14" s="146"/>
      <c r="DA14" s="146"/>
      <c r="DB14" s="146"/>
      <c r="DC14" s="146"/>
      <c r="DD14" s="146"/>
      <c r="DE14" s="146"/>
      <c r="DF14" s="146"/>
      <c r="DG14" s="146"/>
      <c r="DH14" s="146"/>
      <c r="DI14" s="146"/>
      <c r="DJ14" s="146"/>
      <c r="DK14" s="146"/>
      <c r="DL14" s="146"/>
      <c r="DM14" s="146"/>
      <c r="DN14" s="146"/>
      <c r="DO14" s="146"/>
      <c r="DP14" s="146"/>
      <c r="DQ14" s="146"/>
      <c r="DR14" s="146"/>
      <c r="DS14" s="146"/>
      <c r="DT14" s="146"/>
      <c r="DU14" s="146"/>
      <c r="DV14" s="146"/>
      <c r="DW14" s="146"/>
      <c r="DX14" s="146"/>
      <c r="DY14" s="146"/>
      <c r="DZ14" s="146"/>
      <c r="EA14" s="146"/>
      <c r="EB14" s="146"/>
      <c r="EC14" s="146"/>
      <c r="ED14" s="146"/>
      <c r="EE14" s="146"/>
      <c r="EF14" s="146"/>
      <c r="EG14" s="146"/>
      <c r="EH14" s="146"/>
      <c r="EI14" s="146"/>
      <c r="EJ14" s="146"/>
      <c r="EK14" s="146"/>
      <c r="EL14" s="146"/>
      <c r="EM14" s="146"/>
      <c r="EN14" s="146"/>
      <c r="EO14" s="146"/>
      <c r="EP14" s="146"/>
      <c r="EQ14" s="146"/>
    </row>
    <row r="15">
      <c r="A15" s="177" t="s">
        <v>115</v>
      </c>
      <c r="B15" s="178" t="s">
        <v>342</v>
      </c>
      <c r="C15" s="179" t="s">
        <v>348</v>
      </c>
      <c r="D15" s="178" t="s">
        <v>328</v>
      </c>
      <c r="E15" s="179" t="s">
        <v>346</v>
      </c>
      <c r="F15" s="178" t="s">
        <v>330</v>
      </c>
      <c r="G15" s="178">
        <v>120.0</v>
      </c>
      <c r="H15" s="180"/>
      <c r="I15" s="180">
        <v>43843.0</v>
      </c>
      <c r="J15" s="180">
        <v>45558.0</v>
      </c>
      <c r="K15" s="175">
        <f t="shared" si="1"/>
        <v>46653</v>
      </c>
      <c r="L15" s="176" t="str">
        <f t="shared" si="2"/>
        <v>Ok</v>
      </c>
      <c r="M15" s="180"/>
      <c r="N15" s="146"/>
      <c r="O15" s="146"/>
      <c r="P15" s="146"/>
      <c r="Q15" s="146"/>
      <c r="R15" s="146"/>
      <c r="S15" s="146"/>
      <c r="T15" s="146"/>
      <c r="U15" s="146"/>
      <c r="V15" s="146"/>
      <c r="W15" s="146"/>
      <c r="X15" s="146"/>
      <c r="Y15" s="146"/>
      <c r="Z15" s="146"/>
      <c r="AA15" s="146"/>
      <c r="AB15" s="146"/>
      <c r="AC15" s="146"/>
      <c r="AD15" s="146"/>
      <c r="AE15" s="146"/>
      <c r="AF15" s="146"/>
      <c r="AG15" s="146"/>
      <c r="AH15" s="146"/>
      <c r="AI15" s="146"/>
      <c r="AJ15" s="146"/>
      <c r="AK15" s="146"/>
      <c r="AL15" s="146"/>
      <c r="AM15" s="146"/>
      <c r="AN15" s="146"/>
      <c r="AO15" s="146"/>
      <c r="AP15" s="146"/>
      <c r="AQ15" s="146"/>
      <c r="AR15" s="146"/>
      <c r="AS15" s="146"/>
      <c r="AT15" s="146"/>
      <c r="AU15" s="146"/>
      <c r="AV15" s="146"/>
      <c r="AW15" s="146"/>
      <c r="AX15" s="146"/>
      <c r="AY15" s="146"/>
      <c r="AZ15" s="146"/>
      <c r="BA15" s="146"/>
      <c r="BB15" s="146"/>
      <c r="BC15" s="146"/>
      <c r="BD15" s="146"/>
      <c r="BE15" s="146"/>
      <c r="BF15" s="146"/>
      <c r="BG15" s="146"/>
      <c r="BH15" s="146"/>
      <c r="BI15" s="146"/>
      <c r="BJ15" s="146"/>
      <c r="BK15" s="146"/>
      <c r="BL15" s="146"/>
      <c r="BM15" s="146"/>
      <c r="BN15" s="146"/>
      <c r="BO15" s="146"/>
      <c r="BP15" s="146"/>
      <c r="BQ15" s="146"/>
      <c r="BR15" s="146"/>
      <c r="BS15" s="146"/>
      <c r="BT15" s="146"/>
      <c r="BU15" s="146"/>
      <c r="BV15" s="146"/>
      <c r="BW15" s="146"/>
      <c r="BX15" s="146"/>
      <c r="BY15" s="146"/>
      <c r="BZ15" s="146"/>
      <c r="CA15" s="146"/>
      <c r="CB15" s="146"/>
      <c r="CC15" s="146"/>
      <c r="CD15" s="146"/>
      <c r="CE15" s="146"/>
      <c r="CF15" s="146"/>
      <c r="CG15" s="146"/>
      <c r="CH15" s="146"/>
      <c r="CI15" s="146"/>
      <c r="CJ15" s="146"/>
      <c r="CK15" s="146"/>
      <c r="CL15" s="146"/>
      <c r="CM15" s="146"/>
      <c r="CN15" s="146"/>
      <c r="CO15" s="146"/>
      <c r="CP15" s="146"/>
      <c r="CQ15" s="146"/>
      <c r="CR15" s="146"/>
      <c r="CS15" s="146"/>
      <c r="CT15" s="146"/>
      <c r="CU15" s="146"/>
      <c r="CV15" s="146"/>
      <c r="CW15" s="146"/>
      <c r="CX15" s="146"/>
      <c r="CY15" s="146"/>
      <c r="CZ15" s="146"/>
      <c r="DA15" s="146"/>
      <c r="DB15" s="146"/>
      <c r="DC15" s="146"/>
      <c r="DD15" s="146"/>
      <c r="DE15" s="146"/>
      <c r="DF15" s="146"/>
      <c r="DG15" s="146"/>
      <c r="DH15" s="146"/>
      <c r="DI15" s="146"/>
      <c r="DJ15" s="146"/>
      <c r="DK15" s="146"/>
      <c r="DL15" s="146"/>
      <c r="DM15" s="146"/>
      <c r="DN15" s="146"/>
      <c r="DO15" s="146"/>
      <c r="DP15" s="146"/>
      <c r="DQ15" s="146"/>
      <c r="DR15" s="146"/>
      <c r="DS15" s="146"/>
      <c r="DT15" s="146"/>
      <c r="DU15" s="146"/>
      <c r="DV15" s="146"/>
      <c r="DW15" s="146"/>
      <c r="DX15" s="146"/>
      <c r="DY15" s="146"/>
      <c r="DZ15" s="146"/>
      <c r="EA15" s="146"/>
      <c r="EB15" s="146"/>
      <c r="EC15" s="146"/>
      <c r="ED15" s="146"/>
      <c r="EE15" s="146"/>
      <c r="EF15" s="146"/>
      <c r="EG15" s="146"/>
      <c r="EH15" s="146"/>
      <c r="EI15" s="146"/>
      <c r="EJ15" s="146"/>
      <c r="EK15" s="146"/>
      <c r="EL15" s="146"/>
      <c r="EM15" s="146"/>
      <c r="EN15" s="146"/>
      <c r="EO15" s="146"/>
      <c r="EP15" s="146"/>
      <c r="EQ15" s="146"/>
    </row>
    <row r="16">
      <c r="A16" s="171" t="s">
        <v>116</v>
      </c>
      <c r="B16" s="172" t="s">
        <v>335</v>
      </c>
      <c r="C16" s="173" t="s">
        <v>349</v>
      </c>
      <c r="D16" s="172" t="s">
        <v>328</v>
      </c>
      <c r="E16" s="173" t="s">
        <v>329</v>
      </c>
      <c r="F16" s="172" t="s">
        <v>330</v>
      </c>
      <c r="G16" s="172">
        <v>125.0</v>
      </c>
      <c r="H16" s="174"/>
      <c r="I16" s="174">
        <v>44503.0</v>
      </c>
      <c r="J16" s="174">
        <v>44749.0</v>
      </c>
      <c r="K16" s="175">
        <f t="shared" si="1"/>
        <v>45845</v>
      </c>
      <c r="L16" s="176" t="str">
        <f t="shared" si="2"/>
        <v>Overdue</v>
      </c>
      <c r="M16" s="174"/>
      <c r="N16" s="146"/>
      <c r="O16" s="146"/>
      <c r="P16" s="146"/>
      <c r="Q16" s="146"/>
      <c r="R16" s="146"/>
      <c r="S16" s="146"/>
      <c r="T16" s="146"/>
      <c r="U16" s="146"/>
      <c r="V16" s="146"/>
      <c r="W16" s="146"/>
      <c r="X16" s="146"/>
      <c r="Y16" s="146"/>
      <c r="Z16" s="146"/>
      <c r="AA16" s="146"/>
      <c r="AB16" s="146"/>
      <c r="AC16" s="146"/>
      <c r="AD16" s="146"/>
      <c r="AE16" s="146"/>
      <c r="AF16" s="146"/>
      <c r="AG16" s="146"/>
      <c r="AH16" s="146"/>
      <c r="AI16" s="146"/>
      <c r="AJ16" s="146"/>
      <c r="AK16" s="146"/>
      <c r="AL16" s="146"/>
      <c r="AM16" s="146"/>
      <c r="AN16" s="146"/>
      <c r="AO16" s="146"/>
      <c r="AP16" s="146"/>
      <c r="AQ16" s="146"/>
      <c r="AR16" s="146"/>
      <c r="AS16" s="146"/>
      <c r="AT16" s="146"/>
      <c r="AU16" s="146"/>
      <c r="AV16" s="146"/>
      <c r="AW16" s="146"/>
      <c r="AX16" s="146"/>
      <c r="AY16" s="146"/>
      <c r="AZ16" s="146"/>
      <c r="BA16" s="146"/>
      <c r="BB16" s="146"/>
      <c r="BC16" s="146"/>
      <c r="BD16" s="146"/>
      <c r="BE16" s="146"/>
      <c r="BF16" s="146"/>
      <c r="BG16" s="146"/>
      <c r="BH16" s="146"/>
      <c r="BI16" s="146"/>
      <c r="BJ16" s="146"/>
      <c r="BK16" s="146"/>
      <c r="BL16" s="146"/>
      <c r="BM16" s="146"/>
      <c r="BN16" s="146"/>
      <c r="BO16" s="146"/>
      <c r="BP16" s="146"/>
      <c r="BQ16" s="146"/>
      <c r="BR16" s="146"/>
      <c r="BS16" s="146"/>
      <c r="BT16" s="146"/>
      <c r="BU16" s="146"/>
      <c r="BV16" s="146"/>
      <c r="BW16" s="146"/>
      <c r="BX16" s="146"/>
      <c r="BY16" s="146"/>
      <c r="BZ16" s="146"/>
      <c r="CA16" s="146"/>
      <c r="CB16" s="146"/>
      <c r="CC16" s="146"/>
      <c r="CD16" s="146"/>
      <c r="CE16" s="146"/>
      <c r="CF16" s="146"/>
      <c r="CG16" s="146"/>
      <c r="CH16" s="146"/>
      <c r="CI16" s="146"/>
      <c r="CJ16" s="146"/>
      <c r="CK16" s="146"/>
      <c r="CL16" s="146"/>
      <c r="CM16" s="146"/>
      <c r="CN16" s="146"/>
      <c r="CO16" s="146"/>
      <c r="CP16" s="146"/>
      <c r="CQ16" s="146"/>
      <c r="CR16" s="146"/>
      <c r="CS16" s="146"/>
      <c r="CT16" s="146"/>
      <c r="CU16" s="146"/>
      <c r="CV16" s="146"/>
      <c r="CW16" s="146"/>
      <c r="CX16" s="146"/>
      <c r="CY16" s="146"/>
      <c r="CZ16" s="146"/>
      <c r="DA16" s="146"/>
      <c r="DB16" s="146"/>
      <c r="DC16" s="146"/>
      <c r="DD16" s="146"/>
      <c r="DE16" s="146"/>
      <c r="DF16" s="146"/>
      <c r="DG16" s="146"/>
      <c r="DH16" s="146"/>
      <c r="DI16" s="146"/>
      <c r="DJ16" s="146"/>
      <c r="DK16" s="146"/>
      <c r="DL16" s="146"/>
      <c r="DM16" s="146"/>
      <c r="DN16" s="146"/>
      <c r="DO16" s="146"/>
      <c r="DP16" s="146"/>
      <c r="DQ16" s="146"/>
      <c r="DR16" s="146"/>
      <c r="DS16" s="146"/>
      <c r="DT16" s="146"/>
      <c r="DU16" s="146"/>
      <c r="DV16" s="146"/>
      <c r="DW16" s="146"/>
      <c r="DX16" s="146"/>
      <c r="DY16" s="146"/>
      <c r="DZ16" s="146"/>
      <c r="EA16" s="146"/>
      <c r="EB16" s="146"/>
      <c r="EC16" s="146"/>
      <c r="ED16" s="146"/>
      <c r="EE16" s="146"/>
      <c r="EF16" s="146"/>
      <c r="EG16" s="146"/>
      <c r="EH16" s="146"/>
      <c r="EI16" s="146"/>
      <c r="EJ16" s="146"/>
      <c r="EK16" s="146"/>
      <c r="EL16" s="146"/>
      <c r="EM16" s="146"/>
      <c r="EN16" s="146"/>
      <c r="EO16" s="146"/>
      <c r="EP16" s="146"/>
      <c r="EQ16" s="146"/>
    </row>
    <row r="17">
      <c r="A17" s="177" t="s">
        <v>117</v>
      </c>
      <c r="B17" s="178" t="s">
        <v>335</v>
      </c>
      <c r="C17" s="179" t="s">
        <v>350</v>
      </c>
      <c r="D17" s="178" t="s">
        <v>328</v>
      </c>
      <c r="E17" s="179" t="s">
        <v>329</v>
      </c>
      <c r="F17" s="178" t="s">
        <v>330</v>
      </c>
      <c r="G17" s="178">
        <v>106.0</v>
      </c>
      <c r="H17" s="180"/>
      <c r="I17" s="180">
        <v>44503.0</v>
      </c>
      <c r="J17" s="180">
        <v>46138.0</v>
      </c>
      <c r="K17" s="175">
        <f t="shared" si="1"/>
        <v>47234</v>
      </c>
      <c r="L17" s="176" t="str">
        <f t="shared" si="2"/>
        <v>Ok</v>
      </c>
      <c r="M17" s="180"/>
      <c r="N17" s="146"/>
      <c r="O17" s="146"/>
      <c r="P17" s="146"/>
      <c r="Q17" s="146"/>
      <c r="R17" s="146"/>
      <c r="S17" s="146"/>
      <c r="T17" s="146"/>
      <c r="U17" s="146"/>
      <c r="V17" s="146"/>
      <c r="W17" s="146"/>
      <c r="X17" s="146"/>
      <c r="Y17" s="146"/>
      <c r="Z17" s="146"/>
      <c r="AA17" s="146"/>
      <c r="AB17" s="146"/>
      <c r="AC17" s="146"/>
      <c r="AD17" s="146"/>
      <c r="AE17" s="146"/>
      <c r="AF17" s="146"/>
      <c r="AG17" s="146"/>
      <c r="AH17" s="146"/>
      <c r="AI17" s="146"/>
      <c r="AJ17" s="146"/>
      <c r="AK17" s="146"/>
      <c r="AL17" s="146"/>
      <c r="AM17" s="146"/>
      <c r="AN17" s="146"/>
      <c r="AO17" s="146"/>
      <c r="AP17" s="146"/>
      <c r="AQ17" s="146"/>
      <c r="AR17" s="146"/>
      <c r="AS17" s="146"/>
      <c r="AT17" s="146"/>
      <c r="AU17" s="146"/>
      <c r="AV17" s="146"/>
      <c r="AW17" s="146"/>
      <c r="AX17" s="146"/>
      <c r="AY17" s="146"/>
      <c r="AZ17" s="146"/>
      <c r="BA17" s="146"/>
      <c r="BB17" s="146"/>
      <c r="BC17" s="146"/>
      <c r="BD17" s="146"/>
      <c r="BE17" s="146"/>
      <c r="BF17" s="146"/>
      <c r="BG17" s="146"/>
      <c r="BH17" s="146"/>
      <c r="BI17" s="146"/>
      <c r="BJ17" s="146"/>
      <c r="BK17" s="146"/>
      <c r="BL17" s="146"/>
      <c r="BM17" s="146"/>
      <c r="BN17" s="146"/>
      <c r="BO17" s="146"/>
      <c r="BP17" s="146"/>
      <c r="BQ17" s="146"/>
      <c r="BR17" s="146"/>
      <c r="BS17" s="146"/>
      <c r="BT17" s="146"/>
      <c r="BU17" s="146"/>
      <c r="BV17" s="146"/>
      <c r="BW17" s="146"/>
      <c r="BX17" s="146"/>
      <c r="BY17" s="146"/>
      <c r="BZ17" s="146"/>
      <c r="CA17" s="146"/>
      <c r="CB17" s="146"/>
      <c r="CC17" s="146"/>
      <c r="CD17" s="146"/>
      <c r="CE17" s="146"/>
      <c r="CF17" s="146"/>
      <c r="CG17" s="146"/>
      <c r="CH17" s="146"/>
      <c r="CI17" s="146"/>
      <c r="CJ17" s="146"/>
      <c r="CK17" s="146"/>
      <c r="CL17" s="146"/>
      <c r="CM17" s="146"/>
      <c r="CN17" s="146"/>
      <c r="CO17" s="146"/>
      <c r="CP17" s="146"/>
      <c r="CQ17" s="146"/>
      <c r="CR17" s="146"/>
      <c r="CS17" s="146"/>
      <c r="CT17" s="146"/>
      <c r="CU17" s="146"/>
      <c r="CV17" s="146"/>
      <c r="CW17" s="146"/>
      <c r="CX17" s="146"/>
      <c r="CY17" s="146"/>
      <c r="CZ17" s="146"/>
      <c r="DA17" s="146"/>
      <c r="DB17" s="146"/>
      <c r="DC17" s="146"/>
      <c r="DD17" s="146"/>
      <c r="DE17" s="146"/>
      <c r="DF17" s="146"/>
      <c r="DG17" s="146"/>
      <c r="DH17" s="146"/>
      <c r="DI17" s="146"/>
      <c r="DJ17" s="146"/>
      <c r="DK17" s="146"/>
      <c r="DL17" s="146"/>
      <c r="DM17" s="146"/>
      <c r="DN17" s="146"/>
      <c r="DO17" s="146"/>
      <c r="DP17" s="146"/>
      <c r="DQ17" s="146"/>
      <c r="DR17" s="146"/>
      <c r="DS17" s="146"/>
      <c r="DT17" s="146"/>
      <c r="DU17" s="146"/>
      <c r="DV17" s="146"/>
      <c r="DW17" s="146"/>
      <c r="DX17" s="146"/>
      <c r="DY17" s="146"/>
      <c r="DZ17" s="146"/>
      <c r="EA17" s="146"/>
      <c r="EB17" s="146"/>
      <c r="EC17" s="146"/>
      <c r="ED17" s="146"/>
      <c r="EE17" s="146"/>
      <c r="EF17" s="146"/>
      <c r="EG17" s="146"/>
      <c r="EH17" s="146"/>
      <c r="EI17" s="146"/>
      <c r="EJ17" s="146"/>
      <c r="EK17" s="146"/>
      <c r="EL17" s="146"/>
      <c r="EM17" s="146"/>
      <c r="EN17" s="146"/>
      <c r="EO17" s="146"/>
      <c r="EP17" s="146"/>
      <c r="EQ17" s="146"/>
    </row>
    <row r="18">
      <c r="A18" s="171" t="s">
        <v>118</v>
      </c>
      <c r="B18" s="172" t="s">
        <v>335</v>
      </c>
      <c r="C18" s="173" t="s">
        <v>350</v>
      </c>
      <c r="D18" s="172" t="s">
        <v>328</v>
      </c>
      <c r="E18" s="173" t="s">
        <v>329</v>
      </c>
      <c r="F18" s="172" t="s">
        <v>330</v>
      </c>
      <c r="G18" s="172">
        <v>125.0</v>
      </c>
      <c r="H18" s="174">
        <v>44494.0</v>
      </c>
      <c r="I18" s="174">
        <v>44748.0</v>
      </c>
      <c r="J18" s="174">
        <v>45332.0</v>
      </c>
      <c r="K18" s="175">
        <f t="shared" si="1"/>
        <v>46428</v>
      </c>
      <c r="L18" s="176" t="str">
        <f t="shared" si="2"/>
        <v>Ok</v>
      </c>
      <c r="M18" s="174"/>
      <c r="N18" s="146"/>
      <c r="O18" s="146"/>
      <c r="P18" s="146"/>
      <c r="Q18" s="146"/>
      <c r="R18" s="146"/>
      <c r="S18" s="146"/>
      <c r="T18" s="146"/>
      <c r="U18" s="146"/>
      <c r="V18" s="146"/>
      <c r="W18" s="146"/>
      <c r="X18" s="146"/>
      <c r="Y18" s="146"/>
      <c r="Z18" s="146"/>
      <c r="AA18" s="146"/>
      <c r="AB18" s="146"/>
      <c r="AC18" s="146"/>
      <c r="AD18" s="146"/>
      <c r="AE18" s="146"/>
      <c r="AF18" s="146"/>
      <c r="AG18" s="146"/>
      <c r="AH18" s="146"/>
      <c r="AI18" s="146"/>
      <c r="AJ18" s="146"/>
      <c r="AK18" s="146"/>
      <c r="AL18" s="146"/>
      <c r="AM18" s="146"/>
      <c r="AN18" s="146"/>
      <c r="AO18" s="146"/>
      <c r="AP18" s="146"/>
      <c r="AQ18" s="146"/>
      <c r="AR18" s="146"/>
      <c r="AS18" s="146"/>
      <c r="AT18" s="146"/>
      <c r="AU18" s="146"/>
      <c r="AV18" s="146"/>
      <c r="AW18" s="146"/>
      <c r="AX18" s="146"/>
      <c r="AY18" s="146"/>
      <c r="AZ18" s="146"/>
      <c r="BA18" s="146"/>
      <c r="BB18" s="146"/>
      <c r="BC18" s="146"/>
      <c r="BD18" s="146"/>
      <c r="BE18" s="146"/>
      <c r="BF18" s="146"/>
      <c r="BG18" s="146"/>
      <c r="BH18" s="146"/>
      <c r="BI18" s="146"/>
      <c r="BJ18" s="146"/>
      <c r="BK18" s="146"/>
      <c r="BL18" s="146"/>
      <c r="BM18" s="146"/>
      <c r="BN18" s="146"/>
      <c r="BO18" s="146"/>
      <c r="BP18" s="146"/>
      <c r="BQ18" s="146"/>
      <c r="BR18" s="146"/>
      <c r="BS18" s="146"/>
      <c r="BT18" s="146"/>
      <c r="BU18" s="146"/>
      <c r="BV18" s="146"/>
      <c r="BW18" s="146"/>
      <c r="BX18" s="146"/>
      <c r="BY18" s="146"/>
      <c r="BZ18" s="146"/>
      <c r="CA18" s="146"/>
      <c r="CB18" s="146"/>
      <c r="CC18" s="146"/>
      <c r="CD18" s="146"/>
      <c r="CE18" s="146"/>
      <c r="CF18" s="146"/>
      <c r="CG18" s="146"/>
      <c r="CH18" s="146"/>
      <c r="CI18" s="146"/>
      <c r="CJ18" s="146"/>
      <c r="CK18" s="146"/>
      <c r="CL18" s="146"/>
      <c r="CM18" s="146"/>
      <c r="CN18" s="146"/>
      <c r="CO18" s="146"/>
      <c r="CP18" s="146"/>
      <c r="CQ18" s="146"/>
      <c r="CR18" s="146"/>
      <c r="CS18" s="146"/>
      <c r="CT18" s="146"/>
      <c r="CU18" s="146"/>
      <c r="CV18" s="146"/>
      <c r="CW18" s="146"/>
      <c r="CX18" s="146"/>
      <c r="CY18" s="146"/>
      <c r="CZ18" s="146"/>
      <c r="DA18" s="146"/>
      <c r="DB18" s="146"/>
      <c r="DC18" s="146"/>
      <c r="DD18" s="146"/>
      <c r="DE18" s="146"/>
      <c r="DF18" s="146"/>
      <c r="DG18" s="146"/>
      <c r="DH18" s="146"/>
      <c r="DI18" s="146"/>
      <c r="DJ18" s="146"/>
      <c r="DK18" s="146"/>
      <c r="DL18" s="146"/>
      <c r="DM18" s="146"/>
      <c r="DN18" s="146"/>
      <c r="DO18" s="146"/>
      <c r="DP18" s="146"/>
      <c r="DQ18" s="146"/>
      <c r="DR18" s="146"/>
      <c r="DS18" s="146"/>
      <c r="DT18" s="146"/>
      <c r="DU18" s="146"/>
      <c r="DV18" s="146"/>
      <c r="DW18" s="146"/>
      <c r="DX18" s="146"/>
      <c r="DY18" s="146"/>
      <c r="DZ18" s="146"/>
      <c r="EA18" s="146"/>
      <c r="EB18" s="146"/>
      <c r="EC18" s="146"/>
      <c r="ED18" s="146"/>
      <c r="EE18" s="146"/>
      <c r="EF18" s="146"/>
      <c r="EG18" s="146"/>
      <c r="EH18" s="146"/>
      <c r="EI18" s="146"/>
      <c r="EJ18" s="146"/>
      <c r="EK18" s="146"/>
      <c r="EL18" s="146"/>
      <c r="EM18" s="146"/>
      <c r="EN18" s="146"/>
      <c r="EO18" s="146"/>
      <c r="EP18" s="146"/>
      <c r="EQ18" s="146"/>
    </row>
    <row r="19">
      <c r="A19" s="177" t="s">
        <v>119</v>
      </c>
      <c r="B19" s="178" t="s">
        <v>335</v>
      </c>
      <c r="C19" s="179" t="s">
        <v>350</v>
      </c>
      <c r="D19" s="178" t="s">
        <v>328</v>
      </c>
      <c r="E19" s="179" t="s">
        <v>329</v>
      </c>
      <c r="F19" s="178" t="s">
        <v>330</v>
      </c>
      <c r="G19" s="178">
        <v>125.0</v>
      </c>
      <c r="H19" s="180"/>
      <c r="I19" s="180"/>
      <c r="J19" s="180">
        <v>43313.0</v>
      </c>
      <c r="K19" s="175">
        <f t="shared" si="1"/>
        <v>44409</v>
      </c>
      <c r="L19" s="176" t="str">
        <f t="shared" si="2"/>
        <v>Overdue</v>
      </c>
      <c r="M19" s="180"/>
      <c r="N19" s="146"/>
      <c r="O19" s="146"/>
      <c r="P19" s="146"/>
      <c r="Q19" s="146"/>
      <c r="R19" s="146"/>
      <c r="S19" s="146"/>
      <c r="T19" s="146"/>
      <c r="U19" s="146"/>
      <c r="V19" s="146"/>
      <c r="W19" s="146"/>
      <c r="X19" s="146"/>
      <c r="Y19" s="146"/>
      <c r="Z19" s="146"/>
      <c r="AA19" s="146"/>
      <c r="AB19" s="146"/>
      <c r="AC19" s="146"/>
      <c r="AD19" s="146"/>
      <c r="AE19" s="146"/>
      <c r="AF19" s="146"/>
      <c r="AG19" s="146"/>
      <c r="AH19" s="146"/>
      <c r="AI19" s="146"/>
      <c r="AJ19" s="146"/>
      <c r="AK19" s="146"/>
      <c r="AL19" s="146"/>
      <c r="AM19" s="146"/>
      <c r="AN19" s="146"/>
      <c r="AO19" s="146"/>
      <c r="AP19" s="146"/>
      <c r="AQ19" s="146"/>
      <c r="AR19" s="146"/>
      <c r="AS19" s="146"/>
      <c r="AT19" s="146"/>
      <c r="AU19" s="146"/>
      <c r="AV19" s="146"/>
      <c r="AW19" s="146"/>
      <c r="AX19" s="146"/>
      <c r="AY19" s="146"/>
      <c r="AZ19" s="146"/>
      <c r="BA19" s="146"/>
      <c r="BB19" s="146"/>
      <c r="BC19" s="146"/>
      <c r="BD19" s="146"/>
      <c r="BE19" s="146"/>
      <c r="BF19" s="146"/>
      <c r="BG19" s="146"/>
      <c r="BH19" s="146"/>
      <c r="BI19" s="146"/>
      <c r="BJ19" s="146"/>
      <c r="BK19" s="146"/>
      <c r="BL19" s="146"/>
      <c r="BM19" s="146"/>
      <c r="BN19" s="146"/>
      <c r="BO19" s="146"/>
      <c r="BP19" s="146"/>
      <c r="BQ19" s="146"/>
      <c r="BR19" s="146"/>
      <c r="BS19" s="146"/>
      <c r="BT19" s="146"/>
      <c r="BU19" s="146"/>
      <c r="BV19" s="146"/>
      <c r="BW19" s="146"/>
      <c r="BX19" s="146"/>
      <c r="BY19" s="146"/>
      <c r="BZ19" s="146"/>
      <c r="CA19" s="146"/>
      <c r="CB19" s="146"/>
      <c r="CC19" s="146"/>
      <c r="CD19" s="146"/>
      <c r="CE19" s="146"/>
      <c r="CF19" s="146"/>
      <c r="CG19" s="146"/>
      <c r="CH19" s="146"/>
      <c r="CI19" s="146"/>
      <c r="CJ19" s="146"/>
      <c r="CK19" s="146"/>
      <c r="CL19" s="146"/>
      <c r="CM19" s="146"/>
      <c r="CN19" s="146"/>
      <c r="CO19" s="146"/>
      <c r="CP19" s="146"/>
      <c r="CQ19" s="146"/>
      <c r="CR19" s="146"/>
      <c r="CS19" s="146"/>
      <c r="CT19" s="146"/>
      <c r="CU19" s="146"/>
      <c r="CV19" s="146"/>
      <c r="CW19" s="146"/>
      <c r="CX19" s="146"/>
      <c r="CY19" s="146"/>
      <c r="CZ19" s="146"/>
      <c r="DA19" s="146"/>
      <c r="DB19" s="146"/>
      <c r="DC19" s="146"/>
      <c r="DD19" s="146"/>
      <c r="DE19" s="146"/>
      <c r="DF19" s="146"/>
      <c r="DG19" s="146"/>
      <c r="DH19" s="146"/>
      <c r="DI19" s="146"/>
      <c r="DJ19" s="146"/>
      <c r="DK19" s="146"/>
      <c r="DL19" s="146"/>
      <c r="DM19" s="146"/>
      <c r="DN19" s="146"/>
      <c r="DO19" s="146"/>
      <c r="DP19" s="146"/>
      <c r="DQ19" s="146"/>
      <c r="DR19" s="146"/>
      <c r="DS19" s="146"/>
      <c r="DT19" s="146"/>
      <c r="DU19" s="146"/>
      <c r="DV19" s="146"/>
      <c r="DW19" s="146"/>
      <c r="DX19" s="146"/>
      <c r="DY19" s="146"/>
      <c r="DZ19" s="146"/>
      <c r="EA19" s="146"/>
      <c r="EB19" s="146"/>
      <c r="EC19" s="146"/>
      <c r="ED19" s="146"/>
      <c r="EE19" s="146"/>
      <c r="EF19" s="146"/>
      <c r="EG19" s="146"/>
      <c r="EH19" s="146"/>
      <c r="EI19" s="146"/>
      <c r="EJ19" s="146"/>
      <c r="EK19" s="146"/>
      <c r="EL19" s="146"/>
      <c r="EM19" s="146"/>
      <c r="EN19" s="146"/>
      <c r="EO19" s="146"/>
      <c r="EP19" s="146"/>
      <c r="EQ19" s="146"/>
    </row>
    <row r="20">
      <c r="A20" s="171" t="s">
        <v>120</v>
      </c>
      <c r="B20" s="172" t="s">
        <v>335</v>
      </c>
      <c r="C20" s="173" t="s">
        <v>350</v>
      </c>
      <c r="D20" s="172" t="s">
        <v>328</v>
      </c>
      <c r="E20" s="173" t="s">
        <v>329</v>
      </c>
      <c r="F20" s="172" t="s">
        <v>330</v>
      </c>
      <c r="G20" s="172">
        <v>125.0</v>
      </c>
      <c r="H20" s="174"/>
      <c r="I20" s="174"/>
      <c r="J20" s="174">
        <v>43313.0</v>
      </c>
      <c r="K20" s="175">
        <f t="shared" si="1"/>
        <v>44409</v>
      </c>
      <c r="L20" s="176" t="str">
        <f t="shared" si="2"/>
        <v>Overdue</v>
      </c>
      <c r="M20" s="174"/>
      <c r="N20" s="146"/>
      <c r="O20" s="146"/>
      <c r="P20" s="146"/>
      <c r="Q20" s="146"/>
      <c r="R20" s="146"/>
      <c r="S20" s="146"/>
      <c r="T20" s="146"/>
      <c r="U20" s="146"/>
      <c r="V20" s="146"/>
      <c r="W20" s="146"/>
      <c r="X20" s="146"/>
      <c r="Y20" s="146"/>
      <c r="Z20" s="146"/>
      <c r="AA20" s="146"/>
      <c r="AB20" s="146"/>
      <c r="AC20" s="146"/>
      <c r="AD20" s="146"/>
      <c r="AE20" s="146"/>
      <c r="AF20" s="146"/>
      <c r="AG20" s="146"/>
      <c r="AH20" s="146"/>
      <c r="AI20" s="146"/>
      <c r="AJ20" s="146"/>
      <c r="AK20" s="146"/>
      <c r="AL20" s="146"/>
      <c r="AM20" s="146"/>
      <c r="AN20" s="146"/>
      <c r="AO20" s="146"/>
      <c r="AP20" s="146"/>
      <c r="AQ20" s="146"/>
      <c r="AR20" s="146"/>
      <c r="AS20" s="146"/>
      <c r="AT20" s="146"/>
      <c r="AU20" s="146"/>
      <c r="AV20" s="146"/>
      <c r="AW20" s="146"/>
      <c r="AX20" s="146"/>
      <c r="AY20" s="146"/>
      <c r="AZ20" s="146"/>
      <c r="BA20" s="146"/>
      <c r="BB20" s="146"/>
      <c r="BC20" s="146"/>
      <c r="BD20" s="146"/>
      <c r="BE20" s="146"/>
      <c r="BF20" s="146"/>
      <c r="BG20" s="146"/>
      <c r="BH20" s="146"/>
      <c r="BI20" s="146"/>
      <c r="BJ20" s="146"/>
      <c r="BK20" s="146"/>
      <c r="BL20" s="146"/>
      <c r="BM20" s="146"/>
      <c r="BN20" s="146"/>
      <c r="BO20" s="146"/>
      <c r="BP20" s="146"/>
      <c r="BQ20" s="146"/>
      <c r="BR20" s="146"/>
      <c r="BS20" s="146"/>
      <c r="BT20" s="146"/>
      <c r="BU20" s="146"/>
      <c r="BV20" s="146"/>
      <c r="BW20" s="146"/>
      <c r="BX20" s="146"/>
      <c r="BY20" s="146"/>
      <c r="BZ20" s="146"/>
      <c r="CA20" s="146"/>
      <c r="CB20" s="146"/>
      <c r="CC20" s="146"/>
      <c r="CD20" s="146"/>
      <c r="CE20" s="146"/>
      <c r="CF20" s="146"/>
      <c r="CG20" s="146"/>
      <c r="CH20" s="146"/>
      <c r="CI20" s="146"/>
      <c r="CJ20" s="146"/>
      <c r="CK20" s="146"/>
      <c r="CL20" s="146"/>
      <c r="CM20" s="146"/>
      <c r="CN20" s="146"/>
      <c r="CO20" s="146"/>
      <c r="CP20" s="146"/>
      <c r="CQ20" s="146"/>
      <c r="CR20" s="146"/>
      <c r="CS20" s="146"/>
      <c r="CT20" s="146"/>
      <c r="CU20" s="146"/>
      <c r="CV20" s="146"/>
      <c r="CW20" s="146"/>
      <c r="CX20" s="146"/>
      <c r="CY20" s="146"/>
      <c r="CZ20" s="146"/>
      <c r="DA20" s="146"/>
      <c r="DB20" s="146"/>
      <c r="DC20" s="146"/>
      <c r="DD20" s="146"/>
      <c r="DE20" s="146"/>
      <c r="DF20" s="146"/>
      <c r="DG20" s="146"/>
      <c r="DH20" s="146"/>
      <c r="DI20" s="146"/>
      <c r="DJ20" s="146"/>
      <c r="DK20" s="146"/>
      <c r="DL20" s="146"/>
      <c r="DM20" s="146"/>
      <c r="DN20" s="146"/>
      <c r="DO20" s="146"/>
      <c r="DP20" s="146"/>
      <c r="DQ20" s="146"/>
      <c r="DR20" s="146"/>
      <c r="DS20" s="146"/>
      <c r="DT20" s="146"/>
      <c r="DU20" s="146"/>
      <c r="DV20" s="146"/>
      <c r="DW20" s="146"/>
      <c r="DX20" s="146"/>
      <c r="DY20" s="146"/>
      <c r="DZ20" s="146"/>
      <c r="EA20" s="146"/>
      <c r="EB20" s="146"/>
      <c r="EC20" s="146"/>
      <c r="ED20" s="146"/>
      <c r="EE20" s="146"/>
      <c r="EF20" s="146"/>
      <c r="EG20" s="146"/>
      <c r="EH20" s="146"/>
      <c r="EI20" s="146"/>
      <c r="EJ20" s="146"/>
      <c r="EK20" s="146"/>
      <c r="EL20" s="146"/>
      <c r="EM20" s="146"/>
      <c r="EN20" s="146"/>
      <c r="EO20" s="146"/>
      <c r="EP20" s="146"/>
      <c r="EQ20" s="146"/>
    </row>
    <row r="21">
      <c r="A21" s="177" t="s">
        <v>121</v>
      </c>
      <c r="B21" s="178" t="s">
        <v>351</v>
      </c>
      <c r="C21" s="179" t="s">
        <v>352</v>
      </c>
      <c r="D21" s="178" t="s">
        <v>353</v>
      </c>
      <c r="E21" s="179" t="s">
        <v>346</v>
      </c>
      <c r="F21" s="178" t="s">
        <v>330</v>
      </c>
      <c r="G21" s="178">
        <v>70.0</v>
      </c>
      <c r="H21" s="180">
        <v>43983.0</v>
      </c>
      <c r="I21" s="180">
        <v>44699.0</v>
      </c>
      <c r="J21" s="180">
        <v>46134.0</v>
      </c>
      <c r="K21" s="180">
        <f>EDATE(J31, 18)</f>
        <v>46695</v>
      </c>
      <c r="L21" s="176" t="str">
        <f t="shared" si="2"/>
        <v>Ok</v>
      </c>
      <c r="M21" s="180"/>
      <c r="N21" s="146"/>
      <c r="O21" s="146"/>
      <c r="P21" s="146"/>
      <c r="Q21" s="146"/>
      <c r="R21" s="146"/>
      <c r="S21" s="146"/>
      <c r="T21" s="146"/>
      <c r="U21" s="146"/>
      <c r="V21" s="146"/>
      <c r="W21" s="146"/>
      <c r="X21" s="146"/>
      <c r="Y21" s="146"/>
      <c r="Z21" s="146"/>
      <c r="AA21" s="146"/>
      <c r="AB21" s="146"/>
      <c r="AC21" s="146"/>
      <c r="AD21" s="146"/>
      <c r="AE21" s="146"/>
      <c r="AF21" s="146"/>
      <c r="AG21" s="146"/>
      <c r="AH21" s="146"/>
      <c r="AI21" s="146"/>
      <c r="AJ21" s="146"/>
      <c r="AK21" s="146"/>
      <c r="AL21" s="146"/>
      <c r="AM21" s="146"/>
      <c r="AN21" s="146"/>
      <c r="AO21" s="146"/>
      <c r="AP21" s="146"/>
      <c r="AQ21" s="146"/>
      <c r="AR21" s="146"/>
      <c r="AS21" s="146"/>
      <c r="AT21" s="146"/>
      <c r="AU21" s="146"/>
      <c r="AV21" s="146"/>
      <c r="AW21" s="146"/>
      <c r="AX21" s="146"/>
      <c r="AY21" s="146"/>
      <c r="AZ21" s="146"/>
      <c r="BA21" s="146"/>
      <c r="BB21" s="146"/>
      <c r="BC21" s="146"/>
      <c r="BD21" s="146"/>
      <c r="BE21" s="146"/>
      <c r="BF21" s="146"/>
      <c r="BG21" s="146"/>
      <c r="BH21" s="146"/>
      <c r="BI21" s="146"/>
      <c r="BJ21" s="146"/>
      <c r="BK21" s="146"/>
      <c r="BL21" s="146"/>
      <c r="BM21" s="146"/>
      <c r="BN21" s="146"/>
      <c r="BO21" s="146"/>
      <c r="BP21" s="146"/>
      <c r="BQ21" s="146"/>
      <c r="BR21" s="146"/>
      <c r="BS21" s="146"/>
      <c r="BT21" s="146"/>
      <c r="BU21" s="146"/>
      <c r="BV21" s="146"/>
      <c r="BW21" s="146"/>
      <c r="BX21" s="146"/>
      <c r="BY21" s="146"/>
      <c r="BZ21" s="146"/>
      <c r="CA21" s="146"/>
      <c r="CB21" s="146"/>
      <c r="CC21" s="146"/>
      <c r="CD21" s="146"/>
      <c r="CE21" s="146"/>
      <c r="CF21" s="146"/>
      <c r="CG21" s="146"/>
      <c r="CH21" s="146"/>
      <c r="CI21" s="146"/>
      <c r="CJ21" s="146"/>
      <c r="CK21" s="146"/>
      <c r="CL21" s="146"/>
      <c r="CM21" s="146"/>
      <c r="CN21" s="146"/>
      <c r="CO21" s="146"/>
      <c r="CP21" s="146"/>
      <c r="CQ21" s="146"/>
      <c r="CR21" s="146"/>
      <c r="CS21" s="146"/>
      <c r="CT21" s="146"/>
      <c r="CU21" s="146"/>
      <c r="CV21" s="146"/>
      <c r="CW21" s="146"/>
      <c r="CX21" s="146"/>
      <c r="CY21" s="146"/>
      <c r="CZ21" s="146"/>
      <c r="DA21" s="146"/>
      <c r="DB21" s="146"/>
      <c r="DC21" s="146"/>
      <c r="DD21" s="146"/>
      <c r="DE21" s="146"/>
      <c r="DF21" s="146"/>
      <c r="DG21" s="146"/>
      <c r="DH21" s="146"/>
      <c r="DI21" s="146"/>
      <c r="DJ21" s="146"/>
      <c r="DK21" s="146"/>
      <c r="DL21" s="146"/>
      <c r="DM21" s="146"/>
      <c r="DN21" s="146"/>
      <c r="DO21" s="146"/>
      <c r="DP21" s="146"/>
      <c r="DQ21" s="146"/>
      <c r="DR21" s="146"/>
      <c r="DS21" s="146"/>
      <c r="DT21" s="146"/>
      <c r="DU21" s="146"/>
      <c r="DV21" s="146"/>
      <c r="DW21" s="146"/>
      <c r="DX21" s="146"/>
      <c r="DY21" s="146"/>
      <c r="DZ21" s="146"/>
      <c r="EA21" s="146"/>
      <c r="EB21" s="146"/>
      <c r="EC21" s="146"/>
      <c r="ED21" s="146"/>
      <c r="EE21" s="146"/>
      <c r="EF21" s="146"/>
      <c r="EG21" s="146"/>
      <c r="EH21" s="146"/>
      <c r="EI21" s="146"/>
      <c r="EJ21" s="146"/>
      <c r="EK21" s="146"/>
      <c r="EL21" s="146"/>
      <c r="EM21" s="146"/>
      <c r="EN21" s="146"/>
      <c r="EO21" s="146"/>
      <c r="EP21" s="146"/>
      <c r="EQ21" s="146"/>
    </row>
    <row r="22">
      <c r="A22" s="171" t="s">
        <v>122</v>
      </c>
      <c r="B22" s="172" t="s">
        <v>351</v>
      </c>
      <c r="C22" s="173" t="s">
        <v>354</v>
      </c>
      <c r="D22" s="172" t="s">
        <v>328</v>
      </c>
      <c r="E22" s="173" t="s">
        <v>346</v>
      </c>
      <c r="F22" s="172" t="s">
        <v>330</v>
      </c>
      <c r="G22" s="172">
        <v>125.0</v>
      </c>
      <c r="H22" s="174">
        <v>44497.0</v>
      </c>
      <c r="I22" s="174">
        <v>44692.0</v>
      </c>
      <c r="J22" s="174">
        <v>46134.0</v>
      </c>
      <c r="K22" s="175">
        <f t="shared" ref="K22:K24" si="3">EDATE(J22, 36)</f>
        <v>47230</v>
      </c>
      <c r="L22" s="176" t="str">
        <f t="shared" si="2"/>
        <v>Ok</v>
      </c>
      <c r="M22" s="174"/>
      <c r="N22" s="146"/>
      <c r="O22" s="146"/>
      <c r="P22" s="146"/>
      <c r="Q22" s="146"/>
      <c r="R22" s="146"/>
      <c r="S22" s="146"/>
      <c r="T22" s="146"/>
      <c r="U22" s="146"/>
      <c r="V22" s="146"/>
      <c r="W22" s="146"/>
      <c r="X22" s="146"/>
      <c r="Y22" s="146"/>
      <c r="Z22" s="146"/>
      <c r="AA22" s="146"/>
      <c r="AB22" s="146"/>
      <c r="AC22" s="146"/>
      <c r="AD22" s="146"/>
      <c r="AE22" s="146"/>
      <c r="AF22" s="146"/>
      <c r="AG22" s="146"/>
      <c r="AH22" s="146"/>
      <c r="AI22" s="146"/>
      <c r="AJ22" s="146"/>
      <c r="AK22" s="146"/>
      <c r="AL22" s="146"/>
      <c r="AM22" s="146"/>
      <c r="AN22" s="146"/>
      <c r="AO22" s="146"/>
      <c r="AP22" s="146"/>
      <c r="AQ22" s="146"/>
      <c r="AR22" s="146"/>
      <c r="AS22" s="146"/>
      <c r="AT22" s="146"/>
      <c r="AU22" s="146"/>
      <c r="AV22" s="146"/>
      <c r="AW22" s="146"/>
      <c r="AX22" s="146"/>
      <c r="AY22" s="146"/>
      <c r="AZ22" s="146"/>
      <c r="BA22" s="146"/>
      <c r="BB22" s="146"/>
      <c r="BC22" s="146"/>
      <c r="BD22" s="146"/>
      <c r="BE22" s="146"/>
      <c r="BF22" s="146"/>
      <c r="BG22" s="146"/>
      <c r="BH22" s="146"/>
      <c r="BI22" s="146"/>
      <c r="BJ22" s="146"/>
      <c r="BK22" s="146"/>
      <c r="BL22" s="146"/>
      <c r="BM22" s="146"/>
      <c r="BN22" s="146"/>
      <c r="BO22" s="146"/>
      <c r="BP22" s="146"/>
      <c r="BQ22" s="146"/>
      <c r="BR22" s="146"/>
      <c r="BS22" s="146"/>
      <c r="BT22" s="146"/>
      <c r="BU22" s="146"/>
      <c r="BV22" s="146"/>
      <c r="BW22" s="146"/>
      <c r="BX22" s="146"/>
      <c r="BY22" s="146"/>
      <c r="BZ22" s="146"/>
      <c r="CA22" s="146"/>
      <c r="CB22" s="146"/>
      <c r="CC22" s="146"/>
      <c r="CD22" s="146"/>
      <c r="CE22" s="146"/>
      <c r="CF22" s="146"/>
      <c r="CG22" s="146"/>
      <c r="CH22" s="146"/>
      <c r="CI22" s="146"/>
      <c r="CJ22" s="146"/>
      <c r="CK22" s="146"/>
      <c r="CL22" s="146"/>
      <c r="CM22" s="146"/>
      <c r="CN22" s="146"/>
      <c r="CO22" s="146"/>
      <c r="CP22" s="146"/>
      <c r="CQ22" s="146"/>
      <c r="CR22" s="146"/>
      <c r="CS22" s="146"/>
      <c r="CT22" s="146"/>
      <c r="CU22" s="146"/>
      <c r="CV22" s="146"/>
      <c r="CW22" s="146"/>
      <c r="CX22" s="146"/>
      <c r="CY22" s="146"/>
      <c r="CZ22" s="146"/>
      <c r="DA22" s="146"/>
      <c r="DB22" s="146"/>
      <c r="DC22" s="146"/>
      <c r="DD22" s="146"/>
      <c r="DE22" s="146"/>
      <c r="DF22" s="146"/>
      <c r="DG22" s="146"/>
      <c r="DH22" s="146"/>
      <c r="DI22" s="146"/>
      <c r="DJ22" s="146"/>
      <c r="DK22" s="146"/>
      <c r="DL22" s="146"/>
      <c r="DM22" s="146"/>
      <c r="DN22" s="146"/>
      <c r="DO22" s="146"/>
      <c r="DP22" s="146"/>
      <c r="DQ22" s="146"/>
      <c r="DR22" s="146"/>
      <c r="DS22" s="146"/>
      <c r="DT22" s="146"/>
      <c r="DU22" s="146"/>
      <c r="DV22" s="146"/>
      <c r="DW22" s="146"/>
      <c r="DX22" s="146"/>
      <c r="DY22" s="146"/>
      <c r="DZ22" s="146"/>
      <c r="EA22" s="146"/>
      <c r="EB22" s="146"/>
      <c r="EC22" s="146"/>
      <c r="ED22" s="146"/>
      <c r="EE22" s="146"/>
      <c r="EF22" s="146"/>
      <c r="EG22" s="146"/>
      <c r="EH22" s="146"/>
      <c r="EI22" s="146"/>
      <c r="EJ22" s="146"/>
      <c r="EK22" s="146"/>
      <c r="EL22" s="146"/>
      <c r="EM22" s="146"/>
      <c r="EN22" s="146"/>
      <c r="EO22" s="146"/>
      <c r="EP22" s="146"/>
      <c r="EQ22" s="146"/>
    </row>
    <row r="23">
      <c r="A23" s="177" t="s">
        <v>123</v>
      </c>
      <c r="B23" s="178" t="s">
        <v>351</v>
      </c>
      <c r="C23" s="179" t="s">
        <v>354</v>
      </c>
      <c r="D23" s="178" t="s">
        <v>328</v>
      </c>
      <c r="E23" s="179" t="s">
        <v>346</v>
      </c>
      <c r="F23" s="178" t="s">
        <v>330</v>
      </c>
      <c r="G23" s="178">
        <v>125.0</v>
      </c>
      <c r="H23" s="180">
        <v>44497.0</v>
      </c>
      <c r="I23" s="180">
        <v>44692.0</v>
      </c>
      <c r="J23" s="180">
        <v>46134.0</v>
      </c>
      <c r="K23" s="175">
        <f t="shared" si="3"/>
        <v>47230</v>
      </c>
      <c r="L23" s="176" t="str">
        <f t="shared" si="2"/>
        <v>Ok</v>
      </c>
      <c r="M23" s="180"/>
      <c r="N23" s="146"/>
      <c r="O23" s="146"/>
      <c r="P23" s="146"/>
      <c r="Q23" s="146"/>
      <c r="R23" s="146"/>
      <c r="S23" s="146"/>
      <c r="T23" s="146"/>
      <c r="U23" s="146"/>
      <c r="V23" s="146"/>
      <c r="W23" s="146"/>
      <c r="X23" s="146"/>
      <c r="Y23" s="146"/>
      <c r="Z23" s="146"/>
      <c r="AA23" s="146"/>
      <c r="AB23" s="146"/>
      <c r="AC23" s="146"/>
      <c r="AD23" s="146"/>
      <c r="AE23" s="146"/>
      <c r="AF23" s="146"/>
      <c r="AG23" s="146"/>
      <c r="AH23" s="146"/>
      <c r="AI23" s="146"/>
      <c r="AJ23" s="146"/>
      <c r="AK23" s="146"/>
      <c r="AL23" s="146"/>
      <c r="AM23" s="146"/>
      <c r="AN23" s="146"/>
      <c r="AO23" s="146"/>
      <c r="AP23" s="146"/>
      <c r="AQ23" s="146"/>
      <c r="AR23" s="146"/>
      <c r="AS23" s="146"/>
      <c r="AT23" s="146"/>
      <c r="AU23" s="146"/>
      <c r="AV23" s="146"/>
      <c r="AW23" s="146"/>
      <c r="AX23" s="146"/>
      <c r="AY23" s="146"/>
      <c r="AZ23" s="146"/>
      <c r="BA23" s="146"/>
      <c r="BB23" s="146"/>
      <c r="BC23" s="146"/>
      <c r="BD23" s="146"/>
      <c r="BE23" s="146"/>
      <c r="BF23" s="146"/>
      <c r="BG23" s="146"/>
      <c r="BH23" s="146"/>
      <c r="BI23" s="146"/>
      <c r="BJ23" s="146"/>
      <c r="BK23" s="146"/>
      <c r="BL23" s="146"/>
      <c r="BM23" s="146"/>
      <c r="BN23" s="146"/>
      <c r="BO23" s="146"/>
      <c r="BP23" s="146"/>
      <c r="BQ23" s="146"/>
      <c r="BR23" s="146"/>
      <c r="BS23" s="146"/>
      <c r="BT23" s="146"/>
      <c r="BU23" s="146"/>
      <c r="BV23" s="146"/>
      <c r="BW23" s="146"/>
      <c r="BX23" s="146"/>
      <c r="BY23" s="146"/>
      <c r="BZ23" s="146"/>
      <c r="CA23" s="146"/>
      <c r="CB23" s="146"/>
      <c r="CC23" s="146"/>
      <c r="CD23" s="146"/>
      <c r="CE23" s="146"/>
      <c r="CF23" s="146"/>
      <c r="CG23" s="146"/>
      <c r="CH23" s="146"/>
      <c r="CI23" s="146"/>
      <c r="CJ23" s="146"/>
      <c r="CK23" s="146"/>
      <c r="CL23" s="146"/>
      <c r="CM23" s="146"/>
      <c r="CN23" s="146"/>
      <c r="CO23" s="146"/>
      <c r="CP23" s="146"/>
      <c r="CQ23" s="146"/>
      <c r="CR23" s="146"/>
      <c r="CS23" s="146"/>
      <c r="CT23" s="146"/>
      <c r="CU23" s="146"/>
      <c r="CV23" s="146"/>
      <c r="CW23" s="146"/>
      <c r="CX23" s="146"/>
      <c r="CY23" s="146"/>
      <c r="CZ23" s="146"/>
      <c r="DA23" s="146"/>
      <c r="DB23" s="146"/>
      <c r="DC23" s="146"/>
      <c r="DD23" s="146"/>
      <c r="DE23" s="146"/>
      <c r="DF23" s="146"/>
      <c r="DG23" s="146"/>
      <c r="DH23" s="146"/>
      <c r="DI23" s="146"/>
      <c r="DJ23" s="146"/>
      <c r="DK23" s="146"/>
      <c r="DL23" s="146"/>
      <c r="DM23" s="146"/>
      <c r="DN23" s="146"/>
      <c r="DO23" s="146"/>
      <c r="DP23" s="146"/>
      <c r="DQ23" s="146"/>
      <c r="DR23" s="146"/>
      <c r="DS23" s="146"/>
      <c r="DT23" s="146"/>
      <c r="DU23" s="146"/>
      <c r="DV23" s="146"/>
      <c r="DW23" s="146"/>
      <c r="DX23" s="146"/>
      <c r="DY23" s="146"/>
      <c r="DZ23" s="146"/>
      <c r="EA23" s="146"/>
      <c r="EB23" s="146"/>
      <c r="EC23" s="146"/>
      <c r="ED23" s="146"/>
      <c r="EE23" s="146"/>
      <c r="EF23" s="146"/>
      <c r="EG23" s="146"/>
      <c r="EH23" s="146"/>
      <c r="EI23" s="146"/>
      <c r="EJ23" s="146"/>
      <c r="EK23" s="146"/>
      <c r="EL23" s="146"/>
      <c r="EM23" s="146"/>
      <c r="EN23" s="146"/>
      <c r="EO23" s="146"/>
      <c r="EP23" s="146"/>
      <c r="EQ23" s="146"/>
    </row>
    <row r="24">
      <c r="A24" s="171" t="s">
        <v>124</v>
      </c>
      <c r="B24" s="172" t="s">
        <v>355</v>
      </c>
      <c r="C24" s="173" t="s">
        <v>356</v>
      </c>
      <c r="D24" s="172" t="s">
        <v>328</v>
      </c>
      <c r="E24" s="173" t="s">
        <v>344</v>
      </c>
      <c r="F24" s="172" t="s">
        <v>330</v>
      </c>
      <c r="G24" s="172">
        <v>100.0</v>
      </c>
      <c r="H24" s="174"/>
      <c r="I24" s="174"/>
      <c r="J24" s="174">
        <v>46133.0</v>
      </c>
      <c r="K24" s="181">
        <f t="shared" si="3"/>
        <v>47229</v>
      </c>
      <c r="L24" s="176" t="str">
        <f t="shared" si="2"/>
        <v>Ok</v>
      </c>
      <c r="M24" s="174"/>
      <c r="N24" s="146"/>
      <c r="O24" s="146"/>
      <c r="P24" s="146"/>
      <c r="Q24" s="146"/>
      <c r="R24" s="146"/>
      <c r="S24" s="146"/>
      <c r="T24" s="146"/>
      <c r="U24" s="146"/>
      <c r="V24" s="146"/>
      <c r="W24" s="146"/>
      <c r="X24" s="146"/>
      <c r="Y24" s="146"/>
      <c r="Z24" s="146"/>
      <c r="AA24" s="146"/>
      <c r="AB24" s="146"/>
      <c r="AC24" s="146"/>
      <c r="AD24" s="146"/>
      <c r="AE24" s="146"/>
      <c r="AF24" s="146"/>
      <c r="AG24" s="146"/>
      <c r="AH24" s="146"/>
      <c r="AI24" s="146"/>
      <c r="AJ24" s="146"/>
      <c r="AK24" s="146"/>
      <c r="AL24" s="146"/>
      <c r="AM24" s="146"/>
      <c r="AN24" s="146"/>
      <c r="AO24" s="146"/>
      <c r="AP24" s="146"/>
      <c r="AQ24" s="146"/>
      <c r="AR24" s="146"/>
      <c r="AS24" s="146"/>
      <c r="AT24" s="146"/>
      <c r="AU24" s="146"/>
      <c r="AV24" s="146"/>
      <c r="AW24" s="146"/>
      <c r="AX24" s="146"/>
      <c r="AY24" s="146"/>
      <c r="AZ24" s="146"/>
      <c r="BA24" s="146"/>
      <c r="BB24" s="146"/>
      <c r="BC24" s="146"/>
      <c r="BD24" s="146"/>
      <c r="BE24" s="146"/>
      <c r="BF24" s="146"/>
      <c r="BG24" s="146"/>
      <c r="BH24" s="146"/>
      <c r="BI24" s="146"/>
      <c r="BJ24" s="146"/>
      <c r="BK24" s="146"/>
      <c r="BL24" s="146"/>
      <c r="BM24" s="146"/>
      <c r="BN24" s="146"/>
      <c r="BO24" s="146"/>
      <c r="BP24" s="146"/>
      <c r="BQ24" s="146"/>
      <c r="BR24" s="146"/>
      <c r="BS24" s="146"/>
      <c r="BT24" s="146"/>
      <c r="BU24" s="146"/>
      <c r="BV24" s="146"/>
      <c r="BW24" s="146"/>
      <c r="BX24" s="146"/>
      <c r="BY24" s="146"/>
      <c r="BZ24" s="146"/>
      <c r="CA24" s="146"/>
      <c r="CB24" s="146"/>
      <c r="CC24" s="146"/>
      <c r="CD24" s="146"/>
      <c r="CE24" s="146"/>
      <c r="CF24" s="146"/>
      <c r="CG24" s="146"/>
      <c r="CH24" s="146"/>
      <c r="CI24" s="146"/>
      <c r="CJ24" s="146"/>
      <c r="CK24" s="146"/>
      <c r="CL24" s="146"/>
      <c r="CM24" s="146"/>
      <c r="CN24" s="146"/>
      <c r="CO24" s="146"/>
      <c r="CP24" s="146"/>
      <c r="CQ24" s="146"/>
      <c r="CR24" s="146"/>
      <c r="CS24" s="146"/>
      <c r="CT24" s="146"/>
      <c r="CU24" s="146"/>
      <c r="CV24" s="146"/>
      <c r="CW24" s="146"/>
      <c r="CX24" s="146"/>
      <c r="CY24" s="146"/>
      <c r="CZ24" s="146"/>
      <c r="DA24" s="146"/>
      <c r="DB24" s="146"/>
      <c r="DC24" s="146"/>
      <c r="DD24" s="146"/>
      <c r="DE24" s="146"/>
      <c r="DF24" s="146"/>
      <c r="DG24" s="146"/>
      <c r="DH24" s="146"/>
      <c r="DI24" s="146"/>
      <c r="DJ24" s="146"/>
      <c r="DK24" s="146"/>
      <c r="DL24" s="146"/>
      <c r="DM24" s="146"/>
      <c r="DN24" s="146"/>
      <c r="DO24" s="146"/>
      <c r="DP24" s="146"/>
      <c r="DQ24" s="146"/>
      <c r="DR24" s="146"/>
      <c r="DS24" s="146"/>
      <c r="DT24" s="146"/>
      <c r="DU24" s="146"/>
      <c r="DV24" s="146"/>
      <c r="DW24" s="146"/>
      <c r="DX24" s="146"/>
      <c r="DY24" s="146"/>
      <c r="DZ24" s="146"/>
      <c r="EA24" s="146"/>
      <c r="EB24" s="146"/>
      <c r="EC24" s="146"/>
      <c r="ED24" s="146"/>
      <c r="EE24" s="146"/>
      <c r="EF24" s="146"/>
      <c r="EG24" s="146"/>
      <c r="EH24" s="146"/>
      <c r="EI24" s="146"/>
      <c r="EJ24" s="146"/>
      <c r="EK24" s="146"/>
      <c r="EL24" s="146"/>
      <c r="EM24" s="146"/>
      <c r="EN24" s="146"/>
      <c r="EO24" s="146"/>
      <c r="EP24" s="146"/>
      <c r="EQ24" s="146"/>
    </row>
    <row r="25">
      <c r="A25" s="177" t="s">
        <v>125</v>
      </c>
      <c r="B25" s="178" t="s">
        <v>355</v>
      </c>
      <c r="C25" s="179" t="s">
        <v>357</v>
      </c>
      <c r="D25" s="178" t="s">
        <v>358</v>
      </c>
      <c r="E25" s="179" t="s">
        <v>329</v>
      </c>
      <c r="F25" s="178" t="s">
        <v>330</v>
      </c>
      <c r="G25" s="178">
        <v>11.0</v>
      </c>
      <c r="H25" s="180"/>
      <c r="I25" s="180">
        <v>44697.0</v>
      </c>
      <c r="J25" s="182">
        <v>45437.0</v>
      </c>
      <c r="K25" s="183">
        <f t="shared" ref="K25:K26" si="4">EDATE(J25, 24)</f>
        <v>46167</v>
      </c>
      <c r="L25" s="176" t="str">
        <f t="shared" si="2"/>
        <v>Overdue</v>
      </c>
      <c r="M25" s="180"/>
      <c r="N25" s="146"/>
      <c r="O25" s="146"/>
      <c r="P25" s="146"/>
      <c r="Q25" s="146"/>
      <c r="R25" s="146"/>
      <c r="S25" s="146"/>
      <c r="T25" s="146"/>
      <c r="U25" s="146"/>
      <c r="V25" s="146"/>
      <c r="W25" s="146"/>
      <c r="X25" s="146"/>
      <c r="Y25" s="146"/>
      <c r="Z25" s="146"/>
      <c r="AA25" s="146"/>
      <c r="AB25" s="146"/>
      <c r="AC25" s="146"/>
      <c r="AD25" s="146"/>
      <c r="AE25" s="146"/>
      <c r="AF25" s="146"/>
      <c r="AG25" s="146"/>
      <c r="AH25" s="146"/>
      <c r="AI25" s="146"/>
      <c r="AJ25" s="146"/>
      <c r="AK25" s="146"/>
      <c r="AL25" s="146"/>
      <c r="AM25" s="146"/>
      <c r="AN25" s="146"/>
      <c r="AO25" s="146"/>
      <c r="AP25" s="146"/>
      <c r="AQ25" s="146"/>
      <c r="AR25" s="146"/>
      <c r="AS25" s="146"/>
      <c r="AT25" s="146"/>
      <c r="AU25" s="146"/>
      <c r="AV25" s="146"/>
      <c r="AW25" s="146"/>
      <c r="AX25" s="146"/>
      <c r="AY25" s="146"/>
      <c r="AZ25" s="146"/>
      <c r="BA25" s="146"/>
      <c r="BB25" s="146"/>
      <c r="BC25" s="146"/>
      <c r="BD25" s="146"/>
      <c r="BE25" s="146"/>
      <c r="BF25" s="146"/>
      <c r="BG25" s="146"/>
      <c r="BH25" s="146"/>
      <c r="BI25" s="146"/>
      <c r="BJ25" s="146"/>
      <c r="BK25" s="146"/>
      <c r="BL25" s="146"/>
      <c r="BM25" s="146"/>
      <c r="BN25" s="146"/>
      <c r="BO25" s="146"/>
      <c r="BP25" s="146"/>
      <c r="BQ25" s="146"/>
      <c r="BR25" s="146"/>
      <c r="BS25" s="146"/>
      <c r="BT25" s="146"/>
      <c r="BU25" s="146"/>
      <c r="BV25" s="146"/>
      <c r="BW25" s="146"/>
      <c r="BX25" s="146"/>
      <c r="BY25" s="146"/>
      <c r="BZ25" s="146"/>
      <c r="CA25" s="146"/>
      <c r="CB25" s="146"/>
      <c r="CC25" s="146"/>
      <c r="CD25" s="146"/>
      <c r="CE25" s="146"/>
      <c r="CF25" s="146"/>
      <c r="CG25" s="146"/>
      <c r="CH25" s="146"/>
      <c r="CI25" s="146"/>
      <c r="CJ25" s="146"/>
      <c r="CK25" s="146"/>
      <c r="CL25" s="146"/>
      <c r="CM25" s="146"/>
      <c r="CN25" s="146"/>
      <c r="CO25" s="146"/>
      <c r="CP25" s="146"/>
      <c r="CQ25" s="146"/>
      <c r="CR25" s="146"/>
      <c r="CS25" s="146"/>
      <c r="CT25" s="146"/>
      <c r="CU25" s="146"/>
      <c r="CV25" s="146"/>
      <c r="CW25" s="146"/>
      <c r="CX25" s="146"/>
      <c r="CY25" s="146"/>
      <c r="CZ25" s="146"/>
      <c r="DA25" s="146"/>
      <c r="DB25" s="146"/>
      <c r="DC25" s="146"/>
      <c r="DD25" s="146"/>
      <c r="DE25" s="146"/>
      <c r="DF25" s="146"/>
      <c r="DG25" s="146"/>
      <c r="DH25" s="146"/>
      <c r="DI25" s="146"/>
      <c r="DJ25" s="146"/>
      <c r="DK25" s="146"/>
      <c r="DL25" s="146"/>
      <c r="DM25" s="146"/>
      <c r="DN25" s="146"/>
      <c r="DO25" s="146"/>
      <c r="DP25" s="146"/>
      <c r="DQ25" s="146"/>
      <c r="DR25" s="146"/>
      <c r="DS25" s="146"/>
      <c r="DT25" s="146"/>
      <c r="DU25" s="146"/>
      <c r="DV25" s="146"/>
      <c r="DW25" s="146"/>
      <c r="DX25" s="146"/>
      <c r="DY25" s="146"/>
      <c r="DZ25" s="146"/>
      <c r="EA25" s="146"/>
      <c r="EB25" s="146"/>
      <c r="EC25" s="146"/>
      <c r="ED25" s="146"/>
      <c r="EE25" s="146"/>
      <c r="EF25" s="146"/>
      <c r="EG25" s="146"/>
      <c r="EH25" s="146"/>
      <c r="EI25" s="146"/>
      <c r="EJ25" s="146"/>
      <c r="EK25" s="146"/>
      <c r="EL25" s="146"/>
      <c r="EM25" s="146"/>
      <c r="EN25" s="146"/>
      <c r="EO25" s="146"/>
      <c r="EP25" s="146"/>
      <c r="EQ25" s="146"/>
    </row>
    <row r="26">
      <c r="A26" s="171" t="s">
        <v>126</v>
      </c>
      <c r="B26" s="172" t="s">
        <v>355</v>
      </c>
      <c r="C26" s="173" t="s">
        <v>357</v>
      </c>
      <c r="D26" s="172" t="s">
        <v>358</v>
      </c>
      <c r="E26" s="173" t="s">
        <v>329</v>
      </c>
      <c r="F26" s="172" t="s">
        <v>330</v>
      </c>
      <c r="G26" s="172">
        <v>11.0</v>
      </c>
      <c r="H26" s="174"/>
      <c r="I26" s="174">
        <v>44697.0</v>
      </c>
      <c r="J26" s="174">
        <v>46133.0</v>
      </c>
      <c r="K26" s="183">
        <f t="shared" si="4"/>
        <v>46864</v>
      </c>
      <c r="L26" s="176" t="str">
        <f t="shared" si="2"/>
        <v>Ok</v>
      </c>
      <c r="M26" s="174"/>
      <c r="N26" s="146"/>
      <c r="O26" s="146"/>
      <c r="P26" s="146"/>
      <c r="Q26" s="146"/>
      <c r="R26" s="146"/>
      <c r="S26" s="146"/>
      <c r="T26" s="146"/>
      <c r="U26" s="146"/>
      <c r="V26" s="146"/>
      <c r="W26" s="146"/>
      <c r="X26" s="146"/>
      <c r="Y26" s="146"/>
      <c r="Z26" s="146"/>
      <c r="AA26" s="146"/>
      <c r="AB26" s="146"/>
      <c r="AC26" s="146"/>
      <c r="AD26" s="146"/>
      <c r="AE26" s="146"/>
      <c r="AF26" s="146"/>
      <c r="AG26" s="146"/>
      <c r="AH26" s="146"/>
      <c r="AI26" s="146"/>
      <c r="AJ26" s="146"/>
      <c r="AK26" s="146"/>
      <c r="AL26" s="146"/>
      <c r="AM26" s="146"/>
      <c r="AN26" s="146"/>
      <c r="AO26" s="146"/>
      <c r="AP26" s="146"/>
      <c r="AQ26" s="146"/>
      <c r="AR26" s="146"/>
      <c r="AS26" s="146"/>
      <c r="AT26" s="146"/>
      <c r="AU26" s="146"/>
      <c r="AV26" s="146"/>
      <c r="AW26" s="146"/>
      <c r="AX26" s="146"/>
      <c r="AY26" s="146"/>
      <c r="AZ26" s="146"/>
      <c r="BA26" s="146"/>
      <c r="BB26" s="146"/>
      <c r="BC26" s="146"/>
      <c r="BD26" s="146"/>
      <c r="BE26" s="146"/>
      <c r="BF26" s="146"/>
      <c r="BG26" s="146"/>
      <c r="BH26" s="146"/>
      <c r="BI26" s="146"/>
      <c r="BJ26" s="146"/>
      <c r="BK26" s="146"/>
      <c r="BL26" s="146"/>
      <c r="BM26" s="146"/>
      <c r="BN26" s="146"/>
      <c r="BO26" s="146"/>
      <c r="BP26" s="146"/>
      <c r="BQ26" s="146"/>
      <c r="BR26" s="146"/>
      <c r="BS26" s="146"/>
      <c r="BT26" s="146"/>
      <c r="BU26" s="146"/>
      <c r="BV26" s="146"/>
      <c r="BW26" s="146"/>
      <c r="BX26" s="146"/>
      <c r="BY26" s="146"/>
      <c r="BZ26" s="146"/>
      <c r="CA26" s="146"/>
      <c r="CB26" s="146"/>
      <c r="CC26" s="146"/>
      <c r="CD26" s="146"/>
      <c r="CE26" s="146"/>
      <c r="CF26" s="146"/>
      <c r="CG26" s="146"/>
      <c r="CH26" s="146"/>
      <c r="CI26" s="146"/>
      <c r="CJ26" s="146"/>
      <c r="CK26" s="146"/>
      <c r="CL26" s="146"/>
      <c r="CM26" s="146"/>
      <c r="CN26" s="146"/>
      <c r="CO26" s="146"/>
      <c r="CP26" s="146"/>
      <c r="CQ26" s="146"/>
      <c r="CR26" s="146"/>
      <c r="CS26" s="146"/>
      <c r="CT26" s="146"/>
      <c r="CU26" s="146"/>
      <c r="CV26" s="146"/>
      <c r="CW26" s="146"/>
      <c r="CX26" s="146"/>
      <c r="CY26" s="146"/>
      <c r="CZ26" s="146"/>
      <c r="DA26" s="146"/>
      <c r="DB26" s="146"/>
      <c r="DC26" s="146"/>
      <c r="DD26" s="146"/>
      <c r="DE26" s="146"/>
      <c r="DF26" s="146"/>
      <c r="DG26" s="146"/>
      <c r="DH26" s="146"/>
      <c r="DI26" s="146"/>
      <c r="DJ26" s="146"/>
      <c r="DK26" s="146"/>
      <c r="DL26" s="146"/>
      <c r="DM26" s="146"/>
      <c r="DN26" s="146"/>
      <c r="DO26" s="146"/>
      <c r="DP26" s="146"/>
      <c r="DQ26" s="146"/>
      <c r="DR26" s="146"/>
      <c r="DS26" s="146"/>
      <c r="DT26" s="146"/>
      <c r="DU26" s="146"/>
      <c r="DV26" s="146"/>
      <c r="DW26" s="146"/>
      <c r="DX26" s="146"/>
      <c r="DY26" s="146"/>
      <c r="DZ26" s="146"/>
      <c r="EA26" s="146"/>
      <c r="EB26" s="146"/>
      <c r="EC26" s="146"/>
      <c r="ED26" s="146"/>
      <c r="EE26" s="146"/>
      <c r="EF26" s="146"/>
      <c r="EG26" s="146"/>
      <c r="EH26" s="146"/>
      <c r="EI26" s="146"/>
      <c r="EJ26" s="146"/>
      <c r="EK26" s="146"/>
      <c r="EL26" s="146"/>
      <c r="EM26" s="146"/>
      <c r="EN26" s="146"/>
      <c r="EO26" s="146"/>
      <c r="EP26" s="146"/>
      <c r="EQ26" s="146"/>
    </row>
    <row r="27">
      <c r="A27" s="177" t="s">
        <v>127</v>
      </c>
      <c r="B27" s="178" t="s">
        <v>359</v>
      </c>
      <c r="C27" s="179" t="s">
        <v>360</v>
      </c>
      <c r="D27" s="178" t="s">
        <v>353</v>
      </c>
      <c r="E27" s="179" t="s">
        <v>329</v>
      </c>
      <c r="F27" s="178" t="s">
        <v>330</v>
      </c>
      <c r="G27" s="178">
        <v>30.0</v>
      </c>
      <c r="H27" s="180">
        <v>43647.0</v>
      </c>
      <c r="I27" s="180">
        <v>44764.0</v>
      </c>
      <c r="J27" s="180">
        <v>45200.0</v>
      </c>
      <c r="K27" s="180">
        <f>EDATE(J37, 18)</f>
        <v>45887</v>
      </c>
      <c r="L27" s="176" t="str">
        <f t="shared" si="2"/>
        <v>Overdue</v>
      </c>
      <c r="M27" s="180"/>
      <c r="N27" s="146"/>
      <c r="O27" s="146"/>
      <c r="P27" s="146"/>
      <c r="Q27" s="146"/>
      <c r="R27" s="146"/>
      <c r="S27" s="146"/>
      <c r="T27" s="146"/>
      <c r="U27" s="146"/>
      <c r="V27" s="146"/>
      <c r="W27" s="146"/>
      <c r="X27" s="146"/>
      <c r="Y27" s="146"/>
      <c r="Z27" s="146"/>
      <c r="AA27" s="146"/>
      <c r="AB27" s="146"/>
      <c r="AC27" s="146"/>
      <c r="AD27" s="146"/>
      <c r="AE27" s="146"/>
      <c r="AF27" s="146"/>
      <c r="AG27" s="146"/>
      <c r="AH27" s="146"/>
      <c r="AI27" s="146"/>
      <c r="AJ27" s="146"/>
      <c r="AK27" s="146"/>
      <c r="AL27" s="146"/>
      <c r="AM27" s="146"/>
      <c r="AN27" s="146"/>
      <c r="AO27" s="146"/>
      <c r="AP27" s="146"/>
      <c r="AQ27" s="146"/>
      <c r="AR27" s="146"/>
      <c r="AS27" s="146"/>
      <c r="AT27" s="146"/>
      <c r="AU27" s="146"/>
      <c r="AV27" s="146"/>
      <c r="AW27" s="146"/>
      <c r="AX27" s="146"/>
      <c r="AY27" s="146"/>
      <c r="AZ27" s="146"/>
      <c r="BA27" s="146"/>
      <c r="BB27" s="146"/>
      <c r="BC27" s="146"/>
      <c r="BD27" s="146"/>
      <c r="BE27" s="146"/>
      <c r="BF27" s="146"/>
      <c r="BG27" s="146"/>
      <c r="BH27" s="146"/>
      <c r="BI27" s="146"/>
      <c r="BJ27" s="146"/>
      <c r="BK27" s="146"/>
      <c r="BL27" s="146"/>
      <c r="BM27" s="146"/>
      <c r="BN27" s="146"/>
      <c r="BO27" s="146"/>
      <c r="BP27" s="146"/>
      <c r="BQ27" s="146"/>
      <c r="BR27" s="146"/>
      <c r="BS27" s="146"/>
      <c r="BT27" s="146"/>
      <c r="BU27" s="146"/>
      <c r="BV27" s="146"/>
      <c r="BW27" s="146"/>
      <c r="BX27" s="146"/>
      <c r="BY27" s="146"/>
      <c r="BZ27" s="146"/>
      <c r="CA27" s="146"/>
      <c r="CB27" s="146"/>
      <c r="CC27" s="146"/>
      <c r="CD27" s="146"/>
      <c r="CE27" s="146"/>
      <c r="CF27" s="146"/>
      <c r="CG27" s="146"/>
      <c r="CH27" s="146"/>
      <c r="CI27" s="146"/>
      <c r="CJ27" s="146"/>
      <c r="CK27" s="146"/>
      <c r="CL27" s="146"/>
      <c r="CM27" s="146"/>
      <c r="CN27" s="146"/>
      <c r="CO27" s="146"/>
      <c r="CP27" s="146"/>
      <c r="CQ27" s="146"/>
      <c r="CR27" s="146"/>
      <c r="CS27" s="146"/>
      <c r="CT27" s="146"/>
      <c r="CU27" s="146"/>
      <c r="CV27" s="146"/>
      <c r="CW27" s="146"/>
      <c r="CX27" s="146"/>
      <c r="CY27" s="146"/>
      <c r="CZ27" s="146"/>
      <c r="DA27" s="146"/>
      <c r="DB27" s="146"/>
      <c r="DC27" s="146"/>
      <c r="DD27" s="146"/>
      <c r="DE27" s="146"/>
      <c r="DF27" s="146"/>
      <c r="DG27" s="146"/>
      <c r="DH27" s="146"/>
      <c r="DI27" s="146"/>
      <c r="DJ27" s="146"/>
      <c r="DK27" s="146"/>
      <c r="DL27" s="146"/>
      <c r="DM27" s="146"/>
      <c r="DN27" s="146"/>
      <c r="DO27" s="146"/>
      <c r="DP27" s="146"/>
      <c r="DQ27" s="146"/>
      <c r="DR27" s="146"/>
      <c r="DS27" s="146"/>
      <c r="DT27" s="146"/>
      <c r="DU27" s="146"/>
      <c r="DV27" s="146"/>
      <c r="DW27" s="146"/>
      <c r="DX27" s="146"/>
      <c r="DY27" s="146"/>
      <c r="DZ27" s="146"/>
      <c r="EA27" s="146"/>
      <c r="EB27" s="146"/>
      <c r="EC27" s="146"/>
      <c r="ED27" s="146"/>
      <c r="EE27" s="146"/>
      <c r="EF27" s="146"/>
      <c r="EG27" s="146"/>
      <c r="EH27" s="146"/>
      <c r="EI27" s="146"/>
      <c r="EJ27" s="146"/>
      <c r="EK27" s="146"/>
      <c r="EL27" s="146"/>
      <c r="EM27" s="146"/>
      <c r="EN27" s="146"/>
      <c r="EO27" s="146"/>
      <c r="EP27" s="146"/>
      <c r="EQ27" s="146"/>
    </row>
    <row r="28">
      <c r="A28" s="171" t="s">
        <v>129</v>
      </c>
      <c r="B28" s="172" t="s">
        <v>361</v>
      </c>
      <c r="C28" s="173" t="s">
        <v>362</v>
      </c>
      <c r="D28" s="172" t="s">
        <v>328</v>
      </c>
      <c r="E28" s="173" t="s">
        <v>344</v>
      </c>
      <c r="F28" s="172" t="s">
        <v>330</v>
      </c>
      <c r="G28" s="172">
        <v>400.0</v>
      </c>
      <c r="H28" s="174"/>
      <c r="I28" s="174"/>
      <c r="J28" s="174">
        <v>43647.0</v>
      </c>
      <c r="K28" s="175">
        <f t="shared" ref="K28:K30" si="5">EDATE(J28, 36)</f>
        <v>44743</v>
      </c>
      <c r="L28" s="176" t="str">
        <f t="shared" si="2"/>
        <v>Overdue</v>
      </c>
      <c r="M28" s="174"/>
      <c r="N28" s="146"/>
      <c r="O28" s="146"/>
      <c r="P28" s="146"/>
      <c r="Q28" s="146"/>
      <c r="R28" s="146"/>
      <c r="S28" s="146"/>
      <c r="T28" s="146"/>
      <c r="U28" s="146"/>
      <c r="V28" s="146"/>
      <c r="W28" s="146"/>
      <c r="X28" s="146"/>
      <c r="Y28" s="146"/>
      <c r="Z28" s="146"/>
      <c r="AA28" s="146"/>
      <c r="AB28" s="146"/>
      <c r="AC28" s="146"/>
      <c r="AD28" s="146"/>
      <c r="AE28" s="146"/>
      <c r="AF28" s="146"/>
      <c r="AG28" s="146"/>
      <c r="AH28" s="146"/>
      <c r="AI28" s="146"/>
      <c r="AJ28" s="146"/>
      <c r="AK28" s="146"/>
      <c r="AL28" s="146"/>
      <c r="AM28" s="146"/>
      <c r="AN28" s="146"/>
      <c r="AO28" s="146"/>
      <c r="AP28" s="146"/>
      <c r="AQ28" s="146"/>
      <c r="AR28" s="146"/>
      <c r="AS28" s="146"/>
      <c r="AT28" s="146"/>
      <c r="AU28" s="146"/>
      <c r="AV28" s="146"/>
      <c r="AW28" s="146"/>
      <c r="AX28" s="146"/>
      <c r="AY28" s="146"/>
      <c r="AZ28" s="146"/>
      <c r="BA28" s="146"/>
      <c r="BB28" s="146"/>
      <c r="BC28" s="146"/>
      <c r="BD28" s="146"/>
      <c r="BE28" s="146"/>
      <c r="BF28" s="146"/>
      <c r="BG28" s="146"/>
      <c r="BH28" s="146"/>
      <c r="BI28" s="146"/>
      <c r="BJ28" s="146"/>
      <c r="BK28" s="146"/>
      <c r="BL28" s="146"/>
      <c r="BM28" s="146"/>
      <c r="BN28" s="146"/>
      <c r="BO28" s="146"/>
      <c r="BP28" s="146"/>
      <c r="BQ28" s="146"/>
      <c r="BR28" s="146"/>
      <c r="BS28" s="146"/>
      <c r="BT28" s="146"/>
      <c r="BU28" s="146"/>
      <c r="BV28" s="146"/>
      <c r="BW28" s="146"/>
      <c r="BX28" s="146"/>
      <c r="BY28" s="146"/>
      <c r="BZ28" s="146"/>
      <c r="CA28" s="146"/>
      <c r="CB28" s="146"/>
      <c r="CC28" s="146"/>
      <c r="CD28" s="146"/>
      <c r="CE28" s="146"/>
      <c r="CF28" s="146"/>
      <c r="CG28" s="146"/>
      <c r="CH28" s="146"/>
      <c r="CI28" s="146"/>
      <c r="CJ28" s="146"/>
      <c r="CK28" s="146"/>
      <c r="CL28" s="146"/>
      <c r="CM28" s="146"/>
      <c r="CN28" s="146"/>
      <c r="CO28" s="146"/>
      <c r="CP28" s="146"/>
      <c r="CQ28" s="146"/>
      <c r="CR28" s="146"/>
      <c r="CS28" s="146"/>
      <c r="CT28" s="146"/>
      <c r="CU28" s="146"/>
      <c r="CV28" s="146"/>
      <c r="CW28" s="146"/>
      <c r="CX28" s="146"/>
      <c r="CY28" s="146"/>
      <c r="CZ28" s="146"/>
      <c r="DA28" s="146"/>
      <c r="DB28" s="146"/>
      <c r="DC28" s="146"/>
      <c r="DD28" s="146"/>
      <c r="DE28" s="146"/>
      <c r="DF28" s="146"/>
      <c r="DG28" s="146"/>
      <c r="DH28" s="146"/>
      <c r="DI28" s="146"/>
      <c r="DJ28" s="146"/>
      <c r="DK28" s="146"/>
      <c r="DL28" s="146"/>
      <c r="DM28" s="146"/>
      <c r="DN28" s="146"/>
      <c r="DO28" s="146"/>
      <c r="DP28" s="146"/>
      <c r="DQ28" s="146"/>
      <c r="DR28" s="146"/>
      <c r="DS28" s="146"/>
      <c r="DT28" s="146"/>
      <c r="DU28" s="146"/>
      <c r="DV28" s="146"/>
      <c r="DW28" s="146"/>
      <c r="DX28" s="146"/>
      <c r="DY28" s="146"/>
      <c r="DZ28" s="146"/>
      <c r="EA28" s="146"/>
      <c r="EB28" s="146"/>
      <c r="EC28" s="146"/>
      <c r="ED28" s="146"/>
      <c r="EE28" s="146"/>
      <c r="EF28" s="146"/>
      <c r="EG28" s="146"/>
      <c r="EH28" s="146"/>
      <c r="EI28" s="146"/>
      <c r="EJ28" s="146"/>
      <c r="EK28" s="146"/>
      <c r="EL28" s="146"/>
      <c r="EM28" s="146"/>
      <c r="EN28" s="146"/>
      <c r="EO28" s="146"/>
      <c r="EP28" s="146"/>
      <c r="EQ28" s="146"/>
    </row>
    <row r="29">
      <c r="A29" s="177" t="s">
        <v>130</v>
      </c>
      <c r="B29" s="178" t="s">
        <v>363</v>
      </c>
      <c r="C29" s="179" t="s">
        <v>364</v>
      </c>
      <c r="D29" s="178" t="s">
        <v>328</v>
      </c>
      <c r="E29" s="179" t="s">
        <v>344</v>
      </c>
      <c r="F29" s="178" t="s">
        <v>330</v>
      </c>
      <c r="G29" s="178">
        <v>200.0</v>
      </c>
      <c r="H29" s="180"/>
      <c r="I29" s="180"/>
      <c r="J29" s="180">
        <v>44593.0</v>
      </c>
      <c r="K29" s="175">
        <f t="shared" si="5"/>
        <v>45689</v>
      </c>
      <c r="L29" s="176" t="str">
        <f t="shared" si="2"/>
        <v>Overdue</v>
      </c>
      <c r="M29" s="180"/>
      <c r="N29" s="146"/>
      <c r="O29" s="146"/>
      <c r="P29" s="146"/>
      <c r="Q29" s="146"/>
      <c r="R29" s="146"/>
      <c r="S29" s="146"/>
      <c r="T29" s="146"/>
      <c r="U29" s="146"/>
      <c r="V29" s="146"/>
      <c r="W29" s="146"/>
      <c r="X29" s="146"/>
      <c r="Y29" s="146"/>
      <c r="Z29" s="146"/>
      <c r="AA29" s="146"/>
      <c r="AB29" s="146"/>
      <c r="AC29" s="146"/>
      <c r="AD29" s="146"/>
      <c r="AE29" s="146"/>
      <c r="AF29" s="146"/>
      <c r="AG29" s="146"/>
      <c r="AH29" s="146"/>
      <c r="AI29" s="146"/>
      <c r="AJ29" s="146"/>
      <c r="AK29" s="146"/>
      <c r="AL29" s="146"/>
      <c r="AM29" s="146"/>
      <c r="AN29" s="146"/>
      <c r="AO29" s="146"/>
      <c r="AP29" s="146"/>
      <c r="AQ29" s="146"/>
      <c r="AR29" s="146"/>
      <c r="AS29" s="146"/>
      <c r="AT29" s="146"/>
      <c r="AU29" s="146"/>
      <c r="AV29" s="146"/>
      <c r="AW29" s="146"/>
      <c r="AX29" s="146"/>
      <c r="AY29" s="146"/>
      <c r="AZ29" s="146"/>
      <c r="BA29" s="146"/>
      <c r="BB29" s="146"/>
      <c r="BC29" s="146"/>
      <c r="BD29" s="146"/>
      <c r="BE29" s="146"/>
      <c r="BF29" s="146"/>
      <c r="BG29" s="146"/>
      <c r="BH29" s="146"/>
      <c r="BI29" s="146"/>
      <c r="BJ29" s="146"/>
      <c r="BK29" s="146"/>
      <c r="BL29" s="146"/>
      <c r="BM29" s="146"/>
      <c r="BN29" s="146"/>
      <c r="BO29" s="146"/>
      <c r="BP29" s="146"/>
      <c r="BQ29" s="146"/>
      <c r="BR29" s="146"/>
      <c r="BS29" s="146"/>
      <c r="BT29" s="146"/>
      <c r="BU29" s="146"/>
      <c r="BV29" s="146"/>
      <c r="BW29" s="146"/>
      <c r="BX29" s="146"/>
      <c r="BY29" s="146"/>
      <c r="BZ29" s="146"/>
      <c r="CA29" s="146"/>
      <c r="CB29" s="146"/>
      <c r="CC29" s="146"/>
      <c r="CD29" s="146"/>
      <c r="CE29" s="146"/>
      <c r="CF29" s="146"/>
      <c r="CG29" s="146"/>
      <c r="CH29" s="146"/>
      <c r="CI29" s="146"/>
      <c r="CJ29" s="146"/>
      <c r="CK29" s="146"/>
      <c r="CL29" s="146"/>
      <c r="CM29" s="146"/>
      <c r="CN29" s="146"/>
      <c r="CO29" s="146"/>
      <c r="CP29" s="146"/>
      <c r="CQ29" s="146"/>
      <c r="CR29" s="146"/>
      <c r="CS29" s="146"/>
      <c r="CT29" s="146"/>
      <c r="CU29" s="146"/>
      <c r="CV29" s="146"/>
      <c r="CW29" s="146"/>
      <c r="CX29" s="146"/>
      <c r="CY29" s="146"/>
      <c r="CZ29" s="146"/>
      <c r="DA29" s="146"/>
      <c r="DB29" s="146"/>
      <c r="DC29" s="146"/>
      <c r="DD29" s="146"/>
      <c r="DE29" s="146"/>
      <c r="DF29" s="146"/>
      <c r="DG29" s="146"/>
      <c r="DH29" s="146"/>
      <c r="DI29" s="146"/>
      <c r="DJ29" s="146"/>
      <c r="DK29" s="146"/>
      <c r="DL29" s="146"/>
      <c r="DM29" s="146"/>
      <c r="DN29" s="146"/>
      <c r="DO29" s="146"/>
      <c r="DP29" s="146"/>
      <c r="DQ29" s="146"/>
      <c r="DR29" s="146"/>
      <c r="DS29" s="146"/>
      <c r="DT29" s="146"/>
      <c r="DU29" s="146"/>
      <c r="DV29" s="146"/>
      <c r="DW29" s="146"/>
      <c r="DX29" s="146"/>
      <c r="DY29" s="146"/>
      <c r="DZ29" s="146"/>
      <c r="EA29" s="146"/>
      <c r="EB29" s="146"/>
      <c r="EC29" s="146"/>
      <c r="ED29" s="146"/>
      <c r="EE29" s="146"/>
      <c r="EF29" s="146"/>
      <c r="EG29" s="146"/>
      <c r="EH29" s="146"/>
      <c r="EI29" s="146"/>
      <c r="EJ29" s="146"/>
      <c r="EK29" s="146"/>
      <c r="EL29" s="146"/>
      <c r="EM29" s="146"/>
      <c r="EN29" s="146"/>
      <c r="EO29" s="146"/>
      <c r="EP29" s="146"/>
      <c r="EQ29" s="146"/>
    </row>
    <row r="30">
      <c r="A30" s="171" t="s">
        <v>131</v>
      </c>
      <c r="B30" s="172" t="s">
        <v>365</v>
      </c>
      <c r="C30" s="173" t="s">
        <v>366</v>
      </c>
      <c r="D30" s="172" t="s">
        <v>328</v>
      </c>
      <c r="E30" s="173" t="s">
        <v>346</v>
      </c>
      <c r="F30" s="172" t="s">
        <v>330</v>
      </c>
      <c r="G30" s="172">
        <v>48.0</v>
      </c>
      <c r="H30" s="174"/>
      <c r="I30" s="174"/>
      <c r="J30" s="174">
        <v>46055.0</v>
      </c>
      <c r="K30" s="175">
        <f t="shared" si="5"/>
        <v>47151</v>
      </c>
      <c r="L30" s="176" t="str">
        <f t="shared" si="2"/>
        <v>Ok</v>
      </c>
      <c r="M30" s="174"/>
      <c r="N30" s="146"/>
      <c r="O30" s="146"/>
      <c r="P30" s="146"/>
      <c r="Q30" s="146"/>
      <c r="R30" s="146"/>
      <c r="S30" s="146"/>
      <c r="T30" s="146"/>
      <c r="U30" s="146"/>
      <c r="V30" s="146"/>
      <c r="W30" s="146"/>
      <c r="X30" s="146"/>
      <c r="Y30" s="146"/>
      <c r="Z30" s="146"/>
      <c r="AA30" s="146"/>
      <c r="AB30" s="146"/>
      <c r="AC30" s="146"/>
      <c r="AD30" s="146"/>
      <c r="AE30" s="146"/>
      <c r="AF30" s="146"/>
      <c r="AG30" s="146"/>
      <c r="AH30" s="146"/>
      <c r="AI30" s="146"/>
      <c r="AJ30" s="146"/>
      <c r="AK30" s="146"/>
      <c r="AL30" s="146"/>
      <c r="AM30" s="146"/>
      <c r="AN30" s="146"/>
      <c r="AO30" s="146"/>
      <c r="AP30" s="146"/>
      <c r="AQ30" s="146"/>
      <c r="AR30" s="146"/>
      <c r="AS30" s="146"/>
      <c r="AT30" s="146"/>
      <c r="AU30" s="146"/>
      <c r="AV30" s="146"/>
      <c r="AW30" s="146"/>
      <c r="AX30" s="146"/>
      <c r="AY30" s="146"/>
      <c r="AZ30" s="146"/>
      <c r="BA30" s="146"/>
      <c r="BB30" s="146"/>
      <c r="BC30" s="146"/>
      <c r="BD30" s="146"/>
      <c r="BE30" s="146"/>
      <c r="BF30" s="146"/>
      <c r="BG30" s="146"/>
      <c r="BH30" s="146"/>
      <c r="BI30" s="146"/>
      <c r="BJ30" s="146"/>
      <c r="BK30" s="146"/>
      <c r="BL30" s="146"/>
      <c r="BM30" s="146"/>
      <c r="BN30" s="146"/>
      <c r="BO30" s="146"/>
      <c r="BP30" s="146"/>
      <c r="BQ30" s="146"/>
      <c r="BR30" s="146"/>
      <c r="BS30" s="146"/>
      <c r="BT30" s="146"/>
      <c r="BU30" s="146"/>
      <c r="BV30" s="146"/>
      <c r="BW30" s="146"/>
      <c r="BX30" s="146"/>
      <c r="BY30" s="146"/>
      <c r="BZ30" s="146"/>
      <c r="CA30" s="146"/>
      <c r="CB30" s="146"/>
      <c r="CC30" s="146"/>
      <c r="CD30" s="146"/>
      <c r="CE30" s="146"/>
      <c r="CF30" s="146"/>
      <c r="CG30" s="146"/>
      <c r="CH30" s="146"/>
      <c r="CI30" s="146"/>
      <c r="CJ30" s="146"/>
      <c r="CK30" s="146"/>
      <c r="CL30" s="146"/>
      <c r="CM30" s="146"/>
      <c r="CN30" s="146"/>
      <c r="CO30" s="146"/>
      <c r="CP30" s="146"/>
      <c r="CQ30" s="146"/>
      <c r="CR30" s="146"/>
      <c r="CS30" s="146"/>
      <c r="CT30" s="146"/>
      <c r="CU30" s="146"/>
      <c r="CV30" s="146"/>
      <c r="CW30" s="146"/>
      <c r="CX30" s="146"/>
      <c r="CY30" s="146"/>
      <c r="CZ30" s="146"/>
      <c r="DA30" s="146"/>
      <c r="DB30" s="146"/>
      <c r="DC30" s="146"/>
      <c r="DD30" s="146"/>
      <c r="DE30" s="146"/>
      <c r="DF30" s="146"/>
      <c r="DG30" s="146"/>
      <c r="DH30" s="146"/>
      <c r="DI30" s="146"/>
      <c r="DJ30" s="146"/>
      <c r="DK30" s="146"/>
      <c r="DL30" s="146"/>
      <c r="DM30" s="146"/>
      <c r="DN30" s="146"/>
      <c r="DO30" s="146"/>
      <c r="DP30" s="146"/>
      <c r="DQ30" s="146"/>
      <c r="DR30" s="146"/>
      <c r="DS30" s="146"/>
      <c r="DT30" s="146"/>
      <c r="DU30" s="146"/>
      <c r="DV30" s="146"/>
      <c r="DW30" s="146"/>
      <c r="DX30" s="146"/>
      <c r="DY30" s="146"/>
      <c r="DZ30" s="146"/>
      <c r="EA30" s="146"/>
      <c r="EB30" s="146"/>
      <c r="EC30" s="146"/>
      <c r="ED30" s="146"/>
      <c r="EE30" s="146"/>
      <c r="EF30" s="146"/>
      <c r="EG30" s="146"/>
      <c r="EH30" s="146"/>
      <c r="EI30" s="146"/>
      <c r="EJ30" s="146"/>
      <c r="EK30" s="146"/>
      <c r="EL30" s="146"/>
      <c r="EM30" s="146"/>
      <c r="EN30" s="146"/>
      <c r="EO30" s="146"/>
      <c r="EP30" s="146"/>
      <c r="EQ30" s="146"/>
    </row>
    <row r="31">
      <c r="A31" s="184" t="s">
        <v>133</v>
      </c>
      <c r="B31" s="178" t="s">
        <v>367</v>
      </c>
      <c r="C31" s="179" t="s">
        <v>368</v>
      </c>
      <c r="D31" s="178" t="s">
        <v>369</v>
      </c>
      <c r="E31" s="179" t="s">
        <v>370</v>
      </c>
      <c r="F31" s="178" t="s">
        <v>330</v>
      </c>
      <c r="G31" s="178">
        <v>8.0</v>
      </c>
      <c r="H31" s="180">
        <v>44809.0</v>
      </c>
      <c r="I31" s="180">
        <v>44990.0</v>
      </c>
      <c r="J31" s="180">
        <v>46146.0</v>
      </c>
      <c r="K31" s="180">
        <f t="shared" ref="K31:K32" si="6">EDATE(J31, 6)</f>
        <v>46330</v>
      </c>
      <c r="L31" s="176" t="str">
        <f t="shared" si="2"/>
        <v>Ok</v>
      </c>
      <c r="M31" s="180"/>
      <c r="N31" s="146"/>
      <c r="O31" s="146"/>
      <c r="P31" s="146"/>
      <c r="Q31" s="146"/>
      <c r="R31" s="146"/>
      <c r="S31" s="146"/>
      <c r="T31" s="146"/>
      <c r="U31" s="146"/>
      <c r="V31" s="146"/>
      <c r="W31" s="146"/>
      <c r="X31" s="146"/>
      <c r="Y31" s="146"/>
      <c r="Z31" s="146"/>
      <c r="AA31" s="146"/>
      <c r="AB31" s="146"/>
      <c r="AC31" s="146"/>
      <c r="AD31" s="146"/>
      <c r="AE31" s="146"/>
      <c r="AF31" s="146"/>
      <c r="AG31" s="146"/>
      <c r="AH31" s="146"/>
      <c r="AI31" s="146"/>
      <c r="AJ31" s="146"/>
      <c r="AK31" s="146"/>
      <c r="AL31" s="146"/>
      <c r="AM31" s="146"/>
      <c r="AN31" s="146"/>
      <c r="AO31" s="146"/>
      <c r="AP31" s="146"/>
      <c r="AQ31" s="146"/>
      <c r="AR31" s="146"/>
      <c r="AS31" s="146"/>
      <c r="AT31" s="146"/>
      <c r="AU31" s="146"/>
      <c r="AV31" s="146"/>
      <c r="AW31" s="146"/>
      <c r="AX31" s="146"/>
      <c r="AY31" s="146"/>
      <c r="AZ31" s="146"/>
      <c r="BA31" s="146"/>
      <c r="BB31" s="146"/>
      <c r="BC31" s="146"/>
      <c r="BD31" s="146"/>
      <c r="BE31" s="146"/>
      <c r="BF31" s="146"/>
      <c r="BG31" s="146"/>
      <c r="BH31" s="146"/>
      <c r="BI31" s="146"/>
      <c r="BJ31" s="146"/>
      <c r="BK31" s="146"/>
      <c r="BL31" s="146"/>
      <c r="BM31" s="146"/>
      <c r="BN31" s="146"/>
      <c r="BO31" s="146"/>
      <c r="BP31" s="146"/>
      <c r="BQ31" s="146"/>
      <c r="BR31" s="146"/>
      <c r="BS31" s="146"/>
      <c r="BT31" s="146"/>
      <c r="BU31" s="146"/>
      <c r="BV31" s="146"/>
      <c r="BW31" s="146"/>
      <c r="BX31" s="146"/>
      <c r="BY31" s="146"/>
      <c r="BZ31" s="146"/>
      <c r="CA31" s="146"/>
      <c r="CB31" s="146"/>
      <c r="CC31" s="146"/>
      <c r="CD31" s="146"/>
      <c r="CE31" s="146"/>
      <c r="CF31" s="146"/>
      <c r="CG31" s="146"/>
      <c r="CH31" s="146"/>
      <c r="CI31" s="146"/>
      <c r="CJ31" s="146"/>
      <c r="CK31" s="146"/>
      <c r="CL31" s="146"/>
      <c r="CM31" s="146"/>
      <c r="CN31" s="146"/>
      <c r="CO31" s="146"/>
      <c r="CP31" s="146"/>
      <c r="CQ31" s="146"/>
      <c r="CR31" s="146"/>
      <c r="CS31" s="146"/>
      <c r="CT31" s="146"/>
      <c r="CU31" s="146"/>
      <c r="CV31" s="146"/>
      <c r="CW31" s="146"/>
      <c r="CX31" s="146"/>
      <c r="CY31" s="146"/>
      <c r="CZ31" s="146"/>
      <c r="DA31" s="146"/>
      <c r="DB31" s="146"/>
      <c r="DC31" s="146"/>
      <c r="DD31" s="146"/>
      <c r="DE31" s="146"/>
      <c r="DF31" s="146"/>
      <c r="DG31" s="146"/>
      <c r="DH31" s="146"/>
      <c r="DI31" s="146"/>
      <c r="DJ31" s="146"/>
      <c r="DK31" s="146"/>
      <c r="DL31" s="146"/>
      <c r="DM31" s="146"/>
      <c r="DN31" s="146"/>
      <c r="DO31" s="146"/>
      <c r="DP31" s="146"/>
      <c r="DQ31" s="146"/>
      <c r="DR31" s="146"/>
      <c r="DS31" s="146"/>
      <c r="DT31" s="146"/>
      <c r="DU31" s="146"/>
      <c r="DV31" s="146"/>
      <c r="DW31" s="146"/>
      <c r="DX31" s="146"/>
      <c r="DY31" s="146"/>
      <c r="DZ31" s="146"/>
      <c r="EA31" s="146"/>
      <c r="EB31" s="146"/>
      <c r="EC31" s="146"/>
      <c r="ED31" s="146"/>
      <c r="EE31" s="146"/>
      <c r="EF31" s="146"/>
      <c r="EG31" s="146"/>
      <c r="EH31" s="146"/>
      <c r="EI31" s="146"/>
      <c r="EJ31" s="146"/>
      <c r="EK31" s="146"/>
      <c r="EL31" s="146"/>
      <c r="EM31" s="146"/>
      <c r="EN31" s="146"/>
      <c r="EO31" s="146"/>
      <c r="EP31" s="146"/>
      <c r="EQ31" s="146"/>
    </row>
    <row r="32">
      <c r="A32" s="185" t="s">
        <v>134</v>
      </c>
      <c r="B32" s="172"/>
      <c r="C32" s="173" t="s">
        <v>371</v>
      </c>
      <c r="D32" s="172" t="s">
        <v>369</v>
      </c>
      <c r="E32" s="173" t="s">
        <v>370</v>
      </c>
      <c r="F32" s="172" t="s">
        <v>330</v>
      </c>
      <c r="G32" s="172">
        <v>8.0</v>
      </c>
      <c r="H32" s="174">
        <v>44809.0</v>
      </c>
      <c r="I32" s="174">
        <v>44990.0</v>
      </c>
      <c r="J32" s="174">
        <v>46146.0</v>
      </c>
      <c r="K32" s="180">
        <f t="shared" si="6"/>
        <v>46330</v>
      </c>
      <c r="L32" s="176" t="str">
        <f t="shared" si="2"/>
        <v>Ok</v>
      </c>
      <c r="M32" s="174"/>
      <c r="N32" s="146"/>
      <c r="O32" s="146"/>
      <c r="P32" s="146"/>
      <c r="Q32" s="146"/>
      <c r="R32" s="146"/>
      <c r="S32" s="146"/>
      <c r="T32" s="146"/>
      <c r="U32" s="146"/>
      <c r="V32" s="146"/>
      <c r="W32" s="146"/>
      <c r="X32" s="146"/>
      <c r="Y32" s="146"/>
      <c r="Z32" s="146"/>
      <c r="AA32" s="146"/>
      <c r="AB32" s="146"/>
      <c r="AC32" s="146"/>
      <c r="AD32" s="146"/>
      <c r="AE32" s="146"/>
      <c r="AF32" s="146"/>
      <c r="AG32" s="146"/>
      <c r="AH32" s="146"/>
      <c r="AI32" s="146"/>
      <c r="AJ32" s="146"/>
      <c r="AK32" s="146"/>
      <c r="AL32" s="146"/>
      <c r="AM32" s="146"/>
      <c r="AN32" s="146"/>
      <c r="AO32" s="146"/>
      <c r="AP32" s="146"/>
      <c r="AQ32" s="146"/>
      <c r="AR32" s="146"/>
      <c r="AS32" s="146"/>
      <c r="AT32" s="146"/>
      <c r="AU32" s="146"/>
      <c r="AV32" s="146"/>
      <c r="AW32" s="146"/>
      <c r="AX32" s="146"/>
      <c r="AY32" s="146"/>
      <c r="AZ32" s="146"/>
      <c r="BA32" s="146"/>
      <c r="BB32" s="146"/>
      <c r="BC32" s="146"/>
      <c r="BD32" s="146"/>
      <c r="BE32" s="146"/>
      <c r="BF32" s="146"/>
      <c r="BG32" s="146"/>
      <c r="BH32" s="146"/>
      <c r="BI32" s="146"/>
      <c r="BJ32" s="146"/>
      <c r="BK32" s="146"/>
      <c r="BL32" s="146"/>
      <c r="BM32" s="146"/>
      <c r="BN32" s="146"/>
      <c r="BO32" s="146"/>
      <c r="BP32" s="146"/>
      <c r="BQ32" s="146"/>
      <c r="BR32" s="146"/>
      <c r="BS32" s="146"/>
      <c r="BT32" s="146"/>
      <c r="BU32" s="146"/>
      <c r="BV32" s="146"/>
      <c r="BW32" s="146"/>
      <c r="BX32" s="146"/>
      <c r="BY32" s="146"/>
      <c r="BZ32" s="146"/>
      <c r="CA32" s="146"/>
      <c r="CB32" s="146"/>
      <c r="CC32" s="146"/>
      <c r="CD32" s="146"/>
      <c r="CE32" s="146"/>
      <c r="CF32" s="146"/>
      <c r="CG32" s="146"/>
      <c r="CH32" s="146"/>
      <c r="CI32" s="146"/>
      <c r="CJ32" s="146"/>
      <c r="CK32" s="146"/>
      <c r="CL32" s="146"/>
      <c r="CM32" s="146"/>
      <c r="CN32" s="146"/>
      <c r="CO32" s="146"/>
      <c r="CP32" s="146"/>
      <c r="CQ32" s="146"/>
      <c r="CR32" s="146"/>
      <c r="CS32" s="146"/>
      <c r="CT32" s="146"/>
      <c r="CU32" s="146"/>
      <c r="CV32" s="146"/>
      <c r="CW32" s="146"/>
      <c r="CX32" s="146"/>
      <c r="CY32" s="146"/>
      <c r="CZ32" s="146"/>
      <c r="DA32" s="146"/>
      <c r="DB32" s="146"/>
      <c r="DC32" s="146"/>
      <c r="DD32" s="146"/>
      <c r="DE32" s="146"/>
      <c r="DF32" s="146"/>
      <c r="DG32" s="146"/>
      <c r="DH32" s="146"/>
      <c r="DI32" s="146"/>
      <c r="DJ32" s="146"/>
      <c r="DK32" s="146"/>
      <c r="DL32" s="146"/>
      <c r="DM32" s="146"/>
      <c r="DN32" s="146"/>
      <c r="DO32" s="146"/>
      <c r="DP32" s="146"/>
      <c r="DQ32" s="146"/>
      <c r="DR32" s="146"/>
      <c r="DS32" s="146"/>
      <c r="DT32" s="146"/>
      <c r="DU32" s="146"/>
      <c r="DV32" s="146"/>
      <c r="DW32" s="146"/>
      <c r="DX32" s="146"/>
      <c r="DY32" s="146"/>
      <c r="DZ32" s="146"/>
      <c r="EA32" s="146"/>
      <c r="EB32" s="146"/>
      <c r="EC32" s="146"/>
      <c r="ED32" s="146"/>
      <c r="EE32" s="146"/>
      <c r="EF32" s="146"/>
      <c r="EG32" s="146"/>
      <c r="EH32" s="146"/>
      <c r="EI32" s="146"/>
      <c r="EJ32" s="146"/>
      <c r="EK32" s="146"/>
      <c r="EL32" s="146"/>
      <c r="EM32" s="146"/>
      <c r="EN32" s="146"/>
      <c r="EO32" s="146"/>
      <c r="EP32" s="146"/>
      <c r="EQ32" s="146"/>
    </row>
    <row r="33">
      <c r="A33" s="177" t="s">
        <v>135</v>
      </c>
      <c r="B33" s="178" t="s">
        <v>372</v>
      </c>
      <c r="C33" s="179" t="s">
        <v>373</v>
      </c>
      <c r="D33" s="178" t="s">
        <v>328</v>
      </c>
      <c r="E33" s="179" t="s">
        <v>374</v>
      </c>
      <c r="F33" s="178" t="s">
        <v>375</v>
      </c>
      <c r="G33" s="178">
        <v>1700.0</v>
      </c>
      <c r="H33" s="180">
        <v>44484.0</v>
      </c>
      <c r="I33" s="180">
        <v>44809.0</v>
      </c>
      <c r="J33" s="180">
        <v>46132.0</v>
      </c>
      <c r="K33" s="175">
        <f t="shared" ref="K33:K38" si="7">EDATE(J33, 36)</f>
        <v>47228</v>
      </c>
      <c r="L33" s="176" t="str">
        <f t="shared" si="2"/>
        <v>Ok</v>
      </c>
      <c r="M33" s="180"/>
      <c r="N33" s="146"/>
      <c r="O33" s="146"/>
      <c r="P33" s="146"/>
      <c r="Q33" s="146"/>
      <c r="R33" s="146"/>
      <c r="S33" s="146"/>
      <c r="T33" s="146"/>
      <c r="U33" s="146"/>
      <c r="V33" s="146"/>
      <c r="W33" s="146"/>
      <c r="X33" s="146"/>
      <c r="Y33" s="146"/>
      <c r="Z33" s="146"/>
      <c r="AA33" s="146"/>
      <c r="AB33" s="146"/>
      <c r="AC33" s="146"/>
      <c r="AD33" s="146"/>
      <c r="AE33" s="146"/>
      <c r="AF33" s="146"/>
      <c r="AG33" s="146"/>
      <c r="AH33" s="146"/>
      <c r="AI33" s="146"/>
      <c r="AJ33" s="146"/>
      <c r="AK33" s="146"/>
      <c r="AL33" s="146"/>
      <c r="AM33" s="146"/>
      <c r="AN33" s="146"/>
      <c r="AO33" s="146"/>
      <c r="AP33" s="146"/>
      <c r="AQ33" s="146"/>
      <c r="AR33" s="146"/>
      <c r="AS33" s="146"/>
      <c r="AT33" s="146"/>
      <c r="AU33" s="146"/>
      <c r="AV33" s="146"/>
      <c r="AW33" s="146"/>
      <c r="AX33" s="146"/>
      <c r="AY33" s="146"/>
      <c r="AZ33" s="146"/>
      <c r="BA33" s="146"/>
      <c r="BB33" s="146"/>
      <c r="BC33" s="146"/>
      <c r="BD33" s="146"/>
      <c r="BE33" s="146"/>
      <c r="BF33" s="146"/>
      <c r="BG33" s="146"/>
      <c r="BH33" s="146"/>
      <c r="BI33" s="146"/>
      <c r="BJ33" s="146"/>
      <c r="BK33" s="146"/>
      <c r="BL33" s="146"/>
      <c r="BM33" s="146"/>
      <c r="BN33" s="146"/>
      <c r="BO33" s="146"/>
      <c r="BP33" s="146"/>
      <c r="BQ33" s="146"/>
      <c r="BR33" s="146"/>
      <c r="BS33" s="146"/>
      <c r="BT33" s="146"/>
      <c r="BU33" s="146"/>
      <c r="BV33" s="146"/>
      <c r="BW33" s="146"/>
      <c r="BX33" s="146"/>
      <c r="BY33" s="146"/>
      <c r="BZ33" s="146"/>
      <c r="CA33" s="146"/>
      <c r="CB33" s="146"/>
      <c r="CC33" s="146"/>
      <c r="CD33" s="146"/>
      <c r="CE33" s="146"/>
      <c r="CF33" s="146"/>
      <c r="CG33" s="146"/>
      <c r="CH33" s="146"/>
      <c r="CI33" s="146"/>
      <c r="CJ33" s="146"/>
      <c r="CK33" s="146"/>
      <c r="CL33" s="146"/>
      <c r="CM33" s="146"/>
      <c r="CN33" s="146"/>
      <c r="CO33" s="146"/>
      <c r="CP33" s="146"/>
      <c r="CQ33" s="146"/>
      <c r="CR33" s="146"/>
      <c r="CS33" s="146"/>
      <c r="CT33" s="146"/>
      <c r="CU33" s="146"/>
      <c r="CV33" s="146"/>
      <c r="CW33" s="146"/>
      <c r="CX33" s="146"/>
      <c r="CY33" s="146"/>
      <c r="CZ33" s="146"/>
      <c r="DA33" s="146"/>
      <c r="DB33" s="146"/>
      <c r="DC33" s="146"/>
      <c r="DD33" s="146"/>
      <c r="DE33" s="146"/>
      <c r="DF33" s="146"/>
      <c r="DG33" s="146"/>
      <c r="DH33" s="146"/>
      <c r="DI33" s="146"/>
      <c r="DJ33" s="146"/>
      <c r="DK33" s="146"/>
      <c r="DL33" s="146"/>
      <c r="DM33" s="146"/>
      <c r="DN33" s="146"/>
      <c r="DO33" s="146"/>
      <c r="DP33" s="146"/>
      <c r="DQ33" s="146"/>
      <c r="DR33" s="146"/>
      <c r="DS33" s="146"/>
      <c r="DT33" s="146"/>
      <c r="DU33" s="146"/>
      <c r="DV33" s="146"/>
      <c r="DW33" s="146"/>
      <c r="DX33" s="146"/>
      <c r="DY33" s="146"/>
      <c r="DZ33" s="146"/>
      <c r="EA33" s="146"/>
      <c r="EB33" s="146"/>
      <c r="EC33" s="146"/>
      <c r="ED33" s="146"/>
      <c r="EE33" s="146"/>
      <c r="EF33" s="146"/>
      <c r="EG33" s="146"/>
      <c r="EH33" s="146"/>
      <c r="EI33" s="146"/>
      <c r="EJ33" s="146"/>
      <c r="EK33" s="146"/>
      <c r="EL33" s="146"/>
      <c r="EM33" s="146"/>
      <c r="EN33" s="146"/>
      <c r="EO33" s="146"/>
      <c r="EP33" s="146"/>
      <c r="EQ33" s="146"/>
    </row>
    <row r="34">
      <c r="A34" s="171" t="s">
        <v>137</v>
      </c>
      <c r="B34" s="172"/>
      <c r="C34" s="173" t="s">
        <v>376</v>
      </c>
      <c r="D34" s="172" t="s">
        <v>328</v>
      </c>
      <c r="E34" s="173" t="s">
        <v>377</v>
      </c>
      <c r="F34" s="172" t="s">
        <v>330</v>
      </c>
      <c r="G34" s="172">
        <v>1000.0</v>
      </c>
      <c r="H34" s="174">
        <v>43944.0</v>
      </c>
      <c r="I34" s="174">
        <v>44699.0</v>
      </c>
      <c r="J34" s="174">
        <v>45340.0</v>
      </c>
      <c r="K34" s="175">
        <f t="shared" si="7"/>
        <v>46436</v>
      </c>
      <c r="L34" s="176" t="str">
        <f t="shared" si="2"/>
        <v>Ok</v>
      </c>
      <c r="M34" s="174"/>
      <c r="N34" s="146"/>
      <c r="O34" s="146"/>
      <c r="P34" s="146"/>
      <c r="Q34" s="146"/>
      <c r="R34" s="146"/>
      <c r="S34" s="146"/>
      <c r="T34" s="146"/>
      <c r="U34" s="146"/>
      <c r="V34" s="146"/>
      <c r="W34" s="146"/>
      <c r="X34" s="146"/>
      <c r="Y34" s="146"/>
      <c r="Z34" s="146"/>
      <c r="AA34" s="146"/>
      <c r="AB34" s="146"/>
      <c r="AC34" s="146"/>
      <c r="AD34" s="146"/>
      <c r="AE34" s="146"/>
      <c r="AF34" s="146"/>
      <c r="AG34" s="146"/>
      <c r="AH34" s="146"/>
      <c r="AI34" s="146"/>
      <c r="AJ34" s="146"/>
      <c r="AK34" s="146"/>
      <c r="AL34" s="146"/>
      <c r="AM34" s="146"/>
      <c r="AN34" s="146"/>
      <c r="AO34" s="146"/>
      <c r="AP34" s="146"/>
      <c r="AQ34" s="146"/>
      <c r="AR34" s="146"/>
      <c r="AS34" s="146"/>
      <c r="AT34" s="146"/>
      <c r="AU34" s="146"/>
      <c r="AV34" s="146"/>
      <c r="AW34" s="146"/>
      <c r="AX34" s="146"/>
      <c r="AY34" s="146"/>
      <c r="AZ34" s="146"/>
      <c r="BA34" s="146"/>
      <c r="BB34" s="146"/>
      <c r="BC34" s="146"/>
      <c r="BD34" s="146"/>
      <c r="BE34" s="146"/>
      <c r="BF34" s="146"/>
      <c r="BG34" s="146"/>
      <c r="BH34" s="146"/>
      <c r="BI34" s="146"/>
      <c r="BJ34" s="146"/>
      <c r="BK34" s="146"/>
      <c r="BL34" s="146"/>
      <c r="BM34" s="146"/>
      <c r="BN34" s="146"/>
      <c r="BO34" s="146"/>
      <c r="BP34" s="146"/>
      <c r="BQ34" s="146"/>
      <c r="BR34" s="146"/>
      <c r="BS34" s="146"/>
      <c r="BT34" s="146"/>
      <c r="BU34" s="146"/>
      <c r="BV34" s="146"/>
      <c r="BW34" s="146"/>
      <c r="BX34" s="146"/>
      <c r="BY34" s="146"/>
      <c r="BZ34" s="146"/>
      <c r="CA34" s="146"/>
      <c r="CB34" s="146"/>
      <c r="CC34" s="146"/>
      <c r="CD34" s="146"/>
      <c r="CE34" s="146"/>
      <c r="CF34" s="146"/>
      <c r="CG34" s="146"/>
      <c r="CH34" s="146"/>
      <c r="CI34" s="146"/>
      <c r="CJ34" s="146"/>
      <c r="CK34" s="146"/>
      <c r="CL34" s="146"/>
      <c r="CM34" s="146"/>
      <c r="CN34" s="146"/>
      <c r="CO34" s="146"/>
      <c r="CP34" s="146"/>
      <c r="CQ34" s="146"/>
      <c r="CR34" s="146"/>
      <c r="CS34" s="146"/>
      <c r="CT34" s="146"/>
      <c r="CU34" s="146"/>
      <c r="CV34" s="146"/>
      <c r="CW34" s="146"/>
      <c r="CX34" s="146"/>
      <c r="CY34" s="146"/>
      <c r="CZ34" s="146"/>
      <c r="DA34" s="146"/>
      <c r="DB34" s="146"/>
      <c r="DC34" s="146"/>
      <c r="DD34" s="146"/>
      <c r="DE34" s="146"/>
      <c r="DF34" s="146"/>
      <c r="DG34" s="146"/>
      <c r="DH34" s="146"/>
      <c r="DI34" s="146"/>
      <c r="DJ34" s="146"/>
      <c r="DK34" s="146"/>
      <c r="DL34" s="146"/>
      <c r="DM34" s="146"/>
      <c r="DN34" s="146"/>
      <c r="DO34" s="146"/>
      <c r="DP34" s="146"/>
      <c r="DQ34" s="146"/>
      <c r="DR34" s="146"/>
      <c r="DS34" s="146"/>
      <c r="DT34" s="146"/>
      <c r="DU34" s="146"/>
      <c r="DV34" s="146"/>
      <c r="DW34" s="146"/>
      <c r="DX34" s="146"/>
      <c r="DY34" s="146"/>
      <c r="DZ34" s="146"/>
      <c r="EA34" s="146"/>
      <c r="EB34" s="146"/>
      <c r="EC34" s="146"/>
      <c r="ED34" s="146"/>
      <c r="EE34" s="146"/>
      <c r="EF34" s="146"/>
      <c r="EG34" s="146"/>
      <c r="EH34" s="146"/>
      <c r="EI34" s="146"/>
      <c r="EJ34" s="146"/>
      <c r="EK34" s="146"/>
      <c r="EL34" s="146"/>
      <c r="EM34" s="146"/>
      <c r="EN34" s="146"/>
      <c r="EO34" s="146"/>
      <c r="EP34" s="146"/>
      <c r="EQ34" s="146"/>
    </row>
    <row r="35">
      <c r="A35" s="177" t="s">
        <v>138</v>
      </c>
      <c r="B35" s="178"/>
      <c r="C35" s="179" t="s">
        <v>378</v>
      </c>
      <c r="D35" s="178" t="s">
        <v>328</v>
      </c>
      <c r="E35" s="179" t="s">
        <v>377</v>
      </c>
      <c r="F35" s="178" t="s">
        <v>330</v>
      </c>
      <c r="G35" s="178">
        <v>1000.0</v>
      </c>
      <c r="H35" s="180">
        <v>43944.0</v>
      </c>
      <c r="I35" s="180">
        <v>44699.0</v>
      </c>
      <c r="J35" s="180">
        <v>45340.0</v>
      </c>
      <c r="K35" s="175">
        <f t="shared" si="7"/>
        <v>46436</v>
      </c>
      <c r="L35" s="176" t="str">
        <f t="shared" si="2"/>
        <v>Ok</v>
      </c>
      <c r="M35" s="180"/>
      <c r="N35" s="146"/>
      <c r="O35" s="146"/>
      <c r="P35" s="146"/>
      <c r="Q35" s="146"/>
      <c r="R35" s="146"/>
      <c r="S35" s="146"/>
      <c r="T35" s="146"/>
      <c r="U35" s="146"/>
      <c r="V35" s="146"/>
      <c r="W35" s="146"/>
      <c r="X35" s="146"/>
      <c r="Y35" s="146"/>
      <c r="Z35" s="146"/>
      <c r="AA35" s="146"/>
      <c r="AB35" s="146"/>
      <c r="AC35" s="146"/>
      <c r="AD35" s="146"/>
      <c r="AE35" s="146"/>
      <c r="AF35" s="146"/>
      <c r="AG35" s="146"/>
      <c r="AH35" s="146"/>
      <c r="AI35" s="146"/>
      <c r="AJ35" s="146"/>
      <c r="AK35" s="146"/>
      <c r="AL35" s="146"/>
      <c r="AM35" s="146"/>
      <c r="AN35" s="146"/>
      <c r="AO35" s="146"/>
      <c r="AP35" s="146"/>
      <c r="AQ35" s="146"/>
      <c r="AR35" s="146"/>
      <c r="AS35" s="146"/>
      <c r="AT35" s="146"/>
      <c r="AU35" s="146"/>
      <c r="AV35" s="146"/>
      <c r="AW35" s="146"/>
      <c r="AX35" s="146"/>
      <c r="AY35" s="146"/>
      <c r="AZ35" s="146"/>
      <c r="BA35" s="146"/>
      <c r="BB35" s="146"/>
      <c r="BC35" s="146"/>
      <c r="BD35" s="146"/>
      <c r="BE35" s="146"/>
      <c r="BF35" s="146"/>
      <c r="BG35" s="146"/>
      <c r="BH35" s="146"/>
      <c r="BI35" s="146"/>
      <c r="BJ35" s="146"/>
      <c r="BK35" s="146"/>
      <c r="BL35" s="146"/>
      <c r="BM35" s="146"/>
      <c r="BN35" s="146"/>
      <c r="BO35" s="146"/>
      <c r="BP35" s="146"/>
      <c r="BQ35" s="146"/>
      <c r="BR35" s="146"/>
      <c r="BS35" s="146"/>
      <c r="BT35" s="146"/>
      <c r="BU35" s="146"/>
      <c r="BV35" s="146"/>
      <c r="BW35" s="146"/>
      <c r="BX35" s="146"/>
      <c r="BY35" s="146"/>
      <c r="BZ35" s="146"/>
      <c r="CA35" s="146"/>
      <c r="CB35" s="146"/>
      <c r="CC35" s="146"/>
      <c r="CD35" s="146"/>
      <c r="CE35" s="146"/>
      <c r="CF35" s="146"/>
      <c r="CG35" s="146"/>
      <c r="CH35" s="146"/>
      <c r="CI35" s="146"/>
      <c r="CJ35" s="146"/>
      <c r="CK35" s="146"/>
      <c r="CL35" s="146"/>
      <c r="CM35" s="146"/>
      <c r="CN35" s="146"/>
      <c r="CO35" s="146"/>
      <c r="CP35" s="146"/>
      <c r="CQ35" s="146"/>
      <c r="CR35" s="146"/>
      <c r="CS35" s="146"/>
      <c r="CT35" s="146"/>
      <c r="CU35" s="146"/>
      <c r="CV35" s="146"/>
      <c r="CW35" s="146"/>
      <c r="CX35" s="146"/>
      <c r="CY35" s="146"/>
      <c r="CZ35" s="146"/>
      <c r="DA35" s="146"/>
      <c r="DB35" s="146"/>
      <c r="DC35" s="146"/>
      <c r="DD35" s="146"/>
      <c r="DE35" s="146"/>
      <c r="DF35" s="146"/>
      <c r="DG35" s="146"/>
      <c r="DH35" s="146"/>
      <c r="DI35" s="146"/>
      <c r="DJ35" s="146"/>
      <c r="DK35" s="146"/>
      <c r="DL35" s="146"/>
      <c r="DM35" s="146"/>
      <c r="DN35" s="146"/>
      <c r="DO35" s="146"/>
      <c r="DP35" s="146"/>
      <c r="DQ35" s="146"/>
      <c r="DR35" s="146"/>
      <c r="DS35" s="146"/>
      <c r="DT35" s="146"/>
      <c r="DU35" s="146"/>
      <c r="DV35" s="146"/>
      <c r="DW35" s="146"/>
      <c r="DX35" s="146"/>
      <c r="DY35" s="146"/>
      <c r="DZ35" s="146"/>
      <c r="EA35" s="146"/>
      <c r="EB35" s="146"/>
      <c r="EC35" s="146"/>
      <c r="ED35" s="146"/>
      <c r="EE35" s="146"/>
      <c r="EF35" s="146"/>
      <c r="EG35" s="146"/>
      <c r="EH35" s="146"/>
      <c r="EI35" s="146"/>
      <c r="EJ35" s="146"/>
      <c r="EK35" s="146"/>
      <c r="EL35" s="146"/>
      <c r="EM35" s="146"/>
      <c r="EN35" s="146"/>
      <c r="EO35" s="146"/>
      <c r="EP35" s="146"/>
      <c r="EQ35" s="146"/>
    </row>
    <row r="36">
      <c r="A36" s="171" t="s">
        <v>139</v>
      </c>
      <c r="B36" s="172"/>
      <c r="C36" s="173" t="s">
        <v>379</v>
      </c>
      <c r="D36" s="172" t="s">
        <v>328</v>
      </c>
      <c r="E36" s="173" t="s">
        <v>377</v>
      </c>
      <c r="F36" s="172" t="s">
        <v>330</v>
      </c>
      <c r="G36" s="172">
        <v>1000.0</v>
      </c>
      <c r="H36" s="174">
        <v>43944.0</v>
      </c>
      <c r="I36" s="174">
        <v>44699.0</v>
      </c>
      <c r="J36" s="174">
        <v>45340.0</v>
      </c>
      <c r="K36" s="175">
        <f t="shared" si="7"/>
        <v>46436</v>
      </c>
      <c r="L36" s="176" t="str">
        <f t="shared" si="2"/>
        <v>Ok</v>
      </c>
      <c r="M36" s="174"/>
      <c r="N36" s="146"/>
      <c r="O36" s="146"/>
      <c r="P36" s="146"/>
      <c r="Q36" s="146"/>
      <c r="R36" s="146"/>
      <c r="S36" s="146"/>
      <c r="T36" s="146"/>
      <c r="U36" s="146"/>
      <c r="V36" s="146"/>
      <c r="W36" s="146"/>
      <c r="X36" s="146"/>
      <c r="Y36" s="146"/>
      <c r="Z36" s="146"/>
      <c r="AA36" s="146"/>
      <c r="AB36" s="146"/>
      <c r="AC36" s="146"/>
      <c r="AD36" s="146"/>
      <c r="AE36" s="146"/>
      <c r="AF36" s="146"/>
      <c r="AG36" s="146"/>
      <c r="AH36" s="146"/>
      <c r="AI36" s="146"/>
      <c r="AJ36" s="146"/>
      <c r="AK36" s="146"/>
      <c r="AL36" s="146"/>
      <c r="AM36" s="146"/>
      <c r="AN36" s="146"/>
      <c r="AO36" s="146"/>
      <c r="AP36" s="146"/>
      <c r="AQ36" s="146"/>
      <c r="AR36" s="146"/>
      <c r="AS36" s="146"/>
      <c r="AT36" s="146"/>
      <c r="AU36" s="146"/>
      <c r="AV36" s="146"/>
      <c r="AW36" s="146"/>
      <c r="AX36" s="146"/>
      <c r="AY36" s="146"/>
      <c r="AZ36" s="146"/>
      <c r="BA36" s="146"/>
      <c r="BB36" s="146"/>
      <c r="BC36" s="146"/>
      <c r="BD36" s="146"/>
      <c r="BE36" s="146"/>
      <c r="BF36" s="146"/>
      <c r="BG36" s="146"/>
      <c r="BH36" s="146"/>
      <c r="BI36" s="146"/>
      <c r="BJ36" s="146"/>
      <c r="BK36" s="146"/>
      <c r="BL36" s="146"/>
      <c r="BM36" s="146"/>
      <c r="BN36" s="146"/>
      <c r="BO36" s="146"/>
      <c r="BP36" s="146"/>
      <c r="BQ36" s="146"/>
      <c r="BR36" s="146"/>
      <c r="BS36" s="146"/>
      <c r="BT36" s="146"/>
      <c r="BU36" s="146"/>
      <c r="BV36" s="146"/>
      <c r="BW36" s="146"/>
      <c r="BX36" s="146"/>
      <c r="BY36" s="146"/>
      <c r="BZ36" s="146"/>
      <c r="CA36" s="146"/>
      <c r="CB36" s="146"/>
      <c r="CC36" s="146"/>
      <c r="CD36" s="146"/>
      <c r="CE36" s="146"/>
      <c r="CF36" s="146"/>
      <c r="CG36" s="146"/>
      <c r="CH36" s="146"/>
      <c r="CI36" s="146"/>
      <c r="CJ36" s="146"/>
      <c r="CK36" s="146"/>
      <c r="CL36" s="146"/>
      <c r="CM36" s="146"/>
      <c r="CN36" s="146"/>
      <c r="CO36" s="146"/>
      <c r="CP36" s="146"/>
      <c r="CQ36" s="146"/>
      <c r="CR36" s="146"/>
      <c r="CS36" s="146"/>
      <c r="CT36" s="146"/>
      <c r="CU36" s="146"/>
      <c r="CV36" s="146"/>
      <c r="CW36" s="146"/>
      <c r="CX36" s="146"/>
      <c r="CY36" s="146"/>
      <c r="CZ36" s="146"/>
      <c r="DA36" s="146"/>
      <c r="DB36" s="146"/>
      <c r="DC36" s="146"/>
      <c r="DD36" s="146"/>
      <c r="DE36" s="146"/>
      <c r="DF36" s="146"/>
      <c r="DG36" s="146"/>
      <c r="DH36" s="146"/>
      <c r="DI36" s="146"/>
      <c r="DJ36" s="146"/>
      <c r="DK36" s="146"/>
      <c r="DL36" s="146"/>
      <c r="DM36" s="146"/>
      <c r="DN36" s="146"/>
      <c r="DO36" s="146"/>
      <c r="DP36" s="146"/>
      <c r="DQ36" s="146"/>
      <c r="DR36" s="146"/>
      <c r="DS36" s="146"/>
      <c r="DT36" s="146"/>
      <c r="DU36" s="146"/>
      <c r="DV36" s="146"/>
      <c r="DW36" s="146"/>
      <c r="DX36" s="146"/>
      <c r="DY36" s="146"/>
      <c r="DZ36" s="146"/>
      <c r="EA36" s="146"/>
      <c r="EB36" s="146"/>
      <c r="EC36" s="146"/>
      <c r="ED36" s="146"/>
      <c r="EE36" s="146"/>
      <c r="EF36" s="146"/>
      <c r="EG36" s="146"/>
      <c r="EH36" s="146"/>
      <c r="EI36" s="146"/>
      <c r="EJ36" s="146"/>
      <c r="EK36" s="146"/>
      <c r="EL36" s="146"/>
      <c r="EM36" s="146"/>
      <c r="EN36" s="146"/>
      <c r="EO36" s="146"/>
      <c r="EP36" s="146"/>
      <c r="EQ36" s="146"/>
    </row>
    <row r="37">
      <c r="A37" s="184" t="s">
        <v>140</v>
      </c>
      <c r="B37" s="178" t="s">
        <v>380</v>
      </c>
      <c r="C37" s="179" t="s">
        <v>381</v>
      </c>
      <c r="D37" s="178" t="s">
        <v>328</v>
      </c>
      <c r="E37" s="179" t="s">
        <v>377</v>
      </c>
      <c r="F37" s="178" t="s">
        <v>330</v>
      </c>
      <c r="G37" s="178">
        <v>1000.0</v>
      </c>
      <c r="H37" s="180">
        <v>43944.0</v>
      </c>
      <c r="I37" s="180">
        <v>44699.0</v>
      </c>
      <c r="J37" s="180">
        <v>45340.0</v>
      </c>
      <c r="K37" s="175">
        <f t="shared" si="7"/>
        <v>46436</v>
      </c>
      <c r="L37" s="176" t="str">
        <f t="shared" si="2"/>
        <v>Ok</v>
      </c>
      <c r="M37" s="180"/>
      <c r="N37" s="146"/>
      <c r="O37" s="146"/>
      <c r="P37" s="146"/>
      <c r="Q37" s="146"/>
      <c r="R37" s="146"/>
      <c r="S37" s="146"/>
      <c r="T37" s="146"/>
      <c r="U37" s="146"/>
      <c r="V37" s="146"/>
      <c r="W37" s="146"/>
      <c r="X37" s="146"/>
      <c r="Y37" s="146"/>
      <c r="Z37" s="146"/>
      <c r="AA37" s="146"/>
      <c r="AB37" s="146"/>
      <c r="AC37" s="146"/>
      <c r="AD37" s="146"/>
      <c r="AE37" s="146"/>
      <c r="AF37" s="146"/>
      <c r="AG37" s="146"/>
      <c r="AH37" s="146"/>
      <c r="AI37" s="146"/>
      <c r="AJ37" s="146"/>
      <c r="AK37" s="146"/>
      <c r="AL37" s="146"/>
      <c r="AM37" s="146"/>
      <c r="AN37" s="146"/>
      <c r="AO37" s="146"/>
      <c r="AP37" s="146"/>
      <c r="AQ37" s="146"/>
      <c r="AR37" s="146"/>
      <c r="AS37" s="146"/>
      <c r="AT37" s="146"/>
      <c r="AU37" s="146"/>
      <c r="AV37" s="146"/>
      <c r="AW37" s="146"/>
      <c r="AX37" s="146"/>
      <c r="AY37" s="146"/>
      <c r="AZ37" s="146"/>
      <c r="BA37" s="146"/>
      <c r="BB37" s="146"/>
      <c r="BC37" s="146"/>
      <c r="BD37" s="146"/>
      <c r="BE37" s="146"/>
      <c r="BF37" s="146"/>
      <c r="BG37" s="146"/>
      <c r="BH37" s="146"/>
      <c r="BI37" s="146"/>
      <c r="BJ37" s="146"/>
      <c r="BK37" s="146"/>
      <c r="BL37" s="146"/>
      <c r="BM37" s="146"/>
      <c r="BN37" s="146"/>
      <c r="BO37" s="146"/>
      <c r="BP37" s="146"/>
      <c r="BQ37" s="146"/>
      <c r="BR37" s="146"/>
      <c r="BS37" s="146"/>
      <c r="BT37" s="146"/>
      <c r="BU37" s="146"/>
      <c r="BV37" s="146"/>
      <c r="BW37" s="146"/>
      <c r="BX37" s="146"/>
      <c r="BY37" s="146"/>
      <c r="BZ37" s="146"/>
      <c r="CA37" s="146"/>
      <c r="CB37" s="146"/>
      <c r="CC37" s="146"/>
      <c r="CD37" s="146"/>
      <c r="CE37" s="146"/>
      <c r="CF37" s="146"/>
      <c r="CG37" s="146"/>
      <c r="CH37" s="146"/>
      <c r="CI37" s="146"/>
      <c r="CJ37" s="146"/>
      <c r="CK37" s="146"/>
      <c r="CL37" s="146"/>
      <c r="CM37" s="146"/>
      <c r="CN37" s="146"/>
      <c r="CO37" s="146"/>
      <c r="CP37" s="146"/>
      <c r="CQ37" s="146"/>
      <c r="CR37" s="146"/>
      <c r="CS37" s="146"/>
      <c r="CT37" s="146"/>
      <c r="CU37" s="146"/>
      <c r="CV37" s="146"/>
      <c r="CW37" s="146"/>
      <c r="CX37" s="146"/>
      <c r="CY37" s="146"/>
      <c r="CZ37" s="146"/>
      <c r="DA37" s="146"/>
      <c r="DB37" s="146"/>
      <c r="DC37" s="146"/>
      <c r="DD37" s="146"/>
      <c r="DE37" s="146"/>
      <c r="DF37" s="146"/>
      <c r="DG37" s="146"/>
      <c r="DH37" s="146"/>
      <c r="DI37" s="146"/>
      <c r="DJ37" s="146"/>
      <c r="DK37" s="146"/>
      <c r="DL37" s="146"/>
      <c r="DM37" s="146"/>
      <c r="DN37" s="146"/>
      <c r="DO37" s="146"/>
      <c r="DP37" s="146"/>
      <c r="DQ37" s="146"/>
      <c r="DR37" s="146"/>
      <c r="DS37" s="146"/>
      <c r="DT37" s="146"/>
      <c r="DU37" s="146"/>
      <c r="DV37" s="146"/>
      <c r="DW37" s="146"/>
      <c r="DX37" s="146"/>
      <c r="DY37" s="146"/>
      <c r="DZ37" s="146"/>
      <c r="EA37" s="146"/>
      <c r="EB37" s="146"/>
      <c r="EC37" s="146"/>
      <c r="ED37" s="146"/>
      <c r="EE37" s="146"/>
      <c r="EF37" s="146"/>
      <c r="EG37" s="146"/>
      <c r="EH37" s="146"/>
      <c r="EI37" s="146"/>
      <c r="EJ37" s="146"/>
      <c r="EK37" s="146"/>
      <c r="EL37" s="146"/>
      <c r="EM37" s="146"/>
      <c r="EN37" s="146"/>
      <c r="EO37" s="146"/>
      <c r="EP37" s="146"/>
      <c r="EQ37" s="146"/>
    </row>
    <row r="38">
      <c r="A38" s="185" t="s">
        <v>141</v>
      </c>
      <c r="B38" s="172" t="s">
        <v>382</v>
      </c>
      <c r="C38" s="173" t="s">
        <v>383</v>
      </c>
      <c r="D38" s="172" t="s">
        <v>328</v>
      </c>
      <c r="E38" s="173" t="s">
        <v>346</v>
      </c>
      <c r="F38" s="172" t="s">
        <v>330</v>
      </c>
      <c r="G38" s="172">
        <v>4900.0</v>
      </c>
      <c r="H38" s="174"/>
      <c r="I38" s="174"/>
      <c r="J38" s="174">
        <v>44484.0</v>
      </c>
      <c r="K38" s="175">
        <f t="shared" si="7"/>
        <v>45580</v>
      </c>
      <c r="L38" s="176" t="str">
        <f t="shared" si="2"/>
        <v>Overdue</v>
      </c>
      <c r="M38" s="174"/>
      <c r="N38" s="146"/>
      <c r="O38" s="146"/>
      <c r="P38" s="146"/>
      <c r="Q38" s="146"/>
      <c r="R38" s="146"/>
      <c r="S38" s="146"/>
      <c r="T38" s="146"/>
      <c r="U38" s="146"/>
      <c r="V38" s="146"/>
      <c r="W38" s="146"/>
      <c r="X38" s="146"/>
      <c r="Y38" s="146"/>
      <c r="Z38" s="146"/>
      <c r="AA38" s="146"/>
      <c r="AB38" s="146"/>
      <c r="AC38" s="146"/>
      <c r="AD38" s="146"/>
      <c r="AE38" s="146"/>
      <c r="AF38" s="146"/>
      <c r="AG38" s="146"/>
      <c r="AH38" s="146"/>
      <c r="AI38" s="146"/>
      <c r="AJ38" s="146"/>
      <c r="AK38" s="146"/>
      <c r="AL38" s="146"/>
      <c r="AM38" s="146"/>
      <c r="AN38" s="146"/>
      <c r="AO38" s="146"/>
      <c r="AP38" s="146"/>
      <c r="AQ38" s="146"/>
      <c r="AR38" s="146"/>
      <c r="AS38" s="146"/>
      <c r="AT38" s="146"/>
      <c r="AU38" s="146"/>
      <c r="AV38" s="146"/>
      <c r="AW38" s="146"/>
      <c r="AX38" s="146"/>
      <c r="AY38" s="146"/>
      <c r="AZ38" s="146"/>
      <c r="BA38" s="146"/>
      <c r="BB38" s="146"/>
      <c r="BC38" s="146"/>
      <c r="BD38" s="146"/>
      <c r="BE38" s="146"/>
      <c r="BF38" s="146"/>
      <c r="BG38" s="146"/>
      <c r="BH38" s="146"/>
      <c r="BI38" s="146"/>
      <c r="BJ38" s="146"/>
      <c r="BK38" s="146"/>
      <c r="BL38" s="146"/>
      <c r="BM38" s="146"/>
      <c r="BN38" s="146"/>
      <c r="BO38" s="146"/>
      <c r="BP38" s="146"/>
      <c r="BQ38" s="146"/>
      <c r="BR38" s="146"/>
      <c r="BS38" s="146"/>
      <c r="BT38" s="146"/>
      <c r="BU38" s="146"/>
      <c r="BV38" s="146"/>
      <c r="BW38" s="146"/>
      <c r="BX38" s="146"/>
      <c r="BY38" s="146"/>
      <c r="BZ38" s="146"/>
      <c r="CA38" s="146"/>
      <c r="CB38" s="146"/>
      <c r="CC38" s="146"/>
      <c r="CD38" s="146"/>
      <c r="CE38" s="146"/>
      <c r="CF38" s="146"/>
      <c r="CG38" s="146"/>
      <c r="CH38" s="146"/>
      <c r="CI38" s="146"/>
      <c r="CJ38" s="146"/>
      <c r="CK38" s="146"/>
      <c r="CL38" s="146"/>
      <c r="CM38" s="146"/>
      <c r="CN38" s="146"/>
      <c r="CO38" s="146"/>
      <c r="CP38" s="146"/>
      <c r="CQ38" s="146"/>
      <c r="CR38" s="146"/>
      <c r="CS38" s="146"/>
      <c r="CT38" s="146"/>
      <c r="CU38" s="146"/>
      <c r="CV38" s="146"/>
      <c r="CW38" s="146"/>
      <c r="CX38" s="146"/>
      <c r="CY38" s="146"/>
      <c r="CZ38" s="146"/>
      <c r="DA38" s="146"/>
      <c r="DB38" s="146"/>
      <c r="DC38" s="146"/>
      <c r="DD38" s="146"/>
      <c r="DE38" s="146"/>
      <c r="DF38" s="146"/>
      <c r="DG38" s="146"/>
      <c r="DH38" s="146"/>
      <c r="DI38" s="146"/>
      <c r="DJ38" s="146"/>
      <c r="DK38" s="146"/>
      <c r="DL38" s="146"/>
      <c r="DM38" s="146"/>
      <c r="DN38" s="146"/>
      <c r="DO38" s="146"/>
      <c r="DP38" s="146"/>
      <c r="DQ38" s="146"/>
      <c r="DR38" s="146"/>
      <c r="DS38" s="146"/>
      <c r="DT38" s="146"/>
      <c r="DU38" s="146"/>
      <c r="DV38" s="146"/>
      <c r="DW38" s="146"/>
      <c r="DX38" s="146"/>
      <c r="DY38" s="146"/>
      <c r="DZ38" s="146"/>
      <c r="EA38" s="146"/>
      <c r="EB38" s="146"/>
      <c r="EC38" s="146"/>
      <c r="ED38" s="146"/>
      <c r="EE38" s="146"/>
      <c r="EF38" s="146"/>
      <c r="EG38" s="146"/>
      <c r="EH38" s="146"/>
      <c r="EI38" s="146"/>
      <c r="EJ38" s="146"/>
      <c r="EK38" s="146"/>
      <c r="EL38" s="146"/>
      <c r="EM38" s="146"/>
      <c r="EN38" s="146"/>
      <c r="EO38" s="146"/>
      <c r="EP38" s="146"/>
      <c r="EQ38" s="146"/>
    </row>
    <row r="39">
      <c r="A39" s="177" t="s">
        <v>142</v>
      </c>
      <c r="B39" s="178"/>
      <c r="C39" s="179" t="s">
        <v>384</v>
      </c>
      <c r="D39" s="178"/>
      <c r="E39" s="179"/>
      <c r="F39" s="178"/>
      <c r="G39" s="178"/>
      <c r="H39" s="180"/>
      <c r="I39" s="180"/>
      <c r="J39" s="180"/>
      <c r="K39" s="180"/>
      <c r="L39" s="176" t="str">
        <f t="shared" si="2"/>
        <v/>
      </c>
      <c r="M39" s="180"/>
      <c r="N39" s="146"/>
      <c r="O39" s="146"/>
      <c r="P39" s="146"/>
      <c r="Q39" s="146"/>
      <c r="R39" s="146"/>
      <c r="S39" s="146"/>
      <c r="T39" s="146"/>
      <c r="U39" s="146"/>
      <c r="V39" s="146"/>
      <c r="W39" s="146"/>
      <c r="X39" s="146"/>
      <c r="Y39" s="146"/>
      <c r="Z39" s="146"/>
      <c r="AA39" s="146"/>
      <c r="AB39" s="146"/>
      <c r="AC39" s="146"/>
      <c r="AD39" s="146"/>
      <c r="AE39" s="146"/>
      <c r="AF39" s="146"/>
      <c r="AG39" s="146"/>
      <c r="AH39" s="146"/>
      <c r="AI39" s="146"/>
      <c r="AJ39" s="146"/>
      <c r="AK39" s="146"/>
      <c r="AL39" s="146"/>
      <c r="AM39" s="146"/>
      <c r="AN39" s="146"/>
      <c r="AO39" s="146"/>
      <c r="AP39" s="146"/>
      <c r="AQ39" s="146"/>
      <c r="AR39" s="146"/>
      <c r="AS39" s="146"/>
      <c r="AT39" s="146"/>
      <c r="AU39" s="146"/>
      <c r="AV39" s="146"/>
      <c r="AW39" s="146"/>
      <c r="AX39" s="146"/>
      <c r="AY39" s="146"/>
      <c r="AZ39" s="146"/>
      <c r="BA39" s="146"/>
      <c r="BB39" s="146"/>
      <c r="BC39" s="146"/>
      <c r="BD39" s="146"/>
      <c r="BE39" s="146"/>
      <c r="BF39" s="146"/>
      <c r="BG39" s="146"/>
      <c r="BH39" s="146"/>
      <c r="BI39" s="146"/>
      <c r="BJ39" s="146"/>
      <c r="BK39" s="146"/>
      <c r="BL39" s="146"/>
      <c r="BM39" s="146"/>
      <c r="BN39" s="146"/>
      <c r="BO39" s="146"/>
      <c r="BP39" s="146"/>
      <c r="BQ39" s="146"/>
      <c r="BR39" s="146"/>
      <c r="BS39" s="146"/>
      <c r="BT39" s="146"/>
      <c r="BU39" s="146"/>
      <c r="BV39" s="146"/>
      <c r="BW39" s="146"/>
      <c r="BX39" s="146"/>
      <c r="BY39" s="146"/>
      <c r="BZ39" s="146"/>
      <c r="CA39" s="146"/>
      <c r="CB39" s="146"/>
      <c r="CC39" s="146"/>
      <c r="CD39" s="146"/>
      <c r="CE39" s="146"/>
      <c r="CF39" s="146"/>
      <c r="CG39" s="146"/>
      <c r="CH39" s="146"/>
      <c r="CI39" s="146"/>
      <c r="CJ39" s="146"/>
      <c r="CK39" s="146"/>
      <c r="CL39" s="146"/>
      <c r="CM39" s="146"/>
      <c r="CN39" s="146"/>
      <c r="CO39" s="146"/>
      <c r="CP39" s="146"/>
      <c r="CQ39" s="146"/>
      <c r="CR39" s="146"/>
      <c r="CS39" s="146"/>
      <c r="CT39" s="146"/>
      <c r="CU39" s="146"/>
      <c r="CV39" s="146"/>
      <c r="CW39" s="146"/>
      <c r="CX39" s="146"/>
      <c r="CY39" s="146"/>
      <c r="CZ39" s="146"/>
      <c r="DA39" s="146"/>
      <c r="DB39" s="146"/>
      <c r="DC39" s="146"/>
      <c r="DD39" s="146"/>
      <c r="DE39" s="146"/>
      <c r="DF39" s="146"/>
      <c r="DG39" s="146"/>
      <c r="DH39" s="146"/>
      <c r="DI39" s="146"/>
      <c r="DJ39" s="146"/>
      <c r="DK39" s="146"/>
      <c r="DL39" s="146"/>
      <c r="DM39" s="146"/>
      <c r="DN39" s="146"/>
      <c r="DO39" s="146"/>
      <c r="DP39" s="146"/>
      <c r="DQ39" s="146"/>
      <c r="DR39" s="146"/>
      <c r="DS39" s="146"/>
      <c r="DT39" s="146"/>
      <c r="DU39" s="146"/>
      <c r="DV39" s="146"/>
      <c r="DW39" s="146"/>
      <c r="DX39" s="146"/>
      <c r="DY39" s="146"/>
      <c r="DZ39" s="146"/>
      <c r="EA39" s="146"/>
      <c r="EB39" s="146"/>
      <c r="EC39" s="146"/>
      <c r="ED39" s="146"/>
      <c r="EE39" s="146"/>
      <c r="EF39" s="146"/>
      <c r="EG39" s="146"/>
      <c r="EH39" s="146"/>
      <c r="EI39" s="146"/>
      <c r="EJ39" s="146"/>
      <c r="EK39" s="146"/>
      <c r="EL39" s="146"/>
      <c r="EM39" s="146"/>
      <c r="EN39" s="146"/>
      <c r="EO39" s="146"/>
      <c r="EP39" s="146"/>
      <c r="EQ39" s="146"/>
    </row>
    <row r="40">
      <c r="A40" s="171" t="s">
        <v>143</v>
      </c>
      <c r="B40" s="172" t="s">
        <v>385</v>
      </c>
      <c r="C40" s="173" t="s">
        <v>386</v>
      </c>
      <c r="D40" s="172" t="s">
        <v>328</v>
      </c>
      <c r="E40" s="173" t="s">
        <v>337</v>
      </c>
      <c r="F40" s="172" t="s">
        <v>330</v>
      </c>
      <c r="G40" s="172">
        <v>190.0</v>
      </c>
      <c r="H40" s="174">
        <v>44809.0</v>
      </c>
      <c r="I40" s="174">
        <v>45000.0</v>
      </c>
      <c r="J40" s="174">
        <v>45335.0</v>
      </c>
      <c r="K40" s="175">
        <f t="shared" ref="K40:K42" si="8">EDATE(J40, 36)</f>
        <v>46431</v>
      </c>
      <c r="L40" s="176" t="str">
        <f t="shared" si="2"/>
        <v>Ok</v>
      </c>
      <c r="M40" s="174"/>
      <c r="N40" s="146"/>
      <c r="O40" s="146"/>
      <c r="P40" s="146"/>
      <c r="Q40" s="146"/>
      <c r="R40" s="146"/>
      <c r="S40" s="146"/>
      <c r="T40" s="146"/>
      <c r="U40" s="146"/>
      <c r="V40" s="146"/>
      <c r="W40" s="146"/>
      <c r="X40" s="146"/>
      <c r="Y40" s="146"/>
      <c r="Z40" s="146"/>
      <c r="AA40" s="146"/>
      <c r="AB40" s="146"/>
      <c r="AC40" s="146"/>
      <c r="AD40" s="146"/>
      <c r="AE40" s="146"/>
      <c r="AF40" s="146"/>
      <c r="AG40" s="146"/>
      <c r="AH40" s="146"/>
      <c r="AI40" s="146"/>
      <c r="AJ40" s="146"/>
      <c r="AK40" s="146"/>
      <c r="AL40" s="146"/>
      <c r="AM40" s="146"/>
      <c r="AN40" s="146"/>
      <c r="AO40" s="146"/>
      <c r="AP40" s="146"/>
      <c r="AQ40" s="146"/>
      <c r="AR40" s="146"/>
      <c r="AS40" s="146"/>
      <c r="AT40" s="146"/>
      <c r="AU40" s="146"/>
      <c r="AV40" s="146"/>
      <c r="AW40" s="146"/>
      <c r="AX40" s="146"/>
      <c r="AY40" s="146"/>
      <c r="AZ40" s="146"/>
      <c r="BA40" s="146"/>
      <c r="BB40" s="146"/>
      <c r="BC40" s="146"/>
      <c r="BD40" s="146"/>
      <c r="BE40" s="146"/>
      <c r="BF40" s="146"/>
      <c r="BG40" s="146"/>
      <c r="BH40" s="146"/>
      <c r="BI40" s="146"/>
      <c r="BJ40" s="146"/>
      <c r="BK40" s="146"/>
      <c r="BL40" s="146"/>
      <c r="BM40" s="146"/>
      <c r="BN40" s="146"/>
      <c r="BO40" s="146"/>
      <c r="BP40" s="146"/>
      <c r="BQ40" s="146"/>
      <c r="BR40" s="146"/>
      <c r="BS40" s="146"/>
      <c r="BT40" s="146"/>
      <c r="BU40" s="146"/>
      <c r="BV40" s="146"/>
      <c r="BW40" s="146"/>
      <c r="BX40" s="146"/>
      <c r="BY40" s="146"/>
      <c r="BZ40" s="146"/>
      <c r="CA40" s="146"/>
      <c r="CB40" s="146"/>
      <c r="CC40" s="146"/>
      <c r="CD40" s="146"/>
      <c r="CE40" s="146"/>
      <c r="CF40" s="146"/>
      <c r="CG40" s="146"/>
      <c r="CH40" s="146"/>
      <c r="CI40" s="146"/>
      <c r="CJ40" s="146"/>
      <c r="CK40" s="146"/>
      <c r="CL40" s="146"/>
      <c r="CM40" s="146"/>
      <c r="CN40" s="146"/>
      <c r="CO40" s="146"/>
      <c r="CP40" s="146"/>
      <c r="CQ40" s="146"/>
      <c r="CR40" s="146"/>
      <c r="CS40" s="146"/>
      <c r="CT40" s="146"/>
      <c r="CU40" s="146"/>
      <c r="CV40" s="146"/>
      <c r="CW40" s="146"/>
      <c r="CX40" s="146"/>
      <c r="CY40" s="146"/>
      <c r="CZ40" s="146"/>
      <c r="DA40" s="146"/>
      <c r="DB40" s="146"/>
      <c r="DC40" s="146"/>
      <c r="DD40" s="146"/>
      <c r="DE40" s="146"/>
      <c r="DF40" s="146"/>
      <c r="DG40" s="146"/>
      <c r="DH40" s="146"/>
      <c r="DI40" s="146"/>
      <c r="DJ40" s="146"/>
      <c r="DK40" s="146"/>
      <c r="DL40" s="146"/>
      <c r="DM40" s="146"/>
      <c r="DN40" s="146"/>
      <c r="DO40" s="146"/>
      <c r="DP40" s="146"/>
      <c r="DQ40" s="146"/>
      <c r="DR40" s="146"/>
      <c r="DS40" s="146"/>
      <c r="DT40" s="146"/>
      <c r="DU40" s="146"/>
      <c r="DV40" s="146"/>
      <c r="DW40" s="146"/>
      <c r="DX40" s="146"/>
      <c r="DY40" s="146"/>
      <c r="DZ40" s="146"/>
      <c r="EA40" s="146"/>
      <c r="EB40" s="146"/>
      <c r="EC40" s="146"/>
      <c r="ED40" s="146"/>
      <c r="EE40" s="146"/>
      <c r="EF40" s="146"/>
      <c r="EG40" s="146"/>
      <c r="EH40" s="146"/>
      <c r="EI40" s="146"/>
      <c r="EJ40" s="146"/>
      <c r="EK40" s="146"/>
      <c r="EL40" s="146"/>
      <c r="EM40" s="146"/>
      <c r="EN40" s="146"/>
      <c r="EO40" s="146"/>
      <c r="EP40" s="146"/>
      <c r="EQ40" s="146"/>
    </row>
    <row r="41">
      <c r="A41" s="177" t="s">
        <v>144</v>
      </c>
      <c r="B41" s="178" t="s">
        <v>387</v>
      </c>
      <c r="C41" s="179" t="s">
        <v>388</v>
      </c>
      <c r="D41" s="178" t="s">
        <v>328</v>
      </c>
      <c r="E41" s="179" t="s">
        <v>377</v>
      </c>
      <c r="F41" s="178" t="s">
        <v>330</v>
      </c>
      <c r="G41" s="178">
        <v>72.0</v>
      </c>
      <c r="H41" s="180"/>
      <c r="I41" s="180">
        <v>43983.0</v>
      </c>
      <c r="J41" s="180">
        <v>44810.0</v>
      </c>
      <c r="K41" s="175">
        <f t="shared" si="8"/>
        <v>45906</v>
      </c>
      <c r="L41" s="176" t="str">
        <f t="shared" si="2"/>
        <v>Overdue</v>
      </c>
      <c r="M41" s="180"/>
      <c r="N41" s="146"/>
      <c r="O41" s="146"/>
      <c r="P41" s="146"/>
      <c r="Q41" s="146"/>
      <c r="R41" s="146"/>
      <c r="S41" s="146"/>
      <c r="T41" s="146"/>
      <c r="U41" s="146"/>
      <c r="V41" s="146"/>
      <c r="W41" s="146"/>
      <c r="X41" s="146"/>
      <c r="Y41" s="146"/>
      <c r="Z41" s="146"/>
      <c r="AA41" s="146"/>
      <c r="AB41" s="146"/>
      <c r="AC41" s="146"/>
      <c r="AD41" s="146"/>
      <c r="AE41" s="146"/>
      <c r="AF41" s="146"/>
      <c r="AG41" s="146"/>
      <c r="AH41" s="146"/>
      <c r="AI41" s="146"/>
      <c r="AJ41" s="146"/>
      <c r="AK41" s="146"/>
      <c r="AL41" s="146"/>
      <c r="AM41" s="146"/>
      <c r="AN41" s="146"/>
      <c r="AO41" s="146"/>
      <c r="AP41" s="146"/>
      <c r="AQ41" s="146"/>
      <c r="AR41" s="146"/>
      <c r="AS41" s="146"/>
      <c r="AT41" s="146"/>
      <c r="AU41" s="146"/>
      <c r="AV41" s="146"/>
      <c r="AW41" s="146"/>
      <c r="AX41" s="146"/>
      <c r="AY41" s="146"/>
      <c r="AZ41" s="146"/>
      <c r="BA41" s="146"/>
      <c r="BB41" s="146"/>
      <c r="BC41" s="146"/>
      <c r="BD41" s="146"/>
      <c r="BE41" s="146"/>
      <c r="BF41" s="146"/>
      <c r="BG41" s="146"/>
      <c r="BH41" s="146"/>
      <c r="BI41" s="146"/>
      <c r="BJ41" s="146"/>
      <c r="BK41" s="146"/>
      <c r="BL41" s="146"/>
      <c r="BM41" s="146"/>
      <c r="BN41" s="146"/>
      <c r="BO41" s="146"/>
      <c r="BP41" s="146"/>
      <c r="BQ41" s="146"/>
      <c r="BR41" s="146"/>
      <c r="BS41" s="146"/>
      <c r="BT41" s="146"/>
      <c r="BU41" s="146"/>
      <c r="BV41" s="146"/>
      <c r="BW41" s="146"/>
      <c r="BX41" s="146"/>
      <c r="BY41" s="146"/>
      <c r="BZ41" s="146"/>
      <c r="CA41" s="146"/>
      <c r="CB41" s="146"/>
      <c r="CC41" s="146"/>
      <c r="CD41" s="146"/>
      <c r="CE41" s="146"/>
      <c r="CF41" s="146"/>
      <c r="CG41" s="146"/>
      <c r="CH41" s="146"/>
      <c r="CI41" s="146"/>
      <c r="CJ41" s="146"/>
      <c r="CK41" s="146"/>
      <c r="CL41" s="146"/>
      <c r="CM41" s="146"/>
      <c r="CN41" s="146"/>
      <c r="CO41" s="146"/>
      <c r="CP41" s="146"/>
      <c r="CQ41" s="146"/>
      <c r="CR41" s="146"/>
      <c r="CS41" s="146"/>
      <c r="CT41" s="146"/>
      <c r="CU41" s="146"/>
      <c r="CV41" s="146"/>
      <c r="CW41" s="146"/>
      <c r="CX41" s="146"/>
      <c r="CY41" s="146"/>
      <c r="CZ41" s="146"/>
      <c r="DA41" s="146"/>
      <c r="DB41" s="146"/>
      <c r="DC41" s="146"/>
      <c r="DD41" s="146"/>
      <c r="DE41" s="146"/>
      <c r="DF41" s="146"/>
      <c r="DG41" s="146"/>
      <c r="DH41" s="146"/>
      <c r="DI41" s="146"/>
      <c r="DJ41" s="146"/>
      <c r="DK41" s="146"/>
      <c r="DL41" s="146"/>
      <c r="DM41" s="146"/>
      <c r="DN41" s="146"/>
      <c r="DO41" s="146"/>
      <c r="DP41" s="146"/>
      <c r="DQ41" s="146"/>
      <c r="DR41" s="146"/>
      <c r="DS41" s="146"/>
      <c r="DT41" s="146"/>
      <c r="DU41" s="146"/>
      <c r="DV41" s="146"/>
      <c r="DW41" s="146"/>
      <c r="DX41" s="146"/>
      <c r="DY41" s="146"/>
      <c r="DZ41" s="146"/>
      <c r="EA41" s="146"/>
      <c r="EB41" s="146"/>
      <c r="EC41" s="146"/>
      <c r="ED41" s="146"/>
      <c r="EE41" s="146"/>
      <c r="EF41" s="146"/>
      <c r="EG41" s="146"/>
      <c r="EH41" s="146"/>
      <c r="EI41" s="146"/>
      <c r="EJ41" s="146"/>
      <c r="EK41" s="146"/>
      <c r="EL41" s="146"/>
      <c r="EM41" s="146"/>
      <c r="EN41" s="146"/>
      <c r="EO41" s="146"/>
      <c r="EP41" s="146"/>
      <c r="EQ41" s="146"/>
    </row>
    <row r="42">
      <c r="A42" s="185" t="s">
        <v>145</v>
      </c>
      <c r="B42" s="172" t="s">
        <v>365</v>
      </c>
      <c r="C42" s="173" t="s">
        <v>389</v>
      </c>
      <c r="D42" s="172" t="s">
        <v>328</v>
      </c>
      <c r="E42" s="173" t="s">
        <v>346</v>
      </c>
      <c r="F42" s="172" t="s">
        <v>330</v>
      </c>
      <c r="G42" s="172">
        <v>180.0</v>
      </c>
      <c r="H42" s="174"/>
      <c r="I42" s="174"/>
      <c r="J42" s="174">
        <v>46134.0</v>
      </c>
      <c r="K42" s="175">
        <f t="shared" si="8"/>
        <v>47230</v>
      </c>
      <c r="L42" s="176" t="str">
        <f t="shared" si="2"/>
        <v>Ok</v>
      </c>
      <c r="M42" s="174"/>
      <c r="N42" s="146"/>
      <c r="O42" s="146"/>
      <c r="P42" s="146"/>
      <c r="Q42" s="146"/>
      <c r="R42" s="146"/>
      <c r="S42" s="146"/>
      <c r="T42" s="146"/>
      <c r="U42" s="146"/>
      <c r="V42" s="146"/>
      <c r="W42" s="146"/>
      <c r="X42" s="146"/>
      <c r="Y42" s="146"/>
      <c r="Z42" s="146"/>
      <c r="AA42" s="146"/>
      <c r="AB42" s="146"/>
      <c r="AC42" s="146"/>
      <c r="AD42" s="146"/>
      <c r="AE42" s="146"/>
      <c r="AF42" s="146"/>
      <c r="AG42" s="146"/>
      <c r="AH42" s="146"/>
      <c r="AI42" s="146"/>
      <c r="AJ42" s="146"/>
      <c r="AK42" s="146"/>
      <c r="AL42" s="146"/>
      <c r="AM42" s="146"/>
      <c r="AN42" s="146"/>
      <c r="AO42" s="146"/>
      <c r="AP42" s="146"/>
      <c r="AQ42" s="146"/>
      <c r="AR42" s="146"/>
      <c r="AS42" s="146"/>
      <c r="AT42" s="146"/>
      <c r="AU42" s="146"/>
      <c r="AV42" s="146"/>
      <c r="AW42" s="146"/>
      <c r="AX42" s="146"/>
      <c r="AY42" s="146"/>
      <c r="AZ42" s="146"/>
      <c r="BA42" s="146"/>
      <c r="BB42" s="146"/>
      <c r="BC42" s="146"/>
      <c r="BD42" s="146"/>
      <c r="BE42" s="146"/>
      <c r="BF42" s="146"/>
      <c r="BG42" s="146"/>
      <c r="BH42" s="146"/>
      <c r="BI42" s="146"/>
      <c r="BJ42" s="146"/>
      <c r="BK42" s="146"/>
      <c r="BL42" s="146"/>
      <c r="BM42" s="146"/>
      <c r="BN42" s="146"/>
      <c r="BO42" s="146"/>
      <c r="BP42" s="146"/>
      <c r="BQ42" s="146"/>
      <c r="BR42" s="146"/>
      <c r="BS42" s="146"/>
      <c r="BT42" s="146"/>
      <c r="BU42" s="146"/>
      <c r="BV42" s="146"/>
      <c r="BW42" s="146"/>
      <c r="BX42" s="146"/>
      <c r="BY42" s="146"/>
      <c r="BZ42" s="146"/>
      <c r="CA42" s="146"/>
      <c r="CB42" s="146"/>
      <c r="CC42" s="146"/>
      <c r="CD42" s="146"/>
      <c r="CE42" s="146"/>
      <c r="CF42" s="146"/>
      <c r="CG42" s="146"/>
      <c r="CH42" s="146"/>
      <c r="CI42" s="146"/>
      <c r="CJ42" s="146"/>
      <c r="CK42" s="146"/>
      <c r="CL42" s="146"/>
      <c r="CM42" s="146"/>
      <c r="CN42" s="146"/>
      <c r="CO42" s="146"/>
      <c r="CP42" s="146"/>
      <c r="CQ42" s="146"/>
      <c r="CR42" s="146"/>
      <c r="CS42" s="146"/>
      <c r="CT42" s="146"/>
      <c r="CU42" s="146"/>
      <c r="CV42" s="146"/>
      <c r="CW42" s="146"/>
      <c r="CX42" s="146"/>
      <c r="CY42" s="146"/>
      <c r="CZ42" s="146"/>
      <c r="DA42" s="146"/>
      <c r="DB42" s="146"/>
      <c r="DC42" s="146"/>
      <c r="DD42" s="146"/>
      <c r="DE42" s="146"/>
      <c r="DF42" s="146"/>
      <c r="DG42" s="146"/>
      <c r="DH42" s="146"/>
      <c r="DI42" s="146"/>
      <c r="DJ42" s="146"/>
      <c r="DK42" s="146"/>
      <c r="DL42" s="146"/>
      <c r="DM42" s="146"/>
      <c r="DN42" s="146"/>
      <c r="DO42" s="146"/>
      <c r="DP42" s="146"/>
      <c r="DQ42" s="146"/>
      <c r="DR42" s="146"/>
      <c r="DS42" s="146"/>
      <c r="DT42" s="146"/>
      <c r="DU42" s="146"/>
      <c r="DV42" s="146"/>
      <c r="DW42" s="146"/>
      <c r="DX42" s="146"/>
      <c r="DY42" s="146"/>
      <c r="DZ42" s="146"/>
      <c r="EA42" s="146"/>
      <c r="EB42" s="146"/>
      <c r="EC42" s="146"/>
      <c r="ED42" s="146"/>
      <c r="EE42" s="146"/>
      <c r="EF42" s="146"/>
      <c r="EG42" s="146"/>
      <c r="EH42" s="146"/>
      <c r="EI42" s="146"/>
      <c r="EJ42" s="146"/>
      <c r="EK42" s="146"/>
      <c r="EL42" s="146"/>
      <c r="EM42" s="146"/>
      <c r="EN42" s="146"/>
      <c r="EO42" s="146"/>
      <c r="EP42" s="146"/>
      <c r="EQ42" s="146"/>
    </row>
    <row r="43">
      <c r="A43" s="177" t="s">
        <v>390</v>
      </c>
      <c r="B43" s="178" t="s">
        <v>367</v>
      </c>
      <c r="C43" s="179" t="s">
        <v>391</v>
      </c>
      <c r="D43" s="178" t="s">
        <v>369</v>
      </c>
      <c r="E43" s="179" t="s">
        <v>370</v>
      </c>
      <c r="F43" s="178" t="s">
        <v>330</v>
      </c>
      <c r="G43" s="178">
        <v>20.0</v>
      </c>
      <c r="H43" s="180">
        <v>45137.0</v>
      </c>
      <c r="I43" s="180">
        <v>45293.0</v>
      </c>
      <c r="J43" s="180">
        <v>46068.0</v>
      </c>
      <c r="K43" s="180">
        <f t="shared" ref="K43:K44" si="9">EDATE(J43, 6)</f>
        <v>46249</v>
      </c>
      <c r="L43" s="176" t="str">
        <f t="shared" si="2"/>
        <v>Ok</v>
      </c>
      <c r="M43" s="180"/>
      <c r="N43" s="146"/>
      <c r="O43" s="146"/>
      <c r="P43" s="146"/>
      <c r="Q43" s="146"/>
      <c r="R43" s="146"/>
      <c r="S43" s="146"/>
      <c r="T43" s="146"/>
      <c r="U43" s="146"/>
      <c r="V43" s="146"/>
      <c r="W43" s="146"/>
      <c r="X43" s="146"/>
      <c r="Y43" s="146"/>
      <c r="Z43" s="146"/>
      <c r="AA43" s="146"/>
      <c r="AB43" s="146"/>
      <c r="AC43" s="146"/>
      <c r="AD43" s="146"/>
      <c r="AE43" s="146"/>
      <c r="AF43" s="146"/>
      <c r="AG43" s="146"/>
      <c r="AH43" s="146"/>
      <c r="AI43" s="146"/>
      <c r="AJ43" s="146"/>
      <c r="AK43" s="146"/>
      <c r="AL43" s="146"/>
      <c r="AM43" s="146"/>
      <c r="AN43" s="146"/>
      <c r="AO43" s="146"/>
      <c r="AP43" s="146"/>
      <c r="AQ43" s="146"/>
      <c r="AR43" s="146"/>
      <c r="AS43" s="146"/>
      <c r="AT43" s="146"/>
      <c r="AU43" s="146"/>
      <c r="AV43" s="146"/>
      <c r="AW43" s="146"/>
      <c r="AX43" s="146"/>
      <c r="AY43" s="146"/>
      <c r="AZ43" s="146"/>
      <c r="BA43" s="146"/>
      <c r="BB43" s="146"/>
      <c r="BC43" s="146"/>
      <c r="BD43" s="146"/>
      <c r="BE43" s="146"/>
      <c r="BF43" s="146"/>
      <c r="BG43" s="146"/>
      <c r="BH43" s="146"/>
      <c r="BI43" s="146"/>
      <c r="BJ43" s="146"/>
      <c r="BK43" s="146"/>
      <c r="BL43" s="146"/>
      <c r="BM43" s="146"/>
      <c r="BN43" s="146"/>
      <c r="BO43" s="146"/>
      <c r="BP43" s="146"/>
      <c r="BQ43" s="146"/>
      <c r="BR43" s="146"/>
      <c r="BS43" s="146"/>
      <c r="BT43" s="146"/>
      <c r="BU43" s="146"/>
      <c r="BV43" s="146"/>
      <c r="BW43" s="146"/>
      <c r="BX43" s="146"/>
      <c r="BY43" s="146"/>
      <c r="BZ43" s="146"/>
      <c r="CA43" s="146"/>
      <c r="CB43" s="146"/>
      <c r="CC43" s="146"/>
      <c r="CD43" s="146"/>
      <c r="CE43" s="146"/>
      <c r="CF43" s="146"/>
      <c r="CG43" s="146"/>
      <c r="CH43" s="146"/>
      <c r="CI43" s="146"/>
      <c r="CJ43" s="146"/>
      <c r="CK43" s="146"/>
      <c r="CL43" s="146"/>
      <c r="CM43" s="146"/>
      <c r="CN43" s="146"/>
      <c r="CO43" s="146"/>
      <c r="CP43" s="146"/>
      <c r="CQ43" s="146"/>
      <c r="CR43" s="146"/>
      <c r="CS43" s="146"/>
      <c r="CT43" s="146"/>
      <c r="CU43" s="146"/>
      <c r="CV43" s="146"/>
      <c r="CW43" s="146"/>
      <c r="CX43" s="146"/>
      <c r="CY43" s="146"/>
      <c r="CZ43" s="146"/>
      <c r="DA43" s="146"/>
      <c r="DB43" s="146"/>
      <c r="DC43" s="146"/>
      <c r="DD43" s="146"/>
      <c r="DE43" s="146"/>
      <c r="DF43" s="146"/>
      <c r="DG43" s="146"/>
      <c r="DH43" s="146"/>
      <c r="DI43" s="146"/>
      <c r="DJ43" s="146"/>
      <c r="DK43" s="146"/>
      <c r="DL43" s="146"/>
      <c r="DM43" s="146"/>
      <c r="DN43" s="146"/>
      <c r="DO43" s="146"/>
      <c r="DP43" s="146"/>
      <c r="DQ43" s="146"/>
      <c r="DR43" s="146"/>
      <c r="DS43" s="146"/>
      <c r="DT43" s="146"/>
      <c r="DU43" s="146"/>
      <c r="DV43" s="146"/>
      <c r="DW43" s="146"/>
      <c r="DX43" s="146"/>
      <c r="DY43" s="146"/>
      <c r="DZ43" s="146"/>
      <c r="EA43" s="146"/>
      <c r="EB43" s="146"/>
      <c r="EC43" s="146"/>
      <c r="ED43" s="146"/>
      <c r="EE43" s="146"/>
      <c r="EF43" s="146"/>
      <c r="EG43" s="146"/>
      <c r="EH43" s="146"/>
      <c r="EI43" s="146"/>
      <c r="EJ43" s="146"/>
      <c r="EK43" s="146"/>
      <c r="EL43" s="146"/>
      <c r="EM43" s="146"/>
      <c r="EN43" s="146"/>
      <c r="EO43" s="146"/>
      <c r="EP43" s="146"/>
      <c r="EQ43" s="146"/>
    </row>
    <row r="44">
      <c r="A44" s="171" t="s">
        <v>392</v>
      </c>
      <c r="B44" s="172"/>
      <c r="C44" s="173" t="s">
        <v>393</v>
      </c>
      <c r="D44" s="172" t="s">
        <v>369</v>
      </c>
      <c r="E44" s="173" t="s">
        <v>370</v>
      </c>
      <c r="F44" s="172" t="s">
        <v>330</v>
      </c>
      <c r="G44" s="172">
        <v>20.0</v>
      </c>
      <c r="H44" s="174">
        <v>45137.0</v>
      </c>
      <c r="I44" s="174">
        <v>45293.0</v>
      </c>
      <c r="J44" s="174">
        <v>46068.0</v>
      </c>
      <c r="K44" s="180">
        <f t="shared" si="9"/>
        <v>46249</v>
      </c>
      <c r="L44" s="176" t="str">
        <f t="shared" si="2"/>
        <v>Ok</v>
      </c>
      <c r="M44" s="174"/>
      <c r="N44" s="146"/>
      <c r="O44" s="146"/>
      <c r="P44" s="146"/>
      <c r="Q44" s="146"/>
      <c r="R44" s="146"/>
      <c r="S44" s="146"/>
      <c r="T44" s="146"/>
      <c r="U44" s="146"/>
      <c r="V44" s="146"/>
      <c r="W44" s="146"/>
      <c r="X44" s="146"/>
      <c r="Y44" s="146"/>
      <c r="Z44" s="146"/>
      <c r="AA44" s="146"/>
      <c r="AB44" s="146"/>
      <c r="AC44" s="146"/>
      <c r="AD44" s="146"/>
      <c r="AE44" s="146"/>
      <c r="AF44" s="146"/>
      <c r="AG44" s="146"/>
      <c r="AH44" s="146"/>
      <c r="AI44" s="146"/>
      <c r="AJ44" s="146"/>
      <c r="AK44" s="146"/>
      <c r="AL44" s="146"/>
      <c r="AM44" s="146"/>
      <c r="AN44" s="146"/>
      <c r="AO44" s="146"/>
      <c r="AP44" s="146"/>
      <c r="AQ44" s="146"/>
      <c r="AR44" s="146"/>
      <c r="AS44" s="146"/>
      <c r="AT44" s="146"/>
      <c r="AU44" s="146"/>
      <c r="AV44" s="146"/>
      <c r="AW44" s="146"/>
      <c r="AX44" s="146"/>
      <c r="AY44" s="146"/>
      <c r="AZ44" s="146"/>
      <c r="BA44" s="146"/>
      <c r="BB44" s="146"/>
      <c r="BC44" s="146"/>
      <c r="BD44" s="146"/>
      <c r="BE44" s="146"/>
      <c r="BF44" s="146"/>
      <c r="BG44" s="146"/>
      <c r="BH44" s="146"/>
      <c r="BI44" s="146"/>
      <c r="BJ44" s="146"/>
      <c r="BK44" s="146"/>
      <c r="BL44" s="146"/>
      <c r="BM44" s="146"/>
      <c r="BN44" s="146"/>
      <c r="BO44" s="146"/>
      <c r="BP44" s="146"/>
      <c r="BQ44" s="146"/>
      <c r="BR44" s="146"/>
      <c r="BS44" s="146"/>
      <c r="BT44" s="146"/>
      <c r="BU44" s="146"/>
      <c r="BV44" s="146"/>
      <c r="BW44" s="146"/>
      <c r="BX44" s="146"/>
      <c r="BY44" s="146"/>
      <c r="BZ44" s="146"/>
      <c r="CA44" s="146"/>
      <c r="CB44" s="146"/>
      <c r="CC44" s="146"/>
      <c r="CD44" s="146"/>
      <c r="CE44" s="146"/>
      <c r="CF44" s="146"/>
      <c r="CG44" s="146"/>
      <c r="CH44" s="146"/>
      <c r="CI44" s="146"/>
      <c r="CJ44" s="146"/>
      <c r="CK44" s="146"/>
      <c r="CL44" s="146"/>
      <c r="CM44" s="146"/>
      <c r="CN44" s="146"/>
      <c r="CO44" s="146"/>
      <c r="CP44" s="146"/>
      <c r="CQ44" s="146"/>
      <c r="CR44" s="146"/>
      <c r="CS44" s="146"/>
      <c r="CT44" s="146"/>
      <c r="CU44" s="146"/>
      <c r="CV44" s="146"/>
      <c r="CW44" s="146"/>
      <c r="CX44" s="146"/>
      <c r="CY44" s="146"/>
      <c r="CZ44" s="146"/>
      <c r="DA44" s="146"/>
      <c r="DB44" s="146"/>
      <c r="DC44" s="146"/>
      <c r="DD44" s="146"/>
      <c r="DE44" s="146"/>
      <c r="DF44" s="146"/>
      <c r="DG44" s="146"/>
      <c r="DH44" s="146"/>
      <c r="DI44" s="146"/>
      <c r="DJ44" s="146"/>
      <c r="DK44" s="146"/>
      <c r="DL44" s="146"/>
      <c r="DM44" s="146"/>
      <c r="DN44" s="146"/>
      <c r="DO44" s="146"/>
      <c r="DP44" s="146"/>
      <c r="DQ44" s="146"/>
      <c r="DR44" s="146"/>
      <c r="DS44" s="146"/>
      <c r="DT44" s="146"/>
      <c r="DU44" s="146"/>
      <c r="DV44" s="146"/>
      <c r="DW44" s="146"/>
      <c r="DX44" s="146"/>
      <c r="DY44" s="146"/>
      <c r="DZ44" s="146"/>
      <c r="EA44" s="146"/>
      <c r="EB44" s="146"/>
      <c r="EC44" s="146"/>
      <c r="ED44" s="146"/>
      <c r="EE44" s="146"/>
      <c r="EF44" s="146"/>
      <c r="EG44" s="146"/>
      <c r="EH44" s="146"/>
      <c r="EI44" s="146"/>
      <c r="EJ44" s="146"/>
      <c r="EK44" s="146"/>
      <c r="EL44" s="146"/>
      <c r="EM44" s="146"/>
      <c r="EN44" s="146"/>
      <c r="EO44" s="146"/>
      <c r="EP44" s="146"/>
      <c r="EQ44" s="146"/>
    </row>
    <row r="45">
      <c r="A45" s="184" t="s">
        <v>148</v>
      </c>
      <c r="B45" s="178" t="s">
        <v>372</v>
      </c>
      <c r="C45" s="179" t="s">
        <v>394</v>
      </c>
      <c r="D45" s="178" t="s">
        <v>328</v>
      </c>
      <c r="E45" s="179" t="s">
        <v>344</v>
      </c>
      <c r="F45" s="178" t="s">
        <v>330</v>
      </c>
      <c r="G45" s="178">
        <v>1700.0</v>
      </c>
      <c r="H45" s="180"/>
      <c r="I45" s="180">
        <v>44162.0</v>
      </c>
      <c r="J45" s="180">
        <v>45431.0</v>
      </c>
      <c r="K45" s="175">
        <f t="shared" ref="K45:K50" si="10">EDATE(J45, 36)</f>
        <v>46526</v>
      </c>
      <c r="L45" s="176" t="str">
        <f t="shared" si="2"/>
        <v>Ok</v>
      </c>
      <c r="M45" s="180"/>
      <c r="N45" s="146"/>
      <c r="O45" s="146"/>
      <c r="P45" s="146"/>
      <c r="Q45" s="146"/>
      <c r="R45" s="146"/>
      <c r="S45" s="146"/>
      <c r="T45" s="146"/>
      <c r="U45" s="146"/>
      <c r="V45" s="146"/>
      <c r="W45" s="146"/>
      <c r="X45" s="146"/>
      <c r="Y45" s="146"/>
      <c r="Z45" s="146"/>
      <c r="AA45" s="146"/>
      <c r="AB45" s="146"/>
      <c r="AC45" s="146"/>
      <c r="AD45" s="146"/>
      <c r="AE45" s="146"/>
      <c r="AF45" s="146"/>
      <c r="AG45" s="146"/>
      <c r="AH45" s="146"/>
      <c r="AI45" s="146"/>
      <c r="AJ45" s="146"/>
      <c r="AK45" s="146"/>
      <c r="AL45" s="146"/>
      <c r="AM45" s="146"/>
      <c r="AN45" s="146"/>
      <c r="AO45" s="146"/>
      <c r="AP45" s="146"/>
      <c r="AQ45" s="146"/>
      <c r="AR45" s="146"/>
      <c r="AS45" s="146"/>
      <c r="AT45" s="146"/>
      <c r="AU45" s="146"/>
      <c r="AV45" s="146"/>
      <c r="AW45" s="146"/>
      <c r="AX45" s="146"/>
      <c r="AY45" s="146"/>
      <c r="AZ45" s="146"/>
      <c r="BA45" s="146"/>
      <c r="BB45" s="146"/>
      <c r="BC45" s="146"/>
      <c r="BD45" s="146"/>
      <c r="BE45" s="146"/>
      <c r="BF45" s="146"/>
      <c r="BG45" s="146"/>
      <c r="BH45" s="146"/>
      <c r="BI45" s="146"/>
      <c r="BJ45" s="146"/>
      <c r="BK45" s="146"/>
      <c r="BL45" s="146"/>
      <c r="BM45" s="146"/>
      <c r="BN45" s="146"/>
      <c r="BO45" s="146"/>
      <c r="BP45" s="146"/>
      <c r="BQ45" s="146"/>
      <c r="BR45" s="146"/>
      <c r="BS45" s="146"/>
      <c r="BT45" s="146"/>
      <c r="BU45" s="146"/>
      <c r="BV45" s="146"/>
      <c r="BW45" s="146"/>
      <c r="BX45" s="146"/>
      <c r="BY45" s="146"/>
      <c r="BZ45" s="146"/>
      <c r="CA45" s="146"/>
      <c r="CB45" s="146"/>
      <c r="CC45" s="146"/>
      <c r="CD45" s="146"/>
      <c r="CE45" s="146"/>
      <c r="CF45" s="146"/>
      <c r="CG45" s="146"/>
      <c r="CH45" s="146"/>
      <c r="CI45" s="146"/>
      <c r="CJ45" s="146"/>
      <c r="CK45" s="146"/>
      <c r="CL45" s="146"/>
      <c r="CM45" s="146"/>
      <c r="CN45" s="146"/>
      <c r="CO45" s="146"/>
      <c r="CP45" s="146"/>
      <c r="CQ45" s="146"/>
      <c r="CR45" s="146"/>
      <c r="CS45" s="146"/>
      <c r="CT45" s="146"/>
      <c r="CU45" s="146"/>
      <c r="CV45" s="146"/>
      <c r="CW45" s="146"/>
      <c r="CX45" s="146"/>
      <c r="CY45" s="146"/>
      <c r="CZ45" s="146"/>
      <c r="DA45" s="146"/>
      <c r="DB45" s="146"/>
      <c r="DC45" s="146"/>
      <c r="DD45" s="146"/>
      <c r="DE45" s="146"/>
      <c r="DF45" s="146"/>
      <c r="DG45" s="146"/>
      <c r="DH45" s="146"/>
      <c r="DI45" s="146"/>
      <c r="DJ45" s="146"/>
      <c r="DK45" s="146"/>
      <c r="DL45" s="146"/>
      <c r="DM45" s="146"/>
      <c r="DN45" s="146"/>
      <c r="DO45" s="146"/>
      <c r="DP45" s="146"/>
      <c r="DQ45" s="146"/>
      <c r="DR45" s="146"/>
      <c r="DS45" s="146"/>
      <c r="DT45" s="146"/>
      <c r="DU45" s="146"/>
      <c r="DV45" s="146"/>
      <c r="DW45" s="146"/>
      <c r="DX45" s="146"/>
      <c r="DY45" s="146"/>
      <c r="DZ45" s="146"/>
      <c r="EA45" s="146"/>
      <c r="EB45" s="146"/>
      <c r="EC45" s="146"/>
      <c r="ED45" s="146"/>
      <c r="EE45" s="146"/>
      <c r="EF45" s="146"/>
      <c r="EG45" s="146"/>
      <c r="EH45" s="146"/>
      <c r="EI45" s="146"/>
      <c r="EJ45" s="146"/>
      <c r="EK45" s="146"/>
      <c r="EL45" s="146"/>
      <c r="EM45" s="146"/>
      <c r="EN45" s="146"/>
      <c r="EO45" s="146"/>
      <c r="EP45" s="146"/>
      <c r="EQ45" s="146"/>
    </row>
    <row r="46">
      <c r="A46" s="171" t="s">
        <v>149</v>
      </c>
      <c r="B46" s="172"/>
      <c r="C46" s="173" t="s">
        <v>395</v>
      </c>
      <c r="D46" s="172" t="s">
        <v>328</v>
      </c>
      <c r="E46" s="173" t="s">
        <v>377</v>
      </c>
      <c r="F46" s="172" t="s">
        <v>330</v>
      </c>
      <c r="G46" s="172">
        <v>1000.0</v>
      </c>
      <c r="H46" s="174">
        <v>44950.0</v>
      </c>
      <c r="I46" s="174">
        <v>45228.0</v>
      </c>
      <c r="J46" s="174">
        <v>45658.0</v>
      </c>
      <c r="K46" s="175">
        <f t="shared" si="10"/>
        <v>46753</v>
      </c>
      <c r="L46" s="176" t="str">
        <f t="shared" si="2"/>
        <v>Ok</v>
      </c>
      <c r="M46" s="174"/>
      <c r="N46" s="146"/>
      <c r="O46" s="146"/>
      <c r="P46" s="146"/>
      <c r="Q46" s="146"/>
      <c r="R46" s="146"/>
      <c r="S46" s="146"/>
      <c r="T46" s="146"/>
      <c r="U46" s="146"/>
      <c r="V46" s="146"/>
      <c r="W46" s="146"/>
      <c r="X46" s="146"/>
      <c r="Y46" s="146"/>
      <c r="Z46" s="146"/>
      <c r="AA46" s="146"/>
      <c r="AB46" s="146"/>
      <c r="AC46" s="146"/>
      <c r="AD46" s="146"/>
      <c r="AE46" s="146"/>
      <c r="AF46" s="146"/>
      <c r="AG46" s="146"/>
      <c r="AH46" s="146"/>
      <c r="AI46" s="146"/>
      <c r="AJ46" s="146"/>
      <c r="AK46" s="146"/>
      <c r="AL46" s="146"/>
      <c r="AM46" s="146"/>
      <c r="AN46" s="146"/>
      <c r="AO46" s="146"/>
      <c r="AP46" s="146"/>
      <c r="AQ46" s="146"/>
      <c r="AR46" s="146"/>
      <c r="AS46" s="146"/>
      <c r="AT46" s="146"/>
      <c r="AU46" s="146"/>
      <c r="AV46" s="146"/>
      <c r="AW46" s="146"/>
      <c r="AX46" s="146"/>
      <c r="AY46" s="146"/>
      <c r="AZ46" s="146"/>
      <c r="BA46" s="146"/>
      <c r="BB46" s="146"/>
      <c r="BC46" s="146"/>
      <c r="BD46" s="146"/>
      <c r="BE46" s="146"/>
      <c r="BF46" s="146"/>
      <c r="BG46" s="146"/>
      <c r="BH46" s="146"/>
      <c r="BI46" s="146"/>
      <c r="BJ46" s="146"/>
      <c r="BK46" s="146"/>
      <c r="BL46" s="146"/>
      <c r="BM46" s="146"/>
      <c r="BN46" s="146"/>
      <c r="BO46" s="146"/>
      <c r="BP46" s="146"/>
      <c r="BQ46" s="146"/>
      <c r="BR46" s="146"/>
      <c r="BS46" s="146"/>
      <c r="BT46" s="146"/>
      <c r="BU46" s="146"/>
      <c r="BV46" s="146"/>
      <c r="BW46" s="146"/>
      <c r="BX46" s="146"/>
      <c r="BY46" s="146"/>
      <c r="BZ46" s="146"/>
      <c r="CA46" s="146"/>
      <c r="CB46" s="146"/>
      <c r="CC46" s="146"/>
      <c r="CD46" s="146"/>
      <c r="CE46" s="146"/>
      <c r="CF46" s="146"/>
      <c r="CG46" s="146"/>
      <c r="CH46" s="146"/>
      <c r="CI46" s="146"/>
      <c r="CJ46" s="146"/>
      <c r="CK46" s="146"/>
      <c r="CL46" s="146"/>
      <c r="CM46" s="146"/>
      <c r="CN46" s="146"/>
      <c r="CO46" s="146"/>
      <c r="CP46" s="146"/>
      <c r="CQ46" s="146"/>
      <c r="CR46" s="146"/>
      <c r="CS46" s="146"/>
      <c r="CT46" s="146"/>
      <c r="CU46" s="146"/>
      <c r="CV46" s="146"/>
      <c r="CW46" s="146"/>
      <c r="CX46" s="146"/>
      <c r="CY46" s="146"/>
      <c r="CZ46" s="146"/>
      <c r="DA46" s="146"/>
      <c r="DB46" s="146"/>
      <c r="DC46" s="146"/>
      <c r="DD46" s="146"/>
      <c r="DE46" s="146"/>
      <c r="DF46" s="146"/>
      <c r="DG46" s="146"/>
      <c r="DH46" s="146"/>
      <c r="DI46" s="146"/>
      <c r="DJ46" s="146"/>
      <c r="DK46" s="146"/>
      <c r="DL46" s="146"/>
      <c r="DM46" s="146"/>
      <c r="DN46" s="146"/>
      <c r="DO46" s="146"/>
      <c r="DP46" s="146"/>
      <c r="DQ46" s="146"/>
      <c r="DR46" s="146"/>
      <c r="DS46" s="146"/>
      <c r="DT46" s="146"/>
      <c r="DU46" s="146"/>
      <c r="DV46" s="146"/>
      <c r="DW46" s="146"/>
      <c r="DX46" s="146"/>
      <c r="DY46" s="146"/>
      <c r="DZ46" s="146"/>
      <c r="EA46" s="146"/>
      <c r="EB46" s="146"/>
      <c r="EC46" s="146"/>
      <c r="ED46" s="146"/>
      <c r="EE46" s="146"/>
      <c r="EF46" s="146"/>
      <c r="EG46" s="146"/>
      <c r="EH46" s="146"/>
      <c r="EI46" s="146"/>
      <c r="EJ46" s="146"/>
      <c r="EK46" s="146"/>
      <c r="EL46" s="146"/>
      <c r="EM46" s="146"/>
      <c r="EN46" s="146"/>
      <c r="EO46" s="146"/>
      <c r="EP46" s="146"/>
      <c r="EQ46" s="146"/>
    </row>
    <row r="47">
      <c r="A47" s="177" t="s">
        <v>150</v>
      </c>
      <c r="B47" s="178"/>
      <c r="C47" s="179" t="s">
        <v>396</v>
      </c>
      <c r="D47" s="178" t="s">
        <v>328</v>
      </c>
      <c r="E47" s="179" t="s">
        <v>377</v>
      </c>
      <c r="F47" s="178" t="s">
        <v>330</v>
      </c>
      <c r="G47" s="178">
        <v>1000.0</v>
      </c>
      <c r="H47" s="180">
        <v>44950.0</v>
      </c>
      <c r="I47" s="180">
        <v>45228.0</v>
      </c>
      <c r="J47" s="180">
        <v>45658.0</v>
      </c>
      <c r="K47" s="175">
        <f t="shared" si="10"/>
        <v>46753</v>
      </c>
      <c r="L47" s="176" t="str">
        <f t="shared" si="2"/>
        <v>Ok</v>
      </c>
      <c r="M47" s="180"/>
      <c r="N47" s="146"/>
      <c r="O47" s="146"/>
      <c r="P47" s="146"/>
      <c r="Q47" s="146"/>
      <c r="R47" s="146"/>
      <c r="S47" s="146"/>
      <c r="T47" s="146"/>
      <c r="U47" s="146"/>
      <c r="V47" s="146"/>
      <c r="W47" s="146"/>
      <c r="X47" s="146"/>
      <c r="Y47" s="146"/>
      <c r="Z47" s="146"/>
      <c r="AA47" s="146"/>
      <c r="AB47" s="146"/>
      <c r="AC47" s="146"/>
      <c r="AD47" s="146"/>
      <c r="AE47" s="146"/>
      <c r="AF47" s="146"/>
      <c r="AG47" s="146"/>
      <c r="AH47" s="146"/>
      <c r="AI47" s="146"/>
      <c r="AJ47" s="146"/>
      <c r="AK47" s="146"/>
      <c r="AL47" s="146"/>
      <c r="AM47" s="146"/>
      <c r="AN47" s="146"/>
      <c r="AO47" s="146"/>
      <c r="AP47" s="146"/>
      <c r="AQ47" s="146"/>
      <c r="AR47" s="146"/>
      <c r="AS47" s="146"/>
      <c r="AT47" s="146"/>
      <c r="AU47" s="146"/>
      <c r="AV47" s="146"/>
      <c r="AW47" s="146"/>
      <c r="AX47" s="146"/>
      <c r="AY47" s="146"/>
      <c r="AZ47" s="146"/>
      <c r="BA47" s="146"/>
      <c r="BB47" s="146"/>
      <c r="BC47" s="146"/>
      <c r="BD47" s="146"/>
      <c r="BE47" s="146"/>
      <c r="BF47" s="146"/>
      <c r="BG47" s="146"/>
      <c r="BH47" s="146"/>
      <c r="BI47" s="146"/>
      <c r="BJ47" s="146"/>
      <c r="BK47" s="146"/>
      <c r="BL47" s="146"/>
      <c r="BM47" s="146"/>
      <c r="BN47" s="146"/>
      <c r="BO47" s="146"/>
      <c r="BP47" s="146"/>
      <c r="BQ47" s="146"/>
      <c r="BR47" s="146"/>
      <c r="BS47" s="146"/>
      <c r="BT47" s="146"/>
      <c r="BU47" s="146"/>
      <c r="BV47" s="146"/>
      <c r="BW47" s="146"/>
      <c r="BX47" s="146"/>
      <c r="BY47" s="146"/>
      <c r="BZ47" s="146"/>
      <c r="CA47" s="146"/>
      <c r="CB47" s="146"/>
      <c r="CC47" s="146"/>
      <c r="CD47" s="146"/>
      <c r="CE47" s="146"/>
      <c r="CF47" s="146"/>
      <c r="CG47" s="146"/>
      <c r="CH47" s="146"/>
      <c r="CI47" s="146"/>
      <c r="CJ47" s="146"/>
      <c r="CK47" s="146"/>
      <c r="CL47" s="146"/>
      <c r="CM47" s="146"/>
      <c r="CN47" s="146"/>
      <c r="CO47" s="146"/>
      <c r="CP47" s="146"/>
      <c r="CQ47" s="146"/>
      <c r="CR47" s="146"/>
      <c r="CS47" s="146"/>
      <c r="CT47" s="146"/>
      <c r="CU47" s="146"/>
      <c r="CV47" s="146"/>
      <c r="CW47" s="146"/>
      <c r="CX47" s="146"/>
      <c r="CY47" s="146"/>
      <c r="CZ47" s="146"/>
      <c r="DA47" s="146"/>
      <c r="DB47" s="146"/>
      <c r="DC47" s="146"/>
      <c r="DD47" s="146"/>
      <c r="DE47" s="146"/>
      <c r="DF47" s="146"/>
      <c r="DG47" s="146"/>
      <c r="DH47" s="146"/>
      <c r="DI47" s="146"/>
      <c r="DJ47" s="146"/>
      <c r="DK47" s="146"/>
      <c r="DL47" s="146"/>
      <c r="DM47" s="146"/>
      <c r="DN47" s="146"/>
      <c r="DO47" s="146"/>
      <c r="DP47" s="146"/>
      <c r="DQ47" s="146"/>
      <c r="DR47" s="146"/>
      <c r="DS47" s="146"/>
      <c r="DT47" s="146"/>
      <c r="DU47" s="146"/>
      <c r="DV47" s="146"/>
      <c r="DW47" s="146"/>
      <c r="DX47" s="146"/>
      <c r="DY47" s="146"/>
      <c r="DZ47" s="146"/>
      <c r="EA47" s="146"/>
      <c r="EB47" s="146"/>
      <c r="EC47" s="146"/>
      <c r="ED47" s="146"/>
      <c r="EE47" s="146"/>
      <c r="EF47" s="146"/>
      <c r="EG47" s="146"/>
      <c r="EH47" s="146"/>
      <c r="EI47" s="146"/>
      <c r="EJ47" s="146"/>
      <c r="EK47" s="146"/>
      <c r="EL47" s="146"/>
      <c r="EM47" s="146"/>
      <c r="EN47" s="146"/>
      <c r="EO47" s="146"/>
      <c r="EP47" s="146"/>
      <c r="EQ47" s="146"/>
    </row>
    <row r="48">
      <c r="A48" s="171" t="s">
        <v>151</v>
      </c>
      <c r="B48" s="172"/>
      <c r="C48" s="173" t="s">
        <v>397</v>
      </c>
      <c r="D48" s="172" t="s">
        <v>328</v>
      </c>
      <c r="E48" s="173" t="s">
        <v>377</v>
      </c>
      <c r="F48" s="172" t="s">
        <v>330</v>
      </c>
      <c r="G48" s="172">
        <v>1000.0</v>
      </c>
      <c r="H48" s="174">
        <v>44950.0</v>
      </c>
      <c r="I48" s="174">
        <v>45228.0</v>
      </c>
      <c r="J48" s="174">
        <v>45658.0</v>
      </c>
      <c r="K48" s="175">
        <f t="shared" si="10"/>
        <v>46753</v>
      </c>
      <c r="L48" s="176" t="str">
        <f t="shared" si="2"/>
        <v>Ok</v>
      </c>
      <c r="M48" s="174"/>
      <c r="N48" s="146"/>
      <c r="O48" s="146"/>
      <c r="P48" s="146"/>
      <c r="Q48" s="146"/>
      <c r="R48" s="146"/>
      <c r="S48" s="146"/>
      <c r="T48" s="146"/>
      <c r="U48" s="146"/>
      <c r="V48" s="146"/>
      <c r="W48" s="146"/>
      <c r="X48" s="146"/>
      <c r="Y48" s="146"/>
      <c r="Z48" s="146"/>
      <c r="AA48" s="146"/>
      <c r="AB48" s="146"/>
      <c r="AC48" s="146"/>
      <c r="AD48" s="146"/>
      <c r="AE48" s="146"/>
      <c r="AF48" s="146"/>
      <c r="AG48" s="146"/>
      <c r="AH48" s="146"/>
      <c r="AI48" s="146"/>
      <c r="AJ48" s="146"/>
      <c r="AK48" s="146"/>
      <c r="AL48" s="146"/>
      <c r="AM48" s="146"/>
      <c r="AN48" s="146"/>
      <c r="AO48" s="146"/>
      <c r="AP48" s="146"/>
      <c r="AQ48" s="146"/>
      <c r="AR48" s="146"/>
      <c r="AS48" s="146"/>
      <c r="AT48" s="146"/>
      <c r="AU48" s="146"/>
      <c r="AV48" s="146"/>
      <c r="AW48" s="146"/>
      <c r="AX48" s="146"/>
      <c r="AY48" s="146"/>
      <c r="AZ48" s="146"/>
      <c r="BA48" s="146"/>
      <c r="BB48" s="146"/>
      <c r="BC48" s="146"/>
      <c r="BD48" s="146"/>
      <c r="BE48" s="146"/>
      <c r="BF48" s="146"/>
      <c r="BG48" s="146"/>
      <c r="BH48" s="146"/>
      <c r="BI48" s="146"/>
      <c r="BJ48" s="146"/>
      <c r="BK48" s="146"/>
      <c r="BL48" s="146"/>
      <c r="BM48" s="146"/>
      <c r="BN48" s="146"/>
      <c r="BO48" s="146"/>
      <c r="BP48" s="146"/>
      <c r="BQ48" s="146"/>
      <c r="BR48" s="146"/>
      <c r="BS48" s="146"/>
      <c r="BT48" s="146"/>
      <c r="BU48" s="146"/>
      <c r="BV48" s="146"/>
      <c r="BW48" s="146"/>
      <c r="BX48" s="146"/>
      <c r="BY48" s="146"/>
      <c r="BZ48" s="146"/>
      <c r="CA48" s="146"/>
      <c r="CB48" s="146"/>
      <c r="CC48" s="146"/>
      <c r="CD48" s="146"/>
      <c r="CE48" s="146"/>
      <c r="CF48" s="146"/>
      <c r="CG48" s="146"/>
      <c r="CH48" s="146"/>
      <c r="CI48" s="146"/>
      <c r="CJ48" s="146"/>
      <c r="CK48" s="146"/>
      <c r="CL48" s="146"/>
      <c r="CM48" s="146"/>
      <c r="CN48" s="146"/>
      <c r="CO48" s="146"/>
      <c r="CP48" s="146"/>
      <c r="CQ48" s="146"/>
      <c r="CR48" s="146"/>
      <c r="CS48" s="146"/>
      <c r="CT48" s="146"/>
      <c r="CU48" s="146"/>
      <c r="CV48" s="146"/>
      <c r="CW48" s="146"/>
      <c r="CX48" s="146"/>
      <c r="CY48" s="146"/>
      <c r="CZ48" s="146"/>
      <c r="DA48" s="146"/>
      <c r="DB48" s="146"/>
      <c r="DC48" s="146"/>
      <c r="DD48" s="146"/>
      <c r="DE48" s="146"/>
      <c r="DF48" s="146"/>
      <c r="DG48" s="146"/>
      <c r="DH48" s="146"/>
      <c r="DI48" s="146"/>
      <c r="DJ48" s="146"/>
      <c r="DK48" s="146"/>
      <c r="DL48" s="146"/>
      <c r="DM48" s="146"/>
      <c r="DN48" s="146"/>
      <c r="DO48" s="146"/>
      <c r="DP48" s="146"/>
      <c r="DQ48" s="146"/>
      <c r="DR48" s="146"/>
      <c r="DS48" s="146"/>
      <c r="DT48" s="146"/>
      <c r="DU48" s="146"/>
      <c r="DV48" s="146"/>
      <c r="DW48" s="146"/>
      <c r="DX48" s="146"/>
      <c r="DY48" s="146"/>
      <c r="DZ48" s="146"/>
      <c r="EA48" s="146"/>
      <c r="EB48" s="146"/>
      <c r="EC48" s="146"/>
      <c r="ED48" s="146"/>
      <c r="EE48" s="146"/>
      <c r="EF48" s="146"/>
      <c r="EG48" s="146"/>
      <c r="EH48" s="146"/>
      <c r="EI48" s="146"/>
      <c r="EJ48" s="146"/>
      <c r="EK48" s="146"/>
      <c r="EL48" s="146"/>
      <c r="EM48" s="146"/>
      <c r="EN48" s="146"/>
      <c r="EO48" s="146"/>
      <c r="EP48" s="146"/>
      <c r="EQ48" s="146"/>
    </row>
    <row r="49">
      <c r="A49" s="184" t="s">
        <v>152</v>
      </c>
      <c r="B49" s="178" t="s">
        <v>380</v>
      </c>
      <c r="C49" s="179" t="s">
        <v>381</v>
      </c>
      <c r="D49" s="178" t="s">
        <v>328</v>
      </c>
      <c r="E49" s="179" t="s">
        <v>377</v>
      </c>
      <c r="F49" s="178" t="s">
        <v>330</v>
      </c>
      <c r="G49" s="178">
        <v>1000.0</v>
      </c>
      <c r="H49" s="180">
        <v>44950.0</v>
      </c>
      <c r="I49" s="180">
        <v>45228.0</v>
      </c>
      <c r="J49" s="180">
        <v>45658.0</v>
      </c>
      <c r="K49" s="175">
        <f t="shared" si="10"/>
        <v>46753</v>
      </c>
      <c r="L49" s="176" t="str">
        <f t="shared" si="2"/>
        <v>Ok</v>
      </c>
      <c r="M49" s="180"/>
      <c r="N49" s="146"/>
      <c r="O49" s="146"/>
      <c r="P49" s="146"/>
      <c r="Q49" s="146"/>
      <c r="R49" s="146"/>
      <c r="S49" s="146"/>
      <c r="T49" s="146"/>
      <c r="U49" s="146"/>
      <c r="V49" s="146"/>
      <c r="W49" s="146"/>
      <c r="X49" s="146"/>
      <c r="Y49" s="146"/>
      <c r="Z49" s="146"/>
      <c r="AA49" s="146"/>
      <c r="AB49" s="146"/>
      <c r="AC49" s="146"/>
      <c r="AD49" s="146"/>
      <c r="AE49" s="146"/>
      <c r="AF49" s="146"/>
      <c r="AG49" s="146"/>
      <c r="AH49" s="146"/>
      <c r="AI49" s="146"/>
      <c r="AJ49" s="146"/>
      <c r="AK49" s="146"/>
      <c r="AL49" s="146"/>
      <c r="AM49" s="146"/>
      <c r="AN49" s="146"/>
      <c r="AO49" s="146"/>
      <c r="AP49" s="146"/>
      <c r="AQ49" s="146"/>
      <c r="AR49" s="146"/>
      <c r="AS49" s="146"/>
      <c r="AT49" s="146"/>
      <c r="AU49" s="146"/>
      <c r="AV49" s="146"/>
      <c r="AW49" s="146"/>
      <c r="AX49" s="146"/>
      <c r="AY49" s="146"/>
      <c r="AZ49" s="146"/>
      <c r="BA49" s="146"/>
      <c r="BB49" s="146"/>
      <c r="BC49" s="146"/>
      <c r="BD49" s="146"/>
      <c r="BE49" s="146"/>
      <c r="BF49" s="146"/>
      <c r="BG49" s="146"/>
      <c r="BH49" s="146"/>
      <c r="BI49" s="146"/>
      <c r="BJ49" s="146"/>
      <c r="BK49" s="146"/>
      <c r="BL49" s="146"/>
      <c r="BM49" s="146"/>
      <c r="BN49" s="146"/>
      <c r="BO49" s="146"/>
      <c r="BP49" s="146"/>
      <c r="BQ49" s="146"/>
      <c r="BR49" s="146"/>
      <c r="BS49" s="146"/>
      <c r="BT49" s="146"/>
      <c r="BU49" s="146"/>
      <c r="BV49" s="146"/>
      <c r="BW49" s="146"/>
      <c r="BX49" s="146"/>
      <c r="BY49" s="146"/>
      <c r="BZ49" s="146"/>
      <c r="CA49" s="146"/>
      <c r="CB49" s="146"/>
      <c r="CC49" s="146"/>
      <c r="CD49" s="146"/>
      <c r="CE49" s="146"/>
      <c r="CF49" s="146"/>
      <c r="CG49" s="146"/>
      <c r="CH49" s="146"/>
      <c r="CI49" s="146"/>
      <c r="CJ49" s="146"/>
      <c r="CK49" s="146"/>
      <c r="CL49" s="146"/>
      <c r="CM49" s="146"/>
      <c r="CN49" s="146"/>
      <c r="CO49" s="146"/>
      <c r="CP49" s="146"/>
      <c r="CQ49" s="146"/>
      <c r="CR49" s="146"/>
      <c r="CS49" s="146"/>
      <c r="CT49" s="146"/>
      <c r="CU49" s="146"/>
      <c r="CV49" s="146"/>
      <c r="CW49" s="146"/>
      <c r="CX49" s="146"/>
      <c r="CY49" s="146"/>
      <c r="CZ49" s="146"/>
      <c r="DA49" s="146"/>
      <c r="DB49" s="146"/>
      <c r="DC49" s="146"/>
      <c r="DD49" s="146"/>
      <c r="DE49" s="146"/>
      <c r="DF49" s="146"/>
      <c r="DG49" s="146"/>
      <c r="DH49" s="146"/>
      <c r="DI49" s="146"/>
      <c r="DJ49" s="146"/>
      <c r="DK49" s="146"/>
      <c r="DL49" s="146"/>
      <c r="DM49" s="146"/>
      <c r="DN49" s="146"/>
      <c r="DO49" s="146"/>
      <c r="DP49" s="146"/>
      <c r="DQ49" s="146"/>
      <c r="DR49" s="146"/>
      <c r="DS49" s="146"/>
      <c r="DT49" s="146"/>
      <c r="DU49" s="146"/>
      <c r="DV49" s="146"/>
      <c r="DW49" s="146"/>
      <c r="DX49" s="146"/>
      <c r="DY49" s="146"/>
      <c r="DZ49" s="146"/>
      <c r="EA49" s="146"/>
      <c r="EB49" s="146"/>
      <c r="EC49" s="146"/>
      <c r="ED49" s="146"/>
      <c r="EE49" s="146"/>
      <c r="EF49" s="146"/>
      <c r="EG49" s="146"/>
      <c r="EH49" s="146"/>
      <c r="EI49" s="146"/>
      <c r="EJ49" s="146"/>
      <c r="EK49" s="146"/>
      <c r="EL49" s="146"/>
      <c r="EM49" s="146"/>
      <c r="EN49" s="146"/>
      <c r="EO49" s="146"/>
      <c r="EP49" s="146"/>
      <c r="EQ49" s="146"/>
    </row>
    <row r="50">
      <c r="A50" s="185" t="s">
        <v>154</v>
      </c>
      <c r="B50" s="172" t="s">
        <v>382</v>
      </c>
      <c r="C50" s="173" t="s">
        <v>398</v>
      </c>
      <c r="D50" s="172" t="s">
        <v>328</v>
      </c>
      <c r="E50" s="173" t="s">
        <v>346</v>
      </c>
      <c r="F50" s="172" t="s">
        <v>330</v>
      </c>
      <c r="G50" s="172">
        <v>4900.0</v>
      </c>
      <c r="H50" s="174"/>
      <c r="I50" s="174" t="s">
        <v>399</v>
      </c>
      <c r="J50" s="174">
        <v>45797.0</v>
      </c>
      <c r="K50" s="175">
        <f t="shared" si="10"/>
        <v>46893</v>
      </c>
      <c r="L50" s="176" t="str">
        <f t="shared" si="2"/>
        <v>Ok</v>
      </c>
      <c r="M50" s="174"/>
      <c r="N50" s="146"/>
      <c r="O50" s="146"/>
      <c r="P50" s="146"/>
      <c r="Q50" s="146"/>
      <c r="R50" s="146"/>
      <c r="S50" s="146"/>
      <c r="T50" s="146"/>
      <c r="U50" s="146"/>
      <c r="V50" s="146"/>
      <c r="W50" s="146"/>
      <c r="X50" s="146"/>
      <c r="Y50" s="146"/>
      <c r="Z50" s="146"/>
      <c r="AA50" s="146"/>
      <c r="AB50" s="146"/>
      <c r="AC50" s="146"/>
      <c r="AD50" s="146"/>
      <c r="AE50" s="146"/>
      <c r="AF50" s="146"/>
      <c r="AG50" s="146"/>
      <c r="AH50" s="146"/>
      <c r="AI50" s="146"/>
      <c r="AJ50" s="146"/>
      <c r="AK50" s="146"/>
      <c r="AL50" s="146"/>
      <c r="AM50" s="146"/>
      <c r="AN50" s="146"/>
      <c r="AO50" s="146"/>
      <c r="AP50" s="146"/>
      <c r="AQ50" s="146"/>
      <c r="AR50" s="146"/>
      <c r="AS50" s="146"/>
      <c r="AT50" s="146"/>
      <c r="AU50" s="146"/>
      <c r="AV50" s="146"/>
      <c r="AW50" s="146"/>
      <c r="AX50" s="146"/>
      <c r="AY50" s="146"/>
      <c r="AZ50" s="146"/>
      <c r="BA50" s="146"/>
      <c r="BB50" s="146"/>
      <c r="BC50" s="146"/>
      <c r="BD50" s="146"/>
      <c r="BE50" s="146"/>
      <c r="BF50" s="146"/>
      <c r="BG50" s="146"/>
      <c r="BH50" s="146"/>
      <c r="BI50" s="146"/>
      <c r="BJ50" s="146"/>
      <c r="BK50" s="146"/>
      <c r="BL50" s="146"/>
      <c r="BM50" s="146"/>
      <c r="BN50" s="146"/>
      <c r="BO50" s="146"/>
      <c r="BP50" s="146"/>
      <c r="BQ50" s="146"/>
      <c r="BR50" s="146"/>
      <c r="BS50" s="146"/>
      <c r="BT50" s="146"/>
      <c r="BU50" s="146"/>
      <c r="BV50" s="146"/>
      <c r="BW50" s="146"/>
      <c r="BX50" s="146"/>
      <c r="BY50" s="146"/>
      <c r="BZ50" s="146"/>
      <c r="CA50" s="146"/>
      <c r="CB50" s="146"/>
      <c r="CC50" s="146"/>
      <c r="CD50" s="146"/>
      <c r="CE50" s="146"/>
      <c r="CF50" s="146"/>
      <c r="CG50" s="146"/>
      <c r="CH50" s="146"/>
      <c r="CI50" s="146"/>
      <c r="CJ50" s="146"/>
      <c r="CK50" s="146"/>
      <c r="CL50" s="146"/>
      <c r="CM50" s="146"/>
      <c r="CN50" s="146"/>
      <c r="CO50" s="146"/>
      <c r="CP50" s="146"/>
      <c r="CQ50" s="146"/>
      <c r="CR50" s="146"/>
      <c r="CS50" s="146"/>
      <c r="CT50" s="146"/>
      <c r="CU50" s="146"/>
      <c r="CV50" s="146"/>
      <c r="CW50" s="146"/>
      <c r="CX50" s="146"/>
      <c r="CY50" s="146"/>
      <c r="CZ50" s="146"/>
      <c r="DA50" s="146"/>
      <c r="DB50" s="146"/>
      <c r="DC50" s="146"/>
      <c r="DD50" s="146"/>
      <c r="DE50" s="146"/>
      <c r="DF50" s="146"/>
      <c r="DG50" s="146"/>
      <c r="DH50" s="146"/>
      <c r="DI50" s="146"/>
      <c r="DJ50" s="146"/>
      <c r="DK50" s="146"/>
      <c r="DL50" s="146"/>
      <c r="DM50" s="146"/>
      <c r="DN50" s="146"/>
      <c r="DO50" s="146"/>
      <c r="DP50" s="146"/>
      <c r="DQ50" s="146"/>
      <c r="DR50" s="146"/>
      <c r="DS50" s="146"/>
      <c r="DT50" s="146"/>
      <c r="DU50" s="146"/>
      <c r="DV50" s="146"/>
      <c r="DW50" s="146"/>
      <c r="DX50" s="146"/>
      <c r="DY50" s="146"/>
      <c r="DZ50" s="146"/>
      <c r="EA50" s="146"/>
      <c r="EB50" s="146"/>
      <c r="EC50" s="146"/>
      <c r="ED50" s="146"/>
      <c r="EE50" s="146"/>
      <c r="EF50" s="146"/>
      <c r="EG50" s="146"/>
      <c r="EH50" s="146"/>
      <c r="EI50" s="146"/>
      <c r="EJ50" s="146"/>
      <c r="EK50" s="146"/>
      <c r="EL50" s="146"/>
      <c r="EM50" s="146"/>
      <c r="EN50" s="146"/>
      <c r="EO50" s="146"/>
      <c r="EP50" s="146"/>
      <c r="EQ50" s="146"/>
    </row>
    <row r="51">
      <c r="A51" s="184" t="s">
        <v>153</v>
      </c>
      <c r="B51" s="178"/>
      <c r="C51" s="179" t="s">
        <v>400</v>
      </c>
      <c r="D51" s="178"/>
      <c r="E51" s="179"/>
      <c r="F51" s="178"/>
      <c r="G51" s="178"/>
      <c r="H51" s="180"/>
      <c r="I51" s="180"/>
      <c r="J51" s="180"/>
      <c r="K51" s="180"/>
      <c r="L51" s="176" t="str">
        <f t="shared" si="2"/>
        <v/>
      </c>
      <c r="M51" s="180"/>
      <c r="N51" s="146"/>
      <c r="O51" s="146"/>
      <c r="P51" s="146"/>
      <c r="Q51" s="146"/>
      <c r="R51" s="146"/>
      <c r="S51" s="146"/>
      <c r="T51" s="146"/>
      <c r="U51" s="146"/>
      <c r="V51" s="146"/>
      <c r="W51" s="146"/>
      <c r="X51" s="146"/>
      <c r="Y51" s="146"/>
      <c r="Z51" s="146"/>
      <c r="AA51" s="146"/>
      <c r="AB51" s="146"/>
      <c r="AC51" s="146"/>
      <c r="AD51" s="146"/>
      <c r="AE51" s="146"/>
      <c r="AF51" s="146"/>
      <c r="AG51" s="146"/>
      <c r="AH51" s="146"/>
      <c r="AI51" s="146"/>
      <c r="AJ51" s="146"/>
      <c r="AK51" s="146"/>
      <c r="AL51" s="146"/>
      <c r="AM51" s="146"/>
      <c r="AN51" s="146"/>
      <c r="AO51" s="146"/>
      <c r="AP51" s="146"/>
      <c r="AQ51" s="146"/>
      <c r="AR51" s="146"/>
      <c r="AS51" s="146"/>
      <c r="AT51" s="146"/>
      <c r="AU51" s="146"/>
      <c r="AV51" s="146"/>
      <c r="AW51" s="146"/>
      <c r="AX51" s="146"/>
      <c r="AY51" s="146"/>
      <c r="AZ51" s="146"/>
      <c r="BA51" s="146"/>
      <c r="BB51" s="146"/>
      <c r="BC51" s="146"/>
      <c r="BD51" s="146"/>
      <c r="BE51" s="146"/>
      <c r="BF51" s="146"/>
      <c r="BG51" s="146"/>
      <c r="BH51" s="146"/>
      <c r="BI51" s="146"/>
      <c r="BJ51" s="146"/>
      <c r="BK51" s="146"/>
      <c r="BL51" s="146"/>
      <c r="BM51" s="146"/>
      <c r="BN51" s="146"/>
      <c r="BO51" s="146"/>
      <c r="BP51" s="146"/>
      <c r="BQ51" s="146"/>
      <c r="BR51" s="146"/>
      <c r="BS51" s="146"/>
      <c r="BT51" s="146"/>
      <c r="BU51" s="146"/>
      <c r="BV51" s="146"/>
      <c r="BW51" s="146"/>
      <c r="BX51" s="146"/>
      <c r="BY51" s="146"/>
      <c r="BZ51" s="146"/>
      <c r="CA51" s="146"/>
      <c r="CB51" s="146"/>
      <c r="CC51" s="146"/>
      <c r="CD51" s="146"/>
      <c r="CE51" s="146"/>
      <c r="CF51" s="146"/>
      <c r="CG51" s="146"/>
      <c r="CH51" s="146"/>
      <c r="CI51" s="146"/>
      <c r="CJ51" s="146"/>
      <c r="CK51" s="146"/>
      <c r="CL51" s="146"/>
      <c r="CM51" s="146"/>
      <c r="CN51" s="146"/>
      <c r="CO51" s="146"/>
      <c r="CP51" s="146"/>
      <c r="CQ51" s="146"/>
      <c r="CR51" s="146"/>
      <c r="CS51" s="146"/>
      <c r="CT51" s="146"/>
      <c r="CU51" s="146"/>
      <c r="CV51" s="146"/>
      <c r="CW51" s="146"/>
      <c r="CX51" s="146"/>
      <c r="CY51" s="146"/>
      <c r="CZ51" s="146"/>
      <c r="DA51" s="146"/>
      <c r="DB51" s="146"/>
      <c r="DC51" s="146"/>
      <c r="DD51" s="146"/>
      <c r="DE51" s="146"/>
      <c r="DF51" s="146"/>
      <c r="DG51" s="146"/>
      <c r="DH51" s="146"/>
      <c r="DI51" s="146"/>
      <c r="DJ51" s="146"/>
      <c r="DK51" s="146"/>
      <c r="DL51" s="146"/>
      <c r="DM51" s="146"/>
      <c r="DN51" s="146"/>
      <c r="DO51" s="146"/>
      <c r="DP51" s="146"/>
      <c r="DQ51" s="146"/>
      <c r="DR51" s="146"/>
      <c r="DS51" s="146"/>
      <c r="DT51" s="146"/>
      <c r="DU51" s="146"/>
      <c r="DV51" s="146"/>
      <c r="DW51" s="146"/>
      <c r="DX51" s="146"/>
      <c r="DY51" s="146"/>
      <c r="DZ51" s="146"/>
      <c r="EA51" s="146"/>
      <c r="EB51" s="146"/>
      <c r="EC51" s="146"/>
      <c r="ED51" s="146"/>
      <c r="EE51" s="146"/>
      <c r="EF51" s="146"/>
      <c r="EG51" s="146"/>
      <c r="EH51" s="146"/>
      <c r="EI51" s="146"/>
      <c r="EJ51" s="146"/>
      <c r="EK51" s="146"/>
      <c r="EL51" s="146"/>
      <c r="EM51" s="146"/>
      <c r="EN51" s="146"/>
      <c r="EO51" s="146"/>
      <c r="EP51" s="146"/>
      <c r="EQ51" s="146"/>
    </row>
    <row r="52">
      <c r="A52" s="171" t="s">
        <v>155</v>
      </c>
      <c r="B52" s="172" t="s">
        <v>385</v>
      </c>
      <c r="C52" s="173" t="s">
        <v>401</v>
      </c>
      <c r="D52" s="172" t="s">
        <v>328</v>
      </c>
      <c r="E52" s="173" t="s">
        <v>337</v>
      </c>
      <c r="F52" s="172" t="s">
        <v>330</v>
      </c>
      <c r="G52" s="172">
        <v>187.0</v>
      </c>
      <c r="H52" s="174"/>
      <c r="I52" s="174"/>
      <c r="J52" s="174">
        <v>43952.0</v>
      </c>
      <c r="K52" s="175">
        <f t="shared" ref="K52:K53" si="11">EDATE(J52, 36)</f>
        <v>45047</v>
      </c>
      <c r="L52" s="176" t="str">
        <f t="shared" si="2"/>
        <v>Overdue</v>
      </c>
      <c r="M52" s="174"/>
      <c r="N52" s="146"/>
      <c r="O52" s="146"/>
      <c r="P52" s="146"/>
      <c r="Q52" s="146"/>
      <c r="R52" s="146"/>
      <c r="S52" s="146"/>
      <c r="T52" s="146"/>
      <c r="U52" s="146"/>
      <c r="V52" s="146"/>
      <c r="W52" s="146"/>
      <c r="X52" s="146"/>
      <c r="Y52" s="146"/>
      <c r="Z52" s="146"/>
      <c r="AA52" s="146"/>
      <c r="AB52" s="146"/>
      <c r="AC52" s="146"/>
      <c r="AD52" s="146"/>
      <c r="AE52" s="146"/>
      <c r="AF52" s="146"/>
      <c r="AG52" s="146"/>
      <c r="AH52" s="146"/>
      <c r="AI52" s="146"/>
      <c r="AJ52" s="146"/>
      <c r="AK52" s="146"/>
      <c r="AL52" s="146"/>
      <c r="AM52" s="146"/>
      <c r="AN52" s="146"/>
      <c r="AO52" s="146"/>
      <c r="AP52" s="146"/>
      <c r="AQ52" s="146"/>
      <c r="AR52" s="146"/>
      <c r="AS52" s="146"/>
      <c r="AT52" s="146"/>
      <c r="AU52" s="146"/>
      <c r="AV52" s="146"/>
      <c r="AW52" s="146"/>
      <c r="AX52" s="146"/>
      <c r="AY52" s="146"/>
      <c r="AZ52" s="146"/>
      <c r="BA52" s="146"/>
      <c r="BB52" s="146"/>
      <c r="BC52" s="146"/>
      <c r="BD52" s="146"/>
      <c r="BE52" s="146"/>
      <c r="BF52" s="146"/>
      <c r="BG52" s="146"/>
      <c r="BH52" s="146"/>
      <c r="BI52" s="146"/>
      <c r="BJ52" s="146"/>
      <c r="BK52" s="146"/>
      <c r="BL52" s="146"/>
      <c r="BM52" s="146"/>
      <c r="BN52" s="146"/>
      <c r="BO52" s="146"/>
      <c r="BP52" s="146"/>
      <c r="BQ52" s="146"/>
      <c r="BR52" s="146"/>
      <c r="BS52" s="146"/>
      <c r="BT52" s="146"/>
      <c r="BU52" s="146"/>
      <c r="BV52" s="146"/>
      <c r="BW52" s="146"/>
      <c r="BX52" s="146"/>
      <c r="BY52" s="146"/>
      <c r="BZ52" s="146"/>
      <c r="CA52" s="146"/>
      <c r="CB52" s="146"/>
      <c r="CC52" s="146"/>
      <c r="CD52" s="146"/>
      <c r="CE52" s="146"/>
      <c r="CF52" s="146"/>
      <c r="CG52" s="146"/>
      <c r="CH52" s="146"/>
      <c r="CI52" s="146"/>
      <c r="CJ52" s="146"/>
      <c r="CK52" s="146"/>
      <c r="CL52" s="146"/>
      <c r="CM52" s="146"/>
      <c r="CN52" s="146"/>
      <c r="CO52" s="146"/>
      <c r="CP52" s="146"/>
      <c r="CQ52" s="146"/>
      <c r="CR52" s="146"/>
      <c r="CS52" s="146"/>
      <c r="CT52" s="146"/>
      <c r="CU52" s="146"/>
      <c r="CV52" s="146"/>
      <c r="CW52" s="146"/>
      <c r="CX52" s="146"/>
      <c r="CY52" s="146"/>
      <c r="CZ52" s="146"/>
      <c r="DA52" s="146"/>
      <c r="DB52" s="146"/>
      <c r="DC52" s="146"/>
      <c r="DD52" s="146"/>
      <c r="DE52" s="146"/>
      <c r="DF52" s="146"/>
      <c r="DG52" s="146"/>
      <c r="DH52" s="146"/>
      <c r="DI52" s="146"/>
      <c r="DJ52" s="146"/>
      <c r="DK52" s="146"/>
      <c r="DL52" s="146"/>
      <c r="DM52" s="146"/>
      <c r="DN52" s="146"/>
      <c r="DO52" s="146"/>
      <c r="DP52" s="146"/>
      <c r="DQ52" s="146"/>
      <c r="DR52" s="146"/>
      <c r="DS52" s="146"/>
      <c r="DT52" s="146"/>
      <c r="DU52" s="146"/>
      <c r="DV52" s="146"/>
      <c r="DW52" s="146"/>
      <c r="DX52" s="146"/>
      <c r="DY52" s="146"/>
      <c r="DZ52" s="146"/>
      <c r="EA52" s="146"/>
      <c r="EB52" s="146"/>
      <c r="EC52" s="146"/>
      <c r="ED52" s="146"/>
      <c r="EE52" s="146"/>
      <c r="EF52" s="146"/>
      <c r="EG52" s="146"/>
      <c r="EH52" s="146"/>
      <c r="EI52" s="146"/>
      <c r="EJ52" s="146"/>
      <c r="EK52" s="146"/>
      <c r="EL52" s="146"/>
      <c r="EM52" s="146"/>
      <c r="EN52" s="146"/>
      <c r="EO52" s="146"/>
      <c r="EP52" s="146"/>
      <c r="EQ52" s="146"/>
    </row>
    <row r="53">
      <c r="A53" s="184" t="s">
        <v>156</v>
      </c>
      <c r="B53" s="178" t="s">
        <v>387</v>
      </c>
      <c r="C53" s="179" t="s">
        <v>388</v>
      </c>
      <c r="D53" s="178" t="s">
        <v>328</v>
      </c>
      <c r="E53" s="179" t="s">
        <v>377</v>
      </c>
      <c r="F53" s="178" t="s">
        <v>330</v>
      </c>
      <c r="G53" s="178">
        <v>80.0</v>
      </c>
      <c r="H53" s="180"/>
      <c r="I53" s="180">
        <v>43647.0</v>
      </c>
      <c r="J53" s="180">
        <v>44745.0</v>
      </c>
      <c r="K53" s="175">
        <f t="shared" si="11"/>
        <v>45841</v>
      </c>
      <c r="L53" s="176" t="str">
        <f t="shared" si="2"/>
        <v>Overdue</v>
      </c>
      <c r="M53" s="180"/>
      <c r="N53" s="146"/>
      <c r="O53" s="146"/>
      <c r="P53" s="146"/>
      <c r="Q53" s="146"/>
      <c r="R53" s="146"/>
      <c r="S53" s="146"/>
      <c r="T53" s="146"/>
      <c r="U53" s="146"/>
      <c r="V53" s="146"/>
      <c r="W53" s="146"/>
      <c r="X53" s="146"/>
      <c r="Y53" s="146"/>
      <c r="Z53" s="146"/>
      <c r="AA53" s="146"/>
      <c r="AB53" s="146"/>
      <c r="AC53" s="146"/>
      <c r="AD53" s="146"/>
      <c r="AE53" s="146"/>
      <c r="AF53" s="146"/>
      <c r="AG53" s="146"/>
      <c r="AH53" s="146"/>
      <c r="AI53" s="146"/>
      <c r="AJ53" s="146"/>
      <c r="AK53" s="146"/>
      <c r="AL53" s="146"/>
      <c r="AM53" s="146"/>
      <c r="AN53" s="146"/>
      <c r="AO53" s="146"/>
      <c r="AP53" s="146"/>
      <c r="AQ53" s="146"/>
      <c r="AR53" s="146"/>
      <c r="AS53" s="146"/>
      <c r="AT53" s="146"/>
      <c r="AU53" s="146"/>
      <c r="AV53" s="146"/>
      <c r="AW53" s="146"/>
      <c r="AX53" s="146"/>
      <c r="AY53" s="146"/>
      <c r="AZ53" s="146"/>
      <c r="BA53" s="146"/>
      <c r="BB53" s="146"/>
      <c r="BC53" s="146"/>
      <c r="BD53" s="146"/>
      <c r="BE53" s="146"/>
      <c r="BF53" s="146"/>
      <c r="BG53" s="146"/>
      <c r="BH53" s="146"/>
      <c r="BI53" s="146"/>
      <c r="BJ53" s="146"/>
      <c r="BK53" s="146"/>
      <c r="BL53" s="146"/>
      <c r="BM53" s="146"/>
      <c r="BN53" s="146"/>
      <c r="BO53" s="146"/>
      <c r="BP53" s="146"/>
      <c r="BQ53" s="146"/>
      <c r="BR53" s="146"/>
      <c r="BS53" s="146"/>
      <c r="BT53" s="146"/>
      <c r="BU53" s="146"/>
      <c r="BV53" s="146"/>
      <c r="BW53" s="146"/>
      <c r="BX53" s="146"/>
      <c r="BY53" s="146"/>
      <c r="BZ53" s="146"/>
      <c r="CA53" s="146"/>
      <c r="CB53" s="146"/>
      <c r="CC53" s="146"/>
      <c r="CD53" s="146"/>
      <c r="CE53" s="146"/>
      <c r="CF53" s="146"/>
      <c r="CG53" s="146"/>
      <c r="CH53" s="146"/>
      <c r="CI53" s="146"/>
      <c r="CJ53" s="146"/>
      <c r="CK53" s="146"/>
      <c r="CL53" s="146"/>
      <c r="CM53" s="146"/>
      <c r="CN53" s="146"/>
      <c r="CO53" s="146"/>
      <c r="CP53" s="146"/>
      <c r="CQ53" s="146"/>
      <c r="CR53" s="146"/>
      <c r="CS53" s="146"/>
      <c r="CT53" s="146"/>
      <c r="CU53" s="146"/>
      <c r="CV53" s="146"/>
      <c r="CW53" s="146"/>
      <c r="CX53" s="146"/>
      <c r="CY53" s="146"/>
      <c r="CZ53" s="146"/>
      <c r="DA53" s="146"/>
      <c r="DB53" s="146"/>
      <c r="DC53" s="146"/>
      <c r="DD53" s="146"/>
      <c r="DE53" s="146"/>
      <c r="DF53" s="146"/>
      <c r="DG53" s="146"/>
      <c r="DH53" s="146"/>
      <c r="DI53" s="146"/>
      <c r="DJ53" s="146"/>
      <c r="DK53" s="146"/>
      <c r="DL53" s="146"/>
      <c r="DM53" s="146"/>
      <c r="DN53" s="146"/>
      <c r="DO53" s="146"/>
      <c r="DP53" s="146"/>
      <c r="DQ53" s="146"/>
      <c r="DR53" s="146"/>
      <c r="DS53" s="146"/>
      <c r="DT53" s="146"/>
      <c r="DU53" s="146"/>
      <c r="DV53" s="146"/>
      <c r="DW53" s="146"/>
      <c r="DX53" s="146"/>
      <c r="DY53" s="146"/>
      <c r="DZ53" s="146"/>
      <c r="EA53" s="146"/>
      <c r="EB53" s="146"/>
      <c r="EC53" s="146"/>
      <c r="ED53" s="146"/>
      <c r="EE53" s="146"/>
      <c r="EF53" s="146"/>
      <c r="EG53" s="146"/>
      <c r="EH53" s="146"/>
      <c r="EI53" s="146"/>
      <c r="EJ53" s="146"/>
      <c r="EK53" s="146"/>
      <c r="EL53" s="146"/>
      <c r="EM53" s="146"/>
      <c r="EN53" s="146"/>
      <c r="EO53" s="146"/>
      <c r="EP53" s="146"/>
      <c r="EQ53" s="146"/>
    </row>
    <row r="54">
      <c r="A54" s="185" t="s">
        <v>157</v>
      </c>
      <c r="B54" s="172" t="s">
        <v>402</v>
      </c>
      <c r="C54" s="173" t="s">
        <v>403</v>
      </c>
      <c r="D54" s="172" t="s">
        <v>369</v>
      </c>
      <c r="E54" s="173" t="s">
        <v>370</v>
      </c>
      <c r="F54" s="172" t="s">
        <v>330</v>
      </c>
      <c r="G54" s="172">
        <v>10.0</v>
      </c>
      <c r="H54" s="174">
        <v>45009.0</v>
      </c>
      <c r="I54" s="174">
        <v>45280.0</v>
      </c>
      <c r="J54" s="174">
        <v>46148.0</v>
      </c>
      <c r="K54" s="180">
        <f t="shared" ref="K54:K55" si="12">EDATE(J54, 6)</f>
        <v>46332</v>
      </c>
      <c r="L54" s="176" t="str">
        <f t="shared" si="2"/>
        <v>Ok</v>
      </c>
      <c r="M54" s="174"/>
      <c r="N54" s="146"/>
      <c r="O54" s="146"/>
      <c r="P54" s="146"/>
      <c r="Q54" s="146"/>
      <c r="R54" s="146"/>
      <c r="S54" s="146"/>
      <c r="T54" s="146"/>
      <c r="U54" s="146"/>
      <c r="V54" s="146"/>
      <c r="W54" s="146"/>
      <c r="X54" s="146"/>
      <c r="Y54" s="146"/>
      <c r="Z54" s="146"/>
      <c r="AA54" s="146"/>
      <c r="AB54" s="146"/>
      <c r="AC54" s="146"/>
      <c r="AD54" s="146"/>
      <c r="AE54" s="146"/>
      <c r="AF54" s="146"/>
      <c r="AG54" s="146"/>
      <c r="AH54" s="146"/>
      <c r="AI54" s="146"/>
      <c r="AJ54" s="146"/>
      <c r="AK54" s="146"/>
      <c r="AL54" s="146"/>
      <c r="AM54" s="146"/>
      <c r="AN54" s="146"/>
      <c r="AO54" s="146"/>
      <c r="AP54" s="146"/>
      <c r="AQ54" s="146"/>
      <c r="AR54" s="146"/>
      <c r="AS54" s="146"/>
      <c r="AT54" s="146"/>
      <c r="AU54" s="146"/>
      <c r="AV54" s="146"/>
      <c r="AW54" s="146"/>
      <c r="AX54" s="146"/>
      <c r="AY54" s="146"/>
      <c r="AZ54" s="146"/>
      <c r="BA54" s="146"/>
      <c r="BB54" s="146"/>
      <c r="BC54" s="146"/>
      <c r="BD54" s="146"/>
      <c r="BE54" s="146"/>
      <c r="BF54" s="146"/>
      <c r="BG54" s="146"/>
      <c r="BH54" s="146"/>
      <c r="BI54" s="146"/>
      <c r="BJ54" s="146"/>
      <c r="BK54" s="146"/>
      <c r="BL54" s="146"/>
      <c r="BM54" s="146"/>
      <c r="BN54" s="146"/>
      <c r="BO54" s="146"/>
      <c r="BP54" s="146"/>
      <c r="BQ54" s="146"/>
      <c r="BR54" s="146"/>
      <c r="BS54" s="146"/>
      <c r="BT54" s="146"/>
      <c r="BU54" s="146"/>
      <c r="BV54" s="146"/>
      <c r="BW54" s="146"/>
      <c r="BX54" s="146"/>
      <c r="BY54" s="146"/>
      <c r="BZ54" s="146"/>
      <c r="CA54" s="146"/>
      <c r="CB54" s="146"/>
      <c r="CC54" s="146"/>
      <c r="CD54" s="146"/>
      <c r="CE54" s="146"/>
      <c r="CF54" s="146"/>
      <c r="CG54" s="146"/>
      <c r="CH54" s="146"/>
      <c r="CI54" s="146"/>
      <c r="CJ54" s="146"/>
      <c r="CK54" s="146"/>
      <c r="CL54" s="146"/>
      <c r="CM54" s="146"/>
      <c r="CN54" s="146"/>
      <c r="CO54" s="146"/>
      <c r="CP54" s="146"/>
      <c r="CQ54" s="146"/>
      <c r="CR54" s="146"/>
      <c r="CS54" s="146"/>
      <c r="CT54" s="146"/>
      <c r="CU54" s="146"/>
      <c r="CV54" s="146"/>
      <c r="CW54" s="146"/>
      <c r="CX54" s="146"/>
      <c r="CY54" s="146"/>
      <c r="CZ54" s="146"/>
      <c r="DA54" s="146"/>
      <c r="DB54" s="146"/>
      <c r="DC54" s="146"/>
      <c r="DD54" s="146"/>
      <c r="DE54" s="146"/>
      <c r="DF54" s="146"/>
      <c r="DG54" s="146"/>
      <c r="DH54" s="146"/>
      <c r="DI54" s="146"/>
      <c r="DJ54" s="146"/>
      <c r="DK54" s="146"/>
      <c r="DL54" s="146"/>
      <c r="DM54" s="146"/>
      <c r="DN54" s="146"/>
      <c r="DO54" s="146"/>
      <c r="DP54" s="146"/>
      <c r="DQ54" s="146"/>
      <c r="DR54" s="146"/>
      <c r="DS54" s="146"/>
      <c r="DT54" s="146"/>
      <c r="DU54" s="146"/>
      <c r="DV54" s="146"/>
      <c r="DW54" s="146"/>
      <c r="DX54" s="146"/>
      <c r="DY54" s="146"/>
      <c r="DZ54" s="146"/>
      <c r="EA54" s="146"/>
      <c r="EB54" s="146"/>
      <c r="EC54" s="146"/>
      <c r="ED54" s="146"/>
      <c r="EE54" s="146"/>
      <c r="EF54" s="146"/>
      <c r="EG54" s="146"/>
      <c r="EH54" s="146"/>
      <c r="EI54" s="146"/>
      <c r="EJ54" s="146"/>
      <c r="EK54" s="146"/>
      <c r="EL54" s="146"/>
      <c r="EM54" s="146"/>
      <c r="EN54" s="146"/>
      <c r="EO54" s="146"/>
      <c r="EP54" s="146"/>
      <c r="EQ54" s="146"/>
    </row>
    <row r="55">
      <c r="A55" s="184" t="s">
        <v>158</v>
      </c>
      <c r="B55" s="178"/>
      <c r="C55" s="179" t="s">
        <v>404</v>
      </c>
      <c r="D55" s="178" t="s">
        <v>369</v>
      </c>
      <c r="E55" s="179" t="s">
        <v>370</v>
      </c>
      <c r="F55" s="178" t="s">
        <v>330</v>
      </c>
      <c r="G55" s="178">
        <v>10.0</v>
      </c>
      <c r="H55" s="180">
        <v>45009.0</v>
      </c>
      <c r="I55" s="180">
        <v>45280.0</v>
      </c>
      <c r="J55" s="180">
        <v>46148.0</v>
      </c>
      <c r="K55" s="180">
        <f t="shared" si="12"/>
        <v>46332</v>
      </c>
      <c r="L55" s="176" t="str">
        <f t="shared" si="2"/>
        <v>Ok</v>
      </c>
      <c r="M55" s="180"/>
      <c r="N55" s="146"/>
      <c r="O55" s="146"/>
      <c r="P55" s="146"/>
      <c r="Q55" s="146"/>
      <c r="R55" s="146"/>
      <c r="S55" s="146"/>
      <c r="T55" s="146"/>
      <c r="U55" s="146"/>
      <c r="V55" s="146"/>
      <c r="W55" s="146"/>
      <c r="X55" s="146"/>
      <c r="Y55" s="146"/>
      <c r="Z55" s="146"/>
      <c r="AA55" s="146"/>
      <c r="AB55" s="146"/>
      <c r="AC55" s="146"/>
      <c r="AD55" s="146"/>
      <c r="AE55" s="146"/>
      <c r="AF55" s="146"/>
      <c r="AG55" s="146"/>
      <c r="AH55" s="146"/>
      <c r="AI55" s="146"/>
      <c r="AJ55" s="146"/>
      <c r="AK55" s="146"/>
      <c r="AL55" s="146"/>
      <c r="AM55" s="146"/>
      <c r="AN55" s="146"/>
      <c r="AO55" s="146"/>
      <c r="AP55" s="146"/>
      <c r="AQ55" s="146"/>
      <c r="AR55" s="146"/>
      <c r="AS55" s="146"/>
      <c r="AT55" s="146"/>
      <c r="AU55" s="146"/>
      <c r="AV55" s="146"/>
      <c r="AW55" s="146"/>
      <c r="AX55" s="146"/>
      <c r="AY55" s="146"/>
      <c r="AZ55" s="146"/>
      <c r="BA55" s="146"/>
      <c r="BB55" s="146"/>
      <c r="BC55" s="146"/>
      <c r="BD55" s="146"/>
      <c r="BE55" s="146"/>
      <c r="BF55" s="146"/>
      <c r="BG55" s="146"/>
      <c r="BH55" s="146"/>
      <c r="BI55" s="146"/>
      <c r="BJ55" s="146"/>
      <c r="BK55" s="146"/>
      <c r="BL55" s="146"/>
      <c r="BM55" s="146"/>
      <c r="BN55" s="146"/>
      <c r="BO55" s="146"/>
      <c r="BP55" s="146"/>
      <c r="BQ55" s="146"/>
      <c r="BR55" s="146"/>
      <c r="BS55" s="146"/>
      <c r="BT55" s="146"/>
      <c r="BU55" s="146"/>
      <c r="BV55" s="146"/>
      <c r="BW55" s="146"/>
      <c r="BX55" s="146"/>
      <c r="BY55" s="146"/>
      <c r="BZ55" s="146"/>
      <c r="CA55" s="146"/>
      <c r="CB55" s="146"/>
      <c r="CC55" s="146"/>
      <c r="CD55" s="146"/>
      <c r="CE55" s="146"/>
      <c r="CF55" s="146"/>
      <c r="CG55" s="146"/>
      <c r="CH55" s="146"/>
      <c r="CI55" s="146"/>
      <c r="CJ55" s="146"/>
      <c r="CK55" s="146"/>
      <c r="CL55" s="146"/>
      <c r="CM55" s="146"/>
      <c r="CN55" s="146"/>
      <c r="CO55" s="146"/>
      <c r="CP55" s="146"/>
      <c r="CQ55" s="146"/>
      <c r="CR55" s="146"/>
      <c r="CS55" s="146"/>
      <c r="CT55" s="146"/>
      <c r="CU55" s="146"/>
      <c r="CV55" s="146"/>
      <c r="CW55" s="146"/>
      <c r="CX55" s="146"/>
      <c r="CY55" s="146"/>
      <c r="CZ55" s="146"/>
      <c r="DA55" s="146"/>
      <c r="DB55" s="146"/>
      <c r="DC55" s="146"/>
      <c r="DD55" s="146"/>
      <c r="DE55" s="146"/>
      <c r="DF55" s="146"/>
      <c r="DG55" s="146"/>
      <c r="DH55" s="146"/>
      <c r="DI55" s="146"/>
      <c r="DJ55" s="146"/>
      <c r="DK55" s="146"/>
      <c r="DL55" s="146"/>
      <c r="DM55" s="146"/>
      <c r="DN55" s="146"/>
      <c r="DO55" s="146"/>
      <c r="DP55" s="146"/>
      <c r="DQ55" s="146"/>
      <c r="DR55" s="146"/>
      <c r="DS55" s="146"/>
      <c r="DT55" s="146"/>
      <c r="DU55" s="146"/>
      <c r="DV55" s="146"/>
      <c r="DW55" s="146"/>
      <c r="DX55" s="146"/>
      <c r="DY55" s="146"/>
      <c r="DZ55" s="146"/>
      <c r="EA55" s="146"/>
      <c r="EB55" s="146"/>
      <c r="EC55" s="146"/>
      <c r="ED55" s="146"/>
      <c r="EE55" s="146"/>
      <c r="EF55" s="146"/>
      <c r="EG55" s="146"/>
      <c r="EH55" s="146"/>
      <c r="EI55" s="146"/>
      <c r="EJ55" s="146"/>
      <c r="EK55" s="146"/>
      <c r="EL55" s="146"/>
      <c r="EM55" s="146"/>
      <c r="EN55" s="146"/>
      <c r="EO55" s="146"/>
      <c r="EP55" s="146"/>
      <c r="EQ55" s="146"/>
    </row>
    <row r="56">
      <c r="A56" s="171" t="s">
        <v>159</v>
      </c>
      <c r="B56" s="172" t="s">
        <v>405</v>
      </c>
      <c r="C56" s="173" t="s">
        <v>406</v>
      </c>
      <c r="D56" s="172" t="s">
        <v>328</v>
      </c>
      <c r="E56" s="173" t="s">
        <v>337</v>
      </c>
      <c r="F56" s="172" t="s">
        <v>330</v>
      </c>
      <c r="G56" s="172">
        <v>175.0</v>
      </c>
      <c r="H56" s="174"/>
      <c r="I56" s="174">
        <v>42583.0</v>
      </c>
      <c r="J56" s="174">
        <v>46055.0</v>
      </c>
      <c r="K56" s="175">
        <f>EDATE(J56, 36)</f>
        <v>47151</v>
      </c>
      <c r="L56" s="176" t="str">
        <f t="shared" si="2"/>
        <v>Ok</v>
      </c>
      <c r="M56" s="174"/>
      <c r="N56" s="146"/>
      <c r="O56" s="146"/>
      <c r="P56" s="146"/>
      <c r="Q56" s="146"/>
      <c r="R56" s="146"/>
      <c r="S56" s="146"/>
      <c r="T56" s="146"/>
      <c r="U56" s="146"/>
      <c r="V56" s="146"/>
      <c r="W56" s="146"/>
      <c r="X56" s="146"/>
      <c r="Y56" s="146"/>
      <c r="Z56" s="146"/>
      <c r="AA56" s="146"/>
      <c r="AB56" s="146"/>
      <c r="AC56" s="146"/>
      <c r="AD56" s="146"/>
      <c r="AE56" s="146"/>
      <c r="AF56" s="146"/>
      <c r="AG56" s="146"/>
      <c r="AH56" s="146"/>
      <c r="AI56" s="146"/>
      <c r="AJ56" s="146"/>
      <c r="AK56" s="146"/>
      <c r="AL56" s="146"/>
      <c r="AM56" s="146"/>
      <c r="AN56" s="146"/>
      <c r="AO56" s="146"/>
      <c r="AP56" s="146"/>
      <c r="AQ56" s="146"/>
      <c r="AR56" s="146"/>
      <c r="AS56" s="146"/>
      <c r="AT56" s="146"/>
      <c r="AU56" s="146"/>
      <c r="AV56" s="146"/>
      <c r="AW56" s="146"/>
      <c r="AX56" s="146"/>
      <c r="AY56" s="146"/>
      <c r="AZ56" s="146"/>
      <c r="BA56" s="146"/>
      <c r="BB56" s="146"/>
      <c r="BC56" s="146"/>
      <c r="BD56" s="146"/>
      <c r="BE56" s="146"/>
      <c r="BF56" s="146"/>
      <c r="BG56" s="146"/>
      <c r="BH56" s="146"/>
      <c r="BI56" s="146"/>
      <c r="BJ56" s="146"/>
      <c r="BK56" s="146"/>
      <c r="BL56" s="146"/>
      <c r="BM56" s="146"/>
      <c r="BN56" s="146"/>
      <c r="BO56" s="146"/>
      <c r="BP56" s="146"/>
      <c r="BQ56" s="146"/>
      <c r="BR56" s="146"/>
      <c r="BS56" s="146"/>
      <c r="BT56" s="146"/>
      <c r="BU56" s="146"/>
      <c r="BV56" s="146"/>
      <c r="BW56" s="146"/>
      <c r="BX56" s="146"/>
      <c r="BY56" s="146"/>
      <c r="BZ56" s="146"/>
      <c r="CA56" s="146"/>
      <c r="CB56" s="146"/>
      <c r="CC56" s="146"/>
      <c r="CD56" s="146"/>
      <c r="CE56" s="146"/>
      <c r="CF56" s="146"/>
      <c r="CG56" s="146"/>
      <c r="CH56" s="146"/>
      <c r="CI56" s="146"/>
      <c r="CJ56" s="146"/>
      <c r="CK56" s="146"/>
      <c r="CL56" s="146"/>
      <c r="CM56" s="146"/>
      <c r="CN56" s="146"/>
      <c r="CO56" s="146"/>
      <c r="CP56" s="146"/>
      <c r="CQ56" s="146"/>
      <c r="CR56" s="146"/>
      <c r="CS56" s="146"/>
      <c r="CT56" s="146"/>
      <c r="CU56" s="146"/>
      <c r="CV56" s="146"/>
      <c r="CW56" s="146"/>
      <c r="CX56" s="146"/>
      <c r="CY56" s="146"/>
      <c r="CZ56" s="146"/>
      <c r="DA56" s="146"/>
      <c r="DB56" s="146"/>
      <c r="DC56" s="146"/>
      <c r="DD56" s="146"/>
      <c r="DE56" s="146"/>
      <c r="DF56" s="146"/>
      <c r="DG56" s="146"/>
      <c r="DH56" s="146"/>
      <c r="DI56" s="146"/>
      <c r="DJ56" s="146"/>
      <c r="DK56" s="146"/>
      <c r="DL56" s="146"/>
      <c r="DM56" s="146"/>
      <c r="DN56" s="146"/>
      <c r="DO56" s="146"/>
      <c r="DP56" s="146"/>
      <c r="DQ56" s="146"/>
      <c r="DR56" s="146"/>
      <c r="DS56" s="146"/>
      <c r="DT56" s="146"/>
      <c r="DU56" s="146"/>
      <c r="DV56" s="146"/>
      <c r="DW56" s="146"/>
      <c r="DX56" s="146"/>
      <c r="DY56" s="146"/>
      <c r="DZ56" s="146"/>
      <c r="EA56" s="146"/>
      <c r="EB56" s="146"/>
      <c r="EC56" s="146"/>
      <c r="ED56" s="146"/>
      <c r="EE56" s="146"/>
      <c r="EF56" s="146"/>
      <c r="EG56" s="146"/>
      <c r="EH56" s="146"/>
      <c r="EI56" s="146"/>
      <c r="EJ56" s="146"/>
      <c r="EK56" s="146"/>
      <c r="EL56" s="146"/>
      <c r="EM56" s="146"/>
      <c r="EN56" s="146"/>
      <c r="EO56" s="146"/>
      <c r="EP56" s="146"/>
      <c r="EQ56" s="146"/>
    </row>
    <row r="57">
      <c r="A57" s="184" t="s">
        <v>160</v>
      </c>
      <c r="B57" s="178" t="s">
        <v>402</v>
      </c>
      <c r="C57" s="179" t="s">
        <v>407</v>
      </c>
      <c r="D57" s="178" t="s">
        <v>369</v>
      </c>
      <c r="E57" s="179" t="s">
        <v>370</v>
      </c>
      <c r="F57" s="178" t="s">
        <v>330</v>
      </c>
      <c r="G57" s="178">
        <v>10.0</v>
      </c>
      <c r="H57" s="180">
        <v>45137.0</v>
      </c>
      <c r="I57" s="180">
        <v>45293.0</v>
      </c>
      <c r="J57" s="180">
        <v>46068.0</v>
      </c>
      <c r="K57" s="180">
        <f t="shared" ref="K57:K58" si="13">EDATE(J57, 6)</f>
        <v>46249</v>
      </c>
      <c r="L57" s="176" t="str">
        <f t="shared" si="2"/>
        <v>Ok</v>
      </c>
      <c r="M57" s="180"/>
      <c r="N57" s="146"/>
      <c r="O57" s="146"/>
      <c r="P57" s="146"/>
      <c r="Q57" s="146"/>
      <c r="R57" s="146"/>
      <c r="S57" s="146"/>
      <c r="T57" s="146"/>
      <c r="U57" s="146"/>
      <c r="V57" s="146"/>
      <c r="W57" s="146"/>
      <c r="X57" s="146"/>
      <c r="Y57" s="146"/>
      <c r="Z57" s="146"/>
      <c r="AA57" s="146"/>
      <c r="AB57" s="146"/>
      <c r="AC57" s="146"/>
      <c r="AD57" s="146"/>
      <c r="AE57" s="146"/>
      <c r="AF57" s="146"/>
      <c r="AG57" s="146"/>
      <c r="AH57" s="146"/>
      <c r="AI57" s="146"/>
      <c r="AJ57" s="146"/>
      <c r="AK57" s="146"/>
      <c r="AL57" s="146"/>
      <c r="AM57" s="146"/>
      <c r="AN57" s="146"/>
      <c r="AO57" s="146"/>
      <c r="AP57" s="146"/>
      <c r="AQ57" s="146"/>
      <c r="AR57" s="146"/>
      <c r="AS57" s="146"/>
      <c r="AT57" s="146"/>
      <c r="AU57" s="146"/>
      <c r="AV57" s="146"/>
      <c r="AW57" s="146"/>
      <c r="AX57" s="146"/>
      <c r="AY57" s="146"/>
      <c r="AZ57" s="146"/>
      <c r="BA57" s="146"/>
      <c r="BB57" s="146"/>
      <c r="BC57" s="146"/>
      <c r="BD57" s="146"/>
      <c r="BE57" s="146"/>
      <c r="BF57" s="146"/>
      <c r="BG57" s="146"/>
      <c r="BH57" s="146"/>
      <c r="BI57" s="146"/>
      <c r="BJ57" s="146"/>
      <c r="BK57" s="146"/>
      <c r="BL57" s="146"/>
      <c r="BM57" s="146"/>
      <c r="BN57" s="146"/>
      <c r="BO57" s="146"/>
      <c r="BP57" s="146"/>
      <c r="BQ57" s="146"/>
      <c r="BR57" s="146"/>
      <c r="BS57" s="146"/>
      <c r="BT57" s="146"/>
      <c r="BU57" s="146"/>
      <c r="BV57" s="146"/>
      <c r="BW57" s="146"/>
      <c r="BX57" s="146"/>
      <c r="BY57" s="146"/>
      <c r="BZ57" s="146"/>
      <c r="CA57" s="146"/>
      <c r="CB57" s="146"/>
      <c r="CC57" s="146"/>
      <c r="CD57" s="146"/>
      <c r="CE57" s="146"/>
      <c r="CF57" s="146"/>
      <c r="CG57" s="146"/>
      <c r="CH57" s="146"/>
      <c r="CI57" s="146"/>
      <c r="CJ57" s="146"/>
      <c r="CK57" s="146"/>
      <c r="CL57" s="146"/>
      <c r="CM57" s="146"/>
      <c r="CN57" s="146"/>
      <c r="CO57" s="146"/>
      <c r="CP57" s="146"/>
      <c r="CQ57" s="146"/>
      <c r="CR57" s="146"/>
      <c r="CS57" s="146"/>
      <c r="CT57" s="146"/>
      <c r="CU57" s="146"/>
      <c r="CV57" s="146"/>
      <c r="CW57" s="146"/>
      <c r="CX57" s="146"/>
      <c r="CY57" s="146"/>
      <c r="CZ57" s="146"/>
      <c r="DA57" s="146"/>
      <c r="DB57" s="146"/>
      <c r="DC57" s="146"/>
      <c r="DD57" s="146"/>
      <c r="DE57" s="146"/>
      <c r="DF57" s="146"/>
      <c r="DG57" s="146"/>
      <c r="DH57" s="146"/>
      <c r="DI57" s="146"/>
      <c r="DJ57" s="146"/>
      <c r="DK57" s="146"/>
      <c r="DL57" s="146"/>
      <c r="DM57" s="146"/>
      <c r="DN57" s="146"/>
      <c r="DO57" s="146"/>
      <c r="DP57" s="146"/>
      <c r="DQ57" s="146"/>
      <c r="DR57" s="146"/>
      <c r="DS57" s="146"/>
      <c r="DT57" s="146"/>
      <c r="DU57" s="146"/>
      <c r="DV57" s="146"/>
      <c r="DW57" s="146"/>
      <c r="DX57" s="146"/>
      <c r="DY57" s="146"/>
      <c r="DZ57" s="146"/>
      <c r="EA57" s="146"/>
      <c r="EB57" s="146"/>
      <c r="EC57" s="146"/>
      <c r="ED57" s="146"/>
      <c r="EE57" s="146"/>
      <c r="EF57" s="146"/>
      <c r="EG57" s="146"/>
      <c r="EH57" s="146"/>
      <c r="EI57" s="146"/>
      <c r="EJ57" s="146"/>
      <c r="EK57" s="146"/>
      <c r="EL57" s="146"/>
      <c r="EM57" s="146"/>
      <c r="EN57" s="146"/>
      <c r="EO57" s="146"/>
      <c r="EP57" s="146"/>
      <c r="EQ57" s="146"/>
    </row>
    <row r="58">
      <c r="A58" s="185" t="s">
        <v>161</v>
      </c>
      <c r="B58" s="172"/>
      <c r="C58" s="173" t="s">
        <v>408</v>
      </c>
      <c r="D58" s="172" t="s">
        <v>369</v>
      </c>
      <c r="E58" s="173" t="s">
        <v>370</v>
      </c>
      <c r="F58" s="172" t="s">
        <v>330</v>
      </c>
      <c r="G58" s="172">
        <v>10.0</v>
      </c>
      <c r="H58" s="174">
        <v>45137.0</v>
      </c>
      <c r="I58" s="174">
        <v>45293.0</v>
      </c>
      <c r="J58" s="174">
        <v>46068.0</v>
      </c>
      <c r="K58" s="180">
        <f t="shared" si="13"/>
        <v>46249</v>
      </c>
      <c r="L58" s="176" t="str">
        <f t="shared" si="2"/>
        <v>Ok</v>
      </c>
      <c r="M58" s="174"/>
      <c r="N58" s="146"/>
      <c r="O58" s="146"/>
      <c r="P58" s="146"/>
      <c r="Q58" s="146"/>
      <c r="R58" s="146"/>
      <c r="S58" s="146"/>
      <c r="T58" s="146"/>
      <c r="U58" s="146"/>
      <c r="V58" s="146"/>
      <c r="W58" s="146"/>
      <c r="X58" s="146"/>
      <c r="Y58" s="146"/>
      <c r="Z58" s="146"/>
      <c r="AA58" s="146"/>
      <c r="AB58" s="146"/>
      <c r="AC58" s="146"/>
      <c r="AD58" s="146"/>
      <c r="AE58" s="146"/>
      <c r="AF58" s="146"/>
      <c r="AG58" s="146"/>
      <c r="AH58" s="146"/>
      <c r="AI58" s="146"/>
      <c r="AJ58" s="146"/>
      <c r="AK58" s="146"/>
      <c r="AL58" s="146"/>
      <c r="AM58" s="146"/>
      <c r="AN58" s="146"/>
      <c r="AO58" s="146"/>
      <c r="AP58" s="146"/>
      <c r="AQ58" s="146"/>
      <c r="AR58" s="146"/>
      <c r="AS58" s="146"/>
      <c r="AT58" s="146"/>
      <c r="AU58" s="146"/>
      <c r="AV58" s="146"/>
      <c r="AW58" s="146"/>
      <c r="AX58" s="146"/>
      <c r="AY58" s="146"/>
      <c r="AZ58" s="146"/>
      <c r="BA58" s="146"/>
      <c r="BB58" s="146"/>
      <c r="BC58" s="146"/>
      <c r="BD58" s="146"/>
      <c r="BE58" s="146"/>
      <c r="BF58" s="146"/>
      <c r="BG58" s="146"/>
      <c r="BH58" s="146"/>
      <c r="BI58" s="146"/>
      <c r="BJ58" s="146"/>
      <c r="BK58" s="146"/>
      <c r="BL58" s="146"/>
      <c r="BM58" s="146"/>
      <c r="BN58" s="146"/>
      <c r="BO58" s="146"/>
      <c r="BP58" s="146"/>
      <c r="BQ58" s="146"/>
      <c r="BR58" s="146"/>
      <c r="BS58" s="146"/>
      <c r="BT58" s="146"/>
      <c r="BU58" s="146"/>
      <c r="BV58" s="146"/>
      <c r="BW58" s="146"/>
      <c r="BX58" s="146"/>
      <c r="BY58" s="146"/>
      <c r="BZ58" s="146"/>
      <c r="CA58" s="146"/>
      <c r="CB58" s="146"/>
      <c r="CC58" s="146"/>
      <c r="CD58" s="146"/>
      <c r="CE58" s="146"/>
      <c r="CF58" s="146"/>
      <c r="CG58" s="146"/>
      <c r="CH58" s="146"/>
      <c r="CI58" s="146"/>
      <c r="CJ58" s="146"/>
      <c r="CK58" s="146"/>
      <c r="CL58" s="146"/>
      <c r="CM58" s="146"/>
      <c r="CN58" s="146"/>
      <c r="CO58" s="146"/>
      <c r="CP58" s="146"/>
      <c r="CQ58" s="146"/>
      <c r="CR58" s="146"/>
      <c r="CS58" s="146"/>
      <c r="CT58" s="146"/>
      <c r="CU58" s="146"/>
      <c r="CV58" s="146"/>
      <c r="CW58" s="146"/>
      <c r="CX58" s="146"/>
      <c r="CY58" s="146"/>
      <c r="CZ58" s="146"/>
      <c r="DA58" s="146"/>
      <c r="DB58" s="146"/>
      <c r="DC58" s="146"/>
      <c r="DD58" s="146"/>
      <c r="DE58" s="146"/>
      <c r="DF58" s="146"/>
      <c r="DG58" s="146"/>
      <c r="DH58" s="146"/>
      <c r="DI58" s="146"/>
      <c r="DJ58" s="146"/>
      <c r="DK58" s="146"/>
      <c r="DL58" s="146"/>
      <c r="DM58" s="146"/>
      <c r="DN58" s="146"/>
      <c r="DO58" s="146"/>
      <c r="DP58" s="146"/>
      <c r="DQ58" s="146"/>
      <c r="DR58" s="146"/>
      <c r="DS58" s="146"/>
      <c r="DT58" s="146"/>
      <c r="DU58" s="146"/>
      <c r="DV58" s="146"/>
      <c r="DW58" s="146"/>
      <c r="DX58" s="146"/>
      <c r="DY58" s="146"/>
      <c r="DZ58" s="146"/>
      <c r="EA58" s="146"/>
      <c r="EB58" s="146"/>
      <c r="EC58" s="146"/>
      <c r="ED58" s="146"/>
      <c r="EE58" s="146"/>
      <c r="EF58" s="146"/>
      <c r="EG58" s="146"/>
      <c r="EH58" s="146"/>
      <c r="EI58" s="146"/>
      <c r="EJ58" s="146"/>
      <c r="EK58" s="146"/>
      <c r="EL58" s="146"/>
      <c r="EM58" s="146"/>
      <c r="EN58" s="146"/>
      <c r="EO58" s="146"/>
      <c r="EP58" s="146"/>
      <c r="EQ58" s="146"/>
    </row>
    <row r="59">
      <c r="A59" s="177" t="s">
        <v>162</v>
      </c>
      <c r="B59" s="178" t="s">
        <v>405</v>
      </c>
      <c r="C59" s="179" t="s">
        <v>409</v>
      </c>
      <c r="D59" s="178" t="s">
        <v>328</v>
      </c>
      <c r="E59" s="179" t="s">
        <v>337</v>
      </c>
      <c r="F59" s="178" t="s">
        <v>330</v>
      </c>
      <c r="G59" s="178">
        <v>1.2</v>
      </c>
      <c r="H59" s="180"/>
      <c r="I59" s="180"/>
      <c r="J59" s="180">
        <v>46068.0</v>
      </c>
      <c r="K59" s="175">
        <f t="shared" ref="K59:K67" si="14">EDATE(J59, 36)</f>
        <v>47164</v>
      </c>
      <c r="L59" s="176" t="str">
        <f t="shared" si="2"/>
        <v>Ok</v>
      </c>
      <c r="M59" s="180"/>
      <c r="N59" s="146"/>
      <c r="O59" s="146"/>
      <c r="P59" s="146"/>
      <c r="Q59" s="146"/>
      <c r="R59" s="146"/>
      <c r="S59" s="146"/>
      <c r="T59" s="146"/>
      <c r="U59" s="146"/>
      <c r="V59" s="146"/>
      <c r="W59" s="146"/>
      <c r="X59" s="146"/>
      <c r="Y59" s="146"/>
      <c r="Z59" s="146"/>
      <c r="AA59" s="146"/>
      <c r="AB59" s="146"/>
      <c r="AC59" s="146"/>
      <c r="AD59" s="146"/>
      <c r="AE59" s="146"/>
      <c r="AF59" s="146"/>
      <c r="AG59" s="146"/>
      <c r="AH59" s="146"/>
      <c r="AI59" s="146"/>
      <c r="AJ59" s="146"/>
      <c r="AK59" s="146"/>
      <c r="AL59" s="146"/>
      <c r="AM59" s="146"/>
      <c r="AN59" s="146"/>
      <c r="AO59" s="146"/>
      <c r="AP59" s="146"/>
      <c r="AQ59" s="146"/>
      <c r="AR59" s="146"/>
      <c r="AS59" s="146"/>
      <c r="AT59" s="146"/>
      <c r="AU59" s="146"/>
      <c r="AV59" s="146"/>
      <c r="AW59" s="146"/>
      <c r="AX59" s="146"/>
      <c r="AY59" s="146"/>
      <c r="AZ59" s="146"/>
      <c r="BA59" s="146"/>
      <c r="BB59" s="146"/>
      <c r="BC59" s="146"/>
      <c r="BD59" s="146"/>
      <c r="BE59" s="146"/>
      <c r="BF59" s="146"/>
      <c r="BG59" s="146"/>
      <c r="BH59" s="146"/>
      <c r="BI59" s="146"/>
      <c r="BJ59" s="146"/>
      <c r="BK59" s="146"/>
      <c r="BL59" s="146"/>
      <c r="BM59" s="146"/>
      <c r="BN59" s="146"/>
      <c r="BO59" s="146"/>
      <c r="BP59" s="146"/>
      <c r="BQ59" s="146"/>
      <c r="BR59" s="146"/>
      <c r="BS59" s="146"/>
      <c r="BT59" s="146"/>
      <c r="BU59" s="146"/>
      <c r="BV59" s="146"/>
      <c r="BW59" s="146"/>
      <c r="BX59" s="146"/>
      <c r="BY59" s="146"/>
      <c r="BZ59" s="146"/>
      <c r="CA59" s="146"/>
      <c r="CB59" s="146"/>
      <c r="CC59" s="146"/>
      <c r="CD59" s="146"/>
      <c r="CE59" s="146"/>
      <c r="CF59" s="146"/>
      <c r="CG59" s="146"/>
      <c r="CH59" s="146"/>
      <c r="CI59" s="146"/>
      <c r="CJ59" s="146"/>
      <c r="CK59" s="146"/>
      <c r="CL59" s="146"/>
      <c r="CM59" s="146"/>
      <c r="CN59" s="146"/>
      <c r="CO59" s="146"/>
      <c r="CP59" s="146"/>
      <c r="CQ59" s="146"/>
      <c r="CR59" s="146"/>
      <c r="CS59" s="146"/>
      <c r="CT59" s="146"/>
      <c r="CU59" s="146"/>
      <c r="CV59" s="146"/>
      <c r="CW59" s="146"/>
      <c r="CX59" s="146"/>
      <c r="CY59" s="146"/>
      <c r="CZ59" s="146"/>
      <c r="DA59" s="146"/>
      <c r="DB59" s="146"/>
      <c r="DC59" s="146"/>
      <c r="DD59" s="146"/>
      <c r="DE59" s="146"/>
      <c r="DF59" s="146"/>
      <c r="DG59" s="146"/>
      <c r="DH59" s="146"/>
      <c r="DI59" s="146"/>
      <c r="DJ59" s="146"/>
      <c r="DK59" s="146"/>
      <c r="DL59" s="146"/>
      <c r="DM59" s="146"/>
      <c r="DN59" s="146"/>
      <c r="DO59" s="146"/>
      <c r="DP59" s="146"/>
      <c r="DQ59" s="146"/>
      <c r="DR59" s="146"/>
      <c r="DS59" s="146"/>
      <c r="DT59" s="146"/>
      <c r="DU59" s="146"/>
      <c r="DV59" s="146"/>
      <c r="DW59" s="146"/>
      <c r="DX59" s="146"/>
      <c r="DY59" s="146"/>
      <c r="DZ59" s="146"/>
      <c r="EA59" s="146"/>
      <c r="EB59" s="146"/>
      <c r="EC59" s="146"/>
      <c r="ED59" s="146"/>
      <c r="EE59" s="146"/>
      <c r="EF59" s="146"/>
      <c r="EG59" s="146"/>
      <c r="EH59" s="146"/>
      <c r="EI59" s="146"/>
      <c r="EJ59" s="146"/>
      <c r="EK59" s="146"/>
      <c r="EL59" s="146"/>
      <c r="EM59" s="146"/>
      <c r="EN59" s="146"/>
      <c r="EO59" s="146"/>
      <c r="EP59" s="146"/>
      <c r="EQ59" s="146"/>
    </row>
    <row r="60">
      <c r="A60" s="171" t="s">
        <v>163</v>
      </c>
      <c r="B60" s="172" t="s">
        <v>365</v>
      </c>
      <c r="C60" s="173" t="s">
        <v>410</v>
      </c>
      <c r="D60" s="172" t="s">
        <v>328</v>
      </c>
      <c r="E60" s="173" t="s">
        <v>411</v>
      </c>
      <c r="F60" s="172" t="s">
        <v>330</v>
      </c>
      <c r="G60" s="172">
        <v>80.0</v>
      </c>
      <c r="H60" s="174"/>
      <c r="I60" s="174">
        <v>43525.0</v>
      </c>
      <c r="J60" s="174">
        <v>46132.0</v>
      </c>
      <c r="K60" s="175">
        <f t="shared" si="14"/>
        <v>47228</v>
      </c>
      <c r="L60" s="176" t="str">
        <f t="shared" si="2"/>
        <v>Ok</v>
      </c>
      <c r="M60" s="174"/>
      <c r="N60" s="146"/>
      <c r="O60" s="146"/>
      <c r="P60" s="146"/>
      <c r="Q60" s="146"/>
      <c r="R60" s="146"/>
      <c r="S60" s="146"/>
      <c r="T60" s="146"/>
      <c r="U60" s="146"/>
      <c r="V60" s="146"/>
      <c r="W60" s="146"/>
      <c r="X60" s="146"/>
      <c r="Y60" s="146"/>
      <c r="Z60" s="146"/>
      <c r="AA60" s="146"/>
      <c r="AB60" s="146"/>
      <c r="AC60" s="146"/>
      <c r="AD60" s="146"/>
      <c r="AE60" s="146"/>
      <c r="AF60" s="146"/>
      <c r="AG60" s="146"/>
      <c r="AH60" s="146"/>
      <c r="AI60" s="146"/>
      <c r="AJ60" s="146"/>
      <c r="AK60" s="146"/>
      <c r="AL60" s="146"/>
      <c r="AM60" s="146"/>
      <c r="AN60" s="146"/>
      <c r="AO60" s="146"/>
      <c r="AP60" s="146"/>
      <c r="AQ60" s="146"/>
      <c r="AR60" s="146"/>
      <c r="AS60" s="146"/>
      <c r="AT60" s="146"/>
      <c r="AU60" s="146"/>
      <c r="AV60" s="146"/>
      <c r="AW60" s="146"/>
      <c r="AX60" s="146"/>
      <c r="AY60" s="146"/>
      <c r="AZ60" s="146"/>
      <c r="BA60" s="146"/>
      <c r="BB60" s="146"/>
      <c r="BC60" s="146"/>
      <c r="BD60" s="146"/>
      <c r="BE60" s="146"/>
      <c r="BF60" s="146"/>
      <c r="BG60" s="146"/>
      <c r="BH60" s="146"/>
      <c r="BI60" s="146"/>
      <c r="BJ60" s="146"/>
      <c r="BK60" s="146"/>
      <c r="BL60" s="146"/>
      <c r="BM60" s="146"/>
      <c r="BN60" s="146"/>
      <c r="BO60" s="146"/>
      <c r="BP60" s="146"/>
      <c r="BQ60" s="146"/>
      <c r="BR60" s="146"/>
      <c r="BS60" s="146"/>
      <c r="BT60" s="146"/>
      <c r="BU60" s="146"/>
      <c r="BV60" s="146"/>
      <c r="BW60" s="146"/>
      <c r="BX60" s="146"/>
      <c r="BY60" s="146"/>
      <c r="BZ60" s="146"/>
      <c r="CA60" s="146"/>
      <c r="CB60" s="146"/>
      <c r="CC60" s="146"/>
      <c r="CD60" s="146"/>
      <c r="CE60" s="146"/>
      <c r="CF60" s="146"/>
      <c r="CG60" s="146"/>
      <c r="CH60" s="146"/>
      <c r="CI60" s="146"/>
      <c r="CJ60" s="146"/>
      <c r="CK60" s="146"/>
      <c r="CL60" s="146"/>
      <c r="CM60" s="146"/>
      <c r="CN60" s="146"/>
      <c r="CO60" s="146"/>
      <c r="CP60" s="146"/>
      <c r="CQ60" s="146"/>
      <c r="CR60" s="146"/>
      <c r="CS60" s="146"/>
      <c r="CT60" s="146"/>
      <c r="CU60" s="146"/>
      <c r="CV60" s="146"/>
      <c r="CW60" s="146"/>
      <c r="CX60" s="146"/>
      <c r="CY60" s="146"/>
      <c r="CZ60" s="146"/>
      <c r="DA60" s="146"/>
      <c r="DB60" s="146"/>
      <c r="DC60" s="146"/>
      <c r="DD60" s="146"/>
      <c r="DE60" s="146"/>
      <c r="DF60" s="146"/>
      <c r="DG60" s="146"/>
      <c r="DH60" s="146"/>
      <c r="DI60" s="146"/>
      <c r="DJ60" s="146"/>
      <c r="DK60" s="146"/>
      <c r="DL60" s="146"/>
      <c r="DM60" s="146"/>
      <c r="DN60" s="146"/>
      <c r="DO60" s="146"/>
      <c r="DP60" s="146"/>
      <c r="DQ60" s="146"/>
      <c r="DR60" s="146"/>
      <c r="DS60" s="146"/>
      <c r="DT60" s="146"/>
      <c r="DU60" s="146"/>
      <c r="DV60" s="146"/>
      <c r="DW60" s="146"/>
      <c r="DX60" s="146"/>
      <c r="DY60" s="146"/>
      <c r="DZ60" s="146"/>
      <c r="EA60" s="146"/>
      <c r="EB60" s="146"/>
      <c r="EC60" s="146"/>
      <c r="ED60" s="146"/>
      <c r="EE60" s="146"/>
      <c r="EF60" s="146"/>
      <c r="EG60" s="146"/>
      <c r="EH60" s="146"/>
      <c r="EI60" s="146"/>
      <c r="EJ60" s="146"/>
      <c r="EK60" s="146"/>
      <c r="EL60" s="146"/>
      <c r="EM60" s="146"/>
      <c r="EN60" s="146"/>
      <c r="EO60" s="146"/>
      <c r="EP60" s="146"/>
      <c r="EQ60" s="146"/>
    </row>
    <row r="61">
      <c r="A61" s="177" t="s">
        <v>164</v>
      </c>
      <c r="B61" s="178" t="s">
        <v>365</v>
      </c>
      <c r="C61" s="179" t="s">
        <v>412</v>
      </c>
      <c r="D61" s="178" t="s">
        <v>328</v>
      </c>
      <c r="E61" s="179" t="s">
        <v>411</v>
      </c>
      <c r="F61" s="178" t="s">
        <v>330</v>
      </c>
      <c r="G61" s="178">
        <v>80.0</v>
      </c>
      <c r="H61" s="180"/>
      <c r="I61" s="180"/>
      <c r="J61" s="180">
        <v>43525.0</v>
      </c>
      <c r="K61" s="175">
        <f t="shared" si="14"/>
        <v>44621</v>
      </c>
      <c r="L61" s="176" t="str">
        <f t="shared" si="2"/>
        <v>Overdue</v>
      </c>
      <c r="M61" s="180"/>
      <c r="N61" s="146"/>
      <c r="O61" s="146"/>
      <c r="P61" s="146"/>
      <c r="Q61" s="146"/>
      <c r="R61" s="146"/>
      <c r="S61" s="146"/>
      <c r="T61" s="146"/>
      <c r="U61" s="146"/>
      <c r="V61" s="146"/>
      <c r="W61" s="146"/>
      <c r="X61" s="146"/>
      <c r="Y61" s="146"/>
      <c r="Z61" s="146"/>
      <c r="AA61" s="146"/>
      <c r="AB61" s="146"/>
      <c r="AC61" s="146"/>
      <c r="AD61" s="146"/>
      <c r="AE61" s="146"/>
      <c r="AF61" s="146"/>
      <c r="AG61" s="146"/>
      <c r="AH61" s="146"/>
      <c r="AI61" s="146"/>
      <c r="AJ61" s="146"/>
      <c r="AK61" s="146"/>
      <c r="AL61" s="146"/>
      <c r="AM61" s="146"/>
      <c r="AN61" s="146"/>
      <c r="AO61" s="146"/>
      <c r="AP61" s="146"/>
      <c r="AQ61" s="146"/>
      <c r="AR61" s="146"/>
      <c r="AS61" s="146"/>
      <c r="AT61" s="146"/>
      <c r="AU61" s="146"/>
      <c r="AV61" s="146"/>
      <c r="AW61" s="146"/>
      <c r="AX61" s="146"/>
      <c r="AY61" s="146"/>
      <c r="AZ61" s="146"/>
      <c r="BA61" s="146"/>
      <c r="BB61" s="146"/>
      <c r="BC61" s="146"/>
      <c r="BD61" s="146"/>
      <c r="BE61" s="146"/>
      <c r="BF61" s="146"/>
      <c r="BG61" s="146"/>
      <c r="BH61" s="146"/>
      <c r="BI61" s="146"/>
      <c r="BJ61" s="146"/>
      <c r="BK61" s="146"/>
      <c r="BL61" s="146"/>
      <c r="BM61" s="146"/>
      <c r="BN61" s="146"/>
      <c r="BO61" s="146"/>
      <c r="BP61" s="146"/>
      <c r="BQ61" s="146"/>
      <c r="BR61" s="146"/>
      <c r="BS61" s="146"/>
      <c r="BT61" s="146"/>
      <c r="BU61" s="146"/>
      <c r="BV61" s="146"/>
      <c r="BW61" s="146"/>
      <c r="BX61" s="146"/>
      <c r="BY61" s="146"/>
      <c r="BZ61" s="146"/>
      <c r="CA61" s="146"/>
      <c r="CB61" s="146"/>
      <c r="CC61" s="146"/>
      <c r="CD61" s="146"/>
      <c r="CE61" s="146"/>
      <c r="CF61" s="146"/>
      <c r="CG61" s="146"/>
      <c r="CH61" s="146"/>
      <c r="CI61" s="146"/>
      <c r="CJ61" s="146"/>
      <c r="CK61" s="146"/>
      <c r="CL61" s="146"/>
      <c r="CM61" s="146"/>
      <c r="CN61" s="146"/>
      <c r="CO61" s="146"/>
      <c r="CP61" s="146"/>
      <c r="CQ61" s="146"/>
      <c r="CR61" s="146"/>
      <c r="CS61" s="146"/>
      <c r="CT61" s="146"/>
      <c r="CU61" s="146"/>
      <c r="CV61" s="146"/>
      <c r="CW61" s="146"/>
      <c r="CX61" s="146"/>
      <c r="CY61" s="146"/>
      <c r="CZ61" s="146"/>
      <c r="DA61" s="146"/>
      <c r="DB61" s="146"/>
      <c r="DC61" s="146"/>
      <c r="DD61" s="146"/>
      <c r="DE61" s="146"/>
      <c r="DF61" s="146"/>
      <c r="DG61" s="146"/>
      <c r="DH61" s="146"/>
      <c r="DI61" s="146"/>
      <c r="DJ61" s="146"/>
      <c r="DK61" s="146"/>
      <c r="DL61" s="146"/>
      <c r="DM61" s="146"/>
      <c r="DN61" s="146"/>
      <c r="DO61" s="146"/>
      <c r="DP61" s="146"/>
      <c r="DQ61" s="146"/>
      <c r="DR61" s="146"/>
      <c r="DS61" s="146"/>
      <c r="DT61" s="146"/>
      <c r="DU61" s="146"/>
      <c r="DV61" s="146"/>
      <c r="DW61" s="146"/>
      <c r="DX61" s="146"/>
      <c r="DY61" s="146"/>
      <c r="DZ61" s="146"/>
      <c r="EA61" s="146"/>
      <c r="EB61" s="146"/>
      <c r="EC61" s="146"/>
      <c r="ED61" s="146"/>
      <c r="EE61" s="146"/>
      <c r="EF61" s="146"/>
      <c r="EG61" s="146"/>
      <c r="EH61" s="146"/>
      <c r="EI61" s="146"/>
      <c r="EJ61" s="146"/>
      <c r="EK61" s="146"/>
      <c r="EL61" s="146"/>
      <c r="EM61" s="146"/>
      <c r="EN61" s="146"/>
      <c r="EO61" s="146"/>
      <c r="EP61" s="146"/>
      <c r="EQ61" s="146"/>
    </row>
    <row r="62">
      <c r="A62" s="171" t="s">
        <v>165</v>
      </c>
      <c r="B62" s="172" t="s">
        <v>365</v>
      </c>
      <c r="C62" s="173" t="s">
        <v>410</v>
      </c>
      <c r="D62" s="172" t="s">
        <v>328</v>
      </c>
      <c r="E62" s="173" t="s">
        <v>337</v>
      </c>
      <c r="F62" s="172" t="s">
        <v>330</v>
      </c>
      <c r="G62" s="172">
        <v>80.0</v>
      </c>
      <c r="H62" s="174"/>
      <c r="I62" s="174"/>
      <c r="J62" s="174">
        <v>45796.0</v>
      </c>
      <c r="K62" s="175">
        <f t="shared" si="14"/>
        <v>46892</v>
      </c>
      <c r="L62" s="176" t="str">
        <f t="shared" si="2"/>
        <v>Ok</v>
      </c>
      <c r="M62" s="174"/>
      <c r="N62" s="146"/>
      <c r="O62" s="146"/>
      <c r="P62" s="146"/>
      <c r="Q62" s="146"/>
      <c r="R62" s="146"/>
      <c r="S62" s="146"/>
      <c r="T62" s="146"/>
      <c r="U62" s="146"/>
      <c r="V62" s="146"/>
      <c r="W62" s="146"/>
      <c r="X62" s="146"/>
      <c r="Y62" s="146"/>
      <c r="Z62" s="146"/>
      <c r="AA62" s="146"/>
      <c r="AB62" s="146"/>
      <c r="AC62" s="146"/>
      <c r="AD62" s="146"/>
      <c r="AE62" s="146"/>
      <c r="AF62" s="146"/>
      <c r="AG62" s="146"/>
      <c r="AH62" s="146"/>
      <c r="AI62" s="146"/>
      <c r="AJ62" s="146"/>
      <c r="AK62" s="146"/>
      <c r="AL62" s="146"/>
      <c r="AM62" s="146"/>
      <c r="AN62" s="146"/>
      <c r="AO62" s="146"/>
      <c r="AP62" s="146"/>
      <c r="AQ62" s="146"/>
      <c r="AR62" s="146"/>
      <c r="AS62" s="146"/>
      <c r="AT62" s="146"/>
      <c r="AU62" s="146"/>
      <c r="AV62" s="146"/>
      <c r="AW62" s="146"/>
      <c r="AX62" s="146"/>
      <c r="AY62" s="146"/>
      <c r="AZ62" s="146"/>
      <c r="BA62" s="146"/>
      <c r="BB62" s="146"/>
      <c r="BC62" s="146"/>
      <c r="BD62" s="146"/>
      <c r="BE62" s="146"/>
      <c r="BF62" s="146"/>
      <c r="BG62" s="146"/>
      <c r="BH62" s="146"/>
      <c r="BI62" s="146"/>
      <c r="BJ62" s="146"/>
      <c r="BK62" s="146"/>
      <c r="BL62" s="146"/>
      <c r="BM62" s="146"/>
      <c r="BN62" s="146"/>
      <c r="BO62" s="146"/>
      <c r="BP62" s="146"/>
      <c r="BQ62" s="146"/>
      <c r="BR62" s="146"/>
      <c r="BS62" s="146"/>
      <c r="BT62" s="146"/>
      <c r="BU62" s="146"/>
      <c r="BV62" s="146"/>
      <c r="BW62" s="146"/>
      <c r="BX62" s="146"/>
      <c r="BY62" s="146"/>
      <c r="BZ62" s="146"/>
      <c r="CA62" s="146"/>
      <c r="CB62" s="146"/>
      <c r="CC62" s="146"/>
      <c r="CD62" s="146"/>
      <c r="CE62" s="146"/>
      <c r="CF62" s="146"/>
      <c r="CG62" s="146"/>
      <c r="CH62" s="146"/>
      <c r="CI62" s="146"/>
      <c r="CJ62" s="146"/>
      <c r="CK62" s="146"/>
      <c r="CL62" s="146"/>
      <c r="CM62" s="146"/>
      <c r="CN62" s="146"/>
      <c r="CO62" s="146"/>
      <c r="CP62" s="146"/>
      <c r="CQ62" s="146"/>
      <c r="CR62" s="146"/>
      <c r="CS62" s="146"/>
      <c r="CT62" s="146"/>
      <c r="CU62" s="146"/>
      <c r="CV62" s="146"/>
      <c r="CW62" s="146"/>
      <c r="CX62" s="146"/>
      <c r="CY62" s="146"/>
      <c r="CZ62" s="146"/>
      <c r="DA62" s="146"/>
      <c r="DB62" s="146"/>
      <c r="DC62" s="146"/>
      <c r="DD62" s="146"/>
      <c r="DE62" s="146"/>
      <c r="DF62" s="146"/>
      <c r="DG62" s="146"/>
      <c r="DH62" s="146"/>
      <c r="DI62" s="146"/>
      <c r="DJ62" s="146"/>
      <c r="DK62" s="146"/>
      <c r="DL62" s="146"/>
      <c r="DM62" s="146"/>
      <c r="DN62" s="146"/>
      <c r="DO62" s="146"/>
      <c r="DP62" s="146"/>
      <c r="DQ62" s="146"/>
      <c r="DR62" s="146"/>
      <c r="DS62" s="146"/>
      <c r="DT62" s="146"/>
      <c r="DU62" s="146"/>
      <c r="DV62" s="146"/>
      <c r="DW62" s="146"/>
      <c r="DX62" s="146"/>
      <c r="DY62" s="146"/>
      <c r="DZ62" s="146"/>
      <c r="EA62" s="146"/>
      <c r="EB62" s="146"/>
      <c r="EC62" s="146"/>
      <c r="ED62" s="146"/>
      <c r="EE62" s="146"/>
      <c r="EF62" s="146"/>
      <c r="EG62" s="146"/>
      <c r="EH62" s="146"/>
      <c r="EI62" s="146"/>
      <c r="EJ62" s="146"/>
      <c r="EK62" s="146"/>
      <c r="EL62" s="146"/>
      <c r="EM62" s="146"/>
      <c r="EN62" s="146"/>
      <c r="EO62" s="146"/>
      <c r="EP62" s="146"/>
      <c r="EQ62" s="146"/>
    </row>
    <row r="63">
      <c r="A63" s="177" t="s">
        <v>166</v>
      </c>
      <c r="B63" s="178" t="s">
        <v>365</v>
      </c>
      <c r="C63" s="179" t="s">
        <v>412</v>
      </c>
      <c r="D63" s="178" t="s">
        <v>328</v>
      </c>
      <c r="E63" s="179" t="s">
        <v>337</v>
      </c>
      <c r="F63" s="178" t="s">
        <v>330</v>
      </c>
      <c r="G63" s="178">
        <v>80.0</v>
      </c>
      <c r="H63" s="180"/>
      <c r="I63" s="180">
        <v>43647.0</v>
      </c>
      <c r="J63" s="180">
        <v>45439.0</v>
      </c>
      <c r="K63" s="175">
        <f t="shared" si="14"/>
        <v>46534</v>
      </c>
      <c r="L63" s="176" t="str">
        <f t="shared" si="2"/>
        <v>Ok</v>
      </c>
      <c r="M63" s="180"/>
      <c r="N63" s="146"/>
      <c r="O63" s="146"/>
      <c r="P63" s="146"/>
      <c r="Q63" s="146"/>
      <c r="R63" s="146"/>
      <c r="S63" s="146"/>
      <c r="T63" s="146"/>
      <c r="U63" s="146"/>
      <c r="V63" s="146"/>
      <c r="W63" s="146"/>
      <c r="X63" s="146"/>
      <c r="Y63" s="146"/>
      <c r="Z63" s="146"/>
      <c r="AA63" s="146"/>
      <c r="AB63" s="146"/>
      <c r="AC63" s="146"/>
      <c r="AD63" s="146"/>
      <c r="AE63" s="146"/>
      <c r="AF63" s="146"/>
      <c r="AG63" s="146"/>
      <c r="AH63" s="146"/>
      <c r="AI63" s="146"/>
      <c r="AJ63" s="146"/>
      <c r="AK63" s="146"/>
      <c r="AL63" s="146"/>
      <c r="AM63" s="146"/>
      <c r="AN63" s="146"/>
      <c r="AO63" s="146"/>
      <c r="AP63" s="146"/>
      <c r="AQ63" s="146"/>
      <c r="AR63" s="146"/>
      <c r="AS63" s="146"/>
      <c r="AT63" s="146"/>
      <c r="AU63" s="146"/>
      <c r="AV63" s="146"/>
      <c r="AW63" s="146"/>
      <c r="AX63" s="146"/>
      <c r="AY63" s="146"/>
      <c r="AZ63" s="146"/>
      <c r="BA63" s="146"/>
      <c r="BB63" s="146"/>
      <c r="BC63" s="146"/>
      <c r="BD63" s="146"/>
      <c r="BE63" s="146"/>
      <c r="BF63" s="146"/>
      <c r="BG63" s="146"/>
      <c r="BH63" s="146"/>
      <c r="BI63" s="146"/>
      <c r="BJ63" s="146"/>
      <c r="BK63" s="146"/>
      <c r="BL63" s="146"/>
      <c r="BM63" s="146"/>
      <c r="BN63" s="146"/>
      <c r="BO63" s="146"/>
      <c r="BP63" s="146"/>
      <c r="BQ63" s="146"/>
      <c r="BR63" s="146"/>
      <c r="BS63" s="146"/>
      <c r="BT63" s="146"/>
      <c r="BU63" s="146"/>
      <c r="BV63" s="146"/>
      <c r="BW63" s="146"/>
      <c r="BX63" s="146"/>
      <c r="BY63" s="146"/>
      <c r="BZ63" s="146"/>
      <c r="CA63" s="146"/>
      <c r="CB63" s="146"/>
      <c r="CC63" s="146"/>
      <c r="CD63" s="146"/>
      <c r="CE63" s="146"/>
      <c r="CF63" s="146"/>
      <c r="CG63" s="146"/>
      <c r="CH63" s="146"/>
      <c r="CI63" s="146"/>
      <c r="CJ63" s="146"/>
      <c r="CK63" s="146"/>
      <c r="CL63" s="146"/>
      <c r="CM63" s="146"/>
      <c r="CN63" s="146"/>
      <c r="CO63" s="146"/>
      <c r="CP63" s="146"/>
      <c r="CQ63" s="146"/>
      <c r="CR63" s="146"/>
      <c r="CS63" s="146"/>
      <c r="CT63" s="146"/>
      <c r="CU63" s="146"/>
      <c r="CV63" s="146"/>
      <c r="CW63" s="146"/>
      <c r="CX63" s="146"/>
      <c r="CY63" s="146"/>
      <c r="CZ63" s="146"/>
      <c r="DA63" s="146"/>
      <c r="DB63" s="146"/>
      <c r="DC63" s="146"/>
      <c r="DD63" s="146"/>
      <c r="DE63" s="146"/>
      <c r="DF63" s="146"/>
      <c r="DG63" s="146"/>
      <c r="DH63" s="146"/>
      <c r="DI63" s="146"/>
      <c r="DJ63" s="146"/>
      <c r="DK63" s="146"/>
      <c r="DL63" s="146"/>
      <c r="DM63" s="146"/>
      <c r="DN63" s="146"/>
      <c r="DO63" s="146"/>
      <c r="DP63" s="146"/>
      <c r="DQ63" s="146"/>
      <c r="DR63" s="146"/>
      <c r="DS63" s="146"/>
      <c r="DT63" s="146"/>
      <c r="DU63" s="146"/>
      <c r="DV63" s="146"/>
      <c r="DW63" s="146"/>
      <c r="DX63" s="146"/>
      <c r="DY63" s="146"/>
      <c r="DZ63" s="146"/>
      <c r="EA63" s="146"/>
      <c r="EB63" s="146"/>
      <c r="EC63" s="146"/>
      <c r="ED63" s="146"/>
      <c r="EE63" s="146"/>
      <c r="EF63" s="146"/>
      <c r="EG63" s="146"/>
      <c r="EH63" s="146"/>
      <c r="EI63" s="146"/>
      <c r="EJ63" s="146"/>
      <c r="EK63" s="146"/>
      <c r="EL63" s="146"/>
      <c r="EM63" s="146"/>
      <c r="EN63" s="146"/>
      <c r="EO63" s="146"/>
      <c r="EP63" s="146"/>
      <c r="EQ63" s="146"/>
    </row>
    <row r="64">
      <c r="A64" s="171" t="s">
        <v>167</v>
      </c>
      <c r="B64" s="172" t="s">
        <v>365</v>
      </c>
      <c r="C64" s="173" t="s">
        <v>410</v>
      </c>
      <c r="D64" s="172" t="s">
        <v>328</v>
      </c>
      <c r="E64" s="173" t="s">
        <v>411</v>
      </c>
      <c r="F64" s="172" t="s">
        <v>330</v>
      </c>
      <c r="G64" s="172">
        <v>130.0</v>
      </c>
      <c r="H64" s="174"/>
      <c r="I64" s="174"/>
      <c r="J64" s="174">
        <v>44531.0</v>
      </c>
      <c r="K64" s="175">
        <f t="shared" si="14"/>
        <v>45627</v>
      </c>
      <c r="L64" s="176" t="str">
        <f t="shared" si="2"/>
        <v>Overdue</v>
      </c>
      <c r="M64" s="174"/>
      <c r="N64" s="146"/>
      <c r="O64" s="146"/>
      <c r="P64" s="146"/>
      <c r="Q64" s="146"/>
      <c r="R64" s="146"/>
      <c r="S64" s="146"/>
      <c r="T64" s="146"/>
      <c r="U64" s="146"/>
      <c r="V64" s="146"/>
      <c r="W64" s="146"/>
      <c r="X64" s="146"/>
      <c r="Y64" s="146"/>
      <c r="Z64" s="146"/>
      <c r="AA64" s="146"/>
      <c r="AB64" s="146"/>
      <c r="AC64" s="146"/>
      <c r="AD64" s="146"/>
      <c r="AE64" s="146"/>
      <c r="AF64" s="146"/>
      <c r="AG64" s="146"/>
      <c r="AH64" s="146"/>
      <c r="AI64" s="146"/>
      <c r="AJ64" s="146"/>
      <c r="AK64" s="146"/>
      <c r="AL64" s="146"/>
      <c r="AM64" s="146"/>
      <c r="AN64" s="146"/>
      <c r="AO64" s="146"/>
      <c r="AP64" s="146"/>
      <c r="AQ64" s="146"/>
      <c r="AR64" s="146"/>
      <c r="AS64" s="146"/>
      <c r="AT64" s="146"/>
      <c r="AU64" s="146"/>
      <c r="AV64" s="146"/>
      <c r="AW64" s="146"/>
      <c r="AX64" s="146"/>
      <c r="AY64" s="146"/>
      <c r="AZ64" s="146"/>
      <c r="BA64" s="146"/>
      <c r="BB64" s="146"/>
      <c r="BC64" s="146"/>
      <c r="BD64" s="146"/>
      <c r="BE64" s="146"/>
      <c r="BF64" s="146"/>
      <c r="BG64" s="146"/>
      <c r="BH64" s="146"/>
      <c r="BI64" s="146"/>
      <c r="BJ64" s="146"/>
      <c r="BK64" s="146"/>
      <c r="BL64" s="146"/>
      <c r="BM64" s="146"/>
      <c r="BN64" s="146"/>
      <c r="BO64" s="146"/>
      <c r="BP64" s="146"/>
      <c r="BQ64" s="146"/>
      <c r="BR64" s="146"/>
      <c r="BS64" s="146"/>
      <c r="BT64" s="146"/>
      <c r="BU64" s="146"/>
      <c r="BV64" s="146"/>
      <c r="BW64" s="146"/>
      <c r="BX64" s="146"/>
      <c r="BY64" s="146"/>
      <c r="BZ64" s="146"/>
      <c r="CA64" s="146"/>
      <c r="CB64" s="146"/>
      <c r="CC64" s="146"/>
      <c r="CD64" s="146"/>
      <c r="CE64" s="146"/>
      <c r="CF64" s="146"/>
      <c r="CG64" s="146"/>
      <c r="CH64" s="146"/>
      <c r="CI64" s="146"/>
      <c r="CJ64" s="146"/>
      <c r="CK64" s="146"/>
      <c r="CL64" s="146"/>
      <c r="CM64" s="146"/>
      <c r="CN64" s="146"/>
      <c r="CO64" s="146"/>
      <c r="CP64" s="146"/>
      <c r="CQ64" s="146"/>
      <c r="CR64" s="146"/>
      <c r="CS64" s="146"/>
      <c r="CT64" s="146"/>
      <c r="CU64" s="146"/>
      <c r="CV64" s="146"/>
      <c r="CW64" s="146"/>
      <c r="CX64" s="146"/>
      <c r="CY64" s="146"/>
      <c r="CZ64" s="146"/>
      <c r="DA64" s="146"/>
      <c r="DB64" s="146"/>
      <c r="DC64" s="146"/>
      <c r="DD64" s="146"/>
      <c r="DE64" s="146"/>
      <c r="DF64" s="146"/>
      <c r="DG64" s="146"/>
      <c r="DH64" s="146"/>
      <c r="DI64" s="146"/>
      <c r="DJ64" s="146"/>
      <c r="DK64" s="146"/>
      <c r="DL64" s="146"/>
      <c r="DM64" s="146"/>
      <c r="DN64" s="146"/>
      <c r="DO64" s="146"/>
      <c r="DP64" s="146"/>
      <c r="DQ64" s="146"/>
      <c r="DR64" s="146"/>
      <c r="DS64" s="146"/>
      <c r="DT64" s="146"/>
      <c r="DU64" s="146"/>
      <c r="DV64" s="146"/>
      <c r="DW64" s="146"/>
      <c r="DX64" s="146"/>
      <c r="DY64" s="146"/>
      <c r="DZ64" s="146"/>
      <c r="EA64" s="146"/>
      <c r="EB64" s="146"/>
      <c r="EC64" s="146"/>
      <c r="ED64" s="146"/>
      <c r="EE64" s="146"/>
      <c r="EF64" s="146"/>
      <c r="EG64" s="146"/>
      <c r="EH64" s="146"/>
      <c r="EI64" s="146"/>
      <c r="EJ64" s="146"/>
      <c r="EK64" s="146"/>
      <c r="EL64" s="146"/>
      <c r="EM64" s="146"/>
      <c r="EN64" s="146"/>
      <c r="EO64" s="146"/>
      <c r="EP64" s="146"/>
      <c r="EQ64" s="146"/>
    </row>
    <row r="65">
      <c r="A65" s="177" t="s">
        <v>168</v>
      </c>
      <c r="B65" s="178" t="s">
        <v>365</v>
      </c>
      <c r="C65" s="179" t="s">
        <v>412</v>
      </c>
      <c r="D65" s="178" t="s">
        <v>328</v>
      </c>
      <c r="E65" s="179" t="s">
        <v>411</v>
      </c>
      <c r="F65" s="178" t="s">
        <v>330</v>
      </c>
      <c r="G65" s="178">
        <v>130.0</v>
      </c>
      <c r="H65" s="180"/>
      <c r="I65" s="180"/>
      <c r="J65" s="180">
        <v>43525.0</v>
      </c>
      <c r="K65" s="175">
        <f t="shared" si="14"/>
        <v>44621</v>
      </c>
      <c r="L65" s="176" t="str">
        <f t="shared" si="2"/>
        <v>Overdue</v>
      </c>
      <c r="M65" s="180"/>
      <c r="N65" s="146"/>
      <c r="O65" s="146"/>
      <c r="P65" s="146"/>
      <c r="Q65" s="146"/>
      <c r="R65" s="146"/>
      <c r="S65" s="146"/>
      <c r="T65" s="146"/>
      <c r="U65" s="146"/>
      <c r="V65" s="146"/>
      <c r="W65" s="146"/>
      <c r="X65" s="146"/>
      <c r="Y65" s="146"/>
      <c r="Z65" s="146"/>
      <c r="AA65" s="146"/>
      <c r="AB65" s="146"/>
      <c r="AC65" s="146"/>
      <c r="AD65" s="146"/>
      <c r="AE65" s="146"/>
      <c r="AF65" s="146"/>
      <c r="AG65" s="146"/>
      <c r="AH65" s="146"/>
      <c r="AI65" s="146"/>
      <c r="AJ65" s="146"/>
      <c r="AK65" s="146"/>
      <c r="AL65" s="146"/>
      <c r="AM65" s="146"/>
      <c r="AN65" s="146"/>
      <c r="AO65" s="146"/>
      <c r="AP65" s="146"/>
      <c r="AQ65" s="146"/>
      <c r="AR65" s="146"/>
      <c r="AS65" s="146"/>
      <c r="AT65" s="146"/>
      <c r="AU65" s="146"/>
      <c r="AV65" s="146"/>
      <c r="AW65" s="146"/>
      <c r="AX65" s="146"/>
      <c r="AY65" s="146"/>
      <c r="AZ65" s="146"/>
      <c r="BA65" s="146"/>
      <c r="BB65" s="146"/>
      <c r="BC65" s="146"/>
      <c r="BD65" s="146"/>
      <c r="BE65" s="146"/>
      <c r="BF65" s="146"/>
      <c r="BG65" s="146"/>
      <c r="BH65" s="146"/>
      <c r="BI65" s="146"/>
      <c r="BJ65" s="146"/>
      <c r="BK65" s="146"/>
      <c r="BL65" s="146"/>
      <c r="BM65" s="146"/>
      <c r="BN65" s="146"/>
      <c r="BO65" s="146"/>
      <c r="BP65" s="146"/>
      <c r="BQ65" s="146"/>
      <c r="BR65" s="146"/>
      <c r="BS65" s="146"/>
      <c r="BT65" s="146"/>
      <c r="BU65" s="146"/>
      <c r="BV65" s="146"/>
      <c r="BW65" s="146"/>
      <c r="BX65" s="146"/>
      <c r="BY65" s="146"/>
      <c r="BZ65" s="146"/>
      <c r="CA65" s="146"/>
      <c r="CB65" s="146"/>
      <c r="CC65" s="146"/>
      <c r="CD65" s="146"/>
      <c r="CE65" s="146"/>
      <c r="CF65" s="146"/>
      <c r="CG65" s="146"/>
      <c r="CH65" s="146"/>
      <c r="CI65" s="146"/>
      <c r="CJ65" s="146"/>
      <c r="CK65" s="146"/>
      <c r="CL65" s="146"/>
      <c r="CM65" s="146"/>
      <c r="CN65" s="146"/>
      <c r="CO65" s="146"/>
      <c r="CP65" s="146"/>
      <c r="CQ65" s="146"/>
      <c r="CR65" s="146"/>
      <c r="CS65" s="146"/>
      <c r="CT65" s="146"/>
      <c r="CU65" s="146"/>
      <c r="CV65" s="146"/>
      <c r="CW65" s="146"/>
      <c r="CX65" s="146"/>
      <c r="CY65" s="146"/>
      <c r="CZ65" s="146"/>
      <c r="DA65" s="146"/>
      <c r="DB65" s="146"/>
      <c r="DC65" s="146"/>
      <c r="DD65" s="146"/>
      <c r="DE65" s="146"/>
      <c r="DF65" s="146"/>
      <c r="DG65" s="146"/>
      <c r="DH65" s="146"/>
      <c r="DI65" s="146"/>
      <c r="DJ65" s="146"/>
      <c r="DK65" s="146"/>
      <c r="DL65" s="146"/>
      <c r="DM65" s="146"/>
      <c r="DN65" s="146"/>
      <c r="DO65" s="146"/>
      <c r="DP65" s="146"/>
      <c r="DQ65" s="146"/>
      <c r="DR65" s="146"/>
      <c r="DS65" s="146"/>
      <c r="DT65" s="146"/>
      <c r="DU65" s="146"/>
      <c r="DV65" s="146"/>
      <c r="DW65" s="146"/>
      <c r="DX65" s="146"/>
      <c r="DY65" s="146"/>
      <c r="DZ65" s="146"/>
      <c r="EA65" s="146"/>
      <c r="EB65" s="146"/>
      <c r="EC65" s="146"/>
      <c r="ED65" s="146"/>
      <c r="EE65" s="146"/>
      <c r="EF65" s="146"/>
      <c r="EG65" s="146"/>
      <c r="EH65" s="146"/>
      <c r="EI65" s="146"/>
      <c r="EJ65" s="146"/>
      <c r="EK65" s="146"/>
      <c r="EL65" s="146"/>
      <c r="EM65" s="146"/>
      <c r="EN65" s="146"/>
      <c r="EO65" s="146"/>
      <c r="EP65" s="146"/>
      <c r="EQ65" s="146"/>
    </row>
    <row r="66">
      <c r="A66" s="171" t="s">
        <v>169</v>
      </c>
      <c r="B66" s="172" t="s">
        <v>365</v>
      </c>
      <c r="C66" s="173" t="s">
        <v>410</v>
      </c>
      <c r="D66" s="172" t="s">
        <v>328</v>
      </c>
      <c r="E66" s="173" t="s">
        <v>337</v>
      </c>
      <c r="F66" s="172" t="s">
        <v>330</v>
      </c>
      <c r="G66" s="172">
        <v>130.0</v>
      </c>
      <c r="H66" s="174"/>
      <c r="I66" s="174">
        <v>44593.0</v>
      </c>
      <c r="J66" s="174">
        <v>46025.0</v>
      </c>
      <c r="K66" s="175">
        <f t="shared" si="14"/>
        <v>47121</v>
      </c>
      <c r="L66" s="176" t="str">
        <f t="shared" si="2"/>
        <v>Ok</v>
      </c>
      <c r="M66" s="174"/>
      <c r="N66" s="146"/>
      <c r="O66" s="146"/>
      <c r="P66" s="146"/>
      <c r="Q66" s="146"/>
      <c r="R66" s="146"/>
      <c r="S66" s="146"/>
      <c r="T66" s="146"/>
      <c r="U66" s="146"/>
      <c r="V66" s="146"/>
      <c r="W66" s="146"/>
      <c r="X66" s="146"/>
      <c r="Y66" s="146"/>
      <c r="Z66" s="146"/>
      <c r="AA66" s="146"/>
      <c r="AB66" s="146"/>
      <c r="AC66" s="146"/>
      <c r="AD66" s="146"/>
      <c r="AE66" s="146"/>
      <c r="AF66" s="146"/>
      <c r="AG66" s="146"/>
      <c r="AH66" s="146"/>
      <c r="AI66" s="146"/>
      <c r="AJ66" s="146"/>
      <c r="AK66" s="146"/>
      <c r="AL66" s="146"/>
      <c r="AM66" s="146"/>
      <c r="AN66" s="146"/>
      <c r="AO66" s="146"/>
      <c r="AP66" s="146"/>
      <c r="AQ66" s="146"/>
      <c r="AR66" s="146"/>
      <c r="AS66" s="146"/>
      <c r="AT66" s="146"/>
      <c r="AU66" s="146"/>
      <c r="AV66" s="146"/>
      <c r="AW66" s="146"/>
      <c r="AX66" s="146"/>
      <c r="AY66" s="146"/>
      <c r="AZ66" s="146"/>
      <c r="BA66" s="146"/>
      <c r="BB66" s="146"/>
      <c r="BC66" s="146"/>
      <c r="BD66" s="146"/>
      <c r="BE66" s="146"/>
      <c r="BF66" s="146"/>
      <c r="BG66" s="146"/>
      <c r="BH66" s="146"/>
      <c r="BI66" s="146"/>
      <c r="BJ66" s="146"/>
      <c r="BK66" s="146"/>
      <c r="BL66" s="146"/>
      <c r="BM66" s="146"/>
      <c r="BN66" s="146"/>
      <c r="BO66" s="146"/>
      <c r="BP66" s="146"/>
      <c r="BQ66" s="146"/>
      <c r="BR66" s="146"/>
      <c r="BS66" s="146"/>
      <c r="BT66" s="146"/>
      <c r="BU66" s="146"/>
      <c r="BV66" s="146"/>
      <c r="BW66" s="146"/>
      <c r="BX66" s="146"/>
      <c r="BY66" s="146"/>
      <c r="BZ66" s="146"/>
      <c r="CA66" s="146"/>
      <c r="CB66" s="146"/>
      <c r="CC66" s="146"/>
      <c r="CD66" s="146"/>
      <c r="CE66" s="146"/>
      <c r="CF66" s="146"/>
      <c r="CG66" s="146"/>
      <c r="CH66" s="146"/>
      <c r="CI66" s="146"/>
      <c r="CJ66" s="146"/>
      <c r="CK66" s="146"/>
      <c r="CL66" s="146"/>
      <c r="CM66" s="146"/>
      <c r="CN66" s="146"/>
      <c r="CO66" s="146"/>
      <c r="CP66" s="146"/>
      <c r="CQ66" s="146"/>
      <c r="CR66" s="146"/>
      <c r="CS66" s="146"/>
      <c r="CT66" s="146"/>
      <c r="CU66" s="146"/>
      <c r="CV66" s="146"/>
      <c r="CW66" s="146"/>
      <c r="CX66" s="146"/>
      <c r="CY66" s="146"/>
      <c r="CZ66" s="146"/>
      <c r="DA66" s="146"/>
      <c r="DB66" s="146"/>
      <c r="DC66" s="146"/>
      <c r="DD66" s="146"/>
      <c r="DE66" s="146"/>
      <c r="DF66" s="146"/>
      <c r="DG66" s="146"/>
      <c r="DH66" s="146"/>
      <c r="DI66" s="146"/>
      <c r="DJ66" s="146"/>
      <c r="DK66" s="146"/>
      <c r="DL66" s="146"/>
      <c r="DM66" s="146"/>
      <c r="DN66" s="146"/>
      <c r="DO66" s="146"/>
      <c r="DP66" s="146"/>
      <c r="DQ66" s="146"/>
      <c r="DR66" s="146"/>
      <c r="DS66" s="146"/>
      <c r="DT66" s="146"/>
      <c r="DU66" s="146"/>
      <c r="DV66" s="146"/>
      <c r="DW66" s="146"/>
      <c r="DX66" s="146"/>
      <c r="DY66" s="146"/>
      <c r="DZ66" s="146"/>
      <c r="EA66" s="146"/>
      <c r="EB66" s="146"/>
      <c r="EC66" s="146"/>
      <c r="ED66" s="146"/>
      <c r="EE66" s="146"/>
      <c r="EF66" s="146"/>
      <c r="EG66" s="146"/>
      <c r="EH66" s="146"/>
      <c r="EI66" s="146"/>
      <c r="EJ66" s="146"/>
      <c r="EK66" s="146"/>
      <c r="EL66" s="146"/>
      <c r="EM66" s="146"/>
      <c r="EN66" s="146"/>
      <c r="EO66" s="146"/>
      <c r="EP66" s="146"/>
      <c r="EQ66" s="146"/>
    </row>
    <row r="67">
      <c r="A67" s="177" t="s">
        <v>170</v>
      </c>
      <c r="B67" s="178" t="s">
        <v>365</v>
      </c>
      <c r="C67" s="179" t="s">
        <v>412</v>
      </c>
      <c r="D67" s="178" t="s">
        <v>328</v>
      </c>
      <c r="E67" s="179" t="s">
        <v>337</v>
      </c>
      <c r="F67" s="178" t="s">
        <v>330</v>
      </c>
      <c r="G67" s="178">
        <v>130.0</v>
      </c>
      <c r="H67" s="180"/>
      <c r="I67" s="180">
        <v>44698.0</v>
      </c>
      <c r="J67" s="180">
        <v>45639.0</v>
      </c>
      <c r="K67" s="175">
        <f t="shared" si="14"/>
        <v>46734</v>
      </c>
      <c r="L67" s="176" t="str">
        <f t="shared" si="2"/>
        <v>Ok</v>
      </c>
      <c r="M67" s="180"/>
      <c r="N67" s="146"/>
      <c r="O67" s="146"/>
      <c r="P67" s="146"/>
      <c r="Q67" s="146"/>
      <c r="R67" s="146"/>
      <c r="S67" s="146"/>
      <c r="T67" s="146"/>
      <c r="U67" s="146"/>
      <c r="V67" s="146"/>
      <c r="W67" s="146"/>
      <c r="X67" s="146"/>
      <c r="Y67" s="146"/>
      <c r="Z67" s="146"/>
      <c r="AA67" s="146"/>
      <c r="AB67" s="146"/>
      <c r="AC67" s="146"/>
      <c r="AD67" s="146"/>
      <c r="AE67" s="146"/>
      <c r="AF67" s="146"/>
      <c r="AG67" s="146"/>
      <c r="AH67" s="146"/>
      <c r="AI67" s="146"/>
      <c r="AJ67" s="146"/>
      <c r="AK67" s="146"/>
      <c r="AL67" s="146"/>
      <c r="AM67" s="146"/>
      <c r="AN67" s="146"/>
      <c r="AO67" s="146"/>
      <c r="AP67" s="146"/>
      <c r="AQ67" s="146"/>
      <c r="AR67" s="146"/>
      <c r="AS67" s="146"/>
      <c r="AT67" s="146"/>
      <c r="AU67" s="146"/>
      <c r="AV67" s="146"/>
      <c r="AW67" s="146"/>
      <c r="AX67" s="146"/>
      <c r="AY67" s="146"/>
      <c r="AZ67" s="146"/>
      <c r="BA67" s="146"/>
      <c r="BB67" s="146"/>
      <c r="BC67" s="146"/>
      <c r="BD67" s="146"/>
      <c r="BE67" s="146"/>
      <c r="BF67" s="146"/>
      <c r="BG67" s="146"/>
      <c r="BH67" s="146"/>
      <c r="BI67" s="146"/>
      <c r="BJ67" s="146"/>
      <c r="BK67" s="146"/>
      <c r="BL67" s="146"/>
      <c r="BM67" s="146"/>
      <c r="BN67" s="146"/>
      <c r="BO67" s="146"/>
      <c r="BP67" s="146"/>
      <c r="BQ67" s="146"/>
      <c r="BR67" s="146"/>
      <c r="BS67" s="146"/>
      <c r="BT67" s="146"/>
      <c r="BU67" s="146"/>
      <c r="BV67" s="146"/>
      <c r="BW67" s="146"/>
      <c r="BX67" s="146"/>
      <c r="BY67" s="146"/>
      <c r="BZ67" s="146"/>
      <c r="CA67" s="146"/>
      <c r="CB67" s="146"/>
      <c r="CC67" s="146"/>
      <c r="CD67" s="146"/>
      <c r="CE67" s="146"/>
      <c r="CF67" s="146"/>
      <c r="CG67" s="146"/>
      <c r="CH67" s="146"/>
      <c r="CI67" s="146"/>
      <c r="CJ67" s="146"/>
      <c r="CK67" s="146"/>
      <c r="CL67" s="146"/>
      <c r="CM67" s="146"/>
      <c r="CN67" s="146"/>
      <c r="CO67" s="146"/>
      <c r="CP67" s="146"/>
      <c r="CQ67" s="146"/>
      <c r="CR67" s="146"/>
      <c r="CS67" s="146"/>
      <c r="CT67" s="146"/>
      <c r="CU67" s="146"/>
      <c r="CV67" s="146"/>
      <c r="CW67" s="146"/>
      <c r="CX67" s="146"/>
      <c r="CY67" s="146"/>
      <c r="CZ67" s="146"/>
      <c r="DA67" s="146"/>
      <c r="DB67" s="146"/>
      <c r="DC67" s="146"/>
      <c r="DD67" s="146"/>
      <c r="DE67" s="146"/>
      <c r="DF67" s="146"/>
      <c r="DG67" s="146"/>
      <c r="DH67" s="146"/>
      <c r="DI67" s="146"/>
      <c r="DJ67" s="146"/>
      <c r="DK67" s="146"/>
      <c r="DL67" s="146"/>
      <c r="DM67" s="146"/>
      <c r="DN67" s="146"/>
      <c r="DO67" s="146"/>
      <c r="DP67" s="146"/>
      <c r="DQ67" s="146"/>
      <c r="DR67" s="146"/>
      <c r="DS67" s="146"/>
      <c r="DT67" s="146"/>
      <c r="DU67" s="146"/>
      <c r="DV67" s="146"/>
      <c r="DW67" s="146"/>
      <c r="DX67" s="146"/>
      <c r="DY67" s="146"/>
      <c r="DZ67" s="146"/>
      <c r="EA67" s="146"/>
      <c r="EB67" s="146"/>
      <c r="EC67" s="146"/>
      <c r="ED67" s="146"/>
      <c r="EE67" s="146"/>
      <c r="EF67" s="146"/>
      <c r="EG67" s="146"/>
      <c r="EH67" s="146"/>
      <c r="EI67" s="146"/>
      <c r="EJ67" s="146"/>
      <c r="EK67" s="146"/>
      <c r="EL67" s="146"/>
      <c r="EM67" s="146"/>
      <c r="EN67" s="146"/>
      <c r="EO67" s="146"/>
      <c r="EP67" s="146"/>
      <c r="EQ67" s="146"/>
    </row>
    <row r="68">
      <c r="A68" s="171" t="s">
        <v>171</v>
      </c>
      <c r="B68" s="172" t="s">
        <v>413</v>
      </c>
      <c r="C68" s="173" t="s">
        <v>414</v>
      </c>
      <c r="D68" s="172" t="s">
        <v>358</v>
      </c>
      <c r="E68" s="173" t="s">
        <v>415</v>
      </c>
      <c r="F68" s="172" t="s">
        <v>416</v>
      </c>
      <c r="G68" s="172"/>
      <c r="H68" s="174"/>
      <c r="I68" s="174"/>
      <c r="J68" s="174">
        <v>44913.0</v>
      </c>
      <c r="K68" s="183">
        <f t="shared" ref="K68:K70" si="15">EDATE(J68, 24)</f>
        <v>45644</v>
      </c>
      <c r="L68" s="176" t="str">
        <f t="shared" si="2"/>
        <v>Overdue</v>
      </c>
      <c r="M68" s="174"/>
      <c r="N68" s="146"/>
      <c r="O68" s="146"/>
      <c r="P68" s="146"/>
      <c r="Q68" s="146"/>
      <c r="R68" s="146"/>
      <c r="S68" s="146"/>
      <c r="T68" s="146"/>
      <c r="U68" s="146"/>
      <c r="V68" s="146"/>
      <c r="W68" s="146"/>
      <c r="X68" s="146"/>
      <c r="Y68" s="146"/>
      <c r="Z68" s="146"/>
      <c r="AA68" s="146"/>
      <c r="AB68" s="146"/>
      <c r="AC68" s="146"/>
      <c r="AD68" s="146"/>
      <c r="AE68" s="146"/>
      <c r="AF68" s="146"/>
      <c r="AG68" s="146"/>
      <c r="AH68" s="146"/>
      <c r="AI68" s="146"/>
      <c r="AJ68" s="146"/>
      <c r="AK68" s="146"/>
      <c r="AL68" s="146"/>
      <c r="AM68" s="146"/>
      <c r="AN68" s="146"/>
      <c r="AO68" s="146"/>
      <c r="AP68" s="146"/>
      <c r="AQ68" s="146"/>
      <c r="AR68" s="146"/>
      <c r="AS68" s="146"/>
      <c r="AT68" s="146"/>
      <c r="AU68" s="146"/>
      <c r="AV68" s="146"/>
      <c r="AW68" s="146"/>
      <c r="AX68" s="146"/>
      <c r="AY68" s="146"/>
      <c r="AZ68" s="146"/>
      <c r="BA68" s="146"/>
      <c r="BB68" s="146"/>
      <c r="BC68" s="146"/>
      <c r="BD68" s="146"/>
      <c r="BE68" s="146"/>
      <c r="BF68" s="146"/>
      <c r="BG68" s="146"/>
      <c r="BH68" s="146"/>
      <c r="BI68" s="146"/>
      <c r="BJ68" s="146"/>
      <c r="BK68" s="146"/>
      <c r="BL68" s="146"/>
      <c r="BM68" s="146"/>
      <c r="BN68" s="146"/>
      <c r="BO68" s="146"/>
      <c r="BP68" s="146"/>
      <c r="BQ68" s="146"/>
      <c r="BR68" s="146"/>
      <c r="BS68" s="146"/>
      <c r="BT68" s="146"/>
      <c r="BU68" s="146"/>
      <c r="BV68" s="146"/>
      <c r="BW68" s="146"/>
      <c r="BX68" s="146"/>
      <c r="BY68" s="146"/>
      <c r="BZ68" s="146"/>
      <c r="CA68" s="146"/>
      <c r="CB68" s="146"/>
      <c r="CC68" s="146"/>
      <c r="CD68" s="146"/>
      <c r="CE68" s="146"/>
      <c r="CF68" s="146"/>
      <c r="CG68" s="146"/>
      <c r="CH68" s="146"/>
      <c r="CI68" s="146"/>
      <c r="CJ68" s="146"/>
      <c r="CK68" s="146"/>
      <c r="CL68" s="146"/>
      <c r="CM68" s="146"/>
      <c r="CN68" s="146"/>
      <c r="CO68" s="146"/>
      <c r="CP68" s="146"/>
      <c r="CQ68" s="146"/>
      <c r="CR68" s="146"/>
      <c r="CS68" s="146"/>
      <c r="CT68" s="146"/>
      <c r="CU68" s="146"/>
      <c r="CV68" s="146"/>
      <c r="CW68" s="146"/>
      <c r="CX68" s="146"/>
      <c r="CY68" s="146"/>
      <c r="CZ68" s="146"/>
      <c r="DA68" s="146"/>
      <c r="DB68" s="146"/>
      <c r="DC68" s="146"/>
      <c r="DD68" s="146"/>
      <c r="DE68" s="146"/>
      <c r="DF68" s="146"/>
      <c r="DG68" s="146"/>
      <c r="DH68" s="146"/>
      <c r="DI68" s="146"/>
      <c r="DJ68" s="146"/>
      <c r="DK68" s="146"/>
      <c r="DL68" s="146"/>
      <c r="DM68" s="146"/>
      <c r="DN68" s="146"/>
      <c r="DO68" s="146"/>
      <c r="DP68" s="146"/>
      <c r="DQ68" s="146"/>
      <c r="DR68" s="146"/>
      <c r="DS68" s="146"/>
      <c r="DT68" s="146"/>
      <c r="DU68" s="146"/>
      <c r="DV68" s="146"/>
      <c r="DW68" s="146"/>
      <c r="DX68" s="146"/>
      <c r="DY68" s="146"/>
      <c r="DZ68" s="146"/>
      <c r="EA68" s="146"/>
      <c r="EB68" s="146"/>
      <c r="EC68" s="146"/>
      <c r="ED68" s="146"/>
      <c r="EE68" s="146"/>
      <c r="EF68" s="146"/>
      <c r="EG68" s="146"/>
      <c r="EH68" s="146"/>
      <c r="EI68" s="146"/>
      <c r="EJ68" s="146"/>
      <c r="EK68" s="146"/>
      <c r="EL68" s="146"/>
      <c r="EM68" s="146"/>
      <c r="EN68" s="146"/>
      <c r="EO68" s="146"/>
      <c r="EP68" s="146"/>
      <c r="EQ68" s="146"/>
    </row>
    <row r="69">
      <c r="A69" s="184" t="s">
        <v>172</v>
      </c>
      <c r="B69" s="178" t="s">
        <v>417</v>
      </c>
      <c r="C69" s="179" t="s">
        <v>418</v>
      </c>
      <c r="D69" s="178" t="s">
        <v>358</v>
      </c>
      <c r="E69" s="179" t="s">
        <v>329</v>
      </c>
      <c r="F69" s="178" t="s">
        <v>330</v>
      </c>
      <c r="G69" s="178"/>
      <c r="H69" s="180"/>
      <c r="I69" s="180"/>
      <c r="J69" s="180">
        <v>46057.0</v>
      </c>
      <c r="K69" s="183">
        <f t="shared" si="15"/>
        <v>46787</v>
      </c>
      <c r="L69" s="176" t="str">
        <f t="shared" si="2"/>
        <v>Ok</v>
      </c>
      <c r="M69" s="180"/>
      <c r="N69" s="146"/>
      <c r="O69" s="146"/>
      <c r="P69" s="146"/>
      <c r="Q69" s="146"/>
      <c r="R69" s="146"/>
      <c r="S69" s="146"/>
      <c r="T69" s="146"/>
      <c r="U69" s="146"/>
      <c r="V69" s="146"/>
      <c r="W69" s="146"/>
      <c r="X69" s="146"/>
      <c r="Y69" s="146"/>
      <c r="Z69" s="146"/>
      <c r="AA69" s="146"/>
      <c r="AB69" s="146"/>
      <c r="AC69" s="146"/>
      <c r="AD69" s="146"/>
      <c r="AE69" s="146"/>
      <c r="AF69" s="146"/>
      <c r="AG69" s="146"/>
      <c r="AH69" s="146"/>
      <c r="AI69" s="146"/>
      <c r="AJ69" s="146"/>
      <c r="AK69" s="146"/>
      <c r="AL69" s="146"/>
      <c r="AM69" s="146"/>
      <c r="AN69" s="146"/>
      <c r="AO69" s="146"/>
      <c r="AP69" s="146"/>
      <c r="AQ69" s="146"/>
      <c r="AR69" s="146"/>
      <c r="AS69" s="146"/>
      <c r="AT69" s="146"/>
      <c r="AU69" s="146"/>
      <c r="AV69" s="146"/>
      <c r="AW69" s="146"/>
      <c r="AX69" s="146"/>
      <c r="AY69" s="146"/>
      <c r="AZ69" s="146"/>
      <c r="BA69" s="146"/>
      <c r="BB69" s="146"/>
      <c r="BC69" s="146"/>
      <c r="BD69" s="146"/>
      <c r="BE69" s="146"/>
      <c r="BF69" s="146"/>
      <c r="BG69" s="146"/>
      <c r="BH69" s="146"/>
      <c r="BI69" s="146"/>
      <c r="BJ69" s="146"/>
      <c r="BK69" s="146"/>
      <c r="BL69" s="146"/>
      <c r="BM69" s="146"/>
      <c r="BN69" s="146"/>
      <c r="BO69" s="146"/>
      <c r="BP69" s="146"/>
      <c r="BQ69" s="146"/>
      <c r="BR69" s="146"/>
      <c r="BS69" s="146"/>
      <c r="BT69" s="146"/>
      <c r="BU69" s="146"/>
      <c r="BV69" s="146"/>
      <c r="BW69" s="146"/>
      <c r="BX69" s="146"/>
      <c r="BY69" s="146"/>
      <c r="BZ69" s="146"/>
      <c r="CA69" s="146"/>
      <c r="CB69" s="146"/>
      <c r="CC69" s="146"/>
      <c r="CD69" s="146"/>
      <c r="CE69" s="146"/>
      <c r="CF69" s="146"/>
      <c r="CG69" s="146"/>
      <c r="CH69" s="146"/>
      <c r="CI69" s="146"/>
      <c r="CJ69" s="146"/>
      <c r="CK69" s="146"/>
      <c r="CL69" s="146"/>
      <c r="CM69" s="146"/>
      <c r="CN69" s="146"/>
      <c r="CO69" s="146"/>
      <c r="CP69" s="146"/>
      <c r="CQ69" s="146"/>
      <c r="CR69" s="146"/>
      <c r="CS69" s="146"/>
      <c r="CT69" s="146"/>
      <c r="CU69" s="146"/>
      <c r="CV69" s="146"/>
      <c r="CW69" s="146"/>
      <c r="CX69" s="146"/>
      <c r="CY69" s="146"/>
      <c r="CZ69" s="146"/>
      <c r="DA69" s="146"/>
      <c r="DB69" s="146"/>
      <c r="DC69" s="146"/>
      <c r="DD69" s="146"/>
      <c r="DE69" s="146"/>
      <c r="DF69" s="146"/>
      <c r="DG69" s="146"/>
      <c r="DH69" s="146"/>
      <c r="DI69" s="146"/>
      <c r="DJ69" s="146"/>
      <c r="DK69" s="146"/>
      <c r="DL69" s="146"/>
      <c r="DM69" s="146"/>
      <c r="DN69" s="146"/>
      <c r="DO69" s="146"/>
      <c r="DP69" s="146"/>
      <c r="DQ69" s="146"/>
      <c r="DR69" s="146"/>
      <c r="DS69" s="146"/>
      <c r="DT69" s="146"/>
      <c r="DU69" s="146"/>
      <c r="DV69" s="146"/>
      <c r="DW69" s="146"/>
      <c r="DX69" s="146"/>
      <c r="DY69" s="146"/>
      <c r="DZ69" s="146"/>
      <c r="EA69" s="146"/>
      <c r="EB69" s="146"/>
      <c r="EC69" s="146"/>
      <c r="ED69" s="146"/>
      <c r="EE69" s="146"/>
      <c r="EF69" s="146"/>
      <c r="EG69" s="146"/>
      <c r="EH69" s="146"/>
      <c r="EI69" s="146"/>
      <c r="EJ69" s="146"/>
      <c r="EK69" s="146"/>
      <c r="EL69" s="146"/>
      <c r="EM69" s="146"/>
      <c r="EN69" s="146"/>
      <c r="EO69" s="146"/>
      <c r="EP69" s="146"/>
      <c r="EQ69" s="146"/>
    </row>
    <row r="70">
      <c r="A70" s="185" t="s">
        <v>173</v>
      </c>
      <c r="B70" s="172" t="s">
        <v>419</v>
      </c>
      <c r="C70" s="173" t="s">
        <v>420</v>
      </c>
      <c r="D70" s="172" t="s">
        <v>358</v>
      </c>
      <c r="E70" s="173" t="s">
        <v>329</v>
      </c>
      <c r="F70" s="172" t="s">
        <v>330</v>
      </c>
      <c r="G70" s="172"/>
      <c r="H70" s="174"/>
      <c r="I70" s="174"/>
      <c r="J70" s="174">
        <v>46057.0</v>
      </c>
      <c r="K70" s="183">
        <f t="shared" si="15"/>
        <v>46787</v>
      </c>
      <c r="L70" s="176" t="str">
        <f t="shared" si="2"/>
        <v>Ok</v>
      </c>
      <c r="M70" s="174"/>
      <c r="N70" s="146"/>
      <c r="O70" s="146"/>
      <c r="P70" s="146"/>
      <c r="Q70" s="146"/>
      <c r="R70" s="146"/>
      <c r="S70" s="146"/>
      <c r="T70" s="146"/>
      <c r="U70" s="146"/>
      <c r="V70" s="146"/>
      <c r="W70" s="146"/>
      <c r="X70" s="146"/>
      <c r="Y70" s="146"/>
      <c r="Z70" s="146"/>
      <c r="AA70" s="146"/>
      <c r="AB70" s="146"/>
      <c r="AC70" s="146"/>
      <c r="AD70" s="146"/>
      <c r="AE70" s="146"/>
      <c r="AF70" s="146"/>
      <c r="AG70" s="146"/>
      <c r="AH70" s="146"/>
      <c r="AI70" s="146"/>
      <c r="AJ70" s="146"/>
      <c r="AK70" s="146"/>
      <c r="AL70" s="146"/>
      <c r="AM70" s="146"/>
      <c r="AN70" s="146"/>
      <c r="AO70" s="146"/>
      <c r="AP70" s="146"/>
      <c r="AQ70" s="146"/>
      <c r="AR70" s="146"/>
      <c r="AS70" s="146"/>
      <c r="AT70" s="146"/>
      <c r="AU70" s="146"/>
      <c r="AV70" s="146"/>
      <c r="AW70" s="146"/>
      <c r="AX70" s="146"/>
      <c r="AY70" s="146"/>
      <c r="AZ70" s="146"/>
      <c r="BA70" s="146"/>
      <c r="BB70" s="146"/>
      <c r="BC70" s="146"/>
      <c r="BD70" s="146"/>
      <c r="BE70" s="146"/>
      <c r="BF70" s="146"/>
      <c r="BG70" s="146"/>
      <c r="BH70" s="146"/>
      <c r="BI70" s="146"/>
      <c r="BJ70" s="146"/>
      <c r="BK70" s="146"/>
      <c r="BL70" s="146"/>
      <c r="BM70" s="146"/>
      <c r="BN70" s="146"/>
      <c r="BO70" s="146"/>
      <c r="BP70" s="146"/>
      <c r="BQ70" s="146"/>
      <c r="BR70" s="146"/>
      <c r="BS70" s="146"/>
      <c r="BT70" s="146"/>
      <c r="BU70" s="146"/>
      <c r="BV70" s="146"/>
      <c r="BW70" s="146"/>
      <c r="BX70" s="146"/>
      <c r="BY70" s="146"/>
      <c r="BZ70" s="146"/>
      <c r="CA70" s="146"/>
      <c r="CB70" s="146"/>
      <c r="CC70" s="146"/>
      <c r="CD70" s="146"/>
      <c r="CE70" s="146"/>
      <c r="CF70" s="146"/>
      <c r="CG70" s="146"/>
      <c r="CH70" s="146"/>
      <c r="CI70" s="146"/>
      <c r="CJ70" s="146"/>
      <c r="CK70" s="146"/>
      <c r="CL70" s="146"/>
      <c r="CM70" s="146"/>
      <c r="CN70" s="146"/>
      <c r="CO70" s="146"/>
      <c r="CP70" s="146"/>
      <c r="CQ70" s="146"/>
      <c r="CR70" s="146"/>
      <c r="CS70" s="146"/>
      <c r="CT70" s="146"/>
      <c r="CU70" s="146"/>
      <c r="CV70" s="146"/>
      <c r="CW70" s="146"/>
      <c r="CX70" s="146"/>
      <c r="CY70" s="146"/>
      <c r="CZ70" s="146"/>
      <c r="DA70" s="146"/>
      <c r="DB70" s="146"/>
      <c r="DC70" s="146"/>
      <c r="DD70" s="146"/>
      <c r="DE70" s="146"/>
      <c r="DF70" s="146"/>
      <c r="DG70" s="146"/>
      <c r="DH70" s="146"/>
      <c r="DI70" s="146"/>
      <c r="DJ70" s="146"/>
      <c r="DK70" s="146"/>
      <c r="DL70" s="146"/>
      <c r="DM70" s="146"/>
      <c r="DN70" s="146"/>
      <c r="DO70" s="146"/>
      <c r="DP70" s="146"/>
      <c r="DQ70" s="146"/>
      <c r="DR70" s="146"/>
      <c r="DS70" s="146"/>
      <c r="DT70" s="146"/>
      <c r="DU70" s="146"/>
      <c r="DV70" s="146"/>
      <c r="DW70" s="146"/>
      <c r="DX70" s="146"/>
      <c r="DY70" s="146"/>
      <c r="DZ70" s="146"/>
      <c r="EA70" s="146"/>
      <c r="EB70" s="146"/>
      <c r="EC70" s="146"/>
      <c r="ED70" s="146"/>
      <c r="EE70" s="146"/>
      <c r="EF70" s="146"/>
      <c r="EG70" s="146"/>
      <c r="EH70" s="146"/>
      <c r="EI70" s="146"/>
      <c r="EJ70" s="146"/>
      <c r="EK70" s="146"/>
      <c r="EL70" s="146"/>
      <c r="EM70" s="146"/>
      <c r="EN70" s="146"/>
      <c r="EO70" s="146"/>
      <c r="EP70" s="146"/>
      <c r="EQ70" s="146"/>
    </row>
    <row r="71">
      <c r="A71" s="177" t="s">
        <v>174</v>
      </c>
      <c r="B71" s="178" t="s">
        <v>421</v>
      </c>
      <c r="C71" s="179" t="s">
        <v>422</v>
      </c>
      <c r="D71" s="178" t="s">
        <v>328</v>
      </c>
      <c r="E71" s="179" t="s">
        <v>344</v>
      </c>
      <c r="F71" s="178" t="s">
        <v>330</v>
      </c>
      <c r="G71" s="178">
        <v>200.0</v>
      </c>
      <c r="H71" s="180"/>
      <c r="I71" s="180"/>
      <c r="J71" s="180">
        <v>43891.0</v>
      </c>
      <c r="K71" s="175">
        <f t="shared" ref="K71:K106" si="16">EDATE(J71, 36)</f>
        <v>44986</v>
      </c>
      <c r="L71" s="176" t="str">
        <f t="shared" si="2"/>
        <v>Overdue</v>
      </c>
      <c r="M71" s="180"/>
      <c r="N71" s="146"/>
      <c r="O71" s="146"/>
      <c r="P71" s="146"/>
      <c r="Q71" s="146"/>
      <c r="R71" s="146"/>
      <c r="S71" s="146"/>
      <c r="T71" s="146"/>
      <c r="U71" s="146"/>
      <c r="V71" s="146"/>
      <c r="W71" s="146"/>
      <c r="X71" s="146"/>
      <c r="Y71" s="146"/>
      <c r="Z71" s="146"/>
      <c r="AA71" s="146"/>
      <c r="AB71" s="146"/>
      <c r="AC71" s="146"/>
      <c r="AD71" s="146"/>
      <c r="AE71" s="146"/>
      <c r="AF71" s="146"/>
      <c r="AG71" s="146"/>
      <c r="AH71" s="146"/>
      <c r="AI71" s="146"/>
      <c r="AJ71" s="146"/>
      <c r="AK71" s="146"/>
      <c r="AL71" s="146"/>
      <c r="AM71" s="146"/>
      <c r="AN71" s="146"/>
      <c r="AO71" s="146"/>
      <c r="AP71" s="146"/>
      <c r="AQ71" s="146"/>
      <c r="AR71" s="146"/>
      <c r="AS71" s="146"/>
      <c r="AT71" s="146"/>
      <c r="AU71" s="146"/>
      <c r="AV71" s="146"/>
      <c r="AW71" s="146"/>
      <c r="AX71" s="146"/>
      <c r="AY71" s="146"/>
      <c r="AZ71" s="146"/>
      <c r="BA71" s="146"/>
      <c r="BB71" s="146"/>
      <c r="BC71" s="146"/>
      <c r="BD71" s="146"/>
      <c r="BE71" s="146"/>
      <c r="BF71" s="146"/>
      <c r="BG71" s="146"/>
      <c r="BH71" s="146"/>
      <c r="BI71" s="146"/>
      <c r="BJ71" s="146"/>
      <c r="BK71" s="146"/>
      <c r="BL71" s="146"/>
      <c r="BM71" s="146"/>
      <c r="BN71" s="146"/>
      <c r="BO71" s="146"/>
      <c r="BP71" s="146"/>
      <c r="BQ71" s="146"/>
      <c r="BR71" s="146"/>
      <c r="BS71" s="146"/>
      <c r="BT71" s="146"/>
      <c r="BU71" s="146"/>
      <c r="BV71" s="146"/>
      <c r="BW71" s="146"/>
      <c r="BX71" s="146"/>
      <c r="BY71" s="146"/>
      <c r="BZ71" s="146"/>
      <c r="CA71" s="146"/>
      <c r="CB71" s="146"/>
      <c r="CC71" s="146"/>
      <c r="CD71" s="146"/>
      <c r="CE71" s="146"/>
      <c r="CF71" s="146"/>
      <c r="CG71" s="146"/>
      <c r="CH71" s="146"/>
      <c r="CI71" s="146"/>
      <c r="CJ71" s="146"/>
      <c r="CK71" s="146"/>
      <c r="CL71" s="146"/>
      <c r="CM71" s="146"/>
      <c r="CN71" s="146"/>
      <c r="CO71" s="146"/>
      <c r="CP71" s="146"/>
      <c r="CQ71" s="146"/>
      <c r="CR71" s="146"/>
      <c r="CS71" s="146"/>
      <c r="CT71" s="146"/>
      <c r="CU71" s="146"/>
      <c r="CV71" s="146"/>
      <c r="CW71" s="146"/>
      <c r="CX71" s="146"/>
      <c r="CY71" s="146"/>
      <c r="CZ71" s="146"/>
      <c r="DA71" s="146"/>
      <c r="DB71" s="146"/>
      <c r="DC71" s="146"/>
      <c r="DD71" s="146"/>
      <c r="DE71" s="146"/>
      <c r="DF71" s="146"/>
      <c r="DG71" s="146"/>
      <c r="DH71" s="146"/>
      <c r="DI71" s="146"/>
      <c r="DJ71" s="146"/>
      <c r="DK71" s="146"/>
      <c r="DL71" s="146"/>
      <c r="DM71" s="146"/>
      <c r="DN71" s="146"/>
      <c r="DO71" s="146"/>
      <c r="DP71" s="146"/>
      <c r="DQ71" s="146"/>
      <c r="DR71" s="146"/>
      <c r="DS71" s="146"/>
      <c r="DT71" s="146"/>
      <c r="DU71" s="146"/>
      <c r="DV71" s="146"/>
      <c r="DW71" s="146"/>
      <c r="DX71" s="146"/>
      <c r="DY71" s="146"/>
      <c r="DZ71" s="146"/>
      <c r="EA71" s="146"/>
      <c r="EB71" s="146"/>
      <c r="EC71" s="146"/>
      <c r="ED71" s="146"/>
      <c r="EE71" s="146"/>
      <c r="EF71" s="146"/>
      <c r="EG71" s="146"/>
      <c r="EH71" s="146"/>
      <c r="EI71" s="146"/>
      <c r="EJ71" s="146"/>
      <c r="EK71" s="146"/>
      <c r="EL71" s="146"/>
      <c r="EM71" s="146"/>
      <c r="EN71" s="146"/>
      <c r="EO71" s="146"/>
      <c r="EP71" s="146"/>
      <c r="EQ71" s="146"/>
    </row>
    <row r="72">
      <c r="A72" s="185" t="s">
        <v>175</v>
      </c>
      <c r="B72" s="172" t="s">
        <v>421</v>
      </c>
      <c r="C72" s="173" t="s">
        <v>423</v>
      </c>
      <c r="D72" s="172" t="s">
        <v>328</v>
      </c>
      <c r="E72" s="173" t="s">
        <v>377</v>
      </c>
      <c r="F72" s="172" t="s">
        <v>330</v>
      </c>
      <c r="G72" s="172">
        <v>55.0</v>
      </c>
      <c r="H72" s="174">
        <v>43891.0</v>
      </c>
      <c r="I72" s="174">
        <v>44809.0</v>
      </c>
      <c r="J72" s="174">
        <v>45280.0</v>
      </c>
      <c r="K72" s="175">
        <f t="shared" si="16"/>
        <v>46376</v>
      </c>
      <c r="L72" s="176" t="str">
        <f t="shared" si="2"/>
        <v>Ok</v>
      </c>
      <c r="M72" s="174"/>
      <c r="N72" s="146"/>
      <c r="O72" s="146"/>
      <c r="P72" s="146"/>
      <c r="Q72" s="146"/>
      <c r="R72" s="146"/>
      <c r="S72" s="146"/>
      <c r="T72" s="146"/>
      <c r="U72" s="146"/>
      <c r="V72" s="146"/>
      <c r="W72" s="146"/>
      <c r="X72" s="146"/>
      <c r="Y72" s="146"/>
      <c r="Z72" s="146"/>
      <c r="AA72" s="146"/>
      <c r="AB72" s="146"/>
      <c r="AC72" s="146"/>
      <c r="AD72" s="146"/>
      <c r="AE72" s="146"/>
      <c r="AF72" s="146"/>
      <c r="AG72" s="146"/>
      <c r="AH72" s="146"/>
      <c r="AI72" s="146"/>
      <c r="AJ72" s="146"/>
      <c r="AK72" s="146"/>
      <c r="AL72" s="146"/>
      <c r="AM72" s="146"/>
      <c r="AN72" s="146"/>
      <c r="AO72" s="146"/>
      <c r="AP72" s="146"/>
      <c r="AQ72" s="146"/>
      <c r="AR72" s="146"/>
      <c r="AS72" s="146"/>
      <c r="AT72" s="146"/>
      <c r="AU72" s="146"/>
      <c r="AV72" s="146"/>
      <c r="AW72" s="146"/>
      <c r="AX72" s="146"/>
      <c r="AY72" s="146"/>
      <c r="AZ72" s="146"/>
      <c r="BA72" s="146"/>
      <c r="BB72" s="146"/>
      <c r="BC72" s="146"/>
      <c r="BD72" s="146"/>
      <c r="BE72" s="146"/>
      <c r="BF72" s="146"/>
      <c r="BG72" s="146"/>
      <c r="BH72" s="146"/>
      <c r="BI72" s="146"/>
      <c r="BJ72" s="146"/>
      <c r="BK72" s="146"/>
      <c r="BL72" s="146"/>
      <c r="BM72" s="146"/>
      <c r="BN72" s="146"/>
      <c r="BO72" s="146"/>
      <c r="BP72" s="146"/>
      <c r="BQ72" s="146"/>
      <c r="BR72" s="146"/>
      <c r="BS72" s="146"/>
      <c r="BT72" s="146"/>
      <c r="BU72" s="146"/>
      <c r="BV72" s="146"/>
      <c r="BW72" s="146"/>
      <c r="BX72" s="146"/>
      <c r="BY72" s="146"/>
      <c r="BZ72" s="146"/>
      <c r="CA72" s="146"/>
      <c r="CB72" s="146"/>
      <c r="CC72" s="146"/>
      <c r="CD72" s="146"/>
      <c r="CE72" s="146"/>
      <c r="CF72" s="146"/>
      <c r="CG72" s="146"/>
      <c r="CH72" s="146"/>
      <c r="CI72" s="146"/>
      <c r="CJ72" s="146"/>
      <c r="CK72" s="146"/>
      <c r="CL72" s="146"/>
      <c r="CM72" s="146"/>
      <c r="CN72" s="146"/>
      <c r="CO72" s="146"/>
      <c r="CP72" s="146"/>
      <c r="CQ72" s="146"/>
      <c r="CR72" s="146"/>
      <c r="CS72" s="146"/>
      <c r="CT72" s="146"/>
      <c r="CU72" s="146"/>
      <c r="CV72" s="146"/>
      <c r="CW72" s="146"/>
      <c r="CX72" s="146"/>
      <c r="CY72" s="146"/>
      <c r="CZ72" s="146"/>
      <c r="DA72" s="146"/>
      <c r="DB72" s="146"/>
      <c r="DC72" s="146"/>
      <c r="DD72" s="146"/>
      <c r="DE72" s="146"/>
      <c r="DF72" s="146"/>
      <c r="DG72" s="146"/>
      <c r="DH72" s="146"/>
      <c r="DI72" s="146"/>
      <c r="DJ72" s="146"/>
      <c r="DK72" s="146"/>
      <c r="DL72" s="146"/>
      <c r="DM72" s="146"/>
      <c r="DN72" s="146"/>
      <c r="DO72" s="146"/>
      <c r="DP72" s="146"/>
      <c r="DQ72" s="146"/>
      <c r="DR72" s="146"/>
      <c r="DS72" s="146"/>
      <c r="DT72" s="146"/>
      <c r="DU72" s="146"/>
      <c r="DV72" s="146"/>
      <c r="DW72" s="146"/>
      <c r="DX72" s="146"/>
      <c r="DY72" s="146"/>
      <c r="DZ72" s="146"/>
      <c r="EA72" s="146"/>
      <c r="EB72" s="146"/>
      <c r="EC72" s="146"/>
      <c r="ED72" s="146"/>
      <c r="EE72" s="146"/>
      <c r="EF72" s="146"/>
      <c r="EG72" s="146"/>
      <c r="EH72" s="146"/>
      <c r="EI72" s="146"/>
      <c r="EJ72" s="146"/>
      <c r="EK72" s="146"/>
      <c r="EL72" s="146"/>
      <c r="EM72" s="146"/>
      <c r="EN72" s="146"/>
      <c r="EO72" s="146"/>
      <c r="EP72" s="146"/>
      <c r="EQ72" s="146"/>
    </row>
    <row r="73">
      <c r="A73" s="184" t="s">
        <v>176</v>
      </c>
      <c r="B73" s="178" t="s">
        <v>424</v>
      </c>
      <c r="C73" s="179" t="s">
        <v>425</v>
      </c>
      <c r="D73" s="178" t="s">
        <v>328</v>
      </c>
      <c r="E73" s="179" t="s">
        <v>426</v>
      </c>
      <c r="F73" s="178" t="s">
        <v>330</v>
      </c>
      <c r="G73" s="178">
        <v>120.0</v>
      </c>
      <c r="H73" s="180">
        <v>45015.0</v>
      </c>
      <c r="I73" s="180">
        <v>45332.0</v>
      </c>
      <c r="J73" s="180">
        <v>46055.0</v>
      </c>
      <c r="K73" s="175">
        <f t="shared" si="16"/>
        <v>47151</v>
      </c>
      <c r="L73" s="176" t="str">
        <f t="shared" si="2"/>
        <v>Ok</v>
      </c>
      <c r="M73" s="180"/>
      <c r="N73" s="146"/>
      <c r="O73" s="146"/>
      <c r="P73" s="146"/>
      <c r="Q73" s="146"/>
      <c r="R73" s="146"/>
      <c r="S73" s="146"/>
      <c r="T73" s="146"/>
      <c r="U73" s="146"/>
      <c r="V73" s="146"/>
      <c r="W73" s="146"/>
      <c r="X73" s="146"/>
      <c r="Y73" s="146"/>
      <c r="Z73" s="146"/>
      <c r="AA73" s="146"/>
      <c r="AB73" s="146"/>
      <c r="AC73" s="146"/>
      <c r="AD73" s="146"/>
      <c r="AE73" s="146"/>
      <c r="AF73" s="146"/>
      <c r="AG73" s="146"/>
      <c r="AH73" s="146"/>
      <c r="AI73" s="146"/>
      <c r="AJ73" s="146"/>
      <c r="AK73" s="146"/>
      <c r="AL73" s="146"/>
      <c r="AM73" s="146"/>
      <c r="AN73" s="146"/>
      <c r="AO73" s="146"/>
      <c r="AP73" s="146"/>
      <c r="AQ73" s="146"/>
      <c r="AR73" s="146"/>
      <c r="AS73" s="146"/>
      <c r="AT73" s="146"/>
      <c r="AU73" s="146"/>
      <c r="AV73" s="146"/>
      <c r="AW73" s="146"/>
      <c r="AX73" s="146"/>
      <c r="AY73" s="146"/>
      <c r="AZ73" s="146"/>
      <c r="BA73" s="146"/>
      <c r="BB73" s="146"/>
      <c r="BC73" s="146"/>
      <c r="BD73" s="146"/>
      <c r="BE73" s="146"/>
      <c r="BF73" s="146"/>
      <c r="BG73" s="146"/>
      <c r="BH73" s="146"/>
      <c r="BI73" s="146"/>
      <c r="BJ73" s="146"/>
      <c r="BK73" s="146"/>
      <c r="BL73" s="146"/>
      <c r="BM73" s="146"/>
      <c r="BN73" s="146"/>
      <c r="BO73" s="146"/>
      <c r="BP73" s="146"/>
      <c r="BQ73" s="146"/>
      <c r="BR73" s="146"/>
      <c r="BS73" s="146"/>
      <c r="BT73" s="146"/>
      <c r="BU73" s="146"/>
      <c r="BV73" s="146"/>
      <c r="BW73" s="146"/>
      <c r="BX73" s="146"/>
      <c r="BY73" s="146"/>
      <c r="BZ73" s="146"/>
      <c r="CA73" s="146"/>
      <c r="CB73" s="146"/>
      <c r="CC73" s="146"/>
      <c r="CD73" s="146"/>
      <c r="CE73" s="146"/>
      <c r="CF73" s="146"/>
      <c r="CG73" s="146"/>
      <c r="CH73" s="146"/>
      <c r="CI73" s="146"/>
      <c r="CJ73" s="146"/>
      <c r="CK73" s="146"/>
      <c r="CL73" s="146"/>
      <c r="CM73" s="146"/>
      <c r="CN73" s="146"/>
      <c r="CO73" s="146"/>
      <c r="CP73" s="146"/>
      <c r="CQ73" s="146"/>
      <c r="CR73" s="146"/>
      <c r="CS73" s="146"/>
      <c r="CT73" s="146"/>
      <c r="CU73" s="146"/>
      <c r="CV73" s="146"/>
      <c r="CW73" s="146"/>
      <c r="CX73" s="146"/>
      <c r="CY73" s="146"/>
      <c r="CZ73" s="146"/>
      <c r="DA73" s="146"/>
      <c r="DB73" s="146"/>
      <c r="DC73" s="146"/>
      <c r="DD73" s="146"/>
      <c r="DE73" s="146"/>
      <c r="DF73" s="146"/>
      <c r="DG73" s="146"/>
      <c r="DH73" s="146"/>
      <c r="DI73" s="146"/>
      <c r="DJ73" s="146"/>
      <c r="DK73" s="146"/>
      <c r="DL73" s="146"/>
      <c r="DM73" s="146"/>
      <c r="DN73" s="146"/>
      <c r="DO73" s="146"/>
      <c r="DP73" s="146"/>
      <c r="DQ73" s="146"/>
      <c r="DR73" s="146"/>
      <c r="DS73" s="146"/>
      <c r="DT73" s="146"/>
      <c r="DU73" s="146"/>
      <c r="DV73" s="146"/>
      <c r="DW73" s="146"/>
      <c r="DX73" s="146"/>
      <c r="DY73" s="146"/>
      <c r="DZ73" s="146"/>
      <c r="EA73" s="146"/>
      <c r="EB73" s="146"/>
      <c r="EC73" s="146"/>
      <c r="ED73" s="146"/>
      <c r="EE73" s="146"/>
      <c r="EF73" s="146"/>
      <c r="EG73" s="146"/>
      <c r="EH73" s="146"/>
      <c r="EI73" s="146"/>
      <c r="EJ73" s="146"/>
      <c r="EK73" s="146"/>
      <c r="EL73" s="146"/>
      <c r="EM73" s="146"/>
      <c r="EN73" s="146"/>
      <c r="EO73" s="146"/>
      <c r="EP73" s="146"/>
      <c r="EQ73" s="146"/>
    </row>
    <row r="74">
      <c r="A74" s="185" t="s">
        <v>178</v>
      </c>
      <c r="B74" s="172"/>
      <c r="C74" s="173" t="s">
        <v>425</v>
      </c>
      <c r="D74" s="178" t="s">
        <v>328</v>
      </c>
      <c r="E74" s="179" t="s">
        <v>426</v>
      </c>
      <c r="F74" s="178" t="s">
        <v>330</v>
      </c>
      <c r="G74" s="178">
        <v>120.0</v>
      </c>
      <c r="H74" s="180">
        <v>45015.0</v>
      </c>
      <c r="I74" s="180">
        <v>45332.0</v>
      </c>
      <c r="J74" s="180">
        <v>46055.0</v>
      </c>
      <c r="K74" s="175">
        <f t="shared" si="16"/>
        <v>47151</v>
      </c>
      <c r="L74" s="176" t="str">
        <f t="shared" si="2"/>
        <v>Ok</v>
      </c>
      <c r="M74" s="174"/>
      <c r="N74" s="146"/>
      <c r="O74" s="146"/>
      <c r="P74" s="146"/>
      <c r="Q74" s="146"/>
      <c r="R74" s="146"/>
      <c r="S74" s="146"/>
      <c r="T74" s="146"/>
      <c r="U74" s="146"/>
      <c r="V74" s="146"/>
      <c r="W74" s="146"/>
      <c r="X74" s="146"/>
      <c r="Y74" s="146"/>
      <c r="Z74" s="146"/>
      <c r="AA74" s="146"/>
      <c r="AB74" s="146"/>
      <c r="AC74" s="146"/>
      <c r="AD74" s="146"/>
      <c r="AE74" s="146"/>
      <c r="AF74" s="146"/>
      <c r="AG74" s="146"/>
      <c r="AH74" s="146"/>
      <c r="AI74" s="146"/>
      <c r="AJ74" s="146"/>
      <c r="AK74" s="146"/>
      <c r="AL74" s="146"/>
      <c r="AM74" s="146"/>
      <c r="AN74" s="146"/>
      <c r="AO74" s="146"/>
      <c r="AP74" s="146"/>
      <c r="AQ74" s="146"/>
      <c r="AR74" s="146"/>
      <c r="AS74" s="146"/>
      <c r="AT74" s="146"/>
      <c r="AU74" s="146"/>
      <c r="AV74" s="146"/>
      <c r="AW74" s="146"/>
      <c r="AX74" s="146"/>
      <c r="AY74" s="146"/>
      <c r="AZ74" s="146"/>
      <c r="BA74" s="146"/>
      <c r="BB74" s="146"/>
      <c r="BC74" s="146"/>
      <c r="BD74" s="146"/>
      <c r="BE74" s="146"/>
      <c r="BF74" s="146"/>
      <c r="BG74" s="146"/>
      <c r="BH74" s="146"/>
      <c r="BI74" s="146"/>
      <c r="BJ74" s="146"/>
      <c r="BK74" s="146"/>
      <c r="BL74" s="146"/>
      <c r="BM74" s="146"/>
      <c r="BN74" s="146"/>
      <c r="BO74" s="146"/>
      <c r="BP74" s="146"/>
      <c r="BQ74" s="146"/>
      <c r="BR74" s="146"/>
      <c r="BS74" s="146"/>
      <c r="BT74" s="146"/>
      <c r="BU74" s="146"/>
      <c r="BV74" s="146"/>
      <c r="BW74" s="146"/>
      <c r="BX74" s="146"/>
      <c r="BY74" s="146"/>
      <c r="BZ74" s="146"/>
      <c r="CA74" s="146"/>
      <c r="CB74" s="146"/>
      <c r="CC74" s="146"/>
      <c r="CD74" s="146"/>
      <c r="CE74" s="146"/>
      <c r="CF74" s="146"/>
      <c r="CG74" s="146"/>
      <c r="CH74" s="146"/>
      <c r="CI74" s="146"/>
      <c r="CJ74" s="146"/>
      <c r="CK74" s="146"/>
      <c r="CL74" s="146"/>
      <c r="CM74" s="146"/>
      <c r="CN74" s="146"/>
      <c r="CO74" s="146"/>
      <c r="CP74" s="146"/>
      <c r="CQ74" s="146"/>
      <c r="CR74" s="146"/>
      <c r="CS74" s="146"/>
      <c r="CT74" s="146"/>
      <c r="CU74" s="146"/>
      <c r="CV74" s="146"/>
      <c r="CW74" s="146"/>
      <c r="CX74" s="146"/>
      <c r="CY74" s="146"/>
      <c r="CZ74" s="146"/>
      <c r="DA74" s="146"/>
      <c r="DB74" s="146"/>
      <c r="DC74" s="146"/>
      <c r="DD74" s="146"/>
      <c r="DE74" s="146"/>
      <c r="DF74" s="146"/>
      <c r="DG74" s="146"/>
      <c r="DH74" s="146"/>
      <c r="DI74" s="146"/>
      <c r="DJ74" s="146"/>
      <c r="DK74" s="146"/>
      <c r="DL74" s="146"/>
      <c r="DM74" s="146"/>
      <c r="DN74" s="146"/>
      <c r="DO74" s="146"/>
      <c r="DP74" s="146"/>
      <c r="DQ74" s="146"/>
      <c r="DR74" s="146"/>
      <c r="DS74" s="146"/>
      <c r="DT74" s="146"/>
      <c r="DU74" s="146"/>
      <c r="DV74" s="146"/>
      <c r="DW74" s="146"/>
      <c r="DX74" s="146"/>
      <c r="DY74" s="146"/>
      <c r="DZ74" s="146"/>
      <c r="EA74" s="146"/>
      <c r="EB74" s="146"/>
      <c r="EC74" s="146"/>
      <c r="ED74" s="146"/>
      <c r="EE74" s="146"/>
      <c r="EF74" s="146"/>
      <c r="EG74" s="146"/>
      <c r="EH74" s="146"/>
      <c r="EI74" s="146"/>
      <c r="EJ74" s="146"/>
      <c r="EK74" s="146"/>
      <c r="EL74" s="146"/>
      <c r="EM74" s="146"/>
      <c r="EN74" s="146"/>
      <c r="EO74" s="146"/>
      <c r="EP74" s="146"/>
      <c r="EQ74" s="146"/>
    </row>
    <row r="75">
      <c r="A75" s="184" t="s">
        <v>179</v>
      </c>
      <c r="B75" s="178"/>
      <c r="C75" s="179" t="s">
        <v>425</v>
      </c>
      <c r="D75" s="178" t="s">
        <v>328</v>
      </c>
      <c r="E75" s="179" t="s">
        <v>426</v>
      </c>
      <c r="F75" s="178" t="s">
        <v>330</v>
      </c>
      <c r="G75" s="178">
        <v>120.0</v>
      </c>
      <c r="H75" s="180">
        <v>45015.0</v>
      </c>
      <c r="I75" s="180">
        <v>45332.0</v>
      </c>
      <c r="J75" s="180">
        <v>46055.0</v>
      </c>
      <c r="K75" s="175">
        <f t="shared" si="16"/>
        <v>47151</v>
      </c>
      <c r="L75" s="176" t="str">
        <f t="shared" si="2"/>
        <v>Ok</v>
      </c>
      <c r="M75" s="180"/>
      <c r="N75" s="146"/>
      <c r="O75" s="146"/>
      <c r="P75" s="146"/>
      <c r="Q75" s="146"/>
      <c r="R75" s="146"/>
      <c r="S75" s="146"/>
      <c r="T75" s="146"/>
      <c r="U75" s="146"/>
      <c r="V75" s="146"/>
      <c r="W75" s="146"/>
      <c r="X75" s="146"/>
      <c r="Y75" s="146"/>
      <c r="Z75" s="146"/>
      <c r="AA75" s="146"/>
      <c r="AB75" s="146"/>
      <c r="AC75" s="146"/>
      <c r="AD75" s="146"/>
      <c r="AE75" s="146"/>
      <c r="AF75" s="146"/>
      <c r="AG75" s="146"/>
      <c r="AH75" s="146"/>
      <c r="AI75" s="146"/>
      <c r="AJ75" s="146"/>
      <c r="AK75" s="146"/>
      <c r="AL75" s="146"/>
      <c r="AM75" s="146"/>
      <c r="AN75" s="146"/>
      <c r="AO75" s="146"/>
      <c r="AP75" s="146"/>
      <c r="AQ75" s="146"/>
      <c r="AR75" s="146"/>
      <c r="AS75" s="146"/>
      <c r="AT75" s="146"/>
      <c r="AU75" s="146"/>
      <c r="AV75" s="146"/>
      <c r="AW75" s="146"/>
      <c r="AX75" s="146"/>
      <c r="AY75" s="146"/>
      <c r="AZ75" s="146"/>
      <c r="BA75" s="146"/>
      <c r="BB75" s="146"/>
      <c r="BC75" s="146"/>
      <c r="BD75" s="146"/>
      <c r="BE75" s="146"/>
      <c r="BF75" s="146"/>
      <c r="BG75" s="146"/>
      <c r="BH75" s="146"/>
      <c r="BI75" s="146"/>
      <c r="BJ75" s="146"/>
      <c r="BK75" s="146"/>
      <c r="BL75" s="146"/>
      <c r="BM75" s="146"/>
      <c r="BN75" s="146"/>
      <c r="BO75" s="146"/>
      <c r="BP75" s="146"/>
      <c r="BQ75" s="146"/>
      <c r="BR75" s="146"/>
      <c r="BS75" s="146"/>
      <c r="BT75" s="146"/>
      <c r="BU75" s="146"/>
      <c r="BV75" s="146"/>
      <c r="BW75" s="146"/>
      <c r="BX75" s="146"/>
      <c r="BY75" s="146"/>
      <c r="BZ75" s="146"/>
      <c r="CA75" s="146"/>
      <c r="CB75" s="146"/>
      <c r="CC75" s="146"/>
      <c r="CD75" s="146"/>
      <c r="CE75" s="146"/>
      <c r="CF75" s="146"/>
      <c r="CG75" s="146"/>
      <c r="CH75" s="146"/>
      <c r="CI75" s="146"/>
      <c r="CJ75" s="146"/>
      <c r="CK75" s="146"/>
      <c r="CL75" s="146"/>
      <c r="CM75" s="146"/>
      <c r="CN75" s="146"/>
      <c r="CO75" s="146"/>
      <c r="CP75" s="146"/>
      <c r="CQ75" s="146"/>
      <c r="CR75" s="146"/>
      <c r="CS75" s="146"/>
      <c r="CT75" s="146"/>
      <c r="CU75" s="146"/>
      <c r="CV75" s="146"/>
      <c r="CW75" s="146"/>
      <c r="CX75" s="146"/>
      <c r="CY75" s="146"/>
      <c r="CZ75" s="146"/>
      <c r="DA75" s="146"/>
      <c r="DB75" s="146"/>
      <c r="DC75" s="146"/>
      <c r="DD75" s="146"/>
      <c r="DE75" s="146"/>
      <c r="DF75" s="146"/>
      <c r="DG75" s="146"/>
      <c r="DH75" s="146"/>
      <c r="DI75" s="146"/>
      <c r="DJ75" s="146"/>
      <c r="DK75" s="146"/>
      <c r="DL75" s="146"/>
      <c r="DM75" s="146"/>
      <c r="DN75" s="146"/>
      <c r="DO75" s="146"/>
      <c r="DP75" s="146"/>
      <c r="DQ75" s="146"/>
      <c r="DR75" s="146"/>
      <c r="DS75" s="146"/>
      <c r="DT75" s="146"/>
      <c r="DU75" s="146"/>
      <c r="DV75" s="146"/>
      <c r="DW75" s="146"/>
      <c r="DX75" s="146"/>
      <c r="DY75" s="146"/>
      <c r="DZ75" s="146"/>
      <c r="EA75" s="146"/>
      <c r="EB75" s="146"/>
      <c r="EC75" s="146"/>
      <c r="ED75" s="146"/>
      <c r="EE75" s="146"/>
      <c r="EF75" s="146"/>
      <c r="EG75" s="146"/>
      <c r="EH75" s="146"/>
      <c r="EI75" s="146"/>
      <c r="EJ75" s="146"/>
      <c r="EK75" s="146"/>
      <c r="EL75" s="146"/>
      <c r="EM75" s="146"/>
      <c r="EN75" s="146"/>
      <c r="EO75" s="146"/>
      <c r="EP75" s="146"/>
      <c r="EQ75" s="146"/>
    </row>
    <row r="76">
      <c r="A76" s="185" t="s">
        <v>180</v>
      </c>
      <c r="B76" s="172"/>
      <c r="C76" s="173" t="s">
        <v>425</v>
      </c>
      <c r="D76" s="178" t="s">
        <v>328</v>
      </c>
      <c r="E76" s="179" t="s">
        <v>426</v>
      </c>
      <c r="F76" s="178" t="s">
        <v>330</v>
      </c>
      <c r="G76" s="178">
        <v>120.0</v>
      </c>
      <c r="H76" s="180">
        <v>45015.0</v>
      </c>
      <c r="I76" s="180">
        <v>45332.0</v>
      </c>
      <c r="J76" s="180">
        <v>46055.0</v>
      </c>
      <c r="K76" s="175">
        <f t="shared" si="16"/>
        <v>47151</v>
      </c>
      <c r="L76" s="176" t="str">
        <f t="shared" si="2"/>
        <v>Ok</v>
      </c>
      <c r="M76" s="174"/>
      <c r="N76" s="146"/>
      <c r="O76" s="146"/>
      <c r="P76" s="146"/>
      <c r="Q76" s="146"/>
      <c r="R76" s="146"/>
      <c r="S76" s="146"/>
      <c r="T76" s="146"/>
      <c r="U76" s="146"/>
      <c r="V76" s="146"/>
      <c r="W76" s="146"/>
      <c r="X76" s="146"/>
      <c r="Y76" s="146"/>
      <c r="Z76" s="146"/>
      <c r="AA76" s="146"/>
      <c r="AB76" s="146"/>
      <c r="AC76" s="146"/>
      <c r="AD76" s="146"/>
      <c r="AE76" s="146"/>
      <c r="AF76" s="146"/>
      <c r="AG76" s="146"/>
      <c r="AH76" s="146"/>
      <c r="AI76" s="146"/>
      <c r="AJ76" s="146"/>
      <c r="AK76" s="146"/>
      <c r="AL76" s="146"/>
      <c r="AM76" s="146"/>
      <c r="AN76" s="146"/>
      <c r="AO76" s="146"/>
      <c r="AP76" s="146"/>
      <c r="AQ76" s="146"/>
      <c r="AR76" s="146"/>
      <c r="AS76" s="146"/>
      <c r="AT76" s="146"/>
      <c r="AU76" s="146"/>
      <c r="AV76" s="146"/>
      <c r="AW76" s="146"/>
      <c r="AX76" s="146"/>
      <c r="AY76" s="146"/>
      <c r="AZ76" s="146"/>
      <c r="BA76" s="146"/>
      <c r="BB76" s="146"/>
      <c r="BC76" s="146"/>
      <c r="BD76" s="146"/>
      <c r="BE76" s="146"/>
      <c r="BF76" s="146"/>
      <c r="BG76" s="146"/>
      <c r="BH76" s="146"/>
      <c r="BI76" s="146"/>
      <c r="BJ76" s="146"/>
      <c r="BK76" s="146"/>
      <c r="BL76" s="146"/>
      <c r="BM76" s="146"/>
      <c r="BN76" s="146"/>
      <c r="BO76" s="146"/>
      <c r="BP76" s="146"/>
      <c r="BQ76" s="146"/>
      <c r="BR76" s="146"/>
      <c r="BS76" s="146"/>
      <c r="BT76" s="146"/>
      <c r="BU76" s="146"/>
      <c r="BV76" s="146"/>
      <c r="BW76" s="146"/>
      <c r="BX76" s="146"/>
      <c r="BY76" s="146"/>
      <c r="BZ76" s="146"/>
      <c r="CA76" s="146"/>
      <c r="CB76" s="146"/>
      <c r="CC76" s="146"/>
      <c r="CD76" s="146"/>
      <c r="CE76" s="146"/>
      <c r="CF76" s="146"/>
      <c r="CG76" s="146"/>
      <c r="CH76" s="146"/>
      <c r="CI76" s="146"/>
      <c r="CJ76" s="146"/>
      <c r="CK76" s="146"/>
      <c r="CL76" s="146"/>
      <c r="CM76" s="146"/>
      <c r="CN76" s="146"/>
      <c r="CO76" s="146"/>
      <c r="CP76" s="146"/>
      <c r="CQ76" s="146"/>
      <c r="CR76" s="146"/>
      <c r="CS76" s="146"/>
      <c r="CT76" s="146"/>
      <c r="CU76" s="146"/>
      <c r="CV76" s="146"/>
      <c r="CW76" s="146"/>
      <c r="CX76" s="146"/>
      <c r="CY76" s="146"/>
      <c r="CZ76" s="146"/>
      <c r="DA76" s="146"/>
      <c r="DB76" s="146"/>
      <c r="DC76" s="146"/>
      <c r="DD76" s="146"/>
      <c r="DE76" s="146"/>
      <c r="DF76" s="146"/>
      <c r="DG76" s="146"/>
      <c r="DH76" s="146"/>
      <c r="DI76" s="146"/>
      <c r="DJ76" s="146"/>
      <c r="DK76" s="146"/>
      <c r="DL76" s="146"/>
      <c r="DM76" s="146"/>
      <c r="DN76" s="146"/>
      <c r="DO76" s="146"/>
      <c r="DP76" s="146"/>
      <c r="DQ76" s="146"/>
      <c r="DR76" s="146"/>
      <c r="DS76" s="146"/>
      <c r="DT76" s="146"/>
      <c r="DU76" s="146"/>
      <c r="DV76" s="146"/>
      <c r="DW76" s="146"/>
      <c r="DX76" s="146"/>
      <c r="DY76" s="146"/>
      <c r="DZ76" s="146"/>
      <c r="EA76" s="146"/>
      <c r="EB76" s="146"/>
      <c r="EC76" s="146"/>
      <c r="ED76" s="146"/>
      <c r="EE76" s="146"/>
      <c r="EF76" s="146"/>
      <c r="EG76" s="146"/>
      <c r="EH76" s="146"/>
      <c r="EI76" s="146"/>
      <c r="EJ76" s="146"/>
      <c r="EK76" s="146"/>
      <c r="EL76" s="146"/>
      <c r="EM76" s="146"/>
      <c r="EN76" s="146"/>
      <c r="EO76" s="146"/>
      <c r="EP76" s="146"/>
      <c r="EQ76" s="146"/>
    </row>
    <row r="77">
      <c r="A77" s="184" t="s">
        <v>181</v>
      </c>
      <c r="B77" s="178" t="s">
        <v>427</v>
      </c>
      <c r="C77" s="179" t="s">
        <v>425</v>
      </c>
      <c r="D77" s="178" t="s">
        <v>328</v>
      </c>
      <c r="E77" s="179" t="s">
        <v>426</v>
      </c>
      <c r="F77" s="178" t="s">
        <v>330</v>
      </c>
      <c r="G77" s="178">
        <v>120.0</v>
      </c>
      <c r="H77" s="180">
        <v>45015.0</v>
      </c>
      <c r="I77" s="180">
        <v>45332.0</v>
      </c>
      <c r="J77" s="180">
        <v>46055.0</v>
      </c>
      <c r="K77" s="175">
        <f t="shared" si="16"/>
        <v>47151</v>
      </c>
      <c r="L77" s="176" t="str">
        <f t="shared" si="2"/>
        <v>Ok</v>
      </c>
      <c r="M77" s="180"/>
      <c r="N77" s="146"/>
      <c r="O77" s="146"/>
      <c r="P77" s="146"/>
      <c r="Q77" s="146"/>
      <c r="R77" s="146"/>
      <c r="S77" s="146"/>
      <c r="T77" s="146"/>
      <c r="U77" s="146"/>
      <c r="V77" s="146"/>
      <c r="W77" s="146"/>
      <c r="X77" s="146"/>
      <c r="Y77" s="146"/>
      <c r="Z77" s="146"/>
      <c r="AA77" s="146"/>
      <c r="AB77" s="146"/>
      <c r="AC77" s="146"/>
      <c r="AD77" s="146"/>
      <c r="AE77" s="146"/>
      <c r="AF77" s="146"/>
      <c r="AG77" s="146"/>
      <c r="AH77" s="146"/>
      <c r="AI77" s="146"/>
      <c r="AJ77" s="146"/>
      <c r="AK77" s="146"/>
      <c r="AL77" s="146"/>
      <c r="AM77" s="146"/>
      <c r="AN77" s="146"/>
      <c r="AO77" s="146"/>
      <c r="AP77" s="146"/>
      <c r="AQ77" s="146"/>
      <c r="AR77" s="146"/>
      <c r="AS77" s="146"/>
      <c r="AT77" s="146"/>
      <c r="AU77" s="146"/>
      <c r="AV77" s="146"/>
      <c r="AW77" s="146"/>
      <c r="AX77" s="146"/>
      <c r="AY77" s="146"/>
      <c r="AZ77" s="146"/>
      <c r="BA77" s="146"/>
      <c r="BB77" s="146"/>
      <c r="BC77" s="146"/>
      <c r="BD77" s="146"/>
      <c r="BE77" s="146"/>
      <c r="BF77" s="146"/>
      <c r="BG77" s="146"/>
      <c r="BH77" s="146"/>
      <c r="BI77" s="146"/>
      <c r="BJ77" s="146"/>
      <c r="BK77" s="146"/>
      <c r="BL77" s="146"/>
      <c r="BM77" s="146"/>
      <c r="BN77" s="146"/>
      <c r="BO77" s="146"/>
      <c r="BP77" s="146"/>
      <c r="BQ77" s="146"/>
      <c r="BR77" s="146"/>
      <c r="BS77" s="146"/>
      <c r="BT77" s="146"/>
      <c r="BU77" s="146"/>
      <c r="BV77" s="146"/>
      <c r="BW77" s="146"/>
      <c r="BX77" s="146"/>
      <c r="BY77" s="146"/>
      <c r="BZ77" s="146"/>
      <c r="CA77" s="146"/>
      <c r="CB77" s="146"/>
      <c r="CC77" s="146"/>
      <c r="CD77" s="146"/>
      <c r="CE77" s="146"/>
      <c r="CF77" s="146"/>
      <c r="CG77" s="146"/>
      <c r="CH77" s="146"/>
      <c r="CI77" s="146"/>
      <c r="CJ77" s="146"/>
      <c r="CK77" s="146"/>
      <c r="CL77" s="146"/>
      <c r="CM77" s="146"/>
      <c r="CN77" s="146"/>
      <c r="CO77" s="146"/>
      <c r="CP77" s="146"/>
      <c r="CQ77" s="146"/>
      <c r="CR77" s="146"/>
      <c r="CS77" s="146"/>
      <c r="CT77" s="146"/>
      <c r="CU77" s="146"/>
      <c r="CV77" s="146"/>
      <c r="CW77" s="146"/>
      <c r="CX77" s="146"/>
      <c r="CY77" s="146"/>
      <c r="CZ77" s="146"/>
      <c r="DA77" s="146"/>
      <c r="DB77" s="146"/>
      <c r="DC77" s="146"/>
      <c r="DD77" s="146"/>
      <c r="DE77" s="146"/>
      <c r="DF77" s="146"/>
      <c r="DG77" s="146"/>
      <c r="DH77" s="146"/>
      <c r="DI77" s="146"/>
      <c r="DJ77" s="146"/>
      <c r="DK77" s="146"/>
      <c r="DL77" s="146"/>
      <c r="DM77" s="146"/>
      <c r="DN77" s="146"/>
      <c r="DO77" s="146"/>
      <c r="DP77" s="146"/>
      <c r="DQ77" s="146"/>
      <c r="DR77" s="146"/>
      <c r="DS77" s="146"/>
      <c r="DT77" s="146"/>
      <c r="DU77" s="146"/>
      <c r="DV77" s="146"/>
      <c r="DW77" s="146"/>
      <c r="DX77" s="146"/>
      <c r="DY77" s="146"/>
      <c r="DZ77" s="146"/>
      <c r="EA77" s="146"/>
      <c r="EB77" s="146"/>
      <c r="EC77" s="146"/>
      <c r="ED77" s="146"/>
      <c r="EE77" s="146"/>
      <c r="EF77" s="146"/>
      <c r="EG77" s="146"/>
      <c r="EH77" s="146"/>
      <c r="EI77" s="146"/>
      <c r="EJ77" s="146"/>
      <c r="EK77" s="146"/>
      <c r="EL77" s="146"/>
      <c r="EM77" s="146"/>
      <c r="EN77" s="146"/>
      <c r="EO77" s="146"/>
      <c r="EP77" s="146"/>
      <c r="EQ77" s="146"/>
    </row>
    <row r="78">
      <c r="A78" s="185" t="s">
        <v>182</v>
      </c>
      <c r="B78" s="172"/>
      <c r="C78" s="173" t="s">
        <v>425</v>
      </c>
      <c r="D78" s="178" t="s">
        <v>328</v>
      </c>
      <c r="E78" s="179" t="s">
        <v>426</v>
      </c>
      <c r="F78" s="178" t="s">
        <v>330</v>
      </c>
      <c r="G78" s="178">
        <v>120.0</v>
      </c>
      <c r="H78" s="180">
        <v>45015.0</v>
      </c>
      <c r="I78" s="180">
        <v>45332.0</v>
      </c>
      <c r="J78" s="180">
        <v>46055.0</v>
      </c>
      <c r="K78" s="175">
        <f t="shared" si="16"/>
        <v>47151</v>
      </c>
      <c r="L78" s="176" t="str">
        <f t="shared" si="2"/>
        <v>Ok</v>
      </c>
      <c r="M78" s="174"/>
      <c r="N78" s="146"/>
      <c r="O78" s="146"/>
      <c r="P78" s="146"/>
      <c r="Q78" s="146"/>
      <c r="R78" s="146"/>
      <c r="S78" s="146"/>
      <c r="T78" s="146"/>
      <c r="U78" s="146"/>
      <c r="V78" s="146"/>
      <c r="W78" s="146"/>
      <c r="X78" s="146"/>
      <c r="Y78" s="146"/>
      <c r="Z78" s="146"/>
      <c r="AA78" s="146"/>
      <c r="AB78" s="146"/>
      <c r="AC78" s="146"/>
      <c r="AD78" s="146"/>
      <c r="AE78" s="146"/>
      <c r="AF78" s="146"/>
      <c r="AG78" s="146"/>
      <c r="AH78" s="146"/>
      <c r="AI78" s="146"/>
      <c r="AJ78" s="146"/>
      <c r="AK78" s="146"/>
      <c r="AL78" s="146"/>
      <c r="AM78" s="146"/>
      <c r="AN78" s="146"/>
      <c r="AO78" s="146"/>
      <c r="AP78" s="146"/>
      <c r="AQ78" s="146"/>
      <c r="AR78" s="146"/>
      <c r="AS78" s="146"/>
      <c r="AT78" s="146"/>
      <c r="AU78" s="146"/>
      <c r="AV78" s="146"/>
      <c r="AW78" s="146"/>
      <c r="AX78" s="146"/>
      <c r="AY78" s="146"/>
      <c r="AZ78" s="146"/>
      <c r="BA78" s="146"/>
      <c r="BB78" s="146"/>
      <c r="BC78" s="146"/>
      <c r="BD78" s="146"/>
      <c r="BE78" s="146"/>
      <c r="BF78" s="146"/>
      <c r="BG78" s="146"/>
      <c r="BH78" s="146"/>
      <c r="BI78" s="146"/>
      <c r="BJ78" s="146"/>
      <c r="BK78" s="146"/>
      <c r="BL78" s="146"/>
      <c r="BM78" s="146"/>
      <c r="BN78" s="146"/>
      <c r="BO78" s="146"/>
      <c r="BP78" s="146"/>
      <c r="BQ78" s="146"/>
      <c r="BR78" s="146"/>
      <c r="BS78" s="146"/>
      <c r="BT78" s="146"/>
      <c r="BU78" s="146"/>
      <c r="BV78" s="146"/>
      <c r="BW78" s="146"/>
      <c r="BX78" s="146"/>
      <c r="BY78" s="146"/>
      <c r="BZ78" s="146"/>
      <c r="CA78" s="146"/>
      <c r="CB78" s="146"/>
      <c r="CC78" s="146"/>
      <c r="CD78" s="146"/>
      <c r="CE78" s="146"/>
      <c r="CF78" s="146"/>
      <c r="CG78" s="146"/>
      <c r="CH78" s="146"/>
      <c r="CI78" s="146"/>
      <c r="CJ78" s="146"/>
      <c r="CK78" s="146"/>
      <c r="CL78" s="146"/>
      <c r="CM78" s="146"/>
      <c r="CN78" s="146"/>
      <c r="CO78" s="146"/>
      <c r="CP78" s="146"/>
      <c r="CQ78" s="146"/>
      <c r="CR78" s="146"/>
      <c r="CS78" s="146"/>
      <c r="CT78" s="146"/>
      <c r="CU78" s="146"/>
      <c r="CV78" s="146"/>
      <c r="CW78" s="146"/>
      <c r="CX78" s="146"/>
      <c r="CY78" s="146"/>
      <c r="CZ78" s="146"/>
      <c r="DA78" s="146"/>
      <c r="DB78" s="146"/>
      <c r="DC78" s="146"/>
      <c r="DD78" s="146"/>
      <c r="DE78" s="146"/>
      <c r="DF78" s="146"/>
      <c r="DG78" s="146"/>
      <c r="DH78" s="146"/>
      <c r="DI78" s="146"/>
      <c r="DJ78" s="146"/>
      <c r="DK78" s="146"/>
      <c r="DL78" s="146"/>
      <c r="DM78" s="146"/>
      <c r="DN78" s="146"/>
      <c r="DO78" s="146"/>
      <c r="DP78" s="146"/>
      <c r="DQ78" s="146"/>
      <c r="DR78" s="146"/>
      <c r="DS78" s="146"/>
      <c r="DT78" s="146"/>
      <c r="DU78" s="146"/>
      <c r="DV78" s="146"/>
      <c r="DW78" s="146"/>
      <c r="DX78" s="146"/>
      <c r="DY78" s="146"/>
      <c r="DZ78" s="146"/>
      <c r="EA78" s="146"/>
      <c r="EB78" s="146"/>
      <c r="EC78" s="146"/>
      <c r="ED78" s="146"/>
      <c r="EE78" s="146"/>
      <c r="EF78" s="146"/>
      <c r="EG78" s="146"/>
      <c r="EH78" s="146"/>
      <c r="EI78" s="146"/>
      <c r="EJ78" s="146"/>
      <c r="EK78" s="146"/>
      <c r="EL78" s="146"/>
      <c r="EM78" s="146"/>
      <c r="EN78" s="146"/>
      <c r="EO78" s="146"/>
      <c r="EP78" s="146"/>
      <c r="EQ78" s="146"/>
    </row>
    <row r="79">
      <c r="A79" s="184" t="s">
        <v>183</v>
      </c>
      <c r="B79" s="178"/>
      <c r="C79" s="179" t="s">
        <v>425</v>
      </c>
      <c r="D79" s="178" t="s">
        <v>328</v>
      </c>
      <c r="E79" s="179" t="s">
        <v>426</v>
      </c>
      <c r="F79" s="178" t="s">
        <v>330</v>
      </c>
      <c r="G79" s="178">
        <v>120.0</v>
      </c>
      <c r="H79" s="180">
        <v>45015.0</v>
      </c>
      <c r="I79" s="180">
        <v>45332.0</v>
      </c>
      <c r="J79" s="180">
        <v>46055.0</v>
      </c>
      <c r="K79" s="175">
        <f t="shared" si="16"/>
        <v>47151</v>
      </c>
      <c r="L79" s="176" t="str">
        <f t="shared" si="2"/>
        <v>Ok</v>
      </c>
      <c r="M79" s="180"/>
      <c r="N79" s="146"/>
      <c r="O79" s="146"/>
      <c r="P79" s="146"/>
      <c r="Q79" s="146"/>
      <c r="R79" s="146"/>
      <c r="S79" s="146"/>
      <c r="T79" s="146"/>
      <c r="U79" s="146"/>
      <c r="V79" s="146"/>
      <c r="W79" s="146"/>
      <c r="X79" s="146"/>
      <c r="Y79" s="146"/>
      <c r="Z79" s="146"/>
      <c r="AA79" s="146"/>
      <c r="AB79" s="146"/>
      <c r="AC79" s="146"/>
      <c r="AD79" s="146"/>
      <c r="AE79" s="146"/>
      <c r="AF79" s="146"/>
      <c r="AG79" s="146"/>
      <c r="AH79" s="146"/>
      <c r="AI79" s="146"/>
      <c r="AJ79" s="146"/>
      <c r="AK79" s="146"/>
      <c r="AL79" s="146"/>
      <c r="AM79" s="146"/>
      <c r="AN79" s="146"/>
      <c r="AO79" s="146"/>
      <c r="AP79" s="146"/>
      <c r="AQ79" s="146"/>
      <c r="AR79" s="146"/>
      <c r="AS79" s="146"/>
      <c r="AT79" s="146"/>
      <c r="AU79" s="146"/>
      <c r="AV79" s="146"/>
      <c r="AW79" s="146"/>
      <c r="AX79" s="146"/>
      <c r="AY79" s="146"/>
      <c r="AZ79" s="146"/>
      <c r="BA79" s="146"/>
      <c r="BB79" s="146"/>
      <c r="BC79" s="146"/>
      <c r="BD79" s="146"/>
      <c r="BE79" s="146"/>
      <c r="BF79" s="146"/>
      <c r="BG79" s="146"/>
      <c r="BH79" s="146"/>
      <c r="BI79" s="146"/>
      <c r="BJ79" s="146"/>
      <c r="BK79" s="146"/>
      <c r="BL79" s="146"/>
      <c r="BM79" s="146"/>
      <c r="BN79" s="146"/>
      <c r="BO79" s="146"/>
      <c r="BP79" s="146"/>
      <c r="BQ79" s="146"/>
      <c r="BR79" s="146"/>
      <c r="BS79" s="146"/>
      <c r="BT79" s="146"/>
      <c r="BU79" s="146"/>
      <c r="BV79" s="146"/>
      <c r="BW79" s="146"/>
      <c r="BX79" s="146"/>
      <c r="BY79" s="146"/>
      <c r="BZ79" s="146"/>
      <c r="CA79" s="146"/>
      <c r="CB79" s="146"/>
      <c r="CC79" s="146"/>
      <c r="CD79" s="146"/>
      <c r="CE79" s="146"/>
      <c r="CF79" s="146"/>
      <c r="CG79" s="146"/>
      <c r="CH79" s="146"/>
      <c r="CI79" s="146"/>
      <c r="CJ79" s="146"/>
      <c r="CK79" s="146"/>
      <c r="CL79" s="146"/>
      <c r="CM79" s="146"/>
      <c r="CN79" s="146"/>
      <c r="CO79" s="146"/>
      <c r="CP79" s="146"/>
      <c r="CQ79" s="146"/>
      <c r="CR79" s="146"/>
      <c r="CS79" s="146"/>
      <c r="CT79" s="146"/>
      <c r="CU79" s="146"/>
      <c r="CV79" s="146"/>
      <c r="CW79" s="146"/>
      <c r="CX79" s="146"/>
      <c r="CY79" s="146"/>
      <c r="CZ79" s="146"/>
      <c r="DA79" s="146"/>
      <c r="DB79" s="146"/>
      <c r="DC79" s="146"/>
      <c r="DD79" s="146"/>
      <c r="DE79" s="146"/>
      <c r="DF79" s="146"/>
      <c r="DG79" s="146"/>
      <c r="DH79" s="146"/>
      <c r="DI79" s="146"/>
      <c r="DJ79" s="146"/>
      <c r="DK79" s="146"/>
      <c r="DL79" s="146"/>
      <c r="DM79" s="146"/>
      <c r="DN79" s="146"/>
      <c r="DO79" s="146"/>
      <c r="DP79" s="146"/>
      <c r="DQ79" s="146"/>
      <c r="DR79" s="146"/>
      <c r="DS79" s="146"/>
      <c r="DT79" s="146"/>
      <c r="DU79" s="146"/>
      <c r="DV79" s="146"/>
      <c r="DW79" s="146"/>
      <c r="DX79" s="146"/>
      <c r="DY79" s="146"/>
      <c r="DZ79" s="146"/>
      <c r="EA79" s="146"/>
      <c r="EB79" s="146"/>
      <c r="EC79" s="146"/>
      <c r="ED79" s="146"/>
      <c r="EE79" s="146"/>
      <c r="EF79" s="146"/>
      <c r="EG79" s="146"/>
      <c r="EH79" s="146"/>
      <c r="EI79" s="146"/>
      <c r="EJ79" s="146"/>
      <c r="EK79" s="146"/>
      <c r="EL79" s="146"/>
      <c r="EM79" s="146"/>
      <c r="EN79" s="146"/>
      <c r="EO79" s="146"/>
      <c r="EP79" s="146"/>
      <c r="EQ79" s="146"/>
    </row>
    <row r="80">
      <c r="A80" s="185" t="s">
        <v>184</v>
      </c>
      <c r="B80" s="172"/>
      <c r="C80" s="173" t="s">
        <v>425</v>
      </c>
      <c r="D80" s="178" t="s">
        <v>328</v>
      </c>
      <c r="E80" s="179" t="s">
        <v>426</v>
      </c>
      <c r="F80" s="178" t="s">
        <v>330</v>
      </c>
      <c r="G80" s="178">
        <v>120.0</v>
      </c>
      <c r="H80" s="180">
        <v>45015.0</v>
      </c>
      <c r="I80" s="180">
        <v>45332.0</v>
      </c>
      <c r="J80" s="180">
        <v>46055.0</v>
      </c>
      <c r="K80" s="175">
        <f t="shared" si="16"/>
        <v>47151</v>
      </c>
      <c r="L80" s="176" t="str">
        <f t="shared" si="2"/>
        <v>Ok</v>
      </c>
      <c r="M80" s="174"/>
      <c r="N80" s="146"/>
      <c r="O80" s="146"/>
      <c r="P80" s="146"/>
      <c r="Q80" s="146"/>
      <c r="R80" s="146"/>
      <c r="S80" s="146"/>
      <c r="T80" s="146"/>
      <c r="U80" s="146"/>
      <c r="V80" s="146"/>
      <c r="W80" s="146"/>
      <c r="X80" s="146"/>
      <c r="Y80" s="146"/>
      <c r="Z80" s="146"/>
      <c r="AA80" s="146"/>
      <c r="AB80" s="146"/>
      <c r="AC80" s="146"/>
      <c r="AD80" s="146"/>
      <c r="AE80" s="146"/>
      <c r="AF80" s="146"/>
      <c r="AG80" s="146"/>
      <c r="AH80" s="146"/>
      <c r="AI80" s="146"/>
      <c r="AJ80" s="146"/>
      <c r="AK80" s="146"/>
      <c r="AL80" s="146"/>
      <c r="AM80" s="146"/>
      <c r="AN80" s="146"/>
      <c r="AO80" s="146"/>
      <c r="AP80" s="146"/>
      <c r="AQ80" s="146"/>
      <c r="AR80" s="146"/>
      <c r="AS80" s="146"/>
      <c r="AT80" s="146"/>
      <c r="AU80" s="146"/>
      <c r="AV80" s="146"/>
      <c r="AW80" s="146"/>
      <c r="AX80" s="146"/>
      <c r="AY80" s="146"/>
      <c r="AZ80" s="146"/>
      <c r="BA80" s="146"/>
      <c r="BB80" s="146"/>
      <c r="BC80" s="146"/>
      <c r="BD80" s="146"/>
      <c r="BE80" s="146"/>
      <c r="BF80" s="146"/>
      <c r="BG80" s="146"/>
      <c r="BH80" s="146"/>
      <c r="BI80" s="146"/>
      <c r="BJ80" s="146"/>
      <c r="BK80" s="146"/>
      <c r="BL80" s="146"/>
      <c r="BM80" s="146"/>
      <c r="BN80" s="146"/>
      <c r="BO80" s="146"/>
      <c r="BP80" s="146"/>
      <c r="BQ80" s="146"/>
      <c r="BR80" s="146"/>
      <c r="BS80" s="146"/>
      <c r="BT80" s="146"/>
      <c r="BU80" s="146"/>
      <c r="BV80" s="146"/>
      <c r="BW80" s="146"/>
      <c r="BX80" s="146"/>
      <c r="BY80" s="146"/>
      <c r="BZ80" s="146"/>
      <c r="CA80" s="146"/>
      <c r="CB80" s="146"/>
      <c r="CC80" s="146"/>
      <c r="CD80" s="146"/>
      <c r="CE80" s="146"/>
      <c r="CF80" s="146"/>
      <c r="CG80" s="146"/>
      <c r="CH80" s="146"/>
      <c r="CI80" s="146"/>
      <c r="CJ80" s="146"/>
      <c r="CK80" s="146"/>
      <c r="CL80" s="146"/>
      <c r="CM80" s="146"/>
      <c r="CN80" s="146"/>
      <c r="CO80" s="146"/>
      <c r="CP80" s="146"/>
      <c r="CQ80" s="146"/>
      <c r="CR80" s="146"/>
      <c r="CS80" s="146"/>
      <c r="CT80" s="146"/>
      <c r="CU80" s="146"/>
      <c r="CV80" s="146"/>
      <c r="CW80" s="146"/>
      <c r="CX80" s="146"/>
      <c r="CY80" s="146"/>
      <c r="CZ80" s="146"/>
      <c r="DA80" s="146"/>
      <c r="DB80" s="146"/>
      <c r="DC80" s="146"/>
      <c r="DD80" s="146"/>
      <c r="DE80" s="146"/>
      <c r="DF80" s="146"/>
      <c r="DG80" s="146"/>
      <c r="DH80" s="146"/>
      <c r="DI80" s="146"/>
      <c r="DJ80" s="146"/>
      <c r="DK80" s="146"/>
      <c r="DL80" s="146"/>
      <c r="DM80" s="146"/>
      <c r="DN80" s="146"/>
      <c r="DO80" s="146"/>
      <c r="DP80" s="146"/>
      <c r="DQ80" s="146"/>
      <c r="DR80" s="146"/>
      <c r="DS80" s="146"/>
      <c r="DT80" s="146"/>
      <c r="DU80" s="146"/>
      <c r="DV80" s="146"/>
      <c r="DW80" s="146"/>
      <c r="DX80" s="146"/>
      <c r="DY80" s="146"/>
      <c r="DZ80" s="146"/>
      <c r="EA80" s="146"/>
      <c r="EB80" s="146"/>
      <c r="EC80" s="146"/>
      <c r="ED80" s="146"/>
      <c r="EE80" s="146"/>
      <c r="EF80" s="146"/>
      <c r="EG80" s="146"/>
      <c r="EH80" s="146"/>
      <c r="EI80" s="146"/>
      <c r="EJ80" s="146"/>
      <c r="EK80" s="146"/>
      <c r="EL80" s="146"/>
      <c r="EM80" s="146"/>
      <c r="EN80" s="146"/>
      <c r="EO80" s="146"/>
      <c r="EP80" s="146"/>
      <c r="EQ80" s="146"/>
    </row>
    <row r="81">
      <c r="A81" s="184" t="s">
        <v>185</v>
      </c>
      <c r="B81" s="178" t="s">
        <v>428</v>
      </c>
      <c r="C81" s="179" t="s">
        <v>425</v>
      </c>
      <c r="D81" s="178" t="s">
        <v>328</v>
      </c>
      <c r="E81" s="179" t="s">
        <v>426</v>
      </c>
      <c r="F81" s="178" t="s">
        <v>330</v>
      </c>
      <c r="G81" s="178">
        <v>120.0</v>
      </c>
      <c r="H81" s="180">
        <v>45015.0</v>
      </c>
      <c r="I81" s="180">
        <v>45332.0</v>
      </c>
      <c r="J81" s="180">
        <v>46055.0</v>
      </c>
      <c r="K81" s="175">
        <f t="shared" si="16"/>
        <v>47151</v>
      </c>
      <c r="L81" s="176" t="str">
        <f t="shared" si="2"/>
        <v>Ok</v>
      </c>
      <c r="M81" s="180"/>
      <c r="N81" s="146"/>
      <c r="O81" s="146"/>
      <c r="P81" s="146"/>
      <c r="Q81" s="146"/>
      <c r="R81" s="146"/>
      <c r="S81" s="146"/>
      <c r="T81" s="146"/>
      <c r="U81" s="146"/>
      <c r="V81" s="146"/>
      <c r="W81" s="146"/>
      <c r="X81" s="146"/>
      <c r="Y81" s="146"/>
      <c r="Z81" s="146"/>
      <c r="AA81" s="146"/>
      <c r="AB81" s="146"/>
      <c r="AC81" s="146"/>
      <c r="AD81" s="146"/>
      <c r="AE81" s="146"/>
      <c r="AF81" s="146"/>
      <c r="AG81" s="146"/>
      <c r="AH81" s="146"/>
      <c r="AI81" s="146"/>
      <c r="AJ81" s="146"/>
      <c r="AK81" s="146"/>
      <c r="AL81" s="146"/>
      <c r="AM81" s="146"/>
      <c r="AN81" s="146"/>
      <c r="AO81" s="146"/>
      <c r="AP81" s="146"/>
      <c r="AQ81" s="146"/>
      <c r="AR81" s="146"/>
      <c r="AS81" s="146"/>
      <c r="AT81" s="146"/>
      <c r="AU81" s="146"/>
      <c r="AV81" s="146"/>
      <c r="AW81" s="146"/>
      <c r="AX81" s="146"/>
      <c r="AY81" s="146"/>
      <c r="AZ81" s="146"/>
      <c r="BA81" s="146"/>
      <c r="BB81" s="146"/>
      <c r="BC81" s="146"/>
      <c r="BD81" s="146"/>
      <c r="BE81" s="146"/>
      <c r="BF81" s="146"/>
      <c r="BG81" s="146"/>
      <c r="BH81" s="146"/>
      <c r="BI81" s="146"/>
      <c r="BJ81" s="146"/>
      <c r="BK81" s="146"/>
      <c r="BL81" s="146"/>
      <c r="BM81" s="146"/>
      <c r="BN81" s="146"/>
      <c r="BO81" s="146"/>
      <c r="BP81" s="146"/>
      <c r="BQ81" s="146"/>
      <c r="BR81" s="146"/>
      <c r="BS81" s="146"/>
      <c r="BT81" s="146"/>
      <c r="BU81" s="146"/>
      <c r="BV81" s="146"/>
      <c r="BW81" s="146"/>
      <c r="BX81" s="146"/>
      <c r="BY81" s="146"/>
      <c r="BZ81" s="146"/>
      <c r="CA81" s="146"/>
      <c r="CB81" s="146"/>
      <c r="CC81" s="146"/>
      <c r="CD81" s="146"/>
      <c r="CE81" s="146"/>
      <c r="CF81" s="146"/>
      <c r="CG81" s="146"/>
      <c r="CH81" s="146"/>
      <c r="CI81" s="146"/>
      <c r="CJ81" s="146"/>
      <c r="CK81" s="146"/>
      <c r="CL81" s="146"/>
      <c r="CM81" s="146"/>
      <c r="CN81" s="146"/>
      <c r="CO81" s="146"/>
      <c r="CP81" s="146"/>
      <c r="CQ81" s="146"/>
      <c r="CR81" s="146"/>
      <c r="CS81" s="146"/>
      <c r="CT81" s="146"/>
      <c r="CU81" s="146"/>
      <c r="CV81" s="146"/>
      <c r="CW81" s="146"/>
      <c r="CX81" s="146"/>
      <c r="CY81" s="146"/>
      <c r="CZ81" s="146"/>
      <c r="DA81" s="146"/>
      <c r="DB81" s="146"/>
      <c r="DC81" s="146"/>
      <c r="DD81" s="146"/>
      <c r="DE81" s="146"/>
      <c r="DF81" s="146"/>
      <c r="DG81" s="146"/>
      <c r="DH81" s="146"/>
      <c r="DI81" s="146"/>
      <c r="DJ81" s="146"/>
      <c r="DK81" s="146"/>
      <c r="DL81" s="146"/>
      <c r="DM81" s="146"/>
      <c r="DN81" s="146"/>
      <c r="DO81" s="146"/>
      <c r="DP81" s="146"/>
      <c r="DQ81" s="146"/>
      <c r="DR81" s="146"/>
      <c r="DS81" s="146"/>
      <c r="DT81" s="146"/>
      <c r="DU81" s="146"/>
      <c r="DV81" s="146"/>
      <c r="DW81" s="146"/>
      <c r="DX81" s="146"/>
      <c r="DY81" s="146"/>
      <c r="DZ81" s="146"/>
      <c r="EA81" s="146"/>
      <c r="EB81" s="146"/>
      <c r="EC81" s="146"/>
      <c r="ED81" s="146"/>
      <c r="EE81" s="146"/>
      <c r="EF81" s="146"/>
      <c r="EG81" s="146"/>
      <c r="EH81" s="146"/>
      <c r="EI81" s="146"/>
      <c r="EJ81" s="146"/>
      <c r="EK81" s="146"/>
      <c r="EL81" s="146"/>
      <c r="EM81" s="146"/>
      <c r="EN81" s="146"/>
      <c r="EO81" s="146"/>
      <c r="EP81" s="146"/>
      <c r="EQ81" s="146"/>
    </row>
    <row r="82">
      <c r="A82" s="185" t="s">
        <v>186</v>
      </c>
      <c r="B82" s="172"/>
      <c r="C82" s="173" t="s">
        <v>425</v>
      </c>
      <c r="D82" s="178" t="s">
        <v>328</v>
      </c>
      <c r="E82" s="179" t="s">
        <v>426</v>
      </c>
      <c r="F82" s="178" t="s">
        <v>330</v>
      </c>
      <c r="G82" s="178">
        <v>120.0</v>
      </c>
      <c r="H82" s="180">
        <v>45015.0</v>
      </c>
      <c r="I82" s="180">
        <v>45332.0</v>
      </c>
      <c r="J82" s="180">
        <v>46055.0</v>
      </c>
      <c r="K82" s="175">
        <f t="shared" si="16"/>
        <v>47151</v>
      </c>
      <c r="L82" s="176" t="str">
        <f t="shared" si="2"/>
        <v>Ok</v>
      </c>
      <c r="M82" s="174"/>
      <c r="N82" s="146"/>
      <c r="O82" s="146"/>
      <c r="P82" s="146"/>
      <c r="Q82" s="146"/>
      <c r="R82" s="146"/>
      <c r="S82" s="146"/>
      <c r="T82" s="146"/>
      <c r="U82" s="146"/>
      <c r="V82" s="146"/>
      <c r="W82" s="146"/>
      <c r="X82" s="146"/>
      <c r="Y82" s="146"/>
      <c r="Z82" s="146"/>
      <c r="AA82" s="146"/>
      <c r="AB82" s="146"/>
      <c r="AC82" s="146"/>
      <c r="AD82" s="146"/>
      <c r="AE82" s="146"/>
      <c r="AF82" s="146"/>
      <c r="AG82" s="146"/>
      <c r="AH82" s="146"/>
      <c r="AI82" s="146"/>
      <c r="AJ82" s="146"/>
      <c r="AK82" s="146"/>
      <c r="AL82" s="146"/>
      <c r="AM82" s="146"/>
      <c r="AN82" s="146"/>
      <c r="AO82" s="146"/>
      <c r="AP82" s="146"/>
      <c r="AQ82" s="146"/>
      <c r="AR82" s="146"/>
      <c r="AS82" s="146"/>
      <c r="AT82" s="146"/>
      <c r="AU82" s="146"/>
      <c r="AV82" s="146"/>
      <c r="AW82" s="146"/>
      <c r="AX82" s="146"/>
      <c r="AY82" s="146"/>
      <c r="AZ82" s="146"/>
      <c r="BA82" s="146"/>
      <c r="BB82" s="146"/>
      <c r="BC82" s="146"/>
      <c r="BD82" s="146"/>
      <c r="BE82" s="146"/>
      <c r="BF82" s="146"/>
      <c r="BG82" s="146"/>
      <c r="BH82" s="146"/>
      <c r="BI82" s="146"/>
      <c r="BJ82" s="146"/>
      <c r="BK82" s="146"/>
      <c r="BL82" s="146"/>
      <c r="BM82" s="146"/>
      <c r="BN82" s="146"/>
      <c r="BO82" s="146"/>
      <c r="BP82" s="146"/>
      <c r="BQ82" s="146"/>
      <c r="BR82" s="146"/>
      <c r="BS82" s="146"/>
      <c r="BT82" s="146"/>
      <c r="BU82" s="146"/>
      <c r="BV82" s="146"/>
      <c r="BW82" s="146"/>
      <c r="BX82" s="146"/>
      <c r="BY82" s="146"/>
      <c r="BZ82" s="146"/>
      <c r="CA82" s="146"/>
      <c r="CB82" s="146"/>
      <c r="CC82" s="146"/>
      <c r="CD82" s="146"/>
      <c r="CE82" s="146"/>
      <c r="CF82" s="146"/>
      <c r="CG82" s="146"/>
      <c r="CH82" s="146"/>
      <c r="CI82" s="146"/>
      <c r="CJ82" s="146"/>
      <c r="CK82" s="146"/>
      <c r="CL82" s="146"/>
      <c r="CM82" s="146"/>
      <c r="CN82" s="146"/>
      <c r="CO82" s="146"/>
      <c r="CP82" s="146"/>
      <c r="CQ82" s="146"/>
      <c r="CR82" s="146"/>
      <c r="CS82" s="146"/>
      <c r="CT82" s="146"/>
      <c r="CU82" s="146"/>
      <c r="CV82" s="146"/>
      <c r="CW82" s="146"/>
      <c r="CX82" s="146"/>
      <c r="CY82" s="146"/>
      <c r="CZ82" s="146"/>
      <c r="DA82" s="146"/>
      <c r="DB82" s="146"/>
      <c r="DC82" s="146"/>
      <c r="DD82" s="146"/>
      <c r="DE82" s="146"/>
      <c r="DF82" s="146"/>
      <c r="DG82" s="146"/>
      <c r="DH82" s="146"/>
      <c r="DI82" s="146"/>
      <c r="DJ82" s="146"/>
      <c r="DK82" s="146"/>
      <c r="DL82" s="146"/>
      <c r="DM82" s="146"/>
      <c r="DN82" s="146"/>
      <c r="DO82" s="146"/>
      <c r="DP82" s="146"/>
      <c r="DQ82" s="146"/>
      <c r="DR82" s="146"/>
      <c r="DS82" s="146"/>
      <c r="DT82" s="146"/>
      <c r="DU82" s="146"/>
      <c r="DV82" s="146"/>
      <c r="DW82" s="146"/>
      <c r="DX82" s="146"/>
      <c r="DY82" s="146"/>
      <c r="DZ82" s="146"/>
      <c r="EA82" s="146"/>
      <c r="EB82" s="146"/>
      <c r="EC82" s="146"/>
      <c r="ED82" s="146"/>
      <c r="EE82" s="146"/>
      <c r="EF82" s="146"/>
      <c r="EG82" s="146"/>
      <c r="EH82" s="146"/>
      <c r="EI82" s="146"/>
      <c r="EJ82" s="146"/>
      <c r="EK82" s="146"/>
      <c r="EL82" s="146"/>
      <c r="EM82" s="146"/>
      <c r="EN82" s="146"/>
      <c r="EO82" s="146"/>
      <c r="EP82" s="146"/>
      <c r="EQ82" s="146"/>
    </row>
    <row r="83">
      <c r="A83" s="184" t="s">
        <v>187</v>
      </c>
      <c r="B83" s="178"/>
      <c r="C83" s="179" t="s">
        <v>425</v>
      </c>
      <c r="D83" s="178" t="s">
        <v>328</v>
      </c>
      <c r="E83" s="179" t="s">
        <v>426</v>
      </c>
      <c r="F83" s="178" t="s">
        <v>330</v>
      </c>
      <c r="G83" s="178">
        <v>120.0</v>
      </c>
      <c r="H83" s="180">
        <v>45015.0</v>
      </c>
      <c r="I83" s="180">
        <v>45332.0</v>
      </c>
      <c r="J83" s="180">
        <v>46055.0</v>
      </c>
      <c r="K83" s="175">
        <f t="shared" si="16"/>
        <v>47151</v>
      </c>
      <c r="L83" s="176" t="str">
        <f t="shared" si="2"/>
        <v>Ok</v>
      </c>
      <c r="M83" s="180"/>
      <c r="N83" s="146"/>
      <c r="O83" s="146"/>
      <c r="P83" s="146"/>
      <c r="Q83" s="146"/>
      <c r="R83" s="146"/>
      <c r="S83" s="146"/>
      <c r="T83" s="146"/>
      <c r="U83" s="146"/>
      <c r="V83" s="146"/>
      <c r="W83" s="146"/>
      <c r="X83" s="146"/>
      <c r="Y83" s="146"/>
      <c r="Z83" s="146"/>
      <c r="AA83" s="146"/>
      <c r="AB83" s="146"/>
      <c r="AC83" s="146"/>
      <c r="AD83" s="146"/>
      <c r="AE83" s="146"/>
      <c r="AF83" s="146"/>
      <c r="AG83" s="146"/>
      <c r="AH83" s="146"/>
      <c r="AI83" s="146"/>
      <c r="AJ83" s="146"/>
      <c r="AK83" s="146"/>
      <c r="AL83" s="146"/>
      <c r="AM83" s="146"/>
      <c r="AN83" s="146"/>
      <c r="AO83" s="146"/>
      <c r="AP83" s="146"/>
      <c r="AQ83" s="146"/>
      <c r="AR83" s="146"/>
      <c r="AS83" s="146"/>
      <c r="AT83" s="146"/>
      <c r="AU83" s="146"/>
      <c r="AV83" s="146"/>
      <c r="AW83" s="146"/>
      <c r="AX83" s="146"/>
      <c r="AY83" s="146"/>
      <c r="AZ83" s="146"/>
      <c r="BA83" s="146"/>
      <c r="BB83" s="146"/>
      <c r="BC83" s="146"/>
      <c r="BD83" s="146"/>
      <c r="BE83" s="146"/>
      <c r="BF83" s="146"/>
      <c r="BG83" s="146"/>
      <c r="BH83" s="146"/>
      <c r="BI83" s="146"/>
      <c r="BJ83" s="146"/>
      <c r="BK83" s="146"/>
      <c r="BL83" s="146"/>
      <c r="BM83" s="146"/>
      <c r="BN83" s="146"/>
      <c r="BO83" s="146"/>
      <c r="BP83" s="146"/>
      <c r="BQ83" s="146"/>
      <c r="BR83" s="146"/>
      <c r="BS83" s="146"/>
      <c r="BT83" s="146"/>
      <c r="BU83" s="146"/>
      <c r="BV83" s="146"/>
      <c r="BW83" s="146"/>
      <c r="BX83" s="146"/>
      <c r="BY83" s="146"/>
      <c r="BZ83" s="146"/>
      <c r="CA83" s="146"/>
      <c r="CB83" s="146"/>
      <c r="CC83" s="146"/>
      <c r="CD83" s="146"/>
      <c r="CE83" s="146"/>
      <c r="CF83" s="146"/>
      <c r="CG83" s="146"/>
      <c r="CH83" s="146"/>
      <c r="CI83" s="146"/>
      <c r="CJ83" s="146"/>
      <c r="CK83" s="146"/>
      <c r="CL83" s="146"/>
      <c r="CM83" s="146"/>
      <c r="CN83" s="146"/>
      <c r="CO83" s="146"/>
      <c r="CP83" s="146"/>
      <c r="CQ83" s="146"/>
      <c r="CR83" s="146"/>
      <c r="CS83" s="146"/>
      <c r="CT83" s="146"/>
      <c r="CU83" s="146"/>
      <c r="CV83" s="146"/>
      <c r="CW83" s="146"/>
      <c r="CX83" s="146"/>
      <c r="CY83" s="146"/>
      <c r="CZ83" s="146"/>
      <c r="DA83" s="146"/>
      <c r="DB83" s="146"/>
      <c r="DC83" s="146"/>
      <c r="DD83" s="146"/>
      <c r="DE83" s="146"/>
      <c r="DF83" s="146"/>
      <c r="DG83" s="146"/>
      <c r="DH83" s="146"/>
      <c r="DI83" s="146"/>
      <c r="DJ83" s="146"/>
      <c r="DK83" s="146"/>
      <c r="DL83" s="146"/>
      <c r="DM83" s="146"/>
      <c r="DN83" s="146"/>
      <c r="DO83" s="146"/>
      <c r="DP83" s="146"/>
      <c r="DQ83" s="146"/>
      <c r="DR83" s="146"/>
      <c r="DS83" s="146"/>
      <c r="DT83" s="146"/>
      <c r="DU83" s="146"/>
      <c r="DV83" s="146"/>
      <c r="DW83" s="146"/>
      <c r="DX83" s="146"/>
      <c r="DY83" s="146"/>
      <c r="DZ83" s="146"/>
      <c r="EA83" s="146"/>
      <c r="EB83" s="146"/>
      <c r="EC83" s="146"/>
      <c r="ED83" s="146"/>
      <c r="EE83" s="146"/>
      <c r="EF83" s="146"/>
      <c r="EG83" s="146"/>
      <c r="EH83" s="146"/>
      <c r="EI83" s="146"/>
      <c r="EJ83" s="146"/>
      <c r="EK83" s="146"/>
      <c r="EL83" s="146"/>
      <c r="EM83" s="146"/>
      <c r="EN83" s="146"/>
      <c r="EO83" s="146"/>
      <c r="EP83" s="146"/>
      <c r="EQ83" s="146"/>
    </row>
    <row r="84">
      <c r="A84" s="185" t="s">
        <v>188</v>
      </c>
      <c r="B84" s="172"/>
      <c r="C84" s="173" t="s">
        <v>425</v>
      </c>
      <c r="D84" s="178" t="s">
        <v>328</v>
      </c>
      <c r="E84" s="179" t="s">
        <v>426</v>
      </c>
      <c r="F84" s="178" t="s">
        <v>330</v>
      </c>
      <c r="G84" s="178">
        <v>120.0</v>
      </c>
      <c r="H84" s="180">
        <v>45015.0</v>
      </c>
      <c r="I84" s="180">
        <v>45332.0</v>
      </c>
      <c r="J84" s="180">
        <v>46055.0</v>
      </c>
      <c r="K84" s="175">
        <f t="shared" si="16"/>
        <v>47151</v>
      </c>
      <c r="L84" s="176" t="str">
        <f t="shared" si="2"/>
        <v>Ok</v>
      </c>
      <c r="M84" s="174"/>
      <c r="N84" s="146"/>
      <c r="O84" s="146"/>
      <c r="P84" s="146"/>
      <c r="Q84" s="146"/>
      <c r="R84" s="146"/>
      <c r="S84" s="146"/>
      <c r="T84" s="146"/>
      <c r="U84" s="146"/>
      <c r="V84" s="146"/>
      <c r="W84" s="146"/>
      <c r="X84" s="146"/>
      <c r="Y84" s="146"/>
      <c r="Z84" s="146"/>
      <c r="AA84" s="146"/>
      <c r="AB84" s="146"/>
      <c r="AC84" s="146"/>
      <c r="AD84" s="146"/>
      <c r="AE84" s="146"/>
      <c r="AF84" s="146"/>
      <c r="AG84" s="146"/>
      <c r="AH84" s="146"/>
      <c r="AI84" s="146"/>
      <c r="AJ84" s="146"/>
      <c r="AK84" s="146"/>
      <c r="AL84" s="146"/>
      <c r="AM84" s="146"/>
      <c r="AN84" s="146"/>
      <c r="AO84" s="146"/>
      <c r="AP84" s="146"/>
      <c r="AQ84" s="146"/>
      <c r="AR84" s="146"/>
      <c r="AS84" s="146"/>
      <c r="AT84" s="146"/>
      <c r="AU84" s="146"/>
      <c r="AV84" s="146"/>
      <c r="AW84" s="146"/>
      <c r="AX84" s="146"/>
      <c r="AY84" s="146"/>
      <c r="AZ84" s="146"/>
      <c r="BA84" s="146"/>
      <c r="BB84" s="146"/>
      <c r="BC84" s="146"/>
      <c r="BD84" s="146"/>
      <c r="BE84" s="146"/>
      <c r="BF84" s="146"/>
      <c r="BG84" s="146"/>
      <c r="BH84" s="146"/>
      <c r="BI84" s="146"/>
      <c r="BJ84" s="146"/>
      <c r="BK84" s="146"/>
      <c r="BL84" s="146"/>
      <c r="BM84" s="146"/>
      <c r="BN84" s="146"/>
      <c r="BO84" s="146"/>
      <c r="BP84" s="146"/>
      <c r="BQ84" s="146"/>
      <c r="BR84" s="146"/>
      <c r="BS84" s="146"/>
      <c r="BT84" s="146"/>
      <c r="BU84" s="146"/>
      <c r="BV84" s="146"/>
      <c r="BW84" s="146"/>
      <c r="BX84" s="146"/>
      <c r="BY84" s="146"/>
      <c r="BZ84" s="146"/>
      <c r="CA84" s="146"/>
      <c r="CB84" s="146"/>
      <c r="CC84" s="146"/>
      <c r="CD84" s="146"/>
      <c r="CE84" s="146"/>
      <c r="CF84" s="146"/>
      <c r="CG84" s="146"/>
      <c r="CH84" s="146"/>
      <c r="CI84" s="146"/>
      <c r="CJ84" s="146"/>
      <c r="CK84" s="146"/>
      <c r="CL84" s="146"/>
      <c r="CM84" s="146"/>
      <c r="CN84" s="146"/>
      <c r="CO84" s="146"/>
      <c r="CP84" s="146"/>
      <c r="CQ84" s="146"/>
      <c r="CR84" s="146"/>
      <c r="CS84" s="146"/>
      <c r="CT84" s="146"/>
      <c r="CU84" s="146"/>
      <c r="CV84" s="146"/>
      <c r="CW84" s="146"/>
      <c r="CX84" s="146"/>
      <c r="CY84" s="146"/>
      <c r="CZ84" s="146"/>
      <c r="DA84" s="146"/>
      <c r="DB84" s="146"/>
      <c r="DC84" s="146"/>
      <c r="DD84" s="146"/>
      <c r="DE84" s="146"/>
      <c r="DF84" s="146"/>
      <c r="DG84" s="146"/>
      <c r="DH84" s="146"/>
      <c r="DI84" s="146"/>
      <c r="DJ84" s="146"/>
      <c r="DK84" s="146"/>
      <c r="DL84" s="146"/>
      <c r="DM84" s="146"/>
      <c r="DN84" s="146"/>
      <c r="DO84" s="146"/>
      <c r="DP84" s="146"/>
      <c r="DQ84" s="146"/>
      <c r="DR84" s="146"/>
      <c r="DS84" s="146"/>
      <c r="DT84" s="146"/>
      <c r="DU84" s="146"/>
      <c r="DV84" s="146"/>
      <c r="DW84" s="146"/>
      <c r="DX84" s="146"/>
      <c r="DY84" s="146"/>
      <c r="DZ84" s="146"/>
      <c r="EA84" s="146"/>
      <c r="EB84" s="146"/>
      <c r="EC84" s="146"/>
      <c r="ED84" s="146"/>
      <c r="EE84" s="146"/>
      <c r="EF84" s="146"/>
      <c r="EG84" s="146"/>
      <c r="EH84" s="146"/>
      <c r="EI84" s="146"/>
      <c r="EJ84" s="146"/>
      <c r="EK84" s="146"/>
      <c r="EL84" s="146"/>
      <c r="EM84" s="146"/>
      <c r="EN84" s="146"/>
      <c r="EO84" s="146"/>
      <c r="EP84" s="146"/>
      <c r="EQ84" s="146"/>
    </row>
    <row r="85">
      <c r="A85" s="184" t="s">
        <v>189</v>
      </c>
      <c r="B85" s="178" t="s">
        <v>429</v>
      </c>
      <c r="C85" s="179" t="s">
        <v>430</v>
      </c>
      <c r="D85" s="178" t="s">
        <v>328</v>
      </c>
      <c r="E85" s="179" t="s">
        <v>346</v>
      </c>
      <c r="F85" s="178" t="s">
        <v>330</v>
      </c>
      <c r="G85" s="178">
        <v>450.0</v>
      </c>
      <c r="H85" s="180"/>
      <c r="I85" s="180"/>
      <c r="J85" s="180">
        <v>43891.0</v>
      </c>
      <c r="K85" s="175">
        <f t="shared" si="16"/>
        <v>44986</v>
      </c>
      <c r="L85" s="176" t="str">
        <f t="shared" si="2"/>
        <v>Overdue</v>
      </c>
      <c r="M85" s="180"/>
      <c r="N85" s="146"/>
      <c r="O85" s="146"/>
      <c r="P85" s="146"/>
      <c r="Q85" s="146"/>
      <c r="R85" s="146"/>
      <c r="S85" s="146"/>
      <c r="T85" s="146"/>
      <c r="U85" s="146"/>
      <c r="V85" s="146"/>
      <c r="W85" s="146"/>
      <c r="X85" s="146"/>
      <c r="Y85" s="146"/>
      <c r="Z85" s="146"/>
      <c r="AA85" s="146"/>
      <c r="AB85" s="146"/>
      <c r="AC85" s="146"/>
      <c r="AD85" s="146"/>
      <c r="AE85" s="146"/>
      <c r="AF85" s="146"/>
      <c r="AG85" s="146"/>
      <c r="AH85" s="146"/>
      <c r="AI85" s="146"/>
      <c r="AJ85" s="146"/>
      <c r="AK85" s="146"/>
      <c r="AL85" s="146"/>
      <c r="AM85" s="146"/>
      <c r="AN85" s="146"/>
      <c r="AO85" s="146"/>
      <c r="AP85" s="146"/>
      <c r="AQ85" s="146"/>
      <c r="AR85" s="146"/>
      <c r="AS85" s="146"/>
      <c r="AT85" s="146"/>
      <c r="AU85" s="146"/>
      <c r="AV85" s="146"/>
      <c r="AW85" s="146"/>
      <c r="AX85" s="146"/>
      <c r="AY85" s="146"/>
      <c r="AZ85" s="146"/>
      <c r="BA85" s="146"/>
      <c r="BB85" s="146"/>
      <c r="BC85" s="146"/>
      <c r="BD85" s="146"/>
      <c r="BE85" s="146"/>
      <c r="BF85" s="146"/>
      <c r="BG85" s="146"/>
      <c r="BH85" s="146"/>
      <c r="BI85" s="146"/>
      <c r="BJ85" s="146"/>
      <c r="BK85" s="146"/>
      <c r="BL85" s="146"/>
      <c r="BM85" s="146"/>
      <c r="BN85" s="146"/>
      <c r="BO85" s="146"/>
      <c r="BP85" s="146"/>
      <c r="BQ85" s="146"/>
      <c r="BR85" s="146"/>
      <c r="BS85" s="146"/>
      <c r="BT85" s="146"/>
      <c r="BU85" s="146"/>
      <c r="BV85" s="146"/>
      <c r="BW85" s="146"/>
      <c r="BX85" s="146"/>
      <c r="BY85" s="146"/>
      <c r="BZ85" s="146"/>
      <c r="CA85" s="146"/>
      <c r="CB85" s="146"/>
      <c r="CC85" s="146"/>
      <c r="CD85" s="146"/>
      <c r="CE85" s="146"/>
      <c r="CF85" s="146"/>
      <c r="CG85" s="146"/>
      <c r="CH85" s="146"/>
      <c r="CI85" s="146"/>
      <c r="CJ85" s="146"/>
      <c r="CK85" s="146"/>
      <c r="CL85" s="146"/>
      <c r="CM85" s="146"/>
      <c r="CN85" s="146"/>
      <c r="CO85" s="146"/>
      <c r="CP85" s="146"/>
      <c r="CQ85" s="146"/>
      <c r="CR85" s="146"/>
      <c r="CS85" s="146"/>
      <c r="CT85" s="146"/>
      <c r="CU85" s="146"/>
      <c r="CV85" s="146"/>
      <c r="CW85" s="146"/>
      <c r="CX85" s="146"/>
      <c r="CY85" s="146"/>
      <c r="CZ85" s="146"/>
      <c r="DA85" s="146"/>
      <c r="DB85" s="146"/>
      <c r="DC85" s="146"/>
      <c r="DD85" s="146"/>
      <c r="DE85" s="146"/>
      <c r="DF85" s="146"/>
      <c r="DG85" s="146"/>
      <c r="DH85" s="146"/>
      <c r="DI85" s="146"/>
      <c r="DJ85" s="146"/>
      <c r="DK85" s="146"/>
      <c r="DL85" s="146"/>
      <c r="DM85" s="146"/>
      <c r="DN85" s="146"/>
      <c r="DO85" s="146"/>
      <c r="DP85" s="146"/>
      <c r="DQ85" s="146"/>
      <c r="DR85" s="146"/>
      <c r="DS85" s="146"/>
      <c r="DT85" s="146"/>
      <c r="DU85" s="146"/>
      <c r="DV85" s="146"/>
      <c r="DW85" s="146"/>
      <c r="DX85" s="146"/>
      <c r="DY85" s="146"/>
      <c r="DZ85" s="146"/>
      <c r="EA85" s="146"/>
      <c r="EB85" s="146"/>
      <c r="EC85" s="146"/>
      <c r="ED85" s="146"/>
      <c r="EE85" s="146"/>
      <c r="EF85" s="146"/>
      <c r="EG85" s="146"/>
      <c r="EH85" s="146"/>
      <c r="EI85" s="146"/>
      <c r="EJ85" s="146"/>
      <c r="EK85" s="146"/>
      <c r="EL85" s="146"/>
      <c r="EM85" s="146"/>
      <c r="EN85" s="146"/>
      <c r="EO85" s="146"/>
      <c r="EP85" s="146"/>
      <c r="EQ85" s="146"/>
    </row>
    <row r="86">
      <c r="A86" s="185" t="s">
        <v>190</v>
      </c>
      <c r="B86" s="172" t="s">
        <v>429</v>
      </c>
      <c r="C86" s="173" t="s">
        <v>431</v>
      </c>
      <c r="D86" s="172" t="s">
        <v>328</v>
      </c>
      <c r="E86" s="173" t="s">
        <v>346</v>
      </c>
      <c r="F86" s="172" t="s">
        <v>330</v>
      </c>
      <c r="G86" s="172">
        <v>450.0</v>
      </c>
      <c r="H86" s="174"/>
      <c r="I86" s="174"/>
      <c r="J86" s="174">
        <v>43891.0</v>
      </c>
      <c r="K86" s="175">
        <f t="shared" si="16"/>
        <v>44986</v>
      </c>
      <c r="L86" s="176" t="str">
        <f t="shared" si="2"/>
        <v>Overdue</v>
      </c>
      <c r="M86" s="174"/>
      <c r="N86" s="146"/>
      <c r="O86" s="146"/>
      <c r="P86" s="146"/>
      <c r="Q86" s="146"/>
      <c r="R86" s="146"/>
      <c r="S86" s="146"/>
      <c r="T86" s="146"/>
      <c r="U86" s="146"/>
      <c r="V86" s="146"/>
      <c r="W86" s="146"/>
      <c r="X86" s="146"/>
      <c r="Y86" s="146"/>
      <c r="Z86" s="146"/>
      <c r="AA86" s="146"/>
      <c r="AB86" s="146"/>
      <c r="AC86" s="146"/>
      <c r="AD86" s="146"/>
      <c r="AE86" s="146"/>
      <c r="AF86" s="146"/>
      <c r="AG86" s="146"/>
      <c r="AH86" s="146"/>
      <c r="AI86" s="146"/>
      <c r="AJ86" s="146"/>
      <c r="AK86" s="146"/>
      <c r="AL86" s="146"/>
      <c r="AM86" s="146"/>
      <c r="AN86" s="146"/>
      <c r="AO86" s="146"/>
      <c r="AP86" s="146"/>
      <c r="AQ86" s="146"/>
      <c r="AR86" s="146"/>
      <c r="AS86" s="146"/>
      <c r="AT86" s="146"/>
      <c r="AU86" s="146"/>
      <c r="AV86" s="146"/>
      <c r="AW86" s="146"/>
      <c r="AX86" s="146"/>
      <c r="AY86" s="146"/>
      <c r="AZ86" s="146"/>
      <c r="BA86" s="146"/>
      <c r="BB86" s="146"/>
      <c r="BC86" s="146"/>
      <c r="BD86" s="146"/>
      <c r="BE86" s="146"/>
      <c r="BF86" s="146"/>
      <c r="BG86" s="146"/>
      <c r="BH86" s="146"/>
      <c r="BI86" s="146"/>
      <c r="BJ86" s="146"/>
      <c r="BK86" s="146"/>
      <c r="BL86" s="146"/>
      <c r="BM86" s="146"/>
      <c r="BN86" s="146"/>
      <c r="BO86" s="146"/>
      <c r="BP86" s="146"/>
      <c r="BQ86" s="146"/>
      <c r="BR86" s="146"/>
      <c r="BS86" s="146"/>
      <c r="BT86" s="146"/>
      <c r="BU86" s="146"/>
      <c r="BV86" s="146"/>
      <c r="BW86" s="146"/>
      <c r="BX86" s="146"/>
      <c r="BY86" s="146"/>
      <c r="BZ86" s="146"/>
      <c r="CA86" s="146"/>
      <c r="CB86" s="146"/>
      <c r="CC86" s="146"/>
      <c r="CD86" s="146"/>
      <c r="CE86" s="146"/>
      <c r="CF86" s="146"/>
      <c r="CG86" s="146"/>
      <c r="CH86" s="146"/>
      <c r="CI86" s="146"/>
      <c r="CJ86" s="146"/>
      <c r="CK86" s="146"/>
      <c r="CL86" s="146"/>
      <c r="CM86" s="146"/>
      <c r="CN86" s="146"/>
      <c r="CO86" s="146"/>
      <c r="CP86" s="146"/>
      <c r="CQ86" s="146"/>
      <c r="CR86" s="146"/>
      <c r="CS86" s="146"/>
      <c r="CT86" s="146"/>
      <c r="CU86" s="146"/>
      <c r="CV86" s="146"/>
      <c r="CW86" s="146"/>
      <c r="CX86" s="146"/>
      <c r="CY86" s="146"/>
      <c r="CZ86" s="146"/>
      <c r="DA86" s="146"/>
      <c r="DB86" s="146"/>
      <c r="DC86" s="146"/>
      <c r="DD86" s="146"/>
      <c r="DE86" s="146"/>
      <c r="DF86" s="146"/>
      <c r="DG86" s="146"/>
      <c r="DH86" s="146"/>
      <c r="DI86" s="146"/>
      <c r="DJ86" s="146"/>
      <c r="DK86" s="146"/>
      <c r="DL86" s="146"/>
      <c r="DM86" s="146"/>
      <c r="DN86" s="146"/>
      <c r="DO86" s="146"/>
      <c r="DP86" s="146"/>
      <c r="DQ86" s="146"/>
      <c r="DR86" s="146"/>
      <c r="DS86" s="146"/>
      <c r="DT86" s="146"/>
      <c r="DU86" s="146"/>
      <c r="DV86" s="146"/>
      <c r="DW86" s="146"/>
      <c r="DX86" s="146"/>
      <c r="DY86" s="146"/>
      <c r="DZ86" s="146"/>
      <c r="EA86" s="146"/>
      <c r="EB86" s="146"/>
      <c r="EC86" s="146"/>
      <c r="ED86" s="146"/>
      <c r="EE86" s="146"/>
      <c r="EF86" s="146"/>
      <c r="EG86" s="146"/>
      <c r="EH86" s="146"/>
      <c r="EI86" s="146"/>
      <c r="EJ86" s="146"/>
      <c r="EK86" s="146"/>
      <c r="EL86" s="146"/>
      <c r="EM86" s="146"/>
      <c r="EN86" s="146"/>
      <c r="EO86" s="146"/>
      <c r="EP86" s="146"/>
      <c r="EQ86" s="146"/>
    </row>
    <row r="87">
      <c r="A87" s="184" t="s">
        <v>191</v>
      </c>
      <c r="B87" s="178" t="s">
        <v>421</v>
      </c>
      <c r="C87" s="179" t="s">
        <v>432</v>
      </c>
      <c r="D87" s="178" t="s">
        <v>328</v>
      </c>
      <c r="E87" s="179" t="s">
        <v>377</v>
      </c>
      <c r="F87" s="178" t="s">
        <v>330</v>
      </c>
      <c r="G87" s="178">
        <v>50.0</v>
      </c>
      <c r="H87" s="180">
        <v>44378.0</v>
      </c>
      <c r="I87" s="180">
        <v>44621.0</v>
      </c>
      <c r="J87" s="180">
        <v>45781.0</v>
      </c>
      <c r="K87" s="175">
        <f t="shared" si="16"/>
        <v>46877</v>
      </c>
      <c r="L87" s="176" t="str">
        <f t="shared" si="2"/>
        <v>Ok</v>
      </c>
      <c r="M87" s="180"/>
      <c r="N87" s="146"/>
      <c r="O87" s="146"/>
      <c r="P87" s="146"/>
      <c r="Q87" s="146"/>
      <c r="R87" s="146"/>
      <c r="S87" s="146"/>
      <c r="T87" s="146"/>
      <c r="U87" s="146"/>
      <c r="V87" s="146"/>
      <c r="W87" s="146"/>
      <c r="X87" s="146"/>
      <c r="Y87" s="146"/>
      <c r="Z87" s="146"/>
      <c r="AA87" s="146"/>
      <c r="AB87" s="146"/>
      <c r="AC87" s="146"/>
      <c r="AD87" s="146"/>
      <c r="AE87" s="146"/>
      <c r="AF87" s="146"/>
      <c r="AG87" s="146"/>
      <c r="AH87" s="146"/>
      <c r="AI87" s="146"/>
      <c r="AJ87" s="146"/>
      <c r="AK87" s="146"/>
      <c r="AL87" s="146"/>
      <c r="AM87" s="146"/>
      <c r="AN87" s="146"/>
      <c r="AO87" s="146"/>
      <c r="AP87" s="146"/>
      <c r="AQ87" s="146"/>
      <c r="AR87" s="146"/>
      <c r="AS87" s="146"/>
      <c r="AT87" s="146"/>
      <c r="AU87" s="146"/>
      <c r="AV87" s="146"/>
      <c r="AW87" s="146"/>
      <c r="AX87" s="146"/>
      <c r="AY87" s="146"/>
      <c r="AZ87" s="146"/>
      <c r="BA87" s="146"/>
      <c r="BB87" s="146"/>
      <c r="BC87" s="146"/>
      <c r="BD87" s="146"/>
      <c r="BE87" s="146"/>
      <c r="BF87" s="146"/>
      <c r="BG87" s="146"/>
      <c r="BH87" s="146"/>
      <c r="BI87" s="146"/>
      <c r="BJ87" s="146"/>
      <c r="BK87" s="146"/>
      <c r="BL87" s="146"/>
      <c r="BM87" s="146"/>
      <c r="BN87" s="146"/>
      <c r="BO87" s="146"/>
      <c r="BP87" s="146"/>
      <c r="BQ87" s="146"/>
      <c r="BR87" s="146"/>
      <c r="BS87" s="146"/>
      <c r="BT87" s="146"/>
      <c r="BU87" s="146"/>
      <c r="BV87" s="146"/>
      <c r="BW87" s="146"/>
      <c r="BX87" s="146"/>
      <c r="BY87" s="146"/>
      <c r="BZ87" s="146"/>
      <c r="CA87" s="146"/>
      <c r="CB87" s="146"/>
      <c r="CC87" s="146"/>
      <c r="CD87" s="146"/>
      <c r="CE87" s="146"/>
      <c r="CF87" s="146"/>
      <c r="CG87" s="146"/>
      <c r="CH87" s="146"/>
      <c r="CI87" s="146"/>
      <c r="CJ87" s="146"/>
      <c r="CK87" s="146"/>
      <c r="CL87" s="146"/>
      <c r="CM87" s="146"/>
      <c r="CN87" s="146"/>
      <c r="CO87" s="146"/>
      <c r="CP87" s="146"/>
      <c r="CQ87" s="146"/>
      <c r="CR87" s="146"/>
      <c r="CS87" s="146"/>
      <c r="CT87" s="146"/>
      <c r="CU87" s="146"/>
      <c r="CV87" s="146"/>
      <c r="CW87" s="146"/>
      <c r="CX87" s="146"/>
      <c r="CY87" s="146"/>
      <c r="CZ87" s="146"/>
      <c r="DA87" s="146"/>
      <c r="DB87" s="146"/>
      <c r="DC87" s="146"/>
      <c r="DD87" s="146"/>
      <c r="DE87" s="146"/>
      <c r="DF87" s="146"/>
      <c r="DG87" s="146"/>
      <c r="DH87" s="146"/>
      <c r="DI87" s="146"/>
      <c r="DJ87" s="146"/>
      <c r="DK87" s="146"/>
      <c r="DL87" s="146"/>
      <c r="DM87" s="146"/>
      <c r="DN87" s="146"/>
      <c r="DO87" s="146"/>
      <c r="DP87" s="146"/>
      <c r="DQ87" s="146"/>
      <c r="DR87" s="146"/>
      <c r="DS87" s="146"/>
      <c r="DT87" s="146"/>
      <c r="DU87" s="146"/>
      <c r="DV87" s="146"/>
      <c r="DW87" s="146"/>
      <c r="DX87" s="146"/>
      <c r="DY87" s="146"/>
      <c r="DZ87" s="146"/>
      <c r="EA87" s="146"/>
      <c r="EB87" s="146"/>
      <c r="EC87" s="146"/>
      <c r="ED87" s="146"/>
      <c r="EE87" s="146"/>
      <c r="EF87" s="146"/>
      <c r="EG87" s="146"/>
      <c r="EH87" s="146"/>
      <c r="EI87" s="146"/>
      <c r="EJ87" s="146"/>
      <c r="EK87" s="146"/>
      <c r="EL87" s="146"/>
      <c r="EM87" s="146"/>
      <c r="EN87" s="146"/>
      <c r="EO87" s="146"/>
      <c r="EP87" s="146"/>
      <c r="EQ87" s="146"/>
    </row>
    <row r="88">
      <c r="A88" s="185" t="s">
        <v>192</v>
      </c>
      <c r="B88" s="172" t="s">
        <v>421</v>
      </c>
      <c r="C88" s="173" t="s">
        <v>433</v>
      </c>
      <c r="D88" s="172" t="s">
        <v>328</v>
      </c>
      <c r="E88" s="173" t="s">
        <v>344</v>
      </c>
      <c r="F88" s="172" t="s">
        <v>330</v>
      </c>
      <c r="G88" s="172">
        <v>31.0</v>
      </c>
      <c r="H88" s="174"/>
      <c r="I88" s="174"/>
      <c r="J88" s="174">
        <v>45781.0</v>
      </c>
      <c r="K88" s="175">
        <f t="shared" si="16"/>
        <v>46877</v>
      </c>
      <c r="L88" s="176" t="str">
        <f t="shared" si="2"/>
        <v>Ok</v>
      </c>
      <c r="M88" s="174"/>
      <c r="N88" s="146"/>
      <c r="O88" s="146"/>
      <c r="P88" s="146"/>
      <c r="Q88" s="146"/>
      <c r="R88" s="146"/>
      <c r="S88" s="146"/>
      <c r="T88" s="146"/>
      <c r="U88" s="146"/>
      <c r="V88" s="146"/>
      <c r="W88" s="146"/>
      <c r="X88" s="146"/>
      <c r="Y88" s="146"/>
      <c r="Z88" s="146"/>
      <c r="AA88" s="146"/>
      <c r="AB88" s="146"/>
      <c r="AC88" s="146"/>
      <c r="AD88" s="146"/>
      <c r="AE88" s="146"/>
      <c r="AF88" s="146"/>
      <c r="AG88" s="146"/>
      <c r="AH88" s="146"/>
      <c r="AI88" s="146"/>
      <c r="AJ88" s="146"/>
      <c r="AK88" s="146"/>
      <c r="AL88" s="146"/>
      <c r="AM88" s="146"/>
      <c r="AN88" s="146"/>
      <c r="AO88" s="146"/>
      <c r="AP88" s="146"/>
      <c r="AQ88" s="146"/>
      <c r="AR88" s="146"/>
      <c r="AS88" s="146"/>
      <c r="AT88" s="146"/>
      <c r="AU88" s="146"/>
      <c r="AV88" s="146"/>
      <c r="AW88" s="146"/>
      <c r="AX88" s="146"/>
      <c r="AY88" s="146"/>
      <c r="AZ88" s="146"/>
      <c r="BA88" s="146"/>
      <c r="BB88" s="146"/>
      <c r="BC88" s="146"/>
      <c r="BD88" s="146"/>
      <c r="BE88" s="146"/>
      <c r="BF88" s="146"/>
      <c r="BG88" s="146"/>
      <c r="BH88" s="146"/>
      <c r="BI88" s="146"/>
      <c r="BJ88" s="146"/>
      <c r="BK88" s="146"/>
      <c r="BL88" s="146"/>
      <c r="BM88" s="146"/>
      <c r="BN88" s="146"/>
      <c r="BO88" s="146"/>
      <c r="BP88" s="146"/>
      <c r="BQ88" s="146"/>
      <c r="BR88" s="146"/>
      <c r="BS88" s="146"/>
      <c r="BT88" s="146"/>
      <c r="BU88" s="146"/>
      <c r="BV88" s="146"/>
      <c r="BW88" s="146"/>
      <c r="BX88" s="146"/>
      <c r="BY88" s="146"/>
      <c r="BZ88" s="146"/>
      <c r="CA88" s="146"/>
      <c r="CB88" s="146"/>
      <c r="CC88" s="146"/>
      <c r="CD88" s="146"/>
      <c r="CE88" s="146"/>
      <c r="CF88" s="146"/>
      <c r="CG88" s="146"/>
      <c r="CH88" s="146"/>
      <c r="CI88" s="146"/>
      <c r="CJ88" s="146"/>
      <c r="CK88" s="146"/>
      <c r="CL88" s="146"/>
      <c r="CM88" s="146"/>
      <c r="CN88" s="146"/>
      <c r="CO88" s="146"/>
      <c r="CP88" s="146"/>
      <c r="CQ88" s="146"/>
      <c r="CR88" s="146"/>
      <c r="CS88" s="146"/>
      <c r="CT88" s="146"/>
      <c r="CU88" s="146"/>
      <c r="CV88" s="146"/>
      <c r="CW88" s="146"/>
      <c r="CX88" s="146"/>
      <c r="CY88" s="146"/>
      <c r="CZ88" s="146"/>
      <c r="DA88" s="146"/>
      <c r="DB88" s="146"/>
      <c r="DC88" s="146"/>
      <c r="DD88" s="146"/>
      <c r="DE88" s="146"/>
      <c r="DF88" s="146"/>
      <c r="DG88" s="146"/>
      <c r="DH88" s="146"/>
      <c r="DI88" s="146"/>
      <c r="DJ88" s="146"/>
      <c r="DK88" s="146"/>
      <c r="DL88" s="146"/>
      <c r="DM88" s="146"/>
      <c r="DN88" s="146"/>
      <c r="DO88" s="146"/>
      <c r="DP88" s="146"/>
      <c r="DQ88" s="146"/>
      <c r="DR88" s="146"/>
      <c r="DS88" s="146"/>
      <c r="DT88" s="146"/>
      <c r="DU88" s="146"/>
      <c r="DV88" s="146"/>
      <c r="DW88" s="146"/>
      <c r="DX88" s="146"/>
      <c r="DY88" s="146"/>
      <c r="DZ88" s="146"/>
      <c r="EA88" s="146"/>
      <c r="EB88" s="146"/>
      <c r="EC88" s="146"/>
      <c r="ED88" s="146"/>
      <c r="EE88" s="146"/>
      <c r="EF88" s="146"/>
      <c r="EG88" s="146"/>
      <c r="EH88" s="146"/>
      <c r="EI88" s="146"/>
      <c r="EJ88" s="146"/>
      <c r="EK88" s="146"/>
      <c r="EL88" s="146"/>
      <c r="EM88" s="146"/>
      <c r="EN88" s="146"/>
      <c r="EO88" s="146"/>
      <c r="EP88" s="146"/>
      <c r="EQ88" s="146"/>
    </row>
    <row r="89">
      <c r="A89" s="184" t="s">
        <v>3</v>
      </c>
      <c r="B89" s="178" t="s">
        <v>424</v>
      </c>
      <c r="C89" s="179" t="s">
        <v>425</v>
      </c>
      <c r="D89" s="178" t="s">
        <v>328</v>
      </c>
      <c r="E89" s="179" t="s">
        <v>426</v>
      </c>
      <c r="F89" s="178" t="s">
        <v>330</v>
      </c>
      <c r="G89" s="178">
        <v>120.0</v>
      </c>
      <c r="H89" s="180">
        <v>44852.0</v>
      </c>
      <c r="I89" s="180">
        <v>45200.0</v>
      </c>
      <c r="J89" s="180">
        <v>46067.0</v>
      </c>
      <c r="K89" s="175">
        <f t="shared" si="16"/>
        <v>47163</v>
      </c>
      <c r="L89" s="176" t="str">
        <f t="shared" si="2"/>
        <v>Ok</v>
      </c>
      <c r="M89" s="180"/>
      <c r="N89" s="146"/>
      <c r="O89" s="146"/>
      <c r="P89" s="146"/>
      <c r="Q89" s="146"/>
      <c r="R89" s="146"/>
      <c r="S89" s="146"/>
      <c r="T89" s="146"/>
      <c r="U89" s="146"/>
      <c r="V89" s="146"/>
      <c r="W89" s="146"/>
      <c r="X89" s="146"/>
      <c r="Y89" s="146"/>
      <c r="Z89" s="146"/>
      <c r="AA89" s="146"/>
      <c r="AB89" s="146"/>
      <c r="AC89" s="146"/>
      <c r="AD89" s="146"/>
      <c r="AE89" s="146"/>
      <c r="AF89" s="146"/>
      <c r="AG89" s="146"/>
      <c r="AH89" s="146"/>
      <c r="AI89" s="146"/>
      <c r="AJ89" s="146"/>
      <c r="AK89" s="146"/>
      <c r="AL89" s="146"/>
      <c r="AM89" s="146"/>
      <c r="AN89" s="146"/>
      <c r="AO89" s="146"/>
      <c r="AP89" s="146"/>
      <c r="AQ89" s="146"/>
      <c r="AR89" s="146"/>
      <c r="AS89" s="146"/>
      <c r="AT89" s="146"/>
      <c r="AU89" s="146"/>
      <c r="AV89" s="146"/>
      <c r="AW89" s="146"/>
      <c r="AX89" s="146"/>
      <c r="AY89" s="146"/>
      <c r="AZ89" s="146"/>
      <c r="BA89" s="146"/>
      <c r="BB89" s="146"/>
      <c r="BC89" s="146"/>
      <c r="BD89" s="146"/>
      <c r="BE89" s="146"/>
      <c r="BF89" s="146"/>
      <c r="BG89" s="146"/>
      <c r="BH89" s="146"/>
      <c r="BI89" s="146"/>
      <c r="BJ89" s="146"/>
      <c r="BK89" s="146"/>
      <c r="BL89" s="146"/>
      <c r="BM89" s="146"/>
      <c r="BN89" s="146"/>
      <c r="BO89" s="146"/>
      <c r="BP89" s="146"/>
      <c r="BQ89" s="146"/>
      <c r="BR89" s="146"/>
      <c r="BS89" s="146"/>
      <c r="BT89" s="146"/>
      <c r="BU89" s="146"/>
      <c r="BV89" s="146"/>
      <c r="BW89" s="146"/>
      <c r="BX89" s="146"/>
      <c r="BY89" s="146"/>
      <c r="BZ89" s="146"/>
      <c r="CA89" s="146"/>
      <c r="CB89" s="146"/>
      <c r="CC89" s="146"/>
      <c r="CD89" s="146"/>
      <c r="CE89" s="146"/>
      <c r="CF89" s="146"/>
      <c r="CG89" s="146"/>
      <c r="CH89" s="146"/>
      <c r="CI89" s="146"/>
      <c r="CJ89" s="146"/>
      <c r="CK89" s="146"/>
      <c r="CL89" s="146"/>
      <c r="CM89" s="146"/>
      <c r="CN89" s="146"/>
      <c r="CO89" s="146"/>
      <c r="CP89" s="146"/>
      <c r="CQ89" s="146"/>
      <c r="CR89" s="146"/>
      <c r="CS89" s="146"/>
      <c r="CT89" s="146"/>
      <c r="CU89" s="146"/>
      <c r="CV89" s="146"/>
      <c r="CW89" s="146"/>
      <c r="CX89" s="146"/>
      <c r="CY89" s="146"/>
      <c r="CZ89" s="146"/>
      <c r="DA89" s="146"/>
      <c r="DB89" s="146"/>
      <c r="DC89" s="146"/>
      <c r="DD89" s="146"/>
      <c r="DE89" s="146"/>
      <c r="DF89" s="146"/>
      <c r="DG89" s="146"/>
      <c r="DH89" s="146"/>
      <c r="DI89" s="146"/>
      <c r="DJ89" s="146"/>
      <c r="DK89" s="146"/>
      <c r="DL89" s="146"/>
      <c r="DM89" s="146"/>
      <c r="DN89" s="146"/>
      <c r="DO89" s="146"/>
      <c r="DP89" s="146"/>
      <c r="DQ89" s="146"/>
      <c r="DR89" s="146"/>
      <c r="DS89" s="146"/>
      <c r="DT89" s="146"/>
      <c r="DU89" s="146"/>
      <c r="DV89" s="146"/>
      <c r="DW89" s="146"/>
      <c r="DX89" s="146"/>
      <c r="DY89" s="146"/>
      <c r="DZ89" s="146"/>
      <c r="EA89" s="146"/>
      <c r="EB89" s="146"/>
      <c r="EC89" s="146"/>
      <c r="ED89" s="146"/>
      <c r="EE89" s="146"/>
      <c r="EF89" s="146"/>
      <c r="EG89" s="146"/>
      <c r="EH89" s="146"/>
      <c r="EI89" s="146"/>
      <c r="EJ89" s="146"/>
      <c r="EK89" s="146"/>
      <c r="EL89" s="146"/>
      <c r="EM89" s="146"/>
      <c r="EN89" s="146"/>
      <c r="EO89" s="146"/>
      <c r="EP89" s="146"/>
      <c r="EQ89" s="146"/>
    </row>
    <row r="90">
      <c r="A90" s="185" t="s">
        <v>193</v>
      </c>
      <c r="B90" s="172"/>
      <c r="C90" s="173" t="s">
        <v>425</v>
      </c>
      <c r="D90" s="178" t="s">
        <v>328</v>
      </c>
      <c r="E90" s="179" t="s">
        <v>426</v>
      </c>
      <c r="F90" s="178" t="s">
        <v>330</v>
      </c>
      <c r="G90" s="178">
        <v>120.0</v>
      </c>
      <c r="H90" s="180">
        <v>44852.0</v>
      </c>
      <c r="I90" s="180">
        <v>45200.0</v>
      </c>
      <c r="J90" s="180">
        <v>46067.0</v>
      </c>
      <c r="K90" s="175">
        <f t="shared" si="16"/>
        <v>47163</v>
      </c>
      <c r="L90" s="176" t="str">
        <f t="shared" si="2"/>
        <v>Ok</v>
      </c>
      <c r="M90" s="174"/>
      <c r="N90" s="146"/>
      <c r="O90" s="146"/>
      <c r="P90" s="146"/>
      <c r="Q90" s="146"/>
      <c r="R90" s="146"/>
      <c r="S90" s="146"/>
      <c r="T90" s="146"/>
      <c r="U90" s="146"/>
      <c r="V90" s="146"/>
      <c r="W90" s="146"/>
      <c r="X90" s="146"/>
      <c r="Y90" s="146"/>
      <c r="Z90" s="146"/>
      <c r="AA90" s="146"/>
      <c r="AB90" s="146"/>
      <c r="AC90" s="146"/>
      <c r="AD90" s="146"/>
      <c r="AE90" s="146"/>
      <c r="AF90" s="146"/>
      <c r="AG90" s="146"/>
      <c r="AH90" s="146"/>
      <c r="AI90" s="146"/>
      <c r="AJ90" s="146"/>
      <c r="AK90" s="146"/>
      <c r="AL90" s="146"/>
      <c r="AM90" s="146"/>
      <c r="AN90" s="146"/>
      <c r="AO90" s="146"/>
      <c r="AP90" s="146"/>
      <c r="AQ90" s="146"/>
      <c r="AR90" s="146"/>
      <c r="AS90" s="146"/>
      <c r="AT90" s="146"/>
      <c r="AU90" s="146"/>
      <c r="AV90" s="146"/>
      <c r="AW90" s="146"/>
      <c r="AX90" s="146"/>
      <c r="AY90" s="146"/>
      <c r="AZ90" s="146"/>
      <c r="BA90" s="146"/>
      <c r="BB90" s="146"/>
      <c r="BC90" s="146"/>
      <c r="BD90" s="146"/>
      <c r="BE90" s="146"/>
      <c r="BF90" s="146"/>
      <c r="BG90" s="146"/>
      <c r="BH90" s="146"/>
      <c r="BI90" s="146"/>
      <c r="BJ90" s="146"/>
      <c r="BK90" s="146"/>
      <c r="BL90" s="146"/>
      <c r="BM90" s="146"/>
      <c r="BN90" s="146"/>
      <c r="BO90" s="146"/>
      <c r="BP90" s="146"/>
      <c r="BQ90" s="146"/>
      <c r="BR90" s="146"/>
      <c r="BS90" s="146"/>
      <c r="BT90" s="146"/>
      <c r="BU90" s="146"/>
      <c r="BV90" s="146"/>
      <c r="BW90" s="146"/>
      <c r="BX90" s="146"/>
      <c r="BY90" s="146"/>
      <c r="BZ90" s="146"/>
      <c r="CA90" s="146"/>
      <c r="CB90" s="146"/>
      <c r="CC90" s="146"/>
      <c r="CD90" s="146"/>
      <c r="CE90" s="146"/>
      <c r="CF90" s="146"/>
      <c r="CG90" s="146"/>
      <c r="CH90" s="146"/>
      <c r="CI90" s="146"/>
      <c r="CJ90" s="146"/>
      <c r="CK90" s="146"/>
      <c r="CL90" s="146"/>
      <c r="CM90" s="146"/>
      <c r="CN90" s="146"/>
      <c r="CO90" s="146"/>
      <c r="CP90" s="146"/>
      <c r="CQ90" s="146"/>
      <c r="CR90" s="146"/>
      <c r="CS90" s="146"/>
      <c r="CT90" s="146"/>
      <c r="CU90" s="146"/>
      <c r="CV90" s="146"/>
      <c r="CW90" s="146"/>
      <c r="CX90" s="146"/>
      <c r="CY90" s="146"/>
      <c r="CZ90" s="146"/>
      <c r="DA90" s="146"/>
      <c r="DB90" s="146"/>
      <c r="DC90" s="146"/>
      <c r="DD90" s="146"/>
      <c r="DE90" s="146"/>
      <c r="DF90" s="146"/>
      <c r="DG90" s="146"/>
      <c r="DH90" s="146"/>
      <c r="DI90" s="146"/>
      <c r="DJ90" s="146"/>
      <c r="DK90" s="146"/>
      <c r="DL90" s="146"/>
      <c r="DM90" s="146"/>
      <c r="DN90" s="146"/>
      <c r="DO90" s="146"/>
      <c r="DP90" s="146"/>
      <c r="DQ90" s="146"/>
      <c r="DR90" s="146"/>
      <c r="DS90" s="146"/>
      <c r="DT90" s="146"/>
      <c r="DU90" s="146"/>
      <c r="DV90" s="146"/>
      <c r="DW90" s="146"/>
      <c r="DX90" s="146"/>
      <c r="DY90" s="146"/>
      <c r="DZ90" s="146"/>
      <c r="EA90" s="146"/>
      <c r="EB90" s="146"/>
      <c r="EC90" s="146"/>
      <c r="ED90" s="146"/>
      <c r="EE90" s="146"/>
      <c r="EF90" s="146"/>
      <c r="EG90" s="146"/>
      <c r="EH90" s="146"/>
      <c r="EI90" s="146"/>
      <c r="EJ90" s="146"/>
      <c r="EK90" s="146"/>
      <c r="EL90" s="146"/>
      <c r="EM90" s="146"/>
      <c r="EN90" s="146"/>
      <c r="EO90" s="146"/>
      <c r="EP90" s="146"/>
      <c r="EQ90" s="146"/>
    </row>
    <row r="91">
      <c r="A91" s="184" t="s">
        <v>194</v>
      </c>
      <c r="B91" s="178"/>
      <c r="C91" s="179" t="s">
        <v>425</v>
      </c>
      <c r="D91" s="178" t="s">
        <v>328</v>
      </c>
      <c r="E91" s="179" t="s">
        <v>426</v>
      </c>
      <c r="F91" s="178" t="s">
        <v>330</v>
      </c>
      <c r="G91" s="178">
        <v>120.0</v>
      </c>
      <c r="H91" s="180">
        <v>44852.0</v>
      </c>
      <c r="I91" s="180">
        <v>45200.0</v>
      </c>
      <c r="J91" s="180">
        <v>46067.0</v>
      </c>
      <c r="K91" s="175">
        <f t="shared" si="16"/>
        <v>47163</v>
      </c>
      <c r="L91" s="176" t="str">
        <f t="shared" si="2"/>
        <v>Ok</v>
      </c>
      <c r="M91" s="180"/>
      <c r="N91" s="146"/>
      <c r="O91" s="146"/>
      <c r="P91" s="146"/>
      <c r="Q91" s="146"/>
      <c r="R91" s="146"/>
      <c r="S91" s="146"/>
      <c r="T91" s="146"/>
      <c r="U91" s="146"/>
      <c r="V91" s="146"/>
      <c r="W91" s="146"/>
      <c r="X91" s="146"/>
      <c r="Y91" s="146"/>
      <c r="Z91" s="146"/>
      <c r="AA91" s="146"/>
      <c r="AB91" s="146"/>
      <c r="AC91" s="146"/>
      <c r="AD91" s="146"/>
      <c r="AE91" s="146"/>
      <c r="AF91" s="146"/>
      <c r="AG91" s="146"/>
      <c r="AH91" s="146"/>
      <c r="AI91" s="146"/>
      <c r="AJ91" s="146"/>
      <c r="AK91" s="146"/>
      <c r="AL91" s="146"/>
      <c r="AM91" s="146"/>
      <c r="AN91" s="146"/>
      <c r="AO91" s="146"/>
      <c r="AP91" s="146"/>
      <c r="AQ91" s="146"/>
      <c r="AR91" s="146"/>
      <c r="AS91" s="146"/>
      <c r="AT91" s="146"/>
      <c r="AU91" s="146"/>
      <c r="AV91" s="146"/>
      <c r="AW91" s="146"/>
      <c r="AX91" s="146"/>
      <c r="AY91" s="146"/>
      <c r="AZ91" s="146"/>
      <c r="BA91" s="146"/>
      <c r="BB91" s="146"/>
      <c r="BC91" s="146"/>
      <c r="BD91" s="146"/>
      <c r="BE91" s="146"/>
      <c r="BF91" s="146"/>
      <c r="BG91" s="146"/>
      <c r="BH91" s="146"/>
      <c r="BI91" s="146"/>
      <c r="BJ91" s="146"/>
      <c r="BK91" s="146"/>
      <c r="BL91" s="146"/>
      <c r="BM91" s="146"/>
      <c r="BN91" s="146"/>
      <c r="BO91" s="146"/>
      <c r="BP91" s="146"/>
      <c r="BQ91" s="146"/>
      <c r="BR91" s="146"/>
      <c r="BS91" s="146"/>
      <c r="BT91" s="146"/>
      <c r="BU91" s="146"/>
      <c r="BV91" s="146"/>
      <c r="BW91" s="146"/>
      <c r="BX91" s="146"/>
      <c r="BY91" s="146"/>
      <c r="BZ91" s="146"/>
      <c r="CA91" s="146"/>
      <c r="CB91" s="146"/>
      <c r="CC91" s="146"/>
      <c r="CD91" s="146"/>
      <c r="CE91" s="146"/>
      <c r="CF91" s="146"/>
      <c r="CG91" s="146"/>
      <c r="CH91" s="146"/>
      <c r="CI91" s="146"/>
      <c r="CJ91" s="146"/>
      <c r="CK91" s="146"/>
      <c r="CL91" s="146"/>
      <c r="CM91" s="146"/>
      <c r="CN91" s="146"/>
      <c r="CO91" s="146"/>
      <c r="CP91" s="146"/>
      <c r="CQ91" s="146"/>
      <c r="CR91" s="146"/>
      <c r="CS91" s="146"/>
      <c r="CT91" s="146"/>
      <c r="CU91" s="146"/>
      <c r="CV91" s="146"/>
      <c r="CW91" s="146"/>
      <c r="CX91" s="146"/>
      <c r="CY91" s="146"/>
      <c r="CZ91" s="146"/>
      <c r="DA91" s="146"/>
      <c r="DB91" s="146"/>
      <c r="DC91" s="146"/>
      <c r="DD91" s="146"/>
      <c r="DE91" s="146"/>
      <c r="DF91" s="146"/>
      <c r="DG91" s="146"/>
      <c r="DH91" s="146"/>
      <c r="DI91" s="146"/>
      <c r="DJ91" s="146"/>
      <c r="DK91" s="146"/>
      <c r="DL91" s="146"/>
      <c r="DM91" s="146"/>
      <c r="DN91" s="146"/>
      <c r="DO91" s="146"/>
      <c r="DP91" s="146"/>
      <c r="DQ91" s="146"/>
      <c r="DR91" s="146"/>
      <c r="DS91" s="146"/>
      <c r="DT91" s="146"/>
      <c r="DU91" s="146"/>
      <c r="DV91" s="146"/>
      <c r="DW91" s="146"/>
      <c r="DX91" s="146"/>
      <c r="DY91" s="146"/>
      <c r="DZ91" s="146"/>
      <c r="EA91" s="146"/>
      <c r="EB91" s="146"/>
      <c r="EC91" s="146"/>
      <c r="ED91" s="146"/>
      <c r="EE91" s="146"/>
      <c r="EF91" s="146"/>
      <c r="EG91" s="146"/>
      <c r="EH91" s="146"/>
      <c r="EI91" s="146"/>
      <c r="EJ91" s="146"/>
      <c r="EK91" s="146"/>
      <c r="EL91" s="146"/>
      <c r="EM91" s="146"/>
      <c r="EN91" s="146"/>
      <c r="EO91" s="146"/>
      <c r="EP91" s="146"/>
      <c r="EQ91" s="146"/>
    </row>
    <row r="92">
      <c r="A92" s="185" t="s">
        <v>195</v>
      </c>
      <c r="B92" s="172"/>
      <c r="C92" s="173" t="s">
        <v>425</v>
      </c>
      <c r="D92" s="178" t="s">
        <v>328</v>
      </c>
      <c r="E92" s="179" t="s">
        <v>426</v>
      </c>
      <c r="F92" s="178" t="s">
        <v>330</v>
      </c>
      <c r="G92" s="178">
        <v>120.0</v>
      </c>
      <c r="H92" s="180">
        <v>44852.0</v>
      </c>
      <c r="I92" s="180">
        <v>45200.0</v>
      </c>
      <c r="J92" s="180">
        <v>46067.0</v>
      </c>
      <c r="K92" s="175">
        <f t="shared" si="16"/>
        <v>47163</v>
      </c>
      <c r="L92" s="176" t="str">
        <f t="shared" si="2"/>
        <v>Ok</v>
      </c>
      <c r="M92" s="174"/>
      <c r="N92" s="146"/>
      <c r="O92" s="146"/>
      <c r="P92" s="146"/>
      <c r="Q92" s="146"/>
      <c r="R92" s="146"/>
      <c r="S92" s="146"/>
      <c r="T92" s="146"/>
      <c r="U92" s="146"/>
      <c r="V92" s="146"/>
      <c r="W92" s="146"/>
      <c r="X92" s="146"/>
      <c r="Y92" s="146"/>
      <c r="Z92" s="146"/>
      <c r="AA92" s="146"/>
      <c r="AB92" s="146"/>
      <c r="AC92" s="146"/>
      <c r="AD92" s="146"/>
      <c r="AE92" s="146"/>
      <c r="AF92" s="146"/>
      <c r="AG92" s="146"/>
      <c r="AH92" s="146"/>
      <c r="AI92" s="146"/>
      <c r="AJ92" s="146"/>
      <c r="AK92" s="146"/>
      <c r="AL92" s="146"/>
      <c r="AM92" s="146"/>
      <c r="AN92" s="146"/>
      <c r="AO92" s="146"/>
      <c r="AP92" s="146"/>
      <c r="AQ92" s="146"/>
      <c r="AR92" s="146"/>
      <c r="AS92" s="146"/>
      <c r="AT92" s="146"/>
      <c r="AU92" s="146"/>
      <c r="AV92" s="146"/>
      <c r="AW92" s="146"/>
      <c r="AX92" s="146"/>
      <c r="AY92" s="146"/>
      <c r="AZ92" s="146"/>
      <c r="BA92" s="146"/>
      <c r="BB92" s="146"/>
      <c r="BC92" s="146"/>
      <c r="BD92" s="146"/>
      <c r="BE92" s="146"/>
      <c r="BF92" s="146"/>
      <c r="BG92" s="146"/>
      <c r="BH92" s="146"/>
      <c r="BI92" s="146"/>
      <c r="BJ92" s="146"/>
      <c r="BK92" s="146"/>
      <c r="BL92" s="146"/>
      <c r="BM92" s="146"/>
      <c r="BN92" s="146"/>
      <c r="BO92" s="146"/>
      <c r="BP92" s="146"/>
      <c r="BQ92" s="146"/>
      <c r="BR92" s="146"/>
      <c r="BS92" s="146"/>
      <c r="BT92" s="146"/>
      <c r="BU92" s="146"/>
      <c r="BV92" s="146"/>
      <c r="BW92" s="146"/>
      <c r="BX92" s="146"/>
      <c r="BY92" s="146"/>
      <c r="BZ92" s="146"/>
      <c r="CA92" s="146"/>
      <c r="CB92" s="146"/>
      <c r="CC92" s="146"/>
      <c r="CD92" s="146"/>
      <c r="CE92" s="146"/>
      <c r="CF92" s="146"/>
      <c r="CG92" s="146"/>
      <c r="CH92" s="146"/>
      <c r="CI92" s="146"/>
      <c r="CJ92" s="146"/>
      <c r="CK92" s="146"/>
      <c r="CL92" s="146"/>
      <c r="CM92" s="146"/>
      <c r="CN92" s="146"/>
      <c r="CO92" s="146"/>
      <c r="CP92" s="146"/>
      <c r="CQ92" s="146"/>
      <c r="CR92" s="146"/>
      <c r="CS92" s="146"/>
      <c r="CT92" s="146"/>
      <c r="CU92" s="146"/>
      <c r="CV92" s="146"/>
      <c r="CW92" s="146"/>
      <c r="CX92" s="146"/>
      <c r="CY92" s="146"/>
      <c r="CZ92" s="146"/>
      <c r="DA92" s="146"/>
      <c r="DB92" s="146"/>
      <c r="DC92" s="146"/>
      <c r="DD92" s="146"/>
      <c r="DE92" s="146"/>
      <c r="DF92" s="146"/>
      <c r="DG92" s="146"/>
      <c r="DH92" s="146"/>
      <c r="DI92" s="146"/>
      <c r="DJ92" s="146"/>
      <c r="DK92" s="146"/>
      <c r="DL92" s="146"/>
      <c r="DM92" s="146"/>
      <c r="DN92" s="146"/>
      <c r="DO92" s="146"/>
      <c r="DP92" s="146"/>
      <c r="DQ92" s="146"/>
      <c r="DR92" s="146"/>
      <c r="DS92" s="146"/>
      <c r="DT92" s="146"/>
      <c r="DU92" s="146"/>
      <c r="DV92" s="146"/>
      <c r="DW92" s="146"/>
      <c r="DX92" s="146"/>
      <c r="DY92" s="146"/>
      <c r="DZ92" s="146"/>
      <c r="EA92" s="146"/>
      <c r="EB92" s="146"/>
      <c r="EC92" s="146"/>
      <c r="ED92" s="146"/>
      <c r="EE92" s="146"/>
      <c r="EF92" s="146"/>
      <c r="EG92" s="146"/>
      <c r="EH92" s="146"/>
      <c r="EI92" s="146"/>
      <c r="EJ92" s="146"/>
      <c r="EK92" s="146"/>
      <c r="EL92" s="146"/>
      <c r="EM92" s="146"/>
      <c r="EN92" s="146"/>
      <c r="EO92" s="146"/>
      <c r="EP92" s="146"/>
      <c r="EQ92" s="146"/>
    </row>
    <row r="93">
      <c r="A93" s="184" t="s">
        <v>196</v>
      </c>
      <c r="B93" s="178" t="s">
        <v>427</v>
      </c>
      <c r="C93" s="179" t="s">
        <v>425</v>
      </c>
      <c r="D93" s="178" t="s">
        <v>328</v>
      </c>
      <c r="E93" s="179" t="s">
        <v>426</v>
      </c>
      <c r="F93" s="178" t="s">
        <v>330</v>
      </c>
      <c r="G93" s="178">
        <v>120.0</v>
      </c>
      <c r="H93" s="180">
        <v>44852.0</v>
      </c>
      <c r="I93" s="180">
        <v>45200.0</v>
      </c>
      <c r="J93" s="180">
        <v>46067.0</v>
      </c>
      <c r="K93" s="175">
        <f t="shared" si="16"/>
        <v>47163</v>
      </c>
      <c r="L93" s="176" t="str">
        <f t="shared" si="2"/>
        <v>Ok</v>
      </c>
      <c r="M93" s="180"/>
      <c r="N93" s="146"/>
      <c r="O93" s="146"/>
      <c r="P93" s="146"/>
      <c r="Q93" s="146"/>
      <c r="R93" s="146"/>
      <c r="S93" s="146"/>
      <c r="T93" s="146"/>
      <c r="U93" s="146"/>
      <c r="V93" s="146"/>
      <c r="W93" s="146"/>
      <c r="X93" s="146"/>
      <c r="Y93" s="146"/>
      <c r="Z93" s="146"/>
      <c r="AA93" s="146"/>
      <c r="AB93" s="146"/>
      <c r="AC93" s="146"/>
      <c r="AD93" s="146"/>
      <c r="AE93" s="146"/>
      <c r="AF93" s="146"/>
      <c r="AG93" s="146"/>
      <c r="AH93" s="146"/>
      <c r="AI93" s="146"/>
      <c r="AJ93" s="146"/>
      <c r="AK93" s="146"/>
      <c r="AL93" s="146"/>
      <c r="AM93" s="146"/>
      <c r="AN93" s="146"/>
      <c r="AO93" s="146"/>
      <c r="AP93" s="146"/>
      <c r="AQ93" s="146"/>
      <c r="AR93" s="146"/>
      <c r="AS93" s="146"/>
      <c r="AT93" s="146"/>
      <c r="AU93" s="146"/>
      <c r="AV93" s="146"/>
      <c r="AW93" s="146"/>
      <c r="AX93" s="146"/>
      <c r="AY93" s="146"/>
      <c r="AZ93" s="146"/>
      <c r="BA93" s="146"/>
      <c r="BB93" s="146"/>
      <c r="BC93" s="146"/>
      <c r="BD93" s="146"/>
      <c r="BE93" s="146"/>
      <c r="BF93" s="146"/>
      <c r="BG93" s="146"/>
      <c r="BH93" s="146"/>
      <c r="BI93" s="146"/>
      <c r="BJ93" s="146"/>
      <c r="BK93" s="146"/>
      <c r="BL93" s="146"/>
      <c r="BM93" s="146"/>
      <c r="BN93" s="146"/>
      <c r="BO93" s="146"/>
      <c r="BP93" s="146"/>
      <c r="BQ93" s="146"/>
      <c r="BR93" s="146"/>
      <c r="BS93" s="146"/>
      <c r="BT93" s="146"/>
      <c r="BU93" s="146"/>
      <c r="BV93" s="146"/>
      <c r="BW93" s="146"/>
      <c r="BX93" s="146"/>
      <c r="BY93" s="146"/>
      <c r="BZ93" s="146"/>
      <c r="CA93" s="146"/>
      <c r="CB93" s="146"/>
      <c r="CC93" s="146"/>
      <c r="CD93" s="146"/>
      <c r="CE93" s="146"/>
      <c r="CF93" s="146"/>
      <c r="CG93" s="146"/>
      <c r="CH93" s="146"/>
      <c r="CI93" s="146"/>
      <c r="CJ93" s="146"/>
      <c r="CK93" s="146"/>
      <c r="CL93" s="146"/>
      <c r="CM93" s="146"/>
      <c r="CN93" s="146"/>
      <c r="CO93" s="146"/>
      <c r="CP93" s="146"/>
      <c r="CQ93" s="146"/>
      <c r="CR93" s="146"/>
      <c r="CS93" s="146"/>
      <c r="CT93" s="146"/>
      <c r="CU93" s="146"/>
      <c r="CV93" s="146"/>
      <c r="CW93" s="146"/>
      <c r="CX93" s="146"/>
      <c r="CY93" s="146"/>
      <c r="CZ93" s="146"/>
      <c r="DA93" s="146"/>
      <c r="DB93" s="146"/>
      <c r="DC93" s="146"/>
      <c r="DD93" s="146"/>
      <c r="DE93" s="146"/>
      <c r="DF93" s="146"/>
      <c r="DG93" s="146"/>
      <c r="DH93" s="146"/>
      <c r="DI93" s="146"/>
      <c r="DJ93" s="146"/>
      <c r="DK93" s="146"/>
      <c r="DL93" s="146"/>
      <c r="DM93" s="146"/>
      <c r="DN93" s="146"/>
      <c r="DO93" s="146"/>
      <c r="DP93" s="146"/>
      <c r="DQ93" s="146"/>
      <c r="DR93" s="146"/>
      <c r="DS93" s="146"/>
      <c r="DT93" s="146"/>
      <c r="DU93" s="146"/>
      <c r="DV93" s="146"/>
      <c r="DW93" s="146"/>
      <c r="DX93" s="146"/>
      <c r="DY93" s="146"/>
      <c r="DZ93" s="146"/>
      <c r="EA93" s="146"/>
      <c r="EB93" s="146"/>
      <c r="EC93" s="146"/>
      <c r="ED93" s="146"/>
      <c r="EE93" s="146"/>
      <c r="EF93" s="146"/>
      <c r="EG93" s="146"/>
      <c r="EH93" s="146"/>
      <c r="EI93" s="146"/>
      <c r="EJ93" s="146"/>
      <c r="EK93" s="146"/>
      <c r="EL93" s="146"/>
      <c r="EM93" s="146"/>
      <c r="EN93" s="146"/>
      <c r="EO93" s="146"/>
      <c r="EP93" s="146"/>
      <c r="EQ93" s="146"/>
    </row>
    <row r="94">
      <c r="A94" s="185" t="s">
        <v>197</v>
      </c>
      <c r="B94" s="172"/>
      <c r="C94" s="173" t="s">
        <v>425</v>
      </c>
      <c r="D94" s="178" t="s">
        <v>328</v>
      </c>
      <c r="E94" s="179" t="s">
        <v>426</v>
      </c>
      <c r="F94" s="178" t="s">
        <v>330</v>
      </c>
      <c r="G94" s="178">
        <v>120.0</v>
      </c>
      <c r="H94" s="180">
        <v>44852.0</v>
      </c>
      <c r="I94" s="180">
        <v>45200.0</v>
      </c>
      <c r="J94" s="180">
        <v>46067.0</v>
      </c>
      <c r="K94" s="175">
        <f t="shared" si="16"/>
        <v>47163</v>
      </c>
      <c r="L94" s="176" t="str">
        <f t="shared" si="2"/>
        <v>Ok</v>
      </c>
      <c r="M94" s="174"/>
      <c r="N94" s="146"/>
      <c r="O94" s="146"/>
      <c r="P94" s="146"/>
      <c r="Q94" s="146"/>
      <c r="R94" s="146"/>
      <c r="S94" s="146"/>
      <c r="T94" s="146"/>
      <c r="U94" s="146"/>
      <c r="V94" s="146"/>
      <c r="W94" s="146"/>
      <c r="X94" s="146"/>
      <c r="Y94" s="146"/>
      <c r="Z94" s="146"/>
      <c r="AA94" s="146"/>
      <c r="AB94" s="146"/>
      <c r="AC94" s="146"/>
      <c r="AD94" s="146"/>
      <c r="AE94" s="146"/>
      <c r="AF94" s="146"/>
      <c r="AG94" s="146"/>
      <c r="AH94" s="146"/>
      <c r="AI94" s="146"/>
      <c r="AJ94" s="146"/>
      <c r="AK94" s="146"/>
      <c r="AL94" s="146"/>
      <c r="AM94" s="146"/>
      <c r="AN94" s="146"/>
      <c r="AO94" s="146"/>
      <c r="AP94" s="146"/>
      <c r="AQ94" s="146"/>
      <c r="AR94" s="146"/>
      <c r="AS94" s="146"/>
      <c r="AT94" s="146"/>
      <c r="AU94" s="146"/>
      <c r="AV94" s="146"/>
      <c r="AW94" s="146"/>
      <c r="AX94" s="146"/>
      <c r="AY94" s="146"/>
      <c r="AZ94" s="146"/>
      <c r="BA94" s="146"/>
      <c r="BB94" s="146"/>
      <c r="BC94" s="146"/>
      <c r="BD94" s="146"/>
      <c r="BE94" s="146"/>
      <c r="BF94" s="146"/>
      <c r="BG94" s="146"/>
      <c r="BH94" s="146"/>
      <c r="BI94" s="146"/>
      <c r="BJ94" s="146"/>
      <c r="BK94" s="146"/>
      <c r="BL94" s="146"/>
      <c r="BM94" s="146"/>
      <c r="BN94" s="146"/>
      <c r="BO94" s="146"/>
      <c r="BP94" s="146"/>
      <c r="BQ94" s="146"/>
      <c r="BR94" s="146"/>
      <c r="BS94" s="146"/>
      <c r="BT94" s="146"/>
      <c r="BU94" s="146"/>
      <c r="BV94" s="146"/>
      <c r="BW94" s="146"/>
      <c r="BX94" s="146"/>
      <c r="BY94" s="146"/>
      <c r="BZ94" s="146"/>
      <c r="CA94" s="146"/>
      <c r="CB94" s="146"/>
      <c r="CC94" s="146"/>
      <c r="CD94" s="146"/>
      <c r="CE94" s="146"/>
      <c r="CF94" s="146"/>
      <c r="CG94" s="146"/>
      <c r="CH94" s="146"/>
      <c r="CI94" s="146"/>
      <c r="CJ94" s="146"/>
      <c r="CK94" s="146"/>
      <c r="CL94" s="146"/>
      <c r="CM94" s="146"/>
      <c r="CN94" s="146"/>
      <c r="CO94" s="146"/>
      <c r="CP94" s="146"/>
      <c r="CQ94" s="146"/>
      <c r="CR94" s="146"/>
      <c r="CS94" s="146"/>
      <c r="CT94" s="146"/>
      <c r="CU94" s="146"/>
      <c r="CV94" s="146"/>
      <c r="CW94" s="146"/>
      <c r="CX94" s="146"/>
      <c r="CY94" s="146"/>
      <c r="CZ94" s="146"/>
      <c r="DA94" s="146"/>
      <c r="DB94" s="146"/>
      <c r="DC94" s="146"/>
      <c r="DD94" s="146"/>
      <c r="DE94" s="146"/>
      <c r="DF94" s="146"/>
      <c r="DG94" s="146"/>
      <c r="DH94" s="146"/>
      <c r="DI94" s="146"/>
      <c r="DJ94" s="146"/>
      <c r="DK94" s="146"/>
      <c r="DL94" s="146"/>
      <c r="DM94" s="146"/>
      <c r="DN94" s="146"/>
      <c r="DO94" s="146"/>
      <c r="DP94" s="146"/>
      <c r="DQ94" s="146"/>
      <c r="DR94" s="146"/>
      <c r="DS94" s="146"/>
      <c r="DT94" s="146"/>
      <c r="DU94" s="146"/>
      <c r="DV94" s="146"/>
      <c r="DW94" s="146"/>
      <c r="DX94" s="146"/>
      <c r="DY94" s="146"/>
      <c r="DZ94" s="146"/>
      <c r="EA94" s="146"/>
      <c r="EB94" s="146"/>
      <c r="EC94" s="146"/>
      <c r="ED94" s="146"/>
      <c r="EE94" s="146"/>
      <c r="EF94" s="146"/>
      <c r="EG94" s="146"/>
      <c r="EH94" s="146"/>
      <c r="EI94" s="146"/>
      <c r="EJ94" s="146"/>
      <c r="EK94" s="146"/>
      <c r="EL94" s="146"/>
      <c r="EM94" s="146"/>
      <c r="EN94" s="146"/>
      <c r="EO94" s="146"/>
      <c r="EP94" s="146"/>
      <c r="EQ94" s="146"/>
    </row>
    <row r="95">
      <c r="A95" s="184" t="s">
        <v>198</v>
      </c>
      <c r="B95" s="178"/>
      <c r="C95" s="179" t="s">
        <v>425</v>
      </c>
      <c r="D95" s="178" t="s">
        <v>328</v>
      </c>
      <c r="E95" s="179" t="s">
        <v>426</v>
      </c>
      <c r="F95" s="178" t="s">
        <v>330</v>
      </c>
      <c r="G95" s="178">
        <v>120.0</v>
      </c>
      <c r="H95" s="180">
        <v>44852.0</v>
      </c>
      <c r="I95" s="180">
        <v>45200.0</v>
      </c>
      <c r="J95" s="180">
        <v>46067.0</v>
      </c>
      <c r="K95" s="175">
        <f t="shared" si="16"/>
        <v>47163</v>
      </c>
      <c r="L95" s="176" t="str">
        <f t="shared" si="2"/>
        <v>Ok</v>
      </c>
      <c r="M95" s="180"/>
      <c r="N95" s="146"/>
      <c r="O95" s="146"/>
      <c r="P95" s="146"/>
      <c r="Q95" s="146"/>
      <c r="R95" s="146"/>
      <c r="S95" s="146"/>
      <c r="T95" s="146"/>
      <c r="U95" s="146"/>
      <c r="V95" s="146"/>
      <c r="W95" s="146"/>
      <c r="X95" s="146"/>
      <c r="Y95" s="146"/>
      <c r="Z95" s="146"/>
      <c r="AA95" s="146"/>
      <c r="AB95" s="146"/>
      <c r="AC95" s="146"/>
      <c r="AD95" s="146"/>
      <c r="AE95" s="146"/>
      <c r="AF95" s="146"/>
      <c r="AG95" s="146"/>
      <c r="AH95" s="146"/>
      <c r="AI95" s="146"/>
      <c r="AJ95" s="146"/>
      <c r="AK95" s="146"/>
      <c r="AL95" s="146"/>
      <c r="AM95" s="146"/>
      <c r="AN95" s="146"/>
      <c r="AO95" s="146"/>
      <c r="AP95" s="146"/>
      <c r="AQ95" s="146"/>
      <c r="AR95" s="146"/>
      <c r="AS95" s="146"/>
      <c r="AT95" s="146"/>
      <c r="AU95" s="146"/>
      <c r="AV95" s="146"/>
      <c r="AW95" s="146"/>
      <c r="AX95" s="146"/>
      <c r="AY95" s="146"/>
      <c r="AZ95" s="146"/>
      <c r="BA95" s="146"/>
      <c r="BB95" s="146"/>
      <c r="BC95" s="146"/>
      <c r="BD95" s="146"/>
      <c r="BE95" s="146"/>
      <c r="BF95" s="146"/>
      <c r="BG95" s="146"/>
      <c r="BH95" s="146"/>
      <c r="BI95" s="146"/>
      <c r="BJ95" s="146"/>
      <c r="BK95" s="146"/>
      <c r="BL95" s="146"/>
      <c r="BM95" s="146"/>
      <c r="BN95" s="146"/>
      <c r="BO95" s="146"/>
      <c r="BP95" s="146"/>
      <c r="BQ95" s="146"/>
      <c r="BR95" s="146"/>
      <c r="BS95" s="146"/>
      <c r="BT95" s="146"/>
      <c r="BU95" s="146"/>
      <c r="BV95" s="146"/>
      <c r="BW95" s="146"/>
      <c r="BX95" s="146"/>
      <c r="BY95" s="146"/>
      <c r="BZ95" s="146"/>
      <c r="CA95" s="146"/>
      <c r="CB95" s="146"/>
      <c r="CC95" s="146"/>
      <c r="CD95" s="146"/>
      <c r="CE95" s="146"/>
      <c r="CF95" s="146"/>
      <c r="CG95" s="146"/>
      <c r="CH95" s="146"/>
      <c r="CI95" s="146"/>
      <c r="CJ95" s="146"/>
      <c r="CK95" s="146"/>
      <c r="CL95" s="146"/>
      <c r="CM95" s="146"/>
      <c r="CN95" s="146"/>
      <c r="CO95" s="146"/>
      <c r="CP95" s="146"/>
      <c r="CQ95" s="146"/>
      <c r="CR95" s="146"/>
      <c r="CS95" s="146"/>
      <c r="CT95" s="146"/>
      <c r="CU95" s="146"/>
      <c r="CV95" s="146"/>
      <c r="CW95" s="146"/>
      <c r="CX95" s="146"/>
      <c r="CY95" s="146"/>
      <c r="CZ95" s="146"/>
      <c r="DA95" s="146"/>
      <c r="DB95" s="146"/>
      <c r="DC95" s="146"/>
      <c r="DD95" s="146"/>
      <c r="DE95" s="146"/>
      <c r="DF95" s="146"/>
      <c r="DG95" s="146"/>
      <c r="DH95" s="146"/>
      <c r="DI95" s="146"/>
      <c r="DJ95" s="146"/>
      <c r="DK95" s="146"/>
      <c r="DL95" s="146"/>
      <c r="DM95" s="146"/>
      <c r="DN95" s="146"/>
      <c r="DO95" s="146"/>
      <c r="DP95" s="146"/>
      <c r="DQ95" s="146"/>
      <c r="DR95" s="146"/>
      <c r="DS95" s="146"/>
      <c r="DT95" s="146"/>
      <c r="DU95" s="146"/>
      <c r="DV95" s="146"/>
      <c r="DW95" s="146"/>
      <c r="DX95" s="146"/>
      <c r="DY95" s="146"/>
      <c r="DZ95" s="146"/>
      <c r="EA95" s="146"/>
      <c r="EB95" s="146"/>
      <c r="EC95" s="146"/>
      <c r="ED95" s="146"/>
      <c r="EE95" s="146"/>
      <c r="EF95" s="146"/>
      <c r="EG95" s="146"/>
      <c r="EH95" s="146"/>
      <c r="EI95" s="146"/>
      <c r="EJ95" s="146"/>
      <c r="EK95" s="146"/>
      <c r="EL95" s="146"/>
      <c r="EM95" s="146"/>
      <c r="EN95" s="146"/>
      <c r="EO95" s="146"/>
      <c r="EP95" s="146"/>
      <c r="EQ95" s="146"/>
    </row>
    <row r="96">
      <c r="A96" s="185" t="s">
        <v>199</v>
      </c>
      <c r="B96" s="172"/>
      <c r="C96" s="173" t="s">
        <v>425</v>
      </c>
      <c r="D96" s="178" t="s">
        <v>328</v>
      </c>
      <c r="E96" s="179" t="s">
        <v>426</v>
      </c>
      <c r="F96" s="178" t="s">
        <v>330</v>
      </c>
      <c r="G96" s="178">
        <v>120.0</v>
      </c>
      <c r="H96" s="180">
        <v>44852.0</v>
      </c>
      <c r="I96" s="180">
        <v>45200.0</v>
      </c>
      <c r="J96" s="180">
        <v>46067.0</v>
      </c>
      <c r="K96" s="175">
        <f t="shared" si="16"/>
        <v>47163</v>
      </c>
      <c r="L96" s="176" t="str">
        <f t="shared" si="2"/>
        <v>Ok</v>
      </c>
      <c r="M96" s="174"/>
      <c r="N96" s="146"/>
      <c r="O96" s="146"/>
      <c r="P96" s="146"/>
      <c r="Q96" s="146"/>
      <c r="R96" s="146"/>
      <c r="S96" s="146"/>
      <c r="T96" s="146"/>
      <c r="U96" s="146"/>
      <c r="V96" s="146"/>
      <c r="W96" s="146"/>
      <c r="X96" s="146"/>
      <c r="Y96" s="146"/>
      <c r="Z96" s="146"/>
      <c r="AA96" s="146"/>
      <c r="AB96" s="146"/>
      <c r="AC96" s="146"/>
      <c r="AD96" s="146"/>
      <c r="AE96" s="146"/>
      <c r="AF96" s="146"/>
      <c r="AG96" s="146"/>
      <c r="AH96" s="146"/>
      <c r="AI96" s="146"/>
      <c r="AJ96" s="146"/>
      <c r="AK96" s="146"/>
      <c r="AL96" s="146"/>
      <c r="AM96" s="146"/>
      <c r="AN96" s="146"/>
      <c r="AO96" s="146"/>
      <c r="AP96" s="146"/>
      <c r="AQ96" s="146"/>
      <c r="AR96" s="146"/>
      <c r="AS96" s="146"/>
      <c r="AT96" s="146"/>
      <c r="AU96" s="146"/>
      <c r="AV96" s="146"/>
      <c r="AW96" s="146"/>
      <c r="AX96" s="146"/>
      <c r="AY96" s="146"/>
      <c r="AZ96" s="146"/>
      <c r="BA96" s="146"/>
      <c r="BB96" s="146"/>
      <c r="BC96" s="146"/>
      <c r="BD96" s="146"/>
      <c r="BE96" s="146"/>
      <c r="BF96" s="146"/>
      <c r="BG96" s="146"/>
      <c r="BH96" s="146"/>
      <c r="BI96" s="146"/>
      <c r="BJ96" s="146"/>
      <c r="BK96" s="146"/>
      <c r="BL96" s="146"/>
      <c r="BM96" s="146"/>
      <c r="BN96" s="146"/>
      <c r="BO96" s="146"/>
      <c r="BP96" s="146"/>
      <c r="BQ96" s="146"/>
      <c r="BR96" s="146"/>
      <c r="BS96" s="146"/>
      <c r="BT96" s="146"/>
      <c r="BU96" s="146"/>
      <c r="BV96" s="146"/>
      <c r="BW96" s="146"/>
      <c r="BX96" s="146"/>
      <c r="BY96" s="146"/>
      <c r="BZ96" s="146"/>
      <c r="CA96" s="146"/>
      <c r="CB96" s="146"/>
      <c r="CC96" s="146"/>
      <c r="CD96" s="146"/>
      <c r="CE96" s="146"/>
      <c r="CF96" s="146"/>
      <c r="CG96" s="146"/>
      <c r="CH96" s="146"/>
      <c r="CI96" s="146"/>
      <c r="CJ96" s="146"/>
      <c r="CK96" s="146"/>
      <c r="CL96" s="146"/>
      <c r="CM96" s="146"/>
      <c r="CN96" s="146"/>
      <c r="CO96" s="146"/>
      <c r="CP96" s="146"/>
      <c r="CQ96" s="146"/>
      <c r="CR96" s="146"/>
      <c r="CS96" s="146"/>
      <c r="CT96" s="146"/>
      <c r="CU96" s="146"/>
      <c r="CV96" s="146"/>
      <c r="CW96" s="146"/>
      <c r="CX96" s="146"/>
      <c r="CY96" s="146"/>
      <c r="CZ96" s="146"/>
      <c r="DA96" s="146"/>
      <c r="DB96" s="146"/>
      <c r="DC96" s="146"/>
      <c r="DD96" s="146"/>
      <c r="DE96" s="146"/>
      <c r="DF96" s="146"/>
      <c r="DG96" s="146"/>
      <c r="DH96" s="146"/>
      <c r="DI96" s="146"/>
      <c r="DJ96" s="146"/>
      <c r="DK96" s="146"/>
      <c r="DL96" s="146"/>
      <c r="DM96" s="146"/>
      <c r="DN96" s="146"/>
      <c r="DO96" s="146"/>
      <c r="DP96" s="146"/>
      <c r="DQ96" s="146"/>
      <c r="DR96" s="146"/>
      <c r="DS96" s="146"/>
      <c r="DT96" s="146"/>
      <c r="DU96" s="146"/>
      <c r="DV96" s="146"/>
      <c r="DW96" s="146"/>
      <c r="DX96" s="146"/>
      <c r="DY96" s="146"/>
      <c r="DZ96" s="146"/>
      <c r="EA96" s="146"/>
      <c r="EB96" s="146"/>
      <c r="EC96" s="146"/>
      <c r="ED96" s="146"/>
      <c r="EE96" s="146"/>
      <c r="EF96" s="146"/>
      <c r="EG96" s="146"/>
      <c r="EH96" s="146"/>
      <c r="EI96" s="146"/>
      <c r="EJ96" s="146"/>
      <c r="EK96" s="146"/>
      <c r="EL96" s="146"/>
      <c r="EM96" s="146"/>
      <c r="EN96" s="146"/>
      <c r="EO96" s="146"/>
      <c r="EP96" s="146"/>
      <c r="EQ96" s="146"/>
    </row>
    <row r="97">
      <c r="A97" s="184" t="s">
        <v>200</v>
      </c>
      <c r="B97" s="178" t="s">
        <v>428</v>
      </c>
      <c r="C97" s="179" t="s">
        <v>425</v>
      </c>
      <c r="D97" s="178" t="s">
        <v>328</v>
      </c>
      <c r="E97" s="179" t="s">
        <v>426</v>
      </c>
      <c r="F97" s="178" t="s">
        <v>330</v>
      </c>
      <c r="G97" s="178">
        <v>120.0</v>
      </c>
      <c r="H97" s="180">
        <v>44852.0</v>
      </c>
      <c r="I97" s="180">
        <v>45200.0</v>
      </c>
      <c r="J97" s="180">
        <v>46067.0</v>
      </c>
      <c r="K97" s="175">
        <f t="shared" si="16"/>
        <v>47163</v>
      </c>
      <c r="L97" s="176" t="str">
        <f t="shared" si="2"/>
        <v>Ok</v>
      </c>
      <c r="M97" s="180"/>
      <c r="N97" s="146"/>
      <c r="O97" s="146"/>
      <c r="P97" s="146"/>
      <c r="Q97" s="146"/>
      <c r="R97" s="146"/>
      <c r="S97" s="146"/>
      <c r="T97" s="146"/>
      <c r="U97" s="146"/>
      <c r="V97" s="146"/>
      <c r="W97" s="146"/>
      <c r="X97" s="146"/>
      <c r="Y97" s="146"/>
      <c r="Z97" s="146"/>
      <c r="AA97" s="146"/>
      <c r="AB97" s="146"/>
      <c r="AC97" s="146"/>
      <c r="AD97" s="146"/>
      <c r="AE97" s="146"/>
      <c r="AF97" s="146"/>
      <c r="AG97" s="146"/>
      <c r="AH97" s="146"/>
      <c r="AI97" s="146"/>
      <c r="AJ97" s="146"/>
      <c r="AK97" s="146"/>
      <c r="AL97" s="146"/>
      <c r="AM97" s="146"/>
      <c r="AN97" s="146"/>
      <c r="AO97" s="146"/>
      <c r="AP97" s="146"/>
      <c r="AQ97" s="146"/>
      <c r="AR97" s="146"/>
      <c r="AS97" s="146"/>
      <c r="AT97" s="146"/>
      <c r="AU97" s="146"/>
      <c r="AV97" s="146"/>
      <c r="AW97" s="146"/>
      <c r="AX97" s="146"/>
      <c r="AY97" s="146"/>
      <c r="AZ97" s="146"/>
      <c r="BA97" s="146"/>
      <c r="BB97" s="146"/>
      <c r="BC97" s="146"/>
      <c r="BD97" s="146"/>
      <c r="BE97" s="146"/>
      <c r="BF97" s="146"/>
      <c r="BG97" s="146"/>
      <c r="BH97" s="146"/>
      <c r="BI97" s="146"/>
      <c r="BJ97" s="146"/>
      <c r="BK97" s="146"/>
      <c r="BL97" s="146"/>
      <c r="BM97" s="146"/>
      <c r="BN97" s="146"/>
      <c r="BO97" s="146"/>
      <c r="BP97" s="146"/>
      <c r="BQ97" s="146"/>
      <c r="BR97" s="146"/>
      <c r="BS97" s="146"/>
      <c r="BT97" s="146"/>
      <c r="BU97" s="146"/>
      <c r="BV97" s="146"/>
      <c r="BW97" s="146"/>
      <c r="BX97" s="146"/>
      <c r="BY97" s="146"/>
      <c r="BZ97" s="146"/>
      <c r="CA97" s="146"/>
      <c r="CB97" s="146"/>
      <c r="CC97" s="146"/>
      <c r="CD97" s="146"/>
      <c r="CE97" s="146"/>
      <c r="CF97" s="146"/>
      <c r="CG97" s="146"/>
      <c r="CH97" s="146"/>
      <c r="CI97" s="146"/>
      <c r="CJ97" s="146"/>
      <c r="CK97" s="146"/>
      <c r="CL97" s="146"/>
      <c r="CM97" s="146"/>
      <c r="CN97" s="146"/>
      <c r="CO97" s="146"/>
      <c r="CP97" s="146"/>
      <c r="CQ97" s="146"/>
      <c r="CR97" s="146"/>
      <c r="CS97" s="146"/>
      <c r="CT97" s="146"/>
      <c r="CU97" s="146"/>
      <c r="CV97" s="146"/>
      <c r="CW97" s="146"/>
      <c r="CX97" s="146"/>
      <c r="CY97" s="146"/>
      <c r="CZ97" s="146"/>
      <c r="DA97" s="146"/>
      <c r="DB97" s="146"/>
      <c r="DC97" s="146"/>
      <c r="DD97" s="146"/>
      <c r="DE97" s="146"/>
      <c r="DF97" s="146"/>
      <c r="DG97" s="146"/>
      <c r="DH97" s="146"/>
      <c r="DI97" s="146"/>
      <c r="DJ97" s="146"/>
      <c r="DK97" s="146"/>
      <c r="DL97" s="146"/>
      <c r="DM97" s="146"/>
      <c r="DN97" s="146"/>
      <c r="DO97" s="146"/>
      <c r="DP97" s="146"/>
      <c r="DQ97" s="146"/>
      <c r="DR97" s="146"/>
      <c r="DS97" s="146"/>
      <c r="DT97" s="146"/>
      <c r="DU97" s="146"/>
      <c r="DV97" s="146"/>
      <c r="DW97" s="146"/>
      <c r="DX97" s="146"/>
      <c r="DY97" s="146"/>
      <c r="DZ97" s="146"/>
      <c r="EA97" s="146"/>
      <c r="EB97" s="146"/>
      <c r="EC97" s="146"/>
      <c r="ED97" s="146"/>
      <c r="EE97" s="146"/>
      <c r="EF97" s="146"/>
      <c r="EG97" s="146"/>
      <c r="EH97" s="146"/>
      <c r="EI97" s="146"/>
      <c r="EJ97" s="146"/>
      <c r="EK97" s="146"/>
      <c r="EL97" s="146"/>
      <c r="EM97" s="146"/>
      <c r="EN97" s="146"/>
      <c r="EO97" s="146"/>
      <c r="EP97" s="146"/>
      <c r="EQ97" s="146"/>
    </row>
    <row r="98">
      <c r="A98" s="185" t="s">
        <v>201</v>
      </c>
      <c r="B98" s="172"/>
      <c r="C98" s="173" t="s">
        <v>425</v>
      </c>
      <c r="D98" s="178" t="s">
        <v>328</v>
      </c>
      <c r="E98" s="179" t="s">
        <v>426</v>
      </c>
      <c r="F98" s="178" t="s">
        <v>330</v>
      </c>
      <c r="G98" s="178">
        <v>120.0</v>
      </c>
      <c r="H98" s="180">
        <v>44852.0</v>
      </c>
      <c r="I98" s="180">
        <v>45200.0</v>
      </c>
      <c r="J98" s="180">
        <v>46067.0</v>
      </c>
      <c r="K98" s="175">
        <f t="shared" si="16"/>
        <v>47163</v>
      </c>
      <c r="L98" s="176" t="str">
        <f t="shared" si="2"/>
        <v>Ok</v>
      </c>
      <c r="M98" s="174"/>
      <c r="N98" s="146"/>
      <c r="O98" s="146"/>
      <c r="P98" s="146"/>
      <c r="Q98" s="146"/>
      <c r="R98" s="146"/>
      <c r="S98" s="146"/>
      <c r="T98" s="146"/>
      <c r="U98" s="146"/>
      <c r="V98" s="146"/>
      <c r="W98" s="146"/>
      <c r="X98" s="146"/>
      <c r="Y98" s="146"/>
      <c r="Z98" s="146"/>
      <c r="AA98" s="146"/>
      <c r="AB98" s="146"/>
      <c r="AC98" s="146"/>
      <c r="AD98" s="146"/>
      <c r="AE98" s="146"/>
      <c r="AF98" s="146"/>
      <c r="AG98" s="146"/>
      <c r="AH98" s="146"/>
      <c r="AI98" s="146"/>
      <c r="AJ98" s="146"/>
      <c r="AK98" s="146"/>
      <c r="AL98" s="146"/>
      <c r="AM98" s="146"/>
      <c r="AN98" s="146"/>
      <c r="AO98" s="146"/>
      <c r="AP98" s="146"/>
      <c r="AQ98" s="146"/>
      <c r="AR98" s="146"/>
      <c r="AS98" s="146"/>
      <c r="AT98" s="146"/>
      <c r="AU98" s="146"/>
      <c r="AV98" s="146"/>
      <c r="AW98" s="146"/>
      <c r="AX98" s="146"/>
      <c r="AY98" s="146"/>
      <c r="AZ98" s="146"/>
      <c r="BA98" s="146"/>
      <c r="BB98" s="146"/>
      <c r="BC98" s="146"/>
      <c r="BD98" s="146"/>
      <c r="BE98" s="146"/>
      <c r="BF98" s="146"/>
      <c r="BG98" s="146"/>
      <c r="BH98" s="146"/>
      <c r="BI98" s="146"/>
      <c r="BJ98" s="146"/>
      <c r="BK98" s="146"/>
      <c r="BL98" s="146"/>
      <c r="BM98" s="146"/>
      <c r="BN98" s="146"/>
      <c r="BO98" s="146"/>
      <c r="BP98" s="146"/>
      <c r="BQ98" s="146"/>
      <c r="BR98" s="146"/>
      <c r="BS98" s="146"/>
      <c r="BT98" s="146"/>
      <c r="BU98" s="146"/>
      <c r="BV98" s="146"/>
      <c r="BW98" s="146"/>
      <c r="BX98" s="146"/>
      <c r="BY98" s="146"/>
      <c r="BZ98" s="146"/>
      <c r="CA98" s="146"/>
      <c r="CB98" s="146"/>
      <c r="CC98" s="146"/>
      <c r="CD98" s="146"/>
      <c r="CE98" s="146"/>
      <c r="CF98" s="146"/>
      <c r="CG98" s="146"/>
      <c r="CH98" s="146"/>
      <c r="CI98" s="146"/>
      <c r="CJ98" s="146"/>
      <c r="CK98" s="146"/>
      <c r="CL98" s="146"/>
      <c r="CM98" s="146"/>
      <c r="CN98" s="146"/>
      <c r="CO98" s="146"/>
      <c r="CP98" s="146"/>
      <c r="CQ98" s="146"/>
      <c r="CR98" s="146"/>
      <c r="CS98" s="146"/>
      <c r="CT98" s="146"/>
      <c r="CU98" s="146"/>
      <c r="CV98" s="146"/>
      <c r="CW98" s="146"/>
      <c r="CX98" s="146"/>
      <c r="CY98" s="146"/>
      <c r="CZ98" s="146"/>
      <c r="DA98" s="146"/>
      <c r="DB98" s="146"/>
      <c r="DC98" s="146"/>
      <c r="DD98" s="146"/>
      <c r="DE98" s="146"/>
      <c r="DF98" s="146"/>
      <c r="DG98" s="146"/>
      <c r="DH98" s="146"/>
      <c r="DI98" s="146"/>
      <c r="DJ98" s="146"/>
      <c r="DK98" s="146"/>
      <c r="DL98" s="146"/>
      <c r="DM98" s="146"/>
      <c r="DN98" s="146"/>
      <c r="DO98" s="146"/>
      <c r="DP98" s="146"/>
      <c r="DQ98" s="146"/>
      <c r="DR98" s="146"/>
      <c r="DS98" s="146"/>
      <c r="DT98" s="146"/>
      <c r="DU98" s="146"/>
      <c r="DV98" s="146"/>
      <c r="DW98" s="146"/>
      <c r="DX98" s="146"/>
      <c r="DY98" s="146"/>
      <c r="DZ98" s="146"/>
      <c r="EA98" s="146"/>
      <c r="EB98" s="146"/>
      <c r="EC98" s="146"/>
      <c r="ED98" s="146"/>
      <c r="EE98" s="146"/>
      <c r="EF98" s="146"/>
      <c r="EG98" s="146"/>
      <c r="EH98" s="146"/>
      <c r="EI98" s="146"/>
      <c r="EJ98" s="146"/>
      <c r="EK98" s="146"/>
      <c r="EL98" s="146"/>
      <c r="EM98" s="146"/>
      <c r="EN98" s="146"/>
      <c r="EO98" s="146"/>
      <c r="EP98" s="146"/>
      <c r="EQ98" s="146"/>
    </row>
    <row r="99">
      <c r="A99" s="184" t="s">
        <v>202</v>
      </c>
      <c r="B99" s="178"/>
      <c r="C99" s="179" t="s">
        <v>425</v>
      </c>
      <c r="D99" s="178" t="s">
        <v>328</v>
      </c>
      <c r="E99" s="179" t="s">
        <v>426</v>
      </c>
      <c r="F99" s="178" t="s">
        <v>330</v>
      </c>
      <c r="G99" s="178">
        <v>120.0</v>
      </c>
      <c r="H99" s="180">
        <v>44852.0</v>
      </c>
      <c r="I99" s="180">
        <v>45200.0</v>
      </c>
      <c r="J99" s="180">
        <v>46067.0</v>
      </c>
      <c r="K99" s="175">
        <f t="shared" si="16"/>
        <v>47163</v>
      </c>
      <c r="L99" s="176" t="str">
        <f t="shared" si="2"/>
        <v>Ok</v>
      </c>
      <c r="M99" s="180"/>
      <c r="N99" s="146"/>
      <c r="O99" s="146"/>
      <c r="P99" s="146"/>
      <c r="Q99" s="146"/>
      <c r="R99" s="146"/>
      <c r="S99" s="146"/>
      <c r="T99" s="146"/>
      <c r="U99" s="146"/>
      <c r="V99" s="146"/>
      <c r="W99" s="146"/>
      <c r="X99" s="146"/>
      <c r="Y99" s="146"/>
      <c r="Z99" s="146"/>
      <c r="AA99" s="146"/>
      <c r="AB99" s="146"/>
      <c r="AC99" s="146"/>
      <c r="AD99" s="146"/>
      <c r="AE99" s="146"/>
      <c r="AF99" s="146"/>
      <c r="AG99" s="146"/>
      <c r="AH99" s="146"/>
      <c r="AI99" s="146"/>
      <c r="AJ99" s="146"/>
      <c r="AK99" s="146"/>
      <c r="AL99" s="146"/>
      <c r="AM99" s="146"/>
      <c r="AN99" s="146"/>
      <c r="AO99" s="146"/>
      <c r="AP99" s="146"/>
      <c r="AQ99" s="146"/>
      <c r="AR99" s="146"/>
      <c r="AS99" s="146"/>
      <c r="AT99" s="146"/>
      <c r="AU99" s="146"/>
      <c r="AV99" s="146"/>
      <c r="AW99" s="146"/>
      <c r="AX99" s="146"/>
      <c r="AY99" s="146"/>
      <c r="AZ99" s="146"/>
      <c r="BA99" s="146"/>
      <c r="BB99" s="146"/>
      <c r="BC99" s="146"/>
      <c r="BD99" s="146"/>
      <c r="BE99" s="146"/>
      <c r="BF99" s="146"/>
      <c r="BG99" s="146"/>
      <c r="BH99" s="146"/>
      <c r="BI99" s="146"/>
      <c r="BJ99" s="146"/>
      <c r="BK99" s="146"/>
      <c r="BL99" s="146"/>
      <c r="BM99" s="146"/>
      <c r="BN99" s="146"/>
      <c r="BO99" s="146"/>
      <c r="BP99" s="146"/>
      <c r="BQ99" s="146"/>
      <c r="BR99" s="146"/>
      <c r="BS99" s="146"/>
      <c r="BT99" s="146"/>
      <c r="BU99" s="146"/>
      <c r="BV99" s="146"/>
      <c r="BW99" s="146"/>
      <c r="BX99" s="146"/>
      <c r="BY99" s="146"/>
      <c r="BZ99" s="146"/>
      <c r="CA99" s="146"/>
      <c r="CB99" s="146"/>
      <c r="CC99" s="146"/>
      <c r="CD99" s="146"/>
      <c r="CE99" s="146"/>
      <c r="CF99" s="146"/>
      <c r="CG99" s="146"/>
      <c r="CH99" s="146"/>
      <c r="CI99" s="146"/>
      <c r="CJ99" s="146"/>
      <c r="CK99" s="146"/>
      <c r="CL99" s="146"/>
      <c r="CM99" s="146"/>
      <c r="CN99" s="146"/>
      <c r="CO99" s="146"/>
      <c r="CP99" s="146"/>
      <c r="CQ99" s="146"/>
      <c r="CR99" s="146"/>
      <c r="CS99" s="146"/>
      <c r="CT99" s="146"/>
      <c r="CU99" s="146"/>
      <c r="CV99" s="146"/>
      <c r="CW99" s="146"/>
      <c r="CX99" s="146"/>
      <c r="CY99" s="146"/>
      <c r="CZ99" s="146"/>
      <c r="DA99" s="146"/>
      <c r="DB99" s="146"/>
      <c r="DC99" s="146"/>
      <c r="DD99" s="146"/>
      <c r="DE99" s="146"/>
      <c r="DF99" s="146"/>
      <c r="DG99" s="146"/>
      <c r="DH99" s="146"/>
      <c r="DI99" s="146"/>
      <c r="DJ99" s="146"/>
      <c r="DK99" s="146"/>
      <c r="DL99" s="146"/>
      <c r="DM99" s="146"/>
      <c r="DN99" s="146"/>
      <c r="DO99" s="146"/>
      <c r="DP99" s="146"/>
      <c r="DQ99" s="146"/>
      <c r="DR99" s="146"/>
      <c r="DS99" s="146"/>
      <c r="DT99" s="146"/>
      <c r="DU99" s="146"/>
      <c r="DV99" s="146"/>
      <c r="DW99" s="146"/>
      <c r="DX99" s="146"/>
      <c r="DY99" s="146"/>
      <c r="DZ99" s="146"/>
      <c r="EA99" s="146"/>
      <c r="EB99" s="146"/>
      <c r="EC99" s="146"/>
      <c r="ED99" s="146"/>
      <c r="EE99" s="146"/>
      <c r="EF99" s="146"/>
      <c r="EG99" s="146"/>
      <c r="EH99" s="146"/>
      <c r="EI99" s="146"/>
      <c r="EJ99" s="146"/>
      <c r="EK99" s="146"/>
      <c r="EL99" s="146"/>
      <c r="EM99" s="146"/>
      <c r="EN99" s="146"/>
      <c r="EO99" s="146"/>
      <c r="EP99" s="146"/>
      <c r="EQ99" s="146"/>
    </row>
    <row r="100">
      <c r="A100" s="185" t="s">
        <v>203</v>
      </c>
      <c r="B100" s="172"/>
      <c r="C100" s="173" t="s">
        <v>425</v>
      </c>
      <c r="D100" s="178" t="s">
        <v>328</v>
      </c>
      <c r="E100" s="179" t="s">
        <v>426</v>
      </c>
      <c r="F100" s="178" t="s">
        <v>330</v>
      </c>
      <c r="G100" s="178">
        <v>120.0</v>
      </c>
      <c r="H100" s="180">
        <v>44852.0</v>
      </c>
      <c r="I100" s="180">
        <v>45200.0</v>
      </c>
      <c r="J100" s="180">
        <v>46067.0</v>
      </c>
      <c r="K100" s="175">
        <f t="shared" si="16"/>
        <v>47163</v>
      </c>
      <c r="L100" s="176" t="str">
        <f t="shared" si="2"/>
        <v>Ok</v>
      </c>
      <c r="M100" s="174"/>
      <c r="N100" s="146"/>
      <c r="O100" s="146"/>
      <c r="P100" s="146"/>
      <c r="Q100" s="146"/>
      <c r="R100" s="146"/>
      <c r="S100" s="146"/>
      <c r="T100" s="146"/>
      <c r="U100" s="146"/>
      <c r="V100" s="146"/>
      <c r="W100" s="146"/>
      <c r="X100" s="146"/>
      <c r="Y100" s="146"/>
      <c r="Z100" s="146"/>
      <c r="AA100" s="146"/>
      <c r="AB100" s="146"/>
      <c r="AC100" s="146"/>
      <c r="AD100" s="146"/>
      <c r="AE100" s="146"/>
      <c r="AF100" s="146"/>
      <c r="AG100" s="146"/>
      <c r="AH100" s="146"/>
      <c r="AI100" s="146"/>
      <c r="AJ100" s="146"/>
      <c r="AK100" s="146"/>
      <c r="AL100" s="146"/>
      <c r="AM100" s="146"/>
      <c r="AN100" s="146"/>
      <c r="AO100" s="146"/>
      <c r="AP100" s="146"/>
      <c r="AQ100" s="146"/>
      <c r="AR100" s="146"/>
      <c r="AS100" s="146"/>
      <c r="AT100" s="146"/>
      <c r="AU100" s="146"/>
      <c r="AV100" s="146"/>
      <c r="AW100" s="146"/>
      <c r="AX100" s="146"/>
      <c r="AY100" s="146"/>
      <c r="AZ100" s="146"/>
      <c r="BA100" s="146"/>
      <c r="BB100" s="146"/>
      <c r="BC100" s="146"/>
      <c r="BD100" s="146"/>
      <c r="BE100" s="146"/>
      <c r="BF100" s="146"/>
      <c r="BG100" s="146"/>
      <c r="BH100" s="146"/>
      <c r="BI100" s="146"/>
      <c r="BJ100" s="146"/>
      <c r="BK100" s="146"/>
      <c r="BL100" s="146"/>
      <c r="BM100" s="146"/>
      <c r="BN100" s="146"/>
      <c r="BO100" s="146"/>
      <c r="BP100" s="146"/>
      <c r="BQ100" s="146"/>
      <c r="BR100" s="146"/>
      <c r="BS100" s="146"/>
      <c r="BT100" s="146"/>
      <c r="BU100" s="146"/>
      <c r="BV100" s="146"/>
      <c r="BW100" s="146"/>
      <c r="BX100" s="146"/>
      <c r="BY100" s="146"/>
      <c r="BZ100" s="146"/>
      <c r="CA100" s="146"/>
      <c r="CB100" s="146"/>
      <c r="CC100" s="146"/>
      <c r="CD100" s="146"/>
      <c r="CE100" s="146"/>
      <c r="CF100" s="146"/>
      <c r="CG100" s="146"/>
      <c r="CH100" s="146"/>
      <c r="CI100" s="146"/>
      <c r="CJ100" s="146"/>
      <c r="CK100" s="146"/>
      <c r="CL100" s="146"/>
      <c r="CM100" s="146"/>
      <c r="CN100" s="146"/>
      <c r="CO100" s="146"/>
      <c r="CP100" s="146"/>
      <c r="CQ100" s="146"/>
      <c r="CR100" s="146"/>
      <c r="CS100" s="146"/>
      <c r="CT100" s="146"/>
      <c r="CU100" s="146"/>
      <c r="CV100" s="146"/>
      <c r="CW100" s="146"/>
      <c r="CX100" s="146"/>
      <c r="CY100" s="146"/>
      <c r="CZ100" s="146"/>
      <c r="DA100" s="146"/>
      <c r="DB100" s="146"/>
      <c r="DC100" s="146"/>
      <c r="DD100" s="146"/>
      <c r="DE100" s="146"/>
      <c r="DF100" s="146"/>
      <c r="DG100" s="146"/>
      <c r="DH100" s="146"/>
      <c r="DI100" s="146"/>
      <c r="DJ100" s="146"/>
      <c r="DK100" s="146"/>
      <c r="DL100" s="146"/>
      <c r="DM100" s="146"/>
      <c r="DN100" s="146"/>
      <c r="DO100" s="146"/>
      <c r="DP100" s="146"/>
      <c r="DQ100" s="146"/>
      <c r="DR100" s="146"/>
      <c r="DS100" s="146"/>
      <c r="DT100" s="146"/>
      <c r="DU100" s="146"/>
      <c r="DV100" s="146"/>
      <c r="DW100" s="146"/>
      <c r="DX100" s="146"/>
      <c r="DY100" s="146"/>
      <c r="DZ100" s="146"/>
      <c r="EA100" s="146"/>
      <c r="EB100" s="146"/>
      <c r="EC100" s="146"/>
      <c r="ED100" s="146"/>
      <c r="EE100" s="146"/>
      <c r="EF100" s="146"/>
      <c r="EG100" s="146"/>
      <c r="EH100" s="146"/>
      <c r="EI100" s="146"/>
      <c r="EJ100" s="146"/>
      <c r="EK100" s="146"/>
      <c r="EL100" s="146"/>
      <c r="EM100" s="146"/>
      <c r="EN100" s="146"/>
      <c r="EO100" s="146"/>
      <c r="EP100" s="146"/>
      <c r="EQ100" s="146"/>
    </row>
    <row r="101">
      <c r="A101" s="184" t="s">
        <v>204</v>
      </c>
      <c r="B101" s="178" t="s">
        <v>429</v>
      </c>
      <c r="C101" s="179" t="s">
        <v>434</v>
      </c>
      <c r="D101" s="178" t="s">
        <v>328</v>
      </c>
      <c r="E101" s="179" t="s">
        <v>346</v>
      </c>
      <c r="F101" s="178" t="s">
        <v>330</v>
      </c>
      <c r="G101" s="178">
        <v>450.0</v>
      </c>
      <c r="H101" s="180"/>
      <c r="I101" s="180"/>
      <c r="J101" s="180">
        <v>46026.0</v>
      </c>
      <c r="K101" s="175">
        <f t="shared" si="16"/>
        <v>47122</v>
      </c>
      <c r="L101" s="176" t="str">
        <f t="shared" si="2"/>
        <v>Ok</v>
      </c>
      <c r="M101" s="180"/>
      <c r="N101" s="146"/>
      <c r="O101" s="146"/>
      <c r="P101" s="146"/>
      <c r="Q101" s="146"/>
      <c r="R101" s="146"/>
      <c r="S101" s="146"/>
      <c r="T101" s="146"/>
      <c r="U101" s="146"/>
      <c r="V101" s="146"/>
      <c r="W101" s="146"/>
      <c r="X101" s="146"/>
      <c r="Y101" s="146"/>
      <c r="Z101" s="146"/>
      <c r="AA101" s="146"/>
      <c r="AB101" s="146"/>
      <c r="AC101" s="146"/>
      <c r="AD101" s="146"/>
      <c r="AE101" s="146"/>
      <c r="AF101" s="146"/>
      <c r="AG101" s="146"/>
      <c r="AH101" s="146"/>
      <c r="AI101" s="146"/>
      <c r="AJ101" s="146"/>
      <c r="AK101" s="146"/>
      <c r="AL101" s="146"/>
      <c r="AM101" s="146"/>
      <c r="AN101" s="146"/>
      <c r="AO101" s="146"/>
      <c r="AP101" s="146"/>
      <c r="AQ101" s="146"/>
      <c r="AR101" s="146"/>
      <c r="AS101" s="146"/>
      <c r="AT101" s="146"/>
      <c r="AU101" s="146"/>
      <c r="AV101" s="146"/>
      <c r="AW101" s="146"/>
      <c r="AX101" s="146"/>
      <c r="AY101" s="146"/>
      <c r="AZ101" s="146"/>
      <c r="BA101" s="146"/>
      <c r="BB101" s="146"/>
      <c r="BC101" s="146"/>
      <c r="BD101" s="146"/>
      <c r="BE101" s="146"/>
      <c r="BF101" s="146"/>
      <c r="BG101" s="146"/>
      <c r="BH101" s="146"/>
      <c r="BI101" s="146"/>
      <c r="BJ101" s="146"/>
      <c r="BK101" s="146"/>
      <c r="BL101" s="146"/>
      <c r="BM101" s="146"/>
      <c r="BN101" s="146"/>
      <c r="BO101" s="146"/>
      <c r="BP101" s="146"/>
      <c r="BQ101" s="146"/>
      <c r="BR101" s="146"/>
      <c r="BS101" s="146"/>
      <c r="BT101" s="146"/>
      <c r="BU101" s="146"/>
      <c r="BV101" s="146"/>
      <c r="BW101" s="146"/>
      <c r="BX101" s="146"/>
      <c r="BY101" s="146"/>
      <c r="BZ101" s="146"/>
      <c r="CA101" s="146"/>
      <c r="CB101" s="146"/>
      <c r="CC101" s="146"/>
      <c r="CD101" s="146"/>
      <c r="CE101" s="146"/>
      <c r="CF101" s="146"/>
      <c r="CG101" s="146"/>
      <c r="CH101" s="146"/>
      <c r="CI101" s="146"/>
      <c r="CJ101" s="146"/>
      <c r="CK101" s="146"/>
      <c r="CL101" s="146"/>
      <c r="CM101" s="146"/>
      <c r="CN101" s="146"/>
      <c r="CO101" s="146"/>
      <c r="CP101" s="146"/>
      <c r="CQ101" s="146"/>
      <c r="CR101" s="146"/>
      <c r="CS101" s="146"/>
      <c r="CT101" s="146"/>
      <c r="CU101" s="146"/>
      <c r="CV101" s="146"/>
      <c r="CW101" s="146"/>
      <c r="CX101" s="146"/>
      <c r="CY101" s="146"/>
      <c r="CZ101" s="146"/>
      <c r="DA101" s="146"/>
      <c r="DB101" s="146"/>
      <c r="DC101" s="146"/>
      <c r="DD101" s="146"/>
      <c r="DE101" s="146"/>
      <c r="DF101" s="146"/>
      <c r="DG101" s="146"/>
      <c r="DH101" s="146"/>
      <c r="DI101" s="146"/>
      <c r="DJ101" s="146"/>
      <c r="DK101" s="146"/>
      <c r="DL101" s="146"/>
      <c r="DM101" s="146"/>
      <c r="DN101" s="146"/>
      <c r="DO101" s="146"/>
      <c r="DP101" s="146"/>
      <c r="DQ101" s="146"/>
      <c r="DR101" s="146"/>
      <c r="DS101" s="146"/>
      <c r="DT101" s="146"/>
      <c r="DU101" s="146"/>
      <c r="DV101" s="146"/>
      <c r="DW101" s="146"/>
      <c r="DX101" s="146"/>
      <c r="DY101" s="146"/>
      <c r="DZ101" s="146"/>
      <c r="EA101" s="146"/>
      <c r="EB101" s="146"/>
      <c r="EC101" s="146"/>
      <c r="ED101" s="146"/>
      <c r="EE101" s="146"/>
      <c r="EF101" s="146"/>
      <c r="EG101" s="146"/>
      <c r="EH101" s="146"/>
      <c r="EI101" s="146"/>
      <c r="EJ101" s="146"/>
      <c r="EK101" s="146"/>
      <c r="EL101" s="146"/>
      <c r="EM101" s="146"/>
      <c r="EN101" s="146"/>
      <c r="EO101" s="146"/>
      <c r="EP101" s="146"/>
      <c r="EQ101" s="146"/>
    </row>
    <row r="102">
      <c r="A102" s="185" t="s">
        <v>205</v>
      </c>
      <c r="B102" s="172" t="s">
        <v>429</v>
      </c>
      <c r="C102" s="173" t="s">
        <v>435</v>
      </c>
      <c r="D102" s="172" t="s">
        <v>328</v>
      </c>
      <c r="E102" s="173" t="s">
        <v>346</v>
      </c>
      <c r="F102" s="172" t="s">
        <v>330</v>
      </c>
      <c r="G102" s="172">
        <v>450.0</v>
      </c>
      <c r="H102" s="174"/>
      <c r="I102" s="174"/>
      <c r="J102" s="174">
        <v>46026.0</v>
      </c>
      <c r="K102" s="175">
        <f t="shared" si="16"/>
        <v>47122</v>
      </c>
      <c r="L102" s="176" t="str">
        <f t="shared" si="2"/>
        <v>Ok</v>
      </c>
      <c r="M102" s="174"/>
      <c r="N102" s="146"/>
      <c r="O102" s="146"/>
      <c r="P102" s="146"/>
      <c r="Q102" s="146"/>
      <c r="R102" s="146"/>
      <c r="S102" s="146"/>
      <c r="T102" s="146"/>
      <c r="U102" s="146"/>
      <c r="V102" s="146"/>
      <c r="W102" s="146"/>
      <c r="X102" s="146"/>
      <c r="Y102" s="146"/>
      <c r="Z102" s="146"/>
      <c r="AA102" s="146"/>
      <c r="AB102" s="146"/>
      <c r="AC102" s="146"/>
      <c r="AD102" s="146"/>
      <c r="AE102" s="146"/>
      <c r="AF102" s="146"/>
      <c r="AG102" s="146"/>
      <c r="AH102" s="146"/>
      <c r="AI102" s="146"/>
      <c r="AJ102" s="146"/>
      <c r="AK102" s="146"/>
      <c r="AL102" s="146"/>
      <c r="AM102" s="146"/>
      <c r="AN102" s="146"/>
      <c r="AO102" s="146"/>
      <c r="AP102" s="146"/>
      <c r="AQ102" s="146"/>
      <c r="AR102" s="146"/>
      <c r="AS102" s="146"/>
      <c r="AT102" s="146"/>
      <c r="AU102" s="146"/>
      <c r="AV102" s="146"/>
      <c r="AW102" s="146"/>
      <c r="AX102" s="146"/>
      <c r="AY102" s="146"/>
      <c r="AZ102" s="146"/>
      <c r="BA102" s="146"/>
      <c r="BB102" s="146"/>
      <c r="BC102" s="146"/>
      <c r="BD102" s="146"/>
      <c r="BE102" s="146"/>
      <c r="BF102" s="146"/>
      <c r="BG102" s="146"/>
      <c r="BH102" s="146"/>
      <c r="BI102" s="146"/>
      <c r="BJ102" s="146"/>
      <c r="BK102" s="146"/>
      <c r="BL102" s="146"/>
      <c r="BM102" s="146"/>
      <c r="BN102" s="146"/>
      <c r="BO102" s="146"/>
      <c r="BP102" s="146"/>
      <c r="BQ102" s="146"/>
      <c r="BR102" s="146"/>
      <c r="BS102" s="146"/>
      <c r="BT102" s="146"/>
      <c r="BU102" s="146"/>
      <c r="BV102" s="146"/>
      <c r="BW102" s="146"/>
      <c r="BX102" s="146"/>
      <c r="BY102" s="146"/>
      <c r="BZ102" s="146"/>
      <c r="CA102" s="146"/>
      <c r="CB102" s="146"/>
      <c r="CC102" s="146"/>
      <c r="CD102" s="146"/>
      <c r="CE102" s="146"/>
      <c r="CF102" s="146"/>
      <c r="CG102" s="146"/>
      <c r="CH102" s="146"/>
      <c r="CI102" s="146"/>
      <c r="CJ102" s="146"/>
      <c r="CK102" s="146"/>
      <c r="CL102" s="146"/>
      <c r="CM102" s="146"/>
      <c r="CN102" s="146"/>
      <c r="CO102" s="146"/>
      <c r="CP102" s="146"/>
      <c r="CQ102" s="146"/>
      <c r="CR102" s="146"/>
      <c r="CS102" s="146"/>
      <c r="CT102" s="146"/>
      <c r="CU102" s="146"/>
      <c r="CV102" s="146"/>
      <c r="CW102" s="146"/>
      <c r="CX102" s="146"/>
      <c r="CY102" s="146"/>
      <c r="CZ102" s="146"/>
      <c r="DA102" s="146"/>
      <c r="DB102" s="146"/>
      <c r="DC102" s="146"/>
      <c r="DD102" s="146"/>
      <c r="DE102" s="146"/>
      <c r="DF102" s="146"/>
      <c r="DG102" s="146"/>
      <c r="DH102" s="146"/>
      <c r="DI102" s="146"/>
      <c r="DJ102" s="146"/>
      <c r="DK102" s="146"/>
      <c r="DL102" s="146"/>
      <c r="DM102" s="146"/>
      <c r="DN102" s="146"/>
      <c r="DO102" s="146"/>
      <c r="DP102" s="146"/>
      <c r="DQ102" s="146"/>
      <c r="DR102" s="146"/>
      <c r="DS102" s="146"/>
      <c r="DT102" s="146"/>
      <c r="DU102" s="146"/>
      <c r="DV102" s="146"/>
      <c r="DW102" s="146"/>
      <c r="DX102" s="146"/>
      <c r="DY102" s="146"/>
      <c r="DZ102" s="146"/>
      <c r="EA102" s="146"/>
      <c r="EB102" s="146"/>
      <c r="EC102" s="146"/>
      <c r="ED102" s="146"/>
      <c r="EE102" s="146"/>
      <c r="EF102" s="146"/>
      <c r="EG102" s="146"/>
      <c r="EH102" s="146"/>
      <c r="EI102" s="146"/>
      <c r="EJ102" s="146"/>
      <c r="EK102" s="146"/>
      <c r="EL102" s="146"/>
      <c r="EM102" s="146"/>
      <c r="EN102" s="146"/>
      <c r="EO102" s="146"/>
      <c r="EP102" s="146"/>
      <c r="EQ102" s="146"/>
    </row>
    <row r="103">
      <c r="A103" s="177" t="s">
        <v>206</v>
      </c>
      <c r="B103" s="178" t="s">
        <v>436</v>
      </c>
      <c r="C103" s="179" t="s">
        <v>437</v>
      </c>
      <c r="D103" s="178" t="s">
        <v>328</v>
      </c>
      <c r="E103" s="179" t="s">
        <v>337</v>
      </c>
      <c r="F103" s="178" t="s">
        <v>330</v>
      </c>
      <c r="G103" s="178">
        <v>70.0</v>
      </c>
      <c r="H103" s="180"/>
      <c r="I103" s="180"/>
      <c r="J103" s="180">
        <v>44022.0</v>
      </c>
      <c r="K103" s="175">
        <f t="shared" si="16"/>
        <v>45117</v>
      </c>
      <c r="L103" s="176" t="str">
        <f t="shared" si="2"/>
        <v>Overdue</v>
      </c>
      <c r="M103" s="180"/>
      <c r="N103" s="146"/>
      <c r="O103" s="146"/>
      <c r="P103" s="146"/>
      <c r="Q103" s="146"/>
      <c r="R103" s="146"/>
      <c r="S103" s="146"/>
      <c r="T103" s="146"/>
      <c r="U103" s="146"/>
      <c r="V103" s="146"/>
      <c r="W103" s="146"/>
      <c r="X103" s="146"/>
      <c r="Y103" s="146"/>
      <c r="Z103" s="146"/>
      <c r="AA103" s="146"/>
      <c r="AB103" s="146"/>
      <c r="AC103" s="146"/>
      <c r="AD103" s="146"/>
      <c r="AE103" s="146"/>
      <c r="AF103" s="146"/>
      <c r="AG103" s="146"/>
      <c r="AH103" s="146"/>
      <c r="AI103" s="146"/>
      <c r="AJ103" s="146"/>
      <c r="AK103" s="146"/>
      <c r="AL103" s="146"/>
      <c r="AM103" s="146"/>
      <c r="AN103" s="146"/>
      <c r="AO103" s="146"/>
      <c r="AP103" s="146"/>
      <c r="AQ103" s="146"/>
      <c r="AR103" s="146"/>
      <c r="AS103" s="146"/>
      <c r="AT103" s="146"/>
      <c r="AU103" s="146"/>
      <c r="AV103" s="146"/>
      <c r="AW103" s="146"/>
      <c r="AX103" s="146"/>
      <c r="AY103" s="146"/>
      <c r="AZ103" s="146"/>
      <c r="BA103" s="146"/>
      <c r="BB103" s="146"/>
      <c r="BC103" s="146"/>
      <c r="BD103" s="146"/>
      <c r="BE103" s="146"/>
      <c r="BF103" s="146"/>
      <c r="BG103" s="146"/>
      <c r="BH103" s="146"/>
      <c r="BI103" s="146"/>
      <c r="BJ103" s="146"/>
      <c r="BK103" s="146"/>
      <c r="BL103" s="146"/>
      <c r="BM103" s="146"/>
      <c r="BN103" s="146"/>
      <c r="BO103" s="146"/>
      <c r="BP103" s="146"/>
      <c r="BQ103" s="146"/>
      <c r="BR103" s="146"/>
      <c r="BS103" s="146"/>
      <c r="BT103" s="146"/>
      <c r="BU103" s="146"/>
      <c r="BV103" s="146"/>
      <c r="BW103" s="146"/>
      <c r="BX103" s="146"/>
      <c r="BY103" s="146"/>
      <c r="BZ103" s="146"/>
      <c r="CA103" s="146"/>
      <c r="CB103" s="146"/>
      <c r="CC103" s="146"/>
      <c r="CD103" s="146"/>
      <c r="CE103" s="146"/>
      <c r="CF103" s="146"/>
      <c r="CG103" s="146"/>
      <c r="CH103" s="146"/>
      <c r="CI103" s="146"/>
      <c r="CJ103" s="146"/>
      <c r="CK103" s="146"/>
      <c r="CL103" s="146"/>
      <c r="CM103" s="146"/>
      <c r="CN103" s="146"/>
      <c r="CO103" s="146"/>
      <c r="CP103" s="146"/>
      <c r="CQ103" s="146"/>
      <c r="CR103" s="146"/>
      <c r="CS103" s="146"/>
      <c r="CT103" s="146"/>
      <c r="CU103" s="146"/>
      <c r="CV103" s="146"/>
      <c r="CW103" s="146"/>
      <c r="CX103" s="146"/>
      <c r="CY103" s="146"/>
      <c r="CZ103" s="146"/>
      <c r="DA103" s="146"/>
      <c r="DB103" s="146"/>
      <c r="DC103" s="146"/>
      <c r="DD103" s="146"/>
      <c r="DE103" s="146"/>
      <c r="DF103" s="146"/>
      <c r="DG103" s="146"/>
      <c r="DH103" s="146"/>
      <c r="DI103" s="146"/>
      <c r="DJ103" s="146"/>
      <c r="DK103" s="146"/>
      <c r="DL103" s="146"/>
      <c r="DM103" s="146"/>
      <c r="DN103" s="146"/>
      <c r="DO103" s="146"/>
      <c r="DP103" s="146"/>
      <c r="DQ103" s="146"/>
      <c r="DR103" s="146"/>
      <c r="DS103" s="146"/>
      <c r="DT103" s="146"/>
      <c r="DU103" s="146"/>
      <c r="DV103" s="146"/>
      <c r="DW103" s="146"/>
      <c r="DX103" s="146"/>
      <c r="DY103" s="146"/>
      <c r="DZ103" s="146"/>
      <c r="EA103" s="146"/>
      <c r="EB103" s="146"/>
      <c r="EC103" s="146"/>
      <c r="ED103" s="146"/>
      <c r="EE103" s="146"/>
      <c r="EF103" s="146"/>
      <c r="EG103" s="146"/>
      <c r="EH103" s="146"/>
      <c r="EI103" s="146"/>
      <c r="EJ103" s="146"/>
      <c r="EK103" s="146"/>
      <c r="EL103" s="146"/>
      <c r="EM103" s="146"/>
      <c r="EN103" s="146"/>
      <c r="EO103" s="146"/>
      <c r="EP103" s="146"/>
      <c r="EQ103" s="146"/>
    </row>
    <row r="104">
      <c r="A104" s="185" t="s">
        <v>207</v>
      </c>
      <c r="B104" s="172" t="s">
        <v>438</v>
      </c>
      <c r="C104" s="173" t="s">
        <v>439</v>
      </c>
      <c r="D104" s="172" t="s">
        <v>328</v>
      </c>
      <c r="E104" s="173" t="s">
        <v>344</v>
      </c>
      <c r="F104" s="172" t="s">
        <v>330</v>
      </c>
      <c r="G104" s="172">
        <v>2300.0</v>
      </c>
      <c r="H104" s="174">
        <v>45334.0</v>
      </c>
      <c r="I104" s="174">
        <v>45498.0</v>
      </c>
      <c r="J104" s="174">
        <v>45682.0</v>
      </c>
      <c r="K104" s="175">
        <f t="shared" si="16"/>
        <v>46777</v>
      </c>
      <c r="L104" s="176" t="str">
        <f t="shared" si="2"/>
        <v>Ok</v>
      </c>
      <c r="M104" s="174"/>
      <c r="N104" s="146"/>
      <c r="O104" s="146"/>
      <c r="P104" s="146"/>
      <c r="Q104" s="146"/>
      <c r="R104" s="146"/>
      <c r="S104" s="146"/>
      <c r="T104" s="146"/>
      <c r="U104" s="146"/>
      <c r="V104" s="146"/>
      <c r="W104" s="146"/>
      <c r="X104" s="146"/>
      <c r="Y104" s="146"/>
      <c r="Z104" s="146"/>
      <c r="AA104" s="146"/>
      <c r="AB104" s="146"/>
      <c r="AC104" s="146"/>
      <c r="AD104" s="146"/>
      <c r="AE104" s="146"/>
      <c r="AF104" s="146"/>
      <c r="AG104" s="146"/>
      <c r="AH104" s="146"/>
      <c r="AI104" s="146"/>
      <c r="AJ104" s="146"/>
      <c r="AK104" s="146"/>
      <c r="AL104" s="146"/>
      <c r="AM104" s="146"/>
      <c r="AN104" s="146"/>
      <c r="AO104" s="146"/>
      <c r="AP104" s="146"/>
      <c r="AQ104" s="146"/>
      <c r="AR104" s="146"/>
      <c r="AS104" s="146"/>
      <c r="AT104" s="146"/>
      <c r="AU104" s="146"/>
      <c r="AV104" s="146"/>
      <c r="AW104" s="146"/>
      <c r="AX104" s="146"/>
      <c r="AY104" s="146"/>
      <c r="AZ104" s="146"/>
      <c r="BA104" s="146"/>
      <c r="BB104" s="146"/>
      <c r="BC104" s="146"/>
      <c r="BD104" s="146"/>
      <c r="BE104" s="146"/>
      <c r="BF104" s="146"/>
      <c r="BG104" s="146"/>
      <c r="BH104" s="146"/>
      <c r="BI104" s="146"/>
      <c r="BJ104" s="146"/>
      <c r="BK104" s="146"/>
      <c r="BL104" s="146"/>
      <c r="BM104" s="146"/>
      <c r="BN104" s="146"/>
      <c r="BO104" s="146"/>
      <c r="BP104" s="146"/>
      <c r="BQ104" s="146"/>
      <c r="BR104" s="146"/>
      <c r="BS104" s="146"/>
      <c r="BT104" s="146"/>
      <c r="BU104" s="146"/>
      <c r="BV104" s="146"/>
      <c r="BW104" s="146"/>
      <c r="BX104" s="146"/>
      <c r="BY104" s="146"/>
      <c r="BZ104" s="146"/>
      <c r="CA104" s="146"/>
      <c r="CB104" s="146"/>
      <c r="CC104" s="146"/>
      <c r="CD104" s="146"/>
      <c r="CE104" s="146"/>
      <c r="CF104" s="146"/>
      <c r="CG104" s="146"/>
      <c r="CH104" s="146"/>
      <c r="CI104" s="146"/>
      <c r="CJ104" s="146"/>
      <c r="CK104" s="146"/>
      <c r="CL104" s="146"/>
      <c r="CM104" s="146"/>
      <c r="CN104" s="146"/>
      <c r="CO104" s="146"/>
      <c r="CP104" s="146"/>
      <c r="CQ104" s="146"/>
      <c r="CR104" s="146"/>
      <c r="CS104" s="146"/>
      <c r="CT104" s="146"/>
      <c r="CU104" s="146"/>
      <c r="CV104" s="146"/>
      <c r="CW104" s="146"/>
      <c r="CX104" s="146"/>
      <c r="CY104" s="146"/>
      <c r="CZ104" s="146"/>
      <c r="DA104" s="146"/>
      <c r="DB104" s="146"/>
      <c r="DC104" s="146"/>
      <c r="DD104" s="146"/>
      <c r="DE104" s="146"/>
      <c r="DF104" s="146"/>
      <c r="DG104" s="146"/>
      <c r="DH104" s="146"/>
      <c r="DI104" s="146"/>
      <c r="DJ104" s="146"/>
      <c r="DK104" s="146"/>
      <c r="DL104" s="146"/>
      <c r="DM104" s="146"/>
      <c r="DN104" s="146"/>
      <c r="DO104" s="146"/>
      <c r="DP104" s="146"/>
      <c r="DQ104" s="146"/>
      <c r="DR104" s="146"/>
      <c r="DS104" s="146"/>
      <c r="DT104" s="146"/>
      <c r="DU104" s="146"/>
      <c r="DV104" s="146"/>
      <c r="DW104" s="146"/>
      <c r="DX104" s="146"/>
      <c r="DY104" s="146"/>
      <c r="DZ104" s="146"/>
      <c r="EA104" s="146"/>
      <c r="EB104" s="146"/>
      <c r="EC104" s="146"/>
      <c r="ED104" s="146"/>
      <c r="EE104" s="146"/>
      <c r="EF104" s="146"/>
      <c r="EG104" s="146"/>
      <c r="EH104" s="146"/>
      <c r="EI104" s="146"/>
      <c r="EJ104" s="146"/>
      <c r="EK104" s="146"/>
      <c r="EL104" s="146"/>
      <c r="EM104" s="146"/>
      <c r="EN104" s="146"/>
      <c r="EO104" s="146"/>
      <c r="EP104" s="146"/>
      <c r="EQ104" s="146"/>
    </row>
    <row r="105">
      <c r="A105" s="184" t="s">
        <v>208</v>
      </c>
      <c r="B105" s="178" t="s">
        <v>436</v>
      </c>
      <c r="C105" s="179" t="s">
        <v>440</v>
      </c>
      <c r="D105" s="178" t="s">
        <v>328</v>
      </c>
      <c r="E105" s="179" t="s">
        <v>337</v>
      </c>
      <c r="F105" s="178" t="s">
        <v>330</v>
      </c>
      <c r="G105" s="178">
        <v>68.0</v>
      </c>
      <c r="H105" s="180"/>
      <c r="I105" s="180"/>
      <c r="J105" s="180">
        <v>46068.0</v>
      </c>
      <c r="K105" s="175">
        <f t="shared" si="16"/>
        <v>47164</v>
      </c>
      <c r="L105" s="176" t="str">
        <f t="shared" si="2"/>
        <v>Ok</v>
      </c>
      <c r="M105" s="180"/>
      <c r="N105" s="146"/>
      <c r="O105" s="146"/>
      <c r="P105" s="146"/>
      <c r="Q105" s="146"/>
      <c r="R105" s="146"/>
      <c r="S105" s="146"/>
      <c r="T105" s="146"/>
      <c r="U105" s="146"/>
      <c r="V105" s="146"/>
      <c r="W105" s="146"/>
      <c r="X105" s="146"/>
      <c r="Y105" s="146"/>
      <c r="Z105" s="146"/>
      <c r="AA105" s="146"/>
      <c r="AB105" s="146"/>
      <c r="AC105" s="146"/>
      <c r="AD105" s="146"/>
      <c r="AE105" s="146"/>
      <c r="AF105" s="146"/>
      <c r="AG105" s="146"/>
      <c r="AH105" s="146"/>
      <c r="AI105" s="146"/>
      <c r="AJ105" s="146"/>
      <c r="AK105" s="146"/>
      <c r="AL105" s="146"/>
      <c r="AM105" s="146"/>
      <c r="AN105" s="146"/>
      <c r="AO105" s="146"/>
      <c r="AP105" s="146"/>
      <c r="AQ105" s="146"/>
      <c r="AR105" s="146"/>
      <c r="AS105" s="146"/>
      <c r="AT105" s="146"/>
      <c r="AU105" s="146"/>
      <c r="AV105" s="146"/>
      <c r="AW105" s="146"/>
      <c r="AX105" s="146"/>
      <c r="AY105" s="146"/>
      <c r="AZ105" s="146"/>
      <c r="BA105" s="146"/>
      <c r="BB105" s="146"/>
      <c r="BC105" s="146"/>
      <c r="BD105" s="146"/>
      <c r="BE105" s="146"/>
      <c r="BF105" s="146"/>
      <c r="BG105" s="146"/>
      <c r="BH105" s="146"/>
      <c r="BI105" s="146"/>
      <c r="BJ105" s="146"/>
      <c r="BK105" s="146"/>
      <c r="BL105" s="146"/>
      <c r="BM105" s="146"/>
      <c r="BN105" s="146"/>
      <c r="BO105" s="146"/>
      <c r="BP105" s="146"/>
      <c r="BQ105" s="146"/>
      <c r="BR105" s="146"/>
      <c r="BS105" s="146"/>
      <c r="BT105" s="146"/>
      <c r="BU105" s="146"/>
      <c r="BV105" s="146"/>
      <c r="BW105" s="146"/>
      <c r="BX105" s="146"/>
      <c r="BY105" s="146"/>
      <c r="BZ105" s="146"/>
      <c r="CA105" s="146"/>
      <c r="CB105" s="146"/>
      <c r="CC105" s="146"/>
      <c r="CD105" s="146"/>
      <c r="CE105" s="146"/>
      <c r="CF105" s="146"/>
      <c r="CG105" s="146"/>
      <c r="CH105" s="146"/>
      <c r="CI105" s="146"/>
      <c r="CJ105" s="146"/>
      <c r="CK105" s="146"/>
      <c r="CL105" s="146"/>
      <c r="CM105" s="146"/>
      <c r="CN105" s="146"/>
      <c r="CO105" s="146"/>
      <c r="CP105" s="146"/>
      <c r="CQ105" s="146"/>
      <c r="CR105" s="146"/>
      <c r="CS105" s="146"/>
      <c r="CT105" s="146"/>
      <c r="CU105" s="146"/>
      <c r="CV105" s="146"/>
      <c r="CW105" s="146"/>
      <c r="CX105" s="146"/>
      <c r="CY105" s="146"/>
      <c r="CZ105" s="146"/>
      <c r="DA105" s="146"/>
      <c r="DB105" s="146"/>
      <c r="DC105" s="146"/>
      <c r="DD105" s="146"/>
      <c r="DE105" s="146"/>
      <c r="DF105" s="146"/>
      <c r="DG105" s="146"/>
      <c r="DH105" s="146"/>
      <c r="DI105" s="146"/>
      <c r="DJ105" s="146"/>
      <c r="DK105" s="146"/>
      <c r="DL105" s="146"/>
      <c r="DM105" s="146"/>
      <c r="DN105" s="146"/>
      <c r="DO105" s="146"/>
      <c r="DP105" s="146"/>
      <c r="DQ105" s="146"/>
      <c r="DR105" s="146"/>
      <c r="DS105" s="146"/>
      <c r="DT105" s="146"/>
      <c r="DU105" s="146"/>
      <c r="DV105" s="146"/>
      <c r="DW105" s="146"/>
      <c r="DX105" s="146"/>
      <c r="DY105" s="146"/>
      <c r="DZ105" s="146"/>
      <c r="EA105" s="146"/>
      <c r="EB105" s="146"/>
      <c r="EC105" s="146"/>
      <c r="ED105" s="146"/>
      <c r="EE105" s="146"/>
      <c r="EF105" s="146"/>
      <c r="EG105" s="146"/>
      <c r="EH105" s="146"/>
      <c r="EI105" s="146"/>
      <c r="EJ105" s="146"/>
      <c r="EK105" s="146"/>
      <c r="EL105" s="146"/>
      <c r="EM105" s="146"/>
      <c r="EN105" s="146"/>
      <c r="EO105" s="146"/>
      <c r="EP105" s="146"/>
      <c r="EQ105" s="146"/>
    </row>
    <row r="106">
      <c r="A106" s="185" t="s">
        <v>209</v>
      </c>
      <c r="B106" s="172" t="s">
        <v>438</v>
      </c>
      <c r="C106" s="173" t="s">
        <v>441</v>
      </c>
      <c r="D106" s="172" t="s">
        <v>328</v>
      </c>
      <c r="E106" s="173" t="s">
        <v>344</v>
      </c>
      <c r="F106" s="172" t="s">
        <v>330</v>
      </c>
      <c r="G106" s="172">
        <v>2300.0</v>
      </c>
      <c r="H106" s="174">
        <v>45293.0</v>
      </c>
      <c r="I106" s="174">
        <v>45578.0</v>
      </c>
      <c r="J106" s="174">
        <v>45790.0</v>
      </c>
      <c r="K106" s="175">
        <f t="shared" si="16"/>
        <v>46886</v>
      </c>
      <c r="L106" s="176" t="str">
        <f t="shared" si="2"/>
        <v>Ok</v>
      </c>
      <c r="M106" s="174"/>
      <c r="N106" s="146"/>
      <c r="O106" s="146"/>
      <c r="P106" s="146"/>
      <c r="Q106" s="146"/>
      <c r="R106" s="146"/>
      <c r="S106" s="146"/>
      <c r="T106" s="146"/>
      <c r="U106" s="146"/>
      <c r="V106" s="146"/>
      <c r="W106" s="146"/>
      <c r="X106" s="146"/>
      <c r="Y106" s="146"/>
      <c r="Z106" s="146"/>
      <c r="AA106" s="146"/>
      <c r="AB106" s="146"/>
      <c r="AC106" s="146"/>
      <c r="AD106" s="146"/>
      <c r="AE106" s="146"/>
      <c r="AF106" s="146"/>
      <c r="AG106" s="146"/>
      <c r="AH106" s="146"/>
      <c r="AI106" s="146"/>
      <c r="AJ106" s="146"/>
      <c r="AK106" s="146"/>
      <c r="AL106" s="146"/>
      <c r="AM106" s="146"/>
      <c r="AN106" s="146"/>
      <c r="AO106" s="146"/>
      <c r="AP106" s="146"/>
      <c r="AQ106" s="146"/>
      <c r="AR106" s="146"/>
      <c r="AS106" s="146"/>
      <c r="AT106" s="146"/>
      <c r="AU106" s="146"/>
      <c r="AV106" s="146"/>
      <c r="AW106" s="146"/>
      <c r="AX106" s="146"/>
      <c r="AY106" s="146"/>
      <c r="AZ106" s="146"/>
      <c r="BA106" s="146"/>
      <c r="BB106" s="146"/>
      <c r="BC106" s="146"/>
      <c r="BD106" s="146"/>
      <c r="BE106" s="146"/>
      <c r="BF106" s="146"/>
      <c r="BG106" s="146"/>
      <c r="BH106" s="146"/>
      <c r="BI106" s="146"/>
      <c r="BJ106" s="146"/>
      <c r="BK106" s="146"/>
      <c r="BL106" s="146"/>
      <c r="BM106" s="146"/>
      <c r="BN106" s="146"/>
      <c r="BO106" s="146"/>
      <c r="BP106" s="146"/>
      <c r="BQ106" s="146"/>
      <c r="BR106" s="146"/>
      <c r="BS106" s="146"/>
      <c r="BT106" s="146"/>
      <c r="BU106" s="146"/>
      <c r="BV106" s="146"/>
      <c r="BW106" s="146"/>
      <c r="BX106" s="146"/>
      <c r="BY106" s="146"/>
      <c r="BZ106" s="146"/>
      <c r="CA106" s="146"/>
      <c r="CB106" s="146"/>
      <c r="CC106" s="146"/>
      <c r="CD106" s="146"/>
      <c r="CE106" s="146"/>
      <c r="CF106" s="146"/>
      <c r="CG106" s="146"/>
      <c r="CH106" s="146"/>
      <c r="CI106" s="146"/>
      <c r="CJ106" s="146"/>
      <c r="CK106" s="146"/>
      <c r="CL106" s="146"/>
      <c r="CM106" s="146"/>
      <c r="CN106" s="146"/>
      <c r="CO106" s="146"/>
      <c r="CP106" s="146"/>
      <c r="CQ106" s="146"/>
      <c r="CR106" s="146"/>
      <c r="CS106" s="146"/>
      <c r="CT106" s="146"/>
      <c r="CU106" s="146"/>
      <c r="CV106" s="146"/>
      <c r="CW106" s="146"/>
      <c r="CX106" s="146"/>
      <c r="CY106" s="146"/>
      <c r="CZ106" s="146"/>
      <c r="DA106" s="146"/>
      <c r="DB106" s="146"/>
      <c r="DC106" s="146"/>
      <c r="DD106" s="146"/>
      <c r="DE106" s="146"/>
      <c r="DF106" s="146"/>
      <c r="DG106" s="146"/>
      <c r="DH106" s="146"/>
      <c r="DI106" s="146"/>
      <c r="DJ106" s="146"/>
      <c r="DK106" s="146"/>
      <c r="DL106" s="146"/>
      <c r="DM106" s="146"/>
      <c r="DN106" s="146"/>
      <c r="DO106" s="146"/>
      <c r="DP106" s="146"/>
      <c r="DQ106" s="146"/>
      <c r="DR106" s="146"/>
      <c r="DS106" s="146"/>
      <c r="DT106" s="146"/>
      <c r="DU106" s="146"/>
      <c r="DV106" s="146"/>
      <c r="DW106" s="146"/>
      <c r="DX106" s="146"/>
      <c r="DY106" s="146"/>
      <c r="DZ106" s="146"/>
      <c r="EA106" s="146"/>
      <c r="EB106" s="146"/>
      <c r="EC106" s="146"/>
      <c r="ED106" s="146"/>
      <c r="EE106" s="146"/>
      <c r="EF106" s="146"/>
      <c r="EG106" s="146"/>
      <c r="EH106" s="146"/>
      <c r="EI106" s="146"/>
      <c r="EJ106" s="146"/>
      <c r="EK106" s="146"/>
      <c r="EL106" s="146"/>
      <c r="EM106" s="146"/>
      <c r="EN106" s="146"/>
      <c r="EO106" s="146"/>
      <c r="EP106" s="146"/>
      <c r="EQ106" s="146"/>
    </row>
    <row r="107">
      <c r="A107" s="177" t="s">
        <v>210</v>
      </c>
      <c r="B107" s="178"/>
      <c r="C107" s="179" t="s">
        <v>442</v>
      </c>
      <c r="D107" s="178"/>
      <c r="E107" s="179"/>
      <c r="F107" s="178"/>
      <c r="G107" s="178"/>
      <c r="H107" s="180"/>
      <c r="I107" s="180"/>
      <c r="J107" s="180"/>
      <c r="K107" s="180"/>
      <c r="L107" s="176" t="str">
        <f t="shared" si="2"/>
        <v/>
      </c>
      <c r="M107" s="180"/>
      <c r="N107" s="146"/>
      <c r="O107" s="146"/>
      <c r="P107" s="146"/>
      <c r="Q107" s="146"/>
      <c r="R107" s="146"/>
      <c r="S107" s="146"/>
      <c r="T107" s="146"/>
      <c r="U107" s="146"/>
      <c r="V107" s="146"/>
      <c r="W107" s="146"/>
      <c r="X107" s="146"/>
      <c r="Y107" s="146"/>
      <c r="Z107" s="146"/>
      <c r="AA107" s="146"/>
      <c r="AB107" s="146"/>
      <c r="AC107" s="146"/>
      <c r="AD107" s="146"/>
      <c r="AE107" s="146"/>
      <c r="AF107" s="146"/>
      <c r="AG107" s="146"/>
      <c r="AH107" s="146"/>
      <c r="AI107" s="146"/>
      <c r="AJ107" s="146"/>
      <c r="AK107" s="146"/>
      <c r="AL107" s="146"/>
      <c r="AM107" s="146"/>
      <c r="AN107" s="146"/>
      <c r="AO107" s="146"/>
      <c r="AP107" s="146"/>
      <c r="AQ107" s="146"/>
      <c r="AR107" s="146"/>
      <c r="AS107" s="146"/>
      <c r="AT107" s="146"/>
      <c r="AU107" s="146"/>
      <c r="AV107" s="146"/>
      <c r="AW107" s="146"/>
      <c r="AX107" s="146"/>
      <c r="AY107" s="146"/>
      <c r="AZ107" s="146"/>
      <c r="BA107" s="146"/>
      <c r="BB107" s="146"/>
      <c r="BC107" s="146"/>
      <c r="BD107" s="146"/>
      <c r="BE107" s="146"/>
      <c r="BF107" s="146"/>
      <c r="BG107" s="146"/>
      <c r="BH107" s="146"/>
      <c r="BI107" s="146"/>
      <c r="BJ107" s="146"/>
      <c r="BK107" s="146"/>
      <c r="BL107" s="146"/>
      <c r="BM107" s="146"/>
      <c r="BN107" s="146"/>
      <c r="BO107" s="146"/>
      <c r="BP107" s="146"/>
      <c r="BQ107" s="146"/>
      <c r="BR107" s="146"/>
      <c r="BS107" s="146"/>
      <c r="BT107" s="146"/>
      <c r="BU107" s="146"/>
      <c r="BV107" s="146"/>
      <c r="BW107" s="146"/>
      <c r="BX107" s="146"/>
      <c r="BY107" s="146"/>
      <c r="BZ107" s="146"/>
      <c r="CA107" s="146"/>
      <c r="CB107" s="146"/>
      <c r="CC107" s="146"/>
      <c r="CD107" s="146"/>
      <c r="CE107" s="146"/>
      <c r="CF107" s="146"/>
      <c r="CG107" s="146"/>
      <c r="CH107" s="146"/>
      <c r="CI107" s="146"/>
      <c r="CJ107" s="146"/>
      <c r="CK107" s="146"/>
      <c r="CL107" s="146"/>
      <c r="CM107" s="146"/>
      <c r="CN107" s="146"/>
      <c r="CO107" s="146"/>
      <c r="CP107" s="146"/>
      <c r="CQ107" s="146"/>
      <c r="CR107" s="146"/>
      <c r="CS107" s="146"/>
      <c r="CT107" s="146"/>
      <c r="CU107" s="146"/>
      <c r="CV107" s="146"/>
      <c r="CW107" s="146"/>
      <c r="CX107" s="146"/>
      <c r="CY107" s="146"/>
      <c r="CZ107" s="146"/>
      <c r="DA107" s="146"/>
      <c r="DB107" s="146"/>
      <c r="DC107" s="146"/>
      <c r="DD107" s="146"/>
      <c r="DE107" s="146"/>
      <c r="DF107" s="146"/>
      <c r="DG107" s="146"/>
      <c r="DH107" s="146"/>
      <c r="DI107" s="146"/>
      <c r="DJ107" s="146"/>
      <c r="DK107" s="146"/>
      <c r="DL107" s="146"/>
      <c r="DM107" s="146"/>
      <c r="DN107" s="146"/>
      <c r="DO107" s="146"/>
      <c r="DP107" s="146"/>
      <c r="DQ107" s="146"/>
      <c r="DR107" s="146"/>
      <c r="DS107" s="146"/>
      <c r="DT107" s="146"/>
      <c r="DU107" s="146"/>
      <c r="DV107" s="146"/>
      <c r="DW107" s="146"/>
      <c r="DX107" s="146"/>
      <c r="DY107" s="146"/>
      <c r="DZ107" s="146"/>
      <c r="EA107" s="146"/>
      <c r="EB107" s="146"/>
      <c r="EC107" s="146"/>
      <c r="ED107" s="146"/>
      <c r="EE107" s="146"/>
      <c r="EF107" s="146"/>
      <c r="EG107" s="146"/>
      <c r="EH107" s="146"/>
      <c r="EI107" s="146"/>
      <c r="EJ107" s="146"/>
      <c r="EK107" s="146"/>
      <c r="EL107" s="146"/>
      <c r="EM107" s="146"/>
      <c r="EN107" s="146"/>
      <c r="EO107" s="146"/>
      <c r="EP107" s="146"/>
      <c r="EQ107" s="146"/>
    </row>
    <row r="108">
      <c r="A108" s="171" t="s">
        <v>211</v>
      </c>
      <c r="B108" s="172"/>
      <c r="C108" s="173" t="s">
        <v>442</v>
      </c>
      <c r="D108" s="172"/>
      <c r="E108" s="173"/>
      <c r="F108" s="172"/>
      <c r="G108" s="172"/>
      <c r="H108" s="174"/>
      <c r="I108" s="174"/>
      <c r="J108" s="174"/>
      <c r="K108" s="174"/>
      <c r="L108" s="176" t="str">
        <f t="shared" si="2"/>
        <v/>
      </c>
      <c r="M108" s="174"/>
      <c r="N108" s="146"/>
      <c r="O108" s="146"/>
      <c r="P108" s="146"/>
      <c r="Q108" s="146"/>
      <c r="R108" s="146"/>
      <c r="S108" s="146"/>
      <c r="T108" s="146"/>
      <c r="U108" s="146"/>
      <c r="V108" s="146"/>
      <c r="W108" s="146"/>
      <c r="X108" s="146"/>
      <c r="Y108" s="146"/>
      <c r="Z108" s="146"/>
      <c r="AA108" s="146"/>
      <c r="AB108" s="146"/>
      <c r="AC108" s="146"/>
      <c r="AD108" s="146"/>
      <c r="AE108" s="146"/>
      <c r="AF108" s="146"/>
      <c r="AG108" s="146"/>
      <c r="AH108" s="146"/>
      <c r="AI108" s="146"/>
      <c r="AJ108" s="146"/>
      <c r="AK108" s="146"/>
      <c r="AL108" s="146"/>
      <c r="AM108" s="146"/>
      <c r="AN108" s="146"/>
      <c r="AO108" s="146"/>
      <c r="AP108" s="146"/>
      <c r="AQ108" s="146"/>
      <c r="AR108" s="146"/>
      <c r="AS108" s="146"/>
      <c r="AT108" s="146"/>
      <c r="AU108" s="146"/>
      <c r="AV108" s="146"/>
      <c r="AW108" s="146"/>
      <c r="AX108" s="146"/>
      <c r="AY108" s="146"/>
      <c r="AZ108" s="146"/>
      <c r="BA108" s="146"/>
      <c r="BB108" s="146"/>
      <c r="BC108" s="146"/>
      <c r="BD108" s="146"/>
      <c r="BE108" s="146"/>
      <c r="BF108" s="146"/>
      <c r="BG108" s="146"/>
      <c r="BH108" s="146"/>
      <c r="BI108" s="146"/>
      <c r="BJ108" s="146"/>
      <c r="BK108" s="146"/>
      <c r="BL108" s="146"/>
      <c r="BM108" s="146"/>
      <c r="BN108" s="146"/>
      <c r="BO108" s="146"/>
      <c r="BP108" s="146"/>
      <c r="BQ108" s="146"/>
      <c r="BR108" s="146"/>
      <c r="BS108" s="146"/>
      <c r="BT108" s="146"/>
      <c r="BU108" s="146"/>
      <c r="BV108" s="146"/>
      <c r="BW108" s="146"/>
      <c r="BX108" s="146"/>
      <c r="BY108" s="146"/>
      <c r="BZ108" s="146"/>
      <c r="CA108" s="146"/>
      <c r="CB108" s="146"/>
      <c r="CC108" s="146"/>
      <c r="CD108" s="146"/>
      <c r="CE108" s="146"/>
      <c r="CF108" s="146"/>
      <c r="CG108" s="146"/>
      <c r="CH108" s="146"/>
      <c r="CI108" s="146"/>
      <c r="CJ108" s="146"/>
      <c r="CK108" s="146"/>
      <c r="CL108" s="146"/>
      <c r="CM108" s="146"/>
      <c r="CN108" s="146"/>
      <c r="CO108" s="146"/>
      <c r="CP108" s="146"/>
      <c r="CQ108" s="146"/>
      <c r="CR108" s="146"/>
      <c r="CS108" s="146"/>
      <c r="CT108" s="146"/>
      <c r="CU108" s="146"/>
      <c r="CV108" s="146"/>
      <c r="CW108" s="146"/>
      <c r="CX108" s="146"/>
      <c r="CY108" s="146"/>
      <c r="CZ108" s="146"/>
      <c r="DA108" s="146"/>
      <c r="DB108" s="146"/>
      <c r="DC108" s="146"/>
      <c r="DD108" s="146"/>
      <c r="DE108" s="146"/>
      <c r="DF108" s="146"/>
      <c r="DG108" s="146"/>
      <c r="DH108" s="146"/>
      <c r="DI108" s="146"/>
      <c r="DJ108" s="146"/>
      <c r="DK108" s="146"/>
      <c r="DL108" s="146"/>
      <c r="DM108" s="146"/>
      <c r="DN108" s="146"/>
      <c r="DO108" s="146"/>
      <c r="DP108" s="146"/>
      <c r="DQ108" s="146"/>
      <c r="DR108" s="146"/>
      <c r="DS108" s="146"/>
      <c r="DT108" s="146"/>
      <c r="DU108" s="146"/>
      <c r="DV108" s="146"/>
      <c r="DW108" s="146"/>
      <c r="DX108" s="146"/>
      <c r="DY108" s="146"/>
      <c r="DZ108" s="146"/>
      <c r="EA108" s="146"/>
      <c r="EB108" s="146"/>
      <c r="EC108" s="146"/>
      <c r="ED108" s="146"/>
      <c r="EE108" s="146"/>
      <c r="EF108" s="146"/>
      <c r="EG108" s="146"/>
      <c r="EH108" s="146"/>
      <c r="EI108" s="146"/>
      <c r="EJ108" s="146"/>
      <c r="EK108" s="146"/>
      <c r="EL108" s="146"/>
      <c r="EM108" s="146"/>
      <c r="EN108" s="146"/>
      <c r="EO108" s="146"/>
      <c r="EP108" s="146"/>
      <c r="EQ108" s="146"/>
    </row>
    <row r="109">
      <c r="A109" s="177" t="s">
        <v>212</v>
      </c>
      <c r="B109" s="178"/>
      <c r="C109" s="179" t="s">
        <v>442</v>
      </c>
      <c r="D109" s="178"/>
      <c r="E109" s="179"/>
      <c r="F109" s="178"/>
      <c r="G109" s="178"/>
      <c r="H109" s="180"/>
      <c r="I109" s="180"/>
      <c r="J109" s="180"/>
      <c r="K109" s="180"/>
      <c r="L109" s="176" t="str">
        <f t="shared" si="2"/>
        <v/>
      </c>
      <c r="M109" s="180"/>
      <c r="N109" s="146"/>
      <c r="O109" s="146"/>
      <c r="P109" s="146"/>
      <c r="Q109" s="146"/>
      <c r="R109" s="146"/>
      <c r="S109" s="146"/>
      <c r="T109" s="146"/>
      <c r="U109" s="146"/>
      <c r="V109" s="146"/>
      <c r="W109" s="146"/>
      <c r="X109" s="146"/>
      <c r="Y109" s="146"/>
      <c r="Z109" s="146"/>
      <c r="AA109" s="146"/>
      <c r="AB109" s="146"/>
      <c r="AC109" s="146"/>
      <c r="AD109" s="146"/>
      <c r="AE109" s="146"/>
      <c r="AF109" s="146"/>
      <c r="AG109" s="146"/>
      <c r="AH109" s="146"/>
      <c r="AI109" s="146"/>
      <c r="AJ109" s="146"/>
      <c r="AK109" s="146"/>
      <c r="AL109" s="146"/>
      <c r="AM109" s="146"/>
      <c r="AN109" s="146"/>
      <c r="AO109" s="146"/>
      <c r="AP109" s="146"/>
      <c r="AQ109" s="146"/>
      <c r="AR109" s="146"/>
      <c r="AS109" s="146"/>
      <c r="AT109" s="146"/>
      <c r="AU109" s="146"/>
      <c r="AV109" s="146"/>
      <c r="AW109" s="146"/>
      <c r="AX109" s="146"/>
      <c r="AY109" s="146"/>
      <c r="AZ109" s="146"/>
      <c r="BA109" s="146"/>
      <c r="BB109" s="146"/>
      <c r="BC109" s="146"/>
      <c r="BD109" s="146"/>
      <c r="BE109" s="146"/>
      <c r="BF109" s="146"/>
      <c r="BG109" s="146"/>
      <c r="BH109" s="146"/>
      <c r="BI109" s="146"/>
      <c r="BJ109" s="146"/>
      <c r="BK109" s="146"/>
      <c r="BL109" s="146"/>
      <c r="BM109" s="146"/>
      <c r="BN109" s="146"/>
      <c r="BO109" s="146"/>
      <c r="BP109" s="146"/>
      <c r="BQ109" s="146"/>
      <c r="BR109" s="146"/>
      <c r="BS109" s="146"/>
      <c r="BT109" s="146"/>
      <c r="BU109" s="146"/>
      <c r="BV109" s="146"/>
      <c r="BW109" s="146"/>
      <c r="BX109" s="146"/>
      <c r="BY109" s="146"/>
      <c r="BZ109" s="146"/>
      <c r="CA109" s="146"/>
      <c r="CB109" s="146"/>
      <c r="CC109" s="146"/>
      <c r="CD109" s="146"/>
      <c r="CE109" s="146"/>
      <c r="CF109" s="146"/>
      <c r="CG109" s="146"/>
      <c r="CH109" s="146"/>
      <c r="CI109" s="146"/>
      <c r="CJ109" s="146"/>
      <c r="CK109" s="146"/>
      <c r="CL109" s="146"/>
      <c r="CM109" s="146"/>
      <c r="CN109" s="146"/>
      <c r="CO109" s="146"/>
      <c r="CP109" s="146"/>
      <c r="CQ109" s="146"/>
      <c r="CR109" s="146"/>
      <c r="CS109" s="146"/>
      <c r="CT109" s="146"/>
      <c r="CU109" s="146"/>
      <c r="CV109" s="146"/>
      <c r="CW109" s="146"/>
      <c r="CX109" s="146"/>
      <c r="CY109" s="146"/>
      <c r="CZ109" s="146"/>
      <c r="DA109" s="146"/>
      <c r="DB109" s="146"/>
      <c r="DC109" s="146"/>
      <c r="DD109" s="146"/>
      <c r="DE109" s="146"/>
      <c r="DF109" s="146"/>
      <c r="DG109" s="146"/>
      <c r="DH109" s="146"/>
      <c r="DI109" s="146"/>
      <c r="DJ109" s="146"/>
      <c r="DK109" s="146"/>
      <c r="DL109" s="146"/>
      <c r="DM109" s="146"/>
      <c r="DN109" s="146"/>
      <c r="DO109" s="146"/>
      <c r="DP109" s="146"/>
      <c r="DQ109" s="146"/>
      <c r="DR109" s="146"/>
      <c r="DS109" s="146"/>
      <c r="DT109" s="146"/>
      <c r="DU109" s="146"/>
      <c r="DV109" s="146"/>
      <c r="DW109" s="146"/>
      <c r="DX109" s="146"/>
      <c r="DY109" s="146"/>
      <c r="DZ109" s="146"/>
      <c r="EA109" s="146"/>
      <c r="EB109" s="146"/>
      <c r="EC109" s="146"/>
      <c r="ED109" s="146"/>
      <c r="EE109" s="146"/>
      <c r="EF109" s="146"/>
      <c r="EG109" s="146"/>
      <c r="EH109" s="146"/>
      <c r="EI109" s="146"/>
      <c r="EJ109" s="146"/>
      <c r="EK109" s="146"/>
      <c r="EL109" s="146"/>
      <c r="EM109" s="146"/>
      <c r="EN109" s="146"/>
      <c r="EO109" s="146"/>
      <c r="EP109" s="146"/>
      <c r="EQ109" s="146"/>
    </row>
    <row r="110">
      <c r="A110" s="171" t="s">
        <v>213</v>
      </c>
      <c r="B110" s="172" t="s">
        <v>372</v>
      </c>
      <c r="C110" s="173" t="s">
        <v>443</v>
      </c>
      <c r="D110" s="172" t="s">
        <v>328</v>
      </c>
      <c r="E110" s="173" t="s">
        <v>344</v>
      </c>
      <c r="F110" s="172" t="s">
        <v>330</v>
      </c>
      <c r="G110" s="172">
        <v>580.0</v>
      </c>
      <c r="H110" s="174"/>
      <c r="I110" s="174"/>
      <c r="J110" s="174"/>
      <c r="K110" s="172"/>
      <c r="L110" s="176" t="str">
        <f t="shared" si="2"/>
        <v/>
      </c>
      <c r="M110" s="174"/>
      <c r="N110" s="146"/>
      <c r="O110" s="146"/>
      <c r="P110" s="146"/>
      <c r="Q110" s="146"/>
      <c r="R110" s="146"/>
      <c r="S110" s="146"/>
      <c r="T110" s="146"/>
      <c r="U110" s="146"/>
      <c r="V110" s="146"/>
      <c r="W110" s="146"/>
      <c r="X110" s="146"/>
      <c r="Y110" s="146"/>
      <c r="Z110" s="146"/>
      <c r="AA110" s="146"/>
      <c r="AB110" s="146"/>
      <c r="AC110" s="146"/>
      <c r="AD110" s="146"/>
      <c r="AE110" s="146"/>
      <c r="AF110" s="146"/>
      <c r="AG110" s="146"/>
      <c r="AH110" s="146"/>
      <c r="AI110" s="146"/>
      <c r="AJ110" s="146"/>
      <c r="AK110" s="146"/>
      <c r="AL110" s="146"/>
      <c r="AM110" s="146"/>
      <c r="AN110" s="146"/>
      <c r="AO110" s="146"/>
      <c r="AP110" s="146"/>
      <c r="AQ110" s="146"/>
      <c r="AR110" s="146"/>
      <c r="AS110" s="146"/>
      <c r="AT110" s="146"/>
      <c r="AU110" s="146"/>
      <c r="AV110" s="146"/>
      <c r="AW110" s="146"/>
      <c r="AX110" s="146"/>
      <c r="AY110" s="146"/>
      <c r="AZ110" s="146"/>
      <c r="BA110" s="146"/>
      <c r="BB110" s="146"/>
      <c r="BC110" s="146"/>
      <c r="BD110" s="146"/>
      <c r="BE110" s="146"/>
      <c r="BF110" s="146"/>
      <c r="BG110" s="146"/>
      <c r="BH110" s="146"/>
      <c r="BI110" s="146"/>
      <c r="BJ110" s="146"/>
      <c r="BK110" s="146"/>
      <c r="BL110" s="146"/>
      <c r="BM110" s="146"/>
      <c r="BN110" s="146"/>
      <c r="BO110" s="146"/>
      <c r="BP110" s="146"/>
      <c r="BQ110" s="146"/>
      <c r="BR110" s="146"/>
      <c r="BS110" s="146"/>
      <c r="BT110" s="146"/>
      <c r="BU110" s="146"/>
      <c r="BV110" s="146"/>
      <c r="BW110" s="146"/>
      <c r="BX110" s="146"/>
      <c r="BY110" s="146"/>
      <c r="BZ110" s="146"/>
      <c r="CA110" s="146"/>
      <c r="CB110" s="146"/>
      <c r="CC110" s="146"/>
      <c r="CD110" s="146"/>
      <c r="CE110" s="146"/>
      <c r="CF110" s="146"/>
      <c r="CG110" s="146"/>
      <c r="CH110" s="146"/>
      <c r="CI110" s="146"/>
      <c r="CJ110" s="146"/>
      <c r="CK110" s="146"/>
      <c r="CL110" s="146"/>
      <c r="CM110" s="146"/>
      <c r="CN110" s="146"/>
      <c r="CO110" s="146"/>
      <c r="CP110" s="146"/>
      <c r="CQ110" s="146"/>
      <c r="CR110" s="146"/>
      <c r="CS110" s="146"/>
      <c r="CT110" s="146"/>
      <c r="CU110" s="146"/>
      <c r="CV110" s="146"/>
      <c r="CW110" s="146"/>
      <c r="CX110" s="146"/>
      <c r="CY110" s="146"/>
      <c r="CZ110" s="146"/>
      <c r="DA110" s="146"/>
      <c r="DB110" s="146"/>
      <c r="DC110" s="146"/>
      <c r="DD110" s="146"/>
      <c r="DE110" s="146"/>
      <c r="DF110" s="146"/>
      <c r="DG110" s="146"/>
      <c r="DH110" s="146"/>
      <c r="DI110" s="146"/>
      <c r="DJ110" s="146"/>
      <c r="DK110" s="146"/>
      <c r="DL110" s="146"/>
      <c r="DM110" s="146"/>
      <c r="DN110" s="146"/>
      <c r="DO110" s="146"/>
      <c r="DP110" s="146"/>
      <c r="DQ110" s="146"/>
      <c r="DR110" s="146"/>
      <c r="DS110" s="146"/>
      <c r="DT110" s="146"/>
      <c r="DU110" s="146"/>
      <c r="DV110" s="146"/>
      <c r="DW110" s="146"/>
      <c r="DX110" s="146"/>
      <c r="DY110" s="146"/>
      <c r="DZ110" s="146"/>
      <c r="EA110" s="146"/>
      <c r="EB110" s="146"/>
      <c r="EC110" s="146"/>
      <c r="ED110" s="146"/>
      <c r="EE110" s="146"/>
      <c r="EF110" s="146"/>
      <c r="EG110" s="146"/>
      <c r="EH110" s="146"/>
      <c r="EI110" s="146"/>
      <c r="EJ110" s="146"/>
      <c r="EK110" s="146"/>
      <c r="EL110" s="146"/>
      <c r="EM110" s="146"/>
      <c r="EN110" s="146"/>
      <c r="EO110" s="146"/>
      <c r="EP110" s="146"/>
      <c r="EQ110" s="146"/>
    </row>
    <row r="111">
      <c r="A111" s="184" t="s">
        <v>214</v>
      </c>
      <c r="B111" s="178" t="s">
        <v>444</v>
      </c>
      <c r="C111" s="179" t="s">
        <v>445</v>
      </c>
      <c r="D111" s="178" t="s">
        <v>328</v>
      </c>
      <c r="E111" s="179" t="s">
        <v>377</v>
      </c>
      <c r="F111" s="178" t="s">
        <v>330</v>
      </c>
      <c r="G111" s="178">
        <v>560.0</v>
      </c>
      <c r="H111" s="180">
        <v>44185.0</v>
      </c>
      <c r="I111" s="180">
        <v>44700.0</v>
      </c>
      <c r="J111" s="180">
        <v>46138.0</v>
      </c>
      <c r="K111" s="175">
        <f>EDATE(J111, 36)</f>
        <v>47234</v>
      </c>
      <c r="L111" s="176" t="str">
        <f t="shared" si="2"/>
        <v>Ok</v>
      </c>
      <c r="M111" s="178" t="s">
        <v>446</v>
      </c>
      <c r="N111" s="146"/>
      <c r="O111" s="146"/>
      <c r="P111" s="146"/>
      <c r="Q111" s="146"/>
      <c r="R111" s="146"/>
      <c r="S111" s="146"/>
      <c r="T111" s="146"/>
      <c r="U111" s="146"/>
      <c r="V111" s="146"/>
      <c r="W111" s="146"/>
      <c r="X111" s="146"/>
      <c r="Y111" s="146"/>
      <c r="Z111" s="146"/>
      <c r="AA111" s="146"/>
      <c r="AB111" s="146"/>
      <c r="AC111" s="146"/>
      <c r="AD111" s="146"/>
      <c r="AE111" s="146"/>
      <c r="AF111" s="146"/>
      <c r="AG111" s="146"/>
      <c r="AH111" s="146"/>
      <c r="AI111" s="146"/>
      <c r="AJ111" s="146"/>
      <c r="AK111" s="146"/>
      <c r="AL111" s="146"/>
      <c r="AM111" s="146"/>
      <c r="AN111" s="146"/>
      <c r="AO111" s="146"/>
      <c r="AP111" s="146"/>
      <c r="AQ111" s="146"/>
      <c r="AR111" s="146"/>
      <c r="AS111" s="146"/>
      <c r="AT111" s="146"/>
      <c r="AU111" s="146"/>
      <c r="AV111" s="146"/>
      <c r="AW111" s="146"/>
      <c r="AX111" s="146"/>
      <c r="AY111" s="146"/>
      <c r="AZ111" s="146"/>
      <c r="BA111" s="146"/>
      <c r="BB111" s="146"/>
      <c r="BC111" s="146"/>
      <c r="BD111" s="146"/>
      <c r="BE111" s="146"/>
      <c r="BF111" s="146"/>
      <c r="BG111" s="146"/>
      <c r="BH111" s="146"/>
      <c r="BI111" s="146"/>
      <c r="BJ111" s="146"/>
      <c r="BK111" s="146"/>
      <c r="BL111" s="146"/>
      <c r="BM111" s="146"/>
      <c r="BN111" s="146"/>
      <c r="BO111" s="146"/>
      <c r="BP111" s="146"/>
      <c r="BQ111" s="146"/>
      <c r="BR111" s="146"/>
      <c r="BS111" s="146"/>
      <c r="BT111" s="146"/>
      <c r="BU111" s="146"/>
      <c r="BV111" s="146"/>
      <c r="BW111" s="146"/>
      <c r="BX111" s="146"/>
      <c r="BY111" s="146"/>
      <c r="BZ111" s="146"/>
      <c r="CA111" s="146"/>
      <c r="CB111" s="146"/>
      <c r="CC111" s="146"/>
      <c r="CD111" s="146"/>
      <c r="CE111" s="146"/>
      <c r="CF111" s="146"/>
      <c r="CG111" s="146"/>
      <c r="CH111" s="146"/>
      <c r="CI111" s="146"/>
      <c r="CJ111" s="146"/>
      <c r="CK111" s="146"/>
      <c r="CL111" s="146"/>
      <c r="CM111" s="146"/>
      <c r="CN111" s="146"/>
      <c r="CO111" s="146"/>
      <c r="CP111" s="146"/>
      <c r="CQ111" s="146"/>
      <c r="CR111" s="146"/>
      <c r="CS111" s="146"/>
      <c r="CT111" s="146"/>
      <c r="CU111" s="146"/>
      <c r="CV111" s="146"/>
      <c r="CW111" s="146"/>
      <c r="CX111" s="146"/>
      <c r="CY111" s="146"/>
      <c r="CZ111" s="146"/>
      <c r="DA111" s="146"/>
      <c r="DB111" s="146"/>
      <c r="DC111" s="146"/>
      <c r="DD111" s="146"/>
      <c r="DE111" s="146"/>
      <c r="DF111" s="146"/>
      <c r="DG111" s="146"/>
      <c r="DH111" s="146"/>
      <c r="DI111" s="146"/>
      <c r="DJ111" s="146"/>
      <c r="DK111" s="146"/>
      <c r="DL111" s="146"/>
      <c r="DM111" s="146"/>
      <c r="DN111" s="146"/>
      <c r="DO111" s="146"/>
      <c r="DP111" s="146"/>
      <c r="DQ111" s="146"/>
      <c r="DR111" s="146"/>
      <c r="DS111" s="146"/>
      <c r="DT111" s="146"/>
      <c r="DU111" s="146"/>
      <c r="DV111" s="146"/>
      <c r="DW111" s="146"/>
      <c r="DX111" s="146"/>
      <c r="DY111" s="146"/>
      <c r="DZ111" s="146"/>
      <c r="EA111" s="146"/>
      <c r="EB111" s="146"/>
      <c r="EC111" s="146"/>
      <c r="ED111" s="146"/>
      <c r="EE111" s="146"/>
      <c r="EF111" s="146"/>
      <c r="EG111" s="146"/>
      <c r="EH111" s="146"/>
      <c r="EI111" s="146"/>
      <c r="EJ111" s="146"/>
      <c r="EK111" s="146"/>
      <c r="EL111" s="146"/>
      <c r="EM111" s="146"/>
      <c r="EN111" s="146"/>
      <c r="EO111" s="146"/>
      <c r="EP111" s="146"/>
      <c r="EQ111" s="146"/>
    </row>
    <row r="112">
      <c r="A112" s="171" t="s">
        <v>215</v>
      </c>
      <c r="B112" s="172" t="s">
        <v>382</v>
      </c>
      <c r="C112" s="173" t="s">
        <v>447</v>
      </c>
      <c r="D112" s="172" t="s">
        <v>328</v>
      </c>
      <c r="E112" s="173" t="s">
        <v>346</v>
      </c>
      <c r="F112" s="172" t="s">
        <v>330</v>
      </c>
      <c r="G112" s="172">
        <v>2200.0</v>
      </c>
      <c r="H112" s="174"/>
      <c r="I112" s="174"/>
      <c r="J112" s="174"/>
      <c r="K112" s="172"/>
      <c r="L112" s="176" t="str">
        <f t="shared" si="2"/>
        <v/>
      </c>
      <c r="M112" s="174"/>
      <c r="N112" s="146"/>
      <c r="O112" s="146"/>
      <c r="P112" s="146"/>
      <c r="Q112" s="146"/>
      <c r="R112" s="146"/>
      <c r="S112" s="146"/>
      <c r="T112" s="146"/>
      <c r="U112" s="146"/>
      <c r="V112" s="146"/>
      <c r="W112" s="146"/>
      <c r="X112" s="146"/>
      <c r="Y112" s="146"/>
      <c r="Z112" s="146"/>
      <c r="AA112" s="146"/>
      <c r="AB112" s="146"/>
      <c r="AC112" s="146"/>
      <c r="AD112" s="146"/>
      <c r="AE112" s="146"/>
      <c r="AF112" s="146"/>
      <c r="AG112" s="146"/>
      <c r="AH112" s="146"/>
      <c r="AI112" s="146"/>
      <c r="AJ112" s="146"/>
      <c r="AK112" s="146"/>
      <c r="AL112" s="146"/>
      <c r="AM112" s="146"/>
      <c r="AN112" s="146"/>
      <c r="AO112" s="146"/>
      <c r="AP112" s="146"/>
      <c r="AQ112" s="146"/>
      <c r="AR112" s="146"/>
      <c r="AS112" s="146"/>
      <c r="AT112" s="146"/>
      <c r="AU112" s="146"/>
      <c r="AV112" s="146"/>
      <c r="AW112" s="146"/>
      <c r="AX112" s="146"/>
      <c r="AY112" s="146"/>
      <c r="AZ112" s="146"/>
      <c r="BA112" s="146"/>
      <c r="BB112" s="146"/>
      <c r="BC112" s="146"/>
      <c r="BD112" s="146"/>
      <c r="BE112" s="146"/>
      <c r="BF112" s="146"/>
      <c r="BG112" s="146"/>
      <c r="BH112" s="146"/>
      <c r="BI112" s="146"/>
      <c r="BJ112" s="146"/>
      <c r="BK112" s="146"/>
      <c r="BL112" s="146"/>
      <c r="BM112" s="146"/>
      <c r="BN112" s="146"/>
      <c r="BO112" s="146"/>
      <c r="BP112" s="146"/>
      <c r="BQ112" s="146"/>
      <c r="BR112" s="146"/>
      <c r="BS112" s="146"/>
      <c r="BT112" s="146"/>
      <c r="BU112" s="146"/>
      <c r="BV112" s="146"/>
      <c r="BW112" s="146"/>
      <c r="BX112" s="146"/>
      <c r="BY112" s="146"/>
      <c r="BZ112" s="146"/>
      <c r="CA112" s="146"/>
      <c r="CB112" s="146"/>
      <c r="CC112" s="146"/>
      <c r="CD112" s="146"/>
      <c r="CE112" s="146"/>
      <c r="CF112" s="146"/>
      <c r="CG112" s="146"/>
      <c r="CH112" s="146"/>
      <c r="CI112" s="146"/>
      <c r="CJ112" s="146"/>
      <c r="CK112" s="146"/>
      <c r="CL112" s="146"/>
      <c r="CM112" s="146"/>
      <c r="CN112" s="146"/>
      <c r="CO112" s="146"/>
      <c r="CP112" s="146"/>
      <c r="CQ112" s="146"/>
      <c r="CR112" s="146"/>
      <c r="CS112" s="146"/>
      <c r="CT112" s="146"/>
      <c r="CU112" s="146"/>
      <c r="CV112" s="146"/>
      <c r="CW112" s="146"/>
      <c r="CX112" s="146"/>
      <c r="CY112" s="146"/>
      <c r="CZ112" s="146"/>
      <c r="DA112" s="146"/>
      <c r="DB112" s="146"/>
      <c r="DC112" s="146"/>
      <c r="DD112" s="146"/>
      <c r="DE112" s="146"/>
      <c r="DF112" s="146"/>
      <c r="DG112" s="146"/>
      <c r="DH112" s="146"/>
      <c r="DI112" s="146"/>
      <c r="DJ112" s="146"/>
      <c r="DK112" s="146"/>
      <c r="DL112" s="146"/>
      <c r="DM112" s="146"/>
      <c r="DN112" s="146"/>
      <c r="DO112" s="146"/>
      <c r="DP112" s="146"/>
      <c r="DQ112" s="146"/>
      <c r="DR112" s="146"/>
      <c r="DS112" s="146"/>
      <c r="DT112" s="146"/>
      <c r="DU112" s="146"/>
      <c r="DV112" s="146"/>
      <c r="DW112" s="146"/>
      <c r="DX112" s="146"/>
      <c r="DY112" s="146"/>
      <c r="DZ112" s="146"/>
      <c r="EA112" s="146"/>
      <c r="EB112" s="146"/>
      <c r="EC112" s="146"/>
      <c r="ED112" s="146"/>
      <c r="EE112" s="146"/>
      <c r="EF112" s="146"/>
      <c r="EG112" s="146"/>
      <c r="EH112" s="146"/>
      <c r="EI112" s="146"/>
      <c r="EJ112" s="146"/>
      <c r="EK112" s="146"/>
      <c r="EL112" s="146"/>
      <c r="EM112" s="146"/>
      <c r="EN112" s="146"/>
      <c r="EO112" s="146"/>
      <c r="EP112" s="146"/>
      <c r="EQ112" s="146"/>
    </row>
    <row r="113">
      <c r="A113" s="177" t="s">
        <v>216</v>
      </c>
      <c r="B113" s="178" t="s">
        <v>385</v>
      </c>
      <c r="C113" s="179" t="s">
        <v>448</v>
      </c>
      <c r="D113" s="178" t="s">
        <v>328</v>
      </c>
      <c r="E113" s="179" t="s">
        <v>346</v>
      </c>
      <c r="F113" s="178" t="s">
        <v>330</v>
      </c>
      <c r="G113" s="178">
        <v>35.0</v>
      </c>
      <c r="H113" s="180"/>
      <c r="I113" s="180">
        <v>44467.0</v>
      </c>
      <c r="J113" s="180">
        <v>46138.0</v>
      </c>
      <c r="K113" s="175">
        <f>EDATE(J113, 36)</f>
        <v>47234</v>
      </c>
      <c r="L113" s="176" t="str">
        <f t="shared" si="2"/>
        <v>Ok</v>
      </c>
      <c r="M113" s="180"/>
      <c r="N113" s="146"/>
      <c r="O113" s="146"/>
      <c r="P113" s="146"/>
      <c r="Q113" s="146"/>
      <c r="R113" s="146"/>
      <c r="S113" s="146"/>
      <c r="T113" s="146"/>
      <c r="U113" s="146"/>
      <c r="V113" s="146"/>
      <c r="W113" s="146"/>
      <c r="X113" s="146"/>
      <c r="Y113" s="146"/>
      <c r="Z113" s="146"/>
      <c r="AA113" s="146"/>
      <c r="AB113" s="146"/>
      <c r="AC113" s="146"/>
      <c r="AD113" s="146"/>
      <c r="AE113" s="146"/>
      <c r="AF113" s="146"/>
      <c r="AG113" s="146"/>
      <c r="AH113" s="146"/>
      <c r="AI113" s="146"/>
      <c r="AJ113" s="146"/>
      <c r="AK113" s="146"/>
      <c r="AL113" s="146"/>
      <c r="AM113" s="146"/>
      <c r="AN113" s="146"/>
      <c r="AO113" s="146"/>
      <c r="AP113" s="146"/>
      <c r="AQ113" s="146"/>
      <c r="AR113" s="146"/>
      <c r="AS113" s="146"/>
      <c r="AT113" s="146"/>
      <c r="AU113" s="146"/>
      <c r="AV113" s="146"/>
      <c r="AW113" s="146"/>
      <c r="AX113" s="146"/>
      <c r="AY113" s="146"/>
      <c r="AZ113" s="146"/>
      <c r="BA113" s="146"/>
      <c r="BB113" s="146"/>
      <c r="BC113" s="146"/>
      <c r="BD113" s="146"/>
      <c r="BE113" s="146"/>
      <c r="BF113" s="146"/>
      <c r="BG113" s="146"/>
      <c r="BH113" s="146"/>
      <c r="BI113" s="146"/>
      <c r="BJ113" s="146"/>
      <c r="BK113" s="146"/>
      <c r="BL113" s="146"/>
      <c r="BM113" s="146"/>
      <c r="BN113" s="146"/>
      <c r="BO113" s="146"/>
      <c r="BP113" s="146"/>
      <c r="BQ113" s="146"/>
      <c r="BR113" s="146"/>
      <c r="BS113" s="146"/>
      <c r="BT113" s="146"/>
      <c r="BU113" s="146"/>
      <c r="BV113" s="146"/>
      <c r="BW113" s="146"/>
      <c r="BX113" s="146"/>
      <c r="BY113" s="146"/>
      <c r="BZ113" s="146"/>
      <c r="CA113" s="146"/>
      <c r="CB113" s="146"/>
      <c r="CC113" s="146"/>
      <c r="CD113" s="146"/>
      <c r="CE113" s="146"/>
      <c r="CF113" s="146"/>
      <c r="CG113" s="146"/>
      <c r="CH113" s="146"/>
      <c r="CI113" s="146"/>
      <c r="CJ113" s="146"/>
      <c r="CK113" s="146"/>
      <c r="CL113" s="146"/>
      <c r="CM113" s="146"/>
      <c r="CN113" s="146"/>
      <c r="CO113" s="146"/>
      <c r="CP113" s="146"/>
      <c r="CQ113" s="146"/>
      <c r="CR113" s="146"/>
      <c r="CS113" s="146"/>
      <c r="CT113" s="146"/>
      <c r="CU113" s="146"/>
      <c r="CV113" s="146"/>
      <c r="CW113" s="146"/>
      <c r="CX113" s="146"/>
      <c r="CY113" s="146"/>
      <c r="CZ113" s="146"/>
      <c r="DA113" s="146"/>
      <c r="DB113" s="146"/>
      <c r="DC113" s="146"/>
      <c r="DD113" s="146"/>
      <c r="DE113" s="146"/>
      <c r="DF113" s="146"/>
      <c r="DG113" s="146"/>
      <c r="DH113" s="146"/>
      <c r="DI113" s="146"/>
      <c r="DJ113" s="146"/>
      <c r="DK113" s="146"/>
      <c r="DL113" s="146"/>
      <c r="DM113" s="146"/>
      <c r="DN113" s="146"/>
      <c r="DO113" s="146"/>
      <c r="DP113" s="146"/>
      <c r="DQ113" s="146"/>
      <c r="DR113" s="146"/>
      <c r="DS113" s="146"/>
      <c r="DT113" s="146"/>
      <c r="DU113" s="146"/>
      <c r="DV113" s="146"/>
      <c r="DW113" s="146"/>
      <c r="DX113" s="146"/>
      <c r="DY113" s="146"/>
      <c r="DZ113" s="146"/>
      <c r="EA113" s="146"/>
      <c r="EB113" s="146"/>
      <c r="EC113" s="146"/>
      <c r="ED113" s="146"/>
      <c r="EE113" s="146"/>
      <c r="EF113" s="146"/>
      <c r="EG113" s="146"/>
      <c r="EH113" s="146"/>
      <c r="EI113" s="146"/>
      <c r="EJ113" s="146"/>
      <c r="EK113" s="146"/>
      <c r="EL113" s="146"/>
      <c r="EM113" s="146"/>
      <c r="EN113" s="146"/>
      <c r="EO113" s="146"/>
      <c r="EP113" s="146"/>
      <c r="EQ113" s="146"/>
    </row>
    <row r="114">
      <c r="A114" s="171" t="s">
        <v>217</v>
      </c>
      <c r="B114" s="172"/>
      <c r="C114" s="173" t="s">
        <v>442</v>
      </c>
      <c r="D114" s="172"/>
      <c r="E114" s="173"/>
      <c r="F114" s="172"/>
      <c r="G114" s="172"/>
      <c r="H114" s="174"/>
      <c r="I114" s="174"/>
      <c r="J114" s="174"/>
      <c r="K114" s="174"/>
      <c r="L114" s="176" t="str">
        <f t="shared" si="2"/>
        <v/>
      </c>
      <c r="M114" s="174"/>
      <c r="N114" s="146"/>
      <c r="O114" s="146"/>
      <c r="P114" s="146"/>
      <c r="Q114" s="146"/>
      <c r="R114" s="146"/>
      <c r="S114" s="146"/>
      <c r="T114" s="146"/>
      <c r="U114" s="146"/>
      <c r="V114" s="146"/>
      <c r="W114" s="146"/>
      <c r="X114" s="146"/>
      <c r="Y114" s="146"/>
      <c r="Z114" s="146"/>
      <c r="AA114" s="146"/>
      <c r="AB114" s="146"/>
      <c r="AC114" s="146"/>
      <c r="AD114" s="146"/>
      <c r="AE114" s="146"/>
      <c r="AF114" s="146"/>
      <c r="AG114" s="146"/>
      <c r="AH114" s="146"/>
      <c r="AI114" s="146"/>
      <c r="AJ114" s="146"/>
      <c r="AK114" s="146"/>
      <c r="AL114" s="146"/>
      <c r="AM114" s="146"/>
      <c r="AN114" s="146"/>
      <c r="AO114" s="146"/>
      <c r="AP114" s="146"/>
      <c r="AQ114" s="146"/>
      <c r="AR114" s="146"/>
      <c r="AS114" s="146"/>
      <c r="AT114" s="146"/>
      <c r="AU114" s="146"/>
      <c r="AV114" s="146"/>
      <c r="AW114" s="146"/>
      <c r="AX114" s="146"/>
      <c r="AY114" s="146"/>
      <c r="AZ114" s="146"/>
      <c r="BA114" s="146"/>
      <c r="BB114" s="146"/>
      <c r="BC114" s="146"/>
      <c r="BD114" s="146"/>
      <c r="BE114" s="146"/>
      <c r="BF114" s="146"/>
      <c r="BG114" s="146"/>
      <c r="BH114" s="146"/>
      <c r="BI114" s="146"/>
      <c r="BJ114" s="146"/>
      <c r="BK114" s="146"/>
      <c r="BL114" s="146"/>
      <c r="BM114" s="146"/>
      <c r="BN114" s="146"/>
      <c r="BO114" s="146"/>
      <c r="BP114" s="146"/>
      <c r="BQ114" s="146"/>
      <c r="BR114" s="146"/>
      <c r="BS114" s="146"/>
      <c r="BT114" s="146"/>
      <c r="BU114" s="146"/>
      <c r="BV114" s="146"/>
      <c r="BW114" s="146"/>
      <c r="BX114" s="146"/>
      <c r="BY114" s="146"/>
      <c r="BZ114" s="146"/>
      <c r="CA114" s="146"/>
      <c r="CB114" s="146"/>
      <c r="CC114" s="146"/>
      <c r="CD114" s="146"/>
      <c r="CE114" s="146"/>
      <c r="CF114" s="146"/>
      <c r="CG114" s="146"/>
      <c r="CH114" s="146"/>
      <c r="CI114" s="146"/>
      <c r="CJ114" s="146"/>
      <c r="CK114" s="146"/>
      <c r="CL114" s="146"/>
      <c r="CM114" s="146"/>
      <c r="CN114" s="146"/>
      <c r="CO114" s="146"/>
      <c r="CP114" s="146"/>
      <c r="CQ114" s="146"/>
      <c r="CR114" s="146"/>
      <c r="CS114" s="146"/>
      <c r="CT114" s="146"/>
      <c r="CU114" s="146"/>
      <c r="CV114" s="146"/>
      <c r="CW114" s="146"/>
      <c r="CX114" s="146"/>
      <c r="CY114" s="146"/>
      <c r="CZ114" s="146"/>
      <c r="DA114" s="146"/>
      <c r="DB114" s="146"/>
      <c r="DC114" s="146"/>
      <c r="DD114" s="146"/>
      <c r="DE114" s="146"/>
      <c r="DF114" s="146"/>
      <c r="DG114" s="146"/>
      <c r="DH114" s="146"/>
      <c r="DI114" s="146"/>
      <c r="DJ114" s="146"/>
      <c r="DK114" s="146"/>
      <c r="DL114" s="146"/>
      <c r="DM114" s="146"/>
      <c r="DN114" s="146"/>
      <c r="DO114" s="146"/>
      <c r="DP114" s="146"/>
      <c r="DQ114" s="146"/>
      <c r="DR114" s="146"/>
      <c r="DS114" s="146"/>
      <c r="DT114" s="146"/>
      <c r="DU114" s="146"/>
      <c r="DV114" s="146"/>
      <c r="DW114" s="146"/>
      <c r="DX114" s="146"/>
      <c r="DY114" s="146"/>
      <c r="DZ114" s="146"/>
      <c r="EA114" s="146"/>
      <c r="EB114" s="146"/>
      <c r="EC114" s="146"/>
      <c r="ED114" s="146"/>
      <c r="EE114" s="146"/>
      <c r="EF114" s="146"/>
      <c r="EG114" s="146"/>
      <c r="EH114" s="146"/>
      <c r="EI114" s="146"/>
      <c r="EJ114" s="146"/>
      <c r="EK114" s="146"/>
      <c r="EL114" s="146"/>
      <c r="EM114" s="146"/>
      <c r="EN114" s="146"/>
      <c r="EO114" s="146"/>
      <c r="EP114" s="146"/>
      <c r="EQ114" s="146"/>
    </row>
    <row r="115">
      <c r="A115" s="177" t="s">
        <v>218</v>
      </c>
      <c r="B115" s="178"/>
      <c r="C115" s="179" t="s">
        <v>442</v>
      </c>
      <c r="D115" s="178"/>
      <c r="E115" s="179"/>
      <c r="F115" s="178"/>
      <c r="G115" s="178"/>
      <c r="H115" s="180"/>
      <c r="I115" s="180"/>
      <c r="J115" s="180"/>
      <c r="K115" s="180"/>
      <c r="L115" s="176" t="str">
        <f t="shared" si="2"/>
        <v/>
      </c>
      <c r="M115" s="180"/>
      <c r="N115" s="146"/>
      <c r="O115" s="146"/>
      <c r="P115" s="146"/>
      <c r="Q115" s="146"/>
      <c r="R115" s="146"/>
      <c r="S115" s="146"/>
      <c r="T115" s="146"/>
      <c r="U115" s="146"/>
      <c r="V115" s="146"/>
      <c r="W115" s="146"/>
      <c r="X115" s="146"/>
      <c r="Y115" s="146"/>
      <c r="Z115" s="146"/>
      <c r="AA115" s="146"/>
      <c r="AB115" s="146"/>
      <c r="AC115" s="146"/>
      <c r="AD115" s="146"/>
      <c r="AE115" s="146"/>
      <c r="AF115" s="146"/>
      <c r="AG115" s="146"/>
      <c r="AH115" s="146"/>
      <c r="AI115" s="146"/>
      <c r="AJ115" s="146"/>
      <c r="AK115" s="146"/>
      <c r="AL115" s="146"/>
      <c r="AM115" s="146"/>
      <c r="AN115" s="146"/>
      <c r="AO115" s="146"/>
      <c r="AP115" s="146"/>
      <c r="AQ115" s="146"/>
      <c r="AR115" s="146"/>
      <c r="AS115" s="146"/>
      <c r="AT115" s="146"/>
      <c r="AU115" s="146"/>
      <c r="AV115" s="146"/>
      <c r="AW115" s="146"/>
      <c r="AX115" s="146"/>
      <c r="AY115" s="146"/>
      <c r="AZ115" s="146"/>
      <c r="BA115" s="146"/>
      <c r="BB115" s="146"/>
      <c r="BC115" s="146"/>
      <c r="BD115" s="146"/>
      <c r="BE115" s="146"/>
      <c r="BF115" s="146"/>
      <c r="BG115" s="146"/>
      <c r="BH115" s="146"/>
      <c r="BI115" s="146"/>
      <c r="BJ115" s="146"/>
      <c r="BK115" s="146"/>
      <c r="BL115" s="146"/>
      <c r="BM115" s="146"/>
      <c r="BN115" s="146"/>
      <c r="BO115" s="146"/>
      <c r="BP115" s="146"/>
      <c r="BQ115" s="146"/>
      <c r="BR115" s="146"/>
      <c r="BS115" s="146"/>
      <c r="BT115" s="146"/>
      <c r="BU115" s="146"/>
      <c r="BV115" s="146"/>
      <c r="BW115" s="146"/>
      <c r="BX115" s="146"/>
      <c r="BY115" s="146"/>
      <c r="BZ115" s="146"/>
      <c r="CA115" s="146"/>
      <c r="CB115" s="146"/>
      <c r="CC115" s="146"/>
      <c r="CD115" s="146"/>
      <c r="CE115" s="146"/>
      <c r="CF115" s="146"/>
      <c r="CG115" s="146"/>
      <c r="CH115" s="146"/>
      <c r="CI115" s="146"/>
      <c r="CJ115" s="146"/>
      <c r="CK115" s="146"/>
      <c r="CL115" s="146"/>
      <c r="CM115" s="146"/>
      <c r="CN115" s="146"/>
      <c r="CO115" s="146"/>
      <c r="CP115" s="146"/>
      <c r="CQ115" s="146"/>
      <c r="CR115" s="146"/>
      <c r="CS115" s="146"/>
      <c r="CT115" s="146"/>
      <c r="CU115" s="146"/>
      <c r="CV115" s="146"/>
      <c r="CW115" s="146"/>
      <c r="CX115" s="146"/>
      <c r="CY115" s="146"/>
      <c r="CZ115" s="146"/>
      <c r="DA115" s="146"/>
      <c r="DB115" s="146"/>
      <c r="DC115" s="146"/>
      <c r="DD115" s="146"/>
      <c r="DE115" s="146"/>
      <c r="DF115" s="146"/>
      <c r="DG115" s="146"/>
      <c r="DH115" s="146"/>
      <c r="DI115" s="146"/>
      <c r="DJ115" s="146"/>
      <c r="DK115" s="146"/>
      <c r="DL115" s="146"/>
      <c r="DM115" s="146"/>
      <c r="DN115" s="146"/>
      <c r="DO115" s="146"/>
      <c r="DP115" s="146"/>
      <c r="DQ115" s="146"/>
      <c r="DR115" s="146"/>
      <c r="DS115" s="146"/>
      <c r="DT115" s="146"/>
      <c r="DU115" s="146"/>
      <c r="DV115" s="146"/>
      <c r="DW115" s="146"/>
      <c r="DX115" s="146"/>
      <c r="DY115" s="146"/>
      <c r="DZ115" s="146"/>
      <c r="EA115" s="146"/>
      <c r="EB115" s="146"/>
      <c r="EC115" s="146"/>
      <c r="ED115" s="146"/>
      <c r="EE115" s="146"/>
      <c r="EF115" s="146"/>
      <c r="EG115" s="146"/>
      <c r="EH115" s="146"/>
      <c r="EI115" s="146"/>
      <c r="EJ115" s="146"/>
      <c r="EK115" s="146"/>
      <c r="EL115" s="146"/>
      <c r="EM115" s="146"/>
      <c r="EN115" s="146"/>
      <c r="EO115" s="146"/>
      <c r="EP115" s="146"/>
      <c r="EQ115" s="146"/>
    </row>
    <row r="116">
      <c r="A116" s="171" t="s">
        <v>219</v>
      </c>
      <c r="B116" s="172"/>
      <c r="C116" s="173" t="s">
        <v>442</v>
      </c>
      <c r="D116" s="172"/>
      <c r="E116" s="173"/>
      <c r="F116" s="172"/>
      <c r="G116" s="172"/>
      <c r="H116" s="174"/>
      <c r="I116" s="174"/>
      <c r="J116" s="174"/>
      <c r="K116" s="174"/>
      <c r="L116" s="176" t="str">
        <f t="shared" si="2"/>
        <v/>
      </c>
      <c r="M116" s="174"/>
      <c r="N116" s="146"/>
      <c r="O116" s="146"/>
      <c r="P116" s="146"/>
      <c r="Q116" s="146"/>
      <c r="R116" s="146"/>
      <c r="S116" s="146"/>
      <c r="T116" s="146"/>
      <c r="U116" s="146"/>
      <c r="V116" s="146"/>
      <c r="W116" s="146"/>
      <c r="X116" s="146"/>
      <c r="Y116" s="146"/>
      <c r="Z116" s="146"/>
      <c r="AA116" s="146"/>
      <c r="AB116" s="146"/>
      <c r="AC116" s="146"/>
      <c r="AD116" s="146"/>
      <c r="AE116" s="146"/>
      <c r="AF116" s="146"/>
      <c r="AG116" s="146"/>
      <c r="AH116" s="146"/>
      <c r="AI116" s="146"/>
      <c r="AJ116" s="146"/>
      <c r="AK116" s="146"/>
      <c r="AL116" s="146"/>
      <c r="AM116" s="146"/>
      <c r="AN116" s="146"/>
      <c r="AO116" s="146"/>
      <c r="AP116" s="146"/>
      <c r="AQ116" s="146"/>
      <c r="AR116" s="146"/>
      <c r="AS116" s="146"/>
      <c r="AT116" s="146"/>
      <c r="AU116" s="146"/>
      <c r="AV116" s="146"/>
      <c r="AW116" s="146"/>
      <c r="AX116" s="146"/>
      <c r="AY116" s="146"/>
      <c r="AZ116" s="146"/>
      <c r="BA116" s="146"/>
      <c r="BB116" s="146"/>
      <c r="BC116" s="146"/>
      <c r="BD116" s="146"/>
      <c r="BE116" s="146"/>
      <c r="BF116" s="146"/>
      <c r="BG116" s="146"/>
      <c r="BH116" s="146"/>
      <c r="BI116" s="146"/>
      <c r="BJ116" s="146"/>
      <c r="BK116" s="146"/>
      <c r="BL116" s="146"/>
      <c r="BM116" s="146"/>
      <c r="BN116" s="146"/>
      <c r="BO116" s="146"/>
      <c r="BP116" s="146"/>
      <c r="BQ116" s="146"/>
      <c r="BR116" s="146"/>
      <c r="BS116" s="146"/>
      <c r="BT116" s="146"/>
      <c r="BU116" s="146"/>
      <c r="BV116" s="146"/>
      <c r="BW116" s="146"/>
      <c r="BX116" s="146"/>
      <c r="BY116" s="146"/>
      <c r="BZ116" s="146"/>
      <c r="CA116" s="146"/>
      <c r="CB116" s="146"/>
      <c r="CC116" s="146"/>
      <c r="CD116" s="146"/>
      <c r="CE116" s="146"/>
      <c r="CF116" s="146"/>
      <c r="CG116" s="146"/>
      <c r="CH116" s="146"/>
      <c r="CI116" s="146"/>
      <c r="CJ116" s="146"/>
      <c r="CK116" s="146"/>
      <c r="CL116" s="146"/>
      <c r="CM116" s="146"/>
      <c r="CN116" s="146"/>
      <c r="CO116" s="146"/>
      <c r="CP116" s="146"/>
      <c r="CQ116" s="146"/>
      <c r="CR116" s="146"/>
      <c r="CS116" s="146"/>
      <c r="CT116" s="146"/>
      <c r="CU116" s="146"/>
      <c r="CV116" s="146"/>
      <c r="CW116" s="146"/>
      <c r="CX116" s="146"/>
      <c r="CY116" s="146"/>
      <c r="CZ116" s="146"/>
      <c r="DA116" s="146"/>
      <c r="DB116" s="146"/>
      <c r="DC116" s="146"/>
      <c r="DD116" s="146"/>
      <c r="DE116" s="146"/>
      <c r="DF116" s="146"/>
      <c r="DG116" s="146"/>
      <c r="DH116" s="146"/>
      <c r="DI116" s="146"/>
      <c r="DJ116" s="146"/>
      <c r="DK116" s="146"/>
      <c r="DL116" s="146"/>
      <c r="DM116" s="146"/>
      <c r="DN116" s="146"/>
      <c r="DO116" s="146"/>
      <c r="DP116" s="146"/>
      <c r="DQ116" s="146"/>
      <c r="DR116" s="146"/>
      <c r="DS116" s="146"/>
      <c r="DT116" s="146"/>
      <c r="DU116" s="146"/>
      <c r="DV116" s="146"/>
      <c r="DW116" s="146"/>
      <c r="DX116" s="146"/>
      <c r="DY116" s="146"/>
      <c r="DZ116" s="146"/>
      <c r="EA116" s="146"/>
      <c r="EB116" s="146"/>
      <c r="EC116" s="146"/>
      <c r="ED116" s="146"/>
      <c r="EE116" s="146"/>
      <c r="EF116" s="146"/>
      <c r="EG116" s="146"/>
      <c r="EH116" s="146"/>
      <c r="EI116" s="146"/>
      <c r="EJ116" s="146"/>
      <c r="EK116" s="146"/>
      <c r="EL116" s="146"/>
      <c r="EM116" s="146"/>
      <c r="EN116" s="146"/>
      <c r="EO116" s="146"/>
      <c r="EP116" s="146"/>
      <c r="EQ116" s="146"/>
    </row>
    <row r="117">
      <c r="A117" s="177" t="s">
        <v>220</v>
      </c>
      <c r="B117" s="178" t="s">
        <v>372</v>
      </c>
      <c r="C117" s="179" t="s">
        <v>449</v>
      </c>
      <c r="D117" s="178" t="s">
        <v>328</v>
      </c>
      <c r="E117" s="179" t="s">
        <v>374</v>
      </c>
      <c r="F117" s="178" t="s">
        <v>375</v>
      </c>
      <c r="G117" s="178">
        <v>580.0</v>
      </c>
      <c r="H117" s="180"/>
      <c r="I117" s="180"/>
      <c r="J117" s="180">
        <v>44781.0</v>
      </c>
      <c r="K117" s="175">
        <f t="shared" ref="K117:K153" si="17">EDATE(J117, 36)</f>
        <v>45877</v>
      </c>
      <c r="L117" s="176" t="str">
        <f t="shared" si="2"/>
        <v>Overdue</v>
      </c>
      <c r="M117" s="180"/>
      <c r="N117" s="146"/>
      <c r="O117" s="146"/>
      <c r="P117" s="146"/>
      <c r="Q117" s="146"/>
      <c r="R117" s="146"/>
      <c r="S117" s="146"/>
      <c r="T117" s="146"/>
      <c r="U117" s="146"/>
      <c r="V117" s="146"/>
      <c r="W117" s="146"/>
      <c r="X117" s="146"/>
      <c r="Y117" s="146"/>
      <c r="Z117" s="146"/>
      <c r="AA117" s="146"/>
      <c r="AB117" s="146"/>
      <c r="AC117" s="146"/>
      <c r="AD117" s="146"/>
      <c r="AE117" s="146"/>
      <c r="AF117" s="146"/>
      <c r="AG117" s="146"/>
      <c r="AH117" s="146"/>
      <c r="AI117" s="146"/>
      <c r="AJ117" s="146"/>
      <c r="AK117" s="146"/>
      <c r="AL117" s="146"/>
      <c r="AM117" s="146"/>
      <c r="AN117" s="146"/>
      <c r="AO117" s="146"/>
      <c r="AP117" s="146"/>
      <c r="AQ117" s="146"/>
      <c r="AR117" s="146"/>
      <c r="AS117" s="146"/>
      <c r="AT117" s="146"/>
      <c r="AU117" s="146"/>
      <c r="AV117" s="146"/>
      <c r="AW117" s="146"/>
      <c r="AX117" s="146"/>
      <c r="AY117" s="146"/>
      <c r="AZ117" s="146"/>
      <c r="BA117" s="146"/>
      <c r="BB117" s="146"/>
      <c r="BC117" s="146"/>
      <c r="BD117" s="146"/>
      <c r="BE117" s="146"/>
      <c r="BF117" s="146"/>
      <c r="BG117" s="146"/>
      <c r="BH117" s="146"/>
      <c r="BI117" s="146"/>
      <c r="BJ117" s="146"/>
      <c r="BK117" s="146"/>
      <c r="BL117" s="146"/>
      <c r="BM117" s="146"/>
      <c r="BN117" s="146"/>
      <c r="BO117" s="146"/>
      <c r="BP117" s="146"/>
      <c r="BQ117" s="146"/>
      <c r="BR117" s="146"/>
      <c r="BS117" s="146"/>
      <c r="BT117" s="146"/>
      <c r="BU117" s="146"/>
      <c r="BV117" s="146"/>
      <c r="BW117" s="146"/>
      <c r="BX117" s="146"/>
      <c r="BY117" s="146"/>
      <c r="BZ117" s="146"/>
      <c r="CA117" s="146"/>
      <c r="CB117" s="146"/>
      <c r="CC117" s="146"/>
      <c r="CD117" s="146"/>
      <c r="CE117" s="146"/>
      <c r="CF117" s="146"/>
      <c r="CG117" s="146"/>
      <c r="CH117" s="146"/>
      <c r="CI117" s="146"/>
      <c r="CJ117" s="146"/>
      <c r="CK117" s="146"/>
      <c r="CL117" s="146"/>
      <c r="CM117" s="146"/>
      <c r="CN117" s="146"/>
      <c r="CO117" s="146"/>
      <c r="CP117" s="146"/>
      <c r="CQ117" s="146"/>
      <c r="CR117" s="146"/>
      <c r="CS117" s="146"/>
      <c r="CT117" s="146"/>
      <c r="CU117" s="146"/>
      <c r="CV117" s="146"/>
      <c r="CW117" s="146"/>
      <c r="CX117" s="146"/>
      <c r="CY117" s="146"/>
      <c r="CZ117" s="146"/>
      <c r="DA117" s="146"/>
      <c r="DB117" s="146"/>
      <c r="DC117" s="146"/>
      <c r="DD117" s="146"/>
      <c r="DE117" s="146"/>
      <c r="DF117" s="146"/>
      <c r="DG117" s="146"/>
      <c r="DH117" s="146"/>
      <c r="DI117" s="146"/>
      <c r="DJ117" s="146"/>
      <c r="DK117" s="146"/>
      <c r="DL117" s="146"/>
      <c r="DM117" s="146"/>
      <c r="DN117" s="146"/>
      <c r="DO117" s="146"/>
      <c r="DP117" s="146"/>
      <c r="DQ117" s="146"/>
      <c r="DR117" s="146"/>
      <c r="DS117" s="146"/>
      <c r="DT117" s="146"/>
      <c r="DU117" s="146"/>
      <c r="DV117" s="146"/>
      <c r="DW117" s="146"/>
      <c r="DX117" s="146"/>
      <c r="DY117" s="146"/>
      <c r="DZ117" s="146"/>
      <c r="EA117" s="146"/>
      <c r="EB117" s="146"/>
      <c r="EC117" s="146"/>
      <c r="ED117" s="146"/>
      <c r="EE117" s="146"/>
      <c r="EF117" s="146"/>
      <c r="EG117" s="146"/>
      <c r="EH117" s="146"/>
      <c r="EI117" s="146"/>
      <c r="EJ117" s="146"/>
      <c r="EK117" s="146"/>
      <c r="EL117" s="146"/>
      <c r="EM117" s="146"/>
      <c r="EN117" s="146"/>
      <c r="EO117" s="146"/>
      <c r="EP117" s="146"/>
      <c r="EQ117" s="146"/>
    </row>
    <row r="118">
      <c r="A118" s="185" t="s">
        <v>221</v>
      </c>
      <c r="B118" s="172" t="s">
        <v>450</v>
      </c>
      <c r="C118" s="173" t="s">
        <v>451</v>
      </c>
      <c r="D118" s="172" t="s">
        <v>328</v>
      </c>
      <c r="E118" s="173" t="s">
        <v>377</v>
      </c>
      <c r="F118" s="172" t="s">
        <v>330</v>
      </c>
      <c r="G118" s="172">
        <v>560.0</v>
      </c>
      <c r="H118" s="174"/>
      <c r="I118" s="174">
        <v>44063.0</v>
      </c>
      <c r="J118" s="174">
        <v>44756.0</v>
      </c>
      <c r="K118" s="175">
        <f t="shared" si="17"/>
        <v>45852</v>
      </c>
      <c r="L118" s="176" t="str">
        <f t="shared" si="2"/>
        <v>Overdue</v>
      </c>
      <c r="M118" s="174"/>
      <c r="N118" s="146"/>
      <c r="O118" s="146"/>
      <c r="P118" s="146"/>
      <c r="Q118" s="146"/>
      <c r="R118" s="146"/>
      <c r="S118" s="146"/>
      <c r="T118" s="146"/>
      <c r="U118" s="146"/>
      <c r="V118" s="146"/>
      <c r="W118" s="146"/>
      <c r="X118" s="146"/>
      <c r="Y118" s="146"/>
      <c r="Z118" s="146"/>
      <c r="AA118" s="146"/>
      <c r="AB118" s="146"/>
      <c r="AC118" s="146"/>
      <c r="AD118" s="146"/>
      <c r="AE118" s="146"/>
      <c r="AF118" s="146"/>
      <c r="AG118" s="146"/>
      <c r="AH118" s="146"/>
      <c r="AI118" s="146"/>
      <c r="AJ118" s="146"/>
      <c r="AK118" s="146"/>
      <c r="AL118" s="146"/>
      <c r="AM118" s="146"/>
      <c r="AN118" s="146"/>
      <c r="AO118" s="146"/>
      <c r="AP118" s="146"/>
      <c r="AQ118" s="146"/>
      <c r="AR118" s="146"/>
      <c r="AS118" s="146"/>
      <c r="AT118" s="146"/>
      <c r="AU118" s="146"/>
      <c r="AV118" s="146"/>
      <c r="AW118" s="146"/>
      <c r="AX118" s="146"/>
      <c r="AY118" s="146"/>
      <c r="AZ118" s="146"/>
      <c r="BA118" s="146"/>
      <c r="BB118" s="146"/>
      <c r="BC118" s="146"/>
      <c r="BD118" s="146"/>
      <c r="BE118" s="146"/>
      <c r="BF118" s="146"/>
      <c r="BG118" s="146"/>
      <c r="BH118" s="146"/>
      <c r="BI118" s="146"/>
      <c r="BJ118" s="146"/>
      <c r="BK118" s="146"/>
      <c r="BL118" s="146"/>
      <c r="BM118" s="146"/>
      <c r="BN118" s="146"/>
      <c r="BO118" s="146"/>
      <c r="BP118" s="146"/>
      <c r="BQ118" s="146"/>
      <c r="BR118" s="146"/>
      <c r="BS118" s="146"/>
      <c r="BT118" s="146"/>
      <c r="BU118" s="146"/>
      <c r="BV118" s="146"/>
      <c r="BW118" s="146"/>
      <c r="BX118" s="146"/>
      <c r="BY118" s="146"/>
      <c r="BZ118" s="146"/>
      <c r="CA118" s="146"/>
      <c r="CB118" s="146"/>
      <c r="CC118" s="146"/>
      <c r="CD118" s="146"/>
      <c r="CE118" s="146"/>
      <c r="CF118" s="146"/>
      <c r="CG118" s="146"/>
      <c r="CH118" s="146"/>
      <c r="CI118" s="146"/>
      <c r="CJ118" s="146"/>
      <c r="CK118" s="146"/>
      <c r="CL118" s="146"/>
      <c r="CM118" s="146"/>
      <c r="CN118" s="146"/>
      <c r="CO118" s="146"/>
      <c r="CP118" s="146"/>
      <c r="CQ118" s="146"/>
      <c r="CR118" s="146"/>
      <c r="CS118" s="146"/>
      <c r="CT118" s="146"/>
      <c r="CU118" s="146"/>
      <c r="CV118" s="146"/>
      <c r="CW118" s="146"/>
      <c r="CX118" s="146"/>
      <c r="CY118" s="146"/>
      <c r="CZ118" s="146"/>
      <c r="DA118" s="146"/>
      <c r="DB118" s="146"/>
      <c r="DC118" s="146"/>
      <c r="DD118" s="146"/>
      <c r="DE118" s="146"/>
      <c r="DF118" s="146"/>
      <c r="DG118" s="146"/>
      <c r="DH118" s="146"/>
      <c r="DI118" s="146"/>
      <c r="DJ118" s="146"/>
      <c r="DK118" s="146"/>
      <c r="DL118" s="146"/>
      <c r="DM118" s="146"/>
      <c r="DN118" s="146"/>
      <c r="DO118" s="146"/>
      <c r="DP118" s="146"/>
      <c r="DQ118" s="146"/>
      <c r="DR118" s="146"/>
      <c r="DS118" s="146"/>
      <c r="DT118" s="146"/>
      <c r="DU118" s="146"/>
      <c r="DV118" s="146"/>
      <c r="DW118" s="146"/>
      <c r="DX118" s="146"/>
      <c r="DY118" s="146"/>
      <c r="DZ118" s="146"/>
      <c r="EA118" s="146"/>
      <c r="EB118" s="146"/>
      <c r="EC118" s="146"/>
      <c r="ED118" s="146"/>
      <c r="EE118" s="146"/>
      <c r="EF118" s="146"/>
      <c r="EG118" s="146"/>
      <c r="EH118" s="146"/>
      <c r="EI118" s="146"/>
      <c r="EJ118" s="146"/>
      <c r="EK118" s="146"/>
      <c r="EL118" s="146"/>
      <c r="EM118" s="146"/>
      <c r="EN118" s="146"/>
      <c r="EO118" s="146"/>
      <c r="EP118" s="146"/>
      <c r="EQ118" s="146"/>
    </row>
    <row r="119">
      <c r="A119" s="177" t="s">
        <v>222</v>
      </c>
      <c r="B119" s="178" t="s">
        <v>382</v>
      </c>
      <c r="C119" s="179" t="s">
        <v>452</v>
      </c>
      <c r="D119" s="178" t="s">
        <v>328</v>
      </c>
      <c r="E119" s="179" t="s">
        <v>346</v>
      </c>
      <c r="F119" s="178" t="s">
        <v>330</v>
      </c>
      <c r="G119" s="178">
        <v>2200.0</v>
      </c>
      <c r="H119" s="180"/>
      <c r="I119" s="180"/>
      <c r="J119" s="180">
        <v>43252.0</v>
      </c>
      <c r="K119" s="175">
        <f t="shared" si="17"/>
        <v>44348</v>
      </c>
      <c r="L119" s="176" t="str">
        <f t="shared" si="2"/>
        <v>Overdue</v>
      </c>
      <c r="M119" s="180"/>
      <c r="N119" s="146"/>
      <c r="O119" s="146"/>
      <c r="P119" s="146"/>
      <c r="Q119" s="146"/>
      <c r="R119" s="146"/>
      <c r="S119" s="146"/>
      <c r="T119" s="146"/>
      <c r="U119" s="146"/>
      <c r="V119" s="146"/>
      <c r="W119" s="146"/>
      <c r="X119" s="146"/>
      <c r="Y119" s="146"/>
      <c r="Z119" s="146"/>
      <c r="AA119" s="146"/>
      <c r="AB119" s="146"/>
      <c r="AC119" s="146"/>
      <c r="AD119" s="146"/>
      <c r="AE119" s="146"/>
      <c r="AF119" s="146"/>
      <c r="AG119" s="146"/>
      <c r="AH119" s="146"/>
      <c r="AI119" s="146"/>
      <c r="AJ119" s="146"/>
      <c r="AK119" s="146"/>
      <c r="AL119" s="146"/>
      <c r="AM119" s="146"/>
      <c r="AN119" s="146"/>
      <c r="AO119" s="146"/>
      <c r="AP119" s="146"/>
      <c r="AQ119" s="146"/>
      <c r="AR119" s="146"/>
      <c r="AS119" s="146"/>
      <c r="AT119" s="146"/>
      <c r="AU119" s="146"/>
      <c r="AV119" s="146"/>
      <c r="AW119" s="146"/>
      <c r="AX119" s="146"/>
      <c r="AY119" s="146"/>
      <c r="AZ119" s="146"/>
      <c r="BA119" s="146"/>
      <c r="BB119" s="146"/>
      <c r="BC119" s="146"/>
      <c r="BD119" s="146"/>
      <c r="BE119" s="146"/>
      <c r="BF119" s="146"/>
      <c r="BG119" s="146"/>
      <c r="BH119" s="146"/>
      <c r="BI119" s="146"/>
      <c r="BJ119" s="146"/>
      <c r="BK119" s="146"/>
      <c r="BL119" s="146"/>
      <c r="BM119" s="146"/>
      <c r="BN119" s="146"/>
      <c r="BO119" s="146"/>
      <c r="BP119" s="146"/>
      <c r="BQ119" s="146"/>
      <c r="BR119" s="146"/>
      <c r="BS119" s="146"/>
      <c r="BT119" s="146"/>
      <c r="BU119" s="146"/>
      <c r="BV119" s="146"/>
      <c r="BW119" s="146"/>
      <c r="BX119" s="146"/>
      <c r="BY119" s="146"/>
      <c r="BZ119" s="146"/>
      <c r="CA119" s="146"/>
      <c r="CB119" s="146"/>
      <c r="CC119" s="146"/>
      <c r="CD119" s="146"/>
      <c r="CE119" s="146"/>
      <c r="CF119" s="146"/>
      <c r="CG119" s="146"/>
      <c r="CH119" s="146"/>
      <c r="CI119" s="146"/>
      <c r="CJ119" s="146"/>
      <c r="CK119" s="146"/>
      <c r="CL119" s="146"/>
      <c r="CM119" s="146"/>
      <c r="CN119" s="146"/>
      <c r="CO119" s="146"/>
      <c r="CP119" s="146"/>
      <c r="CQ119" s="146"/>
      <c r="CR119" s="146"/>
      <c r="CS119" s="146"/>
      <c r="CT119" s="146"/>
      <c r="CU119" s="146"/>
      <c r="CV119" s="146"/>
      <c r="CW119" s="146"/>
      <c r="CX119" s="146"/>
      <c r="CY119" s="146"/>
      <c r="CZ119" s="146"/>
      <c r="DA119" s="146"/>
      <c r="DB119" s="146"/>
      <c r="DC119" s="146"/>
      <c r="DD119" s="146"/>
      <c r="DE119" s="146"/>
      <c r="DF119" s="146"/>
      <c r="DG119" s="146"/>
      <c r="DH119" s="146"/>
      <c r="DI119" s="146"/>
      <c r="DJ119" s="146"/>
      <c r="DK119" s="146"/>
      <c r="DL119" s="146"/>
      <c r="DM119" s="146"/>
      <c r="DN119" s="146"/>
      <c r="DO119" s="146"/>
      <c r="DP119" s="146"/>
      <c r="DQ119" s="146"/>
      <c r="DR119" s="146"/>
      <c r="DS119" s="146"/>
      <c r="DT119" s="146"/>
      <c r="DU119" s="146"/>
      <c r="DV119" s="146"/>
      <c r="DW119" s="146"/>
      <c r="DX119" s="146"/>
      <c r="DY119" s="146"/>
      <c r="DZ119" s="146"/>
      <c r="EA119" s="146"/>
      <c r="EB119" s="146"/>
      <c r="EC119" s="146"/>
      <c r="ED119" s="146"/>
      <c r="EE119" s="146"/>
      <c r="EF119" s="146"/>
      <c r="EG119" s="146"/>
      <c r="EH119" s="146"/>
      <c r="EI119" s="146"/>
      <c r="EJ119" s="146"/>
      <c r="EK119" s="146"/>
      <c r="EL119" s="146"/>
      <c r="EM119" s="146"/>
      <c r="EN119" s="146"/>
      <c r="EO119" s="146"/>
      <c r="EP119" s="146"/>
      <c r="EQ119" s="146"/>
    </row>
    <row r="120">
      <c r="A120" s="171" t="s">
        <v>223</v>
      </c>
      <c r="B120" s="172" t="s">
        <v>385</v>
      </c>
      <c r="C120" s="173" t="s">
        <v>453</v>
      </c>
      <c r="D120" s="172" t="s">
        <v>328</v>
      </c>
      <c r="E120" s="173" t="s">
        <v>346</v>
      </c>
      <c r="F120" s="172" t="s">
        <v>330</v>
      </c>
      <c r="G120" s="172">
        <v>35.0</v>
      </c>
      <c r="H120" s="174"/>
      <c r="I120" s="174">
        <v>44479.0</v>
      </c>
      <c r="J120" s="174">
        <v>44938.0</v>
      </c>
      <c r="K120" s="175">
        <f t="shared" si="17"/>
        <v>46034</v>
      </c>
      <c r="L120" s="176" t="str">
        <f t="shared" si="2"/>
        <v>Overdue</v>
      </c>
      <c r="M120" s="174"/>
      <c r="N120" s="146"/>
      <c r="O120" s="146"/>
      <c r="P120" s="146"/>
      <c r="Q120" s="146"/>
      <c r="R120" s="146"/>
      <c r="S120" s="146"/>
      <c r="T120" s="146"/>
      <c r="U120" s="146"/>
      <c r="V120" s="146"/>
      <c r="W120" s="146"/>
      <c r="X120" s="146"/>
      <c r="Y120" s="146"/>
      <c r="Z120" s="146"/>
      <c r="AA120" s="146"/>
      <c r="AB120" s="146"/>
      <c r="AC120" s="146"/>
      <c r="AD120" s="146"/>
      <c r="AE120" s="146"/>
      <c r="AF120" s="146"/>
      <c r="AG120" s="146"/>
      <c r="AH120" s="146"/>
      <c r="AI120" s="146"/>
      <c r="AJ120" s="146"/>
      <c r="AK120" s="146"/>
      <c r="AL120" s="146"/>
      <c r="AM120" s="146"/>
      <c r="AN120" s="146"/>
      <c r="AO120" s="146"/>
      <c r="AP120" s="146"/>
      <c r="AQ120" s="146"/>
      <c r="AR120" s="146"/>
      <c r="AS120" s="146"/>
      <c r="AT120" s="146"/>
      <c r="AU120" s="146"/>
      <c r="AV120" s="146"/>
      <c r="AW120" s="146"/>
      <c r="AX120" s="146"/>
      <c r="AY120" s="146"/>
      <c r="AZ120" s="146"/>
      <c r="BA120" s="146"/>
      <c r="BB120" s="146"/>
      <c r="BC120" s="146"/>
      <c r="BD120" s="146"/>
      <c r="BE120" s="146"/>
      <c r="BF120" s="146"/>
      <c r="BG120" s="146"/>
      <c r="BH120" s="146"/>
      <c r="BI120" s="146"/>
      <c r="BJ120" s="146"/>
      <c r="BK120" s="146"/>
      <c r="BL120" s="146"/>
      <c r="BM120" s="146"/>
      <c r="BN120" s="146"/>
      <c r="BO120" s="146"/>
      <c r="BP120" s="146"/>
      <c r="BQ120" s="146"/>
      <c r="BR120" s="146"/>
      <c r="BS120" s="146"/>
      <c r="BT120" s="146"/>
      <c r="BU120" s="146"/>
      <c r="BV120" s="146"/>
      <c r="BW120" s="146"/>
      <c r="BX120" s="146"/>
      <c r="BY120" s="146"/>
      <c r="BZ120" s="146"/>
      <c r="CA120" s="146"/>
      <c r="CB120" s="146"/>
      <c r="CC120" s="146"/>
      <c r="CD120" s="146"/>
      <c r="CE120" s="146"/>
      <c r="CF120" s="146"/>
      <c r="CG120" s="146"/>
      <c r="CH120" s="146"/>
      <c r="CI120" s="146"/>
      <c r="CJ120" s="146"/>
      <c r="CK120" s="146"/>
      <c r="CL120" s="146"/>
      <c r="CM120" s="146"/>
      <c r="CN120" s="146"/>
      <c r="CO120" s="146"/>
      <c r="CP120" s="146"/>
      <c r="CQ120" s="146"/>
      <c r="CR120" s="146"/>
      <c r="CS120" s="146"/>
      <c r="CT120" s="146"/>
      <c r="CU120" s="146"/>
      <c r="CV120" s="146"/>
      <c r="CW120" s="146"/>
      <c r="CX120" s="146"/>
      <c r="CY120" s="146"/>
      <c r="CZ120" s="146"/>
      <c r="DA120" s="146"/>
      <c r="DB120" s="146"/>
      <c r="DC120" s="146"/>
      <c r="DD120" s="146"/>
      <c r="DE120" s="146"/>
      <c r="DF120" s="146"/>
      <c r="DG120" s="146"/>
      <c r="DH120" s="146"/>
      <c r="DI120" s="146"/>
      <c r="DJ120" s="146"/>
      <c r="DK120" s="146"/>
      <c r="DL120" s="146"/>
      <c r="DM120" s="146"/>
      <c r="DN120" s="146"/>
      <c r="DO120" s="146"/>
      <c r="DP120" s="146"/>
      <c r="DQ120" s="146"/>
      <c r="DR120" s="146"/>
      <c r="DS120" s="146"/>
      <c r="DT120" s="146"/>
      <c r="DU120" s="146"/>
      <c r="DV120" s="146"/>
      <c r="DW120" s="146"/>
      <c r="DX120" s="146"/>
      <c r="DY120" s="146"/>
      <c r="DZ120" s="146"/>
      <c r="EA120" s="146"/>
      <c r="EB120" s="146"/>
      <c r="EC120" s="146"/>
      <c r="ED120" s="146"/>
      <c r="EE120" s="146"/>
      <c r="EF120" s="146"/>
      <c r="EG120" s="146"/>
      <c r="EH120" s="146"/>
      <c r="EI120" s="146"/>
      <c r="EJ120" s="146"/>
      <c r="EK120" s="146"/>
      <c r="EL120" s="146"/>
      <c r="EM120" s="146"/>
      <c r="EN120" s="146"/>
      <c r="EO120" s="146"/>
      <c r="EP120" s="146"/>
      <c r="EQ120" s="146"/>
    </row>
    <row r="121">
      <c r="A121" s="177" t="s">
        <v>224</v>
      </c>
      <c r="B121" s="178" t="s">
        <v>454</v>
      </c>
      <c r="C121" s="179" t="s">
        <v>455</v>
      </c>
      <c r="D121" s="178" t="s">
        <v>328</v>
      </c>
      <c r="E121" s="179" t="s">
        <v>329</v>
      </c>
      <c r="F121" s="178" t="s">
        <v>330</v>
      </c>
      <c r="G121" s="178">
        <v>235.0</v>
      </c>
      <c r="H121" s="180"/>
      <c r="I121" s="180"/>
      <c r="J121" s="180">
        <v>45667.0</v>
      </c>
      <c r="K121" s="175">
        <f t="shared" si="17"/>
        <v>46762</v>
      </c>
      <c r="L121" s="176" t="str">
        <f t="shared" si="2"/>
        <v>Ok</v>
      </c>
      <c r="M121" s="180"/>
      <c r="N121" s="146"/>
      <c r="O121" s="146"/>
      <c r="P121" s="146"/>
      <c r="Q121" s="146"/>
      <c r="R121" s="146"/>
      <c r="S121" s="146"/>
      <c r="T121" s="146"/>
      <c r="U121" s="146"/>
      <c r="V121" s="146"/>
      <c r="W121" s="146"/>
      <c r="X121" s="146"/>
      <c r="Y121" s="146"/>
      <c r="Z121" s="146"/>
      <c r="AA121" s="146"/>
      <c r="AB121" s="146"/>
      <c r="AC121" s="146"/>
      <c r="AD121" s="146"/>
      <c r="AE121" s="146"/>
      <c r="AF121" s="146"/>
      <c r="AG121" s="146"/>
      <c r="AH121" s="146"/>
      <c r="AI121" s="146"/>
      <c r="AJ121" s="146"/>
      <c r="AK121" s="146"/>
      <c r="AL121" s="146"/>
      <c r="AM121" s="146"/>
      <c r="AN121" s="146"/>
      <c r="AO121" s="146"/>
      <c r="AP121" s="146"/>
      <c r="AQ121" s="146"/>
      <c r="AR121" s="146"/>
      <c r="AS121" s="146"/>
      <c r="AT121" s="146"/>
      <c r="AU121" s="146"/>
      <c r="AV121" s="146"/>
      <c r="AW121" s="146"/>
      <c r="AX121" s="146"/>
      <c r="AY121" s="146"/>
      <c r="AZ121" s="146"/>
      <c r="BA121" s="146"/>
      <c r="BB121" s="146"/>
      <c r="BC121" s="146"/>
      <c r="BD121" s="146"/>
      <c r="BE121" s="146"/>
      <c r="BF121" s="146"/>
      <c r="BG121" s="146"/>
      <c r="BH121" s="146"/>
      <c r="BI121" s="146"/>
      <c r="BJ121" s="146"/>
      <c r="BK121" s="146"/>
      <c r="BL121" s="146"/>
      <c r="BM121" s="146"/>
      <c r="BN121" s="146"/>
      <c r="BO121" s="146"/>
      <c r="BP121" s="146"/>
      <c r="BQ121" s="146"/>
      <c r="BR121" s="146"/>
      <c r="BS121" s="146"/>
      <c r="BT121" s="146"/>
      <c r="BU121" s="146"/>
      <c r="BV121" s="146"/>
      <c r="BW121" s="146"/>
      <c r="BX121" s="146"/>
      <c r="BY121" s="146"/>
      <c r="BZ121" s="146"/>
      <c r="CA121" s="146"/>
      <c r="CB121" s="146"/>
      <c r="CC121" s="146"/>
      <c r="CD121" s="146"/>
      <c r="CE121" s="146"/>
      <c r="CF121" s="146"/>
      <c r="CG121" s="146"/>
      <c r="CH121" s="146"/>
      <c r="CI121" s="146"/>
      <c r="CJ121" s="146"/>
      <c r="CK121" s="146"/>
      <c r="CL121" s="146"/>
      <c r="CM121" s="146"/>
      <c r="CN121" s="146"/>
      <c r="CO121" s="146"/>
      <c r="CP121" s="146"/>
      <c r="CQ121" s="146"/>
      <c r="CR121" s="146"/>
      <c r="CS121" s="146"/>
      <c r="CT121" s="146"/>
      <c r="CU121" s="146"/>
      <c r="CV121" s="146"/>
      <c r="CW121" s="146"/>
      <c r="CX121" s="146"/>
      <c r="CY121" s="146"/>
      <c r="CZ121" s="146"/>
      <c r="DA121" s="146"/>
      <c r="DB121" s="146"/>
      <c r="DC121" s="146"/>
      <c r="DD121" s="146"/>
      <c r="DE121" s="146"/>
      <c r="DF121" s="146"/>
      <c r="DG121" s="146"/>
      <c r="DH121" s="146"/>
      <c r="DI121" s="146"/>
      <c r="DJ121" s="146"/>
      <c r="DK121" s="146"/>
      <c r="DL121" s="146"/>
      <c r="DM121" s="146"/>
      <c r="DN121" s="146"/>
      <c r="DO121" s="146"/>
      <c r="DP121" s="146"/>
      <c r="DQ121" s="146"/>
      <c r="DR121" s="146"/>
      <c r="DS121" s="146"/>
      <c r="DT121" s="146"/>
      <c r="DU121" s="146"/>
      <c r="DV121" s="146"/>
      <c r="DW121" s="146"/>
      <c r="DX121" s="146"/>
      <c r="DY121" s="146"/>
      <c r="DZ121" s="146"/>
      <c r="EA121" s="146"/>
      <c r="EB121" s="146"/>
      <c r="EC121" s="146"/>
      <c r="ED121" s="146"/>
      <c r="EE121" s="146"/>
      <c r="EF121" s="146"/>
      <c r="EG121" s="146"/>
      <c r="EH121" s="146"/>
      <c r="EI121" s="146"/>
      <c r="EJ121" s="146"/>
      <c r="EK121" s="146"/>
      <c r="EL121" s="146"/>
      <c r="EM121" s="146"/>
      <c r="EN121" s="146"/>
      <c r="EO121" s="146"/>
      <c r="EP121" s="146"/>
      <c r="EQ121" s="146"/>
    </row>
    <row r="122">
      <c r="A122" s="171" t="s">
        <v>225</v>
      </c>
      <c r="B122" s="172" t="s">
        <v>456</v>
      </c>
      <c r="C122" s="173" t="s">
        <v>457</v>
      </c>
      <c r="D122" s="172" t="s">
        <v>328</v>
      </c>
      <c r="E122" s="173" t="s">
        <v>337</v>
      </c>
      <c r="F122" s="172" t="s">
        <v>330</v>
      </c>
      <c r="G122" s="172">
        <v>11.0</v>
      </c>
      <c r="H122" s="174"/>
      <c r="I122" s="174"/>
      <c r="J122" s="174">
        <v>44593.0</v>
      </c>
      <c r="K122" s="175">
        <f t="shared" si="17"/>
        <v>45689</v>
      </c>
      <c r="L122" s="176" t="str">
        <f t="shared" si="2"/>
        <v>Overdue</v>
      </c>
      <c r="M122" s="174"/>
      <c r="N122" s="146"/>
      <c r="O122" s="146"/>
      <c r="P122" s="146"/>
      <c r="Q122" s="146"/>
      <c r="R122" s="146"/>
      <c r="S122" s="146"/>
      <c r="T122" s="146"/>
      <c r="U122" s="146"/>
      <c r="V122" s="146"/>
      <c r="W122" s="146"/>
      <c r="X122" s="146"/>
      <c r="Y122" s="146"/>
      <c r="Z122" s="146"/>
      <c r="AA122" s="146"/>
      <c r="AB122" s="146"/>
      <c r="AC122" s="146"/>
      <c r="AD122" s="146"/>
      <c r="AE122" s="146"/>
      <c r="AF122" s="146"/>
      <c r="AG122" s="146"/>
      <c r="AH122" s="146"/>
      <c r="AI122" s="146"/>
      <c r="AJ122" s="146"/>
      <c r="AK122" s="146"/>
      <c r="AL122" s="146"/>
      <c r="AM122" s="146"/>
      <c r="AN122" s="146"/>
      <c r="AO122" s="146"/>
      <c r="AP122" s="146"/>
      <c r="AQ122" s="146"/>
      <c r="AR122" s="146"/>
      <c r="AS122" s="146"/>
      <c r="AT122" s="146"/>
      <c r="AU122" s="146"/>
      <c r="AV122" s="146"/>
      <c r="AW122" s="146"/>
      <c r="AX122" s="146"/>
      <c r="AY122" s="146"/>
      <c r="AZ122" s="146"/>
      <c r="BA122" s="146"/>
      <c r="BB122" s="146"/>
      <c r="BC122" s="146"/>
      <c r="BD122" s="146"/>
      <c r="BE122" s="146"/>
      <c r="BF122" s="146"/>
      <c r="BG122" s="146"/>
      <c r="BH122" s="146"/>
      <c r="BI122" s="146"/>
      <c r="BJ122" s="146"/>
      <c r="BK122" s="146"/>
      <c r="BL122" s="146"/>
      <c r="BM122" s="146"/>
      <c r="BN122" s="146"/>
      <c r="BO122" s="146"/>
      <c r="BP122" s="146"/>
      <c r="BQ122" s="146"/>
      <c r="BR122" s="146"/>
      <c r="BS122" s="146"/>
      <c r="BT122" s="146"/>
      <c r="BU122" s="146"/>
      <c r="BV122" s="146"/>
      <c r="BW122" s="146"/>
      <c r="BX122" s="146"/>
      <c r="BY122" s="146"/>
      <c r="BZ122" s="146"/>
      <c r="CA122" s="146"/>
      <c r="CB122" s="146"/>
      <c r="CC122" s="146"/>
      <c r="CD122" s="146"/>
      <c r="CE122" s="146"/>
      <c r="CF122" s="146"/>
      <c r="CG122" s="146"/>
      <c r="CH122" s="146"/>
      <c r="CI122" s="146"/>
      <c r="CJ122" s="146"/>
      <c r="CK122" s="146"/>
      <c r="CL122" s="146"/>
      <c r="CM122" s="146"/>
      <c r="CN122" s="146"/>
      <c r="CO122" s="146"/>
      <c r="CP122" s="146"/>
      <c r="CQ122" s="146"/>
      <c r="CR122" s="146"/>
      <c r="CS122" s="146"/>
      <c r="CT122" s="146"/>
      <c r="CU122" s="146"/>
      <c r="CV122" s="146"/>
      <c r="CW122" s="146"/>
      <c r="CX122" s="146"/>
      <c r="CY122" s="146"/>
      <c r="CZ122" s="146"/>
      <c r="DA122" s="146"/>
      <c r="DB122" s="146"/>
      <c r="DC122" s="146"/>
      <c r="DD122" s="146"/>
      <c r="DE122" s="146"/>
      <c r="DF122" s="146"/>
      <c r="DG122" s="146"/>
      <c r="DH122" s="146"/>
      <c r="DI122" s="146"/>
      <c r="DJ122" s="146"/>
      <c r="DK122" s="146"/>
      <c r="DL122" s="146"/>
      <c r="DM122" s="146"/>
      <c r="DN122" s="146"/>
      <c r="DO122" s="146"/>
      <c r="DP122" s="146"/>
      <c r="DQ122" s="146"/>
      <c r="DR122" s="146"/>
      <c r="DS122" s="146"/>
      <c r="DT122" s="146"/>
      <c r="DU122" s="146"/>
      <c r="DV122" s="146"/>
      <c r="DW122" s="146"/>
      <c r="DX122" s="146"/>
      <c r="DY122" s="146"/>
      <c r="DZ122" s="146"/>
      <c r="EA122" s="146"/>
      <c r="EB122" s="146"/>
      <c r="EC122" s="146"/>
      <c r="ED122" s="146"/>
      <c r="EE122" s="146"/>
      <c r="EF122" s="146"/>
      <c r="EG122" s="146"/>
      <c r="EH122" s="146"/>
      <c r="EI122" s="146"/>
      <c r="EJ122" s="146"/>
      <c r="EK122" s="146"/>
      <c r="EL122" s="146"/>
      <c r="EM122" s="146"/>
      <c r="EN122" s="146"/>
      <c r="EO122" s="146"/>
      <c r="EP122" s="146"/>
      <c r="EQ122" s="146"/>
    </row>
    <row r="123">
      <c r="A123" s="184" t="s">
        <v>226</v>
      </c>
      <c r="B123" s="178" t="s">
        <v>454</v>
      </c>
      <c r="C123" s="179" t="s">
        <v>458</v>
      </c>
      <c r="D123" s="178" t="s">
        <v>328</v>
      </c>
      <c r="E123" s="179" t="s">
        <v>329</v>
      </c>
      <c r="F123" s="178" t="s">
        <v>330</v>
      </c>
      <c r="G123" s="178">
        <v>235.0</v>
      </c>
      <c r="H123" s="180"/>
      <c r="I123" s="180">
        <v>44378.0</v>
      </c>
      <c r="J123" s="180">
        <v>45349.0</v>
      </c>
      <c r="K123" s="175">
        <f t="shared" si="17"/>
        <v>46445</v>
      </c>
      <c r="L123" s="176" t="str">
        <f t="shared" si="2"/>
        <v>Ok</v>
      </c>
      <c r="M123" s="180"/>
      <c r="N123" s="146"/>
      <c r="O123" s="146"/>
      <c r="P123" s="146"/>
      <c r="Q123" s="146"/>
      <c r="R123" s="146"/>
      <c r="S123" s="146"/>
      <c r="T123" s="146"/>
      <c r="U123" s="146"/>
      <c r="V123" s="146"/>
      <c r="W123" s="146"/>
      <c r="X123" s="146"/>
      <c r="Y123" s="146"/>
      <c r="Z123" s="146"/>
      <c r="AA123" s="146"/>
      <c r="AB123" s="146"/>
      <c r="AC123" s="146"/>
      <c r="AD123" s="146"/>
      <c r="AE123" s="146"/>
      <c r="AF123" s="146"/>
      <c r="AG123" s="146"/>
      <c r="AH123" s="146"/>
      <c r="AI123" s="146"/>
      <c r="AJ123" s="146"/>
      <c r="AK123" s="146"/>
      <c r="AL123" s="146"/>
      <c r="AM123" s="146"/>
      <c r="AN123" s="146"/>
      <c r="AO123" s="146"/>
      <c r="AP123" s="146"/>
      <c r="AQ123" s="146"/>
      <c r="AR123" s="146"/>
      <c r="AS123" s="146"/>
      <c r="AT123" s="146"/>
      <c r="AU123" s="146"/>
      <c r="AV123" s="146"/>
      <c r="AW123" s="146"/>
      <c r="AX123" s="146"/>
      <c r="AY123" s="146"/>
      <c r="AZ123" s="146"/>
      <c r="BA123" s="146"/>
      <c r="BB123" s="146"/>
      <c r="BC123" s="146"/>
      <c r="BD123" s="146"/>
      <c r="BE123" s="146"/>
      <c r="BF123" s="146"/>
      <c r="BG123" s="146"/>
      <c r="BH123" s="146"/>
      <c r="BI123" s="146"/>
      <c r="BJ123" s="146"/>
      <c r="BK123" s="146"/>
      <c r="BL123" s="146"/>
      <c r="BM123" s="146"/>
      <c r="BN123" s="146"/>
      <c r="BO123" s="146"/>
      <c r="BP123" s="146"/>
      <c r="BQ123" s="146"/>
      <c r="BR123" s="146"/>
      <c r="BS123" s="146"/>
      <c r="BT123" s="146"/>
      <c r="BU123" s="146"/>
      <c r="BV123" s="146"/>
      <c r="BW123" s="146"/>
      <c r="BX123" s="146"/>
      <c r="BY123" s="146"/>
      <c r="BZ123" s="146"/>
      <c r="CA123" s="146"/>
      <c r="CB123" s="146"/>
      <c r="CC123" s="146"/>
      <c r="CD123" s="146"/>
      <c r="CE123" s="146"/>
      <c r="CF123" s="146"/>
      <c r="CG123" s="146"/>
      <c r="CH123" s="146"/>
      <c r="CI123" s="146"/>
      <c r="CJ123" s="146"/>
      <c r="CK123" s="146"/>
      <c r="CL123" s="146"/>
      <c r="CM123" s="146"/>
      <c r="CN123" s="146"/>
      <c r="CO123" s="146"/>
      <c r="CP123" s="146"/>
      <c r="CQ123" s="146"/>
      <c r="CR123" s="146"/>
      <c r="CS123" s="146"/>
      <c r="CT123" s="146"/>
      <c r="CU123" s="146"/>
      <c r="CV123" s="146"/>
      <c r="CW123" s="146"/>
      <c r="CX123" s="146"/>
      <c r="CY123" s="146"/>
      <c r="CZ123" s="146"/>
      <c r="DA123" s="146"/>
      <c r="DB123" s="146"/>
      <c r="DC123" s="146"/>
      <c r="DD123" s="146"/>
      <c r="DE123" s="146"/>
      <c r="DF123" s="146"/>
      <c r="DG123" s="146"/>
      <c r="DH123" s="146"/>
      <c r="DI123" s="146"/>
      <c r="DJ123" s="146"/>
      <c r="DK123" s="146"/>
      <c r="DL123" s="146"/>
      <c r="DM123" s="146"/>
      <c r="DN123" s="146"/>
      <c r="DO123" s="146"/>
      <c r="DP123" s="146"/>
      <c r="DQ123" s="146"/>
      <c r="DR123" s="146"/>
      <c r="DS123" s="146"/>
      <c r="DT123" s="146"/>
      <c r="DU123" s="146"/>
      <c r="DV123" s="146"/>
      <c r="DW123" s="146"/>
      <c r="DX123" s="146"/>
      <c r="DY123" s="146"/>
      <c r="DZ123" s="146"/>
      <c r="EA123" s="146"/>
      <c r="EB123" s="146"/>
      <c r="EC123" s="146"/>
      <c r="ED123" s="146"/>
      <c r="EE123" s="146"/>
      <c r="EF123" s="146"/>
      <c r="EG123" s="146"/>
      <c r="EH123" s="146"/>
      <c r="EI123" s="146"/>
      <c r="EJ123" s="146"/>
      <c r="EK123" s="146"/>
      <c r="EL123" s="146"/>
      <c r="EM123" s="146"/>
      <c r="EN123" s="146"/>
      <c r="EO123" s="146"/>
      <c r="EP123" s="146"/>
      <c r="EQ123" s="146"/>
    </row>
    <row r="124">
      <c r="A124" s="185" t="s">
        <v>227</v>
      </c>
      <c r="B124" s="172" t="s">
        <v>456</v>
      </c>
      <c r="C124" s="173" t="s">
        <v>459</v>
      </c>
      <c r="D124" s="172" t="s">
        <v>328</v>
      </c>
      <c r="E124" s="173" t="s">
        <v>337</v>
      </c>
      <c r="F124" s="172" t="s">
        <v>330</v>
      </c>
      <c r="G124" s="172">
        <v>40.0</v>
      </c>
      <c r="H124" s="174"/>
      <c r="I124" s="174"/>
      <c r="J124" s="174">
        <v>46024.0</v>
      </c>
      <c r="K124" s="175">
        <f t="shared" si="17"/>
        <v>47120</v>
      </c>
      <c r="L124" s="176" t="str">
        <f t="shared" si="2"/>
        <v>Ok</v>
      </c>
      <c r="M124" s="174"/>
      <c r="N124" s="146"/>
      <c r="O124" s="146"/>
      <c r="P124" s="146"/>
      <c r="Q124" s="146"/>
      <c r="R124" s="146"/>
      <c r="S124" s="146"/>
      <c r="T124" s="146"/>
      <c r="U124" s="146"/>
      <c r="V124" s="146"/>
      <c r="W124" s="146"/>
      <c r="X124" s="146"/>
      <c r="Y124" s="146"/>
      <c r="Z124" s="146"/>
      <c r="AA124" s="146"/>
      <c r="AB124" s="146"/>
      <c r="AC124" s="146"/>
      <c r="AD124" s="146"/>
      <c r="AE124" s="146"/>
      <c r="AF124" s="146"/>
      <c r="AG124" s="146"/>
      <c r="AH124" s="146"/>
      <c r="AI124" s="146"/>
      <c r="AJ124" s="146"/>
      <c r="AK124" s="146"/>
      <c r="AL124" s="146"/>
      <c r="AM124" s="146"/>
      <c r="AN124" s="146"/>
      <c r="AO124" s="146"/>
      <c r="AP124" s="146"/>
      <c r="AQ124" s="146"/>
      <c r="AR124" s="146"/>
      <c r="AS124" s="146"/>
      <c r="AT124" s="146"/>
      <c r="AU124" s="146"/>
      <c r="AV124" s="146"/>
      <c r="AW124" s="146"/>
      <c r="AX124" s="146"/>
      <c r="AY124" s="146"/>
      <c r="AZ124" s="146"/>
      <c r="BA124" s="146"/>
      <c r="BB124" s="146"/>
      <c r="BC124" s="146"/>
      <c r="BD124" s="146"/>
      <c r="BE124" s="146"/>
      <c r="BF124" s="146"/>
      <c r="BG124" s="146"/>
      <c r="BH124" s="146"/>
      <c r="BI124" s="146"/>
      <c r="BJ124" s="146"/>
      <c r="BK124" s="146"/>
      <c r="BL124" s="146"/>
      <c r="BM124" s="146"/>
      <c r="BN124" s="146"/>
      <c r="BO124" s="146"/>
      <c r="BP124" s="146"/>
      <c r="BQ124" s="146"/>
      <c r="BR124" s="146"/>
      <c r="BS124" s="146"/>
      <c r="BT124" s="146"/>
      <c r="BU124" s="146"/>
      <c r="BV124" s="146"/>
      <c r="BW124" s="146"/>
      <c r="BX124" s="146"/>
      <c r="BY124" s="146"/>
      <c r="BZ124" s="146"/>
      <c r="CA124" s="146"/>
      <c r="CB124" s="146"/>
      <c r="CC124" s="146"/>
      <c r="CD124" s="146"/>
      <c r="CE124" s="146"/>
      <c r="CF124" s="146"/>
      <c r="CG124" s="146"/>
      <c r="CH124" s="146"/>
      <c r="CI124" s="146"/>
      <c r="CJ124" s="146"/>
      <c r="CK124" s="146"/>
      <c r="CL124" s="146"/>
      <c r="CM124" s="146"/>
      <c r="CN124" s="146"/>
      <c r="CO124" s="146"/>
      <c r="CP124" s="146"/>
      <c r="CQ124" s="146"/>
      <c r="CR124" s="146"/>
      <c r="CS124" s="146"/>
      <c r="CT124" s="146"/>
      <c r="CU124" s="146"/>
      <c r="CV124" s="146"/>
      <c r="CW124" s="146"/>
      <c r="CX124" s="146"/>
      <c r="CY124" s="146"/>
      <c r="CZ124" s="146"/>
      <c r="DA124" s="146"/>
      <c r="DB124" s="146"/>
      <c r="DC124" s="146"/>
      <c r="DD124" s="146"/>
      <c r="DE124" s="146"/>
      <c r="DF124" s="146"/>
      <c r="DG124" s="146"/>
      <c r="DH124" s="146"/>
      <c r="DI124" s="146"/>
      <c r="DJ124" s="146"/>
      <c r="DK124" s="146"/>
      <c r="DL124" s="146"/>
      <c r="DM124" s="146"/>
      <c r="DN124" s="146"/>
      <c r="DO124" s="146"/>
      <c r="DP124" s="146"/>
      <c r="DQ124" s="146"/>
      <c r="DR124" s="146"/>
      <c r="DS124" s="146"/>
      <c r="DT124" s="146"/>
      <c r="DU124" s="146"/>
      <c r="DV124" s="146"/>
      <c r="DW124" s="146"/>
      <c r="DX124" s="146"/>
      <c r="DY124" s="146"/>
      <c r="DZ124" s="146"/>
      <c r="EA124" s="146"/>
      <c r="EB124" s="146"/>
      <c r="EC124" s="146"/>
      <c r="ED124" s="146"/>
      <c r="EE124" s="146"/>
      <c r="EF124" s="146"/>
      <c r="EG124" s="146"/>
      <c r="EH124" s="146"/>
      <c r="EI124" s="146"/>
      <c r="EJ124" s="146"/>
      <c r="EK124" s="146"/>
      <c r="EL124" s="146"/>
      <c r="EM124" s="146"/>
      <c r="EN124" s="146"/>
      <c r="EO124" s="146"/>
      <c r="EP124" s="146"/>
      <c r="EQ124" s="146"/>
    </row>
    <row r="125">
      <c r="A125" s="177" t="s">
        <v>228</v>
      </c>
      <c r="B125" s="178" t="s">
        <v>460</v>
      </c>
      <c r="C125" s="179" t="s">
        <v>349</v>
      </c>
      <c r="D125" s="178" t="s">
        <v>328</v>
      </c>
      <c r="E125" s="179" t="s">
        <v>329</v>
      </c>
      <c r="F125" s="178" t="s">
        <v>330</v>
      </c>
      <c r="G125" s="178">
        <v>80.0</v>
      </c>
      <c r="H125" s="180"/>
      <c r="I125" s="180"/>
      <c r="J125" s="180">
        <v>44586.0</v>
      </c>
      <c r="K125" s="175">
        <f t="shared" si="17"/>
        <v>45682</v>
      </c>
      <c r="L125" s="176" t="str">
        <f t="shared" si="2"/>
        <v>Overdue</v>
      </c>
      <c r="M125" s="180"/>
      <c r="N125" s="146"/>
      <c r="O125" s="146"/>
      <c r="P125" s="146"/>
      <c r="Q125" s="146"/>
      <c r="R125" s="146"/>
      <c r="S125" s="146"/>
      <c r="T125" s="146"/>
      <c r="U125" s="146"/>
      <c r="V125" s="146"/>
      <c r="W125" s="146"/>
      <c r="X125" s="146"/>
      <c r="Y125" s="146"/>
      <c r="Z125" s="146"/>
      <c r="AA125" s="146"/>
      <c r="AB125" s="146"/>
      <c r="AC125" s="146"/>
      <c r="AD125" s="146"/>
      <c r="AE125" s="146"/>
      <c r="AF125" s="146"/>
      <c r="AG125" s="146"/>
      <c r="AH125" s="146"/>
      <c r="AI125" s="146"/>
      <c r="AJ125" s="146"/>
      <c r="AK125" s="146"/>
      <c r="AL125" s="146"/>
      <c r="AM125" s="146"/>
      <c r="AN125" s="146"/>
      <c r="AO125" s="146"/>
      <c r="AP125" s="146"/>
      <c r="AQ125" s="146"/>
      <c r="AR125" s="146"/>
      <c r="AS125" s="146"/>
      <c r="AT125" s="146"/>
      <c r="AU125" s="146"/>
      <c r="AV125" s="146"/>
      <c r="AW125" s="146"/>
      <c r="AX125" s="146"/>
      <c r="AY125" s="146"/>
      <c r="AZ125" s="146"/>
      <c r="BA125" s="146"/>
      <c r="BB125" s="146"/>
      <c r="BC125" s="146"/>
      <c r="BD125" s="146"/>
      <c r="BE125" s="146"/>
      <c r="BF125" s="146"/>
      <c r="BG125" s="146"/>
      <c r="BH125" s="146"/>
      <c r="BI125" s="146"/>
      <c r="BJ125" s="146"/>
      <c r="BK125" s="146"/>
      <c r="BL125" s="146"/>
      <c r="BM125" s="146"/>
      <c r="BN125" s="146"/>
      <c r="BO125" s="146"/>
      <c r="BP125" s="146"/>
      <c r="BQ125" s="146"/>
      <c r="BR125" s="146"/>
      <c r="BS125" s="146"/>
      <c r="BT125" s="146"/>
      <c r="BU125" s="146"/>
      <c r="BV125" s="146"/>
      <c r="BW125" s="146"/>
      <c r="BX125" s="146"/>
      <c r="BY125" s="146"/>
      <c r="BZ125" s="146"/>
      <c r="CA125" s="146"/>
      <c r="CB125" s="146"/>
      <c r="CC125" s="146"/>
      <c r="CD125" s="146"/>
      <c r="CE125" s="146"/>
      <c r="CF125" s="146"/>
      <c r="CG125" s="146"/>
      <c r="CH125" s="146"/>
      <c r="CI125" s="146"/>
      <c r="CJ125" s="146"/>
      <c r="CK125" s="146"/>
      <c r="CL125" s="146"/>
      <c r="CM125" s="146"/>
      <c r="CN125" s="146"/>
      <c r="CO125" s="146"/>
      <c r="CP125" s="146"/>
      <c r="CQ125" s="146"/>
      <c r="CR125" s="146"/>
      <c r="CS125" s="146"/>
      <c r="CT125" s="146"/>
      <c r="CU125" s="146"/>
      <c r="CV125" s="146"/>
      <c r="CW125" s="146"/>
      <c r="CX125" s="146"/>
      <c r="CY125" s="146"/>
      <c r="CZ125" s="146"/>
      <c r="DA125" s="146"/>
      <c r="DB125" s="146"/>
      <c r="DC125" s="146"/>
      <c r="DD125" s="146"/>
      <c r="DE125" s="146"/>
      <c r="DF125" s="146"/>
      <c r="DG125" s="146"/>
      <c r="DH125" s="146"/>
      <c r="DI125" s="146"/>
      <c r="DJ125" s="146"/>
      <c r="DK125" s="146"/>
      <c r="DL125" s="146"/>
      <c r="DM125" s="146"/>
      <c r="DN125" s="146"/>
      <c r="DO125" s="146"/>
      <c r="DP125" s="146"/>
      <c r="DQ125" s="146"/>
      <c r="DR125" s="146"/>
      <c r="DS125" s="146"/>
      <c r="DT125" s="146"/>
      <c r="DU125" s="146"/>
      <c r="DV125" s="146"/>
      <c r="DW125" s="146"/>
      <c r="DX125" s="146"/>
      <c r="DY125" s="146"/>
      <c r="DZ125" s="146"/>
      <c r="EA125" s="146"/>
      <c r="EB125" s="146"/>
      <c r="EC125" s="146"/>
      <c r="ED125" s="146"/>
      <c r="EE125" s="146"/>
      <c r="EF125" s="146"/>
      <c r="EG125" s="146"/>
      <c r="EH125" s="146"/>
      <c r="EI125" s="146"/>
      <c r="EJ125" s="146"/>
      <c r="EK125" s="146"/>
      <c r="EL125" s="146"/>
      <c r="EM125" s="146"/>
      <c r="EN125" s="146"/>
      <c r="EO125" s="146"/>
      <c r="EP125" s="146"/>
      <c r="EQ125" s="146"/>
    </row>
    <row r="126">
      <c r="A126" s="171" t="s">
        <v>229</v>
      </c>
      <c r="B126" s="172" t="s">
        <v>460</v>
      </c>
      <c r="C126" s="173" t="s">
        <v>349</v>
      </c>
      <c r="D126" s="172" t="s">
        <v>328</v>
      </c>
      <c r="E126" s="173" t="s">
        <v>329</v>
      </c>
      <c r="F126" s="172" t="s">
        <v>330</v>
      </c>
      <c r="G126" s="172"/>
      <c r="H126" s="174"/>
      <c r="I126" s="174"/>
      <c r="J126" s="174">
        <v>44726.0</v>
      </c>
      <c r="K126" s="175">
        <f t="shared" si="17"/>
        <v>45822</v>
      </c>
      <c r="L126" s="176" t="str">
        <f t="shared" si="2"/>
        <v>Overdue</v>
      </c>
      <c r="M126" s="174"/>
      <c r="N126" s="146"/>
      <c r="O126" s="146"/>
      <c r="P126" s="146"/>
      <c r="Q126" s="146"/>
      <c r="R126" s="146"/>
      <c r="S126" s="146"/>
      <c r="T126" s="146"/>
      <c r="U126" s="146"/>
      <c r="V126" s="146"/>
      <c r="W126" s="146"/>
      <c r="X126" s="146"/>
      <c r="Y126" s="146"/>
      <c r="Z126" s="146"/>
      <c r="AA126" s="146"/>
      <c r="AB126" s="146"/>
      <c r="AC126" s="146"/>
      <c r="AD126" s="146"/>
      <c r="AE126" s="146"/>
      <c r="AF126" s="146"/>
      <c r="AG126" s="146"/>
      <c r="AH126" s="146"/>
      <c r="AI126" s="146"/>
      <c r="AJ126" s="146"/>
      <c r="AK126" s="146"/>
      <c r="AL126" s="146"/>
      <c r="AM126" s="146"/>
      <c r="AN126" s="146"/>
      <c r="AO126" s="146"/>
      <c r="AP126" s="146"/>
      <c r="AQ126" s="146"/>
      <c r="AR126" s="146"/>
      <c r="AS126" s="146"/>
      <c r="AT126" s="146"/>
      <c r="AU126" s="146"/>
      <c r="AV126" s="146"/>
      <c r="AW126" s="146"/>
      <c r="AX126" s="146"/>
      <c r="AY126" s="146"/>
      <c r="AZ126" s="146"/>
      <c r="BA126" s="146"/>
      <c r="BB126" s="146"/>
      <c r="BC126" s="146"/>
      <c r="BD126" s="146"/>
      <c r="BE126" s="146"/>
      <c r="BF126" s="146"/>
      <c r="BG126" s="146"/>
      <c r="BH126" s="146"/>
      <c r="BI126" s="146"/>
      <c r="BJ126" s="146"/>
      <c r="BK126" s="146"/>
      <c r="BL126" s="146"/>
      <c r="BM126" s="146"/>
      <c r="BN126" s="146"/>
      <c r="BO126" s="146"/>
      <c r="BP126" s="146"/>
      <c r="BQ126" s="146"/>
      <c r="BR126" s="146"/>
      <c r="BS126" s="146"/>
      <c r="BT126" s="146"/>
      <c r="BU126" s="146"/>
      <c r="BV126" s="146"/>
      <c r="BW126" s="146"/>
      <c r="BX126" s="146"/>
      <c r="BY126" s="146"/>
      <c r="BZ126" s="146"/>
      <c r="CA126" s="146"/>
      <c r="CB126" s="146"/>
      <c r="CC126" s="146"/>
      <c r="CD126" s="146"/>
      <c r="CE126" s="146"/>
      <c r="CF126" s="146"/>
      <c r="CG126" s="146"/>
      <c r="CH126" s="146"/>
      <c r="CI126" s="146"/>
      <c r="CJ126" s="146"/>
      <c r="CK126" s="146"/>
      <c r="CL126" s="146"/>
      <c r="CM126" s="146"/>
      <c r="CN126" s="146"/>
      <c r="CO126" s="146"/>
      <c r="CP126" s="146"/>
      <c r="CQ126" s="146"/>
      <c r="CR126" s="146"/>
      <c r="CS126" s="146"/>
      <c r="CT126" s="146"/>
      <c r="CU126" s="146"/>
      <c r="CV126" s="146"/>
      <c r="CW126" s="146"/>
      <c r="CX126" s="146"/>
      <c r="CY126" s="146"/>
      <c r="CZ126" s="146"/>
      <c r="DA126" s="146"/>
      <c r="DB126" s="146"/>
      <c r="DC126" s="146"/>
      <c r="DD126" s="146"/>
      <c r="DE126" s="146"/>
      <c r="DF126" s="146"/>
      <c r="DG126" s="146"/>
      <c r="DH126" s="146"/>
      <c r="DI126" s="146"/>
      <c r="DJ126" s="146"/>
      <c r="DK126" s="146"/>
      <c r="DL126" s="146"/>
      <c r="DM126" s="146"/>
      <c r="DN126" s="146"/>
      <c r="DO126" s="146"/>
      <c r="DP126" s="146"/>
      <c r="DQ126" s="146"/>
      <c r="DR126" s="146"/>
      <c r="DS126" s="146"/>
      <c r="DT126" s="146"/>
      <c r="DU126" s="146"/>
      <c r="DV126" s="146"/>
      <c r="DW126" s="146"/>
      <c r="DX126" s="146"/>
      <c r="DY126" s="146"/>
      <c r="DZ126" s="146"/>
      <c r="EA126" s="146"/>
      <c r="EB126" s="146"/>
      <c r="EC126" s="146"/>
      <c r="ED126" s="146"/>
      <c r="EE126" s="146"/>
      <c r="EF126" s="146"/>
      <c r="EG126" s="146"/>
      <c r="EH126" s="146"/>
      <c r="EI126" s="146"/>
      <c r="EJ126" s="146"/>
      <c r="EK126" s="146"/>
      <c r="EL126" s="146"/>
      <c r="EM126" s="146"/>
      <c r="EN126" s="146"/>
      <c r="EO126" s="146"/>
      <c r="EP126" s="146"/>
      <c r="EQ126" s="146"/>
    </row>
    <row r="127">
      <c r="A127" s="177" t="s">
        <v>230</v>
      </c>
      <c r="B127" s="178" t="s">
        <v>365</v>
      </c>
      <c r="C127" s="179" t="s">
        <v>461</v>
      </c>
      <c r="D127" s="178" t="s">
        <v>328</v>
      </c>
      <c r="E127" s="179" t="s">
        <v>346</v>
      </c>
      <c r="F127" s="178" t="s">
        <v>330</v>
      </c>
      <c r="G127" s="178">
        <v>130.0</v>
      </c>
      <c r="H127" s="180"/>
      <c r="I127" s="180"/>
      <c r="J127" s="180">
        <v>44549.0</v>
      </c>
      <c r="K127" s="175">
        <f t="shared" si="17"/>
        <v>45645</v>
      </c>
      <c r="L127" s="176" t="str">
        <f t="shared" si="2"/>
        <v>Overdue</v>
      </c>
      <c r="M127" s="180"/>
      <c r="N127" s="146"/>
      <c r="O127" s="146"/>
      <c r="P127" s="146"/>
      <c r="Q127" s="146"/>
      <c r="R127" s="146"/>
      <c r="S127" s="146"/>
      <c r="T127" s="146"/>
      <c r="U127" s="146"/>
      <c r="V127" s="146"/>
      <c r="W127" s="146"/>
      <c r="X127" s="146"/>
      <c r="Y127" s="146"/>
      <c r="Z127" s="146"/>
      <c r="AA127" s="146"/>
      <c r="AB127" s="146"/>
      <c r="AC127" s="146"/>
      <c r="AD127" s="146"/>
      <c r="AE127" s="146"/>
      <c r="AF127" s="146"/>
      <c r="AG127" s="146"/>
      <c r="AH127" s="146"/>
      <c r="AI127" s="146"/>
      <c r="AJ127" s="146"/>
      <c r="AK127" s="146"/>
      <c r="AL127" s="146"/>
      <c r="AM127" s="146"/>
      <c r="AN127" s="146"/>
      <c r="AO127" s="146"/>
      <c r="AP127" s="146"/>
      <c r="AQ127" s="146"/>
      <c r="AR127" s="146"/>
      <c r="AS127" s="146"/>
      <c r="AT127" s="146"/>
      <c r="AU127" s="146"/>
      <c r="AV127" s="146"/>
      <c r="AW127" s="146"/>
      <c r="AX127" s="146"/>
      <c r="AY127" s="146"/>
      <c r="AZ127" s="146"/>
      <c r="BA127" s="146"/>
      <c r="BB127" s="146"/>
      <c r="BC127" s="146"/>
      <c r="BD127" s="146"/>
      <c r="BE127" s="146"/>
      <c r="BF127" s="146"/>
      <c r="BG127" s="146"/>
      <c r="BH127" s="146"/>
      <c r="BI127" s="146"/>
      <c r="BJ127" s="146"/>
      <c r="BK127" s="146"/>
      <c r="BL127" s="146"/>
      <c r="BM127" s="146"/>
      <c r="BN127" s="146"/>
      <c r="BO127" s="146"/>
      <c r="BP127" s="146"/>
      <c r="BQ127" s="146"/>
      <c r="BR127" s="146"/>
      <c r="BS127" s="146"/>
      <c r="BT127" s="146"/>
      <c r="BU127" s="146"/>
      <c r="BV127" s="146"/>
      <c r="BW127" s="146"/>
      <c r="BX127" s="146"/>
      <c r="BY127" s="146"/>
      <c r="BZ127" s="146"/>
      <c r="CA127" s="146"/>
      <c r="CB127" s="146"/>
      <c r="CC127" s="146"/>
      <c r="CD127" s="146"/>
      <c r="CE127" s="146"/>
      <c r="CF127" s="146"/>
      <c r="CG127" s="146"/>
      <c r="CH127" s="146"/>
      <c r="CI127" s="146"/>
      <c r="CJ127" s="146"/>
      <c r="CK127" s="146"/>
      <c r="CL127" s="146"/>
      <c r="CM127" s="146"/>
      <c r="CN127" s="146"/>
      <c r="CO127" s="146"/>
      <c r="CP127" s="146"/>
      <c r="CQ127" s="146"/>
      <c r="CR127" s="146"/>
      <c r="CS127" s="146"/>
      <c r="CT127" s="146"/>
      <c r="CU127" s="146"/>
      <c r="CV127" s="146"/>
      <c r="CW127" s="146"/>
      <c r="CX127" s="146"/>
      <c r="CY127" s="146"/>
      <c r="CZ127" s="146"/>
      <c r="DA127" s="146"/>
      <c r="DB127" s="146"/>
      <c r="DC127" s="146"/>
      <c r="DD127" s="146"/>
      <c r="DE127" s="146"/>
      <c r="DF127" s="146"/>
      <c r="DG127" s="146"/>
      <c r="DH127" s="146"/>
      <c r="DI127" s="146"/>
      <c r="DJ127" s="146"/>
      <c r="DK127" s="146"/>
      <c r="DL127" s="146"/>
      <c r="DM127" s="146"/>
      <c r="DN127" s="146"/>
      <c r="DO127" s="146"/>
      <c r="DP127" s="146"/>
      <c r="DQ127" s="146"/>
      <c r="DR127" s="146"/>
      <c r="DS127" s="146"/>
      <c r="DT127" s="146"/>
      <c r="DU127" s="146"/>
      <c r="DV127" s="146"/>
      <c r="DW127" s="146"/>
      <c r="DX127" s="146"/>
      <c r="DY127" s="146"/>
      <c r="DZ127" s="146"/>
      <c r="EA127" s="146"/>
      <c r="EB127" s="146"/>
      <c r="EC127" s="146"/>
      <c r="ED127" s="146"/>
      <c r="EE127" s="146"/>
      <c r="EF127" s="146"/>
      <c r="EG127" s="146"/>
      <c r="EH127" s="146"/>
      <c r="EI127" s="146"/>
      <c r="EJ127" s="146"/>
      <c r="EK127" s="146"/>
      <c r="EL127" s="146"/>
      <c r="EM127" s="146"/>
      <c r="EN127" s="146"/>
      <c r="EO127" s="146"/>
      <c r="EP127" s="146"/>
      <c r="EQ127" s="146"/>
    </row>
    <row r="128">
      <c r="A128" s="171" t="s">
        <v>231</v>
      </c>
      <c r="B128" s="172" t="s">
        <v>462</v>
      </c>
      <c r="C128" s="173" t="s">
        <v>463</v>
      </c>
      <c r="D128" s="172" t="s">
        <v>328</v>
      </c>
      <c r="E128" s="173" t="s">
        <v>464</v>
      </c>
      <c r="F128" s="172" t="s">
        <v>330</v>
      </c>
      <c r="G128" s="172">
        <v>400.0</v>
      </c>
      <c r="H128" s="174">
        <v>45547.0</v>
      </c>
      <c r="I128" s="174">
        <v>45852.0</v>
      </c>
      <c r="J128" s="174">
        <v>46009.0</v>
      </c>
      <c r="K128" s="175">
        <f t="shared" si="17"/>
        <v>47105</v>
      </c>
      <c r="L128" s="176" t="str">
        <f t="shared" si="2"/>
        <v>Ok</v>
      </c>
      <c r="M128" s="174"/>
      <c r="N128" s="146"/>
      <c r="O128" s="146"/>
      <c r="P128" s="146"/>
      <c r="Q128" s="146"/>
      <c r="R128" s="146"/>
      <c r="S128" s="146"/>
      <c r="T128" s="146"/>
      <c r="U128" s="146"/>
      <c r="V128" s="146"/>
      <c r="W128" s="146"/>
      <c r="X128" s="146"/>
      <c r="Y128" s="146"/>
      <c r="Z128" s="146"/>
      <c r="AA128" s="146"/>
      <c r="AB128" s="146"/>
      <c r="AC128" s="146"/>
      <c r="AD128" s="146"/>
      <c r="AE128" s="146"/>
      <c r="AF128" s="146"/>
      <c r="AG128" s="146"/>
      <c r="AH128" s="146"/>
      <c r="AI128" s="146"/>
      <c r="AJ128" s="146"/>
      <c r="AK128" s="146"/>
      <c r="AL128" s="146"/>
      <c r="AM128" s="146"/>
      <c r="AN128" s="146"/>
      <c r="AO128" s="146"/>
      <c r="AP128" s="146"/>
      <c r="AQ128" s="146"/>
      <c r="AR128" s="146"/>
      <c r="AS128" s="146"/>
      <c r="AT128" s="146"/>
      <c r="AU128" s="146"/>
      <c r="AV128" s="146"/>
      <c r="AW128" s="146"/>
      <c r="AX128" s="146"/>
      <c r="AY128" s="146"/>
      <c r="AZ128" s="146"/>
      <c r="BA128" s="146"/>
      <c r="BB128" s="146"/>
      <c r="BC128" s="146"/>
      <c r="BD128" s="146"/>
      <c r="BE128" s="146"/>
      <c r="BF128" s="146"/>
      <c r="BG128" s="146"/>
      <c r="BH128" s="146"/>
      <c r="BI128" s="146"/>
      <c r="BJ128" s="146"/>
      <c r="BK128" s="146"/>
      <c r="BL128" s="146"/>
      <c r="BM128" s="146"/>
      <c r="BN128" s="146"/>
      <c r="BO128" s="146"/>
      <c r="BP128" s="146"/>
      <c r="BQ128" s="146"/>
      <c r="BR128" s="146"/>
      <c r="BS128" s="146"/>
      <c r="BT128" s="146"/>
      <c r="BU128" s="146"/>
      <c r="BV128" s="146"/>
      <c r="BW128" s="146"/>
      <c r="BX128" s="146"/>
      <c r="BY128" s="146"/>
      <c r="BZ128" s="146"/>
      <c r="CA128" s="146"/>
      <c r="CB128" s="146"/>
      <c r="CC128" s="146"/>
      <c r="CD128" s="146"/>
      <c r="CE128" s="146"/>
      <c r="CF128" s="146"/>
      <c r="CG128" s="146"/>
      <c r="CH128" s="146"/>
      <c r="CI128" s="146"/>
      <c r="CJ128" s="146"/>
      <c r="CK128" s="146"/>
      <c r="CL128" s="146"/>
      <c r="CM128" s="146"/>
      <c r="CN128" s="146"/>
      <c r="CO128" s="146"/>
      <c r="CP128" s="146"/>
      <c r="CQ128" s="146"/>
      <c r="CR128" s="146"/>
      <c r="CS128" s="146"/>
      <c r="CT128" s="146"/>
      <c r="CU128" s="146"/>
      <c r="CV128" s="146"/>
      <c r="CW128" s="146"/>
      <c r="CX128" s="146"/>
      <c r="CY128" s="146"/>
      <c r="CZ128" s="146"/>
      <c r="DA128" s="146"/>
      <c r="DB128" s="146"/>
      <c r="DC128" s="146"/>
      <c r="DD128" s="146"/>
      <c r="DE128" s="146"/>
      <c r="DF128" s="146"/>
      <c r="DG128" s="146"/>
      <c r="DH128" s="146"/>
      <c r="DI128" s="146"/>
      <c r="DJ128" s="146"/>
      <c r="DK128" s="146"/>
      <c r="DL128" s="146"/>
      <c r="DM128" s="146"/>
      <c r="DN128" s="146"/>
      <c r="DO128" s="146"/>
      <c r="DP128" s="146"/>
      <c r="DQ128" s="146"/>
      <c r="DR128" s="146"/>
      <c r="DS128" s="146"/>
      <c r="DT128" s="146"/>
      <c r="DU128" s="146"/>
      <c r="DV128" s="146"/>
      <c r="DW128" s="146"/>
      <c r="DX128" s="146"/>
      <c r="DY128" s="146"/>
      <c r="DZ128" s="146"/>
      <c r="EA128" s="146"/>
      <c r="EB128" s="146"/>
      <c r="EC128" s="146"/>
      <c r="ED128" s="146"/>
      <c r="EE128" s="146"/>
      <c r="EF128" s="146"/>
      <c r="EG128" s="146"/>
      <c r="EH128" s="146"/>
      <c r="EI128" s="146"/>
      <c r="EJ128" s="146"/>
      <c r="EK128" s="146"/>
      <c r="EL128" s="146"/>
      <c r="EM128" s="146"/>
      <c r="EN128" s="146"/>
      <c r="EO128" s="146"/>
      <c r="EP128" s="146"/>
      <c r="EQ128" s="146"/>
    </row>
    <row r="129">
      <c r="A129" s="177" t="s">
        <v>232</v>
      </c>
      <c r="B129" s="178" t="s">
        <v>465</v>
      </c>
      <c r="C129" s="179" t="s">
        <v>466</v>
      </c>
      <c r="D129" s="178" t="s">
        <v>328</v>
      </c>
      <c r="E129" s="179" t="s">
        <v>464</v>
      </c>
      <c r="F129" s="178" t="s">
        <v>416</v>
      </c>
      <c r="G129" s="178">
        <v>400.0</v>
      </c>
      <c r="H129" s="180">
        <v>45494.0</v>
      </c>
      <c r="I129" s="180">
        <v>45852.0</v>
      </c>
      <c r="J129" s="180">
        <v>46009.0</v>
      </c>
      <c r="K129" s="175">
        <f t="shared" si="17"/>
        <v>47105</v>
      </c>
      <c r="L129" s="176" t="str">
        <f t="shared" si="2"/>
        <v>Ok</v>
      </c>
      <c r="M129" s="180"/>
      <c r="N129" s="146"/>
      <c r="O129" s="146"/>
      <c r="P129" s="146"/>
      <c r="Q129" s="146"/>
      <c r="R129" s="146"/>
      <c r="S129" s="146"/>
      <c r="T129" s="146"/>
      <c r="U129" s="146"/>
      <c r="V129" s="146"/>
      <c r="W129" s="146"/>
      <c r="X129" s="146"/>
      <c r="Y129" s="146"/>
      <c r="Z129" s="146"/>
      <c r="AA129" s="146"/>
      <c r="AB129" s="146"/>
      <c r="AC129" s="146"/>
      <c r="AD129" s="146"/>
      <c r="AE129" s="146"/>
      <c r="AF129" s="146"/>
      <c r="AG129" s="146"/>
      <c r="AH129" s="146"/>
      <c r="AI129" s="146"/>
      <c r="AJ129" s="146"/>
      <c r="AK129" s="146"/>
      <c r="AL129" s="146"/>
      <c r="AM129" s="146"/>
      <c r="AN129" s="146"/>
      <c r="AO129" s="146"/>
      <c r="AP129" s="146"/>
      <c r="AQ129" s="146"/>
      <c r="AR129" s="146"/>
      <c r="AS129" s="146"/>
      <c r="AT129" s="146"/>
      <c r="AU129" s="146"/>
      <c r="AV129" s="146"/>
      <c r="AW129" s="146"/>
      <c r="AX129" s="146"/>
      <c r="AY129" s="146"/>
      <c r="AZ129" s="146"/>
      <c r="BA129" s="146"/>
      <c r="BB129" s="146"/>
      <c r="BC129" s="146"/>
      <c r="BD129" s="146"/>
      <c r="BE129" s="146"/>
      <c r="BF129" s="146"/>
      <c r="BG129" s="146"/>
      <c r="BH129" s="146"/>
      <c r="BI129" s="146"/>
      <c r="BJ129" s="146"/>
      <c r="BK129" s="146"/>
      <c r="BL129" s="146"/>
      <c r="BM129" s="146"/>
      <c r="BN129" s="146"/>
      <c r="BO129" s="146"/>
      <c r="BP129" s="146"/>
      <c r="BQ129" s="146"/>
      <c r="BR129" s="146"/>
      <c r="BS129" s="146"/>
      <c r="BT129" s="146"/>
      <c r="BU129" s="146"/>
      <c r="BV129" s="146"/>
      <c r="BW129" s="146"/>
      <c r="BX129" s="146"/>
      <c r="BY129" s="146"/>
      <c r="BZ129" s="146"/>
      <c r="CA129" s="146"/>
      <c r="CB129" s="146"/>
      <c r="CC129" s="146"/>
      <c r="CD129" s="146"/>
      <c r="CE129" s="146"/>
      <c r="CF129" s="146"/>
      <c r="CG129" s="146"/>
      <c r="CH129" s="146"/>
      <c r="CI129" s="146"/>
      <c r="CJ129" s="146"/>
      <c r="CK129" s="146"/>
      <c r="CL129" s="146"/>
      <c r="CM129" s="146"/>
      <c r="CN129" s="146"/>
      <c r="CO129" s="146"/>
      <c r="CP129" s="146"/>
      <c r="CQ129" s="146"/>
      <c r="CR129" s="146"/>
      <c r="CS129" s="146"/>
      <c r="CT129" s="146"/>
      <c r="CU129" s="146"/>
      <c r="CV129" s="146"/>
      <c r="CW129" s="146"/>
      <c r="CX129" s="146"/>
      <c r="CY129" s="146"/>
      <c r="CZ129" s="146"/>
      <c r="DA129" s="146"/>
      <c r="DB129" s="146"/>
      <c r="DC129" s="146"/>
      <c r="DD129" s="146"/>
      <c r="DE129" s="146"/>
      <c r="DF129" s="146"/>
      <c r="DG129" s="146"/>
      <c r="DH129" s="146"/>
      <c r="DI129" s="146"/>
      <c r="DJ129" s="146"/>
      <c r="DK129" s="146"/>
      <c r="DL129" s="146"/>
      <c r="DM129" s="146"/>
      <c r="DN129" s="146"/>
      <c r="DO129" s="146"/>
      <c r="DP129" s="146"/>
      <c r="DQ129" s="146"/>
      <c r="DR129" s="146"/>
      <c r="DS129" s="146"/>
      <c r="DT129" s="146"/>
      <c r="DU129" s="146"/>
      <c r="DV129" s="146"/>
      <c r="DW129" s="146"/>
      <c r="DX129" s="146"/>
      <c r="DY129" s="146"/>
      <c r="DZ129" s="146"/>
      <c r="EA129" s="146"/>
      <c r="EB129" s="146"/>
      <c r="EC129" s="146"/>
      <c r="ED129" s="146"/>
      <c r="EE129" s="146"/>
      <c r="EF129" s="146"/>
      <c r="EG129" s="146"/>
      <c r="EH129" s="146"/>
      <c r="EI129" s="146"/>
      <c r="EJ129" s="146"/>
      <c r="EK129" s="146"/>
      <c r="EL129" s="146"/>
      <c r="EM129" s="146"/>
      <c r="EN129" s="146"/>
      <c r="EO129" s="146"/>
      <c r="EP129" s="146"/>
      <c r="EQ129" s="146"/>
    </row>
    <row r="130">
      <c r="A130" s="171" t="s">
        <v>233</v>
      </c>
      <c r="B130" s="172" t="s">
        <v>467</v>
      </c>
      <c r="C130" s="173" t="s">
        <v>468</v>
      </c>
      <c r="D130" s="172" t="s">
        <v>328</v>
      </c>
      <c r="E130" s="173" t="s">
        <v>464</v>
      </c>
      <c r="F130" s="172" t="s">
        <v>330</v>
      </c>
      <c r="G130" s="172">
        <v>3000.0</v>
      </c>
      <c r="H130" s="174">
        <v>45830.0</v>
      </c>
      <c r="I130" s="174">
        <v>45852.0</v>
      </c>
      <c r="J130" s="174">
        <v>45970.0</v>
      </c>
      <c r="K130" s="175">
        <f t="shared" si="17"/>
        <v>47066</v>
      </c>
      <c r="L130" s="176" t="str">
        <f t="shared" si="2"/>
        <v>Ok</v>
      </c>
      <c r="M130" s="174"/>
      <c r="N130" s="146"/>
      <c r="O130" s="146"/>
      <c r="P130" s="146"/>
      <c r="Q130" s="146"/>
      <c r="R130" s="146"/>
      <c r="S130" s="146"/>
      <c r="T130" s="146"/>
      <c r="U130" s="146"/>
      <c r="V130" s="146"/>
      <c r="W130" s="146"/>
      <c r="X130" s="146"/>
      <c r="Y130" s="146"/>
      <c r="Z130" s="146"/>
      <c r="AA130" s="146"/>
      <c r="AB130" s="146"/>
      <c r="AC130" s="146"/>
      <c r="AD130" s="146"/>
      <c r="AE130" s="146"/>
      <c r="AF130" s="146"/>
      <c r="AG130" s="146"/>
      <c r="AH130" s="146"/>
      <c r="AI130" s="146"/>
      <c r="AJ130" s="146"/>
      <c r="AK130" s="146"/>
      <c r="AL130" s="146"/>
      <c r="AM130" s="146"/>
      <c r="AN130" s="146"/>
      <c r="AO130" s="146"/>
      <c r="AP130" s="146"/>
      <c r="AQ130" s="146"/>
      <c r="AR130" s="146"/>
      <c r="AS130" s="146"/>
      <c r="AT130" s="146"/>
      <c r="AU130" s="146"/>
      <c r="AV130" s="146"/>
      <c r="AW130" s="146"/>
      <c r="AX130" s="146"/>
      <c r="AY130" s="146"/>
      <c r="AZ130" s="146"/>
      <c r="BA130" s="146"/>
      <c r="BB130" s="146"/>
      <c r="BC130" s="146"/>
      <c r="BD130" s="146"/>
      <c r="BE130" s="146"/>
      <c r="BF130" s="146"/>
      <c r="BG130" s="146"/>
      <c r="BH130" s="146"/>
      <c r="BI130" s="146"/>
      <c r="BJ130" s="146"/>
      <c r="BK130" s="146"/>
      <c r="BL130" s="146"/>
      <c r="BM130" s="146"/>
      <c r="BN130" s="146"/>
      <c r="BO130" s="146"/>
      <c r="BP130" s="146"/>
      <c r="BQ130" s="146"/>
      <c r="BR130" s="146"/>
      <c r="BS130" s="146"/>
      <c r="BT130" s="146"/>
      <c r="BU130" s="146"/>
      <c r="BV130" s="146"/>
      <c r="BW130" s="146"/>
      <c r="BX130" s="146"/>
      <c r="BY130" s="146"/>
      <c r="BZ130" s="146"/>
      <c r="CA130" s="146"/>
      <c r="CB130" s="146"/>
      <c r="CC130" s="146"/>
      <c r="CD130" s="146"/>
      <c r="CE130" s="146"/>
      <c r="CF130" s="146"/>
      <c r="CG130" s="146"/>
      <c r="CH130" s="146"/>
      <c r="CI130" s="146"/>
      <c r="CJ130" s="146"/>
      <c r="CK130" s="146"/>
      <c r="CL130" s="146"/>
      <c r="CM130" s="146"/>
      <c r="CN130" s="146"/>
      <c r="CO130" s="146"/>
      <c r="CP130" s="146"/>
      <c r="CQ130" s="146"/>
      <c r="CR130" s="146"/>
      <c r="CS130" s="146"/>
      <c r="CT130" s="146"/>
      <c r="CU130" s="146"/>
      <c r="CV130" s="146"/>
      <c r="CW130" s="146"/>
      <c r="CX130" s="146"/>
      <c r="CY130" s="146"/>
      <c r="CZ130" s="146"/>
      <c r="DA130" s="146"/>
      <c r="DB130" s="146"/>
      <c r="DC130" s="146"/>
      <c r="DD130" s="146"/>
      <c r="DE130" s="146"/>
      <c r="DF130" s="146"/>
      <c r="DG130" s="146"/>
      <c r="DH130" s="146"/>
      <c r="DI130" s="146"/>
      <c r="DJ130" s="146"/>
      <c r="DK130" s="146"/>
      <c r="DL130" s="146"/>
      <c r="DM130" s="146"/>
      <c r="DN130" s="146"/>
      <c r="DO130" s="146"/>
      <c r="DP130" s="146"/>
      <c r="DQ130" s="146"/>
      <c r="DR130" s="146"/>
      <c r="DS130" s="146"/>
      <c r="DT130" s="146"/>
      <c r="DU130" s="146"/>
      <c r="DV130" s="146"/>
      <c r="DW130" s="146"/>
      <c r="DX130" s="146"/>
      <c r="DY130" s="146"/>
      <c r="DZ130" s="146"/>
      <c r="EA130" s="146"/>
      <c r="EB130" s="146"/>
      <c r="EC130" s="146"/>
      <c r="ED130" s="146"/>
      <c r="EE130" s="146"/>
      <c r="EF130" s="146"/>
      <c r="EG130" s="146"/>
      <c r="EH130" s="146"/>
      <c r="EI130" s="146"/>
      <c r="EJ130" s="146"/>
      <c r="EK130" s="146"/>
      <c r="EL130" s="146"/>
      <c r="EM130" s="146"/>
      <c r="EN130" s="146"/>
      <c r="EO130" s="146"/>
      <c r="EP130" s="146"/>
      <c r="EQ130" s="146"/>
    </row>
    <row r="131">
      <c r="A131" s="177" t="s">
        <v>235</v>
      </c>
      <c r="B131" s="178" t="s">
        <v>469</v>
      </c>
      <c r="C131" s="179" t="s">
        <v>470</v>
      </c>
      <c r="D131" s="178" t="s">
        <v>328</v>
      </c>
      <c r="E131" s="179" t="s">
        <v>471</v>
      </c>
      <c r="F131" s="178" t="s">
        <v>330</v>
      </c>
      <c r="G131" s="178">
        <v>100.0</v>
      </c>
      <c r="H131" s="180"/>
      <c r="I131" s="180">
        <v>44549.0</v>
      </c>
      <c r="J131" s="180">
        <v>45968.0</v>
      </c>
      <c r="K131" s="175">
        <f t="shared" si="17"/>
        <v>47064</v>
      </c>
      <c r="L131" s="176" t="str">
        <f t="shared" si="2"/>
        <v>Ok</v>
      </c>
      <c r="M131" s="180"/>
      <c r="N131" s="146"/>
      <c r="O131" s="146"/>
      <c r="P131" s="146"/>
      <c r="Q131" s="146"/>
      <c r="R131" s="146"/>
      <c r="S131" s="146"/>
      <c r="T131" s="146"/>
      <c r="U131" s="146"/>
      <c r="V131" s="146"/>
      <c r="W131" s="146"/>
      <c r="X131" s="146"/>
      <c r="Y131" s="146"/>
      <c r="Z131" s="146"/>
      <c r="AA131" s="146"/>
      <c r="AB131" s="146"/>
      <c r="AC131" s="146"/>
      <c r="AD131" s="146"/>
      <c r="AE131" s="146"/>
      <c r="AF131" s="146"/>
      <c r="AG131" s="146"/>
      <c r="AH131" s="146"/>
      <c r="AI131" s="146"/>
      <c r="AJ131" s="146"/>
      <c r="AK131" s="146"/>
      <c r="AL131" s="146"/>
      <c r="AM131" s="146"/>
      <c r="AN131" s="146"/>
      <c r="AO131" s="146"/>
      <c r="AP131" s="146"/>
      <c r="AQ131" s="146"/>
      <c r="AR131" s="146"/>
      <c r="AS131" s="146"/>
      <c r="AT131" s="146"/>
      <c r="AU131" s="146"/>
      <c r="AV131" s="146"/>
      <c r="AW131" s="146"/>
      <c r="AX131" s="146"/>
      <c r="AY131" s="146"/>
      <c r="AZ131" s="146"/>
      <c r="BA131" s="146"/>
      <c r="BB131" s="146"/>
      <c r="BC131" s="146"/>
      <c r="BD131" s="146"/>
      <c r="BE131" s="146"/>
      <c r="BF131" s="146"/>
      <c r="BG131" s="146"/>
      <c r="BH131" s="146"/>
      <c r="BI131" s="146"/>
      <c r="BJ131" s="146"/>
      <c r="BK131" s="146"/>
      <c r="BL131" s="146"/>
      <c r="BM131" s="146"/>
      <c r="BN131" s="146"/>
      <c r="BO131" s="146"/>
      <c r="BP131" s="146"/>
      <c r="BQ131" s="146"/>
      <c r="BR131" s="146"/>
      <c r="BS131" s="146"/>
      <c r="BT131" s="146"/>
      <c r="BU131" s="146"/>
      <c r="BV131" s="146"/>
      <c r="BW131" s="146"/>
      <c r="BX131" s="146"/>
      <c r="BY131" s="146"/>
      <c r="BZ131" s="146"/>
      <c r="CA131" s="146"/>
      <c r="CB131" s="146"/>
      <c r="CC131" s="146"/>
      <c r="CD131" s="146"/>
      <c r="CE131" s="146"/>
      <c r="CF131" s="146"/>
      <c r="CG131" s="146"/>
      <c r="CH131" s="146"/>
      <c r="CI131" s="146"/>
      <c r="CJ131" s="146"/>
      <c r="CK131" s="146"/>
      <c r="CL131" s="146"/>
      <c r="CM131" s="146"/>
      <c r="CN131" s="146"/>
      <c r="CO131" s="146"/>
      <c r="CP131" s="146"/>
      <c r="CQ131" s="146"/>
      <c r="CR131" s="146"/>
      <c r="CS131" s="146"/>
      <c r="CT131" s="146"/>
      <c r="CU131" s="146"/>
      <c r="CV131" s="146"/>
      <c r="CW131" s="146"/>
      <c r="CX131" s="146"/>
      <c r="CY131" s="146"/>
      <c r="CZ131" s="146"/>
      <c r="DA131" s="146"/>
      <c r="DB131" s="146"/>
      <c r="DC131" s="146"/>
      <c r="DD131" s="146"/>
      <c r="DE131" s="146"/>
      <c r="DF131" s="146"/>
      <c r="DG131" s="146"/>
      <c r="DH131" s="146"/>
      <c r="DI131" s="146"/>
      <c r="DJ131" s="146"/>
      <c r="DK131" s="146"/>
      <c r="DL131" s="146"/>
      <c r="DM131" s="146"/>
      <c r="DN131" s="146"/>
      <c r="DO131" s="146"/>
      <c r="DP131" s="146"/>
      <c r="DQ131" s="146"/>
      <c r="DR131" s="146"/>
      <c r="DS131" s="146"/>
      <c r="DT131" s="146"/>
      <c r="DU131" s="146"/>
      <c r="DV131" s="146"/>
      <c r="DW131" s="146"/>
      <c r="DX131" s="146"/>
      <c r="DY131" s="146"/>
      <c r="DZ131" s="146"/>
      <c r="EA131" s="146"/>
      <c r="EB131" s="146"/>
      <c r="EC131" s="146"/>
      <c r="ED131" s="146"/>
      <c r="EE131" s="146"/>
      <c r="EF131" s="146"/>
      <c r="EG131" s="146"/>
      <c r="EH131" s="146"/>
      <c r="EI131" s="146"/>
      <c r="EJ131" s="146"/>
      <c r="EK131" s="146"/>
      <c r="EL131" s="146"/>
      <c r="EM131" s="146"/>
      <c r="EN131" s="146"/>
      <c r="EO131" s="146"/>
      <c r="EP131" s="146"/>
      <c r="EQ131" s="146"/>
    </row>
    <row r="132">
      <c r="A132" s="171" t="s">
        <v>236</v>
      </c>
      <c r="B132" s="172" t="s">
        <v>472</v>
      </c>
      <c r="C132" s="173" t="s">
        <v>473</v>
      </c>
      <c r="D132" s="172" t="s">
        <v>328</v>
      </c>
      <c r="E132" s="173" t="s">
        <v>337</v>
      </c>
      <c r="F132" s="172" t="s">
        <v>330</v>
      </c>
      <c r="G132" s="172">
        <v>80.0</v>
      </c>
      <c r="H132" s="174"/>
      <c r="I132" s="174">
        <v>44013.0</v>
      </c>
      <c r="J132" s="174">
        <v>44824.0</v>
      </c>
      <c r="K132" s="175">
        <f t="shared" si="17"/>
        <v>45920</v>
      </c>
      <c r="L132" s="176" t="str">
        <f t="shared" si="2"/>
        <v>Overdue</v>
      </c>
      <c r="M132" s="174"/>
      <c r="N132" s="146"/>
      <c r="O132" s="146"/>
      <c r="P132" s="146"/>
      <c r="Q132" s="146"/>
      <c r="R132" s="146"/>
      <c r="S132" s="146"/>
      <c r="T132" s="146"/>
      <c r="U132" s="146"/>
      <c r="V132" s="146"/>
      <c r="W132" s="146"/>
      <c r="X132" s="146"/>
      <c r="Y132" s="146"/>
      <c r="Z132" s="146"/>
      <c r="AA132" s="146"/>
      <c r="AB132" s="146"/>
      <c r="AC132" s="146"/>
      <c r="AD132" s="146"/>
      <c r="AE132" s="146"/>
      <c r="AF132" s="146"/>
      <c r="AG132" s="146"/>
      <c r="AH132" s="146"/>
      <c r="AI132" s="146"/>
      <c r="AJ132" s="146"/>
      <c r="AK132" s="146"/>
      <c r="AL132" s="146"/>
      <c r="AM132" s="146"/>
      <c r="AN132" s="146"/>
      <c r="AO132" s="146"/>
      <c r="AP132" s="146"/>
      <c r="AQ132" s="146"/>
      <c r="AR132" s="146"/>
      <c r="AS132" s="146"/>
      <c r="AT132" s="146"/>
      <c r="AU132" s="146"/>
      <c r="AV132" s="146"/>
      <c r="AW132" s="146"/>
      <c r="AX132" s="146"/>
      <c r="AY132" s="146"/>
      <c r="AZ132" s="146"/>
      <c r="BA132" s="146"/>
      <c r="BB132" s="146"/>
      <c r="BC132" s="146"/>
      <c r="BD132" s="146"/>
      <c r="BE132" s="146"/>
      <c r="BF132" s="146"/>
      <c r="BG132" s="146"/>
      <c r="BH132" s="146"/>
      <c r="BI132" s="146"/>
      <c r="BJ132" s="146"/>
      <c r="BK132" s="146"/>
      <c r="BL132" s="146"/>
      <c r="BM132" s="146"/>
      <c r="BN132" s="146"/>
      <c r="BO132" s="146"/>
      <c r="BP132" s="146"/>
      <c r="BQ132" s="146"/>
      <c r="BR132" s="146"/>
      <c r="BS132" s="146"/>
      <c r="BT132" s="146"/>
      <c r="BU132" s="146"/>
      <c r="BV132" s="146"/>
      <c r="BW132" s="146"/>
      <c r="BX132" s="146"/>
      <c r="BY132" s="146"/>
      <c r="BZ132" s="146"/>
      <c r="CA132" s="146"/>
      <c r="CB132" s="146"/>
      <c r="CC132" s="146"/>
      <c r="CD132" s="146"/>
      <c r="CE132" s="146"/>
      <c r="CF132" s="146"/>
      <c r="CG132" s="146"/>
      <c r="CH132" s="146"/>
      <c r="CI132" s="146"/>
      <c r="CJ132" s="146"/>
      <c r="CK132" s="146"/>
      <c r="CL132" s="146"/>
      <c r="CM132" s="146"/>
      <c r="CN132" s="146"/>
      <c r="CO132" s="146"/>
      <c r="CP132" s="146"/>
      <c r="CQ132" s="146"/>
      <c r="CR132" s="146"/>
      <c r="CS132" s="146"/>
      <c r="CT132" s="146"/>
      <c r="CU132" s="146"/>
      <c r="CV132" s="146"/>
      <c r="CW132" s="146"/>
      <c r="CX132" s="146"/>
      <c r="CY132" s="146"/>
      <c r="CZ132" s="146"/>
      <c r="DA132" s="146"/>
      <c r="DB132" s="146"/>
      <c r="DC132" s="146"/>
      <c r="DD132" s="146"/>
      <c r="DE132" s="146"/>
      <c r="DF132" s="146"/>
      <c r="DG132" s="146"/>
      <c r="DH132" s="146"/>
      <c r="DI132" s="146"/>
      <c r="DJ132" s="146"/>
      <c r="DK132" s="146"/>
      <c r="DL132" s="146"/>
      <c r="DM132" s="146"/>
      <c r="DN132" s="146"/>
      <c r="DO132" s="146"/>
      <c r="DP132" s="146"/>
      <c r="DQ132" s="146"/>
      <c r="DR132" s="146"/>
      <c r="DS132" s="146"/>
      <c r="DT132" s="146"/>
      <c r="DU132" s="146"/>
      <c r="DV132" s="146"/>
      <c r="DW132" s="146"/>
      <c r="DX132" s="146"/>
      <c r="DY132" s="146"/>
      <c r="DZ132" s="146"/>
      <c r="EA132" s="146"/>
      <c r="EB132" s="146"/>
      <c r="EC132" s="146"/>
      <c r="ED132" s="146"/>
      <c r="EE132" s="146"/>
      <c r="EF132" s="146"/>
      <c r="EG132" s="146"/>
      <c r="EH132" s="146"/>
      <c r="EI132" s="146"/>
      <c r="EJ132" s="146"/>
      <c r="EK132" s="146"/>
      <c r="EL132" s="146"/>
      <c r="EM132" s="146"/>
      <c r="EN132" s="146"/>
      <c r="EO132" s="146"/>
      <c r="EP132" s="146"/>
      <c r="EQ132" s="146"/>
    </row>
    <row r="133">
      <c r="A133" s="177" t="s">
        <v>237</v>
      </c>
      <c r="B133" s="178" t="s">
        <v>365</v>
      </c>
      <c r="C133" s="179" t="s">
        <v>474</v>
      </c>
      <c r="D133" s="178" t="s">
        <v>328</v>
      </c>
      <c r="E133" s="179" t="s">
        <v>346</v>
      </c>
      <c r="F133" s="178" t="s">
        <v>330</v>
      </c>
      <c r="G133" s="178">
        <v>130.0</v>
      </c>
      <c r="H133" s="180"/>
      <c r="I133" s="180">
        <v>44549.0</v>
      </c>
      <c r="J133" s="180">
        <v>45327.0</v>
      </c>
      <c r="K133" s="175">
        <f t="shared" si="17"/>
        <v>46423</v>
      </c>
      <c r="L133" s="176" t="str">
        <f t="shared" si="2"/>
        <v>Ok</v>
      </c>
      <c r="M133" s="180"/>
      <c r="N133" s="146"/>
      <c r="O133" s="146"/>
      <c r="P133" s="146"/>
      <c r="Q133" s="146"/>
      <c r="R133" s="146"/>
      <c r="S133" s="146"/>
      <c r="T133" s="146"/>
      <c r="U133" s="146"/>
      <c r="V133" s="146"/>
      <c r="W133" s="146"/>
      <c r="X133" s="146"/>
      <c r="Y133" s="146"/>
      <c r="Z133" s="146"/>
      <c r="AA133" s="146"/>
      <c r="AB133" s="146"/>
      <c r="AC133" s="146"/>
      <c r="AD133" s="146"/>
      <c r="AE133" s="146"/>
      <c r="AF133" s="146"/>
      <c r="AG133" s="146"/>
      <c r="AH133" s="146"/>
      <c r="AI133" s="146"/>
      <c r="AJ133" s="146"/>
      <c r="AK133" s="146"/>
      <c r="AL133" s="146"/>
      <c r="AM133" s="146"/>
      <c r="AN133" s="146"/>
      <c r="AO133" s="146"/>
      <c r="AP133" s="146"/>
      <c r="AQ133" s="146"/>
      <c r="AR133" s="146"/>
      <c r="AS133" s="146"/>
      <c r="AT133" s="146"/>
      <c r="AU133" s="146"/>
      <c r="AV133" s="146"/>
      <c r="AW133" s="146"/>
      <c r="AX133" s="146"/>
      <c r="AY133" s="146"/>
      <c r="AZ133" s="146"/>
      <c r="BA133" s="146"/>
      <c r="BB133" s="146"/>
      <c r="BC133" s="146"/>
      <c r="BD133" s="146"/>
      <c r="BE133" s="146"/>
      <c r="BF133" s="146"/>
      <c r="BG133" s="146"/>
      <c r="BH133" s="146"/>
      <c r="BI133" s="146"/>
      <c r="BJ133" s="146"/>
      <c r="BK133" s="146"/>
      <c r="BL133" s="146"/>
      <c r="BM133" s="146"/>
      <c r="BN133" s="146"/>
      <c r="BO133" s="146"/>
      <c r="BP133" s="146"/>
      <c r="BQ133" s="146"/>
      <c r="BR133" s="146"/>
      <c r="BS133" s="146"/>
      <c r="BT133" s="146"/>
      <c r="BU133" s="146"/>
      <c r="BV133" s="146"/>
      <c r="BW133" s="146"/>
      <c r="BX133" s="146"/>
      <c r="BY133" s="146"/>
      <c r="BZ133" s="146"/>
      <c r="CA133" s="146"/>
      <c r="CB133" s="146"/>
      <c r="CC133" s="146"/>
      <c r="CD133" s="146"/>
      <c r="CE133" s="146"/>
      <c r="CF133" s="146"/>
      <c r="CG133" s="146"/>
      <c r="CH133" s="146"/>
      <c r="CI133" s="146"/>
      <c r="CJ133" s="146"/>
      <c r="CK133" s="146"/>
      <c r="CL133" s="146"/>
      <c r="CM133" s="146"/>
      <c r="CN133" s="146"/>
      <c r="CO133" s="146"/>
      <c r="CP133" s="146"/>
      <c r="CQ133" s="146"/>
      <c r="CR133" s="146"/>
      <c r="CS133" s="146"/>
      <c r="CT133" s="146"/>
      <c r="CU133" s="146"/>
      <c r="CV133" s="146"/>
      <c r="CW133" s="146"/>
      <c r="CX133" s="146"/>
      <c r="CY133" s="146"/>
      <c r="CZ133" s="146"/>
      <c r="DA133" s="146"/>
      <c r="DB133" s="146"/>
      <c r="DC133" s="146"/>
      <c r="DD133" s="146"/>
      <c r="DE133" s="146"/>
      <c r="DF133" s="146"/>
      <c r="DG133" s="146"/>
      <c r="DH133" s="146"/>
      <c r="DI133" s="146"/>
      <c r="DJ133" s="146"/>
      <c r="DK133" s="146"/>
      <c r="DL133" s="146"/>
      <c r="DM133" s="146"/>
      <c r="DN133" s="146"/>
      <c r="DO133" s="146"/>
      <c r="DP133" s="146"/>
      <c r="DQ133" s="146"/>
      <c r="DR133" s="146"/>
      <c r="DS133" s="146"/>
      <c r="DT133" s="146"/>
      <c r="DU133" s="146"/>
      <c r="DV133" s="146"/>
      <c r="DW133" s="146"/>
      <c r="DX133" s="146"/>
      <c r="DY133" s="146"/>
      <c r="DZ133" s="146"/>
      <c r="EA133" s="146"/>
      <c r="EB133" s="146"/>
      <c r="EC133" s="146"/>
      <c r="ED133" s="146"/>
      <c r="EE133" s="146"/>
      <c r="EF133" s="146"/>
      <c r="EG133" s="146"/>
      <c r="EH133" s="146"/>
      <c r="EI133" s="146"/>
      <c r="EJ133" s="146"/>
      <c r="EK133" s="146"/>
      <c r="EL133" s="146"/>
      <c r="EM133" s="146"/>
      <c r="EN133" s="146"/>
      <c r="EO133" s="146"/>
      <c r="EP133" s="146"/>
      <c r="EQ133" s="146"/>
    </row>
    <row r="134">
      <c r="A134" s="171" t="s">
        <v>238</v>
      </c>
      <c r="B134" s="172" t="s">
        <v>462</v>
      </c>
      <c r="C134" s="173" t="s">
        <v>463</v>
      </c>
      <c r="D134" s="172" t="s">
        <v>328</v>
      </c>
      <c r="E134" s="173" t="s">
        <v>464</v>
      </c>
      <c r="F134" s="172" t="s">
        <v>416</v>
      </c>
      <c r="G134" s="172">
        <v>400.0</v>
      </c>
      <c r="H134" s="174">
        <v>45632.0</v>
      </c>
      <c r="I134" s="174">
        <v>45871.0</v>
      </c>
      <c r="J134" s="174">
        <v>46014.0</v>
      </c>
      <c r="K134" s="175">
        <f t="shared" si="17"/>
        <v>47110</v>
      </c>
      <c r="L134" s="176" t="str">
        <f t="shared" si="2"/>
        <v>Ok</v>
      </c>
      <c r="M134" s="174"/>
      <c r="N134" s="146"/>
      <c r="O134" s="146"/>
      <c r="P134" s="146"/>
      <c r="Q134" s="146"/>
      <c r="R134" s="146"/>
      <c r="S134" s="146"/>
      <c r="T134" s="146"/>
      <c r="U134" s="146"/>
      <c r="V134" s="146"/>
      <c r="W134" s="146"/>
      <c r="X134" s="146"/>
      <c r="Y134" s="146"/>
      <c r="Z134" s="146"/>
      <c r="AA134" s="146"/>
      <c r="AB134" s="146"/>
      <c r="AC134" s="146"/>
      <c r="AD134" s="146"/>
      <c r="AE134" s="146"/>
      <c r="AF134" s="146"/>
      <c r="AG134" s="146"/>
      <c r="AH134" s="146"/>
      <c r="AI134" s="146"/>
      <c r="AJ134" s="146"/>
      <c r="AK134" s="146"/>
      <c r="AL134" s="146"/>
      <c r="AM134" s="146"/>
      <c r="AN134" s="146"/>
      <c r="AO134" s="146"/>
      <c r="AP134" s="146"/>
      <c r="AQ134" s="146"/>
      <c r="AR134" s="146"/>
      <c r="AS134" s="146"/>
      <c r="AT134" s="146"/>
      <c r="AU134" s="146"/>
      <c r="AV134" s="146"/>
      <c r="AW134" s="146"/>
      <c r="AX134" s="146"/>
      <c r="AY134" s="146"/>
      <c r="AZ134" s="146"/>
      <c r="BA134" s="146"/>
      <c r="BB134" s="146"/>
      <c r="BC134" s="146"/>
      <c r="BD134" s="146"/>
      <c r="BE134" s="146"/>
      <c r="BF134" s="146"/>
      <c r="BG134" s="146"/>
      <c r="BH134" s="146"/>
      <c r="BI134" s="146"/>
      <c r="BJ134" s="146"/>
      <c r="BK134" s="146"/>
      <c r="BL134" s="146"/>
      <c r="BM134" s="146"/>
      <c r="BN134" s="146"/>
      <c r="BO134" s="146"/>
      <c r="BP134" s="146"/>
      <c r="BQ134" s="146"/>
      <c r="BR134" s="146"/>
      <c r="BS134" s="146"/>
      <c r="BT134" s="146"/>
      <c r="BU134" s="146"/>
      <c r="BV134" s="146"/>
      <c r="BW134" s="146"/>
      <c r="BX134" s="146"/>
      <c r="BY134" s="146"/>
      <c r="BZ134" s="146"/>
      <c r="CA134" s="146"/>
      <c r="CB134" s="146"/>
      <c r="CC134" s="146"/>
      <c r="CD134" s="146"/>
      <c r="CE134" s="146"/>
      <c r="CF134" s="146"/>
      <c r="CG134" s="146"/>
      <c r="CH134" s="146"/>
      <c r="CI134" s="146"/>
      <c r="CJ134" s="146"/>
      <c r="CK134" s="146"/>
      <c r="CL134" s="146"/>
      <c r="CM134" s="146"/>
      <c r="CN134" s="146"/>
      <c r="CO134" s="146"/>
      <c r="CP134" s="146"/>
      <c r="CQ134" s="146"/>
      <c r="CR134" s="146"/>
      <c r="CS134" s="146"/>
      <c r="CT134" s="146"/>
      <c r="CU134" s="146"/>
      <c r="CV134" s="146"/>
      <c r="CW134" s="146"/>
      <c r="CX134" s="146"/>
      <c r="CY134" s="146"/>
      <c r="CZ134" s="146"/>
      <c r="DA134" s="146"/>
      <c r="DB134" s="146"/>
      <c r="DC134" s="146"/>
      <c r="DD134" s="146"/>
      <c r="DE134" s="146"/>
      <c r="DF134" s="146"/>
      <c r="DG134" s="146"/>
      <c r="DH134" s="146"/>
      <c r="DI134" s="146"/>
      <c r="DJ134" s="146"/>
      <c r="DK134" s="146"/>
      <c r="DL134" s="146"/>
      <c r="DM134" s="146"/>
      <c r="DN134" s="146"/>
      <c r="DO134" s="146"/>
      <c r="DP134" s="146"/>
      <c r="DQ134" s="146"/>
      <c r="DR134" s="146"/>
      <c r="DS134" s="146"/>
      <c r="DT134" s="146"/>
      <c r="DU134" s="146"/>
      <c r="DV134" s="146"/>
      <c r="DW134" s="146"/>
      <c r="DX134" s="146"/>
      <c r="DY134" s="146"/>
      <c r="DZ134" s="146"/>
      <c r="EA134" s="146"/>
      <c r="EB134" s="146"/>
      <c r="EC134" s="146"/>
      <c r="ED134" s="146"/>
      <c r="EE134" s="146"/>
      <c r="EF134" s="146"/>
      <c r="EG134" s="146"/>
      <c r="EH134" s="146"/>
      <c r="EI134" s="146"/>
      <c r="EJ134" s="146"/>
      <c r="EK134" s="146"/>
      <c r="EL134" s="146"/>
      <c r="EM134" s="146"/>
      <c r="EN134" s="146"/>
      <c r="EO134" s="146"/>
      <c r="EP134" s="146"/>
      <c r="EQ134" s="146"/>
    </row>
    <row r="135">
      <c r="A135" s="177" t="s">
        <v>239</v>
      </c>
      <c r="B135" s="178" t="s">
        <v>465</v>
      </c>
      <c r="C135" s="179" t="s">
        <v>466</v>
      </c>
      <c r="D135" s="178" t="s">
        <v>328</v>
      </c>
      <c r="E135" s="179" t="s">
        <v>464</v>
      </c>
      <c r="F135" s="178" t="s">
        <v>416</v>
      </c>
      <c r="G135" s="178">
        <v>400.0</v>
      </c>
      <c r="H135" s="180">
        <v>45755.0</v>
      </c>
      <c r="I135" s="180">
        <v>45871.0</v>
      </c>
      <c r="J135" s="180">
        <v>46014.0</v>
      </c>
      <c r="K135" s="175">
        <f t="shared" si="17"/>
        <v>47110</v>
      </c>
      <c r="L135" s="176" t="str">
        <f t="shared" si="2"/>
        <v>Ok</v>
      </c>
      <c r="M135" s="180"/>
      <c r="N135" s="146"/>
      <c r="O135" s="146"/>
      <c r="P135" s="146"/>
      <c r="Q135" s="146"/>
      <c r="R135" s="146"/>
      <c r="S135" s="146"/>
      <c r="T135" s="146"/>
      <c r="U135" s="146"/>
      <c r="V135" s="146"/>
      <c r="W135" s="146"/>
      <c r="X135" s="146"/>
      <c r="Y135" s="146"/>
      <c r="Z135" s="146"/>
      <c r="AA135" s="146"/>
      <c r="AB135" s="146"/>
      <c r="AC135" s="146"/>
      <c r="AD135" s="146"/>
      <c r="AE135" s="146"/>
      <c r="AF135" s="146"/>
      <c r="AG135" s="146"/>
      <c r="AH135" s="146"/>
      <c r="AI135" s="146"/>
      <c r="AJ135" s="146"/>
      <c r="AK135" s="146"/>
      <c r="AL135" s="146"/>
      <c r="AM135" s="146"/>
      <c r="AN135" s="146"/>
      <c r="AO135" s="146"/>
      <c r="AP135" s="146"/>
      <c r="AQ135" s="146"/>
      <c r="AR135" s="146"/>
      <c r="AS135" s="146"/>
      <c r="AT135" s="146"/>
      <c r="AU135" s="146"/>
      <c r="AV135" s="146"/>
      <c r="AW135" s="146"/>
      <c r="AX135" s="146"/>
      <c r="AY135" s="146"/>
      <c r="AZ135" s="146"/>
      <c r="BA135" s="146"/>
      <c r="BB135" s="146"/>
      <c r="BC135" s="146"/>
      <c r="BD135" s="146"/>
      <c r="BE135" s="146"/>
      <c r="BF135" s="146"/>
      <c r="BG135" s="146"/>
      <c r="BH135" s="146"/>
      <c r="BI135" s="146"/>
      <c r="BJ135" s="146"/>
      <c r="BK135" s="146"/>
      <c r="BL135" s="146"/>
      <c r="BM135" s="146"/>
      <c r="BN135" s="146"/>
      <c r="BO135" s="146"/>
      <c r="BP135" s="146"/>
      <c r="BQ135" s="146"/>
      <c r="BR135" s="146"/>
      <c r="BS135" s="146"/>
      <c r="BT135" s="146"/>
      <c r="BU135" s="146"/>
      <c r="BV135" s="146"/>
      <c r="BW135" s="146"/>
      <c r="BX135" s="146"/>
      <c r="BY135" s="146"/>
      <c r="BZ135" s="146"/>
      <c r="CA135" s="146"/>
      <c r="CB135" s="146"/>
      <c r="CC135" s="146"/>
      <c r="CD135" s="146"/>
      <c r="CE135" s="146"/>
      <c r="CF135" s="146"/>
      <c r="CG135" s="146"/>
      <c r="CH135" s="146"/>
      <c r="CI135" s="146"/>
      <c r="CJ135" s="146"/>
      <c r="CK135" s="146"/>
      <c r="CL135" s="146"/>
      <c r="CM135" s="146"/>
      <c r="CN135" s="146"/>
      <c r="CO135" s="146"/>
      <c r="CP135" s="146"/>
      <c r="CQ135" s="146"/>
      <c r="CR135" s="146"/>
      <c r="CS135" s="146"/>
      <c r="CT135" s="146"/>
      <c r="CU135" s="146"/>
      <c r="CV135" s="146"/>
      <c r="CW135" s="146"/>
      <c r="CX135" s="146"/>
      <c r="CY135" s="146"/>
      <c r="CZ135" s="146"/>
      <c r="DA135" s="146"/>
      <c r="DB135" s="146"/>
      <c r="DC135" s="146"/>
      <c r="DD135" s="146"/>
      <c r="DE135" s="146"/>
      <c r="DF135" s="146"/>
      <c r="DG135" s="146"/>
      <c r="DH135" s="146"/>
      <c r="DI135" s="146"/>
      <c r="DJ135" s="146"/>
      <c r="DK135" s="146"/>
      <c r="DL135" s="146"/>
      <c r="DM135" s="146"/>
      <c r="DN135" s="146"/>
      <c r="DO135" s="146"/>
      <c r="DP135" s="146"/>
      <c r="DQ135" s="146"/>
      <c r="DR135" s="146"/>
      <c r="DS135" s="146"/>
      <c r="DT135" s="146"/>
      <c r="DU135" s="146"/>
      <c r="DV135" s="146"/>
      <c r="DW135" s="146"/>
      <c r="DX135" s="146"/>
      <c r="DY135" s="146"/>
      <c r="DZ135" s="146"/>
      <c r="EA135" s="146"/>
      <c r="EB135" s="146"/>
      <c r="EC135" s="146"/>
      <c r="ED135" s="146"/>
      <c r="EE135" s="146"/>
      <c r="EF135" s="146"/>
      <c r="EG135" s="146"/>
      <c r="EH135" s="146"/>
      <c r="EI135" s="146"/>
      <c r="EJ135" s="146"/>
      <c r="EK135" s="146"/>
      <c r="EL135" s="146"/>
      <c r="EM135" s="146"/>
      <c r="EN135" s="146"/>
      <c r="EO135" s="146"/>
      <c r="EP135" s="146"/>
      <c r="EQ135" s="146"/>
    </row>
    <row r="136">
      <c r="A136" s="171" t="s">
        <v>240</v>
      </c>
      <c r="B136" s="172" t="s">
        <v>467</v>
      </c>
      <c r="C136" s="173" t="s">
        <v>475</v>
      </c>
      <c r="D136" s="172" t="s">
        <v>328</v>
      </c>
      <c r="E136" s="173" t="s">
        <v>464</v>
      </c>
      <c r="F136" s="172" t="s">
        <v>330</v>
      </c>
      <c r="G136" s="172">
        <v>3000.0</v>
      </c>
      <c r="H136" s="174">
        <v>45755.0</v>
      </c>
      <c r="I136" s="174">
        <v>45871.0</v>
      </c>
      <c r="J136" s="174">
        <v>46014.0</v>
      </c>
      <c r="K136" s="175">
        <f t="shared" si="17"/>
        <v>47110</v>
      </c>
      <c r="L136" s="176" t="str">
        <f t="shared" si="2"/>
        <v>Ok</v>
      </c>
      <c r="M136" s="174"/>
      <c r="N136" s="146"/>
      <c r="O136" s="146"/>
      <c r="P136" s="146"/>
      <c r="Q136" s="146"/>
      <c r="R136" s="146"/>
      <c r="S136" s="146"/>
      <c r="T136" s="146"/>
      <c r="U136" s="146"/>
      <c r="V136" s="146"/>
      <c r="W136" s="146"/>
      <c r="X136" s="146"/>
      <c r="Y136" s="146"/>
      <c r="Z136" s="146"/>
      <c r="AA136" s="146"/>
      <c r="AB136" s="146"/>
      <c r="AC136" s="146"/>
      <c r="AD136" s="146"/>
      <c r="AE136" s="146"/>
      <c r="AF136" s="146"/>
      <c r="AG136" s="146"/>
      <c r="AH136" s="146"/>
      <c r="AI136" s="146"/>
      <c r="AJ136" s="146"/>
      <c r="AK136" s="146"/>
      <c r="AL136" s="146"/>
      <c r="AM136" s="146"/>
      <c r="AN136" s="146"/>
      <c r="AO136" s="146"/>
      <c r="AP136" s="146"/>
      <c r="AQ136" s="146"/>
      <c r="AR136" s="146"/>
      <c r="AS136" s="146"/>
      <c r="AT136" s="146"/>
      <c r="AU136" s="146"/>
      <c r="AV136" s="146"/>
      <c r="AW136" s="146"/>
      <c r="AX136" s="146"/>
      <c r="AY136" s="146"/>
      <c r="AZ136" s="146"/>
      <c r="BA136" s="146"/>
      <c r="BB136" s="146"/>
      <c r="BC136" s="146"/>
      <c r="BD136" s="146"/>
      <c r="BE136" s="146"/>
      <c r="BF136" s="146"/>
      <c r="BG136" s="146"/>
      <c r="BH136" s="146"/>
      <c r="BI136" s="146"/>
      <c r="BJ136" s="146"/>
      <c r="BK136" s="146"/>
      <c r="BL136" s="146"/>
      <c r="BM136" s="146"/>
      <c r="BN136" s="146"/>
      <c r="BO136" s="146"/>
      <c r="BP136" s="146"/>
      <c r="BQ136" s="146"/>
      <c r="BR136" s="146"/>
      <c r="BS136" s="146"/>
      <c r="BT136" s="146"/>
      <c r="BU136" s="146"/>
      <c r="BV136" s="146"/>
      <c r="BW136" s="146"/>
      <c r="BX136" s="146"/>
      <c r="BY136" s="146"/>
      <c r="BZ136" s="146"/>
      <c r="CA136" s="146"/>
      <c r="CB136" s="146"/>
      <c r="CC136" s="146"/>
      <c r="CD136" s="146"/>
      <c r="CE136" s="146"/>
      <c r="CF136" s="146"/>
      <c r="CG136" s="146"/>
      <c r="CH136" s="146"/>
      <c r="CI136" s="146"/>
      <c r="CJ136" s="146"/>
      <c r="CK136" s="146"/>
      <c r="CL136" s="146"/>
      <c r="CM136" s="146"/>
      <c r="CN136" s="146"/>
      <c r="CO136" s="146"/>
      <c r="CP136" s="146"/>
      <c r="CQ136" s="146"/>
      <c r="CR136" s="146"/>
      <c r="CS136" s="146"/>
      <c r="CT136" s="146"/>
      <c r="CU136" s="146"/>
      <c r="CV136" s="146"/>
      <c r="CW136" s="146"/>
      <c r="CX136" s="146"/>
      <c r="CY136" s="146"/>
      <c r="CZ136" s="146"/>
      <c r="DA136" s="146"/>
      <c r="DB136" s="146"/>
      <c r="DC136" s="146"/>
      <c r="DD136" s="146"/>
      <c r="DE136" s="146"/>
      <c r="DF136" s="146"/>
      <c r="DG136" s="146"/>
      <c r="DH136" s="146"/>
      <c r="DI136" s="146"/>
      <c r="DJ136" s="146"/>
      <c r="DK136" s="146"/>
      <c r="DL136" s="146"/>
      <c r="DM136" s="146"/>
      <c r="DN136" s="146"/>
      <c r="DO136" s="146"/>
      <c r="DP136" s="146"/>
      <c r="DQ136" s="146"/>
      <c r="DR136" s="146"/>
      <c r="DS136" s="146"/>
      <c r="DT136" s="146"/>
      <c r="DU136" s="146"/>
      <c r="DV136" s="146"/>
      <c r="DW136" s="146"/>
      <c r="DX136" s="146"/>
      <c r="DY136" s="146"/>
      <c r="DZ136" s="146"/>
      <c r="EA136" s="146"/>
      <c r="EB136" s="146"/>
      <c r="EC136" s="146"/>
      <c r="ED136" s="146"/>
      <c r="EE136" s="146"/>
      <c r="EF136" s="146"/>
      <c r="EG136" s="146"/>
      <c r="EH136" s="146"/>
      <c r="EI136" s="146"/>
      <c r="EJ136" s="146"/>
      <c r="EK136" s="146"/>
      <c r="EL136" s="146"/>
      <c r="EM136" s="146"/>
      <c r="EN136" s="146"/>
      <c r="EO136" s="146"/>
      <c r="EP136" s="146"/>
      <c r="EQ136" s="146"/>
    </row>
    <row r="137">
      <c r="A137" s="177" t="s">
        <v>241</v>
      </c>
      <c r="B137" s="178" t="s">
        <v>469</v>
      </c>
      <c r="C137" s="179" t="s">
        <v>470</v>
      </c>
      <c r="D137" s="178" t="s">
        <v>328</v>
      </c>
      <c r="E137" s="179" t="s">
        <v>471</v>
      </c>
      <c r="F137" s="178" t="s">
        <v>330</v>
      </c>
      <c r="G137" s="178">
        <v>176.0</v>
      </c>
      <c r="H137" s="180">
        <v>44579.0</v>
      </c>
      <c r="I137" s="180">
        <v>44731.0</v>
      </c>
      <c r="J137" s="180">
        <v>46003.0</v>
      </c>
      <c r="K137" s="175">
        <f t="shared" si="17"/>
        <v>47099</v>
      </c>
      <c r="L137" s="176" t="str">
        <f t="shared" si="2"/>
        <v>Ok</v>
      </c>
      <c r="M137" s="180"/>
      <c r="N137" s="146"/>
      <c r="O137" s="146"/>
      <c r="P137" s="146"/>
      <c r="Q137" s="146"/>
      <c r="R137" s="146"/>
      <c r="S137" s="146"/>
      <c r="T137" s="146"/>
      <c r="U137" s="146"/>
      <c r="V137" s="146"/>
      <c r="W137" s="146"/>
      <c r="X137" s="146"/>
      <c r="Y137" s="146"/>
      <c r="Z137" s="146"/>
      <c r="AA137" s="146"/>
      <c r="AB137" s="146"/>
      <c r="AC137" s="146"/>
      <c r="AD137" s="146"/>
      <c r="AE137" s="146"/>
      <c r="AF137" s="146"/>
      <c r="AG137" s="146"/>
      <c r="AH137" s="146"/>
      <c r="AI137" s="146"/>
      <c r="AJ137" s="146"/>
      <c r="AK137" s="146"/>
      <c r="AL137" s="146"/>
      <c r="AM137" s="146"/>
      <c r="AN137" s="146"/>
      <c r="AO137" s="146"/>
      <c r="AP137" s="146"/>
      <c r="AQ137" s="146"/>
      <c r="AR137" s="146"/>
      <c r="AS137" s="146"/>
      <c r="AT137" s="146"/>
      <c r="AU137" s="146"/>
      <c r="AV137" s="146"/>
      <c r="AW137" s="146"/>
      <c r="AX137" s="146"/>
      <c r="AY137" s="146"/>
      <c r="AZ137" s="146"/>
      <c r="BA137" s="146"/>
      <c r="BB137" s="146"/>
      <c r="BC137" s="146"/>
      <c r="BD137" s="146"/>
      <c r="BE137" s="146"/>
      <c r="BF137" s="146"/>
      <c r="BG137" s="146"/>
      <c r="BH137" s="146"/>
      <c r="BI137" s="146"/>
      <c r="BJ137" s="146"/>
      <c r="BK137" s="146"/>
      <c r="BL137" s="146"/>
      <c r="BM137" s="146"/>
      <c r="BN137" s="146"/>
      <c r="BO137" s="146"/>
      <c r="BP137" s="146"/>
      <c r="BQ137" s="146"/>
      <c r="BR137" s="146"/>
      <c r="BS137" s="146"/>
      <c r="BT137" s="146"/>
      <c r="BU137" s="146"/>
      <c r="BV137" s="146"/>
      <c r="BW137" s="146"/>
      <c r="BX137" s="146"/>
      <c r="BY137" s="146"/>
      <c r="BZ137" s="146"/>
      <c r="CA137" s="146"/>
      <c r="CB137" s="146"/>
      <c r="CC137" s="146"/>
      <c r="CD137" s="146"/>
      <c r="CE137" s="146"/>
      <c r="CF137" s="146"/>
      <c r="CG137" s="146"/>
      <c r="CH137" s="146"/>
      <c r="CI137" s="146"/>
      <c r="CJ137" s="146"/>
      <c r="CK137" s="146"/>
      <c r="CL137" s="146"/>
      <c r="CM137" s="146"/>
      <c r="CN137" s="146"/>
      <c r="CO137" s="146"/>
      <c r="CP137" s="146"/>
      <c r="CQ137" s="146"/>
      <c r="CR137" s="146"/>
      <c r="CS137" s="146"/>
      <c r="CT137" s="146"/>
      <c r="CU137" s="146"/>
      <c r="CV137" s="146"/>
      <c r="CW137" s="146"/>
      <c r="CX137" s="146"/>
      <c r="CY137" s="146"/>
      <c r="CZ137" s="146"/>
      <c r="DA137" s="146"/>
      <c r="DB137" s="146"/>
      <c r="DC137" s="146"/>
      <c r="DD137" s="146"/>
      <c r="DE137" s="146"/>
      <c r="DF137" s="146"/>
      <c r="DG137" s="146"/>
      <c r="DH137" s="146"/>
      <c r="DI137" s="146"/>
      <c r="DJ137" s="146"/>
      <c r="DK137" s="146"/>
      <c r="DL137" s="146"/>
      <c r="DM137" s="146"/>
      <c r="DN137" s="146"/>
      <c r="DO137" s="146"/>
      <c r="DP137" s="146"/>
      <c r="DQ137" s="146"/>
      <c r="DR137" s="146"/>
      <c r="DS137" s="146"/>
      <c r="DT137" s="146"/>
      <c r="DU137" s="146"/>
      <c r="DV137" s="146"/>
      <c r="DW137" s="146"/>
      <c r="DX137" s="146"/>
      <c r="DY137" s="146"/>
      <c r="DZ137" s="146"/>
      <c r="EA137" s="146"/>
      <c r="EB137" s="146"/>
      <c r="EC137" s="146"/>
      <c r="ED137" s="146"/>
      <c r="EE137" s="146"/>
      <c r="EF137" s="146"/>
      <c r="EG137" s="146"/>
      <c r="EH137" s="146"/>
      <c r="EI137" s="146"/>
      <c r="EJ137" s="146"/>
      <c r="EK137" s="146"/>
      <c r="EL137" s="146"/>
      <c r="EM137" s="146"/>
      <c r="EN137" s="146"/>
      <c r="EO137" s="146"/>
      <c r="EP137" s="146"/>
      <c r="EQ137" s="146"/>
    </row>
    <row r="138">
      <c r="A138" s="171" t="s">
        <v>242</v>
      </c>
      <c r="B138" s="172" t="s">
        <v>472</v>
      </c>
      <c r="C138" s="173" t="s">
        <v>476</v>
      </c>
      <c r="D138" s="172" t="s">
        <v>328</v>
      </c>
      <c r="E138" s="173" t="s">
        <v>337</v>
      </c>
      <c r="F138" s="172" t="s">
        <v>330</v>
      </c>
      <c r="G138" s="172">
        <v>80.0</v>
      </c>
      <c r="H138" s="174">
        <v>44013.0</v>
      </c>
      <c r="I138" s="174">
        <v>44818.0</v>
      </c>
      <c r="J138" s="174">
        <v>45734.0</v>
      </c>
      <c r="K138" s="175">
        <f t="shared" si="17"/>
        <v>46830</v>
      </c>
      <c r="L138" s="176" t="str">
        <f t="shared" si="2"/>
        <v>Ok</v>
      </c>
      <c r="M138" s="174"/>
      <c r="N138" s="146"/>
      <c r="O138" s="146"/>
      <c r="P138" s="146"/>
      <c r="Q138" s="146"/>
      <c r="R138" s="146"/>
      <c r="S138" s="146"/>
      <c r="T138" s="146"/>
      <c r="U138" s="146"/>
      <c r="V138" s="146"/>
      <c r="W138" s="146"/>
      <c r="X138" s="146"/>
      <c r="Y138" s="146"/>
      <c r="Z138" s="146"/>
      <c r="AA138" s="146"/>
      <c r="AB138" s="146"/>
      <c r="AC138" s="146"/>
      <c r="AD138" s="146"/>
      <c r="AE138" s="146"/>
      <c r="AF138" s="146"/>
      <c r="AG138" s="146"/>
      <c r="AH138" s="146"/>
      <c r="AI138" s="146"/>
      <c r="AJ138" s="146"/>
      <c r="AK138" s="146"/>
      <c r="AL138" s="146"/>
      <c r="AM138" s="146"/>
      <c r="AN138" s="146"/>
      <c r="AO138" s="146"/>
      <c r="AP138" s="146"/>
      <c r="AQ138" s="146"/>
      <c r="AR138" s="146"/>
      <c r="AS138" s="146"/>
      <c r="AT138" s="146"/>
      <c r="AU138" s="146"/>
      <c r="AV138" s="146"/>
      <c r="AW138" s="146"/>
      <c r="AX138" s="146"/>
      <c r="AY138" s="146"/>
      <c r="AZ138" s="146"/>
      <c r="BA138" s="146"/>
      <c r="BB138" s="146"/>
      <c r="BC138" s="146"/>
      <c r="BD138" s="146"/>
      <c r="BE138" s="146"/>
      <c r="BF138" s="146"/>
      <c r="BG138" s="146"/>
      <c r="BH138" s="146"/>
      <c r="BI138" s="146"/>
      <c r="BJ138" s="146"/>
      <c r="BK138" s="146"/>
      <c r="BL138" s="146"/>
      <c r="BM138" s="146"/>
      <c r="BN138" s="146"/>
      <c r="BO138" s="146"/>
      <c r="BP138" s="146"/>
      <c r="BQ138" s="146"/>
      <c r="BR138" s="146"/>
      <c r="BS138" s="146"/>
      <c r="BT138" s="146"/>
      <c r="BU138" s="146"/>
      <c r="BV138" s="146"/>
      <c r="BW138" s="146"/>
      <c r="BX138" s="146"/>
      <c r="BY138" s="146"/>
      <c r="BZ138" s="146"/>
      <c r="CA138" s="146"/>
      <c r="CB138" s="146"/>
      <c r="CC138" s="146"/>
      <c r="CD138" s="146"/>
      <c r="CE138" s="146"/>
      <c r="CF138" s="146"/>
      <c r="CG138" s="146"/>
      <c r="CH138" s="146"/>
      <c r="CI138" s="146"/>
      <c r="CJ138" s="146"/>
      <c r="CK138" s="146"/>
      <c r="CL138" s="146"/>
      <c r="CM138" s="146"/>
      <c r="CN138" s="146"/>
      <c r="CO138" s="146"/>
      <c r="CP138" s="146"/>
      <c r="CQ138" s="146"/>
      <c r="CR138" s="146"/>
      <c r="CS138" s="146"/>
      <c r="CT138" s="146"/>
      <c r="CU138" s="146"/>
      <c r="CV138" s="146"/>
      <c r="CW138" s="146"/>
      <c r="CX138" s="146"/>
      <c r="CY138" s="146"/>
      <c r="CZ138" s="146"/>
      <c r="DA138" s="146"/>
      <c r="DB138" s="146"/>
      <c r="DC138" s="146"/>
      <c r="DD138" s="146"/>
      <c r="DE138" s="146"/>
      <c r="DF138" s="146"/>
      <c r="DG138" s="146"/>
      <c r="DH138" s="146"/>
      <c r="DI138" s="146"/>
      <c r="DJ138" s="146"/>
      <c r="DK138" s="146"/>
      <c r="DL138" s="146"/>
      <c r="DM138" s="146"/>
      <c r="DN138" s="146"/>
      <c r="DO138" s="146"/>
      <c r="DP138" s="146"/>
      <c r="DQ138" s="146"/>
      <c r="DR138" s="146"/>
      <c r="DS138" s="146"/>
      <c r="DT138" s="146"/>
      <c r="DU138" s="146"/>
      <c r="DV138" s="146"/>
      <c r="DW138" s="146"/>
      <c r="DX138" s="146"/>
      <c r="DY138" s="146"/>
      <c r="DZ138" s="146"/>
      <c r="EA138" s="146"/>
      <c r="EB138" s="146"/>
      <c r="EC138" s="146"/>
      <c r="ED138" s="146"/>
      <c r="EE138" s="146"/>
      <c r="EF138" s="146"/>
      <c r="EG138" s="146"/>
      <c r="EH138" s="146"/>
      <c r="EI138" s="146"/>
      <c r="EJ138" s="146"/>
      <c r="EK138" s="146"/>
      <c r="EL138" s="146"/>
      <c r="EM138" s="146"/>
      <c r="EN138" s="146"/>
      <c r="EO138" s="146"/>
      <c r="EP138" s="146"/>
      <c r="EQ138" s="146"/>
    </row>
    <row r="139">
      <c r="A139" s="177" t="s">
        <v>243</v>
      </c>
      <c r="B139" s="178" t="s">
        <v>365</v>
      </c>
      <c r="C139" s="179" t="s">
        <v>477</v>
      </c>
      <c r="D139" s="178" t="s">
        <v>328</v>
      </c>
      <c r="E139" s="179" t="s">
        <v>346</v>
      </c>
      <c r="F139" s="178" t="s">
        <v>330</v>
      </c>
      <c r="G139" s="178">
        <v>45.0</v>
      </c>
      <c r="H139" s="180">
        <v>44552.0</v>
      </c>
      <c r="I139" s="180">
        <v>44754.0</v>
      </c>
      <c r="J139" s="180">
        <v>45469.0</v>
      </c>
      <c r="K139" s="175">
        <f t="shared" si="17"/>
        <v>46564</v>
      </c>
      <c r="L139" s="176" t="str">
        <f t="shared" si="2"/>
        <v>Ok</v>
      </c>
      <c r="M139" s="180"/>
      <c r="N139" s="146"/>
      <c r="O139" s="146"/>
      <c r="P139" s="146"/>
      <c r="Q139" s="146"/>
      <c r="R139" s="146"/>
      <c r="S139" s="146"/>
      <c r="T139" s="146"/>
      <c r="U139" s="146"/>
      <c r="V139" s="146"/>
      <c r="W139" s="146"/>
      <c r="X139" s="146"/>
      <c r="Y139" s="146"/>
      <c r="Z139" s="146"/>
      <c r="AA139" s="146"/>
      <c r="AB139" s="146"/>
      <c r="AC139" s="146"/>
      <c r="AD139" s="146"/>
      <c r="AE139" s="146"/>
      <c r="AF139" s="146"/>
      <c r="AG139" s="146"/>
      <c r="AH139" s="146"/>
      <c r="AI139" s="146"/>
      <c r="AJ139" s="146"/>
      <c r="AK139" s="146"/>
      <c r="AL139" s="146"/>
      <c r="AM139" s="146"/>
      <c r="AN139" s="146"/>
      <c r="AO139" s="146"/>
      <c r="AP139" s="146"/>
      <c r="AQ139" s="146"/>
      <c r="AR139" s="146"/>
      <c r="AS139" s="146"/>
      <c r="AT139" s="146"/>
      <c r="AU139" s="146"/>
      <c r="AV139" s="146"/>
      <c r="AW139" s="146"/>
      <c r="AX139" s="146"/>
      <c r="AY139" s="146"/>
      <c r="AZ139" s="146"/>
      <c r="BA139" s="146"/>
      <c r="BB139" s="146"/>
      <c r="BC139" s="146"/>
      <c r="BD139" s="146"/>
      <c r="BE139" s="146"/>
      <c r="BF139" s="146"/>
      <c r="BG139" s="146"/>
      <c r="BH139" s="146"/>
      <c r="BI139" s="146"/>
      <c r="BJ139" s="146"/>
      <c r="BK139" s="146"/>
      <c r="BL139" s="146"/>
      <c r="BM139" s="146"/>
      <c r="BN139" s="146"/>
      <c r="BO139" s="146"/>
      <c r="BP139" s="146"/>
      <c r="BQ139" s="146"/>
      <c r="BR139" s="146"/>
      <c r="BS139" s="146"/>
      <c r="BT139" s="146"/>
      <c r="BU139" s="146"/>
      <c r="BV139" s="146"/>
      <c r="BW139" s="146"/>
      <c r="BX139" s="146"/>
      <c r="BY139" s="146"/>
      <c r="BZ139" s="146"/>
      <c r="CA139" s="146"/>
      <c r="CB139" s="146"/>
      <c r="CC139" s="146"/>
      <c r="CD139" s="146"/>
      <c r="CE139" s="146"/>
      <c r="CF139" s="146"/>
      <c r="CG139" s="146"/>
      <c r="CH139" s="146"/>
      <c r="CI139" s="146"/>
      <c r="CJ139" s="146"/>
      <c r="CK139" s="146"/>
      <c r="CL139" s="146"/>
      <c r="CM139" s="146"/>
      <c r="CN139" s="146"/>
      <c r="CO139" s="146"/>
      <c r="CP139" s="146"/>
      <c r="CQ139" s="146"/>
      <c r="CR139" s="146"/>
      <c r="CS139" s="146"/>
      <c r="CT139" s="146"/>
      <c r="CU139" s="146"/>
      <c r="CV139" s="146"/>
      <c r="CW139" s="146"/>
      <c r="CX139" s="146"/>
      <c r="CY139" s="146"/>
      <c r="CZ139" s="146"/>
      <c r="DA139" s="146"/>
      <c r="DB139" s="146"/>
      <c r="DC139" s="146"/>
      <c r="DD139" s="146"/>
      <c r="DE139" s="146"/>
      <c r="DF139" s="146"/>
      <c r="DG139" s="146"/>
      <c r="DH139" s="146"/>
      <c r="DI139" s="146"/>
      <c r="DJ139" s="146"/>
      <c r="DK139" s="146"/>
      <c r="DL139" s="146"/>
      <c r="DM139" s="146"/>
      <c r="DN139" s="146"/>
      <c r="DO139" s="146"/>
      <c r="DP139" s="146"/>
      <c r="DQ139" s="146"/>
      <c r="DR139" s="146"/>
      <c r="DS139" s="146"/>
      <c r="DT139" s="146"/>
      <c r="DU139" s="146"/>
      <c r="DV139" s="146"/>
      <c r="DW139" s="146"/>
      <c r="DX139" s="146"/>
      <c r="DY139" s="146"/>
      <c r="DZ139" s="146"/>
      <c r="EA139" s="146"/>
      <c r="EB139" s="146"/>
      <c r="EC139" s="146"/>
      <c r="ED139" s="146"/>
      <c r="EE139" s="146"/>
      <c r="EF139" s="146"/>
      <c r="EG139" s="146"/>
      <c r="EH139" s="146"/>
      <c r="EI139" s="146"/>
      <c r="EJ139" s="146"/>
      <c r="EK139" s="146"/>
      <c r="EL139" s="146"/>
      <c r="EM139" s="146"/>
      <c r="EN139" s="146"/>
      <c r="EO139" s="146"/>
      <c r="EP139" s="146"/>
      <c r="EQ139" s="146"/>
    </row>
    <row r="140">
      <c r="A140" s="171" t="s">
        <v>244</v>
      </c>
      <c r="B140" s="172" t="s">
        <v>462</v>
      </c>
      <c r="C140" s="173" t="s">
        <v>463</v>
      </c>
      <c r="D140" s="172" t="s">
        <v>328</v>
      </c>
      <c r="E140" s="173" t="s">
        <v>464</v>
      </c>
      <c r="F140" s="172" t="s">
        <v>330</v>
      </c>
      <c r="G140" s="172">
        <v>400.0</v>
      </c>
      <c r="H140" s="174">
        <v>45774.0</v>
      </c>
      <c r="I140" s="174">
        <v>45894.0</v>
      </c>
      <c r="J140" s="174">
        <v>46029.0</v>
      </c>
      <c r="K140" s="175">
        <f t="shared" si="17"/>
        <v>47125</v>
      </c>
      <c r="L140" s="176" t="str">
        <f t="shared" si="2"/>
        <v>Ok</v>
      </c>
      <c r="M140" s="174"/>
      <c r="N140" s="146"/>
      <c r="O140" s="146"/>
      <c r="P140" s="146"/>
      <c r="Q140" s="146"/>
      <c r="R140" s="146"/>
      <c r="S140" s="146"/>
      <c r="T140" s="146"/>
      <c r="U140" s="146"/>
      <c r="V140" s="146"/>
      <c r="W140" s="146"/>
      <c r="X140" s="146"/>
      <c r="Y140" s="146"/>
      <c r="Z140" s="146"/>
      <c r="AA140" s="146"/>
      <c r="AB140" s="146"/>
      <c r="AC140" s="146"/>
      <c r="AD140" s="146"/>
      <c r="AE140" s="146"/>
      <c r="AF140" s="146"/>
      <c r="AG140" s="146"/>
      <c r="AH140" s="146"/>
      <c r="AI140" s="146"/>
      <c r="AJ140" s="146"/>
      <c r="AK140" s="146"/>
      <c r="AL140" s="146"/>
      <c r="AM140" s="146"/>
      <c r="AN140" s="146"/>
      <c r="AO140" s="146"/>
      <c r="AP140" s="146"/>
      <c r="AQ140" s="146"/>
      <c r="AR140" s="146"/>
      <c r="AS140" s="146"/>
      <c r="AT140" s="146"/>
      <c r="AU140" s="146"/>
      <c r="AV140" s="146"/>
      <c r="AW140" s="146"/>
      <c r="AX140" s="146"/>
      <c r="AY140" s="146"/>
      <c r="AZ140" s="146"/>
      <c r="BA140" s="146"/>
      <c r="BB140" s="146"/>
      <c r="BC140" s="146"/>
      <c r="BD140" s="146"/>
      <c r="BE140" s="146"/>
      <c r="BF140" s="146"/>
      <c r="BG140" s="146"/>
      <c r="BH140" s="146"/>
      <c r="BI140" s="146"/>
      <c r="BJ140" s="146"/>
      <c r="BK140" s="146"/>
      <c r="BL140" s="146"/>
      <c r="BM140" s="146"/>
      <c r="BN140" s="146"/>
      <c r="BO140" s="146"/>
      <c r="BP140" s="146"/>
      <c r="BQ140" s="146"/>
      <c r="BR140" s="146"/>
      <c r="BS140" s="146"/>
      <c r="BT140" s="146"/>
      <c r="BU140" s="146"/>
      <c r="BV140" s="146"/>
      <c r="BW140" s="146"/>
      <c r="BX140" s="146"/>
      <c r="BY140" s="146"/>
      <c r="BZ140" s="146"/>
      <c r="CA140" s="146"/>
      <c r="CB140" s="146"/>
      <c r="CC140" s="146"/>
      <c r="CD140" s="146"/>
      <c r="CE140" s="146"/>
      <c r="CF140" s="146"/>
      <c r="CG140" s="146"/>
      <c r="CH140" s="146"/>
      <c r="CI140" s="146"/>
      <c r="CJ140" s="146"/>
      <c r="CK140" s="146"/>
      <c r="CL140" s="146"/>
      <c r="CM140" s="146"/>
      <c r="CN140" s="146"/>
      <c r="CO140" s="146"/>
      <c r="CP140" s="146"/>
      <c r="CQ140" s="146"/>
      <c r="CR140" s="146"/>
      <c r="CS140" s="146"/>
      <c r="CT140" s="146"/>
      <c r="CU140" s="146"/>
      <c r="CV140" s="146"/>
      <c r="CW140" s="146"/>
      <c r="CX140" s="146"/>
      <c r="CY140" s="146"/>
      <c r="CZ140" s="146"/>
      <c r="DA140" s="146"/>
      <c r="DB140" s="146"/>
      <c r="DC140" s="146"/>
      <c r="DD140" s="146"/>
      <c r="DE140" s="146"/>
      <c r="DF140" s="146"/>
      <c r="DG140" s="146"/>
      <c r="DH140" s="146"/>
      <c r="DI140" s="146"/>
      <c r="DJ140" s="146"/>
      <c r="DK140" s="146"/>
      <c r="DL140" s="146"/>
      <c r="DM140" s="146"/>
      <c r="DN140" s="146"/>
      <c r="DO140" s="146"/>
      <c r="DP140" s="146"/>
      <c r="DQ140" s="146"/>
      <c r="DR140" s="146"/>
      <c r="DS140" s="146"/>
      <c r="DT140" s="146"/>
      <c r="DU140" s="146"/>
      <c r="DV140" s="146"/>
      <c r="DW140" s="146"/>
      <c r="DX140" s="146"/>
      <c r="DY140" s="146"/>
      <c r="DZ140" s="146"/>
      <c r="EA140" s="146"/>
      <c r="EB140" s="146"/>
      <c r="EC140" s="146"/>
      <c r="ED140" s="146"/>
      <c r="EE140" s="146"/>
      <c r="EF140" s="146"/>
      <c r="EG140" s="146"/>
      <c r="EH140" s="146"/>
      <c r="EI140" s="146"/>
      <c r="EJ140" s="146"/>
      <c r="EK140" s="146"/>
      <c r="EL140" s="146"/>
      <c r="EM140" s="146"/>
      <c r="EN140" s="146"/>
      <c r="EO140" s="146"/>
      <c r="EP140" s="146"/>
      <c r="EQ140" s="146"/>
    </row>
    <row r="141">
      <c r="A141" s="177" t="s">
        <v>245</v>
      </c>
      <c r="B141" s="178" t="s">
        <v>465</v>
      </c>
      <c r="C141" s="179" t="s">
        <v>466</v>
      </c>
      <c r="D141" s="178" t="s">
        <v>328</v>
      </c>
      <c r="E141" s="179" t="s">
        <v>464</v>
      </c>
      <c r="F141" s="178" t="s">
        <v>330</v>
      </c>
      <c r="G141" s="178">
        <v>400.0</v>
      </c>
      <c r="H141" s="180">
        <v>45661.0</v>
      </c>
      <c r="I141" s="180">
        <v>45879.0</v>
      </c>
      <c r="J141" s="180">
        <v>45951.0</v>
      </c>
      <c r="K141" s="175">
        <f t="shared" si="17"/>
        <v>47047</v>
      </c>
      <c r="L141" s="176" t="str">
        <f t="shared" si="2"/>
        <v>Ok</v>
      </c>
      <c r="M141" s="180"/>
      <c r="N141" s="146"/>
      <c r="O141" s="146"/>
      <c r="P141" s="146"/>
      <c r="Q141" s="146"/>
      <c r="R141" s="146"/>
      <c r="S141" s="146"/>
      <c r="T141" s="146"/>
      <c r="U141" s="146"/>
      <c r="V141" s="146"/>
      <c r="W141" s="146"/>
      <c r="X141" s="146"/>
      <c r="Y141" s="146"/>
      <c r="Z141" s="146"/>
      <c r="AA141" s="146"/>
      <c r="AB141" s="146"/>
      <c r="AC141" s="146"/>
      <c r="AD141" s="146"/>
      <c r="AE141" s="146"/>
      <c r="AF141" s="146"/>
      <c r="AG141" s="146"/>
      <c r="AH141" s="146"/>
      <c r="AI141" s="146"/>
      <c r="AJ141" s="146"/>
      <c r="AK141" s="146"/>
      <c r="AL141" s="146"/>
      <c r="AM141" s="146"/>
      <c r="AN141" s="146"/>
      <c r="AO141" s="146"/>
      <c r="AP141" s="146"/>
      <c r="AQ141" s="146"/>
      <c r="AR141" s="146"/>
      <c r="AS141" s="146"/>
      <c r="AT141" s="146"/>
      <c r="AU141" s="146"/>
      <c r="AV141" s="146"/>
      <c r="AW141" s="146"/>
      <c r="AX141" s="146"/>
      <c r="AY141" s="146"/>
      <c r="AZ141" s="146"/>
      <c r="BA141" s="146"/>
      <c r="BB141" s="146"/>
      <c r="BC141" s="146"/>
      <c r="BD141" s="146"/>
      <c r="BE141" s="146"/>
      <c r="BF141" s="146"/>
      <c r="BG141" s="146"/>
      <c r="BH141" s="146"/>
      <c r="BI141" s="146"/>
      <c r="BJ141" s="146"/>
      <c r="BK141" s="146"/>
      <c r="BL141" s="146"/>
      <c r="BM141" s="146"/>
      <c r="BN141" s="146"/>
      <c r="BO141" s="146"/>
      <c r="BP141" s="146"/>
      <c r="BQ141" s="146"/>
      <c r="BR141" s="146"/>
      <c r="BS141" s="146"/>
      <c r="BT141" s="146"/>
      <c r="BU141" s="146"/>
      <c r="BV141" s="146"/>
      <c r="BW141" s="146"/>
      <c r="BX141" s="146"/>
      <c r="BY141" s="146"/>
      <c r="BZ141" s="146"/>
      <c r="CA141" s="146"/>
      <c r="CB141" s="146"/>
      <c r="CC141" s="146"/>
      <c r="CD141" s="146"/>
      <c r="CE141" s="146"/>
      <c r="CF141" s="146"/>
      <c r="CG141" s="146"/>
      <c r="CH141" s="146"/>
      <c r="CI141" s="146"/>
      <c r="CJ141" s="146"/>
      <c r="CK141" s="146"/>
      <c r="CL141" s="146"/>
      <c r="CM141" s="146"/>
      <c r="CN141" s="146"/>
      <c r="CO141" s="146"/>
      <c r="CP141" s="146"/>
      <c r="CQ141" s="146"/>
      <c r="CR141" s="146"/>
      <c r="CS141" s="146"/>
      <c r="CT141" s="146"/>
      <c r="CU141" s="146"/>
      <c r="CV141" s="146"/>
      <c r="CW141" s="146"/>
      <c r="CX141" s="146"/>
      <c r="CY141" s="146"/>
      <c r="CZ141" s="146"/>
      <c r="DA141" s="146"/>
      <c r="DB141" s="146"/>
      <c r="DC141" s="146"/>
      <c r="DD141" s="146"/>
      <c r="DE141" s="146"/>
      <c r="DF141" s="146"/>
      <c r="DG141" s="146"/>
      <c r="DH141" s="146"/>
      <c r="DI141" s="146"/>
      <c r="DJ141" s="146"/>
      <c r="DK141" s="146"/>
      <c r="DL141" s="146"/>
      <c r="DM141" s="146"/>
      <c r="DN141" s="146"/>
      <c r="DO141" s="146"/>
      <c r="DP141" s="146"/>
      <c r="DQ141" s="146"/>
      <c r="DR141" s="146"/>
      <c r="DS141" s="146"/>
      <c r="DT141" s="146"/>
      <c r="DU141" s="146"/>
      <c r="DV141" s="146"/>
      <c r="DW141" s="146"/>
      <c r="DX141" s="146"/>
      <c r="DY141" s="146"/>
      <c r="DZ141" s="146"/>
      <c r="EA141" s="146"/>
      <c r="EB141" s="146"/>
      <c r="EC141" s="146"/>
      <c r="ED141" s="146"/>
      <c r="EE141" s="146"/>
      <c r="EF141" s="146"/>
      <c r="EG141" s="146"/>
      <c r="EH141" s="146"/>
      <c r="EI141" s="146"/>
      <c r="EJ141" s="146"/>
      <c r="EK141" s="146"/>
      <c r="EL141" s="146"/>
      <c r="EM141" s="146"/>
      <c r="EN141" s="146"/>
      <c r="EO141" s="146"/>
      <c r="EP141" s="146"/>
      <c r="EQ141" s="146"/>
    </row>
    <row r="142">
      <c r="A142" s="171" t="s">
        <v>246</v>
      </c>
      <c r="B142" s="172" t="s">
        <v>467</v>
      </c>
      <c r="C142" s="173" t="s">
        <v>478</v>
      </c>
      <c r="D142" s="172" t="s">
        <v>328</v>
      </c>
      <c r="E142" s="173" t="s">
        <v>464</v>
      </c>
      <c r="F142" s="172" t="s">
        <v>416</v>
      </c>
      <c r="G142" s="172">
        <v>3000.0</v>
      </c>
      <c r="H142" s="174">
        <v>45735.0</v>
      </c>
      <c r="I142" s="174">
        <v>45879.0</v>
      </c>
      <c r="J142" s="174">
        <v>46029.0</v>
      </c>
      <c r="K142" s="175">
        <f t="shared" si="17"/>
        <v>47125</v>
      </c>
      <c r="L142" s="176" t="str">
        <f t="shared" si="2"/>
        <v>Ok</v>
      </c>
      <c r="M142" s="174"/>
      <c r="N142" s="146"/>
      <c r="O142" s="146"/>
      <c r="P142" s="146"/>
      <c r="Q142" s="146"/>
      <c r="R142" s="146"/>
      <c r="S142" s="146"/>
      <c r="T142" s="146"/>
      <c r="U142" s="146"/>
      <c r="V142" s="146"/>
      <c r="W142" s="146"/>
      <c r="X142" s="146"/>
      <c r="Y142" s="146"/>
      <c r="Z142" s="146"/>
      <c r="AA142" s="146"/>
      <c r="AB142" s="146"/>
      <c r="AC142" s="146"/>
      <c r="AD142" s="146"/>
      <c r="AE142" s="146"/>
      <c r="AF142" s="146"/>
      <c r="AG142" s="146"/>
      <c r="AH142" s="146"/>
      <c r="AI142" s="146"/>
      <c r="AJ142" s="146"/>
      <c r="AK142" s="146"/>
      <c r="AL142" s="146"/>
      <c r="AM142" s="146"/>
      <c r="AN142" s="146"/>
      <c r="AO142" s="146"/>
      <c r="AP142" s="146"/>
      <c r="AQ142" s="146"/>
      <c r="AR142" s="146"/>
      <c r="AS142" s="146"/>
      <c r="AT142" s="146"/>
      <c r="AU142" s="146"/>
      <c r="AV142" s="146"/>
      <c r="AW142" s="146"/>
      <c r="AX142" s="146"/>
      <c r="AY142" s="146"/>
      <c r="AZ142" s="146"/>
      <c r="BA142" s="146"/>
      <c r="BB142" s="146"/>
      <c r="BC142" s="146"/>
      <c r="BD142" s="146"/>
      <c r="BE142" s="146"/>
      <c r="BF142" s="146"/>
      <c r="BG142" s="146"/>
      <c r="BH142" s="146"/>
      <c r="BI142" s="146"/>
      <c r="BJ142" s="146"/>
      <c r="BK142" s="146"/>
      <c r="BL142" s="146"/>
      <c r="BM142" s="146"/>
      <c r="BN142" s="146"/>
      <c r="BO142" s="146"/>
      <c r="BP142" s="146"/>
      <c r="BQ142" s="146"/>
      <c r="BR142" s="146"/>
      <c r="BS142" s="146"/>
      <c r="BT142" s="146"/>
      <c r="BU142" s="146"/>
      <c r="BV142" s="146"/>
      <c r="BW142" s="146"/>
      <c r="BX142" s="146"/>
      <c r="BY142" s="146"/>
      <c r="BZ142" s="146"/>
      <c r="CA142" s="146"/>
      <c r="CB142" s="146"/>
      <c r="CC142" s="146"/>
      <c r="CD142" s="146"/>
      <c r="CE142" s="146"/>
      <c r="CF142" s="146"/>
      <c r="CG142" s="146"/>
      <c r="CH142" s="146"/>
      <c r="CI142" s="146"/>
      <c r="CJ142" s="146"/>
      <c r="CK142" s="146"/>
      <c r="CL142" s="146"/>
      <c r="CM142" s="146"/>
      <c r="CN142" s="146"/>
      <c r="CO142" s="146"/>
      <c r="CP142" s="146"/>
      <c r="CQ142" s="146"/>
      <c r="CR142" s="146"/>
      <c r="CS142" s="146"/>
      <c r="CT142" s="146"/>
      <c r="CU142" s="146"/>
      <c r="CV142" s="146"/>
      <c r="CW142" s="146"/>
      <c r="CX142" s="146"/>
      <c r="CY142" s="146"/>
      <c r="CZ142" s="146"/>
      <c r="DA142" s="146"/>
      <c r="DB142" s="146"/>
      <c r="DC142" s="146"/>
      <c r="DD142" s="146"/>
      <c r="DE142" s="146"/>
      <c r="DF142" s="146"/>
      <c r="DG142" s="146"/>
      <c r="DH142" s="146"/>
      <c r="DI142" s="146"/>
      <c r="DJ142" s="146"/>
      <c r="DK142" s="146"/>
      <c r="DL142" s="146"/>
      <c r="DM142" s="146"/>
      <c r="DN142" s="146"/>
      <c r="DO142" s="146"/>
      <c r="DP142" s="146"/>
      <c r="DQ142" s="146"/>
      <c r="DR142" s="146"/>
      <c r="DS142" s="146"/>
      <c r="DT142" s="146"/>
      <c r="DU142" s="146"/>
      <c r="DV142" s="146"/>
      <c r="DW142" s="146"/>
      <c r="DX142" s="146"/>
      <c r="DY142" s="146"/>
      <c r="DZ142" s="146"/>
      <c r="EA142" s="146"/>
      <c r="EB142" s="146"/>
      <c r="EC142" s="146"/>
      <c r="ED142" s="146"/>
      <c r="EE142" s="146"/>
      <c r="EF142" s="146"/>
      <c r="EG142" s="146"/>
      <c r="EH142" s="146"/>
      <c r="EI142" s="146"/>
      <c r="EJ142" s="146"/>
      <c r="EK142" s="146"/>
      <c r="EL142" s="146"/>
      <c r="EM142" s="146"/>
      <c r="EN142" s="146"/>
      <c r="EO142" s="146"/>
      <c r="EP142" s="146"/>
      <c r="EQ142" s="146"/>
    </row>
    <row r="143">
      <c r="A143" s="177" t="s">
        <v>247</v>
      </c>
      <c r="B143" s="178" t="s">
        <v>479</v>
      </c>
      <c r="C143" s="179" t="s">
        <v>480</v>
      </c>
      <c r="D143" s="178" t="s">
        <v>328</v>
      </c>
      <c r="E143" s="179" t="s">
        <v>337</v>
      </c>
      <c r="F143" s="178" t="s">
        <v>330</v>
      </c>
      <c r="G143" s="178">
        <v>62.0</v>
      </c>
      <c r="H143" s="180">
        <v>44816.0</v>
      </c>
      <c r="I143" s="180">
        <v>45172.0</v>
      </c>
      <c r="J143" s="180">
        <v>45739.0</v>
      </c>
      <c r="K143" s="175">
        <f t="shared" si="17"/>
        <v>46835</v>
      </c>
      <c r="L143" s="176" t="str">
        <f t="shared" si="2"/>
        <v>Ok</v>
      </c>
      <c r="M143" s="180"/>
      <c r="N143" s="146"/>
      <c r="O143" s="146"/>
      <c r="P143" s="146"/>
      <c r="Q143" s="146"/>
      <c r="R143" s="146"/>
      <c r="S143" s="146"/>
      <c r="T143" s="146"/>
      <c r="U143" s="146"/>
      <c r="V143" s="146"/>
      <c r="W143" s="146"/>
      <c r="X143" s="146"/>
      <c r="Y143" s="146"/>
      <c r="Z143" s="146"/>
      <c r="AA143" s="146"/>
      <c r="AB143" s="146"/>
      <c r="AC143" s="146"/>
      <c r="AD143" s="146"/>
      <c r="AE143" s="146"/>
      <c r="AF143" s="146"/>
      <c r="AG143" s="146"/>
      <c r="AH143" s="146"/>
      <c r="AI143" s="146"/>
      <c r="AJ143" s="146"/>
      <c r="AK143" s="146"/>
      <c r="AL143" s="146"/>
      <c r="AM143" s="146"/>
      <c r="AN143" s="146"/>
      <c r="AO143" s="146"/>
      <c r="AP143" s="146"/>
      <c r="AQ143" s="146"/>
      <c r="AR143" s="146"/>
      <c r="AS143" s="146"/>
      <c r="AT143" s="146"/>
      <c r="AU143" s="146"/>
      <c r="AV143" s="146"/>
      <c r="AW143" s="146"/>
      <c r="AX143" s="146"/>
      <c r="AY143" s="146"/>
      <c r="AZ143" s="146"/>
      <c r="BA143" s="146"/>
      <c r="BB143" s="146"/>
      <c r="BC143" s="146"/>
      <c r="BD143" s="146"/>
      <c r="BE143" s="146"/>
      <c r="BF143" s="146"/>
      <c r="BG143" s="146"/>
      <c r="BH143" s="146"/>
      <c r="BI143" s="146"/>
      <c r="BJ143" s="146"/>
      <c r="BK143" s="146"/>
      <c r="BL143" s="146"/>
      <c r="BM143" s="146"/>
      <c r="BN143" s="146"/>
      <c r="BO143" s="146"/>
      <c r="BP143" s="146"/>
      <c r="BQ143" s="146"/>
      <c r="BR143" s="146"/>
      <c r="BS143" s="146"/>
      <c r="BT143" s="146"/>
      <c r="BU143" s="146"/>
      <c r="BV143" s="146"/>
      <c r="BW143" s="146"/>
      <c r="BX143" s="146"/>
      <c r="BY143" s="146"/>
      <c r="BZ143" s="146"/>
      <c r="CA143" s="146"/>
      <c r="CB143" s="146"/>
      <c r="CC143" s="146"/>
      <c r="CD143" s="146"/>
      <c r="CE143" s="146"/>
      <c r="CF143" s="146"/>
      <c r="CG143" s="146"/>
      <c r="CH143" s="146"/>
      <c r="CI143" s="146"/>
      <c r="CJ143" s="146"/>
      <c r="CK143" s="146"/>
      <c r="CL143" s="146"/>
      <c r="CM143" s="146"/>
      <c r="CN143" s="146"/>
      <c r="CO143" s="146"/>
      <c r="CP143" s="146"/>
      <c r="CQ143" s="146"/>
      <c r="CR143" s="146"/>
      <c r="CS143" s="146"/>
      <c r="CT143" s="146"/>
      <c r="CU143" s="146"/>
      <c r="CV143" s="146"/>
      <c r="CW143" s="146"/>
      <c r="CX143" s="146"/>
      <c r="CY143" s="146"/>
      <c r="CZ143" s="146"/>
      <c r="DA143" s="146"/>
      <c r="DB143" s="146"/>
      <c r="DC143" s="146"/>
      <c r="DD143" s="146"/>
      <c r="DE143" s="146"/>
      <c r="DF143" s="146"/>
      <c r="DG143" s="146"/>
      <c r="DH143" s="146"/>
      <c r="DI143" s="146"/>
      <c r="DJ143" s="146"/>
      <c r="DK143" s="146"/>
      <c r="DL143" s="146"/>
      <c r="DM143" s="146"/>
      <c r="DN143" s="146"/>
      <c r="DO143" s="146"/>
      <c r="DP143" s="146"/>
      <c r="DQ143" s="146"/>
      <c r="DR143" s="146"/>
      <c r="DS143" s="146"/>
      <c r="DT143" s="146"/>
      <c r="DU143" s="146"/>
      <c r="DV143" s="146"/>
      <c r="DW143" s="146"/>
      <c r="DX143" s="146"/>
      <c r="DY143" s="146"/>
      <c r="DZ143" s="146"/>
      <c r="EA143" s="146"/>
      <c r="EB143" s="146"/>
      <c r="EC143" s="146"/>
      <c r="ED143" s="146"/>
      <c r="EE143" s="146"/>
      <c r="EF143" s="146"/>
      <c r="EG143" s="146"/>
      <c r="EH143" s="146"/>
      <c r="EI143" s="146"/>
      <c r="EJ143" s="146"/>
      <c r="EK143" s="146"/>
      <c r="EL143" s="146"/>
      <c r="EM143" s="146"/>
      <c r="EN143" s="146"/>
      <c r="EO143" s="146"/>
      <c r="EP143" s="146"/>
      <c r="EQ143" s="146"/>
    </row>
    <row r="144">
      <c r="A144" s="171" t="s">
        <v>248</v>
      </c>
      <c r="B144" s="172" t="s">
        <v>365</v>
      </c>
      <c r="C144" s="173" t="s">
        <v>481</v>
      </c>
      <c r="D144" s="172" t="s">
        <v>328</v>
      </c>
      <c r="E144" s="173" t="s">
        <v>346</v>
      </c>
      <c r="F144" s="172" t="s">
        <v>330</v>
      </c>
      <c r="G144" s="172">
        <v>45.0</v>
      </c>
      <c r="H144" s="174"/>
      <c r="I144" s="174">
        <v>44553.0</v>
      </c>
      <c r="J144" s="174">
        <v>44748.0</v>
      </c>
      <c r="K144" s="175">
        <f t="shared" si="17"/>
        <v>45844</v>
      </c>
      <c r="L144" s="176" t="str">
        <f t="shared" si="2"/>
        <v>Overdue</v>
      </c>
      <c r="M144" s="174"/>
      <c r="N144" s="146"/>
      <c r="O144" s="146"/>
      <c r="P144" s="146"/>
      <c r="Q144" s="146"/>
      <c r="R144" s="146"/>
      <c r="S144" s="146"/>
      <c r="T144" s="146"/>
      <c r="U144" s="146"/>
      <c r="V144" s="146"/>
      <c r="W144" s="146"/>
      <c r="X144" s="146"/>
      <c r="Y144" s="146"/>
      <c r="Z144" s="146"/>
      <c r="AA144" s="146"/>
      <c r="AB144" s="146"/>
      <c r="AC144" s="146"/>
      <c r="AD144" s="146"/>
      <c r="AE144" s="146"/>
      <c r="AF144" s="146"/>
      <c r="AG144" s="146"/>
      <c r="AH144" s="146"/>
      <c r="AI144" s="146"/>
      <c r="AJ144" s="146"/>
      <c r="AK144" s="146"/>
      <c r="AL144" s="146"/>
      <c r="AM144" s="146"/>
      <c r="AN144" s="146"/>
      <c r="AO144" s="146"/>
      <c r="AP144" s="146"/>
      <c r="AQ144" s="146"/>
      <c r="AR144" s="146"/>
      <c r="AS144" s="146"/>
      <c r="AT144" s="146"/>
      <c r="AU144" s="146"/>
      <c r="AV144" s="146"/>
      <c r="AW144" s="146"/>
      <c r="AX144" s="146"/>
      <c r="AY144" s="146"/>
      <c r="AZ144" s="146"/>
      <c r="BA144" s="146"/>
      <c r="BB144" s="146"/>
      <c r="BC144" s="146"/>
      <c r="BD144" s="146"/>
      <c r="BE144" s="146"/>
      <c r="BF144" s="146"/>
      <c r="BG144" s="146"/>
      <c r="BH144" s="146"/>
      <c r="BI144" s="146"/>
      <c r="BJ144" s="146"/>
      <c r="BK144" s="146"/>
      <c r="BL144" s="146"/>
      <c r="BM144" s="146"/>
      <c r="BN144" s="146"/>
      <c r="BO144" s="146"/>
      <c r="BP144" s="146"/>
      <c r="BQ144" s="146"/>
      <c r="BR144" s="146"/>
      <c r="BS144" s="146"/>
      <c r="BT144" s="146"/>
      <c r="BU144" s="146"/>
      <c r="BV144" s="146"/>
      <c r="BW144" s="146"/>
      <c r="BX144" s="146"/>
      <c r="BY144" s="146"/>
      <c r="BZ144" s="146"/>
      <c r="CA144" s="146"/>
      <c r="CB144" s="146"/>
      <c r="CC144" s="146"/>
      <c r="CD144" s="146"/>
      <c r="CE144" s="146"/>
      <c r="CF144" s="146"/>
      <c r="CG144" s="146"/>
      <c r="CH144" s="146"/>
      <c r="CI144" s="146"/>
      <c r="CJ144" s="146"/>
      <c r="CK144" s="146"/>
      <c r="CL144" s="146"/>
      <c r="CM144" s="146"/>
      <c r="CN144" s="146"/>
      <c r="CO144" s="146"/>
      <c r="CP144" s="146"/>
      <c r="CQ144" s="146"/>
      <c r="CR144" s="146"/>
      <c r="CS144" s="146"/>
      <c r="CT144" s="146"/>
      <c r="CU144" s="146"/>
      <c r="CV144" s="146"/>
      <c r="CW144" s="146"/>
      <c r="CX144" s="146"/>
      <c r="CY144" s="146"/>
      <c r="CZ144" s="146"/>
      <c r="DA144" s="146"/>
      <c r="DB144" s="146"/>
      <c r="DC144" s="146"/>
      <c r="DD144" s="146"/>
      <c r="DE144" s="146"/>
      <c r="DF144" s="146"/>
      <c r="DG144" s="146"/>
      <c r="DH144" s="146"/>
      <c r="DI144" s="146"/>
      <c r="DJ144" s="146"/>
      <c r="DK144" s="146"/>
      <c r="DL144" s="146"/>
      <c r="DM144" s="146"/>
      <c r="DN144" s="146"/>
      <c r="DO144" s="146"/>
      <c r="DP144" s="146"/>
      <c r="DQ144" s="146"/>
      <c r="DR144" s="146"/>
      <c r="DS144" s="146"/>
      <c r="DT144" s="146"/>
      <c r="DU144" s="146"/>
      <c r="DV144" s="146"/>
      <c r="DW144" s="146"/>
      <c r="DX144" s="146"/>
      <c r="DY144" s="146"/>
      <c r="DZ144" s="146"/>
      <c r="EA144" s="146"/>
      <c r="EB144" s="146"/>
      <c r="EC144" s="146"/>
      <c r="ED144" s="146"/>
      <c r="EE144" s="146"/>
      <c r="EF144" s="146"/>
      <c r="EG144" s="146"/>
      <c r="EH144" s="146"/>
      <c r="EI144" s="146"/>
      <c r="EJ144" s="146"/>
      <c r="EK144" s="146"/>
      <c r="EL144" s="146"/>
      <c r="EM144" s="146"/>
      <c r="EN144" s="146"/>
      <c r="EO144" s="146"/>
      <c r="EP144" s="146"/>
      <c r="EQ144" s="146"/>
    </row>
    <row r="145">
      <c r="A145" s="177" t="s">
        <v>249</v>
      </c>
      <c r="B145" s="178" t="s">
        <v>462</v>
      </c>
      <c r="C145" s="179" t="s">
        <v>466</v>
      </c>
      <c r="D145" s="178" t="s">
        <v>328</v>
      </c>
      <c r="E145" s="179" t="s">
        <v>464</v>
      </c>
      <c r="F145" s="178" t="s">
        <v>330</v>
      </c>
      <c r="G145" s="178">
        <v>400.0</v>
      </c>
      <c r="H145" s="180">
        <v>45731.0</v>
      </c>
      <c r="I145" s="180">
        <v>45910.0</v>
      </c>
      <c r="J145" s="180">
        <v>45999.0</v>
      </c>
      <c r="K145" s="175">
        <f t="shared" si="17"/>
        <v>47095</v>
      </c>
      <c r="L145" s="176" t="str">
        <f t="shared" si="2"/>
        <v>Ok</v>
      </c>
      <c r="M145" s="180"/>
      <c r="N145" s="146"/>
      <c r="O145" s="146"/>
      <c r="P145" s="146"/>
      <c r="Q145" s="146"/>
      <c r="R145" s="146"/>
      <c r="S145" s="146"/>
      <c r="T145" s="146"/>
      <c r="U145" s="146"/>
      <c r="V145" s="146"/>
      <c r="W145" s="146"/>
      <c r="X145" s="146"/>
      <c r="Y145" s="146"/>
      <c r="Z145" s="146"/>
      <c r="AA145" s="146"/>
      <c r="AB145" s="146"/>
      <c r="AC145" s="146"/>
      <c r="AD145" s="146"/>
      <c r="AE145" s="146"/>
      <c r="AF145" s="146"/>
      <c r="AG145" s="146"/>
      <c r="AH145" s="146"/>
      <c r="AI145" s="146"/>
      <c r="AJ145" s="146"/>
      <c r="AK145" s="146"/>
      <c r="AL145" s="146"/>
      <c r="AM145" s="146"/>
      <c r="AN145" s="146"/>
      <c r="AO145" s="146"/>
      <c r="AP145" s="146"/>
      <c r="AQ145" s="146"/>
      <c r="AR145" s="146"/>
      <c r="AS145" s="146"/>
      <c r="AT145" s="146"/>
      <c r="AU145" s="146"/>
      <c r="AV145" s="146"/>
      <c r="AW145" s="146"/>
      <c r="AX145" s="146"/>
      <c r="AY145" s="146"/>
      <c r="AZ145" s="146"/>
      <c r="BA145" s="146"/>
      <c r="BB145" s="146"/>
      <c r="BC145" s="146"/>
      <c r="BD145" s="146"/>
      <c r="BE145" s="146"/>
      <c r="BF145" s="146"/>
      <c r="BG145" s="146"/>
      <c r="BH145" s="146"/>
      <c r="BI145" s="146"/>
      <c r="BJ145" s="146"/>
      <c r="BK145" s="146"/>
      <c r="BL145" s="146"/>
      <c r="BM145" s="146"/>
      <c r="BN145" s="146"/>
      <c r="BO145" s="146"/>
      <c r="BP145" s="146"/>
      <c r="BQ145" s="146"/>
      <c r="BR145" s="146"/>
      <c r="BS145" s="146"/>
      <c r="BT145" s="146"/>
      <c r="BU145" s="146"/>
      <c r="BV145" s="146"/>
      <c r="BW145" s="146"/>
      <c r="BX145" s="146"/>
      <c r="BY145" s="146"/>
      <c r="BZ145" s="146"/>
      <c r="CA145" s="146"/>
      <c r="CB145" s="146"/>
      <c r="CC145" s="146"/>
      <c r="CD145" s="146"/>
      <c r="CE145" s="146"/>
      <c r="CF145" s="146"/>
      <c r="CG145" s="146"/>
      <c r="CH145" s="146"/>
      <c r="CI145" s="146"/>
      <c r="CJ145" s="146"/>
      <c r="CK145" s="146"/>
      <c r="CL145" s="146"/>
      <c r="CM145" s="146"/>
      <c r="CN145" s="146"/>
      <c r="CO145" s="146"/>
      <c r="CP145" s="146"/>
      <c r="CQ145" s="146"/>
      <c r="CR145" s="146"/>
      <c r="CS145" s="146"/>
      <c r="CT145" s="146"/>
      <c r="CU145" s="146"/>
      <c r="CV145" s="146"/>
      <c r="CW145" s="146"/>
      <c r="CX145" s="146"/>
      <c r="CY145" s="146"/>
      <c r="CZ145" s="146"/>
      <c r="DA145" s="146"/>
      <c r="DB145" s="146"/>
      <c r="DC145" s="146"/>
      <c r="DD145" s="146"/>
      <c r="DE145" s="146"/>
      <c r="DF145" s="146"/>
      <c r="DG145" s="146"/>
      <c r="DH145" s="146"/>
      <c r="DI145" s="146"/>
      <c r="DJ145" s="146"/>
      <c r="DK145" s="146"/>
      <c r="DL145" s="146"/>
      <c r="DM145" s="146"/>
      <c r="DN145" s="146"/>
      <c r="DO145" s="146"/>
      <c r="DP145" s="146"/>
      <c r="DQ145" s="146"/>
      <c r="DR145" s="146"/>
      <c r="DS145" s="146"/>
      <c r="DT145" s="146"/>
      <c r="DU145" s="146"/>
      <c r="DV145" s="146"/>
      <c r="DW145" s="146"/>
      <c r="DX145" s="146"/>
      <c r="DY145" s="146"/>
      <c r="DZ145" s="146"/>
      <c r="EA145" s="146"/>
      <c r="EB145" s="146"/>
      <c r="EC145" s="146"/>
      <c r="ED145" s="146"/>
      <c r="EE145" s="146"/>
      <c r="EF145" s="146"/>
      <c r="EG145" s="146"/>
      <c r="EH145" s="146"/>
      <c r="EI145" s="146"/>
      <c r="EJ145" s="146"/>
      <c r="EK145" s="146"/>
      <c r="EL145" s="146"/>
      <c r="EM145" s="146"/>
      <c r="EN145" s="146"/>
      <c r="EO145" s="146"/>
      <c r="EP145" s="146"/>
      <c r="EQ145" s="146"/>
    </row>
    <row r="146">
      <c r="A146" s="171" t="s">
        <v>250</v>
      </c>
      <c r="B146" s="172" t="s">
        <v>465</v>
      </c>
      <c r="C146" s="173" t="s">
        <v>463</v>
      </c>
      <c r="D146" s="172" t="s">
        <v>328</v>
      </c>
      <c r="E146" s="173" t="s">
        <v>464</v>
      </c>
      <c r="F146" s="172" t="s">
        <v>330</v>
      </c>
      <c r="G146" s="172">
        <v>400.0</v>
      </c>
      <c r="H146" s="174">
        <v>45731.0</v>
      </c>
      <c r="I146" s="174">
        <v>45910.0</v>
      </c>
      <c r="J146" s="174">
        <v>45999.0</v>
      </c>
      <c r="K146" s="175">
        <f t="shared" si="17"/>
        <v>47095</v>
      </c>
      <c r="L146" s="176" t="str">
        <f t="shared" si="2"/>
        <v>Ok</v>
      </c>
      <c r="M146" s="174"/>
      <c r="N146" s="146"/>
      <c r="O146" s="146"/>
      <c r="P146" s="146"/>
      <c r="Q146" s="146"/>
      <c r="R146" s="146"/>
      <c r="S146" s="146"/>
      <c r="T146" s="146"/>
      <c r="U146" s="146"/>
      <c r="V146" s="146"/>
      <c r="W146" s="146"/>
      <c r="X146" s="146"/>
      <c r="Y146" s="146"/>
      <c r="Z146" s="146"/>
      <c r="AA146" s="146"/>
      <c r="AB146" s="146"/>
      <c r="AC146" s="146"/>
      <c r="AD146" s="146"/>
      <c r="AE146" s="146"/>
      <c r="AF146" s="146"/>
      <c r="AG146" s="146"/>
      <c r="AH146" s="146"/>
      <c r="AI146" s="146"/>
      <c r="AJ146" s="146"/>
      <c r="AK146" s="146"/>
      <c r="AL146" s="146"/>
      <c r="AM146" s="146"/>
      <c r="AN146" s="146"/>
      <c r="AO146" s="146"/>
      <c r="AP146" s="146"/>
      <c r="AQ146" s="146"/>
      <c r="AR146" s="146"/>
      <c r="AS146" s="146"/>
      <c r="AT146" s="146"/>
      <c r="AU146" s="146"/>
      <c r="AV146" s="146"/>
      <c r="AW146" s="146"/>
      <c r="AX146" s="146"/>
      <c r="AY146" s="146"/>
      <c r="AZ146" s="146"/>
      <c r="BA146" s="146"/>
      <c r="BB146" s="146"/>
      <c r="BC146" s="146"/>
      <c r="BD146" s="146"/>
      <c r="BE146" s="146"/>
      <c r="BF146" s="146"/>
      <c r="BG146" s="146"/>
      <c r="BH146" s="146"/>
      <c r="BI146" s="146"/>
      <c r="BJ146" s="146"/>
      <c r="BK146" s="146"/>
      <c r="BL146" s="146"/>
      <c r="BM146" s="146"/>
      <c r="BN146" s="146"/>
      <c r="BO146" s="146"/>
      <c r="BP146" s="146"/>
      <c r="BQ146" s="146"/>
      <c r="BR146" s="146"/>
      <c r="BS146" s="146"/>
      <c r="BT146" s="146"/>
      <c r="BU146" s="146"/>
      <c r="BV146" s="146"/>
      <c r="BW146" s="146"/>
      <c r="BX146" s="146"/>
      <c r="BY146" s="146"/>
      <c r="BZ146" s="146"/>
      <c r="CA146" s="146"/>
      <c r="CB146" s="146"/>
      <c r="CC146" s="146"/>
      <c r="CD146" s="146"/>
      <c r="CE146" s="146"/>
      <c r="CF146" s="146"/>
      <c r="CG146" s="146"/>
      <c r="CH146" s="146"/>
      <c r="CI146" s="146"/>
      <c r="CJ146" s="146"/>
      <c r="CK146" s="146"/>
      <c r="CL146" s="146"/>
      <c r="CM146" s="146"/>
      <c r="CN146" s="146"/>
      <c r="CO146" s="146"/>
      <c r="CP146" s="146"/>
      <c r="CQ146" s="146"/>
      <c r="CR146" s="146"/>
      <c r="CS146" s="146"/>
      <c r="CT146" s="146"/>
      <c r="CU146" s="146"/>
      <c r="CV146" s="146"/>
      <c r="CW146" s="146"/>
      <c r="CX146" s="146"/>
      <c r="CY146" s="146"/>
      <c r="CZ146" s="146"/>
      <c r="DA146" s="146"/>
      <c r="DB146" s="146"/>
      <c r="DC146" s="146"/>
      <c r="DD146" s="146"/>
      <c r="DE146" s="146"/>
      <c r="DF146" s="146"/>
      <c r="DG146" s="146"/>
      <c r="DH146" s="146"/>
      <c r="DI146" s="146"/>
      <c r="DJ146" s="146"/>
      <c r="DK146" s="146"/>
      <c r="DL146" s="146"/>
      <c r="DM146" s="146"/>
      <c r="DN146" s="146"/>
      <c r="DO146" s="146"/>
      <c r="DP146" s="146"/>
      <c r="DQ146" s="146"/>
      <c r="DR146" s="146"/>
      <c r="DS146" s="146"/>
      <c r="DT146" s="146"/>
      <c r="DU146" s="146"/>
      <c r="DV146" s="146"/>
      <c r="DW146" s="146"/>
      <c r="DX146" s="146"/>
      <c r="DY146" s="146"/>
      <c r="DZ146" s="146"/>
      <c r="EA146" s="146"/>
      <c r="EB146" s="146"/>
      <c r="EC146" s="146"/>
      <c r="ED146" s="146"/>
      <c r="EE146" s="146"/>
      <c r="EF146" s="146"/>
      <c r="EG146" s="146"/>
      <c r="EH146" s="146"/>
      <c r="EI146" s="146"/>
      <c r="EJ146" s="146"/>
      <c r="EK146" s="146"/>
      <c r="EL146" s="146"/>
      <c r="EM146" s="146"/>
      <c r="EN146" s="146"/>
      <c r="EO146" s="146"/>
      <c r="EP146" s="146"/>
      <c r="EQ146" s="146"/>
    </row>
    <row r="147">
      <c r="A147" s="184" t="s">
        <v>251</v>
      </c>
      <c r="B147" s="178" t="s">
        <v>482</v>
      </c>
      <c r="C147" s="179" t="s">
        <v>483</v>
      </c>
      <c r="D147" s="178" t="s">
        <v>328</v>
      </c>
      <c r="E147" s="179" t="s">
        <v>464</v>
      </c>
      <c r="F147" s="178" t="s">
        <v>330</v>
      </c>
      <c r="G147" s="178">
        <v>1400.0</v>
      </c>
      <c r="H147" s="180">
        <v>45731.0</v>
      </c>
      <c r="I147" s="180">
        <v>45910.0</v>
      </c>
      <c r="J147" s="180">
        <v>45999.0</v>
      </c>
      <c r="K147" s="175">
        <f t="shared" si="17"/>
        <v>47095</v>
      </c>
      <c r="L147" s="176" t="str">
        <f t="shared" si="2"/>
        <v>Ok</v>
      </c>
      <c r="M147" s="180"/>
      <c r="N147" s="146"/>
      <c r="O147" s="146"/>
      <c r="P147" s="146"/>
      <c r="Q147" s="146"/>
      <c r="R147" s="146"/>
      <c r="S147" s="146"/>
      <c r="T147" s="146"/>
      <c r="U147" s="146"/>
      <c r="V147" s="146"/>
      <c r="W147" s="146"/>
      <c r="X147" s="146"/>
      <c r="Y147" s="146"/>
      <c r="Z147" s="146"/>
      <c r="AA147" s="146"/>
      <c r="AB147" s="146"/>
      <c r="AC147" s="146"/>
      <c r="AD147" s="146"/>
      <c r="AE147" s="146"/>
      <c r="AF147" s="146"/>
      <c r="AG147" s="146"/>
      <c r="AH147" s="146"/>
      <c r="AI147" s="146"/>
      <c r="AJ147" s="146"/>
      <c r="AK147" s="146"/>
      <c r="AL147" s="146"/>
      <c r="AM147" s="146"/>
      <c r="AN147" s="146"/>
      <c r="AO147" s="146"/>
      <c r="AP147" s="146"/>
      <c r="AQ147" s="146"/>
      <c r="AR147" s="146"/>
      <c r="AS147" s="146"/>
      <c r="AT147" s="146"/>
      <c r="AU147" s="146"/>
      <c r="AV147" s="146"/>
      <c r="AW147" s="146"/>
      <c r="AX147" s="146"/>
      <c r="AY147" s="146"/>
      <c r="AZ147" s="146"/>
      <c r="BA147" s="146"/>
      <c r="BB147" s="146"/>
      <c r="BC147" s="146"/>
      <c r="BD147" s="146"/>
      <c r="BE147" s="146"/>
      <c r="BF147" s="146"/>
      <c r="BG147" s="146"/>
      <c r="BH147" s="146"/>
      <c r="BI147" s="146"/>
      <c r="BJ147" s="146"/>
      <c r="BK147" s="146"/>
      <c r="BL147" s="146"/>
      <c r="BM147" s="146"/>
      <c r="BN147" s="146"/>
      <c r="BO147" s="146"/>
      <c r="BP147" s="146"/>
      <c r="BQ147" s="146"/>
      <c r="BR147" s="146"/>
      <c r="BS147" s="146"/>
      <c r="BT147" s="146"/>
      <c r="BU147" s="146"/>
      <c r="BV147" s="146"/>
      <c r="BW147" s="146"/>
      <c r="BX147" s="146"/>
      <c r="BY147" s="146"/>
      <c r="BZ147" s="146"/>
      <c r="CA147" s="146"/>
      <c r="CB147" s="146"/>
      <c r="CC147" s="146"/>
      <c r="CD147" s="146"/>
      <c r="CE147" s="146"/>
      <c r="CF147" s="146"/>
      <c r="CG147" s="146"/>
      <c r="CH147" s="146"/>
      <c r="CI147" s="146"/>
      <c r="CJ147" s="146"/>
      <c r="CK147" s="146"/>
      <c r="CL147" s="146"/>
      <c r="CM147" s="146"/>
      <c r="CN147" s="146"/>
      <c r="CO147" s="146"/>
      <c r="CP147" s="146"/>
      <c r="CQ147" s="146"/>
      <c r="CR147" s="146"/>
      <c r="CS147" s="146"/>
      <c r="CT147" s="146"/>
      <c r="CU147" s="146"/>
      <c r="CV147" s="146"/>
      <c r="CW147" s="146"/>
      <c r="CX147" s="146"/>
      <c r="CY147" s="146"/>
      <c r="CZ147" s="146"/>
      <c r="DA147" s="146"/>
      <c r="DB147" s="146"/>
      <c r="DC147" s="146"/>
      <c r="DD147" s="146"/>
      <c r="DE147" s="146"/>
      <c r="DF147" s="146"/>
      <c r="DG147" s="146"/>
      <c r="DH147" s="146"/>
      <c r="DI147" s="146"/>
      <c r="DJ147" s="146"/>
      <c r="DK147" s="146"/>
      <c r="DL147" s="146"/>
      <c r="DM147" s="146"/>
      <c r="DN147" s="146"/>
      <c r="DO147" s="146"/>
      <c r="DP147" s="146"/>
      <c r="DQ147" s="146"/>
      <c r="DR147" s="146"/>
      <c r="DS147" s="146"/>
      <c r="DT147" s="146"/>
      <c r="DU147" s="146"/>
      <c r="DV147" s="146"/>
      <c r="DW147" s="146"/>
      <c r="DX147" s="146"/>
      <c r="DY147" s="146"/>
      <c r="DZ147" s="146"/>
      <c r="EA147" s="146"/>
      <c r="EB147" s="146"/>
      <c r="EC147" s="146"/>
      <c r="ED147" s="146"/>
      <c r="EE147" s="146"/>
      <c r="EF147" s="146"/>
      <c r="EG147" s="146"/>
      <c r="EH147" s="146"/>
      <c r="EI147" s="146"/>
      <c r="EJ147" s="146"/>
      <c r="EK147" s="146"/>
      <c r="EL147" s="146"/>
      <c r="EM147" s="146"/>
      <c r="EN147" s="146"/>
      <c r="EO147" s="146"/>
      <c r="EP147" s="146"/>
      <c r="EQ147" s="146"/>
    </row>
    <row r="148">
      <c r="A148" s="185" t="s">
        <v>252</v>
      </c>
      <c r="B148" s="172" t="s">
        <v>484</v>
      </c>
      <c r="C148" s="173" t="s">
        <v>485</v>
      </c>
      <c r="D148" s="172" t="s">
        <v>328</v>
      </c>
      <c r="E148" s="173" t="s">
        <v>464</v>
      </c>
      <c r="F148" s="172" t="s">
        <v>330</v>
      </c>
      <c r="G148" s="172">
        <v>800.0</v>
      </c>
      <c r="H148" s="174">
        <v>45731.0</v>
      </c>
      <c r="I148" s="174">
        <v>45910.0</v>
      </c>
      <c r="J148" s="174">
        <v>45999.0</v>
      </c>
      <c r="K148" s="175">
        <f t="shared" si="17"/>
        <v>47095</v>
      </c>
      <c r="L148" s="176" t="str">
        <f t="shared" si="2"/>
        <v>Ok</v>
      </c>
      <c r="M148" s="174"/>
      <c r="N148" s="146"/>
      <c r="O148" s="146"/>
      <c r="P148" s="146"/>
      <c r="Q148" s="146"/>
      <c r="R148" s="146"/>
      <c r="S148" s="146"/>
      <c r="T148" s="146"/>
      <c r="U148" s="146"/>
      <c r="V148" s="146"/>
      <c r="W148" s="146"/>
      <c r="X148" s="146"/>
      <c r="Y148" s="146"/>
      <c r="Z148" s="146"/>
      <c r="AA148" s="146"/>
      <c r="AB148" s="146"/>
      <c r="AC148" s="146"/>
      <c r="AD148" s="146"/>
      <c r="AE148" s="146"/>
      <c r="AF148" s="146"/>
      <c r="AG148" s="146"/>
      <c r="AH148" s="146"/>
      <c r="AI148" s="146"/>
      <c r="AJ148" s="146"/>
      <c r="AK148" s="146"/>
      <c r="AL148" s="146"/>
      <c r="AM148" s="146"/>
      <c r="AN148" s="146"/>
      <c r="AO148" s="146"/>
      <c r="AP148" s="146"/>
      <c r="AQ148" s="146"/>
      <c r="AR148" s="146"/>
      <c r="AS148" s="146"/>
      <c r="AT148" s="146"/>
      <c r="AU148" s="146"/>
      <c r="AV148" s="146"/>
      <c r="AW148" s="146"/>
      <c r="AX148" s="146"/>
      <c r="AY148" s="146"/>
      <c r="AZ148" s="146"/>
      <c r="BA148" s="146"/>
      <c r="BB148" s="146"/>
      <c r="BC148" s="146"/>
      <c r="BD148" s="146"/>
      <c r="BE148" s="146"/>
      <c r="BF148" s="146"/>
      <c r="BG148" s="146"/>
      <c r="BH148" s="146"/>
      <c r="BI148" s="146"/>
      <c r="BJ148" s="146"/>
      <c r="BK148" s="146"/>
      <c r="BL148" s="146"/>
      <c r="BM148" s="146"/>
      <c r="BN148" s="146"/>
      <c r="BO148" s="146"/>
      <c r="BP148" s="146"/>
      <c r="BQ148" s="146"/>
      <c r="BR148" s="146"/>
      <c r="BS148" s="146"/>
      <c r="BT148" s="146"/>
      <c r="BU148" s="146"/>
      <c r="BV148" s="146"/>
      <c r="BW148" s="146"/>
      <c r="BX148" s="146"/>
      <c r="BY148" s="146"/>
      <c r="BZ148" s="146"/>
      <c r="CA148" s="146"/>
      <c r="CB148" s="146"/>
      <c r="CC148" s="146"/>
      <c r="CD148" s="146"/>
      <c r="CE148" s="146"/>
      <c r="CF148" s="146"/>
      <c r="CG148" s="146"/>
      <c r="CH148" s="146"/>
      <c r="CI148" s="146"/>
      <c r="CJ148" s="146"/>
      <c r="CK148" s="146"/>
      <c r="CL148" s="146"/>
      <c r="CM148" s="146"/>
      <c r="CN148" s="146"/>
      <c r="CO148" s="146"/>
      <c r="CP148" s="146"/>
      <c r="CQ148" s="146"/>
      <c r="CR148" s="146"/>
      <c r="CS148" s="146"/>
      <c r="CT148" s="146"/>
      <c r="CU148" s="146"/>
      <c r="CV148" s="146"/>
      <c r="CW148" s="146"/>
      <c r="CX148" s="146"/>
      <c r="CY148" s="146"/>
      <c r="CZ148" s="146"/>
      <c r="DA148" s="146"/>
      <c r="DB148" s="146"/>
      <c r="DC148" s="146"/>
      <c r="DD148" s="146"/>
      <c r="DE148" s="146"/>
      <c r="DF148" s="146"/>
      <c r="DG148" s="146"/>
      <c r="DH148" s="146"/>
      <c r="DI148" s="146"/>
      <c r="DJ148" s="146"/>
      <c r="DK148" s="146"/>
      <c r="DL148" s="146"/>
      <c r="DM148" s="146"/>
      <c r="DN148" s="146"/>
      <c r="DO148" s="146"/>
      <c r="DP148" s="146"/>
      <c r="DQ148" s="146"/>
      <c r="DR148" s="146"/>
      <c r="DS148" s="146"/>
      <c r="DT148" s="146"/>
      <c r="DU148" s="146"/>
      <c r="DV148" s="146"/>
      <c r="DW148" s="146"/>
      <c r="DX148" s="146"/>
      <c r="DY148" s="146"/>
      <c r="DZ148" s="146"/>
      <c r="EA148" s="146"/>
      <c r="EB148" s="146"/>
      <c r="EC148" s="146"/>
      <c r="ED148" s="146"/>
      <c r="EE148" s="146"/>
      <c r="EF148" s="146"/>
      <c r="EG148" s="146"/>
      <c r="EH148" s="146"/>
      <c r="EI148" s="146"/>
      <c r="EJ148" s="146"/>
      <c r="EK148" s="146"/>
      <c r="EL148" s="146"/>
      <c r="EM148" s="146"/>
      <c r="EN148" s="146"/>
      <c r="EO148" s="146"/>
      <c r="EP148" s="146"/>
      <c r="EQ148" s="146"/>
    </row>
    <row r="149">
      <c r="A149" s="177" t="s">
        <v>253</v>
      </c>
      <c r="B149" s="178" t="s">
        <v>479</v>
      </c>
      <c r="C149" s="179" t="s">
        <v>486</v>
      </c>
      <c r="D149" s="178" t="s">
        <v>328</v>
      </c>
      <c r="E149" s="179" t="s">
        <v>337</v>
      </c>
      <c r="F149" s="178" t="s">
        <v>330</v>
      </c>
      <c r="G149" s="178">
        <v>62.0</v>
      </c>
      <c r="H149" s="180"/>
      <c r="I149" s="180">
        <v>44044.0</v>
      </c>
      <c r="J149" s="180">
        <v>44825.0</v>
      </c>
      <c r="K149" s="175">
        <f t="shared" si="17"/>
        <v>45921</v>
      </c>
      <c r="L149" s="176" t="str">
        <f t="shared" si="2"/>
        <v>Overdue</v>
      </c>
      <c r="M149" s="180"/>
      <c r="N149" s="146"/>
      <c r="O149" s="146"/>
      <c r="P149" s="146"/>
      <c r="Q149" s="146"/>
      <c r="R149" s="146"/>
      <c r="S149" s="146"/>
      <c r="T149" s="146"/>
      <c r="U149" s="146"/>
      <c r="V149" s="146"/>
      <c r="W149" s="146"/>
      <c r="X149" s="146"/>
      <c r="Y149" s="146"/>
      <c r="Z149" s="146"/>
      <c r="AA149" s="146"/>
      <c r="AB149" s="146"/>
      <c r="AC149" s="146"/>
      <c r="AD149" s="146"/>
      <c r="AE149" s="146"/>
      <c r="AF149" s="146"/>
      <c r="AG149" s="146"/>
      <c r="AH149" s="146"/>
      <c r="AI149" s="146"/>
      <c r="AJ149" s="146"/>
      <c r="AK149" s="146"/>
      <c r="AL149" s="146"/>
      <c r="AM149" s="146"/>
      <c r="AN149" s="146"/>
      <c r="AO149" s="146"/>
      <c r="AP149" s="146"/>
      <c r="AQ149" s="146"/>
      <c r="AR149" s="146"/>
      <c r="AS149" s="146"/>
      <c r="AT149" s="146"/>
      <c r="AU149" s="146"/>
      <c r="AV149" s="146"/>
      <c r="AW149" s="146"/>
      <c r="AX149" s="146"/>
      <c r="AY149" s="146"/>
      <c r="AZ149" s="146"/>
      <c r="BA149" s="146"/>
      <c r="BB149" s="146"/>
      <c r="BC149" s="146"/>
      <c r="BD149" s="146"/>
      <c r="BE149" s="146"/>
      <c r="BF149" s="146"/>
      <c r="BG149" s="146"/>
      <c r="BH149" s="146"/>
      <c r="BI149" s="146"/>
      <c r="BJ149" s="146"/>
      <c r="BK149" s="146"/>
      <c r="BL149" s="146"/>
      <c r="BM149" s="146"/>
      <c r="BN149" s="146"/>
      <c r="BO149" s="146"/>
      <c r="BP149" s="146"/>
      <c r="BQ149" s="146"/>
      <c r="BR149" s="146"/>
      <c r="BS149" s="146"/>
      <c r="BT149" s="146"/>
      <c r="BU149" s="146"/>
      <c r="BV149" s="146"/>
      <c r="BW149" s="146"/>
      <c r="BX149" s="146"/>
      <c r="BY149" s="146"/>
      <c r="BZ149" s="146"/>
      <c r="CA149" s="146"/>
      <c r="CB149" s="146"/>
      <c r="CC149" s="146"/>
      <c r="CD149" s="146"/>
      <c r="CE149" s="146"/>
      <c r="CF149" s="146"/>
      <c r="CG149" s="146"/>
      <c r="CH149" s="146"/>
      <c r="CI149" s="146"/>
      <c r="CJ149" s="146"/>
      <c r="CK149" s="146"/>
      <c r="CL149" s="146"/>
      <c r="CM149" s="146"/>
      <c r="CN149" s="146"/>
      <c r="CO149" s="146"/>
      <c r="CP149" s="146"/>
      <c r="CQ149" s="146"/>
      <c r="CR149" s="146"/>
      <c r="CS149" s="146"/>
      <c r="CT149" s="146"/>
      <c r="CU149" s="146"/>
      <c r="CV149" s="146"/>
      <c r="CW149" s="146"/>
      <c r="CX149" s="146"/>
      <c r="CY149" s="146"/>
      <c r="CZ149" s="146"/>
      <c r="DA149" s="146"/>
      <c r="DB149" s="146"/>
      <c r="DC149" s="146"/>
      <c r="DD149" s="146"/>
      <c r="DE149" s="146"/>
      <c r="DF149" s="146"/>
      <c r="DG149" s="146"/>
      <c r="DH149" s="146"/>
      <c r="DI149" s="146"/>
      <c r="DJ149" s="146"/>
      <c r="DK149" s="146"/>
      <c r="DL149" s="146"/>
      <c r="DM149" s="146"/>
      <c r="DN149" s="146"/>
      <c r="DO149" s="146"/>
      <c r="DP149" s="146"/>
      <c r="DQ149" s="146"/>
      <c r="DR149" s="146"/>
      <c r="DS149" s="146"/>
      <c r="DT149" s="146"/>
      <c r="DU149" s="146"/>
      <c r="DV149" s="146"/>
      <c r="DW149" s="146"/>
      <c r="DX149" s="146"/>
      <c r="DY149" s="146"/>
      <c r="DZ149" s="146"/>
      <c r="EA149" s="146"/>
      <c r="EB149" s="146"/>
      <c r="EC149" s="146"/>
      <c r="ED149" s="146"/>
      <c r="EE149" s="146"/>
      <c r="EF149" s="146"/>
      <c r="EG149" s="146"/>
      <c r="EH149" s="146"/>
      <c r="EI149" s="146"/>
      <c r="EJ149" s="146"/>
      <c r="EK149" s="146"/>
      <c r="EL149" s="146"/>
      <c r="EM149" s="146"/>
      <c r="EN149" s="146"/>
      <c r="EO149" s="146"/>
      <c r="EP149" s="146"/>
      <c r="EQ149" s="146"/>
    </row>
    <row r="150">
      <c r="A150" s="171" t="s">
        <v>254</v>
      </c>
      <c r="B150" s="172"/>
      <c r="C150" s="173" t="s">
        <v>487</v>
      </c>
      <c r="D150" s="172" t="s">
        <v>328</v>
      </c>
      <c r="E150" s="173" t="s">
        <v>337</v>
      </c>
      <c r="F150" s="172" t="s">
        <v>330</v>
      </c>
      <c r="G150" s="172">
        <v>30.0</v>
      </c>
      <c r="H150" s="174"/>
      <c r="I150" s="174"/>
      <c r="J150" s="174">
        <v>44013.0</v>
      </c>
      <c r="K150" s="175">
        <f t="shared" si="17"/>
        <v>45108</v>
      </c>
      <c r="L150" s="176" t="str">
        <f t="shared" si="2"/>
        <v>Overdue</v>
      </c>
      <c r="M150" s="174"/>
      <c r="N150" s="146"/>
      <c r="O150" s="146"/>
      <c r="P150" s="146"/>
      <c r="Q150" s="146"/>
      <c r="R150" s="146"/>
      <c r="S150" s="146"/>
      <c r="T150" s="146"/>
      <c r="U150" s="146"/>
      <c r="V150" s="146"/>
      <c r="W150" s="146"/>
      <c r="X150" s="146"/>
      <c r="Y150" s="146"/>
      <c r="Z150" s="146"/>
      <c r="AA150" s="146"/>
      <c r="AB150" s="146"/>
      <c r="AC150" s="146"/>
      <c r="AD150" s="146"/>
      <c r="AE150" s="146"/>
      <c r="AF150" s="146"/>
      <c r="AG150" s="146"/>
      <c r="AH150" s="146"/>
      <c r="AI150" s="146"/>
      <c r="AJ150" s="146"/>
      <c r="AK150" s="146"/>
      <c r="AL150" s="146"/>
      <c r="AM150" s="146"/>
      <c r="AN150" s="146"/>
      <c r="AO150" s="146"/>
      <c r="AP150" s="146"/>
      <c r="AQ150" s="146"/>
      <c r="AR150" s="146"/>
      <c r="AS150" s="146"/>
      <c r="AT150" s="146"/>
      <c r="AU150" s="146"/>
      <c r="AV150" s="146"/>
      <c r="AW150" s="146"/>
      <c r="AX150" s="146"/>
      <c r="AY150" s="146"/>
      <c r="AZ150" s="146"/>
      <c r="BA150" s="146"/>
      <c r="BB150" s="146"/>
      <c r="BC150" s="146"/>
      <c r="BD150" s="146"/>
      <c r="BE150" s="146"/>
      <c r="BF150" s="146"/>
      <c r="BG150" s="146"/>
      <c r="BH150" s="146"/>
      <c r="BI150" s="146"/>
      <c r="BJ150" s="146"/>
      <c r="BK150" s="146"/>
      <c r="BL150" s="146"/>
      <c r="BM150" s="146"/>
      <c r="BN150" s="146"/>
      <c r="BO150" s="146"/>
      <c r="BP150" s="146"/>
      <c r="BQ150" s="146"/>
      <c r="BR150" s="146"/>
      <c r="BS150" s="146"/>
      <c r="BT150" s="146"/>
      <c r="BU150" s="146"/>
      <c r="BV150" s="146"/>
      <c r="BW150" s="146"/>
      <c r="BX150" s="146"/>
      <c r="BY150" s="146"/>
      <c r="BZ150" s="146"/>
      <c r="CA150" s="146"/>
      <c r="CB150" s="146"/>
      <c r="CC150" s="146"/>
      <c r="CD150" s="146"/>
      <c r="CE150" s="146"/>
      <c r="CF150" s="146"/>
      <c r="CG150" s="146"/>
      <c r="CH150" s="146"/>
      <c r="CI150" s="146"/>
      <c r="CJ150" s="146"/>
      <c r="CK150" s="146"/>
      <c r="CL150" s="146"/>
      <c r="CM150" s="146"/>
      <c r="CN150" s="146"/>
      <c r="CO150" s="146"/>
      <c r="CP150" s="146"/>
      <c r="CQ150" s="146"/>
      <c r="CR150" s="146"/>
      <c r="CS150" s="146"/>
      <c r="CT150" s="146"/>
      <c r="CU150" s="146"/>
      <c r="CV150" s="146"/>
      <c r="CW150" s="146"/>
      <c r="CX150" s="146"/>
      <c r="CY150" s="146"/>
      <c r="CZ150" s="146"/>
      <c r="DA150" s="146"/>
      <c r="DB150" s="146"/>
      <c r="DC150" s="146"/>
      <c r="DD150" s="146"/>
      <c r="DE150" s="146"/>
      <c r="DF150" s="146"/>
      <c r="DG150" s="146"/>
      <c r="DH150" s="146"/>
      <c r="DI150" s="146"/>
      <c r="DJ150" s="146"/>
      <c r="DK150" s="146"/>
      <c r="DL150" s="146"/>
      <c r="DM150" s="146"/>
      <c r="DN150" s="146"/>
      <c r="DO150" s="146"/>
      <c r="DP150" s="146"/>
      <c r="DQ150" s="146"/>
      <c r="DR150" s="146"/>
      <c r="DS150" s="146"/>
      <c r="DT150" s="146"/>
      <c r="DU150" s="146"/>
      <c r="DV150" s="146"/>
      <c r="DW150" s="146"/>
      <c r="DX150" s="146"/>
      <c r="DY150" s="146"/>
      <c r="DZ150" s="146"/>
      <c r="EA150" s="146"/>
      <c r="EB150" s="146"/>
      <c r="EC150" s="146"/>
      <c r="ED150" s="146"/>
      <c r="EE150" s="146"/>
      <c r="EF150" s="146"/>
      <c r="EG150" s="146"/>
      <c r="EH150" s="146"/>
      <c r="EI150" s="146"/>
      <c r="EJ150" s="146"/>
      <c r="EK150" s="146"/>
      <c r="EL150" s="146"/>
      <c r="EM150" s="146"/>
      <c r="EN150" s="146"/>
      <c r="EO150" s="146"/>
      <c r="EP150" s="146"/>
      <c r="EQ150" s="146"/>
    </row>
    <row r="151">
      <c r="A151" s="177" t="s">
        <v>255</v>
      </c>
      <c r="B151" s="178"/>
      <c r="C151" s="179" t="s">
        <v>488</v>
      </c>
      <c r="D151" s="178" t="s">
        <v>328</v>
      </c>
      <c r="E151" s="179" t="s">
        <v>337</v>
      </c>
      <c r="F151" s="178" t="s">
        <v>330</v>
      </c>
      <c r="G151" s="178">
        <v>30.0</v>
      </c>
      <c r="H151" s="180"/>
      <c r="I151" s="180"/>
      <c r="J151" s="180">
        <v>45328.0</v>
      </c>
      <c r="K151" s="175">
        <f t="shared" si="17"/>
        <v>46424</v>
      </c>
      <c r="L151" s="176" t="str">
        <f t="shared" si="2"/>
        <v>Ok</v>
      </c>
      <c r="M151" s="180"/>
      <c r="N151" s="146"/>
      <c r="O151" s="146"/>
      <c r="P151" s="146"/>
      <c r="Q151" s="146"/>
      <c r="R151" s="146"/>
      <c r="S151" s="146"/>
      <c r="T151" s="146"/>
      <c r="U151" s="146"/>
      <c r="V151" s="146"/>
      <c r="W151" s="146"/>
      <c r="X151" s="146"/>
      <c r="Y151" s="146"/>
      <c r="Z151" s="146"/>
      <c r="AA151" s="146"/>
      <c r="AB151" s="146"/>
      <c r="AC151" s="146"/>
      <c r="AD151" s="146"/>
      <c r="AE151" s="146"/>
      <c r="AF151" s="146"/>
      <c r="AG151" s="146"/>
      <c r="AH151" s="146"/>
      <c r="AI151" s="146"/>
      <c r="AJ151" s="146"/>
      <c r="AK151" s="146"/>
      <c r="AL151" s="146"/>
      <c r="AM151" s="146"/>
      <c r="AN151" s="146"/>
      <c r="AO151" s="146"/>
      <c r="AP151" s="146"/>
      <c r="AQ151" s="146"/>
      <c r="AR151" s="146"/>
      <c r="AS151" s="146"/>
      <c r="AT151" s="146"/>
      <c r="AU151" s="146"/>
      <c r="AV151" s="146"/>
      <c r="AW151" s="146"/>
      <c r="AX151" s="146"/>
      <c r="AY151" s="146"/>
      <c r="AZ151" s="146"/>
      <c r="BA151" s="146"/>
      <c r="BB151" s="146"/>
      <c r="BC151" s="146"/>
      <c r="BD151" s="146"/>
      <c r="BE151" s="146"/>
      <c r="BF151" s="146"/>
      <c r="BG151" s="146"/>
      <c r="BH151" s="146"/>
      <c r="BI151" s="146"/>
      <c r="BJ151" s="146"/>
      <c r="BK151" s="146"/>
      <c r="BL151" s="146"/>
      <c r="BM151" s="146"/>
      <c r="BN151" s="146"/>
      <c r="BO151" s="146"/>
      <c r="BP151" s="146"/>
      <c r="BQ151" s="146"/>
      <c r="BR151" s="146"/>
      <c r="BS151" s="146"/>
      <c r="BT151" s="146"/>
      <c r="BU151" s="146"/>
      <c r="BV151" s="146"/>
      <c r="BW151" s="146"/>
      <c r="BX151" s="146"/>
      <c r="BY151" s="146"/>
      <c r="BZ151" s="146"/>
      <c r="CA151" s="146"/>
      <c r="CB151" s="146"/>
      <c r="CC151" s="146"/>
      <c r="CD151" s="146"/>
      <c r="CE151" s="146"/>
      <c r="CF151" s="146"/>
      <c r="CG151" s="146"/>
      <c r="CH151" s="146"/>
      <c r="CI151" s="146"/>
      <c r="CJ151" s="146"/>
      <c r="CK151" s="146"/>
      <c r="CL151" s="146"/>
      <c r="CM151" s="146"/>
      <c r="CN151" s="146"/>
      <c r="CO151" s="146"/>
      <c r="CP151" s="146"/>
      <c r="CQ151" s="146"/>
      <c r="CR151" s="146"/>
      <c r="CS151" s="146"/>
      <c r="CT151" s="146"/>
      <c r="CU151" s="146"/>
      <c r="CV151" s="146"/>
      <c r="CW151" s="146"/>
      <c r="CX151" s="146"/>
      <c r="CY151" s="146"/>
      <c r="CZ151" s="146"/>
      <c r="DA151" s="146"/>
      <c r="DB151" s="146"/>
      <c r="DC151" s="146"/>
      <c r="DD151" s="146"/>
      <c r="DE151" s="146"/>
      <c r="DF151" s="146"/>
      <c r="DG151" s="146"/>
      <c r="DH151" s="146"/>
      <c r="DI151" s="146"/>
      <c r="DJ151" s="146"/>
      <c r="DK151" s="146"/>
      <c r="DL151" s="146"/>
      <c r="DM151" s="146"/>
      <c r="DN151" s="146"/>
      <c r="DO151" s="146"/>
      <c r="DP151" s="146"/>
      <c r="DQ151" s="146"/>
      <c r="DR151" s="146"/>
      <c r="DS151" s="146"/>
      <c r="DT151" s="146"/>
      <c r="DU151" s="146"/>
      <c r="DV151" s="146"/>
      <c r="DW151" s="146"/>
      <c r="DX151" s="146"/>
      <c r="DY151" s="146"/>
      <c r="DZ151" s="146"/>
      <c r="EA151" s="146"/>
      <c r="EB151" s="146"/>
      <c r="EC151" s="146"/>
      <c r="ED151" s="146"/>
      <c r="EE151" s="146"/>
      <c r="EF151" s="146"/>
      <c r="EG151" s="146"/>
      <c r="EH151" s="146"/>
      <c r="EI151" s="146"/>
      <c r="EJ151" s="146"/>
      <c r="EK151" s="146"/>
      <c r="EL151" s="146"/>
      <c r="EM151" s="146"/>
      <c r="EN151" s="146"/>
      <c r="EO151" s="146"/>
      <c r="EP151" s="146"/>
      <c r="EQ151" s="146"/>
    </row>
    <row r="152">
      <c r="A152" s="171" t="s">
        <v>256</v>
      </c>
      <c r="B152" s="172"/>
      <c r="C152" s="173" t="s">
        <v>489</v>
      </c>
      <c r="D152" s="172" t="s">
        <v>328</v>
      </c>
      <c r="E152" s="173" t="s">
        <v>337</v>
      </c>
      <c r="F152" s="172" t="s">
        <v>330</v>
      </c>
      <c r="G152" s="172">
        <v>30.0</v>
      </c>
      <c r="H152" s="174"/>
      <c r="I152" s="174"/>
      <c r="J152" s="174">
        <v>44044.0</v>
      </c>
      <c r="K152" s="175">
        <f t="shared" si="17"/>
        <v>45139</v>
      </c>
      <c r="L152" s="176" t="str">
        <f t="shared" si="2"/>
        <v>Overdue</v>
      </c>
      <c r="M152" s="174"/>
      <c r="N152" s="146"/>
      <c r="O152" s="146"/>
      <c r="P152" s="146"/>
      <c r="Q152" s="146"/>
      <c r="R152" s="146"/>
      <c r="S152" s="146"/>
      <c r="T152" s="146"/>
      <c r="U152" s="146"/>
      <c r="V152" s="146"/>
      <c r="W152" s="146"/>
      <c r="X152" s="146"/>
      <c r="Y152" s="146"/>
      <c r="Z152" s="146"/>
      <c r="AA152" s="146"/>
      <c r="AB152" s="146"/>
      <c r="AC152" s="146"/>
      <c r="AD152" s="146"/>
      <c r="AE152" s="146"/>
      <c r="AF152" s="146"/>
      <c r="AG152" s="146"/>
      <c r="AH152" s="146"/>
      <c r="AI152" s="146"/>
      <c r="AJ152" s="146"/>
      <c r="AK152" s="146"/>
      <c r="AL152" s="146"/>
      <c r="AM152" s="146"/>
      <c r="AN152" s="146"/>
      <c r="AO152" s="146"/>
      <c r="AP152" s="146"/>
      <c r="AQ152" s="146"/>
      <c r="AR152" s="146"/>
      <c r="AS152" s="146"/>
      <c r="AT152" s="146"/>
      <c r="AU152" s="146"/>
      <c r="AV152" s="146"/>
      <c r="AW152" s="146"/>
      <c r="AX152" s="146"/>
      <c r="AY152" s="146"/>
      <c r="AZ152" s="146"/>
      <c r="BA152" s="146"/>
      <c r="BB152" s="146"/>
      <c r="BC152" s="146"/>
      <c r="BD152" s="146"/>
      <c r="BE152" s="146"/>
      <c r="BF152" s="146"/>
      <c r="BG152" s="146"/>
      <c r="BH152" s="146"/>
      <c r="BI152" s="146"/>
      <c r="BJ152" s="146"/>
      <c r="BK152" s="146"/>
      <c r="BL152" s="146"/>
      <c r="BM152" s="146"/>
      <c r="BN152" s="146"/>
      <c r="BO152" s="146"/>
      <c r="BP152" s="146"/>
      <c r="BQ152" s="146"/>
      <c r="BR152" s="146"/>
      <c r="BS152" s="146"/>
      <c r="BT152" s="146"/>
      <c r="BU152" s="146"/>
      <c r="BV152" s="146"/>
      <c r="BW152" s="146"/>
      <c r="BX152" s="146"/>
      <c r="BY152" s="146"/>
      <c r="BZ152" s="146"/>
      <c r="CA152" s="146"/>
      <c r="CB152" s="146"/>
      <c r="CC152" s="146"/>
      <c r="CD152" s="146"/>
      <c r="CE152" s="146"/>
      <c r="CF152" s="146"/>
      <c r="CG152" s="146"/>
      <c r="CH152" s="146"/>
      <c r="CI152" s="146"/>
      <c r="CJ152" s="146"/>
      <c r="CK152" s="146"/>
      <c r="CL152" s="146"/>
      <c r="CM152" s="146"/>
      <c r="CN152" s="146"/>
      <c r="CO152" s="146"/>
      <c r="CP152" s="146"/>
      <c r="CQ152" s="146"/>
      <c r="CR152" s="146"/>
      <c r="CS152" s="146"/>
      <c r="CT152" s="146"/>
      <c r="CU152" s="146"/>
      <c r="CV152" s="146"/>
      <c r="CW152" s="146"/>
      <c r="CX152" s="146"/>
      <c r="CY152" s="146"/>
      <c r="CZ152" s="146"/>
      <c r="DA152" s="146"/>
      <c r="DB152" s="146"/>
      <c r="DC152" s="146"/>
      <c r="DD152" s="146"/>
      <c r="DE152" s="146"/>
      <c r="DF152" s="146"/>
      <c r="DG152" s="146"/>
      <c r="DH152" s="146"/>
      <c r="DI152" s="146"/>
      <c r="DJ152" s="146"/>
      <c r="DK152" s="146"/>
      <c r="DL152" s="146"/>
      <c r="DM152" s="146"/>
      <c r="DN152" s="146"/>
      <c r="DO152" s="146"/>
      <c r="DP152" s="146"/>
      <c r="DQ152" s="146"/>
      <c r="DR152" s="146"/>
      <c r="DS152" s="146"/>
      <c r="DT152" s="146"/>
      <c r="DU152" s="146"/>
      <c r="DV152" s="146"/>
      <c r="DW152" s="146"/>
      <c r="DX152" s="146"/>
      <c r="DY152" s="146"/>
      <c r="DZ152" s="146"/>
      <c r="EA152" s="146"/>
      <c r="EB152" s="146"/>
      <c r="EC152" s="146"/>
      <c r="ED152" s="146"/>
      <c r="EE152" s="146"/>
      <c r="EF152" s="146"/>
      <c r="EG152" s="146"/>
      <c r="EH152" s="146"/>
      <c r="EI152" s="146"/>
      <c r="EJ152" s="146"/>
      <c r="EK152" s="146"/>
      <c r="EL152" s="146"/>
      <c r="EM152" s="146"/>
      <c r="EN152" s="146"/>
      <c r="EO152" s="146"/>
      <c r="EP152" s="146"/>
      <c r="EQ152" s="146"/>
    </row>
    <row r="153">
      <c r="A153" s="177" t="s">
        <v>257</v>
      </c>
      <c r="B153" s="178"/>
      <c r="C153" s="179" t="s">
        <v>490</v>
      </c>
      <c r="D153" s="178" t="s">
        <v>328</v>
      </c>
      <c r="E153" s="179" t="s">
        <v>337</v>
      </c>
      <c r="F153" s="178" t="s">
        <v>330</v>
      </c>
      <c r="G153" s="178">
        <v>30.0</v>
      </c>
      <c r="H153" s="180"/>
      <c r="I153" s="180"/>
      <c r="J153" s="180">
        <v>44044.0</v>
      </c>
      <c r="K153" s="175">
        <f t="shared" si="17"/>
        <v>45139</v>
      </c>
      <c r="L153" s="176" t="str">
        <f t="shared" si="2"/>
        <v>Overdue</v>
      </c>
      <c r="M153" s="180"/>
      <c r="N153" s="146"/>
      <c r="O153" s="146"/>
      <c r="P153" s="146"/>
      <c r="Q153" s="146"/>
      <c r="R153" s="146"/>
      <c r="S153" s="146"/>
      <c r="T153" s="146"/>
      <c r="U153" s="146"/>
      <c r="V153" s="146"/>
      <c r="W153" s="146"/>
      <c r="X153" s="146"/>
      <c r="Y153" s="146"/>
      <c r="Z153" s="146"/>
      <c r="AA153" s="146"/>
      <c r="AB153" s="146"/>
      <c r="AC153" s="146"/>
      <c r="AD153" s="146"/>
      <c r="AE153" s="146"/>
      <c r="AF153" s="146"/>
      <c r="AG153" s="146"/>
      <c r="AH153" s="146"/>
      <c r="AI153" s="146"/>
      <c r="AJ153" s="146"/>
      <c r="AK153" s="146"/>
      <c r="AL153" s="146"/>
      <c r="AM153" s="146"/>
      <c r="AN153" s="146"/>
      <c r="AO153" s="146"/>
      <c r="AP153" s="146"/>
      <c r="AQ153" s="146"/>
      <c r="AR153" s="146"/>
      <c r="AS153" s="146"/>
      <c r="AT153" s="146"/>
      <c r="AU153" s="146"/>
      <c r="AV153" s="146"/>
      <c r="AW153" s="146"/>
      <c r="AX153" s="146"/>
      <c r="AY153" s="146"/>
      <c r="AZ153" s="146"/>
      <c r="BA153" s="146"/>
      <c r="BB153" s="146"/>
      <c r="BC153" s="146"/>
      <c r="BD153" s="146"/>
      <c r="BE153" s="146"/>
      <c r="BF153" s="146"/>
      <c r="BG153" s="146"/>
      <c r="BH153" s="146"/>
      <c r="BI153" s="146"/>
      <c r="BJ153" s="146"/>
      <c r="BK153" s="146"/>
      <c r="BL153" s="146"/>
      <c r="BM153" s="146"/>
      <c r="BN153" s="146"/>
      <c r="BO153" s="146"/>
      <c r="BP153" s="146"/>
      <c r="BQ153" s="146"/>
      <c r="BR153" s="146"/>
      <c r="BS153" s="146"/>
      <c r="BT153" s="146"/>
      <c r="BU153" s="146"/>
      <c r="BV153" s="146"/>
      <c r="BW153" s="146"/>
      <c r="BX153" s="146"/>
      <c r="BY153" s="146"/>
      <c r="BZ153" s="146"/>
      <c r="CA153" s="146"/>
      <c r="CB153" s="146"/>
      <c r="CC153" s="146"/>
      <c r="CD153" s="146"/>
      <c r="CE153" s="146"/>
      <c r="CF153" s="146"/>
      <c r="CG153" s="146"/>
      <c r="CH153" s="146"/>
      <c r="CI153" s="146"/>
      <c r="CJ153" s="146"/>
      <c r="CK153" s="146"/>
      <c r="CL153" s="146"/>
      <c r="CM153" s="146"/>
      <c r="CN153" s="146"/>
      <c r="CO153" s="146"/>
      <c r="CP153" s="146"/>
      <c r="CQ153" s="146"/>
      <c r="CR153" s="146"/>
      <c r="CS153" s="146"/>
      <c r="CT153" s="146"/>
      <c r="CU153" s="146"/>
      <c r="CV153" s="146"/>
      <c r="CW153" s="146"/>
      <c r="CX153" s="146"/>
      <c r="CY153" s="146"/>
      <c r="CZ153" s="146"/>
      <c r="DA153" s="146"/>
      <c r="DB153" s="146"/>
      <c r="DC153" s="146"/>
      <c r="DD153" s="146"/>
      <c r="DE153" s="146"/>
      <c r="DF153" s="146"/>
      <c r="DG153" s="146"/>
      <c r="DH153" s="146"/>
      <c r="DI153" s="146"/>
      <c r="DJ153" s="146"/>
      <c r="DK153" s="146"/>
      <c r="DL153" s="146"/>
      <c r="DM153" s="146"/>
      <c r="DN153" s="146"/>
      <c r="DO153" s="146"/>
      <c r="DP153" s="146"/>
      <c r="DQ153" s="146"/>
      <c r="DR153" s="146"/>
      <c r="DS153" s="146"/>
      <c r="DT153" s="146"/>
      <c r="DU153" s="146"/>
      <c r="DV153" s="146"/>
      <c r="DW153" s="146"/>
      <c r="DX153" s="146"/>
      <c r="DY153" s="146"/>
      <c r="DZ153" s="146"/>
      <c r="EA153" s="146"/>
      <c r="EB153" s="146"/>
      <c r="EC153" s="146"/>
      <c r="ED153" s="146"/>
      <c r="EE153" s="146"/>
      <c r="EF153" s="146"/>
      <c r="EG153" s="146"/>
      <c r="EH153" s="146"/>
      <c r="EI153" s="146"/>
      <c r="EJ153" s="146"/>
      <c r="EK153" s="146"/>
      <c r="EL153" s="146"/>
      <c r="EM153" s="146"/>
      <c r="EN153" s="146"/>
      <c r="EO153" s="146"/>
      <c r="EP153" s="146"/>
      <c r="EQ153" s="146"/>
    </row>
  </sheetData>
  <sheetProtection sheet="1" objects="1" scenarios="1" selectLockedCells="1" selectUnlockedCells="1"/>
  <autoFilter ref="$A$3:$L$153">
    <sortState ref="A3:L153">
      <sortCondition ref="A3:A153"/>
    </sortState>
  </autoFilter>
  <mergeCells count="3">
    <mergeCell ref="A1:L1"/>
    <mergeCell ref="A2:L2"/>
    <mergeCell ref="H3:I3"/>
  </mergeCells>
  <conditionalFormatting sqref="L4:L153">
    <cfRule type="containsText" dxfId="9" priority="1" operator="containsText" text="Overdue">
      <formula>NOT(ISERROR(SEARCH(("Overdue"),(L4))))</formula>
    </cfRule>
  </conditionalFormatting>
  <conditionalFormatting sqref="L4:L153">
    <cfRule type="containsText" dxfId="10" priority="2" operator="containsText" text="Ok">
      <formula>NOT(ISERROR(SEARCH(("Ok"),(L4))))</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20.14"/>
    <col customWidth="1" min="2" max="2" width="23.71"/>
    <col customWidth="1" min="3" max="3" width="14.43"/>
    <col customWidth="1" min="4" max="4" width="16.14"/>
    <col customWidth="1" min="5" max="5" width="12.43"/>
    <col customWidth="1" min="6" max="6" width="16.0"/>
    <col customWidth="1" min="7" max="7" width="15.86"/>
    <col customWidth="1" min="8" max="10" width="17.71"/>
    <col customWidth="1" min="11" max="11" width="18.71"/>
    <col customWidth="1" min="12" max="12" width="8.57"/>
    <col customWidth="1" min="13" max="13" width="13.71"/>
    <col customWidth="1" min="14" max="15" width="15.86"/>
    <col customWidth="1" min="16" max="16" width="11.57"/>
    <col customWidth="1" min="17" max="17" width="9.71"/>
    <col customWidth="1" min="18" max="19" width="13.71"/>
    <col customWidth="1" min="20" max="20" width="12.71"/>
    <col customWidth="1" min="21" max="21" width="9.0"/>
    <col customWidth="1" min="22" max="22" width="15.86"/>
    <col customWidth="1" min="23" max="23" width="10.29"/>
    <col customWidth="1" min="24" max="24" width="9.0"/>
    <col customWidth="1" min="25" max="25" width="8.29"/>
    <col customWidth="1" min="26" max="26" width="14.43"/>
    <col customWidth="1" min="27" max="27" width="11.29"/>
    <col customWidth="1" min="28" max="28" width="11.43"/>
    <col customWidth="1" min="29" max="29" width="10.43"/>
    <col customWidth="1" min="30" max="30" width="12.71"/>
    <col customWidth="1" min="31" max="31" width="13.0"/>
    <col customWidth="1" min="32" max="32" width="14.71"/>
    <col customWidth="1" min="33" max="33" width="15.71"/>
    <col customWidth="1" min="34" max="34" width="9.57"/>
    <col customWidth="1" min="35" max="35" width="19.0"/>
    <col customWidth="1" min="36" max="36" width="39.29"/>
    <col customWidth="1" min="37" max="39" width="39.14"/>
  </cols>
  <sheetData>
    <row r="1">
      <c r="A1" s="186" t="s">
        <v>491</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3"/>
      <c r="AK1" s="58"/>
      <c r="AL1" s="58"/>
      <c r="AM1" s="58"/>
    </row>
    <row r="2">
      <c r="A2" s="187" t="s">
        <v>492</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3"/>
      <c r="AK2" s="58"/>
      <c r="AL2" s="58"/>
      <c r="AM2" s="58"/>
    </row>
    <row r="3">
      <c r="A3" s="188" t="s">
        <v>493</v>
      </c>
      <c r="B3" s="31"/>
      <c r="C3" s="31"/>
      <c r="D3" s="31"/>
      <c r="E3" s="31"/>
      <c r="F3" s="31"/>
      <c r="G3" s="31"/>
      <c r="H3" s="31"/>
      <c r="I3" s="31"/>
      <c r="J3" s="31"/>
      <c r="K3" s="31"/>
      <c r="L3" s="32"/>
      <c r="M3" s="189"/>
      <c r="N3" s="189"/>
      <c r="O3" s="189"/>
      <c r="P3" s="189"/>
      <c r="Q3" s="189"/>
      <c r="R3" s="189"/>
      <c r="S3" s="189"/>
      <c r="T3" s="189"/>
      <c r="U3" s="189"/>
      <c r="V3" s="189"/>
      <c r="W3" s="189"/>
      <c r="X3" s="189"/>
      <c r="Y3" s="189"/>
      <c r="Z3" s="189"/>
      <c r="AA3" s="189"/>
      <c r="AB3" s="189"/>
      <c r="AC3" s="189"/>
      <c r="AD3" s="189"/>
      <c r="AE3" s="189"/>
      <c r="AF3" s="189"/>
      <c r="AG3" s="189"/>
      <c r="AH3" s="189"/>
      <c r="AI3" s="190"/>
      <c r="AJ3" s="190"/>
      <c r="AK3" s="58"/>
      <c r="AL3" s="58"/>
      <c r="AM3" s="58"/>
    </row>
    <row r="4">
      <c r="A4" s="191" t="s">
        <v>494</v>
      </c>
      <c r="B4" s="192"/>
      <c r="C4" s="191" t="s">
        <v>495</v>
      </c>
      <c r="D4" s="193"/>
      <c r="E4" s="192"/>
      <c r="F4" s="191" t="s">
        <v>39</v>
      </c>
      <c r="G4" s="193"/>
      <c r="H4" s="193"/>
      <c r="I4" s="193"/>
      <c r="J4" s="193"/>
      <c r="K4" s="193"/>
      <c r="L4" s="193"/>
      <c r="M4" s="193"/>
      <c r="N4" s="193"/>
      <c r="O4" s="193"/>
      <c r="P4" s="192"/>
      <c r="Q4" s="191" t="s">
        <v>42</v>
      </c>
      <c r="R4" s="193"/>
      <c r="S4" s="193"/>
      <c r="T4" s="193"/>
      <c r="U4" s="193"/>
      <c r="V4" s="193"/>
      <c r="W4" s="193"/>
      <c r="X4" s="193"/>
      <c r="Y4" s="192"/>
      <c r="Z4" s="191" t="s">
        <v>496</v>
      </c>
      <c r="AA4" s="193"/>
      <c r="AB4" s="192"/>
      <c r="AC4" s="194" t="s">
        <v>497</v>
      </c>
      <c r="AD4" s="193"/>
      <c r="AE4" s="193"/>
      <c r="AF4" s="193"/>
      <c r="AG4" s="193"/>
      <c r="AH4" s="192"/>
      <c r="AI4" s="195" t="s">
        <v>498</v>
      </c>
      <c r="AJ4" s="192"/>
      <c r="AK4" s="196"/>
      <c r="AL4" s="196"/>
      <c r="AM4" s="196"/>
    </row>
    <row r="5">
      <c r="A5" s="197" t="s">
        <v>499</v>
      </c>
      <c r="B5" s="197" t="s">
        <v>500</v>
      </c>
      <c r="C5" s="197" t="s">
        <v>501</v>
      </c>
      <c r="D5" s="197" t="s">
        <v>20</v>
      </c>
      <c r="E5" s="197" t="s">
        <v>40</v>
      </c>
      <c r="F5" s="197" t="s">
        <v>502</v>
      </c>
      <c r="G5" s="197" t="s">
        <v>503</v>
      </c>
      <c r="H5" s="198" t="s">
        <v>504</v>
      </c>
      <c r="I5" s="197" t="s">
        <v>505</v>
      </c>
      <c r="J5" s="197" t="s">
        <v>506</v>
      </c>
      <c r="K5" s="197" t="s">
        <v>507</v>
      </c>
      <c r="L5" s="197" t="s">
        <v>508</v>
      </c>
      <c r="M5" s="197" t="s">
        <v>509</v>
      </c>
      <c r="N5" s="198" t="s">
        <v>510</v>
      </c>
      <c r="O5" s="197" t="s">
        <v>511</v>
      </c>
      <c r="P5" s="197" t="s">
        <v>16</v>
      </c>
      <c r="Q5" s="197" t="s">
        <v>512</v>
      </c>
      <c r="R5" s="197" t="s">
        <v>44</v>
      </c>
      <c r="S5" s="197" t="s">
        <v>513</v>
      </c>
      <c r="T5" s="197" t="s">
        <v>45</v>
      </c>
      <c r="U5" s="197" t="s">
        <v>43</v>
      </c>
      <c r="V5" s="197" t="s">
        <v>514</v>
      </c>
      <c r="W5" s="197" t="s">
        <v>515</v>
      </c>
      <c r="X5" s="197" t="s">
        <v>516</v>
      </c>
      <c r="Y5" s="197" t="s">
        <v>517</v>
      </c>
      <c r="Z5" s="198" t="s">
        <v>518</v>
      </c>
      <c r="AA5" s="197" t="s">
        <v>49</v>
      </c>
      <c r="AB5" s="197" t="s">
        <v>519</v>
      </c>
      <c r="AC5" s="197" t="s">
        <v>520</v>
      </c>
      <c r="AD5" s="197" t="s">
        <v>521</v>
      </c>
      <c r="AE5" s="197" t="s">
        <v>522</v>
      </c>
      <c r="AF5" s="197" t="s">
        <v>523</v>
      </c>
      <c r="AG5" s="197" t="s">
        <v>524</v>
      </c>
      <c r="AH5" s="197" t="s">
        <v>525</v>
      </c>
      <c r="AI5" s="197" t="s">
        <v>87</v>
      </c>
      <c r="AJ5" s="197" t="s">
        <v>89</v>
      </c>
      <c r="AK5" s="58"/>
      <c r="AL5" s="58"/>
      <c r="AM5" s="58"/>
    </row>
    <row r="6" hidden="1">
      <c r="A6" s="199" t="str">
        <f>IFERROR(__xludf.DUMMYFUNCTION("SORT(FILTER(Data_Entry!$A$6:$AJ2642, Data_Entry!$A$6:$A2642 &lt;&gt; """"), 4, TRUE)"),"321.LQ145(GB)")</f>
        <v>321.LQ145(GB)</v>
      </c>
      <c r="B6" s="200" t="str">
        <f>IFERROR(__xludf.DUMMYFUNCTION("""COMPUTED_VALUE"""),"Gear lubrication Gear Box")</f>
        <v>Gear lubrication Gear Box</v>
      </c>
      <c r="C6" s="199">
        <f>IFERROR(__xludf.DUMMYFUNCTION("""COMPUTED_VALUE"""),1.8140205206E10)</f>
        <v>18140205206</v>
      </c>
      <c r="D6" s="201">
        <f>IFERROR(__xludf.DUMMYFUNCTION("""COMPUTED_VALUE"""),43236.0)</f>
        <v>43236</v>
      </c>
      <c r="E6" s="202" t="str">
        <f>IFERROR(__xludf.DUMMYFUNCTION("""COMPUTED_VALUE"""),"Alert")</f>
        <v>Alert</v>
      </c>
      <c r="F6" s="202" t="str">
        <f>IFERROR(__xludf.DUMMYFUNCTION("""COMPUTED_VALUE"""),"Alert")</f>
        <v>Alert</v>
      </c>
      <c r="G6" s="203" t="str">
        <f>IFERROR(__xludf.DUMMYFUNCTION("""COMPUTED_VALUE"""),"Normal")</f>
        <v>Normal</v>
      </c>
      <c r="H6" s="203" t="str">
        <f>IFERROR(__xludf.DUMMYFUNCTION("""COMPUTED_VALUE"""),"Normal")</f>
        <v>Normal</v>
      </c>
      <c r="I6" s="199"/>
      <c r="J6" s="199"/>
      <c r="K6" s="199"/>
      <c r="L6" s="199">
        <f>IFERROR(__xludf.DUMMYFUNCTION("""COMPUTED_VALUE"""),13.0)</f>
        <v>13</v>
      </c>
      <c r="M6" s="199">
        <f>IFERROR(__xludf.DUMMYFUNCTION("""COMPUTED_VALUE"""),301.3)</f>
        <v>301.3</v>
      </c>
      <c r="N6" s="37"/>
      <c r="O6" s="37">
        <f>IFERROR(__xludf.DUMMYFUNCTION("""COMPUTED_VALUE"""),2.0)</f>
        <v>2</v>
      </c>
      <c r="P6" s="199">
        <f>IFERROR(__xludf.DUMMYFUNCTION("""COMPUTED_VALUE"""),0.11)</f>
        <v>0.11</v>
      </c>
      <c r="Q6" s="199"/>
      <c r="R6" s="199">
        <f>IFERROR(__xludf.DUMMYFUNCTION("""COMPUTED_VALUE"""),8.0)</f>
        <v>8</v>
      </c>
      <c r="S6" s="199">
        <f>IFERROR(__xludf.DUMMYFUNCTION("""COMPUTED_VALUE"""),0.0)</f>
        <v>0</v>
      </c>
      <c r="T6" s="199">
        <f>IFERROR(__xludf.DUMMYFUNCTION("""COMPUTED_VALUE"""),4.0)</f>
        <v>4</v>
      </c>
      <c r="U6" s="199">
        <f>IFERROR(__xludf.DUMMYFUNCTION("""COMPUTED_VALUE"""),29.0)</f>
        <v>29</v>
      </c>
      <c r="V6" s="199">
        <f>IFERROR(__xludf.DUMMYFUNCTION("""COMPUTED_VALUE"""),0.0)</f>
        <v>0</v>
      </c>
      <c r="W6" s="199">
        <f>IFERROR(__xludf.DUMMYFUNCTION("""COMPUTED_VALUE"""),0.0)</f>
        <v>0</v>
      </c>
      <c r="X6" s="199">
        <f>IFERROR(__xludf.DUMMYFUNCTION("""COMPUTED_VALUE"""),2.0)</f>
        <v>2</v>
      </c>
      <c r="Y6" s="199">
        <f>IFERROR(__xludf.DUMMYFUNCTION("""COMPUTED_VALUE"""),0.0)</f>
        <v>0</v>
      </c>
      <c r="Z6" s="199">
        <f>IFERROR(__xludf.DUMMYFUNCTION("""COMPUTED_VALUE"""),2.0)</f>
        <v>2</v>
      </c>
      <c r="AA6" s="199">
        <f>IFERROR(__xludf.DUMMYFUNCTION("""COMPUTED_VALUE"""),0.0)</f>
        <v>0</v>
      </c>
      <c r="AB6" s="199">
        <f>IFERROR(__xludf.DUMMYFUNCTION("""COMPUTED_VALUE"""),26.0)</f>
        <v>26</v>
      </c>
      <c r="AC6" s="199">
        <f>IFERROR(__xludf.DUMMYFUNCTION("""COMPUTED_VALUE"""),11.0)</f>
        <v>11</v>
      </c>
      <c r="AD6" s="199">
        <f>IFERROR(__xludf.DUMMYFUNCTION("""COMPUTED_VALUE"""),0.0)</f>
        <v>0</v>
      </c>
      <c r="AE6" s="199">
        <f>IFERROR(__xludf.DUMMYFUNCTION("""COMPUTED_VALUE"""),226.0)</f>
        <v>226</v>
      </c>
      <c r="AF6" s="199">
        <f>IFERROR(__xludf.DUMMYFUNCTION("""COMPUTED_VALUE"""),0.0)</f>
        <v>0</v>
      </c>
      <c r="AG6" s="199">
        <f>IFERROR(__xludf.DUMMYFUNCTION("""COMPUTED_VALUE"""),502.0)</f>
        <v>502</v>
      </c>
      <c r="AH6" s="199">
        <f>IFERROR(__xludf.DUMMYFUNCTION("""COMPUTED_VALUE"""),0.0)</f>
        <v>0</v>
      </c>
      <c r="AI6" s="200" t="str">
        <f>IFERROR(__xludf.DUMMYFUNCTION("""COMPUTED_VALUE"""),"Water Ingress")</f>
        <v>Water Ingress</v>
      </c>
      <c r="AJ6" s="200" t="str">
        <f>IFERROR(__xludf.DUMMYFUNCTION("""COMPUTED_VALUE"""),"Water detected - inspect seals and breathers")</f>
        <v>Water detected - inspect seals and breathers</v>
      </c>
      <c r="AK6" s="204"/>
      <c r="AL6" s="204"/>
      <c r="AM6" s="204"/>
    </row>
    <row r="7" hidden="1">
      <c r="A7" s="199" t="str">
        <f>IFERROR(__xludf.DUMMYFUNCTION("""COMPUTED_VALUE"""),"263.AF010")</f>
        <v>263.AF010</v>
      </c>
      <c r="B7" s="200" t="str">
        <f>IFERROR(__xludf.DUMMYFUNCTION("""COMPUTED_VALUE"""),"Cargo floor hydraulic tank")</f>
        <v>Cargo floor hydraulic tank</v>
      </c>
      <c r="C7" s="199">
        <f>IFERROR(__xludf.DUMMYFUNCTION("""COMPUTED_VALUE"""),2.1004861217E10)</f>
        <v>21004861217</v>
      </c>
      <c r="D7" s="201">
        <f>IFERROR(__xludf.DUMMYFUNCTION("""COMPUTED_VALUE"""),44196.0)</f>
        <v>44196</v>
      </c>
      <c r="E7" s="202" t="str">
        <f>IFERROR(__xludf.DUMMYFUNCTION("""COMPUTED_VALUE"""),"Alert")</f>
        <v>Alert</v>
      </c>
      <c r="F7" s="202" t="str">
        <f>IFERROR(__xludf.DUMMYFUNCTION("""COMPUTED_VALUE"""),"Alert")</f>
        <v>Alert</v>
      </c>
      <c r="G7" s="203" t="str">
        <f>IFERROR(__xludf.DUMMYFUNCTION("""COMPUTED_VALUE"""),"Normal")</f>
        <v>Normal</v>
      </c>
      <c r="H7" s="203" t="str">
        <f>IFERROR(__xludf.DUMMYFUNCTION("""COMPUTED_VALUE"""),"Normal")</f>
        <v>Normal</v>
      </c>
      <c r="I7" s="37"/>
      <c r="J7" s="37"/>
      <c r="K7" s="37"/>
      <c r="L7" s="199">
        <f>IFERROR(__xludf.DUMMYFUNCTION("""COMPUTED_VALUE"""),9.0)</f>
        <v>9</v>
      </c>
      <c r="M7" s="199">
        <f>IFERROR(__xludf.DUMMYFUNCTION("""COMPUTED_VALUE"""),41.3)</f>
        <v>41.3</v>
      </c>
      <c r="N7" s="37"/>
      <c r="O7" s="37">
        <f>IFERROR(__xludf.DUMMYFUNCTION("""COMPUTED_VALUE"""),0.0)</f>
        <v>0</v>
      </c>
      <c r="P7" s="199">
        <f>IFERROR(__xludf.DUMMYFUNCTION("""COMPUTED_VALUE"""),0.2)</f>
        <v>0.2</v>
      </c>
      <c r="Q7" s="199">
        <f>IFERROR(__xludf.DUMMYFUNCTION("""COMPUTED_VALUE"""),0.0)</f>
        <v>0</v>
      </c>
      <c r="R7" s="199">
        <f>IFERROR(__xludf.DUMMYFUNCTION("""COMPUTED_VALUE"""),2.0)</f>
        <v>2</v>
      </c>
      <c r="S7" s="199">
        <f>IFERROR(__xludf.DUMMYFUNCTION("""COMPUTED_VALUE"""),6.0)</f>
        <v>6</v>
      </c>
      <c r="T7" s="199">
        <f>IFERROR(__xludf.DUMMYFUNCTION("""COMPUTED_VALUE"""),8.0)</f>
        <v>8</v>
      </c>
      <c r="U7" s="199">
        <f>IFERROR(__xludf.DUMMYFUNCTION("""COMPUTED_VALUE"""),4.0)</f>
        <v>4</v>
      </c>
      <c r="V7" s="199">
        <f>IFERROR(__xludf.DUMMYFUNCTION("""COMPUTED_VALUE"""),13.0)</f>
        <v>13</v>
      </c>
      <c r="W7" s="199">
        <f>IFERROR(__xludf.DUMMYFUNCTION("""COMPUTED_VALUE"""),6.0)</f>
        <v>6</v>
      </c>
      <c r="X7" s="199">
        <f>IFERROR(__xludf.DUMMYFUNCTION("""COMPUTED_VALUE"""),0.0)</f>
        <v>0</v>
      </c>
      <c r="Y7" s="199">
        <f>IFERROR(__xludf.DUMMYFUNCTION("""COMPUTED_VALUE"""),0.0)</f>
        <v>0</v>
      </c>
      <c r="Z7" s="199">
        <f>IFERROR(__xludf.DUMMYFUNCTION("""COMPUTED_VALUE"""),4.0)</f>
        <v>4</v>
      </c>
      <c r="AA7" s="199">
        <f>IFERROR(__xludf.DUMMYFUNCTION("""COMPUTED_VALUE"""),1.0)</f>
        <v>1</v>
      </c>
      <c r="AB7" s="199">
        <f>IFERROR(__xludf.DUMMYFUNCTION("""COMPUTED_VALUE"""),4.0)</f>
        <v>4</v>
      </c>
      <c r="AC7" s="199">
        <f>IFERROR(__xludf.DUMMYFUNCTION("""COMPUTED_VALUE"""),5.0)</f>
        <v>5</v>
      </c>
      <c r="AD7" s="199">
        <f>IFERROR(__xludf.DUMMYFUNCTION("""COMPUTED_VALUE"""),0.0)</f>
        <v>0</v>
      </c>
      <c r="AE7" s="199">
        <f>IFERROR(__xludf.DUMMYFUNCTION("""COMPUTED_VALUE"""),60.0)</f>
        <v>60</v>
      </c>
      <c r="AF7" s="199">
        <f>IFERROR(__xludf.DUMMYFUNCTION("""COMPUTED_VALUE"""),0.0)</f>
        <v>0</v>
      </c>
      <c r="AG7" s="199">
        <f>IFERROR(__xludf.DUMMYFUNCTION("""COMPUTED_VALUE"""),475.0)</f>
        <v>475</v>
      </c>
      <c r="AH7" s="199">
        <f>IFERROR(__xludf.DUMMYFUNCTION("""COMPUTED_VALUE"""),467.0)</f>
        <v>467</v>
      </c>
      <c r="AI7" s="200" t="str">
        <f>IFERROR(__xludf.DUMMYFUNCTION("""COMPUTED_VALUE"""),"Water Ingress")</f>
        <v>Water Ingress</v>
      </c>
      <c r="AJ7" s="200" t="str">
        <f>IFERROR(__xludf.DUMMYFUNCTION("""COMPUTED_VALUE"""),"Water detected - inspect seals and breathers")</f>
        <v>Water detected - inspect seals and breathers</v>
      </c>
      <c r="AK7" s="204"/>
      <c r="AL7" s="204"/>
      <c r="AM7" s="204"/>
    </row>
    <row r="8" hidden="1">
      <c r="A8" s="199" t="str">
        <f>IFERROR(__xludf.DUMMYFUNCTION("""COMPUTED_VALUE"""),"321.LQ120 (R3)")</f>
        <v>321.LQ120 (R3)</v>
      </c>
      <c r="B8" s="200" t="str">
        <f>IFERROR(__xludf.DUMMYFUNCTION("""COMPUTED_VALUE"""),"Roller Lubrication Return R3 (filter Cup)")</f>
        <v>Roller Lubrication Return R3 (filter Cup)</v>
      </c>
      <c r="C8" s="199">
        <f>IFERROR(__xludf.DUMMYFUNCTION("""COMPUTED_VALUE"""),2.1108184254E10)</f>
        <v>21108184254</v>
      </c>
      <c r="D8" s="201">
        <f>IFERROR(__xludf.DUMMYFUNCTION("""COMPUTED_VALUE"""),44294.0)</f>
        <v>44294</v>
      </c>
      <c r="E8" s="202" t="str">
        <f>IFERROR(__xludf.DUMMYFUNCTION("""COMPUTED_VALUE"""),"Normal")</f>
        <v>Normal</v>
      </c>
      <c r="F8" s="202" t="str">
        <f>IFERROR(__xludf.DUMMYFUNCTION("""COMPUTED_VALUE"""),"Normal")</f>
        <v>Normal</v>
      </c>
      <c r="G8" s="203" t="str">
        <f>IFERROR(__xludf.DUMMYFUNCTION("""COMPUTED_VALUE"""),"Normal")</f>
        <v>Normal</v>
      </c>
      <c r="H8" s="203" t="str">
        <f>IFERROR(__xludf.DUMMYFUNCTION("""COMPUTED_VALUE"""),"Normal")</f>
        <v>Normal</v>
      </c>
      <c r="I8" s="37"/>
      <c r="J8" s="37"/>
      <c r="K8" s="37"/>
      <c r="L8" s="199">
        <f>IFERROR(__xludf.DUMMYFUNCTION("""COMPUTED_VALUE"""),8.0)</f>
        <v>8</v>
      </c>
      <c r="M8" s="199">
        <f>IFERROR(__xludf.DUMMYFUNCTION("""COMPUTED_VALUE"""),76.2)</f>
        <v>76.2</v>
      </c>
      <c r="N8" s="199"/>
      <c r="O8" s="199"/>
      <c r="P8" s="199">
        <f>IFERROR(__xludf.DUMMYFUNCTION("""COMPUTED_VALUE"""),0.04)</f>
        <v>0.04</v>
      </c>
      <c r="Q8" s="199">
        <f>IFERROR(__xludf.DUMMYFUNCTION("""COMPUTED_VALUE"""),0.0)</f>
        <v>0</v>
      </c>
      <c r="R8" s="199">
        <f>IFERROR(__xludf.DUMMYFUNCTION("""COMPUTED_VALUE"""),0.0)</f>
        <v>0</v>
      </c>
      <c r="S8" s="199">
        <f>IFERROR(__xludf.DUMMYFUNCTION("""COMPUTED_VALUE"""),0.0)</f>
        <v>0</v>
      </c>
      <c r="T8" s="199">
        <f>IFERROR(__xludf.DUMMYFUNCTION("""COMPUTED_VALUE"""),10.0)</f>
        <v>10</v>
      </c>
      <c r="U8" s="199">
        <f>IFERROR(__xludf.DUMMYFUNCTION("""COMPUTED_VALUE"""),34.0)</f>
        <v>34</v>
      </c>
      <c r="V8" s="199">
        <f>IFERROR(__xludf.DUMMYFUNCTION("""COMPUTED_VALUE"""),0.0)</f>
        <v>0</v>
      </c>
      <c r="W8" s="199">
        <f>IFERROR(__xludf.DUMMYFUNCTION("""COMPUTED_VALUE"""),3.0)</f>
        <v>3</v>
      </c>
      <c r="X8" s="199">
        <f>IFERROR(__xludf.DUMMYFUNCTION("""COMPUTED_VALUE"""),3.0)</f>
        <v>3</v>
      </c>
      <c r="Y8" s="199">
        <f>IFERROR(__xludf.DUMMYFUNCTION("""COMPUTED_VALUE"""),5.0)</f>
        <v>5</v>
      </c>
      <c r="Z8" s="199">
        <f>IFERROR(__xludf.DUMMYFUNCTION("""COMPUTED_VALUE"""),0.0)</f>
        <v>0</v>
      </c>
      <c r="AA8" s="199">
        <f>IFERROR(__xludf.DUMMYFUNCTION("""COMPUTED_VALUE"""),0.0)</f>
        <v>0</v>
      </c>
      <c r="AB8" s="199">
        <f>IFERROR(__xludf.DUMMYFUNCTION("""COMPUTED_VALUE"""),5.0)</f>
        <v>5</v>
      </c>
      <c r="AC8" s="199">
        <f>IFERROR(__xludf.DUMMYFUNCTION("""COMPUTED_VALUE"""),41.0)</f>
        <v>41</v>
      </c>
      <c r="AD8" s="199">
        <f>IFERROR(__xludf.DUMMYFUNCTION("""COMPUTED_VALUE"""),6.0)</f>
        <v>6</v>
      </c>
      <c r="AE8" s="199">
        <f>IFERROR(__xludf.DUMMYFUNCTION("""COMPUTED_VALUE"""),28.0)</f>
        <v>28</v>
      </c>
      <c r="AF8" s="199">
        <f>IFERROR(__xludf.DUMMYFUNCTION("""COMPUTED_VALUE"""),0.0)</f>
        <v>0</v>
      </c>
      <c r="AG8" s="199">
        <f>IFERROR(__xludf.DUMMYFUNCTION("""COMPUTED_VALUE"""),432.0)</f>
        <v>432</v>
      </c>
      <c r="AH8" s="199">
        <f>IFERROR(__xludf.DUMMYFUNCTION("""COMPUTED_VALUE"""),10.0)</f>
        <v>10</v>
      </c>
      <c r="AI8" s="200" t="str">
        <f>IFERROR(__xludf.DUMMYFUNCTION("""COMPUTED_VALUE"""),"Normal - No Action Required")</f>
        <v>Normal - No Action Required</v>
      </c>
      <c r="AJ8" s="200" t="str">
        <f>IFERROR(__xludf.DUMMYFUNCTION("""COMPUTED_VALUE"""),"Continue routine monitoring and sampling schedule")</f>
        <v>Continue routine monitoring and sampling schedule</v>
      </c>
      <c r="AK8" s="204"/>
      <c r="AL8" s="204"/>
      <c r="AM8" s="204"/>
    </row>
    <row r="9" hidden="1">
      <c r="A9" s="199" t="str">
        <f>IFERROR(__xludf.DUMMYFUNCTION("""COMPUTED_VALUE"""),"321.LQ120 (R3)")</f>
        <v>321.LQ120 (R3)</v>
      </c>
      <c r="B9" s="200" t="str">
        <f>IFERROR(__xludf.DUMMYFUNCTION("""COMPUTED_VALUE"""),"Roller Lubrication Return R3 (filter Cup)")</f>
        <v>Roller Lubrication Return R3 (filter Cup)</v>
      </c>
      <c r="C9" s="199">
        <f>IFERROR(__xludf.DUMMYFUNCTION("""COMPUTED_VALUE"""),2.4212062572E10)</f>
        <v>24212062572</v>
      </c>
      <c r="D9" s="201">
        <f>IFERROR(__xludf.DUMMYFUNCTION("""COMPUTED_VALUE"""),44383.0)</f>
        <v>44383</v>
      </c>
      <c r="E9" s="202" t="str">
        <f>IFERROR(__xludf.DUMMYFUNCTION("""COMPUTED_VALUE"""),"Normal")</f>
        <v>Normal</v>
      </c>
      <c r="F9" s="202" t="str">
        <f>IFERROR(__xludf.DUMMYFUNCTION("""COMPUTED_VALUE"""),"Normal")</f>
        <v>Normal</v>
      </c>
      <c r="G9" s="203" t="str">
        <f>IFERROR(__xludf.DUMMYFUNCTION("""COMPUTED_VALUE"""),"Normal")</f>
        <v>Normal</v>
      </c>
      <c r="H9" s="203" t="str">
        <f>IFERROR(__xludf.DUMMYFUNCTION("""COMPUTED_VALUE"""),"Normal")</f>
        <v>Normal</v>
      </c>
      <c r="I9" s="37"/>
      <c r="J9" s="37"/>
      <c r="K9" s="37"/>
      <c r="L9" s="199">
        <f>IFERROR(__xludf.DUMMYFUNCTION("""COMPUTED_VALUE"""),9.0)</f>
        <v>9</v>
      </c>
      <c r="M9" s="199">
        <f>IFERROR(__xludf.DUMMYFUNCTION("""COMPUTED_VALUE"""),76.9)</f>
        <v>76.9</v>
      </c>
      <c r="N9" s="199"/>
      <c r="O9" s="199"/>
      <c r="P9" s="199">
        <f>IFERROR(__xludf.DUMMYFUNCTION("""COMPUTED_VALUE"""),0.03)</f>
        <v>0.03</v>
      </c>
      <c r="Q9" s="199">
        <f>IFERROR(__xludf.DUMMYFUNCTION("""COMPUTED_VALUE"""),0.0)</f>
        <v>0</v>
      </c>
      <c r="R9" s="199">
        <f>IFERROR(__xludf.DUMMYFUNCTION("""COMPUTED_VALUE"""),2.0)</f>
        <v>2</v>
      </c>
      <c r="S9" s="199">
        <f>IFERROR(__xludf.DUMMYFUNCTION("""COMPUTED_VALUE"""),0.0)</f>
        <v>0</v>
      </c>
      <c r="T9" s="199">
        <f>IFERROR(__xludf.DUMMYFUNCTION("""COMPUTED_VALUE"""),10.0)</f>
        <v>10</v>
      </c>
      <c r="U9" s="199">
        <f>IFERROR(__xludf.DUMMYFUNCTION("""COMPUTED_VALUE"""),36.0)</f>
        <v>36</v>
      </c>
      <c r="V9" s="199">
        <f>IFERROR(__xludf.DUMMYFUNCTION("""COMPUTED_VALUE"""),0.0)</f>
        <v>0</v>
      </c>
      <c r="W9" s="199">
        <f>IFERROR(__xludf.DUMMYFUNCTION("""COMPUTED_VALUE"""),0.0)</f>
        <v>0</v>
      </c>
      <c r="X9" s="199">
        <f>IFERROR(__xludf.DUMMYFUNCTION("""COMPUTED_VALUE"""),0.0)</f>
        <v>0</v>
      </c>
      <c r="Y9" s="199">
        <f>IFERROR(__xludf.DUMMYFUNCTION("""COMPUTED_VALUE"""),0.0)</f>
        <v>0</v>
      </c>
      <c r="Z9" s="199">
        <f>IFERROR(__xludf.DUMMYFUNCTION("""COMPUTED_VALUE"""),5.0)</f>
        <v>5</v>
      </c>
      <c r="AA9" s="199">
        <f>IFERROR(__xludf.DUMMYFUNCTION("""COMPUTED_VALUE"""),13.0)</f>
        <v>13</v>
      </c>
      <c r="AB9" s="199">
        <f>IFERROR(__xludf.DUMMYFUNCTION("""COMPUTED_VALUE"""),0.0)</f>
        <v>0</v>
      </c>
      <c r="AC9" s="199">
        <f>IFERROR(__xludf.DUMMYFUNCTION("""COMPUTED_VALUE"""),1.0)</f>
        <v>1</v>
      </c>
      <c r="AD9" s="199">
        <f>IFERROR(__xludf.DUMMYFUNCTION("""COMPUTED_VALUE"""),0.0)</f>
        <v>0</v>
      </c>
      <c r="AE9" s="199">
        <f>IFERROR(__xludf.DUMMYFUNCTION("""COMPUTED_VALUE"""),19.0)</f>
        <v>19</v>
      </c>
      <c r="AF9" s="199">
        <f>IFERROR(__xludf.DUMMYFUNCTION("""COMPUTED_VALUE"""),2.0)</f>
        <v>2</v>
      </c>
      <c r="AG9" s="199">
        <f>IFERROR(__xludf.DUMMYFUNCTION("""COMPUTED_VALUE"""),396.0)</f>
        <v>396</v>
      </c>
      <c r="AH9" s="199">
        <f>IFERROR(__xludf.DUMMYFUNCTION("""COMPUTED_VALUE"""),80.0)</f>
        <v>80</v>
      </c>
      <c r="AI9" s="200" t="str">
        <f>IFERROR(__xludf.DUMMYFUNCTION("""COMPUTED_VALUE"""),"Normal - No Action Required")</f>
        <v>Normal - No Action Required</v>
      </c>
      <c r="AJ9" s="200" t="str">
        <f>IFERROR(__xludf.DUMMYFUNCTION("""COMPUTED_VALUE"""),"Continue routine monitoring and sampling schedule")</f>
        <v>Continue routine monitoring and sampling schedule</v>
      </c>
      <c r="AK9" s="204"/>
      <c r="AL9" s="204"/>
      <c r="AM9" s="204"/>
    </row>
    <row r="10" hidden="1">
      <c r="A10" s="199" t="str">
        <f>IFERROR(__xludf.DUMMYFUNCTION("""COMPUTED_VALUE"""),"R2.322.LQ145 (GB)")</f>
        <v>R2.322.LQ145 (GB)</v>
      </c>
      <c r="B10" s="200" t="str">
        <f>IFERROR(__xludf.DUMMYFUNCTION("""COMPUTED_VALUE"""),"Mill2 gear Box")</f>
        <v>Mill2 gear Box</v>
      </c>
      <c r="C10" s="199">
        <f>IFERROR(__xludf.DUMMYFUNCTION("""COMPUTED_VALUE"""),2.1285485216E10)</f>
        <v>21285485216</v>
      </c>
      <c r="D10" s="201">
        <f>IFERROR(__xludf.DUMMYFUNCTION("""COMPUTED_VALUE"""),44476.0)</f>
        <v>44476</v>
      </c>
      <c r="E10" s="202" t="str">
        <f>IFERROR(__xludf.DUMMYFUNCTION("""COMPUTED_VALUE"""),"Caution")</f>
        <v>Caution</v>
      </c>
      <c r="F10" s="202" t="str">
        <f>IFERROR(__xludf.DUMMYFUNCTION("""COMPUTED_VALUE"""),"Normal")</f>
        <v>Normal</v>
      </c>
      <c r="G10" s="203" t="str">
        <f>IFERROR(__xludf.DUMMYFUNCTION("""COMPUTED_VALUE"""),"Caution")</f>
        <v>Caution</v>
      </c>
      <c r="H10" s="203" t="str">
        <f>IFERROR(__xludf.DUMMYFUNCTION("""COMPUTED_VALUE"""),"Normal")</f>
        <v>Normal</v>
      </c>
      <c r="I10" s="199">
        <f>IFERROR(__xludf.DUMMYFUNCTION("""COMPUTED_VALUE"""),33058.0)</f>
        <v>33058</v>
      </c>
      <c r="J10" s="199">
        <f>IFERROR(__xludf.DUMMYFUNCTION("""COMPUTED_VALUE"""),8169.0)</f>
        <v>8169</v>
      </c>
      <c r="K10" s="199">
        <f>IFERROR(__xludf.DUMMYFUNCTION("""COMPUTED_VALUE"""),397.0)</f>
        <v>397</v>
      </c>
      <c r="L10" s="199">
        <f>IFERROR(__xludf.DUMMYFUNCTION("""COMPUTED_VALUE"""),18.0)</f>
        <v>18</v>
      </c>
      <c r="M10" s="199">
        <f>IFERROR(__xludf.DUMMYFUNCTION("""COMPUTED_VALUE"""),328.4)</f>
        <v>328.4</v>
      </c>
      <c r="N10" s="199"/>
      <c r="O10" s="199">
        <f>IFERROR(__xludf.DUMMYFUNCTION("""COMPUTED_VALUE"""),2.0)</f>
        <v>2</v>
      </c>
      <c r="P10" s="199">
        <f>IFERROR(__xludf.DUMMYFUNCTION("""COMPUTED_VALUE"""),0.03)</f>
        <v>0.03</v>
      </c>
      <c r="Q10" s="199">
        <f>IFERROR(__xludf.DUMMYFUNCTION("""COMPUTED_VALUE"""),0.0)</f>
        <v>0</v>
      </c>
      <c r="R10" s="199">
        <f>IFERROR(__xludf.DUMMYFUNCTION("""COMPUTED_VALUE"""),0.0)</f>
        <v>0</v>
      </c>
      <c r="S10" s="199">
        <f>IFERROR(__xludf.DUMMYFUNCTION("""COMPUTED_VALUE"""),2.0)</f>
        <v>2</v>
      </c>
      <c r="T10" s="199">
        <f>IFERROR(__xludf.DUMMYFUNCTION("""COMPUTED_VALUE"""),4.0)</f>
        <v>4</v>
      </c>
      <c r="U10" s="199">
        <f>IFERROR(__xludf.DUMMYFUNCTION("""COMPUTED_VALUE"""),42.0)</f>
        <v>42</v>
      </c>
      <c r="V10" s="199">
        <f>IFERROR(__xludf.DUMMYFUNCTION("""COMPUTED_VALUE"""),0.0)</f>
        <v>0</v>
      </c>
      <c r="W10" s="199">
        <f>IFERROR(__xludf.DUMMYFUNCTION("""COMPUTED_VALUE"""),0.0)</f>
        <v>0</v>
      </c>
      <c r="X10" s="199">
        <f>IFERROR(__xludf.DUMMYFUNCTION("""COMPUTED_VALUE"""),0.0)</f>
        <v>0</v>
      </c>
      <c r="Y10" s="199">
        <f>IFERROR(__xludf.DUMMYFUNCTION("""COMPUTED_VALUE"""),0.0)</f>
        <v>0</v>
      </c>
      <c r="Z10" s="199">
        <f>IFERROR(__xludf.DUMMYFUNCTION("""COMPUTED_VALUE"""),0.0)</f>
        <v>0</v>
      </c>
      <c r="AA10" s="199">
        <f>IFERROR(__xludf.DUMMYFUNCTION("""COMPUTED_VALUE"""),0.0)</f>
        <v>0</v>
      </c>
      <c r="AB10" s="199">
        <f>IFERROR(__xludf.DUMMYFUNCTION("""COMPUTED_VALUE"""),0.0)</f>
        <v>0</v>
      </c>
      <c r="AC10" s="199">
        <f>IFERROR(__xludf.DUMMYFUNCTION("""COMPUTED_VALUE"""),14.0)</f>
        <v>14</v>
      </c>
      <c r="AD10" s="199">
        <f>IFERROR(__xludf.DUMMYFUNCTION("""COMPUTED_VALUE"""),0.0)</f>
        <v>0</v>
      </c>
      <c r="AE10" s="199">
        <f>IFERROR(__xludf.DUMMYFUNCTION("""COMPUTED_VALUE"""),3.0)</f>
        <v>3</v>
      </c>
      <c r="AF10" s="199">
        <f>IFERROR(__xludf.DUMMYFUNCTION("""COMPUTED_VALUE"""),0.0)</f>
        <v>0</v>
      </c>
      <c r="AG10" s="199">
        <f>IFERROR(__xludf.DUMMYFUNCTION("""COMPUTED_VALUE"""),309.0)</f>
        <v>309</v>
      </c>
      <c r="AH10" s="199">
        <f>IFERROR(__xludf.DUMMYFUNCTION("""COMPUTED_VALUE"""),22.0)</f>
        <v>22</v>
      </c>
      <c r="AI10" s="200" t="str">
        <f>IFERROR(__xludf.DUMMYFUNCTION("""COMPUTED_VALUE"""),"Caution – Elevated Fe / Oxidation")</f>
        <v>Caution – Elevated Fe / Oxidation</v>
      </c>
      <c r="AJ10" s="200" t="str">
        <f>IFERROR(__xludf.DUMMYFUNCTION("""COMPUTED_VALUE"""),"Fe 42 ppm, ISO 22/20/16, oxidation 2 Ab/cm. Monitor trend. Inspect filtration.")</f>
        <v>Fe 42 ppm, ISO 22/20/16, oxidation 2 Ab/cm. Monitor trend. Inspect filtration.</v>
      </c>
      <c r="AK10" s="204"/>
      <c r="AL10" s="204"/>
      <c r="AM10" s="204"/>
    </row>
    <row r="11" hidden="1">
      <c r="A11" s="199" t="str">
        <f>IFERROR(__xludf.DUMMYFUNCTION("""COMPUTED_VALUE"""),"R2.322.LQ145 (GB)")</f>
        <v>R2.322.LQ145 (GB)</v>
      </c>
      <c r="B11" s="200" t="str">
        <f>IFERROR(__xludf.DUMMYFUNCTION("""COMPUTED_VALUE"""),"Mill2 gear Box")</f>
        <v>Mill2 gear Box</v>
      </c>
      <c r="C11" s="199">
        <f>IFERROR(__xludf.DUMMYFUNCTION("""COMPUTED_VALUE"""),2.2022220228E10)</f>
        <v>22022220228</v>
      </c>
      <c r="D11" s="201">
        <f>IFERROR(__xludf.DUMMYFUNCTION("""COMPUTED_VALUE"""),44578.0)</f>
        <v>44578</v>
      </c>
      <c r="E11" s="202" t="str">
        <f>IFERROR(__xludf.DUMMYFUNCTION("""COMPUTED_VALUE"""),"Caution")</f>
        <v>Caution</v>
      </c>
      <c r="F11" s="202" t="str">
        <f>IFERROR(__xludf.DUMMYFUNCTION("""COMPUTED_VALUE"""),"Normal")</f>
        <v>Normal</v>
      </c>
      <c r="G11" s="203" t="str">
        <f>IFERROR(__xludf.DUMMYFUNCTION("""COMPUTED_VALUE"""),"Normal")</f>
        <v>Normal</v>
      </c>
      <c r="H11" s="203" t="str">
        <f>IFERROR(__xludf.DUMMYFUNCTION("""COMPUTED_VALUE"""),"Caution")</f>
        <v>Caution</v>
      </c>
      <c r="I11" s="199">
        <f>IFERROR(__xludf.DUMMYFUNCTION("""COMPUTED_VALUE"""),63852.0)</f>
        <v>63852</v>
      </c>
      <c r="J11" s="199">
        <f>IFERROR(__xludf.DUMMYFUNCTION("""COMPUTED_VALUE"""),12552.0)</f>
        <v>12552</v>
      </c>
      <c r="K11" s="199">
        <f>IFERROR(__xludf.DUMMYFUNCTION("""COMPUTED_VALUE"""),885.0)</f>
        <v>885</v>
      </c>
      <c r="L11" s="199">
        <f>IFERROR(__xludf.DUMMYFUNCTION("""COMPUTED_VALUE"""),18.0)</f>
        <v>18</v>
      </c>
      <c r="M11" s="199">
        <f>IFERROR(__xludf.DUMMYFUNCTION("""COMPUTED_VALUE"""),332.2)</f>
        <v>332.2</v>
      </c>
      <c r="N11" s="199"/>
      <c r="O11" s="199">
        <f>IFERROR(__xludf.DUMMYFUNCTION("""COMPUTED_VALUE"""),6.0)</f>
        <v>6</v>
      </c>
      <c r="P11" s="199">
        <f>IFERROR(__xludf.DUMMYFUNCTION("""COMPUTED_VALUE"""),0.04)</f>
        <v>0.04</v>
      </c>
      <c r="Q11" s="199">
        <f>IFERROR(__xludf.DUMMYFUNCTION("""COMPUTED_VALUE"""),0.0)</f>
        <v>0</v>
      </c>
      <c r="R11" s="199">
        <f>IFERROR(__xludf.DUMMYFUNCTION("""COMPUTED_VALUE"""),6.0)</f>
        <v>6</v>
      </c>
      <c r="S11" s="199">
        <f>IFERROR(__xludf.DUMMYFUNCTION("""COMPUTED_VALUE"""),3.0)</f>
        <v>3</v>
      </c>
      <c r="T11" s="199">
        <f>IFERROR(__xludf.DUMMYFUNCTION("""COMPUTED_VALUE"""),8.0)</f>
        <v>8</v>
      </c>
      <c r="U11" s="199">
        <f>IFERROR(__xludf.DUMMYFUNCTION("""COMPUTED_VALUE"""),26.0)</f>
        <v>26</v>
      </c>
      <c r="V11" s="199">
        <f>IFERROR(__xludf.DUMMYFUNCTION("""COMPUTED_VALUE"""),0.0)</f>
        <v>0</v>
      </c>
      <c r="W11" s="199">
        <f>IFERROR(__xludf.DUMMYFUNCTION("""COMPUTED_VALUE"""),0.0)</f>
        <v>0</v>
      </c>
      <c r="X11" s="199">
        <f>IFERROR(__xludf.DUMMYFUNCTION("""COMPUTED_VALUE"""),5.0)</f>
        <v>5</v>
      </c>
      <c r="Y11" s="199">
        <f>IFERROR(__xludf.DUMMYFUNCTION("""COMPUTED_VALUE"""),0.0)</f>
        <v>0</v>
      </c>
      <c r="Z11" s="199">
        <f>IFERROR(__xludf.DUMMYFUNCTION("""COMPUTED_VALUE"""),2.0)</f>
        <v>2</v>
      </c>
      <c r="AA11" s="199">
        <f>IFERROR(__xludf.DUMMYFUNCTION("""COMPUTED_VALUE"""),0.0)</f>
        <v>0</v>
      </c>
      <c r="AB11" s="199">
        <f>IFERROR(__xludf.DUMMYFUNCTION("""COMPUTED_VALUE"""),14.0)</f>
        <v>14</v>
      </c>
      <c r="AC11" s="199">
        <f>IFERROR(__xludf.DUMMYFUNCTION("""COMPUTED_VALUE"""),24.0)</f>
        <v>24</v>
      </c>
      <c r="AD11" s="199">
        <f>IFERROR(__xludf.DUMMYFUNCTION("""COMPUTED_VALUE"""),0.0)</f>
        <v>0</v>
      </c>
      <c r="AE11" s="199">
        <f>IFERROR(__xludf.DUMMYFUNCTION("""COMPUTED_VALUE"""),15.0)</f>
        <v>15</v>
      </c>
      <c r="AF11" s="199">
        <f>IFERROR(__xludf.DUMMYFUNCTION("""COMPUTED_VALUE"""),0.0)</f>
        <v>0</v>
      </c>
      <c r="AG11" s="199">
        <f>IFERROR(__xludf.DUMMYFUNCTION("""COMPUTED_VALUE"""),368.0)</f>
        <v>368</v>
      </c>
      <c r="AH11" s="199">
        <f>IFERROR(__xludf.DUMMYFUNCTION("""COMPUTED_VALUE"""),12.0)</f>
        <v>12</v>
      </c>
      <c r="AI11" s="200" t="str">
        <f>IFERROR(__xludf.DUMMYFUNCTION("""COMPUTED_VALUE"""),"Caution – High Oxidation / Elevated Particle Count")</f>
        <v>Caution – High Oxidation / Elevated Particle Count</v>
      </c>
      <c r="AJ11" s="200" t="str">
        <f>IFERROR(__xludf.DUMMYFUNCTION("""COMPUTED_VALUE"""),"Oxidation 6 Ab/cm (high). ISO 23/21/17. Particle count 63852 @4µm. Cu 8 ppm, Cr 3 ppm, Al 6 ppm. TAN implied elevated. Monitor closely. Consider oil change if oxidation continues to rise.")</f>
        <v>Oxidation 6 Ab/cm (high). ISO 23/21/17. Particle count 63852 @4µm. Cu 8 ppm, Cr 3 ppm, Al 6 ppm. TAN implied elevated. Monitor closely. Consider oil change if oxidation continues to rise.</v>
      </c>
      <c r="AK11" s="204"/>
      <c r="AL11" s="204"/>
      <c r="AM11" s="204"/>
    </row>
    <row r="12" hidden="1">
      <c r="A12" s="199" t="str">
        <f>IFERROR(__xludf.DUMMYFUNCTION("""COMPUTED_VALUE"""),"321.LQ145(GB)")</f>
        <v>321.LQ145(GB)</v>
      </c>
      <c r="B12" s="200" t="str">
        <f>IFERROR(__xludf.DUMMYFUNCTION("""COMPUTED_VALUE"""),"Gear lubrication Gear Box")</f>
        <v>Gear lubrication Gear Box</v>
      </c>
      <c r="C12" s="199">
        <f>IFERROR(__xludf.DUMMYFUNCTION("""COMPUTED_VALUE"""),2.2022220506E10)</f>
        <v>22022220506</v>
      </c>
      <c r="D12" s="201">
        <f>IFERROR(__xludf.DUMMYFUNCTION("""COMPUTED_VALUE"""),44578.0)</f>
        <v>44578</v>
      </c>
      <c r="E12" s="202" t="str">
        <f>IFERROR(__xludf.DUMMYFUNCTION("""COMPUTED_VALUE"""),"Normal")</f>
        <v>Normal</v>
      </c>
      <c r="F12" s="202" t="str">
        <f>IFERROR(__xludf.DUMMYFUNCTION("""COMPUTED_VALUE"""),"Normal")</f>
        <v>Normal</v>
      </c>
      <c r="G12" s="203" t="str">
        <f>IFERROR(__xludf.DUMMYFUNCTION("""COMPUTED_VALUE"""),"Normal")</f>
        <v>Normal</v>
      </c>
      <c r="H12" s="203" t="str">
        <f>IFERROR(__xludf.DUMMYFUNCTION("""COMPUTED_VALUE"""),"Normal")</f>
        <v>Normal</v>
      </c>
      <c r="I12" s="199">
        <f>IFERROR(__xludf.DUMMYFUNCTION("""COMPUTED_VALUE"""),79635.0)</f>
        <v>79635</v>
      </c>
      <c r="J12" s="199">
        <f>IFERROR(__xludf.DUMMYFUNCTION("""COMPUTED_VALUE"""),6135.0)</f>
        <v>6135</v>
      </c>
      <c r="K12" s="199">
        <f>IFERROR(__xludf.DUMMYFUNCTION("""COMPUTED_VALUE"""),1184.0)</f>
        <v>1184</v>
      </c>
      <c r="L12" s="199">
        <f>IFERROR(__xludf.DUMMYFUNCTION("""COMPUTED_VALUE"""),8.0)</f>
        <v>8</v>
      </c>
      <c r="M12" s="199">
        <f>IFERROR(__xludf.DUMMYFUNCTION("""COMPUTED_VALUE"""),306.0)</f>
        <v>306</v>
      </c>
      <c r="N12" s="199"/>
      <c r="O12" s="199">
        <f>IFERROR(__xludf.DUMMYFUNCTION("""COMPUTED_VALUE"""),0.0)</f>
        <v>0</v>
      </c>
      <c r="P12" s="199">
        <f>IFERROR(__xludf.DUMMYFUNCTION("""COMPUTED_VALUE"""),0.02)</f>
        <v>0.02</v>
      </c>
      <c r="Q12" s="199">
        <f>IFERROR(__xludf.DUMMYFUNCTION("""COMPUTED_VALUE"""),0.0)</f>
        <v>0</v>
      </c>
      <c r="R12" s="199">
        <f>IFERROR(__xludf.DUMMYFUNCTION("""COMPUTED_VALUE"""),0.0)</f>
        <v>0</v>
      </c>
      <c r="S12" s="199">
        <f>IFERROR(__xludf.DUMMYFUNCTION("""COMPUTED_VALUE"""),0.0)</f>
        <v>0</v>
      </c>
      <c r="T12" s="199">
        <f>IFERROR(__xludf.DUMMYFUNCTION("""COMPUTED_VALUE"""),5.0)</f>
        <v>5</v>
      </c>
      <c r="U12" s="199">
        <f>IFERROR(__xludf.DUMMYFUNCTION("""COMPUTED_VALUE"""),16.0)</f>
        <v>16</v>
      </c>
      <c r="V12" s="199">
        <f>IFERROR(__xludf.DUMMYFUNCTION("""COMPUTED_VALUE"""),0.0)</f>
        <v>0</v>
      </c>
      <c r="W12" s="199">
        <f>IFERROR(__xludf.DUMMYFUNCTION("""COMPUTED_VALUE"""),0.0)</f>
        <v>0</v>
      </c>
      <c r="X12" s="199">
        <f>IFERROR(__xludf.DUMMYFUNCTION("""COMPUTED_VALUE"""),0.0)</f>
        <v>0</v>
      </c>
      <c r="Y12" s="199">
        <f>IFERROR(__xludf.DUMMYFUNCTION("""COMPUTED_VALUE"""),0.0)</f>
        <v>0</v>
      </c>
      <c r="Z12" s="199">
        <f>IFERROR(__xludf.DUMMYFUNCTION("""COMPUTED_VALUE"""),2.0)</f>
        <v>2</v>
      </c>
      <c r="AA12" s="199">
        <f>IFERROR(__xludf.DUMMYFUNCTION("""COMPUTED_VALUE"""),0.0)</f>
        <v>0</v>
      </c>
      <c r="AB12" s="199">
        <f>IFERROR(__xludf.DUMMYFUNCTION("""COMPUTED_VALUE"""),11.0)</f>
        <v>11</v>
      </c>
      <c r="AC12" s="199">
        <f>IFERROR(__xludf.DUMMYFUNCTION("""COMPUTED_VALUE"""),22.0)</f>
        <v>22</v>
      </c>
      <c r="AD12" s="199">
        <f>IFERROR(__xludf.DUMMYFUNCTION("""COMPUTED_VALUE"""),0.0)</f>
        <v>0</v>
      </c>
      <c r="AE12" s="199">
        <f>IFERROR(__xludf.DUMMYFUNCTION("""COMPUTED_VALUE"""),10.0)</f>
        <v>10</v>
      </c>
      <c r="AF12" s="199">
        <f>IFERROR(__xludf.DUMMYFUNCTION("""COMPUTED_VALUE"""),1.0)</f>
        <v>1</v>
      </c>
      <c r="AG12" s="199">
        <f>IFERROR(__xludf.DUMMYFUNCTION("""COMPUTED_VALUE"""),422.0)</f>
        <v>422</v>
      </c>
      <c r="AH12" s="199">
        <f>IFERROR(__xludf.DUMMYFUNCTION("""COMPUTED_VALUE"""),0.0)</f>
        <v>0</v>
      </c>
      <c r="AI12" s="200" t="str">
        <f>IFERROR(__xludf.DUMMYFUNCTION("""COMPUTED_VALUE"""),"Normal - No Action Required")</f>
        <v>Normal - No Action Required</v>
      </c>
      <c r="AJ12" s="200" t="str">
        <f>IFERROR(__xludf.DUMMYFUNCTION("""COMPUTED_VALUE"""),"Continue routine monitoring and sampling schedule")</f>
        <v>Continue routine monitoring and sampling schedule</v>
      </c>
      <c r="AK12" s="204"/>
      <c r="AL12" s="204"/>
      <c r="AM12" s="204"/>
    </row>
    <row r="13" hidden="1">
      <c r="A13" s="199" t="str">
        <f>IFERROR(__xludf.DUMMYFUNCTION("""COMPUTED_VALUE"""),"R2.322.LQ145 (GB)")</f>
        <v>R2.322.LQ145 (GB)</v>
      </c>
      <c r="B13" s="200" t="str">
        <f>IFERROR(__xludf.DUMMYFUNCTION("""COMPUTED_VALUE"""),"Mill2 gear Box")</f>
        <v>Mill2 gear Box</v>
      </c>
      <c r="C13" s="199">
        <f>IFERROR(__xludf.DUMMYFUNCTION("""COMPUTED_VALUE"""),2.2116260209E10)</f>
        <v>22116260209</v>
      </c>
      <c r="D13" s="201">
        <f>IFERROR(__xludf.DUMMYFUNCTION("""COMPUTED_VALUE"""),44671.0)</f>
        <v>44671</v>
      </c>
      <c r="E13" s="202" t="str">
        <f>IFERROR(__xludf.DUMMYFUNCTION("""COMPUTED_VALUE"""),"Alert")</f>
        <v>Alert</v>
      </c>
      <c r="F13" s="202" t="str">
        <f>IFERROR(__xludf.DUMMYFUNCTION("""COMPUTED_VALUE"""),"Caution")</f>
        <v>Caution</v>
      </c>
      <c r="G13" s="203" t="str">
        <f>IFERROR(__xludf.DUMMYFUNCTION("""COMPUTED_VALUE"""),"Alert")</f>
        <v>Alert</v>
      </c>
      <c r="H13" s="203" t="str">
        <f>IFERROR(__xludf.DUMMYFUNCTION("""COMPUTED_VALUE"""),"Normal")</f>
        <v>Normal</v>
      </c>
      <c r="I13" s="199">
        <f>IFERROR(__xludf.DUMMYFUNCTION("""COMPUTED_VALUE"""),51134.0)</f>
        <v>51134</v>
      </c>
      <c r="J13" s="199">
        <f>IFERROR(__xludf.DUMMYFUNCTION("""COMPUTED_VALUE"""),13264.0)</f>
        <v>13264</v>
      </c>
      <c r="K13" s="199">
        <f>IFERROR(__xludf.DUMMYFUNCTION("""COMPUTED_VALUE"""),263.0)</f>
        <v>263</v>
      </c>
      <c r="L13" s="199">
        <f>IFERROR(__xludf.DUMMYFUNCTION("""COMPUTED_VALUE"""),18.0)</f>
        <v>18</v>
      </c>
      <c r="M13" s="199">
        <f>IFERROR(__xludf.DUMMYFUNCTION("""COMPUTED_VALUE"""),321.9)</f>
        <v>321.9</v>
      </c>
      <c r="N13" s="199"/>
      <c r="O13" s="199">
        <f>IFERROR(__xludf.DUMMYFUNCTION("""COMPUTED_VALUE"""),3.0)</f>
        <v>3</v>
      </c>
      <c r="P13" s="199">
        <f>IFERROR(__xludf.DUMMYFUNCTION("""COMPUTED_VALUE"""),0.03)</f>
        <v>0.03</v>
      </c>
      <c r="Q13" s="199">
        <f>IFERROR(__xludf.DUMMYFUNCTION("""COMPUTED_VALUE"""),0.0)</f>
        <v>0</v>
      </c>
      <c r="R13" s="199">
        <f>IFERROR(__xludf.DUMMYFUNCTION("""COMPUTED_VALUE"""),2.0)</f>
        <v>2</v>
      </c>
      <c r="S13" s="199">
        <f>IFERROR(__xludf.DUMMYFUNCTION("""COMPUTED_VALUE"""),0.0)</f>
        <v>0</v>
      </c>
      <c r="T13" s="199">
        <f>IFERROR(__xludf.DUMMYFUNCTION("""COMPUTED_VALUE"""),2.0)</f>
        <v>2</v>
      </c>
      <c r="U13" s="199">
        <f>IFERROR(__xludf.DUMMYFUNCTION("""COMPUTED_VALUE"""),57.0)</f>
        <v>57</v>
      </c>
      <c r="V13" s="199">
        <f>IFERROR(__xludf.DUMMYFUNCTION("""COMPUTED_VALUE"""),0.0)</f>
        <v>0</v>
      </c>
      <c r="W13" s="199">
        <f>IFERROR(__xludf.DUMMYFUNCTION("""COMPUTED_VALUE"""),0.0)</f>
        <v>0</v>
      </c>
      <c r="X13" s="199">
        <f>IFERROR(__xludf.DUMMYFUNCTION("""COMPUTED_VALUE"""),0.0)</f>
        <v>0</v>
      </c>
      <c r="Y13" s="199">
        <f>IFERROR(__xludf.DUMMYFUNCTION("""COMPUTED_VALUE"""),0.0)</f>
        <v>0</v>
      </c>
      <c r="Z13" s="199">
        <f>IFERROR(__xludf.DUMMYFUNCTION("""COMPUTED_VALUE"""),0.0)</f>
        <v>0</v>
      </c>
      <c r="AA13" s="199">
        <f>IFERROR(__xludf.DUMMYFUNCTION("""COMPUTED_VALUE"""),0.0)</f>
        <v>0</v>
      </c>
      <c r="AB13" s="199">
        <f>IFERROR(__xludf.DUMMYFUNCTION("""COMPUTED_VALUE"""),2.0)</f>
        <v>2</v>
      </c>
      <c r="AC13" s="199">
        <f>IFERROR(__xludf.DUMMYFUNCTION("""COMPUTED_VALUE"""),10.0)</f>
        <v>10</v>
      </c>
      <c r="AD13" s="199">
        <f>IFERROR(__xludf.DUMMYFUNCTION("""COMPUTED_VALUE"""),0.0)</f>
        <v>0</v>
      </c>
      <c r="AE13" s="199">
        <f>IFERROR(__xludf.DUMMYFUNCTION("""COMPUTED_VALUE"""),1.0)</f>
        <v>1</v>
      </c>
      <c r="AF13" s="199">
        <f>IFERROR(__xludf.DUMMYFUNCTION("""COMPUTED_VALUE"""),0.0)</f>
        <v>0</v>
      </c>
      <c r="AG13" s="199">
        <f>IFERROR(__xludf.DUMMYFUNCTION("""COMPUTED_VALUE"""),434.0)</f>
        <v>434</v>
      </c>
      <c r="AH13" s="199">
        <f>IFERROR(__xludf.DUMMYFUNCTION("""COMPUTED_VALUE"""),32.0)</f>
        <v>32</v>
      </c>
      <c r="AI13" s="200" t="str">
        <f>IFERROR(__xludf.DUMMYFUNCTION("""COMPUTED_VALUE"""),"Alert – Critical Fe / Oxidation")</f>
        <v>Alert – Critical Fe / Oxidation</v>
      </c>
      <c r="AJ13" s="200" t="str">
        <f>IFERROR(__xludf.DUMMYFUNCTION("""COMPUTED_VALUE"""),"ACTION REQUIRED – Fe 57 ppm (critical), oxidation 3 Ab/cm. ISO 23/21/15. Particle count 51134 @4µm. Inspect equipment for wear damage. Change oil immediately. Identify source of Fe contamination.")</f>
        <v>ACTION REQUIRED – Fe 57 ppm (critical), oxidation 3 Ab/cm. ISO 23/21/15. Particle count 51134 @4µm. Inspect equipment for wear damage. Change oil immediately. Identify source of Fe contamination.</v>
      </c>
      <c r="AK13" s="204"/>
      <c r="AL13" s="204"/>
      <c r="AM13" s="204"/>
    </row>
    <row r="14" hidden="1">
      <c r="A14" s="199" t="str">
        <f>IFERROR(__xludf.DUMMYFUNCTION("""COMPUTED_VALUE"""),"R2.322.LQ145 (GB)")</f>
        <v>R2.322.LQ145 (GB)</v>
      </c>
      <c r="B14" s="200" t="str">
        <f>IFERROR(__xludf.DUMMYFUNCTION("""COMPUTED_VALUE"""),"Mill2 gear Box")</f>
        <v>Mill2 gear Box</v>
      </c>
      <c r="C14" s="199">
        <f>IFERROR(__xludf.DUMMYFUNCTION("""COMPUTED_VALUE"""),2.2210297228E10)</f>
        <v>22210297228</v>
      </c>
      <c r="D14" s="201">
        <f>IFERROR(__xludf.DUMMYFUNCTION("""COMPUTED_VALUE"""),44762.0)</f>
        <v>44762</v>
      </c>
      <c r="E14" s="202" t="str">
        <f>IFERROR(__xludf.DUMMYFUNCTION("""COMPUTED_VALUE"""),"Caution")</f>
        <v>Caution</v>
      </c>
      <c r="F14" s="202" t="str">
        <f>IFERROR(__xludf.DUMMYFUNCTION("""COMPUTED_VALUE"""),"Caution")</f>
        <v>Caution</v>
      </c>
      <c r="G14" s="203" t="str">
        <f>IFERROR(__xludf.DUMMYFUNCTION("""COMPUTED_VALUE"""),"Normal")</f>
        <v>Normal</v>
      </c>
      <c r="H14" s="203" t="str">
        <f>IFERROR(__xludf.DUMMYFUNCTION("""COMPUTED_VALUE"""),"Normal")</f>
        <v>Normal</v>
      </c>
      <c r="I14" s="199"/>
      <c r="J14" s="199"/>
      <c r="K14" s="199"/>
      <c r="L14" s="199">
        <f>IFERROR(__xludf.DUMMYFUNCTION("""COMPUTED_VALUE"""),6.0)</f>
        <v>6</v>
      </c>
      <c r="M14" s="199">
        <f>IFERROR(__xludf.DUMMYFUNCTION("""COMPUTED_VALUE"""),297.6)</f>
        <v>297.6</v>
      </c>
      <c r="N14" s="199"/>
      <c r="O14" s="199">
        <f>IFERROR(__xludf.DUMMYFUNCTION("""COMPUTED_VALUE"""),2.0)</f>
        <v>2</v>
      </c>
      <c r="P14" s="199">
        <f>IFERROR(__xludf.DUMMYFUNCTION("""COMPUTED_VALUE"""),0.05)</f>
        <v>0.05</v>
      </c>
      <c r="Q14" s="199">
        <f>IFERROR(__xludf.DUMMYFUNCTION("""COMPUTED_VALUE"""),0.0)</f>
        <v>0</v>
      </c>
      <c r="R14" s="199">
        <f>IFERROR(__xludf.DUMMYFUNCTION("""COMPUTED_VALUE"""),0.0)</f>
        <v>0</v>
      </c>
      <c r="S14" s="199">
        <f>IFERROR(__xludf.DUMMYFUNCTION("""COMPUTED_VALUE"""),0.0)</f>
        <v>0</v>
      </c>
      <c r="T14" s="199">
        <f>IFERROR(__xludf.DUMMYFUNCTION("""COMPUTED_VALUE"""),0.0)</f>
        <v>0</v>
      </c>
      <c r="U14" s="199">
        <f>IFERROR(__xludf.DUMMYFUNCTION("""COMPUTED_VALUE"""),30.0)</f>
        <v>30</v>
      </c>
      <c r="V14" s="199">
        <f>IFERROR(__xludf.DUMMYFUNCTION("""COMPUTED_VALUE"""),0.0)</f>
        <v>0</v>
      </c>
      <c r="W14" s="199">
        <f>IFERROR(__xludf.DUMMYFUNCTION("""COMPUTED_VALUE"""),0.0)</f>
        <v>0</v>
      </c>
      <c r="X14" s="199">
        <f>IFERROR(__xludf.DUMMYFUNCTION("""COMPUTED_VALUE"""),0.0)</f>
        <v>0</v>
      </c>
      <c r="Y14" s="199">
        <f>IFERROR(__xludf.DUMMYFUNCTION("""COMPUTED_VALUE"""),0.0)</f>
        <v>0</v>
      </c>
      <c r="Z14" s="199">
        <f>IFERROR(__xludf.DUMMYFUNCTION("""COMPUTED_VALUE"""),0.0)</f>
        <v>0</v>
      </c>
      <c r="AA14" s="199">
        <f>IFERROR(__xludf.DUMMYFUNCTION("""COMPUTED_VALUE"""),0.0)</f>
        <v>0</v>
      </c>
      <c r="AB14" s="199">
        <f>IFERROR(__xludf.DUMMYFUNCTION("""COMPUTED_VALUE"""),4.0)</f>
        <v>4</v>
      </c>
      <c r="AC14" s="199">
        <f>IFERROR(__xludf.DUMMYFUNCTION("""COMPUTED_VALUE"""),0.0)</f>
        <v>0</v>
      </c>
      <c r="AD14" s="199">
        <f>IFERROR(__xludf.DUMMYFUNCTION("""COMPUTED_VALUE"""),0.0)</f>
        <v>0</v>
      </c>
      <c r="AE14" s="199">
        <f>IFERROR(__xludf.DUMMYFUNCTION("""COMPUTED_VALUE"""),0.0)</f>
        <v>0</v>
      </c>
      <c r="AF14" s="199">
        <f>IFERROR(__xludf.DUMMYFUNCTION("""COMPUTED_VALUE"""),2.0)</f>
        <v>2</v>
      </c>
      <c r="AG14" s="199">
        <f>IFERROR(__xludf.DUMMYFUNCTION("""COMPUTED_VALUE"""),304.0)</f>
        <v>304</v>
      </c>
      <c r="AH14" s="199">
        <f>IFERROR(__xludf.DUMMYFUNCTION("""COMPUTED_VALUE"""),26.0)</f>
        <v>26</v>
      </c>
      <c r="AI14" s="200" t="str">
        <f>IFERROR(__xludf.DUMMYFUNCTION("""COMPUTED_VALUE"""),"General Caution")</f>
        <v>General Caution</v>
      </c>
      <c r="AJ14" s="200" t="str">
        <f>IFERROR(__xludf.DUMMYFUNCTION("""COMPUTED_VALUE"""),"Oxidation increasing - monitor and plan oil change")</f>
        <v>Oxidation increasing - monitor and plan oil change</v>
      </c>
      <c r="AK14" s="204"/>
      <c r="AL14" s="204"/>
      <c r="AM14" s="204"/>
    </row>
    <row r="15" hidden="1">
      <c r="A15" s="199" t="str">
        <f>IFERROR(__xludf.DUMMYFUNCTION("""COMPUTED_VALUE"""),"431.KB101(1)")</f>
        <v>431.KB101(1)</v>
      </c>
      <c r="B15" s="200" t="str">
        <f>IFERROR(__xludf.DUMMYFUNCTION("""COMPUTED_VALUE"""),"Kiln Bearing")</f>
        <v>Kiln Bearing</v>
      </c>
      <c r="C15" s="199">
        <f>IFERROR(__xludf.DUMMYFUNCTION("""COMPUTED_VALUE"""),2.2361270267E10)</f>
        <v>22361270267</v>
      </c>
      <c r="D15" s="201">
        <f>IFERROR(__xludf.DUMMYFUNCTION("""COMPUTED_VALUE"""),44915.0)</f>
        <v>44915</v>
      </c>
      <c r="E15" s="202" t="str">
        <f>IFERROR(__xludf.DUMMYFUNCTION("""COMPUTED_VALUE"""),"Alert")</f>
        <v>Alert</v>
      </c>
      <c r="F15" s="202" t="str">
        <f>IFERROR(__xludf.DUMMYFUNCTION("""COMPUTED_VALUE"""),"Alert")</f>
        <v>Alert</v>
      </c>
      <c r="G15" s="203" t="str">
        <f>IFERROR(__xludf.DUMMYFUNCTION("""COMPUTED_VALUE"""),"Alert")</f>
        <v>Alert</v>
      </c>
      <c r="H15" s="203" t="str">
        <f>IFERROR(__xludf.DUMMYFUNCTION("""COMPUTED_VALUE"""),"Alert")</f>
        <v>Alert</v>
      </c>
      <c r="I15" s="199"/>
      <c r="J15" s="199"/>
      <c r="K15" s="199"/>
      <c r="L15" s="199">
        <f>IFERROR(__xludf.DUMMYFUNCTION("""COMPUTED_VALUE"""),152.0)</f>
        <v>152</v>
      </c>
      <c r="M15" s="199">
        <f>IFERROR(__xludf.DUMMYFUNCTION("""COMPUTED_VALUE"""),57.9)</f>
        <v>57.9</v>
      </c>
      <c r="N15" s="199"/>
      <c r="O15" s="199">
        <f>IFERROR(__xludf.DUMMYFUNCTION("""COMPUTED_VALUE"""),0.0)</f>
        <v>0</v>
      </c>
      <c r="P15" s="199"/>
      <c r="Q15" s="199">
        <f>IFERROR(__xludf.DUMMYFUNCTION("""COMPUTED_VALUE"""),0.0)</f>
        <v>0</v>
      </c>
      <c r="R15" s="199">
        <f>IFERROR(__xludf.DUMMYFUNCTION("""COMPUTED_VALUE"""),3.0)</f>
        <v>3</v>
      </c>
      <c r="S15" s="199">
        <f>IFERROR(__xludf.DUMMYFUNCTION("""COMPUTED_VALUE"""),0.0)</f>
        <v>0</v>
      </c>
      <c r="T15" s="199">
        <f>IFERROR(__xludf.DUMMYFUNCTION("""COMPUTED_VALUE"""),323.0)</f>
        <v>323</v>
      </c>
      <c r="U15" s="199">
        <f>IFERROR(__xludf.DUMMYFUNCTION("""COMPUTED_VALUE"""),145.0)</f>
        <v>145</v>
      </c>
      <c r="V15" s="199">
        <f>IFERROR(__xludf.DUMMYFUNCTION("""COMPUTED_VALUE"""),0.0)</f>
        <v>0</v>
      </c>
      <c r="W15" s="199">
        <f>IFERROR(__xludf.DUMMYFUNCTION("""COMPUTED_VALUE"""),0.0)</f>
        <v>0</v>
      </c>
      <c r="X15" s="199">
        <f>IFERROR(__xludf.DUMMYFUNCTION("""COMPUTED_VALUE"""),6.0)</f>
        <v>6</v>
      </c>
      <c r="Y15" s="199">
        <f>IFERROR(__xludf.DUMMYFUNCTION("""COMPUTED_VALUE"""),38.0)</f>
        <v>38</v>
      </c>
      <c r="Z15" s="199">
        <f>IFERROR(__xludf.DUMMYFUNCTION("""COMPUTED_VALUE"""),3.0)</f>
        <v>3</v>
      </c>
      <c r="AA15" s="199">
        <f>IFERROR(__xludf.DUMMYFUNCTION("""COMPUTED_VALUE"""),2.0)</f>
        <v>2</v>
      </c>
      <c r="AB15" s="199">
        <f>IFERROR(__xludf.DUMMYFUNCTION("""COMPUTED_VALUE"""),29.0)</f>
        <v>29</v>
      </c>
      <c r="AC15" s="199">
        <f>IFERROR(__xludf.DUMMYFUNCTION("""COMPUTED_VALUE"""),14.0)</f>
        <v>14</v>
      </c>
      <c r="AD15" s="199">
        <f>IFERROR(__xludf.DUMMYFUNCTION("""COMPUTED_VALUE"""),0.0)</f>
        <v>0</v>
      </c>
      <c r="AE15" s="199">
        <f>IFERROR(__xludf.DUMMYFUNCTION("""COMPUTED_VALUE"""),67.0)</f>
        <v>67</v>
      </c>
      <c r="AF15" s="199">
        <f>IFERROR(__xludf.DUMMYFUNCTION("""COMPUTED_VALUE"""),3.0)</f>
        <v>3</v>
      </c>
      <c r="AG15" s="199">
        <f>IFERROR(__xludf.DUMMYFUNCTION("""COMPUTED_VALUE"""),282.0)</f>
        <v>282</v>
      </c>
      <c r="AH15" s="199">
        <f>IFERROR(__xludf.DUMMYFUNCTION("""COMPUTED_VALUE"""),3.0)</f>
        <v>3</v>
      </c>
      <c r="AI15" s="200" t="str">
        <f>IFERROR(__xludf.DUMMYFUNCTION("""COMPUTED_VALUE"""),"Wear Metal Alert | High Particle Count")</f>
        <v>Wear Metal Alert | High Particle Count</v>
      </c>
      <c r="AJ15" s="200" t="str">
        <f>IFERROR(__xludf.DUMMYFUNCTION("""COMPUTED_VALUE"""),"URGENT: Inspect equipment immediately for wear/damage; Critical wear metals detected - schedule immediate inspection; High wear metals - inspect bearing/gear surfaces; Critical particle count - flush system and replace filters")</f>
        <v>URGENT: Inspect equipment immediately for wear/damage; Critical wear metals detected - schedule immediate inspection; High wear metals - inspect bearing/gear surfaces; Critical particle count - flush system and replace filters</v>
      </c>
      <c r="AK15" s="204"/>
      <c r="AL15" s="204"/>
      <c r="AM15" s="204"/>
    </row>
    <row r="16" hidden="1">
      <c r="A16" s="199" t="str">
        <f>IFERROR(__xludf.DUMMYFUNCTION("""COMPUTED_VALUE"""),"431.KB101(2)")</f>
        <v>431.KB101(2)</v>
      </c>
      <c r="B16" s="200" t="str">
        <f>IFERROR(__xludf.DUMMYFUNCTION("""COMPUTED_VALUE"""),"Kiln Bearing")</f>
        <v>Kiln Bearing</v>
      </c>
      <c r="C16" s="199">
        <f>IFERROR(__xludf.DUMMYFUNCTION("""COMPUTED_VALUE"""),2.2361270263E10)</f>
        <v>22361270263</v>
      </c>
      <c r="D16" s="201">
        <f>IFERROR(__xludf.DUMMYFUNCTION("""COMPUTED_VALUE"""),44915.0)</f>
        <v>44915</v>
      </c>
      <c r="E16" s="202" t="str">
        <f>IFERROR(__xludf.DUMMYFUNCTION("""COMPUTED_VALUE"""),"Alert")</f>
        <v>Alert</v>
      </c>
      <c r="F16" s="202" t="str">
        <f>IFERROR(__xludf.DUMMYFUNCTION("""COMPUTED_VALUE"""),"Alert")</f>
        <v>Alert</v>
      </c>
      <c r="G16" s="203" t="str">
        <f>IFERROR(__xludf.DUMMYFUNCTION("""COMPUTED_VALUE"""),"Alert")</f>
        <v>Alert</v>
      </c>
      <c r="H16" s="203" t="str">
        <f>IFERROR(__xludf.DUMMYFUNCTION("""COMPUTED_VALUE"""),"Alert")</f>
        <v>Alert</v>
      </c>
      <c r="I16" s="37"/>
      <c r="J16" s="37"/>
      <c r="K16" s="37"/>
      <c r="L16" s="199">
        <f>IFERROR(__xludf.DUMMYFUNCTION("""COMPUTED_VALUE"""),142.0)</f>
        <v>142</v>
      </c>
      <c r="M16" s="199">
        <f>IFERROR(__xludf.DUMMYFUNCTION("""COMPUTED_VALUE"""),57.3)</f>
        <v>57.3</v>
      </c>
      <c r="N16" s="199"/>
      <c r="O16" s="199">
        <f>IFERROR(__xludf.DUMMYFUNCTION("""COMPUTED_VALUE"""),1.0)</f>
        <v>1</v>
      </c>
      <c r="P16" s="199"/>
      <c r="Q16" s="199">
        <f>IFERROR(__xludf.DUMMYFUNCTION("""COMPUTED_VALUE"""),0.0)</f>
        <v>0</v>
      </c>
      <c r="R16" s="199">
        <f>IFERROR(__xludf.DUMMYFUNCTION("""COMPUTED_VALUE"""),5.0)</f>
        <v>5</v>
      </c>
      <c r="S16" s="199">
        <f>IFERROR(__xludf.DUMMYFUNCTION("""COMPUTED_VALUE"""),0.0)</f>
        <v>0</v>
      </c>
      <c r="T16" s="199">
        <f>IFERROR(__xludf.DUMMYFUNCTION("""COMPUTED_VALUE"""),72.0)</f>
        <v>72</v>
      </c>
      <c r="U16" s="199">
        <f>IFERROR(__xludf.DUMMYFUNCTION("""COMPUTED_VALUE"""),126.0)</f>
        <v>126</v>
      </c>
      <c r="V16" s="199">
        <f>IFERROR(__xludf.DUMMYFUNCTION("""COMPUTED_VALUE"""),0.0)</f>
        <v>0</v>
      </c>
      <c r="W16" s="199">
        <f>IFERROR(__xludf.DUMMYFUNCTION("""COMPUTED_VALUE"""),0.0)</f>
        <v>0</v>
      </c>
      <c r="X16" s="199">
        <f>IFERROR(__xludf.DUMMYFUNCTION("""COMPUTED_VALUE"""),2.0)</f>
        <v>2</v>
      </c>
      <c r="Y16" s="199">
        <f>IFERROR(__xludf.DUMMYFUNCTION("""COMPUTED_VALUE"""),0.0)</f>
        <v>0</v>
      </c>
      <c r="Z16" s="199">
        <f>IFERROR(__xludf.DUMMYFUNCTION("""COMPUTED_VALUE"""),4.0)</f>
        <v>4</v>
      </c>
      <c r="AA16" s="199">
        <f>IFERROR(__xludf.DUMMYFUNCTION("""COMPUTED_VALUE"""),2.0)</f>
        <v>2</v>
      </c>
      <c r="AB16" s="199">
        <f>IFERROR(__xludf.DUMMYFUNCTION("""COMPUTED_VALUE"""),22.0)</f>
        <v>22</v>
      </c>
      <c r="AC16" s="199">
        <f>IFERROR(__xludf.DUMMYFUNCTION("""COMPUTED_VALUE"""),13.0)</f>
        <v>13</v>
      </c>
      <c r="AD16" s="199">
        <f>IFERROR(__xludf.DUMMYFUNCTION("""COMPUTED_VALUE"""),0.0)</f>
        <v>0</v>
      </c>
      <c r="AE16" s="199">
        <f>IFERROR(__xludf.DUMMYFUNCTION("""COMPUTED_VALUE"""),102.0)</f>
        <v>102</v>
      </c>
      <c r="AF16" s="199">
        <f>IFERROR(__xludf.DUMMYFUNCTION("""COMPUTED_VALUE"""),5.0)</f>
        <v>5</v>
      </c>
      <c r="AG16" s="199">
        <f>IFERROR(__xludf.DUMMYFUNCTION("""COMPUTED_VALUE"""),246.0)</f>
        <v>246</v>
      </c>
      <c r="AH16" s="199">
        <f>IFERROR(__xludf.DUMMYFUNCTION("""COMPUTED_VALUE"""),3.0)</f>
        <v>3</v>
      </c>
      <c r="AI16" s="200" t="str">
        <f>IFERROR(__xludf.DUMMYFUNCTION("""COMPUTED_VALUE"""),"Wear Metal Alert | High Particle Count")</f>
        <v>Wear Metal Alert | High Particle Count</v>
      </c>
      <c r="AJ16" s="200" t="str">
        <f>IFERROR(__xludf.DUMMYFUNCTION("""COMPUTED_VALUE"""),"URGENT: Inspect equipment immediately for wear/damage; High wear metals - inspect bearing/gear surfaces; High particle count - replace filters and resample")</f>
        <v>URGENT: Inspect equipment immediately for wear/damage; High wear metals - inspect bearing/gear surfaces; High particle count - replace filters and resample</v>
      </c>
      <c r="AK16" s="204"/>
      <c r="AL16" s="204"/>
      <c r="AM16" s="204"/>
    </row>
    <row r="17" hidden="1">
      <c r="A17" s="199" t="str">
        <f>IFERROR(__xludf.DUMMYFUNCTION("""COMPUTED_VALUE"""),"431.KB101(3)")</f>
        <v>431.KB101(3)</v>
      </c>
      <c r="B17" s="200" t="str">
        <f>IFERROR(__xludf.DUMMYFUNCTION("""COMPUTED_VALUE"""),"Kiln Bearing")</f>
        <v>Kiln Bearing</v>
      </c>
      <c r="C17" s="199">
        <f>IFERROR(__xludf.DUMMYFUNCTION("""COMPUTED_VALUE"""),2.2361270257E10)</f>
        <v>22361270257</v>
      </c>
      <c r="D17" s="201">
        <f>IFERROR(__xludf.DUMMYFUNCTION("""COMPUTED_VALUE"""),44915.0)</f>
        <v>44915</v>
      </c>
      <c r="E17" s="202" t="str">
        <f>IFERROR(__xludf.DUMMYFUNCTION("""COMPUTED_VALUE"""),"Alert")</f>
        <v>Alert</v>
      </c>
      <c r="F17" s="202" t="str">
        <f>IFERROR(__xludf.DUMMYFUNCTION("""COMPUTED_VALUE"""),"Caution")</f>
        <v>Caution</v>
      </c>
      <c r="G17" s="203" t="str">
        <f>IFERROR(__xludf.DUMMYFUNCTION("""COMPUTED_VALUE"""),"Normal")</f>
        <v>Normal</v>
      </c>
      <c r="H17" s="203" t="str">
        <f>IFERROR(__xludf.DUMMYFUNCTION("""COMPUTED_VALUE"""),"Alert")</f>
        <v>Alert</v>
      </c>
      <c r="I17" s="199"/>
      <c r="J17" s="199"/>
      <c r="K17" s="199"/>
      <c r="L17" s="199">
        <f>IFERROR(__xludf.DUMMYFUNCTION("""COMPUTED_VALUE"""),42.0)</f>
        <v>42</v>
      </c>
      <c r="M17" s="199">
        <f>IFERROR(__xludf.DUMMYFUNCTION("""COMPUTED_VALUE"""),55.7)</f>
        <v>55.7</v>
      </c>
      <c r="N17" s="199"/>
      <c r="O17" s="199">
        <f>IFERROR(__xludf.DUMMYFUNCTION("""COMPUTED_VALUE"""),0.0)</f>
        <v>0</v>
      </c>
      <c r="P17" s="199"/>
      <c r="Q17" s="199">
        <f>IFERROR(__xludf.DUMMYFUNCTION("""COMPUTED_VALUE"""),0.0)</f>
        <v>0</v>
      </c>
      <c r="R17" s="199">
        <f>IFERROR(__xludf.DUMMYFUNCTION("""COMPUTED_VALUE"""),1.0)</f>
        <v>1</v>
      </c>
      <c r="S17" s="199">
        <f>IFERROR(__xludf.DUMMYFUNCTION("""COMPUTED_VALUE"""),0.0)</f>
        <v>0</v>
      </c>
      <c r="T17" s="199">
        <f>IFERROR(__xludf.DUMMYFUNCTION("""COMPUTED_VALUE"""),22.0)</f>
        <v>22</v>
      </c>
      <c r="U17" s="199">
        <f>IFERROR(__xludf.DUMMYFUNCTION("""COMPUTED_VALUE"""),24.0)</f>
        <v>24</v>
      </c>
      <c r="V17" s="199">
        <f>IFERROR(__xludf.DUMMYFUNCTION("""COMPUTED_VALUE"""),0.0)</f>
        <v>0</v>
      </c>
      <c r="W17" s="199">
        <f>IFERROR(__xludf.DUMMYFUNCTION("""COMPUTED_VALUE"""),0.0)</f>
        <v>0</v>
      </c>
      <c r="X17" s="199">
        <f>IFERROR(__xludf.DUMMYFUNCTION("""COMPUTED_VALUE"""),0.0)</f>
        <v>0</v>
      </c>
      <c r="Y17" s="199">
        <f>IFERROR(__xludf.DUMMYFUNCTION("""COMPUTED_VALUE"""),0.0)</f>
        <v>0</v>
      </c>
      <c r="Z17" s="199">
        <f>IFERROR(__xludf.DUMMYFUNCTION("""COMPUTED_VALUE"""),2.0)</f>
        <v>2</v>
      </c>
      <c r="AA17" s="199">
        <f>IFERROR(__xludf.DUMMYFUNCTION("""COMPUTED_VALUE"""),3.0)</f>
        <v>3</v>
      </c>
      <c r="AB17" s="199">
        <f>IFERROR(__xludf.DUMMYFUNCTION("""COMPUTED_VALUE"""),6.0)</f>
        <v>6</v>
      </c>
      <c r="AC17" s="199">
        <f>IFERROR(__xludf.DUMMYFUNCTION("""COMPUTED_VALUE"""),12.0)</f>
        <v>12</v>
      </c>
      <c r="AD17" s="199">
        <f>IFERROR(__xludf.DUMMYFUNCTION("""COMPUTED_VALUE"""),0.0)</f>
        <v>0</v>
      </c>
      <c r="AE17" s="199">
        <f>IFERROR(__xludf.DUMMYFUNCTION("""COMPUTED_VALUE"""),16.0)</f>
        <v>16</v>
      </c>
      <c r="AF17" s="199">
        <f>IFERROR(__xludf.DUMMYFUNCTION("""COMPUTED_VALUE"""),0.0)</f>
        <v>0</v>
      </c>
      <c r="AG17" s="199">
        <f>IFERROR(__xludf.DUMMYFUNCTION("""COMPUTED_VALUE"""),357.0)</f>
        <v>357</v>
      </c>
      <c r="AH17" s="199">
        <f>IFERROR(__xludf.DUMMYFUNCTION("""COMPUTED_VALUE"""),2.0)</f>
        <v>2</v>
      </c>
      <c r="AI17" s="200" t="str">
        <f>IFERROR(__xludf.DUMMYFUNCTION("""COMPUTED_VALUE"""),"General Alert")</f>
        <v>General Alert</v>
      </c>
      <c r="AJ17" s="200" t="str">
        <f>IFERROR(__xludf.DUMMYFUNCTION("""COMPUTED_VALUE"""),"Investigate root cause; increase sampling frequency to monthly")</f>
        <v>Investigate root cause; increase sampling frequency to monthly</v>
      </c>
      <c r="AK17" s="204"/>
      <c r="AL17" s="204"/>
      <c r="AM17" s="204"/>
    </row>
    <row r="18" hidden="1">
      <c r="A18" s="199" t="str">
        <f>IFERROR(__xludf.DUMMYFUNCTION("""COMPUTED_VALUE"""),"431.KB101(4)")</f>
        <v>431.KB101(4)</v>
      </c>
      <c r="B18" s="200" t="str">
        <f>IFERROR(__xludf.DUMMYFUNCTION("""COMPUTED_VALUE"""),"Kiln Bearing")</f>
        <v>Kiln Bearing</v>
      </c>
      <c r="C18" s="199">
        <f>IFERROR(__xludf.DUMMYFUNCTION("""COMPUTED_VALUE"""),2.2361270256E10)</f>
        <v>22361270256</v>
      </c>
      <c r="D18" s="201">
        <f>IFERROR(__xludf.DUMMYFUNCTION("""COMPUTED_VALUE"""),44915.0)</f>
        <v>44915</v>
      </c>
      <c r="E18" s="202" t="str">
        <f>IFERROR(__xludf.DUMMYFUNCTION("""COMPUTED_VALUE"""),"Alert")</f>
        <v>Alert</v>
      </c>
      <c r="F18" s="202" t="str">
        <f>IFERROR(__xludf.DUMMYFUNCTION("""COMPUTED_VALUE"""),"Alert")</f>
        <v>Alert</v>
      </c>
      <c r="G18" s="203" t="str">
        <f>IFERROR(__xludf.DUMMYFUNCTION("""COMPUTED_VALUE"""),"Alert")</f>
        <v>Alert</v>
      </c>
      <c r="H18" s="203" t="str">
        <f>IFERROR(__xludf.DUMMYFUNCTION("""COMPUTED_VALUE"""),"Alert")</f>
        <v>Alert</v>
      </c>
      <c r="I18" s="37"/>
      <c r="J18" s="37"/>
      <c r="K18" s="37"/>
      <c r="L18" s="199">
        <f>IFERROR(__xludf.DUMMYFUNCTION("""COMPUTED_VALUE"""),35.0)</f>
        <v>35</v>
      </c>
      <c r="M18" s="199">
        <f>IFERROR(__xludf.DUMMYFUNCTION("""COMPUTED_VALUE"""),58.6)</f>
        <v>58.6</v>
      </c>
      <c r="N18" s="199"/>
      <c r="O18" s="199">
        <f>IFERROR(__xludf.DUMMYFUNCTION("""COMPUTED_VALUE"""),0.0)</f>
        <v>0</v>
      </c>
      <c r="P18" s="199"/>
      <c r="Q18" s="199">
        <f>IFERROR(__xludf.DUMMYFUNCTION("""COMPUTED_VALUE"""),0.0)</f>
        <v>0</v>
      </c>
      <c r="R18" s="199">
        <f>IFERROR(__xludf.DUMMYFUNCTION("""COMPUTED_VALUE"""),1.0)</f>
        <v>1</v>
      </c>
      <c r="S18" s="199">
        <f>IFERROR(__xludf.DUMMYFUNCTION("""COMPUTED_VALUE"""),0.0)</f>
        <v>0</v>
      </c>
      <c r="T18" s="199">
        <f>IFERROR(__xludf.DUMMYFUNCTION("""COMPUTED_VALUE"""),55.0)</f>
        <v>55</v>
      </c>
      <c r="U18" s="199">
        <f>IFERROR(__xludf.DUMMYFUNCTION("""COMPUTED_VALUE"""),32.0)</f>
        <v>32</v>
      </c>
      <c r="V18" s="199">
        <f>IFERROR(__xludf.DUMMYFUNCTION("""COMPUTED_VALUE"""),0.0)</f>
        <v>0</v>
      </c>
      <c r="W18" s="199">
        <f>IFERROR(__xludf.DUMMYFUNCTION("""COMPUTED_VALUE"""),0.0)</f>
        <v>0</v>
      </c>
      <c r="X18" s="199">
        <f>IFERROR(__xludf.DUMMYFUNCTION("""COMPUTED_VALUE"""),0.0)</f>
        <v>0</v>
      </c>
      <c r="Y18" s="199">
        <f>IFERROR(__xludf.DUMMYFUNCTION("""COMPUTED_VALUE"""),0.0)</f>
        <v>0</v>
      </c>
      <c r="Z18" s="199">
        <f>IFERROR(__xludf.DUMMYFUNCTION("""COMPUTED_VALUE"""),2.0)</f>
        <v>2</v>
      </c>
      <c r="AA18" s="199">
        <f>IFERROR(__xludf.DUMMYFUNCTION("""COMPUTED_VALUE"""),10.0)</f>
        <v>10</v>
      </c>
      <c r="AB18" s="199">
        <f>IFERROR(__xludf.DUMMYFUNCTION("""COMPUTED_VALUE"""),23.0)</f>
        <v>23</v>
      </c>
      <c r="AC18" s="199">
        <f>IFERROR(__xludf.DUMMYFUNCTION("""COMPUTED_VALUE"""),16.0)</f>
        <v>16</v>
      </c>
      <c r="AD18" s="199">
        <f>IFERROR(__xludf.DUMMYFUNCTION("""COMPUTED_VALUE"""),0.0)</f>
        <v>0</v>
      </c>
      <c r="AE18" s="199">
        <f>IFERROR(__xludf.DUMMYFUNCTION("""COMPUTED_VALUE"""),5.0)</f>
        <v>5</v>
      </c>
      <c r="AF18" s="199">
        <f>IFERROR(__xludf.DUMMYFUNCTION("""COMPUTED_VALUE"""),0.0)</f>
        <v>0</v>
      </c>
      <c r="AG18" s="199">
        <f>IFERROR(__xludf.DUMMYFUNCTION("""COMPUTED_VALUE"""),390.0)</f>
        <v>390</v>
      </c>
      <c r="AH18" s="199">
        <f>IFERROR(__xludf.DUMMYFUNCTION("""COMPUTED_VALUE"""),0.0)</f>
        <v>0</v>
      </c>
      <c r="AI18" s="200" t="str">
        <f>IFERROR(__xludf.DUMMYFUNCTION("""COMPUTED_VALUE"""),"Wear Metal Alert")</f>
        <v>Wear Metal Alert</v>
      </c>
      <c r="AJ18" s="200" t="str">
        <f>IFERROR(__xludf.DUMMYFUNCTION("""COMPUTED_VALUE"""),"URGENT: Inspect equipment immediately for wear/damage")</f>
        <v>URGENT: Inspect equipment immediately for wear/damage</v>
      </c>
      <c r="AK18" s="204"/>
      <c r="AL18" s="204"/>
      <c r="AM18" s="204"/>
    </row>
    <row r="19" hidden="1">
      <c r="A19" s="199" t="str">
        <f>IFERROR(__xludf.DUMMYFUNCTION("""COMPUTED_VALUE"""),"431.KB102(1)")</f>
        <v>431.KB102(1)</v>
      </c>
      <c r="B19" s="200" t="str">
        <f>IFERROR(__xludf.DUMMYFUNCTION("""COMPUTED_VALUE"""),"Kiln Bearing")</f>
        <v>Kiln Bearing</v>
      </c>
      <c r="C19" s="199">
        <f>IFERROR(__xludf.DUMMYFUNCTION("""COMPUTED_VALUE"""),2.2361270622E10)</f>
        <v>22361270622</v>
      </c>
      <c r="D19" s="201">
        <f>IFERROR(__xludf.DUMMYFUNCTION("""COMPUTED_VALUE"""),44915.0)</f>
        <v>44915</v>
      </c>
      <c r="E19" s="202" t="str">
        <f>IFERROR(__xludf.DUMMYFUNCTION("""COMPUTED_VALUE"""),"Alert")</f>
        <v>Alert</v>
      </c>
      <c r="F19" s="202" t="str">
        <f>IFERROR(__xludf.DUMMYFUNCTION("""COMPUTED_VALUE"""),"Alert")</f>
        <v>Alert</v>
      </c>
      <c r="G19" s="203" t="str">
        <f>IFERROR(__xludf.DUMMYFUNCTION("""COMPUTED_VALUE"""),"Normal")</f>
        <v>Normal</v>
      </c>
      <c r="H19" s="203" t="str">
        <f>IFERROR(__xludf.DUMMYFUNCTION("""COMPUTED_VALUE"""),"Alert")</f>
        <v>Alert</v>
      </c>
      <c r="I19" s="37"/>
      <c r="J19" s="37"/>
      <c r="K19" s="37"/>
      <c r="L19" s="199">
        <f>IFERROR(__xludf.DUMMYFUNCTION("""COMPUTED_VALUE"""),11.0)</f>
        <v>11</v>
      </c>
      <c r="M19" s="199">
        <f>IFERROR(__xludf.DUMMYFUNCTION("""COMPUTED_VALUE"""),55.2)</f>
        <v>55.2</v>
      </c>
      <c r="N19" s="199"/>
      <c r="O19" s="199">
        <f>IFERROR(__xludf.DUMMYFUNCTION("""COMPUTED_VALUE"""),0.0)</f>
        <v>0</v>
      </c>
      <c r="P19" s="199"/>
      <c r="Q19" s="199">
        <f>IFERROR(__xludf.DUMMYFUNCTION("""COMPUTED_VALUE"""),0.0)</f>
        <v>0</v>
      </c>
      <c r="R19" s="199">
        <f>IFERROR(__xludf.DUMMYFUNCTION("""COMPUTED_VALUE"""),2.0)</f>
        <v>2</v>
      </c>
      <c r="S19" s="199">
        <f>IFERROR(__xludf.DUMMYFUNCTION("""COMPUTED_VALUE"""),0.0)</f>
        <v>0</v>
      </c>
      <c r="T19" s="199">
        <f>IFERROR(__xludf.DUMMYFUNCTION("""COMPUTED_VALUE"""),39.0)</f>
        <v>39</v>
      </c>
      <c r="U19" s="199">
        <f>IFERROR(__xludf.DUMMYFUNCTION("""COMPUTED_VALUE"""),15.0)</f>
        <v>15</v>
      </c>
      <c r="V19" s="199">
        <f>IFERROR(__xludf.DUMMYFUNCTION("""COMPUTED_VALUE"""),0.0)</f>
        <v>0</v>
      </c>
      <c r="W19" s="199">
        <f>IFERROR(__xludf.DUMMYFUNCTION("""COMPUTED_VALUE"""),0.0)</f>
        <v>0</v>
      </c>
      <c r="X19" s="199">
        <f>IFERROR(__xludf.DUMMYFUNCTION("""COMPUTED_VALUE"""),1.0)</f>
        <v>1</v>
      </c>
      <c r="Y19" s="199">
        <f>IFERROR(__xludf.DUMMYFUNCTION("""COMPUTED_VALUE"""),3.0)</f>
        <v>3</v>
      </c>
      <c r="Z19" s="199">
        <f>IFERROR(__xludf.DUMMYFUNCTION("""COMPUTED_VALUE"""),0.0)</f>
        <v>0</v>
      </c>
      <c r="AA19" s="199">
        <f>IFERROR(__xludf.DUMMYFUNCTION("""COMPUTED_VALUE"""),2.0)</f>
        <v>2</v>
      </c>
      <c r="AB19" s="199">
        <f>IFERROR(__xludf.DUMMYFUNCTION("""COMPUTED_VALUE"""),22.0)</f>
        <v>22</v>
      </c>
      <c r="AC19" s="199">
        <f>IFERROR(__xludf.DUMMYFUNCTION("""COMPUTED_VALUE"""),13.0)</f>
        <v>13</v>
      </c>
      <c r="AD19" s="199">
        <f>IFERROR(__xludf.DUMMYFUNCTION("""COMPUTED_VALUE"""),0.0)</f>
        <v>0</v>
      </c>
      <c r="AE19" s="199">
        <f>IFERROR(__xludf.DUMMYFUNCTION("""COMPUTED_VALUE"""),21.0)</f>
        <v>21</v>
      </c>
      <c r="AF19" s="199">
        <f>IFERROR(__xludf.DUMMYFUNCTION("""COMPUTED_VALUE"""),1.0)</f>
        <v>1</v>
      </c>
      <c r="AG19" s="199">
        <f>IFERROR(__xludf.DUMMYFUNCTION("""COMPUTED_VALUE"""),283.0)</f>
        <v>283</v>
      </c>
      <c r="AH19" s="199">
        <f>IFERROR(__xludf.DUMMYFUNCTION("""COMPUTED_VALUE"""),1.0)</f>
        <v>1</v>
      </c>
      <c r="AI19" s="200" t="str">
        <f>IFERROR(__xludf.DUMMYFUNCTION("""COMPUTED_VALUE"""),"General Alert")</f>
        <v>General Alert</v>
      </c>
      <c r="AJ19" s="200" t="str">
        <f>IFERROR(__xludf.DUMMYFUNCTION("""COMPUTED_VALUE"""),"Investigate root cause; increase sampling frequency to monthly")</f>
        <v>Investigate root cause; increase sampling frequency to monthly</v>
      </c>
      <c r="AK19" s="204"/>
      <c r="AL19" s="204"/>
      <c r="AM19" s="204"/>
    </row>
    <row r="20" hidden="1">
      <c r="A20" s="199" t="str">
        <f>IFERROR(__xludf.DUMMYFUNCTION("""COMPUTED_VALUE"""),"431.KB102(2)")</f>
        <v>431.KB102(2)</v>
      </c>
      <c r="B20" s="200" t="str">
        <f>IFERROR(__xludf.DUMMYFUNCTION("""COMPUTED_VALUE"""),"Kiln Bearing")</f>
        <v>Kiln Bearing</v>
      </c>
      <c r="C20" s="199">
        <f>IFERROR(__xludf.DUMMYFUNCTION("""COMPUTED_VALUE"""),2.2364300232E10)</f>
        <v>22364300232</v>
      </c>
      <c r="D20" s="201">
        <f>IFERROR(__xludf.DUMMYFUNCTION("""COMPUTED_VALUE"""),44915.0)</f>
        <v>44915</v>
      </c>
      <c r="E20" s="202" t="str">
        <f>IFERROR(__xludf.DUMMYFUNCTION("""COMPUTED_VALUE"""),"Alert")</f>
        <v>Alert</v>
      </c>
      <c r="F20" s="202" t="str">
        <f>IFERROR(__xludf.DUMMYFUNCTION("""COMPUTED_VALUE"""),"Alert")</f>
        <v>Alert</v>
      </c>
      <c r="G20" s="203" t="str">
        <f>IFERROR(__xludf.DUMMYFUNCTION("""COMPUTED_VALUE"""),"Alert")</f>
        <v>Alert</v>
      </c>
      <c r="H20" s="203" t="str">
        <f>IFERROR(__xludf.DUMMYFUNCTION("""COMPUTED_VALUE"""),"Alert")</f>
        <v>Alert</v>
      </c>
      <c r="I20" s="199"/>
      <c r="J20" s="199"/>
      <c r="K20" s="199"/>
      <c r="L20" s="199">
        <f>IFERROR(__xludf.DUMMYFUNCTION("""COMPUTED_VALUE"""),31.0)</f>
        <v>31</v>
      </c>
      <c r="M20" s="199">
        <f>IFERROR(__xludf.DUMMYFUNCTION("""COMPUTED_VALUE"""),53.6)</f>
        <v>53.6</v>
      </c>
      <c r="N20" s="199"/>
      <c r="O20" s="199">
        <f>IFERROR(__xludf.DUMMYFUNCTION("""COMPUTED_VALUE"""),3.0)</f>
        <v>3</v>
      </c>
      <c r="P20" s="199"/>
      <c r="Q20" s="199">
        <f>IFERROR(__xludf.DUMMYFUNCTION("""COMPUTED_VALUE"""),0.0)</f>
        <v>0</v>
      </c>
      <c r="R20" s="199">
        <f>IFERROR(__xludf.DUMMYFUNCTION("""COMPUTED_VALUE"""),3.0)</f>
        <v>3</v>
      </c>
      <c r="S20" s="199">
        <f>IFERROR(__xludf.DUMMYFUNCTION("""COMPUTED_VALUE"""),0.0)</f>
        <v>0</v>
      </c>
      <c r="T20" s="199">
        <f>IFERROR(__xludf.DUMMYFUNCTION("""COMPUTED_VALUE"""),38.0)</f>
        <v>38</v>
      </c>
      <c r="U20" s="199">
        <f>IFERROR(__xludf.DUMMYFUNCTION("""COMPUTED_VALUE"""),61.0)</f>
        <v>61</v>
      </c>
      <c r="V20" s="199">
        <f>IFERROR(__xludf.DUMMYFUNCTION("""COMPUTED_VALUE"""),2.0)</f>
        <v>2</v>
      </c>
      <c r="W20" s="199">
        <f>IFERROR(__xludf.DUMMYFUNCTION("""COMPUTED_VALUE"""),0.0)</f>
        <v>0</v>
      </c>
      <c r="X20" s="199">
        <f>IFERROR(__xludf.DUMMYFUNCTION("""COMPUTED_VALUE"""),1.0)</f>
        <v>1</v>
      </c>
      <c r="Y20" s="199">
        <f>IFERROR(__xludf.DUMMYFUNCTION("""COMPUTED_VALUE"""),0.0)</f>
        <v>0</v>
      </c>
      <c r="Z20" s="199">
        <f>IFERROR(__xludf.DUMMYFUNCTION("""COMPUTED_VALUE"""),6.0)</f>
        <v>6</v>
      </c>
      <c r="AA20" s="199">
        <f>IFERROR(__xludf.DUMMYFUNCTION("""COMPUTED_VALUE"""),0.0)</f>
        <v>0</v>
      </c>
      <c r="AB20" s="199">
        <f>IFERROR(__xludf.DUMMYFUNCTION("""COMPUTED_VALUE"""),28.0)</f>
        <v>28</v>
      </c>
      <c r="AC20" s="199">
        <f>IFERROR(__xludf.DUMMYFUNCTION("""COMPUTED_VALUE"""),28.0)</f>
        <v>28</v>
      </c>
      <c r="AD20" s="199">
        <f>IFERROR(__xludf.DUMMYFUNCTION("""COMPUTED_VALUE"""),0.0)</f>
        <v>0</v>
      </c>
      <c r="AE20" s="199">
        <f>IFERROR(__xludf.DUMMYFUNCTION("""COMPUTED_VALUE"""),58.0)</f>
        <v>58</v>
      </c>
      <c r="AF20" s="199">
        <f>IFERROR(__xludf.DUMMYFUNCTION("""COMPUTED_VALUE"""),2.0)</f>
        <v>2</v>
      </c>
      <c r="AG20" s="199">
        <f>IFERROR(__xludf.DUMMYFUNCTION("""COMPUTED_VALUE"""),238.0)</f>
        <v>238</v>
      </c>
      <c r="AH20" s="199">
        <f>IFERROR(__xludf.DUMMYFUNCTION("""COMPUTED_VALUE"""),18.0)</f>
        <v>18</v>
      </c>
      <c r="AI20" s="200" t="str">
        <f>IFERROR(__xludf.DUMMYFUNCTION("""COMPUTED_VALUE"""),"Wear Metal Alert")</f>
        <v>Wear Metal Alert</v>
      </c>
      <c r="AJ20" s="200" t="str">
        <f>IFERROR(__xludf.DUMMYFUNCTION("""COMPUTED_VALUE"""),"URGENT: Inspect equipment immediately for wear/damage")</f>
        <v>URGENT: Inspect equipment immediately for wear/damage</v>
      </c>
      <c r="AK20" s="204"/>
      <c r="AL20" s="204"/>
      <c r="AM20" s="204"/>
    </row>
    <row r="21" hidden="1">
      <c r="A21" s="199" t="str">
        <f>IFERROR(__xludf.DUMMYFUNCTION("""COMPUTED_VALUE"""),"431.KB102(3)")</f>
        <v>431.KB102(3)</v>
      </c>
      <c r="B21" s="200" t="str">
        <f>IFERROR(__xludf.DUMMYFUNCTION("""COMPUTED_VALUE"""),"Kiln Bearing")</f>
        <v>Kiln Bearing</v>
      </c>
      <c r="C21" s="199">
        <f>IFERROR(__xludf.DUMMYFUNCTION("""COMPUTED_VALUE"""),2.2361270254E10)</f>
        <v>22361270254</v>
      </c>
      <c r="D21" s="201">
        <f>IFERROR(__xludf.DUMMYFUNCTION("""COMPUTED_VALUE"""),44915.0)</f>
        <v>44915</v>
      </c>
      <c r="E21" s="202" t="str">
        <f>IFERROR(__xludf.DUMMYFUNCTION("""COMPUTED_VALUE"""),"Alert")</f>
        <v>Alert</v>
      </c>
      <c r="F21" s="202" t="str">
        <f>IFERROR(__xludf.DUMMYFUNCTION("""COMPUTED_VALUE"""),"Caution")</f>
        <v>Caution</v>
      </c>
      <c r="G21" s="203" t="str">
        <f>IFERROR(__xludf.DUMMYFUNCTION("""COMPUTED_VALUE"""),"Caution")</f>
        <v>Caution</v>
      </c>
      <c r="H21" s="203" t="str">
        <f>IFERROR(__xludf.DUMMYFUNCTION("""COMPUTED_VALUE"""),"Alert")</f>
        <v>Alert</v>
      </c>
      <c r="I21" s="199"/>
      <c r="J21" s="199"/>
      <c r="K21" s="199"/>
      <c r="L21" s="199">
        <f>IFERROR(__xludf.DUMMYFUNCTION("""COMPUTED_VALUE"""),30.0)</f>
        <v>30</v>
      </c>
      <c r="M21" s="199">
        <f>IFERROR(__xludf.DUMMYFUNCTION("""COMPUTED_VALUE"""),56.4)</f>
        <v>56.4</v>
      </c>
      <c r="N21" s="199"/>
      <c r="O21" s="199">
        <f>IFERROR(__xludf.DUMMYFUNCTION("""COMPUTED_VALUE"""),0.0)</f>
        <v>0</v>
      </c>
      <c r="P21" s="199"/>
      <c r="Q21" s="199">
        <f>IFERROR(__xludf.DUMMYFUNCTION("""COMPUTED_VALUE"""),0.0)</f>
        <v>0</v>
      </c>
      <c r="R21" s="199">
        <f>IFERROR(__xludf.DUMMYFUNCTION("""COMPUTED_VALUE"""),1.0)</f>
        <v>1</v>
      </c>
      <c r="S21" s="199">
        <f>IFERROR(__xludf.DUMMYFUNCTION("""COMPUTED_VALUE"""),0.0)</f>
        <v>0</v>
      </c>
      <c r="T21" s="199">
        <f>IFERROR(__xludf.DUMMYFUNCTION("""COMPUTED_VALUE"""),19.0)</f>
        <v>19</v>
      </c>
      <c r="U21" s="199">
        <f>IFERROR(__xludf.DUMMYFUNCTION("""COMPUTED_VALUE"""),43.0)</f>
        <v>43</v>
      </c>
      <c r="V21" s="199">
        <f>IFERROR(__xludf.DUMMYFUNCTION("""COMPUTED_VALUE"""),0.0)</f>
        <v>0</v>
      </c>
      <c r="W21" s="199">
        <f>IFERROR(__xludf.DUMMYFUNCTION("""COMPUTED_VALUE"""),0.0)</f>
        <v>0</v>
      </c>
      <c r="X21" s="199">
        <f>IFERROR(__xludf.DUMMYFUNCTION("""COMPUTED_VALUE"""),0.0)</f>
        <v>0</v>
      </c>
      <c r="Y21" s="199">
        <f>IFERROR(__xludf.DUMMYFUNCTION("""COMPUTED_VALUE"""),0.0)</f>
        <v>0</v>
      </c>
      <c r="Z21" s="199">
        <f>IFERROR(__xludf.DUMMYFUNCTION("""COMPUTED_VALUE"""),0.0)</f>
        <v>0</v>
      </c>
      <c r="AA21" s="199">
        <f>IFERROR(__xludf.DUMMYFUNCTION("""COMPUTED_VALUE"""),0.0)</f>
        <v>0</v>
      </c>
      <c r="AB21" s="199">
        <f>IFERROR(__xludf.DUMMYFUNCTION("""COMPUTED_VALUE"""),13.0)</f>
        <v>13</v>
      </c>
      <c r="AC21" s="199">
        <f>IFERROR(__xludf.DUMMYFUNCTION("""COMPUTED_VALUE"""),18.0)</f>
        <v>18</v>
      </c>
      <c r="AD21" s="199">
        <f>IFERROR(__xludf.DUMMYFUNCTION("""COMPUTED_VALUE"""),0.0)</f>
        <v>0</v>
      </c>
      <c r="AE21" s="199">
        <f>IFERROR(__xludf.DUMMYFUNCTION("""COMPUTED_VALUE"""),15.0)</f>
        <v>15</v>
      </c>
      <c r="AF21" s="199">
        <f>IFERROR(__xludf.DUMMYFUNCTION("""COMPUTED_VALUE"""),3.0)</f>
        <v>3</v>
      </c>
      <c r="AG21" s="199">
        <f>IFERROR(__xludf.DUMMYFUNCTION("""COMPUTED_VALUE"""),212.0)</f>
        <v>212</v>
      </c>
      <c r="AH21" s="199">
        <f>IFERROR(__xludf.DUMMYFUNCTION("""COMPUTED_VALUE"""),2.0)</f>
        <v>2</v>
      </c>
      <c r="AI21" s="200" t="str">
        <f>IFERROR(__xludf.DUMMYFUNCTION("""COMPUTED_VALUE"""),"General Alert")</f>
        <v>General Alert</v>
      </c>
      <c r="AJ21" s="200" t="str">
        <f>IFERROR(__xludf.DUMMYFUNCTION("""COMPUTED_VALUE"""),"Investigate root cause; increase sampling frequency to monthly")</f>
        <v>Investigate root cause; increase sampling frequency to monthly</v>
      </c>
      <c r="AK21" s="204"/>
      <c r="AL21" s="204"/>
      <c r="AM21" s="204"/>
    </row>
    <row r="22" hidden="1">
      <c r="A22" s="199" t="str">
        <f>IFERROR(__xludf.DUMMYFUNCTION("""COMPUTED_VALUE"""),"431.KB102(4)")</f>
        <v>431.KB102(4)</v>
      </c>
      <c r="B22" s="200" t="str">
        <f>IFERROR(__xludf.DUMMYFUNCTION("""COMPUTED_VALUE"""),"Kiln Bearing")</f>
        <v>Kiln Bearing</v>
      </c>
      <c r="C22" s="199">
        <f>IFERROR(__xludf.DUMMYFUNCTION("""COMPUTED_VALUE"""),2.2361270264E10)</f>
        <v>22361270264</v>
      </c>
      <c r="D22" s="201">
        <f>IFERROR(__xludf.DUMMYFUNCTION("""COMPUTED_VALUE"""),44915.0)</f>
        <v>44915</v>
      </c>
      <c r="E22" s="202" t="str">
        <f>IFERROR(__xludf.DUMMYFUNCTION("""COMPUTED_VALUE"""),"Alert")</f>
        <v>Alert</v>
      </c>
      <c r="F22" s="202" t="str">
        <f>IFERROR(__xludf.DUMMYFUNCTION("""COMPUTED_VALUE"""),"Caution")</f>
        <v>Caution</v>
      </c>
      <c r="G22" s="203" t="str">
        <f>IFERROR(__xludf.DUMMYFUNCTION("""COMPUTED_VALUE"""),"Normal")</f>
        <v>Normal</v>
      </c>
      <c r="H22" s="203" t="str">
        <f>IFERROR(__xludf.DUMMYFUNCTION("""COMPUTED_VALUE"""),"Alert")</f>
        <v>Alert</v>
      </c>
      <c r="I22" s="199"/>
      <c r="J22" s="199"/>
      <c r="K22" s="199"/>
      <c r="L22" s="199">
        <f>IFERROR(__xludf.DUMMYFUNCTION("""COMPUTED_VALUE"""),11.0)</f>
        <v>11</v>
      </c>
      <c r="M22" s="199">
        <f>IFERROR(__xludf.DUMMYFUNCTION("""COMPUTED_VALUE"""),54.7)</f>
        <v>54.7</v>
      </c>
      <c r="N22" s="199"/>
      <c r="O22" s="199">
        <f>IFERROR(__xludf.DUMMYFUNCTION("""COMPUTED_VALUE"""),0.0)</f>
        <v>0</v>
      </c>
      <c r="P22" s="199"/>
      <c r="Q22" s="199">
        <f>IFERROR(__xludf.DUMMYFUNCTION("""COMPUTED_VALUE"""),0.0)</f>
        <v>0</v>
      </c>
      <c r="R22" s="199">
        <f>IFERROR(__xludf.DUMMYFUNCTION("""COMPUTED_VALUE"""),2.0)</f>
        <v>2</v>
      </c>
      <c r="S22" s="199">
        <f>IFERROR(__xludf.DUMMYFUNCTION("""COMPUTED_VALUE"""),0.0)</f>
        <v>0</v>
      </c>
      <c r="T22" s="199">
        <f>IFERROR(__xludf.DUMMYFUNCTION("""COMPUTED_VALUE"""),33.0)</f>
        <v>33</v>
      </c>
      <c r="U22" s="199">
        <f>IFERROR(__xludf.DUMMYFUNCTION("""COMPUTED_VALUE"""),14.0)</f>
        <v>14</v>
      </c>
      <c r="V22" s="199">
        <f>IFERROR(__xludf.DUMMYFUNCTION("""COMPUTED_VALUE"""),0.0)</f>
        <v>0</v>
      </c>
      <c r="W22" s="199">
        <f>IFERROR(__xludf.DUMMYFUNCTION("""COMPUTED_VALUE"""),0.0)</f>
        <v>0</v>
      </c>
      <c r="X22" s="199">
        <f>IFERROR(__xludf.DUMMYFUNCTION("""COMPUTED_VALUE"""),0.0)</f>
        <v>0</v>
      </c>
      <c r="Y22" s="199">
        <f>IFERROR(__xludf.DUMMYFUNCTION("""COMPUTED_VALUE"""),0.0)</f>
        <v>0</v>
      </c>
      <c r="Z22" s="199">
        <f>IFERROR(__xludf.DUMMYFUNCTION("""COMPUTED_VALUE"""),2.0)</f>
        <v>2</v>
      </c>
      <c r="AA22" s="199">
        <f>IFERROR(__xludf.DUMMYFUNCTION("""COMPUTED_VALUE"""),2.0)</f>
        <v>2</v>
      </c>
      <c r="AB22" s="199">
        <f>IFERROR(__xludf.DUMMYFUNCTION("""COMPUTED_VALUE"""),9.0)</f>
        <v>9</v>
      </c>
      <c r="AC22" s="199">
        <f>IFERROR(__xludf.DUMMYFUNCTION("""COMPUTED_VALUE"""),14.0)</f>
        <v>14</v>
      </c>
      <c r="AD22" s="199">
        <f>IFERROR(__xludf.DUMMYFUNCTION("""COMPUTED_VALUE"""),0.0)</f>
        <v>0</v>
      </c>
      <c r="AE22" s="199">
        <f>IFERROR(__xludf.DUMMYFUNCTION("""COMPUTED_VALUE"""),20.0)</f>
        <v>20</v>
      </c>
      <c r="AF22" s="199">
        <f>IFERROR(__xludf.DUMMYFUNCTION("""COMPUTED_VALUE"""),1.0)</f>
        <v>1</v>
      </c>
      <c r="AG22" s="199">
        <f>IFERROR(__xludf.DUMMYFUNCTION("""COMPUTED_VALUE"""),239.0)</f>
        <v>239</v>
      </c>
      <c r="AH22" s="199">
        <f>IFERROR(__xludf.DUMMYFUNCTION("""COMPUTED_VALUE"""),1.0)</f>
        <v>1</v>
      </c>
      <c r="AI22" s="200" t="str">
        <f>IFERROR(__xludf.DUMMYFUNCTION("""COMPUTED_VALUE"""),"General Alert")</f>
        <v>General Alert</v>
      </c>
      <c r="AJ22" s="200" t="str">
        <f>IFERROR(__xludf.DUMMYFUNCTION("""COMPUTED_VALUE"""),"Investigate root cause; increase sampling frequency to monthly")</f>
        <v>Investigate root cause; increase sampling frequency to monthly</v>
      </c>
      <c r="AK22" s="204"/>
      <c r="AL22" s="204"/>
      <c r="AM22" s="204"/>
    </row>
    <row r="23" hidden="1">
      <c r="A23" s="199" t="str">
        <f>IFERROR(__xludf.DUMMYFUNCTION("""COMPUTED_VALUE"""),"431.KB103(1)")</f>
        <v>431.KB103(1)</v>
      </c>
      <c r="B23" s="200" t="str">
        <f>IFERROR(__xludf.DUMMYFUNCTION("""COMPUTED_VALUE"""),"Kiln Bearing")</f>
        <v>Kiln Bearing</v>
      </c>
      <c r="C23" s="199">
        <f>IFERROR(__xludf.DUMMYFUNCTION("""COMPUTED_VALUE"""),2.2361270525E10)</f>
        <v>22361270525</v>
      </c>
      <c r="D23" s="201">
        <f>IFERROR(__xludf.DUMMYFUNCTION("""COMPUTED_VALUE"""),44915.0)</f>
        <v>44915</v>
      </c>
      <c r="E23" s="202" t="str">
        <f>IFERROR(__xludf.DUMMYFUNCTION("""COMPUTED_VALUE"""),"Alert")</f>
        <v>Alert</v>
      </c>
      <c r="F23" s="202" t="str">
        <f>IFERROR(__xludf.DUMMYFUNCTION("""COMPUTED_VALUE"""),"Alert")</f>
        <v>Alert</v>
      </c>
      <c r="G23" s="203" t="str">
        <f>IFERROR(__xludf.DUMMYFUNCTION("""COMPUTED_VALUE"""),"Normal")</f>
        <v>Normal</v>
      </c>
      <c r="H23" s="203" t="str">
        <f>IFERROR(__xludf.DUMMYFUNCTION("""COMPUTED_VALUE"""),"Alert")</f>
        <v>Alert</v>
      </c>
      <c r="I23" s="199"/>
      <c r="J23" s="199"/>
      <c r="K23" s="199"/>
      <c r="L23" s="199">
        <f>IFERROR(__xludf.DUMMYFUNCTION("""COMPUTED_VALUE"""),34.0)</f>
        <v>34</v>
      </c>
      <c r="M23" s="199">
        <f>IFERROR(__xludf.DUMMYFUNCTION("""COMPUTED_VALUE"""),54.1)</f>
        <v>54.1</v>
      </c>
      <c r="N23" s="199"/>
      <c r="O23" s="199">
        <f>IFERROR(__xludf.DUMMYFUNCTION("""COMPUTED_VALUE"""),0.0)</f>
        <v>0</v>
      </c>
      <c r="P23" s="199"/>
      <c r="Q23" s="199">
        <f>IFERROR(__xludf.DUMMYFUNCTION("""COMPUTED_VALUE"""),0.0)</f>
        <v>0</v>
      </c>
      <c r="R23" s="199">
        <f>IFERROR(__xludf.DUMMYFUNCTION("""COMPUTED_VALUE"""),5.0)</f>
        <v>5</v>
      </c>
      <c r="S23" s="199">
        <f>IFERROR(__xludf.DUMMYFUNCTION("""COMPUTED_VALUE"""),0.0)</f>
        <v>0</v>
      </c>
      <c r="T23" s="199">
        <f>IFERROR(__xludf.DUMMYFUNCTION("""COMPUTED_VALUE"""),26.0)</f>
        <v>26</v>
      </c>
      <c r="U23" s="199">
        <f>IFERROR(__xludf.DUMMYFUNCTION("""COMPUTED_VALUE"""),37.0)</f>
        <v>37</v>
      </c>
      <c r="V23" s="199">
        <f>IFERROR(__xludf.DUMMYFUNCTION("""COMPUTED_VALUE"""),9.0)</f>
        <v>9</v>
      </c>
      <c r="W23" s="199">
        <f>IFERROR(__xludf.DUMMYFUNCTION("""COMPUTED_VALUE"""),0.0)</f>
        <v>0</v>
      </c>
      <c r="X23" s="199">
        <f>IFERROR(__xludf.DUMMYFUNCTION("""COMPUTED_VALUE"""),0.0)</f>
        <v>0</v>
      </c>
      <c r="Y23" s="199">
        <f>IFERROR(__xludf.DUMMYFUNCTION("""COMPUTED_VALUE"""),2.0)</f>
        <v>2</v>
      </c>
      <c r="Z23" s="199">
        <f>IFERROR(__xludf.DUMMYFUNCTION("""COMPUTED_VALUE"""),0.0)</f>
        <v>0</v>
      </c>
      <c r="AA23" s="199">
        <f>IFERROR(__xludf.DUMMYFUNCTION("""COMPUTED_VALUE"""),0.0)</f>
        <v>0</v>
      </c>
      <c r="AB23" s="199">
        <f>IFERROR(__xludf.DUMMYFUNCTION("""COMPUTED_VALUE"""),30.0)</f>
        <v>30</v>
      </c>
      <c r="AC23" s="199">
        <f>IFERROR(__xludf.DUMMYFUNCTION("""COMPUTED_VALUE"""),22.0)</f>
        <v>22</v>
      </c>
      <c r="AD23" s="199">
        <f>IFERROR(__xludf.DUMMYFUNCTION("""COMPUTED_VALUE"""),0.0)</f>
        <v>0</v>
      </c>
      <c r="AE23" s="199">
        <f>IFERROR(__xludf.DUMMYFUNCTION("""COMPUTED_VALUE"""),11.0)</f>
        <v>11</v>
      </c>
      <c r="AF23" s="199">
        <f>IFERROR(__xludf.DUMMYFUNCTION("""COMPUTED_VALUE"""),0.0)</f>
        <v>0</v>
      </c>
      <c r="AG23" s="199">
        <f>IFERROR(__xludf.DUMMYFUNCTION("""COMPUTED_VALUE"""),192.0)</f>
        <v>192</v>
      </c>
      <c r="AH23" s="199">
        <f>IFERROR(__xludf.DUMMYFUNCTION("""COMPUTED_VALUE"""),14.0)</f>
        <v>14</v>
      </c>
      <c r="AI23" s="200" t="str">
        <f>IFERROR(__xludf.DUMMYFUNCTION("""COMPUTED_VALUE"""),"General Alert")</f>
        <v>General Alert</v>
      </c>
      <c r="AJ23" s="200" t="str">
        <f>IFERROR(__xludf.DUMMYFUNCTION("""COMPUTED_VALUE"""),"Investigate root cause; increase sampling frequency to monthly")</f>
        <v>Investigate root cause; increase sampling frequency to monthly</v>
      </c>
      <c r="AK23" s="204"/>
      <c r="AL23" s="204"/>
      <c r="AM23" s="204"/>
    </row>
    <row r="24" hidden="1">
      <c r="A24" s="199" t="str">
        <f>IFERROR(__xludf.DUMMYFUNCTION("""COMPUTED_VALUE"""),"431.KB103(2)")</f>
        <v>431.KB103(2)</v>
      </c>
      <c r="B24" s="200" t="str">
        <f>IFERROR(__xludf.DUMMYFUNCTION("""COMPUTED_VALUE"""),"Kiln Bearing")</f>
        <v>Kiln Bearing</v>
      </c>
      <c r="C24" s="199">
        <f>IFERROR(__xludf.DUMMYFUNCTION("""COMPUTED_VALUE"""),2.2361270255E10)</f>
        <v>22361270255</v>
      </c>
      <c r="D24" s="201">
        <f>IFERROR(__xludf.DUMMYFUNCTION("""COMPUTED_VALUE"""),44915.0)</f>
        <v>44915</v>
      </c>
      <c r="E24" s="202" t="str">
        <f>IFERROR(__xludf.DUMMYFUNCTION("""COMPUTED_VALUE"""),"Alert")</f>
        <v>Alert</v>
      </c>
      <c r="F24" s="202" t="str">
        <f>IFERROR(__xludf.DUMMYFUNCTION("""COMPUTED_VALUE"""),"Caution")</f>
        <v>Caution</v>
      </c>
      <c r="G24" s="203" t="str">
        <f>IFERROR(__xludf.DUMMYFUNCTION("""COMPUTED_VALUE"""),"Alert")</f>
        <v>Alert</v>
      </c>
      <c r="H24" s="203" t="str">
        <f>IFERROR(__xludf.DUMMYFUNCTION("""COMPUTED_VALUE"""),"Alert")</f>
        <v>Alert</v>
      </c>
      <c r="I24" s="199"/>
      <c r="J24" s="199"/>
      <c r="K24" s="199"/>
      <c r="L24" s="199">
        <f>IFERROR(__xludf.DUMMYFUNCTION("""COMPUTED_VALUE"""),34.0)</f>
        <v>34</v>
      </c>
      <c r="M24" s="199">
        <f>IFERROR(__xludf.DUMMYFUNCTION("""COMPUTED_VALUE"""),57.0)</f>
        <v>57</v>
      </c>
      <c r="N24" s="199"/>
      <c r="O24" s="199">
        <f>IFERROR(__xludf.DUMMYFUNCTION("""COMPUTED_VALUE"""),0.0)</f>
        <v>0</v>
      </c>
      <c r="P24" s="199"/>
      <c r="Q24" s="199">
        <f>IFERROR(__xludf.DUMMYFUNCTION("""COMPUTED_VALUE"""),0.0)</f>
        <v>0</v>
      </c>
      <c r="R24" s="199">
        <f>IFERROR(__xludf.DUMMYFUNCTION("""COMPUTED_VALUE"""),1.0)</f>
        <v>1</v>
      </c>
      <c r="S24" s="199">
        <f>IFERROR(__xludf.DUMMYFUNCTION("""COMPUTED_VALUE"""),0.0)</f>
        <v>0</v>
      </c>
      <c r="T24" s="199">
        <f>IFERROR(__xludf.DUMMYFUNCTION("""COMPUTED_VALUE"""),3.0)</f>
        <v>3</v>
      </c>
      <c r="U24" s="199">
        <f>IFERROR(__xludf.DUMMYFUNCTION("""COMPUTED_VALUE"""),63.0)</f>
        <v>63</v>
      </c>
      <c r="V24" s="199">
        <f>IFERROR(__xludf.DUMMYFUNCTION("""COMPUTED_VALUE"""),1.0)</f>
        <v>1</v>
      </c>
      <c r="W24" s="199">
        <f>IFERROR(__xludf.DUMMYFUNCTION("""COMPUTED_VALUE"""),0.0)</f>
        <v>0</v>
      </c>
      <c r="X24" s="199">
        <f>IFERROR(__xludf.DUMMYFUNCTION("""COMPUTED_VALUE"""),0.0)</f>
        <v>0</v>
      </c>
      <c r="Y24" s="199">
        <f>IFERROR(__xludf.DUMMYFUNCTION("""COMPUTED_VALUE"""),0.0)</f>
        <v>0</v>
      </c>
      <c r="Z24" s="199">
        <f>IFERROR(__xludf.DUMMYFUNCTION("""COMPUTED_VALUE"""),0.0)</f>
        <v>0</v>
      </c>
      <c r="AA24" s="199">
        <f>IFERROR(__xludf.DUMMYFUNCTION("""COMPUTED_VALUE"""),0.0)</f>
        <v>0</v>
      </c>
      <c r="AB24" s="199">
        <f>IFERROR(__xludf.DUMMYFUNCTION("""COMPUTED_VALUE"""),7.0)</f>
        <v>7</v>
      </c>
      <c r="AC24" s="199">
        <f>IFERROR(__xludf.DUMMYFUNCTION("""COMPUTED_VALUE"""),13.0)</f>
        <v>13</v>
      </c>
      <c r="AD24" s="199">
        <f>IFERROR(__xludf.DUMMYFUNCTION("""COMPUTED_VALUE"""),0.0)</f>
        <v>0</v>
      </c>
      <c r="AE24" s="199">
        <f>IFERROR(__xludf.DUMMYFUNCTION("""COMPUTED_VALUE"""),7.0)</f>
        <v>7</v>
      </c>
      <c r="AF24" s="199">
        <f>IFERROR(__xludf.DUMMYFUNCTION("""COMPUTED_VALUE"""),1.0)</f>
        <v>1</v>
      </c>
      <c r="AG24" s="199">
        <f>IFERROR(__xludf.DUMMYFUNCTION("""COMPUTED_VALUE"""),266.0)</f>
        <v>266</v>
      </c>
      <c r="AH24" s="199">
        <f>IFERROR(__xludf.DUMMYFUNCTION("""COMPUTED_VALUE"""),2.0)</f>
        <v>2</v>
      </c>
      <c r="AI24" s="200" t="str">
        <f>IFERROR(__xludf.DUMMYFUNCTION("""COMPUTED_VALUE"""),"Wear Metal Alert")</f>
        <v>Wear Metal Alert</v>
      </c>
      <c r="AJ24" s="200" t="str">
        <f>IFERROR(__xludf.DUMMYFUNCTION("""COMPUTED_VALUE"""),"URGENT: Inspect equipment immediately for wear/damage")</f>
        <v>URGENT: Inspect equipment immediately for wear/damage</v>
      </c>
      <c r="AK24" s="204"/>
      <c r="AL24" s="204"/>
      <c r="AM24" s="204"/>
    </row>
    <row r="25" hidden="1">
      <c r="A25" s="199" t="str">
        <f>IFERROR(__xludf.DUMMYFUNCTION("""COMPUTED_VALUE"""),"431.KB103(3)")</f>
        <v>431.KB103(3)</v>
      </c>
      <c r="B25" s="200" t="str">
        <f>IFERROR(__xludf.DUMMYFUNCTION("""COMPUTED_VALUE"""),"Kiln Bearing")</f>
        <v>Kiln Bearing</v>
      </c>
      <c r="C25" s="199">
        <f>IFERROR(__xludf.DUMMYFUNCTION("""COMPUTED_VALUE"""),2.236430022E10)</f>
        <v>22364300220</v>
      </c>
      <c r="D25" s="201">
        <f>IFERROR(__xludf.DUMMYFUNCTION("""COMPUTED_VALUE"""),44915.0)</f>
        <v>44915</v>
      </c>
      <c r="E25" s="202" t="str">
        <f>IFERROR(__xludf.DUMMYFUNCTION("""COMPUTED_VALUE"""),"Alert")</f>
        <v>Alert</v>
      </c>
      <c r="F25" s="202" t="str">
        <f>IFERROR(__xludf.DUMMYFUNCTION("""COMPUTED_VALUE"""),"Caution")</f>
        <v>Caution</v>
      </c>
      <c r="G25" s="203" t="str">
        <f>IFERROR(__xludf.DUMMYFUNCTION("""COMPUTED_VALUE"""),"Caution")</f>
        <v>Caution</v>
      </c>
      <c r="H25" s="203" t="str">
        <f>IFERROR(__xludf.DUMMYFUNCTION("""COMPUTED_VALUE"""),"Alert")</f>
        <v>Alert</v>
      </c>
      <c r="I25" s="199"/>
      <c r="J25" s="199"/>
      <c r="K25" s="199"/>
      <c r="L25" s="199">
        <f>IFERROR(__xludf.DUMMYFUNCTION("""COMPUTED_VALUE"""),32.0)</f>
        <v>32</v>
      </c>
      <c r="M25" s="199">
        <f>IFERROR(__xludf.DUMMYFUNCTION("""COMPUTED_VALUE"""),52.3)</f>
        <v>52.3</v>
      </c>
      <c r="N25" s="37"/>
      <c r="O25" s="37">
        <f>IFERROR(__xludf.DUMMYFUNCTION("""COMPUTED_VALUE"""),0.0)</f>
        <v>0</v>
      </c>
      <c r="P25" s="199"/>
      <c r="Q25" s="199">
        <f>IFERROR(__xludf.DUMMYFUNCTION("""COMPUTED_VALUE"""),0.0)</f>
        <v>0</v>
      </c>
      <c r="R25" s="199">
        <f>IFERROR(__xludf.DUMMYFUNCTION("""COMPUTED_VALUE"""),6.0)</f>
        <v>6</v>
      </c>
      <c r="S25" s="199">
        <f>IFERROR(__xludf.DUMMYFUNCTION("""COMPUTED_VALUE"""),0.0)</f>
        <v>0</v>
      </c>
      <c r="T25" s="199">
        <f>IFERROR(__xludf.DUMMYFUNCTION("""COMPUTED_VALUE"""),21.0)</f>
        <v>21</v>
      </c>
      <c r="U25" s="199">
        <f>IFERROR(__xludf.DUMMYFUNCTION("""COMPUTED_VALUE"""),40.0)</f>
        <v>40</v>
      </c>
      <c r="V25" s="199">
        <f>IFERROR(__xludf.DUMMYFUNCTION("""COMPUTED_VALUE"""),0.0)</f>
        <v>0</v>
      </c>
      <c r="W25" s="199">
        <f>IFERROR(__xludf.DUMMYFUNCTION("""COMPUTED_VALUE"""),0.0)</f>
        <v>0</v>
      </c>
      <c r="X25" s="199">
        <f>IFERROR(__xludf.DUMMYFUNCTION("""COMPUTED_VALUE"""),6.0)</f>
        <v>6</v>
      </c>
      <c r="Y25" s="199">
        <f>IFERROR(__xludf.DUMMYFUNCTION("""COMPUTED_VALUE"""),0.0)</f>
        <v>0</v>
      </c>
      <c r="Z25" s="199">
        <f>IFERROR(__xludf.DUMMYFUNCTION("""COMPUTED_VALUE"""),6.0)</f>
        <v>6</v>
      </c>
      <c r="AA25" s="199">
        <f>IFERROR(__xludf.DUMMYFUNCTION("""COMPUTED_VALUE"""),4.0)</f>
        <v>4</v>
      </c>
      <c r="AB25" s="199">
        <f>IFERROR(__xludf.DUMMYFUNCTION("""COMPUTED_VALUE"""),19.0)</f>
        <v>19</v>
      </c>
      <c r="AC25" s="199">
        <f>IFERROR(__xludf.DUMMYFUNCTION("""COMPUTED_VALUE"""),33.0)</f>
        <v>33</v>
      </c>
      <c r="AD25" s="199">
        <f>IFERROR(__xludf.DUMMYFUNCTION("""COMPUTED_VALUE"""),0.0)</f>
        <v>0</v>
      </c>
      <c r="AE25" s="199">
        <f>IFERROR(__xludf.DUMMYFUNCTION("""COMPUTED_VALUE"""),42.0)</f>
        <v>42</v>
      </c>
      <c r="AF25" s="199">
        <f>IFERROR(__xludf.DUMMYFUNCTION("""COMPUTED_VALUE"""),3.0)</f>
        <v>3</v>
      </c>
      <c r="AG25" s="199">
        <f>IFERROR(__xludf.DUMMYFUNCTION("""COMPUTED_VALUE"""),371.0)</f>
        <v>371</v>
      </c>
      <c r="AH25" s="199">
        <f>IFERROR(__xludf.DUMMYFUNCTION("""COMPUTED_VALUE"""),6.0)</f>
        <v>6</v>
      </c>
      <c r="AI25" s="200" t="str">
        <f>IFERROR(__xludf.DUMMYFUNCTION("""COMPUTED_VALUE"""),"General Alert")</f>
        <v>General Alert</v>
      </c>
      <c r="AJ25" s="200" t="str">
        <f>IFERROR(__xludf.DUMMYFUNCTION("""COMPUTED_VALUE"""),"Investigate root cause; increase sampling frequency to monthly")</f>
        <v>Investigate root cause; increase sampling frequency to monthly</v>
      </c>
      <c r="AK25" s="204"/>
      <c r="AL25" s="204"/>
      <c r="AM25" s="204"/>
    </row>
    <row r="26" hidden="1">
      <c r="A26" s="199" t="str">
        <f>IFERROR(__xludf.DUMMYFUNCTION("""COMPUTED_VALUE"""),"431.KB103(4)")</f>
        <v>431.KB103(4)</v>
      </c>
      <c r="B26" s="200" t="str">
        <f>IFERROR(__xludf.DUMMYFUNCTION("""COMPUTED_VALUE"""),"Kiln Bearing")</f>
        <v>Kiln Bearing</v>
      </c>
      <c r="C26" s="199">
        <f>IFERROR(__xludf.DUMMYFUNCTION("""COMPUTED_VALUE"""),2.2364300222E10)</f>
        <v>22364300222</v>
      </c>
      <c r="D26" s="201">
        <f>IFERROR(__xludf.DUMMYFUNCTION("""COMPUTED_VALUE"""),44915.0)</f>
        <v>44915</v>
      </c>
      <c r="E26" s="202" t="str">
        <f>IFERROR(__xludf.DUMMYFUNCTION("""COMPUTED_VALUE"""),"Alert")</f>
        <v>Alert</v>
      </c>
      <c r="F26" s="202" t="str">
        <f>IFERROR(__xludf.DUMMYFUNCTION("""COMPUTED_VALUE"""),"Alert")</f>
        <v>Alert</v>
      </c>
      <c r="G26" s="203" t="str">
        <f>IFERROR(__xludf.DUMMYFUNCTION("""COMPUTED_VALUE"""),"Caution")</f>
        <v>Caution</v>
      </c>
      <c r="H26" s="203" t="str">
        <f>IFERROR(__xludf.DUMMYFUNCTION("""COMPUTED_VALUE"""),"Alert")</f>
        <v>Alert</v>
      </c>
      <c r="I26" s="199"/>
      <c r="J26" s="199"/>
      <c r="K26" s="199"/>
      <c r="L26" s="199">
        <f>IFERROR(__xludf.DUMMYFUNCTION("""COMPUTED_VALUE"""),41.0)</f>
        <v>41</v>
      </c>
      <c r="M26" s="199">
        <f>IFERROR(__xludf.DUMMYFUNCTION("""COMPUTED_VALUE"""),55.3)</f>
        <v>55.3</v>
      </c>
      <c r="N26" s="37"/>
      <c r="O26" s="37">
        <f>IFERROR(__xludf.DUMMYFUNCTION("""COMPUTED_VALUE"""),0.0)</f>
        <v>0</v>
      </c>
      <c r="P26" s="199"/>
      <c r="Q26" s="199">
        <f>IFERROR(__xludf.DUMMYFUNCTION("""COMPUTED_VALUE"""),0.0)</f>
        <v>0</v>
      </c>
      <c r="R26" s="199">
        <f>IFERROR(__xludf.DUMMYFUNCTION("""COMPUTED_VALUE"""),6.0)</f>
        <v>6</v>
      </c>
      <c r="S26" s="199">
        <f>IFERROR(__xludf.DUMMYFUNCTION("""COMPUTED_VALUE"""),0.0)</f>
        <v>0</v>
      </c>
      <c r="T26" s="199">
        <f>IFERROR(__xludf.DUMMYFUNCTION("""COMPUTED_VALUE"""),41.0)</f>
        <v>41</v>
      </c>
      <c r="U26" s="199">
        <f>IFERROR(__xludf.DUMMYFUNCTION("""COMPUTED_VALUE"""),36.0)</f>
        <v>36</v>
      </c>
      <c r="V26" s="199">
        <f>IFERROR(__xludf.DUMMYFUNCTION("""COMPUTED_VALUE"""),0.0)</f>
        <v>0</v>
      </c>
      <c r="W26" s="199">
        <f>IFERROR(__xludf.DUMMYFUNCTION("""COMPUTED_VALUE"""),0.0)</f>
        <v>0</v>
      </c>
      <c r="X26" s="199">
        <f>IFERROR(__xludf.DUMMYFUNCTION("""COMPUTED_VALUE"""),6.0)</f>
        <v>6</v>
      </c>
      <c r="Y26" s="199">
        <f>IFERROR(__xludf.DUMMYFUNCTION("""COMPUTED_VALUE"""),9.0)</f>
        <v>9</v>
      </c>
      <c r="Z26" s="199">
        <f>IFERROR(__xludf.DUMMYFUNCTION("""COMPUTED_VALUE"""),0.0)</f>
        <v>0</v>
      </c>
      <c r="AA26" s="199">
        <f>IFERROR(__xludf.DUMMYFUNCTION("""COMPUTED_VALUE"""),2.0)</f>
        <v>2</v>
      </c>
      <c r="AB26" s="199">
        <f>IFERROR(__xludf.DUMMYFUNCTION("""COMPUTED_VALUE"""),28.0)</f>
        <v>28</v>
      </c>
      <c r="AC26" s="199">
        <f>IFERROR(__xludf.DUMMYFUNCTION("""COMPUTED_VALUE"""),30.0)</f>
        <v>30</v>
      </c>
      <c r="AD26" s="199">
        <f>IFERROR(__xludf.DUMMYFUNCTION("""COMPUTED_VALUE"""),0.0)</f>
        <v>0</v>
      </c>
      <c r="AE26" s="199">
        <f>IFERROR(__xludf.DUMMYFUNCTION("""COMPUTED_VALUE"""),31.0)</f>
        <v>31</v>
      </c>
      <c r="AF26" s="199">
        <f>IFERROR(__xludf.DUMMYFUNCTION("""COMPUTED_VALUE"""),1.0)</f>
        <v>1</v>
      </c>
      <c r="AG26" s="199">
        <f>IFERROR(__xludf.DUMMYFUNCTION("""COMPUTED_VALUE"""),365.0)</f>
        <v>365</v>
      </c>
      <c r="AH26" s="199">
        <f>IFERROR(__xludf.DUMMYFUNCTION("""COMPUTED_VALUE"""),7.0)</f>
        <v>7</v>
      </c>
      <c r="AI26" s="200" t="str">
        <f>IFERROR(__xludf.DUMMYFUNCTION("""COMPUTED_VALUE"""),"General Alert")</f>
        <v>General Alert</v>
      </c>
      <c r="AJ26" s="200" t="str">
        <f>IFERROR(__xludf.DUMMYFUNCTION("""COMPUTED_VALUE"""),"Investigate root cause; increase sampling frequency to monthly")</f>
        <v>Investigate root cause; increase sampling frequency to monthly</v>
      </c>
      <c r="AK26" s="204"/>
      <c r="AL26" s="204"/>
      <c r="AM26" s="204"/>
    </row>
    <row r="27" hidden="1">
      <c r="A27" s="199" t="str">
        <f>IFERROR(__xludf.DUMMYFUNCTION("""COMPUTED_VALUE"""),"321.LQ145(GB)")</f>
        <v>321.LQ145(GB)</v>
      </c>
      <c r="B27" s="200" t="str">
        <f>IFERROR(__xludf.DUMMYFUNCTION("""COMPUTED_VALUE"""),"Gear lubrication Gear Box")</f>
        <v>Gear lubrication Gear Box</v>
      </c>
      <c r="C27" s="199">
        <f>IFERROR(__xludf.DUMMYFUNCTION("""COMPUTED_VALUE"""),2.3116260209E10)</f>
        <v>23116260209</v>
      </c>
      <c r="D27" s="201">
        <f>IFERROR(__xludf.DUMMYFUNCTION("""COMPUTED_VALUE"""),44950.0)</f>
        <v>44950</v>
      </c>
      <c r="E27" s="202" t="str">
        <f>IFERROR(__xludf.DUMMYFUNCTION("""COMPUTED_VALUE"""),"Normal")</f>
        <v>Normal</v>
      </c>
      <c r="F27" s="202" t="str">
        <f>IFERROR(__xludf.DUMMYFUNCTION("""COMPUTED_VALUE"""),"Normal")</f>
        <v>Normal</v>
      </c>
      <c r="G27" s="203" t="str">
        <f>IFERROR(__xludf.DUMMYFUNCTION("""COMPUTED_VALUE"""),"Normal")</f>
        <v>Normal</v>
      </c>
      <c r="H27" s="203" t="str">
        <f>IFERROR(__xludf.DUMMYFUNCTION("""COMPUTED_VALUE"""),"Normal")</f>
        <v>Normal</v>
      </c>
      <c r="I27" s="37">
        <f>IFERROR(__xludf.DUMMYFUNCTION("""COMPUTED_VALUE"""),13193.0)</f>
        <v>13193</v>
      </c>
      <c r="J27" s="37">
        <f>IFERROR(__xludf.DUMMYFUNCTION("""COMPUTED_VALUE"""),2788.0)</f>
        <v>2788</v>
      </c>
      <c r="K27" s="37">
        <f>IFERROR(__xludf.DUMMYFUNCTION("""COMPUTED_VALUE"""),79.0)</f>
        <v>79</v>
      </c>
      <c r="L27" s="199">
        <f>IFERROR(__xludf.DUMMYFUNCTION("""COMPUTED_VALUE"""),6.0)</f>
        <v>6</v>
      </c>
      <c r="M27" s="199">
        <f>IFERROR(__xludf.DUMMYFUNCTION("""COMPUTED_VALUE"""),291.4)</f>
        <v>291.4</v>
      </c>
      <c r="N27" s="37"/>
      <c r="O27" s="37">
        <f>IFERROR(__xludf.DUMMYFUNCTION("""COMPUTED_VALUE"""),1.0)</f>
        <v>1</v>
      </c>
      <c r="P27" s="199">
        <f>IFERROR(__xludf.DUMMYFUNCTION("""COMPUTED_VALUE"""),0.01)</f>
        <v>0.01</v>
      </c>
      <c r="Q27" s="199">
        <f>IFERROR(__xludf.DUMMYFUNCTION("""COMPUTED_VALUE"""),0.0)</f>
        <v>0</v>
      </c>
      <c r="R27" s="199">
        <f>IFERROR(__xludf.DUMMYFUNCTION("""COMPUTED_VALUE"""),13.0)</f>
        <v>13</v>
      </c>
      <c r="S27" s="199">
        <f>IFERROR(__xludf.DUMMYFUNCTION("""COMPUTED_VALUE"""),0.0)</f>
        <v>0</v>
      </c>
      <c r="T27" s="199">
        <f>IFERROR(__xludf.DUMMYFUNCTION("""COMPUTED_VALUE"""),1.0)</f>
        <v>1</v>
      </c>
      <c r="U27" s="199">
        <f>IFERROR(__xludf.DUMMYFUNCTION("""COMPUTED_VALUE"""),23.0)</f>
        <v>23</v>
      </c>
      <c r="V27" s="199">
        <f>IFERROR(__xludf.DUMMYFUNCTION("""COMPUTED_VALUE"""),0.0)</f>
        <v>0</v>
      </c>
      <c r="W27" s="199">
        <f>IFERROR(__xludf.DUMMYFUNCTION("""COMPUTED_VALUE"""),0.0)</f>
        <v>0</v>
      </c>
      <c r="X27" s="199">
        <f>IFERROR(__xludf.DUMMYFUNCTION("""COMPUTED_VALUE"""),1.0)</f>
        <v>1</v>
      </c>
      <c r="Y27" s="199">
        <f>IFERROR(__xludf.DUMMYFUNCTION("""COMPUTED_VALUE"""),0.0)</f>
        <v>0</v>
      </c>
      <c r="Z27" s="199">
        <f>IFERROR(__xludf.DUMMYFUNCTION("""COMPUTED_VALUE"""),0.0)</f>
        <v>0</v>
      </c>
      <c r="AA27" s="199">
        <f>IFERROR(__xludf.DUMMYFUNCTION("""COMPUTED_VALUE"""),0.0)</f>
        <v>0</v>
      </c>
      <c r="AB27" s="199">
        <f>IFERROR(__xludf.DUMMYFUNCTION("""COMPUTED_VALUE"""),7.0)</f>
        <v>7</v>
      </c>
      <c r="AC27" s="199">
        <f>IFERROR(__xludf.DUMMYFUNCTION("""COMPUTED_VALUE"""),28.0)</f>
        <v>28</v>
      </c>
      <c r="AD27" s="199">
        <f>IFERROR(__xludf.DUMMYFUNCTION("""COMPUTED_VALUE"""),0.0)</f>
        <v>0</v>
      </c>
      <c r="AE27" s="199">
        <f>IFERROR(__xludf.DUMMYFUNCTION("""COMPUTED_VALUE"""),22.0)</f>
        <v>22</v>
      </c>
      <c r="AF27" s="199">
        <f>IFERROR(__xludf.DUMMYFUNCTION("""COMPUTED_VALUE"""),0.0)</f>
        <v>0</v>
      </c>
      <c r="AG27" s="199">
        <f>IFERROR(__xludf.DUMMYFUNCTION("""COMPUTED_VALUE"""),252.0)</f>
        <v>252</v>
      </c>
      <c r="AH27" s="199">
        <f>IFERROR(__xludf.DUMMYFUNCTION("""COMPUTED_VALUE"""),4.0)</f>
        <v>4</v>
      </c>
      <c r="AI27" s="200" t="str">
        <f>IFERROR(__xludf.DUMMYFUNCTION("""COMPUTED_VALUE"""),"Normal - No Action Required")</f>
        <v>Normal - No Action Required</v>
      </c>
      <c r="AJ27" s="200" t="str">
        <f>IFERROR(__xludf.DUMMYFUNCTION("""COMPUTED_VALUE"""),"Continue routine monitoring and sampling schedule")</f>
        <v>Continue routine monitoring and sampling schedule</v>
      </c>
      <c r="AK27" s="204"/>
      <c r="AL27" s="204"/>
      <c r="AM27" s="204"/>
    </row>
    <row r="28" hidden="1">
      <c r="A28" s="199" t="str">
        <f>IFERROR(__xludf.DUMMYFUNCTION("""COMPUTED_VALUE"""),"431.KB101(1)")</f>
        <v>431.KB101(1)</v>
      </c>
      <c r="B28" s="200" t="str">
        <f>IFERROR(__xludf.DUMMYFUNCTION("""COMPUTED_VALUE"""),"Kiln Bearing")</f>
        <v>Kiln Bearing</v>
      </c>
      <c r="C28" s="199">
        <f>IFERROR(__xludf.DUMMYFUNCTION("""COMPUTED_VALUE"""),2.3127705242E10)</f>
        <v>23127705242</v>
      </c>
      <c r="D28" s="201">
        <f>IFERROR(__xludf.DUMMYFUNCTION("""COMPUTED_VALUE"""),45043.0)</f>
        <v>45043</v>
      </c>
      <c r="E28" s="202" t="str">
        <f>IFERROR(__xludf.DUMMYFUNCTION("""COMPUTED_VALUE"""),"Alert")</f>
        <v>Alert</v>
      </c>
      <c r="F28" s="202" t="str">
        <f>IFERROR(__xludf.DUMMYFUNCTION("""COMPUTED_VALUE"""),"Alert")</f>
        <v>Alert</v>
      </c>
      <c r="G28" s="203" t="str">
        <f>IFERROR(__xludf.DUMMYFUNCTION("""COMPUTED_VALUE"""),"Alert")</f>
        <v>Alert</v>
      </c>
      <c r="H28" s="203" t="str">
        <f>IFERROR(__xludf.DUMMYFUNCTION("""COMPUTED_VALUE"""),"Alert")</f>
        <v>Alert</v>
      </c>
      <c r="I28" s="37"/>
      <c r="J28" s="37"/>
      <c r="K28" s="37"/>
      <c r="L28" s="199">
        <f>IFERROR(__xludf.DUMMYFUNCTION("""COMPUTED_VALUE"""),49.0)</f>
        <v>49</v>
      </c>
      <c r="M28" s="199">
        <f>IFERROR(__xludf.DUMMYFUNCTION("""COMPUTED_VALUE"""),56.0)</f>
        <v>56</v>
      </c>
      <c r="N28" s="37"/>
      <c r="O28" s="37">
        <f>IFERROR(__xludf.DUMMYFUNCTION("""COMPUTED_VALUE"""),0.0)</f>
        <v>0</v>
      </c>
      <c r="P28" s="199"/>
      <c r="Q28" s="199">
        <f>IFERROR(__xludf.DUMMYFUNCTION("""COMPUTED_VALUE"""),0.0)</f>
        <v>0</v>
      </c>
      <c r="R28" s="199">
        <f>IFERROR(__xludf.DUMMYFUNCTION("""COMPUTED_VALUE"""),0.0)</f>
        <v>0</v>
      </c>
      <c r="S28" s="199">
        <f>IFERROR(__xludf.DUMMYFUNCTION("""COMPUTED_VALUE"""),0.0)</f>
        <v>0</v>
      </c>
      <c r="T28" s="199">
        <f>IFERROR(__xludf.DUMMYFUNCTION("""COMPUTED_VALUE"""),109.0)</f>
        <v>109</v>
      </c>
      <c r="U28" s="199">
        <f>IFERROR(__xludf.DUMMYFUNCTION("""COMPUTED_VALUE"""),38.0)</f>
        <v>38</v>
      </c>
      <c r="V28" s="199">
        <f>IFERROR(__xludf.DUMMYFUNCTION("""COMPUTED_VALUE"""),0.0)</f>
        <v>0</v>
      </c>
      <c r="W28" s="199">
        <f>IFERROR(__xludf.DUMMYFUNCTION("""COMPUTED_VALUE"""),0.0)</f>
        <v>0</v>
      </c>
      <c r="X28" s="199">
        <f>IFERROR(__xludf.DUMMYFUNCTION("""COMPUTED_VALUE"""),0.0)</f>
        <v>0</v>
      </c>
      <c r="Y28" s="199">
        <f>IFERROR(__xludf.DUMMYFUNCTION("""COMPUTED_VALUE"""),12.0)</f>
        <v>12</v>
      </c>
      <c r="Z28" s="199">
        <f>IFERROR(__xludf.DUMMYFUNCTION("""COMPUTED_VALUE"""),7.0)</f>
        <v>7</v>
      </c>
      <c r="AA28" s="199">
        <f>IFERROR(__xludf.DUMMYFUNCTION("""COMPUTED_VALUE"""),6.0)</f>
        <v>6</v>
      </c>
      <c r="AB28" s="199">
        <f>IFERROR(__xludf.DUMMYFUNCTION("""COMPUTED_VALUE"""),36.0)</f>
        <v>36</v>
      </c>
      <c r="AC28" s="199">
        <f>IFERROR(__xludf.DUMMYFUNCTION("""COMPUTED_VALUE"""),15.0)</f>
        <v>15</v>
      </c>
      <c r="AD28" s="199">
        <f>IFERROR(__xludf.DUMMYFUNCTION("""COMPUTED_VALUE"""),0.0)</f>
        <v>0</v>
      </c>
      <c r="AE28" s="199">
        <f>IFERROR(__xludf.DUMMYFUNCTION("""COMPUTED_VALUE"""),30.0)</f>
        <v>30</v>
      </c>
      <c r="AF28" s="199">
        <f>IFERROR(__xludf.DUMMYFUNCTION("""COMPUTED_VALUE"""),0.0)</f>
        <v>0</v>
      </c>
      <c r="AG28" s="199">
        <f>IFERROR(__xludf.DUMMYFUNCTION("""COMPUTED_VALUE"""),182.0)</f>
        <v>182</v>
      </c>
      <c r="AH28" s="199">
        <f>IFERROR(__xludf.DUMMYFUNCTION("""COMPUTED_VALUE"""),0.0)</f>
        <v>0</v>
      </c>
      <c r="AI28" s="200" t="str">
        <f>IFERROR(__xludf.DUMMYFUNCTION("""COMPUTED_VALUE"""),"Wear Metal Alert")</f>
        <v>Wear Metal Alert</v>
      </c>
      <c r="AJ28" s="200" t="str">
        <f>IFERROR(__xludf.DUMMYFUNCTION("""COMPUTED_VALUE"""),"URGENT: Inspect equipment immediately for wear/damage; High wear metals - inspect bearing/gear surfaces; Elevated silicon - inspect filters and seals for contamination")</f>
        <v>URGENT: Inspect equipment immediately for wear/damage; High wear metals - inspect bearing/gear surfaces; Elevated silicon - inspect filters and seals for contamination</v>
      </c>
      <c r="AK28" s="204"/>
      <c r="AL28" s="204"/>
      <c r="AM28" s="204"/>
    </row>
    <row r="29" hidden="1">
      <c r="A29" s="199" t="str">
        <f>IFERROR(__xludf.DUMMYFUNCTION("""COMPUTED_VALUE"""),"431.KB101(2)")</f>
        <v>431.KB101(2)</v>
      </c>
      <c r="B29" s="200" t="str">
        <f>IFERROR(__xludf.DUMMYFUNCTION("""COMPUTED_VALUE"""),"Kiln Bearing")</f>
        <v>Kiln Bearing</v>
      </c>
      <c r="C29" s="199">
        <f>IFERROR(__xludf.DUMMYFUNCTION("""COMPUTED_VALUE"""),2.3127705249E10)</f>
        <v>23127705249</v>
      </c>
      <c r="D29" s="201">
        <f>IFERROR(__xludf.DUMMYFUNCTION("""COMPUTED_VALUE"""),45043.0)</f>
        <v>45043</v>
      </c>
      <c r="E29" s="202" t="str">
        <f>IFERROR(__xludf.DUMMYFUNCTION("""COMPUTED_VALUE"""),"Alert")</f>
        <v>Alert</v>
      </c>
      <c r="F29" s="202" t="str">
        <f>IFERROR(__xludf.DUMMYFUNCTION("""COMPUTED_VALUE"""),"Alert")</f>
        <v>Alert</v>
      </c>
      <c r="G29" s="203" t="str">
        <f>IFERROR(__xludf.DUMMYFUNCTION("""COMPUTED_VALUE"""),"Alert")</f>
        <v>Alert</v>
      </c>
      <c r="H29" s="203" t="str">
        <f>IFERROR(__xludf.DUMMYFUNCTION("""COMPUTED_VALUE"""),"Alert")</f>
        <v>Alert</v>
      </c>
      <c r="I29" s="37"/>
      <c r="J29" s="37"/>
      <c r="K29" s="37"/>
      <c r="L29" s="199">
        <f>IFERROR(__xludf.DUMMYFUNCTION("""COMPUTED_VALUE"""),42.0)</f>
        <v>42</v>
      </c>
      <c r="M29" s="199">
        <f>IFERROR(__xludf.DUMMYFUNCTION("""COMPUTED_VALUE"""),55.3)</f>
        <v>55.3</v>
      </c>
      <c r="N29" s="37"/>
      <c r="O29" s="37">
        <f>IFERROR(__xludf.DUMMYFUNCTION("""COMPUTED_VALUE"""),0.0)</f>
        <v>0</v>
      </c>
      <c r="P29" s="199"/>
      <c r="Q29" s="199">
        <f>IFERROR(__xludf.DUMMYFUNCTION("""COMPUTED_VALUE"""),0.0)</f>
        <v>0</v>
      </c>
      <c r="R29" s="199">
        <f>IFERROR(__xludf.DUMMYFUNCTION("""COMPUTED_VALUE"""),17.0)</f>
        <v>17</v>
      </c>
      <c r="S29" s="199">
        <f>IFERROR(__xludf.DUMMYFUNCTION("""COMPUTED_VALUE"""),0.0)</f>
        <v>0</v>
      </c>
      <c r="T29" s="199">
        <f>IFERROR(__xludf.DUMMYFUNCTION("""COMPUTED_VALUE"""),25.0)</f>
        <v>25</v>
      </c>
      <c r="U29" s="199">
        <f>IFERROR(__xludf.DUMMYFUNCTION("""COMPUTED_VALUE"""),80.0)</f>
        <v>80</v>
      </c>
      <c r="V29" s="199">
        <f>IFERROR(__xludf.DUMMYFUNCTION("""COMPUTED_VALUE"""),0.0)</f>
        <v>0</v>
      </c>
      <c r="W29" s="199">
        <f>IFERROR(__xludf.DUMMYFUNCTION("""COMPUTED_VALUE"""),0.0)</f>
        <v>0</v>
      </c>
      <c r="X29" s="199">
        <f>IFERROR(__xludf.DUMMYFUNCTION("""COMPUTED_VALUE"""),73.0)</f>
        <v>73</v>
      </c>
      <c r="Y29" s="199">
        <f>IFERROR(__xludf.DUMMYFUNCTION("""COMPUTED_VALUE"""),0.0)</f>
        <v>0</v>
      </c>
      <c r="Z29" s="199">
        <f>IFERROR(__xludf.DUMMYFUNCTION("""COMPUTED_VALUE"""),10.0)</f>
        <v>10</v>
      </c>
      <c r="AA29" s="199">
        <f>IFERROR(__xludf.DUMMYFUNCTION("""COMPUTED_VALUE"""),15.0)</f>
        <v>15</v>
      </c>
      <c r="AB29" s="199">
        <f>IFERROR(__xludf.DUMMYFUNCTION("""COMPUTED_VALUE"""),75.0)</f>
        <v>75</v>
      </c>
      <c r="AC29" s="199">
        <f>IFERROR(__xludf.DUMMYFUNCTION("""COMPUTED_VALUE"""),25.0)</f>
        <v>25</v>
      </c>
      <c r="AD29" s="199">
        <f>IFERROR(__xludf.DUMMYFUNCTION("""COMPUTED_VALUE"""),0.0)</f>
        <v>0</v>
      </c>
      <c r="AE29" s="199">
        <f>IFERROR(__xludf.DUMMYFUNCTION("""COMPUTED_VALUE"""),234.0)</f>
        <v>234</v>
      </c>
      <c r="AF29" s="199">
        <f>IFERROR(__xludf.DUMMYFUNCTION("""COMPUTED_VALUE"""),13.0)</f>
        <v>13</v>
      </c>
      <c r="AG29" s="199">
        <f>IFERROR(__xludf.DUMMYFUNCTION("""COMPUTED_VALUE"""),292.0)</f>
        <v>292</v>
      </c>
      <c r="AH29" s="199">
        <f>IFERROR(__xludf.DUMMYFUNCTION("""COMPUTED_VALUE"""),10.0)</f>
        <v>10</v>
      </c>
      <c r="AI29" s="200" t="str">
        <f>IFERROR(__xludf.DUMMYFUNCTION("""COMPUTED_VALUE"""),"Wear Metal Alert | Contamination Alert")</f>
        <v>Wear Metal Alert | Contamination Alert</v>
      </c>
      <c r="AJ29" s="200" t="str">
        <f>IFERROR(__xludf.DUMMYFUNCTION("""COMPUTED_VALUE"""),"URGENT: Inspect equipment immediately for wear/damage; Elevated silicon - inspect filters and seals for contamination")</f>
        <v>URGENT: Inspect equipment immediately for wear/damage; Elevated silicon - inspect filters and seals for contamination</v>
      </c>
      <c r="AK29" s="204"/>
      <c r="AL29" s="204"/>
      <c r="AM29" s="204"/>
    </row>
    <row r="30" hidden="1">
      <c r="A30" s="199" t="str">
        <f>IFERROR(__xludf.DUMMYFUNCTION("""COMPUTED_VALUE"""),"431.KB101(3)")</f>
        <v>431.KB101(3)</v>
      </c>
      <c r="B30" s="200" t="str">
        <f>IFERROR(__xludf.DUMMYFUNCTION("""COMPUTED_VALUE"""),"Kiln Bearing")</f>
        <v>Kiln Bearing</v>
      </c>
      <c r="C30" s="199">
        <f>IFERROR(__xludf.DUMMYFUNCTION("""COMPUTED_VALUE"""),2.3127705247E10)</f>
        <v>23127705247</v>
      </c>
      <c r="D30" s="201">
        <f>IFERROR(__xludf.DUMMYFUNCTION("""COMPUTED_VALUE"""),45043.0)</f>
        <v>45043</v>
      </c>
      <c r="E30" s="202" t="str">
        <f>IFERROR(__xludf.DUMMYFUNCTION("""COMPUTED_VALUE"""),"Alert")</f>
        <v>Alert</v>
      </c>
      <c r="F30" s="202" t="str">
        <f>IFERROR(__xludf.DUMMYFUNCTION("""COMPUTED_VALUE"""),"Alert")</f>
        <v>Alert</v>
      </c>
      <c r="G30" s="203" t="str">
        <f>IFERROR(__xludf.DUMMYFUNCTION("""COMPUTED_VALUE"""),"Normal")</f>
        <v>Normal</v>
      </c>
      <c r="H30" s="203" t="str">
        <f>IFERROR(__xludf.DUMMYFUNCTION("""COMPUTED_VALUE"""),"Alert")</f>
        <v>Alert</v>
      </c>
      <c r="I30" s="37"/>
      <c r="J30" s="37"/>
      <c r="K30" s="37"/>
      <c r="L30" s="199">
        <f>IFERROR(__xludf.DUMMYFUNCTION("""COMPUTED_VALUE"""),17.0)</f>
        <v>17</v>
      </c>
      <c r="M30" s="199">
        <f>IFERROR(__xludf.DUMMYFUNCTION("""COMPUTED_VALUE"""),60.2)</f>
        <v>60.2</v>
      </c>
      <c r="N30" s="37"/>
      <c r="O30" s="37">
        <f>IFERROR(__xludf.DUMMYFUNCTION("""COMPUTED_VALUE"""),0.0)</f>
        <v>0</v>
      </c>
      <c r="P30" s="199"/>
      <c r="Q30" s="199">
        <f>IFERROR(__xludf.DUMMYFUNCTION("""COMPUTED_VALUE"""),0.0)</f>
        <v>0</v>
      </c>
      <c r="R30" s="199">
        <f>IFERROR(__xludf.DUMMYFUNCTION("""COMPUTED_VALUE"""),0.0)</f>
        <v>0</v>
      </c>
      <c r="S30" s="199">
        <f>IFERROR(__xludf.DUMMYFUNCTION("""COMPUTED_VALUE"""),0.0)</f>
        <v>0</v>
      </c>
      <c r="T30" s="199">
        <f>IFERROR(__xludf.DUMMYFUNCTION("""COMPUTED_VALUE"""),26.0)</f>
        <v>26</v>
      </c>
      <c r="U30" s="199">
        <f>IFERROR(__xludf.DUMMYFUNCTION("""COMPUTED_VALUE"""),15.0)</f>
        <v>15</v>
      </c>
      <c r="V30" s="199">
        <f>IFERROR(__xludf.DUMMYFUNCTION("""COMPUTED_VALUE"""),0.0)</f>
        <v>0</v>
      </c>
      <c r="W30" s="199">
        <f>IFERROR(__xludf.DUMMYFUNCTION("""COMPUTED_VALUE"""),0.0)</f>
        <v>0</v>
      </c>
      <c r="X30" s="199">
        <f>IFERROR(__xludf.DUMMYFUNCTION("""COMPUTED_VALUE"""),0.0)</f>
        <v>0</v>
      </c>
      <c r="Y30" s="199">
        <f>IFERROR(__xludf.DUMMYFUNCTION("""COMPUTED_VALUE"""),0.0)</f>
        <v>0</v>
      </c>
      <c r="Z30" s="199">
        <f>IFERROR(__xludf.DUMMYFUNCTION("""COMPUTED_VALUE"""),8.0)</f>
        <v>8</v>
      </c>
      <c r="AA30" s="199">
        <f>IFERROR(__xludf.DUMMYFUNCTION("""COMPUTED_VALUE"""),6.0)</f>
        <v>6</v>
      </c>
      <c r="AB30" s="199">
        <f>IFERROR(__xludf.DUMMYFUNCTION("""COMPUTED_VALUE"""),22.0)</f>
        <v>22</v>
      </c>
      <c r="AC30" s="199">
        <f>IFERROR(__xludf.DUMMYFUNCTION("""COMPUTED_VALUE"""),18.0)</f>
        <v>18</v>
      </c>
      <c r="AD30" s="199">
        <f>IFERROR(__xludf.DUMMYFUNCTION("""COMPUTED_VALUE"""),0.0)</f>
        <v>0</v>
      </c>
      <c r="AE30" s="199">
        <f>IFERROR(__xludf.DUMMYFUNCTION("""COMPUTED_VALUE"""),16.0)</f>
        <v>16</v>
      </c>
      <c r="AF30" s="199">
        <f>IFERROR(__xludf.DUMMYFUNCTION("""COMPUTED_VALUE"""),0.0)</f>
        <v>0</v>
      </c>
      <c r="AG30" s="199">
        <f>IFERROR(__xludf.DUMMYFUNCTION("""COMPUTED_VALUE"""),195.0)</f>
        <v>195</v>
      </c>
      <c r="AH30" s="199">
        <f>IFERROR(__xludf.DUMMYFUNCTION("""COMPUTED_VALUE"""),5.0)</f>
        <v>5</v>
      </c>
      <c r="AI30" s="200" t="str">
        <f>IFERROR(__xludf.DUMMYFUNCTION("""COMPUTED_VALUE"""),"General Alert")</f>
        <v>General Alert</v>
      </c>
      <c r="AJ30" s="200" t="str">
        <f>IFERROR(__xludf.DUMMYFUNCTION("""COMPUTED_VALUE"""),"Investigate root cause; increase sampling frequency to monthly")</f>
        <v>Investigate root cause; increase sampling frequency to monthly</v>
      </c>
      <c r="AK30" s="204"/>
      <c r="AL30" s="204"/>
      <c r="AM30" s="204"/>
    </row>
    <row r="31" hidden="1">
      <c r="A31" s="199" t="str">
        <f>IFERROR(__xludf.DUMMYFUNCTION("""COMPUTED_VALUE"""),"431.KB101(4)")</f>
        <v>431.KB101(4)</v>
      </c>
      <c r="B31" s="200" t="str">
        <f>IFERROR(__xludf.DUMMYFUNCTION("""COMPUTED_VALUE"""),"Kiln Bearing")</f>
        <v>Kiln Bearing</v>
      </c>
      <c r="C31" s="199">
        <f>IFERROR(__xludf.DUMMYFUNCTION("""COMPUTED_VALUE"""),2.3127705255E10)</f>
        <v>23127705255</v>
      </c>
      <c r="D31" s="201">
        <f>IFERROR(__xludf.DUMMYFUNCTION("""COMPUTED_VALUE"""),45043.0)</f>
        <v>45043</v>
      </c>
      <c r="E31" s="202" t="str">
        <f>IFERROR(__xludf.DUMMYFUNCTION("""COMPUTED_VALUE"""),"Alert")</f>
        <v>Alert</v>
      </c>
      <c r="F31" s="202" t="str">
        <f>IFERROR(__xludf.DUMMYFUNCTION("""COMPUTED_VALUE"""),"Alert")</f>
        <v>Alert</v>
      </c>
      <c r="G31" s="203" t="str">
        <f>IFERROR(__xludf.DUMMYFUNCTION("""COMPUTED_VALUE"""),"Alert")</f>
        <v>Alert</v>
      </c>
      <c r="H31" s="203" t="str">
        <f>IFERROR(__xludf.DUMMYFUNCTION("""COMPUTED_VALUE"""),"Alert")</f>
        <v>Alert</v>
      </c>
      <c r="I31" s="37"/>
      <c r="J31" s="37"/>
      <c r="K31" s="37"/>
      <c r="L31" s="199">
        <f>IFERROR(__xludf.DUMMYFUNCTION("""COMPUTED_VALUE"""),32.0)</f>
        <v>32</v>
      </c>
      <c r="M31" s="199">
        <f>IFERROR(__xludf.DUMMYFUNCTION("""COMPUTED_VALUE"""),54.0)</f>
        <v>54</v>
      </c>
      <c r="N31" s="37"/>
      <c r="O31" s="37">
        <f>IFERROR(__xludf.DUMMYFUNCTION("""COMPUTED_VALUE"""),0.0)</f>
        <v>0</v>
      </c>
      <c r="P31" s="199">
        <f>IFERROR(__xludf.DUMMYFUNCTION("""COMPUTED_VALUE"""),0.1)</f>
        <v>0.1</v>
      </c>
      <c r="Q31" s="199">
        <f>IFERROR(__xludf.DUMMYFUNCTION("""COMPUTED_VALUE"""),0.0)</f>
        <v>0</v>
      </c>
      <c r="R31" s="199">
        <f>IFERROR(__xludf.DUMMYFUNCTION("""COMPUTED_VALUE"""),4.0)</f>
        <v>4</v>
      </c>
      <c r="S31" s="199">
        <f>IFERROR(__xludf.DUMMYFUNCTION("""COMPUTED_VALUE"""),1.0)</f>
        <v>1</v>
      </c>
      <c r="T31" s="199">
        <f>IFERROR(__xludf.DUMMYFUNCTION("""COMPUTED_VALUE"""),57.0)</f>
        <v>57</v>
      </c>
      <c r="U31" s="199">
        <f>IFERROR(__xludf.DUMMYFUNCTION("""COMPUTED_VALUE"""),23.0)</f>
        <v>23</v>
      </c>
      <c r="V31" s="199">
        <f>IFERROR(__xludf.DUMMYFUNCTION("""COMPUTED_VALUE"""),1.0)</f>
        <v>1</v>
      </c>
      <c r="W31" s="199">
        <f>IFERROR(__xludf.DUMMYFUNCTION("""COMPUTED_VALUE"""),0.0)</f>
        <v>0</v>
      </c>
      <c r="X31" s="199">
        <f>IFERROR(__xludf.DUMMYFUNCTION("""COMPUTED_VALUE"""),2.0)</f>
        <v>2</v>
      </c>
      <c r="Y31" s="199">
        <f>IFERROR(__xludf.DUMMYFUNCTION("""COMPUTED_VALUE"""),4.0)</f>
        <v>4</v>
      </c>
      <c r="Z31" s="199">
        <f>IFERROR(__xludf.DUMMYFUNCTION("""COMPUTED_VALUE"""),17.0)</f>
        <v>17</v>
      </c>
      <c r="AA31" s="199">
        <f>IFERROR(__xludf.DUMMYFUNCTION("""COMPUTED_VALUE"""),10.0)</f>
        <v>10</v>
      </c>
      <c r="AB31" s="199">
        <f>IFERROR(__xludf.DUMMYFUNCTION("""COMPUTED_VALUE"""),31.0)</f>
        <v>31</v>
      </c>
      <c r="AC31" s="199">
        <f>IFERROR(__xludf.DUMMYFUNCTION("""COMPUTED_VALUE"""),46.0)</f>
        <v>46</v>
      </c>
      <c r="AD31" s="199">
        <f>IFERROR(__xludf.DUMMYFUNCTION("""COMPUTED_VALUE"""),0.0)</f>
        <v>0</v>
      </c>
      <c r="AE31" s="199">
        <f>IFERROR(__xludf.DUMMYFUNCTION("""COMPUTED_VALUE"""),7.0)</f>
        <v>7</v>
      </c>
      <c r="AF31" s="199">
        <f>IFERROR(__xludf.DUMMYFUNCTION("""COMPUTED_VALUE"""),2.0)</f>
        <v>2</v>
      </c>
      <c r="AG31" s="199">
        <f>IFERROR(__xludf.DUMMYFUNCTION("""COMPUTED_VALUE"""),189.0)</f>
        <v>189</v>
      </c>
      <c r="AH31" s="199">
        <f>IFERROR(__xludf.DUMMYFUNCTION("""COMPUTED_VALUE"""),1.0)</f>
        <v>1</v>
      </c>
      <c r="AI31" s="200" t="str">
        <f>IFERROR(__xludf.DUMMYFUNCTION("""COMPUTED_VALUE"""),"Wear Metal Alert")</f>
        <v>Wear Metal Alert</v>
      </c>
      <c r="AJ31" s="200" t="str">
        <f>IFERROR(__xludf.DUMMYFUNCTION("""COMPUTED_VALUE"""),"URGENT: Inspect equipment immediately for wear/damage; Elevated silicon - inspect filters and seals for contamination")</f>
        <v>URGENT: Inspect equipment immediately for wear/damage; Elevated silicon - inspect filters and seals for contamination</v>
      </c>
      <c r="AK31" s="204"/>
      <c r="AL31" s="204"/>
      <c r="AM31" s="204"/>
    </row>
    <row r="32" hidden="1">
      <c r="A32" s="199" t="str">
        <f>IFERROR(__xludf.DUMMYFUNCTION("""COMPUTED_VALUE"""),"431.KB102(1)")</f>
        <v>431.KB102(1)</v>
      </c>
      <c r="B32" s="200" t="str">
        <f>IFERROR(__xludf.DUMMYFUNCTION("""COMPUTED_VALUE"""),"Kiln Bearing")</f>
        <v>Kiln Bearing</v>
      </c>
      <c r="C32" s="199">
        <f>IFERROR(__xludf.DUMMYFUNCTION("""COMPUTED_VALUE"""),2.3127705245E10)</f>
        <v>23127705245</v>
      </c>
      <c r="D32" s="201">
        <f>IFERROR(__xludf.DUMMYFUNCTION("""COMPUTED_VALUE"""),45043.0)</f>
        <v>45043</v>
      </c>
      <c r="E32" s="202" t="str">
        <f>IFERROR(__xludf.DUMMYFUNCTION("""COMPUTED_VALUE"""),"Alert")</f>
        <v>Alert</v>
      </c>
      <c r="F32" s="202" t="str">
        <f>IFERROR(__xludf.DUMMYFUNCTION("""COMPUTED_VALUE"""),"Alert")</f>
        <v>Alert</v>
      </c>
      <c r="G32" s="203" t="str">
        <f>IFERROR(__xludf.DUMMYFUNCTION("""COMPUTED_VALUE"""),"Caution")</f>
        <v>Caution</v>
      </c>
      <c r="H32" s="203" t="str">
        <f>IFERROR(__xludf.DUMMYFUNCTION("""COMPUTED_VALUE"""),"Alert")</f>
        <v>Alert</v>
      </c>
      <c r="I32" s="37"/>
      <c r="J32" s="37"/>
      <c r="K32" s="37"/>
      <c r="L32" s="199">
        <f>IFERROR(__xludf.DUMMYFUNCTION("""COMPUTED_VALUE"""),15.0)</f>
        <v>15</v>
      </c>
      <c r="M32" s="199">
        <f>IFERROR(__xludf.DUMMYFUNCTION("""COMPUTED_VALUE"""),56.6)</f>
        <v>56.6</v>
      </c>
      <c r="N32" s="37"/>
      <c r="O32" s="37">
        <f>IFERROR(__xludf.DUMMYFUNCTION("""COMPUTED_VALUE"""),0.0)</f>
        <v>0</v>
      </c>
      <c r="P32" s="199"/>
      <c r="Q32" s="199">
        <f>IFERROR(__xludf.DUMMYFUNCTION("""COMPUTED_VALUE"""),0.0)</f>
        <v>0</v>
      </c>
      <c r="R32" s="199">
        <f>IFERROR(__xludf.DUMMYFUNCTION("""COMPUTED_VALUE"""),0.0)</f>
        <v>0</v>
      </c>
      <c r="S32" s="199">
        <f>IFERROR(__xludf.DUMMYFUNCTION("""COMPUTED_VALUE"""),0.0)</f>
        <v>0</v>
      </c>
      <c r="T32" s="199">
        <f>IFERROR(__xludf.DUMMYFUNCTION("""COMPUTED_VALUE"""),48.0)</f>
        <v>48</v>
      </c>
      <c r="U32" s="199">
        <f>IFERROR(__xludf.DUMMYFUNCTION("""COMPUTED_VALUE"""),10.0)</f>
        <v>10</v>
      </c>
      <c r="V32" s="199">
        <f>IFERROR(__xludf.DUMMYFUNCTION("""COMPUTED_VALUE"""),0.0)</f>
        <v>0</v>
      </c>
      <c r="W32" s="199">
        <f>IFERROR(__xludf.DUMMYFUNCTION("""COMPUTED_VALUE"""),0.0)</f>
        <v>0</v>
      </c>
      <c r="X32" s="199">
        <f>IFERROR(__xludf.DUMMYFUNCTION("""COMPUTED_VALUE"""),0.0)</f>
        <v>0</v>
      </c>
      <c r="Y32" s="199">
        <f>IFERROR(__xludf.DUMMYFUNCTION("""COMPUTED_VALUE"""),0.0)</f>
        <v>0</v>
      </c>
      <c r="Z32" s="199">
        <f>IFERROR(__xludf.DUMMYFUNCTION("""COMPUTED_VALUE"""),2.0)</f>
        <v>2</v>
      </c>
      <c r="AA32" s="199">
        <f>IFERROR(__xludf.DUMMYFUNCTION("""COMPUTED_VALUE"""),6.0)</f>
        <v>6</v>
      </c>
      <c r="AB32" s="199">
        <f>IFERROR(__xludf.DUMMYFUNCTION("""COMPUTED_VALUE"""),31.0)</f>
        <v>31</v>
      </c>
      <c r="AC32" s="199">
        <f>IFERROR(__xludf.DUMMYFUNCTION("""COMPUTED_VALUE"""),29.0)</f>
        <v>29</v>
      </c>
      <c r="AD32" s="199">
        <f>IFERROR(__xludf.DUMMYFUNCTION("""COMPUTED_VALUE"""),0.0)</f>
        <v>0</v>
      </c>
      <c r="AE32" s="199">
        <f>IFERROR(__xludf.DUMMYFUNCTION("""COMPUTED_VALUE"""),17.0)</f>
        <v>17</v>
      </c>
      <c r="AF32" s="199">
        <f>IFERROR(__xludf.DUMMYFUNCTION("""COMPUTED_VALUE"""),0.0)</f>
        <v>0</v>
      </c>
      <c r="AG32" s="199">
        <f>IFERROR(__xludf.DUMMYFUNCTION("""COMPUTED_VALUE"""),250.0)</f>
        <v>250</v>
      </c>
      <c r="AH32" s="199">
        <f>IFERROR(__xludf.DUMMYFUNCTION("""COMPUTED_VALUE"""),8.0)</f>
        <v>8</v>
      </c>
      <c r="AI32" s="200" t="str">
        <f>IFERROR(__xludf.DUMMYFUNCTION("""COMPUTED_VALUE"""),"General Alert")</f>
        <v>General Alert</v>
      </c>
      <c r="AJ32" s="200" t="str">
        <f>IFERROR(__xludf.DUMMYFUNCTION("""COMPUTED_VALUE"""),"Elevated silicon - inspect filters and seals for contamination")</f>
        <v>Elevated silicon - inspect filters and seals for contamination</v>
      </c>
      <c r="AK32" s="204"/>
      <c r="AL32" s="204"/>
      <c r="AM32" s="204"/>
    </row>
    <row r="33" hidden="1">
      <c r="A33" s="199" t="str">
        <f>IFERROR(__xludf.DUMMYFUNCTION("""COMPUTED_VALUE"""),"431.KB102(2)")</f>
        <v>431.KB102(2)</v>
      </c>
      <c r="B33" s="200" t="str">
        <f>IFERROR(__xludf.DUMMYFUNCTION("""COMPUTED_VALUE"""),"Kiln Bearing")</f>
        <v>Kiln Bearing</v>
      </c>
      <c r="C33" s="199">
        <f>IFERROR(__xludf.DUMMYFUNCTION("""COMPUTED_VALUE"""),2.3127705237E10)</f>
        <v>23127705237</v>
      </c>
      <c r="D33" s="201">
        <f>IFERROR(__xludf.DUMMYFUNCTION("""COMPUTED_VALUE"""),45043.0)</f>
        <v>45043</v>
      </c>
      <c r="E33" s="202" t="str">
        <f>IFERROR(__xludf.DUMMYFUNCTION("""COMPUTED_VALUE"""),"Alert")</f>
        <v>Alert</v>
      </c>
      <c r="F33" s="202" t="str">
        <f>IFERROR(__xludf.DUMMYFUNCTION("""COMPUTED_VALUE"""),"Alert")</f>
        <v>Alert</v>
      </c>
      <c r="G33" s="203" t="str">
        <f>IFERROR(__xludf.DUMMYFUNCTION("""COMPUTED_VALUE"""),"Normal")</f>
        <v>Normal</v>
      </c>
      <c r="H33" s="203" t="str">
        <f>IFERROR(__xludf.DUMMYFUNCTION("""COMPUTED_VALUE"""),"Alert")</f>
        <v>Alert</v>
      </c>
      <c r="I33" s="37"/>
      <c r="J33" s="37"/>
      <c r="K33" s="37"/>
      <c r="L33" s="199">
        <f>IFERROR(__xludf.DUMMYFUNCTION("""COMPUTED_VALUE"""),10.0)</f>
        <v>10</v>
      </c>
      <c r="M33" s="199">
        <f>IFERROR(__xludf.DUMMYFUNCTION("""COMPUTED_VALUE"""),57.2)</f>
        <v>57.2</v>
      </c>
      <c r="N33" s="37"/>
      <c r="O33" s="37">
        <f>IFERROR(__xludf.DUMMYFUNCTION("""COMPUTED_VALUE"""),0.0)</f>
        <v>0</v>
      </c>
      <c r="P33" s="199"/>
      <c r="Q33" s="199">
        <f>IFERROR(__xludf.DUMMYFUNCTION("""COMPUTED_VALUE"""),0.0)</f>
        <v>0</v>
      </c>
      <c r="R33" s="199">
        <f>IFERROR(__xludf.DUMMYFUNCTION("""COMPUTED_VALUE"""),0.0)</f>
        <v>0</v>
      </c>
      <c r="S33" s="199">
        <f>IFERROR(__xludf.DUMMYFUNCTION("""COMPUTED_VALUE"""),0.0)</f>
        <v>0</v>
      </c>
      <c r="T33" s="199">
        <f>IFERROR(__xludf.DUMMYFUNCTION("""COMPUTED_VALUE"""),16.0)</f>
        <v>16</v>
      </c>
      <c r="U33" s="199">
        <f>IFERROR(__xludf.DUMMYFUNCTION("""COMPUTED_VALUE"""),4.0)</f>
        <v>4</v>
      </c>
      <c r="V33" s="199">
        <f>IFERROR(__xludf.DUMMYFUNCTION("""COMPUTED_VALUE"""),0.0)</f>
        <v>0</v>
      </c>
      <c r="W33" s="199">
        <f>IFERROR(__xludf.DUMMYFUNCTION("""COMPUTED_VALUE"""),0.0)</f>
        <v>0</v>
      </c>
      <c r="X33" s="199">
        <f>IFERROR(__xludf.DUMMYFUNCTION("""COMPUTED_VALUE"""),0.0)</f>
        <v>0</v>
      </c>
      <c r="Y33" s="199">
        <f>IFERROR(__xludf.DUMMYFUNCTION("""COMPUTED_VALUE"""),0.0)</f>
        <v>0</v>
      </c>
      <c r="Z33" s="199">
        <f>IFERROR(__xludf.DUMMYFUNCTION("""COMPUTED_VALUE"""),0.0)</f>
        <v>0</v>
      </c>
      <c r="AA33" s="199">
        <f>IFERROR(__xludf.DUMMYFUNCTION("""COMPUTED_VALUE"""),0.0)</f>
        <v>0</v>
      </c>
      <c r="AB33" s="199">
        <f>IFERROR(__xludf.DUMMYFUNCTION("""COMPUTED_VALUE"""),27.0)</f>
        <v>27</v>
      </c>
      <c r="AC33" s="199">
        <f>IFERROR(__xludf.DUMMYFUNCTION("""COMPUTED_VALUE"""),27.0)</f>
        <v>27</v>
      </c>
      <c r="AD33" s="199">
        <f>IFERROR(__xludf.DUMMYFUNCTION("""COMPUTED_VALUE"""),0.0)</f>
        <v>0</v>
      </c>
      <c r="AE33" s="199">
        <f>IFERROR(__xludf.DUMMYFUNCTION("""COMPUTED_VALUE"""),4.0)</f>
        <v>4</v>
      </c>
      <c r="AF33" s="199">
        <f>IFERROR(__xludf.DUMMYFUNCTION("""COMPUTED_VALUE"""),3.0)</f>
        <v>3</v>
      </c>
      <c r="AG33" s="199">
        <f>IFERROR(__xludf.DUMMYFUNCTION("""COMPUTED_VALUE"""),185.0)</f>
        <v>185</v>
      </c>
      <c r="AH33" s="199">
        <f>IFERROR(__xludf.DUMMYFUNCTION("""COMPUTED_VALUE"""),0.0)</f>
        <v>0</v>
      </c>
      <c r="AI33" s="200" t="str">
        <f>IFERROR(__xludf.DUMMYFUNCTION("""COMPUTED_VALUE"""),"General Alert")</f>
        <v>General Alert</v>
      </c>
      <c r="AJ33" s="200" t="str">
        <f>IFERROR(__xludf.DUMMYFUNCTION("""COMPUTED_VALUE"""),"Investigate root cause; increase sampling frequency to monthly")</f>
        <v>Investigate root cause; increase sampling frequency to monthly</v>
      </c>
      <c r="AK33" s="204"/>
      <c r="AL33" s="204"/>
      <c r="AM33" s="204"/>
    </row>
    <row r="34" hidden="1">
      <c r="A34" s="199" t="str">
        <f>IFERROR(__xludf.DUMMYFUNCTION("""COMPUTED_VALUE"""),"431.KB102(3)")</f>
        <v>431.KB102(3)</v>
      </c>
      <c r="B34" s="200" t="str">
        <f>IFERROR(__xludf.DUMMYFUNCTION("""COMPUTED_VALUE"""),"Kiln Bearing")</f>
        <v>Kiln Bearing</v>
      </c>
      <c r="C34" s="199">
        <f>IFERROR(__xludf.DUMMYFUNCTION("""COMPUTED_VALUE"""),2.312770524E10)</f>
        <v>23127705240</v>
      </c>
      <c r="D34" s="201">
        <f>IFERROR(__xludf.DUMMYFUNCTION("""COMPUTED_VALUE"""),45043.0)</f>
        <v>45043</v>
      </c>
      <c r="E34" s="202" t="str">
        <f>IFERROR(__xludf.DUMMYFUNCTION("""COMPUTED_VALUE"""),"Alert")</f>
        <v>Alert</v>
      </c>
      <c r="F34" s="202" t="str">
        <f>IFERROR(__xludf.DUMMYFUNCTION("""COMPUTED_VALUE"""),"Alert")</f>
        <v>Alert</v>
      </c>
      <c r="G34" s="203" t="str">
        <f>IFERROR(__xludf.DUMMYFUNCTION("""COMPUTED_VALUE"""),"Alert")</f>
        <v>Alert</v>
      </c>
      <c r="H34" s="203" t="str">
        <f>IFERROR(__xludf.DUMMYFUNCTION("""COMPUTED_VALUE"""),"Alert")</f>
        <v>Alert</v>
      </c>
      <c r="I34" s="37"/>
      <c r="J34" s="37"/>
      <c r="K34" s="37"/>
      <c r="L34" s="199">
        <f>IFERROR(__xludf.DUMMYFUNCTION("""COMPUTED_VALUE"""),23.0)</f>
        <v>23</v>
      </c>
      <c r="M34" s="199">
        <f>IFERROR(__xludf.DUMMYFUNCTION("""COMPUTED_VALUE"""),59.4)</f>
        <v>59.4</v>
      </c>
      <c r="N34" s="37"/>
      <c r="O34" s="37">
        <f>IFERROR(__xludf.DUMMYFUNCTION("""COMPUTED_VALUE"""),0.0)</f>
        <v>0</v>
      </c>
      <c r="P34" s="199"/>
      <c r="Q34" s="199">
        <f>IFERROR(__xludf.DUMMYFUNCTION("""COMPUTED_VALUE"""),0.0)</f>
        <v>0</v>
      </c>
      <c r="R34" s="199">
        <f>IFERROR(__xludf.DUMMYFUNCTION("""COMPUTED_VALUE"""),0.0)</f>
        <v>0</v>
      </c>
      <c r="S34" s="199">
        <f>IFERROR(__xludf.DUMMYFUNCTION("""COMPUTED_VALUE"""),0.0)</f>
        <v>0</v>
      </c>
      <c r="T34" s="199">
        <f>IFERROR(__xludf.DUMMYFUNCTION("""COMPUTED_VALUE"""),143.0)</f>
        <v>143</v>
      </c>
      <c r="U34" s="199">
        <f>IFERROR(__xludf.DUMMYFUNCTION("""COMPUTED_VALUE"""),20.0)</f>
        <v>20</v>
      </c>
      <c r="V34" s="199">
        <f>IFERROR(__xludf.DUMMYFUNCTION("""COMPUTED_VALUE"""),0.0)</f>
        <v>0</v>
      </c>
      <c r="W34" s="199">
        <f>IFERROR(__xludf.DUMMYFUNCTION("""COMPUTED_VALUE"""),0.0)</f>
        <v>0</v>
      </c>
      <c r="X34" s="199">
        <f>IFERROR(__xludf.DUMMYFUNCTION("""COMPUTED_VALUE"""),1.0)</f>
        <v>1</v>
      </c>
      <c r="Y34" s="199">
        <f>IFERROR(__xludf.DUMMYFUNCTION("""COMPUTED_VALUE"""),0.0)</f>
        <v>0</v>
      </c>
      <c r="Z34" s="199">
        <f>IFERROR(__xludf.DUMMYFUNCTION("""COMPUTED_VALUE"""),8.0)</f>
        <v>8</v>
      </c>
      <c r="AA34" s="199">
        <f>IFERROR(__xludf.DUMMYFUNCTION("""COMPUTED_VALUE"""),6.0)</f>
        <v>6</v>
      </c>
      <c r="AB34" s="199">
        <f>IFERROR(__xludf.DUMMYFUNCTION("""COMPUTED_VALUE"""),11.0)</f>
        <v>11</v>
      </c>
      <c r="AC34" s="199">
        <f>IFERROR(__xludf.DUMMYFUNCTION("""COMPUTED_VALUE"""),27.0)</f>
        <v>27</v>
      </c>
      <c r="AD34" s="199">
        <f>IFERROR(__xludf.DUMMYFUNCTION("""COMPUTED_VALUE"""),0.0)</f>
        <v>0</v>
      </c>
      <c r="AE34" s="199">
        <f>IFERROR(__xludf.DUMMYFUNCTION("""COMPUTED_VALUE"""),11.0)</f>
        <v>11</v>
      </c>
      <c r="AF34" s="199">
        <f>IFERROR(__xludf.DUMMYFUNCTION("""COMPUTED_VALUE"""),0.0)</f>
        <v>0</v>
      </c>
      <c r="AG34" s="199">
        <f>IFERROR(__xludf.DUMMYFUNCTION("""COMPUTED_VALUE"""),288.0)</f>
        <v>288</v>
      </c>
      <c r="AH34" s="199">
        <f>IFERROR(__xludf.DUMMYFUNCTION("""COMPUTED_VALUE"""),2.0)</f>
        <v>2</v>
      </c>
      <c r="AI34" s="200" t="str">
        <f>IFERROR(__xludf.DUMMYFUNCTION("""COMPUTED_VALUE"""),"Wear Metal Alert")</f>
        <v>Wear Metal Alert</v>
      </c>
      <c r="AJ34" s="200" t="str">
        <f>IFERROR(__xludf.DUMMYFUNCTION("""COMPUTED_VALUE"""),"URGENT: Inspect equipment immediately for wear/damage; High wear metals - inspect bearing/gear surfaces")</f>
        <v>URGENT: Inspect equipment immediately for wear/damage; High wear metals - inspect bearing/gear surfaces</v>
      </c>
      <c r="AK34" s="204"/>
      <c r="AL34" s="204"/>
      <c r="AM34" s="204"/>
    </row>
    <row r="35" hidden="1">
      <c r="A35" s="199" t="str">
        <f>IFERROR(__xludf.DUMMYFUNCTION("""COMPUTED_VALUE"""),"431.KB102(4)")</f>
        <v>431.KB102(4)</v>
      </c>
      <c r="B35" s="200" t="str">
        <f>IFERROR(__xludf.DUMMYFUNCTION("""COMPUTED_VALUE"""),"Kiln Bearing")</f>
        <v>Kiln Bearing</v>
      </c>
      <c r="C35" s="199">
        <f>IFERROR(__xludf.DUMMYFUNCTION("""COMPUTED_VALUE"""),2.3127705239E10)</f>
        <v>23127705239</v>
      </c>
      <c r="D35" s="201">
        <f>IFERROR(__xludf.DUMMYFUNCTION("""COMPUTED_VALUE"""),45043.0)</f>
        <v>45043</v>
      </c>
      <c r="E35" s="202" t="str">
        <f>IFERROR(__xludf.DUMMYFUNCTION("""COMPUTED_VALUE"""),"Alert")</f>
        <v>Alert</v>
      </c>
      <c r="F35" s="202" t="str">
        <f>IFERROR(__xludf.DUMMYFUNCTION("""COMPUTED_VALUE"""),"Caution")</f>
        <v>Caution</v>
      </c>
      <c r="G35" s="203" t="str">
        <f>IFERROR(__xludf.DUMMYFUNCTION("""COMPUTED_VALUE"""),"Alert")</f>
        <v>Alert</v>
      </c>
      <c r="H35" s="203" t="str">
        <f>IFERROR(__xludf.DUMMYFUNCTION("""COMPUTED_VALUE"""),"Alert")</f>
        <v>Alert</v>
      </c>
      <c r="I35" s="37"/>
      <c r="J35" s="37"/>
      <c r="K35" s="37"/>
      <c r="L35" s="199">
        <f>IFERROR(__xludf.DUMMYFUNCTION("""COMPUTED_VALUE"""),39.0)</f>
        <v>39</v>
      </c>
      <c r="M35" s="199">
        <f>IFERROR(__xludf.DUMMYFUNCTION("""COMPUTED_VALUE"""),65.7)</f>
        <v>65.7</v>
      </c>
      <c r="N35" s="37"/>
      <c r="O35" s="37">
        <f>IFERROR(__xludf.DUMMYFUNCTION("""COMPUTED_VALUE"""),0.0)</f>
        <v>0</v>
      </c>
      <c r="P35" s="199"/>
      <c r="Q35" s="199">
        <f>IFERROR(__xludf.DUMMYFUNCTION("""COMPUTED_VALUE"""),0.0)</f>
        <v>0</v>
      </c>
      <c r="R35" s="199">
        <f>IFERROR(__xludf.DUMMYFUNCTION("""COMPUTED_VALUE"""),0.0)</f>
        <v>0</v>
      </c>
      <c r="S35" s="199">
        <f>IFERROR(__xludf.DUMMYFUNCTION("""COMPUTED_VALUE"""),0.0)</f>
        <v>0</v>
      </c>
      <c r="T35" s="199">
        <f>IFERROR(__xludf.DUMMYFUNCTION("""COMPUTED_VALUE"""),90.0)</f>
        <v>90</v>
      </c>
      <c r="U35" s="199">
        <f>IFERROR(__xludf.DUMMYFUNCTION("""COMPUTED_VALUE"""),40.0)</f>
        <v>40</v>
      </c>
      <c r="V35" s="199">
        <f>IFERROR(__xludf.DUMMYFUNCTION("""COMPUTED_VALUE"""),0.0)</f>
        <v>0</v>
      </c>
      <c r="W35" s="199">
        <f>IFERROR(__xludf.DUMMYFUNCTION("""COMPUTED_VALUE"""),0.0)</f>
        <v>0</v>
      </c>
      <c r="X35" s="199">
        <f>IFERROR(__xludf.DUMMYFUNCTION("""COMPUTED_VALUE"""),0.0)</f>
        <v>0</v>
      </c>
      <c r="Y35" s="199">
        <f>IFERROR(__xludf.DUMMYFUNCTION("""COMPUTED_VALUE"""),3.0)</f>
        <v>3</v>
      </c>
      <c r="Z35" s="199">
        <f>IFERROR(__xludf.DUMMYFUNCTION("""COMPUTED_VALUE"""),9.0)</f>
        <v>9</v>
      </c>
      <c r="AA35" s="199">
        <f>IFERROR(__xludf.DUMMYFUNCTION("""COMPUTED_VALUE"""),5.0)</f>
        <v>5</v>
      </c>
      <c r="AB35" s="199">
        <f>IFERROR(__xludf.DUMMYFUNCTION("""COMPUTED_VALUE"""),7.0)</f>
        <v>7</v>
      </c>
      <c r="AC35" s="199">
        <f>IFERROR(__xludf.DUMMYFUNCTION("""COMPUTED_VALUE"""),10.0)</f>
        <v>10</v>
      </c>
      <c r="AD35" s="199">
        <f>IFERROR(__xludf.DUMMYFUNCTION("""COMPUTED_VALUE"""),0.0)</f>
        <v>0</v>
      </c>
      <c r="AE35" s="199">
        <f>IFERROR(__xludf.DUMMYFUNCTION("""COMPUTED_VALUE"""),18.0)</f>
        <v>18</v>
      </c>
      <c r="AF35" s="199">
        <f>IFERROR(__xludf.DUMMYFUNCTION("""COMPUTED_VALUE"""),0.0)</f>
        <v>0</v>
      </c>
      <c r="AG35" s="199">
        <f>IFERROR(__xludf.DUMMYFUNCTION("""COMPUTED_VALUE"""),293.0)</f>
        <v>293</v>
      </c>
      <c r="AH35" s="199">
        <f>IFERROR(__xludf.DUMMYFUNCTION("""COMPUTED_VALUE"""),0.0)</f>
        <v>0</v>
      </c>
      <c r="AI35" s="200" t="str">
        <f>IFERROR(__xludf.DUMMYFUNCTION("""COMPUTED_VALUE"""),"Wear Metal Alert")</f>
        <v>Wear Metal Alert</v>
      </c>
      <c r="AJ35" s="200" t="str">
        <f>IFERROR(__xludf.DUMMYFUNCTION("""COMPUTED_VALUE"""),"URGENT: Inspect equipment immediately for wear/damage")</f>
        <v>URGENT: Inspect equipment immediately for wear/damage</v>
      </c>
      <c r="AK35" s="204"/>
      <c r="AL35" s="204"/>
      <c r="AM35" s="204"/>
    </row>
    <row r="36" hidden="1">
      <c r="A36" s="199" t="str">
        <f>IFERROR(__xludf.DUMMYFUNCTION("""COMPUTED_VALUE"""),"431.KB103(1)")</f>
        <v>431.KB103(1)</v>
      </c>
      <c r="B36" s="200" t="str">
        <f>IFERROR(__xludf.DUMMYFUNCTION("""COMPUTED_VALUE"""),"Kiln Bearing")</f>
        <v>Kiln Bearing</v>
      </c>
      <c r="C36" s="199">
        <f>IFERROR(__xludf.DUMMYFUNCTION("""COMPUTED_VALUE"""),2.3127705241E10)</f>
        <v>23127705241</v>
      </c>
      <c r="D36" s="201">
        <f>IFERROR(__xludf.DUMMYFUNCTION("""COMPUTED_VALUE"""),45043.0)</f>
        <v>45043</v>
      </c>
      <c r="E36" s="202" t="str">
        <f>IFERROR(__xludf.DUMMYFUNCTION("""COMPUTED_VALUE"""),"Alert")</f>
        <v>Alert</v>
      </c>
      <c r="F36" s="202" t="str">
        <f>IFERROR(__xludf.DUMMYFUNCTION("""COMPUTED_VALUE"""),"Alert")</f>
        <v>Alert</v>
      </c>
      <c r="G36" s="203" t="str">
        <f>IFERROR(__xludf.DUMMYFUNCTION("""COMPUTED_VALUE"""),"Normal")</f>
        <v>Normal</v>
      </c>
      <c r="H36" s="203" t="str">
        <f>IFERROR(__xludf.DUMMYFUNCTION("""COMPUTED_VALUE"""),"Alert")</f>
        <v>Alert</v>
      </c>
      <c r="I36" s="37"/>
      <c r="J36" s="37"/>
      <c r="K36" s="37"/>
      <c r="L36" s="199">
        <f>IFERROR(__xludf.DUMMYFUNCTION("""COMPUTED_VALUE"""),13.0)</f>
        <v>13</v>
      </c>
      <c r="M36" s="199">
        <f>IFERROR(__xludf.DUMMYFUNCTION("""COMPUTED_VALUE"""),60.8)</f>
        <v>60.8</v>
      </c>
      <c r="N36" s="37"/>
      <c r="O36" s="37">
        <f>IFERROR(__xludf.DUMMYFUNCTION("""COMPUTED_VALUE"""),0.0)</f>
        <v>0</v>
      </c>
      <c r="P36" s="199"/>
      <c r="Q36" s="199">
        <f>IFERROR(__xludf.DUMMYFUNCTION("""COMPUTED_VALUE"""),0.0)</f>
        <v>0</v>
      </c>
      <c r="R36" s="199">
        <f>IFERROR(__xludf.DUMMYFUNCTION("""COMPUTED_VALUE"""),3.0)</f>
        <v>3</v>
      </c>
      <c r="S36" s="199">
        <f>IFERROR(__xludf.DUMMYFUNCTION("""COMPUTED_VALUE"""),0.0)</f>
        <v>0</v>
      </c>
      <c r="T36" s="199">
        <f>IFERROR(__xludf.DUMMYFUNCTION("""COMPUTED_VALUE"""),18.0)</f>
        <v>18</v>
      </c>
      <c r="U36" s="199">
        <f>IFERROR(__xludf.DUMMYFUNCTION("""COMPUTED_VALUE"""),12.0)</f>
        <v>12</v>
      </c>
      <c r="V36" s="199">
        <f>IFERROR(__xludf.DUMMYFUNCTION("""COMPUTED_VALUE"""),0.0)</f>
        <v>0</v>
      </c>
      <c r="W36" s="199">
        <f>IFERROR(__xludf.DUMMYFUNCTION("""COMPUTED_VALUE"""),0.0)</f>
        <v>0</v>
      </c>
      <c r="X36" s="199">
        <f>IFERROR(__xludf.DUMMYFUNCTION("""COMPUTED_VALUE"""),0.0)</f>
        <v>0</v>
      </c>
      <c r="Y36" s="199">
        <f>IFERROR(__xludf.DUMMYFUNCTION("""COMPUTED_VALUE"""),0.0)</f>
        <v>0</v>
      </c>
      <c r="Z36" s="199">
        <f>IFERROR(__xludf.DUMMYFUNCTION("""COMPUTED_VALUE"""),7.0)</f>
        <v>7</v>
      </c>
      <c r="AA36" s="199">
        <f>IFERROR(__xludf.DUMMYFUNCTION("""COMPUTED_VALUE"""),10.0)</f>
        <v>10</v>
      </c>
      <c r="AB36" s="199">
        <f>IFERROR(__xludf.DUMMYFUNCTION("""COMPUTED_VALUE"""),34.0)</f>
        <v>34</v>
      </c>
      <c r="AC36" s="199">
        <f>IFERROR(__xludf.DUMMYFUNCTION("""COMPUTED_VALUE"""),40.0)</f>
        <v>40</v>
      </c>
      <c r="AD36" s="199">
        <f>IFERROR(__xludf.DUMMYFUNCTION("""COMPUTED_VALUE"""),0.0)</f>
        <v>0</v>
      </c>
      <c r="AE36" s="199">
        <f>IFERROR(__xludf.DUMMYFUNCTION("""COMPUTED_VALUE"""),11.0)</f>
        <v>11</v>
      </c>
      <c r="AF36" s="199">
        <f>IFERROR(__xludf.DUMMYFUNCTION("""COMPUTED_VALUE"""),5.0)</f>
        <v>5</v>
      </c>
      <c r="AG36" s="199">
        <f>IFERROR(__xludf.DUMMYFUNCTION("""COMPUTED_VALUE"""),126.0)</f>
        <v>126</v>
      </c>
      <c r="AH36" s="199">
        <f>IFERROR(__xludf.DUMMYFUNCTION("""COMPUTED_VALUE"""),4.0)</f>
        <v>4</v>
      </c>
      <c r="AI36" s="200" t="str">
        <f>IFERROR(__xludf.DUMMYFUNCTION("""COMPUTED_VALUE"""),"General Alert")</f>
        <v>General Alert</v>
      </c>
      <c r="AJ36" s="200" t="str">
        <f>IFERROR(__xludf.DUMMYFUNCTION("""COMPUTED_VALUE"""),"Elevated silicon - inspect filters and seals for contamination")</f>
        <v>Elevated silicon - inspect filters and seals for contamination</v>
      </c>
      <c r="AK36" s="204"/>
      <c r="AL36" s="204"/>
      <c r="AM36" s="204"/>
    </row>
    <row r="37" hidden="1">
      <c r="A37" s="199" t="str">
        <f>IFERROR(__xludf.DUMMYFUNCTION("""COMPUTED_VALUE"""),"431.KB103(2)")</f>
        <v>431.KB103(2)</v>
      </c>
      <c r="B37" s="200" t="str">
        <f>IFERROR(__xludf.DUMMYFUNCTION("""COMPUTED_VALUE"""),"Kiln Bearing")</f>
        <v>Kiln Bearing</v>
      </c>
      <c r="C37" s="199">
        <f>IFERROR(__xludf.DUMMYFUNCTION("""COMPUTED_VALUE"""),2.3127705254E10)</f>
        <v>23127705254</v>
      </c>
      <c r="D37" s="201">
        <f>IFERROR(__xludf.DUMMYFUNCTION("""COMPUTED_VALUE"""),45043.0)</f>
        <v>45043</v>
      </c>
      <c r="E37" s="202" t="str">
        <f>IFERROR(__xludf.DUMMYFUNCTION("""COMPUTED_VALUE"""),"Alert")</f>
        <v>Alert</v>
      </c>
      <c r="F37" s="202" t="str">
        <f>IFERROR(__xludf.DUMMYFUNCTION("""COMPUTED_VALUE"""),"Alert")</f>
        <v>Alert</v>
      </c>
      <c r="G37" s="203" t="str">
        <f>IFERROR(__xludf.DUMMYFUNCTION("""COMPUTED_VALUE"""),"Alert")</f>
        <v>Alert</v>
      </c>
      <c r="H37" s="203" t="str">
        <f>IFERROR(__xludf.DUMMYFUNCTION("""COMPUTED_VALUE"""),"Alert")</f>
        <v>Alert</v>
      </c>
      <c r="I37" s="37">
        <f>IFERROR(__xludf.DUMMYFUNCTION("""COMPUTED_VALUE"""),11156.0)</f>
        <v>11156</v>
      </c>
      <c r="J37" s="37">
        <f>IFERROR(__xludf.DUMMYFUNCTION("""COMPUTED_VALUE"""),3874.0)</f>
        <v>3874</v>
      </c>
      <c r="K37" s="37">
        <f>IFERROR(__xludf.DUMMYFUNCTION("""COMPUTED_VALUE"""),196.0)</f>
        <v>196</v>
      </c>
      <c r="L37" s="199">
        <f>IFERROR(__xludf.DUMMYFUNCTION("""COMPUTED_VALUE"""),13.0)</f>
        <v>13</v>
      </c>
      <c r="M37" s="199">
        <f>IFERROR(__xludf.DUMMYFUNCTION("""COMPUTED_VALUE"""),64.3)</f>
        <v>64.3</v>
      </c>
      <c r="N37" s="37"/>
      <c r="O37" s="37">
        <f>IFERROR(__xludf.DUMMYFUNCTION("""COMPUTED_VALUE"""),0.0)</f>
        <v>0</v>
      </c>
      <c r="P37" s="199"/>
      <c r="Q37" s="199">
        <f>IFERROR(__xludf.DUMMYFUNCTION("""COMPUTED_VALUE"""),0.0)</f>
        <v>0</v>
      </c>
      <c r="R37" s="199">
        <f>IFERROR(__xludf.DUMMYFUNCTION("""COMPUTED_VALUE"""),1.0)</f>
        <v>1</v>
      </c>
      <c r="S37" s="199">
        <f>IFERROR(__xludf.DUMMYFUNCTION("""COMPUTED_VALUE"""),0.0)</f>
        <v>0</v>
      </c>
      <c r="T37" s="199">
        <f>IFERROR(__xludf.DUMMYFUNCTION("""COMPUTED_VALUE"""),8.0)</f>
        <v>8</v>
      </c>
      <c r="U37" s="199">
        <f>IFERROR(__xludf.DUMMYFUNCTION("""COMPUTED_VALUE"""),11.0)</f>
        <v>11</v>
      </c>
      <c r="V37" s="199">
        <f>IFERROR(__xludf.DUMMYFUNCTION("""COMPUTED_VALUE"""),0.0)</f>
        <v>0</v>
      </c>
      <c r="W37" s="199">
        <f>IFERROR(__xludf.DUMMYFUNCTION("""COMPUTED_VALUE"""),0.0)</f>
        <v>0</v>
      </c>
      <c r="X37" s="199">
        <f>IFERROR(__xludf.DUMMYFUNCTION("""COMPUTED_VALUE"""),0.0)</f>
        <v>0</v>
      </c>
      <c r="Y37" s="199">
        <f>IFERROR(__xludf.DUMMYFUNCTION("""COMPUTED_VALUE"""),11.0)</f>
        <v>11</v>
      </c>
      <c r="Z37" s="199">
        <f>IFERROR(__xludf.DUMMYFUNCTION("""COMPUTED_VALUE"""),6.0)</f>
        <v>6</v>
      </c>
      <c r="AA37" s="199">
        <f>IFERROR(__xludf.DUMMYFUNCTION("""COMPUTED_VALUE"""),8.0)</f>
        <v>8</v>
      </c>
      <c r="AB37" s="199">
        <f>IFERROR(__xludf.DUMMYFUNCTION("""COMPUTED_VALUE"""),26.0)</f>
        <v>26</v>
      </c>
      <c r="AC37" s="199">
        <f>IFERROR(__xludf.DUMMYFUNCTION("""COMPUTED_VALUE"""),26.0)</f>
        <v>26</v>
      </c>
      <c r="AD37" s="199">
        <f>IFERROR(__xludf.DUMMYFUNCTION("""COMPUTED_VALUE"""),0.0)</f>
        <v>0</v>
      </c>
      <c r="AE37" s="199">
        <f>IFERROR(__xludf.DUMMYFUNCTION("""COMPUTED_VALUE"""),37.0)</f>
        <v>37</v>
      </c>
      <c r="AF37" s="199">
        <f>IFERROR(__xludf.DUMMYFUNCTION("""COMPUTED_VALUE"""),0.0)</f>
        <v>0</v>
      </c>
      <c r="AG37" s="199">
        <f>IFERROR(__xludf.DUMMYFUNCTION("""COMPUTED_VALUE"""),309.0)</f>
        <v>309</v>
      </c>
      <c r="AH37" s="199">
        <f>IFERROR(__xludf.DUMMYFUNCTION("""COMPUTED_VALUE"""),1.0)</f>
        <v>1</v>
      </c>
      <c r="AI37" s="200" t="str">
        <f>IFERROR(__xludf.DUMMYFUNCTION("""COMPUTED_VALUE"""),"Wear Metal Alert")</f>
        <v>Wear Metal Alert</v>
      </c>
      <c r="AJ37" s="200" t="str">
        <f>IFERROR(__xludf.DUMMYFUNCTION("""COMPUTED_VALUE"""),"URGENT: Inspect equipment immediately for wear/damage")</f>
        <v>URGENT: Inspect equipment immediately for wear/damage</v>
      </c>
      <c r="AK37" s="204"/>
      <c r="AL37" s="204"/>
      <c r="AM37" s="204"/>
    </row>
    <row r="38" hidden="1">
      <c r="A38" s="199" t="str">
        <f>IFERROR(__xludf.DUMMYFUNCTION("""COMPUTED_VALUE"""),"431.KB103(3)")</f>
        <v>431.KB103(3)</v>
      </c>
      <c r="B38" s="200" t="str">
        <f>IFERROR(__xludf.DUMMYFUNCTION("""COMPUTED_VALUE"""),"Kiln Bearing")</f>
        <v>Kiln Bearing</v>
      </c>
      <c r="C38" s="199">
        <f>IFERROR(__xludf.DUMMYFUNCTION("""COMPUTED_VALUE"""),2.3127705238E10)</f>
        <v>23127705238</v>
      </c>
      <c r="D38" s="201">
        <f>IFERROR(__xludf.DUMMYFUNCTION("""COMPUTED_VALUE"""),45043.0)</f>
        <v>45043</v>
      </c>
      <c r="E38" s="202" t="str">
        <f>IFERROR(__xludf.DUMMYFUNCTION("""COMPUTED_VALUE"""),"Alert")</f>
        <v>Alert</v>
      </c>
      <c r="F38" s="202" t="str">
        <f>IFERROR(__xludf.DUMMYFUNCTION("""COMPUTED_VALUE"""),"Caution")</f>
        <v>Caution</v>
      </c>
      <c r="G38" s="203" t="str">
        <f>IFERROR(__xludf.DUMMYFUNCTION("""COMPUTED_VALUE"""),"Normal")</f>
        <v>Normal</v>
      </c>
      <c r="H38" s="203" t="str">
        <f>IFERROR(__xludf.DUMMYFUNCTION("""COMPUTED_VALUE"""),"Alert")</f>
        <v>Alert</v>
      </c>
      <c r="I38" s="37"/>
      <c r="J38" s="37"/>
      <c r="K38" s="37"/>
      <c r="L38" s="199">
        <f>IFERROR(__xludf.DUMMYFUNCTION("""COMPUTED_VALUE"""),15.0)</f>
        <v>15</v>
      </c>
      <c r="M38" s="199">
        <f>IFERROR(__xludf.DUMMYFUNCTION("""COMPUTED_VALUE"""),60.1)</f>
        <v>60.1</v>
      </c>
      <c r="N38" s="37"/>
      <c r="O38" s="37">
        <f>IFERROR(__xludf.DUMMYFUNCTION("""COMPUTED_VALUE"""),0.0)</f>
        <v>0</v>
      </c>
      <c r="P38" s="199"/>
      <c r="Q38" s="199">
        <f>IFERROR(__xludf.DUMMYFUNCTION("""COMPUTED_VALUE"""),0.0)</f>
        <v>0</v>
      </c>
      <c r="R38" s="199">
        <f>IFERROR(__xludf.DUMMYFUNCTION("""COMPUTED_VALUE"""),0.0)</f>
        <v>0</v>
      </c>
      <c r="S38" s="199">
        <f>IFERROR(__xludf.DUMMYFUNCTION("""COMPUTED_VALUE"""),0.0)</f>
        <v>0</v>
      </c>
      <c r="T38" s="199">
        <f>IFERROR(__xludf.DUMMYFUNCTION("""COMPUTED_VALUE"""),8.0)</f>
        <v>8</v>
      </c>
      <c r="U38" s="199">
        <f>IFERROR(__xludf.DUMMYFUNCTION("""COMPUTED_VALUE"""),8.0)</f>
        <v>8</v>
      </c>
      <c r="V38" s="199">
        <f>IFERROR(__xludf.DUMMYFUNCTION("""COMPUTED_VALUE"""),0.0)</f>
        <v>0</v>
      </c>
      <c r="W38" s="199">
        <f>IFERROR(__xludf.DUMMYFUNCTION("""COMPUTED_VALUE"""),0.0)</f>
        <v>0</v>
      </c>
      <c r="X38" s="199">
        <f>IFERROR(__xludf.DUMMYFUNCTION("""COMPUTED_VALUE"""),0.0)</f>
        <v>0</v>
      </c>
      <c r="Y38" s="199">
        <f>IFERROR(__xludf.DUMMYFUNCTION("""COMPUTED_VALUE"""),0.0)</f>
        <v>0</v>
      </c>
      <c r="Z38" s="199">
        <f>IFERROR(__xludf.DUMMYFUNCTION("""COMPUTED_VALUE"""),0.0)</f>
        <v>0</v>
      </c>
      <c r="AA38" s="199">
        <f>IFERROR(__xludf.DUMMYFUNCTION("""COMPUTED_VALUE"""),0.0)</f>
        <v>0</v>
      </c>
      <c r="AB38" s="199">
        <f>IFERROR(__xludf.DUMMYFUNCTION("""COMPUTED_VALUE"""),18.0)</f>
        <v>18</v>
      </c>
      <c r="AC38" s="199">
        <f>IFERROR(__xludf.DUMMYFUNCTION("""COMPUTED_VALUE"""),24.0)</f>
        <v>24</v>
      </c>
      <c r="AD38" s="199">
        <f>IFERROR(__xludf.DUMMYFUNCTION("""COMPUTED_VALUE"""),0.0)</f>
        <v>0</v>
      </c>
      <c r="AE38" s="199">
        <f>IFERROR(__xludf.DUMMYFUNCTION("""COMPUTED_VALUE"""),6.0)</f>
        <v>6</v>
      </c>
      <c r="AF38" s="199">
        <f>IFERROR(__xludf.DUMMYFUNCTION("""COMPUTED_VALUE"""),2.0)</f>
        <v>2</v>
      </c>
      <c r="AG38" s="199">
        <f>IFERROR(__xludf.DUMMYFUNCTION("""COMPUTED_VALUE"""),392.0)</f>
        <v>392</v>
      </c>
      <c r="AH38" s="199">
        <f>IFERROR(__xludf.DUMMYFUNCTION("""COMPUTED_VALUE"""),0.0)</f>
        <v>0</v>
      </c>
      <c r="AI38" s="200" t="str">
        <f>IFERROR(__xludf.DUMMYFUNCTION("""COMPUTED_VALUE"""),"General Alert")</f>
        <v>General Alert</v>
      </c>
      <c r="AJ38" s="200" t="str">
        <f>IFERROR(__xludf.DUMMYFUNCTION("""COMPUTED_VALUE"""),"Investigate root cause; increase sampling frequency to monthly")</f>
        <v>Investigate root cause; increase sampling frequency to monthly</v>
      </c>
      <c r="AK38" s="204"/>
      <c r="AL38" s="204"/>
      <c r="AM38" s="204"/>
    </row>
    <row r="39" hidden="1">
      <c r="A39" s="199" t="str">
        <f>IFERROR(__xludf.DUMMYFUNCTION("""COMPUTED_VALUE"""),"431.KB103(4)")</f>
        <v>431.KB103(4)</v>
      </c>
      <c r="B39" s="200" t="str">
        <f>IFERROR(__xludf.DUMMYFUNCTION("""COMPUTED_VALUE"""),"Kiln Bearing")</f>
        <v>Kiln Bearing</v>
      </c>
      <c r="C39" s="199">
        <f>IFERROR(__xludf.DUMMYFUNCTION("""COMPUTED_VALUE"""),2.3127705667E10)</f>
        <v>23127705667</v>
      </c>
      <c r="D39" s="201">
        <f>IFERROR(__xludf.DUMMYFUNCTION("""COMPUTED_VALUE"""),45043.0)</f>
        <v>45043</v>
      </c>
      <c r="E39" s="202" t="str">
        <f>IFERROR(__xludf.DUMMYFUNCTION("""COMPUTED_VALUE"""),"Alert")</f>
        <v>Alert</v>
      </c>
      <c r="F39" s="202" t="str">
        <f>IFERROR(__xludf.DUMMYFUNCTION("""COMPUTED_VALUE"""),"Alert")</f>
        <v>Alert</v>
      </c>
      <c r="G39" s="203" t="str">
        <f>IFERROR(__xludf.DUMMYFUNCTION("""COMPUTED_VALUE"""),"Normal")</f>
        <v>Normal</v>
      </c>
      <c r="H39" s="203" t="str">
        <f>IFERROR(__xludf.DUMMYFUNCTION("""COMPUTED_VALUE"""),"Alert")</f>
        <v>Alert</v>
      </c>
      <c r="I39" s="199"/>
      <c r="J39" s="199"/>
      <c r="K39" s="199"/>
      <c r="L39" s="199">
        <f>IFERROR(__xludf.DUMMYFUNCTION("""COMPUTED_VALUE"""),40.0)</f>
        <v>40</v>
      </c>
      <c r="M39" s="199">
        <f>IFERROR(__xludf.DUMMYFUNCTION("""COMPUTED_VALUE"""),56.9)</f>
        <v>56.9</v>
      </c>
      <c r="N39" s="199"/>
      <c r="O39" s="37">
        <f>IFERROR(__xludf.DUMMYFUNCTION("""COMPUTED_VALUE"""),0.0)</f>
        <v>0</v>
      </c>
      <c r="P39" s="199"/>
      <c r="Q39" s="199">
        <f>IFERROR(__xludf.DUMMYFUNCTION("""COMPUTED_VALUE"""),0.0)</f>
        <v>0</v>
      </c>
      <c r="R39" s="199">
        <f>IFERROR(__xludf.DUMMYFUNCTION("""COMPUTED_VALUE"""),5.0)</f>
        <v>5</v>
      </c>
      <c r="S39" s="199">
        <f>IFERROR(__xludf.DUMMYFUNCTION("""COMPUTED_VALUE"""),1.0)</f>
        <v>1</v>
      </c>
      <c r="T39" s="199">
        <f>IFERROR(__xludf.DUMMYFUNCTION("""COMPUTED_VALUE"""),16.0)</f>
        <v>16</v>
      </c>
      <c r="U39" s="199">
        <f>IFERROR(__xludf.DUMMYFUNCTION("""COMPUTED_VALUE"""),37.0)</f>
        <v>37</v>
      </c>
      <c r="V39" s="199">
        <f>IFERROR(__xludf.DUMMYFUNCTION("""COMPUTED_VALUE"""),1.0)</f>
        <v>1</v>
      </c>
      <c r="W39" s="199">
        <f>IFERROR(__xludf.DUMMYFUNCTION("""COMPUTED_VALUE"""),0.0)</f>
        <v>0</v>
      </c>
      <c r="X39" s="199">
        <f>IFERROR(__xludf.DUMMYFUNCTION("""COMPUTED_VALUE"""),0.0)</f>
        <v>0</v>
      </c>
      <c r="Y39" s="199">
        <f>IFERROR(__xludf.DUMMYFUNCTION("""COMPUTED_VALUE"""),0.0)</f>
        <v>0</v>
      </c>
      <c r="Z39" s="199">
        <f>IFERROR(__xludf.DUMMYFUNCTION("""COMPUTED_VALUE"""),17.0)</f>
        <v>17</v>
      </c>
      <c r="AA39" s="199">
        <f>IFERROR(__xludf.DUMMYFUNCTION("""COMPUTED_VALUE"""),0.0)</f>
        <v>0</v>
      </c>
      <c r="AB39" s="199">
        <f>IFERROR(__xludf.DUMMYFUNCTION("""COMPUTED_VALUE"""),28.0)</f>
        <v>28</v>
      </c>
      <c r="AC39" s="199">
        <f>IFERROR(__xludf.DUMMYFUNCTION("""COMPUTED_VALUE"""),54.0)</f>
        <v>54</v>
      </c>
      <c r="AD39" s="199">
        <f>IFERROR(__xludf.DUMMYFUNCTION("""COMPUTED_VALUE"""),0.0)</f>
        <v>0</v>
      </c>
      <c r="AE39" s="199">
        <f>IFERROR(__xludf.DUMMYFUNCTION("""COMPUTED_VALUE"""),18.0)</f>
        <v>18</v>
      </c>
      <c r="AF39" s="199">
        <f>IFERROR(__xludf.DUMMYFUNCTION("""COMPUTED_VALUE"""),3.0)</f>
        <v>3</v>
      </c>
      <c r="AG39" s="199">
        <f>IFERROR(__xludf.DUMMYFUNCTION("""COMPUTED_VALUE"""),246.0)</f>
        <v>246</v>
      </c>
      <c r="AH39" s="199">
        <f>IFERROR(__xludf.DUMMYFUNCTION("""COMPUTED_VALUE"""),9.0)</f>
        <v>9</v>
      </c>
      <c r="AI39" s="200" t="str">
        <f>IFERROR(__xludf.DUMMYFUNCTION("""COMPUTED_VALUE"""),"General Alert")</f>
        <v>General Alert</v>
      </c>
      <c r="AJ39" s="200" t="str">
        <f>IFERROR(__xludf.DUMMYFUNCTION("""COMPUTED_VALUE"""),"Investigate root cause; increase sampling frequency to monthly")</f>
        <v>Investigate root cause; increase sampling frequency to monthly</v>
      </c>
      <c r="AK39" s="204"/>
      <c r="AL39" s="204"/>
      <c r="AM39" s="204"/>
    </row>
    <row r="40" hidden="1">
      <c r="A40" s="199" t="str">
        <f>IFERROR(__xludf.DUMMYFUNCTION("""COMPUTED_VALUE"""),"471.CV200")</f>
        <v>471.CV200</v>
      </c>
      <c r="B40" s="200" t="str">
        <f>IFERROR(__xludf.DUMMYFUNCTION("""COMPUTED_VALUE"""),"Drag chain geared motor")</f>
        <v>Drag chain geared motor</v>
      </c>
      <c r="C40" s="199">
        <f>IFERROR(__xludf.DUMMYFUNCTION("""COMPUTED_VALUE"""),2.3127770523E10)</f>
        <v>23127770523</v>
      </c>
      <c r="D40" s="201">
        <f>IFERROR(__xludf.DUMMYFUNCTION("""COMPUTED_VALUE"""),45043.0)</f>
        <v>45043</v>
      </c>
      <c r="E40" s="202" t="str">
        <f>IFERROR(__xludf.DUMMYFUNCTION("""COMPUTED_VALUE"""),"Normal")</f>
        <v>Normal</v>
      </c>
      <c r="F40" s="202" t="str">
        <f>IFERROR(__xludf.DUMMYFUNCTION("""COMPUTED_VALUE"""),"Normal")</f>
        <v>Normal</v>
      </c>
      <c r="G40" s="203" t="str">
        <f>IFERROR(__xludf.DUMMYFUNCTION("""COMPUTED_VALUE"""),"Normal")</f>
        <v>Normal</v>
      </c>
      <c r="H40" s="203" t="str">
        <f>IFERROR(__xludf.DUMMYFUNCTION("""COMPUTED_VALUE"""),"Normal")</f>
        <v>Normal</v>
      </c>
      <c r="I40" s="37">
        <f>IFERROR(__xludf.DUMMYFUNCTION("""COMPUTED_VALUE"""),9829.0)</f>
        <v>9829</v>
      </c>
      <c r="J40" s="37">
        <f>IFERROR(__xludf.DUMMYFUNCTION("""COMPUTED_VALUE"""),1872.0)</f>
        <v>1872</v>
      </c>
      <c r="K40" s="37">
        <f>IFERROR(__xludf.DUMMYFUNCTION("""COMPUTED_VALUE"""),652.0)</f>
        <v>652</v>
      </c>
      <c r="L40" s="199">
        <f>IFERROR(__xludf.DUMMYFUNCTION("""COMPUTED_VALUE"""),6.0)</f>
        <v>6</v>
      </c>
      <c r="M40" s="199">
        <f>IFERROR(__xludf.DUMMYFUNCTION("""COMPUTED_VALUE"""),303.7)</f>
        <v>303.7</v>
      </c>
      <c r="N40" s="199"/>
      <c r="O40" s="37"/>
      <c r="P40" s="199">
        <f>IFERROR(__xludf.DUMMYFUNCTION("""COMPUTED_VALUE"""),0.003)</f>
        <v>0.003</v>
      </c>
      <c r="Q40" s="199">
        <f>IFERROR(__xludf.DUMMYFUNCTION("""COMPUTED_VALUE"""),0.0)</f>
        <v>0</v>
      </c>
      <c r="R40" s="199">
        <f>IFERROR(__xludf.DUMMYFUNCTION("""COMPUTED_VALUE"""),0.0)</f>
        <v>0</v>
      </c>
      <c r="S40" s="199">
        <f>IFERROR(__xludf.DUMMYFUNCTION("""COMPUTED_VALUE"""),0.0)</f>
        <v>0</v>
      </c>
      <c r="T40" s="199">
        <f>IFERROR(__xludf.DUMMYFUNCTION("""COMPUTED_VALUE"""),0.0)</f>
        <v>0</v>
      </c>
      <c r="U40" s="199">
        <f>IFERROR(__xludf.DUMMYFUNCTION("""COMPUTED_VALUE"""),1.0)</f>
        <v>1</v>
      </c>
      <c r="V40" s="199">
        <f>IFERROR(__xludf.DUMMYFUNCTION("""COMPUTED_VALUE"""),0.0)</f>
        <v>0</v>
      </c>
      <c r="W40" s="199">
        <f>IFERROR(__xludf.DUMMYFUNCTION("""COMPUTED_VALUE"""),0.0)</f>
        <v>0</v>
      </c>
      <c r="X40" s="199">
        <f>IFERROR(__xludf.DUMMYFUNCTION("""COMPUTED_VALUE"""),0.0)</f>
        <v>0</v>
      </c>
      <c r="Y40" s="199">
        <f>IFERROR(__xludf.DUMMYFUNCTION("""COMPUTED_VALUE"""),0.0)</f>
        <v>0</v>
      </c>
      <c r="Z40" s="199">
        <f>IFERROR(__xludf.DUMMYFUNCTION("""COMPUTED_VALUE"""),0.0)</f>
        <v>0</v>
      </c>
      <c r="AA40" s="199">
        <f>IFERROR(__xludf.DUMMYFUNCTION("""COMPUTED_VALUE"""),0.0)</f>
        <v>0</v>
      </c>
      <c r="AB40" s="199">
        <f>IFERROR(__xludf.DUMMYFUNCTION("""COMPUTED_VALUE"""),31.0)</f>
        <v>31</v>
      </c>
      <c r="AC40" s="199">
        <f>IFERROR(__xludf.DUMMYFUNCTION("""COMPUTED_VALUE"""),39.0)</f>
        <v>39</v>
      </c>
      <c r="AD40" s="199">
        <f>IFERROR(__xludf.DUMMYFUNCTION("""COMPUTED_VALUE"""),0.0)</f>
        <v>0</v>
      </c>
      <c r="AE40" s="199">
        <f>IFERROR(__xludf.DUMMYFUNCTION("""COMPUTED_VALUE"""),32.0)</f>
        <v>32</v>
      </c>
      <c r="AF40" s="199">
        <f>IFERROR(__xludf.DUMMYFUNCTION("""COMPUTED_VALUE"""),2.0)</f>
        <v>2</v>
      </c>
      <c r="AG40" s="199">
        <f>IFERROR(__xludf.DUMMYFUNCTION("""COMPUTED_VALUE"""),446.0)</f>
        <v>446</v>
      </c>
      <c r="AH40" s="199">
        <f>IFERROR(__xludf.DUMMYFUNCTION("""COMPUTED_VALUE"""),0.0)</f>
        <v>0</v>
      </c>
      <c r="AI40" s="200" t="str">
        <f>IFERROR(__xludf.DUMMYFUNCTION("""COMPUTED_VALUE"""),"Normal - No Action Required")</f>
        <v>Normal - No Action Required</v>
      </c>
      <c r="AJ40" s="200" t="str">
        <f>IFERROR(__xludf.DUMMYFUNCTION("""COMPUTED_VALUE"""),"Continue routine monitoring and sampling schedule")</f>
        <v>Continue routine monitoring and sampling schedule</v>
      </c>
      <c r="AK40" s="204"/>
      <c r="AL40" s="204"/>
      <c r="AM40" s="204"/>
    </row>
    <row r="41" hidden="1">
      <c r="A41" s="199" t="str">
        <f>IFERROR(__xludf.DUMMYFUNCTION("""COMPUTED_VALUE"""),"531.BE220")</f>
        <v>531.BE220</v>
      </c>
      <c r="B41" s="200" t="str">
        <f>IFERROR(__xludf.DUMMYFUNCTION("""COMPUTED_VALUE"""),"Bucket Elevator BM#1 GB.")</f>
        <v>Bucket Elevator BM#1 GB.</v>
      </c>
      <c r="C41" s="199">
        <f>IFERROR(__xludf.DUMMYFUNCTION("""COMPUTED_VALUE"""),2.3161106207E10)</f>
        <v>23161106207</v>
      </c>
      <c r="D41" s="201">
        <f>IFERROR(__xludf.DUMMYFUNCTION("""COMPUTED_VALUE"""),45076.0)</f>
        <v>45076</v>
      </c>
      <c r="E41" s="202" t="str">
        <f>IFERROR(__xludf.DUMMYFUNCTION("""COMPUTED_VALUE"""),"Normal")</f>
        <v>Normal</v>
      </c>
      <c r="F41" s="202" t="str">
        <f>IFERROR(__xludf.DUMMYFUNCTION("""COMPUTED_VALUE"""),"Normal")</f>
        <v>Normal</v>
      </c>
      <c r="G41" s="203" t="str">
        <f>IFERROR(__xludf.DUMMYFUNCTION("""COMPUTED_VALUE"""),"Normal")</f>
        <v>Normal</v>
      </c>
      <c r="H41" s="203" t="str">
        <f>IFERROR(__xludf.DUMMYFUNCTION("""COMPUTED_VALUE"""),"Normal")</f>
        <v>Normal</v>
      </c>
      <c r="I41" s="199">
        <f>IFERROR(__xludf.DUMMYFUNCTION("""COMPUTED_VALUE"""),13514.0)</f>
        <v>13514</v>
      </c>
      <c r="J41" s="199">
        <f>IFERROR(__xludf.DUMMYFUNCTION("""COMPUTED_VALUE"""),3251.0)</f>
        <v>3251</v>
      </c>
      <c r="K41" s="199">
        <f>IFERROR(__xludf.DUMMYFUNCTION("""COMPUTED_VALUE"""),166.0)</f>
        <v>166</v>
      </c>
      <c r="L41" s="199">
        <f>IFERROR(__xludf.DUMMYFUNCTION("""COMPUTED_VALUE"""),6.0)</f>
        <v>6</v>
      </c>
      <c r="M41" s="199">
        <f>IFERROR(__xludf.DUMMYFUNCTION("""COMPUTED_VALUE"""),296.8)</f>
        <v>296.8</v>
      </c>
      <c r="N41" s="199"/>
      <c r="O41" s="37">
        <f>IFERROR(__xludf.DUMMYFUNCTION("""COMPUTED_VALUE"""),0.0)</f>
        <v>0</v>
      </c>
      <c r="P41" s="199">
        <f>IFERROR(__xludf.DUMMYFUNCTION("""COMPUTED_VALUE"""),0.01)</f>
        <v>0.01</v>
      </c>
      <c r="Q41" s="199">
        <f>IFERROR(__xludf.DUMMYFUNCTION("""COMPUTED_VALUE"""),0.0)</f>
        <v>0</v>
      </c>
      <c r="R41" s="199">
        <f>IFERROR(__xludf.DUMMYFUNCTION("""COMPUTED_VALUE"""),1.0)</f>
        <v>1</v>
      </c>
      <c r="S41" s="199">
        <f>IFERROR(__xludf.DUMMYFUNCTION("""COMPUTED_VALUE"""),0.0)</f>
        <v>0</v>
      </c>
      <c r="T41" s="199">
        <f>IFERROR(__xludf.DUMMYFUNCTION("""COMPUTED_VALUE"""),0.0)</f>
        <v>0</v>
      </c>
      <c r="U41" s="199">
        <f>IFERROR(__xludf.DUMMYFUNCTION("""COMPUTED_VALUE"""),23.0)</f>
        <v>23</v>
      </c>
      <c r="V41" s="199">
        <f>IFERROR(__xludf.DUMMYFUNCTION("""COMPUTED_VALUE"""),2.0)</f>
        <v>2</v>
      </c>
      <c r="W41" s="199">
        <f>IFERROR(__xludf.DUMMYFUNCTION("""COMPUTED_VALUE"""),0.0)</f>
        <v>0</v>
      </c>
      <c r="X41" s="199">
        <f>IFERROR(__xludf.DUMMYFUNCTION("""COMPUTED_VALUE"""),2.0)</f>
        <v>2</v>
      </c>
      <c r="Y41" s="199">
        <f>IFERROR(__xludf.DUMMYFUNCTION("""COMPUTED_VALUE"""),0.0)</f>
        <v>0</v>
      </c>
      <c r="Z41" s="199">
        <f>IFERROR(__xludf.DUMMYFUNCTION("""COMPUTED_VALUE"""),6.0)</f>
        <v>6</v>
      </c>
      <c r="AA41" s="199">
        <f>IFERROR(__xludf.DUMMYFUNCTION("""COMPUTED_VALUE"""),0.0)</f>
        <v>0</v>
      </c>
      <c r="AB41" s="199">
        <f>IFERROR(__xludf.DUMMYFUNCTION("""COMPUTED_VALUE"""),10.0)</f>
        <v>10</v>
      </c>
      <c r="AC41" s="199">
        <f>IFERROR(__xludf.DUMMYFUNCTION("""COMPUTED_VALUE"""),26.0)</f>
        <v>26</v>
      </c>
      <c r="AD41" s="199">
        <f>IFERROR(__xludf.DUMMYFUNCTION("""COMPUTED_VALUE"""),0.0)</f>
        <v>0</v>
      </c>
      <c r="AE41" s="199">
        <f>IFERROR(__xludf.DUMMYFUNCTION("""COMPUTED_VALUE"""),43.0)</f>
        <v>43</v>
      </c>
      <c r="AF41" s="199">
        <f>IFERROR(__xludf.DUMMYFUNCTION("""COMPUTED_VALUE"""),2.0)</f>
        <v>2</v>
      </c>
      <c r="AG41" s="199">
        <f>IFERROR(__xludf.DUMMYFUNCTION("""COMPUTED_VALUE"""),316.0)</f>
        <v>316</v>
      </c>
      <c r="AH41" s="199">
        <f>IFERROR(__xludf.DUMMYFUNCTION("""COMPUTED_VALUE"""),13.0)</f>
        <v>13</v>
      </c>
      <c r="AI41" s="200" t="str">
        <f>IFERROR(__xludf.DUMMYFUNCTION("""COMPUTED_VALUE"""),"Normal - No Action Required")</f>
        <v>Normal - No Action Required</v>
      </c>
      <c r="AJ41" s="200" t="str">
        <f>IFERROR(__xludf.DUMMYFUNCTION("""COMPUTED_VALUE"""),"Continue routine monitoring and sampling schedule")</f>
        <v>Continue routine monitoring and sampling schedule</v>
      </c>
      <c r="AK41" s="204"/>
      <c r="AL41" s="204"/>
      <c r="AM41" s="204"/>
    </row>
    <row r="42" hidden="1">
      <c r="A42" s="199" t="str">
        <f>IFERROR(__xludf.DUMMYFUNCTION("""COMPUTED_VALUE"""),"532.BE220")</f>
        <v>532.BE220</v>
      </c>
      <c r="B42" s="200" t="str">
        <f>IFERROR(__xludf.DUMMYFUNCTION("""COMPUTED_VALUE"""),"Bucket Elevator BM#2 GB.")</f>
        <v>Bucket Elevator BM#2 GB.</v>
      </c>
      <c r="C42" s="199">
        <f>IFERROR(__xludf.DUMMYFUNCTION("""COMPUTED_VALUE"""),2.3161106237E10)</f>
        <v>23161106237</v>
      </c>
      <c r="D42" s="201">
        <f>IFERROR(__xludf.DUMMYFUNCTION("""COMPUTED_VALUE"""),45076.0)</f>
        <v>45076</v>
      </c>
      <c r="E42" s="202" t="str">
        <f>IFERROR(__xludf.DUMMYFUNCTION("""COMPUTED_VALUE"""),"Normal")</f>
        <v>Normal</v>
      </c>
      <c r="F42" s="202" t="str">
        <f>IFERROR(__xludf.DUMMYFUNCTION("""COMPUTED_VALUE"""),"Normal")</f>
        <v>Normal</v>
      </c>
      <c r="G42" s="203" t="str">
        <f>IFERROR(__xludf.DUMMYFUNCTION("""COMPUTED_VALUE"""),"Normal")</f>
        <v>Normal</v>
      </c>
      <c r="H42" s="203" t="str">
        <f>IFERROR(__xludf.DUMMYFUNCTION("""COMPUTED_VALUE"""),"Normal")</f>
        <v>Normal</v>
      </c>
      <c r="I42" s="199">
        <f>IFERROR(__xludf.DUMMYFUNCTION("""COMPUTED_VALUE"""),11732.0)</f>
        <v>11732</v>
      </c>
      <c r="J42" s="199">
        <f>IFERROR(__xludf.DUMMYFUNCTION("""COMPUTED_VALUE"""),2863.0)</f>
        <v>2863</v>
      </c>
      <c r="K42" s="199">
        <f>IFERROR(__xludf.DUMMYFUNCTION("""COMPUTED_VALUE"""),159.0)</f>
        <v>159</v>
      </c>
      <c r="L42" s="199">
        <f>IFERROR(__xludf.DUMMYFUNCTION("""COMPUTED_VALUE"""),16.0)</f>
        <v>16</v>
      </c>
      <c r="M42" s="199">
        <f>IFERROR(__xludf.DUMMYFUNCTION("""COMPUTED_VALUE"""),290.6)</f>
        <v>290.6</v>
      </c>
      <c r="N42" s="199"/>
      <c r="O42" s="37">
        <f>IFERROR(__xludf.DUMMYFUNCTION("""COMPUTED_VALUE"""),2.0)</f>
        <v>2</v>
      </c>
      <c r="P42" s="199">
        <f>IFERROR(__xludf.DUMMYFUNCTION("""COMPUTED_VALUE"""),0.01)</f>
        <v>0.01</v>
      </c>
      <c r="Q42" s="199">
        <f>IFERROR(__xludf.DUMMYFUNCTION("""COMPUTED_VALUE"""),0.0)</f>
        <v>0</v>
      </c>
      <c r="R42" s="199">
        <f>IFERROR(__xludf.DUMMYFUNCTION("""COMPUTED_VALUE"""),1.0)</f>
        <v>1</v>
      </c>
      <c r="S42" s="199">
        <f>IFERROR(__xludf.DUMMYFUNCTION("""COMPUTED_VALUE"""),0.0)</f>
        <v>0</v>
      </c>
      <c r="T42" s="199">
        <f>IFERROR(__xludf.DUMMYFUNCTION("""COMPUTED_VALUE"""),0.0)</f>
        <v>0</v>
      </c>
      <c r="U42" s="199">
        <f>IFERROR(__xludf.DUMMYFUNCTION("""COMPUTED_VALUE"""),45.0)</f>
        <v>45</v>
      </c>
      <c r="V42" s="199">
        <f>IFERROR(__xludf.DUMMYFUNCTION("""COMPUTED_VALUE"""),0.0)</f>
        <v>0</v>
      </c>
      <c r="W42" s="199">
        <f>IFERROR(__xludf.DUMMYFUNCTION("""COMPUTED_VALUE"""),0.0)</f>
        <v>0</v>
      </c>
      <c r="X42" s="199">
        <f>IFERROR(__xludf.DUMMYFUNCTION("""COMPUTED_VALUE"""),2.0)</f>
        <v>2</v>
      </c>
      <c r="Y42" s="199">
        <f>IFERROR(__xludf.DUMMYFUNCTION("""COMPUTED_VALUE"""),0.0)</f>
        <v>0</v>
      </c>
      <c r="Z42" s="199">
        <f>IFERROR(__xludf.DUMMYFUNCTION("""COMPUTED_VALUE"""),5.0)</f>
        <v>5</v>
      </c>
      <c r="AA42" s="199">
        <f>IFERROR(__xludf.DUMMYFUNCTION("""COMPUTED_VALUE"""),0.0)</f>
        <v>0</v>
      </c>
      <c r="AB42" s="199">
        <f>IFERROR(__xludf.DUMMYFUNCTION("""COMPUTED_VALUE"""),7.0)</f>
        <v>7</v>
      </c>
      <c r="AC42" s="199">
        <f>IFERROR(__xludf.DUMMYFUNCTION("""COMPUTED_VALUE"""),25.0)</f>
        <v>25</v>
      </c>
      <c r="AD42" s="199">
        <f>IFERROR(__xludf.DUMMYFUNCTION("""COMPUTED_VALUE"""),0.0)</f>
        <v>0</v>
      </c>
      <c r="AE42" s="199">
        <f>IFERROR(__xludf.DUMMYFUNCTION("""COMPUTED_VALUE"""),26.0)</f>
        <v>26</v>
      </c>
      <c r="AF42" s="199">
        <f>IFERROR(__xludf.DUMMYFUNCTION("""COMPUTED_VALUE"""),2.0)</f>
        <v>2</v>
      </c>
      <c r="AG42" s="199">
        <f>IFERROR(__xludf.DUMMYFUNCTION("""COMPUTED_VALUE"""),333.0)</f>
        <v>333</v>
      </c>
      <c r="AH42" s="199">
        <f>IFERROR(__xludf.DUMMYFUNCTION("""COMPUTED_VALUE"""),51.0)</f>
        <v>51</v>
      </c>
      <c r="AI42" s="200" t="str">
        <f>IFERROR(__xludf.DUMMYFUNCTION("""COMPUTED_VALUE"""),"Normal - No Action Required")</f>
        <v>Normal - No Action Required</v>
      </c>
      <c r="AJ42" s="200" t="str">
        <f>IFERROR(__xludf.DUMMYFUNCTION("""COMPUTED_VALUE"""),"Continue routine monitoring and sampling schedule")</f>
        <v>Continue routine monitoring and sampling schedule</v>
      </c>
      <c r="AK42" s="204"/>
      <c r="AL42" s="204"/>
      <c r="AM42" s="204"/>
    </row>
    <row r="43" hidden="1">
      <c r="A43" s="199" t="str">
        <f>IFERROR(__xludf.DUMMYFUNCTION("""COMPUTED_VALUE"""),"534.BE220")</f>
        <v>534.BE220</v>
      </c>
      <c r="B43" s="200" t="str">
        <f>IFERROR(__xludf.DUMMYFUNCTION("""COMPUTED_VALUE"""),"Bucket Elevator BM#4 GB.")</f>
        <v>Bucket Elevator BM#4 GB.</v>
      </c>
      <c r="C43" s="199">
        <f>IFERROR(__xludf.DUMMYFUNCTION("""COMPUTED_VALUE"""),2.3161106213E10)</f>
        <v>23161106213</v>
      </c>
      <c r="D43" s="201">
        <f>IFERROR(__xludf.DUMMYFUNCTION("""COMPUTED_VALUE"""),45076.0)</f>
        <v>45076</v>
      </c>
      <c r="E43" s="202" t="str">
        <f>IFERROR(__xludf.DUMMYFUNCTION("""COMPUTED_VALUE"""),"Normal")</f>
        <v>Normal</v>
      </c>
      <c r="F43" s="202" t="str">
        <f>IFERROR(__xludf.DUMMYFUNCTION("""COMPUTED_VALUE"""),"Normal")</f>
        <v>Normal</v>
      </c>
      <c r="G43" s="203" t="str">
        <f>IFERROR(__xludf.DUMMYFUNCTION("""COMPUTED_VALUE"""),"Normal")</f>
        <v>Normal</v>
      </c>
      <c r="H43" s="203" t="str">
        <f>IFERROR(__xludf.DUMMYFUNCTION("""COMPUTED_VALUE"""),"Normal")</f>
        <v>Normal</v>
      </c>
      <c r="I43" s="199">
        <f>IFERROR(__xludf.DUMMYFUNCTION("""COMPUTED_VALUE"""),7457.0)</f>
        <v>7457</v>
      </c>
      <c r="J43" s="199">
        <f>IFERROR(__xludf.DUMMYFUNCTION("""COMPUTED_VALUE"""),3482.0)</f>
        <v>3482</v>
      </c>
      <c r="K43" s="199">
        <f>IFERROR(__xludf.DUMMYFUNCTION("""COMPUTED_VALUE"""),241.0)</f>
        <v>241</v>
      </c>
      <c r="L43" s="199">
        <f>IFERROR(__xludf.DUMMYFUNCTION("""COMPUTED_VALUE"""),5.0)</f>
        <v>5</v>
      </c>
      <c r="M43" s="199">
        <f>IFERROR(__xludf.DUMMYFUNCTION("""COMPUTED_VALUE"""),300.9)</f>
        <v>300.9</v>
      </c>
      <c r="N43" s="199"/>
      <c r="O43" s="37">
        <f>IFERROR(__xludf.DUMMYFUNCTION("""COMPUTED_VALUE"""),0.0)</f>
        <v>0</v>
      </c>
      <c r="P43" s="199">
        <f>IFERROR(__xludf.DUMMYFUNCTION("""COMPUTED_VALUE"""),0.003)</f>
        <v>0.003</v>
      </c>
      <c r="Q43" s="199">
        <f>IFERROR(__xludf.DUMMYFUNCTION("""COMPUTED_VALUE"""),0.0)</f>
        <v>0</v>
      </c>
      <c r="R43" s="199">
        <f>IFERROR(__xludf.DUMMYFUNCTION("""COMPUTED_VALUE"""),2.0)</f>
        <v>2</v>
      </c>
      <c r="S43" s="199">
        <f>IFERROR(__xludf.DUMMYFUNCTION("""COMPUTED_VALUE"""),0.0)</f>
        <v>0</v>
      </c>
      <c r="T43" s="199">
        <f>IFERROR(__xludf.DUMMYFUNCTION("""COMPUTED_VALUE"""),1.0)</f>
        <v>1</v>
      </c>
      <c r="U43" s="199">
        <f>IFERROR(__xludf.DUMMYFUNCTION("""COMPUTED_VALUE"""),18.0)</f>
        <v>18</v>
      </c>
      <c r="V43" s="199">
        <f>IFERROR(__xludf.DUMMYFUNCTION("""COMPUTED_VALUE"""),3.0)</f>
        <v>3</v>
      </c>
      <c r="W43" s="199">
        <f>IFERROR(__xludf.DUMMYFUNCTION("""COMPUTED_VALUE"""),0.0)</f>
        <v>0</v>
      </c>
      <c r="X43" s="199">
        <f>IFERROR(__xludf.DUMMYFUNCTION("""COMPUTED_VALUE"""),2.0)</f>
        <v>2</v>
      </c>
      <c r="Y43" s="199">
        <f>IFERROR(__xludf.DUMMYFUNCTION("""COMPUTED_VALUE"""),0.0)</f>
        <v>0</v>
      </c>
      <c r="Z43" s="199">
        <f>IFERROR(__xludf.DUMMYFUNCTION("""COMPUTED_VALUE"""),6.0)</f>
        <v>6</v>
      </c>
      <c r="AA43" s="199">
        <f>IFERROR(__xludf.DUMMYFUNCTION("""COMPUTED_VALUE"""),0.0)</f>
        <v>0</v>
      </c>
      <c r="AB43" s="199">
        <f>IFERROR(__xludf.DUMMYFUNCTION("""COMPUTED_VALUE"""),15.0)</f>
        <v>15</v>
      </c>
      <c r="AC43" s="199">
        <f>IFERROR(__xludf.DUMMYFUNCTION("""COMPUTED_VALUE"""),27.0)</f>
        <v>27</v>
      </c>
      <c r="AD43" s="199">
        <f>IFERROR(__xludf.DUMMYFUNCTION("""COMPUTED_VALUE"""),0.0)</f>
        <v>0</v>
      </c>
      <c r="AE43" s="199">
        <f>IFERROR(__xludf.DUMMYFUNCTION("""COMPUTED_VALUE"""),38.0)</f>
        <v>38</v>
      </c>
      <c r="AF43" s="199">
        <f>IFERROR(__xludf.DUMMYFUNCTION("""COMPUTED_VALUE"""),3.0)</f>
        <v>3</v>
      </c>
      <c r="AG43" s="199">
        <f>IFERROR(__xludf.DUMMYFUNCTION("""COMPUTED_VALUE"""),355.0)</f>
        <v>355</v>
      </c>
      <c r="AH43" s="199">
        <f>IFERROR(__xludf.DUMMYFUNCTION("""COMPUTED_VALUE"""),5.0)</f>
        <v>5</v>
      </c>
      <c r="AI43" s="200" t="str">
        <f>IFERROR(__xludf.DUMMYFUNCTION("""COMPUTED_VALUE"""),"Normal - No Action Required")</f>
        <v>Normal - No Action Required</v>
      </c>
      <c r="AJ43" s="200" t="str">
        <f>IFERROR(__xludf.DUMMYFUNCTION("""COMPUTED_VALUE"""),"Continue routine monitoring and sampling schedule")</f>
        <v>Continue routine monitoring and sampling schedule</v>
      </c>
      <c r="AK43" s="204"/>
      <c r="AL43" s="204"/>
      <c r="AM43" s="204"/>
    </row>
    <row r="44" hidden="1">
      <c r="A44" s="199" t="str">
        <f>IFERROR(__xludf.DUMMYFUNCTION("""COMPUTED_VALUE"""),"541.BE180")</f>
        <v>541.BE180</v>
      </c>
      <c r="B44" s="200" t="str">
        <f>IFERROR(__xludf.DUMMYFUNCTION("""COMPUTED_VALUE"""),"Bucket Elevator Cem. Silo#1 GB.")</f>
        <v>Bucket Elevator Cem. Silo#1 GB.</v>
      </c>
      <c r="C44" s="199">
        <f>IFERROR(__xludf.DUMMYFUNCTION("""COMPUTED_VALUE"""),2.3161106238E10)</f>
        <v>23161106238</v>
      </c>
      <c r="D44" s="201">
        <f>IFERROR(__xludf.DUMMYFUNCTION("""COMPUTED_VALUE"""),45076.0)</f>
        <v>45076</v>
      </c>
      <c r="E44" s="202" t="str">
        <f>IFERROR(__xludf.DUMMYFUNCTION("""COMPUTED_VALUE"""),"Caution")</f>
        <v>Caution</v>
      </c>
      <c r="F44" s="202" t="str">
        <f>IFERROR(__xludf.DUMMYFUNCTION("""COMPUTED_VALUE"""),"Caution")</f>
        <v>Caution</v>
      </c>
      <c r="G44" s="203" t="str">
        <f>IFERROR(__xludf.DUMMYFUNCTION("""COMPUTED_VALUE"""),"Normal")</f>
        <v>Normal</v>
      </c>
      <c r="H44" s="203" t="str">
        <f>IFERROR(__xludf.DUMMYFUNCTION("""COMPUTED_VALUE"""),"Normal")</f>
        <v>Normal</v>
      </c>
      <c r="I44" s="199">
        <f>IFERROR(__xludf.DUMMYFUNCTION("""COMPUTED_VALUE"""),20691.0)</f>
        <v>20691</v>
      </c>
      <c r="J44" s="199">
        <f>IFERROR(__xludf.DUMMYFUNCTION("""COMPUTED_VALUE"""),3500.0)</f>
        <v>3500</v>
      </c>
      <c r="K44" s="199">
        <f>IFERROR(__xludf.DUMMYFUNCTION("""COMPUTED_VALUE"""),406.0)</f>
        <v>406</v>
      </c>
      <c r="L44" s="199">
        <f>IFERROR(__xludf.DUMMYFUNCTION("""COMPUTED_VALUE"""),13.0)</f>
        <v>13</v>
      </c>
      <c r="M44" s="199">
        <f>IFERROR(__xludf.DUMMYFUNCTION("""COMPUTED_VALUE"""),289.9)</f>
        <v>289.9</v>
      </c>
      <c r="N44" s="37"/>
      <c r="O44" s="37"/>
      <c r="P44" s="199">
        <f>IFERROR(__xludf.DUMMYFUNCTION("""COMPUTED_VALUE"""),0.05)</f>
        <v>0.05</v>
      </c>
      <c r="Q44" s="199">
        <f>IFERROR(__xludf.DUMMYFUNCTION("""COMPUTED_VALUE"""),0.0)</f>
        <v>0</v>
      </c>
      <c r="R44" s="199">
        <f>IFERROR(__xludf.DUMMYFUNCTION("""COMPUTED_VALUE"""),0.0)</f>
        <v>0</v>
      </c>
      <c r="S44" s="199">
        <f>IFERROR(__xludf.DUMMYFUNCTION("""COMPUTED_VALUE"""),0.0)</f>
        <v>0</v>
      </c>
      <c r="T44" s="199">
        <f>IFERROR(__xludf.DUMMYFUNCTION("""COMPUTED_VALUE"""),0.0)</f>
        <v>0</v>
      </c>
      <c r="U44" s="199">
        <f>IFERROR(__xludf.DUMMYFUNCTION("""COMPUTED_VALUE"""),9.0)</f>
        <v>9</v>
      </c>
      <c r="V44" s="199">
        <f>IFERROR(__xludf.DUMMYFUNCTION("""COMPUTED_VALUE"""),2.0)</f>
        <v>2</v>
      </c>
      <c r="W44" s="199">
        <f>IFERROR(__xludf.DUMMYFUNCTION("""COMPUTED_VALUE"""),0.0)</f>
        <v>0</v>
      </c>
      <c r="X44" s="199">
        <f>IFERROR(__xludf.DUMMYFUNCTION("""COMPUTED_VALUE"""),2.0)</f>
        <v>2</v>
      </c>
      <c r="Y44" s="199">
        <f>IFERROR(__xludf.DUMMYFUNCTION("""COMPUTED_VALUE"""),0.0)</f>
        <v>0</v>
      </c>
      <c r="Z44" s="199">
        <f>IFERROR(__xludf.DUMMYFUNCTION("""COMPUTED_VALUE"""),0.0)</f>
        <v>0</v>
      </c>
      <c r="AA44" s="199">
        <f>IFERROR(__xludf.DUMMYFUNCTION("""COMPUTED_VALUE"""),1.0)</f>
        <v>1</v>
      </c>
      <c r="AB44" s="199">
        <f>IFERROR(__xludf.DUMMYFUNCTION("""COMPUTED_VALUE"""),16.0)</f>
        <v>16</v>
      </c>
      <c r="AC44" s="199">
        <f>IFERROR(__xludf.DUMMYFUNCTION("""COMPUTED_VALUE"""),20.0)</f>
        <v>20</v>
      </c>
      <c r="AD44" s="199">
        <f>IFERROR(__xludf.DUMMYFUNCTION("""COMPUTED_VALUE"""),0.0)</f>
        <v>0</v>
      </c>
      <c r="AE44" s="199">
        <f>IFERROR(__xludf.DUMMYFUNCTION("""COMPUTED_VALUE"""),4.0)</f>
        <v>4</v>
      </c>
      <c r="AF44" s="199">
        <f>IFERROR(__xludf.DUMMYFUNCTION("""COMPUTED_VALUE"""),0.0)</f>
        <v>0</v>
      </c>
      <c r="AG44" s="199">
        <f>IFERROR(__xludf.DUMMYFUNCTION("""COMPUTED_VALUE"""),353.0)</f>
        <v>353</v>
      </c>
      <c r="AH44" s="199">
        <f>IFERROR(__xludf.DUMMYFUNCTION("""COMPUTED_VALUE"""),5.0)</f>
        <v>5</v>
      </c>
      <c r="AI44" s="200" t="str">
        <f>IFERROR(__xludf.DUMMYFUNCTION("""COMPUTED_VALUE"""),"General Caution")</f>
        <v>General Caution</v>
      </c>
      <c r="AJ44" s="200" t="str">
        <f>IFERROR(__xludf.DUMMYFUNCTION("""COMPUTED_VALUE"""),"Continue monitoring; resample at next scheduled interval")</f>
        <v>Continue monitoring; resample at next scheduled interval</v>
      </c>
      <c r="AK44" s="204"/>
      <c r="AL44" s="204"/>
      <c r="AM44" s="204"/>
    </row>
    <row r="45" hidden="1">
      <c r="A45" s="199" t="str">
        <f>IFERROR(__xludf.DUMMYFUNCTION("""COMPUTED_VALUE"""),"R2.432.KB101(1)")</f>
        <v>R2.432.KB101(1)</v>
      </c>
      <c r="B45" s="200" t="str">
        <f>IFERROR(__xludf.DUMMYFUNCTION("""COMPUTED_VALUE"""),"Kiln Bearing")</f>
        <v>Kiln Bearing</v>
      </c>
      <c r="C45" s="199">
        <f>IFERROR(__xludf.DUMMYFUNCTION("""COMPUTED_VALUE"""),2.3161106255E10)</f>
        <v>23161106255</v>
      </c>
      <c r="D45" s="201">
        <f>IFERROR(__xludf.DUMMYFUNCTION("""COMPUTED_VALUE"""),45076.0)</f>
        <v>45076</v>
      </c>
      <c r="E45" s="202" t="str">
        <f>IFERROR(__xludf.DUMMYFUNCTION("""COMPUTED_VALUE"""),"Alert")</f>
        <v>Alert</v>
      </c>
      <c r="F45" s="202" t="str">
        <f>IFERROR(__xludf.DUMMYFUNCTION("""COMPUTED_VALUE"""),"Alert")</f>
        <v>Alert</v>
      </c>
      <c r="G45" s="203" t="str">
        <f>IFERROR(__xludf.DUMMYFUNCTION("""COMPUTED_VALUE"""),"Alert")</f>
        <v>Alert</v>
      </c>
      <c r="H45" s="203" t="str">
        <f>IFERROR(__xludf.DUMMYFUNCTION("""COMPUTED_VALUE"""),"Alert")</f>
        <v>Alert</v>
      </c>
      <c r="I45" s="199"/>
      <c r="J45" s="199"/>
      <c r="K45" s="199"/>
      <c r="L45" s="199">
        <f>IFERROR(__xludf.DUMMYFUNCTION("""COMPUTED_VALUE"""),71.0)</f>
        <v>71</v>
      </c>
      <c r="M45" s="199">
        <f>IFERROR(__xludf.DUMMYFUNCTION("""COMPUTED_VALUE"""),58.1)</f>
        <v>58.1</v>
      </c>
      <c r="N45" s="37"/>
      <c r="O45" s="37">
        <f>IFERROR(__xludf.DUMMYFUNCTION("""COMPUTED_VALUE"""),0.0)</f>
        <v>0</v>
      </c>
      <c r="P45" s="199"/>
      <c r="Q45" s="199">
        <f>IFERROR(__xludf.DUMMYFUNCTION("""COMPUTED_VALUE"""),0.0)</f>
        <v>0</v>
      </c>
      <c r="R45" s="199">
        <f>IFERROR(__xludf.DUMMYFUNCTION("""COMPUTED_VALUE"""),0.0)</f>
        <v>0</v>
      </c>
      <c r="S45" s="199">
        <f>IFERROR(__xludf.DUMMYFUNCTION("""COMPUTED_VALUE"""),0.0)</f>
        <v>0</v>
      </c>
      <c r="T45" s="199">
        <f>IFERROR(__xludf.DUMMYFUNCTION("""COMPUTED_VALUE"""),264.0)</f>
        <v>264</v>
      </c>
      <c r="U45" s="199">
        <f>IFERROR(__xludf.DUMMYFUNCTION("""COMPUTED_VALUE"""),84.0)</f>
        <v>84</v>
      </c>
      <c r="V45" s="199">
        <f>IFERROR(__xludf.DUMMYFUNCTION("""COMPUTED_VALUE"""),0.0)</f>
        <v>0</v>
      </c>
      <c r="W45" s="199">
        <f>IFERROR(__xludf.DUMMYFUNCTION("""COMPUTED_VALUE"""),0.0)</f>
        <v>0</v>
      </c>
      <c r="X45" s="199">
        <f>IFERROR(__xludf.DUMMYFUNCTION("""COMPUTED_VALUE"""),6.0)</f>
        <v>6</v>
      </c>
      <c r="Y45" s="199">
        <f>IFERROR(__xludf.DUMMYFUNCTION("""COMPUTED_VALUE"""),36.0)</f>
        <v>36</v>
      </c>
      <c r="Z45" s="199">
        <f>IFERROR(__xludf.DUMMYFUNCTION("""COMPUTED_VALUE"""),0.0)</f>
        <v>0</v>
      </c>
      <c r="AA45" s="199">
        <f>IFERROR(__xludf.DUMMYFUNCTION("""COMPUTED_VALUE"""),0.0)</f>
        <v>0</v>
      </c>
      <c r="AB45" s="199">
        <f>IFERROR(__xludf.DUMMYFUNCTION("""COMPUTED_VALUE"""),29.0)</f>
        <v>29</v>
      </c>
      <c r="AC45" s="199">
        <f>IFERROR(__xludf.DUMMYFUNCTION("""COMPUTED_VALUE"""),55.0)</f>
        <v>55</v>
      </c>
      <c r="AD45" s="199">
        <f>IFERROR(__xludf.DUMMYFUNCTION("""COMPUTED_VALUE"""),0.0)</f>
        <v>0</v>
      </c>
      <c r="AE45" s="199">
        <f>IFERROR(__xludf.DUMMYFUNCTION("""COMPUTED_VALUE"""),62.0)</f>
        <v>62</v>
      </c>
      <c r="AF45" s="199">
        <f>IFERROR(__xludf.DUMMYFUNCTION("""COMPUTED_VALUE"""),0.0)</f>
        <v>0</v>
      </c>
      <c r="AG45" s="199">
        <f>IFERROR(__xludf.DUMMYFUNCTION("""COMPUTED_VALUE"""),271.0)</f>
        <v>271</v>
      </c>
      <c r="AH45" s="199">
        <f>IFERROR(__xludf.DUMMYFUNCTION("""COMPUTED_VALUE"""),1.0)</f>
        <v>1</v>
      </c>
      <c r="AI45" s="200" t="str">
        <f>IFERROR(__xludf.DUMMYFUNCTION("""COMPUTED_VALUE"""),"Wear Metal Alert | Lubricant Degradation")</f>
        <v>Wear Metal Alert | Lubricant Degradation</v>
      </c>
      <c r="AJ45" s="200" t="str">
        <f>IFERROR(__xludf.DUMMYFUNCTION("""COMPUTED_VALUE"""),"URGENT: Inspect equipment immediately for wear/damage; High wear metals - inspect bearing/gear surfaces; Viscosity critically low - change lubricant immediately")</f>
        <v>URGENT: Inspect equipment immediately for wear/damage; High wear metals - inspect bearing/gear surfaces; Viscosity critically low - change lubricant immediately</v>
      </c>
      <c r="AK45" s="204"/>
      <c r="AL45" s="204"/>
      <c r="AM45" s="204"/>
    </row>
    <row r="46" hidden="1">
      <c r="A46" s="199" t="str">
        <f>IFERROR(__xludf.DUMMYFUNCTION("""COMPUTED_VALUE"""),"R2.432.KB101(2)")</f>
        <v>R2.432.KB101(2)</v>
      </c>
      <c r="B46" s="200" t="str">
        <f>IFERROR(__xludf.DUMMYFUNCTION("""COMPUTED_VALUE"""),"Kiln Bearing")</f>
        <v>Kiln Bearing</v>
      </c>
      <c r="C46" s="199">
        <f>IFERROR(__xludf.DUMMYFUNCTION("""COMPUTED_VALUE"""),2.3161106251E10)</f>
        <v>23161106251</v>
      </c>
      <c r="D46" s="201">
        <f>IFERROR(__xludf.DUMMYFUNCTION("""COMPUTED_VALUE"""),45076.0)</f>
        <v>45076</v>
      </c>
      <c r="E46" s="202" t="str">
        <f>IFERROR(__xludf.DUMMYFUNCTION("""COMPUTED_VALUE"""),"Alert")</f>
        <v>Alert</v>
      </c>
      <c r="F46" s="202" t="str">
        <f>IFERROR(__xludf.DUMMYFUNCTION("""COMPUTED_VALUE"""),"Caution")</f>
        <v>Caution</v>
      </c>
      <c r="G46" s="203" t="str">
        <f>IFERROR(__xludf.DUMMYFUNCTION("""COMPUTED_VALUE"""),"Caution")</f>
        <v>Caution</v>
      </c>
      <c r="H46" s="203" t="str">
        <f>IFERROR(__xludf.DUMMYFUNCTION("""COMPUTED_VALUE"""),"Alert")</f>
        <v>Alert</v>
      </c>
      <c r="I46" s="199"/>
      <c r="J46" s="199"/>
      <c r="K46" s="199"/>
      <c r="L46" s="199">
        <f>IFERROR(__xludf.DUMMYFUNCTION("""COMPUTED_VALUE"""),31.0)</f>
        <v>31</v>
      </c>
      <c r="M46" s="199">
        <f>IFERROR(__xludf.DUMMYFUNCTION("""COMPUTED_VALUE"""),54.1)</f>
        <v>54.1</v>
      </c>
      <c r="N46" s="37"/>
      <c r="O46" s="37">
        <f>IFERROR(__xludf.DUMMYFUNCTION("""COMPUTED_VALUE"""),0.0)</f>
        <v>0</v>
      </c>
      <c r="P46" s="199"/>
      <c r="Q46" s="199">
        <f>IFERROR(__xludf.DUMMYFUNCTION("""COMPUTED_VALUE"""),0.0)</f>
        <v>0</v>
      </c>
      <c r="R46" s="199">
        <f>IFERROR(__xludf.DUMMYFUNCTION("""COMPUTED_VALUE"""),0.0)</f>
        <v>0</v>
      </c>
      <c r="S46" s="199">
        <f>IFERROR(__xludf.DUMMYFUNCTION("""COMPUTED_VALUE"""),0.0)</f>
        <v>0</v>
      </c>
      <c r="T46" s="199">
        <f>IFERROR(__xludf.DUMMYFUNCTION("""COMPUTED_VALUE"""),43.0)</f>
        <v>43</v>
      </c>
      <c r="U46" s="199">
        <f>IFERROR(__xludf.DUMMYFUNCTION("""COMPUTED_VALUE"""),37.0)</f>
        <v>37</v>
      </c>
      <c r="V46" s="199">
        <f>IFERROR(__xludf.DUMMYFUNCTION("""COMPUTED_VALUE"""),3.0)</f>
        <v>3</v>
      </c>
      <c r="W46" s="199">
        <f>IFERROR(__xludf.DUMMYFUNCTION("""COMPUTED_VALUE"""),0.0)</f>
        <v>0</v>
      </c>
      <c r="X46" s="199">
        <f>IFERROR(__xludf.DUMMYFUNCTION("""COMPUTED_VALUE"""),3.0)</f>
        <v>3</v>
      </c>
      <c r="Y46" s="199">
        <f>IFERROR(__xludf.DUMMYFUNCTION("""COMPUTED_VALUE"""),0.0)</f>
        <v>0</v>
      </c>
      <c r="Z46" s="199">
        <f>IFERROR(__xludf.DUMMYFUNCTION("""COMPUTED_VALUE"""),5.0)</f>
        <v>5</v>
      </c>
      <c r="AA46" s="199">
        <f>IFERROR(__xludf.DUMMYFUNCTION("""COMPUTED_VALUE"""),4.0)</f>
        <v>4</v>
      </c>
      <c r="AB46" s="199">
        <f>IFERROR(__xludf.DUMMYFUNCTION("""COMPUTED_VALUE"""),14.0)</f>
        <v>14</v>
      </c>
      <c r="AC46" s="199">
        <f>IFERROR(__xludf.DUMMYFUNCTION("""COMPUTED_VALUE"""),26.0)</f>
        <v>26</v>
      </c>
      <c r="AD46" s="199">
        <f>IFERROR(__xludf.DUMMYFUNCTION("""COMPUTED_VALUE"""),0.0)</f>
        <v>0</v>
      </c>
      <c r="AE46" s="199">
        <f>IFERROR(__xludf.DUMMYFUNCTION("""COMPUTED_VALUE"""),26.0)</f>
        <v>26</v>
      </c>
      <c r="AF46" s="199">
        <f>IFERROR(__xludf.DUMMYFUNCTION("""COMPUTED_VALUE"""),1.0)</f>
        <v>1</v>
      </c>
      <c r="AG46" s="199">
        <f>IFERROR(__xludf.DUMMYFUNCTION("""COMPUTED_VALUE"""),247.0)</f>
        <v>247</v>
      </c>
      <c r="AH46" s="199">
        <f>IFERROR(__xludf.DUMMYFUNCTION("""COMPUTED_VALUE"""),2.0)</f>
        <v>2</v>
      </c>
      <c r="AI46" s="200" t="str">
        <f>IFERROR(__xludf.DUMMYFUNCTION("""COMPUTED_VALUE"""),"Lubricant Degradation")</f>
        <v>Lubricant Degradation</v>
      </c>
      <c r="AJ46" s="200" t="str">
        <f>IFERROR(__xludf.DUMMYFUNCTION("""COMPUTED_VALUE"""),"Viscosity critically low - change lubricant immediately")</f>
        <v>Viscosity critically low - change lubricant immediately</v>
      </c>
      <c r="AK46" s="204"/>
      <c r="AL46" s="204"/>
      <c r="AM46" s="204"/>
    </row>
    <row r="47" hidden="1">
      <c r="A47" s="199" t="str">
        <f>IFERROR(__xludf.DUMMYFUNCTION("""COMPUTED_VALUE"""),"R2.432.KB101(3)")</f>
        <v>R2.432.KB101(3)</v>
      </c>
      <c r="B47" s="200" t="str">
        <f>IFERROR(__xludf.DUMMYFUNCTION("""COMPUTED_VALUE"""),"Kiln Bearing")</f>
        <v>Kiln Bearing</v>
      </c>
      <c r="C47" s="199">
        <f>IFERROR(__xludf.DUMMYFUNCTION("""COMPUTED_VALUE"""),2.3161106215E10)</f>
        <v>23161106215</v>
      </c>
      <c r="D47" s="201">
        <f>IFERROR(__xludf.DUMMYFUNCTION("""COMPUTED_VALUE"""),45076.0)</f>
        <v>45076</v>
      </c>
      <c r="E47" s="202" t="str">
        <f>IFERROR(__xludf.DUMMYFUNCTION("""COMPUTED_VALUE"""),"Alert")</f>
        <v>Alert</v>
      </c>
      <c r="F47" s="202" t="str">
        <f>IFERROR(__xludf.DUMMYFUNCTION("""COMPUTED_VALUE"""),"Alert")</f>
        <v>Alert</v>
      </c>
      <c r="G47" s="203" t="str">
        <f>IFERROR(__xludf.DUMMYFUNCTION("""COMPUTED_VALUE"""),"Caution")</f>
        <v>Caution</v>
      </c>
      <c r="H47" s="203" t="str">
        <f>IFERROR(__xludf.DUMMYFUNCTION("""COMPUTED_VALUE"""),"Alert")</f>
        <v>Alert</v>
      </c>
      <c r="I47" s="199"/>
      <c r="J47" s="199"/>
      <c r="K47" s="199"/>
      <c r="L47" s="199">
        <f>IFERROR(__xludf.DUMMYFUNCTION("""COMPUTED_VALUE"""),17.0)</f>
        <v>17</v>
      </c>
      <c r="M47" s="199">
        <f>IFERROR(__xludf.DUMMYFUNCTION("""COMPUTED_VALUE"""),54.3)</f>
        <v>54.3</v>
      </c>
      <c r="N47" s="37"/>
      <c r="O47" s="37">
        <f>IFERROR(__xludf.DUMMYFUNCTION("""COMPUTED_VALUE"""),0.0)</f>
        <v>0</v>
      </c>
      <c r="P47" s="199"/>
      <c r="Q47" s="199">
        <f>IFERROR(__xludf.DUMMYFUNCTION("""COMPUTED_VALUE"""),0.0)</f>
        <v>0</v>
      </c>
      <c r="R47" s="199">
        <f>IFERROR(__xludf.DUMMYFUNCTION("""COMPUTED_VALUE"""),7.0)</f>
        <v>7</v>
      </c>
      <c r="S47" s="199">
        <f>IFERROR(__xludf.DUMMYFUNCTION("""COMPUTED_VALUE"""),2.0)</f>
        <v>2</v>
      </c>
      <c r="T47" s="199">
        <f>IFERROR(__xludf.DUMMYFUNCTION("""COMPUTED_VALUE"""),46.0)</f>
        <v>46</v>
      </c>
      <c r="U47" s="199">
        <f>IFERROR(__xludf.DUMMYFUNCTION("""COMPUTED_VALUE"""),30.0)</f>
        <v>30</v>
      </c>
      <c r="V47" s="199">
        <f>IFERROR(__xludf.DUMMYFUNCTION("""COMPUTED_VALUE"""),0.0)</f>
        <v>0</v>
      </c>
      <c r="W47" s="199">
        <f>IFERROR(__xludf.DUMMYFUNCTION("""COMPUTED_VALUE"""),0.0)</f>
        <v>0</v>
      </c>
      <c r="X47" s="199">
        <f>IFERROR(__xludf.DUMMYFUNCTION("""COMPUTED_VALUE"""),3.0)</f>
        <v>3</v>
      </c>
      <c r="Y47" s="199">
        <f>IFERROR(__xludf.DUMMYFUNCTION("""COMPUTED_VALUE"""),0.0)</f>
        <v>0</v>
      </c>
      <c r="Z47" s="199">
        <f>IFERROR(__xludf.DUMMYFUNCTION("""COMPUTED_VALUE"""),12.0)</f>
        <v>12</v>
      </c>
      <c r="AA47" s="199">
        <f>IFERROR(__xludf.DUMMYFUNCTION("""COMPUTED_VALUE"""),0.0)</f>
        <v>0</v>
      </c>
      <c r="AB47" s="199">
        <f>IFERROR(__xludf.DUMMYFUNCTION("""COMPUTED_VALUE"""),31.0)</f>
        <v>31</v>
      </c>
      <c r="AC47" s="199">
        <f>IFERROR(__xludf.DUMMYFUNCTION("""COMPUTED_VALUE"""),26.0)</f>
        <v>26</v>
      </c>
      <c r="AD47" s="199">
        <f>IFERROR(__xludf.DUMMYFUNCTION("""COMPUTED_VALUE"""),0.0)</f>
        <v>0</v>
      </c>
      <c r="AE47" s="199">
        <f>IFERROR(__xludf.DUMMYFUNCTION("""COMPUTED_VALUE"""),27.0)</f>
        <v>27</v>
      </c>
      <c r="AF47" s="199">
        <f>IFERROR(__xludf.DUMMYFUNCTION("""COMPUTED_VALUE"""),10.0)</f>
        <v>10</v>
      </c>
      <c r="AG47" s="199">
        <f>IFERROR(__xludf.DUMMYFUNCTION("""COMPUTED_VALUE"""),242.0)</f>
        <v>242</v>
      </c>
      <c r="AH47" s="199">
        <f>IFERROR(__xludf.DUMMYFUNCTION("""COMPUTED_VALUE"""),25.0)</f>
        <v>25</v>
      </c>
      <c r="AI47" s="200" t="str">
        <f>IFERROR(__xludf.DUMMYFUNCTION("""COMPUTED_VALUE"""),"Lubricant Degradation")</f>
        <v>Lubricant Degradation</v>
      </c>
      <c r="AJ47" s="200" t="str">
        <f>IFERROR(__xludf.DUMMYFUNCTION("""COMPUTED_VALUE"""),"Viscosity critically low - change lubricant immediately; Elevated silicon - inspect filters and seals for contamination")</f>
        <v>Viscosity critically low - change lubricant immediately; Elevated silicon - inspect filters and seals for contamination</v>
      </c>
      <c r="AK47" s="204"/>
      <c r="AL47" s="204"/>
      <c r="AM47" s="204"/>
    </row>
    <row r="48" hidden="1">
      <c r="A48" s="199" t="str">
        <f>IFERROR(__xludf.DUMMYFUNCTION("""COMPUTED_VALUE"""),"R2.432.KB101(4)")</f>
        <v>R2.432.KB101(4)</v>
      </c>
      <c r="B48" s="200" t="str">
        <f>IFERROR(__xludf.DUMMYFUNCTION("""COMPUTED_VALUE"""),"Kiln Bearing")</f>
        <v>Kiln Bearing</v>
      </c>
      <c r="C48" s="199">
        <f>IFERROR(__xludf.DUMMYFUNCTION("""COMPUTED_VALUE"""),2.3161110625E10)</f>
        <v>23161110625</v>
      </c>
      <c r="D48" s="201">
        <f>IFERROR(__xludf.DUMMYFUNCTION("""COMPUTED_VALUE"""),45076.0)</f>
        <v>45076</v>
      </c>
      <c r="E48" s="202" t="str">
        <f>IFERROR(__xludf.DUMMYFUNCTION("""COMPUTED_VALUE"""),"Alert")</f>
        <v>Alert</v>
      </c>
      <c r="F48" s="202" t="str">
        <f>IFERROR(__xludf.DUMMYFUNCTION("""COMPUTED_VALUE"""),"Alert")</f>
        <v>Alert</v>
      </c>
      <c r="G48" s="203" t="str">
        <f>IFERROR(__xludf.DUMMYFUNCTION("""COMPUTED_VALUE"""),"Alert")</f>
        <v>Alert</v>
      </c>
      <c r="H48" s="203" t="str">
        <f>IFERROR(__xludf.DUMMYFUNCTION("""COMPUTED_VALUE"""),"Alert")</f>
        <v>Alert</v>
      </c>
      <c r="I48" s="199"/>
      <c r="J48" s="199"/>
      <c r="K48" s="199"/>
      <c r="L48" s="199">
        <f>IFERROR(__xludf.DUMMYFUNCTION("""COMPUTED_VALUE"""),929.0)</f>
        <v>929</v>
      </c>
      <c r="M48" s="199">
        <f>IFERROR(__xludf.DUMMYFUNCTION("""COMPUTED_VALUE"""),54.6)</f>
        <v>54.6</v>
      </c>
      <c r="N48" s="37"/>
      <c r="O48" s="37">
        <f>IFERROR(__xludf.DUMMYFUNCTION("""COMPUTED_VALUE"""),0.0)</f>
        <v>0</v>
      </c>
      <c r="P48" s="199"/>
      <c r="Q48" s="199">
        <f>IFERROR(__xludf.DUMMYFUNCTION("""COMPUTED_VALUE"""),0.0)</f>
        <v>0</v>
      </c>
      <c r="R48" s="199">
        <f>IFERROR(__xludf.DUMMYFUNCTION("""COMPUTED_VALUE"""),16.0)</f>
        <v>16</v>
      </c>
      <c r="S48" s="199">
        <f>IFERROR(__xludf.DUMMYFUNCTION("""COMPUTED_VALUE"""),0.0)</f>
        <v>0</v>
      </c>
      <c r="T48" s="199">
        <f>IFERROR(__xludf.DUMMYFUNCTION("""COMPUTED_VALUE"""),179.0)</f>
        <v>179</v>
      </c>
      <c r="U48" s="199">
        <f>IFERROR(__xludf.DUMMYFUNCTION("""COMPUTED_VALUE"""),344.0)</f>
        <v>344</v>
      </c>
      <c r="V48" s="199">
        <f>IFERROR(__xludf.DUMMYFUNCTION("""COMPUTED_VALUE"""),2.0)</f>
        <v>2</v>
      </c>
      <c r="W48" s="199">
        <f>IFERROR(__xludf.DUMMYFUNCTION("""COMPUTED_VALUE"""),0.0)</f>
        <v>0</v>
      </c>
      <c r="X48" s="199">
        <f>IFERROR(__xludf.DUMMYFUNCTION("""COMPUTED_VALUE"""),3.0)</f>
        <v>3</v>
      </c>
      <c r="Y48" s="199">
        <f>IFERROR(__xludf.DUMMYFUNCTION("""COMPUTED_VALUE"""),0.0)</f>
        <v>0</v>
      </c>
      <c r="Z48" s="199">
        <f>IFERROR(__xludf.DUMMYFUNCTION("""COMPUTED_VALUE"""),0.0)</f>
        <v>0</v>
      </c>
      <c r="AA48" s="199">
        <f>IFERROR(__xludf.DUMMYFUNCTION("""COMPUTED_VALUE"""),0.0)</f>
        <v>0</v>
      </c>
      <c r="AB48" s="199">
        <f>IFERROR(__xludf.DUMMYFUNCTION("""COMPUTED_VALUE"""),32.0)</f>
        <v>32</v>
      </c>
      <c r="AC48" s="199">
        <f>IFERROR(__xludf.DUMMYFUNCTION("""COMPUTED_VALUE"""),68.0)</f>
        <v>68</v>
      </c>
      <c r="AD48" s="199">
        <f>IFERROR(__xludf.DUMMYFUNCTION("""COMPUTED_VALUE"""),0.0)</f>
        <v>0</v>
      </c>
      <c r="AE48" s="199">
        <f>IFERROR(__xludf.DUMMYFUNCTION("""COMPUTED_VALUE"""),69.0)</f>
        <v>69</v>
      </c>
      <c r="AF48" s="199">
        <f>IFERROR(__xludf.DUMMYFUNCTION("""COMPUTED_VALUE"""),0.0)</f>
        <v>0</v>
      </c>
      <c r="AG48" s="199">
        <f>IFERROR(__xludf.DUMMYFUNCTION("""COMPUTED_VALUE"""),359.0)</f>
        <v>359</v>
      </c>
      <c r="AH48" s="199">
        <f>IFERROR(__xludf.DUMMYFUNCTION("""COMPUTED_VALUE"""),2.0)</f>
        <v>2</v>
      </c>
      <c r="AI48" s="200" t="str">
        <f>IFERROR(__xludf.DUMMYFUNCTION("""COMPUTED_VALUE"""),"Wear Metal Alert | Lubricant Degradation | High Particle Count")</f>
        <v>Wear Metal Alert | Lubricant Degradation | High Particle Count</v>
      </c>
      <c r="AJ48" s="200" t="str">
        <f>IFERROR(__xludf.DUMMYFUNCTION("""COMPUTED_VALUE"""),"URGENT: Inspect equipment immediately for wear/damage; Critical wear metals detected - schedule immediate inspection; High wear metals - inspect bearing/gear surfaces; Viscosity critically low - change lubricant immediately; Elevated silicon - inspect fil"&amp;"ters and seals for contamination; Critical particle count - flush system and replace filters")</f>
        <v>URGENT: Inspect equipment immediately for wear/damage; Critical wear metals detected - schedule immediate inspection; High wear metals - inspect bearing/gear surfaces; Viscosity critically low - change lubricant immediately; Elevated silicon - inspect filters and seals for contamination; Critical particle count - flush system and replace filters</v>
      </c>
      <c r="AK48" s="204"/>
      <c r="AL48" s="204"/>
      <c r="AM48" s="204"/>
    </row>
    <row r="49" hidden="1">
      <c r="A49" s="199" t="str">
        <f>IFERROR(__xludf.DUMMYFUNCTION("""COMPUTED_VALUE"""),"R2.432.KB102(1)")</f>
        <v>R2.432.KB102(1)</v>
      </c>
      <c r="B49" s="200" t="str">
        <f>IFERROR(__xludf.DUMMYFUNCTION("""COMPUTED_VALUE"""),"Kiln Bearing")</f>
        <v>Kiln Bearing</v>
      </c>
      <c r="C49" s="199">
        <f>IFERROR(__xludf.DUMMYFUNCTION("""COMPUTED_VALUE"""),2.316110626E10)</f>
        <v>23161106260</v>
      </c>
      <c r="D49" s="201">
        <f>IFERROR(__xludf.DUMMYFUNCTION("""COMPUTED_VALUE"""),45076.0)</f>
        <v>45076</v>
      </c>
      <c r="E49" s="202" t="str">
        <f>IFERROR(__xludf.DUMMYFUNCTION("""COMPUTED_VALUE"""),"Alert")</f>
        <v>Alert</v>
      </c>
      <c r="F49" s="202" t="str">
        <f>IFERROR(__xludf.DUMMYFUNCTION("""COMPUTED_VALUE"""),"Alert")</f>
        <v>Alert</v>
      </c>
      <c r="G49" s="203" t="str">
        <f>IFERROR(__xludf.DUMMYFUNCTION("""COMPUTED_VALUE"""),"Alert")</f>
        <v>Alert</v>
      </c>
      <c r="H49" s="203" t="str">
        <f>IFERROR(__xludf.DUMMYFUNCTION("""COMPUTED_VALUE"""),"Alert")</f>
        <v>Alert</v>
      </c>
      <c r="I49" s="37"/>
      <c r="J49" s="37"/>
      <c r="K49" s="37"/>
      <c r="L49" s="199">
        <f>IFERROR(__xludf.DUMMYFUNCTION("""COMPUTED_VALUE"""),62.0)</f>
        <v>62</v>
      </c>
      <c r="M49" s="199">
        <f>IFERROR(__xludf.DUMMYFUNCTION("""COMPUTED_VALUE"""),54.2)</f>
        <v>54.2</v>
      </c>
      <c r="N49" s="199"/>
      <c r="O49" s="199">
        <f>IFERROR(__xludf.DUMMYFUNCTION("""COMPUTED_VALUE"""),0.0)</f>
        <v>0</v>
      </c>
      <c r="P49" s="199"/>
      <c r="Q49" s="199">
        <f>IFERROR(__xludf.DUMMYFUNCTION("""COMPUTED_VALUE"""),0.0)</f>
        <v>0</v>
      </c>
      <c r="R49" s="199">
        <f>IFERROR(__xludf.DUMMYFUNCTION("""COMPUTED_VALUE"""),1.0)</f>
        <v>1</v>
      </c>
      <c r="S49" s="199">
        <f>IFERROR(__xludf.DUMMYFUNCTION("""COMPUTED_VALUE"""),0.0)</f>
        <v>0</v>
      </c>
      <c r="T49" s="199">
        <f>IFERROR(__xludf.DUMMYFUNCTION("""COMPUTED_VALUE"""),314.0)</f>
        <v>314</v>
      </c>
      <c r="U49" s="199">
        <f>IFERROR(__xludf.DUMMYFUNCTION("""COMPUTED_VALUE"""),74.0)</f>
        <v>74</v>
      </c>
      <c r="V49" s="199">
        <f>IFERROR(__xludf.DUMMYFUNCTION("""COMPUTED_VALUE"""),3.0)</f>
        <v>3</v>
      </c>
      <c r="W49" s="199">
        <f>IFERROR(__xludf.DUMMYFUNCTION("""COMPUTED_VALUE"""),2.0)</f>
        <v>2</v>
      </c>
      <c r="X49" s="199">
        <f>IFERROR(__xludf.DUMMYFUNCTION("""COMPUTED_VALUE"""),8.0)</f>
        <v>8</v>
      </c>
      <c r="Y49" s="199">
        <f>IFERROR(__xludf.DUMMYFUNCTION("""COMPUTED_VALUE"""),23.0)</f>
        <v>23</v>
      </c>
      <c r="Z49" s="199">
        <f>IFERROR(__xludf.DUMMYFUNCTION("""COMPUTED_VALUE"""),6.0)</f>
        <v>6</v>
      </c>
      <c r="AA49" s="199">
        <f>IFERROR(__xludf.DUMMYFUNCTION("""COMPUTED_VALUE"""),2.0)</f>
        <v>2</v>
      </c>
      <c r="AB49" s="199">
        <f>IFERROR(__xludf.DUMMYFUNCTION("""COMPUTED_VALUE"""),30.0)</f>
        <v>30</v>
      </c>
      <c r="AC49" s="199">
        <f>IFERROR(__xludf.DUMMYFUNCTION("""COMPUTED_VALUE"""),25.0)</f>
        <v>25</v>
      </c>
      <c r="AD49" s="199">
        <f>IFERROR(__xludf.DUMMYFUNCTION("""COMPUTED_VALUE"""),0.0)</f>
        <v>0</v>
      </c>
      <c r="AE49" s="199">
        <f>IFERROR(__xludf.DUMMYFUNCTION("""COMPUTED_VALUE"""),45.0)</f>
        <v>45</v>
      </c>
      <c r="AF49" s="199">
        <f>IFERROR(__xludf.DUMMYFUNCTION("""COMPUTED_VALUE"""),1.0)</f>
        <v>1</v>
      </c>
      <c r="AG49" s="199">
        <f>IFERROR(__xludf.DUMMYFUNCTION("""COMPUTED_VALUE"""),272.0)</f>
        <v>272</v>
      </c>
      <c r="AH49" s="199">
        <f>IFERROR(__xludf.DUMMYFUNCTION("""COMPUTED_VALUE"""),3.0)</f>
        <v>3</v>
      </c>
      <c r="AI49" s="200" t="str">
        <f>IFERROR(__xludf.DUMMYFUNCTION("""COMPUTED_VALUE"""),"Wear Metal Alert | Lubricant Degradation")</f>
        <v>Wear Metal Alert | Lubricant Degradation</v>
      </c>
      <c r="AJ49" s="200" t="str">
        <f>IFERROR(__xludf.DUMMYFUNCTION("""COMPUTED_VALUE"""),"URGENT: Inspect equipment immediately for wear/damage; Critical wear metals detected - schedule immediate inspection; High wear metals - inspect bearing/gear surfaces; Viscosity critically low - change lubricant immediately")</f>
        <v>URGENT: Inspect equipment immediately for wear/damage; Critical wear metals detected - schedule immediate inspection; High wear metals - inspect bearing/gear surfaces; Viscosity critically low - change lubricant immediately</v>
      </c>
      <c r="AK49" s="204"/>
      <c r="AL49" s="204"/>
      <c r="AM49" s="204"/>
    </row>
    <row r="50" hidden="1">
      <c r="A50" s="199" t="str">
        <f>IFERROR(__xludf.DUMMYFUNCTION("""COMPUTED_VALUE"""),"R2.432.KB102(2)")</f>
        <v>R2.432.KB102(2)</v>
      </c>
      <c r="B50" s="200" t="str">
        <f>IFERROR(__xludf.DUMMYFUNCTION("""COMPUTED_VALUE"""),"Kiln Bearing")</f>
        <v>Kiln Bearing</v>
      </c>
      <c r="C50" s="199">
        <f>IFERROR(__xludf.DUMMYFUNCTION("""COMPUTED_VALUE"""),2.3161106253E10)</f>
        <v>23161106253</v>
      </c>
      <c r="D50" s="201">
        <f>IFERROR(__xludf.DUMMYFUNCTION("""COMPUTED_VALUE"""),45076.0)</f>
        <v>45076</v>
      </c>
      <c r="E50" s="202" t="str">
        <f>IFERROR(__xludf.DUMMYFUNCTION("""COMPUTED_VALUE"""),"Alert")</f>
        <v>Alert</v>
      </c>
      <c r="F50" s="202" t="str">
        <f>IFERROR(__xludf.DUMMYFUNCTION("""COMPUTED_VALUE"""),"Caution")</f>
        <v>Caution</v>
      </c>
      <c r="G50" s="203" t="str">
        <f>IFERROR(__xludf.DUMMYFUNCTION("""COMPUTED_VALUE"""),"Alert")</f>
        <v>Alert</v>
      </c>
      <c r="H50" s="203" t="str">
        <f>IFERROR(__xludf.DUMMYFUNCTION("""COMPUTED_VALUE"""),"Alert")</f>
        <v>Alert</v>
      </c>
      <c r="I50" s="37"/>
      <c r="J50" s="37"/>
      <c r="K50" s="37"/>
      <c r="L50" s="199">
        <f>IFERROR(__xludf.DUMMYFUNCTION("""COMPUTED_VALUE"""),38.0)</f>
        <v>38</v>
      </c>
      <c r="M50" s="199">
        <f>IFERROR(__xludf.DUMMYFUNCTION("""COMPUTED_VALUE"""),54.2)</f>
        <v>54.2</v>
      </c>
      <c r="N50" s="199"/>
      <c r="O50" s="199">
        <f>IFERROR(__xludf.DUMMYFUNCTION("""COMPUTED_VALUE"""),2.0)</f>
        <v>2</v>
      </c>
      <c r="P50" s="199"/>
      <c r="Q50" s="199">
        <f>IFERROR(__xludf.DUMMYFUNCTION("""COMPUTED_VALUE"""),0.0)</f>
        <v>0</v>
      </c>
      <c r="R50" s="199">
        <f>IFERROR(__xludf.DUMMYFUNCTION("""COMPUTED_VALUE"""),0.0)</f>
        <v>0</v>
      </c>
      <c r="S50" s="199">
        <f>IFERROR(__xludf.DUMMYFUNCTION("""COMPUTED_VALUE"""),0.0)</f>
        <v>0</v>
      </c>
      <c r="T50" s="199">
        <f>IFERROR(__xludf.DUMMYFUNCTION("""COMPUTED_VALUE"""),20.0)</f>
        <v>20</v>
      </c>
      <c r="U50" s="199">
        <f>IFERROR(__xludf.DUMMYFUNCTION("""COMPUTED_VALUE"""),101.0)</f>
        <v>101</v>
      </c>
      <c r="V50" s="199">
        <f>IFERROR(__xludf.DUMMYFUNCTION("""COMPUTED_VALUE"""),4.0)</f>
        <v>4</v>
      </c>
      <c r="W50" s="199">
        <f>IFERROR(__xludf.DUMMYFUNCTION("""COMPUTED_VALUE"""),2.0)</f>
        <v>2</v>
      </c>
      <c r="X50" s="199">
        <f>IFERROR(__xludf.DUMMYFUNCTION("""COMPUTED_VALUE"""),2.0)</f>
        <v>2</v>
      </c>
      <c r="Y50" s="199">
        <f>IFERROR(__xludf.DUMMYFUNCTION("""COMPUTED_VALUE"""),0.0)</f>
        <v>0</v>
      </c>
      <c r="Z50" s="199">
        <f>IFERROR(__xludf.DUMMYFUNCTION("""COMPUTED_VALUE"""),5.0)</f>
        <v>5</v>
      </c>
      <c r="AA50" s="199">
        <f>IFERROR(__xludf.DUMMYFUNCTION("""COMPUTED_VALUE"""),3.0)</f>
        <v>3</v>
      </c>
      <c r="AB50" s="199">
        <f>IFERROR(__xludf.DUMMYFUNCTION("""COMPUTED_VALUE"""),12.0)</f>
        <v>12</v>
      </c>
      <c r="AC50" s="199">
        <f>IFERROR(__xludf.DUMMYFUNCTION("""COMPUTED_VALUE"""),33.0)</f>
        <v>33</v>
      </c>
      <c r="AD50" s="199">
        <f>IFERROR(__xludf.DUMMYFUNCTION("""COMPUTED_VALUE"""),0.0)</f>
        <v>0</v>
      </c>
      <c r="AE50" s="199">
        <f>IFERROR(__xludf.DUMMYFUNCTION("""COMPUTED_VALUE"""),24.0)</f>
        <v>24</v>
      </c>
      <c r="AF50" s="199">
        <f>IFERROR(__xludf.DUMMYFUNCTION("""COMPUTED_VALUE"""),1.0)</f>
        <v>1</v>
      </c>
      <c r="AG50" s="199">
        <f>IFERROR(__xludf.DUMMYFUNCTION("""COMPUTED_VALUE"""),216.0)</f>
        <v>216</v>
      </c>
      <c r="AH50" s="199">
        <f>IFERROR(__xludf.DUMMYFUNCTION("""COMPUTED_VALUE"""),1.0)</f>
        <v>1</v>
      </c>
      <c r="AI50" s="200" t="str">
        <f>IFERROR(__xludf.DUMMYFUNCTION("""COMPUTED_VALUE"""),"Wear Metal Alert | Lubricant Degradation")</f>
        <v>Wear Metal Alert | Lubricant Degradation</v>
      </c>
      <c r="AJ50" s="200" t="str">
        <f>IFERROR(__xludf.DUMMYFUNCTION("""COMPUTED_VALUE"""),"URGENT: Inspect equipment immediately for wear/damage; High wear metals - inspect bearing/gear surfaces; Viscosity critically low - change lubricant immediately")</f>
        <v>URGENT: Inspect equipment immediately for wear/damage; High wear metals - inspect bearing/gear surfaces; Viscosity critically low - change lubricant immediately</v>
      </c>
      <c r="AK50" s="204"/>
      <c r="AL50" s="204"/>
      <c r="AM50" s="204"/>
    </row>
    <row r="51" hidden="1">
      <c r="A51" s="199" t="str">
        <f>IFERROR(__xludf.DUMMYFUNCTION("""COMPUTED_VALUE"""),"R2.432.KB102(3)")</f>
        <v>R2.432.KB102(3)</v>
      </c>
      <c r="B51" s="200" t="str">
        <f>IFERROR(__xludf.DUMMYFUNCTION("""COMPUTED_VALUE"""),"Kiln Bearing")</f>
        <v>Kiln Bearing</v>
      </c>
      <c r="C51" s="199">
        <f>IFERROR(__xludf.DUMMYFUNCTION("""COMPUTED_VALUE"""),2.3161106259E10)</f>
        <v>23161106259</v>
      </c>
      <c r="D51" s="201">
        <f>IFERROR(__xludf.DUMMYFUNCTION("""COMPUTED_VALUE"""),45076.0)</f>
        <v>45076</v>
      </c>
      <c r="E51" s="202" t="str">
        <f>IFERROR(__xludf.DUMMYFUNCTION("""COMPUTED_VALUE"""),"Alert")</f>
        <v>Alert</v>
      </c>
      <c r="F51" s="202" t="str">
        <f>IFERROR(__xludf.DUMMYFUNCTION("""COMPUTED_VALUE"""),"Alert")</f>
        <v>Alert</v>
      </c>
      <c r="G51" s="203" t="str">
        <f>IFERROR(__xludf.DUMMYFUNCTION("""COMPUTED_VALUE"""),"Alert")</f>
        <v>Alert</v>
      </c>
      <c r="H51" s="203" t="str">
        <f>IFERROR(__xludf.DUMMYFUNCTION("""COMPUTED_VALUE"""),"Alert")</f>
        <v>Alert</v>
      </c>
      <c r="I51" s="199"/>
      <c r="J51" s="199"/>
      <c r="K51" s="199"/>
      <c r="L51" s="199">
        <f>IFERROR(__xludf.DUMMYFUNCTION("""COMPUTED_VALUE"""),11.0)</f>
        <v>11</v>
      </c>
      <c r="M51" s="199">
        <f>IFERROR(__xludf.DUMMYFUNCTION("""COMPUTED_VALUE"""),54.5)</f>
        <v>54.5</v>
      </c>
      <c r="N51" s="199"/>
      <c r="O51" s="199">
        <f>IFERROR(__xludf.DUMMYFUNCTION("""COMPUTED_VALUE"""),0.0)</f>
        <v>0</v>
      </c>
      <c r="P51" s="199"/>
      <c r="Q51" s="199">
        <f>IFERROR(__xludf.DUMMYFUNCTION("""COMPUTED_VALUE"""),0.0)</f>
        <v>0</v>
      </c>
      <c r="R51" s="199">
        <f>IFERROR(__xludf.DUMMYFUNCTION("""COMPUTED_VALUE"""),0.0)</f>
        <v>0</v>
      </c>
      <c r="S51" s="199">
        <f>IFERROR(__xludf.DUMMYFUNCTION("""COMPUTED_VALUE"""),0.0)</f>
        <v>0</v>
      </c>
      <c r="T51" s="199">
        <f>IFERROR(__xludf.DUMMYFUNCTION("""COMPUTED_VALUE"""),245.0)</f>
        <v>245</v>
      </c>
      <c r="U51" s="199">
        <f>IFERROR(__xludf.DUMMYFUNCTION("""COMPUTED_VALUE"""),83.0)</f>
        <v>83</v>
      </c>
      <c r="V51" s="199">
        <f>IFERROR(__xludf.DUMMYFUNCTION("""COMPUTED_VALUE"""),0.0)</f>
        <v>0</v>
      </c>
      <c r="W51" s="199">
        <f>IFERROR(__xludf.DUMMYFUNCTION("""COMPUTED_VALUE"""),0.0)</f>
        <v>0</v>
      </c>
      <c r="X51" s="199">
        <f>IFERROR(__xludf.DUMMYFUNCTION("""COMPUTED_VALUE"""),3.0)</f>
        <v>3</v>
      </c>
      <c r="Y51" s="199">
        <f>IFERROR(__xludf.DUMMYFUNCTION("""COMPUTED_VALUE"""),0.0)</f>
        <v>0</v>
      </c>
      <c r="Z51" s="199">
        <f>IFERROR(__xludf.DUMMYFUNCTION("""COMPUTED_VALUE"""),0.0)</f>
        <v>0</v>
      </c>
      <c r="AA51" s="199">
        <f>IFERROR(__xludf.DUMMYFUNCTION("""COMPUTED_VALUE"""),0.0)</f>
        <v>0</v>
      </c>
      <c r="AB51" s="199">
        <f>IFERROR(__xludf.DUMMYFUNCTION("""COMPUTED_VALUE"""),33.0)</f>
        <v>33</v>
      </c>
      <c r="AC51" s="199">
        <f>IFERROR(__xludf.DUMMYFUNCTION("""COMPUTED_VALUE"""),16.0)</f>
        <v>16</v>
      </c>
      <c r="AD51" s="199">
        <f>IFERROR(__xludf.DUMMYFUNCTION("""COMPUTED_VALUE"""),0.0)</f>
        <v>0</v>
      </c>
      <c r="AE51" s="199">
        <f>IFERROR(__xludf.DUMMYFUNCTION("""COMPUTED_VALUE"""),50.0)</f>
        <v>50</v>
      </c>
      <c r="AF51" s="199">
        <f>IFERROR(__xludf.DUMMYFUNCTION("""COMPUTED_VALUE"""),3.0)</f>
        <v>3</v>
      </c>
      <c r="AG51" s="199">
        <f>IFERROR(__xludf.DUMMYFUNCTION("""COMPUTED_VALUE"""),304.0)</f>
        <v>304</v>
      </c>
      <c r="AH51" s="199">
        <f>IFERROR(__xludf.DUMMYFUNCTION("""COMPUTED_VALUE"""),0.0)</f>
        <v>0</v>
      </c>
      <c r="AI51" s="200" t="str">
        <f>IFERROR(__xludf.DUMMYFUNCTION("""COMPUTED_VALUE"""),"Wear Metal Alert | Lubricant Degradation")</f>
        <v>Wear Metal Alert | Lubricant Degradation</v>
      </c>
      <c r="AJ51" s="200" t="str">
        <f>IFERROR(__xludf.DUMMYFUNCTION("""COMPUTED_VALUE"""),"URGENT: Inspect equipment immediately for wear/damage; High wear metals - inspect bearing/gear surfaces; Viscosity critically low - change lubricant immediately; Elevated silicon - inspect filters and seals for contamination")</f>
        <v>URGENT: Inspect equipment immediately for wear/damage; High wear metals - inspect bearing/gear surfaces; Viscosity critically low - change lubricant immediately; Elevated silicon - inspect filters and seals for contamination</v>
      </c>
      <c r="AK51" s="204"/>
      <c r="AL51" s="204"/>
      <c r="AM51" s="204"/>
    </row>
    <row r="52" hidden="1">
      <c r="A52" s="199" t="str">
        <f>IFERROR(__xludf.DUMMYFUNCTION("""COMPUTED_VALUE"""),"R2.432.KB102(4)")</f>
        <v>R2.432.KB102(4)</v>
      </c>
      <c r="B52" s="200" t="str">
        <f>IFERROR(__xludf.DUMMYFUNCTION("""COMPUTED_VALUE"""),"Kiln Bearing")</f>
        <v>Kiln Bearing</v>
      </c>
      <c r="C52" s="199">
        <f>IFERROR(__xludf.DUMMYFUNCTION("""COMPUTED_VALUE"""),2.3161110626E10)</f>
        <v>23161110626</v>
      </c>
      <c r="D52" s="201">
        <f>IFERROR(__xludf.DUMMYFUNCTION("""COMPUTED_VALUE"""),45076.0)</f>
        <v>45076</v>
      </c>
      <c r="E52" s="202" t="str">
        <f>IFERROR(__xludf.DUMMYFUNCTION("""COMPUTED_VALUE"""),"Alert")</f>
        <v>Alert</v>
      </c>
      <c r="F52" s="202" t="str">
        <f>IFERROR(__xludf.DUMMYFUNCTION("""COMPUTED_VALUE"""),"Alert")</f>
        <v>Alert</v>
      </c>
      <c r="G52" s="203" t="str">
        <f>IFERROR(__xludf.DUMMYFUNCTION("""COMPUTED_VALUE"""),"Alert")</f>
        <v>Alert</v>
      </c>
      <c r="H52" s="203" t="str">
        <f>IFERROR(__xludf.DUMMYFUNCTION("""COMPUTED_VALUE"""),"Alert")</f>
        <v>Alert</v>
      </c>
      <c r="I52" s="37"/>
      <c r="J52" s="37"/>
      <c r="K52" s="37"/>
      <c r="L52" s="199">
        <f>IFERROR(__xludf.DUMMYFUNCTION("""COMPUTED_VALUE"""),130.0)</f>
        <v>130</v>
      </c>
      <c r="M52" s="199">
        <f>IFERROR(__xludf.DUMMYFUNCTION("""COMPUTED_VALUE"""),53.8)</f>
        <v>53.8</v>
      </c>
      <c r="N52" s="37"/>
      <c r="O52" s="37">
        <f>IFERROR(__xludf.DUMMYFUNCTION("""COMPUTED_VALUE"""),1.0)</f>
        <v>1</v>
      </c>
      <c r="P52" s="199"/>
      <c r="Q52" s="199">
        <f>IFERROR(__xludf.DUMMYFUNCTION("""COMPUTED_VALUE"""),0.0)</f>
        <v>0</v>
      </c>
      <c r="R52" s="199">
        <f>IFERROR(__xludf.DUMMYFUNCTION("""COMPUTED_VALUE"""),0.0)</f>
        <v>0</v>
      </c>
      <c r="S52" s="199">
        <f>IFERROR(__xludf.DUMMYFUNCTION("""COMPUTED_VALUE"""),0.0)</f>
        <v>0</v>
      </c>
      <c r="T52" s="199">
        <f>IFERROR(__xludf.DUMMYFUNCTION("""COMPUTED_VALUE"""),179.0)</f>
        <v>179</v>
      </c>
      <c r="U52" s="199">
        <f>IFERROR(__xludf.DUMMYFUNCTION("""COMPUTED_VALUE"""),344.0)</f>
        <v>344</v>
      </c>
      <c r="V52" s="199">
        <f>IFERROR(__xludf.DUMMYFUNCTION("""COMPUTED_VALUE"""),2.0)</f>
        <v>2</v>
      </c>
      <c r="W52" s="199">
        <f>IFERROR(__xludf.DUMMYFUNCTION("""COMPUTED_VALUE"""),0.0)</f>
        <v>0</v>
      </c>
      <c r="X52" s="199">
        <f>IFERROR(__xludf.DUMMYFUNCTION("""COMPUTED_VALUE"""),3.0)</f>
        <v>3</v>
      </c>
      <c r="Y52" s="199">
        <f>IFERROR(__xludf.DUMMYFUNCTION("""COMPUTED_VALUE"""),0.0)</f>
        <v>0</v>
      </c>
      <c r="Z52" s="199">
        <f>IFERROR(__xludf.DUMMYFUNCTION("""COMPUTED_VALUE"""),0.0)</f>
        <v>0</v>
      </c>
      <c r="AA52" s="199">
        <f>IFERROR(__xludf.DUMMYFUNCTION("""COMPUTED_VALUE"""),0.0)</f>
        <v>0</v>
      </c>
      <c r="AB52" s="199">
        <f>IFERROR(__xludf.DUMMYFUNCTION("""COMPUTED_VALUE"""),32.0)</f>
        <v>32</v>
      </c>
      <c r="AC52" s="199">
        <f>IFERROR(__xludf.DUMMYFUNCTION("""COMPUTED_VALUE"""),68.0)</f>
        <v>68</v>
      </c>
      <c r="AD52" s="199">
        <f>IFERROR(__xludf.DUMMYFUNCTION("""COMPUTED_VALUE"""),0.0)</f>
        <v>0</v>
      </c>
      <c r="AE52" s="199">
        <f>IFERROR(__xludf.DUMMYFUNCTION("""COMPUTED_VALUE"""),69.0)</f>
        <v>69</v>
      </c>
      <c r="AF52" s="199">
        <f>IFERROR(__xludf.DUMMYFUNCTION("""COMPUTED_VALUE"""),0.0)</f>
        <v>0</v>
      </c>
      <c r="AG52" s="199">
        <f>IFERROR(__xludf.DUMMYFUNCTION("""COMPUTED_VALUE"""),359.0)</f>
        <v>359</v>
      </c>
      <c r="AH52" s="199">
        <f>IFERROR(__xludf.DUMMYFUNCTION("""COMPUTED_VALUE"""),2.0)</f>
        <v>2</v>
      </c>
      <c r="AI52" s="200" t="str">
        <f>IFERROR(__xludf.DUMMYFUNCTION("""COMPUTED_VALUE"""),"Wear Metal Alert | Lubricant Degradation | High Particle Count")</f>
        <v>Wear Metal Alert | Lubricant Degradation | High Particle Count</v>
      </c>
      <c r="AJ52" s="200" t="str">
        <f>IFERROR(__xludf.DUMMYFUNCTION("""COMPUTED_VALUE"""),"URGENT: Inspect equipment immediately for wear/damage; Critical wear metals detected - schedule immediate inspection; High wear metals - inspect bearing/gear surfaces; Viscosity critically low - change lubricant immediately; Elevated silicon - inspect fil"&amp;"ters and seals for contamination; High particle count - replace filters and resample")</f>
        <v>URGENT: Inspect equipment immediately for wear/damage; Critical wear metals detected - schedule immediate inspection; High wear metals - inspect bearing/gear surfaces; Viscosity critically low - change lubricant immediately; Elevated silicon - inspect filters and seals for contamination; High particle count - replace filters and resample</v>
      </c>
      <c r="AK52" s="204"/>
      <c r="AL52" s="204"/>
      <c r="AM52" s="204"/>
    </row>
    <row r="53" hidden="1">
      <c r="A53" s="199" t="str">
        <f>IFERROR(__xludf.DUMMYFUNCTION("""COMPUTED_VALUE"""),"R2.432.KB103(1)")</f>
        <v>R2.432.KB103(1)</v>
      </c>
      <c r="B53" s="200" t="str">
        <f>IFERROR(__xludf.DUMMYFUNCTION("""COMPUTED_VALUE"""),"Kiln Bearing")</f>
        <v>Kiln Bearing</v>
      </c>
      <c r="C53" s="199">
        <f>IFERROR(__xludf.DUMMYFUNCTION("""COMPUTED_VALUE"""),2.3161106249E10)</f>
        <v>23161106249</v>
      </c>
      <c r="D53" s="201">
        <f>IFERROR(__xludf.DUMMYFUNCTION("""COMPUTED_VALUE"""),45076.0)</f>
        <v>45076</v>
      </c>
      <c r="E53" s="202" t="str">
        <f>IFERROR(__xludf.DUMMYFUNCTION("""COMPUTED_VALUE"""),"Alert")</f>
        <v>Alert</v>
      </c>
      <c r="F53" s="202" t="str">
        <f>IFERROR(__xludf.DUMMYFUNCTION("""COMPUTED_VALUE"""),"Caution")</f>
        <v>Caution</v>
      </c>
      <c r="G53" s="203" t="str">
        <f>IFERROR(__xludf.DUMMYFUNCTION("""COMPUTED_VALUE"""),"Alert")</f>
        <v>Alert</v>
      </c>
      <c r="H53" s="203" t="str">
        <f>IFERROR(__xludf.DUMMYFUNCTION("""COMPUTED_VALUE"""),"Alert")</f>
        <v>Alert</v>
      </c>
      <c r="I53" s="37"/>
      <c r="J53" s="37"/>
      <c r="K53" s="37"/>
      <c r="L53" s="199">
        <f>IFERROR(__xludf.DUMMYFUNCTION("""COMPUTED_VALUE"""),15.0)</f>
        <v>15</v>
      </c>
      <c r="M53" s="199">
        <f>IFERROR(__xludf.DUMMYFUNCTION("""COMPUTED_VALUE"""),55.9)</f>
        <v>55.9</v>
      </c>
      <c r="N53" s="37"/>
      <c r="O53" s="37">
        <f>IFERROR(__xludf.DUMMYFUNCTION("""COMPUTED_VALUE"""),0.0)</f>
        <v>0</v>
      </c>
      <c r="P53" s="199"/>
      <c r="Q53" s="199">
        <f>IFERROR(__xludf.DUMMYFUNCTION("""COMPUTED_VALUE"""),0.0)</f>
        <v>0</v>
      </c>
      <c r="R53" s="199">
        <f>IFERROR(__xludf.DUMMYFUNCTION("""COMPUTED_VALUE"""),0.0)</f>
        <v>0</v>
      </c>
      <c r="S53" s="199">
        <f>IFERROR(__xludf.DUMMYFUNCTION("""COMPUTED_VALUE"""),0.0)</f>
        <v>0</v>
      </c>
      <c r="T53" s="199">
        <f>IFERROR(__xludf.DUMMYFUNCTION("""COMPUTED_VALUE"""),82.0)</f>
        <v>82</v>
      </c>
      <c r="U53" s="199">
        <f>IFERROR(__xludf.DUMMYFUNCTION("""COMPUTED_VALUE"""),207.0)</f>
        <v>207</v>
      </c>
      <c r="V53" s="199">
        <f>IFERROR(__xludf.DUMMYFUNCTION("""COMPUTED_VALUE"""),0.0)</f>
        <v>0</v>
      </c>
      <c r="W53" s="199">
        <f>IFERROR(__xludf.DUMMYFUNCTION("""COMPUTED_VALUE"""),0.0)</f>
        <v>0</v>
      </c>
      <c r="X53" s="199">
        <f>IFERROR(__xludf.DUMMYFUNCTION("""COMPUTED_VALUE"""),1.0)</f>
        <v>1</v>
      </c>
      <c r="Y53" s="199">
        <f>IFERROR(__xludf.DUMMYFUNCTION("""COMPUTED_VALUE"""),10.0)</f>
        <v>10</v>
      </c>
      <c r="Z53" s="199">
        <f>IFERROR(__xludf.DUMMYFUNCTION("""COMPUTED_VALUE"""),0.0)</f>
        <v>0</v>
      </c>
      <c r="AA53" s="199">
        <f>IFERROR(__xludf.DUMMYFUNCTION("""COMPUTED_VALUE"""),0.0)</f>
        <v>0</v>
      </c>
      <c r="AB53" s="199">
        <f>IFERROR(__xludf.DUMMYFUNCTION("""COMPUTED_VALUE"""),17.0)</f>
        <v>17</v>
      </c>
      <c r="AC53" s="199">
        <f>IFERROR(__xludf.DUMMYFUNCTION("""COMPUTED_VALUE"""),32.0)</f>
        <v>32</v>
      </c>
      <c r="AD53" s="199">
        <f>IFERROR(__xludf.DUMMYFUNCTION("""COMPUTED_VALUE"""),0.0)</f>
        <v>0</v>
      </c>
      <c r="AE53" s="199">
        <f>IFERROR(__xludf.DUMMYFUNCTION("""COMPUTED_VALUE"""),62.0)</f>
        <v>62</v>
      </c>
      <c r="AF53" s="199">
        <f>IFERROR(__xludf.DUMMYFUNCTION("""COMPUTED_VALUE"""),0.0)</f>
        <v>0</v>
      </c>
      <c r="AG53" s="199">
        <f>IFERROR(__xludf.DUMMYFUNCTION("""COMPUTED_VALUE"""),263.0)</f>
        <v>263</v>
      </c>
      <c r="AH53" s="199">
        <f>IFERROR(__xludf.DUMMYFUNCTION("""COMPUTED_VALUE"""),0.0)</f>
        <v>0</v>
      </c>
      <c r="AI53" s="200" t="str">
        <f>IFERROR(__xludf.DUMMYFUNCTION("""COMPUTED_VALUE"""),"Wear Metal Alert")</f>
        <v>Wear Metal Alert</v>
      </c>
      <c r="AJ53" s="200" t="str">
        <f>IFERROR(__xludf.DUMMYFUNCTION("""COMPUTED_VALUE"""),"URGENT: Inspect equipment immediately for wear/damage; High wear metals - inspect bearing/gear surfaces")</f>
        <v>URGENT: Inspect equipment immediately for wear/damage; High wear metals - inspect bearing/gear surfaces</v>
      </c>
      <c r="AK53" s="204"/>
      <c r="AL53" s="204"/>
      <c r="AM53" s="204"/>
    </row>
    <row r="54" hidden="1">
      <c r="A54" s="199" t="str">
        <f>IFERROR(__xludf.DUMMYFUNCTION("""COMPUTED_VALUE"""),"R2.432.KB103(2)")</f>
        <v>R2.432.KB103(2)</v>
      </c>
      <c r="B54" s="200" t="str">
        <f>IFERROR(__xludf.DUMMYFUNCTION("""COMPUTED_VALUE"""),"Kiln Bearing")</f>
        <v>Kiln Bearing</v>
      </c>
      <c r="C54" s="199">
        <f>IFERROR(__xludf.DUMMYFUNCTION("""COMPUTED_VALUE"""),2.316110625E10)</f>
        <v>23161106250</v>
      </c>
      <c r="D54" s="201">
        <f>IFERROR(__xludf.DUMMYFUNCTION("""COMPUTED_VALUE"""),45076.0)</f>
        <v>45076</v>
      </c>
      <c r="E54" s="202" t="str">
        <f>IFERROR(__xludf.DUMMYFUNCTION("""COMPUTED_VALUE"""),"Alert")</f>
        <v>Alert</v>
      </c>
      <c r="F54" s="202" t="str">
        <f>IFERROR(__xludf.DUMMYFUNCTION("""COMPUTED_VALUE"""),"Alert")</f>
        <v>Alert</v>
      </c>
      <c r="G54" s="203" t="str">
        <f>IFERROR(__xludf.DUMMYFUNCTION("""COMPUTED_VALUE"""),"Alert")</f>
        <v>Alert</v>
      </c>
      <c r="H54" s="203" t="str">
        <f>IFERROR(__xludf.DUMMYFUNCTION("""COMPUTED_VALUE"""),"Alert")</f>
        <v>Alert</v>
      </c>
      <c r="I54" s="37"/>
      <c r="J54" s="37"/>
      <c r="K54" s="37"/>
      <c r="L54" s="199">
        <f>IFERROR(__xludf.DUMMYFUNCTION("""COMPUTED_VALUE"""),161.0)</f>
        <v>161</v>
      </c>
      <c r="M54" s="199">
        <f>IFERROR(__xludf.DUMMYFUNCTION("""COMPUTED_VALUE"""),53.5)</f>
        <v>53.5</v>
      </c>
      <c r="N54" s="37"/>
      <c r="O54" s="37">
        <f>IFERROR(__xludf.DUMMYFUNCTION("""COMPUTED_VALUE"""),1.0)</f>
        <v>1</v>
      </c>
      <c r="P54" s="199"/>
      <c r="Q54" s="199">
        <f>IFERROR(__xludf.DUMMYFUNCTION("""COMPUTED_VALUE"""),0.0)</f>
        <v>0</v>
      </c>
      <c r="R54" s="199">
        <f>IFERROR(__xludf.DUMMYFUNCTION("""COMPUTED_VALUE"""),15.0)</f>
        <v>15</v>
      </c>
      <c r="S54" s="199">
        <f>IFERROR(__xludf.DUMMYFUNCTION("""COMPUTED_VALUE"""),0.0)</f>
        <v>0</v>
      </c>
      <c r="T54" s="199">
        <f>IFERROR(__xludf.DUMMYFUNCTION("""COMPUTED_VALUE"""),41.0)</f>
        <v>41</v>
      </c>
      <c r="U54" s="199">
        <f>IFERROR(__xludf.DUMMYFUNCTION("""COMPUTED_VALUE"""),223.0)</f>
        <v>223</v>
      </c>
      <c r="V54" s="199">
        <f>IFERROR(__xludf.DUMMYFUNCTION("""COMPUTED_VALUE"""),0.0)</f>
        <v>0</v>
      </c>
      <c r="W54" s="199">
        <f>IFERROR(__xludf.DUMMYFUNCTION("""COMPUTED_VALUE"""),0.0)</f>
        <v>0</v>
      </c>
      <c r="X54" s="199">
        <f>IFERROR(__xludf.DUMMYFUNCTION("""COMPUTED_VALUE"""),0.0)</f>
        <v>0</v>
      </c>
      <c r="Y54" s="199">
        <f>IFERROR(__xludf.DUMMYFUNCTION("""COMPUTED_VALUE"""),0.0)</f>
        <v>0</v>
      </c>
      <c r="Z54" s="199">
        <f>IFERROR(__xludf.DUMMYFUNCTION("""COMPUTED_VALUE"""),0.0)</f>
        <v>0</v>
      </c>
      <c r="AA54" s="199">
        <f>IFERROR(__xludf.DUMMYFUNCTION("""COMPUTED_VALUE"""),0.0)</f>
        <v>0</v>
      </c>
      <c r="AB54" s="199">
        <f>IFERROR(__xludf.DUMMYFUNCTION("""COMPUTED_VALUE"""),105.0)</f>
        <v>105</v>
      </c>
      <c r="AC54" s="199">
        <f>IFERROR(__xludf.DUMMYFUNCTION("""COMPUTED_VALUE"""),36.0)</f>
        <v>36</v>
      </c>
      <c r="AD54" s="199">
        <f>IFERROR(__xludf.DUMMYFUNCTION("""COMPUTED_VALUE"""),0.0)</f>
        <v>0</v>
      </c>
      <c r="AE54" s="199">
        <f>IFERROR(__xludf.DUMMYFUNCTION("""COMPUTED_VALUE"""),338.0)</f>
        <v>338</v>
      </c>
      <c r="AF54" s="199">
        <f>IFERROR(__xludf.DUMMYFUNCTION("""COMPUTED_VALUE"""),2.0)</f>
        <v>2</v>
      </c>
      <c r="AG54" s="199">
        <f>IFERROR(__xludf.DUMMYFUNCTION("""COMPUTED_VALUE"""),285.0)</f>
        <v>285</v>
      </c>
      <c r="AH54" s="199">
        <f>IFERROR(__xludf.DUMMYFUNCTION("""COMPUTED_VALUE"""),3.0)</f>
        <v>3</v>
      </c>
      <c r="AI54" s="200" t="str">
        <f>IFERROR(__xludf.DUMMYFUNCTION("""COMPUTED_VALUE"""),"Wear Metal Alert | Contamination Alert | High Particle Count")</f>
        <v>Wear Metal Alert | Contamination Alert | High Particle Count</v>
      </c>
      <c r="AJ54" s="200" t="str">
        <f>IFERROR(__xludf.DUMMYFUNCTION("""COMPUTED_VALUE"""),"URGENT: Inspect equipment immediately for wear/damage; High wear metals - inspect bearing/gear surfaces; Very high silicon - check/replace air filters and seals; Critical particle count - flush system and replace filters")</f>
        <v>URGENT: Inspect equipment immediately for wear/damage; High wear metals - inspect bearing/gear surfaces; Very high silicon - check/replace air filters and seals; Critical particle count - flush system and replace filters</v>
      </c>
      <c r="AK54" s="204"/>
      <c r="AL54" s="204"/>
      <c r="AM54" s="204"/>
    </row>
    <row r="55" hidden="1">
      <c r="A55" s="199" t="str">
        <f>IFERROR(__xludf.DUMMYFUNCTION("""COMPUTED_VALUE"""),"R2.432.KB103(3)")</f>
        <v>R2.432.KB103(3)</v>
      </c>
      <c r="B55" s="200" t="str">
        <f>IFERROR(__xludf.DUMMYFUNCTION("""COMPUTED_VALUE"""),"Kiln Bearing")</f>
        <v>Kiln Bearing</v>
      </c>
      <c r="C55" s="199">
        <f>IFERROR(__xludf.DUMMYFUNCTION("""COMPUTED_VALUE"""),2.3161106212E10)</f>
        <v>23161106212</v>
      </c>
      <c r="D55" s="201">
        <f>IFERROR(__xludf.DUMMYFUNCTION("""COMPUTED_VALUE"""),45076.0)</f>
        <v>45076</v>
      </c>
      <c r="E55" s="202" t="str">
        <f>IFERROR(__xludf.DUMMYFUNCTION("""COMPUTED_VALUE"""),"Alert")</f>
        <v>Alert</v>
      </c>
      <c r="F55" s="202" t="str">
        <f>IFERROR(__xludf.DUMMYFUNCTION("""COMPUTED_VALUE"""),"Alert")</f>
        <v>Alert</v>
      </c>
      <c r="G55" s="203" t="str">
        <f>IFERROR(__xludf.DUMMYFUNCTION("""COMPUTED_VALUE"""),"Alert")</f>
        <v>Alert</v>
      </c>
      <c r="H55" s="203" t="str">
        <f>IFERROR(__xludf.DUMMYFUNCTION("""COMPUTED_VALUE"""),"Alert")</f>
        <v>Alert</v>
      </c>
      <c r="I55" s="37"/>
      <c r="J55" s="37"/>
      <c r="K55" s="37"/>
      <c r="L55" s="199">
        <f>IFERROR(__xludf.DUMMYFUNCTION("""COMPUTED_VALUE"""),14.0)</f>
        <v>14</v>
      </c>
      <c r="M55" s="199">
        <f>IFERROR(__xludf.DUMMYFUNCTION("""COMPUTED_VALUE"""),55.8)</f>
        <v>55.8</v>
      </c>
      <c r="N55" s="37"/>
      <c r="O55" s="37">
        <f>IFERROR(__xludf.DUMMYFUNCTION("""COMPUTED_VALUE"""),0.0)</f>
        <v>0</v>
      </c>
      <c r="P55" s="199"/>
      <c r="Q55" s="199">
        <f>IFERROR(__xludf.DUMMYFUNCTION("""COMPUTED_VALUE"""),0.0)</f>
        <v>0</v>
      </c>
      <c r="R55" s="199">
        <f>IFERROR(__xludf.DUMMYFUNCTION("""COMPUTED_VALUE"""),6.0)</f>
        <v>6</v>
      </c>
      <c r="S55" s="199">
        <f>IFERROR(__xludf.DUMMYFUNCTION("""COMPUTED_VALUE"""),2.0)</f>
        <v>2</v>
      </c>
      <c r="T55" s="199">
        <f>IFERROR(__xludf.DUMMYFUNCTION("""COMPUTED_VALUE"""),132.0)</f>
        <v>132</v>
      </c>
      <c r="U55" s="199">
        <f>IFERROR(__xludf.DUMMYFUNCTION("""COMPUTED_VALUE"""),22.0)</f>
        <v>22</v>
      </c>
      <c r="V55" s="199">
        <f>IFERROR(__xludf.DUMMYFUNCTION("""COMPUTED_VALUE"""),1.0)</f>
        <v>1</v>
      </c>
      <c r="W55" s="199">
        <f>IFERROR(__xludf.DUMMYFUNCTION("""COMPUTED_VALUE"""),0.0)</f>
        <v>0</v>
      </c>
      <c r="X55" s="199">
        <f>IFERROR(__xludf.DUMMYFUNCTION("""COMPUTED_VALUE"""),6.0)</f>
        <v>6</v>
      </c>
      <c r="Y55" s="199">
        <f>IFERROR(__xludf.DUMMYFUNCTION("""COMPUTED_VALUE"""),0.0)</f>
        <v>0</v>
      </c>
      <c r="Z55" s="199">
        <f>IFERROR(__xludf.DUMMYFUNCTION("""COMPUTED_VALUE"""),14.0)</f>
        <v>14</v>
      </c>
      <c r="AA55" s="199">
        <f>IFERROR(__xludf.DUMMYFUNCTION("""COMPUTED_VALUE"""),0.0)</f>
        <v>0</v>
      </c>
      <c r="AB55" s="199">
        <f>IFERROR(__xludf.DUMMYFUNCTION("""COMPUTED_VALUE"""),36.0)</f>
        <v>36</v>
      </c>
      <c r="AC55" s="199">
        <f>IFERROR(__xludf.DUMMYFUNCTION("""COMPUTED_VALUE"""),52.0)</f>
        <v>52</v>
      </c>
      <c r="AD55" s="199">
        <f>IFERROR(__xludf.DUMMYFUNCTION("""COMPUTED_VALUE"""),0.0)</f>
        <v>0</v>
      </c>
      <c r="AE55" s="199">
        <f>IFERROR(__xludf.DUMMYFUNCTION("""COMPUTED_VALUE"""),60.0)</f>
        <v>60</v>
      </c>
      <c r="AF55" s="199">
        <f>IFERROR(__xludf.DUMMYFUNCTION("""COMPUTED_VALUE"""),2.0)</f>
        <v>2</v>
      </c>
      <c r="AG55" s="199">
        <f>IFERROR(__xludf.DUMMYFUNCTION("""COMPUTED_VALUE"""),212.0)</f>
        <v>212</v>
      </c>
      <c r="AH55" s="199">
        <f>IFERROR(__xludf.DUMMYFUNCTION("""COMPUTED_VALUE"""),3.0)</f>
        <v>3</v>
      </c>
      <c r="AI55" s="200" t="str">
        <f>IFERROR(__xludf.DUMMYFUNCTION("""COMPUTED_VALUE"""),"Wear Metal Alert")</f>
        <v>Wear Metal Alert</v>
      </c>
      <c r="AJ55" s="200" t="str">
        <f>IFERROR(__xludf.DUMMYFUNCTION("""COMPUTED_VALUE"""),"URGENT: Inspect equipment immediately for wear/damage; High wear metals - inspect bearing/gear surfaces; Elevated silicon - inspect filters and seals")</f>
        <v>URGENT: Inspect equipment immediately for wear/damage; High wear metals - inspect bearing/gear surfaces; Elevated silicon - inspect filters and seals</v>
      </c>
      <c r="AK55" s="204"/>
      <c r="AL55" s="204"/>
      <c r="AM55" s="204"/>
    </row>
    <row r="56" hidden="1">
      <c r="A56" s="199" t="str">
        <f>IFERROR(__xludf.DUMMYFUNCTION("""COMPUTED_VALUE"""),"R2.432.KB103(4)")</f>
        <v>R2.432.KB103(4)</v>
      </c>
      <c r="B56" s="200" t="str">
        <f>IFERROR(__xludf.DUMMYFUNCTION("""COMPUTED_VALUE"""),"Kiln Bearing")</f>
        <v>Kiln Bearing</v>
      </c>
      <c r="C56" s="199">
        <f>IFERROR(__xludf.DUMMYFUNCTION("""COMPUTED_VALUE"""),2.3161106244E10)</f>
        <v>23161106244</v>
      </c>
      <c r="D56" s="201">
        <f>IFERROR(__xludf.DUMMYFUNCTION("""COMPUTED_VALUE"""),45076.0)</f>
        <v>45076</v>
      </c>
      <c r="E56" s="202" t="str">
        <f>IFERROR(__xludf.DUMMYFUNCTION("""COMPUTED_VALUE"""),"Alert")</f>
        <v>Alert</v>
      </c>
      <c r="F56" s="202" t="str">
        <f>IFERROR(__xludf.DUMMYFUNCTION("""COMPUTED_VALUE"""),"Caution")</f>
        <v>Caution</v>
      </c>
      <c r="G56" s="203" t="str">
        <f>IFERROR(__xludf.DUMMYFUNCTION("""COMPUTED_VALUE"""),"Alert")</f>
        <v>Alert</v>
      </c>
      <c r="H56" s="203" t="str">
        <f>IFERROR(__xludf.DUMMYFUNCTION("""COMPUTED_VALUE"""),"Alert")</f>
        <v>Alert</v>
      </c>
      <c r="I56" s="37"/>
      <c r="J56" s="37"/>
      <c r="K56" s="37"/>
      <c r="L56" s="199">
        <f>IFERROR(__xludf.DUMMYFUNCTION("""COMPUTED_VALUE"""),65.0)</f>
        <v>65</v>
      </c>
      <c r="M56" s="199">
        <f>IFERROR(__xludf.DUMMYFUNCTION("""COMPUTED_VALUE"""),56.5)</f>
        <v>56.5</v>
      </c>
      <c r="N56" s="37"/>
      <c r="O56" s="37">
        <f>IFERROR(__xludf.DUMMYFUNCTION("""COMPUTED_VALUE"""),0.0)</f>
        <v>0</v>
      </c>
      <c r="P56" s="199"/>
      <c r="Q56" s="199">
        <f>IFERROR(__xludf.DUMMYFUNCTION("""COMPUTED_VALUE"""),0.0)</f>
        <v>0</v>
      </c>
      <c r="R56" s="199">
        <f>IFERROR(__xludf.DUMMYFUNCTION("""COMPUTED_VALUE"""),2.0)</f>
        <v>2</v>
      </c>
      <c r="S56" s="199">
        <f>IFERROR(__xludf.DUMMYFUNCTION("""COMPUTED_VALUE"""),0.0)</f>
        <v>0</v>
      </c>
      <c r="T56" s="199">
        <f>IFERROR(__xludf.DUMMYFUNCTION("""COMPUTED_VALUE"""),67.0)</f>
        <v>67</v>
      </c>
      <c r="U56" s="199">
        <f>IFERROR(__xludf.DUMMYFUNCTION("""COMPUTED_VALUE"""),56.0)</f>
        <v>56</v>
      </c>
      <c r="V56" s="199">
        <f>IFERROR(__xludf.DUMMYFUNCTION("""COMPUTED_VALUE"""),4.0)</f>
        <v>4</v>
      </c>
      <c r="W56" s="199">
        <f>IFERROR(__xludf.DUMMYFUNCTION("""COMPUTED_VALUE"""),4.0)</f>
        <v>4</v>
      </c>
      <c r="X56" s="199">
        <f>IFERROR(__xludf.DUMMYFUNCTION("""COMPUTED_VALUE"""),5.0)</f>
        <v>5</v>
      </c>
      <c r="Y56" s="199">
        <f>IFERROR(__xludf.DUMMYFUNCTION("""COMPUTED_VALUE"""),0.0)</f>
        <v>0</v>
      </c>
      <c r="Z56" s="199">
        <f>IFERROR(__xludf.DUMMYFUNCTION("""COMPUTED_VALUE"""),6.0)</f>
        <v>6</v>
      </c>
      <c r="AA56" s="199">
        <f>IFERROR(__xludf.DUMMYFUNCTION("""COMPUTED_VALUE"""),2.0)</f>
        <v>2</v>
      </c>
      <c r="AB56" s="199">
        <f>IFERROR(__xludf.DUMMYFUNCTION("""COMPUTED_VALUE"""),15.0)</f>
        <v>15</v>
      </c>
      <c r="AC56" s="199">
        <f>IFERROR(__xludf.DUMMYFUNCTION("""COMPUTED_VALUE"""),26.0)</f>
        <v>26</v>
      </c>
      <c r="AD56" s="199">
        <f>IFERROR(__xludf.DUMMYFUNCTION("""COMPUTED_VALUE"""),0.0)</f>
        <v>0</v>
      </c>
      <c r="AE56" s="199">
        <f>IFERROR(__xludf.DUMMYFUNCTION("""COMPUTED_VALUE"""),42.0)</f>
        <v>42</v>
      </c>
      <c r="AF56" s="199">
        <f>IFERROR(__xludf.DUMMYFUNCTION("""COMPUTED_VALUE"""),0.0)</f>
        <v>0</v>
      </c>
      <c r="AG56" s="199">
        <f>IFERROR(__xludf.DUMMYFUNCTION("""COMPUTED_VALUE"""),215.0)</f>
        <v>215</v>
      </c>
      <c r="AH56" s="199">
        <f>IFERROR(__xludf.DUMMYFUNCTION("""COMPUTED_VALUE"""),0.0)</f>
        <v>0</v>
      </c>
      <c r="AI56" s="200" t="str">
        <f>IFERROR(__xludf.DUMMYFUNCTION("""COMPUTED_VALUE"""),"Wear Metal Alert")</f>
        <v>Wear Metal Alert</v>
      </c>
      <c r="AJ56" s="200" t="str">
        <f>IFERROR(__xludf.DUMMYFUNCTION("""COMPUTED_VALUE"""),"URGENT: Inspect equipment immediately for wear/damage")</f>
        <v>URGENT: Inspect equipment immediately for wear/damage</v>
      </c>
      <c r="AK56" s="204"/>
      <c r="AL56" s="204"/>
      <c r="AM56" s="204"/>
    </row>
    <row r="57" hidden="1">
      <c r="A57" s="199" t="str">
        <f>IFERROR(__xludf.DUMMYFUNCTION("""COMPUTED_VALUE"""),"534.MD302")</f>
        <v>534.MD302</v>
      </c>
      <c r="B57" s="200" t="str">
        <f>IFERROR(__xludf.DUMMYFUNCTION("""COMPUTED_VALUE"""),"Cement Mill #4 Separator GB")</f>
        <v>Cement Mill #4 Separator GB</v>
      </c>
      <c r="C57" s="199">
        <f>IFERROR(__xludf.DUMMYFUNCTION("""COMPUTED_VALUE"""),2.3212317232E10)</f>
        <v>23212317232</v>
      </c>
      <c r="D57" s="201">
        <f>IFERROR(__xludf.DUMMYFUNCTION("""COMPUTED_VALUE"""),45126.0)</f>
        <v>45126</v>
      </c>
      <c r="E57" s="202" t="str">
        <f>IFERROR(__xludf.DUMMYFUNCTION("""COMPUTED_VALUE"""),"Normal")</f>
        <v>Normal</v>
      </c>
      <c r="F57" s="202" t="str">
        <f>IFERROR(__xludf.DUMMYFUNCTION("""COMPUTED_VALUE"""),"Normal")</f>
        <v>Normal</v>
      </c>
      <c r="G57" s="203" t="str">
        <f>IFERROR(__xludf.DUMMYFUNCTION("""COMPUTED_VALUE"""),"Normal")</f>
        <v>Normal</v>
      </c>
      <c r="H57" s="203" t="str">
        <f>IFERROR(__xludf.DUMMYFUNCTION("""COMPUTED_VALUE"""),"Normal")</f>
        <v>Normal</v>
      </c>
      <c r="I57" s="37">
        <f>IFERROR(__xludf.DUMMYFUNCTION("""COMPUTED_VALUE"""),47466.0)</f>
        <v>47466</v>
      </c>
      <c r="J57" s="37">
        <f>IFERROR(__xludf.DUMMYFUNCTION("""COMPUTED_VALUE"""),14589.0)</f>
        <v>14589</v>
      </c>
      <c r="K57" s="37">
        <f>IFERROR(__xludf.DUMMYFUNCTION("""COMPUTED_VALUE"""),2448.0)</f>
        <v>2448</v>
      </c>
      <c r="L57" s="199">
        <f>IFERROR(__xludf.DUMMYFUNCTION("""COMPUTED_VALUE"""),5.0)</f>
        <v>5</v>
      </c>
      <c r="M57" s="199">
        <f>IFERROR(__xludf.DUMMYFUNCTION("""COMPUTED_VALUE"""),327.8)</f>
        <v>327.8</v>
      </c>
      <c r="N57" s="37"/>
      <c r="O57" s="37"/>
      <c r="P57" s="199">
        <f>IFERROR(__xludf.DUMMYFUNCTION("""COMPUTED_VALUE"""),0.01)</f>
        <v>0.01</v>
      </c>
      <c r="Q57" s="199">
        <f>IFERROR(__xludf.DUMMYFUNCTION("""COMPUTED_VALUE"""),0.0)</f>
        <v>0</v>
      </c>
      <c r="R57" s="199">
        <f>IFERROR(__xludf.DUMMYFUNCTION("""COMPUTED_VALUE"""),8.0)</f>
        <v>8</v>
      </c>
      <c r="S57" s="199">
        <f>IFERROR(__xludf.DUMMYFUNCTION("""COMPUTED_VALUE"""),7.0)</f>
        <v>7</v>
      </c>
      <c r="T57" s="199">
        <f>IFERROR(__xludf.DUMMYFUNCTION("""COMPUTED_VALUE"""),6.0)</f>
        <v>6</v>
      </c>
      <c r="U57" s="199">
        <f>IFERROR(__xludf.DUMMYFUNCTION("""COMPUTED_VALUE"""),14.0)</f>
        <v>14</v>
      </c>
      <c r="V57" s="199">
        <f>IFERROR(__xludf.DUMMYFUNCTION("""COMPUTED_VALUE"""),2.0)</f>
        <v>2</v>
      </c>
      <c r="W57" s="199">
        <f>IFERROR(__xludf.DUMMYFUNCTION("""COMPUTED_VALUE"""),0.0)</f>
        <v>0</v>
      </c>
      <c r="X57" s="199">
        <f>IFERROR(__xludf.DUMMYFUNCTION("""COMPUTED_VALUE"""),9.0)</f>
        <v>9</v>
      </c>
      <c r="Y57" s="199">
        <f>IFERROR(__xludf.DUMMYFUNCTION("""COMPUTED_VALUE"""),0.0)</f>
        <v>0</v>
      </c>
      <c r="Z57" s="199">
        <f>IFERROR(__xludf.DUMMYFUNCTION("""COMPUTED_VALUE"""),0.0)</f>
        <v>0</v>
      </c>
      <c r="AA57" s="199">
        <f>IFERROR(__xludf.DUMMYFUNCTION("""COMPUTED_VALUE"""),0.0)</f>
        <v>0</v>
      </c>
      <c r="AB57" s="199">
        <f>IFERROR(__xludf.DUMMYFUNCTION("""COMPUTED_VALUE"""),24.0)</f>
        <v>24</v>
      </c>
      <c r="AC57" s="199">
        <f>IFERROR(__xludf.DUMMYFUNCTION("""COMPUTED_VALUE"""),1.0)</f>
        <v>1</v>
      </c>
      <c r="AD57" s="199">
        <f>IFERROR(__xludf.DUMMYFUNCTION("""COMPUTED_VALUE"""),4.0)</f>
        <v>4</v>
      </c>
      <c r="AE57" s="199">
        <f>IFERROR(__xludf.DUMMYFUNCTION("""COMPUTED_VALUE"""),45.0)</f>
        <v>45</v>
      </c>
      <c r="AF57" s="199">
        <f>IFERROR(__xludf.DUMMYFUNCTION("""COMPUTED_VALUE"""),2.0)</f>
        <v>2</v>
      </c>
      <c r="AG57" s="199">
        <f>IFERROR(__xludf.DUMMYFUNCTION("""COMPUTED_VALUE"""),526.0)</f>
        <v>526</v>
      </c>
      <c r="AH57" s="199">
        <f>IFERROR(__xludf.DUMMYFUNCTION("""COMPUTED_VALUE"""),15.0)</f>
        <v>15</v>
      </c>
      <c r="AI57" s="200" t="str">
        <f>IFERROR(__xludf.DUMMYFUNCTION("""COMPUTED_VALUE"""),"Normal - No Action Required")</f>
        <v>Normal - No Action Required</v>
      </c>
      <c r="AJ57" s="200" t="str">
        <f>IFERROR(__xludf.DUMMYFUNCTION("""COMPUTED_VALUE"""),"Continue routine monitoring and sampling schedule")</f>
        <v>Continue routine monitoring and sampling schedule</v>
      </c>
      <c r="AK57" s="204"/>
      <c r="AL57" s="204"/>
      <c r="AM57" s="204"/>
    </row>
    <row r="58" hidden="1">
      <c r="A58" s="199" t="str">
        <f>IFERROR(__xludf.DUMMYFUNCTION("""COMPUTED_VALUE"""),"123.BC100")</f>
        <v>123.BC100</v>
      </c>
      <c r="B58" s="200" t="str">
        <f>IFERROR(__xludf.DUMMYFUNCTION("""COMPUTED_VALUE"""),"Belt conveyor Gearbox")</f>
        <v>Belt conveyor Gearbox</v>
      </c>
      <c r="C58" s="199">
        <f>IFERROR(__xludf.DUMMYFUNCTION("""COMPUTED_VALUE"""),2.3234228224E10)</f>
        <v>23234228224</v>
      </c>
      <c r="D58" s="201">
        <f>IFERROR(__xludf.DUMMYFUNCTION("""COMPUTED_VALUE"""),45154.0)</f>
        <v>45154</v>
      </c>
      <c r="E58" s="202" t="str">
        <f>IFERROR(__xludf.DUMMYFUNCTION("""COMPUTED_VALUE"""),"Caution")</f>
        <v>Caution</v>
      </c>
      <c r="F58" s="202" t="str">
        <f>IFERROR(__xludf.DUMMYFUNCTION("""COMPUTED_VALUE"""),"Caution")</f>
        <v>Caution</v>
      </c>
      <c r="G58" s="203" t="str">
        <f>IFERROR(__xludf.DUMMYFUNCTION("""COMPUTED_VALUE"""),"Normal")</f>
        <v>Normal</v>
      </c>
      <c r="H58" s="203" t="str">
        <f>IFERROR(__xludf.DUMMYFUNCTION("""COMPUTED_VALUE"""),"Normal")</f>
        <v>Normal</v>
      </c>
      <c r="I58" s="37"/>
      <c r="J58" s="37"/>
      <c r="K58" s="37"/>
      <c r="L58" s="199">
        <f>IFERROR(__xludf.DUMMYFUNCTION("""COMPUTED_VALUE"""),5.0)</f>
        <v>5</v>
      </c>
      <c r="M58" s="199">
        <f>IFERROR(__xludf.DUMMYFUNCTION("""COMPUTED_VALUE"""),223.4)</f>
        <v>223.4</v>
      </c>
      <c r="N58" s="37"/>
      <c r="O58" s="37"/>
      <c r="P58" s="199">
        <f>IFERROR(__xludf.DUMMYFUNCTION("""COMPUTED_VALUE"""),0.05)</f>
        <v>0.05</v>
      </c>
      <c r="Q58" s="199">
        <f>IFERROR(__xludf.DUMMYFUNCTION("""COMPUTED_VALUE"""),0.0)</f>
        <v>0</v>
      </c>
      <c r="R58" s="199">
        <f>IFERROR(__xludf.DUMMYFUNCTION("""COMPUTED_VALUE"""),0.0)</f>
        <v>0</v>
      </c>
      <c r="S58" s="199">
        <f>IFERROR(__xludf.DUMMYFUNCTION("""COMPUTED_VALUE"""),0.0)</f>
        <v>0</v>
      </c>
      <c r="T58" s="199">
        <f>IFERROR(__xludf.DUMMYFUNCTION("""COMPUTED_VALUE"""),0.0)</f>
        <v>0</v>
      </c>
      <c r="U58" s="199">
        <f>IFERROR(__xludf.DUMMYFUNCTION("""COMPUTED_VALUE"""),8.0)</f>
        <v>8</v>
      </c>
      <c r="V58" s="199">
        <f>IFERROR(__xludf.DUMMYFUNCTION("""COMPUTED_VALUE"""),0.0)</f>
        <v>0</v>
      </c>
      <c r="W58" s="199">
        <f>IFERROR(__xludf.DUMMYFUNCTION("""COMPUTED_VALUE"""),0.0)</f>
        <v>0</v>
      </c>
      <c r="X58" s="199">
        <f>IFERROR(__xludf.DUMMYFUNCTION("""COMPUTED_VALUE"""),0.0)</f>
        <v>0</v>
      </c>
      <c r="Y58" s="199">
        <f>IFERROR(__xludf.DUMMYFUNCTION("""COMPUTED_VALUE"""),0.0)</f>
        <v>0</v>
      </c>
      <c r="Z58" s="199">
        <f>IFERROR(__xludf.DUMMYFUNCTION("""COMPUTED_VALUE"""),0.0)</f>
        <v>0</v>
      </c>
      <c r="AA58" s="199">
        <f>IFERROR(__xludf.DUMMYFUNCTION("""COMPUTED_VALUE"""),0.0)</f>
        <v>0</v>
      </c>
      <c r="AB58" s="199">
        <f>IFERROR(__xludf.DUMMYFUNCTION("""COMPUTED_VALUE"""),12.0)</f>
        <v>12</v>
      </c>
      <c r="AC58" s="199">
        <f>IFERROR(__xludf.DUMMYFUNCTION("""COMPUTED_VALUE"""),10.0)</f>
        <v>10</v>
      </c>
      <c r="AD58" s="199">
        <f>IFERROR(__xludf.DUMMYFUNCTION("""COMPUTED_VALUE"""),0.0)</f>
        <v>0</v>
      </c>
      <c r="AE58" s="199">
        <f>IFERROR(__xludf.DUMMYFUNCTION("""COMPUTED_VALUE"""),4.0)</f>
        <v>4</v>
      </c>
      <c r="AF58" s="199">
        <f>IFERROR(__xludf.DUMMYFUNCTION("""COMPUTED_VALUE"""),0.0)</f>
        <v>0</v>
      </c>
      <c r="AG58" s="199">
        <f>IFERROR(__xludf.DUMMYFUNCTION("""COMPUTED_VALUE"""),473.0)</f>
        <v>473</v>
      </c>
      <c r="AH58" s="199">
        <f>IFERROR(__xludf.DUMMYFUNCTION("""COMPUTED_VALUE"""),0.0)</f>
        <v>0</v>
      </c>
      <c r="AI58" s="200" t="str">
        <f>IFERROR(__xludf.DUMMYFUNCTION("""COMPUTED_VALUE"""),"Caution – Water / Monitor")</f>
        <v>Caution – Water / Monitor</v>
      </c>
      <c r="AJ58" s="200" t="str">
        <f>IFERROR(__xludf.DUMMYFUNCTION("""COMPUTED_VALUE"""),"Water 0.050 Vol%. TAN 1.31 mg KOH/g. Monitor trend. Inspect seals. Resample within 45 days.")</f>
        <v>Water 0.050 Vol%. TAN 1.31 mg KOH/g. Monitor trend. Inspect seals. Resample within 45 days.</v>
      </c>
      <c r="AK58" s="204"/>
      <c r="AL58" s="204"/>
      <c r="AM58" s="204"/>
    </row>
    <row r="59" hidden="1">
      <c r="A59" s="199" t="str">
        <f>IFERROR(__xludf.DUMMYFUNCTION("""COMPUTED_VALUE"""),"111.AF060 (R)")</f>
        <v>111.AF060 (R)</v>
      </c>
      <c r="B59" s="200" t="str">
        <f>IFERROR(__xludf.DUMMYFUNCTION("""COMPUTED_VALUE"""),"Limestone Apron Feeder Right Gear Box")</f>
        <v>Limestone Apron Feeder Right Gear Box</v>
      </c>
      <c r="C59" s="199">
        <f>IFERROR(__xludf.DUMMYFUNCTION("""COMPUTED_VALUE"""),2.3235238209E10)</f>
        <v>23235238209</v>
      </c>
      <c r="D59" s="201">
        <f>IFERROR(__xludf.DUMMYFUNCTION("""COMPUTED_VALUE"""),45154.0)</f>
        <v>45154</v>
      </c>
      <c r="E59" s="202" t="str">
        <f>IFERROR(__xludf.DUMMYFUNCTION("""COMPUTED_VALUE"""),"Normal")</f>
        <v>Normal</v>
      </c>
      <c r="F59" s="202" t="str">
        <f>IFERROR(__xludf.DUMMYFUNCTION("""COMPUTED_VALUE"""),"Normal")</f>
        <v>Normal</v>
      </c>
      <c r="G59" s="203" t="str">
        <f>IFERROR(__xludf.DUMMYFUNCTION("""COMPUTED_VALUE"""),"Normal")</f>
        <v>Normal</v>
      </c>
      <c r="H59" s="203" t="str">
        <f>IFERROR(__xludf.DUMMYFUNCTION("""COMPUTED_VALUE"""),"Normal")</f>
        <v>Normal</v>
      </c>
      <c r="I59" s="199">
        <f>IFERROR(__xludf.DUMMYFUNCTION("""COMPUTED_VALUE"""),5279.0)</f>
        <v>5279</v>
      </c>
      <c r="J59" s="199">
        <f>IFERROR(__xludf.DUMMYFUNCTION("""COMPUTED_VALUE"""),2227.0)</f>
        <v>2227</v>
      </c>
      <c r="K59" s="199">
        <f>IFERROR(__xludf.DUMMYFUNCTION("""COMPUTED_VALUE"""),546.0)</f>
        <v>546</v>
      </c>
      <c r="L59" s="199">
        <f>IFERROR(__xludf.DUMMYFUNCTION("""COMPUTED_VALUE"""),6.0)</f>
        <v>6</v>
      </c>
      <c r="M59" s="199">
        <f>IFERROR(__xludf.DUMMYFUNCTION("""COMPUTED_VALUE"""),207.7)</f>
        <v>207.7</v>
      </c>
      <c r="N59" s="37"/>
      <c r="O59" s="37"/>
      <c r="P59" s="199">
        <f>IFERROR(__xludf.DUMMYFUNCTION("""COMPUTED_VALUE"""),0.02)</f>
        <v>0.02</v>
      </c>
      <c r="Q59" s="199">
        <f>IFERROR(__xludf.DUMMYFUNCTION("""COMPUTED_VALUE"""),0.0)</f>
        <v>0</v>
      </c>
      <c r="R59" s="199">
        <f>IFERROR(__xludf.DUMMYFUNCTION("""COMPUTED_VALUE"""),0.0)</f>
        <v>0</v>
      </c>
      <c r="S59" s="199">
        <f>IFERROR(__xludf.DUMMYFUNCTION("""COMPUTED_VALUE"""),0.0)</f>
        <v>0</v>
      </c>
      <c r="T59" s="199">
        <f>IFERROR(__xludf.DUMMYFUNCTION("""COMPUTED_VALUE"""),0.0)</f>
        <v>0</v>
      </c>
      <c r="U59" s="199">
        <f>IFERROR(__xludf.DUMMYFUNCTION("""COMPUTED_VALUE"""),31.0)</f>
        <v>31</v>
      </c>
      <c r="V59" s="199">
        <f>IFERROR(__xludf.DUMMYFUNCTION("""COMPUTED_VALUE"""),0.0)</f>
        <v>0</v>
      </c>
      <c r="W59" s="199">
        <f>IFERROR(__xludf.DUMMYFUNCTION("""COMPUTED_VALUE"""),0.0)</f>
        <v>0</v>
      </c>
      <c r="X59" s="199">
        <f>IFERROR(__xludf.DUMMYFUNCTION("""COMPUTED_VALUE"""),0.0)</f>
        <v>0</v>
      </c>
      <c r="Y59" s="199">
        <f>IFERROR(__xludf.DUMMYFUNCTION("""COMPUTED_VALUE"""),0.0)</f>
        <v>0</v>
      </c>
      <c r="Z59" s="199">
        <f>IFERROR(__xludf.DUMMYFUNCTION("""COMPUTED_VALUE"""),0.0)</f>
        <v>0</v>
      </c>
      <c r="AA59" s="199">
        <f>IFERROR(__xludf.DUMMYFUNCTION("""COMPUTED_VALUE"""),0.0)</f>
        <v>0</v>
      </c>
      <c r="AB59" s="199">
        <f>IFERROR(__xludf.DUMMYFUNCTION("""COMPUTED_VALUE"""),8.0)</f>
        <v>8</v>
      </c>
      <c r="AC59" s="199">
        <f>IFERROR(__xludf.DUMMYFUNCTION("""COMPUTED_VALUE"""),7.0)</f>
        <v>7</v>
      </c>
      <c r="AD59" s="199">
        <f>IFERROR(__xludf.DUMMYFUNCTION("""COMPUTED_VALUE"""),0.0)</f>
        <v>0</v>
      </c>
      <c r="AE59" s="199">
        <f>IFERROR(__xludf.DUMMYFUNCTION("""COMPUTED_VALUE"""),3.0)</f>
        <v>3</v>
      </c>
      <c r="AF59" s="199">
        <f>IFERROR(__xludf.DUMMYFUNCTION("""COMPUTED_VALUE"""),0.0)</f>
        <v>0</v>
      </c>
      <c r="AG59" s="199">
        <f>IFERROR(__xludf.DUMMYFUNCTION("""COMPUTED_VALUE"""),321.0)</f>
        <v>321</v>
      </c>
      <c r="AH59" s="199">
        <f>IFERROR(__xludf.DUMMYFUNCTION("""COMPUTED_VALUE"""),3.0)</f>
        <v>3</v>
      </c>
      <c r="AI59" s="200" t="str">
        <f>IFERROR(__xludf.DUMMYFUNCTION("""COMPUTED_VALUE"""),"Normal - No Action Required")</f>
        <v>Normal - No Action Required</v>
      </c>
      <c r="AJ59" s="200" t="str">
        <f>IFERROR(__xludf.DUMMYFUNCTION("""COMPUTED_VALUE"""),"Continue routine monitoring and sampling schedule")</f>
        <v>Continue routine monitoring and sampling schedule</v>
      </c>
      <c r="AK59" s="204"/>
      <c r="AL59" s="204"/>
      <c r="AM59" s="204"/>
    </row>
    <row r="60" hidden="1">
      <c r="A60" s="199" t="str">
        <f>IFERROR(__xludf.DUMMYFUNCTION("""COMPUTED_VALUE"""),"131.BC100")</f>
        <v>131.BC100</v>
      </c>
      <c r="B60" s="200" t="str">
        <f>IFERROR(__xludf.DUMMYFUNCTION("""COMPUTED_VALUE"""),"Belt Conveyor Gearbox")</f>
        <v>Belt Conveyor Gearbox</v>
      </c>
      <c r="C60" s="199">
        <f>IFERROR(__xludf.DUMMYFUNCTION("""COMPUTED_VALUE"""),2.3234228223E10)</f>
        <v>23234228223</v>
      </c>
      <c r="D60" s="201">
        <f>IFERROR(__xludf.DUMMYFUNCTION("""COMPUTED_VALUE"""),45154.0)</f>
        <v>45154</v>
      </c>
      <c r="E60" s="202" t="str">
        <f>IFERROR(__xludf.DUMMYFUNCTION("""COMPUTED_VALUE"""),"Normal")</f>
        <v>Normal</v>
      </c>
      <c r="F60" s="202" t="str">
        <f>IFERROR(__xludf.DUMMYFUNCTION("""COMPUTED_VALUE"""),"Normal")</f>
        <v>Normal</v>
      </c>
      <c r="G60" s="203" t="str">
        <f>IFERROR(__xludf.DUMMYFUNCTION("""COMPUTED_VALUE"""),"Normal")</f>
        <v>Normal</v>
      </c>
      <c r="H60" s="203" t="str">
        <f>IFERROR(__xludf.DUMMYFUNCTION("""COMPUTED_VALUE"""),"Normal")</f>
        <v>Normal</v>
      </c>
      <c r="I60" s="199">
        <f>IFERROR(__xludf.DUMMYFUNCTION("""COMPUTED_VALUE"""),19663.0)</f>
        <v>19663</v>
      </c>
      <c r="J60" s="199">
        <f>IFERROR(__xludf.DUMMYFUNCTION("""COMPUTED_VALUE"""),1065.0)</f>
        <v>1065</v>
      </c>
      <c r="K60" s="199">
        <f>IFERROR(__xludf.DUMMYFUNCTION("""COMPUTED_VALUE"""),321.0)</f>
        <v>321</v>
      </c>
      <c r="L60" s="199">
        <f>IFERROR(__xludf.DUMMYFUNCTION("""COMPUTED_VALUE"""),5.0)</f>
        <v>5</v>
      </c>
      <c r="M60" s="199">
        <f>IFERROR(__xludf.DUMMYFUNCTION("""COMPUTED_VALUE"""),220.3)</f>
        <v>220.3</v>
      </c>
      <c r="N60" s="37"/>
      <c r="O60" s="37"/>
      <c r="P60" s="199">
        <f>IFERROR(__xludf.DUMMYFUNCTION("""COMPUTED_VALUE"""),0.04)</f>
        <v>0.04</v>
      </c>
      <c r="Q60" s="199">
        <f>IFERROR(__xludf.DUMMYFUNCTION("""COMPUTED_VALUE"""),0.0)</f>
        <v>0</v>
      </c>
      <c r="R60" s="199">
        <f>IFERROR(__xludf.DUMMYFUNCTION("""COMPUTED_VALUE"""),0.0)</f>
        <v>0</v>
      </c>
      <c r="S60" s="199">
        <f>IFERROR(__xludf.DUMMYFUNCTION("""COMPUTED_VALUE"""),0.0)</f>
        <v>0</v>
      </c>
      <c r="T60" s="199">
        <f>IFERROR(__xludf.DUMMYFUNCTION("""COMPUTED_VALUE"""),0.0)</f>
        <v>0</v>
      </c>
      <c r="U60" s="199">
        <f>IFERROR(__xludf.DUMMYFUNCTION("""COMPUTED_VALUE"""),12.0)</f>
        <v>12</v>
      </c>
      <c r="V60" s="199">
        <f>IFERROR(__xludf.DUMMYFUNCTION("""COMPUTED_VALUE"""),0.0)</f>
        <v>0</v>
      </c>
      <c r="W60" s="199">
        <f>IFERROR(__xludf.DUMMYFUNCTION("""COMPUTED_VALUE"""),0.0)</f>
        <v>0</v>
      </c>
      <c r="X60" s="199">
        <f>IFERROR(__xludf.DUMMYFUNCTION("""COMPUTED_VALUE"""),0.0)</f>
        <v>0</v>
      </c>
      <c r="Y60" s="199">
        <f>IFERROR(__xludf.DUMMYFUNCTION("""COMPUTED_VALUE"""),0.0)</f>
        <v>0</v>
      </c>
      <c r="Z60" s="199">
        <f>IFERROR(__xludf.DUMMYFUNCTION("""COMPUTED_VALUE"""),0.0)</f>
        <v>0</v>
      </c>
      <c r="AA60" s="199">
        <f>IFERROR(__xludf.DUMMYFUNCTION("""COMPUTED_VALUE"""),0.0)</f>
        <v>0</v>
      </c>
      <c r="AB60" s="199">
        <f>IFERROR(__xludf.DUMMYFUNCTION("""COMPUTED_VALUE"""),14.0)</f>
        <v>14</v>
      </c>
      <c r="AC60" s="199">
        <f>IFERROR(__xludf.DUMMYFUNCTION("""COMPUTED_VALUE"""),10.0)</f>
        <v>10</v>
      </c>
      <c r="AD60" s="199">
        <f>IFERROR(__xludf.DUMMYFUNCTION("""COMPUTED_VALUE"""),0.0)</f>
        <v>0</v>
      </c>
      <c r="AE60" s="199">
        <f>IFERROR(__xludf.DUMMYFUNCTION("""COMPUTED_VALUE"""),14.0)</f>
        <v>14</v>
      </c>
      <c r="AF60" s="199">
        <f>IFERROR(__xludf.DUMMYFUNCTION("""COMPUTED_VALUE"""),0.0)</f>
        <v>0</v>
      </c>
      <c r="AG60" s="199">
        <f>IFERROR(__xludf.DUMMYFUNCTION("""COMPUTED_VALUE"""),475.0)</f>
        <v>475</v>
      </c>
      <c r="AH60" s="199">
        <f>IFERROR(__xludf.DUMMYFUNCTION("""COMPUTED_VALUE"""),2.0)</f>
        <v>2</v>
      </c>
      <c r="AI60" s="200" t="str">
        <f>IFERROR(__xludf.DUMMYFUNCTION("""COMPUTED_VALUE"""),"Normal - No Action Required")</f>
        <v>Normal - No Action Required</v>
      </c>
      <c r="AJ60" s="200" t="str">
        <f>IFERROR(__xludf.DUMMYFUNCTION("""COMPUTED_VALUE"""),"Continue routine monitoring and sampling schedule")</f>
        <v>Continue routine monitoring and sampling schedule</v>
      </c>
      <c r="AK60" s="204"/>
      <c r="AL60" s="204"/>
      <c r="AM60" s="204"/>
    </row>
    <row r="61" hidden="1">
      <c r="A61" s="199" t="str">
        <f>IFERROR(__xludf.DUMMYFUNCTION("""COMPUTED_VALUE"""),"431.KB101(1)")</f>
        <v>431.KB101(1)</v>
      </c>
      <c r="B61" s="200" t="str">
        <f>IFERROR(__xludf.DUMMYFUNCTION("""COMPUTED_VALUE"""),"Kiln Bearing")</f>
        <v>Kiln Bearing</v>
      </c>
      <c r="C61" s="199">
        <f>IFERROR(__xludf.DUMMYFUNCTION("""COMPUTED_VALUE"""),2.3234228241E10)</f>
        <v>23234228241</v>
      </c>
      <c r="D61" s="201">
        <f>IFERROR(__xludf.DUMMYFUNCTION("""COMPUTED_VALUE"""),45154.0)</f>
        <v>45154</v>
      </c>
      <c r="E61" s="202" t="str">
        <f>IFERROR(__xludf.DUMMYFUNCTION("""COMPUTED_VALUE"""),"Alert")</f>
        <v>Alert</v>
      </c>
      <c r="F61" s="202" t="str">
        <f>IFERROR(__xludf.DUMMYFUNCTION("""COMPUTED_VALUE"""),"Alert")</f>
        <v>Alert</v>
      </c>
      <c r="G61" s="203" t="str">
        <f>IFERROR(__xludf.DUMMYFUNCTION("""COMPUTED_VALUE"""),"Alert")</f>
        <v>Alert</v>
      </c>
      <c r="H61" s="203" t="str">
        <f>IFERROR(__xludf.DUMMYFUNCTION("""COMPUTED_VALUE"""),"Alert")</f>
        <v>Alert</v>
      </c>
      <c r="I61" s="199"/>
      <c r="J61" s="199"/>
      <c r="K61" s="199"/>
      <c r="L61" s="199">
        <f>IFERROR(__xludf.DUMMYFUNCTION("""COMPUTED_VALUE"""),272.0)</f>
        <v>272</v>
      </c>
      <c r="M61" s="199">
        <f>IFERROR(__xludf.DUMMYFUNCTION("""COMPUTED_VALUE"""),57.1)</f>
        <v>57.1</v>
      </c>
      <c r="N61" s="37"/>
      <c r="O61" s="37">
        <f>IFERROR(__xludf.DUMMYFUNCTION("""COMPUTED_VALUE"""),2.0)</f>
        <v>2</v>
      </c>
      <c r="P61" s="199"/>
      <c r="Q61" s="199">
        <f>IFERROR(__xludf.DUMMYFUNCTION("""COMPUTED_VALUE"""),0.0)</f>
        <v>0</v>
      </c>
      <c r="R61" s="199">
        <f>IFERROR(__xludf.DUMMYFUNCTION("""COMPUTED_VALUE"""),0.0)</f>
        <v>0</v>
      </c>
      <c r="S61" s="199">
        <f>IFERROR(__xludf.DUMMYFUNCTION("""COMPUTED_VALUE"""),0.0)</f>
        <v>0</v>
      </c>
      <c r="T61" s="199">
        <f>IFERROR(__xludf.DUMMYFUNCTION("""COMPUTED_VALUE"""),1575.0)</f>
        <v>1575</v>
      </c>
      <c r="U61" s="199">
        <f>IFERROR(__xludf.DUMMYFUNCTION("""COMPUTED_VALUE"""),255.0)</f>
        <v>255</v>
      </c>
      <c r="V61" s="199">
        <f>IFERROR(__xludf.DUMMYFUNCTION("""COMPUTED_VALUE"""),0.0)</f>
        <v>0</v>
      </c>
      <c r="W61" s="199">
        <f>IFERROR(__xludf.DUMMYFUNCTION("""COMPUTED_VALUE"""),0.0)</f>
        <v>0</v>
      </c>
      <c r="X61" s="199">
        <f>IFERROR(__xludf.DUMMYFUNCTION("""COMPUTED_VALUE"""),42.0)</f>
        <v>42</v>
      </c>
      <c r="Y61" s="199">
        <f>IFERROR(__xludf.DUMMYFUNCTION("""COMPUTED_VALUE"""),143.0)</f>
        <v>143</v>
      </c>
      <c r="Z61" s="199">
        <f>IFERROR(__xludf.DUMMYFUNCTION("""COMPUTED_VALUE"""),1.0)</f>
        <v>1</v>
      </c>
      <c r="AA61" s="199">
        <f>IFERROR(__xludf.DUMMYFUNCTION("""COMPUTED_VALUE"""),0.0)</f>
        <v>0</v>
      </c>
      <c r="AB61" s="199">
        <f>IFERROR(__xludf.DUMMYFUNCTION("""COMPUTED_VALUE"""),22.0)</f>
        <v>22</v>
      </c>
      <c r="AC61" s="199">
        <f>IFERROR(__xludf.DUMMYFUNCTION("""COMPUTED_VALUE"""),35.0)</f>
        <v>35</v>
      </c>
      <c r="AD61" s="199">
        <f>IFERROR(__xludf.DUMMYFUNCTION("""COMPUTED_VALUE"""),0.0)</f>
        <v>0</v>
      </c>
      <c r="AE61" s="199">
        <f>IFERROR(__xludf.DUMMYFUNCTION("""COMPUTED_VALUE"""),54.0)</f>
        <v>54</v>
      </c>
      <c r="AF61" s="199">
        <f>IFERROR(__xludf.DUMMYFUNCTION("""COMPUTED_VALUE"""),0.0)</f>
        <v>0</v>
      </c>
      <c r="AG61" s="199">
        <f>IFERROR(__xludf.DUMMYFUNCTION("""COMPUTED_VALUE"""),103.0)</f>
        <v>103</v>
      </c>
      <c r="AH61" s="199">
        <f>IFERROR(__xludf.DUMMYFUNCTION("""COMPUTED_VALUE"""),0.0)</f>
        <v>0</v>
      </c>
      <c r="AI61" s="200" t="str">
        <f>IFERROR(__xludf.DUMMYFUNCTION("""COMPUTED_VALUE"""),"Wear Metal Alert | High Particle Count")</f>
        <v>Wear Metal Alert | High Particle Count</v>
      </c>
      <c r="AJ61" s="200" t="str">
        <f>IFERROR(__xludf.DUMMYFUNCTION("""COMPUTED_VALUE"""),"URGENT: Inspect equipment immediately for wear/damage; Critical wear metals detected - schedule immediate inspection; High wear metals - inspect bearing/gear surfaces; Critical particle count - flush system and replace filters")</f>
        <v>URGENT: Inspect equipment immediately for wear/damage; Critical wear metals detected - schedule immediate inspection; High wear metals - inspect bearing/gear surfaces; Critical particle count - flush system and replace filters</v>
      </c>
      <c r="AK61" s="204"/>
      <c r="AL61" s="204"/>
      <c r="AM61" s="204"/>
    </row>
    <row r="62" hidden="1">
      <c r="A62" s="199" t="str">
        <f>IFERROR(__xludf.DUMMYFUNCTION("""COMPUTED_VALUE"""),"431.KB101(2)")</f>
        <v>431.KB101(2)</v>
      </c>
      <c r="B62" s="200" t="str">
        <f>IFERROR(__xludf.DUMMYFUNCTION("""COMPUTED_VALUE"""),"Kiln Bearing")</f>
        <v>Kiln Bearing</v>
      </c>
      <c r="C62" s="199">
        <f>IFERROR(__xludf.DUMMYFUNCTION("""COMPUTED_VALUE"""),2.3234228243E10)</f>
        <v>23234228243</v>
      </c>
      <c r="D62" s="201">
        <f>IFERROR(__xludf.DUMMYFUNCTION("""COMPUTED_VALUE"""),45154.0)</f>
        <v>45154</v>
      </c>
      <c r="E62" s="202" t="str">
        <f>IFERROR(__xludf.DUMMYFUNCTION("""COMPUTED_VALUE"""),"Alert")</f>
        <v>Alert</v>
      </c>
      <c r="F62" s="202" t="str">
        <f>IFERROR(__xludf.DUMMYFUNCTION("""COMPUTED_VALUE"""),"Alert")</f>
        <v>Alert</v>
      </c>
      <c r="G62" s="203" t="str">
        <f>IFERROR(__xludf.DUMMYFUNCTION("""COMPUTED_VALUE"""),"Alert")</f>
        <v>Alert</v>
      </c>
      <c r="H62" s="203" t="str">
        <f>IFERROR(__xludf.DUMMYFUNCTION("""COMPUTED_VALUE"""),"Normal")</f>
        <v>Normal</v>
      </c>
      <c r="I62" s="199"/>
      <c r="J62" s="199"/>
      <c r="K62" s="199"/>
      <c r="L62" s="199">
        <f>IFERROR(__xludf.DUMMYFUNCTION("""COMPUTED_VALUE"""),45.0)</f>
        <v>45</v>
      </c>
      <c r="M62" s="199">
        <f>IFERROR(__xludf.DUMMYFUNCTION("""COMPUTED_VALUE"""),49.3)</f>
        <v>49.3</v>
      </c>
      <c r="N62" s="37"/>
      <c r="O62" s="37">
        <f>IFERROR(__xludf.DUMMYFUNCTION("""COMPUTED_VALUE"""),0.0)</f>
        <v>0</v>
      </c>
      <c r="P62" s="199"/>
      <c r="Q62" s="199">
        <f>IFERROR(__xludf.DUMMYFUNCTION("""COMPUTED_VALUE"""),0.0)</f>
        <v>0</v>
      </c>
      <c r="R62" s="199">
        <f>IFERROR(__xludf.DUMMYFUNCTION("""COMPUTED_VALUE"""),4.0)</f>
        <v>4</v>
      </c>
      <c r="S62" s="199">
        <f>IFERROR(__xludf.DUMMYFUNCTION("""COMPUTED_VALUE"""),0.0)</f>
        <v>0</v>
      </c>
      <c r="T62" s="199">
        <f>IFERROR(__xludf.DUMMYFUNCTION("""COMPUTED_VALUE"""),118.0)</f>
        <v>118</v>
      </c>
      <c r="U62" s="199">
        <f>IFERROR(__xludf.DUMMYFUNCTION("""COMPUTED_VALUE"""),60.0)</f>
        <v>60</v>
      </c>
      <c r="V62" s="199">
        <f>IFERROR(__xludf.DUMMYFUNCTION("""COMPUTED_VALUE"""),0.0)</f>
        <v>0</v>
      </c>
      <c r="W62" s="199">
        <f>IFERROR(__xludf.DUMMYFUNCTION("""COMPUTED_VALUE"""),0.0)</f>
        <v>0</v>
      </c>
      <c r="X62" s="199">
        <f>IFERROR(__xludf.DUMMYFUNCTION("""COMPUTED_VALUE"""),10.0)</f>
        <v>10</v>
      </c>
      <c r="Y62" s="199">
        <f>IFERROR(__xludf.DUMMYFUNCTION("""COMPUTED_VALUE"""),4.0)</f>
        <v>4</v>
      </c>
      <c r="Z62" s="199">
        <f>IFERROR(__xludf.DUMMYFUNCTION("""COMPUTED_VALUE"""),12.0)</f>
        <v>12</v>
      </c>
      <c r="AA62" s="199">
        <f>IFERROR(__xludf.DUMMYFUNCTION("""COMPUTED_VALUE"""),3.0)</f>
        <v>3</v>
      </c>
      <c r="AB62" s="199">
        <f>IFERROR(__xludf.DUMMYFUNCTION("""COMPUTED_VALUE"""),32.0)</f>
        <v>32</v>
      </c>
      <c r="AC62" s="199">
        <f>IFERROR(__xludf.DUMMYFUNCTION("""COMPUTED_VALUE"""),16.0)</f>
        <v>16</v>
      </c>
      <c r="AD62" s="199">
        <f>IFERROR(__xludf.DUMMYFUNCTION("""COMPUTED_VALUE"""),0.0)</f>
        <v>0</v>
      </c>
      <c r="AE62" s="199">
        <f>IFERROR(__xludf.DUMMYFUNCTION("""COMPUTED_VALUE"""),108.0)</f>
        <v>108</v>
      </c>
      <c r="AF62" s="199">
        <f>IFERROR(__xludf.DUMMYFUNCTION("""COMPUTED_VALUE"""),2.0)</f>
        <v>2</v>
      </c>
      <c r="AG62" s="199">
        <f>IFERROR(__xludf.DUMMYFUNCTION("""COMPUTED_VALUE"""),212.0)</f>
        <v>212</v>
      </c>
      <c r="AH62" s="199">
        <f>IFERROR(__xludf.DUMMYFUNCTION("""COMPUTED_VALUE"""),15.0)</f>
        <v>15</v>
      </c>
      <c r="AI62" s="200" t="str">
        <f>IFERROR(__xludf.DUMMYFUNCTION("""COMPUTED_VALUE"""),"Wear Metal Alert")</f>
        <v>Wear Metal Alert</v>
      </c>
      <c r="AJ62" s="200" t="str">
        <f>IFERROR(__xludf.DUMMYFUNCTION("""COMPUTED_VALUE"""),"URGENT: Inspect equipment immediately for wear/damage; High wear metals - inspect bearing/gear surfaces; Elevated silicon - inspect filters and seals for contamination")</f>
        <v>URGENT: Inspect equipment immediately for wear/damage; High wear metals - inspect bearing/gear surfaces; Elevated silicon - inspect filters and seals for contamination</v>
      </c>
      <c r="AK62" s="204"/>
      <c r="AL62" s="204"/>
      <c r="AM62" s="204"/>
    </row>
    <row r="63" hidden="1">
      <c r="A63" s="199" t="str">
        <f>IFERROR(__xludf.DUMMYFUNCTION("""COMPUTED_VALUE"""),"431.KB101(3)")</f>
        <v>431.KB101(3)</v>
      </c>
      <c r="B63" s="200" t="str">
        <f>IFERROR(__xludf.DUMMYFUNCTION("""COMPUTED_VALUE"""),"Kiln Bearing")</f>
        <v>Kiln Bearing</v>
      </c>
      <c r="C63" s="199">
        <f>IFERROR(__xludf.DUMMYFUNCTION("""COMPUTED_VALUE"""),2.3235238219E10)</f>
        <v>23235238219</v>
      </c>
      <c r="D63" s="201">
        <f>IFERROR(__xludf.DUMMYFUNCTION("""COMPUTED_VALUE"""),45154.0)</f>
        <v>45154</v>
      </c>
      <c r="E63" s="202" t="str">
        <f>IFERROR(__xludf.DUMMYFUNCTION("""COMPUTED_VALUE"""),"Alert")</f>
        <v>Alert</v>
      </c>
      <c r="F63" s="202" t="str">
        <f>IFERROR(__xludf.DUMMYFUNCTION("""COMPUTED_VALUE"""),"Caution")</f>
        <v>Caution</v>
      </c>
      <c r="G63" s="203" t="str">
        <f>IFERROR(__xludf.DUMMYFUNCTION("""COMPUTED_VALUE"""),"Normal")</f>
        <v>Normal</v>
      </c>
      <c r="H63" s="203" t="str">
        <f>IFERROR(__xludf.DUMMYFUNCTION("""COMPUTED_VALUE"""),"Alert")</f>
        <v>Alert</v>
      </c>
      <c r="I63" s="37"/>
      <c r="J63" s="37"/>
      <c r="K63" s="37"/>
      <c r="L63" s="199">
        <f>IFERROR(__xludf.DUMMYFUNCTION("""COMPUTED_VALUE"""),6.0)</f>
        <v>6</v>
      </c>
      <c r="M63" s="199">
        <f>IFERROR(__xludf.DUMMYFUNCTION("""COMPUTED_VALUE"""),56.7)</f>
        <v>56.7</v>
      </c>
      <c r="N63" s="37"/>
      <c r="O63" s="37">
        <f>IFERROR(__xludf.DUMMYFUNCTION("""COMPUTED_VALUE"""),0.0)</f>
        <v>0</v>
      </c>
      <c r="P63" s="199"/>
      <c r="Q63" s="199">
        <f>IFERROR(__xludf.DUMMYFUNCTION("""COMPUTED_VALUE"""),0.0)</f>
        <v>0</v>
      </c>
      <c r="R63" s="199">
        <f>IFERROR(__xludf.DUMMYFUNCTION("""COMPUTED_VALUE"""),3.0)</f>
        <v>3</v>
      </c>
      <c r="S63" s="199">
        <f>IFERROR(__xludf.DUMMYFUNCTION("""COMPUTED_VALUE"""),1.0)</f>
        <v>1</v>
      </c>
      <c r="T63" s="199">
        <f>IFERROR(__xludf.DUMMYFUNCTION("""COMPUTED_VALUE"""),36.0)</f>
        <v>36</v>
      </c>
      <c r="U63" s="199">
        <f>IFERROR(__xludf.DUMMYFUNCTION("""COMPUTED_VALUE"""),30.0)</f>
        <v>30</v>
      </c>
      <c r="V63" s="199">
        <f>IFERROR(__xludf.DUMMYFUNCTION("""COMPUTED_VALUE"""),1.0)</f>
        <v>1</v>
      </c>
      <c r="W63" s="199">
        <f>IFERROR(__xludf.DUMMYFUNCTION("""COMPUTED_VALUE"""),0.0)</f>
        <v>0</v>
      </c>
      <c r="X63" s="199">
        <f>IFERROR(__xludf.DUMMYFUNCTION("""COMPUTED_VALUE"""),4.0)</f>
        <v>4</v>
      </c>
      <c r="Y63" s="199">
        <f>IFERROR(__xludf.DUMMYFUNCTION("""COMPUTED_VALUE"""),0.0)</f>
        <v>0</v>
      </c>
      <c r="Z63" s="199">
        <f>IFERROR(__xludf.DUMMYFUNCTION("""COMPUTED_VALUE"""),0.0)</f>
        <v>0</v>
      </c>
      <c r="AA63" s="199">
        <f>IFERROR(__xludf.DUMMYFUNCTION("""COMPUTED_VALUE"""),2.0)</f>
        <v>2</v>
      </c>
      <c r="AB63" s="199">
        <f>IFERROR(__xludf.DUMMYFUNCTION("""COMPUTED_VALUE"""),20.0)</f>
        <v>20</v>
      </c>
      <c r="AC63" s="199">
        <f>IFERROR(__xludf.DUMMYFUNCTION("""COMPUTED_VALUE"""),33.0)</f>
        <v>33</v>
      </c>
      <c r="AD63" s="199">
        <f>IFERROR(__xludf.DUMMYFUNCTION("""COMPUTED_VALUE"""),0.0)</f>
        <v>0</v>
      </c>
      <c r="AE63" s="199">
        <f>IFERROR(__xludf.DUMMYFUNCTION("""COMPUTED_VALUE"""),21.0)</f>
        <v>21</v>
      </c>
      <c r="AF63" s="199">
        <f>IFERROR(__xludf.DUMMYFUNCTION("""COMPUTED_VALUE"""),0.0)</f>
        <v>0</v>
      </c>
      <c r="AG63" s="199">
        <f>IFERROR(__xludf.DUMMYFUNCTION("""COMPUTED_VALUE"""),205.0)</f>
        <v>205</v>
      </c>
      <c r="AH63" s="199">
        <f>IFERROR(__xludf.DUMMYFUNCTION("""COMPUTED_VALUE"""),4.0)</f>
        <v>4</v>
      </c>
      <c r="AI63" s="200" t="str">
        <f>IFERROR(__xludf.DUMMYFUNCTION("""COMPUTED_VALUE"""),"General Alert")</f>
        <v>General Alert</v>
      </c>
      <c r="AJ63" s="200" t="str">
        <f>IFERROR(__xludf.DUMMYFUNCTION("""COMPUTED_VALUE"""),"Investigate root cause; increase sampling frequency to monthly")</f>
        <v>Investigate root cause; increase sampling frequency to monthly</v>
      </c>
      <c r="AK63" s="204"/>
      <c r="AL63" s="204"/>
      <c r="AM63" s="204"/>
    </row>
    <row r="64" hidden="1">
      <c r="A64" s="199" t="str">
        <f>IFERROR(__xludf.DUMMYFUNCTION("""COMPUTED_VALUE"""),"431.KB101(4)")</f>
        <v>431.KB101(4)</v>
      </c>
      <c r="B64" s="200" t="str">
        <f>IFERROR(__xludf.DUMMYFUNCTION("""COMPUTED_VALUE"""),"Kiln Bearing")</f>
        <v>Kiln Bearing</v>
      </c>
      <c r="C64" s="199">
        <f>IFERROR(__xludf.DUMMYFUNCTION("""COMPUTED_VALUE"""),2.323422824E10)</f>
        <v>23234228240</v>
      </c>
      <c r="D64" s="201">
        <f>IFERROR(__xludf.DUMMYFUNCTION("""COMPUTED_VALUE"""),45154.0)</f>
        <v>45154</v>
      </c>
      <c r="E64" s="202" t="str">
        <f>IFERROR(__xludf.DUMMYFUNCTION("""COMPUTED_VALUE"""),"Alert")</f>
        <v>Alert</v>
      </c>
      <c r="F64" s="202" t="str">
        <f>IFERROR(__xludf.DUMMYFUNCTION("""COMPUTED_VALUE"""),"Alert")</f>
        <v>Alert</v>
      </c>
      <c r="G64" s="203" t="str">
        <f>IFERROR(__xludf.DUMMYFUNCTION("""COMPUTED_VALUE"""),"Alert")</f>
        <v>Alert</v>
      </c>
      <c r="H64" s="203" t="str">
        <f>IFERROR(__xludf.DUMMYFUNCTION("""COMPUTED_VALUE"""),"Alert")</f>
        <v>Alert</v>
      </c>
      <c r="I64" s="37"/>
      <c r="J64" s="37"/>
      <c r="K64" s="37"/>
      <c r="L64" s="199">
        <f>IFERROR(__xludf.DUMMYFUNCTION("""COMPUTED_VALUE"""),19.0)</f>
        <v>19</v>
      </c>
      <c r="M64" s="199">
        <f>IFERROR(__xludf.DUMMYFUNCTION("""COMPUTED_VALUE"""),60.7)</f>
        <v>60.7</v>
      </c>
      <c r="N64" s="37"/>
      <c r="O64" s="37">
        <f>IFERROR(__xludf.DUMMYFUNCTION("""COMPUTED_VALUE"""),1.0)</f>
        <v>1</v>
      </c>
      <c r="P64" s="199"/>
      <c r="Q64" s="199">
        <f>IFERROR(__xludf.DUMMYFUNCTION("""COMPUTED_VALUE"""),0.0)</f>
        <v>0</v>
      </c>
      <c r="R64" s="199">
        <f>IFERROR(__xludf.DUMMYFUNCTION("""COMPUTED_VALUE"""),0.0)</f>
        <v>0</v>
      </c>
      <c r="S64" s="199">
        <f>IFERROR(__xludf.DUMMYFUNCTION("""COMPUTED_VALUE"""),0.0)</f>
        <v>0</v>
      </c>
      <c r="T64" s="199">
        <f>IFERROR(__xludf.DUMMYFUNCTION("""COMPUTED_VALUE"""),104.0)</f>
        <v>104</v>
      </c>
      <c r="U64" s="199">
        <f>IFERROR(__xludf.DUMMYFUNCTION("""COMPUTED_VALUE"""),48.0)</f>
        <v>48</v>
      </c>
      <c r="V64" s="199">
        <f>IFERROR(__xludf.DUMMYFUNCTION("""COMPUTED_VALUE"""),0.0)</f>
        <v>0</v>
      </c>
      <c r="W64" s="199">
        <f>IFERROR(__xludf.DUMMYFUNCTION("""COMPUTED_VALUE"""),0.0)</f>
        <v>0</v>
      </c>
      <c r="X64" s="199">
        <f>IFERROR(__xludf.DUMMYFUNCTION("""COMPUTED_VALUE"""),0.0)</f>
        <v>0</v>
      </c>
      <c r="Y64" s="199">
        <f>IFERROR(__xludf.DUMMYFUNCTION("""COMPUTED_VALUE"""),5.0)</f>
        <v>5</v>
      </c>
      <c r="Z64" s="199">
        <f>IFERROR(__xludf.DUMMYFUNCTION("""COMPUTED_VALUE"""),2.0)</f>
        <v>2</v>
      </c>
      <c r="AA64" s="199">
        <f>IFERROR(__xludf.DUMMYFUNCTION("""COMPUTED_VALUE"""),0.0)</f>
        <v>0</v>
      </c>
      <c r="AB64" s="199">
        <f>IFERROR(__xludf.DUMMYFUNCTION("""COMPUTED_VALUE"""),24.0)</f>
        <v>24</v>
      </c>
      <c r="AC64" s="199">
        <f>IFERROR(__xludf.DUMMYFUNCTION("""COMPUTED_VALUE"""),40.0)</f>
        <v>40</v>
      </c>
      <c r="AD64" s="199">
        <f>IFERROR(__xludf.DUMMYFUNCTION("""COMPUTED_VALUE"""),0.0)</f>
        <v>0</v>
      </c>
      <c r="AE64" s="199">
        <f>IFERROR(__xludf.DUMMYFUNCTION("""COMPUTED_VALUE"""),2.0)</f>
        <v>2</v>
      </c>
      <c r="AF64" s="199">
        <f>IFERROR(__xludf.DUMMYFUNCTION("""COMPUTED_VALUE"""),0.0)</f>
        <v>0</v>
      </c>
      <c r="AG64" s="199">
        <f>IFERROR(__xludf.DUMMYFUNCTION("""COMPUTED_VALUE"""),193.0)</f>
        <v>193</v>
      </c>
      <c r="AH64" s="199">
        <f>IFERROR(__xludf.DUMMYFUNCTION("""COMPUTED_VALUE"""),0.0)</f>
        <v>0</v>
      </c>
      <c r="AI64" s="200" t="str">
        <f>IFERROR(__xludf.DUMMYFUNCTION("""COMPUTED_VALUE"""),"Wear Metal Alert")</f>
        <v>Wear Metal Alert</v>
      </c>
      <c r="AJ64" s="200" t="str">
        <f>IFERROR(__xludf.DUMMYFUNCTION("""COMPUTED_VALUE"""),"URGENT: Inspect equipment immediately for wear/damage; High wear metals - inspect bearing/gear surfaces")</f>
        <v>URGENT: Inspect equipment immediately for wear/damage; High wear metals - inspect bearing/gear surfaces</v>
      </c>
      <c r="AK64" s="204"/>
      <c r="AL64" s="204"/>
      <c r="AM64" s="204"/>
    </row>
    <row r="65" hidden="1">
      <c r="A65" s="199" t="str">
        <f>IFERROR(__xludf.DUMMYFUNCTION("""COMPUTED_VALUE"""),"431.KB102(1)")</f>
        <v>431.KB102(1)</v>
      </c>
      <c r="B65" s="200" t="str">
        <f>IFERROR(__xludf.DUMMYFUNCTION("""COMPUTED_VALUE"""),"Kiln Bearing")</f>
        <v>Kiln Bearing</v>
      </c>
      <c r="C65" s="199">
        <f>IFERROR(__xludf.DUMMYFUNCTION("""COMPUTED_VALUE"""),2.3234228239E10)</f>
        <v>23234228239</v>
      </c>
      <c r="D65" s="201">
        <f>IFERROR(__xludf.DUMMYFUNCTION("""COMPUTED_VALUE"""),45154.0)</f>
        <v>45154</v>
      </c>
      <c r="E65" s="202" t="str">
        <f>IFERROR(__xludf.DUMMYFUNCTION("""COMPUTED_VALUE"""),"Alert")</f>
        <v>Alert</v>
      </c>
      <c r="F65" s="202" t="str">
        <f>IFERROR(__xludf.DUMMYFUNCTION("""COMPUTED_VALUE"""),"Caution")</f>
        <v>Caution</v>
      </c>
      <c r="G65" s="203" t="str">
        <f>IFERROR(__xludf.DUMMYFUNCTION("""COMPUTED_VALUE"""),"Alert")</f>
        <v>Alert</v>
      </c>
      <c r="H65" s="203" t="str">
        <f>IFERROR(__xludf.DUMMYFUNCTION("""COMPUTED_VALUE"""),"Alert")</f>
        <v>Alert</v>
      </c>
      <c r="I65" s="37"/>
      <c r="J65" s="37"/>
      <c r="K65" s="37"/>
      <c r="L65" s="199">
        <f>IFERROR(__xludf.DUMMYFUNCTION("""COMPUTED_VALUE"""),15.0)</f>
        <v>15</v>
      </c>
      <c r="M65" s="199">
        <f>IFERROR(__xludf.DUMMYFUNCTION("""COMPUTED_VALUE"""),58.9)</f>
        <v>58.9</v>
      </c>
      <c r="N65" s="37"/>
      <c r="O65" s="37">
        <f>IFERROR(__xludf.DUMMYFUNCTION("""COMPUTED_VALUE"""),2.0)</f>
        <v>2</v>
      </c>
      <c r="P65" s="199"/>
      <c r="Q65" s="199">
        <f>IFERROR(__xludf.DUMMYFUNCTION("""COMPUTED_VALUE"""),0.0)</f>
        <v>0</v>
      </c>
      <c r="R65" s="199">
        <f>IFERROR(__xludf.DUMMYFUNCTION("""COMPUTED_VALUE"""),0.0)</f>
        <v>0</v>
      </c>
      <c r="S65" s="199">
        <f>IFERROR(__xludf.DUMMYFUNCTION("""COMPUTED_VALUE"""),0.0)</f>
        <v>0</v>
      </c>
      <c r="T65" s="199">
        <f>IFERROR(__xludf.DUMMYFUNCTION("""COMPUTED_VALUE"""),169.0)</f>
        <v>169</v>
      </c>
      <c r="U65" s="199">
        <f>IFERROR(__xludf.DUMMYFUNCTION("""COMPUTED_VALUE"""),11.0)</f>
        <v>11</v>
      </c>
      <c r="V65" s="199">
        <f>IFERROR(__xludf.DUMMYFUNCTION("""COMPUTED_VALUE"""),0.0)</f>
        <v>0</v>
      </c>
      <c r="W65" s="199">
        <f>IFERROR(__xludf.DUMMYFUNCTION("""COMPUTED_VALUE"""),0.0)</f>
        <v>0</v>
      </c>
      <c r="X65" s="199">
        <f>IFERROR(__xludf.DUMMYFUNCTION("""COMPUTED_VALUE"""),0.0)</f>
        <v>0</v>
      </c>
      <c r="Y65" s="199">
        <f>IFERROR(__xludf.DUMMYFUNCTION("""COMPUTED_VALUE"""),0.0)</f>
        <v>0</v>
      </c>
      <c r="Z65" s="199">
        <f>IFERROR(__xludf.DUMMYFUNCTION("""COMPUTED_VALUE"""),2.0)</f>
        <v>2</v>
      </c>
      <c r="AA65" s="199">
        <f>IFERROR(__xludf.DUMMYFUNCTION("""COMPUTED_VALUE"""),0.0)</f>
        <v>0</v>
      </c>
      <c r="AB65" s="199">
        <f>IFERROR(__xludf.DUMMYFUNCTION("""COMPUTED_VALUE"""),4.0)</f>
        <v>4</v>
      </c>
      <c r="AC65" s="199">
        <f>IFERROR(__xludf.DUMMYFUNCTION("""COMPUTED_VALUE"""),32.0)</f>
        <v>32</v>
      </c>
      <c r="AD65" s="199">
        <f>IFERROR(__xludf.DUMMYFUNCTION("""COMPUTED_VALUE"""),0.0)</f>
        <v>0</v>
      </c>
      <c r="AE65" s="199">
        <f>IFERROR(__xludf.DUMMYFUNCTION("""COMPUTED_VALUE"""),23.0)</f>
        <v>23</v>
      </c>
      <c r="AF65" s="199">
        <f>IFERROR(__xludf.DUMMYFUNCTION("""COMPUTED_VALUE"""),0.0)</f>
        <v>0</v>
      </c>
      <c r="AG65" s="199">
        <f>IFERROR(__xludf.DUMMYFUNCTION("""COMPUTED_VALUE"""),127.0)</f>
        <v>127</v>
      </c>
      <c r="AH65" s="199">
        <f>IFERROR(__xludf.DUMMYFUNCTION("""COMPUTED_VALUE"""),0.0)</f>
        <v>0</v>
      </c>
      <c r="AI65" s="200" t="str">
        <f>IFERROR(__xludf.DUMMYFUNCTION("""COMPUTED_VALUE"""),"Wear Metal Alert")</f>
        <v>Wear Metal Alert</v>
      </c>
      <c r="AJ65" s="200" t="str">
        <f>IFERROR(__xludf.DUMMYFUNCTION("""COMPUTED_VALUE"""),"URGENT: Inspect equipment immediately for wear/damage; High wear metals - inspect bearing/gear surfaces")</f>
        <v>URGENT: Inspect equipment immediately for wear/damage; High wear metals - inspect bearing/gear surfaces</v>
      </c>
      <c r="AK65" s="204"/>
      <c r="AL65" s="204"/>
      <c r="AM65" s="204"/>
    </row>
    <row r="66" hidden="1">
      <c r="A66" s="199" t="str">
        <f>IFERROR(__xludf.DUMMYFUNCTION("""COMPUTED_VALUE"""),"431.KB102(2)")</f>
        <v>431.KB102(2)</v>
      </c>
      <c r="B66" s="200" t="str">
        <f>IFERROR(__xludf.DUMMYFUNCTION("""COMPUTED_VALUE"""),"Kiln Bearing")</f>
        <v>Kiln Bearing</v>
      </c>
      <c r="C66" s="199">
        <f>IFERROR(__xludf.DUMMYFUNCTION("""COMPUTED_VALUE"""),2.3234228238E10)</f>
        <v>23234228238</v>
      </c>
      <c r="D66" s="201">
        <f>IFERROR(__xludf.DUMMYFUNCTION("""COMPUTED_VALUE"""),45154.0)</f>
        <v>45154</v>
      </c>
      <c r="E66" s="202" t="str">
        <f>IFERROR(__xludf.DUMMYFUNCTION("""COMPUTED_VALUE"""),"Alert")</f>
        <v>Alert</v>
      </c>
      <c r="F66" s="202" t="str">
        <f>IFERROR(__xludf.DUMMYFUNCTION("""COMPUTED_VALUE"""),"Caution")</f>
        <v>Caution</v>
      </c>
      <c r="G66" s="203" t="str">
        <f>IFERROR(__xludf.DUMMYFUNCTION("""COMPUTED_VALUE"""),"Alert")</f>
        <v>Alert</v>
      </c>
      <c r="H66" s="203" t="str">
        <f>IFERROR(__xludf.DUMMYFUNCTION("""COMPUTED_VALUE"""),"Alert")</f>
        <v>Alert</v>
      </c>
      <c r="I66" s="37">
        <f>IFERROR(__xludf.DUMMYFUNCTION("""COMPUTED_VALUE"""),9234.0)</f>
        <v>9234</v>
      </c>
      <c r="J66" s="37">
        <f>IFERROR(__xludf.DUMMYFUNCTION("""COMPUTED_VALUE"""),2941.0)</f>
        <v>2941</v>
      </c>
      <c r="K66" s="37">
        <f>IFERROR(__xludf.DUMMYFUNCTION("""COMPUTED_VALUE"""),152.0)</f>
        <v>152</v>
      </c>
      <c r="L66" s="199">
        <f>IFERROR(__xludf.DUMMYFUNCTION("""COMPUTED_VALUE"""),65.0)</f>
        <v>65</v>
      </c>
      <c r="M66" s="199">
        <f>IFERROR(__xludf.DUMMYFUNCTION("""COMPUTED_VALUE"""),60.5)</f>
        <v>60.5</v>
      </c>
      <c r="N66" s="37"/>
      <c r="O66" s="37">
        <f>IFERROR(__xludf.DUMMYFUNCTION("""COMPUTED_VALUE"""),0.0)</f>
        <v>0</v>
      </c>
      <c r="P66" s="199"/>
      <c r="Q66" s="199">
        <f>IFERROR(__xludf.DUMMYFUNCTION("""COMPUTED_VALUE"""),0.0)</f>
        <v>0</v>
      </c>
      <c r="R66" s="199">
        <f>IFERROR(__xludf.DUMMYFUNCTION("""COMPUTED_VALUE"""),0.0)</f>
        <v>0</v>
      </c>
      <c r="S66" s="199">
        <f>IFERROR(__xludf.DUMMYFUNCTION("""COMPUTED_VALUE"""),0.0)</f>
        <v>0</v>
      </c>
      <c r="T66" s="199">
        <f>IFERROR(__xludf.DUMMYFUNCTION("""COMPUTED_VALUE"""),89.0)</f>
        <v>89</v>
      </c>
      <c r="U66" s="199">
        <f>IFERROR(__xludf.DUMMYFUNCTION("""COMPUTED_VALUE"""),38.0)</f>
        <v>38</v>
      </c>
      <c r="V66" s="199">
        <f>IFERROR(__xludf.DUMMYFUNCTION("""COMPUTED_VALUE"""),2.0)</f>
        <v>2</v>
      </c>
      <c r="W66" s="199">
        <f>IFERROR(__xludf.DUMMYFUNCTION("""COMPUTED_VALUE"""),0.0)</f>
        <v>0</v>
      </c>
      <c r="X66" s="199">
        <f>IFERROR(__xludf.DUMMYFUNCTION("""COMPUTED_VALUE"""),0.0)</f>
        <v>0</v>
      </c>
      <c r="Y66" s="199">
        <f>IFERROR(__xludf.DUMMYFUNCTION("""COMPUTED_VALUE"""),0.0)</f>
        <v>0</v>
      </c>
      <c r="Z66" s="199">
        <f>IFERROR(__xludf.DUMMYFUNCTION("""COMPUTED_VALUE"""),2.0)</f>
        <v>2</v>
      </c>
      <c r="AA66" s="199">
        <f>IFERROR(__xludf.DUMMYFUNCTION("""COMPUTED_VALUE"""),0.0)</f>
        <v>0</v>
      </c>
      <c r="AB66" s="199">
        <f>IFERROR(__xludf.DUMMYFUNCTION("""COMPUTED_VALUE"""),2.0)</f>
        <v>2</v>
      </c>
      <c r="AC66" s="199">
        <f>IFERROR(__xludf.DUMMYFUNCTION("""COMPUTED_VALUE"""),24.0)</f>
        <v>24</v>
      </c>
      <c r="AD66" s="199">
        <f>IFERROR(__xludf.DUMMYFUNCTION("""COMPUTED_VALUE"""),0.0)</f>
        <v>0</v>
      </c>
      <c r="AE66" s="199">
        <f>IFERROR(__xludf.DUMMYFUNCTION("""COMPUTED_VALUE"""),12.0)</f>
        <v>12</v>
      </c>
      <c r="AF66" s="199">
        <f>IFERROR(__xludf.DUMMYFUNCTION("""COMPUTED_VALUE"""),0.0)</f>
        <v>0</v>
      </c>
      <c r="AG66" s="199">
        <f>IFERROR(__xludf.DUMMYFUNCTION("""COMPUTED_VALUE"""),199.0)</f>
        <v>199</v>
      </c>
      <c r="AH66" s="199">
        <f>IFERROR(__xludf.DUMMYFUNCTION("""COMPUTED_VALUE"""),7.0)</f>
        <v>7</v>
      </c>
      <c r="AI66" s="200" t="str">
        <f>IFERROR(__xludf.DUMMYFUNCTION("""COMPUTED_VALUE"""),"Wear Metal Alert")</f>
        <v>Wear Metal Alert</v>
      </c>
      <c r="AJ66" s="200" t="str">
        <f>IFERROR(__xludf.DUMMYFUNCTION("""COMPUTED_VALUE"""),"URGENT: Inspect equipment immediately for wear/damage")</f>
        <v>URGENT: Inspect equipment immediately for wear/damage</v>
      </c>
      <c r="AK66" s="204"/>
      <c r="AL66" s="204"/>
      <c r="AM66" s="204"/>
    </row>
    <row r="67" hidden="1">
      <c r="A67" s="199" t="str">
        <f>IFERROR(__xludf.DUMMYFUNCTION("""COMPUTED_VALUE"""),"431.KB102(3)")</f>
        <v>431.KB102(3)</v>
      </c>
      <c r="B67" s="200" t="str">
        <f>IFERROR(__xludf.DUMMYFUNCTION("""COMPUTED_VALUE"""),"Kiln Bearing")</f>
        <v>Kiln Bearing</v>
      </c>
      <c r="C67" s="199">
        <f>IFERROR(__xludf.DUMMYFUNCTION("""COMPUTED_VALUE"""),2.3234228249E10)</f>
        <v>23234228249</v>
      </c>
      <c r="D67" s="201">
        <f>IFERROR(__xludf.DUMMYFUNCTION("""COMPUTED_VALUE"""),45154.0)</f>
        <v>45154</v>
      </c>
      <c r="E67" s="202" t="str">
        <f>IFERROR(__xludf.DUMMYFUNCTION("""COMPUTED_VALUE"""),"Alert")</f>
        <v>Alert</v>
      </c>
      <c r="F67" s="202" t="str">
        <f>IFERROR(__xludf.DUMMYFUNCTION("""COMPUTED_VALUE"""),"Caution")</f>
        <v>Caution</v>
      </c>
      <c r="G67" s="203" t="str">
        <f>IFERROR(__xludf.DUMMYFUNCTION("""COMPUTED_VALUE"""),"Alert")</f>
        <v>Alert</v>
      </c>
      <c r="H67" s="203" t="str">
        <f>IFERROR(__xludf.DUMMYFUNCTION("""COMPUTED_VALUE"""),"Alert")</f>
        <v>Alert</v>
      </c>
      <c r="I67" s="37"/>
      <c r="J67" s="37"/>
      <c r="K67" s="37"/>
      <c r="L67" s="199">
        <f>IFERROR(__xludf.DUMMYFUNCTION("""COMPUTED_VALUE"""),60.0)</f>
        <v>60</v>
      </c>
      <c r="M67" s="199">
        <f>IFERROR(__xludf.DUMMYFUNCTION("""COMPUTED_VALUE"""),58.1)</f>
        <v>58.1</v>
      </c>
      <c r="N67" s="37"/>
      <c r="O67" s="37">
        <f>IFERROR(__xludf.DUMMYFUNCTION("""COMPUTED_VALUE"""),3.0)</f>
        <v>3</v>
      </c>
      <c r="P67" s="199"/>
      <c r="Q67" s="199">
        <f>IFERROR(__xludf.DUMMYFUNCTION("""COMPUTED_VALUE"""),0.0)</f>
        <v>0</v>
      </c>
      <c r="R67" s="199">
        <f>IFERROR(__xludf.DUMMYFUNCTION("""COMPUTED_VALUE"""),0.0)</f>
        <v>0</v>
      </c>
      <c r="S67" s="199">
        <f>IFERROR(__xludf.DUMMYFUNCTION("""COMPUTED_VALUE"""),0.0)</f>
        <v>0</v>
      </c>
      <c r="T67" s="199">
        <f>IFERROR(__xludf.DUMMYFUNCTION("""COMPUTED_VALUE"""),32.0)</f>
        <v>32</v>
      </c>
      <c r="U67" s="199">
        <f>IFERROR(__xludf.DUMMYFUNCTION("""COMPUTED_VALUE"""),84.0)</f>
        <v>84</v>
      </c>
      <c r="V67" s="199">
        <f>IFERROR(__xludf.DUMMYFUNCTION("""COMPUTED_VALUE"""),0.0)</f>
        <v>0</v>
      </c>
      <c r="W67" s="199">
        <f>IFERROR(__xludf.DUMMYFUNCTION("""COMPUTED_VALUE"""),0.0)</f>
        <v>0</v>
      </c>
      <c r="X67" s="199">
        <f>IFERROR(__xludf.DUMMYFUNCTION("""COMPUTED_VALUE"""),0.0)</f>
        <v>0</v>
      </c>
      <c r="Y67" s="199">
        <f>IFERROR(__xludf.DUMMYFUNCTION("""COMPUTED_VALUE"""),0.0)</f>
        <v>0</v>
      </c>
      <c r="Z67" s="199">
        <f>IFERROR(__xludf.DUMMYFUNCTION("""COMPUTED_VALUE"""),2.0)</f>
        <v>2</v>
      </c>
      <c r="AA67" s="199">
        <f>IFERROR(__xludf.DUMMYFUNCTION("""COMPUTED_VALUE"""),0.0)</f>
        <v>0</v>
      </c>
      <c r="AB67" s="199">
        <f>IFERROR(__xludf.DUMMYFUNCTION("""COMPUTED_VALUE"""),18.0)</f>
        <v>18</v>
      </c>
      <c r="AC67" s="199">
        <f>IFERROR(__xludf.DUMMYFUNCTION("""COMPUTED_VALUE"""),30.0)</f>
        <v>30</v>
      </c>
      <c r="AD67" s="199">
        <f>IFERROR(__xludf.DUMMYFUNCTION("""COMPUTED_VALUE"""),0.0)</f>
        <v>0</v>
      </c>
      <c r="AE67" s="199">
        <f>IFERROR(__xludf.DUMMYFUNCTION("""COMPUTED_VALUE"""),30.0)</f>
        <v>30</v>
      </c>
      <c r="AF67" s="199">
        <f>IFERROR(__xludf.DUMMYFUNCTION("""COMPUTED_VALUE"""),3.0)</f>
        <v>3</v>
      </c>
      <c r="AG67" s="199">
        <f>IFERROR(__xludf.DUMMYFUNCTION("""COMPUTED_VALUE"""),217.0)</f>
        <v>217</v>
      </c>
      <c r="AH67" s="199">
        <f>IFERROR(__xludf.DUMMYFUNCTION("""COMPUTED_VALUE"""),2.0)</f>
        <v>2</v>
      </c>
      <c r="AI67" s="200" t="str">
        <f>IFERROR(__xludf.DUMMYFUNCTION("""COMPUTED_VALUE"""),"Wear Metal Alert")</f>
        <v>Wear Metal Alert</v>
      </c>
      <c r="AJ67" s="200" t="str">
        <f>IFERROR(__xludf.DUMMYFUNCTION("""COMPUTED_VALUE"""),"URGENT: Inspect equipment immediately for wear/damage")</f>
        <v>URGENT: Inspect equipment immediately for wear/damage</v>
      </c>
      <c r="AK67" s="204"/>
      <c r="AL67" s="204"/>
      <c r="AM67" s="204"/>
    </row>
    <row r="68" hidden="1">
      <c r="A68" s="199" t="str">
        <f>IFERROR(__xludf.DUMMYFUNCTION("""COMPUTED_VALUE"""),"431.KB102(4)")</f>
        <v>431.KB102(4)</v>
      </c>
      <c r="B68" s="200" t="str">
        <f>IFERROR(__xludf.DUMMYFUNCTION("""COMPUTED_VALUE"""),"Kiln Bearing")</f>
        <v>Kiln Bearing</v>
      </c>
      <c r="C68" s="199">
        <f>IFERROR(__xludf.DUMMYFUNCTION("""COMPUTED_VALUE"""),2.323422825E10)</f>
        <v>23234228250</v>
      </c>
      <c r="D68" s="201">
        <f>IFERROR(__xludf.DUMMYFUNCTION("""COMPUTED_VALUE"""),45154.0)</f>
        <v>45154</v>
      </c>
      <c r="E68" s="202" t="str">
        <f>IFERROR(__xludf.DUMMYFUNCTION("""COMPUTED_VALUE"""),"Alert")</f>
        <v>Alert</v>
      </c>
      <c r="F68" s="202" t="str">
        <f>IFERROR(__xludf.DUMMYFUNCTION("""COMPUTED_VALUE"""),"Normal")</f>
        <v>Normal</v>
      </c>
      <c r="G68" s="203" t="str">
        <f>IFERROR(__xludf.DUMMYFUNCTION("""COMPUTED_VALUE"""),"Normal")</f>
        <v>Normal</v>
      </c>
      <c r="H68" s="203" t="str">
        <f>IFERROR(__xludf.DUMMYFUNCTION("""COMPUTED_VALUE"""),"Alert")</f>
        <v>Alert</v>
      </c>
      <c r="I68" s="199">
        <f>IFERROR(__xludf.DUMMYFUNCTION("""COMPUTED_VALUE"""),6352.0)</f>
        <v>6352</v>
      </c>
      <c r="J68" s="199">
        <f>IFERROR(__xludf.DUMMYFUNCTION("""COMPUTED_VALUE"""),1998.0)</f>
        <v>1998</v>
      </c>
      <c r="K68" s="199">
        <f>IFERROR(__xludf.DUMMYFUNCTION("""COMPUTED_VALUE"""),651.0)</f>
        <v>651</v>
      </c>
      <c r="L68" s="199">
        <f>IFERROR(__xludf.DUMMYFUNCTION("""COMPUTED_VALUE"""),8.0)</f>
        <v>8</v>
      </c>
      <c r="M68" s="199">
        <f>IFERROR(__xludf.DUMMYFUNCTION("""COMPUTED_VALUE"""),60.4)</f>
        <v>60.4</v>
      </c>
      <c r="N68" s="37"/>
      <c r="O68" s="37">
        <f>IFERROR(__xludf.DUMMYFUNCTION("""COMPUTED_VALUE"""),0.0)</f>
        <v>0</v>
      </c>
      <c r="P68" s="199"/>
      <c r="Q68" s="199">
        <f>IFERROR(__xludf.DUMMYFUNCTION("""COMPUTED_VALUE"""),0.0)</f>
        <v>0</v>
      </c>
      <c r="R68" s="199">
        <f>IFERROR(__xludf.DUMMYFUNCTION("""COMPUTED_VALUE"""),0.0)</f>
        <v>0</v>
      </c>
      <c r="S68" s="199">
        <f>IFERROR(__xludf.DUMMYFUNCTION("""COMPUTED_VALUE"""),0.0)</f>
        <v>0</v>
      </c>
      <c r="T68" s="199">
        <f>IFERROR(__xludf.DUMMYFUNCTION("""COMPUTED_VALUE"""),16.0)</f>
        <v>16</v>
      </c>
      <c r="U68" s="199">
        <f>IFERROR(__xludf.DUMMYFUNCTION("""COMPUTED_VALUE"""),1.0)</f>
        <v>1</v>
      </c>
      <c r="V68" s="199">
        <f>IFERROR(__xludf.DUMMYFUNCTION("""COMPUTED_VALUE"""),0.0)</f>
        <v>0</v>
      </c>
      <c r="W68" s="199">
        <f>IFERROR(__xludf.DUMMYFUNCTION("""COMPUTED_VALUE"""),0.0)</f>
        <v>0</v>
      </c>
      <c r="X68" s="199">
        <f>IFERROR(__xludf.DUMMYFUNCTION("""COMPUTED_VALUE"""),0.0)</f>
        <v>0</v>
      </c>
      <c r="Y68" s="199">
        <f>IFERROR(__xludf.DUMMYFUNCTION("""COMPUTED_VALUE"""),0.0)</f>
        <v>0</v>
      </c>
      <c r="Z68" s="199">
        <f>IFERROR(__xludf.DUMMYFUNCTION("""COMPUTED_VALUE"""),0.0)</f>
        <v>0</v>
      </c>
      <c r="AA68" s="199">
        <f>IFERROR(__xludf.DUMMYFUNCTION("""COMPUTED_VALUE"""),0.0)</f>
        <v>0</v>
      </c>
      <c r="AB68" s="199">
        <f>IFERROR(__xludf.DUMMYFUNCTION("""COMPUTED_VALUE"""),12.0)</f>
        <v>12</v>
      </c>
      <c r="AC68" s="199">
        <f>IFERROR(__xludf.DUMMYFUNCTION("""COMPUTED_VALUE"""),3.0)</f>
        <v>3</v>
      </c>
      <c r="AD68" s="199">
        <f>IFERROR(__xludf.DUMMYFUNCTION("""COMPUTED_VALUE"""),0.0)</f>
        <v>0</v>
      </c>
      <c r="AE68" s="199">
        <f>IFERROR(__xludf.DUMMYFUNCTION("""COMPUTED_VALUE"""),0.0)</f>
        <v>0</v>
      </c>
      <c r="AF68" s="199">
        <f>IFERROR(__xludf.DUMMYFUNCTION("""COMPUTED_VALUE"""),0.0)</f>
        <v>0</v>
      </c>
      <c r="AG68" s="199">
        <f>IFERROR(__xludf.DUMMYFUNCTION("""COMPUTED_VALUE"""),207.0)</f>
        <v>207</v>
      </c>
      <c r="AH68" s="199">
        <f>IFERROR(__xludf.DUMMYFUNCTION("""COMPUTED_VALUE"""),0.0)</f>
        <v>0</v>
      </c>
      <c r="AI68" s="200" t="str">
        <f>IFERROR(__xludf.DUMMYFUNCTION("""COMPUTED_VALUE"""),"General Alert")</f>
        <v>General Alert</v>
      </c>
      <c r="AJ68" s="200" t="str">
        <f>IFERROR(__xludf.DUMMYFUNCTION("""COMPUTED_VALUE"""),"Investigate root cause; increase sampling frequency to monthly")</f>
        <v>Investigate root cause; increase sampling frequency to monthly</v>
      </c>
      <c r="AK68" s="204"/>
      <c r="AL68" s="204"/>
      <c r="AM68" s="204"/>
    </row>
    <row r="69" hidden="1">
      <c r="A69" s="199" t="str">
        <f>IFERROR(__xludf.DUMMYFUNCTION("""COMPUTED_VALUE"""),"431.KB103(1)")</f>
        <v>431.KB103(1)</v>
      </c>
      <c r="B69" s="200" t="str">
        <f>IFERROR(__xludf.DUMMYFUNCTION("""COMPUTED_VALUE"""),"Kiln Bearing")</f>
        <v>Kiln Bearing</v>
      </c>
      <c r="C69" s="199">
        <f>IFERROR(__xludf.DUMMYFUNCTION("""COMPUTED_VALUE"""),2.3235238202E10)</f>
        <v>23235238202</v>
      </c>
      <c r="D69" s="201">
        <f>IFERROR(__xludf.DUMMYFUNCTION("""COMPUTED_VALUE"""),45154.0)</f>
        <v>45154</v>
      </c>
      <c r="E69" s="202" t="str">
        <f>IFERROR(__xludf.DUMMYFUNCTION("""COMPUTED_VALUE"""),"Alert")</f>
        <v>Alert</v>
      </c>
      <c r="F69" s="202" t="str">
        <f>IFERROR(__xludf.DUMMYFUNCTION("""COMPUTED_VALUE"""),"Alert")</f>
        <v>Alert</v>
      </c>
      <c r="G69" s="203" t="str">
        <f>IFERROR(__xludf.DUMMYFUNCTION("""COMPUTED_VALUE"""),"Normal")</f>
        <v>Normal</v>
      </c>
      <c r="H69" s="203" t="str">
        <f>IFERROR(__xludf.DUMMYFUNCTION("""COMPUTED_VALUE"""),"Alert")</f>
        <v>Alert</v>
      </c>
      <c r="I69" s="199">
        <f>IFERROR(__xludf.DUMMYFUNCTION("""COMPUTED_VALUE"""),5143.0)</f>
        <v>5143</v>
      </c>
      <c r="J69" s="199">
        <f>IFERROR(__xludf.DUMMYFUNCTION("""COMPUTED_VALUE"""),1691.0)</f>
        <v>1691</v>
      </c>
      <c r="K69" s="199">
        <f>IFERROR(__xludf.DUMMYFUNCTION("""COMPUTED_VALUE"""),105.0)</f>
        <v>105</v>
      </c>
      <c r="L69" s="199">
        <f>IFERROR(__xludf.DUMMYFUNCTION("""COMPUTED_VALUE"""),19.0)</f>
        <v>19</v>
      </c>
      <c r="M69" s="199">
        <f>IFERROR(__xludf.DUMMYFUNCTION("""COMPUTED_VALUE"""),58.2)</f>
        <v>58.2</v>
      </c>
      <c r="N69" s="37"/>
      <c r="O69" s="37">
        <f>IFERROR(__xludf.DUMMYFUNCTION("""COMPUTED_VALUE"""),3.0)</f>
        <v>3</v>
      </c>
      <c r="P69" s="199"/>
      <c r="Q69" s="199">
        <f>IFERROR(__xludf.DUMMYFUNCTION("""COMPUTED_VALUE"""),0.0)</f>
        <v>0</v>
      </c>
      <c r="R69" s="199">
        <f>IFERROR(__xludf.DUMMYFUNCTION("""COMPUTED_VALUE"""),3.0)</f>
        <v>3</v>
      </c>
      <c r="S69" s="199">
        <f>IFERROR(__xludf.DUMMYFUNCTION("""COMPUTED_VALUE"""),0.0)</f>
        <v>0</v>
      </c>
      <c r="T69" s="199">
        <f>IFERROR(__xludf.DUMMYFUNCTION("""COMPUTED_VALUE"""),10.0)</f>
        <v>10</v>
      </c>
      <c r="U69" s="199">
        <f>IFERROR(__xludf.DUMMYFUNCTION("""COMPUTED_VALUE"""),16.0)</f>
        <v>16</v>
      </c>
      <c r="V69" s="199">
        <f>IFERROR(__xludf.DUMMYFUNCTION("""COMPUTED_VALUE"""),2.0)</f>
        <v>2</v>
      </c>
      <c r="W69" s="199">
        <f>IFERROR(__xludf.DUMMYFUNCTION("""COMPUTED_VALUE"""),0.0)</f>
        <v>0</v>
      </c>
      <c r="X69" s="199">
        <f>IFERROR(__xludf.DUMMYFUNCTION("""COMPUTED_VALUE"""),0.0)</f>
        <v>0</v>
      </c>
      <c r="Y69" s="199">
        <f>IFERROR(__xludf.DUMMYFUNCTION("""COMPUTED_VALUE"""),0.0)</f>
        <v>0</v>
      </c>
      <c r="Z69" s="199">
        <f>IFERROR(__xludf.DUMMYFUNCTION("""COMPUTED_VALUE"""),0.0)</f>
        <v>0</v>
      </c>
      <c r="AA69" s="199">
        <f>IFERROR(__xludf.DUMMYFUNCTION("""COMPUTED_VALUE"""),3.0)</f>
        <v>3</v>
      </c>
      <c r="AB69" s="199">
        <f>IFERROR(__xludf.DUMMYFUNCTION("""COMPUTED_VALUE"""),24.0)</f>
        <v>24</v>
      </c>
      <c r="AC69" s="199">
        <f>IFERROR(__xludf.DUMMYFUNCTION("""COMPUTED_VALUE"""),37.0)</f>
        <v>37</v>
      </c>
      <c r="AD69" s="199">
        <f>IFERROR(__xludf.DUMMYFUNCTION("""COMPUTED_VALUE"""),0.0)</f>
        <v>0</v>
      </c>
      <c r="AE69" s="199">
        <f>IFERROR(__xludf.DUMMYFUNCTION("""COMPUTED_VALUE"""),16.0)</f>
        <v>16</v>
      </c>
      <c r="AF69" s="199">
        <f>IFERROR(__xludf.DUMMYFUNCTION("""COMPUTED_VALUE"""),2.0)</f>
        <v>2</v>
      </c>
      <c r="AG69" s="199">
        <f>IFERROR(__xludf.DUMMYFUNCTION("""COMPUTED_VALUE"""),159.0)</f>
        <v>159</v>
      </c>
      <c r="AH69" s="199">
        <f>IFERROR(__xludf.DUMMYFUNCTION("""COMPUTED_VALUE"""),17.0)</f>
        <v>17</v>
      </c>
      <c r="AI69" s="200" t="str">
        <f>IFERROR(__xludf.DUMMYFUNCTION("""COMPUTED_VALUE"""),"General Alert")</f>
        <v>General Alert</v>
      </c>
      <c r="AJ69" s="200" t="str">
        <f>IFERROR(__xludf.DUMMYFUNCTION("""COMPUTED_VALUE"""),"Investigate root cause; increase sampling frequency to monthly")</f>
        <v>Investigate root cause; increase sampling frequency to monthly</v>
      </c>
      <c r="AK69" s="204"/>
      <c r="AL69" s="204"/>
      <c r="AM69" s="204"/>
    </row>
    <row r="70" hidden="1">
      <c r="A70" s="199" t="str">
        <f>IFERROR(__xludf.DUMMYFUNCTION("""COMPUTED_VALUE"""),"431.KB103(2)")</f>
        <v>431.KB103(2)</v>
      </c>
      <c r="B70" s="200" t="str">
        <f>IFERROR(__xludf.DUMMYFUNCTION("""COMPUTED_VALUE"""),"Kiln Bearing")</f>
        <v>Kiln Bearing</v>
      </c>
      <c r="C70" s="199">
        <f>IFERROR(__xludf.DUMMYFUNCTION("""COMPUTED_VALUE"""),2.3234228237E10)</f>
        <v>23234228237</v>
      </c>
      <c r="D70" s="201">
        <f>IFERROR(__xludf.DUMMYFUNCTION("""COMPUTED_VALUE"""),45154.0)</f>
        <v>45154</v>
      </c>
      <c r="E70" s="202" t="str">
        <f>IFERROR(__xludf.DUMMYFUNCTION("""COMPUTED_VALUE"""),"Alert")</f>
        <v>Alert</v>
      </c>
      <c r="F70" s="202" t="str">
        <f>IFERROR(__xludf.DUMMYFUNCTION("""COMPUTED_VALUE"""),"Caution")</f>
        <v>Caution</v>
      </c>
      <c r="G70" s="203" t="str">
        <f>IFERROR(__xludf.DUMMYFUNCTION("""COMPUTED_VALUE"""),"Alert")</f>
        <v>Alert</v>
      </c>
      <c r="H70" s="203" t="str">
        <f>IFERROR(__xludf.DUMMYFUNCTION("""COMPUTED_VALUE"""),"Alert")</f>
        <v>Alert</v>
      </c>
      <c r="I70" s="37"/>
      <c r="J70" s="37"/>
      <c r="K70" s="37"/>
      <c r="L70" s="199">
        <f>IFERROR(__xludf.DUMMYFUNCTION("""COMPUTED_VALUE"""),33.0)</f>
        <v>33</v>
      </c>
      <c r="M70" s="199">
        <f>IFERROR(__xludf.DUMMYFUNCTION("""COMPUTED_VALUE"""),56.4)</f>
        <v>56.4</v>
      </c>
      <c r="N70" s="37"/>
      <c r="O70" s="37">
        <f>IFERROR(__xludf.DUMMYFUNCTION("""COMPUTED_VALUE"""),0.0)</f>
        <v>0</v>
      </c>
      <c r="P70" s="199"/>
      <c r="Q70" s="199">
        <f>IFERROR(__xludf.DUMMYFUNCTION("""COMPUTED_VALUE"""),0.0)</f>
        <v>0</v>
      </c>
      <c r="R70" s="199">
        <f>IFERROR(__xludf.DUMMYFUNCTION("""COMPUTED_VALUE"""),0.0)</f>
        <v>0</v>
      </c>
      <c r="S70" s="199">
        <f>IFERROR(__xludf.DUMMYFUNCTION("""COMPUTED_VALUE"""),0.0)</f>
        <v>0</v>
      </c>
      <c r="T70" s="199">
        <f>IFERROR(__xludf.DUMMYFUNCTION("""COMPUTED_VALUE"""),0.0)</f>
        <v>0</v>
      </c>
      <c r="U70" s="199">
        <f>IFERROR(__xludf.DUMMYFUNCTION("""COMPUTED_VALUE"""),79.0)</f>
        <v>79</v>
      </c>
      <c r="V70" s="199">
        <f>IFERROR(__xludf.DUMMYFUNCTION("""COMPUTED_VALUE"""),0.0)</f>
        <v>0</v>
      </c>
      <c r="W70" s="199">
        <f>IFERROR(__xludf.DUMMYFUNCTION("""COMPUTED_VALUE"""),0.0)</f>
        <v>0</v>
      </c>
      <c r="X70" s="199">
        <f>IFERROR(__xludf.DUMMYFUNCTION("""COMPUTED_VALUE"""),0.0)</f>
        <v>0</v>
      </c>
      <c r="Y70" s="199">
        <f>IFERROR(__xludf.DUMMYFUNCTION("""COMPUTED_VALUE"""),0.0)</f>
        <v>0</v>
      </c>
      <c r="Z70" s="199">
        <f>IFERROR(__xludf.DUMMYFUNCTION("""COMPUTED_VALUE"""),1.0)</f>
        <v>1</v>
      </c>
      <c r="AA70" s="199">
        <f>IFERROR(__xludf.DUMMYFUNCTION("""COMPUTED_VALUE"""),0.0)</f>
        <v>0</v>
      </c>
      <c r="AB70" s="199">
        <f>IFERROR(__xludf.DUMMYFUNCTION("""COMPUTED_VALUE"""),13.0)</f>
        <v>13</v>
      </c>
      <c r="AC70" s="199">
        <f>IFERROR(__xludf.DUMMYFUNCTION("""COMPUTED_VALUE"""),32.0)</f>
        <v>32</v>
      </c>
      <c r="AD70" s="199">
        <f>IFERROR(__xludf.DUMMYFUNCTION("""COMPUTED_VALUE"""),0.0)</f>
        <v>0</v>
      </c>
      <c r="AE70" s="199">
        <f>IFERROR(__xludf.DUMMYFUNCTION("""COMPUTED_VALUE"""),10.0)</f>
        <v>10</v>
      </c>
      <c r="AF70" s="199">
        <f>IFERROR(__xludf.DUMMYFUNCTION("""COMPUTED_VALUE"""),2.0)</f>
        <v>2</v>
      </c>
      <c r="AG70" s="199">
        <f>IFERROR(__xludf.DUMMYFUNCTION("""COMPUTED_VALUE"""),225.0)</f>
        <v>225</v>
      </c>
      <c r="AH70" s="199">
        <f>IFERROR(__xludf.DUMMYFUNCTION("""COMPUTED_VALUE"""),0.0)</f>
        <v>0</v>
      </c>
      <c r="AI70" s="200" t="str">
        <f>IFERROR(__xludf.DUMMYFUNCTION("""COMPUTED_VALUE"""),"Wear Metal Alert")</f>
        <v>Wear Metal Alert</v>
      </c>
      <c r="AJ70" s="200" t="str">
        <f>IFERROR(__xludf.DUMMYFUNCTION("""COMPUTED_VALUE"""),"URGENT: Inspect equipment immediately for wear/damage")</f>
        <v>URGENT: Inspect equipment immediately for wear/damage</v>
      </c>
      <c r="AK70" s="204"/>
      <c r="AL70" s="204"/>
      <c r="AM70" s="204"/>
    </row>
    <row r="71" hidden="1">
      <c r="A71" s="199" t="str">
        <f>IFERROR(__xludf.DUMMYFUNCTION("""COMPUTED_VALUE"""),"431.KB103(3)")</f>
        <v>431.KB103(3)</v>
      </c>
      <c r="B71" s="200" t="str">
        <f>IFERROR(__xludf.DUMMYFUNCTION("""COMPUTED_VALUE"""),"Kiln Bearing")</f>
        <v>Kiln Bearing</v>
      </c>
      <c r="C71" s="199">
        <f>IFERROR(__xludf.DUMMYFUNCTION("""COMPUTED_VALUE"""),2.323422828E10)</f>
        <v>23234228280</v>
      </c>
      <c r="D71" s="201">
        <f>IFERROR(__xludf.DUMMYFUNCTION("""COMPUTED_VALUE"""),45154.0)</f>
        <v>45154</v>
      </c>
      <c r="E71" s="202" t="str">
        <f>IFERROR(__xludf.DUMMYFUNCTION("""COMPUTED_VALUE"""),"Alert")</f>
        <v>Alert</v>
      </c>
      <c r="F71" s="202" t="str">
        <f>IFERROR(__xludf.DUMMYFUNCTION("""COMPUTED_VALUE"""),"Normal")</f>
        <v>Normal</v>
      </c>
      <c r="G71" s="203" t="str">
        <f>IFERROR(__xludf.DUMMYFUNCTION("""COMPUTED_VALUE"""),"Normal")</f>
        <v>Normal</v>
      </c>
      <c r="H71" s="203" t="str">
        <f>IFERROR(__xludf.DUMMYFUNCTION("""COMPUTED_VALUE"""),"Alert")</f>
        <v>Alert</v>
      </c>
      <c r="I71" s="37">
        <f>IFERROR(__xludf.DUMMYFUNCTION("""COMPUTED_VALUE"""),17996.0)</f>
        <v>17996</v>
      </c>
      <c r="J71" s="37">
        <f>IFERROR(__xludf.DUMMYFUNCTION("""COMPUTED_VALUE"""),2665.0)</f>
        <v>2665</v>
      </c>
      <c r="K71" s="37">
        <f>IFERROR(__xludf.DUMMYFUNCTION("""COMPUTED_VALUE"""),866.0)</f>
        <v>866</v>
      </c>
      <c r="L71" s="199">
        <f>IFERROR(__xludf.DUMMYFUNCTION("""COMPUTED_VALUE"""),5.0)</f>
        <v>5</v>
      </c>
      <c r="M71" s="199">
        <f>IFERROR(__xludf.DUMMYFUNCTION("""COMPUTED_VALUE"""),58.8)</f>
        <v>58.8</v>
      </c>
      <c r="N71" s="37"/>
      <c r="O71" s="37">
        <f>IFERROR(__xludf.DUMMYFUNCTION("""COMPUTED_VALUE"""),0.0)</f>
        <v>0</v>
      </c>
      <c r="P71" s="199"/>
      <c r="Q71" s="199">
        <f>IFERROR(__xludf.DUMMYFUNCTION("""COMPUTED_VALUE"""),0.0)</f>
        <v>0</v>
      </c>
      <c r="R71" s="199">
        <f>IFERROR(__xludf.DUMMYFUNCTION("""COMPUTED_VALUE"""),3.0)</f>
        <v>3</v>
      </c>
      <c r="S71" s="199">
        <f>IFERROR(__xludf.DUMMYFUNCTION("""COMPUTED_VALUE"""),0.0)</f>
        <v>0</v>
      </c>
      <c r="T71" s="199">
        <f>IFERROR(__xludf.DUMMYFUNCTION("""COMPUTED_VALUE"""),13.0)</f>
        <v>13</v>
      </c>
      <c r="U71" s="199">
        <f>IFERROR(__xludf.DUMMYFUNCTION("""COMPUTED_VALUE"""),16.0)</f>
        <v>16</v>
      </c>
      <c r="V71" s="199">
        <f>IFERROR(__xludf.DUMMYFUNCTION("""COMPUTED_VALUE"""),0.0)</f>
        <v>0</v>
      </c>
      <c r="W71" s="199">
        <f>IFERROR(__xludf.DUMMYFUNCTION("""COMPUTED_VALUE"""),0.0)</f>
        <v>0</v>
      </c>
      <c r="X71" s="199">
        <f>IFERROR(__xludf.DUMMYFUNCTION("""COMPUTED_VALUE"""),0.0)</f>
        <v>0</v>
      </c>
      <c r="Y71" s="199">
        <f>IFERROR(__xludf.DUMMYFUNCTION("""COMPUTED_VALUE"""),0.0)</f>
        <v>0</v>
      </c>
      <c r="Z71" s="199">
        <f>IFERROR(__xludf.DUMMYFUNCTION("""COMPUTED_VALUE"""),0.0)</f>
        <v>0</v>
      </c>
      <c r="AA71" s="199">
        <f>IFERROR(__xludf.DUMMYFUNCTION("""COMPUTED_VALUE"""),0.0)</f>
        <v>0</v>
      </c>
      <c r="AB71" s="199">
        <f>IFERROR(__xludf.DUMMYFUNCTION("""COMPUTED_VALUE"""),14.0)</f>
        <v>14</v>
      </c>
      <c r="AC71" s="199">
        <f>IFERROR(__xludf.DUMMYFUNCTION("""COMPUTED_VALUE"""),33.0)</f>
        <v>33</v>
      </c>
      <c r="AD71" s="199">
        <f>IFERROR(__xludf.DUMMYFUNCTION("""COMPUTED_VALUE"""),0.0)</f>
        <v>0</v>
      </c>
      <c r="AE71" s="199">
        <f>IFERROR(__xludf.DUMMYFUNCTION("""COMPUTED_VALUE"""),12.0)</f>
        <v>12</v>
      </c>
      <c r="AF71" s="199">
        <f>IFERROR(__xludf.DUMMYFUNCTION("""COMPUTED_VALUE"""),2.0)</f>
        <v>2</v>
      </c>
      <c r="AG71" s="199">
        <f>IFERROR(__xludf.DUMMYFUNCTION("""COMPUTED_VALUE"""),235.0)</f>
        <v>235</v>
      </c>
      <c r="AH71" s="199">
        <f>IFERROR(__xludf.DUMMYFUNCTION("""COMPUTED_VALUE"""),4.0)</f>
        <v>4</v>
      </c>
      <c r="AI71" s="200" t="str">
        <f>IFERROR(__xludf.DUMMYFUNCTION("""COMPUTED_VALUE"""),"General Alert")</f>
        <v>General Alert</v>
      </c>
      <c r="AJ71" s="200" t="str">
        <f>IFERROR(__xludf.DUMMYFUNCTION("""COMPUTED_VALUE"""),"Investigate root cause; increase sampling frequency to monthly")</f>
        <v>Investigate root cause; increase sampling frequency to monthly</v>
      </c>
      <c r="AK71" s="204"/>
      <c r="AL71" s="204"/>
      <c r="AM71" s="204"/>
    </row>
    <row r="72" hidden="1">
      <c r="A72" s="199" t="str">
        <f>IFERROR(__xludf.DUMMYFUNCTION("""COMPUTED_VALUE"""),"431.KB103(4)")</f>
        <v>431.KB103(4)</v>
      </c>
      <c r="B72" s="200" t="str">
        <f>IFERROR(__xludf.DUMMYFUNCTION("""COMPUTED_VALUE"""),"Kiln Bearing")</f>
        <v>Kiln Bearing</v>
      </c>
      <c r="C72" s="199">
        <f>IFERROR(__xludf.DUMMYFUNCTION("""COMPUTED_VALUE"""),2.3234228282E10)</f>
        <v>23234228282</v>
      </c>
      <c r="D72" s="201">
        <f>IFERROR(__xludf.DUMMYFUNCTION("""COMPUTED_VALUE"""),45154.0)</f>
        <v>45154</v>
      </c>
      <c r="E72" s="202" t="str">
        <f>IFERROR(__xludf.DUMMYFUNCTION("""COMPUTED_VALUE"""),"Alert")</f>
        <v>Alert</v>
      </c>
      <c r="F72" s="202" t="str">
        <f>IFERROR(__xludf.DUMMYFUNCTION("""COMPUTED_VALUE"""),"Alert")</f>
        <v>Alert</v>
      </c>
      <c r="G72" s="203" t="str">
        <f>IFERROR(__xludf.DUMMYFUNCTION("""COMPUTED_VALUE"""),"Alert")</f>
        <v>Alert</v>
      </c>
      <c r="H72" s="203" t="str">
        <f>IFERROR(__xludf.DUMMYFUNCTION("""COMPUTED_VALUE"""),"Alert")</f>
        <v>Alert</v>
      </c>
      <c r="I72" s="37"/>
      <c r="J72" s="37"/>
      <c r="K72" s="37"/>
      <c r="L72" s="199">
        <f>IFERROR(__xludf.DUMMYFUNCTION("""COMPUTED_VALUE"""),107.0)</f>
        <v>107</v>
      </c>
      <c r="M72" s="199">
        <f>IFERROR(__xludf.DUMMYFUNCTION("""COMPUTED_VALUE"""),59.7)</f>
        <v>59.7</v>
      </c>
      <c r="N72" s="37"/>
      <c r="O72" s="37">
        <f>IFERROR(__xludf.DUMMYFUNCTION("""COMPUTED_VALUE"""),2.0)</f>
        <v>2</v>
      </c>
      <c r="P72" s="199"/>
      <c r="Q72" s="199">
        <f>IFERROR(__xludf.DUMMYFUNCTION("""COMPUTED_VALUE"""),0.0)</f>
        <v>0</v>
      </c>
      <c r="R72" s="199">
        <f>IFERROR(__xludf.DUMMYFUNCTION("""COMPUTED_VALUE"""),0.0)</f>
        <v>0</v>
      </c>
      <c r="S72" s="199">
        <f>IFERROR(__xludf.DUMMYFUNCTION("""COMPUTED_VALUE"""),0.0)</f>
        <v>0</v>
      </c>
      <c r="T72" s="199">
        <f>IFERROR(__xludf.DUMMYFUNCTION("""COMPUTED_VALUE"""),191.0)</f>
        <v>191</v>
      </c>
      <c r="U72" s="199">
        <f>IFERROR(__xludf.DUMMYFUNCTION("""COMPUTED_VALUE"""),114.0)</f>
        <v>114</v>
      </c>
      <c r="V72" s="199">
        <f>IFERROR(__xludf.DUMMYFUNCTION("""COMPUTED_VALUE"""),2.0)</f>
        <v>2</v>
      </c>
      <c r="W72" s="199">
        <f>IFERROR(__xludf.DUMMYFUNCTION("""COMPUTED_VALUE"""),0.0)</f>
        <v>0</v>
      </c>
      <c r="X72" s="199">
        <f>IFERROR(__xludf.DUMMYFUNCTION("""COMPUTED_VALUE"""),0.0)</f>
        <v>0</v>
      </c>
      <c r="Y72" s="199">
        <f>IFERROR(__xludf.DUMMYFUNCTION("""COMPUTED_VALUE"""),0.0)</f>
        <v>0</v>
      </c>
      <c r="Z72" s="199">
        <f>IFERROR(__xludf.DUMMYFUNCTION("""COMPUTED_VALUE"""),0.0)</f>
        <v>0</v>
      </c>
      <c r="AA72" s="199">
        <f>IFERROR(__xludf.DUMMYFUNCTION("""COMPUTED_VALUE"""),0.0)</f>
        <v>0</v>
      </c>
      <c r="AB72" s="199">
        <f>IFERROR(__xludf.DUMMYFUNCTION("""COMPUTED_VALUE"""),22.0)</f>
        <v>22</v>
      </c>
      <c r="AC72" s="199">
        <f>IFERROR(__xludf.DUMMYFUNCTION("""COMPUTED_VALUE"""),25.0)</f>
        <v>25</v>
      </c>
      <c r="AD72" s="199">
        <f>IFERROR(__xludf.DUMMYFUNCTION("""COMPUTED_VALUE"""),0.0)</f>
        <v>0</v>
      </c>
      <c r="AE72" s="199">
        <f>IFERROR(__xludf.DUMMYFUNCTION("""COMPUTED_VALUE"""),38.0)</f>
        <v>38</v>
      </c>
      <c r="AF72" s="199">
        <f>IFERROR(__xludf.DUMMYFUNCTION("""COMPUTED_VALUE"""),9.0)</f>
        <v>9</v>
      </c>
      <c r="AG72" s="199">
        <f>IFERROR(__xludf.DUMMYFUNCTION("""COMPUTED_VALUE"""),213.0)</f>
        <v>213</v>
      </c>
      <c r="AH72" s="199">
        <f>IFERROR(__xludf.DUMMYFUNCTION("""COMPUTED_VALUE"""),2.0)</f>
        <v>2</v>
      </c>
      <c r="AI72" s="200" t="str">
        <f>IFERROR(__xludf.DUMMYFUNCTION("""COMPUTED_VALUE"""),"Wear Metal Alert | High Particle Count")</f>
        <v>Wear Metal Alert | High Particle Count</v>
      </c>
      <c r="AJ72" s="200" t="str">
        <f>IFERROR(__xludf.DUMMYFUNCTION("""COMPUTED_VALUE"""),"URGENT: Inspect equipment immediately for wear/damage; High wear metals - inspect bearing/gear surfaces; High particle count - replace filters and resample")</f>
        <v>URGENT: Inspect equipment immediately for wear/damage; High wear metals - inspect bearing/gear surfaces; High particle count - replace filters and resample</v>
      </c>
      <c r="AK72" s="204"/>
      <c r="AL72" s="204"/>
      <c r="AM72" s="204"/>
    </row>
    <row r="73" hidden="1">
      <c r="A73" s="199" t="str">
        <f>IFERROR(__xludf.DUMMYFUNCTION("""COMPUTED_VALUE"""),"R2.432.KB101(1)")</f>
        <v>R2.432.KB101(1)</v>
      </c>
      <c r="B73" s="200" t="str">
        <f>IFERROR(__xludf.DUMMYFUNCTION("""COMPUTED_VALUE"""),"Kiln Bearing")</f>
        <v>Kiln Bearing</v>
      </c>
      <c r="C73" s="199">
        <f>IFERROR(__xludf.DUMMYFUNCTION("""COMPUTED_VALUE"""),2.3275210251E10)</f>
        <v>23275210251</v>
      </c>
      <c r="D73" s="201">
        <f>IFERROR(__xludf.DUMMYFUNCTION("""COMPUTED_VALUE"""),45194.0)</f>
        <v>45194</v>
      </c>
      <c r="E73" s="202" t="str">
        <f>IFERROR(__xludf.DUMMYFUNCTION("""COMPUTED_VALUE"""),"Alert")</f>
        <v>Alert</v>
      </c>
      <c r="F73" s="202" t="str">
        <f>IFERROR(__xludf.DUMMYFUNCTION("""COMPUTED_VALUE"""),"Alert")</f>
        <v>Alert</v>
      </c>
      <c r="G73" s="203" t="str">
        <f>IFERROR(__xludf.DUMMYFUNCTION("""COMPUTED_VALUE"""),"Alert")</f>
        <v>Alert</v>
      </c>
      <c r="H73" s="203" t="str">
        <f>IFERROR(__xludf.DUMMYFUNCTION("""COMPUTED_VALUE"""),"Alert")</f>
        <v>Alert</v>
      </c>
      <c r="I73" s="199"/>
      <c r="J73" s="199"/>
      <c r="K73" s="199"/>
      <c r="L73" s="199">
        <f>IFERROR(__xludf.DUMMYFUNCTION("""COMPUTED_VALUE"""),92.0)</f>
        <v>92</v>
      </c>
      <c r="M73" s="199">
        <f>IFERROR(__xludf.DUMMYFUNCTION("""COMPUTED_VALUE"""),58.3)</f>
        <v>58.3</v>
      </c>
      <c r="N73" s="199"/>
      <c r="O73" s="199">
        <f>IFERROR(__xludf.DUMMYFUNCTION("""COMPUTED_VALUE"""),3.0)</f>
        <v>3</v>
      </c>
      <c r="P73" s="199"/>
      <c r="Q73" s="199">
        <f>IFERROR(__xludf.DUMMYFUNCTION("""COMPUTED_VALUE"""),0.0)</f>
        <v>0</v>
      </c>
      <c r="R73" s="199">
        <f>IFERROR(__xludf.DUMMYFUNCTION("""COMPUTED_VALUE"""),7.0)</f>
        <v>7</v>
      </c>
      <c r="S73" s="199">
        <f>IFERROR(__xludf.DUMMYFUNCTION("""COMPUTED_VALUE"""),0.0)</f>
        <v>0</v>
      </c>
      <c r="T73" s="199">
        <f>IFERROR(__xludf.DUMMYFUNCTION("""COMPUTED_VALUE"""),423.0)</f>
        <v>423</v>
      </c>
      <c r="U73" s="199">
        <f>IFERROR(__xludf.DUMMYFUNCTION("""COMPUTED_VALUE"""),139.0)</f>
        <v>139</v>
      </c>
      <c r="V73" s="199">
        <f>IFERROR(__xludf.DUMMYFUNCTION("""COMPUTED_VALUE"""),0.0)</f>
        <v>0</v>
      </c>
      <c r="W73" s="199">
        <f>IFERROR(__xludf.DUMMYFUNCTION("""COMPUTED_VALUE"""),0.0)</f>
        <v>0</v>
      </c>
      <c r="X73" s="199">
        <f>IFERROR(__xludf.DUMMYFUNCTION("""COMPUTED_VALUE"""),12.0)</f>
        <v>12</v>
      </c>
      <c r="Y73" s="199">
        <f>IFERROR(__xludf.DUMMYFUNCTION("""COMPUTED_VALUE"""),53.0)</f>
        <v>53</v>
      </c>
      <c r="Z73" s="199">
        <f>IFERROR(__xludf.DUMMYFUNCTION("""COMPUTED_VALUE"""),11.0)</f>
        <v>11</v>
      </c>
      <c r="AA73" s="199">
        <f>IFERROR(__xludf.DUMMYFUNCTION("""COMPUTED_VALUE"""),4.0)</f>
        <v>4</v>
      </c>
      <c r="AB73" s="199">
        <f>IFERROR(__xludf.DUMMYFUNCTION("""COMPUTED_VALUE"""),26.0)</f>
        <v>26</v>
      </c>
      <c r="AC73" s="199">
        <f>IFERROR(__xludf.DUMMYFUNCTION("""COMPUTED_VALUE"""),24.0)</f>
        <v>24</v>
      </c>
      <c r="AD73" s="199">
        <f>IFERROR(__xludf.DUMMYFUNCTION("""COMPUTED_VALUE"""),0.0)</f>
        <v>0</v>
      </c>
      <c r="AE73" s="199">
        <f>IFERROR(__xludf.DUMMYFUNCTION("""COMPUTED_VALUE"""),104.0)</f>
        <v>104</v>
      </c>
      <c r="AF73" s="199">
        <f>IFERROR(__xludf.DUMMYFUNCTION("""COMPUTED_VALUE"""),4.0)</f>
        <v>4</v>
      </c>
      <c r="AG73" s="199">
        <f>IFERROR(__xludf.DUMMYFUNCTION("""COMPUTED_VALUE"""),204.0)</f>
        <v>204</v>
      </c>
      <c r="AH73" s="199">
        <f>IFERROR(__xludf.DUMMYFUNCTION("""COMPUTED_VALUE"""),11.0)</f>
        <v>11</v>
      </c>
      <c r="AI73" s="200" t="str">
        <f>IFERROR(__xludf.DUMMYFUNCTION("""COMPUTED_VALUE"""),"Wear Metal Alert | Lubricant Degradation")</f>
        <v>Wear Metal Alert | Lubricant Degradation</v>
      </c>
      <c r="AJ73" s="200" t="str">
        <f>IFERROR(__xludf.DUMMYFUNCTION("""COMPUTED_VALUE"""),"URGENT: Inspect equipment immediately for wear/damage; Critical wear metals detected - schedule immediate inspection; High wear metals - inspect bearing/gear surfaces; Viscosity critically low - change lubricant immediately; High particle count - replace "&amp;"filters and resample")</f>
        <v>URGENT: Inspect equipment immediately for wear/damage; Critical wear metals detected - schedule immediate inspection; High wear metals - inspect bearing/gear surfaces; Viscosity critically low - change lubricant immediately; High particle count - replace filters and resample</v>
      </c>
      <c r="AK73" s="204"/>
      <c r="AL73" s="204"/>
      <c r="AM73" s="204"/>
    </row>
    <row r="74" hidden="1">
      <c r="A74" s="199" t="str">
        <f>IFERROR(__xludf.DUMMYFUNCTION("""COMPUTED_VALUE"""),"R2.432.KB101(2)")</f>
        <v>R2.432.KB101(2)</v>
      </c>
      <c r="B74" s="200" t="str">
        <f>IFERROR(__xludf.DUMMYFUNCTION("""COMPUTED_VALUE"""),"Kiln Bearing")</f>
        <v>Kiln Bearing</v>
      </c>
      <c r="C74" s="199">
        <f>IFERROR(__xludf.DUMMYFUNCTION("""COMPUTED_VALUE"""),2.3276310227E10)</f>
        <v>23276310227</v>
      </c>
      <c r="D74" s="201">
        <f>IFERROR(__xludf.DUMMYFUNCTION("""COMPUTED_VALUE"""),45194.0)</f>
        <v>45194</v>
      </c>
      <c r="E74" s="202" t="str">
        <f>IFERROR(__xludf.DUMMYFUNCTION("""COMPUTED_VALUE"""),"Alert")</f>
        <v>Alert</v>
      </c>
      <c r="F74" s="202" t="str">
        <f>IFERROR(__xludf.DUMMYFUNCTION("""COMPUTED_VALUE"""),"Caution")</f>
        <v>Caution</v>
      </c>
      <c r="G74" s="203" t="str">
        <f>IFERROR(__xludf.DUMMYFUNCTION("""COMPUTED_VALUE"""),"Caution")</f>
        <v>Caution</v>
      </c>
      <c r="H74" s="203" t="str">
        <f>IFERROR(__xludf.DUMMYFUNCTION("""COMPUTED_VALUE"""),"Alert")</f>
        <v>Alert</v>
      </c>
      <c r="I74" s="37"/>
      <c r="J74" s="37"/>
      <c r="K74" s="37"/>
      <c r="L74" s="199">
        <f>IFERROR(__xludf.DUMMYFUNCTION("""COMPUTED_VALUE"""),32.0)</f>
        <v>32</v>
      </c>
      <c r="M74" s="199">
        <f>IFERROR(__xludf.DUMMYFUNCTION("""COMPUTED_VALUE"""),52.5)</f>
        <v>52.5</v>
      </c>
      <c r="N74" s="199"/>
      <c r="O74" s="199">
        <f>IFERROR(__xludf.DUMMYFUNCTION("""COMPUTED_VALUE"""),0.0)</f>
        <v>0</v>
      </c>
      <c r="P74" s="199"/>
      <c r="Q74" s="199">
        <f>IFERROR(__xludf.DUMMYFUNCTION("""COMPUTED_VALUE"""),0.0)</f>
        <v>0</v>
      </c>
      <c r="R74" s="199">
        <f>IFERROR(__xludf.DUMMYFUNCTION("""COMPUTED_VALUE"""),5.0)</f>
        <v>5</v>
      </c>
      <c r="S74" s="199">
        <f>IFERROR(__xludf.DUMMYFUNCTION("""COMPUTED_VALUE"""),0.0)</f>
        <v>0</v>
      </c>
      <c r="T74" s="199">
        <f>IFERROR(__xludf.DUMMYFUNCTION("""COMPUTED_VALUE"""),36.0)</f>
        <v>36</v>
      </c>
      <c r="U74" s="199">
        <f>IFERROR(__xludf.DUMMYFUNCTION("""COMPUTED_VALUE"""),49.0)</f>
        <v>49</v>
      </c>
      <c r="V74" s="199">
        <f>IFERROR(__xludf.DUMMYFUNCTION("""COMPUTED_VALUE"""),0.0)</f>
        <v>0</v>
      </c>
      <c r="W74" s="199">
        <f>IFERROR(__xludf.DUMMYFUNCTION("""COMPUTED_VALUE"""),0.0)</f>
        <v>0</v>
      </c>
      <c r="X74" s="199">
        <f>IFERROR(__xludf.DUMMYFUNCTION("""COMPUTED_VALUE"""),1.0)</f>
        <v>1</v>
      </c>
      <c r="Y74" s="199">
        <f>IFERROR(__xludf.DUMMYFUNCTION("""COMPUTED_VALUE"""),5.0)</f>
        <v>5</v>
      </c>
      <c r="Z74" s="199">
        <f>IFERROR(__xludf.DUMMYFUNCTION("""COMPUTED_VALUE"""),4.0)</f>
        <v>4</v>
      </c>
      <c r="AA74" s="199">
        <f>IFERROR(__xludf.DUMMYFUNCTION("""COMPUTED_VALUE"""),4.0)</f>
        <v>4</v>
      </c>
      <c r="AB74" s="199">
        <f>IFERROR(__xludf.DUMMYFUNCTION("""COMPUTED_VALUE"""),16.0)</f>
        <v>16</v>
      </c>
      <c r="AC74" s="199">
        <f>IFERROR(__xludf.DUMMYFUNCTION("""COMPUTED_VALUE"""),40.0)</f>
        <v>40</v>
      </c>
      <c r="AD74" s="199">
        <f>IFERROR(__xludf.DUMMYFUNCTION("""COMPUTED_VALUE"""),0.0)</f>
        <v>0</v>
      </c>
      <c r="AE74" s="199">
        <f>IFERROR(__xludf.DUMMYFUNCTION("""COMPUTED_VALUE"""),35.0)</f>
        <v>35</v>
      </c>
      <c r="AF74" s="199">
        <f>IFERROR(__xludf.DUMMYFUNCTION("""COMPUTED_VALUE"""),2.0)</f>
        <v>2</v>
      </c>
      <c r="AG74" s="199">
        <f>IFERROR(__xludf.DUMMYFUNCTION("""COMPUTED_VALUE"""),174.0)</f>
        <v>174</v>
      </c>
      <c r="AH74" s="199">
        <f>IFERROR(__xludf.DUMMYFUNCTION("""COMPUTED_VALUE"""),5.0)</f>
        <v>5</v>
      </c>
      <c r="AI74" s="200" t="str">
        <f>IFERROR(__xludf.DUMMYFUNCTION("""COMPUTED_VALUE"""),"Lubricant Degradation")</f>
        <v>Lubricant Degradation</v>
      </c>
      <c r="AJ74" s="200" t="str">
        <f>IFERROR(__xludf.DUMMYFUNCTION("""COMPUTED_VALUE"""),"Viscosity critically low - change lubricant immediately")</f>
        <v>Viscosity critically low - change lubricant immediately</v>
      </c>
      <c r="AK74" s="204"/>
      <c r="AL74" s="204"/>
      <c r="AM74" s="204"/>
    </row>
    <row r="75" hidden="1">
      <c r="A75" s="199" t="str">
        <f>IFERROR(__xludf.DUMMYFUNCTION("""COMPUTED_VALUE"""),"R2.432.KB101(3)")</f>
        <v>R2.432.KB101(3)</v>
      </c>
      <c r="B75" s="200" t="str">
        <f>IFERROR(__xludf.DUMMYFUNCTION("""COMPUTED_VALUE"""),"Kiln Bearing")</f>
        <v>Kiln Bearing</v>
      </c>
      <c r="C75" s="199">
        <f>IFERROR(__xludf.DUMMYFUNCTION("""COMPUTED_VALUE"""),2.3275210261E10)</f>
        <v>23275210261</v>
      </c>
      <c r="D75" s="201">
        <f>IFERROR(__xludf.DUMMYFUNCTION("""COMPUTED_VALUE"""),45194.0)</f>
        <v>45194</v>
      </c>
      <c r="E75" s="202" t="str">
        <f>IFERROR(__xludf.DUMMYFUNCTION("""COMPUTED_VALUE"""),"Alert")</f>
        <v>Alert</v>
      </c>
      <c r="F75" s="202" t="str">
        <f>IFERROR(__xludf.DUMMYFUNCTION("""COMPUTED_VALUE"""),"Alert")</f>
        <v>Alert</v>
      </c>
      <c r="G75" s="203" t="str">
        <f>IFERROR(__xludf.DUMMYFUNCTION("""COMPUTED_VALUE"""),"Alert")</f>
        <v>Alert</v>
      </c>
      <c r="H75" s="203" t="str">
        <f>IFERROR(__xludf.DUMMYFUNCTION("""COMPUTED_VALUE"""),"Alert")</f>
        <v>Alert</v>
      </c>
      <c r="I75" s="37"/>
      <c r="J75" s="37"/>
      <c r="K75" s="37"/>
      <c r="L75" s="199">
        <f>IFERROR(__xludf.DUMMYFUNCTION("""COMPUTED_VALUE"""),2438.0)</f>
        <v>2438</v>
      </c>
      <c r="M75" s="199">
        <f>IFERROR(__xludf.DUMMYFUNCTION("""COMPUTED_VALUE"""),55.3)</f>
        <v>55.3</v>
      </c>
      <c r="N75" s="199"/>
      <c r="O75" s="199">
        <f>IFERROR(__xludf.DUMMYFUNCTION("""COMPUTED_VALUE"""),0.0)</f>
        <v>0</v>
      </c>
      <c r="P75" s="199"/>
      <c r="Q75" s="199">
        <f>IFERROR(__xludf.DUMMYFUNCTION("""COMPUTED_VALUE"""),0.0)</f>
        <v>0</v>
      </c>
      <c r="R75" s="199">
        <f>IFERROR(__xludf.DUMMYFUNCTION("""COMPUTED_VALUE"""),44.0)</f>
        <v>44</v>
      </c>
      <c r="S75" s="199">
        <f>IFERROR(__xludf.DUMMYFUNCTION("""COMPUTED_VALUE"""),4.0)</f>
        <v>4</v>
      </c>
      <c r="T75" s="199">
        <f>IFERROR(__xludf.DUMMYFUNCTION("""COMPUTED_VALUE"""),153.0)</f>
        <v>153</v>
      </c>
      <c r="U75" s="199">
        <f>IFERROR(__xludf.DUMMYFUNCTION("""COMPUTED_VALUE"""),2372.0)</f>
        <v>2372</v>
      </c>
      <c r="V75" s="199">
        <f>IFERROR(__xludf.DUMMYFUNCTION("""COMPUTED_VALUE"""),0.0)</f>
        <v>0</v>
      </c>
      <c r="W75" s="199">
        <f>IFERROR(__xludf.DUMMYFUNCTION("""COMPUTED_VALUE"""),0.0)</f>
        <v>0</v>
      </c>
      <c r="X75" s="199">
        <f>IFERROR(__xludf.DUMMYFUNCTION("""COMPUTED_VALUE"""),4.0)</f>
        <v>4</v>
      </c>
      <c r="Y75" s="199">
        <f>IFERROR(__xludf.DUMMYFUNCTION("""COMPUTED_VALUE"""),22.0)</f>
        <v>22</v>
      </c>
      <c r="Z75" s="199">
        <f>IFERROR(__xludf.DUMMYFUNCTION("""COMPUTED_VALUE"""),3.0)</f>
        <v>3</v>
      </c>
      <c r="AA75" s="199">
        <f>IFERROR(__xludf.DUMMYFUNCTION("""COMPUTED_VALUE"""),5.0)</f>
        <v>5</v>
      </c>
      <c r="AB75" s="199">
        <f>IFERROR(__xludf.DUMMYFUNCTION("""COMPUTED_VALUE"""),161.0)</f>
        <v>161</v>
      </c>
      <c r="AC75" s="199">
        <f>IFERROR(__xludf.DUMMYFUNCTION("""COMPUTED_VALUE"""),25.0)</f>
        <v>25</v>
      </c>
      <c r="AD75" s="199">
        <f>IFERROR(__xludf.DUMMYFUNCTION("""COMPUTED_VALUE"""),0.0)</f>
        <v>0</v>
      </c>
      <c r="AE75" s="199">
        <f>IFERROR(__xludf.DUMMYFUNCTION("""COMPUTED_VALUE"""),11138.0)</f>
        <v>11138</v>
      </c>
      <c r="AF75" s="199">
        <f>IFERROR(__xludf.DUMMYFUNCTION("""COMPUTED_VALUE"""),33.0)</f>
        <v>33</v>
      </c>
      <c r="AG75" s="199">
        <f>IFERROR(__xludf.DUMMYFUNCTION("""COMPUTED_VALUE"""),267.0)</f>
        <v>267</v>
      </c>
      <c r="AH75" s="199">
        <f>IFERROR(__xludf.DUMMYFUNCTION("""COMPUTED_VALUE"""),34.0)</f>
        <v>34</v>
      </c>
      <c r="AI75" s="200" t="str">
        <f>IFERROR(__xludf.DUMMYFUNCTION("""COMPUTED_VALUE"""),"Wear Metal Alert | Lubricant Degradation | Contamination Alert | High Particle Count")</f>
        <v>Wear Metal Alert | Lubricant Degradation | Contamination Alert | High Particle Count</v>
      </c>
      <c r="AJ75" s="200" t="str">
        <f>IFERROR(__xludf.DUMMYFUNCTION("""COMPUTED_VALUE"""),"URGENT: Inspect equipment immediately for wear/damage; Critical wear metals detected - schedule immediate inspection; High wear metals - inspect bearing/gear surfaces; Viscosity critically low - change lubricant immediately; Very high silicon - check/repl"&amp;"ace air filters, inspect seals; Critical particle count - flush system and replace filters")</f>
        <v>URGENT: Inspect equipment immediately for wear/damage; Critical wear metals detected - schedule immediate inspection; High wear metals - inspect bearing/gear surfaces; Viscosity critically low - change lubricant immediately; Very high silicon - check/replace air filters, inspect seals; Critical particle count - flush system and replace filters</v>
      </c>
      <c r="AK75" s="204"/>
      <c r="AL75" s="204"/>
      <c r="AM75" s="204"/>
    </row>
    <row r="76" hidden="1">
      <c r="A76" s="199" t="str">
        <f>IFERROR(__xludf.DUMMYFUNCTION("""COMPUTED_VALUE"""),"R2.432.KB101(4)")</f>
        <v>R2.432.KB101(4)</v>
      </c>
      <c r="B76" s="200" t="str">
        <f>IFERROR(__xludf.DUMMYFUNCTION("""COMPUTED_VALUE"""),"Kiln Bearing")</f>
        <v>Kiln Bearing</v>
      </c>
      <c r="C76" s="199">
        <f>IFERROR(__xludf.DUMMYFUNCTION("""COMPUTED_VALUE"""),2.3275210249E10)</f>
        <v>23275210249</v>
      </c>
      <c r="D76" s="201">
        <f>IFERROR(__xludf.DUMMYFUNCTION("""COMPUTED_VALUE"""),45194.0)</f>
        <v>45194</v>
      </c>
      <c r="E76" s="202" t="str">
        <f>IFERROR(__xludf.DUMMYFUNCTION("""COMPUTED_VALUE"""),"Alert")</f>
        <v>Alert</v>
      </c>
      <c r="F76" s="202" t="str">
        <f>IFERROR(__xludf.DUMMYFUNCTION("""COMPUTED_VALUE"""),"Alert")</f>
        <v>Alert</v>
      </c>
      <c r="G76" s="203" t="str">
        <f>IFERROR(__xludf.DUMMYFUNCTION("""COMPUTED_VALUE"""),"Normal")</f>
        <v>Normal</v>
      </c>
      <c r="H76" s="203" t="str">
        <f>IFERROR(__xludf.DUMMYFUNCTION("""COMPUTED_VALUE"""),"Normal")</f>
        <v>Normal</v>
      </c>
      <c r="I76" s="199"/>
      <c r="J76" s="199"/>
      <c r="K76" s="199"/>
      <c r="L76" s="199">
        <f>IFERROR(__xludf.DUMMYFUNCTION("""COMPUTED_VALUE"""),19.0)</f>
        <v>19</v>
      </c>
      <c r="M76" s="199">
        <f>IFERROR(__xludf.DUMMYFUNCTION("""COMPUTED_VALUE"""),60.1)</f>
        <v>60.1</v>
      </c>
      <c r="N76" s="199"/>
      <c r="O76" s="199">
        <f>IFERROR(__xludf.DUMMYFUNCTION("""COMPUTED_VALUE"""),0.0)</f>
        <v>0</v>
      </c>
      <c r="P76" s="199"/>
      <c r="Q76" s="199">
        <f>IFERROR(__xludf.DUMMYFUNCTION("""COMPUTED_VALUE"""),0.0)</f>
        <v>0</v>
      </c>
      <c r="R76" s="199">
        <f>IFERROR(__xludf.DUMMYFUNCTION("""COMPUTED_VALUE"""),4.0)</f>
        <v>4</v>
      </c>
      <c r="S76" s="199">
        <f>IFERROR(__xludf.DUMMYFUNCTION("""COMPUTED_VALUE"""),0.0)</f>
        <v>0</v>
      </c>
      <c r="T76" s="199">
        <f>IFERROR(__xludf.DUMMYFUNCTION("""COMPUTED_VALUE"""),74.0)</f>
        <v>74</v>
      </c>
      <c r="U76" s="199">
        <f>IFERROR(__xludf.DUMMYFUNCTION("""COMPUTED_VALUE"""),42.0)</f>
        <v>42</v>
      </c>
      <c r="V76" s="199">
        <f>IFERROR(__xludf.DUMMYFUNCTION("""COMPUTED_VALUE"""),0.0)</f>
        <v>0</v>
      </c>
      <c r="W76" s="199">
        <f>IFERROR(__xludf.DUMMYFUNCTION("""COMPUTED_VALUE"""),0.0)</f>
        <v>0</v>
      </c>
      <c r="X76" s="199">
        <f>IFERROR(__xludf.DUMMYFUNCTION("""COMPUTED_VALUE"""),4.0)</f>
        <v>4</v>
      </c>
      <c r="Y76" s="199">
        <f>IFERROR(__xludf.DUMMYFUNCTION("""COMPUTED_VALUE"""),0.0)</f>
        <v>0</v>
      </c>
      <c r="Z76" s="199">
        <f>IFERROR(__xludf.DUMMYFUNCTION("""COMPUTED_VALUE"""),0.0)</f>
        <v>0</v>
      </c>
      <c r="AA76" s="199">
        <f>IFERROR(__xludf.DUMMYFUNCTION("""COMPUTED_VALUE"""),0.0)</f>
        <v>0</v>
      </c>
      <c r="AB76" s="199">
        <f>IFERROR(__xludf.DUMMYFUNCTION("""COMPUTED_VALUE"""),20.0)</f>
        <v>20</v>
      </c>
      <c r="AC76" s="199">
        <f>IFERROR(__xludf.DUMMYFUNCTION("""COMPUTED_VALUE"""),12.0)</f>
        <v>12</v>
      </c>
      <c r="AD76" s="199">
        <f>IFERROR(__xludf.DUMMYFUNCTION("""COMPUTED_VALUE"""),0.0)</f>
        <v>0</v>
      </c>
      <c r="AE76" s="199">
        <f>IFERROR(__xludf.DUMMYFUNCTION("""COMPUTED_VALUE"""),51.0)</f>
        <v>51</v>
      </c>
      <c r="AF76" s="199">
        <f>IFERROR(__xludf.DUMMYFUNCTION("""COMPUTED_VALUE"""),3.0)</f>
        <v>3</v>
      </c>
      <c r="AG76" s="199">
        <f>IFERROR(__xludf.DUMMYFUNCTION("""COMPUTED_VALUE"""),266.0)</f>
        <v>266</v>
      </c>
      <c r="AH76" s="199">
        <f>IFERROR(__xludf.DUMMYFUNCTION("""COMPUTED_VALUE"""),2.0)</f>
        <v>2</v>
      </c>
      <c r="AI76" s="200" t="str">
        <f>IFERROR(__xludf.DUMMYFUNCTION("""COMPUTED_VALUE"""),"General Alert")</f>
        <v>General Alert</v>
      </c>
      <c r="AJ76" s="200" t="str">
        <f>IFERROR(__xludf.DUMMYFUNCTION("""COMPUTED_VALUE"""),"Investigate root cause; increase sampling frequency to monthly")</f>
        <v>Investigate root cause; increase sampling frequency to monthly</v>
      </c>
      <c r="AK76" s="204"/>
      <c r="AL76" s="204"/>
      <c r="AM76" s="204"/>
    </row>
    <row r="77" hidden="1">
      <c r="A77" s="199" t="str">
        <f>IFERROR(__xludf.DUMMYFUNCTION("""COMPUTED_VALUE"""),"R2.432.KB102(1)")</f>
        <v>R2.432.KB102(1)</v>
      </c>
      <c r="B77" s="200" t="str">
        <f>IFERROR(__xludf.DUMMYFUNCTION("""COMPUTED_VALUE"""),"Kiln Bearing")</f>
        <v>Kiln Bearing</v>
      </c>
      <c r="C77" s="199">
        <f>IFERROR(__xludf.DUMMYFUNCTION("""COMPUTED_VALUE"""),2.3275210252E10)</f>
        <v>23275210252</v>
      </c>
      <c r="D77" s="201">
        <f>IFERROR(__xludf.DUMMYFUNCTION("""COMPUTED_VALUE"""),45194.0)</f>
        <v>45194</v>
      </c>
      <c r="E77" s="202" t="str">
        <f>IFERROR(__xludf.DUMMYFUNCTION("""COMPUTED_VALUE"""),"Alert")</f>
        <v>Alert</v>
      </c>
      <c r="F77" s="202" t="str">
        <f>IFERROR(__xludf.DUMMYFUNCTION("""COMPUTED_VALUE"""),"Alert")</f>
        <v>Alert</v>
      </c>
      <c r="G77" s="203" t="str">
        <f>IFERROR(__xludf.DUMMYFUNCTION("""COMPUTED_VALUE"""),"Alert")</f>
        <v>Alert</v>
      </c>
      <c r="H77" s="203" t="str">
        <f>IFERROR(__xludf.DUMMYFUNCTION("""COMPUTED_VALUE"""),"Alert")</f>
        <v>Alert</v>
      </c>
      <c r="I77" s="199"/>
      <c r="J77" s="199"/>
      <c r="K77" s="199"/>
      <c r="L77" s="199">
        <f>IFERROR(__xludf.DUMMYFUNCTION("""COMPUTED_VALUE"""),172.0)</f>
        <v>172</v>
      </c>
      <c r="M77" s="199">
        <f>IFERROR(__xludf.DUMMYFUNCTION("""COMPUTED_VALUE"""),59.8)</f>
        <v>59.8</v>
      </c>
      <c r="N77" s="199"/>
      <c r="O77" s="199">
        <f>IFERROR(__xludf.DUMMYFUNCTION("""COMPUTED_VALUE"""),14.0)</f>
        <v>14</v>
      </c>
      <c r="P77" s="199">
        <f>IFERROR(__xludf.DUMMYFUNCTION("""COMPUTED_VALUE"""),0.12)</f>
        <v>0.12</v>
      </c>
      <c r="Q77" s="199">
        <f>IFERROR(__xludf.DUMMYFUNCTION("""COMPUTED_VALUE"""),0.0)</f>
        <v>0</v>
      </c>
      <c r="R77" s="199">
        <f>IFERROR(__xludf.DUMMYFUNCTION("""COMPUTED_VALUE"""),9.0)</f>
        <v>9</v>
      </c>
      <c r="S77" s="199">
        <f>IFERROR(__xludf.DUMMYFUNCTION("""COMPUTED_VALUE"""),0.0)</f>
        <v>0</v>
      </c>
      <c r="T77" s="199">
        <f>IFERROR(__xludf.DUMMYFUNCTION("""COMPUTED_VALUE"""),827.0)</f>
        <v>827</v>
      </c>
      <c r="U77" s="199">
        <f>IFERROR(__xludf.DUMMYFUNCTION("""COMPUTED_VALUE"""),344.0)</f>
        <v>344</v>
      </c>
      <c r="V77" s="199">
        <f>IFERROR(__xludf.DUMMYFUNCTION("""COMPUTED_VALUE"""),0.0)</f>
        <v>0</v>
      </c>
      <c r="W77" s="199">
        <f>IFERROR(__xludf.DUMMYFUNCTION("""COMPUTED_VALUE"""),1.0)</f>
        <v>1</v>
      </c>
      <c r="X77" s="199">
        <f>IFERROR(__xludf.DUMMYFUNCTION("""COMPUTED_VALUE"""),19.0)</f>
        <v>19</v>
      </c>
      <c r="Y77" s="199">
        <f>IFERROR(__xludf.DUMMYFUNCTION("""COMPUTED_VALUE"""),102.0)</f>
        <v>102</v>
      </c>
      <c r="Z77" s="199">
        <f>IFERROR(__xludf.DUMMYFUNCTION("""COMPUTED_VALUE"""),15.0)</f>
        <v>15</v>
      </c>
      <c r="AA77" s="199">
        <f>IFERROR(__xludf.DUMMYFUNCTION("""COMPUTED_VALUE"""),10.0)</f>
        <v>10</v>
      </c>
      <c r="AB77" s="199">
        <f>IFERROR(__xludf.DUMMYFUNCTION("""COMPUTED_VALUE"""),38.0)</f>
        <v>38</v>
      </c>
      <c r="AC77" s="199">
        <f>IFERROR(__xludf.DUMMYFUNCTION("""COMPUTED_VALUE"""),26.0)</f>
        <v>26</v>
      </c>
      <c r="AD77" s="199">
        <f>IFERROR(__xludf.DUMMYFUNCTION("""COMPUTED_VALUE"""),0.0)</f>
        <v>0</v>
      </c>
      <c r="AE77" s="199">
        <f>IFERROR(__xludf.DUMMYFUNCTION("""COMPUTED_VALUE"""),158.0)</f>
        <v>158</v>
      </c>
      <c r="AF77" s="199">
        <f>IFERROR(__xludf.DUMMYFUNCTION("""COMPUTED_VALUE"""),16.0)</f>
        <v>16</v>
      </c>
      <c r="AG77" s="199">
        <f>IFERROR(__xludf.DUMMYFUNCTION("""COMPUTED_VALUE"""),172.0)</f>
        <v>172</v>
      </c>
      <c r="AH77" s="199">
        <f>IFERROR(__xludf.DUMMYFUNCTION("""COMPUTED_VALUE"""),42.0)</f>
        <v>42</v>
      </c>
      <c r="AI77" s="200" t="str">
        <f>IFERROR(__xludf.DUMMYFUNCTION("""COMPUTED_VALUE"""),"Wear Metal Alert | Lubricant Degradation | Water Ingress | High Particle Count")</f>
        <v>Wear Metal Alert | Lubricant Degradation | Water Ingress | High Particle Count</v>
      </c>
      <c r="AJ77" s="200" t="str">
        <f>IFERROR(__xludf.DUMMYFUNCTION("""COMPUTED_VALUE"""),"URGENT: Inspect equipment immediately for wear/damage; Critical wear metals detected - schedule immediate inspection; High wear metals - inspect bearing/gear surfaces; Water detected - inspect seals and breathers; Viscosity critically low - change lubrica"&amp;"nt immediately; Severe oxidation - lubricant change required urgently; Elevated silicon - inspect filters and seals for contamination; Critical particle count - flush system and replace filters")</f>
        <v>URGENT: Inspect equipment immediately for wear/damage; Critical wear metals detected - schedule immediate inspection; High wear metals - inspect bearing/gear surfaces; Water detected - inspect seals and breathers; Viscosity critically low - change lubricant immediately; Severe oxidation - lubricant change required urgently; Elevated silicon - inspect filters and seals for contamination; Critical particle count - flush system and replace filters</v>
      </c>
      <c r="AK77" s="204"/>
      <c r="AL77" s="204"/>
      <c r="AM77" s="204"/>
    </row>
    <row r="78" hidden="1">
      <c r="A78" s="199" t="str">
        <f>IFERROR(__xludf.DUMMYFUNCTION("""COMPUTED_VALUE"""),"R2.432.KB102(2)")</f>
        <v>R2.432.KB102(2)</v>
      </c>
      <c r="B78" s="200" t="str">
        <f>IFERROR(__xludf.DUMMYFUNCTION("""COMPUTED_VALUE"""),"Kiln Bearing")</f>
        <v>Kiln Bearing</v>
      </c>
      <c r="C78" s="199">
        <f>IFERROR(__xludf.DUMMYFUNCTION("""COMPUTED_VALUE"""),2.3275210247E10)</f>
        <v>23275210247</v>
      </c>
      <c r="D78" s="201">
        <f>IFERROR(__xludf.DUMMYFUNCTION("""COMPUTED_VALUE"""),45194.0)</f>
        <v>45194</v>
      </c>
      <c r="E78" s="202" t="str">
        <f>IFERROR(__xludf.DUMMYFUNCTION("""COMPUTED_VALUE"""),"Alert")</f>
        <v>Alert</v>
      </c>
      <c r="F78" s="202" t="str">
        <f>IFERROR(__xludf.DUMMYFUNCTION("""COMPUTED_VALUE"""),"Caution")</f>
        <v>Caution</v>
      </c>
      <c r="G78" s="203" t="str">
        <f>IFERROR(__xludf.DUMMYFUNCTION("""COMPUTED_VALUE"""),"Alert")</f>
        <v>Alert</v>
      </c>
      <c r="H78" s="203" t="str">
        <f>IFERROR(__xludf.DUMMYFUNCTION("""COMPUTED_VALUE"""),"Alert")</f>
        <v>Alert</v>
      </c>
      <c r="I78" s="37"/>
      <c r="J78" s="37"/>
      <c r="K78" s="37"/>
      <c r="L78" s="199">
        <f>IFERROR(__xludf.DUMMYFUNCTION("""COMPUTED_VALUE"""),0.0)</f>
        <v>0</v>
      </c>
      <c r="M78" s="199">
        <f>IFERROR(__xludf.DUMMYFUNCTION("""COMPUTED_VALUE"""),54.6)</f>
        <v>54.6</v>
      </c>
      <c r="N78" s="199"/>
      <c r="O78" s="199">
        <f>IFERROR(__xludf.DUMMYFUNCTION("""COMPUTED_VALUE"""),1.0)</f>
        <v>1</v>
      </c>
      <c r="P78" s="199"/>
      <c r="Q78" s="199">
        <f>IFERROR(__xludf.DUMMYFUNCTION("""COMPUTED_VALUE"""),0.0)</f>
        <v>0</v>
      </c>
      <c r="R78" s="199">
        <f>IFERROR(__xludf.DUMMYFUNCTION("""COMPUTED_VALUE"""),5.0)</f>
        <v>5</v>
      </c>
      <c r="S78" s="199">
        <f>IFERROR(__xludf.DUMMYFUNCTION("""COMPUTED_VALUE"""),0.0)</f>
        <v>0</v>
      </c>
      <c r="T78" s="199">
        <f>IFERROR(__xludf.DUMMYFUNCTION("""COMPUTED_VALUE"""),14.0)</f>
        <v>14</v>
      </c>
      <c r="U78" s="199">
        <f>IFERROR(__xludf.DUMMYFUNCTION("""COMPUTED_VALUE"""),93.0)</f>
        <v>93</v>
      </c>
      <c r="V78" s="199">
        <f>IFERROR(__xludf.DUMMYFUNCTION("""COMPUTED_VALUE"""),0.0)</f>
        <v>0</v>
      </c>
      <c r="W78" s="199">
        <f>IFERROR(__xludf.DUMMYFUNCTION("""COMPUTED_VALUE"""),1.0)</f>
        <v>1</v>
      </c>
      <c r="X78" s="199">
        <f>IFERROR(__xludf.DUMMYFUNCTION("""COMPUTED_VALUE"""),1.0)</f>
        <v>1</v>
      </c>
      <c r="Y78" s="199">
        <f>IFERROR(__xludf.DUMMYFUNCTION("""COMPUTED_VALUE"""),0.0)</f>
        <v>0</v>
      </c>
      <c r="Z78" s="199">
        <f>IFERROR(__xludf.DUMMYFUNCTION("""COMPUTED_VALUE"""),0.0)</f>
        <v>0</v>
      </c>
      <c r="AA78" s="199">
        <f>IFERROR(__xludf.DUMMYFUNCTION("""COMPUTED_VALUE"""),0.0)</f>
        <v>0</v>
      </c>
      <c r="AB78" s="199">
        <f>IFERROR(__xludf.DUMMYFUNCTION("""COMPUTED_VALUE"""),12.0)</f>
        <v>12</v>
      </c>
      <c r="AC78" s="199">
        <f>IFERROR(__xludf.DUMMYFUNCTION("""COMPUTED_VALUE"""),27.0)</f>
        <v>27</v>
      </c>
      <c r="AD78" s="199">
        <f>IFERROR(__xludf.DUMMYFUNCTION("""COMPUTED_VALUE"""),0.0)</f>
        <v>0</v>
      </c>
      <c r="AE78" s="199">
        <f>IFERROR(__xludf.DUMMYFUNCTION("""COMPUTED_VALUE"""),53.0)</f>
        <v>53</v>
      </c>
      <c r="AF78" s="199">
        <f>IFERROR(__xludf.DUMMYFUNCTION("""COMPUTED_VALUE"""),2.0)</f>
        <v>2</v>
      </c>
      <c r="AG78" s="199">
        <f>IFERROR(__xludf.DUMMYFUNCTION("""COMPUTED_VALUE"""),363.0)</f>
        <v>363</v>
      </c>
      <c r="AH78" s="199">
        <f>IFERROR(__xludf.DUMMYFUNCTION("""COMPUTED_VALUE"""),10.0)</f>
        <v>10</v>
      </c>
      <c r="AI78" s="200" t="str">
        <f>IFERROR(__xludf.DUMMYFUNCTION("""COMPUTED_VALUE"""),"Wear Metal Alert | Lubricant Degradation")</f>
        <v>Wear Metal Alert | Lubricant Degradation</v>
      </c>
      <c r="AJ78" s="200" t="str">
        <f>IFERROR(__xludf.DUMMYFUNCTION("""COMPUTED_VALUE"""),"URGENT: Inspect equipment immediately for wear/damage; Viscosity critically low - change lubricant immediately")</f>
        <v>URGENT: Inspect equipment immediately for wear/damage; Viscosity critically low - change lubricant immediately</v>
      </c>
      <c r="AK78" s="204"/>
      <c r="AL78" s="204"/>
      <c r="AM78" s="204"/>
    </row>
    <row r="79" hidden="1">
      <c r="A79" s="199" t="str">
        <f>IFERROR(__xludf.DUMMYFUNCTION("""COMPUTED_VALUE"""),"R2.432.KB102(3)")</f>
        <v>R2.432.KB102(3)</v>
      </c>
      <c r="B79" s="200" t="str">
        <f>IFERROR(__xludf.DUMMYFUNCTION("""COMPUTED_VALUE"""),"Kiln Bearing")</f>
        <v>Kiln Bearing</v>
      </c>
      <c r="C79" s="199">
        <f>IFERROR(__xludf.DUMMYFUNCTION("""COMPUTED_VALUE"""),2.3275210253E10)</f>
        <v>23275210253</v>
      </c>
      <c r="D79" s="201">
        <f>IFERROR(__xludf.DUMMYFUNCTION("""COMPUTED_VALUE"""),45194.0)</f>
        <v>45194</v>
      </c>
      <c r="E79" s="202" t="str">
        <f>IFERROR(__xludf.DUMMYFUNCTION("""COMPUTED_VALUE"""),"Alert")</f>
        <v>Alert</v>
      </c>
      <c r="F79" s="202" t="str">
        <f>IFERROR(__xludf.DUMMYFUNCTION("""COMPUTED_VALUE"""),"Alert")</f>
        <v>Alert</v>
      </c>
      <c r="G79" s="203" t="str">
        <f>IFERROR(__xludf.DUMMYFUNCTION("""COMPUTED_VALUE"""),"Alert")</f>
        <v>Alert</v>
      </c>
      <c r="H79" s="203" t="str">
        <f>IFERROR(__xludf.DUMMYFUNCTION("""COMPUTED_VALUE"""),"Alert")</f>
        <v>Alert</v>
      </c>
      <c r="I79" s="37"/>
      <c r="J79" s="37"/>
      <c r="K79" s="37"/>
      <c r="L79" s="199">
        <f>IFERROR(__xludf.DUMMYFUNCTION("""COMPUTED_VALUE"""),154.0)</f>
        <v>154</v>
      </c>
      <c r="M79" s="199">
        <f>IFERROR(__xludf.DUMMYFUNCTION("""COMPUTED_VALUE"""),57.5)</f>
        <v>57.5</v>
      </c>
      <c r="N79" s="37"/>
      <c r="O79" s="37">
        <f>IFERROR(__xludf.DUMMYFUNCTION("""COMPUTED_VALUE"""),5.0)</f>
        <v>5</v>
      </c>
      <c r="P79" s="199"/>
      <c r="Q79" s="199">
        <f>IFERROR(__xludf.DUMMYFUNCTION("""COMPUTED_VALUE"""),0.0)</f>
        <v>0</v>
      </c>
      <c r="R79" s="199">
        <f>IFERROR(__xludf.DUMMYFUNCTION("""COMPUTED_VALUE"""),6.0)</f>
        <v>6</v>
      </c>
      <c r="S79" s="199">
        <f>IFERROR(__xludf.DUMMYFUNCTION("""COMPUTED_VALUE"""),1.0)</f>
        <v>1</v>
      </c>
      <c r="T79" s="199">
        <f>IFERROR(__xludf.DUMMYFUNCTION("""COMPUTED_VALUE"""),370.0)</f>
        <v>370</v>
      </c>
      <c r="U79" s="199">
        <f>IFERROR(__xludf.DUMMYFUNCTION("""COMPUTED_VALUE"""),404.0)</f>
        <v>404</v>
      </c>
      <c r="V79" s="199">
        <f>IFERROR(__xludf.DUMMYFUNCTION("""COMPUTED_VALUE"""),0.0)</f>
        <v>0</v>
      </c>
      <c r="W79" s="199">
        <f>IFERROR(__xludf.DUMMYFUNCTION("""COMPUTED_VALUE"""),0.0)</f>
        <v>0</v>
      </c>
      <c r="X79" s="199">
        <f>IFERROR(__xludf.DUMMYFUNCTION("""COMPUTED_VALUE"""),11.0)</f>
        <v>11</v>
      </c>
      <c r="Y79" s="199">
        <f>IFERROR(__xludf.DUMMYFUNCTION("""COMPUTED_VALUE"""),0.0)</f>
        <v>0</v>
      </c>
      <c r="Z79" s="199">
        <f>IFERROR(__xludf.DUMMYFUNCTION("""COMPUTED_VALUE"""),15.0)</f>
        <v>15</v>
      </c>
      <c r="AA79" s="199">
        <f>IFERROR(__xludf.DUMMYFUNCTION("""COMPUTED_VALUE"""),4.0)</f>
        <v>4</v>
      </c>
      <c r="AB79" s="199">
        <f>IFERROR(__xludf.DUMMYFUNCTION("""COMPUTED_VALUE"""),27.0)</f>
        <v>27</v>
      </c>
      <c r="AC79" s="199">
        <f>IFERROR(__xludf.DUMMYFUNCTION("""COMPUTED_VALUE"""),23.0)</f>
        <v>23</v>
      </c>
      <c r="AD79" s="199">
        <f>IFERROR(__xludf.DUMMYFUNCTION("""COMPUTED_VALUE"""),0.0)</f>
        <v>0</v>
      </c>
      <c r="AE79" s="199">
        <f>IFERROR(__xludf.DUMMYFUNCTION("""COMPUTED_VALUE"""),124.0)</f>
        <v>124</v>
      </c>
      <c r="AF79" s="199">
        <f>IFERROR(__xludf.DUMMYFUNCTION("""COMPUTED_VALUE"""),7.0)</f>
        <v>7</v>
      </c>
      <c r="AG79" s="199">
        <f>IFERROR(__xludf.DUMMYFUNCTION("""COMPUTED_VALUE"""),224.0)</f>
        <v>224</v>
      </c>
      <c r="AH79" s="199">
        <f>IFERROR(__xludf.DUMMYFUNCTION("""COMPUTED_VALUE"""),22.0)</f>
        <v>22</v>
      </c>
      <c r="AI79" s="200" t="str">
        <f>IFERROR(__xludf.DUMMYFUNCTION("""COMPUTED_VALUE"""),"Wear Metal Alert | Lubricant Degradation | High Particle Count")</f>
        <v>Wear Metal Alert | Lubricant Degradation | High Particle Count</v>
      </c>
      <c r="AJ79" s="200" t="str">
        <f>IFERROR(__xludf.DUMMYFUNCTION("""COMPUTED_VALUE"""),"URGENT: Inspect equipment immediately for wear/damage; Critical wear metals detected - schedule immediate inspection; High wear metals - inspect bearing/gear surfaces; Viscosity critically low - change lubricant immediately; Severe oxidation - lubricant c"&amp;"hange required urgently; Critical particle count - flush system and replace filters")</f>
        <v>URGENT: Inspect equipment immediately for wear/damage; Critical wear metals detected - schedule immediate inspection; High wear metals - inspect bearing/gear surfaces; Viscosity critically low - change lubricant immediately; Severe oxidation - lubricant change required urgently; Critical particle count - flush system and replace filters</v>
      </c>
      <c r="AK79" s="204"/>
      <c r="AL79" s="204"/>
      <c r="AM79" s="204"/>
    </row>
    <row r="80" hidden="1">
      <c r="A80" s="199" t="str">
        <f>IFERROR(__xludf.DUMMYFUNCTION("""COMPUTED_VALUE"""),"R2.432.KB102(4)")</f>
        <v>R2.432.KB102(4)</v>
      </c>
      <c r="B80" s="200" t="str">
        <f>IFERROR(__xludf.DUMMYFUNCTION("""COMPUTED_VALUE"""),"Kiln Bearing")</f>
        <v>Kiln Bearing</v>
      </c>
      <c r="C80" s="199">
        <f>IFERROR(__xludf.DUMMYFUNCTION("""COMPUTED_VALUE"""),2.3275210246E10)</f>
        <v>23275210246</v>
      </c>
      <c r="D80" s="201">
        <f>IFERROR(__xludf.DUMMYFUNCTION("""COMPUTED_VALUE"""),45194.0)</f>
        <v>45194</v>
      </c>
      <c r="E80" s="202" t="str">
        <f>IFERROR(__xludf.DUMMYFUNCTION("""COMPUTED_VALUE"""),"Alert")</f>
        <v>Alert</v>
      </c>
      <c r="F80" s="202" t="str">
        <f>IFERROR(__xludf.DUMMYFUNCTION("""COMPUTED_VALUE"""),"Alert")</f>
        <v>Alert</v>
      </c>
      <c r="G80" s="203" t="str">
        <f>IFERROR(__xludf.DUMMYFUNCTION("""COMPUTED_VALUE"""),"Normal")</f>
        <v>Normal</v>
      </c>
      <c r="H80" s="203" t="str">
        <f>IFERROR(__xludf.DUMMYFUNCTION("""COMPUTED_VALUE"""),"Normal")</f>
        <v>Normal</v>
      </c>
      <c r="I80" s="37"/>
      <c r="J80" s="37"/>
      <c r="K80" s="37"/>
      <c r="L80" s="199"/>
      <c r="M80" s="199">
        <f>IFERROR(__xludf.DUMMYFUNCTION("""COMPUTED_VALUE"""),60.1)</f>
        <v>60.1</v>
      </c>
      <c r="N80" s="37"/>
      <c r="O80" s="37">
        <f>IFERROR(__xludf.DUMMYFUNCTION("""COMPUTED_VALUE"""),3.0)</f>
        <v>3</v>
      </c>
      <c r="P80" s="199"/>
      <c r="Q80" s="199">
        <f>IFERROR(__xludf.DUMMYFUNCTION("""COMPUTED_VALUE"""),0.0)</f>
        <v>0</v>
      </c>
      <c r="R80" s="199">
        <f>IFERROR(__xludf.DUMMYFUNCTION("""COMPUTED_VALUE"""),10.0)</f>
        <v>10</v>
      </c>
      <c r="S80" s="199">
        <f>IFERROR(__xludf.DUMMYFUNCTION("""COMPUTED_VALUE"""),0.0)</f>
        <v>0</v>
      </c>
      <c r="T80" s="199">
        <f>IFERROR(__xludf.DUMMYFUNCTION("""COMPUTED_VALUE"""),171.0)</f>
        <v>171</v>
      </c>
      <c r="U80" s="199">
        <f>IFERROR(__xludf.DUMMYFUNCTION("""COMPUTED_VALUE"""),17.0)</f>
        <v>17</v>
      </c>
      <c r="V80" s="199">
        <f>IFERROR(__xludf.DUMMYFUNCTION("""COMPUTED_VALUE"""),2.0)</f>
        <v>2</v>
      </c>
      <c r="W80" s="199">
        <f>IFERROR(__xludf.DUMMYFUNCTION("""COMPUTED_VALUE"""),0.0)</f>
        <v>0</v>
      </c>
      <c r="X80" s="199">
        <f>IFERROR(__xludf.DUMMYFUNCTION("""COMPUTED_VALUE"""),4.0)</f>
        <v>4</v>
      </c>
      <c r="Y80" s="199">
        <f>IFERROR(__xludf.DUMMYFUNCTION("""COMPUTED_VALUE"""),0.0)</f>
        <v>0</v>
      </c>
      <c r="Z80" s="199">
        <f>IFERROR(__xludf.DUMMYFUNCTION("""COMPUTED_VALUE"""),0.0)</f>
        <v>0</v>
      </c>
      <c r="AA80" s="199">
        <f>IFERROR(__xludf.DUMMYFUNCTION("""COMPUTED_VALUE"""),0.0)</f>
        <v>0</v>
      </c>
      <c r="AB80" s="199">
        <f>IFERROR(__xludf.DUMMYFUNCTION("""COMPUTED_VALUE"""),20.0)</f>
        <v>20</v>
      </c>
      <c r="AC80" s="199">
        <f>IFERROR(__xludf.DUMMYFUNCTION("""COMPUTED_VALUE"""),29.0)</f>
        <v>29</v>
      </c>
      <c r="AD80" s="199">
        <f>IFERROR(__xludf.DUMMYFUNCTION("""COMPUTED_VALUE"""),0.0)</f>
        <v>0</v>
      </c>
      <c r="AE80" s="199">
        <f>IFERROR(__xludf.DUMMYFUNCTION("""COMPUTED_VALUE"""),51.0)</f>
        <v>51</v>
      </c>
      <c r="AF80" s="199">
        <f>IFERROR(__xludf.DUMMYFUNCTION("""COMPUTED_VALUE"""),5.0)</f>
        <v>5</v>
      </c>
      <c r="AG80" s="199">
        <f>IFERROR(__xludf.DUMMYFUNCTION("""COMPUTED_VALUE"""),189.0)</f>
        <v>189</v>
      </c>
      <c r="AH80" s="199">
        <f>IFERROR(__xludf.DUMMYFUNCTION("""COMPUTED_VALUE"""),5.0)</f>
        <v>5</v>
      </c>
      <c r="AI80" s="200" t="str">
        <f>IFERROR(__xludf.DUMMYFUNCTION("""COMPUTED_VALUE"""),"General Alert")</f>
        <v>General Alert</v>
      </c>
      <c r="AJ80" s="200" t="str">
        <f>IFERROR(__xludf.DUMMYFUNCTION("""COMPUTED_VALUE"""),"High wear metals - inspect bearing/gear surfaces")</f>
        <v>High wear metals - inspect bearing/gear surfaces</v>
      </c>
      <c r="AK80" s="204"/>
      <c r="AL80" s="204"/>
      <c r="AM80" s="204"/>
    </row>
    <row r="81" hidden="1">
      <c r="A81" s="199" t="str">
        <f>IFERROR(__xludf.DUMMYFUNCTION("""COMPUTED_VALUE"""),"R2.432.KB103(1)")</f>
        <v>R2.432.KB103(1)</v>
      </c>
      <c r="B81" s="200" t="str">
        <f>IFERROR(__xludf.DUMMYFUNCTION("""COMPUTED_VALUE"""),"Kiln Bearing")</f>
        <v>Kiln Bearing</v>
      </c>
      <c r="C81" s="199">
        <f>IFERROR(__xludf.DUMMYFUNCTION("""COMPUTED_VALUE"""),2.3275210422E10)</f>
        <v>23275210422</v>
      </c>
      <c r="D81" s="201">
        <f>IFERROR(__xludf.DUMMYFUNCTION("""COMPUTED_VALUE"""),45194.0)</f>
        <v>45194</v>
      </c>
      <c r="E81" s="202" t="str">
        <f>IFERROR(__xludf.DUMMYFUNCTION("""COMPUTED_VALUE"""),"Alert")</f>
        <v>Alert</v>
      </c>
      <c r="F81" s="202" t="str">
        <f>IFERROR(__xludf.DUMMYFUNCTION("""COMPUTED_VALUE"""),"Caution")</f>
        <v>Caution</v>
      </c>
      <c r="G81" s="203" t="str">
        <f>IFERROR(__xludf.DUMMYFUNCTION("""COMPUTED_VALUE"""),"Alert")</f>
        <v>Alert</v>
      </c>
      <c r="H81" s="203" t="str">
        <f>IFERROR(__xludf.DUMMYFUNCTION("""COMPUTED_VALUE"""),"Alert")</f>
        <v>Alert</v>
      </c>
      <c r="I81" s="37"/>
      <c r="J81" s="37"/>
      <c r="K81" s="37"/>
      <c r="L81" s="199">
        <f>IFERROR(__xludf.DUMMYFUNCTION("""COMPUTED_VALUE"""),22.0)</f>
        <v>22</v>
      </c>
      <c r="M81" s="199">
        <f>IFERROR(__xludf.DUMMYFUNCTION("""COMPUTED_VALUE"""),59.5)</f>
        <v>59.5</v>
      </c>
      <c r="N81" s="37"/>
      <c r="O81" s="37">
        <f>IFERROR(__xludf.DUMMYFUNCTION("""COMPUTED_VALUE"""),0.0)</f>
        <v>0</v>
      </c>
      <c r="P81" s="199"/>
      <c r="Q81" s="199">
        <f>IFERROR(__xludf.DUMMYFUNCTION("""COMPUTED_VALUE"""),0.0)</f>
        <v>0</v>
      </c>
      <c r="R81" s="199">
        <f>IFERROR(__xludf.DUMMYFUNCTION("""COMPUTED_VALUE"""),3.0)</f>
        <v>3</v>
      </c>
      <c r="S81" s="199">
        <f>IFERROR(__xludf.DUMMYFUNCTION("""COMPUTED_VALUE"""),0.0)</f>
        <v>0</v>
      </c>
      <c r="T81" s="199">
        <f>IFERROR(__xludf.DUMMYFUNCTION("""COMPUTED_VALUE"""),86.0)</f>
        <v>86</v>
      </c>
      <c r="U81" s="199">
        <f>IFERROR(__xludf.DUMMYFUNCTION("""COMPUTED_VALUE"""),28.0)</f>
        <v>28</v>
      </c>
      <c r="V81" s="199">
        <f>IFERROR(__xludf.DUMMYFUNCTION("""COMPUTED_VALUE"""),0.0)</f>
        <v>0</v>
      </c>
      <c r="W81" s="199">
        <f>IFERROR(__xludf.DUMMYFUNCTION("""COMPUTED_VALUE"""),0.0)</f>
        <v>0</v>
      </c>
      <c r="X81" s="199">
        <f>IFERROR(__xludf.DUMMYFUNCTION("""COMPUTED_VALUE"""),4.0)</f>
        <v>4</v>
      </c>
      <c r="Y81" s="199">
        <f>IFERROR(__xludf.DUMMYFUNCTION("""COMPUTED_VALUE"""),12.0)</f>
        <v>12</v>
      </c>
      <c r="Z81" s="199">
        <f>IFERROR(__xludf.DUMMYFUNCTION("""COMPUTED_VALUE"""),1.0)</f>
        <v>1</v>
      </c>
      <c r="AA81" s="199">
        <f>IFERROR(__xludf.DUMMYFUNCTION("""COMPUTED_VALUE"""),0.0)</f>
        <v>0</v>
      </c>
      <c r="AB81" s="199">
        <f>IFERROR(__xludf.DUMMYFUNCTION("""COMPUTED_VALUE"""),20.0)</f>
        <v>20</v>
      </c>
      <c r="AC81" s="199">
        <f>IFERROR(__xludf.DUMMYFUNCTION("""COMPUTED_VALUE"""),25.0)</f>
        <v>25</v>
      </c>
      <c r="AD81" s="199">
        <f>IFERROR(__xludf.DUMMYFUNCTION("""COMPUTED_VALUE"""),0.0)</f>
        <v>0</v>
      </c>
      <c r="AE81" s="199">
        <f>IFERROR(__xludf.DUMMYFUNCTION("""COMPUTED_VALUE"""),23.0)</f>
        <v>23</v>
      </c>
      <c r="AF81" s="199">
        <f>IFERROR(__xludf.DUMMYFUNCTION("""COMPUTED_VALUE"""),0.0)</f>
        <v>0</v>
      </c>
      <c r="AG81" s="199">
        <f>IFERROR(__xludf.DUMMYFUNCTION("""COMPUTED_VALUE"""),280.0)</f>
        <v>280</v>
      </c>
      <c r="AH81" s="199">
        <f>IFERROR(__xludf.DUMMYFUNCTION("""COMPUTED_VALUE"""),9.0)</f>
        <v>9</v>
      </c>
      <c r="AI81" s="200" t="str">
        <f>IFERROR(__xludf.DUMMYFUNCTION("""COMPUTED_VALUE"""),"Wear Metal Alert")</f>
        <v>Wear Metal Alert</v>
      </c>
      <c r="AJ81" s="200" t="str">
        <f>IFERROR(__xludf.DUMMYFUNCTION("""COMPUTED_VALUE"""),"URGENT: Inspect equipment immediately for wear/damage")</f>
        <v>URGENT: Inspect equipment immediately for wear/damage</v>
      </c>
      <c r="AK81" s="204"/>
      <c r="AL81" s="204"/>
      <c r="AM81" s="204"/>
    </row>
    <row r="82" hidden="1">
      <c r="A82" s="199" t="str">
        <f>IFERROR(__xludf.DUMMYFUNCTION("""COMPUTED_VALUE"""),"R2.432.KB103(2)")</f>
        <v>R2.432.KB103(2)</v>
      </c>
      <c r="B82" s="200" t="str">
        <f>IFERROR(__xludf.DUMMYFUNCTION("""COMPUTED_VALUE"""),"Kiln Bearing")</f>
        <v>Kiln Bearing</v>
      </c>
      <c r="C82" s="199">
        <f>IFERROR(__xludf.DUMMYFUNCTION("""COMPUTED_VALUE"""),2.3276310229E10)</f>
        <v>23276310229</v>
      </c>
      <c r="D82" s="201">
        <f>IFERROR(__xludf.DUMMYFUNCTION("""COMPUTED_VALUE"""),45194.0)</f>
        <v>45194</v>
      </c>
      <c r="E82" s="202" t="str">
        <f>IFERROR(__xludf.DUMMYFUNCTION("""COMPUTED_VALUE"""),"Alert")</f>
        <v>Alert</v>
      </c>
      <c r="F82" s="202" t="str">
        <f>IFERROR(__xludf.DUMMYFUNCTION("""COMPUTED_VALUE"""),"Alert")</f>
        <v>Alert</v>
      </c>
      <c r="G82" s="203" t="str">
        <f>IFERROR(__xludf.DUMMYFUNCTION("""COMPUTED_VALUE"""),"Alert")</f>
        <v>Alert</v>
      </c>
      <c r="H82" s="203" t="str">
        <f>IFERROR(__xludf.DUMMYFUNCTION("""COMPUTED_VALUE"""),"Alert")</f>
        <v>Alert</v>
      </c>
      <c r="I82" s="199"/>
      <c r="J82" s="199"/>
      <c r="K82" s="199"/>
      <c r="L82" s="199">
        <f>IFERROR(__xludf.DUMMYFUNCTION("""COMPUTED_VALUE"""),215.0)</f>
        <v>215</v>
      </c>
      <c r="M82" s="199">
        <f>IFERROR(__xludf.DUMMYFUNCTION("""COMPUTED_VALUE"""),936.5)</f>
        <v>936.5</v>
      </c>
      <c r="N82" s="199"/>
      <c r="O82" s="199">
        <f>IFERROR(__xludf.DUMMYFUNCTION("""COMPUTED_VALUE"""),1.0)</f>
        <v>1</v>
      </c>
      <c r="P82" s="199"/>
      <c r="Q82" s="199">
        <f>IFERROR(__xludf.DUMMYFUNCTION("""COMPUTED_VALUE"""),0.0)</f>
        <v>0</v>
      </c>
      <c r="R82" s="199">
        <f>IFERROR(__xludf.DUMMYFUNCTION("""COMPUTED_VALUE"""),9.0)</f>
        <v>9</v>
      </c>
      <c r="S82" s="199">
        <f>IFERROR(__xludf.DUMMYFUNCTION("""COMPUTED_VALUE"""),0.0)</f>
        <v>0</v>
      </c>
      <c r="T82" s="199">
        <f>IFERROR(__xludf.DUMMYFUNCTION("""COMPUTED_VALUE"""),105.0)</f>
        <v>105</v>
      </c>
      <c r="U82" s="199">
        <f>IFERROR(__xludf.DUMMYFUNCTION("""COMPUTED_VALUE"""),400.0)</f>
        <v>400</v>
      </c>
      <c r="V82" s="199">
        <f>IFERROR(__xludf.DUMMYFUNCTION("""COMPUTED_VALUE"""),0.0)</f>
        <v>0</v>
      </c>
      <c r="W82" s="199">
        <f>IFERROR(__xludf.DUMMYFUNCTION("""COMPUTED_VALUE"""),0.0)</f>
        <v>0</v>
      </c>
      <c r="X82" s="199">
        <f>IFERROR(__xludf.DUMMYFUNCTION("""COMPUTED_VALUE"""),3.0)</f>
        <v>3</v>
      </c>
      <c r="Y82" s="199">
        <f>IFERROR(__xludf.DUMMYFUNCTION("""COMPUTED_VALUE"""),12.0)</f>
        <v>12</v>
      </c>
      <c r="Z82" s="199">
        <f>IFERROR(__xludf.DUMMYFUNCTION("""COMPUTED_VALUE"""),8.0)</f>
        <v>8</v>
      </c>
      <c r="AA82" s="199">
        <f>IFERROR(__xludf.DUMMYFUNCTION("""COMPUTED_VALUE"""),11.0)</f>
        <v>11</v>
      </c>
      <c r="AB82" s="199">
        <f>IFERROR(__xludf.DUMMYFUNCTION("""COMPUTED_VALUE"""),24.0)</f>
        <v>24</v>
      </c>
      <c r="AC82" s="199">
        <f>IFERROR(__xludf.DUMMYFUNCTION("""COMPUTED_VALUE"""),12.0)</f>
        <v>12</v>
      </c>
      <c r="AD82" s="199">
        <f>IFERROR(__xludf.DUMMYFUNCTION("""COMPUTED_VALUE"""),0.0)</f>
        <v>0</v>
      </c>
      <c r="AE82" s="199">
        <f>IFERROR(__xludf.DUMMYFUNCTION("""COMPUTED_VALUE"""),163.0)</f>
        <v>163</v>
      </c>
      <c r="AF82" s="199">
        <f>IFERROR(__xludf.DUMMYFUNCTION("""COMPUTED_VALUE"""),5.0)</f>
        <v>5</v>
      </c>
      <c r="AG82" s="199">
        <f>IFERROR(__xludf.DUMMYFUNCTION("""COMPUTED_VALUE"""),156.0)</f>
        <v>156</v>
      </c>
      <c r="AH82" s="199">
        <f>IFERROR(__xludf.DUMMYFUNCTION("""COMPUTED_VALUE"""),4.0)</f>
        <v>4</v>
      </c>
      <c r="AI82" s="200" t="str">
        <f>IFERROR(__xludf.DUMMYFUNCTION("""COMPUTED_VALUE"""),"Wear Metal Alert | Lubricant Degradation | High Particle Count")</f>
        <v>Wear Metal Alert | Lubricant Degradation | High Particle Count</v>
      </c>
      <c r="AJ82" s="200" t="str">
        <f>IFERROR(__xludf.DUMMYFUNCTION("""COMPUTED_VALUE"""),"URGENT: Inspect equipment immediately for wear/damage; Critical wear metals - schedule immediate inspection; Viscosity critically high - change lubricant immediately; Critical particle count - flush system and replace filters")</f>
        <v>URGENT: Inspect equipment immediately for wear/damage; Critical wear metals - schedule immediate inspection; Viscosity critically high - change lubricant immediately; Critical particle count - flush system and replace filters</v>
      </c>
      <c r="AK82" s="204"/>
      <c r="AL82" s="204"/>
      <c r="AM82" s="204"/>
    </row>
    <row r="83" hidden="1">
      <c r="A83" s="199" t="str">
        <f>IFERROR(__xludf.DUMMYFUNCTION("""COMPUTED_VALUE"""),"R2.432.KB103(3)")</f>
        <v>R2.432.KB103(3)</v>
      </c>
      <c r="B83" s="200" t="str">
        <f>IFERROR(__xludf.DUMMYFUNCTION("""COMPUTED_VALUE"""),"Kiln Bearing")</f>
        <v>Kiln Bearing</v>
      </c>
      <c r="C83" s="199">
        <f>IFERROR(__xludf.DUMMYFUNCTION("""COMPUTED_VALUE"""),2.3275210254E10)</f>
        <v>23275210254</v>
      </c>
      <c r="D83" s="201">
        <f>IFERROR(__xludf.DUMMYFUNCTION("""COMPUTED_VALUE"""),45194.0)</f>
        <v>45194</v>
      </c>
      <c r="E83" s="202" t="str">
        <f>IFERROR(__xludf.DUMMYFUNCTION("""COMPUTED_VALUE"""),"Alert")</f>
        <v>Alert</v>
      </c>
      <c r="F83" s="202" t="str">
        <f>IFERROR(__xludf.DUMMYFUNCTION("""COMPUTED_VALUE"""),"Caution")</f>
        <v>Caution</v>
      </c>
      <c r="G83" s="203" t="str">
        <f>IFERROR(__xludf.DUMMYFUNCTION("""COMPUTED_VALUE"""),"Alert")</f>
        <v>Alert</v>
      </c>
      <c r="H83" s="203" t="str">
        <f>IFERROR(__xludf.DUMMYFUNCTION("""COMPUTED_VALUE"""),"Alert")</f>
        <v>Alert</v>
      </c>
      <c r="I83" s="199"/>
      <c r="J83" s="199"/>
      <c r="K83" s="199"/>
      <c r="L83" s="199">
        <f>IFERROR(__xludf.DUMMYFUNCTION("""COMPUTED_VALUE"""),72.0)</f>
        <v>72</v>
      </c>
      <c r="M83" s="199">
        <f>IFERROR(__xludf.DUMMYFUNCTION("""COMPUTED_VALUE"""),54.3)</f>
        <v>54.3</v>
      </c>
      <c r="N83" s="199"/>
      <c r="O83" s="199">
        <f>IFERROR(__xludf.DUMMYFUNCTION("""COMPUTED_VALUE"""),0.0)</f>
        <v>0</v>
      </c>
      <c r="P83" s="199"/>
      <c r="Q83" s="199">
        <f>IFERROR(__xludf.DUMMYFUNCTION("""COMPUTED_VALUE"""),0.0)</f>
        <v>0</v>
      </c>
      <c r="R83" s="199">
        <f>IFERROR(__xludf.DUMMYFUNCTION("""COMPUTED_VALUE"""),5.0)</f>
        <v>5</v>
      </c>
      <c r="S83" s="199">
        <f>IFERROR(__xludf.DUMMYFUNCTION("""COMPUTED_VALUE"""),0.0)</f>
        <v>0</v>
      </c>
      <c r="T83" s="199">
        <f>IFERROR(__xludf.DUMMYFUNCTION("""COMPUTED_VALUE"""),148.0)</f>
        <v>148</v>
      </c>
      <c r="U83" s="199">
        <f>IFERROR(__xludf.DUMMYFUNCTION("""COMPUTED_VALUE"""),87.0)</f>
        <v>87</v>
      </c>
      <c r="V83" s="199">
        <f>IFERROR(__xludf.DUMMYFUNCTION("""COMPUTED_VALUE"""),0.0)</f>
        <v>0</v>
      </c>
      <c r="W83" s="199">
        <f>IFERROR(__xludf.DUMMYFUNCTION("""COMPUTED_VALUE"""),0.0)</f>
        <v>0</v>
      </c>
      <c r="X83" s="199">
        <f>IFERROR(__xludf.DUMMYFUNCTION("""COMPUTED_VALUE"""),7.0)</f>
        <v>7</v>
      </c>
      <c r="Y83" s="199">
        <f>IFERROR(__xludf.DUMMYFUNCTION("""COMPUTED_VALUE"""),0.0)</f>
        <v>0</v>
      </c>
      <c r="Z83" s="199">
        <f>IFERROR(__xludf.DUMMYFUNCTION("""COMPUTED_VALUE"""),2.0)</f>
        <v>2</v>
      </c>
      <c r="AA83" s="199">
        <f>IFERROR(__xludf.DUMMYFUNCTION("""COMPUTED_VALUE"""),0.0)</f>
        <v>0</v>
      </c>
      <c r="AB83" s="199">
        <f>IFERROR(__xludf.DUMMYFUNCTION("""COMPUTED_VALUE"""),14.0)</f>
        <v>14</v>
      </c>
      <c r="AC83" s="199">
        <f>IFERROR(__xludf.DUMMYFUNCTION("""COMPUTED_VALUE"""),24.0)</f>
        <v>24</v>
      </c>
      <c r="AD83" s="199">
        <f>IFERROR(__xludf.DUMMYFUNCTION("""COMPUTED_VALUE"""),0.0)</f>
        <v>0</v>
      </c>
      <c r="AE83" s="199">
        <f>IFERROR(__xludf.DUMMYFUNCTION("""COMPUTED_VALUE"""),65.0)</f>
        <v>65</v>
      </c>
      <c r="AF83" s="199">
        <f>IFERROR(__xludf.DUMMYFUNCTION("""COMPUTED_VALUE"""),3.0)</f>
        <v>3</v>
      </c>
      <c r="AG83" s="199">
        <f>IFERROR(__xludf.DUMMYFUNCTION("""COMPUTED_VALUE"""),229.0)</f>
        <v>229</v>
      </c>
      <c r="AH83" s="199">
        <f>IFERROR(__xludf.DUMMYFUNCTION("""COMPUTED_VALUE"""),7.0)</f>
        <v>7</v>
      </c>
      <c r="AI83" s="200" t="str">
        <f>IFERROR(__xludf.DUMMYFUNCTION("""COMPUTED_VALUE"""),"Wear Metal Alert")</f>
        <v>Wear Metal Alert</v>
      </c>
      <c r="AJ83" s="200" t="str">
        <f>IFERROR(__xludf.DUMMYFUNCTION("""COMPUTED_VALUE"""),"URGENT: Inspect equipment immediately for wear/damage; High wear metals - inspect bearing/gear surfaces")</f>
        <v>URGENT: Inspect equipment immediately for wear/damage; High wear metals - inspect bearing/gear surfaces</v>
      </c>
      <c r="AK83" s="204"/>
      <c r="AL83" s="204"/>
      <c r="AM83" s="204"/>
    </row>
    <row r="84" hidden="1">
      <c r="A84" s="199" t="str">
        <f>IFERROR(__xludf.DUMMYFUNCTION("""COMPUTED_VALUE"""),"R2.432.KB103(4)")</f>
        <v>R2.432.KB103(4)</v>
      </c>
      <c r="B84" s="200" t="str">
        <f>IFERROR(__xludf.DUMMYFUNCTION("""COMPUTED_VALUE"""),"Kiln Bearing")</f>
        <v>Kiln Bearing</v>
      </c>
      <c r="C84" s="199">
        <f>IFERROR(__xludf.DUMMYFUNCTION("""COMPUTED_VALUE"""),2.327521026E10)</f>
        <v>23275210260</v>
      </c>
      <c r="D84" s="201">
        <f>IFERROR(__xludf.DUMMYFUNCTION("""COMPUTED_VALUE"""),45194.0)</f>
        <v>45194</v>
      </c>
      <c r="E84" s="202" t="str">
        <f>IFERROR(__xludf.DUMMYFUNCTION("""COMPUTED_VALUE"""),"Alert")</f>
        <v>Alert</v>
      </c>
      <c r="F84" s="202" t="str">
        <f>IFERROR(__xludf.DUMMYFUNCTION("""COMPUTED_VALUE"""),"Alert")</f>
        <v>Alert</v>
      </c>
      <c r="G84" s="203" t="str">
        <f>IFERROR(__xludf.DUMMYFUNCTION("""COMPUTED_VALUE"""),"Alert")</f>
        <v>Alert</v>
      </c>
      <c r="H84" s="203" t="str">
        <f>IFERROR(__xludf.DUMMYFUNCTION("""COMPUTED_VALUE"""),"Alert")</f>
        <v>Alert</v>
      </c>
      <c r="I84" s="199"/>
      <c r="J84" s="199"/>
      <c r="K84" s="199"/>
      <c r="L84" s="199">
        <f>IFERROR(__xludf.DUMMYFUNCTION("""COMPUTED_VALUE"""),17.0)</f>
        <v>17</v>
      </c>
      <c r="M84" s="199">
        <f>IFERROR(__xludf.DUMMYFUNCTION("""COMPUTED_VALUE"""),55.5)</f>
        <v>55.5</v>
      </c>
      <c r="N84" s="199"/>
      <c r="O84" s="199">
        <f>IFERROR(__xludf.DUMMYFUNCTION("""COMPUTED_VALUE"""),0.0)</f>
        <v>0</v>
      </c>
      <c r="P84" s="199"/>
      <c r="Q84" s="199">
        <f>IFERROR(__xludf.DUMMYFUNCTION("""COMPUTED_VALUE"""),0.0)</f>
        <v>0</v>
      </c>
      <c r="R84" s="199">
        <f>IFERROR(__xludf.DUMMYFUNCTION("""COMPUTED_VALUE"""),4.0)</f>
        <v>4</v>
      </c>
      <c r="S84" s="199">
        <f>IFERROR(__xludf.DUMMYFUNCTION("""COMPUTED_VALUE"""),0.0)</f>
        <v>0</v>
      </c>
      <c r="T84" s="199">
        <f>IFERROR(__xludf.DUMMYFUNCTION("""COMPUTED_VALUE"""),149.0)</f>
        <v>149</v>
      </c>
      <c r="U84" s="199">
        <f>IFERROR(__xludf.DUMMYFUNCTION("""COMPUTED_VALUE"""),22.0)</f>
        <v>22</v>
      </c>
      <c r="V84" s="199">
        <f>IFERROR(__xludf.DUMMYFUNCTION("""COMPUTED_VALUE"""),0.0)</f>
        <v>0</v>
      </c>
      <c r="W84" s="199">
        <f>IFERROR(__xludf.DUMMYFUNCTION("""COMPUTED_VALUE"""),0.0)</f>
        <v>0</v>
      </c>
      <c r="X84" s="199">
        <f>IFERROR(__xludf.DUMMYFUNCTION("""COMPUTED_VALUE"""),6.0)</f>
        <v>6</v>
      </c>
      <c r="Y84" s="199">
        <f>IFERROR(__xludf.DUMMYFUNCTION("""COMPUTED_VALUE"""),0.0)</f>
        <v>0</v>
      </c>
      <c r="Z84" s="199">
        <f>IFERROR(__xludf.DUMMYFUNCTION("""COMPUTED_VALUE"""),15.0)</f>
        <v>15</v>
      </c>
      <c r="AA84" s="199">
        <f>IFERROR(__xludf.DUMMYFUNCTION("""COMPUTED_VALUE"""),2.0)</f>
        <v>2</v>
      </c>
      <c r="AB84" s="199">
        <f>IFERROR(__xludf.DUMMYFUNCTION("""COMPUTED_VALUE"""),26.0)</f>
        <v>26</v>
      </c>
      <c r="AC84" s="199">
        <f>IFERROR(__xludf.DUMMYFUNCTION("""COMPUTED_VALUE"""),16.0)</f>
        <v>16</v>
      </c>
      <c r="AD84" s="199">
        <f>IFERROR(__xludf.DUMMYFUNCTION("""COMPUTED_VALUE"""),0.0)</f>
        <v>0</v>
      </c>
      <c r="AE84" s="199">
        <f>IFERROR(__xludf.DUMMYFUNCTION("""COMPUTED_VALUE"""),54.0)</f>
        <v>54</v>
      </c>
      <c r="AF84" s="199">
        <f>IFERROR(__xludf.DUMMYFUNCTION("""COMPUTED_VALUE"""),2.0)</f>
        <v>2</v>
      </c>
      <c r="AG84" s="199">
        <f>IFERROR(__xludf.DUMMYFUNCTION("""COMPUTED_VALUE"""),203.0)</f>
        <v>203</v>
      </c>
      <c r="AH84" s="199">
        <f>IFERROR(__xludf.DUMMYFUNCTION("""COMPUTED_VALUE"""),3.0)</f>
        <v>3</v>
      </c>
      <c r="AI84" s="200" t="str">
        <f>IFERROR(__xludf.DUMMYFUNCTION("""COMPUTED_VALUE"""),"Wear Metal Alert")</f>
        <v>Wear Metal Alert</v>
      </c>
      <c r="AJ84" s="200" t="str">
        <f>IFERROR(__xludf.DUMMYFUNCTION("""COMPUTED_VALUE"""),"URGENT: Inspect equipment immediately for wear/damage; High wear metals - inspect bearing/gear surfaces")</f>
        <v>URGENT: Inspect equipment immediately for wear/damage; High wear metals - inspect bearing/gear surfaces</v>
      </c>
      <c r="AK84" s="204"/>
      <c r="AL84" s="204"/>
      <c r="AM84" s="204"/>
    </row>
    <row r="85" hidden="1">
      <c r="A85" s="199" t="str">
        <f>IFERROR(__xludf.DUMMYFUNCTION("""COMPUTED_VALUE"""),"321.FN400(Fx.B)")</f>
        <v>321.FN400(Fx.B)</v>
      </c>
      <c r="B85" s="200" t="str">
        <f>IFERROR(__xludf.DUMMYFUNCTION("""COMPUTED_VALUE"""),"Raw Mill fan fixed bearing")</f>
        <v>Raw Mill fan fixed bearing</v>
      </c>
      <c r="C85" s="199">
        <f>IFERROR(__xludf.DUMMYFUNCTION("""COMPUTED_VALUE"""),2.3275210233E10)</f>
        <v>23275210233</v>
      </c>
      <c r="D85" s="201">
        <f>IFERROR(__xludf.DUMMYFUNCTION("""COMPUTED_VALUE"""),45196.0)</f>
        <v>45196</v>
      </c>
      <c r="E85" s="202" t="str">
        <f>IFERROR(__xludf.DUMMYFUNCTION("""COMPUTED_VALUE"""),"Alert")</f>
        <v>Alert</v>
      </c>
      <c r="F85" s="202" t="str">
        <f>IFERROR(__xludf.DUMMYFUNCTION("""COMPUTED_VALUE"""),"Normal")</f>
        <v>Normal</v>
      </c>
      <c r="G85" s="203" t="str">
        <f>IFERROR(__xludf.DUMMYFUNCTION("""COMPUTED_VALUE"""),"Normal")</f>
        <v>Normal</v>
      </c>
      <c r="H85" s="203" t="str">
        <f>IFERROR(__xludf.DUMMYFUNCTION("""COMPUTED_VALUE"""),"Alert")</f>
        <v>Alert</v>
      </c>
      <c r="I85" s="37">
        <f>IFERROR(__xludf.DUMMYFUNCTION("""COMPUTED_VALUE"""),21361.0)</f>
        <v>21361</v>
      </c>
      <c r="J85" s="37">
        <f>IFERROR(__xludf.DUMMYFUNCTION("""COMPUTED_VALUE"""),18170.0)</f>
        <v>18170</v>
      </c>
      <c r="K85" s="37">
        <f>IFERROR(__xludf.DUMMYFUNCTION("""COMPUTED_VALUE"""),121.0)</f>
        <v>121</v>
      </c>
      <c r="L85" s="199">
        <f>IFERROR(__xludf.DUMMYFUNCTION("""COMPUTED_VALUE"""),4.0)</f>
        <v>4</v>
      </c>
      <c r="M85" s="199">
        <f>IFERROR(__xludf.DUMMYFUNCTION("""COMPUTED_VALUE"""),49.8)</f>
        <v>49.8</v>
      </c>
      <c r="N85" s="199"/>
      <c r="O85" s="199">
        <f>IFERROR(__xludf.DUMMYFUNCTION("""COMPUTED_VALUE"""),0.0)</f>
        <v>0</v>
      </c>
      <c r="P85" s="199">
        <f>IFERROR(__xludf.DUMMYFUNCTION("""COMPUTED_VALUE"""),0.003)</f>
        <v>0.003</v>
      </c>
      <c r="Q85" s="199">
        <f>IFERROR(__xludf.DUMMYFUNCTION("""COMPUTED_VALUE"""),0.0)</f>
        <v>0</v>
      </c>
      <c r="R85" s="199">
        <f>IFERROR(__xludf.DUMMYFUNCTION("""COMPUTED_VALUE"""),4.0)</f>
        <v>4</v>
      </c>
      <c r="S85" s="199">
        <f>IFERROR(__xludf.DUMMYFUNCTION("""COMPUTED_VALUE"""),0.0)</f>
        <v>0</v>
      </c>
      <c r="T85" s="199">
        <f>IFERROR(__xludf.DUMMYFUNCTION("""COMPUTED_VALUE"""),0.0)</f>
        <v>0</v>
      </c>
      <c r="U85" s="199">
        <f>IFERROR(__xludf.DUMMYFUNCTION("""COMPUTED_VALUE"""),6.0)</f>
        <v>6</v>
      </c>
      <c r="V85" s="199">
        <f>IFERROR(__xludf.DUMMYFUNCTION("""COMPUTED_VALUE"""),0.0)</f>
        <v>0</v>
      </c>
      <c r="W85" s="199">
        <f>IFERROR(__xludf.DUMMYFUNCTION("""COMPUTED_VALUE"""),0.0)</f>
        <v>0</v>
      </c>
      <c r="X85" s="199">
        <f>IFERROR(__xludf.DUMMYFUNCTION("""COMPUTED_VALUE"""),0.0)</f>
        <v>0</v>
      </c>
      <c r="Y85" s="199">
        <f>IFERROR(__xludf.DUMMYFUNCTION("""COMPUTED_VALUE"""),0.0)</f>
        <v>0</v>
      </c>
      <c r="Z85" s="199">
        <f>IFERROR(__xludf.DUMMYFUNCTION("""COMPUTED_VALUE"""),0.0)</f>
        <v>0</v>
      </c>
      <c r="AA85" s="199">
        <f>IFERROR(__xludf.DUMMYFUNCTION("""COMPUTED_VALUE"""),0.0)</f>
        <v>0</v>
      </c>
      <c r="AB85" s="199">
        <f>IFERROR(__xludf.DUMMYFUNCTION("""COMPUTED_VALUE"""),1.0)</f>
        <v>1</v>
      </c>
      <c r="AC85" s="199">
        <f>IFERROR(__xludf.DUMMYFUNCTION("""COMPUTED_VALUE"""),0.0)</f>
        <v>0</v>
      </c>
      <c r="AD85" s="199">
        <f>IFERROR(__xludf.DUMMYFUNCTION("""COMPUTED_VALUE"""),0.0)</f>
        <v>0</v>
      </c>
      <c r="AE85" s="199">
        <f>IFERROR(__xludf.DUMMYFUNCTION("""COMPUTED_VALUE"""),112.0)</f>
        <v>112</v>
      </c>
      <c r="AF85" s="199">
        <f>IFERROR(__xludf.DUMMYFUNCTION("""COMPUTED_VALUE"""),0.0)</f>
        <v>0</v>
      </c>
      <c r="AG85" s="199">
        <f>IFERROR(__xludf.DUMMYFUNCTION("""COMPUTED_VALUE"""),481.0)</f>
        <v>481</v>
      </c>
      <c r="AH85" s="199">
        <f>IFERROR(__xludf.DUMMYFUNCTION("""COMPUTED_VALUE"""),427.0)</f>
        <v>427</v>
      </c>
      <c r="AI85" s="200" t="str">
        <f>IFERROR(__xludf.DUMMYFUNCTION("""COMPUTED_VALUE"""),"Reduced Oil Viscosity / Lubricant Alert")</f>
        <v>Reduced Oil Viscosity / Lubricant Alert</v>
      </c>
      <c r="AJ85" s="200" t="str">
        <f>IFERROR(__xludf.DUMMYFUNCTION("""COMPUTED_VALUE"""),"Viscosity at 49.8 cSt below baseline. ISO Code 22/21/14. Monitor lubricant condition. Resample at next scheduled interval.")</f>
        <v>Viscosity at 49.8 cSt below baseline. ISO Code 22/21/14. Monitor lubricant condition. Resample at next scheduled interval.</v>
      </c>
      <c r="AK85" s="204"/>
      <c r="AL85" s="204"/>
      <c r="AM85" s="204"/>
    </row>
    <row r="86" hidden="1">
      <c r="A86" s="199" t="str">
        <f>IFERROR(__xludf.DUMMYFUNCTION("""COMPUTED_VALUE"""),"351.BE350 L")</f>
        <v>351.BE350 L</v>
      </c>
      <c r="B86" s="200" t="str">
        <f>IFERROR(__xludf.DUMMYFUNCTION("""COMPUTED_VALUE"""),"Bucket Elevator GB - L")</f>
        <v>Bucket Elevator GB - L</v>
      </c>
      <c r="C86" s="199">
        <f>IFERROR(__xludf.DUMMYFUNCTION("""COMPUTED_VALUE"""),2.3276310208E10)</f>
        <v>23276310208</v>
      </c>
      <c r="D86" s="201">
        <f>IFERROR(__xludf.DUMMYFUNCTION("""COMPUTED_VALUE"""),45196.0)</f>
        <v>45196</v>
      </c>
      <c r="E86" s="202" t="str">
        <f>IFERROR(__xludf.DUMMYFUNCTION("""COMPUTED_VALUE"""),"Normal")</f>
        <v>Normal</v>
      </c>
      <c r="F86" s="202" t="str">
        <f>IFERROR(__xludf.DUMMYFUNCTION("""COMPUTED_VALUE"""),"Normal")</f>
        <v>Normal</v>
      </c>
      <c r="G86" s="203" t="str">
        <f>IFERROR(__xludf.DUMMYFUNCTION("""COMPUTED_VALUE"""),"Normal")</f>
        <v>Normal</v>
      </c>
      <c r="H86" s="203" t="str">
        <f>IFERROR(__xludf.DUMMYFUNCTION("""COMPUTED_VALUE"""),"Normal")</f>
        <v>Normal</v>
      </c>
      <c r="I86" s="37">
        <f>IFERROR(__xludf.DUMMYFUNCTION("""COMPUTED_VALUE"""),21852.0)</f>
        <v>21852</v>
      </c>
      <c r="J86" s="37">
        <f>IFERROR(__xludf.DUMMYFUNCTION("""COMPUTED_VALUE"""),20611.0)</f>
        <v>20611</v>
      </c>
      <c r="K86" s="37">
        <f>IFERROR(__xludf.DUMMYFUNCTION("""COMPUTED_VALUE"""),14078.0)</f>
        <v>14078</v>
      </c>
      <c r="L86" s="199">
        <f>IFERROR(__xludf.DUMMYFUNCTION("""COMPUTED_VALUE"""),6.0)</f>
        <v>6</v>
      </c>
      <c r="M86" s="199">
        <f>IFERROR(__xludf.DUMMYFUNCTION("""COMPUTED_VALUE"""),268.8)</f>
        <v>268.8</v>
      </c>
      <c r="N86" s="37"/>
      <c r="O86" s="37"/>
      <c r="P86" s="199">
        <f>IFERROR(__xludf.DUMMYFUNCTION("""COMPUTED_VALUE"""),0.01)</f>
        <v>0.01</v>
      </c>
      <c r="Q86" s="199">
        <f>IFERROR(__xludf.DUMMYFUNCTION("""COMPUTED_VALUE"""),2.0)</f>
        <v>2</v>
      </c>
      <c r="R86" s="199">
        <f>IFERROR(__xludf.DUMMYFUNCTION("""COMPUTED_VALUE"""),3.0)</f>
        <v>3</v>
      </c>
      <c r="S86" s="199">
        <f>IFERROR(__xludf.DUMMYFUNCTION("""COMPUTED_VALUE"""),0.0)</f>
        <v>0</v>
      </c>
      <c r="T86" s="199">
        <f>IFERROR(__xludf.DUMMYFUNCTION("""COMPUTED_VALUE"""),0.0)</f>
        <v>0</v>
      </c>
      <c r="U86" s="199">
        <f>IFERROR(__xludf.DUMMYFUNCTION("""COMPUTED_VALUE"""),16.0)</f>
        <v>16</v>
      </c>
      <c r="V86" s="199">
        <f>IFERROR(__xludf.DUMMYFUNCTION("""COMPUTED_VALUE"""),0.0)</f>
        <v>0</v>
      </c>
      <c r="W86" s="199">
        <f>IFERROR(__xludf.DUMMYFUNCTION("""COMPUTED_VALUE"""),0.0)</f>
        <v>0</v>
      </c>
      <c r="X86" s="199">
        <f>IFERROR(__xludf.DUMMYFUNCTION("""COMPUTED_VALUE"""),0.0)</f>
        <v>0</v>
      </c>
      <c r="Y86" s="199">
        <f>IFERROR(__xludf.DUMMYFUNCTION("""COMPUTED_VALUE"""),1.0)</f>
        <v>1</v>
      </c>
      <c r="Z86" s="199">
        <f>IFERROR(__xludf.DUMMYFUNCTION("""COMPUTED_VALUE"""),2.0)</f>
        <v>2</v>
      </c>
      <c r="AA86" s="199">
        <f>IFERROR(__xludf.DUMMYFUNCTION("""COMPUTED_VALUE"""),2.0)</f>
        <v>2</v>
      </c>
      <c r="AB86" s="199">
        <f>IFERROR(__xludf.DUMMYFUNCTION("""COMPUTED_VALUE"""),8.0)</f>
        <v>8</v>
      </c>
      <c r="AC86" s="199">
        <f>IFERROR(__xludf.DUMMYFUNCTION("""COMPUTED_VALUE"""),35.0)</f>
        <v>35</v>
      </c>
      <c r="AD86" s="199">
        <f>IFERROR(__xludf.DUMMYFUNCTION("""COMPUTED_VALUE"""),0.0)</f>
        <v>0</v>
      </c>
      <c r="AE86" s="199">
        <f>IFERROR(__xludf.DUMMYFUNCTION("""COMPUTED_VALUE"""),8.0)</f>
        <v>8</v>
      </c>
      <c r="AF86" s="199">
        <f>IFERROR(__xludf.DUMMYFUNCTION("""COMPUTED_VALUE"""),0.0)</f>
        <v>0</v>
      </c>
      <c r="AG86" s="199">
        <f>IFERROR(__xludf.DUMMYFUNCTION("""COMPUTED_VALUE"""),327.0)</f>
        <v>327</v>
      </c>
      <c r="AH86" s="199">
        <f>IFERROR(__xludf.DUMMYFUNCTION("""COMPUTED_VALUE"""),28.0)</f>
        <v>28</v>
      </c>
      <c r="AI86" s="200" t="str">
        <f>IFERROR(__xludf.DUMMYFUNCTION("""COMPUTED_VALUE"""),"Normal")</f>
        <v>Normal</v>
      </c>
      <c r="AJ86" s="200" t="str">
        <f>IFERROR(__xludf.DUMMYFUNCTION("""COMPUTED_VALUE"""),"ISO Code 22/22/21. All parameters within acceptable limits. Continue routine monitoring.")</f>
        <v>ISO Code 22/22/21. All parameters within acceptable limits. Continue routine monitoring.</v>
      </c>
      <c r="AK86" s="204"/>
      <c r="AL86" s="204"/>
      <c r="AM86" s="204"/>
    </row>
    <row r="87" hidden="1">
      <c r="A87" s="199" t="str">
        <f>IFERROR(__xludf.DUMMYFUNCTION("""COMPUTED_VALUE"""),"341.BE040 L")</f>
        <v>341.BE040 L</v>
      </c>
      <c r="B87" s="200" t="str">
        <f>IFERROR(__xludf.DUMMYFUNCTION("""COMPUTED_VALUE"""),"Bucket Elevator GB - L")</f>
        <v>Bucket Elevator GB - L</v>
      </c>
      <c r="C87" s="199">
        <f>IFERROR(__xludf.DUMMYFUNCTION("""COMPUTED_VALUE"""),2.3276310209E10)</f>
        <v>23276310209</v>
      </c>
      <c r="D87" s="201">
        <f>IFERROR(__xludf.DUMMYFUNCTION("""COMPUTED_VALUE"""),45196.0)</f>
        <v>45196</v>
      </c>
      <c r="E87" s="202" t="str">
        <f>IFERROR(__xludf.DUMMYFUNCTION("""COMPUTED_VALUE"""),"Normal")</f>
        <v>Normal</v>
      </c>
      <c r="F87" s="202" t="str">
        <f>IFERROR(__xludf.DUMMYFUNCTION("""COMPUTED_VALUE"""),"Normal")</f>
        <v>Normal</v>
      </c>
      <c r="G87" s="203" t="str">
        <f>IFERROR(__xludf.DUMMYFUNCTION("""COMPUTED_VALUE"""),"Normal")</f>
        <v>Normal</v>
      </c>
      <c r="H87" s="203" t="str">
        <f>IFERROR(__xludf.DUMMYFUNCTION("""COMPUTED_VALUE"""),"Normal")</f>
        <v>Normal</v>
      </c>
      <c r="I87" s="37">
        <f>IFERROR(__xludf.DUMMYFUNCTION("""COMPUTED_VALUE"""),5529.0)</f>
        <v>5529</v>
      </c>
      <c r="J87" s="37">
        <f>IFERROR(__xludf.DUMMYFUNCTION("""COMPUTED_VALUE"""),3762.0)</f>
        <v>3762</v>
      </c>
      <c r="K87" s="37">
        <f>IFERROR(__xludf.DUMMYFUNCTION("""COMPUTED_VALUE"""),746.0)</f>
        <v>746</v>
      </c>
      <c r="L87" s="199">
        <f>IFERROR(__xludf.DUMMYFUNCTION("""COMPUTED_VALUE"""),8.0)</f>
        <v>8</v>
      </c>
      <c r="M87" s="199">
        <f>IFERROR(__xludf.DUMMYFUNCTION("""COMPUTED_VALUE"""),313.8)</f>
        <v>313.8</v>
      </c>
      <c r="N87" s="37"/>
      <c r="O87" s="37"/>
      <c r="P87" s="199">
        <f>IFERROR(__xludf.DUMMYFUNCTION("""COMPUTED_VALUE"""),0.02)</f>
        <v>0.02</v>
      </c>
      <c r="Q87" s="199">
        <f>IFERROR(__xludf.DUMMYFUNCTION("""COMPUTED_VALUE"""),0.0)</f>
        <v>0</v>
      </c>
      <c r="R87" s="199">
        <f>IFERROR(__xludf.DUMMYFUNCTION("""COMPUTED_VALUE"""),2.0)</f>
        <v>2</v>
      </c>
      <c r="S87" s="199">
        <f>IFERROR(__xludf.DUMMYFUNCTION("""COMPUTED_VALUE"""),0.0)</f>
        <v>0</v>
      </c>
      <c r="T87" s="199">
        <f>IFERROR(__xludf.DUMMYFUNCTION("""COMPUTED_VALUE"""),0.0)</f>
        <v>0</v>
      </c>
      <c r="U87" s="199">
        <f>IFERROR(__xludf.DUMMYFUNCTION("""COMPUTED_VALUE"""),37.0)</f>
        <v>37</v>
      </c>
      <c r="V87" s="199">
        <f>IFERROR(__xludf.DUMMYFUNCTION("""COMPUTED_VALUE"""),0.0)</f>
        <v>0</v>
      </c>
      <c r="W87" s="199">
        <f>IFERROR(__xludf.DUMMYFUNCTION("""COMPUTED_VALUE"""),0.0)</f>
        <v>0</v>
      </c>
      <c r="X87" s="199">
        <f>IFERROR(__xludf.DUMMYFUNCTION("""COMPUTED_VALUE"""),0.0)</f>
        <v>0</v>
      </c>
      <c r="Y87" s="199">
        <f>IFERROR(__xludf.DUMMYFUNCTION("""COMPUTED_VALUE"""),1.0)</f>
        <v>1</v>
      </c>
      <c r="Z87" s="199">
        <f>IFERROR(__xludf.DUMMYFUNCTION("""COMPUTED_VALUE"""),2.0)</f>
        <v>2</v>
      </c>
      <c r="AA87" s="199">
        <f>IFERROR(__xludf.DUMMYFUNCTION("""COMPUTED_VALUE"""),8.0)</f>
        <v>8</v>
      </c>
      <c r="AB87" s="199">
        <f>IFERROR(__xludf.DUMMYFUNCTION("""COMPUTED_VALUE"""),4.0)</f>
        <v>4</v>
      </c>
      <c r="AC87" s="199">
        <f>IFERROR(__xludf.DUMMYFUNCTION("""COMPUTED_VALUE"""),45.0)</f>
        <v>45</v>
      </c>
      <c r="AD87" s="199">
        <f>IFERROR(__xludf.DUMMYFUNCTION("""COMPUTED_VALUE"""),0.0)</f>
        <v>0</v>
      </c>
      <c r="AE87" s="199">
        <f>IFERROR(__xludf.DUMMYFUNCTION("""COMPUTED_VALUE"""),16.0)</f>
        <v>16</v>
      </c>
      <c r="AF87" s="199">
        <f>IFERROR(__xludf.DUMMYFUNCTION("""COMPUTED_VALUE"""),0.0)</f>
        <v>0</v>
      </c>
      <c r="AG87" s="199">
        <f>IFERROR(__xludf.DUMMYFUNCTION("""COMPUTED_VALUE"""),378.0)</f>
        <v>378</v>
      </c>
      <c r="AH87" s="199">
        <f>IFERROR(__xludf.DUMMYFUNCTION("""COMPUTED_VALUE"""),77.0)</f>
        <v>77</v>
      </c>
      <c r="AI87" s="200" t="str">
        <f>IFERROR(__xludf.DUMMYFUNCTION("""COMPUTED_VALUE"""),"Normal")</f>
        <v>Normal</v>
      </c>
      <c r="AJ87" s="200" t="str">
        <f>IFERROR(__xludf.DUMMYFUNCTION("""COMPUTED_VALUE"""),"ISO Code 20/19/17. All parameters within acceptable limits. Continue routine monitoring.")</f>
        <v>ISO Code 20/19/17. All parameters within acceptable limits. Continue routine monitoring.</v>
      </c>
      <c r="AK87" s="204"/>
      <c r="AL87" s="204"/>
      <c r="AM87" s="204"/>
    </row>
    <row r="88" hidden="1">
      <c r="A88" s="199" t="str">
        <f>IFERROR(__xludf.DUMMYFUNCTION("""COMPUTED_VALUE"""),"321.FN400(Fr.B)")</f>
        <v>321.FN400(Fr.B)</v>
      </c>
      <c r="B88" s="200" t="str">
        <f>IFERROR(__xludf.DUMMYFUNCTION("""COMPUTED_VALUE"""),"Raw Mill free bearing")</f>
        <v>Raw Mill free bearing</v>
      </c>
      <c r="C88" s="199">
        <f>IFERROR(__xludf.DUMMYFUNCTION("""COMPUTED_VALUE"""),2.3275210232E10)</f>
        <v>23275210232</v>
      </c>
      <c r="D88" s="201">
        <f>IFERROR(__xludf.DUMMYFUNCTION("""COMPUTED_VALUE"""),45196.0)</f>
        <v>45196</v>
      </c>
      <c r="E88" s="202" t="str">
        <f>IFERROR(__xludf.DUMMYFUNCTION("""COMPUTED_VALUE"""),"Normal")</f>
        <v>Normal</v>
      </c>
      <c r="F88" s="202" t="str">
        <f>IFERROR(__xludf.DUMMYFUNCTION("""COMPUTED_VALUE"""),"Normal")</f>
        <v>Normal</v>
      </c>
      <c r="G88" s="203" t="str">
        <f>IFERROR(__xludf.DUMMYFUNCTION("""COMPUTED_VALUE"""),"Normal")</f>
        <v>Normal</v>
      </c>
      <c r="H88" s="203" t="str">
        <f>IFERROR(__xludf.DUMMYFUNCTION("""COMPUTED_VALUE"""),"Normal")</f>
        <v>Normal</v>
      </c>
      <c r="I88" s="37">
        <f>IFERROR(__xludf.DUMMYFUNCTION("""COMPUTED_VALUE"""),6532.0)</f>
        <v>6532</v>
      </c>
      <c r="J88" s="37">
        <f>IFERROR(__xludf.DUMMYFUNCTION("""COMPUTED_VALUE"""),1885.0)</f>
        <v>1885</v>
      </c>
      <c r="K88" s="37">
        <f>IFERROR(__xludf.DUMMYFUNCTION("""COMPUTED_VALUE"""),321.0)</f>
        <v>321</v>
      </c>
      <c r="L88" s="199">
        <f>IFERROR(__xludf.DUMMYFUNCTION("""COMPUTED_VALUE"""),4.0)</f>
        <v>4</v>
      </c>
      <c r="M88" s="199">
        <f>IFERROR(__xludf.DUMMYFUNCTION("""COMPUTED_VALUE"""),62.2)</f>
        <v>62.2</v>
      </c>
      <c r="N88" s="37"/>
      <c r="O88" s="37">
        <f>IFERROR(__xludf.DUMMYFUNCTION("""COMPUTED_VALUE"""),0.0)</f>
        <v>0</v>
      </c>
      <c r="P88" s="199">
        <f>IFERROR(__xludf.DUMMYFUNCTION("""COMPUTED_VALUE"""),0.04)</f>
        <v>0.04</v>
      </c>
      <c r="Q88" s="199">
        <f>IFERROR(__xludf.DUMMYFUNCTION("""COMPUTED_VALUE"""),0.0)</f>
        <v>0</v>
      </c>
      <c r="R88" s="199">
        <f>IFERROR(__xludf.DUMMYFUNCTION("""COMPUTED_VALUE"""),7.0)</f>
        <v>7</v>
      </c>
      <c r="S88" s="199">
        <f>IFERROR(__xludf.DUMMYFUNCTION("""COMPUTED_VALUE"""),1.0)</f>
        <v>1</v>
      </c>
      <c r="T88" s="199">
        <f>IFERROR(__xludf.DUMMYFUNCTION("""COMPUTED_VALUE"""),0.0)</f>
        <v>0</v>
      </c>
      <c r="U88" s="199">
        <f>IFERROR(__xludf.DUMMYFUNCTION("""COMPUTED_VALUE"""),14.0)</f>
        <v>14</v>
      </c>
      <c r="V88" s="199">
        <f>IFERROR(__xludf.DUMMYFUNCTION("""COMPUTED_VALUE"""),2.0)</f>
        <v>2</v>
      </c>
      <c r="W88" s="199">
        <f>IFERROR(__xludf.DUMMYFUNCTION("""COMPUTED_VALUE"""),0.0)</f>
        <v>0</v>
      </c>
      <c r="X88" s="199">
        <f>IFERROR(__xludf.DUMMYFUNCTION("""COMPUTED_VALUE"""),3.0)</f>
        <v>3</v>
      </c>
      <c r="Y88" s="199">
        <f>IFERROR(__xludf.DUMMYFUNCTION("""COMPUTED_VALUE"""),0.0)</f>
        <v>0</v>
      </c>
      <c r="Z88" s="199">
        <f>IFERROR(__xludf.DUMMYFUNCTION("""COMPUTED_VALUE"""),0.0)</f>
        <v>0</v>
      </c>
      <c r="AA88" s="199">
        <f>IFERROR(__xludf.DUMMYFUNCTION("""COMPUTED_VALUE"""),0.0)</f>
        <v>0</v>
      </c>
      <c r="AB88" s="199">
        <f>IFERROR(__xludf.DUMMYFUNCTION("""COMPUTED_VALUE"""),5.0)</f>
        <v>5</v>
      </c>
      <c r="AC88" s="199">
        <f>IFERROR(__xludf.DUMMYFUNCTION("""COMPUTED_VALUE"""),0.0)</f>
        <v>0</v>
      </c>
      <c r="AD88" s="199">
        <f>IFERROR(__xludf.DUMMYFUNCTION("""COMPUTED_VALUE"""),0.0)</f>
        <v>0</v>
      </c>
      <c r="AE88" s="199">
        <f>IFERROR(__xludf.DUMMYFUNCTION("""COMPUTED_VALUE"""),47.0)</f>
        <v>47</v>
      </c>
      <c r="AF88" s="199">
        <f>IFERROR(__xludf.DUMMYFUNCTION("""COMPUTED_VALUE"""),4.0)</f>
        <v>4</v>
      </c>
      <c r="AG88" s="199">
        <f>IFERROR(__xludf.DUMMYFUNCTION("""COMPUTED_VALUE"""),168.0)</f>
        <v>168</v>
      </c>
      <c r="AH88" s="199">
        <f>IFERROR(__xludf.DUMMYFUNCTION("""COMPUTED_VALUE"""),93.0)</f>
        <v>93</v>
      </c>
      <c r="AI88" s="200" t="str">
        <f>IFERROR(__xludf.DUMMYFUNCTION("""COMPUTED_VALUE"""),"Normal - No Action Required")</f>
        <v>Normal - No Action Required</v>
      </c>
      <c r="AJ88" s="200" t="str">
        <f>IFERROR(__xludf.DUMMYFUNCTION("""COMPUTED_VALUE"""),"Continue routine monitoring and sampling schedule")</f>
        <v>Continue routine monitoring and sampling schedule</v>
      </c>
      <c r="AK88" s="204"/>
      <c r="AL88" s="204"/>
      <c r="AM88" s="204"/>
    </row>
    <row r="89" hidden="1">
      <c r="A89" s="199" t="str">
        <f>IFERROR(__xludf.DUMMYFUNCTION("""COMPUTED_VALUE"""),"331.FN110(Fx.B.)")</f>
        <v>331.FN110(Fx.B.)</v>
      </c>
      <c r="B89" s="200" t="str">
        <f>IFERROR(__xludf.DUMMYFUNCTION("""COMPUTED_VALUE"""),"ID fan fixed bearing")</f>
        <v>ID fan fixed bearing</v>
      </c>
      <c r="C89" s="199">
        <f>IFERROR(__xludf.DUMMYFUNCTION("""COMPUTED_VALUE"""),2.3276310203E10)</f>
        <v>23276310203</v>
      </c>
      <c r="D89" s="201">
        <f>IFERROR(__xludf.DUMMYFUNCTION("""COMPUTED_VALUE"""),45196.0)</f>
        <v>45196</v>
      </c>
      <c r="E89" s="202" t="str">
        <f>IFERROR(__xludf.DUMMYFUNCTION("""COMPUTED_VALUE"""),"Caution")</f>
        <v>Caution</v>
      </c>
      <c r="F89" s="202" t="str">
        <f>IFERROR(__xludf.DUMMYFUNCTION("""COMPUTED_VALUE"""),"Caution")</f>
        <v>Caution</v>
      </c>
      <c r="G89" s="203" t="str">
        <f>IFERROR(__xludf.DUMMYFUNCTION("""COMPUTED_VALUE"""),"Normal")</f>
        <v>Normal</v>
      </c>
      <c r="H89" s="203" t="str">
        <f>IFERROR(__xludf.DUMMYFUNCTION("""COMPUTED_VALUE"""),"Normal")</f>
        <v>Normal</v>
      </c>
      <c r="I89" s="37">
        <f>IFERROR(__xludf.DUMMYFUNCTION("""COMPUTED_VALUE"""),4839.0)</f>
        <v>4839</v>
      </c>
      <c r="J89" s="37">
        <f>IFERROR(__xludf.DUMMYFUNCTION("""COMPUTED_VALUE"""),2564.0)</f>
        <v>2564</v>
      </c>
      <c r="K89" s="37">
        <f>IFERROR(__xludf.DUMMYFUNCTION("""COMPUTED_VALUE"""),1541.0)</f>
        <v>1541</v>
      </c>
      <c r="L89" s="199">
        <f>IFERROR(__xludf.DUMMYFUNCTION("""COMPUTED_VALUE"""),22.0)</f>
        <v>22</v>
      </c>
      <c r="M89" s="199">
        <f>IFERROR(__xludf.DUMMYFUNCTION("""COMPUTED_VALUE"""),61.3)</f>
        <v>61.3</v>
      </c>
      <c r="N89" s="37"/>
      <c r="O89" s="37">
        <f>IFERROR(__xludf.DUMMYFUNCTION("""COMPUTED_VALUE"""),0.0)</f>
        <v>0</v>
      </c>
      <c r="P89" s="199">
        <f>IFERROR(__xludf.DUMMYFUNCTION("""COMPUTED_VALUE"""),0.003)</f>
        <v>0.003</v>
      </c>
      <c r="Q89" s="199">
        <f>IFERROR(__xludf.DUMMYFUNCTION("""COMPUTED_VALUE"""),0.0)</f>
        <v>0</v>
      </c>
      <c r="R89" s="199">
        <f>IFERROR(__xludf.DUMMYFUNCTION("""COMPUTED_VALUE"""),3.0)</f>
        <v>3</v>
      </c>
      <c r="S89" s="199">
        <f>IFERROR(__xludf.DUMMYFUNCTION("""COMPUTED_VALUE"""),0.0)</f>
        <v>0</v>
      </c>
      <c r="T89" s="199">
        <f>IFERROR(__xludf.DUMMYFUNCTION("""COMPUTED_VALUE"""),0.0)</f>
        <v>0</v>
      </c>
      <c r="U89" s="199">
        <f>IFERROR(__xludf.DUMMYFUNCTION("""COMPUTED_VALUE"""),20.0)</f>
        <v>20</v>
      </c>
      <c r="V89" s="199">
        <f>IFERROR(__xludf.DUMMYFUNCTION("""COMPUTED_VALUE"""),0.0)</f>
        <v>0</v>
      </c>
      <c r="W89" s="199">
        <f>IFERROR(__xludf.DUMMYFUNCTION("""COMPUTED_VALUE"""),0.0)</f>
        <v>0</v>
      </c>
      <c r="X89" s="199">
        <f>IFERROR(__xludf.DUMMYFUNCTION("""COMPUTED_VALUE"""),0.0)</f>
        <v>0</v>
      </c>
      <c r="Y89" s="199">
        <f>IFERROR(__xludf.DUMMYFUNCTION("""COMPUTED_VALUE"""),0.0)</f>
        <v>0</v>
      </c>
      <c r="Z89" s="199">
        <f>IFERROR(__xludf.DUMMYFUNCTION("""COMPUTED_VALUE"""),3.0)</f>
        <v>3</v>
      </c>
      <c r="AA89" s="199">
        <f>IFERROR(__xludf.DUMMYFUNCTION("""COMPUTED_VALUE"""),3.0)</f>
        <v>3</v>
      </c>
      <c r="AB89" s="199">
        <f>IFERROR(__xludf.DUMMYFUNCTION("""COMPUTED_VALUE"""),15.0)</f>
        <v>15</v>
      </c>
      <c r="AC89" s="199">
        <f>IFERROR(__xludf.DUMMYFUNCTION("""COMPUTED_VALUE"""),0.0)</f>
        <v>0</v>
      </c>
      <c r="AD89" s="199">
        <f>IFERROR(__xludf.DUMMYFUNCTION("""COMPUTED_VALUE"""),0.0)</f>
        <v>0</v>
      </c>
      <c r="AE89" s="199">
        <f>IFERROR(__xludf.DUMMYFUNCTION("""COMPUTED_VALUE"""),27.0)</f>
        <v>27</v>
      </c>
      <c r="AF89" s="199">
        <f>IFERROR(__xludf.DUMMYFUNCTION("""COMPUTED_VALUE"""),1.0)</f>
        <v>1</v>
      </c>
      <c r="AG89" s="199">
        <f>IFERROR(__xludf.DUMMYFUNCTION("""COMPUTED_VALUE"""),224.0)</f>
        <v>224</v>
      </c>
      <c r="AH89" s="199">
        <f>IFERROR(__xludf.DUMMYFUNCTION("""COMPUTED_VALUE"""),46.0)</f>
        <v>46</v>
      </c>
      <c r="AI89" s="200" t="str">
        <f>IFERROR(__xludf.DUMMYFUNCTION("""COMPUTED_VALUE"""),"General Caution")</f>
        <v>General Caution</v>
      </c>
      <c r="AJ89" s="200" t="str">
        <f>IFERROR(__xludf.DUMMYFUNCTION("""COMPUTED_VALUE"""),"Continue monitoring; resample at next scheduled interval")</f>
        <v>Continue monitoring; resample at next scheduled interval</v>
      </c>
      <c r="AK89" s="204"/>
      <c r="AL89" s="204"/>
      <c r="AM89" s="204"/>
    </row>
    <row r="90" hidden="1">
      <c r="A90" s="199" t="str">
        <f>IFERROR(__xludf.DUMMYFUNCTION("""COMPUTED_VALUE"""),"462.MD152")</f>
        <v>462.MD152</v>
      </c>
      <c r="B90" s="200" t="str">
        <f>IFERROR(__xludf.DUMMYFUNCTION("""COMPUTED_VALUE"""),"Coal Mill 2 Separator Gear box")</f>
        <v>Coal Mill 2 Separator Gear box</v>
      </c>
      <c r="C90" s="199">
        <f>IFERROR(__xludf.DUMMYFUNCTION("""COMPUTED_VALUE"""),2.3276310205E10)</f>
        <v>23276310205</v>
      </c>
      <c r="D90" s="201">
        <f>IFERROR(__xludf.DUMMYFUNCTION("""COMPUTED_VALUE"""),45196.0)</f>
        <v>45196</v>
      </c>
      <c r="E90" s="202" t="str">
        <f>IFERROR(__xludf.DUMMYFUNCTION("""COMPUTED_VALUE"""),"Normal")</f>
        <v>Normal</v>
      </c>
      <c r="F90" s="202" t="str">
        <f>IFERROR(__xludf.DUMMYFUNCTION("""COMPUTED_VALUE"""),"Normal")</f>
        <v>Normal</v>
      </c>
      <c r="G90" s="203" t="str">
        <f>IFERROR(__xludf.DUMMYFUNCTION("""COMPUTED_VALUE"""),"Normal")</f>
        <v>Normal</v>
      </c>
      <c r="H90" s="203" t="str">
        <f>IFERROR(__xludf.DUMMYFUNCTION("""COMPUTED_VALUE"""),"Normal")</f>
        <v>Normal</v>
      </c>
      <c r="I90" s="37">
        <f>IFERROR(__xludf.DUMMYFUNCTION("""COMPUTED_VALUE"""),12136.0)</f>
        <v>12136</v>
      </c>
      <c r="J90" s="37">
        <f>IFERROR(__xludf.DUMMYFUNCTION("""COMPUTED_VALUE"""),10778.0)</f>
        <v>10778</v>
      </c>
      <c r="K90" s="37">
        <f>IFERROR(__xludf.DUMMYFUNCTION("""COMPUTED_VALUE"""),6063.0)</f>
        <v>6063</v>
      </c>
      <c r="L90" s="199">
        <f>IFERROR(__xludf.DUMMYFUNCTION("""COMPUTED_VALUE"""),7.0)</f>
        <v>7</v>
      </c>
      <c r="M90" s="199">
        <f>IFERROR(__xludf.DUMMYFUNCTION("""COMPUTED_VALUE"""),280.8)</f>
        <v>280.8</v>
      </c>
      <c r="N90" s="37"/>
      <c r="O90" s="37"/>
      <c r="P90" s="199">
        <f>IFERROR(__xludf.DUMMYFUNCTION("""COMPUTED_VALUE"""),0.01)</f>
        <v>0.01</v>
      </c>
      <c r="Q90" s="199">
        <f>IFERROR(__xludf.DUMMYFUNCTION("""COMPUTED_VALUE"""),0.0)</f>
        <v>0</v>
      </c>
      <c r="R90" s="199">
        <f>IFERROR(__xludf.DUMMYFUNCTION("""COMPUTED_VALUE"""),2.0)</f>
        <v>2</v>
      </c>
      <c r="S90" s="199">
        <f>IFERROR(__xludf.DUMMYFUNCTION("""COMPUTED_VALUE"""),0.0)</f>
        <v>0</v>
      </c>
      <c r="T90" s="199">
        <f>IFERROR(__xludf.DUMMYFUNCTION("""COMPUTED_VALUE"""),0.0)</f>
        <v>0</v>
      </c>
      <c r="U90" s="199">
        <f>IFERROR(__xludf.DUMMYFUNCTION("""COMPUTED_VALUE"""),2.0)</f>
        <v>2</v>
      </c>
      <c r="V90" s="199">
        <f>IFERROR(__xludf.DUMMYFUNCTION("""COMPUTED_VALUE"""),0.0)</f>
        <v>0</v>
      </c>
      <c r="W90" s="199">
        <f>IFERROR(__xludf.DUMMYFUNCTION("""COMPUTED_VALUE"""),0.0)</f>
        <v>0</v>
      </c>
      <c r="X90" s="199">
        <f>IFERROR(__xludf.DUMMYFUNCTION("""COMPUTED_VALUE"""),0.0)</f>
        <v>0</v>
      </c>
      <c r="Y90" s="199">
        <f>IFERROR(__xludf.DUMMYFUNCTION("""COMPUTED_VALUE"""),1.0)</f>
        <v>1</v>
      </c>
      <c r="Z90" s="199">
        <f>IFERROR(__xludf.DUMMYFUNCTION("""COMPUTED_VALUE"""),2.0)</f>
        <v>2</v>
      </c>
      <c r="AA90" s="199">
        <f>IFERROR(__xludf.DUMMYFUNCTION("""COMPUTED_VALUE"""),1.0)</f>
        <v>1</v>
      </c>
      <c r="AB90" s="199">
        <f>IFERROR(__xludf.DUMMYFUNCTION("""COMPUTED_VALUE"""),3.0)</f>
        <v>3</v>
      </c>
      <c r="AC90" s="199">
        <f>IFERROR(__xludf.DUMMYFUNCTION("""COMPUTED_VALUE"""),13.0)</f>
        <v>13</v>
      </c>
      <c r="AD90" s="199">
        <f>IFERROR(__xludf.DUMMYFUNCTION("""COMPUTED_VALUE"""),0.0)</f>
        <v>0</v>
      </c>
      <c r="AE90" s="199">
        <f>IFERROR(__xludf.DUMMYFUNCTION("""COMPUTED_VALUE"""),6.0)</f>
        <v>6</v>
      </c>
      <c r="AF90" s="199">
        <f>IFERROR(__xludf.DUMMYFUNCTION("""COMPUTED_VALUE"""),2.0)</f>
        <v>2</v>
      </c>
      <c r="AG90" s="199">
        <f>IFERROR(__xludf.DUMMYFUNCTION("""COMPUTED_VALUE"""),333.0)</f>
        <v>333</v>
      </c>
      <c r="AH90" s="199">
        <f>IFERROR(__xludf.DUMMYFUNCTION("""COMPUTED_VALUE"""),0.0)</f>
        <v>0</v>
      </c>
      <c r="AI90" s="200" t="str">
        <f>IFERROR(__xludf.DUMMYFUNCTION("""COMPUTED_VALUE"""),"Normal - No Action Required")</f>
        <v>Normal - No Action Required</v>
      </c>
      <c r="AJ90" s="200" t="str">
        <f>IFERROR(__xludf.DUMMYFUNCTION("""COMPUTED_VALUE"""),"Continue routine monitoring and sampling schedule")</f>
        <v>Continue routine monitoring and sampling schedule</v>
      </c>
      <c r="AK90" s="204"/>
      <c r="AL90" s="204"/>
      <c r="AM90" s="204"/>
    </row>
    <row r="91" hidden="1">
      <c r="A91" s="199" t="str">
        <f>IFERROR(__xludf.DUMMYFUNCTION("""COMPUTED_VALUE"""),"R2.322.BE220")</f>
        <v>R2.322.BE220</v>
      </c>
      <c r="B91" s="200" t="str">
        <f>IFERROR(__xludf.DUMMYFUNCTION("""COMPUTED_VALUE"""),"R2 Bucket Elevator gearbox")</f>
        <v>R2 Bucket Elevator gearbox</v>
      </c>
      <c r="C91" s="199">
        <f>IFERROR(__xludf.DUMMYFUNCTION("""COMPUTED_VALUE"""),2.3275210248E10)</f>
        <v>23275210248</v>
      </c>
      <c r="D91" s="201">
        <f>IFERROR(__xludf.DUMMYFUNCTION("""COMPUTED_VALUE"""),45196.0)</f>
        <v>45196</v>
      </c>
      <c r="E91" s="202" t="str">
        <f>IFERROR(__xludf.DUMMYFUNCTION("""COMPUTED_VALUE"""),"Normal")</f>
        <v>Normal</v>
      </c>
      <c r="F91" s="202" t="str">
        <f>IFERROR(__xludf.DUMMYFUNCTION("""COMPUTED_VALUE"""),"Normal")</f>
        <v>Normal</v>
      </c>
      <c r="G91" s="203" t="str">
        <f>IFERROR(__xludf.DUMMYFUNCTION("""COMPUTED_VALUE"""),"Normal")</f>
        <v>Normal</v>
      </c>
      <c r="H91" s="203" t="str">
        <f>IFERROR(__xludf.DUMMYFUNCTION("""COMPUTED_VALUE"""),"Normal")</f>
        <v>Normal</v>
      </c>
      <c r="I91" s="37">
        <f>IFERROR(__xludf.DUMMYFUNCTION("""COMPUTED_VALUE"""),61860.0)</f>
        <v>61860</v>
      </c>
      <c r="J91" s="37">
        <f>IFERROR(__xludf.DUMMYFUNCTION("""COMPUTED_VALUE"""),37451.0)</f>
        <v>37451</v>
      </c>
      <c r="K91" s="37">
        <f>IFERROR(__xludf.DUMMYFUNCTION("""COMPUTED_VALUE"""),321.0)</f>
        <v>321</v>
      </c>
      <c r="L91" s="199">
        <f>IFERROR(__xludf.DUMMYFUNCTION("""COMPUTED_VALUE"""),8.0)</f>
        <v>8</v>
      </c>
      <c r="M91" s="199">
        <f>IFERROR(__xludf.DUMMYFUNCTION("""COMPUTED_VALUE"""),300.3)</f>
        <v>300.3</v>
      </c>
      <c r="N91" s="199"/>
      <c r="O91" s="199">
        <f>IFERROR(__xludf.DUMMYFUNCTION("""COMPUTED_VALUE"""),0.0)</f>
        <v>0</v>
      </c>
      <c r="P91" s="199">
        <f>IFERROR(__xludf.DUMMYFUNCTION("""COMPUTED_VALUE"""),0.03)</f>
        <v>0.03</v>
      </c>
      <c r="Q91" s="199">
        <f>IFERROR(__xludf.DUMMYFUNCTION("""COMPUTED_VALUE"""),0.0)</f>
        <v>0</v>
      </c>
      <c r="R91" s="199">
        <f>IFERROR(__xludf.DUMMYFUNCTION("""COMPUTED_VALUE"""),4.0)</f>
        <v>4</v>
      </c>
      <c r="S91" s="199">
        <f>IFERROR(__xludf.DUMMYFUNCTION("""COMPUTED_VALUE"""),0.0)</f>
        <v>0</v>
      </c>
      <c r="T91" s="199">
        <f>IFERROR(__xludf.DUMMYFUNCTION("""COMPUTED_VALUE"""),0.0)</f>
        <v>0</v>
      </c>
      <c r="U91" s="199">
        <f>IFERROR(__xludf.DUMMYFUNCTION("""COMPUTED_VALUE"""),13.0)</f>
        <v>13</v>
      </c>
      <c r="V91" s="199">
        <f>IFERROR(__xludf.DUMMYFUNCTION("""COMPUTED_VALUE"""),0.0)</f>
        <v>0</v>
      </c>
      <c r="W91" s="199">
        <f>IFERROR(__xludf.DUMMYFUNCTION("""COMPUTED_VALUE"""),0.0)</f>
        <v>0</v>
      </c>
      <c r="X91" s="199">
        <f>IFERROR(__xludf.DUMMYFUNCTION("""COMPUTED_VALUE"""),0.0)</f>
        <v>0</v>
      </c>
      <c r="Y91" s="199">
        <f>IFERROR(__xludf.DUMMYFUNCTION("""COMPUTED_VALUE"""),0.0)</f>
        <v>0</v>
      </c>
      <c r="Z91" s="199">
        <f>IFERROR(__xludf.DUMMYFUNCTION("""COMPUTED_VALUE"""),8.0)</f>
        <v>8</v>
      </c>
      <c r="AA91" s="199">
        <f>IFERROR(__xludf.DUMMYFUNCTION("""COMPUTED_VALUE"""),0.0)</f>
        <v>0</v>
      </c>
      <c r="AB91" s="199">
        <f>IFERROR(__xludf.DUMMYFUNCTION("""COMPUTED_VALUE"""),4.0)</f>
        <v>4</v>
      </c>
      <c r="AC91" s="199">
        <f>IFERROR(__xludf.DUMMYFUNCTION("""COMPUTED_VALUE"""),22.0)</f>
        <v>22</v>
      </c>
      <c r="AD91" s="199">
        <f>IFERROR(__xludf.DUMMYFUNCTION("""COMPUTED_VALUE"""),0.0)</f>
        <v>0</v>
      </c>
      <c r="AE91" s="199">
        <f>IFERROR(__xludf.DUMMYFUNCTION("""COMPUTED_VALUE"""),39.0)</f>
        <v>39</v>
      </c>
      <c r="AF91" s="199">
        <f>IFERROR(__xludf.DUMMYFUNCTION("""COMPUTED_VALUE"""),1.0)</f>
        <v>1</v>
      </c>
      <c r="AG91" s="199">
        <f>IFERROR(__xludf.DUMMYFUNCTION("""COMPUTED_VALUE"""),475.0)</f>
        <v>475</v>
      </c>
      <c r="AH91" s="199">
        <f>IFERROR(__xludf.DUMMYFUNCTION("""COMPUTED_VALUE"""),4.0)</f>
        <v>4</v>
      </c>
      <c r="AI91" s="200" t="str">
        <f>IFERROR(__xludf.DUMMYFUNCTION("""COMPUTED_VALUE"""),"Normal - No Action Required")</f>
        <v>Normal - No Action Required</v>
      </c>
      <c r="AJ91" s="200" t="str">
        <f>IFERROR(__xludf.DUMMYFUNCTION("""COMPUTED_VALUE"""),"Continue routine monitoring and sampling schedule")</f>
        <v>Continue routine monitoring and sampling schedule</v>
      </c>
      <c r="AK91" s="204"/>
      <c r="AL91" s="204"/>
      <c r="AM91" s="204"/>
    </row>
    <row r="92" hidden="1">
      <c r="A92" s="199" t="str">
        <f>IFERROR(__xludf.DUMMYFUNCTION("""COMPUTED_VALUE"""),"321.BE220")</f>
        <v>321.BE220</v>
      </c>
      <c r="B92" s="200" t="str">
        <f>IFERROR(__xludf.DUMMYFUNCTION("""COMPUTED_VALUE"""),"Bucket Elevator gearbox")</f>
        <v>Bucket Elevator gearbox</v>
      </c>
      <c r="C92" s="199">
        <f>IFERROR(__xludf.DUMMYFUNCTION("""COMPUTED_VALUE"""),2.3276310211E10)</f>
        <v>23276310211</v>
      </c>
      <c r="D92" s="201">
        <f>IFERROR(__xludf.DUMMYFUNCTION("""COMPUTED_VALUE"""),45196.0)</f>
        <v>45196</v>
      </c>
      <c r="E92" s="202" t="str">
        <f>IFERROR(__xludf.DUMMYFUNCTION("""COMPUTED_VALUE"""),"Normal")</f>
        <v>Normal</v>
      </c>
      <c r="F92" s="202" t="str">
        <f>IFERROR(__xludf.DUMMYFUNCTION("""COMPUTED_VALUE"""),"Normal")</f>
        <v>Normal</v>
      </c>
      <c r="G92" s="203" t="str">
        <f>IFERROR(__xludf.DUMMYFUNCTION("""COMPUTED_VALUE"""),"Normal")</f>
        <v>Normal</v>
      </c>
      <c r="H92" s="203" t="str">
        <f>IFERROR(__xludf.DUMMYFUNCTION("""COMPUTED_VALUE"""),"Normal")</f>
        <v>Normal</v>
      </c>
      <c r="I92" s="37">
        <f>IFERROR(__xludf.DUMMYFUNCTION("""COMPUTED_VALUE"""),6450.0)</f>
        <v>6450</v>
      </c>
      <c r="J92" s="37">
        <f>IFERROR(__xludf.DUMMYFUNCTION("""COMPUTED_VALUE"""),3585.0)</f>
        <v>3585</v>
      </c>
      <c r="K92" s="37">
        <f>IFERROR(__xludf.DUMMYFUNCTION("""COMPUTED_VALUE"""),721.0)</f>
        <v>721</v>
      </c>
      <c r="L92" s="199">
        <f>IFERROR(__xludf.DUMMYFUNCTION("""COMPUTED_VALUE"""),6.0)</f>
        <v>6</v>
      </c>
      <c r="M92" s="199">
        <f>IFERROR(__xludf.DUMMYFUNCTION("""COMPUTED_VALUE"""),281.9)</f>
        <v>281.9</v>
      </c>
      <c r="N92" s="199"/>
      <c r="O92" s="199">
        <f>IFERROR(__xludf.DUMMYFUNCTION("""COMPUTED_VALUE"""),0.0)</f>
        <v>0</v>
      </c>
      <c r="P92" s="199">
        <f>IFERROR(__xludf.DUMMYFUNCTION("""COMPUTED_VALUE"""),0.003)</f>
        <v>0.003</v>
      </c>
      <c r="Q92" s="199">
        <f>IFERROR(__xludf.DUMMYFUNCTION("""COMPUTED_VALUE"""),0.0)</f>
        <v>0</v>
      </c>
      <c r="R92" s="199">
        <f>IFERROR(__xludf.DUMMYFUNCTION("""COMPUTED_VALUE"""),2.0)</f>
        <v>2</v>
      </c>
      <c r="S92" s="199">
        <f>IFERROR(__xludf.DUMMYFUNCTION("""COMPUTED_VALUE"""),0.0)</f>
        <v>0</v>
      </c>
      <c r="T92" s="199">
        <f>IFERROR(__xludf.DUMMYFUNCTION("""COMPUTED_VALUE"""),0.0)</f>
        <v>0</v>
      </c>
      <c r="U92" s="199">
        <f>IFERROR(__xludf.DUMMYFUNCTION("""COMPUTED_VALUE"""),30.0)</f>
        <v>30</v>
      </c>
      <c r="V92" s="199">
        <f>IFERROR(__xludf.DUMMYFUNCTION("""COMPUTED_VALUE"""),0.0)</f>
        <v>0</v>
      </c>
      <c r="W92" s="199">
        <f>IFERROR(__xludf.DUMMYFUNCTION("""COMPUTED_VALUE"""),0.0)</f>
        <v>0</v>
      </c>
      <c r="X92" s="199">
        <f>IFERROR(__xludf.DUMMYFUNCTION("""COMPUTED_VALUE"""),0.0)</f>
        <v>0</v>
      </c>
      <c r="Y92" s="199">
        <f>IFERROR(__xludf.DUMMYFUNCTION("""COMPUTED_VALUE"""),0.0)</f>
        <v>0</v>
      </c>
      <c r="Z92" s="199">
        <f>IFERROR(__xludf.DUMMYFUNCTION("""COMPUTED_VALUE"""),2.0)</f>
        <v>2</v>
      </c>
      <c r="AA92" s="199">
        <f>IFERROR(__xludf.DUMMYFUNCTION("""COMPUTED_VALUE"""),4.0)</f>
        <v>4</v>
      </c>
      <c r="AB92" s="199">
        <f>IFERROR(__xludf.DUMMYFUNCTION("""COMPUTED_VALUE"""),2.0)</f>
        <v>2</v>
      </c>
      <c r="AC92" s="199">
        <f>IFERROR(__xludf.DUMMYFUNCTION("""COMPUTED_VALUE"""),8.0)</f>
        <v>8</v>
      </c>
      <c r="AD92" s="199">
        <f>IFERROR(__xludf.DUMMYFUNCTION("""COMPUTED_VALUE"""),0.0)</f>
        <v>0</v>
      </c>
      <c r="AE92" s="199">
        <f>IFERROR(__xludf.DUMMYFUNCTION("""COMPUTED_VALUE"""),44.0)</f>
        <v>44</v>
      </c>
      <c r="AF92" s="199">
        <f>IFERROR(__xludf.DUMMYFUNCTION("""COMPUTED_VALUE"""),1.0)</f>
        <v>1</v>
      </c>
      <c r="AG92" s="199">
        <f>IFERROR(__xludf.DUMMYFUNCTION("""COMPUTED_VALUE"""),367.0)</f>
        <v>367</v>
      </c>
      <c r="AH92" s="199">
        <f>IFERROR(__xludf.DUMMYFUNCTION("""COMPUTED_VALUE"""),30.0)</f>
        <v>30</v>
      </c>
      <c r="AI92" s="200" t="str">
        <f>IFERROR(__xludf.DUMMYFUNCTION("""COMPUTED_VALUE"""),"Normal - No Action Required")</f>
        <v>Normal - No Action Required</v>
      </c>
      <c r="AJ92" s="200" t="str">
        <f>IFERROR(__xludf.DUMMYFUNCTION("""COMPUTED_VALUE"""),"Continue routine monitoring and sampling schedule")</f>
        <v>Continue routine monitoring and sampling schedule</v>
      </c>
      <c r="AK92" s="204"/>
      <c r="AL92" s="204"/>
      <c r="AM92" s="204"/>
    </row>
    <row r="93" hidden="1">
      <c r="A93" s="199" t="str">
        <f>IFERROR(__xludf.DUMMYFUNCTION("""COMPUTED_VALUE"""),"471.CV200")</f>
        <v>471.CV200</v>
      </c>
      <c r="B93" s="200" t="str">
        <f>IFERROR(__xludf.DUMMYFUNCTION("""COMPUTED_VALUE"""),"Drag chain geared motor")</f>
        <v>Drag chain geared motor</v>
      </c>
      <c r="C93" s="199">
        <f>IFERROR(__xludf.DUMMYFUNCTION("""COMPUTED_VALUE"""),2.3330033232E10)</f>
        <v>23330033232</v>
      </c>
      <c r="D93" s="201">
        <f>IFERROR(__xludf.DUMMYFUNCTION("""COMPUTED_VALUE"""),45225.0)</f>
        <v>45225</v>
      </c>
      <c r="E93" s="202" t="str">
        <f>IFERROR(__xludf.DUMMYFUNCTION("""COMPUTED_VALUE"""),"Caution")</f>
        <v>Caution</v>
      </c>
      <c r="F93" s="202" t="str">
        <f>IFERROR(__xludf.DUMMYFUNCTION("""COMPUTED_VALUE"""),"Caution")</f>
        <v>Caution</v>
      </c>
      <c r="G93" s="203" t="str">
        <f>IFERROR(__xludf.DUMMYFUNCTION("""COMPUTED_VALUE"""),"Normal")</f>
        <v>Normal</v>
      </c>
      <c r="H93" s="203" t="str">
        <f>IFERROR(__xludf.DUMMYFUNCTION("""COMPUTED_VALUE"""),"Normal")</f>
        <v>Normal</v>
      </c>
      <c r="I93" s="199">
        <f>IFERROR(__xludf.DUMMYFUNCTION("""COMPUTED_VALUE"""),9784.0)</f>
        <v>9784</v>
      </c>
      <c r="J93" s="199">
        <f>IFERROR(__xludf.DUMMYFUNCTION("""COMPUTED_VALUE"""),3174.0)</f>
        <v>3174</v>
      </c>
      <c r="K93" s="199">
        <f>IFERROR(__xludf.DUMMYFUNCTION("""COMPUTED_VALUE"""),1322.0)</f>
        <v>1322</v>
      </c>
      <c r="L93" s="199">
        <f>IFERROR(__xludf.DUMMYFUNCTION("""COMPUTED_VALUE"""),14.0)</f>
        <v>14</v>
      </c>
      <c r="M93" s="199">
        <f>IFERROR(__xludf.DUMMYFUNCTION("""COMPUTED_VALUE"""),280.2)</f>
        <v>280.2</v>
      </c>
      <c r="N93" s="37"/>
      <c r="O93" s="37"/>
      <c r="P93" s="199">
        <f>IFERROR(__xludf.DUMMYFUNCTION("""COMPUTED_VALUE"""),0.05)</f>
        <v>0.05</v>
      </c>
      <c r="Q93" s="199">
        <f>IFERROR(__xludf.DUMMYFUNCTION("""COMPUTED_VALUE"""),0.0)</f>
        <v>0</v>
      </c>
      <c r="R93" s="199">
        <f>IFERROR(__xludf.DUMMYFUNCTION("""COMPUTED_VALUE"""),0.0)</f>
        <v>0</v>
      </c>
      <c r="S93" s="199">
        <f>IFERROR(__xludf.DUMMYFUNCTION("""COMPUTED_VALUE"""),0.0)</f>
        <v>0</v>
      </c>
      <c r="T93" s="199">
        <f>IFERROR(__xludf.DUMMYFUNCTION("""COMPUTED_VALUE"""),0.0)</f>
        <v>0</v>
      </c>
      <c r="U93" s="199">
        <f>IFERROR(__xludf.DUMMYFUNCTION("""COMPUTED_VALUE"""),9.0)</f>
        <v>9</v>
      </c>
      <c r="V93" s="199">
        <f>IFERROR(__xludf.DUMMYFUNCTION("""COMPUTED_VALUE"""),0.0)</f>
        <v>0</v>
      </c>
      <c r="W93" s="199">
        <f>IFERROR(__xludf.DUMMYFUNCTION("""COMPUTED_VALUE"""),0.0)</f>
        <v>0</v>
      </c>
      <c r="X93" s="199">
        <f>IFERROR(__xludf.DUMMYFUNCTION("""COMPUTED_VALUE"""),0.0)</f>
        <v>0</v>
      </c>
      <c r="Y93" s="199">
        <f>IFERROR(__xludf.DUMMYFUNCTION("""COMPUTED_VALUE"""),0.0)</f>
        <v>0</v>
      </c>
      <c r="Z93" s="199">
        <f>IFERROR(__xludf.DUMMYFUNCTION("""COMPUTED_VALUE"""),0.0)</f>
        <v>0</v>
      </c>
      <c r="AA93" s="199">
        <f>IFERROR(__xludf.DUMMYFUNCTION("""COMPUTED_VALUE"""),0.0)</f>
        <v>0</v>
      </c>
      <c r="AB93" s="199">
        <f>IFERROR(__xludf.DUMMYFUNCTION("""COMPUTED_VALUE"""),4.0)</f>
        <v>4</v>
      </c>
      <c r="AC93" s="199">
        <f>IFERROR(__xludf.DUMMYFUNCTION("""COMPUTED_VALUE"""),24.0)</f>
        <v>24</v>
      </c>
      <c r="AD93" s="199">
        <f>IFERROR(__xludf.DUMMYFUNCTION("""COMPUTED_VALUE"""),0.0)</f>
        <v>0</v>
      </c>
      <c r="AE93" s="199">
        <f>IFERROR(__xludf.DUMMYFUNCTION("""COMPUTED_VALUE"""),47.0)</f>
        <v>47</v>
      </c>
      <c r="AF93" s="199">
        <f>IFERROR(__xludf.DUMMYFUNCTION("""COMPUTED_VALUE"""),22.0)</f>
        <v>22</v>
      </c>
      <c r="AG93" s="199">
        <f>IFERROR(__xludf.DUMMYFUNCTION("""COMPUTED_VALUE"""),298.0)</f>
        <v>298</v>
      </c>
      <c r="AH93" s="199">
        <f>IFERROR(__xludf.DUMMYFUNCTION("""COMPUTED_VALUE"""),24.0)</f>
        <v>24</v>
      </c>
      <c r="AI93" s="200" t="str">
        <f>IFERROR(__xludf.DUMMYFUNCTION("""COMPUTED_VALUE"""),"General Caution")</f>
        <v>General Caution</v>
      </c>
      <c r="AJ93" s="200" t="str">
        <f>IFERROR(__xludf.DUMMYFUNCTION("""COMPUTED_VALUE"""),"Continue monitoring; resample at next scheduled interval")</f>
        <v>Continue monitoring; resample at next scheduled interval</v>
      </c>
      <c r="AK93" s="204"/>
      <c r="AL93" s="204"/>
      <c r="AM93" s="204"/>
    </row>
    <row r="94" hidden="1">
      <c r="A94" s="199" t="str">
        <f>IFERROR(__xludf.DUMMYFUNCTION("""COMPUTED_VALUE"""),"131.ST200.M12")</f>
        <v>131.ST200.M12</v>
      </c>
      <c r="B94" s="200" t="str">
        <f>IFERROR(__xludf.DUMMYFUNCTION("""COMPUTED_VALUE"""),"Stacker Belt gearbox")</f>
        <v>Stacker Belt gearbox</v>
      </c>
      <c r="C94" s="199">
        <f>IFERROR(__xludf.DUMMYFUNCTION("""COMPUTED_VALUE"""),2.3303300248E10)</f>
        <v>23303300248</v>
      </c>
      <c r="D94" s="201">
        <f>IFERROR(__xludf.DUMMYFUNCTION("""COMPUTED_VALUE"""),45225.0)</f>
        <v>45225</v>
      </c>
      <c r="E94" s="202" t="str">
        <f>IFERROR(__xludf.DUMMYFUNCTION("""COMPUTED_VALUE"""),"Normal")</f>
        <v>Normal</v>
      </c>
      <c r="F94" s="202" t="str">
        <f>IFERROR(__xludf.DUMMYFUNCTION("""COMPUTED_VALUE"""),"Normal")</f>
        <v>Normal</v>
      </c>
      <c r="G94" s="203" t="str">
        <f>IFERROR(__xludf.DUMMYFUNCTION("""COMPUTED_VALUE"""),"Normal")</f>
        <v>Normal</v>
      </c>
      <c r="H94" s="203" t="str">
        <f>IFERROR(__xludf.DUMMYFUNCTION("""COMPUTED_VALUE"""),"Normal")</f>
        <v>Normal</v>
      </c>
      <c r="I94" s="199">
        <f>IFERROR(__xludf.DUMMYFUNCTION("""COMPUTED_VALUE"""),24096.0)</f>
        <v>24096</v>
      </c>
      <c r="J94" s="199">
        <f>IFERROR(__xludf.DUMMYFUNCTION("""COMPUTED_VALUE"""),10533.0)</f>
        <v>10533</v>
      </c>
      <c r="K94" s="199">
        <f>IFERROR(__xludf.DUMMYFUNCTION("""COMPUTED_VALUE"""),399.0)</f>
        <v>399</v>
      </c>
      <c r="L94" s="199">
        <f>IFERROR(__xludf.DUMMYFUNCTION("""COMPUTED_VALUE"""),11.0)</f>
        <v>11</v>
      </c>
      <c r="M94" s="199">
        <f>IFERROR(__xludf.DUMMYFUNCTION("""COMPUTED_VALUE"""),279.9)</f>
        <v>279.9</v>
      </c>
      <c r="N94" s="37"/>
      <c r="O94" s="37">
        <f>IFERROR(__xludf.DUMMYFUNCTION("""COMPUTED_VALUE"""),0.0)</f>
        <v>0</v>
      </c>
      <c r="P94" s="199">
        <f>IFERROR(__xludf.DUMMYFUNCTION("""COMPUTED_VALUE"""),0.04)</f>
        <v>0.04</v>
      </c>
      <c r="Q94" s="199">
        <f>IFERROR(__xludf.DUMMYFUNCTION("""COMPUTED_VALUE"""),0.0)</f>
        <v>0</v>
      </c>
      <c r="R94" s="199">
        <f>IFERROR(__xludf.DUMMYFUNCTION("""COMPUTED_VALUE"""),1.0)</f>
        <v>1</v>
      </c>
      <c r="S94" s="199">
        <f>IFERROR(__xludf.DUMMYFUNCTION("""COMPUTED_VALUE"""),0.0)</f>
        <v>0</v>
      </c>
      <c r="T94" s="199">
        <f>IFERROR(__xludf.DUMMYFUNCTION("""COMPUTED_VALUE"""),0.0)</f>
        <v>0</v>
      </c>
      <c r="U94" s="199">
        <f>IFERROR(__xludf.DUMMYFUNCTION("""COMPUTED_VALUE"""),15.0)</f>
        <v>15</v>
      </c>
      <c r="V94" s="199">
        <f>IFERROR(__xludf.DUMMYFUNCTION("""COMPUTED_VALUE"""),0.0)</f>
        <v>0</v>
      </c>
      <c r="W94" s="199">
        <f>IFERROR(__xludf.DUMMYFUNCTION("""COMPUTED_VALUE"""),0.0)</f>
        <v>0</v>
      </c>
      <c r="X94" s="199">
        <f>IFERROR(__xludf.DUMMYFUNCTION("""COMPUTED_VALUE"""),0.0)</f>
        <v>0</v>
      </c>
      <c r="Y94" s="199">
        <f>IFERROR(__xludf.DUMMYFUNCTION("""COMPUTED_VALUE"""),0.0)</f>
        <v>0</v>
      </c>
      <c r="Z94" s="199">
        <f>IFERROR(__xludf.DUMMYFUNCTION("""COMPUTED_VALUE"""),2.0)</f>
        <v>2</v>
      </c>
      <c r="AA94" s="199">
        <f>IFERROR(__xludf.DUMMYFUNCTION("""COMPUTED_VALUE"""),0.0)</f>
        <v>0</v>
      </c>
      <c r="AB94" s="199">
        <f>IFERROR(__xludf.DUMMYFUNCTION("""COMPUTED_VALUE"""),6.0)</f>
        <v>6</v>
      </c>
      <c r="AC94" s="199">
        <f>IFERROR(__xludf.DUMMYFUNCTION("""COMPUTED_VALUE"""),25.0)</f>
        <v>25</v>
      </c>
      <c r="AD94" s="199">
        <f>IFERROR(__xludf.DUMMYFUNCTION("""COMPUTED_VALUE"""),0.0)</f>
        <v>0</v>
      </c>
      <c r="AE94" s="199">
        <f>IFERROR(__xludf.DUMMYFUNCTION("""COMPUTED_VALUE"""),50.0)</f>
        <v>50</v>
      </c>
      <c r="AF94" s="199">
        <f>IFERROR(__xludf.DUMMYFUNCTION("""COMPUTED_VALUE"""),24.0)</f>
        <v>24</v>
      </c>
      <c r="AG94" s="199">
        <f>IFERROR(__xludf.DUMMYFUNCTION("""COMPUTED_VALUE"""),236.0)</f>
        <v>236</v>
      </c>
      <c r="AH94" s="199">
        <f>IFERROR(__xludf.DUMMYFUNCTION("""COMPUTED_VALUE"""),14.0)</f>
        <v>14</v>
      </c>
      <c r="AI94" s="200" t="str">
        <f>IFERROR(__xludf.DUMMYFUNCTION("""COMPUTED_VALUE"""),"Normal - No Action Required")</f>
        <v>Normal - No Action Required</v>
      </c>
      <c r="AJ94" s="200" t="str">
        <f>IFERROR(__xludf.DUMMYFUNCTION("""COMPUTED_VALUE"""),"Continue routine monitoring and sampling schedule")</f>
        <v>Continue routine monitoring and sampling schedule</v>
      </c>
      <c r="AK94" s="204"/>
      <c r="AL94" s="204"/>
      <c r="AM94" s="204"/>
    </row>
    <row r="95" hidden="1">
      <c r="A95" s="199" t="str">
        <f>IFERROR(__xludf.DUMMYFUNCTION("""COMPUTED_VALUE"""),"351.BE350 R")</f>
        <v>351.BE350 R</v>
      </c>
      <c r="B95" s="200" t="str">
        <f>IFERROR(__xludf.DUMMYFUNCTION("""COMPUTED_VALUE"""),"Bucket Elevator GB - R")</f>
        <v>Bucket Elevator GB - R</v>
      </c>
      <c r="C95" s="199">
        <f>IFERROR(__xludf.DUMMYFUNCTION("""COMPUTED_VALUE"""),2.3303300246E10)</f>
        <v>23303300246</v>
      </c>
      <c r="D95" s="201">
        <f>IFERROR(__xludf.DUMMYFUNCTION("""COMPUTED_VALUE"""),45225.0)</f>
        <v>45225</v>
      </c>
      <c r="E95" s="202" t="str">
        <f>IFERROR(__xludf.DUMMYFUNCTION("""COMPUTED_VALUE"""),"Caution")</f>
        <v>Caution</v>
      </c>
      <c r="F95" s="202" t="str">
        <f>IFERROR(__xludf.DUMMYFUNCTION("""COMPUTED_VALUE"""),"Caution")</f>
        <v>Caution</v>
      </c>
      <c r="G95" s="203" t="str">
        <f>IFERROR(__xludf.DUMMYFUNCTION("""COMPUTED_VALUE"""),"Normal")</f>
        <v>Normal</v>
      </c>
      <c r="H95" s="203" t="str">
        <f>IFERROR(__xludf.DUMMYFUNCTION("""COMPUTED_VALUE"""),"Normal")</f>
        <v>Normal</v>
      </c>
      <c r="I95" s="37">
        <f>IFERROR(__xludf.DUMMYFUNCTION("""COMPUTED_VALUE"""),66978.0)</f>
        <v>66978</v>
      </c>
      <c r="J95" s="37">
        <f>IFERROR(__xludf.DUMMYFUNCTION("""COMPUTED_VALUE"""),27468.0)</f>
        <v>27468</v>
      </c>
      <c r="K95" s="37">
        <f>IFERROR(__xludf.DUMMYFUNCTION("""COMPUTED_VALUE"""),533.0)</f>
        <v>533</v>
      </c>
      <c r="L95" s="199">
        <f>IFERROR(__xludf.DUMMYFUNCTION("""COMPUTED_VALUE"""),14.0)</f>
        <v>14</v>
      </c>
      <c r="M95" s="199">
        <f>IFERROR(__xludf.DUMMYFUNCTION("""COMPUTED_VALUE"""),288.0)</f>
        <v>288</v>
      </c>
      <c r="N95" s="37"/>
      <c r="O95" s="37"/>
      <c r="P95" s="199">
        <f>IFERROR(__xludf.DUMMYFUNCTION("""COMPUTED_VALUE"""),0.05)</f>
        <v>0.05</v>
      </c>
      <c r="Q95" s="199">
        <f>IFERROR(__xludf.DUMMYFUNCTION("""COMPUTED_VALUE"""),0.0)</f>
        <v>0</v>
      </c>
      <c r="R95" s="199">
        <f>IFERROR(__xludf.DUMMYFUNCTION("""COMPUTED_VALUE"""),0.0)</f>
        <v>0</v>
      </c>
      <c r="S95" s="199">
        <f>IFERROR(__xludf.DUMMYFUNCTION("""COMPUTED_VALUE"""),0.0)</f>
        <v>0</v>
      </c>
      <c r="T95" s="199">
        <f>IFERROR(__xludf.DUMMYFUNCTION("""COMPUTED_VALUE"""),0.0)</f>
        <v>0</v>
      </c>
      <c r="U95" s="199">
        <f>IFERROR(__xludf.DUMMYFUNCTION("""COMPUTED_VALUE"""),11.0)</f>
        <v>11</v>
      </c>
      <c r="V95" s="199">
        <f>IFERROR(__xludf.DUMMYFUNCTION("""COMPUTED_VALUE"""),0.0)</f>
        <v>0</v>
      </c>
      <c r="W95" s="199">
        <f>IFERROR(__xludf.DUMMYFUNCTION("""COMPUTED_VALUE"""),0.0)</f>
        <v>0</v>
      </c>
      <c r="X95" s="199">
        <f>IFERROR(__xludf.DUMMYFUNCTION("""COMPUTED_VALUE"""),0.0)</f>
        <v>0</v>
      </c>
      <c r="Y95" s="199">
        <f>IFERROR(__xludf.DUMMYFUNCTION("""COMPUTED_VALUE"""),0.0)</f>
        <v>0</v>
      </c>
      <c r="Z95" s="199">
        <f>IFERROR(__xludf.DUMMYFUNCTION("""COMPUTED_VALUE"""),0.0)</f>
        <v>0</v>
      </c>
      <c r="AA95" s="199">
        <f>IFERROR(__xludf.DUMMYFUNCTION("""COMPUTED_VALUE"""),0.0)</f>
        <v>0</v>
      </c>
      <c r="AB95" s="199">
        <f>IFERROR(__xludf.DUMMYFUNCTION("""COMPUTED_VALUE"""),2.0)</f>
        <v>2</v>
      </c>
      <c r="AC95" s="199">
        <f>IFERROR(__xludf.DUMMYFUNCTION("""COMPUTED_VALUE"""),24.0)</f>
        <v>24</v>
      </c>
      <c r="AD95" s="199">
        <f>IFERROR(__xludf.DUMMYFUNCTION("""COMPUTED_VALUE"""),0.0)</f>
        <v>0</v>
      </c>
      <c r="AE95" s="199">
        <f>IFERROR(__xludf.DUMMYFUNCTION("""COMPUTED_VALUE"""),19.0)</f>
        <v>19</v>
      </c>
      <c r="AF95" s="199">
        <f>IFERROR(__xludf.DUMMYFUNCTION("""COMPUTED_VALUE"""),7.0)</f>
        <v>7</v>
      </c>
      <c r="AG95" s="199">
        <f>IFERROR(__xludf.DUMMYFUNCTION("""COMPUTED_VALUE"""),312.0)</f>
        <v>312</v>
      </c>
      <c r="AH95" s="199">
        <f>IFERROR(__xludf.DUMMYFUNCTION("""COMPUTED_VALUE"""),8.0)</f>
        <v>8</v>
      </c>
      <c r="AI95" s="200" t="str">
        <f>IFERROR(__xludf.DUMMYFUNCTION("""COMPUTED_VALUE"""),"General Caution")</f>
        <v>General Caution</v>
      </c>
      <c r="AJ95" s="200" t="str">
        <f>IFERROR(__xludf.DUMMYFUNCTION("""COMPUTED_VALUE"""),"Continue monitoring; resample at next scheduled interval")</f>
        <v>Continue monitoring; resample at next scheduled interval</v>
      </c>
      <c r="AK95" s="204"/>
      <c r="AL95" s="204"/>
      <c r="AM95" s="204"/>
    </row>
    <row r="96" hidden="1">
      <c r="A96" s="199" t="str">
        <f>IFERROR(__xludf.DUMMYFUNCTION("""COMPUTED_VALUE"""),"321.LQ120 (R3)")</f>
        <v>321.LQ120 (R3)</v>
      </c>
      <c r="B96" s="200" t="str">
        <f>IFERROR(__xludf.DUMMYFUNCTION("""COMPUTED_VALUE"""),"Roller Lubrication Return R3 (filter Cup)")</f>
        <v>Roller Lubrication Return R3 (filter Cup)</v>
      </c>
      <c r="C96" s="199">
        <f>IFERROR(__xludf.DUMMYFUNCTION("""COMPUTED_VALUE"""),2.3351170204E10)</f>
        <v>23351170204</v>
      </c>
      <c r="D96" s="201">
        <f>IFERROR(__xludf.DUMMYFUNCTION("""COMPUTED_VALUE"""),45266.0)</f>
        <v>45266</v>
      </c>
      <c r="E96" s="202" t="str">
        <f>IFERROR(__xludf.DUMMYFUNCTION("""COMPUTED_VALUE"""),"Normal")</f>
        <v>Normal</v>
      </c>
      <c r="F96" s="202" t="str">
        <f>IFERROR(__xludf.DUMMYFUNCTION("""COMPUTED_VALUE"""),"Normal")</f>
        <v>Normal</v>
      </c>
      <c r="G96" s="203" t="str">
        <f>IFERROR(__xludf.DUMMYFUNCTION("""COMPUTED_VALUE"""),"Normal")</f>
        <v>Normal</v>
      </c>
      <c r="H96" s="203" t="str">
        <f>IFERROR(__xludf.DUMMYFUNCTION("""COMPUTED_VALUE"""),"Normal")</f>
        <v>Normal</v>
      </c>
      <c r="I96" s="199"/>
      <c r="J96" s="199"/>
      <c r="K96" s="199"/>
      <c r="L96" s="199">
        <f>IFERROR(__xludf.DUMMYFUNCTION("""COMPUTED_VALUE"""),38.0)</f>
        <v>38</v>
      </c>
      <c r="M96" s="199">
        <f>IFERROR(__xludf.DUMMYFUNCTION("""COMPUTED_VALUE"""),75.7)</f>
        <v>75.7</v>
      </c>
      <c r="N96" s="37"/>
      <c r="O96" s="37"/>
      <c r="P96" s="199">
        <f>IFERROR(__xludf.DUMMYFUNCTION("""COMPUTED_VALUE"""),0.03)</f>
        <v>0.03</v>
      </c>
      <c r="Q96" s="199">
        <f>IFERROR(__xludf.DUMMYFUNCTION("""COMPUTED_VALUE"""),0.0)</f>
        <v>0</v>
      </c>
      <c r="R96" s="199">
        <f>IFERROR(__xludf.DUMMYFUNCTION("""COMPUTED_VALUE"""),0.0)</f>
        <v>0</v>
      </c>
      <c r="S96" s="199">
        <f>IFERROR(__xludf.DUMMYFUNCTION("""COMPUTED_VALUE"""),2.0)</f>
        <v>2</v>
      </c>
      <c r="T96" s="199">
        <f>IFERROR(__xludf.DUMMYFUNCTION("""COMPUTED_VALUE"""),4.0)</f>
        <v>4</v>
      </c>
      <c r="U96" s="199">
        <f>IFERROR(__xludf.DUMMYFUNCTION("""COMPUTED_VALUE"""),42.0)</f>
        <v>42</v>
      </c>
      <c r="V96" s="199">
        <f>IFERROR(__xludf.DUMMYFUNCTION("""COMPUTED_VALUE"""),2.0)</f>
        <v>2</v>
      </c>
      <c r="W96" s="199">
        <f>IFERROR(__xludf.DUMMYFUNCTION("""COMPUTED_VALUE"""),0.0)</f>
        <v>0</v>
      </c>
      <c r="X96" s="199">
        <f>IFERROR(__xludf.DUMMYFUNCTION("""COMPUTED_VALUE"""),2.0)</f>
        <v>2</v>
      </c>
      <c r="Y96" s="199">
        <f>IFERROR(__xludf.DUMMYFUNCTION("""COMPUTED_VALUE"""),0.0)</f>
        <v>0</v>
      </c>
      <c r="Z96" s="199">
        <f>IFERROR(__xludf.DUMMYFUNCTION("""COMPUTED_VALUE"""),0.0)</f>
        <v>0</v>
      </c>
      <c r="AA96" s="199">
        <f>IFERROR(__xludf.DUMMYFUNCTION("""COMPUTED_VALUE"""),0.0)</f>
        <v>0</v>
      </c>
      <c r="AB96" s="199">
        <f>IFERROR(__xludf.DUMMYFUNCTION("""COMPUTED_VALUE"""),7.0)</f>
        <v>7</v>
      </c>
      <c r="AC96" s="199">
        <f>IFERROR(__xludf.DUMMYFUNCTION("""COMPUTED_VALUE"""),10.0)</f>
        <v>10</v>
      </c>
      <c r="AD96" s="199">
        <f>IFERROR(__xludf.DUMMYFUNCTION("""COMPUTED_VALUE"""),0.0)</f>
        <v>0</v>
      </c>
      <c r="AE96" s="199">
        <f>IFERROR(__xludf.DUMMYFUNCTION("""COMPUTED_VALUE"""),19.0)</f>
        <v>19</v>
      </c>
      <c r="AF96" s="199">
        <f>IFERROR(__xludf.DUMMYFUNCTION("""COMPUTED_VALUE"""),3.0)</f>
        <v>3</v>
      </c>
      <c r="AG96" s="199">
        <f>IFERROR(__xludf.DUMMYFUNCTION("""COMPUTED_VALUE"""),411.0)</f>
        <v>411</v>
      </c>
      <c r="AH96" s="199">
        <f>IFERROR(__xludf.DUMMYFUNCTION("""COMPUTED_VALUE"""),35.0)</f>
        <v>35</v>
      </c>
      <c r="AI96" s="200" t="str">
        <f>IFERROR(__xludf.DUMMYFUNCTION("""COMPUTED_VALUE"""),"Normal - No Action Required")</f>
        <v>Normal - No Action Required</v>
      </c>
      <c r="AJ96" s="200" t="str">
        <f>IFERROR(__xludf.DUMMYFUNCTION("""COMPUTED_VALUE"""),"Continue routine monitoring and sampling schedule")</f>
        <v>Continue routine monitoring and sampling schedule</v>
      </c>
      <c r="AK96" s="204"/>
      <c r="AL96" s="204"/>
      <c r="AM96" s="204"/>
    </row>
    <row r="97" hidden="1">
      <c r="A97" s="199" t="str">
        <f>IFERROR(__xludf.DUMMYFUNCTION("""COMPUTED_VALUE"""),"471.AC100")</f>
        <v>471.AC100</v>
      </c>
      <c r="B97" s="200" t="str">
        <f>IFERROR(__xludf.DUMMYFUNCTION("""COMPUTED_VALUE"""),"Pan Conveyor Main drive gearbox")</f>
        <v>Pan Conveyor Main drive gearbox</v>
      </c>
      <c r="C97" s="199">
        <f>IFERROR(__xludf.DUMMYFUNCTION("""COMPUTED_VALUE"""),2.3351170203E10)</f>
        <v>23351170203</v>
      </c>
      <c r="D97" s="201">
        <f>IFERROR(__xludf.DUMMYFUNCTION("""COMPUTED_VALUE"""),45266.0)</f>
        <v>45266</v>
      </c>
      <c r="E97" s="202" t="str">
        <f>IFERROR(__xludf.DUMMYFUNCTION("""COMPUTED_VALUE"""),"Caution")</f>
        <v>Caution</v>
      </c>
      <c r="F97" s="202" t="str">
        <f>IFERROR(__xludf.DUMMYFUNCTION("""COMPUTED_VALUE"""),"Caution")</f>
        <v>Caution</v>
      </c>
      <c r="G97" s="203" t="str">
        <f>IFERROR(__xludf.DUMMYFUNCTION("""COMPUTED_VALUE"""),"Normal")</f>
        <v>Normal</v>
      </c>
      <c r="H97" s="203" t="str">
        <f>IFERROR(__xludf.DUMMYFUNCTION("""COMPUTED_VALUE"""),"Normal")</f>
        <v>Normal</v>
      </c>
      <c r="I97" s="199"/>
      <c r="J97" s="199"/>
      <c r="K97" s="199"/>
      <c r="L97" s="199">
        <f>IFERROR(__xludf.DUMMYFUNCTION("""COMPUTED_VALUE"""),12.0)</f>
        <v>12</v>
      </c>
      <c r="M97" s="199">
        <f>IFERROR(__xludf.DUMMYFUNCTION("""COMPUTED_VALUE"""),226.0)</f>
        <v>226</v>
      </c>
      <c r="N97" s="37"/>
      <c r="O97" s="37"/>
      <c r="P97" s="199">
        <f>IFERROR(__xludf.DUMMYFUNCTION("""COMPUTED_VALUE"""),0.02)</f>
        <v>0.02</v>
      </c>
      <c r="Q97" s="199">
        <f>IFERROR(__xludf.DUMMYFUNCTION("""COMPUTED_VALUE"""),0.0)</f>
        <v>0</v>
      </c>
      <c r="R97" s="199">
        <f>IFERROR(__xludf.DUMMYFUNCTION("""COMPUTED_VALUE"""),4.0)</f>
        <v>4</v>
      </c>
      <c r="S97" s="199">
        <f>IFERROR(__xludf.DUMMYFUNCTION("""COMPUTED_VALUE"""),0.0)</f>
        <v>0</v>
      </c>
      <c r="T97" s="199">
        <f>IFERROR(__xludf.DUMMYFUNCTION("""COMPUTED_VALUE"""),0.0)</f>
        <v>0</v>
      </c>
      <c r="U97" s="199">
        <f>IFERROR(__xludf.DUMMYFUNCTION("""COMPUTED_VALUE"""),14.0)</f>
        <v>14</v>
      </c>
      <c r="V97" s="199">
        <f>IFERROR(__xludf.DUMMYFUNCTION("""COMPUTED_VALUE"""),0.0)</f>
        <v>0</v>
      </c>
      <c r="W97" s="199">
        <f>IFERROR(__xludf.DUMMYFUNCTION("""COMPUTED_VALUE"""),0.0)</f>
        <v>0</v>
      </c>
      <c r="X97" s="199">
        <f>IFERROR(__xludf.DUMMYFUNCTION("""COMPUTED_VALUE"""),0.0)</f>
        <v>0</v>
      </c>
      <c r="Y97" s="199">
        <f>IFERROR(__xludf.DUMMYFUNCTION("""COMPUTED_VALUE"""),0.0)</f>
        <v>0</v>
      </c>
      <c r="Z97" s="199">
        <f>IFERROR(__xludf.DUMMYFUNCTION("""COMPUTED_VALUE"""),0.0)</f>
        <v>0</v>
      </c>
      <c r="AA97" s="199">
        <f>IFERROR(__xludf.DUMMYFUNCTION("""COMPUTED_VALUE"""),6.0)</f>
        <v>6</v>
      </c>
      <c r="AB97" s="199">
        <f>IFERROR(__xludf.DUMMYFUNCTION("""COMPUTED_VALUE"""),1.0)</f>
        <v>1</v>
      </c>
      <c r="AC97" s="199">
        <f>IFERROR(__xludf.DUMMYFUNCTION("""COMPUTED_VALUE"""),16.0)</f>
        <v>16</v>
      </c>
      <c r="AD97" s="199">
        <f>IFERROR(__xludf.DUMMYFUNCTION("""COMPUTED_VALUE"""),0.0)</f>
        <v>0</v>
      </c>
      <c r="AE97" s="199">
        <f>IFERROR(__xludf.DUMMYFUNCTION("""COMPUTED_VALUE"""),2.0)</f>
        <v>2</v>
      </c>
      <c r="AF97" s="199">
        <f>IFERROR(__xludf.DUMMYFUNCTION("""COMPUTED_VALUE"""),0.0)</f>
        <v>0</v>
      </c>
      <c r="AG97" s="199">
        <f>IFERROR(__xludf.DUMMYFUNCTION("""COMPUTED_VALUE"""),766.0)</f>
        <v>766</v>
      </c>
      <c r="AH97" s="199">
        <f>IFERROR(__xludf.DUMMYFUNCTION("""COMPUTED_VALUE"""),7.0)</f>
        <v>7</v>
      </c>
      <c r="AI97" s="200" t="str">
        <f>IFERROR(__xludf.DUMMYFUNCTION("""COMPUTED_VALUE"""),"General Caution")</f>
        <v>General Caution</v>
      </c>
      <c r="AJ97" s="200" t="str">
        <f>IFERROR(__xludf.DUMMYFUNCTION("""COMPUTED_VALUE"""),"Continue monitoring; resample at next scheduled interval")</f>
        <v>Continue monitoring; resample at next scheduled interval</v>
      </c>
      <c r="AK97" s="204"/>
      <c r="AL97" s="204"/>
      <c r="AM97" s="204"/>
    </row>
    <row r="98" hidden="1">
      <c r="A98" s="199" t="str">
        <f>IFERROR(__xludf.DUMMYFUNCTION("""COMPUTED_VALUE"""),"481.BC600")</f>
        <v>481.BC600</v>
      </c>
      <c r="B98" s="200" t="str">
        <f>IFERROR(__xludf.DUMMYFUNCTION("""COMPUTED_VALUE"""),"Belt conveyor Gearbox")</f>
        <v>Belt conveyor Gearbox</v>
      </c>
      <c r="C98" s="199">
        <f>IFERROR(__xludf.DUMMYFUNCTION("""COMPUTED_VALUE"""),2.3351170214E10)</f>
        <v>23351170214</v>
      </c>
      <c r="D98" s="201">
        <f>IFERROR(__xludf.DUMMYFUNCTION("""COMPUTED_VALUE"""),45266.0)</f>
        <v>45266</v>
      </c>
      <c r="E98" s="202" t="str">
        <f>IFERROR(__xludf.DUMMYFUNCTION("""COMPUTED_VALUE"""),"Alert")</f>
        <v>Alert</v>
      </c>
      <c r="F98" s="202" t="str">
        <f>IFERROR(__xludf.DUMMYFUNCTION("""COMPUTED_VALUE"""),"Alert")</f>
        <v>Alert</v>
      </c>
      <c r="G98" s="203" t="str">
        <f>IFERROR(__xludf.DUMMYFUNCTION("""COMPUTED_VALUE"""),"Normal")</f>
        <v>Normal</v>
      </c>
      <c r="H98" s="203" t="str">
        <f>IFERROR(__xludf.DUMMYFUNCTION("""COMPUTED_VALUE"""),"Alert")</f>
        <v>Alert</v>
      </c>
      <c r="I98" s="199"/>
      <c r="J98" s="199"/>
      <c r="K98" s="199"/>
      <c r="L98" s="199">
        <f>IFERROR(__xludf.DUMMYFUNCTION("""COMPUTED_VALUE"""),16.0)</f>
        <v>16</v>
      </c>
      <c r="M98" s="199">
        <f>IFERROR(__xludf.DUMMYFUNCTION("""COMPUTED_VALUE"""),260.4)</f>
        <v>260.4</v>
      </c>
      <c r="N98" s="37"/>
      <c r="O98" s="37"/>
      <c r="P98" s="199">
        <f>IFERROR(__xludf.DUMMYFUNCTION("""COMPUTED_VALUE"""),0.1)</f>
        <v>0.1</v>
      </c>
      <c r="Q98" s="199">
        <f>IFERROR(__xludf.DUMMYFUNCTION("""COMPUTED_VALUE"""),0.0)</f>
        <v>0</v>
      </c>
      <c r="R98" s="199">
        <f>IFERROR(__xludf.DUMMYFUNCTION("""COMPUTED_VALUE"""),0.0)</f>
        <v>0</v>
      </c>
      <c r="S98" s="199">
        <f>IFERROR(__xludf.DUMMYFUNCTION("""COMPUTED_VALUE"""),2.0)</f>
        <v>2</v>
      </c>
      <c r="T98" s="199">
        <f>IFERROR(__xludf.DUMMYFUNCTION("""COMPUTED_VALUE"""),0.0)</f>
        <v>0</v>
      </c>
      <c r="U98" s="199">
        <f>IFERROR(__xludf.DUMMYFUNCTION("""COMPUTED_VALUE"""),4.0)</f>
        <v>4</v>
      </c>
      <c r="V98" s="199">
        <f>IFERROR(__xludf.DUMMYFUNCTION("""COMPUTED_VALUE"""),0.0)</f>
        <v>0</v>
      </c>
      <c r="W98" s="199">
        <f>IFERROR(__xludf.DUMMYFUNCTION("""COMPUTED_VALUE"""),0.0)</f>
        <v>0</v>
      </c>
      <c r="X98" s="199">
        <f>IFERROR(__xludf.DUMMYFUNCTION("""COMPUTED_VALUE"""),1.0)</f>
        <v>1</v>
      </c>
      <c r="Y98" s="199">
        <f>IFERROR(__xludf.DUMMYFUNCTION("""COMPUTED_VALUE"""),0.0)</f>
        <v>0</v>
      </c>
      <c r="Z98" s="199">
        <f>IFERROR(__xludf.DUMMYFUNCTION("""COMPUTED_VALUE"""),3.0)</f>
        <v>3</v>
      </c>
      <c r="AA98" s="199">
        <f>IFERROR(__xludf.DUMMYFUNCTION("""COMPUTED_VALUE"""),0.0)</f>
        <v>0</v>
      </c>
      <c r="AB98" s="199">
        <f>IFERROR(__xludf.DUMMYFUNCTION("""COMPUTED_VALUE"""),22.0)</f>
        <v>22</v>
      </c>
      <c r="AC98" s="199">
        <f>IFERROR(__xludf.DUMMYFUNCTION("""COMPUTED_VALUE"""),19.0)</f>
        <v>19</v>
      </c>
      <c r="AD98" s="199">
        <f>IFERROR(__xludf.DUMMYFUNCTION("""COMPUTED_VALUE"""),0.0)</f>
        <v>0</v>
      </c>
      <c r="AE98" s="199">
        <f>IFERROR(__xludf.DUMMYFUNCTION("""COMPUTED_VALUE"""),14.0)</f>
        <v>14</v>
      </c>
      <c r="AF98" s="199">
        <f>IFERROR(__xludf.DUMMYFUNCTION("""COMPUTED_VALUE"""),3.0)</f>
        <v>3</v>
      </c>
      <c r="AG98" s="199">
        <f>IFERROR(__xludf.DUMMYFUNCTION("""COMPUTED_VALUE"""),251.0)</f>
        <v>251</v>
      </c>
      <c r="AH98" s="199">
        <f>IFERROR(__xludf.DUMMYFUNCTION("""COMPUTED_VALUE"""),9.0)</f>
        <v>9</v>
      </c>
      <c r="AI98" s="200" t="str">
        <f>IFERROR(__xludf.DUMMYFUNCTION("""COMPUTED_VALUE"""),"General Alert")</f>
        <v>General Alert</v>
      </c>
      <c r="AJ98" s="200" t="str">
        <f>IFERROR(__xludf.DUMMYFUNCTION("""COMPUTED_VALUE"""),"Investigate root cause; increase sampling frequency to monthly")</f>
        <v>Investigate root cause; increase sampling frequency to monthly</v>
      </c>
      <c r="AK98" s="204"/>
      <c r="AL98" s="204"/>
      <c r="AM98" s="204"/>
    </row>
    <row r="99" hidden="1">
      <c r="A99" s="199" t="str">
        <f>IFERROR(__xludf.DUMMYFUNCTION("""COMPUTED_VALUE"""),"482.BC600")</f>
        <v>482.BC600</v>
      </c>
      <c r="B99" s="200" t="str">
        <f>IFERROR(__xludf.DUMMYFUNCTION("""COMPUTED_VALUE"""),"Belt conveyor Gearbox")</f>
        <v>Belt conveyor Gearbox</v>
      </c>
      <c r="C99" s="199">
        <f>IFERROR(__xludf.DUMMYFUNCTION("""COMPUTED_VALUE"""),2.3351170219E10)</f>
        <v>23351170219</v>
      </c>
      <c r="D99" s="201">
        <f>IFERROR(__xludf.DUMMYFUNCTION("""COMPUTED_VALUE"""),45266.0)</f>
        <v>45266</v>
      </c>
      <c r="E99" s="202" t="str">
        <f>IFERROR(__xludf.DUMMYFUNCTION("""COMPUTED_VALUE"""),"Alert")</f>
        <v>Alert</v>
      </c>
      <c r="F99" s="202" t="str">
        <f>IFERROR(__xludf.DUMMYFUNCTION("""COMPUTED_VALUE"""),"Alert")</f>
        <v>Alert</v>
      </c>
      <c r="G99" s="203" t="str">
        <f>IFERROR(__xludf.DUMMYFUNCTION("""COMPUTED_VALUE"""),"Normal")</f>
        <v>Normal</v>
      </c>
      <c r="H99" s="203" t="str">
        <f>IFERROR(__xludf.DUMMYFUNCTION("""COMPUTED_VALUE"""),"Alert")</f>
        <v>Alert</v>
      </c>
      <c r="I99" s="199"/>
      <c r="J99" s="199"/>
      <c r="K99" s="199"/>
      <c r="L99" s="199">
        <f>IFERROR(__xludf.DUMMYFUNCTION("""COMPUTED_VALUE"""),10.0)</f>
        <v>10</v>
      </c>
      <c r="M99" s="199">
        <f>IFERROR(__xludf.DUMMYFUNCTION("""COMPUTED_VALUE"""),283.3)</f>
        <v>283.3</v>
      </c>
      <c r="N99" s="37"/>
      <c r="O99" s="37"/>
      <c r="P99" s="199">
        <f>IFERROR(__xludf.DUMMYFUNCTION("""COMPUTED_VALUE"""),0.1)</f>
        <v>0.1</v>
      </c>
      <c r="Q99" s="199">
        <f>IFERROR(__xludf.DUMMYFUNCTION("""COMPUTED_VALUE"""),0.0)</f>
        <v>0</v>
      </c>
      <c r="R99" s="199">
        <f>IFERROR(__xludf.DUMMYFUNCTION("""COMPUTED_VALUE"""),1.0)</f>
        <v>1</v>
      </c>
      <c r="S99" s="199">
        <f>IFERROR(__xludf.DUMMYFUNCTION("""COMPUTED_VALUE"""),0.0)</f>
        <v>0</v>
      </c>
      <c r="T99" s="199">
        <f>IFERROR(__xludf.DUMMYFUNCTION("""COMPUTED_VALUE"""),3.0)</f>
        <v>3</v>
      </c>
      <c r="U99" s="199">
        <f>IFERROR(__xludf.DUMMYFUNCTION("""COMPUTED_VALUE"""),34.0)</f>
        <v>34</v>
      </c>
      <c r="V99" s="199">
        <f>IFERROR(__xludf.DUMMYFUNCTION("""COMPUTED_VALUE"""),0.0)</f>
        <v>0</v>
      </c>
      <c r="W99" s="199">
        <f>IFERROR(__xludf.DUMMYFUNCTION("""COMPUTED_VALUE"""),0.0)</f>
        <v>0</v>
      </c>
      <c r="X99" s="199">
        <f>IFERROR(__xludf.DUMMYFUNCTION("""COMPUTED_VALUE"""),2.0)</f>
        <v>2</v>
      </c>
      <c r="Y99" s="199">
        <f>IFERROR(__xludf.DUMMYFUNCTION("""COMPUTED_VALUE"""),2.0)</f>
        <v>2</v>
      </c>
      <c r="Z99" s="199">
        <f>IFERROR(__xludf.DUMMYFUNCTION("""COMPUTED_VALUE"""),7.0)</f>
        <v>7</v>
      </c>
      <c r="AA99" s="199">
        <f>IFERROR(__xludf.DUMMYFUNCTION("""COMPUTED_VALUE"""),1.0)</f>
        <v>1</v>
      </c>
      <c r="AB99" s="199">
        <f>IFERROR(__xludf.DUMMYFUNCTION("""COMPUTED_VALUE"""),5.0)</f>
        <v>5</v>
      </c>
      <c r="AC99" s="199">
        <f>IFERROR(__xludf.DUMMYFUNCTION("""COMPUTED_VALUE"""),35.0)</f>
        <v>35</v>
      </c>
      <c r="AD99" s="199">
        <f>IFERROR(__xludf.DUMMYFUNCTION("""COMPUTED_VALUE"""),0.0)</f>
        <v>0</v>
      </c>
      <c r="AE99" s="199">
        <f>IFERROR(__xludf.DUMMYFUNCTION("""COMPUTED_VALUE"""),3.0)</f>
        <v>3</v>
      </c>
      <c r="AF99" s="199">
        <f>IFERROR(__xludf.DUMMYFUNCTION("""COMPUTED_VALUE"""),6.0)</f>
        <v>6</v>
      </c>
      <c r="AG99" s="199">
        <f>IFERROR(__xludf.DUMMYFUNCTION("""COMPUTED_VALUE"""),224.0)</f>
        <v>224</v>
      </c>
      <c r="AH99" s="199">
        <f>IFERROR(__xludf.DUMMYFUNCTION("""COMPUTED_VALUE"""),0.0)</f>
        <v>0</v>
      </c>
      <c r="AI99" s="200" t="str">
        <f>IFERROR(__xludf.DUMMYFUNCTION("""COMPUTED_VALUE"""),"General Alert")</f>
        <v>General Alert</v>
      </c>
      <c r="AJ99" s="200" t="str">
        <f>IFERROR(__xludf.DUMMYFUNCTION("""COMPUTED_VALUE"""),"Investigate root cause; increase sampling frequency to monthly")</f>
        <v>Investigate root cause; increase sampling frequency to monthly</v>
      </c>
      <c r="AK99" s="204"/>
      <c r="AL99" s="204"/>
      <c r="AM99" s="204"/>
    </row>
    <row r="100" hidden="1">
      <c r="A100" s="199" t="str">
        <f>IFERROR(__xludf.DUMMYFUNCTION("""COMPUTED_VALUE"""),"532.BE220")</f>
        <v>532.BE220</v>
      </c>
      <c r="B100" s="200" t="str">
        <f>IFERROR(__xludf.DUMMYFUNCTION("""COMPUTED_VALUE"""),"Bucket Elevator BM#2 GB.")</f>
        <v>Bucket Elevator BM#2 GB.</v>
      </c>
      <c r="C100" s="199">
        <f>IFERROR(__xludf.DUMMYFUNCTION("""COMPUTED_VALUE"""),2.3351170222E10)</f>
        <v>23351170222</v>
      </c>
      <c r="D100" s="201">
        <f>IFERROR(__xludf.DUMMYFUNCTION("""COMPUTED_VALUE"""),45266.0)</f>
        <v>45266</v>
      </c>
      <c r="E100" s="202" t="str">
        <f>IFERROR(__xludf.DUMMYFUNCTION("""COMPUTED_VALUE"""),"Caution")</f>
        <v>Caution</v>
      </c>
      <c r="F100" s="202" t="str">
        <f>IFERROR(__xludf.DUMMYFUNCTION("""COMPUTED_VALUE"""),"Caution")</f>
        <v>Caution</v>
      </c>
      <c r="G100" s="203" t="str">
        <f>IFERROR(__xludf.DUMMYFUNCTION("""COMPUTED_VALUE"""),"Normal")</f>
        <v>Normal</v>
      </c>
      <c r="H100" s="203" t="str">
        <f>IFERROR(__xludf.DUMMYFUNCTION("""COMPUTED_VALUE"""),"Normal")</f>
        <v>Normal</v>
      </c>
      <c r="I100" s="37"/>
      <c r="J100" s="37"/>
      <c r="K100" s="37"/>
      <c r="L100" s="199">
        <f>IFERROR(__xludf.DUMMYFUNCTION("""COMPUTED_VALUE"""),30.0)</f>
        <v>30</v>
      </c>
      <c r="M100" s="199">
        <f>IFERROR(__xludf.DUMMYFUNCTION("""COMPUTED_VALUE"""),292.1)</f>
        <v>292.1</v>
      </c>
      <c r="N100" s="37"/>
      <c r="O100" s="37">
        <f>IFERROR(__xludf.DUMMYFUNCTION("""COMPUTED_VALUE"""),2.0)</f>
        <v>2</v>
      </c>
      <c r="P100" s="199">
        <f>IFERROR(__xludf.DUMMYFUNCTION("""COMPUTED_VALUE"""),0.05)</f>
        <v>0.05</v>
      </c>
      <c r="Q100" s="199">
        <f>IFERROR(__xludf.DUMMYFUNCTION("""COMPUTED_VALUE"""),0.0)</f>
        <v>0</v>
      </c>
      <c r="R100" s="199">
        <f>IFERROR(__xludf.DUMMYFUNCTION("""COMPUTED_VALUE"""),2.0)</f>
        <v>2</v>
      </c>
      <c r="S100" s="199">
        <f>IFERROR(__xludf.DUMMYFUNCTION("""COMPUTED_VALUE"""),3.0)</f>
        <v>3</v>
      </c>
      <c r="T100" s="199">
        <f>IFERROR(__xludf.DUMMYFUNCTION("""COMPUTED_VALUE"""),1.0)</f>
        <v>1</v>
      </c>
      <c r="U100" s="199">
        <f>IFERROR(__xludf.DUMMYFUNCTION("""COMPUTED_VALUE"""),57.0)</f>
        <v>57</v>
      </c>
      <c r="V100" s="199">
        <f>IFERROR(__xludf.DUMMYFUNCTION("""COMPUTED_VALUE"""),2.0)</f>
        <v>2</v>
      </c>
      <c r="W100" s="199">
        <f>IFERROR(__xludf.DUMMYFUNCTION("""COMPUTED_VALUE"""),0.0)</f>
        <v>0</v>
      </c>
      <c r="X100" s="199">
        <f>IFERROR(__xludf.DUMMYFUNCTION("""COMPUTED_VALUE"""),1.0)</f>
        <v>1</v>
      </c>
      <c r="Y100" s="199">
        <f>IFERROR(__xludf.DUMMYFUNCTION("""COMPUTED_VALUE"""),0.0)</f>
        <v>0</v>
      </c>
      <c r="Z100" s="199">
        <f>IFERROR(__xludf.DUMMYFUNCTION("""COMPUTED_VALUE"""),1.0)</f>
        <v>1</v>
      </c>
      <c r="AA100" s="199">
        <f>IFERROR(__xludf.DUMMYFUNCTION("""COMPUTED_VALUE"""),3.0)</f>
        <v>3</v>
      </c>
      <c r="AB100" s="199">
        <f>IFERROR(__xludf.DUMMYFUNCTION("""COMPUTED_VALUE"""),7.0)</f>
        <v>7</v>
      </c>
      <c r="AC100" s="199">
        <f>IFERROR(__xludf.DUMMYFUNCTION("""COMPUTED_VALUE"""),11.0)</f>
        <v>11</v>
      </c>
      <c r="AD100" s="199">
        <f>IFERROR(__xludf.DUMMYFUNCTION("""COMPUTED_VALUE"""),0.0)</f>
        <v>0</v>
      </c>
      <c r="AE100" s="199">
        <f>IFERROR(__xludf.DUMMYFUNCTION("""COMPUTED_VALUE"""),47.0)</f>
        <v>47</v>
      </c>
      <c r="AF100" s="199">
        <f>IFERROR(__xludf.DUMMYFUNCTION("""COMPUTED_VALUE"""),10.0)</f>
        <v>10</v>
      </c>
      <c r="AG100" s="199">
        <f>IFERROR(__xludf.DUMMYFUNCTION("""COMPUTED_VALUE"""),366.0)</f>
        <v>366</v>
      </c>
      <c r="AH100" s="199">
        <f>IFERROR(__xludf.DUMMYFUNCTION("""COMPUTED_VALUE"""),82.0)</f>
        <v>82</v>
      </c>
      <c r="AI100" s="200" t="str">
        <f>IFERROR(__xludf.DUMMYFUNCTION("""COMPUTED_VALUE"""),"Wear Metal Caution")</f>
        <v>Wear Metal Caution</v>
      </c>
      <c r="AJ100" s="200" t="str">
        <f>IFERROR(__xludf.DUMMYFUNCTION("""COMPUTED_VALUE"""),"Elevated wear metals - monitor trend; inspect at next opportunity; Oxidation increasing - monitor and plan oil change")</f>
        <v>Elevated wear metals - monitor trend; inspect at next opportunity; Oxidation increasing - monitor and plan oil change</v>
      </c>
      <c r="AK100" s="204"/>
      <c r="AL100" s="204"/>
      <c r="AM100" s="204"/>
    </row>
    <row r="101" hidden="1">
      <c r="A101" s="199" t="str">
        <f>IFERROR(__xludf.DUMMYFUNCTION("""COMPUTED_VALUE"""),"341.BE040 R")</f>
        <v>341.BE040 R</v>
      </c>
      <c r="B101" s="200" t="str">
        <f>IFERROR(__xludf.DUMMYFUNCTION("""COMPUTED_VALUE"""),"Bucket Elevator GB - R")</f>
        <v>Bucket Elevator GB - R</v>
      </c>
      <c r="C101" s="199">
        <f>IFERROR(__xludf.DUMMYFUNCTION("""COMPUTED_VALUE"""),2.3348140254E10)</f>
        <v>23348140254</v>
      </c>
      <c r="D101" s="201">
        <f>IFERROR(__xludf.DUMMYFUNCTION("""COMPUTED_VALUE"""),45266.0)</f>
        <v>45266</v>
      </c>
      <c r="E101" s="202" t="str">
        <f>IFERROR(__xludf.DUMMYFUNCTION("""COMPUTED_VALUE"""),"Alert")</f>
        <v>Alert</v>
      </c>
      <c r="F101" s="202" t="str">
        <f>IFERROR(__xludf.DUMMYFUNCTION("""COMPUTED_VALUE"""),"Alert")</f>
        <v>Alert</v>
      </c>
      <c r="G101" s="203" t="str">
        <f>IFERROR(__xludf.DUMMYFUNCTION("""COMPUTED_VALUE"""),"Alert")</f>
        <v>Alert</v>
      </c>
      <c r="H101" s="203" t="str">
        <f>IFERROR(__xludf.DUMMYFUNCTION("""COMPUTED_VALUE"""),"Caution")</f>
        <v>Caution</v>
      </c>
      <c r="I101" s="199"/>
      <c r="J101" s="199"/>
      <c r="K101" s="199"/>
      <c r="L101" s="199">
        <f>IFERROR(__xludf.DUMMYFUNCTION("""COMPUTED_VALUE"""),289.0)</f>
        <v>289</v>
      </c>
      <c r="M101" s="199">
        <f>IFERROR(__xludf.DUMMYFUNCTION("""COMPUTED_VALUE"""),322.3)</f>
        <v>322.3</v>
      </c>
      <c r="N101" s="37"/>
      <c r="O101" s="37"/>
      <c r="P101" s="199">
        <f>IFERROR(__xludf.DUMMYFUNCTION("""COMPUTED_VALUE"""),0.11)</f>
        <v>0.11</v>
      </c>
      <c r="Q101" s="199">
        <f>IFERROR(__xludf.DUMMYFUNCTION("""COMPUTED_VALUE"""),0.0)</f>
        <v>0</v>
      </c>
      <c r="R101" s="199">
        <f>IFERROR(__xludf.DUMMYFUNCTION("""COMPUTED_VALUE"""),16.0)</f>
        <v>16</v>
      </c>
      <c r="S101" s="199">
        <f>IFERROR(__xludf.DUMMYFUNCTION("""COMPUTED_VALUE"""),0.0)</f>
        <v>0</v>
      </c>
      <c r="T101" s="199">
        <f>IFERROR(__xludf.DUMMYFUNCTION("""COMPUTED_VALUE"""),0.0)</f>
        <v>0</v>
      </c>
      <c r="U101" s="199">
        <f>IFERROR(__xludf.DUMMYFUNCTION("""COMPUTED_VALUE"""),440.0)</f>
        <v>440</v>
      </c>
      <c r="V101" s="199">
        <f>IFERROR(__xludf.DUMMYFUNCTION("""COMPUTED_VALUE"""),0.0)</f>
        <v>0</v>
      </c>
      <c r="W101" s="199">
        <f>IFERROR(__xludf.DUMMYFUNCTION("""COMPUTED_VALUE"""),0.0)</f>
        <v>0</v>
      </c>
      <c r="X101" s="199">
        <f>IFERROR(__xludf.DUMMYFUNCTION("""COMPUTED_VALUE"""),0.0)</f>
        <v>0</v>
      </c>
      <c r="Y101" s="199">
        <f>IFERROR(__xludf.DUMMYFUNCTION("""COMPUTED_VALUE"""),0.0)</f>
        <v>0</v>
      </c>
      <c r="Z101" s="199">
        <f>IFERROR(__xludf.DUMMYFUNCTION("""COMPUTED_VALUE"""),1.0)</f>
        <v>1</v>
      </c>
      <c r="AA101" s="199">
        <f>IFERROR(__xludf.DUMMYFUNCTION("""COMPUTED_VALUE"""),0.0)</f>
        <v>0</v>
      </c>
      <c r="AB101" s="199">
        <f>IFERROR(__xludf.DUMMYFUNCTION("""COMPUTED_VALUE"""),79.0)</f>
        <v>79</v>
      </c>
      <c r="AC101" s="199">
        <f>IFERROR(__xludf.DUMMYFUNCTION("""COMPUTED_VALUE"""),19.0)</f>
        <v>19</v>
      </c>
      <c r="AD101" s="199">
        <f>IFERROR(__xludf.DUMMYFUNCTION("""COMPUTED_VALUE"""),0.0)</f>
        <v>0</v>
      </c>
      <c r="AE101" s="199">
        <f>IFERROR(__xludf.DUMMYFUNCTION("""COMPUTED_VALUE"""),527.0)</f>
        <v>527</v>
      </c>
      <c r="AF101" s="199">
        <f>IFERROR(__xludf.DUMMYFUNCTION("""COMPUTED_VALUE"""),13.0)</f>
        <v>13</v>
      </c>
      <c r="AG101" s="199">
        <f>IFERROR(__xludf.DUMMYFUNCTION("""COMPUTED_VALUE"""),381.0)</f>
        <v>381</v>
      </c>
      <c r="AH101" s="199">
        <f>IFERROR(__xludf.DUMMYFUNCTION("""COMPUTED_VALUE"""),74.0)</f>
        <v>74</v>
      </c>
      <c r="AI101" s="200" t="str">
        <f>IFERROR(__xludf.DUMMYFUNCTION("""COMPUTED_VALUE"""),"Wear Metal Alert | Contamination Alert | Water Ingress | High Particle Count")</f>
        <v>Wear Metal Alert | Contamination Alert | Water Ingress | High Particle Count</v>
      </c>
      <c r="AJ101" s="200" t="str">
        <f>IFERROR(__xludf.DUMMYFUNCTION("""COMPUTED_VALUE"""),"URGENT: Inspect equipment immediately for wear/damage; Critical wear metals detected - schedule immediate inspection; High wear metals - inspect bearing/gear surfaces; Water detected - inspect seals and breathers; Elevated silicon - inspect filters and se"&amp;"als for contamination; Critical particle count - flush system and replace filters")</f>
        <v>URGENT: Inspect equipment immediately for wear/damage; Critical wear metals detected - schedule immediate inspection; High wear metals - inspect bearing/gear surfaces; Water detected - inspect seals and breathers; Elevated silicon - inspect filters and seals for contamination; Critical particle count - flush system and replace filters</v>
      </c>
      <c r="AK101" s="204"/>
      <c r="AL101" s="204"/>
      <c r="AM101" s="204"/>
    </row>
    <row r="102" hidden="1">
      <c r="A102" s="199" t="str">
        <f>IFERROR(__xludf.DUMMYFUNCTION("""COMPUTED_VALUE"""),"533.BE220")</f>
        <v>533.BE220</v>
      </c>
      <c r="B102" s="200" t="str">
        <f>IFERROR(__xludf.DUMMYFUNCTION("""COMPUTED_VALUE"""),"Bucket Elevator BM#3 GB.")</f>
        <v>Bucket Elevator BM#3 GB.</v>
      </c>
      <c r="C102" s="199">
        <f>IFERROR(__xludf.DUMMYFUNCTION("""COMPUTED_VALUE"""),2.3351170226E10)</f>
        <v>23351170226</v>
      </c>
      <c r="D102" s="201">
        <f>IFERROR(__xludf.DUMMYFUNCTION("""COMPUTED_VALUE"""),45266.0)</f>
        <v>45266</v>
      </c>
      <c r="E102" s="202" t="str">
        <f>IFERROR(__xludf.DUMMYFUNCTION("""COMPUTED_VALUE"""),"Alert")</f>
        <v>Alert</v>
      </c>
      <c r="F102" s="202" t="str">
        <f>IFERROR(__xludf.DUMMYFUNCTION("""COMPUTED_VALUE"""),"Alert")</f>
        <v>Alert</v>
      </c>
      <c r="G102" s="203" t="str">
        <f>IFERROR(__xludf.DUMMYFUNCTION("""COMPUTED_VALUE"""),"Normal")</f>
        <v>Normal</v>
      </c>
      <c r="H102" s="203" t="str">
        <f>IFERROR(__xludf.DUMMYFUNCTION("""COMPUTED_VALUE"""),"Normal")</f>
        <v>Normal</v>
      </c>
      <c r="I102" s="199"/>
      <c r="J102" s="199"/>
      <c r="K102" s="199"/>
      <c r="L102" s="199">
        <f>IFERROR(__xludf.DUMMYFUNCTION("""COMPUTED_VALUE"""),90.0)</f>
        <v>90</v>
      </c>
      <c r="M102" s="199">
        <f>IFERROR(__xludf.DUMMYFUNCTION("""COMPUTED_VALUE"""),312.1)</f>
        <v>312.1</v>
      </c>
      <c r="N102" s="37"/>
      <c r="O102" s="37">
        <f>IFERROR(__xludf.DUMMYFUNCTION("""COMPUTED_VALUE"""),0.0)</f>
        <v>0</v>
      </c>
      <c r="P102" s="199">
        <f>IFERROR(__xludf.DUMMYFUNCTION("""COMPUTED_VALUE"""),0.3)</f>
        <v>0.3</v>
      </c>
      <c r="Q102" s="199">
        <f>IFERROR(__xludf.DUMMYFUNCTION("""COMPUTED_VALUE"""),0.0)</f>
        <v>0</v>
      </c>
      <c r="R102" s="199">
        <f>IFERROR(__xludf.DUMMYFUNCTION("""COMPUTED_VALUE"""),3.0)</f>
        <v>3</v>
      </c>
      <c r="S102" s="199">
        <f>IFERROR(__xludf.DUMMYFUNCTION("""COMPUTED_VALUE"""),3.0)</f>
        <v>3</v>
      </c>
      <c r="T102" s="199">
        <f>IFERROR(__xludf.DUMMYFUNCTION("""COMPUTED_VALUE"""),1.0)</f>
        <v>1</v>
      </c>
      <c r="U102" s="199">
        <f>IFERROR(__xludf.DUMMYFUNCTION("""COMPUTED_VALUE"""),94.0)</f>
        <v>94</v>
      </c>
      <c r="V102" s="199">
        <f>IFERROR(__xludf.DUMMYFUNCTION("""COMPUTED_VALUE"""),2.0)</f>
        <v>2</v>
      </c>
      <c r="W102" s="199">
        <f>IFERROR(__xludf.DUMMYFUNCTION("""COMPUTED_VALUE"""),0.0)</f>
        <v>0</v>
      </c>
      <c r="X102" s="199">
        <f>IFERROR(__xludf.DUMMYFUNCTION("""COMPUTED_VALUE"""),2.0)</f>
        <v>2</v>
      </c>
      <c r="Y102" s="199">
        <f>IFERROR(__xludf.DUMMYFUNCTION("""COMPUTED_VALUE"""),0.0)</f>
        <v>0</v>
      </c>
      <c r="Z102" s="199">
        <f>IFERROR(__xludf.DUMMYFUNCTION("""COMPUTED_VALUE"""),6.0)</f>
        <v>6</v>
      </c>
      <c r="AA102" s="199">
        <f>IFERROR(__xludf.DUMMYFUNCTION("""COMPUTED_VALUE"""),1.0)</f>
        <v>1</v>
      </c>
      <c r="AB102" s="199">
        <f>IFERROR(__xludf.DUMMYFUNCTION("""COMPUTED_VALUE"""),16.0)</f>
        <v>16</v>
      </c>
      <c r="AC102" s="199">
        <f>IFERROR(__xludf.DUMMYFUNCTION("""COMPUTED_VALUE"""),18.0)</f>
        <v>18</v>
      </c>
      <c r="AD102" s="199">
        <f>IFERROR(__xludf.DUMMYFUNCTION("""COMPUTED_VALUE"""),0.0)</f>
        <v>0</v>
      </c>
      <c r="AE102" s="199">
        <f>IFERROR(__xludf.DUMMYFUNCTION("""COMPUTED_VALUE"""),45.0)</f>
        <v>45</v>
      </c>
      <c r="AF102" s="199">
        <f>IFERROR(__xludf.DUMMYFUNCTION("""COMPUTED_VALUE"""),10.0)</f>
        <v>10</v>
      </c>
      <c r="AG102" s="199">
        <f>IFERROR(__xludf.DUMMYFUNCTION("""COMPUTED_VALUE"""),300.0)</f>
        <v>300</v>
      </c>
      <c r="AH102" s="199">
        <f>IFERROR(__xludf.DUMMYFUNCTION("""COMPUTED_VALUE"""),7.0)</f>
        <v>7</v>
      </c>
      <c r="AI102" s="200" t="str">
        <f>IFERROR(__xludf.DUMMYFUNCTION("""COMPUTED_VALUE"""),"Water Ingress")</f>
        <v>Water Ingress</v>
      </c>
      <c r="AJ102" s="200" t="str">
        <f>IFERROR(__xludf.DUMMYFUNCTION("""COMPUTED_VALUE"""),"High water contamination - check seals and drain water immediately; High particle count - replace filters and resample")</f>
        <v>High water contamination - check seals and drain water immediately; High particle count - replace filters and resample</v>
      </c>
      <c r="AK102" s="204"/>
      <c r="AL102" s="204"/>
      <c r="AM102" s="204"/>
    </row>
    <row r="103" hidden="1">
      <c r="A103" s="199" t="str">
        <f>IFERROR(__xludf.DUMMYFUNCTION("""COMPUTED_VALUE"""),"531.BE220")</f>
        <v>531.BE220</v>
      </c>
      <c r="B103" s="200" t="str">
        <f>IFERROR(__xludf.DUMMYFUNCTION("""COMPUTED_VALUE"""),"Bucket Elevator BM#1 GB.")</f>
        <v>Bucket Elevator BM#1 GB.</v>
      </c>
      <c r="C103" s="199">
        <f>IFERROR(__xludf.DUMMYFUNCTION("""COMPUTED_VALUE"""),2.3351170207E10)</f>
        <v>23351170207</v>
      </c>
      <c r="D103" s="201">
        <f>IFERROR(__xludf.DUMMYFUNCTION("""COMPUTED_VALUE"""),45267.0)</f>
        <v>45267</v>
      </c>
      <c r="E103" s="202" t="str">
        <f>IFERROR(__xludf.DUMMYFUNCTION("""COMPUTED_VALUE"""),"Normal")</f>
        <v>Normal</v>
      </c>
      <c r="F103" s="202" t="str">
        <f>IFERROR(__xludf.DUMMYFUNCTION("""COMPUTED_VALUE"""),"Normal")</f>
        <v>Normal</v>
      </c>
      <c r="G103" s="203" t="str">
        <f>IFERROR(__xludf.DUMMYFUNCTION("""COMPUTED_VALUE"""),"Normal")</f>
        <v>Normal</v>
      </c>
      <c r="H103" s="203" t="str">
        <f>IFERROR(__xludf.DUMMYFUNCTION("""COMPUTED_VALUE"""),"Normal")</f>
        <v>Normal</v>
      </c>
      <c r="I103" s="199">
        <f>IFERROR(__xludf.DUMMYFUNCTION("""COMPUTED_VALUE"""),9777.0)</f>
        <v>9777</v>
      </c>
      <c r="J103" s="199">
        <f>IFERROR(__xludf.DUMMYFUNCTION("""COMPUTED_VALUE"""),3073.0)</f>
        <v>3073</v>
      </c>
      <c r="K103" s="199">
        <f>IFERROR(__xludf.DUMMYFUNCTION("""COMPUTED_VALUE"""),1022.0)</f>
        <v>1022</v>
      </c>
      <c r="L103" s="199">
        <f>IFERROR(__xludf.DUMMYFUNCTION("""COMPUTED_VALUE"""),10.0)</f>
        <v>10</v>
      </c>
      <c r="M103" s="199">
        <f>IFERROR(__xludf.DUMMYFUNCTION("""COMPUTED_VALUE"""),296.0)</f>
        <v>296</v>
      </c>
      <c r="N103" s="37"/>
      <c r="O103" s="37">
        <f>IFERROR(__xludf.DUMMYFUNCTION("""COMPUTED_VALUE"""),1.0)</f>
        <v>1</v>
      </c>
      <c r="P103" s="199">
        <f>IFERROR(__xludf.DUMMYFUNCTION("""COMPUTED_VALUE"""),0.03)</f>
        <v>0.03</v>
      </c>
      <c r="Q103" s="199">
        <f>IFERROR(__xludf.DUMMYFUNCTION("""COMPUTED_VALUE"""),0.0)</f>
        <v>0</v>
      </c>
      <c r="R103" s="199">
        <f>IFERROR(__xludf.DUMMYFUNCTION("""COMPUTED_VALUE"""),0.0)</f>
        <v>0</v>
      </c>
      <c r="S103" s="199">
        <f>IFERROR(__xludf.DUMMYFUNCTION("""COMPUTED_VALUE"""),2.0)</f>
        <v>2</v>
      </c>
      <c r="T103" s="199">
        <f>IFERROR(__xludf.DUMMYFUNCTION("""COMPUTED_VALUE"""),0.0)</f>
        <v>0</v>
      </c>
      <c r="U103" s="199">
        <f>IFERROR(__xludf.DUMMYFUNCTION("""COMPUTED_VALUE"""),22.0)</f>
        <v>22</v>
      </c>
      <c r="V103" s="199">
        <f>IFERROR(__xludf.DUMMYFUNCTION("""COMPUTED_VALUE"""),2.0)</f>
        <v>2</v>
      </c>
      <c r="W103" s="199">
        <f>IFERROR(__xludf.DUMMYFUNCTION("""COMPUTED_VALUE"""),0.0)</f>
        <v>0</v>
      </c>
      <c r="X103" s="199">
        <f>IFERROR(__xludf.DUMMYFUNCTION("""COMPUTED_VALUE"""),1.0)</f>
        <v>1</v>
      </c>
      <c r="Y103" s="199">
        <f>IFERROR(__xludf.DUMMYFUNCTION("""COMPUTED_VALUE"""),0.0)</f>
        <v>0</v>
      </c>
      <c r="Z103" s="199">
        <f>IFERROR(__xludf.DUMMYFUNCTION("""COMPUTED_VALUE"""),0.0)</f>
        <v>0</v>
      </c>
      <c r="AA103" s="199">
        <f>IFERROR(__xludf.DUMMYFUNCTION("""COMPUTED_VALUE"""),0.0)</f>
        <v>0</v>
      </c>
      <c r="AB103" s="199">
        <f>IFERROR(__xludf.DUMMYFUNCTION("""COMPUTED_VALUE"""),7.0)</f>
        <v>7</v>
      </c>
      <c r="AC103" s="199">
        <f>IFERROR(__xludf.DUMMYFUNCTION("""COMPUTED_VALUE"""),29.0)</f>
        <v>29</v>
      </c>
      <c r="AD103" s="199">
        <f>IFERROR(__xludf.DUMMYFUNCTION("""COMPUTED_VALUE"""),0.0)</f>
        <v>0</v>
      </c>
      <c r="AE103" s="199">
        <f>IFERROR(__xludf.DUMMYFUNCTION("""COMPUTED_VALUE"""),36.0)</f>
        <v>36</v>
      </c>
      <c r="AF103" s="199">
        <f>IFERROR(__xludf.DUMMYFUNCTION("""COMPUTED_VALUE"""),8.0)</f>
        <v>8</v>
      </c>
      <c r="AG103" s="199">
        <f>IFERROR(__xludf.DUMMYFUNCTION("""COMPUTED_VALUE"""),389.0)</f>
        <v>389</v>
      </c>
      <c r="AH103" s="199">
        <f>IFERROR(__xludf.DUMMYFUNCTION("""COMPUTED_VALUE"""),13.0)</f>
        <v>13</v>
      </c>
      <c r="AI103" s="200" t="str">
        <f>IFERROR(__xludf.DUMMYFUNCTION("""COMPUTED_VALUE"""),"Normal - No Action Required")</f>
        <v>Normal - No Action Required</v>
      </c>
      <c r="AJ103" s="200" t="str">
        <f>IFERROR(__xludf.DUMMYFUNCTION("""COMPUTED_VALUE"""),"Continue routine monitoring and sampling schedule")</f>
        <v>Continue routine monitoring and sampling schedule</v>
      </c>
      <c r="AK103" s="204"/>
      <c r="AL103" s="204"/>
      <c r="AM103" s="204"/>
    </row>
    <row r="104" hidden="1">
      <c r="A104" s="199" t="str">
        <f>IFERROR(__xludf.DUMMYFUNCTION("""COMPUTED_VALUE"""),"534.BE220")</f>
        <v>534.BE220</v>
      </c>
      <c r="B104" s="200" t="str">
        <f>IFERROR(__xludf.DUMMYFUNCTION("""COMPUTED_VALUE"""),"Bucket Elevator BM#4 GB.")</f>
        <v>Bucket Elevator BM#4 GB.</v>
      </c>
      <c r="C104" s="199">
        <f>IFERROR(__xludf.DUMMYFUNCTION("""COMPUTED_VALUE"""),2.3334814024E10)</f>
        <v>23334814024</v>
      </c>
      <c r="D104" s="201">
        <f>IFERROR(__xludf.DUMMYFUNCTION("""COMPUTED_VALUE"""),45267.0)</f>
        <v>45267</v>
      </c>
      <c r="E104" s="202" t="str">
        <f>IFERROR(__xludf.DUMMYFUNCTION("""COMPUTED_VALUE"""),"Normal")</f>
        <v>Normal</v>
      </c>
      <c r="F104" s="202" t="str">
        <f>IFERROR(__xludf.DUMMYFUNCTION("""COMPUTED_VALUE"""),"Normal")</f>
        <v>Normal</v>
      </c>
      <c r="G104" s="203" t="str">
        <f>IFERROR(__xludf.DUMMYFUNCTION("""COMPUTED_VALUE"""),"Normal")</f>
        <v>Normal</v>
      </c>
      <c r="H104" s="203" t="str">
        <f>IFERROR(__xludf.DUMMYFUNCTION("""COMPUTED_VALUE"""),"Normal")</f>
        <v>Normal</v>
      </c>
      <c r="I104" s="199">
        <f>IFERROR(__xludf.DUMMYFUNCTION("""COMPUTED_VALUE"""),13878.0)</f>
        <v>13878</v>
      </c>
      <c r="J104" s="199">
        <f>IFERROR(__xludf.DUMMYFUNCTION("""COMPUTED_VALUE"""),6986.0)</f>
        <v>6986</v>
      </c>
      <c r="K104" s="199">
        <f>IFERROR(__xludf.DUMMYFUNCTION("""COMPUTED_VALUE"""),2119.0)</f>
        <v>2119</v>
      </c>
      <c r="L104" s="199">
        <f>IFERROR(__xludf.DUMMYFUNCTION("""COMPUTED_VALUE"""),6.0)</f>
        <v>6</v>
      </c>
      <c r="M104" s="199">
        <f>IFERROR(__xludf.DUMMYFUNCTION("""COMPUTED_VALUE"""),296.3)</f>
        <v>296.3</v>
      </c>
      <c r="N104" s="37"/>
      <c r="O104" s="37">
        <f>IFERROR(__xludf.DUMMYFUNCTION("""COMPUTED_VALUE"""),2.0)</f>
        <v>2</v>
      </c>
      <c r="P104" s="199">
        <f>IFERROR(__xludf.DUMMYFUNCTION("""COMPUTED_VALUE"""),0.03)</f>
        <v>0.03</v>
      </c>
      <c r="Q104" s="199">
        <f>IFERROR(__xludf.DUMMYFUNCTION("""COMPUTED_VALUE"""),0.0)</f>
        <v>0</v>
      </c>
      <c r="R104" s="199">
        <f>IFERROR(__xludf.DUMMYFUNCTION("""COMPUTED_VALUE"""),0.0)</f>
        <v>0</v>
      </c>
      <c r="S104" s="199">
        <f>IFERROR(__xludf.DUMMYFUNCTION("""COMPUTED_VALUE"""),0.0)</f>
        <v>0</v>
      </c>
      <c r="T104" s="199">
        <f>IFERROR(__xludf.DUMMYFUNCTION("""COMPUTED_VALUE"""),0.0)</f>
        <v>0</v>
      </c>
      <c r="U104" s="199">
        <f>IFERROR(__xludf.DUMMYFUNCTION("""COMPUTED_VALUE"""),2.0)</f>
        <v>2</v>
      </c>
      <c r="V104" s="199">
        <f>IFERROR(__xludf.DUMMYFUNCTION("""COMPUTED_VALUE"""),0.0)</f>
        <v>0</v>
      </c>
      <c r="W104" s="199">
        <f>IFERROR(__xludf.DUMMYFUNCTION("""COMPUTED_VALUE"""),0.0)</f>
        <v>0</v>
      </c>
      <c r="X104" s="199">
        <f>IFERROR(__xludf.DUMMYFUNCTION("""COMPUTED_VALUE"""),0.0)</f>
        <v>0</v>
      </c>
      <c r="Y104" s="199">
        <f>IFERROR(__xludf.DUMMYFUNCTION("""COMPUTED_VALUE"""),0.0)</f>
        <v>0</v>
      </c>
      <c r="Z104" s="199">
        <f>IFERROR(__xludf.DUMMYFUNCTION("""COMPUTED_VALUE"""),0.0)</f>
        <v>0</v>
      </c>
      <c r="AA104" s="199">
        <f>IFERROR(__xludf.DUMMYFUNCTION("""COMPUTED_VALUE"""),0.0)</f>
        <v>0</v>
      </c>
      <c r="AB104" s="199">
        <f>IFERROR(__xludf.DUMMYFUNCTION("""COMPUTED_VALUE"""),8.0)</f>
        <v>8</v>
      </c>
      <c r="AC104" s="199">
        <f>IFERROR(__xludf.DUMMYFUNCTION("""COMPUTED_VALUE"""),15.0)</f>
        <v>15</v>
      </c>
      <c r="AD104" s="199">
        <f>IFERROR(__xludf.DUMMYFUNCTION("""COMPUTED_VALUE"""),0.0)</f>
        <v>0</v>
      </c>
      <c r="AE104" s="199">
        <f>IFERROR(__xludf.DUMMYFUNCTION("""COMPUTED_VALUE"""),31.0)</f>
        <v>31</v>
      </c>
      <c r="AF104" s="199">
        <f>IFERROR(__xludf.DUMMYFUNCTION("""COMPUTED_VALUE"""),0.0)</f>
        <v>0</v>
      </c>
      <c r="AG104" s="199">
        <f>IFERROR(__xludf.DUMMYFUNCTION("""COMPUTED_VALUE"""),411.0)</f>
        <v>411</v>
      </c>
      <c r="AH104" s="199">
        <f>IFERROR(__xludf.DUMMYFUNCTION("""COMPUTED_VALUE"""),0.0)</f>
        <v>0</v>
      </c>
      <c r="AI104" s="200" t="str">
        <f>IFERROR(__xludf.DUMMYFUNCTION("""COMPUTED_VALUE"""),"Normal - No Action Required")</f>
        <v>Normal - No Action Required</v>
      </c>
      <c r="AJ104" s="200" t="str">
        <f>IFERROR(__xludf.DUMMYFUNCTION("""COMPUTED_VALUE"""),"Continue routine monitoring and sampling schedule")</f>
        <v>Continue routine monitoring and sampling schedule</v>
      </c>
      <c r="AK104" s="204"/>
      <c r="AL104" s="204"/>
      <c r="AM104" s="204"/>
    </row>
    <row r="105" hidden="1">
      <c r="A105" s="199" t="str">
        <f>IFERROR(__xludf.DUMMYFUNCTION("""COMPUTED_VALUE"""),"461.CP524")</f>
        <v>461.CP524</v>
      </c>
      <c r="B105" s="200" t="str">
        <f>IFERROR(__xludf.DUMMYFUNCTION("""COMPUTED_VALUE"""),"Coal#1 - Air Compressor")</f>
        <v>Coal#1 - Air Compressor</v>
      </c>
      <c r="C105" s="199">
        <f>IFERROR(__xludf.DUMMYFUNCTION("""COMPUTED_VALUE"""),2.4021211227E10)</f>
        <v>24021211227</v>
      </c>
      <c r="D105" s="201">
        <f>IFERROR(__xludf.DUMMYFUNCTION("""COMPUTED_VALUE"""),45309.0)</f>
        <v>45309</v>
      </c>
      <c r="E105" s="202" t="str">
        <f>IFERROR(__xludf.DUMMYFUNCTION("""COMPUTED_VALUE"""),"Normal")</f>
        <v>Normal</v>
      </c>
      <c r="F105" s="202" t="str">
        <f>IFERROR(__xludf.DUMMYFUNCTION("""COMPUTED_VALUE"""),"Normal")</f>
        <v>Normal</v>
      </c>
      <c r="G105" s="203" t="str">
        <f>IFERROR(__xludf.DUMMYFUNCTION("""COMPUTED_VALUE"""),"Normal")</f>
        <v>Normal</v>
      </c>
      <c r="H105" s="203" t="str">
        <f>IFERROR(__xludf.DUMMYFUNCTION("""COMPUTED_VALUE"""),"Normal")</f>
        <v>Normal</v>
      </c>
      <c r="I105" s="199">
        <f>IFERROR(__xludf.DUMMYFUNCTION("""COMPUTED_VALUE"""),19281.0)</f>
        <v>19281</v>
      </c>
      <c r="J105" s="199">
        <f>IFERROR(__xludf.DUMMYFUNCTION("""COMPUTED_VALUE"""),7231.0)</f>
        <v>7231</v>
      </c>
      <c r="K105" s="199">
        <f>IFERROR(__xludf.DUMMYFUNCTION("""COMPUTED_VALUE"""),951.0)</f>
        <v>951</v>
      </c>
      <c r="L105" s="199">
        <f>IFERROR(__xludf.DUMMYFUNCTION("""COMPUTED_VALUE"""),7.0)</f>
        <v>7</v>
      </c>
      <c r="M105" s="199">
        <f>IFERROR(__xludf.DUMMYFUNCTION("""COMPUTED_VALUE"""),65.9)</f>
        <v>65.9</v>
      </c>
      <c r="N105" s="37"/>
      <c r="O105" s="37"/>
      <c r="P105" s="199">
        <f>IFERROR(__xludf.DUMMYFUNCTION("""COMPUTED_VALUE"""),0.01)</f>
        <v>0.01</v>
      </c>
      <c r="Q105" s="199">
        <f>IFERROR(__xludf.DUMMYFUNCTION("""COMPUTED_VALUE"""),0.0)</f>
        <v>0</v>
      </c>
      <c r="R105" s="199">
        <f>IFERROR(__xludf.DUMMYFUNCTION("""COMPUTED_VALUE"""),4.0)</f>
        <v>4</v>
      </c>
      <c r="S105" s="199">
        <f>IFERROR(__xludf.DUMMYFUNCTION("""COMPUTED_VALUE"""),0.0)</f>
        <v>0</v>
      </c>
      <c r="T105" s="199">
        <f>IFERROR(__xludf.DUMMYFUNCTION("""COMPUTED_VALUE"""),0.0)</f>
        <v>0</v>
      </c>
      <c r="U105" s="199">
        <f>IFERROR(__xludf.DUMMYFUNCTION("""COMPUTED_VALUE"""),0.0)</f>
        <v>0</v>
      </c>
      <c r="V105" s="199">
        <f>IFERROR(__xludf.DUMMYFUNCTION("""COMPUTED_VALUE"""),0.0)</f>
        <v>0</v>
      </c>
      <c r="W105" s="199">
        <f>IFERROR(__xludf.DUMMYFUNCTION("""COMPUTED_VALUE"""),0.0)</f>
        <v>0</v>
      </c>
      <c r="X105" s="199">
        <f>IFERROR(__xludf.DUMMYFUNCTION("""COMPUTED_VALUE"""),0.0)</f>
        <v>0</v>
      </c>
      <c r="Y105" s="199">
        <f>IFERROR(__xludf.DUMMYFUNCTION("""COMPUTED_VALUE"""),0.0)</f>
        <v>0</v>
      </c>
      <c r="Z105" s="199">
        <f>IFERROR(__xludf.DUMMYFUNCTION("""COMPUTED_VALUE"""),0.0)</f>
        <v>0</v>
      </c>
      <c r="AA105" s="199">
        <f>IFERROR(__xludf.DUMMYFUNCTION("""COMPUTED_VALUE"""),0.0)</f>
        <v>0</v>
      </c>
      <c r="AB105" s="199">
        <f>IFERROR(__xludf.DUMMYFUNCTION("""COMPUTED_VALUE"""),0.0)</f>
        <v>0</v>
      </c>
      <c r="AC105" s="199">
        <f>IFERROR(__xludf.DUMMYFUNCTION("""COMPUTED_VALUE"""),11.0)</f>
        <v>11</v>
      </c>
      <c r="AD105" s="199">
        <f>IFERROR(__xludf.DUMMYFUNCTION("""COMPUTED_VALUE"""),0.0)</f>
        <v>0</v>
      </c>
      <c r="AE105" s="199">
        <f>IFERROR(__xludf.DUMMYFUNCTION("""COMPUTED_VALUE"""),1.0)</f>
        <v>1</v>
      </c>
      <c r="AF105" s="199">
        <f>IFERROR(__xludf.DUMMYFUNCTION("""COMPUTED_VALUE"""),0.0)</f>
        <v>0</v>
      </c>
      <c r="AG105" s="199">
        <f>IFERROR(__xludf.DUMMYFUNCTION("""COMPUTED_VALUE"""),542.0)</f>
        <v>542</v>
      </c>
      <c r="AH105" s="199">
        <f>IFERROR(__xludf.DUMMYFUNCTION("""COMPUTED_VALUE"""),2.0)</f>
        <v>2</v>
      </c>
      <c r="AI105" s="200" t="str">
        <f>IFERROR(__xludf.DUMMYFUNCTION("""COMPUTED_VALUE"""),"Normal")</f>
        <v>Normal</v>
      </c>
      <c r="AJ105" s="200" t="str">
        <f>IFERROR(__xludf.DUMMYFUNCTION("""COMPUTED_VALUE"""),"ISO Code 21/20/17. All parameters within acceptable limits. TAN 0.63 mg KOH/g. Continue routine monitoring.")</f>
        <v>ISO Code 21/20/17. All parameters within acceptable limits. TAN 0.63 mg KOH/g. Continue routine monitoring.</v>
      </c>
      <c r="AK105" s="204"/>
      <c r="AL105" s="204"/>
      <c r="AM105" s="204"/>
    </row>
    <row r="106" hidden="1">
      <c r="A106" s="199" t="str">
        <f>IFERROR(__xludf.DUMMYFUNCTION("""COMPUTED_VALUE"""),"421.FV770")</f>
        <v>421.FV770</v>
      </c>
      <c r="B106" s="200" t="str">
        <f>IFERROR(__xludf.DUMMYFUNCTION("""COMPUTED_VALUE"""),"AF sluice FLS Hyd. unit")</f>
        <v>AF sluice FLS Hyd. unit</v>
      </c>
      <c r="C106" s="199">
        <f>IFERROR(__xludf.DUMMYFUNCTION("""COMPUTED_VALUE"""),2.402121123E10)</f>
        <v>24021211230</v>
      </c>
      <c r="D106" s="201">
        <f>IFERROR(__xludf.DUMMYFUNCTION("""COMPUTED_VALUE"""),45309.0)</f>
        <v>45309</v>
      </c>
      <c r="E106" s="202" t="str">
        <f>IFERROR(__xludf.DUMMYFUNCTION("""COMPUTED_VALUE"""),"Normal")</f>
        <v>Normal</v>
      </c>
      <c r="F106" s="202" t="str">
        <f>IFERROR(__xludf.DUMMYFUNCTION("""COMPUTED_VALUE"""),"Normal")</f>
        <v>Normal</v>
      </c>
      <c r="G106" s="203" t="str">
        <f>IFERROR(__xludf.DUMMYFUNCTION("""COMPUTED_VALUE"""),"Normal")</f>
        <v>Normal</v>
      </c>
      <c r="H106" s="203" t="str">
        <f>IFERROR(__xludf.DUMMYFUNCTION("""COMPUTED_VALUE"""),"Normal")</f>
        <v>Normal</v>
      </c>
      <c r="I106" s="37">
        <f>IFERROR(__xludf.DUMMYFUNCTION("""COMPUTED_VALUE"""),8271.0)</f>
        <v>8271</v>
      </c>
      <c r="J106" s="37">
        <f>IFERROR(__xludf.DUMMYFUNCTION("""COMPUTED_VALUE"""),4312.0)</f>
        <v>4312</v>
      </c>
      <c r="K106" s="37">
        <f>IFERROR(__xludf.DUMMYFUNCTION("""COMPUTED_VALUE"""),974.0)</f>
        <v>974</v>
      </c>
      <c r="L106" s="199">
        <f>IFERROR(__xludf.DUMMYFUNCTION("""COMPUTED_VALUE"""),5.0)</f>
        <v>5</v>
      </c>
      <c r="M106" s="199">
        <f>IFERROR(__xludf.DUMMYFUNCTION("""COMPUTED_VALUE"""),51.6)</f>
        <v>51.6</v>
      </c>
      <c r="N106" s="199"/>
      <c r="O106" s="199">
        <f>IFERROR(__xludf.DUMMYFUNCTION("""COMPUTED_VALUE"""),0.0)</f>
        <v>0</v>
      </c>
      <c r="P106" s="199">
        <f>IFERROR(__xludf.DUMMYFUNCTION("""COMPUTED_VALUE"""),0.01)</f>
        <v>0.01</v>
      </c>
      <c r="Q106" s="199">
        <f>IFERROR(__xludf.DUMMYFUNCTION("""COMPUTED_VALUE"""),0.0)</f>
        <v>0</v>
      </c>
      <c r="R106" s="199">
        <f>IFERROR(__xludf.DUMMYFUNCTION("""COMPUTED_VALUE"""),4.0)</f>
        <v>4</v>
      </c>
      <c r="S106" s="199">
        <f>IFERROR(__xludf.DUMMYFUNCTION("""COMPUTED_VALUE"""),3.0)</f>
        <v>3</v>
      </c>
      <c r="T106" s="199">
        <f>IFERROR(__xludf.DUMMYFUNCTION("""COMPUTED_VALUE"""),2.0)</f>
        <v>2</v>
      </c>
      <c r="U106" s="199">
        <f>IFERROR(__xludf.DUMMYFUNCTION("""COMPUTED_VALUE"""),4.0)</f>
        <v>4</v>
      </c>
      <c r="V106" s="199">
        <f>IFERROR(__xludf.DUMMYFUNCTION("""COMPUTED_VALUE"""),0.0)</f>
        <v>0</v>
      </c>
      <c r="W106" s="199">
        <f>IFERROR(__xludf.DUMMYFUNCTION("""COMPUTED_VALUE"""),0.0)</f>
        <v>0</v>
      </c>
      <c r="X106" s="199">
        <f>IFERROR(__xludf.DUMMYFUNCTION("""COMPUTED_VALUE"""),0.0)</f>
        <v>0</v>
      </c>
      <c r="Y106" s="199">
        <f>IFERROR(__xludf.DUMMYFUNCTION("""COMPUTED_VALUE"""),0.0)</f>
        <v>0</v>
      </c>
      <c r="Z106" s="199">
        <f>IFERROR(__xludf.DUMMYFUNCTION("""COMPUTED_VALUE"""),0.0)</f>
        <v>0</v>
      </c>
      <c r="AA106" s="199">
        <f>IFERROR(__xludf.DUMMYFUNCTION("""COMPUTED_VALUE"""),0.0)</f>
        <v>0</v>
      </c>
      <c r="AB106" s="199">
        <f>IFERROR(__xludf.DUMMYFUNCTION("""COMPUTED_VALUE"""),3.0)</f>
        <v>3</v>
      </c>
      <c r="AC106" s="199">
        <f>IFERROR(__xludf.DUMMYFUNCTION("""COMPUTED_VALUE"""),2.0)</f>
        <v>2</v>
      </c>
      <c r="AD106" s="199">
        <f>IFERROR(__xludf.DUMMYFUNCTION("""COMPUTED_VALUE"""),0.0)</f>
        <v>0</v>
      </c>
      <c r="AE106" s="199">
        <f>IFERROR(__xludf.DUMMYFUNCTION("""COMPUTED_VALUE"""),134.0)</f>
        <v>134</v>
      </c>
      <c r="AF106" s="199">
        <f>IFERROR(__xludf.DUMMYFUNCTION("""COMPUTED_VALUE"""),0.0)</f>
        <v>0</v>
      </c>
      <c r="AG106" s="199">
        <f>IFERROR(__xludf.DUMMYFUNCTION("""COMPUTED_VALUE"""),391.0)</f>
        <v>391</v>
      </c>
      <c r="AH106" s="199">
        <f>IFERROR(__xludf.DUMMYFUNCTION("""COMPUTED_VALUE"""),393.0)</f>
        <v>393</v>
      </c>
      <c r="AI106" s="200" t="str">
        <f>IFERROR(__xludf.DUMMYFUNCTION("""COMPUTED_VALUE"""),"Normal - No Action Required")</f>
        <v>Normal - No Action Required</v>
      </c>
      <c r="AJ106" s="200" t="str">
        <f>IFERROR(__xludf.DUMMYFUNCTION("""COMPUTED_VALUE"""),"Continue routine monitoring and sampling schedule")</f>
        <v>Continue routine monitoring and sampling schedule</v>
      </c>
      <c r="AK106" s="204"/>
      <c r="AL106" s="204"/>
      <c r="AM106" s="204"/>
    </row>
    <row r="107" hidden="1">
      <c r="A107" s="199" t="str">
        <f>IFERROR(__xludf.DUMMYFUNCTION("""COMPUTED_VALUE"""),"461.CP525")</f>
        <v>461.CP525</v>
      </c>
      <c r="B107" s="200" t="str">
        <f>IFERROR(__xludf.DUMMYFUNCTION("""COMPUTED_VALUE"""),"Coal#1 - Air Compressor")</f>
        <v>Coal#1 - Air Compressor</v>
      </c>
      <c r="C107" s="199">
        <f>IFERROR(__xludf.DUMMYFUNCTION("""COMPUTED_VALUE"""),2.4021211226E10)</f>
        <v>24021211226</v>
      </c>
      <c r="D107" s="201">
        <f>IFERROR(__xludf.DUMMYFUNCTION("""COMPUTED_VALUE"""),45309.0)</f>
        <v>45309</v>
      </c>
      <c r="E107" s="202" t="str">
        <f>IFERROR(__xludf.DUMMYFUNCTION("""COMPUTED_VALUE"""),"Normal")</f>
        <v>Normal</v>
      </c>
      <c r="F107" s="202" t="str">
        <f>IFERROR(__xludf.DUMMYFUNCTION("""COMPUTED_VALUE"""),"Normal")</f>
        <v>Normal</v>
      </c>
      <c r="G107" s="203" t="str">
        <f>IFERROR(__xludf.DUMMYFUNCTION("""COMPUTED_VALUE"""),"Normal")</f>
        <v>Normal</v>
      </c>
      <c r="H107" s="203" t="str">
        <f>IFERROR(__xludf.DUMMYFUNCTION("""COMPUTED_VALUE"""),"Normal")</f>
        <v>Normal</v>
      </c>
      <c r="I107" s="37">
        <f>IFERROR(__xludf.DUMMYFUNCTION("""COMPUTED_VALUE"""),11978.0)</f>
        <v>11978</v>
      </c>
      <c r="J107" s="37">
        <f>IFERROR(__xludf.DUMMYFUNCTION("""COMPUTED_VALUE"""),5742.0)</f>
        <v>5742</v>
      </c>
      <c r="K107" s="37">
        <f>IFERROR(__xludf.DUMMYFUNCTION("""COMPUTED_VALUE"""),1031.0)</f>
        <v>1031</v>
      </c>
      <c r="L107" s="199">
        <f>IFERROR(__xludf.DUMMYFUNCTION("""COMPUTED_VALUE"""),8.0)</f>
        <v>8</v>
      </c>
      <c r="M107" s="199">
        <f>IFERROR(__xludf.DUMMYFUNCTION("""COMPUTED_VALUE"""),66.2)</f>
        <v>66.2</v>
      </c>
      <c r="N107" s="199"/>
      <c r="O107" s="199"/>
      <c r="P107" s="199">
        <f>IFERROR(__xludf.DUMMYFUNCTION("""COMPUTED_VALUE"""),0.003)</f>
        <v>0.003</v>
      </c>
      <c r="Q107" s="199">
        <f>IFERROR(__xludf.DUMMYFUNCTION("""COMPUTED_VALUE"""),0.0)</f>
        <v>0</v>
      </c>
      <c r="R107" s="199">
        <f>IFERROR(__xludf.DUMMYFUNCTION("""COMPUTED_VALUE"""),4.0)</f>
        <v>4</v>
      </c>
      <c r="S107" s="199">
        <f>IFERROR(__xludf.DUMMYFUNCTION("""COMPUTED_VALUE"""),0.0)</f>
        <v>0</v>
      </c>
      <c r="T107" s="199">
        <f>IFERROR(__xludf.DUMMYFUNCTION("""COMPUTED_VALUE"""),0.0)</f>
        <v>0</v>
      </c>
      <c r="U107" s="199">
        <f>IFERROR(__xludf.DUMMYFUNCTION("""COMPUTED_VALUE"""),1.0)</f>
        <v>1</v>
      </c>
      <c r="V107" s="199">
        <f>IFERROR(__xludf.DUMMYFUNCTION("""COMPUTED_VALUE"""),0.0)</f>
        <v>0</v>
      </c>
      <c r="W107" s="199">
        <f>IFERROR(__xludf.DUMMYFUNCTION("""COMPUTED_VALUE"""),0.0)</f>
        <v>0</v>
      </c>
      <c r="X107" s="199">
        <f>IFERROR(__xludf.DUMMYFUNCTION("""COMPUTED_VALUE"""),0.0)</f>
        <v>0</v>
      </c>
      <c r="Y107" s="199">
        <f>IFERROR(__xludf.DUMMYFUNCTION("""COMPUTED_VALUE"""),0.0)</f>
        <v>0</v>
      </c>
      <c r="Z107" s="199">
        <f>IFERROR(__xludf.DUMMYFUNCTION("""COMPUTED_VALUE"""),0.0)</f>
        <v>0</v>
      </c>
      <c r="AA107" s="199">
        <f>IFERROR(__xludf.DUMMYFUNCTION("""COMPUTED_VALUE"""),0.0)</f>
        <v>0</v>
      </c>
      <c r="AB107" s="199">
        <f>IFERROR(__xludf.DUMMYFUNCTION("""COMPUTED_VALUE"""),1.0)</f>
        <v>1</v>
      </c>
      <c r="AC107" s="199">
        <f>IFERROR(__xludf.DUMMYFUNCTION("""COMPUTED_VALUE"""),1.0)</f>
        <v>1</v>
      </c>
      <c r="AD107" s="199">
        <f>IFERROR(__xludf.DUMMYFUNCTION("""COMPUTED_VALUE"""),0.0)</f>
        <v>0</v>
      </c>
      <c r="AE107" s="199">
        <f>IFERROR(__xludf.DUMMYFUNCTION("""COMPUTED_VALUE"""),6.0)</f>
        <v>6</v>
      </c>
      <c r="AF107" s="199">
        <f>IFERROR(__xludf.DUMMYFUNCTION("""COMPUTED_VALUE"""),0.0)</f>
        <v>0</v>
      </c>
      <c r="AG107" s="199">
        <f>IFERROR(__xludf.DUMMYFUNCTION("""COMPUTED_VALUE"""),670.0)</f>
        <v>670</v>
      </c>
      <c r="AH107" s="199">
        <f>IFERROR(__xludf.DUMMYFUNCTION("""COMPUTED_VALUE"""),3.0)</f>
        <v>3</v>
      </c>
      <c r="AI107" s="200" t="str">
        <f>IFERROR(__xludf.DUMMYFUNCTION("""COMPUTED_VALUE"""),"Normal - No Action Required")</f>
        <v>Normal - No Action Required</v>
      </c>
      <c r="AJ107" s="200" t="str">
        <f>IFERROR(__xludf.DUMMYFUNCTION("""COMPUTED_VALUE"""),"Continue routine monitoring and sampling schedule")</f>
        <v>Continue routine monitoring and sampling schedule</v>
      </c>
      <c r="AK107" s="204"/>
      <c r="AL107" s="204"/>
      <c r="AM107" s="204"/>
    </row>
    <row r="108" hidden="1">
      <c r="A108" s="199" t="str">
        <f>IFERROR(__xludf.DUMMYFUNCTION("""COMPUTED_VALUE"""),"461.CP526")</f>
        <v>461.CP526</v>
      </c>
      <c r="B108" s="200" t="str">
        <f>IFERROR(__xludf.DUMMYFUNCTION("""COMPUTED_VALUE"""),"Coal#1 - Air Compressor")</f>
        <v>Coal#1 - Air Compressor</v>
      </c>
      <c r="C108" s="199">
        <f>IFERROR(__xludf.DUMMYFUNCTION("""COMPUTED_VALUE"""),2.4021211225E10)</f>
        <v>24021211225</v>
      </c>
      <c r="D108" s="201">
        <f>IFERROR(__xludf.DUMMYFUNCTION("""COMPUTED_VALUE"""),45309.0)</f>
        <v>45309</v>
      </c>
      <c r="E108" s="202" t="str">
        <f>IFERROR(__xludf.DUMMYFUNCTION("""COMPUTED_VALUE"""),"Normal")</f>
        <v>Normal</v>
      </c>
      <c r="F108" s="202" t="str">
        <f>IFERROR(__xludf.DUMMYFUNCTION("""COMPUTED_VALUE"""),"Normal")</f>
        <v>Normal</v>
      </c>
      <c r="G108" s="203" t="str">
        <f>IFERROR(__xludf.DUMMYFUNCTION("""COMPUTED_VALUE"""),"Normal")</f>
        <v>Normal</v>
      </c>
      <c r="H108" s="203" t="str">
        <f>IFERROR(__xludf.DUMMYFUNCTION("""COMPUTED_VALUE"""),"Normal")</f>
        <v>Normal</v>
      </c>
      <c r="I108" s="199">
        <f>IFERROR(__xludf.DUMMYFUNCTION("""COMPUTED_VALUE"""),6232.0)</f>
        <v>6232</v>
      </c>
      <c r="J108" s="199">
        <f>IFERROR(__xludf.DUMMYFUNCTION("""COMPUTED_VALUE"""),2031.0)</f>
        <v>2031</v>
      </c>
      <c r="K108" s="199">
        <f>IFERROR(__xludf.DUMMYFUNCTION("""COMPUTED_VALUE"""),893.0)</f>
        <v>893</v>
      </c>
      <c r="L108" s="199">
        <f>IFERROR(__xludf.DUMMYFUNCTION("""COMPUTED_VALUE"""),5.0)</f>
        <v>5</v>
      </c>
      <c r="M108" s="199">
        <f>IFERROR(__xludf.DUMMYFUNCTION("""COMPUTED_VALUE"""),67.4)</f>
        <v>67.4</v>
      </c>
      <c r="N108" s="199"/>
      <c r="O108" s="199"/>
      <c r="P108" s="199">
        <f>IFERROR(__xludf.DUMMYFUNCTION("""COMPUTED_VALUE"""),0.003)</f>
        <v>0.003</v>
      </c>
      <c r="Q108" s="199">
        <f>IFERROR(__xludf.DUMMYFUNCTION("""COMPUTED_VALUE"""),0.0)</f>
        <v>0</v>
      </c>
      <c r="R108" s="199">
        <f>IFERROR(__xludf.DUMMYFUNCTION("""COMPUTED_VALUE"""),0.0)</f>
        <v>0</v>
      </c>
      <c r="S108" s="199">
        <f>IFERROR(__xludf.DUMMYFUNCTION("""COMPUTED_VALUE"""),4.0)</f>
        <v>4</v>
      </c>
      <c r="T108" s="199">
        <f>IFERROR(__xludf.DUMMYFUNCTION("""COMPUTED_VALUE"""),0.0)</f>
        <v>0</v>
      </c>
      <c r="U108" s="199">
        <f>IFERROR(__xludf.DUMMYFUNCTION("""COMPUTED_VALUE"""),0.0)</f>
        <v>0</v>
      </c>
      <c r="V108" s="199">
        <f>IFERROR(__xludf.DUMMYFUNCTION("""COMPUTED_VALUE"""),0.0)</f>
        <v>0</v>
      </c>
      <c r="W108" s="199">
        <f>IFERROR(__xludf.DUMMYFUNCTION("""COMPUTED_VALUE"""),0.0)</f>
        <v>0</v>
      </c>
      <c r="X108" s="199">
        <f>IFERROR(__xludf.DUMMYFUNCTION("""COMPUTED_VALUE"""),0.0)</f>
        <v>0</v>
      </c>
      <c r="Y108" s="199">
        <f>IFERROR(__xludf.DUMMYFUNCTION("""COMPUTED_VALUE"""),0.0)</f>
        <v>0</v>
      </c>
      <c r="Z108" s="199">
        <f>IFERROR(__xludf.DUMMYFUNCTION("""COMPUTED_VALUE"""),0.0)</f>
        <v>0</v>
      </c>
      <c r="AA108" s="199">
        <f>IFERROR(__xludf.DUMMYFUNCTION("""COMPUTED_VALUE"""),0.0)</f>
        <v>0</v>
      </c>
      <c r="AB108" s="199">
        <f>IFERROR(__xludf.DUMMYFUNCTION("""COMPUTED_VALUE"""),0.0)</f>
        <v>0</v>
      </c>
      <c r="AC108" s="199">
        <f>IFERROR(__xludf.DUMMYFUNCTION("""COMPUTED_VALUE"""),6.0)</f>
        <v>6</v>
      </c>
      <c r="AD108" s="199">
        <f>IFERROR(__xludf.DUMMYFUNCTION("""COMPUTED_VALUE"""),0.0)</f>
        <v>0</v>
      </c>
      <c r="AE108" s="199">
        <f>IFERROR(__xludf.DUMMYFUNCTION("""COMPUTED_VALUE"""),0.0)</f>
        <v>0</v>
      </c>
      <c r="AF108" s="199">
        <f>IFERROR(__xludf.DUMMYFUNCTION("""COMPUTED_VALUE"""),0.0)</f>
        <v>0</v>
      </c>
      <c r="AG108" s="199">
        <f>IFERROR(__xludf.DUMMYFUNCTION("""COMPUTED_VALUE"""),500.0)</f>
        <v>500</v>
      </c>
      <c r="AH108" s="199">
        <f>IFERROR(__xludf.DUMMYFUNCTION("""COMPUTED_VALUE"""),11.0)</f>
        <v>11</v>
      </c>
      <c r="AI108" s="200" t="str">
        <f>IFERROR(__xludf.DUMMYFUNCTION("""COMPUTED_VALUE"""),"Normal - No Action Required")</f>
        <v>Normal - No Action Required</v>
      </c>
      <c r="AJ108" s="200" t="str">
        <f>IFERROR(__xludf.DUMMYFUNCTION("""COMPUTED_VALUE"""),"Continue routine monitoring and sampling schedule")</f>
        <v>Continue routine monitoring and sampling schedule</v>
      </c>
      <c r="AK108" s="204"/>
      <c r="AL108" s="204"/>
      <c r="AM108" s="204"/>
    </row>
    <row r="109" hidden="1">
      <c r="A109" s="199" t="str">
        <f>IFERROR(__xludf.DUMMYFUNCTION("""COMPUTED_VALUE"""),"462.CP525")</f>
        <v>462.CP525</v>
      </c>
      <c r="B109" s="200" t="str">
        <f>IFERROR(__xludf.DUMMYFUNCTION("""COMPUTED_VALUE"""),"Coal#1 - Air Compressor")</f>
        <v>Coal#1 - Air Compressor</v>
      </c>
      <c r="C109" s="199">
        <f>IFERROR(__xludf.DUMMYFUNCTION("""COMPUTED_VALUE"""),2.4021211229E10)</f>
        <v>24021211229</v>
      </c>
      <c r="D109" s="201">
        <f>IFERROR(__xludf.DUMMYFUNCTION("""COMPUTED_VALUE"""),45309.0)</f>
        <v>45309</v>
      </c>
      <c r="E109" s="202" t="str">
        <f>IFERROR(__xludf.DUMMYFUNCTION("""COMPUTED_VALUE"""),"Caution")</f>
        <v>Caution</v>
      </c>
      <c r="F109" s="202" t="str">
        <f>IFERROR(__xludf.DUMMYFUNCTION("""COMPUTED_VALUE"""),"Caution")</f>
        <v>Caution</v>
      </c>
      <c r="G109" s="203" t="str">
        <f>IFERROR(__xludf.DUMMYFUNCTION("""COMPUTED_VALUE"""),"Normal")</f>
        <v>Normal</v>
      </c>
      <c r="H109" s="203" t="str">
        <f>IFERROR(__xludf.DUMMYFUNCTION("""COMPUTED_VALUE"""),"Normal")</f>
        <v>Normal</v>
      </c>
      <c r="I109" s="199"/>
      <c r="J109" s="199"/>
      <c r="K109" s="199"/>
      <c r="L109" s="199">
        <f>IFERROR(__xludf.DUMMYFUNCTION("""COMPUTED_VALUE"""),7.0)</f>
        <v>7</v>
      </c>
      <c r="M109" s="199">
        <f>IFERROR(__xludf.DUMMYFUNCTION("""COMPUTED_VALUE"""),69.0)</f>
        <v>69</v>
      </c>
      <c r="N109" s="199"/>
      <c r="O109" s="199"/>
      <c r="P109" s="199">
        <f>IFERROR(__xludf.DUMMYFUNCTION("""COMPUTED_VALUE"""),0.03)</f>
        <v>0.03</v>
      </c>
      <c r="Q109" s="199">
        <f>IFERROR(__xludf.DUMMYFUNCTION("""COMPUTED_VALUE"""),0.0)</f>
        <v>0</v>
      </c>
      <c r="R109" s="199">
        <f>IFERROR(__xludf.DUMMYFUNCTION("""COMPUTED_VALUE"""),0.0)</f>
        <v>0</v>
      </c>
      <c r="S109" s="199">
        <f>IFERROR(__xludf.DUMMYFUNCTION("""COMPUTED_VALUE"""),4.0)</f>
        <v>4</v>
      </c>
      <c r="T109" s="199">
        <f>IFERROR(__xludf.DUMMYFUNCTION("""COMPUTED_VALUE"""),0.0)</f>
        <v>0</v>
      </c>
      <c r="U109" s="199">
        <f>IFERROR(__xludf.DUMMYFUNCTION("""COMPUTED_VALUE"""),0.0)</f>
        <v>0</v>
      </c>
      <c r="V109" s="199">
        <f>IFERROR(__xludf.DUMMYFUNCTION("""COMPUTED_VALUE"""),0.0)</f>
        <v>0</v>
      </c>
      <c r="W109" s="199">
        <f>IFERROR(__xludf.DUMMYFUNCTION("""COMPUTED_VALUE"""),0.0)</f>
        <v>0</v>
      </c>
      <c r="X109" s="199">
        <f>IFERROR(__xludf.DUMMYFUNCTION("""COMPUTED_VALUE"""),0.0)</f>
        <v>0</v>
      </c>
      <c r="Y109" s="199">
        <f>IFERROR(__xludf.DUMMYFUNCTION("""COMPUTED_VALUE"""),0.0)</f>
        <v>0</v>
      </c>
      <c r="Z109" s="199">
        <f>IFERROR(__xludf.DUMMYFUNCTION("""COMPUTED_VALUE"""),0.0)</f>
        <v>0</v>
      </c>
      <c r="AA109" s="199">
        <f>IFERROR(__xludf.DUMMYFUNCTION("""COMPUTED_VALUE"""),0.0)</f>
        <v>0</v>
      </c>
      <c r="AB109" s="199">
        <f>IFERROR(__xludf.DUMMYFUNCTION("""COMPUTED_VALUE"""),0.0)</f>
        <v>0</v>
      </c>
      <c r="AC109" s="199">
        <f>IFERROR(__xludf.DUMMYFUNCTION("""COMPUTED_VALUE"""),3.0)</f>
        <v>3</v>
      </c>
      <c r="AD109" s="199">
        <f>IFERROR(__xludf.DUMMYFUNCTION("""COMPUTED_VALUE"""),0.0)</f>
        <v>0</v>
      </c>
      <c r="AE109" s="199">
        <f>IFERROR(__xludf.DUMMYFUNCTION("""COMPUTED_VALUE"""),27.0)</f>
        <v>27</v>
      </c>
      <c r="AF109" s="199">
        <f>IFERROR(__xludf.DUMMYFUNCTION("""COMPUTED_VALUE"""),1.0)</f>
        <v>1</v>
      </c>
      <c r="AG109" s="199">
        <f>IFERROR(__xludf.DUMMYFUNCTION("""COMPUTED_VALUE"""),526.0)</f>
        <v>526</v>
      </c>
      <c r="AH109" s="199">
        <f>IFERROR(__xludf.DUMMYFUNCTION("""COMPUTED_VALUE"""),15.0)</f>
        <v>15</v>
      </c>
      <c r="AI109" s="200" t="str">
        <f>IFERROR(__xludf.DUMMYFUNCTION("""COMPUTED_VALUE"""),"General Caution")</f>
        <v>General Caution</v>
      </c>
      <c r="AJ109" s="200" t="str">
        <f>IFERROR(__xludf.DUMMYFUNCTION("""COMPUTED_VALUE"""),"Continue monitoring; resample at next scheduled interval")</f>
        <v>Continue monitoring; resample at next scheduled interval</v>
      </c>
      <c r="AK109" s="204"/>
      <c r="AL109" s="204"/>
      <c r="AM109" s="204"/>
    </row>
    <row r="110" hidden="1">
      <c r="A110" s="199" t="str">
        <f>IFERROR(__xludf.DUMMYFUNCTION("""COMPUTED_VALUE"""),"462.CP530")</f>
        <v>462.CP530</v>
      </c>
      <c r="B110" s="200" t="str">
        <f>IFERROR(__xludf.DUMMYFUNCTION("""COMPUTED_VALUE"""),"Coal#1 - Air Compressor")</f>
        <v>Coal#1 - Air Compressor</v>
      </c>
      <c r="C110" s="199">
        <f>IFERROR(__xludf.DUMMYFUNCTION("""COMPUTED_VALUE"""),2.4021211224E10)</f>
        <v>24021211224</v>
      </c>
      <c r="D110" s="201">
        <f>IFERROR(__xludf.DUMMYFUNCTION("""COMPUTED_VALUE"""),45309.0)</f>
        <v>45309</v>
      </c>
      <c r="E110" s="202" t="str">
        <f>IFERROR(__xludf.DUMMYFUNCTION("""COMPUTED_VALUE"""),"Normal")</f>
        <v>Normal</v>
      </c>
      <c r="F110" s="202" t="str">
        <f>IFERROR(__xludf.DUMMYFUNCTION("""COMPUTED_VALUE"""),"Normal")</f>
        <v>Normal</v>
      </c>
      <c r="G110" s="203" t="str">
        <f>IFERROR(__xludf.DUMMYFUNCTION("""COMPUTED_VALUE"""),"Normal")</f>
        <v>Normal</v>
      </c>
      <c r="H110" s="203" t="str">
        <f>IFERROR(__xludf.DUMMYFUNCTION("""COMPUTED_VALUE"""),"Normal")</f>
        <v>Normal</v>
      </c>
      <c r="I110" s="199">
        <f>IFERROR(__xludf.DUMMYFUNCTION("""COMPUTED_VALUE"""),9132.0)</f>
        <v>9132</v>
      </c>
      <c r="J110" s="199">
        <f>IFERROR(__xludf.DUMMYFUNCTION("""COMPUTED_VALUE"""),4112.0)</f>
        <v>4112</v>
      </c>
      <c r="K110" s="199">
        <f>IFERROR(__xludf.DUMMYFUNCTION("""COMPUTED_VALUE"""),913.0)</f>
        <v>913</v>
      </c>
      <c r="L110" s="199">
        <f>IFERROR(__xludf.DUMMYFUNCTION("""COMPUTED_VALUE"""),4.0)</f>
        <v>4</v>
      </c>
      <c r="M110" s="199">
        <f>IFERROR(__xludf.DUMMYFUNCTION("""COMPUTED_VALUE"""),63.6)</f>
        <v>63.6</v>
      </c>
      <c r="N110" s="37"/>
      <c r="O110" s="37"/>
      <c r="P110" s="199">
        <f>IFERROR(__xludf.DUMMYFUNCTION("""COMPUTED_VALUE"""),0.003)</f>
        <v>0.003</v>
      </c>
      <c r="Q110" s="199">
        <f>IFERROR(__xludf.DUMMYFUNCTION("""COMPUTED_VALUE"""),0.0)</f>
        <v>0</v>
      </c>
      <c r="R110" s="199">
        <f>IFERROR(__xludf.DUMMYFUNCTION("""COMPUTED_VALUE"""),0.0)</f>
        <v>0</v>
      </c>
      <c r="S110" s="199">
        <f>IFERROR(__xludf.DUMMYFUNCTION("""COMPUTED_VALUE"""),4.0)</f>
        <v>4</v>
      </c>
      <c r="T110" s="199">
        <f>IFERROR(__xludf.DUMMYFUNCTION("""COMPUTED_VALUE"""),0.0)</f>
        <v>0</v>
      </c>
      <c r="U110" s="199">
        <f>IFERROR(__xludf.DUMMYFUNCTION("""COMPUTED_VALUE"""),0.0)</f>
        <v>0</v>
      </c>
      <c r="V110" s="199">
        <f>IFERROR(__xludf.DUMMYFUNCTION("""COMPUTED_VALUE"""),0.0)</f>
        <v>0</v>
      </c>
      <c r="W110" s="199">
        <f>IFERROR(__xludf.DUMMYFUNCTION("""COMPUTED_VALUE"""),0.0)</f>
        <v>0</v>
      </c>
      <c r="X110" s="199">
        <f>IFERROR(__xludf.DUMMYFUNCTION("""COMPUTED_VALUE"""),0.0)</f>
        <v>0</v>
      </c>
      <c r="Y110" s="199">
        <f>IFERROR(__xludf.DUMMYFUNCTION("""COMPUTED_VALUE"""),0.0)</f>
        <v>0</v>
      </c>
      <c r="Z110" s="199">
        <f>IFERROR(__xludf.DUMMYFUNCTION("""COMPUTED_VALUE"""),0.0)</f>
        <v>0</v>
      </c>
      <c r="AA110" s="199">
        <f>IFERROR(__xludf.DUMMYFUNCTION("""COMPUTED_VALUE"""),0.0)</f>
        <v>0</v>
      </c>
      <c r="AB110" s="199">
        <f>IFERROR(__xludf.DUMMYFUNCTION("""COMPUTED_VALUE"""),0.0)</f>
        <v>0</v>
      </c>
      <c r="AC110" s="199">
        <f>IFERROR(__xludf.DUMMYFUNCTION("""COMPUTED_VALUE"""),0.0)</f>
        <v>0</v>
      </c>
      <c r="AD110" s="199">
        <f>IFERROR(__xludf.DUMMYFUNCTION("""COMPUTED_VALUE"""),0.0)</f>
        <v>0</v>
      </c>
      <c r="AE110" s="199">
        <f>IFERROR(__xludf.DUMMYFUNCTION("""COMPUTED_VALUE"""),0.0)</f>
        <v>0</v>
      </c>
      <c r="AF110" s="199">
        <f>IFERROR(__xludf.DUMMYFUNCTION("""COMPUTED_VALUE"""),0.0)</f>
        <v>0</v>
      </c>
      <c r="AG110" s="199">
        <f>IFERROR(__xludf.DUMMYFUNCTION("""COMPUTED_VALUE"""),495.0)</f>
        <v>495</v>
      </c>
      <c r="AH110" s="199">
        <f>IFERROR(__xludf.DUMMYFUNCTION("""COMPUTED_VALUE"""),19.0)</f>
        <v>19</v>
      </c>
      <c r="AI110" s="200" t="str">
        <f>IFERROR(__xludf.DUMMYFUNCTION("""COMPUTED_VALUE"""),"Normal - No Action Required")</f>
        <v>Normal - No Action Required</v>
      </c>
      <c r="AJ110" s="200" t="str">
        <f>IFERROR(__xludf.DUMMYFUNCTION("""COMPUTED_VALUE"""),"Continue routine monitoring and sampling schedule")</f>
        <v>Continue routine monitoring and sampling schedule</v>
      </c>
      <c r="AK110" s="204"/>
      <c r="AL110" s="204"/>
      <c r="AM110" s="204"/>
    </row>
    <row r="111" hidden="1">
      <c r="A111" s="199" t="str">
        <f>IFERROR(__xludf.DUMMYFUNCTION("""COMPUTED_VALUE"""),"462.CP535")</f>
        <v>462.CP535</v>
      </c>
      <c r="B111" s="200" t="str">
        <f>IFERROR(__xludf.DUMMYFUNCTION("""COMPUTED_VALUE"""),"Coal#1 - Air Compressor")</f>
        <v>Coal#1 - Air Compressor</v>
      </c>
      <c r="C111" s="199">
        <f>IFERROR(__xludf.DUMMYFUNCTION("""COMPUTED_VALUE"""),2.4021211228E10)</f>
        <v>24021211228</v>
      </c>
      <c r="D111" s="201">
        <f>IFERROR(__xludf.DUMMYFUNCTION("""COMPUTED_VALUE"""),45309.0)</f>
        <v>45309</v>
      </c>
      <c r="E111" s="202" t="str">
        <f>IFERROR(__xludf.DUMMYFUNCTION("""COMPUTED_VALUE"""),"Caution")</f>
        <v>Caution</v>
      </c>
      <c r="F111" s="202" t="str">
        <f>IFERROR(__xludf.DUMMYFUNCTION("""COMPUTED_VALUE"""),"Caution")</f>
        <v>Caution</v>
      </c>
      <c r="G111" s="203" t="str">
        <f>IFERROR(__xludf.DUMMYFUNCTION("""COMPUTED_VALUE"""),"Normal")</f>
        <v>Normal</v>
      </c>
      <c r="H111" s="203" t="str">
        <f>IFERROR(__xludf.DUMMYFUNCTION("""COMPUTED_VALUE"""),"Normal")</f>
        <v>Normal</v>
      </c>
      <c r="I111" s="199"/>
      <c r="J111" s="199"/>
      <c r="K111" s="199"/>
      <c r="L111" s="199">
        <f>IFERROR(__xludf.DUMMYFUNCTION("""COMPUTED_VALUE"""),5.0)</f>
        <v>5</v>
      </c>
      <c r="M111" s="199">
        <f>IFERROR(__xludf.DUMMYFUNCTION("""COMPUTED_VALUE"""),68.9)</f>
        <v>68.9</v>
      </c>
      <c r="N111" s="37"/>
      <c r="O111" s="37"/>
      <c r="P111" s="199">
        <f>IFERROR(__xludf.DUMMYFUNCTION("""COMPUTED_VALUE"""),0.02)</f>
        <v>0.02</v>
      </c>
      <c r="Q111" s="199">
        <f>IFERROR(__xludf.DUMMYFUNCTION("""COMPUTED_VALUE"""),0.0)</f>
        <v>0</v>
      </c>
      <c r="R111" s="199">
        <f>IFERROR(__xludf.DUMMYFUNCTION("""COMPUTED_VALUE"""),4.0)</f>
        <v>4</v>
      </c>
      <c r="S111" s="199">
        <f>IFERROR(__xludf.DUMMYFUNCTION("""COMPUTED_VALUE"""),0.0)</f>
        <v>0</v>
      </c>
      <c r="T111" s="199">
        <f>IFERROR(__xludf.DUMMYFUNCTION("""COMPUTED_VALUE"""),0.0)</f>
        <v>0</v>
      </c>
      <c r="U111" s="199">
        <f>IFERROR(__xludf.DUMMYFUNCTION("""COMPUTED_VALUE"""),0.0)</f>
        <v>0</v>
      </c>
      <c r="V111" s="199">
        <f>IFERROR(__xludf.DUMMYFUNCTION("""COMPUTED_VALUE"""),0.0)</f>
        <v>0</v>
      </c>
      <c r="W111" s="199">
        <f>IFERROR(__xludf.DUMMYFUNCTION("""COMPUTED_VALUE"""),0.0)</f>
        <v>0</v>
      </c>
      <c r="X111" s="199">
        <f>IFERROR(__xludf.DUMMYFUNCTION("""COMPUTED_VALUE"""),0.0)</f>
        <v>0</v>
      </c>
      <c r="Y111" s="199">
        <f>IFERROR(__xludf.DUMMYFUNCTION("""COMPUTED_VALUE"""),0.0)</f>
        <v>0</v>
      </c>
      <c r="Z111" s="199">
        <f>IFERROR(__xludf.DUMMYFUNCTION("""COMPUTED_VALUE"""),0.0)</f>
        <v>0</v>
      </c>
      <c r="AA111" s="199">
        <f>IFERROR(__xludf.DUMMYFUNCTION("""COMPUTED_VALUE"""),0.0)</f>
        <v>0</v>
      </c>
      <c r="AB111" s="199">
        <f>IFERROR(__xludf.DUMMYFUNCTION("""COMPUTED_VALUE"""),1.0)</f>
        <v>1</v>
      </c>
      <c r="AC111" s="199">
        <f>IFERROR(__xludf.DUMMYFUNCTION("""COMPUTED_VALUE"""),10.0)</f>
        <v>10</v>
      </c>
      <c r="AD111" s="199">
        <f>IFERROR(__xludf.DUMMYFUNCTION("""COMPUTED_VALUE"""),0.0)</f>
        <v>0</v>
      </c>
      <c r="AE111" s="199">
        <f>IFERROR(__xludf.DUMMYFUNCTION("""COMPUTED_VALUE"""),1.0)</f>
        <v>1</v>
      </c>
      <c r="AF111" s="199">
        <f>IFERROR(__xludf.DUMMYFUNCTION("""COMPUTED_VALUE"""),0.0)</f>
        <v>0</v>
      </c>
      <c r="AG111" s="199">
        <f>IFERROR(__xludf.DUMMYFUNCTION("""COMPUTED_VALUE"""),597.0)</f>
        <v>597</v>
      </c>
      <c r="AH111" s="199">
        <f>IFERROR(__xludf.DUMMYFUNCTION("""COMPUTED_VALUE"""),0.0)</f>
        <v>0</v>
      </c>
      <c r="AI111" s="200" t="str">
        <f>IFERROR(__xludf.DUMMYFUNCTION("""COMPUTED_VALUE"""),"General Caution")</f>
        <v>General Caution</v>
      </c>
      <c r="AJ111" s="200" t="str">
        <f>IFERROR(__xludf.DUMMYFUNCTION("""COMPUTED_VALUE"""),"Continue monitoring; resample at next scheduled interval")</f>
        <v>Continue monitoring; resample at next scheduled interval</v>
      </c>
      <c r="AK111" s="204"/>
      <c r="AL111" s="204"/>
      <c r="AM111" s="204"/>
    </row>
    <row r="112" hidden="1">
      <c r="A112" s="199" t="str">
        <f>IFERROR(__xludf.DUMMYFUNCTION("""COMPUTED_VALUE"""),"541.BE180")</f>
        <v>541.BE180</v>
      </c>
      <c r="B112" s="200" t="str">
        <f>IFERROR(__xludf.DUMMYFUNCTION("""COMPUTED_VALUE"""),"Bucket Elevator Cem. Silo#1 GB.")</f>
        <v>Bucket Elevator Cem. Silo#1 GB.</v>
      </c>
      <c r="C112" s="199">
        <f>IFERROR(__xludf.DUMMYFUNCTION("""COMPUTED_VALUE"""),2.4021210208E10)</f>
        <v>24021210208</v>
      </c>
      <c r="D112" s="201">
        <f>IFERROR(__xludf.DUMMYFUNCTION("""COMPUTED_VALUE"""),45309.0)</f>
        <v>45309</v>
      </c>
      <c r="E112" s="202" t="str">
        <f>IFERROR(__xludf.DUMMYFUNCTION("""COMPUTED_VALUE"""),"Caution")</f>
        <v>Caution</v>
      </c>
      <c r="F112" s="202" t="str">
        <f>IFERROR(__xludf.DUMMYFUNCTION("""COMPUTED_VALUE"""),"Caution")</f>
        <v>Caution</v>
      </c>
      <c r="G112" s="203" t="str">
        <f>IFERROR(__xludf.DUMMYFUNCTION("""COMPUTED_VALUE"""),"Normal")</f>
        <v>Normal</v>
      </c>
      <c r="H112" s="203" t="str">
        <f>IFERROR(__xludf.DUMMYFUNCTION("""COMPUTED_VALUE"""),"Normal")</f>
        <v>Normal</v>
      </c>
      <c r="I112" s="199"/>
      <c r="J112" s="199"/>
      <c r="K112" s="199"/>
      <c r="L112" s="199">
        <f>IFERROR(__xludf.DUMMYFUNCTION("""COMPUTED_VALUE"""),5.0)</f>
        <v>5</v>
      </c>
      <c r="M112" s="199">
        <f>IFERROR(__xludf.DUMMYFUNCTION("""COMPUTED_VALUE"""),298.9)</f>
        <v>298.9</v>
      </c>
      <c r="N112" s="37"/>
      <c r="O112" s="37"/>
      <c r="P112" s="199">
        <f>IFERROR(__xludf.DUMMYFUNCTION("""COMPUTED_VALUE"""),0.01)</f>
        <v>0.01</v>
      </c>
      <c r="Q112" s="199">
        <f>IFERROR(__xludf.DUMMYFUNCTION("""COMPUTED_VALUE"""),0.0)</f>
        <v>0</v>
      </c>
      <c r="R112" s="199">
        <f>IFERROR(__xludf.DUMMYFUNCTION("""COMPUTED_VALUE"""),0.0)</f>
        <v>0</v>
      </c>
      <c r="S112" s="199">
        <f>IFERROR(__xludf.DUMMYFUNCTION("""COMPUTED_VALUE"""),0.0)</f>
        <v>0</v>
      </c>
      <c r="T112" s="199">
        <f>IFERROR(__xludf.DUMMYFUNCTION("""COMPUTED_VALUE"""),0.0)</f>
        <v>0</v>
      </c>
      <c r="U112" s="199">
        <f>IFERROR(__xludf.DUMMYFUNCTION("""COMPUTED_VALUE"""),4.0)</f>
        <v>4</v>
      </c>
      <c r="V112" s="199">
        <f>IFERROR(__xludf.DUMMYFUNCTION("""COMPUTED_VALUE"""),0.0)</f>
        <v>0</v>
      </c>
      <c r="W112" s="199">
        <f>IFERROR(__xludf.DUMMYFUNCTION("""COMPUTED_VALUE"""),0.0)</f>
        <v>0</v>
      </c>
      <c r="X112" s="199">
        <f>IFERROR(__xludf.DUMMYFUNCTION("""COMPUTED_VALUE"""),0.0)</f>
        <v>0</v>
      </c>
      <c r="Y112" s="199">
        <f>IFERROR(__xludf.DUMMYFUNCTION("""COMPUTED_VALUE"""),0.0)</f>
        <v>0</v>
      </c>
      <c r="Z112" s="199">
        <f>IFERROR(__xludf.DUMMYFUNCTION("""COMPUTED_VALUE"""),0.0)</f>
        <v>0</v>
      </c>
      <c r="AA112" s="199">
        <f>IFERROR(__xludf.DUMMYFUNCTION("""COMPUTED_VALUE"""),0.0)</f>
        <v>0</v>
      </c>
      <c r="AB112" s="199">
        <f>IFERROR(__xludf.DUMMYFUNCTION("""COMPUTED_VALUE"""),9.0)</f>
        <v>9</v>
      </c>
      <c r="AC112" s="199">
        <f>IFERROR(__xludf.DUMMYFUNCTION("""COMPUTED_VALUE"""),1.0)</f>
        <v>1</v>
      </c>
      <c r="AD112" s="199">
        <f>IFERROR(__xludf.DUMMYFUNCTION("""COMPUTED_VALUE"""),0.0)</f>
        <v>0</v>
      </c>
      <c r="AE112" s="199">
        <f>IFERROR(__xludf.DUMMYFUNCTION("""COMPUTED_VALUE"""),0.0)</f>
        <v>0</v>
      </c>
      <c r="AF112" s="199">
        <f>IFERROR(__xludf.DUMMYFUNCTION("""COMPUTED_VALUE"""),0.0)</f>
        <v>0</v>
      </c>
      <c r="AG112" s="199">
        <f>IFERROR(__xludf.DUMMYFUNCTION("""COMPUTED_VALUE"""),410.0)</f>
        <v>410</v>
      </c>
      <c r="AH112" s="199">
        <f>IFERROR(__xludf.DUMMYFUNCTION("""COMPUTED_VALUE"""),15.0)</f>
        <v>15</v>
      </c>
      <c r="AI112" s="200" t="str">
        <f>IFERROR(__xludf.DUMMYFUNCTION("""COMPUTED_VALUE"""),"General Caution")</f>
        <v>General Caution</v>
      </c>
      <c r="AJ112" s="200" t="str">
        <f>IFERROR(__xludf.DUMMYFUNCTION("""COMPUTED_VALUE"""),"Continue monitoring; resample at next scheduled interval")</f>
        <v>Continue monitoring; resample at next scheduled interval</v>
      </c>
      <c r="AK112" s="204"/>
      <c r="AL112" s="204"/>
      <c r="AM112" s="204"/>
    </row>
    <row r="113" hidden="1">
      <c r="A113" s="199" t="str">
        <f>IFERROR(__xludf.DUMMYFUNCTION("""COMPUTED_VALUE"""),"544.BE180")</f>
        <v>544.BE180</v>
      </c>
      <c r="B113" s="200" t="str">
        <f>IFERROR(__xludf.DUMMYFUNCTION("""COMPUTED_VALUE"""),"Bucket Elevator Cem. Silo#4 GB.")</f>
        <v>Bucket Elevator Cem. Silo#4 GB.</v>
      </c>
      <c r="C113" s="199">
        <f>IFERROR(__xludf.DUMMYFUNCTION("""COMPUTED_VALUE"""),2.4021210215E10)</f>
        <v>24021210215</v>
      </c>
      <c r="D113" s="201">
        <f>IFERROR(__xludf.DUMMYFUNCTION("""COMPUTED_VALUE"""),45309.0)</f>
        <v>45309</v>
      </c>
      <c r="E113" s="202" t="str">
        <f>IFERROR(__xludf.DUMMYFUNCTION("""COMPUTED_VALUE"""),"Caution")</f>
        <v>Caution</v>
      </c>
      <c r="F113" s="202" t="str">
        <f>IFERROR(__xludf.DUMMYFUNCTION("""COMPUTED_VALUE"""),"Caution")</f>
        <v>Caution</v>
      </c>
      <c r="G113" s="203" t="str">
        <f>IFERROR(__xludf.DUMMYFUNCTION("""COMPUTED_VALUE"""),"Normal")</f>
        <v>Normal</v>
      </c>
      <c r="H113" s="203" t="str">
        <f>IFERROR(__xludf.DUMMYFUNCTION("""COMPUTED_VALUE"""),"Normal")</f>
        <v>Normal</v>
      </c>
      <c r="I113" s="199"/>
      <c r="J113" s="199"/>
      <c r="K113" s="199"/>
      <c r="L113" s="199">
        <f>IFERROR(__xludf.DUMMYFUNCTION("""COMPUTED_VALUE"""),6.0)</f>
        <v>6</v>
      </c>
      <c r="M113" s="199">
        <f>IFERROR(__xludf.DUMMYFUNCTION("""COMPUTED_VALUE"""),262.2)</f>
        <v>262.2</v>
      </c>
      <c r="N113" s="37"/>
      <c r="O113" s="37"/>
      <c r="P113" s="199">
        <f>IFERROR(__xludf.DUMMYFUNCTION("""COMPUTED_VALUE"""),0.05)</f>
        <v>0.05</v>
      </c>
      <c r="Q113" s="199">
        <f>IFERROR(__xludf.DUMMYFUNCTION("""COMPUTED_VALUE"""),0.0)</f>
        <v>0</v>
      </c>
      <c r="R113" s="199">
        <f>IFERROR(__xludf.DUMMYFUNCTION("""COMPUTED_VALUE"""),0.0)</f>
        <v>0</v>
      </c>
      <c r="S113" s="199">
        <f>IFERROR(__xludf.DUMMYFUNCTION("""COMPUTED_VALUE"""),4.0)</f>
        <v>4</v>
      </c>
      <c r="T113" s="199">
        <f>IFERROR(__xludf.DUMMYFUNCTION("""COMPUTED_VALUE"""),0.0)</f>
        <v>0</v>
      </c>
      <c r="U113" s="199">
        <f>IFERROR(__xludf.DUMMYFUNCTION("""COMPUTED_VALUE"""),0.0)</f>
        <v>0</v>
      </c>
      <c r="V113" s="199">
        <f>IFERROR(__xludf.DUMMYFUNCTION("""COMPUTED_VALUE"""),0.0)</f>
        <v>0</v>
      </c>
      <c r="W113" s="199">
        <f>IFERROR(__xludf.DUMMYFUNCTION("""COMPUTED_VALUE"""),0.0)</f>
        <v>0</v>
      </c>
      <c r="X113" s="199">
        <f>IFERROR(__xludf.DUMMYFUNCTION("""COMPUTED_VALUE"""),0.0)</f>
        <v>0</v>
      </c>
      <c r="Y113" s="199">
        <f>IFERROR(__xludf.DUMMYFUNCTION("""COMPUTED_VALUE"""),0.0)</f>
        <v>0</v>
      </c>
      <c r="Z113" s="199">
        <f>IFERROR(__xludf.DUMMYFUNCTION("""COMPUTED_VALUE"""),0.0)</f>
        <v>0</v>
      </c>
      <c r="AA113" s="199">
        <f>IFERROR(__xludf.DUMMYFUNCTION("""COMPUTED_VALUE"""),0.0)</f>
        <v>0</v>
      </c>
      <c r="AB113" s="199">
        <f>IFERROR(__xludf.DUMMYFUNCTION("""COMPUTED_VALUE"""),8.0)</f>
        <v>8</v>
      </c>
      <c r="AC113" s="199">
        <f>IFERROR(__xludf.DUMMYFUNCTION("""COMPUTED_VALUE"""),1.0)</f>
        <v>1</v>
      </c>
      <c r="AD113" s="199">
        <f>IFERROR(__xludf.DUMMYFUNCTION("""COMPUTED_VALUE"""),0.0)</f>
        <v>0</v>
      </c>
      <c r="AE113" s="199">
        <f>IFERROR(__xludf.DUMMYFUNCTION("""COMPUTED_VALUE"""),0.0)</f>
        <v>0</v>
      </c>
      <c r="AF113" s="199">
        <f>IFERROR(__xludf.DUMMYFUNCTION("""COMPUTED_VALUE"""),0.0)</f>
        <v>0</v>
      </c>
      <c r="AG113" s="199">
        <f>IFERROR(__xludf.DUMMYFUNCTION("""COMPUTED_VALUE"""),436.0)</f>
        <v>436</v>
      </c>
      <c r="AH113" s="199">
        <f>IFERROR(__xludf.DUMMYFUNCTION("""COMPUTED_VALUE"""),13.0)</f>
        <v>13</v>
      </c>
      <c r="AI113" s="200" t="str">
        <f>IFERROR(__xludf.DUMMYFUNCTION("""COMPUTED_VALUE"""),"General Caution")</f>
        <v>General Caution</v>
      </c>
      <c r="AJ113" s="200" t="str">
        <f>IFERROR(__xludf.DUMMYFUNCTION("""COMPUTED_VALUE"""),"Continue monitoring; resample at next scheduled interval")</f>
        <v>Continue monitoring; resample at next scheduled interval</v>
      </c>
      <c r="AK113" s="204"/>
      <c r="AL113" s="204"/>
      <c r="AM113" s="204"/>
    </row>
    <row r="114" hidden="1">
      <c r="A114" s="199" t="str">
        <f>IFERROR(__xludf.DUMMYFUNCTION("""COMPUTED_VALUE"""),"263.AF010")</f>
        <v>263.AF010</v>
      </c>
      <c r="B114" s="200" t="str">
        <f>IFERROR(__xludf.DUMMYFUNCTION("""COMPUTED_VALUE"""),"Cargo floor hydraulic tank")</f>
        <v>Cargo floor hydraulic tank</v>
      </c>
      <c r="C114" s="199">
        <f>IFERROR(__xludf.DUMMYFUNCTION("""COMPUTED_VALUE"""),2.4093402236E10)</f>
        <v>24093402236</v>
      </c>
      <c r="D114" s="201">
        <f>IFERROR(__xludf.DUMMYFUNCTION("""COMPUTED_VALUE"""),45370.0)</f>
        <v>45370</v>
      </c>
      <c r="E114" s="202" t="str">
        <f>IFERROR(__xludf.DUMMYFUNCTION("""COMPUTED_VALUE"""),"Caution")</f>
        <v>Caution</v>
      </c>
      <c r="F114" s="202" t="str">
        <f>IFERROR(__xludf.DUMMYFUNCTION("""COMPUTED_VALUE"""),"Caution")</f>
        <v>Caution</v>
      </c>
      <c r="G114" s="203" t="str">
        <f>IFERROR(__xludf.DUMMYFUNCTION("""COMPUTED_VALUE"""),"Caution")</f>
        <v>Caution</v>
      </c>
      <c r="H114" s="203" t="str">
        <f>IFERROR(__xludf.DUMMYFUNCTION("""COMPUTED_VALUE"""),"Normal")</f>
        <v>Normal</v>
      </c>
      <c r="I114" s="199"/>
      <c r="J114" s="199"/>
      <c r="K114" s="199"/>
      <c r="L114" s="199">
        <f>IFERROR(__xludf.DUMMYFUNCTION("""COMPUTED_VALUE"""),7.0)</f>
        <v>7</v>
      </c>
      <c r="M114" s="199">
        <f>IFERROR(__xludf.DUMMYFUNCTION("""COMPUTED_VALUE"""),45.7)</f>
        <v>45.7</v>
      </c>
      <c r="N114" s="37"/>
      <c r="O114" s="37">
        <f>IFERROR(__xludf.DUMMYFUNCTION("""COMPUTED_VALUE"""),0.0)</f>
        <v>0</v>
      </c>
      <c r="P114" s="199">
        <f>IFERROR(__xludf.DUMMYFUNCTION("""COMPUTED_VALUE"""),0.03)</f>
        <v>0.03</v>
      </c>
      <c r="Q114" s="199">
        <f>IFERROR(__xludf.DUMMYFUNCTION("""COMPUTED_VALUE"""),0.0)</f>
        <v>0</v>
      </c>
      <c r="R114" s="199">
        <f>IFERROR(__xludf.DUMMYFUNCTION("""COMPUTED_VALUE"""),3.0)</f>
        <v>3</v>
      </c>
      <c r="S114" s="199">
        <f>IFERROR(__xludf.DUMMYFUNCTION("""COMPUTED_VALUE"""),8.0)</f>
        <v>8</v>
      </c>
      <c r="T114" s="199">
        <f>IFERROR(__xludf.DUMMYFUNCTION("""COMPUTED_VALUE"""),1.0)</f>
        <v>1</v>
      </c>
      <c r="U114" s="199">
        <f>IFERROR(__xludf.DUMMYFUNCTION("""COMPUTED_VALUE"""),21.0)</f>
        <v>21</v>
      </c>
      <c r="V114" s="199">
        <f>IFERROR(__xludf.DUMMYFUNCTION("""COMPUTED_VALUE"""),0.0)</f>
        <v>0</v>
      </c>
      <c r="W114" s="199">
        <f>IFERROR(__xludf.DUMMYFUNCTION("""COMPUTED_VALUE"""),0.0)</f>
        <v>0</v>
      </c>
      <c r="X114" s="199">
        <f>IFERROR(__xludf.DUMMYFUNCTION("""COMPUTED_VALUE"""),0.0)</f>
        <v>0</v>
      </c>
      <c r="Y114" s="199">
        <f>IFERROR(__xludf.DUMMYFUNCTION("""COMPUTED_VALUE"""),0.0)</f>
        <v>0</v>
      </c>
      <c r="Z114" s="199">
        <f>IFERROR(__xludf.DUMMYFUNCTION("""COMPUTED_VALUE"""),0.0)</f>
        <v>0</v>
      </c>
      <c r="AA114" s="199">
        <f>IFERROR(__xludf.DUMMYFUNCTION("""COMPUTED_VALUE"""),0.0)</f>
        <v>0</v>
      </c>
      <c r="AB114" s="199">
        <f>IFERROR(__xludf.DUMMYFUNCTION("""COMPUTED_VALUE"""),1.0)</f>
        <v>1</v>
      </c>
      <c r="AC114" s="199">
        <f>IFERROR(__xludf.DUMMYFUNCTION("""COMPUTED_VALUE"""),5.0)</f>
        <v>5</v>
      </c>
      <c r="AD114" s="199">
        <f>IFERROR(__xludf.DUMMYFUNCTION("""COMPUTED_VALUE"""),0.0)</f>
        <v>0</v>
      </c>
      <c r="AE114" s="199">
        <f>IFERROR(__xludf.DUMMYFUNCTION("""COMPUTED_VALUE"""),88.0)</f>
        <v>88</v>
      </c>
      <c r="AF114" s="199">
        <f>IFERROR(__xludf.DUMMYFUNCTION("""COMPUTED_VALUE"""),2.0)</f>
        <v>2</v>
      </c>
      <c r="AG114" s="199">
        <f>IFERROR(__xludf.DUMMYFUNCTION("""COMPUTED_VALUE"""),353.0)</f>
        <v>353</v>
      </c>
      <c r="AH114" s="199">
        <f>IFERROR(__xludf.DUMMYFUNCTION("""COMPUTED_VALUE"""),421.0)</f>
        <v>421</v>
      </c>
      <c r="AI114" s="200" t="str">
        <f>IFERROR(__xludf.DUMMYFUNCTION("""COMPUTED_VALUE"""),"Wear Metal Caution")</f>
        <v>Wear Metal Caution</v>
      </c>
      <c r="AJ114" s="200" t="str">
        <f>IFERROR(__xludf.DUMMYFUNCTION("""COMPUTED_VALUE"""),"Monitor closely - inspect at next planned maintenance")</f>
        <v>Monitor closely - inspect at next planned maintenance</v>
      </c>
      <c r="AK114" s="204"/>
      <c r="AL114" s="204"/>
      <c r="AM114" s="204"/>
    </row>
    <row r="115" hidden="1">
      <c r="A115" s="199" t="str">
        <f>IFERROR(__xludf.DUMMYFUNCTION("""COMPUTED_VALUE"""),"321.LQ120 (R3)")</f>
        <v>321.LQ120 (R3)</v>
      </c>
      <c r="B115" s="200" t="str">
        <f>IFERROR(__xludf.DUMMYFUNCTION("""COMPUTED_VALUE"""),"Roller Lubrication Return R3 (filter Cup)")</f>
        <v>Roller Lubrication Return R3 (filter Cup)</v>
      </c>
      <c r="C115" s="199">
        <f>IFERROR(__xludf.DUMMYFUNCTION("""COMPUTED_VALUE"""),2.409340225E10)</f>
        <v>24093402250</v>
      </c>
      <c r="D115" s="201">
        <f>IFERROR(__xludf.DUMMYFUNCTION("""COMPUTED_VALUE"""),45370.0)</f>
        <v>45370</v>
      </c>
      <c r="E115" s="202" t="str">
        <f>IFERROR(__xludf.DUMMYFUNCTION("""COMPUTED_VALUE"""),"Normal")</f>
        <v>Normal</v>
      </c>
      <c r="F115" s="202" t="str">
        <f>IFERROR(__xludf.DUMMYFUNCTION("""COMPUTED_VALUE"""),"Normal")</f>
        <v>Normal</v>
      </c>
      <c r="G115" s="203" t="str">
        <f>IFERROR(__xludf.DUMMYFUNCTION("""COMPUTED_VALUE"""),"Normal")</f>
        <v>Normal</v>
      </c>
      <c r="H115" s="203" t="str">
        <f>IFERROR(__xludf.DUMMYFUNCTION("""COMPUTED_VALUE"""),"Normal")</f>
        <v>Normal</v>
      </c>
      <c r="I115" s="37"/>
      <c r="J115" s="37"/>
      <c r="K115" s="37"/>
      <c r="L115" s="199">
        <f>IFERROR(__xludf.DUMMYFUNCTION("""COMPUTED_VALUE"""),36.0)</f>
        <v>36</v>
      </c>
      <c r="M115" s="199">
        <f>IFERROR(__xludf.DUMMYFUNCTION("""COMPUTED_VALUE"""),85.0)</f>
        <v>85</v>
      </c>
      <c r="N115" s="37"/>
      <c r="O115" s="37"/>
      <c r="P115" s="199">
        <f>IFERROR(__xludf.DUMMYFUNCTION("""COMPUTED_VALUE"""),0.02)</f>
        <v>0.02</v>
      </c>
      <c r="Q115" s="199">
        <f>IFERROR(__xludf.DUMMYFUNCTION("""COMPUTED_VALUE"""),0.0)</f>
        <v>0</v>
      </c>
      <c r="R115" s="199">
        <f>IFERROR(__xludf.DUMMYFUNCTION("""COMPUTED_VALUE"""),1.0)</f>
        <v>1</v>
      </c>
      <c r="S115" s="199">
        <f>IFERROR(__xludf.DUMMYFUNCTION("""COMPUTED_VALUE"""),0.0)</f>
        <v>0</v>
      </c>
      <c r="T115" s="199">
        <f>IFERROR(__xludf.DUMMYFUNCTION("""COMPUTED_VALUE"""),1.0)</f>
        <v>1</v>
      </c>
      <c r="U115" s="199">
        <f>IFERROR(__xludf.DUMMYFUNCTION("""COMPUTED_VALUE"""),45.0)</f>
        <v>45</v>
      </c>
      <c r="V115" s="199">
        <f>IFERROR(__xludf.DUMMYFUNCTION("""COMPUTED_VALUE"""),0.0)</f>
        <v>0</v>
      </c>
      <c r="W115" s="199">
        <f>IFERROR(__xludf.DUMMYFUNCTION("""COMPUTED_VALUE"""),0.0)</f>
        <v>0</v>
      </c>
      <c r="X115" s="199">
        <f>IFERROR(__xludf.DUMMYFUNCTION("""COMPUTED_VALUE"""),0.0)</f>
        <v>0</v>
      </c>
      <c r="Y115" s="199">
        <f>IFERROR(__xludf.DUMMYFUNCTION("""COMPUTED_VALUE"""),0.0)</f>
        <v>0</v>
      </c>
      <c r="Z115" s="199">
        <f>IFERROR(__xludf.DUMMYFUNCTION("""COMPUTED_VALUE"""),0.0)</f>
        <v>0</v>
      </c>
      <c r="AA115" s="199">
        <f>IFERROR(__xludf.DUMMYFUNCTION("""COMPUTED_VALUE"""),0.0)</f>
        <v>0</v>
      </c>
      <c r="AB115" s="199">
        <f>IFERROR(__xludf.DUMMYFUNCTION("""COMPUTED_VALUE"""),16.0)</f>
        <v>16</v>
      </c>
      <c r="AC115" s="199">
        <f>IFERROR(__xludf.DUMMYFUNCTION("""COMPUTED_VALUE"""),11.0)</f>
        <v>11</v>
      </c>
      <c r="AD115" s="199">
        <f>IFERROR(__xludf.DUMMYFUNCTION("""COMPUTED_VALUE"""),0.0)</f>
        <v>0</v>
      </c>
      <c r="AE115" s="199">
        <f>IFERROR(__xludf.DUMMYFUNCTION("""COMPUTED_VALUE"""),21.0)</f>
        <v>21</v>
      </c>
      <c r="AF115" s="199">
        <f>IFERROR(__xludf.DUMMYFUNCTION("""COMPUTED_VALUE"""),0.0)</f>
        <v>0</v>
      </c>
      <c r="AG115" s="199">
        <f>IFERROR(__xludf.DUMMYFUNCTION("""COMPUTED_VALUE"""),532.0)</f>
        <v>532</v>
      </c>
      <c r="AH115" s="199">
        <f>IFERROR(__xludf.DUMMYFUNCTION("""COMPUTED_VALUE"""),13.0)</f>
        <v>13</v>
      </c>
      <c r="AI115" s="200" t="str">
        <f>IFERROR(__xludf.DUMMYFUNCTION("""COMPUTED_VALUE"""),"Normal - No Action Required")</f>
        <v>Normal - No Action Required</v>
      </c>
      <c r="AJ115" s="200" t="str">
        <f>IFERROR(__xludf.DUMMYFUNCTION("""COMPUTED_VALUE"""),"Continue routine monitoring and sampling schedule")</f>
        <v>Continue routine monitoring and sampling schedule</v>
      </c>
      <c r="AK115" s="204"/>
      <c r="AL115" s="204"/>
      <c r="AM115" s="204"/>
    </row>
    <row r="116" hidden="1">
      <c r="A116" s="199" t="str">
        <f>IFERROR(__xludf.DUMMYFUNCTION("""COMPUTED_VALUE"""),"131.RE300")</f>
        <v>131.RE300</v>
      </c>
      <c r="B116" s="200" t="str">
        <f>IFERROR(__xludf.DUMMYFUNCTION("""COMPUTED_VALUE"""),"Take up unit Tank for Scraper Chain")</f>
        <v>Take up unit Tank for Scraper Chain</v>
      </c>
      <c r="C116" s="199">
        <f>IFERROR(__xludf.DUMMYFUNCTION("""COMPUTED_VALUE"""),2.4139185242E10)</f>
        <v>24139185242</v>
      </c>
      <c r="D116" s="201">
        <f>IFERROR(__xludf.DUMMYFUNCTION("""COMPUTED_VALUE"""),45419.0)</f>
        <v>45419</v>
      </c>
      <c r="E116" s="202" t="str">
        <f>IFERROR(__xludf.DUMMYFUNCTION("""COMPUTED_VALUE"""),"Caution")</f>
        <v>Caution</v>
      </c>
      <c r="F116" s="202" t="str">
        <f>IFERROR(__xludf.DUMMYFUNCTION("""COMPUTED_VALUE"""),"Caution")</f>
        <v>Caution</v>
      </c>
      <c r="G116" s="203" t="str">
        <f>IFERROR(__xludf.DUMMYFUNCTION("""COMPUTED_VALUE"""),"Normal")</f>
        <v>Normal</v>
      </c>
      <c r="H116" s="203" t="str">
        <f>IFERROR(__xludf.DUMMYFUNCTION("""COMPUTED_VALUE"""),"Normal")</f>
        <v>Normal</v>
      </c>
      <c r="I116" s="199"/>
      <c r="J116" s="199"/>
      <c r="K116" s="199"/>
      <c r="L116" s="199">
        <f>IFERROR(__xludf.DUMMYFUNCTION("""COMPUTED_VALUE"""),10.0)</f>
        <v>10</v>
      </c>
      <c r="M116" s="199">
        <f>IFERROR(__xludf.DUMMYFUNCTION("""COMPUTED_VALUE"""),51.6)</f>
        <v>51.6</v>
      </c>
      <c r="N116" s="37"/>
      <c r="O116" s="37">
        <f>IFERROR(__xludf.DUMMYFUNCTION("""COMPUTED_VALUE"""),0.0)</f>
        <v>0</v>
      </c>
      <c r="P116" s="199">
        <f>IFERROR(__xludf.DUMMYFUNCTION("""COMPUTED_VALUE"""),0.03)</f>
        <v>0.03</v>
      </c>
      <c r="Q116" s="199">
        <f>IFERROR(__xludf.DUMMYFUNCTION("""COMPUTED_VALUE"""),0.0)</f>
        <v>0</v>
      </c>
      <c r="R116" s="199">
        <f>IFERROR(__xludf.DUMMYFUNCTION("""COMPUTED_VALUE"""),4.0)</f>
        <v>4</v>
      </c>
      <c r="S116" s="199">
        <f>IFERROR(__xludf.DUMMYFUNCTION("""COMPUTED_VALUE"""),0.0)</f>
        <v>0</v>
      </c>
      <c r="T116" s="199">
        <f>IFERROR(__xludf.DUMMYFUNCTION("""COMPUTED_VALUE"""),0.0)</f>
        <v>0</v>
      </c>
      <c r="U116" s="199">
        <f>IFERROR(__xludf.DUMMYFUNCTION("""COMPUTED_VALUE"""),1.0)</f>
        <v>1</v>
      </c>
      <c r="V116" s="199">
        <f>IFERROR(__xludf.DUMMYFUNCTION("""COMPUTED_VALUE"""),0.0)</f>
        <v>0</v>
      </c>
      <c r="W116" s="199">
        <f>IFERROR(__xludf.DUMMYFUNCTION("""COMPUTED_VALUE"""),0.0)</f>
        <v>0</v>
      </c>
      <c r="X116" s="199">
        <f>IFERROR(__xludf.DUMMYFUNCTION("""COMPUTED_VALUE"""),0.0)</f>
        <v>0</v>
      </c>
      <c r="Y116" s="199">
        <f>IFERROR(__xludf.DUMMYFUNCTION("""COMPUTED_VALUE"""),0.0)</f>
        <v>0</v>
      </c>
      <c r="Z116" s="199">
        <f>IFERROR(__xludf.DUMMYFUNCTION("""COMPUTED_VALUE"""),0.0)</f>
        <v>0</v>
      </c>
      <c r="AA116" s="199">
        <f>IFERROR(__xludf.DUMMYFUNCTION("""COMPUTED_VALUE"""),0.0)</f>
        <v>0</v>
      </c>
      <c r="AB116" s="199">
        <f>IFERROR(__xludf.DUMMYFUNCTION("""COMPUTED_VALUE"""),1.0)</f>
        <v>1</v>
      </c>
      <c r="AC116" s="199">
        <f>IFERROR(__xludf.DUMMYFUNCTION("""COMPUTED_VALUE"""),3.0)</f>
        <v>3</v>
      </c>
      <c r="AD116" s="199">
        <f>IFERROR(__xludf.DUMMYFUNCTION("""COMPUTED_VALUE"""),0.0)</f>
        <v>0</v>
      </c>
      <c r="AE116" s="199">
        <f>IFERROR(__xludf.DUMMYFUNCTION("""COMPUTED_VALUE"""),55.0)</f>
        <v>55</v>
      </c>
      <c r="AF116" s="199">
        <f>IFERROR(__xludf.DUMMYFUNCTION("""COMPUTED_VALUE"""),2.0)</f>
        <v>2</v>
      </c>
      <c r="AG116" s="199">
        <f>IFERROR(__xludf.DUMMYFUNCTION("""COMPUTED_VALUE"""),341.0)</f>
        <v>341</v>
      </c>
      <c r="AH116" s="199">
        <f>IFERROR(__xludf.DUMMYFUNCTION("""COMPUTED_VALUE"""),489.0)</f>
        <v>489</v>
      </c>
      <c r="AI116" s="200" t="str">
        <f>IFERROR(__xludf.DUMMYFUNCTION("""COMPUTED_VALUE"""),"General Caution")</f>
        <v>General Caution</v>
      </c>
      <c r="AJ116" s="200" t="str">
        <f>IFERROR(__xludf.DUMMYFUNCTION("""COMPUTED_VALUE"""),"Continue monitoring; resample at next scheduled interval")</f>
        <v>Continue monitoring; resample at next scheduled interval</v>
      </c>
      <c r="AK116" s="204"/>
      <c r="AL116" s="204"/>
      <c r="AM116" s="204"/>
    </row>
    <row r="117" hidden="1">
      <c r="A117" s="199" t="str">
        <f>IFERROR(__xludf.DUMMYFUNCTION("""COMPUTED_VALUE"""),"131.RE300.M11")</f>
        <v>131.RE300.M11</v>
      </c>
      <c r="B117" s="200" t="str">
        <f>IFERROR(__xludf.DUMMYFUNCTION("""COMPUTED_VALUE"""),"Reclaimer Chain Scraper gearbox")</f>
        <v>Reclaimer Chain Scraper gearbox</v>
      </c>
      <c r="C117" s="199">
        <f>IFERROR(__xludf.DUMMYFUNCTION("""COMPUTED_VALUE"""),2.4139185227E10)</f>
        <v>24139185227</v>
      </c>
      <c r="D117" s="201">
        <f>IFERROR(__xludf.DUMMYFUNCTION("""COMPUTED_VALUE"""),45419.0)</f>
        <v>45419</v>
      </c>
      <c r="E117" s="202" t="str">
        <f>IFERROR(__xludf.DUMMYFUNCTION("""COMPUTED_VALUE"""),"Alert")</f>
        <v>Alert</v>
      </c>
      <c r="F117" s="202" t="str">
        <f>IFERROR(__xludf.DUMMYFUNCTION("""COMPUTED_VALUE"""),"Alert")</f>
        <v>Alert</v>
      </c>
      <c r="G117" s="203" t="str">
        <f>IFERROR(__xludf.DUMMYFUNCTION("""COMPUTED_VALUE"""),"Normal")</f>
        <v>Normal</v>
      </c>
      <c r="H117" s="203" t="str">
        <f>IFERROR(__xludf.DUMMYFUNCTION("""COMPUTED_VALUE"""),"Caution")</f>
        <v>Caution</v>
      </c>
      <c r="I117" s="199"/>
      <c r="J117" s="199"/>
      <c r="K117" s="199"/>
      <c r="L117" s="199">
        <f>IFERROR(__xludf.DUMMYFUNCTION("""COMPUTED_VALUE"""),11.0)</f>
        <v>11</v>
      </c>
      <c r="M117" s="199">
        <f>IFERROR(__xludf.DUMMYFUNCTION("""COMPUTED_VALUE"""),251.4)</f>
        <v>251.4</v>
      </c>
      <c r="N117" s="37"/>
      <c r="O117" s="37">
        <f>IFERROR(__xludf.DUMMYFUNCTION("""COMPUTED_VALUE"""),0.0)</f>
        <v>0</v>
      </c>
      <c r="P117" s="199">
        <f>IFERROR(__xludf.DUMMYFUNCTION("""COMPUTED_VALUE"""),0.2)</f>
        <v>0.2</v>
      </c>
      <c r="Q117" s="199">
        <f>IFERROR(__xludf.DUMMYFUNCTION("""COMPUTED_VALUE"""),0.0)</f>
        <v>0</v>
      </c>
      <c r="R117" s="199">
        <f>IFERROR(__xludf.DUMMYFUNCTION("""COMPUTED_VALUE"""),6.0)</f>
        <v>6</v>
      </c>
      <c r="S117" s="199">
        <f>IFERROR(__xludf.DUMMYFUNCTION("""COMPUTED_VALUE"""),1.0)</f>
        <v>1</v>
      </c>
      <c r="T117" s="199">
        <f>IFERROR(__xludf.DUMMYFUNCTION("""COMPUTED_VALUE"""),0.0)</f>
        <v>0</v>
      </c>
      <c r="U117" s="199">
        <f>IFERROR(__xludf.DUMMYFUNCTION("""COMPUTED_VALUE"""),13.0)</f>
        <v>13</v>
      </c>
      <c r="V117" s="199">
        <f>IFERROR(__xludf.DUMMYFUNCTION("""COMPUTED_VALUE"""),0.0)</f>
        <v>0</v>
      </c>
      <c r="W117" s="199">
        <f>IFERROR(__xludf.DUMMYFUNCTION("""COMPUTED_VALUE"""),0.0)</f>
        <v>0</v>
      </c>
      <c r="X117" s="199">
        <f>IFERROR(__xludf.DUMMYFUNCTION("""COMPUTED_VALUE"""),0.0)</f>
        <v>0</v>
      </c>
      <c r="Y117" s="199">
        <f>IFERROR(__xludf.DUMMYFUNCTION("""COMPUTED_VALUE"""),0.0)</f>
        <v>0</v>
      </c>
      <c r="Z117" s="199">
        <f>IFERROR(__xludf.DUMMYFUNCTION("""COMPUTED_VALUE"""),0.0)</f>
        <v>0</v>
      </c>
      <c r="AA117" s="199">
        <f>IFERROR(__xludf.DUMMYFUNCTION("""COMPUTED_VALUE"""),0.0)</f>
        <v>0</v>
      </c>
      <c r="AB117" s="199">
        <f>IFERROR(__xludf.DUMMYFUNCTION("""COMPUTED_VALUE"""),20.0)</f>
        <v>20</v>
      </c>
      <c r="AC117" s="199">
        <f>IFERROR(__xludf.DUMMYFUNCTION("""COMPUTED_VALUE"""),24.0)</f>
        <v>24</v>
      </c>
      <c r="AD117" s="199">
        <f>IFERROR(__xludf.DUMMYFUNCTION("""COMPUTED_VALUE"""),0.0)</f>
        <v>0</v>
      </c>
      <c r="AE117" s="199">
        <f>IFERROR(__xludf.DUMMYFUNCTION("""COMPUTED_VALUE"""),28.0)</f>
        <v>28</v>
      </c>
      <c r="AF117" s="199">
        <f>IFERROR(__xludf.DUMMYFUNCTION("""COMPUTED_VALUE"""),0.0)</f>
        <v>0</v>
      </c>
      <c r="AG117" s="199">
        <f>IFERROR(__xludf.DUMMYFUNCTION("""COMPUTED_VALUE"""),291.0)</f>
        <v>291</v>
      </c>
      <c r="AH117" s="199">
        <f>IFERROR(__xludf.DUMMYFUNCTION("""COMPUTED_VALUE"""),20.0)</f>
        <v>20</v>
      </c>
      <c r="AI117" s="200" t="str">
        <f>IFERROR(__xludf.DUMMYFUNCTION("""COMPUTED_VALUE"""),"Water Ingress")</f>
        <v>Water Ingress</v>
      </c>
      <c r="AJ117" s="200" t="str">
        <f>IFERROR(__xludf.DUMMYFUNCTION("""COMPUTED_VALUE"""),"Water detected - inspect seals and breathers")</f>
        <v>Water detected - inspect seals and breathers</v>
      </c>
      <c r="AK117" s="204"/>
      <c r="AL117" s="204"/>
      <c r="AM117" s="204"/>
    </row>
    <row r="118" hidden="1">
      <c r="A118" s="199" t="str">
        <f>IFERROR(__xludf.DUMMYFUNCTION("""COMPUTED_VALUE"""),"131.ST200.M12")</f>
        <v>131.ST200.M12</v>
      </c>
      <c r="B118" s="200" t="str">
        <f>IFERROR(__xludf.DUMMYFUNCTION("""COMPUTED_VALUE"""),"Stacker Belt gearbox")</f>
        <v>Stacker Belt gearbox</v>
      </c>
      <c r="C118" s="199">
        <f>IFERROR(__xludf.DUMMYFUNCTION("""COMPUTED_VALUE"""),2.4139185226E10)</f>
        <v>24139185226</v>
      </c>
      <c r="D118" s="201">
        <f>IFERROR(__xludf.DUMMYFUNCTION("""COMPUTED_VALUE"""),45419.0)</f>
        <v>45419</v>
      </c>
      <c r="E118" s="202" t="str">
        <f>IFERROR(__xludf.DUMMYFUNCTION("""COMPUTED_VALUE"""),"Alert")</f>
        <v>Alert</v>
      </c>
      <c r="F118" s="202" t="str">
        <f>IFERROR(__xludf.DUMMYFUNCTION("""COMPUTED_VALUE"""),"Alert")</f>
        <v>Alert</v>
      </c>
      <c r="G118" s="203" t="str">
        <f>IFERROR(__xludf.DUMMYFUNCTION("""COMPUTED_VALUE"""),"Normal")</f>
        <v>Normal</v>
      </c>
      <c r="H118" s="203" t="str">
        <f>IFERROR(__xludf.DUMMYFUNCTION("""COMPUTED_VALUE"""),"Alert")</f>
        <v>Alert</v>
      </c>
      <c r="I118" s="199"/>
      <c r="J118" s="199"/>
      <c r="K118" s="199"/>
      <c r="L118" s="199">
        <f>IFERROR(__xludf.DUMMYFUNCTION("""COMPUTED_VALUE"""),47.0)</f>
        <v>47</v>
      </c>
      <c r="M118" s="199">
        <f>IFERROR(__xludf.DUMMYFUNCTION("""COMPUTED_VALUE"""),214.4)</f>
        <v>214.4</v>
      </c>
      <c r="N118" s="37"/>
      <c r="O118" s="37">
        <f>IFERROR(__xludf.DUMMYFUNCTION("""COMPUTED_VALUE"""),3.0)</f>
        <v>3</v>
      </c>
      <c r="P118" s="199">
        <f>IFERROR(__xludf.DUMMYFUNCTION("""COMPUTED_VALUE"""),0.2)</f>
        <v>0.2</v>
      </c>
      <c r="Q118" s="199">
        <f>IFERROR(__xludf.DUMMYFUNCTION("""COMPUTED_VALUE"""),0.0)</f>
        <v>0</v>
      </c>
      <c r="R118" s="199">
        <f>IFERROR(__xludf.DUMMYFUNCTION("""COMPUTED_VALUE"""),11.0)</f>
        <v>11</v>
      </c>
      <c r="S118" s="199">
        <f>IFERROR(__xludf.DUMMYFUNCTION("""COMPUTED_VALUE"""),1.0)</f>
        <v>1</v>
      </c>
      <c r="T118" s="199">
        <f>IFERROR(__xludf.DUMMYFUNCTION("""COMPUTED_VALUE"""),0.0)</f>
        <v>0</v>
      </c>
      <c r="U118" s="199">
        <f>IFERROR(__xludf.DUMMYFUNCTION("""COMPUTED_VALUE"""),57.0)</f>
        <v>57</v>
      </c>
      <c r="V118" s="199">
        <f>IFERROR(__xludf.DUMMYFUNCTION("""COMPUTED_VALUE"""),0.0)</f>
        <v>0</v>
      </c>
      <c r="W118" s="199">
        <f>IFERROR(__xludf.DUMMYFUNCTION("""COMPUTED_VALUE"""),0.0)</f>
        <v>0</v>
      </c>
      <c r="X118" s="199">
        <f>IFERROR(__xludf.DUMMYFUNCTION("""COMPUTED_VALUE"""),0.0)</f>
        <v>0</v>
      </c>
      <c r="Y118" s="199">
        <f>IFERROR(__xludf.DUMMYFUNCTION("""COMPUTED_VALUE"""),1.0)</f>
        <v>1</v>
      </c>
      <c r="Z118" s="199">
        <f>IFERROR(__xludf.DUMMYFUNCTION("""COMPUTED_VALUE"""),2.0)</f>
        <v>2</v>
      </c>
      <c r="AA118" s="199">
        <f>IFERROR(__xludf.DUMMYFUNCTION("""COMPUTED_VALUE"""),0.0)</f>
        <v>0</v>
      </c>
      <c r="AB118" s="199">
        <f>IFERROR(__xludf.DUMMYFUNCTION("""COMPUTED_VALUE"""),71.0)</f>
        <v>71</v>
      </c>
      <c r="AC118" s="199">
        <f>IFERROR(__xludf.DUMMYFUNCTION("""COMPUTED_VALUE"""),37.0)</f>
        <v>37</v>
      </c>
      <c r="AD118" s="199">
        <f>IFERROR(__xludf.DUMMYFUNCTION("""COMPUTED_VALUE"""),0.0)</f>
        <v>0</v>
      </c>
      <c r="AE118" s="199">
        <f>IFERROR(__xludf.DUMMYFUNCTION("""COMPUTED_VALUE"""),17.0)</f>
        <v>17</v>
      </c>
      <c r="AF118" s="199">
        <f>IFERROR(__xludf.DUMMYFUNCTION("""COMPUTED_VALUE"""),0.0)</f>
        <v>0</v>
      </c>
      <c r="AG118" s="199">
        <f>IFERROR(__xludf.DUMMYFUNCTION("""COMPUTED_VALUE"""),402.0)</f>
        <v>402</v>
      </c>
      <c r="AH118" s="199">
        <f>IFERROR(__xludf.DUMMYFUNCTION("""COMPUTED_VALUE"""),26.0)</f>
        <v>26</v>
      </c>
      <c r="AI118" s="200" t="str">
        <f>IFERROR(__xludf.DUMMYFUNCTION("""COMPUTED_VALUE"""),"Contamination Alert | Water Ingress")</f>
        <v>Contamination Alert | Water Ingress</v>
      </c>
      <c r="AJ118" s="200" t="str">
        <f>IFERROR(__xludf.DUMMYFUNCTION("""COMPUTED_VALUE"""),"Water detected - inspect seals and breathers; Elevated silicon - inspect filters and seals for contamination")</f>
        <v>Water detected - inspect seals and breathers; Elevated silicon - inspect filters and seals for contamination</v>
      </c>
      <c r="AK118" s="204"/>
      <c r="AL118" s="204"/>
      <c r="AM118" s="204"/>
    </row>
    <row r="119" hidden="1">
      <c r="A119" s="199" t="str">
        <f>IFERROR(__xludf.DUMMYFUNCTION("""COMPUTED_VALUE"""),"R2.472.AC100")</f>
        <v>R2.472.AC100</v>
      </c>
      <c r="B119" s="200" t="str">
        <f>IFERROR(__xludf.DUMMYFUNCTION("""COMPUTED_VALUE"""),"Pan Conv. #2 Main drive gearbox")</f>
        <v>Pan Conv. #2 Main drive gearbox</v>
      </c>
      <c r="C119" s="199">
        <f>IFERROR(__xludf.DUMMYFUNCTION("""COMPUTED_VALUE"""),2.4139185207E10)</f>
        <v>24139185207</v>
      </c>
      <c r="D119" s="201">
        <f>IFERROR(__xludf.DUMMYFUNCTION("""COMPUTED_VALUE"""),45421.0)</f>
        <v>45421</v>
      </c>
      <c r="E119" s="202" t="str">
        <f>IFERROR(__xludf.DUMMYFUNCTION("""COMPUTED_VALUE"""),"Alert")</f>
        <v>Alert</v>
      </c>
      <c r="F119" s="202" t="str">
        <f>IFERROR(__xludf.DUMMYFUNCTION("""COMPUTED_VALUE"""),"Caution")</f>
        <v>Caution</v>
      </c>
      <c r="G119" s="203" t="str">
        <f>IFERROR(__xludf.DUMMYFUNCTION("""COMPUTED_VALUE"""),"Normal")</f>
        <v>Normal</v>
      </c>
      <c r="H119" s="203" t="str">
        <f>IFERROR(__xludf.DUMMYFUNCTION("""COMPUTED_VALUE"""),"Alert")</f>
        <v>Alert</v>
      </c>
      <c r="I119" s="199"/>
      <c r="J119" s="199"/>
      <c r="K119" s="199"/>
      <c r="L119" s="199">
        <f>IFERROR(__xludf.DUMMYFUNCTION("""COMPUTED_VALUE"""),4.0)</f>
        <v>4</v>
      </c>
      <c r="M119" s="199">
        <f>IFERROR(__xludf.DUMMYFUNCTION("""COMPUTED_VALUE"""),281.0)</f>
        <v>281</v>
      </c>
      <c r="N119" s="199"/>
      <c r="O119" s="199"/>
      <c r="P119" s="199">
        <f>IFERROR(__xludf.DUMMYFUNCTION("""COMPUTED_VALUE"""),0.02)</f>
        <v>0.02</v>
      </c>
      <c r="Q119" s="199">
        <f>IFERROR(__xludf.DUMMYFUNCTION("""COMPUTED_VALUE"""),0.0)</f>
        <v>0</v>
      </c>
      <c r="R119" s="199">
        <f>IFERROR(__xludf.DUMMYFUNCTION("""COMPUTED_VALUE"""),3.0)</f>
        <v>3</v>
      </c>
      <c r="S119" s="199">
        <f>IFERROR(__xludf.DUMMYFUNCTION("""COMPUTED_VALUE"""),0.0)</f>
        <v>0</v>
      </c>
      <c r="T119" s="199">
        <f>IFERROR(__xludf.DUMMYFUNCTION("""COMPUTED_VALUE"""),0.0)</f>
        <v>0</v>
      </c>
      <c r="U119" s="199">
        <f>IFERROR(__xludf.DUMMYFUNCTION("""COMPUTED_VALUE"""),3.0)</f>
        <v>3</v>
      </c>
      <c r="V119" s="199">
        <f>IFERROR(__xludf.DUMMYFUNCTION("""COMPUTED_VALUE"""),0.0)</f>
        <v>0</v>
      </c>
      <c r="W119" s="199">
        <f>IFERROR(__xludf.DUMMYFUNCTION("""COMPUTED_VALUE"""),0.0)</f>
        <v>0</v>
      </c>
      <c r="X119" s="199">
        <f>IFERROR(__xludf.DUMMYFUNCTION("""COMPUTED_VALUE"""),0.0)</f>
        <v>0</v>
      </c>
      <c r="Y119" s="199">
        <f>IFERROR(__xludf.DUMMYFUNCTION("""COMPUTED_VALUE"""),0.0)</f>
        <v>0</v>
      </c>
      <c r="Z119" s="199">
        <f>IFERROR(__xludf.DUMMYFUNCTION("""COMPUTED_VALUE"""),0.0)</f>
        <v>0</v>
      </c>
      <c r="AA119" s="199">
        <f>IFERROR(__xludf.DUMMYFUNCTION("""COMPUTED_VALUE"""),0.0)</f>
        <v>0</v>
      </c>
      <c r="AB119" s="199">
        <f>IFERROR(__xludf.DUMMYFUNCTION("""COMPUTED_VALUE"""),15.0)</f>
        <v>15</v>
      </c>
      <c r="AC119" s="199">
        <f>IFERROR(__xludf.DUMMYFUNCTION("""COMPUTED_VALUE"""),31.0)</f>
        <v>31</v>
      </c>
      <c r="AD119" s="199">
        <f>IFERROR(__xludf.DUMMYFUNCTION("""COMPUTED_VALUE"""),0.0)</f>
        <v>0</v>
      </c>
      <c r="AE119" s="199">
        <f>IFERROR(__xludf.DUMMYFUNCTION("""COMPUTED_VALUE"""),1.0)</f>
        <v>1</v>
      </c>
      <c r="AF119" s="199">
        <f>IFERROR(__xludf.DUMMYFUNCTION("""COMPUTED_VALUE"""),2.0)</f>
        <v>2</v>
      </c>
      <c r="AG119" s="199">
        <f>IFERROR(__xludf.DUMMYFUNCTION("""COMPUTED_VALUE"""),395.0)</f>
        <v>395</v>
      </c>
      <c r="AH119" s="199">
        <f>IFERROR(__xludf.DUMMYFUNCTION("""COMPUTED_VALUE"""),2.0)</f>
        <v>2</v>
      </c>
      <c r="AI119" s="200" t="str">
        <f>IFERROR(__xludf.DUMMYFUNCTION("""COMPUTED_VALUE"""),"General Alert")</f>
        <v>General Alert</v>
      </c>
      <c r="AJ119" s="200" t="str">
        <f>IFERROR(__xludf.DUMMYFUNCTION("""COMPUTED_VALUE"""),"Investigate root cause; increase sampling to monthly")</f>
        <v>Investigate root cause; increase sampling to monthly</v>
      </c>
      <c r="AK119" s="204"/>
      <c r="AL119" s="204"/>
      <c r="AM119" s="204"/>
    </row>
    <row r="120" hidden="1">
      <c r="A120" s="199" t="str">
        <f>IFERROR(__xludf.DUMMYFUNCTION("""COMPUTED_VALUE"""),"123.BC100")</f>
        <v>123.BC100</v>
      </c>
      <c r="B120" s="200" t="str">
        <f>IFERROR(__xludf.DUMMYFUNCTION("""COMPUTED_VALUE"""),"Belt conveyor Gearbox")</f>
        <v>Belt conveyor Gearbox</v>
      </c>
      <c r="C120" s="199">
        <f>IFERROR(__xludf.DUMMYFUNCTION("""COMPUTED_VALUE"""),2.4162106231E10)</f>
        <v>24162106231</v>
      </c>
      <c r="D120" s="201">
        <f>IFERROR(__xludf.DUMMYFUNCTION("""COMPUTED_VALUE"""),45447.0)</f>
        <v>45447</v>
      </c>
      <c r="E120" s="202" t="str">
        <f>IFERROR(__xludf.DUMMYFUNCTION("""COMPUTED_VALUE"""),"Normal")</f>
        <v>Normal</v>
      </c>
      <c r="F120" s="202" t="str">
        <f>IFERROR(__xludf.DUMMYFUNCTION("""COMPUTED_VALUE"""),"Normal")</f>
        <v>Normal</v>
      </c>
      <c r="G120" s="203" t="str">
        <f>IFERROR(__xludf.DUMMYFUNCTION("""COMPUTED_VALUE"""),"Normal")</f>
        <v>Normal</v>
      </c>
      <c r="H120" s="203" t="str">
        <f>IFERROR(__xludf.DUMMYFUNCTION("""COMPUTED_VALUE"""),"Normal")</f>
        <v>Normal</v>
      </c>
      <c r="I120" s="199">
        <f>IFERROR(__xludf.DUMMYFUNCTION("""COMPUTED_VALUE"""),28171.0)</f>
        <v>28171</v>
      </c>
      <c r="J120" s="199">
        <f>IFERROR(__xludf.DUMMYFUNCTION("""COMPUTED_VALUE"""),10364.0)</f>
        <v>10364</v>
      </c>
      <c r="K120" s="199">
        <f>IFERROR(__xludf.DUMMYFUNCTION("""COMPUTED_VALUE"""),2501.0)</f>
        <v>2501</v>
      </c>
      <c r="L120" s="199">
        <f>IFERROR(__xludf.DUMMYFUNCTION("""COMPUTED_VALUE"""),3.0)</f>
        <v>3</v>
      </c>
      <c r="M120" s="199">
        <f>IFERROR(__xludf.DUMMYFUNCTION("""COMPUTED_VALUE"""),236.9)</f>
        <v>236.9</v>
      </c>
      <c r="N120" s="199"/>
      <c r="O120" s="199"/>
      <c r="P120" s="199">
        <f>IFERROR(__xludf.DUMMYFUNCTION("""COMPUTED_VALUE"""),0.04)</f>
        <v>0.04</v>
      </c>
      <c r="Q120" s="199">
        <f>IFERROR(__xludf.DUMMYFUNCTION("""COMPUTED_VALUE"""),0.0)</f>
        <v>0</v>
      </c>
      <c r="R120" s="199">
        <f>IFERROR(__xludf.DUMMYFUNCTION("""COMPUTED_VALUE"""),0.0)</f>
        <v>0</v>
      </c>
      <c r="S120" s="199">
        <f>IFERROR(__xludf.DUMMYFUNCTION("""COMPUTED_VALUE"""),1.0)</f>
        <v>1</v>
      </c>
      <c r="T120" s="199">
        <f>IFERROR(__xludf.DUMMYFUNCTION("""COMPUTED_VALUE"""),0.0)</f>
        <v>0</v>
      </c>
      <c r="U120" s="199">
        <f>IFERROR(__xludf.DUMMYFUNCTION("""COMPUTED_VALUE"""),6.0)</f>
        <v>6</v>
      </c>
      <c r="V120" s="199">
        <f>IFERROR(__xludf.DUMMYFUNCTION("""COMPUTED_VALUE"""),0.0)</f>
        <v>0</v>
      </c>
      <c r="W120" s="199">
        <f>IFERROR(__xludf.DUMMYFUNCTION("""COMPUTED_VALUE"""),0.0)</f>
        <v>0</v>
      </c>
      <c r="X120" s="199">
        <f>IFERROR(__xludf.DUMMYFUNCTION("""COMPUTED_VALUE"""),0.0)</f>
        <v>0</v>
      </c>
      <c r="Y120" s="199">
        <f>IFERROR(__xludf.DUMMYFUNCTION("""COMPUTED_VALUE"""),0.0)</f>
        <v>0</v>
      </c>
      <c r="Z120" s="199">
        <f>IFERROR(__xludf.DUMMYFUNCTION("""COMPUTED_VALUE"""),0.0)</f>
        <v>0</v>
      </c>
      <c r="AA120" s="199">
        <f>IFERROR(__xludf.DUMMYFUNCTION("""COMPUTED_VALUE"""),0.0)</f>
        <v>0</v>
      </c>
      <c r="AB120" s="199">
        <f>IFERROR(__xludf.DUMMYFUNCTION("""COMPUTED_VALUE"""),27.0)</f>
        <v>27</v>
      </c>
      <c r="AC120" s="199">
        <f>IFERROR(__xludf.DUMMYFUNCTION("""COMPUTED_VALUE"""),2.0)</f>
        <v>2</v>
      </c>
      <c r="AD120" s="199">
        <f>IFERROR(__xludf.DUMMYFUNCTION("""COMPUTED_VALUE"""),0.0)</f>
        <v>0</v>
      </c>
      <c r="AE120" s="199">
        <f>IFERROR(__xludf.DUMMYFUNCTION("""COMPUTED_VALUE"""),2.0)</f>
        <v>2</v>
      </c>
      <c r="AF120" s="199">
        <f>IFERROR(__xludf.DUMMYFUNCTION("""COMPUTED_VALUE"""),2.0)</f>
        <v>2</v>
      </c>
      <c r="AG120" s="199">
        <f>IFERROR(__xludf.DUMMYFUNCTION("""COMPUTED_VALUE"""),383.0)</f>
        <v>383</v>
      </c>
      <c r="AH120" s="199">
        <f>IFERROR(__xludf.DUMMYFUNCTION("""COMPUTED_VALUE"""),7.0)</f>
        <v>7</v>
      </c>
      <c r="AI120" s="200" t="str">
        <f>IFERROR(__xludf.DUMMYFUNCTION("""COMPUTED_VALUE"""),"Normal")</f>
        <v>Normal</v>
      </c>
      <c r="AJ120" s="200" t="str">
        <f>IFERROR(__xludf.DUMMYFUNCTION("""COMPUTED_VALUE"""),"ISO Code 22/21/19. All parameters within acceptable limits. Continue routine monitoring.")</f>
        <v>ISO Code 22/21/19. All parameters within acceptable limits. Continue routine monitoring.</v>
      </c>
      <c r="AK120" s="204"/>
      <c r="AL120" s="204"/>
      <c r="AM120" s="204"/>
    </row>
    <row r="121" hidden="1">
      <c r="A121" s="199" t="str">
        <f>IFERROR(__xludf.DUMMYFUNCTION("""COMPUTED_VALUE"""),"131.BC100")</f>
        <v>131.BC100</v>
      </c>
      <c r="B121" s="200" t="str">
        <f>IFERROR(__xludf.DUMMYFUNCTION("""COMPUTED_VALUE"""),"Belt Conveyor Gearbox")</f>
        <v>Belt Conveyor Gearbox</v>
      </c>
      <c r="C121" s="199">
        <f>IFERROR(__xludf.DUMMYFUNCTION("""COMPUTED_VALUE"""),2.4162106226E10)</f>
        <v>24162106226</v>
      </c>
      <c r="D121" s="201">
        <f>IFERROR(__xludf.DUMMYFUNCTION("""COMPUTED_VALUE"""),45447.0)</f>
        <v>45447</v>
      </c>
      <c r="E121" s="202" t="str">
        <f>IFERROR(__xludf.DUMMYFUNCTION("""COMPUTED_VALUE"""),"Normal")</f>
        <v>Normal</v>
      </c>
      <c r="F121" s="202" t="str">
        <f>IFERROR(__xludf.DUMMYFUNCTION("""COMPUTED_VALUE"""),"Normal")</f>
        <v>Normal</v>
      </c>
      <c r="G121" s="203" t="str">
        <f>IFERROR(__xludf.DUMMYFUNCTION("""COMPUTED_VALUE"""),"Normal")</f>
        <v>Normal</v>
      </c>
      <c r="H121" s="203" t="str">
        <f>IFERROR(__xludf.DUMMYFUNCTION("""COMPUTED_VALUE"""),"Normal")</f>
        <v>Normal</v>
      </c>
      <c r="I121" s="199">
        <f>IFERROR(__xludf.DUMMYFUNCTION("""COMPUTED_VALUE"""),7821.0)</f>
        <v>7821</v>
      </c>
      <c r="J121" s="199">
        <f>IFERROR(__xludf.DUMMYFUNCTION("""COMPUTED_VALUE"""),4032.0)</f>
        <v>4032</v>
      </c>
      <c r="K121" s="199">
        <f>IFERROR(__xludf.DUMMYFUNCTION("""COMPUTED_VALUE"""),1002.0)</f>
        <v>1002</v>
      </c>
      <c r="L121" s="199">
        <f>IFERROR(__xludf.DUMMYFUNCTION("""COMPUTED_VALUE"""),4.0)</f>
        <v>4</v>
      </c>
      <c r="M121" s="199">
        <f>IFERROR(__xludf.DUMMYFUNCTION("""COMPUTED_VALUE"""),220.4)</f>
        <v>220.4</v>
      </c>
      <c r="N121" s="199"/>
      <c r="O121" s="199"/>
      <c r="P121" s="199">
        <f>IFERROR(__xludf.DUMMYFUNCTION("""COMPUTED_VALUE"""),0.01)</f>
        <v>0.01</v>
      </c>
      <c r="Q121" s="199">
        <f>IFERROR(__xludf.DUMMYFUNCTION("""COMPUTED_VALUE"""),0.0)</f>
        <v>0</v>
      </c>
      <c r="R121" s="199">
        <f>IFERROR(__xludf.DUMMYFUNCTION("""COMPUTED_VALUE"""),0.0)</f>
        <v>0</v>
      </c>
      <c r="S121" s="199">
        <f>IFERROR(__xludf.DUMMYFUNCTION("""COMPUTED_VALUE"""),0.0)</f>
        <v>0</v>
      </c>
      <c r="T121" s="199">
        <f>IFERROR(__xludf.DUMMYFUNCTION("""COMPUTED_VALUE"""),0.0)</f>
        <v>0</v>
      </c>
      <c r="U121" s="199">
        <f>IFERROR(__xludf.DUMMYFUNCTION("""COMPUTED_VALUE"""),1.0)</f>
        <v>1</v>
      </c>
      <c r="V121" s="199">
        <f>IFERROR(__xludf.DUMMYFUNCTION("""COMPUTED_VALUE"""),0.0)</f>
        <v>0</v>
      </c>
      <c r="W121" s="199">
        <f>IFERROR(__xludf.DUMMYFUNCTION("""COMPUTED_VALUE"""),0.0)</f>
        <v>0</v>
      </c>
      <c r="X121" s="199">
        <f>IFERROR(__xludf.DUMMYFUNCTION("""COMPUTED_VALUE"""),1.0)</f>
        <v>1</v>
      </c>
      <c r="Y121" s="199">
        <f>IFERROR(__xludf.DUMMYFUNCTION("""COMPUTED_VALUE"""),0.0)</f>
        <v>0</v>
      </c>
      <c r="Z121" s="199">
        <f>IFERROR(__xludf.DUMMYFUNCTION("""COMPUTED_VALUE"""),0.0)</f>
        <v>0</v>
      </c>
      <c r="AA121" s="199">
        <f>IFERROR(__xludf.DUMMYFUNCTION("""COMPUTED_VALUE"""),0.0)</f>
        <v>0</v>
      </c>
      <c r="AB121" s="199">
        <f>IFERROR(__xludf.DUMMYFUNCTION("""COMPUTED_VALUE"""),0.0)</f>
        <v>0</v>
      </c>
      <c r="AC121" s="199">
        <f>IFERROR(__xludf.DUMMYFUNCTION("""COMPUTED_VALUE"""),0.0)</f>
        <v>0</v>
      </c>
      <c r="AD121" s="199">
        <f>IFERROR(__xludf.DUMMYFUNCTION("""COMPUTED_VALUE"""),0.0)</f>
        <v>0</v>
      </c>
      <c r="AE121" s="199">
        <f>IFERROR(__xludf.DUMMYFUNCTION("""COMPUTED_VALUE"""),9.0)</f>
        <v>9</v>
      </c>
      <c r="AF121" s="199">
        <f>IFERROR(__xludf.DUMMYFUNCTION("""COMPUTED_VALUE"""),2.0)</f>
        <v>2</v>
      </c>
      <c r="AG121" s="199">
        <f>IFERROR(__xludf.DUMMYFUNCTION("""COMPUTED_VALUE"""),499.0)</f>
        <v>499</v>
      </c>
      <c r="AH121" s="199">
        <f>IFERROR(__xludf.DUMMYFUNCTION("""COMPUTED_VALUE"""),15.0)</f>
        <v>15</v>
      </c>
      <c r="AI121" s="200" t="str">
        <f>IFERROR(__xludf.DUMMYFUNCTION("""COMPUTED_VALUE"""),"Normal - No Action Required")</f>
        <v>Normal - No Action Required</v>
      </c>
      <c r="AJ121" s="200" t="str">
        <f>IFERROR(__xludf.DUMMYFUNCTION("""COMPUTED_VALUE"""),"Continue routine monitoring and sampling schedule")</f>
        <v>Continue routine monitoring and sampling schedule</v>
      </c>
      <c r="AK121" s="204"/>
      <c r="AL121" s="204"/>
      <c r="AM121" s="204"/>
    </row>
    <row r="122" hidden="1">
      <c r="A122" s="199" t="str">
        <f>IFERROR(__xludf.DUMMYFUNCTION("""COMPUTED_VALUE"""),"421.FV770")</f>
        <v>421.FV770</v>
      </c>
      <c r="B122" s="200" t="str">
        <f>IFERROR(__xludf.DUMMYFUNCTION("""COMPUTED_VALUE"""),"AF sluice FLS Hyd. unit")</f>
        <v>AF sluice FLS Hyd. unit</v>
      </c>
      <c r="C122" s="199">
        <f>IFERROR(__xludf.DUMMYFUNCTION("""COMPUTED_VALUE"""),2.4162106218E10)</f>
        <v>24162106218</v>
      </c>
      <c r="D122" s="201">
        <f>IFERROR(__xludf.DUMMYFUNCTION("""COMPUTED_VALUE"""),45447.0)</f>
        <v>45447</v>
      </c>
      <c r="E122" s="202" t="str">
        <f>IFERROR(__xludf.DUMMYFUNCTION("""COMPUTED_VALUE"""),"Normal")</f>
        <v>Normal</v>
      </c>
      <c r="F122" s="202" t="str">
        <f>IFERROR(__xludf.DUMMYFUNCTION("""COMPUTED_VALUE"""),"Normal")</f>
        <v>Normal</v>
      </c>
      <c r="G122" s="203" t="str">
        <f>IFERROR(__xludf.DUMMYFUNCTION("""COMPUTED_VALUE"""),"Normal")</f>
        <v>Normal</v>
      </c>
      <c r="H122" s="203" t="str">
        <f>IFERROR(__xludf.DUMMYFUNCTION("""COMPUTED_VALUE"""),"Normal")</f>
        <v>Normal</v>
      </c>
      <c r="I122" s="37">
        <f>IFERROR(__xludf.DUMMYFUNCTION("""COMPUTED_VALUE"""),4815.0)</f>
        <v>4815</v>
      </c>
      <c r="J122" s="37">
        <f>IFERROR(__xludf.DUMMYFUNCTION("""COMPUTED_VALUE"""),913.0)</f>
        <v>913</v>
      </c>
      <c r="K122" s="37">
        <f>IFERROR(__xludf.DUMMYFUNCTION("""COMPUTED_VALUE"""),112.0)</f>
        <v>112</v>
      </c>
      <c r="L122" s="199">
        <f>IFERROR(__xludf.DUMMYFUNCTION("""COMPUTED_VALUE"""),3.0)</f>
        <v>3</v>
      </c>
      <c r="M122" s="199">
        <f>IFERROR(__xludf.DUMMYFUNCTION("""COMPUTED_VALUE"""),46.2)</f>
        <v>46.2</v>
      </c>
      <c r="N122" s="199"/>
      <c r="O122" s="199">
        <f>IFERROR(__xludf.DUMMYFUNCTION("""COMPUTED_VALUE"""),0.0)</f>
        <v>0</v>
      </c>
      <c r="P122" s="199">
        <f>IFERROR(__xludf.DUMMYFUNCTION("""COMPUTED_VALUE"""),0.003)</f>
        <v>0.003</v>
      </c>
      <c r="Q122" s="199">
        <f>IFERROR(__xludf.DUMMYFUNCTION("""COMPUTED_VALUE"""),0.0)</f>
        <v>0</v>
      </c>
      <c r="R122" s="199">
        <f>IFERROR(__xludf.DUMMYFUNCTION("""COMPUTED_VALUE"""),0.0)</f>
        <v>0</v>
      </c>
      <c r="S122" s="199">
        <f>IFERROR(__xludf.DUMMYFUNCTION("""COMPUTED_VALUE"""),0.0)</f>
        <v>0</v>
      </c>
      <c r="T122" s="199">
        <f>IFERROR(__xludf.DUMMYFUNCTION("""COMPUTED_VALUE"""),0.0)</f>
        <v>0</v>
      </c>
      <c r="U122" s="199">
        <f>IFERROR(__xludf.DUMMYFUNCTION("""COMPUTED_VALUE"""),0.0)</f>
        <v>0</v>
      </c>
      <c r="V122" s="199">
        <f>IFERROR(__xludf.DUMMYFUNCTION("""COMPUTED_VALUE"""),0.0)</f>
        <v>0</v>
      </c>
      <c r="W122" s="199">
        <f>IFERROR(__xludf.DUMMYFUNCTION("""COMPUTED_VALUE"""),0.0)</f>
        <v>0</v>
      </c>
      <c r="X122" s="199">
        <f>IFERROR(__xludf.DUMMYFUNCTION("""COMPUTED_VALUE"""),0.0)</f>
        <v>0</v>
      </c>
      <c r="Y122" s="199">
        <f>IFERROR(__xludf.DUMMYFUNCTION("""COMPUTED_VALUE"""),0.0)</f>
        <v>0</v>
      </c>
      <c r="Z122" s="199">
        <f>IFERROR(__xludf.DUMMYFUNCTION("""COMPUTED_VALUE"""),0.0)</f>
        <v>0</v>
      </c>
      <c r="AA122" s="199">
        <f>IFERROR(__xludf.DUMMYFUNCTION("""COMPUTED_VALUE"""),0.0)</f>
        <v>0</v>
      </c>
      <c r="AB122" s="199">
        <f>IFERROR(__xludf.DUMMYFUNCTION("""COMPUTED_VALUE"""),5.0)</f>
        <v>5</v>
      </c>
      <c r="AC122" s="199">
        <f>IFERROR(__xludf.DUMMYFUNCTION("""COMPUTED_VALUE"""),1.0)</f>
        <v>1</v>
      </c>
      <c r="AD122" s="199">
        <f>IFERROR(__xludf.DUMMYFUNCTION("""COMPUTED_VALUE"""),0.0)</f>
        <v>0</v>
      </c>
      <c r="AE122" s="199">
        <f>IFERROR(__xludf.DUMMYFUNCTION("""COMPUTED_VALUE"""),65.0)</f>
        <v>65</v>
      </c>
      <c r="AF122" s="199">
        <f>IFERROR(__xludf.DUMMYFUNCTION("""COMPUTED_VALUE"""),0.0)</f>
        <v>0</v>
      </c>
      <c r="AG122" s="199">
        <f>IFERROR(__xludf.DUMMYFUNCTION("""COMPUTED_VALUE"""),357.0)</f>
        <v>357</v>
      </c>
      <c r="AH122" s="199">
        <f>IFERROR(__xludf.DUMMYFUNCTION("""COMPUTED_VALUE"""),555.0)</f>
        <v>555</v>
      </c>
      <c r="AI122" s="200" t="str">
        <f>IFERROR(__xludf.DUMMYFUNCTION("""COMPUTED_VALUE"""),"Normal - No Action Required")</f>
        <v>Normal - No Action Required</v>
      </c>
      <c r="AJ122" s="200" t="str">
        <f>IFERROR(__xludf.DUMMYFUNCTION("""COMPUTED_VALUE"""),"Continue routine monitoring and sampling schedule")</f>
        <v>Continue routine monitoring and sampling schedule</v>
      </c>
      <c r="AK122" s="204"/>
      <c r="AL122" s="204"/>
      <c r="AM122" s="204"/>
    </row>
    <row r="123" hidden="1">
      <c r="A123" s="199" t="str">
        <f>IFERROR(__xludf.DUMMYFUNCTION("""COMPUTED_VALUE"""),"R2.332.FN110(Fx.B.)")</f>
        <v>R2.332.FN110(Fx.B.)</v>
      </c>
      <c r="B123" s="200" t="str">
        <f>IFERROR(__xludf.DUMMYFUNCTION("""COMPUTED_VALUE"""),"ID fan fixed bearing")</f>
        <v>ID fan fixed bearing</v>
      </c>
      <c r="C123" s="199">
        <f>IFERROR(__xludf.DUMMYFUNCTION("""COMPUTED_VALUE"""),2.4162106229E10)</f>
        <v>24162106229</v>
      </c>
      <c r="D123" s="201">
        <f>IFERROR(__xludf.DUMMYFUNCTION("""COMPUTED_VALUE"""),45447.0)</f>
        <v>45447</v>
      </c>
      <c r="E123" s="202" t="str">
        <f>IFERROR(__xludf.DUMMYFUNCTION("""COMPUTED_VALUE"""),"Caution")</f>
        <v>Caution</v>
      </c>
      <c r="F123" s="202" t="str">
        <f>IFERROR(__xludf.DUMMYFUNCTION("""COMPUTED_VALUE"""),"Caution")</f>
        <v>Caution</v>
      </c>
      <c r="G123" s="203" t="str">
        <f>IFERROR(__xludf.DUMMYFUNCTION("""COMPUTED_VALUE"""),"Normal")</f>
        <v>Normal</v>
      </c>
      <c r="H123" s="203" t="str">
        <f>IFERROR(__xludf.DUMMYFUNCTION("""COMPUTED_VALUE"""),"Normal")</f>
        <v>Normal</v>
      </c>
      <c r="I123" s="37"/>
      <c r="J123" s="37"/>
      <c r="K123" s="37"/>
      <c r="L123" s="199">
        <f>IFERROR(__xludf.DUMMYFUNCTION("""COMPUTED_VALUE"""),12.0)</f>
        <v>12</v>
      </c>
      <c r="M123" s="199">
        <f>IFERROR(__xludf.DUMMYFUNCTION("""COMPUTED_VALUE"""),60.4)</f>
        <v>60.4</v>
      </c>
      <c r="N123" s="199"/>
      <c r="O123" s="199">
        <f>IFERROR(__xludf.DUMMYFUNCTION("""COMPUTED_VALUE"""),0.0)</f>
        <v>0</v>
      </c>
      <c r="P123" s="199">
        <f>IFERROR(__xludf.DUMMYFUNCTION("""COMPUTED_VALUE"""),0.05)</f>
        <v>0.05</v>
      </c>
      <c r="Q123" s="199">
        <f>IFERROR(__xludf.DUMMYFUNCTION("""COMPUTED_VALUE"""),0.0)</f>
        <v>0</v>
      </c>
      <c r="R123" s="199">
        <f>IFERROR(__xludf.DUMMYFUNCTION("""COMPUTED_VALUE"""),0.0)</f>
        <v>0</v>
      </c>
      <c r="S123" s="199">
        <f>IFERROR(__xludf.DUMMYFUNCTION("""COMPUTED_VALUE"""),0.0)</f>
        <v>0</v>
      </c>
      <c r="T123" s="199">
        <f>IFERROR(__xludf.DUMMYFUNCTION("""COMPUTED_VALUE"""),7.0)</f>
        <v>7</v>
      </c>
      <c r="U123" s="199">
        <f>IFERROR(__xludf.DUMMYFUNCTION("""COMPUTED_VALUE"""),11.0)</f>
        <v>11</v>
      </c>
      <c r="V123" s="199">
        <f>IFERROR(__xludf.DUMMYFUNCTION("""COMPUTED_VALUE"""),0.0)</f>
        <v>0</v>
      </c>
      <c r="W123" s="199">
        <f>IFERROR(__xludf.DUMMYFUNCTION("""COMPUTED_VALUE"""),0.0)</f>
        <v>0</v>
      </c>
      <c r="X123" s="199">
        <f>IFERROR(__xludf.DUMMYFUNCTION("""COMPUTED_VALUE"""),0.0)</f>
        <v>0</v>
      </c>
      <c r="Y123" s="199">
        <f>IFERROR(__xludf.DUMMYFUNCTION("""COMPUTED_VALUE"""),0.0)</f>
        <v>0</v>
      </c>
      <c r="Z123" s="199">
        <f>IFERROR(__xludf.DUMMYFUNCTION("""COMPUTED_VALUE"""),0.0)</f>
        <v>0</v>
      </c>
      <c r="AA123" s="199">
        <f>IFERROR(__xludf.DUMMYFUNCTION("""COMPUTED_VALUE"""),0.0)</f>
        <v>0</v>
      </c>
      <c r="AB123" s="199">
        <f>IFERROR(__xludf.DUMMYFUNCTION("""COMPUTED_VALUE"""),10.0)</f>
        <v>10</v>
      </c>
      <c r="AC123" s="199">
        <f>IFERROR(__xludf.DUMMYFUNCTION("""COMPUTED_VALUE"""),2.0)</f>
        <v>2</v>
      </c>
      <c r="AD123" s="199">
        <f>IFERROR(__xludf.DUMMYFUNCTION("""COMPUTED_VALUE"""),0.0)</f>
        <v>0</v>
      </c>
      <c r="AE123" s="199">
        <f>IFERROR(__xludf.DUMMYFUNCTION("""COMPUTED_VALUE"""),36.0)</f>
        <v>36</v>
      </c>
      <c r="AF123" s="199">
        <f>IFERROR(__xludf.DUMMYFUNCTION("""COMPUTED_VALUE"""),0.0)</f>
        <v>0</v>
      </c>
      <c r="AG123" s="199">
        <f>IFERROR(__xludf.DUMMYFUNCTION("""COMPUTED_VALUE"""),114.0)</f>
        <v>114</v>
      </c>
      <c r="AH123" s="199">
        <f>IFERROR(__xludf.DUMMYFUNCTION("""COMPUTED_VALUE"""),116.0)</f>
        <v>116</v>
      </c>
      <c r="AI123" s="200" t="str">
        <f>IFERROR(__xludf.DUMMYFUNCTION("""COMPUTED_VALUE"""),"General Caution")</f>
        <v>General Caution</v>
      </c>
      <c r="AJ123" s="200" t="str">
        <f>IFERROR(__xludf.DUMMYFUNCTION("""COMPUTED_VALUE"""),"Continue monitoring; resample at next scheduled interval")</f>
        <v>Continue monitoring; resample at next scheduled interval</v>
      </c>
      <c r="AK123" s="204"/>
      <c r="AL123" s="204"/>
      <c r="AM123" s="204"/>
    </row>
    <row r="124" hidden="1">
      <c r="A124" s="199" t="str">
        <f>IFERROR(__xludf.DUMMYFUNCTION("""COMPUTED_VALUE"""),"441.FN590")</f>
        <v>441.FN590</v>
      </c>
      <c r="B124" s="200" t="str">
        <f>IFERROR(__xludf.DUMMYFUNCTION("""COMPUTED_VALUE"""),"Clinker Cooler filter Fan")</f>
        <v>Clinker Cooler filter Fan</v>
      </c>
      <c r="C124" s="199">
        <f>IFERROR(__xludf.DUMMYFUNCTION("""COMPUTED_VALUE"""),2.420624725E10)</f>
        <v>24206247250</v>
      </c>
      <c r="D124" s="201">
        <f>IFERROR(__xludf.DUMMYFUNCTION("""COMPUTED_VALUE"""),45488.0)</f>
        <v>45488</v>
      </c>
      <c r="E124" s="202" t="str">
        <f>IFERROR(__xludf.DUMMYFUNCTION("""COMPUTED_VALUE"""),"Caution")</f>
        <v>Caution</v>
      </c>
      <c r="F124" s="202" t="str">
        <f>IFERROR(__xludf.DUMMYFUNCTION("""COMPUTED_VALUE"""),"Caution")</f>
        <v>Caution</v>
      </c>
      <c r="G124" s="203" t="str">
        <f>IFERROR(__xludf.DUMMYFUNCTION("""COMPUTED_VALUE"""),"Normal")</f>
        <v>Normal</v>
      </c>
      <c r="H124" s="203" t="str">
        <f>IFERROR(__xludf.DUMMYFUNCTION("""COMPUTED_VALUE"""),"Normal")</f>
        <v>Normal</v>
      </c>
      <c r="I124" s="37">
        <f>IFERROR(__xludf.DUMMYFUNCTION("""COMPUTED_VALUE"""),23972.0)</f>
        <v>23972</v>
      </c>
      <c r="J124" s="37">
        <f>IFERROR(__xludf.DUMMYFUNCTION("""COMPUTED_VALUE"""),14322.0)</f>
        <v>14322</v>
      </c>
      <c r="K124" s="37">
        <f>IFERROR(__xludf.DUMMYFUNCTION("""COMPUTED_VALUE"""),4817.0)</f>
        <v>4817</v>
      </c>
      <c r="L124" s="199">
        <f>IFERROR(__xludf.DUMMYFUNCTION("""COMPUTED_VALUE"""),11.0)</f>
        <v>11</v>
      </c>
      <c r="M124" s="199">
        <f>IFERROR(__xludf.DUMMYFUNCTION("""COMPUTED_VALUE"""),340.0)</f>
        <v>340</v>
      </c>
      <c r="N124" s="199"/>
      <c r="O124" s="199"/>
      <c r="P124" s="199">
        <f>IFERROR(__xludf.DUMMYFUNCTION("""COMPUTED_VALUE"""),0.003)</f>
        <v>0.003</v>
      </c>
      <c r="Q124" s="199">
        <f>IFERROR(__xludf.DUMMYFUNCTION("""COMPUTED_VALUE"""),0.0)</f>
        <v>0</v>
      </c>
      <c r="R124" s="199">
        <f>IFERROR(__xludf.DUMMYFUNCTION("""COMPUTED_VALUE"""),0.0)</f>
        <v>0</v>
      </c>
      <c r="S124" s="199">
        <f>IFERROR(__xludf.DUMMYFUNCTION("""COMPUTED_VALUE"""),0.0)</f>
        <v>0</v>
      </c>
      <c r="T124" s="199">
        <f>IFERROR(__xludf.DUMMYFUNCTION("""COMPUTED_VALUE"""),0.0)</f>
        <v>0</v>
      </c>
      <c r="U124" s="199">
        <f>IFERROR(__xludf.DUMMYFUNCTION("""COMPUTED_VALUE"""),0.0)</f>
        <v>0</v>
      </c>
      <c r="V124" s="199">
        <f>IFERROR(__xludf.DUMMYFUNCTION("""COMPUTED_VALUE"""),0.0)</f>
        <v>0</v>
      </c>
      <c r="W124" s="199">
        <f>IFERROR(__xludf.DUMMYFUNCTION("""COMPUTED_VALUE"""),0.0)</f>
        <v>0</v>
      </c>
      <c r="X124" s="199">
        <f>IFERROR(__xludf.DUMMYFUNCTION("""COMPUTED_VALUE"""),0.0)</f>
        <v>0</v>
      </c>
      <c r="Y124" s="199">
        <f>IFERROR(__xludf.DUMMYFUNCTION("""COMPUTED_VALUE"""),0.0)</f>
        <v>0</v>
      </c>
      <c r="Z124" s="199">
        <f>IFERROR(__xludf.DUMMYFUNCTION("""COMPUTED_VALUE"""),0.0)</f>
        <v>0</v>
      </c>
      <c r="AA124" s="199">
        <f>IFERROR(__xludf.DUMMYFUNCTION("""COMPUTED_VALUE"""),0.0)</f>
        <v>0</v>
      </c>
      <c r="AB124" s="199">
        <f>IFERROR(__xludf.DUMMYFUNCTION("""COMPUTED_VALUE"""),18.0)</f>
        <v>18</v>
      </c>
      <c r="AC124" s="199">
        <f>IFERROR(__xludf.DUMMYFUNCTION("""COMPUTED_VALUE"""),16.0)</f>
        <v>16</v>
      </c>
      <c r="AD124" s="199">
        <f>IFERROR(__xludf.DUMMYFUNCTION("""COMPUTED_VALUE"""),0.0)</f>
        <v>0</v>
      </c>
      <c r="AE124" s="199">
        <f>IFERROR(__xludf.DUMMYFUNCTION("""COMPUTED_VALUE"""),2.0)</f>
        <v>2</v>
      </c>
      <c r="AF124" s="199">
        <f>IFERROR(__xludf.DUMMYFUNCTION("""COMPUTED_VALUE"""),0.0)</f>
        <v>0</v>
      </c>
      <c r="AG124" s="199">
        <f>IFERROR(__xludf.DUMMYFUNCTION("""COMPUTED_VALUE"""),367.0)</f>
        <v>367</v>
      </c>
      <c r="AH124" s="199">
        <f>IFERROR(__xludf.DUMMYFUNCTION("""COMPUTED_VALUE"""),13.0)</f>
        <v>13</v>
      </c>
      <c r="AI124" s="200" t="str">
        <f>IFERROR(__xludf.DUMMYFUNCTION("""COMPUTED_VALUE"""),"Caution – Elevated Si / TAN")</f>
        <v>Caution – Elevated Si / TAN</v>
      </c>
      <c r="AJ124" s="200" t="str">
        <f>IFERROR(__xludf.DUMMYFUNCTION("""COMPUTED_VALUE"""),"Si 18 ppm, TAN 1.41 mg KOH/g. Monitor contamination trend. Inspect filtration.")</f>
        <v>Si 18 ppm, TAN 1.41 mg KOH/g. Monitor contamination trend. Inspect filtration.</v>
      </c>
      <c r="AK124" s="204"/>
      <c r="AL124" s="204"/>
      <c r="AM124" s="204"/>
    </row>
    <row r="125" hidden="1">
      <c r="A125" s="199" t="str">
        <f>IFERROR(__xludf.DUMMYFUNCTION("""COMPUTED_VALUE"""),"321.LQ145(GB)")</f>
        <v>321.LQ145(GB)</v>
      </c>
      <c r="B125" s="200" t="str">
        <f>IFERROR(__xludf.DUMMYFUNCTION("""COMPUTED_VALUE"""),"Gear lubrication Gear Box")</f>
        <v>Gear lubrication Gear Box</v>
      </c>
      <c r="C125" s="199">
        <f>IFERROR(__xludf.DUMMYFUNCTION("""COMPUTED_VALUE"""),2.4204227263E10)</f>
        <v>24204227263</v>
      </c>
      <c r="D125" s="201">
        <f>IFERROR(__xludf.DUMMYFUNCTION("""COMPUTED_VALUE"""),45488.0)</f>
        <v>45488</v>
      </c>
      <c r="E125" s="202" t="str">
        <f>IFERROR(__xludf.DUMMYFUNCTION("""COMPUTED_VALUE"""),"Caution")</f>
        <v>Caution</v>
      </c>
      <c r="F125" s="202" t="str">
        <f>IFERROR(__xludf.DUMMYFUNCTION("""COMPUTED_VALUE"""),"Caution")</f>
        <v>Caution</v>
      </c>
      <c r="G125" s="203" t="str">
        <f>IFERROR(__xludf.DUMMYFUNCTION("""COMPUTED_VALUE"""),"Caution")</f>
        <v>Caution</v>
      </c>
      <c r="H125" s="203" t="str">
        <f>IFERROR(__xludf.DUMMYFUNCTION("""COMPUTED_VALUE"""),"Normal")</f>
        <v>Normal</v>
      </c>
      <c r="I125" s="37"/>
      <c r="J125" s="37"/>
      <c r="K125" s="37"/>
      <c r="L125" s="199">
        <f>IFERROR(__xludf.DUMMYFUNCTION("""COMPUTED_VALUE"""),12.0)</f>
        <v>12</v>
      </c>
      <c r="M125" s="199">
        <f>IFERROR(__xludf.DUMMYFUNCTION("""COMPUTED_VALUE"""),333.8)</f>
        <v>333.8</v>
      </c>
      <c r="N125" s="199"/>
      <c r="O125" s="199">
        <f>IFERROR(__xludf.DUMMYFUNCTION("""COMPUTED_VALUE"""),2.0)</f>
        <v>2</v>
      </c>
      <c r="P125" s="199">
        <f>IFERROR(__xludf.DUMMYFUNCTION("""COMPUTED_VALUE"""),0.04)</f>
        <v>0.04</v>
      </c>
      <c r="Q125" s="199">
        <f>IFERROR(__xludf.DUMMYFUNCTION("""COMPUTED_VALUE"""),0.0)</f>
        <v>0</v>
      </c>
      <c r="R125" s="199">
        <f>IFERROR(__xludf.DUMMYFUNCTION("""COMPUTED_VALUE"""),10.0)</f>
        <v>10</v>
      </c>
      <c r="S125" s="199">
        <f>IFERROR(__xludf.DUMMYFUNCTION("""COMPUTED_VALUE"""),0.0)</f>
        <v>0</v>
      </c>
      <c r="T125" s="199">
        <f>IFERROR(__xludf.DUMMYFUNCTION("""COMPUTED_VALUE"""),7.0)</f>
        <v>7</v>
      </c>
      <c r="U125" s="199">
        <f>IFERROR(__xludf.DUMMYFUNCTION("""COMPUTED_VALUE"""),41.0)</f>
        <v>41</v>
      </c>
      <c r="V125" s="199">
        <f>IFERROR(__xludf.DUMMYFUNCTION("""COMPUTED_VALUE"""),3.0)</f>
        <v>3</v>
      </c>
      <c r="W125" s="199">
        <f>IFERROR(__xludf.DUMMYFUNCTION("""COMPUTED_VALUE"""),0.0)</f>
        <v>0</v>
      </c>
      <c r="X125" s="199">
        <f>IFERROR(__xludf.DUMMYFUNCTION("""COMPUTED_VALUE"""),4.0)</f>
        <v>4</v>
      </c>
      <c r="Y125" s="199">
        <f>IFERROR(__xludf.DUMMYFUNCTION("""COMPUTED_VALUE"""),0.0)</f>
        <v>0</v>
      </c>
      <c r="Z125" s="199">
        <f>IFERROR(__xludf.DUMMYFUNCTION("""COMPUTED_VALUE"""),2.0)</f>
        <v>2</v>
      </c>
      <c r="AA125" s="199">
        <f>IFERROR(__xludf.DUMMYFUNCTION("""COMPUTED_VALUE"""),0.0)</f>
        <v>0</v>
      </c>
      <c r="AB125" s="199">
        <f>IFERROR(__xludf.DUMMYFUNCTION("""COMPUTED_VALUE"""),14.0)</f>
        <v>14</v>
      </c>
      <c r="AC125" s="199">
        <f>IFERROR(__xludf.DUMMYFUNCTION("""COMPUTED_VALUE"""),34.0)</f>
        <v>34</v>
      </c>
      <c r="AD125" s="199">
        <f>IFERROR(__xludf.DUMMYFUNCTION("""COMPUTED_VALUE"""),0.0)</f>
        <v>0</v>
      </c>
      <c r="AE125" s="199">
        <f>IFERROR(__xludf.DUMMYFUNCTION("""COMPUTED_VALUE"""),17.0)</f>
        <v>17</v>
      </c>
      <c r="AF125" s="199">
        <f>IFERROR(__xludf.DUMMYFUNCTION("""COMPUTED_VALUE"""),5.0)</f>
        <v>5</v>
      </c>
      <c r="AG125" s="199">
        <f>IFERROR(__xludf.DUMMYFUNCTION("""COMPUTED_VALUE"""),319.0)</f>
        <v>319</v>
      </c>
      <c r="AH125" s="199">
        <f>IFERROR(__xludf.DUMMYFUNCTION("""COMPUTED_VALUE"""),25.0)</f>
        <v>25</v>
      </c>
      <c r="AI125" s="200" t="str">
        <f>IFERROR(__xludf.DUMMYFUNCTION("""COMPUTED_VALUE"""),"Wear Metal Caution")</f>
        <v>Wear Metal Caution</v>
      </c>
      <c r="AJ125" s="200" t="str">
        <f>IFERROR(__xludf.DUMMYFUNCTION("""COMPUTED_VALUE"""),"Monitor closely - inspect at next planned maintenance; Oxidation increasing - monitor and plan oil change")</f>
        <v>Monitor closely - inspect at next planned maintenance; Oxidation increasing - monitor and plan oil change</v>
      </c>
      <c r="AK125" s="204"/>
      <c r="AL125" s="204"/>
      <c r="AM125" s="204"/>
    </row>
    <row r="126" hidden="1">
      <c r="A126" s="199" t="str">
        <f>IFERROR(__xludf.DUMMYFUNCTION("""COMPUTED_VALUE"""),"462.MD152")</f>
        <v>462.MD152</v>
      </c>
      <c r="B126" s="200" t="str">
        <f>IFERROR(__xludf.DUMMYFUNCTION("""COMPUTED_VALUE"""),"Coal Mill 2 Separator Gear box")</f>
        <v>Coal Mill 2 Separator Gear box</v>
      </c>
      <c r="C126" s="199">
        <f>IFERROR(__xludf.DUMMYFUNCTION("""COMPUTED_VALUE"""),2.4211297248E10)</f>
        <v>24211297248</v>
      </c>
      <c r="D126" s="201">
        <f>IFERROR(__xludf.DUMMYFUNCTION("""COMPUTED_VALUE"""),45497.0)</f>
        <v>45497</v>
      </c>
      <c r="E126" s="202" t="str">
        <f>IFERROR(__xludf.DUMMYFUNCTION("""COMPUTED_VALUE"""),"Alert")</f>
        <v>Alert</v>
      </c>
      <c r="F126" s="202" t="str">
        <f>IFERROR(__xludf.DUMMYFUNCTION("""COMPUTED_VALUE"""),"Alert")</f>
        <v>Alert</v>
      </c>
      <c r="G126" s="203" t="str">
        <f>IFERROR(__xludf.DUMMYFUNCTION("""COMPUTED_VALUE"""),"Caution")</f>
        <v>Caution</v>
      </c>
      <c r="H126" s="203" t="str">
        <f>IFERROR(__xludf.DUMMYFUNCTION("""COMPUTED_VALUE"""),"Caution")</f>
        <v>Caution</v>
      </c>
      <c r="I126" s="199"/>
      <c r="J126" s="199"/>
      <c r="K126" s="199"/>
      <c r="L126" s="199">
        <f>IFERROR(__xludf.DUMMYFUNCTION("""COMPUTED_VALUE"""),15.0)</f>
        <v>15</v>
      </c>
      <c r="M126" s="199">
        <f>IFERROR(__xludf.DUMMYFUNCTION("""COMPUTED_VALUE"""),313.2)</f>
        <v>313.2</v>
      </c>
      <c r="N126" s="37"/>
      <c r="O126" s="37"/>
      <c r="P126" s="199">
        <f>IFERROR(__xludf.DUMMYFUNCTION("""COMPUTED_VALUE"""),0.1)</f>
        <v>0.1</v>
      </c>
      <c r="Q126" s="199">
        <f>IFERROR(__xludf.DUMMYFUNCTION("""COMPUTED_VALUE"""),0.0)</f>
        <v>0</v>
      </c>
      <c r="R126" s="199">
        <f>IFERROR(__xludf.DUMMYFUNCTION("""COMPUTED_VALUE"""),6.0)</f>
        <v>6</v>
      </c>
      <c r="S126" s="199">
        <f>IFERROR(__xludf.DUMMYFUNCTION("""COMPUTED_VALUE"""),5.0)</f>
        <v>5</v>
      </c>
      <c r="T126" s="199">
        <f>IFERROR(__xludf.DUMMYFUNCTION("""COMPUTED_VALUE"""),4.0)</f>
        <v>4</v>
      </c>
      <c r="U126" s="199">
        <f>IFERROR(__xludf.DUMMYFUNCTION("""COMPUTED_VALUE"""),30.0)</f>
        <v>30</v>
      </c>
      <c r="V126" s="199">
        <f>IFERROR(__xludf.DUMMYFUNCTION("""COMPUTED_VALUE"""),0.0)</f>
        <v>0</v>
      </c>
      <c r="W126" s="199">
        <f>IFERROR(__xludf.DUMMYFUNCTION("""COMPUTED_VALUE"""),0.0)</f>
        <v>0</v>
      </c>
      <c r="X126" s="199">
        <f>IFERROR(__xludf.DUMMYFUNCTION("""COMPUTED_VALUE"""),4.0)</f>
        <v>4</v>
      </c>
      <c r="Y126" s="199">
        <f>IFERROR(__xludf.DUMMYFUNCTION("""COMPUTED_VALUE"""),0.0)</f>
        <v>0</v>
      </c>
      <c r="Z126" s="199">
        <f>IFERROR(__xludf.DUMMYFUNCTION("""COMPUTED_VALUE"""),1.0)</f>
        <v>1</v>
      </c>
      <c r="AA126" s="199">
        <f>IFERROR(__xludf.DUMMYFUNCTION("""COMPUTED_VALUE"""),0.0)</f>
        <v>0</v>
      </c>
      <c r="AB126" s="199">
        <f>IFERROR(__xludf.DUMMYFUNCTION("""COMPUTED_VALUE"""),106.0)</f>
        <v>106</v>
      </c>
      <c r="AC126" s="199">
        <f>IFERROR(__xludf.DUMMYFUNCTION("""COMPUTED_VALUE"""),14.0)</f>
        <v>14</v>
      </c>
      <c r="AD126" s="199">
        <f>IFERROR(__xludf.DUMMYFUNCTION("""COMPUTED_VALUE"""),0.0)</f>
        <v>0</v>
      </c>
      <c r="AE126" s="199">
        <f>IFERROR(__xludf.DUMMYFUNCTION("""COMPUTED_VALUE"""),38.0)</f>
        <v>38</v>
      </c>
      <c r="AF126" s="199">
        <f>IFERROR(__xludf.DUMMYFUNCTION("""COMPUTED_VALUE"""),2.0)</f>
        <v>2</v>
      </c>
      <c r="AG126" s="199">
        <f>IFERROR(__xludf.DUMMYFUNCTION("""COMPUTED_VALUE"""),272.0)</f>
        <v>272</v>
      </c>
      <c r="AH126" s="199">
        <f>IFERROR(__xludf.DUMMYFUNCTION("""COMPUTED_VALUE"""),31.0)</f>
        <v>31</v>
      </c>
      <c r="AI126" s="200" t="str">
        <f>IFERROR(__xludf.DUMMYFUNCTION("""COMPUTED_VALUE"""),"Critical Si / Water / Elevated Fe / Cr")</f>
        <v>Critical Si / Water / Elevated Fe / Cr</v>
      </c>
      <c r="AJ126" s="200" t="str">
        <f>IFERROR(__xludf.DUMMYFUNCTION("""COMPUTED_VALUE"""),"ACTION REQUIRED – Si 106 ppm (severe abrasive contamination), water (0.100 Vol%), Fe (30 ppm), Cr (5 ppm). TAN 1.60 mg KOH/g. Severe dirt ingress. Inspect all air filters, breathers, seals immediately. Change oil after cleaning system. Equipment inspectio"&amp;"n for wear damage recommended.")</f>
        <v>ACTION REQUIRED – Si 106 ppm (severe abrasive contamination), water (0.100 Vol%), Fe (30 ppm), Cr (5 ppm). TAN 1.60 mg KOH/g. Severe dirt ingress. Inspect all air filters, breathers, seals immediately. Change oil after cleaning system. Equipment inspection for wear damage recommended.</v>
      </c>
      <c r="AK126" s="204"/>
      <c r="AL126" s="204"/>
      <c r="AM126" s="204"/>
    </row>
    <row r="127" hidden="1">
      <c r="A127" s="199" t="str">
        <f>IFERROR(__xludf.DUMMYFUNCTION("""COMPUTED_VALUE"""),"111.HC100 (HY)")</f>
        <v>111.HC100 (HY)</v>
      </c>
      <c r="B127" s="200" t="str">
        <f>IFERROR(__xludf.DUMMYFUNCTION("""COMPUTED_VALUE"""),"Crusher hydraulic cylinder station")</f>
        <v>Crusher hydraulic cylinder station</v>
      </c>
      <c r="C127" s="199">
        <f>IFERROR(__xludf.DUMMYFUNCTION("""COMPUTED_VALUE"""),2.4211297227E10)</f>
        <v>24211297227</v>
      </c>
      <c r="D127" s="201">
        <f>IFERROR(__xludf.DUMMYFUNCTION("""COMPUTED_VALUE"""),45497.0)</f>
        <v>45497</v>
      </c>
      <c r="E127" s="202" t="str">
        <f>IFERROR(__xludf.DUMMYFUNCTION("""COMPUTED_VALUE"""),"Normal")</f>
        <v>Normal</v>
      </c>
      <c r="F127" s="202" t="str">
        <f>IFERROR(__xludf.DUMMYFUNCTION("""COMPUTED_VALUE"""),"Normal")</f>
        <v>Normal</v>
      </c>
      <c r="G127" s="203" t="str">
        <f>IFERROR(__xludf.DUMMYFUNCTION("""COMPUTED_VALUE"""),"Normal")</f>
        <v>Normal</v>
      </c>
      <c r="H127" s="203" t="str">
        <f>IFERROR(__xludf.DUMMYFUNCTION("""COMPUTED_VALUE"""),"Normal")</f>
        <v>Normal</v>
      </c>
      <c r="I127" s="199">
        <f>IFERROR(__xludf.DUMMYFUNCTION("""COMPUTED_VALUE"""),6135.0)</f>
        <v>6135</v>
      </c>
      <c r="J127" s="199">
        <f>IFERROR(__xludf.DUMMYFUNCTION("""COMPUTED_VALUE"""),1207.0)</f>
        <v>1207</v>
      </c>
      <c r="K127" s="199">
        <f>IFERROR(__xludf.DUMMYFUNCTION("""COMPUTED_VALUE"""),935.0)</f>
        <v>935</v>
      </c>
      <c r="L127" s="199">
        <f>IFERROR(__xludf.DUMMYFUNCTION("""COMPUTED_VALUE"""),3.0)</f>
        <v>3</v>
      </c>
      <c r="M127" s="199">
        <f>IFERROR(__xludf.DUMMYFUNCTION("""COMPUTED_VALUE"""),45.8)</f>
        <v>45.8</v>
      </c>
      <c r="N127" s="37"/>
      <c r="O127" s="37">
        <f>IFERROR(__xludf.DUMMYFUNCTION("""COMPUTED_VALUE"""),0.0)</f>
        <v>0</v>
      </c>
      <c r="P127" s="199">
        <f>IFERROR(__xludf.DUMMYFUNCTION("""COMPUTED_VALUE"""),0.003)</f>
        <v>0.003</v>
      </c>
      <c r="Q127" s="199">
        <f>IFERROR(__xludf.DUMMYFUNCTION("""COMPUTED_VALUE"""),0.0)</f>
        <v>0</v>
      </c>
      <c r="R127" s="199">
        <f>IFERROR(__xludf.DUMMYFUNCTION("""COMPUTED_VALUE"""),3.0)</f>
        <v>3</v>
      </c>
      <c r="S127" s="199">
        <f>IFERROR(__xludf.DUMMYFUNCTION("""COMPUTED_VALUE"""),4.0)</f>
        <v>4</v>
      </c>
      <c r="T127" s="199">
        <f>IFERROR(__xludf.DUMMYFUNCTION("""COMPUTED_VALUE"""),3.0)</f>
        <v>3</v>
      </c>
      <c r="U127" s="199">
        <f>IFERROR(__xludf.DUMMYFUNCTION("""COMPUTED_VALUE"""),3.0)</f>
        <v>3</v>
      </c>
      <c r="V127" s="199">
        <f>IFERROR(__xludf.DUMMYFUNCTION("""COMPUTED_VALUE"""),0.0)</f>
        <v>0</v>
      </c>
      <c r="W127" s="199">
        <f>IFERROR(__xludf.DUMMYFUNCTION("""COMPUTED_VALUE"""),0.0)</f>
        <v>0</v>
      </c>
      <c r="X127" s="199">
        <f>IFERROR(__xludf.DUMMYFUNCTION("""COMPUTED_VALUE"""),3.0)</f>
        <v>3</v>
      </c>
      <c r="Y127" s="199">
        <f>IFERROR(__xludf.DUMMYFUNCTION("""COMPUTED_VALUE"""),0.0)</f>
        <v>0</v>
      </c>
      <c r="Z127" s="199">
        <f>IFERROR(__xludf.DUMMYFUNCTION("""COMPUTED_VALUE"""),0.0)</f>
        <v>0</v>
      </c>
      <c r="AA127" s="199">
        <f>IFERROR(__xludf.DUMMYFUNCTION("""COMPUTED_VALUE"""),0.0)</f>
        <v>0</v>
      </c>
      <c r="AB127" s="199">
        <f>IFERROR(__xludf.DUMMYFUNCTION("""COMPUTED_VALUE"""),4.0)</f>
        <v>4</v>
      </c>
      <c r="AC127" s="199">
        <f>IFERROR(__xludf.DUMMYFUNCTION("""COMPUTED_VALUE"""),0.0)</f>
        <v>0</v>
      </c>
      <c r="AD127" s="199">
        <f>IFERROR(__xludf.DUMMYFUNCTION("""COMPUTED_VALUE"""),0.0)</f>
        <v>0</v>
      </c>
      <c r="AE127" s="199">
        <f>IFERROR(__xludf.DUMMYFUNCTION("""COMPUTED_VALUE"""),66.0)</f>
        <v>66</v>
      </c>
      <c r="AF127" s="199">
        <f>IFERROR(__xludf.DUMMYFUNCTION("""COMPUTED_VALUE"""),2.0)</f>
        <v>2</v>
      </c>
      <c r="AG127" s="199">
        <f>IFERROR(__xludf.DUMMYFUNCTION("""COMPUTED_VALUE"""),344.0)</f>
        <v>344</v>
      </c>
      <c r="AH127" s="199">
        <f>IFERROR(__xludf.DUMMYFUNCTION("""COMPUTED_VALUE"""),519.0)</f>
        <v>519</v>
      </c>
      <c r="AI127" s="200" t="str">
        <f>IFERROR(__xludf.DUMMYFUNCTION("""COMPUTED_VALUE"""),"Normal")</f>
        <v>Normal</v>
      </c>
      <c r="AJ127" s="200" t="str">
        <f>IFERROR(__xludf.DUMMYFUNCTION("""COMPUTED_VALUE"""),"ISO Code 20/17/17. All parameters within acceptable limits. Continue routine monitoring.")</f>
        <v>ISO Code 20/17/17. All parameters within acceptable limits. Continue routine monitoring.</v>
      </c>
      <c r="AK127" s="204"/>
      <c r="AL127" s="204"/>
      <c r="AM127" s="204"/>
    </row>
    <row r="128" hidden="1">
      <c r="A128" s="199" t="str">
        <f>IFERROR(__xludf.DUMMYFUNCTION("""COMPUTED_VALUE"""),"111.BC330 (L2)")</f>
        <v>111.BC330 (L2)</v>
      </c>
      <c r="B128" s="200" t="str">
        <f>IFERROR(__xludf.DUMMYFUNCTION("""COMPUTED_VALUE"""),"Belt conveyor second left Gearbox")</f>
        <v>Belt conveyor second left Gearbox</v>
      </c>
      <c r="C128" s="199">
        <f>IFERROR(__xludf.DUMMYFUNCTION("""COMPUTED_VALUE"""),2.4211297243E10)</f>
        <v>24211297243</v>
      </c>
      <c r="D128" s="201">
        <f>IFERROR(__xludf.DUMMYFUNCTION("""COMPUTED_VALUE"""),45497.0)</f>
        <v>45497</v>
      </c>
      <c r="E128" s="202" t="str">
        <f>IFERROR(__xludf.DUMMYFUNCTION("""COMPUTED_VALUE"""),"Caution")</f>
        <v>Caution</v>
      </c>
      <c r="F128" s="202" t="str">
        <f>IFERROR(__xludf.DUMMYFUNCTION("""COMPUTED_VALUE"""),"Caution")</f>
        <v>Caution</v>
      </c>
      <c r="G128" s="203" t="str">
        <f>IFERROR(__xludf.DUMMYFUNCTION("""COMPUTED_VALUE"""),"Normal")</f>
        <v>Normal</v>
      </c>
      <c r="H128" s="203" t="str">
        <f>IFERROR(__xludf.DUMMYFUNCTION("""COMPUTED_VALUE"""),"Normal")</f>
        <v>Normal</v>
      </c>
      <c r="I128" s="199"/>
      <c r="J128" s="199"/>
      <c r="K128" s="199"/>
      <c r="L128" s="199">
        <f>IFERROR(__xludf.DUMMYFUNCTION("""COMPUTED_VALUE"""),8.0)</f>
        <v>8</v>
      </c>
      <c r="M128" s="199">
        <f>IFERROR(__xludf.DUMMYFUNCTION("""COMPUTED_VALUE"""),228.5)</f>
        <v>228.5</v>
      </c>
      <c r="N128" s="37"/>
      <c r="O128" s="37"/>
      <c r="P128" s="199">
        <f>IFERROR(__xludf.DUMMYFUNCTION("""COMPUTED_VALUE"""),0.05)</f>
        <v>0.05</v>
      </c>
      <c r="Q128" s="199">
        <f>IFERROR(__xludf.DUMMYFUNCTION("""COMPUTED_VALUE"""),0.0)</f>
        <v>0</v>
      </c>
      <c r="R128" s="199">
        <f>IFERROR(__xludf.DUMMYFUNCTION("""COMPUTED_VALUE"""),5.0)</f>
        <v>5</v>
      </c>
      <c r="S128" s="199">
        <f>IFERROR(__xludf.DUMMYFUNCTION("""COMPUTED_VALUE"""),4.0)</f>
        <v>4</v>
      </c>
      <c r="T128" s="199">
        <f>IFERROR(__xludf.DUMMYFUNCTION("""COMPUTED_VALUE"""),3.0)</f>
        <v>3</v>
      </c>
      <c r="U128" s="199">
        <f>IFERROR(__xludf.DUMMYFUNCTION("""COMPUTED_VALUE"""),10.0)</f>
        <v>10</v>
      </c>
      <c r="V128" s="199">
        <f>IFERROR(__xludf.DUMMYFUNCTION("""COMPUTED_VALUE"""),0.0)</f>
        <v>0</v>
      </c>
      <c r="W128" s="199">
        <f>IFERROR(__xludf.DUMMYFUNCTION("""COMPUTED_VALUE"""),0.0)</f>
        <v>0</v>
      </c>
      <c r="X128" s="199">
        <f>IFERROR(__xludf.DUMMYFUNCTION("""COMPUTED_VALUE"""),3.0)</f>
        <v>3</v>
      </c>
      <c r="Y128" s="199">
        <f>IFERROR(__xludf.DUMMYFUNCTION("""COMPUTED_VALUE"""),0.0)</f>
        <v>0</v>
      </c>
      <c r="Z128" s="199">
        <f>IFERROR(__xludf.DUMMYFUNCTION("""COMPUTED_VALUE"""),2.0)</f>
        <v>2</v>
      </c>
      <c r="AA128" s="199">
        <f>IFERROR(__xludf.DUMMYFUNCTION("""COMPUTED_VALUE"""),0.0)</f>
        <v>0</v>
      </c>
      <c r="AB128" s="199">
        <f>IFERROR(__xludf.DUMMYFUNCTION("""COMPUTED_VALUE"""),33.0)</f>
        <v>33</v>
      </c>
      <c r="AC128" s="199">
        <f>IFERROR(__xludf.DUMMYFUNCTION("""COMPUTED_VALUE"""),3.0)</f>
        <v>3</v>
      </c>
      <c r="AD128" s="199">
        <f>IFERROR(__xludf.DUMMYFUNCTION("""COMPUTED_VALUE"""),0.0)</f>
        <v>0</v>
      </c>
      <c r="AE128" s="199">
        <f>IFERROR(__xludf.DUMMYFUNCTION("""COMPUTED_VALUE"""),17.0)</f>
        <v>17</v>
      </c>
      <c r="AF128" s="199">
        <f>IFERROR(__xludf.DUMMYFUNCTION("""COMPUTED_VALUE"""),0.0)</f>
        <v>0</v>
      </c>
      <c r="AG128" s="199">
        <f>IFERROR(__xludf.DUMMYFUNCTION("""COMPUTED_VALUE"""),511.0)</f>
        <v>511</v>
      </c>
      <c r="AH128" s="199">
        <f>IFERROR(__xludf.DUMMYFUNCTION("""COMPUTED_VALUE"""),5.0)</f>
        <v>5</v>
      </c>
      <c r="AI128" s="200" t="str">
        <f>IFERROR(__xludf.DUMMYFUNCTION("""COMPUTED_VALUE"""),"Caution – Elevated Si / Pb / Cr / Water")</f>
        <v>Caution – Elevated Si / Pb / Cr / Water</v>
      </c>
      <c r="AJ128" s="200" t="str">
        <f>IFERROR(__xludf.DUMMYFUNCTION("""COMPUTED_VALUE"""),"Si 33 ppm, Pb 8 ppm, Cr 4 ppm, water 0.050 Vol%. TAN 1.30 mg KOH/g. Monitor trend. Inspect seals and filtration. Resample within 45 days. Particle count not available (visible sediment).")</f>
        <v>Si 33 ppm, Pb 8 ppm, Cr 4 ppm, water 0.050 Vol%. TAN 1.30 mg KOH/g. Monitor trend. Inspect seals and filtration. Resample within 45 days. Particle count not available (visible sediment).</v>
      </c>
      <c r="AK128" s="204"/>
      <c r="AL128" s="204"/>
      <c r="AM128" s="204"/>
    </row>
    <row r="129" hidden="1">
      <c r="A129" s="199" t="str">
        <f>IFERROR(__xludf.DUMMYFUNCTION("""COMPUTED_VALUE"""),"111.BC330 (R1)")</f>
        <v>111.BC330 (R1)</v>
      </c>
      <c r="B129" s="200" t="str">
        <f>IFERROR(__xludf.DUMMYFUNCTION("""COMPUTED_VALUE"""),"Belt conveyor first right Gearbox")</f>
        <v>Belt conveyor first right Gearbox</v>
      </c>
      <c r="C129" s="199">
        <f>IFERROR(__xludf.DUMMYFUNCTION("""COMPUTED_VALUE"""),2.4211297228E10)</f>
        <v>24211297228</v>
      </c>
      <c r="D129" s="201">
        <f>IFERROR(__xludf.DUMMYFUNCTION("""COMPUTED_VALUE"""),45497.0)</f>
        <v>45497</v>
      </c>
      <c r="E129" s="202" t="str">
        <f>IFERROR(__xludf.DUMMYFUNCTION("""COMPUTED_VALUE"""),"Alert")</f>
        <v>Alert</v>
      </c>
      <c r="F129" s="202" t="str">
        <f>IFERROR(__xludf.DUMMYFUNCTION("""COMPUTED_VALUE"""),"Alert")</f>
        <v>Alert</v>
      </c>
      <c r="G129" s="203" t="str">
        <f>IFERROR(__xludf.DUMMYFUNCTION("""COMPUTED_VALUE"""),"Normal")</f>
        <v>Normal</v>
      </c>
      <c r="H129" s="203" t="str">
        <f>IFERROR(__xludf.DUMMYFUNCTION("""COMPUTED_VALUE"""),"Normal")</f>
        <v>Normal</v>
      </c>
      <c r="I129" s="199"/>
      <c r="J129" s="199"/>
      <c r="K129" s="199"/>
      <c r="L129" s="199">
        <f>IFERROR(__xludf.DUMMYFUNCTION("""COMPUTED_VALUE"""),5.0)</f>
        <v>5</v>
      </c>
      <c r="M129" s="199">
        <f>IFERROR(__xludf.DUMMYFUNCTION("""COMPUTED_VALUE"""),225.3)</f>
        <v>225.3</v>
      </c>
      <c r="N129" s="37"/>
      <c r="O129" s="37"/>
      <c r="P129" s="199">
        <f>IFERROR(__xludf.DUMMYFUNCTION("""COMPUTED_VALUE"""),0.02)</f>
        <v>0.02</v>
      </c>
      <c r="Q129" s="199">
        <f>IFERROR(__xludf.DUMMYFUNCTION("""COMPUTED_VALUE"""),0.0)</f>
        <v>0</v>
      </c>
      <c r="R129" s="199">
        <f>IFERROR(__xludf.DUMMYFUNCTION("""COMPUTED_VALUE"""),7.0)</f>
        <v>7</v>
      </c>
      <c r="S129" s="199">
        <f>IFERROR(__xludf.DUMMYFUNCTION("""COMPUTED_VALUE"""),2.0)</f>
        <v>2</v>
      </c>
      <c r="T129" s="199">
        <f>IFERROR(__xludf.DUMMYFUNCTION("""COMPUTED_VALUE"""),3.0)</f>
        <v>3</v>
      </c>
      <c r="U129" s="199">
        <f>IFERROR(__xludf.DUMMYFUNCTION("""COMPUTED_VALUE"""),16.0)</f>
        <v>16</v>
      </c>
      <c r="V129" s="199">
        <f>IFERROR(__xludf.DUMMYFUNCTION("""COMPUTED_VALUE"""),2.0)</f>
        <v>2</v>
      </c>
      <c r="W129" s="199">
        <f>IFERROR(__xludf.DUMMYFUNCTION("""COMPUTED_VALUE"""),0.0)</f>
        <v>0</v>
      </c>
      <c r="X129" s="199">
        <f>IFERROR(__xludf.DUMMYFUNCTION("""COMPUTED_VALUE"""),3.0)</f>
        <v>3</v>
      </c>
      <c r="Y129" s="199">
        <f>IFERROR(__xludf.DUMMYFUNCTION("""COMPUTED_VALUE"""),0.0)</f>
        <v>0</v>
      </c>
      <c r="Z129" s="199">
        <f>IFERROR(__xludf.DUMMYFUNCTION("""COMPUTED_VALUE"""),0.0)</f>
        <v>0</v>
      </c>
      <c r="AA129" s="199">
        <f>IFERROR(__xludf.DUMMYFUNCTION("""COMPUTED_VALUE"""),0.0)</f>
        <v>0</v>
      </c>
      <c r="AB129" s="199">
        <f>IFERROR(__xludf.DUMMYFUNCTION("""COMPUTED_VALUE"""),49.0)</f>
        <v>49</v>
      </c>
      <c r="AC129" s="199">
        <f>IFERROR(__xludf.DUMMYFUNCTION("""COMPUTED_VALUE"""),5.0)</f>
        <v>5</v>
      </c>
      <c r="AD129" s="199">
        <f>IFERROR(__xludf.DUMMYFUNCTION("""COMPUTED_VALUE"""),0.0)</f>
        <v>0</v>
      </c>
      <c r="AE129" s="199">
        <f>IFERROR(__xludf.DUMMYFUNCTION("""COMPUTED_VALUE"""),20.0)</f>
        <v>20</v>
      </c>
      <c r="AF129" s="199">
        <f>IFERROR(__xludf.DUMMYFUNCTION("""COMPUTED_VALUE"""),3.0)</f>
        <v>3</v>
      </c>
      <c r="AG129" s="199">
        <f>IFERROR(__xludf.DUMMYFUNCTION("""COMPUTED_VALUE"""),547.0)</f>
        <v>547</v>
      </c>
      <c r="AH129" s="199">
        <f>IFERROR(__xludf.DUMMYFUNCTION("""COMPUTED_VALUE"""),26.0)</f>
        <v>26</v>
      </c>
      <c r="AI129" s="200" t="str">
        <f>IFERROR(__xludf.DUMMYFUNCTION("""COMPUTED_VALUE"""),"General Alert")</f>
        <v>General Alert</v>
      </c>
      <c r="AJ129" s="200" t="str">
        <f>IFERROR(__xludf.DUMMYFUNCTION("""COMPUTED_VALUE"""),"Elevated silicon - inspect filters and seals for contamination")</f>
        <v>Elevated silicon - inspect filters and seals for contamination</v>
      </c>
      <c r="AK129" s="204"/>
      <c r="AL129" s="204"/>
      <c r="AM129" s="204"/>
    </row>
    <row r="130" hidden="1">
      <c r="A130" s="199" t="str">
        <f>IFERROR(__xludf.DUMMYFUNCTION("""COMPUTED_VALUE"""),"321.RF090")</f>
        <v>321.RF090</v>
      </c>
      <c r="B130" s="200" t="str">
        <f>IFERROR(__xludf.DUMMYFUNCTION("""COMPUTED_VALUE"""),"Rotary feeder Gear Box")</f>
        <v>Rotary feeder Gear Box</v>
      </c>
      <c r="C130" s="199">
        <f>IFERROR(__xludf.DUMMYFUNCTION("""COMPUTED_VALUE"""),2.4211297239E10)</f>
        <v>24211297239</v>
      </c>
      <c r="D130" s="201">
        <f>IFERROR(__xludf.DUMMYFUNCTION("""COMPUTED_VALUE"""),45497.0)</f>
        <v>45497</v>
      </c>
      <c r="E130" s="202" t="str">
        <f>IFERROR(__xludf.DUMMYFUNCTION("""COMPUTED_VALUE"""),"Alert")</f>
        <v>Alert</v>
      </c>
      <c r="F130" s="202" t="str">
        <f>IFERROR(__xludf.DUMMYFUNCTION("""COMPUTED_VALUE"""),"Alert")</f>
        <v>Alert</v>
      </c>
      <c r="G130" s="203" t="str">
        <f>IFERROR(__xludf.DUMMYFUNCTION("""COMPUTED_VALUE"""),"Normal")</f>
        <v>Normal</v>
      </c>
      <c r="H130" s="203" t="str">
        <f>IFERROR(__xludf.DUMMYFUNCTION("""COMPUTED_VALUE"""),"Normal")</f>
        <v>Normal</v>
      </c>
      <c r="I130" s="199"/>
      <c r="J130" s="199"/>
      <c r="K130" s="199"/>
      <c r="L130" s="199">
        <f>IFERROR(__xludf.DUMMYFUNCTION("""COMPUTED_VALUE"""),30.0)</f>
        <v>30</v>
      </c>
      <c r="M130" s="199">
        <f>IFERROR(__xludf.DUMMYFUNCTION("""COMPUTED_VALUE"""),92.6)</f>
        <v>92.6</v>
      </c>
      <c r="N130" s="199"/>
      <c r="O130" s="199"/>
      <c r="P130" s="199">
        <f>IFERROR(__xludf.DUMMYFUNCTION("""COMPUTED_VALUE"""),0.1)</f>
        <v>0.1</v>
      </c>
      <c r="Q130" s="199">
        <f>IFERROR(__xludf.DUMMYFUNCTION("""COMPUTED_VALUE"""),0.0)</f>
        <v>0</v>
      </c>
      <c r="R130" s="199">
        <f>IFERROR(__xludf.DUMMYFUNCTION("""COMPUTED_VALUE"""),6.0)</f>
        <v>6</v>
      </c>
      <c r="S130" s="199">
        <f>IFERROR(__xludf.DUMMYFUNCTION("""COMPUTED_VALUE"""),0.0)</f>
        <v>0</v>
      </c>
      <c r="T130" s="199">
        <f>IFERROR(__xludf.DUMMYFUNCTION("""COMPUTED_VALUE"""),4.0)</f>
        <v>4</v>
      </c>
      <c r="U130" s="199">
        <f>IFERROR(__xludf.DUMMYFUNCTION("""COMPUTED_VALUE"""),34.0)</f>
        <v>34</v>
      </c>
      <c r="V130" s="199">
        <f>IFERROR(__xludf.DUMMYFUNCTION("""COMPUTED_VALUE"""),0.0)</f>
        <v>0</v>
      </c>
      <c r="W130" s="199">
        <f>IFERROR(__xludf.DUMMYFUNCTION("""COMPUTED_VALUE"""),0.0)</f>
        <v>0</v>
      </c>
      <c r="X130" s="199">
        <f>IFERROR(__xludf.DUMMYFUNCTION("""COMPUTED_VALUE"""),3.0)</f>
        <v>3</v>
      </c>
      <c r="Y130" s="199">
        <f>IFERROR(__xludf.DUMMYFUNCTION("""COMPUTED_VALUE"""),5.0)</f>
        <v>5</v>
      </c>
      <c r="Z130" s="199">
        <f>IFERROR(__xludf.DUMMYFUNCTION("""COMPUTED_VALUE"""),0.0)</f>
        <v>0</v>
      </c>
      <c r="AA130" s="199">
        <f>IFERROR(__xludf.DUMMYFUNCTION("""COMPUTED_VALUE"""),0.0)</f>
        <v>0</v>
      </c>
      <c r="AB130" s="199">
        <f>IFERROR(__xludf.DUMMYFUNCTION("""COMPUTED_VALUE"""),2.0)</f>
        <v>2</v>
      </c>
      <c r="AC130" s="199">
        <f>IFERROR(__xludf.DUMMYFUNCTION("""COMPUTED_VALUE"""),2.0)</f>
        <v>2</v>
      </c>
      <c r="AD130" s="199">
        <f>IFERROR(__xludf.DUMMYFUNCTION("""COMPUTED_VALUE"""),0.0)</f>
        <v>0</v>
      </c>
      <c r="AE130" s="199">
        <f>IFERROR(__xludf.DUMMYFUNCTION("""COMPUTED_VALUE"""),36.0)</f>
        <v>36</v>
      </c>
      <c r="AF130" s="199">
        <f>IFERROR(__xludf.DUMMYFUNCTION("""COMPUTED_VALUE"""),5.0)</f>
        <v>5</v>
      </c>
      <c r="AG130" s="199">
        <f>IFERROR(__xludf.DUMMYFUNCTION("""COMPUTED_VALUE"""),547.0)</f>
        <v>547</v>
      </c>
      <c r="AH130" s="199">
        <f>IFERROR(__xludf.DUMMYFUNCTION("""COMPUTED_VALUE"""),11.0)</f>
        <v>11</v>
      </c>
      <c r="AI130" s="200" t="str">
        <f>IFERROR(__xludf.DUMMYFUNCTION("""COMPUTED_VALUE"""),"General Alert")</f>
        <v>General Alert</v>
      </c>
      <c r="AJ130" s="200" t="str">
        <f>IFERROR(__xludf.DUMMYFUNCTION("""COMPUTED_VALUE"""),"Investigate root cause; increase sampling frequency to monthly")</f>
        <v>Investigate root cause; increase sampling frequency to monthly</v>
      </c>
      <c r="AK130" s="204"/>
      <c r="AL130" s="204"/>
      <c r="AM130" s="204"/>
    </row>
    <row r="131" hidden="1">
      <c r="A131" s="199" t="str">
        <f>IFERROR(__xludf.DUMMYFUNCTION("""COMPUTED_VALUE"""),"R2.332.FN110(Fr.B.)")</f>
        <v>R2.332.FN110(Fr.B.)</v>
      </c>
      <c r="B131" s="200" t="str">
        <f>IFERROR(__xludf.DUMMYFUNCTION("""COMPUTED_VALUE"""),"ID fan free bearing line 2")</f>
        <v>ID fan free bearing line 2</v>
      </c>
      <c r="C131" s="199">
        <f>IFERROR(__xludf.DUMMYFUNCTION("""COMPUTED_VALUE"""),2.4211297241E10)</f>
        <v>24211297241</v>
      </c>
      <c r="D131" s="201">
        <f>IFERROR(__xludf.DUMMYFUNCTION("""COMPUTED_VALUE"""),45497.0)</f>
        <v>45497</v>
      </c>
      <c r="E131" s="202" t="str">
        <f>IFERROR(__xludf.DUMMYFUNCTION("""COMPUTED_VALUE"""),"Normal")</f>
        <v>Normal</v>
      </c>
      <c r="F131" s="202" t="str">
        <f>IFERROR(__xludf.DUMMYFUNCTION("""COMPUTED_VALUE"""),"Normal")</f>
        <v>Normal</v>
      </c>
      <c r="G131" s="203" t="str">
        <f>IFERROR(__xludf.DUMMYFUNCTION("""COMPUTED_VALUE"""),"Normal")</f>
        <v>Normal</v>
      </c>
      <c r="H131" s="203" t="str">
        <f>IFERROR(__xludf.DUMMYFUNCTION("""COMPUTED_VALUE"""),"Normal")</f>
        <v>Normal</v>
      </c>
      <c r="I131" s="199">
        <f>IFERROR(__xludf.DUMMYFUNCTION("""COMPUTED_VALUE"""),4852.0)</f>
        <v>4852</v>
      </c>
      <c r="J131" s="199">
        <f>IFERROR(__xludf.DUMMYFUNCTION("""COMPUTED_VALUE"""),1033.0)</f>
        <v>1033</v>
      </c>
      <c r="K131" s="199">
        <f>IFERROR(__xludf.DUMMYFUNCTION("""COMPUTED_VALUE"""),352.0)</f>
        <v>352</v>
      </c>
      <c r="L131" s="199">
        <f>IFERROR(__xludf.DUMMYFUNCTION("""COMPUTED_VALUE"""),3.0)</f>
        <v>3</v>
      </c>
      <c r="M131" s="199">
        <f>IFERROR(__xludf.DUMMYFUNCTION("""COMPUTED_VALUE"""),65.3)</f>
        <v>65.3</v>
      </c>
      <c r="N131" s="199"/>
      <c r="O131" s="199">
        <f>IFERROR(__xludf.DUMMYFUNCTION("""COMPUTED_VALUE"""),0.0)</f>
        <v>0</v>
      </c>
      <c r="P131" s="199">
        <f>IFERROR(__xludf.DUMMYFUNCTION("""COMPUTED_VALUE"""),0.003)</f>
        <v>0.003</v>
      </c>
      <c r="Q131" s="199">
        <f>IFERROR(__xludf.DUMMYFUNCTION("""COMPUTED_VALUE"""),0.0)</f>
        <v>0</v>
      </c>
      <c r="R131" s="199">
        <f>IFERROR(__xludf.DUMMYFUNCTION("""COMPUTED_VALUE"""),5.0)</f>
        <v>5</v>
      </c>
      <c r="S131" s="199">
        <f>IFERROR(__xludf.DUMMYFUNCTION("""COMPUTED_VALUE"""),4.0)</f>
        <v>4</v>
      </c>
      <c r="T131" s="199">
        <f>IFERROR(__xludf.DUMMYFUNCTION("""COMPUTED_VALUE"""),3.0)</f>
        <v>3</v>
      </c>
      <c r="U131" s="199">
        <f>IFERROR(__xludf.DUMMYFUNCTION("""COMPUTED_VALUE"""),3.0)</f>
        <v>3</v>
      </c>
      <c r="V131" s="199">
        <f>IFERROR(__xludf.DUMMYFUNCTION("""COMPUTED_VALUE"""),0.0)</f>
        <v>0</v>
      </c>
      <c r="W131" s="199">
        <f>IFERROR(__xludf.DUMMYFUNCTION("""COMPUTED_VALUE"""),0.0)</f>
        <v>0</v>
      </c>
      <c r="X131" s="199">
        <f>IFERROR(__xludf.DUMMYFUNCTION("""COMPUTED_VALUE"""),2.0)</f>
        <v>2</v>
      </c>
      <c r="Y131" s="199">
        <f>IFERROR(__xludf.DUMMYFUNCTION("""COMPUTED_VALUE"""),0.0)</f>
        <v>0</v>
      </c>
      <c r="Z131" s="199">
        <f>IFERROR(__xludf.DUMMYFUNCTION("""COMPUTED_VALUE"""),0.0)</f>
        <v>0</v>
      </c>
      <c r="AA131" s="199">
        <f>IFERROR(__xludf.DUMMYFUNCTION("""COMPUTED_VALUE"""),0.0)</f>
        <v>0</v>
      </c>
      <c r="AB131" s="199">
        <f>IFERROR(__xludf.DUMMYFUNCTION("""COMPUTED_VALUE"""),9.0)</f>
        <v>9</v>
      </c>
      <c r="AC131" s="199">
        <f>IFERROR(__xludf.DUMMYFUNCTION("""COMPUTED_VALUE"""),4.0)</f>
        <v>4</v>
      </c>
      <c r="AD131" s="199">
        <f>IFERROR(__xludf.DUMMYFUNCTION("""COMPUTED_VALUE"""),0.0)</f>
        <v>0</v>
      </c>
      <c r="AE131" s="199">
        <f>IFERROR(__xludf.DUMMYFUNCTION("""COMPUTED_VALUE"""),17.0)</f>
        <v>17</v>
      </c>
      <c r="AF131" s="199">
        <f>IFERROR(__xludf.DUMMYFUNCTION("""COMPUTED_VALUE"""),2.0)</f>
        <v>2</v>
      </c>
      <c r="AG131" s="199">
        <f>IFERROR(__xludf.DUMMYFUNCTION("""COMPUTED_VALUE"""),39.0)</f>
        <v>39</v>
      </c>
      <c r="AH131" s="199">
        <f>IFERROR(__xludf.DUMMYFUNCTION("""COMPUTED_VALUE"""),34.0)</f>
        <v>34</v>
      </c>
      <c r="AI131" s="200" t="str">
        <f>IFERROR(__xludf.DUMMYFUNCTION("""COMPUTED_VALUE"""),"Normal - No Action Required")</f>
        <v>Normal - No Action Required</v>
      </c>
      <c r="AJ131" s="200" t="str">
        <f>IFERROR(__xludf.DUMMYFUNCTION("""COMPUTED_VALUE"""),"Continue routine monitoring and sampling schedule")</f>
        <v>Continue routine monitoring and sampling schedule</v>
      </c>
      <c r="AK131" s="204"/>
      <c r="AL131" s="204"/>
      <c r="AM131" s="204"/>
    </row>
    <row r="132" hidden="1">
      <c r="A132" s="199" t="str">
        <f>IFERROR(__xludf.DUMMYFUNCTION("""COMPUTED_VALUE"""),"R2.332.FN110(Fx.B.)")</f>
        <v>R2.332.FN110(Fx.B.)</v>
      </c>
      <c r="B132" s="200" t="str">
        <f>IFERROR(__xludf.DUMMYFUNCTION("""COMPUTED_VALUE"""),"ID fan fixed bearing")</f>
        <v>ID fan fixed bearing</v>
      </c>
      <c r="C132" s="199">
        <f>IFERROR(__xludf.DUMMYFUNCTION("""COMPUTED_VALUE"""),2.4211297245E10)</f>
        <v>24211297245</v>
      </c>
      <c r="D132" s="201">
        <f>IFERROR(__xludf.DUMMYFUNCTION("""COMPUTED_VALUE"""),45497.0)</f>
        <v>45497</v>
      </c>
      <c r="E132" s="202" t="str">
        <f>IFERROR(__xludf.DUMMYFUNCTION("""COMPUTED_VALUE"""),"Alert")</f>
        <v>Alert</v>
      </c>
      <c r="F132" s="202" t="str">
        <f>IFERROR(__xludf.DUMMYFUNCTION("""COMPUTED_VALUE"""),"Alert")</f>
        <v>Alert</v>
      </c>
      <c r="G132" s="203" t="str">
        <f>IFERROR(__xludf.DUMMYFUNCTION("""COMPUTED_VALUE"""),"Normal")</f>
        <v>Normal</v>
      </c>
      <c r="H132" s="203" t="str">
        <f>IFERROR(__xludf.DUMMYFUNCTION("""COMPUTED_VALUE"""),"Normal")</f>
        <v>Normal</v>
      </c>
      <c r="I132" s="199">
        <f>IFERROR(__xludf.DUMMYFUNCTION("""COMPUTED_VALUE"""),3682.0)</f>
        <v>3682</v>
      </c>
      <c r="J132" s="199">
        <f>IFERROR(__xludf.DUMMYFUNCTION("""COMPUTED_VALUE"""),937.0)</f>
        <v>937</v>
      </c>
      <c r="K132" s="199">
        <f>IFERROR(__xludf.DUMMYFUNCTION("""COMPUTED_VALUE"""),265.0)</f>
        <v>265</v>
      </c>
      <c r="L132" s="199">
        <f>IFERROR(__xludf.DUMMYFUNCTION("""COMPUTED_VALUE"""),2.0)</f>
        <v>2</v>
      </c>
      <c r="M132" s="199">
        <f>IFERROR(__xludf.DUMMYFUNCTION("""COMPUTED_VALUE"""),65.4)</f>
        <v>65.4</v>
      </c>
      <c r="N132" s="199"/>
      <c r="O132" s="199">
        <f>IFERROR(__xludf.DUMMYFUNCTION("""COMPUTED_VALUE"""),0.0)</f>
        <v>0</v>
      </c>
      <c r="P132" s="199">
        <f>IFERROR(__xludf.DUMMYFUNCTION("""COMPUTED_VALUE"""),0.003)</f>
        <v>0.003</v>
      </c>
      <c r="Q132" s="199">
        <f>IFERROR(__xludf.DUMMYFUNCTION("""COMPUTED_VALUE"""),0.0)</f>
        <v>0</v>
      </c>
      <c r="R132" s="199">
        <f>IFERROR(__xludf.DUMMYFUNCTION("""COMPUTED_VALUE"""),5.0)</f>
        <v>5</v>
      </c>
      <c r="S132" s="199">
        <f>IFERROR(__xludf.DUMMYFUNCTION("""COMPUTED_VALUE"""),3.0)</f>
        <v>3</v>
      </c>
      <c r="T132" s="199">
        <f>IFERROR(__xludf.DUMMYFUNCTION("""COMPUTED_VALUE"""),0.0)</f>
        <v>0</v>
      </c>
      <c r="U132" s="199">
        <f>IFERROR(__xludf.DUMMYFUNCTION("""COMPUTED_VALUE"""),15.0)</f>
        <v>15</v>
      </c>
      <c r="V132" s="199">
        <f>IFERROR(__xludf.DUMMYFUNCTION("""COMPUTED_VALUE"""),0.0)</f>
        <v>0</v>
      </c>
      <c r="W132" s="199">
        <f>IFERROR(__xludf.DUMMYFUNCTION("""COMPUTED_VALUE"""),0.0)</f>
        <v>0</v>
      </c>
      <c r="X132" s="199">
        <f>IFERROR(__xludf.DUMMYFUNCTION("""COMPUTED_VALUE"""),1.0)</f>
        <v>1</v>
      </c>
      <c r="Y132" s="199">
        <f>IFERROR(__xludf.DUMMYFUNCTION("""COMPUTED_VALUE"""),0.0)</f>
        <v>0</v>
      </c>
      <c r="Z132" s="199">
        <f>IFERROR(__xludf.DUMMYFUNCTION("""COMPUTED_VALUE"""),0.0)</f>
        <v>0</v>
      </c>
      <c r="AA132" s="199">
        <f>IFERROR(__xludf.DUMMYFUNCTION("""COMPUTED_VALUE"""),0.0)</f>
        <v>0</v>
      </c>
      <c r="AB132" s="199">
        <f>IFERROR(__xludf.DUMMYFUNCTION("""COMPUTED_VALUE"""),0.0)</f>
        <v>0</v>
      </c>
      <c r="AC132" s="199">
        <f>IFERROR(__xludf.DUMMYFUNCTION("""COMPUTED_VALUE"""),18.0)</f>
        <v>18</v>
      </c>
      <c r="AD132" s="199">
        <f>IFERROR(__xludf.DUMMYFUNCTION("""COMPUTED_VALUE"""),0.0)</f>
        <v>0</v>
      </c>
      <c r="AE132" s="199">
        <f>IFERROR(__xludf.DUMMYFUNCTION("""COMPUTED_VALUE"""),37.0)</f>
        <v>37</v>
      </c>
      <c r="AF132" s="199">
        <f>IFERROR(__xludf.DUMMYFUNCTION("""COMPUTED_VALUE"""),2.0)</f>
        <v>2</v>
      </c>
      <c r="AG132" s="199">
        <f>IFERROR(__xludf.DUMMYFUNCTION("""COMPUTED_VALUE"""),38.0)</f>
        <v>38</v>
      </c>
      <c r="AH132" s="199">
        <f>IFERROR(__xludf.DUMMYFUNCTION("""COMPUTED_VALUE"""),22.0)</f>
        <v>22</v>
      </c>
      <c r="AI132" s="200" t="str">
        <f>IFERROR(__xludf.DUMMYFUNCTION("""COMPUTED_VALUE"""),"General Alert")</f>
        <v>General Alert</v>
      </c>
      <c r="AJ132" s="200" t="str">
        <f>IFERROR(__xludf.DUMMYFUNCTION("""COMPUTED_VALUE"""),"Investigate root cause; increase sampling frequency to monthly")</f>
        <v>Investigate root cause; increase sampling frequency to monthly</v>
      </c>
      <c r="AK132" s="204"/>
      <c r="AL132" s="204"/>
      <c r="AM132" s="204"/>
    </row>
    <row r="133" hidden="1">
      <c r="A133" s="199" t="str">
        <f>IFERROR(__xludf.DUMMYFUNCTION("""COMPUTED_VALUE"""),"111.BC330 (L1)")</f>
        <v>111.BC330 (L1)</v>
      </c>
      <c r="B133" s="200" t="str">
        <f>IFERROR(__xludf.DUMMYFUNCTION("""COMPUTED_VALUE"""),"Belt conveyor first left Gearbox")</f>
        <v>Belt conveyor first left Gearbox</v>
      </c>
      <c r="C133" s="199">
        <f>IFERROR(__xludf.DUMMYFUNCTION("""COMPUTED_VALUE"""),2.4211297229E10)</f>
        <v>24211297229</v>
      </c>
      <c r="D133" s="201">
        <f>IFERROR(__xludf.DUMMYFUNCTION("""COMPUTED_VALUE"""),45497.0)</f>
        <v>45497</v>
      </c>
      <c r="E133" s="202" t="str">
        <f>IFERROR(__xludf.DUMMYFUNCTION("""COMPUTED_VALUE"""),"Caution")</f>
        <v>Caution</v>
      </c>
      <c r="F133" s="202" t="str">
        <f>IFERROR(__xludf.DUMMYFUNCTION("""COMPUTED_VALUE"""),"Caution")</f>
        <v>Caution</v>
      </c>
      <c r="G133" s="203" t="str">
        <f>IFERROR(__xludf.DUMMYFUNCTION("""COMPUTED_VALUE"""),"Normal")</f>
        <v>Normal</v>
      </c>
      <c r="H133" s="203" t="str">
        <f>IFERROR(__xludf.DUMMYFUNCTION("""COMPUTED_VALUE"""),"Normal")</f>
        <v>Normal</v>
      </c>
      <c r="I133" s="199"/>
      <c r="J133" s="199"/>
      <c r="K133" s="199"/>
      <c r="L133" s="199">
        <f>IFERROR(__xludf.DUMMYFUNCTION("""COMPUTED_VALUE"""),7.0)</f>
        <v>7</v>
      </c>
      <c r="M133" s="199">
        <f>IFERROR(__xludf.DUMMYFUNCTION("""COMPUTED_VALUE"""),230.3)</f>
        <v>230.3</v>
      </c>
      <c r="N133" s="199"/>
      <c r="O133" s="199"/>
      <c r="P133" s="199">
        <f>IFERROR(__xludf.DUMMYFUNCTION("""COMPUTED_VALUE"""),0.05)</f>
        <v>0.05</v>
      </c>
      <c r="Q133" s="199">
        <f>IFERROR(__xludf.DUMMYFUNCTION("""COMPUTED_VALUE"""),0.0)</f>
        <v>0</v>
      </c>
      <c r="R133" s="199">
        <f>IFERROR(__xludf.DUMMYFUNCTION("""COMPUTED_VALUE"""),5.0)</f>
        <v>5</v>
      </c>
      <c r="S133" s="199">
        <f>IFERROR(__xludf.DUMMYFUNCTION("""COMPUTED_VALUE"""),4.0)</f>
        <v>4</v>
      </c>
      <c r="T133" s="199">
        <f>IFERROR(__xludf.DUMMYFUNCTION("""COMPUTED_VALUE"""),3.0)</f>
        <v>3</v>
      </c>
      <c r="U133" s="199">
        <f>IFERROR(__xludf.DUMMYFUNCTION("""COMPUTED_VALUE"""),13.0)</f>
        <v>13</v>
      </c>
      <c r="V133" s="199">
        <f>IFERROR(__xludf.DUMMYFUNCTION("""COMPUTED_VALUE"""),0.0)</f>
        <v>0</v>
      </c>
      <c r="W133" s="199">
        <f>IFERROR(__xludf.DUMMYFUNCTION("""COMPUTED_VALUE"""),0.0)</f>
        <v>0</v>
      </c>
      <c r="X133" s="199">
        <f>IFERROR(__xludf.DUMMYFUNCTION("""COMPUTED_VALUE"""),3.0)</f>
        <v>3</v>
      </c>
      <c r="Y133" s="199">
        <f>IFERROR(__xludf.DUMMYFUNCTION("""COMPUTED_VALUE"""),0.0)</f>
        <v>0</v>
      </c>
      <c r="Z133" s="199">
        <f>IFERROR(__xludf.DUMMYFUNCTION("""COMPUTED_VALUE"""),0.0)</f>
        <v>0</v>
      </c>
      <c r="AA133" s="199">
        <f>IFERROR(__xludf.DUMMYFUNCTION("""COMPUTED_VALUE"""),0.0)</f>
        <v>0</v>
      </c>
      <c r="AB133" s="199">
        <f>IFERROR(__xludf.DUMMYFUNCTION("""COMPUTED_VALUE"""),42.0)</f>
        <v>42</v>
      </c>
      <c r="AC133" s="199">
        <f>IFERROR(__xludf.DUMMYFUNCTION("""COMPUTED_VALUE"""),2.0)</f>
        <v>2</v>
      </c>
      <c r="AD133" s="199">
        <f>IFERROR(__xludf.DUMMYFUNCTION("""COMPUTED_VALUE"""),0.0)</f>
        <v>0</v>
      </c>
      <c r="AE133" s="199">
        <f>IFERROR(__xludf.DUMMYFUNCTION("""COMPUTED_VALUE"""),12.0)</f>
        <v>12</v>
      </c>
      <c r="AF133" s="199">
        <f>IFERROR(__xludf.DUMMYFUNCTION("""COMPUTED_VALUE"""),2.0)</f>
        <v>2</v>
      </c>
      <c r="AG133" s="199">
        <f>IFERROR(__xludf.DUMMYFUNCTION("""COMPUTED_VALUE"""),550.0)</f>
        <v>550</v>
      </c>
      <c r="AH133" s="199">
        <f>IFERROR(__xludf.DUMMYFUNCTION("""COMPUTED_VALUE"""),5.0)</f>
        <v>5</v>
      </c>
      <c r="AI133" s="200" t="str">
        <f>IFERROR(__xludf.DUMMYFUNCTION("""COMPUTED_VALUE"""),"Contamination Caution")</f>
        <v>Contamination Caution</v>
      </c>
      <c r="AJ133" s="200" t="str">
        <f>IFERROR(__xludf.DUMMYFUNCTION("""COMPUTED_VALUE"""),"Silicon elevated - check air filtration and seals")</f>
        <v>Silicon elevated - check air filtration and seals</v>
      </c>
      <c r="AK133" s="204"/>
      <c r="AL133" s="204"/>
      <c r="AM133" s="204"/>
    </row>
    <row r="134" hidden="1">
      <c r="A134" s="199" t="str">
        <f>IFERROR(__xludf.DUMMYFUNCTION("""COMPUTED_VALUE"""),"111.BC330 (R2)")</f>
        <v>111.BC330 (R2)</v>
      </c>
      <c r="B134" s="200" t="str">
        <f>IFERROR(__xludf.DUMMYFUNCTION("""COMPUTED_VALUE"""),"Belt conveyor second right Gearbox")</f>
        <v>Belt conveyor second right Gearbox</v>
      </c>
      <c r="C134" s="199">
        <f>IFERROR(__xludf.DUMMYFUNCTION("""COMPUTED_VALUE"""),2.4211297244E10)</f>
        <v>24211297244</v>
      </c>
      <c r="D134" s="201">
        <f>IFERROR(__xludf.DUMMYFUNCTION("""COMPUTED_VALUE"""),45497.0)</f>
        <v>45497</v>
      </c>
      <c r="E134" s="202" t="str">
        <f>IFERROR(__xludf.DUMMYFUNCTION("""COMPUTED_VALUE"""),"Caution")</f>
        <v>Caution</v>
      </c>
      <c r="F134" s="202" t="str">
        <f>IFERROR(__xludf.DUMMYFUNCTION("""COMPUTED_VALUE"""),"Caution")</f>
        <v>Caution</v>
      </c>
      <c r="G134" s="203" t="str">
        <f>IFERROR(__xludf.DUMMYFUNCTION("""COMPUTED_VALUE"""),"Normal")</f>
        <v>Normal</v>
      </c>
      <c r="H134" s="203" t="str">
        <f>IFERROR(__xludf.DUMMYFUNCTION("""COMPUTED_VALUE"""),"Normal")</f>
        <v>Normal</v>
      </c>
      <c r="I134" s="199"/>
      <c r="J134" s="199"/>
      <c r="K134" s="199"/>
      <c r="L134" s="199">
        <f>IFERROR(__xludf.DUMMYFUNCTION("""COMPUTED_VALUE"""),18.0)</f>
        <v>18</v>
      </c>
      <c r="M134" s="199">
        <f>IFERROR(__xludf.DUMMYFUNCTION("""COMPUTED_VALUE"""),224.9)</f>
        <v>224.9</v>
      </c>
      <c r="N134" s="199"/>
      <c r="O134" s="199"/>
      <c r="P134" s="199">
        <f>IFERROR(__xludf.DUMMYFUNCTION("""COMPUTED_VALUE"""),0.05)</f>
        <v>0.05</v>
      </c>
      <c r="Q134" s="199">
        <f>IFERROR(__xludf.DUMMYFUNCTION("""COMPUTED_VALUE"""),0.0)</f>
        <v>0</v>
      </c>
      <c r="R134" s="199">
        <f>IFERROR(__xludf.DUMMYFUNCTION("""COMPUTED_VALUE"""),4.0)</f>
        <v>4</v>
      </c>
      <c r="S134" s="199">
        <f>IFERROR(__xludf.DUMMYFUNCTION("""COMPUTED_VALUE"""),4.0)</f>
        <v>4</v>
      </c>
      <c r="T134" s="199">
        <f>IFERROR(__xludf.DUMMYFUNCTION("""COMPUTED_VALUE"""),3.0)</f>
        <v>3</v>
      </c>
      <c r="U134" s="199">
        <f>IFERROR(__xludf.DUMMYFUNCTION("""COMPUTED_VALUE"""),5.0)</f>
        <v>5</v>
      </c>
      <c r="V134" s="199">
        <f>IFERROR(__xludf.DUMMYFUNCTION("""COMPUTED_VALUE"""),0.0)</f>
        <v>0</v>
      </c>
      <c r="W134" s="199">
        <f>IFERROR(__xludf.DUMMYFUNCTION("""COMPUTED_VALUE"""),0.0)</f>
        <v>0</v>
      </c>
      <c r="X134" s="199">
        <f>IFERROR(__xludf.DUMMYFUNCTION("""COMPUTED_VALUE"""),3.0)</f>
        <v>3</v>
      </c>
      <c r="Y134" s="199">
        <f>IFERROR(__xludf.DUMMYFUNCTION("""COMPUTED_VALUE"""),0.0)</f>
        <v>0</v>
      </c>
      <c r="Z134" s="199">
        <f>IFERROR(__xludf.DUMMYFUNCTION("""COMPUTED_VALUE"""),0.0)</f>
        <v>0</v>
      </c>
      <c r="AA134" s="199">
        <f>IFERROR(__xludf.DUMMYFUNCTION("""COMPUTED_VALUE"""),0.0)</f>
        <v>0</v>
      </c>
      <c r="AB134" s="199">
        <f>IFERROR(__xludf.DUMMYFUNCTION("""COMPUTED_VALUE"""),23.0)</f>
        <v>23</v>
      </c>
      <c r="AC134" s="199">
        <f>IFERROR(__xludf.DUMMYFUNCTION("""COMPUTED_VALUE"""),5.0)</f>
        <v>5</v>
      </c>
      <c r="AD134" s="199">
        <f>IFERROR(__xludf.DUMMYFUNCTION("""COMPUTED_VALUE"""),0.0)</f>
        <v>0</v>
      </c>
      <c r="AE134" s="199">
        <f>IFERROR(__xludf.DUMMYFUNCTION("""COMPUTED_VALUE"""),9.0)</f>
        <v>9</v>
      </c>
      <c r="AF134" s="199">
        <f>IFERROR(__xludf.DUMMYFUNCTION("""COMPUTED_VALUE"""),5.0)</f>
        <v>5</v>
      </c>
      <c r="AG134" s="199">
        <f>IFERROR(__xludf.DUMMYFUNCTION("""COMPUTED_VALUE"""),510.0)</f>
        <v>510</v>
      </c>
      <c r="AH134" s="199">
        <f>IFERROR(__xludf.DUMMYFUNCTION("""COMPUTED_VALUE"""),6.0)</f>
        <v>6</v>
      </c>
      <c r="AI134" s="200" t="str">
        <f>IFERROR(__xludf.DUMMYFUNCTION("""COMPUTED_VALUE"""),"Contamination Caution")</f>
        <v>Contamination Caution</v>
      </c>
      <c r="AJ134" s="200" t="str">
        <f>IFERROR(__xludf.DUMMYFUNCTION("""COMPUTED_VALUE"""),"Silicon elevated - check air filtration and seals")</f>
        <v>Silicon elevated - check air filtration and seals</v>
      </c>
      <c r="AK134" s="204"/>
      <c r="AL134" s="204"/>
      <c r="AM134" s="204"/>
    </row>
    <row r="135" hidden="1">
      <c r="A135" s="199" t="str">
        <f>IFERROR(__xludf.DUMMYFUNCTION("""COMPUTED_VALUE"""),"531.MD302")</f>
        <v>531.MD302</v>
      </c>
      <c r="B135" s="200" t="str">
        <f>IFERROR(__xludf.DUMMYFUNCTION("""COMPUTED_VALUE"""),"Cement Mill #1 Separator GB")</f>
        <v>Cement Mill #1 Separator GB</v>
      </c>
      <c r="C135" s="199">
        <f>IFERROR(__xludf.DUMMYFUNCTION("""COMPUTED_VALUE"""),2.4211297234E10)</f>
        <v>24211297234</v>
      </c>
      <c r="D135" s="201">
        <f>IFERROR(__xludf.DUMMYFUNCTION("""COMPUTED_VALUE"""),45497.0)</f>
        <v>45497</v>
      </c>
      <c r="E135" s="202" t="str">
        <f>IFERROR(__xludf.DUMMYFUNCTION("""COMPUTED_VALUE"""),"Alert")</f>
        <v>Alert</v>
      </c>
      <c r="F135" s="202" t="str">
        <f>IFERROR(__xludf.DUMMYFUNCTION("""COMPUTED_VALUE"""),"Alert")</f>
        <v>Alert</v>
      </c>
      <c r="G135" s="203" t="str">
        <f>IFERROR(__xludf.DUMMYFUNCTION("""COMPUTED_VALUE"""),"Caution")</f>
        <v>Caution</v>
      </c>
      <c r="H135" s="203" t="str">
        <f>IFERROR(__xludf.DUMMYFUNCTION("""COMPUTED_VALUE"""),"Alert")</f>
        <v>Alert</v>
      </c>
      <c r="I135" s="37"/>
      <c r="J135" s="37"/>
      <c r="K135" s="37"/>
      <c r="L135" s="199">
        <f>IFERROR(__xludf.DUMMYFUNCTION("""COMPUTED_VALUE"""),8.0)</f>
        <v>8</v>
      </c>
      <c r="M135" s="199">
        <f>IFERROR(__xludf.DUMMYFUNCTION("""COMPUTED_VALUE"""),153.7)</f>
        <v>153.7</v>
      </c>
      <c r="N135" s="199"/>
      <c r="O135" s="199"/>
      <c r="P135" s="199">
        <f>IFERROR(__xludf.DUMMYFUNCTION("""COMPUTED_VALUE"""),0.22)</f>
        <v>0.22</v>
      </c>
      <c r="Q135" s="199">
        <f>IFERROR(__xludf.DUMMYFUNCTION("""COMPUTED_VALUE"""),0.0)</f>
        <v>0</v>
      </c>
      <c r="R135" s="199">
        <f>IFERROR(__xludf.DUMMYFUNCTION("""COMPUTED_VALUE"""),23.0)</f>
        <v>23</v>
      </c>
      <c r="S135" s="199">
        <f>IFERROR(__xludf.DUMMYFUNCTION("""COMPUTED_VALUE"""),7.0)</f>
        <v>7</v>
      </c>
      <c r="T135" s="199">
        <f>IFERROR(__xludf.DUMMYFUNCTION("""COMPUTED_VALUE"""),3.0)</f>
        <v>3</v>
      </c>
      <c r="U135" s="199">
        <f>IFERROR(__xludf.DUMMYFUNCTION("""COMPUTED_VALUE"""),43.0)</f>
        <v>43</v>
      </c>
      <c r="V135" s="199">
        <f>IFERROR(__xludf.DUMMYFUNCTION("""COMPUTED_VALUE"""),0.0)</f>
        <v>0</v>
      </c>
      <c r="W135" s="199">
        <f>IFERROR(__xludf.DUMMYFUNCTION("""COMPUTED_VALUE"""),0.0)</f>
        <v>0</v>
      </c>
      <c r="X135" s="199">
        <f>IFERROR(__xludf.DUMMYFUNCTION("""COMPUTED_VALUE"""),3.0)</f>
        <v>3</v>
      </c>
      <c r="Y135" s="199">
        <f>IFERROR(__xludf.DUMMYFUNCTION("""COMPUTED_VALUE"""),0.0)</f>
        <v>0</v>
      </c>
      <c r="Z135" s="199">
        <f>IFERROR(__xludf.DUMMYFUNCTION("""COMPUTED_VALUE"""),0.0)</f>
        <v>0</v>
      </c>
      <c r="AA135" s="199">
        <f>IFERROR(__xludf.DUMMYFUNCTION("""COMPUTED_VALUE"""),0.0)</f>
        <v>0</v>
      </c>
      <c r="AB135" s="199">
        <f>IFERROR(__xludf.DUMMYFUNCTION("""COMPUTED_VALUE"""),90.0)</f>
        <v>90</v>
      </c>
      <c r="AC135" s="199">
        <f>IFERROR(__xludf.DUMMYFUNCTION("""COMPUTED_VALUE"""),15.0)</f>
        <v>15</v>
      </c>
      <c r="AD135" s="199">
        <f>IFERROR(__xludf.DUMMYFUNCTION("""COMPUTED_VALUE"""),0.0)</f>
        <v>0</v>
      </c>
      <c r="AE135" s="199">
        <f>IFERROR(__xludf.DUMMYFUNCTION("""COMPUTED_VALUE"""),618.0)</f>
        <v>618</v>
      </c>
      <c r="AF135" s="199">
        <f>IFERROR(__xludf.DUMMYFUNCTION("""COMPUTED_VALUE"""),20.0)</f>
        <v>20</v>
      </c>
      <c r="AG135" s="199">
        <f>IFERROR(__xludf.DUMMYFUNCTION("""COMPUTED_VALUE"""),588.0)</f>
        <v>588</v>
      </c>
      <c r="AH135" s="199">
        <f>IFERROR(__xludf.DUMMYFUNCTION("""COMPUTED_VALUE"""),640.0)</f>
        <v>640</v>
      </c>
      <c r="AI135" s="200" t="str">
        <f>IFERROR(__xludf.DUMMYFUNCTION("""COMPUTED_VALUE"""),"Lubricant Degradation | Contamination Alert | Water Ingress")</f>
        <v>Lubricant Degradation | Contamination Alert | Water Ingress</v>
      </c>
      <c r="AJ135" s="200" t="str">
        <f>IFERROR(__xludf.DUMMYFUNCTION("""COMPUTED_VALUE"""),"High water contamination - check seals and drain water immediately; Elevated silicon - inspect filters and seals for contamination")</f>
        <v>High water contamination - check seals and drain water immediately; Elevated silicon - inspect filters and seals for contamination</v>
      </c>
      <c r="AK135" s="204"/>
      <c r="AL135" s="204"/>
      <c r="AM135" s="204"/>
    </row>
    <row r="136" hidden="1">
      <c r="A136" s="199" t="str">
        <f>IFERROR(__xludf.DUMMYFUNCTION("""COMPUTED_VALUE"""),"R2.322.FN400(Fr.B)")</f>
        <v>R2.322.FN400(Fr.B)</v>
      </c>
      <c r="B136" s="200" t="str">
        <f>IFERROR(__xludf.DUMMYFUNCTION("""COMPUTED_VALUE"""),"Raw Mill#2 free bearing")</f>
        <v>Raw Mill#2 free bearing</v>
      </c>
      <c r="C136" s="199">
        <f>IFERROR(__xludf.DUMMYFUNCTION("""COMPUTED_VALUE"""),2.4211297226E10)</f>
        <v>24211297226</v>
      </c>
      <c r="D136" s="201">
        <f>IFERROR(__xludf.DUMMYFUNCTION("""COMPUTED_VALUE"""),45497.0)</f>
        <v>45497</v>
      </c>
      <c r="E136" s="202" t="str">
        <f>IFERROR(__xludf.DUMMYFUNCTION("""COMPUTED_VALUE"""),"Normal")</f>
        <v>Normal</v>
      </c>
      <c r="F136" s="202" t="str">
        <f>IFERROR(__xludf.DUMMYFUNCTION("""COMPUTED_VALUE"""),"Normal")</f>
        <v>Normal</v>
      </c>
      <c r="G136" s="203" t="str">
        <f>IFERROR(__xludf.DUMMYFUNCTION("""COMPUTED_VALUE"""),"Normal")</f>
        <v>Normal</v>
      </c>
      <c r="H136" s="203" t="str">
        <f>IFERROR(__xludf.DUMMYFUNCTION("""COMPUTED_VALUE"""),"Normal")</f>
        <v>Normal</v>
      </c>
      <c r="I136" s="199">
        <f>IFERROR(__xludf.DUMMYFUNCTION("""COMPUTED_VALUE"""),3608.0)</f>
        <v>3608</v>
      </c>
      <c r="J136" s="199">
        <f>IFERROR(__xludf.DUMMYFUNCTION("""COMPUTED_VALUE"""),1001.0)</f>
        <v>1001</v>
      </c>
      <c r="K136" s="199">
        <f>IFERROR(__xludf.DUMMYFUNCTION("""COMPUTED_VALUE"""),251.0)</f>
        <v>251</v>
      </c>
      <c r="L136" s="199">
        <f>IFERROR(__xludf.DUMMYFUNCTION("""COMPUTED_VALUE"""),2.0)</f>
        <v>2</v>
      </c>
      <c r="M136" s="199">
        <f>IFERROR(__xludf.DUMMYFUNCTION("""COMPUTED_VALUE"""),66.3)</f>
        <v>66.3</v>
      </c>
      <c r="N136" s="199"/>
      <c r="O136" s="199">
        <f>IFERROR(__xludf.DUMMYFUNCTION("""COMPUTED_VALUE"""),0.0)</f>
        <v>0</v>
      </c>
      <c r="P136" s="199">
        <f>IFERROR(__xludf.DUMMYFUNCTION("""COMPUTED_VALUE"""),0.003)</f>
        <v>0.003</v>
      </c>
      <c r="Q136" s="199">
        <f>IFERROR(__xludf.DUMMYFUNCTION("""COMPUTED_VALUE"""),0.0)</f>
        <v>0</v>
      </c>
      <c r="R136" s="199">
        <f>IFERROR(__xludf.DUMMYFUNCTION("""COMPUTED_VALUE"""),4.0)</f>
        <v>4</v>
      </c>
      <c r="S136" s="199">
        <f>IFERROR(__xludf.DUMMYFUNCTION("""COMPUTED_VALUE"""),1.0)</f>
        <v>1</v>
      </c>
      <c r="T136" s="199">
        <f>IFERROR(__xludf.DUMMYFUNCTION("""COMPUTED_VALUE"""),3.0)</f>
        <v>3</v>
      </c>
      <c r="U136" s="199">
        <f>IFERROR(__xludf.DUMMYFUNCTION("""COMPUTED_VALUE"""),2.0)</f>
        <v>2</v>
      </c>
      <c r="V136" s="199">
        <f>IFERROR(__xludf.DUMMYFUNCTION("""COMPUTED_VALUE"""),0.0)</f>
        <v>0</v>
      </c>
      <c r="W136" s="199">
        <f>IFERROR(__xludf.DUMMYFUNCTION("""COMPUTED_VALUE"""),0.0)</f>
        <v>0</v>
      </c>
      <c r="X136" s="199">
        <f>IFERROR(__xludf.DUMMYFUNCTION("""COMPUTED_VALUE"""),0.0)</f>
        <v>0</v>
      </c>
      <c r="Y136" s="199">
        <f>IFERROR(__xludf.DUMMYFUNCTION("""COMPUTED_VALUE"""),0.0)</f>
        <v>0</v>
      </c>
      <c r="Z136" s="199">
        <f>IFERROR(__xludf.DUMMYFUNCTION("""COMPUTED_VALUE"""),0.0)</f>
        <v>0</v>
      </c>
      <c r="AA136" s="199">
        <f>IFERROR(__xludf.DUMMYFUNCTION("""COMPUTED_VALUE"""),0.0)</f>
        <v>0</v>
      </c>
      <c r="AB136" s="199">
        <f>IFERROR(__xludf.DUMMYFUNCTION("""COMPUTED_VALUE"""),4.0)</f>
        <v>4</v>
      </c>
      <c r="AC136" s="199">
        <f>IFERROR(__xludf.DUMMYFUNCTION("""COMPUTED_VALUE"""),2.0)</f>
        <v>2</v>
      </c>
      <c r="AD136" s="199">
        <f>IFERROR(__xludf.DUMMYFUNCTION("""COMPUTED_VALUE"""),0.0)</f>
        <v>0</v>
      </c>
      <c r="AE136" s="199">
        <f>IFERROR(__xludf.DUMMYFUNCTION("""COMPUTED_VALUE"""),8.0)</f>
        <v>8</v>
      </c>
      <c r="AF136" s="199">
        <f>IFERROR(__xludf.DUMMYFUNCTION("""COMPUTED_VALUE"""),0.0)</f>
        <v>0</v>
      </c>
      <c r="AG136" s="199">
        <f>IFERROR(__xludf.DUMMYFUNCTION("""COMPUTED_VALUE"""),26.0)</f>
        <v>26</v>
      </c>
      <c r="AH136" s="199">
        <f>IFERROR(__xludf.DUMMYFUNCTION("""COMPUTED_VALUE"""),19.0)</f>
        <v>19</v>
      </c>
      <c r="AI136" s="200" t="str">
        <f>IFERROR(__xludf.DUMMYFUNCTION("""COMPUTED_VALUE"""),"Normal - No Action Required")</f>
        <v>Normal - No Action Required</v>
      </c>
      <c r="AJ136" s="200" t="str">
        <f>IFERROR(__xludf.DUMMYFUNCTION("""COMPUTED_VALUE"""),"Continue routine monitoring and sampling schedule")</f>
        <v>Continue routine monitoring and sampling schedule</v>
      </c>
      <c r="AK136" s="204"/>
      <c r="AL136" s="204"/>
      <c r="AM136" s="204"/>
    </row>
    <row r="137" hidden="1">
      <c r="A137" s="199" t="str">
        <f>IFERROR(__xludf.DUMMYFUNCTION("""COMPUTED_VALUE"""),"111.AF040 (R)")</f>
        <v>111.AF040 (R)</v>
      </c>
      <c r="B137" s="200" t="str">
        <f>IFERROR(__xludf.DUMMYFUNCTION("""COMPUTED_VALUE"""),"Clay apron feeder right gearbox")</f>
        <v>Clay apron feeder right gearbox</v>
      </c>
      <c r="C137" s="199">
        <f>IFERROR(__xludf.DUMMYFUNCTION("""COMPUTED_VALUE"""),2.4268239202E10)</f>
        <v>24268239202</v>
      </c>
      <c r="D137" s="201">
        <f>IFERROR(__xludf.DUMMYFUNCTION("""COMPUTED_VALUE"""),45545.0)</f>
        <v>45545</v>
      </c>
      <c r="E137" s="202" t="str">
        <f>IFERROR(__xludf.DUMMYFUNCTION("""COMPUTED_VALUE"""),"Caution")</f>
        <v>Caution</v>
      </c>
      <c r="F137" s="202" t="str">
        <f>IFERROR(__xludf.DUMMYFUNCTION("""COMPUTED_VALUE"""),"Caution")</f>
        <v>Caution</v>
      </c>
      <c r="G137" s="203" t="str">
        <f>IFERROR(__xludf.DUMMYFUNCTION("""COMPUTED_VALUE"""),"Normal")</f>
        <v>Normal</v>
      </c>
      <c r="H137" s="203" t="str">
        <f>IFERROR(__xludf.DUMMYFUNCTION("""COMPUTED_VALUE"""),"Normal")</f>
        <v>Normal</v>
      </c>
      <c r="I137" s="199"/>
      <c r="J137" s="199"/>
      <c r="K137" s="199"/>
      <c r="L137" s="199">
        <f>IFERROR(__xludf.DUMMYFUNCTION("""COMPUTED_VALUE"""),5.0)</f>
        <v>5</v>
      </c>
      <c r="M137" s="199">
        <f>IFERROR(__xludf.DUMMYFUNCTION("""COMPUTED_VALUE"""),200.7)</f>
        <v>200.7</v>
      </c>
      <c r="N137" s="199"/>
      <c r="O137" s="199"/>
      <c r="P137" s="199">
        <f>IFERROR(__xludf.DUMMYFUNCTION("""COMPUTED_VALUE"""),0.01)</f>
        <v>0.01</v>
      </c>
      <c r="Q137" s="199">
        <f>IFERROR(__xludf.DUMMYFUNCTION("""COMPUTED_VALUE"""),0.0)</f>
        <v>0</v>
      </c>
      <c r="R137" s="199">
        <f>IFERROR(__xludf.DUMMYFUNCTION("""COMPUTED_VALUE"""),5.0)</f>
        <v>5</v>
      </c>
      <c r="S137" s="199">
        <f>IFERROR(__xludf.DUMMYFUNCTION("""COMPUTED_VALUE"""),1.0)</f>
        <v>1</v>
      </c>
      <c r="T137" s="199">
        <f>IFERROR(__xludf.DUMMYFUNCTION("""COMPUTED_VALUE"""),0.0)</f>
        <v>0</v>
      </c>
      <c r="U137" s="199">
        <f>IFERROR(__xludf.DUMMYFUNCTION("""COMPUTED_VALUE"""),32.0)</f>
        <v>32</v>
      </c>
      <c r="V137" s="199">
        <f>IFERROR(__xludf.DUMMYFUNCTION("""COMPUTED_VALUE"""),0.0)</f>
        <v>0</v>
      </c>
      <c r="W137" s="199">
        <f>IFERROR(__xludf.DUMMYFUNCTION("""COMPUTED_VALUE"""),0.0)</f>
        <v>0</v>
      </c>
      <c r="X137" s="199">
        <f>IFERROR(__xludf.DUMMYFUNCTION("""COMPUTED_VALUE"""),0.0)</f>
        <v>0</v>
      </c>
      <c r="Y137" s="199">
        <f>IFERROR(__xludf.DUMMYFUNCTION("""COMPUTED_VALUE"""),0.0)</f>
        <v>0</v>
      </c>
      <c r="Z137" s="199">
        <f>IFERROR(__xludf.DUMMYFUNCTION("""COMPUTED_VALUE"""),0.0)</f>
        <v>0</v>
      </c>
      <c r="AA137" s="199">
        <f>IFERROR(__xludf.DUMMYFUNCTION("""COMPUTED_VALUE"""),0.0)</f>
        <v>0</v>
      </c>
      <c r="AB137" s="199">
        <f>IFERROR(__xludf.DUMMYFUNCTION("""COMPUTED_VALUE"""),29.0)</f>
        <v>29</v>
      </c>
      <c r="AC137" s="199">
        <f>IFERROR(__xludf.DUMMYFUNCTION("""COMPUTED_VALUE"""),2.0)</f>
        <v>2</v>
      </c>
      <c r="AD137" s="199">
        <f>IFERROR(__xludf.DUMMYFUNCTION("""COMPUTED_VALUE"""),0.0)</f>
        <v>0</v>
      </c>
      <c r="AE137" s="199">
        <f>IFERROR(__xludf.DUMMYFUNCTION("""COMPUTED_VALUE"""),12.0)</f>
        <v>12</v>
      </c>
      <c r="AF137" s="199">
        <f>IFERROR(__xludf.DUMMYFUNCTION("""COMPUTED_VALUE"""),0.0)</f>
        <v>0</v>
      </c>
      <c r="AG137" s="199">
        <f>IFERROR(__xludf.DUMMYFUNCTION("""COMPUTED_VALUE"""),449.0)</f>
        <v>449</v>
      </c>
      <c r="AH137" s="199">
        <f>IFERROR(__xludf.DUMMYFUNCTION("""COMPUTED_VALUE"""),8.0)</f>
        <v>8</v>
      </c>
      <c r="AI137" s="200" t="str">
        <f>IFERROR(__xludf.DUMMYFUNCTION("""COMPUTED_VALUE"""),"Caution – Elevated Fe &amp; Si")</f>
        <v>Caution – Elevated Fe &amp; Si</v>
      </c>
      <c r="AJ137" s="200" t="str">
        <f>IFERROR(__xludf.DUMMYFUNCTION("""COMPUTED_VALUE"""),"Fe (32 ppm) and Si (29 ppm) elevated. Inspect bearing seals and filtration. Resample at next interval.")</f>
        <v>Fe (32 ppm) and Si (29 ppm) elevated. Inspect bearing seals and filtration. Resample at next interval.</v>
      </c>
      <c r="AK137" s="204"/>
      <c r="AL137" s="204"/>
      <c r="AM137" s="204"/>
    </row>
    <row r="138" hidden="1">
      <c r="A138" s="199" t="str">
        <f>IFERROR(__xludf.DUMMYFUNCTION("""COMPUTED_VALUE"""),"111.AF040 (L)")</f>
        <v>111.AF040 (L)</v>
      </c>
      <c r="B138" s="200" t="str">
        <f>IFERROR(__xludf.DUMMYFUNCTION("""COMPUTED_VALUE"""),"Clay apron feeder left geared motor")</f>
        <v>Clay apron feeder left geared motor</v>
      </c>
      <c r="C138" s="199">
        <f>IFERROR(__xludf.DUMMYFUNCTION("""COMPUTED_VALUE"""),2.4268239205E10)</f>
        <v>24268239205</v>
      </c>
      <c r="D138" s="201">
        <f>IFERROR(__xludf.DUMMYFUNCTION("""COMPUTED_VALUE"""),45545.0)</f>
        <v>45545</v>
      </c>
      <c r="E138" s="202" t="str">
        <f>IFERROR(__xludf.DUMMYFUNCTION("""COMPUTED_VALUE"""),"Normal")</f>
        <v>Normal</v>
      </c>
      <c r="F138" s="202" t="str">
        <f>IFERROR(__xludf.DUMMYFUNCTION("""COMPUTED_VALUE"""),"Normal")</f>
        <v>Normal</v>
      </c>
      <c r="G138" s="203" t="str">
        <f>IFERROR(__xludf.DUMMYFUNCTION("""COMPUTED_VALUE"""),"Normal")</f>
        <v>Normal</v>
      </c>
      <c r="H138" s="203" t="str">
        <f>IFERROR(__xludf.DUMMYFUNCTION("""COMPUTED_VALUE"""),"Normal")</f>
        <v>Normal</v>
      </c>
      <c r="I138" s="37">
        <f>IFERROR(__xludf.DUMMYFUNCTION("""COMPUTED_VALUE"""),13956.0)</f>
        <v>13956</v>
      </c>
      <c r="J138" s="37">
        <f>IFERROR(__xludf.DUMMYFUNCTION("""COMPUTED_VALUE"""),7828.0)</f>
        <v>7828</v>
      </c>
      <c r="K138" s="37">
        <f>IFERROR(__xludf.DUMMYFUNCTION("""COMPUTED_VALUE"""),1003.0)</f>
        <v>1003</v>
      </c>
      <c r="L138" s="199">
        <f>IFERROR(__xludf.DUMMYFUNCTION("""COMPUTED_VALUE"""),7.0)</f>
        <v>7</v>
      </c>
      <c r="M138" s="199">
        <f>IFERROR(__xludf.DUMMYFUNCTION("""COMPUTED_VALUE"""),208.6)</f>
        <v>208.6</v>
      </c>
      <c r="N138" s="199">
        <f>IFERROR(__xludf.DUMMYFUNCTION("""COMPUTED_VALUE"""),1.12)</f>
        <v>1.12</v>
      </c>
      <c r="O138" s="199"/>
      <c r="P138" s="199">
        <f>IFERROR(__xludf.DUMMYFUNCTION("""COMPUTED_VALUE"""),0.01)</f>
        <v>0.01</v>
      </c>
      <c r="Q138" s="199">
        <f>IFERROR(__xludf.DUMMYFUNCTION("""COMPUTED_VALUE"""),0.0)</f>
        <v>0</v>
      </c>
      <c r="R138" s="199">
        <f>IFERROR(__xludf.DUMMYFUNCTION("""COMPUTED_VALUE"""),4.0)</f>
        <v>4</v>
      </c>
      <c r="S138" s="199">
        <f>IFERROR(__xludf.DUMMYFUNCTION("""COMPUTED_VALUE"""),1.0)</f>
        <v>1</v>
      </c>
      <c r="T138" s="199">
        <f>IFERROR(__xludf.DUMMYFUNCTION("""COMPUTED_VALUE"""),0.0)</f>
        <v>0</v>
      </c>
      <c r="U138" s="199">
        <f>IFERROR(__xludf.DUMMYFUNCTION("""COMPUTED_VALUE"""),29.0)</f>
        <v>29</v>
      </c>
      <c r="V138" s="199">
        <f>IFERROR(__xludf.DUMMYFUNCTION("""COMPUTED_VALUE"""),0.0)</f>
        <v>0</v>
      </c>
      <c r="W138" s="199">
        <f>IFERROR(__xludf.DUMMYFUNCTION("""COMPUTED_VALUE"""),0.0)</f>
        <v>0</v>
      </c>
      <c r="X138" s="199">
        <f>IFERROR(__xludf.DUMMYFUNCTION("""COMPUTED_VALUE"""),0.0)</f>
        <v>0</v>
      </c>
      <c r="Y138" s="199">
        <f>IFERROR(__xludf.DUMMYFUNCTION("""COMPUTED_VALUE"""),0.0)</f>
        <v>0</v>
      </c>
      <c r="Z138" s="199">
        <f>IFERROR(__xludf.DUMMYFUNCTION("""COMPUTED_VALUE"""),0.0)</f>
        <v>0</v>
      </c>
      <c r="AA138" s="199">
        <f>IFERROR(__xludf.DUMMYFUNCTION("""COMPUTED_VALUE"""),0.0)</f>
        <v>0</v>
      </c>
      <c r="AB138" s="199">
        <f>IFERROR(__xludf.DUMMYFUNCTION("""COMPUTED_VALUE"""),23.0)</f>
        <v>23</v>
      </c>
      <c r="AC138" s="199">
        <f>IFERROR(__xludf.DUMMYFUNCTION("""COMPUTED_VALUE"""),3.0)</f>
        <v>3</v>
      </c>
      <c r="AD138" s="199">
        <f>IFERROR(__xludf.DUMMYFUNCTION("""COMPUTED_VALUE"""),0.0)</f>
        <v>0</v>
      </c>
      <c r="AE138" s="199">
        <f>IFERROR(__xludf.DUMMYFUNCTION("""COMPUTED_VALUE"""),1.0)</f>
        <v>1</v>
      </c>
      <c r="AF138" s="199">
        <f>IFERROR(__xludf.DUMMYFUNCTION("""COMPUTED_VALUE"""),0.0)</f>
        <v>0</v>
      </c>
      <c r="AG138" s="199">
        <f>IFERROR(__xludf.DUMMYFUNCTION("""COMPUTED_VALUE"""),408.0)</f>
        <v>408</v>
      </c>
      <c r="AH138" s="199">
        <f>IFERROR(__xludf.DUMMYFUNCTION("""COMPUTED_VALUE"""),5.0)</f>
        <v>5</v>
      </c>
      <c r="AI138" s="200" t="str">
        <f>IFERROR(__xludf.DUMMYFUNCTION("""COMPUTED_VALUE"""),"Normal")</f>
        <v>Normal</v>
      </c>
      <c r="AJ138" s="200" t="str">
        <f>IFERROR(__xludf.DUMMYFUNCTION("""COMPUTED_VALUE"""),"All parameters within acceptable limits. ISO Code 21/20/17. Continue routine monitoring.")</f>
        <v>All parameters within acceptable limits. ISO Code 21/20/17. Continue routine monitoring.</v>
      </c>
      <c r="AK138" s="204"/>
      <c r="AL138" s="204"/>
      <c r="AM138" s="204"/>
    </row>
    <row r="139" hidden="1">
      <c r="A139" s="199" t="str">
        <f>IFERROR(__xludf.DUMMYFUNCTION("""COMPUTED_VALUE"""),"111.BC330 (L1)")</f>
        <v>111.BC330 (L1)</v>
      </c>
      <c r="B139" s="200" t="str">
        <f>IFERROR(__xludf.DUMMYFUNCTION("""COMPUTED_VALUE"""),"Belt conveyor first left Gearbox")</f>
        <v>Belt conveyor first left Gearbox</v>
      </c>
      <c r="C139" s="199">
        <f>IFERROR(__xludf.DUMMYFUNCTION("""COMPUTED_VALUE"""),2.4269259222E10)</f>
        <v>24269259222</v>
      </c>
      <c r="D139" s="201">
        <f>IFERROR(__xludf.DUMMYFUNCTION("""COMPUTED_VALUE"""),45545.0)</f>
        <v>45545</v>
      </c>
      <c r="E139" s="202" t="str">
        <f>IFERROR(__xludf.DUMMYFUNCTION("""COMPUTED_VALUE"""),"Caution")</f>
        <v>Caution</v>
      </c>
      <c r="F139" s="202" t="str">
        <f>IFERROR(__xludf.DUMMYFUNCTION("""COMPUTED_VALUE"""),"Caution")</f>
        <v>Caution</v>
      </c>
      <c r="G139" s="203" t="str">
        <f>IFERROR(__xludf.DUMMYFUNCTION("""COMPUTED_VALUE"""),"Normal")</f>
        <v>Normal</v>
      </c>
      <c r="H139" s="203" t="str">
        <f>IFERROR(__xludf.DUMMYFUNCTION("""COMPUTED_VALUE"""),"Normal")</f>
        <v>Normal</v>
      </c>
      <c r="I139" s="199">
        <f>IFERROR(__xludf.DUMMYFUNCTION("""COMPUTED_VALUE"""),30291.0)</f>
        <v>30291</v>
      </c>
      <c r="J139" s="199">
        <f>IFERROR(__xludf.DUMMYFUNCTION("""COMPUTED_VALUE"""),20046.0)</f>
        <v>20046</v>
      </c>
      <c r="K139" s="199">
        <f>IFERROR(__xludf.DUMMYFUNCTION("""COMPUTED_VALUE"""),9121.0)</f>
        <v>9121</v>
      </c>
      <c r="L139" s="199">
        <f>IFERROR(__xludf.DUMMYFUNCTION("""COMPUTED_VALUE"""),6.0)</f>
        <v>6</v>
      </c>
      <c r="M139" s="199">
        <f>IFERROR(__xludf.DUMMYFUNCTION("""COMPUTED_VALUE"""),221.8)</f>
        <v>221.8</v>
      </c>
      <c r="N139" s="199"/>
      <c r="O139" s="199"/>
      <c r="P139" s="199">
        <f>IFERROR(__xludf.DUMMYFUNCTION("""COMPUTED_VALUE"""),0.01)</f>
        <v>0.01</v>
      </c>
      <c r="Q139" s="199">
        <f>IFERROR(__xludf.DUMMYFUNCTION("""COMPUTED_VALUE"""),0.0)</f>
        <v>0</v>
      </c>
      <c r="R139" s="199">
        <f>IFERROR(__xludf.DUMMYFUNCTION("""COMPUTED_VALUE"""),4.0)</f>
        <v>4</v>
      </c>
      <c r="S139" s="199">
        <f>IFERROR(__xludf.DUMMYFUNCTION("""COMPUTED_VALUE"""),1.0)</f>
        <v>1</v>
      </c>
      <c r="T139" s="199">
        <f>IFERROR(__xludf.DUMMYFUNCTION("""COMPUTED_VALUE"""),0.0)</f>
        <v>0</v>
      </c>
      <c r="U139" s="199">
        <f>IFERROR(__xludf.DUMMYFUNCTION("""COMPUTED_VALUE"""),8.0)</f>
        <v>8</v>
      </c>
      <c r="V139" s="199">
        <f>IFERROR(__xludf.DUMMYFUNCTION("""COMPUTED_VALUE"""),2.0)</f>
        <v>2</v>
      </c>
      <c r="W139" s="199">
        <f>IFERROR(__xludf.DUMMYFUNCTION("""COMPUTED_VALUE"""),0.0)</f>
        <v>0</v>
      </c>
      <c r="X139" s="199">
        <f>IFERROR(__xludf.DUMMYFUNCTION("""COMPUTED_VALUE"""),0.0)</f>
        <v>0</v>
      </c>
      <c r="Y139" s="199">
        <f>IFERROR(__xludf.DUMMYFUNCTION("""COMPUTED_VALUE"""),0.0)</f>
        <v>0</v>
      </c>
      <c r="Z139" s="199">
        <f>IFERROR(__xludf.DUMMYFUNCTION("""COMPUTED_VALUE"""),0.0)</f>
        <v>0</v>
      </c>
      <c r="AA139" s="199">
        <f>IFERROR(__xludf.DUMMYFUNCTION("""COMPUTED_VALUE"""),0.0)</f>
        <v>0</v>
      </c>
      <c r="AB139" s="199">
        <f>IFERROR(__xludf.DUMMYFUNCTION("""COMPUTED_VALUE"""),33.0)</f>
        <v>33</v>
      </c>
      <c r="AC139" s="199">
        <f>IFERROR(__xludf.DUMMYFUNCTION("""COMPUTED_VALUE"""),16.0)</f>
        <v>16</v>
      </c>
      <c r="AD139" s="199">
        <f>IFERROR(__xludf.DUMMYFUNCTION("""COMPUTED_VALUE"""),0.0)</f>
        <v>0</v>
      </c>
      <c r="AE139" s="199">
        <f>IFERROR(__xludf.DUMMYFUNCTION("""COMPUTED_VALUE"""),4.0)</f>
        <v>4</v>
      </c>
      <c r="AF139" s="199">
        <f>IFERROR(__xludf.DUMMYFUNCTION("""COMPUTED_VALUE"""),2.0)</f>
        <v>2</v>
      </c>
      <c r="AG139" s="199">
        <f>IFERROR(__xludf.DUMMYFUNCTION("""COMPUTED_VALUE"""),563.0)</f>
        <v>563</v>
      </c>
      <c r="AH139" s="199">
        <f>IFERROR(__xludf.DUMMYFUNCTION("""COMPUTED_VALUE"""),24.0)</f>
        <v>24</v>
      </c>
      <c r="AI139" s="200" t="str">
        <f>IFERROR(__xludf.DUMMYFUNCTION("""COMPUTED_VALUE"""),"Caution – Elevated Si / Contamination")</f>
        <v>Caution – Elevated Si / Contamination</v>
      </c>
      <c r="AJ139" s="200" t="str">
        <f>IFERROR(__xludf.DUMMYFUNCTION("""COMPUTED_VALUE"""),"Si 33 ppm elevated. Monitor contamination trend. Inspect seals and filtration. Continue monitoring at scheduled intervals.")</f>
        <v>Si 33 ppm elevated. Monitor contamination trend. Inspect seals and filtration. Continue monitoring at scheduled intervals.</v>
      </c>
      <c r="AK139" s="204"/>
      <c r="AL139" s="204"/>
      <c r="AM139" s="204"/>
    </row>
    <row r="140" hidden="1">
      <c r="A140" s="199" t="str">
        <f>IFERROR(__xludf.DUMMYFUNCTION("""COMPUTED_VALUE"""),"111.AF060 (L)")</f>
        <v>111.AF060 (L)</v>
      </c>
      <c r="B140" s="200" t="str">
        <f>IFERROR(__xludf.DUMMYFUNCTION("""COMPUTED_VALUE"""),"Limestone Apron Feeder Left Gear Box")</f>
        <v>Limestone Apron Feeder Left Gear Box</v>
      </c>
      <c r="C140" s="199">
        <f>IFERROR(__xludf.DUMMYFUNCTION("""COMPUTED_VALUE"""),2.4268239262E10)</f>
        <v>24268239262</v>
      </c>
      <c r="D140" s="201">
        <f>IFERROR(__xludf.DUMMYFUNCTION("""COMPUTED_VALUE"""),45545.0)</f>
        <v>45545</v>
      </c>
      <c r="E140" s="202" t="str">
        <f>IFERROR(__xludf.DUMMYFUNCTION("""COMPUTED_VALUE"""),"Caution")</f>
        <v>Caution</v>
      </c>
      <c r="F140" s="202" t="str">
        <f>IFERROR(__xludf.DUMMYFUNCTION("""COMPUTED_VALUE"""),"Caution")</f>
        <v>Caution</v>
      </c>
      <c r="G140" s="203" t="str">
        <f>IFERROR(__xludf.DUMMYFUNCTION("""COMPUTED_VALUE"""),"Normal")</f>
        <v>Normal</v>
      </c>
      <c r="H140" s="203" t="str">
        <f>IFERROR(__xludf.DUMMYFUNCTION("""COMPUTED_VALUE"""),"Normal")</f>
        <v>Normal</v>
      </c>
      <c r="I140" s="199">
        <f>IFERROR(__xludf.DUMMYFUNCTION("""COMPUTED_VALUE"""),19752.0)</f>
        <v>19752</v>
      </c>
      <c r="J140" s="199">
        <f>IFERROR(__xludf.DUMMYFUNCTION("""COMPUTED_VALUE"""),10391.0)</f>
        <v>10391</v>
      </c>
      <c r="K140" s="199">
        <f>IFERROR(__xludf.DUMMYFUNCTION("""COMPUTED_VALUE"""),5151.0)</f>
        <v>5151</v>
      </c>
      <c r="L140" s="199">
        <f>IFERROR(__xludf.DUMMYFUNCTION("""COMPUTED_VALUE"""),9.0)</f>
        <v>9</v>
      </c>
      <c r="M140" s="199">
        <f>IFERROR(__xludf.DUMMYFUNCTION("""COMPUTED_VALUE"""),209.2)</f>
        <v>209.2</v>
      </c>
      <c r="N140" s="199"/>
      <c r="O140" s="199"/>
      <c r="P140" s="199">
        <f>IFERROR(__xludf.DUMMYFUNCTION("""COMPUTED_VALUE"""),0.003)</f>
        <v>0.003</v>
      </c>
      <c r="Q140" s="199">
        <f>IFERROR(__xludf.DUMMYFUNCTION("""COMPUTED_VALUE"""),0.0)</f>
        <v>0</v>
      </c>
      <c r="R140" s="199">
        <f>IFERROR(__xludf.DUMMYFUNCTION("""COMPUTED_VALUE"""),4.0)</f>
        <v>4</v>
      </c>
      <c r="S140" s="199">
        <f>IFERROR(__xludf.DUMMYFUNCTION("""COMPUTED_VALUE"""),1.0)</f>
        <v>1</v>
      </c>
      <c r="T140" s="199">
        <f>IFERROR(__xludf.DUMMYFUNCTION("""COMPUTED_VALUE"""),0.0)</f>
        <v>0</v>
      </c>
      <c r="U140" s="199">
        <f>IFERROR(__xludf.DUMMYFUNCTION("""COMPUTED_VALUE"""),26.0)</f>
        <v>26</v>
      </c>
      <c r="V140" s="199">
        <f>IFERROR(__xludf.DUMMYFUNCTION("""COMPUTED_VALUE"""),0.0)</f>
        <v>0</v>
      </c>
      <c r="W140" s="199">
        <f>IFERROR(__xludf.DUMMYFUNCTION("""COMPUTED_VALUE"""),0.0)</f>
        <v>0</v>
      </c>
      <c r="X140" s="199">
        <f>IFERROR(__xludf.DUMMYFUNCTION("""COMPUTED_VALUE"""),0.0)</f>
        <v>0</v>
      </c>
      <c r="Y140" s="199">
        <f>IFERROR(__xludf.DUMMYFUNCTION("""COMPUTED_VALUE"""),0.0)</f>
        <v>0</v>
      </c>
      <c r="Z140" s="199">
        <f>IFERROR(__xludf.DUMMYFUNCTION("""COMPUTED_VALUE"""),2.0)</f>
        <v>2</v>
      </c>
      <c r="AA140" s="199">
        <f>IFERROR(__xludf.DUMMYFUNCTION("""COMPUTED_VALUE"""),0.0)</f>
        <v>0</v>
      </c>
      <c r="AB140" s="199">
        <f>IFERROR(__xludf.DUMMYFUNCTION("""COMPUTED_VALUE"""),39.0)</f>
        <v>39</v>
      </c>
      <c r="AC140" s="199">
        <f>IFERROR(__xludf.DUMMYFUNCTION("""COMPUTED_VALUE"""),26.0)</f>
        <v>26</v>
      </c>
      <c r="AD140" s="199">
        <f>IFERROR(__xludf.DUMMYFUNCTION("""COMPUTED_VALUE"""),0.0)</f>
        <v>0</v>
      </c>
      <c r="AE140" s="199">
        <f>IFERROR(__xludf.DUMMYFUNCTION("""COMPUTED_VALUE"""),2.0)</f>
        <v>2</v>
      </c>
      <c r="AF140" s="199">
        <f>IFERROR(__xludf.DUMMYFUNCTION("""COMPUTED_VALUE"""),3.0)</f>
        <v>3</v>
      </c>
      <c r="AG140" s="199">
        <f>IFERROR(__xludf.DUMMYFUNCTION("""COMPUTED_VALUE"""),461.0)</f>
        <v>461</v>
      </c>
      <c r="AH140" s="199">
        <f>IFERROR(__xludf.DUMMYFUNCTION("""COMPUTED_VALUE"""),2.0)</f>
        <v>2</v>
      </c>
      <c r="AI140" s="200" t="str">
        <f>IFERROR(__xludf.DUMMYFUNCTION("""COMPUTED_VALUE"""),"Caution – Elevated Si")</f>
        <v>Caution – Elevated Si</v>
      </c>
      <c r="AJ140" s="200" t="str">
        <f>IFERROR(__xludf.DUMMYFUNCTION("""COMPUTED_VALUE"""),"Si 39 ppm elevated. ISO 21/21/20. TAN 1.33 mg KOH/g. Inspect seals, breathers and fill caps for dirt ingress. Monitor trend.")</f>
        <v>Si 39 ppm elevated. ISO 21/21/20. TAN 1.33 mg KOH/g. Inspect seals, breathers and fill caps for dirt ingress. Monitor trend.</v>
      </c>
      <c r="AK140" s="204"/>
      <c r="AL140" s="204"/>
      <c r="AM140" s="204"/>
    </row>
    <row r="141" hidden="1">
      <c r="A141" s="199" t="str">
        <f>IFERROR(__xludf.DUMMYFUNCTION("""COMPUTED_VALUE"""),"111.BC330 (R2)")</f>
        <v>111.BC330 (R2)</v>
      </c>
      <c r="B141" s="200" t="str">
        <f>IFERROR(__xludf.DUMMYFUNCTION("""COMPUTED_VALUE"""),"Belt conveyor second right Gearbox")</f>
        <v>Belt conveyor second right Gearbox</v>
      </c>
      <c r="C141" s="199">
        <f>IFERROR(__xludf.DUMMYFUNCTION("""COMPUTED_VALUE"""),2.4269259214E10)</f>
        <v>24269259214</v>
      </c>
      <c r="D141" s="201">
        <f>IFERROR(__xludf.DUMMYFUNCTION("""COMPUTED_VALUE"""),45545.0)</f>
        <v>45545</v>
      </c>
      <c r="E141" s="202" t="str">
        <f>IFERROR(__xludf.DUMMYFUNCTION("""COMPUTED_VALUE"""),"Caution")</f>
        <v>Caution</v>
      </c>
      <c r="F141" s="202" t="str">
        <f>IFERROR(__xludf.DUMMYFUNCTION("""COMPUTED_VALUE"""),"Caution")</f>
        <v>Caution</v>
      </c>
      <c r="G141" s="203" t="str">
        <f>IFERROR(__xludf.DUMMYFUNCTION("""COMPUTED_VALUE"""),"Normal")</f>
        <v>Normal</v>
      </c>
      <c r="H141" s="203" t="str">
        <f>IFERROR(__xludf.DUMMYFUNCTION("""COMPUTED_VALUE"""),"Normal")</f>
        <v>Normal</v>
      </c>
      <c r="I141" s="199">
        <f>IFERROR(__xludf.DUMMYFUNCTION("""COMPUTED_VALUE"""),32917.0)</f>
        <v>32917</v>
      </c>
      <c r="J141" s="199">
        <f>IFERROR(__xludf.DUMMYFUNCTION("""COMPUTED_VALUE"""),20713.0)</f>
        <v>20713</v>
      </c>
      <c r="K141" s="199">
        <f>IFERROR(__xludf.DUMMYFUNCTION("""COMPUTED_VALUE"""),9261.0)</f>
        <v>9261</v>
      </c>
      <c r="L141" s="199">
        <f>IFERROR(__xludf.DUMMYFUNCTION("""COMPUTED_VALUE"""),6.0)</f>
        <v>6</v>
      </c>
      <c r="M141" s="199">
        <f>IFERROR(__xludf.DUMMYFUNCTION("""COMPUTED_VALUE"""),230.6)</f>
        <v>230.6</v>
      </c>
      <c r="N141" s="199"/>
      <c r="O141" s="199"/>
      <c r="P141" s="199">
        <f>IFERROR(__xludf.DUMMYFUNCTION("""COMPUTED_VALUE"""),0.01)</f>
        <v>0.01</v>
      </c>
      <c r="Q141" s="199">
        <f>IFERROR(__xludf.DUMMYFUNCTION("""COMPUTED_VALUE"""),0.0)</f>
        <v>0</v>
      </c>
      <c r="R141" s="199">
        <f>IFERROR(__xludf.DUMMYFUNCTION("""COMPUTED_VALUE"""),3.0)</f>
        <v>3</v>
      </c>
      <c r="S141" s="199">
        <f>IFERROR(__xludf.DUMMYFUNCTION("""COMPUTED_VALUE"""),0.0)</f>
        <v>0</v>
      </c>
      <c r="T141" s="199">
        <f>IFERROR(__xludf.DUMMYFUNCTION("""COMPUTED_VALUE"""),0.0)</f>
        <v>0</v>
      </c>
      <c r="U141" s="199">
        <f>IFERROR(__xludf.DUMMYFUNCTION("""COMPUTED_VALUE"""),4.0)</f>
        <v>4</v>
      </c>
      <c r="V141" s="199">
        <f>IFERROR(__xludf.DUMMYFUNCTION("""COMPUTED_VALUE"""),0.0)</f>
        <v>0</v>
      </c>
      <c r="W141" s="199">
        <f>IFERROR(__xludf.DUMMYFUNCTION("""COMPUTED_VALUE"""),0.0)</f>
        <v>0</v>
      </c>
      <c r="X141" s="199">
        <f>IFERROR(__xludf.DUMMYFUNCTION("""COMPUTED_VALUE"""),0.0)</f>
        <v>0</v>
      </c>
      <c r="Y141" s="199">
        <f>IFERROR(__xludf.DUMMYFUNCTION("""COMPUTED_VALUE"""),0.0)</f>
        <v>0</v>
      </c>
      <c r="Z141" s="199">
        <f>IFERROR(__xludf.DUMMYFUNCTION("""COMPUTED_VALUE"""),1.0)</f>
        <v>1</v>
      </c>
      <c r="AA141" s="199">
        <f>IFERROR(__xludf.DUMMYFUNCTION("""COMPUTED_VALUE"""),0.0)</f>
        <v>0</v>
      </c>
      <c r="AB141" s="199">
        <f>IFERROR(__xludf.DUMMYFUNCTION("""COMPUTED_VALUE"""),3.0)</f>
        <v>3</v>
      </c>
      <c r="AC141" s="199">
        <f>IFERROR(__xludf.DUMMYFUNCTION("""COMPUTED_VALUE"""),3.0)</f>
        <v>3</v>
      </c>
      <c r="AD141" s="199">
        <f>IFERROR(__xludf.DUMMYFUNCTION("""COMPUTED_VALUE"""),0.0)</f>
        <v>0</v>
      </c>
      <c r="AE141" s="199">
        <f>IFERROR(__xludf.DUMMYFUNCTION("""COMPUTED_VALUE"""),0.0)</f>
        <v>0</v>
      </c>
      <c r="AF141" s="199">
        <f>IFERROR(__xludf.DUMMYFUNCTION("""COMPUTED_VALUE"""),3.0)</f>
        <v>3</v>
      </c>
      <c r="AG141" s="199">
        <f>IFERROR(__xludf.DUMMYFUNCTION("""COMPUTED_VALUE"""),273.0)</f>
        <v>273</v>
      </c>
      <c r="AH141" s="199">
        <f>IFERROR(__xludf.DUMMYFUNCTION("""COMPUTED_VALUE"""),30.0)</f>
        <v>30</v>
      </c>
      <c r="AI141" s="200" t="str">
        <f>IFERROR(__xludf.DUMMYFUNCTION("""COMPUTED_VALUE"""),"Caution – Elevated TAN / Monitor")</f>
        <v>Caution – Elevated TAN / Monitor</v>
      </c>
      <c r="AJ141" s="200" t="str">
        <f>IFERROR(__xludf.DUMMYFUNCTION("""COMPUTED_VALUE"""),"TAN 1.31 mg KOH/g. Monitor trend. Continue routine monitoring.")</f>
        <v>TAN 1.31 mg KOH/g. Monitor trend. Continue routine monitoring.</v>
      </c>
      <c r="AK141" s="204"/>
      <c r="AL141" s="204"/>
      <c r="AM141" s="204"/>
    </row>
    <row r="142" hidden="1">
      <c r="A142" s="199" t="str">
        <f>IFERROR(__xludf.DUMMYFUNCTION("""COMPUTED_VALUE"""),"111.BC330 (L2)")</f>
        <v>111.BC330 (L2)</v>
      </c>
      <c r="B142" s="200" t="str">
        <f>IFERROR(__xludf.DUMMYFUNCTION("""COMPUTED_VALUE"""),"Belt conveyor second left Gearbox")</f>
        <v>Belt conveyor second left Gearbox</v>
      </c>
      <c r="C142" s="199">
        <f>IFERROR(__xludf.DUMMYFUNCTION("""COMPUTED_VALUE"""),2.426925922E10)</f>
        <v>24269259220</v>
      </c>
      <c r="D142" s="201">
        <f>IFERROR(__xludf.DUMMYFUNCTION("""COMPUTED_VALUE"""),45545.0)</f>
        <v>45545</v>
      </c>
      <c r="E142" s="202" t="str">
        <f>IFERROR(__xludf.DUMMYFUNCTION("""COMPUTED_VALUE"""),"Caution")</f>
        <v>Caution</v>
      </c>
      <c r="F142" s="202" t="str">
        <f>IFERROR(__xludf.DUMMYFUNCTION("""COMPUTED_VALUE"""),"Caution")</f>
        <v>Caution</v>
      </c>
      <c r="G142" s="203" t="str">
        <f>IFERROR(__xludf.DUMMYFUNCTION("""COMPUTED_VALUE"""),"Normal")</f>
        <v>Normal</v>
      </c>
      <c r="H142" s="203" t="str">
        <f>IFERROR(__xludf.DUMMYFUNCTION("""COMPUTED_VALUE"""),"Normal")</f>
        <v>Normal</v>
      </c>
      <c r="I142" s="37"/>
      <c r="J142" s="37"/>
      <c r="K142" s="37"/>
      <c r="L142" s="199">
        <f>IFERROR(__xludf.DUMMYFUNCTION("""COMPUTED_VALUE"""),7.0)</f>
        <v>7</v>
      </c>
      <c r="M142" s="199">
        <f>IFERROR(__xludf.DUMMYFUNCTION("""COMPUTED_VALUE"""),223.7)</f>
        <v>223.7</v>
      </c>
      <c r="N142" s="199"/>
      <c r="O142" s="199"/>
      <c r="P142" s="199">
        <f>IFERROR(__xludf.DUMMYFUNCTION("""COMPUTED_VALUE"""),0.01)</f>
        <v>0.01</v>
      </c>
      <c r="Q142" s="199">
        <f>IFERROR(__xludf.DUMMYFUNCTION("""COMPUTED_VALUE"""),0.0)</f>
        <v>0</v>
      </c>
      <c r="R142" s="199">
        <f>IFERROR(__xludf.DUMMYFUNCTION("""COMPUTED_VALUE"""),4.0)</f>
        <v>4</v>
      </c>
      <c r="S142" s="199">
        <f>IFERROR(__xludf.DUMMYFUNCTION("""COMPUTED_VALUE"""),1.0)</f>
        <v>1</v>
      </c>
      <c r="T142" s="199">
        <f>IFERROR(__xludf.DUMMYFUNCTION("""COMPUTED_VALUE"""),0.0)</f>
        <v>0</v>
      </c>
      <c r="U142" s="199">
        <f>IFERROR(__xludf.DUMMYFUNCTION("""COMPUTED_VALUE"""),5.0)</f>
        <v>5</v>
      </c>
      <c r="V142" s="199">
        <f>IFERROR(__xludf.DUMMYFUNCTION("""COMPUTED_VALUE"""),0.0)</f>
        <v>0</v>
      </c>
      <c r="W142" s="199">
        <f>IFERROR(__xludf.DUMMYFUNCTION("""COMPUTED_VALUE"""),0.0)</f>
        <v>0</v>
      </c>
      <c r="X142" s="199">
        <f>IFERROR(__xludf.DUMMYFUNCTION("""COMPUTED_VALUE"""),0.0)</f>
        <v>0</v>
      </c>
      <c r="Y142" s="199">
        <f>IFERROR(__xludf.DUMMYFUNCTION("""COMPUTED_VALUE"""),0.0)</f>
        <v>0</v>
      </c>
      <c r="Z142" s="199">
        <f>IFERROR(__xludf.DUMMYFUNCTION("""COMPUTED_VALUE"""),0.0)</f>
        <v>0</v>
      </c>
      <c r="AA142" s="199">
        <f>IFERROR(__xludf.DUMMYFUNCTION("""COMPUTED_VALUE"""),0.0)</f>
        <v>0</v>
      </c>
      <c r="AB142" s="199">
        <f>IFERROR(__xludf.DUMMYFUNCTION("""COMPUTED_VALUE"""),23.0)</f>
        <v>23</v>
      </c>
      <c r="AC142" s="199">
        <f>IFERROR(__xludf.DUMMYFUNCTION("""COMPUTED_VALUE"""),16.0)</f>
        <v>16</v>
      </c>
      <c r="AD142" s="199">
        <f>IFERROR(__xludf.DUMMYFUNCTION("""COMPUTED_VALUE"""),0.0)</f>
        <v>0</v>
      </c>
      <c r="AE142" s="199">
        <f>IFERROR(__xludf.DUMMYFUNCTION("""COMPUTED_VALUE"""),6.0)</f>
        <v>6</v>
      </c>
      <c r="AF142" s="199">
        <f>IFERROR(__xludf.DUMMYFUNCTION("""COMPUTED_VALUE"""),0.0)</f>
        <v>0</v>
      </c>
      <c r="AG142" s="199">
        <f>IFERROR(__xludf.DUMMYFUNCTION("""COMPUTED_VALUE"""),503.0)</f>
        <v>503</v>
      </c>
      <c r="AH142" s="199">
        <f>IFERROR(__xludf.DUMMYFUNCTION("""COMPUTED_VALUE"""),15.0)</f>
        <v>15</v>
      </c>
      <c r="AI142" s="200" t="str">
        <f>IFERROR(__xludf.DUMMYFUNCTION("""COMPUTED_VALUE"""),"Caution – Elevated Si / Particle Count Not Reported")</f>
        <v>Caution – Elevated Si / Particle Count Not Reported</v>
      </c>
      <c r="AJ142" s="200" t="str">
        <f>IFERROR(__xludf.DUMMYFUNCTION("""COMPUTED_VALUE"""),"Si 23 ppm (elevated). TAN 1.21 mg KOH/g. Water 0.010 Vol%. Visible sediment – particle count not completed. Inspect seals and breathers. Monitor trend. Resample within 45 days.")</f>
        <v>Si 23 ppm (elevated). TAN 1.21 mg KOH/g. Water 0.010 Vol%. Visible sediment – particle count not completed. Inspect seals and breathers. Monitor trend. Resample within 45 days.</v>
      </c>
      <c r="AK142" s="204"/>
      <c r="AL142" s="204"/>
      <c r="AM142" s="204"/>
    </row>
    <row r="143" hidden="1">
      <c r="A143" s="199" t="str">
        <f>IFERROR(__xludf.DUMMYFUNCTION("""COMPUTED_VALUE"""),"111.BC330 (R1)")</f>
        <v>111.BC330 (R1)</v>
      </c>
      <c r="B143" s="200" t="str">
        <f>IFERROR(__xludf.DUMMYFUNCTION("""COMPUTED_VALUE"""),"Belt conveyor first right Gearbox")</f>
        <v>Belt conveyor first right Gearbox</v>
      </c>
      <c r="C143" s="199">
        <f>IFERROR(__xludf.DUMMYFUNCTION("""COMPUTED_VALUE"""),2.4269259221E10)</f>
        <v>24269259221</v>
      </c>
      <c r="D143" s="201">
        <f>IFERROR(__xludf.DUMMYFUNCTION("""COMPUTED_VALUE"""),45545.0)</f>
        <v>45545</v>
      </c>
      <c r="E143" s="202" t="str">
        <f>IFERROR(__xludf.DUMMYFUNCTION("""COMPUTED_VALUE"""),"Caution")</f>
        <v>Caution</v>
      </c>
      <c r="F143" s="202" t="str">
        <f>IFERROR(__xludf.DUMMYFUNCTION("""COMPUTED_VALUE"""),"Caution")</f>
        <v>Caution</v>
      </c>
      <c r="G143" s="203" t="str">
        <f>IFERROR(__xludf.DUMMYFUNCTION("""COMPUTED_VALUE"""),"Normal")</f>
        <v>Normal</v>
      </c>
      <c r="H143" s="203" t="str">
        <f>IFERROR(__xludf.DUMMYFUNCTION("""COMPUTED_VALUE"""),"Normal")</f>
        <v>Normal</v>
      </c>
      <c r="I143" s="199"/>
      <c r="J143" s="199"/>
      <c r="K143" s="199"/>
      <c r="L143" s="199">
        <f>IFERROR(__xludf.DUMMYFUNCTION("""COMPUTED_VALUE"""),10.0)</f>
        <v>10</v>
      </c>
      <c r="M143" s="199">
        <f>IFERROR(__xludf.DUMMYFUNCTION("""COMPUTED_VALUE"""),213.8)</f>
        <v>213.8</v>
      </c>
      <c r="N143" s="199"/>
      <c r="O143" s="199"/>
      <c r="P143" s="199">
        <f>IFERROR(__xludf.DUMMYFUNCTION("""COMPUTED_VALUE"""),0.01)</f>
        <v>0.01</v>
      </c>
      <c r="Q143" s="199">
        <f>IFERROR(__xludf.DUMMYFUNCTION("""COMPUTED_VALUE"""),0.0)</f>
        <v>0</v>
      </c>
      <c r="R143" s="199">
        <f>IFERROR(__xludf.DUMMYFUNCTION("""COMPUTED_VALUE"""),4.0)</f>
        <v>4</v>
      </c>
      <c r="S143" s="199">
        <f>IFERROR(__xludf.DUMMYFUNCTION("""COMPUTED_VALUE"""),1.0)</f>
        <v>1</v>
      </c>
      <c r="T143" s="199">
        <f>IFERROR(__xludf.DUMMYFUNCTION("""COMPUTED_VALUE"""),0.0)</f>
        <v>0</v>
      </c>
      <c r="U143" s="199">
        <f>IFERROR(__xludf.DUMMYFUNCTION("""COMPUTED_VALUE"""),9.0)</f>
        <v>9</v>
      </c>
      <c r="V143" s="199">
        <f>IFERROR(__xludf.DUMMYFUNCTION("""COMPUTED_VALUE"""),0.0)</f>
        <v>0</v>
      </c>
      <c r="W143" s="199">
        <f>IFERROR(__xludf.DUMMYFUNCTION("""COMPUTED_VALUE"""),0.0)</f>
        <v>0</v>
      </c>
      <c r="X143" s="199">
        <f>IFERROR(__xludf.DUMMYFUNCTION("""COMPUTED_VALUE"""),0.0)</f>
        <v>0</v>
      </c>
      <c r="Y143" s="199">
        <f>IFERROR(__xludf.DUMMYFUNCTION("""COMPUTED_VALUE"""),0.0)</f>
        <v>0</v>
      </c>
      <c r="Z143" s="199">
        <f>IFERROR(__xludf.DUMMYFUNCTION("""COMPUTED_VALUE"""),0.0)</f>
        <v>0</v>
      </c>
      <c r="AA143" s="199">
        <f>IFERROR(__xludf.DUMMYFUNCTION("""COMPUTED_VALUE"""),0.0)</f>
        <v>0</v>
      </c>
      <c r="AB143" s="199">
        <f>IFERROR(__xludf.DUMMYFUNCTION("""COMPUTED_VALUE"""),32.0)</f>
        <v>32</v>
      </c>
      <c r="AC143" s="199">
        <f>IFERROR(__xludf.DUMMYFUNCTION("""COMPUTED_VALUE"""),15.0)</f>
        <v>15</v>
      </c>
      <c r="AD143" s="199">
        <f>IFERROR(__xludf.DUMMYFUNCTION("""COMPUTED_VALUE"""),0.0)</f>
        <v>0</v>
      </c>
      <c r="AE143" s="199">
        <f>IFERROR(__xludf.DUMMYFUNCTION("""COMPUTED_VALUE"""),14.0)</f>
        <v>14</v>
      </c>
      <c r="AF143" s="199">
        <f>IFERROR(__xludf.DUMMYFUNCTION("""COMPUTED_VALUE"""),2.0)</f>
        <v>2</v>
      </c>
      <c r="AG143" s="199">
        <f>IFERROR(__xludf.DUMMYFUNCTION("""COMPUTED_VALUE"""),549.0)</f>
        <v>549</v>
      </c>
      <c r="AH143" s="199">
        <f>IFERROR(__xludf.DUMMYFUNCTION("""COMPUTED_VALUE"""),16.0)</f>
        <v>16</v>
      </c>
      <c r="AI143" s="200" t="str">
        <f>IFERROR(__xludf.DUMMYFUNCTION("""COMPUTED_VALUE"""),"Caution – Elevated Si")</f>
        <v>Caution – Elevated Si</v>
      </c>
      <c r="AJ143" s="200" t="str">
        <f>IFERROR(__xludf.DUMMYFUNCTION("""COMPUTED_VALUE"""),"Si 32 ppm (elevated – abrasive). TAN 1.28 mg KOH/g. Inspect breathers, seals, fill caps for dirt ingress. Monitor trend. Resample within 45 days.")</f>
        <v>Si 32 ppm (elevated – abrasive). TAN 1.28 mg KOH/g. Inspect breathers, seals, fill caps for dirt ingress. Monitor trend. Resample within 45 days.</v>
      </c>
      <c r="AK143" s="204"/>
      <c r="AL143" s="204"/>
      <c r="AM143" s="204"/>
    </row>
    <row r="144" hidden="1">
      <c r="A144" s="199" t="str">
        <f>IFERROR(__xludf.DUMMYFUNCTION("""COMPUTED_VALUE"""),"111.AF060 (R)")</f>
        <v>111.AF060 (R)</v>
      </c>
      <c r="B144" s="200" t="str">
        <f>IFERROR(__xludf.DUMMYFUNCTION("""COMPUTED_VALUE"""),"Limestone Apron Feeder Right Gear Box")</f>
        <v>Limestone Apron Feeder Right Gear Box</v>
      </c>
      <c r="C144" s="199">
        <f>IFERROR(__xludf.DUMMYFUNCTION("""COMPUTED_VALUE"""),2.4269259215E10)</f>
        <v>24269259215</v>
      </c>
      <c r="D144" s="201">
        <f>IFERROR(__xludf.DUMMYFUNCTION("""COMPUTED_VALUE"""),45545.0)</f>
        <v>45545</v>
      </c>
      <c r="E144" s="202" t="str">
        <f>IFERROR(__xludf.DUMMYFUNCTION("""COMPUTED_VALUE"""),"Normal")</f>
        <v>Normal</v>
      </c>
      <c r="F144" s="202" t="str">
        <f>IFERROR(__xludf.DUMMYFUNCTION("""COMPUTED_VALUE"""),"Normal")</f>
        <v>Normal</v>
      </c>
      <c r="G144" s="203" t="str">
        <f>IFERROR(__xludf.DUMMYFUNCTION("""COMPUTED_VALUE"""),"Normal")</f>
        <v>Normal</v>
      </c>
      <c r="H144" s="203" t="str">
        <f>IFERROR(__xludf.DUMMYFUNCTION("""COMPUTED_VALUE"""),"Normal")</f>
        <v>Normal</v>
      </c>
      <c r="I144" s="199">
        <f>IFERROR(__xludf.DUMMYFUNCTION("""COMPUTED_VALUE"""),21951.0)</f>
        <v>21951</v>
      </c>
      <c r="J144" s="199">
        <f>IFERROR(__xludf.DUMMYFUNCTION("""COMPUTED_VALUE"""),10326.0)</f>
        <v>10326</v>
      </c>
      <c r="K144" s="199">
        <f>IFERROR(__xludf.DUMMYFUNCTION("""COMPUTED_VALUE"""),5174.0)</f>
        <v>5174</v>
      </c>
      <c r="L144" s="199">
        <f>IFERROR(__xludf.DUMMYFUNCTION("""COMPUTED_VALUE"""),5.0)</f>
        <v>5</v>
      </c>
      <c r="M144" s="199">
        <f>IFERROR(__xludf.DUMMYFUNCTION("""COMPUTED_VALUE"""),199.9)</f>
        <v>199.9</v>
      </c>
      <c r="N144" s="199"/>
      <c r="O144" s="199"/>
      <c r="P144" s="199">
        <f>IFERROR(__xludf.DUMMYFUNCTION("""COMPUTED_VALUE"""),0.01)</f>
        <v>0.01</v>
      </c>
      <c r="Q144" s="199">
        <f>IFERROR(__xludf.DUMMYFUNCTION("""COMPUTED_VALUE"""),0.0)</f>
        <v>0</v>
      </c>
      <c r="R144" s="199">
        <f>IFERROR(__xludf.DUMMYFUNCTION("""COMPUTED_VALUE"""),3.0)</f>
        <v>3</v>
      </c>
      <c r="S144" s="199">
        <f>IFERROR(__xludf.DUMMYFUNCTION("""COMPUTED_VALUE"""),0.0)</f>
        <v>0</v>
      </c>
      <c r="T144" s="199">
        <f>IFERROR(__xludf.DUMMYFUNCTION("""COMPUTED_VALUE"""),0.0)</f>
        <v>0</v>
      </c>
      <c r="U144" s="199">
        <f>IFERROR(__xludf.DUMMYFUNCTION("""COMPUTED_VALUE"""),2.0)</f>
        <v>2</v>
      </c>
      <c r="V144" s="199">
        <f>IFERROR(__xludf.DUMMYFUNCTION("""COMPUTED_VALUE"""),0.0)</f>
        <v>0</v>
      </c>
      <c r="W144" s="199">
        <f>IFERROR(__xludf.DUMMYFUNCTION("""COMPUTED_VALUE"""),0.0)</f>
        <v>0</v>
      </c>
      <c r="X144" s="199">
        <f>IFERROR(__xludf.DUMMYFUNCTION("""COMPUTED_VALUE"""),1.0)</f>
        <v>1</v>
      </c>
      <c r="Y144" s="199">
        <f>IFERROR(__xludf.DUMMYFUNCTION("""COMPUTED_VALUE"""),0.0)</f>
        <v>0</v>
      </c>
      <c r="Z144" s="199">
        <f>IFERROR(__xludf.DUMMYFUNCTION("""COMPUTED_VALUE"""),0.0)</f>
        <v>0</v>
      </c>
      <c r="AA144" s="199">
        <f>IFERROR(__xludf.DUMMYFUNCTION("""COMPUTED_VALUE"""),0.0)</f>
        <v>0</v>
      </c>
      <c r="AB144" s="199">
        <f>IFERROR(__xludf.DUMMYFUNCTION("""COMPUTED_VALUE"""),3.0)</f>
        <v>3</v>
      </c>
      <c r="AC144" s="199">
        <f>IFERROR(__xludf.DUMMYFUNCTION("""COMPUTED_VALUE"""),21.0)</f>
        <v>21</v>
      </c>
      <c r="AD144" s="199">
        <f>IFERROR(__xludf.DUMMYFUNCTION("""COMPUTED_VALUE"""),0.0)</f>
        <v>0</v>
      </c>
      <c r="AE144" s="199">
        <f>IFERROR(__xludf.DUMMYFUNCTION("""COMPUTED_VALUE"""),0.0)</f>
        <v>0</v>
      </c>
      <c r="AF144" s="199">
        <f>IFERROR(__xludf.DUMMYFUNCTION("""COMPUTED_VALUE"""),2.0)</f>
        <v>2</v>
      </c>
      <c r="AG144" s="199">
        <f>IFERROR(__xludf.DUMMYFUNCTION("""COMPUTED_VALUE"""),266.0)</f>
        <v>266</v>
      </c>
      <c r="AH144" s="199">
        <f>IFERROR(__xludf.DUMMYFUNCTION("""COMPUTED_VALUE"""),29.0)</f>
        <v>29</v>
      </c>
      <c r="AI144" s="200" t="str">
        <f>IFERROR(__xludf.DUMMYFUNCTION("""COMPUTED_VALUE"""),"Normal - No Action Required")</f>
        <v>Normal - No Action Required</v>
      </c>
      <c r="AJ144" s="200" t="str">
        <f>IFERROR(__xludf.DUMMYFUNCTION("""COMPUTED_VALUE"""),"Continue routine monitoring and sampling schedule")</f>
        <v>Continue routine monitoring and sampling schedule</v>
      </c>
      <c r="AK144" s="204"/>
      <c r="AL144" s="204"/>
      <c r="AM144" s="204"/>
    </row>
    <row r="145" hidden="1">
      <c r="A145" s="199" t="str">
        <f>IFERROR(__xludf.DUMMYFUNCTION("""COMPUTED_VALUE"""),"111.BC210")</f>
        <v>111.BC210</v>
      </c>
      <c r="B145" s="200" t="str">
        <f>IFERROR(__xludf.DUMMYFUNCTION("""COMPUTED_VALUE"""),"Belt conveyor Gearbox")</f>
        <v>Belt conveyor Gearbox</v>
      </c>
      <c r="C145" s="199">
        <f>IFERROR(__xludf.DUMMYFUNCTION("""COMPUTED_VALUE"""),2.4269259223E10)</f>
        <v>24269259223</v>
      </c>
      <c r="D145" s="201">
        <f>IFERROR(__xludf.DUMMYFUNCTION("""COMPUTED_VALUE"""),45545.0)</f>
        <v>45545</v>
      </c>
      <c r="E145" s="202" t="str">
        <f>IFERROR(__xludf.DUMMYFUNCTION("""COMPUTED_VALUE"""),"Alert")</f>
        <v>Alert</v>
      </c>
      <c r="F145" s="202" t="str">
        <f>IFERROR(__xludf.DUMMYFUNCTION("""COMPUTED_VALUE"""),"Alert")</f>
        <v>Alert</v>
      </c>
      <c r="G145" s="203" t="str">
        <f>IFERROR(__xludf.DUMMYFUNCTION("""COMPUTED_VALUE"""),"Normal")</f>
        <v>Normal</v>
      </c>
      <c r="H145" s="203" t="str">
        <f>IFERROR(__xludf.DUMMYFUNCTION("""COMPUTED_VALUE"""),"Normal")</f>
        <v>Normal</v>
      </c>
      <c r="I145" s="199"/>
      <c r="J145" s="199"/>
      <c r="K145" s="199"/>
      <c r="L145" s="199">
        <f>IFERROR(__xludf.DUMMYFUNCTION("""COMPUTED_VALUE"""),19.0)</f>
        <v>19</v>
      </c>
      <c r="M145" s="199">
        <f>IFERROR(__xludf.DUMMYFUNCTION("""COMPUTED_VALUE"""),293.8)</f>
        <v>293.8</v>
      </c>
      <c r="N145" s="199"/>
      <c r="O145" s="199"/>
      <c r="P145" s="199">
        <f>IFERROR(__xludf.DUMMYFUNCTION("""COMPUTED_VALUE"""),0.2)</f>
        <v>0.2</v>
      </c>
      <c r="Q145" s="199">
        <f>IFERROR(__xludf.DUMMYFUNCTION("""COMPUTED_VALUE"""),0.0)</f>
        <v>0</v>
      </c>
      <c r="R145" s="199">
        <f>IFERROR(__xludf.DUMMYFUNCTION("""COMPUTED_VALUE"""),9.0)</f>
        <v>9</v>
      </c>
      <c r="S145" s="199">
        <f>IFERROR(__xludf.DUMMYFUNCTION("""COMPUTED_VALUE"""),1.0)</f>
        <v>1</v>
      </c>
      <c r="T145" s="199">
        <f>IFERROR(__xludf.DUMMYFUNCTION("""COMPUTED_VALUE"""),0.0)</f>
        <v>0</v>
      </c>
      <c r="U145" s="199">
        <f>IFERROR(__xludf.DUMMYFUNCTION("""COMPUTED_VALUE"""),31.0)</f>
        <v>31</v>
      </c>
      <c r="V145" s="199">
        <f>IFERROR(__xludf.DUMMYFUNCTION("""COMPUTED_VALUE"""),0.0)</f>
        <v>0</v>
      </c>
      <c r="W145" s="199">
        <f>IFERROR(__xludf.DUMMYFUNCTION("""COMPUTED_VALUE"""),0.0)</f>
        <v>0</v>
      </c>
      <c r="X145" s="199">
        <f>IFERROR(__xludf.DUMMYFUNCTION("""COMPUTED_VALUE"""),0.0)</f>
        <v>0</v>
      </c>
      <c r="Y145" s="199">
        <f>IFERROR(__xludf.DUMMYFUNCTION("""COMPUTED_VALUE"""),0.0)</f>
        <v>0</v>
      </c>
      <c r="Z145" s="199">
        <f>IFERROR(__xludf.DUMMYFUNCTION("""COMPUTED_VALUE"""),0.0)</f>
        <v>0</v>
      </c>
      <c r="AA145" s="199">
        <f>IFERROR(__xludf.DUMMYFUNCTION("""COMPUTED_VALUE"""),0.0)</f>
        <v>0</v>
      </c>
      <c r="AB145" s="199">
        <f>IFERROR(__xludf.DUMMYFUNCTION("""COMPUTED_VALUE"""),52.0)</f>
        <v>52</v>
      </c>
      <c r="AC145" s="199">
        <f>IFERROR(__xludf.DUMMYFUNCTION("""COMPUTED_VALUE"""),14.0)</f>
        <v>14</v>
      </c>
      <c r="AD145" s="199">
        <f>IFERROR(__xludf.DUMMYFUNCTION("""COMPUTED_VALUE"""),0.0)</f>
        <v>0</v>
      </c>
      <c r="AE145" s="199">
        <f>IFERROR(__xludf.DUMMYFUNCTION("""COMPUTED_VALUE"""),17.0)</f>
        <v>17</v>
      </c>
      <c r="AF145" s="199">
        <f>IFERROR(__xludf.DUMMYFUNCTION("""COMPUTED_VALUE"""),2.0)</f>
        <v>2</v>
      </c>
      <c r="AG145" s="199">
        <f>IFERROR(__xludf.DUMMYFUNCTION("""COMPUTED_VALUE"""),412.0)</f>
        <v>412</v>
      </c>
      <c r="AH145" s="199">
        <f>IFERROR(__xludf.DUMMYFUNCTION("""COMPUTED_VALUE"""),48.0)</f>
        <v>48</v>
      </c>
      <c r="AI145" s="200" t="str">
        <f>IFERROR(__xludf.DUMMYFUNCTION("""COMPUTED_VALUE"""),"Contamination Alert | Water Ingress")</f>
        <v>Contamination Alert | Water Ingress</v>
      </c>
      <c r="AJ145" s="200" t="str">
        <f>IFERROR(__xludf.DUMMYFUNCTION("""COMPUTED_VALUE"""),"Water detected - inspect seals and breathers; Elevated silicon - inspect filters and seals for contamination")</f>
        <v>Water detected - inspect seals and breathers; Elevated silicon - inspect filters and seals for contamination</v>
      </c>
      <c r="AK145" s="204"/>
      <c r="AL145" s="204"/>
      <c r="AM145" s="204"/>
    </row>
    <row r="146" hidden="1">
      <c r="A146" s="199" t="str">
        <f>IFERROR(__xludf.DUMMYFUNCTION("""COMPUTED_VALUE"""),"421.HR700 (A)")</f>
        <v>421.HR700 (A)</v>
      </c>
      <c r="B146" s="200" t="str">
        <f>IFERROR(__xludf.DUMMYFUNCTION("""COMPUTED_VALUE"""),"HOTDISC Drive M02")</f>
        <v>HOTDISC Drive M02</v>
      </c>
      <c r="C146" s="199">
        <f>IFERROR(__xludf.DUMMYFUNCTION("""COMPUTED_VALUE"""),2.4269259217E10)</f>
        <v>24269259217</v>
      </c>
      <c r="D146" s="201">
        <f>IFERROR(__xludf.DUMMYFUNCTION("""COMPUTED_VALUE"""),45545.0)</f>
        <v>45545</v>
      </c>
      <c r="E146" s="202" t="str">
        <f>IFERROR(__xludf.DUMMYFUNCTION("""COMPUTED_VALUE"""),"Normal")</f>
        <v>Normal</v>
      </c>
      <c r="F146" s="202" t="str">
        <f>IFERROR(__xludf.DUMMYFUNCTION("""COMPUTED_VALUE"""),"Normal")</f>
        <v>Normal</v>
      </c>
      <c r="G146" s="203" t="str">
        <f>IFERROR(__xludf.DUMMYFUNCTION("""COMPUTED_VALUE"""),"Normal")</f>
        <v>Normal</v>
      </c>
      <c r="H146" s="203" t="str">
        <f>IFERROR(__xludf.DUMMYFUNCTION("""COMPUTED_VALUE"""),"Normal")</f>
        <v>Normal</v>
      </c>
      <c r="I146" s="199">
        <f>IFERROR(__xludf.DUMMYFUNCTION("""COMPUTED_VALUE"""),19752.0)</f>
        <v>19752</v>
      </c>
      <c r="J146" s="199">
        <f>IFERROR(__xludf.DUMMYFUNCTION("""COMPUTED_VALUE"""),10327.0)</f>
        <v>10327</v>
      </c>
      <c r="K146" s="199">
        <f>IFERROR(__xludf.DUMMYFUNCTION("""COMPUTED_VALUE"""),5002.0)</f>
        <v>5002</v>
      </c>
      <c r="L146" s="199">
        <f>IFERROR(__xludf.DUMMYFUNCTION("""COMPUTED_VALUE"""),4.0)</f>
        <v>4</v>
      </c>
      <c r="M146" s="199">
        <f>IFERROR(__xludf.DUMMYFUNCTION("""COMPUTED_VALUE"""),230.1)</f>
        <v>230.1</v>
      </c>
      <c r="N146" s="199"/>
      <c r="O146" s="199"/>
      <c r="P146" s="199">
        <f>IFERROR(__xludf.DUMMYFUNCTION("""COMPUTED_VALUE"""),0.01)</f>
        <v>0.01</v>
      </c>
      <c r="Q146" s="199">
        <f>IFERROR(__xludf.DUMMYFUNCTION("""COMPUTED_VALUE"""),0.0)</f>
        <v>0</v>
      </c>
      <c r="R146" s="199">
        <f>IFERROR(__xludf.DUMMYFUNCTION("""COMPUTED_VALUE"""),3.0)</f>
        <v>3</v>
      </c>
      <c r="S146" s="199">
        <f>IFERROR(__xludf.DUMMYFUNCTION("""COMPUTED_VALUE"""),0.0)</f>
        <v>0</v>
      </c>
      <c r="T146" s="199">
        <f>IFERROR(__xludf.DUMMYFUNCTION("""COMPUTED_VALUE"""),0.0)</f>
        <v>0</v>
      </c>
      <c r="U146" s="199">
        <f>IFERROR(__xludf.DUMMYFUNCTION("""COMPUTED_VALUE"""),2.0)</f>
        <v>2</v>
      </c>
      <c r="V146" s="199">
        <f>IFERROR(__xludf.DUMMYFUNCTION("""COMPUTED_VALUE"""),0.0)</f>
        <v>0</v>
      </c>
      <c r="W146" s="199">
        <f>IFERROR(__xludf.DUMMYFUNCTION("""COMPUTED_VALUE"""),0.0)</f>
        <v>0</v>
      </c>
      <c r="X146" s="199">
        <f>IFERROR(__xludf.DUMMYFUNCTION("""COMPUTED_VALUE"""),1.0)</f>
        <v>1</v>
      </c>
      <c r="Y146" s="199">
        <f>IFERROR(__xludf.DUMMYFUNCTION("""COMPUTED_VALUE"""),0.0)</f>
        <v>0</v>
      </c>
      <c r="Z146" s="199">
        <f>IFERROR(__xludf.DUMMYFUNCTION("""COMPUTED_VALUE"""),0.0)</f>
        <v>0</v>
      </c>
      <c r="AA146" s="199">
        <f>IFERROR(__xludf.DUMMYFUNCTION("""COMPUTED_VALUE"""),0.0)</f>
        <v>0</v>
      </c>
      <c r="AB146" s="199">
        <f>IFERROR(__xludf.DUMMYFUNCTION("""COMPUTED_VALUE"""),3.0)</f>
        <v>3</v>
      </c>
      <c r="AC146" s="199">
        <f>IFERROR(__xludf.DUMMYFUNCTION("""COMPUTED_VALUE"""),23.0)</f>
        <v>23</v>
      </c>
      <c r="AD146" s="199">
        <f>IFERROR(__xludf.DUMMYFUNCTION("""COMPUTED_VALUE"""),0.0)</f>
        <v>0</v>
      </c>
      <c r="AE146" s="199">
        <f>IFERROR(__xludf.DUMMYFUNCTION("""COMPUTED_VALUE"""),21.0)</f>
        <v>21</v>
      </c>
      <c r="AF146" s="199">
        <f>IFERROR(__xludf.DUMMYFUNCTION("""COMPUTED_VALUE"""),2.0)</f>
        <v>2</v>
      </c>
      <c r="AG146" s="199">
        <f>IFERROR(__xludf.DUMMYFUNCTION("""COMPUTED_VALUE"""),250.0)</f>
        <v>250</v>
      </c>
      <c r="AH146" s="199">
        <f>IFERROR(__xludf.DUMMYFUNCTION("""COMPUTED_VALUE"""),10.0)</f>
        <v>10</v>
      </c>
      <c r="AI146" s="200" t="str">
        <f>IFERROR(__xludf.DUMMYFUNCTION("""COMPUTED_VALUE"""),"Normal - No Action Required")</f>
        <v>Normal - No Action Required</v>
      </c>
      <c r="AJ146" s="200" t="str">
        <f>IFERROR(__xludf.DUMMYFUNCTION("""COMPUTED_VALUE"""),"Continue routine monitoring and sampling schedule")</f>
        <v>Continue routine monitoring and sampling schedule</v>
      </c>
      <c r="AK146" s="204"/>
      <c r="AL146" s="204"/>
      <c r="AM146" s="204"/>
    </row>
    <row r="147">
      <c r="A147" s="199" t="str">
        <f>IFERROR(__xludf.DUMMYFUNCTION("""COMPUTED_VALUE"""),"421.HR700 (B)")</f>
        <v>421.HR700 (B)</v>
      </c>
      <c r="B147" s="200" t="str">
        <f>IFERROR(__xludf.DUMMYFUNCTION("""COMPUTED_VALUE"""),"HOTDISC Drive M02")</f>
        <v>HOTDISC Drive M02</v>
      </c>
      <c r="C147" s="199">
        <f>IFERROR(__xludf.DUMMYFUNCTION("""COMPUTED_VALUE"""),2.4268239203E10)</f>
        <v>24268239203</v>
      </c>
      <c r="D147" s="201">
        <f>IFERROR(__xludf.DUMMYFUNCTION("""COMPUTED_VALUE"""),45545.0)</f>
        <v>45545</v>
      </c>
      <c r="E147" s="202" t="str">
        <f>IFERROR(__xludf.DUMMYFUNCTION("""COMPUTED_VALUE"""),"Caution")</f>
        <v>Caution</v>
      </c>
      <c r="F147" s="202" t="str">
        <f>IFERROR(__xludf.DUMMYFUNCTION("""COMPUTED_VALUE"""),"Caution")</f>
        <v>Caution</v>
      </c>
      <c r="G147" s="203" t="str">
        <f>IFERROR(__xludf.DUMMYFUNCTION("""COMPUTED_VALUE"""),"Normal")</f>
        <v>Normal</v>
      </c>
      <c r="H147" s="203" t="str">
        <f>IFERROR(__xludf.DUMMYFUNCTION("""COMPUTED_VALUE"""),"Normal")</f>
        <v>Normal</v>
      </c>
      <c r="I147" s="199"/>
      <c r="J147" s="199"/>
      <c r="K147" s="199"/>
      <c r="L147" s="199">
        <f>IFERROR(__xludf.DUMMYFUNCTION("""COMPUTED_VALUE"""),8.0)</f>
        <v>8</v>
      </c>
      <c r="M147" s="199">
        <f>IFERROR(__xludf.DUMMYFUNCTION("""COMPUTED_VALUE"""),216.5)</f>
        <v>216.5</v>
      </c>
      <c r="N147" s="199"/>
      <c r="O147" s="199"/>
      <c r="P147" s="199">
        <f>IFERROR(__xludf.DUMMYFUNCTION("""COMPUTED_VALUE"""),0.003)</f>
        <v>0.003</v>
      </c>
      <c r="Q147" s="199">
        <f>IFERROR(__xludf.DUMMYFUNCTION("""COMPUTED_VALUE"""),0.0)</f>
        <v>0</v>
      </c>
      <c r="R147" s="199">
        <f>IFERROR(__xludf.DUMMYFUNCTION("""COMPUTED_VALUE"""),4.0)</f>
        <v>4</v>
      </c>
      <c r="S147" s="199">
        <f>IFERROR(__xludf.DUMMYFUNCTION("""COMPUTED_VALUE"""),1.0)</f>
        <v>1</v>
      </c>
      <c r="T147" s="199">
        <f>IFERROR(__xludf.DUMMYFUNCTION("""COMPUTED_VALUE"""),0.0)</f>
        <v>0</v>
      </c>
      <c r="U147" s="199">
        <f>IFERROR(__xludf.DUMMYFUNCTION("""COMPUTED_VALUE"""),5.0)</f>
        <v>5</v>
      </c>
      <c r="V147" s="199">
        <f>IFERROR(__xludf.DUMMYFUNCTION("""COMPUTED_VALUE"""),0.0)</f>
        <v>0</v>
      </c>
      <c r="W147" s="199">
        <f>IFERROR(__xludf.DUMMYFUNCTION("""COMPUTED_VALUE"""),0.0)</f>
        <v>0</v>
      </c>
      <c r="X147" s="199">
        <f>IFERROR(__xludf.DUMMYFUNCTION("""COMPUTED_VALUE"""),0.0)</f>
        <v>0</v>
      </c>
      <c r="Y147" s="199">
        <f>IFERROR(__xludf.DUMMYFUNCTION("""COMPUTED_VALUE"""),0.0)</f>
        <v>0</v>
      </c>
      <c r="Z147" s="199">
        <f>IFERROR(__xludf.DUMMYFUNCTION("""COMPUTED_VALUE"""),0.0)</f>
        <v>0</v>
      </c>
      <c r="AA147" s="199">
        <f>IFERROR(__xludf.DUMMYFUNCTION("""COMPUTED_VALUE"""),0.0)</f>
        <v>0</v>
      </c>
      <c r="AB147" s="199">
        <f>IFERROR(__xludf.DUMMYFUNCTION("""COMPUTED_VALUE"""),8.0)</f>
        <v>8</v>
      </c>
      <c r="AC147" s="199">
        <f>IFERROR(__xludf.DUMMYFUNCTION("""COMPUTED_VALUE"""),10.0)</f>
        <v>10</v>
      </c>
      <c r="AD147" s="199">
        <f>IFERROR(__xludf.DUMMYFUNCTION("""COMPUTED_VALUE"""),0.0)</f>
        <v>0</v>
      </c>
      <c r="AE147" s="199">
        <f>IFERROR(__xludf.DUMMYFUNCTION("""COMPUTED_VALUE"""),32.0)</f>
        <v>32</v>
      </c>
      <c r="AF147" s="199">
        <f>IFERROR(__xludf.DUMMYFUNCTION("""COMPUTED_VALUE"""),0.0)</f>
        <v>0</v>
      </c>
      <c r="AG147" s="199">
        <f>IFERROR(__xludf.DUMMYFUNCTION("""COMPUTED_VALUE"""),429.0)</f>
        <v>429</v>
      </c>
      <c r="AH147" s="199">
        <f>IFERROR(__xludf.DUMMYFUNCTION("""COMPUTED_VALUE"""),5.0)</f>
        <v>5</v>
      </c>
      <c r="AI147" s="200" t="str">
        <f>IFERROR(__xludf.DUMMYFUNCTION("""COMPUTED_VALUE"""),"General Caution")</f>
        <v>General Caution</v>
      </c>
      <c r="AJ147" s="200" t="str">
        <f>IFERROR(__xludf.DUMMYFUNCTION("""COMPUTED_VALUE"""),"Continue monitoring; resample at next scheduled interval")</f>
        <v>Continue monitoring; resample at next scheduled interval</v>
      </c>
      <c r="AK147" s="204"/>
      <c r="AL147" s="204"/>
      <c r="AM147" s="204"/>
    </row>
    <row r="148" hidden="1">
      <c r="A148" s="199" t="str">
        <f>IFERROR(__xludf.DUMMYFUNCTION("""COMPUTED_VALUE"""),"321.MD152")</f>
        <v>321.MD152</v>
      </c>
      <c r="B148" s="200" t="str">
        <f>IFERROR(__xludf.DUMMYFUNCTION("""COMPUTED_VALUE"""),"Dynamic Separator Gearbox")</f>
        <v>Dynamic Separator Gearbox</v>
      </c>
      <c r="C148" s="199">
        <f>IFERROR(__xludf.DUMMYFUNCTION("""COMPUTED_VALUE"""),2.4269259219E10)</f>
        <v>24269259219</v>
      </c>
      <c r="D148" s="201">
        <f>IFERROR(__xludf.DUMMYFUNCTION("""COMPUTED_VALUE"""),45545.0)</f>
        <v>45545</v>
      </c>
      <c r="E148" s="202" t="str">
        <f>IFERROR(__xludf.DUMMYFUNCTION("""COMPUTED_VALUE"""),"Caution")</f>
        <v>Caution</v>
      </c>
      <c r="F148" s="202" t="str">
        <f>IFERROR(__xludf.DUMMYFUNCTION("""COMPUTED_VALUE"""),"Caution")</f>
        <v>Caution</v>
      </c>
      <c r="G148" s="203" t="str">
        <f>IFERROR(__xludf.DUMMYFUNCTION("""COMPUTED_VALUE"""),"Normal")</f>
        <v>Normal</v>
      </c>
      <c r="H148" s="203" t="str">
        <f>IFERROR(__xludf.DUMMYFUNCTION("""COMPUTED_VALUE"""),"Normal")</f>
        <v>Normal</v>
      </c>
      <c r="I148" s="37"/>
      <c r="J148" s="37"/>
      <c r="K148" s="37"/>
      <c r="L148" s="199">
        <f>IFERROR(__xludf.DUMMYFUNCTION("""COMPUTED_VALUE"""),9.0)</f>
        <v>9</v>
      </c>
      <c r="M148" s="199">
        <f>IFERROR(__xludf.DUMMYFUNCTION("""COMPUTED_VALUE"""),329.7)</f>
        <v>329.7</v>
      </c>
      <c r="N148" s="199"/>
      <c r="O148" s="199"/>
      <c r="P148" s="199">
        <f>IFERROR(__xludf.DUMMYFUNCTION("""COMPUTED_VALUE"""),0.05)</f>
        <v>0.05</v>
      </c>
      <c r="Q148" s="199">
        <f>IFERROR(__xludf.DUMMYFUNCTION("""COMPUTED_VALUE"""),0.0)</f>
        <v>0</v>
      </c>
      <c r="R148" s="199">
        <f>IFERROR(__xludf.DUMMYFUNCTION("""COMPUTED_VALUE"""),5.0)</f>
        <v>5</v>
      </c>
      <c r="S148" s="199">
        <f>IFERROR(__xludf.DUMMYFUNCTION("""COMPUTED_VALUE"""),1.0)</f>
        <v>1</v>
      </c>
      <c r="T148" s="199">
        <f>IFERROR(__xludf.DUMMYFUNCTION("""COMPUTED_VALUE"""),0.0)</f>
        <v>0</v>
      </c>
      <c r="U148" s="199">
        <f>IFERROR(__xludf.DUMMYFUNCTION("""COMPUTED_VALUE"""),10.0)</f>
        <v>10</v>
      </c>
      <c r="V148" s="199">
        <f>IFERROR(__xludf.DUMMYFUNCTION("""COMPUTED_VALUE"""),0.0)</f>
        <v>0</v>
      </c>
      <c r="W148" s="199">
        <f>IFERROR(__xludf.DUMMYFUNCTION("""COMPUTED_VALUE"""),0.0)</f>
        <v>0</v>
      </c>
      <c r="X148" s="199">
        <f>IFERROR(__xludf.DUMMYFUNCTION("""COMPUTED_VALUE"""),0.0)</f>
        <v>0</v>
      </c>
      <c r="Y148" s="199">
        <f>IFERROR(__xludf.DUMMYFUNCTION("""COMPUTED_VALUE"""),0.0)</f>
        <v>0</v>
      </c>
      <c r="Z148" s="199">
        <f>IFERROR(__xludf.DUMMYFUNCTION("""COMPUTED_VALUE"""),2.0)</f>
        <v>2</v>
      </c>
      <c r="AA148" s="199">
        <f>IFERROR(__xludf.DUMMYFUNCTION("""COMPUTED_VALUE"""),0.0)</f>
        <v>0</v>
      </c>
      <c r="AB148" s="199">
        <f>IFERROR(__xludf.DUMMYFUNCTION("""COMPUTED_VALUE"""),23.0)</f>
        <v>23</v>
      </c>
      <c r="AC148" s="199">
        <f>IFERROR(__xludf.DUMMYFUNCTION("""COMPUTED_VALUE"""),16.0)</f>
        <v>16</v>
      </c>
      <c r="AD148" s="199">
        <f>IFERROR(__xludf.DUMMYFUNCTION("""COMPUTED_VALUE"""),0.0)</f>
        <v>0</v>
      </c>
      <c r="AE148" s="199">
        <f>IFERROR(__xludf.DUMMYFUNCTION("""COMPUTED_VALUE"""),17.0)</f>
        <v>17</v>
      </c>
      <c r="AF148" s="199">
        <f>IFERROR(__xludf.DUMMYFUNCTION("""COMPUTED_VALUE"""),0.0)</f>
        <v>0</v>
      </c>
      <c r="AG148" s="199">
        <f>IFERROR(__xludf.DUMMYFUNCTION("""COMPUTED_VALUE"""),505.0)</f>
        <v>505</v>
      </c>
      <c r="AH148" s="199">
        <f>IFERROR(__xludf.DUMMYFUNCTION("""COMPUTED_VALUE"""),54.0)</f>
        <v>54</v>
      </c>
      <c r="AI148" s="200" t="str">
        <f>IFERROR(__xludf.DUMMYFUNCTION("""COMPUTED_VALUE"""),"Contamination Caution")</f>
        <v>Contamination Caution</v>
      </c>
      <c r="AJ148" s="200" t="str">
        <f>IFERROR(__xludf.DUMMYFUNCTION("""COMPUTED_VALUE"""),"Silicon elevated - check air filtration and seals")</f>
        <v>Silicon elevated - check air filtration and seals</v>
      </c>
      <c r="AK148" s="204"/>
      <c r="AL148" s="204"/>
      <c r="AM148" s="204"/>
    </row>
    <row r="149" hidden="1">
      <c r="A149" s="199" t="str">
        <f>IFERROR(__xludf.DUMMYFUNCTION("""COMPUTED_VALUE"""),"431.HT120")</f>
        <v>431.HT120</v>
      </c>
      <c r="B149" s="200" t="str">
        <f>IFERROR(__xludf.DUMMYFUNCTION("""COMPUTED_VALUE"""),"Kiln Hydraulic thrust circuit")</f>
        <v>Kiln Hydraulic thrust circuit</v>
      </c>
      <c r="C149" s="199">
        <f>IFERROR(__xludf.DUMMYFUNCTION("""COMPUTED_VALUE"""),2.4268239201E10)</f>
        <v>24268239201</v>
      </c>
      <c r="D149" s="201">
        <f>IFERROR(__xludf.DUMMYFUNCTION("""COMPUTED_VALUE"""),45545.0)</f>
        <v>45545</v>
      </c>
      <c r="E149" s="202" t="str">
        <f>IFERROR(__xludf.DUMMYFUNCTION("""COMPUTED_VALUE"""),"Normal")</f>
        <v>Normal</v>
      </c>
      <c r="F149" s="202" t="str">
        <f>IFERROR(__xludf.DUMMYFUNCTION("""COMPUTED_VALUE"""),"Normal")</f>
        <v>Normal</v>
      </c>
      <c r="G149" s="203" t="str">
        <f>IFERROR(__xludf.DUMMYFUNCTION("""COMPUTED_VALUE"""),"Normal")</f>
        <v>Normal</v>
      </c>
      <c r="H149" s="203" t="str">
        <f>IFERROR(__xludf.DUMMYFUNCTION("""COMPUTED_VALUE"""),"Normal")</f>
        <v>Normal</v>
      </c>
      <c r="I149" s="37">
        <f>IFERROR(__xludf.DUMMYFUNCTION("""COMPUTED_VALUE"""),7825.0)</f>
        <v>7825</v>
      </c>
      <c r="J149" s="37">
        <f>IFERROR(__xludf.DUMMYFUNCTION("""COMPUTED_VALUE"""),2072.0)</f>
        <v>2072</v>
      </c>
      <c r="K149" s="37">
        <f>IFERROR(__xludf.DUMMYFUNCTION("""COMPUTED_VALUE"""),619.0)</f>
        <v>619</v>
      </c>
      <c r="L149" s="199">
        <f>IFERROR(__xludf.DUMMYFUNCTION("""COMPUTED_VALUE"""),3.0)</f>
        <v>3</v>
      </c>
      <c r="M149" s="199">
        <f>IFERROR(__xludf.DUMMYFUNCTION("""COMPUTED_VALUE"""),45.1)</f>
        <v>45.1</v>
      </c>
      <c r="N149" s="37"/>
      <c r="O149" s="37">
        <f>IFERROR(__xludf.DUMMYFUNCTION("""COMPUTED_VALUE"""),0.0)</f>
        <v>0</v>
      </c>
      <c r="P149" s="199">
        <f>IFERROR(__xludf.DUMMYFUNCTION("""COMPUTED_VALUE"""),0.003)</f>
        <v>0.003</v>
      </c>
      <c r="Q149" s="199">
        <f>IFERROR(__xludf.DUMMYFUNCTION("""COMPUTED_VALUE"""),0.0)</f>
        <v>0</v>
      </c>
      <c r="R149" s="199">
        <f>IFERROR(__xludf.DUMMYFUNCTION("""COMPUTED_VALUE"""),5.0)</f>
        <v>5</v>
      </c>
      <c r="S149" s="199">
        <f>IFERROR(__xludf.DUMMYFUNCTION("""COMPUTED_VALUE"""),1.0)</f>
        <v>1</v>
      </c>
      <c r="T149" s="199">
        <f>IFERROR(__xludf.DUMMYFUNCTION("""COMPUTED_VALUE"""),3.0)</f>
        <v>3</v>
      </c>
      <c r="U149" s="199">
        <f>IFERROR(__xludf.DUMMYFUNCTION("""COMPUTED_VALUE"""),9.0)</f>
        <v>9</v>
      </c>
      <c r="V149" s="199">
        <f>IFERROR(__xludf.DUMMYFUNCTION("""COMPUTED_VALUE"""),0.0)</f>
        <v>0</v>
      </c>
      <c r="W149" s="199">
        <f>IFERROR(__xludf.DUMMYFUNCTION("""COMPUTED_VALUE"""),0.0)</f>
        <v>0</v>
      </c>
      <c r="X149" s="199">
        <f>IFERROR(__xludf.DUMMYFUNCTION("""COMPUTED_VALUE"""),0.0)</f>
        <v>0</v>
      </c>
      <c r="Y149" s="199">
        <f>IFERROR(__xludf.DUMMYFUNCTION("""COMPUTED_VALUE"""),0.0)</f>
        <v>0</v>
      </c>
      <c r="Z149" s="199">
        <f>IFERROR(__xludf.DUMMYFUNCTION("""COMPUTED_VALUE"""),0.0)</f>
        <v>0</v>
      </c>
      <c r="AA149" s="199">
        <f>IFERROR(__xludf.DUMMYFUNCTION("""COMPUTED_VALUE"""),0.0)</f>
        <v>0</v>
      </c>
      <c r="AB149" s="199">
        <f>IFERROR(__xludf.DUMMYFUNCTION("""COMPUTED_VALUE"""),5.0)</f>
        <v>5</v>
      </c>
      <c r="AC149" s="199">
        <f>IFERROR(__xludf.DUMMYFUNCTION("""COMPUTED_VALUE"""),2.0)</f>
        <v>2</v>
      </c>
      <c r="AD149" s="199">
        <f>IFERROR(__xludf.DUMMYFUNCTION("""COMPUTED_VALUE"""),0.0)</f>
        <v>0</v>
      </c>
      <c r="AE149" s="199">
        <f>IFERROR(__xludf.DUMMYFUNCTION("""COMPUTED_VALUE"""),113.0)</f>
        <v>113</v>
      </c>
      <c r="AF149" s="199">
        <f>IFERROR(__xludf.DUMMYFUNCTION("""COMPUTED_VALUE"""),0.0)</f>
        <v>0</v>
      </c>
      <c r="AG149" s="199">
        <f>IFERROR(__xludf.DUMMYFUNCTION("""COMPUTED_VALUE"""),415.0)</f>
        <v>415</v>
      </c>
      <c r="AH149" s="199">
        <f>IFERROR(__xludf.DUMMYFUNCTION("""COMPUTED_VALUE"""),671.0)</f>
        <v>671</v>
      </c>
      <c r="AI149" s="200" t="str">
        <f>IFERROR(__xludf.DUMMYFUNCTION("""COMPUTED_VALUE"""),"Normal - No Action Required")</f>
        <v>Normal - No Action Required</v>
      </c>
      <c r="AJ149" s="200" t="str">
        <f>IFERROR(__xludf.DUMMYFUNCTION("""COMPUTED_VALUE"""),"Continue routine monitoring and sampling schedule")</f>
        <v>Continue routine monitoring and sampling schedule</v>
      </c>
      <c r="AK149" s="204"/>
      <c r="AL149" s="204"/>
      <c r="AM149" s="204"/>
    </row>
    <row r="150" hidden="1">
      <c r="A150" s="199" t="str">
        <f>IFERROR(__xludf.DUMMYFUNCTION("""COMPUTED_VALUE"""),"431.MD140 (N31)")</f>
        <v>431.MD140 (N31)</v>
      </c>
      <c r="B150" s="200" t="str">
        <f>IFERROR(__xludf.DUMMYFUNCTION("""COMPUTED_VALUE"""),"Kiln Main drive gearbox W.S side")</f>
        <v>Kiln Main drive gearbox W.S side</v>
      </c>
      <c r="C150" s="199">
        <f>IFERROR(__xludf.DUMMYFUNCTION("""COMPUTED_VALUE"""),2.4288814023E10)</f>
        <v>24288814023</v>
      </c>
      <c r="D150" s="201">
        <f>IFERROR(__xludf.DUMMYFUNCTION("""COMPUTED_VALUE"""),45560.0)</f>
        <v>45560</v>
      </c>
      <c r="E150" s="202" t="str">
        <f>IFERROR(__xludf.DUMMYFUNCTION("""COMPUTED_VALUE"""),"Normal")</f>
        <v>Normal</v>
      </c>
      <c r="F150" s="202" t="str">
        <f>IFERROR(__xludf.DUMMYFUNCTION("""COMPUTED_VALUE"""),"Normal")</f>
        <v>Normal</v>
      </c>
      <c r="G150" s="203" t="str">
        <f>IFERROR(__xludf.DUMMYFUNCTION("""COMPUTED_VALUE"""),"Normal")</f>
        <v>Normal</v>
      </c>
      <c r="H150" s="203" t="str">
        <f>IFERROR(__xludf.DUMMYFUNCTION("""COMPUTED_VALUE"""),"Normal")</f>
        <v>Normal</v>
      </c>
      <c r="I150" s="37">
        <f>IFERROR(__xludf.DUMMYFUNCTION("""COMPUTED_VALUE"""),29237.0)</f>
        <v>29237</v>
      </c>
      <c r="J150" s="37">
        <f>IFERROR(__xludf.DUMMYFUNCTION("""COMPUTED_VALUE"""),19632.0)</f>
        <v>19632</v>
      </c>
      <c r="K150" s="37">
        <f>IFERROR(__xludf.DUMMYFUNCTION("""COMPUTED_VALUE"""),5532.0)</f>
        <v>5532</v>
      </c>
      <c r="L150" s="199">
        <f>IFERROR(__xludf.DUMMYFUNCTION("""COMPUTED_VALUE"""),6.0)</f>
        <v>6</v>
      </c>
      <c r="M150" s="199">
        <f>IFERROR(__xludf.DUMMYFUNCTION("""COMPUTED_VALUE"""),305.9)</f>
        <v>305.9</v>
      </c>
      <c r="N150" s="37"/>
      <c r="O150" s="37">
        <f>IFERROR(__xludf.DUMMYFUNCTION("""COMPUTED_VALUE"""),1.0)</f>
        <v>1</v>
      </c>
      <c r="P150" s="199">
        <f>IFERROR(__xludf.DUMMYFUNCTION("""COMPUTED_VALUE"""),0.02)</f>
        <v>0.02</v>
      </c>
      <c r="Q150" s="199">
        <f>IFERROR(__xludf.DUMMYFUNCTION("""COMPUTED_VALUE"""),0.0)</f>
        <v>0</v>
      </c>
      <c r="R150" s="199">
        <f>IFERROR(__xludf.DUMMYFUNCTION("""COMPUTED_VALUE"""),0.0)</f>
        <v>0</v>
      </c>
      <c r="S150" s="199">
        <f>IFERROR(__xludf.DUMMYFUNCTION("""COMPUTED_VALUE"""),0.0)</f>
        <v>0</v>
      </c>
      <c r="T150" s="199">
        <f>IFERROR(__xludf.DUMMYFUNCTION("""COMPUTED_VALUE"""),0.0)</f>
        <v>0</v>
      </c>
      <c r="U150" s="199">
        <f>IFERROR(__xludf.DUMMYFUNCTION("""COMPUTED_VALUE"""),7.0)</f>
        <v>7</v>
      </c>
      <c r="V150" s="199">
        <f>IFERROR(__xludf.DUMMYFUNCTION("""COMPUTED_VALUE"""),0.0)</f>
        <v>0</v>
      </c>
      <c r="W150" s="199">
        <f>IFERROR(__xludf.DUMMYFUNCTION("""COMPUTED_VALUE"""),0.0)</f>
        <v>0</v>
      </c>
      <c r="X150" s="199">
        <f>IFERROR(__xludf.DUMMYFUNCTION("""COMPUTED_VALUE"""),0.0)</f>
        <v>0</v>
      </c>
      <c r="Y150" s="199">
        <f>IFERROR(__xludf.DUMMYFUNCTION("""COMPUTED_VALUE"""),0.0)</f>
        <v>0</v>
      </c>
      <c r="Z150" s="199">
        <f>IFERROR(__xludf.DUMMYFUNCTION("""COMPUTED_VALUE"""),0.0)</f>
        <v>0</v>
      </c>
      <c r="AA150" s="199">
        <f>IFERROR(__xludf.DUMMYFUNCTION("""COMPUTED_VALUE"""),0.0)</f>
        <v>0</v>
      </c>
      <c r="AB150" s="199">
        <f>IFERROR(__xludf.DUMMYFUNCTION("""COMPUTED_VALUE"""),2.0)</f>
        <v>2</v>
      </c>
      <c r="AC150" s="199">
        <f>IFERROR(__xludf.DUMMYFUNCTION("""COMPUTED_VALUE"""),38.0)</f>
        <v>38</v>
      </c>
      <c r="AD150" s="199">
        <f>IFERROR(__xludf.DUMMYFUNCTION("""COMPUTED_VALUE"""),0.0)</f>
        <v>0</v>
      </c>
      <c r="AE150" s="199">
        <f>IFERROR(__xludf.DUMMYFUNCTION("""COMPUTED_VALUE"""),4.0)</f>
        <v>4</v>
      </c>
      <c r="AF150" s="199">
        <f>IFERROR(__xludf.DUMMYFUNCTION("""COMPUTED_VALUE"""),2.0)</f>
        <v>2</v>
      </c>
      <c r="AG150" s="199">
        <f>IFERROR(__xludf.DUMMYFUNCTION("""COMPUTED_VALUE"""),315.0)</f>
        <v>315</v>
      </c>
      <c r="AH150" s="199">
        <f>IFERROR(__xludf.DUMMYFUNCTION("""COMPUTED_VALUE"""),8.0)</f>
        <v>8</v>
      </c>
      <c r="AI150" s="200" t="str">
        <f>IFERROR(__xludf.DUMMYFUNCTION("""COMPUTED_VALUE"""),"Normal - No Action Required")</f>
        <v>Normal - No Action Required</v>
      </c>
      <c r="AJ150" s="200" t="str">
        <f>IFERROR(__xludf.DUMMYFUNCTION("""COMPUTED_VALUE"""),"Continue routine monitoring and sampling schedule")</f>
        <v>Continue routine monitoring and sampling schedule</v>
      </c>
      <c r="AK150" s="204"/>
      <c r="AL150" s="204"/>
      <c r="AM150" s="204"/>
    </row>
    <row r="151" hidden="1">
      <c r="A151" s="199" t="str">
        <f>IFERROR(__xludf.DUMMYFUNCTION("""COMPUTED_VALUE"""),"431.MD140 (N32)")</f>
        <v>431.MD140 (N32)</v>
      </c>
      <c r="B151" s="200" t="str">
        <f>IFERROR(__xludf.DUMMYFUNCTION("""COMPUTED_VALUE"""),"Kiln Main drive gearbox CCR side")</f>
        <v>Kiln Main drive gearbox CCR side</v>
      </c>
      <c r="C151" s="199">
        <f>IFERROR(__xludf.DUMMYFUNCTION("""COMPUTED_VALUE"""),2.4288814028E10)</f>
        <v>24288814028</v>
      </c>
      <c r="D151" s="201">
        <f>IFERROR(__xludf.DUMMYFUNCTION("""COMPUTED_VALUE"""),45560.0)</f>
        <v>45560</v>
      </c>
      <c r="E151" s="202" t="str">
        <f>IFERROR(__xludf.DUMMYFUNCTION("""COMPUTED_VALUE"""),"Normal")</f>
        <v>Normal</v>
      </c>
      <c r="F151" s="202" t="str">
        <f>IFERROR(__xludf.DUMMYFUNCTION("""COMPUTED_VALUE"""),"Normal")</f>
        <v>Normal</v>
      </c>
      <c r="G151" s="203" t="str">
        <f>IFERROR(__xludf.DUMMYFUNCTION("""COMPUTED_VALUE"""),"Normal")</f>
        <v>Normal</v>
      </c>
      <c r="H151" s="203" t="str">
        <f>IFERROR(__xludf.DUMMYFUNCTION("""COMPUTED_VALUE"""),"Normal")</f>
        <v>Normal</v>
      </c>
      <c r="I151" s="37">
        <f>IFERROR(__xludf.DUMMYFUNCTION("""COMPUTED_VALUE"""),32092.0)</f>
        <v>32092</v>
      </c>
      <c r="J151" s="37">
        <f>IFERROR(__xludf.DUMMYFUNCTION("""COMPUTED_VALUE"""),19005.0)</f>
        <v>19005</v>
      </c>
      <c r="K151" s="37">
        <f>IFERROR(__xludf.DUMMYFUNCTION("""COMPUTED_VALUE"""),9371.0)</f>
        <v>9371</v>
      </c>
      <c r="L151" s="199">
        <f>IFERROR(__xludf.DUMMYFUNCTION("""COMPUTED_VALUE"""),5.0)</f>
        <v>5</v>
      </c>
      <c r="M151" s="199">
        <f>IFERROR(__xludf.DUMMYFUNCTION("""COMPUTED_VALUE"""),307.5)</f>
        <v>307.5</v>
      </c>
      <c r="N151" s="37"/>
      <c r="O151" s="37">
        <f>IFERROR(__xludf.DUMMYFUNCTION("""COMPUTED_VALUE"""),1.0)</f>
        <v>1</v>
      </c>
      <c r="P151" s="199">
        <f>IFERROR(__xludf.DUMMYFUNCTION("""COMPUTED_VALUE"""),0.02)</f>
        <v>0.02</v>
      </c>
      <c r="Q151" s="199">
        <f>IFERROR(__xludf.DUMMYFUNCTION("""COMPUTED_VALUE"""),0.0)</f>
        <v>0</v>
      </c>
      <c r="R151" s="199">
        <f>IFERROR(__xludf.DUMMYFUNCTION("""COMPUTED_VALUE"""),0.0)</f>
        <v>0</v>
      </c>
      <c r="S151" s="199">
        <f>IFERROR(__xludf.DUMMYFUNCTION("""COMPUTED_VALUE"""),0.0)</f>
        <v>0</v>
      </c>
      <c r="T151" s="199">
        <f>IFERROR(__xludf.DUMMYFUNCTION("""COMPUTED_VALUE"""),0.0)</f>
        <v>0</v>
      </c>
      <c r="U151" s="199">
        <f>IFERROR(__xludf.DUMMYFUNCTION("""COMPUTED_VALUE"""),16.0)</f>
        <v>16</v>
      </c>
      <c r="V151" s="199">
        <f>IFERROR(__xludf.DUMMYFUNCTION("""COMPUTED_VALUE"""),0.0)</f>
        <v>0</v>
      </c>
      <c r="W151" s="199">
        <f>IFERROR(__xludf.DUMMYFUNCTION("""COMPUTED_VALUE"""),0.0)</f>
        <v>0</v>
      </c>
      <c r="X151" s="199">
        <f>IFERROR(__xludf.DUMMYFUNCTION("""COMPUTED_VALUE"""),0.0)</f>
        <v>0</v>
      </c>
      <c r="Y151" s="199">
        <f>IFERROR(__xludf.DUMMYFUNCTION("""COMPUTED_VALUE"""),0.0)</f>
        <v>0</v>
      </c>
      <c r="Z151" s="199">
        <f>IFERROR(__xludf.DUMMYFUNCTION("""COMPUTED_VALUE"""),0.0)</f>
        <v>0</v>
      </c>
      <c r="AA151" s="199">
        <f>IFERROR(__xludf.DUMMYFUNCTION("""COMPUTED_VALUE"""),0.0)</f>
        <v>0</v>
      </c>
      <c r="AB151" s="199">
        <f>IFERROR(__xludf.DUMMYFUNCTION("""COMPUTED_VALUE"""),6.0)</f>
        <v>6</v>
      </c>
      <c r="AC151" s="199">
        <f>IFERROR(__xludf.DUMMYFUNCTION("""COMPUTED_VALUE"""),14.0)</f>
        <v>14</v>
      </c>
      <c r="AD151" s="199">
        <f>IFERROR(__xludf.DUMMYFUNCTION("""COMPUTED_VALUE"""),0.0)</f>
        <v>0</v>
      </c>
      <c r="AE151" s="199">
        <f>IFERROR(__xludf.DUMMYFUNCTION("""COMPUTED_VALUE"""),8.0)</f>
        <v>8</v>
      </c>
      <c r="AF151" s="199">
        <f>IFERROR(__xludf.DUMMYFUNCTION("""COMPUTED_VALUE"""),2.0)</f>
        <v>2</v>
      </c>
      <c r="AG151" s="199">
        <f>IFERROR(__xludf.DUMMYFUNCTION("""COMPUTED_VALUE"""),281.0)</f>
        <v>281</v>
      </c>
      <c r="AH151" s="199">
        <f>IFERROR(__xludf.DUMMYFUNCTION("""COMPUTED_VALUE"""),4.0)</f>
        <v>4</v>
      </c>
      <c r="AI151" s="200" t="str">
        <f>IFERROR(__xludf.DUMMYFUNCTION("""COMPUTED_VALUE"""),"Normal - No Action Required")</f>
        <v>Normal - No Action Required</v>
      </c>
      <c r="AJ151" s="200" t="str">
        <f>IFERROR(__xludf.DUMMYFUNCTION("""COMPUTED_VALUE"""),"Continue routine monitoring and sampling schedule")</f>
        <v>Continue routine monitoring and sampling schedule</v>
      </c>
      <c r="AK151" s="204"/>
      <c r="AL151" s="204"/>
      <c r="AM151" s="204"/>
    </row>
    <row r="152" hidden="1">
      <c r="A152" s="199" t="str">
        <f>IFERROR(__xludf.DUMMYFUNCTION("""COMPUTED_VALUE"""),"431.KB101(1)")</f>
        <v>431.KB101(1)</v>
      </c>
      <c r="B152" s="200" t="str">
        <f>IFERROR(__xludf.DUMMYFUNCTION("""COMPUTED_VALUE"""),"Kiln Bearing")</f>
        <v>Kiln Bearing</v>
      </c>
      <c r="C152" s="199">
        <f>IFERROR(__xludf.DUMMYFUNCTION("""COMPUTED_VALUE"""),2.4288140249E10)</f>
        <v>24288140249</v>
      </c>
      <c r="D152" s="201">
        <f>IFERROR(__xludf.DUMMYFUNCTION("""COMPUTED_VALUE"""),45567.0)</f>
        <v>45567</v>
      </c>
      <c r="E152" s="202" t="str">
        <f>IFERROR(__xludf.DUMMYFUNCTION("""COMPUTED_VALUE"""),"Alert")</f>
        <v>Alert</v>
      </c>
      <c r="F152" s="202" t="str">
        <f>IFERROR(__xludf.DUMMYFUNCTION("""COMPUTED_VALUE"""),"Alert")</f>
        <v>Alert</v>
      </c>
      <c r="G152" s="203" t="str">
        <f>IFERROR(__xludf.DUMMYFUNCTION("""COMPUTED_VALUE"""),"Normal")</f>
        <v>Normal</v>
      </c>
      <c r="H152" s="203" t="str">
        <f>IFERROR(__xludf.DUMMYFUNCTION("""COMPUTED_VALUE"""),"Alert")</f>
        <v>Alert</v>
      </c>
      <c r="I152" s="199"/>
      <c r="J152" s="199"/>
      <c r="K152" s="199"/>
      <c r="L152" s="199">
        <f>IFERROR(__xludf.DUMMYFUNCTION("""COMPUTED_VALUE"""),7.0)</f>
        <v>7</v>
      </c>
      <c r="M152" s="199">
        <f>IFERROR(__xludf.DUMMYFUNCTION("""COMPUTED_VALUE"""),59.2)</f>
        <v>59.2</v>
      </c>
      <c r="N152" s="37"/>
      <c r="O152" s="37">
        <f>IFERROR(__xludf.DUMMYFUNCTION("""COMPUTED_VALUE"""),1.0)</f>
        <v>1</v>
      </c>
      <c r="P152" s="199"/>
      <c r="Q152" s="199">
        <f>IFERROR(__xludf.DUMMYFUNCTION("""COMPUTED_VALUE"""),0.0)</f>
        <v>0</v>
      </c>
      <c r="R152" s="199">
        <f>IFERROR(__xludf.DUMMYFUNCTION("""COMPUTED_VALUE"""),0.0)</f>
        <v>0</v>
      </c>
      <c r="S152" s="199">
        <f>IFERROR(__xludf.DUMMYFUNCTION("""COMPUTED_VALUE"""),0.0)</f>
        <v>0</v>
      </c>
      <c r="T152" s="199">
        <f>IFERROR(__xludf.DUMMYFUNCTION("""COMPUTED_VALUE"""),37.0)</f>
        <v>37</v>
      </c>
      <c r="U152" s="199">
        <f>IFERROR(__xludf.DUMMYFUNCTION("""COMPUTED_VALUE"""),20.0)</f>
        <v>20</v>
      </c>
      <c r="V152" s="199">
        <f>IFERROR(__xludf.DUMMYFUNCTION("""COMPUTED_VALUE"""),0.0)</f>
        <v>0</v>
      </c>
      <c r="W152" s="199">
        <f>IFERROR(__xludf.DUMMYFUNCTION("""COMPUTED_VALUE"""),0.0)</f>
        <v>0</v>
      </c>
      <c r="X152" s="199">
        <f>IFERROR(__xludf.DUMMYFUNCTION("""COMPUTED_VALUE"""),0.0)</f>
        <v>0</v>
      </c>
      <c r="Y152" s="199">
        <f>IFERROR(__xludf.DUMMYFUNCTION("""COMPUTED_VALUE"""),0.0)</f>
        <v>0</v>
      </c>
      <c r="Z152" s="199">
        <f>IFERROR(__xludf.DUMMYFUNCTION("""COMPUTED_VALUE"""),2.0)</f>
        <v>2</v>
      </c>
      <c r="AA152" s="199">
        <f>IFERROR(__xludf.DUMMYFUNCTION("""COMPUTED_VALUE"""),0.0)</f>
        <v>0</v>
      </c>
      <c r="AB152" s="199">
        <f>IFERROR(__xludf.DUMMYFUNCTION("""COMPUTED_VALUE"""),44.0)</f>
        <v>44</v>
      </c>
      <c r="AC152" s="199">
        <f>IFERROR(__xludf.DUMMYFUNCTION("""COMPUTED_VALUE"""),32.0)</f>
        <v>32</v>
      </c>
      <c r="AD152" s="199">
        <f>IFERROR(__xludf.DUMMYFUNCTION("""COMPUTED_VALUE"""),0.0)</f>
        <v>0</v>
      </c>
      <c r="AE152" s="199">
        <f>IFERROR(__xludf.DUMMYFUNCTION("""COMPUTED_VALUE"""),33.0)</f>
        <v>33</v>
      </c>
      <c r="AF152" s="199">
        <f>IFERROR(__xludf.DUMMYFUNCTION("""COMPUTED_VALUE"""),3.0)</f>
        <v>3</v>
      </c>
      <c r="AG152" s="199">
        <f>IFERROR(__xludf.DUMMYFUNCTION("""COMPUTED_VALUE"""),325.0)</f>
        <v>325</v>
      </c>
      <c r="AH152" s="199">
        <f>IFERROR(__xludf.DUMMYFUNCTION("""COMPUTED_VALUE"""),12.0)</f>
        <v>12</v>
      </c>
      <c r="AI152" s="200" t="str">
        <f>IFERROR(__xludf.DUMMYFUNCTION("""COMPUTED_VALUE"""),"General Alert")</f>
        <v>General Alert</v>
      </c>
      <c r="AJ152" s="200" t="str">
        <f>IFERROR(__xludf.DUMMYFUNCTION("""COMPUTED_VALUE"""),"Elevated silicon - inspect filters and seals for contamination")</f>
        <v>Elevated silicon - inspect filters and seals for contamination</v>
      </c>
      <c r="AK152" s="204"/>
      <c r="AL152" s="204"/>
      <c r="AM152" s="204"/>
    </row>
    <row r="153" hidden="1">
      <c r="A153" s="199" t="str">
        <f>IFERROR(__xludf.DUMMYFUNCTION("""COMPUTED_VALUE"""),"431.KB101(2)")</f>
        <v>431.KB101(2)</v>
      </c>
      <c r="B153" s="200" t="str">
        <f>IFERROR(__xludf.DUMMYFUNCTION("""COMPUTED_VALUE"""),"Kiln Bearing")</f>
        <v>Kiln Bearing</v>
      </c>
      <c r="C153" s="199">
        <f>IFERROR(__xludf.DUMMYFUNCTION("""COMPUTED_VALUE"""),2.4288140248E10)</f>
        <v>24288140248</v>
      </c>
      <c r="D153" s="201">
        <f>IFERROR(__xludf.DUMMYFUNCTION("""COMPUTED_VALUE"""),45567.0)</f>
        <v>45567</v>
      </c>
      <c r="E153" s="202" t="str">
        <f>IFERROR(__xludf.DUMMYFUNCTION("""COMPUTED_VALUE"""),"Alert")</f>
        <v>Alert</v>
      </c>
      <c r="F153" s="202" t="str">
        <f>IFERROR(__xludf.DUMMYFUNCTION("""COMPUTED_VALUE"""),"Caution")</f>
        <v>Caution</v>
      </c>
      <c r="G153" s="203" t="str">
        <f>IFERROR(__xludf.DUMMYFUNCTION("""COMPUTED_VALUE"""),"Normal")</f>
        <v>Normal</v>
      </c>
      <c r="H153" s="203" t="str">
        <f>IFERROR(__xludf.DUMMYFUNCTION("""COMPUTED_VALUE"""),"Alert")</f>
        <v>Alert</v>
      </c>
      <c r="I153" s="37"/>
      <c r="J153" s="37"/>
      <c r="K153" s="37"/>
      <c r="L153" s="199">
        <f>IFERROR(__xludf.DUMMYFUNCTION("""COMPUTED_VALUE"""),9.0)</f>
        <v>9</v>
      </c>
      <c r="M153" s="199">
        <f>IFERROR(__xludf.DUMMYFUNCTION("""COMPUTED_VALUE"""),59.5)</f>
        <v>59.5</v>
      </c>
      <c r="N153" s="37"/>
      <c r="O153" s="37">
        <f>IFERROR(__xludf.DUMMYFUNCTION("""COMPUTED_VALUE"""),1.0)</f>
        <v>1</v>
      </c>
      <c r="P153" s="199"/>
      <c r="Q153" s="199">
        <f>IFERROR(__xludf.DUMMYFUNCTION("""COMPUTED_VALUE"""),0.0)</f>
        <v>0</v>
      </c>
      <c r="R153" s="199">
        <f>IFERROR(__xludf.DUMMYFUNCTION("""COMPUTED_VALUE"""),0.0)</f>
        <v>0</v>
      </c>
      <c r="S153" s="199">
        <f>IFERROR(__xludf.DUMMYFUNCTION("""COMPUTED_VALUE"""),0.0)</f>
        <v>0</v>
      </c>
      <c r="T153" s="199">
        <f>IFERROR(__xludf.DUMMYFUNCTION("""COMPUTED_VALUE"""),32.0)</f>
        <v>32</v>
      </c>
      <c r="U153" s="199">
        <f>IFERROR(__xludf.DUMMYFUNCTION("""COMPUTED_VALUE"""),15.0)</f>
        <v>15</v>
      </c>
      <c r="V153" s="199">
        <f>IFERROR(__xludf.DUMMYFUNCTION("""COMPUTED_VALUE"""),0.0)</f>
        <v>0</v>
      </c>
      <c r="W153" s="199">
        <f>IFERROR(__xludf.DUMMYFUNCTION("""COMPUTED_VALUE"""),0.0)</f>
        <v>0</v>
      </c>
      <c r="X153" s="199">
        <f>IFERROR(__xludf.DUMMYFUNCTION("""COMPUTED_VALUE"""),0.0)</f>
        <v>0</v>
      </c>
      <c r="Y153" s="199">
        <f>IFERROR(__xludf.DUMMYFUNCTION("""COMPUTED_VALUE"""),7.0)</f>
        <v>7</v>
      </c>
      <c r="Z153" s="199">
        <f>IFERROR(__xludf.DUMMYFUNCTION("""COMPUTED_VALUE"""),2.0)</f>
        <v>2</v>
      </c>
      <c r="AA153" s="199">
        <f>IFERROR(__xludf.DUMMYFUNCTION("""COMPUTED_VALUE"""),0.0)</f>
        <v>0</v>
      </c>
      <c r="AB153" s="199">
        <f>IFERROR(__xludf.DUMMYFUNCTION("""COMPUTED_VALUE"""),39.0)</f>
        <v>39</v>
      </c>
      <c r="AC153" s="199">
        <f>IFERROR(__xludf.DUMMYFUNCTION("""COMPUTED_VALUE"""),3.0)</f>
        <v>3</v>
      </c>
      <c r="AD153" s="199">
        <f>IFERROR(__xludf.DUMMYFUNCTION("""COMPUTED_VALUE"""),0.0)</f>
        <v>0</v>
      </c>
      <c r="AE153" s="199">
        <f>IFERROR(__xludf.DUMMYFUNCTION("""COMPUTED_VALUE"""),25.0)</f>
        <v>25</v>
      </c>
      <c r="AF153" s="199">
        <f>IFERROR(__xludf.DUMMYFUNCTION("""COMPUTED_VALUE"""),0.0)</f>
        <v>0</v>
      </c>
      <c r="AG153" s="199">
        <f>IFERROR(__xludf.DUMMYFUNCTION("""COMPUTED_VALUE"""),233.0)</f>
        <v>233</v>
      </c>
      <c r="AH153" s="199">
        <f>IFERROR(__xludf.DUMMYFUNCTION("""COMPUTED_VALUE"""),9.0)</f>
        <v>9</v>
      </c>
      <c r="AI153" s="200" t="str">
        <f>IFERROR(__xludf.DUMMYFUNCTION("""COMPUTED_VALUE"""),"General Alert")</f>
        <v>General Alert</v>
      </c>
      <c r="AJ153" s="200" t="str">
        <f>IFERROR(__xludf.DUMMYFUNCTION("""COMPUTED_VALUE"""),"Elevated silicon - inspect filters and seals for contamination")</f>
        <v>Elevated silicon - inspect filters and seals for contamination</v>
      </c>
      <c r="AK153" s="204"/>
      <c r="AL153" s="204"/>
      <c r="AM153" s="204"/>
    </row>
    <row r="154" hidden="1">
      <c r="A154" s="199" t="str">
        <f>IFERROR(__xludf.DUMMYFUNCTION("""COMPUTED_VALUE"""),"431.KB101(3)")</f>
        <v>431.KB101(3)</v>
      </c>
      <c r="B154" s="200" t="str">
        <f>IFERROR(__xludf.DUMMYFUNCTION("""COMPUTED_VALUE"""),"Kiln Bearing")</f>
        <v>Kiln Bearing</v>
      </c>
      <c r="C154" s="199">
        <f>IFERROR(__xludf.DUMMYFUNCTION("""COMPUTED_VALUE"""),2.4287130255E10)</f>
        <v>24287130255</v>
      </c>
      <c r="D154" s="201">
        <f>IFERROR(__xludf.DUMMYFUNCTION("""COMPUTED_VALUE"""),45567.0)</f>
        <v>45567</v>
      </c>
      <c r="E154" s="202" t="str">
        <f>IFERROR(__xludf.DUMMYFUNCTION("""COMPUTED_VALUE"""),"Alert")</f>
        <v>Alert</v>
      </c>
      <c r="F154" s="202" t="str">
        <f>IFERROR(__xludf.DUMMYFUNCTION("""COMPUTED_VALUE"""),"Caution")</f>
        <v>Caution</v>
      </c>
      <c r="G154" s="203" t="str">
        <f>IFERROR(__xludf.DUMMYFUNCTION("""COMPUTED_VALUE"""),"Alert")</f>
        <v>Alert</v>
      </c>
      <c r="H154" s="203" t="str">
        <f>IFERROR(__xludf.DUMMYFUNCTION("""COMPUTED_VALUE"""),"Caution")</f>
        <v>Caution</v>
      </c>
      <c r="I154" s="199"/>
      <c r="J154" s="199"/>
      <c r="K154" s="199"/>
      <c r="L154" s="199">
        <f>IFERROR(__xludf.DUMMYFUNCTION("""COMPUTED_VALUE"""),50.0)</f>
        <v>50</v>
      </c>
      <c r="M154" s="199">
        <f>IFERROR(__xludf.DUMMYFUNCTION("""COMPUTED_VALUE"""),50.2)</f>
        <v>50.2</v>
      </c>
      <c r="N154" s="37"/>
      <c r="O154" s="37">
        <f>IFERROR(__xludf.DUMMYFUNCTION("""COMPUTED_VALUE"""),4.0)</f>
        <v>4</v>
      </c>
      <c r="P154" s="199"/>
      <c r="Q154" s="199">
        <f>IFERROR(__xludf.DUMMYFUNCTION("""COMPUTED_VALUE"""),0.0)</f>
        <v>0</v>
      </c>
      <c r="R154" s="199">
        <f>IFERROR(__xludf.DUMMYFUNCTION("""COMPUTED_VALUE"""),0.0)</f>
        <v>0</v>
      </c>
      <c r="S154" s="199">
        <f>IFERROR(__xludf.DUMMYFUNCTION("""COMPUTED_VALUE"""),1.0)</f>
        <v>1</v>
      </c>
      <c r="T154" s="199">
        <f>IFERROR(__xludf.DUMMYFUNCTION("""COMPUTED_VALUE"""),142.0)</f>
        <v>142</v>
      </c>
      <c r="U154" s="199">
        <f>IFERROR(__xludf.DUMMYFUNCTION("""COMPUTED_VALUE"""),42.0)</f>
        <v>42</v>
      </c>
      <c r="V154" s="199">
        <f>IFERROR(__xludf.DUMMYFUNCTION("""COMPUTED_VALUE"""),0.0)</f>
        <v>0</v>
      </c>
      <c r="W154" s="199">
        <f>IFERROR(__xludf.DUMMYFUNCTION("""COMPUTED_VALUE"""),0.0)</f>
        <v>0</v>
      </c>
      <c r="X154" s="199">
        <f>IFERROR(__xludf.DUMMYFUNCTION("""COMPUTED_VALUE"""),0.0)</f>
        <v>0</v>
      </c>
      <c r="Y154" s="199">
        <f>IFERROR(__xludf.DUMMYFUNCTION("""COMPUTED_VALUE"""),0.0)</f>
        <v>0</v>
      </c>
      <c r="Z154" s="199">
        <f>IFERROR(__xludf.DUMMYFUNCTION("""COMPUTED_VALUE"""),2.0)</f>
        <v>2</v>
      </c>
      <c r="AA154" s="199">
        <f>IFERROR(__xludf.DUMMYFUNCTION("""COMPUTED_VALUE"""),0.0)</f>
        <v>0</v>
      </c>
      <c r="AB154" s="199">
        <f>IFERROR(__xludf.DUMMYFUNCTION("""COMPUTED_VALUE"""),10.0)</f>
        <v>10</v>
      </c>
      <c r="AC154" s="199">
        <f>IFERROR(__xludf.DUMMYFUNCTION("""COMPUTED_VALUE"""),12.0)</f>
        <v>12</v>
      </c>
      <c r="AD154" s="199">
        <f>IFERROR(__xludf.DUMMYFUNCTION("""COMPUTED_VALUE"""),0.0)</f>
        <v>0</v>
      </c>
      <c r="AE154" s="199">
        <f>IFERROR(__xludf.DUMMYFUNCTION("""COMPUTED_VALUE"""),30.0)</f>
        <v>30</v>
      </c>
      <c r="AF154" s="199">
        <f>IFERROR(__xludf.DUMMYFUNCTION("""COMPUTED_VALUE"""),3.0)</f>
        <v>3</v>
      </c>
      <c r="AG154" s="199">
        <f>IFERROR(__xludf.DUMMYFUNCTION("""COMPUTED_VALUE"""),261.0)</f>
        <v>261</v>
      </c>
      <c r="AH154" s="199">
        <f>IFERROR(__xludf.DUMMYFUNCTION("""COMPUTED_VALUE"""),7.0)</f>
        <v>7</v>
      </c>
      <c r="AI154" s="200" t="str">
        <f>IFERROR(__xludf.DUMMYFUNCTION("""COMPUTED_VALUE"""),"Wear Metal Alert")</f>
        <v>Wear Metal Alert</v>
      </c>
      <c r="AJ154" s="200" t="str">
        <f>IFERROR(__xludf.DUMMYFUNCTION("""COMPUTED_VALUE"""),"URGENT: Inspect equipment immediately for wear/damage; High wear metals - inspect bearing/gear surfaces")</f>
        <v>URGENT: Inspect equipment immediately for wear/damage; High wear metals - inspect bearing/gear surfaces</v>
      </c>
      <c r="AK154" s="204"/>
      <c r="AL154" s="204"/>
      <c r="AM154" s="204"/>
    </row>
    <row r="155" hidden="1">
      <c r="A155" s="199" t="str">
        <f>IFERROR(__xludf.DUMMYFUNCTION("""COMPUTED_VALUE"""),"431.KB101(4)")</f>
        <v>431.KB101(4)</v>
      </c>
      <c r="B155" s="200" t="str">
        <f>IFERROR(__xludf.DUMMYFUNCTION("""COMPUTED_VALUE"""),"Kiln Bearing")</f>
        <v>Kiln Bearing</v>
      </c>
      <c r="C155" s="199">
        <f>IFERROR(__xludf.DUMMYFUNCTION("""COMPUTED_VALUE"""),2.4288140256E10)</f>
        <v>24288140256</v>
      </c>
      <c r="D155" s="201">
        <f>IFERROR(__xludf.DUMMYFUNCTION("""COMPUTED_VALUE"""),45567.0)</f>
        <v>45567</v>
      </c>
      <c r="E155" s="202" t="str">
        <f>IFERROR(__xludf.DUMMYFUNCTION("""COMPUTED_VALUE"""),"Alert")</f>
        <v>Alert</v>
      </c>
      <c r="F155" s="202" t="str">
        <f>IFERROR(__xludf.DUMMYFUNCTION("""COMPUTED_VALUE"""),"Caution")</f>
        <v>Caution</v>
      </c>
      <c r="G155" s="203" t="str">
        <f>IFERROR(__xludf.DUMMYFUNCTION("""COMPUTED_VALUE"""),"Alert")</f>
        <v>Alert</v>
      </c>
      <c r="H155" s="203" t="str">
        <f>IFERROR(__xludf.DUMMYFUNCTION("""COMPUTED_VALUE"""),"Alert")</f>
        <v>Alert</v>
      </c>
      <c r="I155" s="199"/>
      <c r="J155" s="199"/>
      <c r="K155" s="199"/>
      <c r="L155" s="199">
        <f>IFERROR(__xludf.DUMMYFUNCTION("""COMPUTED_VALUE"""),51.0)</f>
        <v>51</v>
      </c>
      <c r="M155" s="199">
        <f>IFERROR(__xludf.DUMMYFUNCTION("""COMPUTED_VALUE"""),58.9)</f>
        <v>58.9</v>
      </c>
      <c r="N155" s="37"/>
      <c r="O155" s="37">
        <f>IFERROR(__xludf.DUMMYFUNCTION("""COMPUTED_VALUE"""),1.0)</f>
        <v>1</v>
      </c>
      <c r="P155" s="199"/>
      <c r="Q155" s="199">
        <f>IFERROR(__xludf.DUMMYFUNCTION("""COMPUTED_VALUE"""),0.0)</f>
        <v>0</v>
      </c>
      <c r="R155" s="199">
        <f>IFERROR(__xludf.DUMMYFUNCTION("""COMPUTED_VALUE"""),0.0)</f>
        <v>0</v>
      </c>
      <c r="S155" s="199">
        <f>IFERROR(__xludf.DUMMYFUNCTION("""COMPUTED_VALUE"""),0.0)</f>
        <v>0</v>
      </c>
      <c r="T155" s="199">
        <f>IFERROR(__xludf.DUMMYFUNCTION("""COMPUTED_VALUE"""),26.0)</f>
        <v>26</v>
      </c>
      <c r="U155" s="199">
        <f>IFERROR(__xludf.DUMMYFUNCTION("""COMPUTED_VALUE"""),59.0)</f>
        <v>59</v>
      </c>
      <c r="V155" s="199">
        <f>IFERROR(__xludf.DUMMYFUNCTION("""COMPUTED_VALUE"""),2.0)</f>
        <v>2</v>
      </c>
      <c r="W155" s="199">
        <f>IFERROR(__xludf.DUMMYFUNCTION("""COMPUTED_VALUE"""),0.0)</f>
        <v>0</v>
      </c>
      <c r="X155" s="199">
        <f>IFERROR(__xludf.DUMMYFUNCTION("""COMPUTED_VALUE"""),0.0)</f>
        <v>0</v>
      </c>
      <c r="Y155" s="199">
        <f>IFERROR(__xludf.DUMMYFUNCTION("""COMPUTED_VALUE"""),0.0)</f>
        <v>0</v>
      </c>
      <c r="Z155" s="199">
        <f>IFERROR(__xludf.DUMMYFUNCTION("""COMPUTED_VALUE"""),2.0)</f>
        <v>2</v>
      </c>
      <c r="AA155" s="199">
        <f>IFERROR(__xludf.DUMMYFUNCTION("""COMPUTED_VALUE"""),0.0)</f>
        <v>0</v>
      </c>
      <c r="AB155" s="199">
        <f>IFERROR(__xludf.DUMMYFUNCTION("""COMPUTED_VALUE"""),6.0)</f>
        <v>6</v>
      </c>
      <c r="AC155" s="199">
        <f>IFERROR(__xludf.DUMMYFUNCTION("""COMPUTED_VALUE"""),17.0)</f>
        <v>17</v>
      </c>
      <c r="AD155" s="199">
        <f>IFERROR(__xludf.DUMMYFUNCTION("""COMPUTED_VALUE"""),0.0)</f>
        <v>0</v>
      </c>
      <c r="AE155" s="199">
        <f>IFERROR(__xludf.DUMMYFUNCTION("""COMPUTED_VALUE"""),38.0)</f>
        <v>38</v>
      </c>
      <c r="AF155" s="199">
        <f>IFERROR(__xludf.DUMMYFUNCTION("""COMPUTED_VALUE"""),3.0)</f>
        <v>3</v>
      </c>
      <c r="AG155" s="199">
        <f>IFERROR(__xludf.DUMMYFUNCTION("""COMPUTED_VALUE"""),231.0)</f>
        <v>231</v>
      </c>
      <c r="AH155" s="199">
        <f>IFERROR(__xludf.DUMMYFUNCTION("""COMPUTED_VALUE"""),22.0)</f>
        <v>22</v>
      </c>
      <c r="AI155" s="200" t="str">
        <f>IFERROR(__xludf.DUMMYFUNCTION("""COMPUTED_VALUE"""),"Wear Metal Alert")</f>
        <v>Wear Metal Alert</v>
      </c>
      <c r="AJ155" s="200" t="str">
        <f>IFERROR(__xludf.DUMMYFUNCTION("""COMPUTED_VALUE"""),"URGENT: Inspect equipment immediately for wear/damage")</f>
        <v>URGENT: Inspect equipment immediately for wear/damage</v>
      </c>
      <c r="AK155" s="204"/>
      <c r="AL155" s="204"/>
      <c r="AM155" s="204"/>
    </row>
    <row r="156" hidden="1">
      <c r="A156" s="199" t="str">
        <f>IFERROR(__xludf.DUMMYFUNCTION("""COMPUTED_VALUE"""),"431.KB102(1)")</f>
        <v>431.KB102(1)</v>
      </c>
      <c r="B156" s="200" t="str">
        <f>IFERROR(__xludf.DUMMYFUNCTION("""COMPUTED_VALUE"""),"Kiln Bearing")</f>
        <v>Kiln Bearing</v>
      </c>
      <c r="C156" s="199">
        <f>IFERROR(__xludf.DUMMYFUNCTION("""COMPUTED_VALUE"""),2.428814026E10)</f>
        <v>24288140260</v>
      </c>
      <c r="D156" s="201">
        <f>IFERROR(__xludf.DUMMYFUNCTION("""COMPUTED_VALUE"""),45567.0)</f>
        <v>45567</v>
      </c>
      <c r="E156" s="202" t="str">
        <f>IFERROR(__xludf.DUMMYFUNCTION("""COMPUTED_VALUE"""),"Alert")</f>
        <v>Alert</v>
      </c>
      <c r="F156" s="202" t="str">
        <f>IFERROR(__xludf.DUMMYFUNCTION("""COMPUTED_VALUE"""),"Caution")</f>
        <v>Caution</v>
      </c>
      <c r="G156" s="203" t="str">
        <f>IFERROR(__xludf.DUMMYFUNCTION("""COMPUTED_VALUE"""),"Alert")</f>
        <v>Alert</v>
      </c>
      <c r="H156" s="203" t="str">
        <f>IFERROR(__xludf.DUMMYFUNCTION("""COMPUTED_VALUE"""),"Alert")</f>
        <v>Alert</v>
      </c>
      <c r="I156" s="37"/>
      <c r="J156" s="37"/>
      <c r="K156" s="37"/>
      <c r="L156" s="199">
        <f>IFERROR(__xludf.DUMMYFUNCTION("""COMPUTED_VALUE"""),30.0)</f>
        <v>30</v>
      </c>
      <c r="M156" s="199">
        <f>IFERROR(__xludf.DUMMYFUNCTION("""COMPUTED_VALUE"""),62.6)</f>
        <v>62.6</v>
      </c>
      <c r="N156" s="37"/>
      <c r="O156" s="37">
        <f>IFERROR(__xludf.DUMMYFUNCTION("""COMPUTED_VALUE"""),2.0)</f>
        <v>2</v>
      </c>
      <c r="P156" s="199"/>
      <c r="Q156" s="199">
        <f>IFERROR(__xludf.DUMMYFUNCTION("""COMPUTED_VALUE"""),0.0)</f>
        <v>0</v>
      </c>
      <c r="R156" s="199">
        <f>IFERROR(__xludf.DUMMYFUNCTION("""COMPUTED_VALUE"""),0.0)</f>
        <v>0</v>
      </c>
      <c r="S156" s="199">
        <f>IFERROR(__xludf.DUMMYFUNCTION("""COMPUTED_VALUE"""),1.0)</f>
        <v>1</v>
      </c>
      <c r="T156" s="199">
        <f>IFERROR(__xludf.DUMMYFUNCTION("""COMPUTED_VALUE"""),277.0)</f>
        <v>277</v>
      </c>
      <c r="U156" s="199">
        <f>IFERROR(__xludf.DUMMYFUNCTION("""COMPUTED_VALUE"""),16.0)</f>
        <v>16</v>
      </c>
      <c r="V156" s="199">
        <f>IFERROR(__xludf.DUMMYFUNCTION("""COMPUTED_VALUE"""),0.0)</f>
        <v>0</v>
      </c>
      <c r="W156" s="199">
        <f>IFERROR(__xludf.DUMMYFUNCTION("""COMPUTED_VALUE"""),0.0)</f>
        <v>0</v>
      </c>
      <c r="X156" s="199">
        <f>IFERROR(__xludf.DUMMYFUNCTION("""COMPUTED_VALUE"""),5.0)</f>
        <v>5</v>
      </c>
      <c r="Y156" s="199">
        <f>IFERROR(__xludf.DUMMYFUNCTION("""COMPUTED_VALUE"""),0.0)</f>
        <v>0</v>
      </c>
      <c r="Z156" s="199">
        <f>IFERROR(__xludf.DUMMYFUNCTION("""COMPUTED_VALUE"""),2.0)</f>
        <v>2</v>
      </c>
      <c r="AA156" s="199">
        <f>IFERROR(__xludf.DUMMYFUNCTION("""COMPUTED_VALUE"""),0.0)</f>
        <v>0</v>
      </c>
      <c r="AB156" s="199">
        <f>IFERROR(__xludf.DUMMYFUNCTION("""COMPUTED_VALUE"""),17.0)</f>
        <v>17</v>
      </c>
      <c r="AC156" s="199">
        <f>IFERROR(__xludf.DUMMYFUNCTION("""COMPUTED_VALUE"""),9.0)</f>
        <v>9</v>
      </c>
      <c r="AD156" s="199">
        <f>IFERROR(__xludf.DUMMYFUNCTION("""COMPUTED_VALUE"""),0.0)</f>
        <v>0</v>
      </c>
      <c r="AE156" s="199">
        <f>IFERROR(__xludf.DUMMYFUNCTION("""COMPUTED_VALUE"""),19.0)</f>
        <v>19</v>
      </c>
      <c r="AF156" s="199">
        <f>IFERROR(__xludf.DUMMYFUNCTION("""COMPUTED_VALUE"""),0.0)</f>
        <v>0</v>
      </c>
      <c r="AG156" s="199">
        <f>IFERROR(__xludf.DUMMYFUNCTION("""COMPUTED_VALUE"""),199.0)</f>
        <v>199</v>
      </c>
      <c r="AH156" s="199">
        <f>IFERROR(__xludf.DUMMYFUNCTION("""COMPUTED_VALUE"""),16.0)</f>
        <v>16</v>
      </c>
      <c r="AI156" s="200" t="str">
        <f>IFERROR(__xludf.DUMMYFUNCTION("""COMPUTED_VALUE"""),"Wear Metal Alert")</f>
        <v>Wear Metal Alert</v>
      </c>
      <c r="AJ156" s="200" t="str">
        <f>IFERROR(__xludf.DUMMYFUNCTION("""COMPUTED_VALUE"""),"URGENT: Inspect equipment immediately for wear/damage; High wear metals - inspect bearing/gear surfaces")</f>
        <v>URGENT: Inspect equipment immediately for wear/damage; High wear metals - inspect bearing/gear surfaces</v>
      </c>
      <c r="AK156" s="204"/>
      <c r="AL156" s="204"/>
      <c r="AM156" s="204"/>
    </row>
    <row r="157" hidden="1">
      <c r="A157" s="199" t="str">
        <f>IFERROR(__xludf.DUMMYFUNCTION("""COMPUTED_VALUE"""),"431.KB102(2)")</f>
        <v>431.KB102(2)</v>
      </c>
      <c r="B157" s="200" t="str">
        <f>IFERROR(__xludf.DUMMYFUNCTION("""COMPUTED_VALUE"""),"Kiln Bearing")</f>
        <v>Kiln Bearing</v>
      </c>
      <c r="C157" s="199">
        <f>IFERROR(__xludf.DUMMYFUNCTION("""COMPUTED_VALUE"""),2.4288140251E10)</f>
        <v>24288140251</v>
      </c>
      <c r="D157" s="201">
        <f>IFERROR(__xludf.DUMMYFUNCTION("""COMPUTED_VALUE"""),45567.0)</f>
        <v>45567</v>
      </c>
      <c r="E157" s="202" t="str">
        <f>IFERROR(__xludf.DUMMYFUNCTION("""COMPUTED_VALUE"""),"Alert")</f>
        <v>Alert</v>
      </c>
      <c r="F157" s="202" t="str">
        <f>IFERROR(__xludf.DUMMYFUNCTION("""COMPUTED_VALUE"""),"Alert")</f>
        <v>Alert</v>
      </c>
      <c r="G157" s="203" t="str">
        <f>IFERROR(__xludf.DUMMYFUNCTION("""COMPUTED_VALUE"""),"Alert")</f>
        <v>Alert</v>
      </c>
      <c r="H157" s="203" t="str">
        <f>IFERROR(__xludf.DUMMYFUNCTION("""COMPUTED_VALUE"""),"Alert")</f>
        <v>Alert</v>
      </c>
      <c r="I157" s="199"/>
      <c r="J157" s="199"/>
      <c r="K157" s="199"/>
      <c r="L157" s="199">
        <f>IFERROR(__xludf.DUMMYFUNCTION("""COMPUTED_VALUE"""),43.0)</f>
        <v>43</v>
      </c>
      <c r="M157" s="199">
        <f>IFERROR(__xludf.DUMMYFUNCTION("""COMPUTED_VALUE"""),62.1)</f>
        <v>62.1</v>
      </c>
      <c r="N157" s="37"/>
      <c r="O157" s="37">
        <f>IFERROR(__xludf.DUMMYFUNCTION("""COMPUTED_VALUE"""),5.0)</f>
        <v>5</v>
      </c>
      <c r="P157" s="199"/>
      <c r="Q157" s="199">
        <f>IFERROR(__xludf.DUMMYFUNCTION("""COMPUTED_VALUE"""),0.0)</f>
        <v>0</v>
      </c>
      <c r="R157" s="199">
        <f>IFERROR(__xludf.DUMMYFUNCTION("""COMPUTED_VALUE"""),0.0)</f>
        <v>0</v>
      </c>
      <c r="S157" s="199">
        <f>IFERROR(__xludf.DUMMYFUNCTION("""COMPUTED_VALUE"""),0.0)</f>
        <v>0</v>
      </c>
      <c r="T157" s="199">
        <f>IFERROR(__xludf.DUMMYFUNCTION("""COMPUTED_VALUE"""),98.0)</f>
        <v>98</v>
      </c>
      <c r="U157" s="199">
        <f>IFERROR(__xludf.DUMMYFUNCTION("""COMPUTED_VALUE"""),49.0)</f>
        <v>49</v>
      </c>
      <c r="V157" s="199">
        <f>IFERROR(__xludf.DUMMYFUNCTION("""COMPUTED_VALUE"""),0.0)</f>
        <v>0</v>
      </c>
      <c r="W157" s="199">
        <f>IFERROR(__xludf.DUMMYFUNCTION("""COMPUTED_VALUE"""),0.0)</f>
        <v>0</v>
      </c>
      <c r="X157" s="199">
        <f>IFERROR(__xludf.DUMMYFUNCTION("""COMPUTED_VALUE"""),1.0)</f>
        <v>1</v>
      </c>
      <c r="Y157" s="199">
        <f>IFERROR(__xludf.DUMMYFUNCTION("""COMPUTED_VALUE"""),8.0)</f>
        <v>8</v>
      </c>
      <c r="Z157" s="199">
        <f>IFERROR(__xludf.DUMMYFUNCTION("""COMPUTED_VALUE"""),6.0)</f>
        <v>6</v>
      </c>
      <c r="AA157" s="199">
        <f>IFERROR(__xludf.DUMMYFUNCTION("""COMPUTED_VALUE"""),0.0)</f>
        <v>0</v>
      </c>
      <c r="AB157" s="199">
        <f>IFERROR(__xludf.DUMMYFUNCTION("""COMPUTED_VALUE"""),24.0)</f>
        <v>24</v>
      </c>
      <c r="AC157" s="199">
        <f>IFERROR(__xludf.DUMMYFUNCTION("""COMPUTED_VALUE"""),29.0)</f>
        <v>29</v>
      </c>
      <c r="AD157" s="199">
        <f>IFERROR(__xludf.DUMMYFUNCTION("""COMPUTED_VALUE"""),0.0)</f>
        <v>0</v>
      </c>
      <c r="AE157" s="199">
        <f>IFERROR(__xludf.DUMMYFUNCTION("""COMPUTED_VALUE"""),44.0)</f>
        <v>44</v>
      </c>
      <c r="AF157" s="199">
        <f>IFERROR(__xludf.DUMMYFUNCTION("""COMPUTED_VALUE"""),2.0)</f>
        <v>2</v>
      </c>
      <c r="AG157" s="199">
        <f>IFERROR(__xludf.DUMMYFUNCTION("""COMPUTED_VALUE"""),325.0)</f>
        <v>325</v>
      </c>
      <c r="AH157" s="199">
        <f>IFERROR(__xludf.DUMMYFUNCTION("""COMPUTED_VALUE"""),10.0)</f>
        <v>10</v>
      </c>
      <c r="AI157" s="200" t="str">
        <f>IFERROR(__xludf.DUMMYFUNCTION("""COMPUTED_VALUE"""),"Wear Metal Alert | Lubricant Degradation")</f>
        <v>Wear Metal Alert | Lubricant Degradation</v>
      </c>
      <c r="AJ157" s="200" t="str">
        <f>IFERROR(__xludf.DUMMYFUNCTION("""COMPUTED_VALUE"""),"URGENT: Inspect equipment immediately for wear/damage; Severe oxidation - lubricant change required urgently")</f>
        <v>URGENT: Inspect equipment immediately for wear/damage; Severe oxidation - lubricant change required urgently</v>
      </c>
      <c r="AK157" s="204"/>
      <c r="AL157" s="204"/>
      <c r="AM157" s="204"/>
    </row>
    <row r="158" hidden="1">
      <c r="A158" s="199" t="str">
        <f>IFERROR(__xludf.DUMMYFUNCTION("""COMPUTED_VALUE"""),"431.KB102(3)")</f>
        <v>431.KB102(3)</v>
      </c>
      <c r="B158" s="200" t="str">
        <f>IFERROR(__xludf.DUMMYFUNCTION("""COMPUTED_VALUE"""),"Kiln Bearing")</f>
        <v>Kiln Bearing</v>
      </c>
      <c r="C158" s="199">
        <f>IFERROR(__xludf.DUMMYFUNCTION("""COMPUTED_VALUE"""),2.4288140254E10)</f>
        <v>24288140254</v>
      </c>
      <c r="D158" s="201">
        <f>IFERROR(__xludf.DUMMYFUNCTION("""COMPUTED_VALUE"""),45567.0)</f>
        <v>45567</v>
      </c>
      <c r="E158" s="202" t="str">
        <f>IFERROR(__xludf.DUMMYFUNCTION("""COMPUTED_VALUE"""),"Alert")</f>
        <v>Alert</v>
      </c>
      <c r="F158" s="202" t="str">
        <f>IFERROR(__xludf.DUMMYFUNCTION("""COMPUTED_VALUE"""),"Caution")</f>
        <v>Caution</v>
      </c>
      <c r="G158" s="203" t="str">
        <f>IFERROR(__xludf.DUMMYFUNCTION("""COMPUTED_VALUE"""),"Alert")</f>
        <v>Alert</v>
      </c>
      <c r="H158" s="203" t="str">
        <f>IFERROR(__xludf.DUMMYFUNCTION("""COMPUTED_VALUE"""),"Alert")</f>
        <v>Alert</v>
      </c>
      <c r="I158" s="199"/>
      <c r="J158" s="199"/>
      <c r="K158" s="199"/>
      <c r="L158" s="199">
        <f>IFERROR(__xludf.DUMMYFUNCTION("""COMPUTED_VALUE"""),82.0)</f>
        <v>82</v>
      </c>
      <c r="M158" s="199">
        <f>IFERROR(__xludf.DUMMYFUNCTION("""COMPUTED_VALUE"""),62.0)</f>
        <v>62</v>
      </c>
      <c r="N158" s="37"/>
      <c r="O158" s="37">
        <f>IFERROR(__xludf.DUMMYFUNCTION("""COMPUTED_VALUE"""),1.0)</f>
        <v>1</v>
      </c>
      <c r="P158" s="199"/>
      <c r="Q158" s="199">
        <f>IFERROR(__xludf.DUMMYFUNCTION("""COMPUTED_VALUE"""),0.0)</f>
        <v>0</v>
      </c>
      <c r="R158" s="199">
        <f>IFERROR(__xludf.DUMMYFUNCTION("""COMPUTED_VALUE"""),0.0)</f>
        <v>0</v>
      </c>
      <c r="S158" s="199">
        <f>IFERROR(__xludf.DUMMYFUNCTION("""COMPUTED_VALUE"""),0.0)</f>
        <v>0</v>
      </c>
      <c r="T158" s="199">
        <f>IFERROR(__xludf.DUMMYFUNCTION("""COMPUTED_VALUE"""),42.0)</f>
        <v>42</v>
      </c>
      <c r="U158" s="199">
        <f>IFERROR(__xludf.DUMMYFUNCTION("""COMPUTED_VALUE"""),56.0)</f>
        <v>56</v>
      </c>
      <c r="V158" s="199">
        <f>IFERROR(__xludf.DUMMYFUNCTION("""COMPUTED_VALUE"""),2.0)</f>
        <v>2</v>
      </c>
      <c r="W158" s="199">
        <f>IFERROR(__xludf.DUMMYFUNCTION("""COMPUTED_VALUE"""),0.0)</f>
        <v>0</v>
      </c>
      <c r="X158" s="199">
        <f>IFERROR(__xludf.DUMMYFUNCTION("""COMPUTED_VALUE"""),0.0)</f>
        <v>0</v>
      </c>
      <c r="Y158" s="199">
        <f>IFERROR(__xludf.DUMMYFUNCTION("""COMPUTED_VALUE"""),0.0)</f>
        <v>0</v>
      </c>
      <c r="Z158" s="199">
        <f>IFERROR(__xludf.DUMMYFUNCTION("""COMPUTED_VALUE"""),2.0)</f>
        <v>2</v>
      </c>
      <c r="AA158" s="199">
        <f>IFERROR(__xludf.DUMMYFUNCTION("""COMPUTED_VALUE"""),0.0)</f>
        <v>0</v>
      </c>
      <c r="AB158" s="199">
        <f>IFERROR(__xludf.DUMMYFUNCTION("""COMPUTED_VALUE"""),8.0)</f>
        <v>8</v>
      </c>
      <c r="AC158" s="199">
        <f>IFERROR(__xludf.DUMMYFUNCTION("""COMPUTED_VALUE"""),9.0)</f>
        <v>9</v>
      </c>
      <c r="AD158" s="199">
        <f>IFERROR(__xludf.DUMMYFUNCTION("""COMPUTED_VALUE"""),0.0)</f>
        <v>0</v>
      </c>
      <c r="AE158" s="199">
        <f>IFERROR(__xludf.DUMMYFUNCTION("""COMPUTED_VALUE"""),28.0)</f>
        <v>28</v>
      </c>
      <c r="AF158" s="199">
        <f>IFERROR(__xludf.DUMMYFUNCTION("""COMPUTED_VALUE"""),3.0)</f>
        <v>3</v>
      </c>
      <c r="AG158" s="199">
        <f>IFERROR(__xludf.DUMMYFUNCTION("""COMPUTED_VALUE"""),213.0)</f>
        <v>213</v>
      </c>
      <c r="AH158" s="199">
        <f>IFERROR(__xludf.DUMMYFUNCTION("""COMPUTED_VALUE"""),4.0)</f>
        <v>4</v>
      </c>
      <c r="AI158" s="200" t="str">
        <f>IFERROR(__xludf.DUMMYFUNCTION("""COMPUTED_VALUE"""),"Wear Metal Alert")</f>
        <v>Wear Metal Alert</v>
      </c>
      <c r="AJ158" s="200" t="str">
        <f>IFERROR(__xludf.DUMMYFUNCTION("""COMPUTED_VALUE"""),"URGENT: Inspect equipment immediately for wear/damage; High particle count - replace filters and resample")</f>
        <v>URGENT: Inspect equipment immediately for wear/damage; High particle count - replace filters and resample</v>
      </c>
      <c r="AK158" s="204"/>
      <c r="AL158" s="204"/>
      <c r="AM158" s="204"/>
    </row>
    <row r="159" hidden="1">
      <c r="A159" s="199" t="str">
        <f>IFERROR(__xludf.DUMMYFUNCTION("""COMPUTED_VALUE"""),"431.KB102(4)")</f>
        <v>431.KB102(4)</v>
      </c>
      <c r="B159" s="200" t="str">
        <f>IFERROR(__xludf.DUMMYFUNCTION("""COMPUTED_VALUE"""),"Kiln Bearing")</f>
        <v>Kiln Bearing</v>
      </c>
      <c r="C159" s="199">
        <f>IFERROR(__xludf.DUMMYFUNCTION("""COMPUTED_VALUE"""),2.428814025E10)</f>
        <v>24288140250</v>
      </c>
      <c r="D159" s="201">
        <f>IFERROR(__xludf.DUMMYFUNCTION("""COMPUTED_VALUE"""),45567.0)</f>
        <v>45567</v>
      </c>
      <c r="E159" s="202" t="str">
        <f>IFERROR(__xludf.DUMMYFUNCTION("""COMPUTED_VALUE"""),"Alert")</f>
        <v>Alert</v>
      </c>
      <c r="F159" s="202" t="str">
        <f>IFERROR(__xludf.DUMMYFUNCTION("""COMPUTED_VALUE"""),"Alert")</f>
        <v>Alert</v>
      </c>
      <c r="G159" s="203" t="str">
        <f>IFERROR(__xludf.DUMMYFUNCTION("""COMPUTED_VALUE"""),"Normal")</f>
        <v>Normal</v>
      </c>
      <c r="H159" s="203" t="str">
        <f>IFERROR(__xludf.DUMMYFUNCTION("""COMPUTED_VALUE"""),"Alert")</f>
        <v>Alert</v>
      </c>
      <c r="I159" s="199"/>
      <c r="J159" s="199"/>
      <c r="K159" s="199"/>
      <c r="L159" s="199">
        <f>IFERROR(__xludf.DUMMYFUNCTION("""COMPUTED_VALUE"""),7.0)</f>
        <v>7</v>
      </c>
      <c r="M159" s="199">
        <f>IFERROR(__xludf.DUMMYFUNCTION("""COMPUTED_VALUE"""),59.1)</f>
        <v>59.1</v>
      </c>
      <c r="N159" s="37"/>
      <c r="O159" s="37">
        <f>IFERROR(__xludf.DUMMYFUNCTION("""COMPUTED_VALUE"""),0.0)</f>
        <v>0</v>
      </c>
      <c r="P159" s="199"/>
      <c r="Q159" s="199">
        <f>IFERROR(__xludf.DUMMYFUNCTION("""COMPUTED_VALUE"""),0.0)</f>
        <v>0</v>
      </c>
      <c r="R159" s="199">
        <f>IFERROR(__xludf.DUMMYFUNCTION("""COMPUTED_VALUE"""),0.0)</f>
        <v>0</v>
      </c>
      <c r="S159" s="199">
        <f>IFERROR(__xludf.DUMMYFUNCTION("""COMPUTED_VALUE"""),0.0)</f>
        <v>0</v>
      </c>
      <c r="T159" s="199">
        <f>IFERROR(__xludf.DUMMYFUNCTION("""COMPUTED_VALUE"""),24.0)</f>
        <v>24</v>
      </c>
      <c r="U159" s="199">
        <f>IFERROR(__xludf.DUMMYFUNCTION("""COMPUTED_VALUE"""),7.0)</f>
        <v>7</v>
      </c>
      <c r="V159" s="199">
        <f>IFERROR(__xludf.DUMMYFUNCTION("""COMPUTED_VALUE"""),0.0)</f>
        <v>0</v>
      </c>
      <c r="W159" s="199">
        <f>IFERROR(__xludf.DUMMYFUNCTION("""COMPUTED_VALUE"""),0.0)</f>
        <v>0</v>
      </c>
      <c r="X159" s="199">
        <f>IFERROR(__xludf.DUMMYFUNCTION("""COMPUTED_VALUE"""),0.0)</f>
        <v>0</v>
      </c>
      <c r="Y159" s="199">
        <f>IFERROR(__xludf.DUMMYFUNCTION("""COMPUTED_VALUE"""),0.0)</f>
        <v>0</v>
      </c>
      <c r="Z159" s="199">
        <f>IFERROR(__xludf.DUMMYFUNCTION("""COMPUTED_VALUE"""),2.0)</f>
        <v>2</v>
      </c>
      <c r="AA159" s="199">
        <f>IFERROR(__xludf.DUMMYFUNCTION("""COMPUTED_VALUE"""),0.0)</f>
        <v>0</v>
      </c>
      <c r="AB159" s="199">
        <f>IFERROR(__xludf.DUMMYFUNCTION("""COMPUTED_VALUE"""),24.0)</f>
        <v>24</v>
      </c>
      <c r="AC159" s="199">
        <f>IFERROR(__xludf.DUMMYFUNCTION("""COMPUTED_VALUE"""),3.0)</f>
        <v>3</v>
      </c>
      <c r="AD159" s="199">
        <f>IFERROR(__xludf.DUMMYFUNCTION("""COMPUTED_VALUE"""),0.0)</f>
        <v>0</v>
      </c>
      <c r="AE159" s="199">
        <f>IFERROR(__xludf.DUMMYFUNCTION("""COMPUTED_VALUE"""),4.0)</f>
        <v>4</v>
      </c>
      <c r="AF159" s="199">
        <f>IFERROR(__xludf.DUMMYFUNCTION("""COMPUTED_VALUE"""),0.0)</f>
        <v>0</v>
      </c>
      <c r="AG159" s="199">
        <f>IFERROR(__xludf.DUMMYFUNCTION("""COMPUTED_VALUE"""),254.0)</f>
        <v>254</v>
      </c>
      <c r="AH159" s="199">
        <f>IFERROR(__xludf.DUMMYFUNCTION("""COMPUTED_VALUE"""),1.0)</f>
        <v>1</v>
      </c>
      <c r="AI159" s="200" t="str">
        <f>IFERROR(__xludf.DUMMYFUNCTION("""COMPUTED_VALUE"""),"General Alert")</f>
        <v>General Alert</v>
      </c>
      <c r="AJ159" s="200" t="str">
        <f>IFERROR(__xludf.DUMMYFUNCTION("""COMPUTED_VALUE"""),"Investigate root cause; increase sampling frequency to monthly")</f>
        <v>Investigate root cause; increase sampling frequency to monthly</v>
      </c>
      <c r="AK159" s="204"/>
      <c r="AL159" s="204"/>
      <c r="AM159" s="204"/>
    </row>
    <row r="160" hidden="1">
      <c r="A160" s="199" t="str">
        <f>IFERROR(__xludf.DUMMYFUNCTION("""COMPUTED_VALUE"""),"431.KB103(1)")</f>
        <v>431.KB103(1)</v>
      </c>
      <c r="B160" s="200" t="str">
        <f>IFERROR(__xludf.DUMMYFUNCTION("""COMPUTED_VALUE"""),"Kiln Bearing")</f>
        <v>Kiln Bearing</v>
      </c>
      <c r="C160" s="199">
        <f>IFERROR(__xludf.DUMMYFUNCTION("""COMPUTED_VALUE"""),2.4287130257E10)</f>
        <v>24287130257</v>
      </c>
      <c r="D160" s="201">
        <f>IFERROR(__xludf.DUMMYFUNCTION("""COMPUTED_VALUE"""),45567.0)</f>
        <v>45567</v>
      </c>
      <c r="E160" s="202" t="str">
        <f>IFERROR(__xludf.DUMMYFUNCTION("""COMPUTED_VALUE"""),"Alert")</f>
        <v>Alert</v>
      </c>
      <c r="F160" s="202" t="str">
        <f>IFERROR(__xludf.DUMMYFUNCTION("""COMPUTED_VALUE"""),"Caution")</f>
        <v>Caution</v>
      </c>
      <c r="G160" s="203" t="str">
        <f>IFERROR(__xludf.DUMMYFUNCTION("""COMPUTED_VALUE"""),"Alert")</f>
        <v>Alert</v>
      </c>
      <c r="H160" s="203" t="str">
        <f>IFERROR(__xludf.DUMMYFUNCTION("""COMPUTED_VALUE"""),"Alert")</f>
        <v>Alert</v>
      </c>
      <c r="I160" s="199"/>
      <c r="J160" s="199"/>
      <c r="K160" s="199"/>
      <c r="L160" s="199">
        <f>IFERROR(__xludf.DUMMYFUNCTION("""COMPUTED_VALUE"""),90.0)</f>
        <v>90</v>
      </c>
      <c r="M160" s="199">
        <f>IFERROR(__xludf.DUMMYFUNCTION("""COMPUTED_VALUE"""),57.3)</f>
        <v>57.3</v>
      </c>
      <c r="N160" s="37"/>
      <c r="O160" s="37">
        <f>IFERROR(__xludf.DUMMYFUNCTION("""COMPUTED_VALUE"""),3.0)</f>
        <v>3</v>
      </c>
      <c r="P160" s="199"/>
      <c r="Q160" s="199">
        <f>IFERROR(__xludf.DUMMYFUNCTION("""COMPUTED_VALUE"""),0.0)</f>
        <v>0</v>
      </c>
      <c r="R160" s="199">
        <f>IFERROR(__xludf.DUMMYFUNCTION("""COMPUTED_VALUE"""),0.0)</f>
        <v>0</v>
      </c>
      <c r="S160" s="199">
        <f>IFERROR(__xludf.DUMMYFUNCTION("""COMPUTED_VALUE"""),1.0)</f>
        <v>1</v>
      </c>
      <c r="T160" s="199">
        <f>IFERROR(__xludf.DUMMYFUNCTION("""COMPUTED_VALUE"""),64.0)</f>
        <v>64</v>
      </c>
      <c r="U160" s="199">
        <f>IFERROR(__xludf.DUMMYFUNCTION("""COMPUTED_VALUE"""),52.0)</f>
        <v>52</v>
      </c>
      <c r="V160" s="199">
        <f>IFERROR(__xludf.DUMMYFUNCTION("""COMPUTED_VALUE"""),0.0)</f>
        <v>0</v>
      </c>
      <c r="W160" s="199">
        <f>IFERROR(__xludf.DUMMYFUNCTION("""COMPUTED_VALUE"""),0.0)</f>
        <v>0</v>
      </c>
      <c r="X160" s="199">
        <f>IFERROR(__xludf.DUMMYFUNCTION("""COMPUTED_VALUE"""),0.0)</f>
        <v>0</v>
      </c>
      <c r="Y160" s="199">
        <f>IFERROR(__xludf.DUMMYFUNCTION("""COMPUTED_VALUE"""),0.0)</f>
        <v>0</v>
      </c>
      <c r="Z160" s="199">
        <f>IFERROR(__xludf.DUMMYFUNCTION("""COMPUTED_VALUE"""),3.0)</f>
        <v>3</v>
      </c>
      <c r="AA160" s="199">
        <f>IFERROR(__xludf.DUMMYFUNCTION("""COMPUTED_VALUE"""),1.0)</f>
        <v>1</v>
      </c>
      <c r="AB160" s="199">
        <f>IFERROR(__xludf.DUMMYFUNCTION("""COMPUTED_VALUE"""),12.0)</f>
        <v>12</v>
      </c>
      <c r="AC160" s="199">
        <f>IFERROR(__xludf.DUMMYFUNCTION("""COMPUTED_VALUE"""),13.0)</f>
        <v>13</v>
      </c>
      <c r="AD160" s="199">
        <f>IFERROR(__xludf.DUMMYFUNCTION("""COMPUTED_VALUE"""),0.0)</f>
        <v>0</v>
      </c>
      <c r="AE160" s="199">
        <f>IFERROR(__xludf.DUMMYFUNCTION("""COMPUTED_VALUE"""),94.0)</f>
        <v>94</v>
      </c>
      <c r="AF160" s="199">
        <f>IFERROR(__xludf.DUMMYFUNCTION("""COMPUTED_VALUE"""),2.0)</f>
        <v>2</v>
      </c>
      <c r="AG160" s="199">
        <f>IFERROR(__xludf.DUMMYFUNCTION("""COMPUTED_VALUE"""),241.0)</f>
        <v>241</v>
      </c>
      <c r="AH160" s="199">
        <f>IFERROR(__xludf.DUMMYFUNCTION("""COMPUTED_VALUE"""),23.0)</f>
        <v>23</v>
      </c>
      <c r="AI160" s="200" t="str">
        <f>IFERROR(__xludf.DUMMYFUNCTION("""COMPUTED_VALUE"""),"Wear Metal Alert")</f>
        <v>Wear Metal Alert</v>
      </c>
      <c r="AJ160" s="200" t="str">
        <f>IFERROR(__xludf.DUMMYFUNCTION("""COMPUTED_VALUE"""),"URGENT: Inspect equipment immediately for wear/damage; High particle count - replace filters and resample")</f>
        <v>URGENT: Inspect equipment immediately for wear/damage; High particle count - replace filters and resample</v>
      </c>
      <c r="AK160" s="204"/>
      <c r="AL160" s="204"/>
      <c r="AM160" s="204"/>
    </row>
    <row r="161" hidden="1">
      <c r="A161" s="199" t="str">
        <f>IFERROR(__xludf.DUMMYFUNCTION("""COMPUTED_VALUE"""),"431.KB103(2)")</f>
        <v>431.KB103(2)</v>
      </c>
      <c r="B161" s="200" t="str">
        <f>IFERROR(__xludf.DUMMYFUNCTION("""COMPUTED_VALUE"""),"Kiln Bearing")</f>
        <v>Kiln Bearing</v>
      </c>
      <c r="C161" s="199">
        <f>IFERROR(__xludf.DUMMYFUNCTION("""COMPUTED_VALUE"""),2.4287130217E10)</f>
        <v>24287130217</v>
      </c>
      <c r="D161" s="201">
        <f>IFERROR(__xludf.DUMMYFUNCTION("""COMPUTED_VALUE"""),45567.0)</f>
        <v>45567</v>
      </c>
      <c r="E161" s="202" t="str">
        <f>IFERROR(__xludf.DUMMYFUNCTION("""COMPUTED_VALUE"""),"Alert")</f>
        <v>Alert</v>
      </c>
      <c r="F161" s="202" t="str">
        <f>IFERROR(__xludf.DUMMYFUNCTION("""COMPUTED_VALUE"""),"Caution")</f>
        <v>Caution</v>
      </c>
      <c r="G161" s="203" t="str">
        <f>IFERROR(__xludf.DUMMYFUNCTION("""COMPUTED_VALUE"""),"Alert")</f>
        <v>Alert</v>
      </c>
      <c r="H161" s="203" t="str">
        <f>IFERROR(__xludf.DUMMYFUNCTION("""COMPUTED_VALUE"""),"Alert")</f>
        <v>Alert</v>
      </c>
      <c r="I161" s="37"/>
      <c r="J161" s="37"/>
      <c r="K161" s="37"/>
      <c r="L161" s="199">
        <f>IFERROR(__xludf.DUMMYFUNCTION("""COMPUTED_VALUE"""),356.0)</f>
        <v>356</v>
      </c>
      <c r="M161" s="199">
        <f>IFERROR(__xludf.DUMMYFUNCTION("""COMPUTED_VALUE"""),56.3)</f>
        <v>56.3</v>
      </c>
      <c r="N161" s="199"/>
      <c r="O161" s="199">
        <f>IFERROR(__xludf.DUMMYFUNCTION("""COMPUTED_VALUE"""),0.0)</f>
        <v>0</v>
      </c>
      <c r="P161" s="199">
        <f>IFERROR(__xludf.DUMMYFUNCTION("""COMPUTED_VALUE"""),0.1)</f>
        <v>0.1</v>
      </c>
      <c r="Q161" s="199">
        <f>IFERROR(__xludf.DUMMYFUNCTION("""COMPUTED_VALUE"""),0.0)</f>
        <v>0</v>
      </c>
      <c r="R161" s="199">
        <f>IFERROR(__xludf.DUMMYFUNCTION("""COMPUTED_VALUE"""),0.0)</f>
        <v>0</v>
      </c>
      <c r="S161" s="199">
        <f>IFERROR(__xludf.DUMMYFUNCTION("""COMPUTED_VALUE"""),0.0)</f>
        <v>0</v>
      </c>
      <c r="T161" s="199">
        <f>IFERROR(__xludf.DUMMYFUNCTION("""COMPUTED_VALUE"""),111.0)</f>
        <v>111</v>
      </c>
      <c r="U161" s="199">
        <f>IFERROR(__xludf.DUMMYFUNCTION("""COMPUTED_VALUE"""),246.0)</f>
        <v>246</v>
      </c>
      <c r="V161" s="199">
        <f>IFERROR(__xludf.DUMMYFUNCTION("""COMPUTED_VALUE"""),0.0)</f>
        <v>0</v>
      </c>
      <c r="W161" s="199">
        <f>IFERROR(__xludf.DUMMYFUNCTION("""COMPUTED_VALUE"""),0.0)</f>
        <v>0</v>
      </c>
      <c r="X161" s="199">
        <f>IFERROR(__xludf.DUMMYFUNCTION("""COMPUTED_VALUE"""),1.0)</f>
        <v>1</v>
      </c>
      <c r="Y161" s="199">
        <f>IFERROR(__xludf.DUMMYFUNCTION("""COMPUTED_VALUE"""),0.0)</f>
        <v>0</v>
      </c>
      <c r="Z161" s="199">
        <f>IFERROR(__xludf.DUMMYFUNCTION("""COMPUTED_VALUE"""),13.0)</f>
        <v>13</v>
      </c>
      <c r="AA161" s="199">
        <f>IFERROR(__xludf.DUMMYFUNCTION("""COMPUTED_VALUE"""),0.0)</f>
        <v>0</v>
      </c>
      <c r="AB161" s="199">
        <f>IFERROR(__xludf.DUMMYFUNCTION("""COMPUTED_VALUE"""),12.0)</f>
        <v>12</v>
      </c>
      <c r="AC161" s="199">
        <f>IFERROR(__xludf.DUMMYFUNCTION("""COMPUTED_VALUE"""),22.0)</f>
        <v>22</v>
      </c>
      <c r="AD161" s="199">
        <f>IFERROR(__xludf.DUMMYFUNCTION("""COMPUTED_VALUE"""),0.0)</f>
        <v>0</v>
      </c>
      <c r="AE161" s="199">
        <f>IFERROR(__xludf.DUMMYFUNCTION("""COMPUTED_VALUE"""),104.0)</f>
        <v>104</v>
      </c>
      <c r="AF161" s="199">
        <f>IFERROR(__xludf.DUMMYFUNCTION("""COMPUTED_VALUE"""),3.0)</f>
        <v>3</v>
      </c>
      <c r="AG161" s="199">
        <f>IFERROR(__xludf.DUMMYFUNCTION("""COMPUTED_VALUE"""),119.0)</f>
        <v>119</v>
      </c>
      <c r="AH161" s="199">
        <f>IFERROR(__xludf.DUMMYFUNCTION("""COMPUTED_VALUE"""),9.0)</f>
        <v>9</v>
      </c>
      <c r="AI161" s="200" t="str">
        <f>IFERROR(__xludf.DUMMYFUNCTION("""COMPUTED_VALUE"""),"Wear Metal Alert | High Particle Count")</f>
        <v>Wear Metal Alert | High Particle Count</v>
      </c>
      <c r="AJ161" s="200" t="str">
        <f>IFERROR(__xludf.DUMMYFUNCTION("""COMPUTED_VALUE"""),"URGENT: Inspect equipment immediately for wear/damage; High wear metals - inspect bearing/gear surfaces; Critical particle count - flush system and replace filters")</f>
        <v>URGENT: Inspect equipment immediately for wear/damage; High wear metals - inspect bearing/gear surfaces; Critical particle count - flush system and replace filters</v>
      </c>
      <c r="AK161" s="204"/>
      <c r="AL161" s="204"/>
      <c r="AM161" s="204"/>
    </row>
    <row r="162" hidden="1">
      <c r="A162" s="199" t="str">
        <f>IFERROR(__xludf.DUMMYFUNCTION("""COMPUTED_VALUE"""),"431.KB103(3)")</f>
        <v>431.KB103(3)</v>
      </c>
      <c r="B162" s="200" t="str">
        <f>IFERROR(__xludf.DUMMYFUNCTION("""COMPUTED_VALUE"""),"Kiln Bearing")</f>
        <v>Kiln Bearing</v>
      </c>
      <c r="C162" s="199">
        <f>IFERROR(__xludf.DUMMYFUNCTION("""COMPUTED_VALUE"""),2.4287130259E10)</f>
        <v>24287130259</v>
      </c>
      <c r="D162" s="201">
        <f>IFERROR(__xludf.DUMMYFUNCTION("""COMPUTED_VALUE"""),45567.0)</f>
        <v>45567</v>
      </c>
      <c r="E162" s="202" t="str">
        <f>IFERROR(__xludf.DUMMYFUNCTION("""COMPUTED_VALUE"""),"Alert")</f>
        <v>Alert</v>
      </c>
      <c r="F162" s="202" t="str">
        <f>IFERROR(__xludf.DUMMYFUNCTION("""COMPUTED_VALUE"""),"Caution")</f>
        <v>Caution</v>
      </c>
      <c r="G162" s="203" t="str">
        <f>IFERROR(__xludf.DUMMYFUNCTION("""COMPUTED_VALUE"""),"Caution")</f>
        <v>Caution</v>
      </c>
      <c r="H162" s="203" t="str">
        <f>IFERROR(__xludf.DUMMYFUNCTION("""COMPUTED_VALUE"""),"Alert")</f>
        <v>Alert</v>
      </c>
      <c r="I162" s="37"/>
      <c r="J162" s="37"/>
      <c r="K162" s="37"/>
      <c r="L162" s="199">
        <f>IFERROR(__xludf.DUMMYFUNCTION("""COMPUTED_VALUE"""),71.0)</f>
        <v>71</v>
      </c>
      <c r="M162" s="199">
        <f>IFERROR(__xludf.DUMMYFUNCTION("""COMPUTED_VALUE"""),59.5)</f>
        <v>59.5</v>
      </c>
      <c r="N162" s="37"/>
      <c r="O162" s="37">
        <f>IFERROR(__xludf.DUMMYFUNCTION("""COMPUTED_VALUE"""),3.0)</f>
        <v>3</v>
      </c>
      <c r="P162" s="199"/>
      <c r="Q162" s="199">
        <f>IFERROR(__xludf.DUMMYFUNCTION("""COMPUTED_VALUE"""),0.0)</f>
        <v>0</v>
      </c>
      <c r="R162" s="199">
        <f>IFERROR(__xludf.DUMMYFUNCTION("""COMPUTED_VALUE"""),0.0)</f>
        <v>0</v>
      </c>
      <c r="S162" s="199">
        <f>IFERROR(__xludf.DUMMYFUNCTION("""COMPUTED_VALUE"""),0.0)</f>
        <v>0</v>
      </c>
      <c r="T162" s="199">
        <f>IFERROR(__xludf.DUMMYFUNCTION("""COMPUTED_VALUE"""),48.0)</f>
        <v>48</v>
      </c>
      <c r="U162" s="199">
        <f>IFERROR(__xludf.DUMMYFUNCTION("""COMPUTED_VALUE"""),38.0)</f>
        <v>38</v>
      </c>
      <c r="V162" s="199">
        <f>IFERROR(__xludf.DUMMYFUNCTION("""COMPUTED_VALUE"""),2.0)</f>
        <v>2</v>
      </c>
      <c r="W162" s="199">
        <f>IFERROR(__xludf.DUMMYFUNCTION("""COMPUTED_VALUE"""),0.0)</f>
        <v>0</v>
      </c>
      <c r="X162" s="199">
        <f>IFERROR(__xludf.DUMMYFUNCTION("""COMPUTED_VALUE"""),0.0)</f>
        <v>0</v>
      </c>
      <c r="Y162" s="199">
        <f>IFERROR(__xludf.DUMMYFUNCTION("""COMPUTED_VALUE"""),0.0)</f>
        <v>0</v>
      </c>
      <c r="Z162" s="199">
        <f>IFERROR(__xludf.DUMMYFUNCTION("""COMPUTED_VALUE"""),2.0)</f>
        <v>2</v>
      </c>
      <c r="AA162" s="199">
        <f>IFERROR(__xludf.DUMMYFUNCTION("""COMPUTED_VALUE"""),0.0)</f>
        <v>0</v>
      </c>
      <c r="AB162" s="199">
        <f>IFERROR(__xludf.DUMMYFUNCTION("""COMPUTED_VALUE"""),10.0)</f>
        <v>10</v>
      </c>
      <c r="AC162" s="199">
        <f>IFERROR(__xludf.DUMMYFUNCTION("""COMPUTED_VALUE"""),12.0)</f>
        <v>12</v>
      </c>
      <c r="AD162" s="199">
        <f>IFERROR(__xludf.DUMMYFUNCTION("""COMPUTED_VALUE"""),0.0)</f>
        <v>0</v>
      </c>
      <c r="AE162" s="199">
        <f>IFERROR(__xludf.DUMMYFUNCTION("""COMPUTED_VALUE"""),42.0)</f>
        <v>42</v>
      </c>
      <c r="AF162" s="199">
        <f>IFERROR(__xludf.DUMMYFUNCTION("""COMPUTED_VALUE"""),6.0)</f>
        <v>6</v>
      </c>
      <c r="AG162" s="199">
        <f>IFERROR(__xludf.DUMMYFUNCTION("""COMPUTED_VALUE"""),327.0)</f>
        <v>327</v>
      </c>
      <c r="AH162" s="199">
        <f>IFERROR(__xludf.DUMMYFUNCTION("""COMPUTED_VALUE"""),15.0)</f>
        <v>15</v>
      </c>
      <c r="AI162" s="200" t="str">
        <f>IFERROR(__xludf.DUMMYFUNCTION("""COMPUTED_VALUE"""),"General Alert")</f>
        <v>General Alert</v>
      </c>
      <c r="AJ162" s="200" t="str">
        <f>IFERROR(__xludf.DUMMYFUNCTION("""COMPUTED_VALUE"""),"Investigate root cause; increase sampling frequency to monthly")</f>
        <v>Investigate root cause; increase sampling frequency to monthly</v>
      </c>
      <c r="AK162" s="204"/>
      <c r="AL162" s="204"/>
      <c r="AM162" s="204"/>
    </row>
    <row r="163" hidden="1">
      <c r="A163" s="199" t="str">
        <f>IFERROR(__xludf.DUMMYFUNCTION("""COMPUTED_VALUE"""),"431.KB103(4)")</f>
        <v>431.KB103(4)</v>
      </c>
      <c r="B163" s="200" t="str">
        <f>IFERROR(__xludf.DUMMYFUNCTION("""COMPUTED_VALUE"""),"Kiln Bearing")</f>
        <v>Kiln Bearing</v>
      </c>
      <c r="C163" s="199">
        <f>IFERROR(__xludf.DUMMYFUNCTION("""COMPUTED_VALUE"""),2.4288140258E10)</f>
        <v>24288140258</v>
      </c>
      <c r="D163" s="201">
        <f>IFERROR(__xludf.DUMMYFUNCTION("""COMPUTED_VALUE"""),45567.0)</f>
        <v>45567</v>
      </c>
      <c r="E163" s="202" t="str">
        <f>IFERROR(__xludf.DUMMYFUNCTION("""COMPUTED_VALUE"""),"Alert")</f>
        <v>Alert</v>
      </c>
      <c r="F163" s="202" t="str">
        <f>IFERROR(__xludf.DUMMYFUNCTION("""COMPUTED_VALUE"""),"Caution")</f>
        <v>Caution</v>
      </c>
      <c r="G163" s="203" t="str">
        <f>IFERROR(__xludf.DUMMYFUNCTION("""COMPUTED_VALUE"""),"Alert")</f>
        <v>Alert</v>
      </c>
      <c r="H163" s="203" t="str">
        <f>IFERROR(__xludf.DUMMYFUNCTION("""COMPUTED_VALUE"""),"Alert")</f>
        <v>Alert</v>
      </c>
      <c r="I163" s="37"/>
      <c r="J163" s="37"/>
      <c r="K163" s="37"/>
      <c r="L163" s="199">
        <f>IFERROR(__xludf.DUMMYFUNCTION("""COMPUTED_VALUE"""),82.0)</f>
        <v>82</v>
      </c>
      <c r="M163" s="199">
        <f>IFERROR(__xludf.DUMMYFUNCTION("""COMPUTED_VALUE"""),59.0)</f>
        <v>59</v>
      </c>
      <c r="N163" s="37"/>
      <c r="O163" s="37">
        <f>IFERROR(__xludf.DUMMYFUNCTION("""COMPUTED_VALUE"""),3.0)</f>
        <v>3</v>
      </c>
      <c r="P163" s="199"/>
      <c r="Q163" s="199">
        <f>IFERROR(__xludf.DUMMYFUNCTION("""COMPUTED_VALUE"""),0.0)</f>
        <v>0</v>
      </c>
      <c r="R163" s="199">
        <f>IFERROR(__xludf.DUMMYFUNCTION("""COMPUTED_VALUE"""),0.0)</f>
        <v>0</v>
      </c>
      <c r="S163" s="199">
        <f>IFERROR(__xludf.DUMMYFUNCTION("""COMPUTED_VALUE"""),0.0)</f>
        <v>0</v>
      </c>
      <c r="T163" s="199">
        <f>IFERROR(__xludf.DUMMYFUNCTION("""COMPUTED_VALUE"""),60.0)</f>
        <v>60</v>
      </c>
      <c r="U163" s="199">
        <f>IFERROR(__xludf.DUMMYFUNCTION("""COMPUTED_VALUE"""),67.0)</f>
        <v>67</v>
      </c>
      <c r="V163" s="199">
        <f>IFERROR(__xludf.DUMMYFUNCTION("""COMPUTED_VALUE"""),2.0)</f>
        <v>2</v>
      </c>
      <c r="W163" s="199">
        <f>IFERROR(__xludf.DUMMYFUNCTION("""COMPUTED_VALUE"""),0.0)</f>
        <v>0</v>
      </c>
      <c r="X163" s="199">
        <f>IFERROR(__xludf.DUMMYFUNCTION("""COMPUTED_VALUE"""),0.0)</f>
        <v>0</v>
      </c>
      <c r="Y163" s="199">
        <f>IFERROR(__xludf.DUMMYFUNCTION("""COMPUTED_VALUE"""),0.0)</f>
        <v>0</v>
      </c>
      <c r="Z163" s="199">
        <f>IFERROR(__xludf.DUMMYFUNCTION("""COMPUTED_VALUE"""),2.0)</f>
        <v>2</v>
      </c>
      <c r="AA163" s="199">
        <f>IFERROR(__xludf.DUMMYFUNCTION("""COMPUTED_VALUE"""),0.0)</f>
        <v>0</v>
      </c>
      <c r="AB163" s="199">
        <f>IFERROR(__xludf.DUMMYFUNCTION("""COMPUTED_VALUE"""),12.0)</f>
        <v>12</v>
      </c>
      <c r="AC163" s="199">
        <f>IFERROR(__xludf.DUMMYFUNCTION("""COMPUTED_VALUE"""),16.0)</f>
        <v>16</v>
      </c>
      <c r="AD163" s="199">
        <f>IFERROR(__xludf.DUMMYFUNCTION("""COMPUTED_VALUE"""),2.0)</f>
        <v>2</v>
      </c>
      <c r="AE163" s="199">
        <f>IFERROR(__xludf.DUMMYFUNCTION("""COMPUTED_VALUE"""),92.0)</f>
        <v>92</v>
      </c>
      <c r="AF163" s="199">
        <f>IFERROR(__xludf.DUMMYFUNCTION("""COMPUTED_VALUE"""),6.0)</f>
        <v>6</v>
      </c>
      <c r="AG163" s="199">
        <f>IFERROR(__xludf.DUMMYFUNCTION("""COMPUTED_VALUE"""),255.0)</f>
        <v>255</v>
      </c>
      <c r="AH163" s="199">
        <f>IFERROR(__xludf.DUMMYFUNCTION("""COMPUTED_VALUE"""),28.0)</f>
        <v>28</v>
      </c>
      <c r="AI163" s="200" t="str">
        <f>IFERROR(__xludf.DUMMYFUNCTION("""COMPUTED_VALUE"""),"Wear Metal Alert")</f>
        <v>Wear Metal Alert</v>
      </c>
      <c r="AJ163" s="200" t="str">
        <f>IFERROR(__xludf.DUMMYFUNCTION("""COMPUTED_VALUE"""),"URGENT: Inspect equipment immediately for wear/damage; High particle count - replace filters and resample")</f>
        <v>URGENT: Inspect equipment immediately for wear/damage; High particle count - replace filters and resample</v>
      </c>
      <c r="AK163" s="204"/>
      <c r="AL163" s="204"/>
      <c r="AM163" s="204"/>
    </row>
    <row r="164" hidden="1">
      <c r="A164" s="199" t="str">
        <f>IFERROR(__xludf.DUMMYFUNCTION("""COMPUTED_VALUE"""),"321.FN400(Fr.B)")</f>
        <v>321.FN400(Fr.B)</v>
      </c>
      <c r="B164" s="200" t="str">
        <f>IFERROR(__xludf.DUMMYFUNCTION("""COMPUTED_VALUE"""),"Raw Mill free bearing")</f>
        <v>Raw Mill free bearing</v>
      </c>
      <c r="C164" s="199">
        <f>IFERROR(__xludf.DUMMYFUNCTION("""COMPUTED_VALUE"""),2.4303290256E10)</f>
        <v>24303290256</v>
      </c>
      <c r="D164" s="201">
        <f>IFERROR(__xludf.DUMMYFUNCTION("""COMPUTED_VALUE"""),45589.0)</f>
        <v>45589</v>
      </c>
      <c r="E164" s="202" t="str">
        <f>IFERROR(__xludf.DUMMYFUNCTION("""COMPUTED_VALUE"""),"Alert")</f>
        <v>Alert</v>
      </c>
      <c r="F164" s="202" t="str">
        <f>IFERROR(__xludf.DUMMYFUNCTION("""COMPUTED_VALUE"""),"Alert")</f>
        <v>Alert</v>
      </c>
      <c r="G164" s="203" t="str">
        <f>IFERROR(__xludf.DUMMYFUNCTION("""COMPUTED_VALUE"""),"Alert")</f>
        <v>Alert</v>
      </c>
      <c r="H164" s="203" t="str">
        <f>IFERROR(__xludf.DUMMYFUNCTION("""COMPUTED_VALUE"""),"Normal")</f>
        <v>Normal</v>
      </c>
      <c r="I164" s="199"/>
      <c r="J164" s="199"/>
      <c r="K164" s="199"/>
      <c r="L164" s="199">
        <f>IFERROR(__xludf.DUMMYFUNCTION("""COMPUTED_VALUE"""),30.0)</f>
        <v>30</v>
      </c>
      <c r="M164" s="199">
        <f>IFERROR(__xludf.DUMMYFUNCTION("""COMPUTED_VALUE"""),65.9)</f>
        <v>65.9</v>
      </c>
      <c r="N164" s="37"/>
      <c r="O164" s="37">
        <f>IFERROR(__xludf.DUMMYFUNCTION("""COMPUTED_VALUE"""),0.0)</f>
        <v>0</v>
      </c>
      <c r="P164" s="199">
        <f>IFERROR(__xludf.DUMMYFUNCTION("""COMPUTED_VALUE"""),0.1)</f>
        <v>0.1</v>
      </c>
      <c r="Q164" s="199">
        <f>IFERROR(__xludf.DUMMYFUNCTION("""COMPUTED_VALUE"""),0.0)</f>
        <v>0</v>
      </c>
      <c r="R164" s="199">
        <f>IFERROR(__xludf.DUMMYFUNCTION("""COMPUTED_VALUE"""),10.0)</f>
        <v>10</v>
      </c>
      <c r="S164" s="199">
        <f>IFERROR(__xludf.DUMMYFUNCTION("""COMPUTED_VALUE"""),0.0)</f>
        <v>0</v>
      </c>
      <c r="T164" s="199">
        <f>IFERROR(__xludf.DUMMYFUNCTION("""COMPUTED_VALUE"""),3.0)</f>
        <v>3</v>
      </c>
      <c r="U164" s="199">
        <f>IFERROR(__xludf.DUMMYFUNCTION("""COMPUTED_VALUE"""),52.0)</f>
        <v>52</v>
      </c>
      <c r="V164" s="199">
        <f>IFERROR(__xludf.DUMMYFUNCTION("""COMPUTED_VALUE"""),0.0)</f>
        <v>0</v>
      </c>
      <c r="W164" s="199">
        <f>IFERROR(__xludf.DUMMYFUNCTION("""COMPUTED_VALUE"""),0.0)</f>
        <v>0</v>
      </c>
      <c r="X164" s="199">
        <f>IFERROR(__xludf.DUMMYFUNCTION("""COMPUTED_VALUE"""),1.0)</f>
        <v>1</v>
      </c>
      <c r="Y164" s="199">
        <f>IFERROR(__xludf.DUMMYFUNCTION("""COMPUTED_VALUE"""),0.0)</f>
        <v>0</v>
      </c>
      <c r="Z164" s="199">
        <f>IFERROR(__xludf.DUMMYFUNCTION("""COMPUTED_VALUE"""),0.0)</f>
        <v>0</v>
      </c>
      <c r="AA164" s="199">
        <f>IFERROR(__xludf.DUMMYFUNCTION("""COMPUTED_VALUE"""),0.0)</f>
        <v>0</v>
      </c>
      <c r="AB164" s="199">
        <f>IFERROR(__xludf.DUMMYFUNCTION("""COMPUTED_VALUE"""),2.0)</f>
        <v>2</v>
      </c>
      <c r="AC164" s="199">
        <f>IFERROR(__xludf.DUMMYFUNCTION("""COMPUTED_VALUE"""),0.0)</f>
        <v>0</v>
      </c>
      <c r="AD164" s="199">
        <f>IFERROR(__xludf.DUMMYFUNCTION("""COMPUTED_VALUE"""),0.0)</f>
        <v>0</v>
      </c>
      <c r="AE164" s="199">
        <f>IFERROR(__xludf.DUMMYFUNCTION("""COMPUTED_VALUE"""),52.0)</f>
        <v>52</v>
      </c>
      <c r="AF164" s="199">
        <f>IFERROR(__xludf.DUMMYFUNCTION("""COMPUTED_VALUE"""),3.0)</f>
        <v>3</v>
      </c>
      <c r="AG164" s="199">
        <f>IFERROR(__xludf.DUMMYFUNCTION("""COMPUTED_VALUE"""),28.0)</f>
        <v>28</v>
      </c>
      <c r="AH164" s="199">
        <f>IFERROR(__xludf.DUMMYFUNCTION("""COMPUTED_VALUE"""),33.0)</f>
        <v>33</v>
      </c>
      <c r="AI164" s="200" t="str">
        <f>IFERROR(__xludf.DUMMYFUNCTION("""COMPUTED_VALUE"""),"Excessive Fe / Water Ingress / Contamination Alert")</f>
        <v>Excessive Fe / Water Ingress / Contamination Alert</v>
      </c>
      <c r="AJ164" s="200" t="str">
        <f>IFERROR(__xludf.DUMMYFUNCTION("""COMPUTED_VALUE"""),"Fe 52 ppm (excessive), water 0.100 Vol%, Si 2 ppm. PQ Index 30 – elevated ferrous debris. Inspect bearing seals for water ingress and abrasive contamination. Change oil and filter. Resample after corrective action.")</f>
        <v>Fe 52 ppm (excessive), water 0.100 Vol%, Si 2 ppm. PQ Index 30 – elevated ferrous debris. Inspect bearing seals for water ingress and abrasive contamination. Change oil and filter. Resample after corrective action.</v>
      </c>
      <c r="AK164" s="204"/>
      <c r="AL164" s="204"/>
      <c r="AM164" s="204"/>
    </row>
    <row r="165" hidden="1">
      <c r="A165" s="199" t="str">
        <f>IFERROR(__xludf.DUMMYFUNCTION("""COMPUTED_VALUE"""),"331.FN110(Fx.B.)")</f>
        <v>331.FN110(Fx.B.)</v>
      </c>
      <c r="B165" s="200" t="str">
        <f>IFERROR(__xludf.DUMMYFUNCTION("""COMPUTED_VALUE"""),"ID fan fixed bearing")</f>
        <v>ID fan fixed bearing</v>
      </c>
      <c r="C165" s="199">
        <f>IFERROR(__xludf.DUMMYFUNCTION("""COMPUTED_VALUE"""),2.4303290247E10)</f>
        <v>24303290247</v>
      </c>
      <c r="D165" s="201">
        <f>IFERROR(__xludf.DUMMYFUNCTION("""COMPUTED_VALUE"""),45589.0)</f>
        <v>45589</v>
      </c>
      <c r="E165" s="202" t="str">
        <f>IFERROR(__xludf.DUMMYFUNCTION("""COMPUTED_VALUE"""),"Alert")</f>
        <v>Alert</v>
      </c>
      <c r="F165" s="202" t="str">
        <f>IFERROR(__xludf.DUMMYFUNCTION("""COMPUTED_VALUE"""),"Alert")</f>
        <v>Alert</v>
      </c>
      <c r="G165" s="203" t="str">
        <f>IFERROR(__xludf.DUMMYFUNCTION("""COMPUTED_VALUE"""),"Normal")</f>
        <v>Normal</v>
      </c>
      <c r="H165" s="203" t="str">
        <f>IFERROR(__xludf.DUMMYFUNCTION("""COMPUTED_VALUE"""),"Normal")</f>
        <v>Normal</v>
      </c>
      <c r="I165" s="37">
        <f>IFERROR(__xludf.DUMMYFUNCTION("""COMPUTED_VALUE"""),2654.0)</f>
        <v>2654</v>
      </c>
      <c r="J165" s="37">
        <f>IFERROR(__xludf.DUMMYFUNCTION("""COMPUTED_VALUE"""),1524.0)</f>
        <v>1524</v>
      </c>
      <c r="K165" s="37">
        <f>IFERROR(__xludf.DUMMYFUNCTION("""COMPUTED_VALUE"""),1011.0)</f>
        <v>1011</v>
      </c>
      <c r="L165" s="199">
        <f>IFERROR(__xludf.DUMMYFUNCTION("""COMPUTED_VALUE"""),18.0)</f>
        <v>18</v>
      </c>
      <c r="M165" s="199">
        <f>IFERROR(__xludf.DUMMYFUNCTION("""COMPUTED_VALUE"""),63.7)</f>
        <v>63.7</v>
      </c>
      <c r="N165" s="37"/>
      <c r="O165" s="37">
        <f>IFERROR(__xludf.DUMMYFUNCTION("""COMPUTED_VALUE"""),0.0)</f>
        <v>0</v>
      </c>
      <c r="P165" s="199">
        <f>IFERROR(__xludf.DUMMYFUNCTION("""COMPUTED_VALUE"""),0.1)</f>
        <v>0.1</v>
      </c>
      <c r="Q165" s="199">
        <f>IFERROR(__xludf.DUMMYFUNCTION("""COMPUTED_VALUE"""),0.0)</f>
        <v>0</v>
      </c>
      <c r="R165" s="199">
        <f>IFERROR(__xludf.DUMMYFUNCTION("""COMPUTED_VALUE"""),4.0)</f>
        <v>4</v>
      </c>
      <c r="S165" s="199">
        <f>IFERROR(__xludf.DUMMYFUNCTION("""COMPUTED_VALUE"""),2.0)</f>
        <v>2</v>
      </c>
      <c r="T165" s="199">
        <f>IFERROR(__xludf.DUMMYFUNCTION("""COMPUTED_VALUE"""),0.0)</f>
        <v>0</v>
      </c>
      <c r="U165" s="199">
        <f>IFERROR(__xludf.DUMMYFUNCTION("""COMPUTED_VALUE"""),28.0)</f>
        <v>28</v>
      </c>
      <c r="V165" s="199">
        <f>IFERROR(__xludf.DUMMYFUNCTION("""COMPUTED_VALUE"""),0.0)</f>
        <v>0</v>
      </c>
      <c r="W165" s="199">
        <f>IFERROR(__xludf.DUMMYFUNCTION("""COMPUTED_VALUE"""),0.0)</f>
        <v>0</v>
      </c>
      <c r="X165" s="199">
        <f>IFERROR(__xludf.DUMMYFUNCTION("""COMPUTED_VALUE"""),13.0)</f>
        <v>13</v>
      </c>
      <c r="Y165" s="199">
        <f>IFERROR(__xludf.DUMMYFUNCTION("""COMPUTED_VALUE"""),0.0)</f>
        <v>0</v>
      </c>
      <c r="Z165" s="199">
        <f>IFERROR(__xludf.DUMMYFUNCTION("""COMPUTED_VALUE"""),1.0)</f>
        <v>1</v>
      </c>
      <c r="AA165" s="199">
        <f>IFERROR(__xludf.DUMMYFUNCTION("""COMPUTED_VALUE"""),0.0)</f>
        <v>0</v>
      </c>
      <c r="AB165" s="199">
        <f>IFERROR(__xludf.DUMMYFUNCTION("""COMPUTED_VALUE"""),17.0)</f>
        <v>17</v>
      </c>
      <c r="AC165" s="199">
        <f>IFERROR(__xludf.DUMMYFUNCTION("""COMPUTED_VALUE"""),11.0)</f>
        <v>11</v>
      </c>
      <c r="AD165" s="199">
        <f>IFERROR(__xludf.DUMMYFUNCTION("""COMPUTED_VALUE"""),0.0)</f>
        <v>0</v>
      </c>
      <c r="AE165" s="199">
        <f>IFERROR(__xludf.DUMMYFUNCTION("""COMPUTED_VALUE"""),92.0)</f>
        <v>92</v>
      </c>
      <c r="AF165" s="199">
        <f>IFERROR(__xludf.DUMMYFUNCTION("""COMPUTED_VALUE"""),2.0)</f>
        <v>2</v>
      </c>
      <c r="AG165" s="199">
        <f>IFERROR(__xludf.DUMMYFUNCTION("""COMPUTED_VALUE"""),76.0)</f>
        <v>76</v>
      </c>
      <c r="AH165" s="199">
        <f>IFERROR(__xludf.DUMMYFUNCTION("""COMPUTED_VALUE"""),49.0)</f>
        <v>49</v>
      </c>
      <c r="AI165" s="200" t="str">
        <f>IFERROR(__xludf.DUMMYFUNCTION("""COMPUTED_VALUE"""),"High Fe / Water Ingress / High Si / Contamination Alert")</f>
        <v>High Fe / Water Ingress / High Si / Contamination Alert</v>
      </c>
      <c r="AJ165" s="200" t="str">
        <f>IFERROR(__xludf.DUMMYFUNCTION("""COMPUTED_VALUE"""),"ACTION REQUIRED – Fe 77 ppm (excessive), water 0.200 Vol%, Si 17 ppm. PQ Index 98 – severe ferrous debris. Inspect bearing seals for water and dirt ingress. Change oil and filter immediately. Resample after repair.")</f>
        <v>ACTION REQUIRED – Fe 77 ppm (excessive), water 0.200 Vol%, Si 17 ppm. PQ Index 98 – severe ferrous debris. Inspect bearing seals for water and dirt ingress. Change oil and filter immediately. Resample after repair.</v>
      </c>
      <c r="AK165" s="204"/>
      <c r="AL165" s="204"/>
      <c r="AM165" s="204"/>
    </row>
    <row r="166" hidden="1">
      <c r="A166" s="199" t="str">
        <f>IFERROR(__xludf.DUMMYFUNCTION("""COMPUTED_VALUE"""),"351.BE350 L")</f>
        <v>351.BE350 L</v>
      </c>
      <c r="B166" s="200" t="str">
        <f>IFERROR(__xludf.DUMMYFUNCTION("""COMPUTED_VALUE"""),"Bucket Elevator GB - L")</f>
        <v>Bucket Elevator GB - L</v>
      </c>
      <c r="C166" s="199">
        <f>IFERROR(__xludf.DUMMYFUNCTION("""COMPUTED_VALUE"""),2.4303290244E10)</f>
        <v>24303290244</v>
      </c>
      <c r="D166" s="201">
        <f>IFERROR(__xludf.DUMMYFUNCTION("""COMPUTED_VALUE"""),45589.0)</f>
        <v>45589</v>
      </c>
      <c r="E166" s="202" t="str">
        <f>IFERROR(__xludf.DUMMYFUNCTION("""COMPUTED_VALUE"""),"Caution")</f>
        <v>Caution</v>
      </c>
      <c r="F166" s="202" t="str">
        <f>IFERROR(__xludf.DUMMYFUNCTION("""COMPUTED_VALUE"""),"Caution")</f>
        <v>Caution</v>
      </c>
      <c r="G166" s="203" t="str">
        <f>IFERROR(__xludf.DUMMYFUNCTION("""COMPUTED_VALUE"""),"Normal")</f>
        <v>Normal</v>
      </c>
      <c r="H166" s="203" t="str">
        <f>IFERROR(__xludf.DUMMYFUNCTION("""COMPUTED_VALUE"""),"Normal")</f>
        <v>Normal</v>
      </c>
      <c r="I166" s="199">
        <f>IFERROR(__xludf.DUMMYFUNCTION("""COMPUTED_VALUE"""),13565.0)</f>
        <v>13565</v>
      </c>
      <c r="J166" s="199">
        <f>IFERROR(__xludf.DUMMYFUNCTION("""COMPUTED_VALUE"""),6523.0)</f>
        <v>6523</v>
      </c>
      <c r="K166" s="199">
        <f>IFERROR(__xludf.DUMMYFUNCTION("""COMPUTED_VALUE"""),2541.0)</f>
        <v>2541</v>
      </c>
      <c r="L166" s="199">
        <f>IFERROR(__xludf.DUMMYFUNCTION("""COMPUTED_VALUE"""),12.0)</f>
        <v>12</v>
      </c>
      <c r="M166" s="199">
        <f>IFERROR(__xludf.DUMMYFUNCTION("""COMPUTED_VALUE"""),302.0)</f>
        <v>302</v>
      </c>
      <c r="N166" s="37"/>
      <c r="O166" s="37"/>
      <c r="P166" s="199">
        <f>IFERROR(__xludf.DUMMYFUNCTION("""COMPUTED_VALUE"""),0.03)</f>
        <v>0.03</v>
      </c>
      <c r="Q166" s="199">
        <f>IFERROR(__xludf.DUMMYFUNCTION("""COMPUTED_VALUE"""),0.0)</f>
        <v>0</v>
      </c>
      <c r="R166" s="199">
        <f>IFERROR(__xludf.DUMMYFUNCTION("""COMPUTED_VALUE"""),6.0)</f>
        <v>6</v>
      </c>
      <c r="S166" s="199">
        <f>IFERROR(__xludf.DUMMYFUNCTION("""COMPUTED_VALUE"""),1.0)</f>
        <v>1</v>
      </c>
      <c r="T166" s="199">
        <f>IFERROR(__xludf.DUMMYFUNCTION("""COMPUTED_VALUE"""),2.0)</f>
        <v>2</v>
      </c>
      <c r="U166" s="199">
        <f>IFERROR(__xludf.DUMMYFUNCTION("""COMPUTED_VALUE"""),48.0)</f>
        <v>48</v>
      </c>
      <c r="V166" s="199">
        <f>IFERROR(__xludf.DUMMYFUNCTION("""COMPUTED_VALUE"""),0.0)</f>
        <v>0</v>
      </c>
      <c r="W166" s="199">
        <f>IFERROR(__xludf.DUMMYFUNCTION("""COMPUTED_VALUE"""),0.0)</f>
        <v>0</v>
      </c>
      <c r="X166" s="199">
        <f>IFERROR(__xludf.DUMMYFUNCTION("""COMPUTED_VALUE"""),2.0)</f>
        <v>2</v>
      </c>
      <c r="Y166" s="199">
        <f>IFERROR(__xludf.DUMMYFUNCTION("""COMPUTED_VALUE"""),0.0)</f>
        <v>0</v>
      </c>
      <c r="Z166" s="199">
        <f>IFERROR(__xludf.DUMMYFUNCTION("""COMPUTED_VALUE"""),2.0)</f>
        <v>2</v>
      </c>
      <c r="AA166" s="199">
        <f>IFERROR(__xludf.DUMMYFUNCTION("""COMPUTED_VALUE"""),0.0)</f>
        <v>0</v>
      </c>
      <c r="AB166" s="199">
        <f>IFERROR(__xludf.DUMMYFUNCTION("""COMPUTED_VALUE"""),3.0)</f>
        <v>3</v>
      </c>
      <c r="AC166" s="199">
        <f>IFERROR(__xludf.DUMMYFUNCTION("""COMPUTED_VALUE"""),2.0)</f>
        <v>2</v>
      </c>
      <c r="AD166" s="199">
        <f>IFERROR(__xludf.DUMMYFUNCTION("""COMPUTED_VALUE"""),0.0)</f>
        <v>0</v>
      </c>
      <c r="AE166" s="199">
        <f>IFERROR(__xludf.DUMMYFUNCTION("""COMPUTED_VALUE"""),15.0)</f>
        <v>15</v>
      </c>
      <c r="AF166" s="199">
        <f>IFERROR(__xludf.DUMMYFUNCTION("""COMPUTED_VALUE"""),5.0)</f>
        <v>5</v>
      </c>
      <c r="AG166" s="199">
        <f>IFERROR(__xludf.DUMMYFUNCTION("""COMPUTED_VALUE"""),313.0)</f>
        <v>313</v>
      </c>
      <c r="AH166" s="199">
        <f>IFERROR(__xludf.DUMMYFUNCTION("""COMPUTED_VALUE"""),47.0)</f>
        <v>47</v>
      </c>
      <c r="AI166" s="200" t="str">
        <f>IFERROR(__xludf.DUMMYFUNCTION("""COMPUTED_VALUE"""),"Caution – Elevated Fe / Contamination")</f>
        <v>Caution – Elevated Fe / Contamination</v>
      </c>
      <c r="AJ166" s="200" t="str">
        <f>IFERROR(__xludf.DUMMYFUNCTION("""COMPUTED_VALUE"""),"Fe 48 ppm (elevated), Al 6 ppm. TAN 1.20 mg KOH/g. Monitor wear trend. Inspect filtration. Resample within 60 days.")</f>
        <v>Fe 48 ppm (elevated), Al 6 ppm. TAN 1.20 mg KOH/g. Monitor wear trend. Inspect filtration. Resample within 60 days.</v>
      </c>
      <c r="AK166" s="204"/>
      <c r="AL166" s="204"/>
      <c r="AM166" s="204"/>
    </row>
    <row r="167" hidden="1">
      <c r="A167" s="199" t="str">
        <f>IFERROR(__xludf.DUMMYFUNCTION("""COMPUTED_VALUE"""),"111.AF060 (L)")</f>
        <v>111.AF060 (L)</v>
      </c>
      <c r="B167" s="200" t="str">
        <f>IFERROR(__xludf.DUMMYFUNCTION("""COMPUTED_VALUE"""),"Limestone Apron Feeder Left Gear Box")</f>
        <v>Limestone Apron Feeder Left Gear Box</v>
      </c>
      <c r="C167" s="199">
        <f>IFERROR(__xludf.DUMMYFUNCTION("""COMPUTED_VALUE"""),2.4307211227E10)</f>
        <v>24307211227</v>
      </c>
      <c r="D167" s="201">
        <f>IFERROR(__xludf.DUMMYFUNCTION("""COMPUTED_VALUE"""),45589.0)</f>
        <v>45589</v>
      </c>
      <c r="E167" s="202" t="str">
        <f>IFERROR(__xludf.DUMMYFUNCTION("""COMPUTED_VALUE"""),"Caution")</f>
        <v>Caution</v>
      </c>
      <c r="F167" s="202" t="str">
        <f>IFERROR(__xludf.DUMMYFUNCTION("""COMPUTED_VALUE"""),"Caution")</f>
        <v>Caution</v>
      </c>
      <c r="G167" s="203" t="str">
        <f>IFERROR(__xludf.DUMMYFUNCTION("""COMPUTED_VALUE"""),"Normal")</f>
        <v>Normal</v>
      </c>
      <c r="H167" s="203" t="str">
        <f>IFERROR(__xludf.DUMMYFUNCTION("""COMPUTED_VALUE"""),"Normal")</f>
        <v>Normal</v>
      </c>
      <c r="I167" s="199">
        <f>IFERROR(__xludf.DUMMYFUNCTION("""COMPUTED_VALUE"""),13521.0)</f>
        <v>13521</v>
      </c>
      <c r="J167" s="199">
        <f>IFERROR(__xludf.DUMMYFUNCTION("""COMPUTED_VALUE"""),7451.0)</f>
        <v>7451</v>
      </c>
      <c r="K167" s="199">
        <f>IFERROR(__xludf.DUMMYFUNCTION("""COMPUTED_VALUE"""),3211.0)</f>
        <v>3211</v>
      </c>
      <c r="L167" s="199">
        <f>IFERROR(__xludf.DUMMYFUNCTION("""COMPUTED_VALUE"""),15.0)</f>
        <v>15</v>
      </c>
      <c r="M167" s="199">
        <f>IFERROR(__xludf.DUMMYFUNCTION("""COMPUTED_VALUE"""),201.5)</f>
        <v>201.5</v>
      </c>
      <c r="N167" s="37"/>
      <c r="O167" s="37"/>
      <c r="P167" s="199">
        <f>IFERROR(__xludf.DUMMYFUNCTION("""COMPUTED_VALUE"""),0.005)</f>
        <v>0.005</v>
      </c>
      <c r="Q167" s="199">
        <f>IFERROR(__xludf.DUMMYFUNCTION("""COMPUTED_VALUE"""),0.0)</f>
        <v>0</v>
      </c>
      <c r="R167" s="199">
        <f>IFERROR(__xludf.DUMMYFUNCTION("""COMPUTED_VALUE"""),1.0)</f>
        <v>1</v>
      </c>
      <c r="S167" s="199">
        <f>IFERROR(__xludf.DUMMYFUNCTION("""COMPUTED_VALUE"""),9.0)</f>
        <v>9</v>
      </c>
      <c r="T167" s="199">
        <f>IFERROR(__xludf.DUMMYFUNCTION("""COMPUTED_VALUE"""),1.0)</f>
        <v>1</v>
      </c>
      <c r="U167" s="199">
        <f>IFERROR(__xludf.DUMMYFUNCTION("""COMPUTED_VALUE"""),15.0)</f>
        <v>15</v>
      </c>
      <c r="V167" s="199">
        <f>IFERROR(__xludf.DUMMYFUNCTION("""COMPUTED_VALUE"""),2.0)</f>
        <v>2</v>
      </c>
      <c r="W167" s="199">
        <f>IFERROR(__xludf.DUMMYFUNCTION("""COMPUTED_VALUE"""),0.0)</f>
        <v>0</v>
      </c>
      <c r="X167" s="199">
        <f>IFERROR(__xludf.DUMMYFUNCTION("""COMPUTED_VALUE"""),0.0)</f>
        <v>0</v>
      </c>
      <c r="Y167" s="199">
        <f>IFERROR(__xludf.DUMMYFUNCTION("""COMPUTED_VALUE"""),0.0)</f>
        <v>0</v>
      </c>
      <c r="Z167" s="199">
        <f>IFERROR(__xludf.DUMMYFUNCTION("""COMPUTED_VALUE"""),0.0)</f>
        <v>0</v>
      </c>
      <c r="AA167" s="199">
        <f>IFERROR(__xludf.DUMMYFUNCTION("""COMPUTED_VALUE"""),3.0)</f>
        <v>3</v>
      </c>
      <c r="AB167" s="199">
        <f>IFERROR(__xludf.DUMMYFUNCTION("""COMPUTED_VALUE"""),40.0)</f>
        <v>40</v>
      </c>
      <c r="AC167" s="199">
        <f>IFERROR(__xludf.DUMMYFUNCTION("""COMPUTED_VALUE"""),10.0)</f>
        <v>10</v>
      </c>
      <c r="AD167" s="199">
        <f>IFERROR(__xludf.DUMMYFUNCTION("""COMPUTED_VALUE"""),0.0)</f>
        <v>0</v>
      </c>
      <c r="AE167" s="199">
        <f>IFERROR(__xludf.DUMMYFUNCTION("""COMPUTED_VALUE"""),0.0)</f>
        <v>0</v>
      </c>
      <c r="AF167" s="199">
        <f>IFERROR(__xludf.DUMMYFUNCTION("""COMPUTED_VALUE"""),2.0)</f>
        <v>2</v>
      </c>
      <c r="AG167" s="199">
        <f>IFERROR(__xludf.DUMMYFUNCTION("""COMPUTED_VALUE"""),632.0)</f>
        <v>632</v>
      </c>
      <c r="AH167" s="199">
        <f>IFERROR(__xludf.DUMMYFUNCTION("""COMPUTED_VALUE"""),11.0)</f>
        <v>11</v>
      </c>
      <c r="AI167" s="200" t="str">
        <f>IFERROR(__xludf.DUMMYFUNCTION("""COMPUTED_VALUE"""),"Caution – Elevated Si &amp; Cr")</f>
        <v>Caution – Elevated Si &amp; Cr</v>
      </c>
      <c r="AJ167" s="200" t="str">
        <f>IFERROR(__xludf.DUMMYFUNCTION("""COMPUTED_VALUE"""),"Si 40 ppm, Cr 9 ppm elevated. ISO 21/20/19. Na 3 ppm. Inspect seals and filtration. Resample within 45 days.")</f>
        <v>Si 40 ppm, Cr 9 ppm elevated. ISO 21/20/19. Na 3 ppm. Inspect seals and filtration. Resample within 45 days.</v>
      </c>
      <c r="AK167" s="204"/>
      <c r="AL167" s="204"/>
      <c r="AM167" s="204"/>
    </row>
    <row r="168" hidden="1">
      <c r="A168" s="199" t="str">
        <f>IFERROR(__xludf.DUMMYFUNCTION("""COMPUTED_VALUE"""),"341.BE040 L")</f>
        <v>341.BE040 L</v>
      </c>
      <c r="B168" s="200" t="str">
        <f>IFERROR(__xludf.DUMMYFUNCTION("""COMPUTED_VALUE"""),"Bucket Elevator GB - L")</f>
        <v>Bucket Elevator GB - L</v>
      </c>
      <c r="C168" s="199">
        <f>IFERROR(__xludf.DUMMYFUNCTION("""COMPUTED_VALUE"""),2.430329026E10)</f>
        <v>24303290260</v>
      </c>
      <c r="D168" s="201">
        <f>IFERROR(__xludf.DUMMYFUNCTION("""COMPUTED_VALUE"""),45589.0)</f>
        <v>45589</v>
      </c>
      <c r="E168" s="202" t="str">
        <f>IFERROR(__xludf.DUMMYFUNCTION("""COMPUTED_VALUE"""),"Normal")</f>
        <v>Normal</v>
      </c>
      <c r="F168" s="202" t="str">
        <f>IFERROR(__xludf.DUMMYFUNCTION("""COMPUTED_VALUE"""),"Normal")</f>
        <v>Normal</v>
      </c>
      <c r="G168" s="203" t="str">
        <f>IFERROR(__xludf.DUMMYFUNCTION("""COMPUTED_VALUE"""),"Normal")</f>
        <v>Normal</v>
      </c>
      <c r="H168" s="203" t="str">
        <f>IFERROR(__xludf.DUMMYFUNCTION("""COMPUTED_VALUE"""),"Normal")</f>
        <v>Normal</v>
      </c>
      <c r="I168" s="199">
        <f>IFERROR(__xludf.DUMMYFUNCTION("""COMPUTED_VALUE"""),9251.0)</f>
        <v>9251</v>
      </c>
      <c r="J168" s="199">
        <f>IFERROR(__xludf.DUMMYFUNCTION("""COMPUTED_VALUE"""),3621.0)</f>
        <v>3621</v>
      </c>
      <c r="K168" s="199">
        <f>IFERROR(__xludf.DUMMYFUNCTION("""COMPUTED_VALUE"""),1513.0)</f>
        <v>1513</v>
      </c>
      <c r="L168" s="199">
        <f>IFERROR(__xludf.DUMMYFUNCTION("""COMPUTED_VALUE"""),7.0)</f>
        <v>7</v>
      </c>
      <c r="M168" s="199">
        <f>IFERROR(__xludf.DUMMYFUNCTION("""COMPUTED_VALUE"""),324.9)</f>
        <v>324.9</v>
      </c>
      <c r="N168" s="37"/>
      <c r="O168" s="37"/>
      <c r="P168" s="199">
        <f>IFERROR(__xludf.DUMMYFUNCTION("""COMPUTED_VALUE"""),0.02)</f>
        <v>0.02</v>
      </c>
      <c r="Q168" s="199">
        <f>IFERROR(__xludf.DUMMYFUNCTION("""COMPUTED_VALUE"""),0.0)</f>
        <v>0</v>
      </c>
      <c r="R168" s="199">
        <f>IFERROR(__xludf.DUMMYFUNCTION("""COMPUTED_VALUE"""),3.0)</f>
        <v>3</v>
      </c>
      <c r="S168" s="199">
        <f>IFERROR(__xludf.DUMMYFUNCTION("""COMPUTED_VALUE"""),0.0)</f>
        <v>0</v>
      </c>
      <c r="T168" s="199">
        <f>IFERROR(__xludf.DUMMYFUNCTION("""COMPUTED_VALUE"""),0.0)</f>
        <v>0</v>
      </c>
      <c r="U168" s="199">
        <f>IFERROR(__xludf.DUMMYFUNCTION("""COMPUTED_VALUE"""),34.0)</f>
        <v>34</v>
      </c>
      <c r="V168" s="199">
        <f>IFERROR(__xludf.DUMMYFUNCTION("""COMPUTED_VALUE"""),0.0)</f>
        <v>0</v>
      </c>
      <c r="W168" s="199">
        <f>IFERROR(__xludf.DUMMYFUNCTION("""COMPUTED_VALUE"""),0.0)</f>
        <v>0</v>
      </c>
      <c r="X168" s="199">
        <f>IFERROR(__xludf.DUMMYFUNCTION("""COMPUTED_VALUE"""),1.0)</f>
        <v>1</v>
      </c>
      <c r="Y168" s="199">
        <f>IFERROR(__xludf.DUMMYFUNCTION("""COMPUTED_VALUE"""),0.0)</f>
        <v>0</v>
      </c>
      <c r="Z168" s="199">
        <f>IFERROR(__xludf.DUMMYFUNCTION("""COMPUTED_VALUE"""),0.0)</f>
        <v>0</v>
      </c>
      <c r="AA168" s="199">
        <f>IFERROR(__xludf.DUMMYFUNCTION("""COMPUTED_VALUE"""),0.0)</f>
        <v>0</v>
      </c>
      <c r="AB168" s="199">
        <f>IFERROR(__xludf.DUMMYFUNCTION("""COMPUTED_VALUE"""),7.0)</f>
        <v>7</v>
      </c>
      <c r="AC168" s="199">
        <f>IFERROR(__xludf.DUMMYFUNCTION("""COMPUTED_VALUE"""),11.0)</f>
        <v>11</v>
      </c>
      <c r="AD168" s="199">
        <f>IFERROR(__xludf.DUMMYFUNCTION("""COMPUTED_VALUE"""),0.0)</f>
        <v>0</v>
      </c>
      <c r="AE168" s="199">
        <f>IFERROR(__xludf.DUMMYFUNCTION("""COMPUTED_VALUE"""),10.0)</f>
        <v>10</v>
      </c>
      <c r="AF168" s="199">
        <f>IFERROR(__xludf.DUMMYFUNCTION("""COMPUTED_VALUE"""),2.0)</f>
        <v>2</v>
      </c>
      <c r="AG168" s="199">
        <f>IFERROR(__xludf.DUMMYFUNCTION("""COMPUTED_VALUE"""),319.0)</f>
        <v>319</v>
      </c>
      <c r="AH168" s="199">
        <f>IFERROR(__xludf.DUMMYFUNCTION("""COMPUTED_VALUE"""),64.0)</f>
        <v>64</v>
      </c>
      <c r="AI168" s="200" t="str">
        <f>IFERROR(__xludf.DUMMYFUNCTION("""COMPUTED_VALUE"""),"Normal")</f>
        <v>Normal</v>
      </c>
      <c r="AJ168" s="200" t="str">
        <f>IFERROR(__xludf.DUMMYFUNCTION("""COMPUTED_VALUE"""),"ISO Code 20/19/18. All parameters within acceptable limits. Continue routine monitoring.")</f>
        <v>ISO Code 20/19/18. All parameters within acceptable limits. Continue routine monitoring.</v>
      </c>
      <c r="AK168" s="204"/>
      <c r="AL168" s="204"/>
      <c r="AM168" s="204"/>
    </row>
    <row r="169" hidden="1">
      <c r="A169" s="199" t="str">
        <f>IFERROR(__xludf.DUMMYFUNCTION("""COMPUTED_VALUE"""),"461.CP524")</f>
        <v>461.CP524</v>
      </c>
      <c r="B169" s="200" t="str">
        <f>IFERROR(__xludf.DUMMYFUNCTION("""COMPUTED_VALUE"""),"Coal#1 - Air Compressor")</f>
        <v>Coal#1 - Air Compressor</v>
      </c>
      <c r="C169" s="199">
        <f>IFERROR(__xludf.DUMMYFUNCTION("""COMPUTED_VALUE"""),2.4307211223E10)</f>
        <v>24307211223</v>
      </c>
      <c r="D169" s="201">
        <f>IFERROR(__xludf.DUMMYFUNCTION("""COMPUTED_VALUE"""),45589.0)</f>
        <v>45589</v>
      </c>
      <c r="E169" s="202" t="str">
        <f>IFERROR(__xludf.DUMMYFUNCTION("""COMPUTED_VALUE"""),"Normal")</f>
        <v>Normal</v>
      </c>
      <c r="F169" s="202" t="str">
        <f>IFERROR(__xludf.DUMMYFUNCTION("""COMPUTED_VALUE"""),"Normal")</f>
        <v>Normal</v>
      </c>
      <c r="G169" s="203" t="str">
        <f>IFERROR(__xludf.DUMMYFUNCTION("""COMPUTED_VALUE"""),"Normal")</f>
        <v>Normal</v>
      </c>
      <c r="H169" s="203" t="str">
        <f>IFERROR(__xludf.DUMMYFUNCTION("""COMPUTED_VALUE"""),"Normal")</f>
        <v>Normal</v>
      </c>
      <c r="I169" s="37">
        <f>IFERROR(__xludf.DUMMYFUNCTION("""COMPUTED_VALUE"""),9681.0)</f>
        <v>9681</v>
      </c>
      <c r="J169" s="37">
        <f>IFERROR(__xludf.DUMMYFUNCTION("""COMPUTED_VALUE"""),4615.0)</f>
        <v>4615</v>
      </c>
      <c r="K169" s="37">
        <f>IFERROR(__xludf.DUMMYFUNCTION("""COMPUTED_VALUE"""),1135.0)</f>
        <v>1135</v>
      </c>
      <c r="L169" s="199">
        <f>IFERROR(__xludf.DUMMYFUNCTION("""COMPUTED_VALUE"""),3.0)</f>
        <v>3</v>
      </c>
      <c r="M169" s="199">
        <f>IFERROR(__xludf.DUMMYFUNCTION("""COMPUTED_VALUE"""),66.1)</f>
        <v>66.1</v>
      </c>
      <c r="N169" s="199"/>
      <c r="O169" s="199"/>
      <c r="P169" s="199">
        <f>IFERROR(__xludf.DUMMYFUNCTION("""COMPUTED_VALUE"""),0.003)</f>
        <v>0.003</v>
      </c>
      <c r="Q169" s="199">
        <f>IFERROR(__xludf.DUMMYFUNCTION("""COMPUTED_VALUE"""),0.0)</f>
        <v>0</v>
      </c>
      <c r="R169" s="199">
        <f>IFERROR(__xludf.DUMMYFUNCTION("""COMPUTED_VALUE"""),2.0)</f>
        <v>2</v>
      </c>
      <c r="S169" s="199">
        <f>IFERROR(__xludf.DUMMYFUNCTION("""COMPUTED_VALUE"""),1.0)</f>
        <v>1</v>
      </c>
      <c r="T169" s="199">
        <f>IFERROR(__xludf.DUMMYFUNCTION("""COMPUTED_VALUE"""),0.0)</f>
        <v>0</v>
      </c>
      <c r="U169" s="199">
        <f>IFERROR(__xludf.DUMMYFUNCTION("""COMPUTED_VALUE"""),6.0)</f>
        <v>6</v>
      </c>
      <c r="V169" s="199">
        <f>IFERROR(__xludf.DUMMYFUNCTION("""COMPUTED_VALUE"""),2.0)</f>
        <v>2</v>
      </c>
      <c r="W169" s="199">
        <f>IFERROR(__xludf.DUMMYFUNCTION("""COMPUTED_VALUE"""),0.0)</f>
        <v>0</v>
      </c>
      <c r="X169" s="199">
        <f>IFERROR(__xludf.DUMMYFUNCTION("""COMPUTED_VALUE"""),0.0)</f>
        <v>0</v>
      </c>
      <c r="Y169" s="199">
        <f>IFERROR(__xludf.DUMMYFUNCTION("""COMPUTED_VALUE"""),0.0)</f>
        <v>0</v>
      </c>
      <c r="Z169" s="199">
        <f>IFERROR(__xludf.DUMMYFUNCTION("""COMPUTED_VALUE"""),2.0)</f>
        <v>2</v>
      </c>
      <c r="AA169" s="199">
        <f>IFERROR(__xludf.DUMMYFUNCTION("""COMPUTED_VALUE"""),0.0)</f>
        <v>0</v>
      </c>
      <c r="AB169" s="199">
        <f>IFERROR(__xludf.DUMMYFUNCTION("""COMPUTED_VALUE"""),6.0)</f>
        <v>6</v>
      </c>
      <c r="AC169" s="199">
        <f>IFERROR(__xludf.DUMMYFUNCTION("""COMPUTED_VALUE"""),11.0)</f>
        <v>11</v>
      </c>
      <c r="AD169" s="199">
        <f>IFERROR(__xludf.DUMMYFUNCTION("""COMPUTED_VALUE"""),0.0)</f>
        <v>0</v>
      </c>
      <c r="AE169" s="199">
        <f>IFERROR(__xludf.DUMMYFUNCTION("""COMPUTED_VALUE"""),16.0)</f>
        <v>16</v>
      </c>
      <c r="AF169" s="199">
        <f>IFERROR(__xludf.DUMMYFUNCTION("""COMPUTED_VALUE"""),0.0)</f>
        <v>0</v>
      </c>
      <c r="AG169" s="199">
        <f>IFERROR(__xludf.DUMMYFUNCTION("""COMPUTED_VALUE"""),1146.0)</f>
        <v>1146</v>
      </c>
      <c r="AH169" s="199">
        <f>IFERROR(__xludf.DUMMYFUNCTION("""COMPUTED_VALUE"""),10.0)</f>
        <v>10</v>
      </c>
      <c r="AI169" s="200" t="str">
        <f>IFERROR(__xludf.DUMMYFUNCTION("""COMPUTED_VALUE"""),"Normal")</f>
        <v>Normal</v>
      </c>
      <c r="AJ169" s="200" t="str">
        <f>IFERROR(__xludf.DUMMYFUNCTION("""COMPUTED_VALUE"""),"ISO Code 20/19/17. All parameters within acceptable limits. Continue routine monitoring.")</f>
        <v>ISO Code 20/19/17. All parameters within acceptable limits. Continue routine monitoring.</v>
      </c>
      <c r="AK169" s="204"/>
      <c r="AL169" s="204"/>
      <c r="AM169" s="204"/>
    </row>
    <row r="170" hidden="1">
      <c r="A170" s="199" t="str">
        <f>IFERROR(__xludf.DUMMYFUNCTION("""COMPUTED_VALUE"""),"111.AF040 (R)")</f>
        <v>111.AF040 (R)</v>
      </c>
      <c r="B170" s="200" t="str">
        <f>IFERROR(__xludf.DUMMYFUNCTION("""COMPUTED_VALUE"""),"Clay apron feeder right gearbox")</f>
        <v>Clay apron feeder right gearbox</v>
      </c>
      <c r="C170" s="199">
        <f>IFERROR(__xludf.DUMMYFUNCTION("""COMPUTED_VALUE"""),2.4303290264E10)</f>
        <v>24303290264</v>
      </c>
      <c r="D170" s="201">
        <f>IFERROR(__xludf.DUMMYFUNCTION("""COMPUTED_VALUE"""),45589.0)</f>
        <v>45589</v>
      </c>
      <c r="E170" s="202" t="str">
        <f>IFERROR(__xludf.DUMMYFUNCTION("""COMPUTED_VALUE"""),"Normal")</f>
        <v>Normal</v>
      </c>
      <c r="F170" s="202" t="str">
        <f>IFERROR(__xludf.DUMMYFUNCTION("""COMPUTED_VALUE"""),"Normal")</f>
        <v>Normal</v>
      </c>
      <c r="G170" s="203" t="str">
        <f>IFERROR(__xludf.DUMMYFUNCTION("""COMPUTED_VALUE"""),"Normal")</f>
        <v>Normal</v>
      </c>
      <c r="H170" s="203" t="str">
        <f>IFERROR(__xludf.DUMMYFUNCTION("""COMPUTED_VALUE"""),"Normal")</f>
        <v>Normal</v>
      </c>
      <c r="I170" s="37">
        <f>IFERROR(__xludf.DUMMYFUNCTION("""COMPUTED_VALUE"""),16790.0)</f>
        <v>16790</v>
      </c>
      <c r="J170" s="37">
        <f>IFERROR(__xludf.DUMMYFUNCTION("""COMPUTED_VALUE"""),9102.0)</f>
        <v>9102</v>
      </c>
      <c r="K170" s="37">
        <f>IFERROR(__xludf.DUMMYFUNCTION("""COMPUTED_VALUE"""),1144.0)</f>
        <v>1144</v>
      </c>
      <c r="L170" s="199">
        <f>IFERROR(__xludf.DUMMYFUNCTION("""COMPUTED_VALUE"""),5.0)</f>
        <v>5</v>
      </c>
      <c r="M170" s="199">
        <f>IFERROR(__xludf.DUMMYFUNCTION("""COMPUTED_VALUE"""),203.6)</f>
        <v>203.6</v>
      </c>
      <c r="N170" s="199"/>
      <c r="O170" s="199"/>
      <c r="P170" s="199">
        <f>IFERROR(__xludf.DUMMYFUNCTION("""COMPUTED_VALUE"""),0.01)</f>
        <v>0.01</v>
      </c>
      <c r="Q170" s="199">
        <f>IFERROR(__xludf.DUMMYFUNCTION("""COMPUTED_VALUE"""),0.0)</f>
        <v>0</v>
      </c>
      <c r="R170" s="199">
        <f>IFERROR(__xludf.DUMMYFUNCTION("""COMPUTED_VALUE"""),2.0)</f>
        <v>2</v>
      </c>
      <c r="S170" s="199">
        <f>IFERROR(__xludf.DUMMYFUNCTION("""COMPUTED_VALUE"""),0.0)</f>
        <v>0</v>
      </c>
      <c r="T170" s="199">
        <f>IFERROR(__xludf.DUMMYFUNCTION("""COMPUTED_VALUE"""),1.0)</f>
        <v>1</v>
      </c>
      <c r="U170" s="199">
        <f>IFERROR(__xludf.DUMMYFUNCTION("""COMPUTED_VALUE"""),3.0)</f>
        <v>3</v>
      </c>
      <c r="V170" s="199">
        <f>IFERROR(__xludf.DUMMYFUNCTION("""COMPUTED_VALUE"""),0.0)</f>
        <v>0</v>
      </c>
      <c r="W170" s="199">
        <f>IFERROR(__xludf.DUMMYFUNCTION("""COMPUTED_VALUE"""),0.0)</f>
        <v>0</v>
      </c>
      <c r="X170" s="199">
        <f>IFERROR(__xludf.DUMMYFUNCTION("""COMPUTED_VALUE"""),2.0)</f>
        <v>2</v>
      </c>
      <c r="Y170" s="199">
        <f>IFERROR(__xludf.DUMMYFUNCTION("""COMPUTED_VALUE"""),0.0)</f>
        <v>0</v>
      </c>
      <c r="Z170" s="199">
        <f>IFERROR(__xludf.DUMMYFUNCTION("""COMPUTED_VALUE"""),0.0)</f>
        <v>0</v>
      </c>
      <c r="AA170" s="199">
        <f>IFERROR(__xludf.DUMMYFUNCTION("""COMPUTED_VALUE"""),0.0)</f>
        <v>0</v>
      </c>
      <c r="AB170" s="199">
        <f>IFERROR(__xludf.DUMMYFUNCTION("""COMPUTED_VALUE"""),9.0)</f>
        <v>9</v>
      </c>
      <c r="AC170" s="199">
        <f>IFERROR(__xludf.DUMMYFUNCTION("""COMPUTED_VALUE"""),10.0)</f>
        <v>10</v>
      </c>
      <c r="AD170" s="199">
        <f>IFERROR(__xludf.DUMMYFUNCTION("""COMPUTED_VALUE"""),0.0)</f>
        <v>0</v>
      </c>
      <c r="AE170" s="199">
        <f>IFERROR(__xludf.DUMMYFUNCTION("""COMPUTED_VALUE"""),30.0)</f>
        <v>30</v>
      </c>
      <c r="AF170" s="199">
        <f>IFERROR(__xludf.DUMMYFUNCTION("""COMPUTED_VALUE"""),2.0)</f>
        <v>2</v>
      </c>
      <c r="AG170" s="199">
        <f>IFERROR(__xludf.DUMMYFUNCTION("""COMPUTED_VALUE"""),362.0)</f>
        <v>362</v>
      </c>
      <c r="AH170" s="199">
        <f>IFERROR(__xludf.DUMMYFUNCTION("""COMPUTED_VALUE"""),9.0)</f>
        <v>9</v>
      </c>
      <c r="AI170" s="200" t="str">
        <f>IFERROR(__xludf.DUMMYFUNCTION("""COMPUTED_VALUE"""),"Normal - No Action Required")</f>
        <v>Normal - No Action Required</v>
      </c>
      <c r="AJ170" s="200" t="str">
        <f>IFERROR(__xludf.DUMMYFUNCTION("""COMPUTED_VALUE"""),"Continue routine monitoring and sampling schedule")</f>
        <v>Continue routine monitoring and sampling schedule</v>
      </c>
      <c r="AK170" s="204"/>
      <c r="AL170" s="204"/>
      <c r="AM170" s="204"/>
    </row>
    <row r="171" hidden="1">
      <c r="A171" s="199" t="str">
        <f>IFERROR(__xludf.DUMMYFUNCTION("""COMPUTED_VALUE"""),"421.HR700 (B)")</f>
        <v>421.HR700 (B)</v>
      </c>
      <c r="B171" s="200" t="str">
        <f>IFERROR(__xludf.DUMMYFUNCTION("""COMPUTED_VALUE"""),"HOTDISC Drive M02")</f>
        <v>HOTDISC Drive M02</v>
      </c>
      <c r="C171" s="199">
        <f>IFERROR(__xludf.DUMMYFUNCTION("""COMPUTED_VALUE"""),2.4305310239E10)</f>
        <v>24305310239</v>
      </c>
      <c r="D171" s="201">
        <f>IFERROR(__xludf.DUMMYFUNCTION("""COMPUTED_VALUE"""),45589.0)</f>
        <v>45589</v>
      </c>
      <c r="E171" s="202" t="str">
        <f>IFERROR(__xludf.DUMMYFUNCTION("""COMPUTED_VALUE"""),"Normal")</f>
        <v>Normal</v>
      </c>
      <c r="F171" s="202" t="str">
        <f>IFERROR(__xludf.DUMMYFUNCTION("""COMPUTED_VALUE"""),"Normal")</f>
        <v>Normal</v>
      </c>
      <c r="G171" s="203" t="str">
        <f>IFERROR(__xludf.DUMMYFUNCTION("""COMPUTED_VALUE"""),"Normal")</f>
        <v>Normal</v>
      </c>
      <c r="H171" s="203" t="str">
        <f>IFERROR(__xludf.DUMMYFUNCTION("""COMPUTED_VALUE"""),"Normal")</f>
        <v>Normal</v>
      </c>
      <c r="I171" s="37">
        <f>IFERROR(__xludf.DUMMYFUNCTION("""COMPUTED_VALUE"""),11892.0)</f>
        <v>11892</v>
      </c>
      <c r="J171" s="37">
        <f>IFERROR(__xludf.DUMMYFUNCTION("""COMPUTED_VALUE"""),5693.0)</f>
        <v>5693</v>
      </c>
      <c r="K171" s="37">
        <f>IFERROR(__xludf.DUMMYFUNCTION("""COMPUTED_VALUE"""),1294.0)</f>
        <v>1294</v>
      </c>
      <c r="L171" s="199">
        <f>IFERROR(__xludf.DUMMYFUNCTION("""COMPUTED_VALUE"""),4.0)</f>
        <v>4</v>
      </c>
      <c r="M171" s="199">
        <f>IFERROR(__xludf.DUMMYFUNCTION("""COMPUTED_VALUE"""),217.6)</f>
        <v>217.6</v>
      </c>
      <c r="N171" s="199"/>
      <c r="O171" s="199"/>
      <c r="P171" s="199">
        <f>IFERROR(__xludf.DUMMYFUNCTION("""COMPUTED_VALUE"""),0.003)</f>
        <v>0.003</v>
      </c>
      <c r="Q171" s="199">
        <f>IFERROR(__xludf.DUMMYFUNCTION("""COMPUTED_VALUE"""),0.0)</f>
        <v>0</v>
      </c>
      <c r="R171" s="199">
        <f>IFERROR(__xludf.DUMMYFUNCTION("""COMPUTED_VALUE"""),2.0)</f>
        <v>2</v>
      </c>
      <c r="S171" s="199">
        <f>IFERROR(__xludf.DUMMYFUNCTION("""COMPUTED_VALUE"""),1.0)</f>
        <v>1</v>
      </c>
      <c r="T171" s="199">
        <f>IFERROR(__xludf.DUMMYFUNCTION("""COMPUTED_VALUE"""),2.0)</f>
        <v>2</v>
      </c>
      <c r="U171" s="199">
        <f>IFERROR(__xludf.DUMMYFUNCTION("""COMPUTED_VALUE"""),6.0)</f>
        <v>6</v>
      </c>
      <c r="V171" s="199">
        <f>IFERROR(__xludf.DUMMYFUNCTION("""COMPUTED_VALUE"""),0.0)</f>
        <v>0</v>
      </c>
      <c r="W171" s="199">
        <f>IFERROR(__xludf.DUMMYFUNCTION("""COMPUTED_VALUE"""),0.0)</f>
        <v>0</v>
      </c>
      <c r="X171" s="199">
        <f>IFERROR(__xludf.DUMMYFUNCTION("""COMPUTED_VALUE"""),1.0)</f>
        <v>1</v>
      </c>
      <c r="Y171" s="199">
        <f>IFERROR(__xludf.DUMMYFUNCTION("""COMPUTED_VALUE"""),0.0)</f>
        <v>0</v>
      </c>
      <c r="Z171" s="199">
        <f>IFERROR(__xludf.DUMMYFUNCTION("""COMPUTED_VALUE"""),0.0)</f>
        <v>0</v>
      </c>
      <c r="AA171" s="199">
        <f>IFERROR(__xludf.DUMMYFUNCTION("""COMPUTED_VALUE"""),0.0)</f>
        <v>0</v>
      </c>
      <c r="AB171" s="199">
        <f>IFERROR(__xludf.DUMMYFUNCTION("""COMPUTED_VALUE"""),11.0)</f>
        <v>11</v>
      </c>
      <c r="AC171" s="199">
        <f>IFERROR(__xludf.DUMMYFUNCTION("""COMPUTED_VALUE"""),3.0)</f>
        <v>3</v>
      </c>
      <c r="AD171" s="199">
        <f>IFERROR(__xludf.DUMMYFUNCTION("""COMPUTED_VALUE"""),1.0)</f>
        <v>1</v>
      </c>
      <c r="AE171" s="199">
        <f>IFERROR(__xludf.DUMMYFUNCTION("""COMPUTED_VALUE"""),26.0)</f>
        <v>26</v>
      </c>
      <c r="AF171" s="199">
        <f>IFERROR(__xludf.DUMMYFUNCTION("""COMPUTED_VALUE"""),2.0)</f>
        <v>2</v>
      </c>
      <c r="AG171" s="199">
        <f>IFERROR(__xludf.DUMMYFUNCTION("""COMPUTED_VALUE"""),647.0)</f>
        <v>647</v>
      </c>
      <c r="AH171" s="199">
        <f>IFERROR(__xludf.DUMMYFUNCTION("""COMPUTED_VALUE"""),5.0)</f>
        <v>5</v>
      </c>
      <c r="AI171" s="200" t="str">
        <f>IFERROR(__xludf.DUMMYFUNCTION("""COMPUTED_VALUE"""),"Normal - No Action Required")</f>
        <v>Normal - No Action Required</v>
      </c>
      <c r="AJ171" s="200" t="str">
        <f>IFERROR(__xludf.DUMMYFUNCTION("""COMPUTED_VALUE"""),"Continue routine monitoring and sampling schedule")</f>
        <v>Continue routine monitoring and sampling schedule</v>
      </c>
      <c r="AK171" s="204"/>
      <c r="AL171" s="204"/>
      <c r="AM171" s="204"/>
    </row>
    <row r="172" hidden="1">
      <c r="A172" s="199" t="str">
        <f>IFERROR(__xludf.DUMMYFUNCTION("""COMPUTED_VALUE"""),"462.CP525")</f>
        <v>462.CP525</v>
      </c>
      <c r="B172" s="200" t="str">
        <f>IFERROR(__xludf.DUMMYFUNCTION("""COMPUTED_VALUE"""),"Coal#1 - Air Compressor")</f>
        <v>Coal#1 - Air Compressor</v>
      </c>
      <c r="C172" s="199">
        <f>IFERROR(__xludf.DUMMYFUNCTION("""COMPUTED_VALUE"""),2.4307211231E10)</f>
        <v>24307211231</v>
      </c>
      <c r="D172" s="201">
        <f>IFERROR(__xludf.DUMMYFUNCTION("""COMPUTED_VALUE"""),45589.0)</f>
        <v>45589</v>
      </c>
      <c r="E172" s="202" t="str">
        <f>IFERROR(__xludf.DUMMYFUNCTION("""COMPUTED_VALUE"""),"Normal")</f>
        <v>Normal</v>
      </c>
      <c r="F172" s="202" t="str">
        <f>IFERROR(__xludf.DUMMYFUNCTION("""COMPUTED_VALUE"""),"Normal")</f>
        <v>Normal</v>
      </c>
      <c r="G172" s="203" t="str">
        <f>IFERROR(__xludf.DUMMYFUNCTION("""COMPUTED_VALUE"""),"Normal")</f>
        <v>Normal</v>
      </c>
      <c r="H172" s="203" t="str">
        <f>IFERROR(__xludf.DUMMYFUNCTION("""COMPUTED_VALUE"""),"Normal")</f>
        <v>Normal</v>
      </c>
      <c r="I172" s="37">
        <f>IFERROR(__xludf.DUMMYFUNCTION("""COMPUTED_VALUE"""),10325.0)</f>
        <v>10325</v>
      </c>
      <c r="J172" s="37">
        <f>IFERROR(__xludf.DUMMYFUNCTION("""COMPUTED_VALUE"""),6561.0)</f>
        <v>6561</v>
      </c>
      <c r="K172" s="37">
        <f>IFERROR(__xludf.DUMMYFUNCTION("""COMPUTED_VALUE"""),1039.0)</f>
        <v>1039</v>
      </c>
      <c r="L172" s="199">
        <f>IFERROR(__xludf.DUMMYFUNCTION("""COMPUTED_VALUE"""),5.0)</f>
        <v>5</v>
      </c>
      <c r="M172" s="199">
        <f>IFERROR(__xludf.DUMMYFUNCTION("""COMPUTED_VALUE"""),66.5)</f>
        <v>66.5</v>
      </c>
      <c r="N172" s="199"/>
      <c r="O172" s="199"/>
      <c r="P172" s="199">
        <f>IFERROR(__xludf.DUMMYFUNCTION("""COMPUTED_VALUE"""),0.003)</f>
        <v>0.003</v>
      </c>
      <c r="Q172" s="199">
        <f>IFERROR(__xludf.DUMMYFUNCTION("""COMPUTED_VALUE"""),0.0)</f>
        <v>0</v>
      </c>
      <c r="R172" s="199">
        <f>IFERROR(__xludf.DUMMYFUNCTION("""COMPUTED_VALUE"""),0.0)</f>
        <v>0</v>
      </c>
      <c r="S172" s="199">
        <f>IFERROR(__xludf.DUMMYFUNCTION("""COMPUTED_VALUE"""),0.0)</f>
        <v>0</v>
      </c>
      <c r="T172" s="199">
        <f>IFERROR(__xludf.DUMMYFUNCTION("""COMPUTED_VALUE"""),4.0)</f>
        <v>4</v>
      </c>
      <c r="U172" s="199">
        <f>IFERROR(__xludf.DUMMYFUNCTION("""COMPUTED_VALUE"""),8.0)</f>
        <v>8</v>
      </c>
      <c r="V172" s="199">
        <f>IFERROR(__xludf.DUMMYFUNCTION("""COMPUTED_VALUE"""),0.0)</f>
        <v>0</v>
      </c>
      <c r="W172" s="199">
        <f>IFERROR(__xludf.DUMMYFUNCTION("""COMPUTED_VALUE"""),0.0)</f>
        <v>0</v>
      </c>
      <c r="X172" s="199">
        <f>IFERROR(__xludf.DUMMYFUNCTION("""COMPUTED_VALUE"""),0.0)</f>
        <v>0</v>
      </c>
      <c r="Y172" s="199">
        <f>IFERROR(__xludf.DUMMYFUNCTION("""COMPUTED_VALUE"""),0.0)</f>
        <v>0</v>
      </c>
      <c r="Z172" s="199">
        <f>IFERROR(__xludf.DUMMYFUNCTION("""COMPUTED_VALUE"""),0.0)</f>
        <v>0</v>
      </c>
      <c r="AA172" s="199">
        <f>IFERROR(__xludf.DUMMYFUNCTION("""COMPUTED_VALUE"""),0.0)</f>
        <v>0</v>
      </c>
      <c r="AB172" s="199">
        <f>IFERROR(__xludf.DUMMYFUNCTION("""COMPUTED_VALUE"""),6.0)</f>
        <v>6</v>
      </c>
      <c r="AC172" s="199">
        <f>IFERROR(__xludf.DUMMYFUNCTION("""COMPUTED_VALUE"""),1.0)</f>
        <v>1</v>
      </c>
      <c r="AD172" s="199">
        <f>IFERROR(__xludf.DUMMYFUNCTION("""COMPUTED_VALUE"""),0.0)</f>
        <v>0</v>
      </c>
      <c r="AE172" s="199">
        <f>IFERROR(__xludf.DUMMYFUNCTION("""COMPUTED_VALUE"""),9.0)</f>
        <v>9</v>
      </c>
      <c r="AF172" s="199">
        <f>IFERROR(__xludf.DUMMYFUNCTION("""COMPUTED_VALUE"""),2.0)</f>
        <v>2</v>
      </c>
      <c r="AG172" s="199">
        <f>IFERROR(__xludf.DUMMYFUNCTION("""COMPUTED_VALUE"""),1027.0)</f>
        <v>1027</v>
      </c>
      <c r="AH172" s="199">
        <f>IFERROR(__xludf.DUMMYFUNCTION("""COMPUTED_VALUE"""),4.0)</f>
        <v>4</v>
      </c>
      <c r="AI172" s="200" t="str">
        <f>IFERROR(__xludf.DUMMYFUNCTION("""COMPUTED_VALUE"""),"Normal - No Action Required")</f>
        <v>Normal - No Action Required</v>
      </c>
      <c r="AJ172" s="200" t="str">
        <f>IFERROR(__xludf.DUMMYFUNCTION("""COMPUTED_VALUE"""),"Continue routine monitoring and sampling schedule")</f>
        <v>Continue routine monitoring and sampling schedule</v>
      </c>
      <c r="AK172" s="204"/>
      <c r="AL172" s="204"/>
      <c r="AM172" s="204"/>
    </row>
    <row r="173" hidden="1">
      <c r="A173" s="199" t="str">
        <f>IFERROR(__xludf.DUMMYFUNCTION("""COMPUTED_VALUE"""),"462.CP530")</f>
        <v>462.CP530</v>
      </c>
      <c r="B173" s="200" t="str">
        <f>IFERROR(__xludf.DUMMYFUNCTION("""COMPUTED_VALUE"""),"Coal#1 - Air Compressor")</f>
        <v>Coal#1 - Air Compressor</v>
      </c>
      <c r="C173" s="199">
        <f>IFERROR(__xludf.DUMMYFUNCTION("""COMPUTED_VALUE"""),2.4307211229E10)</f>
        <v>24307211229</v>
      </c>
      <c r="D173" s="201">
        <f>IFERROR(__xludf.DUMMYFUNCTION("""COMPUTED_VALUE"""),45589.0)</f>
        <v>45589</v>
      </c>
      <c r="E173" s="202" t="str">
        <f>IFERROR(__xludf.DUMMYFUNCTION("""COMPUTED_VALUE"""),"Normal")</f>
        <v>Normal</v>
      </c>
      <c r="F173" s="202" t="str">
        <f>IFERROR(__xludf.DUMMYFUNCTION("""COMPUTED_VALUE"""),"Normal")</f>
        <v>Normal</v>
      </c>
      <c r="G173" s="203" t="str">
        <f>IFERROR(__xludf.DUMMYFUNCTION("""COMPUTED_VALUE"""),"Normal")</f>
        <v>Normal</v>
      </c>
      <c r="H173" s="203" t="str">
        <f>IFERROR(__xludf.DUMMYFUNCTION("""COMPUTED_VALUE"""),"Normal")</f>
        <v>Normal</v>
      </c>
      <c r="I173" s="199">
        <f>IFERROR(__xludf.DUMMYFUNCTION("""COMPUTED_VALUE"""),11685.0)</f>
        <v>11685</v>
      </c>
      <c r="J173" s="199">
        <f>IFERROR(__xludf.DUMMYFUNCTION("""COMPUTED_VALUE"""),5614.0)</f>
        <v>5614</v>
      </c>
      <c r="K173" s="199">
        <f>IFERROR(__xludf.DUMMYFUNCTION("""COMPUTED_VALUE"""),1032.0)</f>
        <v>1032</v>
      </c>
      <c r="L173" s="199">
        <f>IFERROR(__xludf.DUMMYFUNCTION("""COMPUTED_VALUE"""),10.0)</f>
        <v>10</v>
      </c>
      <c r="M173" s="199">
        <f>IFERROR(__xludf.DUMMYFUNCTION("""COMPUTED_VALUE"""),64.4)</f>
        <v>64.4</v>
      </c>
      <c r="N173" s="37"/>
      <c r="O173" s="37"/>
      <c r="P173" s="199">
        <f>IFERROR(__xludf.DUMMYFUNCTION("""COMPUTED_VALUE"""),0.003)</f>
        <v>0.003</v>
      </c>
      <c r="Q173" s="199">
        <f>IFERROR(__xludf.DUMMYFUNCTION("""COMPUTED_VALUE"""),0.0)</f>
        <v>0</v>
      </c>
      <c r="R173" s="199">
        <f>IFERROR(__xludf.DUMMYFUNCTION("""COMPUTED_VALUE"""),1.0)</f>
        <v>1</v>
      </c>
      <c r="S173" s="199">
        <f>IFERROR(__xludf.DUMMYFUNCTION("""COMPUTED_VALUE"""),1.0)</f>
        <v>1</v>
      </c>
      <c r="T173" s="199">
        <f>IFERROR(__xludf.DUMMYFUNCTION("""COMPUTED_VALUE"""),0.0)</f>
        <v>0</v>
      </c>
      <c r="U173" s="199">
        <f>IFERROR(__xludf.DUMMYFUNCTION("""COMPUTED_VALUE"""),5.0)</f>
        <v>5</v>
      </c>
      <c r="V173" s="199">
        <f>IFERROR(__xludf.DUMMYFUNCTION("""COMPUTED_VALUE"""),0.0)</f>
        <v>0</v>
      </c>
      <c r="W173" s="199">
        <f>IFERROR(__xludf.DUMMYFUNCTION("""COMPUTED_VALUE"""),0.0)</f>
        <v>0</v>
      </c>
      <c r="X173" s="199">
        <f>IFERROR(__xludf.DUMMYFUNCTION("""COMPUTED_VALUE"""),0.0)</f>
        <v>0</v>
      </c>
      <c r="Y173" s="199">
        <f>IFERROR(__xludf.DUMMYFUNCTION("""COMPUTED_VALUE"""),0.0)</f>
        <v>0</v>
      </c>
      <c r="Z173" s="199">
        <f>IFERROR(__xludf.DUMMYFUNCTION("""COMPUTED_VALUE"""),0.0)</f>
        <v>0</v>
      </c>
      <c r="AA173" s="199">
        <f>IFERROR(__xludf.DUMMYFUNCTION("""COMPUTED_VALUE"""),0.0)</f>
        <v>0</v>
      </c>
      <c r="AB173" s="199">
        <f>IFERROR(__xludf.DUMMYFUNCTION("""COMPUTED_VALUE"""),5.0)</f>
        <v>5</v>
      </c>
      <c r="AC173" s="199">
        <f>IFERROR(__xludf.DUMMYFUNCTION("""COMPUTED_VALUE"""),0.0)</f>
        <v>0</v>
      </c>
      <c r="AD173" s="199">
        <f>IFERROR(__xludf.DUMMYFUNCTION("""COMPUTED_VALUE"""),0.0)</f>
        <v>0</v>
      </c>
      <c r="AE173" s="199">
        <f>IFERROR(__xludf.DUMMYFUNCTION("""COMPUTED_VALUE"""),2.0)</f>
        <v>2</v>
      </c>
      <c r="AF173" s="199">
        <f>IFERROR(__xludf.DUMMYFUNCTION("""COMPUTED_VALUE"""),3.0)</f>
        <v>3</v>
      </c>
      <c r="AG173" s="199">
        <f>IFERROR(__xludf.DUMMYFUNCTION("""COMPUTED_VALUE"""),1006.0)</f>
        <v>1006</v>
      </c>
      <c r="AH173" s="199">
        <f>IFERROR(__xludf.DUMMYFUNCTION("""COMPUTED_VALUE"""),6.0)</f>
        <v>6</v>
      </c>
      <c r="AI173" s="200" t="str">
        <f>IFERROR(__xludf.DUMMYFUNCTION("""COMPUTED_VALUE"""),"Normal - No Action Required")</f>
        <v>Normal - No Action Required</v>
      </c>
      <c r="AJ173" s="200" t="str">
        <f>IFERROR(__xludf.DUMMYFUNCTION("""COMPUTED_VALUE"""),"Continue routine monitoring and sampling schedule")</f>
        <v>Continue routine monitoring and sampling schedule</v>
      </c>
      <c r="AK173" s="204"/>
      <c r="AL173" s="204"/>
      <c r="AM173" s="204"/>
    </row>
    <row r="174" hidden="1">
      <c r="A174" s="199" t="str">
        <f>IFERROR(__xludf.DUMMYFUNCTION("""COMPUTED_VALUE"""),"462.CP535")</f>
        <v>462.CP535</v>
      </c>
      <c r="B174" s="200" t="str">
        <f>IFERROR(__xludf.DUMMYFUNCTION("""COMPUTED_VALUE"""),"Coal#1 - Air Compressor")</f>
        <v>Coal#1 - Air Compressor</v>
      </c>
      <c r="C174" s="199">
        <f>IFERROR(__xludf.DUMMYFUNCTION("""COMPUTED_VALUE"""),2.430721123E10)</f>
        <v>24307211230</v>
      </c>
      <c r="D174" s="201">
        <f>IFERROR(__xludf.DUMMYFUNCTION("""COMPUTED_VALUE"""),45589.0)</f>
        <v>45589</v>
      </c>
      <c r="E174" s="202" t="str">
        <f>IFERROR(__xludf.DUMMYFUNCTION("""COMPUTED_VALUE"""),"Normal")</f>
        <v>Normal</v>
      </c>
      <c r="F174" s="202" t="str">
        <f>IFERROR(__xludf.DUMMYFUNCTION("""COMPUTED_VALUE"""),"Normal")</f>
        <v>Normal</v>
      </c>
      <c r="G174" s="203" t="str">
        <f>IFERROR(__xludf.DUMMYFUNCTION("""COMPUTED_VALUE"""),"Normal")</f>
        <v>Normal</v>
      </c>
      <c r="H174" s="203" t="str">
        <f>IFERROR(__xludf.DUMMYFUNCTION("""COMPUTED_VALUE"""),"Normal")</f>
        <v>Normal</v>
      </c>
      <c r="I174" s="199">
        <f>IFERROR(__xludf.DUMMYFUNCTION("""COMPUTED_VALUE"""),5192.0)</f>
        <v>5192</v>
      </c>
      <c r="J174" s="199">
        <f>IFERROR(__xludf.DUMMYFUNCTION("""COMPUTED_VALUE"""),3494.0)</f>
        <v>3494</v>
      </c>
      <c r="K174" s="199">
        <f>IFERROR(__xludf.DUMMYFUNCTION("""COMPUTED_VALUE"""),1200.0)</f>
        <v>1200</v>
      </c>
      <c r="L174" s="199">
        <f>IFERROR(__xludf.DUMMYFUNCTION("""COMPUTED_VALUE"""),6.0)</f>
        <v>6</v>
      </c>
      <c r="M174" s="199">
        <f>IFERROR(__xludf.DUMMYFUNCTION("""COMPUTED_VALUE"""),67.0)</f>
        <v>67</v>
      </c>
      <c r="N174" s="37"/>
      <c r="O174" s="37"/>
      <c r="P174" s="199">
        <f>IFERROR(__xludf.DUMMYFUNCTION("""COMPUTED_VALUE"""),0.01)</f>
        <v>0.01</v>
      </c>
      <c r="Q174" s="199">
        <f>IFERROR(__xludf.DUMMYFUNCTION("""COMPUTED_VALUE"""),0.0)</f>
        <v>0</v>
      </c>
      <c r="R174" s="199">
        <f>IFERROR(__xludf.DUMMYFUNCTION("""COMPUTED_VALUE"""),1.0)</f>
        <v>1</v>
      </c>
      <c r="S174" s="199">
        <f>IFERROR(__xludf.DUMMYFUNCTION("""COMPUTED_VALUE"""),0.0)</f>
        <v>0</v>
      </c>
      <c r="T174" s="199">
        <f>IFERROR(__xludf.DUMMYFUNCTION("""COMPUTED_VALUE"""),0.0)</f>
        <v>0</v>
      </c>
      <c r="U174" s="199">
        <f>IFERROR(__xludf.DUMMYFUNCTION("""COMPUTED_VALUE"""),2.0)</f>
        <v>2</v>
      </c>
      <c r="V174" s="199">
        <f>IFERROR(__xludf.DUMMYFUNCTION("""COMPUTED_VALUE"""),0.0)</f>
        <v>0</v>
      </c>
      <c r="W174" s="199">
        <f>IFERROR(__xludf.DUMMYFUNCTION("""COMPUTED_VALUE"""),0.0)</f>
        <v>0</v>
      </c>
      <c r="X174" s="199">
        <f>IFERROR(__xludf.DUMMYFUNCTION("""COMPUTED_VALUE"""),0.0)</f>
        <v>0</v>
      </c>
      <c r="Y174" s="199">
        <f>IFERROR(__xludf.DUMMYFUNCTION("""COMPUTED_VALUE"""),0.0)</f>
        <v>0</v>
      </c>
      <c r="Z174" s="199">
        <f>IFERROR(__xludf.DUMMYFUNCTION("""COMPUTED_VALUE"""),1.0)</f>
        <v>1</v>
      </c>
      <c r="AA174" s="199">
        <f>IFERROR(__xludf.DUMMYFUNCTION("""COMPUTED_VALUE"""),0.0)</f>
        <v>0</v>
      </c>
      <c r="AB174" s="199">
        <f>IFERROR(__xludf.DUMMYFUNCTION("""COMPUTED_VALUE"""),10.0)</f>
        <v>10</v>
      </c>
      <c r="AC174" s="199">
        <f>IFERROR(__xludf.DUMMYFUNCTION("""COMPUTED_VALUE"""),8.0)</f>
        <v>8</v>
      </c>
      <c r="AD174" s="199">
        <f>IFERROR(__xludf.DUMMYFUNCTION("""COMPUTED_VALUE"""),0.0)</f>
        <v>0</v>
      </c>
      <c r="AE174" s="199">
        <f>IFERROR(__xludf.DUMMYFUNCTION("""COMPUTED_VALUE"""),5.0)</f>
        <v>5</v>
      </c>
      <c r="AF174" s="199">
        <f>IFERROR(__xludf.DUMMYFUNCTION("""COMPUTED_VALUE"""),2.0)</f>
        <v>2</v>
      </c>
      <c r="AG174" s="199">
        <f>IFERROR(__xludf.DUMMYFUNCTION("""COMPUTED_VALUE"""),969.0)</f>
        <v>969</v>
      </c>
      <c r="AH174" s="199">
        <f>IFERROR(__xludf.DUMMYFUNCTION("""COMPUTED_VALUE"""),3.0)</f>
        <v>3</v>
      </c>
      <c r="AI174" s="200" t="str">
        <f>IFERROR(__xludf.DUMMYFUNCTION("""COMPUTED_VALUE"""),"Normal - No Action Required")</f>
        <v>Normal - No Action Required</v>
      </c>
      <c r="AJ174" s="200" t="str">
        <f>IFERROR(__xludf.DUMMYFUNCTION("""COMPUTED_VALUE"""),"Continue routine monitoring and sampling schedule")</f>
        <v>Continue routine monitoring and sampling schedule</v>
      </c>
      <c r="AK174" s="204"/>
      <c r="AL174" s="204"/>
      <c r="AM174" s="204"/>
    </row>
    <row r="175" hidden="1">
      <c r="A175" s="199" t="str">
        <f>IFERROR(__xludf.DUMMYFUNCTION("""COMPUTED_VALUE"""),"531.MD302")</f>
        <v>531.MD302</v>
      </c>
      <c r="B175" s="200" t="str">
        <f>IFERROR(__xludf.DUMMYFUNCTION("""COMPUTED_VALUE"""),"Cement Mill #1 Separator GB")</f>
        <v>Cement Mill #1 Separator GB</v>
      </c>
      <c r="C175" s="199">
        <f>IFERROR(__xludf.DUMMYFUNCTION("""COMPUTED_VALUE"""),2.4307211215E10)</f>
        <v>24307211215</v>
      </c>
      <c r="D175" s="201">
        <f>IFERROR(__xludf.DUMMYFUNCTION("""COMPUTED_VALUE"""),45589.0)</f>
        <v>45589</v>
      </c>
      <c r="E175" s="202" t="str">
        <f>IFERROR(__xludf.DUMMYFUNCTION("""COMPUTED_VALUE"""),"Alert")</f>
        <v>Alert</v>
      </c>
      <c r="F175" s="202" t="str">
        <f>IFERROR(__xludf.DUMMYFUNCTION("""COMPUTED_VALUE"""),"Alert")</f>
        <v>Alert</v>
      </c>
      <c r="G175" s="203" t="str">
        <f>IFERROR(__xludf.DUMMYFUNCTION("""COMPUTED_VALUE"""),"Normal")</f>
        <v>Normal</v>
      </c>
      <c r="H175" s="203" t="str">
        <f>IFERROR(__xludf.DUMMYFUNCTION("""COMPUTED_VALUE"""),"Normal")</f>
        <v>Normal</v>
      </c>
      <c r="I175" s="199">
        <f>IFERROR(__xludf.DUMMYFUNCTION("""COMPUTED_VALUE"""),29739.0)</f>
        <v>29739</v>
      </c>
      <c r="J175" s="199">
        <f>IFERROR(__xludf.DUMMYFUNCTION("""COMPUTED_VALUE"""),16148.0)</f>
        <v>16148</v>
      </c>
      <c r="K175" s="199">
        <f>IFERROR(__xludf.DUMMYFUNCTION("""COMPUTED_VALUE"""),4927.0)</f>
        <v>4927</v>
      </c>
      <c r="L175" s="199">
        <f>IFERROR(__xludf.DUMMYFUNCTION("""COMPUTED_VALUE"""),26.0)</f>
        <v>26</v>
      </c>
      <c r="M175" s="199">
        <f>IFERROR(__xludf.DUMMYFUNCTION("""COMPUTED_VALUE"""),302.1)</f>
        <v>302.1</v>
      </c>
      <c r="N175" s="37"/>
      <c r="O175" s="37"/>
      <c r="P175" s="199">
        <f>IFERROR(__xludf.DUMMYFUNCTION("""COMPUTED_VALUE"""),0.06)</f>
        <v>0.06</v>
      </c>
      <c r="Q175" s="199">
        <f>IFERROR(__xludf.DUMMYFUNCTION("""COMPUTED_VALUE"""),0.0)</f>
        <v>0</v>
      </c>
      <c r="R175" s="199">
        <f>IFERROR(__xludf.DUMMYFUNCTION("""COMPUTED_VALUE"""),3.0)</f>
        <v>3</v>
      </c>
      <c r="S175" s="199">
        <f>IFERROR(__xludf.DUMMYFUNCTION("""COMPUTED_VALUE"""),1.0)</f>
        <v>1</v>
      </c>
      <c r="T175" s="199">
        <f>IFERROR(__xludf.DUMMYFUNCTION("""COMPUTED_VALUE"""),0.0)</f>
        <v>0</v>
      </c>
      <c r="U175" s="199">
        <f>IFERROR(__xludf.DUMMYFUNCTION("""COMPUTED_VALUE"""),36.0)</f>
        <v>36</v>
      </c>
      <c r="V175" s="199">
        <f>IFERROR(__xludf.DUMMYFUNCTION("""COMPUTED_VALUE"""),0.0)</f>
        <v>0</v>
      </c>
      <c r="W175" s="199">
        <f>IFERROR(__xludf.DUMMYFUNCTION("""COMPUTED_VALUE"""),0.0)</f>
        <v>0</v>
      </c>
      <c r="X175" s="199">
        <f>IFERROR(__xludf.DUMMYFUNCTION("""COMPUTED_VALUE"""),2.0)</f>
        <v>2</v>
      </c>
      <c r="Y175" s="199">
        <f>IFERROR(__xludf.DUMMYFUNCTION("""COMPUTED_VALUE"""),0.0)</f>
        <v>0</v>
      </c>
      <c r="Z175" s="199">
        <f>IFERROR(__xludf.DUMMYFUNCTION("""COMPUTED_VALUE"""),2.0)</f>
        <v>2</v>
      </c>
      <c r="AA175" s="199">
        <f>IFERROR(__xludf.DUMMYFUNCTION("""COMPUTED_VALUE"""),0.0)</f>
        <v>0</v>
      </c>
      <c r="AB175" s="199">
        <f>IFERROR(__xludf.DUMMYFUNCTION("""COMPUTED_VALUE"""),53.0)</f>
        <v>53</v>
      </c>
      <c r="AC175" s="199">
        <f>IFERROR(__xludf.DUMMYFUNCTION("""COMPUTED_VALUE"""),49.0)</f>
        <v>49</v>
      </c>
      <c r="AD175" s="199">
        <f>IFERROR(__xludf.DUMMYFUNCTION("""COMPUTED_VALUE"""),2.0)</f>
        <v>2</v>
      </c>
      <c r="AE175" s="199">
        <f>IFERROR(__xludf.DUMMYFUNCTION("""COMPUTED_VALUE"""),36.0)</f>
        <v>36</v>
      </c>
      <c r="AF175" s="199">
        <f>IFERROR(__xludf.DUMMYFUNCTION("""COMPUTED_VALUE"""),2.0)</f>
        <v>2</v>
      </c>
      <c r="AG175" s="199">
        <f>IFERROR(__xludf.DUMMYFUNCTION("""COMPUTED_VALUE"""),632.0)</f>
        <v>632</v>
      </c>
      <c r="AH175" s="199">
        <f>IFERROR(__xludf.DUMMYFUNCTION("""COMPUTED_VALUE"""),58.0)</f>
        <v>58</v>
      </c>
      <c r="AI175" s="200" t="str">
        <f>IFERROR(__xludf.DUMMYFUNCTION("""COMPUTED_VALUE"""),"Contamination Alert")</f>
        <v>Contamination Alert</v>
      </c>
      <c r="AJ175" s="200" t="str">
        <f>IFERROR(__xludf.DUMMYFUNCTION("""COMPUTED_VALUE"""),"Elevated silicon - inspect filters and seals for contamination")</f>
        <v>Elevated silicon - inspect filters and seals for contamination</v>
      </c>
      <c r="AK175" s="204"/>
      <c r="AL175" s="204"/>
      <c r="AM175" s="204"/>
    </row>
    <row r="176" hidden="1">
      <c r="A176" s="199" t="str">
        <f>IFERROR(__xludf.DUMMYFUNCTION("""COMPUTED_VALUE"""),"131.RE300")</f>
        <v>131.RE300</v>
      </c>
      <c r="B176" s="200" t="str">
        <f>IFERROR(__xludf.DUMMYFUNCTION("""COMPUTED_VALUE"""),"Take up unit Tank for Scraper Chain")</f>
        <v>Take up unit Tank for Scraper Chain</v>
      </c>
      <c r="C176" s="199">
        <f>IFERROR(__xludf.DUMMYFUNCTION("""COMPUTED_VALUE"""),2.4303290245E10)</f>
        <v>24303290245</v>
      </c>
      <c r="D176" s="201">
        <f>IFERROR(__xludf.DUMMYFUNCTION("""COMPUTED_VALUE"""),45589.0)</f>
        <v>45589</v>
      </c>
      <c r="E176" s="202" t="str">
        <f>IFERROR(__xludf.DUMMYFUNCTION("""COMPUTED_VALUE"""),"Normal")</f>
        <v>Normal</v>
      </c>
      <c r="F176" s="202" t="str">
        <f>IFERROR(__xludf.DUMMYFUNCTION("""COMPUTED_VALUE"""),"Normal")</f>
        <v>Normal</v>
      </c>
      <c r="G176" s="203" t="str">
        <f>IFERROR(__xludf.DUMMYFUNCTION("""COMPUTED_VALUE"""),"Normal")</f>
        <v>Normal</v>
      </c>
      <c r="H176" s="203" t="str">
        <f>IFERROR(__xludf.DUMMYFUNCTION("""COMPUTED_VALUE"""),"Normal")</f>
        <v>Normal</v>
      </c>
      <c r="I176" s="199">
        <f>IFERROR(__xludf.DUMMYFUNCTION("""COMPUTED_VALUE"""),16251.0)</f>
        <v>16251</v>
      </c>
      <c r="J176" s="199">
        <f>IFERROR(__xludf.DUMMYFUNCTION("""COMPUTED_VALUE"""),9261.0)</f>
        <v>9261</v>
      </c>
      <c r="K176" s="199">
        <f>IFERROR(__xludf.DUMMYFUNCTION("""COMPUTED_VALUE"""),4155.0)</f>
        <v>4155</v>
      </c>
      <c r="L176" s="199">
        <f>IFERROR(__xludf.DUMMYFUNCTION("""COMPUTED_VALUE"""),3.0)</f>
        <v>3</v>
      </c>
      <c r="M176" s="199">
        <f>IFERROR(__xludf.DUMMYFUNCTION("""COMPUTED_VALUE"""),46.5)</f>
        <v>46.5</v>
      </c>
      <c r="N176" s="37"/>
      <c r="O176" s="37">
        <f>IFERROR(__xludf.DUMMYFUNCTION("""COMPUTED_VALUE"""),0.0)</f>
        <v>0</v>
      </c>
      <c r="P176" s="199">
        <f>IFERROR(__xludf.DUMMYFUNCTION("""COMPUTED_VALUE"""),0.003)</f>
        <v>0.003</v>
      </c>
      <c r="Q176" s="199">
        <f>IFERROR(__xludf.DUMMYFUNCTION("""COMPUTED_VALUE"""),0.0)</f>
        <v>0</v>
      </c>
      <c r="R176" s="199">
        <f>IFERROR(__xludf.DUMMYFUNCTION("""COMPUTED_VALUE"""),6.0)</f>
        <v>6</v>
      </c>
      <c r="S176" s="199">
        <f>IFERROR(__xludf.DUMMYFUNCTION("""COMPUTED_VALUE"""),0.0)</f>
        <v>0</v>
      </c>
      <c r="T176" s="199">
        <f>IFERROR(__xludf.DUMMYFUNCTION("""COMPUTED_VALUE"""),4.0)</f>
        <v>4</v>
      </c>
      <c r="U176" s="199">
        <f>IFERROR(__xludf.DUMMYFUNCTION("""COMPUTED_VALUE"""),10.0)</f>
        <v>10</v>
      </c>
      <c r="V176" s="199">
        <f>IFERROR(__xludf.DUMMYFUNCTION("""COMPUTED_VALUE"""),0.0)</f>
        <v>0</v>
      </c>
      <c r="W176" s="199">
        <f>IFERROR(__xludf.DUMMYFUNCTION("""COMPUTED_VALUE"""),0.0)</f>
        <v>0</v>
      </c>
      <c r="X176" s="199">
        <f>IFERROR(__xludf.DUMMYFUNCTION("""COMPUTED_VALUE"""),1.0)</f>
        <v>1</v>
      </c>
      <c r="Y176" s="199">
        <f>IFERROR(__xludf.DUMMYFUNCTION("""COMPUTED_VALUE"""),0.0)</f>
        <v>0</v>
      </c>
      <c r="Z176" s="199">
        <f>IFERROR(__xludf.DUMMYFUNCTION("""COMPUTED_VALUE"""),0.0)</f>
        <v>0</v>
      </c>
      <c r="AA176" s="199">
        <f>IFERROR(__xludf.DUMMYFUNCTION("""COMPUTED_VALUE"""),13.0)</f>
        <v>13</v>
      </c>
      <c r="AB176" s="199">
        <f>IFERROR(__xludf.DUMMYFUNCTION("""COMPUTED_VALUE"""),0.0)</f>
        <v>0</v>
      </c>
      <c r="AC176" s="199">
        <f>IFERROR(__xludf.DUMMYFUNCTION("""COMPUTED_VALUE"""),10.0)</f>
        <v>10</v>
      </c>
      <c r="AD176" s="199">
        <f>IFERROR(__xludf.DUMMYFUNCTION("""COMPUTED_VALUE"""),0.0)</f>
        <v>0</v>
      </c>
      <c r="AE176" s="199">
        <f>IFERROR(__xludf.DUMMYFUNCTION("""COMPUTED_VALUE"""),127.0)</f>
        <v>127</v>
      </c>
      <c r="AF176" s="199">
        <f>IFERROR(__xludf.DUMMYFUNCTION("""COMPUTED_VALUE"""),5.0)</f>
        <v>5</v>
      </c>
      <c r="AG176" s="199">
        <f>IFERROR(__xludf.DUMMYFUNCTION("""COMPUTED_VALUE"""),371.0)</f>
        <v>371</v>
      </c>
      <c r="AH176" s="199">
        <f>IFERROR(__xludf.DUMMYFUNCTION("""COMPUTED_VALUE"""),381.0)</f>
        <v>381</v>
      </c>
      <c r="AI176" s="200" t="str">
        <f>IFERROR(__xludf.DUMMYFUNCTION("""COMPUTED_VALUE"""),"Normal - No Action Required")</f>
        <v>Normal - No Action Required</v>
      </c>
      <c r="AJ176" s="200" t="str">
        <f>IFERROR(__xludf.DUMMYFUNCTION("""COMPUTED_VALUE"""),"Continue routine monitoring and sampling schedule")</f>
        <v>Continue routine monitoring and sampling schedule</v>
      </c>
      <c r="AK176" s="204"/>
      <c r="AL176" s="204"/>
      <c r="AM176" s="204"/>
    </row>
    <row r="177" hidden="1">
      <c r="A177" s="199" t="str">
        <f>IFERROR(__xludf.DUMMYFUNCTION("""COMPUTED_VALUE"""),"131.RE300.M11")</f>
        <v>131.RE300.M11</v>
      </c>
      <c r="B177" s="200" t="str">
        <f>IFERROR(__xludf.DUMMYFUNCTION("""COMPUTED_VALUE"""),"Reclaimer Chain Scraper gearbox")</f>
        <v>Reclaimer Chain Scraper gearbox</v>
      </c>
      <c r="C177" s="199">
        <f>IFERROR(__xludf.DUMMYFUNCTION("""COMPUTED_VALUE"""),2.4307211207E10)</f>
        <v>24307211207</v>
      </c>
      <c r="D177" s="201">
        <f>IFERROR(__xludf.DUMMYFUNCTION("""COMPUTED_VALUE"""),45589.0)</f>
        <v>45589</v>
      </c>
      <c r="E177" s="202" t="str">
        <f>IFERROR(__xludf.DUMMYFUNCTION("""COMPUTED_VALUE"""),"Caution")</f>
        <v>Caution</v>
      </c>
      <c r="F177" s="202" t="str">
        <f>IFERROR(__xludf.DUMMYFUNCTION("""COMPUTED_VALUE"""),"Caution")</f>
        <v>Caution</v>
      </c>
      <c r="G177" s="203" t="str">
        <f>IFERROR(__xludf.DUMMYFUNCTION("""COMPUTED_VALUE"""),"Normal")</f>
        <v>Normal</v>
      </c>
      <c r="H177" s="203" t="str">
        <f>IFERROR(__xludf.DUMMYFUNCTION("""COMPUTED_VALUE"""),"Normal")</f>
        <v>Normal</v>
      </c>
      <c r="I177" s="37"/>
      <c r="J177" s="37"/>
      <c r="K177" s="37"/>
      <c r="L177" s="199">
        <f>IFERROR(__xludf.DUMMYFUNCTION("""COMPUTED_VALUE"""),28.0)</f>
        <v>28</v>
      </c>
      <c r="M177" s="199">
        <f>IFERROR(__xludf.DUMMYFUNCTION("""COMPUTED_VALUE"""),270.3)</f>
        <v>270.3</v>
      </c>
      <c r="N177" s="37"/>
      <c r="O177" s="37">
        <f>IFERROR(__xludf.DUMMYFUNCTION("""COMPUTED_VALUE"""),0.0)</f>
        <v>0</v>
      </c>
      <c r="P177" s="199">
        <f>IFERROR(__xludf.DUMMYFUNCTION("""COMPUTED_VALUE"""),0.03)</f>
        <v>0.03</v>
      </c>
      <c r="Q177" s="199">
        <f>IFERROR(__xludf.DUMMYFUNCTION("""COMPUTED_VALUE"""),0.0)</f>
        <v>0</v>
      </c>
      <c r="R177" s="199">
        <f>IFERROR(__xludf.DUMMYFUNCTION("""COMPUTED_VALUE"""),3.0)</f>
        <v>3</v>
      </c>
      <c r="S177" s="199">
        <f>IFERROR(__xludf.DUMMYFUNCTION("""COMPUTED_VALUE"""),1.0)</f>
        <v>1</v>
      </c>
      <c r="T177" s="199">
        <f>IFERROR(__xludf.DUMMYFUNCTION("""COMPUTED_VALUE"""),0.0)</f>
        <v>0</v>
      </c>
      <c r="U177" s="199">
        <f>IFERROR(__xludf.DUMMYFUNCTION("""COMPUTED_VALUE"""),59.0)</f>
        <v>59</v>
      </c>
      <c r="V177" s="199">
        <f>IFERROR(__xludf.DUMMYFUNCTION("""COMPUTED_VALUE"""),2.0)</f>
        <v>2</v>
      </c>
      <c r="W177" s="199">
        <f>IFERROR(__xludf.DUMMYFUNCTION("""COMPUTED_VALUE"""),0.0)</f>
        <v>0</v>
      </c>
      <c r="X177" s="199">
        <f>IFERROR(__xludf.DUMMYFUNCTION("""COMPUTED_VALUE"""),0.0)</f>
        <v>0</v>
      </c>
      <c r="Y177" s="199">
        <f>IFERROR(__xludf.DUMMYFUNCTION("""COMPUTED_VALUE"""),0.0)</f>
        <v>0</v>
      </c>
      <c r="Z177" s="199">
        <f>IFERROR(__xludf.DUMMYFUNCTION("""COMPUTED_VALUE"""),0.0)</f>
        <v>0</v>
      </c>
      <c r="AA177" s="199">
        <f>IFERROR(__xludf.DUMMYFUNCTION("""COMPUTED_VALUE"""),0.0)</f>
        <v>0</v>
      </c>
      <c r="AB177" s="199">
        <f>IFERROR(__xludf.DUMMYFUNCTION("""COMPUTED_VALUE"""),26.0)</f>
        <v>26</v>
      </c>
      <c r="AC177" s="199">
        <f>IFERROR(__xludf.DUMMYFUNCTION("""COMPUTED_VALUE"""),24.0)</f>
        <v>24</v>
      </c>
      <c r="AD177" s="199">
        <f>IFERROR(__xludf.DUMMYFUNCTION("""COMPUTED_VALUE"""),0.0)</f>
        <v>0</v>
      </c>
      <c r="AE177" s="199">
        <f>IFERROR(__xludf.DUMMYFUNCTION("""COMPUTED_VALUE"""),80.0)</f>
        <v>80</v>
      </c>
      <c r="AF177" s="199">
        <f>IFERROR(__xludf.DUMMYFUNCTION("""COMPUTED_VALUE"""),3.0)</f>
        <v>3</v>
      </c>
      <c r="AG177" s="199">
        <f>IFERROR(__xludf.DUMMYFUNCTION("""COMPUTED_VALUE"""),499.0)</f>
        <v>499</v>
      </c>
      <c r="AH177" s="199">
        <f>IFERROR(__xludf.DUMMYFUNCTION("""COMPUTED_VALUE"""),17.0)</f>
        <v>17</v>
      </c>
      <c r="AI177" s="200" t="str">
        <f>IFERROR(__xludf.DUMMYFUNCTION("""COMPUTED_VALUE"""),"Wear Metal Caution | Contamination Caution")</f>
        <v>Wear Metal Caution | Contamination Caution</v>
      </c>
      <c r="AJ177" s="200" t="str">
        <f>IFERROR(__xludf.DUMMYFUNCTION("""COMPUTED_VALUE"""),"Elevated wear metals - monitor trend; inspect at next opportunity; Silicon elevated - check air filtration and seals")</f>
        <v>Elevated wear metals - monitor trend; inspect at next opportunity; Silicon elevated - check air filtration and seals</v>
      </c>
      <c r="AK177" s="204"/>
      <c r="AL177" s="204"/>
      <c r="AM177" s="204"/>
    </row>
    <row r="178" hidden="1">
      <c r="A178" s="199" t="str">
        <f>IFERROR(__xludf.DUMMYFUNCTION("""COMPUTED_VALUE"""),"131.ST200 (HY)")</f>
        <v>131.ST200 (HY)</v>
      </c>
      <c r="B178" s="200" t="str">
        <f>IFERROR(__xludf.DUMMYFUNCTION("""COMPUTED_VALUE"""),"Jib arm Hydraulic Pump Station")</f>
        <v>Jib arm Hydraulic Pump Station</v>
      </c>
      <c r="C178" s="199">
        <f>IFERROR(__xludf.DUMMYFUNCTION("""COMPUTED_VALUE"""),2.4303290255E10)</f>
        <v>24303290255</v>
      </c>
      <c r="D178" s="201">
        <f>IFERROR(__xludf.DUMMYFUNCTION("""COMPUTED_VALUE"""),45589.0)</f>
        <v>45589</v>
      </c>
      <c r="E178" s="202" t="str">
        <f>IFERROR(__xludf.DUMMYFUNCTION("""COMPUTED_VALUE"""),"Normal")</f>
        <v>Normal</v>
      </c>
      <c r="F178" s="202" t="str">
        <f>IFERROR(__xludf.DUMMYFUNCTION("""COMPUTED_VALUE"""),"Normal")</f>
        <v>Normal</v>
      </c>
      <c r="G178" s="203" t="str">
        <f>IFERROR(__xludf.DUMMYFUNCTION("""COMPUTED_VALUE"""),"Normal")</f>
        <v>Normal</v>
      </c>
      <c r="H178" s="203" t="str">
        <f>IFERROR(__xludf.DUMMYFUNCTION("""COMPUTED_VALUE"""),"Normal")</f>
        <v>Normal</v>
      </c>
      <c r="I178" s="37"/>
      <c r="J178" s="37"/>
      <c r="K178" s="37"/>
      <c r="L178" s="199">
        <f>IFERROR(__xludf.DUMMYFUNCTION("""COMPUTED_VALUE"""),15.0)</f>
        <v>15</v>
      </c>
      <c r="M178" s="199">
        <f>IFERROR(__xludf.DUMMYFUNCTION("""COMPUTED_VALUE"""),46.4)</f>
        <v>46.4</v>
      </c>
      <c r="N178" s="37"/>
      <c r="O178" s="37">
        <f>IFERROR(__xludf.DUMMYFUNCTION("""COMPUTED_VALUE"""),0.0)</f>
        <v>0</v>
      </c>
      <c r="P178" s="199">
        <f>IFERROR(__xludf.DUMMYFUNCTION("""COMPUTED_VALUE"""),0.05)</f>
        <v>0.05</v>
      </c>
      <c r="Q178" s="199">
        <f>IFERROR(__xludf.DUMMYFUNCTION("""COMPUTED_VALUE"""),0.0)</f>
        <v>0</v>
      </c>
      <c r="R178" s="199">
        <f>IFERROR(__xludf.DUMMYFUNCTION("""COMPUTED_VALUE"""),0.0)</f>
        <v>0</v>
      </c>
      <c r="S178" s="199">
        <f>IFERROR(__xludf.DUMMYFUNCTION("""COMPUTED_VALUE"""),1.0)</f>
        <v>1</v>
      </c>
      <c r="T178" s="199">
        <f>IFERROR(__xludf.DUMMYFUNCTION("""COMPUTED_VALUE"""),2.0)</f>
        <v>2</v>
      </c>
      <c r="U178" s="199">
        <f>IFERROR(__xludf.DUMMYFUNCTION("""COMPUTED_VALUE"""),5.0)</f>
        <v>5</v>
      </c>
      <c r="V178" s="199">
        <f>IFERROR(__xludf.DUMMYFUNCTION("""COMPUTED_VALUE"""),0.0)</f>
        <v>0</v>
      </c>
      <c r="W178" s="199">
        <f>IFERROR(__xludf.DUMMYFUNCTION("""COMPUTED_VALUE"""),0.0)</f>
        <v>0</v>
      </c>
      <c r="X178" s="199">
        <f>IFERROR(__xludf.DUMMYFUNCTION("""COMPUTED_VALUE"""),1.0)</f>
        <v>1</v>
      </c>
      <c r="Y178" s="199">
        <f>IFERROR(__xludf.DUMMYFUNCTION("""COMPUTED_VALUE"""),0.0)</f>
        <v>0</v>
      </c>
      <c r="Z178" s="199">
        <f>IFERROR(__xludf.DUMMYFUNCTION("""COMPUTED_VALUE"""),0.0)</f>
        <v>0</v>
      </c>
      <c r="AA178" s="199">
        <f>IFERROR(__xludf.DUMMYFUNCTION("""COMPUTED_VALUE"""),0.0)</f>
        <v>0</v>
      </c>
      <c r="AB178" s="199">
        <f>IFERROR(__xludf.DUMMYFUNCTION("""COMPUTED_VALUE"""),2.0)</f>
        <v>2</v>
      </c>
      <c r="AC178" s="199">
        <f>IFERROR(__xludf.DUMMYFUNCTION("""COMPUTED_VALUE"""),12.0)</f>
        <v>12</v>
      </c>
      <c r="AD178" s="199">
        <f>IFERROR(__xludf.DUMMYFUNCTION("""COMPUTED_VALUE"""),0.0)</f>
        <v>0</v>
      </c>
      <c r="AE178" s="199">
        <f>IFERROR(__xludf.DUMMYFUNCTION("""COMPUTED_VALUE"""),96.0)</f>
        <v>96</v>
      </c>
      <c r="AF178" s="199">
        <f>IFERROR(__xludf.DUMMYFUNCTION("""COMPUTED_VALUE"""),2.0)</f>
        <v>2</v>
      </c>
      <c r="AG178" s="199">
        <f>IFERROR(__xludf.DUMMYFUNCTION("""COMPUTED_VALUE"""),326.0)</f>
        <v>326</v>
      </c>
      <c r="AH178" s="199">
        <f>IFERROR(__xludf.DUMMYFUNCTION("""COMPUTED_VALUE"""),463.0)</f>
        <v>463</v>
      </c>
      <c r="AI178" s="200" t="str">
        <f>IFERROR(__xludf.DUMMYFUNCTION("""COMPUTED_VALUE"""),"Normal - No Action Required")</f>
        <v>Normal - No Action Required</v>
      </c>
      <c r="AJ178" s="200" t="str">
        <f>IFERROR(__xludf.DUMMYFUNCTION("""COMPUTED_VALUE"""),"Continue routine monitoring and sampling schedule")</f>
        <v>Continue routine monitoring and sampling schedule</v>
      </c>
      <c r="AK178" s="204"/>
      <c r="AL178" s="204"/>
      <c r="AM178" s="204"/>
    </row>
    <row r="179" hidden="1">
      <c r="A179" s="199" t="str">
        <f>IFERROR(__xludf.DUMMYFUNCTION("""COMPUTED_VALUE"""),"131.ST200.M12")</f>
        <v>131.ST200.M12</v>
      </c>
      <c r="B179" s="200" t="str">
        <f>IFERROR(__xludf.DUMMYFUNCTION("""COMPUTED_VALUE"""),"Stacker Belt gearbox")</f>
        <v>Stacker Belt gearbox</v>
      </c>
      <c r="C179" s="199">
        <f>IFERROR(__xludf.DUMMYFUNCTION("""COMPUTED_VALUE"""),2.4307211211E10)</f>
        <v>24307211211</v>
      </c>
      <c r="D179" s="201">
        <f>IFERROR(__xludf.DUMMYFUNCTION("""COMPUTED_VALUE"""),45589.0)</f>
        <v>45589</v>
      </c>
      <c r="E179" s="202" t="str">
        <f>IFERROR(__xludf.DUMMYFUNCTION("""COMPUTED_VALUE"""),"Alert")</f>
        <v>Alert</v>
      </c>
      <c r="F179" s="202" t="str">
        <f>IFERROR(__xludf.DUMMYFUNCTION("""COMPUTED_VALUE"""),"Alert")</f>
        <v>Alert</v>
      </c>
      <c r="G179" s="203" t="str">
        <f>IFERROR(__xludf.DUMMYFUNCTION("""COMPUTED_VALUE"""),"Normal")</f>
        <v>Normal</v>
      </c>
      <c r="H179" s="203" t="str">
        <f>IFERROR(__xludf.DUMMYFUNCTION("""COMPUTED_VALUE"""),"Alert")</f>
        <v>Alert</v>
      </c>
      <c r="I179" s="37"/>
      <c r="J179" s="37"/>
      <c r="K179" s="37"/>
      <c r="L179" s="199">
        <f>IFERROR(__xludf.DUMMYFUNCTION("""COMPUTED_VALUE"""),25.0)</f>
        <v>25</v>
      </c>
      <c r="M179" s="199">
        <f>IFERROR(__xludf.DUMMYFUNCTION("""COMPUTED_VALUE"""),228.2)</f>
        <v>228.2</v>
      </c>
      <c r="N179" s="37"/>
      <c r="O179" s="37">
        <f>IFERROR(__xludf.DUMMYFUNCTION("""COMPUTED_VALUE"""),0.0)</f>
        <v>0</v>
      </c>
      <c r="P179" s="199">
        <f>IFERROR(__xludf.DUMMYFUNCTION("""COMPUTED_VALUE"""),0.1)</f>
        <v>0.1</v>
      </c>
      <c r="Q179" s="199">
        <f>IFERROR(__xludf.DUMMYFUNCTION("""COMPUTED_VALUE"""),0.0)</f>
        <v>0</v>
      </c>
      <c r="R179" s="199">
        <f>IFERROR(__xludf.DUMMYFUNCTION("""COMPUTED_VALUE"""),4.0)</f>
        <v>4</v>
      </c>
      <c r="S179" s="199">
        <f>IFERROR(__xludf.DUMMYFUNCTION("""COMPUTED_VALUE"""),2.0)</f>
        <v>2</v>
      </c>
      <c r="T179" s="199">
        <f>IFERROR(__xludf.DUMMYFUNCTION("""COMPUTED_VALUE"""),0.0)</f>
        <v>0</v>
      </c>
      <c r="U179" s="199">
        <f>IFERROR(__xludf.DUMMYFUNCTION("""COMPUTED_VALUE"""),70.0)</f>
        <v>70</v>
      </c>
      <c r="V179" s="199">
        <f>IFERROR(__xludf.DUMMYFUNCTION("""COMPUTED_VALUE"""),2.0)</f>
        <v>2</v>
      </c>
      <c r="W179" s="199">
        <f>IFERROR(__xludf.DUMMYFUNCTION("""COMPUTED_VALUE"""),0.0)</f>
        <v>0</v>
      </c>
      <c r="X179" s="199">
        <f>IFERROR(__xludf.DUMMYFUNCTION("""COMPUTED_VALUE"""),0.0)</f>
        <v>0</v>
      </c>
      <c r="Y179" s="199">
        <f>IFERROR(__xludf.DUMMYFUNCTION("""COMPUTED_VALUE"""),0.0)</f>
        <v>0</v>
      </c>
      <c r="Z179" s="199">
        <f>IFERROR(__xludf.DUMMYFUNCTION("""COMPUTED_VALUE"""),2.0)</f>
        <v>2</v>
      </c>
      <c r="AA179" s="199">
        <f>IFERROR(__xludf.DUMMYFUNCTION("""COMPUTED_VALUE"""),2.0)</f>
        <v>2</v>
      </c>
      <c r="AB179" s="199">
        <f>IFERROR(__xludf.DUMMYFUNCTION("""COMPUTED_VALUE"""),42.0)</f>
        <v>42</v>
      </c>
      <c r="AC179" s="199">
        <f>IFERROR(__xludf.DUMMYFUNCTION("""COMPUTED_VALUE"""),21.0)</f>
        <v>21</v>
      </c>
      <c r="AD179" s="199">
        <f>IFERROR(__xludf.DUMMYFUNCTION("""COMPUTED_VALUE"""),0.0)</f>
        <v>0</v>
      </c>
      <c r="AE179" s="199">
        <f>IFERROR(__xludf.DUMMYFUNCTION("""COMPUTED_VALUE"""),79.0)</f>
        <v>79</v>
      </c>
      <c r="AF179" s="199">
        <f>IFERROR(__xludf.DUMMYFUNCTION("""COMPUTED_VALUE"""),6.0)</f>
        <v>6</v>
      </c>
      <c r="AG179" s="199">
        <f>IFERROR(__xludf.DUMMYFUNCTION("""COMPUTED_VALUE"""),460.0)</f>
        <v>460</v>
      </c>
      <c r="AH179" s="199">
        <f>IFERROR(__xludf.DUMMYFUNCTION("""COMPUTED_VALUE"""),37.0)</f>
        <v>37</v>
      </c>
      <c r="AI179" s="200" t="str">
        <f>IFERROR(__xludf.DUMMYFUNCTION("""COMPUTED_VALUE"""),"General Alert")</f>
        <v>General Alert</v>
      </c>
      <c r="AJ179" s="200" t="str">
        <f>IFERROR(__xludf.DUMMYFUNCTION("""COMPUTED_VALUE"""),"Elevated silicon - inspect filters and seals for contamination")</f>
        <v>Elevated silicon - inspect filters and seals for contamination</v>
      </c>
      <c r="AK179" s="204"/>
      <c r="AL179" s="204"/>
      <c r="AM179" s="204"/>
    </row>
    <row r="180" hidden="1">
      <c r="A180" s="199" t="str">
        <f>IFERROR(__xludf.DUMMYFUNCTION("""COMPUTED_VALUE"""),"321.RF090")</f>
        <v>321.RF090</v>
      </c>
      <c r="B180" s="200" t="str">
        <f>IFERROR(__xludf.DUMMYFUNCTION("""COMPUTED_VALUE"""),"Rotary feeder Gear Box")</f>
        <v>Rotary feeder Gear Box</v>
      </c>
      <c r="C180" s="199">
        <f>IFERROR(__xludf.DUMMYFUNCTION("""COMPUTED_VALUE"""),2.4303290261E10)</f>
        <v>24303290261</v>
      </c>
      <c r="D180" s="201">
        <f>IFERROR(__xludf.DUMMYFUNCTION("""COMPUTED_VALUE"""),45589.0)</f>
        <v>45589</v>
      </c>
      <c r="E180" s="202" t="str">
        <f>IFERROR(__xludf.DUMMYFUNCTION("""COMPUTED_VALUE"""),"Normal")</f>
        <v>Normal</v>
      </c>
      <c r="F180" s="202" t="str">
        <f>IFERROR(__xludf.DUMMYFUNCTION("""COMPUTED_VALUE"""),"Normal")</f>
        <v>Normal</v>
      </c>
      <c r="G180" s="203" t="str">
        <f>IFERROR(__xludf.DUMMYFUNCTION("""COMPUTED_VALUE"""),"Normal")</f>
        <v>Normal</v>
      </c>
      <c r="H180" s="203" t="str">
        <f>IFERROR(__xludf.DUMMYFUNCTION("""COMPUTED_VALUE"""),"Normal")</f>
        <v>Normal</v>
      </c>
      <c r="I180" s="37"/>
      <c r="J180" s="37"/>
      <c r="K180" s="37"/>
      <c r="L180" s="199">
        <f>IFERROR(__xludf.DUMMYFUNCTION("""COMPUTED_VALUE"""),7.0)</f>
        <v>7</v>
      </c>
      <c r="M180" s="199">
        <f>IFERROR(__xludf.DUMMYFUNCTION("""COMPUTED_VALUE"""),91.4)</f>
        <v>91.4</v>
      </c>
      <c r="N180" s="37"/>
      <c r="O180" s="37"/>
      <c r="P180" s="199">
        <f>IFERROR(__xludf.DUMMYFUNCTION("""COMPUTED_VALUE"""),0.02)</f>
        <v>0.02</v>
      </c>
      <c r="Q180" s="199">
        <f>IFERROR(__xludf.DUMMYFUNCTION("""COMPUTED_VALUE"""),0.0)</f>
        <v>0</v>
      </c>
      <c r="R180" s="199">
        <f>IFERROR(__xludf.DUMMYFUNCTION("""COMPUTED_VALUE"""),2.0)</f>
        <v>2</v>
      </c>
      <c r="S180" s="199">
        <f>IFERROR(__xludf.DUMMYFUNCTION("""COMPUTED_VALUE"""),1.0)</f>
        <v>1</v>
      </c>
      <c r="T180" s="199">
        <f>IFERROR(__xludf.DUMMYFUNCTION("""COMPUTED_VALUE"""),4.0)</f>
        <v>4</v>
      </c>
      <c r="U180" s="199">
        <f>IFERROR(__xludf.DUMMYFUNCTION("""COMPUTED_VALUE"""),17.0)</f>
        <v>17</v>
      </c>
      <c r="V180" s="199">
        <f>IFERROR(__xludf.DUMMYFUNCTION("""COMPUTED_VALUE"""),0.0)</f>
        <v>0</v>
      </c>
      <c r="W180" s="199">
        <f>IFERROR(__xludf.DUMMYFUNCTION("""COMPUTED_VALUE"""),0.0)</f>
        <v>0</v>
      </c>
      <c r="X180" s="199">
        <f>IFERROR(__xludf.DUMMYFUNCTION("""COMPUTED_VALUE"""),1.0)</f>
        <v>1</v>
      </c>
      <c r="Y180" s="199">
        <f>IFERROR(__xludf.DUMMYFUNCTION("""COMPUTED_VALUE"""),0.0)</f>
        <v>0</v>
      </c>
      <c r="Z180" s="199">
        <f>IFERROR(__xludf.DUMMYFUNCTION("""COMPUTED_VALUE"""),0.0)</f>
        <v>0</v>
      </c>
      <c r="AA180" s="199">
        <f>IFERROR(__xludf.DUMMYFUNCTION("""COMPUTED_VALUE"""),0.0)</f>
        <v>0</v>
      </c>
      <c r="AB180" s="199">
        <f>IFERROR(__xludf.DUMMYFUNCTION("""COMPUTED_VALUE"""),12.0)</f>
        <v>12</v>
      </c>
      <c r="AC180" s="199">
        <f>IFERROR(__xludf.DUMMYFUNCTION("""COMPUTED_VALUE"""),10.0)</f>
        <v>10</v>
      </c>
      <c r="AD180" s="199">
        <f>IFERROR(__xludf.DUMMYFUNCTION("""COMPUTED_VALUE"""),0.0)</f>
        <v>0</v>
      </c>
      <c r="AE180" s="199">
        <f>IFERROR(__xludf.DUMMYFUNCTION("""COMPUTED_VALUE"""),21.0)</f>
        <v>21</v>
      </c>
      <c r="AF180" s="199">
        <f>IFERROR(__xludf.DUMMYFUNCTION("""COMPUTED_VALUE"""),2.0)</f>
        <v>2</v>
      </c>
      <c r="AG180" s="199">
        <f>IFERROR(__xludf.DUMMYFUNCTION("""COMPUTED_VALUE"""),398.0)</f>
        <v>398</v>
      </c>
      <c r="AH180" s="199">
        <f>IFERROR(__xludf.DUMMYFUNCTION("""COMPUTED_VALUE"""),10.0)</f>
        <v>10</v>
      </c>
      <c r="AI180" s="200" t="str">
        <f>IFERROR(__xludf.DUMMYFUNCTION("""COMPUTED_VALUE"""),"Normal - No Action Required")</f>
        <v>Normal - No Action Required</v>
      </c>
      <c r="AJ180" s="200" t="str">
        <f>IFERROR(__xludf.DUMMYFUNCTION("""COMPUTED_VALUE"""),"Continue routine monitoring and sampling schedule")</f>
        <v>Continue routine monitoring and sampling schedule</v>
      </c>
      <c r="AK180" s="204"/>
      <c r="AL180" s="204"/>
      <c r="AM180" s="204"/>
    </row>
    <row r="181" hidden="1">
      <c r="A181" s="199" t="str">
        <f>IFERROR(__xludf.DUMMYFUNCTION("""COMPUTED_VALUE"""),"341.BE040 R")</f>
        <v>341.BE040 R</v>
      </c>
      <c r="B181" s="200" t="str">
        <f>IFERROR(__xludf.DUMMYFUNCTION("""COMPUTED_VALUE"""),"Bucket Elevator GB - R")</f>
        <v>Bucket Elevator GB - R</v>
      </c>
      <c r="C181" s="199">
        <f>IFERROR(__xludf.DUMMYFUNCTION("""COMPUTED_VALUE"""),2.4307211214E10)</f>
        <v>24307211214</v>
      </c>
      <c r="D181" s="201">
        <f>IFERROR(__xludf.DUMMYFUNCTION("""COMPUTED_VALUE"""),45589.0)</f>
        <v>45589</v>
      </c>
      <c r="E181" s="202" t="str">
        <f>IFERROR(__xludf.DUMMYFUNCTION("""COMPUTED_VALUE"""),"Alert")</f>
        <v>Alert</v>
      </c>
      <c r="F181" s="202" t="str">
        <f>IFERROR(__xludf.DUMMYFUNCTION("""COMPUTED_VALUE"""),"Alert")</f>
        <v>Alert</v>
      </c>
      <c r="G181" s="203" t="str">
        <f>IFERROR(__xludf.DUMMYFUNCTION("""COMPUTED_VALUE"""),"Normal")</f>
        <v>Normal</v>
      </c>
      <c r="H181" s="203" t="str">
        <f>IFERROR(__xludf.DUMMYFUNCTION("""COMPUTED_VALUE"""),"Caution")</f>
        <v>Caution</v>
      </c>
      <c r="I181" s="37"/>
      <c r="J181" s="37"/>
      <c r="K181" s="37"/>
      <c r="L181" s="199">
        <f>IFERROR(__xludf.DUMMYFUNCTION("""COMPUTED_VALUE"""),47.0)</f>
        <v>47</v>
      </c>
      <c r="M181" s="199">
        <f>IFERROR(__xludf.DUMMYFUNCTION("""COMPUTED_VALUE"""),316.6)</f>
        <v>316.6</v>
      </c>
      <c r="N181" s="37"/>
      <c r="O181" s="37"/>
      <c r="P181" s="199">
        <f>IFERROR(__xludf.DUMMYFUNCTION("""COMPUTED_VALUE"""),0.11)</f>
        <v>0.11</v>
      </c>
      <c r="Q181" s="199">
        <f>IFERROR(__xludf.DUMMYFUNCTION("""COMPUTED_VALUE"""),0.0)</f>
        <v>0</v>
      </c>
      <c r="R181" s="199">
        <f>IFERROR(__xludf.DUMMYFUNCTION("""COMPUTED_VALUE"""),10.0)</f>
        <v>10</v>
      </c>
      <c r="S181" s="199">
        <f>IFERROR(__xludf.DUMMYFUNCTION("""COMPUTED_VALUE"""),3.0)</f>
        <v>3</v>
      </c>
      <c r="T181" s="199">
        <f>IFERROR(__xludf.DUMMYFUNCTION("""COMPUTED_VALUE"""),0.0)</f>
        <v>0</v>
      </c>
      <c r="U181" s="199">
        <f>IFERROR(__xludf.DUMMYFUNCTION("""COMPUTED_VALUE"""),130.0)</f>
        <v>130</v>
      </c>
      <c r="V181" s="199">
        <f>IFERROR(__xludf.DUMMYFUNCTION("""COMPUTED_VALUE"""),2.0)</f>
        <v>2</v>
      </c>
      <c r="W181" s="199">
        <f>IFERROR(__xludf.DUMMYFUNCTION("""COMPUTED_VALUE"""),0.0)</f>
        <v>0</v>
      </c>
      <c r="X181" s="199">
        <f>IFERROR(__xludf.DUMMYFUNCTION("""COMPUTED_VALUE"""),2.0)</f>
        <v>2</v>
      </c>
      <c r="Y181" s="199">
        <f>IFERROR(__xludf.DUMMYFUNCTION("""COMPUTED_VALUE"""),2.0)</f>
        <v>2</v>
      </c>
      <c r="Z181" s="199">
        <f>IFERROR(__xludf.DUMMYFUNCTION("""COMPUTED_VALUE"""),2.0)</f>
        <v>2</v>
      </c>
      <c r="AA181" s="199">
        <f>IFERROR(__xludf.DUMMYFUNCTION("""COMPUTED_VALUE"""),3.0)</f>
        <v>3</v>
      </c>
      <c r="AB181" s="199">
        <f>IFERROR(__xludf.DUMMYFUNCTION("""COMPUTED_VALUE"""),52.0)</f>
        <v>52</v>
      </c>
      <c r="AC181" s="199">
        <f>IFERROR(__xludf.DUMMYFUNCTION("""COMPUTED_VALUE"""),25.0)</f>
        <v>25</v>
      </c>
      <c r="AD181" s="199">
        <f>IFERROR(__xludf.DUMMYFUNCTION("""COMPUTED_VALUE"""),0.0)</f>
        <v>0</v>
      </c>
      <c r="AE181" s="199">
        <f>IFERROR(__xludf.DUMMYFUNCTION("""COMPUTED_VALUE"""),141.0)</f>
        <v>141</v>
      </c>
      <c r="AF181" s="199">
        <f>IFERROR(__xludf.DUMMYFUNCTION("""COMPUTED_VALUE"""),5.0)</f>
        <v>5</v>
      </c>
      <c r="AG181" s="199">
        <f>IFERROR(__xludf.DUMMYFUNCTION("""COMPUTED_VALUE"""),352.0)</f>
        <v>352</v>
      </c>
      <c r="AH181" s="199">
        <f>IFERROR(__xludf.DUMMYFUNCTION("""COMPUTED_VALUE"""),22.0)</f>
        <v>22</v>
      </c>
      <c r="AI181" s="200" t="str">
        <f>IFERROR(__xludf.DUMMYFUNCTION("""COMPUTED_VALUE"""),"Contamination Alert | Water Ingress")</f>
        <v>Contamination Alert | Water Ingress</v>
      </c>
      <c r="AJ181" s="200" t="str">
        <f>IFERROR(__xludf.DUMMYFUNCTION("""COMPUTED_VALUE"""),"High wear metals - inspect bearing/gear surfaces; Water detected - inspect seals and breathers; Elevated silicon - inspect filters and seals for contamination")</f>
        <v>High wear metals - inspect bearing/gear surfaces; Water detected - inspect seals and breathers; Elevated silicon - inspect filters and seals for contamination</v>
      </c>
      <c r="AK181" s="204"/>
      <c r="AL181" s="204"/>
      <c r="AM181" s="204"/>
    </row>
    <row r="182" hidden="1">
      <c r="A182" s="199" t="str">
        <f>IFERROR(__xludf.DUMMYFUNCTION("""COMPUTED_VALUE"""),"351.BE350 R")</f>
        <v>351.BE350 R</v>
      </c>
      <c r="B182" s="200" t="str">
        <f>IFERROR(__xludf.DUMMYFUNCTION("""COMPUTED_VALUE"""),"Bucket Elevator GB - R")</f>
        <v>Bucket Elevator GB - R</v>
      </c>
      <c r="C182" s="199">
        <f>IFERROR(__xludf.DUMMYFUNCTION("""COMPUTED_VALUE"""),2.4307211204E10)</f>
        <v>24307211204</v>
      </c>
      <c r="D182" s="201">
        <f>IFERROR(__xludf.DUMMYFUNCTION("""COMPUTED_VALUE"""),45589.0)</f>
        <v>45589</v>
      </c>
      <c r="E182" s="202" t="str">
        <f>IFERROR(__xludf.DUMMYFUNCTION("""COMPUTED_VALUE"""),"Caution")</f>
        <v>Caution</v>
      </c>
      <c r="F182" s="202" t="str">
        <f>IFERROR(__xludf.DUMMYFUNCTION("""COMPUTED_VALUE"""),"Caution")</f>
        <v>Caution</v>
      </c>
      <c r="G182" s="203" t="str">
        <f>IFERROR(__xludf.DUMMYFUNCTION("""COMPUTED_VALUE"""),"Normal")</f>
        <v>Normal</v>
      </c>
      <c r="H182" s="203" t="str">
        <f>IFERROR(__xludf.DUMMYFUNCTION("""COMPUTED_VALUE"""),"Normal")</f>
        <v>Normal</v>
      </c>
      <c r="I182" s="37"/>
      <c r="J182" s="37"/>
      <c r="K182" s="37"/>
      <c r="L182" s="199">
        <f>IFERROR(__xludf.DUMMYFUNCTION("""COMPUTED_VALUE"""),36.0)</f>
        <v>36</v>
      </c>
      <c r="M182" s="199">
        <f>IFERROR(__xludf.DUMMYFUNCTION("""COMPUTED_VALUE"""),291.2)</f>
        <v>291.2</v>
      </c>
      <c r="N182" s="37"/>
      <c r="O182" s="37"/>
      <c r="P182" s="199">
        <f>IFERROR(__xludf.DUMMYFUNCTION("""COMPUTED_VALUE"""),0.05)</f>
        <v>0.05</v>
      </c>
      <c r="Q182" s="199">
        <f>IFERROR(__xludf.DUMMYFUNCTION("""COMPUTED_VALUE"""),0.0)</f>
        <v>0</v>
      </c>
      <c r="R182" s="199">
        <f>IFERROR(__xludf.DUMMYFUNCTION("""COMPUTED_VALUE"""),7.0)</f>
        <v>7</v>
      </c>
      <c r="S182" s="199">
        <f>IFERROR(__xludf.DUMMYFUNCTION("""COMPUTED_VALUE"""),2.0)</f>
        <v>2</v>
      </c>
      <c r="T182" s="199">
        <f>IFERROR(__xludf.DUMMYFUNCTION("""COMPUTED_VALUE"""),0.0)</f>
        <v>0</v>
      </c>
      <c r="U182" s="199">
        <f>IFERROR(__xludf.DUMMYFUNCTION("""COMPUTED_VALUE"""),114.0)</f>
        <v>114</v>
      </c>
      <c r="V182" s="199">
        <f>IFERROR(__xludf.DUMMYFUNCTION("""COMPUTED_VALUE"""),2.0)</f>
        <v>2</v>
      </c>
      <c r="W182" s="199">
        <f>IFERROR(__xludf.DUMMYFUNCTION("""COMPUTED_VALUE"""),0.0)</f>
        <v>0</v>
      </c>
      <c r="X182" s="199">
        <f>IFERROR(__xludf.DUMMYFUNCTION("""COMPUTED_VALUE"""),0.0)</f>
        <v>0</v>
      </c>
      <c r="Y182" s="199">
        <f>IFERROR(__xludf.DUMMYFUNCTION("""COMPUTED_VALUE"""),0.0)</f>
        <v>0</v>
      </c>
      <c r="Z182" s="199">
        <f>IFERROR(__xludf.DUMMYFUNCTION("""COMPUTED_VALUE"""),2.0)</f>
        <v>2</v>
      </c>
      <c r="AA182" s="199">
        <f>IFERROR(__xludf.DUMMYFUNCTION("""COMPUTED_VALUE"""),0.0)</f>
        <v>0</v>
      </c>
      <c r="AB182" s="199">
        <f>IFERROR(__xludf.DUMMYFUNCTION("""COMPUTED_VALUE"""),38.0)</f>
        <v>38</v>
      </c>
      <c r="AC182" s="199">
        <f>IFERROR(__xludf.DUMMYFUNCTION("""COMPUTED_VALUE"""),40.0)</f>
        <v>40</v>
      </c>
      <c r="AD182" s="199">
        <f>IFERROR(__xludf.DUMMYFUNCTION("""COMPUTED_VALUE"""),0.0)</f>
        <v>0</v>
      </c>
      <c r="AE182" s="199">
        <f>IFERROR(__xludf.DUMMYFUNCTION("""COMPUTED_VALUE"""),149.0)</f>
        <v>149</v>
      </c>
      <c r="AF182" s="199">
        <f>IFERROR(__xludf.DUMMYFUNCTION("""COMPUTED_VALUE"""),6.0)</f>
        <v>6</v>
      </c>
      <c r="AG182" s="199">
        <f>IFERROR(__xludf.DUMMYFUNCTION("""COMPUTED_VALUE"""),466.0)</f>
        <v>466</v>
      </c>
      <c r="AH182" s="199">
        <f>IFERROR(__xludf.DUMMYFUNCTION("""COMPUTED_VALUE"""),27.0)</f>
        <v>27</v>
      </c>
      <c r="AI182" s="200" t="str">
        <f>IFERROR(__xludf.DUMMYFUNCTION("""COMPUTED_VALUE"""),"Wear Metal Caution | Contamination Caution")</f>
        <v>Wear Metal Caution | Contamination Caution</v>
      </c>
      <c r="AJ182" s="200" t="str">
        <f>IFERROR(__xludf.DUMMYFUNCTION("""COMPUTED_VALUE"""),"Elevated wear metals - monitor trend; inspect at next opportunity; Silicon elevated - check air filtration and seals")</f>
        <v>Elevated wear metals - monitor trend; inspect at next opportunity; Silicon elevated - check air filtration and seals</v>
      </c>
      <c r="AK182" s="204"/>
      <c r="AL182" s="204"/>
      <c r="AM182" s="204"/>
    </row>
    <row r="183" hidden="1">
      <c r="A183" s="199" t="str">
        <f>IFERROR(__xludf.DUMMYFUNCTION("""COMPUTED_VALUE"""),"533.BE220")</f>
        <v>533.BE220</v>
      </c>
      <c r="B183" s="200" t="str">
        <f>IFERROR(__xludf.DUMMYFUNCTION("""COMPUTED_VALUE"""),"Bucket Elevator BM#3 GB.")</f>
        <v>Bucket Elevator BM#3 GB.</v>
      </c>
      <c r="C183" s="199">
        <f>IFERROR(__xludf.DUMMYFUNCTION("""COMPUTED_VALUE"""),2.4307211225E10)</f>
        <v>24307211225</v>
      </c>
      <c r="D183" s="201">
        <f>IFERROR(__xludf.DUMMYFUNCTION("""COMPUTED_VALUE"""),45589.0)</f>
        <v>45589</v>
      </c>
      <c r="E183" s="202" t="str">
        <f>IFERROR(__xludf.DUMMYFUNCTION("""COMPUTED_VALUE"""),"Alert")</f>
        <v>Alert</v>
      </c>
      <c r="F183" s="202" t="str">
        <f>IFERROR(__xludf.DUMMYFUNCTION("""COMPUTED_VALUE"""),"Alert")</f>
        <v>Alert</v>
      </c>
      <c r="G183" s="203" t="str">
        <f>IFERROR(__xludf.DUMMYFUNCTION("""COMPUTED_VALUE"""),"Normal")</f>
        <v>Normal</v>
      </c>
      <c r="H183" s="203" t="str">
        <f>IFERROR(__xludf.DUMMYFUNCTION("""COMPUTED_VALUE"""),"Normal")</f>
        <v>Normal</v>
      </c>
      <c r="I183" s="199"/>
      <c r="J183" s="199"/>
      <c r="K183" s="199"/>
      <c r="L183" s="199">
        <f>IFERROR(__xludf.DUMMYFUNCTION("""COMPUTED_VALUE"""),60.0)</f>
        <v>60</v>
      </c>
      <c r="M183" s="199">
        <f>IFERROR(__xludf.DUMMYFUNCTION("""COMPUTED_VALUE"""),312.7)</f>
        <v>312.7</v>
      </c>
      <c r="N183" s="37"/>
      <c r="O183" s="37">
        <f>IFERROR(__xludf.DUMMYFUNCTION("""COMPUTED_VALUE"""),0.0)</f>
        <v>0</v>
      </c>
      <c r="P183" s="199">
        <f>IFERROR(__xludf.DUMMYFUNCTION("""COMPUTED_VALUE"""),0.09)</f>
        <v>0.09</v>
      </c>
      <c r="Q183" s="199">
        <f>IFERROR(__xludf.DUMMYFUNCTION("""COMPUTED_VALUE"""),0.0)</f>
        <v>0</v>
      </c>
      <c r="R183" s="199">
        <f>IFERROR(__xludf.DUMMYFUNCTION("""COMPUTED_VALUE"""),19.0)</f>
        <v>19</v>
      </c>
      <c r="S183" s="199">
        <f>IFERROR(__xludf.DUMMYFUNCTION("""COMPUTED_VALUE"""),2.0)</f>
        <v>2</v>
      </c>
      <c r="T183" s="199">
        <f>IFERROR(__xludf.DUMMYFUNCTION("""COMPUTED_VALUE"""),0.0)</f>
        <v>0</v>
      </c>
      <c r="U183" s="199">
        <f>IFERROR(__xludf.DUMMYFUNCTION("""COMPUTED_VALUE"""),118.0)</f>
        <v>118</v>
      </c>
      <c r="V183" s="199">
        <f>IFERROR(__xludf.DUMMYFUNCTION("""COMPUTED_VALUE"""),5.0)</f>
        <v>5</v>
      </c>
      <c r="W183" s="199">
        <f>IFERROR(__xludf.DUMMYFUNCTION("""COMPUTED_VALUE"""),0.0)</f>
        <v>0</v>
      </c>
      <c r="X183" s="199">
        <f>IFERROR(__xludf.DUMMYFUNCTION("""COMPUTED_VALUE"""),0.0)</f>
        <v>0</v>
      </c>
      <c r="Y183" s="199">
        <f>IFERROR(__xludf.DUMMYFUNCTION("""COMPUTED_VALUE"""),2.0)</f>
        <v>2</v>
      </c>
      <c r="Z183" s="199">
        <f>IFERROR(__xludf.DUMMYFUNCTION("""COMPUTED_VALUE"""),17.0)</f>
        <v>17</v>
      </c>
      <c r="AA183" s="199">
        <f>IFERROR(__xludf.DUMMYFUNCTION("""COMPUTED_VALUE"""),3.0)</f>
        <v>3</v>
      </c>
      <c r="AB183" s="199">
        <f>IFERROR(__xludf.DUMMYFUNCTION("""COMPUTED_VALUE"""),91.0)</f>
        <v>91</v>
      </c>
      <c r="AC183" s="199">
        <f>IFERROR(__xludf.DUMMYFUNCTION("""COMPUTED_VALUE"""),23.0)</f>
        <v>23</v>
      </c>
      <c r="AD183" s="199">
        <f>IFERROR(__xludf.DUMMYFUNCTION("""COMPUTED_VALUE"""),0.0)</f>
        <v>0</v>
      </c>
      <c r="AE183" s="199">
        <f>IFERROR(__xludf.DUMMYFUNCTION("""COMPUTED_VALUE"""),211.0)</f>
        <v>211</v>
      </c>
      <c r="AF183" s="199">
        <f>IFERROR(__xludf.DUMMYFUNCTION("""COMPUTED_VALUE"""),2.0)</f>
        <v>2</v>
      </c>
      <c r="AG183" s="199">
        <f>IFERROR(__xludf.DUMMYFUNCTION("""COMPUTED_VALUE"""),463.0)</f>
        <v>463</v>
      </c>
      <c r="AH183" s="199">
        <f>IFERROR(__xludf.DUMMYFUNCTION("""COMPUTED_VALUE"""),13.0)</f>
        <v>13</v>
      </c>
      <c r="AI183" s="200" t="str">
        <f>IFERROR(__xludf.DUMMYFUNCTION("""COMPUTED_VALUE"""),"Contamination Alert")</f>
        <v>Contamination Alert</v>
      </c>
      <c r="AJ183" s="200" t="str">
        <f>IFERROR(__xludf.DUMMYFUNCTION("""COMPUTED_VALUE"""),"High wear metals - inspect bearing/gear surfaces; Elevated silicon - inspect filters and seals for contamination")</f>
        <v>High wear metals - inspect bearing/gear surfaces; Elevated silicon - inspect filters and seals for contamination</v>
      </c>
      <c r="AK183" s="204"/>
      <c r="AL183" s="204"/>
      <c r="AM183" s="204"/>
    </row>
    <row r="184" hidden="1">
      <c r="A184" s="199" t="str">
        <f>IFERROR(__xludf.DUMMYFUNCTION("""COMPUTED_VALUE"""),"R2.322.BE220")</f>
        <v>R2.322.BE220</v>
      </c>
      <c r="B184" s="200" t="str">
        <f>IFERROR(__xludf.DUMMYFUNCTION("""COMPUTED_VALUE"""),"R2 Bucket Elevator gearbox")</f>
        <v>R2 Bucket Elevator gearbox</v>
      </c>
      <c r="C184" s="199">
        <f>IFERROR(__xludf.DUMMYFUNCTION("""COMPUTED_VALUE"""),2.4303290259E10)</f>
        <v>24303290259</v>
      </c>
      <c r="D184" s="201">
        <f>IFERROR(__xludf.DUMMYFUNCTION("""COMPUTED_VALUE"""),45589.0)</f>
        <v>45589</v>
      </c>
      <c r="E184" s="202" t="str">
        <f>IFERROR(__xludf.DUMMYFUNCTION("""COMPUTED_VALUE"""),"Normal")</f>
        <v>Normal</v>
      </c>
      <c r="F184" s="202" t="str">
        <f>IFERROR(__xludf.DUMMYFUNCTION("""COMPUTED_VALUE"""),"Normal")</f>
        <v>Normal</v>
      </c>
      <c r="G184" s="203" t="str">
        <f>IFERROR(__xludf.DUMMYFUNCTION("""COMPUTED_VALUE"""),"Normal")</f>
        <v>Normal</v>
      </c>
      <c r="H184" s="203" t="str">
        <f>IFERROR(__xludf.DUMMYFUNCTION("""COMPUTED_VALUE"""),"Normal")</f>
        <v>Normal</v>
      </c>
      <c r="I184" s="199">
        <f>IFERROR(__xludf.DUMMYFUNCTION("""COMPUTED_VALUE"""),21752.0)</f>
        <v>21752</v>
      </c>
      <c r="J184" s="199">
        <f>IFERROR(__xludf.DUMMYFUNCTION("""COMPUTED_VALUE"""),1035.0)</f>
        <v>1035</v>
      </c>
      <c r="K184" s="199">
        <f>IFERROR(__xludf.DUMMYFUNCTION("""COMPUTED_VALUE"""),851.0)</f>
        <v>851</v>
      </c>
      <c r="L184" s="199">
        <f>IFERROR(__xludf.DUMMYFUNCTION("""COMPUTED_VALUE"""),6.0)</f>
        <v>6</v>
      </c>
      <c r="M184" s="199">
        <f>IFERROR(__xludf.DUMMYFUNCTION("""COMPUTED_VALUE"""),305.7)</f>
        <v>305.7</v>
      </c>
      <c r="N184" s="37"/>
      <c r="O184" s="37">
        <f>IFERROR(__xludf.DUMMYFUNCTION("""COMPUTED_VALUE"""),0.0)</f>
        <v>0</v>
      </c>
      <c r="P184" s="199">
        <f>IFERROR(__xludf.DUMMYFUNCTION("""COMPUTED_VALUE"""),0.04)</f>
        <v>0.04</v>
      </c>
      <c r="Q184" s="199">
        <f>IFERROR(__xludf.DUMMYFUNCTION("""COMPUTED_VALUE"""),0.0)</f>
        <v>0</v>
      </c>
      <c r="R184" s="199">
        <f>IFERROR(__xludf.DUMMYFUNCTION("""COMPUTED_VALUE"""),3.0)</f>
        <v>3</v>
      </c>
      <c r="S184" s="199">
        <f>IFERROR(__xludf.DUMMYFUNCTION("""COMPUTED_VALUE"""),1.0)</f>
        <v>1</v>
      </c>
      <c r="T184" s="199">
        <f>IFERROR(__xludf.DUMMYFUNCTION("""COMPUTED_VALUE"""),2.0)</f>
        <v>2</v>
      </c>
      <c r="U184" s="199">
        <f>IFERROR(__xludf.DUMMYFUNCTION("""COMPUTED_VALUE"""),7.0)</f>
        <v>7</v>
      </c>
      <c r="V184" s="199">
        <f>IFERROR(__xludf.DUMMYFUNCTION("""COMPUTED_VALUE"""),0.0)</f>
        <v>0</v>
      </c>
      <c r="W184" s="199">
        <f>IFERROR(__xludf.DUMMYFUNCTION("""COMPUTED_VALUE"""),0.0)</f>
        <v>0</v>
      </c>
      <c r="X184" s="199">
        <f>IFERROR(__xludf.DUMMYFUNCTION("""COMPUTED_VALUE"""),1.0)</f>
        <v>1</v>
      </c>
      <c r="Y184" s="199">
        <f>IFERROR(__xludf.DUMMYFUNCTION("""COMPUTED_VALUE"""),0.0)</f>
        <v>0</v>
      </c>
      <c r="Z184" s="199">
        <f>IFERROR(__xludf.DUMMYFUNCTION("""COMPUTED_VALUE"""),0.0)</f>
        <v>0</v>
      </c>
      <c r="AA184" s="199">
        <f>IFERROR(__xludf.DUMMYFUNCTION("""COMPUTED_VALUE"""),0.0)</f>
        <v>0</v>
      </c>
      <c r="AB184" s="199">
        <f>IFERROR(__xludf.DUMMYFUNCTION("""COMPUTED_VALUE"""),13.0)</f>
        <v>13</v>
      </c>
      <c r="AC184" s="199">
        <f>IFERROR(__xludf.DUMMYFUNCTION("""COMPUTED_VALUE"""),32.0)</f>
        <v>32</v>
      </c>
      <c r="AD184" s="199">
        <f>IFERROR(__xludf.DUMMYFUNCTION("""COMPUTED_VALUE"""),0.0)</f>
        <v>0</v>
      </c>
      <c r="AE184" s="199">
        <f>IFERROR(__xludf.DUMMYFUNCTION("""COMPUTED_VALUE"""),13.0)</f>
        <v>13</v>
      </c>
      <c r="AF184" s="199">
        <f>IFERROR(__xludf.DUMMYFUNCTION("""COMPUTED_VALUE"""),2.0)</f>
        <v>2</v>
      </c>
      <c r="AG184" s="199">
        <f>IFERROR(__xludf.DUMMYFUNCTION("""COMPUTED_VALUE"""),272.0)</f>
        <v>272</v>
      </c>
      <c r="AH184" s="199">
        <f>IFERROR(__xludf.DUMMYFUNCTION("""COMPUTED_VALUE"""),2.0)</f>
        <v>2</v>
      </c>
      <c r="AI184" s="200" t="str">
        <f>IFERROR(__xludf.DUMMYFUNCTION("""COMPUTED_VALUE"""),"Normal - No Action Required")</f>
        <v>Normal - No Action Required</v>
      </c>
      <c r="AJ184" s="200" t="str">
        <f>IFERROR(__xludf.DUMMYFUNCTION("""COMPUTED_VALUE"""),"Continue routine monitoring and sampling schedule")</f>
        <v>Continue routine monitoring and sampling schedule</v>
      </c>
      <c r="AK184" s="204"/>
      <c r="AL184" s="204"/>
      <c r="AM184" s="204"/>
    </row>
    <row r="185" hidden="1">
      <c r="A185" s="199" t="str">
        <f>IFERROR(__xludf.DUMMYFUNCTION("""COMPUTED_VALUE"""),"R2.332.FN110(Fr.B.)")</f>
        <v>R2.332.FN110(Fr.B.)</v>
      </c>
      <c r="B185" s="200" t="str">
        <f>IFERROR(__xludf.DUMMYFUNCTION("""COMPUTED_VALUE"""),"ID fan free bearing line 2")</f>
        <v>ID fan free bearing line 2</v>
      </c>
      <c r="C185" s="199">
        <f>IFERROR(__xludf.DUMMYFUNCTION("""COMPUTED_VALUE"""),2.4303290253E10)</f>
        <v>24303290253</v>
      </c>
      <c r="D185" s="201">
        <f>IFERROR(__xludf.DUMMYFUNCTION("""COMPUTED_VALUE"""),45589.0)</f>
        <v>45589</v>
      </c>
      <c r="E185" s="202" t="str">
        <f>IFERROR(__xludf.DUMMYFUNCTION("""COMPUTED_VALUE"""),"Alert")</f>
        <v>Alert</v>
      </c>
      <c r="F185" s="202" t="str">
        <f>IFERROR(__xludf.DUMMYFUNCTION("""COMPUTED_VALUE"""),"Alert")</f>
        <v>Alert</v>
      </c>
      <c r="G185" s="203" t="str">
        <f>IFERROR(__xludf.DUMMYFUNCTION("""COMPUTED_VALUE"""),"Normal")</f>
        <v>Normal</v>
      </c>
      <c r="H185" s="203" t="str">
        <f>IFERROR(__xludf.DUMMYFUNCTION("""COMPUTED_VALUE"""),"Normal")</f>
        <v>Normal</v>
      </c>
      <c r="I185" s="37"/>
      <c r="J185" s="37"/>
      <c r="K185" s="37"/>
      <c r="L185" s="199">
        <f>IFERROR(__xludf.DUMMYFUNCTION("""COMPUTED_VALUE"""),36.0)</f>
        <v>36</v>
      </c>
      <c r="M185" s="199">
        <f>IFERROR(__xludf.DUMMYFUNCTION("""COMPUTED_VALUE"""),65.5)</f>
        <v>65.5</v>
      </c>
      <c r="N185" s="37"/>
      <c r="O185" s="37">
        <f>IFERROR(__xludf.DUMMYFUNCTION("""COMPUTED_VALUE"""),0.0)</f>
        <v>0</v>
      </c>
      <c r="P185" s="199">
        <f>IFERROR(__xludf.DUMMYFUNCTION("""COMPUTED_VALUE"""),0.1)</f>
        <v>0.1</v>
      </c>
      <c r="Q185" s="199">
        <f>IFERROR(__xludf.DUMMYFUNCTION("""COMPUTED_VALUE"""),0.0)</f>
        <v>0</v>
      </c>
      <c r="R185" s="199">
        <f>IFERROR(__xludf.DUMMYFUNCTION("""COMPUTED_VALUE"""),4.0)</f>
        <v>4</v>
      </c>
      <c r="S185" s="199">
        <f>IFERROR(__xludf.DUMMYFUNCTION("""COMPUTED_VALUE"""),0.0)</f>
        <v>0</v>
      </c>
      <c r="T185" s="199">
        <f>IFERROR(__xludf.DUMMYFUNCTION("""COMPUTED_VALUE"""),3.0)</f>
        <v>3</v>
      </c>
      <c r="U185" s="199">
        <f>IFERROR(__xludf.DUMMYFUNCTION("""COMPUTED_VALUE"""),23.0)</f>
        <v>23</v>
      </c>
      <c r="V185" s="199">
        <f>IFERROR(__xludf.DUMMYFUNCTION("""COMPUTED_VALUE"""),0.0)</f>
        <v>0</v>
      </c>
      <c r="W185" s="199">
        <f>IFERROR(__xludf.DUMMYFUNCTION("""COMPUTED_VALUE"""),0.0)</f>
        <v>0</v>
      </c>
      <c r="X185" s="199">
        <f>IFERROR(__xludf.DUMMYFUNCTION("""COMPUTED_VALUE"""),0.0)</f>
        <v>0</v>
      </c>
      <c r="Y185" s="199">
        <f>IFERROR(__xludf.DUMMYFUNCTION("""COMPUTED_VALUE"""),0.0)</f>
        <v>0</v>
      </c>
      <c r="Z185" s="199">
        <f>IFERROR(__xludf.DUMMYFUNCTION("""COMPUTED_VALUE"""),1.0)</f>
        <v>1</v>
      </c>
      <c r="AA185" s="199">
        <f>IFERROR(__xludf.DUMMYFUNCTION("""COMPUTED_VALUE"""),0.0)</f>
        <v>0</v>
      </c>
      <c r="AB185" s="199">
        <f>IFERROR(__xludf.DUMMYFUNCTION("""COMPUTED_VALUE"""),10.0)</f>
        <v>10</v>
      </c>
      <c r="AC185" s="199">
        <f>IFERROR(__xludf.DUMMYFUNCTION("""COMPUTED_VALUE"""),2.0)</f>
        <v>2</v>
      </c>
      <c r="AD185" s="199">
        <f>IFERROR(__xludf.DUMMYFUNCTION("""COMPUTED_VALUE"""),0.0)</f>
        <v>0</v>
      </c>
      <c r="AE185" s="199">
        <f>IFERROR(__xludf.DUMMYFUNCTION("""COMPUTED_VALUE"""),16.0)</f>
        <v>16</v>
      </c>
      <c r="AF185" s="199">
        <f>IFERROR(__xludf.DUMMYFUNCTION("""COMPUTED_VALUE"""),2.0)</f>
        <v>2</v>
      </c>
      <c r="AG185" s="199">
        <f>IFERROR(__xludf.DUMMYFUNCTION("""COMPUTED_VALUE"""),63.0)</f>
        <v>63</v>
      </c>
      <c r="AH185" s="199">
        <f>IFERROR(__xludf.DUMMYFUNCTION("""COMPUTED_VALUE"""),18.0)</f>
        <v>18</v>
      </c>
      <c r="AI185" s="200" t="str">
        <f>IFERROR(__xludf.DUMMYFUNCTION("""COMPUTED_VALUE"""),"General Alert")</f>
        <v>General Alert</v>
      </c>
      <c r="AJ185" s="200" t="str">
        <f>IFERROR(__xludf.DUMMYFUNCTION("""COMPUTED_VALUE"""),"Investigate root cause; increase sampling frequency to monthly")</f>
        <v>Investigate root cause; increase sampling frequency to monthly</v>
      </c>
      <c r="AK185" s="204"/>
      <c r="AL185" s="204"/>
      <c r="AM185" s="204"/>
    </row>
    <row r="186" hidden="1">
      <c r="A186" s="199" t="str">
        <f>IFERROR(__xludf.DUMMYFUNCTION("""COMPUTED_VALUE"""),"R2.332.FN110(Fx.B.)")</f>
        <v>R2.332.FN110(Fx.B.)</v>
      </c>
      <c r="B186" s="200" t="str">
        <f>IFERROR(__xludf.DUMMYFUNCTION("""COMPUTED_VALUE"""),"ID fan fixed bearing")</f>
        <v>ID fan fixed bearing</v>
      </c>
      <c r="C186" s="199">
        <f>IFERROR(__xludf.DUMMYFUNCTION("""COMPUTED_VALUE"""),2.4303290461E10)</f>
        <v>24303290461</v>
      </c>
      <c r="D186" s="201">
        <f>IFERROR(__xludf.DUMMYFUNCTION("""COMPUTED_VALUE"""),45589.0)</f>
        <v>45589</v>
      </c>
      <c r="E186" s="202" t="str">
        <f>IFERROR(__xludf.DUMMYFUNCTION("""COMPUTED_VALUE"""),"Normal")</f>
        <v>Normal</v>
      </c>
      <c r="F186" s="202" t="str">
        <f>IFERROR(__xludf.DUMMYFUNCTION("""COMPUTED_VALUE"""),"Normal")</f>
        <v>Normal</v>
      </c>
      <c r="G186" s="203" t="str">
        <f>IFERROR(__xludf.DUMMYFUNCTION("""COMPUTED_VALUE"""),"Normal")</f>
        <v>Normal</v>
      </c>
      <c r="H186" s="203" t="str">
        <f>IFERROR(__xludf.DUMMYFUNCTION("""COMPUTED_VALUE"""),"Normal")</f>
        <v>Normal</v>
      </c>
      <c r="I186" s="199">
        <f>IFERROR(__xludf.DUMMYFUNCTION("""COMPUTED_VALUE"""),7682.0)</f>
        <v>7682</v>
      </c>
      <c r="J186" s="199">
        <f>IFERROR(__xludf.DUMMYFUNCTION("""COMPUTED_VALUE"""),3094.0)</f>
        <v>3094</v>
      </c>
      <c r="K186" s="199">
        <f>IFERROR(__xludf.DUMMYFUNCTION("""COMPUTED_VALUE"""),2956.0)</f>
        <v>2956</v>
      </c>
      <c r="L186" s="199">
        <f>IFERROR(__xludf.DUMMYFUNCTION("""COMPUTED_VALUE"""),3.0)</f>
        <v>3</v>
      </c>
      <c r="M186" s="199">
        <f>IFERROR(__xludf.DUMMYFUNCTION("""COMPUTED_VALUE"""),64.8)</f>
        <v>64.8</v>
      </c>
      <c r="N186" s="37"/>
      <c r="O186" s="37">
        <f>IFERROR(__xludf.DUMMYFUNCTION("""COMPUTED_VALUE"""),0.0)</f>
        <v>0</v>
      </c>
      <c r="P186" s="199">
        <f>IFERROR(__xludf.DUMMYFUNCTION("""COMPUTED_VALUE"""),0.003)</f>
        <v>0.003</v>
      </c>
      <c r="Q186" s="199">
        <f>IFERROR(__xludf.DUMMYFUNCTION("""COMPUTED_VALUE"""),0.0)</f>
        <v>0</v>
      </c>
      <c r="R186" s="199">
        <f>IFERROR(__xludf.DUMMYFUNCTION("""COMPUTED_VALUE"""),5.0)</f>
        <v>5</v>
      </c>
      <c r="S186" s="199">
        <f>IFERROR(__xludf.DUMMYFUNCTION("""COMPUTED_VALUE"""),0.0)</f>
        <v>0</v>
      </c>
      <c r="T186" s="199">
        <f>IFERROR(__xludf.DUMMYFUNCTION("""COMPUTED_VALUE"""),0.0)</f>
        <v>0</v>
      </c>
      <c r="U186" s="199">
        <f>IFERROR(__xludf.DUMMYFUNCTION("""COMPUTED_VALUE"""),10.0)</f>
        <v>10</v>
      </c>
      <c r="V186" s="199">
        <f>IFERROR(__xludf.DUMMYFUNCTION("""COMPUTED_VALUE"""),0.0)</f>
        <v>0</v>
      </c>
      <c r="W186" s="199">
        <f>IFERROR(__xludf.DUMMYFUNCTION("""COMPUTED_VALUE"""),0.0)</f>
        <v>0</v>
      </c>
      <c r="X186" s="199">
        <f>IFERROR(__xludf.DUMMYFUNCTION("""COMPUTED_VALUE"""),1.0)</f>
        <v>1</v>
      </c>
      <c r="Y186" s="199">
        <f>IFERROR(__xludf.DUMMYFUNCTION("""COMPUTED_VALUE"""),0.0)</f>
        <v>0</v>
      </c>
      <c r="Z186" s="199">
        <f>IFERROR(__xludf.DUMMYFUNCTION("""COMPUTED_VALUE"""),0.0)</f>
        <v>0</v>
      </c>
      <c r="AA186" s="199">
        <f>IFERROR(__xludf.DUMMYFUNCTION("""COMPUTED_VALUE"""),0.0)</f>
        <v>0</v>
      </c>
      <c r="AB186" s="199">
        <f>IFERROR(__xludf.DUMMYFUNCTION("""COMPUTED_VALUE"""),14.0)</f>
        <v>14</v>
      </c>
      <c r="AC186" s="199">
        <f>IFERROR(__xludf.DUMMYFUNCTION("""COMPUTED_VALUE"""),2.0)</f>
        <v>2</v>
      </c>
      <c r="AD186" s="199">
        <f>IFERROR(__xludf.DUMMYFUNCTION("""COMPUTED_VALUE"""),0.0)</f>
        <v>0</v>
      </c>
      <c r="AE186" s="199">
        <f>IFERROR(__xludf.DUMMYFUNCTION("""COMPUTED_VALUE"""),27.0)</f>
        <v>27</v>
      </c>
      <c r="AF186" s="199">
        <f>IFERROR(__xludf.DUMMYFUNCTION("""COMPUTED_VALUE"""),2.0)</f>
        <v>2</v>
      </c>
      <c r="AG186" s="199">
        <f>IFERROR(__xludf.DUMMYFUNCTION("""COMPUTED_VALUE"""),62.0)</f>
        <v>62</v>
      </c>
      <c r="AH186" s="199">
        <f>IFERROR(__xludf.DUMMYFUNCTION("""COMPUTED_VALUE"""),40.0)</f>
        <v>40</v>
      </c>
      <c r="AI186" s="200" t="str">
        <f>IFERROR(__xludf.DUMMYFUNCTION("""COMPUTED_VALUE"""),"Normal - No Action Required")</f>
        <v>Normal - No Action Required</v>
      </c>
      <c r="AJ186" s="200" t="str">
        <f>IFERROR(__xludf.DUMMYFUNCTION("""COMPUTED_VALUE"""),"Continue routine monitoring and sampling schedule")</f>
        <v>Continue routine monitoring and sampling schedule</v>
      </c>
      <c r="AK186" s="204"/>
      <c r="AL186" s="204"/>
      <c r="AM186" s="204"/>
    </row>
    <row r="187" hidden="1">
      <c r="A187" s="199" t="str">
        <f>IFERROR(__xludf.DUMMYFUNCTION("""COMPUTED_VALUE"""),"321.BE220")</f>
        <v>321.BE220</v>
      </c>
      <c r="B187" s="200" t="str">
        <f>IFERROR(__xludf.DUMMYFUNCTION("""COMPUTED_VALUE"""),"Bucket Elevator gearbox")</f>
        <v>Bucket Elevator gearbox</v>
      </c>
      <c r="C187" s="199">
        <f>IFERROR(__xludf.DUMMYFUNCTION("""COMPUTED_VALUE"""),2.4307211222E10)</f>
        <v>24307211222</v>
      </c>
      <c r="D187" s="201">
        <f>IFERROR(__xludf.DUMMYFUNCTION("""COMPUTED_VALUE"""),45589.0)</f>
        <v>45589</v>
      </c>
      <c r="E187" s="202" t="str">
        <f>IFERROR(__xludf.DUMMYFUNCTION("""COMPUTED_VALUE"""),"Alert")</f>
        <v>Alert</v>
      </c>
      <c r="F187" s="202" t="str">
        <f>IFERROR(__xludf.DUMMYFUNCTION("""COMPUTED_VALUE"""),"Alert")</f>
        <v>Alert</v>
      </c>
      <c r="G187" s="203" t="str">
        <f>IFERROR(__xludf.DUMMYFUNCTION("""COMPUTED_VALUE"""),"Normal")</f>
        <v>Normal</v>
      </c>
      <c r="H187" s="203" t="str">
        <f>IFERROR(__xludf.DUMMYFUNCTION("""COMPUTED_VALUE"""),"Alert")</f>
        <v>Alert</v>
      </c>
      <c r="I187" s="199"/>
      <c r="J187" s="199"/>
      <c r="K187" s="199"/>
      <c r="L187" s="199">
        <f>IFERROR(__xludf.DUMMYFUNCTION("""COMPUTED_VALUE"""),37.0)</f>
        <v>37</v>
      </c>
      <c r="M187" s="199">
        <f>IFERROR(__xludf.DUMMYFUNCTION("""COMPUTED_VALUE"""),431.2)</f>
        <v>431.2</v>
      </c>
      <c r="N187" s="37"/>
      <c r="O187" s="37">
        <f>IFERROR(__xludf.DUMMYFUNCTION("""COMPUTED_VALUE"""),1.0)</f>
        <v>1</v>
      </c>
      <c r="P187" s="199">
        <f>IFERROR(__xludf.DUMMYFUNCTION("""COMPUTED_VALUE"""),0.2)</f>
        <v>0.2</v>
      </c>
      <c r="Q187" s="199">
        <f>IFERROR(__xludf.DUMMYFUNCTION("""COMPUTED_VALUE"""),0.0)</f>
        <v>0</v>
      </c>
      <c r="R187" s="199">
        <f>IFERROR(__xludf.DUMMYFUNCTION("""COMPUTED_VALUE"""),17.0)</f>
        <v>17</v>
      </c>
      <c r="S187" s="199">
        <f>IFERROR(__xludf.DUMMYFUNCTION("""COMPUTED_VALUE"""),2.0)</f>
        <v>2</v>
      </c>
      <c r="T187" s="199">
        <f>IFERROR(__xludf.DUMMYFUNCTION("""COMPUTED_VALUE"""),1.0)</f>
        <v>1</v>
      </c>
      <c r="U187" s="199">
        <f>IFERROR(__xludf.DUMMYFUNCTION("""COMPUTED_VALUE"""),76.0)</f>
        <v>76</v>
      </c>
      <c r="V187" s="199">
        <f>IFERROR(__xludf.DUMMYFUNCTION("""COMPUTED_VALUE"""),2.0)</f>
        <v>2</v>
      </c>
      <c r="W187" s="199">
        <f>IFERROR(__xludf.DUMMYFUNCTION("""COMPUTED_VALUE"""),0.0)</f>
        <v>0</v>
      </c>
      <c r="X187" s="199">
        <f>IFERROR(__xludf.DUMMYFUNCTION("""COMPUTED_VALUE"""),1.0)</f>
        <v>1</v>
      </c>
      <c r="Y187" s="199">
        <f>IFERROR(__xludf.DUMMYFUNCTION("""COMPUTED_VALUE"""),0.0)</f>
        <v>0</v>
      </c>
      <c r="Z187" s="199">
        <f>IFERROR(__xludf.DUMMYFUNCTION("""COMPUTED_VALUE"""),0.0)</f>
        <v>0</v>
      </c>
      <c r="AA187" s="199">
        <f>IFERROR(__xludf.DUMMYFUNCTION("""COMPUTED_VALUE"""),0.0)</f>
        <v>0</v>
      </c>
      <c r="AB187" s="199">
        <f>IFERROR(__xludf.DUMMYFUNCTION("""COMPUTED_VALUE"""),85.0)</f>
        <v>85</v>
      </c>
      <c r="AC187" s="199">
        <f>IFERROR(__xludf.DUMMYFUNCTION("""COMPUTED_VALUE"""),15.0)</f>
        <v>15</v>
      </c>
      <c r="AD187" s="199">
        <f>IFERROR(__xludf.DUMMYFUNCTION("""COMPUTED_VALUE"""),0.0)</f>
        <v>0</v>
      </c>
      <c r="AE187" s="199">
        <f>IFERROR(__xludf.DUMMYFUNCTION("""COMPUTED_VALUE"""),12.0)</f>
        <v>12</v>
      </c>
      <c r="AF187" s="199">
        <f>IFERROR(__xludf.DUMMYFUNCTION("""COMPUTED_VALUE"""),7.0)</f>
        <v>7</v>
      </c>
      <c r="AG187" s="199">
        <f>IFERROR(__xludf.DUMMYFUNCTION("""COMPUTED_VALUE"""),485.0)</f>
        <v>485</v>
      </c>
      <c r="AH187" s="199">
        <f>IFERROR(__xludf.DUMMYFUNCTION("""COMPUTED_VALUE"""),3.0)</f>
        <v>3</v>
      </c>
      <c r="AI187" s="200" t="str">
        <f>IFERROR(__xludf.DUMMYFUNCTION("""COMPUTED_VALUE"""),"Lubricant Degradation | Contamination Alert | Water Ingress")</f>
        <v>Lubricant Degradation | Contamination Alert | Water Ingress</v>
      </c>
      <c r="AJ187" s="200" t="str">
        <f>IFERROR(__xludf.DUMMYFUNCTION("""COMPUTED_VALUE"""),"Water detected - inspect seals and breathers; Viscosity critically high - change lubricant immediately; Elevated silicon - inspect filters and seals for contamination")</f>
        <v>Water detected - inspect seals and breathers; Viscosity critically high - change lubricant immediately; Elevated silicon - inspect filters and seals for contamination</v>
      </c>
      <c r="AK187" s="204"/>
      <c r="AL187" s="204"/>
      <c r="AM187" s="204"/>
    </row>
    <row r="188" hidden="1">
      <c r="A188" s="199" t="str">
        <f>IFERROR(__xludf.DUMMYFUNCTION("""COMPUTED_VALUE"""),"321.MD152")</f>
        <v>321.MD152</v>
      </c>
      <c r="B188" s="200" t="str">
        <f>IFERROR(__xludf.DUMMYFUNCTION("""COMPUTED_VALUE"""),"Dynamic Separator Gearbox")</f>
        <v>Dynamic Separator Gearbox</v>
      </c>
      <c r="C188" s="199">
        <f>IFERROR(__xludf.DUMMYFUNCTION("""COMPUTED_VALUE"""),2.4303290246E10)</f>
        <v>24303290246</v>
      </c>
      <c r="D188" s="201">
        <f>IFERROR(__xludf.DUMMYFUNCTION("""COMPUTED_VALUE"""),45589.0)</f>
        <v>45589</v>
      </c>
      <c r="E188" s="202" t="str">
        <f>IFERROR(__xludf.DUMMYFUNCTION("""COMPUTED_VALUE"""),"Caution")</f>
        <v>Caution</v>
      </c>
      <c r="F188" s="202" t="str">
        <f>IFERROR(__xludf.DUMMYFUNCTION("""COMPUTED_VALUE"""),"Caution")</f>
        <v>Caution</v>
      </c>
      <c r="G188" s="203" t="str">
        <f>IFERROR(__xludf.DUMMYFUNCTION("""COMPUTED_VALUE"""),"Normal")</f>
        <v>Normal</v>
      </c>
      <c r="H188" s="203" t="str">
        <f>IFERROR(__xludf.DUMMYFUNCTION("""COMPUTED_VALUE"""),"Normal")</f>
        <v>Normal</v>
      </c>
      <c r="I188" s="37"/>
      <c r="J188" s="37"/>
      <c r="K188" s="37"/>
      <c r="L188" s="199">
        <f>IFERROR(__xludf.DUMMYFUNCTION("""COMPUTED_VALUE"""),17.0)</f>
        <v>17</v>
      </c>
      <c r="M188" s="199">
        <f>IFERROR(__xludf.DUMMYFUNCTION("""COMPUTED_VALUE"""),315.3)</f>
        <v>315.3</v>
      </c>
      <c r="N188" s="37"/>
      <c r="O188" s="37"/>
      <c r="P188" s="199">
        <f>IFERROR(__xludf.DUMMYFUNCTION("""COMPUTED_VALUE"""),0.02)</f>
        <v>0.02</v>
      </c>
      <c r="Q188" s="199">
        <f>IFERROR(__xludf.DUMMYFUNCTION("""COMPUTED_VALUE"""),0.0)</f>
        <v>0</v>
      </c>
      <c r="R188" s="199">
        <f>IFERROR(__xludf.DUMMYFUNCTION("""COMPUTED_VALUE"""),0.0)</f>
        <v>0</v>
      </c>
      <c r="S188" s="199">
        <f>IFERROR(__xludf.DUMMYFUNCTION("""COMPUTED_VALUE"""),0.0)</f>
        <v>0</v>
      </c>
      <c r="T188" s="199">
        <f>IFERROR(__xludf.DUMMYFUNCTION("""COMPUTED_VALUE"""),0.0)</f>
        <v>0</v>
      </c>
      <c r="U188" s="199">
        <f>IFERROR(__xludf.DUMMYFUNCTION("""COMPUTED_VALUE"""),4.0)</f>
        <v>4</v>
      </c>
      <c r="V188" s="199">
        <f>IFERROR(__xludf.DUMMYFUNCTION("""COMPUTED_VALUE"""),0.0)</f>
        <v>0</v>
      </c>
      <c r="W188" s="199">
        <f>IFERROR(__xludf.DUMMYFUNCTION("""COMPUTED_VALUE"""),0.0)</f>
        <v>0</v>
      </c>
      <c r="X188" s="199">
        <f>IFERROR(__xludf.DUMMYFUNCTION("""COMPUTED_VALUE"""),1.0)</f>
        <v>1</v>
      </c>
      <c r="Y188" s="199">
        <f>IFERROR(__xludf.DUMMYFUNCTION("""COMPUTED_VALUE"""),0.0)</f>
        <v>0</v>
      </c>
      <c r="Z188" s="199">
        <f>IFERROR(__xludf.DUMMYFUNCTION("""COMPUTED_VALUE"""),0.0)</f>
        <v>0</v>
      </c>
      <c r="AA188" s="199">
        <f>IFERROR(__xludf.DUMMYFUNCTION("""COMPUTED_VALUE"""),0.0)</f>
        <v>0</v>
      </c>
      <c r="AB188" s="199">
        <f>IFERROR(__xludf.DUMMYFUNCTION("""COMPUTED_VALUE"""),6.0)</f>
        <v>6</v>
      </c>
      <c r="AC188" s="199">
        <f>IFERROR(__xludf.DUMMYFUNCTION("""COMPUTED_VALUE"""),2.0)</f>
        <v>2</v>
      </c>
      <c r="AD188" s="199">
        <f>IFERROR(__xludf.DUMMYFUNCTION("""COMPUTED_VALUE"""),0.0)</f>
        <v>0</v>
      </c>
      <c r="AE188" s="199">
        <f>IFERROR(__xludf.DUMMYFUNCTION("""COMPUTED_VALUE"""),17.0)</f>
        <v>17</v>
      </c>
      <c r="AF188" s="199">
        <f>IFERROR(__xludf.DUMMYFUNCTION("""COMPUTED_VALUE"""),2.0)</f>
        <v>2</v>
      </c>
      <c r="AG188" s="199">
        <f>IFERROR(__xludf.DUMMYFUNCTION("""COMPUTED_VALUE"""),413.0)</f>
        <v>413</v>
      </c>
      <c r="AH188" s="199">
        <f>IFERROR(__xludf.DUMMYFUNCTION("""COMPUTED_VALUE"""),8.0)</f>
        <v>8</v>
      </c>
      <c r="AI188" s="200" t="str">
        <f>IFERROR(__xludf.DUMMYFUNCTION("""COMPUTED_VALUE"""),"General Caution")</f>
        <v>General Caution</v>
      </c>
      <c r="AJ188" s="200" t="str">
        <f>IFERROR(__xludf.DUMMYFUNCTION("""COMPUTED_VALUE"""),"Continue monitoring; resample at next scheduled interval")</f>
        <v>Continue monitoring; resample at next scheduled interval</v>
      </c>
      <c r="AK188" s="204"/>
      <c r="AL188" s="204"/>
      <c r="AM188" s="204"/>
    </row>
    <row r="189" hidden="1">
      <c r="A189" s="199" t="str">
        <f>IFERROR(__xludf.DUMMYFUNCTION("""COMPUTED_VALUE"""),"R2.322.FN400(Fr.B)")</f>
        <v>R2.322.FN400(Fr.B)</v>
      </c>
      <c r="B189" s="200" t="str">
        <f>IFERROR(__xludf.DUMMYFUNCTION("""COMPUTED_VALUE"""),"Raw Mill#2 free bearing")</f>
        <v>Raw Mill#2 free bearing</v>
      </c>
      <c r="C189" s="199">
        <f>IFERROR(__xludf.DUMMYFUNCTION("""COMPUTED_VALUE"""),2.4303290243E10)</f>
        <v>24303290243</v>
      </c>
      <c r="D189" s="201">
        <f>IFERROR(__xludf.DUMMYFUNCTION("""COMPUTED_VALUE"""),45589.0)</f>
        <v>45589</v>
      </c>
      <c r="E189" s="202" t="str">
        <f>IFERROR(__xludf.DUMMYFUNCTION("""COMPUTED_VALUE"""),"Normal")</f>
        <v>Normal</v>
      </c>
      <c r="F189" s="202" t="str">
        <f>IFERROR(__xludf.DUMMYFUNCTION("""COMPUTED_VALUE"""),"Normal")</f>
        <v>Normal</v>
      </c>
      <c r="G189" s="203" t="str">
        <f>IFERROR(__xludf.DUMMYFUNCTION("""COMPUTED_VALUE"""),"Normal")</f>
        <v>Normal</v>
      </c>
      <c r="H189" s="203" t="str">
        <f>IFERROR(__xludf.DUMMYFUNCTION("""COMPUTED_VALUE"""),"Normal")</f>
        <v>Normal</v>
      </c>
      <c r="I189" s="199">
        <f>IFERROR(__xludf.DUMMYFUNCTION("""COMPUTED_VALUE"""),6812.0)</f>
        <v>6812</v>
      </c>
      <c r="J189" s="199">
        <f>IFERROR(__xludf.DUMMYFUNCTION("""COMPUTED_VALUE"""),1457.0)</f>
        <v>1457</v>
      </c>
      <c r="K189" s="199">
        <f>IFERROR(__xludf.DUMMYFUNCTION("""COMPUTED_VALUE"""),515.0)</f>
        <v>515</v>
      </c>
      <c r="L189" s="199">
        <f>IFERROR(__xludf.DUMMYFUNCTION("""COMPUTED_VALUE"""),3.0)</f>
        <v>3</v>
      </c>
      <c r="M189" s="199">
        <f>IFERROR(__xludf.DUMMYFUNCTION("""COMPUTED_VALUE"""),66.6)</f>
        <v>66.6</v>
      </c>
      <c r="N189" s="37"/>
      <c r="O189" s="37">
        <f>IFERROR(__xludf.DUMMYFUNCTION("""COMPUTED_VALUE"""),0.0)</f>
        <v>0</v>
      </c>
      <c r="P189" s="199">
        <f>IFERROR(__xludf.DUMMYFUNCTION("""COMPUTED_VALUE"""),0.003)</f>
        <v>0.003</v>
      </c>
      <c r="Q189" s="199">
        <f>IFERROR(__xludf.DUMMYFUNCTION("""COMPUTED_VALUE"""),0.0)</f>
        <v>0</v>
      </c>
      <c r="R189" s="199">
        <f>IFERROR(__xludf.DUMMYFUNCTION("""COMPUTED_VALUE"""),0.0)</f>
        <v>0</v>
      </c>
      <c r="S189" s="199">
        <f>IFERROR(__xludf.DUMMYFUNCTION("""COMPUTED_VALUE"""),2.0)</f>
        <v>2</v>
      </c>
      <c r="T189" s="199">
        <f>IFERROR(__xludf.DUMMYFUNCTION("""COMPUTED_VALUE"""),2.0)</f>
        <v>2</v>
      </c>
      <c r="U189" s="199">
        <f>IFERROR(__xludf.DUMMYFUNCTION("""COMPUTED_VALUE"""),10.0)</f>
        <v>10</v>
      </c>
      <c r="V189" s="199">
        <f>IFERROR(__xludf.DUMMYFUNCTION("""COMPUTED_VALUE"""),0.0)</f>
        <v>0</v>
      </c>
      <c r="W189" s="199">
        <f>IFERROR(__xludf.DUMMYFUNCTION("""COMPUTED_VALUE"""),0.0)</f>
        <v>0</v>
      </c>
      <c r="X189" s="199">
        <f>IFERROR(__xludf.DUMMYFUNCTION("""COMPUTED_VALUE"""),2.0)</f>
        <v>2</v>
      </c>
      <c r="Y189" s="199">
        <f>IFERROR(__xludf.DUMMYFUNCTION("""COMPUTED_VALUE"""),0.0)</f>
        <v>0</v>
      </c>
      <c r="Z189" s="199">
        <f>IFERROR(__xludf.DUMMYFUNCTION("""COMPUTED_VALUE"""),0.0)</f>
        <v>0</v>
      </c>
      <c r="AA189" s="199">
        <f>IFERROR(__xludf.DUMMYFUNCTION("""COMPUTED_VALUE"""),0.0)</f>
        <v>0</v>
      </c>
      <c r="AB189" s="199">
        <f>IFERROR(__xludf.DUMMYFUNCTION("""COMPUTED_VALUE"""),8.0)</f>
        <v>8</v>
      </c>
      <c r="AC189" s="199">
        <f>IFERROR(__xludf.DUMMYFUNCTION("""COMPUTED_VALUE"""),10.0)</f>
        <v>10</v>
      </c>
      <c r="AD189" s="199">
        <f>IFERROR(__xludf.DUMMYFUNCTION("""COMPUTED_VALUE"""),0.0)</f>
        <v>0</v>
      </c>
      <c r="AE189" s="199">
        <f>IFERROR(__xludf.DUMMYFUNCTION("""COMPUTED_VALUE"""),14.0)</f>
        <v>14</v>
      </c>
      <c r="AF189" s="199">
        <f>IFERROR(__xludf.DUMMYFUNCTION("""COMPUTED_VALUE"""),2.0)</f>
        <v>2</v>
      </c>
      <c r="AG189" s="199">
        <f>IFERROR(__xludf.DUMMYFUNCTION("""COMPUTED_VALUE"""),20.0)</f>
        <v>20</v>
      </c>
      <c r="AH189" s="199">
        <f>IFERROR(__xludf.DUMMYFUNCTION("""COMPUTED_VALUE"""),32.0)</f>
        <v>32</v>
      </c>
      <c r="AI189" s="200" t="str">
        <f>IFERROR(__xludf.DUMMYFUNCTION("""COMPUTED_VALUE"""),"Normal - No Action Required")</f>
        <v>Normal - No Action Required</v>
      </c>
      <c r="AJ189" s="200" t="str">
        <f>IFERROR(__xludf.DUMMYFUNCTION("""COMPUTED_VALUE"""),"Continue routine monitoring and sampling schedule")</f>
        <v>Continue routine monitoring and sampling schedule</v>
      </c>
      <c r="AK189" s="204"/>
      <c r="AL189" s="204"/>
      <c r="AM189" s="204"/>
    </row>
    <row r="190" hidden="1">
      <c r="A190" s="199" t="str">
        <f>IFERROR(__xludf.DUMMYFUNCTION("""COMPUTED_VALUE"""),"263.AF010")</f>
        <v>263.AF010</v>
      </c>
      <c r="B190" s="200" t="str">
        <f>IFERROR(__xludf.DUMMYFUNCTION("""COMPUTED_VALUE"""),"Cargo floor hydraulic tank")</f>
        <v>Cargo floor hydraulic tank</v>
      </c>
      <c r="C190" s="199">
        <f>IFERROR(__xludf.DUMMYFUNCTION("""COMPUTED_VALUE"""),2.4343812222E10)</f>
        <v>24343812222</v>
      </c>
      <c r="D190" s="201">
        <f>IFERROR(__xludf.DUMMYFUNCTION("""COMPUTED_VALUE"""),45623.0)</f>
        <v>45623</v>
      </c>
      <c r="E190" s="202" t="str">
        <f>IFERROR(__xludf.DUMMYFUNCTION("""COMPUTED_VALUE"""),"Alert")</f>
        <v>Alert</v>
      </c>
      <c r="F190" s="202" t="str">
        <f>IFERROR(__xludf.DUMMYFUNCTION("""COMPUTED_VALUE"""),"Caution")</f>
        <v>Caution</v>
      </c>
      <c r="G190" s="203" t="str">
        <f>IFERROR(__xludf.DUMMYFUNCTION("""COMPUTED_VALUE"""),"Normal")</f>
        <v>Normal</v>
      </c>
      <c r="H190" s="203" t="str">
        <f>IFERROR(__xludf.DUMMYFUNCTION("""COMPUTED_VALUE"""),"Alert")</f>
        <v>Alert</v>
      </c>
      <c r="I190" s="37"/>
      <c r="J190" s="37"/>
      <c r="K190" s="37"/>
      <c r="L190" s="199">
        <f>IFERROR(__xludf.DUMMYFUNCTION("""COMPUTED_VALUE"""),15.0)</f>
        <v>15</v>
      </c>
      <c r="M190" s="199">
        <f>IFERROR(__xludf.DUMMYFUNCTION("""COMPUTED_VALUE"""),77.2)</f>
        <v>77.2</v>
      </c>
      <c r="N190" s="37"/>
      <c r="O190" s="37">
        <f>IFERROR(__xludf.DUMMYFUNCTION("""COMPUTED_VALUE"""),0.0)</f>
        <v>0</v>
      </c>
      <c r="P190" s="199">
        <f>IFERROR(__xludf.DUMMYFUNCTION("""COMPUTED_VALUE"""),0.02)</f>
        <v>0.02</v>
      </c>
      <c r="Q190" s="199">
        <f>IFERROR(__xludf.DUMMYFUNCTION("""COMPUTED_VALUE"""),0.0)</f>
        <v>0</v>
      </c>
      <c r="R190" s="199">
        <f>IFERROR(__xludf.DUMMYFUNCTION("""COMPUTED_VALUE"""),0.0)</f>
        <v>0</v>
      </c>
      <c r="S190" s="199">
        <f>IFERROR(__xludf.DUMMYFUNCTION("""COMPUTED_VALUE"""),2.0)</f>
        <v>2</v>
      </c>
      <c r="T190" s="199">
        <f>IFERROR(__xludf.DUMMYFUNCTION("""COMPUTED_VALUE"""),0.0)</f>
        <v>0</v>
      </c>
      <c r="U190" s="199">
        <f>IFERROR(__xludf.DUMMYFUNCTION("""COMPUTED_VALUE"""),16.0)</f>
        <v>16</v>
      </c>
      <c r="V190" s="199">
        <f>IFERROR(__xludf.DUMMYFUNCTION("""COMPUTED_VALUE"""),0.0)</f>
        <v>0</v>
      </c>
      <c r="W190" s="199">
        <f>IFERROR(__xludf.DUMMYFUNCTION("""COMPUTED_VALUE"""),0.0)</f>
        <v>0</v>
      </c>
      <c r="X190" s="199">
        <f>IFERROR(__xludf.DUMMYFUNCTION("""COMPUTED_VALUE"""),0.0)</f>
        <v>0</v>
      </c>
      <c r="Y190" s="199">
        <f>IFERROR(__xludf.DUMMYFUNCTION("""COMPUTED_VALUE"""),0.0)</f>
        <v>0</v>
      </c>
      <c r="Z190" s="199">
        <f>IFERROR(__xludf.DUMMYFUNCTION("""COMPUTED_VALUE"""),0.0)</f>
        <v>0</v>
      </c>
      <c r="AA190" s="199">
        <f>IFERROR(__xludf.DUMMYFUNCTION("""COMPUTED_VALUE"""),0.0)</f>
        <v>0</v>
      </c>
      <c r="AB190" s="199">
        <f>IFERROR(__xludf.DUMMYFUNCTION("""COMPUTED_VALUE"""),0.0)</f>
        <v>0</v>
      </c>
      <c r="AC190" s="199">
        <f>IFERROR(__xludf.DUMMYFUNCTION("""COMPUTED_VALUE"""),1.0)</f>
        <v>1</v>
      </c>
      <c r="AD190" s="199">
        <f>IFERROR(__xludf.DUMMYFUNCTION("""COMPUTED_VALUE"""),0.0)</f>
        <v>0</v>
      </c>
      <c r="AE190" s="199">
        <f>IFERROR(__xludf.DUMMYFUNCTION("""COMPUTED_VALUE"""),69.0)</f>
        <v>69</v>
      </c>
      <c r="AF190" s="199">
        <f>IFERROR(__xludf.DUMMYFUNCTION("""COMPUTED_VALUE"""),2.0)</f>
        <v>2</v>
      </c>
      <c r="AG190" s="199">
        <f>IFERROR(__xludf.DUMMYFUNCTION("""COMPUTED_VALUE"""),339.0)</f>
        <v>339</v>
      </c>
      <c r="AH190" s="199">
        <f>IFERROR(__xludf.DUMMYFUNCTION("""COMPUTED_VALUE"""),568.0)</f>
        <v>568</v>
      </c>
      <c r="AI190" s="200" t="str">
        <f>IFERROR(__xludf.DUMMYFUNCTION("""COMPUTED_VALUE"""),"General Alert")</f>
        <v>General Alert</v>
      </c>
      <c r="AJ190" s="200" t="str">
        <f>IFERROR(__xludf.DUMMYFUNCTION("""COMPUTED_VALUE"""),"Investigate root cause; increase sampling frequency to monthly")</f>
        <v>Investigate root cause; increase sampling frequency to monthly</v>
      </c>
      <c r="AK190" s="204"/>
      <c r="AL190" s="204"/>
      <c r="AM190" s="204"/>
    </row>
    <row r="191" hidden="1">
      <c r="A191" s="199" t="str">
        <f>IFERROR(__xludf.DUMMYFUNCTION("""COMPUTED_VALUE"""),"431.HT120(BE)")</f>
        <v>431.HT120(BE)</v>
      </c>
      <c r="B191" s="200" t="str">
        <f>IFERROR(__xludf.DUMMYFUNCTION("""COMPUTED_VALUE"""),"Hydraulic thrust bearing")</f>
        <v>Hydraulic thrust bearing</v>
      </c>
      <c r="C191" s="199">
        <f>IFERROR(__xludf.DUMMYFUNCTION("""COMPUTED_VALUE"""),2.4343812242E10)</f>
        <v>24343812242</v>
      </c>
      <c r="D191" s="201">
        <f>IFERROR(__xludf.DUMMYFUNCTION("""COMPUTED_VALUE"""),45623.0)</f>
        <v>45623</v>
      </c>
      <c r="E191" s="202" t="str">
        <f>IFERROR(__xludf.DUMMYFUNCTION("""COMPUTED_VALUE"""),"Normal")</f>
        <v>Normal</v>
      </c>
      <c r="F191" s="202" t="str">
        <f>IFERROR(__xludf.DUMMYFUNCTION("""COMPUTED_VALUE"""),"Normal")</f>
        <v>Normal</v>
      </c>
      <c r="G191" s="203" t="str">
        <f>IFERROR(__xludf.DUMMYFUNCTION("""COMPUTED_VALUE"""),"Normal")</f>
        <v>Normal</v>
      </c>
      <c r="H191" s="203" t="str">
        <f>IFERROR(__xludf.DUMMYFUNCTION("""COMPUTED_VALUE"""),"Normal")</f>
        <v>Normal</v>
      </c>
      <c r="I191" s="37"/>
      <c r="J191" s="37"/>
      <c r="K191" s="37"/>
      <c r="L191" s="199">
        <f>IFERROR(__xludf.DUMMYFUNCTION("""COMPUTED_VALUE"""),18.0)</f>
        <v>18</v>
      </c>
      <c r="M191" s="199">
        <f>IFERROR(__xludf.DUMMYFUNCTION("""COMPUTED_VALUE"""),77.7)</f>
        <v>77.7</v>
      </c>
      <c r="N191" s="37"/>
      <c r="O191" s="37"/>
      <c r="P191" s="199">
        <f>IFERROR(__xludf.DUMMYFUNCTION("""COMPUTED_VALUE"""),0.03)</f>
        <v>0.03</v>
      </c>
      <c r="Q191" s="199">
        <f>IFERROR(__xludf.DUMMYFUNCTION("""COMPUTED_VALUE"""),0.0)</f>
        <v>0</v>
      </c>
      <c r="R191" s="199">
        <f>IFERROR(__xludf.DUMMYFUNCTION("""COMPUTED_VALUE"""),0.0)</f>
        <v>0</v>
      </c>
      <c r="S191" s="199">
        <f>IFERROR(__xludf.DUMMYFUNCTION("""COMPUTED_VALUE"""),0.0)</f>
        <v>0</v>
      </c>
      <c r="T191" s="199">
        <f>IFERROR(__xludf.DUMMYFUNCTION("""COMPUTED_VALUE"""),0.0)</f>
        <v>0</v>
      </c>
      <c r="U191" s="199">
        <f>IFERROR(__xludf.DUMMYFUNCTION("""COMPUTED_VALUE"""),39.0)</f>
        <v>39</v>
      </c>
      <c r="V191" s="199">
        <f>IFERROR(__xludf.DUMMYFUNCTION("""COMPUTED_VALUE"""),0.0)</f>
        <v>0</v>
      </c>
      <c r="W191" s="199">
        <f>IFERROR(__xludf.DUMMYFUNCTION("""COMPUTED_VALUE"""),0.0)</f>
        <v>0</v>
      </c>
      <c r="X191" s="199">
        <f>IFERROR(__xludf.DUMMYFUNCTION("""COMPUTED_VALUE"""),0.0)</f>
        <v>0</v>
      </c>
      <c r="Y191" s="199">
        <f>IFERROR(__xludf.DUMMYFUNCTION("""COMPUTED_VALUE"""),0.0)</f>
        <v>0</v>
      </c>
      <c r="Z191" s="199">
        <f>IFERROR(__xludf.DUMMYFUNCTION("""COMPUTED_VALUE"""),2.0)</f>
        <v>2</v>
      </c>
      <c r="AA191" s="199">
        <f>IFERROR(__xludf.DUMMYFUNCTION("""COMPUTED_VALUE"""),0.0)</f>
        <v>0</v>
      </c>
      <c r="AB191" s="199">
        <f>IFERROR(__xludf.DUMMYFUNCTION("""COMPUTED_VALUE"""),6.0)</f>
        <v>6</v>
      </c>
      <c r="AC191" s="199">
        <f>IFERROR(__xludf.DUMMYFUNCTION("""COMPUTED_VALUE"""),1.0)</f>
        <v>1</v>
      </c>
      <c r="AD191" s="199">
        <f>IFERROR(__xludf.DUMMYFUNCTION("""COMPUTED_VALUE"""),0.0)</f>
        <v>0</v>
      </c>
      <c r="AE191" s="199">
        <f>IFERROR(__xludf.DUMMYFUNCTION("""COMPUTED_VALUE"""),30.0)</f>
        <v>30</v>
      </c>
      <c r="AF191" s="199">
        <f>IFERROR(__xludf.DUMMYFUNCTION("""COMPUTED_VALUE"""),0.0)</f>
        <v>0</v>
      </c>
      <c r="AG191" s="199">
        <f>IFERROR(__xludf.DUMMYFUNCTION("""COMPUTED_VALUE"""),408.0)</f>
        <v>408</v>
      </c>
      <c r="AH191" s="199">
        <f>IFERROR(__xludf.DUMMYFUNCTION("""COMPUTED_VALUE"""),570.0)</f>
        <v>570</v>
      </c>
      <c r="AI191" s="200" t="str">
        <f>IFERROR(__xludf.DUMMYFUNCTION("""COMPUTED_VALUE"""),"Normal - No Action Required")</f>
        <v>Normal - No Action Required</v>
      </c>
      <c r="AJ191" s="200" t="str">
        <f>IFERROR(__xludf.DUMMYFUNCTION("""COMPUTED_VALUE"""),"Continue routine monitoring and sampling schedule")</f>
        <v>Continue routine monitoring and sampling schedule</v>
      </c>
      <c r="AK191" s="204"/>
      <c r="AL191" s="204"/>
      <c r="AM191" s="204"/>
    </row>
    <row r="192" hidden="1">
      <c r="A192" s="199" t="str">
        <f>IFERROR(__xludf.DUMMYFUNCTION("""COMPUTED_VALUE"""),"321.RF090")</f>
        <v>321.RF090</v>
      </c>
      <c r="B192" s="200" t="str">
        <f>IFERROR(__xludf.DUMMYFUNCTION("""COMPUTED_VALUE"""),"Rotary feeder Gear Box")</f>
        <v>Rotary feeder Gear Box</v>
      </c>
      <c r="C192" s="199">
        <f>IFERROR(__xludf.DUMMYFUNCTION("""COMPUTED_VALUE"""),2.4343812249E10)</f>
        <v>24343812249</v>
      </c>
      <c r="D192" s="201">
        <f>IFERROR(__xludf.DUMMYFUNCTION("""COMPUTED_VALUE"""),45623.0)</f>
        <v>45623</v>
      </c>
      <c r="E192" s="202" t="str">
        <f>IFERROR(__xludf.DUMMYFUNCTION("""COMPUTED_VALUE"""),"Caution")</f>
        <v>Caution</v>
      </c>
      <c r="F192" s="202" t="str">
        <f>IFERROR(__xludf.DUMMYFUNCTION("""COMPUTED_VALUE"""),"Caution")</f>
        <v>Caution</v>
      </c>
      <c r="G192" s="203" t="str">
        <f>IFERROR(__xludf.DUMMYFUNCTION("""COMPUTED_VALUE"""),"Normal")</f>
        <v>Normal</v>
      </c>
      <c r="H192" s="203" t="str">
        <f>IFERROR(__xludf.DUMMYFUNCTION("""COMPUTED_VALUE"""),"Caution")</f>
        <v>Caution</v>
      </c>
      <c r="I192" s="37"/>
      <c r="J192" s="37"/>
      <c r="K192" s="37"/>
      <c r="L192" s="199">
        <f>IFERROR(__xludf.DUMMYFUNCTION("""COMPUTED_VALUE"""),63.0)</f>
        <v>63</v>
      </c>
      <c r="M192" s="199">
        <f>IFERROR(__xludf.DUMMYFUNCTION("""COMPUTED_VALUE"""),81.4)</f>
        <v>81.4</v>
      </c>
      <c r="N192" s="37"/>
      <c r="O192" s="37"/>
      <c r="P192" s="199">
        <f>IFERROR(__xludf.DUMMYFUNCTION("""COMPUTED_VALUE"""),0.05)</f>
        <v>0.05</v>
      </c>
      <c r="Q192" s="199">
        <f>IFERROR(__xludf.DUMMYFUNCTION("""COMPUTED_VALUE"""),0.0)</f>
        <v>0</v>
      </c>
      <c r="R192" s="199">
        <f>IFERROR(__xludf.DUMMYFUNCTION("""COMPUTED_VALUE"""),1.0)</f>
        <v>1</v>
      </c>
      <c r="S192" s="199">
        <f>IFERROR(__xludf.DUMMYFUNCTION("""COMPUTED_VALUE"""),0.0)</f>
        <v>0</v>
      </c>
      <c r="T192" s="199">
        <f>IFERROR(__xludf.DUMMYFUNCTION("""COMPUTED_VALUE"""),0.0)</f>
        <v>0</v>
      </c>
      <c r="U192" s="199">
        <f>IFERROR(__xludf.DUMMYFUNCTION("""COMPUTED_VALUE"""),53.0)</f>
        <v>53</v>
      </c>
      <c r="V192" s="199">
        <f>IFERROR(__xludf.DUMMYFUNCTION("""COMPUTED_VALUE"""),0.0)</f>
        <v>0</v>
      </c>
      <c r="W192" s="199">
        <f>IFERROR(__xludf.DUMMYFUNCTION("""COMPUTED_VALUE"""),0.0)</f>
        <v>0</v>
      </c>
      <c r="X192" s="199">
        <f>IFERROR(__xludf.DUMMYFUNCTION("""COMPUTED_VALUE"""),0.0)</f>
        <v>0</v>
      </c>
      <c r="Y192" s="199">
        <f>IFERROR(__xludf.DUMMYFUNCTION("""COMPUTED_VALUE"""),0.0)</f>
        <v>0</v>
      </c>
      <c r="Z192" s="199">
        <f>IFERROR(__xludf.DUMMYFUNCTION("""COMPUTED_VALUE"""),0.0)</f>
        <v>0</v>
      </c>
      <c r="AA192" s="199">
        <f>IFERROR(__xludf.DUMMYFUNCTION("""COMPUTED_VALUE"""),0.0)</f>
        <v>0</v>
      </c>
      <c r="AB192" s="199">
        <f>IFERROR(__xludf.DUMMYFUNCTION("""COMPUTED_VALUE"""),27.0)</f>
        <v>27</v>
      </c>
      <c r="AC192" s="199">
        <f>IFERROR(__xludf.DUMMYFUNCTION("""COMPUTED_VALUE"""),5.0)</f>
        <v>5</v>
      </c>
      <c r="AD192" s="199">
        <f>IFERROR(__xludf.DUMMYFUNCTION("""COMPUTED_VALUE"""),0.0)</f>
        <v>0</v>
      </c>
      <c r="AE192" s="199">
        <f>IFERROR(__xludf.DUMMYFUNCTION("""COMPUTED_VALUE"""),34.0)</f>
        <v>34</v>
      </c>
      <c r="AF192" s="199">
        <f>IFERROR(__xludf.DUMMYFUNCTION("""COMPUTED_VALUE"""),0.0)</f>
        <v>0</v>
      </c>
      <c r="AG192" s="199">
        <f>IFERROR(__xludf.DUMMYFUNCTION("""COMPUTED_VALUE"""),399.0)</f>
        <v>399</v>
      </c>
      <c r="AH192" s="199">
        <f>IFERROR(__xludf.DUMMYFUNCTION("""COMPUTED_VALUE"""),6.0)</f>
        <v>6</v>
      </c>
      <c r="AI192" s="200" t="str">
        <f>IFERROR(__xludf.DUMMYFUNCTION("""COMPUTED_VALUE"""),"Wear Metal Caution | Contamination Caution")</f>
        <v>Wear Metal Caution | Contamination Caution</v>
      </c>
      <c r="AJ192" s="200" t="str">
        <f>IFERROR(__xludf.DUMMYFUNCTION("""COMPUTED_VALUE"""),"Elevated wear metals - monitor trend; inspect at next opportunity; Lubricant showing degradation - plan oil change within 3 months; Silicon elevated - check air filtration and seals")</f>
        <v>Elevated wear metals - monitor trend; inspect at next opportunity; Lubricant showing degradation - plan oil change within 3 months; Silicon elevated - check air filtration and seals</v>
      </c>
      <c r="AK192" s="204"/>
      <c r="AL192" s="204"/>
      <c r="AM192" s="204"/>
    </row>
    <row r="193" hidden="1">
      <c r="A193" s="199" t="str">
        <f>IFERROR(__xludf.DUMMYFUNCTION("""COMPUTED_VALUE"""),"461.LQ145")</f>
        <v>461.LQ145</v>
      </c>
      <c r="B193" s="200" t="str">
        <f>IFERROR(__xludf.DUMMYFUNCTION("""COMPUTED_VALUE"""),"Coal Mill 1 Gear box")</f>
        <v>Coal Mill 1 Gear box</v>
      </c>
      <c r="C193" s="199">
        <f>IFERROR(__xludf.DUMMYFUNCTION("""COMPUTED_VALUE"""),2.4343812232E10)</f>
        <v>24343812232</v>
      </c>
      <c r="D193" s="201">
        <f>IFERROR(__xludf.DUMMYFUNCTION("""COMPUTED_VALUE"""),45623.0)</f>
        <v>45623</v>
      </c>
      <c r="E193" s="202" t="str">
        <f>IFERROR(__xludf.DUMMYFUNCTION("""COMPUTED_VALUE"""),"Normal")</f>
        <v>Normal</v>
      </c>
      <c r="F193" s="202" t="str">
        <f>IFERROR(__xludf.DUMMYFUNCTION("""COMPUTED_VALUE"""),"Normal")</f>
        <v>Normal</v>
      </c>
      <c r="G193" s="203" t="str">
        <f>IFERROR(__xludf.DUMMYFUNCTION("""COMPUTED_VALUE"""),"Normal")</f>
        <v>Normal</v>
      </c>
      <c r="H193" s="203" t="str">
        <f>IFERROR(__xludf.DUMMYFUNCTION("""COMPUTED_VALUE"""),"Normal")</f>
        <v>Normal</v>
      </c>
      <c r="I193" s="37">
        <f>IFERROR(__xludf.DUMMYFUNCTION("""COMPUTED_VALUE"""),32952.0)</f>
        <v>32952</v>
      </c>
      <c r="J193" s="37">
        <f>IFERROR(__xludf.DUMMYFUNCTION("""COMPUTED_VALUE"""),21349.0)</f>
        <v>21349</v>
      </c>
      <c r="K193" s="37">
        <f>IFERROR(__xludf.DUMMYFUNCTION("""COMPUTED_VALUE"""),14699.0)</f>
        <v>14699</v>
      </c>
      <c r="L193" s="199">
        <f>IFERROR(__xludf.DUMMYFUNCTION("""COMPUTED_VALUE"""),4.0)</f>
        <v>4</v>
      </c>
      <c r="M193" s="199">
        <f>IFERROR(__xludf.DUMMYFUNCTION("""COMPUTED_VALUE"""),300.9)</f>
        <v>300.9</v>
      </c>
      <c r="N193" s="37"/>
      <c r="O193" s="37">
        <f>IFERROR(__xludf.DUMMYFUNCTION("""COMPUTED_VALUE"""),1.0)</f>
        <v>1</v>
      </c>
      <c r="P193" s="199">
        <f>IFERROR(__xludf.DUMMYFUNCTION("""COMPUTED_VALUE"""),0.02)</f>
        <v>0.02</v>
      </c>
      <c r="Q193" s="199">
        <f>IFERROR(__xludf.DUMMYFUNCTION("""COMPUTED_VALUE"""),0.0)</f>
        <v>0</v>
      </c>
      <c r="R193" s="199">
        <f>IFERROR(__xludf.DUMMYFUNCTION("""COMPUTED_VALUE"""),0.0)</f>
        <v>0</v>
      </c>
      <c r="S193" s="199">
        <f>IFERROR(__xludf.DUMMYFUNCTION("""COMPUTED_VALUE"""),0.0)</f>
        <v>0</v>
      </c>
      <c r="T193" s="199">
        <f>IFERROR(__xludf.DUMMYFUNCTION("""COMPUTED_VALUE"""),0.0)</f>
        <v>0</v>
      </c>
      <c r="U193" s="199">
        <f>IFERROR(__xludf.DUMMYFUNCTION("""COMPUTED_VALUE"""),10.0)</f>
        <v>10</v>
      </c>
      <c r="V193" s="199">
        <f>IFERROR(__xludf.DUMMYFUNCTION("""COMPUTED_VALUE"""),0.0)</f>
        <v>0</v>
      </c>
      <c r="W193" s="199">
        <f>IFERROR(__xludf.DUMMYFUNCTION("""COMPUTED_VALUE"""),0.0)</f>
        <v>0</v>
      </c>
      <c r="X193" s="199">
        <f>IFERROR(__xludf.DUMMYFUNCTION("""COMPUTED_VALUE"""),0.0)</f>
        <v>0</v>
      </c>
      <c r="Y193" s="199">
        <f>IFERROR(__xludf.DUMMYFUNCTION("""COMPUTED_VALUE"""),0.0)</f>
        <v>0</v>
      </c>
      <c r="Z193" s="199">
        <f>IFERROR(__xludf.DUMMYFUNCTION("""COMPUTED_VALUE"""),0.0)</f>
        <v>0</v>
      </c>
      <c r="AA193" s="199">
        <f>IFERROR(__xludf.DUMMYFUNCTION("""COMPUTED_VALUE"""),0.0)</f>
        <v>0</v>
      </c>
      <c r="AB193" s="199">
        <f>IFERROR(__xludf.DUMMYFUNCTION("""COMPUTED_VALUE"""),4.0)</f>
        <v>4</v>
      </c>
      <c r="AC193" s="199">
        <f>IFERROR(__xludf.DUMMYFUNCTION("""COMPUTED_VALUE"""),10.0)</f>
        <v>10</v>
      </c>
      <c r="AD193" s="199">
        <f>IFERROR(__xludf.DUMMYFUNCTION("""COMPUTED_VALUE"""),0.0)</f>
        <v>0</v>
      </c>
      <c r="AE193" s="199">
        <f>IFERROR(__xludf.DUMMYFUNCTION("""COMPUTED_VALUE"""),6.0)</f>
        <v>6</v>
      </c>
      <c r="AF193" s="199">
        <f>IFERROR(__xludf.DUMMYFUNCTION("""COMPUTED_VALUE"""),0.0)</f>
        <v>0</v>
      </c>
      <c r="AG193" s="199">
        <f>IFERROR(__xludf.DUMMYFUNCTION("""COMPUTED_VALUE"""),303.0)</f>
        <v>303</v>
      </c>
      <c r="AH193" s="199">
        <f>IFERROR(__xludf.DUMMYFUNCTION("""COMPUTED_VALUE"""),12.0)</f>
        <v>12</v>
      </c>
      <c r="AI193" s="200" t="str">
        <f>IFERROR(__xludf.DUMMYFUNCTION("""COMPUTED_VALUE"""),"Normal - No Action Required")</f>
        <v>Normal - No Action Required</v>
      </c>
      <c r="AJ193" s="200" t="str">
        <f>IFERROR(__xludf.DUMMYFUNCTION("""COMPUTED_VALUE"""),"Continue routine monitoring and sampling schedule")</f>
        <v>Continue routine monitoring and sampling schedule</v>
      </c>
      <c r="AK193" s="204"/>
      <c r="AL193" s="204"/>
      <c r="AM193" s="204"/>
    </row>
    <row r="194" hidden="1">
      <c r="A194" s="199" t="str">
        <f>IFERROR(__xludf.DUMMYFUNCTION("""COMPUTED_VALUE"""),"321.MD152")</f>
        <v>321.MD152</v>
      </c>
      <c r="B194" s="200" t="str">
        <f>IFERROR(__xludf.DUMMYFUNCTION("""COMPUTED_VALUE"""),"Dynamic Separator Gearbox")</f>
        <v>Dynamic Separator Gearbox</v>
      </c>
      <c r="C194" s="199">
        <f>IFERROR(__xludf.DUMMYFUNCTION("""COMPUTED_VALUE"""),2.4343812241E10)</f>
        <v>24343812241</v>
      </c>
      <c r="D194" s="201">
        <f>IFERROR(__xludf.DUMMYFUNCTION("""COMPUTED_VALUE"""),45623.0)</f>
        <v>45623</v>
      </c>
      <c r="E194" s="202" t="str">
        <f>IFERROR(__xludf.DUMMYFUNCTION("""COMPUTED_VALUE"""),"Caution")</f>
        <v>Caution</v>
      </c>
      <c r="F194" s="202" t="str">
        <f>IFERROR(__xludf.DUMMYFUNCTION("""COMPUTED_VALUE"""),"Caution")</f>
        <v>Caution</v>
      </c>
      <c r="G194" s="203" t="str">
        <f>IFERROR(__xludf.DUMMYFUNCTION("""COMPUTED_VALUE"""),"Normal")</f>
        <v>Normal</v>
      </c>
      <c r="H194" s="203" t="str">
        <f>IFERROR(__xludf.DUMMYFUNCTION("""COMPUTED_VALUE"""),"Normal")</f>
        <v>Normal</v>
      </c>
      <c r="I194" s="199"/>
      <c r="J194" s="199"/>
      <c r="K194" s="199"/>
      <c r="L194" s="199">
        <f>IFERROR(__xludf.DUMMYFUNCTION("""COMPUTED_VALUE"""),13.0)</f>
        <v>13</v>
      </c>
      <c r="M194" s="199">
        <f>IFERROR(__xludf.DUMMYFUNCTION("""COMPUTED_VALUE"""),313.1)</f>
        <v>313.1</v>
      </c>
      <c r="N194" s="37"/>
      <c r="O194" s="37"/>
      <c r="P194" s="199">
        <f>IFERROR(__xludf.DUMMYFUNCTION("""COMPUTED_VALUE"""),0.03)</f>
        <v>0.03</v>
      </c>
      <c r="Q194" s="199">
        <f>IFERROR(__xludf.DUMMYFUNCTION("""COMPUTED_VALUE"""),0.0)</f>
        <v>0</v>
      </c>
      <c r="R194" s="199">
        <f>IFERROR(__xludf.DUMMYFUNCTION("""COMPUTED_VALUE"""),0.0)</f>
        <v>0</v>
      </c>
      <c r="S194" s="199">
        <f>IFERROR(__xludf.DUMMYFUNCTION("""COMPUTED_VALUE"""),0.0)</f>
        <v>0</v>
      </c>
      <c r="T194" s="199">
        <f>IFERROR(__xludf.DUMMYFUNCTION("""COMPUTED_VALUE"""),0.0)</f>
        <v>0</v>
      </c>
      <c r="U194" s="199">
        <f>IFERROR(__xludf.DUMMYFUNCTION("""COMPUTED_VALUE"""),10.0)</f>
        <v>10</v>
      </c>
      <c r="V194" s="199">
        <f>IFERROR(__xludf.DUMMYFUNCTION("""COMPUTED_VALUE"""),0.0)</f>
        <v>0</v>
      </c>
      <c r="W194" s="199">
        <f>IFERROR(__xludf.DUMMYFUNCTION("""COMPUTED_VALUE"""),0.0)</f>
        <v>0</v>
      </c>
      <c r="X194" s="199">
        <f>IFERROR(__xludf.DUMMYFUNCTION("""COMPUTED_VALUE"""),0.0)</f>
        <v>0</v>
      </c>
      <c r="Y194" s="199">
        <f>IFERROR(__xludf.DUMMYFUNCTION("""COMPUTED_VALUE"""),0.0)</f>
        <v>0</v>
      </c>
      <c r="Z194" s="199">
        <f>IFERROR(__xludf.DUMMYFUNCTION("""COMPUTED_VALUE"""),0.0)</f>
        <v>0</v>
      </c>
      <c r="AA194" s="199">
        <f>IFERROR(__xludf.DUMMYFUNCTION("""COMPUTED_VALUE"""),0.0)</f>
        <v>0</v>
      </c>
      <c r="AB194" s="199">
        <f>IFERROR(__xludf.DUMMYFUNCTION("""COMPUTED_VALUE"""),17.0)</f>
        <v>17</v>
      </c>
      <c r="AC194" s="199">
        <f>IFERROR(__xludf.DUMMYFUNCTION("""COMPUTED_VALUE"""),0.0)</f>
        <v>0</v>
      </c>
      <c r="AD194" s="199">
        <f>IFERROR(__xludf.DUMMYFUNCTION("""COMPUTED_VALUE"""),2.0)</f>
        <v>2</v>
      </c>
      <c r="AE194" s="199">
        <f>IFERROR(__xludf.DUMMYFUNCTION("""COMPUTED_VALUE"""),23.0)</f>
        <v>23</v>
      </c>
      <c r="AF194" s="199">
        <f>IFERROR(__xludf.DUMMYFUNCTION("""COMPUTED_VALUE"""),2.0)</f>
        <v>2</v>
      </c>
      <c r="AG194" s="199">
        <f>IFERROR(__xludf.DUMMYFUNCTION("""COMPUTED_VALUE"""),468.0)</f>
        <v>468</v>
      </c>
      <c r="AH194" s="199">
        <f>IFERROR(__xludf.DUMMYFUNCTION("""COMPUTED_VALUE"""),49.0)</f>
        <v>49</v>
      </c>
      <c r="AI194" s="200" t="str">
        <f>IFERROR(__xludf.DUMMYFUNCTION("""COMPUTED_VALUE"""),"General Caution")</f>
        <v>General Caution</v>
      </c>
      <c r="AJ194" s="200" t="str">
        <f>IFERROR(__xludf.DUMMYFUNCTION("""COMPUTED_VALUE"""),"Continue monitoring; resample at next scheduled interval")</f>
        <v>Continue monitoring; resample at next scheduled interval</v>
      </c>
      <c r="AK194" s="204"/>
      <c r="AL194" s="204"/>
      <c r="AM194" s="204"/>
    </row>
    <row r="195" hidden="1">
      <c r="A195" s="199" t="str">
        <f>IFERROR(__xludf.DUMMYFUNCTION("""COMPUTED_VALUE"""),"431.HT120")</f>
        <v>431.HT120</v>
      </c>
      <c r="B195" s="200" t="str">
        <f>IFERROR(__xludf.DUMMYFUNCTION("""COMPUTED_VALUE"""),"Kiln Hydraulic thrust circuit")</f>
        <v>Kiln Hydraulic thrust circuit</v>
      </c>
      <c r="C195" s="199">
        <f>IFERROR(__xludf.DUMMYFUNCTION("""COMPUTED_VALUE"""),2.4343812221E10)</f>
        <v>24343812221</v>
      </c>
      <c r="D195" s="201">
        <f>IFERROR(__xludf.DUMMYFUNCTION("""COMPUTED_VALUE"""),45623.0)</f>
        <v>45623</v>
      </c>
      <c r="E195" s="202" t="str">
        <f>IFERROR(__xludf.DUMMYFUNCTION("""COMPUTED_VALUE"""),"Normal")</f>
        <v>Normal</v>
      </c>
      <c r="F195" s="202" t="str">
        <f>IFERROR(__xludf.DUMMYFUNCTION("""COMPUTED_VALUE"""),"Normal")</f>
        <v>Normal</v>
      </c>
      <c r="G195" s="203" t="str">
        <f>IFERROR(__xludf.DUMMYFUNCTION("""COMPUTED_VALUE"""),"Normal")</f>
        <v>Normal</v>
      </c>
      <c r="H195" s="203" t="str">
        <f>IFERROR(__xludf.DUMMYFUNCTION("""COMPUTED_VALUE"""),"Normal")</f>
        <v>Normal</v>
      </c>
      <c r="I195" s="37">
        <f>IFERROR(__xludf.DUMMYFUNCTION("""COMPUTED_VALUE"""),11925.0)</f>
        <v>11925</v>
      </c>
      <c r="J195" s="37">
        <f>IFERROR(__xludf.DUMMYFUNCTION("""COMPUTED_VALUE"""),4791.0)</f>
        <v>4791</v>
      </c>
      <c r="K195" s="37">
        <f>IFERROR(__xludf.DUMMYFUNCTION("""COMPUTED_VALUE"""),1130.0)</f>
        <v>1130</v>
      </c>
      <c r="L195" s="199">
        <f>IFERROR(__xludf.DUMMYFUNCTION("""COMPUTED_VALUE"""),6.0)</f>
        <v>6</v>
      </c>
      <c r="M195" s="199">
        <f>IFERROR(__xludf.DUMMYFUNCTION("""COMPUTED_VALUE"""),45.9)</f>
        <v>45.9</v>
      </c>
      <c r="N195" s="37"/>
      <c r="O195" s="37">
        <f>IFERROR(__xludf.DUMMYFUNCTION("""COMPUTED_VALUE"""),0.0)</f>
        <v>0</v>
      </c>
      <c r="P195" s="199">
        <f>IFERROR(__xludf.DUMMYFUNCTION("""COMPUTED_VALUE"""),0.02)</f>
        <v>0.02</v>
      </c>
      <c r="Q195" s="199">
        <f>IFERROR(__xludf.DUMMYFUNCTION("""COMPUTED_VALUE"""),0.0)</f>
        <v>0</v>
      </c>
      <c r="R195" s="199">
        <f>IFERROR(__xludf.DUMMYFUNCTION("""COMPUTED_VALUE"""),0.0)</f>
        <v>0</v>
      </c>
      <c r="S195" s="199">
        <f>IFERROR(__xludf.DUMMYFUNCTION("""COMPUTED_VALUE"""),0.0)</f>
        <v>0</v>
      </c>
      <c r="T195" s="199">
        <f>IFERROR(__xludf.DUMMYFUNCTION("""COMPUTED_VALUE"""),0.0)</f>
        <v>0</v>
      </c>
      <c r="U195" s="199">
        <f>IFERROR(__xludf.DUMMYFUNCTION("""COMPUTED_VALUE"""),10.0)</f>
        <v>10</v>
      </c>
      <c r="V195" s="199">
        <f>IFERROR(__xludf.DUMMYFUNCTION("""COMPUTED_VALUE"""),0.0)</f>
        <v>0</v>
      </c>
      <c r="W195" s="199">
        <f>IFERROR(__xludf.DUMMYFUNCTION("""COMPUTED_VALUE"""),0.0)</f>
        <v>0</v>
      </c>
      <c r="X195" s="199">
        <f>IFERROR(__xludf.DUMMYFUNCTION("""COMPUTED_VALUE"""),0.0)</f>
        <v>0</v>
      </c>
      <c r="Y195" s="199">
        <f>IFERROR(__xludf.DUMMYFUNCTION("""COMPUTED_VALUE"""),0.0)</f>
        <v>0</v>
      </c>
      <c r="Z195" s="199">
        <f>IFERROR(__xludf.DUMMYFUNCTION("""COMPUTED_VALUE"""),0.0)</f>
        <v>0</v>
      </c>
      <c r="AA195" s="199">
        <f>IFERROR(__xludf.DUMMYFUNCTION("""COMPUTED_VALUE"""),0.0)</f>
        <v>0</v>
      </c>
      <c r="AB195" s="199">
        <f>IFERROR(__xludf.DUMMYFUNCTION("""COMPUTED_VALUE"""),1.0)</f>
        <v>1</v>
      </c>
      <c r="AC195" s="199">
        <f>IFERROR(__xludf.DUMMYFUNCTION("""COMPUTED_VALUE"""),2.0)</f>
        <v>2</v>
      </c>
      <c r="AD195" s="199">
        <f>IFERROR(__xludf.DUMMYFUNCTION("""COMPUTED_VALUE"""),0.0)</f>
        <v>0</v>
      </c>
      <c r="AE195" s="199">
        <f>IFERROR(__xludf.DUMMYFUNCTION("""COMPUTED_VALUE"""),143.0)</f>
        <v>143</v>
      </c>
      <c r="AF195" s="199">
        <f>IFERROR(__xludf.DUMMYFUNCTION("""COMPUTED_VALUE"""),0.0)</f>
        <v>0</v>
      </c>
      <c r="AG195" s="199">
        <f>IFERROR(__xludf.DUMMYFUNCTION("""COMPUTED_VALUE"""),502.0)</f>
        <v>502</v>
      </c>
      <c r="AH195" s="199">
        <f>IFERROR(__xludf.DUMMYFUNCTION("""COMPUTED_VALUE"""),657.0)</f>
        <v>657</v>
      </c>
      <c r="AI195" s="200" t="str">
        <f>IFERROR(__xludf.DUMMYFUNCTION("""COMPUTED_VALUE"""),"Normal - No Action Required")</f>
        <v>Normal - No Action Required</v>
      </c>
      <c r="AJ195" s="200" t="str">
        <f>IFERROR(__xludf.DUMMYFUNCTION("""COMPUTED_VALUE"""),"Continue routine monitoring and sampling schedule")</f>
        <v>Continue routine monitoring and sampling schedule</v>
      </c>
      <c r="AK195" s="204"/>
      <c r="AL195" s="204"/>
      <c r="AM195" s="204"/>
    </row>
    <row r="196" hidden="1">
      <c r="A196" s="199" t="str">
        <f>IFERROR(__xludf.DUMMYFUNCTION("""COMPUTED_VALUE"""),"462.LQ145")</f>
        <v>462.LQ145</v>
      </c>
      <c r="B196" s="200" t="str">
        <f>IFERROR(__xludf.DUMMYFUNCTION("""COMPUTED_VALUE"""),"Coal Mill 2 Gear box")</f>
        <v>Coal Mill 2 Gear box</v>
      </c>
      <c r="C196" s="199">
        <f>IFERROR(__xludf.DUMMYFUNCTION("""COMPUTED_VALUE"""),2.4343812243E10)</f>
        <v>24343812243</v>
      </c>
      <c r="D196" s="201">
        <f>IFERROR(__xludf.DUMMYFUNCTION("""COMPUTED_VALUE"""),45623.0)</f>
        <v>45623</v>
      </c>
      <c r="E196" s="202" t="str">
        <f>IFERROR(__xludf.DUMMYFUNCTION("""COMPUTED_VALUE"""),"Normal")</f>
        <v>Normal</v>
      </c>
      <c r="F196" s="202" t="str">
        <f>IFERROR(__xludf.DUMMYFUNCTION("""COMPUTED_VALUE"""),"Normal")</f>
        <v>Normal</v>
      </c>
      <c r="G196" s="203" t="str">
        <f>IFERROR(__xludf.DUMMYFUNCTION("""COMPUTED_VALUE"""),"Normal")</f>
        <v>Normal</v>
      </c>
      <c r="H196" s="203" t="str">
        <f>IFERROR(__xludf.DUMMYFUNCTION("""COMPUTED_VALUE"""),"Normal")</f>
        <v>Normal</v>
      </c>
      <c r="I196" s="37">
        <f>IFERROR(__xludf.DUMMYFUNCTION("""COMPUTED_VALUE"""),28955.0)</f>
        <v>28955</v>
      </c>
      <c r="J196" s="37">
        <f>IFERROR(__xludf.DUMMYFUNCTION("""COMPUTED_VALUE"""),15637.0)</f>
        <v>15637</v>
      </c>
      <c r="K196" s="37">
        <f>IFERROR(__xludf.DUMMYFUNCTION("""COMPUTED_VALUE"""),8002.0)</f>
        <v>8002</v>
      </c>
      <c r="L196" s="199">
        <f>IFERROR(__xludf.DUMMYFUNCTION("""COMPUTED_VALUE"""),12.0)</f>
        <v>12</v>
      </c>
      <c r="M196" s="199">
        <f>IFERROR(__xludf.DUMMYFUNCTION("""COMPUTED_VALUE"""),284.8)</f>
        <v>284.8</v>
      </c>
      <c r="N196" s="37"/>
      <c r="O196" s="37">
        <f>IFERROR(__xludf.DUMMYFUNCTION("""COMPUTED_VALUE"""),1.0)</f>
        <v>1</v>
      </c>
      <c r="P196" s="199">
        <f>IFERROR(__xludf.DUMMYFUNCTION("""COMPUTED_VALUE"""),0.02)</f>
        <v>0.02</v>
      </c>
      <c r="Q196" s="199">
        <f>IFERROR(__xludf.DUMMYFUNCTION("""COMPUTED_VALUE"""),0.0)</f>
        <v>0</v>
      </c>
      <c r="R196" s="199">
        <f>IFERROR(__xludf.DUMMYFUNCTION("""COMPUTED_VALUE"""),0.0)</f>
        <v>0</v>
      </c>
      <c r="S196" s="199">
        <f>IFERROR(__xludf.DUMMYFUNCTION("""COMPUTED_VALUE"""),0.0)</f>
        <v>0</v>
      </c>
      <c r="T196" s="199">
        <f>IFERROR(__xludf.DUMMYFUNCTION("""COMPUTED_VALUE"""),7.0)</f>
        <v>7</v>
      </c>
      <c r="U196" s="199">
        <f>IFERROR(__xludf.DUMMYFUNCTION("""COMPUTED_VALUE"""),7.0)</f>
        <v>7</v>
      </c>
      <c r="V196" s="199">
        <f>IFERROR(__xludf.DUMMYFUNCTION("""COMPUTED_VALUE"""),0.0)</f>
        <v>0</v>
      </c>
      <c r="W196" s="199">
        <f>IFERROR(__xludf.DUMMYFUNCTION("""COMPUTED_VALUE"""),0.0)</f>
        <v>0</v>
      </c>
      <c r="X196" s="199">
        <f>IFERROR(__xludf.DUMMYFUNCTION("""COMPUTED_VALUE"""),0.0)</f>
        <v>0</v>
      </c>
      <c r="Y196" s="199">
        <f>IFERROR(__xludf.DUMMYFUNCTION("""COMPUTED_VALUE"""),0.0)</f>
        <v>0</v>
      </c>
      <c r="Z196" s="199">
        <f>IFERROR(__xludf.DUMMYFUNCTION("""COMPUTED_VALUE"""),0.0)</f>
        <v>0</v>
      </c>
      <c r="AA196" s="199">
        <f>IFERROR(__xludf.DUMMYFUNCTION("""COMPUTED_VALUE"""),0.0)</f>
        <v>0</v>
      </c>
      <c r="AB196" s="199">
        <f>IFERROR(__xludf.DUMMYFUNCTION("""COMPUTED_VALUE"""),1.0)</f>
        <v>1</v>
      </c>
      <c r="AC196" s="199">
        <f>IFERROR(__xludf.DUMMYFUNCTION("""COMPUTED_VALUE"""),11.0)</f>
        <v>11</v>
      </c>
      <c r="AD196" s="199">
        <f>IFERROR(__xludf.DUMMYFUNCTION("""COMPUTED_VALUE"""),0.0)</f>
        <v>0</v>
      </c>
      <c r="AE196" s="199">
        <f>IFERROR(__xludf.DUMMYFUNCTION("""COMPUTED_VALUE"""),6.0)</f>
        <v>6</v>
      </c>
      <c r="AF196" s="199">
        <f>IFERROR(__xludf.DUMMYFUNCTION("""COMPUTED_VALUE"""),2.0)</f>
        <v>2</v>
      </c>
      <c r="AG196" s="199">
        <f>IFERROR(__xludf.DUMMYFUNCTION("""COMPUTED_VALUE"""),320.0)</f>
        <v>320</v>
      </c>
      <c r="AH196" s="199">
        <f>IFERROR(__xludf.DUMMYFUNCTION("""COMPUTED_VALUE"""),61.0)</f>
        <v>61</v>
      </c>
      <c r="AI196" s="200" t="str">
        <f>IFERROR(__xludf.DUMMYFUNCTION("""COMPUTED_VALUE"""),"Normal - No Action Required")</f>
        <v>Normal - No Action Required</v>
      </c>
      <c r="AJ196" s="200" t="str">
        <f>IFERROR(__xludf.DUMMYFUNCTION("""COMPUTED_VALUE"""),"Continue routine monitoring and sampling schedule")</f>
        <v>Continue routine monitoring and sampling schedule</v>
      </c>
      <c r="AK196" s="204"/>
      <c r="AL196" s="204"/>
      <c r="AM196" s="204"/>
    </row>
    <row r="197" hidden="1">
      <c r="A197" s="199" t="str">
        <f>IFERROR(__xludf.DUMMYFUNCTION("""COMPUTED_VALUE"""),"111.BC330 (L1)")</f>
        <v>111.BC330 (L1)</v>
      </c>
      <c r="B197" s="200" t="str">
        <f>IFERROR(__xludf.DUMMYFUNCTION("""COMPUTED_VALUE"""),"Belt conveyor first left Gearbox")</f>
        <v>Belt conveyor first left Gearbox</v>
      </c>
      <c r="C197" s="199">
        <f>IFERROR(__xludf.DUMMYFUNCTION("""COMPUTED_VALUE"""),2.4343812227E10)</f>
        <v>24343812227</v>
      </c>
      <c r="D197" s="201">
        <f>IFERROR(__xludf.DUMMYFUNCTION("""COMPUTED_VALUE"""),45624.0)</f>
        <v>45624</v>
      </c>
      <c r="E197" s="202" t="str">
        <f>IFERROR(__xludf.DUMMYFUNCTION("""COMPUTED_VALUE"""),"Caution")</f>
        <v>Caution</v>
      </c>
      <c r="F197" s="202" t="str">
        <f>IFERROR(__xludf.DUMMYFUNCTION("""COMPUTED_VALUE"""),"Caution")</f>
        <v>Caution</v>
      </c>
      <c r="G197" s="203" t="str">
        <f>IFERROR(__xludf.DUMMYFUNCTION("""COMPUTED_VALUE"""),"Normal")</f>
        <v>Normal</v>
      </c>
      <c r="H197" s="203" t="str">
        <f>IFERROR(__xludf.DUMMYFUNCTION("""COMPUTED_VALUE"""),"Normal")</f>
        <v>Normal</v>
      </c>
      <c r="I197" s="37">
        <f>IFERROR(__xludf.DUMMYFUNCTION("""COMPUTED_VALUE"""),30291.0)</f>
        <v>30291</v>
      </c>
      <c r="J197" s="37">
        <f>IFERROR(__xludf.DUMMYFUNCTION("""COMPUTED_VALUE"""),20046.0)</f>
        <v>20046</v>
      </c>
      <c r="K197" s="37">
        <f>IFERROR(__xludf.DUMMYFUNCTION("""COMPUTED_VALUE"""),9121.0)</f>
        <v>9121</v>
      </c>
      <c r="L197" s="199">
        <f>IFERROR(__xludf.DUMMYFUNCTION("""COMPUTED_VALUE"""),9.0)</f>
        <v>9</v>
      </c>
      <c r="M197" s="199">
        <f>IFERROR(__xludf.DUMMYFUNCTION("""COMPUTED_VALUE"""),221.6)</f>
        <v>221.6</v>
      </c>
      <c r="N197" s="37"/>
      <c r="O197" s="37"/>
      <c r="P197" s="199">
        <f>IFERROR(__xludf.DUMMYFUNCTION("""COMPUTED_VALUE"""),0.02)</f>
        <v>0.02</v>
      </c>
      <c r="Q197" s="199">
        <f>IFERROR(__xludf.DUMMYFUNCTION("""COMPUTED_VALUE"""),0.0)</f>
        <v>0</v>
      </c>
      <c r="R197" s="199">
        <f>IFERROR(__xludf.DUMMYFUNCTION("""COMPUTED_VALUE"""),0.0)</f>
        <v>0</v>
      </c>
      <c r="S197" s="199">
        <f>IFERROR(__xludf.DUMMYFUNCTION("""COMPUTED_VALUE"""),0.0)</f>
        <v>0</v>
      </c>
      <c r="T197" s="199">
        <f>IFERROR(__xludf.DUMMYFUNCTION("""COMPUTED_VALUE"""),0.0)</f>
        <v>0</v>
      </c>
      <c r="U197" s="199">
        <f>IFERROR(__xludf.DUMMYFUNCTION("""COMPUTED_VALUE"""),13.0)</f>
        <v>13</v>
      </c>
      <c r="V197" s="199">
        <f>IFERROR(__xludf.DUMMYFUNCTION("""COMPUTED_VALUE"""),0.0)</f>
        <v>0</v>
      </c>
      <c r="W197" s="199">
        <f>IFERROR(__xludf.DUMMYFUNCTION("""COMPUTED_VALUE"""),0.0)</f>
        <v>0</v>
      </c>
      <c r="X197" s="199">
        <f>IFERROR(__xludf.DUMMYFUNCTION("""COMPUTED_VALUE"""),0.0)</f>
        <v>0</v>
      </c>
      <c r="Y197" s="199">
        <f>IFERROR(__xludf.DUMMYFUNCTION("""COMPUTED_VALUE"""),0.0)</f>
        <v>0</v>
      </c>
      <c r="Z197" s="199">
        <f>IFERROR(__xludf.DUMMYFUNCTION("""COMPUTED_VALUE"""),0.0)</f>
        <v>0</v>
      </c>
      <c r="AA197" s="199">
        <f>IFERROR(__xludf.DUMMYFUNCTION("""COMPUTED_VALUE"""),0.0)</f>
        <v>0</v>
      </c>
      <c r="AB197" s="199">
        <f>IFERROR(__xludf.DUMMYFUNCTION("""COMPUTED_VALUE"""),22.0)</f>
        <v>22</v>
      </c>
      <c r="AC197" s="199">
        <f>IFERROR(__xludf.DUMMYFUNCTION("""COMPUTED_VALUE"""),4.0)</f>
        <v>4</v>
      </c>
      <c r="AD197" s="199">
        <f>IFERROR(__xludf.DUMMYFUNCTION("""COMPUTED_VALUE"""),0.0)</f>
        <v>0</v>
      </c>
      <c r="AE197" s="199">
        <f>IFERROR(__xludf.DUMMYFUNCTION("""COMPUTED_VALUE"""),21.0)</f>
        <v>21</v>
      </c>
      <c r="AF197" s="199">
        <f>IFERROR(__xludf.DUMMYFUNCTION("""COMPUTED_VALUE"""),0.0)</f>
        <v>0</v>
      </c>
      <c r="AG197" s="199">
        <f>IFERROR(__xludf.DUMMYFUNCTION("""COMPUTED_VALUE"""),421.0)</f>
        <v>421</v>
      </c>
      <c r="AH197" s="199">
        <f>IFERROR(__xludf.DUMMYFUNCTION("""COMPUTED_VALUE"""),5.0)</f>
        <v>5</v>
      </c>
      <c r="AI197" s="200" t="str">
        <f>IFERROR(__xludf.DUMMYFUNCTION("""COMPUTED_VALUE"""),"Caution – Elevated Fe / Monitor")</f>
        <v>Caution – Elevated Fe / Monitor</v>
      </c>
      <c r="AJ197" s="200" t="str">
        <f>IFERROR(__xludf.DUMMYFUNCTION("""COMPUTED_VALUE"""),"Fe 13 ppm and Si 22 ppm elevated. Monitor wear trend. Inspect filtration. Resample within 60 days.")</f>
        <v>Fe 13 ppm and Si 22 ppm elevated. Monitor wear trend. Inspect filtration. Resample within 60 days.</v>
      </c>
      <c r="AK197" s="204"/>
      <c r="AL197" s="204"/>
      <c r="AM197" s="204"/>
    </row>
    <row r="198" hidden="1">
      <c r="A198" s="199" t="str">
        <f>IFERROR(__xludf.DUMMYFUNCTION("""COMPUTED_VALUE"""),"111.BC330 (R2)")</f>
        <v>111.BC330 (R2)</v>
      </c>
      <c r="B198" s="200" t="str">
        <f>IFERROR(__xludf.DUMMYFUNCTION("""COMPUTED_VALUE"""),"Belt conveyor second right Gearbox")</f>
        <v>Belt conveyor second right Gearbox</v>
      </c>
      <c r="C198" s="199">
        <f>IFERROR(__xludf.DUMMYFUNCTION("""COMPUTED_VALUE"""),2.4343812228E10)</f>
        <v>24343812228</v>
      </c>
      <c r="D198" s="201">
        <f>IFERROR(__xludf.DUMMYFUNCTION("""COMPUTED_VALUE"""),45624.0)</f>
        <v>45624</v>
      </c>
      <c r="E198" s="202" t="str">
        <f>IFERROR(__xludf.DUMMYFUNCTION("""COMPUTED_VALUE"""),"Caution")</f>
        <v>Caution</v>
      </c>
      <c r="F198" s="202" t="str">
        <f>IFERROR(__xludf.DUMMYFUNCTION("""COMPUTED_VALUE"""),"Caution")</f>
        <v>Caution</v>
      </c>
      <c r="G198" s="203" t="str">
        <f>IFERROR(__xludf.DUMMYFUNCTION("""COMPUTED_VALUE"""),"Normal")</f>
        <v>Normal</v>
      </c>
      <c r="H198" s="203" t="str">
        <f>IFERROR(__xludf.DUMMYFUNCTION("""COMPUTED_VALUE"""),"Caution")</f>
        <v>Caution</v>
      </c>
      <c r="I198" s="199">
        <f>IFERROR(__xludf.DUMMYFUNCTION("""COMPUTED_VALUE"""),21768.0)</f>
        <v>21768</v>
      </c>
      <c r="J198" s="199">
        <f>IFERROR(__xludf.DUMMYFUNCTION("""COMPUTED_VALUE"""),16024.0)</f>
        <v>16024</v>
      </c>
      <c r="K198" s="199">
        <f>IFERROR(__xludf.DUMMYFUNCTION("""COMPUTED_VALUE"""),5618.0)</f>
        <v>5618</v>
      </c>
      <c r="L198" s="199">
        <f>IFERROR(__xludf.DUMMYFUNCTION("""COMPUTED_VALUE"""),8.0)</f>
        <v>8</v>
      </c>
      <c r="M198" s="199">
        <f>IFERROR(__xludf.DUMMYFUNCTION("""COMPUTED_VALUE"""),189.7)</f>
        <v>189.7</v>
      </c>
      <c r="N198" s="199"/>
      <c r="O198" s="199"/>
      <c r="P198" s="199">
        <f>IFERROR(__xludf.DUMMYFUNCTION("""COMPUTED_VALUE"""),0.02)</f>
        <v>0.02</v>
      </c>
      <c r="Q198" s="199">
        <f>IFERROR(__xludf.DUMMYFUNCTION("""COMPUTED_VALUE"""),0.0)</f>
        <v>0</v>
      </c>
      <c r="R198" s="199">
        <f>IFERROR(__xludf.DUMMYFUNCTION("""COMPUTED_VALUE"""),0.0)</f>
        <v>0</v>
      </c>
      <c r="S198" s="199">
        <f>IFERROR(__xludf.DUMMYFUNCTION("""COMPUTED_VALUE"""),0.0)</f>
        <v>0</v>
      </c>
      <c r="T198" s="199">
        <f>IFERROR(__xludf.DUMMYFUNCTION("""COMPUTED_VALUE"""),0.0)</f>
        <v>0</v>
      </c>
      <c r="U198" s="199">
        <f>IFERROR(__xludf.DUMMYFUNCTION("""COMPUTED_VALUE"""),9.0)</f>
        <v>9</v>
      </c>
      <c r="V198" s="199">
        <f>IFERROR(__xludf.DUMMYFUNCTION("""COMPUTED_VALUE"""),0.0)</f>
        <v>0</v>
      </c>
      <c r="W198" s="199">
        <f>IFERROR(__xludf.DUMMYFUNCTION("""COMPUTED_VALUE"""),0.0)</f>
        <v>0</v>
      </c>
      <c r="X198" s="199">
        <f>IFERROR(__xludf.DUMMYFUNCTION("""COMPUTED_VALUE"""),1.0)</f>
        <v>1</v>
      </c>
      <c r="Y198" s="199">
        <f>IFERROR(__xludf.DUMMYFUNCTION("""COMPUTED_VALUE"""),0.0)</f>
        <v>0</v>
      </c>
      <c r="Z198" s="199">
        <f>IFERROR(__xludf.DUMMYFUNCTION("""COMPUTED_VALUE"""),0.0)</f>
        <v>0</v>
      </c>
      <c r="AA198" s="199">
        <f>IFERROR(__xludf.DUMMYFUNCTION("""COMPUTED_VALUE"""),0.0)</f>
        <v>0</v>
      </c>
      <c r="AB198" s="199">
        <f>IFERROR(__xludf.DUMMYFUNCTION("""COMPUTED_VALUE"""),23.0)</f>
        <v>23</v>
      </c>
      <c r="AC198" s="199">
        <f>IFERROR(__xludf.DUMMYFUNCTION("""COMPUTED_VALUE"""),3.0)</f>
        <v>3</v>
      </c>
      <c r="AD198" s="199">
        <f>IFERROR(__xludf.DUMMYFUNCTION("""COMPUTED_VALUE"""),0.0)</f>
        <v>0</v>
      </c>
      <c r="AE198" s="199">
        <f>IFERROR(__xludf.DUMMYFUNCTION("""COMPUTED_VALUE"""),9.0)</f>
        <v>9</v>
      </c>
      <c r="AF198" s="199">
        <f>IFERROR(__xludf.DUMMYFUNCTION("""COMPUTED_VALUE"""),5.0)</f>
        <v>5</v>
      </c>
      <c r="AG198" s="199">
        <f>IFERROR(__xludf.DUMMYFUNCTION("""COMPUTED_VALUE"""),428.0)</f>
        <v>428</v>
      </c>
      <c r="AH198" s="199">
        <f>IFERROR(__xludf.DUMMYFUNCTION("""COMPUTED_VALUE"""),42.0)</f>
        <v>42</v>
      </c>
      <c r="AI198" s="200" t="str">
        <f>IFERROR(__xludf.DUMMYFUNCTION("""COMPUTED_VALUE"""),"Caution – Low Viscosity / Elevated TAN / Si")</f>
        <v>Caution – Low Viscosity / Elevated TAN / Si</v>
      </c>
      <c r="AJ198" s="200" t="str">
        <f>IFERROR(__xludf.DUMMYFUNCTION("""COMPUTED_VALUE"""),"Viscosity low at 189.7 cSt. TAN 1.50 mg KOH/g. Si 23 ppm. Monitor closely. Verify correct lubricant used for top-ups.")</f>
        <v>Viscosity low at 189.7 cSt. TAN 1.50 mg KOH/g. Si 23 ppm. Monitor closely. Verify correct lubricant used for top-ups.</v>
      </c>
      <c r="AK198" s="204"/>
      <c r="AL198" s="204"/>
      <c r="AM198" s="204"/>
    </row>
    <row r="199" hidden="1">
      <c r="A199" s="199" t="str">
        <f>IFERROR(__xludf.DUMMYFUNCTION("""COMPUTED_VALUE"""),"111.BC330 (R1)")</f>
        <v>111.BC330 (R1)</v>
      </c>
      <c r="B199" s="200" t="str">
        <f>IFERROR(__xludf.DUMMYFUNCTION("""COMPUTED_VALUE"""),"Belt conveyor first right Gearbox")</f>
        <v>Belt conveyor first right Gearbox</v>
      </c>
      <c r="C199" s="199">
        <f>IFERROR(__xludf.DUMMYFUNCTION("""COMPUTED_VALUE"""),2.4343812233E10)</f>
        <v>24343812233</v>
      </c>
      <c r="D199" s="201">
        <f>IFERROR(__xludf.DUMMYFUNCTION("""COMPUTED_VALUE"""),45624.0)</f>
        <v>45624</v>
      </c>
      <c r="E199" s="202" t="str">
        <f>IFERROR(__xludf.DUMMYFUNCTION("""COMPUTED_VALUE"""),"Normal")</f>
        <v>Normal</v>
      </c>
      <c r="F199" s="202" t="str">
        <f>IFERROR(__xludf.DUMMYFUNCTION("""COMPUTED_VALUE"""),"Normal")</f>
        <v>Normal</v>
      </c>
      <c r="G199" s="203" t="str">
        <f>IFERROR(__xludf.DUMMYFUNCTION("""COMPUTED_VALUE"""),"Normal")</f>
        <v>Normal</v>
      </c>
      <c r="H199" s="203" t="str">
        <f>IFERROR(__xludf.DUMMYFUNCTION("""COMPUTED_VALUE"""),"Normal")</f>
        <v>Normal</v>
      </c>
      <c r="I199" s="37">
        <f>IFERROR(__xludf.DUMMYFUNCTION("""COMPUTED_VALUE"""),19356.0)</f>
        <v>19356</v>
      </c>
      <c r="J199" s="37">
        <f>IFERROR(__xludf.DUMMYFUNCTION("""COMPUTED_VALUE"""),11944.0)</f>
        <v>11944</v>
      </c>
      <c r="K199" s="37">
        <f>IFERROR(__xludf.DUMMYFUNCTION("""COMPUTED_VALUE"""),6130.0)</f>
        <v>6130</v>
      </c>
      <c r="L199" s="199">
        <f>IFERROR(__xludf.DUMMYFUNCTION("""COMPUTED_VALUE"""),9.0)</f>
        <v>9</v>
      </c>
      <c r="M199" s="199">
        <f>IFERROR(__xludf.DUMMYFUNCTION("""COMPUTED_VALUE"""),223.6)</f>
        <v>223.6</v>
      </c>
      <c r="N199" s="199"/>
      <c r="O199" s="199"/>
      <c r="P199" s="199">
        <f>IFERROR(__xludf.DUMMYFUNCTION("""COMPUTED_VALUE"""),0.01)</f>
        <v>0.01</v>
      </c>
      <c r="Q199" s="199">
        <f>IFERROR(__xludf.DUMMYFUNCTION("""COMPUTED_VALUE"""),0.0)</f>
        <v>0</v>
      </c>
      <c r="R199" s="199">
        <f>IFERROR(__xludf.DUMMYFUNCTION("""COMPUTED_VALUE"""),0.0)</f>
        <v>0</v>
      </c>
      <c r="S199" s="199">
        <f>IFERROR(__xludf.DUMMYFUNCTION("""COMPUTED_VALUE"""),0.0)</f>
        <v>0</v>
      </c>
      <c r="T199" s="199">
        <f>IFERROR(__xludf.DUMMYFUNCTION("""COMPUTED_VALUE"""),0.0)</f>
        <v>0</v>
      </c>
      <c r="U199" s="199">
        <f>IFERROR(__xludf.DUMMYFUNCTION("""COMPUTED_VALUE"""),1.0)</f>
        <v>1</v>
      </c>
      <c r="V199" s="199">
        <f>IFERROR(__xludf.DUMMYFUNCTION("""COMPUTED_VALUE"""),0.0)</f>
        <v>0</v>
      </c>
      <c r="W199" s="199">
        <f>IFERROR(__xludf.DUMMYFUNCTION("""COMPUTED_VALUE"""),0.0)</f>
        <v>0</v>
      </c>
      <c r="X199" s="199">
        <f>IFERROR(__xludf.DUMMYFUNCTION("""COMPUTED_VALUE"""),0.0)</f>
        <v>0</v>
      </c>
      <c r="Y199" s="199">
        <f>IFERROR(__xludf.DUMMYFUNCTION("""COMPUTED_VALUE"""),0.0)</f>
        <v>0</v>
      </c>
      <c r="Z199" s="199">
        <f>IFERROR(__xludf.DUMMYFUNCTION("""COMPUTED_VALUE"""),0.0)</f>
        <v>0</v>
      </c>
      <c r="AA199" s="199">
        <f>IFERROR(__xludf.DUMMYFUNCTION("""COMPUTED_VALUE"""),0.0)</f>
        <v>0</v>
      </c>
      <c r="AB199" s="199">
        <f>IFERROR(__xludf.DUMMYFUNCTION("""COMPUTED_VALUE"""),10.0)</f>
        <v>10</v>
      </c>
      <c r="AC199" s="199">
        <f>IFERROR(__xludf.DUMMYFUNCTION("""COMPUTED_VALUE"""),4.0)</f>
        <v>4</v>
      </c>
      <c r="AD199" s="199">
        <f>IFERROR(__xludf.DUMMYFUNCTION("""COMPUTED_VALUE"""),0.0)</f>
        <v>0</v>
      </c>
      <c r="AE199" s="199">
        <f>IFERROR(__xludf.DUMMYFUNCTION("""COMPUTED_VALUE"""),1.0)</f>
        <v>1</v>
      </c>
      <c r="AF199" s="199">
        <f>IFERROR(__xludf.DUMMYFUNCTION("""COMPUTED_VALUE"""),0.0)</f>
        <v>0</v>
      </c>
      <c r="AG199" s="199">
        <f>IFERROR(__xludf.DUMMYFUNCTION("""COMPUTED_VALUE"""),470.0)</f>
        <v>470</v>
      </c>
      <c r="AH199" s="199">
        <f>IFERROR(__xludf.DUMMYFUNCTION("""COMPUTED_VALUE"""),4.0)</f>
        <v>4</v>
      </c>
      <c r="AI199" s="200" t="str">
        <f>IFERROR(__xludf.DUMMYFUNCTION("""COMPUTED_VALUE"""),"Normal")</f>
        <v>Normal</v>
      </c>
      <c r="AJ199" s="200" t="str">
        <f>IFERROR(__xludf.DUMMYFUNCTION("""COMPUTED_VALUE"""),"ISO Code 21/21/20. All parameters within acceptable limits. Continue routine monitoring.")</f>
        <v>ISO Code 21/21/20. All parameters within acceptable limits. Continue routine monitoring.</v>
      </c>
      <c r="AK199" s="204"/>
      <c r="AL199" s="204"/>
      <c r="AM199" s="204"/>
    </row>
    <row r="200" hidden="1">
      <c r="A200" s="199" t="str">
        <f>IFERROR(__xludf.DUMMYFUNCTION("""COMPUTED_VALUE"""),"131.ST200.M11")</f>
        <v>131.ST200.M11</v>
      </c>
      <c r="B200" s="200" t="str">
        <f>IFERROR(__xludf.DUMMYFUNCTION("""COMPUTED_VALUE"""),"Stacker Belt gearbox")</f>
        <v>Stacker Belt gearbox</v>
      </c>
      <c r="C200" s="199">
        <f>IFERROR(__xludf.DUMMYFUNCTION("""COMPUTED_VALUE"""),2.4343812245E10)</f>
        <v>24343812245</v>
      </c>
      <c r="D200" s="201">
        <f>IFERROR(__xludf.DUMMYFUNCTION("""COMPUTED_VALUE"""),45624.0)</f>
        <v>45624</v>
      </c>
      <c r="E200" s="202" t="str">
        <f>IFERROR(__xludf.DUMMYFUNCTION("""COMPUTED_VALUE"""),"Alert")</f>
        <v>Alert</v>
      </c>
      <c r="F200" s="202" t="str">
        <f>IFERROR(__xludf.DUMMYFUNCTION("""COMPUTED_VALUE"""),"Alert")</f>
        <v>Alert</v>
      </c>
      <c r="G200" s="203" t="str">
        <f>IFERROR(__xludf.DUMMYFUNCTION("""COMPUTED_VALUE"""),"Alert")</f>
        <v>Alert</v>
      </c>
      <c r="H200" s="203" t="str">
        <f>IFERROR(__xludf.DUMMYFUNCTION("""COMPUTED_VALUE"""),"Alert")</f>
        <v>Alert</v>
      </c>
      <c r="I200" s="37"/>
      <c r="J200" s="37"/>
      <c r="K200" s="37"/>
      <c r="L200" s="199">
        <f>IFERROR(__xludf.DUMMYFUNCTION("""COMPUTED_VALUE"""),257.0)</f>
        <v>257</v>
      </c>
      <c r="M200" s="199">
        <f>IFERROR(__xludf.DUMMYFUNCTION("""COMPUTED_VALUE"""),215.5)</f>
        <v>215.5</v>
      </c>
      <c r="N200" s="199"/>
      <c r="O200" s="199">
        <f>IFERROR(__xludf.DUMMYFUNCTION("""COMPUTED_VALUE"""),4.0)</f>
        <v>4</v>
      </c>
      <c r="P200" s="199">
        <f>IFERROR(__xludf.DUMMYFUNCTION("""COMPUTED_VALUE"""),1.8)</f>
        <v>1.8</v>
      </c>
      <c r="Q200" s="199">
        <f>IFERROR(__xludf.DUMMYFUNCTION("""COMPUTED_VALUE"""),0.0)</f>
        <v>0</v>
      </c>
      <c r="R200" s="199">
        <f>IFERROR(__xludf.DUMMYFUNCTION("""COMPUTED_VALUE"""),16.0)</f>
        <v>16</v>
      </c>
      <c r="S200" s="199">
        <f>IFERROR(__xludf.DUMMYFUNCTION("""COMPUTED_VALUE"""),0.0)</f>
        <v>0</v>
      </c>
      <c r="T200" s="199">
        <f>IFERROR(__xludf.DUMMYFUNCTION("""COMPUTED_VALUE"""),0.0)</f>
        <v>0</v>
      </c>
      <c r="U200" s="199">
        <f>IFERROR(__xludf.DUMMYFUNCTION("""COMPUTED_VALUE"""),960.0)</f>
        <v>960</v>
      </c>
      <c r="V200" s="199">
        <f>IFERROR(__xludf.DUMMYFUNCTION("""COMPUTED_VALUE"""),2.0)</f>
        <v>2</v>
      </c>
      <c r="W200" s="199">
        <f>IFERROR(__xludf.DUMMYFUNCTION("""COMPUTED_VALUE"""),0.0)</f>
        <v>0</v>
      </c>
      <c r="X200" s="199">
        <f>IFERROR(__xludf.DUMMYFUNCTION("""COMPUTED_VALUE"""),0.0)</f>
        <v>0</v>
      </c>
      <c r="Y200" s="199">
        <f>IFERROR(__xludf.DUMMYFUNCTION("""COMPUTED_VALUE"""),0.0)</f>
        <v>0</v>
      </c>
      <c r="Z200" s="199">
        <f>IFERROR(__xludf.DUMMYFUNCTION("""COMPUTED_VALUE"""),0.0)</f>
        <v>0</v>
      </c>
      <c r="AA200" s="199">
        <f>IFERROR(__xludf.DUMMYFUNCTION("""COMPUTED_VALUE"""),0.0)</f>
        <v>0</v>
      </c>
      <c r="AB200" s="199">
        <f>IFERROR(__xludf.DUMMYFUNCTION("""COMPUTED_VALUE"""),81.0)</f>
        <v>81</v>
      </c>
      <c r="AC200" s="199">
        <f>IFERROR(__xludf.DUMMYFUNCTION("""COMPUTED_VALUE"""),11.0)</f>
        <v>11</v>
      </c>
      <c r="AD200" s="199">
        <f>IFERROR(__xludf.DUMMYFUNCTION("""COMPUTED_VALUE"""),0.0)</f>
        <v>0</v>
      </c>
      <c r="AE200" s="199">
        <f>IFERROR(__xludf.DUMMYFUNCTION("""COMPUTED_VALUE"""),294.0)</f>
        <v>294</v>
      </c>
      <c r="AF200" s="199">
        <f>IFERROR(__xludf.DUMMYFUNCTION("""COMPUTED_VALUE"""),5.0)</f>
        <v>5</v>
      </c>
      <c r="AG200" s="199">
        <f>IFERROR(__xludf.DUMMYFUNCTION("""COMPUTED_VALUE"""),343.0)</f>
        <v>343</v>
      </c>
      <c r="AH200" s="199">
        <f>IFERROR(__xludf.DUMMYFUNCTION("""COMPUTED_VALUE"""),28.0)</f>
        <v>28</v>
      </c>
      <c r="AI200" s="200" t="str">
        <f>IFERROR(__xludf.DUMMYFUNCTION("""COMPUTED_VALUE"""),"Wear Metal Alert | Lubricant Degradation | Contamination Alert | Water Ingress | High Particle Count")</f>
        <v>Wear Metal Alert | Lubricant Degradation | Contamination Alert | Water Ingress | High Particle Count</v>
      </c>
      <c r="AJ200" s="200" t="str">
        <f>IFERROR(__xludf.DUMMYFUNCTION("""COMPUTED_VALUE"""),"URGENT: Inspect equipment immediately for wear/damage; Critical wear metals detected - schedule immediate inspection; High wear metals - inspect bearing/gear surfaces; High water contamination - check seals and drain water immediately; Elevated silicon - "&amp;"inspect filters and seals for contamination; Critical particle count - flush system and replace filters")</f>
        <v>URGENT: Inspect equipment immediately for wear/damage; Critical wear metals detected - schedule immediate inspection; High wear metals - inspect bearing/gear surfaces; High water contamination - check seals and drain water immediately; Elevated silicon - inspect filters and seals for contamination; Critical particle count - flush system and replace filters</v>
      </c>
      <c r="AK200" s="204"/>
      <c r="AL200" s="204"/>
      <c r="AM200" s="204"/>
    </row>
    <row r="201" hidden="1">
      <c r="A201" s="199" t="str">
        <f>IFERROR(__xludf.DUMMYFUNCTION("""COMPUTED_VALUE"""),"131.ST200.M12")</f>
        <v>131.ST200.M12</v>
      </c>
      <c r="B201" s="200" t="str">
        <f>IFERROR(__xludf.DUMMYFUNCTION("""COMPUTED_VALUE"""),"Stacker Belt gearbox")</f>
        <v>Stacker Belt gearbox</v>
      </c>
      <c r="C201" s="199">
        <f>IFERROR(__xludf.DUMMYFUNCTION("""COMPUTED_VALUE"""),2.4343812246E10)</f>
        <v>24343812246</v>
      </c>
      <c r="D201" s="201">
        <f>IFERROR(__xludf.DUMMYFUNCTION("""COMPUTED_VALUE"""),45624.0)</f>
        <v>45624</v>
      </c>
      <c r="E201" s="202" t="str">
        <f>IFERROR(__xludf.DUMMYFUNCTION("""COMPUTED_VALUE"""),"Alert")</f>
        <v>Alert</v>
      </c>
      <c r="F201" s="202" t="str">
        <f>IFERROR(__xludf.DUMMYFUNCTION("""COMPUTED_VALUE"""),"Alert")</f>
        <v>Alert</v>
      </c>
      <c r="G201" s="203" t="str">
        <f>IFERROR(__xludf.DUMMYFUNCTION("""COMPUTED_VALUE"""),"Alert")</f>
        <v>Alert</v>
      </c>
      <c r="H201" s="203" t="str">
        <f>IFERROR(__xludf.DUMMYFUNCTION("""COMPUTED_VALUE"""),"Alert")</f>
        <v>Alert</v>
      </c>
      <c r="I201" s="37"/>
      <c r="J201" s="37"/>
      <c r="K201" s="37"/>
      <c r="L201" s="199">
        <f>IFERROR(__xludf.DUMMYFUNCTION("""COMPUTED_VALUE"""),184.0)</f>
        <v>184</v>
      </c>
      <c r="M201" s="199">
        <f>IFERROR(__xludf.DUMMYFUNCTION("""COMPUTED_VALUE"""),206.2)</f>
        <v>206.2</v>
      </c>
      <c r="N201" s="199"/>
      <c r="O201" s="199">
        <f>IFERROR(__xludf.DUMMYFUNCTION("""COMPUTED_VALUE"""),8.0)</f>
        <v>8</v>
      </c>
      <c r="P201" s="199">
        <f>IFERROR(__xludf.DUMMYFUNCTION("""COMPUTED_VALUE"""),0.6)</f>
        <v>0.6</v>
      </c>
      <c r="Q201" s="199">
        <f>IFERROR(__xludf.DUMMYFUNCTION("""COMPUTED_VALUE"""),0.0)</f>
        <v>0</v>
      </c>
      <c r="R201" s="199">
        <f>IFERROR(__xludf.DUMMYFUNCTION("""COMPUTED_VALUE"""),23.0)</f>
        <v>23</v>
      </c>
      <c r="S201" s="199">
        <f>IFERROR(__xludf.DUMMYFUNCTION("""COMPUTED_VALUE"""),1.0)</f>
        <v>1</v>
      </c>
      <c r="T201" s="199">
        <f>IFERROR(__xludf.DUMMYFUNCTION("""COMPUTED_VALUE"""),0.0)</f>
        <v>0</v>
      </c>
      <c r="U201" s="199">
        <f>IFERROR(__xludf.DUMMYFUNCTION("""COMPUTED_VALUE"""),293.0)</f>
        <v>293</v>
      </c>
      <c r="V201" s="199">
        <f>IFERROR(__xludf.DUMMYFUNCTION("""COMPUTED_VALUE"""),0.0)</f>
        <v>0</v>
      </c>
      <c r="W201" s="199">
        <f>IFERROR(__xludf.DUMMYFUNCTION("""COMPUTED_VALUE"""),0.0)</f>
        <v>0</v>
      </c>
      <c r="X201" s="199">
        <f>IFERROR(__xludf.DUMMYFUNCTION("""COMPUTED_VALUE"""),0.0)</f>
        <v>0</v>
      </c>
      <c r="Y201" s="199">
        <f>IFERROR(__xludf.DUMMYFUNCTION("""COMPUTED_VALUE"""),1.0)</f>
        <v>1</v>
      </c>
      <c r="Z201" s="199">
        <f>IFERROR(__xludf.DUMMYFUNCTION("""COMPUTED_VALUE"""),1.0)</f>
        <v>1</v>
      </c>
      <c r="AA201" s="199">
        <f>IFERROR(__xludf.DUMMYFUNCTION("""COMPUTED_VALUE"""),0.0)</f>
        <v>0</v>
      </c>
      <c r="AB201" s="199">
        <f>IFERROR(__xludf.DUMMYFUNCTION("""COMPUTED_VALUE"""),79.0)</f>
        <v>79</v>
      </c>
      <c r="AC201" s="199">
        <f>IFERROR(__xludf.DUMMYFUNCTION("""COMPUTED_VALUE"""),25.0)</f>
        <v>25</v>
      </c>
      <c r="AD201" s="199">
        <f>IFERROR(__xludf.DUMMYFUNCTION("""COMPUTED_VALUE"""),0.0)</f>
        <v>0</v>
      </c>
      <c r="AE201" s="199">
        <f>IFERROR(__xludf.DUMMYFUNCTION("""COMPUTED_VALUE"""),251.0)</f>
        <v>251</v>
      </c>
      <c r="AF201" s="199">
        <f>IFERROR(__xludf.DUMMYFUNCTION("""COMPUTED_VALUE"""),5.0)</f>
        <v>5</v>
      </c>
      <c r="AG201" s="199">
        <f>IFERROR(__xludf.DUMMYFUNCTION("""COMPUTED_VALUE"""),338.0)</f>
        <v>338</v>
      </c>
      <c r="AH201" s="199">
        <f>IFERROR(__xludf.DUMMYFUNCTION("""COMPUTED_VALUE"""),33.0)</f>
        <v>33</v>
      </c>
      <c r="AI201" s="200" t="str">
        <f>IFERROR(__xludf.DUMMYFUNCTION("""COMPUTED_VALUE"""),"Wear Metal Alert | Lubricant Degradation | Contamination Alert | Water Ingress | High Particle Count")</f>
        <v>Wear Metal Alert | Lubricant Degradation | Contamination Alert | Water Ingress | High Particle Count</v>
      </c>
      <c r="AJ201" s="200" t="str">
        <f>IFERROR(__xludf.DUMMYFUNCTION("""COMPUTED_VALUE"""),"URGENT: Inspect equipment immediately for wear/damage; High wear metals - inspect bearing/gear surfaces; High water contamination - check seals and drain water immediately; Severe oxidation - lubricant change required urgently; Elevated silicon - inspect "&amp;"filters and seals for contamination; Critical particle count - flush system and replace filters")</f>
        <v>URGENT: Inspect equipment immediately for wear/damage; High wear metals - inspect bearing/gear surfaces; High water contamination - check seals and drain water immediately; Severe oxidation - lubricant change required urgently; Elevated silicon - inspect filters and seals for contamination; Critical particle count - flush system and replace filters</v>
      </c>
      <c r="AK201" s="204"/>
      <c r="AL201" s="204"/>
      <c r="AM201" s="204"/>
    </row>
    <row r="202" hidden="1">
      <c r="A202" s="199" t="str">
        <f>IFERROR(__xludf.DUMMYFUNCTION("""COMPUTED_VALUE"""),"111.BC330 (L2)")</f>
        <v>111.BC330 (L2)</v>
      </c>
      <c r="B202" s="200" t="str">
        <f>IFERROR(__xludf.DUMMYFUNCTION("""COMPUTED_VALUE"""),"Belt conveyor second left Gearbox")</f>
        <v>Belt conveyor second left Gearbox</v>
      </c>
      <c r="C202" s="199">
        <f>IFERROR(__xludf.DUMMYFUNCTION("""COMPUTED_VALUE"""),2.434381223E10)</f>
        <v>24343812230</v>
      </c>
      <c r="D202" s="201">
        <f>IFERROR(__xludf.DUMMYFUNCTION("""COMPUTED_VALUE"""),45624.0)</f>
        <v>45624</v>
      </c>
      <c r="E202" s="202" t="str">
        <f>IFERROR(__xludf.DUMMYFUNCTION("""COMPUTED_VALUE"""),"Caution")</f>
        <v>Caution</v>
      </c>
      <c r="F202" s="202" t="str">
        <f>IFERROR(__xludf.DUMMYFUNCTION("""COMPUTED_VALUE"""),"Caution")</f>
        <v>Caution</v>
      </c>
      <c r="G202" s="203" t="str">
        <f>IFERROR(__xludf.DUMMYFUNCTION("""COMPUTED_VALUE"""),"Normal")</f>
        <v>Normal</v>
      </c>
      <c r="H202" s="203" t="str">
        <f>IFERROR(__xludf.DUMMYFUNCTION("""COMPUTED_VALUE"""),"Normal")</f>
        <v>Normal</v>
      </c>
      <c r="I202" s="37"/>
      <c r="J202" s="37"/>
      <c r="K202" s="37"/>
      <c r="L202" s="199">
        <f>IFERROR(__xludf.DUMMYFUNCTION("""COMPUTED_VALUE"""),11.0)</f>
        <v>11</v>
      </c>
      <c r="M202" s="199">
        <f>IFERROR(__xludf.DUMMYFUNCTION("""COMPUTED_VALUE"""),221.8)</f>
        <v>221.8</v>
      </c>
      <c r="N202" s="199"/>
      <c r="O202" s="199"/>
      <c r="P202" s="199">
        <f>IFERROR(__xludf.DUMMYFUNCTION("""COMPUTED_VALUE"""),0.05)</f>
        <v>0.05</v>
      </c>
      <c r="Q202" s="199">
        <f>IFERROR(__xludf.DUMMYFUNCTION("""COMPUTED_VALUE"""),0.0)</f>
        <v>0</v>
      </c>
      <c r="R202" s="199">
        <f>IFERROR(__xludf.DUMMYFUNCTION("""COMPUTED_VALUE"""),0.0)</f>
        <v>0</v>
      </c>
      <c r="S202" s="199">
        <f>IFERROR(__xludf.DUMMYFUNCTION("""COMPUTED_VALUE"""),0.0)</f>
        <v>0</v>
      </c>
      <c r="T202" s="199">
        <f>IFERROR(__xludf.DUMMYFUNCTION("""COMPUTED_VALUE"""),0.0)</f>
        <v>0</v>
      </c>
      <c r="U202" s="199">
        <f>IFERROR(__xludf.DUMMYFUNCTION("""COMPUTED_VALUE"""),8.0)</f>
        <v>8</v>
      </c>
      <c r="V202" s="199">
        <f>IFERROR(__xludf.DUMMYFUNCTION("""COMPUTED_VALUE"""),0.0)</f>
        <v>0</v>
      </c>
      <c r="W202" s="199">
        <f>IFERROR(__xludf.DUMMYFUNCTION("""COMPUTED_VALUE"""),0.0)</f>
        <v>0</v>
      </c>
      <c r="X202" s="199">
        <f>IFERROR(__xludf.DUMMYFUNCTION("""COMPUTED_VALUE"""),0.0)</f>
        <v>0</v>
      </c>
      <c r="Y202" s="199">
        <f>IFERROR(__xludf.DUMMYFUNCTION("""COMPUTED_VALUE"""),0.0)</f>
        <v>0</v>
      </c>
      <c r="Z202" s="199">
        <f>IFERROR(__xludf.DUMMYFUNCTION("""COMPUTED_VALUE"""),0.0)</f>
        <v>0</v>
      </c>
      <c r="AA202" s="199">
        <f>IFERROR(__xludf.DUMMYFUNCTION("""COMPUTED_VALUE"""),0.0)</f>
        <v>0</v>
      </c>
      <c r="AB202" s="199">
        <f>IFERROR(__xludf.DUMMYFUNCTION("""COMPUTED_VALUE"""),25.0)</f>
        <v>25</v>
      </c>
      <c r="AC202" s="199">
        <f>IFERROR(__xludf.DUMMYFUNCTION("""COMPUTED_VALUE"""),0.0)</f>
        <v>0</v>
      </c>
      <c r="AD202" s="199">
        <f>IFERROR(__xludf.DUMMYFUNCTION("""COMPUTED_VALUE"""),0.0)</f>
        <v>0</v>
      </c>
      <c r="AE202" s="199">
        <f>IFERROR(__xludf.DUMMYFUNCTION("""COMPUTED_VALUE"""),6.0)</f>
        <v>6</v>
      </c>
      <c r="AF202" s="199">
        <f>IFERROR(__xludf.DUMMYFUNCTION("""COMPUTED_VALUE"""),0.0)</f>
        <v>0</v>
      </c>
      <c r="AG202" s="199">
        <f>IFERROR(__xludf.DUMMYFUNCTION("""COMPUTED_VALUE"""),453.0)</f>
        <v>453</v>
      </c>
      <c r="AH202" s="199">
        <f>IFERROR(__xludf.DUMMYFUNCTION("""COMPUTED_VALUE"""),0.0)</f>
        <v>0</v>
      </c>
      <c r="AI202" s="200" t="str">
        <f>IFERROR(__xludf.DUMMYFUNCTION("""COMPUTED_VALUE"""),"Contamination Caution")</f>
        <v>Contamination Caution</v>
      </c>
      <c r="AJ202" s="200" t="str">
        <f>IFERROR(__xludf.DUMMYFUNCTION("""COMPUTED_VALUE"""),"Silicon elevated - check air filtration and seals")</f>
        <v>Silicon elevated - check air filtration and seals</v>
      </c>
      <c r="AK202" s="204"/>
      <c r="AL202" s="204"/>
      <c r="AM202" s="204"/>
    </row>
    <row r="203" hidden="1">
      <c r="A203" s="199" t="str">
        <f>IFERROR(__xludf.DUMMYFUNCTION("""COMPUTED_VALUE"""),"462.MD152")</f>
        <v>462.MD152</v>
      </c>
      <c r="B203" s="200" t="str">
        <f>IFERROR(__xludf.DUMMYFUNCTION("""COMPUTED_VALUE"""),"Coal Mill 2 Separator Gear box")</f>
        <v>Coal Mill 2 Separator Gear box</v>
      </c>
      <c r="C203" s="199">
        <f>IFERROR(__xludf.DUMMYFUNCTION("""COMPUTED_VALUE"""),2.5049182249E10)</f>
        <v>25049182249</v>
      </c>
      <c r="D203" s="201">
        <f>IFERROR(__xludf.DUMMYFUNCTION("""COMPUTED_VALUE"""),45701.0)</f>
        <v>45701</v>
      </c>
      <c r="E203" s="202" t="str">
        <f>IFERROR(__xludf.DUMMYFUNCTION("""COMPUTED_VALUE"""),"Alert")</f>
        <v>Alert</v>
      </c>
      <c r="F203" s="202" t="str">
        <f>IFERROR(__xludf.DUMMYFUNCTION("""COMPUTED_VALUE"""),"Alert")</f>
        <v>Alert</v>
      </c>
      <c r="G203" s="203" t="str">
        <f>IFERROR(__xludf.DUMMYFUNCTION("""COMPUTED_VALUE"""),"Alert")</f>
        <v>Alert</v>
      </c>
      <c r="H203" s="203" t="str">
        <f>IFERROR(__xludf.DUMMYFUNCTION("""COMPUTED_VALUE"""),"Caution")</f>
        <v>Caution</v>
      </c>
      <c r="I203" s="199"/>
      <c r="J203" s="199"/>
      <c r="K203" s="199"/>
      <c r="L203" s="199">
        <f>IFERROR(__xludf.DUMMYFUNCTION("""COMPUTED_VALUE"""),20.0)</f>
        <v>20</v>
      </c>
      <c r="M203" s="199">
        <f>IFERROR(__xludf.DUMMYFUNCTION("""COMPUTED_VALUE"""),305.6)</f>
        <v>305.6</v>
      </c>
      <c r="N203" s="199"/>
      <c r="O203" s="199"/>
      <c r="P203" s="199">
        <f>IFERROR(__xludf.DUMMYFUNCTION("""COMPUTED_VALUE"""),0.2)</f>
        <v>0.2</v>
      </c>
      <c r="Q203" s="199">
        <f>IFERROR(__xludf.DUMMYFUNCTION("""COMPUTED_VALUE"""),0.0)</f>
        <v>0</v>
      </c>
      <c r="R203" s="199">
        <f>IFERROR(__xludf.DUMMYFUNCTION("""COMPUTED_VALUE"""),9.0)</f>
        <v>9</v>
      </c>
      <c r="S203" s="199">
        <f>IFERROR(__xludf.DUMMYFUNCTION("""COMPUTED_VALUE"""),2.0)</f>
        <v>2</v>
      </c>
      <c r="T203" s="199">
        <f>IFERROR(__xludf.DUMMYFUNCTION("""COMPUTED_VALUE"""),4.0)</f>
        <v>4</v>
      </c>
      <c r="U203" s="199">
        <f>IFERROR(__xludf.DUMMYFUNCTION("""COMPUTED_VALUE"""),77.0)</f>
        <v>77</v>
      </c>
      <c r="V203" s="199">
        <f>IFERROR(__xludf.DUMMYFUNCTION("""COMPUTED_VALUE"""),0.0)</f>
        <v>0</v>
      </c>
      <c r="W203" s="199">
        <f>IFERROR(__xludf.DUMMYFUNCTION("""COMPUTED_VALUE"""),0.0)</f>
        <v>0</v>
      </c>
      <c r="X203" s="199">
        <f>IFERROR(__xludf.DUMMYFUNCTION("""COMPUTED_VALUE"""),3.0)</f>
        <v>3</v>
      </c>
      <c r="Y203" s="199">
        <f>IFERROR(__xludf.DUMMYFUNCTION("""COMPUTED_VALUE"""),2.0)</f>
        <v>2</v>
      </c>
      <c r="Z203" s="199">
        <f>IFERROR(__xludf.DUMMYFUNCTION("""COMPUTED_VALUE"""),2.0)</f>
        <v>2</v>
      </c>
      <c r="AA203" s="199">
        <f>IFERROR(__xludf.DUMMYFUNCTION("""COMPUTED_VALUE"""),0.0)</f>
        <v>0</v>
      </c>
      <c r="AB203" s="199">
        <f>IFERROR(__xludf.DUMMYFUNCTION("""COMPUTED_VALUE"""),118.0)</f>
        <v>118</v>
      </c>
      <c r="AC203" s="199">
        <f>IFERROR(__xludf.DUMMYFUNCTION("""COMPUTED_VALUE"""),16.0)</f>
        <v>16</v>
      </c>
      <c r="AD203" s="199">
        <f>IFERROR(__xludf.DUMMYFUNCTION("""COMPUTED_VALUE"""),0.0)</f>
        <v>0</v>
      </c>
      <c r="AE203" s="199">
        <f>IFERROR(__xludf.DUMMYFUNCTION("""COMPUTED_VALUE"""),44.0)</f>
        <v>44</v>
      </c>
      <c r="AF203" s="199">
        <f>IFERROR(__xludf.DUMMYFUNCTION("""COMPUTED_VALUE"""),5.0)</f>
        <v>5</v>
      </c>
      <c r="AG203" s="199">
        <f>IFERROR(__xludf.DUMMYFUNCTION("""COMPUTED_VALUE"""),369.0)</f>
        <v>369</v>
      </c>
      <c r="AH203" s="199">
        <f>IFERROR(__xludf.DUMMYFUNCTION("""COMPUTED_VALUE"""),70.0)</f>
        <v>70</v>
      </c>
      <c r="AI203" s="200" t="str">
        <f>IFERROR(__xludf.DUMMYFUNCTION("""COMPUTED_VALUE"""),"Critical Si / Water / Critical Fe / Equipment Alert")</f>
        <v>Critical Si / Water / Critical Fe / Equipment Alert</v>
      </c>
      <c r="AJ203" s="200" t="str">
        <f>IFERROR(__xludf.DUMMYFUNCTION("""COMPUTED_VALUE"""),"ACTION REQUIRED – Si 118 ppm (highest – critical abrasive), Fe 77 ppm (severe wear), water 0.200 Vol%. TAN 1.60 mg KOH/g. PQ Index 20. Immediate equipment shutdown and inspection strongly recommended. Change oil after inspection. Replace all filters. Iden"&amp;"tify and eliminate contamination source.")</f>
        <v>ACTION REQUIRED – Si 118 ppm (highest – critical abrasive), Fe 77 ppm (severe wear), water 0.200 Vol%. TAN 1.60 mg KOH/g. PQ Index 20. Immediate equipment shutdown and inspection strongly recommended. Change oil after inspection. Replace all filters. Identify and eliminate contamination source.</v>
      </c>
      <c r="AK203" s="204"/>
      <c r="AL203" s="204"/>
      <c r="AM203" s="204"/>
    </row>
    <row r="204" hidden="1">
      <c r="A204" s="199" t="str">
        <f>IFERROR(__xludf.DUMMYFUNCTION("""COMPUTED_VALUE"""),"441.FN590")</f>
        <v>441.FN590</v>
      </c>
      <c r="B204" s="200" t="str">
        <f>IFERROR(__xludf.DUMMYFUNCTION("""COMPUTED_VALUE"""),"Clinker Cooler filter Fan")</f>
        <v>Clinker Cooler filter Fan</v>
      </c>
      <c r="C204" s="199">
        <f>IFERROR(__xludf.DUMMYFUNCTION("""COMPUTED_VALUE"""),2.5049182244E10)</f>
        <v>25049182244</v>
      </c>
      <c r="D204" s="201">
        <f>IFERROR(__xludf.DUMMYFUNCTION("""COMPUTED_VALUE"""),45701.0)</f>
        <v>45701</v>
      </c>
      <c r="E204" s="202" t="str">
        <f>IFERROR(__xludf.DUMMYFUNCTION("""COMPUTED_VALUE"""),"Caution")</f>
        <v>Caution</v>
      </c>
      <c r="F204" s="202" t="str">
        <f>IFERROR(__xludf.DUMMYFUNCTION("""COMPUTED_VALUE"""),"Caution")</f>
        <v>Caution</v>
      </c>
      <c r="G204" s="203" t="str">
        <f>IFERROR(__xludf.DUMMYFUNCTION("""COMPUTED_VALUE"""),"Normal")</f>
        <v>Normal</v>
      </c>
      <c r="H204" s="203" t="str">
        <f>IFERROR(__xludf.DUMMYFUNCTION("""COMPUTED_VALUE"""),"Normal")</f>
        <v>Normal</v>
      </c>
      <c r="I204" s="37">
        <f>IFERROR(__xludf.DUMMYFUNCTION("""COMPUTED_VALUE"""),23972.0)</f>
        <v>23972</v>
      </c>
      <c r="J204" s="37">
        <f>IFERROR(__xludf.DUMMYFUNCTION("""COMPUTED_VALUE"""),14322.0)</f>
        <v>14322</v>
      </c>
      <c r="K204" s="37">
        <f>IFERROR(__xludf.DUMMYFUNCTION("""COMPUTED_VALUE"""),4817.0)</f>
        <v>4817</v>
      </c>
      <c r="L204" s="199">
        <f>IFERROR(__xludf.DUMMYFUNCTION("""COMPUTED_VALUE"""),7.0)</f>
        <v>7</v>
      </c>
      <c r="M204" s="199">
        <f>IFERROR(__xludf.DUMMYFUNCTION("""COMPUTED_VALUE"""),295.0)</f>
        <v>295</v>
      </c>
      <c r="N204" s="199"/>
      <c r="O204" s="199"/>
      <c r="P204" s="199">
        <f>IFERROR(__xludf.DUMMYFUNCTION("""COMPUTED_VALUE"""),0.05)</f>
        <v>0.05</v>
      </c>
      <c r="Q204" s="199">
        <f>IFERROR(__xludf.DUMMYFUNCTION("""COMPUTED_VALUE"""),0.0)</f>
        <v>0</v>
      </c>
      <c r="R204" s="199">
        <f>IFERROR(__xludf.DUMMYFUNCTION("""COMPUTED_VALUE"""),4.0)</f>
        <v>4</v>
      </c>
      <c r="S204" s="199">
        <f>IFERROR(__xludf.DUMMYFUNCTION("""COMPUTED_VALUE"""),1.0)</f>
        <v>1</v>
      </c>
      <c r="T204" s="199">
        <f>IFERROR(__xludf.DUMMYFUNCTION("""COMPUTED_VALUE"""),3.0)</f>
        <v>3</v>
      </c>
      <c r="U204" s="199">
        <f>IFERROR(__xludf.DUMMYFUNCTION("""COMPUTED_VALUE"""),5.0)</f>
        <v>5</v>
      </c>
      <c r="V204" s="199">
        <f>IFERROR(__xludf.DUMMYFUNCTION("""COMPUTED_VALUE"""),0.0)</f>
        <v>0</v>
      </c>
      <c r="W204" s="199">
        <f>IFERROR(__xludf.DUMMYFUNCTION("""COMPUTED_VALUE"""),0.0)</f>
        <v>0</v>
      </c>
      <c r="X204" s="199">
        <f>IFERROR(__xludf.DUMMYFUNCTION("""COMPUTED_VALUE"""),2.0)</f>
        <v>2</v>
      </c>
      <c r="Y204" s="199">
        <f>IFERROR(__xludf.DUMMYFUNCTION("""COMPUTED_VALUE"""),0.0)</f>
        <v>0</v>
      </c>
      <c r="Z204" s="199">
        <f>IFERROR(__xludf.DUMMYFUNCTION("""COMPUTED_VALUE"""),0.0)</f>
        <v>0</v>
      </c>
      <c r="AA204" s="199">
        <f>IFERROR(__xludf.DUMMYFUNCTION("""COMPUTED_VALUE"""),0.0)</f>
        <v>0</v>
      </c>
      <c r="AB204" s="199">
        <f>IFERROR(__xludf.DUMMYFUNCTION("""COMPUTED_VALUE"""),21.0)</f>
        <v>21</v>
      </c>
      <c r="AC204" s="199">
        <f>IFERROR(__xludf.DUMMYFUNCTION("""COMPUTED_VALUE"""),8.0)</f>
        <v>8</v>
      </c>
      <c r="AD204" s="199">
        <f>IFERROR(__xludf.DUMMYFUNCTION("""COMPUTED_VALUE"""),0.0)</f>
        <v>0</v>
      </c>
      <c r="AE204" s="199">
        <f>IFERROR(__xludf.DUMMYFUNCTION("""COMPUTED_VALUE"""),8.0)</f>
        <v>8</v>
      </c>
      <c r="AF204" s="199">
        <f>IFERROR(__xludf.DUMMYFUNCTION("""COMPUTED_VALUE"""),2.0)</f>
        <v>2</v>
      </c>
      <c r="AG204" s="199">
        <f>IFERROR(__xludf.DUMMYFUNCTION("""COMPUTED_VALUE"""),562.0)</f>
        <v>562</v>
      </c>
      <c r="AH204" s="199">
        <f>IFERROR(__xludf.DUMMYFUNCTION("""COMPUTED_VALUE"""),14.0)</f>
        <v>14</v>
      </c>
      <c r="AI204" s="200" t="str">
        <f>IFERROR(__xludf.DUMMYFUNCTION("""COMPUTED_VALUE"""),"Caution – Elevated Si / Particle Count / Water")</f>
        <v>Caution – Elevated Si / Particle Count / Water</v>
      </c>
      <c r="AJ204" s="200" t="str">
        <f>IFERROR(__xludf.DUMMYFUNCTION("""COMPUTED_VALUE"""),"Si 21 ppm, ISO 22/21/19, particle count 23972 @4µm, water 0.050 Vol%. TAN 1.12 mg KOH/g. Viscosity low at 295.0 cSt. Inspect seals, breathers. Replace filter. Resample within 45 days.")</f>
        <v>Si 21 ppm, ISO 22/21/19, particle count 23972 @4µm, water 0.050 Vol%. TAN 1.12 mg KOH/g. Viscosity low at 295.0 cSt. Inspect seals, breathers. Replace filter. Resample within 45 days.</v>
      </c>
      <c r="AK204" s="204"/>
      <c r="AL204" s="204"/>
      <c r="AM204" s="204"/>
    </row>
    <row r="205" hidden="1">
      <c r="A205" s="199" t="str">
        <f>IFERROR(__xludf.DUMMYFUNCTION("""COMPUTED_VALUE"""),"R2.472.AC100")</f>
        <v>R2.472.AC100</v>
      </c>
      <c r="B205" s="200" t="str">
        <f>IFERROR(__xludf.DUMMYFUNCTION("""COMPUTED_VALUE"""),"Pan Conv. #2 Main drive gearbox")</f>
        <v>Pan Conv. #2 Main drive gearbox</v>
      </c>
      <c r="C205" s="199">
        <f>IFERROR(__xludf.DUMMYFUNCTION("""COMPUTED_VALUE"""),2.5049182207E10)</f>
        <v>25049182207</v>
      </c>
      <c r="D205" s="201">
        <f>IFERROR(__xludf.DUMMYFUNCTION("""COMPUTED_VALUE"""),45701.0)</f>
        <v>45701</v>
      </c>
      <c r="E205" s="202" t="str">
        <f>IFERROR(__xludf.DUMMYFUNCTION("""COMPUTED_VALUE"""),"Caution")</f>
        <v>Caution</v>
      </c>
      <c r="F205" s="202" t="str">
        <f>IFERROR(__xludf.DUMMYFUNCTION("""COMPUTED_VALUE"""),"Caution")</f>
        <v>Caution</v>
      </c>
      <c r="G205" s="203" t="str">
        <f>IFERROR(__xludf.DUMMYFUNCTION("""COMPUTED_VALUE"""),"Normal")</f>
        <v>Normal</v>
      </c>
      <c r="H205" s="203" t="str">
        <f>IFERROR(__xludf.DUMMYFUNCTION("""COMPUTED_VALUE"""),"Normal")</f>
        <v>Normal</v>
      </c>
      <c r="I205" s="37"/>
      <c r="J205" s="37"/>
      <c r="K205" s="37"/>
      <c r="L205" s="199">
        <f>IFERROR(__xludf.DUMMYFUNCTION("""COMPUTED_VALUE"""),6.0)</f>
        <v>6</v>
      </c>
      <c r="M205" s="199">
        <f>IFERROR(__xludf.DUMMYFUNCTION("""COMPUTED_VALUE"""),219.2)</f>
        <v>219.2</v>
      </c>
      <c r="N205" s="199"/>
      <c r="O205" s="199"/>
      <c r="P205" s="199">
        <f>IFERROR(__xludf.DUMMYFUNCTION("""COMPUTED_VALUE"""),0.02)</f>
        <v>0.02</v>
      </c>
      <c r="Q205" s="199">
        <f>IFERROR(__xludf.DUMMYFUNCTION("""COMPUTED_VALUE"""),0.0)</f>
        <v>0</v>
      </c>
      <c r="R205" s="199">
        <f>IFERROR(__xludf.DUMMYFUNCTION("""COMPUTED_VALUE"""),4.0)</f>
        <v>4</v>
      </c>
      <c r="S205" s="199">
        <f>IFERROR(__xludf.DUMMYFUNCTION("""COMPUTED_VALUE"""),1.0)</f>
        <v>1</v>
      </c>
      <c r="T205" s="199">
        <f>IFERROR(__xludf.DUMMYFUNCTION("""COMPUTED_VALUE"""),2.0)</f>
        <v>2</v>
      </c>
      <c r="U205" s="199">
        <f>IFERROR(__xludf.DUMMYFUNCTION("""COMPUTED_VALUE"""),35.0)</f>
        <v>35</v>
      </c>
      <c r="V205" s="199">
        <f>IFERROR(__xludf.DUMMYFUNCTION("""COMPUTED_VALUE"""),0.0)</f>
        <v>0</v>
      </c>
      <c r="W205" s="199">
        <f>IFERROR(__xludf.DUMMYFUNCTION("""COMPUTED_VALUE"""),0.0)</f>
        <v>0</v>
      </c>
      <c r="X205" s="199">
        <f>IFERROR(__xludf.DUMMYFUNCTION("""COMPUTED_VALUE"""),1.0)</f>
        <v>1</v>
      </c>
      <c r="Y205" s="199">
        <f>IFERROR(__xludf.DUMMYFUNCTION("""COMPUTED_VALUE"""),0.0)</f>
        <v>0</v>
      </c>
      <c r="Z205" s="199">
        <f>IFERROR(__xludf.DUMMYFUNCTION("""COMPUTED_VALUE"""),0.0)</f>
        <v>0</v>
      </c>
      <c r="AA205" s="199">
        <f>IFERROR(__xludf.DUMMYFUNCTION("""COMPUTED_VALUE"""),0.0)</f>
        <v>0</v>
      </c>
      <c r="AB205" s="199">
        <f>IFERROR(__xludf.DUMMYFUNCTION("""COMPUTED_VALUE"""),4.0)</f>
        <v>4</v>
      </c>
      <c r="AC205" s="199">
        <f>IFERROR(__xludf.DUMMYFUNCTION("""COMPUTED_VALUE"""),16.0)</f>
        <v>16</v>
      </c>
      <c r="AD205" s="199">
        <f>IFERROR(__xludf.DUMMYFUNCTION("""COMPUTED_VALUE"""),0.0)</f>
        <v>0</v>
      </c>
      <c r="AE205" s="199">
        <f>IFERROR(__xludf.DUMMYFUNCTION("""COMPUTED_VALUE"""),26.0)</f>
        <v>26</v>
      </c>
      <c r="AF205" s="199">
        <f>IFERROR(__xludf.DUMMYFUNCTION("""COMPUTED_VALUE"""),2.0)</f>
        <v>2</v>
      </c>
      <c r="AG205" s="199">
        <f>IFERROR(__xludf.DUMMYFUNCTION("""COMPUTED_VALUE"""),591.0)</f>
        <v>591</v>
      </c>
      <c r="AH205" s="199">
        <f>IFERROR(__xludf.DUMMYFUNCTION("""COMPUTED_VALUE"""),25.0)</f>
        <v>25</v>
      </c>
      <c r="AI205" s="200" t="str">
        <f>IFERROR(__xludf.DUMMYFUNCTION("""COMPUTED_VALUE"""),"General Caution")</f>
        <v>General Caution</v>
      </c>
      <c r="AJ205" s="200" t="str">
        <f>IFERROR(__xludf.DUMMYFUNCTION("""COMPUTED_VALUE"""),"Continue monitoring; resample at next scheduled interval")</f>
        <v>Continue monitoring; resample at next scheduled interval</v>
      </c>
      <c r="AK205" s="204"/>
      <c r="AL205" s="204"/>
      <c r="AM205" s="204"/>
    </row>
    <row r="206" hidden="1">
      <c r="A206" s="199" t="str">
        <f>IFERROR(__xludf.DUMMYFUNCTION("""COMPUTED_VALUE"""),"431.MD140 (N31)")</f>
        <v>431.MD140 (N31)</v>
      </c>
      <c r="B206" s="200" t="str">
        <f>IFERROR(__xludf.DUMMYFUNCTION("""COMPUTED_VALUE"""),"Kiln Main drive gearbox W.S side")</f>
        <v>Kiln Main drive gearbox W.S side</v>
      </c>
      <c r="C206" s="199">
        <f>IFERROR(__xludf.DUMMYFUNCTION("""COMPUTED_VALUE"""),2.504918223E10)</f>
        <v>25049182230</v>
      </c>
      <c r="D206" s="201">
        <f>IFERROR(__xludf.DUMMYFUNCTION("""COMPUTED_VALUE"""),45701.0)</f>
        <v>45701</v>
      </c>
      <c r="E206" s="202" t="str">
        <f>IFERROR(__xludf.DUMMYFUNCTION("""COMPUTED_VALUE"""),"Caution")</f>
        <v>Caution</v>
      </c>
      <c r="F206" s="202" t="str">
        <f>IFERROR(__xludf.DUMMYFUNCTION("""COMPUTED_VALUE"""),"Caution")</f>
        <v>Caution</v>
      </c>
      <c r="G206" s="203" t="str">
        <f>IFERROR(__xludf.DUMMYFUNCTION("""COMPUTED_VALUE"""),"Normal")</f>
        <v>Normal</v>
      </c>
      <c r="H206" s="203" t="str">
        <f>IFERROR(__xludf.DUMMYFUNCTION("""COMPUTED_VALUE"""),"Normal")</f>
        <v>Normal</v>
      </c>
      <c r="I206" s="199">
        <f>IFERROR(__xludf.DUMMYFUNCTION("""COMPUTED_VALUE"""),39625.0)</f>
        <v>39625</v>
      </c>
      <c r="J206" s="199">
        <f>IFERROR(__xludf.DUMMYFUNCTION("""COMPUTED_VALUE"""),29071.0)</f>
        <v>29071</v>
      </c>
      <c r="K206" s="199">
        <f>IFERROR(__xludf.DUMMYFUNCTION("""COMPUTED_VALUE"""),10032.0)</f>
        <v>10032</v>
      </c>
      <c r="L206" s="199">
        <f>IFERROR(__xludf.DUMMYFUNCTION("""COMPUTED_VALUE"""),25.0)</f>
        <v>25</v>
      </c>
      <c r="M206" s="199">
        <f>IFERROR(__xludf.DUMMYFUNCTION("""COMPUTED_VALUE"""),308.8)</f>
        <v>308.8</v>
      </c>
      <c r="N206" s="199"/>
      <c r="O206" s="199">
        <f>IFERROR(__xludf.DUMMYFUNCTION("""COMPUTED_VALUE"""),1.0)</f>
        <v>1</v>
      </c>
      <c r="P206" s="199">
        <f>IFERROR(__xludf.DUMMYFUNCTION("""COMPUTED_VALUE"""),0.05)</f>
        <v>0.05</v>
      </c>
      <c r="Q206" s="199">
        <f>IFERROR(__xludf.DUMMYFUNCTION("""COMPUTED_VALUE"""),0.0)</f>
        <v>0</v>
      </c>
      <c r="R206" s="199">
        <f>IFERROR(__xludf.DUMMYFUNCTION("""COMPUTED_VALUE"""),0.0)</f>
        <v>0</v>
      </c>
      <c r="S206" s="199">
        <f>IFERROR(__xludf.DUMMYFUNCTION("""COMPUTED_VALUE"""),1.0)</f>
        <v>1</v>
      </c>
      <c r="T206" s="199">
        <f>IFERROR(__xludf.DUMMYFUNCTION("""COMPUTED_VALUE"""),3.0)</f>
        <v>3</v>
      </c>
      <c r="U206" s="199">
        <f>IFERROR(__xludf.DUMMYFUNCTION("""COMPUTED_VALUE"""),30.0)</f>
        <v>30</v>
      </c>
      <c r="V206" s="199">
        <f>IFERROR(__xludf.DUMMYFUNCTION("""COMPUTED_VALUE"""),1.0)</f>
        <v>1</v>
      </c>
      <c r="W206" s="199">
        <f>IFERROR(__xludf.DUMMYFUNCTION("""COMPUTED_VALUE"""),0.0)</f>
        <v>0</v>
      </c>
      <c r="X206" s="199">
        <f>IFERROR(__xludf.DUMMYFUNCTION("""COMPUTED_VALUE"""),2.0)</f>
        <v>2</v>
      </c>
      <c r="Y206" s="199">
        <f>IFERROR(__xludf.DUMMYFUNCTION("""COMPUTED_VALUE"""),0.0)</f>
        <v>0</v>
      </c>
      <c r="Z206" s="199">
        <f>IFERROR(__xludf.DUMMYFUNCTION("""COMPUTED_VALUE"""),0.0)</f>
        <v>0</v>
      </c>
      <c r="AA206" s="199">
        <f>IFERROR(__xludf.DUMMYFUNCTION("""COMPUTED_VALUE"""),0.0)</f>
        <v>0</v>
      </c>
      <c r="AB206" s="199">
        <f>IFERROR(__xludf.DUMMYFUNCTION("""COMPUTED_VALUE"""),8.0)</f>
        <v>8</v>
      </c>
      <c r="AC206" s="199">
        <f>IFERROR(__xludf.DUMMYFUNCTION("""COMPUTED_VALUE"""),26.0)</f>
        <v>26</v>
      </c>
      <c r="AD206" s="199">
        <f>IFERROR(__xludf.DUMMYFUNCTION("""COMPUTED_VALUE"""),0.0)</f>
        <v>0</v>
      </c>
      <c r="AE206" s="199">
        <f>IFERROR(__xludf.DUMMYFUNCTION("""COMPUTED_VALUE"""),35.0)</f>
        <v>35</v>
      </c>
      <c r="AF206" s="199">
        <f>IFERROR(__xludf.DUMMYFUNCTION("""COMPUTED_VALUE"""),5.0)</f>
        <v>5</v>
      </c>
      <c r="AG206" s="199">
        <f>IFERROR(__xludf.DUMMYFUNCTION("""COMPUTED_VALUE"""),461.0)</f>
        <v>461</v>
      </c>
      <c r="AH206" s="199">
        <f>IFERROR(__xludf.DUMMYFUNCTION("""COMPUTED_VALUE"""),39.0)</f>
        <v>39</v>
      </c>
      <c r="AI206" s="200" t="str">
        <f>IFERROR(__xludf.DUMMYFUNCTION("""COMPUTED_VALUE"""),"Caution – Elevated Fe / High Particle Count")</f>
        <v>Caution – Elevated Fe / High Particle Count</v>
      </c>
      <c r="AJ206" s="200" t="str">
        <f>IFERROR(__xludf.DUMMYFUNCTION("""COMPUTED_VALUE"""),"Fe 30 ppm, ISO 22/22/21. Particle count 39625 @4µm. Oxidation 1 Ab/cm. Water 0.050 Vol%. Monitor trend. Inspect filtration. Resample within 45 days.")</f>
        <v>Fe 30 ppm, ISO 22/22/21. Particle count 39625 @4µm. Oxidation 1 Ab/cm. Water 0.050 Vol%. Monitor trend. Inspect filtration. Resample within 45 days.</v>
      </c>
      <c r="AK206" s="204"/>
      <c r="AL206" s="204"/>
      <c r="AM206" s="204"/>
    </row>
    <row r="207" hidden="1">
      <c r="A207" s="199" t="str">
        <f>IFERROR(__xludf.DUMMYFUNCTION("""COMPUTED_VALUE"""),"R2.442.FN590")</f>
        <v>R2.442.FN590</v>
      </c>
      <c r="B207" s="200" t="str">
        <f>IFERROR(__xludf.DUMMYFUNCTION("""COMPUTED_VALUE"""),"Clinker Cooler #2 filter Fan")</f>
        <v>Clinker Cooler #2 filter Fan</v>
      </c>
      <c r="C207" s="199">
        <f>IFERROR(__xludf.DUMMYFUNCTION("""COMPUTED_VALUE"""),2.5049182221E10)</f>
        <v>25049182221</v>
      </c>
      <c r="D207" s="201">
        <f>IFERROR(__xludf.DUMMYFUNCTION("""COMPUTED_VALUE"""),45701.0)</f>
        <v>45701</v>
      </c>
      <c r="E207" s="202" t="str">
        <f>IFERROR(__xludf.DUMMYFUNCTION("""COMPUTED_VALUE"""),"Caution")</f>
        <v>Caution</v>
      </c>
      <c r="F207" s="202" t="str">
        <f>IFERROR(__xludf.DUMMYFUNCTION("""COMPUTED_VALUE"""),"Caution")</f>
        <v>Caution</v>
      </c>
      <c r="G207" s="203" t="str">
        <f>IFERROR(__xludf.DUMMYFUNCTION("""COMPUTED_VALUE"""),"Normal")</f>
        <v>Normal</v>
      </c>
      <c r="H207" s="203" t="str">
        <f>IFERROR(__xludf.DUMMYFUNCTION("""COMPUTED_VALUE"""),"Caution")</f>
        <v>Caution</v>
      </c>
      <c r="I207" s="199">
        <f>IFERROR(__xludf.DUMMYFUNCTION("""COMPUTED_VALUE"""),31975.0)</f>
        <v>31975</v>
      </c>
      <c r="J207" s="199">
        <f>IFERROR(__xludf.DUMMYFUNCTION("""COMPUTED_VALUE"""),21100.0)</f>
        <v>21100</v>
      </c>
      <c r="K207" s="199">
        <f>IFERROR(__xludf.DUMMYFUNCTION("""COMPUTED_VALUE"""),9609.0)</f>
        <v>9609</v>
      </c>
      <c r="L207" s="199">
        <f>IFERROR(__xludf.DUMMYFUNCTION("""COMPUTED_VALUE"""),11.0)</f>
        <v>11</v>
      </c>
      <c r="M207" s="199">
        <f>IFERROR(__xludf.DUMMYFUNCTION("""COMPUTED_VALUE"""),281.0)</f>
        <v>281</v>
      </c>
      <c r="N207" s="199"/>
      <c r="O207" s="199">
        <f>IFERROR(__xludf.DUMMYFUNCTION("""COMPUTED_VALUE"""),0.0)</f>
        <v>0</v>
      </c>
      <c r="P207" s="199">
        <f>IFERROR(__xludf.DUMMYFUNCTION("""COMPUTED_VALUE"""),0.05)</f>
        <v>0.05</v>
      </c>
      <c r="Q207" s="199">
        <f>IFERROR(__xludf.DUMMYFUNCTION("""COMPUTED_VALUE"""),0.0)</f>
        <v>0</v>
      </c>
      <c r="R207" s="199">
        <f>IFERROR(__xludf.DUMMYFUNCTION("""COMPUTED_VALUE"""),11.0)</f>
        <v>11</v>
      </c>
      <c r="S207" s="199">
        <f>IFERROR(__xludf.DUMMYFUNCTION("""COMPUTED_VALUE"""),1.0)</f>
        <v>1</v>
      </c>
      <c r="T207" s="199">
        <f>IFERROR(__xludf.DUMMYFUNCTION("""COMPUTED_VALUE"""),3.0)</f>
        <v>3</v>
      </c>
      <c r="U207" s="199">
        <f>IFERROR(__xludf.DUMMYFUNCTION("""COMPUTED_VALUE"""),4.0)</f>
        <v>4</v>
      </c>
      <c r="V207" s="199">
        <f>IFERROR(__xludf.DUMMYFUNCTION("""COMPUTED_VALUE"""),0.0)</f>
        <v>0</v>
      </c>
      <c r="W207" s="199">
        <f>IFERROR(__xludf.DUMMYFUNCTION("""COMPUTED_VALUE"""),0.0)</f>
        <v>0</v>
      </c>
      <c r="X207" s="199">
        <f>IFERROR(__xludf.DUMMYFUNCTION("""COMPUTED_VALUE"""),1.0)</f>
        <v>1</v>
      </c>
      <c r="Y207" s="199">
        <f>IFERROR(__xludf.DUMMYFUNCTION("""COMPUTED_VALUE"""),0.0)</f>
        <v>0</v>
      </c>
      <c r="Z207" s="199">
        <f>IFERROR(__xludf.DUMMYFUNCTION("""COMPUTED_VALUE"""),0.0)</f>
        <v>0</v>
      </c>
      <c r="AA207" s="199">
        <f>IFERROR(__xludf.DUMMYFUNCTION("""COMPUTED_VALUE"""),0.0)</f>
        <v>0</v>
      </c>
      <c r="AB207" s="199">
        <f>IFERROR(__xludf.DUMMYFUNCTION("""COMPUTED_VALUE"""),21.0)</f>
        <v>21</v>
      </c>
      <c r="AC207" s="199">
        <f>IFERROR(__xludf.DUMMYFUNCTION("""COMPUTED_VALUE"""),7.0)</f>
        <v>7</v>
      </c>
      <c r="AD207" s="199">
        <f>IFERROR(__xludf.DUMMYFUNCTION("""COMPUTED_VALUE"""),0.0)</f>
        <v>0</v>
      </c>
      <c r="AE207" s="199">
        <f>IFERROR(__xludf.DUMMYFUNCTION("""COMPUTED_VALUE"""),14.0)</f>
        <v>14</v>
      </c>
      <c r="AF207" s="199">
        <f>IFERROR(__xludf.DUMMYFUNCTION("""COMPUTED_VALUE"""),2.0)</f>
        <v>2</v>
      </c>
      <c r="AG207" s="199">
        <f>IFERROR(__xludf.DUMMYFUNCTION("""COMPUTED_VALUE"""),509.0)</f>
        <v>509</v>
      </c>
      <c r="AH207" s="199">
        <f>IFERROR(__xludf.DUMMYFUNCTION("""COMPUTED_VALUE"""),12.0)</f>
        <v>12</v>
      </c>
      <c r="AI207" s="200" t="str">
        <f>IFERROR(__xludf.DUMMYFUNCTION("""COMPUTED_VALUE"""),"Contamination Caution")</f>
        <v>Contamination Caution</v>
      </c>
      <c r="AJ207" s="200" t="str">
        <f>IFERROR(__xludf.DUMMYFUNCTION("""COMPUTED_VALUE"""),"Lubricant degradation - plan oil change within 3 months; Silicon elevated - check air filtration and seals")</f>
        <v>Lubricant degradation - plan oil change within 3 months; Silicon elevated - check air filtration and seals</v>
      </c>
      <c r="AK207" s="204"/>
      <c r="AL207" s="204"/>
      <c r="AM207" s="204"/>
    </row>
    <row r="208" hidden="1">
      <c r="A208" s="199" t="str">
        <f>IFERROR(__xludf.DUMMYFUNCTION("""COMPUTED_VALUE"""),"431.MD140 (N32)")</f>
        <v>431.MD140 (N32)</v>
      </c>
      <c r="B208" s="200" t="str">
        <f>IFERROR(__xludf.DUMMYFUNCTION("""COMPUTED_VALUE"""),"Kiln Main drive gearbox CCR side")</f>
        <v>Kiln Main drive gearbox CCR side</v>
      </c>
      <c r="C208" s="199">
        <f>IFERROR(__xludf.DUMMYFUNCTION("""COMPUTED_VALUE"""),2.5049182223E10)</f>
        <v>25049182223</v>
      </c>
      <c r="D208" s="201">
        <f>IFERROR(__xludf.DUMMYFUNCTION("""COMPUTED_VALUE"""),45701.0)</f>
        <v>45701</v>
      </c>
      <c r="E208" s="202" t="str">
        <f>IFERROR(__xludf.DUMMYFUNCTION("""COMPUTED_VALUE"""),"Caution")</f>
        <v>Caution</v>
      </c>
      <c r="F208" s="202" t="str">
        <f>IFERROR(__xludf.DUMMYFUNCTION("""COMPUTED_VALUE"""),"Caution")</f>
        <v>Caution</v>
      </c>
      <c r="G208" s="203" t="str">
        <f>IFERROR(__xludf.DUMMYFUNCTION("""COMPUTED_VALUE"""),"Normal")</f>
        <v>Normal</v>
      </c>
      <c r="H208" s="203" t="str">
        <f>IFERROR(__xludf.DUMMYFUNCTION("""COMPUTED_VALUE"""),"Normal")</f>
        <v>Normal</v>
      </c>
      <c r="I208" s="37"/>
      <c r="J208" s="37"/>
      <c r="K208" s="37"/>
      <c r="L208" s="199">
        <f>IFERROR(__xludf.DUMMYFUNCTION("""COMPUTED_VALUE"""),25.0)</f>
        <v>25</v>
      </c>
      <c r="M208" s="199">
        <f>IFERROR(__xludf.DUMMYFUNCTION("""COMPUTED_VALUE"""),306.8)</f>
        <v>306.8</v>
      </c>
      <c r="N208" s="199"/>
      <c r="O208" s="199">
        <f>IFERROR(__xludf.DUMMYFUNCTION("""COMPUTED_VALUE"""),1.0)</f>
        <v>1</v>
      </c>
      <c r="P208" s="199">
        <f>IFERROR(__xludf.DUMMYFUNCTION("""COMPUTED_VALUE"""),0.04)</f>
        <v>0.04</v>
      </c>
      <c r="Q208" s="199">
        <f>IFERROR(__xludf.DUMMYFUNCTION("""COMPUTED_VALUE"""),0.0)</f>
        <v>0</v>
      </c>
      <c r="R208" s="199">
        <f>IFERROR(__xludf.DUMMYFUNCTION("""COMPUTED_VALUE"""),0.0)</f>
        <v>0</v>
      </c>
      <c r="S208" s="199">
        <f>IFERROR(__xludf.DUMMYFUNCTION("""COMPUTED_VALUE"""),2.0)</f>
        <v>2</v>
      </c>
      <c r="T208" s="199">
        <f>IFERROR(__xludf.DUMMYFUNCTION("""COMPUTED_VALUE"""),6.0)</f>
        <v>6</v>
      </c>
      <c r="U208" s="199">
        <f>IFERROR(__xludf.DUMMYFUNCTION("""COMPUTED_VALUE"""),85.0)</f>
        <v>85</v>
      </c>
      <c r="V208" s="199">
        <f>IFERROR(__xludf.DUMMYFUNCTION("""COMPUTED_VALUE"""),5.0)</f>
        <v>5</v>
      </c>
      <c r="W208" s="199">
        <f>IFERROR(__xludf.DUMMYFUNCTION("""COMPUTED_VALUE"""),0.0)</f>
        <v>0</v>
      </c>
      <c r="X208" s="199">
        <f>IFERROR(__xludf.DUMMYFUNCTION("""COMPUTED_VALUE"""),2.0)</f>
        <v>2</v>
      </c>
      <c r="Y208" s="199">
        <f>IFERROR(__xludf.DUMMYFUNCTION("""COMPUTED_VALUE"""),1.0)</f>
        <v>1</v>
      </c>
      <c r="Z208" s="199">
        <f>IFERROR(__xludf.DUMMYFUNCTION("""COMPUTED_VALUE"""),2.0)</f>
        <v>2</v>
      </c>
      <c r="AA208" s="199">
        <f>IFERROR(__xludf.DUMMYFUNCTION("""COMPUTED_VALUE"""),0.0)</f>
        <v>0</v>
      </c>
      <c r="AB208" s="199">
        <f>IFERROR(__xludf.DUMMYFUNCTION("""COMPUTED_VALUE"""),54.0)</f>
        <v>54</v>
      </c>
      <c r="AC208" s="199">
        <f>IFERROR(__xludf.DUMMYFUNCTION("""COMPUTED_VALUE"""),14.0)</f>
        <v>14</v>
      </c>
      <c r="AD208" s="199">
        <f>IFERROR(__xludf.DUMMYFUNCTION("""COMPUTED_VALUE"""),0.0)</f>
        <v>0</v>
      </c>
      <c r="AE208" s="199">
        <f>IFERROR(__xludf.DUMMYFUNCTION("""COMPUTED_VALUE"""),146.0)</f>
        <v>146</v>
      </c>
      <c r="AF208" s="199">
        <f>IFERROR(__xludf.DUMMYFUNCTION("""COMPUTED_VALUE"""),3.0)</f>
        <v>3</v>
      </c>
      <c r="AG208" s="199">
        <f>IFERROR(__xludf.DUMMYFUNCTION("""COMPUTED_VALUE"""),461.0)</f>
        <v>461</v>
      </c>
      <c r="AH208" s="199">
        <f>IFERROR(__xludf.DUMMYFUNCTION("""COMPUTED_VALUE"""),18.0)</f>
        <v>18</v>
      </c>
      <c r="AI208" s="200" t="str">
        <f>IFERROR(__xludf.DUMMYFUNCTION("""COMPUTED_VALUE"""),"Alert – Excessive Water / Elevated Fe / Unsatisfactory Oil / Particle Count Not Reported")</f>
        <v>Alert – Excessive Water / Elevated Fe / Unsatisfactory Oil / Particle Count Not Reported</v>
      </c>
      <c r="AJ208" s="200" t="str">
        <f>IFERROR(__xludf.DUMMYFUNCTION("""COMPUTED_VALUE"""),"ACTION REQUIRED – Water 0.100 Vol% (persistent – chronic issue), Fe 51 ppm (elevated), PQ Index 39. Al 6 ppm, Si 11 ppm. Visible sediment – particle count not completed. Oil condition unsatisfactory. Determine water source (chronic seal failure). Change o"&amp;"il and replace filters immediately. Thorough equipment inspection required. Contact ExxonMobil representative urgently.")</f>
        <v>ACTION REQUIRED – Water 0.100 Vol% (persistent – chronic issue), Fe 51 ppm (elevated), PQ Index 39. Al 6 ppm, Si 11 ppm. Visible sediment – particle count not completed. Oil condition unsatisfactory. Determine water source (chronic seal failure). Change oil and replace filters immediately. Thorough equipment inspection required. Contact ExxonMobil representative urgently.</v>
      </c>
      <c r="AK208" s="204"/>
      <c r="AL208" s="204"/>
      <c r="AM208" s="204"/>
    </row>
    <row r="209" hidden="1">
      <c r="A209" s="199" t="str">
        <f>IFERROR(__xludf.DUMMYFUNCTION("""COMPUTED_VALUE"""),"123.BC100")</f>
        <v>123.BC100</v>
      </c>
      <c r="B209" s="200" t="str">
        <f>IFERROR(__xludf.DUMMYFUNCTION("""COMPUTED_VALUE"""),"Belt conveyor Gearbox")</f>
        <v>Belt conveyor Gearbox</v>
      </c>
      <c r="C209" s="199">
        <f>IFERROR(__xludf.DUMMYFUNCTION("""COMPUTED_VALUE"""),2.5049182226E10)</f>
        <v>25049182226</v>
      </c>
      <c r="D209" s="201">
        <f>IFERROR(__xludf.DUMMYFUNCTION("""COMPUTED_VALUE"""),45701.0)</f>
        <v>45701</v>
      </c>
      <c r="E209" s="202" t="str">
        <f>IFERROR(__xludf.DUMMYFUNCTION("""COMPUTED_VALUE"""),"Normal")</f>
        <v>Normal</v>
      </c>
      <c r="F209" s="202" t="str">
        <f>IFERROR(__xludf.DUMMYFUNCTION("""COMPUTED_VALUE"""),"Normal")</f>
        <v>Normal</v>
      </c>
      <c r="G209" s="203" t="str">
        <f>IFERROR(__xludf.DUMMYFUNCTION("""COMPUTED_VALUE"""),"Normal")</f>
        <v>Normal</v>
      </c>
      <c r="H209" s="203" t="str">
        <f>IFERROR(__xludf.DUMMYFUNCTION("""COMPUTED_VALUE"""),"Normal")</f>
        <v>Normal</v>
      </c>
      <c r="I209" s="37">
        <f>IFERROR(__xludf.DUMMYFUNCTION("""COMPUTED_VALUE"""),32699.0)</f>
        <v>32699</v>
      </c>
      <c r="J209" s="37">
        <f>IFERROR(__xludf.DUMMYFUNCTION("""COMPUTED_VALUE"""),20610.0)</f>
        <v>20610</v>
      </c>
      <c r="K209" s="37">
        <f>IFERROR(__xludf.DUMMYFUNCTION("""COMPUTED_VALUE"""),9110.0)</f>
        <v>9110</v>
      </c>
      <c r="L209" s="199">
        <f>IFERROR(__xludf.DUMMYFUNCTION("""COMPUTED_VALUE"""),10.0)</f>
        <v>10</v>
      </c>
      <c r="M209" s="199">
        <f>IFERROR(__xludf.DUMMYFUNCTION("""COMPUTED_VALUE"""),236.7)</f>
        <v>236.7</v>
      </c>
      <c r="N209" s="199"/>
      <c r="O209" s="199"/>
      <c r="P209" s="199">
        <f>IFERROR(__xludf.DUMMYFUNCTION("""COMPUTED_VALUE"""),0.02)</f>
        <v>0.02</v>
      </c>
      <c r="Q209" s="199">
        <f>IFERROR(__xludf.DUMMYFUNCTION("""COMPUTED_VALUE"""),0.0)</f>
        <v>0</v>
      </c>
      <c r="R209" s="199">
        <f>IFERROR(__xludf.DUMMYFUNCTION("""COMPUTED_VALUE"""),4.0)</f>
        <v>4</v>
      </c>
      <c r="S209" s="199">
        <f>IFERROR(__xludf.DUMMYFUNCTION("""COMPUTED_VALUE"""),1.0)</f>
        <v>1</v>
      </c>
      <c r="T209" s="199">
        <f>IFERROR(__xludf.DUMMYFUNCTION("""COMPUTED_VALUE"""),2.0)</f>
        <v>2</v>
      </c>
      <c r="U209" s="199">
        <f>IFERROR(__xludf.DUMMYFUNCTION("""COMPUTED_VALUE"""),9.0)</f>
        <v>9</v>
      </c>
      <c r="V209" s="199">
        <f>IFERROR(__xludf.DUMMYFUNCTION("""COMPUTED_VALUE"""),0.0)</f>
        <v>0</v>
      </c>
      <c r="W209" s="199">
        <f>IFERROR(__xludf.DUMMYFUNCTION("""COMPUTED_VALUE"""),0.0)</f>
        <v>0</v>
      </c>
      <c r="X209" s="199">
        <f>IFERROR(__xludf.DUMMYFUNCTION("""COMPUTED_VALUE"""),2.0)</f>
        <v>2</v>
      </c>
      <c r="Y209" s="199">
        <f>IFERROR(__xludf.DUMMYFUNCTION("""COMPUTED_VALUE"""),0.0)</f>
        <v>0</v>
      </c>
      <c r="Z209" s="199">
        <f>IFERROR(__xludf.DUMMYFUNCTION("""COMPUTED_VALUE"""),0.0)</f>
        <v>0</v>
      </c>
      <c r="AA209" s="199">
        <f>IFERROR(__xludf.DUMMYFUNCTION("""COMPUTED_VALUE"""),0.0)</f>
        <v>0</v>
      </c>
      <c r="AB209" s="199">
        <f>IFERROR(__xludf.DUMMYFUNCTION("""COMPUTED_VALUE"""),12.0)</f>
        <v>12</v>
      </c>
      <c r="AC209" s="199">
        <f>IFERROR(__xludf.DUMMYFUNCTION("""COMPUTED_VALUE"""),8.0)</f>
        <v>8</v>
      </c>
      <c r="AD209" s="199">
        <f>IFERROR(__xludf.DUMMYFUNCTION("""COMPUTED_VALUE"""),0.0)</f>
        <v>0</v>
      </c>
      <c r="AE209" s="199">
        <f>IFERROR(__xludf.DUMMYFUNCTION("""COMPUTED_VALUE"""),8.0)</f>
        <v>8</v>
      </c>
      <c r="AF209" s="199">
        <f>IFERROR(__xludf.DUMMYFUNCTION("""COMPUTED_VALUE"""),0.0)</f>
        <v>0</v>
      </c>
      <c r="AG209" s="199">
        <f>IFERROR(__xludf.DUMMYFUNCTION("""COMPUTED_VALUE"""),368.0)</f>
        <v>368</v>
      </c>
      <c r="AH209" s="199">
        <f>IFERROR(__xludf.DUMMYFUNCTION("""COMPUTED_VALUE"""),16.0)</f>
        <v>16</v>
      </c>
      <c r="AI209" s="200" t="str">
        <f>IFERROR(__xludf.DUMMYFUNCTION("""COMPUTED_VALUE"""),"Normal")</f>
        <v>Normal</v>
      </c>
      <c r="AJ209" s="200" t="str">
        <f>IFERROR(__xludf.DUMMYFUNCTION("""COMPUTED_VALUE"""),"ISO Code 22/22/20. All parameters within acceptable limits. Continue routine monitoring.")</f>
        <v>ISO Code 22/22/20. All parameters within acceptable limits. Continue routine monitoring.</v>
      </c>
      <c r="AK209" s="204"/>
      <c r="AL209" s="204"/>
      <c r="AM209" s="204"/>
    </row>
    <row r="210" hidden="1">
      <c r="A210" s="199" t="str">
        <f>IFERROR(__xludf.DUMMYFUNCTION("""COMPUTED_VALUE"""),"532.BE220")</f>
        <v>532.BE220</v>
      </c>
      <c r="B210" s="200" t="str">
        <f>IFERROR(__xludf.DUMMYFUNCTION("""COMPUTED_VALUE"""),"Bucket Elevator BM#2 GB.")</f>
        <v>Bucket Elevator BM#2 GB.</v>
      </c>
      <c r="C210" s="199">
        <f>IFERROR(__xludf.DUMMYFUNCTION("""COMPUTED_VALUE"""),2.5049182224E10)</f>
        <v>25049182224</v>
      </c>
      <c r="D210" s="201">
        <f>IFERROR(__xludf.DUMMYFUNCTION("""COMPUTED_VALUE"""),45701.0)</f>
        <v>45701</v>
      </c>
      <c r="E210" s="202" t="str">
        <f>IFERROR(__xludf.DUMMYFUNCTION("""COMPUTED_VALUE"""),"Caution")</f>
        <v>Caution</v>
      </c>
      <c r="F210" s="202" t="str">
        <f>IFERROR(__xludf.DUMMYFUNCTION("""COMPUTED_VALUE"""),"Caution")</f>
        <v>Caution</v>
      </c>
      <c r="G210" s="203" t="str">
        <f>IFERROR(__xludf.DUMMYFUNCTION("""COMPUTED_VALUE"""),"Normal")</f>
        <v>Normal</v>
      </c>
      <c r="H210" s="203" t="str">
        <f>IFERROR(__xludf.DUMMYFUNCTION("""COMPUTED_VALUE"""),"Normal")</f>
        <v>Normal</v>
      </c>
      <c r="I210" s="37"/>
      <c r="J210" s="37"/>
      <c r="K210" s="37"/>
      <c r="L210" s="199">
        <f>IFERROR(__xludf.DUMMYFUNCTION("""COMPUTED_VALUE"""),18.0)</f>
        <v>18</v>
      </c>
      <c r="M210" s="199">
        <f>IFERROR(__xludf.DUMMYFUNCTION("""COMPUTED_VALUE"""),286.9)</f>
        <v>286.9</v>
      </c>
      <c r="N210" s="37"/>
      <c r="O210" s="37">
        <f>IFERROR(__xludf.DUMMYFUNCTION("""COMPUTED_VALUE"""),2.0)</f>
        <v>2</v>
      </c>
      <c r="P210" s="199">
        <f>IFERROR(__xludf.DUMMYFUNCTION("""COMPUTED_VALUE"""),0.02)</f>
        <v>0.02</v>
      </c>
      <c r="Q210" s="199">
        <f>IFERROR(__xludf.DUMMYFUNCTION("""COMPUTED_VALUE"""),0.0)</f>
        <v>0</v>
      </c>
      <c r="R210" s="199">
        <f>IFERROR(__xludf.DUMMYFUNCTION("""COMPUTED_VALUE"""),10.0)</f>
        <v>10</v>
      </c>
      <c r="S210" s="199">
        <f>IFERROR(__xludf.DUMMYFUNCTION("""COMPUTED_VALUE"""),1.0)</f>
        <v>1</v>
      </c>
      <c r="T210" s="199">
        <f>IFERROR(__xludf.DUMMYFUNCTION("""COMPUTED_VALUE"""),2.0)</f>
        <v>2</v>
      </c>
      <c r="U210" s="199">
        <f>IFERROR(__xludf.DUMMYFUNCTION("""COMPUTED_VALUE"""),40.0)</f>
        <v>40</v>
      </c>
      <c r="V210" s="199">
        <f>IFERROR(__xludf.DUMMYFUNCTION("""COMPUTED_VALUE"""),0.0)</f>
        <v>0</v>
      </c>
      <c r="W210" s="199">
        <f>IFERROR(__xludf.DUMMYFUNCTION("""COMPUTED_VALUE"""),0.0)</f>
        <v>0</v>
      </c>
      <c r="X210" s="199">
        <f>IFERROR(__xludf.DUMMYFUNCTION("""COMPUTED_VALUE"""),1.0)</f>
        <v>1</v>
      </c>
      <c r="Y210" s="199">
        <f>IFERROR(__xludf.DUMMYFUNCTION("""COMPUTED_VALUE"""),0.0)</f>
        <v>0</v>
      </c>
      <c r="Z210" s="199">
        <f>IFERROR(__xludf.DUMMYFUNCTION("""COMPUTED_VALUE"""),2.0)</f>
        <v>2</v>
      </c>
      <c r="AA210" s="199">
        <f>IFERROR(__xludf.DUMMYFUNCTION("""COMPUTED_VALUE"""),0.0)</f>
        <v>0</v>
      </c>
      <c r="AB210" s="199">
        <f>IFERROR(__xludf.DUMMYFUNCTION("""COMPUTED_VALUE"""),16.0)</f>
        <v>16</v>
      </c>
      <c r="AC210" s="199">
        <f>IFERROR(__xludf.DUMMYFUNCTION("""COMPUTED_VALUE"""),25.0)</f>
        <v>25</v>
      </c>
      <c r="AD210" s="199">
        <f>IFERROR(__xludf.DUMMYFUNCTION("""COMPUTED_VALUE"""),0.0)</f>
        <v>0</v>
      </c>
      <c r="AE210" s="199">
        <f>IFERROR(__xludf.DUMMYFUNCTION("""COMPUTED_VALUE"""),76.0)</f>
        <v>76</v>
      </c>
      <c r="AF210" s="199">
        <f>IFERROR(__xludf.DUMMYFUNCTION("""COMPUTED_VALUE"""),2.0)</f>
        <v>2</v>
      </c>
      <c r="AG210" s="199">
        <f>IFERROR(__xludf.DUMMYFUNCTION("""COMPUTED_VALUE"""),372.0)</f>
        <v>372</v>
      </c>
      <c r="AH210" s="199">
        <f>IFERROR(__xludf.DUMMYFUNCTION("""COMPUTED_VALUE"""),37.0)</f>
        <v>37</v>
      </c>
      <c r="AI210" s="200" t="str">
        <f>IFERROR(__xludf.DUMMYFUNCTION("""COMPUTED_VALUE"""),"Caution – Elevated Fe / Si / Mo")</f>
        <v>Caution – Elevated Fe / Si / Mo</v>
      </c>
      <c r="AJ210" s="200" t="str">
        <f>IFERROR(__xludf.DUMMYFUNCTION("""COMPUTED_VALUE"""),"Fe 17 ppm, Si 21 ppm, Al 4 ppm, Mo 2 ppm. TAN 1.30 mg KOH/g. Monitor wear trend. Inspect filtration. Resample within 45 days.")</f>
        <v>Fe 17 ppm, Si 21 ppm, Al 4 ppm, Mo 2 ppm. TAN 1.30 mg KOH/g. Monitor wear trend. Inspect filtration. Resample within 45 days.</v>
      </c>
      <c r="AK210" s="204"/>
      <c r="AL210" s="204"/>
      <c r="AM210" s="204"/>
    </row>
    <row r="211" hidden="1">
      <c r="A211" s="199" t="str">
        <f>IFERROR(__xludf.DUMMYFUNCTION("""COMPUTED_VALUE"""),"131.BC100")</f>
        <v>131.BC100</v>
      </c>
      <c r="B211" s="200" t="str">
        <f>IFERROR(__xludf.DUMMYFUNCTION("""COMPUTED_VALUE"""),"Belt Conveyor Gearbox")</f>
        <v>Belt Conveyor Gearbox</v>
      </c>
      <c r="C211" s="199">
        <f>IFERROR(__xludf.DUMMYFUNCTION("""COMPUTED_VALUE"""),2.5049182228E10)</f>
        <v>25049182228</v>
      </c>
      <c r="D211" s="201">
        <f>IFERROR(__xludf.DUMMYFUNCTION("""COMPUTED_VALUE"""),45701.0)</f>
        <v>45701</v>
      </c>
      <c r="E211" s="202" t="str">
        <f>IFERROR(__xludf.DUMMYFUNCTION("""COMPUTED_VALUE"""),"Caution")</f>
        <v>Caution</v>
      </c>
      <c r="F211" s="202" t="str">
        <f>IFERROR(__xludf.DUMMYFUNCTION("""COMPUTED_VALUE"""),"Caution")</f>
        <v>Caution</v>
      </c>
      <c r="G211" s="203" t="str">
        <f>IFERROR(__xludf.DUMMYFUNCTION("""COMPUTED_VALUE"""),"Normal")</f>
        <v>Normal</v>
      </c>
      <c r="H211" s="203" t="str">
        <f>IFERROR(__xludf.DUMMYFUNCTION("""COMPUTED_VALUE"""),"Normal")</f>
        <v>Normal</v>
      </c>
      <c r="I211" s="37"/>
      <c r="J211" s="37"/>
      <c r="K211" s="37"/>
      <c r="L211" s="199">
        <f>IFERROR(__xludf.DUMMYFUNCTION("""COMPUTED_VALUE"""),15.0)</f>
        <v>15</v>
      </c>
      <c r="M211" s="199">
        <f>IFERROR(__xludf.DUMMYFUNCTION("""COMPUTED_VALUE"""),233.5)</f>
        <v>233.5</v>
      </c>
      <c r="N211" s="37"/>
      <c r="O211" s="37"/>
      <c r="P211" s="199">
        <f>IFERROR(__xludf.DUMMYFUNCTION("""COMPUTED_VALUE"""),0.05)</f>
        <v>0.05</v>
      </c>
      <c r="Q211" s="199">
        <f>IFERROR(__xludf.DUMMYFUNCTION("""COMPUTED_VALUE"""),0.0)</f>
        <v>0</v>
      </c>
      <c r="R211" s="199">
        <f>IFERROR(__xludf.DUMMYFUNCTION("""COMPUTED_VALUE"""),5.0)</f>
        <v>5</v>
      </c>
      <c r="S211" s="199">
        <f>IFERROR(__xludf.DUMMYFUNCTION("""COMPUTED_VALUE"""),1.0)</f>
        <v>1</v>
      </c>
      <c r="T211" s="199">
        <f>IFERROR(__xludf.DUMMYFUNCTION("""COMPUTED_VALUE"""),3.0)</f>
        <v>3</v>
      </c>
      <c r="U211" s="199">
        <f>IFERROR(__xludf.DUMMYFUNCTION("""COMPUTED_VALUE"""),17.0)</f>
        <v>17</v>
      </c>
      <c r="V211" s="199">
        <f>IFERROR(__xludf.DUMMYFUNCTION("""COMPUTED_VALUE"""),0.0)</f>
        <v>0</v>
      </c>
      <c r="W211" s="199">
        <f>IFERROR(__xludf.DUMMYFUNCTION("""COMPUTED_VALUE"""),0.0)</f>
        <v>0</v>
      </c>
      <c r="X211" s="199">
        <f>IFERROR(__xludf.DUMMYFUNCTION("""COMPUTED_VALUE"""),1.0)</f>
        <v>1</v>
      </c>
      <c r="Y211" s="199">
        <f>IFERROR(__xludf.DUMMYFUNCTION("""COMPUTED_VALUE"""),0.0)</f>
        <v>0</v>
      </c>
      <c r="Z211" s="199">
        <f>IFERROR(__xludf.DUMMYFUNCTION("""COMPUTED_VALUE"""),0.0)</f>
        <v>0</v>
      </c>
      <c r="AA211" s="199">
        <f>IFERROR(__xludf.DUMMYFUNCTION("""COMPUTED_VALUE"""),0.0)</f>
        <v>0</v>
      </c>
      <c r="AB211" s="199">
        <f>IFERROR(__xludf.DUMMYFUNCTION("""COMPUTED_VALUE"""),13.0)</f>
        <v>13</v>
      </c>
      <c r="AC211" s="199">
        <f>IFERROR(__xludf.DUMMYFUNCTION("""COMPUTED_VALUE"""),16.0)</f>
        <v>16</v>
      </c>
      <c r="AD211" s="199">
        <f>IFERROR(__xludf.DUMMYFUNCTION("""COMPUTED_VALUE"""),0.0)</f>
        <v>0</v>
      </c>
      <c r="AE211" s="199">
        <f>IFERROR(__xludf.DUMMYFUNCTION("""COMPUTED_VALUE"""),18.0)</f>
        <v>18</v>
      </c>
      <c r="AF211" s="199">
        <f>IFERROR(__xludf.DUMMYFUNCTION("""COMPUTED_VALUE"""),2.0)</f>
        <v>2</v>
      </c>
      <c r="AG211" s="199">
        <f>IFERROR(__xludf.DUMMYFUNCTION("""COMPUTED_VALUE"""),458.0)</f>
        <v>458</v>
      </c>
      <c r="AH211" s="199">
        <f>IFERROR(__xludf.DUMMYFUNCTION("""COMPUTED_VALUE"""),19.0)</f>
        <v>19</v>
      </c>
      <c r="AI211" s="200" t="str">
        <f>IFERROR(__xludf.DUMMYFUNCTION("""COMPUTED_VALUE"""),"General Caution")</f>
        <v>General Caution</v>
      </c>
      <c r="AJ211" s="200" t="str">
        <f>IFERROR(__xludf.DUMMYFUNCTION("""COMPUTED_VALUE"""),"Continue monitoring; resample at next scheduled interval")</f>
        <v>Continue monitoring; resample at next scheduled interval</v>
      </c>
      <c r="AK211" s="204"/>
      <c r="AL211" s="204"/>
      <c r="AM211" s="204"/>
    </row>
    <row r="212" hidden="1">
      <c r="A212" s="199" t="str">
        <f>IFERROR(__xludf.DUMMYFUNCTION("""COMPUTED_VALUE"""),"321.LQ145 (T)")</f>
        <v>321.LQ145 (T)</v>
      </c>
      <c r="B212" s="200" t="str">
        <f>IFERROR(__xludf.DUMMYFUNCTION("""COMPUTED_VALUE"""),"Gear lubrication pump station Tank")</f>
        <v>Gear lubrication pump station Tank</v>
      </c>
      <c r="C212" s="199">
        <f>IFERROR(__xludf.DUMMYFUNCTION("""COMPUTED_VALUE"""),2.5049182231E10)</f>
        <v>25049182231</v>
      </c>
      <c r="D212" s="201">
        <f>IFERROR(__xludf.DUMMYFUNCTION("""COMPUTED_VALUE"""),45701.0)</f>
        <v>45701</v>
      </c>
      <c r="E212" s="202" t="str">
        <f>IFERROR(__xludf.DUMMYFUNCTION("""COMPUTED_VALUE"""),"Alert")</f>
        <v>Alert</v>
      </c>
      <c r="F212" s="202" t="str">
        <f>IFERROR(__xludf.DUMMYFUNCTION("""COMPUTED_VALUE"""),"Caution")</f>
        <v>Caution</v>
      </c>
      <c r="G212" s="203" t="str">
        <f>IFERROR(__xludf.DUMMYFUNCTION("""COMPUTED_VALUE"""),"Alert")</f>
        <v>Alert</v>
      </c>
      <c r="H212" s="203" t="str">
        <f>IFERROR(__xludf.DUMMYFUNCTION("""COMPUTED_VALUE"""),"Normal")</f>
        <v>Normal</v>
      </c>
      <c r="I212" s="37"/>
      <c r="J212" s="37"/>
      <c r="K212" s="37"/>
      <c r="L212" s="199">
        <f>IFERROR(__xludf.DUMMYFUNCTION("""COMPUTED_VALUE"""),28.0)</f>
        <v>28</v>
      </c>
      <c r="M212" s="199">
        <f>IFERROR(__xludf.DUMMYFUNCTION("""COMPUTED_VALUE"""),309.4)</f>
        <v>309.4</v>
      </c>
      <c r="N212" s="37"/>
      <c r="O212" s="37">
        <f>IFERROR(__xludf.DUMMYFUNCTION("""COMPUTED_VALUE"""),2.0)</f>
        <v>2</v>
      </c>
      <c r="P212" s="199">
        <f>IFERROR(__xludf.DUMMYFUNCTION("""COMPUTED_VALUE"""),0.07)</f>
        <v>0.07</v>
      </c>
      <c r="Q212" s="199">
        <f>IFERROR(__xludf.DUMMYFUNCTION("""COMPUTED_VALUE"""),0.0)</f>
        <v>0</v>
      </c>
      <c r="R212" s="199">
        <f>IFERROR(__xludf.DUMMYFUNCTION("""COMPUTED_VALUE"""),13.0)</f>
        <v>13</v>
      </c>
      <c r="S212" s="199">
        <f>IFERROR(__xludf.DUMMYFUNCTION("""COMPUTED_VALUE"""),2.0)</f>
        <v>2</v>
      </c>
      <c r="T212" s="199">
        <f>IFERROR(__xludf.DUMMYFUNCTION("""COMPUTED_VALUE"""),5.0)</f>
        <v>5</v>
      </c>
      <c r="U212" s="199">
        <f>IFERROR(__xludf.DUMMYFUNCTION("""COMPUTED_VALUE"""),101.0)</f>
        <v>101</v>
      </c>
      <c r="V212" s="199">
        <f>IFERROR(__xludf.DUMMYFUNCTION("""COMPUTED_VALUE"""),2.0)</f>
        <v>2</v>
      </c>
      <c r="W212" s="199">
        <f>IFERROR(__xludf.DUMMYFUNCTION("""COMPUTED_VALUE"""),0.0)</f>
        <v>0</v>
      </c>
      <c r="X212" s="199">
        <f>IFERROR(__xludf.DUMMYFUNCTION("""COMPUTED_VALUE"""),2.0)</f>
        <v>2</v>
      </c>
      <c r="Y212" s="199">
        <f>IFERROR(__xludf.DUMMYFUNCTION("""COMPUTED_VALUE"""),0.0)</f>
        <v>0</v>
      </c>
      <c r="Z212" s="199">
        <f>IFERROR(__xludf.DUMMYFUNCTION("""COMPUTED_VALUE"""),2.0)</f>
        <v>2</v>
      </c>
      <c r="AA212" s="199">
        <f>IFERROR(__xludf.DUMMYFUNCTION("""COMPUTED_VALUE"""),0.0)</f>
        <v>0</v>
      </c>
      <c r="AB212" s="199">
        <f>IFERROR(__xludf.DUMMYFUNCTION("""COMPUTED_VALUE"""),5.0)</f>
        <v>5</v>
      </c>
      <c r="AC212" s="199">
        <f>IFERROR(__xludf.DUMMYFUNCTION("""COMPUTED_VALUE"""),28.0)</f>
        <v>28</v>
      </c>
      <c r="AD212" s="199">
        <f>IFERROR(__xludf.DUMMYFUNCTION("""COMPUTED_VALUE"""),0.0)</f>
        <v>0</v>
      </c>
      <c r="AE212" s="199">
        <f>IFERROR(__xludf.DUMMYFUNCTION("""COMPUTED_VALUE"""),20.0)</f>
        <v>20</v>
      </c>
      <c r="AF212" s="199">
        <f>IFERROR(__xludf.DUMMYFUNCTION("""COMPUTED_VALUE"""),3.0)</f>
        <v>3</v>
      </c>
      <c r="AG212" s="199">
        <f>IFERROR(__xludf.DUMMYFUNCTION("""COMPUTED_VALUE"""),450.0)</f>
        <v>450</v>
      </c>
      <c r="AH212" s="199">
        <f>IFERROR(__xludf.DUMMYFUNCTION("""COMPUTED_VALUE"""),91.0)</f>
        <v>91</v>
      </c>
      <c r="AI212" s="200" t="str">
        <f>IFERROR(__xludf.DUMMYFUNCTION("""COMPUTED_VALUE"""),"Wear Metal Alert")</f>
        <v>Wear Metal Alert</v>
      </c>
      <c r="AJ212" s="200" t="str">
        <f>IFERROR(__xludf.DUMMYFUNCTION("""COMPUTED_VALUE"""),"URGENT: Inspect equipment immediately for wear/damage; High wear metals - inspect bearing/gear surfaces")</f>
        <v>URGENT: Inspect equipment immediately for wear/damage; High wear metals - inspect bearing/gear surfaces</v>
      </c>
      <c r="AK212" s="204"/>
      <c r="AL212" s="204"/>
      <c r="AM212" s="204"/>
    </row>
    <row r="213" hidden="1">
      <c r="A213" s="199" t="str">
        <f>IFERROR(__xludf.DUMMYFUNCTION("""COMPUTED_VALUE"""),"421.FV770")</f>
        <v>421.FV770</v>
      </c>
      <c r="B213" s="200" t="str">
        <f>IFERROR(__xludf.DUMMYFUNCTION("""COMPUTED_VALUE"""),"AF sluice FLS Hyd. unit")</f>
        <v>AF sluice FLS Hyd. unit</v>
      </c>
      <c r="C213" s="199">
        <f>IFERROR(__xludf.DUMMYFUNCTION("""COMPUTED_VALUE"""),2.5049182216E10)</f>
        <v>25049182216</v>
      </c>
      <c r="D213" s="201">
        <f>IFERROR(__xludf.DUMMYFUNCTION("""COMPUTED_VALUE"""),45701.0)</f>
        <v>45701</v>
      </c>
      <c r="E213" s="202" t="str">
        <f>IFERROR(__xludf.DUMMYFUNCTION("""COMPUTED_VALUE"""),"Normal")</f>
        <v>Normal</v>
      </c>
      <c r="F213" s="202" t="str">
        <f>IFERROR(__xludf.DUMMYFUNCTION("""COMPUTED_VALUE"""),"Normal")</f>
        <v>Normal</v>
      </c>
      <c r="G213" s="203" t="str">
        <f>IFERROR(__xludf.DUMMYFUNCTION("""COMPUTED_VALUE"""),"Normal")</f>
        <v>Normal</v>
      </c>
      <c r="H213" s="203" t="str">
        <f>IFERROR(__xludf.DUMMYFUNCTION("""COMPUTED_VALUE"""),"Normal")</f>
        <v>Normal</v>
      </c>
      <c r="I213" s="37">
        <f>IFERROR(__xludf.DUMMYFUNCTION("""COMPUTED_VALUE"""),9182.0)</f>
        <v>9182</v>
      </c>
      <c r="J213" s="37">
        <f>IFERROR(__xludf.DUMMYFUNCTION("""COMPUTED_VALUE"""),5411.0)</f>
        <v>5411</v>
      </c>
      <c r="K213" s="37">
        <f>IFERROR(__xludf.DUMMYFUNCTION("""COMPUTED_VALUE"""),1001.0)</f>
        <v>1001</v>
      </c>
      <c r="L213" s="199">
        <f>IFERROR(__xludf.DUMMYFUNCTION("""COMPUTED_VALUE"""),3.0)</f>
        <v>3</v>
      </c>
      <c r="M213" s="199">
        <f>IFERROR(__xludf.DUMMYFUNCTION("""COMPUTED_VALUE"""),44.7)</f>
        <v>44.7</v>
      </c>
      <c r="N213" s="37"/>
      <c r="O213" s="37">
        <f>IFERROR(__xludf.DUMMYFUNCTION("""COMPUTED_VALUE"""),0.0)</f>
        <v>0</v>
      </c>
      <c r="P213" s="199">
        <f>IFERROR(__xludf.DUMMYFUNCTION("""COMPUTED_VALUE"""),0.003)</f>
        <v>0.003</v>
      </c>
      <c r="Q213" s="199">
        <f>IFERROR(__xludf.DUMMYFUNCTION("""COMPUTED_VALUE"""),0.0)</f>
        <v>0</v>
      </c>
      <c r="R213" s="199">
        <f>IFERROR(__xludf.DUMMYFUNCTION("""COMPUTED_VALUE"""),5.0)</f>
        <v>5</v>
      </c>
      <c r="S213" s="199">
        <f>IFERROR(__xludf.DUMMYFUNCTION("""COMPUTED_VALUE"""),2.0)</f>
        <v>2</v>
      </c>
      <c r="T213" s="199">
        <f>IFERROR(__xludf.DUMMYFUNCTION("""COMPUTED_VALUE"""),3.0)</f>
        <v>3</v>
      </c>
      <c r="U213" s="199">
        <f>IFERROR(__xludf.DUMMYFUNCTION("""COMPUTED_VALUE"""),8.0)</f>
        <v>8</v>
      </c>
      <c r="V213" s="199">
        <f>IFERROR(__xludf.DUMMYFUNCTION("""COMPUTED_VALUE"""),0.0)</f>
        <v>0</v>
      </c>
      <c r="W213" s="199">
        <f>IFERROR(__xludf.DUMMYFUNCTION("""COMPUTED_VALUE"""),0.0)</f>
        <v>0</v>
      </c>
      <c r="X213" s="199">
        <f>IFERROR(__xludf.DUMMYFUNCTION("""COMPUTED_VALUE"""),1.0)</f>
        <v>1</v>
      </c>
      <c r="Y213" s="199">
        <f>IFERROR(__xludf.DUMMYFUNCTION("""COMPUTED_VALUE"""),0.0)</f>
        <v>0</v>
      </c>
      <c r="Z213" s="199">
        <f>IFERROR(__xludf.DUMMYFUNCTION("""COMPUTED_VALUE"""),0.0)</f>
        <v>0</v>
      </c>
      <c r="AA213" s="199">
        <f>IFERROR(__xludf.DUMMYFUNCTION("""COMPUTED_VALUE"""),0.0)</f>
        <v>0</v>
      </c>
      <c r="AB213" s="199">
        <f>IFERROR(__xludf.DUMMYFUNCTION("""COMPUTED_VALUE"""),2.0)</f>
        <v>2</v>
      </c>
      <c r="AC213" s="199">
        <f>IFERROR(__xludf.DUMMYFUNCTION("""COMPUTED_VALUE"""),7.0)</f>
        <v>7</v>
      </c>
      <c r="AD213" s="199">
        <f>IFERROR(__xludf.DUMMYFUNCTION("""COMPUTED_VALUE"""),0.0)</f>
        <v>0</v>
      </c>
      <c r="AE213" s="199">
        <f>IFERROR(__xludf.DUMMYFUNCTION("""COMPUTED_VALUE"""),83.0)</f>
        <v>83</v>
      </c>
      <c r="AF213" s="199">
        <f>IFERROR(__xludf.DUMMYFUNCTION("""COMPUTED_VALUE"""),2.0)</f>
        <v>2</v>
      </c>
      <c r="AG213" s="199">
        <f>IFERROR(__xludf.DUMMYFUNCTION("""COMPUTED_VALUE"""),455.0)</f>
        <v>455</v>
      </c>
      <c r="AH213" s="199">
        <f>IFERROR(__xludf.DUMMYFUNCTION("""COMPUTED_VALUE"""),715.0)</f>
        <v>715</v>
      </c>
      <c r="AI213" s="200" t="str">
        <f>IFERROR(__xludf.DUMMYFUNCTION("""COMPUTED_VALUE"""),"Normal - No Action Required")</f>
        <v>Normal - No Action Required</v>
      </c>
      <c r="AJ213" s="200" t="str">
        <f>IFERROR(__xludf.DUMMYFUNCTION("""COMPUTED_VALUE"""),"Continue routine monitoring and sampling schedule")</f>
        <v>Continue routine monitoring and sampling schedule</v>
      </c>
      <c r="AK213" s="204"/>
      <c r="AL213" s="204"/>
      <c r="AM213" s="204"/>
    </row>
    <row r="214" hidden="1">
      <c r="A214" s="199" t="str">
        <f>IFERROR(__xludf.DUMMYFUNCTION("""COMPUTED_VALUE"""),"471.AC100")</f>
        <v>471.AC100</v>
      </c>
      <c r="B214" s="200" t="str">
        <f>IFERROR(__xludf.DUMMYFUNCTION("""COMPUTED_VALUE"""),"Pan Conveyor Main drive gearbox")</f>
        <v>Pan Conveyor Main drive gearbox</v>
      </c>
      <c r="C214" s="199">
        <f>IFERROR(__xludf.DUMMYFUNCTION("""COMPUTED_VALUE"""),2.5049182218E10)</f>
        <v>25049182218</v>
      </c>
      <c r="D214" s="201">
        <f>IFERROR(__xludf.DUMMYFUNCTION("""COMPUTED_VALUE"""),45701.0)</f>
        <v>45701</v>
      </c>
      <c r="E214" s="202" t="str">
        <f>IFERROR(__xludf.DUMMYFUNCTION("""COMPUTED_VALUE"""),"Normal")</f>
        <v>Normal</v>
      </c>
      <c r="F214" s="202" t="str">
        <f>IFERROR(__xludf.DUMMYFUNCTION("""COMPUTED_VALUE"""),"Normal")</f>
        <v>Normal</v>
      </c>
      <c r="G214" s="203" t="str">
        <f>IFERROR(__xludf.DUMMYFUNCTION("""COMPUTED_VALUE"""),"Normal")</f>
        <v>Normal</v>
      </c>
      <c r="H214" s="203" t="str">
        <f>IFERROR(__xludf.DUMMYFUNCTION("""COMPUTED_VALUE"""),"Normal")</f>
        <v>Normal</v>
      </c>
      <c r="I214" s="37">
        <f>IFERROR(__xludf.DUMMYFUNCTION("""COMPUTED_VALUE"""),21973.0)</f>
        <v>21973</v>
      </c>
      <c r="J214" s="37">
        <f>IFERROR(__xludf.DUMMYFUNCTION("""COMPUTED_VALUE"""),10377.0)</f>
        <v>10377</v>
      </c>
      <c r="K214" s="37">
        <f>IFERROR(__xludf.DUMMYFUNCTION("""COMPUTED_VALUE"""),5144.0)</f>
        <v>5144</v>
      </c>
      <c r="L214" s="199">
        <f>IFERROR(__xludf.DUMMYFUNCTION("""COMPUTED_VALUE"""),10.0)</f>
        <v>10</v>
      </c>
      <c r="M214" s="199">
        <f>IFERROR(__xludf.DUMMYFUNCTION("""COMPUTED_VALUE"""),230.3)</f>
        <v>230.3</v>
      </c>
      <c r="N214" s="37"/>
      <c r="O214" s="37"/>
      <c r="P214" s="199">
        <f>IFERROR(__xludf.DUMMYFUNCTION("""COMPUTED_VALUE"""),0.05)</f>
        <v>0.05</v>
      </c>
      <c r="Q214" s="199">
        <f>IFERROR(__xludf.DUMMYFUNCTION("""COMPUTED_VALUE"""),0.0)</f>
        <v>0</v>
      </c>
      <c r="R214" s="199">
        <f>IFERROR(__xludf.DUMMYFUNCTION("""COMPUTED_VALUE"""),5.0)</f>
        <v>5</v>
      </c>
      <c r="S214" s="199">
        <f>IFERROR(__xludf.DUMMYFUNCTION("""COMPUTED_VALUE"""),1.0)</f>
        <v>1</v>
      </c>
      <c r="T214" s="199">
        <f>IFERROR(__xludf.DUMMYFUNCTION("""COMPUTED_VALUE"""),2.0)</f>
        <v>2</v>
      </c>
      <c r="U214" s="199">
        <f>IFERROR(__xludf.DUMMYFUNCTION("""COMPUTED_VALUE"""),17.0)</f>
        <v>17</v>
      </c>
      <c r="V214" s="199">
        <f>IFERROR(__xludf.DUMMYFUNCTION("""COMPUTED_VALUE"""),0.0)</f>
        <v>0</v>
      </c>
      <c r="W214" s="199">
        <f>IFERROR(__xludf.DUMMYFUNCTION("""COMPUTED_VALUE"""),0.0)</f>
        <v>0</v>
      </c>
      <c r="X214" s="199">
        <f>IFERROR(__xludf.DUMMYFUNCTION("""COMPUTED_VALUE"""),2.0)</f>
        <v>2</v>
      </c>
      <c r="Y214" s="199">
        <f>IFERROR(__xludf.DUMMYFUNCTION("""COMPUTED_VALUE"""),0.0)</f>
        <v>0</v>
      </c>
      <c r="Z214" s="199">
        <f>IFERROR(__xludf.DUMMYFUNCTION("""COMPUTED_VALUE"""),0.0)</f>
        <v>0</v>
      </c>
      <c r="AA214" s="199">
        <f>IFERROR(__xludf.DUMMYFUNCTION("""COMPUTED_VALUE"""),0.0)</f>
        <v>0</v>
      </c>
      <c r="AB214" s="199">
        <f>IFERROR(__xludf.DUMMYFUNCTION("""COMPUTED_VALUE"""),1.0)</f>
        <v>1</v>
      </c>
      <c r="AC214" s="199">
        <f>IFERROR(__xludf.DUMMYFUNCTION("""COMPUTED_VALUE"""),19.0)</f>
        <v>19</v>
      </c>
      <c r="AD214" s="199">
        <f>IFERROR(__xludf.DUMMYFUNCTION("""COMPUTED_VALUE"""),0.0)</f>
        <v>0</v>
      </c>
      <c r="AE214" s="199">
        <f>IFERROR(__xludf.DUMMYFUNCTION("""COMPUTED_VALUE"""),42.0)</f>
        <v>42</v>
      </c>
      <c r="AF214" s="199">
        <f>IFERROR(__xludf.DUMMYFUNCTION("""COMPUTED_VALUE"""),2.0)</f>
        <v>2</v>
      </c>
      <c r="AG214" s="199">
        <f>IFERROR(__xludf.DUMMYFUNCTION("""COMPUTED_VALUE"""),872.0)</f>
        <v>872</v>
      </c>
      <c r="AH214" s="199">
        <f>IFERROR(__xludf.DUMMYFUNCTION("""COMPUTED_VALUE"""),21.0)</f>
        <v>21</v>
      </c>
      <c r="AI214" s="200" t="str">
        <f>IFERROR(__xludf.DUMMYFUNCTION("""COMPUTED_VALUE"""),"Normal - No Action Required")</f>
        <v>Normal - No Action Required</v>
      </c>
      <c r="AJ214" s="200" t="str">
        <f>IFERROR(__xludf.DUMMYFUNCTION("""COMPUTED_VALUE"""),"Continue routine monitoring and sampling schedule")</f>
        <v>Continue routine monitoring and sampling schedule</v>
      </c>
      <c r="AK214" s="204"/>
      <c r="AL214" s="204"/>
      <c r="AM214" s="204"/>
    </row>
    <row r="215" hidden="1">
      <c r="A215" s="199" t="str">
        <f>IFERROR(__xludf.DUMMYFUNCTION("""COMPUTED_VALUE"""),"471.CV200")</f>
        <v>471.CV200</v>
      </c>
      <c r="B215" s="200" t="str">
        <f>IFERROR(__xludf.DUMMYFUNCTION("""COMPUTED_VALUE"""),"Drag chain geared motor")</f>
        <v>Drag chain geared motor</v>
      </c>
      <c r="C215" s="199">
        <f>IFERROR(__xludf.DUMMYFUNCTION("""COMPUTED_VALUE"""),2.5049182233E10)</f>
        <v>25049182233</v>
      </c>
      <c r="D215" s="201">
        <f>IFERROR(__xludf.DUMMYFUNCTION("""COMPUTED_VALUE"""),45701.0)</f>
        <v>45701</v>
      </c>
      <c r="E215" s="202" t="str">
        <f>IFERROR(__xludf.DUMMYFUNCTION("""COMPUTED_VALUE"""),"Normal")</f>
        <v>Normal</v>
      </c>
      <c r="F215" s="202" t="str">
        <f>IFERROR(__xludf.DUMMYFUNCTION("""COMPUTED_VALUE"""),"Normal")</f>
        <v>Normal</v>
      </c>
      <c r="G215" s="203" t="str">
        <f>IFERROR(__xludf.DUMMYFUNCTION("""COMPUTED_VALUE"""),"Normal")</f>
        <v>Normal</v>
      </c>
      <c r="H215" s="203" t="str">
        <f>IFERROR(__xludf.DUMMYFUNCTION("""COMPUTED_VALUE"""),"Normal")</f>
        <v>Normal</v>
      </c>
      <c r="I215" s="37">
        <f>IFERROR(__xludf.DUMMYFUNCTION("""COMPUTED_VALUE"""),32956.0)</f>
        <v>32956</v>
      </c>
      <c r="J215" s="37">
        <f>IFERROR(__xludf.DUMMYFUNCTION("""COMPUTED_VALUE"""),23770.0)</f>
        <v>23770</v>
      </c>
      <c r="K215" s="37">
        <f>IFERROR(__xludf.DUMMYFUNCTION("""COMPUTED_VALUE"""),11610.0)</f>
        <v>11610</v>
      </c>
      <c r="L215" s="199">
        <f>IFERROR(__xludf.DUMMYFUNCTION("""COMPUTED_VALUE"""),12.0)</f>
        <v>12</v>
      </c>
      <c r="M215" s="199">
        <f>IFERROR(__xludf.DUMMYFUNCTION("""COMPUTED_VALUE"""),311.5)</f>
        <v>311.5</v>
      </c>
      <c r="N215" s="37"/>
      <c r="O215" s="37"/>
      <c r="P215" s="199">
        <f>IFERROR(__xludf.DUMMYFUNCTION("""COMPUTED_VALUE"""),0.03)</f>
        <v>0.03</v>
      </c>
      <c r="Q215" s="199">
        <f>IFERROR(__xludf.DUMMYFUNCTION("""COMPUTED_VALUE"""),0.0)</f>
        <v>0</v>
      </c>
      <c r="R215" s="199">
        <f>IFERROR(__xludf.DUMMYFUNCTION("""COMPUTED_VALUE"""),5.0)</f>
        <v>5</v>
      </c>
      <c r="S215" s="199">
        <f>IFERROR(__xludf.DUMMYFUNCTION("""COMPUTED_VALUE"""),1.0)</f>
        <v>1</v>
      </c>
      <c r="T215" s="199">
        <f>IFERROR(__xludf.DUMMYFUNCTION("""COMPUTED_VALUE"""),2.0)</f>
        <v>2</v>
      </c>
      <c r="U215" s="199">
        <f>IFERROR(__xludf.DUMMYFUNCTION("""COMPUTED_VALUE"""),10.0)</f>
        <v>10</v>
      </c>
      <c r="V215" s="199">
        <f>IFERROR(__xludf.DUMMYFUNCTION("""COMPUTED_VALUE"""),0.0)</f>
        <v>0</v>
      </c>
      <c r="W215" s="199">
        <f>IFERROR(__xludf.DUMMYFUNCTION("""COMPUTED_VALUE"""),0.0)</f>
        <v>0</v>
      </c>
      <c r="X215" s="199">
        <f>IFERROR(__xludf.DUMMYFUNCTION("""COMPUTED_VALUE"""),2.0)</f>
        <v>2</v>
      </c>
      <c r="Y215" s="199">
        <f>IFERROR(__xludf.DUMMYFUNCTION("""COMPUTED_VALUE"""),0.0)</f>
        <v>0</v>
      </c>
      <c r="Z215" s="199">
        <f>IFERROR(__xludf.DUMMYFUNCTION("""COMPUTED_VALUE"""),0.0)</f>
        <v>0</v>
      </c>
      <c r="AA215" s="199">
        <f>IFERROR(__xludf.DUMMYFUNCTION("""COMPUTED_VALUE"""),0.0)</f>
        <v>0</v>
      </c>
      <c r="AB215" s="199">
        <f>IFERROR(__xludf.DUMMYFUNCTION("""COMPUTED_VALUE"""),20.0)</f>
        <v>20</v>
      </c>
      <c r="AC215" s="199">
        <f>IFERROR(__xludf.DUMMYFUNCTION("""COMPUTED_VALUE"""),9.0)</f>
        <v>9</v>
      </c>
      <c r="AD215" s="199">
        <f>IFERROR(__xludf.DUMMYFUNCTION("""COMPUTED_VALUE"""),0.0)</f>
        <v>0</v>
      </c>
      <c r="AE215" s="199">
        <f>IFERROR(__xludf.DUMMYFUNCTION("""COMPUTED_VALUE"""),20.0)</f>
        <v>20</v>
      </c>
      <c r="AF215" s="199">
        <f>IFERROR(__xludf.DUMMYFUNCTION("""COMPUTED_VALUE"""),3.0)</f>
        <v>3</v>
      </c>
      <c r="AG215" s="199">
        <f>IFERROR(__xludf.DUMMYFUNCTION("""COMPUTED_VALUE"""),613.0)</f>
        <v>613</v>
      </c>
      <c r="AH215" s="199">
        <f>IFERROR(__xludf.DUMMYFUNCTION("""COMPUTED_VALUE"""),7.0)</f>
        <v>7</v>
      </c>
      <c r="AI215" s="200" t="str">
        <f>IFERROR(__xludf.DUMMYFUNCTION("""COMPUTED_VALUE"""),"Normal - No Action Required")</f>
        <v>Normal - No Action Required</v>
      </c>
      <c r="AJ215" s="200" t="str">
        <f>IFERROR(__xludf.DUMMYFUNCTION("""COMPUTED_VALUE"""),"Continue routine monitoring and sampling schedule")</f>
        <v>Continue routine monitoring and sampling schedule</v>
      </c>
      <c r="AK215" s="204"/>
      <c r="AL215" s="204"/>
      <c r="AM215" s="204"/>
    </row>
    <row r="216" hidden="1">
      <c r="A216" s="199" t="str">
        <f>IFERROR(__xludf.DUMMYFUNCTION("""COMPUTED_VALUE"""),"481.BC600")</f>
        <v>481.BC600</v>
      </c>
      <c r="B216" s="200" t="str">
        <f>IFERROR(__xludf.DUMMYFUNCTION("""COMPUTED_VALUE"""),"Belt conveyor Gearbox")</f>
        <v>Belt conveyor Gearbox</v>
      </c>
      <c r="C216" s="199">
        <f>IFERROR(__xludf.DUMMYFUNCTION("""COMPUTED_VALUE"""),2.5049182236E10)</f>
        <v>25049182236</v>
      </c>
      <c r="D216" s="201">
        <f>IFERROR(__xludf.DUMMYFUNCTION("""COMPUTED_VALUE"""),45701.0)</f>
        <v>45701</v>
      </c>
      <c r="E216" s="202" t="str">
        <f>IFERROR(__xludf.DUMMYFUNCTION("""COMPUTED_VALUE"""),"Alert")</f>
        <v>Alert</v>
      </c>
      <c r="F216" s="202" t="str">
        <f>IFERROR(__xludf.DUMMYFUNCTION("""COMPUTED_VALUE"""),"Alert")</f>
        <v>Alert</v>
      </c>
      <c r="G216" s="203" t="str">
        <f>IFERROR(__xludf.DUMMYFUNCTION("""COMPUTED_VALUE"""),"Normal")</f>
        <v>Normal</v>
      </c>
      <c r="H216" s="203" t="str">
        <f>IFERROR(__xludf.DUMMYFUNCTION("""COMPUTED_VALUE"""),"Alert")</f>
        <v>Alert</v>
      </c>
      <c r="I216" s="37"/>
      <c r="J216" s="37"/>
      <c r="K216" s="37"/>
      <c r="L216" s="199">
        <f>IFERROR(__xludf.DUMMYFUNCTION("""COMPUTED_VALUE"""),23.0)</f>
        <v>23</v>
      </c>
      <c r="M216" s="199">
        <f>IFERROR(__xludf.DUMMYFUNCTION("""COMPUTED_VALUE"""),264.9)</f>
        <v>264.9</v>
      </c>
      <c r="N216" s="37"/>
      <c r="O216" s="37"/>
      <c r="P216" s="199">
        <f>IFERROR(__xludf.DUMMYFUNCTION("""COMPUTED_VALUE"""),0.1)</f>
        <v>0.1</v>
      </c>
      <c r="Q216" s="199">
        <f>IFERROR(__xludf.DUMMYFUNCTION("""COMPUTED_VALUE"""),0.0)</f>
        <v>0</v>
      </c>
      <c r="R216" s="199">
        <f>IFERROR(__xludf.DUMMYFUNCTION("""COMPUTED_VALUE"""),5.0)</f>
        <v>5</v>
      </c>
      <c r="S216" s="199">
        <f>IFERROR(__xludf.DUMMYFUNCTION("""COMPUTED_VALUE"""),1.0)</f>
        <v>1</v>
      </c>
      <c r="T216" s="199">
        <f>IFERROR(__xludf.DUMMYFUNCTION("""COMPUTED_VALUE"""),2.0)</f>
        <v>2</v>
      </c>
      <c r="U216" s="199">
        <f>IFERROR(__xludf.DUMMYFUNCTION("""COMPUTED_VALUE"""),6.0)</f>
        <v>6</v>
      </c>
      <c r="V216" s="199">
        <f>IFERROR(__xludf.DUMMYFUNCTION("""COMPUTED_VALUE"""),0.0)</f>
        <v>0</v>
      </c>
      <c r="W216" s="199">
        <f>IFERROR(__xludf.DUMMYFUNCTION("""COMPUTED_VALUE"""),0.0)</f>
        <v>0</v>
      </c>
      <c r="X216" s="199">
        <f>IFERROR(__xludf.DUMMYFUNCTION("""COMPUTED_VALUE"""),2.0)</f>
        <v>2</v>
      </c>
      <c r="Y216" s="199">
        <f>IFERROR(__xludf.DUMMYFUNCTION("""COMPUTED_VALUE"""),0.0)</f>
        <v>0</v>
      </c>
      <c r="Z216" s="199">
        <f>IFERROR(__xludf.DUMMYFUNCTION("""COMPUTED_VALUE"""),0.0)</f>
        <v>0</v>
      </c>
      <c r="AA216" s="199">
        <f>IFERROR(__xludf.DUMMYFUNCTION("""COMPUTED_VALUE"""),0.0)</f>
        <v>0</v>
      </c>
      <c r="AB216" s="199">
        <f>IFERROR(__xludf.DUMMYFUNCTION("""COMPUTED_VALUE"""),20.0)</f>
        <v>20</v>
      </c>
      <c r="AC216" s="199">
        <f>IFERROR(__xludf.DUMMYFUNCTION("""COMPUTED_VALUE"""),7.0)</f>
        <v>7</v>
      </c>
      <c r="AD216" s="199">
        <f>IFERROR(__xludf.DUMMYFUNCTION("""COMPUTED_VALUE"""),0.0)</f>
        <v>0</v>
      </c>
      <c r="AE216" s="199">
        <f>IFERROR(__xludf.DUMMYFUNCTION("""COMPUTED_VALUE"""),10.0)</f>
        <v>10</v>
      </c>
      <c r="AF216" s="199">
        <f>IFERROR(__xludf.DUMMYFUNCTION("""COMPUTED_VALUE"""),2.0)</f>
        <v>2</v>
      </c>
      <c r="AG216" s="199">
        <f>IFERROR(__xludf.DUMMYFUNCTION("""COMPUTED_VALUE"""),254.0)</f>
        <v>254</v>
      </c>
      <c r="AH216" s="199">
        <f>IFERROR(__xludf.DUMMYFUNCTION("""COMPUTED_VALUE"""),6.0)</f>
        <v>6</v>
      </c>
      <c r="AI216" s="200" t="str">
        <f>IFERROR(__xludf.DUMMYFUNCTION("""COMPUTED_VALUE"""),"General Alert")</f>
        <v>General Alert</v>
      </c>
      <c r="AJ216" s="200" t="str">
        <f>IFERROR(__xludf.DUMMYFUNCTION("""COMPUTED_VALUE"""),"Investigate root cause; increase sampling frequency to monthly")</f>
        <v>Investigate root cause; increase sampling frequency to monthly</v>
      </c>
      <c r="AK216" s="204"/>
      <c r="AL216" s="204"/>
      <c r="AM216" s="204"/>
    </row>
    <row r="217" hidden="1">
      <c r="A217" s="199" t="str">
        <f>IFERROR(__xludf.DUMMYFUNCTION("""COMPUTED_VALUE"""),"R2.472.CV200")</f>
        <v>R2.472.CV200</v>
      </c>
      <c r="B217" s="200" t="str">
        <f>IFERROR(__xludf.DUMMYFUNCTION("""COMPUTED_VALUE"""),"Drag chain #2 geared motor")</f>
        <v>Drag chain #2 geared motor</v>
      </c>
      <c r="C217" s="199">
        <f>IFERROR(__xludf.DUMMYFUNCTION("""COMPUTED_VALUE"""),2.5049182225E10)</f>
        <v>25049182225</v>
      </c>
      <c r="D217" s="201">
        <f>IFERROR(__xludf.DUMMYFUNCTION("""COMPUTED_VALUE"""),45701.0)</f>
        <v>45701</v>
      </c>
      <c r="E217" s="202" t="str">
        <f>IFERROR(__xludf.DUMMYFUNCTION("""COMPUTED_VALUE"""),"Alert")</f>
        <v>Alert</v>
      </c>
      <c r="F217" s="202" t="str">
        <f>IFERROR(__xludf.DUMMYFUNCTION("""COMPUTED_VALUE"""),"Alert")</f>
        <v>Alert</v>
      </c>
      <c r="G217" s="203" t="str">
        <f>IFERROR(__xludf.DUMMYFUNCTION("""COMPUTED_VALUE"""),"Normal")</f>
        <v>Normal</v>
      </c>
      <c r="H217" s="203" t="str">
        <f>IFERROR(__xludf.DUMMYFUNCTION("""COMPUTED_VALUE"""),"Caution")</f>
        <v>Caution</v>
      </c>
      <c r="I217" s="37">
        <f>IFERROR(__xludf.DUMMYFUNCTION("""COMPUTED_VALUE"""),39256.0)</f>
        <v>39256</v>
      </c>
      <c r="J217" s="37">
        <f>IFERROR(__xludf.DUMMYFUNCTION("""COMPUTED_VALUE"""),21067.0)</f>
        <v>21067</v>
      </c>
      <c r="K217" s="37">
        <f>IFERROR(__xludf.DUMMYFUNCTION("""COMPUTED_VALUE"""),1100.0)</f>
        <v>1100</v>
      </c>
      <c r="L217" s="199">
        <f>IFERROR(__xludf.DUMMYFUNCTION("""COMPUTED_VALUE"""),16.0)</f>
        <v>16</v>
      </c>
      <c r="M217" s="199">
        <f>IFERROR(__xludf.DUMMYFUNCTION("""COMPUTED_VALUE"""),352.6)</f>
        <v>352.6</v>
      </c>
      <c r="N217" s="37"/>
      <c r="O217" s="37">
        <f>IFERROR(__xludf.DUMMYFUNCTION("""COMPUTED_VALUE"""),1.0)</f>
        <v>1</v>
      </c>
      <c r="P217" s="199">
        <f>IFERROR(__xludf.DUMMYFUNCTION("""COMPUTED_VALUE"""),0.2)</f>
        <v>0.2</v>
      </c>
      <c r="Q217" s="199">
        <f>IFERROR(__xludf.DUMMYFUNCTION("""COMPUTED_VALUE"""),0.0)</f>
        <v>0</v>
      </c>
      <c r="R217" s="199">
        <f>IFERROR(__xludf.DUMMYFUNCTION("""COMPUTED_VALUE"""),6.0)</f>
        <v>6</v>
      </c>
      <c r="S217" s="199">
        <f>IFERROR(__xludf.DUMMYFUNCTION("""COMPUTED_VALUE"""),1.0)</f>
        <v>1</v>
      </c>
      <c r="T217" s="199">
        <f>IFERROR(__xludf.DUMMYFUNCTION("""COMPUTED_VALUE"""),3.0)</f>
        <v>3</v>
      </c>
      <c r="U217" s="199">
        <f>IFERROR(__xludf.DUMMYFUNCTION("""COMPUTED_VALUE"""),9.0)</f>
        <v>9</v>
      </c>
      <c r="V217" s="199">
        <f>IFERROR(__xludf.DUMMYFUNCTION("""COMPUTED_VALUE"""),0.0)</f>
        <v>0</v>
      </c>
      <c r="W217" s="199">
        <f>IFERROR(__xludf.DUMMYFUNCTION("""COMPUTED_VALUE"""),0.0)</f>
        <v>0</v>
      </c>
      <c r="X217" s="199">
        <f>IFERROR(__xludf.DUMMYFUNCTION("""COMPUTED_VALUE"""),2.0)</f>
        <v>2</v>
      </c>
      <c r="Y217" s="199">
        <f>IFERROR(__xludf.DUMMYFUNCTION("""COMPUTED_VALUE"""),0.0)</f>
        <v>0</v>
      </c>
      <c r="Z217" s="199">
        <f>IFERROR(__xludf.DUMMYFUNCTION("""COMPUTED_VALUE"""),2.0)</f>
        <v>2</v>
      </c>
      <c r="AA217" s="199">
        <f>IFERROR(__xludf.DUMMYFUNCTION("""COMPUTED_VALUE"""),0.0)</f>
        <v>0</v>
      </c>
      <c r="AB217" s="199">
        <f>IFERROR(__xludf.DUMMYFUNCTION("""COMPUTED_VALUE"""),21.0)</f>
        <v>21</v>
      </c>
      <c r="AC217" s="199">
        <f>IFERROR(__xludf.DUMMYFUNCTION("""COMPUTED_VALUE"""),8.0)</f>
        <v>8</v>
      </c>
      <c r="AD217" s="199">
        <f>IFERROR(__xludf.DUMMYFUNCTION("""COMPUTED_VALUE"""),0.0)</f>
        <v>0</v>
      </c>
      <c r="AE217" s="199">
        <f>IFERROR(__xludf.DUMMYFUNCTION("""COMPUTED_VALUE"""),12.0)</f>
        <v>12</v>
      </c>
      <c r="AF217" s="199">
        <f>IFERROR(__xludf.DUMMYFUNCTION("""COMPUTED_VALUE"""),0.0)</f>
        <v>0</v>
      </c>
      <c r="AG217" s="199">
        <f>IFERROR(__xludf.DUMMYFUNCTION("""COMPUTED_VALUE"""),758.0)</f>
        <v>758</v>
      </c>
      <c r="AH217" s="199">
        <f>IFERROR(__xludf.DUMMYFUNCTION("""COMPUTED_VALUE"""),6.0)</f>
        <v>6</v>
      </c>
      <c r="AI217" s="200" t="str">
        <f>IFERROR(__xludf.DUMMYFUNCTION("""COMPUTED_VALUE"""),"Water Ingress")</f>
        <v>Water Ingress</v>
      </c>
      <c r="AJ217" s="200" t="str">
        <f>IFERROR(__xludf.DUMMYFUNCTION("""COMPUTED_VALUE"""),"Water detected - inspect seals and breathers")</f>
        <v>Water detected - inspect seals and breathers</v>
      </c>
      <c r="AK217" s="204"/>
      <c r="AL217" s="204"/>
      <c r="AM217" s="204"/>
    </row>
    <row r="218" hidden="1">
      <c r="A218" s="199" t="str">
        <f>IFERROR(__xludf.DUMMYFUNCTION("""COMPUTED_VALUE"""),"531.BE220")</f>
        <v>531.BE220</v>
      </c>
      <c r="B218" s="200" t="str">
        <f>IFERROR(__xludf.DUMMYFUNCTION("""COMPUTED_VALUE"""),"Bucket Elevator BM#1 GB.")</f>
        <v>Bucket Elevator BM#1 GB.</v>
      </c>
      <c r="C218" s="199">
        <f>IFERROR(__xludf.DUMMYFUNCTION("""COMPUTED_VALUE"""),2.504918224E10)</f>
        <v>25049182240</v>
      </c>
      <c r="D218" s="201">
        <f>IFERROR(__xludf.DUMMYFUNCTION("""COMPUTED_VALUE"""),45701.0)</f>
        <v>45701</v>
      </c>
      <c r="E218" s="202" t="str">
        <f>IFERROR(__xludf.DUMMYFUNCTION("""COMPUTED_VALUE"""),"Normal")</f>
        <v>Normal</v>
      </c>
      <c r="F218" s="202" t="str">
        <f>IFERROR(__xludf.DUMMYFUNCTION("""COMPUTED_VALUE"""),"Normal")</f>
        <v>Normal</v>
      </c>
      <c r="G218" s="203" t="str">
        <f>IFERROR(__xludf.DUMMYFUNCTION("""COMPUTED_VALUE"""),"Normal")</f>
        <v>Normal</v>
      </c>
      <c r="H218" s="203" t="str">
        <f>IFERROR(__xludf.DUMMYFUNCTION("""COMPUTED_VALUE"""),"Normal")</f>
        <v>Normal</v>
      </c>
      <c r="I218" s="37">
        <f>IFERROR(__xludf.DUMMYFUNCTION("""COMPUTED_VALUE"""),33092.0)</f>
        <v>33092</v>
      </c>
      <c r="J218" s="37">
        <f>IFERROR(__xludf.DUMMYFUNCTION("""COMPUTED_VALUE"""),24673.0)</f>
        <v>24673</v>
      </c>
      <c r="K218" s="37">
        <f>IFERROR(__xludf.DUMMYFUNCTION("""COMPUTED_VALUE"""),10161.0)</f>
        <v>10161</v>
      </c>
      <c r="L218" s="199">
        <f>IFERROR(__xludf.DUMMYFUNCTION("""COMPUTED_VALUE"""),16.0)</f>
        <v>16</v>
      </c>
      <c r="M218" s="199">
        <f>IFERROR(__xludf.DUMMYFUNCTION("""COMPUTED_VALUE"""),303.4)</f>
        <v>303.4</v>
      </c>
      <c r="N218" s="199"/>
      <c r="O218" s="199">
        <f>IFERROR(__xludf.DUMMYFUNCTION("""COMPUTED_VALUE"""),1.0)</f>
        <v>1</v>
      </c>
      <c r="P218" s="199">
        <f>IFERROR(__xludf.DUMMYFUNCTION("""COMPUTED_VALUE"""),0.02)</f>
        <v>0.02</v>
      </c>
      <c r="Q218" s="199">
        <f>IFERROR(__xludf.DUMMYFUNCTION("""COMPUTED_VALUE"""),0.0)</f>
        <v>0</v>
      </c>
      <c r="R218" s="199">
        <f>IFERROR(__xludf.DUMMYFUNCTION("""COMPUTED_VALUE"""),5.0)</f>
        <v>5</v>
      </c>
      <c r="S218" s="199">
        <f>IFERROR(__xludf.DUMMYFUNCTION("""COMPUTED_VALUE"""),2.0)</f>
        <v>2</v>
      </c>
      <c r="T218" s="199">
        <f>IFERROR(__xludf.DUMMYFUNCTION("""COMPUTED_VALUE"""),3.0)</f>
        <v>3</v>
      </c>
      <c r="U218" s="199">
        <f>IFERROR(__xludf.DUMMYFUNCTION("""COMPUTED_VALUE"""),51.0)</f>
        <v>51</v>
      </c>
      <c r="V218" s="199">
        <f>IFERROR(__xludf.DUMMYFUNCTION("""COMPUTED_VALUE"""),0.0)</f>
        <v>0</v>
      </c>
      <c r="W218" s="199">
        <f>IFERROR(__xludf.DUMMYFUNCTION("""COMPUTED_VALUE"""),0.0)</f>
        <v>0</v>
      </c>
      <c r="X218" s="199">
        <f>IFERROR(__xludf.DUMMYFUNCTION("""COMPUTED_VALUE"""),1.0)</f>
        <v>1</v>
      </c>
      <c r="Y218" s="199">
        <f>IFERROR(__xludf.DUMMYFUNCTION("""COMPUTED_VALUE"""),0.0)</f>
        <v>0</v>
      </c>
      <c r="Z218" s="199">
        <f>IFERROR(__xludf.DUMMYFUNCTION("""COMPUTED_VALUE"""),2.0)</f>
        <v>2</v>
      </c>
      <c r="AA218" s="199">
        <f>IFERROR(__xludf.DUMMYFUNCTION("""COMPUTED_VALUE"""),0.0)</f>
        <v>0</v>
      </c>
      <c r="AB218" s="199">
        <f>IFERROR(__xludf.DUMMYFUNCTION("""COMPUTED_VALUE"""),10.0)</f>
        <v>10</v>
      </c>
      <c r="AC218" s="199">
        <f>IFERROR(__xludf.DUMMYFUNCTION("""COMPUTED_VALUE"""),26.0)</f>
        <v>26</v>
      </c>
      <c r="AD218" s="199">
        <f>IFERROR(__xludf.DUMMYFUNCTION("""COMPUTED_VALUE"""),0.0)</f>
        <v>0</v>
      </c>
      <c r="AE218" s="199">
        <f>IFERROR(__xludf.DUMMYFUNCTION("""COMPUTED_VALUE"""),56.0)</f>
        <v>56</v>
      </c>
      <c r="AF218" s="199">
        <f>IFERROR(__xludf.DUMMYFUNCTION("""COMPUTED_VALUE"""),3.0)</f>
        <v>3</v>
      </c>
      <c r="AG218" s="199">
        <f>IFERROR(__xludf.DUMMYFUNCTION("""COMPUTED_VALUE"""),644.0)</f>
        <v>644</v>
      </c>
      <c r="AH218" s="199">
        <f>IFERROR(__xludf.DUMMYFUNCTION("""COMPUTED_VALUE"""),30.0)</f>
        <v>30</v>
      </c>
      <c r="AI218" s="200" t="str">
        <f>IFERROR(__xludf.DUMMYFUNCTION("""COMPUTED_VALUE"""),"Normal - No Action Required")</f>
        <v>Normal - No Action Required</v>
      </c>
      <c r="AJ218" s="200" t="str">
        <f>IFERROR(__xludf.DUMMYFUNCTION("""COMPUTED_VALUE"""),"Continue routine monitoring and sampling schedule")</f>
        <v>Continue routine monitoring and sampling schedule</v>
      </c>
      <c r="AK218" s="204"/>
      <c r="AL218" s="204"/>
      <c r="AM218" s="204"/>
    </row>
    <row r="219" hidden="1">
      <c r="A219" s="199" t="str">
        <f>IFERROR(__xludf.DUMMYFUNCTION("""COMPUTED_VALUE"""),"541.BE180")</f>
        <v>541.BE180</v>
      </c>
      <c r="B219" s="200" t="str">
        <f>IFERROR(__xludf.DUMMYFUNCTION("""COMPUTED_VALUE"""),"Bucket Elevator Cem. Silo#1 GB.")</f>
        <v>Bucket Elevator Cem. Silo#1 GB.</v>
      </c>
      <c r="C219" s="199">
        <f>IFERROR(__xludf.DUMMYFUNCTION("""COMPUTED_VALUE"""),2.5049182248E10)</f>
        <v>25049182248</v>
      </c>
      <c r="D219" s="201">
        <f>IFERROR(__xludf.DUMMYFUNCTION("""COMPUTED_VALUE"""),45701.0)</f>
        <v>45701</v>
      </c>
      <c r="E219" s="202" t="str">
        <f>IFERROR(__xludf.DUMMYFUNCTION("""COMPUTED_VALUE"""),"Alert")</f>
        <v>Alert</v>
      </c>
      <c r="F219" s="202" t="str">
        <f>IFERROR(__xludf.DUMMYFUNCTION("""COMPUTED_VALUE"""),"Alert")</f>
        <v>Alert</v>
      </c>
      <c r="G219" s="203" t="str">
        <f>IFERROR(__xludf.DUMMYFUNCTION("""COMPUTED_VALUE"""),"Normal")</f>
        <v>Normal</v>
      </c>
      <c r="H219" s="203" t="str">
        <f>IFERROR(__xludf.DUMMYFUNCTION("""COMPUTED_VALUE"""),"Normal")</f>
        <v>Normal</v>
      </c>
      <c r="I219" s="37"/>
      <c r="J219" s="37"/>
      <c r="K219" s="37"/>
      <c r="L219" s="199">
        <f>IFERROR(__xludf.DUMMYFUNCTION("""COMPUTED_VALUE"""),12.0)</f>
        <v>12</v>
      </c>
      <c r="M219" s="199">
        <f>IFERROR(__xludf.DUMMYFUNCTION("""COMPUTED_VALUE"""),266.0)</f>
        <v>266</v>
      </c>
      <c r="N219" s="199"/>
      <c r="O219" s="199"/>
      <c r="P219" s="199">
        <f>IFERROR(__xludf.DUMMYFUNCTION("""COMPUTED_VALUE"""),0.1)</f>
        <v>0.1</v>
      </c>
      <c r="Q219" s="37">
        <f>IFERROR(__xludf.DUMMYFUNCTION("""COMPUTED_VALUE"""),0.0)</f>
        <v>0</v>
      </c>
      <c r="R219" s="199">
        <f>IFERROR(__xludf.DUMMYFUNCTION("""COMPUTED_VALUE"""),4.0)</f>
        <v>4</v>
      </c>
      <c r="S219" s="199">
        <f>IFERROR(__xludf.DUMMYFUNCTION("""COMPUTED_VALUE"""),1.0)</f>
        <v>1</v>
      </c>
      <c r="T219" s="199">
        <f>IFERROR(__xludf.DUMMYFUNCTION("""COMPUTED_VALUE"""),3.0)</f>
        <v>3</v>
      </c>
      <c r="U219" s="199">
        <f>IFERROR(__xludf.DUMMYFUNCTION("""COMPUTED_VALUE"""),6.0)</f>
        <v>6</v>
      </c>
      <c r="V219" s="199">
        <f>IFERROR(__xludf.DUMMYFUNCTION("""COMPUTED_VALUE"""),0.0)</f>
        <v>0</v>
      </c>
      <c r="W219" s="199">
        <f>IFERROR(__xludf.DUMMYFUNCTION("""COMPUTED_VALUE"""),0.0)</f>
        <v>0</v>
      </c>
      <c r="X219" s="199">
        <f>IFERROR(__xludf.DUMMYFUNCTION("""COMPUTED_VALUE"""),2.0)</f>
        <v>2</v>
      </c>
      <c r="Y219" s="199">
        <f>IFERROR(__xludf.DUMMYFUNCTION("""COMPUTED_VALUE"""),0.0)</f>
        <v>0</v>
      </c>
      <c r="Z219" s="199">
        <f>IFERROR(__xludf.DUMMYFUNCTION("""COMPUTED_VALUE"""),0.0)</f>
        <v>0</v>
      </c>
      <c r="AA219" s="199">
        <f>IFERROR(__xludf.DUMMYFUNCTION("""COMPUTED_VALUE"""),0.0)</f>
        <v>0</v>
      </c>
      <c r="AB219" s="199">
        <f>IFERROR(__xludf.DUMMYFUNCTION("""COMPUTED_VALUE"""),18.0)</f>
        <v>18</v>
      </c>
      <c r="AC219" s="199">
        <f>IFERROR(__xludf.DUMMYFUNCTION("""COMPUTED_VALUE"""),8.0)</f>
        <v>8</v>
      </c>
      <c r="AD219" s="199">
        <f>IFERROR(__xludf.DUMMYFUNCTION("""COMPUTED_VALUE"""),0.0)</f>
        <v>0</v>
      </c>
      <c r="AE219" s="199">
        <f>IFERROR(__xludf.DUMMYFUNCTION("""COMPUTED_VALUE"""),19.0)</f>
        <v>19</v>
      </c>
      <c r="AF219" s="199">
        <f>IFERROR(__xludf.DUMMYFUNCTION("""COMPUTED_VALUE"""),0.0)</f>
        <v>0</v>
      </c>
      <c r="AG219" s="199">
        <f>IFERROR(__xludf.DUMMYFUNCTION("""COMPUTED_VALUE"""),674.0)</f>
        <v>674</v>
      </c>
      <c r="AH219" s="199">
        <f>IFERROR(__xludf.DUMMYFUNCTION("""COMPUTED_VALUE"""),36.0)</f>
        <v>36</v>
      </c>
      <c r="AI219" s="200" t="str">
        <f>IFERROR(__xludf.DUMMYFUNCTION("""COMPUTED_VALUE"""),"General Alert")</f>
        <v>General Alert</v>
      </c>
      <c r="AJ219" s="200" t="str">
        <f>IFERROR(__xludf.DUMMYFUNCTION("""COMPUTED_VALUE"""),"Investigate root cause; increase sampling frequency to monthly")</f>
        <v>Investigate root cause; increase sampling frequency to monthly</v>
      </c>
      <c r="AK219" s="204"/>
      <c r="AL219" s="204"/>
      <c r="AM219" s="204"/>
    </row>
    <row r="220" hidden="1">
      <c r="A220" s="199" t="str">
        <f>IFERROR(__xludf.DUMMYFUNCTION("""COMPUTED_VALUE"""),"542.BE180")</f>
        <v>542.BE180</v>
      </c>
      <c r="B220" s="200" t="str">
        <f>IFERROR(__xludf.DUMMYFUNCTION("""COMPUTED_VALUE"""),"Bucket Elevator Cem. Silo#2 GB.")</f>
        <v>Bucket Elevator Cem. Silo#2 GB.</v>
      </c>
      <c r="C220" s="199">
        <f>IFERROR(__xludf.DUMMYFUNCTION("""COMPUTED_VALUE"""),2.504918226E10)</f>
        <v>25049182260</v>
      </c>
      <c r="D220" s="201">
        <f>IFERROR(__xludf.DUMMYFUNCTION("""COMPUTED_VALUE"""),45701.0)</f>
        <v>45701</v>
      </c>
      <c r="E220" s="202" t="str">
        <f>IFERROR(__xludf.DUMMYFUNCTION("""COMPUTED_VALUE"""),"Caution")</f>
        <v>Caution</v>
      </c>
      <c r="F220" s="202" t="str">
        <f>IFERROR(__xludf.DUMMYFUNCTION("""COMPUTED_VALUE"""),"Caution")</f>
        <v>Caution</v>
      </c>
      <c r="G220" s="203" t="str">
        <f>IFERROR(__xludf.DUMMYFUNCTION("""COMPUTED_VALUE"""),"Normal")</f>
        <v>Normal</v>
      </c>
      <c r="H220" s="203" t="str">
        <f>IFERROR(__xludf.DUMMYFUNCTION("""COMPUTED_VALUE"""),"Normal")</f>
        <v>Normal</v>
      </c>
      <c r="I220" s="199"/>
      <c r="J220" s="199"/>
      <c r="K220" s="199"/>
      <c r="L220" s="199">
        <f>IFERROR(__xludf.DUMMYFUNCTION("""COMPUTED_VALUE"""),16.0)</f>
        <v>16</v>
      </c>
      <c r="M220" s="199">
        <f>IFERROR(__xludf.DUMMYFUNCTION("""COMPUTED_VALUE"""),293.3)</f>
        <v>293.3</v>
      </c>
      <c r="N220" s="199"/>
      <c r="O220" s="199"/>
      <c r="P220" s="199">
        <f>IFERROR(__xludf.DUMMYFUNCTION("""COMPUTED_VALUE"""),0.02)</f>
        <v>0.02</v>
      </c>
      <c r="Q220" s="199">
        <f>IFERROR(__xludf.DUMMYFUNCTION("""COMPUTED_VALUE"""),0.0)</f>
        <v>0</v>
      </c>
      <c r="R220" s="199">
        <f>IFERROR(__xludf.DUMMYFUNCTION("""COMPUTED_VALUE"""),5.0)</f>
        <v>5</v>
      </c>
      <c r="S220" s="199">
        <f>IFERROR(__xludf.DUMMYFUNCTION("""COMPUTED_VALUE"""),1.0)</f>
        <v>1</v>
      </c>
      <c r="T220" s="199">
        <f>IFERROR(__xludf.DUMMYFUNCTION("""COMPUTED_VALUE"""),3.0)</f>
        <v>3</v>
      </c>
      <c r="U220" s="199">
        <f>IFERROR(__xludf.DUMMYFUNCTION("""COMPUTED_VALUE"""),17.0)</f>
        <v>17</v>
      </c>
      <c r="V220" s="199">
        <f>IFERROR(__xludf.DUMMYFUNCTION("""COMPUTED_VALUE"""),2.0)</f>
        <v>2</v>
      </c>
      <c r="W220" s="199">
        <f>IFERROR(__xludf.DUMMYFUNCTION("""COMPUTED_VALUE"""),0.0)</f>
        <v>0</v>
      </c>
      <c r="X220" s="199">
        <f>IFERROR(__xludf.DUMMYFUNCTION("""COMPUTED_VALUE"""),2.0)</f>
        <v>2</v>
      </c>
      <c r="Y220" s="199">
        <f>IFERROR(__xludf.DUMMYFUNCTION("""COMPUTED_VALUE"""),0.0)</f>
        <v>0</v>
      </c>
      <c r="Z220" s="199">
        <f>IFERROR(__xludf.DUMMYFUNCTION("""COMPUTED_VALUE"""),0.0)</f>
        <v>0</v>
      </c>
      <c r="AA220" s="199">
        <f>IFERROR(__xludf.DUMMYFUNCTION("""COMPUTED_VALUE"""),2.0)</f>
        <v>2</v>
      </c>
      <c r="AB220" s="199">
        <f>IFERROR(__xludf.DUMMYFUNCTION("""COMPUTED_VALUE"""),6.0)</f>
        <v>6</v>
      </c>
      <c r="AC220" s="199">
        <f>IFERROR(__xludf.DUMMYFUNCTION("""COMPUTED_VALUE"""),40.0)</f>
        <v>40</v>
      </c>
      <c r="AD220" s="199">
        <f>IFERROR(__xludf.DUMMYFUNCTION("""COMPUTED_VALUE"""),0.0)</f>
        <v>0</v>
      </c>
      <c r="AE220" s="199">
        <f>IFERROR(__xludf.DUMMYFUNCTION("""COMPUTED_VALUE"""),45.0)</f>
        <v>45</v>
      </c>
      <c r="AF220" s="199">
        <f>IFERROR(__xludf.DUMMYFUNCTION("""COMPUTED_VALUE"""),5.0)</f>
        <v>5</v>
      </c>
      <c r="AG220" s="199">
        <f>IFERROR(__xludf.DUMMYFUNCTION("""COMPUTED_VALUE"""),820.0)</f>
        <v>820</v>
      </c>
      <c r="AH220" s="199">
        <f>IFERROR(__xludf.DUMMYFUNCTION("""COMPUTED_VALUE"""),28.0)</f>
        <v>28</v>
      </c>
      <c r="AI220" s="200" t="str">
        <f>IFERROR(__xludf.DUMMYFUNCTION("""COMPUTED_VALUE"""),"General Caution")</f>
        <v>General Caution</v>
      </c>
      <c r="AJ220" s="200" t="str">
        <f>IFERROR(__xludf.DUMMYFUNCTION("""COMPUTED_VALUE"""),"Continue monitoring; resample at next scheduled interval")</f>
        <v>Continue monitoring; resample at next scheduled interval</v>
      </c>
      <c r="AK220" s="204"/>
      <c r="AL220" s="204"/>
      <c r="AM220" s="204"/>
    </row>
    <row r="221" hidden="1">
      <c r="A221" s="199" t="str">
        <f>IFERROR(__xludf.DUMMYFUNCTION("""COMPUTED_VALUE"""),"544.BE180")</f>
        <v>544.BE180</v>
      </c>
      <c r="B221" s="200" t="str">
        <f>IFERROR(__xludf.DUMMYFUNCTION("""COMPUTED_VALUE"""),"Bucket Elevator Cem. Silo#4 GB.")</f>
        <v>Bucket Elevator Cem. Silo#4 GB.</v>
      </c>
      <c r="C221" s="199">
        <f>IFERROR(__xludf.DUMMYFUNCTION("""COMPUTED_VALUE"""),2.5049182251E10)</f>
        <v>25049182251</v>
      </c>
      <c r="D221" s="201">
        <f>IFERROR(__xludf.DUMMYFUNCTION("""COMPUTED_VALUE"""),45701.0)</f>
        <v>45701</v>
      </c>
      <c r="E221" s="202" t="str">
        <f>IFERROR(__xludf.DUMMYFUNCTION("""COMPUTED_VALUE"""),"Alert")</f>
        <v>Alert</v>
      </c>
      <c r="F221" s="202" t="str">
        <f>IFERROR(__xludf.DUMMYFUNCTION("""COMPUTED_VALUE"""),"Alert")</f>
        <v>Alert</v>
      </c>
      <c r="G221" s="203" t="str">
        <f>IFERROR(__xludf.DUMMYFUNCTION("""COMPUTED_VALUE"""),"Normal")</f>
        <v>Normal</v>
      </c>
      <c r="H221" s="203" t="str">
        <f>IFERROR(__xludf.DUMMYFUNCTION("""COMPUTED_VALUE"""),"Normal")</f>
        <v>Normal</v>
      </c>
      <c r="I221" s="199"/>
      <c r="J221" s="199"/>
      <c r="K221" s="199"/>
      <c r="L221" s="199">
        <f>IFERROR(__xludf.DUMMYFUNCTION("""COMPUTED_VALUE"""),13.0)</f>
        <v>13</v>
      </c>
      <c r="M221" s="199">
        <f>IFERROR(__xludf.DUMMYFUNCTION("""COMPUTED_VALUE"""),303.9)</f>
        <v>303.9</v>
      </c>
      <c r="N221" s="199"/>
      <c r="O221" s="199"/>
      <c r="P221" s="199">
        <f>IFERROR(__xludf.DUMMYFUNCTION("""COMPUTED_VALUE"""),0.1)</f>
        <v>0.1</v>
      </c>
      <c r="Q221" s="199">
        <f>IFERROR(__xludf.DUMMYFUNCTION("""COMPUTED_VALUE"""),0.0)</f>
        <v>0</v>
      </c>
      <c r="R221" s="199">
        <f>IFERROR(__xludf.DUMMYFUNCTION("""COMPUTED_VALUE"""),5.0)</f>
        <v>5</v>
      </c>
      <c r="S221" s="199">
        <f>IFERROR(__xludf.DUMMYFUNCTION("""COMPUTED_VALUE"""),1.0)</f>
        <v>1</v>
      </c>
      <c r="T221" s="199">
        <f>IFERROR(__xludf.DUMMYFUNCTION("""COMPUTED_VALUE"""),3.0)</f>
        <v>3</v>
      </c>
      <c r="U221" s="199">
        <f>IFERROR(__xludf.DUMMYFUNCTION("""COMPUTED_VALUE"""),4.0)</f>
        <v>4</v>
      </c>
      <c r="V221" s="199">
        <f>IFERROR(__xludf.DUMMYFUNCTION("""COMPUTED_VALUE"""),2.0)</f>
        <v>2</v>
      </c>
      <c r="W221" s="199">
        <f>IFERROR(__xludf.DUMMYFUNCTION("""COMPUTED_VALUE"""),0.0)</f>
        <v>0</v>
      </c>
      <c r="X221" s="199">
        <f>IFERROR(__xludf.DUMMYFUNCTION("""COMPUTED_VALUE"""),2.0)</f>
        <v>2</v>
      </c>
      <c r="Y221" s="199">
        <f>IFERROR(__xludf.DUMMYFUNCTION("""COMPUTED_VALUE"""),0.0)</f>
        <v>0</v>
      </c>
      <c r="Z221" s="199">
        <f>IFERROR(__xludf.DUMMYFUNCTION("""COMPUTED_VALUE"""),0.0)</f>
        <v>0</v>
      </c>
      <c r="AA221" s="199">
        <f>IFERROR(__xludf.DUMMYFUNCTION("""COMPUTED_VALUE"""),0.0)</f>
        <v>0</v>
      </c>
      <c r="AB221" s="199">
        <f>IFERROR(__xludf.DUMMYFUNCTION("""COMPUTED_VALUE"""),15.0)</f>
        <v>15</v>
      </c>
      <c r="AC221" s="199">
        <f>IFERROR(__xludf.DUMMYFUNCTION("""COMPUTED_VALUE"""),7.0)</f>
        <v>7</v>
      </c>
      <c r="AD221" s="199">
        <f>IFERROR(__xludf.DUMMYFUNCTION("""COMPUTED_VALUE"""),0.0)</f>
        <v>0</v>
      </c>
      <c r="AE221" s="199">
        <f>IFERROR(__xludf.DUMMYFUNCTION("""COMPUTED_VALUE"""),8.0)</f>
        <v>8</v>
      </c>
      <c r="AF221" s="199">
        <f>IFERROR(__xludf.DUMMYFUNCTION("""COMPUTED_VALUE"""),5.0)</f>
        <v>5</v>
      </c>
      <c r="AG221" s="199">
        <f>IFERROR(__xludf.DUMMYFUNCTION("""COMPUTED_VALUE"""),626.0)</f>
        <v>626</v>
      </c>
      <c r="AH221" s="199">
        <f>IFERROR(__xludf.DUMMYFUNCTION("""COMPUTED_VALUE"""),13.0)</f>
        <v>13</v>
      </c>
      <c r="AI221" s="200" t="str">
        <f>IFERROR(__xludf.DUMMYFUNCTION("""COMPUTED_VALUE"""),"General Alert")</f>
        <v>General Alert</v>
      </c>
      <c r="AJ221" s="200" t="str">
        <f>IFERROR(__xludf.DUMMYFUNCTION("""COMPUTED_VALUE"""),"Investigate root cause; increase sampling frequency to monthly")</f>
        <v>Investigate root cause; increase sampling frequency to monthly</v>
      </c>
      <c r="AK221" s="204"/>
      <c r="AL221" s="204"/>
      <c r="AM221" s="204"/>
    </row>
    <row r="222" hidden="1">
      <c r="A222" s="199" t="str">
        <f>IFERROR(__xludf.DUMMYFUNCTION("""COMPUTED_VALUE"""),"531.LQ110")</f>
        <v>531.LQ110</v>
      </c>
      <c r="B222" s="200" t="str">
        <f>IFERROR(__xludf.DUMMYFUNCTION("""COMPUTED_VALUE"""),"Cement Mill Inlet Slide Shoe Bearing LUB.")</f>
        <v>Cement Mill Inlet Slide Shoe Bearing LUB.</v>
      </c>
      <c r="C222" s="199">
        <f>IFERROR(__xludf.DUMMYFUNCTION("""COMPUTED_VALUE"""),2.5049182246E10)</f>
        <v>25049182246</v>
      </c>
      <c r="D222" s="201">
        <f>IFERROR(__xludf.DUMMYFUNCTION("""COMPUTED_VALUE"""),45701.0)</f>
        <v>45701</v>
      </c>
      <c r="E222" s="202" t="str">
        <f>IFERROR(__xludf.DUMMYFUNCTION("""COMPUTED_VALUE"""),"Alert")</f>
        <v>Alert</v>
      </c>
      <c r="F222" s="202" t="str">
        <f>IFERROR(__xludf.DUMMYFUNCTION("""COMPUTED_VALUE"""),"Alert")</f>
        <v>Alert</v>
      </c>
      <c r="G222" s="203" t="str">
        <f>IFERROR(__xludf.DUMMYFUNCTION("""COMPUTED_VALUE"""),"Alert")</f>
        <v>Alert</v>
      </c>
      <c r="H222" s="203" t="str">
        <f>IFERROR(__xludf.DUMMYFUNCTION("""COMPUTED_VALUE"""),"Normal")</f>
        <v>Normal</v>
      </c>
      <c r="I222" s="37"/>
      <c r="J222" s="37"/>
      <c r="K222" s="37"/>
      <c r="L222" s="199">
        <f>IFERROR(__xludf.DUMMYFUNCTION("""COMPUTED_VALUE"""),54.0)</f>
        <v>54</v>
      </c>
      <c r="M222" s="199">
        <f>IFERROR(__xludf.DUMMYFUNCTION("""COMPUTED_VALUE"""),451.5)</f>
        <v>451.5</v>
      </c>
      <c r="N222" s="199"/>
      <c r="O222" s="199">
        <f>IFERROR(__xludf.DUMMYFUNCTION("""COMPUTED_VALUE"""),3.0)</f>
        <v>3</v>
      </c>
      <c r="P222" s="199">
        <f>IFERROR(__xludf.DUMMYFUNCTION("""COMPUTED_VALUE"""),0.1)</f>
        <v>0.1</v>
      </c>
      <c r="Q222" s="199">
        <f>IFERROR(__xludf.DUMMYFUNCTION("""COMPUTED_VALUE"""),0.0)</f>
        <v>0</v>
      </c>
      <c r="R222" s="199">
        <f>IFERROR(__xludf.DUMMYFUNCTION("""COMPUTED_VALUE"""),52.0)</f>
        <v>52</v>
      </c>
      <c r="S222" s="199">
        <f>IFERROR(__xludf.DUMMYFUNCTION("""COMPUTED_VALUE"""),2.0)</f>
        <v>2</v>
      </c>
      <c r="T222" s="199">
        <f>IFERROR(__xludf.DUMMYFUNCTION("""COMPUTED_VALUE"""),35.0)</f>
        <v>35</v>
      </c>
      <c r="U222" s="199">
        <f>IFERROR(__xludf.DUMMYFUNCTION("""COMPUTED_VALUE"""),150.0)</f>
        <v>150</v>
      </c>
      <c r="V222" s="199">
        <f>IFERROR(__xludf.DUMMYFUNCTION("""COMPUTED_VALUE"""),2.0)</f>
        <v>2</v>
      </c>
      <c r="W222" s="199">
        <f>IFERROR(__xludf.DUMMYFUNCTION("""COMPUTED_VALUE"""),0.0)</f>
        <v>0</v>
      </c>
      <c r="X222" s="199">
        <f>IFERROR(__xludf.DUMMYFUNCTION("""COMPUTED_VALUE"""),29.0)</f>
        <v>29</v>
      </c>
      <c r="Y222" s="199">
        <f>IFERROR(__xludf.DUMMYFUNCTION("""COMPUTED_VALUE"""),0.0)</f>
        <v>0</v>
      </c>
      <c r="Z222" s="199">
        <f>IFERROR(__xludf.DUMMYFUNCTION("""COMPUTED_VALUE"""),3.0)</f>
        <v>3</v>
      </c>
      <c r="AA222" s="199">
        <f>IFERROR(__xludf.DUMMYFUNCTION("""COMPUTED_VALUE"""),14.0)</f>
        <v>14</v>
      </c>
      <c r="AB222" s="199">
        <f>IFERROR(__xludf.DUMMYFUNCTION("""COMPUTED_VALUE"""),153.0)</f>
        <v>153</v>
      </c>
      <c r="AC222" s="199">
        <f>IFERROR(__xludf.DUMMYFUNCTION("""COMPUTED_VALUE"""),20.0)</f>
        <v>20</v>
      </c>
      <c r="AD222" s="199">
        <f>IFERROR(__xludf.DUMMYFUNCTION("""COMPUTED_VALUE"""),0.0)</f>
        <v>0</v>
      </c>
      <c r="AE222" s="199">
        <f>IFERROR(__xludf.DUMMYFUNCTION("""COMPUTED_VALUE"""),500.0)</f>
        <v>500</v>
      </c>
      <c r="AF222" s="199">
        <f>IFERROR(__xludf.DUMMYFUNCTION("""COMPUTED_VALUE"""),30.0)</f>
        <v>30</v>
      </c>
      <c r="AG222" s="199">
        <f>IFERROR(__xludf.DUMMYFUNCTION("""COMPUTED_VALUE"""),495.0)</f>
        <v>495</v>
      </c>
      <c r="AH222" s="199">
        <f>IFERROR(__xludf.DUMMYFUNCTION("""COMPUTED_VALUE"""),10.0)</f>
        <v>10</v>
      </c>
      <c r="AI222" s="200" t="str">
        <f>IFERROR(__xludf.DUMMYFUNCTION("""COMPUTED_VALUE"""),"Wear Metal Alert | Contamination Alert")</f>
        <v>Wear Metal Alert | Contamination Alert</v>
      </c>
      <c r="AJ222" s="200" t="str">
        <f>IFERROR(__xludf.DUMMYFUNCTION("""COMPUTED_VALUE"""),"URGENT: Inspect equipment immediately for wear/damage; High wear metals - inspect bearing/gear surfaces; Very high silicon - check/replace air filters, inspect seals")</f>
        <v>URGENT: Inspect equipment immediately for wear/damage; High wear metals - inspect bearing/gear surfaces; Very high silicon - check/replace air filters, inspect seals</v>
      </c>
      <c r="AK222" s="204"/>
      <c r="AL222" s="204"/>
      <c r="AM222" s="204"/>
    </row>
    <row r="223" hidden="1">
      <c r="A223" s="199" t="str">
        <f>IFERROR(__xludf.DUMMYFUNCTION("""COMPUTED_VALUE"""),"531.LQ120")</f>
        <v>531.LQ120</v>
      </c>
      <c r="B223" s="200" t="str">
        <f>IFERROR(__xludf.DUMMYFUNCTION("""COMPUTED_VALUE"""),"Cement Mill Outlet Slide Shoe Bearing LUB.")</f>
        <v>Cement Mill Outlet Slide Shoe Bearing LUB.</v>
      </c>
      <c r="C223" s="199">
        <f>IFERROR(__xludf.DUMMYFUNCTION("""COMPUTED_VALUE"""),2.5049182247E10)</f>
        <v>25049182247</v>
      </c>
      <c r="D223" s="201">
        <f>IFERROR(__xludf.DUMMYFUNCTION("""COMPUTED_VALUE"""),45701.0)</f>
        <v>45701</v>
      </c>
      <c r="E223" s="202" t="str">
        <f>IFERROR(__xludf.DUMMYFUNCTION("""COMPUTED_VALUE"""),"Alert")</f>
        <v>Alert</v>
      </c>
      <c r="F223" s="202" t="str">
        <f>IFERROR(__xludf.DUMMYFUNCTION("""COMPUTED_VALUE"""),"Alert")</f>
        <v>Alert</v>
      </c>
      <c r="G223" s="203" t="str">
        <f>IFERROR(__xludf.DUMMYFUNCTION("""COMPUTED_VALUE"""),"Alert")</f>
        <v>Alert</v>
      </c>
      <c r="H223" s="203" t="str">
        <f>IFERROR(__xludf.DUMMYFUNCTION("""COMPUTED_VALUE"""),"Caution")</f>
        <v>Caution</v>
      </c>
      <c r="I223" s="199"/>
      <c r="J223" s="199"/>
      <c r="K223" s="199"/>
      <c r="L223" s="199">
        <f>IFERROR(__xludf.DUMMYFUNCTION("""COMPUTED_VALUE"""),42.0)</f>
        <v>42</v>
      </c>
      <c r="M223" s="199">
        <f>IFERROR(__xludf.DUMMYFUNCTION("""COMPUTED_VALUE"""),454.3)</f>
        <v>454.3</v>
      </c>
      <c r="N223" s="199"/>
      <c r="O223" s="199">
        <f>IFERROR(__xludf.DUMMYFUNCTION("""COMPUTED_VALUE"""),7.0)</f>
        <v>7</v>
      </c>
      <c r="P223" s="199">
        <f>IFERROR(__xludf.DUMMYFUNCTION("""COMPUTED_VALUE"""),0.1)</f>
        <v>0.1</v>
      </c>
      <c r="Q223" s="199">
        <f>IFERROR(__xludf.DUMMYFUNCTION("""COMPUTED_VALUE"""),0.0)</f>
        <v>0</v>
      </c>
      <c r="R223" s="199">
        <f>IFERROR(__xludf.DUMMYFUNCTION("""COMPUTED_VALUE"""),25.0)</f>
        <v>25</v>
      </c>
      <c r="S223" s="199">
        <f>IFERROR(__xludf.DUMMYFUNCTION("""COMPUTED_VALUE"""),1.0)</f>
        <v>1</v>
      </c>
      <c r="T223" s="199">
        <f>IFERROR(__xludf.DUMMYFUNCTION("""COMPUTED_VALUE"""),56.0)</f>
        <v>56</v>
      </c>
      <c r="U223" s="199">
        <f>IFERROR(__xludf.DUMMYFUNCTION("""COMPUTED_VALUE"""),90.0)</f>
        <v>90</v>
      </c>
      <c r="V223" s="199">
        <f>IFERROR(__xludf.DUMMYFUNCTION("""COMPUTED_VALUE"""),2.0)</f>
        <v>2</v>
      </c>
      <c r="W223" s="199">
        <f>IFERROR(__xludf.DUMMYFUNCTION("""COMPUTED_VALUE"""),0.0)</f>
        <v>0</v>
      </c>
      <c r="X223" s="199">
        <f>IFERROR(__xludf.DUMMYFUNCTION("""COMPUTED_VALUE"""),16.0)</f>
        <v>16</v>
      </c>
      <c r="Y223" s="199">
        <f>IFERROR(__xludf.DUMMYFUNCTION("""COMPUTED_VALUE"""),2.0)</f>
        <v>2</v>
      </c>
      <c r="Z223" s="199">
        <f>IFERROR(__xludf.DUMMYFUNCTION("""COMPUTED_VALUE"""),5.0)</f>
        <v>5</v>
      </c>
      <c r="AA223" s="199">
        <f>IFERROR(__xludf.DUMMYFUNCTION("""COMPUTED_VALUE"""),0.0)</f>
        <v>0</v>
      </c>
      <c r="AB223" s="199">
        <f>IFERROR(__xludf.DUMMYFUNCTION("""COMPUTED_VALUE"""),72.0)</f>
        <v>72</v>
      </c>
      <c r="AC223" s="199">
        <f>IFERROR(__xludf.DUMMYFUNCTION("""COMPUTED_VALUE"""),30.0)</f>
        <v>30</v>
      </c>
      <c r="AD223" s="199">
        <f>IFERROR(__xludf.DUMMYFUNCTION("""COMPUTED_VALUE"""),0.0)</f>
        <v>0</v>
      </c>
      <c r="AE223" s="199">
        <f>IFERROR(__xludf.DUMMYFUNCTION("""COMPUTED_VALUE"""),388.0)</f>
        <v>388</v>
      </c>
      <c r="AF223" s="199">
        <f>IFERROR(__xludf.DUMMYFUNCTION("""COMPUTED_VALUE"""),17.0)</f>
        <v>17</v>
      </c>
      <c r="AG223" s="199">
        <f>IFERROR(__xludf.DUMMYFUNCTION("""COMPUTED_VALUE"""),544.0)</f>
        <v>544</v>
      </c>
      <c r="AH223" s="199">
        <f>IFERROR(__xludf.DUMMYFUNCTION("""COMPUTED_VALUE"""),29.0)</f>
        <v>29</v>
      </c>
      <c r="AI223" s="200" t="str">
        <f>IFERROR(__xludf.DUMMYFUNCTION("""COMPUTED_VALUE"""),"Wear Metal Alert | Contamination Alert")</f>
        <v>Wear Metal Alert | Contamination Alert</v>
      </c>
      <c r="AJ223" s="200" t="str">
        <f>IFERROR(__xludf.DUMMYFUNCTION("""COMPUTED_VALUE"""),"URGENT: Inspect equipment immediately for wear/damage; Severe oxidation - lubricant change required urgently; Elevated silicon - inspect filters and seals for contamination")</f>
        <v>URGENT: Inspect equipment immediately for wear/damage; Severe oxidation - lubricant change required urgently; Elevated silicon - inspect filters and seals for contamination</v>
      </c>
      <c r="AK223" s="204"/>
      <c r="AL223" s="204"/>
      <c r="AM223" s="204"/>
    </row>
    <row r="224" hidden="1">
      <c r="A224" s="199" t="str">
        <f>IFERROR(__xludf.DUMMYFUNCTION("""COMPUTED_VALUE"""),"532.LQ110")</f>
        <v>532.LQ110</v>
      </c>
      <c r="B224" s="200" t="str">
        <f>IFERROR(__xludf.DUMMYFUNCTION("""COMPUTED_VALUE"""),"Cement Mill Inlet Slide Shoe Bearing LUB.")</f>
        <v>Cement Mill Inlet Slide Shoe Bearing LUB.</v>
      </c>
      <c r="C224" s="199">
        <f>IFERROR(__xludf.DUMMYFUNCTION("""COMPUTED_VALUE"""),2.5049182262E10)</f>
        <v>25049182262</v>
      </c>
      <c r="D224" s="201">
        <f>IFERROR(__xludf.DUMMYFUNCTION("""COMPUTED_VALUE"""),45701.0)</f>
        <v>45701</v>
      </c>
      <c r="E224" s="202" t="str">
        <f>IFERROR(__xludf.DUMMYFUNCTION("""COMPUTED_VALUE"""),"Alert")</f>
        <v>Alert</v>
      </c>
      <c r="F224" s="202" t="str">
        <f>IFERROR(__xludf.DUMMYFUNCTION("""COMPUTED_VALUE"""),"Alert")</f>
        <v>Alert</v>
      </c>
      <c r="G224" s="203" t="str">
        <f>IFERROR(__xludf.DUMMYFUNCTION("""COMPUTED_VALUE"""),"Alert")</f>
        <v>Alert</v>
      </c>
      <c r="H224" s="203" t="str">
        <f>IFERROR(__xludf.DUMMYFUNCTION("""COMPUTED_VALUE"""),"Normal")</f>
        <v>Normal</v>
      </c>
      <c r="I224" s="199"/>
      <c r="J224" s="199"/>
      <c r="K224" s="199"/>
      <c r="L224" s="199">
        <f>IFERROR(__xludf.DUMMYFUNCTION("""COMPUTED_VALUE"""),60.0)</f>
        <v>60</v>
      </c>
      <c r="M224" s="199">
        <f>IFERROR(__xludf.DUMMYFUNCTION("""COMPUTED_VALUE"""),448.6)</f>
        <v>448.6</v>
      </c>
      <c r="N224" s="199"/>
      <c r="O224" s="199">
        <f>IFERROR(__xludf.DUMMYFUNCTION("""COMPUTED_VALUE"""),3.0)</f>
        <v>3</v>
      </c>
      <c r="P224" s="199">
        <f>IFERROR(__xludf.DUMMYFUNCTION("""COMPUTED_VALUE"""),0.15)</f>
        <v>0.15</v>
      </c>
      <c r="Q224" s="199">
        <f>IFERROR(__xludf.DUMMYFUNCTION("""COMPUTED_VALUE"""),0.0)</f>
        <v>0</v>
      </c>
      <c r="R224" s="199">
        <f>IFERROR(__xludf.DUMMYFUNCTION("""COMPUTED_VALUE"""),19.0)</f>
        <v>19</v>
      </c>
      <c r="S224" s="199">
        <f>IFERROR(__xludf.DUMMYFUNCTION("""COMPUTED_VALUE"""),1.0)</f>
        <v>1</v>
      </c>
      <c r="T224" s="199">
        <f>IFERROR(__xludf.DUMMYFUNCTION("""COMPUTED_VALUE"""),42.0)</f>
        <v>42</v>
      </c>
      <c r="U224" s="199">
        <f>IFERROR(__xludf.DUMMYFUNCTION("""COMPUTED_VALUE"""),99.0)</f>
        <v>99</v>
      </c>
      <c r="V224" s="199">
        <f>IFERROR(__xludf.DUMMYFUNCTION("""COMPUTED_VALUE"""),2.0)</f>
        <v>2</v>
      </c>
      <c r="W224" s="199">
        <f>IFERROR(__xludf.DUMMYFUNCTION("""COMPUTED_VALUE"""),0.0)</f>
        <v>0</v>
      </c>
      <c r="X224" s="199">
        <f>IFERROR(__xludf.DUMMYFUNCTION("""COMPUTED_VALUE"""),25.0)</f>
        <v>25</v>
      </c>
      <c r="Y224" s="199">
        <f>IFERROR(__xludf.DUMMYFUNCTION("""COMPUTED_VALUE"""),0.0)</f>
        <v>0</v>
      </c>
      <c r="Z224" s="199">
        <f>IFERROR(__xludf.DUMMYFUNCTION("""COMPUTED_VALUE"""),5.0)</f>
        <v>5</v>
      </c>
      <c r="AA224" s="199">
        <f>IFERROR(__xludf.DUMMYFUNCTION("""COMPUTED_VALUE"""),0.0)</f>
        <v>0</v>
      </c>
      <c r="AB224" s="199">
        <f>IFERROR(__xludf.DUMMYFUNCTION("""COMPUTED_VALUE"""),69.0)</f>
        <v>69</v>
      </c>
      <c r="AC224" s="199">
        <f>IFERROR(__xludf.DUMMYFUNCTION("""COMPUTED_VALUE"""),28.0)</f>
        <v>28</v>
      </c>
      <c r="AD224" s="199">
        <f>IFERROR(__xludf.DUMMYFUNCTION("""COMPUTED_VALUE"""),0.0)</f>
        <v>0</v>
      </c>
      <c r="AE224" s="199">
        <f>IFERROR(__xludf.DUMMYFUNCTION("""COMPUTED_VALUE"""),260.0)</f>
        <v>260</v>
      </c>
      <c r="AF224" s="199">
        <f>IFERROR(__xludf.DUMMYFUNCTION("""COMPUTED_VALUE"""),14.0)</f>
        <v>14</v>
      </c>
      <c r="AG224" s="199">
        <f>IFERROR(__xludf.DUMMYFUNCTION("""COMPUTED_VALUE"""),530.0)</f>
        <v>530</v>
      </c>
      <c r="AH224" s="199">
        <f>IFERROR(__xludf.DUMMYFUNCTION("""COMPUTED_VALUE"""),16.0)</f>
        <v>16</v>
      </c>
      <c r="AI224" s="200" t="str">
        <f>IFERROR(__xludf.DUMMYFUNCTION("""COMPUTED_VALUE"""),"Wear Metal Alert | Contamination Alert | Water Ingress")</f>
        <v>Wear Metal Alert | Contamination Alert | Water Ingress</v>
      </c>
      <c r="AJ224" s="200" t="str">
        <f>IFERROR(__xludf.DUMMYFUNCTION("""COMPUTED_VALUE"""),"URGENT: Inspect equipment immediately for wear/damage; Water detected - inspect seals and breathers; Elevated silicon - inspect filters and seals for contamination")</f>
        <v>URGENT: Inspect equipment immediately for wear/damage; Water detected - inspect seals and breathers; Elevated silicon - inspect filters and seals for contamination</v>
      </c>
      <c r="AK224" s="204"/>
      <c r="AL224" s="204"/>
      <c r="AM224" s="204"/>
    </row>
    <row r="225" hidden="1">
      <c r="A225" s="199" t="str">
        <f>IFERROR(__xludf.DUMMYFUNCTION("""COMPUTED_VALUE"""),"533.LQ110")</f>
        <v>533.LQ110</v>
      </c>
      <c r="B225" s="200" t="str">
        <f>IFERROR(__xludf.DUMMYFUNCTION("""COMPUTED_VALUE"""),"Cement Mill Inlet Slide Shoe Bearing LUB.")</f>
        <v>Cement Mill Inlet Slide Shoe Bearing LUB.</v>
      </c>
      <c r="C225" s="199">
        <f>IFERROR(__xludf.DUMMYFUNCTION("""COMPUTED_VALUE"""),2.5049182243E10)</f>
        <v>25049182243</v>
      </c>
      <c r="D225" s="201">
        <f>IFERROR(__xludf.DUMMYFUNCTION("""COMPUTED_VALUE"""),45701.0)</f>
        <v>45701</v>
      </c>
      <c r="E225" s="202" t="str">
        <f>IFERROR(__xludf.DUMMYFUNCTION("""COMPUTED_VALUE"""),"Alert")</f>
        <v>Alert</v>
      </c>
      <c r="F225" s="202" t="str">
        <f>IFERROR(__xludf.DUMMYFUNCTION("""COMPUTED_VALUE"""),"Alert")</f>
        <v>Alert</v>
      </c>
      <c r="G225" s="203" t="str">
        <f>IFERROR(__xludf.DUMMYFUNCTION("""COMPUTED_VALUE"""),"Alert")</f>
        <v>Alert</v>
      </c>
      <c r="H225" s="203" t="str">
        <f>IFERROR(__xludf.DUMMYFUNCTION("""COMPUTED_VALUE"""),"Normal")</f>
        <v>Normal</v>
      </c>
      <c r="I225" s="199"/>
      <c r="J225" s="199"/>
      <c r="K225" s="199"/>
      <c r="L225" s="199">
        <f>IFERROR(__xludf.DUMMYFUNCTION("""COMPUTED_VALUE"""),97.0)</f>
        <v>97</v>
      </c>
      <c r="M225" s="199">
        <f>IFERROR(__xludf.DUMMYFUNCTION("""COMPUTED_VALUE"""),439.5)</f>
        <v>439.5</v>
      </c>
      <c r="N225" s="37"/>
      <c r="O225" s="37">
        <f>IFERROR(__xludf.DUMMYFUNCTION("""COMPUTED_VALUE"""),0.0)</f>
        <v>0</v>
      </c>
      <c r="P225" s="199">
        <f>IFERROR(__xludf.DUMMYFUNCTION("""COMPUTED_VALUE"""),0.5)</f>
        <v>0.5</v>
      </c>
      <c r="Q225" s="199">
        <f>IFERROR(__xludf.DUMMYFUNCTION("""COMPUTED_VALUE"""),0.0)</f>
        <v>0</v>
      </c>
      <c r="R225" s="199">
        <f>IFERROR(__xludf.DUMMYFUNCTION("""COMPUTED_VALUE"""),14.0)</f>
        <v>14</v>
      </c>
      <c r="S225" s="199">
        <f>IFERROR(__xludf.DUMMYFUNCTION("""COMPUTED_VALUE"""),1.0)</f>
        <v>1</v>
      </c>
      <c r="T225" s="199">
        <f>IFERROR(__xludf.DUMMYFUNCTION("""COMPUTED_VALUE"""),32.0)</f>
        <v>32</v>
      </c>
      <c r="U225" s="199">
        <f>IFERROR(__xludf.DUMMYFUNCTION("""COMPUTED_VALUE"""),78.0)</f>
        <v>78</v>
      </c>
      <c r="V225" s="199">
        <f>IFERROR(__xludf.DUMMYFUNCTION("""COMPUTED_VALUE"""),1.0)</f>
        <v>1</v>
      </c>
      <c r="W225" s="199">
        <f>IFERROR(__xludf.DUMMYFUNCTION("""COMPUTED_VALUE"""),0.0)</f>
        <v>0</v>
      </c>
      <c r="X225" s="199">
        <f>IFERROR(__xludf.DUMMYFUNCTION("""COMPUTED_VALUE"""),50.0)</f>
        <v>50</v>
      </c>
      <c r="Y225" s="199">
        <f>IFERROR(__xludf.DUMMYFUNCTION("""COMPUTED_VALUE"""),32.0)</f>
        <v>32</v>
      </c>
      <c r="Z225" s="199">
        <f>IFERROR(__xludf.DUMMYFUNCTION("""COMPUTED_VALUE"""),0.0)</f>
        <v>0</v>
      </c>
      <c r="AA225" s="199">
        <f>IFERROR(__xludf.DUMMYFUNCTION("""COMPUTED_VALUE"""),0.0)</f>
        <v>0</v>
      </c>
      <c r="AB225" s="199">
        <f>IFERROR(__xludf.DUMMYFUNCTION("""COMPUTED_VALUE"""),44.0)</f>
        <v>44</v>
      </c>
      <c r="AC225" s="199">
        <f>IFERROR(__xludf.DUMMYFUNCTION("""COMPUTED_VALUE"""),20.0)</f>
        <v>20</v>
      </c>
      <c r="AD225" s="199">
        <f>IFERROR(__xludf.DUMMYFUNCTION("""COMPUTED_VALUE"""),0.0)</f>
        <v>0</v>
      </c>
      <c r="AE225" s="199">
        <f>IFERROR(__xludf.DUMMYFUNCTION("""COMPUTED_VALUE"""),140.0)</f>
        <v>140</v>
      </c>
      <c r="AF225" s="199">
        <f>IFERROR(__xludf.DUMMYFUNCTION("""COMPUTED_VALUE"""),8.0)</f>
        <v>8</v>
      </c>
      <c r="AG225" s="199">
        <f>IFERROR(__xludf.DUMMYFUNCTION("""COMPUTED_VALUE"""),552.0)</f>
        <v>552</v>
      </c>
      <c r="AH225" s="199">
        <f>IFERROR(__xludf.DUMMYFUNCTION("""COMPUTED_VALUE"""),4.0)</f>
        <v>4</v>
      </c>
      <c r="AI225" s="200" t="str">
        <f>IFERROR(__xludf.DUMMYFUNCTION("""COMPUTED_VALUE"""),"Wear Metal Alert | Water Ingress")</f>
        <v>Wear Metal Alert | Water Ingress</v>
      </c>
      <c r="AJ225" s="200" t="str">
        <f>IFERROR(__xludf.DUMMYFUNCTION("""COMPUTED_VALUE"""),"URGENT: Inspect equipment immediately for wear/damage; High water contamination - check seals and drain water immediately; Elevated silicon - inspect filters and seals for contamination; High particle count - replace filters and resample")</f>
        <v>URGENT: Inspect equipment immediately for wear/damage; High water contamination - check seals and drain water immediately; Elevated silicon - inspect filters and seals for contamination; High particle count - replace filters and resample</v>
      </c>
      <c r="AK225" s="204"/>
      <c r="AL225" s="204"/>
      <c r="AM225" s="204"/>
    </row>
    <row r="226" hidden="1">
      <c r="A226" s="199" t="str">
        <f>IFERROR(__xludf.DUMMYFUNCTION("""COMPUTED_VALUE"""),"533.LQ120")</f>
        <v>533.LQ120</v>
      </c>
      <c r="B226" s="200" t="str">
        <f>IFERROR(__xludf.DUMMYFUNCTION("""COMPUTED_VALUE"""),"Cement Mill Outlet Slide Shoe Bearing LUB.")</f>
        <v>Cement Mill Outlet Slide Shoe Bearing LUB.</v>
      </c>
      <c r="C226" s="199">
        <f>IFERROR(__xludf.DUMMYFUNCTION("""COMPUTED_VALUE"""),2.504918225E10)</f>
        <v>25049182250</v>
      </c>
      <c r="D226" s="201">
        <f>IFERROR(__xludf.DUMMYFUNCTION("""COMPUTED_VALUE"""),45701.0)</f>
        <v>45701</v>
      </c>
      <c r="E226" s="202" t="str">
        <f>IFERROR(__xludf.DUMMYFUNCTION("""COMPUTED_VALUE"""),"Alert")</f>
        <v>Alert</v>
      </c>
      <c r="F226" s="202" t="str">
        <f>IFERROR(__xludf.DUMMYFUNCTION("""COMPUTED_VALUE"""),"Alert")</f>
        <v>Alert</v>
      </c>
      <c r="G226" s="203" t="str">
        <f>IFERROR(__xludf.DUMMYFUNCTION("""COMPUTED_VALUE"""),"Caution")</f>
        <v>Caution</v>
      </c>
      <c r="H226" s="203" t="str">
        <f>IFERROR(__xludf.DUMMYFUNCTION("""COMPUTED_VALUE"""),"Normal")</f>
        <v>Normal</v>
      </c>
      <c r="I226" s="37"/>
      <c r="J226" s="37"/>
      <c r="K226" s="37"/>
      <c r="L226" s="199">
        <f>IFERROR(__xludf.DUMMYFUNCTION("""COMPUTED_VALUE"""),37.0)</f>
        <v>37</v>
      </c>
      <c r="M226" s="199">
        <f>IFERROR(__xludf.DUMMYFUNCTION("""COMPUTED_VALUE"""),444.0)</f>
        <v>444</v>
      </c>
      <c r="N226" s="37"/>
      <c r="O226" s="37">
        <f>IFERROR(__xludf.DUMMYFUNCTION("""COMPUTED_VALUE"""),0.0)</f>
        <v>0</v>
      </c>
      <c r="P226" s="199">
        <f>IFERROR(__xludf.DUMMYFUNCTION("""COMPUTED_VALUE"""),0.1)</f>
        <v>0.1</v>
      </c>
      <c r="Q226" s="199">
        <f>IFERROR(__xludf.DUMMYFUNCTION("""COMPUTED_VALUE"""),0.0)</f>
        <v>0</v>
      </c>
      <c r="R226" s="199">
        <f>IFERROR(__xludf.DUMMYFUNCTION("""COMPUTED_VALUE"""),12.0)</f>
        <v>12</v>
      </c>
      <c r="S226" s="199">
        <f>IFERROR(__xludf.DUMMYFUNCTION("""COMPUTED_VALUE"""),1.0)</f>
        <v>1</v>
      </c>
      <c r="T226" s="199">
        <f>IFERROR(__xludf.DUMMYFUNCTION("""COMPUTED_VALUE"""),11.0)</f>
        <v>11</v>
      </c>
      <c r="U226" s="199">
        <f>IFERROR(__xludf.DUMMYFUNCTION("""COMPUTED_VALUE"""),49.0)</f>
        <v>49</v>
      </c>
      <c r="V226" s="199">
        <f>IFERROR(__xludf.DUMMYFUNCTION("""COMPUTED_VALUE"""),2.0)</f>
        <v>2</v>
      </c>
      <c r="W226" s="199">
        <f>IFERROR(__xludf.DUMMYFUNCTION("""COMPUTED_VALUE"""),0.0)</f>
        <v>0</v>
      </c>
      <c r="X226" s="199">
        <f>IFERROR(__xludf.DUMMYFUNCTION("""COMPUTED_VALUE"""),25.0)</f>
        <v>25</v>
      </c>
      <c r="Y226" s="199">
        <f>IFERROR(__xludf.DUMMYFUNCTION("""COMPUTED_VALUE"""),4.0)</f>
        <v>4</v>
      </c>
      <c r="Z226" s="199">
        <f>IFERROR(__xludf.DUMMYFUNCTION("""COMPUTED_VALUE"""),0.0)</f>
        <v>0</v>
      </c>
      <c r="AA226" s="199">
        <f>IFERROR(__xludf.DUMMYFUNCTION("""COMPUTED_VALUE"""),0.0)</f>
        <v>0</v>
      </c>
      <c r="AB226" s="199">
        <f>IFERROR(__xludf.DUMMYFUNCTION("""COMPUTED_VALUE"""),53.0)</f>
        <v>53</v>
      </c>
      <c r="AC226" s="199">
        <f>IFERROR(__xludf.DUMMYFUNCTION("""COMPUTED_VALUE"""),14.0)</f>
        <v>14</v>
      </c>
      <c r="AD226" s="199">
        <f>IFERROR(__xludf.DUMMYFUNCTION("""COMPUTED_VALUE"""),0.0)</f>
        <v>0</v>
      </c>
      <c r="AE226" s="199">
        <f>IFERROR(__xludf.DUMMYFUNCTION("""COMPUTED_VALUE"""),118.0)</f>
        <v>118</v>
      </c>
      <c r="AF226" s="199">
        <f>IFERROR(__xludf.DUMMYFUNCTION("""COMPUTED_VALUE"""),7.0)</f>
        <v>7</v>
      </c>
      <c r="AG226" s="199">
        <f>IFERROR(__xludf.DUMMYFUNCTION("""COMPUTED_VALUE"""),515.0)</f>
        <v>515</v>
      </c>
      <c r="AH226" s="199">
        <f>IFERROR(__xludf.DUMMYFUNCTION("""COMPUTED_VALUE"""),15.0)</f>
        <v>15</v>
      </c>
      <c r="AI226" s="200" t="str">
        <f>IFERROR(__xludf.DUMMYFUNCTION("""COMPUTED_VALUE"""),"Contamination Alert")</f>
        <v>Contamination Alert</v>
      </c>
      <c r="AJ226" s="200" t="str">
        <f>IFERROR(__xludf.DUMMYFUNCTION("""COMPUTED_VALUE"""),"Elevated silicon - inspect filters and seals for contamination")</f>
        <v>Elevated silicon - inspect filters and seals for contamination</v>
      </c>
      <c r="AK226" s="204"/>
      <c r="AL226" s="204"/>
      <c r="AM226" s="204"/>
    </row>
    <row r="227" hidden="1">
      <c r="A227" s="199" t="str">
        <f>IFERROR(__xludf.DUMMYFUNCTION("""COMPUTED_VALUE"""),"534.LQ110")</f>
        <v>534.LQ110</v>
      </c>
      <c r="B227" s="200" t="str">
        <f>IFERROR(__xludf.DUMMYFUNCTION("""COMPUTED_VALUE"""),"Cement Mill Inlet Slide Shoe Bearing LUB.")</f>
        <v>Cement Mill Inlet Slide Shoe Bearing LUB.</v>
      </c>
      <c r="C227" s="199">
        <f>IFERROR(__xludf.DUMMYFUNCTION("""COMPUTED_VALUE"""),2.5049182257E10)</f>
        <v>25049182257</v>
      </c>
      <c r="D227" s="201">
        <f>IFERROR(__xludf.DUMMYFUNCTION("""COMPUTED_VALUE"""),45701.0)</f>
        <v>45701</v>
      </c>
      <c r="E227" s="202" t="str">
        <f>IFERROR(__xludf.DUMMYFUNCTION("""COMPUTED_VALUE"""),"Alert")</f>
        <v>Alert</v>
      </c>
      <c r="F227" s="202" t="str">
        <f>IFERROR(__xludf.DUMMYFUNCTION("""COMPUTED_VALUE"""),"Alert")</f>
        <v>Alert</v>
      </c>
      <c r="G227" s="203" t="str">
        <f>IFERROR(__xludf.DUMMYFUNCTION("""COMPUTED_VALUE"""),"Alert")</f>
        <v>Alert</v>
      </c>
      <c r="H227" s="203" t="str">
        <f>IFERROR(__xludf.DUMMYFUNCTION("""COMPUTED_VALUE"""),"Normal")</f>
        <v>Normal</v>
      </c>
      <c r="I227" s="37"/>
      <c r="J227" s="37"/>
      <c r="K227" s="37"/>
      <c r="L227" s="199">
        <f>IFERROR(__xludf.DUMMYFUNCTION("""COMPUTED_VALUE"""),86.0)</f>
        <v>86</v>
      </c>
      <c r="M227" s="199">
        <f>IFERROR(__xludf.DUMMYFUNCTION("""COMPUTED_VALUE"""),457.2)</f>
        <v>457.2</v>
      </c>
      <c r="N227" s="37"/>
      <c r="O227" s="37">
        <f>IFERROR(__xludf.DUMMYFUNCTION("""COMPUTED_VALUE"""),3.0)</f>
        <v>3</v>
      </c>
      <c r="P227" s="199">
        <f>IFERROR(__xludf.DUMMYFUNCTION("""COMPUTED_VALUE"""),0.3)</f>
        <v>0.3</v>
      </c>
      <c r="Q227" s="199">
        <f>IFERROR(__xludf.DUMMYFUNCTION("""COMPUTED_VALUE"""),0.0)</f>
        <v>0</v>
      </c>
      <c r="R227" s="199">
        <f>IFERROR(__xludf.DUMMYFUNCTION("""COMPUTED_VALUE"""),27.0)</f>
        <v>27</v>
      </c>
      <c r="S227" s="199">
        <f>IFERROR(__xludf.DUMMYFUNCTION("""COMPUTED_VALUE"""),2.0)</f>
        <v>2</v>
      </c>
      <c r="T227" s="199">
        <f>IFERROR(__xludf.DUMMYFUNCTION("""COMPUTED_VALUE"""),338.0)</f>
        <v>338</v>
      </c>
      <c r="U227" s="199">
        <f>IFERROR(__xludf.DUMMYFUNCTION("""COMPUTED_VALUE"""),172.0)</f>
        <v>172</v>
      </c>
      <c r="V227" s="199">
        <f>IFERROR(__xludf.DUMMYFUNCTION("""COMPUTED_VALUE"""),2.0)</f>
        <v>2</v>
      </c>
      <c r="W227" s="199">
        <f>IFERROR(__xludf.DUMMYFUNCTION("""COMPUTED_VALUE"""),0.0)</f>
        <v>0</v>
      </c>
      <c r="X227" s="199">
        <f>IFERROR(__xludf.DUMMYFUNCTION("""COMPUTED_VALUE"""),45.0)</f>
        <v>45</v>
      </c>
      <c r="Y227" s="199">
        <f>IFERROR(__xludf.DUMMYFUNCTION("""COMPUTED_VALUE"""),2.0)</f>
        <v>2</v>
      </c>
      <c r="Z227" s="199">
        <f>IFERROR(__xludf.DUMMYFUNCTION("""COMPUTED_VALUE"""),5.0)</f>
        <v>5</v>
      </c>
      <c r="AA227" s="199">
        <f>IFERROR(__xludf.DUMMYFUNCTION("""COMPUTED_VALUE"""),0.0)</f>
        <v>0</v>
      </c>
      <c r="AB227" s="199">
        <f>IFERROR(__xludf.DUMMYFUNCTION("""COMPUTED_VALUE"""),86.0)</f>
        <v>86</v>
      </c>
      <c r="AC227" s="199">
        <f>IFERROR(__xludf.DUMMYFUNCTION("""COMPUTED_VALUE"""),19.0)</f>
        <v>19</v>
      </c>
      <c r="AD227" s="199">
        <f>IFERROR(__xludf.DUMMYFUNCTION("""COMPUTED_VALUE"""),0.0)</f>
        <v>0</v>
      </c>
      <c r="AE227" s="199">
        <f>IFERROR(__xludf.DUMMYFUNCTION("""COMPUTED_VALUE"""),366.0)</f>
        <v>366</v>
      </c>
      <c r="AF227" s="199">
        <f>IFERROR(__xludf.DUMMYFUNCTION("""COMPUTED_VALUE"""),6.0)</f>
        <v>6</v>
      </c>
      <c r="AG227" s="199">
        <f>IFERROR(__xludf.DUMMYFUNCTION("""COMPUTED_VALUE"""),311.0)</f>
        <v>311</v>
      </c>
      <c r="AH227" s="199">
        <f>IFERROR(__xludf.DUMMYFUNCTION("""COMPUTED_VALUE"""),28.0)</f>
        <v>28</v>
      </c>
      <c r="AI227" s="200" t="str">
        <f>IFERROR(__xludf.DUMMYFUNCTION("""COMPUTED_VALUE"""),"Wear Metal Alert | Contamination Alert | Water Ingress")</f>
        <v>Wear Metal Alert | Contamination Alert | Water Ingress</v>
      </c>
      <c r="AJ227" s="200" t="str">
        <f>IFERROR(__xludf.DUMMYFUNCTION("""COMPUTED_VALUE"""),"URGENT: Inspect equipment immediately for wear/damage; Critical wear metals detected - schedule immediate inspection; High wear metals - inspect bearing/gear surfaces; High water contamination - check seals and drain water immediately; Elevated silicon - "&amp;"inspect filters and seals for contamination; High particle count - replace filters and resample")</f>
        <v>URGENT: Inspect equipment immediately for wear/damage; Critical wear metals detected - schedule immediate inspection; High wear metals - inspect bearing/gear surfaces; High water contamination - check seals and drain water immediately; Elevated silicon - inspect filters and seals for contamination; High particle count - replace filters and resample</v>
      </c>
      <c r="AK227" s="204"/>
      <c r="AL227" s="204"/>
      <c r="AM227" s="204"/>
    </row>
    <row r="228" hidden="1">
      <c r="A228" s="199" t="str">
        <f>IFERROR(__xludf.DUMMYFUNCTION("""COMPUTED_VALUE"""),"534.LQ120")</f>
        <v>534.LQ120</v>
      </c>
      <c r="B228" s="200" t="str">
        <f>IFERROR(__xludf.DUMMYFUNCTION("""COMPUTED_VALUE"""),"Cement Mill Outlet Slide Shoe Bearing LUB.")</f>
        <v>Cement Mill Outlet Slide Shoe Bearing LUB.</v>
      </c>
      <c r="C228" s="199">
        <f>IFERROR(__xludf.DUMMYFUNCTION("""COMPUTED_VALUE"""),2.5049182259E10)</f>
        <v>25049182259</v>
      </c>
      <c r="D228" s="201">
        <f>IFERROR(__xludf.DUMMYFUNCTION("""COMPUTED_VALUE"""),45701.0)</f>
        <v>45701</v>
      </c>
      <c r="E228" s="202" t="str">
        <f>IFERROR(__xludf.DUMMYFUNCTION("""COMPUTED_VALUE"""),"Alert")</f>
        <v>Alert</v>
      </c>
      <c r="F228" s="202" t="str">
        <f>IFERROR(__xludf.DUMMYFUNCTION("""COMPUTED_VALUE"""),"Alert")</f>
        <v>Alert</v>
      </c>
      <c r="G228" s="203" t="str">
        <f>IFERROR(__xludf.DUMMYFUNCTION("""COMPUTED_VALUE"""),"Alert")</f>
        <v>Alert</v>
      </c>
      <c r="H228" s="203" t="str">
        <f>IFERROR(__xludf.DUMMYFUNCTION("""COMPUTED_VALUE"""),"Normal")</f>
        <v>Normal</v>
      </c>
      <c r="I228" s="37"/>
      <c r="J228" s="37"/>
      <c r="K228" s="37"/>
      <c r="L228" s="199">
        <f>IFERROR(__xludf.DUMMYFUNCTION("""COMPUTED_VALUE"""),106.0)</f>
        <v>106</v>
      </c>
      <c r="M228" s="199">
        <f>IFERROR(__xludf.DUMMYFUNCTION("""COMPUTED_VALUE"""),441.7)</f>
        <v>441.7</v>
      </c>
      <c r="N228" s="37"/>
      <c r="O228" s="37">
        <f>IFERROR(__xludf.DUMMYFUNCTION("""COMPUTED_VALUE"""),0.0)</f>
        <v>0</v>
      </c>
      <c r="P228" s="199">
        <f>IFERROR(__xludf.DUMMYFUNCTION("""COMPUTED_VALUE"""),0.2)</f>
        <v>0.2</v>
      </c>
      <c r="Q228" s="199">
        <f>IFERROR(__xludf.DUMMYFUNCTION("""COMPUTED_VALUE"""),0.0)</f>
        <v>0</v>
      </c>
      <c r="R228" s="199">
        <f>IFERROR(__xludf.DUMMYFUNCTION("""COMPUTED_VALUE"""),17.0)</f>
        <v>17</v>
      </c>
      <c r="S228" s="199">
        <f>IFERROR(__xludf.DUMMYFUNCTION("""COMPUTED_VALUE"""),1.0)</f>
        <v>1</v>
      </c>
      <c r="T228" s="199">
        <f>IFERROR(__xludf.DUMMYFUNCTION("""COMPUTED_VALUE"""),63.0)</f>
        <v>63</v>
      </c>
      <c r="U228" s="199">
        <f>IFERROR(__xludf.DUMMYFUNCTION("""COMPUTED_VALUE"""),113.0)</f>
        <v>113</v>
      </c>
      <c r="V228" s="199">
        <f>IFERROR(__xludf.DUMMYFUNCTION("""COMPUTED_VALUE"""),0.0)</f>
        <v>0</v>
      </c>
      <c r="W228" s="199">
        <f>IFERROR(__xludf.DUMMYFUNCTION("""COMPUTED_VALUE"""),0.0)</f>
        <v>0</v>
      </c>
      <c r="X228" s="199">
        <f>IFERROR(__xludf.DUMMYFUNCTION("""COMPUTED_VALUE"""),60.0)</f>
        <v>60</v>
      </c>
      <c r="Y228" s="199">
        <f>IFERROR(__xludf.DUMMYFUNCTION("""COMPUTED_VALUE"""),45.0)</f>
        <v>45</v>
      </c>
      <c r="Z228" s="199">
        <f>IFERROR(__xludf.DUMMYFUNCTION("""COMPUTED_VALUE"""),2.0)</f>
        <v>2</v>
      </c>
      <c r="AA228" s="199">
        <f>IFERROR(__xludf.DUMMYFUNCTION("""COMPUTED_VALUE"""),0.0)</f>
        <v>0</v>
      </c>
      <c r="AB228" s="199">
        <f>IFERROR(__xludf.DUMMYFUNCTION("""COMPUTED_VALUE"""),50.0)</f>
        <v>50</v>
      </c>
      <c r="AC228" s="199">
        <f>IFERROR(__xludf.DUMMYFUNCTION("""COMPUTED_VALUE"""),20.0)</f>
        <v>20</v>
      </c>
      <c r="AD228" s="199">
        <f>IFERROR(__xludf.DUMMYFUNCTION("""COMPUTED_VALUE"""),2.0)</f>
        <v>2</v>
      </c>
      <c r="AE228" s="199">
        <f>IFERROR(__xludf.DUMMYFUNCTION("""COMPUTED_VALUE"""),205.0)</f>
        <v>205</v>
      </c>
      <c r="AF228" s="199">
        <f>IFERROR(__xludf.DUMMYFUNCTION("""COMPUTED_VALUE"""),5.0)</f>
        <v>5</v>
      </c>
      <c r="AG228" s="199">
        <f>IFERROR(__xludf.DUMMYFUNCTION("""COMPUTED_VALUE"""),528.0)</f>
        <v>528</v>
      </c>
      <c r="AH228" s="199">
        <f>IFERROR(__xludf.DUMMYFUNCTION("""COMPUTED_VALUE"""),16.0)</f>
        <v>16</v>
      </c>
      <c r="AI228" s="200" t="str">
        <f>IFERROR(__xludf.DUMMYFUNCTION("""COMPUTED_VALUE"""),"Wear Metal Alert | Water Ingress | High Particle Count")</f>
        <v>Wear Metal Alert | Water Ingress | High Particle Count</v>
      </c>
      <c r="AJ228" s="200" t="str">
        <f>IFERROR(__xludf.DUMMYFUNCTION("""COMPUTED_VALUE"""),"URGENT: Inspect equipment immediately for wear/damage; High wear metals - inspect bearing/gear surfaces; Water detected - inspect seals and breathers; Elevated silicon - inspect filters and seals for contamination; High particle count - replace filters an"&amp;"d resample")</f>
        <v>URGENT: Inspect equipment immediately for wear/damage; High wear metals - inspect bearing/gear surfaces; Water detected - inspect seals and breathers; Elevated silicon - inspect filters and seals for contamination; High particle count - replace filters and resample</v>
      </c>
      <c r="AK228" s="204"/>
      <c r="AL228" s="204"/>
      <c r="AM228" s="204"/>
    </row>
    <row r="229" hidden="1">
      <c r="A229" s="199" t="str">
        <f>IFERROR(__xludf.DUMMYFUNCTION("""COMPUTED_VALUE"""),"534.LQ145 GearBox")</f>
        <v>534.LQ145 GearBox</v>
      </c>
      <c r="B229" s="200" t="str">
        <f>IFERROR(__xludf.DUMMYFUNCTION("""COMPUTED_VALUE"""),"Cement Mill #4 Gear box")</f>
        <v>Cement Mill #4 Gear box</v>
      </c>
      <c r="C229" s="199">
        <f>IFERROR(__xludf.DUMMYFUNCTION("""COMPUTED_VALUE"""),2.5049182255E10)</f>
        <v>25049182255</v>
      </c>
      <c r="D229" s="201">
        <f>IFERROR(__xludf.DUMMYFUNCTION("""COMPUTED_VALUE"""),45701.0)</f>
        <v>45701</v>
      </c>
      <c r="E229" s="202" t="str">
        <f>IFERROR(__xludf.DUMMYFUNCTION("""COMPUTED_VALUE"""),"Alert")</f>
        <v>Alert</v>
      </c>
      <c r="F229" s="202" t="str">
        <f>IFERROR(__xludf.DUMMYFUNCTION("""COMPUTED_VALUE"""),"Alert")</f>
        <v>Alert</v>
      </c>
      <c r="G229" s="203" t="str">
        <f>IFERROR(__xludf.DUMMYFUNCTION("""COMPUTED_VALUE"""),"Alert")</f>
        <v>Alert</v>
      </c>
      <c r="H229" s="203" t="str">
        <f>IFERROR(__xludf.DUMMYFUNCTION("""COMPUTED_VALUE"""),"Normal")</f>
        <v>Normal</v>
      </c>
      <c r="I229" s="37"/>
      <c r="J229" s="37"/>
      <c r="K229" s="37"/>
      <c r="L229" s="199">
        <f>IFERROR(__xludf.DUMMYFUNCTION("""COMPUTED_VALUE"""),66.0)</f>
        <v>66</v>
      </c>
      <c r="M229" s="199">
        <f>IFERROR(__xludf.DUMMYFUNCTION("""COMPUTED_VALUE"""),447.9)</f>
        <v>447.9</v>
      </c>
      <c r="N229" s="37"/>
      <c r="O229" s="37">
        <f>IFERROR(__xludf.DUMMYFUNCTION("""COMPUTED_VALUE"""),0.0)</f>
        <v>0</v>
      </c>
      <c r="P229" s="199">
        <f>IFERROR(__xludf.DUMMYFUNCTION("""COMPUTED_VALUE"""),0.2)</f>
        <v>0.2</v>
      </c>
      <c r="Q229" s="199">
        <f>IFERROR(__xludf.DUMMYFUNCTION("""COMPUTED_VALUE"""),0.0)</f>
        <v>0</v>
      </c>
      <c r="R229" s="199">
        <f>IFERROR(__xludf.DUMMYFUNCTION("""COMPUTED_VALUE"""),11.0)</f>
        <v>11</v>
      </c>
      <c r="S229" s="199">
        <f>IFERROR(__xludf.DUMMYFUNCTION("""COMPUTED_VALUE"""),2.0)</f>
        <v>2</v>
      </c>
      <c r="T229" s="199">
        <f>IFERROR(__xludf.DUMMYFUNCTION("""COMPUTED_VALUE"""),5.0)</f>
        <v>5</v>
      </c>
      <c r="U229" s="199">
        <f>IFERROR(__xludf.DUMMYFUNCTION("""COMPUTED_VALUE"""),126.0)</f>
        <v>126</v>
      </c>
      <c r="V229" s="199">
        <f>IFERROR(__xludf.DUMMYFUNCTION("""COMPUTED_VALUE"""),1.0)</f>
        <v>1</v>
      </c>
      <c r="W229" s="199">
        <f>IFERROR(__xludf.DUMMYFUNCTION("""COMPUTED_VALUE"""),0.0)</f>
        <v>0</v>
      </c>
      <c r="X229" s="199">
        <f>IFERROR(__xludf.DUMMYFUNCTION("""COMPUTED_VALUE"""),2.0)</f>
        <v>2</v>
      </c>
      <c r="Y229" s="199">
        <f>IFERROR(__xludf.DUMMYFUNCTION("""COMPUTED_VALUE"""),2.0)</f>
        <v>2</v>
      </c>
      <c r="Z229" s="199">
        <f>IFERROR(__xludf.DUMMYFUNCTION("""COMPUTED_VALUE"""),0.0)</f>
        <v>0</v>
      </c>
      <c r="AA229" s="199">
        <f>IFERROR(__xludf.DUMMYFUNCTION("""COMPUTED_VALUE"""),0.0)</f>
        <v>0</v>
      </c>
      <c r="AB229" s="199">
        <f>IFERROR(__xludf.DUMMYFUNCTION("""COMPUTED_VALUE"""),37.0)</f>
        <v>37</v>
      </c>
      <c r="AC229" s="199">
        <f>IFERROR(__xludf.DUMMYFUNCTION("""COMPUTED_VALUE"""),32.0)</f>
        <v>32</v>
      </c>
      <c r="AD229" s="199">
        <f>IFERROR(__xludf.DUMMYFUNCTION("""COMPUTED_VALUE"""),0.0)</f>
        <v>0</v>
      </c>
      <c r="AE229" s="199">
        <f>IFERROR(__xludf.DUMMYFUNCTION("""COMPUTED_VALUE"""),107.0)</f>
        <v>107</v>
      </c>
      <c r="AF229" s="199">
        <f>IFERROR(__xludf.DUMMYFUNCTION("""COMPUTED_VALUE"""),7.0)</f>
        <v>7</v>
      </c>
      <c r="AG229" s="199">
        <f>IFERROR(__xludf.DUMMYFUNCTION("""COMPUTED_VALUE"""),677.0)</f>
        <v>677</v>
      </c>
      <c r="AH229" s="199">
        <f>IFERROR(__xludf.DUMMYFUNCTION("""COMPUTED_VALUE"""),9.0)</f>
        <v>9</v>
      </c>
      <c r="AI229" s="200" t="str">
        <f>IFERROR(__xludf.DUMMYFUNCTION("""COMPUTED_VALUE"""),"Wear Metal Alert | Water Ingress")</f>
        <v>Wear Metal Alert | Water Ingress</v>
      </c>
      <c r="AJ229" s="200" t="str">
        <f>IFERROR(__xludf.DUMMYFUNCTION("""COMPUTED_VALUE"""),"URGENT: Inspect equipment immediately for wear/damage; High wear metals - inspect bearing/gear surfaces; Water detected - inspect seals and breathers; Elevated silicon - inspect filters and seals for contamination")</f>
        <v>URGENT: Inspect equipment immediately for wear/damage; High wear metals - inspect bearing/gear surfaces; Water detected - inspect seals and breathers; Elevated silicon - inspect filters and seals for contamination</v>
      </c>
      <c r="AK229" s="204"/>
      <c r="AL229" s="204"/>
      <c r="AM229" s="204"/>
    </row>
    <row r="230" hidden="1">
      <c r="A230" s="199" t="str">
        <f>IFERROR(__xludf.DUMMYFUNCTION("""COMPUTED_VALUE"""),"543.BE180")</f>
        <v>543.BE180</v>
      </c>
      <c r="B230" s="200" t="str">
        <f>IFERROR(__xludf.DUMMYFUNCTION("""COMPUTED_VALUE"""),"Bucket Elevator Cem. Silo#3 GB.")</f>
        <v>Bucket Elevator Cem. Silo#3 GB.</v>
      </c>
      <c r="C230" s="199">
        <f>IFERROR(__xludf.DUMMYFUNCTION("""COMPUTED_VALUE"""),2.5049182235E10)</f>
        <v>25049182235</v>
      </c>
      <c r="D230" s="201">
        <f>IFERROR(__xludf.DUMMYFUNCTION("""COMPUTED_VALUE"""),45701.0)</f>
        <v>45701</v>
      </c>
      <c r="E230" s="202" t="str">
        <f>IFERROR(__xludf.DUMMYFUNCTION("""COMPUTED_VALUE"""),"Caution")</f>
        <v>Caution</v>
      </c>
      <c r="F230" s="202" t="str">
        <f>IFERROR(__xludf.DUMMYFUNCTION("""COMPUTED_VALUE"""),"Caution")</f>
        <v>Caution</v>
      </c>
      <c r="G230" s="203" t="str">
        <f>IFERROR(__xludf.DUMMYFUNCTION("""COMPUTED_VALUE"""),"Normal")</f>
        <v>Normal</v>
      </c>
      <c r="H230" s="203" t="str">
        <f>IFERROR(__xludf.DUMMYFUNCTION("""COMPUTED_VALUE"""),"Caution")</f>
        <v>Caution</v>
      </c>
      <c r="I230" s="199"/>
      <c r="J230" s="199"/>
      <c r="K230" s="199"/>
      <c r="L230" s="199">
        <f>IFERROR(__xludf.DUMMYFUNCTION("""COMPUTED_VALUE"""),11.0)</f>
        <v>11</v>
      </c>
      <c r="M230" s="199">
        <f>IFERROR(__xludf.DUMMYFUNCTION("""COMPUTED_VALUE"""),317.2)</f>
        <v>317.2</v>
      </c>
      <c r="N230" s="199"/>
      <c r="O230" s="199"/>
      <c r="P230" s="199">
        <f>IFERROR(__xludf.DUMMYFUNCTION("""COMPUTED_VALUE"""),0.05)</f>
        <v>0.05</v>
      </c>
      <c r="Q230" s="199">
        <f>IFERROR(__xludf.DUMMYFUNCTION("""COMPUTED_VALUE"""),0.0)</f>
        <v>0</v>
      </c>
      <c r="R230" s="199">
        <f>IFERROR(__xludf.DUMMYFUNCTION("""COMPUTED_VALUE"""),4.0)</f>
        <v>4</v>
      </c>
      <c r="S230" s="199">
        <f>IFERROR(__xludf.DUMMYFUNCTION("""COMPUTED_VALUE"""),1.0)</f>
        <v>1</v>
      </c>
      <c r="T230" s="199">
        <f>IFERROR(__xludf.DUMMYFUNCTION("""COMPUTED_VALUE"""),2.0)</f>
        <v>2</v>
      </c>
      <c r="U230" s="199">
        <f>IFERROR(__xludf.DUMMYFUNCTION("""COMPUTED_VALUE"""),4.0)</f>
        <v>4</v>
      </c>
      <c r="V230" s="199">
        <f>IFERROR(__xludf.DUMMYFUNCTION("""COMPUTED_VALUE"""),0.0)</f>
        <v>0</v>
      </c>
      <c r="W230" s="199">
        <f>IFERROR(__xludf.DUMMYFUNCTION("""COMPUTED_VALUE"""),0.0)</f>
        <v>0</v>
      </c>
      <c r="X230" s="199">
        <f>IFERROR(__xludf.DUMMYFUNCTION("""COMPUTED_VALUE"""),2.0)</f>
        <v>2</v>
      </c>
      <c r="Y230" s="199">
        <f>IFERROR(__xludf.DUMMYFUNCTION("""COMPUTED_VALUE"""),0.0)</f>
        <v>0</v>
      </c>
      <c r="Z230" s="199">
        <f>IFERROR(__xludf.DUMMYFUNCTION("""COMPUTED_VALUE"""),0.0)</f>
        <v>0</v>
      </c>
      <c r="AA230" s="199">
        <f>IFERROR(__xludf.DUMMYFUNCTION("""COMPUTED_VALUE"""),0.0)</f>
        <v>0</v>
      </c>
      <c r="AB230" s="199">
        <f>IFERROR(__xludf.DUMMYFUNCTION("""COMPUTED_VALUE"""),14.0)</f>
        <v>14</v>
      </c>
      <c r="AC230" s="199">
        <f>IFERROR(__xludf.DUMMYFUNCTION("""COMPUTED_VALUE"""),8.0)</f>
        <v>8</v>
      </c>
      <c r="AD230" s="199">
        <f>IFERROR(__xludf.DUMMYFUNCTION("""COMPUTED_VALUE"""),0.0)</f>
        <v>0</v>
      </c>
      <c r="AE230" s="199">
        <f>IFERROR(__xludf.DUMMYFUNCTION("""COMPUTED_VALUE"""),8.0)</f>
        <v>8</v>
      </c>
      <c r="AF230" s="199">
        <f>IFERROR(__xludf.DUMMYFUNCTION("""COMPUTED_VALUE"""),2.0)</f>
        <v>2</v>
      </c>
      <c r="AG230" s="199">
        <f>IFERROR(__xludf.DUMMYFUNCTION("""COMPUTED_VALUE"""),550.0)</f>
        <v>550</v>
      </c>
      <c r="AH230" s="199">
        <f>IFERROR(__xludf.DUMMYFUNCTION("""COMPUTED_VALUE"""),7.0)</f>
        <v>7</v>
      </c>
      <c r="AI230" s="200" t="str">
        <f>IFERROR(__xludf.DUMMYFUNCTION("""COMPUTED_VALUE"""),"General Caution")</f>
        <v>General Caution</v>
      </c>
      <c r="AJ230" s="200" t="str">
        <f>IFERROR(__xludf.DUMMYFUNCTION("""COMPUTED_VALUE"""),"Lubricant showing degradation - plan oil change within 3 months")</f>
        <v>Lubricant showing degradation - plan oil change within 3 months</v>
      </c>
      <c r="AK230" s="204"/>
      <c r="AL230" s="204"/>
      <c r="AM230" s="204"/>
    </row>
    <row r="231" hidden="1">
      <c r="A231" s="199" t="str">
        <f>IFERROR(__xludf.DUMMYFUNCTION("""COMPUTED_VALUE"""),"321.LQ120 (T)")</f>
        <v>321.LQ120 (T)</v>
      </c>
      <c r="B231" s="200" t="str">
        <f>IFERROR(__xludf.DUMMYFUNCTION("""COMPUTED_VALUE"""),"Roller Lubrication Unit (Tank)")</f>
        <v>Roller Lubrication Unit (Tank)</v>
      </c>
      <c r="C231" s="199">
        <f>IFERROR(__xludf.DUMMYFUNCTION("""COMPUTED_VALUE"""),2.5049182232E10)</f>
        <v>25049182232</v>
      </c>
      <c r="D231" s="201">
        <f>IFERROR(__xludf.DUMMYFUNCTION("""COMPUTED_VALUE"""),45701.0)</f>
        <v>45701</v>
      </c>
      <c r="E231" s="202" t="str">
        <f>IFERROR(__xludf.DUMMYFUNCTION("""COMPUTED_VALUE"""),"Normal")</f>
        <v>Normal</v>
      </c>
      <c r="F231" s="202" t="str">
        <f>IFERROR(__xludf.DUMMYFUNCTION("""COMPUTED_VALUE"""),"Normal")</f>
        <v>Normal</v>
      </c>
      <c r="G231" s="203" t="str">
        <f>IFERROR(__xludf.DUMMYFUNCTION("""COMPUTED_VALUE"""),"Normal")</f>
        <v>Normal</v>
      </c>
      <c r="H231" s="203" t="str">
        <f>IFERROR(__xludf.DUMMYFUNCTION("""COMPUTED_VALUE"""),"Normal")</f>
        <v>Normal</v>
      </c>
      <c r="I231" s="199"/>
      <c r="J231" s="199"/>
      <c r="K231" s="199"/>
      <c r="L231" s="199">
        <f>IFERROR(__xludf.DUMMYFUNCTION("""COMPUTED_VALUE"""),7.0)</f>
        <v>7</v>
      </c>
      <c r="M231" s="199">
        <f>IFERROR(__xludf.DUMMYFUNCTION("""COMPUTED_VALUE"""),97.2)</f>
        <v>97.2</v>
      </c>
      <c r="N231" s="199"/>
      <c r="O231" s="199"/>
      <c r="P231" s="199">
        <f>IFERROR(__xludf.DUMMYFUNCTION("""COMPUTED_VALUE"""),0.01)</f>
        <v>0.01</v>
      </c>
      <c r="Q231" s="199">
        <f>IFERROR(__xludf.DUMMYFUNCTION("""COMPUTED_VALUE"""),0.0)</f>
        <v>0</v>
      </c>
      <c r="R231" s="199">
        <f>IFERROR(__xludf.DUMMYFUNCTION("""COMPUTED_VALUE"""),5.0)</f>
        <v>5</v>
      </c>
      <c r="S231" s="199">
        <f>IFERROR(__xludf.DUMMYFUNCTION("""COMPUTED_VALUE"""),1.0)</f>
        <v>1</v>
      </c>
      <c r="T231" s="199">
        <f>IFERROR(__xludf.DUMMYFUNCTION("""COMPUTED_VALUE"""),3.0)</f>
        <v>3</v>
      </c>
      <c r="U231" s="199">
        <f>IFERROR(__xludf.DUMMYFUNCTION("""COMPUTED_VALUE"""),24.0)</f>
        <v>24</v>
      </c>
      <c r="V231" s="199">
        <f>IFERROR(__xludf.DUMMYFUNCTION("""COMPUTED_VALUE"""),0.0)</f>
        <v>0</v>
      </c>
      <c r="W231" s="199">
        <f>IFERROR(__xludf.DUMMYFUNCTION("""COMPUTED_VALUE"""),0.0)</f>
        <v>0</v>
      </c>
      <c r="X231" s="199">
        <f>IFERROR(__xludf.DUMMYFUNCTION("""COMPUTED_VALUE"""),2.0)</f>
        <v>2</v>
      </c>
      <c r="Y231" s="199">
        <f>IFERROR(__xludf.DUMMYFUNCTION("""COMPUTED_VALUE"""),0.0)</f>
        <v>0</v>
      </c>
      <c r="Z231" s="199">
        <f>IFERROR(__xludf.DUMMYFUNCTION("""COMPUTED_VALUE"""),0.0)</f>
        <v>0</v>
      </c>
      <c r="AA231" s="199">
        <f>IFERROR(__xludf.DUMMYFUNCTION("""COMPUTED_VALUE"""),0.0)</f>
        <v>0</v>
      </c>
      <c r="AB231" s="199">
        <f>IFERROR(__xludf.DUMMYFUNCTION("""COMPUTED_VALUE"""),13.0)</f>
        <v>13</v>
      </c>
      <c r="AC231" s="199">
        <f>IFERROR(__xludf.DUMMYFUNCTION("""COMPUTED_VALUE"""),15.0)</f>
        <v>15</v>
      </c>
      <c r="AD231" s="199">
        <f>IFERROR(__xludf.DUMMYFUNCTION("""COMPUTED_VALUE"""),0.0)</f>
        <v>0</v>
      </c>
      <c r="AE231" s="199">
        <f>IFERROR(__xludf.DUMMYFUNCTION("""COMPUTED_VALUE"""),31.0)</f>
        <v>31</v>
      </c>
      <c r="AF231" s="199">
        <f>IFERROR(__xludf.DUMMYFUNCTION("""COMPUTED_VALUE"""),2.0)</f>
        <v>2</v>
      </c>
      <c r="AG231" s="199">
        <f>IFERROR(__xludf.DUMMYFUNCTION("""COMPUTED_VALUE"""),793.0)</f>
        <v>793</v>
      </c>
      <c r="AH231" s="199">
        <f>IFERROR(__xludf.DUMMYFUNCTION("""COMPUTED_VALUE"""),30.0)</f>
        <v>30</v>
      </c>
      <c r="AI231" s="200" t="str">
        <f>IFERROR(__xludf.DUMMYFUNCTION("""COMPUTED_VALUE"""),"Normal - No Action Required")</f>
        <v>Normal - No Action Required</v>
      </c>
      <c r="AJ231" s="200" t="str">
        <f>IFERROR(__xludf.DUMMYFUNCTION("""COMPUTED_VALUE"""),"Continue routine monitoring and sampling schedule")</f>
        <v>Continue routine monitoring and sampling schedule</v>
      </c>
      <c r="AK231" s="204"/>
      <c r="AL231" s="204"/>
      <c r="AM231" s="204"/>
    </row>
    <row r="232" hidden="1">
      <c r="A232" s="199" t="str">
        <f>IFERROR(__xludf.DUMMYFUNCTION("""COMPUTED_VALUE"""),"352.BE340 R")</f>
        <v>352.BE340 R</v>
      </c>
      <c r="B232" s="200" t="str">
        <f>IFERROR(__xludf.DUMMYFUNCTION("""COMPUTED_VALUE"""),"Bucket Elevator GB - R")</f>
        <v>Bucket Elevator GB - R</v>
      </c>
      <c r="C232" s="199">
        <f>IFERROR(__xludf.DUMMYFUNCTION("""COMPUTED_VALUE"""),2.507920322E10)</f>
        <v>25079203220</v>
      </c>
      <c r="D232" s="201">
        <f>IFERROR(__xludf.DUMMYFUNCTION("""COMPUTED_VALUE"""),45725.0)</f>
        <v>45725</v>
      </c>
      <c r="E232" s="202" t="str">
        <f>IFERROR(__xludf.DUMMYFUNCTION("""COMPUTED_VALUE"""),"Alert")</f>
        <v>Alert</v>
      </c>
      <c r="F232" s="202" t="str">
        <f>IFERROR(__xludf.DUMMYFUNCTION("""COMPUTED_VALUE"""),"Alert")</f>
        <v>Alert</v>
      </c>
      <c r="G232" s="203" t="str">
        <f>IFERROR(__xludf.DUMMYFUNCTION("""COMPUTED_VALUE"""),"Normal")</f>
        <v>Normal</v>
      </c>
      <c r="H232" s="203" t="str">
        <f>IFERROR(__xludf.DUMMYFUNCTION("""COMPUTED_VALUE"""),"Normal")</f>
        <v>Normal</v>
      </c>
      <c r="I232" s="199">
        <f>IFERROR(__xludf.DUMMYFUNCTION("""COMPUTED_VALUE"""),35421.0)</f>
        <v>35421</v>
      </c>
      <c r="J232" s="199">
        <f>IFERROR(__xludf.DUMMYFUNCTION("""COMPUTED_VALUE"""),3542.0)</f>
        <v>3542</v>
      </c>
      <c r="K232" s="199">
        <f>IFERROR(__xludf.DUMMYFUNCTION("""COMPUTED_VALUE"""),2140.0)</f>
        <v>2140</v>
      </c>
      <c r="L232" s="199">
        <f>IFERROR(__xludf.DUMMYFUNCTION("""COMPUTED_VALUE"""),14.0)</f>
        <v>14</v>
      </c>
      <c r="M232" s="199">
        <f>IFERROR(__xludf.DUMMYFUNCTION("""COMPUTED_VALUE"""),322.1)</f>
        <v>322.1</v>
      </c>
      <c r="N232" s="199"/>
      <c r="O232" s="199"/>
      <c r="P232" s="199">
        <f>IFERROR(__xludf.DUMMYFUNCTION("""COMPUTED_VALUE"""),0.11)</f>
        <v>0.11</v>
      </c>
      <c r="Q232" s="199">
        <f>IFERROR(__xludf.DUMMYFUNCTION("""COMPUTED_VALUE"""),0.0)</f>
        <v>0</v>
      </c>
      <c r="R232" s="199">
        <f>IFERROR(__xludf.DUMMYFUNCTION("""COMPUTED_VALUE"""),9.0)</f>
        <v>9</v>
      </c>
      <c r="S232" s="199">
        <f>IFERROR(__xludf.DUMMYFUNCTION("""COMPUTED_VALUE"""),2.0)</f>
        <v>2</v>
      </c>
      <c r="T232" s="199">
        <f>IFERROR(__xludf.DUMMYFUNCTION("""COMPUTED_VALUE"""),3.0)</f>
        <v>3</v>
      </c>
      <c r="U232" s="199">
        <f>IFERROR(__xludf.DUMMYFUNCTION("""COMPUTED_VALUE"""),22.0)</f>
        <v>22</v>
      </c>
      <c r="V232" s="199">
        <f>IFERROR(__xludf.DUMMYFUNCTION("""COMPUTED_VALUE"""),0.0)</f>
        <v>0</v>
      </c>
      <c r="W232" s="199">
        <f>IFERROR(__xludf.DUMMYFUNCTION("""COMPUTED_VALUE"""),0.0)</f>
        <v>0</v>
      </c>
      <c r="X232" s="199">
        <f>IFERROR(__xludf.DUMMYFUNCTION("""COMPUTED_VALUE"""),0.0)</f>
        <v>0</v>
      </c>
      <c r="Y232" s="199">
        <f>IFERROR(__xludf.DUMMYFUNCTION("""COMPUTED_VALUE"""),0.0)</f>
        <v>0</v>
      </c>
      <c r="Z232" s="199">
        <f>IFERROR(__xludf.DUMMYFUNCTION("""COMPUTED_VALUE"""),0.0)</f>
        <v>0</v>
      </c>
      <c r="AA232" s="199">
        <f>IFERROR(__xludf.DUMMYFUNCTION("""COMPUTED_VALUE"""),0.0)</f>
        <v>0</v>
      </c>
      <c r="AB232" s="199">
        <f>IFERROR(__xludf.DUMMYFUNCTION("""COMPUTED_VALUE"""),19.0)</f>
        <v>19</v>
      </c>
      <c r="AC232" s="199">
        <f>IFERROR(__xludf.DUMMYFUNCTION("""COMPUTED_VALUE"""),10.0)</f>
        <v>10</v>
      </c>
      <c r="AD232" s="199">
        <f>IFERROR(__xludf.DUMMYFUNCTION("""COMPUTED_VALUE"""),0.0)</f>
        <v>0</v>
      </c>
      <c r="AE232" s="199">
        <f>IFERROR(__xludf.DUMMYFUNCTION("""COMPUTED_VALUE"""),31.0)</f>
        <v>31</v>
      </c>
      <c r="AF232" s="199">
        <f>IFERROR(__xludf.DUMMYFUNCTION("""COMPUTED_VALUE"""),0.0)</f>
        <v>0</v>
      </c>
      <c r="AG232" s="199">
        <f>IFERROR(__xludf.DUMMYFUNCTION("""COMPUTED_VALUE"""),465.0)</f>
        <v>465</v>
      </c>
      <c r="AH232" s="199">
        <f>IFERROR(__xludf.DUMMYFUNCTION("""COMPUTED_VALUE"""),30.0)</f>
        <v>30</v>
      </c>
      <c r="AI232" s="200" t="str">
        <f>IFERROR(__xludf.DUMMYFUNCTION("""COMPUTED_VALUE"""),"Elevated Si / Water / Elevated Fe / TAN Elevated")</f>
        <v>Elevated Si / Water / Elevated Fe / TAN Elevated</v>
      </c>
      <c r="AJ232" s="200" t="str">
        <f>IFERROR(__xludf.DUMMYFUNCTION("""COMPUTED_VALUE"""),"ACTION REQUIRED – Si (19 ppm), water (0.110 Vol%), Fe (22 ppm), TAN 1.40 mg KOH/g. Inspect air filters, breather, and seals. Likely dirt ingress from environment. Replace filter and check oil breather integrity. Resample after repair.")</f>
        <v>ACTION REQUIRED – Si (19 ppm), water (0.110 Vol%), Fe (22 ppm), TAN 1.40 mg KOH/g. Inspect air filters, breather, and seals. Likely dirt ingress from environment. Replace filter and check oil breather integrity. Resample after repair.</v>
      </c>
      <c r="AK232" s="204"/>
      <c r="AL232" s="204"/>
      <c r="AM232" s="204"/>
    </row>
    <row r="233" hidden="1">
      <c r="A233" s="199" t="str">
        <f>IFERROR(__xludf.DUMMYFUNCTION("""COMPUTED_VALUE"""),"R2.322.RF090")</f>
        <v>R2.322.RF090</v>
      </c>
      <c r="B233" s="200" t="str">
        <f>IFERROR(__xludf.DUMMYFUNCTION("""COMPUTED_VALUE"""),"Rotary feeder Gear Box")</f>
        <v>Rotary feeder Gear Box</v>
      </c>
      <c r="C233" s="199">
        <f>IFERROR(__xludf.DUMMYFUNCTION("""COMPUTED_VALUE"""),2.5079203253E10)</f>
        <v>25079203253</v>
      </c>
      <c r="D233" s="201">
        <f>IFERROR(__xludf.DUMMYFUNCTION("""COMPUTED_VALUE"""),45725.0)</f>
        <v>45725</v>
      </c>
      <c r="E233" s="202" t="str">
        <f>IFERROR(__xludf.DUMMYFUNCTION("""COMPUTED_VALUE"""),"Alert")</f>
        <v>Alert</v>
      </c>
      <c r="F233" s="202" t="str">
        <f>IFERROR(__xludf.DUMMYFUNCTION("""COMPUTED_VALUE"""),"Alert")</f>
        <v>Alert</v>
      </c>
      <c r="G233" s="203" t="str">
        <f>IFERROR(__xludf.DUMMYFUNCTION("""COMPUTED_VALUE"""),"Alert")</f>
        <v>Alert</v>
      </c>
      <c r="H233" s="203" t="str">
        <f>IFERROR(__xludf.DUMMYFUNCTION("""COMPUTED_VALUE"""),"Normal")</f>
        <v>Normal</v>
      </c>
      <c r="I233" s="199"/>
      <c r="J233" s="199"/>
      <c r="K233" s="199"/>
      <c r="L233" s="199">
        <f>IFERROR(__xludf.DUMMYFUNCTION("""COMPUTED_VALUE"""),125.0)</f>
        <v>125</v>
      </c>
      <c r="M233" s="199">
        <f>IFERROR(__xludf.DUMMYFUNCTION("""COMPUTED_VALUE"""),99.4)</f>
        <v>99.4</v>
      </c>
      <c r="N233" s="199"/>
      <c r="O233" s="199"/>
      <c r="P233" s="199">
        <f>IFERROR(__xludf.DUMMYFUNCTION("""COMPUTED_VALUE"""),0.15)</f>
        <v>0.15</v>
      </c>
      <c r="Q233" s="199">
        <f>IFERROR(__xludf.DUMMYFUNCTION("""COMPUTED_VALUE"""),0.0)</f>
        <v>0</v>
      </c>
      <c r="R233" s="199">
        <f>IFERROR(__xludf.DUMMYFUNCTION("""COMPUTED_VALUE"""),39.0)</f>
        <v>39</v>
      </c>
      <c r="S233" s="199">
        <f>IFERROR(__xludf.DUMMYFUNCTION("""COMPUTED_VALUE"""),2.0)</f>
        <v>2</v>
      </c>
      <c r="T233" s="199">
        <f>IFERROR(__xludf.DUMMYFUNCTION("""COMPUTED_VALUE"""),11.0)</f>
        <v>11</v>
      </c>
      <c r="U233" s="199">
        <f>IFERROR(__xludf.DUMMYFUNCTION("""COMPUTED_VALUE"""),56.0)</f>
        <v>56</v>
      </c>
      <c r="V233" s="199">
        <f>IFERROR(__xludf.DUMMYFUNCTION("""COMPUTED_VALUE"""),2.0)</f>
        <v>2</v>
      </c>
      <c r="W233" s="199">
        <f>IFERROR(__xludf.DUMMYFUNCTION("""COMPUTED_VALUE"""),0.0)</f>
        <v>0</v>
      </c>
      <c r="X233" s="199">
        <f>IFERROR(__xludf.DUMMYFUNCTION("""COMPUTED_VALUE"""),0.0)</f>
        <v>0</v>
      </c>
      <c r="Y233" s="199">
        <f>IFERROR(__xludf.DUMMYFUNCTION("""COMPUTED_VALUE"""),0.0)</f>
        <v>0</v>
      </c>
      <c r="Z233" s="199">
        <f>IFERROR(__xludf.DUMMYFUNCTION("""COMPUTED_VALUE"""),0.0)</f>
        <v>0</v>
      </c>
      <c r="AA233" s="199">
        <f>IFERROR(__xludf.DUMMYFUNCTION("""COMPUTED_VALUE"""),0.0)</f>
        <v>0</v>
      </c>
      <c r="AB233" s="199">
        <f>IFERROR(__xludf.DUMMYFUNCTION("""COMPUTED_VALUE"""),57.0)</f>
        <v>57</v>
      </c>
      <c r="AC233" s="199">
        <f>IFERROR(__xludf.DUMMYFUNCTION("""COMPUTED_VALUE"""),41.0)</f>
        <v>41</v>
      </c>
      <c r="AD233" s="199">
        <f>IFERROR(__xludf.DUMMYFUNCTION("""COMPUTED_VALUE"""),0.0)</f>
        <v>0</v>
      </c>
      <c r="AE233" s="199">
        <f>IFERROR(__xludf.DUMMYFUNCTION("""COMPUTED_VALUE"""),413.0)</f>
        <v>413</v>
      </c>
      <c r="AF233" s="199">
        <f>IFERROR(__xludf.DUMMYFUNCTION("""COMPUTED_VALUE"""),5.0)</f>
        <v>5</v>
      </c>
      <c r="AG233" s="199">
        <f>IFERROR(__xludf.DUMMYFUNCTION("""COMPUTED_VALUE"""),449.0)</f>
        <v>449</v>
      </c>
      <c r="AH233" s="199">
        <f>IFERROR(__xludf.DUMMYFUNCTION("""COMPUTED_VALUE"""),7.0)</f>
        <v>7</v>
      </c>
      <c r="AI233" s="200" t="str">
        <f>IFERROR(__xludf.DUMMYFUNCTION("""COMPUTED_VALUE"""),"Critical Al / Fe / Si / Water / Equipment Alert")</f>
        <v>Critical Al / Fe / Si / Water / Equipment Alert</v>
      </c>
      <c r="AJ233" s="200" t="str">
        <f>IFERROR(__xludf.DUMMYFUNCTION("""COMPUTED_VALUE"""),"ACTION REQUIRED – Al 39 ppm (critical), Fe 56 ppm, Si 57 ppm (extreme abrasive), water 0.150 Vol%, Cu 11 ppm. PQ Index 125. TAN 1.40 mg KOH/g. Immediate shutdown and inspection required. Change oil and replace all filters. Identify contamination source. C"&amp;"ontact ExxonMobil representative urgently.")</f>
        <v>ACTION REQUIRED – Al 39 ppm (critical), Fe 56 ppm, Si 57 ppm (extreme abrasive), water 0.150 Vol%, Cu 11 ppm. PQ Index 125. TAN 1.40 mg KOH/g. Immediate shutdown and inspection required. Change oil and replace all filters. Identify contamination source. Contact ExxonMobil representative urgently.</v>
      </c>
      <c r="AK233" s="204"/>
      <c r="AL233" s="204"/>
      <c r="AM233" s="204"/>
    </row>
    <row r="234" hidden="1">
      <c r="A234" s="199" t="str">
        <f>IFERROR(__xludf.DUMMYFUNCTION("""COMPUTED_VALUE"""),"461.LQ145")</f>
        <v>461.LQ145</v>
      </c>
      <c r="B234" s="200" t="str">
        <f>IFERROR(__xludf.DUMMYFUNCTION("""COMPUTED_VALUE"""),"Coal Mill 1 Gear box")</f>
        <v>Coal Mill 1 Gear box</v>
      </c>
      <c r="C234" s="199">
        <f>IFERROR(__xludf.DUMMYFUNCTION("""COMPUTED_VALUE"""),2.5079203215E10)</f>
        <v>25079203215</v>
      </c>
      <c r="D234" s="201">
        <f>IFERROR(__xludf.DUMMYFUNCTION("""COMPUTED_VALUE"""),45725.0)</f>
        <v>45725</v>
      </c>
      <c r="E234" s="202" t="str">
        <f>IFERROR(__xludf.DUMMYFUNCTION("""COMPUTED_VALUE"""),"Normal")</f>
        <v>Normal</v>
      </c>
      <c r="F234" s="202" t="str">
        <f>IFERROR(__xludf.DUMMYFUNCTION("""COMPUTED_VALUE"""),"Normal")</f>
        <v>Normal</v>
      </c>
      <c r="G234" s="203" t="str">
        <f>IFERROR(__xludf.DUMMYFUNCTION("""COMPUTED_VALUE"""),"Normal")</f>
        <v>Normal</v>
      </c>
      <c r="H234" s="203" t="str">
        <f>IFERROR(__xludf.DUMMYFUNCTION("""COMPUTED_VALUE"""),"Normal")</f>
        <v>Normal</v>
      </c>
      <c r="I234" s="199">
        <f>IFERROR(__xludf.DUMMYFUNCTION("""COMPUTED_VALUE"""),23294.0)</f>
        <v>23294</v>
      </c>
      <c r="J234" s="199">
        <f>IFERROR(__xludf.DUMMYFUNCTION("""COMPUTED_VALUE"""),16108.0)</f>
        <v>16108</v>
      </c>
      <c r="K234" s="199">
        <f>IFERROR(__xludf.DUMMYFUNCTION("""COMPUTED_VALUE"""),7502.0)</f>
        <v>7502</v>
      </c>
      <c r="L234" s="199">
        <f>IFERROR(__xludf.DUMMYFUNCTION("""COMPUTED_VALUE"""),8.0)</f>
        <v>8</v>
      </c>
      <c r="M234" s="199">
        <f>IFERROR(__xludf.DUMMYFUNCTION("""COMPUTED_VALUE"""),306.9)</f>
        <v>306.9</v>
      </c>
      <c r="N234" s="199"/>
      <c r="O234" s="199">
        <f>IFERROR(__xludf.DUMMYFUNCTION("""COMPUTED_VALUE"""),1.0)</f>
        <v>1</v>
      </c>
      <c r="P234" s="199">
        <f>IFERROR(__xludf.DUMMYFUNCTION("""COMPUTED_VALUE"""),0.03)</f>
        <v>0.03</v>
      </c>
      <c r="Q234" s="199">
        <f>IFERROR(__xludf.DUMMYFUNCTION("""COMPUTED_VALUE"""),0.0)</f>
        <v>0</v>
      </c>
      <c r="R234" s="199">
        <f>IFERROR(__xludf.DUMMYFUNCTION("""COMPUTED_VALUE"""),9.0)</f>
        <v>9</v>
      </c>
      <c r="S234" s="199">
        <f>IFERROR(__xludf.DUMMYFUNCTION("""COMPUTED_VALUE"""),1.0)</f>
        <v>1</v>
      </c>
      <c r="T234" s="199">
        <f>IFERROR(__xludf.DUMMYFUNCTION("""COMPUTED_VALUE"""),4.0)</f>
        <v>4</v>
      </c>
      <c r="U234" s="199">
        <f>IFERROR(__xludf.DUMMYFUNCTION("""COMPUTED_VALUE"""),7.0)</f>
        <v>7</v>
      </c>
      <c r="V234" s="199">
        <f>IFERROR(__xludf.DUMMYFUNCTION("""COMPUTED_VALUE"""),0.0)</f>
        <v>0</v>
      </c>
      <c r="W234" s="199">
        <f>IFERROR(__xludf.DUMMYFUNCTION("""COMPUTED_VALUE"""),0.0)</f>
        <v>0</v>
      </c>
      <c r="X234" s="199">
        <f>IFERROR(__xludf.DUMMYFUNCTION("""COMPUTED_VALUE"""),0.0)</f>
        <v>0</v>
      </c>
      <c r="Y234" s="199">
        <f>IFERROR(__xludf.DUMMYFUNCTION("""COMPUTED_VALUE"""),0.0)</f>
        <v>0</v>
      </c>
      <c r="Z234" s="199">
        <f>IFERROR(__xludf.DUMMYFUNCTION("""COMPUTED_VALUE"""),0.0)</f>
        <v>0</v>
      </c>
      <c r="AA234" s="199">
        <f>IFERROR(__xludf.DUMMYFUNCTION("""COMPUTED_VALUE"""),0.0)</f>
        <v>0</v>
      </c>
      <c r="AB234" s="199">
        <f>IFERROR(__xludf.DUMMYFUNCTION("""COMPUTED_VALUE"""),2.0)</f>
        <v>2</v>
      </c>
      <c r="AC234" s="199">
        <f>IFERROR(__xludf.DUMMYFUNCTION("""COMPUTED_VALUE"""),25.0)</f>
        <v>25</v>
      </c>
      <c r="AD234" s="199">
        <f>IFERROR(__xludf.DUMMYFUNCTION("""COMPUTED_VALUE"""),0.0)</f>
        <v>0</v>
      </c>
      <c r="AE234" s="199">
        <f>IFERROR(__xludf.DUMMYFUNCTION("""COMPUTED_VALUE"""),13.0)</f>
        <v>13</v>
      </c>
      <c r="AF234" s="199">
        <f>IFERROR(__xludf.DUMMYFUNCTION("""COMPUTED_VALUE"""),2.0)</f>
        <v>2</v>
      </c>
      <c r="AG234" s="199">
        <f>IFERROR(__xludf.DUMMYFUNCTION("""COMPUTED_VALUE"""),418.0)</f>
        <v>418</v>
      </c>
      <c r="AH234" s="199">
        <f>IFERROR(__xludf.DUMMYFUNCTION("""COMPUTED_VALUE"""),29.0)</f>
        <v>29</v>
      </c>
      <c r="AI234" s="200" t="str">
        <f>IFERROR(__xludf.DUMMYFUNCTION("""COMPUTED_VALUE"""),"Normal - No Action Required")</f>
        <v>Normal - No Action Required</v>
      </c>
      <c r="AJ234" s="200" t="str">
        <f>IFERROR(__xludf.DUMMYFUNCTION("""COMPUTED_VALUE"""),"Continue routine monitoring and sampling schedule")</f>
        <v>Continue routine monitoring and sampling schedule</v>
      </c>
      <c r="AK234" s="204"/>
      <c r="AL234" s="204"/>
      <c r="AM234" s="204"/>
    </row>
    <row r="235" hidden="1">
      <c r="A235" s="199" t="str">
        <f>IFERROR(__xludf.DUMMYFUNCTION("""COMPUTED_VALUE"""),"462.LQ145")</f>
        <v>462.LQ145</v>
      </c>
      <c r="B235" s="200" t="str">
        <f>IFERROR(__xludf.DUMMYFUNCTION("""COMPUTED_VALUE"""),"Coal Mill 2 Gear box")</f>
        <v>Coal Mill 2 Gear box</v>
      </c>
      <c r="C235" s="199">
        <f>IFERROR(__xludf.DUMMYFUNCTION("""COMPUTED_VALUE"""),2.5079203221E10)</f>
        <v>25079203221</v>
      </c>
      <c r="D235" s="201">
        <f>IFERROR(__xludf.DUMMYFUNCTION("""COMPUTED_VALUE"""),45725.0)</f>
        <v>45725</v>
      </c>
      <c r="E235" s="202" t="str">
        <f>IFERROR(__xludf.DUMMYFUNCTION("""COMPUTED_VALUE"""),"Normal")</f>
        <v>Normal</v>
      </c>
      <c r="F235" s="202" t="str">
        <f>IFERROR(__xludf.DUMMYFUNCTION("""COMPUTED_VALUE"""),"Normal")</f>
        <v>Normal</v>
      </c>
      <c r="G235" s="203" t="str">
        <f>IFERROR(__xludf.DUMMYFUNCTION("""COMPUTED_VALUE"""),"Normal")</f>
        <v>Normal</v>
      </c>
      <c r="H235" s="203" t="str">
        <f>IFERROR(__xludf.DUMMYFUNCTION("""COMPUTED_VALUE"""),"Normal")</f>
        <v>Normal</v>
      </c>
      <c r="I235" s="199">
        <f>IFERROR(__xludf.DUMMYFUNCTION("""COMPUTED_VALUE"""),30291.0)</f>
        <v>30291</v>
      </c>
      <c r="J235" s="199">
        <f>IFERROR(__xludf.DUMMYFUNCTION("""COMPUTED_VALUE"""),24322.0)</f>
        <v>24322</v>
      </c>
      <c r="K235" s="199">
        <f>IFERROR(__xludf.DUMMYFUNCTION("""COMPUTED_VALUE"""),11619.0)</f>
        <v>11619</v>
      </c>
      <c r="L235" s="199">
        <f>IFERROR(__xludf.DUMMYFUNCTION("""COMPUTED_VALUE"""),10.0)</f>
        <v>10</v>
      </c>
      <c r="M235" s="199">
        <f>IFERROR(__xludf.DUMMYFUNCTION("""COMPUTED_VALUE"""),286.3)</f>
        <v>286.3</v>
      </c>
      <c r="N235" s="37"/>
      <c r="O235" s="37">
        <f>IFERROR(__xludf.DUMMYFUNCTION("""COMPUTED_VALUE"""),1.0)</f>
        <v>1</v>
      </c>
      <c r="P235" s="199">
        <f>IFERROR(__xludf.DUMMYFUNCTION("""COMPUTED_VALUE"""),0.01)</f>
        <v>0.01</v>
      </c>
      <c r="Q235" s="199">
        <f>IFERROR(__xludf.DUMMYFUNCTION("""COMPUTED_VALUE"""),0.0)</f>
        <v>0</v>
      </c>
      <c r="R235" s="199">
        <f>IFERROR(__xludf.DUMMYFUNCTION("""COMPUTED_VALUE"""),7.0)</f>
        <v>7</v>
      </c>
      <c r="S235" s="199">
        <f>IFERROR(__xludf.DUMMYFUNCTION("""COMPUTED_VALUE"""),1.0)</f>
        <v>1</v>
      </c>
      <c r="T235" s="199">
        <f>IFERROR(__xludf.DUMMYFUNCTION("""COMPUTED_VALUE"""),3.0)</f>
        <v>3</v>
      </c>
      <c r="U235" s="199">
        <f>IFERROR(__xludf.DUMMYFUNCTION("""COMPUTED_VALUE"""),1.0)</f>
        <v>1</v>
      </c>
      <c r="V235" s="199">
        <f>IFERROR(__xludf.DUMMYFUNCTION("""COMPUTED_VALUE"""),0.0)</f>
        <v>0</v>
      </c>
      <c r="W235" s="199">
        <f>IFERROR(__xludf.DUMMYFUNCTION("""COMPUTED_VALUE"""),0.0)</f>
        <v>0</v>
      </c>
      <c r="X235" s="199">
        <f>IFERROR(__xludf.DUMMYFUNCTION("""COMPUTED_VALUE"""),0.0)</f>
        <v>0</v>
      </c>
      <c r="Y235" s="199">
        <f>IFERROR(__xludf.DUMMYFUNCTION("""COMPUTED_VALUE"""),0.0)</f>
        <v>0</v>
      </c>
      <c r="Z235" s="199">
        <f>IFERROR(__xludf.DUMMYFUNCTION("""COMPUTED_VALUE"""),2.0)</f>
        <v>2</v>
      </c>
      <c r="AA235" s="199">
        <f>IFERROR(__xludf.DUMMYFUNCTION("""COMPUTED_VALUE"""),0.0)</f>
        <v>0</v>
      </c>
      <c r="AB235" s="199">
        <f>IFERROR(__xludf.DUMMYFUNCTION("""COMPUTED_VALUE"""),5.0)</f>
        <v>5</v>
      </c>
      <c r="AC235" s="199">
        <f>IFERROR(__xludf.DUMMYFUNCTION("""COMPUTED_VALUE"""),72.0)</f>
        <v>72</v>
      </c>
      <c r="AD235" s="199">
        <f>IFERROR(__xludf.DUMMYFUNCTION("""COMPUTED_VALUE"""),0.0)</f>
        <v>0</v>
      </c>
      <c r="AE235" s="199">
        <f>IFERROR(__xludf.DUMMYFUNCTION("""COMPUTED_VALUE"""),12.0)</f>
        <v>12</v>
      </c>
      <c r="AF235" s="199">
        <f>IFERROR(__xludf.DUMMYFUNCTION("""COMPUTED_VALUE"""),0.0)</f>
        <v>0</v>
      </c>
      <c r="AG235" s="199">
        <f>IFERROR(__xludf.DUMMYFUNCTION("""COMPUTED_VALUE"""),418.0)</f>
        <v>418</v>
      </c>
      <c r="AH235" s="199">
        <f>IFERROR(__xludf.DUMMYFUNCTION("""COMPUTED_VALUE"""),29.0)</f>
        <v>29</v>
      </c>
      <c r="AI235" s="200" t="str">
        <f>IFERROR(__xludf.DUMMYFUNCTION("""COMPUTED_VALUE"""),"Normal - No Action Required")</f>
        <v>Normal - No Action Required</v>
      </c>
      <c r="AJ235" s="200" t="str">
        <f>IFERROR(__xludf.DUMMYFUNCTION("""COMPUTED_VALUE"""),"Continue routine monitoring and sampling schedule")</f>
        <v>Continue routine monitoring and sampling schedule</v>
      </c>
      <c r="AK235" s="204"/>
      <c r="AL235" s="204"/>
      <c r="AM235" s="204"/>
    </row>
    <row r="236" hidden="1">
      <c r="A236" s="199" t="str">
        <f>IFERROR(__xludf.DUMMYFUNCTION("""COMPUTED_VALUE"""),"342.BE050 L")</f>
        <v>342.BE050 L</v>
      </c>
      <c r="B236" s="200" t="str">
        <f>IFERROR(__xludf.DUMMYFUNCTION("""COMPUTED_VALUE"""),"Bucket Elevator GB - L")</f>
        <v>Bucket Elevator GB - L</v>
      </c>
      <c r="C236" s="199">
        <f>IFERROR(__xludf.DUMMYFUNCTION("""COMPUTED_VALUE"""),2.5079203214E10)</f>
        <v>25079203214</v>
      </c>
      <c r="D236" s="201">
        <f>IFERROR(__xludf.DUMMYFUNCTION("""COMPUTED_VALUE"""),45725.0)</f>
        <v>45725</v>
      </c>
      <c r="E236" s="202" t="str">
        <f>IFERROR(__xludf.DUMMYFUNCTION("""COMPUTED_VALUE"""),"Alert")</f>
        <v>Alert</v>
      </c>
      <c r="F236" s="202" t="str">
        <f>IFERROR(__xludf.DUMMYFUNCTION("""COMPUTED_VALUE"""),"Alert")</f>
        <v>Alert</v>
      </c>
      <c r="G236" s="203" t="str">
        <f>IFERROR(__xludf.DUMMYFUNCTION("""COMPUTED_VALUE"""),"Normal")</f>
        <v>Normal</v>
      </c>
      <c r="H236" s="203" t="str">
        <f>IFERROR(__xludf.DUMMYFUNCTION("""COMPUTED_VALUE"""),"Normal")</f>
        <v>Normal</v>
      </c>
      <c r="I236" s="37"/>
      <c r="J236" s="37"/>
      <c r="K236" s="37"/>
      <c r="L236" s="199">
        <f>IFERROR(__xludf.DUMMYFUNCTION("""COMPUTED_VALUE"""),32.0)</f>
        <v>32</v>
      </c>
      <c r="M236" s="199">
        <f>IFERROR(__xludf.DUMMYFUNCTION("""COMPUTED_VALUE"""),326.5)</f>
        <v>326.5</v>
      </c>
      <c r="N236" s="37"/>
      <c r="O236" s="37"/>
      <c r="P236" s="199">
        <f>IFERROR(__xludf.DUMMYFUNCTION("""COMPUTED_VALUE"""),0.1)</f>
        <v>0.1</v>
      </c>
      <c r="Q236" s="199">
        <f>IFERROR(__xludf.DUMMYFUNCTION("""COMPUTED_VALUE"""),0.0)</f>
        <v>0</v>
      </c>
      <c r="R236" s="199">
        <f>IFERROR(__xludf.DUMMYFUNCTION("""COMPUTED_VALUE"""),11.0)</f>
        <v>11</v>
      </c>
      <c r="S236" s="199">
        <f>IFERROR(__xludf.DUMMYFUNCTION("""COMPUTED_VALUE"""),2.0)</f>
        <v>2</v>
      </c>
      <c r="T236" s="199">
        <f>IFERROR(__xludf.DUMMYFUNCTION("""COMPUTED_VALUE"""),6.0)</f>
        <v>6</v>
      </c>
      <c r="U236" s="199">
        <f>IFERROR(__xludf.DUMMYFUNCTION("""COMPUTED_VALUE"""),141.0)</f>
        <v>141</v>
      </c>
      <c r="V236" s="199">
        <f>IFERROR(__xludf.DUMMYFUNCTION("""COMPUTED_VALUE"""),0.0)</f>
        <v>0</v>
      </c>
      <c r="W236" s="199">
        <f>IFERROR(__xludf.DUMMYFUNCTION("""COMPUTED_VALUE"""),0.0)</f>
        <v>0</v>
      </c>
      <c r="X236" s="199">
        <f>IFERROR(__xludf.DUMMYFUNCTION("""COMPUTED_VALUE"""),0.0)</f>
        <v>0</v>
      </c>
      <c r="Y236" s="199">
        <f>IFERROR(__xludf.DUMMYFUNCTION("""COMPUTED_VALUE"""),0.0)</f>
        <v>0</v>
      </c>
      <c r="Z236" s="199">
        <f>IFERROR(__xludf.DUMMYFUNCTION("""COMPUTED_VALUE"""),2.0)</f>
        <v>2</v>
      </c>
      <c r="AA236" s="199">
        <f>IFERROR(__xludf.DUMMYFUNCTION("""COMPUTED_VALUE"""),0.0)</f>
        <v>0</v>
      </c>
      <c r="AB236" s="199">
        <f>IFERROR(__xludf.DUMMYFUNCTION("""COMPUTED_VALUE"""),13.0)</f>
        <v>13</v>
      </c>
      <c r="AC236" s="199">
        <f>IFERROR(__xludf.DUMMYFUNCTION("""COMPUTED_VALUE"""),3.0)</f>
        <v>3</v>
      </c>
      <c r="AD236" s="199">
        <f>IFERROR(__xludf.DUMMYFUNCTION("""COMPUTED_VALUE"""),0.0)</f>
        <v>0</v>
      </c>
      <c r="AE236" s="199">
        <f>IFERROR(__xludf.DUMMYFUNCTION("""COMPUTED_VALUE"""),39.0)</f>
        <v>39</v>
      </c>
      <c r="AF236" s="199">
        <f>IFERROR(__xludf.DUMMYFUNCTION("""COMPUTED_VALUE"""),2.0)</f>
        <v>2</v>
      </c>
      <c r="AG236" s="199">
        <f>IFERROR(__xludf.DUMMYFUNCTION("""COMPUTED_VALUE"""),445.0)</f>
        <v>445</v>
      </c>
      <c r="AH236" s="199">
        <f>IFERROR(__xludf.DUMMYFUNCTION("""COMPUTED_VALUE"""),108.0)</f>
        <v>108</v>
      </c>
      <c r="AI236" s="200" t="str">
        <f>IFERROR(__xludf.DUMMYFUNCTION("""COMPUTED_VALUE"""),"General Alert")</f>
        <v>General Alert</v>
      </c>
      <c r="AJ236" s="200" t="str">
        <f>IFERROR(__xludf.DUMMYFUNCTION("""COMPUTED_VALUE"""),"High wear metals - inspect bearing/gear surfaces")</f>
        <v>High wear metals - inspect bearing/gear surfaces</v>
      </c>
      <c r="AK236" s="204"/>
      <c r="AL236" s="204"/>
      <c r="AM236" s="204"/>
    </row>
    <row r="237" hidden="1">
      <c r="A237" s="199" t="str">
        <f>IFERROR(__xludf.DUMMYFUNCTION("""COMPUTED_VALUE"""),"352.BE340 L")</f>
        <v>352.BE340 L</v>
      </c>
      <c r="B237" s="200" t="str">
        <f>IFERROR(__xludf.DUMMYFUNCTION("""COMPUTED_VALUE"""),"Bucket Elevator GB - L")</f>
        <v>Bucket Elevator GB - L</v>
      </c>
      <c r="C237" s="199">
        <f>IFERROR(__xludf.DUMMYFUNCTION("""COMPUTED_VALUE"""),2.5079203219E10)</f>
        <v>25079203219</v>
      </c>
      <c r="D237" s="201">
        <f>IFERROR(__xludf.DUMMYFUNCTION("""COMPUTED_VALUE"""),45725.0)</f>
        <v>45725</v>
      </c>
      <c r="E237" s="202" t="str">
        <f>IFERROR(__xludf.DUMMYFUNCTION("""COMPUTED_VALUE"""),"Alert")</f>
        <v>Alert</v>
      </c>
      <c r="F237" s="202" t="str">
        <f>IFERROR(__xludf.DUMMYFUNCTION("""COMPUTED_VALUE"""),"Alert")</f>
        <v>Alert</v>
      </c>
      <c r="G237" s="203" t="str">
        <f>IFERROR(__xludf.DUMMYFUNCTION("""COMPUTED_VALUE"""),"Normal")</f>
        <v>Normal</v>
      </c>
      <c r="H237" s="203" t="str">
        <f>IFERROR(__xludf.DUMMYFUNCTION("""COMPUTED_VALUE"""),"Normal")</f>
        <v>Normal</v>
      </c>
      <c r="I237" s="199"/>
      <c r="J237" s="199"/>
      <c r="K237" s="199"/>
      <c r="L237" s="199">
        <f>IFERROR(__xludf.DUMMYFUNCTION("""COMPUTED_VALUE"""),12.0)</f>
        <v>12</v>
      </c>
      <c r="M237" s="199">
        <f>IFERROR(__xludf.DUMMYFUNCTION("""COMPUTED_VALUE"""),326.4)</f>
        <v>326.4</v>
      </c>
      <c r="N237" s="37"/>
      <c r="O237" s="37"/>
      <c r="P237" s="199">
        <f>IFERROR(__xludf.DUMMYFUNCTION("""COMPUTED_VALUE"""),0.1)</f>
        <v>0.1</v>
      </c>
      <c r="Q237" s="199">
        <f>IFERROR(__xludf.DUMMYFUNCTION("""COMPUTED_VALUE"""),0.0)</f>
        <v>0</v>
      </c>
      <c r="R237" s="199">
        <f>IFERROR(__xludf.DUMMYFUNCTION("""COMPUTED_VALUE"""),10.0)</f>
        <v>10</v>
      </c>
      <c r="S237" s="199">
        <f>IFERROR(__xludf.DUMMYFUNCTION("""COMPUTED_VALUE"""),2.0)</f>
        <v>2</v>
      </c>
      <c r="T237" s="199">
        <f>IFERROR(__xludf.DUMMYFUNCTION("""COMPUTED_VALUE"""),3.0)</f>
        <v>3</v>
      </c>
      <c r="U237" s="199">
        <f>IFERROR(__xludf.DUMMYFUNCTION("""COMPUTED_VALUE"""),18.0)</f>
        <v>18</v>
      </c>
      <c r="V237" s="199">
        <f>IFERROR(__xludf.DUMMYFUNCTION("""COMPUTED_VALUE"""),0.0)</f>
        <v>0</v>
      </c>
      <c r="W237" s="199">
        <f>IFERROR(__xludf.DUMMYFUNCTION("""COMPUTED_VALUE"""),0.0)</f>
        <v>0</v>
      </c>
      <c r="X237" s="199">
        <f>IFERROR(__xludf.DUMMYFUNCTION("""COMPUTED_VALUE"""),0.0)</f>
        <v>0</v>
      </c>
      <c r="Y237" s="199">
        <f>IFERROR(__xludf.DUMMYFUNCTION("""COMPUTED_VALUE"""),0.0)</f>
        <v>0</v>
      </c>
      <c r="Z237" s="199">
        <f>IFERROR(__xludf.DUMMYFUNCTION("""COMPUTED_VALUE"""),2.0)</f>
        <v>2</v>
      </c>
      <c r="AA237" s="199">
        <f>IFERROR(__xludf.DUMMYFUNCTION("""COMPUTED_VALUE"""),0.0)</f>
        <v>0</v>
      </c>
      <c r="AB237" s="199">
        <f>IFERROR(__xludf.DUMMYFUNCTION("""COMPUTED_VALUE"""),24.0)</f>
        <v>24</v>
      </c>
      <c r="AC237" s="199">
        <f>IFERROR(__xludf.DUMMYFUNCTION("""COMPUTED_VALUE"""),20.0)</f>
        <v>20</v>
      </c>
      <c r="AD237" s="199">
        <f>IFERROR(__xludf.DUMMYFUNCTION("""COMPUTED_VALUE"""),0.0)</f>
        <v>0</v>
      </c>
      <c r="AE237" s="199">
        <f>IFERROR(__xludf.DUMMYFUNCTION("""COMPUTED_VALUE"""),33.0)</f>
        <v>33</v>
      </c>
      <c r="AF237" s="199">
        <f>IFERROR(__xludf.DUMMYFUNCTION("""COMPUTED_VALUE"""),0.0)</f>
        <v>0</v>
      </c>
      <c r="AG237" s="199">
        <f>IFERROR(__xludf.DUMMYFUNCTION("""COMPUTED_VALUE"""),483.0)</f>
        <v>483</v>
      </c>
      <c r="AH237" s="199">
        <f>IFERROR(__xludf.DUMMYFUNCTION("""COMPUTED_VALUE"""),51.0)</f>
        <v>51</v>
      </c>
      <c r="AI237" s="200" t="str">
        <f>IFERROR(__xludf.DUMMYFUNCTION("""COMPUTED_VALUE"""),"General Alert")</f>
        <v>General Alert</v>
      </c>
      <c r="AJ237" s="200" t="str">
        <f>IFERROR(__xludf.DUMMYFUNCTION("""COMPUTED_VALUE"""),"Investigate root cause; increase sampling frequency to monthly")</f>
        <v>Investigate root cause; increase sampling frequency to monthly</v>
      </c>
      <c r="AK237" s="204"/>
      <c r="AL237" s="204"/>
      <c r="AM237" s="204"/>
    </row>
    <row r="238" hidden="1">
      <c r="A238" s="199" t="str">
        <f>IFERROR(__xludf.DUMMYFUNCTION("""COMPUTED_VALUE"""),"R2.432.KB101(1)")</f>
        <v>R2.432.KB101(1)</v>
      </c>
      <c r="B238" s="200" t="str">
        <f>IFERROR(__xludf.DUMMYFUNCTION("""COMPUTED_VALUE"""),"Kiln Bearing")</f>
        <v>Kiln Bearing</v>
      </c>
      <c r="C238" s="199">
        <f>IFERROR(__xludf.DUMMYFUNCTION("""COMPUTED_VALUE"""),2.507920324E10)</f>
        <v>25079203240</v>
      </c>
      <c r="D238" s="201">
        <f>IFERROR(__xludf.DUMMYFUNCTION("""COMPUTED_VALUE"""),45725.0)</f>
        <v>45725</v>
      </c>
      <c r="E238" s="202" t="str">
        <f>IFERROR(__xludf.DUMMYFUNCTION("""COMPUTED_VALUE"""),"Alert")</f>
        <v>Alert</v>
      </c>
      <c r="F238" s="202" t="str">
        <f>IFERROR(__xludf.DUMMYFUNCTION("""COMPUTED_VALUE"""),"Alert")</f>
        <v>Alert</v>
      </c>
      <c r="G238" s="203" t="str">
        <f>IFERROR(__xludf.DUMMYFUNCTION("""COMPUTED_VALUE"""),"Alert")</f>
        <v>Alert</v>
      </c>
      <c r="H238" s="203" t="str">
        <f>IFERROR(__xludf.DUMMYFUNCTION("""COMPUTED_VALUE"""),"Alert")</f>
        <v>Alert</v>
      </c>
      <c r="I238" s="199"/>
      <c r="J238" s="199"/>
      <c r="K238" s="199"/>
      <c r="L238" s="199">
        <f>IFERROR(__xludf.DUMMYFUNCTION("""COMPUTED_VALUE"""),27.0)</f>
        <v>27</v>
      </c>
      <c r="M238" s="199">
        <f>IFERROR(__xludf.DUMMYFUNCTION("""COMPUTED_VALUE"""),60.2)</f>
        <v>60.2</v>
      </c>
      <c r="N238" s="37"/>
      <c r="O238" s="37">
        <f>IFERROR(__xludf.DUMMYFUNCTION("""COMPUTED_VALUE"""),3.0)</f>
        <v>3</v>
      </c>
      <c r="P238" s="199"/>
      <c r="Q238" s="199">
        <f>IFERROR(__xludf.DUMMYFUNCTION("""COMPUTED_VALUE"""),0.0)</f>
        <v>0</v>
      </c>
      <c r="R238" s="199">
        <f>IFERROR(__xludf.DUMMYFUNCTION("""COMPUTED_VALUE"""),10.0)</f>
        <v>10</v>
      </c>
      <c r="S238" s="199">
        <f>IFERROR(__xludf.DUMMYFUNCTION("""COMPUTED_VALUE"""),1.0)</f>
        <v>1</v>
      </c>
      <c r="T238" s="199">
        <f>IFERROR(__xludf.DUMMYFUNCTION("""COMPUTED_VALUE"""),161.0)</f>
        <v>161</v>
      </c>
      <c r="U238" s="199">
        <f>IFERROR(__xludf.DUMMYFUNCTION("""COMPUTED_VALUE"""),17.0)</f>
        <v>17</v>
      </c>
      <c r="V238" s="199">
        <f>IFERROR(__xludf.DUMMYFUNCTION("""COMPUTED_VALUE"""),2.0)</f>
        <v>2</v>
      </c>
      <c r="W238" s="199">
        <f>IFERROR(__xludf.DUMMYFUNCTION("""COMPUTED_VALUE"""),0.0)</f>
        <v>0</v>
      </c>
      <c r="X238" s="199">
        <f>IFERROR(__xludf.DUMMYFUNCTION("""COMPUTED_VALUE"""),4.0)</f>
        <v>4</v>
      </c>
      <c r="Y238" s="199">
        <f>IFERROR(__xludf.DUMMYFUNCTION("""COMPUTED_VALUE"""),0.0)</f>
        <v>0</v>
      </c>
      <c r="Z238" s="199">
        <f>IFERROR(__xludf.DUMMYFUNCTION("""COMPUTED_VALUE"""),5.0)</f>
        <v>5</v>
      </c>
      <c r="AA238" s="199">
        <f>IFERROR(__xludf.DUMMYFUNCTION("""COMPUTED_VALUE"""),0.0)</f>
        <v>0</v>
      </c>
      <c r="AB238" s="199">
        <f>IFERROR(__xludf.DUMMYFUNCTION("""COMPUTED_VALUE"""),21.0)</f>
        <v>21</v>
      </c>
      <c r="AC238" s="199">
        <f>IFERROR(__xludf.DUMMYFUNCTION("""COMPUTED_VALUE"""),26.0)</f>
        <v>26</v>
      </c>
      <c r="AD238" s="199">
        <f>IFERROR(__xludf.DUMMYFUNCTION("""COMPUTED_VALUE"""),0.0)</f>
        <v>0</v>
      </c>
      <c r="AE238" s="199">
        <f>IFERROR(__xludf.DUMMYFUNCTION("""COMPUTED_VALUE"""),42.0)</f>
        <v>42</v>
      </c>
      <c r="AF238" s="199">
        <f>IFERROR(__xludf.DUMMYFUNCTION("""COMPUTED_VALUE"""),3.0)</f>
        <v>3</v>
      </c>
      <c r="AG238" s="199">
        <f>IFERROR(__xludf.DUMMYFUNCTION("""COMPUTED_VALUE"""),192.0)</f>
        <v>192</v>
      </c>
      <c r="AH238" s="199">
        <f>IFERROR(__xludf.DUMMYFUNCTION("""COMPUTED_VALUE"""),4.0)</f>
        <v>4</v>
      </c>
      <c r="AI238" s="200" t="str">
        <f>IFERROR(__xludf.DUMMYFUNCTION("""COMPUTED_VALUE"""),"Wear Metal Alert | Lubricant Degradation")</f>
        <v>Wear Metal Alert | Lubricant Degradation</v>
      </c>
      <c r="AJ238" s="200" t="str">
        <f>IFERROR(__xludf.DUMMYFUNCTION("""COMPUTED_VALUE"""),"URGENT: Inspect equipment immediately for wear/damage; High wear metals - inspect bearing/gear surfaces; Viscosity critically low - change lubricant immediately")</f>
        <v>URGENT: Inspect equipment immediately for wear/damage; High wear metals - inspect bearing/gear surfaces; Viscosity critically low - change lubricant immediately</v>
      </c>
      <c r="AK238" s="204"/>
      <c r="AL238" s="204"/>
      <c r="AM238" s="204"/>
    </row>
    <row r="239" hidden="1">
      <c r="A239" s="199" t="str">
        <f>IFERROR(__xludf.DUMMYFUNCTION("""COMPUTED_VALUE"""),"R2.432.KB101(2)")</f>
        <v>R2.432.KB101(2)</v>
      </c>
      <c r="B239" s="200" t="str">
        <f>IFERROR(__xludf.DUMMYFUNCTION("""COMPUTED_VALUE"""),"Kiln Bearing")</f>
        <v>Kiln Bearing</v>
      </c>
      <c r="C239" s="199">
        <f>IFERROR(__xludf.DUMMYFUNCTION("""COMPUTED_VALUE"""),2.5079203241E10)</f>
        <v>25079203241</v>
      </c>
      <c r="D239" s="201">
        <f>IFERROR(__xludf.DUMMYFUNCTION("""COMPUTED_VALUE"""),45725.0)</f>
        <v>45725</v>
      </c>
      <c r="E239" s="202" t="str">
        <f>IFERROR(__xludf.DUMMYFUNCTION("""COMPUTED_VALUE"""),"Alert")</f>
        <v>Alert</v>
      </c>
      <c r="F239" s="202" t="str">
        <f>IFERROR(__xludf.DUMMYFUNCTION("""COMPUTED_VALUE"""),"Alert")</f>
        <v>Alert</v>
      </c>
      <c r="G239" s="203" t="str">
        <f>IFERROR(__xludf.DUMMYFUNCTION("""COMPUTED_VALUE"""),"Alert")</f>
        <v>Alert</v>
      </c>
      <c r="H239" s="203" t="str">
        <f>IFERROR(__xludf.DUMMYFUNCTION("""COMPUTED_VALUE"""),"Alert")</f>
        <v>Alert</v>
      </c>
      <c r="I239" s="199"/>
      <c r="J239" s="199"/>
      <c r="K239" s="199"/>
      <c r="L239" s="199">
        <f>IFERROR(__xludf.DUMMYFUNCTION("""COMPUTED_VALUE"""),25.0)</f>
        <v>25</v>
      </c>
      <c r="M239" s="199">
        <f>IFERROR(__xludf.DUMMYFUNCTION("""COMPUTED_VALUE"""),61.0)</f>
        <v>61</v>
      </c>
      <c r="N239" s="37"/>
      <c r="O239" s="37">
        <f>IFERROR(__xludf.DUMMYFUNCTION("""COMPUTED_VALUE"""),3.0)</f>
        <v>3</v>
      </c>
      <c r="P239" s="199"/>
      <c r="Q239" s="199">
        <f>IFERROR(__xludf.DUMMYFUNCTION("""COMPUTED_VALUE"""),0.0)</f>
        <v>0</v>
      </c>
      <c r="R239" s="199">
        <f>IFERROR(__xludf.DUMMYFUNCTION("""COMPUTED_VALUE"""),10.0)</f>
        <v>10</v>
      </c>
      <c r="S239" s="199">
        <f>IFERROR(__xludf.DUMMYFUNCTION("""COMPUTED_VALUE"""),1.0)</f>
        <v>1</v>
      </c>
      <c r="T239" s="199">
        <f>IFERROR(__xludf.DUMMYFUNCTION("""COMPUTED_VALUE"""),170.0)</f>
        <v>170</v>
      </c>
      <c r="U239" s="199">
        <f>IFERROR(__xludf.DUMMYFUNCTION("""COMPUTED_VALUE"""),18.0)</f>
        <v>18</v>
      </c>
      <c r="V239" s="199">
        <f>IFERROR(__xludf.DUMMYFUNCTION("""COMPUTED_VALUE"""),2.0)</f>
        <v>2</v>
      </c>
      <c r="W239" s="199">
        <f>IFERROR(__xludf.DUMMYFUNCTION("""COMPUTED_VALUE"""),0.0)</f>
        <v>0</v>
      </c>
      <c r="X239" s="199">
        <f>IFERROR(__xludf.DUMMYFUNCTION("""COMPUTED_VALUE"""),4.0)</f>
        <v>4</v>
      </c>
      <c r="Y239" s="199">
        <f>IFERROR(__xludf.DUMMYFUNCTION("""COMPUTED_VALUE"""),0.0)</f>
        <v>0</v>
      </c>
      <c r="Z239" s="199">
        <f>IFERROR(__xludf.DUMMYFUNCTION("""COMPUTED_VALUE"""),1.0)</f>
        <v>1</v>
      </c>
      <c r="AA239" s="199">
        <f>IFERROR(__xludf.DUMMYFUNCTION("""COMPUTED_VALUE"""),5.0)</f>
        <v>5</v>
      </c>
      <c r="AB239" s="199">
        <f>IFERROR(__xludf.DUMMYFUNCTION("""COMPUTED_VALUE"""),20.0)</f>
        <v>20</v>
      </c>
      <c r="AC239" s="199">
        <f>IFERROR(__xludf.DUMMYFUNCTION("""COMPUTED_VALUE"""),40.0)</f>
        <v>40</v>
      </c>
      <c r="AD239" s="199">
        <f>IFERROR(__xludf.DUMMYFUNCTION("""COMPUTED_VALUE"""),2.0)</f>
        <v>2</v>
      </c>
      <c r="AE239" s="199">
        <f>IFERROR(__xludf.DUMMYFUNCTION("""COMPUTED_VALUE"""),40.0)</f>
        <v>40</v>
      </c>
      <c r="AF239" s="199">
        <f>IFERROR(__xludf.DUMMYFUNCTION("""COMPUTED_VALUE"""),5.0)</f>
        <v>5</v>
      </c>
      <c r="AG239" s="199">
        <f>IFERROR(__xludf.DUMMYFUNCTION("""COMPUTED_VALUE"""),197.0)</f>
        <v>197</v>
      </c>
      <c r="AH239" s="199">
        <f>IFERROR(__xludf.DUMMYFUNCTION("""COMPUTED_VALUE"""),6.0)</f>
        <v>6</v>
      </c>
      <c r="AI239" s="200" t="str">
        <f>IFERROR(__xludf.DUMMYFUNCTION("""COMPUTED_VALUE"""),"Wear Metal Alert | Lubricant Degradation")</f>
        <v>Wear Metal Alert | Lubricant Degradation</v>
      </c>
      <c r="AJ239" s="200" t="str">
        <f>IFERROR(__xludf.DUMMYFUNCTION("""COMPUTED_VALUE"""),"URGENT: Inspect equipment immediately for wear/damage; High wear metals - inspect bearing/gear surfaces; Viscosity critically low - change lubricant immediately")</f>
        <v>URGENT: Inspect equipment immediately for wear/damage; High wear metals - inspect bearing/gear surfaces; Viscosity critically low - change lubricant immediately</v>
      </c>
      <c r="AK239" s="204"/>
      <c r="AL239" s="204"/>
      <c r="AM239" s="204"/>
    </row>
    <row r="240" hidden="1">
      <c r="A240" s="199" t="str">
        <f>IFERROR(__xludf.DUMMYFUNCTION("""COMPUTED_VALUE"""),"R2.432.KB101(3)")</f>
        <v>R2.432.KB101(3)</v>
      </c>
      <c r="B240" s="200" t="str">
        <f>IFERROR(__xludf.DUMMYFUNCTION("""COMPUTED_VALUE"""),"Kiln Bearing")</f>
        <v>Kiln Bearing</v>
      </c>
      <c r="C240" s="199">
        <f>IFERROR(__xludf.DUMMYFUNCTION("""COMPUTED_VALUE"""),2.5079203243E10)</f>
        <v>25079203243</v>
      </c>
      <c r="D240" s="201">
        <f>IFERROR(__xludf.DUMMYFUNCTION("""COMPUTED_VALUE"""),45725.0)</f>
        <v>45725</v>
      </c>
      <c r="E240" s="202" t="str">
        <f>IFERROR(__xludf.DUMMYFUNCTION("""COMPUTED_VALUE"""),"Alert")</f>
        <v>Alert</v>
      </c>
      <c r="F240" s="202" t="str">
        <f>IFERROR(__xludf.DUMMYFUNCTION("""COMPUTED_VALUE"""),"Caution")</f>
        <v>Caution</v>
      </c>
      <c r="G240" s="203" t="str">
        <f>IFERROR(__xludf.DUMMYFUNCTION("""COMPUTED_VALUE"""),"Alert")</f>
        <v>Alert</v>
      </c>
      <c r="H240" s="203" t="str">
        <f>IFERROR(__xludf.DUMMYFUNCTION("""COMPUTED_VALUE"""),"Alert")</f>
        <v>Alert</v>
      </c>
      <c r="I240" s="199"/>
      <c r="J240" s="199"/>
      <c r="K240" s="199"/>
      <c r="L240" s="199">
        <f>IFERROR(__xludf.DUMMYFUNCTION("""COMPUTED_VALUE"""),20.0)</f>
        <v>20</v>
      </c>
      <c r="M240" s="199">
        <f>IFERROR(__xludf.DUMMYFUNCTION("""COMPUTED_VALUE"""),61.0)</f>
        <v>61</v>
      </c>
      <c r="N240" s="37"/>
      <c r="O240" s="37">
        <f>IFERROR(__xludf.DUMMYFUNCTION("""COMPUTED_VALUE"""),3.0)</f>
        <v>3</v>
      </c>
      <c r="P240" s="199"/>
      <c r="Q240" s="199">
        <f>IFERROR(__xludf.DUMMYFUNCTION("""COMPUTED_VALUE"""),0.0)</f>
        <v>0</v>
      </c>
      <c r="R240" s="199">
        <f>IFERROR(__xludf.DUMMYFUNCTION("""COMPUTED_VALUE"""),9.0)</f>
        <v>9</v>
      </c>
      <c r="S240" s="199">
        <f>IFERROR(__xludf.DUMMYFUNCTION("""COMPUTED_VALUE"""),1.0)</f>
        <v>1</v>
      </c>
      <c r="T240" s="199">
        <f>IFERROR(__xludf.DUMMYFUNCTION("""COMPUTED_VALUE"""),161.0)</f>
        <v>161</v>
      </c>
      <c r="U240" s="199">
        <f>IFERROR(__xludf.DUMMYFUNCTION("""COMPUTED_VALUE"""),17.0)</f>
        <v>17</v>
      </c>
      <c r="V240" s="199">
        <f>IFERROR(__xludf.DUMMYFUNCTION("""COMPUTED_VALUE"""),0.0)</f>
        <v>0</v>
      </c>
      <c r="W240" s="199">
        <f>IFERROR(__xludf.DUMMYFUNCTION("""COMPUTED_VALUE"""),0.0)</f>
        <v>0</v>
      </c>
      <c r="X240" s="199">
        <f>IFERROR(__xludf.DUMMYFUNCTION("""COMPUTED_VALUE"""),3.0)</f>
        <v>3</v>
      </c>
      <c r="Y240" s="199">
        <f>IFERROR(__xludf.DUMMYFUNCTION("""COMPUTED_VALUE"""),0.0)</f>
        <v>0</v>
      </c>
      <c r="Z240" s="199">
        <f>IFERROR(__xludf.DUMMYFUNCTION("""COMPUTED_VALUE"""),0.0)</f>
        <v>0</v>
      </c>
      <c r="AA240" s="199">
        <f>IFERROR(__xludf.DUMMYFUNCTION("""COMPUTED_VALUE"""),5.0)</f>
        <v>5</v>
      </c>
      <c r="AB240" s="199">
        <f>IFERROR(__xludf.DUMMYFUNCTION("""COMPUTED_VALUE"""),20.0)</f>
        <v>20</v>
      </c>
      <c r="AC240" s="199">
        <f>IFERROR(__xludf.DUMMYFUNCTION("""COMPUTED_VALUE"""),26.0)</f>
        <v>26</v>
      </c>
      <c r="AD240" s="199">
        <f>IFERROR(__xludf.DUMMYFUNCTION("""COMPUTED_VALUE"""),0.0)</f>
        <v>0</v>
      </c>
      <c r="AE240" s="199">
        <f>IFERROR(__xludf.DUMMYFUNCTION("""COMPUTED_VALUE"""),35.0)</f>
        <v>35</v>
      </c>
      <c r="AF240" s="199">
        <f>IFERROR(__xludf.DUMMYFUNCTION("""COMPUTED_VALUE"""),0.0)</f>
        <v>0</v>
      </c>
      <c r="AG240" s="199">
        <f>IFERROR(__xludf.DUMMYFUNCTION("""COMPUTED_VALUE"""),192.0)</f>
        <v>192</v>
      </c>
      <c r="AH240" s="199">
        <f>IFERROR(__xludf.DUMMYFUNCTION("""COMPUTED_VALUE"""),4.0)</f>
        <v>4</v>
      </c>
      <c r="AI240" s="200" t="str">
        <f>IFERROR(__xludf.DUMMYFUNCTION("""COMPUTED_VALUE"""),"Wear Metal Alert | Lubricant Degradation")</f>
        <v>Wear Metal Alert | Lubricant Degradation</v>
      </c>
      <c r="AJ240" s="200" t="str">
        <f>IFERROR(__xludf.DUMMYFUNCTION("""COMPUTED_VALUE"""),"URGENT: Inspect equipment immediately for wear/damage; High wear metals - inspect bearing/gear surfaces; Viscosity critically low - change lubricant immediately")</f>
        <v>URGENT: Inspect equipment immediately for wear/damage; High wear metals - inspect bearing/gear surfaces; Viscosity critically low - change lubricant immediately</v>
      </c>
      <c r="AK240" s="204"/>
      <c r="AL240" s="204"/>
      <c r="AM240" s="204"/>
    </row>
    <row r="241" hidden="1">
      <c r="A241" s="199" t="str">
        <f>IFERROR(__xludf.DUMMYFUNCTION("""COMPUTED_VALUE"""),"R2.432.KB101(4)")</f>
        <v>R2.432.KB101(4)</v>
      </c>
      <c r="B241" s="200" t="str">
        <f>IFERROR(__xludf.DUMMYFUNCTION("""COMPUTED_VALUE"""),"Kiln Bearing")</f>
        <v>Kiln Bearing</v>
      </c>
      <c r="C241" s="199">
        <f>IFERROR(__xludf.DUMMYFUNCTION("""COMPUTED_VALUE"""),2.5079203234E10)</f>
        <v>25079203234</v>
      </c>
      <c r="D241" s="201">
        <f>IFERROR(__xludf.DUMMYFUNCTION("""COMPUTED_VALUE"""),45725.0)</f>
        <v>45725</v>
      </c>
      <c r="E241" s="202" t="str">
        <f>IFERROR(__xludf.DUMMYFUNCTION("""COMPUTED_VALUE"""),"Alert")</f>
        <v>Alert</v>
      </c>
      <c r="F241" s="202" t="str">
        <f>IFERROR(__xludf.DUMMYFUNCTION("""COMPUTED_VALUE"""),"Caution")</f>
        <v>Caution</v>
      </c>
      <c r="G241" s="203" t="str">
        <f>IFERROR(__xludf.DUMMYFUNCTION("""COMPUTED_VALUE"""),"Alert")</f>
        <v>Alert</v>
      </c>
      <c r="H241" s="203" t="str">
        <f>IFERROR(__xludf.DUMMYFUNCTION("""COMPUTED_VALUE"""),"Alert")</f>
        <v>Alert</v>
      </c>
      <c r="I241" s="37"/>
      <c r="J241" s="37"/>
      <c r="K241" s="37"/>
      <c r="L241" s="199">
        <f>IFERROR(__xludf.DUMMYFUNCTION("""COMPUTED_VALUE"""),28.0)</f>
        <v>28</v>
      </c>
      <c r="M241" s="199">
        <f>IFERROR(__xludf.DUMMYFUNCTION("""COMPUTED_VALUE"""),60.8)</f>
        <v>60.8</v>
      </c>
      <c r="N241" s="37"/>
      <c r="O241" s="37">
        <f>IFERROR(__xludf.DUMMYFUNCTION("""COMPUTED_VALUE"""),3.0)</f>
        <v>3</v>
      </c>
      <c r="P241" s="199"/>
      <c r="Q241" s="199">
        <f>IFERROR(__xludf.DUMMYFUNCTION("""COMPUTED_VALUE"""),0.0)</f>
        <v>0</v>
      </c>
      <c r="R241" s="199">
        <f>IFERROR(__xludf.DUMMYFUNCTION("""COMPUTED_VALUE"""),13.0)</f>
        <v>13</v>
      </c>
      <c r="S241" s="199">
        <f>IFERROR(__xludf.DUMMYFUNCTION("""COMPUTED_VALUE"""),1.0)</f>
        <v>1</v>
      </c>
      <c r="T241" s="199">
        <f>IFERROR(__xludf.DUMMYFUNCTION("""COMPUTED_VALUE"""),170.0)</f>
        <v>170</v>
      </c>
      <c r="U241" s="199">
        <f>IFERROR(__xludf.DUMMYFUNCTION("""COMPUTED_VALUE"""),17.0)</f>
        <v>17</v>
      </c>
      <c r="V241" s="199">
        <f>IFERROR(__xludf.DUMMYFUNCTION("""COMPUTED_VALUE"""),0.0)</f>
        <v>0</v>
      </c>
      <c r="W241" s="199">
        <f>IFERROR(__xludf.DUMMYFUNCTION("""COMPUTED_VALUE"""),0.0)</f>
        <v>0</v>
      </c>
      <c r="X241" s="199">
        <f>IFERROR(__xludf.DUMMYFUNCTION("""COMPUTED_VALUE"""),5.0)</f>
        <v>5</v>
      </c>
      <c r="Y241" s="199">
        <f>IFERROR(__xludf.DUMMYFUNCTION("""COMPUTED_VALUE"""),0.0)</f>
        <v>0</v>
      </c>
      <c r="Z241" s="199">
        <f>IFERROR(__xludf.DUMMYFUNCTION("""COMPUTED_VALUE"""),2.0)</f>
        <v>2</v>
      </c>
      <c r="AA241" s="199">
        <f>IFERROR(__xludf.DUMMYFUNCTION("""COMPUTED_VALUE"""),0.0)</f>
        <v>0</v>
      </c>
      <c r="AB241" s="199">
        <f>IFERROR(__xludf.DUMMYFUNCTION("""COMPUTED_VALUE"""),18.0)</f>
        <v>18</v>
      </c>
      <c r="AC241" s="199">
        <f>IFERROR(__xludf.DUMMYFUNCTION("""COMPUTED_VALUE"""),25.0)</f>
        <v>25</v>
      </c>
      <c r="AD241" s="199">
        <f>IFERROR(__xludf.DUMMYFUNCTION("""COMPUTED_VALUE"""),0.0)</f>
        <v>0</v>
      </c>
      <c r="AE241" s="199">
        <f>IFERROR(__xludf.DUMMYFUNCTION("""COMPUTED_VALUE"""),47.0)</f>
        <v>47</v>
      </c>
      <c r="AF241" s="199">
        <f>IFERROR(__xludf.DUMMYFUNCTION("""COMPUTED_VALUE"""),5.0)</f>
        <v>5</v>
      </c>
      <c r="AG241" s="199">
        <f>IFERROR(__xludf.DUMMYFUNCTION("""COMPUTED_VALUE"""),218.0)</f>
        <v>218</v>
      </c>
      <c r="AH241" s="199">
        <f>IFERROR(__xludf.DUMMYFUNCTION("""COMPUTED_VALUE"""),11.0)</f>
        <v>11</v>
      </c>
      <c r="AI241" s="200" t="str">
        <f>IFERROR(__xludf.DUMMYFUNCTION("""COMPUTED_VALUE"""),"Wear Metal Alert | Lubricant Degradation")</f>
        <v>Wear Metal Alert | Lubricant Degradation</v>
      </c>
      <c r="AJ241" s="200" t="str">
        <f>IFERROR(__xludf.DUMMYFUNCTION("""COMPUTED_VALUE"""),"URGENT: Inspect equipment immediately for wear/damage; High wear metals - inspect bearing/gear surfaces; Viscosity critically low - change lubricant immediately")</f>
        <v>URGENT: Inspect equipment immediately for wear/damage; High wear metals - inspect bearing/gear surfaces; Viscosity critically low - change lubricant immediately</v>
      </c>
      <c r="AK241" s="204"/>
      <c r="AL241" s="204"/>
      <c r="AM241" s="204"/>
    </row>
    <row r="242" hidden="1">
      <c r="A242" s="199" t="str">
        <f>IFERROR(__xludf.DUMMYFUNCTION("""COMPUTED_VALUE"""),"R2.432.KB102(4)")</f>
        <v>R2.432.KB102(4)</v>
      </c>
      <c r="B242" s="200" t="str">
        <f>IFERROR(__xludf.DUMMYFUNCTION("""COMPUTED_VALUE"""),"Kiln Bearing")</f>
        <v>Kiln Bearing</v>
      </c>
      <c r="C242" s="199">
        <f>IFERROR(__xludf.DUMMYFUNCTION("""COMPUTED_VALUE"""),2.5079203232E10)</f>
        <v>25079203232</v>
      </c>
      <c r="D242" s="201">
        <f>IFERROR(__xludf.DUMMYFUNCTION("""COMPUTED_VALUE"""),45725.0)</f>
        <v>45725</v>
      </c>
      <c r="E242" s="202" t="str">
        <f>IFERROR(__xludf.DUMMYFUNCTION("""COMPUTED_VALUE"""),"Alert")</f>
        <v>Alert</v>
      </c>
      <c r="F242" s="202" t="str">
        <f>IFERROR(__xludf.DUMMYFUNCTION("""COMPUTED_VALUE"""),"Caution")</f>
        <v>Caution</v>
      </c>
      <c r="G242" s="203" t="str">
        <f>IFERROR(__xludf.DUMMYFUNCTION("""COMPUTED_VALUE"""),"Alert")</f>
        <v>Alert</v>
      </c>
      <c r="H242" s="203" t="str">
        <f>IFERROR(__xludf.DUMMYFUNCTION("""COMPUTED_VALUE"""),"Alert")</f>
        <v>Alert</v>
      </c>
      <c r="I242" s="37"/>
      <c r="J242" s="37"/>
      <c r="K242" s="37"/>
      <c r="L242" s="199">
        <f>IFERROR(__xludf.DUMMYFUNCTION("""COMPUTED_VALUE"""),27.0)</f>
        <v>27</v>
      </c>
      <c r="M242" s="199">
        <f>IFERROR(__xludf.DUMMYFUNCTION("""COMPUTED_VALUE"""),60.1)</f>
        <v>60.1</v>
      </c>
      <c r="N242" s="199"/>
      <c r="O242" s="199">
        <f>IFERROR(__xludf.DUMMYFUNCTION("""COMPUTED_VALUE"""),3.0)</f>
        <v>3</v>
      </c>
      <c r="P242" s="37"/>
      <c r="Q242" s="199">
        <f>IFERROR(__xludf.DUMMYFUNCTION("""COMPUTED_VALUE"""),0.0)</f>
        <v>0</v>
      </c>
      <c r="R242" s="199">
        <f>IFERROR(__xludf.DUMMYFUNCTION("""COMPUTED_VALUE"""),10.0)</f>
        <v>10</v>
      </c>
      <c r="S242" s="199">
        <f>IFERROR(__xludf.DUMMYFUNCTION("""COMPUTED_VALUE"""),1.0)</f>
        <v>1</v>
      </c>
      <c r="T242" s="199">
        <f>IFERROR(__xludf.DUMMYFUNCTION("""COMPUTED_VALUE"""),171.0)</f>
        <v>171</v>
      </c>
      <c r="U242" s="199">
        <f>IFERROR(__xludf.DUMMYFUNCTION("""COMPUTED_VALUE"""),17.0)</f>
        <v>17</v>
      </c>
      <c r="V242" s="199">
        <f>IFERROR(__xludf.DUMMYFUNCTION("""COMPUTED_VALUE"""),2.0)</f>
        <v>2</v>
      </c>
      <c r="W242" s="199">
        <f>IFERROR(__xludf.DUMMYFUNCTION("""COMPUTED_VALUE"""),0.0)</f>
        <v>0</v>
      </c>
      <c r="X242" s="199">
        <f>IFERROR(__xludf.DUMMYFUNCTION("""COMPUTED_VALUE"""),4.0)</f>
        <v>4</v>
      </c>
      <c r="Y242" s="199">
        <f>IFERROR(__xludf.DUMMYFUNCTION("""COMPUTED_VALUE"""),0.0)</f>
        <v>0</v>
      </c>
      <c r="Z242" s="199">
        <f>IFERROR(__xludf.DUMMYFUNCTION("""COMPUTED_VALUE"""),0.0)</f>
        <v>0</v>
      </c>
      <c r="AA242" s="199">
        <f>IFERROR(__xludf.DUMMYFUNCTION("""COMPUTED_VALUE"""),0.0)</f>
        <v>0</v>
      </c>
      <c r="AB242" s="199">
        <f>IFERROR(__xludf.DUMMYFUNCTION("""COMPUTED_VALUE"""),20.0)</f>
        <v>20</v>
      </c>
      <c r="AC242" s="199">
        <f>IFERROR(__xludf.DUMMYFUNCTION("""COMPUTED_VALUE"""),29.0)</f>
        <v>29</v>
      </c>
      <c r="AD242" s="199">
        <f>IFERROR(__xludf.DUMMYFUNCTION("""COMPUTED_VALUE"""),0.0)</f>
        <v>0</v>
      </c>
      <c r="AE242" s="199">
        <f>IFERROR(__xludf.DUMMYFUNCTION("""COMPUTED_VALUE"""),51.0)</f>
        <v>51</v>
      </c>
      <c r="AF242" s="199">
        <f>IFERROR(__xludf.DUMMYFUNCTION("""COMPUTED_VALUE"""),5.0)</f>
        <v>5</v>
      </c>
      <c r="AG242" s="199">
        <f>IFERROR(__xludf.DUMMYFUNCTION("""COMPUTED_VALUE"""),189.0)</f>
        <v>189</v>
      </c>
      <c r="AH242" s="199">
        <f>IFERROR(__xludf.DUMMYFUNCTION("""COMPUTED_VALUE"""),5.0)</f>
        <v>5</v>
      </c>
      <c r="AI242" s="200" t="str">
        <f>IFERROR(__xludf.DUMMYFUNCTION("""COMPUTED_VALUE"""),"Wear Metal Alert | Lubricant Degradation")</f>
        <v>Wear Metal Alert | Lubricant Degradation</v>
      </c>
      <c r="AJ242" s="200" t="str">
        <f>IFERROR(__xludf.DUMMYFUNCTION("""COMPUTED_VALUE"""),"URGENT: Inspect equipment immediately for wear/damage; High wear metals - inspect bearing/gear surfaces; Viscosity critically low - change lubricant immediately")</f>
        <v>URGENT: Inspect equipment immediately for wear/damage; High wear metals - inspect bearing/gear surfaces; Viscosity critically low - change lubricant immediately</v>
      </c>
      <c r="AK242" s="204"/>
      <c r="AL242" s="204"/>
      <c r="AM242" s="204"/>
    </row>
    <row r="243" hidden="1">
      <c r="A243" s="199" t="str">
        <f>IFERROR(__xludf.DUMMYFUNCTION("""COMPUTED_VALUE"""),"R2.432.KB102(2)")</f>
        <v>R2.432.KB102(2)</v>
      </c>
      <c r="B243" s="200" t="str">
        <f>IFERROR(__xludf.DUMMYFUNCTION("""COMPUTED_VALUE"""),"Kiln Bearing")</f>
        <v>Kiln Bearing</v>
      </c>
      <c r="C243" s="199">
        <f>IFERROR(__xludf.DUMMYFUNCTION("""COMPUTED_VALUE"""),2.5079203231E10)</f>
        <v>25079203231</v>
      </c>
      <c r="D243" s="201">
        <f>IFERROR(__xludf.DUMMYFUNCTION("""COMPUTED_VALUE"""),45725.0)</f>
        <v>45725</v>
      </c>
      <c r="E243" s="202" t="str">
        <f>IFERROR(__xludf.DUMMYFUNCTION("""COMPUTED_VALUE"""),"Alert")</f>
        <v>Alert</v>
      </c>
      <c r="F243" s="202" t="str">
        <f>IFERROR(__xludf.DUMMYFUNCTION("""COMPUTED_VALUE"""),"Alert")</f>
        <v>Alert</v>
      </c>
      <c r="G243" s="203" t="str">
        <f>IFERROR(__xludf.DUMMYFUNCTION("""COMPUTED_VALUE"""),"Alert")</f>
        <v>Alert</v>
      </c>
      <c r="H243" s="203" t="str">
        <f>IFERROR(__xludf.DUMMYFUNCTION("""COMPUTED_VALUE"""),"Alert")</f>
        <v>Alert</v>
      </c>
      <c r="I243" s="37"/>
      <c r="J243" s="37"/>
      <c r="K243" s="37"/>
      <c r="L243" s="199">
        <f>IFERROR(__xludf.DUMMYFUNCTION("""COMPUTED_VALUE"""),29.0)</f>
        <v>29</v>
      </c>
      <c r="M243" s="199">
        <f>IFERROR(__xludf.DUMMYFUNCTION("""COMPUTED_VALUE"""),59.6)</f>
        <v>59.6</v>
      </c>
      <c r="N243" s="199"/>
      <c r="O243" s="199">
        <f>IFERROR(__xludf.DUMMYFUNCTION("""COMPUTED_VALUE"""),3.0)</f>
        <v>3</v>
      </c>
      <c r="P243" s="37"/>
      <c r="Q243" s="199">
        <f>IFERROR(__xludf.DUMMYFUNCTION("""COMPUTED_VALUE"""),0.0)</f>
        <v>0</v>
      </c>
      <c r="R243" s="199">
        <f>IFERROR(__xludf.DUMMYFUNCTION("""COMPUTED_VALUE"""),11.0)</f>
        <v>11</v>
      </c>
      <c r="S243" s="199">
        <f>IFERROR(__xludf.DUMMYFUNCTION("""COMPUTED_VALUE"""),1.0)</f>
        <v>1</v>
      </c>
      <c r="T243" s="199">
        <f>IFERROR(__xludf.DUMMYFUNCTION("""COMPUTED_VALUE"""),175.0)</f>
        <v>175</v>
      </c>
      <c r="U243" s="199">
        <f>IFERROR(__xludf.DUMMYFUNCTION("""COMPUTED_VALUE"""),17.0)</f>
        <v>17</v>
      </c>
      <c r="V243" s="199">
        <f>IFERROR(__xludf.DUMMYFUNCTION("""COMPUTED_VALUE"""),0.0)</f>
        <v>0</v>
      </c>
      <c r="W243" s="199">
        <f>IFERROR(__xludf.DUMMYFUNCTION("""COMPUTED_VALUE"""),0.0)</f>
        <v>0</v>
      </c>
      <c r="X243" s="199">
        <f>IFERROR(__xludf.DUMMYFUNCTION("""COMPUTED_VALUE"""),4.0)</f>
        <v>4</v>
      </c>
      <c r="Y243" s="199">
        <f>IFERROR(__xludf.DUMMYFUNCTION("""COMPUTED_VALUE"""),0.0)</f>
        <v>0</v>
      </c>
      <c r="Z243" s="199">
        <f>IFERROR(__xludf.DUMMYFUNCTION("""COMPUTED_VALUE"""),2.0)</f>
        <v>2</v>
      </c>
      <c r="AA243" s="199">
        <f>IFERROR(__xludf.DUMMYFUNCTION("""COMPUTED_VALUE"""),0.0)</f>
        <v>0</v>
      </c>
      <c r="AB243" s="199">
        <f>IFERROR(__xludf.DUMMYFUNCTION("""COMPUTED_VALUE"""),25.0)</f>
        <v>25</v>
      </c>
      <c r="AC243" s="199">
        <f>IFERROR(__xludf.DUMMYFUNCTION("""COMPUTED_VALUE"""),29.0)</f>
        <v>29</v>
      </c>
      <c r="AD243" s="199">
        <f>IFERROR(__xludf.DUMMYFUNCTION("""COMPUTED_VALUE"""),0.0)</f>
        <v>0</v>
      </c>
      <c r="AE243" s="199">
        <f>IFERROR(__xludf.DUMMYFUNCTION("""COMPUTED_VALUE"""),44.0)</f>
        <v>44</v>
      </c>
      <c r="AF243" s="199">
        <f>IFERROR(__xludf.DUMMYFUNCTION("""COMPUTED_VALUE"""),3.0)</f>
        <v>3</v>
      </c>
      <c r="AG243" s="199">
        <f>IFERROR(__xludf.DUMMYFUNCTION("""COMPUTED_VALUE"""),193.0)</f>
        <v>193</v>
      </c>
      <c r="AH243" s="199">
        <f>IFERROR(__xludf.DUMMYFUNCTION("""COMPUTED_VALUE"""),8.0)</f>
        <v>8</v>
      </c>
      <c r="AI243" s="200" t="str">
        <f>IFERROR(__xludf.DUMMYFUNCTION("""COMPUTED_VALUE"""),"Wear Metal Alert | Lubricant Degradation")</f>
        <v>Wear Metal Alert | Lubricant Degradation</v>
      </c>
      <c r="AJ243" s="200" t="str">
        <f>IFERROR(__xludf.DUMMYFUNCTION("""COMPUTED_VALUE"""),"URGENT: Inspect equipment immediately for wear/damage; High wear metals - inspect bearing/gear surfaces; Viscosity critically low - change lubricant immediately")</f>
        <v>URGENT: Inspect equipment immediately for wear/damage; High wear metals - inspect bearing/gear surfaces; Viscosity critically low - change lubricant immediately</v>
      </c>
      <c r="AK243" s="204"/>
      <c r="AL243" s="204"/>
      <c r="AM243" s="204"/>
    </row>
    <row r="244" hidden="1">
      <c r="A244" s="199" t="str">
        <f>IFERROR(__xludf.DUMMYFUNCTION("""COMPUTED_VALUE"""),"R2.432.KB102(3)")</f>
        <v>R2.432.KB102(3)</v>
      </c>
      <c r="B244" s="200" t="str">
        <f>IFERROR(__xludf.DUMMYFUNCTION("""COMPUTED_VALUE"""),"Kiln Bearing")</f>
        <v>Kiln Bearing</v>
      </c>
      <c r="C244" s="199">
        <f>IFERROR(__xludf.DUMMYFUNCTION("""COMPUTED_VALUE"""),2.5079203228E10)</f>
        <v>25079203228</v>
      </c>
      <c r="D244" s="201">
        <f>IFERROR(__xludf.DUMMYFUNCTION("""COMPUTED_VALUE"""),45725.0)</f>
        <v>45725</v>
      </c>
      <c r="E244" s="202" t="str">
        <f>IFERROR(__xludf.DUMMYFUNCTION("""COMPUTED_VALUE"""),"Alert")</f>
        <v>Alert</v>
      </c>
      <c r="F244" s="202" t="str">
        <f>IFERROR(__xludf.DUMMYFUNCTION("""COMPUTED_VALUE"""),"Alert")</f>
        <v>Alert</v>
      </c>
      <c r="G244" s="203" t="str">
        <f>IFERROR(__xludf.DUMMYFUNCTION("""COMPUTED_VALUE"""),"Alert")</f>
        <v>Alert</v>
      </c>
      <c r="H244" s="203" t="str">
        <f>IFERROR(__xludf.DUMMYFUNCTION("""COMPUTED_VALUE"""),"Alert")</f>
        <v>Alert</v>
      </c>
      <c r="I244" s="37"/>
      <c r="J244" s="37"/>
      <c r="K244" s="37"/>
      <c r="L244" s="199">
        <f>IFERROR(__xludf.DUMMYFUNCTION("""COMPUTED_VALUE"""),29.0)</f>
        <v>29</v>
      </c>
      <c r="M244" s="199">
        <f>IFERROR(__xludf.DUMMYFUNCTION("""COMPUTED_VALUE"""),60.1)</f>
        <v>60.1</v>
      </c>
      <c r="N244" s="199"/>
      <c r="O244" s="199">
        <f>IFERROR(__xludf.DUMMYFUNCTION("""COMPUTED_VALUE"""),3.0)</f>
        <v>3</v>
      </c>
      <c r="P244" s="37"/>
      <c r="Q244" s="199">
        <f>IFERROR(__xludf.DUMMYFUNCTION("""COMPUTED_VALUE"""),0.0)</f>
        <v>0</v>
      </c>
      <c r="R244" s="199">
        <f>IFERROR(__xludf.DUMMYFUNCTION("""COMPUTED_VALUE"""),10.0)</f>
        <v>10</v>
      </c>
      <c r="S244" s="199">
        <f>IFERROR(__xludf.DUMMYFUNCTION("""COMPUTED_VALUE"""),1.0)</f>
        <v>1</v>
      </c>
      <c r="T244" s="199">
        <f>IFERROR(__xludf.DUMMYFUNCTION("""COMPUTED_VALUE"""),174.0)</f>
        <v>174</v>
      </c>
      <c r="U244" s="199">
        <f>IFERROR(__xludf.DUMMYFUNCTION("""COMPUTED_VALUE"""),19.0)</f>
        <v>19</v>
      </c>
      <c r="V244" s="199">
        <f>IFERROR(__xludf.DUMMYFUNCTION("""COMPUTED_VALUE"""),0.0)</f>
        <v>0</v>
      </c>
      <c r="W244" s="199">
        <f>IFERROR(__xludf.DUMMYFUNCTION("""COMPUTED_VALUE"""),0.0)</f>
        <v>0</v>
      </c>
      <c r="X244" s="199">
        <f>IFERROR(__xludf.DUMMYFUNCTION("""COMPUTED_VALUE"""),4.0)</f>
        <v>4</v>
      </c>
      <c r="Y244" s="199">
        <f>IFERROR(__xludf.DUMMYFUNCTION("""COMPUTED_VALUE"""),0.0)</f>
        <v>0</v>
      </c>
      <c r="Z244" s="199">
        <f>IFERROR(__xludf.DUMMYFUNCTION("""COMPUTED_VALUE"""),2.0)</f>
        <v>2</v>
      </c>
      <c r="AA244" s="199">
        <f>IFERROR(__xludf.DUMMYFUNCTION("""COMPUTED_VALUE"""),0.0)</f>
        <v>0</v>
      </c>
      <c r="AB244" s="199">
        <f>IFERROR(__xludf.DUMMYFUNCTION("""COMPUTED_VALUE"""),21.0)</f>
        <v>21</v>
      </c>
      <c r="AC244" s="199">
        <f>IFERROR(__xludf.DUMMYFUNCTION("""COMPUTED_VALUE"""),26.0)</f>
        <v>26</v>
      </c>
      <c r="AD244" s="199">
        <f>IFERROR(__xludf.DUMMYFUNCTION("""COMPUTED_VALUE"""),0.0)</f>
        <v>0</v>
      </c>
      <c r="AE244" s="199">
        <f>IFERROR(__xludf.DUMMYFUNCTION("""COMPUTED_VALUE"""),55.0)</f>
        <v>55</v>
      </c>
      <c r="AF244" s="199">
        <f>IFERROR(__xludf.DUMMYFUNCTION("""COMPUTED_VALUE"""),3.0)</f>
        <v>3</v>
      </c>
      <c r="AG244" s="199">
        <f>IFERROR(__xludf.DUMMYFUNCTION("""COMPUTED_VALUE"""),205.0)</f>
        <v>205</v>
      </c>
      <c r="AH244" s="199">
        <f>IFERROR(__xludf.DUMMYFUNCTION("""COMPUTED_VALUE"""),21.0)</f>
        <v>21</v>
      </c>
      <c r="AI244" s="200" t="str">
        <f>IFERROR(__xludf.DUMMYFUNCTION("""COMPUTED_VALUE"""),"Wear Metal Alert | Lubricant Degradation")</f>
        <v>Wear Metal Alert | Lubricant Degradation</v>
      </c>
      <c r="AJ244" s="200" t="str">
        <f>IFERROR(__xludf.DUMMYFUNCTION("""COMPUTED_VALUE"""),"URGENT: Inspect equipment immediately for wear/damage; High wear metals - inspect bearing/gear surfaces; Viscosity critically low - change lubricant immediately")</f>
        <v>URGENT: Inspect equipment immediately for wear/damage; High wear metals - inspect bearing/gear surfaces; Viscosity critically low - change lubricant immediately</v>
      </c>
      <c r="AK244" s="204"/>
      <c r="AL244" s="204"/>
      <c r="AM244" s="204"/>
    </row>
    <row r="245" hidden="1">
      <c r="A245" s="199" t="str">
        <f>IFERROR(__xludf.DUMMYFUNCTION("""COMPUTED_VALUE"""),"R2.432.KB103(1)")</f>
        <v>R2.432.KB103(1)</v>
      </c>
      <c r="B245" s="200" t="str">
        <f>IFERROR(__xludf.DUMMYFUNCTION("""COMPUTED_VALUE"""),"Kiln Bearing")</f>
        <v>Kiln Bearing</v>
      </c>
      <c r="C245" s="199">
        <f>IFERROR(__xludf.DUMMYFUNCTION("""COMPUTED_VALUE"""),2.5079203246E10)</f>
        <v>25079203246</v>
      </c>
      <c r="D245" s="201">
        <f>IFERROR(__xludf.DUMMYFUNCTION("""COMPUTED_VALUE"""),45725.0)</f>
        <v>45725</v>
      </c>
      <c r="E245" s="202" t="str">
        <f>IFERROR(__xludf.DUMMYFUNCTION("""COMPUTED_VALUE"""),"Alert")</f>
        <v>Alert</v>
      </c>
      <c r="F245" s="202" t="str">
        <f>IFERROR(__xludf.DUMMYFUNCTION("""COMPUTED_VALUE"""),"Caution")</f>
        <v>Caution</v>
      </c>
      <c r="G245" s="203" t="str">
        <f>IFERROR(__xludf.DUMMYFUNCTION("""COMPUTED_VALUE"""),"Alert")</f>
        <v>Alert</v>
      </c>
      <c r="H245" s="203" t="str">
        <f>IFERROR(__xludf.DUMMYFUNCTION("""COMPUTED_VALUE"""),"Alert")</f>
        <v>Alert</v>
      </c>
      <c r="I245" s="37"/>
      <c r="J245" s="37"/>
      <c r="K245" s="37"/>
      <c r="L245" s="199">
        <f>IFERROR(__xludf.DUMMYFUNCTION("""COMPUTED_VALUE"""),28.0)</f>
        <v>28</v>
      </c>
      <c r="M245" s="199">
        <f>IFERROR(__xludf.DUMMYFUNCTION("""COMPUTED_VALUE"""),60.5)</f>
        <v>60.5</v>
      </c>
      <c r="N245" s="199"/>
      <c r="O245" s="199">
        <f>IFERROR(__xludf.DUMMYFUNCTION("""COMPUTED_VALUE"""),3.0)</f>
        <v>3</v>
      </c>
      <c r="P245" s="37"/>
      <c r="Q245" s="199">
        <f>IFERROR(__xludf.DUMMYFUNCTION("""COMPUTED_VALUE"""),0.0)</f>
        <v>0</v>
      </c>
      <c r="R245" s="199">
        <f>IFERROR(__xludf.DUMMYFUNCTION("""COMPUTED_VALUE"""),10.0)</f>
        <v>10</v>
      </c>
      <c r="S245" s="199">
        <f>IFERROR(__xludf.DUMMYFUNCTION("""COMPUTED_VALUE"""),1.0)</f>
        <v>1</v>
      </c>
      <c r="T245" s="199">
        <f>IFERROR(__xludf.DUMMYFUNCTION("""COMPUTED_VALUE"""),142.0)</f>
        <v>142</v>
      </c>
      <c r="U245" s="199">
        <f>IFERROR(__xludf.DUMMYFUNCTION("""COMPUTED_VALUE"""),14.0)</f>
        <v>14</v>
      </c>
      <c r="V245" s="199">
        <f>IFERROR(__xludf.DUMMYFUNCTION("""COMPUTED_VALUE"""),0.0)</f>
        <v>0</v>
      </c>
      <c r="W245" s="199">
        <f>IFERROR(__xludf.DUMMYFUNCTION("""COMPUTED_VALUE"""),0.0)</f>
        <v>0</v>
      </c>
      <c r="X245" s="199">
        <f>IFERROR(__xludf.DUMMYFUNCTION("""COMPUTED_VALUE"""),3.0)</f>
        <v>3</v>
      </c>
      <c r="Y245" s="199">
        <f>IFERROR(__xludf.DUMMYFUNCTION("""COMPUTED_VALUE"""),0.0)</f>
        <v>0</v>
      </c>
      <c r="Z245" s="199">
        <f>IFERROR(__xludf.DUMMYFUNCTION("""COMPUTED_VALUE"""),5.0)</f>
        <v>5</v>
      </c>
      <c r="AA245" s="199">
        <f>IFERROR(__xludf.DUMMYFUNCTION("""COMPUTED_VALUE"""),0.0)</f>
        <v>0</v>
      </c>
      <c r="AB245" s="199">
        <f>IFERROR(__xludf.DUMMYFUNCTION("""COMPUTED_VALUE"""),18.0)</f>
        <v>18</v>
      </c>
      <c r="AC245" s="199">
        <f>IFERROR(__xludf.DUMMYFUNCTION("""COMPUTED_VALUE"""),29.0)</f>
        <v>29</v>
      </c>
      <c r="AD245" s="199">
        <f>IFERROR(__xludf.DUMMYFUNCTION("""COMPUTED_VALUE"""),0.0)</f>
        <v>0</v>
      </c>
      <c r="AE245" s="199">
        <f>IFERROR(__xludf.DUMMYFUNCTION("""COMPUTED_VALUE"""),33.0)</f>
        <v>33</v>
      </c>
      <c r="AF245" s="199">
        <f>IFERROR(__xludf.DUMMYFUNCTION("""COMPUTED_VALUE"""),2.0)</f>
        <v>2</v>
      </c>
      <c r="AG245" s="199">
        <f>IFERROR(__xludf.DUMMYFUNCTION("""COMPUTED_VALUE"""),198.0)</f>
        <v>198</v>
      </c>
      <c r="AH245" s="199">
        <f>IFERROR(__xludf.DUMMYFUNCTION("""COMPUTED_VALUE"""),10.0)</f>
        <v>10</v>
      </c>
      <c r="AI245" s="200" t="str">
        <f>IFERROR(__xludf.DUMMYFUNCTION("""COMPUTED_VALUE"""),"Wear Metal Alert")</f>
        <v>Wear Metal Alert</v>
      </c>
      <c r="AJ245" s="200" t="str">
        <f>IFERROR(__xludf.DUMMYFUNCTION("""COMPUTED_VALUE"""),"URGENT: Inspect equipment immediately for wear/damage; High wear metals - inspect bearing/gear surfaces")</f>
        <v>URGENT: Inspect equipment immediately for wear/damage; High wear metals - inspect bearing/gear surfaces</v>
      </c>
      <c r="AK245" s="204"/>
      <c r="AL245" s="204"/>
      <c r="AM245" s="204"/>
    </row>
    <row r="246" hidden="1">
      <c r="A246" s="199" t="str">
        <f>IFERROR(__xludf.DUMMYFUNCTION("""COMPUTED_VALUE"""),"R2.432.KB103(2)")</f>
        <v>R2.432.KB103(2)</v>
      </c>
      <c r="B246" s="200" t="str">
        <f>IFERROR(__xludf.DUMMYFUNCTION("""COMPUTED_VALUE"""),"Kiln Bearing")</f>
        <v>Kiln Bearing</v>
      </c>
      <c r="C246" s="199">
        <f>IFERROR(__xludf.DUMMYFUNCTION("""COMPUTED_VALUE"""),2.5079203248E10)</f>
        <v>25079203248</v>
      </c>
      <c r="D246" s="201">
        <f>IFERROR(__xludf.DUMMYFUNCTION("""COMPUTED_VALUE"""),45725.0)</f>
        <v>45725</v>
      </c>
      <c r="E246" s="202" t="str">
        <f>IFERROR(__xludf.DUMMYFUNCTION("""COMPUTED_VALUE"""),"Alert")</f>
        <v>Alert</v>
      </c>
      <c r="F246" s="202" t="str">
        <f>IFERROR(__xludf.DUMMYFUNCTION("""COMPUTED_VALUE"""),"Caution")</f>
        <v>Caution</v>
      </c>
      <c r="G246" s="203" t="str">
        <f>IFERROR(__xludf.DUMMYFUNCTION("""COMPUTED_VALUE"""),"Alert")</f>
        <v>Alert</v>
      </c>
      <c r="H246" s="203" t="str">
        <f>IFERROR(__xludf.DUMMYFUNCTION("""COMPUTED_VALUE"""),"Alert")</f>
        <v>Alert</v>
      </c>
      <c r="I246" s="37"/>
      <c r="J246" s="37"/>
      <c r="K246" s="37"/>
      <c r="L246" s="199">
        <f>IFERROR(__xludf.DUMMYFUNCTION("""COMPUTED_VALUE"""),26.0)</f>
        <v>26</v>
      </c>
      <c r="M246" s="199">
        <f>IFERROR(__xludf.DUMMYFUNCTION("""COMPUTED_VALUE"""),60.7)</f>
        <v>60.7</v>
      </c>
      <c r="N246" s="199"/>
      <c r="O246" s="199">
        <f>IFERROR(__xludf.DUMMYFUNCTION("""COMPUTED_VALUE"""),3.0)</f>
        <v>3</v>
      </c>
      <c r="P246" s="37"/>
      <c r="Q246" s="199">
        <f>IFERROR(__xludf.DUMMYFUNCTION("""COMPUTED_VALUE"""),0.0)</f>
        <v>0</v>
      </c>
      <c r="R246" s="199">
        <f>IFERROR(__xludf.DUMMYFUNCTION("""COMPUTED_VALUE"""),10.0)</f>
        <v>10</v>
      </c>
      <c r="S246" s="199">
        <f>IFERROR(__xludf.DUMMYFUNCTION("""COMPUTED_VALUE"""),1.0)</f>
        <v>1</v>
      </c>
      <c r="T246" s="199">
        <f>IFERROR(__xludf.DUMMYFUNCTION("""COMPUTED_VALUE"""),140.0)</f>
        <v>140</v>
      </c>
      <c r="U246" s="199">
        <f>IFERROR(__xludf.DUMMYFUNCTION("""COMPUTED_VALUE"""),14.0)</f>
        <v>14</v>
      </c>
      <c r="V246" s="199">
        <f>IFERROR(__xludf.DUMMYFUNCTION("""COMPUTED_VALUE"""),0.0)</f>
        <v>0</v>
      </c>
      <c r="W246" s="199">
        <f>IFERROR(__xludf.DUMMYFUNCTION("""COMPUTED_VALUE"""),0.0)</f>
        <v>0</v>
      </c>
      <c r="X246" s="199">
        <f>IFERROR(__xludf.DUMMYFUNCTION("""COMPUTED_VALUE"""),4.0)</f>
        <v>4</v>
      </c>
      <c r="Y246" s="199">
        <f>IFERROR(__xludf.DUMMYFUNCTION("""COMPUTED_VALUE"""),0.0)</f>
        <v>0</v>
      </c>
      <c r="Z246" s="199">
        <f>IFERROR(__xludf.DUMMYFUNCTION("""COMPUTED_VALUE"""),2.0)</f>
        <v>2</v>
      </c>
      <c r="AA246" s="199">
        <f>IFERROR(__xludf.DUMMYFUNCTION("""COMPUTED_VALUE"""),0.0)</f>
        <v>0</v>
      </c>
      <c r="AB246" s="199">
        <f>IFERROR(__xludf.DUMMYFUNCTION("""COMPUTED_VALUE"""),16.0)</f>
        <v>16</v>
      </c>
      <c r="AC246" s="199">
        <f>IFERROR(__xludf.DUMMYFUNCTION("""COMPUTED_VALUE"""),28.0)</f>
        <v>28</v>
      </c>
      <c r="AD246" s="199">
        <f>IFERROR(__xludf.DUMMYFUNCTION("""COMPUTED_VALUE"""),0.0)</f>
        <v>0</v>
      </c>
      <c r="AE246" s="199">
        <f>IFERROR(__xludf.DUMMYFUNCTION("""COMPUTED_VALUE"""),36.0)</f>
        <v>36</v>
      </c>
      <c r="AF246" s="199">
        <f>IFERROR(__xludf.DUMMYFUNCTION("""COMPUTED_VALUE"""),0.0)</f>
        <v>0</v>
      </c>
      <c r="AG246" s="199">
        <f>IFERROR(__xludf.DUMMYFUNCTION("""COMPUTED_VALUE"""),199.0)</f>
        <v>199</v>
      </c>
      <c r="AH246" s="199">
        <f>IFERROR(__xludf.DUMMYFUNCTION("""COMPUTED_VALUE"""),2.0)</f>
        <v>2</v>
      </c>
      <c r="AI246" s="200" t="str">
        <f>IFERROR(__xludf.DUMMYFUNCTION("""COMPUTED_VALUE"""),"Wear Metal Alert")</f>
        <v>Wear Metal Alert</v>
      </c>
      <c r="AJ246" s="200" t="str">
        <f>IFERROR(__xludf.DUMMYFUNCTION("""COMPUTED_VALUE"""),"URGENT: Inspect equipment immediately for wear/damage; High wear metals - inspect bearing/gear surfaces")</f>
        <v>URGENT: Inspect equipment immediately for wear/damage; High wear metals - inspect bearing/gear surfaces</v>
      </c>
      <c r="AK246" s="204"/>
      <c r="AL246" s="204"/>
      <c r="AM246" s="204"/>
    </row>
    <row r="247" hidden="1">
      <c r="A247" s="199" t="str">
        <f>IFERROR(__xludf.DUMMYFUNCTION("""COMPUTED_VALUE"""),"R2.432.KB103(3)")</f>
        <v>R2.432.KB103(3)</v>
      </c>
      <c r="B247" s="200" t="str">
        <f>IFERROR(__xludf.DUMMYFUNCTION("""COMPUTED_VALUE"""),"Kiln Bearing")</f>
        <v>Kiln Bearing</v>
      </c>
      <c r="C247" s="199">
        <f>IFERROR(__xludf.DUMMYFUNCTION("""COMPUTED_VALUE"""),2.5079203245E10)</f>
        <v>25079203245</v>
      </c>
      <c r="D247" s="201">
        <f>IFERROR(__xludf.DUMMYFUNCTION("""COMPUTED_VALUE"""),45725.0)</f>
        <v>45725</v>
      </c>
      <c r="E247" s="202" t="str">
        <f>IFERROR(__xludf.DUMMYFUNCTION("""COMPUTED_VALUE"""),"Alert")</f>
        <v>Alert</v>
      </c>
      <c r="F247" s="202" t="str">
        <f>IFERROR(__xludf.DUMMYFUNCTION("""COMPUTED_VALUE"""),"Caution")</f>
        <v>Caution</v>
      </c>
      <c r="G247" s="203" t="str">
        <f>IFERROR(__xludf.DUMMYFUNCTION("""COMPUTED_VALUE"""),"Alert")</f>
        <v>Alert</v>
      </c>
      <c r="H247" s="203" t="str">
        <f>IFERROR(__xludf.DUMMYFUNCTION("""COMPUTED_VALUE"""),"Alert")</f>
        <v>Alert</v>
      </c>
      <c r="I247" s="37"/>
      <c r="J247" s="37"/>
      <c r="K247" s="37"/>
      <c r="L247" s="199">
        <f>IFERROR(__xludf.DUMMYFUNCTION("""COMPUTED_VALUE"""),62.0)</f>
        <v>62</v>
      </c>
      <c r="M247" s="199">
        <f>IFERROR(__xludf.DUMMYFUNCTION("""COMPUTED_VALUE"""),59.9)</f>
        <v>59.9</v>
      </c>
      <c r="N247" s="199"/>
      <c r="O247" s="199">
        <f>IFERROR(__xludf.DUMMYFUNCTION("""COMPUTED_VALUE"""),3.0)</f>
        <v>3</v>
      </c>
      <c r="P247" s="37"/>
      <c r="Q247" s="199">
        <f>IFERROR(__xludf.DUMMYFUNCTION("""COMPUTED_VALUE"""),0.0)</f>
        <v>0</v>
      </c>
      <c r="R247" s="199">
        <f>IFERROR(__xludf.DUMMYFUNCTION("""COMPUTED_VALUE"""),10.0)</f>
        <v>10</v>
      </c>
      <c r="S247" s="199">
        <f>IFERROR(__xludf.DUMMYFUNCTION("""COMPUTED_VALUE"""),1.0)</f>
        <v>1</v>
      </c>
      <c r="T247" s="199">
        <f>IFERROR(__xludf.DUMMYFUNCTION("""COMPUTED_VALUE"""),171.0)</f>
        <v>171</v>
      </c>
      <c r="U247" s="199">
        <f>IFERROR(__xludf.DUMMYFUNCTION("""COMPUTED_VALUE"""),16.0)</f>
        <v>16</v>
      </c>
      <c r="V247" s="199">
        <f>IFERROR(__xludf.DUMMYFUNCTION("""COMPUTED_VALUE"""),0.0)</f>
        <v>0</v>
      </c>
      <c r="W247" s="199">
        <f>IFERROR(__xludf.DUMMYFUNCTION("""COMPUTED_VALUE"""),0.0)</f>
        <v>0</v>
      </c>
      <c r="X247" s="199">
        <f>IFERROR(__xludf.DUMMYFUNCTION("""COMPUTED_VALUE"""),3.0)</f>
        <v>3</v>
      </c>
      <c r="Y247" s="199">
        <f>IFERROR(__xludf.DUMMYFUNCTION("""COMPUTED_VALUE"""),0.0)</f>
        <v>0</v>
      </c>
      <c r="Z247" s="199">
        <f>IFERROR(__xludf.DUMMYFUNCTION("""COMPUTED_VALUE"""),2.0)</f>
        <v>2</v>
      </c>
      <c r="AA247" s="199">
        <f>IFERROR(__xludf.DUMMYFUNCTION("""COMPUTED_VALUE"""),0.0)</f>
        <v>0</v>
      </c>
      <c r="AB247" s="199">
        <f>IFERROR(__xludf.DUMMYFUNCTION("""COMPUTED_VALUE"""),17.0)</f>
        <v>17</v>
      </c>
      <c r="AC247" s="199">
        <f>IFERROR(__xludf.DUMMYFUNCTION("""COMPUTED_VALUE"""),88.0)</f>
        <v>88</v>
      </c>
      <c r="AD247" s="199">
        <f>IFERROR(__xludf.DUMMYFUNCTION("""COMPUTED_VALUE"""),0.0)</f>
        <v>0</v>
      </c>
      <c r="AE247" s="199">
        <f>IFERROR(__xludf.DUMMYFUNCTION("""COMPUTED_VALUE"""),35.0)</f>
        <v>35</v>
      </c>
      <c r="AF247" s="199">
        <f>IFERROR(__xludf.DUMMYFUNCTION("""COMPUTED_VALUE"""),5.0)</f>
        <v>5</v>
      </c>
      <c r="AG247" s="199">
        <f>IFERROR(__xludf.DUMMYFUNCTION("""COMPUTED_VALUE"""),181.0)</f>
        <v>181</v>
      </c>
      <c r="AH247" s="199">
        <f>IFERROR(__xludf.DUMMYFUNCTION("""COMPUTED_VALUE"""),2.0)</f>
        <v>2</v>
      </c>
      <c r="AI247" s="200" t="str">
        <f>IFERROR(__xludf.DUMMYFUNCTION("""COMPUTED_VALUE"""),"Wear Metal Alert")</f>
        <v>Wear Metal Alert</v>
      </c>
      <c r="AJ247" s="200" t="str">
        <f>IFERROR(__xludf.DUMMYFUNCTION("""COMPUTED_VALUE"""),"URGENT: Inspect equipment immediately for wear/damage; High wear metals - inspect bearing/gear surfaces")</f>
        <v>URGENT: Inspect equipment immediately for wear/damage; High wear metals - inspect bearing/gear surfaces</v>
      </c>
      <c r="AK247" s="204"/>
      <c r="AL247" s="204"/>
      <c r="AM247" s="204"/>
    </row>
    <row r="248" hidden="1">
      <c r="A248" s="199" t="str">
        <f>IFERROR(__xludf.DUMMYFUNCTION("""COMPUTED_VALUE"""),"R2.432.KB103(4)")</f>
        <v>R2.432.KB103(4)</v>
      </c>
      <c r="B248" s="200" t="str">
        <f>IFERROR(__xludf.DUMMYFUNCTION("""COMPUTED_VALUE"""),"Kiln Bearing")</f>
        <v>Kiln Bearing</v>
      </c>
      <c r="C248" s="199">
        <f>IFERROR(__xludf.DUMMYFUNCTION("""COMPUTED_VALUE"""),2.5079203229E10)</f>
        <v>25079203229</v>
      </c>
      <c r="D248" s="201">
        <f>IFERROR(__xludf.DUMMYFUNCTION("""COMPUTED_VALUE"""),45725.0)</f>
        <v>45725</v>
      </c>
      <c r="E248" s="202" t="str">
        <f>IFERROR(__xludf.DUMMYFUNCTION("""COMPUTED_VALUE"""),"Alert")</f>
        <v>Alert</v>
      </c>
      <c r="F248" s="202" t="str">
        <f>IFERROR(__xludf.DUMMYFUNCTION("""COMPUTED_VALUE"""),"Alert")</f>
        <v>Alert</v>
      </c>
      <c r="G248" s="203" t="str">
        <f>IFERROR(__xludf.DUMMYFUNCTION("""COMPUTED_VALUE"""),"Alert")</f>
        <v>Alert</v>
      </c>
      <c r="H248" s="203" t="str">
        <f>IFERROR(__xludf.DUMMYFUNCTION("""COMPUTED_VALUE"""),"Alert")</f>
        <v>Alert</v>
      </c>
      <c r="I248" s="37"/>
      <c r="J248" s="37"/>
      <c r="K248" s="37"/>
      <c r="L248" s="199">
        <f>IFERROR(__xludf.DUMMYFUNCTION("""COMPUTED_VALUE"""),25.0)</f>
        <v>25</v>
      </c>
      <c r="M248" s="199">
        <f>IFERROR(__xludf.DUMMYFUNCTION("""COMPUTED_VALUE"""),61.1)</f>
        <v>61.1</v>
      </c>
      <c r="N248" s="199"/>
      <c r="O248" s="199">
        <f>IFERROR(__xludf.DUMMYFUNCTION("""COMPUTED_VALUE"""),3.0)</f>
        <v>3</v>
      </c>
      <c r="P248" s="37"/>
      <c r="Q248" s="199">
        <f>IFERROR(__xludf.DUMMYFUNCTION("""COMPUTED_VALUE"""),0.0)</f>
        <v>0</v>
      </c>
      <c r="R248" s="199">
        <f>IFERROR(__xludf.DUMMYFUNCTION("""COMPUTED_VALUE"""),10.0)</f>
        <v>10</v>
      </c>
      <c r="S248" s="199">
        <f>IFERROR(__xludf.DUMMYFUNCTION("""COMPUTED_VALUE"""),1.0)</f>
        <v>1</v>
      </c>
      <c r="T248" s="199">
        <f>IFERROR(__xludf.DUMMYFUNCTION("""COMPUTED_VALUE"""),175.0)</f>
        <v>175</v>
      </c>
      <c r="U248" s="199">
        <f>IFERROR(__xludf.DUMMYFUNCTION("""COMPUTED_VALUE"""),18.0)</f>
        <v>18</v>
      </c>
      <c r="V248" s="199">
        <f>IFERROR(__xludf.DUMMYFUNCTION("""COMPUTED_VALUE"""),0.0)</f>
        <v>0</v>
      </c>
      <c r="W248" s="199">
        <f>IFERROR(__xludf.DUMMYFUNCTION("""COMPUTED_VALUE"""),0.0)</f>
        <v>0</v>
      </c>
      <c r="X248" s="199">
        <f>IFERROR(__xludf.DUMMYFUNCTION("""COMPUTED_VALUE"""),4.0)</f>
        <v>4</v>
      </c>
      <c r="Y248" s="199">
        <f>IFERROR(__xludf.DUMMYFUNCTION("""COMPUTED_VALUE"""),0.0)</f>
        <v>0</v>
      </c>
      <c r="Z248" s="199">
        <f>IFERROR(__xludf.DUMMYFUNCTION("""COMPUTED_VALUE"""),2.0)</f>
        <v>2</v>
      </c>
      <c r="AA248" s="199">
        <f>IFERROR(__xludf.DUMMYFUNCTION("""COMPUTED_VALUE"""),0.0)</f>
        <v>0</v>
      </c>
      <c r="AB248" s="199">
        <f>IFERROR(__xludf.DUMMYFUNCTION("""COMPUTED_VALUE"""),21.0)</f>
        <v>21</v>
      </c>
      <c r="AC248" s="199">
        <f>IFERROR(__xludf.DUMMYFUNCTION("""COMPUTED_VALUE"""),38.0)</f>
        <v>38</v>
      </c>
      <c r="AD248" s="199">
        <f>IFERROR(__xludf.DUMMYFUNCTION("""COMPUTED_VALUE"""),0.0)</f>
        <v>0</v>
      </c>
      <c r="AE248" s="199">
        <f>IFERROR(__xludf.DUMMYFUNCTION("""COMPUTED_VALUE"""),46.0)</f>
        <v>46</v>
      </c>
      <c r="AF248" s="199">
        <f>IFERROR(__xludf.DUMMYFUNCTION("""COMPUTED_VALUE"""),0.0)</f>
        <v>0</v>
      </c>
      <c r="AG248" s="199">
        <f>IFERROR(__xludf.DUMMYFUNCTION("""COMPUTED_VALUE"""),192.0)</f>
        <v>192</v>
      </c>
      <c r="AH248" s="199">
        <f>IFERROR(__xludf.DUMMYFUNCTION("""COMPUTED_VALUE"""),0.0)</f>
        <v>0</v>
      </c>
      <c r="AI248" s="200" t="str">
        <f>IFERROR(__xludf.DUMMYFUNCTION("""COMPUTED_VALUE"""),"Wear Metal Alert")</f>
        <v>Wear Metal Alert</v>
      </c>
      <c r="AJ248" s="200" t="str">
        <f>IFERROR(__xludf.DUMMYFUNCTION("""COMPUTED_VALUE"""),"URGENT: Inspect equipment immediately for wear/damage; High wear metals - inspect bearing/gear surfaces")</f>
        <v>URGENT: Inspect equipment immediately for wear/damage; High wear metals - inspect bearing/gear surfaces</v>
      </c>
      <c r="AK248" s="204"/>
      <c r="AL248" s="204"/>
      <c r="AM248" s="204"/>
    </row>
    <row r="249" hidden="1">
      <c r="A249" s="199" t="str">
        <f>IFERROR(__xludf.DUMMYFUNCTION("""COMPUTED_VALUE"""),"R2.432.MD140(N31)")</f>
        <v>R2.432.MD140(N31)</v>
      </c>
      <c r="B249" s="200" t="str">
        <f>IFERROR(__xludf.DUMMYFUNCTION("""COMPUTED_VALUE"""),"Kiln #2 Main drive gearbox (N31)")</f>
        <v>Kiln #2 Main drive gearbox (N31)</v>
      </c>
      <c r="C249" s="199">
        <f>IFERROR(__xludf.DUMMYFUNCTION("""COMPUTED_VALUE"""),2.5079203254E10)</f>
        <v>25079203254</v>
      </c>
      <c r="D249" s="201">
        <f>IFERROR(__xludf.DUMMYFUNCTION("""COMPUTED_VALUE"""),45725.0)</f>
        <v>45725</v>
      </c>
      <c r="E249" s="202" t="str">
        <f>IFERROR(__xludf.DUMMYFUNCTION("""COMPUTED_VALUE"""),"Alert")</f>
        <v>Alert</v>
      </c>
      <c r="F249" s="202" t="str">
        <f>IFERROR(__xludf.DUMMYFUNCTION("""COMPUTED_VALUE"""),"Alert")</f>
        <v>Alert</v>
      </c>
      <c r="G249" s="203" t="str">
        <f>IFERROR(__xludf.DUMMYFUNCTION("""COMPUTED_VALUE"""),"Normal")</f>
        <v>Normal</v>
      </c>
      <c r="H249" s="203" t="str">
        <f>IFERROR(__xludf.DUMMYFUNCTION("""COMPUTED_VALUE"""),"Normal")</f>
        <v>Normal</v>
      </c>
      <c r="I249" s="37"/>
      <c r="J249" s="37"/>
      <c r="K249" s="37"/>
      <c r="L249" s="199">
        <f>IFERROR(__xludf.DUMMYFUNCTION("""COMPUTED_VALUE"""),17.0)</f>
        <v>17</v>
      </c>
      <c r="M249" s="199">
        <f>IFERROR(__xludf.DUMMYFUNCTION("""COMPUTED_VALUE"""),431.8)</f>
        <v>431.8</v>
      </c>
      <c r="N249" s="199"/>
      <c r="O249" s="199">
        <f>IFERROR(__xludf.DUMMYFUNCTION("""COMPUTED_VALUE"""),1.0)</f>
        <v>1</v>
      </c>
      <c r="P249" s="37">
        <f>IFERROR(__xludf.DUMMYFUNCTION("""COMPUTED_VALUE"""),0.11)</f>
        <v>0.11</v>
      </c>
      <c r="Q249" s="199">
        <f>IFERROR(__xludf.DUMMYFUNCTION("""COMPUTED_VALUE"""),0.0)</f>
        <v>0</v>
      </c>
      <c r="R249" s="199">
        <f>IFERROR(__xludf.DUMMYFUNCTION("""COMPUTED_VALUE"""),13.0)</f>
        <v>13</v>
      </c>
      <c r="S249" s="199">
        <f>IFERROR(__xludf.DUMMYFUNCTION("""COMPUTED_VALUE"""),2.0)</f>
        <v>2</v>
      </c>
      <c r="T249" s="199">
        <f>IFERROR(__xludf.DUMMYFUNCTION("""COMPUTED_VALUE"""),4.0)</f>
        <v>4</v>
      </c>
      <c r="U249" s="199">
        <f>IFERROR(__xludf.DUMMYFUNCTION("""COMPUTED_VALUE"""),17.0)</f>
        <v>17</v>
      </c>
      <c r="V249" s="199">
        <f>IFERROR(__xludf.DUMMYFUNCTION("""COMPUTED_VALUE"""),0.0)</f>
        <v>0</v>
      </c>
      <c r="W249" s="199">
        <f>IFERROR(__xludf.DUMMYFUNCTION("""COMPUTED_VALUE"""),0.0)</f>
        <v>0</v>
      </c>
      <c r="X249" s="199">
        <f>IFERROR(__xludf.DUMMYFUNCTION("""COMPUTED_VALUE"""),0.0)</f>
        <v>0</v>
      </c>
      <c r="Y249" s="199">
        <f>IFERROR(__xludf.DUMMYFUNCTION("""COMPUTED_VALUE"""),0.0)</f>
        <v>0</v>
      </c>
      <c r="Z249" s="199">
        <f>IFERROR(__xludf.DUMMYFUNCTION("""COMPUTED_VALUE"""),2.0)</f>
        <v>2</v>
      </c>
      <c r="AA249" s="199">
        <f>IFERROR(__xludf.DUMMYFUNCTION("""COMPUTED_VALUE"""),0.0)</f>
        <v>0</v>
      </c>
      <c r="AB249" s="199">
        <f>IFERROR(__xludf.DUMMYFUNCTION("""COMPUTED_VALUE"""),12.0)</f>
        <v>12</v>
      </c>
      <c r="AC249" s="199">
        <f>IFERROR(__xludf.DUMMYFUNCTION("""COMPUTED_VALUE"""),98.0)</f>
        <v>98</v>
      </c>
      <c r="AD249" s="199">
        <f>IFERROR(__xludf.DUMMYFUNCTION("""COMPUTED_VALUE"""),2.0)</f>
        <v>2</v>
      </c>
      <c r="AE249" s="199">
        <f>IFERROR(__xludf.DUMMYFUNCTION("""COMPUTED_VALUE"""),65.0)</f>
        <v>65</v>
      </c>
      <c r="AF249" s="199">
        <f>IFERROR(__xludf.DUMMYFUNCTION("""COMPUTED_VALUE"""),5.0)</f>
        <v>5</v>
      </c>
      <c r="AG249" s="199">
        <f>IFERROR(__xludf.DUMMYFUNCTION("""COMPUTED_VALUE"""),373.0)</f>
        <v>373</v>
      </c>
      <c r="AH249" s="199">
        <f>IFERROR(__xludf.DUMMYFUNCTION("""COMPUTED_VALUE"""),17.0)</f>
        <v>17</v>
      </c>
      <c r="AI249" s="200" t="str">
        <f>IFERROR(__xludf.DUMMYFUNCTION("""COMPUTED_VALUE"""),"Water Ingress")</f>
        <v>Water Ingress</v>
      </c>
      <c r="AJ249" s="200" t="str">
        <f>IFERROR(__xludf.DUMMYFUNCTION("""COMPUTED_VALUE"""),"Water detected - inspect seals and breathers")</f>
        <v>Water detected - inspect seals and breathers</v>
      </c>
      <c r="AK249" s="204"/>
      <c r="AL249" s="204"/>
      <c r="AM249" s="204"/>
    </row>
    <row r="250" hidden="1">
      <c r="A250" s="199" t="str">
        <f>IFERROR(__xludf.DUMMYFUNCTION("""COMPUTED_VALUE"""),"R2.432.MD140(N32)")</f>
        <v>R2.432.MD140(N32)</v>
      </c>
      <c r="B250" s="200" t="str">
        <f>IFERROR(__xludf.DUMMYFUNCTION("""COMPUTED_VALUE"""),"Kiln #2 Main drive gearbox (N32)")</f>
        <v>Kiln #2 Main drive gearbox (N32)</v>
      </c>
      <c r="C250" s="199">
        <f>IFERROR(__xludf.DUMMYFUNCTION("""COMPUTED_VALUE"""),2.5079203242E10)</f>
        <v>25079203242</v>
      </c>
      <c r="D250" s="201">
        <f>IFERROR(__xludf.DUMMYFUNCTION("""COMPUTED_VALUE"""),45725.0)</f>
        <v>45725</v>
      </c>
      <c r="E250" s="202" t="str">
        <f>IFERROR(__xludf.DUMMYFUNCTION("""COMPUTED_VALUE"""),"Caution")</f>
        <v>Caution</v>
      </c>
      <c r="F250" s="202" t="str">
        <f>IFERROR(__xludf.DUMMYFUNCTION("""COMPUTED_VALUE"""),"Caution")</f>
        <v>Caution</v>
      </c>
      <c r="G250" s="203" t="str">
        <f>IFERROR(__xludf.DUMMYFUNCTION("""COMPUTED_VALUE"""),"Normal")</f>
        <v>Normal</v>
      </c>
      <c r="H250" s="203" t="str">
        <f>IFERROR(__xludf.DUMMYFUNCTION("""COMPUTED_VALUE"""),"Normal")</f>
        <v>Normal</v>
      </c>
      <c r="I250" s="37"/>
      <c r="J250" s="37"/>
      <c r="K250" s="37"/>
      <c r="L250" s="199">
        <f>IFERROR(__xludf.DUMMYFUNCTION("""COMPUTED_VALUE"""),20.0)</f>
        <v>20</v>
      </c>
      <c r="M250" s="199">
        <f>IFERROR(__xludf.DUMMYFUNCTION("""COMPUTED_VALUE"""),430.6)</f>
        <v>430.6</v>
      </c>
      <c r="N250" s="199"/>
      <c r="O250" s="199">
        <f>IFERROR(__xludf.DUMMYFUNCTION("""COMPUTED_VALUE"""),1.0)</f>
        <v>1</v>
      </c>
      <c r="P250" s="37">
        <f>IFERROR(__xludf.DUMMYFUNCTION("""COMPUTED_VALUE"""),0.06)</f>
        <v>0.06</v>
      </c>
      <c r="Q250" s="199">
        <f>IFERROR(__xludf.DUMMYFUNCTION("""COMPUTED_VALUE"""),0.0)</f>
        <v>0</v>
      </c>
      <c r="R250" s="199">
        <f>IFERROR(__xludf.DUMMYFUNCTION("""COMPUTED_VALUE"""),12.0)</f>
        <v>12</v>
      </c>
      <c r="S250" s="199">
        <f>IFERROR(__xludf.DUMMYFUNCTION("""COMPUTED_VALUE"""),2.0)</f>
        <v>2</v>
      </c>
      <c r="T250" s="199">
        <f>IFERROR(__xludf.DUMMYFUNCTION("""COMPUTED_VALUE"""),8.0)</f>
        <v>8</v>
      </c>
      <c r="U250" s="199">
        <f>IFERROR(__xludf.DUMMYFUNCTION("""COMPUTED_VALUE"""),20.0)</f>
        <v>20</v>
      </c>
      <c r="V250" s="199">
        <f>IFERROR(__xludf.DUMMYFUNCTION("""COMPUTED_VALUE"""),2.0)</f>
        <v>2</v>
      </c>
      <c r="W250" s="199">
        <f>IFERROR(__xludf.DUMMYFUNCTION("""COMPUTED_VALUE"""),0.0)</f>
        <v>0</v>
      </c>
      <c r="X250" s="199">
        <f>IFERROR(__xludf.DUMMYFUNCTION("""COMPUTED_VALUE"""),0.0)</f>
        <v>0</v>
      </c>
      <c r="Y250" s="199">
        <f>IFERROR(__xludf.DUMMYFUNCTION("""COMPUTED_VALUE"""),0.0)</f>
        <v>0</v>
      </c>
      <c r="Z250" s="199">
        <f>IFERROR(__xludf.DUMMYFUNCTION("""COMPUTED_VALUE"""),0.0)</f>
        <v>0</v>
      </c>
      <c r="AA250" s="199">
        <f>IFERROR(__xludf.DUMMYFUNCTION("""COMPUTED_VALUE"""),1.0)</f>
        <v>1</v>
      </c>
      <c r="AB250" s="199">
        <f>IFERROR(__xludf.DUMMYFUNCTION("""COMPUTED_VALUE"""),13.0)</f>
        <v>13</v>
      </c>
      <c r="AC250" s="199">
        <f>IFERROR(__xludf.DUMMYFUNCTION("""COMPUTED_VALUE"""),10.0)</f>
        <v>10</v>
      </c>
      <c r="AD250" s="199">
        <f>IFERROR(__xludf.DUMMYFUNCTION("""COMPUTED_VALUE"""),0.0)</f>
        <v>0</v>
      </c>
      <c r="AE250" s="199">
        <f>IFERROR(__xludf.DUMMYFUNCTION("""COMPUTED_VALUE"""),64.0)</f>
        <v>64</v>
      </c>
      <c r="AF250" s="199">
        <f>IFERROR(__xludf.DUMMYFUNCTION("""COMPUTED_VALUE"""),3.0)</f>
        <v>3</v>
      </c>
      <c r="AG250" s="199">
        <f>IFERROR(__xludf.DUMMYFUNCTION("""COMPUTED_VALUE"""),429.0)</f>
        <v>429</v>
      </c>
      <c r="AH250" s="199">
        <f>IFERROR(__xludf.DUMMYFUNCTION("""COMPUTED_VALUE"""),18.0)</f>
        <v>18</v>
      </c>
      <c r="AI250" s="200" t="str">
        <f>IFERROR(__xludf.DUMMYFUNCTION("""COMPUTED_VALUE"""),"Moisture Caution")</f>
        <v>Moisture Caution</v>
      </c>
      <c r="AJ250" s="200" t="str">
        <f>IFERROR(__xludf.DUMMYFUNCTION("""COMPUTED_VALUE"""),"Moisture detected - check breathers and seals")</f>
        <v>Moisture detected - check breathers and seals</v>
      </c>
      <c r="AK250" s="204"/>
      <c r="AL250" s="204"/>
      <c r="AM250" s="204"/>
    </row>
    <row r="251" hidden="1">
      <c r="A251" s="199" t="str">
        <f>IFERROR(__xludf.DUMMYFUNCTION("""COMPUTED_VALUE"""),"111.AF040 (L)")</f>
        <v>111.AF040 (L)</v>
      </c>
      <c r="B251" s="200" t="str">
        <f>IFERROR(__xludf.DUMMYFUNCTION("""COMPUTED_VALUE"""),"Clay apron feeder left geared motor")</f>
        <v>Clay apron feeder left geared motor</v>
      </c>
      <c r="C251" s="199">
        <f>IFERROR(__xludf.DUMMYFUNCTION("""COMPUTED_VALUE"""),2.5079203252E10)</f>
        <v>25079203252</v>
      </c>
      <c r="D251" s="201">
        <f>IFERROR(__xludf.DUMMYFUNCTION("""COMPUTED_VALUE"""),45726.0)</f>
        <v>45726</v>
      </c>
      <c r="E251" s="202" t="str">
        <f>IFERROR(__xludf.DUMMYFUNCTION("""COMPUTED_VALUE"""),"Alert")</f>
        <v>Alert</v>
      </c>
      <c r="F251" s="202" t="str">
        <f>IFERROR(__xludf.DUMMYFUNCTION("""COMPUTED_VALUE"""),"Alert")</f>
        <v>Alert</v>
      </c>
      <c r="G251" s="203" t="str">
        <f>IFERROR(__xludf.DUMMYFUNCTION("""COMPUTED_VALUE"""),"Alert")</f>
        <v>Alert</v>
      </c>
      <c r="H251" s="203" t="str">
        <f>IFERROR(__xludf.DUMMYFUNCTION("""COMPUTED_VALUE"""),"Alert")</f>
        <v>Alert</v>
      </c>
      <c r="I251" s="37"/>
      <c r="J251" s="37"/>
      <c r="K251" s="37"/>
      <c r="L251" s="199">
        <f>IFERROR(__xludf.DUMMYFUNCTION("""COMPUTED_VALUE"""),1150.0)</f>
        <v>1150</v>
      </c>
      <c r="M251" s="199">
        <f>IFERROR(__xludf.DUMMYFUNCTION("""COMPUTED_VALUE"""),216.9)</f>
        <v>216.9</v>
      </c>
      <c r="N251" s="199">
        <f>IFERROR(__xludf.DUMMYFUNCTION("""COMPUTED_VALUE"""),2.1)</f>
        <v>2.1</v>
      </c>
      <c r="O251" s="199"/>
      <c r="P251" s="37">
        <f>IFERROR(__xludf.DUMMYFUNCTION("""COMPUTED_VALUE"""),0.2)</f>
        <v>0.2</v>
      </c>
      <c r="Q251" s="199">
        <f>IFERROR(__xludf.DUMMYFUNCTION("""COMPUTED_VALUE"""),0.0)</f>
        <v>0</v>
      </c>
      <c r="R251" s="199">
        <f>IFERROR(__xludf.DUMMYFUNCTION("""COMPUTED_VALUE"""),14.0)</f>
        <v>14</v>
      </c>
      <c r="S251" s="199">
        <f>IFERROR(__xludf.DUMMYFUNCTION("""COMPUTED_VALUE"""),3.0)</f>
        <v>3</v>
      </c>
      <c r="T251" s="199">
        <f>IFERROR(__xludf.DUMMYFUNCTION("""COMPUTED_VALUE"""),3.0)</f>
        <v>3</v>
      </c>
      <c r="U251" s="199">
        <f>IFERROR(__xludf.DUMMYFUNCTION("""COMPUTED_VALUE"""),99.0)</f>
        <v>99</v>
      </c>
      <c r="V251" s="199">
        <f>IFERROR(__xludf.DUMMYFUNCTION("""COMPUTED_VALUE"""),0.0)</f>
        <v>0</v>
      </c>
      <c r="W251" s="199">
        <f>IFERROR(__xludf.DUMMYFUNCTION("""COMPUTED_VALUE"""),0.0)</f>
        <v>0</v>
      </c>
      <c r="X251" s="199">
        <f>IFERROR(__xludf.DUMMYFUNCTION("""COMPUTED_VALUE"""),0.0)</f>
        <v>0</v>
      </c>
      <c r="Y251" s="199">
        <f>IFERROR(__xludf.DUMMYFUNCTION("""COMPUTED_VALUE"""),0.0)</f>
        <v>0</v>
      </c>
      <c r="Z251" s="199">
        <f>IFERROR(__xludf.DUMMYFUNCTION("""COMPUTED_VALUE"""),2.0)</f>
        <v>2</v>
      </c>
      <c r="AA251" s="199">
        <f>IFERROR(__xludf.DUMMYFUNCTION("""COMPUTED_VALUE"""),0.0)</f>
        <v>0</v>
      </c>
      <c r="AB251" s="199">
        <f>IFERROR(__xludf.DUMMYFUNCTION("""COMPUTED_VALUE"""),17.0)</f>
        <v>17</v>
      </c>
      <c r="AC251" s="199">
        <f>IFERROR(__xludf.DUMMYFUNCTION("""COMPUTED_VALUE"""),2.0)</f>
        <v>2</v>
      </c>
      <c r="AD251" s="199">
        <f>IFERROR(__xludf.DUMMYFUNCTION("""COMPUTED_VALUE"""),0.0)</f>
        <v>0</v>
      </c>
      <c r="AE251" s="199">
        <f>IFERROR(__xludf.DUMMYFUNCTION("""COMPUTED_VALUE"""),71.0)</f>
        <v>71</v>
      </c>
      <c r="AF251" s="199">
        <f>IFERROR(__xludf.DUMMYFUNCTION("""COMPUTED_VALUE"""),10.0)</f>
        <v>10</v>
      </c>
      <c r="AG251" s="199">
        <f>IFERROR(__xludf.DUMMYFUNCTION("""COMPUTED_VALUE"""),411.0)</f>
        <v>411</v>
      </c>
      <c r="AH251" s="199">
        <f>IFERROR(__xludf.DUMMYFUNCTION("""COMPUTED_VALUE"""),52.0)</f>
        <v>52</v>
      </c>
      <c r="AI251" s="200" t="str">
        <f>IFERROR(__xludf.DUMMYFUNCTION("""COMPUTED_VALUE"""),"Critical Fe / Water / Contamination Alert")</f>
        <v>Critical Fe / Water / Contamination Alert</v>
      </c>
      <c r="AJ251" s="200" t="str">
        <f>IFERROR(__xludf.DUMMYFUNCTION("""COMPUTED_VALUE"""),"ACTION REQUIRED – Fe 99 ppm (critical), water 0.200 Vol%, Al 14 ppm, Cr 3 ppm, Cu 3 ppm. PQ Index 1150 – extreme ferrous debris. TAN 2.10 mg KOH/g. Immediate equipment shutdown and inspection required. Change oil and replace all filters. Identify and elim"&amp;"inate contamination source.")</f>
        <v>ACTION REQUIRED – Fe 99 ppm (critical), water 0.200 Vol%, Al 14 ppm, Cr 3 ppm, Cu 3 ppm. PQ Index 1150 – extreme ferrous debris. TAN 2.10 mg KOH/g. Immediate equipment shutdown and inspection required. Change oil and replace all filters. Identify and eliminate contamination source.</v>
      </c>
      <c r="AK251" s="204"/>
      <c r="AL251" s="204"/>
      <c r="AM251" s="204"/>
    </row>
    <row r="252" hidden="1">
      <c r="A252" s="199" t="str">
        <f>IFERROR(__xludf.DUMMYFUNCTION("""COMPUTED_VALUE"""),"111.HC100 (HY)")</f>
        <v>111.HC100 (HY)</v>
      </c>
      <c r="B252" s="200" t="str">
        <f>IFERROR(__xludf.DUMMYFUNCTION("""COMPUTED_VALUE"""),"Crusher hydraulic cylinder station")</f>
        <v>Crusher hydraulic cylinder station</v>
      </c>
      <c r="C252" s="199">
        <f>IFERROR(__xludf.DUMMYFUNCTION("""COMPUTED_VALUE"""),2.5079203202E10)</f>
        <v>25079203202</v>
      </c>
      <c r="D252" s="201">
        <f>IFERROR(__xludf.DUMMYFUNCTION("""COMPUTED_VALUE"""),45726.0)</f>
        <v>45726</v>
      </c>
      <c r="E252" s="202" t="str">
        <f>IFERROR(__xludf.DUMMYFUNCTION("""COMPUTED_VALUE"""),"Normal")</f>
        <v>Normal</v>
      </c>
      <c r="F252" s="202" t="str">
        <f>IFERROR(__xludf.DUMMYFUNCTION("""COMPUTED_VALUE"""),"Normal")</f>
        <v>Normal</v>
      </c>
      <c r="G252" s="203" t="str">
        <f>IFERROR(__xludf.DUMMYFUNCTION("""COMPUTED_VALUE"""),"Normal")</f>
        <v>Normal</v>
      </c>
      <c r="H252" s="203" t="str">
        <f>IFERROR(__xludf.DUMMYFUNCTION("""COMPUTED_VALUE"""),"Normal")</f>
        <v>Normal</v>
      </c>
      <c r="I252" s="37">
        <f>IFERROR(__xludf.DUMMYFUNCTION("""COMPUTED_VALUE"""),6192.0)</f>
        <v>6192</v>
      </c>
      <c r="J252" s="37">
        <f>IFERROR(__xludf.DUMMYFUNCTION("""COMPUTED_VALUE"""),3408.0)</f>
        <v>3408</v>
      </c>
      <c r="K252" s="37">
        <f>IFERROR(__xludf.DUMMYFUNCTION("""COMPUTED_VALUE"""),1100.0)</f>
        <v>1100</v>
      </c>
      <c r="L252" s="199">
        <f>IFERROR(__xludf.DUMMYFUNCTION("""COMPUTED_VALUE"""),4.0)</f>
        <v>4</v>
      </c>
      <c r="M252" s="199">
        <f>IFERROR(__xludf.DUMMYFUNCTION("""COMPUTED_VALUE"""),45.4)</f>
        <v>45.4</v>
      </c>
      <c r="N252" s="199"/>
      <c r="O252" s="199">
        <f>IFERROR(__xludf.DUMMYFUNCTION("""COMPUTED_VALUE"""),0.0)</f>
        <v>0</v>
      </c>
      <c r="P252" s="37">
        <f>IFERROR(__xludf.DUMMYFUNCTION("""COMPUTED_VALUE"""),0.003)</f>
        <v>0.003</v>
      </c>
      <c r="Q252" s="199">
        <f>IFERROR(__xludf.DUMMYFUNCTION("""COMPUTED_VALUE"""),0.0)</f>
        <v>0</v>
      </c>
      <c r="R252" s="199">
        <f>IFERROR(__xludf.DUMMYFUNCTION("""COMPUTED_VALUE"""),8.0)</f>
        <v>8</v>
      </c>
      <c r="S252" s="199">
        <f>IFERROR(__xludf.DUMMYFUNCTION("""COMPUTED_VALUE"""),1.0)</f>
        <v>1</v>
      </c>
      <c r="T252" s="199">
        <f>IFERROR(__xludf.DUMMYFUNCTION("""COMPUTED_VALUE"""),3.0)</f>
        <v>3</v>
      </c>
      <c r="U252" s="199">
        <f>IFERROR(__xludf.DUMMYFUNCTION("""COMPUTED_VALUE"""),0.0)</f>
        <v>0</v>
      </c>
      <c r="V252" s="199">
        <f>IFERROR(__xludf.DUMMYFUNCTION("""COMPUTED_VALUE"""),0.0)</f>
        <v>0</v>
      </c>
      <c r="W252" s="199">
        <f>IFERROR(__xludf.DUMMYFUNCTION("""COMPUTED_VALUE"""),0.0)</f>
        <v>0</v>
      </c>
      <c r="X252" s="199">
        <f>IFERROR(__xludf.DUMMYFUNCTION("""COMPUTED_VALUE"""),0.0)</f>
        <v>0</v>
      </c>
      <c r="Y252" s="199">
        <f>IFERROR(__xludf.DUMMYFUNCTION("""COMPUTED_VALUE"""),0.0)</f>
        <v>0</v>
      </c>
      <c r="Z252" s="199">
        <f>IFERROR(__xludf.DUMMYFUNCTION("""COMPUTED_VALUE"""),2.0)</f>
        <v>2</v>
      </c>
      <c r="AA252" s="199">
        <f>IFERROR(__xludf.DUMMYFUNCTION("""COMPUTED_VALUE"""),0.0)</f>
        <v>0</v>
      </c>
      <c r="AB252" s="199">
        <f>IFERROR(__xludf.DUMMYFUNCTION("""COMPUTED_VALUE"""),0.0)</f>
        <v>0</v>
      </c>
      <c r="AC252" s="199">
        <f>IFERROR(__xludf.DUMMYFUNCTION("""COMPUTED_VALUE"""),0.0)</f>
        <v>0</v>
      </c>
      <c r="AD252" s="199">
        <f>IFERROR(__xludf.DUMMYFUNCTION("""COMPUTED_VALUE"""),0.0)</f>
        <v>0</v>
      </c>
      <c r="AE252" s="199">
        <f>IFERROR(__xludf.DUMMYFUNCTION("""COMPUTED_VALUE"""),125.0)</f>
        <v>125</v>
      </c>
      <c r="AF252" s="199">
        <f>IFERROR(__xludf.DUMMYFUNCTION("""COMPUTED_VALUE"""),0.0)</f>
        <v>0</v>
      </c>
      <c r="AG252" s="199">
        <f>IFERROR(__xludf.DUMMYFUNCTION("""COMPUTED_VALUE"""),351.0)</f>
        <v>351</v>
      </c>
      <c r="AH252" s="199">
        <f>IFERROR(__xludf.DUMMYFUNCTION("""COMPUTED_VALUE"""),635.0)</f>
        <v>635</v>
      </c>
      <c r="AI252" s="200" t="str">
        <f>IFERROR(__xludf.DUMMYFUNCTION("""COMPUTED_VALUE"""),"Normal")</f>
        <v>Normal</v>
      </c>
      <c r="AJ252" s="200" t="str">
        <f>IFERROR(__xludf.DUMMYFUNCTION("""COMPUTED_VALUE"""),"ISO Code 20/19/17. All parameters within acceptable limits. Viscosity normalised. Continue routine monitoring.")</f>
        <v>ISO Code 20/19/17. All parameters within acceptable limits. Viscosity normalised. Continue routine monitoring.</v>
      </c>
      <c r="AK252" s="204"/>
      <c r="AL252" s="204"/>
      <c r="AM252" s="204"/>
    </row>
    <row r="253" hidden="1">
      <c r="A253" s="199" t="str">
        <f>IFERROR(__xludf.DUMMYFUNCTION("""COMPUTED_VALUE"""),"123.BC200")</f>
        <v>123.BC200</v>
      </c>
      <c r="B253" s="200" t="str">
        <f>IFERROR(__xludf.DUMMYFUNCTION("""COMPUTED_VALUE"""),"Belt Conveyor Gearbox")</f>
        <v>Belt Conveyor Gearbox</v>
      </c>
      <c r="C253" s="199">
        <f>IFERROR(__xludf.DUMMYFUNCTION("""COMPUTED_VALUE"""),2.5079203207E10)</f>
        <v>25079203207</v>
      </c>
      <c r="D253" s="201">
        <f>IFERROR(__xludf.DUMMYFUNCTION("""COMPUTED_VALUE"""),45726.0)</f>
        <v>45726</v>
      </c>
      <c r="E253" s="202" t="str">
        <f>IFERROR(__xludf.DUMMYFUNCTION("""COMPUTED_VALUE"""),"Caution")</f>
        <v>Caution</v>
      </c>
      <c r="F253" s="202" t="str">
        <f>IFERROR(__xludf.DUMMYFUNCTION("""COMPUTED_VALUE"""),"Caution")</f>
        <v>Caution</v>
      </c>
      <c r="G253" s="203" t="str">
        <f>IFERROR(__xludf.DUMMYFUNCTION("""COMPUTED_VALUE"""),"Normal")</f>
        <v>Normal</v>
      </c>
      <c r="H253" s="203" t="str">
        <f>IFERROR(__xludf.DUMMYFUNCTION("""COMPUTED_VALUE"""),"Normal")</f>
        <v>Normal</v>
      </c>
      <c r="I253" s="37"/>
      <c r="J253" s="37"/>
      <c r="K253" s="37"/>
      <c r="L253" s="199">
        <f>IFERROR(__xludf.DUMMYFUNCTION("""COMPUTED_VALUE"""),8.0)</f>
        <v>8</v>
      </c>
      <c r="M253" s="199">
        <f>IFERROR(__xludf.DUMMYFUNCTION("""COMPUTED_VALUE"""),212.8)</f>
        <v>212.8</v>
      </c>
      <c r="N253" s="199"/>
      <c r="O253" s="199"/>
      <c r="P253" s="37">
        <f>IFERROR(__xludf.DUMMYFUNCTION("""COMPUTED_VALUE"""),0.01)</f>
        <v>0.01</v>
      </c>
      <c r="Q253" s="199">
        <f>IFERROR(__xludf.DUMMYFUNCTION("""COMPUTED_VALUE"""),0.0)</f>
        <v>0</v>
      </c>
      <c r="R253" s="199">
        <f>IFERROR(__xludf.DUMMYFUNCTION("""COMPUTED_VALUE"""),9.0)</f>
        <v>9</v>
      </c>
      <c r="S253" s="199">
        <f>IFERROR(__xludf.DUMMYFUNCTION("""COMPUTED_VALUE"""),1.0)</f>
        <v>1</v>
      </c>
      <c r="T253" s="199">
        <f>IFERROR(__xludf.DUMMYFUNCTION("""COMPUTED_VALUE"""),3.0)</f>
        <v>3</v>
      </c>
      <c r="U253" s="199">
        <f>IFERROR(__xludf.DUMMYFUNCTION("""COMPUTED_VALUE"""),14.0)</f>
        <v>14</v>
      </c>
      <c r="V253" s="199">
        <f>IFERROR(__xludf.DUMMYFUNCTION("""COMPUTED_VALUE"""),0.0)</f>
        <v>0</v>
      </c>
      <c r="W253" s="199">
        <f>IFERROR(__xludf.DUMMYFUNCTION("""COMPUTED_VALUE"""),0.0)</f>
        <v>0</v>
      </c>
      <c r="X253" s="199">
        <f>IFERROR(__xludf.DUMMYFUNCTION("""COMPUTED_VALUE"""),0.0)</f>
        <v>0</v>
      </c>
      <c r="Y253" s="199">
        <f>IFERROR(__xludf.DUMMYFUNCTION("""COMPUTED_VALUE"""),0.0)</f>
        <v>0</v>
      </c>
      <c r="Z253" s="199">
        <f>IFERROR(__xludf.DUMMYFUNCTION("""COMPUTED_VALUE"""),0.0)</f>
        <v>0</v>
      </c>
      <c r="AA253" s="199">
        <f>IFERROR(__xludf.DUMMYFUNCTION("""COMPUTED_VALUE"""),0.0)</f>
        <v>0</v>
      </c>
      <c r="AB253" s="199">
        <f>IFERROR(__xludf.DUMMYFUNCTION("""COMPUTED_VALUE"""),20.0)</f>
        <v>20</v>
      </c>
      <c r="AC253" s="199">
        <f>IFERROR(__xludf.DUMMYFUNCTION("""COMPUTED_VALUE"""),6.0)</f>
        <v>6</v>
      </c>
      <c r="AD253" s="199">
        <f>IFERROR(__xludf.DUMMYFUNCTION("""COMPUTED_VALUE"""),0.0)</f>
        <v>0</v>
      </c>
      <c r="AE253" s="199">
        <f>IFERROR(__xludf.DUMMYFUNCTION("""COMPUTED_VALUE"""),45.0)</f>
        <v>45</v>
      </c>
      <c r="AF253" s="199">
        <f>IFERROR(__xludf.DUMMYFUNCTION("""COMPUTED_VALUE"""),2.0)</f>
        <v>2</v>
      </c>
      <c r="AG253" s="199">
        <f>IFERROR(__xludf.DUMMYFUNCTION("""COMPUTED_VALUE"""),552.0)</f>
        <v>552</v>
      </c>
      <c r="AH253" s="199">
        <f>IFERROR(__xludf.DUMMYFUNCTION("""COMPUTED_VALUE"""),14.0)</f>
        <v>14</v>
      </c>
      <c r="AI253" s="200" t="str">
        <f>IFERROR(__xludf.DUMMYFUNCTION("""COMPUTED_VALUE"""),"Caution – Elevated Fe / Al / Si")</f>
        <v>Caution – Elevated Fe / Al / Si</v>
      </c>
      <c r="AJ253" s="200" t="str">
        <f>IFERROR(__xludf.DUMMYFUNCTION("""COMPUTED_VALUE"""),"Fe 14 ppm, Al 9 ppm, Si 20 ppm. Monitor trend. Inspect filtration. Resample within 45 days.")</f>
        <v>Fe 14 ppm, Al 9 ppm, Si 20 ppm. Monitor trend. Inspect filtration. Resample within 45 days.</v>
      </c>
      <c r="AK253" s="204"/>
      <c r="AL253" s="204"/>
      <c r="AM253" s="204"/>
    </row>
    <row r="254" hidden="1">
      <c r="A254" s="199" t="str">
        <f>IFERROR(__xludf.DUMMYFUNCTION("""COMPUTED_VALUE"""),"111.AF060 (R)")</f>
        <v>111.AF060 (R)</v>
      </c>
      <c r="B254" s="200" t="str">
        <f>IFERROR(__xludf.DUMMYFUNCTION("""COMPUTED_VALUE"""),"Limestone Apron Feeder Right Gear Box")</f>
        <v>Limestone Apron Feeder Right Gear Box</v>
      </c>
      <c r="C254" s="199">
        <f>IFERROR(__xludf.DUMMYFUNCTION("""COMPUTED_VALUE"""),2.5079203205E10)</f>
        <v>25079203205</v>
      </c>
      <c r="D254" s="201">
        <f>IFERROR(__xludf.DUMMYFUNCTION("""COMPUTED_VALUE"""),45726.0)</f>
        <v>45726</v>
      </c>
      <c r="E254" s="202" t="str">
        <f>IFERROR(__xludf.DUMMYFUNCTION("""COMPUTED_VALUE"""),"Normal")</f>
        <v>Normal</v>
      </c>
      <c r="F254" s="202" t="str">
        <f>IFERROR(__xludf.DUMMYFUNCTION("""COMPUTED_VALUE"""),"Normal")</f>
        <v>Normal</v>
      </c>
      <c r="G254" s="203" t="str">
        <f>IFERROR(__xludf.DUMMYFUNCTION("""COMPUTED_VALUE"""),"Normal")</f>
        <v>Normal</v>
      </c>
      <c r="H254" s="203" t="str">
        <f>IFERROR(__xludf.DUMMYFUNCTION("""COMPUTED_VALUE"""),"Normal")</f>
        <v>Normal</v>
      </c>
      <c r="I254" s="37">
        <f>IFERROR(__xludf.DUMMYFUNCTION("""COMPUTED_VALUE"""),29301.0)</f>
        <v>29301</v>
      </c>
      <c r="J254" s="37">
        <f>IFERROR(__xludf.DUMMYFUNCTION("""COMPUTED_VALUE"""),21605.0)</f>
        <v>21605</v>
      </c>
      <c r="K254" s="37">
        <f>IFERROR(__xludf.DUMMYFUNCTION("""COMPUTED_VALUE"""),11688.0)</f>
        <v>11688</v>
      </c>
      <c r="L254" s="199">
        <f>IFERROR(__xludf.DUMMYFUNCTION("""COMPUTED_VALUE"""),13.0)</f>
        <v>13</v>
      </c>
      <c r="M254" s="199">
        <f>IFERROR(__xludf.DUMMYFUNCTION("""COMPUTED_VALUE"""),202.0)</f>
        <v>202</v>
      </c>
      <c r="N254" s="199"/>
      <c r="O254" s="199"/>
      <c r="P254" s="37">
        <f>IFERROR(__xludf.DUMMYFUNCTION("""COMPUTED_VALUE"""),0.03)</f>
        <v>0.03</v>
      </c>
      <c r="Q254" s="199">
        <f>IFERROR(__xludf.DUMMYFUNCTION("""COMPUTED_VALUE"""),0.0)</f>
        <v>0</v>
      </c>
      <c r="R254" s="199">
        <f>IFERROR(__xludf.DUMMYFUNCTION("""COMPUTED_VALUE"""),8.0)</f>
        <v>8</v>
      </c>
      <c r="S254" s="199">
        <f>IFERROR(__xludf.DUMMYFUNCTION("""COMPUTED_VALUE"""),1.0)</f>
        <v>1</v>
      </c>
      <c r="T254" s="199">
        <f>IFERROR(__xludf.DUMMYFUNCTION("""COMPUTED_VALUE"""),3.0)</f>
        <v>3</v>
      </c>
      <c r="U254" s="199">
        <f>IFERROR(__xludf.DUMMYFUNCTION("""COMPUTED_VALUE"""),6.0)</f>
        <v>6</v>
      </c>
      <c r="V254" s="199">
        <f>IFERROR(__xludf.DUMMYFUNCTION("""COMPUTED_VALUE"""),0.0)</f>
        <v>0</v>
      </c>
      <c r="W254" s="199">
        <f>IFERROR(__xludf.DUMMYFUNCTION("""COMPUTED_VALUE"""),0.0)</f>
        <v>0</v>
      </c>
      <c r="X254" s="199">
        <f>IFERROR(__xludf.DUMMYFUNCTION("""COMPUTED_VALUE"""),0.0)</f>
        <v>0</v>
      </c>
      <c r="Y254" s="199">
        <f>IFERROR(__xludf.DUMMYFUNCTION("""COMPUTED_VALUE"""),0.0)</f>
        <v>0</v>
      </c>
      <c r="Z254" s="199">
        <f>IFERROR(__xludf.DUMMYFUNCTION("""COMPUTED_VALUE"""),0.0)</f>
        <v>0</v>
      </c>
      <c r="AA254" s="199">
        <f>IFERROR(__xludf.DUMMYFUNCTION("""COMPUTED_VALUE"""),0.0)</f>
        <v>0</v>
      </c>
      <c r="AB254" s="199">
        <f>IFERROR(__xludf.DUMMYFUNCTION("""COMPUTED_VALUE"""),17.0)</f>
        <v>17</v>
      </c>
      <c r="AC254" s="199">
        <f>IFERROR(__xludf.DUMMYFUNCTION("""COMPUTED_VALUE"""),9.0)</f>
        <v>9</v>
      </c>
      <c r="AD254" s="199">
        <f>IFERROR(__xludf.DUMMYFUNCTION("""COMPUTED_VALUE"""),0.0)</f>
        <v>0</v>
      </c>
      <c r="AE254" s="199">
        <f>IFERROR(__xludf.DUMMYFUNCTION("""COMPUTED_VALUE"""),49.0)</f>
        <v>49</v>
      </c>
      <c r="AF254" s="199">
        <f>IFERROR(__xludf.DUMMYFUNCTION("""COMPUTED_VALUE"""),0.0)</f>
        <v>0</v>
      </c>
      <c r="AG254" s="199">
        <f>IFERROR(__xludf.DUMMYFUNCTION("""COMPUTED_VALUE"""),419.0)</f>
        <v>419</v>
      </c>
      <c r="AH254" s="199">
        <f>IFERROR(__xludf.DUMMYFUNCTION("""COMPUTED_VALUE"""),33.0)</f>
        <v>33</v>
      </c>
      <c r="AI254" s="200" t="str">
        <f>IFERROR(__xludf.DUMMYFUNCTION("""COMPUTED_VALUE"""),"Normal - No Action Required")</f>
        <v>Normal - No Action Required</v>
      </c>
      <c r="AJ254" s="200" t="str">
        <f>IFERROR(__xludf.DUMMYFUNCTION("""COMPUTED_VALUE"""),"Continue routine monitoring and sampling schedule")</f>
        <v>Continue routine monitoring and sampling schedule</v>
      </c>
      <c r="AK254" s="204"/>
      <c r="AL254" s="204"/>
      <c r="AM254" s="204"/>
    </row>
    <row r="255" hidden="1">
      <c r="A255" s="199" t="str">
        <f>IFERROR(__xludf.DUMMYFUNCTION("""COMPUTED_VALUE"""),"111.BC210")</f>
        <v>111.BC210</v>
      </c>
      <c r="B255" s="200" t="str">
        <f>IFERROR(__xludf.DUMMYFUNCTION("""COMPUTED_VALUE"""),"Belt conveyor Gearbox")</f>
        <v>Belt conveyor Gearbox</v>
      </c>
      <c r="C255" s="199">
        <f>IFERROR(__xludf.DUMMYFUNCTION("""COMPUTED_VALUE"""),2.5079203208E10)</f>
        <v>25079203208</v>
      </c>
      <c r="D255" s="201">
        <f>IFERROR(__xludf.DUMMYFUNCTION("""COMPUTED_VALUE"""),45726.0)</f>
        <v>45726</v>
      </c>
      <c r="E255" s="202" t="str">
        <f>IFERROR(__xludf.DUMMYFUNCTION("""COMPUTED_VALUE"""),"Caution")</f>
        <v>Caution</v>
      </c>
      <c r="F255" s="202" t="str">
        <f>IFERROR(__xludf.DUMMYFUNCTION("""COMPUTED_VALUE"""),"Caution")</f>
        <v>Caution</v>
      </c>
      <c r="G255" s="203" t="str">
        <f>IFERROR(__xludf.DUMMYFUNCTION("""COMPUTED_VALUE"""),"Caution")</f>
        <v>Caution</v>
      </c>
      <c r="H255" s="203" t="str">
        <f>IFERROR(__xludf.DUMMYFUNCTION("""COMPUTED_VALUE"""),"Caution")</f>
        <v>Caution</v>
      </c>
      <c r="I255" s="37"/>
      <c r="J255" s="37"/>
      <c r="K255" s="37"/>
      <c r="L255" s="199">
        <f>IFERROR(__xludf.DUMMYFUNCTION("""COMPUTED_VALUE"""),35.0)</f>
        <v>35</v>
      </c>
      <c r="M255" s="199">
        <f>IFERROR(__xludf.DUMMYFUNCTION("""COMPUTED_VALUE"""),254.9)</f>
        <v>254.9</v>
      </c>
      <c r="N255" s="199"/>
      <c r="O255" s="199"/>
      <c r="P255" s="37">
        <f>IFERROR(__xludf.DUMMYFUNCTION("""COMPUTED_VALUE"""),0.04)</f>
        <v>0.04</v>
      </c>
      <c r="Q255" s="199">
        <f>IFERROR(__xludf.DUMMYFUNCTION("""COMPUTED_VALUE"""),0.0)</f>
        <v>0</v>
      </c>
      <c r="R255" s="199">
        <f>IFERROR(__xludf.DUMMYFUNCTION("""COMPUTED_VALUE"""),26.0)</f>
        <v>26</v>
      </c>
      <c r="S255" s="199">
        <f>IFERROR(__xludf.DUMMYFUNCTION("""COMPUTED_VALUE"""),2.0)</f>
        <v>2</v>
      </c>
      <c r="T255" s="199">
        <f>IFERROR(__xludf.DUMMYFUNCTION("""COMPUTED_VALUE"""),3.0)</f>
        <v>3</v>
      </c>
      <c r="U255" s="199">
        <f>IFERROR(__xludf.DUMMYFUNCTION("""COMPUTED_VALUE"""),40.0)</f>
        <v>40</v>
      </c>
      <c r="V255" s="199">
        <f>IFERROR(__xludf.DUMMYFUNCTION("""COMPUTED_VALUE"""),0.0)</f>
        <v>0</v>
      </c>
      <c r="W255" s="199">
        <f>IFERROR(__xludf.DUMMYFUNCTION("""COMPUTED_VALUE"""),0.0)</f>
        <v>0</v>
      </c>
      <c r="X255" s="199">
        <f>IFERROR(__xludf.DUMMYFUNCTION("""COMPUTED_VALUE"""),0.0)</f>
        <v>0</v>
      </c>
      <c r="Y255" s="199">
        <f>IFERROR(__xludf.DUMMYFUNCTION("""COMPUTED_VALUE"""),0.0)</f>
        <v>0</v>
      </c>
      <c r="Z255" s="199">
        <f>IFERROR(__xludf.DUMMYFUNCTION("""COMPUTED_VALUE"""),0.0)</f>
        <v>0</v>
      </c>
      <c r="AA255" s="199">
        <f>IFERROR(__xludf.DUMMYFUNCTION("""COMPUTED_VALUE"""),0.0)</f>
        <v>0</v>
      </c>
      <c r="AB255" s="199">
        <f>IFERROR(__xludf.DUMMYFUNCTION("""COMPUTED_VALUE"""),42.0)</f>
        <v>42</v>
      </c>
      <c r="AC255" s="199">
        <f>IFERROR(__xludf.DUMMYFUNCTION("""COMPUTED_VALUE"""),39.0)</f>
        <v>39</v>
      </c>
      <c r="AD255" s="199">
        <f>IFERROR(__xludf.DUMMYFUNCTION("""COMPUTED_VALUE"""),0.0)</f>
        <v>0</v>
      </c>
      <c r="AE255" s="199">
        <f>IFERROR(__xludf.DUMMYFUNCTION("""COMPUTED_VALUE"""),15.0)</f>
        <v>15</v>
      </c>
      <c r="AF255" s="199">
        <f>IFERROR(__xludf.DUMMYFUNCTION("""COMPUTED_VALUE"""),2.0)</f>
        <v>2</v>
      </c>
      <c r="AG255" s="199">
        <f>IFERROR(__xludf.DUMMYFUNCTION("""COMPUTED_VALUE"""),482.0)</f>
        <v>482</v>
      </c>
      <c r="AH255" s="199">
        <f>IFERROR(__xludf.DUMMYFUNCTION("""COMPUTED_VALUE"""),92.0)</f>
        <v>92</v>
      </c>
      <c r="AI255" s="200" t="str">
        <f>IFERROR(__xludf.DUMMYFUNCTION("""COMPUTED_VALUE"""),"Wear Metal Caution | Contamination Caution")</f>
        <v>Wear Metal Caution | Contamination Caution</v>
      </c>
      <c r="AJ255" s="200" t="str">
        <f>IFERROR(__xludf.DUMMYFUNCTION("""COMPUTED_VALUE"""),"Monitor closely - inspect at next planned maintenance; Lubricant showing degradation - plan oil change within 3 months; Silicon elevated - check air filtration and seals")</f>
        <v>Monitor closely - inspect at next planned maintenance; Lubricant showing degradation - plan oil change within 3 months; Silicon elevated - check air filtration and seals</v>
      </c>
      <c r="AK255" s="204"/>
      <c r="AL255" s="204"/>
      <c r="AM255" s="204"/>
    </row>
    <row r="256" hidden="1">
      <c r="A256" s="199" t="str">
        <f>IFERROR(__xludf.DUMMYFUNCTION("""COMPUTED_VALUE"""),"131.BC500 (M01)")</f>
        <v>131.BC500 (M01)</v>
      </c>
      <c r="B256" s="200" t="str">
        <f>IFERROR(__xludf.DUMMYFUNCTION("""COMPUTED_VALUE"""),"Belt Conveyor Gearbox")</f>
        <v>Belt Conveyor Gearbox</v>
      </c>
      <c r="C256" s="199">
        <f>IFERROR(__xludf.DUMMYFUNCTION("""COMPUTED_VALUE"""),2.5079203223E10)</f>
        <v>25079203223</v>
      </c>
      <c r="D256" s="201">
        <f>IFERROR(__xludf.DUMMYFUNCTION("""COMPUTED_VALUE"""),45726.0)</f>
        <v>45726</v>
      </c>
      <c r="E256" s="202" t="str">
        <f>IFERROR(__xludf.DUMMYFUNCTION("""COMPUTED_VALUE"""),"Alert")</f>
        <v>Alert</v>
      </c>
      <c r="F256" s="202" t="str">
        <f>IFERROR(__xludf.DUMMYFUNCTION("""COMPUTED_VALUE"""),"Alert")</f>
        <v>Alert</v>
      </c>
      <c r="G256" s="203" t="str">
        <f>IFERROR(__xludf.DUMMYFUNCTION("""COMPUTED_VALUE"""),"Normal")</f>
        <v>Normal</v>
      </c>
      <c r="H256" s="203" t="str">
        <f>IFERROR(__xludf.DUMMYFUNCTION("""COMPUTED_VALUE"""),"Normal")</f>
        <v>Normal</v>
      </c>
      <c r="I256" s="37"/>
      <c r="J256" s="37"/>
      <c r="K256" s="37"/>
      <c r="L256" s="199">
        <f>IFERROR(__xludf.DUMMYFUNCTION("""COMPUTED_VALUE"""),23.0)</f>
        <v>23</v>
      </c>
      <c r="M256" s="199">
        <f>IFERROR(__xludf.DUMMYFUNCTION("""COMPUTED_VALUE"""),221.7)</f>
        <v>221.7</v>
      </c>
      <c r="N256" s="199"/>
      <c r="O256" s="199"/>
      <c r="P256" s="37">
        <f>IFERROR(__xludf.DUMMYFUNCTION("""COMPUTED_VALUE"""),0.11)</f>
        <v>0.11</v>
      </c>
      <c r="Q256" s="199">
        <f>IFERROR(__xludf.DUMMYFUNCTION("""COMPUTED_VALUE"""),0.0)</f>
        <v>0</v>
      </c>
      <c r="R256" s="199">
        <f>IFERROR(__xludf.DUMMYFUNCTION("""COMPUTED_VALUE"""),11.0)</f>
        <v>11</v>
      </c>
      <c r="S256" s="199">
        <f>IFERROR(__xludf.DUMMYFUNCTION("""COMPUTED_VALUE"""),1.0)</f>
        <v>1</v>
      </c>
      <c r="T256" s="199">
        <f>IFERROR(__xludf.DUMMYFUNCTION("""COMPUTED_VALUE"""),4.0)</f>
        <v>4</v>
      </c>
      <c r="U256" s="199">
        <f>IFERROR(__xludf.DUMMYFUNCTION("""COMPUTED_VALUE"""),7.0)</f>
        <v>7</v>
      </c>
      <c r="V256" s="199">
        <f>IFERROR(__xludf.DUMMYFUNCTION("""COMPUTED_VALUE"""),0.0)</f>
        <v>0</v>
      </c>
      <c r="W256" s="199">
        <f>IFERROR(__xludf.DUMMYFUNCTION("""COMPUTED_VALUE"""),0.0)</f>
        <v>0</v>
      </c>
      <c r="X256" s="199">
        <f>IFERROR(__xludf.DUMMYFUNCTION("""COMPUTED_VALUE"""),0.0)</f>
        <v>0</v>
      </c>
      <c r="Y256" s="199">
        <f>IFERROR(__xludf.DUMMYFUNCTION("""COMPUTED_VALUE"""),0.0)</f>
        <v>0</v>
      </c>
      <c r="Z256" s="199">
        <f>IFERROR(__xludf.DUMMYFUNCTION("""COMPUTED_VALUE"""),0.0)</f>
        <v>0</v>
      </c>
      <c r="AA256" s="199">
        <f>IFERROR(__xludf.DUMMYFUNCTION("""COMPUTED_VALUE"""),1.0)</f>
        <v>1</v>
      </c>
      <c r="AB256" s="199">
        <f>IFERROR(__xludf.DUMMYFUNCTION("""COMPUTED_VALUE"""),13.0)</f>
        <v>13</v>
      </c>
      <c r="AC256" s="199">
        <f>IFERROR(__xludf.DUMMYFUNCTION("""COMPUTED_VALUE"""),13.0)</f>
        <v>13</v>
      </c>
      <c r="AD256" s="199">
        <f>IFERROR(__xludf.DUMMYFUNCTION("""COMPUTED_VALUE"""),0.0)</f>
        <v>0</v>
      </c>
      <c r="AE256" s="199">
        <f>IFERROR(__xludf.DUMMYFUNCTION("""COMPUTED_VALUE"""),36.0)</f>
        <v>36</v>
      </c>
      <c r="AF256" s="199">
        <f>IFERROR(__xludf.DUMMYFUNCTION("""COMPUTED_VALUE"""),2.0)</f>
        <v>2</v>
      </c>
      <c r="AG256" s="199">
        <f>IFERROR(__xludf.DUMMYFUNCTION("""COMPUTED_VALUE"""),410.0)</f>
        <v>410</v>
      </c>
      <c r="AH256" s="199">
        <f>IFERROR(__xludf.DUMMYFUNCTION("""COMPUTED_VALUE"""),27.0)</f>
        <v>27</v>
      </c>
      <c r="AI256" s="200" t="str">
        <f>IFERROR(__xludf.DUMMYFUNCTION("""COMPUTED_VALUE"""),"Water Ingress")</f>
        <v>Water Ingress</v>
      </c>
      <c r="AJ256" s="200" t="str">
        <f>IFERROR(__xludf.DUMMYFUNCTION("""COMPUTED_VALUE"""),"Water detected - inspect seals and breathers")</f>
        <v>Water detected - inspect seals and breathers</v>
      </c>
      <c r="AK256" s="204"/>
      <c r="AL256" s="204"/>
      <c r="AM256" s="204"/>
    </row>
    <row r="257" hidden="1">
      <c r="A257" s="199" t="str">
        <f>IFERROR(__xludf.DUMMYFUNCTION("""COMPUTED_VALUE"""),"131.BC500 (M02)")</f>
        <v>131.BC500 (M02)</v>
      </c>
      <c r="B257" s="200" t="str">
        <f>IFERROR(__xludf.DUMMYFUNCTION("""COMPUTED_VALUE"""),"Belt Conveyor Gearbox")</f>
        <v>Belt Conveyor Gearbox</v>
      </c>
      <c r="C257" s="199">
        <f>IFERROR(__xludf.DUMMYFUNCTION("""COMPUTED_VALUE"""),2.5079203224E10)</f>
        <v>25079203224</v>
      </c>
      <c r="D257" s="201">
        <f>IFERROR(__xludf.DUMMYFUNCTION("""COMPUTED_VALUE"""),45726.0)</f>
        <v>45726</v>
      </c>
      <c r="E257" s="202" t="str">
        <f>IFERROR(__xludf.DUMMYFUNCTION("""COMPUTED_VALUE"""),"Caution")</f>
        <v>Caution</v>
      </c>
      <c r="F257" s="202" t="str">
        <f>IFERROR(__xludf.DUMMYFUNCTION("""COMPUTED_VALUE"""),"Caution")</f>
        <v>Caution</v>
      </c>
      <c r="G257" s="203" t="str">
        <f>IFERROR(__xludf.DUMMYFUNCTION("""COMPUTED_VALUE"""),"Normal")</f>
        <v>Normal</v>
      </c>
      <c r="H257" s="203" t="str">
        <f>IFERROR(__xludf.DUMMYFUNCTION("""COMPUTED_VALUE"""),"Caution")</f>
        <v>Caution</v>
      </c>
      <c r="I257" s="37"/>
      <c r="J257" s="37"/>
      <c r="K257" s="37"/>
      <c r="L257" s="199">
        <f>IFERROR(__xludf.DUMMYFUNCTION("""COMPUTED_VALUE"""),21.0)</f>
        <v>21</v>
      </c>
      <c r="M257" s="199">
        <f>IFERROR(__xludf.DUMMYFUNCTION("""COMPUTED_VALUE"""),238.5)</f>
        <v>238.5</v>
      </c>
      <c r="N257" s="199"/>
      <c r="O257" s="199"/>
      <c r="P257" s="37">
        <f>IFERROR(__xludf.DUMMYFUNCTION("""COMPUTED_VALUE"""),0.02)</f>
        <v>0.02</v>
      </c>
      <c r="Q257" s="199">
        <f>IFERROR(__xludf.DUMMYFUNCTION("""COMPUTED_VALUE"""),0.0)</f>
        <v>0</v>
      </c>
      <c r="R257" s="199">
        <f>IFERROR(__xludf.DUMMYFUNCTION("""COMPUTED_VALUE"""),9.0)</f>
        <v>9</v>
      </c>
      <c r="S257" s="199">
        <f>IFERROR(__xludf.DUMMYFUNCTION("""COMPUTED_VALUE"""),1.0)</f>
        <v>1</v>
      </c>
      <c r="T257" s="199">
        <f>IFERROR(__xludf.DUMMYFUNCTION("""COMPUTED_VALUE"""),3.0)</f>
        <v>3</v>
      </c>
      <c r="U257" s="199">
        <f>IFERROR(__xludf.DUMMYFUNCTION("""COMPUTED_VALUE"""),6.0)</f>
        <v>6</v>
      </c>
      <c r="V257" s="199">
        <f>IFERROR(__xludf.DUMMYFUNCTION("""COMPUTED_VALUE"""),0.0)</f>
        <v>0</v>
      </c>
      <c r="W257" s="199">
        <f>IFERROR(__xludf.DUMMYFUNCTION("""COMPUTED_VALUE"""),0.0)</f>
        <v>0</v>
      </c>
      <c r="X257" s="199">
        <f>IFERROR(__xludf.DUMMYFUNCTION("""COMPUTED_VALUE"""),0.0)</f>
        <v>0</v>
      </c>
      <c r="Y257" s="199">
        <f>IFERROR(__xludf.DUMMYFUNCTION("""COMPUTED_VALUE"""),0.0)</f>
        <v>0</v>
      </c>
      <c r="Z257" s="199">
        <f>IFERROR(__xludf.DUMMYFUNCTION("""COMPUTED_VALUE"""),2.0)</f>
        <v>2</v>
      </c>
      <c r="AA257" s="199">
        <f>IFERROR(__xludf.DUMMYFUNCTION("""COMPUTED_VALUE"""),0.0)</f>
        <v>0</v>
      </c>
      <c r="AB257" s="199">
        <f>IFERROR(__xludf.DUMMYFUNCTION("""COMPUTED_VALUE"""),13.0)</f>
        <v>13</v>
      </c>
      <c r="AC257" s="199">
        <f>IFERROR(__xludf.DUMMYFUNCTION("""COMPUTED_VALUE"""),10.0)</f>
        <v>10</v>
      </c>
      <c r="AD257" s="199">
        <f>IFERROR(__xludf.DUMMYFUNCTION("""COMPUTED_VALUE"""),0.0)</f>
        <v>0</v>
      </c>
      <c r="AE257" s="199">
        <f>IFERROR(__xludf.DUMMYFUNCTION("""COMPUTED_VALUE"""),33.0)</f>
        <v>33</v>
      </c>
      <c r="AF257" s="199">
        <f>IFERROR(__xludf.DUMMYFUNCTION("""COMPUTED_VALUE"""),0.0)</f>
        <v>0</v>
      </c>
      <c r="AG257" s="199">
        <f>IFERROR(__xludf.DUMMYFUNCTION("""COMPUTED_VALUE"""),650.0)</f>
        <v>650</v>
      </c>
      <c r="AH257" s="199">
        <f>IFERROR(__xludf.DUMMYFUNCTION("""COMPUTED_VALUE"""),17.0)</f>
        <v>17</v>
      </c>
      <c r="AI257" s="200" t="str">
        <f>IFERROR(__xludf.DUMMYFUNCTION("""COMPUTED_VALUE"""),"General Caution")</f>
        <v>General Caution</v>
      </c>
      <c r="AJ257" s="200" t="str">
        <f>IFERROR(__xludf.DUMMYFUNCTION("""COMPUTED_VALUE"""),"Lubricant showing degradation - plan oil change within 3 months")</f>
        <v>Lubricant showing degradation - plan oil change within 3 months</v>
      </c>
      <c r="AK257" s="204"/>
      <c r="AL257" s="204"/>
      <c r="AM257" s="204"/>
    </row>
    <row r="258" hidden="1">
      <c r="A258" s="199" t="str">
        <f>IFERROR(__xludf.DUMMYFUNCTION("""COMPUTED_VALUE"""),"534.LQ145 GearBox")</f>
        <v>534.LQ145 GearBox</v>
      </c>
      <c r="B258" s="200" t="str">
        <f>IFERROR(__xludf.DUMMYFUNCTION("""COMPUTED_VALUE"""),"Cement Mill #4 Gear box")</f>
        <v>Cement Mill #4 Gear box</v>
      </c>
      <c r="C258" s="199">
        <f>IFERROR(__xludf.DUMMYFUNCTION("""COMPUTED_VALUE"""),2.5079203235E10)</f>
        <v>25079203235</v>
      </c>
      <c r="D258" s="201">
        <f>IFERROR(__xludf.DUMMYFUNCTION("""COMPUTED_VALUE"""),45726.0)</f>
        <v>45726</v>
      </c>
      <c r="E258" s="202" t="str">
        <f>IFERROR(__xludf.DUMMYFUNCTION("""COMPUTED_VALUE"""),"Alert")</f>
        <v>Alert</v>
      </c>
      <c r="F258" s="202" t="str">
        <f>IFERROR(__xludf.DUMMYFUNCTION("""COMPUTED_VALUE"""),"Alert")</f>
        <v>Alert</v>
      </c>
      <c r="G258" s="203" t="str">
        <f>IFERROR(__xludf.DUMMYFUNCTION("""COMPUTED_VALUE"""),"Alert")</f>
        <v>Alert</v>
      </c>
      <c r="H258" s="203" t="str">
        <f>IFERROR(__xludf.DUMMYFUNCTION("""COMPUTED_VALUE"""),"Normal")</f>
        <v>Normal</v>
      </c>
      <c r="I258" s="37"/>
      <c r="J258" s="37"/>
      <c r="K258" s="37"/>
      <c r="L258" s="199">
        <f>IFERROR(__xludf.DUMMYFUNCTION("""COMPUTED_VALUE"""),77.0)</f>
        <v>77</v>
      </c>
      <c r="M258" s="199">
        <f>IFERROR(__xludf.DUMMYFUNCTION("""COMPUTED_VALUE"""),452.8)</f>
        <v>452.8</v>
      </c>
      <c r="N258" s="199"/>
      <c r="O258" s="199">
        <f>IFERROR(__xludf.DUMMYFUNCTION("""COMPUTED_VALUE"""),1.0)</f>
        <v>1</v>
      </c>
      <c r="P258" s="199">
        <f>IFERROR(__xludf.DUMMYFUNCTION("""COMPUTED_VALUE"""),0.1)</f>
        <v>0.1</v>
      </c>
      <c r="Q258" s="199">
        <f>IFERROR(__xludf.DUMMYFUNCTION("""COMPUTED_VALUE"""),0.0)</f>
        <v>0</v>
      </c>
      <c r="R258" s="199">
        <f>IFERROR(__xludf.DUMMYFUNCTION("""COMPUTED_VALUE"""),26.0)</f>
        <v>26</v>
      </c>
      <c r="S258" s="199">
        <f>IFERROR(__xludf.DUMMYFUNCTION("""COMPUTED_VALUE"""),2.0)</f>
        <v>2</v>
      </c>
      <c r="T258" s="199">
        <f>IFERROR(__xludf.DUMMYFUNCTION("""COMPUTED_VALUE"""),9.0)</f>
        <v>9</v>
      </c>
      <c r="U258" s="199">
        <f>IFERROR(__xludf.DUMMYFUNCTION("""COMPUTED_VALUE"""),73.0)</f>
        <v>73</v>
      </c>
      <c r="V258" s="199">
        <f>IFERROR(__xludf.DUMMYFUNCTION("""COMPUTED_VALUE"""),0.0)</f>
        <v>0</v>
      </c>
      <c r="W258" s="199">
        <f>IFERROR(__xludf.DUMMYFUNCTION("""COMPUTED_VALUE"""),0.0)</f>
        <v>0</v>
      </c>
      <c r="X258" s="199">
        <f>IFERROR(__xludf.DUMMYFUNCTION("""COMPUTED_VALUE"""),0.0)</f>
        <v>0</v>
      </c>
      <c r="Y258" s="199">
        <f>IFERROR(__xludf.DUMMYFUNCTION("""COMPUTED_VALUE"""),0.0)</f>
        <v>0</v>
      </c>
      <c r="Z258" s="199">
        <f>IFERROR(__xludf.DUMMYFUNCTION("""COMPUTED_VALUE"""),2.0)</f>
        <v>2</v>
      </c>
      <c r="AA258" s="199">
        <f>IFERROR(__xludf.DUMMYFUNCTION("""COMPUTED_VALUE"""),0.0)</f>
        <v>0</v>
      </c>
      <c r="AB258" s="199">
        <f>IFERROR(__xludf.DUMMYFUNCTION("""COMPUTED_VALUE"""),35.0)</f>
        <v>35</v>
      </c>
      <c r="AC258" s="199">
        <f>IFERROR(__xludf.DUMMYFUNCTION("""COMPUTED_VALUE"""),61.0)</f>
        <v>61</v>
      </c>
      <c r="AD258" s="199">
        <f>IFERROR(__xludf.DUMMYFUNCTION("""COMPUTED_VALUE"""),0.0)</f>
        <v>0</v>
      </c>
      <c r="AE258" s="199">
        <f>IFERROR(__xludf.DUMMYFUNCTION("""COMPUTED_VALUE"""),136.0)</f>
        <v>136</v>
      </c>
      <c r="AF258" s="199">
        <f>IFERROR(__xludf.DUMMYFUNCTION("""COMPUTED_VALUE"""),5.0)</f>
        <v>5</v>
      </c>
      <c r="AG258" s="199">
        <f>IFERROR(__xludf.DUMMYFUNCTION("""COMPUTED_VALUE"""),391.0)</f>
        <v>391</v>
      </c>
      <c r="AH258" s="199">
        <f>IFERROR(__xludf.DUMMYFUNCTION("""COMPUTED_VALUE"""),16.0)</f>
        <v>16</v>
      </c>
      <c r="AI258" s="200" t="str">
        <f>IFERROR(__xludf.DUMMYFUNCTION("""COMPUTED_VALUE"""),"Wear Metal Alert")</f>
        <v>Wear Metal Alert</v>
      </c>
      <c r="AJ258" s="200" t="str">
        <f>IFERROR(__xludf.DUMMYFUNCTION("""COMPUTED_VALUE"""),"URGENT: Inspect equipment immediately for wear/damage; Elevated silicon - inspect filters and seals for contamination")</f>
        <v>URGENT: Inspect equipment immediately for wear/damage; Elevated silicon - inspect filters and seals for contamination</v>
      </c>
      <c r="AK258" s="204"/>
      <c r="AL258" s="204"/>
      <c r="AM258" s="204"/>
    </row>
    <row r="259" hidden="1">
      <c r="A259" s="199" t="str">
        <f>IFERROR(__xludf.DUMMYFUNCTION("""COMPUTED_VALUE"""),"532.LQ145")</f>
        <v>532.LQ145</v>
      </c>
      <c r="B259" s="200" t="str">
        <f>IFERROR(__xludf.DUMMYFUNCTION("""COMPUTED_VALUE"""),"Cement Mill #2 Gear box")</f>
        <v>Cement Mill #2 Gear box</v>
      </c>
      <c r="C259" s="199">
        <f>IFERROR(__xludf.DUMMYFUNCTION("""COMPUTED_VALUE"""),2.5079203247E10)</f>
        <v>25079203247</v>
      </c>
      <c r="D259" s="201">
        <f>IFERROR(__xludf.DUMMYFUNCTION("""COMPUTED_VALUE"""),45726.0)</f>
        <v>45726</v>
      </c>
      <c r="E259" s="202" t="str">
        <f>IFERROR(__xludf.DUMMYFUNCTION("""COMPUTED_VALUE"""),"Alert")</f>
        <v>Alert</v>
      </c>
      <c r="F259" s="202" t="str">
        <f>IFERROR(__xludf.DUMMYFUNCTION("""COMPUTED_VALUE"""),"Alert")</f>
        <v>Alert</v>
      </c>
      <c r="G259" s="203" t="str">
        <f>IFERROR(__xludf.DUMMYFUNCTION("""COMPUTED_VALUE"""),"Alert")</f>
        <v>Alert</v>
      </c>
      <c r="H259" s="203" t="str">
        <f>IFERROR(__xludf.DUMMYFUNCTION("""COMPUTED_VALUE"""),"Normal")</f>
        <v>Normal</v>
      </c>
      <c r="I259" s="37"/>
      <c r="J259" s="37"/>
      <c r="K259" s="37"/>
      <c r="L259" s="199">
        <f>IFERROR(__xludf.DUMMYFUNCTION("""COMPUTED_VALUE"""),84.0)</f>
        <v>84</v>
      </c>
      <c r="M259" s="199">
        <f>IFERROR(__xludf.DUMMYFUNCTION("""COMPUTED_VALUE"""),460.0)</f>
        <v>460</v>
      </c>
      <c r="N259" s="199"/>
      <c r="O259" s="199">
        <f>IFERROR(__xludf.DUMMYFUNCTION("""COMPUTED_VALUE"""),4.0)</f>
        <v>4</v>
      </c>
      <c r="P259" s="37">
        <f>IFERROR(__xludf.DUMMYFUNCTION("""COMPUTED_VALUE"""),0.3)</f>
        <v>0.3</v>
      </c>
      <c r="Q259" s="199">
        <f>IFERROR(__xludf.DUMMYFUNCTION("""COMPUTED_VALUE"""),0.0)</f>
        <v>0</v>
      </c>
      <c r="R259" s="199">
        <f>IFERROR(__xludf.DUMMYFUNCTION("""COMPUTED_VALUE"""),38.0)</f>
        <v>38</v>
      </c>
      <c r="S259" s="199">
        <f>IFERROR(__xludf.DUMMYFUNCTION("""COMPUTED_VALUE"""),2.0)</f>
        <v>2</v>
      </c>
      <c r="T259" s="199">
        <f>IFERROR(__xludf.DUMMYFUNCTION("""COMPUTED_VALUE"""),10.0)</f>
        <v>10</v>
      </c>
      <c r="U259" s="199">
        <f>IFERROR(__xludf.DUMMYFUNCTION("""COMPUTED_VALUE"""),59.0)</f>
        <v>59</v>
      </c>
      <c r="V259" s="199">
        <f>IFERROR(__xludf.DUMMYFUNCTION("""COMPUTED_VALUE"""),0.0)</f>
        <v>0</v>
      </c>
      <c r="W259" s="199">
        <f>IFERROR(__xludf.DUMMYFUNCTION("""COMPUTED_VALUE"""),0.0)</f>
        <v>0</v>
      </c>
      <c r="X259" s="199">
        <f>IFERROR(__xludf.DUMMYFUNCTION("""COMPUTED_VALUE"""),0.0)</f>
        <v>0</v>
      </c>
      <c r="Y259" s="199">
        <f>IFERROR(__xludf.DUMMYFUNCTION("""COMPUTED_VALUE"""),0.0)</f>
        <v>0</v>
      </c>
      <c r="Z259" s="199">
        <f>IFERROR(__xludf.DUMMYFUNCTION("""COMPUTED_VALUE"""),2.0)</f>
        <v>2</v>
      </c>
      <c r="AA259" s="199">
        <f>IFERROR(__xludf.DUMMYFUNCTION("""COMPUTED_VALUE"""),0.0)</f>
        <v>0</v>
      </c>
      <c r="AB259" s="199">
        <f>IFERROR(__xludf.DUMMYFUNCTION("""COMPUTED_VALUE"""),52.0)</f>
        <v>52</v>
      </c>
      <c r="AC259" s="199">
        <f>IFERROR(__xludf.DUMMYFUNCTION("""COMPUTED_VALUE"""),26.0)</f>
        <v>26</v>
      </c>
      <c r="AD259" s="199">
        <f>IFERROR(__xludf.DUMMYFUNCTION("""COMPUTED_VALUE"""),0.0)</f>
        <v>0</v>
      </c>
      <c r="AE259" s="199">
        <f>IFERROR(__xludf.DUMMYFUNCTION("""COMPUTED_VALUE"""),274.0)</f>
        <v>274</v>
      </c>
      <c r="AF259" s="199">
        <f>IFERROR(__xludf.DUMMYFUNCTION("""COMPUTED_VALUE"""),5.0)</f>
        <v>5</v>
      </c>
      <c r="AG259" s="199">
        <f>IFERROR(__xludf.DUMMYFUNCTION("""COMPUTED_VALUE"""),292.0)</f>
        <v>292</v>
      </c>
      <c r="AH259" s="199">
        <f>IFERROR(__xludf.DUMMYFUNCTION("""COMPUTED_VALUE"""),9.0)</f>
        <v>9</v>
      </c>
      <c r="AI259" s="200" t="str">
        <f>IFERROR(__xludf.DUMMYFUNCTION("""COMPUTED_VALUE"""),"Wear Metal Alert | Contamination Alert | Water Ingress")</f>
        <v>Wear Metal Alert | Contamination Alert | Water Ingress</v>
      </c>
      <c r="AJ259" s="200" t="str">
        <f>IFERROR(__xludf.DUMMYFUNCTION("""COMPUTED_VALUE"""),"URGENT: Inspect equipment immediately for wear/damage; High water contamination - check seals and drain water immediately; Elevated silicon - inspect filters and seals for contamination; High particle count - replace filters and resample")</f>
        <v>URGENT: Inspect equipment immediately for wear/damage; High water contamination - check seals and drain water immediately; Elevated silicon - inspect filters and seals for contamination; High particle count - replace filters and resample</v>
      </c>
      <c r="AK259" s="204"/>
      <c r="AL259" s="204"/>
      <c r="AM259" s="204"/>
    </row>
    <row r="260" hidden="1">
      <c r="A260" s="199" t="str">
        <f>IFERROR(__xludf.DUMMYFUNCTION("""COMPUTED_VALUE"""),"R2.432.HT120(BE)")</f>
        <v>R2.432.HT120(BE)</v>
      </c>
      <c r="B260" s="200" t="str">
        <f>IFERROR(__xludf.DUMMYFUNCTION("""COMPUTED_VALUE"""),"Hydraulic thrust bearing")</f>
        <v>Hydraulic thrust bearing</v>
      </c>
      <c r="C260" s="199">
        <f>IFERROR(__xludf.DUMMYFUNCTION("""COMPUTED_VALUE"""),2.5079203203E10)</f>
        <v>25079203203</v>
      </c>
      <c r="D260" s="201">
        <f>IFERROR(__xludf.DUMMYFUNCTION("""COMPUTED_VALUE"""),45726.0)</f>
        <v>45726</v>
      </c>
      <c r="E260" s="202" t="str">
        <f>IFERROR(__xludf.DUMMYFUNCTION("""COMPUTED_VALUE"""),"Normal")</f>
        <v>Normal</v>
      </c>
      <c r="F260" s="202" t="str">
        <f>IFERROR(__xludf.DUMMYFUNCTION("""COMPUTED_VALUE"""),"Normal")</f>
        <v>Normal</v>
      </c>
      <c r="G260" s="203" t="str">
        <f>IFERROR(__xludf.DUMMYFUNCTION("""COMPUTED_VALUE"""),"Normal")</f>
        <v>Normal</v>
      </c>
      <c r="H260" s="203" t="str">
        <f>IFERROR(__xludf.DUMMYFUNCTION("""COMPUTED_VALUE"""),"Normal")</f>
        <v>Normal</v>
      </c>
      <c r="I260" s="37"/>
      <c r="J260" s="37"/>
      <c r="K260" s="37"/>
      <c r="L260" s="199">
        <f>IFERROR(__xludf.DUMMYFUNCTION("""COMPUTED_VALUE"""),5.0)</f>
        <v>5</v>
      </c>
      <c r="M260" s="199">
        <f>IFERROR(__xludf.DUMMYFUNCTION("""COMPUTED_VALUE"""),88.6)</f>
        <v>88.6</v>
      </c>
      <c r="N260" s="199"/>
      <c r="O260" s="199"/>
      <c r="P260" s="37">
        <f>IFERROR(__xludf.DUMMYFUNCTION("""COMPUTED_VALUE"""),0.003)</f>
        <v>0.003</v>
      </c>
      <c r="Q260" s="199">
        <f>IFERROR(__xludf.DUMMYFUNCTION("""COMPUTED_VALUE"""),0.0)</f>
        <v>0</v>
      </c>
      <c r="R260" s="199">
        <f>IFERROR(__xludf.DUMMYFUNCTION("""COMPUTED_VALUE"""),10.0)</f>
        <v>10</v>
      </c>
      <c r="S260" s="199">
        <f>IFERROR(__xludf.DUMMYFUNCTION("""COMPUTED_VALUE"""),1.0)</f>
        <v>1</v>
      </c>
      <c r="T260" s="199">
        <f>IFERROR(__xludf.DUMMYFUNCTION("""COMPUTED_VALUE"""),4.0)</f>
        <v>4</v>
      </c>
      <c r="U260" s="199">
        <f>IFERROR(__xludf.DUMMYFUNCTION("""COMPUTED_VALUE"""),2.0)</f>
        <v>2</v>
      </c>
      <c r="V260" s="199">
        <f>IFERROR(__xludf.DUMMYFUNCTION("""COMPUTED_VALUE"""),0.0)</f>
        <v>0</v>
      </c>
      <c r="W260" s="199">
        <f>IFERROR(__xludf.DUMMYFUNCTION("""COMPUTED_VALUE"""),0.0)</f>
        <v>0</v>
      </c>
      <c r="X260" s="199">
        <f>IFERROR(__xludf.DUMMYFUNCTION("""COMPUTED_VALUE"""),0.0)</f>
        <v>0</v>
      </c>
      <c r="Y260" s="199">
        <f>IFERROR(__xludf.DUMMYFUNCTION("""COMPUTED_VALUE"""),0.0)</f>
        <v>0</v>
      </c>
      <c r="Z260" s="199">
        <f>IFERROR(__xludf.DUMMYFUNCTION("""COMPUTED_VALUE"""),2.0)</f>
        <v>2</v>
      </c>
      <c r="AA260" s="199">
        <f>IFERROR(__xludf.DUMMYFUNCTION("""COMPUTED_VALUE"""),2.0)</f>
        <v>2</v>
      </c>
      <c r="AB260" s="199">
        <f>IFERROR(__xludf.DUMMYFUNCTION("""COMPUTED_VALUE"""),24.0)</f>
        <v>24</v>
      </c>
      <c r="AC260" s="199">
        <f>IFERROR(__xludf.DUMMYFUNCTION("""COMPUTED_VALUE"""),6.0)</f>
        <v>6</v>
      </c>
      <c r="AD260" s="199">
        <f>IFERROR(__xludf.DUMMYFUNCTION("""COMPUTED_VALUE"""),0.0)</f>
        <v>0</v>
      </c>
      <c r="AE260" s="199">
        <f>IFERROR(__xludf.DUMMYFUNCTION("""COMPUTED_VALUE"""),112.0)</f>
        <v>112</v>
      </c>
      <c r="AF260" s="199">
        <f>IFERROR(__xludf.DUMMYFUNCTION("""COMPUTED_VALUE"""),0.0)</f>
        <v>0</v>
      </c>
      <c r="AG260" s="199">
        <f>IFERROR(__xludf.DUMMYFUNCTION("""COMPUTED_VALUE"""),453.0)</f>
        <v>453</v>
      </c>
      <c r="AH260" s="199">
        <f>IFERROR(__xludf.DUMMYFUNCTION("""COMPUTED_VALUE"""),21.0)</f>
        <v>21</v>
      </c>
      <c r="AI260" s="200" t="str">
        <f>IFERROR(__xludf.DUMMYFUNCTION("""COMPUTED_VALUE"""),"Normal - No Action Required")</f>
        <v>Normal - No Action Required</v>
      </c>
      <c r="AJ260" s="200" t="str">
        <f>IFERROR(__xludf.DUMMYFUNCTION("""COMPUTED_VALUE"""),"Continue routine monitoring and sampling schedule")</f>
        <v>Continue routine monitoring and sampling schedule</v>
      </c>
      <c r="AK260" s="204"/>
      <c r="AL260" s="204"/>
      <c r="AM260" s="204"/>
    </row>
    <row r="261" hidden="1">
      <c r="A261" s="199" t="str">
        <f>IFERROR(__xludf.DUMMYFUNCTION("""COMPUTED_VALUE"""),"R2.432.HT120(T)")</f>
        <v>R2.432.HT120(T)</v>
      </c>
      <c r="B261" s="200" t="str">
        <f>IFERROR(__xludf.DUMMYFUNCTION("""COMPUTED_VALUE"""),"Kiln Hydraulic thrust Tank")</f>
        <v>Kiln Hydraulic thrust Tank</v>
      </c>
      <c r="C261" s="199">
        <f>IFERROR(__xludf.DUMMYFUNCTION("""COMPUTED_VALUE"""),2.5079203204E10)</f>
        <v>25079203204</v>
      </c>
      <c r="D261" s="201">
        <f>IFERROR(__xludf.DUMMYFUNCTION("""COMPUTED_VALUE"""),45726.0)</f>
        <v>45726</v>
      </c>
      <c r="E261" s="202" t="str">
        <f>IFERROR(__xludf.DUMMYFUNCTION("""COMPUTED_VALUE"""),"Caution")</f>
        <v>Caution</v>
      </c>
      <c r="F261" s="202" t="str">
        <f>IFERROR(__xludf.DUMMYFUNCTION("""COMPUTED_VALUE"""),"Normal")</f>
        <v>Normal</v>
      </c>
      <c r="G261" s="203" t="str">
        <f>IFERROR(__xludf.DUMMYFUNCTION("""COMPUTED_VALUE"""),"Normal")</f>
        <v>Normal</v>
      </c>
      <c r="H261" s="203" t="str">
        <f>IFERROR(__xludf.DUMMYFUNCTION("""COMPUTED_VALUE"""),"Caution")</f>
        <v>Caution</v>
      </c>
      <c r="I261" s="37">
        <f>IFERROR(__xludf.DUMMYFUNCTION("""COMPUTED_VALUE"""),7035.0)</f>
        <v>7035</v>
      </c>
      <c r="J261" s="37">
        <f>IFERROR(__xludf.DUMMYFUNCTION("""COMPUTED_VALUE"""),5178.0)</f>
        <v>5178</v>
      </c>
      <c r="K261" s="37">
        <f>IFERROR(__xludf.DUMMYFUNCTION("""COMPUTED_VALUE"""),1163.0)</f>
        <v>1163</v>
      </c>
      <c r="L261" s="199">
        <f>IFERROR(__xludf.DUMMYFUNCTION("""COMPUTED_VALUE"""),5.0)</f>
        <v>5</v>
      </c>
      <c r="M261" s="199">
        <f>IFERROR(__xludf.DUMMYFUNCTION("""COMPUTED_VALUE"""),54.0)</f>
        <v>54</v>
      </c>
      <c r="N261" s="199"/>
      <c r="O261" s="199">
        <f>IFERROR(__xludf.DUMMYFUNCTION("""COMPUTED_VALUE"""),1.0)</f>
        <v>1</v>
      </c>
      <c r="P261" s="37">
        <f>IFERROR(__xludf.DUMMYFUNCTION("""COMPUTED_VALUE"""),0.01)</f>
        <v>0.01</v>
      </c>
      <c r="Q261" s="199">
        <f>IFERROR(__xludf.DUMMYFUNCTION("""COMPUTED_VALUE"""),0.0)</f>
        <v>0</v>
      </c>
      <c r="R261" s="199">
        <f>IFERROR(__xludf.DUMMYFUNCTION("""COMPUTED_VALUE"""),9.0)</f>
        <v>9</v>
      </c>
      <c r="S261" s="199">
        <f>IFERROR(__xludf.DUMMYFUNCTION("""COMPUTED_VALUE"""),1.0)</f>
        <v>1</v>
      </c>
      <c r="T261" s="199">
        <f>IFERROR(__xludf.DUMMYFUNCTION("""COMPUTED_VALUE"""),11.0)</f>
        <v>11</v>
      </c>
      <c r="U261" s="199">
        <f>IFERROR(__xludf.DUMMYFUNCTION("""COMPUTED_VALUE"""),5.0)</f>
        <v>5</v>
      </c>
      <c r="V261" s="199">
        <f>IFERROR(__xludf.DUMMYFUNCTION("""COMPUTED_VALUE"""),0.0)</f>
        <v>0</v>
      </c>
      <c r="W261" s="199">
        <f>IFERROR(__xludf.DUMMYFUNCTION("""COMPUTED_VALUE"""),0.0)</f>
        <v>0</v>
      </c>
      <c r="X261" s="199">
        <f>IFERROR(__xludf.DUMMYFUNCTION("""COMPUTED_VALUE"""),0.0)</f>
        <v>0</v>
      </c>
      <c r="Y261" s="199">
        <f>IFERROR(__xludf.DUMMYFUNCTION("""COMPUTED_VALUE"""),0.0)</f>
        <v>0</v>
      </c>
      <c r="Z261" s="199">
        <f>IFERROR(__xludf.DUMMYFUNCTION("""COMPUTED_VALUE"""),0.0)</f>
        <v>0</v>
      </c>
      <c r="AA261" s="199">
        <f>IFERROR(__xludf.DUMMYFUNCTION("""COMPUTED_VALUE"""),2.0)</f>
        <v>2</v>
      </c>
      <c r="AB261" s="199">
        <f>IFERROR(__xludf.DUMMYFUNCTION("""COMPUTED_VALUE"""),7.0)</f>
        <v>7</v>
      </c>
      <c r="AC261" s="199">
        <f>IFERROR(__xludf.DUMMYFUNCTION("""COMPUTED_VALUE"""),0.0)</f>
        <v>0</v>
      </c>
      <c r="AD261" s="199">
        <f>IFERROR(__xludf.DUMMYFUNCTION("""COMPUTED_VALUE"""),0.0)</f>
        <v>0</v>
      </c>
      <c r="AE261" s="199">
        <f>IFERROR(__xludf.DUMMYFUNCTION("""COMPUTED_VALUE"""),114.0)</f>
        <v>114</v>
      </c>
      <c r="AF261" s="199">
        <f>IFERROR(__xludf.DUMMYFUNCTION("""COMPUTED_VALUE"""),2.0)</f>
        <v>2</v>
      </c>
      <c r="AG261" s="199">
        <f>IFERROR(__xludf.DUMMYFUNCTION("""COMPUTED_VALUE"""),399.0)</f>
        <v>399</v>
      </c>
      <c r="AH261" s="199">
        <f>IFERROR(__xludf.DUMMYFUNCTION("""COMPUTED_VALUE"""),563.0)</f>
        <v>563</v>
      </c>
      <c r="AI261" s="200" t="str">
        <f>IFERROR(__xludf.DUMMYFUNCTION("""COMPUTED_VALUE"""),"Lubricant Condition Caution")</f>
        <v>Lubricant Condition Caution</v>
      </c>
      <c r="AJ261" s="200" t="str">
        <f>IFERROR(__xludf.DUMMYFUNCTION("""COMPUTED_VALUE"""),"Lubricant showing degradation - plan oil change within 3 months")</f>
        <v>Lubricant showing degradation - plan oil change within 3 months</v>
      </c>
      <c r="AK261" s="204"/>
      <c r="AL261" s="204"/>
      <c r="AM261" s="204"/>
    </row>
    <row r="262" hidden="1">
      <c r="A262" s="199" t="str">
        <f>IFERROR(__xludf.DUMMYFUNCTION("""COMPUTED_VALUE"""),"R2.442.FN590")</f>
        <v>R2.442.FN590</v>
      </c>
      <c r="B262" s="200" t="str">
        <f>IFERROR(__xludf.DUMMYFUNCTION("""COMPUTED_VALUE"""),"Clinker Cooler #2 filter Fan")</f>
        <v>Clinker Cooler #2 filter Fan</v>
      </c>
      <c r="C262" s="199">
        <f>IFERROR(__xludf.DUMMYFUNCTION("""COMPUTED_VALUE"""),2.507920321E10)</f>
        <v>25079203210</v>
      </c>
      <c r="D262" s="201">
        <f>IFERROR(__xludf.DUMMYFUNCTION("""COMPUTED_VALUE"""),45726.0)</f>
        <v>45726</v>
      </c>
      <c r="E262" s="202" t="str">
        <f>IFERROR(__xludf.DUMMYFUNCTION("""COMPUTED_VALUE"""),"Caution")</f>
        <v>Caution</v>
      </c>
      <c r="F262" s="202" t="str">
        <f>IFERROR(__xludf.DUMMYFUNCTION("""COMPUTED_VALUE"""),"Caution")</f>
        <v>Caution</v>
      </c>
      <c r="G262" s="203" t="str">
        <f>IFERROR(__xludf.DUMMYFUNCTION("""COMPUTED_VALUE"""),"Normal")</f>
        <v>Normal</v>
      </c>
      <c r="H262" s="203" t="str">
        <f>IFERROR(__xludf.DUMMYFUNCTION("""COMPUTED_VALUE"""),"Normal")</f>
        <v>Normal</v>
      </c>
      <c r="I262" s="37"/>
      <c r="J262" s="37"/>
      <c r="K262" s="37"/>
      <c r="L262" s="199">
        <f>IFERROR(__xludf.DUMMYFUNCTION("""COMPUTED_VALUE"""),11.0)</f>
        <v>11</v>
      </c>
      <c r="M262" s="199">
        <f>IFERROR(__xludf.DUMMYFUNCTION("""COMPUTED_VALUE"""),277.5)</f>
        <v>277.5</v>
      </c>
      <c r="N262" s="199"/>
      <c r="O262" s="199"/>
      <c r="P262" s="37">
        <f>IFERROR(__xludf.DUMMYFUNCTION("""COMPUTED_VALUE"""),0.03)</f>
        <v>0.03</v>
      </c>
      <c r="Q262" s="199">
        <f>IFERROR(__xludf.DUMMYFUNCTION("""COMPUTED_VALUE"""),0.0)</f>
        <v>0</v>
      </c>
      <c r="R262" s="199">
        <f>IFERROR(__xludf.DUMMYFUNCTION("""COMPUTED_VALUE"""),8.0)</f>
        <v>8</v>
      </c>
      <c r="S262" s="199">
        <f>IFERROR(__xludf.DUMMYFUNCTION("""COMPUTED_VALUE"""),1.0)</f>
        <v>1</v>
      </c>
      <c r="T262" s="199">
        <f>IFERROR(__xludf.DUMMYFUNCTION("""COMPUTED_VALUE"""),3.0)</f>
        <v>3</v>
      </c>
      <c r="U262" s="199">
        <f>IFERROR(__xludf.DUMMYFUNCTION("""COMPUTED_VALUE"""),0.0)</f>
        <v>0</v>
      </c>
      <c r="V262" s="199">
        <f>IFERROR(__xludf.DUMMYFUNCTION("""COMPUTED_VALUE"""),0.0)</f>
        <v>0</v>
      </c>
      <c r="W262" s="199">
        <f>IFERROR(__xludf.DUMMYFUNCTION("""COMPUTED_VALUE"""),0.0)</f>
        <v>0</v>
      </c>
      <c r="X262" s="199">
        <f>IFERROR(__xludf.DUMMYFUNCTION("""COMPUTED_VALUE"""),0.0)</f>
        <v>0</v>
      </c>
      <c r="Y262" s="199">
        <f>IFERROR(__xludf.DUMMYFUNCTION("""COMPUTED_VALUE"""),0.0)</f>
        <v>0</v>
      </c>
      <c r="Z262" s="199">
        <f>IFERROR(__xludf.DUMMYFUNCTION("""COMPUTED_VALUE"""),0.0)</f>
        <v>0</v>
      </c>
      <c r="AA262" s="199">
        <f>IFERROR(__xludf.DUMMYFUNCTION("""COMPUTED_VALUE"""),0.0)</f>
        <v>0</v>
      </c>
      <c r="AB262" s="199">
        <f>IFERROR(__xludf.DUMMYFUNCTION("""COMPUTED_VALUE"""),15.0)</f>
        <v>15</v>
      </c>
      <c r="AC262" s="199">
        <f>IFERROR(__xludf.DUMMYFUNCTION("""COMPUTED_VALUE"""),4.0)</f>
        <v>4</v>
      </c>
      <c r="AD262" s="199">
        <f>IFERROR(__xludf.DUMMYFUNCTION("""COMPUTED_VALUE"""),0.0)</f>
        <v>0</v>
      </c>
      <c r="AE262" s="199">
        <f>IFERROR(__xludf.DUMMYFUNCTION("""COMPUTED_VALUE"""),21.0)</f>
        <v>21</v>
      </c>
      <c r="AF262" s="199">
        <f>IFERROR(__xludf.DUMMYFUNCTION("""COMPUTED_VALUE"""),0.0)</f>
        <v>0</v>
      </c>
      <c r="AG262" s="199">
        <f>IFERROR(__xludf.DUMMYFUNCTION("""COMPUTED_VALUE"""),396.0)</f>
        <v>396</v>
      </c>
      <c r="AH262" s="199">
        <f>IFERROR(__xludf.DUMMYFUNCTION("""COMPUTED_VALUE"""),30.0)</f>
        <v>30</v>
      </c>
      <c r="AI262" s="200" t="str">
        <f>IFERROR(__xludf.DUMMYFUNCTION("""COMPUTED_VALUE"""),"General Caution")</f>
        <v>General Caution</v>
      </c>
      <c r="AJ262" s="200" t="str">
        <f>IFERROR(__xludf.DUMMYFUNCTION("""COMPUTED_VALUE"""),"Continue monitoring; resample at next scheduled interval")</f>
        <v>Continue monitoring; resample at next scheduled interval</v>
      </c>
      <c r="AK262" s="204"/>
      <c r="AL262" s="204"/>
      <c r="AM262" s="204"/>
    </row>
    <row r="263" hidden="1">
      <c r="A263" s="199" t="str">
        <f>IFERROR(__xludf.DUMMYFUNCTION("""COMPUTED_VALUE"""),"321.FN400(Fr.B)")</f>
        <v>321.FN400(Fr.B)</v>
      </c>
      <c r="B263" s="200" t="str">
        <f>IFERROR(__xludf.DUMMYFUNCTION("""COMPUTED_VALUE"""),"Raw Mill free bearing")</f>
        <v>Raw Mill free bearing</v>
      </c>
      <c r="C263" s="199">
        <f>IFERROR(__xludf.DUMMYFUNCTION("""COMPUTED_VALUE"""),2.5110204258E10)</f>
        <v>25110204258</v>
      </c>
      <c r="D263" s="201">
        <f>IFERROR(__xludf.DUMMYFUNCTION("""COMPUTED_VALUE"""),45756.0)</f>
        <v>45756</v>
      </c>
      <c r="E263" s="202" t="str">
        <f>IFERROR(__xludf.DUMMYFUNCTION("""COMPUTED_VALUE"""),"Normal")</f>
        <v>Normal</v>
      </c>
      <c r="F263" s="202" t="str">
        <f>IFERROR(__xludf.DUMMYFUNCTION("""COMPUTED_VALUE"""),"Normal")</f>
        <v>Normal</v>
      </c>
      <c r="G263" s="203" t="str">
        <f>IFERROR(__xludf.DUMMYFUNCTION("""COMPUTED_VALUE"""),"Normal")</f>
        <v>Normal</v>
      </c>
      <c r="H263" s="203" t="str">
        <f>IFERROR(__xludf.DUMMYFUNCTION("""COMPUTED_VALUE"""),"Normal")</f>
        <v>Normal</v>
      </c>
      <c r="I263" s="37">
        <f>IFERROR(__xludf.DUMMYFUNCTION("""COMPUTED_VALUE"""),3542.0)</f>
        <v>3542</v>
      </c>
      <c r="J263" s="37">
        <f>IFERROR(__xludf.DUMMYFUNCTION("""COMPUTED_VALUE"""),2098.0)</f>
        <v>2098</v>
      </c>
      <c r="K263" s="37">
        <f>IFERROR(__xludf.DUMMYFUNCTION("""COMPUTED_VALUE"""),978.0)</f>
        <v>978</v>
      </c>
      <c r="L263" s="199">
        <f>IFERROR(__xludf.DUMMYFUNCTION("""COMPUTED_VALUE"""),11.0)</f>
        <v>11</v>
      </c>
      <c r="M263" s="199">
        <f>IFERROR(__xludf.DUMMYFUNCTION("""COMPUTED_VALUE"""),70.9)</f>
        <v>70.9</v>
      </c>
      <c r="N263" s="199"/>
      <c r="O263" s="199">
        <f>IFERROR(__xludf.DUMMYFUNCTION("""COMPUTED_VALUE"""),0.0)</f>
        <v>0</v>
      </c>
      <c r="P263" s="37">
        <f>IFERROR(__xludf.DUMMYFUNCTION("""COMPUTED_VALUE"""),0.01)</f>
        <v>0.01</v>
      </c>
      <c r="Q263" s="199">
        <f>IFERROR(__xludf.DUMMYFUNCTION("""COMPUTED_VALUE"""),0.0)</f>
        <v>0</v>
      </c>
      <c r="R263" s="199">
        <f>IFERROR(__xludf.DUMMYFUNCTION("""COMPUTED_VALUE"""),2.0)</f>
        <v>2</v>
      </c>
      <c r="S263" s="199">
        <f>IFERROR(__xludf.DUMMYFUNCTION("""COMPUTED_VALUE"""),0.0)</f>
        <v>0</v>
      </c>
      <c r="T263" s="199">
        <f>IFERROR(__xludf.DUMMYFUNCTION("""COMPUTED_VALUE"""),0.0)</f>
        <v>0</v>
      </c>
      <c r="U263" s="199">
        <f>IFERROR(__xludf.DUMMYFUNCTION("""COMPUTED_VALUE"""),3.0)</f>
        <v>3</v>
      </c>
      <c r="V263" s="199">
        <f>IFERROR(__xludf.DUMMYFUNCTION("""COMPUTED_VALUE"""),0.0)</f>
        <v>0</v>
      </c>
      <c r="W263" s="199">
        <f>IFERROR(__xludf.DUMMYFUNCTION("""COMPUTED_VALUE"""),0.0)</f>
        <v>0</v>
      </c>
      <c r="X263" s="199">
        <f>IFERROR(__xludf.DUMMYFUNCTION("""COMPUTED_VALUE"""),0.0)</f>
        <v>0</v>
      </c>
      <c r="Y263" s="199">
        <f>IFERROR(__xludf.DUMMYFUNCTION("""COMPUTED_VALUE"""),0.0)</f>
        <v>0</v>
      </c>
      <c r="Z263" s="199">
        <f>IFERROR(__xludf.DUMMYFUNCTION("""COMPUTED_VALUE"""),0.0)</f>
        <v>0</v>
      </c>
      <c r="AA263" s="199">
        <f>IFERROR(__xludf.DUMMYFUNCTION("""COMPUTED_VALUE"""),1.0)</f>
        <v>1</v>
      </c>
      <c r="AB263" s="199">
        <f>IFERROR(__xludf.DUMMYFUNCTION("""COMPUTED_VALUE"""),0.0)</f>
        <v>0</v>
      </c>
      <c r="AC263" s="199">
        <f>IFERROR(__xludf.DUMMYFUNCTION("""COMPUTED_VALUE"""),17.0)</f>
        <v>17</v>
      </c>
      <c r="AD263" s="199">
        <f>IFERROR(__xludf.DUMMYFUNCTION("""COMPUTED_VALUE"""),0.0)</f>
        <v>0</v>
      </c>
      <c r="AE263" s="199">
        <f>IFERROR(__xludf.DUMMYFUNCTION("""COMPUTED_VALUE"""),20.0)</f>
        <v>20</v>
      </c>
      <c r="AF263" s="199">
        <f>IFERROR(__xludf.DUMMYFUNCTION("""COMPUTED_VALUE"""),0.0)</f>
        <v>0</v>
      </c>
      <c r="AG263" s="199">
        <f>IFERROR(__xludf.DUMMYFUNCTION("""COMPUTED_VALUE"""),31.0)</f>
        <v>31</v>
      </c>
      <c r="AH263" s="199">
        <f>IFERROR(__xludf.DUMMYFUNCTION("""COMPUTED_VALUE"""),51.0)</f>
        <v>51</v>
      </c>
      <c r="AI263" s="200" t="str">
        <f>IFERROR(__xludf.DUMMYFUNCTION("""COMPUTED_VALUE"""),"Normal")</f>
        <v>Normal</v>
      </c>
      <c r="AJ263" s="200" t="str">
        <f>IFERROR(__xludf.DUMMYFUNCTION("""COMPUTED_VALUE"""),"All parameters within acceptable limits. ISO Code 19/18/17. Continue routine monitoring.")</f>
        <v>All parameters within acceptable limits. ISO Code 19/18/17. Continue routine monitoring.</v>
      </c>
      <c r="AK263" s="204"/>
      <c r="AL263" s="204"/>
      <c r="AM263" s="204"/>
    </row>
    <row r="264" hidden="1">
      <c r="A264" s="199" t="str">
        <f>IFERROR(__xludf.DUMMYFUNCTION("""COMPUTED_VALUE"""),"321.FN400(Fx.B)")</f>
        <v>321.FN400(Fx.B)</v>
      </c>
      <c r="B264" s="200" t="str">
        <f>IFERROR(__xludf.DUMMYFUNCTION("""COMPUTED_VALUE"""),"Raw Mill fan fixed bearing")</f>
        <v>Raw Mill fan fixed bearing</v>
      </c>
      <c r="C264" s="199">
        <f>IFERROR(__xludf.DUMMYFUNCTION("""COMPUTED_VALUE"""),2.5112224243E10)</f>
        <v>25112224243</v>
      </c>
      <c r="D264" s="201">
        <f>IFERROR(__xludf.DUMMYFUNCTION("""COMPUTED_VALUE"""),45756.0)</f>
        <v>45756</v>
      </c>
      <c r="E264" s="202" t="str">
        <f>IFERROR(__xludf.DUMMYFUNCTION("""COMPUTED_VALUE"""),"Normal")</f>
        <v>Normal</v>
      </c>
      <c r="F264" s="202" t="str">
        <f>IFERROR(__xludf.DUMMYFUNCTION("""COMPUTED_VALUE"""),"Normal")</f>
        <v>Normal</v>
      </c>
      <c r="G264" s="203" t="str">
        <f>IFERROR(__xludf.DUMMYFUNCTION("""COMPUTED_VALUE"""),"Normal")</f>
        <v>Normal</v>
      </c>
      <c r="H264" s="203" t="str">
        <f>IFERROR(__xludf.DUMMYFUNCTION("""COMPUTED_VALUE"""),"Normal")</f>
        <v>Normal</v>
      </c>
      <c r="I264" s="37">
        <f>IFERROR(__xludf.DUMMYFUNCTION("""COMPUTED_VALUE"""),8914.0)</f>
        <v>8914</v>
      </c>
      <c r="J264" s="37">
        <f>IFERROR(__xludf.DUMMYFUNCTION("""COMPUTED_VALUE"""),2160.0)</f>
        <v>2160</v>
      </c>
      <c r="K264" s="37">
        <f>IFERROR(__xludf.DUMMYFUNCTION("""COMPUTED_VALUE"""),894.0)</f>
        <v>894</v>
      </c>
      <c r="L264" s="199">
        <f>IFERROR(__xludf.DUMMYFUNCTION("""COMPUTED_VALUE"""),8.0)</f>
        <v>8</v>
      </c>
      <c r="M264" s="199">
        <f>IFERROR(__xludf.DUMMYFUNCTION("""COMPUTED_VALUE"""),69.9)</f>
        <v>69.9</v>
      </c>
      <c r="N264" s="199"/>
      <c r="O264" s="199">
        <f>IFERROR(__xludf.DUMMYFUNCTION("""COMPUTED_VALUE"""),0.0)</f>
        <v>0</v>
      </c>
      <c r="P264" s="37">
        <f>IFERROR(__xludf.DUMMYFUNCTION("""COMPUTED_VALUE"""),0.01)</f>
        <v>0.01</v>
      </c>
      <c r="Q264" s="199">
        <f>IFERROR(__xludf.DUMMYFUNCTION("""COMPUTED_VALUE"""),0.0)</f>
        <v>0</v>
      </c>
      <c r="R264" s="199">
        <f>IFERROR(__xludf.DUMMYFUNCTION("""COMPUTED_VALUE"""),0.0)</f>
        <v>0</v>
      </c>
      <c r="S264" s="199">
        <f>IFERROR(__xludf.DUMMYFUNCTION("""COMPUTED_VALUE"""),0.0)</f>
        <v>0</v>
      </c>
      <c r="T264" s="199">
        <f>IFERROR(__xludf.DUMMYFUNCTION("""COMPUTED_VALUE"""),1.0)</f>
        <v>1</v>
      </c>
      <c r="U264" s="199">
        <f>IFERROR(__xludf.DUMMYFUNCTION("""COMPUTED_VALUE"""),1.0)</f>
        <v>1</v>
      </c>
      <c r="V264" s="199">
        <f>IFERROR(__xludf.DUMMYFUNCTION("""COMPUTED_VALUE"""),0.0)</f>
        <v>0</v>
      </c>
      <c r="W264" s="199">
        <f>IFERROR(__xludf.DUMMYFUNCTION("""COMPUTED_VALUE"""),0.0)</f>
        <v>0</v>
      </c>
      <c r="X264" s="199">
        <f>IFERROR(__xludf.DUMMYFUNCTION("""COMPUTED_VALUE"""),0.0)</f>
        <v>0</v>
      </c>
      <c r="Y264" s="199">
        <f>IFERROR(__xludf.DUMMYFUNCTION("""COMPUTED_VALUE"""),0.0)</f>
        <v>0</v>
      </c>
      <c r="Z264" s="199">
        <f>IFERROR(__xludf.DUMMYFUNCTION("""COMPUTED_VALUE"""),2.0)</f>
        <v>2</v>
      </c>
      <c r="AA264" s="199">
        <f>IFERROR(__xludf.DUMMYFUNCTION("""COMPUTED_VALUE"""),0.0)</f>
        <v>0</v>
      </c>
      <c r="AB264" s="199">
        <f>IFERROR(__xludf.DUMMYFUNCTION("""COMPUTED_VALUE"""),0.0)</f>
        <v>0</v>
      </c>
      <c r="AC264" s="199">
        <f>IFERROR(__xludf.DUMMYFUNCTION("""COMPUTED_VALUE"""),7.0)</f>
        <v>7</v>
      </c>
      <c r="AD264" s="199">
        <f>IFERROR(__xludf.DUMMYFUNCTION("""COMPUTED_VALUE"""),0.0)</f>
        <v>0</v>
      </c>
      <c r="AE264" s="199">
        <f>IFERROR(__xludf.DUMMYFUNCTION("""COMPUTED_VALUE"""),93.0)</f>
        <v>93</v>
      </c>
      <c r="AF264" s="199">
        <f>IFERROR(__xludf.DUMMYFUNCTION("""COMPUTED_VALUE"""),1.0)</f>
        <v>1</v>
      </c>
      <c r="AG264" s="199">
        <f>IFERROR(__xludf.DUMMYFUNCTION("""COMPUTED_VALUE"""),429.0)</f>
        <v>429</v>
      </c>
      <c r="AH264" s="199">
        <f>IFERROR(__xludf.DUMMYFUNCTION("""COMPUTED_VALUE"""),645.0)</f>
        <v>645</v>
      </c>
      <c r="AI264" s="200" t="str">
        <f>IFERROR(__xludf.DUMMYFUNCTION("""COMPUTED_VALUE"""),"Normal")</f>
        <v>Normal</v>
      </c>
      <c r="AJ264" s="200" t="str">
        <f>IFERROR(__xludf.DUMMYFUNCTION("""COMPUTED_VALUE"""),"All parameters within acceptable limits. ISO Code 19/18/17. Continue routine monitoring.")</f>
        <v>All parameters within acceptable limits. ISO Code 19/18/17. Continue routine monitoring.</v>
      </c>
      <c r="AK264" s="204"/>
      <c r="AL264" s="204"/>
      <c r="AM264" s="204"/>
    </row>
    <row r="265" hidden="1">
      <c r="A265" s="199" t="str">
        <f>IFERROR(__xludf.DUMMYFUNCTION("""COMPUTED_VALUE"""),"R2.322.RF090")</f>
        <v>R2.322.RF090</v>
      </c>
      <c r="B265" s="200" t="str">
        <f>IFERROR(__xludf.DUMMYFUNCTION("""COMPUTED_VALUE"""),"Rotary feeder Gear Box")</f>
        <v>Rotary feeder Gear Box</v>
      </c>
      <c r="C265" s="199">
        <f>IFERROR(__xludf.DUMMYFUNCTION("""COMPUTED_VALUE"""),2.5112224249E10)</f>
        <v>25112224249</v>
      </c>
      <c r="D265" s="201">
        <f>IFERROR(__xludf.DUMMYFUNCTION("""COMPUTED_VALUE"""),45756.0)</f>
        <v>45756</v>
      </c>
      <c r="E265" s="202" t="str">
        <f>IFERROR(__xludf.DUMMYFUNCTION("""COMPUTED_VALUE"""),"Alert")</f>
        <v>Alert</v>
      </c>
      <c r="F265" s="202" t="str">
        <f>IFERROR(__xludf.DUMMYFUNCTION("""COMPUTED_VALUE"""),"Alert")</f>
        <v>Alert</v>
      </c>
      <c r="G265" s="203" t="str">
        <f>IFERROR(__xludf.DUMMYFUNCTION("""COMPUTED_VALUE"""),"Caution")</f>
        <v>Caution</v>
      </c>
      <c r="H265" s="203" t="str">
        <f>IFERROR(__xludf.DUMMYFUNCTION("""COMPUTED_VALUE"""),"Normal")</f>
        <v>Normal</v>
      </c>
      <c r="I265" s="37"/>
      <c r="J265" s="37"/>
      <c r="K265" s="37"/>
      <c r="L265" s="199">
        <f>IFERROR(__xludf.DUMMYFUNCTION("""COMPUTED_VALUE"""),63.0)</f>
        <v>63</v>
      </c>
      <c r="M265" s="199">
        <f>IFERROR(__xludf.DUMMYFUNCTION("""COMPUTED_VALUE"""),97.3)</f>
        <v>97.3</v>
      </c>
      <c r="N265" s="199"/>
      <c r="O265" s="199"/>
      <c r="P265" s="37">
        <f>IFERROR(__xludf.DUMMYFUNCTION("""COMPUTED_VALUE"""),0.02)</f>
        <v>0.02</v>
      </c>
      <c r="Q265" s="199">
        <f>IFERROR(__xludf.DUMMYFUNCTION("""COMPUTED_VALUE"""),0.0)</f>
        <v>0</v>
      </c>
      <c r="R265" s="199">
        <f>IFERROR(__xludf.DUMMYFUNCTION("""COMPUTED_VALUE"""),7.0)</f>
        <v>7</v>
      </c>
      <c r="S265" s="199">
        <f>IFERROR(__xludf.DUMMYFUNCTION("""COMPUTED_VALUE"""),0.0)</f>
        <v>0</v>
      </c>
      <c r="T265" s="199">
        <f>IFERROR(__xludf.DUMMYFUNCTION("""COMPUTED_VALUE"""),8.0)</f>
        <v>8</v>
      </c>
      <c r="U265" s="199">
        <f>IFERROR(__xludf.DUMMYFUNCTION("""COMPUTED_VALUE"""),68.0)</f>
        <v>68</v>
      </c>
      <c r="V265" s="199">
        <f>IFERROR(__xludf.DUMMYFUNCTION("""COMPUTED_VALUE"""),0.0)</f>
        <v>0</v>
      </c>
      <c r="W265" s="199">
        <f>IFERROR(__xludf.DUMMYFUNCTION("""COMPUTED_VALUE"""),0.0)</f>
        <v>0</v>
      </c>
      <c r="X265" s="199">
        <f>IFERROR(__xludf.DUMMYFUNCTION("""COMPUTED_VALUE"""),3.0)</f>
        <v>3</v>
      </c>
      <c r="Y265" s="199">
        <f>IFERROR(__xludf.DUMMYFUNCTION("""COMPUTED_VALUE"""),11.0)</f>
        <v>11</v>
      </c>
      <c r="Z265" s="199">
        <f>IFERROR(__xludf.DUMMYFUNCTION("""COMPUTED_VALUE"""),3.0)</f>
        <v>3</v>
      </c>
      <c r="AA265" s="199">
        <f>IFERROR(__xludf.DUMMYFUNCTION("""COMPUTED_VALUE"""),0.0)</f>
        <v>0</v>
      </c>
      <c r="AB265" s="199">
        <f>IFERROR(__xludf.DUMMYFUNCTION("""COMPUTED_VALUE"""),48.0)</f>
        <v>48</v>
      </c>
      <c r="AC265" s="199">
        <f>IFERROR(__xludf.DUMMYFUNCTION("""COMPUTED_VALUE"""),17.0)</f>
        <v>17</v>
      </c>
      <c r="AD265" s="199">
        <f>IFERROR(__xludf.DUMMYFUNCTION("""COMPUTED_VALUE"""),0.0)</f>
        <v>0</v>
      </c>
      <c r="AE265" s="199">
        <f>IFERROR(__xludf.DUMMYFUNCTION("""COMPUTED_VALUE"""),418.0)</f>
        <v>418</v>
      </c>
      <c r="AF265" s="199">
        <f>IFERROR(__xludf.DUMMYFUNCTION("""COMPUTED_VALUE"""),14.0)</f>
        <v>14</v>
      </c>
      <c r="AG265" s="199">
        <f>IFERROR(__xludf.DUMMYFUNCTION("""COMPUTED_VALUE"""),584.0)</f>
        <v>584</v>
      </c>
      <c r="AH265" s="199">
        <f>IFERROR(__xludf.DUMMYFUNCTION("""COMPUTED_VALUE"""),3.0)</f>
        <v>3</v>
      </c>
      <c r="AI265" s="200" t="str">
        <f>IFERROR(__xludf.DUMMYFUNCTION("""COMPUTED_VALUE"""),"Alert – Critical Fe / Elevated Si / Sn / Equipment Alert")</f>
        <v>Alert – Critical Fe / Elevated Si / Sn / Equipment Alert</v>
      </c>
      <c r="AJ265" s="200" t="str">
        <f>IFERROR(__xludf.DUMMYFUNCTION("""COMPUTED_VALUE"""),"ACTION REQUIRED – Fe 68 ppm (critical), Si 48 ppm (abrasive), Al 7 ppm, Cu 8 ppm, Sn 11 ppm (bearing wear). PQ Index 63. Water 0.020 Vol%. Inspect all components for wear damage. Change oil and replace filters. Contact ExxonMobil representative.")</f>
        <v>ACTION REQUIRED – Fe 68 ppm (critical), Si 48 ppm (abrasive), Al 7 ppm, Cu 8 ppm, Sn 11 ppm (bearing wear). PQ Index 63. Water 0.020 Vol%. Inspect all components for wear damage. Change oil and replace filters. Contact ExxonMobil representative.</v>
      </c>
      <c r="AK265" s="204"/>
      <c r="AL265" s="204"/>
      <c r="AM265" s="204"/>
    </row>
    <row r="266" hidden="1">
      <c r="A266" s="199" t="str">
        <f>IFERROR(__xludf.DUMMYFUNCTION("""COMPUTED_VALUE"""),"321.LQ145 (T)")</f>
        <v>321.LQ145 (T)</v>
      </c>
      <c r="B266" s="200" t="str">
        <f>IFERROR(__xludf.DUMMYFUNCTION("""COMPUTED_VALUE"""),"Gear lubrication pump station Tank")</f>
        <v>Gear lubrication pump station Tank</v>
      </c>
      <c r="C266" s="199">
        <f>IFERROR(__xludf.DUMMYFUNCTION("""COMPUTED_VALUE"""),2.5112224265E10)</f>
        <v>25112224265</v>
      </c>
      <c r="D266" s="201">
        <f>IFERROR(__xludf.DUMMYFUNCTION("""COMPUTED_VALUE"""),45756.0)</f>
        <v>45756</v>
      </c>
      <c r="E266" s="202" t="str">
        <f>IFERROR(__xludf.DUMMYFUNCTION("""COMPUTED_VALUE"""),"Alert")</f>
        <v>Alert</v>
      </c>
      <c r="F266" s="202" t="str">
        <f>IFERROR(__xludf.DUMMYFUNCTION("""COMPUTED_VALUE"""),"Caution")</f>
        <v>Caution</v>
      </c>
      <c r="G266" s="203" t="str">
        <f>IFERROR(__xludf.DUMMYFUNCTION("""COMPUTED_VALUE"""),"Alert")</f>
        <v>Alert</v>
      </c>
      <c r="H266" s="203" t="str">
        <f>IFERROR(__xludf.DUMMYFUNCTION("""COMPUTED_VALUE"""),"Normal")</f>
        <v>Normal</v>
      </c>
      <c r="I266" s="37"/>
      <c r="J266" s="37"/>
      <c r="K266" s="37"/>
      <c r="L266" s="199">
        <f>IFERROR(__xludf.DUMMYFUNCTION("""COMPUTED_VALUE"""),13.0)</f>
        <v>13</v>
      </c>
      <c r="M266" s="199">
        <f>IFERROR(__xludf.DUMMYFUNCTION("""COMPUTED_VALUE"""),306.7)</f>
        <v>306.7</v>
      </c>
      <c r="N266" s="199"/>
      <c r="O266" s="199">
        <f>IFERROR(__xludf.DUMMYFUNCTION("""COMPUTED_VALUE"""),3.0)</f>
        <v>3</v>
      </c>
      <c r="P266" s="37">
        <f>IFERROR(__xludf.DUMMYFUNCTION("""COMPUTED_VALUE"""),0.03)</f>
        <v>0.03</v>
      </c>
      <c r="Q266" s="199">
        <f>IFERROR(__xludf.DUMMYFUNCTION("""COMPUTED_VALUE"""),0.0)</f>
        <v>0</v>
      </c>
      <c r="R266" s="199">
        <f>IFERROR(__xludf.DUMMYFUNCTION("""COMPUTED_VALUE"""),5.0)</f>
        <v>5</v>
      </c>
      <c r="S266" s="199">
        <f>IFERROR(__xludf.DUMMYFUNCTION("""COMPUTED_VALUE"""),0.0)</f>
        <v>0</v>
      </c>
      <c r="T266" s="199">
        <f>IFERROR(__xludf.DUMMYFUNCTION("""COMPUTED_VALUE"""),1.0)</f>
        <v>1</v>
      </c>
      <c r="U266" s="199">
        <f>IFERROR(__xludf.DUMMYFUNCTION("""COMPUTED_VALUE"""),64.0)</f>
        <v>64</v>
      </c>
      <c r="V266" s="199">
        <f>IFERROR(__xludf.DUMMYFUNCTION("""COMPUTED_VALUE"""),0.0)</f>
        <v>0</v>
      </c>
      <c r="W266" s="199">
        <f>IFERROR(__xludf.DUMMYFUNCTION("""COMPUTED_VALUE"""),0.0)</f>
        <v>0</v>
      </c>
      <c r="X266" s="199">
        <f>IFERROR(__xludf.DUMMYFUNCTION("""COMPUTED_VALUE"""),0.0)</f>
        <v>0</v>
      </c>
      <c r="Y266" s="199">
        <f>IFERROR(__xludf.DUMMYFUNCTION("""COMPUTED_VALUE"""),2.0)</f>
        <v>2</v>
      </c>
      <c r="Z266" s="199">
        <f>IFERROR(__xludf.DUMMYFUNCTION("""COMPUTED_VALUE"""),0.0)</f>
        <v>0</v>
      </c>
      <c r="AA266" s="199">
        <f>IFERROR(__xludf.DUMMYFUNCTION("""COMPUTED_VALUE"""),3.0)</f>
        <v>3</v>
      </c>
      <c r="AB266" s="199">
        <f>IFERROR(__xludf.DUMMYFUNCTION("""COMPUTED_VALUE"""),5.0)</f>
        <v>5</v>
      </c>
      <c r="AC266" s="199">
        <f>IFERROR(__xludf.DUMMYFUNCTION("""COMPUTED_VALUE"""),17.0)</f>
        <v>17</v>
      </c>
      <c r="AD266" s="199">
        <f>IFERROR(__xludf.DUMMYFUNCTION("""COMPUTED_VALUE"""),0.0)</f>
        <v>0</v>
      </c>
      <c r="AE266" s="199">
        <f>IFERROR(__xludf.DUMMYFUNCTION("""COMPUTED_VALUE"""),34.0)</f>
        <v>34</v>
      </c>
      <c r="AF266" s="199">
        <f>IFERROR(__xludf.DUMMYFUNCTION("""COMPUTED_VALUE"""),0.0)</f>
        <v>0</v>
      </c>
      <c r="AG266" s="199">
        <f>IFERROR(__xludf.DUMMYFUNCTION("""COMPUTED_VALUE"""),387.0)</f>
        <v>387</v>
      </c>
      <c r="AH266" s="199">
        <f>IFERROR(__xludf.DUMMYFUNCTION("""COMPUTED_VALUE"""),58.0)</f>
        <v>58</v>
      </c>
      <c r="AI266" s="200" t="str">
        <f>IFERROR(__xludf.DUMMYFUNCTION("""COMPUTED_VALUE"""),"Alert – Critical Fe / Oxidation / Equipment Alert")</f>
        <v>Alert – Critical Fe / Oxidation / Equipment Alert</v>
      </c>
      <c r="AJ266" s="200" t="str">
        <f>IFERROR(__xludf.DUMMYFUNCTION("""COMPUTED_VALUE"""),"ACTION REQUIRED – Fe 64 ppm (critical), oxidation 3 Ab/cm. Al 5 ppm, Na 3 ppm, Sn 2 ppm. Inspect equipment for wear damage. Change oil immediately. Identify source of Fe contamination. Contact ExxonMobil representative.")</f>
        <v>ACTION REQUIRED – Fe 64 ppm (critical), oxidation 3 Ab/cm. Al 5 ppm, Na 3 ppm, Sn 2 ppm. Inspect equipment for wear damage. Change oil immediately. Identify source of Fe contamination. Contact ExxonMobil representative.</v>
      </c>
      <c r="AK266" s="204"/>
      <c r="AL266" s="204"/>
      <c r="AM266" s="204"/>
    </row>
    <row r="267" hidden="1">
      <c r="A267" s="199" t="str">
        <f>IFERROR(__xludf.DUMMYFUNCTION("""COMPUTED_VALUE"""),"131.BC500 (M01)")</f>
        <v>131.BC500 (M01)</v>
      </c>
      <c r="B267" s="200" t="str">
        <f>IFERROR(__xludf.DUMMYFUNCTION("""COMPUTED_VALUE"""),"Belt Conveyor Gearbox")</f>
        <v>Belt Conveyor Gearbox</v>
      </c>
      <c r="C267" s="199">
        <f>IFERROR(__xludf.DUMMYFUNCTION("""COMPUTED_VALUE"""),2.5112224215E10)</f>
        <v>25112224215</v>
      </c>
      <c r="D267" s="201">
        <f>IFERROR(__xludf.DUMMYFUNCTION("""COMPUTED_VALUE"""),45756.0)</f>
        <v>45756</v>
      </c>
      <c r="E267" s="202" t="str">
        <f>IFERROR(__xludf.DUMMYFUNCTION("""COMPUTED_VALUE"""),"Normal")</f>
        <v>Normal</v>
      </c>
      <c r="F267" s="202" t="str">
        <f>IFERROR(__xludf.DUMMYFUNCTION("""COMPUTED_VALUE"""),"Normal")</f>
        <v>Normal</v>
      </c>
      <c r="G267" s="203" t="str">
        <f>IFERROR(__xludf.DUMMYFUNCTION("""COMPUTED_VALUE"""),"Normal")</f>
        <v>Normal</v>
      </c>
      <c r="H267" s="203" t="str">
        <f>IFERROR(__xludf.DUMMYFUNCTION("""COMPUTED_VALUE"""),"Normal")</f>
        <v>Normal</v>
      </c>
      <c r="I267" s="37">
        <f>IFERROR(__xludf.DUMMYFUNCTION("""COMPUTED_VALUE"""),22365.0)</f>
        <v>22365</v>
      </c>
      <c r="J267" s="37">
        <f>IFERROR(__xludf.DUMMYFUNCTION("""COMPUTED_VALUE"""),4251.0)</f>
        <v>4251</v>
      </c>
      <c r="K267" s="37">
        <f>IFERROR(__xludf.DUMMYFUNCTION("""COMPUTED_VALUE"""),2032.0)</f>
        <v>2032</v>
      </c>
      <c r="L267" s="199">
        <f>IFERROR(__xludf.DUMMYFUNCTION("""COMPUTED_VALUE"""),15.0)</f>
        <v>15</v>
      </c>
      <c r="M267" s="199">
        <f>IFERROR(__xludf.DUMMYFUNCTION("""COMPUTED_VALUE"""),221.0)</f>
        <v>221</v>
      </c>
      <c r="N267" s="199"/>
      <c r="O267" s="199"/>
      <c r="P267" s="37">
        <f>IFERROR(__xludf.DUMMYFUNCTION("""COMPUTED_VALUE"""),0.02)</f>
        <v>0.02</v>
      </c>
      <c r="Q267" s="199">
        <f>IFERROR(__xludf.DUMMYFUNCTION("""COMPUTED_VALUE"""),0.0)</f>
        <v>0</v>
      </c>
      <c r="R267" s="199">
        <f>IFERROR(__xludf.DUMMYFUNCTION("""COMPUTED_VALUE"""),0.0)</f>
        <v>0</v>
      </c>
      <c r="S267" s="199">
        <f>IFERROR(__xludf.DUMMYFUNCTION("""COMPUTED_VALUE"""),0.0)</f>
        <v>0</v>
      </c>
      <c r="T267" s="199">
        <f>IFERROR(__xludf.DUMMYFUNCTION("""COMPUTED_VALUE"""),0.0)</f>
        <v>0</v>
      </c>
      <c r="U267" s="199">
        <f>IFERROR(__xludf.DUMMYFUNCTION("""COMPUTED_VALUE"""),12.0)</f>
        <v>12</v>
      </c>
      <c r="V267" s="199">
        <f>IFERROR(__xludf.DUMMYFUNCTION("""COMPUTED_VALUE"""),0.0)</f>
        <v>0</v>
      </c>
      <c r="W267" s="199">
        <f>IFERROR(__xludf.DUMMYFUNCTION("""COMPUTED_VALUE"""),0.0)</f>
        <v>0</v>
      </c>
      <c r="X267" s="199">
        <f>IFERROR(__xludf.DUMMYFUNCTION("""COMPUTED_VALUE"""),0.0)</f>
        <v>0</v>
      </c>
      <c r="Y267" s="199">
        <f>IFERROR(__xludf.DUMMYFUNCTION("""COMPUTED_VALUE"""),0.0)</f>
        <v>0</v>
      </c>
      <c r="Z267" s="199">
        <f>IFERROR(__xludf.DUMMYFUNCTION("""COMPUTED_VALUE"""),0.0)</f>
        <v>0</v>
      </c>
      <c r="AA267" s="199">
        <f>IFERROR(__xludf.DUMMYFUNCTION("""COMPUTED_VALUE"""),0.0)</f>
        <v>0</v>
      </c>
      <c r="AB267" s="199">
        <f>IFERROR(__xludf.DUMMYFUNCTION("""COMPUTED_VALUE"""),17.0)</f>
        <v>17</v>
      </c>
      <c r="AC267" s="199">
        <f>IFERROR(__xludf.DUMMYFUNCTION("""COMPUTED_VALUE"""),5.0)</f>
        <v>5</v>
      </c>
      <c r="AD267" s="199">
        <f>IFERROR(__xludf.DUMMYFUNCTION("""COMPUTED_VALUE"""),0.0)</f>
        <v>0</v>
      </c>
      <c r="AE267" s="199">
        <f>IFERROR(__xludf.DUMMYFUNCTION("""COMPUTED_VALUE"""),56.0)</f>
        <v>56</v>
      </c>
      <c r="AF267" s="199">
        <f>IFERROR(__xludf.DUMMYFUNCTION("""COMPUTED_VALUE"""),0.0)</f>
        <v>0</v>
      </c>
      <c r="AG267" s="199">
        <f>IFERROR(__xludf.DUMMYFUNCTION("""COMPUTED_VALUE"""),596.0)</f>
        <v>596</v>
      </c>
      <c r="AH267" s="199">
        <f>IFERROR(__xludf.DUMMYFUNCTION("""COMPUTED_VALUE"""),21.0)</f>
        <v>21</v>
      </c>
      <c r="AI267" s="200" t="str">
        <f>IFERROR(__xludf.DUMMYFUNCTION("""COMPUTED_VALUE"""),"Normal - No Action Required")</f>
        <v>Normal - No Action Required</v>
      </c>
      <c r="AJ267" s="200" t="str">
        <f>IFERROR(__xludf.DUMMYFUNCTION("""COMPUTED_VALUE"""),"Continue routine monitoring and sampling schedule")</f>
        <v>Continue routine monitoring and sampling schedule</v>
      </c>
      <c r="AK267" s="204"/>
      <c r="AL267" s="204"/>
      <c r="AM267" s="204"/>
    </row>
    <row r="268" hidden="1">
      <c r="A268" s="199" t="str">
        <f>IFERROR(__xludf.DUMMYFUNCTION("""COMPUTED_VALUE"""),"131.BC500 (M02)")</f>
        <v>131.BC500 (M02)</v>
      </c>
      <c r="B268" s="200" t="str">
        <f>IFERROR(__xludf.DUMMYFUNCTION("""COMPUTED_VALUE"""),"Belt Conveyor Gearbox")</f>
        <v>Belt Conveyor Gearbox</v>
      </c>
      <c r="C268" s="199">
        <f>IFERROR(__xludf.DUMMYFUNCTION("""COMPUTED_VALUE"""),2.5112224212E10)</f>
        <v>25112224212</v>
      </c>
      <c r="D268" s="201">
        <f>IFERROR(__xludf.DUMMYFUNCTION("""COMPUTED_VALUE"""),45756.0)</f>
        <v>45756</v>
      </c>
      <c r="E268" s="202" t="str">
        <f>IFERROR(__xludf.DUMMYFUNCTION("""COMPUTED_VALUE"""),"Normal")</f>
        <v>Normal</v>
      </c>
      <c r="F268" s="202" t="str">
        <f>IFERROR(__xludf.DUMMYFUNCTION("""COMPUTED_VALUE"""),"Normal")</f>
        <v>Normal</v>
      </c>
      <c r="G268" s="203" t="str">
        <f>IFERROR(__xludf.DUMMYFUNCTION("""COMPUTED_VALUE"""),"Normal")</f>
        <v>Normal</v>
      </c>
      <c r="H268" s="203" t="str">
        <f>IFERROR(__xludf.DUMMYFUNCTION("""COMPUTED_VALUE"""),"Normal")</f>
        <v>Normal</v>
      </c>
      <c r="I268" s="37">
        <f>IFERROR(__xludf.DUMMYFUNCTION("""COMPUTED_VALUE"""),29451.0)</f>
        <v>29451</v>
      </c>
      <c r="J268" s="37">
        <f>IFERROR(__xludf.DUMMYFUNCTION("""COMPUTED_VALUE"""),5214.0)</f>
        <v>5214</v>
      </c>
      <c r="K268" s="37">
        <f>IFERROR(__xludf.DUMMYFUNCTION("""COMPUTED_VALUE"""),2301.0)</f>
        <v>2301</v>
      </c>
      <c r="L268" s="199">
        <f>IFERROR(__xludf.DUMMYFUNCTION("""COMPUTED_VALUE"""),20.0)</f>
        <v>20</v>
      </c>
      <c r="M268" s="199">
        <f>IFERROR(__xludf.DUMMYFUNCTION("""COMPUTED_VALUE"""),222.0)</f>
        <v>222</v>
      </c>
      <c r="N268" s="199"/>
      <c r="O268" s="199"/>
      <c r="P268" s="37">
        <f>IFERROR(__xludf.DUMMYFUNCTION("""COMPUTED_VALUE"""),0.02)</f>
        <v>0.02</v>
      </c>
      <c r="Q268" s="199">
        <f>IFERROR(__xludf.DUMMYFUNCTION("""COMPUTED_VALUE"""),0.0)</f>
        <v>0</v>
      </c>
      <c r="R268" s="199">
        <f>IFERROR(__xludf.DUMMYFUNCTION("""COMPUTED_VALUE"""),0.0)</f>
        <v>0</v>
      </c>
      <c r="S268" s="199">
        <f>IFERROR(__xludf.DUMMYFUNCTION("""COMPUTED_VALUE"""),0.0)</f>
        <v>0</v>
      </c>
      <c r="T268" s="199">
        <f>IFERROR(__xludf.DUMMYFUNCTION("""COMPUTED_VALUE"""),0.0)</f>
        <v>0</v>
      </c>
      <c r="U268" s="199">
        <f>IFERROR(__xludf.DUMMYFUNCTION("""COMPUTED_VALUE"""),10.0)</f>
        <v>10</v>
      </c>
      <c r="V268" s="199">
        <f>IFERROR(__xludf.DUMMYFUNCTION("""COMPUTED_VALUE"""),0.0)</f>
        <v>0</v>
      </c>
      <c r="W268" s="199">
        <f>IFERROR(__xludf.DUMMYFUNCTION("""COMPUTED_VALUE"""),0.0)</f>
        <v>0</v>
      </c>
      <c r="X268" s="199">
        <f>IFERROR(__xludf.DUMMYFUNCTION("""COMPUTED_VALUE"""),0.0)</f>
        <v>0</v>
      </c>
      <c r="Y268" s="199">
        <f>IFERROR(__xludf.DUMMYFUNCTION("""COMPUTED_VALUE"""),0.0)</f>
        <v>0</v>
      </c>
      <c r="Z268" s="199">
        <f>IFERROR(__xludf.DUMMYFUNCTION("""COMPUTED_VALUE"""),0.0)</f>
        <v>0</v>
      </c>
      <c r="AA268" s="199">
        <f>IFERROR(__xludf.DUMMYFUNCTION("""COMPUTED_VALUE"""),0.0)</f>
        <v>0</v>
      </c>
      <c r="AB268" s="199">
        <f>IFERROR(__xludf.DUMMYFUNCTION("""COMPUTED_VALUE"""),15.0)</f>
        <v>15</v>
      </c>
      <c r="AC268" s="199">
        <f>IFERROR(__xludf.DUMMYFUNCTION("""COMPUTED_VALUE"""),4.0)</f>
        <v>4</v>
      </c>
      <c r="AD268" s="199">
        <f>IFERROR(__xludf.DUMMYFUNCTION("""COMPUTED_VALUE"""),0.0)</f>
        <v>0</v>
      </c>
      <c r="AE268" s="199">
        <f>IFERROR(__xludf.DUMMYFUNCTION("""COMPUTED_VALUE"""),42.0)</f>
        <v>42</v>
      </c>
      <c r="AF268" s="199">
        <f>IFERROR(__xludf.DUMMYFUNCTION("""COMPUTED_VALUE"""),0.0)</f>
        <v>0</v>
      </c>
      <c r="AG268" s="199">
        <f>IFERROR(__xludf.DUMMYFUNCTION("""COMPUTED_VALUE"""),662.0)</f>
        <v>662</v>
      </c>
      <c r="AH268" s="199">
        <f>IFERROR(__xludf.DUMMYFUNCTION("""COMPUTED_VALUE"""),10.0)</f>
        <v>10</v>
      </c>
      <c r="AI268" s="200" t="str">
        <f>IFERROR(__xludf.DUMMYFUNCTION("""COMPUTED_VALUE"""),"Normal - No Action Required")</f>
        <v>Normal - No Action Required</v>
      </c>
      <c r="AJ268" s="200" t="str">
        <f>IFERROR(__xludf.DUMMYFUNCTION("""COMPUTED_VALUE"""),"Continue routine monitoring and sampling schedule")</f>
        <v>Continue routine monitoring and sampling schedule</v>
      </c>
      <c r="AK268" s="204"/>
      <c r="AL268" s="204"/>
      <c r="AM268" s="204"/>
    </row>
    <row r="269">
      <c r="A269" s="199" t="str">
        <f>IFERROR(__xludf.DUMMYFUNCTION("""COMPUTED_VALUE"""),"131.ST200 (HY)")</f>
        <v>131.ST200 (HY)</v>
      </c>
      <c r="B269" s="200" t="str">
        <f>IFERROR(__xludf.DUMMYFUNCTION("""COMPUTED_VALUE"""),"Jib arm Hydraulic Pump Station")</f>
        <v>Jib arm Hydraulic Pump Station</v>
      </c>
      <c r="C269" s="199">
        <f>IFERROR(__xludf.DUMMYFUNCTION("""COMPUTED_VALUE"""),2.5112224245E10)</f>
        <v>25112224245</v>
      </c>
      <c r="D269" s="201">
        <f>IFERROR(__xludf.DUMMYFUNCTION("""COMPUTED_VALUE"""),45756.0)</f>
        <v>45756</v>
      </c>
      <c r="E269" s="202" t="str">
        <f>IFERROR(__xludf.DUMMYFUNCTION("""COMPUTED_VALUE"""),"Normal")</f>
        <v>Normal</v>
      </c>
      <c r="F269" s="202" t="str">
        <f>IFERROR(__xludf.DUMMYFUNCTION("""COMPUTED_VALUE"""),"Normal")</f>
        <v>Normal</v>
      </c>
      <c r="G269" s="203" t="str">
        <f>IFERROR(__xludf.DUMMYFUNCTION("""COMPUTED_VALUE"""),"Normal")</f>
        <v>Normal</v>
      </c>
      <c r="H269" s="203" t="str">
        <f>IFERROR(__xludf.DUMMYFUNCTION("""COMPUTED_VALUE"""),"Normal")</f>
        <v>Normal</v>
      </c>
      <c r="I269" s="199">
        <f>IFERROR(__xludf.DUMMYFUNCTION("""COMPUTED_VALUE"""),2998.0)</f>
        <v>2998</v>
      </c>
      <c r="J269" s="199">
        <f>IFERROR(__xludf.DUMMYFUNCTION("""COMPUTED_VALUE"""),1563.0)</f>
        <v>1563</v>
      </c>
      <c r="K269" s="199">
        <f>IFERROR(__xludf.DUMMYFUNCTION("""COMPUTED_VALUE"""),1210.0)</f>
        <v>1210</v>
      </c>
      <c r="L269" s="199">
        <f>IFERROR(__xludf.DUMMYFUNCTION("""COMPUTED_VALUE"""),12.0)</f>
        <v>12</v>
      </c>
      <c r="M269" s="199">
        <f>IFERROR(__xludf.DUMMYFUNCTION("""COMPUTED_VALUE"""),45.8)</f>
        <v>45.8</v>
      </c>
      <c r="N269" s="199"/>
      <c r="O269" s="199">
        <f>IFERROR(__xludf.DUMMYFUNCTION("""COMPUTED_VALUE"""),0.0)</f>
        <v>0</v>
      </c>
      <c r="P269" s="37">
        <f>IFERROR(__xludf.DUMMYFUNCTION("""COMPUTED_VALUE"""),0.01)</f>
        <v>0.01</v>
      </c>
      <c r="Q269" s="199">
        <f>IFERROR(__xludf.DUMMYFUNCTION("""COMPUTED_VALUE"""),0.0)</f>
        <v>0</v>
      </c>
      <c r="R269" s="199">
        <f>IFERROR(__xludf.DUMMYFUNCTION("""COMPUTED_VALUE"""),0.0)</f>
        <v>0</v>
      </c>
      <c r="S269" s="199">
        <f>IFERROR(__xludf.DUMMYFUNCTION("""COMPUTED_VALUE"""),0.0)</f>
        <v>0</v>
      </c>
      <c r="T269" s="199">
        <f>IFERROR(__xludf.DUMMYFUNCTION("""COMPUTED_VALUE"""),1.0)</f>
        <v>1</v>
      </c>
      <c r="U269" s="199">
        <f>IFERROR(__xludf.DUMMYFUNCTION("""COMPUTED_VALUE"""),0.0)</f>
        <v>0</v>
      </c>
      <c r="V269" s="199">
        <f>IFERROR(__xludf.DUMMYFUNCTION("""COMPUTED_VALUE"""),0.0)</f>
        <v>0</v>
      </c>
      <c r="W269" s="199">
        <f>IFERROR(__xludf.DUMMYFUNCTION("""COMPUTED_VALUE"""),0.0)</f>
        <v>0</v>
      </c>
      <c r="X269" s="199">
        <f>IFERROR(__xludf.DUMMYFUNCTION("""COMPUTED_VALUE"""),0.0)</f>
        <v>0</v>
      </c>
      <c r="Y269" s="199">
        <f>IFERROR(__xludf.DUMMYFUNCTION("""COMPUTED_VALUE"""),0.0)</f>
        <v>0</v>
      </c>
      <c r="Z269" s="199">
        <f>IFERROR(__xludf.DUMMYFUNCTION("""COMPUTED_VALUE"""),2.0)</f>
        <v>2</v>
      </c>
      <c r="AA269" s="199">
        <f>IFERROR(__xludf.DUMMYFUNCTION("""COMPUTED_VALUE"""),0.0)</f>
        <v>0</v>
      </c>
      <c r="AB269" s="199">
        <f>IFERROR(__xludf.DUMMYFUNCTION("""COMPUTED_VALUE"""),0.0)</f>
        <v>0</v>
      </c>
      <c r="AC269" s="199">
        <f>IFERROR(__xludf.DUMMYFUNCTION("""COMPUTED_VALUE"""),3.0)</f>
        <v>3</v>
      </c>
      <c r="AD269" s="199">
        <f>IFERROR(__xludf.DUMMYFUNCTION("""COMPUTED_VALUE"""),0.0)</f>
        <v>0</v>
      </c>
      <c r="AE269" s="199">
        <f>IFERROR(__xludf.DUMMYFUNCTION("""COMPUTED_VALUE"""),91.0)</f>
        <v>91</v>
      </c>
      <c r="AF269" s="199">
        <f>IFERROR(__xludf.DUMMYFUNCTION("""COMPUTED_VALUE"""),1.0)</f>
        <v>1</v>
      </c>
      <c r="AG269" s="199">
        <f>IFERROR(__xludf.DUMMYFUNCTION("""COMPUTED_VALUE"""),424.0)</f>
        <v>424</v>
      </c>
      <c r="AH269" s="199">
        <f>IFERROR(__xludf.DUMMYFUNCTION("""COMPUTED_VALUE"""),637.0)</f>
        <v>637</v>
      </c>
      <c r="AI269" s="200" t="str">
        <f>IFERROR(__xludf.DUMMYFUNCTION("""COMPUTED_VALUE"""),"Normal - No Action Required")</f>
        <v>Normal - No Action Required</v>
      </c>
      <c r="AJ269" s="200" t="str">
        <f>IFERROR(__xludf.DUMMYFUNCTION("""COMPUTED_VALUE"""),"Continue routine monitoring and sampling schedule")</f>
        <v>Continue routine monitoring and sampling schedule</v>
      </c>
      <c r="AK269" s="204"/>
      <c r="AL269" s="204"/>
      <c r="AM269" s="204"/>
    </row>
    <row r="270" hidden="1">
      <c r="A270" s="199" t="str">
        <f>IFERROR(__xludf.DUMMYFUNCTION("""COMPUTED_VALUE"""),"321.LQ120 (T)")</f>
        <v>321.LQ120 (T)</v>
      </c>
      <c r="B270" s="200" t="str">
        <f>IFERROR(__xludf.DUMMYFUNCTION("""COMPUTED_VALUE"""),"Roller Lubrication Unit (Tank)")</f>
        <v>Roller Lubrication Unit (Tank)</v>
      </c>
      <c r="C270" s="199">
        <f>IFERROR(__xludf.DUMMYFUNCTION("""COMPUTED_VALUE"""),2.511222422E10)</f>
        <v>25112224220</v>
      </c>
      <c r="D270" s="201">
        <f>IFERROR(__xludf.DUMMYFUNCTION("""COMPUTED_VALUE"""),45756.0)</f>
        <v>45756</v>
      </c>
      <c r="E270" s="202" t="str">
        <f>IFERROR(__xludf.DUMMYFUNCTION("""COMPUTED_VALUE"""),"Alert")</f>
        <v>Alert</v>
      </c>
      <c r="F270" s="202" t="str">
        <f>IFERROR(__xludf.DUMMYFUNCTION("""COMPUTED_VALUE"""),"Normal")</f>
        <v>Normal</v>
      </c>
      <c r="G270" s="203" t="str">
        <f>IFERROR(__xludf.DUMMYFUNCTION("""COMPUTED_VALUE"""),"Alert")</f>
        <v>Alert</v>
      </c>
      <c r="H270" s="203" t="str">
        <f>IFERROR(__xludf.DUMMYFUNCTION("""COMPUTED_VALUE"""),"Normal")</f>
        <v>Normal</v>
      </c>
      <c r="I270" s="37"/>
      <c r="J270" s="37"/>
      <c r="K270" s="37"/>
      <c r="L270" s="199">
        <f>IFERROR(__xludf.DUMMYFUNCTION("""COMPUTED_VALUE"""),68.0)</f>
        <v>68</v>
      </c>
      <c r="M270" s="199">
        <f>IFERROR(__xludf.DUMMYFUNCTION("""COMPUTED_VALUE"""),91.2)</f>
        <v>91.2</v>
      </c>
      <c r="N270" s="199"/>
      <c r="O270" s="199"/>
      <c r="P270" s="37">
        <f>IFERROR(__xludf.DUMMYFUNCTION("""COMPUTED_VALUE"""),0.02)</f>
        <v>0.02</v>
      </c>
      <c r="Q270" s="199">
        <f>IFERROR(__xludf.DUMMYFUNCTION("""COMPUTED_VALUE"""),0.0)</f>
        <v>0</v>
      </c>
      <c r="R270" s="199">
        <f>IFERROR(__xludf.DUMMYFUNCTION("""COMPUTED_VALUE"""),0.0)</f>
        <v>0</v>
      </c>
      <c r="S270" s="199">
        <f>IFERROR(__xludf.DUMMYFUNCTION("""COMPUTED_VALUE"""),0.0)</f>
        <v>0</v>
      </c>
      <c r="T270" s="199">
        <f>IFERROR(__xludf.DUMMYFUNCTION("""COMPUTED_VALUE"""),81.0)</f>
        <v>81</v>
      </c>
      <c r="U270" s="199">
        <f>IFERROR(__xludf.DUMMYFUNCTION("""COMPUTED_VALUE"""),6.0)</f>
        <v>6</v>
      </c>
      <c r="V270" s="199">
        <f>IFERROR(__xludf.DUMMYFUNCTION("""COMPUTED_VALUE"""),0.0)</f>
        <v>0</v>
      </c>
      <c r="W270" s="199">
        <f>IFERROR(__xludf.DUMMYFUNCTION("""COMPUTED_VALUE"""),0.0)</f>
        <v>0</v>
      </c>
      <c r="X270" s="199">
        <f>IFERROR(__xludf.DUMMYFUNCTION("""COMPUTED_VALUE"""),0.0)</f>
        <v>0</v>
      </c>
      <c r="Y270" s="199">
        <f>IFERROR(__xludf.DUMMYFUNCTION("""COMPUTED_VALUE"""),4.0)</f>
        <v>4</v>
      </c>
      <c r="Z270" s="199">
        <f>IFERROR(__xludf.DUMMYFUNCTION("""COMPUTED_VALUE"""),0.0)</f>
        <v>0</v>
      </c>
      <c r="AA270" s="199">
        <f>IFERROR(__xludf.DUMMYFUNCTION("""COMPUTED_VALUE"""),0.0)</f>
        <v>0</v>
      </c>
      <c r="AB270" s="199">
        <f>IFERROR(__xludf.DUMMYFUNCTION("""COMPUTED_VALUE"""),5.0)</f>
        <v>5</v>
      </c>
      <c r="AC270" s="199">
        <f>IFERROR(__xludf.DUMMYFUNCTION("""COMPUTED_VALUE"""),4.0)</f>
        <v>4</v>
      </c>
      <c r="AD270" s="199">
        <f>IFERROR(__xludf.DUMMYFUNCTION("""COMPUTED_VALUE"""),1.0)</f>
        <v>1</v>
      </c>
      <c r="AE270" s="199">
        <f>IFERROR(__xludf.DUMMYFUNCTION("""COMPUTED_VALUE"""),22.0)</f>
        <v>22</v>
      </c>
      <c r="AF270" s="199">
        <f>IFERROR(__xludf.DUMMYFUNCTION("""COMPUTED_VALUE"""),0.0)</f>
        <v>0</v>
      </c>
      <c r="AG270" s="199">
        <f>IFERROR(__xludf.DUMMYFUNCTION("""COMPUTED_VALUE"""),299.0)</f>
        <v>299</v>
      </c>
      <c r="AH270" s="199">
        <f>IFERROR(__xludf.DUMMYFUNCTION("""COMPUTED_VALUE"""),3.0)</f>
        <v>3</v>
      </c>
      <c r="AI270" s="200" t="str">
        <f>IFERROR(__xludf.DUMMYFUNCTION("""COMPUTED_VALUE"""),"Wear Metal Alert")</f>
        <v>Wear Metal Alert</v>
      </c>
      <c r="AJ270" s="200" t="str">
        <f>IFERROR(__xludf.DUMMYFUNCTION("""COMPUTED_VALUE"""),"URGENT: Inspect equipment immediately for wear/damage")</f>
        <v>URGENT: Inspect equipment immediately for wear/damage</v>
      </c>
      <c r="AK270" s="204"/>
      <c r="AL270" s="204"/>
      <c r="AM270" s="204"/>
    </row>
    <row r="271" hidden="1">
      <c r="A271" s="199" t="str">
        <f>IFERROR(__xludf.DUMMYFUNCTION("""COMPUTED_VALUE"""),"331.FN110(Fx.B.)")</f>
        <v>331.FN110(Fx.B.)</v>
      </c>
      <c r="B271" s="200" t="str">
        <f>IFERROR(__xludf.DUMMYFUNCTION("""COMPUTED_VALUE"""),"ID fan fixed bearing")</f>
        <v>ID fan fixed bearing</v>
      </c>
      <c r="C271" s="199">
        <f>IFERROR(__xludf.DUMMYFUNCTION("""COMPUTED_VALUE"""),2.5110204224E10)</f>
        <v>25110204224</v>
      </c>
      <c r="D271" s="201">
        <f>IFERROR(__xludf.DUMMYFUNCTION("""COMPUTED_VALUE"""),45756.0)</f>
        <v>45756</v>
      </c>
      <c r="E271" s="202" t="str">
        <f>IFERROR(__xludf.DUMMYFUNCTION("""COMPUTED_VALUE"""),"Normal")</f>
        <v>Normal</v>
      </c>
      <c r="F271" s="202" t="str">
        <f>IFERROR(__xludf.DUMMYFUNCTION("""COMPUTED_VALUE"""),"Normal")</f>
        <v>Normal</v>
      </c>
      <c r="G271" s="203" t="str">
        <f>IFERROR(__xludf.DUMMYFUNCTION("""COMPUTED_VALUE"""),"Normal")</f>
        <v>Normal</v>
      </c>
      <c r="H271" s="203" t="str">
        <f>IFERROR(__xludf.DUMMYFUNCTION("""COMPUTED_VALUE"""),"Normal")</f>
        <v>Normal</v>
      </c>
      <c r="I271" s="37">
        <f>IFERROR(__xludf.DUMMYFUNCTION("""COMPUTED_VALUE"""),3154.0)</f>
        <v>3154</v>
      </c>
      <c r="J271" s="37">
        <f>IFERROR(__xludf.DUMMYFUNCTION("""COMPUTED_VALUE"""),1589.0)</f>
        <v>1589</v>
      </c>
      <c r="K271" s="37">
        <f>IFERROR(__xludf.DUMMYFUNCTION("""COMPUTED_VALUE"""),897.0)</f>
        <v>897</v>
      </c>
      <c r="L271" s="199">
        <f>IFERROR(__xludf.DUMMYFUNCTION("""COMPUTED_VALUE"""),10.0)</f>
        <v>10</v>
      </c>
      <c r="M271" s="199">
        <f>IFERROR(__xludf.DUMMYFUNCTION("""COMPUTED_VALUE"""),63.4)</f>
        <v>63.4</v>
      </c>
      <c r="N271" s="199"/>
      <c r="O271" s="199">
        <f>IFERROR(__xludf.DUMMYFUNCTION("""COMPUTED_VALUE"""),0.0)</f>
        <v>0</v>
      </c>
      <c r="P271" s="37">
        <f>IFERROR(__xludf.DUMMYFUNCTION("""COMPUTED_VALUE"""),0.01)</f>
        <v>0.01</v>
      </c>
      <c r="Q271" s="199">
        <f>IFERROR(__xludf.DUMMYFUNCTION("""COMPUTED_VALUE"""),0.0)</f>
        <v>0</v>
      </c>
      <c r="R271" s="199">
        <f>IFERROR(__xludf.DUMMYFUNCTION("""COMPUTED_VALUE"""),0.0)</f>
        <v>0</v>
      </c>
      <c r="S271" s="199">
        <f>IFERROR(__xludf.DUMMYFUNCTION("""COMPUTED_VALUE"""),0.0)</f>
        <v>0</v>
      </c>
      <c r="T271" s="199">
        <f>IFERROR(__xludf.DUMMYFUNCTION("""COMPUTED_VALUE"""),3.0)</f>
        <v>3</v>
      </c>
      <c r="U271" s="199">
        <f>IFERROR(__xludf.DUMMYFUNCTION("""COMPUTED_VALUE"""),1.0)</f>
        <v>1</v>
      </c>
      <c r="V271" s="199">
        <f>IFERROR(__xludf.DUMMYFUNCTION("""COMPUTED_VALUE"""),0.0)</f>
        <v>0</v>
      </c>
      <c r="W271" s="199">
        <f>IFERROR(__xludf.DUMMYFUNCTION("""COMPUTED_VALUE"""),0.0)</f>
        <v>0</v>
      </c>
      <c r="X271" s="199">
        <f>IFERROR(__xludf.DUMMYFUNCTION("""COMPUTED_VALUE"""),0.0)</f>
        <v>0</v>
      </c>
      <c r="Y271" s="199">
        <f>IFERROR(__xludf.DUMMYFUNCTION("""COMPUTED_VALUE"""),0.0)</f>
        <v>0</v>
      </c>
      <c r="Z271" s="199">
        <f>IFERROR(__xludf.DUMMYFUNCTION("""COMPUTED_VALUE"""),0.0)</f>
        <v>0</v>
      </c>
      <c r="AA271" s="199">
        <f>IFERROR(__xludf.DUMMYFUNCTION("""COMPUTED_VALUE"""),0.0)</f>
        <v>0</v>
      </c>
      <c r="AB271" s="199">
        <f>IFERROR(__xludf.DUMMYFUNCTION("""COMPUTED_VALUE"""),1.0)</f>
        <v>1</v>
      </c>
      <c r="AC271" s="199">
        <f>IFERROR(__xludf.DUMMYFUNCTION("""COMPUTED_VALUE"""),4.0)</f>
        <v>4</v>
      </c>
      <c r="AD271" s="199">
        <f>IFERROR(__xludf.DUMMYFUNCTION("""COMPUTED_VALUE"""),0.0)</f>
        <v>0</v>
      </c>
      <c r="AE271" s="199">
        <f>IFERROR(__xludf.DUMMYFUNCTION("""COMPUTED_VALUE"""),80.0)</f>
        <v>80</v>
      </c>
      <c r="AF271" s="199">
        <f>IFERROR(__xludf.DUMMYFUNCTION("""COMPUTED_VALUE"""),0.0)</f>
        <v>0</v>
      </c>
      <c r="AG271" s="199">
        <f>IFERROR(__xludf.DUMMYFUNCTION("""COMPUTED_VALUE"""),418.0)</f>
        <v>418</v>
      </c>
      <c r="AH271" s="199">
        <f>IFERROR(__xludf.DUMMYFUNCTION("""COMPUTED_VALUE"""),689.0)</f>
        <v>689</v>
      </c>
      <c r="AI271" s="200" t="str">
        <f>IFERROR(__xludf.DUMMYFUNCTION("""COMPUTED_VALUE"""),"Normal - No Action Required")</f>
        <v>Normal - No Action Required</v>
      </c>
      <c r="AJ271" s="200" t="str">
        <f>IFERROR(__xludf.DUMMYFUNCTION("""COMPUTED_VALUE"""),"Continue routine monitoring and sampling schedule")</f>
        <v>Continue routine monitoring and sampling schedule</v>
      </c>
      <c r="AK271" s="204"/>
      <c r="AL271" s="204"/>
      <c r="AM271" s="204"/>
    </row>
    <row r="272" hidden="1">
      <c r="A272" s="199" t="str">
        <f>IFERROR(__xludf.DUMMYFUNCTION("""COMPUTED_VALUE"""),"531.MD302")</f>
        <v>531.MD302</v>
      </c>
      <c r="B272" s="200" t="str">
        <f>IFERROR(__xludf.DUMMYFUNCTION("""COMPUTED_VALUE"""),"Cement Mill #1 Separator GB")</f>
        <v>Cement Mill #1 Separator GB</v>
      </c>
      <c r="C272" s="199">
        <f>IFERROR(__xludf.DUMMYFUNCTION("""COMPUTED_VALUE"""),2.5112224211E10)</f>
        <v>25112224211</v>
      </c>
      <c r="D272" s="201">
        <f>IFERROR(__xludf.DUMMYFUNCTION("""COMPUTED_VALUE"""),45756.0)</f>
        <v>45756</v>
      </c>
      <c r="E272" s="202" t="str">
        <f>IFERROR(__xludf.DUMMYFUNCTION("""COMPUTED_VALUE"""),"Normal")</f>
        <v>Normal</v>
      </c>
      <c r="F272" s="202" t="str">
        <f>IFERROR(__xludf.DUMMYFUNCTION("""COMPUTED_VALUE"""),"Normal")</f>
        <v>Normal</v>
      </c>
      <c r="G272" s="203" t="str">
        <f>IFERROR(__xludf.DUMMYFUNCTION("""COMPUTED_VALUE"""),"Normal")</f>
        <v>Normal</v>
      </c>
      <c r="H272" s="203" t="str">
        <f>IFERROR(__xludf.DUMMYFUNCTION("""COMPUTED_VALUE"""),"Normal")</f>
        <v>Normal</v>
      </c>
      <c r="I272" s="37">
        <f>IFERROR(__xludf.DUMMYFUNCTION("""COMPUTED_VALUE"""),32541.0)</f>
        <v>32541</v>
      </c>
      <c r="J272" s="37">
        <f>IFERROR(__xludf.DUMMYFUNCTION("""COMPUTED_VALUE"""),4257.0)</f>
        <v>4257</v>
      </c>
      <c r="K272" s="37">
        <f>IFERROR(__xludf.DUMMYFUNCTION("""COMPUTED_VALUE"""),2101.0)</f>
        <v>2101</v>
      </c>
      <c r="L272" s="199">
        <f>IFERROR(__xludf.DUMMYFUNCTION("""COMPUTED_VALUE"""),13.0)</f>
        <v>13</v>
      </c>
      <c r="M272" s="199">
        <f>IFERROR(__xludf.DUMMYFUNCTION("""COMPUTED_VALUE"""),295.1)</f>
        <v>295.1</v>
      </c>
      <c r="N272" s="199"/>
      <c r="O272" s="199"/>
      <c r="P272" s="37">
        <f>IFERROR(__xludf.DUMMYFUNCTION("""COMPUTED_VALUE"""),0.02)</f>
        <v>0.02</v>
      </c>
      <c r="Q272" s="199">
        <f>IFERROR(__xludf.DUMMYFUNCTION("""COMPUTED_VALUE"""),0.0)</f>
        <v>0</v>
      </c>
      <c r="R272" s="199">
        <f>IFERROR(__xludf.DUMMYFUNCTION("""COMPUTED_VALUE"""),0.0)</f>
        <v>0</v>
      </c>
      <c r="S272" s="199">
        <f>IFERROR(__xludf.DUMMYFUNCTION("""COMPUTED_VALUE"""),0.0)</f>
        <v>0</v>
      </c>
      <c r="T272" s="199">
        <f>IFERROR(__xludf.DUMMYFUNCTION("""COMPUTED_VALUE"""),0.0)</f>
        <v>0</v>
      </c>
      <c r="U272" s="199">
        <f>IFERROR(__xludf.DUMMYFUNCTION("""COMPUTED_VALUE"""),6.0)</f>
        <v>6</v>
      </c>
      <c r="V272" s="199">
        <f>IFERROR(__xludf.DUMMYFUNCTION("""COMPUTED_VALUE"""),0.0)</f>
        <v>0</v>
      </c>
      <c r="W272" s="199">
        <f>IFERROR(__xludf.DUMMYFUNCTION("""COMPUTED_VALUE"""),0.0)</f>
        <v>0</v>
      </c>
      <c r="X272" s="199">
        <f>IFERROR(__xludf.DUMMYFUNCTION("""COMPUTED_VALUE"""),0.0)</f>
        <v>0</v>
      </c>
      <c r="Y272" s="199">
        <f>IFERROR(__xludf.DUMMYFUNCTION("""COMPUTED_VALUE"""),0.0)</f>
        <v>0</v>
      </c>
      <c r="Z272" s="199">
        <f>IFERROR(__xludf.DUMMYFUNCTION("""COMPUTED_VALUE"""),0.0)</f>
        <v>0</v>
      </c>
      <c r="AA272" s="199">
        <f>IFERROR(__xludf.DUMMYFUNCTION("""COMPUTED_VALUE"""),2.0)</f>
        <v>2</v>
      </c>
      <c r="AB272" s="199">
        <f>IFERROR(__xludf.DUMMYFUNCTION("""COMPUTED_VALUE"""),12.0)</f>
        <v>12</v>
      </c>
      <c r="AC272" s="199">
        <f>IFERROR(__xludf.DUMMYFUNCTION("""COMPUTED_VALUE"""),25.0)</f>
        <v>25</v>
      </c>
      <c r="AD272" s="199">
        <f>IFERROR(__xludf.DUMMYFUNCTION("""COMPUTED_VALUE"""),0.0)</f>
        <v>0</v>
      </c>
      <c r="AE272" s="199">
        <f>IFERROR(__xludf.DUMMYFUNCTION("""COMPUTED_VALUE"""),37.0)</f>
        <v>37</v>
      </c>
      <c r="AF272" s="199">
        <f>IFERROR(__xludf.DUMMYFUNCTION("""COMPUTED_VALUE"""),0.0)</f>
        <v>0</v>
      </c>
      <c r="AG272" s="199">
        <f>IFERROR(__xludf.DUMMYFUNCTION("""COMPUTED_VALUE"""),409.0)</f>
        <v>409</v>
      </c>
      <c r="AH272" s="199">
        <f>IFERROR(__xludf.DUMMYFUNCTION("""COMPUTED_VALUE"""),54.0)</f>
        <v>54</v>
      </c>
      <c r="AI272" s="200" t="str">
        <f>IFERROR(__xludf.DUMMYFUNCTION("""COMPUTED_VALUE"""),"Normal - No Action Required")</f>
        <v>Normal - No Action Required</v>
      </c>
      <c r="AJ272" s="200" t="str">
        <f>IFERROR(__xludf.DUMMYFUNCTION("""COMPUTED_VALUE"""),"Continue routine monitoring and sampling schedule")</f>
        <v>Continue routine monitoring and sampling schedule</v>
      </c>
      <c r="AK272" s="204"/>
      <c r="AL272" s="204"/>
      <c r="AM272" s="204"/>
    </row>
    <row r="273" hidden="1">
      <c r="A273" s="199" t="str">
        <f>IFERROR(__xludf.DUMMYFUNCTION("""COMPUTED_VALUE"""),"534.LQ145 GearBox")</f>
        <v>534.LQ145 GearBox</v>
      </c>
      <c r="B273" s="200" t="str">
        <f>IFERROR(__xludf.DUMMYFUNCTION("""COMPUTED_VALUE"""),"Cement Mill #4 Gear box")</f>
        <v>Cement Mill #4 Gear box</v>
      </c>
      <c r="C273" s="199">
        <f>IFERROR(__xludf.DUMMYFUNCTION("""COMPUTED_VALUE"""),2.5112224251E10)</f>
        <v>25112224251</v>
      </c>
      <c r="D273" s="201">
        <f>IFERROR(__xludf.DUMMYFUNCTION("""COMPUTED_VALUE"""),45756.0)</f>
        <v>45756</v>
      </c>
      <c r="E273" s="202" t="str">
        <f>IFERROR(__xludf.DUMMYFUNCTION("""COMPUTED_VALUE"""),"Alert")</f>
        <v>Alert</v>
      </c>
      <c r="F273" s="202" t="str">
        <f>IFERROR(__xludf.DUMMYFUNCTION("""COMPUTED_VALUE"""),"Alert")</f>
        <v>Alert</v>
      </c>
      <c r="G273" s="203" t="str">
        <f>IFERROR(__xludf.DUMMYFUNCTION("""COMPUTED_VALUE"""),"Alert")</f>
        <v>Alert</v>
      </c>
      <c r="H273" s="203" t="str">
        <f>IFERROR(__xludf.DUMMYFUNCTION("""COMPUTED_VALUE"""),"Normal")</f>
        <v>Normal</v>
      </c>
      <c r="I273" s="37"/>
      <c r="J273" s="37"/>
      <c r="K273" s="37"/>
      <c r="L273" s="199">
        <f>IFERROR(__xludf.DUMMYFUNCTION("""COMPUTED_VALUE"""),83.0)</f>
        <v>83</v>
      </c>
      <c r="M273" s="199">
        <f>IFERROR(__xludf.DUMMYFUNCTION("""COMPUTED_VALUE"""),445.6)</f>
        <v>445.6</v>
      </c>
      <c r="N273" s="199"/>
      <c r="O273" s="199">
        <f>IFERROR(__xludf.DUMMYFUNCTION("""COMPUTED_VALUE"""),3.0)</f>
        <v>3</v>
      </c>
      <c r="P273" s="37">
        <f>IFERROR(__xludf.DUMMYFUNCTION("""COMPUTED_VALUE"""),0.02)</f>
        <v>0.02</v>
      </c>
      <c r="Q273" s="199">
        <f>IFERROR(__xludf.DUMMYFUNCTION("""COMPUTED_VALUE"""),0.0)</f>
        <v>0</v>
      </c>
      <c r="R273" s="199">
        <f>IFERROR(__xludf.DUMMYFUNCTION("""COMPUTED_VALUE"""),7.0)</f>
        <v>7</v>
      </c>
      <c r="S273" s="199">
        <f>IFERROR(__xludf.DUMMYFUNCTION("""COMPUTED_VALUE"""),0.0)</f>
        <v>0</v>
      </c>
      <c r="T273" s="199">
        <f>IFERROR(__xludf.DUMMYFUNCTION("""COMPUTED_VALUE"""),6.0)</f>
        <v>6</v>
      </c>
      <c r="U273" s="199">
        <f>IFERROR(__xludf.DUMMYFUNCTION("""COMPUTED_VALUE"""),72.0)</f>
        <v>72</v>
      </c>
      <c r="V273" s="199">
        <f>IFERROR(__xludf.DUMMYFUNCTION("""COMPUTED_VALUE"""),0.0)</f>
        <v>0</v>
      </c>
      <c r="W273" s="199">
        <f>IFERROR(__xludf.DUMMYFUNCTION("""COMPUTED_VALUE"""),0.0)</f>
        <v>0</v>
      </c>
      <c r="X273" s="199">
        <f>IFERROR(__xludf.DUMMYFUNCTION("""COMPUTED_VALUE"""),1.0)</f>
        <v>1</v>
      </c>
      <c r="Y273" s="199">
        <f>IFERROR(__xludf.DUMMYFUNCTION("""COMPUTED_VALUE"""),5.0)</f>
        <v>5</v>
      </c>
      <c r="Z273" s="199">
        <f>IFERROR(__xludf.DUMMYFUNCTION("""COMPUTED_VALUE"""),5.0)</f>
        <v>5</v>
      </c>
      <c r="AA273" s="199">
        <f>IFERROR(__xludf.DUMMYFUNCTION("""COMPUTED_VALUE"""),4.0)</f>
        <v>4</v>
      </c>
      <c r="AB273" s="199">
        <f>IFERROR(__xludf.DUMMYFUNCTION("""COMPUTED_VALUE"""),37.0)</f>
        <v>37</v>
      </c>
      <c r="AC273" s="199">
        <f>IFERROR(__xludf.DUMMYFUNCTION("""COMPUTED_VALUE"""),23.0)</f>
        <v>23</v>
      </c>
      <c r="AD273" s="199">
        <f>IFERROR(__xludf.DUMMYFUNCTION("""COMPUTED_VALUE"""),0.0)</f>
        <v>0</v>
      </c>
      <c r="AE273" s="199">
        <f>IFERROR(__xludf.DUMMYFUNCTION("""COMPUTED_VALUE"""),21.0)</f>
        <v>21</v>
      </c>
      <c r="AF273" s="199">
        <f>IFERROR(__xludf.DUMMYFUNCTION("""COMPUTED_VALUE"""),13.0)</f>
        <v>13</v>
      </c>
      <c r="AG273" s="199">
        <f>IFERROR(__xludf.DUMMYFUNCTION("""COMPUTED_VALUE"""),408.0)</f>
        <v>408</v>
      </c>
      <c r="AH273" s="199">
        <f>IFERROR(__xludf.DUMMYFUNCTION("""COMPUTED_VALUE"""),5.0)</f>
        <v>5</v>
      </c>
      <c r="AI273" s="200" t="str">
        <f>IFERROR(__xludf.DUMMYFUNCTION("""COMPUTED_VALUE"""),"Wear Metal Alert")</f>
        <v>Wear Metal Alert</v>
      </c>
      <c r="AJ273" s="200" t="str">
        <f>IFERROR(__xludf.DUMMYFUNCTION("""COMPUTED_VALUE"""),"URGENT: Inspect equipment immediately for wear/damage; Elevated silicon - inspect filters and seals for contamination; High particle count - replace filters and resample")</f>
        <v>URGENT: Inspect equipment immediately for wear/damage; Elevated silicon - inspect filters and seals for contamination; High particle count - replace filters and resample</v>
      </c>
      <c r="AK273" s="204"/>
      <c r="AL273" s="204"/>
      <c r="AM273" s="204"/>
    </row>
    <row r="274" hidden="1">
      <c r="A274" s="199" t="str">
        <f>IFERROR(__xludf.DUMMYFUNCTION("""COMPUTED_VALUE"""),"131.RE300")</f>
        <v>131.RE300</v>
      </c>
      <c r="B274" s="200" t="str">
        <f>IFERROR(__xludf.DUMMYFUNCTION("""COMPUTED_VALUE"""),"Take up unit Tank for Scraper Chain")</f>
        <v>Take up unit Tank for Scraper Chain</v>
      </c>
      <c r="C274" s="199">
        <f>IFERROR(__xludf.DUMMYFUNCTION("""COMPUTED_VALUE"""),2.5112224246E10)</f>
        <v>25112224246</v>
      </c>
      <c r="D274" s="201">
        <f>IFERROR(__xludf.DUMMYFUNCTION("""COMPUTED_VALUE"""),45756.0)</f>
        <v>45756</v>
      </c>
      <c r="E274" s="202" t="str">
        <f>IFERROR(__xludf.DUMMYFUNCTION("""COMPUTED_VALUE"""),"Normal")</f>
        <v>Normal</v>
      </c>
      <c r="F274" s="202" t="str">
        <f>IFERROR(__xludf.DUMMYFUNCTION("""COMPUTED_VALUE"""),"Normal")</f>
        <v>Normal</v>
      </c>
      <c r="G274" s="203" t="str">
        <f>IFERROR(__xludf.DUMMYFUNCTION("""COMPUTED_VALUE"""),"Normal")</f>
        <v>Normal</v>
      </c>
      <c r="H274" s="203" t="str">
        <f>IFERROR(__xludf.DUMMYFUNCTION("""COMPUTED_VALUE"""),"Normal")</f>
        <v>Normal</v>
      </c>
      <c r="I274" s="37">
        <f>IFERROR(__xludf.DUMMYFUNCTION("""COMPUTED_VALUE"""),2765.0)</f>
        <v>2765</v>
      </c>
      <c r="J274" s="37">
        <f>IFERROR(__xludf.DUMMYFUNCTION("""COMPUTED_VALUE"""),1432.0)</f>
        <v>1432</v>
      </c>
      <c r="K274" s="37">
        <f>IFERROR(__xludf.DUMMYFUNCTION("""COMPUTED_VALUE"""),1001.0)</f>
        <v>1001</v>
      </c>
      <c r="L274" s="199">
        <f>IFERROR(__xludf.DUMMYFUNCTION("""COMPUTED_VALUE"""),12.0)</f>
        <v>12</v>
      </c>
      <c r="M274" s="199">
        <f>IFERROR(__xludf.DUMMYFUNCTION("""COMPUTED_VALUE"""),46.8)</f>
        <v>46.8</v>
      </c>
      <c r="N274" s="199"/>
      <c r="O274" s="199">
        <f>IFERROR(__xludf.DUMMYFUNCTION("""COMPUTED_VALUE"""),0.0)</f>
        <v>0</v>
      </c>
      <c r="P274" s="37">
        <f>IFERROR(__xludf.DUMMYFUNCTION("""COMPUTED_VALUE"""),0.01)</f>
        <v>0.01</v>
      </c>
      <c r="Q274" s="199">
        <f>IFERROR(__xludf.DUMMYFUNCTION("""COMPUTED_VALUE"""),0.0)</f>
        <v>0</v>
      </c>
      <c r="R274" s="199">
        <f>IFERROR(__xludf.DUMMYFUNCTION("""COMPUTED_VALUE"""),0.0)</f>
        <v>0</v>
      </c>
      <c r="S274" s="199">
        <f>IFERROR(__xludf.DUMMYFUNCTION("""COMPUTED_VALUE"""),0.0)</f>
        <v>0</v>
      </c>
      <c r="T274" s="199">
        <f>IFERROR(__xludf.DUMMYFUNCTION("""COMPUTED_VALUE"""),0.0)</f>
        <v>0</v>
      </c>
      <c r="U274" s="199">
        <f>IFERROR(__xludf.DUMMYFUNCTION("""COMPUTED_VALUE"""),0.0)</f>
        <v>0</v>
      </c>
      <c r="V274" s="199">
        <f>IFERROR(__xludf.DUMMYFUNCTION("""COMPUTED_VALUE"""),0.0)</f>
        <v>0</v>
      </c>
      <c r="W274" s="199">
        <f>IFERROR(__xludf.DUMMYFUNCTION("""COMPUTED_VALUE"""),0.0)</f>
        <v>0</v>
      </c>
      <c r="X274" s="199">
        <f>IFERROR(__xludf.DUMMYFUNCTION("""COMPUTED_VALUE"""),0.0)</f>
        <v>0</v>
      </c>
      <c r="Y274" s="199">
        <f>IFERROR(__xludf.DUMMYFUNCTION("""COMPUTED_VALUE"""),0.0)</f>
        <v>0</v>
      </c>
      <c r="Z274" s="199">
        <f>IFERROR(__xludf.DUMMYFUNCTION("""COMPUTED_VALUE"""),1.0)</f>
        <v>1</v>
      </c>
      <c r="AA274" s="199">
        <f>IFERROR(__xludf.DUMMYFUNCTION("""COMPUTED_VALUE"""),0.0)</f>
        <v>0</v>
      </c>
      <c r="AB274" s="199">
        <f>IFERROR(__xludf.DUMMYFUNCTION("""COMPUTED_VALUE"""),0.0)</f>
        <v>0</v>
      </c>
      <c r="AC274" s="199">
        <f>IFERROR(__xludf.DUMMYFUNCTION("""COMPUTED_VALUE"""),3.0)</f>
        <v>3</v>
      </c>
      <c r="AD274" s="199">
        <f>IFERROR(__xludf.DUMMYFUNCTION("""COMPUTED_VALUE"""),0.0)</f>
        <v>0</v>
      </c>
      <c r="AE274" s="199">
        <f>IFERROR(__xludf.DUMMYFUNCTION("""COMPUTED_VALUE"""),87.0)</f>
        <v>87</v>
      </c>
      <c r="AF274" s="199">
        <f>IFERROR(__xludf.DUMMYFUNCTION("""COMPUTED_VALUE"""),0.0)</f>
        <v>0</v>
      </c>
      <c r="AG274" s="199">
        <f>IFERROR(__xludf.DUMMYFUNCTION("""COMPUTED_VALUE"""),359.0)</f>
        <v>359</v>
      </c>
      <c r="AH274" s="199">
        <f>IFERROR(__xludf.DUMMYFUNCTION("""COMPUTED_VALUE"""),646.0)</f>
        <v>646</v>
      </c>
      <c r="AI274" s="200" t="str">
        <f>IFERROR(__xludf.DUMMYFUNCTION("""COMPUTED_VALUE"""),"Normal - No Action Required")</f>
        <v>Normal - No Action Required</v>
      </c>
      <c r="AJ274" s="200" t="str">
        <f>IFERROR(__xludf.DUMMYFUNCTION("""COMPUTED_VALUE"""),"Continue routine monitoring and sampling schedule")</f>
        <v>Continue routine monitoring and sampling schedule</v>
      </c>
      <c r="AK274" s="204"/>
      <c r="AL274" s="204"/>
      <c r="AM274" s="204"/>
    </row>
    <row r="275" hidden="1">
      <c r="A275" s="199" t="str">
        <f>IFERROR(__xludf.DUMMYFUNCTION("""COMPUTED_VALUE"""),"131.RE300.M11")</f>
        <v>131.RE300.M11</v>
      </c>
      <c r="B275" s="200" t="str">
        <f>IFERROR(__xludf.DUMMYFUNCTION("""COMPUTED_VALUE"""),"Reclaimer Chain Scraper gearbox")</f>
        <v>Reclaimer Chain Scraper gearbox</v>
      </c>
      <c r="C275" s="199">
        <f>IFERROR(__xludf.DUMMYFUNCTION("""COMPUTED_VALUE"""),2.5112224268E10)</f>
        <v>25112224268</v>
      </c>
      <c r="D275" s="201">
        <f>IFERROR(__xludf.DUMMYFUNCTION("""COMPUTED_VALUE"""),45756.0)</f>
        <v>45756</v>
      </c>
      <c r="E275" s="202" t="str">
        <f>IFERROR(__xludf.DUMMYFUNCTION("""COMPUTED_VALUE"""),"Caution")</f>
        <v>Caution</v>
      </c>
      <c r="F275" s="202" t="str">
        <f>IFERROR(__xludf.DUMMYFUNCTION("""COMPUTED_VALUE"""),"Caution")</f>
        <v>Caution</v>
      </c>
      <c r="G275" s="203" t="str">
        <f>IFERROR(__xludf.DUMMYFUNCTION("""COMPUTED_VALUE"""),"Normal")</f>
        <v>Normal</v>
      </c>
      <c r="H275" s="203" t="str">
        <f>IFERROR(__xludf.DUMMYFUNCTION("""COMPUTED_VALUE"""),"Normal")</f>
        <v>Normal</v>
      </c>
      <c r="I275" s="37"/>
      <c r="J275" s="37"/>
      <c r="K275" s="37"/>
      <c r="L275" s="199">
        <f>IFERROR(__xludf.DUMMYFUNCTION("""COMPUTED_VALUE"""),68.0)</f>
        <v>68</v>
      </c>
      <c r="M275" s="199">
        <f>IFERROR(__xludf.DUMMYFUNCTION("""COMPUTED_VALUE"""),273.8)</f>
        <v>273.8</v>
      </c>
      <c r="N275" s="199"/>
      <c r="O275" s="199">
        <f>IFERROR(__xludf.DUMMYFUNCTION("""COMPUTED_VALUE"""),2.0)</f>
        <v>2</v>
      </c>
      <c r="P275" s="37">
        <f>IFERROR(__xludf.DUMMYFUNCTION("""COMPUTED_VALUE"""),0.02)</f>
        <v>0.02</v>
      </c>
      <c r="Q275" s="199">
        <f>IFERROR(__xludf.DUMMYFUNCTION("""COMPUTED_VALUE"""),0.0)</f>
        <v>0</v>
      </c>
      <c r="R275" s="199">
        <f>IFERROR(__xludf.DUMMYFUNCTION("""COMPUTED_VALUE"""),7.0)</f>
        <v>7</v>
      </c>
      <c r="S275" s="199">
        <f>IFERROR(__xludf.DUMMYFUNCTION("""COMPUTED_VALUE"""),0.0)</f>
        <v>0</v>
      </c>
      <c r="T275" s="199">
        <f>IFERROR(__xludf.DUMMYFUNCTION("""COMPUTED_VALUE"""),0.0)</f>
        <v>0</v>
      </c>
      <c r="U275" s="199">
        <f>IFERROR(__xludf.DUMMYFUNCTION("""COMPUTED_VALUE"""),96.0)</f>
        <v>96</v>
      </c>
      <c r="V275" s="199">
        <f>IFERROR(__xludf.DUMMYFUNCTION("""COMPUTED_VALUE"""),0.0)</f>
        <v>0</v>
      </c>
      <c r="W275" s="199">
        <f>IFERROR(__xludf.DUMMYFUNCTION("""COMPUTED_VALUE"""),0.0)</f>
        <v>0</v>
      </c>
      <c r="X275" s="199">
        <f>IFERROR(__xludf.DUMMYFUNCTION("""COMPUTED_VALUE"""),0.0)</f>
        <v>0</v>
      </c>
      <c r="Y275" s="199">
        <f>IFERROR(__xludf.DUMMYFUNCTION("""COMPUTED_VALUE"""),0.0)</f>
        <v>0</v>
      </c>
      <c r="Z275" s="199">
        <f>IFERROR(__xludf.DUMMYFUNCTION("""COMPUTED_VALUE"""),2.0)</f>
        <v>2</v>
      </c>
      <c r="AA275" s="199">
        <f>IFERROR(__xludf.DUMMYFUNCTION("""COMPUTED_VALUE"""),0.0)</f>
        <v>0</v>
      </c>
      <c r="AB275" s="199">
        <f>IFERROR(__xludf.DUMMYFUNCTION("""COMPUTED_VALUE"""),33.0)</f>
        <v>33</v>
      </c>
      <c r="AC275" s="199">
        <f>IFERROR(__xludf.DUMMYFUNCTION("""COMPUTED_VALUE"""),15.0)</f>
        <v>15</v>
      </c>
      <c r="AD275" s="199">
        <f>IFERROR(__xludf.DUMMYFUNCTION("""COMPUTED_VALUE"""),0.0)</f>
        <v>0</v>
      </c>
      <c r="AE275" s="199">
        <f>IFERROR(__xludf.DUMMYFUNCTION("""COMPUTED_VALUE"""),218.0)</f>
        <v>218</v>
      </c>
      <c r="AF275" s="199">
        <f>IFERROR(__xludf.DUMMYFUNCTION("""COMPUTED_VALUE"""),4.0)</f>
        <v>4</v>
      </c>
      <c r="AG275" s="199">
        <f>IFERROR(__xludf.DUMMYFUNCTION("""COMPUTED_VALUE"""),332.0)</f>
        <v>332</v>
      </c>
      <c r="AH275" s="199">
        <f>IFERROR(__xludf.DUMMYFUNCTION("""COMPUTED_VALUE"""),37.0)</f>
        <v>37</v>
      </c>
      <c r="AI275" s="200" t="str">
        <f>IFERROR(__xludf.DUMMYFUNCTION("""COMPUTED_VALUE"""),"Wear Metal Caution | Contamination Caution")</f>
        <v>Wear Metal Caution | Contamination Caution</v>
      </c>
      <c r="AJ275" s="200" t="str">
        <f>IFERROR(__xludf.DUMMYFUNCTION("""COMPUTED_VALUE"""),"Elevated wear metals - monitor trend; inspect at next opportunity; Oxidation increasing - monitor and plan oil change; Silicon elevated - check air filtration and seals")</f>
        <v>Elevated wear metals - monitor trend; inspect at next opportunity; Oxidation increasing - monitor and plan oil change; Silicon elevated - check air filtration and seals</v>
      </c>
      <c r="AK275" s="204"/>
      <c r="AL275" s="204"/>
      <c r="AM275" s="204"/>
    </row>
    <row r="276" hidden="1">
      <c r="A276" s="199" t="str">
        <f>IFERROR(__xludf.DUMMYFUNCTION("""COMPUTED_VALUE"""),"261.SH050 (T)")</f>
        <v>261.SH050 (T)</v>
      </c>
      <c r="B276" s="200" t="str">
        <f>IFERROR(__xludf.DUMMYFUNCTION("""COMPUTED_VALUE"""),"Shredder - Hydraulic Sys.")</f>
        <v>Shredder - Hydraulic Sys.</v>
      </c>
      <c r="C276" s="199">
        <f>IFERROR(__xludf.DUMMYFUNCTION("""COMPUTED_VALUE"""),2.5112224228E10)</f>
        <v>25112224228</v>
      </c>
      <c r="D276" s="201">
        <f>IFERROR(__xludf.DUMMYFUNCTION("""COMPUTED_VALUE"""),45756.0)</f>
        <v>45756</v>
      </c>
      <c r="E276" s="202" t="str">
        <f>IFERROR(__xludf.DUMMYFUNCTION("""COMPUTED_VALUE"""),"Caution")</f>
        <v>Caution</v>
      </c>
      <c r="F276" s="202" t="str">
        <f>IFERROR(__xludf.DUMMYFUNCTION("""COMPUTED_VALUE"""),"Caution")</f>
        <v>Caution</v>
      </c>
      <c r="G276" s="203" t="str">
        <f>IFERROR(__xludf.DUMMYFUNCTION("""COMPUTED_VALUE"""),"Normal")</f>
        <v>Normal</v>
      </c>
      <c r="H276" s="203" t="str">
        <f>IFERROR(__xludf.DUMMYFUNCTION("""COMPUTED_VALUE"""),"Normal")</f>
        <v>Normal</v>
      </c>
      <c r="I276" s="37"/>
      <c r="J276" s="37"/>
      <c r="K276" s="37"/>
      <c r="L276" s="199">
        <f>IFERROR(__xludf.DUMMYFUNCTION("""COMPUTED_VALUE"""),22.0)</f>
        <v>22</v>
      </c>
      <c r="M276" s="199">
        <f>IFERROR(__xludf.DUMMYFUNCTION("""COMPUTED_VALUE"""),45.6)</f>
        <v>45.6</v>
      </c>
      <c r="N276" s="199"/>
      <c r="O276" s="199">
        <f>IFERROR(__xludf.DUMMYFUNCTION("""COMPUTED_VALUE"""),0.0)</f>
        <v>0</v>
      </c>
      <c r="P276" s="37">
        <f>IFERROR(__xludf.DUMMYFUNCTION("""COMPUTED_VALUE"""),0.02)</f>
        <v>0.02</v>
      </c>
      <c r="Q276" s="199">
        <f>IFERROR(__xludf.DUMMYFUNCTION("""COMPUTED_VALUE"""),0.0)</f>
        <v>0</v>
      </c>
      <c r="R276" s="199">
        <f>IFERROR(__xludf.DUMMYFUNCTION("""COMPUTED_VALUE"""),0.0)</f>
        <v>0</v>
      </c>
      <c r="S276" s="199">
        <f>IFERROR(__xludf.DUMMYFUNCTION("""COMPUTED_VALUE"""),0.0)</f>
        <v>0</v>
      </c>
      <c r="T276" s="199">
        <f>IFERROR(__xludf.DUMMYFUNCTION("""COMPUTED_VALUE"""),13.0)</f>
        <v>13</v>
      </c>
      <c r="U276" s="199">
        <f>IFERROR(__xludf.DUMMYFUNCTION("""COMPUTED_VALUE"""),22.0)</f>
        <v>22</v>
      </c>
      <c r="V276" s="199">
        <f>IFERROR(__xludf.DUMMYFUNCTION("""COMPUTED_VALUE"""),0.0)</f>
        <v>0</v>
      </c>
      <c r="W276" s="199">
        <f>IFERROR(__xludf.DUMMYFUNCTION("""COMPUTED_VALUE"""),0.0)</f>
        <v>0</v>
      </c>
      <c r="X276" s="199">
        <f>IFERROR(__xludf.DUMMYFUNCTION("""COMPUTED_VALUE"""),0.0)</f>
        <v>0</v>
      </c>
      <c r="Y276" s="199">
        <f>IFERROR(__xludf.DUMMYFUNCTION("""COMPUTED_VALUE"""),0.0)</f>
        <v>0</v>
      </c>
      <c r="Z276" s="199">
        <f>IFERROR(__xludf.DUMMYFUNCTION("""COMPUTED_VALUE"""),0.0)</f>
        <v>0</v>
      </c>
      <c r="AA276" s="199">
        <f>IFERROR(__xludf.DUMMYFUNCTION("""COMPUTED_VALUE"""),2.0)</f>
        <v>2</v>
      </c>
      <c r="AB276" s="199">
        <f>IFERROR(__xludf.DUMMYFUNCTION("""COMPUTED_VALUE"""),3.0)</f>
        <v>3</v>
      </c>
      <c r="AC276" s="199">
        <f>IFERROR(__xludf.DUMMYFUNCTION("""COMPUTED_VALUE"""),17.0)</f>
        <v>17</v>
      </c>
      <c r="AD276" s="199">
        <f>IFERROR(__xludf.DUMMYFUNCTION("""COMPUTED_VALUE"""),2.0)</f>
        <v>2</v>
      </c>
      <c r="AE276" s="199">
        <f>IFERROR(__xludf.DUMMYFUNCTION("""COMPUTED_VALUE"""),77.0)</f>
        <v>77</v>
      </c>
      <c r="AF276" s="199">
        <f>IFERROR(__xludf.DUMMYFUNCTION("""COMPUTED_VALUE"""),2.0)</f>
        <v>2</v>
      </c>
      <c r="AG276" s="199">
        <f>IFERROR(__xludf.DUMMYFUNCTION("""COMPUTED_VALUE"""),433.0)</f>
        <v>433</v>
      </c>
      <c r="AH276" s="199">
        <f>IFERROR(__xludf.DUMMYFUNCTION("""COMPUTED_VALUE"""),584.0)</f>
        <v>584</v>
      </c>
      <c r="AI276" s="200" t="str">
        <f>IFERROR(__xludf.DUMMYFUNCTION("""COMPUTED_VALUE"""),"General Caution")</f>
        <v>General Caution</v>
      </c>
      <c r="AJ276" s="200" t="str">
        <f>IFERROR(__xludf.DUMMYFUNCTION("""COMPUTED_VALUE"""),"Continue monitoring; resample at next scheduled interval")</f>
        <v>Continue monitoring; resample at next scheduled interval</v>
      </c>
      <c r="AK276" s="204"/>
      <c r="AL276" s="204"/>
      <c r="AM276" s="204"/>
    </row>
    <row r="277" hidden="1">
      <c r="A277" s="199" t="str">
        <f>IFERROR(__xludf.DUMMYFUNCTION("""COMPUTED_VALUE"""),"461.LQ120(T)")</f>
        <v>461.LQ120(T)</v>
      </c>
      <c r="B277" s="200" t="str">
        <f>IFERROR(__xludf.DUMMYFUNCTION("""COMPUTED_VALUE"""),"Coal mill 1 Roller Lub. Unit (Tank)")</f>
        <v>Coal mill 1 Roller Lub. Unit (Tank)</v>
      </c>
      <c r="C277" s="199">
        <f>IFERROR(__xludf.DUMMYFUNCTION("""COMPUTED_VALUE"""),2.5112224267E10)</f>
        <v>25112224267</v>
      </c>
      <c r="D277" s="201">
        <f>IFERROR(__xludf.DUMMYFUNCTION("""COMPUTED_VALUE"""),45756.0)</f>
        <v>45756</v>
      </c>
      <c r="E277" s="202" t="str">
        <f>IFERROR(__xludf.DUMMYFUNCTION("""COMPUTED_VALUE"""),"Normal")</f>
        <v>Normal</v>
      </c>
      <c r="F277" s="202" t="str">
        <f>IFERROR(__xludf.DUMMYFUNCTION("""COMPUTED_VALUE"""),"Normal")</f>
        <v>Normal</v>
      </c>
      <c r="G277" s="203" t="str">
        <f>IFERROR(__xludf.DUMMYFUNCTION("""COMPUTED_VALUE"""),"Normal")</f>
        <v>Normal</v>
      </c>
      <c r="H277" s="203" t="str">
        <f>IFERROR(__xludf.DUMMYFUNCTION("""COMPUTED_VALUE"""),"Normal")</f>
        <v>Normal</v>
      </c>
      <c r="I277" s="37"/>
      <c r="J277" s="37"/>
      <c r="K277" s="37"/>
      <c r="L277" s="199">
        <f>IFERROR(__xludf.DUMMYFUNCTION("""COMPUTED_VALUE"""),13.0)</f>
        <v>13</v>
      </c>
      <c r="M277" s="199">
        <f>IFERROR(__xludf.DUMMYFUNCTION("""COMPUTED_VALUE"""),82.4)</f>
        <v>82.4</v>
      </c>
      <c r="N277" s="199"/>
      <c r="O277" s="199"/>
      <c r="P277" s="37">
        <f>IFERROR(__xludf.DUMMYFUNCTION("""COMPUTED_VALUE"""),0.02)</f>
        <v>0.02</v>
      </c>
      <c r="Q277" s="199">
        <f>IFERROR(__xludf.DUMMYFUNCTION("""COMPUTED_VALUE"""),0.0)</f>
        <v>0</v>
      </c>
      <c r="R277" s="199">
        <f>IFERROR(__xludf.DUMMYFUNCTION("""COMPUTED_VALUE"""),0.0)</f>
        <v>0</v>
      </c>
      <c r="S277" s="199">
        <f>IFERROR(__xludf.DUMMYFUNCTION("""COMPUTED_VALUE"""),0.0)</f>
        <v>0</v>
      </c>
      <c r="T277" s="199">
        <f>IFERROR(__xludf.DUMMYFUNCTION("""COMPUTED_VALUE"""),0.0)</f>
        <v>0</v>
      </c>
      <c r="U277" s="199">
        <f>IFERROR(__xludf.DUMMYFUNCTION("""COMPUTED_VALUE"""),20.0)</f>
        <v>20</v>
      </c>
      <c r="V277" s="199">
        <f>IFERROR(__xludf.DUMMYFUNCTION("""COMPUTED_VALUE"""),0.0)</f>
        <v>0</v>
      </c>
      <c r="W277" s="199">
        <f>IFERROR(__xludf.DUMMYFUNCTION("""COMPUTED_VALUE"""),0.0)</f>
        <v>0</v>
      </c>
      <c r="X277" s="199">
        <f>IFERROR(__xludf.DUMMYFUNCTION("""COMPUTED_VALUE"""),0.0)</f>
        <v>0</v>
      </c>
      <c r="Y277" s="199">
        <f>IFERROR(__xludf.DUMMYFUNCTION("""COMPUTED_VALUE"""),0.0)</f>
        <v>0</v>
      </c>
      <c r="Z277" s="199">
        <f>IFERROR(__xludf.DUMMYFUNCTION("""COMPUTED_VALUE"""),0.0)</f>
        <v>0</v>
      </c>
      <c r="AA277" s="199">
        <f>IFERROR(__xludf.DUMMYFUNCTION("""COMPUTED_VALUE"""),1.0)</f>
        <v>1</v>
      </c>
      <c r="AB277" s="199">
        <f>IFERROR(__xludf.DUMMYFUNCTION("""COMPUTED_VALUE"""),14.0)</f>
        <v>14</v>
      </c>
      <c r="AC277" s="199">
        <f>IFERROR(__xludf.DUMMYFUNCTION("""COMPUTED_VALUE"""),7.0)</f>
        <v>7</v>
      </c>
      <c r="AD277" s="199">
        <f>IFERROR(__xludf.DUMMYFUNCTION("""COMPUTED_VALUE"""),0.0)</f>
        <v>0</v>
      </c>
      <c r="AE277" s="199">
        <f>IFERROR(__xludf.DUMMYFUNCTION("""COMPUTED_VALUE"""),61.0)</f>
        <v>61</v>
      </c>
      <c r="AF277" s="199">
        <f>IFERROR(__xludf.DUMMYFUNCTION("""COMPUTED_VALUE"""),0.0)</f>
        <v>0</v>
      </c>
      <c r="AG277" s="199">
        <f>IFERROR(__xludf.DUMMYFUNCTION("""COMPUTED_VALUE"""),554.0)</f>
        <v>554</v>
      </c>
      <c r="AH277" s="199">
        <f>IFERROR(__xludf.DUMMYFUNCTION("""COMPUTED_VALUE"""),14.0)</f>
        <v>14</v>
      </c>
      <c r="AI277" s="200" t="str">
        <f>IFERROR(__xludf.DUMMYFUNCTION("""COMPUTED_VALUE"""),"Normal - No Action Required")</f>
        <v>Normal - No Action Required</v>
      </c>
      <c r="AJ277" s="200" t="str">
        <f>IFERROR(__xludf.DUMMYFUNCTION("""COMPUTED_VALUE"""),"Continue routine monitoring and sampling schedule")</f>
        <v>Continue routine monitoring and sampling schedule</v>
      </c>
      <c r="AK277" s="204"/>
      <c r="AL277" s="204"/>
      <c r="AM277" s="204"/>
    </row>
    <row r="278" hidden="1">
      <c r="A278" s="199" t="str">
        <f>IFERROR(__xludf.DUMMYFUNCTION("""COMPUTED_VALUE"""),"531.LQ110")</f>
        <v>531.LQ110</v>
      </c>
      <c r="B278" s="200" t="str">
        <f>IFERROR(__xludf.DUMMYFUNCTION("""COMPUTED_VALUE"""),"Cement Mill Inlet Slide Shoe Bearing LUB.")</f>
        <v>Cement Mill Inlet Slide Shoe Bearing LUB.</v>
      </c>
      <c r="C278" s="199">
        <f>IFERROR(__xludf.DUMMYFUNCTION("""COMPUTED_VALUE"""),2.5112224257E10)</f>
        <v>25112224257</v>
      </c>
      <c r="D278" s="201">
        <f>IFERROR(__xludf.DUMMYFUNCTION("""COMPUTED_VALUE"""),45756.0)</f>
        <v>45756</v>
      </c>
      <c r="E278" s="202" t="str">
        <f>IFERROR(__xludf.DUMMYFUNCTION("""COMPUTED_VALUE"""),"Alert")</f>
        <v>Alert</v>
      </c>
      <c r="F278" s="202" t="str">
        <f>IFERROR(__xludf.DUMMYFUNCTION("""COMPUTED_VALUE"""),"Alert")</f>
        <v>Alert</v>
      </c>
      <c r="G278" s="203" t="str">
        <f>IFERROR(__xludf.DUMMYFUNCTION("""COMPUTED_VALUE"""),"Alert")</f>
        <v>Alert</v>
      </c>
      <c r="H278" s="203" t="str">
        <f>IFERROR(__xludf.DUMMYFUNCTION("""COMPUTED_VALUE"""),"Caution")</f>
        <v>Caution</v>
      </c>
      <c r="I278" s="37"/>
      <c r="J278" s="37"/>
      <c r="K278" s="37"/>
      <c r="L278" s="199">
        <f>IFERROR(__xludf.DUMMYFUNCTION("""COMPUTED_VALUE"""),73.0)</f>
        <v>73</v>
      </c>
      <c r="M278" s="199">
        <f>IFERROR(__xludf.DUMMYFUNCTION("""COMPUTED_VALUE"""),450.7)</f>
        <v>450.7</v>
      </c>
      <c r="N278" s="199"/>
      <c r="O278" s="199">
        <f>IFERROR(__xludf.DUMMYFUNCTION("""COMPUTED_VALUE"""),7.0)</f>
        <v>7</v>
      </c>
      <c r="P278" s="37">
        <f>IFERROR(__xludf.DUMMYFUNCTION("""COMPUTED_VALUE"""),0.09)</f>
        <v>0.09</v>
      </c>
      <c r="Q278" s="199">
        <f>IFERROR(__xludf.DUMMYFUNCTION("""COMPUTED_VALUE"""),0.0)</f>
        <v>0</v>
      </c>
      <c r="R278" s="199">
        <f>IFERROR(__xludf.DUMMYFUNCTION("""COMPUTED_VALUE"""),21.0)</f>
        <v>21</v>
      </c>
      <c r="S278" s="199">
        <f>IFERROR(__xludf.DUMMYFUNCTION("""COMPUTED_VALUE"""),0.0)</f>
        <v>0</v>
      </c>
      <c r="T278" s="199">
        <f>IFERROR(__xludf.DUMMYFUNCTION("""COMPUTED_VALUE"""),38.0)</f>
        <v>38</v>
      </c>
      <c r="U278" s="199">
        <f>IFERROR(__xludf.DUMMYFUNCTION("""COMPUTED_VALUE"""),194.0)</f>
        <v>194</v>
      </c>
      <c r="V278" s="199">
        <f>IFERROR(__xludf.DUMMYFUNCTION("""COMPUTED_VALUE"""),0.0)</f>
        <v>0</v>
      </c>
      <c r="W278" s="199">
        <f>IFERROR(__xludf.DUMMYFUNCTION("""COMPUTED_VALUE"""),0.0)</f>
        <v>0</v>
      </c>
      <c r="X278" s="199">
        <f>IFERROR(__xludf.DUMMYFUNCTION("""COMPUTED_VALUE"""),0.0)</f>
        <v>0</v>
      </c>
      <c r="Y278" s="199">
        <f>IFERROR(__xludf.DUMMYFUNCTION("""COMPUTED_VALUE"""),1.0)</f>
        <v>1</v>
      </c>
      <c r="Z278" s="199">
        <f>IFERROR(__xludf.DUMMYFUNCTION("""COMPUTED_VALUE"""),5.0)</f>
        <v>5</v>
      </c>
      <c r="AA278" s="199">
        <f>IFERROR(__xludf.DUMMYFUNCTION("""COMPUTED_VALUE"""),28.0)</f>
        <v>28</v>
      </c>
      <c r="AB278" s="199">
        <f>IFERROR(__xludf.DUMMYFUNCTION("""COMPUTED_VALUE"""),81.0)</f>
        <v>81</v>
      </c>
      <c r="AC278" s="199">
        <f>IFERROR(__xludf.DUMMYFUNCTION("""COMPUTED_VALUE"""),17.0)</f>
        <v>17</v>
      </c>
      <c r="AD278" s="199">
        <f>IFERROR(__xludf.DUMMYFUNCTION("""COMPUTED_VALUE"""),0.0)</f>
        <v>0</v>
      </c>
      <c r="AE278" s="199">
        <f>IFERROR(__xludf.DUMMYFUNCTION("""COMPUTED_VALUE"""),355.0)</f>
        <v>355</v>
      </c>
      <c r="AF278" s="199">
        <f>IFERROR(__xludf.DUMMYFUNCTION("""COMPUTED_VALUE"""),19.0)</f>
        <v>19</v>
      </c>
      <c r="AG278" s="199">
        <f>IFERROR(__xludf.DUMMYFUNCTION("""COMPUTED_VALUE"""),533.0)</f>
        <v>533</v>
      </c>
      <c r="AH278" s="199">
        <f>IFERROR(__xludf.DUMMYFUNCTION("""COMPUTED_VALUE"""),1.0)</f>
        <v>1</v>
      </c>
      <c r="AI278" s="200" t="str">
        <f>IFERROR(__xludf.DUMMYFUNCTION("""COMPUTED_VALUE"""),"Wear Metal Alert | Contamination Alert")</f>
        <v>Wear Metal Alert | Contamination Alert</v>
      </c>
      <c r="AJ278" s="200" t="str">
        <f>IFERROR(__xludf.DUMMYFUNCTION("""COMPUTED_VALUE"""),"URGENT: Inspect equipment immediately for wear/damage; High wear metals - inspect bearing/gear surfaces; Severe oxidation - lubricant change required urgently; Elevated silicon - inspect filters and seals for contamination")</f>
        <v>URGENT: Inspect equipment immediately for wear/damage; High wear metals - inspect bearing/gear surfaces; Severe oxidation - lubricant change required urgently; Elevated silicon - inspect filters and seals for contamination</v>
      </c>
      <c r="AK278" s="204"/>
      <c r="AL278" s="204"/>
      <c r="AM278" s="204"/>
    </row>
    <row r="279" hidden="1">
      <c r="A279" s="199" t="str">
        <f>IFERROR(__xludf.DUMMYFUNCTION("""COMPUTED_VALUE"""),"531.LQ120")</f>
        <v>531.LQ120</v>
      </c>
      <c r="B279" s="200" t="str">
        <f>IFERROR(__xludf.DUMMYFUNCTION("""COMPUTED_VALUE"""),"Cement Mill Outlet Slide Shoe Bearing LUB.")</f>
        <v>Cement Mill Outlet Slide Shoe Bearing LUB.</v>
      </c>
      <c r="C279" s="199">
        <f>IFERROR(__xludf.DUMMYFUNCTION("""COMPUTED_VALUE"""),2.5112224258E10)</f>
        <v>25112224258</v>
      </c>
      <c r="D279" s="201">
        <f>IFERROR(__xludf.DUMMYFUNCTION("""COMPUTED_VALUE"""),45756.0)</f>
        <v>45756</v>
      </c>
      <c r="E279" s="202" t="str">
        <f>IFERROR(__xludf.DUMMYFUNCTION("""COMPUTED_VALUE"""),"Alert")</f>
        <v>Alert</v>
      </c>
      <c r="F279" s="202" t="str">
        <f>IFERROR(__xludf.DUMMYFUNCTION("""COMPUTED_VALUE"""),"Alert")</f>
        <v>Alert</v>
      </c>
      <c r="G279" s="203" t="str">
        <f>IFERROR(__xludf.DUMMYFUNCTION("""COMPUTED_VALUE"""),"Alert")</f>
        <v>Alert</v>
      </c>
      <c r="H279" s="203" t="str">
        <f>IFERROR(__xludf.DUMMYFUNCTION("""COMPUTED_VALUE"""),"Caution")</f>
        <v>Caution</v>
      </c>
      <c r="I279" s="199"/>
      <c r="J279" s="199"/>
      <c r="K279" s="199"/>
      <c r="L279" s="199">
        <f>IFERROR(__xludf.DUMMYFUNCTION("""COMPUTED_VALUE"""),71.0)</f>
        <v>71</v>
      </c>
      <c r="M279" s="199">
        <f>IFERROR(__xludf.DUMMYFUNCTION("""COMPUTED_VALUE"""),471.3)</f>
        <v>471.3</v>
      </c>
      <c r="N279" s="199"/>
      <c r="O279" s="199">
        <f>IFERROR(__xludf.DUMMYFUNCTION("""COMPUTED_VALUE"""),7.0)</f>
        <v>7</v>
      </c>
      <c r="P279" s="37">
        <f>IFERROR(__xludf.DUMMYFUNCTION("""COMPUTED_VALUE"""),0.08)</f>
        <v>0.08</v>
      </c>
      <c r="Q279" s="199">
        <f>IFERROR(__xludf.DUMMYFUNCTION("""COMPUTED_VALUE"""),0.0)</f>
        <v>0</v>
      </c>
      <c r="R279" s="199">
        <f>IFERROR(__xludf.DUMMYFUNCTION("""COMPUTED_VALUE"""),19.0)</f>
        <v>19</v>
      </c>
      <c r="S279" s="199">
        <f>IFERROR(__xludf.DUMMYFUNCTION("""COMPUTED_VALUE"""),0.0)</f>
        <v>0</v>
      </c>
      <c r="T279" s="199">
        <f>IFERROR(__xludf.DUMMYFUNCTION("""COMPUTED_VALUE"""),14.0)</f>
        <v>14</v>
      </c>
      <c r="U279" s="199">
        <f>IFERROR(__xludf.DUMMYFUNCTION("""COMPUTED_VALUE"""),187.0)</f>
        <v>187</v>
      </c>
      <c r="V279" s="199">
        <f>IFERROR(__xludf.DUMMYFUNCTION("""COMPUTED_VALUE"""),0.0)</f>
        <v>0</v>
      </c>
      <c r="W279" s="199">
        <f>IFERROR(__xludf.DUMMYFUNCTION("""COMPUTED_VALUE"""),0.0)</f>
        <v>0</v>
      </c>
      <c r="X279" s="199">
        <f>IFERROR(__xludf.DUMMYFUNCTION("""COMPUTED_VALUE"""),0.0)</f>
        <v>0</v>
      </c>
      <c r="Y279" s="199">
        <f>IFERROR(__xludf.DUMMYFUNCTION("""COMPUTED_VALUE"""),0.0)</f>
        <v>0</v>
      </c>
      <c r="Z279" s="199">
        <f>IFERROR(__xludf.DUMMYFUNCTION("""COMPUTED_VALUE"""),2.0)</f>
        <v>2</v>
      </c>
      <c r="AA279" s="199">
        <f>IFERROR(__xludf.DUMMYFUNCTION("""COMPUTED_VALUE"""),25.0)</f>
        <v>25</v>
      </c>
      <c r="AB279" s="199">
        <f>IFERROR(__xludf.DUMMYFUNCTION("""COMPUTED_VALUE"""),70.0)</f>
        <v>70</v>
      </c>
      <c r="AC279" s="199">
        <f>IFERROR(__xludf.DUMMYFUNCTION("""COMPUTED_VALUE"""),16.0)</f>
        <v>16</v>
      </c>
      <c r="AD279" s="199">
        <f>IFERROR(__xludf.DUMMYFUNCTION("""COMPUTED_VALUE"""),0.0)</f>
        <v>0</v>
      </c>
      <c r="AE279" s="199">
        <f>IFERROR(__xludf.DUMMYFUNCTION("""COMPUTED_VALUE"""),317.0)</f>
        <v>317</v>
      </c>
      <c r="AF279" s="199">
        <f>IFERROR(__xludf.DUMMYFUNCTION("""COMPUTED_VALUE"""),17.0)</f>
        <v>17</v>
      </c>
      <c r="AG279" s="199">
        <f>IFERROR(__xludf.DUMMYFUNCTION("""COMPUTED_VALUE"""),419.0)</f>
        <v>419</v>
      </c>
      <c r="AH279" s="199">
        <f>IFERROR(__xludf.DUMMYFUNCTION("""COMPUTED_VALUE"""),1.0)</f>
        <v>1</v>
      </c>
      <c r="AI279" s="200" t="str">
        <f>IFERROR(__xludf.DUMMYFUNCTION("""COMPUTED_VALUE"""),"Wear Metal Alert | Contamination Alert")</f>
        <v>Wear Metal Alert | Contamination Alert</v>
      </c>
      <c r="AJ279" s="200" t="str">
        <f>IFERROR(__xludf.DUMMYFUNCTION("""COMPUTED_VALUE"""),"URGENT: Inspect equipment immediately for wear/damage; High wear metals - inspect bearing/gear surfaces; Severe oxidation - lubricant change required urgently; Elevated silicon - inspect filters and seals for contamination")</f>
        <v>URGENT: Inspect equipment immediately for wear/damage; High wear metals - inspect bearing/gear surfaces; Severe oxidation - lubricant change required urgently; Elevated silicon - inspect filters and seals for contamination</v>
      </c>
      <c r="AK279" s="204"/>
      <c r="AL279" s="204"/>
      <c r="AM279" s="204"/>
    </row>
    <row r="280" hidden="1">
      <c r="A280" s="199" t="str">
        <f>IFERROR(__xludf.DUMMYFUNCTION("""COMPUTED_VALUE"""),"531.LQ145")</f>
        <v>531.LQ145</v>
      </c>
      <c r="B280" s="200" t="str">
        <f>IFERROR(__xludf.DUMMYFUNCTION("""COMPUTED_VALUE"""),"Cement Mill #1 Gear box")</f>
        <v>Cement Mill #1 Gear box</v>
      </c>
      <c r="C280" s="199">
        <f>IFERROR(__xludf.DUMMYFUNCTION("""COMPUTED_VALUE"""),2.511222427E10)</f>
        <v>25112224270</v>
      </c>
      <c r="D280" s="201">
        <f>IFERROR(__xludf.DUMMYFUNCTION("""COMPUTED_VALUE"""),45756.0)</f>
        <v>45756</v>
      </c>
      <c r="E280" s="202" t="str">
        <f>IFERROR(__xludf.DUMMYFUNCTION("""COMPUTED_VALUE"""),"Alert")</f>
        <v>Alert</v>
      </c>
      <c r="F280" s="202" t="str">
        <f>IFERROR(__xludf.DUMMYFUNCTION("""COMPUTED_VALUE"""),"Alert")</f>
        <v>Alert</v>
      </c>
      <c r="G280" s="203" t="str">
        <f>IFERROR(__xludf.DUMMYFUNCTION("""COMPUTED_VALUE"""),"Alert")</f>
        <v>Alert</v>
      </c>
      <c r="H280" s="203" t="str">
        <f>IFERROR(__xludf.DUMMYFUNCTION("""COMPUTED_VALUE"""),"Caution")</f>
        <v>Caution</v>
      </c>
      <c r="I280" s="37"/>
      <c r="J280" s="37"/>
      <c r="K280" s="37"/>
      <c r="L280" s="199">
        <f>IFERROR(__xludf.DUMMYFUNCTION("""COMPUTED_VALUE"""),55.0)</f>
        <v>55</v>
      </c>
      <c r="M280" s="199">
        <f>IFERROR(__xludf.DUMMYFUNCTION("""COMPUTED_VALUE"""),452.5)</f>
        <v>452.5</v>
      </c>
      <c r="N280" s="199"/>
      <c r="O280" s="199">
        <f>IFERROR(__xludf.DUMMYFUNCTION("""COMPUTED_VALUE"""),6.0)</f>
        <v>6</v>
      </c>
      <c r="P280" s="37">
        <f>IFERROR(__xludf.DUMMYFUNCTION("""COMPUTED_VALUE"""),0.04)</f>
        <v>0.04</v>
      </c>
      <c r="Q280" s="199">
        <f>IFERROR(__xludf.DUMMYFUNCTION("""COMPUTED_VALUE"""),0.0)</f>
        <v>0</v>
      </c>
      <c r="R280" s="199">
        <f>IFERROR(__xludf.DUMMYFUNCTION("""COMPUTED_VALUE"""),9.0)</f>
        <v>9</v>
      </c>
      <c r="S280" s="199">
        <f>IFERROR(__xludf.DUMMYFUNCTION("""COMPUTED_VALUE"""),0.0)</f>
        <v>0</v>
      </c>
      <c r="T280" s="199">
        <f>IFERROR(__xludf.DUMMYFUNCTION("""COMPUTED_VALUE"""),5.0)</f>
        <v>5</v>
      </c>
      <c r="U280" s="199">
        <f>IFERROR(__xludf.DUMMYFUNCTION("""COMPUTED_VALUE"""),89.0)</f>
        <v>89</v>
      </c>
      <c r="V280" s="199">
        <f>IFERROR(__xludf.DUMMYFUNCTION("""COMPUTED_VALUE"""),0.0)</f>
        <v>0</v>
      </c>
      <c r="W280" s="199">
        <f>IFERROR(__xludf.DUMMYFUNCTION("""COMPUTED_VALUE"""),0.0)</f>
        <v>0</v>
      </c>
      <c r="X280" s="199">
        <f>IFERROR(__xludf.DUMMYFUNCTION("""COMPUTED_VALUE"""),0.0)</f>
        <v>0</v>
      </c>
      <c r="Y280" s="199">
        <f>IFERROR(__xludf.DUMMYFUNCTION("""COMPUTED_VALUE"""),0.0)</f>
        <v>0</v>
      </c>
      <c r="Z280" s="199">
        <f>IFERROR(__xludf.DUMMYFUNCTION("""COMPUTED_VALUE"""),0.0)</f>
        <v>0</v>
      </c>
      <c r="AA280" s="199">
        <f>IFERROR(__xludf.DUMMYFUNCTION("""COMPUTED_VALUE"""),11.0)</f>
        <v>11</v>
      </c>
      <c r="AB280" s="199">
        <f>IFERROR(__xludf.DUMMYFUNCTION("""COMPUTED_VALUE"""),35.0)</f>
        <v>35</v>
      </c>
      <c r="AC280" s="199">
        <f>IFERROR(__xludf.DUMMYFUNCTION("""COMPUTED_VALUE"""),13.0)</f>
        <v>13</v>
      </c>
      <c r="AD280" s="199">
        <f>IFERROR(__xludf.DUMMYFUNCTION("""COMPUTED_VALUE"""),0.0)</f>
        <v>0</v>
      </c>
      <c r="AE280" s="199">
        <f>IFERROR(__xludf.DUMMYFUNCTION("""COMPUTED_VALUE"""),204.0)</f>
        <v>204</v>
      </c>
      <c r="AF280" s="199">
        <f>IFERROR(__xludf.DUMMYFUNCTION("""COMPUTED_VALUE"""),8.0)</f>
        <v>8</v>
      </c>
      <c r="AG280" s="199">
        <f>IFERROR(__xludf.DUMMYFUNCTION("""COMPUTED_VALUE"""),367.0)</f>
        <v>367</v>
      </c>
      <c r="AH280" s="199">
        <f>IFERROR(__xludf.DUMMYFUNCTION("""COMPUTED_VALUE"""),24.0)</f>
        <v>24</v>
      </c>
      <c r="AI280" s="200" t="str">
        <f>IFERROR(__xludf.DUMMYFUNCTION("""COMPUTED_VALUE"""),"Wear Metal Alert")</f>
        <v>Wear Metal Alert</v>
      </c>
      <c r="AJ280" s="200" t="str">
        <f>IFERROR(__xludf.DUMMYFUNCTION("""COMPUTED_VALUE"""),"URGENT: Inspect equipment immediately for wear/damage; Severe oxidation - lubricant change required urgently; Elevated silicon - inspect filters and seals for contamination")</f>
        <v>URGENT: Inspect equipment immediately for wear/damage; Severe oxidation - lubricant change required urgently; Elevated silicon - inspect filters and seals for contamination</v>
      </c>
      <c r="AK280" s="204"/>
      <c r="AL280" s="204"/>
      <c r="AM280" s="204"/>
    </row>
    <row r="281" hidden="1">
      <c r="A281" s="199" t="str">
        <f>IFERROR(__xludf.DUMMYFUNCTION("""COMPUTED_VALUE"""),"532.LQ110")</f>
        <v>532.LQ110</v>
      </c>
      <c r="B281" s="200" t="str">
        <f>IFERROR(__xludf.DUMMYFUNCTION("""COMPUTED_VALUE"""),"Cement Mill Inlet Slide Shoe Bearing LUB.")</f>
        <v>Cement Mill Inlet Slide Shoe Bearing LUB.</v>
      </c>
      <c r="C281" s="199">
        <f>IFERROR(__xludf.DUMMYFUNCTION("""COMPUTED_VALUE"""),2.5112224255E10)</f>
        <v>25112224255</v>
      </c>
      <c r="D281" s="201">
        <f>IFERROR(__xludf.DUMMYFUNCTION("""COMPUTED_VALUE"""),45756.0)</f>
        <v>45756</v>
      </c>
      <c r="E281" s="202" t="str">
        <f>IFERROR(__xludf.DUMMYFUNCTION("""COMPUTED_VALUE"""),"Alert")</f>
        <v>Alert</v>
      </c>
      <c r="F281" s="202" t="str">
        <f>IFERROR(__xludf.DUMMYFUNCTION("""COMPUTED_VALUE"""),"Caution")</f>
        <v>Caution</v>
      </c>
      <c r="G281" s="203" t="str">
        <f>IFERROR(__xludf.DUMMYFUNCTION("""COMPUTED_VALUE"""),"Alert")</f>
        <v>Alert</v>
      </c>
      <c r="H281" s="203" t="str">
        <f>IFERROR(__xludf.DUMMYFUNCTION("""COMPUTED_VALUE"""),"Caution")</f>
        <v>Caution</v>
      </c>
      <c r="I281" s="37"/>
      <c r="J281" s="37"/>
      <c r="K281" s="37"/>
      <c r="L281" s="199">
        <f>IFERROR(__xludf.DUMMYFUNCTION("""COMPUTED_VALUE"""),16.0)</f>
        <v>16</v>
      </c>
      <c r="M281" s="199">
        <f>IFERROR(__xludf.DUMMYFUNCTION("""COMPUTED_VALUE"""),395.6)</f>
        <v>395.6</v>
      </c>
      <c r="N281" s="199"/>
      <c r="O281" s="199">
        <f>IFERROR(__xludf.DUMMYFUNCTION("""COMPUTED_VALUE"""),6.0)</f>
        <v>6</v>
      </c>
      <c r="P281" s="37">
        <f>IFERROR(__xludf.DUMMYFUNCTION("""COMPUTED_VALUE"""),0.03)</f>
        <v>0.03</v>
      </c>
      <c r="Q281" s="199">
        <f>IFERROR(__xludf.DUMMYFUNCTION("""COMPUTED_VALUE"""),0.0)</f>
        <v>0</v>
      </c>
      <c r="R281" s="199">
        <f>IFERROR(__xludf.DUMMYFUNCTION("""COMPUTED_VALUE"""),3.0)</f>
        <v>3</v>
      </c>
      <c r="S281" s="199">
        <f>IFERROR(__xludf.DUMMYFUNCTION("""COMPUTED_VALUE"""),0.0)</f>
        <v>0</v>
      </c>
      <c r="T281" s="199">
        <f>IFERROR(__xludf.DUMMYFUNCTION("""COMPUTED_VALUE"""),15.0)</f>
        <v>15</v>
      </c>
      <c r="U281" s="199">
        <f>IFERROR(__xludf.DUMMYFUNCTION("""COMPUTED_VALUE"""),18.0)</f>
        <v>18</v>
      </c>
      <c r="V281" s="199">
        <f>IFERROR(__xludf.DUMMYFUNCTION("""COMPUTED_VALUE"""),0.0)</f>
        <v>0</v>
      </c>
      <c r="W281" s="199">
        <f>IFERROR(__xludf.DUMMYFUNCTION("""COMPUTED_VALUE"""),0.0)</f>
        <v>0</v>
      </c>
      <c r="X281" s="199">
        <f>IFERROR(__xludf.DUMMYFUNCTION("""COMPUTED_VALUE"""),1.0)</f>
        <v>1</v>
      </c>
      <c r="Y281" s="199">
        <f>IFERROR(__xludf.DUMMYFUNCTION("""COMPUTED_VALUE"""),16.0)</f>
        <v>16</v>
      </c>
      <c r="Z281" s="199">
        <f>IFERROR(__xludf.DUMMYFUNCTION("""COMPUTED_VALUE"""),1.0)</f>
        <v>1</v>
      </c>
      <c r="AA281" s="199">
        <f>IFERROR(__xludf.DUMMYFUNCTION("""COMPUTED_VALUE"""),10.0)</f>
        <v>10</v>
      </c>
      <c r="AB281" s="199">
        <f>IFERROR(__xludf.DUMMYFUNCTION("""COMPUTED_VALUE"""),19.0)</f>
        <v>19</v>
      </c>
      <c r="AC281" s="199">
        <f>IFERROR(__xludf.DUMMYFUNCTION("""COMPUTED_VALUE"""),7.0)</f>
        <v>7</v>
      </c>
      <c r="AD281" s="199">
        <f>IFERROR(__xludf.DUMMYFUNCTION("""COMPUTED_VALUE"""),0.0)</f>
        <v>0</v>
      </c>
      <c r="AE281" s="199">
        <f>IFERROR(__xludf.DUMMYFUNCTION("""COMPUTED_VALUE"""),283.0)</f>
        <v>283</v>
      </c>
      <c r="AF281" s="199">
        <f>IFERROR(__xludf.DUMMYFUNCTION("""COMPUTED_VALUE"""),4.0)</f>
        <v>4</v>
      </c>
      <c r="AG281" s="199">
        <f>IFERROR(__xludf.DUMMYFUNCTION("""COMPUTED_VALUE"""),214.0)</f>
        <v>214</v>
      </c>
      <c r="AH281" s="199">
        <f>IFERROR(__xludf.DUMMYFUNCTION("""COMPUTED_VALUE"""),9.0)</f>
        <v>9</v>
      </c>
      <c r="AI281" s="200" t="str">
        <f>IFERROR(__xludf.DUMMYFUNCTION("""COMPUTED_VALUE"""),"Wear Metal Alert")</f>
        <v>Wear Metal Alert</v>
      </c>
      <c r="AJ281" s="200" t="str">
        <f>IFERROR(__xludf.DUMMYFUNCTION("""COMPUTED_VALUE"""),"URGENT: Inspect equipment immediately for wear/damage; Severe oxidation - lubricant change required urgently")</f>
        <v>URGENT: Inspect equipment immediately for wear/damage; Severe oxidation - lubricant change required urgently</v>
      </c>
      <c r="AK281" s="204"/>
      <c r="AL281" s="204"/>
      <c r="AM281" s="204"/>
    </row>
    <row r="282" hidden="1">
      <c r="A282" s="199" t="str">
        <f>IFERROR(__xludf.DUMMYFUNCTION("""COMPUTED_VALUE"""),"532.LQ120")</f>
        <v>532.LQ120</v>
      </c>
      <c r="B282" s="200" t="str">
        <f>IFERROR(__xludf.DUMMYFUNCTION("""COMPUTED_VALUE"""),"Cement Mill Outlet Slide Shoe Bearing LUB.")</f>
        <v>Cement Mill Outlet Slide Shoe Bearing LUB.</v>
      </c>
      <c r="C282" s="199">
        <f>IFERROR(__xludf.DUMMYFUNCTION("""COMPUTED_VALUE"""),2.5112224266E10)</f>
        <v>25112224266</v>
      </c>
      <c r="D282" s="201">
        <f>IFERROR(__xludf.DUMMYFUNCTION("""COMPUTED_VALUE"""),45756.0)</f>
        <v>45756</v>
      </c>
      <c r="E282" s="202" t="str">
        <f>IFERROR(__xludf.DUMMYFUNCTION("""COMPUTED_VALUE"""),"Alert")</f>
        <v>Alert</v>
      </c>
      <c r="F282" s="202" t="str">
        <f>IFERROR(__xludf.DUMMYFUNCTION("""COMPUTED_VALUE"""),"Alert")</f>
        <v>Alert</v>
      </c>
      <c r="G282" s="203" t="str">
        <f>IFERROR(__xludf.DUMMYFUNCTION("""COMPUTED_VALUE"""),"Alert")</f>
        <v>Alert</v>
      </c>
      <c r="H282" s="203" t="str">
        <f>IFERROR(__xludf.DUMMYFUNCTION("""COMPUTED_VALUE"""),"Caution")</f>
        <v>Caution</v>
      </c>
      <c r="I282" s="37"/>
      <c r="J282" s="37"/>
      <c r="K282" s="37"/>
      <c r="L282" s="199">
        <f>IFERROR(__xludf.DUMMYFUNCTION("""COMPUTED_VALUE"""),13.0)</f>
        <v>13</v>
      </c>
      <c r="M282" s="199">
        <f>IFERROR(__xludf.DUMMYFUNCTION("""COMPUTED_VALUE"""),437.2)</f>
        <v>437.2</v>
      </c>
      <c r="N282" s="199"/>
      <c r="O282" s="199">
        <f>IFERROR(__xludf.DUMMYFUNCTION("""COMPUTED_VALUE"""),6.0)</f>
        <v>6</v>
      </c>
      <c r="P282" s="37">
        <f>IFERROR(__xludf.DUMMYFUNCTION("""COMPUTED_VALUE"""),0.03)</f>
        <v>0.03</v>
      </c>
      <c r="Q282" s="199">
        <f>IFERROR(__xludf.DUMMYFUNCTION("""COMPUTED_VALUE"""),0.0)</f>
        <v>0</v>
      </c>
      <c r="R282" s="199">
        <f>IFERROR(__xludf.DUMMYFUNCTION("""COMPUTED_VALUE"""),12.0)</f>
        <v>12</v>
      </c>
      <c r="S282" s="199">
        <f>IFERROR(__xludf.DUMMYFUNCTION("""COMPUTED_VALUE"""),0.0)</f>
        <v>0</v>
      </c>
      <c r="T282" s="199">
        <f>IFERROR(__xludf.DUMMYFUNCTION("""COMPUTED_VALUE"""),30.0)</f>
        <v>30</v>
      </c>
      <c r="U282" s="199">
        <f>IFERROR(__xludf.DUMMYFUNCTION("""COMPUTED_VALUE"""),42.0)</f>
        <v>42</v>
      </c>
      <c r="V282" s="199">
        <f>IFERROR(__xludf.DUMMYFUNCTION("""COMPUTED_VALUE"""),0.0)</f>
        <v>0</v>
      </c>
      <c r="W282" s="199">
        <f>IFERROR(__xludf.DUMMYFUNCTION("""COMPUTED_VALUE"""),0.0)</f>
        <v>0</v>
      </c>
      <c r="X282" s="199">
        <f>IFERROR(__xludf.DUMMYFUNCTION("""COMPUTED_VALUE"""),6.0)</f>
        <v>6</v>
      </c>
      <c r="Y282" s="199">
        <f>IFERROR(__xludf.DUMMYFUNCTION("""COMPUTED_VALUE"""),25.0)</f>
        <v>25</v>
      </c>
      <c r="Z282" s="199">
        <f>IFERROR(__xludf.DUMMYFUNCTION("""COMPUTED_VALUE"""),3.0)</f>
        <v>3</v>
      </c>
      <c r="AA282" s="199">
        <f>IFERROR(__xludf.DUMMYFUNCTION("""COMPUTED_VALUE"""),14.0)</f>
        <v>14</v>
      </c>
      <c r="AB282" s="199">
        <f>IFERROR(__xludf.DUMMYFUNCTION("""COMPUTED_VALUE"""),41.0)</f>
        <v>41</v>
      </c>
      <c r="AC282" s="199">
        <f>IFERROR(__xludf.DUMMYFUNCTION("""COMPUTED_VALUE"""),16.0)</f>
        <v>16</v>
      </c>
      <c r="AD282" s="199">
        <f>IFERROR(__xludf.DUMMYFUNCTION("""COMPUTED_VALUE"""),0.0)</f>
        <v>0</v>
      </c>
      <c r="AE282" s="199">
        <f>IFERROR(__xludf.DUMMYFUNCTION("""COMPUTED_VALUE"""),177.0)</f>
        <v>177</v>
      </c>
      <c r="AF282" s="199">
        <f>IFERROR(__xludf.DUMMYFUNCTION("""COMPUTED_VALUE"""),9.0)</f>
        <v>9</v>
      </c>
      <c r="AG282" s="199">
        <f>IFERROR(__xludf.DUMMYFUNCTION("""COMPUTED_VALUE"""),450.0)</f>
        <v>450</v>
      </c>
      <c r="AH282" s="199">
        <f>IFERROR(__xludf.DUMMYFUNCTION("""COMPUTED_VALUE"""),8.0)</f>
        <v>8</v>
      </c>
      <c r="AI282" s="200" t="str">
        <f>IFERROR(__xludf.DUMMYFUNCTION("""COMPUTED_VALUE"""),"Wear Metal Alert")</f>
        <v>Wear Metal Alert</v>
      </c>
      <c r="AJ282" s="200" t="str">
        <f>IFERROR(__xludf.DUMMYFUNCTION("""COMPUTED_VALUE"""),"URGENT: Inspect equipment immediately for wear/damage; Severe oxidation - lubricant change required urgently; Elevated silicon - inspect filters and seals for contamination")</f>
        <v>URGENT: Inspect equipment immediately for wear/damage; Severe oxidation - lubricant change required urgently; Elevated silicon - inspect filters and seals for contamination</v>
      </c>
      <c r="AK282" s="204"/>
      <c r="AL282" s="204"/>
      <c r="AM282" s="204"/>
    </row>
    <row r="283" hidden="1">
      <c r="A283" s="199" t="str">
        <f>IFERROR(__xludf.DUMMYFUNCTION("""COMPUTED_VALUE"""),"532.LQ145")</f>
        <v>532.LQ145</v>
      </c>
      <c r="B283" s="200" t="str">
        <f>IFERROR(__xludf.DUMMYFUNCTION("""COMPUTED_VALUE"""),"Cement Mill #2 Gear box")</f>
        <v>Cement Mill #2 Gear box</v>
      </c>
      <c r="C283" s="199">
        <f>IFERROR(__xludf.DUMMYFUNCTION("""COMPUTED_VALUE"""),2.5112224252E10)</f>
        <v>25112224252</v>
      </c>
      <c r="D283" s="201">
        <f>IFERROR(__xludf.DUMMYFUNCTION("""COMPUTED_VALUE"""),45756.0)</f>
        <v>45756</v>
      </c>
      <c r="E283" s="202" t="str">
        <f>IFERROR(__xludf.DUMMYFUNCTION("""COMPUTED_VALUE"""),"Alert")</f>
        <v>Alert</v>
      </c>
      <c r="F283" s="202" t="str">
        <f>IFERROR(__xludf.DUMMYFUNCTION("""COMPUTED_VALUE"""),"Alert")</f>
        <v>Alert</v>
      </c>
      <c r="G283" s="203" t="str">
        <f>IFERROR(__xludf.DUMMYFUNCTION("""COMPUTED_VALUE"""),"Alert")</f>
        <v>Alert</v>
      </c>
      <c r="H283" s="203" t="str">
        <f>IFERROR(__xludf.DUMMYFUNCTION("""COMPUTED_VALUE"""),"Normal")</f>
        <v>Normal</v>
      </c>
      <c r="I283" s="37"/>
      <c r="J283" s="37"/>
      <c r="K283" s="37"/>
      <c r="L283" s="199">
        <f>IFERROR(__xludf.DUMMYFUNCTION("""COMPUTED_VALUE"""),49.0)</f>
        <v>49</v>
      </c>
      <c r="M283" s="199">
        <f>IFERROR(__xludf.DUMMYFUNCTION("""COMPUTED_VALUE"""),455.7)</f>
        <v>455.7</v>
      </c>
      <c r="N283" s="199"/>
      <c r="O283" s="199">
        <f>IFERROR(__xludf.DUMMYFUNCTION("""COMPUTED_VALUE"""),4.0)</f>
        <v>4</v>
      </c>
      <c r="P283" s="37">
        <f>IFERROR(__xludf.DUMMYFUNCTION("""COMPUTED_VALUE"""),0.03)</f>
        <v>0.03</v>
      </c>
      <c r="Q283" s="199">
        <f>IFERROR(__xludf.DUMMYFUNCTION("""COMPUTED_VALUE"""),0.0)</f>
        <v>0</v>
      </c>
      <c r="R283" s="199">
        <f>IFERROR(__xludf.DUMMYFUNCTION("""COMPUTED_VALUE"""),9.0)</f>
        <v>9</v>
      </c>
      <c r="S283" s="199">
        <f>IFERROR(__xludf.DUMMYFUNCTION("""COMPUTED_VALUE"""),0.0)</f>
        <v>0</v>
      </c>
      <c r="T283" s="199">
        <f>IFERROR(__xludf.DUMMYFUNCTION("""COMPUTED_VALUE"""),4.0)</f>
        <v>4</v>
      </c>
      <c r="U283" s="199">
        <f>IFERROR(__xludf.DUMMYFUNCTION("""COMPUTED_VALUE"""),72.0)</f>
        <v>72</v>
      </c>
      <c r="V283" s="199">
        <f>IFERROR(__xludf.DUMMYFUNCTION("""COMPUTED_VALUE"""),0.0)</f>
        <v>0</v>
      </c>
      <c r="W283" s="199">
        <f>IFERROR(__xludf.DUMMYFUNCTION("""COMPUTED_VALUE"""),0.0)</f>
        <v>0</v>
      </c>
      <c r="X283" s="199">
        <f>IFERROR(__xludf.DUMMYFUNCTION("""COMPUTED_VALUE"""),0.0)</f>
        <v>0</v>
      </c>
      <c r="Y283" s="199">
        <f>IFERROR(__xludf.DUMMYFUNCTION("""COMPUTED_VALUE"""),12.0)</f>
        <v>12</v>
      </c>
      <c r="Z283" s="199">
        <f>IFERROR(__xludf.DUMMYFUNCTION("""COMPUTED_VALUE"""),1.0)</f>
        <v>1</v>
      </c>
      <c r="AA283" s="199">
        <f>IFERROR(__xludf.DUMMYFUNCTION("""COMPUTED_VALUE"""),5.0)</f>
        <v>5</v>
      </c>
      <c r="AB283" s="199">
        <f>IFERROR(__xludf.DUMMYFUNCTION("""COMPUTED_VALUE"""),42.0)</f>
        <v>42</v>
      </c>
      <c r="AC283" s="199">
        <f>IFERROR(__xludf.DUMMYFUNCTION("""COMPUTED_VALUE"""),9.0)</f>
        <v>9</v>
      </c>
      <c r="AD283" s="199">
        <f>IFERROR(__xludf.DUMMYFUNCTION("""COMPUTED_VALUE"""),0.0)</f>
        <v>0</v>
      </c>
      <c r="AE283" s="199">
        <f>IFERROR(__xludf.DUMMYFUNCTION("""COMPUTED_VALUE"""),226.0)</f>
        <v>226</v>
      </c>
      <c r="AF283" s="199">
        <f>IFERROR(__xludf.DUMMYFUNCTION("""COMPUTED_VALUE"""),8.0)</f>
        <v>8</v>
      </c>
      <c r="AG283" s="199">
        <f>IFERROR(__xludf.DUMMYFUNCTION("""COMPUTED_VALUE"""),238.0)</f>
        <v>238</v>
      </c>
      <c r="AH283" s="199">
        <f>IFERROR(__xludf.DUMMYFUNCTION("""COMPUTED_VALUE"""),5.0)</f>
        <v>5</v>
      </c>
      <c r="AI283" s="200" t="str">
        <f>IFERROR(__xludf.DUMMYFUNCTION("""COMPUTED_VALUE"""),"Wear Metal Alert")</f>
        <v>Wear Metal Alert</v>
      </c>
      <c r="AJ283" s="200" t="str">
        <f>IFERROR(__xludf.DUMMYFUNCTION("""COMPUTED_VALUE"""),"URGENT: Inspect equipment immediately for wear/damage; Elevated silicon - inspect filters and seals for contamination")</f>
        <v>URGENT: Inspect equipment immediately for wear/damage; Elevated silicon - inspect filters and seals for contamination</v>
      </c>
      <c r="AK283" s="204"/>
      <c r="AL283" s="204"/>
      <c r="AM283" s="204"/>
    </row>
    <row r="284" hidden="1">
      <c r="A284" s="199" t="str">
        <f>IFERROR(__xludf.DUMMYFUNCTION("""COMPUTED_VALUE"""),"533.BE220")</f>
        <v>533.BE220</v>
      </c>
      <c r="B284" s="200" t="str">
        <f>IFERROR(__xludf.DUMMYFUNCTION("""COMPUTED_VALUE"""),"Bucket Elevator BM#3 GB.")</f>
        <v>Bucket Elevator BM#3 GB.</v>
      </c>
      <c r="C284" s="199">
        <f>IFERROR(__xludf.DUMMYFUNCTION("""COMPUTED_VALUE"""),2.5110204257E10)</f>
        <v>25110204257</v>
      </c>
      <c r="D284" s="201">
        <f>IFERROR(__xludf.DUMMYFUNCTION("""COMPUTED_VALUE"""),45756.0)</f>
        <v>45756</v>
      </c>
      <c r="E284" s="202" t="str">
        <f>IFERROR(__xludf.DUMMYFUNCTION("""COMPUTED_VALUE"""),"Caution")</f>
        <v>Caution</v>
      </c>
      <c r="F284" s="202" t="str">
        <f>IFERROR(__xludf.DUMMYFUNCTION("""COMPUTED_VALUE"""),"Normal")</f>
        <v>Normal</v>
      </c>
      <c r="G284" s="203" t="str">
        <f>IFERROR(__xludf.DUMMYFUNCTION("""COMPUTED_VALUE"""),"Normal")</f>
        <v>Normal</v>
      </c>
      <c r="H284" s="203" t="str">
        <f>IFERROR(__xludf.DUMMYFUNCTION("""COMPUTED_VALUE"""),"Caution")</f>
        <v>Caution</v>
      </c>
      <c r="I284" s="199">
        <f>IFERROR(__xludf.DUMMYFUNCTION("""COMPUTED_VALUE"""),23210.0)</f>
        <v>23210</v>
      </c>
      <c r="J284" s="199">
        <f>IFERROR(__xludf.DUMMYFUNCTION("""COMPUTED_VALUE"""),6542.0)</f>
        <v>6542</v>
      </c>
      <c r="K284" s="199">
        <f>IFERROR(__xludf.DUMMYFUNCTION("""COMPUTED_VALUE"""),2541.0)</f>
        <v>2541</v>
      </c>
      <c r="L284" s="199">
        <f>IFERROR(__xludf.DUMMYFUNCTION("""COMPUTED_VALUE"""),14.0)</f>
        <v>14</v>
      </c>
      <c r="M284" s="199">
        <f>IFERROR(__xludf.DUMMYFUNCTION("""COMPUTED_VALUE"""),275.6)</f>
        <v>275.6</v>
      </c>
      <c r="N284" s="199"/>
      <c r="O284" s="199">
        <f>IFERROR(__xludf.DUMMYFUNCTION("""COMPUTED_VALUE"""),6.0)</f>
        <v>6</v>
      </c>
      <c r="P284" s="37">
        <f>IFERROR(__xludf.DUMMYFUNCTION("""COMPUTED_VALUE"""),0.02)</f>
        <v>0.02</v>
      </c>
      <c r="Q284" s="199">
        <f>IFERROR(__xludf.DUMMYFUNCTION("""COMPUTED_VALUE"""),0.0)</f>
        <v>0</v>
      </c>
      <c r="R284" s="199">
        <f>IFERROR(__xludf.DUMMYFUNCTION("""COMPUTED_VALUE"""),0.0)</f>
        <v>0</v>
      </c>
      <c r="S284" s="199">
        <f>IFERROR(__xludf.DUMMYFUNCTION("""COMPUTED_VALUE"""),0.0)</f>
        <v>0</v>
      </c>
      <c r="T284" s="199">
        <f>IFERROR(__xludf.DUMMYFUNCTION("""COMPUTED_VALUE"""),45.0)</f>
        <v>45</v>
      </c>
      <c r="U284" s="199">
        <f>IFERROR(__xludf.DUMMYFUNCTION("""COMPUTED_VALUE"""),14.0)</f>
        <v>14</v>
      </c>
      <c r="V284" s="199">
        <f>IFERROR(__xludf.DUMMYFUNCTION("""COMPUTED_VALUE"""),0.0)</f>
        <v>0</v>
      </c>
      <c r="W284" s="199">
        <f>IFERROR(__xludf.DUMMYFUNCTION("""COMPUTED_VALUE"""),0.0)</f>
        <v>0</v>
      </c>
      <c r="X284" s="199">
        <f>IFERROR(__xludf.DUMMYFUNCTION("""COMPUTED_VALUE"""),1.0)</f>
        <v>1</v>
      </c>
      <c r="Y284" s="199">
        <f>IFERROR(__xludf.DUMMYFUNCTION("""COMPUTED_VALUE"""),0.0)</f>
        <v>0</v>
      </c>
      <c r="Z284" s="199">
        <f>IFERROR(__xludf.DUMMYFUNCTION("""COMPUTED_VALUE"""),1.0)</f>
        <v>1</v>
      </c>
      <c r="AA284" s="199">
        <f>IFERROR(__xludf.DUMMYFUNCTION("""COMPUTED_VALUE"""),0.0)</f>
        <v>0</v>
      </c>
      <c r="AB284" s="199">
        <f>IFERROR(__xludf.DUMMYFUNCTION("""COMPUTED_VALUE"""),11.0)</f>
        <v>11</v>
      </c>
      <c r="AC284" s="199">
        <f>IFERROR(__xludf.DUMMYFUNCTION("""COMPUTED_VALUE"""),23.0)</f>
        <v>23</v>
      </c>
      <c r="AD284" s="199">
        <f>IFERROR(__xludf.DUMMYFUNCTION("""COMPUTED_VALUE"""),0.0)</f>
        <v>0</v>
      </c>
      <c r="AE284" s="199">
        <f>IFERROR(__xludf.DUMMYFUNCTION("""COMPUTED_VALUE"""),42.0)</f>
        <v>42</v>
      </c>
      <c r="AF284" s="199">
        <f>IFERROR(__xludf.DUMMYFUNCTION("""COMPUTED_VALUE"""),1.0)</f>
        <v>1</v>
      </c>
      <c r="AG284" s="199">
        <f>IFERROR(__xludf.DUMMYFUNCTION("""COMPUTED_VALUE"""),307.0)</f>
        <v>307</v>
      </c>
      <c r="AH284" s="199">
        <f>IFERROR(__xludf.DUMMYFUNCTION("""COMPUTED_VALUE"""),14.0)</f>
        <v>14</v>
      </c>
      <c r="AI284" s="200" t="str">
        <f>IFERROR(__xludf.DUMMYFUNCTION("""COMPUTED_VALUE"""),"Lubricant Condition Caution")</f>
        <v>Lubricant Condition Caution</v>
      </c>
      <c r="AJ284" s="200" t="str">
        <f>IFERROR(__xludf.DUMMYFUNCTION("""COMPUTED_VALUE"""),"Lubricant showing degradation - plan oil change within 3 months; Oxidation increasing - monitor and plan oil change")</f>
        <v>Lubricant showing degradation - plan oil change within 3 months; Oxidation increasing - monitor and plan oil change</v>
      </c>
      <c r="AK284" s="204"/>
      <c r="AL284" s="204"/>
      <c r="AM284" s="204"/>
    </row>
    <row r="285" hidden="1">
      <c r="A285" s="199" t="str">
        <f>IFERROR(__xludf.DUMMYFUNCTION("""COMPUTED_VALUE"""),"533.LQ110")</f>
        <v>533.LQ110</v>
      </c>
      <c r="B285" s="200" t="str">
        <f>IFERROR(__xludf.DUMMYFUNCTION("""COMPUTED_VALUE"""),"Cement Mill Inlet Slide Shoe Bearing LUB.")</f>
        <v>Cement Mill Inlet Slide Shoe Bearing LUB.</v>
      </c>
      <c r="C285" s="199">
        <f>IFERROR(__xludf.DUMMYFUNCTION("""COMPUTED_VALUE"""),2.5112224248E10)</f>
        <v>25112224248</v>
      </c>
      <c r="D285" s="201">
        <f>IFERROR(__xludf.DUMMYFUNCTION("""COMPUTED_VALUE"""),45756.0)</f>
        <v>45756</v>
      </c>
      <c r="E285" s="202" t="str">
        <f>IFERROR(__xludf.DUMMYFUNCTION("""COMPUTED_VALUE"""),"Alert")</f>
        <v>Alert</v>
      </c>
      <c r="F285" s="202" t="str">
        <f>IFERROR(__xludf.DUMMYFUNCTION("""COMPUTED_VALUE"""),"Alert")</f>
        <v>Alert</v>
      </c>
      <c r="G285" s="203" t="str">
        <f>IFERROR(__xludf.DUMMYFUNCTION("""COMPUTED_VALUE"""),"Alert")</f>
        <v>Alert</v>
      </c>
      <c r="H285" s="203" t="str">
        <f>IFERROR(__xludf.DUMMYFUNCTION("""COMPUTED_VALUE"""),"Caution")</f>
        <v>Caution</v>
      </c>
      <c r="I285" s="37"/>
      <c r="J285" s="37"/>
      <c r="K285" s="37"/>
      <c r="L285" s="199">
        <f>IFERROR(__xludf.DUMMYFUNCTION("""COMPUTED_VALUE"""),130.0)</f>
        <v>130</v>
      </c>
      <c r="M285" s="199">
        <f>IFERROR(__xludf.DUMMYFUNCTION("""COMPUTED_VALUE"""),419.7)</f>
        <v>419.7</v>
      </c>
      <c r="N285" s="199"/>
      <c r="O285" s="199">
        <f>IFERROR(__xludf.DUMMYFUNCTION("""COMPUTED_VALUE"""),5.0)</f>
        <v>5</v>
      </c>
      <c r="P285" s="37">
        <f>IFERROR(__xludf.DUMMYFUNCTION("""COMPUTED_VALUE"""),0.03)</f>
        <v>0.03</v>
      </c>
      <c r="Q285" s="199">
        <f>IFERROR(__xludf.DUMMYFUNCTION("""COMPUTED_VALUE"""),0.0)</f>
        <v>0</v>
      </c>
      <c r="R285" s="199">
        <f>IFERROR(__xludf.DUMMYFUNCTION("""COMPUTED_VALUE"""),7.0)</f>
        <v>7</v>
      </c>
      <c r="S285" s="199">
        <f>IFERROR(__xludf.DUMMYFUNCTION("""COMPUTED_VALUE"""),0.0)</f>
        <v>0</v>
      </c>
      <c r="T285" s="199">
        <f>IFERROR(__xludf.DUMMYFUNCTION("""COMPUTED_VALUE"""),71.0)</f>
        <v>71</v>
      </c>
      <c r="U285" s="199">
        <f>IFERROR(__xludf.DUMMYFUNCTION("""COMPUTED_VALUE"""),112.0)</f>
        <v>112</v>
      </c>
      <c r="V285" s="199">
        <f>IFERROR(__xludf.DUMMYFUNCTION("""COMPUTED_VALUE"""),0.0)</f>
        <v>0</v>
      </c>
      <c r="W285" s="199">
        <f>IFERROR(__xludf.DUMMYFUNCTION("""COMPUTED_VALUE"""),0.0)</f>
        <v>0</v>
      </c>
      <c r="X285" s="199">
        <f>IFERROR(__xludf.DUMMYFUNCTION("""COMPUTED_VALUE"""),111.0)</f>
        <v>111</v>
      </c>
      <c r="Y285" s="199">
        <f>IFERROR(__xludf.DUMMYFUNCTION("""COMPUTED_VALUE"""),588.0)</f>
        <v>588</v>
      </c>
      <c r="Z285" s="199">
        <f>IFERROR(__xludf.DUMMYFUNCTION("""COMPUTED_VALUE"""),6.0)</f>
        <v>6</v>
      </c>
      <c r="AA285" s="199">
        <f>IFERROR(__xludf.DUMMYFUNCTION("""COMPUTED_VALUE"""),5.0)</f>
        <v>5</v>
      </c>
      <c r="AB285" s="199">
        <f>IFERROR(__xludf.DUMMYFUNCTION("""COMPUTED_VALUE"""),42.0)</f>
        <v>42</v>
      </c>
      <c r="AC285" s="199">
        <f>IFERROR(__xludf.DUMMYFUNCTION("""COMPUTED_VALUE"""),20.0)</f>
        <v>20</v>
      </c>
      <c r="AD285" s="199">
        <f>IFERROR(__xludf.DUMMYFUNCTION("""COMPUTED_VALUE"""),0.0)</f>
        <v>0</v>
      </c>
      <c r="AE285" s="199">
        <f>IFERROR(__xludf.DUMMYFUNCTION("""COMPUTED_VALUE"""),258.0)</f>
        <v>258</v>
      </c>
      <c r="AF285" s="199">
        <f>IFERROR(__xludf.DUMMYFUNCTION("""COMPUTED_VALUE"""),15.0)</f>
        <v>15</v>
      </c>
      <c r="AG285" s="199">
        <f>IFERROR(__xludf.DUMMYFUNCTION("""COMPUTED_VALUE"""),396.0)</f>
        <v>396</v>
      </c>
      <c r="AH285" s="199">
        <f>IFERROR(__xludf.DUMMYFUNCTION("""COMPUTED_VALUE"""),18.0)</f>
        <v>18</v>
      </c>
      <c r="AI285" s="200" t="str">
        <f>IFERROR(__xludf.DUMMYFUNCTION("""COMPUTED_VALUE"""),"Wear Metal Alert | High Particle Count")</f>
        <v>Wear Metal Alert | High Particle Count</v>
      </c>
      <c r="AJ285" s="200" t="str">
        <f>IFERROR(__xludf.DUMMYFUNCTION("""COMPUTED_VALUE"""),"URGENT: Inspect equipment immediately for wear/damage; Critical wear metals detected - schedule immediate inspection; High wear metals - inspect bearing/gear surfaces; Severe oxidation - lubricant change required urgently; Elevated silicon - inspect filte"&amp;"rs and seals for contamination; High particle count - replace filters and resample")</f>
        <v>URGENT: Inspect equipment immediately for wear/damage; Critical wear metals detected - schedule immediate inspection; High wear metals - inspect bearing/gear surfaces; Severe oxidation - lubricant change required urgently; Elevated silicon - inspect filters and seals for contamination; High particle count - replace filters and resample</v>
      </c>
      <c r="AK285" s="204"/>
      <c r="AL285" s="204"/>
      <c r="AM285" s="204"/>
    </row>
    <row r="286" hidden="1">
      <c r="A286" s="199" t="str">
        <f>IFERROR(__xludf.DUMMYFUNCTION("""COMPUTED_VALUE"""),"533.LQ120")</f>
        <v>533.LQ120</v>
      </c>
      <c r="B286" s="200" t="str">
        <f>IFERROR(__xludf.DUMMYFUNCTION("""COMPUTED_VALUE"""),"Cement Mill Outlet Slide Shoe Bearing LUB.")</f>
        <v>Cement Mill Outlet Slide Shoe Bearing LUB.</v>
      </c>
      <c r="C286" s="199">
        <f>IFERROR(__xludf.DUMMYFUNCTION("""COMPUTED_VALUE"""),2.511222426E10)</f>
        <v>25112224260</v>
      </c>
      <c r="D286" s="201">
        <f>IFERROR(__xludf.DUMMYFUNCTION("""COMPUTED_VALUE"""),45756.0)</f>
        <v>45756</v>
      </c>
      <c r="E286" s="202" t="str">
        <f>IFERROR(__xludf.DUMMYFUNCTION("""COMPUTED_VALUE"""),"Alert")</f>
        <v>Alert</v>
      </c>
      <c r="F286" s="202" t="str">
        <f>IFERROR(__xludf.DUMMYFUNCTION("""COMPUTED_VALUE"""),"Alert")</f>
        <v>Alert</v>
      </c>
      <c r="G286" s="203" t="str">
        <f>IFERROR(__xludf.DUMMYFUNCTION("""COMPUTED_VALUE"""),"Alert")</f>
        <v>Alert</v>
      </c>
      <c r="H286" s="203" t="str">
        <f>IFERROR(__xludf.DUMMYFUNCTION("""COMPUTED_VALUE"""),"Normal")</f>
        <v>Normal</v>
      </c>
      <c r="I286" s="37"/>
      <c r="J286" s="37"/>
      <c r="K286" s="37"/>
      <c r="L286" s="199">
        <f>IFERROR(__xludf.DUMMYFUNCTION("""COMPUTED_VALUE"""),43.0)</f>
        <v>43</v>
      </c>
      <c r="M286" s="199">
        <f>IFERROR(__xludf.DUMMYFUNCTION("""COMPUTED_VALUE"""),393.9)</f>
        <v>393.9</v>
      </c>
      <c r="N286" s="199"/>
      <c r="O286" s="199">
        <f>IFERROR(__xludf.DUMMYFUNCTION("""COMPUTED_VALUE"""),2.0)</f>
        <v>2</v>
      </c>
      <c r="P286" s="37">
        <f>IFERROR(__xludf.DUMMYFUNCTION("""COMPUTED_VALUE"""),0.02)</f>
        <v>0.02</v>
      </c>
      <c r="Q286" s="199">
        <f>IFERROR(__xludf.DUMMYFUNCTION("""COMPUTED_VALUE"""),0.0)</f>
        <v>0</v>
      </c>
      <c r="R286" s="199">
        <f>IFERROR(__xludf.DUMMYFUNCTION("""COMPUTED_VALUE"""),9.0)</f>
        <v>9</v>
      </c>
      <c r="S286" s="199">
        <f>IFERROR(__xludf.DUMMYFUNCTION("""COMPUTED_VALUE"""),0.0)</f>
        <v>0</v>
      </c>
      <c r="T286" s="199">
        <f>IFERROR(__xludf.DUMMYFUNCTION("""COMPUTED_VALUE"""),27.0)</f>
        <v>27</v>
      </c>
      <c r="U286" s="199">
        <f>IFERROR(__xludf.DUMMYFUNCTION("""COMPUTED_VALUE"""),71.0)</f>
        <v>71</v>
      </c>
      <c r="V286" s="199">
        <f>IFERROR(__xludf.DUMMYFUNCTION("""COMPUTED_VALUE"""),0.0)</f>
        <v>0</v>
      </c>
      <c r="W286" s="199">
        <f>IFERROR(__xludf.DUMMYFUNCTION("""COMPUTED_VALUE"""),0.0)</f>
        <v>0</v>
      </c>
      <c r="X286" s="199">
        <f>IFERROR(__xludf.DUMMYFUNCTION("""COMPUTED_VALUE"""),60.0)</f>
        <v>60</v>
      </c>
      <c r="Y286" s="199">
        <f>IFERROR(__xludf.DUMMYFUNCTION("""COMPUTED_VALUE"""),235.0)</f>
        <v>235</v>
      </c>
      <c r="Z286" s="199">
        <f>IFERROR(__xludf.DUMMYFUNCTION("""COMPUTED_VALUE"""),1.0)</f>
        <v>1</v>
      </c>
      <c r="AA286" s="199">
        <f>IFERROR(__xludf.DUMMYFUNCTION("""COMPUTED_VALUE"""),3.0)</f>
        <v>3</v>
      </c>
      <c r="AB286" s="199">
        <f>IFERROR(__xludf.DUMMYFUNCTION("""COMPUTED_VALUE"""),47.0)</f>
        <v>47</v>
      </c>
      <c r="AC286" s="199">
        <f>IFERROR(__xludf.DUMMYFUNCTION("""COMPUTED_VALUE"""),11.0)</f>
        <v>11</v>
      </c>
      <c r="AD286" s="199">
        <f>IFERROR(__xludf.DUMMYFUNCTION("""COMPUTED_VALUE"""),1.0)</f>
        <v>1</v>
      </c>
      <c r="AE286" s="199">
        <f>IFERROR(__xludf.DUMMYFUNCTION("""COMPUTED_VALUE"""),197.0)</f>
        <v>197</v>
      </c>
      <c r="AF286" s="199">
        <f>IFERROR(__xludf.DUMMYFUNCTION("""COMPUTED_VALUE"""),6.0)</f>
        <v>6</v>
      </c>
      <c r="AG286" s="199">
        <f>IFERROR(__xludf.DUMMYFUNCTION("""COMPUTED_VALUE"""),441.0)</f>
        <v>441</v>
      </c>
      <c r="AH286" s="199">
        <f>IFERROR(__xludf.DUMMYFUNCTION("""COMPUTED_VALUE"""),11.0)</f>
        <v>11</v>
      </c>
      <c r="AI286" s="200" t="str">
        <f>IFERROR(__xludf.DUMMYFUNCTION("""COMPUTED_VALUE"""),"Wear Metal Alert")</f>
        <v>Wear Metal Alert</v>
      </c>
      <c r="AJ286" s="200" t="str">
        <f>IFERROR(__xludf.DUMMYFUNCTION("""COMPUTED_VALUE"""),"URGENT: Inspect equipment immediately for wear/damage; Critical wear metals detected - schedule immediate inspection; Elevated silicon - inspect filters and seals for contamination")</f>
        <v>URGENT: Inspect equipment immediately for wear/damage; Critical wear metals detected - schedule immediate inspection; Elevated silicon - inspect filters and seals for contamination</v>
      </c>
      <c r="AK286" s="204"/>
      <c r="AL286" s="204"/>
      <c r="AM286" s="204"/>
    </row>
    <row r="287" hidden="1">
      <c r="A287" s="199" t="str">
        <f>IFERROR(__xludf.DUMMYFUNCTION("""COMPUTED_VALUE"""),"533.LQ145")</f>
        <v>533.LQ145</v>
      </c>
      <c r="B287" s="200" t="str">
        <f>IFERROR(__xludf.DUMMYFUNCTION("""COMPUTED_VALUE"""),"Cement Mill #3 Gear box")</f>
        <v>Cement Mill #3 Gear box</v>
      </c>
      <c r="C287" s="199">
        <f>IFERROR(__xludf.DUMMYFUNCTION("""COMPUTED_VALUE"""),2.5107174201E10)</f>
        <v>25107174201</v>
      </c>
      <c r="D287" s="201">
        <f>IFERROR(__xludf.DUMMYFUNCTION("""COMPUTED_VALUE"""),45756.0)</f>
        <v>45756</v>
      </c>
      <c r="E287" s="202" t="str">
        <f>IFERROR(__xludf.DUMMYFUNCTION("""COMPUTED_VALUE"""),"Alert")</f>
        <v>Alert</v>
      </c>
      <c r="F287" s="202" t="str">
        <f>IFERROR(__xludf.DUMMYFUNCTION("""COMPUTED_VALUE"""),"Alert")</f>
        <v>Alert</v>
      </c>
      <c r="G287" s="203" t="str">
        <f>IFERROR(__xludf.DUMMYFUNCTION("""COMPUTED_VALUE"""),"Normal")</f>
        <v>Normal</v>
      </c>
      <c r="H287" s="203" t="str">
        <f>IFERROR(__xludf.DUMMYFUNCTION("""COMPUTED_VALUE"""),"Normal")</f>
        <v>Normal</v>
      </c>
      <c r="I287" s="37"/>
      <c r="J287" s="37"/>
      <c r="K287" s="37"/>
      <c r="L287" s="199">
        <f>IFERROR(__xludf.DUMMYFUNCTION("""COMPUTED_VALUE"""),36.0)</f>
        <v>36</v>
      </c>
      <c r="M287" s="199">
        <f>IFERROR(__xludf.DUMMYFUNCTION("""COMPUTED_VALUE"""),442.7)</f>
        <v>442.7</v>
      </c>
      <c r="N287" s="199"/>
      <c r="O287" s="199">
        <f>IFERROR(__xludf.DUMMYFUNCTION("""COMPUTED_VALUE"""),1.0)</f>
        <v>1</v>
      </c>
      <c r="P287" s="37">
        <f>IFERROR(__xludf.DUMMYFUNCTION("""COMPUTED_VALUE"""),0.11)</f>
        <v>0.11</v>
      </c>
      <c r="Q287" s="199">
        <f>IFERROR(__xludf.DUMMYFUNCTION("""COMPUTED_VALUE"""),0.0)</f>
        <v>0</v>
      </c>
      <c r="R287" s="199">
        <f>IFERROR(__xludf.DUMMYFUNCTION("""COMPUTED_VALUE"""),8.0)</f>
        <v>8</v>
      </c>
      <c r="S287" s="199">
        <f>IFERROR(__xludf.DUMMYFUNCTION("""COMPUTED_VALUE"""),0.0)</f>
        <v>0</v>
      </c>
      <c r="T287" s="199">
        <f>IFERROR(__xludf.DUMMYFUNCTION("""COMPUTED_VALUE"""),1.0)</f>
        <v>1</v>
      </c>
      <c r="U287" s="199">
        <f>IFERROR(__xludf.DUMMYFUNCTION("""COMPUTED_VALUE"""),37.0)</f>
        <v>37</v>
      </c>
      <c r="V287" s="199">
        <f>IFERROR(__xludf.DUMMYFUNCTION("""COMPUTED_VALUE"""),2.0)</f>
        <v>2</v>
      </c>
      <c r="W287" s="199">
        <f>IFERROR(__xludf.DUMMYFUNCTION("""COMPUTED_VALUE"""),0.0)</f>
        <v>0</v>
      </c>
      <c r="X287" s="199">
        <f>IFERROR(__xludf.DUMMYFUNCTION("""COMPUTED_VALUE"""),3.0)</f>
        <v>3</v>
      </c>
      <c r="Y287" s="199">
        <f>IFERROR(__xludf.DUMMYFUNCTION("""COMPUTED_VALUE"""),0.0)</f>
        <v>0</v>
      </c>
      <c r="Z287" s="199">
        <f>IFERROR(__xludf.DUMMYFUNCTION("""COMPUTED_VALUE"""),0.0)</f>
        <v>0</v>
      </c>
      <c r="AA287" s="199">
        <f>IFERROR(__xludf.DUMMYFUNCTION("""COMPUTED_VALUE"""),0.0)</f>
        <v>0</v>
      </c>
      <c r="AB287" s="199">
        <f>IFERROR(__xludf.DUMMYFUNCTION("""COMPUTED_VALUE"""),30.0)</f>
        <v>30</v>
      </c>
      <c r="AC287" s="199">
        <f>IFERROR(__xludf.DUMMYFUNCTION("""COMPUTED_VALUE"""),25.0)</f>
        <v>25</v>
      </c>
      <c r="AD287" s="199">
        <f>IFERROR(__xludf.DUMMYFUNCTION("""COMPUTED_VALUE"""),0.0)</f>
        <v>0</v>
      </c>
      <c r="AE287" s="199">
        <f>IFERROR(__xludf.DUMMYFUNCTION("""COMPUTED_VALUE"""),135.0)</f>
        <v>135</v>
      </c>
      <c r="AF287" s="199">
        <f>IFERROR(__xludf.DUMMYFUNCTION("""COMPUTED_VALUE"""),5.0)</f>
        <v>5</v>
      </c>
      <c r="AG287" s="199">
        <f>IFERROR(__xludf.DUMMYFUNCTION("""COMPUTED_VALUE"""),355.0)</f>
        <v>355</v>
      </c>
      <c r="AH287" s="199">
        <f>IFERROR(__xludf.DUMMYFUNCTION("""COMPUTED_VALUE"""),7.0)</f>
        <v>7</v>
      </c>
      <c r="AI287" s="200" t="str">
        <f>IFERROR(__xludf.DUMMYFUNCTION("""COMPUTED_VALUE"""),"Water Ingress")</f>
        <v>Water Ingress</v>
      </c>
      <c r="AJ287" s="200" t="str">
        <f>IFERROR(__xludf.DUMMYFUNCTION("""COMPUTED_VALUE"""),"Water detected - inspect seals and breathers")</f>
        <v>Water detected - inspect seals and breathers</v>
      </c>
      <c r="AK287" s="204"/>
      <c r="AL287" s="204"/>
      <c r="AM287" s="204"/>
    </row>
    <row r="288" hidden="1">
      <c r="A288" s="199" t="str">
        <f>IFERROR(__xludf.DUMMYFUNCTION("""COMPUTED_VALUE"""),"534.LQ110")</f>
        <v>534.LQ110</v>
      </c>
      <c r="B288" s="200" t="str">
        <f>IFERROR(__xludf.DUMMYFUNCTION("""COMPUTED_VALUE"""),"Cement Mill Inlet Slide Shoe Bearing LUB.")</f>
        <v>Cement Mill Inlet Slide Shoe Bearing LUB.</v>
      </c>
      <c r="C288" s="199">
        <f>IFERROR(__xludf.DUMMYFUNCTION("""COMPUTED_VALUE"""),2.5112224254E10)</f>
        <v>25112224254</v>
      </c>
      <c r="D288" s="201">
        <f>IFERROR(__xludf.DUMMYFUNCTION("""COMPUTED_VALUE"""),45756.0)</f>
        <v>45756</v>
      </c>
      <c r="E288" s="202" t="str">
        <f>IFERROR(__xludf.DUMMYFUNCTION("""COMPUTED_VALUE"""),"Caution")</f>
        <v>Caution</v>
      </c>
      <c r="F288" s="202" t="str">
        <f>IFERROR(__xludf.DUMMYFUNCTION("""COMPUTED_VALUE"""),"Caution")</f>
        <v>Caution</v>
      </c>
      <c r="G288" s="203" t="str">
        <f>IFERROR(__xludf.DUMMYFUNCTION("""COMPUTED_VALUE"""),"Normal")</f>
        <v>Normal</v>
      </c>
      <c r="H288" s="203" t="str">
        <f>IFERROR(__xludf.DUMMYFUNCTION("""COMPUTED_VALUE"""),"Normal")</f>
        <v>Normal</v>
      </c>
      <c r="I288" s="199"/>
      <c r="J288" s="199"/>
      <c r="K288" s="199"/>
      <c r="L288" s="199">
        <f>IFERROR(__xludf.DUMMYFUNCTION("""COMPUTED_VALUE"""),31.0)</f>
        <v>31</v>
      </c>
      <c r="M288" s="199">
        <f>IFERROR(__xludf.DUMMYFUNCTION("""COMPUTED_VALUE"""),427.1)</f>
        <v>427.1</v>
      </c>
      <c r="N288" s="199"/>
      <c r="O288" s="199">
        <f>IFERROR(__xludf.DUMMYFUNCTION("""COMPUTED_VALUE"""),1.0)</f>
        <v>1</v>
      </c>
      <c r="P288" s="37">
        <f>IFERROR(__xludf.DUMMYFUNCTION("""COMPUTED_VALUE"""),0.02)</f>
        <v>0.02</v>
      </c>
      <c r="Q288" s="199">
        <f>IFERROR(__xludf.DUMMYFUNCTION("""COMPUTED_VALUE"""),0.0)</f>
        <v>0</v>
      </c>
      <c r="R288" s="199">
        <f>IFERROR(__xludf.DUMMYFUNCTION("""COMPUTED_VALUE"""),0.0)</f>
        <v>0</v>
      </c>
      <c r="S288" s="199">
        <f>IFERROR(__xludf.DUMMYFUNCTION("""COMPUTED_VALUE"""),0.0)</f>
        <v>0</v>
      </c>
      <c r="T288" s="199">
        <f>IFERROR(__xludf.DUMMYFUNCTION("""COMPUTED_VALUE"""),0.0)</f>
        <v>0</v>
      </c>
      <c r="U288" s="199">
        <f>IFERROR(__xludf.DUMMYFUNCTION("""COMPUTED_VALUE"""),38.0)</f>
        <v>38</v>
      </c>
      <c r="V288" s="199">
        <f>IFERROR(__xludf.DUMMYFUNCTION("""COMPUTED_VALUE"""),0.0)</f>
        <v>0</v>
      </c>
      <c r="W288" s="199">
        <f>IFERROR(__xludf.DUMMYFUNCTION("""COMPUTED_VALUE"""),0.0)</f>
        <v>0</v>
      </c>
      <c r="X288" s="199">
        <f>IFERROR(__xludf.DUMMYFUNCTION("""COMPUTED_VALUE"""),0.0)</f>
        <v>0</v>
      </c>
      <c r="Y288" s="199">
        <f>IFERROR(__xludf.DUMMYFUNCTION("""COMPUTED_VALUE"""),2.0)</f>
        <v>2</v>
      </c>
      <c r="Z288" s="199">
        <f>IFERROR(__xludf.DUMMYFUNCTION("""COMPUTED_VALUE"""),0.0)</f>
        <v>0</v>
      </c>
      <c r="AA288" s="199">
        <f>IFERROR(__xludf.DUMMYFUNCTION("""COMPUTED_VALUE"""),2.0)</f>
        <v>2</v>
      </c>
      <c r="AB288" s="199">
        <f>IFERROR(__xludf.DUMMYFUNCTION("""COMPUTED_VALUE"""),9.0)</f>
        <v>9</v>
      </c>
      <c r="AC288" s="199">
        <f>IFERROR(__xludf.DUMMYFUNCTION("""COMPUTED_VALUE"""),15.0)</f>
        <v>15</v>
      </c>
      <c r="AD288" s="199">
        <f>IFERROR(__xludf.DUMMYFUNCTION("""COMPUTED_VALUE"""),0.0)</f>
        <v>0</v>
      </c>
      <c r="AE288" s="199">
        <f>IFERROR(__xludf.DUMMYFUNCTION("""COMPUTED_VALUE"""),106.0)</f>
        <v>106</v>
      </c>
      <c r="AF288" s="199">
        <f>IFERROR(__xludf.DUMMYFUNCTION("""COMPUTED_VALUE"""),3.0)</f>
        <v>3</v>
      </c>
      <c r="AG288" s="199">
        <f>IFERROR(__xludf.DUMMYFUNCTION("""COMPUTED_VALUE"""),287.0)</f>
        <v>287</v>
      </c>
      <c r="AH288" s="199">
        <f>IFERROR(__xludf.DUMMYFUNCTION("""COMPUTED_VALUE"""),6.0)</f>
        <v>6</v>
      </c>
      <c r="AI288" s="200" t="str">
        <f>IFERROR(__xludf.DUMMYFUNCTION("""COMPUTED_VALUE"""),"General Caution")</f>
        <v>General Caution</v>
      </c>
      <c r="AJ288" s="200" t="str">
        <f>IFERROR(__xludf.DUMMYFUNCTION("""COMPUTED_VALUE"""),"Continue monitoring; resample at next scheduled interval")</f>
        <v>Continue monitoring; resample at next scheduled interval</v>
      </c>
      <c r="AK288" s="204"/>
      <c r="AL288" s="204"/>
      <c r="AM288" s="204"/>
    </row>
    <row r="289" hidden="1">
      <c r="A289" s="199" t="str">
        <f>IFERROR(__xludf.DUMMYFUNCTION("""COMPUTED_VALUE"""),"534.LQ120")</f>
        <v>534.LQ120</v>
      </c>
      <c r="B289" s="200" t="str">
        <f>IFERROR(__xludf.DUMMYFUNCTION("""COMPUTED_VALUE"""),"Cement Mill Outlet Slide Shoe Bearing LUB.")</f>
        <v>Cement Mill Outlet Slide Shoe Bearing LUB.</v>
      </c>
      <c r="C289" s="199">
        <f>IFERROR(__xludf.DUMMYFUNCTION("""COMPUTED_VALUE"""),2.511222425E10)</f>
        <v>25112224250</v>
      </c>
      <c r="D289" s="201">
        <f>IFERROR(__xludf.DUMMYFUNCTION("""COMPUTED_VALUE"""),45756.0)</f>
        <v>45756</v>
      </c>
      <c r="E289" s="202" t="str">
        <f>IFERROR(__xludf.DUMMYFUNCTION("""COMPUTED_VALUE"""),"Alert")</f>
        <v>Alert</v>
      </c>
      <c r="F289" s="202" t="str">
        <f>IFERROR(__xludf.DUMMYFUNCTION("""COMPUTED_VALUE"""),"Alert")</f>
        <v>Alert</v>
      </c>
      <c r="G289" s="203" t="str">
        <f>IFERROR(__xludf.DUMMYFUNCTION("""COMPUTED_VALUE"""),"Alert")</f>
        <v>Alert</v>
      </c>
      <c r="H289" s="203" t="str">
        <f>IFERROR(__xludf.DUMMYFUNCTION("""COMPUTED_VALUE"""),"Normal")</f>
        <v>Normal</v>
      </c>
      <c r="I289" s="37"/>
      <c r="J289" s="37"/>
      <c r="K289" s="37"/>
      <c r="L289" s="199">
        <f>IFERROR(__xludf.DUMMYFUNCTION("""COMPUTED_VALUE"""),101.0)</f>
        <v>101</v>
      </c>
      <c r="M289" s="199">
        <f>IFERROR(__xludf.DUMMYFUNCTION("""COMPUTED_VALUE"""),411.1)</f>
        <v>411.1</v>
      </c>
      <c r="N289" s="199"/>
      <c r="O289" s="199">
        <f>IFERROR(__xludf.DUMMYFUNCTION("""COMPUTED_VALUE"""),4.0)</f>
        <v>4</v>
      </c>
      <c r="P289" s="37">
        <f>IFERROR(__xludf.DUMMYFUNCTION("""COMPUTED_VALUE"""),0.02)</f>
        <v>0.02</v>
      </c>
      <c r="Q289" s="199">
        <f>IFERROR(__xludf.DUMMYFUNCTION("""COMPUTED_VALUE"""),0.0)</f>
        <v>0</v>
      </c>
      <c r="R289" s="199">
        <f>IFERROR(__xludf.DUMMYFUNCTION("""COMPUTED_VALUE"""),10.0)</f>
        <v>10</v>
      </c>
      <c r="S289" s="199">
        <f>IFERROR(__xludf.DUMMYFUNCTION("""COMPUTED_VALUE"""),0.0)</f>
        <v>0</v>
      </c>
      <c r="T289" s="199">
        <f>IFERROR(__xludf.DUMMYFUNCTION("""COMPUTED_VALUE"""),69.0)</f>
        <v>69</v>
      </c>
      <c r="U289" s="199">
        <f>IFERROR(__xludf.DUMMYFUNCTION("""COMPUTED_VALUE"""),103.0)</f>
        <v>103</v>
      </c>
      <c r="V289" s="199">
        <f>IFERROR(__xludf.DUMMYFUNCTION("""COMPUTED_VALUE"""),0.0)</f>
        <v>0</v>
      </c>
      <c r="W289" s="199">
        <f>IFERROR(__xludf.DUMMYFUNCTION("""COMPUTED_VALUE"""),0.0)</f>
        <v>0</v>
      </c>
      <c r="X289" s="199">
        <f>IFERROR(__xludf.DUMMYFUNCTION("""COMPUTED_VALUE"""),105.0)</f>
        <v>105</v>
      </c>
      <c r="Y289" s="199">
        <f>IFERROR(__xludf.DUMMYFUNCTION("""COMPUTED_VALUE"""),446.0)</f>
        <v>446</v>
      </c>
      <c r="Z289" s="199">
        <f>IFERROR(__xludf.DUMMYFUNCTION("""COMPUTED_VALUE"""),17.0)</f>
        <v>17</v>
      </c>
      <c r="AA289" s="199">
        <f>IFERROR(__xludf.DUMMYFUNCTION("""COMPUTED_VALUE"""),8.0)</f>
        <v>8</v>
      </c>
      <c r="AB289" s="199">
        <f>IFERROR(__xludf.DUMMYFUNCTION("""COMPUTED_VALUE"""),49.0)</f>
        <v>49</v>
      </c>
      <c r="AC289" s="199">
        <f>IFERROR(__xludf.DUMMYFUNCTION("""COMPUTED_VALUE"""),23.0)</f>
        <v>23</v>
      </c>
      <c r="AD289" s="199">
        <f>IFERROR(__xludf.DUMMYFUNCTION("""COMPUTED_VALUE"""),0.0)</f>
        <v>0</v>
      </c>
      <c r="AE289" s="199">
        <f>IFERROR(__xludf.DUMMYFUNCTION("""COMPUTED_VALUE"""),444.0)</f>
        <v>444</v>
      </c>
      <c r="AF289" s="199">
        <f>IFERROR(__xludf.DUMMYFUNCTION("""COMPUTED_VALUE"""),21.0)</f>
        <v>21</v>
      </c>
      <c r="AG289" s="199">
        <f>IFERROR(__xludf.DUMMYFUNCTION("""COMPUTED_VALUE"""),414.0)</f>
        <v>414</v>
      </c>
      <c r="AH289" s="199">
        <f>IFERROR(__xludf.DUMMYFUNCTION("""COMPUTED_VALUE"""),7.0)</f>
        <v>7</v>
      </c>
      <c r="AI289" s="200" t="str">
        <f>IFERROR(__xludf.DUMMYFUNCTION("""COMPUTED_VALUE"""),"Wear Metal Alert | High Particle Count")</f>
        <v>Wear Metal Alert | High Particle Count</v>
      </c>
      <c r="AJ289" s="200" t="str">
        <f>IFERROR(__xludf.DUMMYFUNCTION("""COMPUTED_VALUE"""),"URGENT: Inspect equipment immediately for wear/damage; Critical wear metals detected - schedule immediate inspection; High wear metals - inspect bearing/gear surfaces; Elevated silicon - inspect filters and seals for contamination; High particle count - r"&amp;"eplace filters and resample")</f>
        <v>URGENT: Inspect equipment immediately for wear/damage; Critical wear metals detected - schedule immediate inspection; High wear metals - inspect bearing/gear surfaces; Elevated silicon - inspect filters and seals for contamination; High particle count - replace filters and resample</v>
      </c>
      <c r="AK289" s="204"/>
      <c r="AL289" s="204"/>
      <c r="AM289" s="204"/>
    </row>
    <row r="290" hidden="1">
      <c r="A290" s="199" t="str">
        <f>IFERROR(__xludf.DUMMYFUNCTION("""COMPUTED_VALUE"""),"R2.322.BE220")</f>
        <v>R2.322.BE220</v>
      </c>
      <c r="B290" s="200" t="str">
        <f>IFERROR(__xludf.DUMMYFUNCTION("""COMPUTED_VALUE"""),"R2 Bucket Elevator gearbox")</f>
        <v>R2 Bucket Elevator gearbox</v>
      </c>
      <c r="C290" s="199">
        <f>IFERROR(__xludf.DUMMYFUNCTION("""COMPUTED_VALUE"""),2.5112224202E10)</f>
        <v>25112224202</v>
      </c>
      <c r="D290" s="201">
        <f>IFERROR(__xludf.DUMMYFUNCTION("""COMPUTED_VALUE"""),45756.0)</f>
        <v>45756</v>
      </c>
      <c r="E290" s="202" t="str">
        <f>IFERROR(__xludf.DUMMYFUNCTION("""COMPUTED_VALUE"""),"Normal")</f>
        <v>Normal</v>
      </c>
      <c r="F290" s="202" t="str">
        <f>IFERROR(__xludf.DUMMYFUNCTION("""COMPUTED_VALUE"""),"Normal")</f>
        <v>Normal</v>
      </c>
      <c r="G290" s="203" t="str">
        <f>IFERROR(__xludf.DUMMYFUNCTION("""COMPUTED_VALUE"""),"Normal")</f>
        <v>Normal</v>
      </c>
      <c r="H290" s="203" t="str">
        <f>IFERROR(__xludf.DUMMYFUNCTION("""COMPUTED_VALUE"""),"Normal")</f>
        <v>Normal</v>
      </c>
      <c r="I290" s="37">
        <f>IFERROR(__xludf.DUMMYFUNCTION("""COMPUTED_VALUE"""),35871.0)</f>
        <v>35871</v>
      </c>
      <c r="J290" s="37">
        <f>IFERROR(__xludf.DUMMYFUNCTION("""COMPUTED_VALUE"""),2656.0)</f>
        <v>2656</v>
      </c>
      <c r="K290" s="37">
        <f>IFERROR(__xludf.DUMMYFUNCTION("""COMPUTED_VALUE"""),1569.0)</f>
        <v>1569</v>
      </c>
      <c r="L290" s="199">
        <f>IFERROR(__xludf.DUMMYFUNCTION("""COMPUTED_VALUE"""),13.0)</f>
        <v>13</v>
      </c>
      <c r="M290" s="199">
        <f>IFERROR(__xludf.DUMMYFUNCTION("""COMPUTED_VALUE"""),289.1)</f>
        <v>289.1</v>
      </c>
      <c r="N290" s="199"/>
      <c r="O290" s="199">
        <f>IFERROR(__xludf.DUMMYFUNCTION("""COMPUTED_VALUE"""),0.0)</f>
        <v>0</v>
      </c>
      <c r="P290" s="199">
        <f>IFERROR(__xludf.DUMMYFUNCTION("""COMPUTED_VALUE"""),0.01)</f>
        <v>0.01</v>
      </c>
      <c r="Q290" s="199">
        <f>IFERROR(__xludf.DUMMYFUNCTION("""COMPUTED_VALUE"""),0.0)</f>
        <v>0</v>
      </c>
      <c r="R290" s="199">
        <f>IFERROR(__xludf.DUMMYFUNCTION("""COMPUTED_VALUE"""),0.0)</f>
        <v>0</v>
      </c>
      <c r="S290" s="199">
        <f>IFERROR(__xludf.DUMMYFUNCTION("""COMPUTED_VALUE"""),0.0)</f>
        <v>0</v>
      </c>
      <c r="T290" s="199">
        <f>IFERROR(__xludf.DUMMYFUNCTION("""COMPUTED_VALUE"""),0.0)</f>
        <v>0</v>
      </c>
      <c r="U290" s="199">
        <f>IFERROR(__xludf.DUMMYFUNCTION("""COMPUTED_VALUE"""),12.0)</f>
        <v>12</v>
      </c>
      <c r="V290" s="199">
        <f>IFERROR(__xludf.DUMMYFUNCTION("""COMPUTED_VALUE"""),0.0)</f>
        <v>0</v>
      </c>
      <c r="W290" s="199">
        <f>IFERROR(__xludf.DUMMYFUNCTION("""COMPUTED_VALUE"""),0.0)</f>
        <v>0</v>
      </c>
      <c r="X290" s="199">
        <f>IFERROR(__xludf.DUMMYFUNCTION("""COMPUTED_VALUE"""),0.0)</f>
        <v>0</v>
      </c>
      <c r="Y290" s="199">
        <f>IFERROR(__xludf.DUMMYFUNCTION("""COMPUTED_VALUE"""),0.0)</f>
        <v>0</v>
      </c>
      <c r="Z290" s="199">
        <f>IFERROR(__xludf.DUMMYFUNCTION("""COMPUTED_VALUE"""),0.0)</f>
        <v>0</v>
      </c>
      <c r="AA290" s="199">
        <f>IFERROR(__xludf.DUMMYFUNCTION("""COMPUTED_VALUE"""),3.0)</f>
        <v>3</v>
      </c>
      <c r="AB290" s="199">
        <f>IFERROR(__xludf.DUMMYFUNCTION("""COMPUTED_VALUE"""),15.0)</f>
        <v>15</v>
      </c>
      <c r="AC290" s="199">
        <f>IFERROR(__xludf.DUMMYFUNCTION("""COMPUTED_VALUE"""),9.0)</f>
        <v>9</v>
      </c>
      <c r="AD290" s="199">
        <f>IFERROR(__xludf.DUMMYFUNCTION("""COMPUTED_VALUE"""),0.0)</f>
        <v>0</v>
      </c>
      <c r="AE290" s="199">
        <f>IFERROR(__xludf.DUMMYFUNCTION("""COMPUTED_VALUE"""),88.0)</f>
        <v>88</v>
      </c>
      <c r="AF290" s="199">
        <f>IFERROR(__xludf.DUMMYFUNCTION("""COMPUTED_VALUE"""),2.0)</f>
        <v>2</v>
      </c>
      <c r="AG290" s="199">
        <f>IFERROR(__xludf.DUMMYFUNCTION("""COMPUTED_VALUE"""),322.0)</f>
        <v>322</v>
      </c>
      <c r="AH290" s="199">
        <f>IFERROR(__xludf.DUMMYFUNCTION("""COMPUTED_VALUE"""),40.0)</f>
        <v>40</v>
      </c>
      <c r="AI290" s="200" t="str">
        <f>IFERROR(__xludf.DUMMYFUNCTION("""COMPUTED_VALUE"""),"Normal - No Action Required")</f>
        <v>Normal - No Action Required</v>
      </c>
      <c r="AJ290" s="200" t="str">
        <f>IFERROR(__xludf.DUMMYFUNCTION("""COMPUTED_VALUE"""),"Continue routine monitoring and sampling schedule")</f>
        <v>Continue routine monitoring and sampling schedule</v>
      </c>
      <c r="AK290" s="204"/>
      <c r="AL290" s="204"/>
      <c r="AM290" s="204"/>
    </row>
    <row r="291" hidden="1">
      <c r="A291" s="199" t="str">
        <f>IFERROR(__xludf.DUMMYFUNCTION("""COMPUTED_VALUE"""),"R2.332.FN110(Fr.B.)")</f>
        <v>R2.332.FN110(Fr.B.)</v>
      </c>
      <c r="B291" s="200" t="str">
        <f>IFERROR(__xludf.DUMMYFUNCTION("""COMPUTED_VALUE"""),"ID fan free bearing line 2")</f>
        <v>ID fan free bearing line 2</v>
      </c>
      <c r="C291" s="199">
        <f>IFERROR(__xludf.DUMMYFUNCTION("""COMPUTED_VALUE"""),2.5112224229E10)</f>
        <v>25112224229</v>
      </c>
      <c r="D291" s="201">
        <f>IFERROR(__xludf.DUMMYFUNCTION("""COMPUTED_VALUE"""),45756.0)</f>
        <v>45756</v>
      </c>
      <c r="E291" s="202" t="str">
        <f>IFERROR(__xludf.DUMMYFUNCTION("""COMPUTED_VALUE"""),"Normal")</f>
        <v>Normal</v>
      </c>
      <c r="F291" s="202" t="str">
        <f>IFERROR(__xludf.DUMMYFUNCTION("""COMPUTED_VALUE"""),"Normal")</f>
        <v>Normal</v>
      </c>
      <c r="G291" s="203" t="str">
        <f>IFERROR(__xludf.DUMMYFUNCTION("""COMPUTED_VALUE"""),"Normal")</f>
        <v>Normal</v>
      </c>
      <c r="H291" s="203" t="str">
        <f>IFERROR(__xludf.DUMMYFUNCTION("""COMPUTED_VALUE"""),"Normal")</f>
        <v>Normal</v>
      </c>
      <c r="I291" s="37">
        <f>IFERROR(__xludf.DUMMYFUNCTION("""COMPUTED_VALUE"""),2885.0)</f>
        <v>2885</v>
      </c>
      <c r="J291" s="37">
        <f>IFERROR(__xludf.DUMMYFUNCTION("""COMPUTED_VALUE"""),1625.0)</f>
        <v>1625</v>
      </c>
      <c r="K291" s="37">
        <f>IFERROR(__xludf.DUMMYFUNCTION("""COMPUTED_VALUE"""),754.0)</f>
        <v>754</v>
      </c>
      <c r="L291" s="199">
        <f>IFERROR(__xludf.DUMMYFUNCTION("""COMPUTED_VALUE"""),11.0)</f>
        <v>11</v>
      </c>
      <c r="M291" s="199">
        <f>IFERROR(__xludf.DUMMYFUNCTION("""COMPUTED_VALUE"""),66.7)</f>
        <v>66.7</v>
      </c>
      <c r="N291" s="199"/>
      <c r="O291" s="199">
        <f>IFERROR(__xludf.DUMMYFUNCTION("""COMPUTED_VALUE"""),0.0)</f>
        <v>0</v>
      </c>
      <c r="P291" s="37">
        <f>IFERROR(__xludf.DUMMYFUNCTION("""COMPUTED_VALUE"""),0.01)</f>
        <v>0.01</v>
      </c>
      <c r="Q291" s="199">
        <f>IFERROR(__xludf.DUMMYFUNCTION("""COMPUTED_VALUE"""),0.0)</f>
        <v>0</v>
      </c>
      <c r="R291" s="199">
        <f>IFERROR(__xludf.DUMMYFUNCTION("""COMPUTED_VALUE"""),0.0)</f>
        <v>0</v>
      </c>
      <c r="S291" s="199">
        <f>IFERROR(__xludf.DUMMYFUNCTION("""COMPUTED_VALUE"""),0.0)</f>
        <v>0</v>
      </c>
      <c r="T291" s="199">
        <f>IFERROR(__xludf.DUMMYFUNCTION("""COMPUTED_VALUE"""),11.0)</f>
        <v>11</v>
      </c>
      <c r="U291" s="199">
        <f>IFERROR(__xludf.DUMMYFUNCTION("""COMPUTED_VALUE"""),23.0)</f>
        <v>23</v>
      </c>
      <c r="V291" s="199">
        <f>IFERROR(__xludf.DUMMYFUNCTION("""COMPUTED_VALUE"""),0.0)</f>
        <v>0</v>
      </c>
      <c r="W291" s="199">
        <f>IFERROR(__xludf.DUMMYFUNCTION("""COMPUTED_VALUE"""),0.0)</f>
        <v>0</v>
      </c>
      <c r="X291" s="199">
        <f>IFERROR(__xludf.DUMMYFUNCTION("""COMPUTED_VALUE"""),0.0)</f>
        <v>0</v>
      </c>
      <c r="Y291" s="199">
        <f>IFERROR(__xludf.DUMMYFUNCTION("""COMPUTED_VALUE"""),0.0)</f>
        <v>0</v>
      </c>
      <c r="Z291" s="199">
        <f>IFERROR(__xludf.DUMMYFUNCTION("""COMPUTED_VALUE"""),0.0)</f>
        <v>0</v>
      </c>
      <c r="AA291" s="199">
        <f>IFERROR(__xludf.DUMMYFUNCTION("""COMPUTED_VALUE"""),0.0)</f>
        <v>0</v>
      </c>
      <c r="AB291" s="199">
        <f>IFERROR(__xludf.DUMMYFUNCTION("""COMPUTED_VALUE"""),2.0)</f>
        <v>2</v>
      </c>
      <c r="AC291" s="199">
        <f>IFERROR(__xludf.DUMMYFUNCTION("""COMPUTED_VALUE"""),5.0)</f>
        <v>5</v>
      </c>
      <c r="AD291" s="199">
        <f>IFERROR(__xludf.DUMMYFUNCTION("""COMPUTED_VALUE"""),0.0)</f>
        <v>0</v>
      </c>
      <c r="AE291" s="199">
        <f>IFERROR(__xludf.DUMMYFUNCTION("""COMPUTED_VALUE"""),95.0)</f>
        <v>95</v>
      </c>
      <c r="AF291" s="199">
        <f>IFERROR(__xludf.DUMMYFUNCTION("""COMPUTED_VALUE"""),0.0)</f>
        <v>0</v>
      </c>
      <c r="AG291" s="199">
        <f>IFERROR(__xludf.DUMMYFUNCTION("""COMPUTED_VALUE"""),373.0)</f>
        <v>373</v>
      </c>
      <c r="AH291" s="199">
        <f>IFERROR(__xludf.DUMMYFUNCTION("""COMPUTED_VALUE"""),539.0)</f>
        <v>539</v>
      </c>
      <c r="AI291" s="200" t="str">
        <f>IFERROR(__xludf.DUMMYFUNCTION("""COMPUTED_VALUE"""),"Normal - No Action Required")</f>
        <v>Normal - No Action Required</v>
      </c>
      <c r="AJ291" s="200" t="str">
        <f>IFERROR(__xludf.DUMMYFUNCTION("""COMPUTED_VALUE"""),"Continue routine monitoring and sampling schedule")</f>
        <v>Continue routine monitoring and sampling schedule</v>
      </c>
      <c r="AK291" s="204"/>
      <c r="AL291" s="204"/>
      <c r="AM291" s="204"/>
    </row>
    <row r="292" hidden="1">
      <c r="A292" s="199" t="str">
        <f>IFERROR(__xludf.DUMMYFUNCTION("""COMPUTED_VALUE"""),"321.BE220")</f>
        <v>321.BE220</v>
      </c>
      <c r="B292" s="200" t="str">
        <f>IFERROR(__xludf.DUMMYFUNCTION("""COMPUTED_VALUE"""),"Bucket Elevator gearbox")</f>
        <v>Bucket Elevator gearbox</v>
      </c>
      <c r="C292" s="199">
        <f>IFERROR(__xludf.DUMMYFUNCTION("""COMPUTED_VALUE"""),2.5112224233E10)</f>
        <v>25112224233</v>
      </c>
      <c r="D292" s="201">
        <f>IFERROR(__xludf.DUMMYFUNCTION("""COMPUTED_VALUE"""),45756.0)</f>
        <v>45756</v>
      </c>
      <c r="E292" s="202" t="str">
        <f>IFERROR(__xludf.DUMMYFUNCTION("""COMPUTED_VALUE"""),"Caution")</f>
        <v>Caution</v>
      </c>
      <c r="F292" s="202" t="str">
        <f>IFERROR(__xludf.DUMMYFUNCTION("""COMPUTED_VALUE"""),"Caution")</f>
        <v>Caution</v>
      </c>
      <c r="G292" s="203" t="str">
        <f>IFERROR(__xludf.DUMMYFUNCTION("""COMPUTED_VALUE"""),"Normal")</f>
        <v>Normal</v>
      </c>
      <c r="H292" s="203" t="str">
        <f>IFERROR(__xludf.DUMMYFUNCTION("""COMPUTED_VALUE"""),"Normal")</f>
        <v>Normal</v>
      </c>
      <c r="I292" s="37"/>
      <c r="J292" s="37"/>
      <c r="K292" s="37"/>
      <c r="L292" s="199">
        <f>IFERROR(__xludf.DUMMYFUNCTION("""COMPUTED_VALUE"""),19.0)</f>
        <v>19</v>
      </c>
      <c r="M292" s="199">
        <f>IFERROR(__xludf.DUMMYFUNCTION("""COMPUTED_VALUE"""),306.6)</f>
        <v>306.6</v>
      </c>
      <c r="N292" s="199"/>
      <c r="O292" s="199">
        <f>IFERROR(__xludf.DUMMYFUNCTION("""COMPUTED_VALUE"""),3.0)</f>
        <v>3</v>
      </c>
      <c r="P292" s="37">
        <f>IFERROR(__xludf.DUMMYFUNCTION("""COMPUTED_VALUE"""),0.03)</f>
        <v>0.03</v>
      </c>
      <c r="Q292" s="199">
        <f>IFERROR(__xludf.DUMMYFUNCTION("""COMPUTED_VALUE"""),0.0)</f>
        <v>0</v>
      </c>
      <c r="R292" s="199">
        <f>IFERROR(__xludf.DUMMYFUNCTION("""COMPUTED_VALUE"""),7.0)</f>
        <v>7</v>
      </c>
      <c r="S292" s="199">
        <f>IFERROR(__xludf.DUMMYFUNCTION("""COMPUTED_VALUE"""),0.0)</f>
        <v>0</v>
      </c>
      <c r="T292" s="199">
        <f>IFERROR(__xludf.DUMMYFUNCTION("""COMPUTED_VALUE"""),3.0)</f>
        <v>3</v>
      </c>
      <c r="U292" s="199">
        <f>IFERROR(__xludf.DUMMYFUNCTION("""COMPUTED_VALUE"""),97.0)</f>
        <v>97</v>
      </c>
      <c r="V292" s="199">
        <f>IFERROR(__xludf.DUMMYFUNCTION("""COMPUTED_VALUE"""),0.0)</f>
        <v>0</v>
      </c>
      <c r="W292" s="199">
        <f>IFERROR(__xludf.DUMMYFUNCTION("""COMPUTED_VALUE"""),0.0)</f>
        <v>0</v>
      </c>
      <c r="X292" s="199">
        <f>IFERROR(__xludf.DUMMYFUNCTION("""COMPUTED_VALUE"""),1.0)</f>
        <v>1</v>
      </c>
      <c r="Y292" s="199">
        <f>IFERROR(__xludf.DUMMYFUNCTION("""COMPUTED_VALUE"""),0.0)</f>
        <v>0</v>
      </c>
      <c r="Z292" s="199">
        <f>IFERROR(__xludf.DUMMYFUNCTION("""COMPUTED_VALUE"""),0.0)</f>
        <v>0</v>
      </c>
      <c r="AA292" s="199">
        <f>IFERROR(__xludf.DUMMYFUNCTION("""COMPUTED_VALUE"""),6.0)</f>
        <v>6</v>
      </c>
      <c r="AB292" s="199">
        <f>IFERROR(__xludf.DUMMYFUNCTION("""COMPUTED_VALUE"""),2.0)</f>
        <v>2</v>
      </c>
      <c r="AC292" s="199">
        <f>IFERROR(__xludf.DUMMYFUNCTION("""COMPUTED_VALUE"""),21.0)</f>
        <v>21</v>
      </c>
      <c r="AD292" s="199">
        <f>IFERROR(__xludf.DUMMYFUNCTION("""COMPUTED_VALUE"""),0.0)</f>
        <v>0</v>
      </c>
      <c r="AE292" s="199">
        <f>IFERROR(__xludf.DUMMYFUNCTION("""COMPUTED_VALUE"""),28.0)</f>
        <v>28</v>
      </c>
      <c r="AF292" s="199">
        <f>IFERROR(__xludf.DUMMYFUNCTION("""COMPUTED_VALUE"""),1.0)</f>
        <v>1</v>
      </c>
      <c r="AG292" s="199">
        <f>IFERROR(__xludf.DUMMYFUNCTION("""COMPUTED_VALUE"""),452.0)</f>
        <v>452</v>
      </c>
      <c r="AH292" s="199">
        <f>IFERROR(__xludf.DUMMYFUNCTION("""COMPUTED_VALUE"""),32.0)</f>
        <v>32</v>
      </c>
      <c r="AI292" s="200" t="str">
        <f>IFERROR(__xludf.DUMMYFUNCTION("""COMPUTED_VALUE"""),"Wear Metal Caution")</f>
        <v>Wear Metal Caution</v>
      </c>
      <c r="AJ292" s="200" t="str">
        <f>IFERROR(__xludf.DUMMYFUNCTION("""COMPUTED_VALUE"""),"Elevated wear metals - monitor trend; inspect at next opportunity; Oxidation increasing - monitor and plan oil change")</f>
        <v>Elevated wear metals - monitor trend; inspect at next opportunity; Oxidation increasing - monitor and plan oil change</v>
      </c>
      <c r="AK292" s="204"/>
      <c r="AL292" s="204"/>
      <c r="AM292" s="204"/>
    </row>
    <row r="293" hidden="1">
      <c r="A293" s="199" t="str">
        <f>IFERROR(__xludf.DUMMYFUNCTION("""COMPUTED_VALUE"""),"321.HY110")</f>
        <v>321.HY110</v>
      </c>
      <c r="B293" s="200" t="str">
        <f>IFERROR(__xludf.DUMMYFUNCTION("""COMPUTED_VALUE"""),"Hydraulic tensioning system for mill")</f>
        <v>Hydraulic tensioning system for mill</v>
      </c>
      <c r="C293" s="199">
        <f>IFERROR(__xludf.DUMMYFUNCTION("""COMPUTED_VALUE"""),2.5112224239E10)</f>
        <v>25112224239</v>
      </c>
      <c r="D293" s="201">
        <f>IFERROR(__xludf.DUMMYFUNCTION("""COMPUTED_VALUE"""),45756.0)</f>
        <v>45756</v>
      </c>
      <c r="E293" s="202" t="str">
        <f>IFERROR(__xludf.DUMMYFUNCTION("""COMPUTED_VALUE"""),"Normal")</f>
        <v>Normal</v>
      </c>
      <c r="F293" s="202" t="str">
        <f>IFERROR(__xludf.DUMMYFUNCTION("""COMPUTED_VALUE"""),"Normal")</f>
        <v>Normal</v>
      </c>
      <c r="G293" s="203" t="str">
        <f>IFERROR(__xludf.DUMMYFUNCTION("""COMPUTED_VALUE"""),"Normal")</f>
        <v>Normal</v>
      </c>
      <c r="H293" s="203" t="str">
        <f>IFERROR(__xludf.DUMMYFUNCTION("""COMPUTED_VALUE"""),"Normal")</f>
        <v>Normal</v>
      </c>
      <c r="I293" s="37">
        <f>IFERROR(__xludf.DUMMYFUNCTION("""COMPUTED_VALUE"""),2985.0)</f>
        <v>2985</v>
      </c>
      <c r="J293" s="37">
        <f>IFERROR(__xludf.DUMMYFUNCTION("""COMPUTED_VALUE"""),1685.0)</f>
        <v>1685</v>
      </c>
      <c r="K293" s="37">
        <f>IFERROR(__xludf.DUMMYFUNCTION("""COMPUTED_VALUE"""),1024.0)</f>
        <v>1024</v>
      </c>
      <c r="L293" s="199">
        <f>IFERROR(__xludf.DUMMYFUNCTION("""COMPUTED_VALUE"""),14.0)</f>
        <v>14</v>
      </c>
      <c r="M293" s="199">
        <f>IFERROR(__xludf.DUMMYFUNCTION("""COMPUTED_VALUE"""),44.8)</f>
        <v>44.8</v>
      </c>
      <c r="N293" s="199"/>
      <c r="O293" s="199">
        <f>IFERROR(__xludf.DUMMYFUNCTION("""COMPUTED_VALUE"""),0.0)</f>
        <v>0</v>
      </c>
      <c r="P293" s="37">
        <f>IFERROR(__xludf.DUMMYFUNCTION("""COMPUTED_VALUE"""),0.01)</f>
        <v>0.01</v>
      </c>
      <c r="Q293" s="199">
        <f>IFERROR(__xludf.DUMMYFUNCTION("""COMPUTED_VALUE"""),0.0)</f>
        <v>0</v>
      </c>
      <c r="R293" s="199">
        <f>IFERROR(__xludf.DUMMYFUNCTION("""COMPUTED_VALUE"""),0.0)</f>
        <v>0</v>
      </c>
      <c r="S293" s="199">
        <f>IFERROR(__xludf.DUMMYFUNCTION("""COMPUTED_VALUE"""),0.0)</f>
        <v>0</v>
      </c>
      <c r="T293" s="199">
        <f>IFERROR(__xludf.DUMMYFUNCTION("""COMPUTED_VALUE"""),4.0)</f>
        <v>4</v>
      </c>
      <c r="U293" s="199">
        <f>IFERROR(__xludf.DUMMYFUNCTION("""COMPUTED_VALUE"""),10.0)</f>
        <v>10</v>
      </c>
      <c r="V293" s="199">
        <f>IFERROR(__xludf.DUMMYFUNCTION("""COMPUTED_VALUE"""),0.0)</f>
        <v>0</v>
      </c>
      <c r="W293" s="199">
        <f>IFERROR(__xludf.DUMMYFUNCTION("""COMPUTED_VALUE"""),0.0)</f>
        <v>0</v>
      </c>
      <c r="X293" s="199">
        <f>IFERROR(__xludf.DUMMYFUNCTION("""COMPUTED_VALUE"""),0.0)</f>
        <v>0</v>
      </c>
      <c r="Y293" s="199">
        <f>IFERROR(__xludf.DUMMYFUNCTION("""COMPUTED_VALUE"""),0.0)</f>
        <v>0</v>
      </c>
      <c r="Z293" s="199">
        <f>IFERROR(__xludf.DUMMYFUNCTION("""COMPUTED_VALUE"""),0.0)</f>
        <v>0</v>
      </c>
      <c r="AA293" s="199">
        <f>IFERROR(__xludf.DUMMYFUNCTION("""COMPUTED_VALUE"""),0.0)</f>
        <v>0</v>
      </c>
      <c r="AB293" s="199">
        <f>IFERROR(__xludf.DUMMYFUNCTION("""COMPUTED_VALUE"""),0.0)</f>
        <v>0</v>
      </c>
      <c r="AC293" s="199">
        <f>IFERROR(__xludf.DUMMYFUNCTION("""COMPUTED_VALUE"""),17.0)</f>
        <v>17</v>
      </c>
      <c r="AD293" s="199">
        <f>IFERROR(__xludf.DUMMYFUNCTION("""COMPUTED_VALUE"""),0.0)</f>
        <v>0</v>
      </c>
      <c r="AE293" s="199">
        <f>IFERROR(__xludf.DUMMYFUNCTION("""COMPUTED_VALUE"""),88.0)</f>
        <v>88</v>
      </c>
      <c r="AF293" s="199">
        <f>IFERROR(__xludf.DUMMYFUNCTION("""COMPUTED_VALUE"""),0.0)</f>
        <v>0</v>
      </c>
      <c r="AG293" s="199">
        <f>IFERROR(__xludf.DUMMYFUNCTION("""COMPUTED_VALUE"""),470.0)</f>
        <v>470</v>
      </c>
      <c r="AH293" s="199">
        <f>IFERROR(__xludf.DUMMYFUNCTION("""COMPUTED_VALUE"""),750.0)</f>
        <v>750</v>
      </c>
      <c r="AI293" s="200" t="str">
        <f>IFERROR(__xludf.DUMMYFUNCTION("""COMPUTED_VALUE"""),"Normal - No Action Required")</f>
        <v>Normal - No Action Required</v>
      </c>
      <c r="AJ293" s="200" t="str">
        <f>IFERROR(__xludf.DUMMYFUNCTION("""COMPUTED_VALUE"""),"Continue routine monitoring and sampling schedule")</f>
        <v>Continue routine monitoring and sampling schedule</v>
      </c>
      <c r="AK293" s="204"/>
      <c r="AL293" s="204"/>
      <c r="AM293" s="204"/>
    </row>
    <row r="294" hidden="1">
      <c r="A294" s="199" t="str">
        <f>IFERROR(__xludf.DUMMYFUNCTION("""COMPUTED_VALUE"""),"461.HY110")</f>
        <v>461.HY110</v>
      </c>
      <c r="B294" s="200" t="str">
        <f>IFERROR(__xludf.DUMMYFUNCTION("""COMPUTED_VALUE"""),"Coal Mill 1 Hyd. tensioning sys.")</f>
        <v>Coal Mill 1 Hyd. tensioning sys.</v>
      </c>
      <c r="C294" s="199">
        <f>IFERROR(__xludf.DUMMYFUNCTION("""COMPUTED_VALUE"""),2.5112224238E10)</f>
        <v>25112224238</v>
      </c>
      <c r="D294" s="201">
        <f>IFERROR(__xludf.DUMMYFUNCTION("""COMPUTED_VALUE"""),45756.0)</f>
        <v>45756</v>
      </c>
      <c r="E294" s="202" t="str">
        <f>IFERROR(__xludf.DUMMYFUNCTION("""COMPUTED_VALUE"""),"Normal")</f>
        <v>Normal</v>
      </c>
      <c r="F294" s="202" t="str">
        <f>IFERROR(__xludf.DUMMYFUNCTION("""COMPUTED_VALUE"""),"Normal")</f>
        <v>Normal</v>
      </c>
      <c r="G294" s="203" t="str">
        <f>IFERROR(__xludf.DUMMYFUNCTION("""COMPUTED_VALUE"""),"Normal")</f>
        <v>Normal</v>
      </c>
      <c r="H294" s="203" t="str">
        <f>IFERROR(__xludf.DUMMYFUNCTION("""COMPUTED_VALUE"""),"Normal")</f>
        <v>Normal</v>
      </c>
      <c r="I294" s="199">
        <f>IFERROR(__xludf.DUMMYFUNCTION("""COMPUTED_VALUE"""),2985.0)</f>
        <v>2985</v>
      </c>
      <c r="J294" s="199">
        <f>IFERROR(__xludf.DUMMYFUNCTION("""COMPUTED_VALUE"""),1625.0)</f>
        <v>1625</v>
      </c>
      <c r="K294" s="199">
        <f>IFERROR(__xludf.DUMMYFUNCTION("""COMPUTED_VALUE"""),789.0)</f>
        <v>789</v>
      </c>
      <c r="L294" s="199">
        <f>IFERROR(__xludf.DUMMYFUNCTION("""COMPUTED_VALUE"""),17.0)</f>
        <v>17</v>
      </c>
      <c r="M294" s="199">
        <f>IFERROR(__xludf.DUMMYFUNCTION("""COMPUTED_VALUE"""),46.5)</f>
        <v>46.5</v>
      </c>
      <c r="N294" s="199"/>
      <c r="O294" s="199">
        <f>IFERROR(__xludf.DUMMYFUNCTION("""COMPUTED_VALUE"""),1.0)</f>
        <v>1</v>
      </c>
      <c r="P294" s="37">
        <f>IFERROR(__xludf.DUMMYFUNCTION("""COMPUTED_VALUE"""),0.01)</f>
        <v>0.01</v>
      </c>
      <c r="Q294" s="199">
        <f>IFERROR(__xludf.DUMMYFUNCTION("""COMPUTED_VALUE"""),0.0)</f>
        <v>0</v>
      </c>
      <c r="R294" s="199">
        <f>IFERROR(__xludf.DUMMYFUNCTION("""COMPUTED_VALUE"""),0.0)</f>
        <v>0</v>
      </c>
      <c r="S294" s="199">
        <f>IFERROR(__xludf.DUMMYFUNCTION("""COMPUTED_VALUE"""),0.0)</f>
        <v>0</v>
      </c>
      <c r="T294" s="199">
        <f>IFERROR(__xludf.DUMMYFUNCTION("""COMPUTED_VALUE"""),5.0)</f>
        <v>5</v>
      </c>
      <c r="U294" s="199">
        <f>IFERROR(__xludf.DUMMYFUNCTION("""COMPUTED_VALUE"""),16.0)</f>
        <v>16</v>
      </c>
      <c r="V294" s="199">
        <f>IFERROR(__xludf.DUMMYFUNCTION("""COMPUTED_VALUE"""),0.0)</f>
        <v>0</v>
      </c>
      <c r="W294" s="199">
        <f>IFERROR(__xludf.DUMMYFUNCTION("""COMPUTED_VALUE"""),0.0)</f>
        <v>0</v>
      </c>
      <c r="X294" s="199">
        <f>IFERROR(__xludf.DUMMYFUNCTION("""COMPUTED_VALUE"""),0.0)</f>
        <v>0</v>
      </c>
      <c r="Y294" s="199">
        <f>IFERROR(__xludf.DUMMYFUNCTION("""COMPUTED_VALUE"""),0.0)</f>
        <v>0</v>
      </c>
      <c r="Z294" s="199">
        <f>IFERROR(__xludf.DUMMYFUNCTION("""COMPUTED_VALUE"""),0.0)</f>
        <v>0</v>
      </c>
      <c r="AA294" s="199">
        <f>IFERROR(__xludf.DUMMYFUNCTION("""COMPUTED_VALUE"""),1.0)</f>
        <v>1</v>
      </c>
      <c r="AB294" s="199">
        <f>IFERROR(__xludf.DUMMYFUNCTION("""COMPUTED_VALUE"""),0.0)</f>
        <v>0</v>
      </c>
      <c r="AC294" s="199">
        <f>IFERROR(__xludf.DUMMYFUNCTION("""COMPUTED_VALUE"""),17.0)</f>
        <v>17</v>
      </c>
      <c r="AD294" s="199">
        <f>IFERROR(__xludf.DUMMYFUNCTION("""COMPUTED_VALUE"""),0.0)</f>
        <v>0</v>
      </c>
      <c r="AE294" s="199">
        <f>IFERROR(__xludf.DUMMYFUNCTION("""COMPUTED_VALUE"""),119.0)</f>
        <v>119</v>
      </c>
      <c r="AF294" s="199">
        <f>IFERROR(__xludf.DUMMYFUNCTION("""COMPUTED_VALUE"""),0.0)</f>
        <v>0</v>
      </c>
      <c r="AG294" s="199">
        <f>IFERROR(__xludf.DUMMYFUNCTION("""COMPUTED_VALUE"""),548.0)</f>
        <v>548</v>
      </c>
      <c r="AH294" s="199">
        <f>IFERROR(__xludf.DUMMYFUNCTION("""COMPUTED_VALUE"""),692.0)</f>
        <v>692</v>
      </c>
      <c r="AI294" s="200" t="str">
        <f>IFERROR(__xludf.DUMMYFUNCTION("""COMPUTED_VALUE"""),"Normal - No Action Required")</f>
        <v>Normal - No Action Required</v>
      </c>
      <c r="AJ294" s="200" t="str">
        <f>IFERROR(__xludf.DUMMYFUNCTION("""COMPUTED_VALUE"""),"Continue routine monitoring and sampling schedule")</f>
        <v>Continue routine monitoring and sampling schedule</v>
      </c>
      <c r="AK294" s="204"/>
      <c r="AL294" s="204"/>
      <c r="AM294" s="204"/>
    </row>
    <row r="295" hidden="1">
      <c r="A295" s="199" t="str">
        <f>IFERROR(__xludf.DUMMYFUNCTION("""COMPUTED_VALUE"""),"R2.322.LQ120(T)")</f>
        <v>R2.322.LQ120(T)</v>
      </c>
      <c r="B295" s="200" t="str">
        <f>IFERROR(__xludf.DUMMYFUNCTION("""COMPUTED_VALUE"""),"Roller Lubrication Unit (Tank)")</f>
        <v>Roller Lubrication Unit (Tank)</v>
      </c>
      <c r="C295" s="199">
        <f>IFERROR(__xludf.DUMMYFUNCTION("""COMPUTED_VALUE"""),2.5112224262E10)</f>
        <v>25112224262</v>
      </c>
      <c r="D295" s="201">
        <f>IFERROR(__xludf.DUMMYFUNCTION("""COMPUTED_VALUE"""),45756.0)</f>
        <v>45756</v>
      </c>
      <c r="E295" s="202" t="str">
        <f>IFERROR(__xludf.DUMMYFUNCTION("""COMPUTED_VALUE"""),"Alert")</f>
        <v>Alert</v>
      </c>
      <c r="F295" s="202" t="str">
        <f>IFERROR(__xludf.DUMMYFUNCTION("""COMPUTED_VALUE"""),"Normal")</f>
        <v>Normal</v>
      </c>
      <c r="G295" s="203" t="str">
        <f>IFERROR(__xludf.DUMMYFUNCTION("""COMPUTED_VALUE"""),"Normal")</f>
        <v>Normal</v>
      </c>
      <c r="H295" s="203" t="str">
        <f>IFERROR(__xludf.DUMMYFUNCTION("""COMPUTED_VALUE"""),"Alert")</f>
        <v>Alert</v>
      </c>
      <c r="I295" s="37"/>
      <c r="J295" s="37"/>
      <c r="K295" s="37"/>
      <c r="L295" s="199">
        <f>IFERROR(__xludf.DUMMYFUNCTION("""COMPUTED_VALUE"""),13.0)</f>
        <v>13</v>
      </c>
      <c r="M295" s="199">
        <f>IFERROR(__xludf.DUMMYFUNCTION("""COMPUTED_VALUE"""),47.0)</f>
        <v>47</v>
      </c>
      <c r="N295" s="199"/>
      <c r="O295" s="199"/>
      <c r="P295" s="37">
        <f>IFERROR(__xludf.DUMMYFUNCTION("""COMPUTED_VALUE"""),0.02)</f>
        <v>0.02</v>
      </c>
      <c r="Q295" s="199">
        <f>IFERROR(__xludf.DUMMYFUNCTION("""COMPUTED_VALUE"""),0.0)</f>
        <v>0</v>
      </c>
      <c r="R295" s="199">
        <f>IFERROR(__xludf.DUMMYFUNCTION("""COMPUTED_VALUE"""),0.0)</f>
        <v>0</v>
      </c>
      <c r="S295" s="199">
        <f>IFERROR(__xludf.DUMMYFUNCTION("""COMPUTED_VALUE"""),0.0)</f>
        <v>0</v>
      </c>
      <c r="T295" s="199">
        <f>IFERROR(__xludf.DUMMYFUNCTION("""COMPUTED_VALUE"""),0.0)</f>
        <v>0</v>
      </c>
      <c r="U295" s="199">
        <f>IFERROR(__xludf.DUMMYFUNCTION("""COMPUTED_VALUE"""),7.0)</f>
        <v>7</v>
      </c>
      <c r="V295" s="199">
        <f>IFERROR(__xludf.DUMMYFUNCTION("""COMPUTED_VALUE"""),0.0)</f>
        <v>0</v>
      </c>
      <c r="W295" s="199">
        <f>IFERROR(__xludf.DUMMYFUNCTION("""COMPUTED_VALUE"""),0.0)</f>
        <v>0</v>
      </c>
      <c r="X295" s="199">
        <f>IFERROR(__xludf.DUMMYFUNCTION("""COMPUTED_VALUE"""),1.0)</f>
        <v>1</v>
      </c>
      <c r="Y295" s="199">
        <f>IFERROR(__xludf.DUMMYFUNCTION("""COMPUTED_VALUE"""),0.0)</f>
        <v>0</v>
      </c>
      <c r="Z295" s="199">
        <f>IFERROR(__xludf.DUMMYFUNCTION("""COMPUTED_VALUE"""),0.0)</f>
        <v>0</v>
      </c>
      <c r="AA295" s="199">
        <f>IFERROR(__xludf.DUMMYFUNCTION("""COMPUTED_VALUE"""),0.0)</f>
        <v>0</v>
      </c>
      <c r="AB295" s="199">
        <f>IFERROR(__xludf.DUMMYFUNCTION("""COMPUTED_VALUE"""),4.0)</f>
        <v>4</v>
      </c>
      <c r="AC295" s="199">
        <f>IFERROR(__xludf.DUMMYFUNCTION("""COMPUTED_VALUE"""),31.0)</f>
        <v>31</v>
      </c>
      <c r="AD295" s="199">
        <f>IFERROR(__xludf.DUMMYFUNCTION("""COMPUTED_VALUE"""),0.0)</f>
        <v>0</v>
      </c>
      <c r="AE295" s="199">
        <f>IFERROR(__xludf.DUMMYFUNCTION("""COMPUTED_VALUE"""),32.0)</f>
        <v>32</v>
      </c>
      <c r="AF295" s="199">
        <f>IFERROR(__xludf.DUMMYFUNCTION("""COMPUTED_VALUE"""),0.0)</f>
        <v>0</v>
      </c>
      <c r="AG295" s="199">
        <f>IFERROR(__xludf.DUMMYFUNCTION("""COMPUTED_VALUE"""),384.0)</f>
        <v>384</v>
      </c>
      <c r="AH295" s="199">
        <f>IFERROR(__xludf.DUMMYFUNCTION("""COMPUTED_VALUE"""),24.0)</f>
        <v>24</v>
      </c>
      <c r="AI295" s="200" t="str">
        <f>IFERROR(__xludf.DUMMYFUNCTION("""COMPUTED_VALUE"""),"Lubricant Degradation")</f>
        <v>Lubricant Degradation</v>
      </c>
      <c r="AJ295" s="200" t="str">
        <f>IFERROR(__xludf.DUMMYFUNCTION("""COMPUTED_VALUE"""),"Viscosity critically low - change lubricant immediately")</f>
        <v>Viscosity critically low - change lubricant immediately</v>
      </c>
      <c r="AK295" s="204"/>
      <c r="AL295" s="204"/>
      <c r="AM295" s="204"/>
    </row>
    <row r="296" hidden="1">
      <c r="A296" s="199" t="str">
        <f>IFERROR(__xludf.DUMMYFUNCTION("""COMPUTED_VALUE"""),"441.MD140 (T)")</f>
        <v>441.MD140 (T)</v>
      </c>
      <c r="B296" s="200" t="str">
        <f>IFERROR(__xludf.DUMMYFUNCTION("""COMPUTED_VALUE"""),"Clinker Cooler Drive (From Tank)")</f>
        <v>Clinker Cooler Drive (From Tank)</v>
      </c>
      <c r="C296" s="199">
        <f>IFERROR(__xludf.DUMMYFUNCTION("""COMPUTED_VALUE"""),2.5112224244E10)</f>
        <v>25112224244</v>
      </c>
      <c r="D296" s="201">
        <f>IFERROR(__xludf.DUMMYFUNCTION("""COMPUTED_VALUE"""),45756.0)</f>
        <v>45756</v>
      </c>
      <c r="E296" s="202" t="str">
        <f>IFERROR(__xludf.DUMMYFUNCTION("""COMPUTED_VALUE"""),"Normal")</f>
        <v>Normal</v>
      </c>
      <c r="F296" s="202" t="str">
        <f>IFERROR(__xludf.DUMMYFUNCTION("""COMPUTED_VALUE"""),"Normal")</f>
        <v>Normal</v>
      </c>
      <c r="G296" s="203" t="str">
        <f>IFERROR(__xludf.DUMMYFUNCTION("""COMPUTED_VALUE"""),"Normal")</f>
        <v>Normal</v>
      </c>
      <c r="H296" s="203" t="str">
        <f>IFERROR(__xludf.DUMMYFUNCTION("""COMPUTED_VALUE"""),"Normal")</f>
        <v>Normal</v>
      </c>
      <c r="I296" s="37">
        <f>IFERROR(__xludf.DUMMYFUNCTION("""COMPUTED_VALUE"""),2985.0)</f>
        <v>2985</v>
      </c>
      <c r="J296" s="37">
        <f>IFERROR(__xludf.DUMMYFUNCTION("""COMPUTED_VALUE"""),1465.0)</f>
        <v>1465</v>
      </c>
      <c r="K296" s="37">
        <f>IFERROR(__xludf.DUMMYFUNCTION("""COMPUTED_VALUE"""),598.0)</f>
        <v>598</v>
      </c>
      <c r="L296" s="199">
        <f>IFERROR(__xludf.DUMMYFUNCTION("""COMPUTED_VALUE"""),14.0)</f>
        <v>14</v>
      </c>
      <c r="M296" s="199">
        <f>IFERROR(__xludf.DUMMYFUNCTION("""COMPUTED_VALUE"""),44.7)</f>
        <v>44.7</v>
      </c>
      <c r="N296" s="199"/>
      <c r="O296" s="199">
        <f>IFERROR(__xludf.DUMMYFUNCTION("""COMPUTED_VALUE"""),1.0)</f>
        <v>1</v>
      </c>
      <c r="P296" s="37">
        <f>IFERROR(__xludf.DUMMYFUNCTION("""COMPUTED_VALUE"""),0.01)</f>
        <v>0.01</v>
      </c>
      <c r="Q296" s="199">
        <f>IFERROR(__xludf.DUMMYFUNCTION("""COMPUTED_VALUE"""),0.0)</f>
        <v>0</v>
      </c>
      <c r="R296" s="199">
        <f>IFERROR(__xludf.DUMMYFUNCTION("""COMPUTED_VALUE"""),0.0)</f>
        <v>0</v>
      </c>
      <c r="S296" s="199">
        <f>IFERROR(__xludf.DUMMYFUNCTION("""COMPUTED_VALUE"""),0.0)</f>
        <v>0</v>
      </c>
      <c r="T296" s="199">
        <f>IFERROR(__xludf.DUMMYFUNCTION("""COMPUTED_VALUE"""),3.0)</f>
        <v>3</v>
      </c>
      <c r="U296" s="199">
        <f>IFERROR(__xludf.DUMMYFUNCTION("""COMPUTED_VALUE"""),5.0)</f>
        <v>5</v>
      </c>
      <c r="V296" s="199">
        <f>IFERROR(__xludf.DUMMYFUNCTION("""COMPUTED_VALUE"""),0.0)</f>
        <v>0</v>
      </c>
      <c r="W296" s="199">
        <f>IFERROR(__xludf.DUMMYFUNCTION("""COMPUTED_VALUE"""),0.0)</f>
        <v>0</v>
      </c>
      <c r="X296" s="199">
        <f>IFERROR(__xludf.DUMMYFUNCTION("""COMPUTED_VALUE"""),0.0)</f>
        <v>0</v>
      </c>
      <c r="Y296" s="199">
        <f>IFERROR(__xludf.DUMMYFUNCTION("""COMPUTED_VALUE"""),0.0)</f>
        <v>0</v>
      </c>
      <c r="Z296" s="199">
        <f>IFERROR(__xludf.DUMMYFUNCTION("""COMPUTED_VALUE"""),1.0)</f>
        <v>1</v>
      </c>
      <c r="AA296" s="199">
        <f>IFERROR(__xludf.DUMMYFUNCTION("""COMPUTED_VALUE"""),0.0)</f>
        <v>0</v>
      </c>
      <c r="AB296" s="199">
        <f>IFERROR(__xludf.DUMMYFUNCTION("""COMPUTED_VALUE"""),0.0)</f>
        <v>0</v>
      </c>
      <c r="AC296" s="199">
        <f>IFERROR(__xludf.DUMMYFUNCTION("""COMPUTED_VALUE"""),5.0)</f>
        <v>5</v>
      </c>
      <c r="AD296" s="199">
        <f>IFERROR(__xludf.DUMMYFUNCTION("""COMPUTED_VALUE"""),0.0)</f>
        <v>0</v>
      </c>
      <c r="AE296" s="199">
        <f>IFERROR(__xludf.DUMMYFUNCTION("""COMPUTED_VALUE"""),69.0)</f>
        <v>69</v>
      </c>
      <c r="AF296" s="199">
        <f>IFERROR(__xludf.DUMMYFUNCTION("""COMPUTED_VALUE"""),1.0)</f>
        <v>1</v>
      </c>
      <c r="AG296" s="199">
        <f>IFERROR(__xludf.DUMMYFUNCTION("""COMPUTED_VALUE"""),430.0)</f>
        <v>430</v>
      </c>
      <c r="AH296" s="199">
        <f>IFERROR(__xludf.DUMMYFUNCTION("""COMPUTED_VALUE"""),624.0)</f>
        <v>624</v>
      </c>
      <c r="AI296" s="200" t="str">
        <f>IFERROR(__xludf.DUMMYFUNCTION("""COMPUTED_VALUE"""),"Normal - No Action Required")</f>
        <v>Normal - No Action Required</v>
      </c>
      <c r="AJ296" s="200" t="str">
        <f>IFERROR(__xludf.DUMMYFUNCTION("""COMPUTED_VALUE"""),"Continue routine monitoring and sampling schedule")</f>
        <v>Continue routine monitoring and sampling schedule</v>
      </c>
      <c r="AK296" s="204"/>
      <c r="AL296" s="204"/>
      <c r="AM296" s="204"/>
    </row>
    <row r="297" hidden="1">
      <c r="A297" s="199" t="str">
        <f>IFERROR(__xludf.DUMMYFUNCTION("""COMPUTED_VALUE"""),"462.HY110")</f>
        <v>462.HY110</v>
      </c>
      <c r="B297" s="200" t="str">
        <f>IFERROR(__xludf.DUMMYFUNCTION("""COMPUTED_VALUE"""),"Coal Mill 2 Hyd. tensioning sys.")</f>
        <v>Coal Mill 2 Hyd. tensioning sys.</v>
      </c>
      <c r="C297" s="199">
        <f>IFERROR(__xludf.DUMMYFUNCTION("""COMPUTED_VALUE"""),2.5112224241E10)</f>
        <v>25112224241</v>
      </c>
      <c r="D297" s="201">
        <f>IFERROR(__xludf.DUMMYFUNCTION("""COMPUTED_VALUE"""),45756.0)</f>
        <v>45756</v>
      </c>
      <c r="E297" s="202" t="str">
        <f>IFERROR(__xludf.DUMMYFUNCTION("""COMPUTED_VALUE"""),"Normal")</f>
        <v>Normal</v>
      </c>
      <c r="F297" s="202" t="str">
        <f>IFERROR(__xludf.DUMMYFUNCTION("""COMPUTED_VALUE"""),"Normal")</f>
        <v>Normal</v>
      </c>
      <c r="G297" s="203" t="str">
        <f>IFERROR(__xludf.DUMMYFUNCTION("""COMPUTED_VALUE"""),"Normal")</f>
        <v>Normal</v>
      </c>
      <c r="H297" s="203" t="str">
        <f>IFERROR(__xludf.DUMMYFUNCTION("""COMPUTED_VALUE"""),"Normal")</f>
        <v>Normal</v>
      </c>
      <c r="I297" s="37">
        <f>IFERROR(__xludf.DUMMYFUNCTION("""COMPUTED_VALUE"""),2964.0)</f>
        <v>2964</v>
      </c>
      <c r="J297" s="37">
        <f>IFERROR(__xludf.DUMMYFUNCTION("""COMPUTED_VALUE"""),1611.0)</f>
        <v>1611</v>
      </c>
      <c r="K297" s="37">
        <f>IFERROR(__xludf.DUMMYFUNCTION("""COMPUTED_VALUE"""),999.0)</f>
        <v>999</v>
      </c>
      <c r="L297" s="199">
        <f>IFERROR(__xludf.DUMMYFUNCTION("""COMPUTED_VALUE"""),12.0)</f>
        <v>12</v>
      </c>
      <c r="M297" s="199">
        <f>IFERROR(__xludf.DUMMYFUNCTION("""COMPUTED_VALUE"""),48.0)</f>
        <v>48</v>
      </c>
      <c r="N297" s="199"/>
      <c r="O297" s="199">
        <f>IFERROR(__xludf.DUMMYFUNCTION("""COMPUTED_VALUE"""),0.0)</f>
        <v>0</v>
      </c>
      <c r="P297" s="37">
        <f>IFERROR(__xludf.DUMMYFUNCTION("""COMPUTED_VALUE"""),0.01)</f>
        <v>0.01</v>
      </c>
      <c r="Q297" s="199">
        <f>IFERROR(__xludf.DUMMYFUNCTION("""COMPUTED_VALUE"""),0.0)</f>
        <v>0</v>
      </c>
      <c r="R297" s="199">
        <f>IFERROR(__xludf.DUMMYFUNCTION("""COMPUTED_VALUE"""),0.0)</f>
        <v>0</v>
      </c>
      <c r="S297" s="199">
        <f>IFERROR(__xludf.DUMMYFUNCTION("""COMPUTED_VALUE"""),0.0)</f>
        <v>0</v>
      </c>
      <c r="T297" s="199">
        <f>IFERROR(__xludf.DUMMYFUNCTION("""COMPUTED_VALUE"""),1.0)</f>
        <v>1</v>
      </c>
      <c r="U297" s="199">
        <f>IFERROR(__xludf.DUMMYFUNCTION("""COMPUTED_VALUE"""),0.0)</f>
        <v>0</v>
      </c>
      <c r="V297" s="199">
        <f>IFERROR(__xludf.DUMMYFUNCTION("""COMPUTED_VALUE"""),0.0)</f>
        <v>0</v>
      </c>
      <c r="W297" s="199">
        <f>IFERROR(__xludf.DUMMYFUNCTION("""COMPUTED_VALUE"""),0.0)</f>
        <v>0</v>
      </c>
      <c r="X297" s="199">
        <f>IFERROR(__xludf.DUMMYFUNCTION("""COMPUTED_VALUE"""),1.0)</f>
        <v>1</v>
      </c>
      <c r="Y297" s="199">
        <f>IFERROR(__xludf.DUMMYFUNCTION("""COMPUTED_VALUE"""),0.0)</f>
        <v>0</v>
      </c>
      <c r="Z297" s="199">
        <f>IFERROR(__xludf.DUMMYFUNCTION("""COMPUTED_VALUE"""),0.0)</f>
        <v>0</v>
      </c>
      <c r="AA297" s="199">
        <f>IFERROR(__xludf.DUMMYFUNCTION("""COMPUTED_VALUE"""),0.0)</f>
        <v>0</v>
      </c>
      <c r="AB297" s="199">
        <f>IFERROR(__xludf.DUMMYFUNCTION("""COMPUTED_VALUE"""),0.0)</f>
        <v>0</v>
      </c>
      <c r="AC297" s="199">
        <f>IFERROR(__xludf.DUMMYFUNCTION("""COMPUTED_VALUE"""),7.0)</f>
        <v>7</v>
      </c>
      <c r="AD297" s="199">
        <f>IFERROR(__xludf.DUMMYFUNCTION("""COMPUTED_VALUE"""),0.0)</f>
        <v>0</v>
      </c>
      <c r="AE297" s="199">
        <f>IFERROR(__xludf.DUMMYFUNCTION("""COMPUTED_VALUE"""),93.0)</f>
        <v>93</v>
      </c>
      <c r="AF297" s="199">
        <f>IFERROR(__xludf.DUMMYFUNCTION("""COMPUTED_VALUE"""),2.0)</f>
        <v>2</v>
      </c>
      <c r="AG297" s="199">
        <f>IFERROR(__xludf.DUMMYFUNCTION("""COMPUTED_VALUE"""),430.0)</f>
        <v>430</v>
      </c>
      <c r="AH297" s="199">
        <f>IFERROR(__xludf.DUMMYFUNCTION("""COMPUTED_VALUE"""),659.0)</f>
        <v>659</v>
      </c>
      <c r="AI297" s="200" t="str">
        <f>IFERROR(__xludf.DUMMYFUNCTION("""COMPUTED_VALUE"""),"Normal - No Action Required")</f>
        <v>Normal - No Action Required</v>
      </c>
      <c r="AJ297" s="200" t="str">
        <f>IFERROR(__xludf.DUMMYFUNCTION("""COMPUTED_VALUE"""),"Continue routine monitoring and sampling schedule")</f>
        <v>Continue routine monitoring and sampling schedule</v>
      </c>
      <c r="AK297" s="204"/>
      <c r="AL297" s="204"/>
      <c r="AM297" s="204"/>
    </row>
    <row r="298" hidden="1">
      <c r="A298" s="199" t="str">
        <f>IFERROR(__xludf.DUMMYFUNCTION("""COMPUTED_VALUE"""),"462.LQ120(T)")</f>
        <v>462.LQ120(T)</v>
      </c>
      <c r="B298" s="200" t="str">
        <f>IFERROR(__xludf.DUMMYFUNCTION("""COMPUTED_VALUE"""),"Coal mill 2 Roller Lub. Unit (Tank)")</f>
        <v>Coal mill 2 Roller Lub. Unit (Tank)</v>
      </c>
      <c r="C298" s="199">
        <f>IFERROR(__xludf.DUMMYFUNCTION("""COMPUTED_VALUE"""),2.5112224259E10)</f>
        <v>25112224259</v>
      </c>
      <c r="D298" s="201">
        <f>IFERROR(__xludf.DUMMYFUNCTION("""COMPUTED_VALUE"""),45756.0)</f>
        <v>45756</v>
      </c>
      <c r="E298" s="202" t="str">
        <f>IFERROR(__xludf.DUMMYFUNCTION("""COMPUTED_VALUE"""),"Normal")</f>
        <v>Normal</v>
      </c>
      <c r="F298" s="202" t="str">
        <f>IFERROR(__xludf.DUMMYFUNCTION("""COMPUTED_VALUE"""),"Normal")</f>
        <v>Normal</v>
      </c>
      <c r="G298" s="203" t="str">
        <f>IFERROR(__xludf.DUMMYFUNCTION("""COMPUTED_VALUE"""),"Normal")</f>
        <v>Normal</v>
      </c>
      <c r="H298" s="203" t="str">
        <f>IFERROR(__xludf.DUMMYFUNCTION("""COMPUTED_VALUE"""),"Normal")</f>
        <v>Normal</v>
      </c>
      <c r="I298" s="37"/>
      <c r="J298" s="37"/>
      <c r="K298" s="37"/>
      <c r="L298" s="199">
        <f>IFERROR(__xludf.DUMMYFUNCTION("""COMPUTED_VALUE"""),12.0)</f>
        <v>12</v>
      </c>
      <c r="M298" s="199">
        <f>IFERROR(__xludf.DUMMYFUNCTION("""COMPUTED_VALUE"""),91.5)</f>
        <v>91.5</v>
      </c>
      <c r="N298" s="199"/>
      <c r="O298" s="199"/>
      <c r="P298" s="37">
        <f>IFERROR(__xludf.DUMMYFUNCTION("""COMPUTED_VALUE"""),0.02)</f>
        <v>0.02</v>
      </c>
      <c r="Q298" s="199">
        <f>IFERROR(__xludf.DUMMYFUNCTION("""COMPUTED_VALUE"""),0.0)</f>
        <v>0</v>
      </c>
      <c r="R298" s="199">
        <f>IFERROR(__xludf.DUMMYFUNCTION("""COMPUTED_VALUE"""),0.0)</f>
        <v>0</v>
      </c>
      <c r="S298" s="199">
        <f>IFERROR(__xludf.DUMMYFUNCTION("""COMPUTED_VALUE"""),0.0)</f>
        <v>0</v>
      </c>
      <c r="T298" s="199">
        <f>IFERROR(__xludf.DUMMYFUNCTION("""COMPUTED_VALUE"""),1.0)</f>
        <v>1</v>
      </c>
      <c r="U298" s="199">
        <f>IFERROR(__xludf.DUMMYFUNCTION("""COMPUTED_VALUE"""),21.0)</f>
        <v>21</v>
      </c>
      <c r="V298" s="199">
        <f>IFERROR(__xludf.DUMMYFUNCTION("""COMPUTED_VALUE"""),0.0)</f>
        <v>0</v>
      </c>
      <c r="W298" s="199">
        <f>IFERROR(__xludf.DUMMYFUNCTION("""COMPUTED_VALUE"""),0.0)</f>
        <v>0</v>
      </c>
      <c r="X298" s="199">
        <f>IFERROR(__xludf.DUMMYFUNCTION("""COMPUTED_VALUE"""),1.0)</f>
        <v>1</v>
      </c>
      <c r="Y298" s="199">
        <f>IFERROR(__xludf.DUMMYFUNCTION("""COMPUTED_VALUE"""),0.0)</f>
        <v>0</v>
      </c>
      <c r="Z298" s="199">
        <f>IFERROR(__xludf.DUMMYFUNCTION("""COMPUTED_VALUE"""),0.0)</f>
        <v>0</v>
      </c>
      <c r="AA298" s="199">
        <f>IFERROR(__xludf.DUMMYFUNCTION("""COMPUTED_VALUE"""),0.0)</f>
        <v>0</v>
      </c>
      <c r="AB298" s="199">
        <f>IFERROR(__xludf.DUMMYFUNCTION("""COMPUTED_VALUE"""),15.0)</f>
        <v>15</v>
      </c>
      <c r="AC298" s="199">
        <f>IFERROR(__xludf.DUMMYFUNCTION("""COMPUTED_VALUE"""),6.0)</f>
        <v>6</v>
      </c>
      <c r="AD298" s="199">
        <f>IFERROR(__xludf.DUMMYFUNCTION("""COMPUTED_VALUE"""),0.0)</f>
        <v>0</v>
      </c>
      <c r="AE298" s="199">
        <f>IFERROR(__xludf.DUMMYFUNCTION("""COMPUTED_VALUE"""),66.0)</f>
        <v>66</v>
      </c>
      <c r="AF298" s="199">
        <f>IFERROR(__xludf.DUMMYFUNCTION("""COMPUTED_VALUE"""),0.0)</f>
        <v>0</v>
      </c>
      <c r="AG298" s="199">
        <f>IFERROR(__xludf.DUMMYFUNCTION("""COMPUTED_VALUE"""),594.0)</f>
        <v>594</v>
      </c>
      <c r="AH298" s="199">
        <f>IFERROR(__xludf.DUMMYFUNCTION("""COMPUTED_VALUE"""),9.0)</f>
        <v>9</v>
      </c>
      <c r="AI298" s="200" t="str">
        <f>IFERROR(__xludf.DUMMYFUNCTION("""COMPUTED_VALUE"""),"Normal - No Action Required")</f>
        <v>Normal - No Action Required</v>
      </c>
      <c r="AJ298" s="200" t="str">
        <f>IFERROR(__xludf.DUMMYFUNCTION("""COMPUTED_VALUE"""),"Continue routine monitoring and sampling schedule")</f>
        <v>Continue routine monitoring and sampling schedule</v>
      </c>
      <c r="AK298" s="204"/>
      <c r="AL298" s="204"/>
      <c r="AM298" s="204"/>
    </row>
    <row r="299" hidden="1">
      <c r="A299" s="199" t="str">
        <f>IFERROR(__xludf.DUMMYFUNCTION("""COMPUTED_VALUE"""),"R2.322.HY110")</f>
        <v>R2.322.HY110</v>
      </c>
      <c r="B299" s="200" t="str">
        <f>IFERROR(__xludf.DUMMYFUNCTION("""COMPUTED_VALUE"""),"Hydraulic tensioning sys. Mill 2")</f>
        <v>Hydraulic tensioning sys. Mill 2</v>
      </c>
      <c r="C299" s="199">
        <f>IFERROR(__xludf.DUMMYFUNCTION("""COMPUTED_VALUE"""),2.511222423E10)</f>
        <v>25112224230</v>
      </c>
      <c r="D299" s="201">
        <f>IFERROR(__xludf.DUMMYFUNCTION("""COMPUTED_VALUE"""),45756.0)</f>
        <v>45756</v>
      </c>
      <c r="E299" s="202" t="str">
        <f>IFERROR(__xludf.DUMMYFUNCTION("""COMPUTED_VALUE"""),"Caution")</f>
        <v>Caution</v>
      </c>
      <c r="F299" s="202" t="str">
        <f>IFERROR(__xludf.DUMMYFUNCTION("""COMPUTED_VALUE"""),"Caution")</f>
        <v>Caution</v>
      </c>
      <c r="G299" s="203" t="str">
        <f>IFERROR(__xludf.DUMMYFUNCTION("""COMPUTED_VALUE"""),"Normal")</f>
        <v>Normal</v>
      </c>
      <c r="H299" s="203" t="str">
        <f>IFERROR(__xludf.DUMMYFUNCTION("""COMPUTED_VALUE"""),"Normal")</f>
        <v>Normal</v>
      </c>
      <c r="I299" s="37">
        <f>IFERROR(__xludf.DUMMYFUNCTION("""COMPUTED_VALUE"""),2987.0)</f>
        <v>2987</v>
      </c>
      <c r="J299" s="37">
        <f>IFERROR(__xludf.DUMMYFUNCTION("""COMPUTED_VALUE"""),1641.0)</f>
        <v>1641</v>
      </c>
      <c r="K299" s="37">
        <f>IFERROR(__xludf.DUMMYFUNCTION("""COMPUTED_VALUE"""),895.0)</f>
        <v>895</v>
      </c>
      <c r="L299" s="199">
        <f>IFERROR(__xludf.DUMMYFUNCTION("""COMPUTED_VALUE"""),16.0)</f>
        <v>16</v>
      </c>
      <c r="M299" s="199">
        <f>IFERROR(__xludf.DUMMYFUNCTION("""COMPUTED_VALUE"""),45.0)</f>
        <v>45</v>
      </c>
      <c r="N299" s="199"/>
      <c r="O299" s="199">
        <f>IFERROR(__xludf.DUMMYFUNCTION("""COMPUTED_VALUE"""),1.0)</f>
        <v>1</v>
      </c>
      <c r="P299" s="37">
        <f>IFERROR(__xludf.DUMMYFUNCTION("""COMPUTED_VALUE"""),0.02)</f>
        <v>0.02</v>
      </c>
      <c r="Q299" s="199">
        <f>IFERROR(__xludf.DUMMYFUNCTION("""COMPUTED_VALUE"""),0.0)</f>
        <v>0</v>
      </c>
      <c r="R299" s="199">
        <f>IFERROR(__xludf.DUMMYFUNCTION("""COMPUTED_VALUE"""),0.0)</f>
        <v>0</v>
      </c>
      <c r="S299" s="199">
        <f>IFERROR(__xludf.DUMMYFUNCTION("""COMPUTED_VALUE"""),0.0)</f>
        <v>0</v>
      </c>
      <c r="T299" s="199">
        <f>IFERROR(__xludf.DUMMYFUNCTION("""COMPUTED_VALUE"""),8.0)</f>
        <v>8</v>
      </c>
      <c r="U299" s="199">
        <f>IFERROR(__xludf.DUMMYFUNCTION("""COMPUTED_VALUE"""),11.0)</f>
        <v>11</v>
      </c>
      <c r="V299" s="199">
        <f>IFERROR(__xludf.DUMMYFUNCTION("""COMPUTED_VALUE"""),0.0)</f>
        <v>0</v>
      </c>
      <c r="W299" s="199">
        <f>IFERROR(__xludf.DUMMYFUNCTION("""COMPUTED_VALUE"""),0.0)</f>
        <v>0</v>
      </c>
      <c r="X299" s="199">
        <f>IFERROR(__xludf.DUMMYFUNCTION("""COMPUTED_VALUE"""),1.0)</f>
        <v>1</v>
      </c>
      <c r="Y299" s="199">
        <f>IFERROR(__xludf.DUMMYFUNCTION("""COMPUTED_VALUE"""),0.0)</f>
        <v>0</v>
      </c>
      <c r="Z299" s="199">
        <f>IFERROR(__xludf.DUMMYFUNCTION("""COMPUTED_VALUE"""),0.0)</f>
        <v>0</v>
      </c>
      <c r="AA299" s="199">
        <f>IFERROR(__xludf.DUMMYFUNCTION("""COMPUTED_VALUE"""),0.0)</f>
        <v>0</v>
      </c>
      <c r="AB299" s="199">
        <f>IFERROR(__xludf.DUMMYFUNCTION("""COMPUTED_VALUE"""),19.0)</f>
        <v>19</v>
      </c>
      <c r="AC299" s="199">
        <f>IFERROR(__xludf.DUMMYFUNCTION("""COMPUTED_VALUE"""),2.0)</f>
        <v>2</v>
      </c>
      <c r="AD299" s="199">
        <f>IFERROR(__xludf.DUMMYFUNCTION("""COMPUTED_VALUE"""),0.0)</f>
        <v>0</v>
      </c>
      <c r="AE299" s="199">
        <f>IFERROR(__xludf.DUMMYFUNCTION("""COMPUTED_VALUE"""),22.0)</f>
        <v>22</v>
      </c>
      <c r="AF299" s="199">
        <f>IFERROR(__xludf.DUMMYFUNCTION("""COMPUTED_VALUE"""),0.0)</f>
        <v>0</v>
      </c>
      <c r="AG299" s="199">
        <f>IFERROR(__xludf.DUMMYFUNCTION("""COMPUTED_VALUE"""),280.0)</f>
        <v>280</v>
      </c>
      <c r="AH299" s="199">
        <f>IFERROR(__xludf.DUMMYFUNCTION("""COMPUTED_VALUE"""),26.0)</f>
        <v>26</v>
      </c>
      <c r="AI299" s="200" t="str">
        <f>IFERROR(__xludf.DUMMYFUNCTION("""COMPUTED_VALUE"""),"General Caution")</f>
        <v>General Caution</v>
      </c>
      <c r="AJ299" s="200" t="str">
        <f>IFERROR(__xludf.DUMMYFUNCTION("""COMPUTED_VALUE"""),"Continue monitoring; resample at next scheduled interval")</f>
        <v>Continue monitoring; resample at next scheduled interval</v>
      </c>
      <c r="AK299" s="204"/>
      <c r="AL299" s="204"/>
      <c r="AM299" s="204"/>
    </row>
    <row r="300" hidden="1">
      <c r="A300" s="199" t="str">
        <f>IFERROR(__xludf.DUMMYFUNCTION("""COMPUTED_VALUE"""),"R2.432.HT120(BE)")</f>
        <v>R2.432.HT120(BE)</v>
      </c>
      <c r="B300" s="200" t="str">
        <f>IFERROR(__xludf.DUMMYFUNCTION("""COMPUTED_VALUE"""),"Hydraulic thrust bearing")</f>
        <v>Hydraulic thrust bearing</v>
      </c>
      <c r="C300" s="199">
        <f>IFERROR(__xludf.DUMMYFUNCTION("""COMPUTED_VALUE"""),2.5112224205E10)</f>
        <v>25112224205</v>
      </c>
      <c r="D300" s="201">
        <f>IFERROR(__xludf.DUMMYFUNCTION("""COMPUTED_VALUE"""),45756.0)</f>
        <v>45756</v>
      </c>
      <c r="E300" s="202" t="str">
        <f>IFERROR(__xludf.DUMMYFUNCTION("""COMPUTED_VALUE"""),"Alert")</f>
        <v>Alert</v>
      </c>
      <c r="F300" s="202" t="str">
        <f>IFERROR(__xludf.DUMMYFUNCTION("""COMPUTED_VALUE"""),"Normal")</f>
        <v>Normal</v>
      </c>
      <c r="G300" s="203" t="str">
        <f>IFERROR(__xludf.DUMMYFUNCTION("""COMPUTED_VALUE"""),"Normal")</f>
        <v>Normal</v>
      </c>
      <c r="H300" s="203" t="str">
        <f>IFERROR(__xludf.DUMMYFUNCTION("""COMPUTED_VALUE"""),"Alert")</f>
        <v>Alert</v>
      </c>
      <c r="I300" s="37"/>
      <c r="J300" s="37"/>
      <c r="K300" s="37"/>
      <c r="L300" s="199">
        <f>IFERROR(__xludf.DUMMYFUNCTION("""COMPUTED_VALUE"""),14.0)</f>
        <v>14</v>
      </c>
      <c r="M300" s="199">
        <f>IFERROR(__xludf.DUMMYFUNCTION("""COMPUTED_VALUE"""),37.6)</f>
        <v>37.6</v>
      </c>
      <c r="N300" s="199"/>
      <c r="O300" s="199"/>
      <c r="P300" s="37">
        <f>IFERROR(__xludf.DUMMYFUNCTION("""COMPUTED_VALUE"""),0.02)</f>
        <v>0.02</v>
      </c>
      <c r="Q300" s="199">
        <f>IFERROR(__xludf.DUMMYFUNCTION("""COMPUTED_VALUE"""),0.0)</f>
        <v>0</v>
      </c>
      <c r="R300" s="199">
        <f>IFERROR(__xludf.DUMMYFUNCTION("""COMPUTED_VALUE"""),0.0)</f>
        <v>0</v>
      </c>
      <c r="S300" s="199">
        <f>IFERROR(__xludf.DUMMYFUNCTION("""COMPUTED_VALUE"""),0.0)</f>
        <v>0</v>
      </c>
      <c r="T300" s="199">
        <f>IFERROR(__xludf.DUMMYFUNCTION("""COMPUTED_VALUE"""),0.0)</f>
        <v>0</v>
      </c>
      <c r="U300" s="199">
        <f>IFERROR(__xludf.DUMMYFUNCTION("""COMPUTED_VALUE"""),10.0)</f>
        <v>10</v>
      </c>
      <c r="V300" s="199">
        <f>IFERROR(__xludf.DUMMYFUNCTION("""COMPUTED_VALUE"""),0.0)</f>
        <v>0</v>
      </c>
      <c r="W300" s="199">
        <f>IFERROR(__xludf.DUMMYFUNCTION("""COMPUTED_VALUE"""),0.0)</f>
        <v>0</v>
      </c>
      <c r="X300" s="199">
        <f>IFERROR(__xludf.DUMMYFUNCTION("""COMPUTED_VALUE"""),2.0)</f>
        <v>2</v>
      </c>
      <c r="Y300" s="199">
        <f>IFERROR(__xludf.DUMMYFUNCTION("""COMPUTED_VALUE"""),0.0)</f>
        <v>0</v>
      </c>
      <c r="Z300" s="199">
        <f>IFERROR(__xludf.DUMMYFUNCTION("""COMPUTED_VALUE"""),0.0)</f>
        <v>0</v>
      </c>
      <c r="AA300" s="199">
        <f>IFERROR(__xludf.DUMMYFUNCTION("""COMPUTED_VALUE"""),2.0)</f>
        <v>2</v>
      </c>
      <c r="AB300" s="199">
        <f>IFERROR(__xludf.DUMMYFUNCTION("""COMPUTED_VALUE"""),19.0)</f>
        <v>19</v>
      </c>
      <c r="AC300" s="199">
        <f>IFERROR(__xludf.DUMMYFUNCTION("""COMPUTED_VALUE"""),5.0)</f>
        <v>5</v>
      </c>
      <c r="AD300" s="199">
        <f>IFERROR(__xludf.DUMMYFUNCTION("""COMPUTED_VALUE"""),0.0)</f>
        <v>0</v>
      </c>
      <c r="AE300" s="199">
        <f>IFERROR(__xludf.DUMMYFUNCTION("""COMPUTED_VALUE"""),71.0)</f>
        <v>71</v>
      </c>
      <c r="AF300" s="199">
        <f>IFERROR(__xludf.DUMMYFUNCTION("""COMPUTED_VALUE"""),1.0)</f>
        <v>1</v>
      </c>
      <c r="AG300" s="199">
        <f>IFERROR(__xludf.DUMMYFUNCTION("""COMPUTED_VALUE"""),369.0)</f>
        <v>369</v>
      </c>
      <c r="AH300" s="199">
        <f>IFERROR(__xludf.DUMMYFUNCTION("""COMPUTED_VALUE"""),115.0)</f>
        <v>115</v>
      </c>
      <c r="AI300" s="200" t="str">
        <f>IFERROR(__xludf.DUMMYFUNCTION("""COMPUTED_VALUE"""),"Lubricant Degradation")</f>
        <v>Lubricant Degradation</v>
      </c>
      <c r="AJ300" s="200" t="str">
        <f>IFERROR(__xludf.DUMMYFUNCTION("""COMPUTED_VALUE"""),"Viscosity critically low - change lubricant immediately")</f>
        <v>Viscosity critically low - change lubricant immediately</v>
      </c>
      <c r="AK300" s="204"/>
      <c r="AL300" s="204"/>
      <c r="AM300" s="204"/>
    </row>
    <row r="301" hidden="1">
      <c r="A301" s="199" t="str">
        <f>IFERROR(__xludf.DUMMYFUNCTION("""COMPUTED_VALUE"""),"R2.432.HT120(T)")</f>
        <v>R2.432.HT120(T)</v>
      </c>
      <c r="B301" s="200" t="str">
        <f>IFERROR(__xludf.DUMMYFUNCTION("""COMPUTED_VALUE"""),"Kiln Hydraulic thrust Tank")</f>
        <v>Kiln Hydraulic thrust Tank</v>
      </c>
      <c r="C301" s="199">
        <f>IFERROR(__xludf.DUMMYFUNCTION("""COMPUTED_VALUE"""),2.5112224222E10)</f>
        <v>25112224222</v>
      </c>
      <c r="D301" s="201">
        <f>IFERROR(__xludf.DUMMYFUNCTION("""COMPUTED_VALUE"""),45756.0)</f>
        <v>45756</v>
      </c>
      <c r="E301" s="202" t="str">
        <f>IFERROR(__xludf.DUMMYFUNCTION("""COMPUTED_VALUE"""),"Caution")</f>
        <v>Caution</v>
      </c>
      <c r="F301" s="202" t="str">
        <f>IFERROR(__xludf.DUMMYFUNCTION("""COMPUTED_VALUE"""),"Normal")</f>
        <v>Normal</v>
      </c>
      <c r="G301" s="203" t="str">
        <f>IFERROR(__xludf.DUMMYFUNCTION("""COMPUTED_VALUE"""),"Normal")</f>
        <v>Normal</v>
      </c>
      <c r="H301" s="203" t="str">
        <f>IFERROR(__xludf.DUMMYFUNCTION("""COMPUTED_VALUE"""),"Caution")</f>
        <v>Caution</v>
      </c>
      <c r="I301" s="37">
        <f>IFERROR(__xludf.DUMMYFUNCTION("""COMPUTED_VALUE"""),2546.0)</f>
        <v>2546</v>
      </c>
      <c r="J301" s="37">
        <f>IFERROR(__xludf.DUMMYFUNCTION("""COMPUTED_VALUE"""),1425.0)</f>
        <v>1425</v>
      </c>
      <c r="K301" s="37">
        <f>IFERROR(__xludf.DUMMYFUNCTION("""COMPUTED_VALUE"""),754.0)</f>
        <v>754</v>
      </c>
      <c r="L301" s="199">
        <f>IFERROR(__xludf.DUMMYFUNCTION("""COMPUTED_VALUE"""),11.0)</f>
        <v>11</v>
      </c>
      <c r="M301" s="199">
        <f>IFERROR(__xludf.DUMMYFUNCTION("""COMPUTED_VALUE"""),54.4)</f>
        <v>54.4</v>
      </c>
      <c r="N301" s="199"/>
      <c r="O301" s="199">
        <f>IFERROR(__xludf.DUMMYFUNCTION("""COMPUTED_VALUE"""),1.0)</f>
        <v>1</v>
      </c>
      <c r="P301" s="37">
        <f>IFERROR(__xludf.DUMMYFUNCTION("""COMPUTED_VALUE"""),0.01)</f>
        <v>0.01</v>
      </c>
      <c r="Q301" s="199">
        <f>IFERROR(__xludf.DUMMYFUNCTION("""COMPUTED_VALUE"""),0.0)</f>
        <v>0</v>
      </c>
      <c r="R301" s="199">
        <f>IFERROR(__xludf.DUMMYFUNCTION("""COMPUTED_VALUE"""),0.0)</f>
        <v>0</v>
      </c>
      <c r="S301" s="199">
        <f>IFERROR(__xludf.DUMMYFUNCTION("""COMPUTED_VALUE"""),0.0)</f>
        <v>0</v>
      </c>
      <c r="T301" s="199">
        <f>IFERROR(__xludf.DUMMYFUNCTION("""COMPUTED_VALUE"""),3.0)</f>
        <v>3</v>
      </c>
      <c r="U301" s="199">
        <f>IFERROR(__xludf.DUMMYFUNCTION("""COMPUTED_VALUE"""),5.0)</f>
        <v>5</v>
      </c>
      <c r="V301" s="199">
        <f>IFERROR(__xludf.DUMMYFUNCTION("""COMPUTED_VALUE"""),0.0)</f>
        <v>0</v>
      </c>
      <c r="W301" s="199">
        <f>IFERROR(__xludf.DUMMYFUNCTION("""COMPUTED_VALUE"""),0.0)</f>
        <v>0</v>
      </c>
      <c r="X301" s="199">
        <f>IFERROR(__xludf.DUMMYFUNCTION("""COMPUTED_VALUE"""),0.0)</f>
        <v>0</v>
      </c>
      <c r="Y301" s="199">
        <f>IFERROR(__xludf.DUMMYFUNCTION("""COMPUTED_VALUE"""),0.0)</f>
        <v>0</v>
      </c>
      <c r="Z301" s="199">
        <f>IFERROR(__xludf.DUMMYFUNCTION("""COMPUTED_VALUE"""),0.0)</f>
        <v>0</v>
      </c>
      <c r="AA301" s="199">
        <f>IFERROR(__xludf.DUMMYFUNCTION("""COMPUTED_VALUE"""),2.0)</f>
        <v>2</v>
      </c>
      <c r="AB301" s="199">
        <f>IFERROR(__xludf.DUMMYFUNCTION("""COMPUTED_VALUE"""),0.0)</f>
        <v>0</v>
      </c>
      <c r="AC301" s="199">
        <f>IFERROR(__xludf.DUMMYFUNCTION("""COMPUTED_VALUE"""),18.0)</f>
        <v>18</v>
      </c>
      <c r="AD301" s="199">
        <f>IFERROR(__xludf.DUMMYFUNCTION("""COMPUTED_VALUE"""),0.0)</f>
        <v>0</v>
      </c>
      <c r="AE301" s="199">
        <f>IFERROR(__xludf.DUMMYFUNCTION("""COMPUTED_VALUE"""),80.0)</f>
        <v>80</v>
      </c>
      <c r="AF301" s="199">
        <f>IFERROR(__xludf.DUMMYFUNCTION("""COMPUTED_VALUE"""),0.0)</f>
        <v>0</v>
      </c>
      <c r="AG301" s="199">
        <f>IFERROR(__xludf.DUMMYFUNCTION("""COMPUTED_VALUE"""),413.0)</f>
        <v>413</v>
      </c>
      <c r="AH301" s="199">
        <f>IFERROR(__xludf.DUMMYFUNCTION("""COMPUTED_VALUE"""),615.0)</f>
        <v>615</v>
      </c>
      <c r="AI301" s="200" t="str">
        <f>IFERROR(__xludf.DUMMYFUNCTION("""COMPUTED_VALUE"""),"Lubricant Condition Caution")</f>
        <v>Lubricant Condition Caution</v>
      </c>
      <c r="AJ301" s="200" t="str">
        <f>IFERROR(__xludf.DUMMYFUNCTION("""COMPUTED_VALUE"""),"Lubricant showing degradation - plan oil change within 3 months")</f>
        <v>Lubricant showing degradation - plan oil change within 3 months</v>
      </c>
      <c r="AK301" s="204"/>
      <c r="AL301" s="204"/>
      <c r="AM301" s="204"/>
    </row>
    <row r="302" hidden="1">
      <c r="A302" s="199" t="str">
        <f>IFERROR(__xludf.DUMMYFUNCTION("""COMPUTED_VALUE"""),"R2.442.MD140(T)")</f>
        <v>R2.442.MD140(T)</v>
      </c>
      <c r="B302" s="200" t="str">
        <f>IFERROR(__xludf.DUMMYFUNCTION("""COMPUTED_VALUE"""),"Clinker Cooler Drive (From Tank)")</f>
        <v>Clinker Cooler Drive (From Tank)</v>
      </c>
      <c r="C302" s="199">
        <f>IFERROR(__xludf.DUMMYFUNCTION("""COMPUTED_VALUE"""),2.5112224247E10)</f>
        <v>25112224247</v>
      </c>
      <c r="D302" s="201">
        <f>IFERROR(__xludf.DUMMYFUNCTION("""COMPUTED_VALUE"""),45756.0)</f>
        <v>45756</v>
      </c>
      <c r="E302" s="202" t="str">
        <f>IFERROR(__xludf.DUMMYFUNCTION("""COMPUTED_VALUE"""),"Normal")</f>
        <v>Normal</v>
      </c>
      <c r="F302" s="202" t="str">
        <f>IFERROR(__xludf.DUMMYFUNCTION("""COMPUTED_VALUE"""),"Normal")</f>
        <v>Normal</v>
      </c>
      <c r="G302" s="203" t="str">
        <f>IFERROR(__xludf.DUMMYFUNCTION("""COMPUTED_VALUE"""),"Normal")</f>
        <v>Normal</v>
      </c>
      <c r="H302" s="203" t="str">
        <f>IFERROR(__xludf.DUMMYFUNCTION("""COMPUTED_VALUE"""),"Normal")</f>
        <v>Normal</v>
      </c>
      <c r="I302" s="199">
        <f>IFERROR(__xludf.DUMMYFUNCTION("""COMPUTED_VALUE"""),2854.0)</f>
        <v>2854</v>
      </c>
      <c r="J302" s="199">
        <f>IFERROR(__xludf.DUMMYFUNCTION("""COMPUTED_VALUE"""),1542.0)</f>
        <v>1542</v>
      </c>
      <c r="K302" s="199">
        <f>IFERROR(__xludf.DUMMYFUNCTION("""COMPUTED_VALUE"""),1210.0)</f>
        <v>1210</v>
      </c>
      <c r="L302" s="199">
        <f>IFERROR(__xludf.DUMMYFUNCTION("""COMPUTED_VALUE"""),10.0)</f>
        <v>10</v>
      </c>
      <c r="M302" s="199">
        <f>IFERROR(__xludf.DUMMYFUNCTION("""COMPUTED_VALUE"""),46.5)</f>
        <v>46.5</v>
      </c>
      <c r="N302" s="199"/>
      <c r="O302" s="199">
        <f>IFERROR(__xludf.DUMMYFUNCTION("""COMPUTED_VALUE"""),1.0)</f>
        <v>1</v>
      </c>
      <c r="P302" s="199">
        <f>IFERROR(__xludf.DUMMYFUNCTION("""COMPUTED_VALUE"""),0.01)</f>
        <v>0.01</v>
      </c>
      <c r="Q302" s="199">
        <f>IFERROR(__xludf.DUMMYFUNCTION("""COMPUTED_VALUE"""),0.0)</f>
        <v>0</v>
      </c>
      <c r="R302" s="199">
        <f>IFERROR(__xludf.DUMMYFUNCTION("""COMPUTED_VALUE"""),0.0)</f>
        <v>0</v>
      </c>
      <c r="S302" s="199">
        <f>IFERROR(__xludf.DUMMYFUNCTION("""COMPUTED_VALUE"""),0.0)</f>
        <v>0</v>
      </c>
      <c r="T302" s="199">
        <f>IFERROR(__xludf.DUMMYFUNCTION("""COMPUTED_VALUE"""),0.0)</f>
        <v>0</v>
      </c>
      <c r="U302" s="199">
        <f>IFERROR(__xludf.DUMMYFUNCTION("""COMPUTED_VALUE"""),0.0)</f>
        <v>0</v>
      </c>
      <c r="V302" s="199">
        <f>IFERROR(__xludf.DUMMYFUNCTION("""COMPUTED_VALUE"""),0.0)</f>
        <v>0</v>
      </c>
      <c r="W302" s="199">
        <f>IFERROR(__xludf.DUMMYFUNCTION("""COMPUTED_VALUE"""),0.0)</f>
        <v>0</v>
      </c>
      <c r="X302" s="199">
        <f>IFERROR(__xludf.DUMMYFUNCTION("""COMPUTED_VALUE"""),0.0)</f>
        <v>0</v>
      </c>
      <c r="Y302" s="199">
        <f>IFERROR(__xludf.DUMMYFUNCTION("""COMPUTED_VALUE"""),0.0)</f>
        <v>0</v>
      </c>
      <c r="Z302" s="199">
        <f>IFERROR(__xludf.DUMMYFUNCTION("""COMPUTED_VALUE"""),0.0)</f>
        <v>0</v>
      </c>
      <c r="AA302" s="199">
        <f>IFERROR(__xludf.DUMMYFUNCTION("""COMPUTED_VALUE"""),0.0)</f>
        <v>0</v>
      </c>
      <c r="AB302" s="199">
        <f>IFERROR(__xludf.DUMMYFUNCTION("""COMPUTED_VALUE"""),0.0)</f>
        <v>0</v>
      </c>
      <c r="AC302" s="199">
        <f>IFERROR(__xludf.DUMMYFUNCTION("""COMPUTED_VALUE"""),1.0)</f>
        <v>1</v>
      </c>
      <c r="AD302" s="199">
        <f>IFERROR(__xludf.DUMMYFUNCTION("""COMPUTED_VALUE"""),0.0)</f>
        <v>0</v>
      </c>
      <c r="AE302" s="199">
        <f>IFERROR(__xludf.DUMMYFUNCTION("""COMPUTED_VALUE"""),74.0)</f>
        <v>74</v>
      </c>
      <c r="AF302" s="199">
        <f>IFERROR(__xludf.DUMMYFUNCTION("""COMPUTED_VALUE"""),0.0)</f>
        <v>0</v>
      </c>
      <c r="AG302" s="199">
        <f>IFERROR(__xludf.DUMMYFUNCTION("""COMPUTED_VALUE"""),361.0)</f>
        <v>361</v>
      </c>
      <c r="AH302" s="199">
        <f>IFERROR(__xludf.DUMMYFUNCTION("""COMPUTED_VALUE"""),646.0)</f>
        <v>646</v>
      </c>
      <c r="AI302" s="200" t="str">
        <f>IFERROR(__xludf.DUMMYFUNCTION("""COMPUTED_VALUE"""),"Normal - No Action Required")</f>
        <v>Normal - No Action Required</v>
      </c>
      <c r="AJ302" s="200" t="str">
        <f>IFERROR(__xludf.DUMMYFUNCTION("""COMPUTED_VALUE"""),"Continue routine monitoring and sampling schedule")</f>
        <v>Continue routine monitoring and sampling schedule</v>
      </c>
      <c r="AK302" s="204"/>
      <c r="AL302" s="204"/>
      <c r="AM302" s="204"/>
    </row>
    <row r="303" hidden="1">
      <c r="A303" s="199" t="str">
        <f>IFERROR(__xludf.DUMMYFUNCTION("""COMPUTED_VALUE"""),"R2.432.MD140(N31)")</f>
        <v>R2.432.MD140(N31)</v>
      </c>
      <c r="B303" s="200" t="str">
        <f>IFERROR(__xludf.DUMMYFUNCTION("""COMPUTED_VALUE"""),"Kiln #2 Main drive gearbox (N31)")</f>
        <v>Kiln #2 Main drive gearbox (N31)</v>
      </c>
      <c r="C303" s="199">
        <f>IFERROR(__xludf.DUMMYFUNCTION("""COMPUTED_VALUE"""),2.5112224269E10)</f>
        <v>25112224269</v>
      </c>
      <c r="D303" s="201">
        <f>IFERROR(__xludf.DUMMYFUNCTION("""COMPUTED_VALUE"""),45756.0)</f>
        <v>45756</v>
      </c>
      <c r="E303" s="202" t="str">
        <f>IFERROR(__xludf.DUMMYFUNCTION("""COMPUTED_VALUE"""),"Caution")</f>
        <v>Caution</v>
      </c>
      <c r="F303" s="202" t="str">
        <f>IFERROR(__xludf.DUMMYFUNCTION("""COMPUTED_VALUE"""),"Caution")</f>
        <v>Caution</v>
      </c>
      <c r="G303" s="203" t="str">
        <f>IFERROR(__xludf.DUMMYFUNCTION("""COMPUTED_VALUE"""),"Normal")</f>
        <v>Normal</v>
      </c>
      <c r="H303" s="203" t="str">
        <f>IFERROR(__xludf.DUMMYFUNCTION("""COMPUTED_VALUE"""),"Normal")</f>
        <v>Normal</v>
      </c>
      <c r="I303" s="199"/>
      <c r="J303" s="199"/>
      <c r="K303" s="199"/>
      <c r="L303" s="199">
        <f>IFERROR(__xludf.DUMMYFUNCTION("""COMPUTED_VALUE"""),19.0)</f>
        <v>19</v>
      </c>
      <c r="M303" s="199">
        <f>IFERROR(__xludf.DUMMYFUNCTION("""COMPUTED_VALUE"""),431.5)</f>
        <v>431.5</v>
      </c>
      <c r="N303" s="199"/>
      <c r="O303" s="199">
        <f>IFERROR(__xludf.DUMMYFUNCTION("""COMPUTED_VALUE"""),2.0)</f>
        <v>2</v>
      </c>
      <c r="P303" s="199">
        <f>IFERROR(__xludf.DUMMYFUNCTION("""COMPUTED_VALUE"""),0.02)</f>
        <v>0.02</v>
      </c>
      <c r="Q303" s="199">
        <f>IFERROR(__xludf.DUMMYFUNCTION("""COMPUTED_VALUE"""),0.0)</f>
        <v>0</v>
      </c>
      <c r="R303" s="199">
        <f>IFERROR(__xludf.DUMMYFUNCTION("""COMPUTED_VALUE"""),0.0)</f>
        <v>0</v>
      </c>
      <c r="S303" s="199">
        <f>IFERROR(__xludf.DUMMYFUNCTION("""COMPUTED_VALUE"""),0.0)</f>
        <v>0</v>
      </c>
      <c r="T303" s="199">
        <f>IFERROR(__xludf.DUMMYFUNCTION("""COMPUTED_VALUE"""),0.0)</f>
        <v>0</v>
      </c>
      <c r="U303" s="199">
        <f>IFERROR(__xludf.DUMMYFUNCTION("""COMPUTED_VALUE"""),34.0)</f>
        <v>34</v>
      </c>
      <c r="V303" s="199">
        <f>IFERROR(__xludf.DUMMYFUNCTION("""COMPUTED_VALUE"""),0.0)</f>
        <v>0</v>
      </c>
      <c r="W303" s="199">
        <f>IFERROR(__xludf.DUMMYFUNCTION("""COMPUTED_VALUE"""),0.0)</f>
        <v>0</v>
      </c>
      <c r="X303" s="199">
        <f>IFERROR(__xludf.DUMMYFUNCTION("""COMPUTED_VALUE"""),0.0)</f>
        <v>0</v>
      </c>
      <c r="Y303" s="199">
        <f>IFERROR(__xludf.DUMMYFUNCTION("""COMPUTED_VALUE"""),0.0)</f>
        <v>0</v>
      </c>
      <c r="Z303" s="199">
        <f>IFERROR(__xludf.DUMMYFUNCTION("""COMPUTED_VALUE"""),2.0)</f>
        <v>2</v>
      </c>
      <c r="AA303" s="199">
        <f>IFERROR(__xludf.DUMMYFUNCTION("""COMPUTED_VALUE"""),0.0)</f>
        <v>0</v>
      </c>
      <c r="AB303" s="199">
        <f>IFERROR(__xludf.DUMMYFUNCTION("""COMPUTED_VALUE"""),16.0)</f>
        <v>16</v>
      </c>
      <c r="AC303" s="199">
        <f>IFERROR(__xludf.DUMMYFUNCTION("""COMPUTED_VALUE"""),25.0)</f>
        <v>25</v>
      </c>
      <c r="AD303" s="199">
        <f>IFERROR(__xludf.DUMMYFUNCTION("""COMPUTED_VALUE"""),0.0)</f>
        <v>0</v>
      </c>
      <c r="AE303" s="199">
        <f>IFERROR(__xludf.DUMMYFUNCTION("""COMPUTED_VALUE"""),84.0)</f>
        <v>84</v>
      </c>
      <c r="AF303" s="199">
        <f>IFERROR(__xludf.DUMMYFUNCTION("""COMPUTED_VALUE"""),1.0)</f>
        <v>1</v>
      </c>
      <c r="AG303" s="199">
        <f>IFERROR(__xludf.DUMMYFUNCTION("""COMPUTED_VALUE"""),499.0)</f>
        <v>499</v>
      </c>
      <c r="AH303" s="199">
        <f>IFERROR(__xludf.DUMMYFUNCTION("""COMPUTED_VALUE"""),29.0)</f>
        <v>29</v>
      </c>
      <c r="AI303" s="200" t="str">
        <f>IFERROR(__xludf.DUMMYFUNCTION("""COMPUTED_VALUE"""),"General Caution")</f>
        <v>General Caution</v>
      </c>
      <c r="AJ303" s="200" t="str">
        <f>IFERROR(__xludf.DUMMYFUNCTION("""COMPUTED_VALUE"""),"Oxidation increasing - monitor and plan oil change")</f>
        <v>Oxidation increasing - monitor and plan oil change</v>
      </c>
      <c r="AK303" s="204"/>
      <c r="AL303" s="204"/>
      <c r="AM303" s="204"/>
    </row>
    <row r="304" hidden="1">
      <c r="A304" s="199" t="str">
        <f>IFERROR(__xludf.DUMMYFUNCTION("""COMPUTED_VALUE"""),"R2.432.MD140(N32)")</f>
        <v>R2.432.MD140(N32)</v>
      </c>
      <c r="B304" s="200" t="str">
        <f>IFERROR(__xludf.DUMMYFUNCTION("""COMPUTED_VALUE"""),"Kiln #2 Main drive gearbox (N32)")</f>
        <v>Kiln #2 Main drive gearbox (N32)</v>
      </c>
      <c r="C304" s="199">
        <f>IFERROR(__xludf.DUMMYFUNCTION("""COMPUTED_VALUE"""),2.5112224271E10)</f>
        <v>25112224271</v>
      </c>
      <c r="D304" s="201">
        <f>IFERROR(__xludf.DUMMYFUNCTION("""COMPUTED_VALUE"""),45756.0)</f>
        <v>45756</v>
      </c>
      <c r="E304" s="202" t="str">
        <f>IFERROR(__xludf.DUMMYFUNCTION("""COMPUTED_VALUE"""),"Normal")</f>
        <v>Normal</v>
      </c>
      <c r="F304" s="202" t="str">
        <f>IFERROR(__xludf.DUMMYFUNCTION("""COMPUTED_VALUE"""),"Normal")</f>
        <v>Normal</v>
      </c>
      <c r="G304" s="203" t="str">
        <f>IFERROR(__xludf.DUMMYFUNCTION("""COMPUTED_VALUE"""),"Normal")</f>
        <v>Normal</v>
      </c>
      <c r="H304" s="203" t="str">
        <f>IFERROR(__xludf.DUMMYFUNCTION("""COMPUTED_VALUE"""),"Normal")</f>
        <v>Normal</v>
      </c>
      <c r="I304" s="199">
        <f>IFERROR(__xludf.DUMMYFUNCTION("""COMPUTED_VALUE"""),15241.0)</f>
        <v>15241</v>
      </c>
      <c r="J304" s="199">
        <f>IFERROR(__xludf.DUMMYFUNCTION("""COMPUTED_VALUE"""),5741.0)</f>
        <v>5741</v>
      </c>
      <c r="K304" s="37">
        <f>IFERROR(__xludf.DUMMYFUNCTION("""COMPUTED_VALUE"""),2541.0)</f>
        <v>2541</v>
      </c>
      <c r="L304" s="199">
        <f>IFERROR(__xludf.DUMMYFUNCTION("""COMPUTED_VALUE"""),31.0)</f>
        <v>31</v>
      </c>
      <c r="M304" s="199">
        <f>IFERROR(__xludf.DUMMYFUNCTION("""COMPUTED_VALUE"""),394.9)</f>
        <v>394.9</v>
      </c>
      <c r="N304" s="199"/>
      <c r="O304" s="199">
        <f>IFERROR(__xludf.DUMMYFUNCTION("""COMPUTED_VALUE"""),2.0)</f>
        <v>2</v>
      </c>
      <c r="P304" s="199">
        <f>IFERROR(__xludf.DUMMYFUNCTION("""COMPUTED_VALUE"""),0.02)</f>
        <v>0.02</v>
      </c>
      <c r="Q304" s="199">
        <f>IFERROR(__xludf.DUMMYFUNCTION("""COMPUTED_VALUE"""),0.0)</f>
        <v>0</v>
      </c>
      <c r="R304" s="199">
        <f>IFERROR(__xludf.DUMMYFUNCTION("""COMPUTED_VALUE"""),0.0)</f>
        <v>0</v>
      </c>
      <c r="S304" s="199">
        <f>IFERROR(__xludf.DUMMYFUNCTION("""COMPUTED_VALUE"""),0.0)</f>
        <v>0</v>
      </c>
      <c r="T304" s="199">
        <f>IFERROR(__xludf.DUMMYFUNCTION("""COMPUTED_VALUE"""),0.0)</f>
        <v>0</v>
      </c>
      <c r="U304" s="199">
        <f>IFERROR(__xludf.DUMMYFUNCTION("""COMPUTED_VALUE"""),59.0)</f>
        <v>59</v>
      </c>
      <c r="V304" s="199">
        <f>IFERROR(__xludf.DUMMYFUNCTION("""COMPUTED_VALUE"""),0.0)</f>
        <v>0</v>
      </c>
      <c r="W304" s="199">
        <f>IFERROR(__xludf.DUMMYFUNCTION("""COMPUTED_VALUE"""),0.0)</f>
        <v>0</v>
      </c>
      <c r="X304" s="199">
        <f>IFERROR(__xludf.DUMMYFUNCTION("""COMPUTED_VALUE"""),15.0)</f>
        <v>15</v>
      </c>
      <c r="Y304" s="199">
        <f>IFERROR(__xludf.DUMMYFUNCTION("""COMPUTED_VALUE"""),0.0)</f>
        <v>0</v>
      </c>
      <c r="Z304" s="199">
        <f>IFERROR(__xludf.DUMMYFUNCTION("""COMPUTED_VALUE"""),0.0)</f>
        <v>0</v>
      </c>
      <c r="AA304" s="199">
        <f>IFERROR(__xludf.DUMMYFUNCTION("""COMPUTED_VALUE"""),1.0)</f>
        <v>1</v>
      </c>
      <c r="AB304" s="199">
        <f>IFERROR(__xludf.DUMMYFUNCTION("""COMPUTED_VALUE"""),0.0)</f>
        <v>0</v>
      </c>
      <c r="AC304" s="199">
        <f>IFERROR(__xludf.DUMMYFUNCTION("""COMPUTED_VALUE"""),25.0)</f>
        <v>25</v>
      </c>
      <c r="AD304" s="199">
        <f>IFERROR(__xludf.DUMMYFUNCTION("""COMPUTED_VALUE"""),0.0)</f>
        <v>0</v>
      </c>
      <c r="AE304" s="199">
        <f>IFERROR(__xludf.DUMMYFUNCTION("""COMPUTED_VALUE"""),71.0)</f>
        <v>71</v>
      </c>
      <c r="AF304" s="199">
        <f>IFERROR(__xludf.DUMMYFUNCTION("""COMPUTED_VALUE"""),1.0)</f>
        <v>1</v>
      </c>
      <c r="AG304" s="199">
        <f>IFERROR(__xludf.DUMMYFUNCTION("""COMPUTED_VALUE"""),468.0)</f>
        <v>468</v>
      </c>
      <c r="AH304" s="199">
        <f>IFERROR(__xludf.DUMMYFUNCTION("""COMPUTED_VALUE"""),20.0)</f>
        <v>20</v>
      </c>
      <c r="AI304" s="200" t="str">
        <f>IFERROR(__xludf.DUMMYFUNCTION("""COMPUTED_VALUE"""),"Normal - No Action Required")</f>
        <v>Normal - No Action Required</v>
      </c>
      <c r="AJ304" s="200" t="str">
        <f>IFERROR(__xludf.DUMMYFUNCTION("""COMPUTED_VALUE"""),"Continue routine monitoring and sampling schedule")</f>
        <v>Continue routine monitoring and sampling schedule</v>
      </c>
      <c r="AK304" s="204"/>
      <c r="AL304" s="204"/>
      <c r="AM304" s="204"/>
    </row>
    <row r="305" hidden="1">
      <c r="A305" s="199" t="str">
        <f>IFERROR(__xludf.DUMMYFUNCTION("""COMPUTED_VALUE"""),"R2.442.FN590")</f>
        <v>R2.442.FN590</v>
      </c>
      <c r="B305" s="200" t="str">
        <f>IFERROR(__xludf.DUMMYFUNCTION("""COMPUTED_VALUE"""),"Clinker Cooler #2 filter Fan")</f>
        <v>Clinker Cooler #2 filter Fan</v>
      </c>
      <c r="C305" s="199">
        <f>IFERROR(__xludf.DUMMYFUNCTION("""COMPUTED_VALUE"""),2.511020426E10)</f>
        <v>25110204260</v>
      </c>
      <c r="D305" s="201">
        <f>IFERROR(__xludf.DUMMYFUNCTION("""COMPUTED_VALUE"""),45756.0)</f>
        <v>45756</v>
      </c>
      <c r="E305" s="202" t="str">
        <f>IFERROR(__xludf.DUMMYFUNCTION("""COMPUTED_VALUE"""),"Normal")</f>
        <v>Normal</v>
      </c>
      <c r="F305" s="202" t="str">
        <f>IFERROR(__xludf.DUMMYFUNCTION("""COMPUTED_VALUE"""),"Normal")</f>
        <v>Normal</v>
      </c>
      <c r="G305" s="203" t="str">
        <f>IFERROR(__xludf.DUMMYFUNCTION("""COMPUTED_VALUE"""),"Normal")</f>
        <v>Normal</v>
      </c>
      <c r="H305" s="203" t="str">
        <f>IFERROR(__xludf.DUMMYFUNCTION("""COMPUTED_VALUE"""),"Normal")</f>
        <v>Normal</v>
      </c>
      <c r="I305" s="199">
        <f>IFERROR(__xludf.DUMMYFUNCTION("""COMPUTED_VALUE"""),36521.0)</f>
        <v>36521</v>
      </c>
      <c r="J305" s="199">
        <f>IFERROR(__xludf.DUMMYFUNCTION("""COMPUTED_VALUE"""),2541.0)</f>
        <v>2541</v>
      </c>
      <c r="K305" s="199">
        <f>IFERROR(__xludf.DUMMYFUNCTION("""COMPUTED_VALUE"""),2215.0)</f>
        <v>2215</v>
      </c>
      <c r="L305" s="199">
        <f>IFERROR(__xludf.DUMMYFUNCTION("""COMPUTED_VALUE"""),15.0)</f>
        <v>15</v>
      </c>
      <c r="M305" s="199">
        <f>IFERROR(__xludf.DUMMYFUNCTION("""COMPUTED_VALUE"""),283.8)</f>
        <v>283.8</v>
      </c>
      <c r="N305" s="199"/>
      <c r="O305" s="199"/>
      <c r="P305" s="199">
        <f>IFERROR(__xludf.DUMMYFUNCTION("""COMPUTED_VALUE"""),0.02)</f>
        <v>0.02</v>
      </c>
      <c r="Q305" s="199">
        <f>IFERROR(__xludf.DUMMYFUNCTION("""COMPUTED_VALUE"""),0.0)</f>
        <v>0</v>
      </c>
      <c r="R305" s="199">
        <f>IFERROR(__xludf.DUMMYFUNCTION("""COMPUTED_VALUE"""),0.0)</f>
        <v>0</v>
      </c>
      <c r="S305" s="199">
        <f>IFERROR(__xludf.DUMMYFUNCTION("""COMPUTED_VALUE"""),0.0)</f>
        <v>0</v>
      </c>
      <c r="T305" s="199">
        <f>IFERROR(__xludf.DUMMYFUNCTION("""COMPUTED_VALUE"""),0.0)</f>
        <v>0</v>
      </c>
      <c r="U305" s="199">
        <f>IFERROR(__xludf.DUMMYFUNCTION("""COMPUTED_VALUE"""),0.0)</f>
        <v>0</v>
      </c>
      <c r="V305" s="199">
        <f>IFERROR(__xludf.DUMMYFUNCTION("""COMPUTED_VALUE"""),0.0)</f>
        <v>0</v>
      </c>
      <c r="W305" s="199">
        <f>IFERROR(__xludf.DUMMYFUNCTION("""COMPUTED_VALUE"""),0.0)</f>
        <v>0</v>
      </c>
      <c r="X305" s="199">
        <f>IFERROR(__xludf.DUMMYFUNCTION("""COMPUTED_VALUE"""),0.0)</f>
        <v>0</v>
      </c>
      <c r="Y305" s="199">
        <f>IFERROR(__xludf.DUMMYFUNCTION("""COMPUTED_VALUE"""),0.0)</f>
        <v>0</v>
      </c>
      <c r="Z305" s="199">
        <f>IFERROR(__xludf.DUMMYFUNCTION("""COMPUTED_VALUE"""),0.0)</f>
        <v>0</v>
      </c>
      <c r="AA305" s="199">
        <f>IFERROR(__xludf.DUMMYFUNCTION("""COMPUTED_VALUE"""),0.0)</f>
        <v>0</v>
      </c>
      <c r="AB305" s="199">
        <f>IFERROR(__xludf.DUMMYFUNCTION("""COMPUTED_VALUE"""),11.0)</f>
        <v>11</v>
      </c>
      <c r="AC305" s="199">
        <f>IFERROR(__xludf.DUMMYFUNCTION("""COMPUTED_VALUE"""),17.0)</f>
        <v>17</v>
      </c>
      <c r="AD305" s="199">
        <f>IFERROR(__xludf.DUMMYFUNCTION("""COMPUTED_VALUE"""),0.0)</f>
        <v>0</v>
      </c>
      <c r="AE305" s="199">
        <f>IFERROR(__xludf.DUMMYFUNCTION("""COMPUTED_VALUE"""),14.0)</f>
        <v>14</v>
      </c>
      <c r="AF305" s="199">
        <f>IFERROR(__xludf.DUMMYFUNCTION("""COMPUTED_VALUE"""),0.0)</f>
        <v>0</v>
      </c>
      <c r="AG305" s="199">
        <f>IFERROR(__xludf.DUMMYFUNCTION("""COMPUTED_VALUE"""),361.0)</f>
        <v>361</v>
      </c>
      <c r="AH305" s="199">
        <f>IFERROR(__xludf.DUMMYFUNCTION("""COMPUTED_VALUE"""),3.0)</f>
        <v>3</v>
      </c>
      <c r="AI305" s="200" t="str">
        <f>IFERROR(__xludf.DUMMYFUNCTION("""COMPUTED_VALUE"""),"Normal - No Action Required")</f>
        <v>Normal - No Action Required</v>
      </c>
      <c r="AJ305" s="200" t="str">
        <f>IFERROR(__xludf.DUMMYFUNCTION("""COMPUTED_VALUE"""),"Continue routine monitoring and sampling schedule")</f>
        <v>Continue routine monitoring and sampling schedule</v>
      </c>
      <c r="AK305" s="204"/>
      <c r="AL305" s="204"/>
      <c r="AM305" s="204"/>
    </row>
    <row r="306" hidden="1">
      <c r="A306" s="199" t="str">
        <f>IFERROR(__xludf.DUMMYFUNCTION("""COMPUTED_VALUE"""),"352.BE340 R")</f>
        <v>352.BE340 R</v>
      </c>
      <c r="B306" s="200" t="str">
        <f>IFERROR(__xludf.DUMMYFUNCTION("""COMPUTED_VALUE"""),"Bucket Elevator GB - R")</f>
        <v>Bucket Elevator GB - R</v>
      </c>
      <c r="C306" s="199">
        <f>IFERROR(__xludf.DUMMYFUNCTION("""COMPUTED_VALUE"""),2.5110204213E10)</f>
        <v>25110204213</v>
      </c>
      <c r="D306" s="201">
        <f>IFERROR(__xludf.DUMMYFUNCTION("""COMPUTED_VALUE"""),45757.0)</f>
        <v>45757</v>
      </c>
      <c r="E306" s="202" t="str">
        <f>IFERROR(__xludf.DUMMYFUNCTION("""COMPUTED_VALUE"""),"Normal")</f>
        <v>Normal</v>
      </c>
      <c r="F306" s="202" t="str">
        <f>IFERROR(__xludf.DUMMYFUNCTION("""COMPUTED_VALUE"""),"Normal")</f>
        <v>Normal</v>
      </c>
      <c r="G306" s="203" t="str">
        <f>IFERROR(__xludf.DUMMYFUNCTION("""COMPUTED_VALUE"""),"Normal")</f>
        <v>Normal</v>
      </c>
      <c r="H306" s="203" t="str">
        <f>IFERROR(__xludf.DUMMYFUNCTION("""COMPUTED_VALUE"""),"Normal")</f>
        <v>Normal</v>
      </c>
      <c r="I306" s="199">
        <f>IFERROR(__xludf.DUMMYFUNCTION("""COMPUTED_VALUE"""),22190.0)</f>
        <v>22190</v>
      </c>
      <c r="J306" s="199">
        <f>IFERROR(__xludf.DUMMYFUNCTION("""COMPUTED_VALUE"""),3542.0)</f>
        <v>3542</v>
      </c>
      <c r="K306" s="199">
        <f>IFERROR(__xludf.DUMMYFUNCTION("""COMPUTED_VALUE"""),2140.0)</f>
        <v>2140</v>
      </c>
      <c r="L306" s="199">
        <f>IFERROR(__xludf.DUMMYFUNCTION("""COMPUTED_VALUE"""),8.0)</f>
        <v>8</v>
      </c>
      <c r="M306" s="199">
        <f>IFERROR(__xludf.DUMMYFUNCTION("""COMPUTED_VALUE"""),318.0)</f>
        <v>318</v>
      </c>
      <c r="N306" s="199"/>
      <c r="O306" s="199"/>
      <c r="P306" s="199">
        <f>IFERROR(__xludf.DUMMYFUNCTION("""COMPUTED_VALUE"""),0.03)</f>
        <v>0.03</v>
      </c>
      <c r="Q306" s="199">
        <f>IFERROR(__xludf.DUMMYFUNCTION("""COMPUTED_VALUE"""),0.0)</f>
        <v>0</v>
      </c>
      <c r="R306" s="199">
        <f>IFERROR(__xludf.DUMMYFUNCTION("""COMPUTED_VALUE"""),0.0)</f>
        <v>0</v>
      </c>
      <c r="S306" s="199">
        <f>IFERROR(__xludf.DUMMYFUNCTION("""COMPUTED_VALUE"""),0.0)</f>
        <v>0</v>
      </c>
      <c r="T306" s="199">
        <f>IFERROR(__xludf.DUMMYFUNCTION("""COMPUTED_VALUE"""),0.0)</f>
        <v>0</v>
      </c>
      <c r="U306" s="199">
        <f>IFERROR(__xludf.DUMMYFUNCTION("""COMPUTED_VALUE"""),0.0)</f>
        <v>0</v>
      </c>
      <c r="V306" s="199">
        <f>IFERROR(__xludf.DUMMYFUNCTION("""COMPUTED_VALUE"""),0.0)</f>
        <v>0</v>
      </c>
      <c r="W306" s="199">
        <f>IFERROR(__xludf.DUMMYFUNCTION("""COMPUTED_VALUE"""),0.0)</f>
        <v>0</v>
      </c>
      <c r="X306" s="199">
        <f>IFERROR(__xludf.DUMMYFUNCTION("""COMPUTED_VALUE"""),0.0)</f>
        <v>0</v>
      </c>
      <c r="Y306" s="199">
        <f>IFERROR(__xludf.DUMMYFUNCTION("""COMPUTED_VALUE"""),0.0)</f>
        <v>0</v>
      </c>
      <c r="Z306" s="199">
        <f>IFERROR(__xludf.DUMMYFUNCTION("""COMPUTED_VALUE"""),0.0)</f>
        <v>0</v>
      </c>
      <c r="AA306" s="199">
        <f>IFERROR(__xludf.DUMMYFUNCTION("""COMPUTED_VALUE"""),0.0)</f>
        <v>0</v>
      </c>
      <c r="AB306" s="199">
        <f>IFERROR(__xludf.DUMMYFUNCTION("""COMPUTED_VALUE"""),0.0)</f>
        <v>0</v>
      </c>
      <c r="AC306" s="199">
        <f>IFERROR(__xludf.DUMMYFUNCTION("""COMPUTED_VALUE"""),22.0)</f>
        <v>22</v>
      </c>
      <c r="AD306" s="199">
        <f>IFERROR(__xludf.DUMMYFUNCTION("""COMPUTED_VALUE"""),0.0)</f>
        <v>0</v>
      </c>
      <c r="AE306" s="199">
        <f>IFERROR(__xludf.DUMMYFUNCTION("""COMPUTED_VALUE"""),5.0)</f>
        <v>5</v>
      </c>
      <c r="AF306" s="199">
        <f>IFERROR(__xludf.DUMMYFUNCTION("""COMPUTED_VALUE"""),0.0)</f>
        <v>0</v>
      </c>
      <c r="AG306" s="199">
        <f>IFERROR(__xludf.DUMMYFUNCTION("""COMPUTED_VALUE"""),358.0)</f>
        <v>358</v>
      </c>
      <c r="AH306" s="199">
        <f>IFERROR(__xludf.DUMMYFUNCTION("""COMPUTED_VALUE"""),63.0)</f>
        <v>63</v>
      </c>
      <c r="AI306" s="200" t="str">
        <f>IFERROR(__xludf.DUMMYFUNCTION("""COMPUTED_VALUE"""),"Normal")</f>
        <v>Normal</v>
      </c>
      <c r="AJ306" s="200" t="str">
        <f>IFERROR(__xludf.DUMMYFUNCTION("""COMPUTED_VALUE"""),"Parameters within limits. ISO Code 22/19/18. Continue monitoring. Verify air filtration is functioning correctly.")</f>
        <v>Parameters within limits. ISO Code 22/19/18. Continue monitoring. Verify air filtration is functioning correctly.</v>
      </c>
      <c r="AK306" s="204"/>
      <c r="AL306" s="204"/>
      <c r="AM306" s="204"/>
    </row>
    <row r="307" hidden="1">
      <c r="A307" s="199" t="str">
        <f>IFERROR(__xludf.DUMMYFUNCTION("""COMPUTED_VALUE"""),"342.BE050 R")</f>
        <v>342.BE050 R</v>
      </c>
      <c r="B307" s="200" t="str">
        <f>IFERROR(__xludf.DUMMYFUNCTION("""COMPUTED_VALUE"""),"Bucket Elevator GB - R")</f>
        <v>Bucket Elevator GB - R</v>
      </c>
      <c r="C307" s="199">
        <f>IFERROR(__xludf.DUMMYFUNCTION("""COMPUTED_VALUE"""),2.5107174214E10)</f>
        <v>25107174214</v>
      </c>
      <c r="D307" s="201">
        <f>IFERROR(__xludf.DUMMYFUNCTION("""COMPUTED_VALUE"""),45757.0)</f>
        <v>45757</v>
      </c>
      <c r="E307" s="202" t="str">
        <f>IFERROR(__xludf.DUMMYFUNCTION("""COMPUTED_VALUE"""),"Alert")</f>
        <v>Alert</v>
      </c>
      <c r="F307" s="202" t="str">
        <f>IFERROR(__xludf.DUMMYFUNCTION("""COMPUTED_VALUE"""),"Alert")</f>
        <v>Alert</v>
      </c>
      <c r="G307" s="203" t="str">
        <f>IFERROR(__xludf.DUMMYFUNCTION("""COMPUTED_VALUE"""),"Caution")</f>
        <v>Caution</v>
      </c>
      <c r="H307" s="203" t="str">
        <f>IFERROR(__xludf.DUMMYFUNCTION("""COMPUTED_VALUE"""),"Caution")</f>
        <v>Caution</v>
      </c>
      <c r="I307" s="199"/>
      <c r="J307" s="199"/>
      <c r="K307" s="199"/>
      <c r="L307" s="199">
        <f>IFERROR(__xludf.DUMMYFUNCTION("""COMPUTED_VALUE"""),49.0)</f>
        <v>49</v>
      </c>
      <c r="M307" s="199">
        <f>IFERROR(__xludf.DUMMYFUNCTION("""COMPUTED_VALUE"""),316.0)</f>
        <v>316</v>
      </c>
      <c r="N307" s="199"/>
      <c r="O307" s="199"/>
      <c r="P307" s="199">
        <f>IFERROR(__xludf.DUMMYFUNCTION("""COMPUTED_VALUE"""),0.6)</f>
        <v>0.6</v>
      </c>
      <c r="Q307" s="199">
        <f>IFERROR(__xludf.DUMMYFUNCTION("""COMPUTED_VALUE"""),0.0)</f>
        <v>0</v>
      </c>
      <c r="R307" s="199">
        <f>IFERROR(__xludf.DUMMYFUNCTION("""COMPUTED_VALUE"""),1.0)</f>
        <v>1</v>
      </c>
      <c r="S307" s="199">
        <f>IFERROR(__xludf.DUMMYFUNCTION("""COMPUTED_VALUE"""),0.0)</f>
        <v>0</v>
      </c>
      <c r="T307" s="199">
        <f>IFERROR(__xludf.DUMMYFUNCTION("""COMPUTED_VALUE"""),0.0)</f>
        <v>0</v>
      </c>
      <c r="U307" s="199">
        <f>IFERROR(__xludf.DUMMYFUNCTION("""COMPUTED_VALUE"""),222.0)</f>
        <v>222</v>
      </c>
      <c r="V307" s="199">
        <f>IFERROR(__xludf.DUMMYFUNCTION("""COMPUTED_VALUE"""),0.0)</f>
        <v>0</v>
      </c>
      <c r="W307" s="199">
        <f>IFERROR(__xludf.DUMMYFUNCTION("""COMPUTED_VALUE"""),0.0)</f>
        <v>0</v>
      </c>
      <c r="X307" s="199">
        <f>IFERROR(__xludf.DUMMYFUNCTION("""COMPUTED_VALUE"""),0.0)</f>
        <v>0</v>
      </c>
      <c r="Y307" s="199">
        <f>IFERROR(__xludf.DUMMYFUNCTION("""COMPUTED_VALUE"""),0.0)</f>
        <v>0</v>
      </c>
      <c r="Z307" s="199">
        <f>IFERROR(__xludf.DUMMYFUNCTION("""COMPUTED_VALUE"""),0.0)</f>
        <v>0</v>
      </c>
      <c r="AA307" s="199">
        <f>IFERROR(__xludf.DUMMYFUNCTION("""COMPUTED_VALUE"""),0.0)</f>
        <v>0</v>
      </c>
      <c r="AB307" s="199">
        <f>IFERROR(__xludf.DUMMYFUNCTION("""COMPUTED_VALUE"""),17.0)</f>
        <v>17</v>
      </c>
      <c r="AC307" s="199">
        <f>IFERROR(__xludf.DUMMYFUNCTION("""COMPUTED_VALUE"""),0.0)</f>
        <v>0</v>
      </c>
      <c r="AD307" s="199">
        <f>IFERROR(__xludf.DUMMYFUNCTION("""COMPUTED_VALUE"""),0.0)</f>
        <v>0</v>
      </c>
      <c r="AE307" s="199">
        <f>IFERROR(__xludf.DUMMYFUNCTION("""COMPUTED_VALUE"""),49.0)</f>
        <v>49</v>
      </c>
      <c r="AF307" s="199">
        <f>IFERROR(__xludf.DUMMYFUNCTION("""COMPUTED_VALUE"""),7.0)</f>
        <v>7</v>
      </c>
      <c r="AG307" s="199">
        <f>IFERROR(__xludf.DUMMYFUNCTION("""COMPUTED_VALUE"""),379.0)</f>
        <v>379</v>
      </c>
      <c r="AH307" s="199">
        <f>IFERROR(__xludf.DUMMYFUNCTION("""COMPUTED_VALUE"""),99.0)</f>
        <v>99</v>
      </c>
      <c r="AI307" s="200" t="str">
        <f>IFERROR(__xludf.DUMMYFUNCTION("""COMPUTED_VALUE"""),"Critical Fe / Excessive Water / TAN Elevated / Particle Count Not Reported")</f>
        <v>Critical Fe / Excessive Water / TAN Elevated / Particle Count Not Reported</v>
      </c>
      <c r="AJ307" s="200" t="str">
        <f>IFERROR(__xludf.DUMMYFUNCTION("""COMPUTED_VALUE"""),"ACTION REQUIRED – Fe 222 ppm (extreme), water 0.600 Vol% (excessive), Si 17 ppm. TAN 1.50 mg KOH/g. PQ Index 49. Visible sediment – particle count not completed. Immediate shutdown and inspection required. Change oil and replace all filters. Determine wat"&amp;"er source. Contact ExxonMobil representative urgently.")</f>
        <v>ACTION REQUIRED – Fe 222 ppm (extreme), water 0.600 Vol% (excessive), Si 17 ppm. TAN 1.50 mg KOH/g. PQ Index 49. Visible sediment – particle count not completed. Immediate shutdown and inspection required. Change oil and replace all filters. Determine water source. Contact ExxonMobil representative urgently.</v>
      </c>
      <c r="AK307" s="204"/>
      <c r="AL307" s="204"/>
      <c r="AM307" s="204"/>
    </row>
    <row r="308" hidden="1">
      <c r="A308" s="199" t="str">
        <f>IFERROR(__xludf.DUMMYFUNCTION("""COMPUTED_VALUE"""),"351.BE350 L")</f>
        <v>351.BE350 L</v>
      </c>
      <c r="B308" s="200" t="str">
        <f>IFERROR(__xludf.DUMMYFUNCTION("""COMPUTED_VALUE"""),"Bucket Elevator GB - L")</f>
        <v>Bucket Elevator GB - L</v>
      </c>
      <c r="C308" s="199">
        <f>IFERROR(__xludf.DUMMYFUNCTION("""COMPUTED_VALUE"""),2.5112224208E10)</f>
        <v>25112224208</v>
      </c>
      <c r="D308" s="201">
        <f>IFERROR(__xludf.DUMMYFUNCTION("""COMPUTED_VALUE"""),45757.0)</f>
        <v>45757</v>
      </c>
      <c r="E308" s="202" t="str">
        <f>IFERROR(__xludf.DUMMYFUNCTION("""COMPUTED_VALUE"""),"Normal")</f>
        <v>Normal</v>
      </c>
      <c r="F308" s="202" t="str">
        <f>IFERROR(__xludf.DUMMYFUNCTION("""COMPUTED_VALUE"""),"Normal")</f>
        <v>Normal</v>
      </c>
      <c r="G308" s="203" t="str">
        <f>IFERROR(__xludf.DUMMYFUNCTION("""COMPUTED_VALUE"""),"Normal")</f>
        <v>Normal</v>
      </c>
      <c r="H308" s="203" t="str">
        <f>IFERROR(__xludf.DUMMYFUNCTION("""COMPUTED_VALUE"""),"Normal")</f>
        <v>Normal</v>
      </c>
      <c r="I308" s="199">
        <f>IFERROR(__xludf.DUMMYFUNCTION("""COMPUTED_VALUE"""),13292.0)</f>
        <v>13292</v>
      </c>
      <c r="J308" s="199">
        <f>IFERROR(__xludf.DUMMYFUNCTION("""COMPUTED_VALUE"""),4299.0)</f>
        <v>4299</v>
      </c>
      <c r="K308" s="199">
        <f>IFERROR(__xludf.DUMMYFUNCTION("""COMPUTED_VALUE"""),1616.0)</f>
        <v>1616</v>
      </c>
      <c r="L308" s="199">
        <f>IFERROR(__xludf.DUMMYFUNCTION("""COMPUTED_VALUE"""),13.0)</f>
        <v>13</v>
      </c>
      <c r="M308" s="199">
        <f>IFERROR(__xludf.DUMMYFUNCTION("""COMPUTED_VALUE"""),295.1)</f>
        <v>295.1</v>
      </c>
      <c r="N308" s="199"/>
      <c r="O308" s="199"/>
      <c r="P308" s="199">
        <f>IFERROR(__xludf.DUMMYFUNCTION("""COMPUTED_VALUE"""),0.02)</f>
        <v>0.02</v>
      </c>
      <c r="Q308" s="199">
        <f>IFERROR(__xludf.DUMMYFUNCTION("""COMPUTED_VALUE"""),0.0)</f>
        <v>0</v>
      </c>
      <c r="R308" s="199">
        <f>IFERROR(__xludf.DUMMYFUNCTION("""COMPUTED_VALUE"""),0.0)</f>
        <v>0</v>
      </c>
      <c r="S308" s="199">
        <f>IFERROR(__xludf.DUMMYFUNCTION("""COMPUTED_VALUE"""),0.0)</f>
        <v>0</v>
      </c>
      <c r="T308" s="199">
        <f>IFERROR(__xludf.DUMMYFUNCTION("""COMPUTED_VALUE"""),0.0)</f>
        <v>0</v>
      </c>
      <c r="U308" s="199">
        <f>IFERROR(__xludf.DUMMYFUNCTION("""COMPUTED_VALUE"""),45.0)</f>
        <v>45</v>
      </c>
      <c r="V308" s="199">
        <f>IFERROR(__xludf.DUMMYFUNCTION("""COMPUTED_VALUE"""),0.0)</f>
        <v>0</v>
      </c>
      <c r="W308" s="199">
        <f>IFERROR(__xludf.DUMMYFUNCTION("""COMPUTED_VALUE"""),0.0)</f>
        <v>0</v>
      </c>
      <c r="X308" s="199">
        <f>IFERROR(__xludf.DUMMYFUNCTION("""COMPUTED_VALUE"""),0.0)</f>
        <v>0</v>
      </c>
      <c r="Y308" s="199">
        <f>IFERROR(__xludf.DUMMYFUNCTION("""COMPUTED_VALUE"""),0.0)</f>
        <v>0</v>
      </c>
      <c r="Z308" s="199">
        <f>IFERROR(__xludf.DUMMYFUNCTION("""COMPUTED_VALUE"""),0.0)</f>
        <v>0</v>
      </c>
      <c r="AA308" s="199">
        <f>IFERROR(__xludf.DUMMYFUNCTION("""COMPUTED_VALUE"""),3.0)</f>
        <v>3</v>
      </c>
      <c r="AB308" s="199">
        <f>IFERROR(__xludf.DUMMYFUNCTION("""COMPUTED_VALUE"""),26.0)</f>
        <v>26</v>
      </c>
      <c r="AC308" s="199">
        <f>IFERROR(__xludf.DUMMYFUNCTION("""COMPUTED_VALUE"""),30.0)</f>
        <v>30</v>
      </c>
      <c r="AD308" s="199">
        <f>IFERROR(__xludf.DUMMYFUNCTION("""COMPUTED_VALUE"""),0.0)</f>
        <v>0</v>
      </c>
      <c r="AE308" s="199">
        <f>IFERROR(__xludf.DUMMYFUNCTION("""COMPUTED_VALUE"""),96.0)</f>
        <v>96</v>
      </c>
      <c r="AF308" s="199">
        <f>IFERROR(__xludf.DUMMYFUNCTION("""COMPUTED_VALUE"""),0.0)</f>
        <v>0</v>
      </c>
      <c r="AG308" s="199">
        <f>IFERROR(__xludf.DUMMYFUNCTION("""COMPUTED_VALUE"""),367.0)</f>
        <v>367</v>
      </c>
      <c r="AH308" s="199">
        <f>IFERROR(__xludf.DUMMYFUNCTION("""COMPUTED_VALUE"""),63.0)</f>
        <v>63</v>
      </c>
      <c r="AI308" s="200" t="str">
        <f>IFERROR(__xludf.DUMMYFUNCTION("""COMPUTED_VALUE"""),"Normal")</f>
        <v>Normal</v>
      </c>
      <c r="AJ308" s="200" t="str">
        <f>IFERROR(__xludf.DUMMYFUNCTION("""COMPUTED_VALUE"""),"ISO Code 21/20/19. All parameters within acceptable limits. Fe 45 ppm trending – monitor. Continue routine monitoring.")</f>
        <v>ISO Code 21/20/19. All parameters within acceptable limits. Fe 45 ppm trending – monitor. Continue routine monitoring.</v>
      </c>
      <c r="AK308" s="204"/>
      <c r="AL308" s="204"/>
      <c r="AM308" s="204"/>
    </row>
    <row r="309" hidden="1">
      <c r="A309" s="199" t="str">
        <f>IFERROR(__xludf.DUMMYFUNCTION("""COMPUTED_VALUE"""),"R2.472.AC100")</f>
        <v>R2.472.AC100</v>
      </c>
      <c r="B309" s="200" t="str">
        <f>IFERROR(__xludf.DUMMYFUNCTION("""COMPUTED_VALUE"""),"Pan Conv. #2 Main drive gearbox")</f>
        <v>Pan Conv. #2 Main drive gearbox</v>
      </c>
      <c r="C309" s="199">
        <f>IFERROR(__xludf.DUMMYFUNCTION("""COMPUTED_VALUE"""),2.511222421E10)</f>
        <v>25112224210</v>
      </c>
      <c r="D309" s="201">
        <f>IFERROR(__xludf.DUMMYFUNCTION("""COMPUTED_VALUE"""),45757.0)</f>
        <v>45757</v>
      </c>
      <c r="E309" s="202" t="str">
        <f>IFERROR(__xludf.DUMMYFUNCTION("""COMPUTED_VALUE"""),"Normal")</f>
        <v>Normal</v>
      </c>
      <c r="F309" s="202" t="str">
        <f>IFERROR(__xludf.DUMMYFUNCTION("""COMPUTED_VALUE"""),"Normal")</f>
        <v>Normal</v>
      </c>
      <c r="G309" s="203" t="str">
        <f>IFERROR(__xludf.DUMMYFUNCTION("""COMPUTED_VALUE"""),"Normal")</f>
        <v>Normal</v>
      </c>
      <c r="H309" s="203" t="str">
        <f>IFERROR(__xludf.DUMMYFUNCTION("""COMPUTED_VALUE"""),"Normal")</f>
        <v>Normal</v>
      </c>
      <c r="I309" s="199">
        <f>IFERROR(__xludf.DUMMYFUNCTION("""COMPUTED_VALUE"""),26251.0)</f>
        <v>26251</v>
      </c>
      <c r="J309" s="199">
        <f>IFERROR(__xludf.DUMMYFUNCTION("""COMPUTED_VALUE"""),5621.0)</f>
        <v>5621</v>
      </c>
      <c r="K309" s="199">
        <f>IFERROR(__xludf.DUMMYFUNCTION("""COMPUTED_VALUE"""),1251.0)</f>
        <v>1251</v>
      </c>
      <c r="L309" s="199">
        <f>IFERROR(__xludf.DUMMYFUNCTION("""COMPUTED_VALUE"""),20.0)</f>
        <v>20</v>
      </c>
      <c r="M309" s="199">
        <f>IFERROR(__xludf.DUMMYFUNCTION("""COMPUTED_VALUE"""),214.8)</f>
        <v>214.8</v>
      </c>
      <c r="N309" s="37"/>
      <c r="O309" s="37"/>
      <c r="P309" s="199">
        <f>IFERROR(__xludf.DUMMYFUNCTION("""COMPUTED_VALUE"""),0.02)</f>
        <v>0.02</v>
      </c>
      <c r="Q309" s="199">
        <f>IFERROR(__xludf.DUMMYFUNCTION("""COMPUTED_VALUE"""),0.0)</f>
        <v>0</v>
      </c>
      <c r="R309" s="199">
        <f>IFERROR(__xludf.DUMMYFUNCTION("""COMPUTED_VALUE"""),0.0)</f>
        <v>0</v>
      </c>
      <c r="S309" s="199">
        <f>IFERROR(__xludf.DUMMYFUNCTION("""COMPUTED_VALUE"""),1.0)</f>
        <v>1</v>
      </c>
      <c r="T309" s="199">
        <f>IFERROR(__xludf.DUMMYFUNCTION("""COMPUTED_VALUE"""),0.0)</f>
        <v>0</v>
      </c>
      <c r="U309" s="199">
        <f>IFERROR(__xludf.DUMMYFUNCTION("""COMPUTED_VALUE"""),25.0)</f>
        <v>25</v>
      </c>
      <c r="V309" s="199">
        <f>IFERROR(__xludf.DUMMYFUNCTION("""COMPUTED_VALUE"""),0.0)</f>
        <v>0</v>
      </c>
      <c r="W309" s="199">
        <f>IFERROR(__xludf.DUMMYFUNCTION("""COMPUTED_VALUE"""),0.0)</f>
        <v>0</v>
      </c>
      <c r="X309" s="199">
        <f>IFERROR(__xludf.DUMMYFUNCTION("""COMPUTED_VALUE"""),0.0)</f>
        <v>0</v>
      </c>
      <c r="Y309" s="199">
        <f>IFERROR(__xludf.DUMMYFUNCTION("""COMPUTED_VALUE"""),0.0)</f>
        <v>0</v>
      </c>
      <c r="Z309" s="199">
        <f>IFERROR(__xludf.DUMMYFUNCTION("""COMPUTED_VALUE"""),0.0)</f>
        <v>0</v>
      </c>
      <c r="AA309" s="199">
        <f>IFERROR(__xludf.DUMMYFUNCTION("""COMPUTED_VALUE"""),1.0)</f>
        <v>1</v>
      </c>
      <c r="AB309" s="199">
        <f>IFERROR(__xludf.DUMMYFUNCTION("""COMPUTED_VALUE"""),2.0)</f>
        <v>2</v>
      </c>
      <c r="AC309" s="199">
        <f>IFERROR(__xludf.DUMMYFUNCTION("""COMPUTED_VALUE"""),30.0)</f>
        <v>30</v>
      </c>
      <c r="AD309" s="199">
        <f>IFERROR(__xludf.DUMMYFUNCTION("""COMPUTED_VALUE"""),0.0)</f>
        <v>0</v>
      </c>
      <c r="AE309" s="199">
        <f>IFERROR(__xludf.DUMMYFUNCTION("""COMPUTED_VALUE"""),44.0)</f>
        <v>44</v>
      </c>
      <c r="AF309" s="199">
        <f>IFERROR(__xludf.DUMMYFUNCTION("""COMPUTED_VALUE"""),0.0)</f>
        <v>0</v>
      </c>
      <c r="AG309" s="199">
        <f>IFERROR(__xludf.DUMMYFUNCTION("""COMPUTED_VALUE"""),533.0)</f>
        <v>533</v>
      </c>
      <c r="AH309" s="199">
        <f>IFERROR(__xludf.DUMMYFUNCTION("""COMPUTED_VALUE"""),52.0)</f>
        <v>52</v>
      </c>
      <c r="AI309" s="200" t="str">
        <f>IFERROR(__xludf.DUMMYFUNCTION("""COMPUTED_VALUE"""),"Normal - No Action Required")</f>
        <v>Normal - No Action Required</v>
      </c>
      <c r="AJ309" s="200" t="str">
        <f>IFERROR(__xludf.DUMMYFUNCTION("""COMPUTED_VALUE"""),"Continue routine monitoring and sampling schedule")</f>
        <v>Continue routine monitoring and sampling schedule</v>
      </c>
      <c r="AK309" s="204"/>
      <c r="AL309" s="204"/>
      <c r="AM309" s="204"/>
    </row>
    <row r="310" hidden="1">
      <c r="A310" s="199" t="str">
        <f>IFERROR(__xludf.DUMMYFUNCTION("""COMPUTED_VALUE"""),"111.AF060 (L)")</f>
        <v>111.AF060 (L)</v>
      </c>
      <c r="B310" s="200" t="str">
        <f>IFERROR(__xludf.DUMMYFUNCTION("""COMPUTED_VALUE"""),"Limestone Apron Feeder Left Gear Box")</f>
        <v>Limestone Apron Feeder Left Gear Box</v>
      </c>
      <c r="C310" s="199">
        <f>IFERROR(__xludf.DUMMYFUNCTION("""COMPUTED_VALUE"""),2.5112224214E10)</f>
        <v>25112224214</v>
      </c>
      <c r="D310" s="201">
        <f>IFERROR(__xludf.DUMMYFUNCTION("""COMPUTED_VALUE"""),45757.0)</f>
        <v>45757</v>
      </c>
      <c r="E310" s="202" t="str">
        <f>IFERROR(__xludf.DUMMYFUNCTION("""COMPUTED_VALUE"""),"Normal")</f>
        <v>Normal</v>
      </c>
      <c r="F310" s="202" t="str">
        <f>IFERROR(__xludf.DUMMYFUNCTION("""COMPUTED_VALUE"""),"Normal")</f>
        <v>Normal</v>
      </c>
      <c r="G310" s="203" t="str">
        <f>IFERROR(__xludf.DUMMYFUNCTION("""COMPUTED_VALUE"""),"Normal")</f>
        <v>Normal</v>
      </c>
      <c r="H310" s="203" t="str">
        <f>IFERROR(__xludf.DUMMYFUNCTION("""COMPUTED_VALUE"""),"Normal")</f>
        <v>Normal</v>
      </c>
      <c r="I310" s="199">
        <f>IFERROR(__xludf.DUMMYFUNCTION("""COMPUTED_VALUE"""),23140.0)</f>
        <v>23140</v>
      </c>
      <c r="J310" s="199">
        <f>IFERROR(__xludf.DUMMYFUNCTION("""COMPUTED_VALUE"""),10046.0)</f>
        <v>10046</v>
      </c>
      <c r="K310" s="199">
        <f>IFERROR(__xludf.DUMMYFUNCTION("""COMPUTED_VALUE"""),4651.0)</f>
        <v>4651</v>
      </c>
      <c r="L310" s="199">
        <f>IFERROR(__xludf.DUMMYFUNCTION("""COMPUTED_VALUE"""),12.0)</f>
        <v>12</v>
      </c>
      <c r="M310" s="199">
        <f>IFERROR(__xludf.DUMMYFUNCTION("""COMPUTED_VALUE"""),202.2)</f>
        <v>202.2</v>
      </c>
      <c r="N310" s="37"/>
      <c r="O310" s="37"/>
      <c r="P310" s="199">
        <f>IFERROR(__xludf.DUMMYFUNCTION("""COMPUTED_VALUE"""),0.03)</f>
        <v>0.03</v>
      </c>
      <c r="Q310" s="199">
        <f>IFERROR(__xludf.DUMMYFUNCTION("""COMPUTED_VALUE"""),0.0)</f>
        <v>0</v>
      </c>
      <c r="R310" s="199">
        <f>IFERROR(__xludf.DUMMYFUNCTION("""COMPUTED_VALUE"""),0.0)</f>
        <v>0</v>
      </c>
      <c r="S310" s="199">
        <f>IFERROR(__xludf.DUMMYFUNCTION("""COMPUTED_VALUE"""),0.0)</f>
        <v>0</v>
      </c>
      <c r="T310" s="199">
        <f>IFERROR(__xludf.DUMMYFUNCTION("""COMPUTED_VALUE"""),0.0)</f>
        <v>0</v>
      </c>
      <c r="U310" s="199">
        <f>IFERROR(__xludf.DUMMYFUNCTION("""COMPUTED_VALUE"""),9.0)</f>
        <v>9</v>
      </c>
      <c r="V310" s="199">
        <f>IFERROR(__xludf.DUMMYFUNCTION("""COMPUTED_VALUE"""),0.0)</f>
        <v>0</v>
      </c>
      <c r="W310" s="199">
        <f>IFERROR(__xludf.DUMMYFUNCTION("""COMPUTED_VALUE"""),0.0)</f>
        <v>0</v>
      </c>
      <c r="X310" s="199">
        <f>IFERROR(__xludf.DUMMYFUNCTION("""COMPUTED_VALUE"""),0.0)</f>
        <v>0</v>
      </c>
      <c r="Y310" s="199">
        <f>IFERROR(__xludf.DUMMYFUNCTION("""COMPUTED_VALUE"""),0.0)</f>
        <v>0</v>
      </c>
      <c r="Z310" s="199">
        <f>IFERROR(__xludf.DUMMYFUNCTION("""COMPUTED_VALUE"""),0.0)</f>
        <v>0</v>
      </c>
      <c r="AA310" s="199">
        <f>IFERROR(__xludf.DUMMYFUNCTION("""COMPUTED_VALUE"""),0.0)</f>
        <v>0</v>
      </c>
      <c r="AB310" s="199">
        <f>IFERROR(__xludf.DUMMYFUNCTION("""COMPUTED_VALUE"""),20.0)</f>
        <v>20</v>
      </c>
      <c r="AC310" s="199">
        <f>IFERROR(__xludf.DUMMYFUNCTION("""COMPUTED_VALUE"""),3.0)</f>
        <v>3</v>
      </c>
      <c r="AD310" s="199">
        <f>IFERROR(__xludf.DUMMYFUNCTION("""COMPUTED_VALUE"""),0.0)</f>
        <v>0</v>
      </c>
      <c r="AE310" s="199">
        <f>IFERROR(__xludf.DUMMYFUNCTION("""COMPUTED_VALUE"""),22.0)</f>
        <v>22</v>
      </c>
      <c r="AF310" s="199">
        <f>IFERROR(__xludf.DUMMYFUNCTION("""COMPUTED_VALUE"""),0.0)</f>
        <v>0</v>
      </c>
      <c r="AG310" s="199">
        <f>IFERROR(__xludf.DUMMYFUNCTION("""COMPUTED_VALUE"""),412.0)</f>
        <v>412</v>
      </c>
      <c r="AH310" s="199">
        <f>IFERROR(__xludf.DUMMYFUNCTION("""COMPUTED_VALUE"""),12.0)</f>
        <v>12</v>
      </c>
      <c r="AI310" s="200" t="str">
        <f>IFERROR(__xludf.DUMMYFUNCTION("""COMPUTED_VALUE"""),"Normal")</f>
        <v>Normal</v>
      </c>
      <c r="AJ310" s="200" t="str">
        <f>IFERROR(__xludf.DUMMYFUNCTION("""COMPUTED_VALUE"""),"ISO Code 22/21/19. All parameters within acceptable limits. Continue routine monitoring.")</f>
        <v>ISO Code 22/21/19. All parameters within acceptable limits. Continue routine monitoring.</v>
      </c>
      <c r="AK310" s="204"/>
      <c r="AL310" s="204"/>
      <c r="AM310" s="204"/>
    </row>
    <row r="311" hidden="1">
      <c r="A311" s="199" t="str">
        <f>IFERROR(__xludf.DUMMYFUNCTION("""COMPUTED_VALUE"""),"341.BE040 L")</f>
        <v>341.BE040 L</v>
      </c>
      <c r="B311" s="200" t="str">
        <f>IFERROR(__xludf.DUMMYFUNCTION("""COMPUTED_VALUE"""),"Bucket Elevator GB - L")</f>
        <v>Bucket Elevator GB - L</v>
      </c>
      <c r="C311" s="199">
        <f>IFERROR(__xludf.DUMMYFUNCTION("""COMPUTED_VALUE"""),2.5112224216E10)</f>
        <v>25112224216</v>
      </c>
      <c r="D311" s="201">
        <f>IFERROR(__xludf.DUMMYFUNCTION("""COMPUTED_VALUE"""),45757.0)</f>
        <v>45757</v>
      </c>
      <c r="E311" s="202" t="str">
        <f>IFERROR(__xludf.DUMMYFUNCTION("""COMPUTED_VALUE"""),"Normal")</f>
        <v>Normal</v>
      </c>
      <c r="F311" s="202" t="str">
        <f>IFERROR(__xludf.DUMMYFUNCTION("""COMPUTED_VALUE"""),"Normal")</f>
        <v>Normal</v>
      </c>
      <c r="G311" s="203" t="str">
        <f>IFERROR(__xludf.DUMMYFUNCTION("""COMPUTED_VALUE"""),"Normal")</f>
        <v>Normal</v>
      </c>
      <c r="H311" s="203" t="str">
        <f>IFERROR(__xludf.DUMMYFUNCTION("""COMPUTED_VALUE"""),"Normal")</f>
        <v>Normal</v>
      </c>
      <c r="I311" s="199">
        <f>IFERROR(__xludf.DUMMYFUNCTION("""COMPUTED_VALUE"""),25412.0)</f>
        <v>25412</v>
      </c>
      <c r="J311" s="199">
        <f>IFERROR(__xludf.DUMMYFUNCTION("""COMPUTED_VALUE"""),2352.0)</f>
        <v>2352</v>
      </c>
      <c r="K311" s="199">
        <f>IFERROR(__xludf.DUMMYFUNCTION("""COMPUTED_VALUE"""),1222.0)</f>
        <v>1222</v>
      </c>
      <c r="L311" s="199">
        <f>IFERROR(__xludf.DUMMYFUNCTION("""COMPUTED_VALUE"""),16.0)</f>
        <v>16</v>
      </c>
      <c r="M311" s="199">
        <f>IFERROR(__xludf.DUMMYFUNCTION("""COMPUTED_VALUE"""),313.7)</f>
        <v>313.7</v>
      </c>
      <c r="N311" s="37"/>
      <c r="O311" s="37"/>
      <c r="P311" s="199">
        <f>IFERROR(__xludf.DUMMYFUNCTION("""COMPUTED_VALUE"""),0.02)</f>
        <v>0.02</v>
      </c>
      <c r="Q311" s="199">
        <f>IFERROR(__xludf.DUMMYFUNCTION("""COMPUTED_VALUE"""),0.0)</f>
        <v>0</v>
      </c>
      <c r="R311" s="199">
        <f>IFERROR(__xludf.DUMMYFUNCTION("""COMPUTED_VALUE"""),0.0)</f>
        <v>0</v>
      </c>
      <c r="S311" s="199">
        <f>IFERROR(__xludf.DUMMYFUNCTION("""COMPUTED_VALUE"""),0.0)</f>
        <v>0</v>
      </c>
      <c r="T311" s="199">
        <f>IFERROR(__xludf.DUMMYFUNCTION("""COMPUTED_VALUE"""),0.0)</f>
        <v>0</v>
      </c>
      <c r="U311" s="199">
        <f>IFERROR(__xludf.DUMMYFUNCTION("""COMPUTED_VALUE"""),32.0)</f>
        <v>32</v>
      </c>
      <c r="V311" s="199">
        <f>IFERROR(__xludf.DUMMYFUNCTION("""COMPUTED_VALUE"""),0.0)</f>
        <v>0</v>
      </c>
      <c r="W311" s="199">
        <f>IFERROR(__xludf.DUMMYFUNCTION("""COMPUTED_VALUE"""),0.0)</f>
        <v>0</v>
      </c>
      <c r="X311" s="199">
        <f>IFERROR(__xludf.DUMMYFUNCTION("""COMPUTED_VALUE"""),0.0)</f>
        <v>0</v>
      </c>
      <c r="Y311" s="199">
        <f>IFERROR(__xludf.DUMMYFUNCTION("""COMPUTED_VALUE"""),0.0)</f>
        <v>0</v>
      </c>
      <c r="Z311" s="199">
        <f>IFERROR(__xludf.DUMMYFUNCTION("""COMPUTED_VALUE"""),0.0)</f>
        <v>0</v>
      </c>
      <c r="AA311" s="199">
        <f>IFERROR(__xludf.DUMMYFUNCTION("""COMPUTED_VALUE"""),1.0)</f>
        <v>1</v>
      </c>
      <c r="AB311" s="199">
        <f>IFERROR(__xludf.DUMMYFUNCTION("""COMPUTED_VALUE"""),4.0)</f>
        <v>4</v>
      </c>
      <c r="AC311" s="199">
        <f>IFERROR(__xludf.DUMMYFUNCTION("""COMPUTED_VALUE"""),34.0)</f>
        <v>34</v>
      </c>
      <c r="AD311" s="199">
        <f>IFERROR(__xludf.DUMMYFUNCTION("""COMPUTED_VALUE"""),0.0)</f>
        <v>0</v>
      </c>
      <c r="AE311" s="199">
        <f>IFERROR(__xludf.DUMMYFUNCTION("""COMPUTED_VALUE"""),43.0)</f>
        <v>43</v>
      </c>
      <c r="AF311" s="199">
        <f>IFERROR(__xludf.DUMMYFUNCTION("""COMPUTED_VALUE"""),3.0)</f>
        <v>3</v>
      </c>
      <c r="AG311" s="199">
        <f>IFERROR(__xludf.DUMMYFUNCTION("""COMPUTED_VALUE"""),379.0)</f>
        <v>379</v>
      </c>
      <c r="AH311" s="199">
        <f>IFERROR(__xludf.DUMMYFUNCTION("""COMPUTED_VALUE"""),88.0)</f>
        <v>88</v>
      </c>
      <c r="AI311" s="200" t="str">
        <f>IFERROR(__xludf.DUMMYFUNCTION("""COMPUTED_VALUE"""),"Normal")</f>
        <v>Normal</v>
      </c>
      <c r="AJ311" s="200" t="str">
        <f>IFERROR(__xludf.DUMMYFUNCTION("""COMPUTED_VALUE"""),"ISO Code 22/18/17. All parameters within acceptable limits. Continue routine monitoring.")</f>
        <v>ISO Code 22/18/17. All parameters within acceptable limits. Continue routine monitoring.</v>
      </c>
      <c r="AK311" s="204"/>
      <c r="AL311" s="204"/>
      <c r="AM311" s="204"/>
    </row>
    <row r="312" hidden="1">
      <c r="A312" s="199" t="str">
        <f>IFERROR(__xludf.DUMMYFUNCTION("""COMPUTED_VALUE"""),"111.AF040 (R)")</f>
        <v>111.AF040 (R)</v>
      </c>
      <c r="B312" s="200" t="str">
        <f>IFERROR(__xludf.DUMMYFUNCTION("""COMPUTED_VALUE"""),"Clay apron feeder right gearbox")</f>
        <v>Clay apron feeder right gearbox</v>
      </c>
      <c r="C312" s="199">
        <f>IFERROR(__xludf.DUMMYFUNCTION("""COMPUTED_VALUE"""),2.5112224218E10)</f>
        <v>25112224218</v>
      </c>
      <c r="D312" s="201">
        <f>IFERROR(__xludf.DUMMYFUNCTION("""COMPUTED_VALUE"""),45757.0)</f>
        <v>45757</v>
      </c>
      <c r="E312" s="202" t="str">
        <f>IFERROR(__xludf.DUMMYFUNCTION("""COMPUTED_VALUE"""),"Normal")</f>
        <v>Normal</v>
      </c>
      <c r="F312" s="202" t="str">
        <f>IFERROR(__xludf.DUMMYFUNCTION("""COMPUTED_VALUE"""),"Normal")</f>
        <v>Normal</v>
      </c>
      <c r="G312" s="203" t="str">
        <f>IFERROR(__xludf.DUMMYFUNCTION("""COMPUTED_VALUE"""),"Normal")</f>
        <v>Normal</v>
      </c>
      <c r="H312" s="203" t="str">
        <f>IFERROR(__xludf.DUMMYFUNCTION("""COMPUTED_VALUE"""),"Normal")</f>
        <v>Normal</v>
      </c>
      <c r="I312" s="199">
        <f>IFERROR(__xludf.DUMMYFUNCTION("""COMPUTED_VALUE"""),16511.0)</f>
        <v>16511</v>
      </c>
      <c r="J312" s="199">
        <f>IFERROR(__xludf.DUMMYFUNCTION("""COMPUTED_VALUE"""),6542.0)</f>
        <v>6542</v>
      </c>
      <c r="K312" s="199">
        <f>IFERROR(__xludf.DUMMYFUNCTION("""COMPUTED_VALUE"""),3521.0)</f>
        <v>3521</v>
      </c>
      <c r="L312" s="199">
        <f>IFERROR(__xludf.DUMMYFUNCTION("""COMPUTED_VALUE"""),13.0)</f>
        <v>13</v>
      </c>
      <c r="M312" s="199">
        <f>IFERROR(__xludf.DUMMYFUNCTION("""COMPUTED_VALUE"""),195.0)</f>
        <v>195</v>
      </c>
      <c r="N312" s="37"/>
      <c r="O312" s="37"/>
      <c r="P312" s="199">
        <f>IFERROR(__xludf.DUMMYFUNCTION("""COMPUTED_VALUE"""),0.03)</f>
        <v>0.03</v>
      </c>
      <c r="Q312" s="199">
        <f>IFERROR(__xludf.DUMMYFUNCTION("""COMPUTED_VALUE"""),0.0)</f>
        <v>0</v>
      </c>
      <c r="R312" s="199">
        <f>IFERROR(__xludf.DUMMYFUNCTION("""COMPUTED_VALUE"""),0.0)</f>
        <v>0</v>
      </c>
      <c r="S312" s="199">
        <f>IFERROR(__xludf.DUMMYFUNCTION("""COMPUTED_VALUE"""),0.0)</f>
        <v>0</v>
      </c>
      <c r="T312" s="199">
        <f>IFERROR(__xludf.DUMMYFUNCTION("""COMPUTED_VALUE"""),0.0)</f>
        <v>0</v>
      </c>
      <c r="U312" s="199">
        <f>IFERROR(__xludf.DUMMYFUNCTION("""COMPUTED_VALUE"""),10.0)</f>
        <v>10</v>
      </c>
      <c r="V312" s="199">
        <f>IFERROR(__xludf.DUMMYFUNCTION("""COMPUTED_VALUE"""),0.0)</f>
        <v>0</v>
      </c>
      <c r="W312" s="199">
        <f>IFERROR(__xludf.DUMMYFUNCTION("""COMPUTED_VALUE"""),0.0)</f>
        <v>0</v>
      </c>
      <c r="X312" s="199">
        <f>IFERROR(__xludf.DUMMYFUNCTION("""COMPUTED_VALUE"""),0.0)</f>
        <v>0</v>
      </c>
      <c r="Y312" s="199">
        <f>IFERROR(__xludf.DUMMYFUNCTION("""COMPUTED_VALUE"""),0.0)</f>
        <v>0</v>
      </c>
      <c r="Z312" s="199">
        <f>IFERROR(__xludf.DUMMYFUNCTION("""COMPUTED_VALUE"""),0.0)</f>
        <v>0</v>
      </c>
      <c r="AA312" s="199">
        <f>IFERROR(__xludf.DUMMYFUNCTION("""COMPUTED_VALUE"""),0.0)</f>
        <v>0</v>
      </c>
      <c r="AB312" s="199">
        <f>IFERROR(__xludf.DUMMYFUNCTION("""COMPUTED_VALUE"""),20.0)</f>
        <v>20</v>
      </c>
      <c r="AC312" s="199">
        <f>IFERROR(__xludf.DUMMYFUNCTION("""COMPUTED_VALUE"""),4.0)</f>
        <v>4</v>
      </c>
      <c r="AD312" s="199">
        <f>IFERROR(__xludf.DUMMYFUNCTION("""COMPUTED_VALUE"""),0.0)</f>
        <v>0</v>
      </c>
      <c r="AE312" s="199">
        <f>IFERROR(__xludf.DUMMYFUNCTION("""COMPUTED_VALUE"""),20.0)</f>
        <v>20</v>
      </c>
      <c r="AF312" s="199">
        <f>IFERROR(__xludf.DUMMYFUNCTION("""COMPUTED_VALUE"""),0.0)</f>
        <v>0</v>
      </c>
      <c r="AG312" s="199">
        <f>IFERROR(__xludf.DUMMYFUNCTION("""COMPUTED_VALUE"""),436.0)</f>
        <v>436</v>
      </c>
      <c r="AH312" s="199">
        <f>IFERROR(__xludf.DUMMYFUNCTION("""COMPUTED_VALUE"""),5.0)</f>
        <v>5</v>
      </c>
      <c r="AI312" s="200" t="str">
        <f>IFERROR(__xludf.DUMMYFUNCTION("""COMPUTED_VALUE"""),"Normal - No Action Required")</f>
        <v>Normal - No Action Required</v>
      </c>
      <c r="AJ312" s="200" t="str">
        <f>IFERROR(__xludf.DUMMYFUNCTION("""COMPUTED_VALUE"""),"Continue routine monitoring and sampling schedule")</f>
        <v>Continue routine monitoring and sampling schedule</v>
      </c>
      <c r="AK312" s="204"/>
      <c r="AL312" s="204"/>
      <c r="AM312" s="204"/>
    </row>
    <row r="313" hidden="1">
      <c r="A313" s="199" t="str">
        <f>IFERROR(__xludf.DUMMYFUNCTION("""COMPUTED_VALUE"""),"111.BC210")</f>
        <v>111.BC210</v>
      </c>
      <c r="B313" s="200" t="str">
        <f>IFERROR(__xludf.DUMMYFUNCTION("""COMPUTED_VALUE"""),"Belt conveyor Gearbox")</f>
        <v>Belt conveyor Gearbox</v>
      </c>
      <c r="C313" s="199">
        <f>IFERROR(__xludf.DUMMYFUNCTION("""COMPUTED_VALUE"""),2.5112224201E10)</f>
        <v>25112224201</v>
      </c>
      <c r="D313" s="201">
        <f>IFERROR(__xludf.DUMMYFUNCTION("""COMPUTED_VALUE"""),45757.0)</f>
        <v>45757</v>
      </c>
      <c r="E313" s="202" t="str">
        <f>IFERROR(__xludf.DUMMYFUNCTION("""COMPUTED_VALUE"""),"Alert")</f>
        <v>Alert</v>
      </c>
      <c r="F313" s="202" t="str">
        <f>IFERROR(__xludf.DUMMYFUNCTION("""COMPUTED_VALUE"""),"Alert")</f>
        <v>Alert</v>
      </c>
      <c r="G313" s="203" t="str">
        <f>IFERROR(__xludf.DUMMYFUNCTION("""COMPUTED_VALUE"""),"Normal")</f>
        <v>Normal</v>
      </c>
      <c r="H313" s="203" t="str">
        <f>IFERROR(__xludf.DUMMYFUNCTION("""COMPUTED_VALUE"""),"Caution")</f>
        <v>Caution</v>
      </c>
      <c r="I313" s="199"/>
      <c r="J313" s="199"/>
      <c r="K313" s="199"/>
      <c r="L313" s="199">
        <f>IFERROR(__xludf.DUMMYFUNCTION("""COMPUTED_VALUE"""),36.0)</f>
        <v>36</v>
      </c>
      <c r="M313" s="199">
        <f>IFERROR(__xludf.DUMMYFUNCTION("""COMPUTED_VALUE"""),246.4)</f>
        <v>246.4</v>
      </c>
      <c r="N313" s="37"/>
      <c r="O313" s="37"/>
      <c r="P313" s="199">
        <f>IFERROR(__xludf.DUMMYFUNCTION("""COMPUTED_VALUE"""),0.02)</f>
        <v>0.02</v>
      </c>
      <c r="Q313" s="199">
        <f>IFERROR(__xludf.DUMMYFUNCTION("""COMPUTED_VALUE"""),0.0)</f>
        <v>0</v>
      </c>
      <c r="R313" s="199">
        <f>IFERROR(__xludf.DUMMYFUNCTION("""COMPUTED_VALUE"""),7.0)</f>
        <v>7</v>
      </c>
      <c r="S313" s="199">
        <f>IFERROR(__xludf.DUMMYFUNCTION("""COMPUTED_VALUE"""),0.0)</f>
        <v>0</v>
      </c>
      <c r="T313" s="199">
        <f>IFERROR(__xludf.DUMMYFUNCTION("""COMPUTED_VALUE"""),0.0)</f>
        <v>0</v>
      </c>
      <c r="U313" s="199">
        <f>IFERROR(__xludf.DUMMYFUNCTION("""COMPUTED_VALUE"""),79.0)</f>
        <v>79</v>
      </c>
      <c r="V313" s="199">
        <f>IFERROR(__xludf.DUMMYFUNCTION("""COMPUTED_VALUE"""),0.0)</f>
        <v>0</v>
      </c>
      <c r="W313" s="199">
        <f>IFERROR(__xludf.DUMMYFUNCTION("""COMPUTED_VALUE"""),0.0)</f>
        <v>0</v>
      </c>
      <c r="X313" s="199">
        <f>IFERROR(__xludf.DUMMYFUNCTION("""COMPUTED_VALUE"""),0.0)</f>
        <v>0</v>
      </c>
      <c r="Y313" s="199">
        <f>IFERROR(__xludf.DUMMYFUNCTION("""COMPUTED_VALUE"""),0.0)</f>
        <v>0</v>
      </c>
      <c r="Z313" s="199">
        <f>IFERROR(__xludf.DUMMYFUNCTION("""COMPUTED_VALUE"""),1.0)</f>
        <v>1</v>
      </c>
      <c r="AA313" s="199">
        <f>IFERROR(__xludf.DUMMYFUNCTION("""COMPUTED_VALUE"""),2.0)</f>
        <v>2</v>
      </c>
      <c r="AB313" s="199">
        <f>IFERROR(__xludf.DUMMYFUNCTION("""COMPUTED_VALUE"""),56.0)</f>
        <v>56</v>
      </c>
      <c r="AC313" s="199">
        <f>IFERROR(__xludf.DUMMYFUNCTION("""COMPUTED_VALUE"""),23.0)</f>
        <v>23</v>
      </c>
      <c r="AD313" s="199">
        <f>IFERROR(__xludf.DUMMYFUNCTION("""COMPUTED_VALUE"""),0.0)</f>
        <v>0</v>
      </c>
      <c r="AE313" s="199">
        <f>IFERROR(__xludf.DUMMYFUNCTION("""COMPUTED_VALUE"""),0.0)</f>
        <v>0</v>
      </c>
      <c r="AF313" s="199">
        <f>IFERROR(__xludf.DUMMYFUNCTION("""COMPUTED_VALUE"""),8.0)</f>
        <v>8</v>
      </c>
      <c r="AG313" s="199">
        <f>IFERROR(__xludf.DUMMYFUNCTION("""COMPUTED_VALUE"""),438.0)</f>
        <v>438</v>
      </c>
      <c r="AH313" s="199">
        <f>IFERROR(__xludf.DUMMYFUNCTION("""COMPUTED_VALUE"""),69.0)</f>
        <v>69</v>
      </c>
      <c r="AI313" s="200" t="str">
        <f>IFERROR(__xludf.DUMMYFUNCTION("""COMPUTED_VALUE"""),"Contamination Alert")</f>
        <v>Contamination Alert</v>
      </c>
      <c r="AJ313" s="200" t="str">
        <f>IFERROR(__xludf.DUMMYFUNCTION("""COMPUTED_VALUE"""),"Elevated silicon - inspect filters and seals for contamination")</f>
        <v>Elevated silicon - inspect filters and seals for contamination</v>
      </c>
      <c r="AK313" s="204"/>
      <c r="AL313" s="204"/>
      <c r="AM313" s="204"/>
    </row>
    <row r="314" hidden="1">
      <c r="A314" s="199" t="str">
        <f>IFERROR(__xludf.DUMMYFUNCTION("""COMPUTED_VALUE"""),"352.BE340 L")</f>
        <v>352.BE340 L</v>
      </c>
      <c r="B314" s="200" t="str">
        <f>IFERROR(__xludf.DUMMYFUNCTION("""COMPUTED_VALUE"""),"Bucket Elevator GB - L")</f>
        <v>Bucket Elevator GB - L</v>
      </c>
      <c r="C314" s="199">
        <f>IFERROR(__xludf.DUMMYFUNCTION("""COMPUTED_VALUE"""),2.5110204256E10)</f>
        <v>25110204256</v>
      </c>
      <c r="D314" s="201">
        <f>IFERROR(__xludf.DUMMYFUNCTION("""COMPUTED_VALUE"""),45757.0)</f>
        <v>45757</v>
      </c>
      <c r="E314" s="202" t="str">
        <f>IFERROR(__xludf.DUMMYFUNCTION("""COMPUTED_VALUE"""),"Normal")</f>
        <v>Normal</v>
      </c>
      <c r="F314" s="202" t="str">
        <f>IFERROR(__xludf.DUMMYFUNCTION("""COMPUTED_VALUE"""),"Normal")</f>
        <v>Normal</v>
      </c>
      <c r="G314" s="203" t="str">
        <f>IFERROR(__xludf.DUMMYFUNCTION("""COMPUTED_VALUE"""),"Normal")</f>
        <v>Normal</v>
      </c>
      <c r="H314" s="203" t="str">
        <f>IFERROR(__xludf.DUMMYFUNCTION("""COMPUTED_VALUE"""),"Normal")</f>
        <v>Normal</v>
      </c>
      <c r="I314" s="37">
        <f>IFERROR(__xludf.DUMMYFUNCTION("""COMPUTED_VALUE"""),25213.0)</f>
        <v>25213</v>
      </c>
      <c r="J314" s="37">
        <f>IFERROR(__xludf.DUMMYFUNCTION("""COMPUTED_VALUE"""),5462.0)</f>
        <v>5462</v>
      </c>
      <c r="K314" s="37">
        <f>IFERROR(__xludf.DUMMYFUNCTION("""COMPUTED_VALUE"""),1297.0)</f>
        <v>1297</v>
      </c>
      <c r="L314" s="199">
        <f>IFERROR(__xludf.DUMMYFUNCTION("""COMPUTED_VALUE"""),16.0)</f>
        <v>16</v>
      </c>
      <c r="M314" s="199">
        <f>IFERROR(__xludf.DUMMYFUNCTION("""COMPUTED_VALUE"""),306.7)</f>
        <v>306.7</v>
      </c>
      <c r="N314" s="37"/>
      <c r="O314" s="37"/>
      <c r="P314" s="199">
        <f>IFERROR(__xludf.DUMMYFUNCTION("""COMPUTED_VALUE"""),0.02)</f>
        <v>0.02</v>
      </c>
      <c r="Q314" s="199">
        <f>IFERROR(__xludf.DUMMYFUNCTION("""COMPUTED_VALUE"""),0.0)</f>
        <v>0</v>
      </c>
      <c r="R314" s="199">
        <f>IFERROR(__xludf.DUMMYFUNCTION("""COMPUTED_VALUE"""),0.0)</f>
        <v>0</v>
      </c>
      <c r="S314" s="199">
        <f>IFERROR(__xludf.DUMMYFUNCTION("""COMPUTED_VALUE"""),0.0)</f>
        <v>0</v>
      </c>
      <c r="T314" s="199">
        <f>IFERROR(__xludf.DUMMYFUNCTION("""COMPUTED_VALUE"""),0.0)</f>
        <v>0</v>
      </c>
      <c r="U314" s="199">
        <f>IFERROR(__xludf.DUMMYFUNCTION("""COMPUTED_VALUE"""),33.0)</f>
        <v>33</v>
      </c>
      <c r="V314" s="199">
        <f>IFERROR(__xludf.DUMMYFUNCTION("""COMPUTED_VALUE"""),0.0)</f>
        <v>0</v>
      </c>
      <c r="W314" s="199">
        <f>IFERROR(__xludf.DUMMYFUNCTION("""COMPUTED_VALUE"""),0.0)</f>
        <v>0</v>
      </c>
      <c r="X314" s="199">
        <f>IFERROR(__xludf.DUMMYFUNCTION("""COMPUTED_VALUE"""),0.0)</f>
        <v>0</v>
      </c>
      <c r="Y314" s="199">
        <f>IFERROR(__xludf.DUMMYFUNCTION("""COMPUTED_VALUE"""),0.0)</f>
        <v>0</v>
      </c>
      <c r="Z314" s="199">
        <f>IFERROR(__xludf.DUMMYFUNCTION("""COMPUTED_VALUE"""),3.0)</f>
        <v>3</v>
      </c>
      <c r="AA314" s="199">
        <f>IFERROR(__xludf.DUMMYFUNCTION("""COMPUTED_VALUE"""),2.0)</f>
        <v>2</v>
      </c>
      <c r="AB314" s="199">
        <f>IFERROR(__xludf.DUMMYFUNCTION("""COMPUTED_VALUE"""),19.0)</f>
        <v>19</v>
      </c>
      <c r="AC314" s="199">
        <f>IFERROR(__xludf.DUMMYFUNCTION("""COMPUTED_VALUE"""),30.0)</f>
        <v>30</v>
      </c>
      <c r="AD314" s="199">
        <f>IFERROR(__xludf.DUMMYFUNCTION("""COMPUTED_VALUE"""),0.0)</f>
        <v>0</v>
      </c>
      <c r="AE314" s="199">
        <f>IFERROR(__xludf.DUMMYFUNCTION("""COMPUTED_VALUE"""),43.0)</f>
        <v>43</v>
      </c>
      <c r="AF314" s="199">
        <f>IFERROR(__xludf.DUMMYFUNCTION("""COMPUTED_VALUE"""),0.0)</f>
        <v>0</v>
      </c>
      <c r="AG314" s="199">
        <f>IFERROR(__xludf.DUMMYFUNCTION("""COMPUTED_VALUE"""),454.0)</f>
        <v>454</v>
      </c>
      <c r="AH314" s="199">
        <f>IFERROR(__xludf.DUMMYFUNCTION("""COMPUTED_VALUE"""),42.0)</f>
        <v>42</v>
      </c>
      <c r="AI314" s="200" t="str">
        <f>IFERROR(__xludf.DUMMYFUNCTION("""COMPUTED_VALUE"""),"Normal - No Action Required")</f>
        <v>Normal - No Action Required</v>
      </c>
      <c r="AJ314" s="200" t="str">
        <f>IFERROR(__xludf.DUMMYFUNCTION("""COMPUTED_VALUE"""),"Continue routine monitoring and sampling schedule")</f>
        <v>Continue routine monitoring and sampling schedule</v>
      </c>
      <c r="AK314" s="204"/>
      <c r="AL314" s="204"/>
      <c r="AM314" s="204"/>
    </row>
    <row r="315" hidden="1">
      <c r="A315" s="199" t="str">
        <f>IFERROR(__xludf.DUMMYFUNCTION("""COMPUTED_VALUE"""),"341.BE040 R")</f>
        <v>341.BE040 R</v>
      </c>
      <c r="B315" s="200" t="str">
        <f>IFERROR(__xludf.DUMMYFUNCTION("""COMPUTED_VALUE"""),"Bucket Elevator GB - R")</f>
        <v>Bucket Elevator GB - R</v>
      </c>
      <c r="C315" s="199">
        <f>IFERROR(__xludf.DUMMYFUNCTION("""COMPUTED_VALUE"""),2.5112224264E10)</f>
        <v>25112224264</v>
      </c>
      <c r="D315" s="201">
        <f>IFERROR(__xludf.DUMMYFUNCTION("""COMPUTED_VALUE"""),45757.0)</f>
        <v>45757</v>
      </c>
      <c r="E315" s="202" t="str">
        <f>IFERROR(__xludf.DUMMYFUNCTION("""COMPUTED_VALUE"""),"Normal")</f>
        <v>Normal</v>
      </c>
      <c r="F315" s="202" t="str">
        <f>IFERROR(__xludf.DUMMYFUNCTION("""COMPUTED_VALUE"""),"Normal")</f>
        <v>Normal</v>
      </c>
      <c r="G315" s="203" t="str">
        <f>IFERROR(__xludf.DUMMYFUNCTION("""COMPUTED_VALUE"""),"Normal")</f>
        <v>Normal</v>
      </c>
      <c r="H315" s="203" t="str">
        <f>IFERROR(__xludf.DUMMYFUNCTION("""COMPUTED_VALUE"""),"Normal")</f>
        <v>Normal</v>
      </c>
      <c r="I315" s="199">
        <f>IFERROR(__xludf.DUMMYFUNCTION("""COMPUTED_VALUE"""),25621.0)</f>
        <v>25621</v>
      </c>
      <c r="J315" s="199">
        <f>IFERROR(__xludf.DUMMYFUNCTION("""COMPUTED_VALUE"""),3254.0)</f>
        <v>3254</v>
      </c>
      <c r="K315" s="199">
        <f>IFERROR(__xludf.DUMMYFUNCTION("""COMPUTED_VALUE"""),1032.0)</f>
        <v>1032</v>
      </c>
      <c r="L315" s="199">
        <f>IFERROR(__xludf.DUMMYFUNCTION("""COMPUTED_VALUE"""),18.0)</f>
        <v>18</v>
      </c>
      <c r="M315" s="199">
        <f>IFERROR(__xludf.DUMMYFUNCTION("""COMPUTED_VALUE"""),288.4)</f>
        <v>288.4</v>
      </c>
      <c r="N315" s="199"/>
      <c r="O315" s="199"/>
      <c r="P315" s="199">
        <f>IFERROR(__xludf.DUMMYFUNCTION("""COMPUTED_VALUE"""),0.02)</f>
        <v>0.02</v>
      </c>
      <c r="Q315" s="199">
        <f>IFERROR(__xludf.DUMMYFUNCTION("""COMPUTED_VALUE"""),0.0)</f>
        <v>0</v>
      </c>
      <c r="R315" s="199">
        <f>IFERROR(__xludf.DUMMYFUNCTION("""COMPUTED_VALUE"""),4.0)</f>
        <v>4</v>
      </c>
      <c r="S315" s="199">
        <f>IFERROR(__xludf.DUMMYFUNCTION("""COMPUTED_VALUE"""),0.0)</f>
        <v>0</v>
      </c>
      <c r="T315" s="199">
        <f>IFERROR(__xludf.DUMMYFUNCTION("""COMPUTED_VALUE"""),0.0)</f>
        <v>0</v>
      </c>
      <c r="U315" s="199">
        <f>IFERROR(__xludf.DUMMYFUNCTION("""COMPUTED_VALUE"""),100.0)</f>
        <v>100</v>
      </c>
      <c r="V315" s="199">
        <f>IFERROR(__xludf.DUMMYFUNCTION("""COMPUTED_VALUE"""),0.0)</f>
        <v>0</v>
      </c>
      <c r="W315" s="199">
        <f>IFERROR(__xludf.DUMMYFUNCTION("""COMPUTED_VALUE"""),0.0)</f>
        <v>0</v>
      </c>
      <c r="X315" s="199">
        <f>IFERROR(__xludf.DUMMYFUNCTION("""COMPUTED_VALUE"""),0.0)</f>
        <v>0</v>
      </c>
      <c r="Y315" s="199">
        <f>IFERROR(__xludf.DUMMYFUNCTION("""COMPUTED_VALUE"""),0.0)</f>
        <v>0</v>
      </c>
      <c r="Z315" s="199">
        <f>IFERROR(__xludf.DUMMYFUNCTION("""COMPUTED_VALUE"""),0.0)</f>
        <v>0</v>
      </c>
      <c r="AA315" s="199">
        <f>IFERROR(__xludf.DUMMYFUNCTION("""COMPUTED_VALUE"""),0.0)</f>
        <v>0</v>
      </c>
      <c r="AB315" s="199">
        <f>IFERROR(__xludf.DUMMYFUNCTION("""COMPUTED_VALUE"""),24.0)</f>
        <v>24</v>
      </c>
      <c r="AC315" s="199">
        <f>IFERROR(__xludf.DUMMYFUNCTION("""COMPUTED_VALUE"""),36.0)</f>
        <v>36</v>
      </c>
      <c r="AD315" s="199">
        <f>IFERROR(__xludf.DUMMYFUNCTION("""COMPUTED_VALUE"""),0.0)</f>
        <v>0</v>
      </c>
      <c r="AE315" s="199">
        <f>IFERROR(__xludf.DUMMYFUNCTION("""COMPUTED_VALUE"""),182.0)</f>
        <v>182</v>
      </c>
      <c r="AF315" s="199">
        <f>IFERROR(__xludf.DUMMYFUNCTION("""COMPUTED_VALUE"""),3.0)</f>
        <v>3</v>
      </c>
      <c r="AG315" s="199">
        <f>IFERROR(__xludf.DUMMYFUNCTION("""COMPUTED_VALUE"""),497.0)</f>
        <v>497</v>
      </c>
      <c r="AH315" s="199">
        <f>IFERROR(__xludf.DUMMYFUNCTION("""COMPUTED_VALUE"""),35.0)</f>
        <v>35</v>
      </c>
      <c r="AI315" s="200" t="str">
        <f>IFERROR(__xludf.DUMMYFUNCTION("""COMPUTED_VALUE"""),"Normal - No Action Required")</f>
        <v>Normal - No Action Required</v>
      </c>
      <c r="AJ315" s="200" t="str">
        <f>IFERROR(__xludf.DUMMYFUNCTION("""COMPUTED_VALUE"""),"Continue routine monitoring and sampling schedule")</f>
        <v>Continue routine monitoring and sampling schedule</v>
      </c>
      <c r="AK315" s="204"/>
      <c r="AL315" s="204"/>
      <c r="AM315" s="204"/>
    </row>
    <row r="316" hidden="1">
      <c r="A316" s="199" t="str">
        <f>IFERROR(__xludf.DUMMYFUNCTION("""COMPUTED_VALUE"""),"342.BE050 L")</f>
        <v>342.BE050 L</v>
      </c>
      <c r="B316" s="200" t="str">
        <f>IFERROR(__xludf.DUMMYFUNCTION("""COMPUTED_VALUE"""),"Bucket Elevator GB - L")</f>
        <v>Bucket Elevator GB - L</v>
      </c>
      <c r="C316" s="199">
        <f>IFERROR(__xludf.DUMMYFUNCTION("""COMPUTED_VALUE"""),2.5112224261E10)</f>
        <v>25112224261</v>
      </c>
      <c r="D316" s="201">
        <f>IFERROR(__xludf.DUMMYFUNCTION("""COMPUTED_VALUE"""),45757.0)</f>
        <v>45757</v>
      </c>
      <c r="E316" s="202" t="str">
        <f>IFERROR(__xludf.DUMMYFUNCTION("""COMPUTED_VALUE"""),"Normal")</f>
        <v>Normal</v>
      </c>
      <c r="F316" s="202" t="str">
        <f>IFERROR(__xludf.DUMMYFUNCTION("""COMPUTED_VALUE"""),"Normal")</f>
        <v>Normal</v>
      </c>
      <c r="G316" s="203" t="str">
        <f>IFERROR(__xludf.DUMMYFUNCTION("""COMPUTED_VALUE"""),"Normal")</f>
        <v>Normal</v>
      </c>
      <c r="H316" s="203" t="str">
        <f>IFERROR(__xludf.DUMMYFUNCTION("""COMPUTED_VALUE"""),"Normal")</f>
        <v>Normal</v>
      </c>
      <c r="I316" s="199">
        <f>IFERROR(__xludf.DUMMYFUNCTION("""COMPUTED_VALUE"""),35642.0)</f>
        <v>35642</v>
      </c>
      <c r="J316" s="199">
        <f>IFERROR(__xludf.DUMMYFUNCTION("""COMPUTED_VALUE"""),5462.0)</f>
        <v>5462</v>
      </c>
      <c r="K316" s="199">
        <f>IFERROR(__xludf.DUMMYFUNCTION("""COMPUTED_VALUE"""),10658.0)</f>
        <v>10658</v>
      </c>
      <c r="L316" s="199">
        <f>IFERROR(__xludf.DUMMYFUNCTION("""COMPUTED_VALUE"""),15.0)</f>
        <v>15</v>
      </c>
      <c r="M316" s="199">
        <f>IFERROR(__xludf.DUMMYFUNCTION("""COMPUTED_VALUE"""),298.3)</f>
        <v>298.3</v>
      </c>
      <c r="N316" s="199"/>
      <c r="O316" s="199"/>
      <c r="P316" s="199">
        <f>IFERROR(__xludf.DUMMYFUNCTION("""COMPUTED_VALUE"""),0.02)</f>
        <v>0.02</v>
      </c>
      <c r="Q316" s="199">
        <f>IFERROR(__xludf.DUMMYFUNCTION("""COMPUTED_VALUE"""),0.0)</f>
        <v>0</v>
      </c>
      <c r="R316" s="199">
        <f>IFERROR(__xludf.DUMMYFUNCTION("""COMPUTED_VALUE"""),2.0)</f>
        <v>2</v>
      </c>
      <c r="S316" s="199">
        <f>IFERROR(__xludf.DUMMYFUNCTION("""COMPUTED_VALUE"""),0.0)</f>
        <v>0</v>
      </c>
      <c r="T316" s="199">
        <f>IFERROR(__xludf.DUMMYFUNCTION("""COMPUTED_VALUE"""),0.0)</f>
        <v>0</v>
      </c>
      <c r="U316" s="199">
        <f>IFERROR(__xludf.DUMMYFUNCTION("""COMPUTED_VALUE"""),16.0)</f>
        <v>16</v>
      </c>
      <c r="V316" s="199">
        <f>IFERROR(__xludf.DUMMYFUNCTION("""COMPUTED_VALUE"""),0.0)</f>
        <v>0</v>
      </c>
      <c r="W316" s="199">
        <f>IFERROR(__xludf.DUMMYFUNCTION("""COMPUTED_VALUE"""),0.0)</f>
        <v>0</v>
      </c>
      <c r="X316" s="199">
        <f>IFERROR(__xludf.DUMMYFUNCTION("""COMPUTED_VALUE"""),0.0)</f>
        <v>0</v>
      </c>
      <c r="Y316" s="199">
        <f>IFERROR(__xludf.DUMMYFUNCTION("""COMPUTED_VALUE"""),4.0)</f>
        <v>4</v>
      </c>
      <c r="Z316" s="199">
        <f>IFERROR(__xludf.DUMMYFUNCTION("""COMPUTED_VALUE"""),0.0)</f>
        <v>0</v>
      </c>
      <c r="AA316" s="199">
        <f>IFERROR(__xludf.DUMMYFUNCTION("""COMPUTED_VALUE"""),0.0)</f>
        <v>0</v>
      </c>
      <c r="AB316" s="199">
        <f>IFERROR(__xludf.DUMMYFUNCTION("""COMPUTED_VALUE"""),16.0)</f>
        <v>16</v>
      </c>
      <c r="AC316" s="199">
        <f>IFERROR(__xludf.DUMMYFUNCTION("""COMPUTED_VALUE"""),3.0)</f>
        <v>3</v>
      </c>
      <c r="AD316" s="199">
        <f>IFERROR(__xludf.DUMMYFUNCTION("""COMPUTED_VALUE"""),0.0)</f>
        <v>0</v>
      </c>
      <c r="AE316" s="199">
        <f>IFERROR(__xludf.DUMMYFUNCTION("""COMPUTED_VALUE"""),83.0)</f>
        <v>83</v>
      </c>
      <c r="AF316" s="199">
        <f>IFERROR(__xludf.DUMMYFUNCTION("""COMPUTED_VALUE"""),1.0)</f>
        <v>1</v>
      </c>
      <c r="AG316" s="199">
        <f>IFERROR(__xludf.DUMMYFUNCTION("""COMPUTED_VALUE"""),560.0)</f>
        <v>560</v>
      </c>
      <c r="AH316" s="199">
        <f>IFERROR(__xludf.DUMMYFUNCTION("""COMPUTED_VALUE"""),40.0)</f>
        <v>40</v>
      </c>
      <c r="AI316" s="200" t="str">
        <f>IFERROR(__xludf.DUMMYFUNCTION("""COMPUTED_VALUE"""),"Normal - No Action Required")</f>
        <v>Normal - No Action Required</v>
      </c>
      <c r="AJ316" s="200" t="str">
        <f>IFERROR(__xludf.DUMMYFUNCTION("""COMPUTED_VALUE"""),"Continue routine monitoring and sampling schedule")</f>
        <v>Continue routine monitoring and sampling schedule</v>
      </c>
      <c r="AK316" s="204"/>
      <c r="AL316" s="204"/>
      <c r="AM316" s="204"/>
    </row>
    <row r="317" hidden="1">
      <c r="A317" s="199" t="str">
        <f>IFERROR(__xludf.DUMMYFUNCTION("""COMPUTED_VALUE"""),"351.BE350 R")</f>
        <v>351.BE350 R</v>
      </c>
      <c r="B317" s="200" t="str">
        <f>IFERROR(__xludf.DUMMYFUNCTION("""COMPUTED_VALUE"""),"Bucket Elevator GB - R")</f>
        <v>Bucket Elevator GB - R</v>
      </c>
      <c r="C317" s="199">
        <f>IFERROR(__xludf.DUMMYFUNCTION("""COMPUTED_VALUE"""),2.5112224209E10)</f>
        <v>25112224209</v>
      </c>
      <c r="D317" s="201">
        <f>IFERROR(__xludf.DUMMYFUNCTION("""COMPUTED_VALUE"""),45757.0)</f>
        <v>45757</v>
      </c>
      <c r="E317" s="202" t="str">
        <f>IFERROR(__xludf.DUMMYFUNCTION("""COMPUTED_VALUE"""),"Caution")</f>
        <v>Caution</v>
      </c>
      <c r="F317" s="202" t="str">
        <f>IFERROR(__xludf.DUMMYFUNCTION("""COMPUTED_VALUE"""),"Caution")</f>
        <v>Caution</v>
      </c>
      <c r="G317" s="203" t="str">
        <f>IFERROR(__xludf.DUMMYFUNCTION("""COMPUTED_VALUE"""),"Normal")</f>
        <v>Normal</v>
      </c>
      <c r="H317" s="203" t="str">
        <f>IFERROR(__xludf.DUMMYFUNCTION("""COMPUTED_VALUE"""),"Normal")</f>
        <v>Normal</v>
      </c>
      <c r="I317" s="37"/>
      <c r="J317" s="37"/>
      <c r="K317" s="37"/>
      <c r="L317" s="199">
        <f>IFERROR(__xludf.DUMMYFUNCTION("""COMPUTED_VALUE"""),47.0)</f>
        <v>47</v>
      </c>
      <c r="M317" s="199">
        <f>IFERROR(__xludf.DUMMYFUNCTION("""COMPUTED_VALUE"""),301.4)</f>
        <v>301.4</v>
      </c>
      <c r="N317" s="37"/>
      <c r="O317" s="37"/>
      <c r="P317" s="199">
        <f>IFERROR(__xludf.DUMMYFUNCTION("""COMPUTED_VALUE"""),0.03)</f>
        <v>0.03</v>
      </c>
      <c r="Q317" s="199">
        <f>IFERROR(__xludf.DUMMYFUNCTION("""COMPUTED_VALUE"""),0.0)</f>
        <v>0</v>
      </c>
      <c r="R317" s="199">
        <f>IFERROR(__xludf.DUMMYFUNCTION("""COMPUTED_VALUE"""),0.0)</f>
        <v>0</v>
      </c>
      <c r="S317" s="199">
        <f>IFERROR(__xludf.DUMMYFUNCTION("""COMPUTED_VALUE"""),0.0)</f>
        <v>0</v>
      </c>
      <c r="T317" s="199">
        <f>IFERROR(__xludf.DUMMYFUNCTION("""COMPUTED_VALUE"""),0.0)</f>
        <v>0</v>
      </c>
      <c r="U317" s="199">
        <f>IFERROR(__xludf.DUMMYFUNCTION("""COMPUTED_VALUE"""),69.0)</f>
        <v>69</v>
      </c>
      <c r="V317" s="199">
        <f>IFERROR(__xludf.DUMMYFUNCTION("""COMPUTED_VALUE"""),0.0)</f>
        <v>0</v>
      </c>
      <c r="W317" s="199">
        <f>IFERROR(__xludf.DUMMYFUNCTION("""COMPUTED_VALUE"""),0.0)</f>
        <v>0</v>
      </c>
      <c r="X317" s="199">
        <f>IFERROR(__xludf.DUMMYFUNCTION("""COMPUTED_VALUE"""),0.0)</f>
        <v>0</v>
      </c>
      <c r="Y317" s="199">
        <f>IFERROR(__xludf.DUMMYFUNCTION("""COMPUTED_VALUE"""),0.0)</f>
        <v>0</v>
      </c>
      <c r="Z317" s="199">
        <f>IFERROR(__xludf.DUMMYFUNCTION("""COMPUTED_VALUE"""),0.0)</f>
        <v>0</v>
      </c>
      <c r="AA317" s="199">
        <f>IFERROR(__xludf.DUMMYFUNCTION("""COMPUTED_VALUE"""),1.0)</f>
        <v>1</v>
      </c>
      <c r="AB317" s="199">
        <f>IFERROR(__xludf.DUMMYFUNCTION("""COMPUTED_VALUE"""),18.0)</f>
        <v>18</v>
      </c>
      <c r="AC317" s="199">
        <f>IFERROR(__xludf.DUMMYFUNCTION("""COMPUTED_VALUE"""),28.0)</f>
        <v>28</v>
      </c>
      <c r="AD317" s="199">
        <f>IFERROR(__xludf.DUMMYFUNCTION("""COMPUTED_VALUE"""),0.0)</f>
        <v>0</v>
      </c>
      <c r="AE317" s="199">
        <f>IFERROR(__xludf.DUMMYFUNCTION("""COMPUTED_VALUE"""),93.0)</f>
        <v>93</v>
      </c>
      <c r="AF317" s="199">
        <f>IFERROR(__xludf.DUMMYFUNCTION("""COMPUTED_VALUE"""),3.0)</f>
        <v>3</v>
      </c>
      <c r="AG317" s="199">
        <f>IFERROR(__xludf.DUMMYFUNCTION("""COMPUTED_VALUE"""),424.0)</f>
        <v>424</v>
      </c>
      <c r="AH317" s="199">
        <f>IFERROR(__xludf.DUMMYFUNCTION("""COMPUTED_VALUE"""),27.0)</f>
        <v>27</v>
      </c>
      <c r="AI317" s="200" t="str">
        <f>IFERROR(__xludf.DUMMYFUNCTION("""COMPUTED_VALUE"""),"Wear Metal Caution")</f>
        <v>Wear Metal Caution</v>
      </c>
      <c r="AJ317" s="200" t="str">
        <f>IFERROR(__xludf.DUMMYFUNCTION("""COMPUTED_VALUE"""),"Elevated wear metals - monitor trend; inspect at next opportunity")</f>
        <v>Elevated wear metals - monitor trend; inspect at next opportunity</v>
      </c>
      <c r="AK317" s="204"/>
      <c r="AL317" s="204"/>
      <c r="AM317" s="204"/>
    </row>
    <row r="318" hidden="1">
      <c r="A318" s="199" t="str">
        <f>IFERROR(__xludf.DUMMYFUNCTION("""COMPUTED_VALUE"""),"R2.322.LQ145 (T)")</f>
        <v>R2.322.LQ145 (T)</v>
      </c>
      <c r="B318" s="200" t="str">
        <f>IFERROR(__xludf.DUMMYFUNCTION("""COMPUTED_VALUE"""),"Mill2 gear Lub pump station tank")</f>
        <v>Mill2 gear Lub pump station tank</v>
      </c>
      <c r="C318" s="199">
        <f>IFERROR(__xludf.DUMMYFUNCTION("""COMPUTED_VALUE"""),2.5124405274E10)</f>
        <v>25124405274</v>
      </c>
      <c r="D318" s="201">
        <f>IFERROR(__xludf.DUMMYFUNCTION("""COMPUTED_VALUE"""),45775.0)</f>
        <v>45775</v>
      </c>
      <c r="E318" s="202" t="str">
        <f>IFERROR(__xludf.DUMMYFUNCTION("""COMPUTED_VALUE"""),"Alert")</f>
        <v>Alert</v>
      </c>
      <c r="F318" s="202" t="str">
        <f>IFERROR(__xludf.DUMMYFUNCTION("""COMPUTED_VALUE"""),"Normal")</f>
        <v>Normal</v>
      </c>
      <c r="G318" s="203" t="str">
        <f>IFERROR(__xludf.DUMMYFUNCTION("""COMPUTED_VALUE"""),"Normal")</f>
        <v>Normal</v>
      </c>
      <c r="H318" s="203" t="str">
        <f>IFERROR(__xludf.DUMMYFUNCTION("""COMPUTED_VALUE"""),"Alert")</f>
        <v>Alert</v>
      </c>
      <c r="I318" s="37">
        <f>IFERROR(__xludf.DUMMYFUNCTION("""COMPUTED_VALUE"""),32561.0)</f>
        <v>32561</v>
      </c>
      <c r="J318" s="37">
        <f>IFERROR(__xludf.DUMMYFUNCTION("""COMPUTED_VALUE"""),6452.0)</f>
        <v>6452</v>
      </c>
      <c r="K318" s="37">
        <f>IFERROR(__xludf.DUMMYFUNCTION("""COMPUTED_VALUE"""),2031.0)</f>
        <v>2031</v>
      </c>
      <c r="L318" s="199">
        <f>IFERROR(__xludf.DUMMYFUNCTION("""COMPUTED_VALUE"""),15.0)</f>
        <v>15</v>
      </c>
      <c r="M318" s="199">
        <f>IFERROR(__xludf.DUMMYFUNCTION("""COMPUTED_VALUE"""),194.9)</f>
        <v>194.9</v>
      </c>
      <c r="N318" s="37"/>
      <c r="O318" s="37">
        <f>IFERROR(__xludf.DUMMYFUNCTION("""COMPUTED_VALUE"""),1.0)</f>
        <v>1</v>
      </c>
      <c r="P318" s="199">
        <f>IFERROR(__xludf.DUMMYFUNCTION("""COMPUTED_VALUE"""),0.01)</f>
        <v>0.01</v>
      </c>
      <c r="Q318" s="199">
        <f>IFERROR(__xludf.DUMMYFUNCTION("""COMPUTED_VALUE"""),2.0)</f>
        <v>2</v>
      </c>
      <c r="R318" s="199">
        <f>IFERROR(__xludf.DUMMYFUNCTION("""COMPUTED_VALUE"""),2.0)</f>
        <v>2</v>
      </c>
      <c r="S318" s="199">
        <f>IFERROR(__xludf.DUMMYFUNCTION("""COMPUTED_VALUE"""),2.0)</f>
        <v>2</v>
      </c>
      <c r="T318" s="199">
        <f>IFERROR(__xludf.DUMMYFUNCTION("""COMPUTED_VALUE"""),9.0)</f>
        <v>9</v>
      </c>
      <c r="U318" s="199">
        <f>IFERROR(__xludf.DUMMYFUNCTION("""COMPUTED_VALUE"""),24.0)</f>
        <v>24</v>
      </c>
      <c r="V318" s="199">
        <f>IFERROR(__xludf.DUMMYFUNCTION("""COMPUTED_VALUE"""),0.0)</f>
        <v>0</v>
      </c>
      <c r="W318" s="199">
        <f>IFERROR(__xludf.DUMMYFUNCTION("""COMPUTED_VALUE"""),0.0)</f>
        <v>0</v>
      </c>
      <c r="X318" s="199">
        <f>IFERROR(__xludf.DUMMYFUNCTION("""COMPUTED_VALUE"""),0.0)</f>
        <v>0</v>
      </c>
      <c r="Y318" s="199">
        <f>IFERROR(__xludf.DUMMYFUNCTION("""COMPUTED_VALUE"""),0.0)</f>
        <v>0</v>
      </c>
      <c r="Z318" s="199">
        <f>IFERROR(__xludf.DUMMYFUNCTION("""COMPUTED_VALUE"""),3.0)</f>
        <v>3</v>
      </c>
      <c r="AA318" s="199">
        <f>IFERROR(__xludf.DUMMYFUNCTION("""COMPUTED_VALUE"""),3.0)</f>
        <v>3</v>
      </c>
      <c r="AB318" s="199">
        <f>IFERROR(__xludf.DUMMYFUNCTION("""COMPUTED_VALUE"""),5.0)</f>
        <v>5</v>
      </c>
      <c r="AC318" s="199">
        <f>IFERROR(__xludf.DUMMYFUNCTION("""COMPUTED_VALUE"""),25.0)</f>
        <v>25</v>
      </c>
      <c r="AD318" s="199">
        <f>IFERROR(__xludf.DUMMYFUNCTION("""COMPUTED_VALUE"""),0.0)</f>
        <v>0</v>
      </c>
      <c r="AE318" s="199">
        <f>IFERROR(__xludf.DUMMYFUNCTION("""COMPUTED_VALUE"""),51.0)</f>
        <v>51</v>
      </c>
      <c r="AF318" s="199">
        <f>IFERROR(__xludf.DUMMYFUNCTION("""COMPUTED_VALUE"""),0.0)</f>
        <v>0</v>
      </c>
      <c r="AG318" s="199">
        <f>IFERROR(__xludf.DUMMYFUNCTION("""COMPUTED_VALUE"""),407.0)</f>
        <v>407</v>
      </c>
      <c r="AH318" s="199">
        <f>IFERROR(__xludf.DUMMYFUNCTION("""COMPUTED_VALUE"""),200.0)</f>
        <v>200</v>
      </c>
      <c r="AI318" s="200" t="str">
        <f>IFERROR(__xludf.DUMMYFUNCTION("""COMPUTED_VALUE"""),"General Alert")</f>
        <v>General Alert</v>
      </c>
      <c r="AJ318" s="200" t="str">
        <f>IFERROR(__xludf.DUMMYFUNCTION("""COMPUTED_VALUE"""),"Investigate root cause; increase sampling frequency to monthly")</f>
        <v>Investigate root cause; increase sampling frequency to monthly</v>
      </c>
      <c r="AK318" s="204"/>
      <c r="AL318" s="204"/>
      <c r="AM318" s="204"/>
    </row>
    <row r="319" hidden="1">
      <c r="A319" s="199" t="str">
        <f>IFERROR(__xludf.DUMMYFUNCTION("""COMPUTED_VALUE"""),"R2.322.LQ145 (T)")</f>
        <v>R2.322.LQ145 (T)</v>
      </c>
      <c r="B319" s="200" t="str">
        <f>IFERROR(__xludf.DUMMYFUNCTION("""COMPUTED_VALUE"""),"Mill2 gear Lub pump station tank")</f>
        <v>Mill2 gear Lub pump station tank</v>
      </c>
      <c r="C319" s="199">
        <f>IFERROR(__xludf.DUMMYFUNCTION("""COMPUTED_VALUE"""),2.5124405273E10)</f>
        <v>25124405273</v>
      </c>
      <c r="D319" s="201">
        <f>IFERROR(__xludf.DUMMYFUNCTION("""COMPUTED_VALUE"""),45775.0)</f>
        <v>45775</v>
      </c>
      <c r="E319" s="202" t="str">
        <f>IFERROR(__xludf.DUMMYFUNCTION("""COMPUTED_VALUE"""),"Alert")</f>
        <v>Alert</v>
      </c>
      <c r="F319" s="202" t="str">
        <f>IFERROR(__xludf.DUMMYFUNCTION("""COMPUTED_VALUE"""),"Normal")</f>
        <v>Normal</v>
      </c>
      <c r="G319" s="203" t="str">
        <f>IFERROR(__xludf.DUMMYFUNCTION("""COMPUTED_VALUE"""),"Normal")</f>
        <v>Normal</v>
      </c>
      <c r="H319" s="203" t="str">
        <f>IFERROR(__xludf.DUMMYFUNCTION("""COMPUTED_VALUE"""),"Alert")</f>
        <v>Alert</v>
      </c>
      <c r="I319" s="37">
        <f>IFERROR(__xludf.DUMMYFUNCTION("""COMPUTED_VALUE"""),12547.0)</f>
        <v>12547</v>
      </c>
      <c r="J319" s="37">
        <f>IFERROR(__xludf.DUMMYFUNCTION("""COMPUTED_VALUE"""),6452.0)</f>
        <v>6452</v>
      </c>
      <c r="K319" s="37">
        <f>IFERROR(__xludf.DUMMYFUNCTION("""COMPUTED_VALUE"""),2012.0)</f>
        <v>2012</v>
      </c>
      <c r="L319" s="199">
        <f>IFERROR(__xludf.DUMMYFUNCTION("""COMPUTED_VALUE"""),15.0)</f>
        <v>15</v>
      </c>
      <c r="M319" s="199">
        <f>IFERROR(__xludf.DUMMYFUNCTION("""COMPUTED_VALUE"""),151.2)</f>
        <v>151.2</v>
      </c>
      <c r="N319" s="37"/>
      <c r="O319" s="37">
        <f>IFERROR(__xludf.DUMMYFUNCTION("""COMPUTED_VALUE"""),1.0)</f>
        <v>1</v>
      </c>
      <c r="P319" s="199">
        <f>IFERROR(__xludf.DUMMYFUNCTION("""COMPUTED_VALUE"""),0.01)</f>
        <v>0.01</v>
      </c>
      <c r="Q319" s="199">
        <f>IFERROR(__xludf.DUMMYFUNCTION("""COMPUTED_VALUE"""),2.0)</f>
        <v>2</v>
      </c>
      <c r="R319" s="199">
        <f>IFERROR(__xludf.DUMMYFUNCTION("""COMPUTED_VALUE"""),2.0)</f>
        <v>2</v>
      </c>
      <c r="S319" s="199">
        <f>IFERROR(__xludf.DUMMYFUNCTION("""COMPUTED_VALUE"""),2.0)</f>
        <v>2</v>
      </c>
      <c r="T319" s="199">
        <f>IFERROR(__xludf.DUMMYFUNCTION("""COMPUTED_VALUE"""),9.0)</f>
        <v>9</v>
      </c>
      <c r="U319" s="199">
        <f>IFERROR(__xludf.DUMMYFUNCTION("""COMPUTED_VALUE"""),24.0)</f>
        <v>24</v>
      </c>
      <c r="V319" s="199">
        <f>IFERROR(__xludf.DUMMYFUNCTION("""COMPUTED_VALUE"""),0.0)</f>
        <v>0</v>
      </c>
      <c r="W319" s="199">
        <f>IFERROR(__xludf.DUMMYFUNCTION("""COMPUTED_VALUE"""),0.0)</f>
        <v>0</v>
      </c>
      <c r="X319" s="199">
        <f>IFERROR(__xludf.DUMMYFUNCTION("""COMPUTED_VALUE"""),1.0)</f>
        <v>1</v>
      </c>
      <c r="Y319" s="199">
        <f>IFERROR(__xludf.DUMMYFUNCTION("""COMPUTED_VALUE"""),0.0)</f>
        <v>0</v>
      </c>
      <c r="Z319" s="199">
        <f>IFERROR(__xludf.DUMMYFUNCTION("""COMPUTED_VALUE"""),3.0)</f>
        <v>3</v>
      </c>
      <c r="AA319" s="199">
        <f>IFERROR(__xludf.DUMMYFUNCTION("""COMPUTED_VALUE"""),3.0)</f>
        <v>3</v>
      </c>
      <c r="AB319" s="199">
        <f>IFERROR(__xludf.DUMMYFUNCTION("""COMPUTED_VALUE"""),5.0)</f>
        <v>5</v>
      </c>
      <c r="AC319" s="199">
        <f>IFERROR(__xludf.DUMMYFUNCTION("""COMPUTED_VALUE"""),25.0)</f>
        <v>25</v>
      </c>
      <c r="AD319" s="199">
        <f>IFERROR(__xludf.DUMMYFUNCTION("""COMPUTED_VALUE"""),0.0)</f>
        <v>0</v>
      </c>
      <c r="AE319" s="199">
        <f>IFERROR(__xludf.DUMMYFUNCTION("""COMPUTED_VALUE"""),51.0)</f>
        <v>51</v>
      </c>
      <c r="AF319" s="199">
        <f>IFERROR(__xludf.DUMMYFUNCTION("""COMPUTED_VALUE"""),0.0)</f>
        <v>0</v>
      </c>
      <c r="AG319" s="199">
        <f>IFERROR(__xludf.DUMMYFUNCTION("""COMPUTED_VALUE"""),407.0)</f>
        <v>407</v>
      </c>
      <c r="AH319" s="199">
        <f>IFERROR(__xludf.DUMMYFUNCTION("""COMPUTED_VALUE"""),200.0)</f>
        <v>200</v>
      </c>
      <c r="AI319" s="200" t="str">
        <f>IFERROR(__xludf.DUMMYFUNCTION("""COMPUTED_VALUE"""),"General Alert")</f>
        <v>General Alert</v>
      </c>
      <c r="AJ319" s="200" t="str">
        <f>IFERROR(__xludf.DUMMYFUNCTION("""COMPUTED_VALUE"""),"Investigate root cause; increase sampling frequency to monthly")</f>
        <v>Investigate root cause; increase sampling frequency to monthly</v>
      </c>
      <c r="AK319" s="204"/>
      <c r="AL319" s="204"/>
      <c r="AM319" s="204"/>
    </row>
    <row r="320" hidden="1">
      <c r="A320" s="199" t="str">
        <f>IFERROR(__xludf.DUMMYFUNCTION("""COMPUTED_VALUE"""),"352.BE340 R")</f>
        <v>352.BE340 R</v>
      </c>
      <c r="B320" s="200" t="str">
        <f>IFERROR(__xludf.DUMMYFUNCTION("""COMPUTED_VALUE"""),"Bucket Elevator GB - R")</f>
        <v>Bucket Elevator GB - R</v>
      </c>
      <c r="C320" s="199">
        <f>IFERROR(__xludf.DUMMYFUNCTION("""COMPUTED_VALUE"""),2.5180296221E10)</f>
        <v>25180296221</v>
      </c>
      <c r="D320" s="201">
        <f>IFERROR(__xludf.DUMMYFUNCTION("""COMPUTED_VALUE"""),45826.0)</f>
        <v>45826</v>
      </c>
      <c r="E320" s="202" t="str">
        <f>IFERROR(__xludf.DUMMYFUNCTION("""COMPUTED_VALUE"""),"Caution")</f>
        <v>Caution</v>
      </c>
      <c r="F320" s="202" t="str">
        <f>IFERROR(__xludf.DUMMYFUNCTION("""COMPUTED_VALUE"""),"Caution")</f>
        <v>Caution</v>
      </c>
      <c r="G320" s="203" t="str">
        <f>IFERROR(__xludf.DUMMYFUNCTION("""COMPUTED_VALUE"""),"Normal")</f>
        <v>Normal</v>
      </c>
      <c r="H320" s="203" t="str">
        <f>IFERROR(__xludf.DUMMYFUNCTION("""COMPUTED_VALUE"""),"Caution")</f>
        <v>Caution</v>
      </c>
      <c r="I320" s="199"/>
      <c r="J320" s="199"/>
      <c r="K320" s="199"/>
      <c r="L320" s="199">
        <f>IFERROR(__xludf.DUMMYFUNCTION("""COMPUTED_VALUE"""),18.0)</f>
        <v>18</v>
      </c>
      <c r="M320" s="199">
        <f>IFERROR(__xludf.DUMMYFUNCTION("""COMPUTED_VALUE"""),312.8)</f>
        <v>312.8</v>
      </c>
      <c r="N320" s="199"/>
      <c r="O320" s="199"/>
      <c r="P320" s="199">
        <f>IFERROR(__xludf.DUMMYFUNCTION("""COMPUTED_VALUE"""),0.03)</f>
        <v>0.03</v>
      </c>
      <c r="Q320" s="199">
        <f>IFERROR(__xludf.DUMMYFUNCTION("""COMPUTED_VALUE"""),0.0)</f>
        <v>0</v>
      </c>
      <c r="R320" s="199">
        <f>IFERROR(__xludf.DUMMYFUNCTION("""COMPUTED_VALUE"""),0.0)</f>
        <v>0</v>
      </c>
      <c r="S320" s="199">
        <f>IFERROR(__xludf.DUMMYFUNCTION("""COMPUTED_VALUE"""),0.0)</f>
        <v>0</v>
      </c>
      <c r="T320" s="199">
        <f>IFERROR(__xludf.DUMMYFUNCTION("""COMPUTED_VALUE"""),0.0)</f>
        <v>0</v>
      </c>
      <c r="U320" s="199">
        <f>IFERROR(__xludf.DUMMYFUNCTION("""COMPUTED_VALUE"""),28.0)</f>
        <v>28</v>
      </c>
      <c r="V320" s="199">
        <f>IFERROR(__xludf.DUMMYFUNCTION("""COMPUTED_VALUE"""),0.0)</f>
        <v>0</v>
      </c>
      <c r="W320" s="199">
        <f>IFERROR(__xludf.DUMMYFUNCTION("""COMPUTED_VALUE"""),0.0)</f>
        <v>0</v>
      </c>
      <c r="X320" s="199">
        <f>IFERROR(__xludf.DUMMYFUNCTION("""COMPUTED_VALUE"""),1.0)</f>
        <v>1</v>
      </c>
      <c r="Y320" s="199">
        <f>IFERROR(__xludf.DUMMYFUNCTION("""COMPUTED_VALUE"""),0.0)</f>
        <v>0</v>
      </c>
      <c r="Z320" s="199">
        <f>IFERROR(__xludf.DUMMYFUNCTION("""COMPUTED_VALUE"""),0.0)</f>
        <v>0</v>
      </c>
      <c r="AA320" s="199">
        <f>IFERROR(__xludf.DUMMYFUNCTION("""COMPUTED_VALUE"""),0.0)</f>
        <v>0</v>
      </c>
      <c r="AB320" s="199">
        <f>IFERROR(__xludf.DUMMYFUNCTION("""COMPUTED_VALUE"""),23.0)</f>
        <v>23</v>
      </c>
      <c r="AC320" s="199">
        <f>IFERROR(__xludf.DUMMYFUNCTION("""COMPUTED_VALUE"""),26.0)</f>
        <v>26</v>
      </c>
      <c r="AD320" s="199">
        <f>IFERROR(__xludf.DUMMYFUNCTION("""COMPUTED_VALUE"""),0.0)</f>
        <v>0</v>
      </c>
      <c r="AE320" s="199">
        <f>IFERROR(__xludf.DUMMYFUNCTION("""COMPUTED_VALUE"""),32.0)</f>
        <v>32</v>
      </c>
      <c r="AF320" s="199">
        <f>IFERROR(__xludf.DUMMYFUNCTION("""COMPUTED_VALUE"""),0.0)</f>
        <v>0</v>
      </c>
      <c r="AG320" s="199">
        <f>IFERROR(__xludf.DUMMYFUNCTION("""COMPUTED_VALUE"""),392.0)</f>
        <v>392</v>
      </c>
      <c r="AH320" s="199">
        <f>IFERROR(__xludf.DUMMYFUNCTION("""COMPUTED_VALUE"""),30.0)</f>
        <v>30</v>
      </c>
      <c r="AI320" s="200" t="str">
        <f>IFERROR(__xludf.DUMMYFUNCTION("""COMPUTED_VALUE"""),"Elevated Fe / Si – Caution / TAN Elevated")</f>
        <v>Elevated Fe / Si – Caution / TAN Elevated</v>
      </c>
      <c r="AJ320" s="200" t="str">
        <f>IFERROR(__xludf.DUMMYFUNCTION("""COMPUTED_VALUE"""),"Fe (28 ppm) and Si (23 ppm) trending upward. TAN elevated (1.70 mg KOH/g). Wear and dirt ingress recurring. Inspect filtration and air seals. Monitor closely.")</f>
        <v>Fe (28 ppm) and Si (23 ppm) trending upward. TAN elevated (1.70 mg KOH/g). Wear and dirt ingress recurring. Inspect filtration and air seals. Monitor closely.</v>
      </c>
      <c r="AK320" s="204"/>
      <c r="AL320" s="204"/>
      <c r="AM320" s="204"/>
    </row>
    <row r="321" hidden="1">
      <c r="A321" s="199" t="str">
        <f>IFERROR(__xludf.DUMMYFUNCTION("""COMPUTED_VALUE"""),"111.BC330 (L1)")</f>
        <v>111.BC330 (L1)</v>
      </c>
      <c r="B321" s="200" t="str">
        <f>IFERROR(__xludf.DUMMYFUNCTION("""COMPUTED_VALUE"""),"Belt conveyor first left Gearbox")</f>
        <v>Belt conveyor first left Gearbox</v>
      </c>
      <c r="C321" s="199">
        <f>IFERROR(__xludf.DUMMYFUNCTION("""COMPUTED_VALUE"""),2.5180296261E10)</f>
        <v>25180296261</v>
      </c>
      <c r="D321" s="201">
        <f>IFERROR(__xludf.DUMMYFUNCTION("""COMPUTED_VALUE"""),45826.0)</f>
        <v>45826</v>
      </c>
      <c r="E321" s="202" t="str">
        <f>IFERROR(__xludf.DUMMYFUNCTION("""COMPUTED_VALUE"""),"Normal")</f>
        <v>Normal</v>
      </c>
      <c r="F321" s="202" t="str">
        <f>IFERROR(__xludf.DUMMYFUNCTION("""COMPUTED_VALUE"""),"Normal")</f>
        <v>Normal</v>
      </c>
      <c r="G321" s="203" t="str">
        <f>IFERROR(__xludf.DUMMYFUNCTION("""COMPUTED_VALUE"""),"Normal")</f>
        <v>Normal</v>
      </c>
      <c r="H321" s="203" t="str">
        <f>IFERROR(__xludf.DUMMYFUNCTION("""COMPUTED_VALUE"""),"Normal")</f>
        <v>Normal</v>
      </c>
      <c r="I321" s="37">
        <f>IFERROR(__xludf.DUMMYFUNCTION("""COMPUTED_VALUE"""),31082.0)</f>
        <v>31082</v>
      </c>
      <c r="J321" s="37">
        <f>IFERROR(__xludf.DUMMYFUNCTION("""COMPUTED_VALUE"""),12107.0)</f>
        <v>12107</v>
      </c>
      <c r="K321" s="37">
        <f>IFERROR(__xludf.DUMMYFUNCTION("""COMPUTED_VALUE"""),6112.0)</f>
        <v>6112</v>
      </c>
      <c r="L321" s="199">
        <f>IFERROR(__xludf.DUMMYFUNCTION("""COMPUTED_VALUE"""),9.0)</f>
        <v>9</v>
      </c>
      <c r="M321" s="199">
        <f>IFERROR(__xludf.DUMMYFUNCTION("""COMPUTED_VALUE"""),226.2)</f>
        <v>226.2</v>
      </c>
      <c r="N321" s="199"/>
      <c r="O321" s="199"/>
      <c r="P321" s="199">
        <f>IFERROR(__xludf.DUMMYFUNCTION("""COMPUTED_VALUE"""),0.01)</f>
        <v>0.01</v>
      </c>
      <c r="Q321" s="199">
        <f>IFERROR(__xludf.DUMMYFUNCTION("""COMPUTED_VALUE"""),0.0)</f>
        <v>0</v>
      </c>
      <c r="R321" s="199">
        <f>IFERROR(__xludf.DUMMYFUNCTION("""COMPUTED_VALUE"""),1.0)</f>
        <v>1</v>
      </c>
      <c r="S321" s="199">
        <f>IFERROR(__xludf.DUMMYFUNCTION("""COMPUTED_VALUE"""),0.0)</f>
        <v>0</v>
      </c>
      <c r="T321" s="199">
        <f>IFERROR(__xludf.DUMMYFUNCTION("""COMPUTED_VALUE"""),0.0)</f>
        <v>0</v>
      </c>
      <c r="U321" s="199">
        <f>IFERROR(__xludf.DUMMYFUNCTION("""COMPUTED_VALUE"""),7.0)</f>
        <v>7</v>
      </c>
      <c r="V321" s="199">
        <f>IFERROR(__xludf.DUMMYFUNCTION("""COMPUTED_VALUE"""),0.0)</f>
        <v>0</v>
      </c>
      <c r="W321" s="199">
        <f>IFERROR(__xludf.DUMMYFUNCTION("""COMPUTED_VALUE"""),0.0)</f>
        <v>0</v>
      </c>
      <c r="X321" s="199">
        <f>IFERROR(__xludf.DUMMYFUNCTION("""COMPUTED_VALUE"""),2.0)</f>
        <v>2</v>
      </c>
      <c r="Y321" s="199">
        <f>IFERROR(__xludf.DUMMYFUNCTION("""COMPUTED_VALUE"""),0.0)</f>
        <v>0</v>
      </c>
      <c r="Z321" s="199">
        <f>IFERROR(__xludf.DUMMYFUNCTION("""COMPUTED_VALUE"""),1.0)</f>
        <v>1</v>
      </c>
      <c r="AA321" s="199">
        <f>IFERROR(__xludf.DUMMYFUNCTION("""COMPUTED_VALUE"""),0.0)</f>
        <v>0</v>
      </c>
      <c r="AB321" s="199">
        <f>IFERROR(__xludf.DUMMYFUNCTION("""COMPUTED_VALUE"""),8.0)</f>
        <v>8</v>
      </c>
      <c r="AC321" s="199">
        <f>IFERROR(__xludf.DUMMYFUNCTION("""COMPUTED_VALUE"""),8.0)</f>
        <v>8</v>
      </c>
      <c r="AD321" s="199">
        <f>IFERROR(__xludf.DUMMYFUNCTION("""COMPUTED_VALUE"""),0.0)</f>
        <v>0</v>
      </c>
      <c r="AE321" s="199">
        <f>IFERROR(__xludf.DUMMYFUNCTION("""COMPUTED_VALUE"""),46.0)</f>
        <v>46</v>
      </c>
      <c r="AF321" s="199">
        <f>IFERROR(__xludf.DUMMYFUNCTION("""COMPUTED_VALUE"""),2.0)</f>
        <v>2</v>
      </c>
      <c r="AG321" s="199">
        <f>IFERROR(__xludf.DUMMYFUNCTION("""COMPUTED_VALUE"""),517.0)</f>
        <v>517</v>
      </c>
      <c r="AH321" s="199">
        <f>IFERROR(__xludf.DUMMYFUNCTION("""COMPUTED_VALUE"""),28.0)</f>
        <v>28</v>
      </c>
      <c r="AI321" s="200" t="str">
        <f>IFERROR(__xludf.DUMMYFUNCTION("""COMPUTED_VALUE"""),"Normal")</f>
        <v>Normal</v>
      </c>
      <c r="AJ321" s="200" t="str">
        <f>IFERROR(__xludf.DUMMYFUNCTION("""COMPUTED_VALUE"""),"All parameters within acceptable limits. Continue routine monitoring.")</f>
        <v>All parameters within acceptable limits. Continue routine monitoring.</v>
      </c>
      <c r="AK321" s="204"/>
      <c r="AL321" s="204"/>
      <c r="AM321" s="204"/>
    </row>
    <row r="322" hidden="1">
      <c r="A322" s="199" t="str">
        <f>IFERROR(__xludf.DUMMYFUNCTION("""COMPUTED_VALUE"""),"342.BE050 R")</f>
        <v>342.BE050 R</v>
      </c>
      <c r="B322" s="200" t="str">
        <f>IFERROR(__xludf.DUMMYFUNCTION("""COMPUTED_VALUE"""),"Bucket Elevator GB - R")</f>
        <v>Bucket Elevator GB - R</v>
      </c>
      <c r="C322" s="199">
        <f>IFERROR(__xludf.DUMMYFUNCTION("""COMPUTED_VALUE"""),2.5180296225E10)</f>
        <v>25180296225</v>
      </c>
      <c r="D322" s="201">
        <f>IFERROR(__xludf.DUMMYFUNCTION("""COMPUTED_VALUE"""),45826.0)</f>
        <v>45826</v>
      </c>
      <c r="E322" s="202" t="str">
        <f>IFERROR(__xludf.DUMMYFUNCTION("""COMPUTED_VALUE"""),"Alert")</f>
        <v>Alert</v>
      </c>
      <c r="F322" s="202" t="str">
        <f>IFERROR(__xludf.DUMMYFUNCTION("""COMPUTED_VALUE"""),"Alert")</f>
        <v>Alert</v>
      </c>
      <c r="G322" s="203" t="str">
        <f>IFERROR(__xludf.DUMMYFUNCTION("""COMPUTED_VALUE"""),"Caution")</f>
        <v>Caution</v>
      </c>
      <c r="H322" s="203" t="str">
        <f>IFERROR(__xludf.DUMMYFUNCTION("""COMPUTED_VALUE"""),"Caution")</f>
        <v>Caution</v>
      </c>
      <c r="I322" s="37"/>
      <c r="J322" s="37"/>
      <c r="K322" s="37"/>
      <c r="L322" s="199">
        <f>IFERROR(__xludf.DUMMYFUNCTION("""COMPUTED_VALUE"""),83.0)</f>
        <v>83</v>
      </c>
      <c r="M322" s="199">
        <f>IFERROR(__xludf.DUMMYFUNCTION("""COMPUTED_VALUE"""),318.7)</f>
        <v>318.7</v>
      </c>
      <c r="N322" s="37"/>
      <c r="O322" s="37"/>
      <c r="P322" s="199">
        <f>IFERROR(__xludf.DUMMYFUNCTION("""COMPUTED_VALUE"""),0.5)</f>
        <v>0.5</v>
      </c>
      <c r="Q322" s="199">
        <f>IFERROR(__xludf.DUMMYFUNCTION("""COMPUTED_VALUE"""),0.0)</f>
        <v>0</v>
      </c>
      <c r="R322" s="199">
        <f>IFERROR(__xludf.DUMMYFUNCTION("""COMPUTED_VALUE"""),1.0)</f>
        <v>1</v>
      </c>
      <c r="S322" s="199">
        <f>IFERROR(__xludf.DUMMYFUNCTION("""COMPUTED_VALUE"""),0.0)</f>
        <v>0</v>
      </c>
      <c r="T322" s="199">
        <f>IFERROR(__xludf.DUMMYFUNCTION("""COMPUTED_VALUE"""),0.0)</f>
        <v>0</v>
      </c>
      <c r="U322" s="199">
        <f>IFERROR(__xludf.DUMMYFUNCTION("""COMPUTED_VALUE"""),206.0)</f>
        <v>206</v>
      </c>
      <c r="V322" s="199">
        <f>IFERROR(__xludf.DUMMYFUNCTION("""COMPUTED_VALUE"""),2.0)</f>
        <v>2</v>
      </c>
      <c r="W322" s="199">
        <f>IFERROR(__xludf.DUMMYFUNCTION("""COMPUTED_VALUE"""),0.0)</f>
        <v>0</v>
      </c>
      <c r="X322" s="199">
        <f>IFERROR(__xludf.DUMMYFUNCTION("""COMPUTED_VALUE"""),1.0)</f>
        <v>1</v>
      </c>
      <c r="Y322" s="199">
        <f>IFERROR(__xludf.DUMMYFUNCTION("""COMPUTED_VALUE"""),0.0)</f>
        <v>0</v>
      </c>
      <c r="Z322" s="199">
        <f>IFERROR(__xludf.DUMMYFUNCTION("""COMPUTED_VALUE"""),0.0)</f>
        <v>0</v>
      </c>
      <c r="AA322" s="199">
        <f>IFERROR(__xludf.DUMMYFUNCTION("""COMPUTED_VALUE"""),2.0)</f>
        <v>2</v>
      </c>
      <c r="AB322" s="199">
        <f>IFERROR(__xludf.DUMMYFUNCTION("""COMPUTED_VALUE"""),7.0)</f>
        <v>7</v>
      </c>
      <c r="AC322" s="199">
        <f>IFERROR(__xludf.DUMMYFUNCTION("""COMPUTED_VALUE"""),41.0)</f>
        <v>41</v>
      </c>
      <c r="AD322" s="199">
        <f>IFERROR(__xludf.DUMMYFUNCTION("""COMPUTED_VALUE"""),0.0)</f>
        <v>0</v>
      </c>
      <c r="AE322" s="199">
        <f>IFERROR(__xludf.DUMMYFUNCTION("""COMPUTED_VALUE"""),62.0)</f>
        <v>62</v>
      </c>
      <c r="AF322" s="199">
        <f>IFERROR(__xludf.DUMMYFUNCTION("""COMPUTED_VALUE"""),7.0)</f>
        <v>7</v>
      </c>
      <c r="AG322" s="199">
        <f>IFERROR(__xludf.DUMMYFUNCTION("""COMPUTED_VALUE"""),380.0)</f>
        <v>380</v>
      </c>
      <c r="AH322" s="199">
        <f>IFERROR(__xludf.DUMMYFUNCTION("""COMPUTED_VALUE"""),90.0)</f>
        <v>90</v>
      </c>
      <c r="AI322" s="200" t="str">
        <f>IFERROR(__xludf.DUMMYFUNCTION("""COMPUTED_VALUE"""),"Critical Fe / Excessive Water / TAN Elevated / Equipment Alert")</f>
        <v>Critical Fe / Excessive Water / TAN Elevated / Equipment Alert</v>
      </c>
      <c r="AJ322" s="200" t="str">
        <f>IFERROR(__xludf.DUMMYFUNCTION("""COMPUTED_VALUE"""),"ACTION REQUIRED – Fe 206 ppm (extreme), water 0.500 Vol% (excessive). TAN 1.90 mg KOH/g. PQ Index 83 – severe ferrous debris. Particle count not completed. Equipment damage very likely. Immediate shutdown and inspection required. Change oil, replace filte"&amp;"rs. Determine water source and seal condition.")</f>
        <v>ACTION REQUIRED – Fe 206 ppm (extreme), water 0.500 Vol% (excessive). TAN 1.90 mg KOH/g. PQ Index 83 – severe ferrous debris. Particle count not completed. Equipment damage very likely. Immediate shutdown and inspection required. Change oil, replace filters. Determine water source and seal condition.</v>
      </c>
      <c r="AK322" s="204"/>
      <c r="AL322" s="204"/>
      <c r="AM322" s="204"/>
    </row>
    <row r="323" hidden="1">
      <c r="A323" s="199" t="str">
        <f>IFERROR(__xludf.DUMMYFUNCTION("""COMPUTED_VALUE"""),"431.HT120(BE)")</f>
        <v>431.HT120(BE)</v>
      </c>
      <c r="B323" s="200" t="str">
        <f>IFERROR(__xludf.DUMMYFUNCTION("""COMPUTED_VALUE"""),"Hydraulic thrust bearing")</f>
        <v>Hydraulic thrust bearing</v>
      </c>
      <c r="C323" s="199">
        <f>IFERROR(__xludf.DUMMYFUNCTION("""COMPUTED_VALUE"""),2.5180296254E10)</f>
        <v>25180296254</v>
      </c>
      <c r="D323" s="201">
        <f>IFERROR(__xludf.DUMMYFUNCTION("""COMPUTED_VALUE"""),45826.0)</f>
        <v>45826</v>
      </c>
      <c r="E323" s="202" t="str">
        <f>IFERROR(__xludf.DUMMYFUNCTION("""COMPUTED_VALUE"""),"Alert")</f>
        <v>Alert</v>
      </c>
      <c r="F323" s="202" t="str">
        <f>IFERROR(__xludf.DUMMYFUNCTION("""COMPUTED_VALUE"""),"Alert")</f>
        <v>Alert</v>
      </c>
      <c r="G323" s="203" t="str">
        <f>IFERROR(__xludf.DUMMYFUNCTION("""COMPUTED_VALUE"""),"Normal")</f>
        <v>Normal</v>
      </c>
      <c r="H323" s="203" t="str">
        <f>IFERROR(__xludf.DUMMYFUNCTION("""COMPUTED_VALUE"""),"Caution")</f>
        <v>Caution</v>
      </c>
      <c r="I323" s="199"/>
      <c r="J323" s="199"/>
      <c r="K323" s="199"/>
      <c r="L323" s="199">
        <f>IFERROR(__xludf.DUMMYFUNCTION("""COMPUTED_VALUE"""),20.0)</f>
        <v>20</v>
      </c>
      <c r="M323" s="199">
        <f>IFERROR(__xludf.DUMMYFUNCTION("""COMPUTED_VALUE"""),76.0)</f>
        <v>76</v>
      </c>
      <c r="N323" s="37"/>
      <c r="O323" s="37"/>
      <c r="P323" s="199">
        <f>IFERROR(__xludf.DUMMYFUNCTION("""COMPUTED_VALUE"""),0.1)</f>
        <v>0.1</v>
      </c>
      <c r="Q323" s="199">
        <f>IFERROR(__xludf.DUMMYFUNCTION("""COMPUTED_VALUE"""),0.0)</f>
        <v>0</v>
      </c>
      <c r="R323" s="199">
        <f>IFERROR(__xludf.DUMMYFUNCTION("""COMPUTED_VALUE"""),5.0)</f>
        <v>5</v>
      </c>
      <c r="S323" s="199">
        <f>IFERROR(__xludf.DUMMYFUNCTION("""COMPUTED_VALUE"""),2.0)</f>
        <v>2</v>
      </c>
      <c r="T323" s="199">
        <f>IFERROR(__xludf.DUMMYFUNCTION("""COMPUTED_VALUE"""),1.0)</f>
        <v>1</v>
      </c>
      <c r="U323" s="199">
        <f>IFERROR(__xludf.DUMMYFUNCTION("""COMPUTED_VALUE"""),30.0)</f>
        <v>30</v>
      </c>
      <c r="V323" s="199">
        <f>IFERROR(__xludf.DUMMYFUNCTION("""COMPUTED_VALUE"""),2.0)</f>
        <v>2</v>
      </c>
      <c r="W323" s="199">
        <f>IFERROR(__xludf.DUMMYFUNCTION("""COMPUTED_VALUE"""),0.0)</f>
        <v>0</v>
      </c>
      <c r="X323" s="199">
        <f>IFERROR(__xludf.DUMMYFUNCTION("""COMPUTED_VALUE"""),2.0)</f>
        <v>2</v>
      </c>
      <c r="Y323" s="199">
        <f>IFERROR(__xludf.DUMMYFUNCTION("""COMPUTED_VALUE"""),0.0)</f>
        <v>0</v>
      </c>
      <c r="Z323" s="199">
        <f>IFERROR(__xludf.DUMMYFUNCTION("""COMPUTED_VALUE"""),1.0)</f>
        <v>1</v>
      </c>
      <c r="AA323" s="199">
        <f>IFERROR(__xludf.DUMMYFUNCTION("""COMPUTED_VALUE"""),0.0)</f>
        <v>0</v>
      </c>
      <c r="AB323" s="199">
        <f>IFERROR(__xludf.DUMMYFUNCTION("""COMPUTED_VALUE"""),6.0)</f>
        <v>6</v>
      </c>
      <c r="AC323" s="199">
        <f>IFERROR(__xludf.DUMMYFUNCTION("""COMPUTED_VALUE"""),2.0)</f>
        <v>2</v>
      </c>
      <c r="AD323" s="199">
        <f>IFERROR(__xludf.DUMMYFUNCTION("""COMPUTED_VALUE"""),0.0)</f>
        <v>0</v>
      </c>
      <c r="AE323" s="199">
        <f>IFERROR(__xludf.DUMMYFUNCTION("""COMPUTED_VALUE"""),11.0)</f>
        <v>11</v>
      </c>
      <c r="AF323" s="199">
        <f>IFERROR(__xludf.DUMMYFUNCTION("""COMPUTED_VALUE"""),1.0)</f>
        <v>1</v>
      </c>
      <c r="AG323" s="199">
        <f>IFERROR(__xludf.DUMMYFUNCTION("""COMPUTED_VALUE"""),532.0)</f>
        <v>532</v>
      </c>
      <c r="AH323" s="199">
        <f>IFERROR(__xludf.DUMMYFUNCTION("""COMPUTED_VALUE"""),590.0)</f>
        <v>590</v>
      </c>
      <c r="AI323" s="200" t="str">
        <f>IFERROR(__xludf.DUMMYFUNCTION("""COMPUTED_VALUE"""),"Elevated Fe / Water / Contamination Alert")</f>
        <v>Elevated Fe / Water / Contamination Alert</v>
      </c>
      <c r="AJ323" s="200" t="str">
        <f>IFERROR(__xludf.DUMMYFUNCTION("""COMPUTED_VALUE"""),"Fe 30 ppm, water 0.100 Vol%, Cr 2 ppm, Al 5 ppm. TAN 1.80 mg KOH/g. Inspect seals for water ingress. Check filtration. Resample after corrective action.")</f>
        <v>Fe 30 ppm, water 0.100 Vol%, Cr 2 ppm, Al 5 ppm. TAN 1.80 mg KOH/g. Inspect seals for water ingress. Check filtration. Resample after corrective action.</v>
      </c>
      <c r="AK323" s="204"/>
      <c r="AL323" s="204"/>
      <c r="AM323" s="204"/>
    </row>
    <row r="324" hidden="1">
      <c r="A324" s="199" t="str">
        <f>IFERROR(__xludf.DUMMYFUNCTION("""COMPUTED_VALUE"""),"R2.472.AC100")</f>
        <v>R2.472.AC100</v>
      </c>
      <c r="B324" s="200" t="str">
        <f>IFERROR(__xludf.DUMMYFUNCTION("""COMPUTED_VALUE"""),"Pan Conv. #2 Main drive gearbox")</f>
        <v>Pan Conv. #2 Main drive gearbox</v>
      </c>
      <c r="C324" s="199">
        <f>IFERROR(__xludf.DUMMYFUNCTION("""COMPUTED_VALUE"""),2.5175246225E10)</f>
        <v>25175246225</v>
      </c>
      <c r="D324" s="201">
        <f>IFERROR(__xludf.DUMMYFUNCTION("""COMPUTED_VALUE"""),45826.0)</f>
        <v>45826</v>
      </c>
      <c r="E324" s="202" t="str">
        <f>IFERROR(__xludf.DUMMYFUNCTION("""COMPUTED_VALUE"""),"Normal")</f>
        <v>Normal</v>
      </c>
      <c r="F324" s="202" t="str">
        <f>IFERROR(__xludf.DUMMYFUNCTION("""COMPUTED_VALUE"""),"Normal")</f>
        <v>Normal</v>
      </c>
      <c r="G324" s="203" t="str">
        <f>IFERROR(__xludf.DUMMYFUNCTION("""COMPUTED_VALUE"""),"Normal")</f>
        <v>Normal</v>
      </c>
      <c r="H324" s="203" t="str">
        <f>IFERROR(__xludf.DUMMYFUNCTION("""COMPUTED_VALUE"""),"Normal")</f>
        <v>Normal</v>
      </c>
      <c r="I324" s="199">
        <f>IFERROR(__xludf.DUMMYFUNCTION("""COMPUTED_VALUE"""),11307.0)</f>
        <v>11307</v>
      </c>
      <c r="J324" s="199">
        <f>IFERROR(__xludf.DUMMYFUNCTION("""COMPUTED_VALUE"""),6165.0)</f>
        <v>6165</v>
      </c>
      <c r="K324" s="199">
        <f>IFERROR(__xludf.DUMMYFUNCTION("""COMPUTED_VALUE"""),1169.0)</f>
        <v>1169</v>
      </c>
      <c r="L324" s="199">
        <f>IFERROR(__xludf.DUMMYFUNCTION("""COMPUTED_VALUE"""),5.0)</f>
        <v>5</v>
      </c>
      <c r="M324" s="199">
        <f>IFERROR(__xludf.DUMMYFUNCTION("""COMPUTED_VALUE"""),203.6)</f>
        <v>203.6</v>
      </c>
      <c r="N324" s="37"/>
      <c r="O324" s="37"/>
      <c r="P324" s="199">
        <f>IFERROR(__xludf.DUMMYFUNCTION("""COMPUTED_VALUE"""),0.01)</f>
        <v>0.01</v>
      </c>
      <c r="Q324" s="199">
        <f>IFERROR(__xludf.DUMMYFUNCTION("""COMPUTED_VALUE"""),0.0)</f>
        <v>0</v>
      </c>
      <c r="R324" s="199">
        <f>IFERROR(__xludf.DUMMYFUNCTION("""COMPUTED_VALUE"""),4.0)</f>
        <v>4</v>
      </c>
      <c r="S324" s="199">
        <f>IFERROR(__xludf.DUMMYFUNCTION("""COMPUTED_VALUE"""),2.0)</f>
        <v>2</v>
      </c>
      <c r="T324" s="199">
        <f>IFERROR(__xludf.DUMMYFUNCTION("""COMPUTED_VALUE"""),3.0)</f>
        <v>3</v>
      </c>
      <c r="U324" s="199">
        <f>IFERROR(__xludf.DUMMYFUNCTION("""COMPUTED_VALUE"""),26.0)</f>
        <v>26</v>
      </c>
      <c r="V324" s="199">
        <f>IFERROR(__xludf.DUMMYFUNCTION("""COMPUTED_VALUE"""),0.0)</f>
        <v>0</v>
      </c>
      <c r="W324" s="199">
        <f>IFERROR(__xludf.DUMMYFUNCTION("""COMPUTED_VALUE"""),0.0)</f>
        <v>0</v>
      </c>
      <c r="X324" s="199">
        <f>IFERROR(__xludf.DUMMYFUNCTION("""COMPUTED_VALUE"""),0.0)</f>
        <v>0</v>
      </c>
      <c r="Y324" s="199">
        <f>IFERROR(__xludf.DUMMYFUNCTION("""COMPUTED_VALUE"""),0.0)</f>
        <v>0</v>
      </c>
      <c r="Z324" s="199">
        <f>IFERROR(__xludf.DUMMYFUNCTION("""COMPUTED_VALUE"""),0.0)</f>
        <v>0</v>
      </c>
      <c r="AA324" s="199">
        <f>IFERROR(__xludf.DUMMYFUNCTION("""COMPUTED_VALUE"""),0.0)</f>
        <v>0</v>
      </c>
      <c r="AB324" s="199">
        <f>IFERROR(__xludf.DUMMYFUNCTION("""COMPUTED_VALUE"""),5.0)</f>
        <v>5</v>
      </c>
      <c r="AC324" s="199">
        <f>IFERROR(__xludf.DUMMYFUNCTION("""COMPUTED_VALUE"""),11.0)</f>
        <v>11</v>
      </c>
      <c r="AD324" s="199">
        <f>IFERROR(__xludf.DUMMYFUNCTION("""COMPUTED_VALUE"""),0.0)</f>
        <v>0</v>
      </c>
      <c r="AE324" s="199">
        <f>IFERROR(__xludf.DUMMYFUNCTION("""COMPUTED_VALUE"""),118.0)</f>
        <v>118</v>
      </c>
      <c r="AF324" s="199">
        <f>IFERROR(__xludf.DUMMYFUNCTION("""COMPUTED_VALUE"""),2.0)</f>
        <v>2</v>
      </c>
      <c r="AG324" s="199">
        <f>IFERROR(__xludf.DUMMYFUNCTION("""COMPUTED_VALUE"""),564.0)</f>
        <v>564</v>
      </c>
      <c r="AH324" s="199">
        <f>IFERROR(__xludf.DUMMYFUNCTION("""COMPUTED_VALUE"""),21.0)</f>
        <v>21</v>
      </c>
      <c r="AI324" s="200" t="str">
        <f>IFERROR(__xludf.DUMMYFUNCTION("""COMPUTED_VALUE"""),"Normal - No Action Required")</f>
        <v>Normal - No Action Required</v>
      </c>
      <c r="AJ324" s="200" t="str">
        <f>IFERROR(__xludf.DUMMYFUNCTION("""COMPUTED_VALUE"""),"Continue routine monitoring and sampling schedule")</f>
        <v>Continue routine monitoring and sampling schedule</v>
      </c>
      <c r="AK324" s="204"/>
      <c r="AL324" s="204"/>
      <c r="AM324" s="204"/>
    </row>
    <row r="325" hidden="1">
      <c r="A325" s="199" t="str">
        <f>IFERROR(__xludf.DUMMYFUNCTION("""COMPUTED_VALUE"""),"111.BC330 (R2)")</f>
        <v>111.BC330 (R2)</v>
      </c>
      <c r="B325" s="200" t="str">
        <f>IFERROR(__xludf.DUMMYFUNCTION("""COMPUTED_VALUE"""),"Belt conveyor second right Gearbox")</f>
        <v>Belt conveyor second right Gearbox</v>
      </c>
      <c r="C325" s="199">
        <f>IFERROR(__xludf.DUMMYFUNCTION("""COMPUTED_VALUE"""),2.518029625E10)</f>
        <v>25180296250</v>
      </c>
      <c r="D325" s="201">
        <f>IFERROR(__xludf.DUMMYFUNCTION("""COMPUTED_VALUE"""),45826.0)</f>
        <v>45826</v>
      </c>
      <c r="E325" s="202" t="str">
        <f>IFERROR(__xludf.DUMMYFUNCTION("""COMPUTED_VALUE"""),"Caution")</f>
        <v>Caution</v>
      </c>
      <c r="F325" s="202" t="str">
        <f>IFERROR(__xludf.DUMMYFUNCTION("""COMPUTED_VALUE"""),"Caution")</f>
        <v>Caution</v>
      </c>
      <c r="G325" s="203" t="str">
        <f>IFERROR(__xludf.DUMMYFUNCTION("""COMPUTED_VALUE"""),"Normal")</f>
        <v>Normal</v>
      </c>
      <c r="H325" s="203" t="str">
        <f>IFERROR(__xludf.DUMMYFUNCTION("""COMPUTED_VALUE"""),"Caution")</f>
        <v>Caution</v>
      </c>
      <c r="I325" s="37">
        <f>IFERROR(__xludf.DUMMYFUNCTION("""COMPUTED_VALUE"""),32917.0)</f>
        <v>32917</v>
      </c>
      <c r="J325" s="37">
        <f>IFERROR(__xludf.DUMMYFUNCTION("""COMPUTED_VALUE"""),20713.0)</f>
        <v>20713</v>
      </c>
      <c r="K325" s="37">
        <f>IFERROR(__xludf.DUMMYFUNCTION("""COMPUTED_VALUE"""),5618.0)</f>
        <v>5618</v>
      </c>
      <c r="L325" s="199">
        <f>IFERROR(__xludf.DUMMYFUNCTION("""COMPUTED_VALUE"""),12.0)</f>
        <v>12</v>
      </c>
      <c r="M325" s="199">
        <f>IFERROR(__xludf.DUMMYFUNCTION("""COMPUTED_VALUE"""),222.1)</f>
        <v>222.1</v>
      </c>
      <c r="N325" s="37"/>
      <c r="O325" s="37"/>
      <c r="P325" s="199">
        <f>IFERROR(__xludf.DUMMYFUNCTION("""COMPUTED_VALUE"""),0.06)</f>
        <v>0.06</v>
      </c>
      <c r="Q325" s="199">
        <f>IFERROR(__xludf.DUMMYFUNCTION("""COMPUTED_VALUE"""),0.0)</f>
        <v>0</v>
      </c>
      <c r="R325" s="199">
        <f>IFERROR(__xludf.DUMMYFUNCTION("""COMPUTED_VALUE"""),0.0)</f>
        <v>0</v>
      </c>
      <c r="S325" s="199">
        <f>IFERROR(__xludf.DUMMYFUNCTION("""COMPUTED_VALUE"""),0.0)</f>
        <v>0</v>
      </c>
      <c r="T325" s="199">
        <f>IFERROR(__xludf.DUMMYFUNCTION("""COMPUTED_VALUE"""),0.0)</f>
        <v>0</v>
      </c>
      <c r="U325" s="199">
        <f>IFERROR(__xludf.DUMMYFUNCTION("""COMPUTED_VALUE"""),4.0)</f>
        <v>4</v>
      </c>
      <c r="V325" s="199">
        <f>IFERROR(__xludf.DUMMYFUNCTION("""COMPUTED_VALUE"""),0.0)</f>
        <v>0</v>
      </c>
      <c r="W325" s="199">
        <f>IFERROR(__xludf.DUMMYFUNCTION("""COMPUTED_VALUE"""),0.0)</f>
        <v>0</v>
      </c>
      <c r="X325" s="199">
        <f>IFERROR(__xludf.DUMMYFUNCTION("""COMPUTED_VALUE"""),1.0)</f>
        <v>1</v>
      </c>
      <c r="Y325" s="199">
        <f>IFERROR(__xludf.DUMMYFUNCTION("""COMPUTED_VALUE"""),0.0)</f>
        <v>0</v>
      </c>
      <c r="Z325" s="199">
        <f>IFERROR(__xludf.DUMMYFUNCTION("""COMPUTED_VALUE"""),2.0)</f>
        <v>2</v>
      </c>
      <c r="AA325" s="199">
        <f>IFERROR(__xludf.DUMMYFUNCTION("""COMPUTED_VALUE"""),0.0)</f>
        <v>0</v>
      </c>
      <c r="AB325" s="199">
        <f>IFERROR(__xludf.DUMMYFUNCTION("""COMPUTED_VALUE"""),5.0)</f>
        <v>5</v>
      </c>
      <c r="AC325" s="199">
        <f>IFERROR(__xludf.DUMMYFUNCTION("""COMPUTED_VALUE"""),7.0)</f>
        <v>7</v>
      </c>
      <c r="AD325" s="199">
        <f>IFERROR(__xludf.DUMMYFUNCTION("""COMPUTED_VALUE"""),0.0)</f>
        <v>0</v>
      </c>
      <c r="AE325" s="199">
        <f>IFERROR(__xludf.DUMMYFUNCTION("""COMPUTED_VALUE"""),19.0)</f>
        <v>19</v>
      </c>
      <c r="AF325" s="199">
        <f>IFERROR(__xludf.DUMMYFUNCTION("""COMPUTED_VALUE"""),5.0)</f>
        <v>5</v>
      </c>
      <c r="AG325" s="199">
        <f>IFERROR(__xludf.DUMMYFUNCTION("""COMPUTED_VALUE"""),428.0)</f>
        <v>428</v>
      </c>
      <c r="AH325" s="199">
        <f>IFERROR(__xludf.DUMMYFUNCTION("""COMPUTED_VALUE"""),10.0)</f>
        <v>10</v>
      </c>
      <c r="AI325" s="200" t="str">
        <f>IFERROR(__xludf.DUMMYFUNCTION("""COMPUTED_VALUE"""),"Caution – High Particle Count / Water / TAN")</f>
        <v>Caution – High Particle Count / Water / TAN</v>
      </c>
      <c r="AJ325" s="200" t="str">
        <f>IFERROR(__xludf.DUMMYFUNCTION("""COMPUTED_VALUE"""),"ISO 22/22/20. Particle count 32917 @4µm. Water 0.060 Vol%. TAN 1.50 mg KOH/g. Inspect seals, breathers, fill caps. Replace filter. Resample within 30 days.")</f>
        <v>ISO 22/22/20. Particle count 32917 @4µm. Water 0.060 Vol%. TAN 1.50 mg KOH/g. Inspect seals, breathers, fill caps. Replace filter. Resample within 30 days.</v>
      </c>
      <c r="AK325" s="204"/>
      <c r="AL325" s="204"/>
      <c r="AM325" s="204"/>
    </row>
    <row r="326" hidden="1">
      <c r="A326" s="199" t="str">
        <f>IFERROR(__xludf.DUMMYFUNCTION("""COMPUTED_VALUE"""),"321.LQ145 (T)")</f>
        <v>321.LQ145 (T)</v>
      </c>
      <c r="B326" s="200" t="str">
        <f>IFERROR(__xludf.DUMMYFUNCTION("""COMPUTED_VALUE"""),"Gear lubrication pump station Tank")</f>
        <v>Gear lubrication pump station Tank</v>
      </c>
      <c r="C326" s="199">
        <f>IFERROR(__xludf.DUMMYFUNCTION("""COMPUTED_VALUE"""),2.5180296231E10)</f>
        <v>25180296231</v>
      </c>
      <c r="D326" s="201">
        <f>IFERROR(__xludf.DUMMYFUNCTION("""COMPUTED_VALUE"""),45826.0)</f>
        <v>45826</v>
      </c>
      <c r="E326" s="202" t="str">
        <f>IFERROR(__xludf.DUMMYFUNCTION("""COMPUTED_VALUE"""),"Alert")</f>
        <v>Alert</v>
      </c>
      <c r="F326" s="202" t="str">
        <f>IFERROR(__xludf.DUMMYFUNCTION("""COMPUTED_VALUE"""),"Caution")</f>
        <v>Caution</v>
      </c>
      <c r="G326" s="203" t="str">
        <f>IFERROR(__xludf.DUMMYFUNCTION("""COMPUTED_VALUE"""),"Alert")</f>
        <v>Alert</v>
      </c>
      <c r="H326" s="203" t="str">
        <f>IFERROR(__xludf.DUMMYFUNCTION("""COMPUTED_VALUE"""),"Normal")</f>
        <v>Normal</v>
      </c>
      <c r="I326" s="199"/>
      <c r="J326" s="199"/>
      <c r="K326" s="199"/>
      <c r="L326" s="199">
        <f>IFERROR(__xludf.DUMMYFUNCTION("""COMPUTED_VALUE"""),20.0)</f>
        <v>20</v>
      </c>
      <c r="M326" s="199">
        <f>IFERROR(__xludf.DUMMYFUNCTION("""COMPUTED_VALUE"""),325.7)</f>
        <v>325.7</v>
      </c>
      <c r="N326" s="37"/>
      <c r="O326" s="37">
        <f>IFERROR(__xludf.DUMMYFUNCTION("""COMPUTED_VALUE"""),3.0)</f>
        <v>3</v>
      </c>
      <c r="P326" s="199">
        <f>IFERROR(__xludf.DUMMYFUNCTION("""COMPUTED_VALUE"""),0.04)</f>
        <v>0.04</v>
      </c>
      <c r="Q326" s="199">
        <f>IFERROR(__xludf.DUMMYFUNCTION("""COMPUTED_VALUE"""),0.0)</f>
        <v>0</v>
      </c>
      <c r="R326" s="199">
        <f>IFERROR(__xludf.DUMMYFUNCTION("""COMPUTED_VALUE"""),4.0)</f>
        <v>4</v>
      </c>
      <c r="S326" s="199">
        <f>IFERROR(__xludf.DUMMYFUNCTION("""COMPUTED_VALUE"""),0.0)</f>
        <v>0</v>
      </c>
      <c r="T326" s="199">
        <f>IFERROR(__xludf.DUMMYFUNCTION("""COMPUTED_VALUE"""),1.0)</f>
        <v>1</v>
      </c>
      <c r="U326" s="199">
        <f>IFERROR(__xludf.DUMMYFUNCTION("""COMPUTED_VALUE"""),73.0)</f>
        <v>73</v>
      </c>
      <c r="V326" s="199">
        <f>IFERROR(__xludf.DUMMYFUNCTION("""COMPUTED_VALUE"""),0.0)</f>
        <v>0</v>
      </c>
      <c r="W326" s="199">
        <f>IFERROR(__xludf.DUMMYFUNCTION("""COMPUTED_VALUE"""),0.0)</f>
        <v>0</v>
      </c>
      <c r="X326" s="199">
        <f>IFERROR(__xludf.DUMMYFUNCTION("""COMPUTED_VALUE"""),1.0)</f>
        <v>1</v>
      </c>
      <c r="Y326" s="199">
        <f>IFERROR(__xludf.DUMMYFUNCTION("""COMPUTED_VALUE"""),0.0)</f>
        <v>0</v>
      </c>
      <c r="Z326" s="199">
        <f>IFERROR(__xludf.DUMMYFUNCTION("""COMPUTED_VALUE"""),0.0)</f>
        <v>0</v>
      </c>
      <c r="AA326" s="199">
        <f>IFERROR(__xludf.DUMMYFUNCTION("""COMPUTED_VALUE"""),0.0)</f>
        <v>0</v>
      </c>
      <c r="AB326" s="199">
        <f>IFERROR(__xludf.DUMMYFUNCTION("""COMPUTED_VALUE"""),2.0)</f>
        <v>2</v>
      </c>
      <c r="AC326" s="199">
        <f>IFERROR(__xludf.DUMMYFUNCTION("""COMPUTED_VALUE"""),29.0)</f>
        <v>29</v>
      </c>
      <c r="AD326" s="199">
        <f>IFERROR(__xludf.DUMMYFUNCTION("""COMPUTED_VALUE"""),0.0)</f>
        <v>0</v>
      </c>
      <c r="AE326" s="199">
        <f>IFERROR(__xludf.DUMMYFUNCTION("""COMPUTED_VALUE"""),38.0)</f>
        <v>38</v>
      </c>
      <c r="AF326" s="199">
        <f>IFERROR(__xludf.DUMMYFUNCTION("""COMPUTED_VALUE"""),9.0)</f>
        <v>9</v>
      </c>
      <c r="AG326" s="199">
        <f>IFERROR(__xludf.DUMMYFUNCTION("""COMPUTED_VALUE"""),326.0)</f>
        <v>326</v>
      </c>
      <c r="AH326" s="199">
        <f>IFERROR(__xludf.DUMMYFUNCTION("""COMPUTED_VALUE"""),53.0)</f>
        <v>53</v>
      </c>
      <c r="AI326" s="200" t="str">
        <f>IFERROR(__xludf.DUMMYFUNCTION("""COMPUTED_VALUE"""),"Alert – Critical Fe / Oxidation")</f>
        <v>Alert – Critical Fe / Oxidation</v>
      </c>
      <c r="AJ326" s="200" t="str">
        <f>IFERROR(__xludf.DUMMYFUNCTION("""COMPUTED_VALUE"""),"ACTION REQUIRED – Fe 73 ppm (critical – increasing trend), oxidation 3 Ab/cm. Cu 1 ppm, Al 4 ppm. ISO 22/21/20. Inspect equipment for wear damage. Change oil. Contact ExxonMobil representative urgently.")</f>
        <v>ACTION REQUIRED – Fe 73 ppm (critical – increasing trend), oxidation 3 Ab/cm. Cu 1 ppm, Al 4 ppm. ISO 22/21/20. Inspect equipment for wear damage. Change oil. Contact ExxonMobil representative urgently.</v>
      </c>
      <c r="AK326" s="204"/>
      <c r="AL326" s="204"/>
      <c r="AM326" s="204"/>
    </row>
    <row r="327" hidden="1">
      <c r="A327" s="199" t="str">
        <f>IFERROR(__xludf.DUMMYFUNCTION("""COMPUTED_VALUE"""),"421.HR700 (A)")</f>
        <v>421.HR700 (A)</v>
      </c>
      <c r="B327" s="200" t="str">
        <f>IFERROR(__xludf.DUMMYFUNCTION("""COMPUTED_VALUE"""),"HOTDISC Drive M02")</f>
        <v>HOTDISC Drive M02</v>
      </c>
      <c r="C327" s="199">
        <f>IFERROR(__xludf.DUMMYFUNCTION("""COMPUTED_VALUE"""),2.518029621E10)</f>
        <v>25180296210</v>
      </c>
      <c r="D327" s="201">
        <f>IFERROR(__xludf.DUMMYFUNCTION("""COMPUTED_VALUE"""),45826.0)</f>
        <v>45826</v>
      </c>
      <c r="E327" s="202" t="str">
        <f>IFERROR(__xludf.DUMMYFUNCTION("""COMPUTED_VALUE"""),"Normal")</f>
        <v>Normal</v>
      </c>
      <c r="F327" s="202" t="str">
        <f>IFERROR(__xludf.DUMMYFUNCTION("""COMPUTED_VALUE"""),"Normal")</f>
        <v>Normal</v>
      </c>
      <c r="G327" s="203" t="str">
        <f>IFERROR(__xludf.DUMMYFUNCTION("""COMPUTED_VALUE"""),"Normal")</f>
        <v>Normal</v>
      </c>
      <c r="H327" s="203" t="str">
        <f>IFERROR(__xludf.DUMMYFUNCTION("""COMPUTED_VALUE"""),"Normal")</f>
        <v>Normal</v>
      </c>
      <c r="I327" s="199">
        <f>IFERROR(__xludf.DUMMYFUNCTION("""COMPUTED_VALUE"""),23290.0)</f>
        <v>23290</v>
      </c>
      <c r="J327" s="199">
        <f>IFERROR(__xludf.DUMMYFUNCTION("""COMPUTED_VALUE"""),11087.0)</f>
        <v>11087</v>
      </c>
      <c r="K327" s="199">
        <f>IFERROR(__xludf.DUMMYFUNCTION("""COMPUTED_VALUE"""),4890.0)</f>
        <v>4890</v>
      </c>
      <c r="L327" s="199">
        <f>IFERROR(__xludf.DUMMYFUNCTION("""COMPUTED_VALUE"""),7.0)</f>
        <v>7</v>
      </c>
      <c r="M327" s="199">
        <f>IFERROR(__xludf.DUMMYFUNCTION("""COMPUTED_VALUE"""),218.7)</f>
        <v>218.7</v>
      </c>
      <c r="N327" s="37"/>
      <c r="O327" s="37"/>
      <c r="P327" s="199">
        <f>IFERROR(__xludf.DUMMYFUNCTION("""COMPUTED_VALUE"""),0.003)</f>
        <v>0.003</v>
      </c>
      <c r="Q327" s="199">
        <f>IFERROR(__xludf.DUMMYFUNCTION("""COMPUTED_VALUE"""),0.0)</f>
        <v>0</v>
      </c>
      <c r="R327" s="199">
        <f>IFERROR(__xludf.DUMMYFUNCTION("""COMPUTED_VALUE"""),2.0)</f>
        <v>2</v>
      </c>
      <c r="S327" s="199">
        <f>IFERROR(__xludf.DUMMYFUNCTION("""COMPUTED_VALUE"""),0.0)</f>
        <v>0</v>
      </c>
      <c r="T327" s="199">
        <f>IFERROR(__xludf.DUMMYFUNCTION("""COMPUTED_VALUE"""),0.0)</f>
        <v>0</v>
      </c>
      <c r="U327" s="199">
        <f>IFERROR(__xludf.DUMMYFUNCTION("""COMPUTED_VALUE"""),10.0)</f>
        <v>10</v>
      </c>
      <c r="V327" s="199">
        <f>IFERROR(__xludf.DUMMYFUNCTION("""COMPUTED_VALUE"""),0.0)</f>
        <v>0</v>
      </c>
      <c r="W327" s="199">
        <f>IFERROR(__xludf.DUMMYFUNCTION("""COMPUTED_VALUE"""),0.0)</f>
        <v>0</v>
      </c>
      <c r="X327" s="199">
        <f>IFERROR(__xludf.DUMMYFUNCTION("""COMPUTED_VALUE"""),1.0)</f>
        <v>1</v>
      </c>
      <c r="Y327" s="199">
        <f>IFERROR(__xludf.DUMMYFUNCTION("""COMPUTED_VALUE"""),0.0)</f>
        <v>0</v>
      </c>
      <c r="Z327" s="199">
        <f>IFERROR(__xludf.DUMMYFUNCTION("""COMPUTED_VALUE"""),0.0)</f>
        <v>0</v>
      </c>
      <c r="AA327" s="199">
        <f>IFERROR(__xludf.DUMMYFUNCTION("""COMPUTED_VALUE"""),0.0)</f>
        <v>0</v>
      </c>
      <c r="AB327" s="199">
        <f>IFERROR(__xludf.DUMMYFUNCTION("""COMPUTED_VALUE"""),2.0)</f>
        <v>2</v>
      </c>
      <c r="AC327" s="199">
        <f>IFERROR(__xludf.DUMMYFUNCTION("""COMPUTED_VALUE"""),24.0)</f>
        <v>24</v>
      </c>
      <c r="AD327" s="199">
        <f>IFERROR(__xludf.DUMMYFUNCTION("""COMPUTED_VALUE"""),0.0)</f>
        <v>0</v>
      </c>
      <c r="AE327" s="199">
        <f>IFERROR(__xludf.DUMMYFUNCTION("""COMPUTED_VALUE"""),45.0)</f>
        <v>45</v>
      </c>
      <c r="AF327" s="199">
        <f>IFERROR(__xludf.DUMMYFUNCTION("""COMPUTED_VALUE"""),2.0)</f>
        <v>2</v>
      </c>
      <c r="AG327" s="199">
        <f>IFERROR(__xludf.DUMMYFUNCTION("""COMPUTED_VALUE"""),422.0)</f>
        <v>422</v>
      </c>
      <c r="AH327" s="199">
        <f>IFERROR(__xludf.DUMMYFUNCTION("""COMPUTED_VALUE"""),9.0)</f>
        <v>9</v>
      </c>
      <c r="AI327" s="200" t="str">
        <f>IFERROR(__xludf.DUMMYFUNCTION("""COMPUTED_VALUE"""),"Normal")</f>
        <v>Normal</v>
      </c>
      <c r="AJ327" s="200" t="str">
        <f>IFERROR(__xludf.DUMMYFUNCTION("""COMPUTED_VALUE"""),"ISO Code 22/21/19. All parameters within acceptable limits. Continue routine monitoring.")</f>
        <v>ISO Code 22/21/19. All parameters within acceptable limits. Continue routine monitoring.</v>
      </c>
      <c r="AK327" s="204"/>
      <c r="AL327" s="204"/>
      <c r="AM327" s="204"/>
    </row>
    <row r="328" hidden="1">
      <c r="A328" s="199" t="str">
        <f>IFERROR(__xludf.DUMMYFUNCTION("""COMPUTED_VALUE"""),"431.MD140 (N31)")</f>
        <v>431.MD140 (N31)</v>
      </c>
      <c r="B328" s="200" t="str">
        <f>IFERROR(__xludf.DUMMYFUNCTION("""COMPUTED_VALUE"""),"Kiln Main drive gearbox W.S side")</f>
        <v>Kiln Main drive gearbox W.S side</v>
      </c>
      <c r="C328" s="199">
        <f>IFERROR(__xludf.DUMMYFUNCTION("""COMPUTED_VALUE"""),2.5180296251E10)</f>
        <v>25180296251</v>
      </c>
      <c r="D328" s="201">
        <f>IFERROR(__xludf.DUMMYFUNCTION("""COMPUTED_VALUE"""),45826.0)</f>
        <v>45826</v>
      </c>
      <c r="E328" s="202" t="str">
        <f>IFERROR(__xludf.DUMMYFUNCTION("""COMPUTED_VALUE"""),"Normal")</f>
        <v>Normal</v>
      </c>
      <c r="F328" s="202" t="str">
        <f>IFERROR(__xludf.DUMMYFUNCTION("""COMPUTED_VALUE"""),"Normal")</f>
        <v>Normal</v>
      </c>
      <c r="G328" s="203" t="str">
        <f>IFERROR(__xludf.DUMMYFUNCTION("""COMPUTED_VALUE"""),"Normal")</f>
        <v>Normal</v>
      </c>
      <c r="H328" s="203" t="str">
        <f>IFERROR(__xludf.DUMMYFUNCTION("""COMPUTED_VALUE"""),"Normal")</f>
        <v>Normal</v>
      </c>
      <c r="I328" s="199">
        <f>IFERROR(__xludf.DUMMYFUNCTION("""COMPUTED_VALUE"""),39625.0)</f>
        <v>39625</v>
      </c>
      <c r="J328" s="199">
        <f>IFERROR(__xludf.DUMMYFUNCTION("""COMPUTED_VALUE"""),29071.0)</f>
        <v>29071</v>
      </c>
      <c r="K328" s="199">
        <f>IFERROR(__xludf.DUMMYFUNCTION("""COMPUTED_VALUE"""),10032.0)</f>
        <v>10032</v>
      </c>
      <c r="L328" s="199">
        <f>IFERROR(__xludf.DUMMYFUNCTION("""COMPUTED_VALUE"""),12.0)</f>
        <v>12</v>
      </c>
      <c r="M328" s="199">
        <f>IFERROR(__xludf.DUMMYFUNCTION("""COMPUTED_VALUE"""),298.4)</f>
        <v>298.4</v>
      </c>
      <c r="N328" s="37"/>
      <c r="O328" s="37">
        <f>IFERROR(__xludf.DUMMYFUNCTION("""COMPUTED_VALUE"""),1.0)</f>
        <v>1</v>
      </c>
      <c r="P328" s="199">
        <f>IFERROR(__xludf.DUMMYFUNCTION("""COMPUTED_VALUE"""),0.04)</f>
        <v>0.04</v>
      </c>
      <c r="Q328" s="199">
        <f>IFERROR(__xludf.DUMMYFUNCTION("""COMPUTED_VALUE"""),0.0)</f>
        <v>0</v>
      </c>
      <c r="R328" s="199">
        <f>IFERROR(__xludf.DUMMYFUNCTION("""COMPUTED_VALUE"""),0.0)</f>
        <v>0</v>
      </c>
      <c r="S328" s="199">
        <f>IFERROR(__xludf.DUMMYFUNCTION("""COMPUTED_VALUE"""),0.0)</f>
        <v>0</v>
      </c>
      <c r="T328" s="199">
        <f>IFERROR(__xludf.DUMMYFUNCTION("""COMPUTED_VALUE"""),0.0)</f>
        <v>0</v>
      </c>
      <c r="U328" s="199">
        <f>IFERROR(__xludf.DUMMYFUNCTION("""COMPUTED_VALUE"""),13.0)</f>
        <v>13</v>
      </c>
      <c r="V328" s="199">
        <f>IFERROR(__xludf.DUMMYFUNCTION("""COMPUTED_VALUE"""),0.0)</f>
        <v>0</v>
      </c>
      <c r="W328" s="199">
        <f>IFERROR(__xludf.DUMMYFUNCTION("""COMPUTED_VALUE"""),0.0)</f>
        <v>0</v>
      </c>
      <c r="X328" s="199">
        <f>IFERROR(__xludf.DUMMYFUNCTION("""COMPUTED_VALUE"""),1.0)</f>
        <v>1</v>
      </c>
      <c r="Y328" s="199">
        <f>IFERROR(__xludf.DUMMYFUNCTION("""COMPUTED_VALUE"""),0.0)</f>
        <v>0</v>
      </c>
      <c r="Z328" s="199">
        <f>IFERROR(__xludf.DUMMYFUNCTION("""COMPUTED_VALUE"""),0.0)</f>
        <v>0</v>
      </c>
      <c r="AA328" s="199">
        <f>IFERROR(__xludf.DUMMYFUNCTION("""COMPUTED_VALUE"""),0.0)</f>
        <v>0</v>
      </c>
      <c r="AB328" s="199">
        <f>IFERROR(__xludf.DUMMYFUNCTION("""COMPUTED_VALUE"""),2.0)</f>
        <v>2</v>
      </c>
      <c r="AC328" s="199">
        <f>IFERROR(__xludf.DUMMYFUNCTION("""COMPUTED_VALUE"""),25.0)</f>
        <v>25</v>
      </c>
      <c r="AD328" s="199">
        <f>IFERROR(__xludf.DUMMYFUNCTION("""COMPUTED_VALUE"""),0.0)</f>
        <v>0</v>
      </c>
      <c r="AE328" s="199">
        <f>IFERROR(__xludf.DUMMYFUNCTION("""COMPUTED_VALUE"""),19.0)</f>
        <v>19</v>
      </c>
      <c r="AF328" s="199">
        <f>IFERROR(__xludf.DUMMYFUNCTION("""COMPUTED_VALUE"""),2.0)</f>
        <v>2</v>
      </c>
      <c r="AG328" s="199">
        <f>IFERROR(__xludf.DUMMYFUNCTION("""COMPUTED_VALUE"""),352.0)</f>
        <v>352</v>
      </c>
      <c r="AH328" s="199">
        <f>IFERROR(__xludf.DUMMYFUNCTION("""COMPUTED_VALUE"""),21.0)</f>
        <v>21</v>
      </c>
      <c r="AI328" s="200" t="str">
        <f>IFERROR(__xludf.DUMMYFUNCTION("""COMPUTED_VALUE"""),"Normal")</f>
        <v>Normal</v>
      </c>
      <c r="AJ328" s="200" t="str">
        <f>IFERROR(__xludf.DUMMYFUNCTION("""COMPUTED_VALUE"""),"ISO Code 22/21/20. All parameters within acceptable limits. Continue routine monitoring.")</f>
        <v>ISO Code 22/21/20. All parameters within acceptable limits. Continue routine monitoring.</v>
      </c>
      <c r="AK328" s="204"/>
      <c r="AL328" s="204"/>
      <c r="AM328" s="204"/>
    </row>
    <row r="329" hidden="1">
      <c r="A329" s="199" t="str">
        <f>IFERROR(__xludf.DUMMYFUNCTION("""COMPUTED_VALUE"""),"431.MD140 (N32)")</f>
        <v>431.MD140 (N32)</v>
      </c>
      <c r="B329" s="200" t="str">
        <f>IFERROR(__xludf.DUMMYFUNCTION("""COMPUTED_VALUE"""),"Kiln Main drive gearbox CCR side")</f>
        <v>Kiln Main drive gearbox CCR side</v>
      </c>
      <c r="C329" s="199">
        <f>IFERROR(__xludf.DUMMYFUNCTION("""COMPUTED_VALUE"""),2.5175246228E10)</f>
        <v>25175246228</v>
      </c>
      <c r="D329" s="201">
        <f>IFERROR(__xludf.DUMMYFUNCTION("""COMPUTED_VALUE"""),45826.0)</f>
        <v>45826</v>
      </c>
      <c r="E329" s="202" t="str">
        <f>IFERROR(__xludf.DUMMYFUNCTION("""COMPUTED_VALUE"""),"Caution")</f>
        <v>Caution</v>
      </c>
      <c r="F329" s="202" t="str">
        <f>IFERROR(__xludf.DUMMYFUNCTION("""COMPUTED_VALUE"""),"Caution")</f>
        <v>Caution</v>
      </c>
      <c r="G329" s="203" t="str">
        <f>IFERROR(__xludf.DUMMYFUNCTION("""COMPUTED_VALUE"""),"Normal")</f>
        <v>Normal</v>
      </c>
      <c r="H329" s="203" t="str">
        <f>IFERROR(__xludf.DUMMYFUNCTION("""COMPUTED_VALUE"""),"Normal")</f>
        <v>Normal</v>
      </c>
      <c r="I329" s="37"/>
      <c r="J329" s="37"/>
      <c r="K329" s="37"/>
      <c r="L329" s="199">
        <f>IFERROR(__xludf.DUMMYFUNCTION("""COMPUTED_VALUE"""),19.0)</f>
        <v>19</v>
      </c>
      <c r="M329" s="199">
        <f>IFERROR(__xludf.DUMMYFUNCTION("""COMPUTED_VALUE"""),313.9)</f>
        <v>313.9</v>
      </c>
      <c r="N329" s="37"/>
      <c r="O329" s="37">
        <f>IFERROR(__xludf.DUMMYFUNCTION("""COMPUTED_VALUE"""),1.0)</f>
        <v>1</v>
      </c>
      <c r="P329" s="199">
        <f>IFERROR(__xludf.DUMMYFUNCTION("""COMPUTED_VALUE"""),0.05)</f>
        <v>0.05</v>
      </c>
      <c r="Q329" s="199">
        <f>IFERROR(__xludf.DUMMYFUNCTION("""COMPUTED_VALUE"""),0.0)</f>
        <v>0</v>
      </c>
      <c r="R329" s="199">
        <f>IFERROR(__xludf.DUMMYFUNCTION("""COMPUTED_VALUE"""),4.0)</f>
        <v>4</v>
      </c>
      <c r="S329" s="199">
        <f>IFERROR(__xludf.DUMMYFUNCTION("""COMPUTED_VALUE"""),2.0)</f>
        <v>2</v>
      </c>
      <c r="T329" s="199">
        <f>IFERROR(__xludf.DUMMYFUNCTION("""COMPUTED_VALUE"""),1.0)</f>
        <v>1</v>
      </c>
      <c r="U329" s="199">
        <f>IFERROR(__xludf.DUMMYFUNCTION("""COMPUTED_VALUE"""),20.0)</f>
        <v>20</v>
      </c>
      <c r="V329" s="199">
        <f>IFERROR(__xludf.DUMMYFUNCTION("""COMPUTED_VALUE"""),0.0)</f>
        <v>0</v>
      </c>
      <c r="W329" s="199">
        <f>IFERROR(__xludf.DUMMYFUNCTION("""COMPUTED_VALUE"""),0.0)</f>
        <v>0</v>
      </c>
      <c r="X329" s="199">
        <f>IFERROR(__xludf.DUMMYFUNCTION("""COMPUTED_VALUE"""),0.0)</f>
        <v>0</v>
      </c>
      <c r="Y329" s="199">
        <f>IFERROR(__xludf.DUMMYFUNCTION("""COMPUTED_VALUE"""),0.0)</f>
        <v>0</v>
      </c>
      <c r="Z329" s="199">
        <f>IFERROR(__xludf.DUMMYFUNCTION("""COMPUTED_VALUE"""),2.0)</f>
        <v>2</v>
      </c>
      <c r="AA329" s="199">
        <f>IFERROR(__xludf.DUMMYFUNCTION("""COMPUTED_VALUE"""),0.0)</f>
        <v>0</v>
      </c>
      <c r="AB329" s="199">
        <f>IFERROR(__xludf.DUMMYFUNCTION("""COMPUTED_VALUE"""),9.0)</f>
        <v>9</v>
      </c>
      <c r="AC329" s="199">
        <f>IFERROR(__xludf.DUMMYFUNCTION("""COMPUTED_VALUE"""),21.0)</f>
        <v>21</v>
      </c>
      <c r="AD329" s="199">
        <f>IFERROR(__xludf.DUMMYFUNCTION("""COMPUTED_VALUE"""),0.0)</f>
        <v>0</v>
      </c>
      <c r="AE329" s="199">
        <f>IFERROR(__xludf.DUMMYFUNCTION("""COMPUTED_VALUE"""),23.0)</f>
        <v>23</v>
      </c>
      <c r="AF329" s="199">
        <f>IFERROR(__xludf.DUMMYFUNCTION("""COMPUTED_VALUE"""),3.0)</f>
        <v>3</v>
      </c>
      <c r="AG329" s="199">
        <f>IFERROR(__xludf.DUMMYFUNCTION("""COMPUTED_VALUE"""),459.0)</f>
        <v>459</v>
      </c>
      <c r="AH329" s="199">
        <f>IFERROR(__xludf.DUMMYFUNCTION("""COMPUTED_VALUE"""),0.0)</f>
        <v>0</v>
      </c>
      <c r="AI329" s="200" t="str">
        <f>IFERROR(__xludf.DUMMYFUNCTION("""COMPUTED_VALUE"""),"Caution – Elevated Fe / Si / Contamination")</f>
        <v>Caution – Elevated Fe / Si / Contamination</v>
      </c>
      <c r="AJ329" s="200" t="str">
        <f>IFERROR(__xludf.DUMMYFUNCTION("""COMPUTED_VALUE"""),"Fe 20 ppm, Si 9 ppm, Cr 2 ppm. Oxidation 1 Ab/cm. Water 0.050 Vol%. Monitor wear trend. Inspect filtration. Resample within 45 days.")</f>
        <v>Fe 20 ppm, Si 9 ppm, Cr 2 ppm. Oxidation 1 Ab/cm. Water 0.050 Vol%. Monitor wear trend. Inspect filtration. Resample within 45 days.</v>
      </c>
      <c r="AK329" s="204"/>
      <c r="AL329" s="204"/>
      <c r="AM329" s="204"/>
    </row>
    <row r="330" hidden="1">
      <c r="A330" s="199" t="str">
        <f>IFERROR(__xludf.DUMMYFUNCTION("""COMPUTED_VALUE"""),"R2.322.LQ145 (T)")</f>
        <v>R2.322.LQ145 (T)</v>
      </c>
      <c r="B330" s="200" t="str">
        <f>IFERROR(__xludf.DUMMYFUNCTION("""COMPUTED_VALUE"""),"Mill2 gear Lub pump station tank")</f>
        <v>Mill2 gear Lub pump station tank</v>
      </c>
      <c r="C330" s="199">
        <f>IFERROR(__xludf.DUMMYFUNCTION("""COMPUTED_VALUE"""),2.5180296217E10)</f>
        <v>25180296217</v>
      </c>
      <c r="D330" s="201">
        <f>IFERROR(__xludf.DUMMYFUNCTION("""COMPUTED_VALUE"""),45826.0)</f>
        <v>45826</v>
      </c>
      <c r="E330" s="202" t="str">
        <f>IFERROR(__xludf.DUMMYFUNCTION("""COMPUTED_VALUE"""),"Normal")</f>
        <v>Normal</v>
      </c>
      <c r="F330" s="202" t="str">
        <f>IFERROR(__xludf.DUMMYFUNCTION("""COMPUTED_VALUE"""),"Normal")</f>
        <v>Normal</v>
      </c>
      <c r="G330" s="203" t="str">
        <f>IFERROR(__xludf.DUMMYFUNCTION("""COMPUTED_VALUE"""),"Normal")</f>
        <v>Normal</v>
      </c>
      <c r="H330" s="203" t="str">
        <f>IFERROR(__xludf.DUMMYFUNCTION("""COMPUTED_VALUE"""),"Normal")</f>
        <v>Normal</v>
      </c>
      <c r="I330" s="37">
        <f>IFERROR(__xludf.DUMMYFUNCTION("""COMPUTED_VALUE"""),29321.0)</f>
        <v>29321</v>
      </c>
      <c r="J330" s="37">
        <f>IFERROR(__xludf.DUMMYFUNCTION("""COMPUTED_VALUE"""),21007.0)</f>
        <v>21007</v>
      </c>
      <c r="K330" s="37">
        <f>IFERROR(__xludf.DUMMYFUNCTION("""COMPUTED_VALUE"""),9610.0)</f>
        <v>9610</v>
      </c>
      <c r="L330" s="199">
        <f>IFERROR(__xludf.DUMMYFUNCTION("""COMPUTED_VALUE"""),10.0)</f>
        <v>10</v>
      </c>
      <c r="M330" s="199">
        <f>IFERROR(__xludf.DUMMYFUNCTION("""COMPUTED_VALUE"""),280.6)</f>
        <v>280.6</v>
      </c>
      <c r="N330" s="37"/>
      <c r="O330" s="37">
        <f>IFERROR(__xludf.DUMMYFUNCTION("""COMPUTED_VALUE"""),0.0)</f>
        <v>0</v>
      </c>
      <c r="P330" s="199">
        <f>IFERROR(__xludf.DUMMYFUNCTION("""COMPUTED_VALUE"""),0.03)</f>
        <v>0.03</v>
      </c>
      <c r="Q330" s="199">
        <f>IFERROR(__xludf.DUMMYFUNCTION("""COMPUTED_VALUE"""),0.0)</f>
        <v>0</v>
      </c>
      <c r="R330" s="199">
        <f>IFERROR(__xludf.DUMMYFUNCTION("""COMPUTED_VALUE"""),3.0)</f>
        <v>3</v>
      </c>
      <c r="S330" s="199">
        <f>IFERROR(__xludf.DUMMYFUNCTION("""COMPUTED_VALUE"""),1.0)</f>
        <v>1</v>
      </c>
      <c r="T330" s="199">
        <f>IFERROR(__xludf.DUMMYFUNCTION("""COMPUTED_VALUE"""),3.0)</f>
        <v>3</v>
      </c>
      <c r="U330" s="199">
        <f>IFERROR(__xludf.DUMMYFUNCTION("""COMPUTED_VALUE"""),10.0)</f>
        <v>10</v>
      </c>
      <c r="V330" s="199">
        <f>IFERROR(__xludf.DUMMYFUNCTION("""COMPUTED_VALUE"""),0.0)</f>
        <v>0</v>
      </c>
      <c r="W330" s="199">
        <f>IFERROR(__xludf.DUMMYFUNCTION("""COMPUTED_VALUE"""),0.0)</f>
        <v>0</v>
      </c>
      <c r="X330" s="199">
        <f>IFERROR(__xludf.DUMMYFUNCTION("""COMPUTED_VALUE"""),1.0)</f>
        <v>1</v>
      </c>
      <c r="Y330" s="199">
        <f>IFERROR(__xludf.DUMMYFUNCTION("""COMPUTED_VALUE"""),0.0)</f>
        <v>0</v>
      </c>
      <c r="Z330" s="199">
        <f>IFERROR(__xludf.DUMMYFUNCTION("""COMPUTED_VALUE"""),0.0)</f>
        <v>0</v>
      </c>
      <c r="AA330" s="199">
        <f>IFERROR(__xludf.DUMMYFUNCTION("""COMPUTED_VALUE"""),3.0)</f>
        <v>3</v>
      </c>
      <c r="AB330" s="199">
        <f>IFERROR(__xludf.DUMMYFUNCTION("""COMPUTED_VALUE"""),1.0)</f>
        <v>1</v>
      </c>
      <c r="AC330" s="199">
        <f>IFERROR(__xludf.DUMMYFUNCTION("""COMPUTED_VALUE"""),14.0)</f>
        <v>14</v>
      </c>
      <c r="AD330" s="199">
        <f>IFERROR(__xludf.DUMMYFUNCTION("""COMPUTED_VALUE"""),0.0)</f>
        <v>0</v>
      </c>
      <c r="AE330" s="199">
        <f>IFERROR(__xludf.DUMMYFUNCTION("""COMPUTED_VALUE"""),59.0)</f>
        <v>59</v>
      </c>
      <c r="AF330" s="199">
        <f>IFERROR(__xludf.DUMMYFUNCTION("""COMPUTED_VALUE"""),2.0)</f>
        <v>2</v>
      </c>
      <c r="AG330" s="199">
        <f>IFERROR(__xludf.DUMMYFUNCTION("""COMPUTED_VALUE"""),386.0)</f>
        <v>386</v>
      </c>
      <c r="AH330" s="199">
        <f>IFERROR(__xludf.DUMMYFUNCTION("""COMPUTED_VALUE"""),61.0)</f>
        <v>61</v>
      </c>
      <c r="AI330" s="200" t="str">
        <f>IFERROR(__xludf.DUMMYFUNCTION("""COMPUTED_VALUE"""),"Normal - No Action Required")</f>
        <v>Normal - No Action Required</v>
      </c>
      <c r="AJ330" s="200" t="str">
        <f>IFERROR(__xludf.DUMMYFUNCTION("""COMPUTED_VALUE"""),"Continue routine monitoring and sampling schedule")</f>
        <v>Continue routine monitoring and sampling schedule</v>
      </c>
      <c r="AK330" s="204"/>
      <c r="AL330" s="204"/>
      <c r="AM330" s="204"/>
    </row>
    <row r="331" hidden="1">
      <c r="A331" s="199" t="str">
        <f>IFERROR(__xludf.DUMMYFUNCTION("""COMPUTED_VALUE"""),"111.BC330 (R1)")</f>
        <v>111.BC330 (R1)</v>
      </c>
      <c r="B331" s="200" t="str">
        <f>IFERROR(__xludf.DUMMYFUNCTION("""COMPUTED_VALUE"""),"Belt conveyor first right Gearbox")</f>
        <v>Belt conveyor first right Gearbox</v>
      </c>
      <c r="C331" s="199">
        <f>IFERROR(__xludf.DUMMYFUNCTION("""COMPUTED_VALUE"""),2.518029623E10)</f>
        <v>25180296230</v>
      </c>
      <c r="D331" s="201">
        <f>IFERROR(__xludf.DUMMYFUNCTION("""COMPUTED_VALUE"""),45826.0)</f>
        <v>45826</v>
      </c>
      <c r="E331" s="202" t="str">
        <f>IFERROR(__xludf.DUMMYFUNCTION("""COMPUTED_VALUE"""),"Caution")</f>
        <v>Caution</v>
      </c>
      <c r="F331" s="202" t="str">
        <f>IFERROR(__xludf.DUMMYFUNCTION("""COMPUTED_VALUE"""),"Caution")</f>
        <v>Caution</v>
      </c>
      <c r="G331" s="203" t="str">
        <f>IFERROR(__xludf.DUMMYFUNCTION("""COMPUTED_VALUE"""),"Normal")</f>
        <v>Normal</v>
      </c>
      <c r="H331" s="203" t="str">
        <f>IFERROR(__xludf.DUMMYFUNCTION("""COMPUTED_VALUE"""),"Caution")</f>
        <v>Caution</v>
      </c>
      <c r="I331" s="199"/>
      <c r="J331" s="199"/>
      <c r="K331" s="199"/>
      <c r="L331" s="199">
        <f>IFERROR(__xludf.DUMMYFUNCTION("""COMPUTED_VALUE"""),12.0)</f>
        <v>12</v>
      </c>
      <c r="M331" s="199">
        <f>IFERROR(__xludf.DUMMYFUNCTION("""COMPUTED_VALUE"""),225.7)</f>
        <v>225.7</v>
      </c>
      <c r="N331" s="37"/>
      <c r="O331" s="37"/>
      <c r="P331" s="199">
        <f>IFERROR(__xludf.DUMMYFUNCTION("""COMPUTED_VALUE"""),0.05)</f>
        <v>0.05</v>
      </c>
      <c r="Q331" s="199">
        <f>IFERROR(__xludf.DUMMYFUNCTION("""COMPUTED_VALUE"""),0.0)</f>
        <v>0</v>
      </c>
      <c r="R331" s="199">
        <f>IFERROR(__xludf.DUMMYFUNCTION("""COMPUTED_VALUE"""),0.0)</f>
        <v>0</v>
      </c>
      <c r="S331" s="199">
        <f>IFERROR(__xludf.DUMMYFUNCTION("""COMPUTED_VALUE"""),0.0)</f>
        <v>0</v>
      </c>
      <c r="T331" s="199">
        <f>IFERROR(__xludf.DUMMYFUNCTION("""COMPUTED_VALUE"""),0.0)</f>
        <v>0</v>
      </c>
      <c r="U331" s="199">
        <f>IFERROR(__xludf.DUMMYFUNCTION("""COMPUTED_VALUE"""),3.0)</f>
        <v>3</v>
      </c>
      <c r="V331" s="199">
        <f>IFERROR(__xludf.DUMMYFUNCTION("""COMPUTED_VALUE"""),0.0)</f>
        <v>0</v>
      </c>
      <c r="W331" s="199">
        <f>IFERROR(__xludf.DUMMYFUNCTION("""COMPUTED_VALUE"""),0.0)</f>
        <v>0</v>
      </c>
      <c r="X331" s="199">
        <f>IFERROR(__xludf.DUMMYFUNCTION("""COMPUTED_VALUE"""),1.0)</f>
        <v>1</v>
      </c>
      <c r="Y331" s="199">
        <f>IFERROR(__xludf.DUMMYFUNCTION("""COMPUTED_VALUE"""),0.0)</f>
        <v>0</v>
      </c>
      <c r="Z331" s="199">
        <f>IFERROR(__xludf.DUMMYFUNCTION("""COMPUTED_VALUE"""),0.0)</f>
        <v>0</v>
      </c>
      <c r="AA331" s="199">
        <f>IFERROR(__xludf.DUMMYFUNCTION("""COMPUTED_VALUE"""),0.0)</f>
        <v>0</v>
      </c>
      <c r="AB331" s="199">
        <f>IFERROR(__xludf.DUMMYFUNCTION("""COMPUTED_VALUE"""),5.0)</f>
        <v>5</v>
      </c>
      <c r="AC331" s="199">
        <f>IFERROR(__xludf.DUMMYFUNCTION("""COMPUTED_VALUE"""),9.0)</f>
        <v>9</v>
      </c>
      <c r="AD331" s="199">
        <f>IFERROR(__xludf.DUMMYFUNCTION("""COMPUTED_VALUE"""),0.0)</f>
        <v>0</v>
      </c>
      <c r="AE331" s="199">
        <f>IFERROR(__xludf.DUMMYFUNCTION("""COMPUTED_VALUE"""),29.0)</f>
        <v>29</v>
      </c>
      <c r="AF331" s="199">
        <f>IFERROR(__xludf.DUMMYFUNCTION("""COMPUTED_VALUE"""),2.0)</f>
        <v>2</v>
      </c>
      <c r="AG331" s="199">
        <f>IFERROR(__xludf.DUMMYFUNCTION("""COMPUTED_VALUE"""),469.0)</f>
        <v>469</v>
      </c>
      <c r="AH331" s="199">
        <f>IFERROR(__xludf.DUMMYFUNCTION("""COMPUTED_VALUE"""),4.0)</f>
        <v>4</v>
      </c>
      <c r="AI331" s="200" t="str">
        <f>IFERROR(__xludf.DUMMYFUNCTION("""COMPUTED_VALUE"""),"Caution – Water / TAN Elevated")</f>
        <v>Caution – Water / TAN Elevated</v>
      </c>
      <c r="AJ331" s="200" t="str">
        <f>IFERROR(__xludf.DUMMYFUNCTION("""COMPUTED_VALUE"""),"Water 0.050 Vol%. TAN 1.50 mg KOH/g. Monitor trend. Inspect seals. Resample within 45 days.")</f>
        <v>Water 0.050 Vol%. TAN 1.50 mg KOH/g. Monitor trend. Inspect seals. Resample within 45 days.</v>
      </c>
      <c r="AK331" s="204"/>
      <c r="AL331" s="204"/>
      <c r="AM331" s="204"/>
    </row>
    <row r="332" hidden="1">
      <c r="A332" s="199" t="str">
        <f>IFERROR(__xludf.DUMMYFUNCTION("""COMPUTED_VALUE"""),"123.BC100")</f>
        <v>123.BC100</v>
      </c>
      <c r="B332" s="200" t="str">
        <f>IFERROR(__xludf.DUMMYFUNCTION("""COMPUTED_VALUE"""),"Belt conveyor Gearbox")</f>
        <v>Belt conveyor Gearbox</v>
      </c>
      <c r="C332" s="199">
        <f>IFERROR(__xludf.DUMMYFUNCTION("""COMPUTED_VALUE"""),2.5175246241E10)</f>
        <v>25175246241</v>
      </c>
      <c r="D332" s="201">
        <f>IFERROR(__xludf.DUMMYFUNCTION("""COMPUTED_VALUE"""),45826.0)</f>
        <v>45826</v>
      </c>
      <c r="E332" s="202" t="str">
        <f>IFERROR(__xludf.DUMMYFUNCTION("""COMPUTED_VALUE"""),"Normal")</f>
        <v>Normal</v>
      </c>
      <c r="F332" s="202" t="str">
        <f>IFERROR(__xludf.DUMMYFUNCTION("""COMPUTED_VALUE"""),"Normal")</f>
        <v>Normal</v>
      </c>
      <c r="G332" s="203" t="str">
        <f>IFERROR(__xludf.DUMMYFUNCTION("""COMPUTED_VALUE"""),"Normal")</f>
        <v>Normal</v>
      </c>
      <c r="H332" s="203" t="str">
        <f>IFERROR(__xludf.DUMMYFUNCTION("""COMPUTED_VALUE"""),"Normal")</f>
        <v>Normal</v>
      </c>
      <c r="I332" s="199">
        <f>IFERROR(__xludf.DUMMYFUNCTION("""COMPUTED_VALUE"""),32681.0)</f>
        <v>32681</v>
      </c>
      <c r="J332" s="199">
        <f>IFERROR(__xludf.DUMMYFUNCTION("""COMPUTED_VALUE"""),23007.0)</f>
        <v>23007</v>
      </c>
      <c r="K332" s="199">
        <f>IFERROR(__xludf.DUMMYFUNCTION("""COMPUTED_VALUE"""),5166.0)</f>
        <v>5166</v>
      </c>
      <c r="L332" s="199">
        <f>IFERROR(__xludf.DUMMYFUNCTION("""COMPUTED_VALUE"""),5.0)</f>
        <v>5</v>
      </c>
      <c r="M332" s="199">
        <f>IFERROR(__xludf.DUMMYFUNCTION("""COMPUTED_VALUE"""),227.3)</f>
        <v>227.3</v>
      </c>
      <c r="N332" s="37"/>
      <c r="O332" s="37"/>
      <c r="P332" s="199">
        <f>IFERROR(__xludf.DUMMYFUNCTION("""COMPUTED_VALUE"""),0.01)</f>
        <v>0.01</v>
      </c>
      <c r="Q332" s="199">
        <f>IFERROR(__xludf.DUMMYFUNCTION("""COMPUTED_VALUE"""),0.0)</f>
        <v>0</v>
      </c>
      <c r="R332" s="199">
        <f>IFERROR(__xludf.DUMMYFUNCTION("""COMPUTED_VALUE"""),5.0)</f>
        <v>5</v>
      </c>
      <c r="S332" s="199">
        <f>IFERROR(__xludf.DUMMYFUNCTION("""COMPUTED_VALUE"""),2.0)</f>
        <v>2</v>
      </c>
      <c r="T332" s="199">
        <f>IFERROR(__xludf.DUMMYFUNCTION("""COMPUTED_VALUE"""),0.0)</f>
        <v>0</v>
      </c>
      <c r="U332" s="199">
        <f>IFERROR(__xludf.DUMMYFUNCTION("""COMPUTED_VALUE"""),6.0)</f>
        <v>6</v>
      </c>
      <c r="V332" s="199">
        <f>IFERROR(__xludf.DUMMYFUNCTION("""COMPUTED_VALUE"""),0.0)</f>
        <v>0</v>
      </c>
      <c r="W332" s="199">
        <f>IFERROR(__xludf.DUMMYFUNCTION("""COMPUTED_VALUE"""),0.0)</f>
        <v>0</v>
      </c>
      <c r="X332" s="199">
        <f>IFERROR(__xludf.DUMMYFUNCTION("""COMPUTED_VALUE"""),0.0)</f>
        <v>0</v>
      </c>
      <c r="Y332" s="199">
        <f>IFERROR(__xludf.DUMMYFUNCTION("""COMPUTED_VALUE"""),0.0)</f>
        <v>0</v>
      </c>
      <c r="Z332" s="199">
        <f>IFERROR(__xludf.DUMMYFUNCTION("""COMPUTED_VALUE"""),0.0)</f>
        <v>0</v>
      </c>
      <c r="AA332" s="199">
        <f>IFERROR(__xludf.DUMMYFUNCTION("""COMPUTED_VALUE"""),0.0)</f>
        <v>0</v>
      </c>
      <c r="AB332" s="199">
        <f>IFERROR(__xludf.DUMMYFUNCTION("""COMPUTED_VALUE"""),28.0)</f>
        <v>28</v>
      </c>
      <c r="AC332" s="199">
        <f>IFERROR(__xludf.DUMMYFUNCTION("""COMPUTED_VALUE"""),12.0)</f>
        <v>12</v>
      </c>
      <c r="AD332" s="199">
        <f>IFERROR(__xludf.DUMMYFUNCTION("""COMPUTED_VALUE"""),0.0)</f>
        <v>0</v>
      </c>
      <c r="AE332" s="199">
        <f>IFERROR(__xludf.DUMMYFUNCTION("""COMPUTED_VALUE"""),13.0)</f>
        <v>13</v>
      </c>
      <c r="AF332" s="199">
        <f>IFERROR(__xludf.DUMMYFUNCTION("""COMPUTED_VALUE"""),2.0)</f>
        <v>2</v>
      </c>
      <c r="AG332" s="199">
        <f>IFERROR(__xludf.DUMMYFUNCTION("""COMPUTED_VALUE"""),307.0)</f>
        <v>307</v>
      </c>
      <c r="AH332" s="199">
        <f>IFERROR(__xludf.DUMMYFUNCTION("""COMPUTED_VALUE"""),2.0)</f>
        <v>2</v>
      </c>
      <c r="AI332" s="200" t="str">
        <f>IFERROR(__xludf.DUMMYFUNCTION("""COMPUTED_VALUE"""),"Normal")</f>
        <v>Normal</v>
      </c>
      <c r="AJ332" s="200" t="str">
        <f>IFERROR(__xludf.DUMMYFUNCTION("""COMPUTED_VALUE"""),"ISO Code 22/22/20. All parameters within acceptable limits. Si 28 ppm – monitor trend. Continue routine monitoring.")</f>
        <v>ISO Code 22/22/20. All parameters within acceptable limits. Si 28 ppm – monitor trend. Continue routine monitoring.</v>
      </c>
      <c r="AK332" s="204"/>
      <c r="AL332" s="204"/>
      <c r="AM332" s="204"/>
    </row>
    <row r="333" hidden="1">
      <c r="A333" s="199" t="str">
        <f>IFERROR(__xludf.DUMMYFUNCTION("""COMPUTED_VALUE"""),"131.BC100")</f>
        <v>131.BC100</v>
      </c>
      <c r="B333" s="200" t="str">
        <f>IFERROR(__xludf.DUMMYFUNCTION("""COMPUTED_VALUE"""),"Belt Conveyor Gearbox")</f>
        <v>Belt Conveyor Gearbox</v>
      </c>
      <c r="C333" s="199">
        <f>IFERROR(__xludf.DUMMYFUNCTION("""COMPUTED_VALUE"""),2.5180296215E10)</f>
        <v>25180296215</v>
      </c>
      <c r="D333" s="201">
        <f>IFERROR(__xludf.DUMMYFUNCTION("""COMPUTED_VALUE"""),45826.0)</f>
        <v>45826</v>
      </c>
      <c r="E333" s="202" t="str">
        <f>IFERROR(__xludf.DUMMYFUNCTION("""COMPUTED_VALUE"""),"Normal")</f>
        <v>Normal</v>
      </c>
      <c r="F333" s="202" t="str">
        <f>IFERROR(__xludf.DUMMYFUNCTION("""COMPUTED_VALUE"""),"Normal")</f>
        <v>Normal</v>
      </c>
      <c r="G333" s="203" t="str">
        <f>IFERROR(__xludf.DUMMYFUNCTION("""COMPUTED_VALUE"""),"Normal")</f>
        <v>Normal</v>
      </c>
      <c r="H333" s="203" t="str">
        <f>IFERROR(__xludf.DUMMYFUNCTION("""COMPUTED_VALUE"""),"Normal")</f>
        <v>Normal</v>
      </c>
      <c r="I333" s="199">
        <f>IFERROR(__xludf.DUMMYFUNCTION("""COMPUTED_VALUE"""),32976.0)</f>
        <v>32976</v>
      </c>
      <c r="J333" s="199">
        <f>IFERROR(__xludf.DUMMYFUNCTION("""COMPUTED_VALUE"""),21733.0)</f>
        <v>21733</v>
      </c>
      <c r="K333" s="37">
        <f>IFERROR(__xludf.DUMMYFUNCTION("""COMPUTED_VALUE"""),9610.0)</f>
        <v>9610</v>
      </c>
      <c r="L333" s="199">
        <f>IFERROR(__xludf.DUMMYFUNCTION("""COMPUTED_VALUE"""),12.0)</f>
        <v>12</v>
      </c>
      <c r="M333" s="199">
        <f>IFERROR(__xludf.DUMMYFUNCTION("""COMPUTED_VALUE"""),193.1)</f>
        <v>193.1</v>
      </c>
      <c r="N333" s="37"/>
      <c r="O333" s="37"/>
      <c r="P333" s="199">
        <f>IFERROR(__xludf.DUMMYFUNCTION("""COMPUTED_VALUE"""),0.02)</f>
        <v>0.02</v>
      </c>
      <c r="Q333" s="199">
        <f>IFERROR(__xludf.DUMMYFUNCTION("""COMPUTED_VALUE"""),0.0)</f>
        <v>0</v>
      </c>
      <c r="R333" s="199">
        <f>IFERROR(__xludf.DUMMYFUNCTION("""COMPUTED_VALUE"""),1.0)</f>
        <v>1</v>
      </c>
      <c r="S333" s="199">
        <f>IFERROR(__xludf.DUMMYFUNCTION("""COMPUTED_VALUE"""),0.0)</f>
        <v>0</v>
      </c>
      <c r="T333" s="199">
        <f>IFERROR(__xludf.DUMMYFUNCTION("""COMPUTED_VALUE"""),0.0)</f>
        <v>0</v>
      </c>
      <c r="U333" s="199">
        <f>IFERROR(__xludf.DUMMYFUNCTION("""COMPUTED_VALUE"""),18.0)</f>
        <v>18</v>
      </c>
      <c r="V333" s="199">
        <f>IFERROR(__xludf.DUMMYFUNCTION("""COMPUTED_VALUE"""),0.0)</f>
        <v>0</v>
      </c>
      <c r="W333" s="199">
        <f>IFERROR(__xludf.DUMMYFUNCTION("""COMPUTED_VALUE"""),0.0)</f>
        <v>0</v>
      </c>
      <c r="X333" s="199">
        <f>IFERROR(__xludf.DUMMYFUNCTION("""COMPUTED_VALUE"""),1.0)</f>
        <v>1</v>
      </c>
      <c r="Y333" s="199">
        <f>IFERROR(__xludf.DUMMYFUNCTION("""COMPUTED_VALUE"""),0.0)</f>
        <v>0</v>
      </c>
      <c r="Z333" s="199">
        <f>IFERROR(__xludf.DUMMYFUNCTION("""COMPUTED_VALUE"""),0.0)</f>
        <v>0</v>
      </c>
      <c r="AA333" s="199">
        <f>IFERROR(__xludf.DUMMYFUNCTION("""COMPUTED_VALUE"""),0.0)</f>
        <v>0</v>
      </c>
      <c r="AB333" s="199">
        <f>IFERROR(__xludf.DUMMYFUNCTION("""COMPUTED_VALUE"""),5.0)</f>
        <v>5</v>
      </c>
      <c r="AC333" s="199">
        <f>IFERROR(__xludf.DUMMYFUNCTION("""COMPUTED_VALUE"""),35.0)</f>
        <v>35</v>
      </c>
      <c r="AD333" s="199">
        <f>IFERROR(__xludf.DUMMYFUNCTION("""COMPUTED_VALUE"""),0.0)</f>
        <v>0</v>
      </c>
      <c r="AE333" s="199">
        <f>IFERROR(__xludf.DUMMYFUNCTION("""COMPUTED_VALUE"""),58.0)</f>
        <v>58</v>
      </c>
      <c r="AF333" s="199">
        <f>IFERROR(__xludf.DUMMYFUNCTION("""COMPUTED_VALUE"""),2.0)</f>
        <v>2</v>
      </c>
      <c r="AG333" s="199">
        <f>IFERROR(__xludf.DUMMYFUNCTION("""COMPUTED_VALUE"""),436.0)</f>
        <v>436</v>
      </c>
      <c r="AH333" s="199">
        <f>IFERROR(__xludf.DUMMYFUNCTION("""COMPUTED_VALUE"""),17.0)</f>
        <v>17</v>
      </c>
      <c r="AI333" s="200" t="str">
        <f>IFERROR(__xludf.DUMMYFUNCTION("""COMPUTED_VALUE"""),"Normal - No Action Required")</f>
        <v>Normal - No Action Required</v>
      </c>
      <c r="AJ333" s="200" t="str">
        <f>IFERROR(__xludf.DUMMYFUNCTION("""COMPUTED_VALUE"""),"Continue routine monitoring and sampling schedule")</f>
        <v>Continue routine monitoring and sampling schedule</v>
      </c>
      <c r="AK333" s="204"/>
      <c r="AL333" s="204"/>
      <c r="AM333" s="204"/>
    </row>
    <row r="334" hidden="1">
      <c r="A334" s="199" t="str">
        <f>IFERROR(__xludf.DUMMYFUNCTION("""COMPUTED_VALUE"""),"131.ST200 (HY)")</f>
        <v>131.ST200 (HY)</v>
      </c>
      <c r="B334" s="200" t="str">
        <f>IFERROR(__xludf.DUMMYFUNCTION("""COMPUTED_VALUE"""),"Jib arm Hydraulic Pump Station")</f>
        <v>Jib arm Hydraulic Pump Station</v>
      </c>
      <c r="C334" s="199">
        <f>IFERROR(__xludf.DUMMYFUNCTION("""COMPUTED_VALUE"""),2.5180296202E10)</f>
        <v>25180296202</v>
      </c>
      <c r="D334" s="201">
        <f>IFERROR(__xludf.DUMMYFUNCTION("""COMPUTED_VALUE"""),45826.0)</f>
        <v>45826</v>
      </c>
      <c r="E334" s="202" t="str">
        <f>IFERROR(__xludf.DUMMYFUNCTION("""COMPUTED_VALUE"""),"Caution")</f>
        <v>Caution</v>
      </c>
      <c r="F334" s="202" t="str">
        <f>IFERROR(__xludf.DUMMYFUNCTION("""COMPUTED_VALUE"""),"Caution")</f>
        <v>Caution</v>
      </c>
      <c r="G334" s="203" t="str">
        <f>IFERROR(__xludf.DUMMYFUNCTION("""COMPUTED_VALUE"""),"Normal")</f>
        <v>Normal</v>
      </c>
      <c r="H334" s="203" t="str">
        <f>IFERROR(__xludf.DUMMYFUNCTION("""COMPUTED_VALUE"""),"Normal")</f>
        <v>Normal</v>
      </c>
      <c r="I334" s="199"/>
      <c r="J334" s="199"/>
      <c r="K334" s="199"/>
      <c r="L334" s="199">
        <f>IFERROR(__xludf.DUMMYFUNCTION("""COMPUTED_VALUE"""),14.0)</f>
        <v>14</v>
      </c>
      <c r="M334" s="199">
        <f>IFERROR(__xludf.DUMMYFUNCTION("""COMPUTED_VALUE"""),47.1)</f>
        <v>47.1</v>
      </c>
      <c r="N334" s="199"/>
      <c r="O334" s="199">
        <f>IFERROR(__xludf.DUMMYFUNCTION("""COMPUTED_VALUE"""),0.0)</f>
        <v>0</v>
      </c>
      <c r="P334" s="199">
        <f>IFERROR(__xludf.DUMMYFUNCTION("""COMPUTED_VALUE"""),0.02)</f>
        <v>0.02</v>
      </c>
      <c r="Q334" s="199">
        <f>IFERROR(__xludf.DUMMYFUNCTION("""COMPUTED_VALUE"""),0.0)</f>
        <v>0</v>
      </c>
      <c r="R334" s="199">
        <f>IFERROR(__xludf.DUMMYFUNCTION("""COMPUTED_VALUE"""),1.0)</f>
        <v>1</v>
      </c>
      <c r="S334" s="199">
        <f>IFERROR(__xludf.DUMMYFUNCTION("""COMPUTED_VALUE"""),0.0)</f>
        <v>0</v>
      </c>
      <c r="T334" s="199">
        <f>IFERROR(__xludf.DUMMYFUNCTION("""COMPUTED_VALUE"""),0.0)</f>
        <v>0</v>
      </c>
      <c r="U334" s="199">
        <f>IFERROR(__xludf.DUMMYFUNCTION("""COMPUTED_VALUE"""),7.0)</f>
        <v>7</v>
      </c>
      <c r="V334" s="199">
        <f>IFERROR(__xludf.DUMMYFUNCTION("""COMPUTED_VALUE"""),0.0)</f>
        <v>0</v>
      </c>
      <c r="W334" s="199">
        <f>IFERROR(__xludf.DUMMYFUNCTION("""COMPUTED_VALUE"""),0.0)</f>
        <v>0</v>
      </c>
      <c r="X334" s="199">
        <f>IFERROR(__xludf.DUMMYFUNCTION("""COMPUTED_VALUE"""),1.0)</f>
        <v>1</v>
      </c>
      <c r="Y334" s="199">
        <f>IFERROR(__xludf.DUMMYFUNCTION("""COMPUTED_VALUE"""),0.0)</f>
        <v>0</v>
      </c>
      <c r="Z334" s="199">
        <f>IFERROR(__xludf.DUMMYFUNCTION("""COMPUTED_VALUE"""),0.0)</f>
        <v>0</v>
      </c>
      <c r="AA334" s="199">
        <f>IFERROR(__xludf.DUMMYFUNCTION("""COMPUTED_VALUE"""),0.0)</f>
        <v>0</v>
      </c>
      <c r="AB334" s="199">
        <f>IFERROR(__xludf.DUMMYFUNCTION("""COMPUTED_VALUE"""),2.0)</f>
        <v>2</v>
      </c>
      <c r="AC334" s="199">
        <f>IFERROR(__xludf.DUMMYFUNCTION("""COMPUTED_VALUE"""),5.0)</f>
        <v>5</v>
      </c>
      <c r="AD334" s="199">
        <f>IFERROR(__xludf.DUMMYFUNCTION("""COMPUTED_VALUE"""),0.0)</f>
        <v>0</v>
      </c>
      <c r="AE334" s="199">
        <f>IFERROR(__xludf.DUMMYFUNCTION("""COMPUTED_VALUE"""),127.0)</f>
        <v>127</v>
      </c>
      <c r="AF334" s="199">
        <f>IFERROR(__xludf.DUMMYFUNCTION("""COMPUTED_VALUE"""),2.0)</f>
        <v>2</v>
      </c>
      <c r="AG334" s="199">
        <f>IFERROR(__xludf.DUMMYFUNCTION("""COMPUTED_VALUE"""),301.0)</f>
        <v>301</v>
      </c>
      <c r="AH334" s="199">
        <f>IFERROR(__xludf.DUMMYFUNCTION("""COMPUTED_VALUE"""),382.0)</f>
        <v>382</v>
      </c>
      <c r="AI334" s="200" t="str">
        <f>IFERROR(__xludf.DUMMYFUNCTION("""COMPUTED_VALUE"""),"General Caution")</f>
        <v>General Caution</v>
      </c>
      <c r="AJ334" s="200" t="str">
        <f>IFERROR(__xludf.DUMMYFUNCTION("""COMPUTED_VALUE"""),"Continue monitoring; resample at next scheduled interval")</f>
        <v>Continue monitoring; resample at next scheduled interval</v>
      </c>
      <c r="AK334" s="204"/>
      <c r="AL334" s="204"/>
      <c r="AM334" s="204"/>
    </row>
    <row r="335" hidden="1">
      <c r="A335" s="199" t="str">
        <f>IFERROR(__xludf.DUMMYFUNCTION("""COMPUTED_VALUE"""),"261.SH050 (T)")</f>
        <v>261.SH050 (T)</v>
      </c>
      <c r="B335" s="200" t="str">
        <f>IFERROR(__xludf.DUMMYFUNCTION("""COMPUTED_VALUE"""),"Shredder - Hydraulic Sys.")</f>
        <v>Shredder - Hydraulic Sys.</v>
      </c>
      <c r="C335" s="199">
        <f>IFERROR(__xludf.DUMMYFUNCTION("""COMPUTED_VALUE"""),2.5180296214E10)</f>
        <v>25180296214</v>
      </c>
      <c r="D335" s="201">
        <f>IFERROR(__xludf.DUMMYFUNCTION("""COMPUTED_VALUE"""),45826.0)</f>
        <v>45826</v>
      </c>
      <c r="E335" s="202" t="str">
        <f>IFERROR(__xludf.DUMMYFUNCTION("""COMPUTED_VALUE"""),"Alert")</f>
        <v>Alert</v>
      </c>
      <c r="F335" s="202" t="str">
        <f>IFERROR(__xludf.DUMMYFUNCTION("""COMPUTED_VALUE"""),"Alert")</f>
        <v>Alert</v>
      </c>
      <c r="G335" s="203" t="str">
        <f>IFERROR(__xludf.DUMMYFUNCTION("""COMPUTED_VALUE"""),"Normal")</f>
        <v>Normal</v>
      </c>
      <c r="H335" s="203" t="str">
        <f>IFERROR(__xludf.DUMMYFUNCTION("""COMPUTED_VALUE"""),"Normal")</f>
        <v>Normal</v>
      </c>
      <c r="I335" s="199"/>
      <c r="J335" s="199"/>
      <c r="K335" s="199"/>
      <c r="L335" s="199">
        <f>IFERROR(__xludf.DUMMYFUNCTION("""COMPUTED_VALUE"""),25.0)</f>
        <v>25</v>
      </c>
      <c r="M335" s="199">
        <f>IFERROR(__xludf.DUMMYFUNCTION("""COMPUTED_VALUE"""),45.3)</f>
        <v>45.3</v>
      </c>
      <c r="N335" s="199"/>
      <c r="O335" s="199">
        <f>IFERROR(__xludf.DUMMYFUNCTION("""COMPUTED_VALUE"""),0.0)</f>
        <v>0</v>
      </c>
      <c r="P335" s="199">
        <f>IFERROR(__xludf.DUMMYFUNCTION("""COMPUTED_VALUE"""),0.3)</f>
        <v>0.3</v>
      </c>
      <c r="Q335" s="199">
        <f>IFERROR(__xludf.DUMMYFUNCTION("""COMPUTED_VALUE"""),0.0)</f>
        <v>0</v>
      </c>
      <c r="R335" s="199">
        <f>IFERROR(__xludf.DUMMYFUNCTION("""COMPUTED_VALUE"""),6.0)</f>
        <v>6</v>
      </c>
      <c r="S335" s="199">
        <f>IFERROR(__xludf.DUMMYFUNCTION("""COMPUTED_VALUE"""),0.0)</f>
        <v>0</v>
      </c>
      <c r="T335" s="199">
        <f>IFERROR(__xludf.DUMMYFUNCTION("""COMPUTED_VALUE"""),10.0)</f>
        <v>10</v>
      </c>
      <c r="U335" s="199">
        <f>IFERROR(__xludf.DUMMYFUNCTION("""COMPUTED_VALUE"""),26.0)</f>
        <v>26</v>
      </c>
      <c r="V335" s="199">
        <f>IFERROR(__xludf.DUMMYFUNCTION("""COMPUTED_VALUE"""),0.0)</f>
        <v>0</v>
      </c>
      <c r="W335" s="199">
        <f>IFERROR(__xludf.DUMMYFUNCTION("""COMPUTED_VALUE"""),0.0)</f>
        <v>0</v>
      </c>
      <c r="X335" s="199">
        <f>IFERROR(__xludf.DUMMYFUNCTION("""COMPUTED_VALUE"""),1.0)</f>
        <v>1</v>
      </c>
      <c r="Y335" s="199">
        <f>IFERROR(__xludf.DUMMYFUNCTION("""COMPUTED_VALUE"""),0.0)</f>
        <v>0</v>
      </c>
      <c r="Z335" s="199">
        <f>IFERROR(__xludf.DUMMYFUNCTION("""COMPUTED_VALUE"""),0.0)</f>
        <v>0</v>
      </c>
      <c r="AA335" s="199">
        <f>IFERROR(__xludf.DUMMYFUNCTION("""COMPUTED_VALUE"""),0.0)</f>
        <v>0</v>
      </c>
      <c r="AB335" s="199">
        <f>IFERROR(__xludf.DUMMYFUNCTION("""COMPUTED_VALUE"""),3.0)</f>
        <v>3</v>
      </c>
      <c r="AC335" s="199">
        <f>IFERROR(__xludf.DUMMYFUNCTION("""COMPUTED_VALUE"""),5.0)</f>
        <v>5</v>
      </c>
      <c r="AD335" s="199">
        <f>IFERROR(__xludf.DUMMYFUNCTION("""COMPUTED_VALUE"""),0.0)</f>
        <v>0</v>
      </c>
      <c r="AE335" s="199">
        <f>IFERROR(__xludf.DUMMYFUNCTION("""COMPUTED_VALUE"""),87.0)</f>
        <v>87</v>
      </c>
      <c r="AF335" s="199">
        <f>IFERROR(__xludf.DUMMYFUNCTION("""COMPUTED_VALUE"""),2.0)</f>
        <v>2</v>
      </c>
      <c r="AG335" s="199">
        <f>IFERROR(__xludf.DUMMYFUNCTION("""COMPUTED_VALUE"""),301.0)</f>
        <v>301</v>
      </c>
      <c r="AH335" s="199">
        <f>IFERROR(__xludf.DUMMYFUNCTION("""COMPUTED_VALUE"""),475.0)</f>
        <v>475</v>
      </c>
      <c r="AI335" s="200" t="str">
        <f>IFERROR(__xludf.DUMMYFUNCTION("""COMPUTED_VALUE"""),"Water Ingress")</f>
        <v>Water Ingress</v>
      </c>
      <c r="AJ335" s="200" t="str">
        <f>IFERROR(__xludf.DUMMYFUNCTION("""COMPUTED_VALUE"""),"High water contamination - check seals and drain water immediately")</f>
        <v>High water contamination - check seals and drain water immediately</v>
      </c>
      <c r="AK335" s="204"/>
      <c r="AL335" s="204"/>
      <c r="AM335" s="204"/>
    </row>
    <row r="336" hidden="1">
      <c r="A336" s="199" t="str">
        <f>IFERROR(__xludf.DUMMYFUNCTION("""COMPUTED_VALUE"""),"321.HY110")</f>
        <v>321.HY110</v>
      </c>
      <c r="B336" s="200" t="str">
        <f>IFERROR(__xludf.DUMMYFUNCTION("""COMPUTED_VALUE"""),"Hydraulic tensioning system for mill")</f>
        <v>Hydraulic tensioning system for mill</v>
      </c>
      <c r="C336" s="199">
        <f>IFERROR(__xludf.DUMMYFUNCTION("""COMPUTED_VALUE"""),2.5180296216E10)</f>
        <v>25180296216</v>
      </c>
      <c r="D336" s="201">
        <f>IFERROR(__xludf.DUMMYFUNCTION("""COMPUTED_VALUE"""),45826.0)</f>
        <v>45826</v>
      </c>
      <c r="E336" s="202" t="str">
        <f>IFERROR(__xludf.DUMMYFUNCTION("""COMPUTED_VALUE"""),"Caution")</f>
        <v>Caution</v>
      </c>
      <c r="F336" s="202" t="str">
        <f>IFERROR(__xludf.DUMMYFUNCTION("""COMPUTED_VALUE"""),"Caution")</f>
        <v>Caution</v>
      </c>
      <c r="G336" s="203" t="str">
        <f>IFERROR(__xludf.DUMMYFUNCTION("""COMPUTED_VALUE"""),"Caution")</f>
        <v>Caution</v>
      </c>
      <c r="H336" s="203" t="str">
        <f>IFERROR(__xludf.DUMMYFUNCTION("""COMPUTED_VALUE"""),"Normal")</f>
        <v>Normal</v>
      </c>
      <c r="I336" s="37"/>
      <c r="J336" s="37"/>
      <c r="K336" s="37"/>
      <c r="L336" s="199">
        <f>IFERROR(__xludf.DUMMYFUNCTION("""COMPUTED_VALUE"""),34.0)</f>
        <v>34</v>
      </c>
      <c r="M336" s="199">
        <f>IFERROR(__xludf.DUMMYFUNCTION("""COMPUTED_VALUE"""),47.7)</f>
        <v>47.7</v>
      </c>
      <c r="N336" s="37"/>
      <c r="O336" s="37">
        <f>IFERROR(__xludf.DUMMYFUNCTION("""COMPUTED_VALUE"""),0.0)</f>
        <v>0</v>
      </c>
      <c r="P336" s="199">
        <f>IFERROR(__xludf.DUMMYFUNCTION("""COMPUTED_VALUE"""),0.05)</f>
        <v>0.05</v>
      </c>
      <c r="Q336" s="199">
        <f>IFERROR(__xludf.DUMMYFUNCTION("""COMPUTED_VALUE"""),0.0)</f>
        <v>0</v>
      </c>
      <c r="R336" s="199">
        <f>IFERROR(__xludf.DUMMYFUNCTION("""COMPUTED_VALUE"""),0.0)</f>
        <v>0</v>
      </c>
      <c r="S336" s="199">
        <f>IFERROR(__xludf.DUMMYFUNCTION("""COMPUTED_VALUE"""),2.0)</f>
        <v>2</v>
      </c>
      <c r="T336" s="199">
        <f>IFERROR(__xludf.DUMMYFUNCTION("""COMPUTED_VALUE"""),6.0)</f>
        <v>6</v>
      </c>
      <c r="U336" s="199">
        <f>IFERROR(__xludf.DUMMYFUNCTION("""COMPUTED_VALUE"""),26.0)</f>
        <v>26</v>
      </c>
      <c r="V336" s="199">
        <f>IFERROR(__xludf.DUMMYFUNCTION("""COMPUTED_VALUE"""),0.0)</f>
        <v>0</v>
      </c>
      <c r="W336" s="199">
        <f>IFERROR(__xludf.DUMMYFUNCTION("""COMPUTED_VALUE"""),0.0)</f>
        <v>0</v>
      </c>
      <c r="X336" s="199">
        <f>IFERROR(__xludf.DUMMYFUNCTION("""COMPUTED_VALUE"""),1.0)</f>
        <v>1</v>
      </c>
      <c r="Y336" s="199">
        <f>IFERROR(__xludf.DUMMYFUNCTION("""COMPUTED_VALUE"""),0.0)</f>
        <v>0</v>
      </c>
      <c r="Z336" s="199">
        <f>IFERROR(__xludf.DUMMYFUNCTION("""COMPUTED_VALUE"""),0.0)</f>
        <v>0</v>
      </c>
      <c r="AA336" s="199">
        <f>IFERROR(__xludf.DUMMYFUNCTION("""COMPUTED_VALUE"""),0.0)</f>
        <v>0</v>
      </c>
      <c r="AB336" s="199">
        <f>IFERROR(__xludf.DUMMYFUNCTION("""COMPUTED_VALUE"""),3.0)</f>
        <v>3</v>
      </c>
      <c r="AC336" s="199">
        <f>IFERROR(__xludf.DUMMYFUNCTION("""COMPUTED_VALUE"""),5.0)</f>
        <v>5</v>
      </c>
      <c r="AD336" s="199">
        <f>IFERROR(__xludf.DUMMYFUNCTION("""COMPUTED_VALUE"""),0.0)</f>
        <v>0</v>
      </c>
      <c r="AE336" s="199">
        <f>IFERROR(__xludf.DUMMYFUNCTION("""COMPUTED_VALUE"""),106.0)</f>
        <v>106</v>
      </c>
      <c r="AF336" s="199">
        <f>IFERROR(__xludf.DUMMYFUNCTION("""COMPUTED_VALUE"""),2.0)</f>
        <v>2</v>
      </c>
      <c r="AG336" s="199">
        <f>IFERROR(__xludf.DUMMYFUNCTION("""COMPUTED_VALUE"""),344.0)</f>
        <v>344</v>
      </c>
      <c r="AH336" s="199">
        <f>IFERROR(__xludf.DUMMYFUNCTION("""COMPUTED_VALUE"""),541.0)</f>
        <v>541</v>
      </c>
      <c r="AI336" s="200" t="str">
        <f>IFERROR(__xludf.DUMMYFUNCTION("""COMPUTED_VALUE"""),"Wear Metal Caution")</f>
        <v>Wear Metal Caution</v>
      </c>
      <c r="AJ336" s="200" t="str">
        <f>IFERROR(__xludf.DUMMYFUNCTION("""COMPUTED_VALUE"""),"Monitor closely - inspect at next planned maintenance")</f>
        <v>Monitor closely - inspect at next planned maintenance</v>
      </c>
      <c r="AK336" s="204"/>
      <c r="AL336" s="204"/>
      <c r="AM336" s="204"/>
    </row>
    <row r="337" hidden="1">
      <c r="A337" s="199" t="str">
        <f>IFERROR(__xludf.DUMMYFUNCTION("""COMPUTED_VALUE"""),"321.LQ120 (T)")</f>
        <v>321.LQ120 (T)</v>
      </c>
      <c r="B337" s="200" t="str">
        <f>IFERROR(__xludf.DUMMYFUNCTION("""COMPUTED_VALUE"""),"Roller Lubrication Unit (Tank)")</f>
        <v>Roller Lubrication Unit (Tank)</v>
      </c>
      <c r="C337" s="199">
        <f>IFERROR(__xludf.DUMMYFUNCTION("""COMPUTED_VALUE"""),2.5180296222E10)</f>
        <v>25180296222</v>
      </c>
      <c r="D337" s="201">
        <f>IFERROR(__xludf.DUMMYFUNCTION("""COMPUTED_VALUE"""),45826.0)</f>
        <v>45826</v>
      </c>
      <c r="E337" s="202" t="str">
        <f>IFERROR(__xludf.DUMMYFUNCTION("""COMPUTED_VALUE"""),"Normal")</f>
        <v>Normal</v>
      </c>
      <c r="F337" s="202" t="str">
        <f>IFERROR(__xludf.DUMMYFUNCTION("""COMPUTED_VALUE"""),"Normal")</f>
        <v>Normal</v>
      </c>
      <c r="G337" s="203" t="str">
        <f>IFERROR(__xludf.DUMMYFUNCTION("""COMPUTED_VALUE"""),"Normal")</f>
        <v>Normal</v>
      </c>
      <c r="H337" s="203" t="str">
        <f>IFERROR(__xludf.DUMMYFUNCTION("""COMPUTED_VALUE"""),"Normal")</f>
        <v>Normal</v>
      </c>
      <c r="I337" s="37"/>
      <c r="J337" s="37"/>
      <c r="K337" s="37"/>
      <c r="L337" s="199">
        <f>IFERROR(__xludf.DUMMYFUNCTION("""COMPUTED_VALUE"""),10.0)</f>
        <v>10</v>
      </c>
      <c r="M337" s="199">
        <f>IFERROR(__xludf.DUMMYFUNCTION("""COMPUTED_VALUE"""),94.7)</f>
        <v>94.7</v>
      </c>
      <c r="N337" s="37"/>
      <c r="O337" s="37"/>
      <c r="P337" s="199">
        <f>IFERROR(__xludf.DUMMYFUNCTION("""COMPUTED_VALUE"""),0.003)</f>
        <v>0.003</v>
      </c>
      <c r="Q337" s="199">
        <f>IFERROR(__xludf.DUMMYFUNCTION("""COMPUTED_VALUE"""),0.0)</f>
        <v>0</v>
      </c>
      <c r="R337" s="199">
        <f>IFERROR(__xludf.DUMMYFUNCTION("""COMPUTED_VALUE"""),0.0)</f>
        <v>0</v>
      </c>
      <c r="S337" s="199">
        <f>IFERROR(__xludf.DUMMYFUNCTION("""COMPUTED_VALUE"""),0.0)</f>
        <v>0</v>
      </c>
      <c r="T337" s="199">
        <f>IFERROR(__xludf.DUMMYFUNCTION("""COMPUTED_VALUE"""),0.0)</f>
        <v>0</v>
      </c>
      <c r="U337" s="199">
        <f>IFERROR(__xludf.DUMMYFUNCTION("""COMPUTED_VALUE"""),19.0)</f>
        <v>19</v>
      </c>
      <c r="V337" s="199">
        <f>IFERROR(__xludf.DUMMYFUNCTION("""COMPUTED_VALUE"""),0.0)</f>
        <v>0</v>
      </c>
      <c r="W337" s="199">
        <f>IFERROR(__xludf.DUMMYFUNCTION("""COMPUTED_VALUE"""),0.0)</f>
        <v>0</v>
      </c>
      <c r="X337" s="199">
        <f>IFERROR(__xludf.DUMMYFUNCTION("""COMPUTED_VALUE"""),1.0)</f>
        <v>1</v>
      </c>
      <c r="Y337" s="199">
        <f>IFERROR(__xludf.DUMMYFUNCTION("""COMPUTED_VALUE"""),0.0)</f>
        <v>0</v>
      </c>
      <c r="Z337" s="199">
        <f>IFERROR(__xludf.DUMMYFUNCTION("""COMPUTED_VALUE"""),0.0)</f>
        <v>0</v>
      </c>
      <c r="AA337" s="199">
        <f>IFERROR(__xludf.DUMMYFUNCTION("""COMPUTED_VALUE"""),0.0)</f>
        <v>0</v>
      </c>
      <c r="AB337" s="199">
        <f>IFERROR(__xludf.DUMMYFUNCTION("""COMPUTED_VALUE"""),8.0)</f>
        <v>8</v>
      </c>
      <c r="AC337" s="199">
        <f>IFERROR(__xludf.DUMMYFUNCTION("""COMPUTED_VALUE"""),11.0)</f>
        <v>11</v>
      </c>
      <c r="AD337" s="199">
        <f>IFERROR(__xludf.DUMMYFUNCTION("""COMPUTED_VALUE"""),0.0)</f>
        <v>0</v>
      </c>
      <c r="AE337" s="199">
        <f>IFERROR(__xludf.DUMMYFUNCTION("""COMPUTED_VALUE"""),11.0)</f>
        <v>11</v>
      </c>
      <c r="AF337" s="199">
        <f>IFERROR(__xludf.DUMMYFUNCTION("""COMPUTED_VALUE"""),2.0)</f>
        <v>2</v>
      </c>
      <c r="AG337" s="199">
        <f>IFERROR(__xludf.DUMMYFUNCTION("""COMPUTED_VALUE"""),376.0)</f>
        <v>376</v>
      </c>
      <c r="AH337" s="199">
        <f>IFERROR(__xludf.DUMMYFUNCTION("""COMPUTED_VALUE"""),7.0)</f>
        <v>7</v>
      </c>
      <c r="AI337" s="200" t="str">
        <f>IFERROR(__xludf.DUMMYFUNCTION("""COMPUTED_VALUE"""),"Normal - No Action Required")</f>
        <v>Normal - No Action Required</v>
      </c>
      <c r="AJ337" s="200" t="str">
        <f>IFERROR(__xludf.DUMMYFUNCTION("""COMPUTED_VALUE"""),"Continue routine monitoring and sampling schedule")</f>
        <v>Continue routine monitoring and sampling schedule</v>
      </c>
      <c r="AK337" s="204"/>
      <c r="AL337" s="204"/>
      <c r="AM337" s="204"/>
    </row>
    <row r="338" hidden="1">
      <c r="A338" s="199" t="str">
        <f>IFERROR(__xludf.DUMMYFUNCTION("""COMPUTED_VALUE"""),"352.BE340 L")</f>
        <v>352.BE340 L</v>
      </c>
      <c r="B338" s="200" t="str">
        <f>IFERROR(__xludf.DUMMYFUNCTION("""COMPUTED_VALUE"""),"Bucket Elevator GB - L")</f>
        <v>Bucket Elevator GB - L</v>
      </c>
      <c r="C338" s="199">
        <f>IFERROR(__xludf.DUMMYFUNCTION("""COMPUTED_VALUE"""),2.5180296247E10)</f>
        <v>25180296247</v>
      </c>
      <c r="D338" s="201">
        <f>IFERROR(__xludf.DUMMYFUNCTION("""COMPUTED_VALUE"""),45826.0)</f>
        <v>45826</v>
      </c>
      <c r="E338" s="202" t="str">
        <f>IFERROR(__xludf.DUMMYFUNCTION("""COMPUTED_VALUE"""),"Caution")</f>
        <v>Caution</v>
      </c>
      <c r="F338" s="202" t="str">
        <f>IFERROR(__xludf.DUMMYFUNCTION("""COMPUTED_VALUE"""),"Caution")</f>
        <v>Caution</v>
      </c>
      <c r="G338" s="203" t="str">
        <f>IFERROR(__xludf.DUMMYFUNCTION("""COMPUTED_VALUE"""),"Normal")</f>
        <v>Normal</v>
      </c>
      <c r="H338" s="203" t="str">
        <f>IFERROR(__xludf.DUMMYFUNCTION("""COMPUTED_VALUE"""),"Caution")</f>
        <v>Caution</v>
      </c>
      <c r="I338" s="199"/>
      <c r="J338" s="199"/>
      <c r="K338" s="199"/>
      <c r="L338" s="199">
        <f>IFERROR(__xludf.DUMMYFUNCTION("""COMPUTED_VALUE"""),16.0)</f>
        <v>16</v>
      </c>
      <c r="M338" s="199">
        <f>IFERROR(__xludf.DUMMYFUNCTION("""COMPUTED_VALUE"""),315.6)</f>
        <v>315.6</v>
      </c>
      <c r="N338" s="199"/>
      <c r="O338" s="199"/>
      <c r="P338" s="199">
        <f>IFERROR(__xludf.DUMMYFUNCTION("""COMPUTED_VALUE"""),0.05)</f>
        <v>0.05</v>
      </c>
      <c r="Q338" s="199">
        <f>IFERROR(__xludf.DUMMYFUNCTION("""COMPUTED_VALUE"""),0.0)</f>
        <v>0</v>
      </c>
      <c r="R338" s="199">
        <f>IFERROR(__xludf.DUMMYFUNCTION("""COMPUTED_VALUE"""),2.0)</f>
        <v>2</v>
      </c>
      <c r="S338" s="199">
        <f>IFERROR(__xludf.DUMMYFUNCTION("""COMPUTED_VALUE"""),0.0)</f>
        <v>0</v>
      </c>
      <c r="T338" s="199">
        <f>IFERROR(__xludf.DUMMYFUNCTION("""COMPUTED_VALUE"""),0.0)</f>
        <v>0</v>
      </c>
      <c r="U338" s="199">
        <f>IFERROR(__xludf.DUMMYFUNCTION("""COMPUTED_VALUE"""),48.0)</f>
        <v>48</v>
      </c>
      <c r="V338" s="199">
        <f>IFERROR(__xludf.DUMMYFUNCTION("""COMPUTED_VALUE"""),0.0)</f>
        <v>0</v>
      </c>
      <c r="W338" s="199">
        <f>IFERROR(__xludf.DUMMYFUNCTION("""COMPUTED_VALUE"""),0.0)</f>
        <v>0</v>
      </c>
      <c r="X338" s="199">
        <f>IFERROR(__xludf.DUMMYFUNCTION("""COMPUTED_VALUE"""),2.0)</f>
        <v>2</v>
      </c>
      <c r="Y338" s="199">
        <f>IFERROR(__xludf.DUMMYFUNCTION("""COMPUTED_VALUE"""),0.0)</f>
        <v>0</v>
      </c>
      <c r="Z338" s="199">
        <f>IFERROR(__xludf.DUMMYFUNCTION("""COMPUTED_VALUE"""),2.0)</f>
        <v>2</v>
      </c>
      <c r="AA338" s="199">
        <f>IFERROR(__xludf.DUMMYFUNCTION("""COMPUTED_VALUE"""),0.0)</f>
        <v>0</v>
      </c>
      <c r="AB338" s="199">
        <f>IFERROR(__xludf.DUMMYFUNCTION("""COMPUTED_VALUE"""),17.0)</f>
        <v>17</v>
      </c>
      <c r="AC338" s="199">
        <f>IFERROR(__xludf.DUMMYFUNCTION("""COMPUTED_VALUE"""),15.0)</f>
        <v>15</v>
      </c>
      <c r="AD338" s="199">
        <f>IFERROR(__xludf.DUMMYFUNCTION("""COMPUTED_VALUE"""),0.0)</f>
        <v>0</v>
      </c>
      <c r="AE338" s="199">
        <f>IFERROR(__xludf.DUMMYFUNCTION("""COMPUTED_VALUE"""),93.0)</f>
        <v>93</v>
      </c>
      <c r="AF338" s="199">
        <f>IFERROR(__xludf.DUMMYFUNCTION("""COMPUTED_VALUE"""),6.0)</f>
        <v>6</v>
      </c>
      <c r="AG338" s="199">
        <f>IFERROR(__xludf.DUMMYFUNCTION("""COMPUTED_VALUE"""),423.0)</f>
        <v>423</v>
      </c>
      <c r="AH338" s="199">
        <f>IFERROR(__xludf.DUMMYFUNCTION("""COMPUTED_VALUE"""),23.0)</f>
        <v>23</v>
      </c>
      <c r="AI338" s="200" t="str">
        <f>IFERROR(__xludf.DUMMYFUNCTION("""COMPUTED_VALUE"""),"General Caution")</f>
        <v>General Caution</v>
      </c>
      <c r="AJ338" s="200" t="str">
        <f>IFERROR(__xludf.DUMMYFUNCTION("""COMPUTED_VALUE"""),"Lubricant showing degradation - plan oil change within 3 months")</f>
        <v>Lubricant showing degradation - plan oil change within 3 months</v>
      </c>
      <c r="AK338" s="204"/>
      <c r="AL338" s="204"/>
      <c r="AM338" s="204"/>
    </row>
    <row r="339" hidden="1">
      <c r="A339" s="199" t="str">
        <f>IFERROR(__xludf.DUMMYFUNCTION("""COMPUTED_VALUE"""),"421.FV770")</f>
        <v>421.FV770</v>
      </c>
      <c r="B339" s="200" t="str">
        <f>IFERROR(__xludf.DUMMYFUNCTION("""COMPUTED_VALUE"""),"AF sluice FLS Hyd. unit")</f>
        <v>AF sluice FLS Hyd. unit</v>
      </c>
      <c r="C339" s="199">
        <f>IFERROR(__xludf.DUMMYFUNCTION("""COMPUTED_VALUE"""),2.5180296203E10)</f>
        <v>25180296203</v>
      </c>
      <c r="D339" s="201">
        <f>IFERROR(__xludf.DUMMYFUNCTION("""COMPUTED_VALUE"""),45826.0)</f>
        <v>45826</v>
      </c>
      <c r="E339" s="202" t="str">
        <f>IFERROR(__xludf.DUMMYFUNCTION("""COMPUTED_VALUE"""),"Normal")</f>
        <v>Normal</v>
      </c>
      <c r="F339" s="202" t="str">
        <f>IFERROR(__xludf.DUMMYFUNCTION("""COMPUTED_VALUE"""),"Normal")</f>
        <v>Normal</v>
      </c>
      <c r="G339" s="203" t="str">
        <f>IFERROR(__xludf.DUMMYFUNCTION("""COMPUTED_VALUE"""),"Normal")</f>
        <v>Normal</v>
      </c>
      <c r="H339" s="203" t="str">
        <f>IFERROR(__xludf.DUMMYFUNCTION("""COMPUTED_VALUE"""),"Normal")</f>
        <v>Normal</v>
      </c>
      <c r="I339" s="37">
        <f>IFERROR(__xludf.DUMMYFUNCTION("""COMPUTED_VALUE"""),8973.0)</f>
        <v>8973</v>
      </c>
      <c r="J339" s="37">
        <f>IFERROR(__xludf.DUMMYFUNCTION("""COMPUTED_VALUE"""),2100.0)</f>
        <v>2100</v>
      </c>
      <c r="K339" s="37">
        <f>IFERROR(__xludf.DUMMYFUNCTION("""COMPUTED_VALUE"""),947.0)</f>
        <v>947</v>
      </c>
      <c r="L339" s="199">
        <f>IFERROR(__xludf.DUMMYFUNCTION("""COMPUTED_VALUE"""),5.0)</f>
        <v>5</v>
      </c>
      <c r="M339" s="199">
        <f>IFERROR(__xludf.DUMMYFUNCTION("""COMPUTED_VALUE"""),49.5)</f>
        <v>49.5</v>
      </c>
      <c r="N339" s="199"/>
      <c r="O339" s="199">
        <f>IFERROR(__xludf.DUMMYFUNCTION("""COMPUTED_VALUE"""),0.0)</f>
        <v>0</v>
      </c>
      <c r="P339" s="199">
        <f>IFERROR(__xludf.DUMMYFUNCTION("""COMPUTED_VALUE"""),0.01)</f>
        <v>0.01</v>
      </c>
      <c r="Q339" s="199">
        <f>IFERROR(__xludf.DUMMYFUNCTION("""COMPUTED_VALUE"""),0.0)</f>
        <v>0</v>
      </c>
      <c r="R339" s="199">
        <f>IFERROR(__xludf.DUMMYFUNCTION("""COMPUTED_VALUE"""),0.0)</f>
        <v>0</v>
      </c>
      <c r="S339" s="199">
        <f>IFERROR(__xludf.DUMMYFUNCTION("""COMPUTED_VALUE"""),0.0)</f>
        <v>0</v>
      </c>
      <c r="T339" s="199">
        <f>IFERROR(__xludf.DUMMYFUNCTION("""COMPUTED_VALUE"""),0.0)</f>
        <v>0</v>
      </c>
      <c r="U339" s="199">
        <f>IFERROR(__xludf.DUMMYFUNCTION("""COMPUTED_VALUE"""),9.0)</f>
        <v>9</v>
      </c>
      <c r="V339" s="199">
        <f>IFERROR(__xludf.DUMMYFUNCTION("""COMPUTED_VALUE"""),0.0)</f>
        <v>0</v>
      </c>
      <c r="W339" s="199">
        <f>IFERROR(__xludf.DUMMYFUNCTION("""COMPUTED_VALUE"""),0.0)</f>
        <v>0</v>
      </c>
      <c r="X339" s="199">
        <f>IFERROR(__xludf.DUMMYFUNCTION("""COMPUTED_VALUE"""),1.0)</f>
        <v>1</v>
      </c>
      <c r="Y339" s="199">
        <f>IFERROR(__xludf.DUMMYFUNCTION("""COMPUTED_VALUE"""),0.0)</f>
        <v>0</v>
      </c>
      <c r="Z339" s="199">
        <f>IFERROR(__xludf.DUMMYFUNCTION("""COMPUTED_VALUE"""),0.0)</f>
        <v>0</v>
      </c>
      <c r="AA339" s="199">
        <f>IFERROR(__xludf.DUMMYFUNCTION("""COMPUTED_VALUE"""),0.0)</f>
        <v>0</v>
      </c>
      <c r="AB339" s="199">
        <f>IFERROR(__xludf.DUMMYFUNCTION("""COMPUTED_VALUE"""),0.0)</f>
        <v>0</v>
      </c>
      <c r="AC339" s="199">
        <f>IFERROR(__xludf.DUMMYFUNCTION("""COMPUTED_VALUE"""),5.0)</f>
        <v>5</v>
      </c>
      <c r="AD339" s="199">
        <f>IFERROR(__xludf.DUMMYFUNCTION("""COMPUTED_VALUE"""),0.0)</f>
        <v>0</v>
      </c>
      <c r="AE339" s="199">
        <f>IFERROR(__xludf.DUMMYFUNCTION("""COMPUTED_VALUE"""),75.0)</f>
        <v>75</v>
      </c>
      <c r="AF339" s="199">
        <f>IFERROR(__xludf.DUMMYFUNCTION("""COMPUTED_VALUE"""),2.0)</f>
        <v>2</v>
      </c>
      <c r="AG339" s="199">
        <f>IFERROR(__xludf.DUMMYFUNCTION("""COMPUTED_VALUE"""),430.0)</f>
        <v>430</v>
      </c>
      <c r="AH339" s="199">
        <f>IFERROR(__xludf.DUMMYFUNCTION("""COMPUTED_VALUE"""),460.0)</f>
        <v>460</v>
      </c>
      <c r="AI339" s="200" t="str">
        <f>IFERROR(__xludf.DUMMYFUNCTION("""COMPUTED_VALUE"""),"Normal - No Action Required")</f>
        <v>Normal - No Action Required</v>
      </c>
      <c r="AJ339" s="200" t="str">
        <f>IFERROR(__xludf.DUMMYFUNCTION("""COMPUTED_VALUE"""),"Continue routine monitoring and sampling schedule")</f>
        <v>Continue routine monitoring and sampling schedule</v>
      </c>
      <c r="AK339" s="204"/>
      <c r="AL339" s="204"/>
      <c r="AM339" s="204"/>
    </row>
    <row r="340" hidden="1">
      <c r="A340" s="199" t="str">
        <f>IFERROR(__xludf.DUMMYFUNCTION("""COMPUTED_VALUE"""),"421.HR700 (B)")</f>
        <v>421.HR700 (B)</v>
      </c>
      <c r="B340" s="200" t="str">
        <f>IFERROR(__xludf.DUMMYFUNCTION("""COMPUTED_VALUE"""),"HOTDISC Drive M02")</f>
        <v>HOTDISC Drive M02</v>
      </c>
      <c r="C340" s="199">
        <f>IFERROR(__xludf.DUMMYFUNCTION("""COMPUTED_VALUE"""),2.5180296209E10)</f>
        <v>25180296209</v>
      </c>
      <c r="D340" s="201">
        <f>IFERROR(__xludf.DUMMYFUNCTION("""COMPUTED_VALUE"""),45826.0)</f>
        <v>45826</v>
      </c>
      <c r="E340" s="202" t="str">
        <f>IFERROR(__xludf.DUMMYFUNCTION("""COMPUTED_VALUE"""),"Normal")</f>
        <v>Normal</v>
      </c>
      <c r="F340" s="202" t="str">
        <f>IFERROR(__xludf.DUMMYFUNCTION("""COMPUTED_VALUE"""),"Normal")</f>
        <v>Normal</v>
      </c>
      <c r="G340" s="203" t="str">
        <f>IFERROR(__xludf.DUMMYFUNCTION("""COMPUTED_VALUE"""),"Normal")</f>
        <v>Normal</v>
      </c>
      <c r="H340" s="203" t="str">
        <f>IFERROR(__xludf.DUMMYFUNCTION("""COMPUTED_VALUE"""),"Normal")</f>
        <v>Normal</v>
      </c>
      <c r="I340" s="199">
        <f>IFERROR(__xludf.DUMMYFUNCTION("""COMPUTED_VALUE"""),21977.0)</f>
        <v>21977</v>
      </c>
      <c r="J340" s="199">
        <f>IFERROR(__xludf.DUMMYFUNCTION("""COMPUTED_VALUE"""),10886.0)</f>
        <v>10886</v>
      </c>
      <c r="K340" s="199">
        <f>IFERROR(__xludf.DUMMYFUNCTION("""COMPUTED_VALUE"""),510.0)</f>
        <v>510</v>
      </c>
      <c r="L340" s="199">
        <f>IFERROR(__xludf.DUMMYFUNCTION("""COMPUTED_VALUE"""),10.0)</f>
        <v>10</v>
      </c>
      <c r="M340" s="199">
        <f>IFERROR(__xludf.DUMMYFUNCTION("""COMPUTED_VALUE"""),199.1)</f>
        <v>199.1</v>
      </c>
      <c r="N340" s="37"/>
      <c r="O340" s="37"/>
      <c r="P340" s="199">
        <f>IFERROR(__xludf.DUMMYFUNCTION("""COMPUTED_VALUE"""),0.04)</f>
        <v>0.04</v>
      </c>
      <c r="Q340" s="199">
        <f>IFERROR(__xludf.DUMMYFUNCTION("""COMPUTED_VALUE"""),0.0)</f>
        <v>0</v>
      </c>
      <c r="R340" s="199">
        <f>IFERROR(__xludf.DUMMYFUNCTION("""COMPUTED_VALUE"""),1.0)</f>
        <v>1</v>
      </c>
      <c r="S340" s="199">
        <f>IFERROR(__xludf.DUMMYFUNCTION("""COMPUTED_VALUE"""),0.0)</f>
        <v>0</v>
      </c>
      <c r="T340" s="199">
        <f>IFERROR(__xludf.DUMMYFUNCTION("""COMPUTED_VALUE"""),1.0)</f>
        <v>1</v>
      </c>
      <c r="U340" s="199">
        <f>IFERROR(__xludf.DUMMYFUNCTION("""COMPUTED_VALUE"""),20.0)</f>
        <v>20</v>
      </c>
      <c r="V340" s="199">
        <f>IFERROR(__xludf.DUMMYFUNCTION("""COMPUTED_VALUE"""),0.0)</f>
        <v>0</v>
      </c>
      <c r="W340" s="199">
        <f>IFERROR(__xludf.DUMMYFUNCTION("""COMPUTED_VALUE"""),0.0)</f>
        <v>0</v>
      </c>
      <c r="X340" s="199">
        <f>IFERROR(__xludf.DUMMYFUNCTION("""COMPUTED_VALUE"""),1.0)</f>
        <v>1</v>
      </c>
      <c r="Y340" s="199">
        <f>IFERROR(__xludf.DUMMYFUNCTION("""COMPUTED_VALUE"""),0.0)</f>
        <v>0</v>
      </c>
      <c r="Z340" s="199">
        <f>IFERROR(__xludf.DUMMYFUNCTION("""COMPUTED_VALUE"""),0.0)</f>
        <v>0</v>
      </c>
      <c r="AA340" s="199">
        <f>IFERROR(__xludf.DUMMYFUNCTION("""COMPUTED_VALUE"""),0.0)</f>
        <v>0</v>
      </c>
      <c r="AB340" s="199">
        <f>IFERROR(__xludf.DUMMYFUNCTION("""COMPUTED_VALUE"""),9.0)</f>
        <v>9</v>
      </c>
      <c r="AC340" s="199">
        <f>IFERROR(__xludf.DUMMYFUNCTION("""COMPUTED_VALUE"""),2.0)</f>
        <v>2</v>
      </c>
      <c r="AD340" s="199">
        <f>IFERROR(__xludf.DUMMYFUNCTION("""COMPUTED_VALUE"""),0.0)</f>
        <v>0</v>
      </c>
      <c r="AE340" s="199">
        <f>IFERROR(__xludf.DUMMYFUNCTION("""COMPUTED_VALUE"""),91.0)</f>
        <v>91</v>
      </c>
      <c r="AF340" s="199">
        <f>IFERROR(__xludf.DUMMYFUNCTION("""COMPUTED_VALUE"""),0.0)</f>
        <v>0</v>
      </c>
      <c r="AG340" s="199">
        <f>IFERROR(__xludf.DUMMYFUNCTION("""COMPUTED_VALUE"""),364.0)</f>
        <v>364</v>
      </c>
      <c r="AH340" s="199">
        <f>IFERROR(__xludf.DUMMYFUNCTION("""COMPUTED_VALUE"""),11.0)</f>
        <v>11</v>
      </c>
      <c r="AI340" s="200" t="str">
        <f>IFERROR(__xludf.DUMMYFUNCTION("""COMPUTED_VALUE"""),"Normal - No Action Required")</f>
        <v>Normal - No Action Required</v>
      </c>
      <c r="AJ340" s="200" t="str">
        <f>IFERROR(__xludf.DUMMYFUNCTION("""COMPUTED_VALUE"""),"Continue routine monitoring and sampling schedule")</f>
        <v>Continue routine monitoring and sampling schedule</v>
      </c>
      <c r="AK340" s="204"/>
      <c r="AL340" s="204"/>
      <c r="AM340" s="204"/>
    </row>
    <row r="341" hidden="1">
      <c r="A341" s="199" t="str">
        <f>IFERROR(__xludf.DUMMYFUNCTION("""COMPUTED_VALUE"""),"441.MD140 (T)")</f>
        <v>441.MD140 (T)</v>
      </c>
      <c r="B341" s="200" t="str">
        <f>IFERROR(__xludf.DUMMYFUNCTION("""COMPUTED_VALUE"""),"Clinker Cooler Drive (From Tank)")</f>
        <v>Clinker Cooler Drive (From Tank)</v>
      </c>
      <c r="C341" s="199">
        <f>IFERROR(__xludf.DUMMYFUNCTION("""COMPUTED_VALUE"""),2.5180296208E10)</f>
        <v>25180296208</v>
      </c>
      <c r="D341" s="201">
        <f>IFERROR(__xludf.DUMMYFUNCTION("""COMPUTED_VALUE"""),45826.0)</f>
        <v>45826</v>
      </c>
      <c r="E341" s="202" t="str">
        <f>IFERROR(__xludf.DUMMYFUNCTION("""COMPUTED_VALUE"""),"Caution")</f>
        <v>Caution</v>
      </c>
      <c r="F341" s="202" t="str">
        <f>IFERROR(__xludf.DUMMYFUNCTION("""COMPUTED_VALUE"""),"Caution")</f>
        <v>Caution</v>
      </c>
      <c r="G341" s="203" t="str">
        <f>IFERROR(__xludf.DUMMYFUNCTION("""COMPUTED_VALUE"""),"Caution")</f>
        <v>Caution</v>
      </c>
      <c r="H341" s="203" t="str">
        <f>IFERROR(__xludf.DUMMYFUNCTION("""COMPUTED_VALUE"""),"Normal")</f>
        <v>Normal</v>
      </c>
      <c r="I341" s="37">
        <f>IFERROR(__xludf.DUMMYFUNCTION("""COMPUTED_VALUE"""),12574.0)</f>
        <v>12574</v>
      </c>
      <c r="J341" s="37">
        <f>IFERROR(__xludf.DUMMYFUNCTION("""COMPUTED_VALUE"""),6840.0)</f>
        <v>6840</v>
      </c>
      <c r="K341" s="37"/>
      <c r="L341" s="199">
        <f>IFERROR(__xludf.DUMMYFUNCTION("""COMPUTED_VALUE"""),16.0)</f>
        <v>16</v>
      </c>
      <c r="M341" s="199">
        <f>IFERROR(__xludf.DUMMYFUNCTION("""COMPUTED_VALUE"""),44.6)</f>
        <v>44.6</v>
      </c>
      <c r="N341" s="37"/>
      <c r="O341" s="37">
        <f>IFERROR(__xludf.DUMMYFUNCTION("""COMPUTED_VALUE"""),0.0)</f>
        <v>0</v>
      </c>
      <c r="P341" s="199">
        <f>IFERROR(__xludf.DUMMYFUNCTION("""COMPUTED_VALUE"""),0.04)</f>
        <v>0.04</v>
      </c>
      <c r="Q341" s="199">
        <f>IFERROR(__xludf.DUMMYFUNCTION("""COMPUTED_VALUE"""),0.0)</f>
        <v>0</v>
      </c>
      <c r="R341" s="199">
        <f>IFERROR(__xludf.DUMMYFUNCTION("""COMPUTED_VALUE"""),0.0)</f>
        <v>0</v>
      </c>
      <c r="S341" s="199">
        <f>IFERROR(__xludf.DUMMYFUNCTION("""COMPUTED_VALUE"""),0.0)</f>
        <v>0</v>
      </c>
      <c r="T341" s="199">
        <f>IFERROR(__xludf.DUMMYFUNCTION("""COMPUTED_VALUE"""),5.0)</f>
        <v>5</v>
      </c>
      <c r="U341" s="199">
        <f>IFERROR(__xludf.DUMMYFUNCTION("""COMPUTED_VALUE"""),50.0)</f>
        <v>50</v>
      </c>
      <c r="V341" s="199">
        <f>IFERROR(__xludf.DUMMYFUNCTION("""COMPUTED_VALUE"""),0.0)</f>
        <v>0</v>
      </c>
      <c r="W341" s="199">
        <f>IFERROR(__xludf.DUMMYFUNCTION("""COMPUTED_VALUE"""),0.0)</f>
        <v>0</v>
      </c>
      <c r="X341" s="199">
        <f>IFERROR(__xludf.DUMMYFUNCTION("""COMPUTED_VALUE"""),8.0)</f>
        <v>8</v>
      </c>
      <c r="Y341" s="199">
        <f>IFERROR(__xludf.DUMMYFUNCTION("""COMPUTED_VALUE"""),0.0)</f>
        <v>0</v>
      </c>
      <c r="Z341" s="199">
        <f>IFERROR(__xludf.DUMMYFUNCTION("""COMPUTED_VALUE"""),0.0)</f>
        <v>0</v>
      </c>
      <c r="AA341" s="199">
        <f>IFERROR(__xludf.DUMMYFUNCTION("""COMPUTED_VALUE"""),0.0)</f>
        <v>0</v>
      </c>
      <c r="AB341" s="199">
        <f>IFERROR(__xludf.DUMMYFUNCTION("""COMPUTED_VALUE"""),10.0)</f>
        <v>10</v>
      </c>
      <c r="AC341" s="199">
        <f>IFERROR(__xludf.DUMMYFUNCTION("""COMPUTED_VALUE"""),1.0)</f>
        <v>1</v>
      </c>
      <c r="AD341" s="199">
        <f>IFERROR(__xludf.DUMMYFUNCTION("""COMPUTED_VALUE"""),0.0)</f>
        <v>0</v>
      </c>
      <c r="AE341" s="199">
        <f>IFERROR(__xludf.DUMMYFUNCTION("""COMPUTED_VALUE"""),85.0)</f>
        <v>85</v>
      </c>
      <c r="AF341" s="199">
        <f>IFERROR(__xludf.DUMMYFUNCTION("""COMPUTED_VALUE"""),2.0)</f>
        <v>2</v>
      </c>
      <c r="AG341" s="199">
        <f>IFERROR(__xludf.DUMMYFUNCTION("""COMPUTED_VALUE"""),514.0)</f>
        <v>514</v>
      </c>
      <c r="AH341" s="199">
        <f>IFERROR(__xludf.DUMMYFUNCTION("""COMPUTED_VALUE"""),624.0)</f>
        <v>624</v>
      </c>
      <c r="AI341" s="200" t="str">
        <f>IFERROR(__xludf.DUMMYFUNCTION("""COMPUTED_VALUE"""),"Wear Metal Caution")</f>
        <v>Wear Metal Caution</v>
      </c>
      <c r="AJ341" s="200" t="str">
        <f>IFERROR(__xludf.DUMMYFUNCTION("""COMPUTED_VALUE"""),"Monitor closely - inspect at next planned maintenance")</f>
        <v>Monitor closely - inspect at next planned maintenance</v>
      </c>
      <c r="AK341" s="204"/>
      <c r="AL341" s="204"/>
      <c r="AM341" s="204"/>
    </row>
    <row r="342" hidden="1">
      <c r="A342" s="199" t="str">
        <f>IFERROR(__xludf.DUMMYFUNCTION("""COMPUTED_VALUE"""),"461.HY110")</f>
        <v>461.HY110</v>
      </c>
      <c r="B342" s="200" t="str">
        <f>IFERROR(__xludf.DUMMYFUNCTION("""COMPUTED_VALUE"""),"Coal Mill 1 Hyd. tensioning sys.")</f>
        <v>Coal Mill 1 Hyd. tensioning sys.</v>
      </c>
      <c r="C342" s="199">
        <f>IFERROR(__xludf.DUMMYFUNCTION("""COMPUTED_VALUE"""),2.5180296213E10)</f>
        <v>25180296213</v>
      </c>
      <c r="D342" s="201">
        <f>IFERROR(__xludf.DUMMYFUNCTION("""COMPUTED_VALUE"""),45826.0)</f>
        <v>45826</v>
      </c>
      <c r="E342" s="202" t="str">
        <f>IFERROR(__xludf.DUMMYFUNCTION("""COMPUTED_VALUE"""),"Normal")</f>
        <v>Normal</v>
      </c>
      <c r="F342" s="202" t="str">
        <f>IFERROR(__xludf.DUMMYFUNCTION("""COMPUTED_VALUE"""),"Normal")</f>
        <v>Normal</v>
      </c>
      <c r="G342" s="203" t="str">
        <f>IFERROR(__xludf.DUMMYFUNCTION("""COMPUTED_VALUE"""),"Normal")</f>
        <v>Normal</v>
      </c>
      <c r="H342" s="203" t="str">
        <f>IFERROR(__xludf.DUMMYFUNCTION("""COMPUTED_VALUE"""),"Normal")</f>
        <v>Normal</v>
      </c>
      <c r="I342" s="199">
        <f>IFERROR(__xludf.DUMMYFUNCTION("""COMPUTED_VALUE"""),19126.0)</f>
        <v>19126</v>
      </c>
      <c r="J342" s="199">
        <f>IFERROR(__xludf.DUMMYFUNCTION("""COMPUTED_VALUE"""),5168.0)</f>
        <v>5168</v>
      </c>
      <c r="K342" s="199">
        <f>IFERROR(__xludf.DUMMYFUNCTION("""COMPUTED_VALUE"""),1133.0)</f>
        <v>1133</v>
      </c>
      <c r="L342" s="199">
        <f>IFERROR(__xludf.DUMMYFUNCTION("""COMPUTED_VALUE"""),17.0)</f>
        <v>17</v>
      </c>
      <c r="M342" s="199">
        <f>IFERROR(__xludf.DUMMYFUNCTION("""COMPUTED_VALUE"""),44.9)</f>
        <v>44.9</v>
      </c>
      <c r="N342" s="37"/>
      <c r="O342" s="37">
        <f>IFERROR(__xludf.DUMMYFUNCTION("""COMPUTED_VALUE"""),0.0)</f>
        <v>0</v>
      </c>
      <c r="P342" s="199">
        <f>IFERROR(__xludf.DUMMYFUNCTION("""COMPUTED_VALUE"""),0.03)</f>
        <v>0.03</v>
      </c>
      <c r="Q342" s="199">
        <f>IFERROR(__xludf.DUMMYFUNCTION("""COMPUTED_VALUE"""),0.0)</f>
        <v>0</v>
      </c>
      <c r="R342" s="199">
        <f>IFERROR(__xludf.DUMMYFUNCTION("""COMPUTED_VALUE"""),1.0)</f>
        <v>1</v>
      </c>
      <c r="S342" s="199">
        <f>IFERROR(__xludf.DUMMYFUNCTION("""COMPUTED_VALUE"""),0.0)</f>
        <v>0</v>
      </c>
      <c r="T342" s="199">
        <f>IFERROR(__xludf.DUMMYFUNCTION("""COMPUTED_VALUE"""),4.0)</f>
        <v>4</v>
      </c>
      <c r="U342" s="199">
        <f>IFERROR(__xludf.DUMMYFUNCTION("""COMPUTED_VALUE"""),15.0)</f>
        <v>15</v>
      </c>
      <c r="V342" s="199">
        <f>IFERROR(__xludf.DUMMYFUNCTION("""COMPUTED_VALUE"""),0.0)</f>
        <v>0</v>
      </c>
      <c r="W342" s="199">
        <f>IFERROR(__xludf.DUMMYFUNCTION("""COMPUTED_VALUE"""),0.0)</f>
        <v>0</v>
      </c>
      <c r="X342" s="199">
        <f>IFERROR(__xludf.DUMMYFUNCTION("""COMPUTED_VALUE"""),1.0)</f>
        <v>1</v>
      </c>
      <c r="Y342" s="199">
        <f>IFERROR(__xludf.DUMMYFUNCTION("""COMPUTED_VALUE"""),0.0)</f>
        <v>0</v>
      </c>
      <c r="Z342" s="199">
        <f>IFERROR(__xludf.DUMMYFUNCTION("""COMPUTED_VALUE"""),0.0)</f>
        <v>0</v>
      </c>
      <c r="AA342" s="199">
        <f>IFERROR(__xludf.DUMMYFUNCTION("""COMPUTED_VALUE"""),0.0)</f>
        <v>0</v>
      </c>
      <c r="AB342" s="199">
        <f>IFERROR(__xludf.DUMMYFUNCTION("""COMPUTED_VALUE"""),0.0)</f>
        <v>0</v>
      </c>
      <c r="AC342" s="199">
        <f>IFERROR(__xludf.DUMMYFUNCTION("""COMPUTED_VALUE"""),1.0)</f>
        <v>1</v>
      </c>
      <c r="AD342" s="199">
        <f>IFERROR(__xludf.DUMMYFUNCTION("""COMPUTED_VALUE"""),0.0)</f>
        <v>0</v>
      </c>
      <c r="AE342" s="199">
        <f>IFERROR(__xludf.DUMMYFUNCTION("""COMPUTED_VALUE"""),84.0)</f>
        <v>84</v>
      </c>
      <c r="AF342" s="199">
        <f>IFERROR(__xludf.DUMMYFUNCTION("""COMPUTED_VALUE"""),2.0)</f>
        <v>2</v>
      </c>
      <c r="AG342" s="199">
        <f>IFERROR(__xludf.DUMMYFUNCTION("""COMPUTED_VALUE"""),344.0)</f>
        <v>344</v>
      </c>
      <c r="AH342" s="199">
        <f>IFERROR(__xludf.DUMMYFUNCTION("""COMPUTED_VALUE"""),474.0)</f>
        <v>474</v>
      </c>
      <c r="AI342" s="200" t="str">
        <f>IFERROR(__xludf.DUMMYFUNCTION("""COMPUTED_VALUE"""),"Normal - No Action Required")</f>
        <v>Normal - No Action Required</v>
      </c>
      <c r="AJ342" s="200" t="str">
        <f>IFERROR(__xludf.DUMMYFUNCTION("""COMPUTED_VALUE"""),"Continue routine monitoring and sampling schedule")</f>
        <v>Continue routine monitoring and sampling schedule</v>
      </c>
      <c r="AK342" s="204"/>
      <c r="AL342" s="204"/>
      <c r="AM342" s="204"/>
    </row>
    <row r="343" hidden="1">
      <c r="A343" s="199" t="str">
        <f>IFERROR(__xludf.DUMMYFUNCTION("""COMPUTED_VALUE"""),"461.LQ120(T)")</f>
        <v>461.LQ120(T)</v>
      </c>
      <c r="B343" s="200" t="str">
        <f>IFERROR(__xludf.DUMMYFUNCTION("""COMPUTED_VALUE"""),"Coal mill 1 Roller Lub. Unit (Tank)")</f>
        <v>Coal mill 1 Roller Lub. Unit (Tank)</v>
      </c>
      <c r="C343" s="199">
        <f>IFERROR(__xludf.DUMMYFUNCTION("""COMPUTED_VALUE"""),2.5180296263E10)</f>
        <v>25180296263</v>
      </c>
      <c r="D343" s="201">
        <f>IFERROR(__xludf.DUMMYFUNCTION("""COMPUTED_VALUE"""),45826.0)</f>
        <v>45826</v>
      </c>
      <c r="E343" s="202" t="str">
        <f>IFERROR(__xludf.DUMMYFUNCTION("""COMPUTED_VALUE"""),"Alert")</f>
        <v>Alert</v>
      </c>
      <c r="F343" s="202" t="str">
        <f>IFERROR(__xludf.DUMMYFUNCTION("""COMPUTED_VALUE"""),"Alert")</f>
        <v>Alert</v>
      </c>
      <c r="G343" s="203" t="str">
        <f>IFERROR(__xludf.DUMMYFUNCTION("""COMPUTED_VALUE"""),"Caution")</f>
        <v>Caution</v>
      </c>
      <c r="H343" s="203" t="str">
        <f>IFERROR(__xludf.DUMMYFUNCTION("""COMPUTED_VALUE"""),"Caution")</f>
        <v>Caution</v>
      </c>
      <c r="I343" s="199"/>
      <c r="J343" s="199"/>
      <c r="K343" s="199"/>
      <c r="L343" s="199">
        <f>IFERROR(__xludf.DUMMYFUNCTION("""COMPUTED_VALUE"""),30.0)</f>
        <v>30</v>
      </c>
      <c r="M343" s="199">
        <f>IFERROR(__xludf.DUMMYFUNCTION("""COMPUTED_VALUE"""),87.0)</f>
        <v>87</v>
      </c>
      <c r="N343" s="37"/>
      <c r="O343" s="37"/>
      <c r="P343" s="199">
        <f>IFERROR(__xludf.DUMMYFUNCTION("""COMPUTED_VALUE"""),0.6)</f>
        <v>0.6</v>
      </c>
      <c r="Q343" s="199">
        <f>IFERROR(__xludf.DUMMYFUNCTION("""COMPUTED_VALUE"""),0.0)</f>
        <v>0</v>
      </c>
      <c r="R343" s="199">
        <f>IFERROR(__xludf.DUMMYFUNCTION("""COMPUTED_VALUE"""),2.0)</f>
        <v>2</v>
      </c>
      <c r="S343" s="199">
        <f>IFERROR(__xludf.DUMMYFUNCTION("""COMPUTED_VALUE"""),0.0)</f>
        <v>0</v>
      </c>
      <c r="T343" s="199">
        <f>IFERROR(__xludf.DUMMYFUNCTION("""COMPUTED_VALUE"""),13.0)</f>
        <v>13</v>
      </c>
      <c r="U343" s="199">
        <f>IFERROR(__xludf.DUMMYFUNCTION("""COMPUTED_VALUE"""),56.0)</f>
        <v>56</v>
      </c>
      <c r="V343" s="199">
        <f>IFERROR(__xludf.DUMMYFUNCTION("""COMPUTED_VALUE"""),3.0)</f>
        <v>3</v>
      </c>
      <c r="W343" s="199">
        <f>IFERROR(__xludf.DUMMYFUNCTION("""COMPUTED_VALUE"""),0.0)</f>
        <v>0</v>
      </c>
      <c r="X343" s="199">
        <f>IFERROR(__xludf.DUMMYFUNCTION("""COMPUTED_VALUE"""),3.0)</f>
        <v>3</v>
      </c>
      <c r="Y343" s="199">
        <f>IFERROR(__xludf.DUMMYFUNCTION("""COMPUTED_VALUE"""),0.0)</f>
        <v>0</v>
      </c>
      <c r="Z343" s="199">
        <f>IFERROR(__xludf.DUMMYFUNCTION("""COMPUTED_VALUE"""),0.0)</f>
        <v>0</v>
      </c>
      <c r="AA343" s="199">
        <f>IFERROR(__xludf.DUMMYFUNCTION("""COMPUTED_VALUE"""),0.0)</f>
        <v>0</v>
      </c>
      <c r="AB343" s="199">
        <f>IFERROR(__xludf.DUMMYFUNCTION("""COMPUTED_VALUE"""),36.0)</f>
        <v>36</v>
      </c>
      <c r="AC343" s="199">
        <f>IFERROR(__xludf.DUMMYFUNCTION("""COMPUTED_VALUE"""),9.0)</f>
        <v>9</v>
      </c>
      <c r="AD343" s="199">
        <f>IFERROR(__xludf.DUMMYFUNCTION("""COMPUTED_VALUE"""),0.0)</f>
        <v>0</v>
      </c>
      <c r="AE343" s="199">
        <f>IFERROR(__xludf.DUMMYFUNCTION("""COMPUTED_VALUE"""),29.0)</f>
        <v>29</v>
      </c>
      <c r="AF343" s="199">
        <f>IFERROR(__xludf.DUMMYFUNCTION("""COMPUTED_VALUE"""),5.0)</f>
        <v>5</v>
      </c>
      <c r="AG343" s="199">
        <f>IFERROR(__xludf.DUMMYFUNCTION("""COMPUTED_VALUE"""),500.0)</f>
        <v>500</v>
      </c>
      <c r="AH343" s="199">
        <f>IFERROR(__xludf.DUMMYFUNCTION("""COMPUTED_VALUE"""),18.0)</f>
        <v>18</v>
      </c>
      <c r="AI343" s="200" t="str">
        <f>IFERROR(__xludf.DUMMYFUNCTION("""COMPUTED_VALUE"""),"Water Ingress")</f>
        <v>Water Ingress</v>
      </c>
      <c r="AJ343" s="200" t="str">
        <f>IFERROR(__xludf.DUMMYFUNCTION("""COMPUTED_VALUE"""),"High water contamination - check seals and drain water immediately; Elevated silicon - inspect filters and seals for contamination")</f>
        <v>High water contamination - check seals and drain water immediately; Elevated silicon - inspect filters and seals for contamination</v>
      </c>
      <c r="AK343" s="204"/>
      <c r="AL343" s="204"/>
      <c r="AM343" s="204"/>
    </row>
    <row r="344" hidden="1">
      <c r="A344" s="199" t="str">
        <f>IFERROR(__xludf.DUMMYFUNCTION("""COMPUTED_VALUE"""),"461.LQ145")</f>
        <v>461.LQ145</v>
      </c>
      <c r="B344" s="200" t="str">
        <f>IFERROR(__xludf.DUMMYFUNCTION("""COMPUTED_VALUE"""),"Coal Mill 1 Gear box")</f>
        <v>Coal Mill 1 Gear box</v>
      </c>
      <c r="C344" s="199">
        <f>IFERROR(__xludf.DUMMYFUNCTION("""COMPUTED_VALUE"""),2.518029624E10)</f>
        <v>25180296240</v>
      </c>
      <c r="D344" s="201">
        <f>IFERROR(__xludf.DUMMYFUNCTION("""COMPUTED_VALUE"""),45826.0)</f>
        <v>45826</v>
      </c>
      <c r="E344" s="202" t="str">
        <f>IFERROR(__xludf.DUMMYFUNCTION("""COMPUTED_VALUE"""),"Caution")</f>
        <v>Caution</v>
      </c>
      <c r="F344" s="202" t="str">
        <f>IFERROR(__xludf.DUMMYFUNCTION("""COMPUTED_VALUE"""),"Caution")</f>
        <v>Caution</v>
      </c>
      <c r="G344" s="203" t="str">
        <f>IFERROR(__xludf.DUMMYFUNCTION("""COMPUTED_VALUE"""),"Normal")</f>
        <v>Normal</v>
      </c>
      <c r="H344" s="203" t="str">
        <f>IFERROR(__xludf.DUMMYFUNCTION("""COMPUTED_VALUE"""),"Normal")</f>
        <v>Normal</v>
      </c>
      <c r="I344" s="37"/>
      <c r="J344" s="37"/>
      <c r="K344" s="37"/>
      <c r="L344" s="199">
        <f>IFERROR(__xludf.DUMMYFUNCTION("""COMPUTED_VALUE"""),12.0)</f>
        <v>12</v>
      </c>
      <c r="M344" s="199">
        <f>IFERROR(__xludf.DUMMYFUNCTION("""COMPUTED_VALUE"""),305.6)</f>
        <v>305.6</v>
      </c>
      <c r="N344" s="37"/>
      <c r="O344" s="37">
        <f>IFERROR(__xludf.DUMMYFUNCTION("""COMPUTED_VALUE"""),1.0)</f>
        <v>1</v>
      </c>
      <c r="P344" s="199">
        <f>IFERROR(__xludf.DUMMYFUNCTION("""COMPUTED_VALUE"""),0.05)</f>
        <v>0.05</v>
      </c>
      <c r="Q344" s="199">
        <f>IFERROR(__xludf.DUMMYFUNCTION("""COMPUTED_VALUE"""),0.0)</f>
        <v>0</v>
      </c>
      <c r="R344" s="199">
        <f>IFERROR(__xludf.DUMMYFUNCTION("""COMPUTED_VALUE"""),0.0)</f>
        <v>0</v>
      </c>
      <c r="S344" s="199">
        <f>IFERROR(__xludf.DUMMYFUNCTION("""COMPUTED_VALUE"""),0.0)</f>
        <v>0</v>
      </c>
      <c r="T344" s="199">
        <f>IFERROR(__xludf.DUMMYFUNCTION("""COMPUTED_VALUE"""),0.0)</f>
        <v>0</v>
      </c>
      <c r="U344" s="199">
        <f>IFERROR(__xludf.DUMMYFUNCTION("""COMPUTED_VALUE"""),17.0)</f>
        <v>17</v>
      </c>
      <c r="V344" s="199">
        <f>IFERROR(__xludf.DUMMYFUNCTION("""COMPUTED_VALUE"""),0.0)</f>
        <v>0</v>
      </c>
      <c r="W344" s="199">
        <f>IFERROR(__xludf.DUMMYFUNCTION("""COMPUTED_VALUE"""),0.0)</f>
        <v>0</v>
      </c>
      <c r="X344" s="199">
        <f>IFERROR(__xludf.DUMMYFUNCTION("""COMPUTED_VALUE"""),3.0)</f>
        <v>3</v>
      </c>
      <c r="Y344" s="199">
        <f>IFERROR(__xludf.DUMMYFUNCTION("""COMPUTED_VALUE"""),0.0)</f>
        <v>0</v>
      </c>
      <c r="Z344" s="199">
        <f>IFERROR(__xludf.DUMMYFUNCTION("""COMPUTED_VALUE"""),0.0)</f>
        <v>0</v>
      </c>
      <c r="AA344" s="199">
        <f>IFERROR(__xludf.DUMMYFUNCTION("""COMPUTED_VALUE"""),0.0)</f>
        <v>0</v>
      </c>
      <c r="AB344" s="199">
        <f>IFERROR(__xludf.DUMMYFUNCTION("""COMPUTED_VALUE"""),3.0)</f>
        <v>3</v>
      </c>
      <c r="AC344" s="199">
        <f>IFERROR(__xludf.DUMMYFUNCTION("""COMPUTED_VALUE"""),12.0)</f>
        <v>12</v>
      </c>
      <c r="AD344" s="199">
        <f>IFERROR(__xludf.DUMMYFUNCTION("""COMPUTED_VALUE"""),0.0)</f>
        <v>0</v>
      </c>
      <c r="AE344" s="199">
        <f>IFERROR(__xludf.DUMMYFUNCTION("""COMPUTED_VALUE"""),42.0)</f>
        <v>42</v>
      </c>
      <c r="AF344" s="199">
        <f>IFERROR(__xludf.DUMMYFUNCTION("""COMPUTED_VALUE"""),3.0)</f>
        <v>3</v>
      </c>
      <c r="AG344" s="199">
        <f>IFERROR(__xludf.DUMMYFUNCTION("""COMPUTED_VALUE"""),347.0)</f>
        <v>347</v>
      </c>
      <c r="AH344" s="199">
        <f>IFERROR(__xludf.DUMMYFUNCTION("""COMPUTED_VALUE"""),33.0)</f>
        <v>33</v>
      </c>
      <c r="AI344" s="200" t="str">
        <f>IFERROR(__xludf.DUMMYFUNCTION("""COMPUTED_VALUE"""),"General Caution")</f>
        <v>General Caution</v>
      </c>
      <c r="AJ344" s="200" t="str">
        <f>IFERROR(__xludf.DUMMYFUNCTION("""COMPUTED_VALUE"""),"Continue monitoring; resample at next scheduled interval")</f>
        <v>Continue monitoring; resample at next scheduled interval</v>
      </c>
      <c r="AK344" s="204"/>
      <c r="AL344" s="204"/>
      <c r="AM344" s="204"/>
    </row>
    <row r="345" hidden="1">
      <c r="A345" s="199" t="str">
        <f>IFERROR(__xludf.DUMMYFUNCTION("""COMPUTED_VALUE"""),"462.HY110")</f>
        <v>462.HY110</v>
      </c>
      <c r="B345" s="200" t="str">
        <f>IFERROR(__xludf.DUMMYFUNCTION("""COMPUTED_VALUE"""),"Coal Mill 2 Hyd. tensioning sys.")</f>
        <v>Coal Mill 2 Hyd. tensioning sys.</v>
      </c>
      <c r="C345" s="199">
        <f>IFERROR(__xludf.DUMMYFUNCTION("""COMPUTED_VALUE"""),2.5180296201E10)</f>
        <v>25180296201</v>
      </c>
      <c r="D345" s="201">
        <f>IFERROR(__xludf.DUMMYFUNCTION("""COMPUTED_VALUE"""),45826.0)</f>
        <v>45826</v>
      </c>
      <c r="E345" s="202" t="str">
        <f>IFERROR(__xludf.DUMMYFUNCTION("""COMPUTED_VALUE"""),"Normal")</f>
        <v>Normal</v>
      </c>
      <c r="F345" s="202" t="str">
        <f>IFERROR(__xludf.DUMMYFUNCTION("""COMPUTED_VALUE"""),"Normal")</f>
        <v>Normal</v>
      </c>
      <c r="G345" s="203" t="str">
        <f>IFERROR(__xludf.DUMMYFUNCTION("""COMPUTED_VALUE"""),"Normal")</f>
        <v>Normal</v>
      </c>
      <c r="H345" s="203" t="str">
        <f>IFERROR(__xludf.DUMMYFUNCTION("""COMPUTED_VALUE"""),"Normal")</f>
        <v>Normal</v>
      </c>
      <c r="I345" s="37">
        <f>IFERROR(__xludf.DUMMYFUNCTION("""COMPUTED_VALUE"""),9237.0)</f>
        <v>9237</v>
      </c>
      <c r="J345" s="37">
        <f>IFERROR(__xludf.DUMMYFUNCTION("""COMPUTED_VALUE"""),3179.0)</f>
        <v>3179</v>
      </c>
      <c r="K345" s="37">
        <f>IFERROR(__xludf.DUMMYFUNCTION("""COMPUTED_VALUE"""),1017.0)</f>
        <v>1017</v>
      </c>
      <c r="L345" s="199">
        <f>IFERROR(__xludf.DUMMYFUNCTION("""COMPUTED_VALUE"""),10.0)</f>
        <v>10</v>
      </c>
      <c r="M345" s="199">
        <f>IFERROR(__xludf.DUMMYFUNCTION("""COMPUTED_VALUE"""),40.6)</f>
        <v>40.6</v>
      </c>
      <c r="N345" s="37"/>
      <c r="O345" s="37">
        <f>IFERROR(__xludf.DUMMYFUNCTION("""COMPUTED_VALUE"""),0.0)</f>
        <v>0</v>
      </c>
      <c r="P345" s="199">
        <f>IFERROR(__xludf.DUMMYFUNCTION("""COMPUTED_VALUE"""),0.003)</f>
        <v>0.003</v>
      </c>
      <c r="Q345" s="199">
        <f>IFERROR(__xludf.DUMMYFUNCTION("""COMPUTED_VALUE"""),0.0)</f>
        <v>0</v>
      </c>
      <c r="R345" s="199">
        <f>IFERROR(__xludf.DUMMYFUNCTION("""COMPUTED_VALUE"""),0.0)</f>
        <v>0</v>
      </c>
      <c r="S345" s="199">
        <f>IFERROR(__xludf.DUMMYFUNCTION("""COMPUTED_VALUE"""),0.0)</f>
        <v>0</v>
      </c>
      <c r="T345" s="199">
        <f>IFERROR(__xludf.DUMMYFUNCTION("""COMPUTED_VALUE"""),0.0)</f>
        <v>0</v>
      </c>
      <c r="U345" s="199">
        <f>IFERROR(__xludf.DUMMYFUNCTION("""COMPUTED_VALUE"""),4.0)</f>
        <v>4</v>
      </c>
      <c r="V345" s="199">
        <f>IFERROR(__xludf.DUMMYFUNCTION("""COMPUTED_VALUE"""),0.0)</f>
        <v>0</v>
      </c>
      <c r="W345" s="199">
        <f>IFERROR(__xludf.DUMMYFUNCTION("""COMPUTED_VALUE"""),0.0)</f>
        <v>0</v>
      </c>
      <c r="X345" s="199">
        <f>IFERROR(__xludf.DUMMYFUNCTION("""COMPUTED_VALUE"""),1.0)</f>
        <v>1</v>
      </c>
      <c r="Y345" s="199">
        <f>IFERROR(__xludf.DUMMYFUNCTION("""COMPUTED_VALUE"""),0.0)</f>
        <v>0</v>
      </c>
      <c r="Z345" s="199">
        <f>IFERROR(__xludf.DUMMYFUNCTION("""COMPUTED_VALUE"""),0.0)</f>
        <v>0</v>
      </c>
      <c r="AA345" s="199">
        <f>IFERROR(__xludf.DUMMYFUNCTION("""COMPUTED_VALUE"""),0.0)</f>
        <v>0</v>
      </c>
      <c r="AB345" s="199">
        <f>IFERROR(__xludf.DUMMYFUNCTION("""COMPUTED_VALUE"""),0.0)</f>
        <v>0</v>
      </c>
      <c r="AC345" s="199">
        <f>IFERROR(__xludf.DUMMYFUNCTION("""COMPUTED_VALUE"""),3.0)</f>
        <v>3</v>
      </c>
      <c r="AD345" s="199">
        <f>IFERROR(__xludf.DUMMYFUNCTION("""COMPUTED_VALUE"""),0.0)</f>
        <v>0</v>
      </c>
      <c r="AE345" s="199">
        <f>IFERROR(__xludf.DUMMYFUNCTION("""COMPUTED_VALUE"""),74.0)</f>
        <v>74</v>
      </c>
      <c r="AF345" s="199">
        <f>IFERROR(__xludf.DUMMYFUNCTION("""COMPUTED_VALUE"""),0.0)</f>
        <v>0</v>
      </c>
      <c r="AG345" s="199">
        <f>IFERROR(__xludf.DUMMYFUNCTION("""COMPUTED_VALUE"""),325.0)</f>
        <v>325</v>
      </c>
      <c r="AH345" s="199">
        <f>IFERROR(__xludf.DUMMYFUNCTION("""COMPUTED_VALUE"""),382.0)</f>
        <v>382</v>
      </c>
      <c r="AI345" s="200" t="str">
        <f>IFERROR(__xludf.DUMMYFUNCTION("""COMPUTED_VALUE"""),"Normal - No Action Required")</f>
        <v>Normal - No Action Required</v>
      </c>
      <c r="AJ345" s="200" t="str">
        <f>IFERROR(__xludf.DUMMYFUNCTION("""COMPUTED_VALUE"""),"Continue routine monitoring and sampling schedule")</f>
        <v>Continue routine monitoring and sampling schedule</v>
      </c>
      <c r="AK345" s="204"/>
      <c r="AL345" s="204"/>
      <c r="AM345" s="204"/>
    </row>
    <row r="346" hidden="1">
      <c r="A346" s="199" t="str">
        <f>IFERROR(__xludf.DUMMYFUNCTION("""COMPUTED_VALUE"""),"462.LQ120(T)")</f>
        <v>462.LQ120(T)</v>
      </c>
      <c r="B346" s="200" t="str">
        <f>IFERROR(__xludf.DUMMYFUNCTION("""COMPUTED_VALUE"""),"Coal mill 2 Roller Lub. Unit (Tank)")</f>
        <v>Coal mill 2 Roller Lub. Unit (Tank)</v>
      </c>
      <c r="C346" s="199">
        <f>IFERROR(__xludf.DUMMYFUNCTION("""COMPUTED_VALUE"""),2.518029622E10)</f>
        <v>25180296220</v>
      </c>
      <c r="D346" s="201">
        <f>IFERROR(__xludf.DUMMYFUNCTION("""COMPUTED_VALUE"""),45826.0)</f>
        <v>45826</v>
      </c>
      <c r="E346" s="202" t="str">
        <f>IFERROR(__xludf.DUMMYFUNCTION("""COMPUTED_VALUE"""),"Normal")</f>
        <v>Normal</v>
      </c>
      <c r="F346" s="202" t="str">
        <f>IFERROR(__xludf.DUMMYFUNCTION("""COMPUTED_VALUE"""),"Normal")</f>
        <v>Normal</v>
      </c>
      <c r="G346" s="203" t="str">
        <f>IFERROR(__xludf.DUMMYFUNCTION("""COMPUTED_VALUE"""),"Normal")</f>
        <v>Normal</v>
      </c>
      <c r="H346" s="203" t="str">
        <f>IFERROR(__xludf.DUMMYFUNCTION("""COMPUTED_VALUE"""),"Normal")</f>
        <v>Normal</v>
      </c>
      <c r="I346" s="199"/>
      <c r="J346" s="199"/>
      <c r="K346" s="199"/>
      <c r="L346" s="199">
        <f>IFERROR(__xludf.DUMMYFUNCTION("""COMPUTED_VALUE"""),5.0)</f>
        <v>5</v>
      </c>
      <c r="M346" s="199">
        <f>IFERROR(__xludf.DUMMYFUNCTION("""COMPUTED_VALUE"""),87.8)</f>
        <v>87.8</v>
      </c>
      <c r="N346" s="37"/>
      <c r="O346" s="37"/>
      <c r="P346" s="199">
        <f>IFERROR(__xludf.DUMMYFUNCTION("""COMPUTED_VALUE"""),0.003)</f>
        <v>0.003</v>
      </c>
      <c r="Q346" s="199">
        <f>IFERROR(__xludf.DUMMYFUNCTION("""COMPUTED_VALUE"""),0.0)</f>
        <v>0</v>
      </c>
      <c r="R346" s="199">
        <f>IFERROR(__xludf.DUMMYFUNCTION("""COMPUTED_VALUE"""),0.0)</f>
        <v>0</v>
      </c>
      <c r="S346" s="199">
        <f>IFERROR(__xludf.DUMMYFUNCTION("""COMPUTED_VALUE"""),0.0)</f>
        <v>0</v>
      </c>
      <c r="T346" s="199">
        <f>IFERROR(__xludf.DUMMYFUNCTION("""COMPUTED_VALUE"""),0.0)</f>
        <v>0</v>
      </c>
      <c r="U346" s="199">
        <f>IFERROR(__xludf.DUMMYFUNCTION("""COMPUTED_VALUE"""),6.0)</f>
        <v>6</v>
      </c>
      <c r="V346" s="199">
        <f>IFERROR(__xludf.DUMMYFUNCTION("""COMPUTED_VALUE"""),0.0)</f>
        <v>0</v>
      </c>
      <c r="W346" s="199">
        <f>IFERROR(__xludf.DUMMYFUNCTION("""COMPUTED_VALUE"""),0.0)</f>
        <v>0</v>
      </c>
      <c r="X346" s="199">
        <f>IFERROR(__xludf.DUMMYFUNCTION("""COMPUTED_VALUE"""),1.0)</f>
        <v>1</v>
      </c>
      <c r="Y346" s="199">
        <f>IFERROR(__xludf.DUMMYFUNCTION("""COMPUTED_VALUE"""),0.0)</f>
        <v>0</v>
      </c>
      <c r="Z346" s="199">
        <f>IFERROR(__xludf.DUMMYFUNCTION("""COMPUTED_VALUE"""),0.0)</f>
        <v>0</v>
      </c>
      <c r="AA346" s="199">
        <f>IFERROR(__xludf.DUMMYFUNCTION("""COMPUTED_VALUE"""),0.0)</f>
        <v>0</v>
      </c>
      <c r="AB346" s="199">
        <f>IFERROR(__xludf.DUMMYFUNCTION("""COMPUTED_VALUE"""),7.0)</f>
        <v>7</v>
      </c>
      <c r="AC346" s="199">
        <f>IFERROR(__xludf.DUMMYFUNCTION("""COMPUTED_VALUE"""),9.0)</f>
        <v>9</v>
      </c>
      <c r="AD346" s="199">
        <f>IFERROR(__xludf.DUMMYFUNCTION("""COMPUTED_VALUE"""),0.0)</f>
        <v>0</v>
      </c>
      <c r="AE346" s="199">
        <f>IFERROR(__xludf.DUMMYFUNCTION("""COMPUTED_VALUE"""),10.0)</f>
        <v>10</v>
      </c>
      <c r="AF346" s="199">
        <f>IFERROR(__xludf.DUMMYFUNCTION("""COMPUTED_VALUE"""),0.0)</f>
        <v>0</v>
      </c>
      <c r="AG346" s="199">
        <f>IFERROR(__xludf.DUMMYFUNCTION("""COMPUTED_VALUE"""),399.0)</f>
        <v>399</v>
      </c>
      <c r="AH346" s="199">
        <f>IFERROR(__xludf.DUMMYFUNCTION("""COMPUTED_VALUE"""),2.0)</f>
        <v>2</v>
      </c>
      <c r="AI346" s="200" t="str">
        <f>IFERROR(__xludf.DUMMYFUNCTION("""COMPUTED_VALUE"""),"Normal - No Action Required")</f>
        <v>Normal - No Action Required</v>
      </c>
      <c r="AJ346" s="200" t="str">
        <f>IFERROR(__xludf.DUMMYFUNCTION("""COMPUTED_VALUE"""),"Continue routine monitoring and sampling schedule")</f>
        <v>Continue routine monitoring and sampling schedule</v>
      </c>
      <c r="AK346" s="204"/>
      <c r="AL346" s="204"/>
      <c r="AM346" s="204"/>
    </row>
    <row r="347" hidden="1">
      <c r="A347" s="199" t="str">
        <f>IFERROR(__xludf.DUMMYFUNCTION("""COMPUTED_VALUE"""),"462.LQ145")</f>
        <v>462.LQ145</v>
      </c>
      <c r="B347" s="200" t="str">
        <f>IFERROR(__xludf.DUMMYFUNCTION("""COMPUTED_VALUE"""),"Coal Mill 2 Gear box")</f>
        <v>Coal Mill 2 Gear box</v>
      </c>
      <c r="C347" s="199">
        <f>IFERROR(__xludf.DUMMYFUNCTION("""COMPUTED_VALUE"""),2.5180296224E10)</f>
        <v>25180296224</v>
      </c>
      <c r="D347" s="201">
        <f>IFERROR(__xludf.DUMMYFUNCTION("""COMPUTED_VALUE"""),45826.0)</f>
        <v>45826</v>
      </c>
      <c r="E347" s="202" t="str">
        <f>IFERROR(__xludf.DUMMYFUNCTION("""COMPUTED_VALUE"""),"Caution")</f>
        <v>Caution</v>
      </c>
      <c r="F347" s="202" t="str">
        <f>IFERROR(__xludf.DUMMYFUNCTION("""COMPUTED_VALUE"""),"Caution")</f>
        <v>Caution</v>
      </c>
      <c r="G347" s="203" t="str">
        <f>IFERROR(__xludf.DUMMYFUNCTION("""COMPUTED_VALUE"""),"Normal")</f>
        <v>Normal</v>
      </c>
      <c r="H347" s="203" t="str">
        <f>IFERROR(__xludf.DUMMYFUNCTION("""COMPUTED_VALUE"""),"Normal")</f>
        <v>Normal</v>
      </c>
      <c r="I347" s="199"/>
      <c r="J347" s="199"/>
      <c r="K347" s="199"/>
      <c r="L347" s="199">
        <f>IFERROR(__xludf.DUMMYFUNCTION("""COMPUTED_VALUE"""),17.0)</f>
        <v>17</v>
      </c>
      <c r="M347" s="199">
        <f>IFERROR(__xludf.DUMMYFUNCTION("""COMPUTED_VALUE"""),281.3)</f>
        <v>281.3</v>
      </c>
      <c r="N347" s="37"/>
      <c r="O347" s="37">
        <f>IFERROR(__xludf.DUMMYFUNCTION("""COMPUTED_VALUE"""),1.0)</f>
        <v>1</v>
      </c>
      <c r="P347" s="199">
        <f>IFERROR(__xludf.DUMMYFUNCTION("""COMPUTED_VALUE"""),0.05)</f>
        <v>0.05</v>
      </c>
      <c r="Q347" s="199">
        <f>IFERROR(__xludf.DUMMYFUNCTION("""COMPUTED_VALUE"""),0.0)</f>
        <v>0</v>
      </c>
      <c r="R347" s="199">
        <f>IFERROR(__xludf.DUMMYFUNCTION("""COMPUTED_VALUE"""),0.0)</f>
        <v>0</v>
      </c>
      <c r="S347" s="199">
        <f>IFERROR(__xludf.DUMMYFUNCTION("""COMPUTED_VALUE"""),0.0)</f>
        <v>0</v>
      </c>
      <c r="T347" s="199">
        <f>IFERROR(__xludf.DUMMYFUNCTION("""COMPUTED_VALUE"""),0.0)</f>
        <v>0</v>
      </c>
      <c r="U347" s="199">
        <f>IFERROR(__xludf.DUMMYFUNCTION("""COMPUTED_VALUE"""),8.0)</f>
        <v>8</v>
      </c>
      <c r="V347" s="199">
        <f>IFERROR(__xludf.DUMMYFUNCTION("""COMPUTED_VALUE"""),0.0)</f>
        <v>0</v>
      </c>
      <c r="W347" s="199">
        <f>IFERROR(__xludf.DUMMYFUNCTION("""COMPUTED_VALUE"""),0.0)</f>
        <v>0</v>
      </c>
      <c r="X347" s="199">
        <f>IFERROR(__xludf.DUMMYFUNCTION("""COMPUTED_VALUE"""),1.0)</f>
        <v>1</v>
      </c>
      <c r="Y347" s="199">
        <f>IFERROR(__xludf.DUMMYFUNCTION("""COMPUTED_VALUE"""),0.0)</f>
        <v>0</v>
      </c>
      <c r="Z347" s="199">
        <f>IFERROR(__xludf.DUMMYFUNCTION("""COMPUTED_VALUE"""),0.0)</f>
        <v>0</v>
      </c>
      <c r="AA347" s="199">
        <f>IFERROR(__xludf.DUMMYFUNCTION("""COMPUTED_VALUE"""),0.0)</f>
        <v>0</v>
      </c>
      <c r="AB347" s="199">
        <f>IFERROR(__xludf.DUMMYFUNCTION("""COMPUTED_VALUE"""),1.0)</f>
        <v>1</v>
      </c>
      <c r="AC347" s="199">
        <f>IFERROR(__xludf.DUMMYFUNCTION("""COMPUTED_VALUE"""),25.0)</f>
        <v>25</v>
      </c>
      <c r="AD347" s="199">
        <f>IFERROR(__xludf.DUMMYFUNCTION("""COMPUTED_VALUE"""),0.0)</f>
        <v>0</v>
      </c>
      <c r="AE347" s="199">
        <f>IFERROR(__xludf.DUMMYFUNCTION("""COMPUTED_VALUE"""),21.0)</f>
        <v>21</v>
      </c>
      <c r="AF347" s="199">
        <f>IFERROR(__xludf.DUMMYFUNCTION("""COMPUTED_VALUE"""),2.0)</f>
        <v>2</v>
      </c>
      <c r="AG347" s="199">
        <f>IFERROR(__xludf.DUMMYFUNCTION("""COMPUTED_VALUE"""),360.0)</f>
        <v>360</v>
      </c>
      <c r="AH347" s="199">
        <f>IFERROR(__xludf.DUMMYFUNCTION("""COMPUTED_VALUE"""),11.0)</f>
        <v>11</v>
      </c>
      <c r="AI347" s="200" t="str">
        <f>IFERROR(__xludf.DUMMYFUNCTION("""COMPUTED_VALUE"""),"General Caution")</f>
        <v>General Caution</v>
      </c>
      <c r="AJ347" s="200" t="str">
        <f>IFERROR(__xludf.DUMMYFUNCTION("""COMPUTED_VALUE"""),"Continue monitoring; resample at next scheduled interval")</f>
        <v>Continue monitoring; resample at next scheduled interval</v>
      </c>
      <c r="AK347" s="204"/>
      <c r="AL347" s="204"/>
      <c r="AM347" s="204"/>
    </row>
    <row r="348" hidden="1">
      <c r="A348" s="199" t="str">
        <f>IFERROR(__xludf.DUMMYFUNCTION("""COMPUTED_VALUE"""),"471.AC100")</f>
        <v>471.AC100</v>
      </c>
      <c r="B348" s="200" t="str">
        <f>IFERROR(__xludf.DUMMYFUNCTION("""COMPUTED_VALUE"""),"Pan Conveyor Main drive gearbox")</f>
        <v>Pan Conveyor Main drive gearbox</v>
      </c>
      <c r="C348" s="199">
        <f>IFERROR(__xludf.DUMMYFUNCTION("""COMPUTED_VALUE"""),2.5175246224E10)</f>
        <v>25175246224</v>
      </c>
      <c r="D348" s="201">
        <f>IFERROR(__xludf.DUMMYFUNCTION("""COMPUTED_VALUE"""),45826.0)</f>
        <v>45826</v>
      </c>
      <c r="E348" s="202" t="str">
        <f>IFERROR(__xludf.DUMMYFUNCTION("""COMPUTED_VALUE"""),"Alert")</f>
        <v>Alert</v>
      </c>
      <c r="F348" s="202" t="str">
        <f>IFERROR(__xludf.DUMMYFUNCTION("""COMPUTED_VALUE"""),"Normal")</f>
        <v>Normal</v>
      </c>
      <c r="G348" s="203" t="str">
        <f>IFERROR(__xludf.DUMMYFUNCTION("""COMPUTED_VALUE"""),"Normal")</f>
        <v>Normal</v>
      </c>
      <c r="H348" s="203" t="str">
        <f>IFERROR(__xludf.DUMMYFUNCTION("""COMPUTED_VALUE"""),"Alert")</f>
        <v>Alert</v>
      </c>
      <c r="I348" s="199">
        <f>IFERROR(__xludf.DUMMYFUNCTION("""COMPUTED_VALUE"""),32088.0)</f>
        <v>32088</v>
      </c>
      <c r="J348" s="199">
        <f>IFERROR(__xludf.DUMMYFUNCTION("""COMPUTED_VALUE"""),19269.0)</f>
        <v>19269</v>
      </c>
      <c r="K348" s="199">
        <f>IFERROR(__xludf.DUMMYFUNCTION("""COMPUTED_VALUE"""),7174.0)</f>
        <v>7174</v>
      </c>
      <c r="L348" s="199">
        <f>IFERROR(__xludf.DUMMYFUNCTION("""COMPUTED_VALUE"""),7.0)</f>
        <v>7</v>
      </c>
      <c r="M348" s="199">
        <f>IFERROR(__xludf.DUMMYFUNCTION("""COMPUTED_VALUE"""),312.2)</f>
        <v>312.2</v>
      </c>
      <c r="N348" s="37"/>
      <c r="O348" s="37"/>
      <c r="P348" s="199">
        <f>IFERROR(__xludf.DUMMYFUNCTION("""COMPUTED_VALUE"""),0.01)</f>
        <v>0.01</v>
      </c>
      <c r="Q348" s="199">
        <f>IFERROR(__xludf.DUMMYFUNCTION("""COMPUTED_VALUE"""),0.0)</f>
        <v>0</v>
      </c>
      <c r="R348" s="199">
        <f>IFERROR(__xludf.DUMMYFUNCTION("""COMPUTED_VALUE"""),3.0)</f>
        <v>3</v>
      </c>
      <c r="S348" s="199">
        <f>IFERROR(__xludf.DUMMYFUNCTION("""COMPUTED_VALUE"""),2.0)</f>
        <v>2</v>
      </c>
      <c r="T348" s="199">
        <f>IFERROR(__xludf.DUMMYFUNCTION("""COMPUTED_VALUE"""),1.0)</f>
        <v>1</v>
      </c>
      <c r="U348" s="199">
        <f>IFERROR(__xludf.DUMMYFUNCTION("""COMPUTED_VALUE"""),0.0)</f>
        <v>0</v>
      </c>
      <c r="V348" s="199">
        <f>IFERROR(__xludf.DUMMYFUNCTION("""COMPUTED_VALUE"""),0.0)</f>
        <v>0</v>
      </c>
      <c r="W348" s="199">
        <f>IFERROR(__xludf.DUMMYFUNCTION("""COMPUTED_VALUE"""),0.0)</f>
        <v>0</v>
      </c>
      <c r="X348" s="199">
        <f>IFERROR(__xludf.DUMMYFUNCTION("""COMPUTED_VALUE"""),0.0)</f>
        <v>0</v>
      </c>
      <c r="Y348" s="199">
        <f>IFERROR(__xludf.DUMMYFUNCTION("""COMPUTED_VALUE"""),0.0)</f>
        <v>0</v>
      </c>
      <c r="Z348" s="199">
        <f>IFERROR(__xludf.DUMMYFUNCTION("""COMPUTED_VALUE"""),0.0)</f>
        <v>0</v>
      </c>
      <c r="AA348" s="199">
        <f>IFERROR(__xludf.DUMMYFUNCTION("""COMPUTED_VALUE"""),0.0)</f>
        <v>0</v>
      </c>
      <c r="AB348" s="199">
        <f>IFERROR(__xludf.DUMMYFUNCTION("""COMPUTED_VALUE"""),1.0)</f>
        <v>1</v>
      </c>
      <c r="AC348" s="199">
        <f>IFERROR(__xludf.DUMMYFUNCTION("""COMPUTED_VALUE"""),12.0)</f>
        <v>12</v>
      </c>
      <c r="AD348" s="199">
        <f>IFERROR(__xludf.DUMMYFUNCTION("""COMPUTED_VALUE"""),0.0)</f>
        <v>0</v>
      </c>
      <c r="AE348" s="199">
        <f>IFERROR(__xludf.DUMMYFUNCTION("""COMPUTED_VALUE"""),4.0)</f>
        <v>4</v>
      </c>
      <c r="AF348" s="199">
        <f>IFERROR(__xludf.DUMMYFUNCTION("""COMPUTED_VALUE"""),0.0)</f>
        <v>0</v>
      </c>
      <c r="AG348" s="199">
        <f>IFERROR(__xludf.DUMMYFUNCTION("""COMPUTED_VALUE"""),488.0)</f>
        <v>488</v>
      </c>
      <c r="AH348" s="199">
        <f>IFERROR(__xludf.DUMMYFUNCTION("""COMPUTED_VALUE"""),0.0)</f>
        <v>0</v>
      </c>
      <c r="AI348" s="200" t="str">
        <f>IFERROR(__xludf.DUMMYFUNCTION("""COMPUTED_VALUE"""),"General Alert")</f>
        <v>General Alert</v>
      </c>
      <c r="AJ348" s="200" t="str">
        <f>IFERROR(__xludf.DUMMYFUNCTION("""COMPUTED_VALUE"""),"Investigate root cause; increase sampling frequency to monthly")</f>
        <v>Investigate root cause; increase sampling frequency to monthly</v>
      </c>
      <c r="AK348" s="204"/>
      <c r="AL348" s="204"/>
      <c r="AM348" s="204"/>
    </row>
    <row r="349" hidden="1">
      <c r="A349" s="199" t="str">
        <f>IFERROR(__xludf.DUMMYFUNCTION("""COMPUTED_VALUE"""),"471.CV200")</f>
        <v>471.CV200</v>
      </c>
      <c r="B349" s="200" t="str">
        <f>IFERROR(__xludf.DUMMYFUNCTION("""COMPUTED_VALUE"""),"Drag chain geared motor")</f>
        <v>Drag chain geared motor</v>
      </c>
      <c r="C349" s="199">
        <f>IFERROR(__xludf.DUMMYFUNCTION("""COMPUTED_VALUE"""),2.5180296228E10)</f>
        <v>25180296228</v>
      </c>
      <c r="D349" s="201">
        <f>IFERROR(__xludf.DUMMYFUNCTION("""COMPUTED_VALUE"""),45826.0)</f>
        <v>45826</v>
      </c>
      <c r="E349" s="202" t="str">
        <f>IFERROR(__xludf.DUMMYFUNCTION("""COMPUTED_VALUE"""),"Caution")</f>
        <v>Caution</v>
      </c>
      <c r="F349" s="202" t="str">
        <f>IFERROR(__xludf.DUMMYFUNCTION("""COMPUTED_VALUE"""),"Caution")</f>
        <v>Caution</v>
      </c>
      <c r="G349" s="203" t="str">
        <f>IFERROR(__xludf.DUMMYFUNCTION("""COMPUTED_VALUE"""),"Normal")</f>
        <v>Normal</v>
      </c>
      <c r="H349" s="203" t="str">
        <f>IFERROR(__xludf.DUMMYFUNCTION("""COMPUTED_VALUE"""),"Caution")</f>
        <v>Caution</v>
      </c>
      <c r="I349" s="37"/>
      <c r="J349" s="37"/>
      <c r="K349" s="37"/>
      <c r="L349" s="199">
        <f>IFERROR(__xludf.DUMMYFUNCTION("""COMPUTED_VALUE"""),14.0)</f>
        <v>14</v>
      </c>
      <c r="M349" s="199">
        <f>IFERROR(__xludf.DUMMYFUNCTION("""COMPUTED_VALUE"""),279.5)</f>
        <v>279.5</v>
      </c>
      <c r="N349" s="37"/>
      <c r="O349" s="37"/>
      <c r="P349" s="199">
        <f>IFERROR(__xludf.DUMMYFUNCTION("""COMPUTED_VALUE"""),0.05)</f>
        <v>0.05</v>
      </c>
      <c r="Q349" s="199">
        <f>IFERROR(__xludf.DUMMYFUNCTION("""COMPUTED_VALUE"""),0.0)</f>
        <v>0</v>
      </c>
      <c r="R349" s="199">
        <f>IFERROR(__xludf.DUMMYFUNCTION("""COMPUTED_VALUE"""),0.0)</f>
        <v>0</v>
      </c>
      <c r="S349" s="199">
        <f>IFERROR(__xludf.DUMMYFUNCTION("""COMPUTED_VALUE"""),0.0)</f>
        <v>0</v>
      </c>
      <c r="T349" s="199">
        <f>IFERROR(__xludf.DUMMYFUNCTION("""COMPUTED_VALUE"""),0.0)</f>
        <v>0</v>
      </c>
      <c r="U349" s="199">
        <f>IFERROR(__xludf.DUMMYFUNCTION("""COMPUTED_VALUE"""),1.0)</f>
        <v>1</v>
      </c>
      <c r="V349" s="199">
        <f>IFERROR(__xludf.DUMMYFUNCTION("""COMPUTED_VALUE"""),2.0)</f>
        <v>2</v>
      </c>
      <c r="W349" s="199">
        <f>IFERROR(__xludf.DUMMYFUNCTION("""COMPUTED_VALUE"""),0.0)</f>
        <v>0</v>
      </c>
      <c r="X349" s="199">
        <f>IFERROR(__xludf.DUMMYFUNCTION("""COMPUTED_VALUE"""),1.0)</f>
        <v>1</v>
      </c>
      <c r="Y349" s="199">
        <f>IFERROR(__xludf.DUMMYFUNCTION("""COMPUTED_VALUE"""),0.0)</f>
        <v>0</v>
      </c>
      <c r="Z349" s="199">
        <f>IFERROR(__xludf.DUMMYFUNCTION("""COMPUTED_VALUE"""),0.0)</f>
        <v>0</v>
      </c>
      <c r="AA349" s="199">
        <f>IFERROR(__xludf.DUMMYFUNCTION("""COMPUTED_VALUE"""),0.0)</f>
        <v>0</v>
      </c>
      <c r="AB349" s="199">
        <f>IFERROR(__xludf.DUMMYFUNCTION("""COMPUTED_VALUE"""),11.0)</f>
        <v>11</v>
      </c>
      <c r="AC349" s="199">
        <f>IFERROR(__xludf.DUMMYFUNCTION("""COMPUTED_VALUE"""),6.0)</f>
        <v>6</v>
      </c>
      <c r="AD349" s="199">
        <f>IFERROR(__xludf.DUMMYFUNCTION("""COMPUTED_VALUE"""),0.0)</f>
        <v>0</v>
      </c>
      <c r="AE349" s="199">
        <f>IFERROR(__xludf.DUMMYFUNCTION("""COMPUTED_VALUE"""),23.0)</f>
        <v>23</v>
      </c>
      <c r="AF349" s="199">
        <f>IFERROR(__xludf.DUMMYFUNCTION("""COMPUTED_VALUE"""),4.0)</f>
        <v>4</v>
      </c>
      <c r="AG349" s="199">
        <f>IFERROR(__xludf.DUMMYFUNCTION("""COMPUTED_VALUE"""),399.0)</f>
        <v>399</v>
      </c>
      <c r="AH349" s="199">
        <f>IFERROR(__xludf.DUMMYFUNCTION("""COMPUTED_VALUE"""),8.0)</f>
        <v>8</v>
      </c>
      <c r="AI349" s="200" t="str">
        <f>IFERROR(__xludf.DUMMYFUNCTION("""COMPUTED_VALUE"""),"General Caution")</f>
        <v>General Caution</v>
      </c>
      <c r="AJ349" s="200" t="str">
        <f>IFERROR(__xludf.DUMMYFUNCTION("""COMPUTED_VALUE"""),"Lubricant showing degradation - plan oil change within 3 months")</f>
        <v>Lubricant showing degradation - plan oil change within 3 months</v>
      </c>
      <c r="AK349" s="204"/>
      <c r="AL349" s="204"/>
      <c r="AM349" s="204"/>
    </row>
    <row r="350" hidden="1">
      <c r="A350" s="199" t="str">
        <f>IFERROR(__xludf.DUMMYFUNCTION("""COMPUTED_VALUE"""),"481.BC600")</f>
        <v>481.BC600</v>
      </c>
      <c r="B350" s="200" t="str">
        <f>IFERROR(__xludf.DUMMYFUNCTION("""COMPUTED_VALUE"""),"Belt conveyor Gearbox")</f>
        <v>Belt conveyor Gearbox</v>
      </c>
      <c r="C350" s="199">
        <f>IFERROR(__xludf.DUMMYFUNCTION("""COMPUTED_VALUE"""),2.5180296234E10)</f>
        <v>25180296234</v>
      </c>
      <c r="D350" s="201">
        <f>IFERROR(__xludf.DUMMYFUNCTION("""COMPUTED_VALUE"""),45826.0)</f>
        <v>45826</v>
      </c>
      <c r="E350" s="202" t="str">
        <f>IFERROR(__xludf.DUMMYFUNCTION("""COMPUTED_VALUE"""),"Alert")</f>
        <v>Alert</v>
      </c>
      <c r="F350" s="202" t="str">
        <f>IFERROR(__xludf.DUMMYFUNCTION("""COMPUTED_VALUE"""),"Caution")</f>
        <v>Caution</v>
      </c>
      <c r="G350" s="203" t="str">
        <f>IFERROR(__xludf.DUMMYFUNCTION("""COMPUTED_VALUE"""),"Normal")</f>
        <v>Normal</v>
      </c>
      <c r="H350" s="203" t="str">
        <f>IFERROR(__xludf.DUMMYFUNCTION("""COMPUTED_VALUE"""),"Alert")</f>
        <v>Alert</v>
      </c>
      <c r="I350" s="37"/>
      <c r="J350" s="37"/>
      <c r="K350" s="37"/>
      <c r="L350" s="199">
        <f>IFERROR(__xludf.DUMMYFUNCTION("""COMPUTED_VALUE"""),31.0)</f>
        <v>31</v>
      </c>
      <c r="M350" s="199">
        <f>IFERROR(__xludf.DUMMYFUNCTION("""COMPUTED_VALUE"""),265.5)</f>
        <v>265.5</v>
      </c>
      <c r="N350" s="37"/>
      <c r="O350" s="37"/>
      <c r="P350" s="199">
        <f>IFERROR(__xludf.DUMMYFUNCTION("""COMPUTED_VALUE"""),0.05)</f>
        <v>0.05</v>
      </c>
      <c r="Q350" s="199">
        <f>IFERROR(__xludf.DUMMYFUNCTION("""COMPUTED_VALUE"""),0.0)</f>
        <v>0</v>
      </c>
      <c r="R350" s="199">
        <f>IFERROR(__xludf.DUMMYFUNCTION("""COMPUTED_VALUE"""),0.0)</f>
        <v>0</v>
      </c>
      <c r="S350" s="199">
        <f>IFERROR(__xludf.DUMMYFUNCTION("""COMPUTED_VALUE"""),0.0)</f>
        <v>0</v>
      </c>
      <c r="T350" s="199">
        <f>IFERROR(__xludf.DUMMYFUNCTION("""COMPUTED_VALUE"""),5.0)</f>
        <v>5</v>
      </c>
      <c r="U350" s="199">
        <f>IFERROR(__xludf.DUMMYFUNCTION("""COMPUTED_VALUE"""),32.0)</f>
        <v>32</v>
      </c>
      <c r="V350" s="199">
        <f>IFERROR(__xludf.DUMMYFUNCTION("""COMPUTED_VALUE"""),0.0)</f>
        <v>0</v>
      </c>
      <c r="W350" s="199">
        <f>IFERROR(__xludf.DUMMYFUNCTION("""COMPUTED_VALUE"""),0.0)</f>
        <v>0</v>
      </c>
      <c r="X350" s="199">
        <f>IFERROR(__xludf.DUMMYFUNCTION("""COMPUTED_VALUE"""),1.0)</f>
        <v>1</v>
      </c>
      <c r="Y350" s="199">
        <f>IFERROR(__xludf.DUMMYFUNCTION("""COMPUTED_VALUE"""),0.0)</f>
        <v>0</v>
      </c>
      <c r="Z350" s="199">
        <f>IFERROR(__xludf.DUMMYFUNCTION("""COMPUTED_VALUE"""),1.0)</f>
        <v>1</v>
      </c>
      <c r="AA350" s="199">
        <f>IFERROR(__xludf.DUMMYFUNCTION("""COMPUTED_VALUE"""),0.0)</f>
        <v>0</v>
      </c>
      <c r="AB350" s="199">
        <f>IFERROR(__xludf.DUMMYFUNCTION("""COMPUTED_VALUE"""),9.0)</f>
        <v>9</v>
      </c>
      <c r="AC350" s="199">
        <f>IFERROR(__xludf.DUMMYFUNCTION("""COMPUTED_VALUE"""),6.0)</f>
        <v>6</v>
      </c>
      <c r="AD350" s="199">
        <f>IFERROR(__xludf.DUMMYFUNCTION("""COMPUTED_VALUE"""),0.0)</f>
        <v>0</v>
      </c>
      <c r="AE350" s="199">
        <f>IFERROR(__xludf.DUMMYFUNCTION("""COMPUTED_VALUE"""),18.0)</f>
        <v>18</v>
      </c>
      <c r="AF350" s="199">
        <f>IFERROR(__xludf.DUMMYFUNCTION("""COMPUTED_VALUE"""),2.0)</f>
        <v>2</v>
      </c>
      <c r="AG350" s="199">
        <f>IFERROR(__xludf.DUMMYFUNCTION("""COMPUTED_VALUE"""),318.0)</f>
        <v>318</v>
      </c>
      <c r="AH350" s="199">
        <f>IFERROR(__xludf.DUMMYFUNCTION("""COMPUTED_VALUE"""),0.0)</f>
        <v>0</v>
      </c>
      <c r="AI350" s="200" t="str">
        <f>IFERROR(__xludf.DUMMYFUNCTION("""COMPUTED_VALUE"""),"General Alert")</f>
        <v>General Alert</v>
      </c>
      <c r="AJ350" s="200" t="str">
        <f>IFERROR(__xludf.DUMMYFUNCTION("""COMPUTED_VALUE"""),"Investigate root cause; increase sampling frequency to monthly")</f>
        <v>Investigate root cause; increase sampling frequency to monthly</v>
      </c>
      <c r="AK350" s="204"/>
      <c r="AL350" s="204"/>
      <c r="AM350" s="204"/>
    </row>
    <row r="351" hidden="1">
      <c r="A351" s="199" t="str">
        <f>IFERROR(__xludf.DUMMYFUNCTION("""COMPUTED_VALUE"""),"482.BC600")</f>
        <v>482.BC600</v>
      </c>
      <c r="B351" s="200" t="str">
        <f>IFERROR(__xludf.DUMMYFUNCTION("""COMPUTED_VALUE"""),"Belt conveyor Gearbox")</f>
        <v>Belt conveyor Gearbox</v>
      </c>
      <c r="C351" s="199">
        <f>IFERROR(__xludf.DUMMYFUNCTION("""COMPUTED_VALUE"""),2.5175246231E10)</f>
        <v>25175246231</v>
      </c>
      <c r="D351" s="201">
        <f>IFERROR(__xludf.DUMMYFUNCTION("""COMPUTED_VALUE"""),45826.0)</f>
        <v>45826</v>
      </c>
      <c r="E351" s="202" t="str">
        <f>IFERROR(__xludf.DUMMYFUNCTION("""COMPUTED_VALUE"""),"Alert")</f>
        <v>Alert</v>
      </c>
      <c r="F351" s="202" t="str">
        <f>IFERROR(__xludf.DUMMYFUNCTION("""COMPUTED_VALUE"""),"Alert")</f>
        <v>Alert</v>
      </c>
      <c r="G351" s="203" t="str">
        <f>IFERROR(__xludf.DUMMYFUNCTION("""COMPUTED_VALUE"""),"Caution")</f>
        <v>Caution</v>
      </c>
      <c r="H351" s="203" t="str">
        <f>IFERROR(__xludf.DUMMYFUNCTION("""COMPUTED_VALUE"""),"Caution")</f>
        <v>Caution</v>
      </c>
      <c r="I351" s="37"/>
      <c r="J351" s="37"/>
      <c r="K351" s="37"/>
      <c r="L351" s="199">
        <f>IFERROR(__xludf.DUMMYFUNCTION("""COMPUTED_VALUE"""),295.0)</f>
        <v>295</v>
      </c>
      <c r="M351" s="199">
        <f>IFERROR(__xludf.DUMMYFUNCTION("""COMPUTED_VALUE"""),205.6)</f>
        <v>205.6</v>
      </c>
      <c r="N351" s="37"/>
      <c r="O351" s="37"/>
      <c r="P351" s="199">
        <f>IFERROR(__xludf.DUMMYFUNCTION("""COMPUTED_VALUE"""),0.1)</f>
        <v>0.1</v>
      </c>
      <c r="Q351" s="199">
        <f>IFERROR(__xludf.DUMMYFUNCTION("""COMPUTED_VALUE"""),0.0)</f>
        <v>0</v>
      </c>
      <c r="R351" s="199">
        <f>IFERROR(__xludf.DUMMYFUNCTION("""COMPUTED_VALUE"""),7.0)</f>
        <v>7</v>
      </c>
      <c r="S351" s="199">
        <f>IFERROR(__xludf.DUMMYFUNCTION("""COMPUTED_VALUE"""),4.0)</f>
        <v>4</v>
      </c>
      <c r="T351" s="199">
        <f>IFERROR(__xludf.DUMMYFUNCTION("""COMPUTED_VALUE"""),1.0)</f>
        <v>1</v>
      </c>
      <c r="U351" s="199">
        <f>IFERROR(__xludf.DUMMYFUNCTION("""COMPUTED_VALUE"""),152.0)</f>
        <v>152</v>
      </c>
      <c r="V351" s="199">
        <f>IFERROR(__xludf.DUMMYFUNCTION("""COMPUTED_VALUE"""),2.0)</f>
        <v>2</v>
      </c>
      <c r="W351" s="199">
        <f>IFERROR(__xludf.DUMMYFUNCTION("""COMPUTED_VALUE"""),0.0)</f>
        <v>0</v>
      </c>
      <c r="X351" s="199">
        <f>IFERROR(__xludf.DUMMYFUNCTION("""COMPUTED_VALUE"""),0.0)</f>
        <v>0</v>
      </c>
      <c r="Y351" s="199">
        <f>IFERROR(__xludf.DUMMYFUNCTION("""COMPUTED_VALUE"""),0.0)</f>
        <v>0</v>
      </c>
      <c r="Z351" s="199">
        <f>IFERROR(__xludf.DUMMYFUNCTION("""COMPUTED_VALUE"""),3.0)</f>
        <v>3</v>
      </c>
      <c r="AA351" s="199">
        <f>IFERROR(__xludf.DUMMYFUNCTION("""COMPUTED_VALUE"""),0.0)</f>
        <v>0</v>
      </c>
      <c r="AB351" s="199">
        <f>IFERROR(__xludf.DUMMYFUNCTION("""COMPUTED_VALUE"""),28.0)</f>
        <v>28</v>
      </c>
      <c r="AC351" s="199">
        <f>IFERROR(__xludf.DUMMYFUNCTION("""COMPUTED_VALUE"""),22.0)</f>
        <v>22</v>
      </c>
      <c r="AD351" s="199">
        <f>IFERROR(__xludf.DUMMYFUNCTION("""COMPUTED_VALUE"""),0.0)</f>
        <v>0</v>
      </c>
      <c r="AE351" s="199">
        <f>IFERROR(__xludf.DUMMYFUNCTION("""COMPUTED_VALUE"""),74.0)</f>
        <v>74</v>
      </c>
      <c r="AF351" s="199">
        <f>IFERROR(__xludf.DUMMYFUNCTION("""COMPUTED_VALUE"""),5.0)</f>
        <v>5</v>
      </c>
      <c r="AG351" s="199">
        <f>IFERROR(__xludf.DUMMYFUNCTION("""COMPUTED_VALUE"""),427.0)</f>
        <v>427</v>
      </c>
      <c r="AH351" s="199">
        <f>IFERROR(__xludf.DUMMYFUNCTION("""COMPUTED_VALUE"""),0.0)</f>
        <v>0</v>
      </c>
      <c r="AI351" s="200" t="str">
        <f>IFERROR(__xludf.DUMMYFUNCTION("""COMPUTED_VALUE"""),"High Particle Count")</f>
        <v>High Particle Count</v>
      </c>
      <c r="AJ351" s="200" t="str">
        <f>IFERROR(__xludf.DUMMYFUNCTION("""COMPUTED_VALUE"""),"High wear metals - inspect bearing/gear surfaces; Critical particle count - flush system and replace filters")</f>
        <v>High wear metals - inspect bearing/gear surfaces; Critical particle count - flush system and replace filters</v>
      </c>
      <c r="AK351" s="204"/>
      <c r="AL351" s="204"/>
      <c r="AM351" s="204"/>
    </row>
    <row r="352" hidden="1">
      <c r="A352" s="199" t="str">
        <f>IFERROR(__xludf.DUMMYFUNCTION("""COMPUTED_VALUE"""),"531.BE220")</f>
        <v>531.BE220</v>
      </c>
      <c r="B352" s="200" t="str">
        <f>IFERROR(__xludf.DUMMYFUNCTION("""COMPUTED_VALUE"""),"Bucket Elevator BM#1 GB.")</f>
        <v>Bucket Elevator BM#1 GB.</v>
      </c>
      <c r="C352" s="199">
        <f>IFERROR(__xludf.DUMMYFUNCTION("""COMPUTED_VALUE"""),2.5180296223E10)</f>
        <v>25180296223</v>
      </c>
      <c r="D352" s="201">
        <f>IFERROR(__xludf.DUMMYFUNCTION("""COMPUTED_VALUE"""),45826.0)</f>
        <v>45826</v>
      </c>
      <c r="E352" s="202" t="str">
        <f>IFERROR(__xludf.DUMMYFUNCTION("""COMPUTED_VALUE"""),"Caution")</f>
        <v>Caution</v>
      </c>
      <c r="F352" s="202" t="str">
        <f>IFERROR(__xludf.DUMMYFUNCTION("""COMPUTED_VALUE"""),"Caution")</f>
        <v>Caution</v>
      </c>
      <c r="G352" s="203" t="str">
        <f>IFERROR(__xludf.DUMMYFUNCTION("""COMPUTED_VALUE"""),"Normal")</f>
        <v>Normal</v>
      </c>
      <c r="H352" s="203" t="str">
        <f>IFERROR(__xludf.DUMMYFUNCTION("""COMPUTED_VALUE"""),"Normal")</f>
        <v>Normal</v>
      </c>
      <c r="I352" s="37"/>
      <c r="J352" s="37"/>
      <c r="K352" s="37"/>
      <c r="L352" s="199">
        <f>IFERROR(__xludf.DUMMYFUNCTION("""COMPUTED_VALUE"""),19.0)</f>
        <v>19</v>
      </c>
      <c r="M352" s="199">
        <f>IFERROR(__xludf.DUMMYFUNCTION("""COMPUTED_VALUE"""),299.8)</f>
        <v>299.8</v>
      </c>
      <c r="N352" s="37"/>
      <c r="O352" s="37">
        <f>IFERROR(__xludf.DUMMYFUNCTION("""COMPUTED_VALUE"""),1.0)</f>
        <v>1</v>
      </c>
      <c r="P352" s="199">
        <f>IFERROR(__xludf.DUMMYFUNCTION("""COMPUTED_VALUE"""),0.05)</f>
        <v>0.05</v>
      </c>
      <c r="Q352" s="199">
        <f>IFERROR(__xludf.DUMMYFUNCTION("""COMPUTED_VALUE"""),0.0)</f>
        <v>0</v>
      </c>
      <c r="R352" s="199">
        <f>IFERROR(__xludf.DUMMYFUNCTION("""COMPUTED_VALUE"""),3.0)</f>
        <v>3</v>
      </c>
      <c r="S352" s="199">
        <f>IFERROR(__xludf.DUMMYFUNCTION("""COMPUTED_VALUE"""),0.0)</f>
        <v>0</v>
      </c>
      <c r="T352" s="199">
        <f>IFERROR(__xludf.DUMMYFUNCTION("""COMPUTED_VALUE"""),0.0)</f>
        <v>0</v>
      </c>
      <c r="U352" s="199">
        <f>IFERROR(__xludf.DUMMYFUNCTION("""COMPUTED_VALUE"""),79.0)</f>
        <v>79</v>
      </c>
      <c r="V352" s="199">
        <f>IFERROR(__xludf.DUMMYFUNCTION("""COMPUTED_VALUE"""),3.0)</f>
        <v>3</v>
      </c>
      <c r="W352" s="199">
        <f>IFERROR(__xludf.DUMMYFUNCTION("""COMPUTED_VALUE"""),0.0)</f>
        <v>0</v>
      </c>
      <c r="X352" s="199">
        <f>IFERROR(__xludf.DUMMYFUNCTION("""COMPUTED_VALUE"""),18.0)</f>
        <v>18</v>
      </c>
      <c r="Y352" s="199">
        <f>IFERROR(__xludf.DUMMYFUNCTION("""COMPUTED_VALUE"""),0.0)</f>
        <v>0</v>
      </c>
      <c r="Z352" s="199">
        <f>IFERROR(__xludf.DUMMYFUNCTION("""COMPUTED_VALUE"""),0.0)</f>
        <v>0</v>
      </c>
      <c r="AA352" s="199">
        <f>IFERROR(__xludf.DUMMYFUNCTION("""COMPUTED_VALUE"""),0.0)</f>
        <v>0</v>
      </c>
      <c r="AB352" s="199">
        <f>IFERROR(__xludf.DUMMYFUNCTION("""COMPUTED_VALUE"""),15.0)</f>
        <v>15</v>
      </c>
      <c r="AC352" s="199">
        <f>IFERROR(__xludf.DUMMYFUNCTION("""COMPUTED_VALUE"""),23.0)</f>
        <v>23</v>
      </c>
      <c r="AD352" s="199">
        <f>IFERROR(__xludf.DUMMYFUNCTION("""COMPUTED_VALUE"""),0.0)</f>
        <v>0</v>
      </c>
      <c r="AE352" s="199">
        <f>IFERROR(__xludf.DUMMYFUNCTION("""COMPUTED_VALUE"""),141.0)</f>
        <v>141</v>
      </c>
      <c r="AF352" s="199">
        <f>IFERROR(__xludf.DUMMYFUNCTION("""COMPUTED_VALUE"""),2.0)</f>
        <v>2</v>
      </c>
      <c r="AG352" s="199">
        <f>IFERROR(__xludf.DUMMYFUNCTION("""COMPUTED_VALUE"""),345.0)</f>
        <v>345</v>
      </c>
      <c r="AH352" s="199">
        <f>IFERROR(__xludf.DUMMYFUNCTION("""COMPUTED_VALUE"""),4.0)</f>
        <v>4</v>
      </c>
      <c r="AI352" s="200" t="str">
        <f>IFERROR(__xludf.DUMMYFUNCTION("""COMPUTED_VALUE"""),"Wear Metal Caution")</f>
        <v>Wear Metal Caution</v>
      </c>
      <c r="AJ352" s="200" t="str">
        <f>IFERROR(__xludf.DUMMYFUNCTION("""COMPUTED_VALUE"""),"Elevated wear metals - monitor trend; inspect at next opportunity")</f>
        <v>Elevated wear metals - monitor trend; inspect at next opportunity</v>
      </c>
      <c r="AK352" s="204"/>
      <c r="AL352" s="204"/>
      <c r="AM352" s="204"/>
    </row>
    <row r="353" hidden="1">
      <c r="A353" s="199" t="str">
        <f>IFERROR(__xludf.DUMMYFUNCTION("""COMPUTED_VALUE"""),"531.LQ145")</f>
        <v>531.LQ145</v>
      </c>
      <c r="B353" s="200" t="str">
        <f>IFERROR(__xludf.DUMMYFUNCTION("""COMPUTED_VALUE"""),"Cement Mill #1 Gear box")</f>
        <v>Cement Mill #1 Gear box</v>
      </c>
      <c r="C353" s="199">
        <f>IFERROR(__xludf.DUMMYFUNCTION("""COMPUTED_VALUE"""),2.518029626E10)</f>
        <v>25180296260</v>
      </c>
      <c r="D353" s="201">
        <f>IFERROR(__xludf.DUMMYFUNCTION("""COMPUTED_VALUE"""),45826.0)</f>
        <v>45826</v>
      </c>
      <c r="E353" s="202" t="str">
        <f>IFERROR(__xludf.DUMMYFUNCTION("""COMPUTED_VALUE"""),"Alert")</f>
        <v>Alert</v>
      </c>
      <c r="F353" s="202" t="str">
        <f>IFERROR(__xludf.DUMMYFUNCTION("""COMPUTED_VALUE"""),"Alert")</f>
        <v>Alert</v>
      </c>
      <c r="G353" s="203" t="str">
        <f>IFERROR(__xludf.DUMMYFUNCTION("""COMPUTED_VALUE"""),"Alert")</f>
        <v>Alert</v>
      </c>
      <c r="H353" s="203" t="str">
        <f>IFERROR(__xludf.DUMMYFUNCTION("""COMPUTED_VALUE"""),"Caution")</f>
        <v>Caution</v>
      </c>
      <c r="I353" s="37"/>
      <c r="J353" s="37"/>
      <c r="K353" s="37"/>
      <c r="L353" s="199">
        <f>IFERROR(__xludf.DUMMYFUNCTION("""COMPUTED_VALUE"""),50.0)</f>
        <v>50</v>
      </c>
      <c r="M353" s="199">
        <f>IFERROR(__xludf.DUMMYFUNCTION("""COMPUTED_VALUE"""),460.5)</f>
        <v>460.5</v>
      </c>
      <c r="N353" s="37"/>
      <c r="O353" s="37">
        <f>IFERROR(__xludf.DUMMYFUNCTION("""COMPUTED_VALUE"""),6.0)</f>
        <v>6</v>
      </c>
      <c r="P353" s="199">
        <f>IFERROR(__xludf.DUMMYFUNCTION("""COMPUTED_VALUE"""),0.11)</f>
        <v>0.11</v>
      </c>
      <c r="Q353" s="199">
        <f>IFERROR(__xludf.DUMMYFUNCTION("""COMPUTED_VALUE"""),0.0)</f>
        <v>0</v>
      </c>
      <c r="R353" s="199">
        <f>IFERROR(__xludf.DUMMYFUNCTION("""COMPUTED_VALUE"""),13.0)</f>
        <v>13</v>
      </c>
      <c r="S353" s="199">
        <f>IFERROR(__xludf.DUMMYFUNCTION("""COMPUTED_VALUE"""),0.0)</f>
        <v>0</v>
      </c>
      <c r="T353" s="199">
        <f>IFERROR(__xludf.DUMMYFUNCTION("""COMPUTED_VALUE"""),28.0)</f>
        <v>28</v>
      </c>
      <c r="U353" s="199">
        <f>IFERROR(__xludf.DUMMYFUNCTION("""COMPUTED_VALUE"""),100.0)</f>
        <v>100</v>
      </c>
      <c r="V353" s="199">
        <f>IFERROR(__xludf.DUMMYFUNCTION("""COMPUTED_VALUE"""),0.0)</f>
        <v>0</v>
      </c>
      <c r="W353" s="199">
        <f>IFERROR(__xludf.DUMMYFUNCTION("""COMPUTED_VALUE"""),0.0)</f>
        <v>0</v>
      </c>
      <c r="X353" s="199">
        <f>IFERROR(__xludf.DUMMYFUNCTION("""COMPUTED_VALUE"""),19.0)</f>
        <v>19</v>
      </c>
      <c r="Y353" s="199">
        <f>IFERROR(__xludf.DUMMYFUNCTION("""COMPUTED_VALUE"""),0.0)</f>
        <v>0</v>
      </c>
      <c r="Z353" s="199">
        <f>IFERROR(__xludf.DUMMYFUNCTION("""COMPUTED_VALUE"""),5.0)</f>
        <v>5</v>
      </c>
      <c r="AA353" s="199">
        <f>IFERROR(__xludf.DUMMYFUNCTION("""COMPUTED_VALUE"""),2.0)</f>
        <v>2</v>
      </c>
      <c r="AB353" s="199">
        <f>IFERROR(__xludf.DUMMYFUNCTION("""COMPUTED_VALUE"""),47.0)</f>
        <v>47</v>
      </c>
      <c r="AC353" s="199">
        <f>IFERROR(__xludf.DUMMYFUNCTION("""COMPUTED_VALUE"""),37.0)</f>
        <v>37</v>
      </c>
      <c r="AD353" s="199">
        <f>IFERROR(__xludf.DUMMYFUNCTION("""COMPUTED_VALUE"""),0.0)</f>
        <v>0</v>
      </c>
      <c r="AE353" s="199">
        <f>IFERROR(__xludf.DUMMYFUNCTION("""COMPUTED_VALUE"""),451.0)</f>
        <v>451</v>
      </c>
      <c r="AF353" s="199">
        <f>IFERROR(__xludf.DUMMYFUNCTION("""COMPUTED_VALUE"""),10.0)</f>
        <v>10</v>
      </c>
      <c r="AG353" s="199">
        <f>IFERROR(__xludf.DUMMYFUNCTION("""COMPUTED_VALUE"""),389.0)</f>
        <v>389</v>
      </c>
      <c r="AH353" s="199">
        <f>IFERROR(__xludf.DUMMYFUNCTION("""COMPUTED_VALUE"""),18.0)</f>
        <v>18</v>
      </c>
      <c r="AI353" s="200" t="str">
        <f>IFERROR(__xludf.DUMMYFUNCTION("""COMPUTED_VALUE"""),"Wear Metal Alert | Water Ingress")</f>
        <v>Wear Metal Alert | Water Ingress</v>
      </c>
      <c r="AJ353" s="200" t="str">
        <f>IFERROR(__xludf.DUMMYFUNCTION("""COMPUTED_VALUE"""),"URGENT: Inspect equipment immediately for wear/damage; Water detected - inspect seals and breathers; Severe oxidation - lubricant change required urgently; Elevated silicon - inspect filters and seals for contamination")</f>
        <v>URGENT: Inspect equipment immediately for wear/damage; Water detected - inspect seals and breathers; Severe oxidation - lubricant change required urgently; Elevated silicon - inspect filters and seals for contamination</v>
      </c>
      <c r="AK353" s="204"/>
      <c r="AL353" s="204"/>
      <c r="AM353" s="204"/>
    </row>
    <row r="354" hidden="1">
      <c r="A354" s="199" t="str">
        <f>IFERROR(__xludf.DUMMYFUNCTION("""COMPUTED_VALUE"""),"532.BE220")</f>
        <v>532.BE220</v>
      </c>
      <c r="B354" s="200" t="str">
        <f>IFERROR(__xludf.DUMMYFUNCTION("""COMPUTED_VALUE"""),"Bucket Elevator BM#2 GB.")</f>
        <v>Bucket Elevator BM#2 GB.</v>
      </c>
      <c r="C354" s="199">
        <f>IFERROR(__xludf.DUMMYFUNCTION("""COMPUTED_VALUE"""),2.5180296241E10)</f>
        <v>25180296241</v>
      </c>
      <c r="D354" s="201">
        <f>IFERROR(__xludf.DUMMYFUNCTION("""COMPUTED_VALUE"""),45826.0)</f>
        <v>45826</v>
      </c>
      <c r="E354" s="202" t="str">
        <f>IFERROR(__xludf.DUMMYFUNCTION("""COMPUTED_VALUE"""),"Caution")</f>
        <v>Caution</v>
      </c>
      <c r="F354" s="202" t="str">
        <f>IFERROR(__xludf.DUMMYFUNCTION("""COMPUTED_VALUE"""),"Caution")</f>
        <v>Caution</v>
      </c>
      <c r="G354" s="203" t="str">
        <f>IFERROR(__xludf.DUMMYFUNCTION("""COMPUTED_VALUE"""),"Normal")</f>
        <v>Normal</v>
      </c>
      <c r="H354" s="203" t="str">
        <f>IFERROR(__xludf.DUMMYFUNCTION("""COMPUTED_VALUE"""),"Normal")</f>
        <v>Normal</v>
      </c>
      <c r="I354" s="199"/>
      <c r="J354" s="199"/>
      <c r="K354" s="199"/>
      <c r="L354" s="199">
        <f>IFERROR(__xludf.DUMMYFUNCTION("""COMPUTED_VALUE"""),21.0)</f>
        <v>21</v>
      </c>
      <c r="M354" s="199">
        <f>IFERROR(__xludf.DUMMYFUNCTION("""COMPUTED_VALUE"""),287.6)</f>
        <v>287.6</v>
      </c>
      <c r="N354" s="37"/>
      <c r="O354" s="37">
        <f>IFERROR(__xludf.DUMMYFUNCTION("""COMPUTED_VALUE"""),0.0)</f>
        <v>0</v>
      </c>
      <c r="P354" s="199">
        <f>IFERROR(__xludf.DUMMYFUNCTION("""COMPUTED_VALUE"""),0.06)</f>
        <v>0.06</v>
      </c>
      <c r="Q354" s="199">
        <f>IFERROR(__xludf.DUMMYFUNCTION("""COMPUTED_VALUE"""),0.0)</f>
        <v>0</v>
      </c>
      <c r="R354" s="199">
        <f>IFERROR(__xludf.DUMMYFUNCTION("""COMPUTED_VALUE"""),11.0)</f>
        <v>11</v>
      </c>
      <c r="S354" s="199">
        <f>IFERROR(__xludf.DUMMYFUNCTION("""COMPUTED_VALUE"""),0.0)</f>
        <v>0</v>
      </c>
      <c r="T354" s="199">
        <f>IFERROR(__xludf.DUMMYFUNCTION("""COMPUTED_VALUE"""),1.0)</f>
        <v>1</v>
      </c>
      <c r="U354" s="199">
        <f>IFERROR(__xludf.DUMMYFUNCTION("""COMPUTED_VALUE"""),63.0)</f>
        <v>63</v>
      </c>
      <c r="V354" s="199">
        <f>IFERROR(__xludf.DUMMYFUNCTION("""COMPUTED_VALUE"""),0.0)</f>
        <v>0</v>
      </c>
      <c r="W354" s="199">
        <f>IFERROR(__xludf.DUMMYFUNCTION("""COMPUTED_VALUE"""),0.0)</f>
        <v>0</v>
      </c>
      <c r="X354" s="199">
        <f>IFERROR(__xludf.DUMMYFUNCTION("""COMPUTED_VALUE"""),1.0)</f>
        <v>1</v>
      </c>
      <c r="Y354" s="199">
        <f>IFERROR(__xludf.DUMMYFUNCTION("""COMPUTED_VALUE"""),0.0)</f>
        <v>0</v>
      </c>
      <c r="Z354" s="199">
        <f>IFERROR(__xludf.DUMMYFUNCTION("""COMPUTED_VALUE"""),2.0)</f>
        <v>2</v>
      </c>
      <c r="AA354" s="199">
        <f>IFERROR(__xludf.DUMMYFUNCTION("""COMPUTED_VALUE"""),0.0)</f>
        <v>0</v>
      </c>
      <c r="AB354" s="199">
        <f>IFERROR(__xludf.DUMMYFUNCTION("""COMPUTED_VALUE"""),14.0)</f>
        <v>14</v>
      </c>
      <c r="AC354" s="199">
        <f>IFERROR(__xludf.DUMMYFUNCTION("""COMPUTED_VALUE"""),12.0)</f>
        <v>12</v>
      </c>
      <c r="AD354" s="199">
        <f>IFERROR(__xludf.DUMMYFUNCTION("""COMPUTED_VALUE"""),0.0)</f>
        <v>0</v>
      </c>
      <c r="AE354" s="199">
        <f>IFERROR(__xludf.DUMMYFUNCTION("""COMPUTED_VALUE"""),121.0)</f>
        <v>121</v>
      </c>
      <c r="AF354" s="199">
        <f>IFERROR(__xludf.DUMMYFUNCTION("""COMPUTED_VALUE"""),5.0)</f>
        <v>5</v>
      </c>
      <c r="AG354" s="199">
        <f>IFERROR(__xludf.DUMMYFUNCTION("""COMPUTED_VALUE"""),220.0)</f>
        <v>220</v>
      </c>
      <c r="AH354" s="199">
        <f>IFERROR(__xludf.DUMMYFUNCTION("""COMPUTED_VALUE"""),28.0)</f>
        <v>28</v>
      </c>
      <c r="AI354" s="200" t="str">
        <f>IFERROR(__xludf.DUMMYFUNCTION("""COMPUTED_VALUE"""),"Wear Metal Caution | Moisture Caution")</f>
        <v>Wear Metal Caution | Moisture Caution</v>
      </c>
      <c r="AJ354" s="200" t="str">
        <f>IFERROR(__xludf.DUMMYFUNCTION("""COMPUTED_VALUE"""),"Elevated wear metals - monitor trend; inspect at next opportunity; Moisture detected - check breathers and seals")</f>
        <v>Elevated wear metals - monitor trend; inspect at next opportunity; Moisture detected - check breathers and seals</v>
      </c>
      <c r="AK354" s="204"/>
      <c r="AL354" s="204"/>
      <c r="AM354" s="204"/>
    </row>
    <row r="355" hidden="1">
      <c r="A355" s="199" t="str">
        <f>IFERROR(__xludf.DUMMYFUNCTION("""COMPUTED_VALUE"""),"533.LQ145")</f>
        <v>533.LQ145</v>
      </c>
      <c r="B355" s="200" t="str">
        <f>IFERROR(__xludf.DUMMYFUNCTION("""COMPUTED_VALUE"""),"Cement Mill #3 Gear box")</f>
        <v>Cement Mill #3 Gear box</v>
      </c>
      <c r="C355" s="199">
        <f>IFERROR(__xludf.DUMMYFUNCTION("""COMPUTED_VALUE"""),2.5180296265E10)</f>
        <v>25180296265</v>
      </c>
      <c r="D355" s="201">
        <f>IFERROR(__xludf.DUMMYFUNCTION("""COMPUTED_VALUE"""),45826.0)</f>
        <v>45826</v>
      </c>
      <c r="E355" s="202" t="str">
        <f>IFERROR(__xludf.DUMMYFUNCTION("""COMPUTED_VALUE"""),"Alert")</f>
        <v>Alert</v>
      </c>
      <c r="F355" s="202" t="str">
        <f>IFERROR(__xludf.DUMMYFUNCTION("""COMPUTED_VALUE"""),"Alert")</f>
        <v>Alert</v>
      </c>
      <c r="G355" s="203" t="str">
        <f>IFERROR(__xludf.DUMMYFUNCTION("""COMPUTED_VALUE"""),"Alert")</f>
        <v>Alert</v>
      </c>
      <c r="H355" s="203" t="str">
        <f>IFERROR(__xludf.DUMMYFUNCTION("""COMPUTED_VALUE"""),"Normal")</f>
        <v>Normal</v>
      </c>
      <c r="I355" s="37"/>
      <c r="J355" s="37"/>
      <c r="K355" s="37"/>
      <c r="L355" s="199">
        <f>IFERROR(__xludf.DUMMYFUNCTION("""COMPUTED_VALUE"""),153.0)</f>
        <v>153</v>
      </c>
      <c r="M355" s="199">
        <f>IFERROR(__xludf.DUMMYFUNCTION("""COMPUTED_VALUE"""),413.9)</f>
        <v>413.9</v>
      </c>
      <c r="N355" s="37"/>
      <c r="O355" s="37">
        <f>IFERROR(__xludf.DUMMYFUNCTION("""COMPUTED_VALUE"""),3.0)</f>
        <v>3</v>
      </c>
      <c r="P355" s="199">
        <f>IFERROR(__xludf.DUMMYFUNCTION("""COMPUTED_VALUE"""),0.7)</f>
        <v>0.7</v>
      </c>
      <c r="Q355" s="199">
        <f>IFERROR(__xludf.DUMMYFUNCTION("""COMPUTED_VALUE"""),0.0)</f>
        <v>0</v>
      </c>
      <c r="R355" s="199">
        <f>IFERROR(__xludf.DUMMYFUNCTION("""COMPUTED_VALUE"""),4.0)</f>
        <v>4</v>
      </c>
      <c r="S355" s="199">
        <f>IFERROR(__xludf.DUMMYFUNCTION("""COMPUTED_VALUE"""),0.0)</f>
        <v>0</v>
      </c>
      <c r="T355" s="199">
        <f>IFERROR(__xludf.DUMMYFUNCTION("""COMPUTED_VALUE"""),48.0)</f>
        <v>48</v>
      </c>
      <c r="U355" s="199">
        <f>IFERROR(__xludf.DUMMYFUNCTION("""COMPUTED_VALUE"""),66.0)</f>
        <v>66</v>
      </c>
      <c r="V355" s="199">
        <f>IFERROR(__xludf.DUMMYFUNCTION("""COMPUTED_VALUE"""),0.0)</f>
        <v>0</v>
      </c>
      <c r="W355" s="199">
        <f>IFERROR(__xludf.DUMMYFUNCTION("""COMPUTED_VALUE"""),0.0)</f>
        <v>0</v>
      </c>
      <c r="X355" s="199">
        <f>IFERROR(__xludf.DUMMYFUNCTION("""COMPUTED_VALUE"""),15.0)</f>
        <v>15</v>
      </c>
      <c r="Y355" s="199">
        <f>IFERROR(__xludf.DUMMYFUNCTION("""COMPUTED_VALUE"""),22.0)</f>
        <v>22</v>
      </c>
      <c r="Z355" s="199">
        <f>IFERROR(__xludf.DUMMYFUNCTION("""COMPUTED_VALUE"""),2.0)</f>
        <v>2</v>
      </c>
      <c r="AA355" s="199">
        <f>IFERROR(__xludf.DUMMYFUNCTION("""COMPUTED_VALUE"""),0.0)</f>
        <v>0</v>
      </c>
      <c r="AB355" s="199">
        <f>IFERROR(__xludf.DUMMYFUNCTION("""COMPUTED_VALUE"""),20.0)</f>
        <v>20</v>
      </c>
      <c r="AC355" s="199">
        <f>IFERROR(__xludf.DUMMYFUNCTION("""COMPUTED_VALUE"""),15.0)</f>
        <v>15</v>
      </c>
      <c r="AD355" s="199">
        <f>IFERROR(__xludf.DUMMYFUNCTION("""COMPUTED_VALUE"""),0.0)</f>
        <v>0</v>
      </c>
      <c r="AE355" s="199">
        <f>IFERROR(__xludf.DUMMYFUNCTION("""COMPUTED_VALUE"""),249.0)</f>
        <v>249</v>
      </c>
      <c r="AF355" s="199">
        <f>IFERROR(__xludf.DUMMYFUNCTION("""COMPUTED_VALUE"""),13.0)</f>
        <v>13</v>
      </c>
      <c r="AG355" s="199">
        <f>IFERROR(__xludf.DUMMYFUNCTION("""COMPUTED_VALUE"""),252.0)</f>
        <v>252</v>
      </c>
      <c r="AH355" s="199">
        <f>IFERROR(__xludf.DUMMYFUNCTION("""COMPUTED_VALUE"""),32.0)</f>
        <v>32</v>
      </c>
      <c r="AI355" s="200" t="str">
        <f>IFERROR(__xludf.DUMMYFUNCTION("""COMPUTED_VALUE"""),"Wear Metal Alert | Water Ingress | High Particle Count")</f>
        <v>Wear Metal Alert | Water Ingress | High Particle Count</v>
      </c>
      <c r="AJ355" s="200" t="str">
        <f>IFERROR(__xludf.DUMMYFUNCTION("""COMPUTED_VALUE"""),"URGENT: Inspect equipment immediately for wear/damage; High water contamination - check seals and drain water immediately; Critical particle count - flush system and replace filters")</f>
        <v>URGENT: Inspect equipment immediately for wear/damage; High water contamination - check seals and drain water immediately; Critical particle count - flush system and replace filters</v>
      </c>
      <c r="AK355" s="204"/>
      <c r="AL355" s="204"/>
      <c r="AM355" s="204"/>
    </row>
    <row r="356" hidden="1">
      <c r="A356" s="199" t="str">
        <f>IFERROR(__xludf.DUMMYFUNCTION("""COMPUTED_VALUE"""),"534.BE220")</f>
        <v>534.BE220</v>
      </c>
      <c r="B356" s="200" t="str">
        <f>IFERROR(__xludf.DUMMYFUNCTION("""COMPUTED_VALUE"""),"Bucket Elevator BM#4 GB.")</f>
        <v>Bucket Elevator BM#4 GB.</v>
      </c>
      <c r="C356" s="199">
        <f>IFERROR(__xludf.DUMMYFUNCTION("""COMPUTED_VALUE"""),2.5175246227E10)</f>
        <v>25175246227</v>
      </c>
      <c r="D356" s="201">
        <f>IFERROR(__xludf.DUMMYFUNCTION("""COMPUTED_VALUE"""),45826.0)</f>
        <v>45826</v>
      </c>
      <c r="E356" s="202" t="str">
        <f>IFERROR(__xludf.DUMMYFUNCTION("""COMPUTED_VALUE"""),"Caution")</f>
        <v>Caution</v>
      </c>
      <c r="F356" s="202" t="str">
        <f>IFERROR(__xludf.DUMMYFUNCTION("""COMPUTED_VALUE"""),"Caution")</f>
        <v>Caution</v>
      </c>
      <c r="G356" s="203" t="str">
        <f>IFERROR(__xludf.DUMMYFUNCTION("""COMPUTED_VALUE"""),"Normal")</f>
        <v>Normal</v>
      </c>
      <c r="H356" s="203" t="str">
        <f>IFERROR(__xludf.DUMMYFUNCTION("""COMPUTED_VALUE"""),"Normal")</f>
        <v>Normal</v>
      </c>
      <c r="I356" s="37"/>
      <c r="J356" s="37"/>
      <c r="K356" s="37"/>
      <c r="L356" s="199">
        <f>IFERROR(__xludf.DUMMYFUNCTION("""COMPUTED_VALUE"""),13.0)</f>
        <v>13</v>
      </c>
      <c r="M356" s="199">
        <f>IFERROR(__xludf.DUMMYFUNCTION("""COMPUTED_VALUE"""),293.8)</f>
        <v>293.8</v>
      </c>
      <c r="N356" s="37"/>
      <c r="O356" s="37">
        <f>IFERROR(__xludf.DUMMYFUNCTION("""COMPUTED_VALUE"""),1.0)</f>
        <v>1</v>
      </c>
      <c r="P356" s="199">
        <f>IFERROR(__xludf.DUMMYFUNCTION("""COMPUTED_VALUE"""),0.05)</f>
        <v>0.05</v>
      </c>
      <c r="Q356" s="199">
        <f>IFERROR(__xludf.DUMMYFUNCTION("""COMPUTED_VALUE"""),0.0)</f>
        <v>0</v>
      </c>
      <c r="R356" s="199">
        <f>IFERROR(__xludf.DUMMYFUNCTION("""COMPUTED_VALUE"""),8.0)</f>
        <v>8</v>
      </c>
      <c r="S356" s="199">
        <f>IFERROR(__xludf.DUMMYFUNCTION("""COMPUTED_VALUE"""),2.0)</f>
        <v>2</v>
      </c>
      <c r="T356" s="199">
        <f>IFERROR(__xludf.DUMMYFUNCTION("""COMPUTED_VALUE"""),0.0)</f>
        <v>0</v>
      </c>
      <c r="U356" s="199">
        <f>IFERROR(__xludf.DUMMYFUNCTION("""COMPUTED_VALUE"""),24.0)</f>
        <v>24</v>
      </c>
      <c r="V356" s="199">
        <f>IFERROR(__xludf.DUMMYFUNCTION("""COMPUTED_VALUE"""),0.0)</f>
        <v>0</v>
      </c>
      <c r="W356" s="199">
        <f>IFERROR(__xludf.DUMMYFUNCTION("""COMPUTED_VALUE"""),0.0)</f>
        <v>0</v>
      </c>
      <c r="X356" s="199">
        <f>IFERROR(__xludf.DUMMYFUNCTION("""COMPUTED_VALUE"""),0.0)</f>
        <v>0</v>
      </c>
      <c r="Y356" s="199">
        <f>IFERROR(__xludf.DUMMYFUNCTION("""COMPUTED_VALUE"""),0.0)</f>
        <v>0</v>
      </c>
      <c r="Z356" s="199">
        <f>IFERROR(__xludf.DUMMYFUNCTION("""COMPUTED_VALUE"""),0.0)</f>
        <v>0</v>
      </c>
      <c r="AA356" s="199">
        <f>IFERROR(__xludf.DUMMYFUNCTION("""COMPUTED_VALUE"""),0.0)</f>
        <v>0</v>
      </c>
      <c r="AB356" s="199">
        <f>IFERROR(__xludf.DUMMYFUNCTION("""COMPUTED_VALUE"""),22.0)</f>
        <v>22</v>
      </c>
      <c r="AC356" s="199">
        <f>IFERROR(__xludf.DUMMYFUNCTION("""COMPUTED_VALUE"""),14.0)</f>
        <v>14</v>
      </c>
      <c r="AD356" s="199">
        <f>IFERROR(__xludf.DUMMYFUNCTION("""COMPUTED_VALUE"""),0.0)</f>
        <v>0</v>
      </c>
      <c r="AE356" s="199">
        <f>IFERROR(__xludf.DUMMYFUNCTION("""COMPUTED_VALUE"""),60.0)</f>
        <v>60</v>
      </c>
      <c r="AF356" s="199">
        <f>IFERROR(__xludf.DUMMYFUNCTION("""COMPUTED_VALUE"""),2.0)</f>
        <v>2</v>
      </c>
      <c r="AG356" s="199">
        <f>IFERROR(__xludf.DUMMYFUNCTION("""COMPUTED_VALUE"""),442.0)</f>
        <v>442</v>
      </c>
      <c r="AH356" s="199">
        <f>IFERROR(__xludf.DUMMYFUNCTION("""COMPUTED_VALUE"""),0.0)</f>
        <v>0</v>
      </c>
      <c r="AI356" s="200" t="str">
        <f>IFERROR(__xludf.DUMMYFUNCTION("""COMPUTED_VALUE"""),"Contamination Caution")</f>
        <v>Contamination Caution</v>
      </c>
      <c r="AJ356" s="200" t="str">
        <f>IFERROR(__xludf.DUMMYFUNCTION("""COMPUTED_VALUE"""),"Silicon elevated - check air filtration and seals")</f>
        <v>Silicon elevated - check air filtration and seals</v>
      </c>
      <c r="AK356" s="204"/>
      <c r="AL356" s="204"/>
      <c r="AM356" s="204"/>
    </row>
    <row r="357" hidden="1">
      <c r="A357" s="199" t="str">
        <f>IFERROR(__xludf.DUMMYFUNCTION("""COMPUTED_VALUE"""),"534.LQ145 GearBox")</f>
        <v>534.LQ145 GearBox</v>
      </c>
      <c r="B357" s="200" t="str">
        <f>IFERROR(__xludf.DUMMYFUNCTION("""COMPUTED_VALUE"""),"Cement Mill #4 Gear box")</f>
        <v>Cement Mill #4 Gear box</v>
      </c>
      <c r="C357" s="199">
        <f>IFERROR(__xludf.DUMMYFUNCTION("""COMPUTED_VALUE"""),2.5180296249E10)</f>
        <v>25180296249</v>
      </c>
      <c r="D357" s="201">
        <f>IFERROR(__xludf.DUMMYFUNCTION("""COMPUTED_VALUE"""),45826.0)</f>
        <v>45826</v>
      </c>
      <c r="E357" s="202" t="str">
        <f>IFERROR(__xludf.DUMMYFUNCTION("""COMPUTED_VALUE"""),"Alert")</f>
        <v>Alert</v>
      </c>
      <c r="F357" s="202" t="str">
        <f>IFERROR(__xludf.DUMMYFUNCTION("""COMPUTED_VALUE"""),"Alert")</f>
        <v>Alert</v>
      </c>
      <c r="G357" s="203" t="str">
        <f>IFERROR(__xludf.DUMMYFUNCTION("""COMPUTED_VALUE"""),"Alert")</f>
        <v>Alert</v>
      </c>
      <c r="H357" s="203" t="str">
        <f>IFERROR(__xludf.DUMMYFUNCTION("""COMPUTED_VALUE"""),"Normal")</f>
        <v>Normal</v>
      </c>
      <c r="I357" s="199"/>
      <c r="J357" s="199"/>
      <c r="K357" s="199"/>
      <c r="L357" s="199">
        <f>IFERROR(__xludf.DUMMYFUNCTION("""COMPUTED_VALUE"""),121.0)</f>
        <v>121</v>
      </c>
      <c r="M357" s="199">
        <f>IFERROR(__xludf.DUMMYFUNCTION("""COMPUTED_VALUE"""),412.5)</f>
        <v>412.5</v>
      </c>
      <c r="N357" s="199"/>
      <c r="O357" s="199">
        <f>IFERROR(__xludf.DUMMYFUNCTION("""COMPUTED_VALUE"""),3.0)</f>
        <v>3</v>
      </c>
      <c r="P357" s="199">
        <f>IFERROR(__xludf.DUMMYFUNCTION("""COMPUTED_VALUE"""),0.5)</f>
        <v>0.5</v>
      </c>
      <c r="Q357" s="199">
        <f>IFERROR(__xludf.DUMMYFUNCTION("""COMPUTED_VALUE"""),0.0)</f>
        <v>0</v>
      </c>
      <c r="R357" s="199">
        <f>IFERROR(__xludf.DUMMYFUNCTION("""COMPUTED_VALUE"""),3.0)</f>
        <v>3</v>
      </c>
      <c r="S357" s="199">
        <f>IFERROR(__xludf.DUMMYFUNCTION("""COMPUTED_VALUE"""),0.0)</f>
        <v>0</v>
      </c>
      <c r="T357" s="199">
        <f>IFERROR(__xludf.DUMMYFUNCTION("""COMPUTED_VALUE"""),58.0)</f>
        <v>58</v>
      </c>
      <c r="U357" s="199">
        <f>IFERROR(__xludf.DUMMYFUNCTION("""COMPUTED_VALUE"""),88.0)</f>
        <v>88</v>
      </c>
      <c r="V357" s="199">
        <f>IFERROR(__xludf.DUMMYFUNCTION("""COMPUTED_VALUE"""),3.0)</f>
        <v>3</v>
      </c>
      <c r="W357" s="199">
        <f>IFERROR(__xludf.DUMMYFUNCTION("""COMPUTED_VALUE"""),0.0)</f>
        <v>0</v>
      </c>
      <c r="X357" s="199">
        <f>IFERROR(__xludf.DUMMYFUNCTION("""COMPUTED_VALUE"""),11.0)</f>
        <v>11</v>
      </c>
      <c r="Y357" s="199">
        <f>IFERROR(__xludf.DUMMYFUNCTION("""COMPUTED_VALUE"""),0.0)</f>
        <v>0</v>
      </c>
      <c r="Z357" s="199">
        <f>IFERROR(__xludf.DUMMYFUNCTION("""COMPUTED_VALUE"""),2.0)</f>
        <v>2</v>
      </c>
      <c r="AA357" s="199">
        <f>IFERROR(__xludf.DUMMYFUNCTION("""COMPUTED_VALUE"""),2.0)</f>
        <v>2</v>
      </c>
      <c r="AB357" s="199">
        <f>IFERROR(__xludf.DUMMYFUNCTION("""COMPUTED_VALUE"""),19.0)</f>
        <v>19</v>
      </c>
      <c r="AC357" s="199">
        <f>IFERROR(__xludf.DUMMYFUNCTION("""COMPUTED_VALUE"""),10.0)</f>
        <v>10</v>
      </c>
      <c r="AD357" s="199">
        <f>IFERROR(__xludf.DUMMYFUNCTION("""COMPUTED_VALUE"""),0.0)</f>
        <v>0</v>
      </c>
      <c r="AE357" s="199">
        <f>IFERROR(__xludf.DUMMYFUNCTION("""COMPUTED_VALUE"""),190.0)</f>
        <v>190</v>
      </c>
      <c r="AF357" s="199">
        <f>IFERROR(__xludf.DUMMYFUNCTION("""COMPUTED_VALUE"""),6.0)</f>
        <v>6</v>
      </c>
      <c r="AG357" s="199">
        <f>IFERROR(__xludf.DUMMYFUNCTION("""COMPUTED_VALUE"""),328.0)</f>
        <v>328</v>
      </c>
      <c r="AH357" s="199">
        <f>IFERROR(__xludf.DUMMYFUNCTION("""COMPUTED_VALUE"""),13.0)</f>
        <v>13</v>
      </c>
      <c r="AI357" s="200" t="str">
        <f>IFERROR(__xludf.DUMMYFUNCTION("""COMPUTED_VALUE"""),"Wear Metal Alert | Water Ingress | High Particle Count")</f>
        <v>Wear Metal Alert | Water Ingress | High Particle Count</v>
      </c>
      <c r="AJ357" s="200" t="str">
        <f>IFERROR(__xludf.DUMMYFUNCTION("""COMPUTED_VALUE"""),"URGENT: Inspect equipment immediately for wear/damage; High water contamination - check seals and drain water immediately; High particle count - replace filters and resample")</f>
        <v>URGENT: Inspect equipment immediately for wear/damage; High water contamination - check seals and drain water immediately; High particle count - replace filters and resample</v>
      </c>
      <c r="AK357" s="204"/>
      <c r="AL357" s="204"/>
      <c r="AM357" s="204"/>
    </row>
    <row r="358" hidden="1">
      <c r="A358" s="199" t="str">
        <f>IFERROR(__xludf.DUMMYFUNCTION("""COMPUTED_VALUE"""),"534.MD302")</f>
        <v>534.MD302</v>
      </c>
      <c r="B358" s="200" t="str">
        <f>IFERROR(__xludf.DUMMYFUNCTION("""COMPUTED_VALUE"""),"Cement Mill #4 Separator GB")</f>
        <v>Cement Mill #4 Separator GB</v>
      </c>
      <c r="C358" s="199">
        <f>IFERROR(__xludf.DUMMYFUNCTION("""COMPUTED_VALUE"""),2.5180296248E10)</f>
        <v>25180296248</v>
      </c>
      <c r="D358" s="201">
        <f>IFERROR(__xludf.DUMMYFUNCTION("""COMPUTED_VALUE"""),45826.0)</f>
        <v>45826</v>
      </c>
      <c r="E358" s="202" t="str">
        <f>IFERROR(__xludf.DUMMYFUNCTION("""COMPUTED_VALUE"""),"Alert")</f>
        <v>Alert</v>
      </c>
      <c r="F358" s="202" t="str">
        <f>IFERROR(__xludf.DUMMYFUNCTION("""COMPUTED_VALUE"""),"Alert")</f>
        <v>Alert</v>
      </c>
      <c r="G358" s="203" t="str">
        <f>IFERROR(__xludf.DUMMYFUNCTION("""COMPUTED_VALUE"""),"Normal")</f>
        <v>Normal</v>
      </c>
      <c r="H358" s="203" t="str">
        <f>IFERROR(__xludf.DUMMYFUNCTION("""COMPUTED_VALUE"""),"Caution")</f>
        <v>Caution</v>
      </c>
      <c r="I358" s="37"/>
      <c r="J358" s="37"/>
      <c r="K358" s="37"/>
      <c r="L358" s="199">
        <f>IFERROR(__xludf.DUMMYFUNCTION("""COMPUTED_VALUE"""),12.0)</f>
        <v>12</v>
      </c>
      <c r="M358" s="199">
        <f>IFERROR(__xludf.DUMMYFUNCTION("""COMPUTED_VALUE"""),289.5)</f>
        <v>289.5</v>
      </c>
      <c r="N358" s="37"/>
      <c r="O358" s="37"/>
      <c r="P358" s="199">
        <f>IFERROR(__xludf.DUMMYFUNCTION("""COMPUTED_VALUE"""),0.1)</f>
        <v>0.1</v>
      </c>
      <c r="Q358" s="199">
        <f>IFERROR(__xludf.DUMMYFUNCTION("""COMPUTED_VALUE"""),0.0)</f>
        <v>0</v>
      </c>
      <c r="R358" s="199">
        <f>IFERROR(__xludf.DUMMYFUNCTION("""COMPUTED_VALUE"""),1.0)</f>
        <v>1</v>
      </c>
      <c r="S358" s="199">
        <f>IFERROR(__xludf.DUMMYFUNCTION("""COMPUTED_VALUE"""),0.0)</f>
        <v>0</v>
      </c>
      <c r="T358" s="199">
        <f>IFERROR(__xludf.DUMMYFUNCTION("""COMPUTED_VALUE"""),0.0)</f>
        <v>0</v>
      </c>
      <c r="U358" s="199">
        <f>IFERROR(__xludf.DUMMYFUNCTION("""COMPUTED_VALUE"""),26.0)</f>
        <v>26</v>
      </c>
      <c r="V358" s="199">
        <f>IFERROR(__xludf.DUMMYFUNCTION("""COMPUTED_VALUE"""),0.0)</f>
        <v>0</v>
      </c>
      <c r="W358" s="199">
        <f>IFERROR(__xludf.DUMMYFUNCTION("""COMPUTED_VALUE"""),0.0)</f>
        <v>0</v>
      </c>
      <c r="X358" s="199">
        <f>IFERROR(__xludf.DUMMYFUNCTION("""COMPUTED_VALUE"""),3.0)</f>
        <v>3</v>
      </c>
      <c r="Y358" s="199">
        <f>IFERROR(__xludf.DUMMYFUNCTION("""COMPUTED_VALUE"""),0.0)</f>
        <v>0</v>
      </c>
      <c r="Z358" s="199">
        <f>IFERROR(__xludf.DUMMYFUNCTION("""COMPUTED_VALUE"""),0.0)</f>
        <v>0</v>
      </c>
      <c r="AA358" s="199">
        <f>IFERROR(__xludf.DUMMYFUNCTION("""COMPUTED_VALUE"""),0.0)</f>
        <v>0</v>
      </c>
      <c r="AB358" s="199">
        <f>IFERROR(__xludf.DUMMYFUNCTION("""COMPUTED_VALUE"""),37.0)</f>
        <v>37</v>
      </c>
      <c r="AC358" s="199">
        <f>IFERROR(__xludf.DUMMYFUNCTION("""COMPUTED_VALUE"""),14.0)</f>
        <v>14</v>
      </c>
      <c r="AD358" s="199">
        <f>IFERROR(__xludf.DUMMYFUNCTION("""COMPUTED_VALUE"""),0.0)</f>
        <v>0</v>
      </c>
      <c r="AE358" s="199">
        <f>IFERROR(__xludf.DUMMYFUNCTION("""COMPUTED_VALUE"""),13.0)</f>
        <v>13</v>
      </c>
      <c r="AF358" s="199">
        <f>IFERROR(__xludf.DUMMYFUNCTION("""COMPUTED_VALUE"""),2.0)</f>
        <v>2</v>
      </c>
      <c r="AG358" s="199">
        <f>IFERROR(__xludf.DUMMYFUNCTION("""COMPUTED_VALUE"""),475.0)</f>
        <v>475</v>
      </c>
      <c r="AH358" s="199">
        <f>IFERROR(__xludf.DUMMYFUNCTION("""COMPUTED_VALUE"""),284.0)</f>
        <v>284</v>
      </c>
      <c r="AI358" s="200" t="str">
        <f>IFERROR(__xludf.DUMMYFUNCTION("""COMPUTED_VALUE"""),"General Alert")</f>
        <v>General Alert</v>
      </c>
      <c r="AJ358" s="200" t="str">
        <f>IFERROR(__xludf.DUMMYFUNCTION("""COMPUTED_VALUE"""),"Elevated silicon - inspect filters and seals for contamination")</f>
        <v>Elevated silicon - inspect filters and seals for contamination</v>
      </c>
      <c r="AK358" s="204"/>
      <c r="AL358" s="204"/>
      <c r="AM358" s="204"/>
    </row>
    <row r="359" hidden="1">
      <c r="A359" s="199" t="str">
        <f>IFERROR(__xludf.DUMMYFUNCTION("""COMPUTED_VALUE"""),"541.BE180")</f>
        <v>541.BE180</v>
      </c>
      <c r="B359" s="200" t="str">
        <f>IFERROR(__xludf.DUMMYFUNCTION("""COMPUTED_VALUE"""),"Bucket Elevator Cem. Silo#1 GB.")</f>
        <v>Bucket Elevator Cem. Silo#1 GB.</v>
      </c>
      <c r="C359" s="199">
        <f>IFERROR(__xludf.DUMMYFUNCTION("""COMPUTED_VALUE"""),2.5180296229E10)</f>
        <v>25180296229</v>
      </c>
      <c r="D359" s="201">
        <f>IFERROR(__xludf.DUMMYFUNCTION("""COMPUTED_VALUE"""),45826.0)</f>
        <v>45826</v>
      </c>
      <c r="E359" s="202" t="str">
        <f>IFERROR(__xludf.DUMMYFUNCTION("""COMPUTED_VALUE"""),"Caution")</f>
        <v>Caution</v>
      </c>
      <c r="F359" s="202" t="str">
        <f>IFERROR(__xludf.DUMMYFUNCTION("""COMPUTED_VALUE"""),"Caution")</f>
        <v>Caution</v>
      </c>
      <c r="G359" s="203" t="str">
        <f>IFERROR(__xludf.DUMMYFUNCTION("""COMPUTED_VALUE"""),"Normal")</f>
        <v>Normal</v>
      </c>
      <c r="H359" s="203" t="str">
        <f>IFERROR(__xludf.DUMMYFUNCTION("""COMPUTED_VALUE"""),"Caution")</f>
        <v>Caution</v>
      </c>
      <c r="I359" s="199"/>
      <c r="J359" s="199"/>
      <c r="K359" s="199"/>
      <c r="L359" s="199">
        <f>IFERROR(__xludf.DUMMYFUNCTION("""COMPUTED_VALUE"""),15.0)</f>
        <v>15</v>
      </c>
      <c r="M359" s="199">
        <f>IFERROR(__xludf.DUMMYFUNCTION("""COMPUTED_VALUE"""),287.3)</f>
        <v>287.3</v>
      </c>
      <c r="N359" s="37"/>
      <c r="O359" s="37"/>
      <c r="P359" s="199">
        <f>IFERROR(__xludf.DUMMYFUNCTION("""COMPUTED_VALUE"""),0.05)</f>
        <v>0.05</v>
      </c>
      <c r="Q359" s="199">
        <f>IFERROR(__xludf.DUMMYFUNCTION("""COMPUTED_VALUE"""),0.0)</f>
        <v>0</v>
      </c>
      <c r="R359" s="199">
        <f>IFERROR(__xludf.DUMMYFUNCTION("""COMPUTED_VALUE"""),0.0)</f>
        <v>0</v>
      </c>
      <c r="S359" s="199">
        <f>IFERROR(__xludf.DUMMYFUNCTION("""COMPUTED_VALUE"""),0.0)</f>
        <v>0</v>
      </c>
      <c r="T359" s="199">
        <f>IFERROR(__xludf.DUMMYFUNCTION("""COMPUTED_VALUE"""),0.0)</f>
        <v>0</v>
      </c>
      <c r="U359" s="199">
        <f>IFERROR(__xludf.DUMMYFUNCTION("""COMPUTED_VALUE"""),9.0)</f>
        <v>9</v>
      </c>
      <c r="V359" s="199">
        <f>IFERROR(__xludf.DUMMYFUNCTION("""COMPUTED_VALUE"""),2.0)</f>
        <v>2</v>
      </c>
      <c r="W359" s="199">
        <f>IFERROR(__xludf.DUMMYFUNCTION("""COMPUTED_VALUE"""),0.0)</f>
        <v>0</v>
      </c>
      <c r="X359" s="199">
        <f>IFERROR(__xludf.DUMMYFUNCTION("""COMPUTED_VALUE"""),1.0)</f>
        <v>1</v>
      </c>
      <c r="Y359" s="199">
        <f>IFERROR(__xludf.DUMMYFUNCTION("""COMPUTED_VALUE"""),0.0)</f>
        <v>0</v>
      </c>
      <c r="Z359" s="199">
        <f>IFERROR(__xludf.DUMMYFUNCTION("""COMPUTED_VALUE"""),0.0)</f>
        <v>0</v>
      </c>
      <c r="AA359" s="199">
        <f>IFERROR(__xludf.DUMMYFUNCTION("""COMPUTED_VALUE"""),0.0)</f>
        <v>0</v>
      </c>
      <c r="AB359" s="199">
        <f>IFERROR(__xludf.DUMMYFUNCTION("""COMPUTED_VALUE"""),3.0)</f>
        <v>3</v>
      </c>
      <c r="AC359" s="199">
        <f>IFERROR(__xludf.DUMMYFUNCTION("""COMPUTED_VALUE"""),36.0)</f>
        <v>36</v>
      </c>
      <c r="AD359" s="199">
        <f>IFERROR(__xludf.DUMMYFUNCTION("""COMPUTED_VALUE"""),0.0)</f>
        <v>0</v>
      </c>
      <c r="AE359" s="199">
        <f>IFERROR(__xludf.DUMMYFUNCTION("""COMPUTED_VALUE"""),83.0)</f>
        <v>83</v>
      </c>
      <c r="AF359" s="199">
        <f>IFERROR(__xludf.DUMMYFUNCTION("""COMPUTED_VALUE"""),10.0)</f>
        <v>10</v>
      </c>
      <c r="AG359" s="199">
        <f>IFERROR(__xludf.DUMMYFUNCTION("""COMPUTED_VALUE"""),425.0)</f>
        <v>425</v>
      </c>
      <c r="AH359" s="199">
        <f>IFERROR(__xludf.DUMMYFUNCTION("""COMPUTED_VALUE"""),69.0)</f>
        <v>69</v>
      </c>
      <c r="AI359" s="200" t="str">
        <f>IFERROR(__xludf.DUMMYFUNCTION("""COMPUTED_VALUE"""),"General Caution")</f>
        <v>General Caution</v>
      </c>
      <c r="AJ359" s="200" t="str">
        <f>IFERROR(__xludf.DUMMYFUNCTION("""COMPUTED_VALUE"""),"Lubricant showing degradation - plan oil change within 3 months")</f>
        <v>Lubricant showing degradation - plan oil change within 3 months</v>
      </c>
      <c r="AK359" s="204"/>
      <c r="AL359" s="204"/>
      <c r="AM359" s="204"/>
    </row>
    <row r="360" hidden="1">
      <c r="A360" s="199" t="str">
        <f>IFERROR(__xludf.DUMMYFUNCTION("""COMPUTED_VALUE"""),"542.BE180")</f>
        <v>542.BE180</v>
      </c>
      <c r="B360" s="200" t="str">
        <f>IFERROR(__xludf.DUMMYFUNCTION("""COMPUTED_VALUE"""),"Bucket Elevator Cem. Silo#2 GB.")</f>
        <v>Bucket Elevator Cem. Silo#2 GB.</v>
      </c>
      <c r="C360" s="199">
        <f>IFERROR(__xludf.DUMMYFUNCTION("""COMPUTED_VALUE"""),2.5180296237E10)</f>
        <v>25180296237</v>
      </c>
      <c r="D360" s="201">
        <f>IFERROR(__xludf.DUMMYFUNCTION("""COMPUTED_VALUE"""),45826.0)</f>
        <v>45826</v>
      </c>
      <c r="E360" s="202" t="str">
        <f>IFERROR(__xludf.DUMMYFUNCTION("""COMPUTED_VALUE"""),"Alert")</f>
        <v>Alert</v>
      </c>
      <c r="F360" s="202" t="str">
        <f>IFERROR(__xludf.DUMMYFUNCTION("""COMPUTED_VALUE"""),"Alert")</f>
        <v>Alert</v>
      </c>
      <c r="G360" s="203" t="str">
        <f>IFERROR(__xludf.DUMMYFUNCTION("""COMPUTED_VALUE"""),"Normal")</f>
        <v>Normal</v>
      </c>
      <c r="H360" s="203" t="str">
        <f>IFERROR(__xludf.DUMMYFUNCTION("""COMPUTED_VALUE"""),"Normal")</f>
        <v>Normal</v>
      </c>
      <c r="I360" s="37"/>
      <c r="J360" s="37"/>
      <c r="K360" s="37"/>
      <c r="L360" s="199">
        <f>IFERROR(__xludf.DUMMYFUNCTION("""COMPUTED_VALUE"""),10.0)</f>
        <v>10</v>
      </c>
      <c r="M360" s="199">
        <f>IFERROR(__xludf.DUMMYFUNCTION("""COMPUTED_VALUE"""),309.3)</f>
        <v>309.3</v>
      </c>
      <c r="N360" s="37"/>
      <c r="O360" s="37"/>
      <c r="P360" s="199">
        <f>IFERROR(__xludf.DUMMYFUNCTION("""COMPUTED_VALUE"""),0.5)</f>
        <v>0.5</v>
      </c>
      <c r="Q360" s="199">
        <f>IFERROR(__xludf.DUMMYFUNCTION("""COMPUTED_VALUE"""),0.0)</f>
        <v>0</v>
      </c>
      <c r="R360" s="199">
        <f>IFERROR(__xludf.DUMMYFUNCTION("""COMPUTED_VALUE"""),2.0)</f>
        <v>2</v>
      </c>
      <c r="S360" s="199">
        <f>IFERROR(__xludf.DUMMYFUNCTION("""COMPUTED_VALUE"""),0.0)</f>
        <v>0</v>
      </c>
      <c r="T360" s="199">
        <f>IFERROR(__xludf.DUMMYFUNCTION("""COMPUTED_VALUE"""),0.0)</f>
        <v>0</v>
      </c>
      <c r="U360" s="199">
        <f>IFERROR(__xludf.DUMMYFUNCTION("""COMPUTED_VALUE"""),11.0)</f>
        <v>11</v>
      </c>
      <c r="V360" s="199">
        <f>IFERROR(__xludf.DUMMYFUNCTION("""COMPUTED_VALUE"""),0.0)</f>
        <v>0</v>
      </c>
      <c r="W360" s="199">
        <f>IFERROR(__xludf.DUMMYFUNCTION("""COMPUTED_VALUE"""),0.0)</f>
        <v>0</v>
      </c>
      <c r="X360" s="199">
        <f>IFERROR(__xludf.DUMMYFUNCTION("""COMPUTED_VALUE"""),1.0)</f>
        <v>1</v>
      </c>
      <c r="Y360" s="199">
        <f>IFERROR(__xludf.DUMMYFUNCTION("""COMPUTED_VALUE"""),0.0)</f>
        <v>0</v>
      </c>
      <c r="Z360" s="199">
        <f>IFERROR(__xludf.DUMMYFUNCTION("""COMPUTED_VALUE"""),0.0)</f>
        <v>0</v>
      </c>
      <c r="AA360" s="199">
        <f>IFERROR(__xludf.DUMMYFUNCTION("""COMPUTED_VALUE"""),0.0)</f>
        <v>0</v>
      </c>
      <c r="AB360" s="199">
        <f>IFERROR(__xludf.DUMMYFUNCTION("""COMPUTED_VALUE"""),6.0)</f>
        <v>6</v>
      </c>
      <c r="AC360" s="199">
        <f>IFERROR(__xludf.DUMMYFUNCTION("""COMPUTED_VALUE"""),5.0)</f>
        <v>5</v>
      </c>
      <c r="AD360" s="199">
        <f>IFERROR(__xludf.DUMMYFUNCTION("""COMPUTED_VALUE"""),0.0)</f>
        <v>0</v>
      </c>
      <c r="AE360" s="199">
        <f>IFERROR(__xludf.DUMMYFUNCTION("""COMPUTED_VALUE"""),52.0)</f>
        <v>52</v>
      </c>
      <c r="AF360" s="199">
        <f>IFERROR(__xludf.DUMMYFUNCTION("""COMPUTED_VALUE"""),3.0)</f>
        <v>3</v>
      </c>
      <c r="AG360" s="199">
        <f>IFERROR(__xludf.DUMMYFUNCTION("""COMPUTED_VALUE"""),323.0)</f>
        <v>323</v>
      </c>
      <c r="AH360" s="199">
        <f>IFERROR(__xludf.DUMMYFUNCTION("""COMPUTED_VALUE"""),9.0)</f>
        <v>9</v>
      </c>
      <c r="AI360" s="200" t="str">
        <f>IFERROR(__xludf.DUMMYFUNCTION("""COMPUTED_VALUE"""),"Water Ingress")</f>
        <v>Water Ingress</v>
      </c>
      <c r="AJ360" s="200" t="str">
        <f>IFERROR(__xludf.DUMMYFUNCTION("""COMPUTED_VALUE"""),"High water contamination - check seals and drain water immediately")</f>
        <v>High water contamination - check seals and drain water immediately</v>
      </c>
      <c r="AK360" s="204"/>
      <c r="AL360" s="204"/>
      <c r="AM360" s="204"/>
    </row>
    <row r="361" hidden="1">
      <c r="A361" s="199" t="str">
        <f>IFERROR(__xludf.DUMMYFUNCTION("""COMPUTED_VALUE"""),"543.BE180")</f>
        <v>543.BE180</v>
      </c>
      <c r="B361" s="200" t="str">
        <f>IFERROR(__xludf.DUMMYFUNCTION("""COMPUTED_VALUE"""),"Bucket Elevator Cem. Silo#3 GB.")</f>
        <v>Bucket Elevator Cem. Silo#3 GB.</v>
      </c>
      <c r="C361" s="199">
        <f>IFERROR(__xludf.DUMMYFUNCTION("""COMPUTED_VALUE"""),2.5180296268E10)</f>
        <v>25180296268</v>
      </c>
      <c r="D361" s="201">
        <f>IFERROR(__xludf.DUMMYFUNCTION("""COMPUTED_VALUE"""),45826.0)</f>
        <v>45826</v>
      </c>
      <c r="E361" s="202" t="str">
        <f>IFERROR(__xludf.DUMMYFUNCTION("""COMPUTED_VALUE"""),"Alert")</f>
        <v>Alert</v>
      </c>
      <c r="F361" s="202" t="str">
        <f>IFERROR(__xludf.DUMMYFUNCTION("""COMPUTED_VALUE"""),"Caution")</f>
        <v>Caution</v>
      </c>
      <c r="G361" s="203" t="str">
        <f>IFERROR(__xludf.DUMMYFUNCTION("""COMPUTED_VALUE"""),"Normal")</f>
        <v>Normal</v>
      </c>
      <c r="H361" s="203" t="str">
        <f>IFERROR(__xludf.DUMMYFUNCTION("""COMPUTED_VALUE"""),"Alert")</f>
        <v>Alert</v>
      </c>
      <c r="I361" s="199"/>
      <c r="J361" s="199"/>
      <c r="K361" s="199"/>
      <c r="L361" s="199">
        <f>IFERROR(__xludf.DUMMYFUNCTION("""COMPUTED_VALUE"""),12.0)</f>
        <v>12</v>
      </c>
      <c r="M361" s="199">
        <f>IFERROR(__xludf.DUMMYFUNCTION("""COMPUTED_VALUE"""),997.4)</f>
        <v>997.4</v>
      </c>
      <c r="N361" s="199"/>
      <c r="O361" s="199"/>
      <c r="P361" s="199">
        <f>IFERROR(__xludf.DUMMYFUNCTION("""COMPUTED_VALUE"""),0.02)</f>
        <v>0.02</v>
      </c>
      <c r="Q361" s="199">
        <f>IFERROR(__xludf.DUMMYFUNCTION("""COMPUTED_VALUE"""),0.0)</f>
        <v>0</v>
      </c>
      <c r="R361" s="199">
        <f>IFERROR(__xludf.DUMMYFUNCTION("""COMPUTED_VALUE"""),0.0)</f>
        <v>0</v>
      </c>
      <c r="S361" s="199">
        <f>IFERROR(__xludf.DUMMYFUNCTION("""COMPUTED_VALUE"""),0.0)</f>
        <v>0</v>
      </c>
      <c r="T361" s="199">
        <f>IFERROR(__xludf.DUMMYFUNCTION("""COMPUTED_VALUE"""),4.0)</f>
        <v>4</v>
      </c>
      <c r="U361" s="199">
        <f>IFERROR(__xludf.DUMMYFUNCTION("""COMPUTED_VALUE"""),4.0)</f>
        <v>4</v>
      </c>
      <c r="V361" s="199">
        <f>IFERROR(__xludf.DUMMYFUNCTION("""COMPUTED_VALUE"""),0.0)</f>
        <v>0</v>
      </c>
      <c r="W361" s="199">
        <f>IFERROR(__xludf.DUMMYFUNCTION("""COMPUTED_VALUE"""),0.0)</f>
        <v>0</v>
      </c>
      <c r="X361" s="199">
        <f>IFERROR(__xludf.DUMMYFUNCTION("""COMPUTED_VALUE"""),1.0)</f>
        <v>1</v>
      </c>
      <c r="Y361" s="199">
        <f>IFERROR(__xludf.DUMMYFUNCTION("""COMPUTED_VALUE"""),0.0)</f>
        <v>0</v>
      </c>
      <c r="Z361" s="199">
        <f>IFERROR(__xludf.DUMMYFUNCTION("""COMPUTED_VALUE"""),0.0)</f>
        <v>0</v>
      </c>
      <c r="AA361" s="199">
        <f>IFERROR(__xludf.DUMMYFUNCTION("""COMPUTED_VALUE"""),0.0)</f>
        <v>0</v>
      </c>
      <c r="AB361" s="199">
        <f>IFERROR(__xludf.DUMMYFUNCTION("""COMPUTED_VALUE"""),6.0)</f>
        <v>6</v>
      </c>
      <c r="AC361" s="199">
        <f>IFERROR(__xludf.DUMMYFUNCTION("""COMPUTED_VALUE"""),6.0)</f>
        <v>6</v>
      </c>
      <c r="AD361" s="199">
        <f>IFERROR(__xludf.DUMMYFUNCTION("""COMPUTED_VALUE"""),0.0)</f>
        <v>0</v>
      </c>
      <c r="AE361" s="199">
        <f>IFERROR(__xludf.DUMMYFUNCTION("""COMPUTED_VALUE"""),34.0)</f>
        <v>34</v>
      </c>
      <c r="AF361" s="199">
        <f>IFERROR(__xludf.DUMMYFUNCTION("""COMPUTED_VALUE"""),2.0)</f>
        <v>2</v>
      </c>
      <c r="AG361" s="199">
        <f>IFERROR(__xludf.DUMMYFUNCTION("""COMPUTED_VALUE"""),420.0)</f>
        <v>420</v>
      </c>
      <c r="AH361" s="199">
        <f>IFERROR(__xludf.DUMMYFUNCTION("""COMPUTED_VALUE"""),15.0)</f>
        <v>15</v>
      </c>
      <c r="AI361" s="200" t="str">
        <f>IFERROR(__xludf.DUMMYFUNCTION("""COMPUTED_VALUE"""),"Lubricant Degradation")</f>
        <v>Lubricant Degradation</v>
      </c>
      <c r="AJ361" s="200" t="str">
        <f>IFERROR(__xludf.DUMMYFUNCTION("""COMPUTED_VALUE"""),"Viscosity critically high - change lubricant immediately")</f>
        <v>Viscosity critically high - change lubricant immediately</v>
      </c>
      <c r="AK361" s="204"/>
      <c r="AL361" s="204"/>
      <c r="AM361" s="204"/>
    </row>
    <row r="362" hidden="1">
      <c r="A362" s="199" t="str">
        <f>IFERROR(__xludf.DUMMYFUNCTION("""COMPUTED_VALUE"""),"544.BE180")</f>
        <v>544.BE180</v>
      </c>
      <c r="B362" s="200" t="str">
        <f>IFERROR(__xludf.DUMMYFUNCTION("""COMPUTED_VALUE"""),"Bucket Elevator Cem. Silo#4 GB.")</f>
        <v>Bucket Elevator Cem. Silo#4 GB.</v>
      </c>
      <c r="C362" s="199">
        <f>IFERROR(__xludf.DUMMYFUNCTION("""COMPUTED_VALUE"""),2.5180296245E10)</f>
        <v>25180296245</v>
      </c>
      <c r="D362" s="201">
        <f>IFERROR(__xludf.DUMMYFUNCTION("""COMPUTED_VALUE"""),45826.0)</f>
        <v>45826</v>
      </c>
      <c r="E362" s="202" t="str">
        <f>IFERROR(__xludf.DUMMYFUNCTION("""COMPUTED_VALUE"""),"Alert")</f>
        <v>Alert</v>
      </c>
      <c r="F362" s="202" t="str">
        <f>IFERROR(__xludf.DUMMYFUNCTION("""COMPUTED_VALUE"""),"Alert")</f>
        <v>Alert</v>
      </c>
      <c r="G362" s="203" t="str">
        <f>IFERROR(__xludf.DUMMYFUNCTION("""COMPUTED_VALUE"""),"Alert")</f>
        <v>Alert</v>
      </c>
      <c r="H362" s="203" t="str">
        <f>IFERROR(__xludf.DUMMYFUNCTION("""COMPUTED_VALUE"""),"Caution")</f>
        <v>Caution</v>
      </c>
      <c r="I362" s="199"/>
      <c r="J362" s="199"/>
      <c r="K362" s="199"/>
      <c r="L362" s="199">
        <f>IFERROR(__xludf.DUMMYFUNCTION("""COMPUTED_VALUE"""),25.0)</f>
        <v>25</v>
      </c>
      <c r="M362" s="199">
        <f>IFERROR(__xludf.DUMMYFUNCTION("""COMPUTED_VALUE"""),309.9)</f>
        <v>309.9</v>
      </c>
      <c r="N362" s="199"/>
      <c r="O362" s="199"/>
      <c r="P362" s="199">
        <f>IFERROR(__xludf.DUMMYFUNCTION("""COMPUTED_VALUE"""),0.05)</f>
        <v>0.05</v>
      </c>
      <c r="Q362" s="199">
        <f>IFERROR(__xludf.DUMMYFUNCTION("""COMPUTED_VALUE"""),0.0)</f>
        <v>0</v>
      </c>
      <c r="R362" s="199">
        <f>IFERROR(__xludf.DUMMYFUNCTION("""COMPUTED_VALUE"""),56.0)</f>
        <v>56</v>
      </c>
      <c r="S362" s="199">
        <f>IFERROR(__xludf.DUMMYFUNCTION("""COMPUTED_VALUE"""),2.0)</f>
        <v>2</v>
      </c>
      <c r="T362" s="199">
        <f>IFERROR(__xludf.DUMMYFUNCTION("""COMPUTED_VALUE"""),4.0)</f>
        <v>4</v>
      </c>
      <c r="U362" s="199">
        <f>IFERROR(__xludf.DUMMYFUNCTION("""COMPUTED_VALUE"""),315.0)</f>
        <v>315</v>
      </c>
      <c r="V362" s="199">
        <f>IFERROR(__xludf.DUMMYFUNCTION("""COMPUTED_VALUE"""),3.0)</f>
        <v>3</v>
      </c>
      <c r="W362" s="199">
        <f>IFERROR(__xludf.DUMMYFUNCTION("""COMPUTED_VALUE"""),0.0)</f>
        <v>0</v>
      </c>
      <c r="X362" s="199">
        <f>IFERROR(__xludf.DUMMYFUNCTION("""COMPUTED_VALUE"""),7.0)</f>
        <v>7</v>
      </c>
      <c r="Y362" s="199">
        <f>IFERROR(__xludf.DUMMYFUNCTION("""COMPUTED_VALUE"""),0.0)</f>
        <v>0</v>
      </c>
      <c r="Z362" s="199">
        <f>IFERROR(__xludf.DUMMYFUNCTION("""COMPUTED_VALUE"""),5.0)</f>
        <v>5</v>
      </c>
      <c r="AA362" s="199">
        <f>IFERROR(__xludf.DUMMYFUNCTION("""COMPUTED_VALUE"""),0.0)</f>
        <v>0</v>
      </c>
      <c r="AB362" s="199">
        <f>IFERROR(__xludf.DUMMYFUNCTION("""COMPUTED_VALUE"""),163.0)</f>
        <v>163</v>
      </c>
      <c r="AC362" s="199">
        <f>IFERROR(__xludf.DUMMYFUNCTION("""COMPUTED_VALUE"""),12.0)</f>
        <v>12</v>
      </c>
      <c r="AD362" s="199">
        <f>IFERROR(__xludf.DUMMYFUNCTION("""COMPUTED_VALUE"""),0.0)</f>
        <v>0</v>
      </c>
      <c r="AE362" s="199">
        <f>IFERROR(__xludf.DUMMYFUNCTION("""COMPUTED_VALUE"""),262.0)</f>
        <v>262</v>
      </c>
      <c r="AF362" s="199">
        <f>IFERROR(__xludf.DUMMYFUNCTION("""COMPUTED_VALUE"""),51.0)</f>
        <v>51</v>
      </c>
      <c r="AG362" s="199">
        <f>IFERROR(__xludf.DUMMYFUNCTION("""COMPUTED_VALUE"""),409.0)</f>
        <v>409</v>
      </c>
      <c r="AH362" s="199">
        <f>IFERROR(__xludf.DUMMYFUNCTION("""COMPUTED_VALUE"""),12.0)</f>
        <v>12</v>
      </c>
      <c r="AI362" s="200" t="str">
        <f>IFERROR(__xludf.DUMMYFUNCTION("""COMPUTED_VALUE"""),"Wear Metal Alert | Contamination Alert")</f>
        <v>Wear Metal Alert | Contamination Alert</v>
      </c>
      <c r="AJ362" s="200" t="str">
        <f>IFERROR(__xludf.DUMMYFUNCTION("""COMPUTED_VALUE"""),"URGENT: Inspect equipment immediately for wear/damage; Critical wear metals detected - schedule immediate inspection; High wear metals - inspect bearing/gear surfaces; Very high silicon - check/replace air filters, inspect seals")</f>
        <v>URGENT: Inspect equipment immediately for wear/damage; Critical wear metals detected - schedule immediate inspection; High wear metals - inspect bearing/gear surfaces; Very high silicon - check/replace air filters, inspect seals</v>
      </c>
      <c r="AK362" s="204"/>
      <c r="AL362" s="204"/>
      <c r="AM362" s="204"/>
    </row>
    <row r="363" hidden="1">
      <c r="A363" s="199" t="str">
        <f>IFERROR(__xludf.DUMMYFUNCTION("""COMPUTED_VALUE"""),"131.ST200.M11")</f>
        <v>131.ST200.M11</v>
      </c>
      <c r="B363" s="200" t="str">
        <f>IFERROR(__xludf.DUMMYFUNCTION("""COMPUTED_VALUE"""),"Stacker Belt gearbox")</f>
        <v>Stacker Belt gearbox</v>
      </c>
      <c r="C363" s="199">
        <f>IFERROR(__xludf.DUMMYFUNCTION("""COMPUTED_VALUE"""),2.5175246238E10)</f>
        <v>25175246238</v>
      </c>
      <c r="D363" s="201">
        <f>IFERROR(__xludf.DUMMYFUNCTION("""COMPUTED_VALUE"""),45826.0)</f>
        <v>45826</v>
      </c>
      <c r="E363" s="202" t="str">
        <f>IFERROR(__xludf.DUMMYFUNCTION("""COMPUTED_VALUE"""),"Alert")</f>
        <v>Alert</v>
      </c>
      <c r="F363" s="202" t="str">
        <f>IFERROR(__xludf.DUMMYFUNCTION("""COMPUTED_VALUE"""),"Alert")</f>
        <v>Alert</v>
      </c>
      <c r="G363" s="203" t="str">
        <f>IFERROR(__xludf.DUMMYFUNCTION("""COMPUTED_VALUE"""),"Caution")</f>
        <v>Caution</v>
      </c>
      <c r="H363" s="203" t="str">
        <f>IFERROR(__xludf.DUMMYFUNCTION("""COMPUTED_VALUE"""),"Caution")</f>
        <v>Caution</v>
      </c>
      <c r="I363" s="199"/>
      <c r="J363" s="199"/>
      <c r="K363" s="199"/>
      <c r="L363" s="199">
        <f>IFERROR(__xludf.DUMMYFUNCTION("""COMPUTED_VALUE"""),100.0)</f>
        <v>100</v>
      </c>
      <c r="M363" s="199">
        <f>IFERROR(__xludf.DUMMYFUNCTION("""COMPUTED_VALUE"""),262.7)</f>
        <v>262.7</v>
      </c>
      <c r="N363" s="199"/>
      <c r="O363" s="199">
        <f>IFERROR(__xludf.DUMMYFUNCTION("""COMPUTED_VALUE"""),6.0)</f>
        <v>6</v>
      </c>
      <c r="P363" s="199">
        <f>IFERROR(__xludf.DUMMYFUNCTION("""COMPUTED_VALUE"""),0.2)</f>
        <v>0.2</v>
      </c>
      <c r="Q363" s="199">
        <f>IFERROR(__xludf.DUMMYFUNCTION("""COMPUTED_VALUE"""),0.0)</f>
        <v>0</v>
      </c>
      <c r="R363" s="199">
        <f>IFERROR(__xludf.DUMMYFUNCTION("""COMPUTED_VALUE"""),17.0)</f>
        <v>17</v>
      </c>
      <c r="S363" s="199">
        <f>IFERROR(__xludf.DUMMYFUNCTION("""COMPUTED_VALUE"""),5.0)</f>
        <v>5</v>
      </c>
      <c r="T363" s="199">
        <f>IFERROR(__xludf.DUMMYFUNCTION("""COMPUTED_VALUE"""),2.0)</f>
        <v>2</v>
      </c>
      <c r="U363" s="199">
        <f>IFERROR(__xludf.DUMMYFUNCTION("""COMPUTED_VALUE"""),222.0)</f>
        <v>222</v>
      </c>
      <c r="V363" s="199">
        <f>IFERROR(__xludf.DUMMYFUNCTION("""COMPUTED_VALUE"""),2.0)</f>
        <v>2</v>
      </c>
      <c r="W363" s="199">
        <f>IFERROR(__xludf.DUMMYFUNCTION("""COMPUTED_VALUE"""),0.0)</f>
        <v>0</v>
      </c>
      <c r="X363" s="199">
        <f>IFERROR(__xludf.DUMMYFUNCTION("""COMPUTED_VALUE"""),0.0)</f>
        <v>0</v>
      </c>
      <c r="Y363" s="199">
        <f>IFERROR(__xludf.DUMMYFUNCTION("""COMPUTED_VALUE"""),0.0)</f>
        <v>0</v>
      </c>
      <c r="Z363" s="199">
        <f>IFERROR(__xludf.DUMMYFUNCTION("""COMPUTED_VALUE"""),3.0)</f>
        <v>3</v>
      </c>
      <c r="AA363" s="199">
        <f>IFERROR(__xludf.DUMMYFUNCTION("""COMPUTED_VALUE"""),0.0)</f>
        <v>0</v>
      </c>
      <c r="AB363" s="199">
        <f>IFERROR(__xludf.DUMMYFUNCTION("""COMPUTED_VALUE"""),125.0)</f>
        <v>125</v>
      </c>
      <c r="AC363" s="199">
        <f>IFERROR(__xludf.DUMMYFUNCTION("""COMPUTED_VALUE"""),28.0)</f>
        <v>28</v>
      </c>
      <c r="AD363" s="199">
        <f>IFERROR(__xludf.DUMMYFUNCTION("""COMPUTED_VALUE"""),0.0)</f>
        <v>0</v>
      </c>
      <c r="AE363" s="199">
        <f>IFERROR(__xludf.DUMMYFUNCTION("""COMPUTED_VALUE"""),287.0)</f>
        <v>287</v>
      </c>
      <c r="AF363" s="199">
        <f>IFERROR(__xludf.DUMMYFUNCTION("""COMPUTED_VALUE"""),12.0)</f>
        <v>12</v>
      </c>
      <c r="AG363" s="199">
        <f>IFERROR(__xludf.DUMMYFUNCTION("""COMPUTED_VALUE"""),541.0)</f>
        <v>541</v>
      </c>
      <c r="AH363" s="199">
        <f>IFERROR(__xludf.DUMMYFUNCTION("""COMPUTED_VALUE"""),41.0)</f>
        <v>41</v>
      </c>
      <c r="AI363" s="200" t="str">
        <f>IFERROR(__xludf.DUMMYFUNCTION("""COMPUTED_VALUE"""),"Wear Metal Alert | Contamination Alert | Water Ingress")</f>
        <v>Wear Metal Alert | Contamination Alert | Water Ingress</v>
      </c>
      <c r="AJ363" s="200" t="str">
        <f>IFERROR(__xludf.DUMMYFUNCTION("""COMPUTED_VALUE"""),"High wear metals - inspect bearing/gear surfaces; Water detected - inspect seals and breathers; Severe oxidation - lubricant change required urgently; Very high silicon - check/replace air filters, inspect seals; High particle count - replace filters and "&amp;"resample")</f>
        <v>High wear metals - inspect bearing/gear surfaces; Water detected - inspect seals and breathers; Severe oxidation - lubricant change required urgently; Very high silicon - check/replace air filters, inspect seals; High particle count - replace filters and resample</v>
      </c>
      <c r="AK363" s="204"/>
      <c r="AL363" s="204"/>
      <c r="AM363" s="204"/>
    </row>
    <row r="364" hidden="1">
      <c r="A364" s="199" t="str">
        <f>IFERROR(__xludf.DUMMYFUNCTION("""COMPUTED_VALUE"""),"321.RF090")</f>
        <v>321.RF090</v>
      </c>
      <c r="B364" s="200" t="str">
        <f>IFERROR(__xludf.DUMMYFUNCTION("""COMPUTED_VALUE"""),"Rotary feeder Gear Box")</f>
        <v>Rotary feeder Gear Box</v>
      </c>
      <c r="C364" s="199">
        <f>IFERROR(__xludf.DUMMYFUNCTION("""COMPUTED_VALUE"""),2.517524623E10)</f>
        <v>25175246230</v>
      </c>
      <c r="D364" s="201">
        <f>IFERROR(__xludf.DUMMYFUNCTION("""COMPUTED_VALUE"""),45826.0)</f>
        <v>45826</v>
      </c>
      <c r="E364" s="202" t="str">
        <f>IFERROR(__xludf.DUMMYFUNCTION("""COMPUTED_VALUE"""),"Normal")</f>
        <v>Normal</v>
      </c>
      <c r="F364" s="202" t="str">
        <f>IFERROR(__xludf.DUMMYFUNCTION("""COMPUTED_VALUE"""),"Normal")</f>
        <v>Normal</v>
      </c>
      <c r="G364" s="203" t="str">
        <f>IFERROR(__xludf.DUMMYFUNCTION("""COMPUTED_VALUE"""),"Normal")</f>
        <v>Normal</v>
      </c>
      <c r="H364" s="203" t="str">
        <f>IFERROR(__xludf.DUMMYFUNCTION("""COMPUTED_VALUE"""),"Normal")</f>
        <v>Normal</v>
      </c>
      <c r="I364" s="37"/>
      <c r="J364" s="37"/>
      <c r="K364" s="37"/>
      <c r="L364" s="199">
        <f>IFERROR(__xludf.DUMMYFUNCTION("""COMPUTED_VALUE"""),5.0)</f>
        <v>5</v>
      </c>
      <c r="M364" s="199">
        <f>IFERROR(__xludf.DUMMYFUNCTION("""COMPUTED_VALUE"""),89.5)</f>
        <v>89.5</v>
      </c>
      <c r="N364" s="199"/>
      <c r="O364" s="199"/>
      <c r="P364" s="199">
        <f>IFERROR(__xludf.DUMMYFUNCTION("""COMPUTED_VALUE"""),0.003)</f>
        <v>0.003</v>
      </c>
      <c r="Q364" s="199">
        <f>IFERROR(__xludf.DUMMYFUNCTION("""COMPUTED_VALUE"""),0.0)</f>
        <v>0</v>
      </c>
      <c r="R364" s="199">
        <f>IFERROR(__xludf.DUMMYFUNCTION("""COMPUTED_VALUE"""),4.0)</f>
        <v>4</v>
      </c>
      <c r="S364" s="199">
        <f>IFERROR(__xludf.DUMMYFUNCTION("""COMPUTED_VALUE"""),2.0)</f>
        <v>2</v>
      </c>
      <c r="T364" s="199">
        <f>IFERROR(__xludf.DUMMYFUNCTION("""COMPUTED_VALUE"""),4.0)</f>
        <v>4</v>
      </c>
      <c r="U364" s="199">
        <f>IFERROR(__xludf.DUMMYFUNCTION("""COMPUTED_VALUE"""),10.0)</f>
        <v>10</v>
      </c>
      <c r="V364" s="199">
        <f>IFERROR(__xludf.DUMMYFUNCTION("""COMPUTED_VALUE"""),0.0)</f>
        <v>0</v>
      </c>
      <c r="W364" s="199">
        <f>IFERROR(__xludf.DUMMYFUNCTION("""COMPUTED_VALUE"""),0.0)</f>
        <v>0</v>
      </c>
      <c r="X364" s="199">
        <f>IFERROR(__xludf.DUMMYFUNCTION("""COMPUTED_VALUE"""),0.0)</f>
        <v>0</v>
      </c>
      <c r="Y364" s="199">
        <f>IFERROR(__xludf.DUMMYFUNCTION("""COMPUTED_VALUE"""),0.0)</f>
        <v>0</v>
      </c>
      <c r="Z364" s="199">
        <f>IFERROR(__xludf.DUMMYFUNCTION("""COMPUTED_VALUE"""),0.0)</f>
        <v>0</v>
      </c>
      <c r="AA364" s="199">
        <f>IFERROR(__xludf.DUMMYFUNCTION("""COMPUTED_VALUE"""),0.0)</f>
        <v>0</v>
      </c>
      <c r="AB364" s="199">
        <f>IFERROR(__xludf.DUMMYFUNCTION("""COMPUTED_VALUE"""),29.0)</f>
        <v>29</v>
      </c>
      <c r="AC364" s="199">
        <f>IFERROR(__xludf.DUMMYFUNCTION("""COMPUTED_VALUE"""),14.0)</f>
        <v>14</v>
      </c>
      <c r="AD364" s="199">
        <f>IFERROR(__xludf.DUMMYFUNCTION("""COMPUTED_VALUE"""),0.0)</f>
        <v>0</v>
      </c>
      <c r="AE364" s="199">
        <f>IFERROR(__xludf.DUMMYFUNCTION("""COMPUTED_VALUE"""),26.0)</f>
        <v>26</v>
      </c>
      <c r="AF364" s="199">
        <f>IFERROR(__xludf.DUMMYFUNCTION("""COMPUTED_VALUE"""),2.0)</f>
        <v>2</v>
      </c>
      <c r="AG364" s="199">
        <f>IFERROR(__xludf.DUMMYFUNCTION("""COMPUTED_VALUE"""),576.0)</f>
        <v>576</v>
      </c>
      <c r="AH364" s="199">
        <f>IFERROR(__xludf.DUMMYFUNCTION("""COMPUTED_VALUE"""),9.0)</f>
        <v>9</v>
      </c>
      <c r="AI364" s="200" t="str">
        <f>IFERROR(__xludf.DUMMYFUNCTION("""COMPUTED_VALUE"""),"Normal - No Action Required")</f>
        <v>Normal - No Action Required</v>
      </c>
      <c r="AJ364" s="200" t="str">
        <f>IFERROR(__xludf.DUMMYFUNCTION("""COMPUTED_VALUE"""),"Continue routine monitoring and sampling schedule")</f>
        <v>Continue routine monitoring and sampling schedule</v>
      </c>
      <c r="AK364" s="204"/>
      <c r="AL364" s="204"/>
      <c r="AM364" s="204"/>
    </row>
    <row r="365" hidden="1">
      <c r="A365" s="199" t="str">
        <f>IFERROR(__xludf.DUMMYFUNCTION("""COMPUTED_VALUE"""),"342.BE050 L")</f>
        <v>342.BE050 L</v>
      </c>
      <c r="B365" s="200" t="str">
        <f>IFERROR(__xludf.DUMMYFUNCTION("""COMPUTED_VALUE"""),"Bucket Elevator GB - L")</f>
        <v>Bucket Elevator GB - L</v>
      </c>
      <c r="C365" s="199">
        <f>IFERROR(__xludf.DUMMYFUNCTION("""COMPUTED_VALUE"""),2.5180296252E10)</f>
        <v>25180296252</v>
      </c>
      <c r="D365" s="201">
        <f>IFERROR(__xludf.DUMMYFUNCTION("""COMPUTED_VALUE"""),45826.0)</f>
        <v>45826</v>
      </c>
      <c r="E365" s="202" t="str">
        <f>IFERROR(__xludf.DUMMYFUNCTION("""COMPUTED_VALUE"""),"Caution")</f>
        <v>Caution</v>
      </c>
      <c r="F365" s="202" t="str">
        <f>IFERROR(__xludf.DUMMYFUNCTION("""COMPUTED_VALUE"""),"Caution")</f>
        <v>Caution</v>
      </c>
      <c r="G365" s="203" t="str">
        <f>IFERROR(__xludf.DUMMYFUNCTION("""COMPUTED_VALUE"""),"Normal")</f>
        <v>Normal</v>
      </c>
      <c r="H365" s="203" t="str">
        <f>IFERROR(__xludf.DUMMYFUNCTION("""COMPUTED_VALUE"""),"Caution")</f>
        <v>Caution</v>
      </c>
      <c r="I365" s="37"/>
      <c r="J365" s="37"/>
      <c r="K365" s="37"/>
      <c r="L365" s="199">
        <f>IFERROR(__xludf.DUMMYFUNCTION("""COMPUTED_VALUE"""),18.0)</f>
        <v>18</v>
      </c>
      <c r="M365" s="199">
        <f>IFERROR(__xludf.DUMMYFUNCTION("""COMPUTED_VALUE"""),287.0)</f>
        <v>287</v>
      </c>
      <c r="N365" s="199"/>
      <c r="O365" s="199"/>
      <c r="P365" s="199">
        <f>IFERROR(__xludf.DUMMYFUNCTION("""COMPUTED_VALUE"""),0.04)</f>
        <v>0.04</v>
      </c>
      <c r="Q365" s="199">
        <f>IFERROR(__xludf.DUMMYFUNCTION("""COMPUTED_VALUE"""),0.0)</f>
        <v>0</v>
      </c>
      <c r="R365" s="199">
        <f>IFERROR(__xludf.DUMMYFUNCTION("""COMPUTED_VALUE"""),0.0)</f>
        <v>0</v>
      </c>
      <c r="S365" s="199">
        <f>IFERROR(__xludf.DUMMYFUNCTION("""COMPUTED_VALUE"""),0.0)</f>
        <v>0</v>
      </c>
      <c r="T365" s="199">
        <f>IFERROR(__xludf.DUMMYFUNCTION("""COMPUTED_VALUE"""),0.0)</f>
        <v>0</v>
      </c>
      <c r="U365" s="199">
        <f>IFERROR(__xludf.DUMMYFUNCTION("""COMPUTED_VALUE"""),27.0)</f>
        <v>27</v>
      </c>
      <c r="V365" s="199">
        <f>IFERROR(__xludf.DUMMYFUNCTION("""COMPUTED_VALUE"""),0.0)</f>
        <v>0</v>
      </c>
      <c r="W365" s="199">
        <f>IFERROR(__xludf.DUMMYFUNCTION("""COMPUTED_VALUE"""),0.0)</f>
        <v>0</v>
      </c>
      <c r="X365" s="199">
        <f>IFERROR(__xludf.DUMMYFUNCTION("""COMPUTED_VALUE"""),1.0)</f>
        <v>1</v>
      </c>
      <c r="Y365" s="199">
        <f>IFERROR(__xludf.DUMMYFUNCTION("""COMPUTED_VALUE"""),0.0)</f>
        <v>0</v>
      </c>
      <c r="Z365" s="199">
        <f>IFERROR(__xludf.DUMMYFUNCTION("""COMPUTED_VALUE"""),0.0)</f>
        <v>0</v>
      </c>
      <c r="AA365" s="199">
        <f>IFERROR(__xludf.DUMMYFUNCTION("""COMPUTED_VALUE"""),0.0)</f>
        <v>0</v>
      </c>
      <c r="AB365" s="199">
        <f>IFERROR(__xludf.DUMMYFUNCTION("""COMPUTED_VALUE"""),2.0)</f>
        <v>2</v>
      </c>
      <c r="AC365" s="199">
        <f>IFERROR(__xludf.DUMMYFUNCTION("""COMPUTED_VALUE"""),14.0)</f>
        <v>14</v>
      </c>
      <c r="AD365" s="199">
        <f>IFERROR(__xludf.DUMMYFUNCTION("""COMPUTED_VALUE"""),0.0)</f>
        <v>0</v>
      </c>
      <c r="AE365" s="199">
        <f>IFERROR(__xludf.DUMMYFUNCTION("""COMPUTED_VALUE"""),35.0)</f>
        <v>35</v>
      </c>
      <c r="AF365" s="199">
        <f>IFERROR(__xludf.DUMMYFUNCTION("""COMPUTED_VALUE"""),2.0)</f>
        <v>2</v>
      </c>
      <c r="AG365" s="199">
        <f>IFERROR(__xludf.DUMMYFUNCTION("""COMPUTED_VALUE"""),553.0)</f>
        <v>553</v>
      </c>
      <c r="AH365" s="199">
        <f>IFERROR(__xludf.DUMMYFUNCTION("""COMPUTED_VALUE"""),49.0)</f>
        <v>49</v>
      </c>
      <c r="AI365" s="200" t="str">
        <f>IFERROR(__xludf.DUMMYFUNCTION("""COMPUTED_VALUE"""),"General Caution")</f>
        <v>General Caution</v>
      </c>
      <c r="AJ365" s="200" t="str">
        <f>IFERROR(__xludf.DUMMYFUNCTION("""COMPUTED_VALUE"""),"Lubricant showing degradation - plan oil change within 3 months")</f>
        <v>Lubricant showing degradation - plan oil change within 3 months</v>
      </c>
      <c r="AK365" s="204"/>
      <c r="AL365" s="204"/>
      <c r="AM365" s="204"/>
    </row>
    <row r="366" hidden="1">
      <c r="A366" s="199" t="str">
        <f>IFERROR(__xludf.DUMMYFUNCTION("""COMPUTED_VALUE"""),"531.LQ110")</f>
        <v>531.LQ110</v>
      </c>
      <c r="B366" s="200" t="str">
        <f>IFERROR(__xludf.DUMMYFUNCTION("""COMPUTED_VALUE"""),"Cement Mill Inlet Slide Shoe Bearing LUB.")</f>
        <v>Cement Mill Inlet Slide Shoe Bearing LUB.</v>
      </c>
      <c r="C366" s="199">
        <f>IFERROR(__xludf.DUMMYFUNCTION("""COMPUTED_VALUE"""),2.5180296259E10)</f>
        <v>25180296259</v>
      </c>
      <c r="D366" s="201">
        <f>IFERROR(__xludf.DUMMYFUNCTION("""COMPUTED_VALUE"""),45826.0)</f>
        <v>45826</v>
      </c>
      <c r="E366" s="202" t="str">
        <f>IFERROR(__xludf.DUMMYFUNCTION("""COMPUTED_VALUE"""),"Alert")</f>
        <v>Alert</v>
      </c>
      <c r="F366" s="202" t="str">
        <f>IFERROR(__xludf.DUMMYFUNCTION("""COMPUTED_VALUE"""),"Alert")</f>
        <v>Alert</v>
      </c>
      <c r="G366" s="203" t="str">
        <f>IFERROR(__xludf.DUMMYFUNCTION("""COMPUTED_VALUE"""),"Alert")</f>
        <v>Alert</v>
      </c>
      <c r="H366" s="203" t="str">
        <f>IFERROR(__xludf.DUMMYFUNCTION("""COMPUTED_VALUE"""),"Caution")</f>
        <v>Caution</v>
      </c>
      <c r="I366" s="37"/>
      <c r="J366" s="37"/>
      <c r="K366" s="37"/>
      <c r="L366" s="199">
        <f>IFERROR(__xludf.DUMMYFUNCTION("""COMPUTED_VALUE"""),67.0)</f>
        <v>67</v>
      </c>
      <c r="M366" s="199">
        <f>IFERROR(__xludf.DUMMYFUNCTION("""COMPUTED_VALUE"""),434.2)</f>
        <v>434.2</v>
      </c>
      <c r="N366" s="199"/>
      <c r="O366" s="199">
        <f>IFERROR(__xludf.DUMMYFUNCTION("""COMPUTED_VALUE"""),5.0)</f>
        <v>5</v>
      </c>
      <c r="P366" s="199">
        <f>IFERROR(__xludf.DUMMYFUNCTION("""COMPUTED_VALUE"""),0.3)</f>
        <v>0.3</v>
      </c>
      <c r="Q366" s="199">
        <f>IFERROR(__xludf.DUMMYFUNCTION("""COMPUTED_VALUE"""),0.0)</f>
        <v>0</v>
      </c>
      <c r="R366" s="199">
        <f>IFERROR(__xludf.DUMMYFUNCTION("""COMPUTED_VALUE"""),63.0)</f>
        <v>63</v>
      </c>
      <c r="S366" s="199">
        <f>IFERROR(__xludf.DUMMYFUNCTION("""COMPUTED_VALUE"""),0.0)</f>
        <v>0</v>
      </c>
      <c r="T366" s="199">
        <f>IFERROR(__xludf.DUMMYFUNCTION("""COMPUTED_VALUE"""),42.0)</f>
        <v>42</v>
      </c>
      <c r="U366" s="199">
        <f>IFERROR(__xludf.DUMMYFUNCTION("""COMPUTED_VALUE"""),238.0)</f>
        <v>238</v>
      </c>
      <c r="V366" s="199">
        <f>IFERROR(__xludf.DUMMYFUNCTION("""COMPUTED_VALUE"""),2.0)</f>
        <v>2</v>
      </c>
      <c r="W366" s="199">
        <f>IFERROR(__xludf.DUMMYFUNCTION("""COMPUTED_VALUE"""),0.0)</f>
        <v>0</v>
      </c>
      <c r="X366" s="199">
        <f>IFERROR(__xludf.DUMMYFUNCTION("""COMPUTED_VALUE"""),45.0)</f>
        <v>45</v>
      </c>
      <c r="Y366" s="199">
        <f>IFERROR(__xludf.DUMMYFUNCTION("""COMPUTED_VALUE"""),0.0)</f>
        <v>0</v>
      </c>
      <c r="Z366" s="199">
        <f>IFERROR(__xludf.DUMMYFUNCTION("""COMPUTED_VALUE"""),2.0)</f>
        <v>2</v>
      </c>
      <c r="AA366" s="199">
        <f>IFERROR(__xludf.DUMMYFUNCTION("""COMPUTED_VALUE"""),0.0)</f>
        <v>0</v>
      </c>
      <c r="AB366" s="199">
        <f>IFERROR(__xludf.DUMMYFUNCTION("""COMPUTED_VALUE"""),136.0)</f>
        <v>136</v>
      </c>
      <c r="AC366" s="199">
        <f>IFERROR(__xludf.DUMMYFUNCTION("""COMPUTED_VALUE"""),15.0)</f>
        <v>15</v>
      </c>
      <c r="AD366" s="199">
        <f>IFERROR(__xludf.DUMMYFUNCTION("""COMPUTED_VALUE"""),0.0)</f>
        <v>0</v>
      </c>
      <c r="AE366" s="199">
        <f>IFERROR(__xludf.DUMMYFUNCTION("""COMPUTED_VALUE"""),108.0)</f>
        <v>108</v>
      </c>
      <c r="AF366" s="199">
        <f>IFERROR(__xludf.DUMMYFUNCTION("""COMPUTED_VALUE"""),30.0)</f>
        <v>30</v>
      </c>
      <c r="AG366" s="199">
        <f>IFERROR(__xludf.DUMMYFUNCTION("""COMPUTED_VALUE"""),414.0)</f>
        <v>414</v>
      </c>
      <c r="AH366" s="199">
        <f>IFERROR(__xludf.DUMMYFUNCTION("""COMPUTED_VALUE"""),62.0)</f>
        <v>62</v>
      </c>
      <c r="AI366" s="200" t="str">
        <f>IFERROR(__xludf.DUMMYFUNCTION("""COMPUTED_VALUE"""),"Wear Metal Alert | Contamination Alert | Water Ingress")</f>
        <v>Wear Metal Alert | Contamination Alert | Water Ingress</v>
      </c>
      <c r="AJ366" s="200" t="str">
        <f>IFERROR(__xludf.DUMMYFUNCTION("""COMPUTED_VALUE"""),"URGENT: Inspect equipment immediately for wear/damage; High wear metals - inspect bearing/gear surfaces; High water contamination - check seals and drain water immediately; Severe oxidation - lubricant change required urgently; Very high silicon - check/r"&amp;"eplace air filters, inspect seals")</f>
        <v>URGENT: Inspect equipment immediately for wear/damage; High wear metals - inspect bearing/gear surfaces; High water contamination - check seals and drain water immediately; Severe oxidation - lubricant change required urgently; Very high silicon - check/replace air filters, inspect seals</v>
      </c>
      <c r="AK366" s="204"/>
      <c r="AL366" s="204"/>
      <c r="AM366" s="204"/>
    </row>
    <row r="367" hidden="1">
      <c r="A367" s="199" t="str">
        <f>IFERROR(__xludf.DUMMYFUNCTION("""COMPUTED_VALUE"""),"531.LQ120")</f>
        <v>531.LQ120</v>
      </c>
      <c r="B367" s="200" t="str">
        <f>IFERROR(__xludf.DUMMYFUNCTION("""COMPUTED_VALUE"""),"Cement Mill Outlet Slide Shoe Bearing LUB.")</f>
        <v>Cement Mill Outlet Slide Shoe Bearing LUB.</v>
      </c>
      <c r="C367" s="199">
        <f>IFERROR(__xludf.DUMMYFUNCTION("""COMPUTED_VALUE"""),2.5180296267E10)</f>
        <v>25180296267</v>
      </c>
      <c r="D367" s="201">
        <f>IFERROR(__xludf.DUMMYFUNCTION("""COMPUTED_VALUE"""),45826.0)</f>
        <v>45826</v>
      </c>
      <c r="E367" s="202" t="str">
        <f>IFERROR(__xludf.DUMMYFUNCTION("""COMPUTED_VALUE"""),"Alert")</f>
        <v>Alert</v>
      </c>
      <c r="F367" s="202" t="str">
        <f>IFERROR(__xludf.DUMMYFUNCTION("""COMPUTED_VALUE"""),"Alert")</f>
        <v>Alert</v>
      </c>
      <c r="G367" s="203" t="str">
        <f>IFERROR(__xludf.DUMMYFUNCTION("""COMPUTED_VALUE"""),"Alert")</f>
        <v>Alert</v>
      </c>
      <c r="H367" s="203" t="str">
        <f>IFERROR(__xludf.DUMMYFUNCTION("""COMPUTED_VALUE"""),"Normal")</f>
        <v>Normal</v>
      </c>
      <c r="I367" s="37"/>
      <c r="J367" s="37"/>
      <c r="K367" s="37"/>
      <c r="L367" s="199">
        <f>IFERROR(__xludf.DUMMYFUNCTION("""COMPUTED_VALUE"""),48.0)</f>
        <v>48</v>
      </c>
      <c r="M367" s="199">
        <f>IFERROR(__xludf.DUMMYFUNCTION("""COMPUTED_VALUE"""),433.2)</f>
        <v>433.2</v>
      </c>
      <c r="N367" s="199"/>
      <c r="O367" s="199">
        <f>IFERROR(__xludf.DUMMYFUNCTION("""COMPUTED_VALUE"""),0.0)</f>
        <v>0</v>
      </c>
      <c r="P367" s="199">
        <f>IFERROR(__xludf.DUMMYFUNCTION("""COMPUTED_VALUE"""),0.4)</f>
        <v>0.4</v>
      </c>
      <c r="Q367" s="199">
        <f>IFERROR(__xludf.DUMMYFUNCTION("""COMPUTED_VALUE"""),0.0)</f>
        <v>0</v>
      </c>
      <c r="R367" s="199">
        <f>IFERROR(__xludf.DUMMYFUNCTION("""COMPUTED_VALUE"""),17.0)</f>
        <v>17</v>
      </c>
      <c r="S367" s="199">
        <f>IFERROR(__xludf.DUMMYFUNCTION("""COMPUTED_VALUE"""),0.0)</f>
        <v>0</v>
      </c>
      <c r="T367" s="199">
        <f>IFERROR(__xludf.DUMMYFUNCTION("""COMPUTED_VALUE"""),44.0)</f>
        <v>44</v>
      </c>
      <c r="U367" s="199">
        <f>IFERROR(__xludf.DUMMYFUNCTION("""COMPUTED_VALUE"""),102.0)</f>
        <v>102</v>
      </c>
      <c r="V367" s="199">
        <f>IFERROR(__xludf.DUMMYFUNCTION("""COMPUTED_VALUE"""),0.0)</f>
        <v>0</v>
      </c>
      <c r="W367" s="199">
        <f>IFERROR(__xludf.DUMMYFUNCTION("""COMPUTED_VALUE"""),0.0)</f>
        <v>0</v>
      </c>
      <c r="X367" s="199">
        <f>IFERROR(__xludf.DUMMYFUNCTION("""COMPUTED_VALUE"""),13.0)</f>
        <v>13</v>
      </c>
      <c r="Y367" s="199">
        <f>IFERROR(__xludf.DUMMYFUNCTION("""COMPUTED_VALUE"""),2.0)</f>
        <v>2</v>
      </c>
      <c r="Z367" s="199">
        <f>IFERROR(__xludf.DUMMYFUNCTION("""COMPUTED_VALUE"""),2.0)</f>
        <v>2</v>
      </c>
      <c r="AA367" s="199">
        <f>IFERROR(__xludf.DUMMYFUNCTION("""COMPUTED_VALUE"""),2.0)</f>
        <v>2</v>
      </c>
      <c r="AB367" s="199">
        <f>IFERROR(__xludf.DUMMYFUNCTION("""COMPUTED_VALUE"""),54.0)</f>
        <v>54</v>
      </c>
      <c r="AC367" s="199">
        <f>IFERROR(__xludf.DUMMYFUNCTION("""COMPUTED_VALUE"""),38.0)</f>
        <v>38</v>
      </c>
      <c r="AD367" s="199">
        <f>IFERROR(__xludf.DUMMYFUNCTION("""COMPUTED_VALUE"""),0.0)</f>
        <v>0</v>
      </c>
      <c r="AE367" s="199">
        <f>IFERROR(__xludf.DUMMYFUNCTION("""COMPUTED_VALUE"""),457.0)</f>
        <v>457</v>
      </c>
      <c r="AF367" s="199">
        <f>IFERROR(__xludf.DUMMYFUNCTION("""COMPUTED_VALUE"""),21.0)</f>
        <v>21</v>
      </c>
      <c r="AG367" s="199">
        <f>IFERROR(__xludf.DUMMYFUNCTION("""COMPUTED_VALUE"""),422.0)</f>
        <v>422</v>
      </c>
      <c r="AH367" s="199">
        <f>IFERROR(__xludf.DUMMYFUNCTION("""COMPUTED_VALUE"""),48.0)</f>
        <v>48</v>
      </c>
      <c r="AI367" s="200" t="str">
        <f>IFERROR(__xludf.DUMMYFUNCTION("""COMPUTED_VALUE"""),"Wear Metal Alert | Contamination Alert | Water Ingress")</f>
        <v>Wear Metal Alert | Contamination Alert | Water Ingress</v>
      </c>
      <c r="AJ367" s="200" t="str">
        <f>IFERROR(__xludf.DUMMYFUNCTION("""COMPUTED_VALUE"""),"URGENT: Inspect equipment immediately for wear/damage; High wear metals - inspect bearing/gear surfaces; High water contamination - check seals and drain water immediately; Elevated silicon - inspect filters and seals for contamination")</f>
        <v>URGENT: Inspect equipment immediately for wear/damage; High wear metals - inspect bearing/gear surfaces; High water contamination - check seals and drain water immediately; Elevated silicon - inspect filters and seals for contamination</v>
      </c>
      <c r="AK367" s="204"/>
      <c r="AL367" s="204"/>
      <c r="AM367" s="204"/>
    </row>
    <row r="368" hidden="1">
      <c r="A368" s="199" t="str">
        <f>IFERROR(__xludf.DUMMYFUNCTION("""COMPUTED_VALUE"""),"532.LQ110")</f>
        <v>532.LQ110</v>
      </c>
      <c r="B368" s="200" t="str">
        <f>IFERROR(__xludf.DUMMYFUNCTION("""COMPUTED_VALUE"""),"Cement Mill Inlet Slide Shoe Bearing LUB.")</f>
        <v>Cement Mill Inlet Slide Shoe Bearing LUB.</v>
      </c>
      <c r="C368" s="199">
        <f>IFERROR(__xludf.DUMMYFUNCTION("""COMPUTED_VALUE"""),2.5180296246E10)</f>
        <v>25180296246</v>
      </c>
      <c r="D368" s="201">
        <f>IFERROR(__xludf.DUMMYFUNCTION("""COMPUTED_VALUE"""),45826.0)</f>
        <v>45826</v>
      </c>
      <c r="E368" s="202" t="str">
        <f>IFERROR(__xludf.DUMMYFUNCTION("""COMPUTED_VALUE"""),"Alert")</f>
        <v>Alert</v>
      </c>
      <c r="F368" s="202" t="str">
        <f>IFERROR(__xludf.DUMMYFUNCTION("""COMPUTED_VALUE"""),"Alert")</f>
        <v>Alert</v>
      </c>
      <c r="G368" s="203" t="str">
        <f>IFERROR(__xludf.DUMMYFUNCTION("""COMPUTED_VALUE"""),"Alert")</f>
        <v>Alert</v>
      </c>
      <c r="H368" s="203" t="str">
        <f>IFERROR(__xludf.DUMMYFUNCTION("""COMPUTED_VALUE"""),"Caution")</f>
        <v>Caution</v>
      </c>
      <c r="I368" s="37"/>
      <c r="J368" s="37"/>
      <c r="K368" s="37"/>
      <c r="L368" s="199">
        <f>IFERROR(__xludf.DUMMYFUNCTION("""COMPUTED_VALUE"""),57.0)</f>
        <v>57</v>
      </c>
      <c r="M368" s="199">
        <f>IFERROR(__xludf.DUMMYFUNCTION("""COMPUTED_VALUE"""),462.3)</f>
        <v>462.3</v>
      </c>
      <c r="N368" s="199"/>
      <c r="O368" s="199">
        <f>IFERROR(__xludf.DUMMYFUNCTION("""COMPUTED_VALUE"""),7.0)</f>
        <v>7</v>
      </c>
      <c r="P368" s="199">
        <f>IFERROR(__xludf.DUMMYFUNCTION("""COMPUTED_VALUE"""),0.2)</f>
        <v>0.2</v>
      </c>
      <c r="Q368" s="199">
        <f>IFERROR(__xludf.DUMMYFUNCTION("""COMPUTED_VALUE"""),0.0)</f>
        <v>0</v>
      </c>
      <c r="R368" s="199">
        <f>IFERROR(__xludf.DUMMYFUNCTION("""COMPUTED_VALUE"""),22.0)</f>
        <v>22</v>
      </c>
      <c r="S368" s="199">
        <f>IFERROR(__xludf.DUMMYFUNCTION("""COMPUTED_VALUE"""),0.0)</f>
        <v>0</v>
      </c>
      <c r="T368" s="199">
        <f>IFERROR(__xludf.DUMMYFUNCTION("""COMPUTED_VALUE"""),31.0)</f>
        <v>31</v>
      </c>
      <c r="U368" s="199">
        <f>IFERROR(__xludf.DUMMYFUNCTION("""COMPUTED_VALUE"""),165.0)</f>
        <v>165</v>
      </c>
      <c r="V368" s="199">
        <f>IFERROR(__xludf.DUMMYFUNCTION("""COMPUTED_VALUE"""),3.0)</f>
        <v>3</v>
      </c>
      <c r="W368" s="199">
        <f>IFERROR(__xludf.DUMMYFUNCTION("""COMPUTED_VALUE"""),0.0)</f>
        <v>0</v>
      </c>
      <c r="X368" s="199">
        <f>IFERROR(__xludf.DUMMYFUNCTION("""COMPUTED_VALUE"""),21.0)</f>
        <v>21</v>
      </c>
      <c r="Y368" s="199">
        <f>IFERROR(__xludf.DUMMYFUNCTION("""COMPUTED_VALUE"""),0.0)</f>
        <v>0</v>
      </c>
      <c r="Z368" s="199">
        <f>IFERROR(__xludf.DUMMYFUNCTION("""COMPUTED_VALUE"""),2.0)</f>
        <v>2</v>
      </c>
      <c r="AA368" s="199">
        <f>IFERROR(__xludf.DUMMYFUNCTION("""COMPUTED_VALUE"""),0.0)</f>
        <v>0</v>
      </c>
      <c r="AB368" s="199">
        <f>IFERROR(__xludf.DUMMYFUNCTION("""COMPUTED_VALUE"""),77.0)</f>
        <v>77</v>
      </c>
      <c r="AC368" s="199">
        <f>IFERROR(__xludf.DUMMYFUNCTION("""COMPUTED_VALUE"""),37.0)</f>
        <v>37</v>
      </c>
      <c r="AD368" s="199">
        <f>IFERROR(__xludf.DUMMYFUNCTION("""COMPUTED_VALUE"""),0.0)</f>
        <v>0</v>
      </c>
      <c r="AE368" s="199">
        <f>IFERROR(__xludf.DUMMYFUNCTION("""COMPUTED_VALUE"""),609.0)</f>
        <v>609</v>
      </c>
      <c r="AF368" s="199">
        <f>IFERROR(__xludf.DUMMYFUNCTION("""COMPUTED_VALUE"""),24.0)</f>
        <v>24</v>
      </c>
      <c r="AG368" s="199">
        <f>IFERROR(__xludf.DUMMYFUNCTION("""COMPUTED_VALUE"""),359.0)</f>
        <v>359</v>
      </c>
      <c r="AH368" s="199">
        <f>IFERROR(__xludf.DUMMYFUNCTION("""COMPUTED_VALUE"""),12.0)</f>
        <v>12</v>
      </c>
      <c r="AI368" s="200" t="str">
        <f>IFERROR(__xludf.DUMMYFUNCTION("""COMPUTED_VALUE"""),"Wear Metal Alert | Contamination Alert | Water Ingress")</f>
        <v>Wear Metal Alert | Contamination Alert | Water Ingress</v>
      </c>
      <c r="AJ368" s="200" t="str">
        <f>IFERROR(__xludf.DUMMYFUNCTION("""COMPUTED_VALUE"""),"URGENT: Inspect equipment immediately for wear/damage; High wear metals - inspect bearing/gear surfaces; Water detected - inspect seals and breathers; Severe oxidation - lubricant change required urgently; Elevated silicon - inspect filters and seals for "&amp;"contamination")</f>
        <v>URGENT: Inspect equipment immediately for wear/damage; High wear metals - inspect bearing/gear surfaces; Water detected - inspect seals and breathers; Severe oxidation - lubricant change required urgently; Elevated silicon - inspect filters and seals for contamination</v>
      </c>
      <c r="AK368" s="204"/>
      <c r="AL368" s="204"/>
      <c r="AM368" s="204"/>
    </row>
    <row r="369" hidden="1">
      <c r="A369" s="199" t="str">
        <f>IFERROR(__xludf.DUMMYFUNCTION("""COMPUTED_VALUE"""),"532.LQ120")</f>
        <v>532.LQ120</v>
      </c>
      <c r="B369" s="200" t="str">
        <f>IFERROR(__xludf.DUMMYFUNCTION("""COMPUTED_VALUE"""),"Cement Mill Outlet Slide Shoe Bearing LUB.")</f>
        <v>Cement Mill Outlet Slide Shoe Bearing LUB.</v>
      </c>
      <c r="C369" s="199">
        <f>IFERROR(__xludf.DUMMYFUNCTION("""COMPUTED_VALUE"""),2.5180296236E10)</f>
        <v>25180296236</v>
      </c>
      <c r="D369" s="201">
        <f>IFERROR(__xludf.DUMMYFUNCTION("""COMPUTED_VALUE"""),45826.0)</f>
        <v>45826</v>
      </c>
      <c r="E369" s="202" t="str">
        <f>IFERROR(__xludf.DUMMYFUNCTION("""COMPUTED_VALUE"""),"Caution")</f>
        <v>Caution</v>
      </c>
      <c r="F369" s="202" t="str">
        <f>IFERROR(__xludf.DUMMYFUNCTION("""COMPUTED_VALUE"""),"Caution")</f>
        <v>Caution</v>
      </c>
      <c r="G369" s="203" t="str">
        <f>IFERROR(__xludf.DUMMYFUNCTION("""COMPUTED_VALUE"""),"Normal")</f>
        <v>Normal</v>
      </c>
      <c r="H369" s="203" t="str">
        <f>IFERROR(__xludf.DUMMYFUNCTION("""COMPUTED_VALUE"""),"Caution")</f>
        <v>Caution</v>
      </c>
      <c r="I369" s="37"/>
      <c r="J369" s="37"/>
      <c r="K369" s="37"/>
      <c r="L369" s="199">
        <f>IFERROR(__xludf.DUMMYFUNCTION("""COMPUTED_VALUE"""),24.0)</f>
        <v>24</v>
      </c>
      <c r="M369" s="199">
        <f>IFERROR(__xludf.DUMMYFUNCTION("""COMPUTED_VALUE"""),459.0)</f>
        <v>459</v>
      </c>
      <c r="N369" s="199"/>
      <c r="O369" s="199">
        <f>IFERROR(__xludf.DUMMYFUNCTION("""COMPUTED_VALUE"""),4.0)</f>
        <v>4</v>
      </c>
      <c r="P369" s="199">
        <f>IFERROR(__xludf.DUMMYFUNCTION("""COMPUTED_VALUE"""),0.05)</f>
        <v>0.05</v>
      </c>
      <c r="Q369" s="199">
        <f>IFERROR(__xludf.DUMMYFUNCTION("""COMPUTED_VALUE"""),0.0)</f>
        <v>0</v>
      </c>
      <c r="R369" s="199">
        <f>IFERROR(__xludf.DUMMYFUNCTION("""COMPUTED_VALUE"""),3.0)</f>
        <v>3</v>
      </c>
      <c r="S369" s="199">
        <f>IFERROR(__xludf.DUMMYFUNCTION("""COMPUTED_VALUE"""),0.0)</f>
        <v>0</v>
      </c>
      <c r="T369" s="199">
        <f>IFERROR(__xludf.DUMMYFUNCTION("""COMPUTED_VALUE"""),9.0)</f>
        <v>9</v>
      </c>
      <c r="U369" s="199">
        <f>IFERROR(__xludf.DUMMYFUNCTION("""COMPUTED_VALUE"""),26.0)</f>
        <v>26</v>
      </c>
      <c r="V369" s="199">
        <f>IFERROR(__xludf.DUMMYFUNCTION("""COMPUTED_VALUE"""),3.0)</f>
        <v>3</v>
      </c>
      <c r="W369" s="199">
        <f>IFERROR(__xludf.DUMMYFUNCTION("""COMPUTED_VALUE"""),0.0)</f>
        <v>0</v>
      </c>
      <c r="X369" s="199">
        <f>IFERROR(__xludf.DUMMYFUNCTION("""COMPUTED_VALUE"""),3.0)</f>
        <v>3</v>
      </c>
      <c r="Y369" s="199">
        <f>IFERROR(__xludf.DUMMYFUNCTION("""COMPUTED_VALUE"""),0.0)</f>
        <v>0</v>
      </c>
      <c r="Z369" s="199">
        <f>IFERROR(__xludf.DUMMYFUNCTION("""COMPUTED_VALUE"""),2.0)</f>
        <v>2</v>
      </c>
      <c r="AA369" s="199">
        <f>IFERROR(__xludf.DUMMYFUNCTION("""COMPUTED_VALUE"""),2.0)</f>
        <v>2</v>
      </c>
      <c r="AB369" s="199">
        <f>IFERROR(__xludf.DUMMYFUNCTION("""COMPUTED_VALUE"""),10.0)</f>
        <v>10</v>
      </c>
      <c r="AC369" s="199">
        <f>IFERROR(__xludf.DUMMYFUNCTION("""COMPUTED_VALUE"""),26.0)</f>
        <v>26</v>
      </c>
      <c r="AD369" s="199">
        <f>IFERROR(__xludf.DUMMYFUNCTION("""COMPUTED_VALUE"""),0.0)</f>
        <v>0</v>
      </c>
      <c r="AE369" s="199">
        <f>IFERROR(__xludf.DUMMYFUNCTION("""COMPUTED_VALUE"""),95.0)</f>
        <v>95</v>
      </c>
      <c r="AF369" s="199">
        <f>IFERROR(__xludf.DUMMYFUNCTION("""COMPUTED_VALUE"""),6.0)</f>
        <v>6</v>
      </c>
      <c r="AG369" s="199">
        <f>IFERROR(__xludf.DUMMYFUNCTION("""COMPUTED_VALUE"""),356.0)</f>
        <v>356</v>
      </c>
      <c r="AH369" s="199">
        <f>IFERROR(__xludf.DUMMYFUNCTION("""COMPUTED_VALUE"""),16.0)</f>
        <v>16</v>
      </c>
      <c r="AI369" s="200" t="str">
        <f>IFERROR(__xludf.DUMMYFUNCTION("""COMPUTED_VALUE"""),"Lubricant Condition Caution")</f>
        <v>Lubricant Condition Caution</v>
      </c>
      <c r="AJ369" s="200" t="str">
        <f>IFERROR(__xludf.DUMMYFUNCTION("""COMPUTED_VALUE"""),"Lubricant showing degradation - plan oil change within 3 months; Oxidation increasing - monitor and plan oil change")</f>
        <v>Lubricant showing degradation - plan oil change within 3 months; Oxidation increasing - monitor and plan oil change</v>
      </c>
      <c r="AK369" s="204"/>
      <c r="AL369" s="204"/>
      <c r="AM369" s="204"/>
    </row>
    <row r="370" hidden="1">
      <c r="A370" s="199" t="str">
        <f>IFERROR(__xludf.DUMMYFUNCTION("""COMPUTED_VALUE"""),"533.LQ110")</f>
        <v>533.LQ110</v>
      </c>
      <c r="B370" s="200" t="str">
        <f>IFERROR(__xludf.DUMMYFUNCTION("""COMPUTED_VALUE"""),"Cement Mill Inlet Slide Shoe Bearing LUB.")</f>
        <v>Cement Mill Inlet Slide Shoe Bearing LUB.</v>
      </c>
      <c r="C370" s="199">
        <f>IFERROR(__xludf.DUMMYFUNCTION("""COMPUTED_VALUE"""),2.5180296235E10)</f>
        <v>25180296235</v>
      </c>
      <c r="D370" s="201">
        <f>IFERROR(__xludf.DUMMYFUNCTION("""COMPUTED_VALUE"""),45826.0)</f>
        <v>45826</v>
      </c>
      <c r="E370" s="202" t="str">
        <f>IFERROR(__xludf.DUMMYFUNCTION("""COMPUTED_VALUE"""),"Alert")</f>
        <v>Alert</v>
      </c>
      <c r="F370" s="202" t="str">
        <f>IFERROR(__xludf.DUMMYFUNCTION("""COMPUTED_VALUE"""),"Alert")</f>
        <v>Alert</v>
      </c>
      <c r="G370" s="203" t="str">
        <f>IFERROR(__xludf.DUMMYFUNCTION("""COMPUTED_VALUE"""),"Alert")</f>
        <v>Alert</v>
      </c>
      <c r="H370" s="203" t="str">
        <f>IFERROR(__xludf.DUMMYFUNCTION("""COMPUTED_VALUE"""),"Caution")</f>
        <v>Caution</v>
      </c>
      <c r="I370" s="37"/>
      <c r="J370" s="37"/>
      <c r="K370" s="37"/>
      <c r="L370" s="199">
        <f>IFERROR(__xludf.DUMMYFUNCTION("""COMPUTED_VALUE"""),101.0)</f>
        <v>101</v>
      </c>
      <c r="M370" s="199">
        <f>IFERROR(__xludf.DUMMYFUNCTION("""COMPUTED_VALUE"""),466.9)</f>
        <v>466.9</v>
      </c>
      <c r="N370" s="199"/>
      <c r="O370" s="199">
        <f>IFERROR(__xludf.DUMMYFUNCTION("""COMPUTED_VALUE"""),5.0)</f>
        <v>5</v>
      </c>
      <c r="P370" s="199">
        <f>IFERROR(__xludf.DUMMYFUNCTION("""COMPUTED_VALUE"""),0.5)</f>
        <v>0.5</v>
      </c>
      <c r="Q370" s="199">
        <f>IFERROR(__xludf.DUMMYFUNCTION("""COMPUTED_VALUE"""),0.0)</f>
        <v>0</v>
      </c>
      <c r="R370" s="199">
        <f>IFERROR(__xludf.DUMMYFUNCTION("""COMPUTED_VALUE"""),8.0)</f>
        <v>8</v>
      </c>
      <c r="S370" s="199">
        <f>IFERROR(__xludf.DUMMYFUNCTION("""COMPUTED_VALUE"""),0.0)</f>
        <v>0</v>
      </c>
      <c r="T370" s="199">
        <f>IFERROR(__xludf.DUMMYFUNCTION("""COMPUTED_VALUE"""),50.0)</f>
        <v>50</v>
      </c>
      <c r="U370" s="199">
        <f>IFERROR(__xludf.DUMMYFUNCTION("""COMPUTED_VALUE"""),85.0)</f>
        <v>85</v>
      </c>
      <c r="V370" s="199">
        <f>IFERROR(__xludf.DUMMYFUNCTION("""COMPUTED_VALUE"""),2.0)</f>
        <v>2</v>
      </c>
      <c r="W370" s="199">
        <f>IFERROR(__xludf.DUMMYFUNCTION("""COMPUTED_VALUE"""),0.0)</f>
        <v>0</v>
      </c>
      <c r="X370" s="199">
        <f>IFERROR(__xludf.DUMMYFUNCTION("""COMPUTED_VALUE"""),26.0)</f>
        <v>26</v>
      </c>
      <c r="Y370" s="199">
        <f>IFERROR(__xludf.DUMMYFUNCTION("""COMPUTED_VALUE"""),142.0)</f>
        <v>142</v>
      </c>
      <c r="Z370" s="199">
        <f>IFERROR(__xludf.DUMMYFUNCTION("""COMPUTED_VALUE"""),1.0)</f>
        <v>1</v>
      </c>
      <c r="AA370" s="199">
        <f>IFERROR(__xludf.DUMMYFUNCTION("""COMPUTED_VALUE"""),6.0)</f>
        <v>6</v>
      </c>
      <c r="AB370" s="199">
        <f>IFERROR(__xludf.DUMMYFUNCTION("""COMPUTED_VALUE"""),39.0)</f>
        <v>39</v>
      </c>
      <c r="AC370" s="199">
        <f>IFERROR(__xludf.DUMMYFUNCTION("""COMPUTED_VALUE"""),19.0)</f>
        <v>19</v>
      </c>
      <c r="AD370" s="199">
        <f>IFERROR(__xludf.DUMMYFUNCTION("""COMPUTED_VALUE"""),0.0)</f>
        <v>0</v>
      </c>
      <c r="AE370" s="199">
        <f>IFERROR(__xludf.DUMMYFUNCTION("""COMPUTED_VALUE"""),279.0)</f>
        <v>279</v>
      </c>
      <c r="AF370" s="199">
        <f>IFERROR(__xludf.DUMMYFUNCTION("""COMPUTED_VALUE"""),10.0)</f>
        <v>10</v>
      </c>
      <c r="AG370" s="199">
        <f>IFERROR(__xludf.DUMMYFUNCTION("""COMPUTED_VALUE"""),335.0)</f>
        <v>335</v>
      </c>
      <c r="AH370" s="199">
        <f>IFERROR(__xludf.DUMMYFUNCTION("""COMPUTED_VALUE"""),5.0)</f>
        <v>5</v>
      </c>
      <c r="AI370" s="200" t="str">
        <f>IFERROR(__xludf.DUMMYFUNCTION("""COMPUTED_VALUE"""),"Wear Metal Alert | Water Ingress | High Particle Count")</f>
        <v>Wear Metal Alert | Water Ingress | High Particle Count</v>
      </c>
      <c r="AJ370" s="200" t="str">
        <f>IFERROR(__xludf.DUMMYFUNCTION("""COMPUTED_VALUE"""),"URGENT: Inspect equipment immediately for wear/damage; High water contamination - check seals and drain water immediately; Severe oxidation - lubricant change required urgently; Elevated silicon - inspect filters and seals for contamination; High particle"&amp;" count - replace filters and resample")</f>
        <v>URGENT: Inspect equipment immediately for wear/damage; High water contamination - check seals and drain water immediately; Severe oxidation - lubricant change required urgently; Elevated silicon - inspect filters and seals for contamination; High particle count - replace filters and resample</v>
      </c>
      <c r="AK370" s="204"/>
      <c r="AL370" s="204"/>
      <c r="AM370" s="204"/>
    </row>
    <row r="371" hidden="1">
      <c r="A371" s="199" t="str">
        <f>IFERROR(__xludf.DUMMYFUNCTION("""COMPUTED_VALUE"""),"533.LQ120")</f>
        <v>533.LQ120</v>
      </c>
      <c r="B371" s="200" t="str">
        <f>IFERROR(__xludf.DUMMYFUNCTION("""COMPUTED_VALUE"""),"Cement Mill Outlet Slide Shoe Bearing LUB.")</f>
        <v>Cement Mill Outlet Slide Shoe Bearing LUB.</v>
      </c>
      <c r="C371" s="199">
        <f>IFERROR(__xludf.DUMMYFUNCTION("""COMPUTED_VALUE"""),2.5180296257E10)</f>
        <v>25180296257</v>
      </c>
      <c r="D371" s="201">
        <f>IFERROR(__xludf.DUMMYFUNCTION("""COMPUTED_VALUE"""),45826.0)</f>
        <v>45826</v>
      </c>
      <c r="E371" s="202" t="str">
        <f>IFERROR(__xludf.DUMMYFUNCTION("""COMPUTED_VALUE"""),"Alert")</f>
        <v>Alert</v>
      </c>
      <c r="F371" s="202" t="str">
        <f>IFERROR(__xludf.DUMMYFUNCTION("""COMPUTED_VALUE"""),"Alert")</f>
        <v>Alert</v>
      </c>
      <c r="G371" s="203" t="str">
        <f>IFERROR(__xludf.DUMMYFUNCTION("""COMPUTED_VALUE"""),"Alert")</f>
        <v>Alert</v>
      </c>
      <c r="H371" s="203" t="str">
        <f>IFERROR(__xludf.DUMMYFUNCTION("""COMPUTED_VALUE"""),"Normal")</f>
        <v>Normal</v>
      </c>
      <c r="I371" s="199"/>
      <c r="J371" s="199"/>
      <c r="K371" s="199"/>
      <c r="L371" s="199">
        <f>IFERROR(__xludf.DUMMYFUNCTION("""COMPUTED_VALUE"""),67.0)</f>
        <v>67</v>
      </c>
      <c r="M371" s="199">
        <f>IFERROR(__xludf.DUMMYFUNCTION("""COMPUTED_VALUE"""),431.2)</f>
        <v>431.2</v>
      </c>
      <c r="N371" s="37"/>
      <c r="O371" s="37">
        <f>IFERROR(__xludf.DUMMYFUNCTION("""COMPUTED_VALUE"""),4.0)</f>
        <v>4</v>
      </c>
      <c r="P371" s="199">
        <f>IFERROR(__xludf.DUMMYFUNCTION("""COMPUTED_VALUE"""),0.4)</f>
        <v>0.4</v>
      </c>
      <c r="Q371" s="199">
        <f>IFERROR(__xludf.DUMMYFUNCTION("""COMPUTED_VALUE"""),0.0)</f>
        <v>0</v>
      </c>
      <c r="R371" s="199">
        <f>IFERROR(__xludf.DUMMYFUNCTION("""COMPUTED_VALUE"""),7.0)</f>
        <v>7</v>
      </c>
      <c r="S371" s="199">
        <f>IFERROR(__xludf.DUMMYFUNCTION("""COMPUTED_VALUE"""),0.0)</f>
        <v>0</v>
      </c>
      <c r="T371" s="199">
        <f>IFERROR(__xludf.DUMMYFUNCTION("""COMPUTED_VALUE"""),24.0)</f>
        <v>24</v>
      </c>
      <c r="U371" s="199">
        <f>IFERROR(__xludf.DUMMYFUNCTION("""COMPUTED_VALUE"""),88.0)</f>
        <v>88</v>
      </c>
      <c r="V371" s="199">
        <f>IFERROR(__xludf.DUMMYFUNCTION("""COMPUTED_VALUE"""),0.0)</f>
        <v>0</v>
      </c>
      <c r="W371" s="199">
        <f>IFERROR(__xludf.DUMMYFUNCTION("""COMPUTED_VALUE"""),0.0)</f>
        <v>0</v>
      </c>
      <c r="X371" s="199">
        <f>IFERROR(__xludf.DUMMYFUNCTION("""COMPUTED_VALUE"""),44.0)</f>
        <v>44</v>
      </c>
      <c r="Y371" s="199">
        <f>IFERROR(__xludf.DUMMYFUNCTION("""COMPUTED_VALUE"""),103.0)</f>
        <v>103</v>
      </c>
      <c r="Z371" s="199">
        <f>IFERROR(__xludf.DUMMYFUNCTION("""COMPUTED_VALUE"""),0.0)</f>
        <v>0</v>
      </c>
      <c r="AA371" s="199">
        <f>IFERROR(__xludf.DUMMYFUNCTION("""COMPUTED_VALUE"""),0.0)</f>
        <v>0</v>
      </c>
      <c r="AB371" s="199">
        <f>IFERROR(__xludf.DUMMYFUNCTION("""COMPUTED_VALUE"""),30.0)</f>
        <v>30</v>
      </c>
      <c r="AC371" s="199">
        <f>IFERROR(__xludf.DUMMYFUNCTION("""COMPUTED_VALUE"""),25.0)</f>
        <v>25</v>
      </c>
      <c r="AD371" s="199">
        <f>IFERROR(__xludf.DUMMYFUNCTION("""COMPUTED_VALUE"""),0.0)</f>
        <v>0</v>
      </c>
      <c r="AE371" s="199">
        <f>IFERROR(__xludf.DUMMYFUNCTION("""COMPUTED_VALUE"""),268.0)</f>
        <v>268</v>
      </c>
      <c r="AF371" s="199">
        <f>IFERROR(__xludf.DUMMYFUNCTION("""COMPUTED_VALUE"""),3.0)</f>
        <v>3</v>
      </c>
      <c r="AG371" s="199">
        <f>IFERROR(__xludf.DUMMYFUNCTION("""COMPUTED_VALUE"""),350.0)</f>
        <v>350</v>
      </c>
      <c r="AH371" s="199">
        <f>IFERROR(__xludf.DUMMYFUNCTION("""COMPUTED_VALUE"""),11.0)</f>
        <v>11</v>
      </c>
      <c r="AI371" s="200" t="str">
        <f>IFERROR(__xludf.DUMMYFUNCTION("""COMPUTED_VALUE"""),"Wear Metal Alert | Water Ingress")</f>
        <v>Wear Metal Alert | Water Ingress</v>
      </c>
      <c r="AJ371" s="200" t="str">
        <f>IFERROR(__xludf.DUMMYFUNCTION("""COMPUTED_VALUE"""),"URGENT: Inspect equipment immediately for wear/damage; High water contamination - check seals and drain water immediately")</f>
        <v>URGENT: Inspect equipment immediately for wear/damage; High water contamination - check seals and drain water immediately</v>
      </c>
      <c r="AK371" s="204"/>
      <c r="AL371" s="204"/>
      <c r="AM371" s="204"/>
    </row>
    <row r="372" hidden="1">
      <c r="A372" s="199" t="str">
        <f>IFERROR(__xludf.DUMMYFUNCTION("""COMPUTED_VALUE"""),"534.LQ110")</f>
        <v>534.LQ110</v>
      </c>
      <c r="B372" s="200" t="str">
        <f>IFERROR(__xludf.DUMMYFUNCTION("""COMPUTED_VALUE"""),"Cement Mill Inlet Slide Shoe Bearing LUB.")</f>
        <v>Cement Mill Inlet Slide Shoe Bearing LUB.</v>
      </c>
      <c r="C372" s="199">
        <f>IFERROR(__xludf.DUMMYFUNCTION("""COMPUTED_VALUE"""),2.5180296244E10)</f>
        <v>25180296244</v>
      </c>
      <c r="D372" s="201">
        <f>IFERROR(__xludf.DUMMYFUNCTION("""COMPUTED_VALUE"""),45826.0)</f>
        <v>45826</v>
      </c>
      <c r="E372" s="202" t="str">
        <f>IFERROR(__xludf.DUMMYFUNCTION("""COMPUTED_VALUE"""),"Alert")</f>
        <v>Alert</v>
      </c>
      <c r="F372" s="202" t="str">
        <f>IFERROR(__xludf.DUMMYFUNCTION("""COMPUTED_VALUE"""),"Alert")</f>
        <v>Alert</v>
      </c>
      <c r="G372" s="203" t="str">
        <f>IFERROR(__xludf.DUMMYFUNCTION("""COMPUTED_VALUE"""),"Alert")</f>
        <v>Alert</v>
      </c>
      <c r="H372" s="203" t="str">
        <f>IFERROR(__xludf.DUMMYFUNCTION("""COMPUTED_VALUE"""),"Alert")</f>
        <v>Alert</v>
      </c>
      <c r="I372" s="199"/>
      <c r="J372" s="199"/>
      <c r="K372" s="199"/>
      <c r="L372" s="199">
        <f>IFERROR(__xludf.DUMMYFUNCTION("""COMPUTED_VALUE"""),104.0)</f>
        <v>104</v>
      </c>
      <c r="M372" s="199">
        <f>IFERROR(__xludf.DUMMYFUNCTION("""COMPUTED_VALUE"""),456.5)</f>
        <v>456.5</v>
      </c>
      <c r="N372" s="37"/>
      <c r="O372" s="37">
        <f>IFERROR(__xludf.DUMMYFUNCTION("""COMPUTED_VALUE"""),11.0)</f>
        <v>11</v>
      </c>
      <c r="P372" s="199">
        <f>IFERROR(__xludf.DUMMYFUNCTION("""COMPUTED_VALUE"""),0.6)</f>
        <v>0.6</v>
      </c>
      <c r="Q372" s="199">
        <f>IFERROR(__xludf.DUMMYFUNCTION("""COMPUTED_VALUE"""),0.0)</f>
        <v>0</v>
      </c>
      <c r="R372" s="199">
        <f>IFERROR(__xludf.DUMMYFUNCTION("""COMPUTED_VALUE"""),10.0)</f>
        <v>10</v>
      </c>
      <c r="S372" s="199">
        <f>IFERROR(__xludf.DUMMYFUNCTION("""COMPUTED_VALUE"""),0.0)</f>
        <v>0</v>
      </c>
      <c r="T372" s="199">
        <f>IFERROR(__xludf.DUMMYFUNCTION("""COMPUTED_VALUE"""),52.0)</f>
        <v>52</v>
      </c>
      <c r="U372" s="199">
        <f>IFERROR(__xludf.DUMMYFUNCTION("""COMPUTED_VALUE"""),90.0)</f>
        <v>90</v>
      </c>
      <c r="V372" s="199">
        <f>IFERROR(__xludf.DUMMYFUNCTION("""COMPUTED_VALUE"""),2.0)</f>
        <v>2</v>
      </c>
      <c r="W372" s="199">
        <f>IFERROR(__xludf.DUMMYFUNCTION("""COMPUTED_VALUE"""),0.0)</f>
        <v>0</v>
      </c>
      <c r="X372" s="199">
        <f>IFERROR(__xludf.DUMMYFUNCTION("""COMPUTED_VALUE"""),49.0)</f>
        <v>49</v>
      </c>
      <c r="Y372" s="199">
        <f>IFERROR(__xludf.DUMMYFUNCTION("""COMPUTED_VALUE"""),2.0)</f>
        <v>2</v>
      </c>
      <c r="Z372" s="199">
        <f>IFERROR(__xludf.DUMMYFUNCTION("""COMPUTED_VALUE"""),15.0)</f>
        <v>15</v>
      </c>
      <c r="AA372" s="199">
        <f>IFERROR(__xludf.DUMMYFUNCTION("""COMPUTED_VALUE"""),0.0)</f>
        <v>0</v>
      </c>
      <c r="AB372" s="199">
        <f>IFERROR(__xludf.DUMMYFUNCTION("""COMPUTED_VALUE"""),47.0)</f>
        <v>47</v>
      </c>
      <c r="AC372" s="199">
        <f>IFERROR(__xludf.DUMMYFUNCTION("""COMPUTED_VALUE"""),14.0)</f>
        <v>14</v>
      </c>
      <c r="AD372" s="199">
        <f>IFERROR(__xludf.DUMMYFUNCTION("""COMPUTED_VALUE"""),0.0)</f>
        <v>0</v>
      </c>
      <c r="AE372" s="199">
        <f>IFERROR(__xludf.DUMMYFUNCTION("""COMPUTED_VALUE"""),542.0)</f>
        <v>542</v>
      </c>
      <c r="AF372" s="199">
        <f>IFERROR(__xludf.DUMMYFUNCTION("""COMPUTED_VALUE"""),15.0)</f>
        <v>15</v>
      </c>
      <c r="AG372" s="199">
        <f>IFERROR(__xludf.DUMMYFUNCTION("""COMPUTED_VALUE"""),301.0)</f>
        <v>301</v>
      </c>
      <c r="AH372" s="199">
        <f>IFERROR(__xludf.DUMMYFUNCTION("""COMPUTED_VALUE"""),1.0)</f>
        <v>1</v>
      </c>
      <c r="AI372" s="200" t="str">
        <f>IFERROR(__xludf.DUMMYFUNCTION("""COMPUTED_VALUE"""),"Wear Metal Alert | Lubricant Degradation | Water Ingress | High Particle Count")</f>
        <v>Wear Metal Alert | Lubricant Degradation | Water Ingress | High Particle Count</v>
      </c>
      <c r="AJ372" s="200" t="str">
        <f>IFERROR(__xludf.DUMMYFUNCTION("""COMPUTED_VALUE"""),"URGENT: Inspect equipment immediately for wear/damage; High water contamination - check seals and drain water immediately; Viscosity critically high - change lubricant immediately; Severe oxidation - lubricant change required urgently; Elevated silicon - "&amp;"inspect filters and seals for contamination; High particle count - replace filters and resample")</f>
        <v>URGENT: Inspect equipment immediately for wear/damage; High water contamination - check seals and drain water immediately; Viscosity critically high - change lubricant immediately; Severe oxidation - lubricant change required urgently; Elevated silicon - inspect filters and seals for contamination; High particle count - replace filters and resample</v>
      </c>
      <c r="AK372" s="204"/>
      <c r="AL372" s="204"/>
      <c r="AM372" s="204"/>
    </row>
    <row r="373" hidden="1">
      <c r="A373" s="199" t="str">
        <f>IFERROR(__xludf.DUMMYFUNCTION("""COMPUTED_VALUE"""),"534.LQ120")</f>
        <v>534.LQ120</v>
      </c>
      <c r="B373" s="200" t="str">
        <f>IFERROR(__xludf.DUMMYFUNCTION("""COMPUTED_VALUE"""),"Cement Mill Outlet Slide Shoe Bearing LUB.")</f>
        <v>Cement Mill Outlet Slide Shoe Bearing LUB.</v>
      </c>
      <c r="C373" s="199">
        <f>IFERROR(__xludf.DUMMYFUNCTION("""COMPUTED_VALUE"""),2.5180296243E10)</f>
        <v>25180296243</v>
      </c>
      <c r="D373" s="201">
        <f>IFERROR(__xludf.DUMMYFUNCTION("""COMPUTED_VALUE"""),45826.0)</f>
        <v>45826</v>
      </c>
      <c r="E373" s="202" t="str">
        <f>IFERROR(__xludf.DUMMYFUNCTION("""COMPUTED_VALUE"""),"Alert")</f>
        <v>Alert</v>
      </c>
      <c r="F373" s="202" t="str">
        <f>IFERROR(__xludf.DUMMYFUNCTION("""COMPUTED_VALUE"""),"Alert")</f>
        <v>Alert</v>
      </c>
      <c r="G373" s="203" t="str">
        <f>IFERROR(__xludf.DUMMYFUNCTION("""COMPUTED_VALUE"""),"Alert")</f>
        <v>Alert</v>
      </c>
      <c r="H373" s="203" t="str">
        <f>IFERROR(__xludf.DUMMYFUNCTION("""COMPUTED_VALUE"""),"Caution")</f>
        <v>Caution</v>
      </c>
      <c r="I373" s="37"/>
      <c r="J373" s="37"/>
      <c r="K373" s="37"/>
      <c r="L373" s="199">
        <f>IFERROR(__xludf.DUMMYFUNCTION("""COMPUTED_VALUE"""),72.0)</f>
        <v>72</v>
      </c>
      <c r="M373" s="199">
        <f>IFERROR(__xludf.DUMMYFUNCTION("""COMPUTED_VALUE"""),436.1)</f>
        <v>436.1</v>
      </c>
      <c r="N373" s="37"/>
      <c r="O373" s="37">
        <f>IFERROR(__xludf.DUMMYFUNCTION("""COMPUTED_VALUE"""),5.0)</f>
        <v>5</v>
      </c>
      <c r="P373" s="199">
        <f>IFERROR(__xludf.DUMMYFUNCTION("""COMPUTED_VALUE"""),0.25)</f>
        <v>0.25</v>
      </c>
      <c r="Q373" s="199">
        <f>IFERROR(__xludf.DUMMYFUNCTION("""COMPUTED_VALUE"""),0.0)</f>
        <v>0</v>
      </c>
      <c r="R373" s="199">
        <f>IFERROR(__xludf.DUMMYFUNCTION("""COMPUTED_VALUE"""),25.0)</f>
        <v>25</v>
      </c>
      <c r="S373" s="199">
        <f>IFERROR(__xludf.DUMMYFUNCTION("""COMPUTED_VALUE"""),0.0)</f>
        <v>0</v>
      </c>
      <c r="T373" s="199">
        <f>IFERROR(__xludf.DUMMYFUNCTION("""COMPUTED_VALUE"""),135.0)</f>
        <v>135</v>
      </c>
      <c r="U373" s="199">
        <f>IFERROR(__xludf.DUMMYFUNCTION("""COMPUTED_VALUE"""),177.0)</f>
        <v>177</v>
      </c>
      <c r="V373" s="199">
        <f>IFERROR(__xludf.DUMMYFUNCTION("""COMPUTED_VALUE"""),0.0)</f>
        <v>0</v>
      </c>
      <c r="W373" s="199">
        <f>IFERROR(__xludf.DUMMYFUNCTION("""COMPUTED_VALUE"""),0.0)</f>
        <v>0</v>
      </c>
      <c r="X373" s="199">
        <f>IFERROR(__xludf.DUMMYFUNCTION("""COMPUTED_VALUE"""),92.0)</f>
        <v>92</v>
      </c>
      <c r="Y373" s="199">
        <f>IFERROR(__xludf.DUMMYFUNCTION("""COMPUTED_VALUE"""),102.0)</f>
        <v>102</v>
      </c>
      <c r="Z373" s="199">
        <f>IFERROR(__xludf.DUMMYFUNCTION("""COMPUTED_VALUE"""),5.0)</f>
        <v>5</v>
      </c>
      <c r="AA373" s="199">
        <f>IFERROR(__xludf.DUMMYFUNCTION("""COMPUTED_VALUE"""),0.0)</f>
        <v>0</v>
      </c>
      <c r="AB373" s="199">
        <f>IFERROR(__xludf.DUMMYFUNCTION("""COMPUTED_VALUE"""),61.0)</f>
        <v>61</v>
      </c>
      <c r="AC373" s="199">
        <f>IFERROR(__xludf.DUMMYFUNCTION("""COMPUTED_VALUE"""),30.0)</f>
        <v>30</v>
      </c>
      <c r="AD373" s="199">
        <f>IFERROR(__xludf.DUMMYFUNCTION("""COMPUTED_VALUE"""),0.0)</f>
        <v>0</v>
      </c>
      <c r="AE373" s="199">
        <f>IFERROR(__xludf.DUMMYFUNCTION("""COMPUTED_VALUE"""),624.0)</f>
        <v>624</v>
      </c>
      <c r="AF373" s="199">
        <f>IFERROR(__xludf.DUMMYFUNCTION("""COMPUTED_VALUE"""),23.0)</f>
        <v>23</v>
      </c>
      <c r="AG373" s="199">
        <f>IFERROR(__xludf.DUMMYFUNCTION("""COMPUTED_VALUE"""),328.0)</f>
        <v>328</v>
      </c>
      <c r="AH373" s="199">
        <f>IFERROR(__xludf.DUMMYFUNCTION("""COMPUTED_VALUE"""),37.0)</f>
        <v>37</v>
      </c>
      <c r="AI373" s="200" t="str">
        <f>IFERROR(__xludf.DUMMYFUNCTION("""COMPUTED_VALUE"""),"Wear Metal Alert | Contamination Alert | Water Ingress")</f>
        <v>Wear Metal Alert | Contamination Alert | Water Ingress</v>
      </c>
      <c r="AJ373" s="200" t="str">
        <f>IFERROR(__xludf.DUMMYFUNCTION("""COMPUTED_VALUE"""),"URGENT: Inspect equipment immediately for wear/damage; High wear metals - inspect bearing/gear surfaces; High water contamination - check seals and drain water immediately; Severe oxidation - lubricant change required urgently; Elevated silicon - inspect "&amp;"filters and seals for contamination")</f>
        <v>URGENT: Inspect equipment immediately for wear/damage; High wear metals - inspect bearing/gear surfaces; High water contamination - check seals and drain water immediately; Severe oxidation - lubricant change required urgently; Elevated silicon - inspect filters and seals for contamination</v>
      </c>
      <c r="AK373" s="204"/>
      <c r="AL373" s="204"/>
      <c r="AM373" s="204"/>
    </row>
    <row r="374" hidden="1">
      <c r="A374" s="199" t="str">
        <f>IFERROR(__xludf.DUMMYFUNCTION("""COMPUTED_VALUE"""),"321.MD152")</f>
        <v>321.MD152</v>
      </c>
      <c r="B374" s="200" t="str">
        <f>IFERROR(__xludf.DUMMYFUNCTION("""COMPUTED_VALUE"""),"Dynamic Separator Gearbox")</f>
        <v>Dynamic Separator Gearbox</v>
      </c>
      <c r="C374" s="199">
        <f>IFERROR(__xludf.DUMMYFUNCTION("""COMPUTED_VALUE"""),2.5180296219E10)</f>
        <v>25180296219</v>
      </c>
      <c r="D374" s="201">
        <f>IFERROR(__xludf.DUMMYFUNCTION("""COMPUTED_VALUE"""),45826.0)</f>
        <v>45826</v>
      </c>
      <c r="E374" s="202" t="str">
        <f>IFERROR(__xludf.DUMMYFUNCTION("""COMPUTED_VALUE"""),"Caution")</f>
        <v>Caution</v>
      </c>
      <c r="F374" s="202" t="str">
        <f>IFERROR(__xludf.DUMMYFUNCTION("""COMPUTED_VALUE"""),"Caution")</f>
        <v>Caution</v>
      </c>
      <c r="G374" s="203" t="str">
        <f>IFERROR(__xludf.DUMMYFUNCTION("""COMPUTED_VALUE"""),"Normal")</f>
        <v>Normal</v>
      </c>
      <c r="H374" s="203" t="str">
        <f>IFERROR(__xludf.DUMMYFUNCTION("""COMPUTED_VALUE"""),"Normal")</f>
        <v>Normal</v>
      </c>
      <c r="I374" s="37"/>
      <c r="J374" s="37"/>
      <c r="K374" s="37"/>
      <c r="L374" s="199">
        <f>IFERROR(__xludf.DUMMYFUNCTION("""COMPUTED_VALUE"""),12.0)</f>
        <v>12</v>
      </c>
      <c r="M374" s="199">
        <f>IFERROR(__xludf.DUMMYFUNCTION("""COMPUTED_VALUE"""),307.9)</f>
        <v>307.9</v>
      </c>
      <c r="N374" s="37"/>
      <c r="O374" s="37"/>
      <c r="P374" s="199">
        <f>IFERROR(__xludf.DUMMYFUNCTION("""COMPUTED_VALUE"""),0.05)</f>
        <v>0.05</v>
      </c>
      <c r="Q374" s="199">
        <f>IFERROR(__xludf.DUMMYFUNCTION("""COMPUTED_VALUE"""),0.0)</f>
        <v>0</v>
      </c>
      <c r="R374" s="199">
        <f>IFERROR(__xludf.DUMMYFUNCTION("""COMPUTED_VALUE"""),0.0)</f>
        <v>0</v>
      </c>
      <c r="S374" s="199">
        <f>IFERROR(__xludf.DUMMYFUNCTION("""COMPUTED_VALUE"""),0.0)</f>
        <v>0</v>
      </c>
      <c r="T374" s="199">
        <f>IFERROR(__xludf.DUMMYFUNCTION("""COMPUTED_VALUE"""),0.0)</f>
        <v>0</v>
      </c>
      <c r="U374" s="199">
        <f>IFERROR(__xludf.DUMMYFUNCTION("""COMPUTED_VALUE"""),9.0)</f>
        <v>9</v>
      </c>
      <c r="V374" s="199">
        <f>IFERROR(__xludf.DUMMYFUNCTION("""COMPUTED_VALUE"""),0.0)</f>
        <v>0</v>
      </c>
      <c r="W374" s="199">
        <f>IFERROR(__xludf.DUMMYFUNCTION("""COMPUTED_VALUE"""),0.0)</f>
        <v>0</v>
      </c>
      <c r="X374" s="199">
        <f>IFERROR(__xludf.DUMMYFUNCTION("""COMPUTED_VALUE"""),2.0)</f>
        <v>2</v>
      </c>
      <c r="Y374" s="199">
        <f>IFERROR(__xludf.DUMMYFUNCTION("""COMPUTED_VALUE"""),0.0)</f>
        <v>0</v>
      </c>
      <c r="Z374" s="199">
        <f>IFERROR(__xludf.DUMMYFUNCTION("""COMPUTED_VALUE"""),0.0)</f>
        <v>0</v>
      </c>
      <c r="AA374" s="199">
        <f>IFERROR(__xludf.DUMMYFUNCTION("""COMPUTED_VALUE"""),0.0)</f>
        <v>0</v>
      </c>
      <c r="AB374" s="199">
        <f>IFERROR(__xludf.DUMMYFUNCTION("""COMPUTED_VALUE"""),13.0)</f>
        <v>13</v>
      </c>
      <c r="AC374" s="199">
        <f>IFERROR(__xludf.DUMMYFUNCTION("""COMPUTED_VALUE"""),10.0)</f>
        <v>10</v>
      </c>
      <c r="AD374" s="199">
        <f>IFERROR(__xludf.DUMMYFUNCTION("""COMPUTED_VALUE"""),0.0)</f>
        <v>0</v>
      </c>
      <c r="AE374" s="199">
        <f>IFERROR(__xludf.DUMMYFUNCTION("""COMPUTED_VALUE"""),86.0)</f>
        <v>86</v>
      </c>
      <c r="AF374" s="199">
        <f>IFERROR(__xludf.DUMMYFUNCTION("""COMPUTED_VALUE"""),2.0)</f>
        <v>2</v>
      </c>
      <c r="AG374" s="199">
        <f>IFERROR(__xludf.DUMMYFUNCTION("""COMPUTED_VALUE"""),440.0)</f>
        <v>440</v>
      </c>
      <c r="AH374" s="199">
        <f>IFERROR(__xludf.DUMMYFUNCTION("""COMPUTED_VALUE"""),29.0)</f>
        <v>29</v>
      </c>
      <c r="AI374" s="200" t="str">
        <f>IFERROR(__xludf.DUMMYFUNCTION("""COMPUTED_VALUE"""),"General Caution")</f>
        <v>General Caution</v>
      </c>
      <c r="AJ374" s="200" t="str">
        <f>IFERROR(__xludf.DUMMYFUNCTION("""COMPUTED_VALUE"""),"Continue monitoring; resample at next scheduled interval")</f>
        <v>Continue monitoring; resample at next scheduled interval</v>
      </c>
      <c r="AK374" s="204"/>
      <c r="AL374" s="204"/>
      <c r="AM374" s="204"/>
    </row>
    <row r="375" hidden="1">
      <c r="A375" s="199" t="str">
        <f>IFERROR(__xludf.DUMMYFUNCTION("""COMPUTED_VALUE"""),"R2.322.LQ120(T)")</f>
        <v>R2.322.LQ120(T)</v>
      </c>
      <c r="B375" s="200" t="str">
        <f>IFERROR(__xludf.DUMMYFUNCTION("""COMPUTED_VALUE"""),"Roller Lubrication Unit (Tank)")</f>
        <v>Roller Lubrication Unit (Tank)</v>
      </c>
      <c r="C375" s="199">
        <f>IFERROR(__xludf.DUMMYFUNCTION("""COMPUTED_VALUE"""),2.5180296227E10)</f>
        <v>25180296227</v>
      </c>
      <c r="D375" s="201">
        <f>IFERROR(__xludf.DUMMYFUNCTION("""COMPUTED_VALUE"""),45826.0)</f>
        <v>45826</v>
      </c>
      <c r="E375" s="202" t="str">
        <f>IFERROR(__xludf.DUMMYFUNCTION("""COMPUTED_VALUE"""),"Caution")</f>
        <v>Caution</v>
      </c>
      <c r="F375" s="202" t="str">
        <f>IFERROR(__xludf.DUMMYFUNCTION("""COMPUTED_VALUE"""),"Caution")</f>
        <v>Caution</v>
      </c>
      <c r="G375" s="203" t="str">
        <f>IFERROR(__xludf.DUMMYFUNCTION("""COMPUTED_VALUE"""),"Normal")</f>
        <v>Normal</v>
      </c>
      <c r="H375" s="203" t="str">
        <f>IFERROR(__xludf.DUMMYFUNCTION("""COMPUTED_VALUE"""),"Caution")</f>
        <v>Caution</v>
      </c>
      <c r="I375" s="37"/>
      <c r="J375" s="37"/>
      <c r="K375" s="37"/>
      <c r="L375" s="199">
        <f>IFERROR(__xludf.DUMMYFUNCTION("""COMPUTED_VALUE"""),25.0)</f>
        <v>25</v>
      </c>
      <c r="M375" s="199">
        <f>IFERROR(__xludf.DUMMYFUNCTION("""COMPUTED_VALUE"""),88.2)</f>
        <v>88.2</v>
      </c>
      <c r="N375" s="37"/>
      <c r="O375" s="37"/>
      <c r="P375" s="199">
        <f>IFERROR(__xludf.DUMMYFUNCTION("""COMPUTED_VALUE"""),0.05)</f>
        <v>0.05</v>
      </c>
      <c r="Q375" s="199">
        <f>IFERROR(__xludf.DUMMYFUNCTION("""COMPUTED_VALUE"""),0.0)</f>
        <v>0</v>
      </c>
      <c r="R375" s="199">
        <f>IFERROR(__xludf.DUMMYFUNCTION("""COMPUTED_VALUE"""),0.0)</f>
        <v>0</v>
      </c>
      <c r="S375" s="199">
        <f>IFERROR(__xludf.DUMMYFUNCTION("""COMPUTED_VALUE"""),0.0)</f>
        <v>0</v>
      </c>
      <c r="T375" s="199">
        <f>IFERROR(__xludf.DUMMYFUNCTION("""COMPUTED_VALUE"""),2.0)</f>
        <v>2</v>
      </c>
      <c r="U375" s="199">
        <f>IFERROR(__xludf.DUMMYFUNCTION("""COMPUTED_VALUE"""),8.0)</f>
        <v>8</v>
      </c>
      <c r="V375" s="199">
        <f>IFERROR(__xludf.DUMMYFUNCTION("""COMPUTED_VALUE"""),0.0)</f>
        <v>0</v>
      </c>
      <c r="W375" s="199">
        <f>IFERROR(__xludf.DUMMYFUNCTION("""COMPUTED_VALUE"""),0.0)</f>
        <v>0</v>
      </c>
      <c r="X375" s="199">
        <f>IFERROR(__xludf.DUMMYFUNCTION("""COMPUTED_VALUE"""),1.0)</f>
        <v>1</v>
      </c>
      <c r="Y375" s="199">
        <f>IFERROR(__xludf.DUMMYFUNCTION("""COMPUTED_VALUE"""),0.0)</f>
        <v>0</v>
      </c>
      <c r="Z375" s="199">
        <f>IFERROR(__xludf.DUMMYFUNCTION("""COMPUTED_VALUE"""),0.0)</f>
        <v>0</v>
      </c>
      <c r="AA375" s="199">
        <f>IFERROR(__xludf.DUMMYFUNCTION("""COMPUTED_VALUE"""),0.0)</f>
        <v>0</v>
      </c>
      <c r="AB375" s="199">
        <f>IFERROR(__xludf.DUMMYFUNCTION("""COMPUTED_VALUE"""),12.0)</f>
        <v>12</v>
      </c>
      <c r="AC375" s="199">
        <f>IFERROR(__xludf.DUMMYFUNCTION("""COMPUTED_VALUE"""),9.0)</f>
        <v>9</v>
      </c>
      <c r="AD375" s="199">
        <f>IFERROR(__xludf.DUMMYFUNCTION("""COMPUTED_VALUE"""),0.0)</f>
        <v>0</v>
      </c>
      <c r="AE375" s="199">
        <f>IFERROR(__xludf.DUMMYFUNCTION("""COMPUTED_VALUE"""),31.0)</f>
        <v>31</v>
      </c>
      <c r="AF375" s="199">
        <f>IFERROR(__xludf.DUMMYFUNCTION("""COMPUTED_VALUE"""),0.0)</f>
        <v>0</v>
      </c>
      <c r="AG375" s="199">
        <f>IFERROR(__xludf.DUMMYFUNCTION("""COMPUTED_VALUE"""),429.0)</f>
        <v>429</v>
      </c>
      <c r="AH375" s="199">
        <f>IFERROR(__xludf.DUMMYFUNCTION("""COMPUTED_VALUE"""),8.0)</f>
        <v>8</v>
      </c>
      <c r="AI375" s="200" t="str">
        <f>IFERROR(__xludf.DUMMYFUNCTION("""COMPUTED_VALUE"""),"Lubricant Condition Caution")</f>
        <v>Lubricant Condition Caution</v>
      </c>
      <c r="AJ375" s="200" t="str">
        <f>IFERROR(__xludf.DUMMYFUNCTION("""COMPUTED_VALUE"""),"Lubricant showing degradation - plan oil change within 3 months")</f>
        <v>Lubricant showing degradation - plan oil change within 3 months</v>
      </c>
      <c r="AK375" s="204"/>
      <c r="AL375" s="204"/>
      <c r="AM375" s="204"/>
    </row>
    <row r="376" hidden="1">
      <c r="A376" s="199" t="str">
        <f>IFERROR(__xludf.DUMMYFUNCTION("""COMPUTED_VALUE"""),"111.BC330 (L2)")</f>
        <v>111.BC330 (L2)</v>
      </c>
      <c r="B376" s="200" t="str">
        <f>IFERROR(__xludf.DUMMYFUNCTION("""COMPUTED_VALUE"""),"Belt conveyor second left Gearbox")</f>
        <v>Belt conveyor second left Gearbox</v>
      </c>
      <c r="C376" s="199">
        <f>IFERROR(__xludf.DUMMYFUNCTION("""COMPUTED_VALUE"""),2.5180296226E10)</f>
        <v>25180296226</v>
      </c>
      <c r="D376" s="201">
        <f>IFERROR(__xludf.DUMMYFUNCTION("""COMPUTED_VALUE"""),45826.0)</f>
        <v>45826</v>
      </c>
      <c r="E376" s="202" t="str">
        <f>IFERROR(__xludf.DUMMYFUNCTION("""COMPUTED_VALUE"""),"Caution")</f>
        <v>Caution</v>
      </c>
      <c r="F376" s="202" t="str">
        <f>IFERROR(__xludf.DUMMYFUNCTION("""COMPUTED_VALUE"""),"Caution")</f>
        <v>Caution</v>
      </c>
      <c r="G376" s="203" t="str">
        <f>IFERROR(__xludf.DUMMYFUNCTION("""COMPUTED_VALUE"""),"Normal")</f>
        <v>Normal</v>
      </c>
      <c r="H376" s="203" t="str">
        <f>IFERROR(__xludf.DUMMYFUNCTION("""COMPUTED_VALUE"""),"Normal")</f>
        <v>Normal</v>
      </c>
      <c r="I376" s="199">
        <f>IFERROR(__xludf.DUMMYFUNCTION("""COMPUTED_VALUE"""),11890.0)</f>
        <v>11890</v>
      </c>
      <c r="J376" s="199">
        <f>IFERROR(__xludf.DUMMYFUNCTION("""COMPUTED_VALUE"""),5161.0)</f>
        <v>5161</v>
      </c>
      <c r="K376" s="199">
        <f>IFERROR(__xludf.DUMMYFUNCTION("""COMPUTED_VALUE"""),1152.0)</f>
        <v>1152</v>
      </c>
      <c r="L376" s="199">
        <f>IFERROR(__xludf.DUMMYFUNCTION("""COMPUTED_VALUE"""),13.0)</f>
        <v>13</v>
      </c>
      <c r="M376" s="199">
        <f>IFERROR(__xludf.DUMMYFUNCTION("""COMPUTED_VALUE"""),221.1)</f>
        <v>221.1</v>
      </c>
      <c r="N376" s="199"/>
      <c r="O376" s="199"/>
      <c r="P376" s="199">
        <f>IFERROR(__xludf.DUMMYFUNCTION("""COMPUTED_VALUE"""),0.04)</f>
        <v>0.04</v>
      </c>
      <c r="Q376" s="199">
        <f>IFERROR(__xludf.DUMMYFUNCTION("""COMPUTED_VALUE"""),0.0)</f>
        <v>0</v>
      </c>
      <c r="R376" s="199">
        <f>IFERROR(__xludf.DUMMYFUNCTION("""COMPUTED_VALUE"""),1.0)</f>
        <v>1</v>
      </c>
      <c r="S376" s="199">
        <f>IFERROR(__xludf.DUMMYFUNCTION("""COMPUTED_VALUE"""),0.0)</f>
        <v>0</v>
      </c>
      <c r="T376" s="199">
        <f>IFERROR(__xludf.DUMMYFUNCTION("""COMPUTED_VALUE"""),0.0)</f>
        <v>0</v>
      </c>
      <c r="U376" s="199">
        <f>IFERROR(__xludf.DUMMYFUNCTION("""COMPUTED_VALUE"""),5.0)</f>
        <v>5</v>
      </c>
      <c r="V376" s="199">
        <f>IFERROR(__xludf.DUMMYFUNCTION("""COMPUTED_VALUE"""),0.0)</f>
        <v>0</v>
      </c>
      <c r="W376" s="199">
        <f>IFERROR(__xludf.DUMMYFUNCTION("""COMPUTED_VALUE"""),0.0)</f>
        <v>0</v>
      </c>
      <c r="X376" s="199">
        <f>IFERROR(__xludf.DUMMYFUNCTION("""COMPUTED_VALUE"""),1.0)</f>
        <v>1</v>
      </c>
      <c r="Y376" s="199">
        <f>IFERROR(__xludf.DUMMYFUNCTION("""COMPUTED_VALUE"""),0.0)</f>
        <v>0</v>
      </c>
      <c r="Z376" s="199">
        <f>IFERROR(__xludf.DUMMYFUNCTION("""COMPUTED_VALUE"""),0.0)</f>
        <v>0</v>
      </c>
      <c r="AA376" s="199">
        <f>IFERROR(__xludf.DUMMYFUNCTION("""COMPUTED_VALUE"""),0.0)</f>
        <v>0</v>
      </c>
      <c r="AB376" s="199">
        <f>IFERROR(__xludf.DUMMYFUNCTION("""COMPUTED_VALUE"""),25.0)</f>
        <v>25</v>
      </c>
      <c r="AC376" s="199">
        <f>IFERROR(__xludf.DUMMYFUNCTION("""COMPUTED_VALUE"""),0.0)</f>
        <v>0</v>
      </c>
      <c r="AD376" s="199">
        <f>IFERROR(__xludf.DUMMYFUNCTION("""COMPUTED_VALUE"""),0.0)</f>
        <v>0</v>
      </c>
      <c r="AE376" s="199">
        <f>IFERROR(__xludf.DUMMYFUNCTION("""COMPUTED_VALUE"""),30.0)</f>
        <v>30</v>
      </c>
      <c r="AF376" s="199">
        <f>IFERROR(__xludf.DUMMYFUNCTION("""COMPUTED_VALUE"""),2.0)</f>
        <v>2</v>
      </c>
      <c r="AG376" s="199">
        <f>IFERROR(__xludf.DUMMYFUNCTION("""COMPUTED_VALUE"""),453.0)</f>
        <v>453</v>
      </c>
      <c r="AH376" s="199">
        <f>IFERROR(__xludf.DUMMYFUNCTION("""COMPUTED_VALUE"""),0.0)</f>
        <v>0</v>
      </c>
      <c r="AI376" s="200" t="str">
        <f>IFERROR(__xludf.DUMMYFUNCTION("""COMPUTED_VALUE"""),"Contamination Caution")</f>
        <v>Contamination Caution</v>
      </c>
      <c r="AJ376" s="200" t="str">
        <f>IFERROR(__xludf.DUMMYFUNCTION("""COMPUTED_VALUE"""),"Silicon elevated - check air filtration and seals")</f>
        <v>Silicon elevated - check air filtration and seals</v>
      </c>
      <c r="AK376" s="204"/>
      <c r="AL376" s="204"/>
      <c r="AM376" s="204"/>
    </row>
    <row r="377" hidden="1">
      <c r="A377" s="199" t="str">
        <f>IFERROR(__xludf.DUMMYFUNCTION("""COMPUTED_VALUE"""),"431.HT120")</f>
        <v>431.HT120</v>
      </c>
      <c r="B377" s="200" t="str">
        <f>IFERROR(__xludf.DUMMYFUNCTION("""COMPUTED_VALUE"""),"Kiln Hydraulic thrust circuit")</f>
        <v>Kiln Hydraulic thrust circuit</v>
      </c>
      <c r="C377" s="199">
        <f>IFERROR(__xludf.DUMMYFUNCTION("""COMPUTED_VALUE"""),2.5180296212E10)</f>
        <v>25180296212</v>
      </c>
      <c r="D377" s="201">
        <f>IFERROR(__xludf.DUMMYFUNCTION("""COMPUTED_VALUE"""),45826.0)</f>
        <v>45826</v>
      </c>
      <c r="E377" s="202" t="str">
        <f>IFERROR(__xludf.DUMMYFUNCTION("""COMPUTED_VALUE"""),"Normal")</f>
        <v>Normal</v>
      </c>
      <c r="F377" s="202" t="str">
        <f>IFERROR(__xludf.DUMMYFUNCTION("""COMPUTED_VALUE"""),"Normal")</f>
        <v>Normal</v>
      </c>
      <c r="G377" s="203" t="str">
        <f>IFERROR(__xludf.DUMMYFUNCTION("""COMPUTED_VALUE"""),"Normal")</f>
        <v>Normal</v>
      </c>
      <c r="H377" s="203" t="str">
        <f>IFERROR(__xludf.DUMMYFUNCTION("""COMPUTED_VALUE"""),"Normal")</f>
        <v>Normal</v>
      </c>
      <c r="I377" s="37">
        <f>IFERROR(__xludf.DUMMYFUNCTION("""COMPUTED_VALUE"""),9182.0)</f>
        <v>9182</v>
      </c>
      <c r="J377" s="37">
        <f>IFERROR(__xludf.DUMMYFUNCTION("""COMPUTED_VALUE"""),3106.0)</f>
        <v>3106</v>
      </c>
      <c r="K377" s="37">
        <f>IFERROR(__xludf.DUMMYFUNCTION("""COMPUTED_VALUE"""),948.0)</f>
        <v>948</v>
      </c>
      <c r="L377" s="199">
        <f>IFERROR(__xludf.DUMMYFUNCTION("""COMPUTED_VALUE"""),4.0)</f>
        <v>4</v>
      </c>
      <c r="M377" s="199">
        <f>IFERROR(__xludf.DUMMYFUNCTION("""COMPUTED_VALUE"""),45.2)</f>
        <v>45.2</v>
      </c>
      <c r="N377" s="199"/>
      <c r="O377" s="199">
        <f>IFERROR(__xludf.DUMMYFUNCTION("""COMPUTED_VALUE"""),0.0)</f>
        <v>0</v>
      </c>
      <c r="P377" s="199">
        <f>IFERROR(__xludf.DUMMYFUNCTION("""COMPUTED_VALUE"""),0.003)</f>
        <v>0.003</v>
      </c>
      <c r="Q377" s="199">
        <f>IFERROR(__xludf.DUMMYFUNCTION("""COMPUTED_VALUE"""),0.0)</f>
        <v>0</v>
      </c>
      <c r="R377" s="199">
        <f>IFERROR(__xludf.DUMMYFUNCTION("""COMPUTED_VALUE"""),1.0)</f>
        <v>1</v>
      </c>
      <c r="S377" s="199">
        <f>IFERROR(__xludf.DUMMYFUNCTION("""COMPUTED_VALUE"""),0.0)</f>
        <v>0</v>
      </c>
      <c r="T377" s="199">
        <f>IFERROR(__xludf.DUMMYFUNCTION("""COMPUTED_VALUE"""),4.0)</f>
        <v>4</v>
      </c>
      <c r="U377" s="199">
        <f>IFERROR(__xludf.DUMMYFUNCTION("""COMPUTED_VALUE"""),8.0)</f>
        <v>8</v>
      </c>
      <c r="V377" s="199">
        <f>IFERROR(__xludf.DUMMYFUNCTION("""COMPUTED_VALUE"""),0.0)</f>
        <v>0</v>
      </c>
      <c r="W377" s="199">
        <f>IFERROR(__xludf.DUMMYFUNCTION("""COMPUTED_VALUE"""),0.0)</f>
        <v>0</v>
      </c>
      <c r="X377" s="199">
        <f>IFERROR(__xludf.DUMMYFUNCTION("""COMPUTED_VALUE"""),1.0)</f>
        <v>1</v>
      </c>
      <c r="Y377" s="199">
        <f>IFERROR(__xludf.DUMMYFUNCTION("""COMPUTED_VALUE"""),0.0)</f>
        <v>0</v>
      </c>
      <c r="Z377" s="199">
        <f>IFERROR(__xludf.DUMMYFUNCTION("""COMPUTED_VALUE"""),0.0)</f>
        <v>0</v>
      </c>
      <c r="AA377" s="199">
        <f>IFERROR(__xludf.DUMMYFUNCTION("""COMPUTED_VALUE"""),0.0)</f>
        <v>0</v>
      </c>
      <c r="AB377" s="199">
        <f>IFERROR(__xludf.DUMMYFUNCTION("""COMPUTED_VALUE"""),1.0)</f>
        <v>1</v>
      </c>
      <c r="AC377" s="199">
        <f>IFERROR(__xludf.DUMMYFUNCTION("""COMPUTED_VALUE"""),7.0)</f>
        <v>7</v>
      </c>
      <c r="AD377" s="199">
        <f>IFERROR(__xludf.DUMMYFUNCTION("""COMPUTED_VALUE"""),0.0)</f>
        <v>0</v>
      </c>
      <c r="AE377" s="199">
        <f>IFERROR(__xludf.DUMMYFUNCTION("""COMPUTED_VALUE"""),140.0)</f>
        <v>140</v>
      </c>
      <c r="AF377" s="199">
        <f>IFERROR(__xludf.DUMMYFUNCTION("""COMPUTED_VALUE"""),2.0)</f>
        <v>2</v>
      </c>
      <c r="AG377" s="199">
        <f>IFERROR(__xludf.DUMMYFUNCTION("""COMPUTED_VALUE"""),436.0)</f>
        <v>436</v>
      </c>
      <c r="AH377" s="199">
        <f>IFERROR(__xludf.DUMMYFUNCTION("""COMPUTED_VALUE"""),646.0)</f>
        <v>646</v>
      </c>
      <c r="AI377" s="200" t="str">
        <f>IFERROR(__xludf.DUMMYFUNCTION("""COMPUTED_VALUE"""),"Normal - No Action Required")</f>
        <v>Normal - No Action Required</v>
      </c>
      <c r="AJ377" s="200" t="str">
        <f>IFERROR(__xludf.DUMMYFUNCTION("""COMPUTED_VALUE"""),"Continue routine monitoring and sampling schedule")</f>
        <v>Continue routine monitoring and sampling schedule</v>
      </c>
      <c r="AK377" s="204"/>
      <c r="AL377" s="204"/>
      <c r="AM377" s="204"/>
    </row>
    <row r="378" hidden="1">
      <c r="A378" s="199" t="str">
        <f>IFERROR(__xludf.DUMMYFUNCTION("""COMPUTED_VALUE"""),"R2.322.HY110")</f>
        <v>R2.322.HY110</v>
      </c>
      <c r="B378" s="200" t="str">
        <f>IFERROR(__xludf.DUMMYFUNCTION("""COMPUTED_VALUE"""),"Hydraulic tensioning sys. Mill 2")</f>
        <v>Hydraulic tensioning sys. Mill 2</v>
      </c>
      <c r="C378" s="199">
        <f>IFERROR(__xludf.DUMMYFUNCTION("""COMPUTED_VALUE"""),2.5180296211E10)</f>
        <v>25180296211</v>
      </c>
      <c r="D378" s="201">
        <f>IFERROR(__xludf.DUMMYFUNCTION("""COMPUTED_VALUE"""),45826.0)</f>
        <v>45826</v>
      </c>
      <c r="E378" s="202" t="str">
        <f>IFERROR(__xludf.DUMMYFUNCTION("""COMPUTED_VALUE"""),"Caution")</f>
        <v>Caution</v>
      </c>
      <c r="F378" s="202" t="str">
        <f>IFERROR(__xludf.DUMMYFUNCTION("""COMPUTED_VALUE"""),"Caution")</f>
        <v>Caution</v>
      </c>
      <c r="G378" s="203" t="str">
        <f>IFERROR(__xludf.DUMMYFUNCTION("""COMPUTED_VALUE"""),"Normal")</f>
        <v>Normal</v>
      </c>
      <c r="H378" s="203" t="str">
        <f>IFERROR(__xludf.DUMMYFUNCTION("""COMPUTED_VALUE"""),"Normal")</f>
        <v>Normal</v>
      </c>
      <c r="I378" s="37"/>
      <c r="J378" s="37"/>
      <c r="K378" s="37"/>
      <c r="L378" s="199">
        <f>IFERROR(__xludf.DUMMYFUNCTION("""COMPUTED_VALUE"""),10.0)</f>
        <v>10</v>
      </c>
      <c r="M378" s="199">
        <f>IFERROR(__xludf.DUMMYFUNCTION("""COMPUTED_VALUE"""),46.0)</f>
        <v>46</v>
      </c>
      <c r="N378" s="199"/>
      <c r="O378" s="199">
        <f>IFERROR(__xludf.DUMMYFUNCTION("""COMPUTED_VALUE"""),0.0)</f>
        <v>0</v>
      </c>
      <c r="P378" s="199">
        <f>IFERROR(__xludf.DUMMYFUNCTION("""COMPUTED_VALUE"""),0.003)</f>
        <v>0.003</v>
      </c>
      <c r="Q378" s="199">
        <f>IFERROR(__xludf.DUMMYFUNCTION("""COMPUTED_VALUE"""),0.0)</f>
        <v>0</v>
      </c>
      <c r="R378" s="199">
        <f>IFERROR(__xludf.DUMMYFUNCTION("""COMPUTED_VALUE"""),0.0)</f>
        <v>0</v>
      </c>
      <c r="S378" s="199">
        <f>IFERROR(__xludf.DUMMYFUNCTION("""COMPUTED_VALUE"""),0.0)</f>
        <v>0</v>
      </c>
      <c r="T378" s="199">
        <f>IFERROR(__xludf.DUMMYFUNCTION("""COMPUTED_VALUE"""),8.0)</f>
        <v>8</v>
      </c>
      <c r="U378" s="199">
        <f>IFERROR(__xludf.DUMMYFUNCTION("""COMPUTED_VALUE"""),14.0)</f>
        <v>14</v>
      </c>
      <c r="V378" s="199">
        <f>IFERROR(__xludf.DUMMYFUNCTION("""COMPUTED_VALUE"""),0.0)</f>
        <v>0</v>
      </c>
      <c r="W378" s="199">
        <f>IFERROR(__xludf.DUMMYFUNCTION("""COMPUTED_VALUE"""),0.0)</f>
        <v>0</v>
      </c>
      <c r="X378" s="199">
        <f>IFERROR(__xludf.DUMMYFUNCTION("""COMPUTED_VALUE"""),1.0)</f>
        <v>1</v>
      </c>
      <c r="Y378" s="199">
        <f>IFERROR(__xludf.DUMMYFUNCTION("""COMPUTED_VALUE"""),0.0)</f>
        <v>0</v>
      </c>
      <c r="Z378" s="199">
        <f>IFERROR(__xludf.DUMMYFUNCTION("""COMPUTED_VALUE"""),0.0)</f>
        <v>0</v>
      </c>
      <c r="AA378" s="199">
        <f>IFERROR(__xludf.DUMMYFUNCTION("""COMPUTED_VALUE"""),0.0)</f>
        <v>0</v>
      </c>
      <c r="AB378" s="199">
        <f>IFERROR(__xludf.DUMMYFUNCTION("""COMPUTED_VALUE"""),1.0)</f>
        <v>1</v>
      </c>
      <c r="AC378" s="199">
        <f>IFERROR(__xludf.DUMMYFUNCTION("""COMPUTED_VALUE"""),2.0)</f>
        <v>2</v>
      </c>
      <c r="AD378" s="199">
        <f>IFERROR(__xludf.DUMMYFUNCTION("""COMPUTED_VALUE"""),0.0)</f>
        <v>0</v>
      </c>
      <c r="AE378" s="199">
        <f>IFERROR(__xludf.DUMMYFUNCTION("""COMPUTED_VALUE"""),107.0)</f>
        <v>107</v>
      </c>
      <c r="AF378" s="199">
        <f>IFERROR(__xludf.DUMMYFUNCTION("""COMPUTED_VALUE"""),2.0)</f>
        <v>2</v>
      </c>
      <c r="AG378" s="199">
        <f>IFERROR(__xludf.DUMMYFUNCTION("""COMPUTED_VALUE"""),379.0)</f>
        <v>379</v>
      </c>
      <c r="AH378" s="199">
        <f>IFERROR(__xludf.DUMMYFUNCTION("""COMPUTED_VALUE"""),469.0)</f>
        <v>469</v>
      </c>
      <c r="AI378" s="200" t="str">
        <f>IFERROR(__xludf.DUMMYFUNCTION("""COMPUTED_VALUE"""),"General Caution")</f>
        <v>General Caution</v>
      </c>
      <c r="AJ378" s="200" t="str">
        <f>IFERROR(__xludf.DUMMYFUNCTION("""COMPUTED_VALUE"""),"Continue monitoring; resample at next scheduled interval")</f>
        <v>Continue monitoring; resample at next scheduled interval</v>
      </c>
      <c r="AK378" s="204"/>
      <c r="AL378" s="204"/>
      <c r="AM378" s="204"/>
    </row>
    <row r="379" hidden="1">
      <c r="A379" s="199" t="str">
        <f>IFERROR(__xludf.DUMMYFUNCTION("""COMPUTED_VALUE"""),"R2.432.HT120(BE)")</f>
        <v>R2.432.HT120(BE)</v>
      </c>
      <c r="B379" s="200" t="str">
        <f>IFERROR(__xludf.DUMMYFUNCTION("""COMPUTED_VALUE"""),"Hydraulic thrust bearing")</f>
        <v>Hydraulic thrust bearing</v>
      </c>
      <c r="C379" s="199">
        <f>IFERROR(__xludf.DUMMYFUNCTION("""COMPUTED_VALUE"""),2.5180296218E10)</f>
        <v>25180296218</v>
      </c>
      <c r="D379" s="201">
        <f>IFERROR(__xludf.DUMMYFUNCTION("""COMPUTED_VALUE"""),45826.0)</f>
        <v>45826</v>
      </c>
      <c r="E379" s="202" t="str">
        <f>IFERROR(__xludf.DUMMYFUNCTION("""COMPUTED_VALUE"""),"Normal")</f>
        <v>Normal</v>
      </c>
      <c r="F379" s="202" t="str">
        <f>IFERROR(__xludf.DUMMYFUNCTION("""COMPUTED_VALUE"""),"Normal")</f>
        <v>Normal</v>
      </c>
      <c r="G379" s="203" t="str">
        <f>IFERROR(__xludf.DUMMYFUNCTION("""COMPUTED_VALUE"""),"Normal")</f>
        <v>Normal</v>
      </c>
      <c r="H379" s="203" t="str">
        <f>IFERROR(__xludf.DUMMYFUNCTION("""COMPUTED_VALUE"""),"Normal")</f>
        <v>Normal</v>
      </c>
      <c r="I379" s="37"/>
      <c r="J379" s="37"/>
      <c r="K379" s="37"/>
      <c r="L379" s="199">
        <f>IFERROR(__xludf.DUMMYFUNCTION("""COMPUTED_VALUE"""),11.0)</f>
        <v>11</v>
      </c>
      <c r="M379" s="199">
        <f>IFERROR(__xludf.DUMMYFUNCTION("""COMPUTED_VALUE"""),88.3)</f>
        <v>88.3</v>
      </c>
      <c r="N379" s="199"/>
      <c r="O379" s="199"/>
      <c r="P379" s="199">
        <f>IFERROR(__xludf.DUMMYFUNCTION("""COMPUTED_VALUE"""),0.01)</f>
        <v>0.01</v>
      </c>
      <c r="Q379" s="199">
        <f>IFERROR(__xludf.DUMMYFUNCTION("""COMPUTED_VALUE"""),0.0)</f>
        <v>0</v>
      </c>
      <c r="R379" s="199">
        <f>IFERROR(__xludf.DUMMYFUNCTION("""COMPUTED_VALUE"""),3.0)</f>
        <v>3</v>
      </c>
      <c r="S379" s="199">
        <f>IFERROR(__xludf.DUMMYFUNCTION("""COMPUTED_VALUE"""),0.0)</f>
        <v>0</v>
      </c>
      <c r="T379" s="199">
        <f>IFERROR(__xludf.DUMMYFUNCTION("""COMPUTED_VALUE"""),0.0)</f>
        <v>0</v>
      </c>
      <c r="U379" s="199">
        <f>IFERROR(__xludf.DUMMYFUNCTION("""COMPUTED_VALUE"""),34.0)</f>
        <v>34</v>
      </c>
      <c r="V379" s="199">
        <f>IFERROR(__xludf.DUMMYFUNCTION("""COMPUTED_VALUE"""),0.0)</f>
        <v>0</v>
      </c>
      <c r="W379" s="199">
        <f>IFERROR(__xludf.DUMMYFUNCTION("""COMPUTED_VALUE"""),0.0)</f>
        <v>0</v>
      </c>
      <c r="X379" s="199">
        <f>IFERROR(__xludf.DUMMYFUNCTION("""COMPUTED_VALUE"""),2.0)</f>
        <v>2</v>
      </c>
      <c r="Y379" s="199">
        <f>IFERROR(__xludf.DUMMYFUNCTION("""COMPUTED_VALUE"""),0.0)</f>
        <v>0</v>
      </c>
      <c r="Z379" s="199">
        <f>IFERROR(__xludf.DUMMYFUNCTION("""COMPUTED_VALUE"""),0.0)</f>
        <v>0</v>
      </c>
      <c r="AA379" s="199">
        <f>IFERROR(__xludf.DUMMYFUNCTION("""COMPUTED_VALUE"""),2.0)</f>
        <v>2</v>
      </c>
      <c r="AB379" s="199">
        <f>IFERROR(__xludf.DUMMYFUNCTION("""COMPUTED_VALUE"""),20.0)</f>
        <v>20</v>
      </c>
      <c r="AC379" s="199">
        <f>IFERROR(__xludf.DUMMYFUNCTION("""COMPUTED_VALUE"""),6.0)</f>
        <v>6</v>
      </c>
      <c r="AD379" s="199">
        <f>IFERROR(__xludf.DUMMYFUNCTION("""COMPUTED_VALUE"""),1.0)</f>
        <v>1</v>
      </c>
      <c r="AE379" s="199">
        <f>IFERROR(__xludf.DUMMYFUNCTION("""COMPUTED_VALUE"""),107.0)</f>
        <v>107</v>
      </c>
      <c r="AF379" s="199">
        <f>IFERROR(__xludf.DUMMYFUNCTION("""COMPUTED_VALUE"""),1.0)</f>
        <v>1</v>
      </c>
      <c r="AG379" s="199">
        <f>IFERROR(__xludf.DUMMYFUNCTION("""COMPUTED_VALUE"""),428.0)</f>
        <v>428</v>
      </c>
      <c r="AH379" s="199">
        <f>IFERROR(__xludf.DUMMYFUNCTION("""COMPUTED_VALUE"""),0.0)</f>
        <v>0</v>
      </c>
      <c r="AI379" s="200" t="str">
        <f>IFERROR(__xludf.DUMMYFUNCTION("""COMPUTED_VALUE"""),"Normal - No Action Required")</f>
        <v>Normal - No Action Required</v>
      </c>
      <c r="AJ379" s="200" t="str">
        <f>IFERROR(__xludf.DUMMYFUNCTION("""COMPUTED_VALUE"""),"Continue routine monitoring and sampling schedule")</f>
        <v>Continue routine monitoring and sampling schedule</v>
      </c>
      <c r="AK379" s="204"/>
      <c r="AL379" s="204"/>
      <c r="AM379" s="204"/>
    </row>
    <row r="380" hidden="1">
      <c r="A380" s="199" t="str">
        <f>IFERROR(__xludf.DUMMYFUNCTION("""COMPUTED_VALUE"""),"R2.432.HT120(T)")</f>
        <v>R2.432.HT120(T)</v>
      </c>
      <c r="B380" s="200" t="str">
        <f>IFERROR(__xludf.DUMMYFUNCTION("""COMPUTED_VALUE"""),"Kiln Hydraulic thrust Tank")</f>
        <v>Kiln Hydraulic thrust Tank</v>
      </c>
      <c r="C380" s="199">
        <f>IFERROR(__xludf.DUMMYFUNCTION("""COMPUTED_VALUE"""),2.5180296207E10)</f>
        <v>25180296207</v>
      </c>
      <c r="D380" s="201">
        <f>IFERROR(__xludf.DUMMYFUNCTION("""COMPUTED_VALUE"""),45826.0)</f>
        <v>45826</v>
      </c>
      <c r="E380" s="202" t="str">
        <f>IFERROR(__xludf.DUMMYFUNCTION("""COMPUTED_VALUE"""),"Normal")</f>
        <v>Normal</v>
      </c>
      <c r="F380" s="202" t="str">
        <f>IFERROR(__xludf.DUMMYFUNCTION("""COMPUTED_VALUE"""),"Normal")</f>
        <v>Normal</v>
      </c>
      <c r="G380" s="203" t="str">
        <f>IFERROR(__xludf.DUMMYFUNCTION("""COMPUTED_VALUE"""),"Normal")</f>
        <v>Normal</v>
      </c>
      <c r="H380" s="203" t="str">
        <f>IFERROR(__xludf.DUMMYFUNCTION("""COMPUTED_VALUE"""),"Normal")</f>
        <v>Normal</v>
      </c>
      <c r="I380" s="37">
        <f>IFERROR(__xludf.DUMMYFUNCTION("""COMPUTED_VALUE"""),8176.0)</f>
        <v>8176</v>
      </c>
      <c r="J380" s="37">
        <f>IFERROR(__xludf.DUMMYFUNCTION("""COMPUTED_VALUE"""),3200.0)</f>
        <v>3200</v>
      </c>
      <c r="K380" s="37">
        <f>IFERROR(__xludf.DUMMYFUNCTION("""COMPUTED_VALUE"""),912.0)</f>
        <v>912</v>
      </c>
      <c r="L380" s="199">
        <f>IFERROR(__xludf.DUMMYFUNCTION("""COMPUTED_VALUE"""),5.0)</f>
        <v>5</v>
      </c>
      <c r="M380" s="199">
        <f>IFERROR(__xludf.DUMMYFUNCTION("""COMPUTED_VALUE"""),44.9)</f>
        <v>44.9</v>
      </c>
      <c r="N380" s="199"/>
      <c r="O380" s="199">
        <f>IFERROR(__xludf.DUMMYFUNCTION("""COMPUTED_VALUE"""),0.0)</f>
        <v>0</v>
      </c>
      <c r="P380" s="199">
        <f>IFERROR(__xludf.DUMMYFUNCTION("""COMPUTED_VALUE"""),0.01)</f>
        <v>0.01</v>
      </c>
      <c r="Q380" s="199">
        <f>IFERROR(__xludf.DUMMYFUNCTION("""COMPUTED_VALUE"""),0.0)</f>
        <v>0</v>
      </c>
      <c r="R380" s="199">
        <f>IFERROR(__xludf.DUMMYFUNCTION("""COMPUTED_VALUE"""),0.0)</f>
        <v>0</v>
      </c>
      <c r="S380" s="199">
        <f>IFERROR(__xludf.DUMMYFUNCTION("""COMPUTED_VALUE"""),0.0)</f>
        <v>0</v>
      </c>
      <c r="T380" s="199">
        <f>IFERROR(__xludf.DUMMYFUNCTION("""COMPUTED_VALUE"""),3.0)</f>
        <v>3</v>
      </c>
      <c r="U380" s="199">
        <f>IFERROR(__xludf.DUMMYFUNCTION("""COMPUTED_VALUE"""),4.0)</f>
        <v>4</v>
      </c>
      <c r="V380" s="199">
        <f>IFERROR(__xludf.DUMMYFUNCTION("""COMPUTED_VALUE"""),0.0)</f>
        <v>0</v>
      </c>
      <c r="W380" s="199">
        <f>IFERROR(__xludf.DUMMYFUNCTION("""COMPUTED_VALUE"""),0.0)</f>
        <v>0</v>
      </c>
      <c r="X380" s="199">
        <f>IFERROR(__xludf.DUMMYFUNCTION("""COMPUTED_VALUE"""),1.0)</f>
        <v>1</v>
      </c>
      <c r="Y380" s="199">
        <f>IFERROR(__xludf.DUMMYFUNCTION("""COMPUTED_VALUE"""),0.0)</f>
        <v>0</v>
      </c>
      <c r="Z380" s="199">
        <f>IFERROR(__xludf.DUMMYFUNCTION("""COMPUTED_VALUE"""),0.0)</f>
        <v>0</v>
      </c>
      <c r="AA380" s="199">
        <f>IFERROR(__xludf.DUMMYFUNCTION("""COMPUTED_VALUE"""),0.0)</f>
        <v>0</v>
      </c>
      <c r="AB380" s="199">
        <f>IFERROR(__xludf.DUMMYFUNCTION("""COMPUTED_VALUE"""),0.0)</f>
        <v>0</v>
      </c>
      <c r="AC380" s="199">
        <f>IFERROR(__xludf.DUMMYFUNCTION("""COMPUTED_VALUE"""),3.0)</f>
        <v>3</v>
      </c>
      <c r="AD380" s="199">
        <f>IFERROR(__xludf.DUMMYFUNCTION("""COMPUTED_VALUE"""),0.0)</f>
        <v>0</v>
      </c>
      <c r="AE380" s="199">
        <f>IFERROR(__xludf.DUMMYFUNCTION("""COMPUTED_VALUE"""),82.0)</f>
        <v>82</v>
      </c>
      <c r="AF380" s="199">
        <f>IFERROR(__xludf.DUMMYFUNCTION("""COMPUTED_VALUE"""),2.0)</f>
        <v>2</v>
      </c>
      <c r="AG380" s="199">
        <f>IFERROR(__xludf.DUMMYFUNCTION("""COMPUTED_VALUE"""),321.0)</f>
        <v>321</v>
      </c>
      <c r="AH380" s="199">
        <f>IFERROR(__xludf.DUMMYFUNCTION("""COMPUTED_VALUE"""),467.0)</f>
        <v>467</v>
      </c>
      <c r="AI380" s="200" t="str">
        <f>IFERROR(__xludf.DUMMYFUNCTION("""COMPUTED_VALUE"""),"Normal - No Action Required")</f>
        <v>Normal - No Action Required</v>
      </c>
      <c r="AJ380" s="200" t="str">
        <f>IFERROR(__xludf.DUMMYFUNCTION("""COMPUTED_VALUE"""),"Continue routine monitoring and sampling schedule")</f>
        <v>Continue routine monitoring and sampling schedule</v>
      </c>
      <c r="AK380" s="204"/>
      <c r="AL380" s="204"/>
      <c r="AM380" s="204"/>
    </row>
    <row r="381" hidden="1">
      <c r="A381" s="199" t="str">
        <f>IFERROR(__xludf.DUMMYFUNCTION("""COMPUTED_VALUE"""),"R2.442.MD140(T)")</f>
        <v>R2.442.MD140(T)</v>
      </c>
      <c r="B381" s="200" t="str">
        <f>IFERROR(__xludf.DUMMYFUNCTION("""COMPUTED_VALUE"""),"Clinker Cooler Drive (From Tank)")</f>
        <v>Clinker Cooler Drive (From Tank)</v>
      </c>
      <c r="C381" s="199">
        <f>IFERROR(__xludf.DUMMYFUNCTION("""COMPUTED_VALUE"""),2.5180296204E10)</f>
        <v>25180296204</v>
      </c>
      <c r="D381" s="201">
        <f>IFERROR(__xludf.DUMMYFUNCTION("""COMPUTED_VALUE"""),45826.0)</f>
        <v>45826</v>
      </c>
      <c r="E381" s="202" t="str">
        <f>IFERROR(__xludf.DUMMYFUNCTION("""COMPUTED_VALUE"""),"Alert")</f>
        <v>Alert</v>
      </c>
      <c r="F381" s="202" t="str">
        <f>IFERROR(__xludf.DUMMYFUNCTION("""COMPUTED_VALUE"""),"Alert")</f>
        <v>Alert</v>
      </c>
      <c r="G381" s="203" t="str">
        <f>IFERROR(__xludf.DUMMYFUNCTION("""COMPUTED_VALUE"""),"Normal")</f>
        <v>Normal</v>
      </c>
      <c r="H381" s="203" t="str">
        <f>IFERROR(__xludf.DUMMYFUNCTION("""COMPUTED_VALUE"""),"Normal")</f>
        <v>Normal</v>
      </c>
      <c r="I381" s="37"/>
      <c r="J381" s="37"/>
      <c r="K381" s="37"/>
      <c r="L381" s="199">
        <f>IFERROR(__xludf.DUMMYFUNCTION("""COMPUTED_VALUE"""),9.0)</f>
        <v>9</v>
      </c>
      <c r="M381" s="199">
        <f>IFERROR(__xludf.DUMMYFUNCTION("""COMPUTED_VALUE"""),46.5)</f>
        <v>46.5</v>
      </c>
      <c r="N381" s="199"/>
      <c r="O381" s="199">
        <f>IFERROR(__xludf.DUMMYFUNCTION("""COMPUTED_VALUE"""),0.0)</f>
        <v>0</v>
      </c>
      <c r="P381" s="199">
        <f>IFERROR(__xludf.DUMMYFUNCTION("""COMPUTED_VALUE"""),0.1)</f>
        <v>0.1</v>
      </c>
      <c r="Q381" s="199">
        <f>IFERROR(__xludf.DUMMYFUNCTION("""COMPUTED_VALUE"""),0.0)</f>
        <v>0</v>
      </c>
      <c r="R381" s="199">
        <f>IFERROR(__xludf.DUMMYFUNCTION("""COMPUTED_VALUE"""),1.0)</f>
        <v>1</v>
      </c>
      <c r="S381" s="199">
        <f>IFERROR(__xludf.DUMMYFUNCTION("""COMPUTED_VALUE"""),0.0)</f>
        <v>0</v>
      </c>
      <c r="T381" s="199">
        <f>IFERROR(__xludf.DUMMYFUNCTION("""COMPUTED_VALUE"""),0.0)</f>
        <v>0</v>
      </c>
      <c r="U381" s="199">
        <f>IFERROR(__xludf.DUMMYFUNCTION("""COMPUTED_VALUE"""),3.0)</f>
        <v>3</v>
      </c>
      <c r="V381" s="199">
        <f>IFERROR(__xludf.DUMMYFUNCTION("""COMPUTED_VALUE"""),0.0)</f>
        <v>0</v>
      </c>
      <c r="W381" s="199">
        <f>IFERROR(__xludf.DUMMYFUNCTION("""COMPUTED_VALUE"""),0.0)</f>
        <v>0</v>
      </c>
      <c r="X381" s="199">
        <f>IFERROR(__xludf.DUMMYFUNCTION("""COMPUTED_VALUE"""),1.0)</f>
        <v>1</v>
      </c>
      <c r="Y381" s="199">
        <f>IFERROR(__xludf.DUMMYFUNCTION("""COMPUTED_VALUE"""),0.0)</f>
        <v>0</v>
      </c>
      <c r="Z381" s="199">
        <f>IFERROR(__xludf.DUMMYFUNCTION("""COMPUTED_VALUE"""),0.0)</f>
        <v>0</v>
      </c>
      <c r="AA381" s="199">
        <f>IFERROR(__xludf.DUMMYFUNCTION("""COMPUTED_VALUE"""),0.0)</f>
        <v>0</v>
      </c>
      <c r="AB381" s="199">
        <f>IFERROR(__xludf.DUMMYFUNCTION("""COMPUTED_VALUE"""),0.0)</f>
        <v>0</v>
      </c>
      <c r="AC381" s="199">
        <f>IFERROR(__xludf.DUMMYFUNCTION("""COMPUTED_VALUE"""),0.0)</f>
        <v>0</v>
      </c>
      <c r="AD381" s="199">
        <f>IFERROR(__xludf.DUMMYFUNCTION("""COMPUTED_VALUE"""),0.0)</f>
        <v>0</v>
      </c>
      <c r="AE381" s="199">
        <f>IFERROR(__xludf.DUMMYFUNCTION("""COMPUTED_VALUE"""),81.0)</f>
        <v>81</v>
      </c>
      <c r="AF381" s="199">
        <f>IFERROR(__xludf.DUMMYFUNCTION("""COMPUTED_VALUE"""),2.0)</f>
        <v>2</v>
      </c>
      <c r="AG381" s="199">
        <f>IFERROR(__xludf.DUMMYFUNCTION("""COMPUTED_VALUE"""),327.0)</f>
        <v>327</v>
      </c>
      <c r="AH381" s="199">
        <f>IFERROR(__xludf.DUMMYFUNCTION("""COMPUTED_VALUE"""),450.0)</f>
        <v>450</v>
      </c>
      <c r="AI381" s="200" t="str">
        <f>IFERROR(__xludf.DUMMYFUNCTION("""COMPUTED_VALUE"""),"General Alert")</f>
        <v>General Alert</v>
      </c>
      <c r="AJ381" s="200" t="str">
        <f>IFERROR(__xludf.DUMMYFUNCTION("""COMPUTED_VALUE"""),"Investigate root cause; increase sampling to monthly")</f>
        <v>Investigate root cause; increase sampling to monthly</v>
      </c>
      <c r="AK381" s="204"/>
      <c r="AL381" s="204"/>
      <c r="AM381" s="204"/>
    </row>
    <row r="382" hidden="1">
      <c r="A382" s="199" t="str">
        <f>IFERROR(__xludf.DUMMYFUNCTION("""COMPUTED_VALUE"""),"R2.432.MD140(N31)")</f>
        <v>R2.432.MD140(N31)</v>
      </c>
      <c r="B382" s="200" t="str">
        <f>IFERROR(__xludf.DUMMYFUNCTION("""COMPUTED_VALUE"""),"Kiln #2 Main drive gearbox (N31)")</f>
        <v>Kiln #2 Main drive gearbox (N31)</v>
      </c>
      <c r="C382" s="199">
        <f>IFERROR(__xludf.DUMMYFUNCTION("""COMPUTED_VALUE"""),2.5180296239E10)</f>
        <v>25180296239</v>
      </c>
      <c r="D382" s="201">
        <f>IFERROR(__xludf.DUMMYFUNCTION("""COMPUTED_VALUE"""),45826.0)</f>
        <v>45826</v>
      </c>
      <c r="E382" s="202" t="str">
        <f>IFERROR(__xludf.DUMMYFUNCTION("""COMPUTED_VALUE"""),"Alert")</f>
        <v>Alert</v>
      </c>
      <c r="F382" s="202" t="str">
        <f>IFERROR(__xludf.DUMMYFUNCTION("""COMPUTED_VALUE"""),"Alert")</f>
        <v>Alert</v>
      </c>
      <c r="G382" s="203" t="str">
        <f>IFERROR(__xludf.DUMMYFUNCTION("""COMPUTED_VALUE"""),"Normal")</f>
        <v>Normal</v>
      </c>
      <c r="H382" s="203" t="str">
        <f>IFERROR(__xludf.DUMMYFUNCTION("""COMPUTED_VALUE"""),"Normal")</f>
        <v>Normal</v>
      </c>
      <c r="I382" s="37"/>
      <c r="J382" s="37"/>
      <c r="K382" s="37"/>
      <c r="L382" s="199">
        <f>IFERROR(__xludf.DUMMYFUNCTION("""COMPUTED_VALUE"""),22.0)</f>
        <v>22</v>
      </c>
      <c r="M382" s="199">
        <f>IFERROR(__xludf.DUMMYFUNCTION("""COMPUTED_VALUE"""),393.9)</f>
        <v>393.9</v>
      </c>
      <c r="N382" s="199"/>
      <c r="O382" s="199">
        <f>IFERROR(__xludf.DUMMYFUNCTION("""COMPUTED_VALUE"""),1.0)</f>
        <v>1</v>
      </c>
      <c r="P382" s="199">
        <f>IFERROR(__xludf.DUMMYFUNCTION("""COMPUTED_VALUE"""),0.1)</f>
        <v>0.1</v>
      </c>
      <c r="Q382" s="199">
        <f>IFERROR(__xludf.DUMMYFUNCTION("""COMPUTED_VALUE"""),0.0)</f>
        <v>0</v>
      </c>
      <c r="R382" s="199">
        <f>IFERROR(__xludf.DUMMYFUNCTION("""COMPUTED_VALUE"""),1.0)</f>
        <v>1</v>
      </c>
      <c r="S382" s="199">
        <f>IFERROR(__xludf.DUMMYFUNCTION("""COMPUTED_VALUE"""),0.0)</f>
        <v>0</v>
      </c>
      <c r="T382" s="199">
        <f>IFERROR(__xludf.DUMMYFUNCTION("""COMPUTED_VALUE"""),0.0)</f>
        <v>0</v>
      </c>
      <c r="U382" s="199">
        <f>IFERROR(__xludf.DUMMYFUNCTION("""COMPUTED_VALUE"""),45.0)</f>
        <v>45</v>
      </c>
      <c r="V382" s="199">
        <f>IFERROR(__xludf.DUMMYFUNCTION("""COMPUTED_VALUE"""),0.0)</f>
        <v>0</v>
      </c>
      <c r="W382" s="199">
        <f>IFERROR(__xludf.DUMMYFUNCTION("""COMPUTED_VALUE"""),0.0)</f>
        <v>0</v>
      </c>
      <c r="X382" s="199">
        <f>IFERROR(__xludf.DUMMYFUNCTION("""COMPUTED_VALUE"""),2.0)</f>
        <v>2</v>
      </c>
      <c r="Y382" s="199">
        <f>IFERROR(__xludf.DUMMYFUNCTION("""COMPUTED_VALUE"""),0.0)</f>
        <v>0</v>
      </c>
      <c r="Z382" s="199">
        <f>IFERROR(__xludf.DUMMYFUNCTION("""COMPUTED_VALUE"""),2.0)</f>
        <v>2</v>
      </c>
      <c r="AA382" s="199">
        <f>IFERROR(__xludf.DUMMYFUNCTION("""COMPUTED_VALUE"""),0.0)</f>
        <v>0</v>
      </c>
      <c r="AB382" s="199">
        <f>IFERROR(__xludf.DUMMYFUNCTION("""COMPUTED_VALUE"""),10.0)</f>
        <v>10</v>
      </c>
      <c r="AC382" s="199">
        <f>IFERROR(__xludf.DUMMYFUNCTION("""COMPUTED_VALUE"""),24.0)</f>
        <v>24</v>
      </c>
      <c r="AD382" s="199">
        <f>IFERROR(__xludf.DUMMYFUNCTION("""COMPUTED_VALUE"""),0.0)</f>
        <v>0</v>
      </c>
      <c r="AE382" s="199">
        <f>IFERROR(__xludf.DUMMYFUNCTION("""COMPUTED_VALUE"""),99.0)</f>
        <v>99</v>
      </c>
      <c r="AF382" s="199">
        <f>IFERROR(__xludf.DUMMYFUNCTION("""COMPUTED_VALUE"""),2.0)</f>
        <v>2</v>
      </c>
      <c r="AG382" s="199">
        <f>IFERROR(__xludf.DUMMYFUNCTION("""COMPUTED_VALUE"""),391.0)</f>
        <v>391</v>
      </c>
      <c r="AH382" s="199">
        <f>IFERROR(__xludf.DUMMYFUNCTION("""COMPUTED_VALUE"""),15.0)</f>
        <v>15</v>
      </c>
      <c r="AI382" s="200" t="str">
        <f>IFERROR(__xludf.DUMMYFUNCTION("""COMPUTED_VALUE"""),"General Alert")</f>
        <v>General Alert</v>
      </c>
      <c r="AJ382" s="200" t="str">
        <f>IFERROR(__xludf.DUMMYFUNCTION("""COMPUTED_VALUE"""),"Investigate root cause; increase sampling to monthly")</f>
        <v>Investigate root cause; increase sampling to monthly</v>
      </c>
      <c r="AK382" s="204"/>
      <c r="AL382" s="204"/>
      <c r="AM382" s="204"/>
    </row>
    <row r="383" hidden="1">
      <c r="A383" s="199" t="str">
        <f>IFERROR(__xludf.DUMMYFUNCTION("""COMPUTED_VALUE"""),"R2.432.MD140(N32)")</f>
        <v>R2.432.MD140(N32)</v>
      </c>
      <c r="B383" s="200" t="str">
        <f>IFERROR(__xludf.DUMMYFUNCTION("""COMPUTED_VALUE"""),"Kiln #2 Main drive gearbox (N32)")</f>
        <v>Kiln #2 Main drive gearbox (N32)</v>
      </c>
      <c r="C383" s="199">
        <f>IFERROR(__xludf.DUMMYFUNCTION("""COMPUTED_VALUE"""),2.5180296238E10)</f>
        <v>25180296238</v>
      </c>
      <c r="D383" s="201">
        <f>IFERROR(__xludf.DUMMYFUNCTION("""COMPUTED_VALUE"""),45826.0)</f>
        <v>45826</v>
      </c>
      <c r="E383" s="202" t="str">
        <f>IFERROR(__xludf.DUMMYFUNCTION("""COMPUTED_VALUE"""),"Caution")</f>
        <v>Caution</v>
      </c>
      <c r="F383" s="202" t="str">
        <f>IFERROR(__xludf.DUMMYFUNCTION("""COMPUTED_VALUE"""),"Caution")</f>
        <v>Caution</v>
      </c>
      <c r="G383" s="203" t="str">
        <f>IFERROR(__xludf.DUMMYFUNCTION("""COMPUTED_VALUE"""),"Normal")</f>
        <v>Normal</v>
      </c>
      <c r="H383" s="203" t="str">
        <f>IFERROR(__xludf.DUMMYFUNCTION("""COMPUTED_VALUE"""),"Normal")</f>
        <v>Normal</v>
      </c>
      <c r="I383" s="37"/>
      <c r="J383" s="37"/>
      <c r="K383" s="37"/>
      <c r="L383" s="199">
        <f>IFERROR(__xludf.DUMMYFUNCTION("""COMPUTED_VALUE"""),38.0)</f>
        <v>38</v>
      </c>
      <c r="M383" s="199">
        <f>IFERROR(__xludf.DUMMYFUNCTION("""COMPUTED_VALUE"""),402.1)</f>
        <v>402.1</v>
      </c>
      <c r="N383" s="199"/>
      <c r="O383" s="199">
        <f>IFERROR(__xludf.DUMMYFUNCTION("""COMPUTED_VALUE"""),2.0)</f>
        <v>2</v>
      </c>
      <c r="P383" s="199">
        <f>IFERROR(__xludf.DUMMYFUNCTION("""COMPUTED_VALUE"""),0.06)</f>
        <v>0.06</v>
      </c>
      <c r="Q383" s="199">
        <f>IFERROR(__xludf.DUMMYFUNCTION("""COMPUTED_VALUE"""),0.0)</f>
        <v>0</v>
      </c>
      <c r="R383" s="199">
        <f>IFERROR(__xludf.DUMMYFUNCTION("""COMPUTED_VALUE"""),5.0)</f>
        <v>5</v>
      </c>
      <c r="S383" s="199">
        <f>IFERROR(__xludf.DUMMYFUNCTION("""COMPUTED_VALUE"""),0.0)</f>
        <v>0</v>
      </c>
      <c r="T383" s="199">
        <f>IFERROR(__xludf.DUMMYFUNCTION("""COMPUTED_VALUE"""),0.0)</f>
        <v>0</v>
      </c>
      <c r="U383" s="199">
        <f>IFERROR(__xludf.DUMMYFUNCTION("""COMPUTED_VALUE"""),54.0)</f>
        <v>54</v>
      </c>
      <c r="V383" s="199">
        <f>IFERROR(__xludf.DUMMYFUNCTION("""COMPUTED_VALUE"""),0.0)</f>
        <v>0</v>
      </c>
      <c r="W383" s="199">
        <f>IFERROR(__xludf.DUMMYFUNCTION("""COMPUTED_VALUE"""),0.0)</f>
        <v>0</v>
      </c>
      <c r="X383" s="199">
        <f>IFERROR(__xludf.DUMMYFUNCTION("""COMPUTED_VALUE"""),1.0)</f>
        <v>1</v>
      </c>
      <c r="Y383" s="199">
        <f>IFERROR(__xludf.DUMMYFUNCTION("""COMPUTED_VALUE"""),0.0)</f>
        <v>0</v>
      </c>
      <c r="Z383" s="199">
        <f>IFERROR(__xludf.DUMMYFUNCTION("""COMPUTED_VALUE"""),0.0)</f>
        <v>0</v>
      </c>
      <c r="AA383" s="199">
        <f>IFERROR(__xludf.DUMMYFUNCTION("""COMPUTED_VALUE"""),0.0)</f>
        <v>0</v>
      </c>
      <c r="AB383" s="199">
        <f>IFERROR(__xludf.DUMMYFUNCTION("""COMPUTED_VALUE"""),10.0)</f>
        <v>10</v>
      </c>
      <c r="AC383" s="199">
        <f>IFERROR(__xludf.DUMMYFUNCTION("""COMPUTED_VALUE"""),24.0)</f>
        <v>24</v>
      </c>
      <c r="AD383" s="199">
        <f>IFERROR(__xludf.DUMMYFUNCTION("""COMPUTED_VALUE"""),0.0)</f>
        <v>0</v>
      </c>
      <c r="AE383" s="199">
        <f>IFERROR(__xludf.DUMMYFUNCTION("""COMPUTED_VALUE"""),82.0)</f>
        <v>82</v>
      </c>
      <c r="AF383" s="199">
        <f>IFERROR(__xludf.DUMMYFUNCTION("""COMPUTED_VALUE"""),2.0)</f>
        <v>2</v>
      </c>
      <c r="AG383" s="199">
        <f>IFERROR(__xludf.DUMMYFUNCTION("""COMPUTED_VALUE"""),381.0)</f>
        <v>381</v>
      </c>
      <c r="AH383" s="199">
        <f>IFERROR(__xludf.DUMMYFUNCTION("""COMPUTED_VALUE"""),34.0)</f>
        <v>34</v>
      </c>
      <c r="AI383" s="200" t="str">
        <f>IFERROR(__xludf.DUMMYFUNCTION("""COMPUTED_VALUE"""),"Wear Metal Caution | Moisture Caution")</f>
        <v>Wear Metal Caution | Moisture Caution</v>
      </c>
      <c r="AJ383" s="200" t="str">
        <f>IFERROR(__xludf.DUMMYFUNCTION("""COMPUTED_VALUE"""),"Elevated wear metals - monitor trend; Moisture detected - check breathers and seals; Oxidation increasing - monitor and plan oil change")</f>
        <v>Elevated wear metals - monitor trend; Moisture detected - check breathers and seals; Oxidation increasing - monitor and plan oil change</v>
      </c>
      <c r="AK383" s="204"/>
      <c r="AL383" s="204"/>
      <c r="AM383" s="204"/>
    </row>
    <row r="384" hidden="1">
      <c r="A384" s="199" t="str">
        <f>IFERROR(__xludf.DUMMYFUNCTION("""COMPUTED_VALUE"""),"R2.442.FN590")</f>
        <v>R2.442.FN590</v>
      </c>
      <c r="B384" s="200" t="str">
        <f>IFERROR(__xludf.DUMMYFUNCTION("""COMPUTED_VALUE"""),"Clinker Cooler #2 filter Fan")</f>
        <v>Clinker Cooler #2 filter Fan</v>
      </c>
      <c r="C384" s="199">
        <f>IFERROR(__xludf.DUMMYFUNCTION("""COMPUTED_VALUE"""),2.5180296232E10)</f>
        <v>25180296232</v>
      </c>
      <c r="D384" s="201">
        <f>IFERROR(__xludf.DUMMYFUNCTION("""COMPUTED_VALUE"""),45826.0)</f>
        <v>45826</v>
      </c>
      <c r="E384" s="202" t="str">
        <f>IFERROR(__xludf.DUMMYFUNCTION("""COMPUTED_VALUE"""),"Caution")</f>
        <v>Caution</v>
      </c>
      <c r="F384" s="202" t="str">
        <f>IFERROR(__xludf.DUMMYFUNCTION("""COMPUTED_VALUE"""),"Caution")</f>
        <v>Caution</v>
      </c>
      <c r="G384" s="203" t="str">
        <f>IFERROR(__xludf.DUMMYFUNCTION("""COMPUTED_VALUE"""),"Normal")</f>
        <v>Normal</v>
      </c>
      <c r="H384" s="203" t="str">
        <f>IFERROR(__xludf.DUMMYFUNCTION("""COMPUTED_VALUE"""),"Normal")</f>
        <v>Normal</v>
      </c>
      <c r="I384" s="37"/>
      <c r="J384" s="37"/>
      <c r="K384" s="37"/>
      <c r="L384" s="199">
        <f>IFERROR(__xludf.DUMMYFUNCTION("""COMPUTED_VALUE"""),15.0)</f>
        <v>15</v>
      </c>
      <c r="M384" s="199">
        <f>IFERROR(__xludf.DUMMYFUNCTION("""COMPUTED_VALUE"""),283.9)</f>
        <v>283.9</v>
      </c>
      <c r="N384" s="199"/>
      <c r="O384" s="199"/>
      <c r="P384" s="199">
        <f>IFERROR(__xludf.DUMMYFUNCTION("""COMPUTED_VALUE"""),0.07)</f>
        <v>0.07</v>
      </c>
      <c r="Q384" s="199">
        <f>IFERROR(__xludf.DUMMYFUNCTION("""COMPUTED_VALUE"""),0.0)</f>
        <v>0</v>
      </c>
      <c r="R384" s="199">
        <f>IFERROR(__xludf.DUMMYFUNCTION("""COMPUTED_VALUE"""),0.0)</f>
        <v>0</v>
      </c>
      <c r="S384" s="199">
        <f>IFERROR(__xludf.DUMMYFUNCTION("""COMPUTED_VALUE"""),0.0)</f>
        <v>0</v>
      </c>
      <c r="T384" s="199">
        <f>IFERROR(__xludf.DUMMYFUNCTION("""COMPUTED_VALUE"""),0.0)</f>
        <v>0</v>
      </c>
      <c r="U384" s="199">
        <f>IFERROR(__xludf.DUMMYFUNCTION("""COMPUTED_VALUE"""),2.0)</f>
        <v>2</v>
      </c>
      <c r="V384" s="199">
        <f>IFERROR(__xludf.DUMMYFUNCTION("""COMPUTED_VALUE"""),0.0)</f>
        <v>0</v>
      </c>
      <c r="W384" s="199">
        <f>IFERROR(__xludf.DUMMYFUNCTION("""COMPUTED_VALUE"""),0.0)</f>
        <v>0</v>
      </c>
      <c r="X384" s="199">
        <f>IFERROR(__xludf.DUMMYFUNCTION("""COMPUTED_VALUE"""),1.0)</f>
        <v>1</v>
      </c>
      <c r="Y384" s="199">
        <f>IFERROR(__xludf.DUMMYFUNCTION("""COMPUTED_VALUE"""),0.0)</f>
        <v>0</v>
      </c>
      <c r="Z384" s="199">
        <f>IFERROR(__xludf.DUMMYFUNCTION("""COMPUTED_VALUE"""),0.0)</f>
        <v>0</v>
      </c>
      <c r="AA384" s="199">
        <f>IFERROR(__xludf.DUMMYFUNCTION("""COMPUTED_VALUE"""),0.0)</f>
        <v>0</v>
      </c>
      <c r="AB384" s="199">
        <f>IFERROR(__xludf.DUMMYFUNCTION("""COMPUTED_VALUE"""),10.0)</f>
        <v>10</v>
      </c>
      <c r="AC384" s="199">
        <f>IFERROR(__xludf.DUMMYFUNCTION("""COMPUTED_VALUE"""),6.0)</f>
        <v>6</v>
      </c>
      <c r="AD384" s="199">
        <f>IFERROR(__xludf.DUMMYFUNCTION("""COMPUTED_VALUE"""),0.0)</f>
        <v>0</v>
      </c>
      <c r="AE384" s="199">
        <f>IFERROR(__xludf.DUMMYFUNCTION("""COMPUTED_VALUE"""),13.0)</f>
        <v>13</v>
      </c>
      <c r="AF384" s="199">
        <f>IFERROR(__xludf.DUMMYFUNCTION("""COMPUTED_VALUE"""),0.0)</f>
        <v>0</v>
      </c>
      <c r="AG384" s="199">
        <f>IFERROR(__xludf.DUMMYFUNCTION("""COMPUTED_VALUE"""),386.0)</f>
        <v>386</v>
      </c>
      <c r="AH384" s="199">
        <f>IFERROR(__xludf.DUMMYFUNCTION("""COMPUTED_VALUE"""),5.0)</f>
        <v>5</v>
      </c>
      <c r="AI384" s="200" t="str">
        <f>IFERROR(__xludf.DUMMYFUNCTION("""COMPUTED_VALUE"""),"Moisture Caution")</f>
        <v>Moisture Caution</v>
      </c>
      <c r="AJ384" s="200" t="str">
        <f>IFERROR(__xludf.DUMMYFUNCTION("""COMPUTED_VALUE"""),"Moisture detected - check breathers and seals")</f>
        <v>Moisture detected - check breathers and seals</v>
      </c>
      <c r="AK384" s="204"/>
      <c r="AL384" s="204"/>
      <c r="AM384" s="204"/>
    </row>
    <row r="385" hidden="1">
      <c r="A385" s="199" t="str">
        <f>IFERROR(__xludf.DUMMYFUNCTION("""COMPUTED_VALUE"""),"R2.472.CV200")</f>
        <v>R2.472.CV200</v>
      </c>
      <c r="B385" s="200" t="str">
        <f>IFERROR(__xludf.DUMMYFUNCTION("""COMPUTED_VALUE"""),"Drag chain #2 geared motor")</f>
        <v>Drag chain #2 geared motor</v>
      </c>
      <c r="C385" s="199">
        <f>IFERROR(__xludf.DUMMYFUNCTION("""COMPUTED_VALUE"""),2.5180296258E10)</f>
        <v>25180296258</v>
      </c>
      <c r="D385" s="201">
        <f>IFERROR(__xludf.DUMMYFUNCTION("""COMPUTED_VALUE"""),45826.0)</f>
        <v>45826</v>
      </c>
      <c r="E385" s="202" t="str">
        <f>IFERROR(__xludf.DUMMYFUNCTION("""COMPUTED_VALUE"""),"Alert")</f>
        <v>Alert</v>
      </c>
      <c r="F385" s="202" t="str">
        <f>IFERROR(__xludf.DUMMYFUNCTION("""COMPUTED_VALUE"""),"Alert")</f>
        <v>Alert</v>
      </c>
      <c r="G385" s="203" t="str">
        <f>IFERROR(__xludf.DUMMYFUNCTION("""COMPUTED_VALUE"""),"Normal")</f>
        <v>Normal</v>
      </c>
      <c r="H385" s="203" t="str">
        <f>IFERROR(__xludf.DUMMYFUNCTION("""COMPUTED_VALUE"""),"Caution")</f>
        <v>Caution</v>
      </c>
      <c r="I385" s="37"/>
      <c r="J385" s="37"/>
      <c r="K385" s="37"/>
      <c r="L385" s="199">
        <f>IFERROR(__xludf.DUMMYFUNCTION("""COMPUTED_VALUE"""),24.0)</f>
        <v>24</v>
      </c>
      <c r="M385" s="199">
        <f>IFERROR(__xludf.DUMMYFUNCTION("""COMPUTED_VALUE"""),347.0)</f>
        <v>347</v>
      </c>
      <c r="N385" s="199"/>
      <c r="O385" s="199"/>
      <c r="P385" s="199">
        <f>IFERROR(__xludf.DUMMYFUNCTION("""COMPUTED_VALUE"""),0.1)</f>
        <v>0.1</v>
      </c>
      <c r="Q385" s="199">
        <f>IFERROR(__xludf.DUMMYFUNCTION("""COMPUTED_VALUE"""),0.0)</f>
        <v>0</v>
      </c>
      <c r="R385" s="199">
        <f>IFERROR(__xludf.DUMMYFUNCTION("""COMPUTED_VALUE"""),1.0)</f>
        <v>1</v>
      </c>
      <c r="S385" s="199">
        <f>IFERROR(__xludf.DUMMYFUNCTION("""COMPUTED_VALUE"""),0.0)</f>
        <v>0</v>
      </c>
      <c r="T385" s="199">
        <f>IFERROR(__xludf.DUMMYFUNCTION("""COMPUTED_VALUE"""),0.0)</f>
        <v>0</v>
      </c>
      <c r="U385" s="199">
        <f>IFERROR(__xludf.DUMMYFUNCTION("""COMPUTED_VALUE"""),20.0)</f>
        <v>20</v>
      </c>
      <c r="V385" s="199">
        <f>IFERROR(__xludf.DUMMYFUNCTION("""COMPUTED_VALUE"""),2.0)</f>
        <v>2</v>
      </c>
      <c r="W385" s="199">
        <f>IFERROR(__xludf.DUMMYFUNCTION("""COMPUTED_VALUE"""),0.0)</f>
        <v>0</v>
      </c>
      <c r="X385" s="199">
        <f>IFERROR(__xludf.DUMMYFUNCTION("""COMPUTED_VALUE"""),8.0)</f>
        <v>8</v>
      </c>
      <c r="Y385" s="199">
        <f>IFERROR(__xludf.DUMMYFUNCTION("""COMPUTED_VALUE"""),0.0)</f>
        <v>0</v>
      </c>
      <c r="Z385" s="199">
        <f>IFERROR(__xludf.DUMMYFUNCTION("""COMPUTED_VALUE"""),0.0)</f>
        <v>0</v>
      </c>
      <c r="AA385" s="199">
        <f>IFERROR(__xludf.DUMMYFUNCTION("""COMPUTED_VALUE"""),2.0)</f>
        <v>2</v>
      </c>
      <c r="AB385" s="199">
        <f>IFERROR(__xludf.DUMMYFUNCTION("""COMPUTED_VALUE"""),11.0)</f>
        <v>11</v>
      </c>
      <c r="AC385" s="199">
        <f>IFERROR(__xludf.DUMMYFUNCTION("""COMPUTED_VALUE"""),6.0)</f>
        <v>6</v>
      </c>
      <c r="AD385" s="199">
        <f>IFERROR(__xludf.DUMMYFUNCTION("""COMPUTED_VALUE"""),1.0)</f>
        <v>1</v>
      </c>
      <c r="AE385" s="199">
        <f>IFERROR(__xludf.DUMMYFUNCTION("""COMPUTED_VALUE"""),55.0)</f>
        <v>55</v>
      </c>
      <c r="AF385" s="199">
        <f>IFERROR(__xludf.DUMMYFUNCTION("""COMPUTED_VALUE"""),3.0)</f>
        <v>3</v>
      </c>
      <c r="AG385" s="199">
        <f>IFERROR(__xludf.DUMMYFUNCTION("""COMPUTED_VALUE"""),461.0)</f>
        <v>461</v>
      </c>
      <c r="AH385" s="199">
        <f>IFERROR(__xludf.DUMMYFUNCTION("""COMPUTED_VALUE"""),4.0)</f>
        <v>4</v>
      </c>
      <c r="AI385" s="200" t="str">
        <f>IFERROR(__xludf.DUMMYFUNCTION("""COMPUTED_VALUE"""),"General Alert")</f>
        <v>General Alert</v>
      </c>
      <c r="AJ385" s="200" t="str">
        <f>IFERROR(__xludf.DUMMYFUNCTION("""COMPUTED_VALUE"""),"Investigate root cause; increase sampling to monthly")</f>
        <v>Investigate root cause; increase sampling to monthly</v>
      </c>
      <c r="AK385" s="204"/>
      <c r="AL385" s="204"/>
      <c r="AM385" s="204"/>
    </row>
    <row r="386" hidden="1">
      <c r="A386" s="199" t="str">
        <f>IFERROR(__xludf.DUMMYFUNCTION("""COMPUTED_VALUE"""),"123.BC200")</f>
        <v>123.BC200</v>
      </c>
      <c r="B386" s="200" t="str">
        <f>IFERROR(__xludf.DUMMYFUNCTION("""COMPUTED_VALUE"""),"Belt Conveyor Gearbox")</f>
        <v>Belt Conveyor Gearbox</v>
      </c>
      <c r="C386" s="199">
        <f>IFERROR(__xludf.DUMMYFUNCTION("""COMPUTED_VALUE"""),2.5258159222E10)</f>
        <v>25258159222</v>
      </c>
      <c r="D386" s="201">
        <f>IFERROR(__xludf.DUMMYFUNCTION("""COMPUTED_VALUE"""),45908.0)</f>
        <v>45908</v>
      </c>
      <c r="E386" s="202" t="str">
        <f>IFERROR(__xludf.DUMMYFUNCTION("""COMPUTED_VALUE"""),"Caution")</f>
        <v>Caution</v>
      </c>
      <c r="F386" s="202" t="str">
        <f>IFERROR(__xludf.DUMMYFUNCTION("""COMPUTED_VALUE"""),"Caution")</f>
        <v>Caution</v>
      </c>
      <c r="G386" s="203" t="str">
        <f>IFERROR(__xludf.DUMMYFUNCTION("""COMPUTED_VALUE"""),"Normal")</f>
        <v>Normal</v>
      </c>
      <c r="H386" s="203" t="str">
        <f>IFERROR(__xludf.DUMMYFUNCTION("""COMPUTED_VALUE"""),"Normal")</f>
        <v>Normal</v>
      </c>
      <c r="I386" s="37"/>
      <c r="J386" s="37"/>
      <c r="K386" s="37"/>
      <c r="L386" s="199">
        <f>IFERROR(__xludf.DUMMYFUNCTION("""COMPUTED_VALUE"""),8.0)</f>
        <v>8</v>
      </c>
      <c r="M386" s="199">
        <f>IFERROR(__xludf.DUMMYFUNCTION("""COMPUTED_VALUE"""),213.2)</f>
        <v>213.2</v>
      </c>
      <c r="N386" s="199"/>
      <c r="O386" s="199"/>
      <c r="P386" s="199">
        <f>IFERROR(__xludf.DUMMYFUNCTION("""COMPUTED_VALUE"""),0.04)</f>
        <v>0.04</v>
      </c>
      <c r="Q386" s="199">
        <f>IFERROR(__xludf.DUMMYFUNCTION("""COMPUTED_VALUE"""),0.0)</f>
        <v>0</v>
      </c>
      <c r="R386" s="199">
        <f>IFERROR(__xludf.DUMMYFUNCTION("""COMPUTED_VALUE"""),10.0)</f>
        <v>10</v>
      </c>
      <c r="S386" s="199">
        <f>IFERROR(__xludf.DUMMYFUNCTION("""COMPUTED_VALUE"""),0.0)</f>
        <v>0</v>
      </c>
      <c r="T386" s="199">
        <f>IFERROR(__xludf.DUMMYFUNCTION("""COMPUTED_VALUE"""),2.0)</f>
        <v>2</v>
      </c>
      <c r="U386" s="199">
        <f>IFERROR(__xludf.DUMMYFUNCTION("""COMPUTED_VALUE"""),44.0)</f>
        <v>44</v>
      </c>
      <c r="V386" s="199">
        <f>IFERROR(__xludf.DUMMYFUNCTION("""COMPUTED_VALUE"""),0.0)</f>
        <v>0</v>
      </c>
      <c r="W386" s="199">
        <f>IFERROR(__xludf.DUMMYFUNCTION("""COMPUTED_VALUE"""),0.0)</f>
        <v>0</v>
      </c>
      <c r="X386" s="199">
        <f>IFERROR(__xludf.DUMMYFUNCTION("""COMPUTED_VALUE"""),0.0)</f>
        <v>0</v>
      </c>
      <c r="Y386" s="199">
        <f>IFERROR(__xludf.DUMMYFUNCTION("""COMPUTED_VALUE"""),0.0)</f>
        <v>0</v>
      </c>
      <c r="Z386" s="199">
        <f>IFERROR(__xludf.DUMMYFUNCTION("""COMPUTED_VALUE"""),0.0)</f>
        <v>0</v>
      </c>
      <c r="AA386" s="199">
        <f>IFERROR(__xludf.DUMMYFUNCTION("""COMPUTED_VALUE"""),0.0)</f>
        <v>0</v>
      </c>
      <c r="AB386" s="199">
        <f>IFERROR(__xludf.DUMMYFUNCTION("""COMPUTED_VALUE"""),2.0)</f>
        <v>2</v>
      </c>
      <c r="AC386" s="199">
        <f>IFERROR(__xludf.DUMMYFUNCTION("""COMPUTED_VALUE"""),0.0)</f>
        <v>0</v>
      </c>
      <c r="AD386" s="199">
        <f>IFERROR(__xludf.DUMMYFUNCTION("""COMPUTED_VALUE"""),0.0)</f>
        <v>0</v>
      </c>
      <c r="AE386" s="199">
        <f>IFERROR(__xludf.DUMMYFUNCTION("""COMPUTED_VALUE"""),10.0)</f>
        <v>10</v>
      </c>
      <c r="AF386" s="199">
        <f>IFERROR(__xludf.DUMMYFUNCTION("""COMPUTED_VALUE"""),2.0)</f>
        <v>2</v>
      </c>
      <c r="AG386" s="199">
        <f>IFERROR(__xludf.DUMMYFUNCTION("""COMPUTED_VALUE"""),380.0)</f>
        <v>380</v>
      </c>
      <c r="AH386" s="199">
        <f>IFERROR(__xludf.DUMMYFUNCTION("""COMPUTED_VALUE"""),0.0)</f>
        <v>0</v>
      </c>
      <c r="AI386" s="200" t="str">
        <f>IFERROR(__xludf.DUMMYFUNCTION("""COMPUTED_VALUE"""),"Caution – Elevated Fe / Water")</f>
        <v>Caution – Elevated Fe / Water</v>
      </c>
      <c r="AJ386" s="200" t="str">
        <f>IFERROR(__xludf.DUMMYFUNCTION("""COMPUTED_VALUE"""),"Fe 44 ppm (elevated – increasing trend), Al 10 ppm, water 0.040 Vol%. Monitor wear trend closely. Inspect filtration and seals. Resample within 30 days.")</f>
        <v>Fe 44 ppm (elevated – increasing trend), Al 10 ppm, water 0.040 Vol%. Monitor wear trend closely. Inspect filtration and seals. Resample within 30 days.</v>
      </c>
      <c r="AK386" s="204"/>
      <c r="AL386" s="204"/>
      <c r="AM386" s="204"/>
    </row>
    <row r="387" hidden="1">
      <c r="A387" s="199" t="str">
        <f>IFERROR(__xludf.DUMMYFUNCTION("""COMPUTED_VALUE"""),"131.BC500 (M01)")</f>
        <v>131.BC500 (M01)</v>
      </c>
      <c r="B387" s="200" t="str">
        <f>IFERROR(__xludf.DUMMYFUNCTION("""COMPUTED_VALUE"""),"Belt Conveyor Gearbox")</f>
        <v>Belt Conveyor Gearbox</v>
      </c>
      <c r="C387" s="199">
        <f>IFERROR(__xludf.DUMMYFUNCTION("""COMPUTED_VALUE"""),2.5258159246E10)</f>
        <v>25258159246</v>
      </c>
      <c r="D387" s="201">
        <f>IFERROR(__xludf.DUMMYFUNCTION("""COMPUTED_VALUE"""),45908.0)</f>
        <v>45908</v>
      </c>
      <c r="E387" s="202" t="str">
        <f>IFERROR(__xludf.DUMMYFUNCTION("""COMPUTED_VALUE"""),"Alert")</f>
        <v>Alert</v>
      </c>
      <c r="F387" s="202" t="str">
        <f>IFERROR(__xludf.DUMMYFUNCTION("""COMPUTED_VALUE"""),"Alert")</f>
        <v>Alert</v>
      </c>
      <c r="G387" s="203" t="str">
        <f>IFERROR(__xludf.DUMMYFUNCTION("""COMPUTED_VALUE"""),"Normal")</f>
        <v>Normal</v>
      </c>
      <c r="H387" s="203" t="str">
        <f>IFERROR(__xludf.DUMMYFUNCTION("""COMPUTED_VALUE"""),"Caution")</f>
        <v>Caution</v>
      </c>
      <c r="I387" s="37"/>
      <c r="J387" s="37"/>
      <c r="K387" s="37"/>
      <c r="L387" s="199">
        <f>IFERROR(__xludf.DUMMYFUNCTION("""COMPUTED_VALUE"""),21.0)</f>
        <v>21</v>
      </c>
      <c r="M387" s="199">
        <f>IFERROR(__xludf.DUMMYFUNCTION("""COMPUTED_VALUE"""),215.5)</f>
        <v>215.5</v>
      </c>
      <c r="N387" s="199"/>
      <c r="O387" s="199"/>
      <c r="P387" s="199">
        <f>IFERROR(__xludf.DUMMYFUNCTION("""COMPUTED_VALUE"""),0.1)</f>
        <v>0.1</v>
      </c>
      <c r="Q387" s="199">
        <f>IFERROR(__xludf.DUMMYFUNCTION("""COMPUTED_VALUE"""),0.0)</f>
        <v>0</v>
      </c>
      <c r="R387" s="199">
        <f>IFERROR(__xludf.DUMMYFUNCTION("""COMPUTED_VALUE"""),12.0)</f>
        <v>12</v>
      </c>
      <c r="S387" s="199">
        <f>IFERROR(__xludf.DUMMYFUNCTION("""COMPUTED_VALUE"""),1.0)</f>
        <v>1</v>
      </c>
      <c r="T387" s="199">
        <f>IFERROR(__xludf.DUMMYFUNCTION("""COMPUTED_VALUE"""),4.0)</f>
        <v>4</v>
      </c>
      <c r="U387" s="199">
        <f>IFERROR(__xludf.DUMMYFUNCTION("""COMPUTED_VALUE"""),24.0)</f>
        <v>24</v>
      </c>
      <c r="V387" s="199">
        <f>IFERROR(__xludf.DUMMYFUNCTION("""COMPUTED_VALUE"""),0.0)</f>
        <v>0</v>
      </c>
      <c r="W387" s="199">
        <f>IFERROR(__xludf.DUMMYFUNCTION("""COMPUTED_VALUE"""),0.0)</f>
        <v>0</v>
      </c>
      <c r="X387" s="199">
        <f>IFERROR(__xludf.DUMMYFUNCTION("""COMPUTED_VALUE"""),0.0)</f>
        <v>0</v>
      </c>
      <c r="Y387" s="199">
        <f>IFERROR(__xludf.DUMMYFUNCTION("""COMPUTED_VALUE"""),0.0)</f>
        <v>0</v>
      </c>
      <c r="Z387" s="199">
        <f>IFERROR(__xludf.DUMMYFUNCTION("""COMPUTED_VALUE"""),0.0)</f>
        <v>0</v>
      </c>
      <c r="AA387" s="199">
        <f>IFERROR(__xludf.DUMMYFUNCTION("""COMPUTED_VALUE"""),0.0)</f>
        <v>0</v>
      </c>
      <c r="AB387" s="199">
        <f>IFERROR(__xludf.DUMMYFUNCTION("""COMPUTED_VALUE"""),4.0)</f>
        <v>4</v>
      </c>
      <c r="AC387" s="199">
        <f>IFERROR(__xludf.DUMMYFUNCTION("""COMPUTED_VALUE"""),22.0)</f>
        <v>22</v>
      </c>
      <c r="AD387" s="199">
        <f>IFERROR(__xludf.DUMMYFUNCTION("""COMPUTED_VALUE"""),0.0)</f>
        <v>0</v>
      </c>
      <c r="AE387" s="199">
        <f>IFERROR(__xludf.DUMMYFUNCTION("""COMPUTED_VALUE"""),25.0)</f>
        <v>25</v>
      </c>
      <c r="AF387" s="199">
        <f>IFERROR(__xludf.DUMMYFUNCTION("""COMPUTED_VALUE"""),2.0)</f>
        <v>2</v>
      </c>
      <c r="AG387" s="199">
        <f>IFERROR(__xludf.DUMMYFUNCTION("""COMPUTED_VALUE"""),556.0)</f>
        <v>556</v>
      </c>
      <c r="AH387" s="199">
        <f>IFERROR(__xludf.DUMMYFUNCTION("""COMPUTED_VALUE"""),0.0)</f>
        <v>0</v>
      </c>
      <c r="AI387" s="200" t="str">
        <f>IFERROR(__xludf.DUMMYFUNCTION("""COMPUTED_VALUE"""),"General Alert")</f>
        <v>General Alert</v>
      </c>
      <c r="AJ387" s="200" t="str">
        <f>IFERROR(__xludf.DUMMYFUNCTION("""COMPUTED_VALUE"""),"Investigate root cause; increase sampling frequency to monthly")</f>
        <v>Investigate root cause; increase sampling frequency to monthly</v>
      </c>
      <c r="AK387" s="204"/>
      <c r="AL387" s="204"/>
      <c r="AM387" s="204"/>
    </row>
    <row r="388" hidden="1">
      <c r="A388" s="199" t="str">
        <f>IFERROR(__xludf.DUMMYFUNCTION("""COMPUTED_VALUE"""),"131.BC500 (M02)")</f>
        <v>131.BC500 (M02)</v>
      </c>
      <c r="B388" s="200" t="str">
        <f>IFERROR(__xludf.DUMMYFUNCTION("""COMPUTED_VALUE"""),"Belt Conveyor Gearbox")</f>
        <v>Belt Conveyor Gearbox</v>
      </c>
      <c r="C388" s="199">
        <f>IFERROR(__xludf.DUMMYFUNCTION("""COMPUTED_VALUE"""),2.5259169211E10)</f>
        <v>25259169211</v>
      </c>
      <c r="D388" s="201">
        <f>IFERROR(__xludf.DUMMYFUNCTION("""COMPUTED_VALUE"""),45908.0)</f>
        <v>45908</v>
      </c>
      <c r="E388" s="202" t="str">
        <f>IFERROR(__xludf.DUMMYFUNCTION("""COMPUTED_VALUE"""),"Caution")</f>
        <v>Caution</v>
      </c>
      <c r="F388" s="202" t="str">
        <f>IFERROR(__xludf.DUMMYFUNCTION("""COMPUTED_VALUE"""),"Caution")</f>
        <v>Caution</v>
      </c>
      <c r="G388" s="203" t="str">
        <f>IFERROR(__xludf.DUMMYFUNCTION("""COMPUTED_VALUE"""),"Normal")</f>
        <v>Normal</v>
      </c>
      <c r="H388" s="203" t="str">
        <f>IFERROR(__xludf.DUMMYFUNCTION("""COMPUTED_VALUE"""),"Normal")</f>
        <v>Normal</v>
      </c>
      <c r="I388" s="37"/>
      <c r="J388" s="37"/>
      <c r="K388" s="37"/>
      <c r="L388" s="199">
        <f>IFERROR(__xludf.DUMMYFUNCTION("""COMPUTED_VALUE"""),20.0)</f>
        <v>20</v>
      </c>
      <c r="M388" s="199">
        <f>IFERROR(__xludf.DUMMYFUNCTION("""COMPUTED_VALUE"""),210.5)</f>
        <v>210.5</v>
      </c>
      <c r="N388" s="199"/>
      <c r="O388" s="199"/>
      <c r="P388" s="199">
        <f>IFERROR(__xludf.DUMMYFUNCTION("""COMPUTED_VALUE"""),0.05)</f>
        <v>0.05</v>
      </c>
      <c r="Q388" s="199">
        <f>IFERROR(__xludf.DUMMYFUNCTION("""COMPUTED_VALUE"""),0.0)</f>
        <v>0</v>
      </c>
      <c r="R388" s="199">
        <f>IFERROR(__xludf.DUMMYFUNCTION("""COMPUTED_VALUE"""),3.0)</f>
        <v>3</v>
      </c>
      <c r="S388" s="199">
        <f>IFERROR(__xludf.DUMMYFUNCTION("""COMPUTED_VALUE"""),1.0)</f>
        <v>1</v>
      </c>
      <c r="T388" s="199">
        <f>IFERROR(__xludf.DUMMYFUNCTION("""COMPUTED_VALUE"""),2.0)</f>
        <v>2</v>
      </c>
      <c r="U388" s="199">
        <f>IFERROR(__xludf.DUMMYFUNCTION("""COMPUTED_VALUE"""),7.0)</f>
        <v>7</v>
      </c>
      <c r="V388" s="199">
        <f>IFERROR(__xludf.DUMMYFUNCTION("""COMPUTED_VALUE"""),0.0)</f>
        <v>0</v>
      </c>
      <c r="W388" s="199">
        <f>IFERROR(__xludf.DUMMYFUNCTION("""COMPUTED_VALUE"""),0.0)</f>
        <v>0</v>
      </c>
      <c r="X388" s="199">
        <f>IFERROR(__xludf.DUMMYFUNCTION("""COMPUTED_VALUE"""),0.0)</f>
        <v>0</v>
      </c>
      <c r="Y388" s="199">
        <f>IFERROR(__xludf.DUMMYFUNCTION("""COMPUTED_VALUE"""),0.0)</f>
        <v>0</v>
      </c>
      <c r="Z388" s="199">
        <f>IFERROR(__xludf.DUMMYFUNCTION("""COMPUTED_VALUE"""),0.0)</f>
        <v>0</v>
      </c>
      <c r="AA388" s="199">
        <f>IFERROR(__xludf.DUMMYFUNCTION("""COMPUTED_VALUE"""),0.0)</f>
        <v>0</v>
      </c>
      <c r="AB388" s="199">
        <f>IFERROR(__xludf.DUMMYFUNCTION("""COMPUTED_VALUE"""),12.0)</f>
        <v>12</v>
      </c>
      <c r="AC388" s="199">
        <f>IFERROR(__xludf.DUMMYFUNCTION("""COMPUTED_VALUE"""),13.0)</f>
        <v>13</v>
      </c>
      <c r="AD388" s="199">
        <f>IFERROR(__xludf.DUMMYFUNCTION("""COMPUTED_VALUE"""),0.0)</f>
        <v>0</v>
      </c>
      <c r="AE388" s="199">
        <f>IFERROR(__xludf.DUMMYFUNCTION("""COMPUTED_VALUE"""),20.0)</f>
        <v>20</v>
      </c>
      <c r="AF388" s="199">
        <f>IFERROR(__xludf.DUMMYFUNCTION("""COMPUTED_VALUE"""),0.0)</f>
        <v>0</v>
      </c>
      <c r="AG388" s="199">
        <f>IFERROR(__xludf.DUMMYFUNCTION("""COMPUTED_VALUE"""),520.0)</f>
        <v>520</v>
      </c>
      <c r="AH388" s="199">
        <f>IFERROR(__xludf.DUMMYFUNCTION("""COMPUTED_VALUE"""),2.0)</f>
        <v>2</v>
      </c>
      <c r="AI388" s="200" t="str">
        <f>IFERROR(__xludf.DUMMYFUNCTION("""COMPUTED_VALUE"""),"General Caution")</f>
        <v>General Caution</v>
      </c>
      <c r="AJ388" s="200" t="str">
        <f>IFERROR(__xludf.DUMMYFUNCTION("""COMPUTED_VALUE"""),"Continue monitoring; resample at next scheduled interval")</f>
        <v>Continue monitoring; resample at next scheduled interval</v>
      </c>
      <c r="AK388" s="204"/>
      <c r="AL388" s="204"/>
      <c r="AM388" s="204"/>
    </row>
    <row r="389" hidden="1">
      <c r="A389" s="199" t="str">
        <f>IFERROR(__xludf.DUMMYFUNCTION("""COMPUTED_VALUE"""),"471.AC100")</f>
        <v>471.AC100</v>
      </c>
      <c r="B389" s="200" t="str">
        <f>IFERROR(__xludf.DUMMYFUNCTION("""COMPUTED_VALUE"""),"Pan Conveyor Main drive gearbox")</f>
        <v>Pan Conveyor Main drive gearbox</v>
      </c>
      <c r="C389" s="199">
        <f>IFERROR(__xludf.DUMMYFUNCTION("""COMPUTED_VALUE"""),2.5259169218E10)</f>
        <v>25259169218</v>
      </c>
      <c r="D389" s="201">
        <f>IFERROR(__xludf.DUMMYFUNCTION("""COMPUTED_VALUE"""),45908.0)</f>
        <v>45908</v>
      </c>
      <c r="E389" s="202" t="str">
        <f>IFERROR(__xludf.DUMMYFUNCTION("""COMPUTED_VALUE"""),"Alert")</f>
        <v>Alert</v>
      </c>
      <c r="F389" s="202" t="str">
        <f>IFERROR(__xludf.DUMMYFUNCTION("""COMPUTED_VALUE"""),"Caution")</f>
        <v>Caution</v>
      </c>
      <c r="G389" s="203" t="str">
        <f>IFERROR(__xludf.DUMMYFUNCTION("""COMPUTED_VALUE"""),"Normal")</f>
        <v>Normal</v>
      </c>
      <c r="H389" s="203" t="str">
        <f>IFERROR(__xludf.DUMMYFUNCTION("""COMPUTED_VALUE"""),"Alert")</f>
        <v>Alert</v>
      </c>
      <c r="I389" s="199"/>
      <c r="J389" s="199"/>
      <c r="K389" s="199"/>
      <c r="L389" s="199">
        <f>IFERROR(__xludf.DUMMYFUNCTION("""COMPUTED_VALUE"""),13.0)</f>
        <v>13</v>
      </c>
      <c r="M389" s="199">
        <f>IFERROR(__xludf.DUMMYFUNCTION("""COMPUTED_VALUE"""),318.3)</f>
        <v>318.3</v>
      </c>
      <c r="N389" s="199"/>
      <c r="O389" s="199"/>
      <c r="P389" s="199">
        <f>IFERROR(__xludf.DUMMYFUNCTION("""COMPUTED_VALUE"""),0.01)</f>
        <v>0.01</v>
      </c>
      <c r="Q389" s="199">
        <f>IFERROR(__xludf.DUMMYFUNCTION("""COMPUTED_VALUE"""),0.0)</f>
        <v>0</v>
      </c>
      <c r="R389" s="199">
        <f>IFERROR(__xludf.DUMMYFUNCTION("""COMPUTED_VALUE"""),5.0)</f>
        <v>5</v>
      </c>
      <c r="S389" s="199">
        <f>IFERROR(__xludf.DUMMYFUNCTION("""COMPUTED_VALUE"""),1.0)</f>
        <v>1</v>
      </c>
      <c r="T389" s="199">
        <f>IFERROR(__xludf.DUMMYFUNCTION("""COMPUTED_VALUE"""),3.0)</f>
        <v>3</v>
      </c>
      <c r="U389" s="199">
        <f>IFERROR(__xludf.DUMMYFUNCTION("""COMPUTED_VALUE"""),26.0)</f>
        <v>26</v>
      </c>
      <c r="V389" s="199">
        <f>IFERROR(__xludf.DUMMYFUNCTION("""COMPUTED_VALUE"""),0.0)</f>
        <v>0</v>
      </c>
      <c r="W389" s="199">
        <f>IFERROR(__xludf.DUMMYFUNCTION("""COMPUTED_VALUE"""),0.0)</f>
        <v>0</v>
      </c>
      <c r="X389" s="199">
        <f>IFERROR(__xludf.DUMMYFUNCTION("""COMPUTED_VALUE"""),0.0)</f>
        <v>0</v>
      </c>
      <c r="Y389" s="199">
        <f>IFERROR(__xludf.DUMMYFUNCTION("""COMPUTED_VALUE"""),0.0)</f>
        <v>0</v>
      </c>
      <c r="Z389" s="199">
        <f>IFERROR(__xludf.DUMMYFUNCTION("""COMPUTED_VALUE"""),1.0)</f>
        <v>1</v>
      </c>
      <c r="AA389" s="199">
        <f>IFERROR(__xludf.DUMMYFUNCTION("""COMPUTED_VALUE"""),0.0)</f>
        <v>0</v>
      </c>
      <c r="AB389" s="199">
        <f>IFERROR(__xludf.DUMMYFUNCTION("""COMPUTED_VALUE"""),8.0)</f>
        <v>8</v>
      </c>
      <c r="AC389" s="199">
        <f>IFERROR(__xludf.DUMMYFUNCTION("""COMPUTED_VALUE"""),41.0)</f>
        <v>41</v>
      </c>
      <c r="AD389" s="199">
        <f>IFERROR(__xludf.DUMMYFUNCTION("""COMPUTED_VALUE"""),0.0)</f>
        <v>0</v>
      </c>
      <c r="AE389" s="199">
        <f>IFERROR(__xludf.DUMMYFUNCTION("""COMPUTED_VALUE"""),36.0)</f>
        <v>36</v>
      </c>
      <c r="AF389" s="199">
        <f>IFERROR(__xludf.DUMMYFUNCTION("""COMPUTED_VALUE"""),2.0)</f>
        <v>2</v>
      </c>
      <c r="AG389" s="199">
        <f>IFERROR(__xludf.DUMMYFUNCTION("""COMPUTED_VALUE"""),387.0)</f>
        <v>387</v>
      </c>
      <c r="AH389" s="199">
        <f>IFERROR(__xludf.DUMMYFUNCTION("""COMPUTED_VALUE"""),3.0)</f>
        <v>3</v>
      </c>
      <c r="AI389" s="200" t="str">
        <f>IFERROR(__xludf.DUMMYFUNCTION("""COMPUTED_VALUE"""),"General Alert")</f>
        <v>General Alert</v>
      </c>
      <c r="AJ389" s="200" t="str">
        <f>IFERROR(__xludf.DUMMYFUNCTION("""COMPUTED_VALUE"""),"Investigate root cause; increase sampling frequency to monthly")</f>
        <v>Investigate root cause; increase sampling frequency to monthly</v>
      </c>
      <c r="AK389" s="204"/>
      <c r="AL389" s="204"/>
      <c r="AM389" s="204"/>
    </row>
    <row r="390" hidden="1">
      <c r="A390" s="199" t="str">
        <f>IFERROR(__xludf.DUMMYFUNCTION("""COMPUTED_VALUE"""),"482.BC600")</f>
        <v>482.BC600</v>
      </c>
      <c r="B390" s="200" t="str">
        <f>IFERROR(__xludf.DUMMYFUNCTION("""COMPUTED_VALUE"""),"Belt conveyor Gearbox")</f>
        <v>Belt conveyor Gearbox</v>
      </c>
      <c r="C390" s="199">
        <f>IFERROR(__xludf.DUMMYFUNCTION("""COMPUTED_VALUE"""),2.5258159218E10)</f>
        <v>25258159218</v>
      </c>
      <c r="D390" s="201">
        <f>IFERROR(__xludf.DUMMYFUNCTION("""COMPUTED_VALUE"""),45908.0)</f>
        <v>45908</v>
      </c>
      <c r="E390" s="202" t="str">
        <f>IFERROR(__xludf.DUMMYFUNCTION("""COMPUTED_VALUE"""),"Normal")</f>
        <v>Normal</v>
      </c>
      <c r="F390" s="202" t="str">
        <f>IFERROR(__xludf.DUMMYFUNCTION("""COMPUTED_VALUE"""),"Normal")</f>
        <v>Normal</v>
      </c>
      <c r="G390" s="203" t="str">
        <f>IFERROR(__xludf.DUMMYFUNCTION("""COMPUTED_VALUE"""),"Normal")</f>
        <v>Normal</v>
      </c>
      <c r="H390" s="203" t="str">
        <f>IFERROR(__xludf.DUMMYFUNCTION("""COMPUTED_VALUE"""),"Normal")</f>
        <v>Normal</v>
      </c>
      <c r="I390" s="199">
        <f>IFERROR(__xludf.DUMMYFUNCTION("""COMPUTED_VALUE"""),29701.0)</f>
        <v>29701</v>
      </c>
      <c r="J390" s="199">
        <f>IFERROR(__xludf.DUMMYFUNCTION("""COMPUTED_VALUE"""),14488.0)</f>
        <v>14488</v>
      </c>
      <c r="K390" s="199">
        <f>IFERROR(__xludf.DUMMYFUNCTION("""COMPUTED_VALUE"""),6900.0)</f>
        <v>6900</v>
      </c>
      <c r="L390" s="199">
        <f>IFERROR(__xludf.DUMMYFUNCTION("""COMPUTED_VALUE"""),9.0)</f>
        <v>9</v>
      </c>
      <c r="M390" s="199">
        <f>IFERROR(__xludf.DUMMYFUNCTION("""COMPUTED_VALUE"""),213.7)</f>
        <v>213.7</v>
      </c>
      <c r="N390" s="199"/>
      <c r="O390" s="199"/>
      <c r="P390" s="199">
        <f>IFERROR(__xludf.DUMMYFUNCTION("""COMPUTED_VALUE"""),0.003)</f>
        <v>0.003</v>
      </c>
      <c r="Q390" s="199">
        <f>IFERROR(__xludf.DUMMYFUNCTION("""COMPUTED_VALUE"""),0.0)</f>
        <v>0</v>
      </c>
      <c r="R390" s="199">
        <f>IFERROR(__xludf.DUMMYFUNCTION("""COMPUTED_VALUE"""),6.0)</f>
        <v>6</v>
      </c>
      <c r="S390" s="199">
        <f>IFERROR(__xludf.DUMMYFUNCTION("""COMPUTED_VALUE"""),1.0)</f>
        <v>1</v>
      </c>
      <c r="T390" s="199">
        <f>IFERROR(__xludf.DUMMYFUNCTION("""COMPUTED_VALUE"""),3.0)</f>
        <v>3</v>
      </c>
      <c r="U390" s="199">
        <f>IFERROR(__xludf.DUMMYFUNCTION("""COMPUTED_VALUE"""),2.0)</f>
        <v>2</v>
      </c>
      <c r="V390" s="199">
        <f>IFERROR(__xludf.DUMMYFUNCTION("""COMPUTED_VALUE"""),0.0)</f>
        <v>0</v>
      </c>
      <c r="W390" s="199">
        <f>IFERROR(__xludf.DUMMYFUNCTION("""COMPUTED_VALUE"""),0.0)</f>
        <v>0</v>
      </c>
      <c r="X390" s="199">
        <f>IFERROR(__xludf.DUMMYFUNCTION("""COMPUTED_VALUE"""),0.0)</f>
        <v>0</v>
      </c>
      <c r="Y390" s="199">
        <f>IFERROR(__xludf.DUMMYFUNCTION("""COMPUTED_VALUE"""),0.0)</f>
        <v>0</v>
      </c>
      <c r="Z390" s="199">
        <f>IFERROR(__xludf.DUMMYFUNCTION("""COMPUTED_VALUE"""),2.0)</f>
        <v>2</v>
      </c>
      <c r="AA390" s="199">
        <f>IFERROR(__xludf.DUMMYFUNCTION("""COMPUTED_VALUE"""),0.0)</f>
        <v>0</v>
      </c>
      <c r="AB390" s="199">
        <f>IFERROR(__xludf.DUMMYFUNCTION("""COMPUTED_VALUE"""),13.0)</f>
        <v>13</v>
      </c>
      <c r="AC390" s="199">
        <f>IFERROR(__xludf.DUMMYFUNCTION("""COMPUTED_VALUE"""),23.0)</f>
        <v>23</v>
      </c>
      <c r="AD390" s="199">
        <f>IFERROR(__xludf.DUMMYFUNCTION("""COMPUTED_VALUE"""),0.0)</f>
        <v>0</v>
      </c>
      <c r="AE390" s="199">
        <f>IFERROR(__xludf.DUMMYFUNCTION("""COMPUTED_VALUE"""),34.0)</f>
        <v>34</v>
      </c>
      <c r="AF390" s="199">
        <f>IFERROR(__xludf.DUMMYFUNCTION("""COMPUTED_VALUE"""),0.0)</f>
        <v>0</v>
      </c>
      <c r="AG390" s="199">
        <f>IFERROR(__xludf.DUMMYFUNCTION("""COMPUTED_VALUE"""),868.0)</f>
        <v>868</v>
      </c>
      <c r="AH390" s="199">
        <f>IFERROR(__xludf.DUMMYFUNCTION("""COMPUTED_VALUE"""),0.0)</f>
        <v>0</v>
      </c>
      <c r="AI390" s="200" t="str">
        <f>IFERROR(__xludf.DUMMYFUNCTION("""COMPUTED_VALUE"""),"Normal - No Action Required")</f>
        <v>Normal - No Action Required</v>
      </c>
      <c r="AJ390" s="200" t="str">
        <f>IFERROR(__xludf.DUMMYFUNCTION("""COMPUTED_VALUE"""),"Continue routine monitoring and sampling schedule")</f>
        <v>Continue routine monitoring and sampling schedule</v>
      </c>
      <c r="AK390" s="204"/>
      <c r="AL390" s="204"/>
      <c r="AM390" s="204"/>
    </row>
    <row r="391" hidden="1">
      <c r="A391" s="199" t="str">
        <f>IFERROR(__xludf.DUMMYFUNCTION("""COMPUTED_VALUE"""),"533.LQ145")</f>
        <v>533.LQ145</v>
      </c>
      <c r="B391" s="200" t="str">
        <f>IFERROR(__xludf.DUMMYFUNCTION("""COMPUTED_VALUE"""),"Cement Mill #3 Gear box")</f>
        <v>Cement Mill #3 Gear box</v>
      </c>
      <c r="C391" s="199">
        <f>IFERROR(__xludf.DUMMYFUNCTION("""COMPUTED_VALUE"""),2.5259249497E10)</f>
        <v>25259249497</v>
      </c>
      <c r="D391" s="201">
        <f>IFERROR(__xludf.DUMMYFUNCTION("""COMPUTED_VALUE"""),45908.0)</f>
        <v>45908</v>
      </c>
      <c r="E391" s="202" t="str">
        <f>IFERROR(__xludf.DUMMYFUNCTION("""COMPUTED_VALUE"""),"Alert")</f>
        <v>Alert</v>
      </c>
      <c r="F391" s="202" t="str">
        <f>IFERROR(__xludf.DUMMYFUNCTION("""COMPUTED_VALUE"""),"Alert")</f>
        <v>Alert</v>
      </c>
      <c r="G391" s="203" t="str">
        <f>IFERROR(__xludf.DUMMYFUNCTION("""COMPUTED_VALUE"""),"Alert")</f>
        <v>Alert</v>
      </c>
      <c r="H391" s="203" t="str">
        <f>IFERROR(__xludf.DUMMYFUNCTION("""COMPUTED_VALUE"""),"Normal")</f>
        <v>Normal</v>
      </c>
      <c r="I391" s="37"/>
      <c r="J391" s="37"/>
      <c r="K391" s="37"/>
      <c r="L391" s="199">
        <f>IFERROR(__xludf.DUMMYFUNCTION("""COMPUTED_VALUE"""),100.0)</f>
        <v>100</v>
      </c>
      <c r="M391" s="199">
        <f>IFERROR(__xludf.DUMMYFUNCTION("""COMPUTED_VALUE"""),426.7)</f>
        <v>426.7</v>
      </c>
      <c r="N391" s="199"/>
      <c r="O391" s="199">
        <f>IFERROR(__xludf.DUMMYFUNCTION("""COMPUTED_VALUE"""),1.0)</f>
        <v>1</v>
      </c>
      <c r="P391" s="199">
        <f>IFERROR(__xludf.DUMMYFUNCTION("""COMPUTED_VALUE"""),0.2)</f>
        <v>0.2</v>
      </c>
      <c r="Q391" s="199">
        <f>IFERROR(__xludf.DUMMYFUNCTION("""COMPUTED_VALUE"""),0.0)</f>
        <v>0</v>
      </c>
      <c r="R391" s="199">
        <f>IFERROR(__xludf.DUMMYFUNCTION("""COMPUTED_VALUE"""),61.0)</f>
        <v>61</v>
      </c>
      <c r="S391" s="199">
        <f>IFERROR(__xludf.DUMMYFUNCTION("""COMPUTED_VALUE"""),1.0)</f>
        <v>1</v>
      </c>
      <c r="T391" s="199">
        <f>IFERROR(__xludf.DUMMYFUNCTION("""COMPUTED_VALUE"""),23.0)</f>
        <v>23</v>
      </c>
      <c r="U391" s="199">
        <f>IFERROR(__xludf.DUMMYFUNCTION("""COMPUTED_VALUE"""),154.0)</f>
        <v>154</v>
      </c>
      <c r="V391" s="199">
        <f>IFERROR(__xludf.DUMMYFUNCTION("""COMPUTED_VALUE"""),0.0)</f>
        <v>0</v>
      </c>
      <c r="W391" s="199">
        <f>IFERROR(__xludf.DUMMYFUNCTION("""COMPUTED_VALUE"""),0.0)</f>
        <v>0</v>
      </c>
      <c r="X391" s="199">
        <f>IFERROR(__xludf.DUMMYFUNCTION("""COMPUTED_VALUE"""),0.0)</f>
        <v>0</v>
      </c>
      <c r="Y391" s="199">
        <f>IFERROR(__xludf.DUMMYFUNCTION("""COMPUTED_VALUE"""),0.0)</f>
        <v>0</v>
      </c>
      <c r="Z391" s="199">
        <f>IFERROR(__xludf.DUMMYFUNCTION("""COMPUTED_VALUE"""),2.0)</f>
        <v>2</v>
      </c>
      <c r="AA391" s="199">
        <f>IFERROR(__xludf.DUMMYFUNCTION("""COMPUTED_VALUE"""),0.0)</f>
        <v>0</v>
      </c>
      <c r="AB391" s="199">
        <f>IFERROR(__xludf.DUMMYFUNCTION("""COMPUTED_VALUE"""),58.0)</f>
        <v>58</v>
      </c>
      <c r="AC391" s="199">
        <f>IFERROR(__xludf.DUMMYFUNCTION("""COMPUTED_VALUE"""),35.0)</f>
        <v>35</v>
      </c>
      <c r="AD391" s="199">
        <f>IFERROR(__xludf.DUMMYFUNCTION("""COMPUTED_VALUE"""),0.0)</f>
        <v>0</v>
      </c>
      <c r="AE391" s="199">
        <f>IFERROR(__xludf.DUMMYFUNCTION("""COMPUTED_VALUE"""),442.0)</f>
        <v>442</v>
      </c>
      <c r="AF391" s="199">
        <f>IFERROR(__xludf.DUMMYFUNCTION("""COMPUTED_VALUE"""),14.0)</f>
        <v>14</v>
      </c>
      <c r="AG391" s="199">
        <f>IFERROR(__xludf.DUMMYFUNCTION("""COMPUTED_VALUE"""),292.0)</f>
        <v>292</v>
      </c>
      <c r="AH391" s="199">
        <f>IFERROR(__xludf.DUMMYFUNCTION("""COMPUTED_VALUE"""),2.0)</f>
        <v>2</v>
      </c>
      <c r="AI391" s="200" t="str">
        <f>IFERROR(__xludf.DUMMYFUNCTION("""COMPUTED_VALUE"""),"Wear Metal Alert | Contamination Alert | Water Ingress")</f>
        <v>Wear Metal Alert | Contamination Alert | Water Ingress</v>
      </c>
      <c r="AJ391" s="200" t="str">
        <f>IFERROR(__xludf.DUMMYFUNCTION("""COMPUTED_VALUE"""),"URGENT: Inspect equipment immediately for wear/damage; High wear metals - inspect bearing/gear surfaces; Water detected - inspect seals and breathers; Elevated silicon - inspect filters and seals for contamination; High particle count - replace filters an"&amp;"d resample")</f>
        <v>URGENT: Inspect equipment immediately for wear/damage; High wear metals - inspect bearing/gear surfaces; Water detected - inspect seals and breathers; Elevated silicon - inspect filters and seals for contamination; High particle count - replace filters and resample</v>
      </c>
      <c r="AK391" s="204"/>
      <c r="AL391" s="204"/>
      <c r="AM391" s="204"/>
    </row>
    <row r="392" hidden="1">
      <c r="A392" s="199" t="str">
        <f>IFERROR(__xludf.DUMMYFUNCTION("""COMPUTED_VALUE"""),"533.LQ145")</f>
        <v>533.LQ145</v>
      </c>
      <c r="B392" s="200" t="str">
        <f>IFERROR(__xludf.DUMMYFUNCTION("""COMPUTED_VALUE"""),"Cement Mill #3 Gear box")</f>
        <v>Cement Mill #3 Gear box</v>
      </c>
      <c r="C392" s="199">
        <f>IFERROR(__xludf.DUMMYFUNCTION("""COMPUTED_VALUE"""),2.5258159249E10)</f>
        <v>25258159249</v>
      </c>
      <c r="D392" s="201">
        <f>IFERROR(__xludf.DUMMYFUNCTION("""COMPUTED_VALUE"""),45908.0)</f>
        <v>45908</v>
      </c>
      <c r="E392" s="202" t="str">
        <f>IFERROR(__xludf.DUMMYFUNCTION("""COMPUTED_VALUE"""),"Alert")</f>
        <v>Alert</v>
      </c>
      <c r="F392" s="202" t="str">
        <f>IFERROR(__xludf.DUMMYFUNCTION("""COMPUTED_VALUE"""),"Alert")</f>
        <v>Alert</v>
      </c>
      <c r="G392" s="203" t="str">
        <f>IFERROR(__xludf.DUMMYFUNCTION("""COMPUTED_VALUE"""),"Alert")</f>
        <v>Alert</v>
      </c>
      <c r="H392" s="203" t="str">
        <f>IFERROR(__xludf.DUMMYFUNCTION("""COMPUTED_VALUE"""),"Normal")</f>
        <v>Normal</v>
      </c>
      <c r="I392" s="199"/>
      <c r="J392" s="199"/>
      <c r="K392" s="199"/>
      <c r="L392" s="199">
        <f>IFERROR(__xludf.DUMMYFUNCTION("""COMPUTED_VALUE"""),100.0)</f>
        <v>100</v>
      </c>
      <c r="M392" s="199">
        <f>IFERROR(__xludf.DUMMYFUNCTION("""COMPUTED_VALUE"""),426.7)</f>
        <v>426.7</v>
      </c>
      <c r="N392" s="199"/>
      <c r="O392" s="199">
        <f>IFERROR(__xludf.DUMMYFUNCTION("""COMPUTED_VALUE"""),1.0)</f>
        <v>1</v>
      </c>
      <c r="P392" s="199">
        <f>IFERROR(__xludf.DUMMYFUNCTION("""COMPUTED_VALUE"""),0.2)</f>
        <v>0.2</v>
      </c>
      <c r="Q392" s="199">
        <f>IFERROR(__xludf.DUMMYFUNCTION("""COMPUTED_VALUE"""),0.0)</f>
        <v>0</v>
      </c>
      <c r="R392" s="199">
        <f>IFERROR(__xludf.DUMMYFUNCTION("""COMPUTED_VALUE"""),61.0)</f>
        <v>61</v>
      </c>
      <c r="S392" s="199">
        <f>IFERROR(__xludf.DUMMYFUNCTION("""COMPUTED_VALUE"""),1.0)</f>
        <v>1</v>
      </c>
      <c r="T392" s="199">
        <f>IFERROR(__xludf.DUMMYFUNCTION("""COMPUTED_VALUE"""),23.0)</f>
        <v>23</v>
      </c>
      <c r="U392" s="199">
        <f>IFERROR(__xludf.DUMMYFUNCTION("""COMPUTED_VALUE"""),154.0)</f>
        <v>154</v>
      </c>
      <c r="V392" s="199">
        <f>IFERROR(__xludf.DUMMYFUNCTION("""COMPUTED_VALUE"""),0.0)</f>
        <v>0</v>
      </c>
      <c r="W392" s="199">
        <f>IFERROR(__xludf.DUMMYFUNCTION("""COMPUTED_VALUE"""),0.0)</f>
        <v>0</v>
      </c>
      <c r="X392" s="199">
        <f>IFERROR(__xludf.DUMMYFUNCTION("""COMPUTED_VALUE"""),0.0)</f>
        <v>0</v>
      </c>
      <c r="Y392" s="199">
        <f>IFERROR(__xludf.DUMMYFUNCTION("""COMPUTED_VALUE"""),0.0)</f>
        <v>0</v>
      </c>
      <c r="Z392" s="199">
        <f>IFERROR(__xludf.DUMMYFUNCTION("""COMPUTED_VALUE"""),2.0)</f>
        <v>2</v>
      </c>
      <c r="AA392" s="199">
        <f>IFERROR(__xludf.DUMMYFUNCTION("""COMPUTED_VALUE"""),0.0)</f>
        <v>0</v>
      </c>
      <c r="AB392" s="199">
        <f>IFERROR(__xludf.DUMMYFUNCTION("""COMPUTED_VALUE"""),58.0)</f>
        <v>58</v>
      </c>
      <c r="AC392" s="199">
        <f>IFERROR(__xludf.DUMMYFUNCTION("""COMPUTED_VALUE"""),35.0)</f>
        <v>35</v>
      </c>
      <c r="AD392" s="199">
        <f>IFERROR(__xludf.DUMMYFUNCTION("""COMPUTED_VALUE"""),0.0)</f>
        <v>0</v>
      </c>
      <c r="AE392" s="199">
        <f>IFERROR(__xludf.DUMMYFUNCTION("""COMPUTED_VALUE"""),442.0)</f>
        <v>442</v>
      </c>
      <c r="AF392" s="199">
        <f>IFERROR(__xludf.DUMMYFUNCTION("""COMPUTED_VALUE"""),14.0)</f>
        <v>14</v>
      </c>
      <c r="AG392" s="199">
        <f>IFERROR(__xludf.DUMMYFUNCTION("""COMPUTED_VALUE"""),292.0)</f>
        <v>292</v>
      </c>
      <c r="AH392" s="199">
        <f>IFERROR(__xludf.DUMMYFUNCTION("""COMPUTED_VALUE"""),2.0)</f>
        <v>2</v>
      </c>
      <c r="AI392" s="200" t="str">
        <f>IFERROR(__xludf.DUMMYFUNCTION("""COMPUTED_VALUE"""),"Wear Metal Alert | Contamination Alert | Water Ingress")</f>
        <v>Wear Metal Alert | Contamination Alert | Water Ingress</v>
      </c>
      <c r="AJ392" s="200" t="str">
        <f>IFERROR(__xludf.DUMMYFUNCTION("""COMPUTED_VALUE"""),"URGENT: Inspect equipment immediately for wear/damage; High wear metals - inspect bearing/gear surfaces; Water detected - inspect seals and breathers; Elevated silicon - inspect filters and seals for contamination; High particle count - replace filters an"&amp;"d resample")</f>
        <v>URGENT: Inspect equipment immediately for wear/damage; High wear metals - inspect bearing/gear surfaces; Water detected - inspect seals and breathers; Elevated silicon - inspect filters and seals for contamination; High particle count - replace filters and resample</v>
      </c>
      <c r="AK392" s="204"/>
      <c r="AL392" s="204"/>
      <c r="AM392" s="204"/>
    </row>
    <row r="393" hidden="1">
      <c r="A393" s="199" t="str">
        <f>IFERROR(__xludf.DUMMYFUNCTION("""COMPUTED_VALUE"""),"544.BE180")</f>
        <v>544.BE180</v>
      </c>
      <c r="B393" s="200" t="str">
        <f>IFERROR(__xludf.DUMMYFUNCTION("""COMPUTED_VALUE"""),"Bucket Elevator Cem. Silo#4 GB.")</f>
        <v>Bucket Elevator Cem. Silo#4 GB.</v>
      </c>
      <c r="C393" s="199">
        <f>IFERROR(__xludf.DUMMYFUNCTION("""COMPUTED_VALUE"""),2.5259169209E10)</f>
        <v>25259169209</v>
      </c>
      <c r="D393" s="201">
        <f>IFERROR(__xludf.DUMMYFUNCTION("""COMPUTED_VALUE"""),45908.0)</f>
        <v>45908</v>
      </c>
      <c r="E393" s="202" t="str">
        <f>IFERROR(__xludf.DUMMYFUNCTION("""COMPUTED_VALUE"""),"Normal")</f>
        <v>Normal</v>
      </c>
      <c r="F393" s="202" t="str">
        <f>IFERROR(__xludf.DUMMYFUNCTION("""COMPUTED_VALUE"""),"Normal")</f>
        <v>Normal</v>
      </c>
      <c r="G393" s="203" t="str">
        <f>IFERROR(__xludf.DUMMYFUNCTION("""COMPUTED_VALUE"""),"Normal")</f>
        <v>Normal</v>
      </c>
      <c r="H393" s="203" t="str">
        <f>IFERROR(__xludf.DUMMYFUNCTION("""COMPUTED_VALUE"""),"Normal")</f>
        <v>Normal</v>
      </c>
      <c r="I393" s="37">
        <f>IFERROR(__xludf.DUMMYFUNCTION("""COMPUTED_VALUE"""),12821.0)</f>
        <v>12821</v>
      </c>
      <c r="J393" s="37">
        <f>IFERROR(__xludf.DUMMYFUNCTION("""COMPUTED_VALUE"""),5114.0)</f>
        <v>5114</v>
      </c>
      <c r="K393" s="37">
        <f>IFERROR(__xludf.DUMMYFUNCTION("""COMPUTED_VALUE"""),1152.0)</f>
        <v>1152</v>
      </c>
      <c r="L393" s="199">
        <f>IFERROR(__xludf.DUMMYFUNCTION("""COMPUTED_VALUE"""),8.0)</f>
        <v>8</v>
      </c>
      <c r="M393" s="199">
        <f>IFERROR(__xludf.DUMMYFUNCTION("""COMPUTED_VALUE"""),288.7)</f>
        <v>288.7</v>
      </c>
      <c r="N393" s="199"/>
      <c r="O393" s="199"/>
      <c r="P393" s="199">
        <f>IFERROR(__xludf.DUMMYFUNCTION("""COMPUTED_VALUE"""),0.04)</f>
        <v>0.04</v>
      </c>
      <c r="Q393" s="199">
        <f>IFERROR(__xludf.DUMMYFUNCTION("""COMPUTED_VALUE"""),0.0)</f>
        <v>0</v>
      </c>
      <c r="R393" s="199">
        <f>IFERROR(__xludf.DUMMYFUNCTION("""COMPUTED_VALUE"""),3.0)</f>
        <v>3</v>
      </c>
      <c r="S393" s="199">
        <f>IFERROR(__xludf.DUMMYFUNCTION("""COMPUTED_VALUE"""),1.0)</f>
        <v>1</v>
      </c>
      <c r="T393" s="199">
        <f>IFERROR(__xludf.DUMMYFUNCTION("""COMPUTED_VALUE"""),3.0)</f>
        <v>3</v>
      </c>
      <c r="U393" s="199">
        <f>IFERROR(__xludf.DUMMYFUNCTION("""COMPUTED_VALUE"""),9.0)</f>
        <v>9</v>
      </c>
      <c r="V393" s="199">
        <f>IFERROR(__xludf.DUMMYFUNCTION("""COMPUTED_VALUE"""),0.0)</f>
        <v>0</v>
      </c>
      <c r="W393" s="199">
        <f>IFERROR(__xludf.DUMMYFUNCTION("""COMPUTED_VALUE"""),0.0)</f>
        <v>0</v>
      </c>
      <c r="X393" s="199">
        <f>IFERROR(__xludf.DUMMYFUNCTION("""COMPUTED_VALUE"""),0.0)</f>
        <v>0</v>
      </c>
      <c r="Y393" s="199">
        <f>IFERROR(__xludf.DUMMYFUNCTION("""COMPUTED_VALUE"""),0.0)</f>
        <v>0</v>
      </c>
      <c r="Z393" s="199">
        <f>IFERROR(__xludf.DUMMYFUNCTION("""COMPUTED_VALUE"""),0.0)</f>
        <v>0</v>
      </c>
      <c r="AA393" s="199">
        <f>IFERROR(__xludf.DUMMYFUNCTION("""COMPUTED_VALUE"""),0.0)</f>
        <v>0</v>
      </c>
      <c r="AB393" s="199">
        <f>IFERROR(__xludf.DUMMYFUNCTION("""COMPUTED_VALUE"""),5.0)</f>
        <v>5</v>
      </c>
      <c r="AC393" s="199">
        <f>IFERROR(__xludf.DUMMYFUNCTION("""COMPUTED_VALUE"""),12.0)</f>
        <v>12</v>
      </c>
      <c r="AD393" s="199">
        <f>IFERROR(__xludf.DUMMYFUNCTION("""COMPUTED_VALUE"""),0.0)</f>
        <v>0</v>
      </c>
      <c r="AE393" s="199">
        <f>IFERROR(__xludf.DUMMYFUNCTION("""COMPUTED_VALUE"""),68.0)</f>
        <v>68</v>
      </c>
      <c r="AF393" s="199">
        <f>IFERROR(__xludf.DUMMYFUNCTION("""COMPUTED_VALUE"""),2.0)</f>
        <v>2</v>
      </c>
      <c r="AG393" s="199">
        <f>IFERROR(__xludf.DUMMYFUNCTION("""COMPUTED_VALUE"""),333.0)</f>
        <v>333</v>
      </c>
      <c r="AH393" s="199">
        <f>IFERROR(__xludf.DUMMYFUNCTION("""COMPUTED_VALUE"""),2.0)</f>
        <v>2</v>
      </c>
      <c r="AI393" s="200" t="str">
        <f>IFERROR(__xludf.DUMMYFUNCTION("""COMPUTED_VALUE"""),"Normal - No Action Required")</f>
        <v>Normal - No Action Required</v>
      </c>
      <c r="AJ393" s="200" t="str">
        <f>IFERROR(__xludf.DUMMYFUNCTION("""COMPUTED_VALUE"""),"Continue routine monitoring and sampling schedule")</f>
        <v>Continue routine monitoring and sampling schedule</v>
      </c>
      <c r="AK393" s="204"/>
      <c r="AL393" s="204"/>
      <c r="AM393" s="204"/>
    </row>
    <row r="394" hidden="1">
      <c r="A394" s="199" t="str">
        <f>IFERROR(__xludf.DUMMYFUNCTION("""COMPUTED_VALUE"""),"131.ST200.M11")</f>
        <v>131.ST200.M11</v>
      </c>
      <c r="B394" s="200" t="str">
        <f>IFERROR(__xludf.DUMMYFUNCTION("""COMPUTED_VALUE"""),"Stacker Belt gearbox")</f>
        <v>Stacker Belt gearbox</v>
      </c>
      <c r="C394" s="199">
        <f>IFERROR(__xludf.DUMMYFUNCTION("""COMPUTED_VALUE"""),2.5259169217E10)</f>
        <v>25259169217</v>
      </c>
      <c r="D394" s="201">
        <f>IFERROR(__xludf.DUMMYFUNCTION("""COMPUTED_VALUE"""),45908.0)</f>
        <v>45908</v>
      </c>
      <c r="E394" s="202" t="str">
        <f>IFERROR(__xludf.DUMMYFUNCTION("""COMPUTED_VALUE"""),"Caution")</f>
        <v>Caution</v>
      </c>
      <c r="F394" s="202" t="str">
        <f>IFERROR(__xludf.DUMMYFUNCTION("""COMPUTED_VALUE"""),"Caution")</f>
        <v>Caution</v>
      </c>
      <c r="G394" s="203" t="str">
        <f>IFERROR(__xludf.DUMMYFUNCTION("""COMPUTED_VALUE"""),"Normal")</f>
        <v>Normal</v>
      </c>
      <c r="H394" s="203" t="str">
        <f>IFERROR(__xludf.DUMMYFUNCTION("""COMPUTED_VALUE"""),"Normal")</f>
        <v>Normal</v>
      </c>
      <c r="I394" s="37"/>
      <c r="J394" s="37"/>
      <c r="K394" s="37"/>
      <c r="L394" s="199">
        <f>IFERROR(__xludf.DUMMYFUNCTION("""COMPUTED_VALUE"""),28.0)</f>
        <v>28</v>
      </c>
      <c r="M394" s="199">
        <f>IFERROR(__xludf.DUMMYFUNCTION("""COMPUTED_VALUE"""),278.3)</f>
        <v>278.3</v>
      </c>
      <c r="N394" s="199"/>
      <c r="O394" s="199">
        <f>IFERROR(__xludf.DUMMYFUNCTION("""COMPUTED_VALUE"""),2.0)</f>
        <v>2</v>
      </c>
      <c r="P394" s="199">
        <f>IFERROR(__xludf.DUMMYFUNCTION("""COMPUTED_VALUE"""),0.05)</f>
        <v>0.05</v>
      </c>
      <c r="Q394" s="199">
        <f>IFERROR(__xludf.DUMMYFUNCTION("""COMPUTED_VALUE"""),0.0)</f>
        <v>0</v>
      </c>
      <c r="R394" s="199">
        <f>IFERROR(__xludf.DUMMYFUNCTION("""COMPUTED_VALUE"""),7.0)</f>
        <v>7</v>
      </c>
      <c r="S394" s="199">
        <f>IFERROR(__xludf.DUMMYFUNCTION("""COMPUTED_VALUE"""),1.0)</f>
        <v>1</v>
      </c>
      <c r="T394" s="199">
        <f>IFERROR(__xludf.DUMMYFUNCTION("""COMPUTED_VALUE"""),4.0)</f>
        <v>4</v>
      </c>
      <c r="U394" s="199">
        <f>IFERROR(__xludf.DUMMYFUNCTION("""COMPUTED_VALUE"""),33.0)</f>
        <v>33</v>
      </c>
      <c r="V394" s="199">
        <f>IFERROR(__xludf.DUMMYFUNCTION("""COMPUTED_VALUE"""),0.0)</f>
        <v>0</v>
      </c>
      <c r="W394" s="199">
        <f>IFERROR(__xludf.DUMMYFUNCTION("""COMPUTED_VALUE"""),0.0)</f>
        <v>0</v>
      </c>
      <c r="X394" s="199">
        <f>IFERROR(__xludf.DUMMYFUNCTION("""COMPUTED_VALUE"""),1.0)</f>
        <v>1</v>
      </c>
      <c r="Y394" s="199">
        <f>IFERROR(__xludf.DUMMYFUNCTION("""COMPUTED_VALUE"""),0.0)</f>
        <v>0</v>
      </c>
      <c r="Z394" s="199">
        <f>IFERROR(__xludf.DUMMYFUNCTION("""COMPUTED_VALUE"""),2.0)</f>
        <v>2</v>
      </c>
      <c r="AA394" s="199">
        <f>IFERROR(__xludf.DUMMYFUNCTION("""COMPUTED_VALUE"""),0.0)</f>
        <v>0</v>
      </c>
      <c r="AB394" s="199">
        <f>IFERROR(__xludf.DUMMYFUNCTION("""COMPUTED_VALUE"""),20.0)</f>
        <v>20</v>
      </c>
      <c r="AC394" s="199">
        <f>IFERROR(__xludf.DUMMYFUNCTION("""COMPUTED_VALUE"""),22.0)</f>
        <v>22</v>
      </c>
      <c r="AD394" s="199">
        <f>IFERROR(__xludf.DUMMYFUNCTION("""COMPUTED_VALUE"""),0.0)</f>
        <v>0</v>
      </c>
      <c r="AE394" s="199">
        <f>IFERROR(__xludf.DUMMYFUNCTION("""COMPUTED_VALUE"""),88.0)</f>
        <v>88</v>
      </c>
      <c r="AF394" s="199">
        <f>IFERROR(__xludf.DUMMYFUNCTION("""COMPUTED_VALUE"""),5.0)</f>
        <v>5</v>
      </c>
      <c r="AG394" s="199">
        <f>IFERROR(__xludf.DUMMYFUNCTION("""COMPUTED_VALUE"""),278.0)</f>
        <v>278</v>
      </c>
      <c r="AH394" s="199">
        <f>IFERROR(__xludf.DUMMYFUNCTION("""COMPUTED_VALUE"""),5.0)</f>
        <v>5</v>
      </c>
      <c r="AI394" s="200" t="str">
        <f>IFERROR(__xludf.DUMMYFUNCTION("""COMPUTED_VALUE"""),"General Caution")</f>
        <v>General Caution</v>
      </c>
      <c r="AJ394" s="200" t="str">
        <f>IFERROR(__xludf.DUMMYFUNCTION("""COMPUTED_VALUE"""),"Oxidation increasing - monitor and plan oil change")</f>
        <v>Oxidation increasing - monitor and plan oil change</v>
      </c>
      <c r="AK394" s="204"/>
      <c r="AL394" s="204"/>
      <c r="AM394" s="204"/>
    </row>
    <row r="395" hidden="1">
      <c r="A395" s="199" t="str">
        <f>IFERROR(__xludf.DUMMYFUNCTION("""COMPUTED_VALUE"""),"543.BE180")</f>
        <v>543.BE180</v>
      </c>
      <c r="B395" s="200" t="str">
        <f>IFERROR(__xludf.DUMMYFUNCTION("""COMPUTED_VALUE"""),"Bucket Elevator Cem. Silo#3 GB.")</f>
        <v>Bucket Elevator Cem. Silo#3 GB.</v>
      </c>
      <c r="C395" s="199">
        <f>IFERROR(__xludf.DUMMYFUNCTION("""COMPUTED_VALUE"""),2.5258159252E10)</f>
        <v>25258159252</v>
      </c>
      <c r="D395" s="201">
        <f>IFERROR(__xludf.DUMMYFUNCTION("""COMPUTED_VALUE"""),45908.0)</f>
        <v>45908</v>
      </c>
      <c r="E395" s="202" t="str">
        <f>IFERROR(__xludf.DUMMYFUNCTION("""COMPUTED_VALUE"""),"Alert")</f>
        <v>Alert</v>
      </c>
      <c r="F395" s="202" t="str">
        <f>IFERROR(__xludf.DUMMYFUNCTION("""COMPUTED_VALUE"""),"Alert")</f>
        <v>Alert</v>
      </c>
      <c r="G395" s="203" t="str">
        <f>IFERROR(__xludf.DUMMYFUNCTION("""COMPUTED_VALUE"""),"Normal")</f>
        <v>Normal</v>
      </c>
      <c r="H395" s="203" t="str">
        <f>IFERROR(__xludf.DUMMYFUNCTION("""COMPUTED_VALUE"""),"Caution")</f>
        <v>Caution</v>
      </c>
      <c r="I395" s="37"/>
      <c r="J395" s="37"/>
      <c r="K395" s="37"/>
      <c r="L395" s="199">
        <f>IFERROR(__xludf.DUMMYFUNCTION("""COMPUTED_VALUE"""),19.0)</f>
        <v>19</v>
      </c>
      <c r="M395" s="199">
        <f>IFERROR(__xludf.DUMMYFUNCTION("""COMPUTED_VALUE"""),253.6)</f>
        <v>253.6</v>
      </c>
      <c r="N395" s="199"/>
      <c r="O395" s="199"/>
      <c r="P395" s="199">
        <f>IFERROR(__xludf.DUMMYFUNCTION("""COMPUTED_VALUE"""),0.2)</f>
        <v>0.2</v>
      </c>
      <c r="Q395" s="199">
        <f>IFERROR(__xludf.DUMMYFUNCTION("""COMPUTED_VALUE"""),0.0)</f>
        <v>0</v>
      </c>
      <c r="R395" s="199">
        <f>IFERROR(__xludf.DUMMYFUNCTION("""COMPUTED_VALUE"""),14.0)</f>
        <v>14</v>
      </c>
      <c r="S395" s="199">
        <f>IFERROR(__xludf.DUMMYFUNCTION("""COMPUTED_VALUE"""),1.0)</f>
        <v>1</v>
      </c>
      <c r="T395" s="199">
        <f>IFERROR(__xludf.DUMMYFUNCTION("""COMPUTED_VALUE"""),0.0)</f>
        <v>0</v>
      </c>
      <c r="U395" s="199">
        <f>IFERROR(__xludf.DUMMYFUNCTION("""COMPUTED_VALUE"""),19.0)</f>
        <v>19</v>
      </c>
      <c r="V395" s="199">
        <f>IFERROR(__xludf.DUMMYFUNCTION("""COMPUTED_VALUE"""),0.0)</f>
        <v>0</v>
      </c>
      <c r="W395" s="199">
        <f>IFERROR(__xludf.DUMMYFUNCTION("""COMPUTED_VALUE"""),0.0)</f>
        <v>0</v>
      </c>
      <c r="X395" s="199">
        <f>IFERROR(__xludf.DUMMYFUNCTION("""COMPUTED_VALUE"""),0.0)</f>
        <v>0</v>
      </c>
      <c r="Y395" s="199">
        <f>IFERROR(__xludf.DUMMYFUNCTION("""COMPUTED_VALUE"""),0.0)</f>
        <v>0</v>
      </c>
      <c r="Z395" s="199">
        <f>IFERROR(__xludf.DUMMYFUNCTION("""COMPUTED_VALUE"""),2.0)</f>
        <v>2</v>
      </c>
      <c r="AA395" s="199">
        <f>IFERROR(__xludf.DUMMYFUNCTION("""COMPUTED_VALUE"""),0.0)</f>
        <v>0</v>
      </c>
      <c r="AB395" s="199">
        <f>IFERROR(__xludf.DUMMYFUNCTION("""COMPUTED_VALUE"""),6.0)</f>
        <v>6</v>
      </c>
      <c r="AC395" s="199">
        <f>IFERROR(__xludf.DUMMYFUNCTION("""COMPUTED_VALUE"""),23.0)</f>
        <v>23</v>
      </c>
      <c r="AD395" s="199">
        <f>IFERROR(__xludf.DUMMYFUNCTION("""COMPUTED_VALUE"""),0.0)</f>
        <v>0</v>
      </c>
      <c r="AE395" s="199">
        <f>IFERROR(__xludf.DUMMYFUNCTION("""COMPUTED_VALUE"""),33.0)</f>
        <v>33</v>
      </c>
      <c r="AF395" s="199">
        <f>IFERROR(__xludf.DUMMYFUNCTION("""COMPUTED_VALUE"""),3.0)</f>
        <v>3</v>
      </c>
      <c r="AG395" s="199">
        <f>IFERROR(__xludf.DUMMYFUNCTION("""COMPUTED_VALUE"""),319.0)</f>
        <v>319</v>
      </c>
      <c r="AH395" s="199">
        <f>IFERROR(__xludf.DUMMYFUNCTION("""COMPUTED_VALUE"""),11.0)</f>
        <v>11</v>
      </c>
      <c r="AI395" s="200" t="str">
        <f>IFERROR(__xludf.DUMMYFUNCTION("""COMPUTED_VALUE"""),"Water Ingress")</f>
        <v>Water Ingress</v>
      </c>
      <c r="AJ395" s="200" t="str">
        <f>IFERROR(__xludf.DUMMYFUNCTION("""COMPUTED_VALUE"""),"Water detected - inspect seals and breathers")</f>
        <v>Water detected - inspect seals and breathers</v>
      </c>
      <c r="AK395" s="204"/>
      <c r="AL395" s="204"/>
      <c r="AM395" s="204"/>
    </row>
    <row r="396" hidden="1">
      <c r="A396" s="199" t="str">
        <f>IFERROR(__xludf.DUMMYFUNCTION("""COMPUTED_VALUE"""),"431.HT120")</f>
        <v>431.HT120</v>
      </c>
      <c r="B396" s="200" t="str">
        <f>IFERROR(__xludf.DUMMYFUNCTION("""COMPUTED_VALUE"""),"Kiln Hydraulic thrust circuit")</f>
        <v>Kiln Hydraulic thrust circuit</v>
      </c>
      <c r="C396" s="199">
        <f>IFERROR(__xludf.DUMMYFUNCTION("""COMPUTED_VALUE"""),2.5258159217E10)</f>
        <v>25258159217</v>
      </c>
      <c r="D396" s="201">
        <f>IFERROR(__xludf.DUMMYFUNCTION("""COMPUTED_VALUE"""),45908.0)</f>
        <v>45908</v>
      </c>
      <c r="E396" s="202" t="str">
        <f>IFERROR(__xludf.DUMMYFUNCTION("""COMPUTED_VALUE"""),"Normal")</f>
        <v>Normal</v>
      </c>
      <c r="F396" s="202" t="str">
        <f>IFERROR(__xludf.DUMMYFUNCTION("""COMPUTED_VALUE"""),"Normal")</f>
        <v>Normal</v>
      </c>
      <c r="G396" s="203" t="str">
        <f>IFERROR(__xludf.DUMMYFUNCTION("""COMPUTED_VALUE"""),"Normal")</f>
        <v>Normal</v>
      </c>
      <c r="H396" s="203" t="str">
        <f>IFERROR(__xludf.DUMMYFUNCTION("""COMPUTED_VALUE"""),"Normal")</f>
        <v>Normal</v>
      </c>
      <c r="I396" s="37">
        <f>IFERROR(__xludf.DUMMYFUNCTION("""COMPUTED_VALUE"""),9899.0)</f>
        <v>9899</v>
      </c>
      <c r="J396" s="37">
        <f>IFERROR(__xludf.DUMMYFUNCTION("""COMPUTED_VALUE"""),4407.0)</f>
        <v>4407</v>
      </c>
      <c r="K396" s="37">
        <f>IFERROR(__xludf.DUMMYFUNCTION("""COMPUTED_VALUE"""),1084.0)</f>
        <v>1084</v>
      </c>
      <c r="L396" s="199">
        <f>IFERROR(__xludf.DUMMYFUNCTION("""COMPUTED_VALUE"""),6.0)</f>
        <v>6</v>
      </c>
      <c r="M396" s="199">
        <f>IFERROR(__xludf.DUMMYFUNCTION("""COMPUTED_VALUE"""),46.0)</f>
        <v>46</v>
      </c>
      <c r="N396" s="199"/>
      <c r="O396" s="199">
        <f>IFERROR(__xludf.DUMMYFUNCTION("""COMPUTED_VALUE"""),0.0)</f>
        <v>0</v>
      </c>
      <c r="P396" s="199">
        <f>IFERROR(__xludf.DUMMYFUNCTION("""COMPUTED_VALUE"""),0.01)</f>
        <v>0.01</v>
      </c>
      <c r="Q396" s="199">
        <f>IFERROR(__xludf.DUMMYFUNCTION("""COMPUTED_VALUE"""),0.0)</f>
        <v>0</v>
      </c>
      <c r="R396" s="199">
        <f>IFERROR(__xludf.DUMMYFUNCTION("""COMPUTED_VALUE"""),7.0)</f>
        <v>7</v>
      </c>
      <c r="S396" s="199">
        <f>IFERROR(__xludf.DUMMYFUNCTION("""COMPUTED_VALUE"""),1.0)</f>
        <v>1</v>
      </c>
      <c r="T396" s="199">
        <f>IFERROR(__xludf.DUMMYFUNCTION("""COMPUTED_VALUE"""),7.0)</f>
        <v>7</v>
      </c>
      <c r="U396" s="199">
        <f>IFERROR(__xludf.DUMMYFUNCTION("""COMPUTED_VALUE"""),11.0)</f>
        <v>11</v>
      </c>
      <c r="V396" s="199">
        <f>IFERROR(__xludf.DUMMYFUNCTION("""COMPUTED_VALUE"""),0.0)</f>
        <v>0</v>
      </c>
      <c r="W396" s="199">
        <f>IFERROR(__xludf.DUMMYFUNCTION("""COMPUTED_VALUE"""),0.0)</f>
        <v>0</v>
      </c>
      <c r="X396" s="199">
        <f>IFERROR(__xludf.DUMMYFUNCTION("""COMPUTED_VALUE"""),0.0)</f>
        <v>0</v>
      </c>
      <c r="Y396" s="199">
        <f>IFERROR(__xludf.DUMMYFUNCTION("""COMPUTED_VALUE"""),0.0)</f>
        <v>0</v>
      </c>
      <c r="Z396" s="199">
        <f>IFERROR(__xludf.DUMMYFUNCTION("""COMPUTED_VALUE"""),0.0)</f>
        <v>0</v>
      </c>
      <c r="AA396" s="199">
        <f>IFERROR(__xludf.DUMMYFUNCTION("""COMPUTED_VALUE"""),0.0)</f>
        <v>0</v>
      </c>
      <c r="AB396" s="199">
        <f>IFERROR(__xludf.DUMMYFUNCTION("""COMPUTED_VALUE"""),0.0)</f>
        <v>0</v>
      </c>
      <c r="AC396" s="199">
        <f>IFERROR(__xludf.DUMMYFUNCTION("""COMPUTED_VALUE"""),0.0)</f>
        <v>0</v>
      </c>
      <c r="AD396" s="199">
        <f>IFERROR(__xludf.DUMMYFUNCTION("""COMPUTED_VALUE"""),0.0)</f>
        <v>0</v>
      </c>
      <c r="AE396" s="199">
        <f>IFERROR(__xludf.DUMMYFUNCTION("""COMPUTED_VALUE"""),130.0)</f>
        <v>130</v>
      </c>
      <c r="AF396" s="199">
        <f>IFERROR(__xludf.DUMMYFUNCTION("""COMPUTED_VALUE"""),0.0)</f>
        <v>0</v>
      </c>
      <c r="AG396" s="199">
        <f>IFERROR(__xludf.DUMMYFUNCTION("""COMPUTED_VALUE"""),458.0)</f>
        <v>458</v>
      </c>
      <c r="AH396" s="199">
        <f>IFERROR(__xludf.DUMMYFUNCTION("""COMPUTED_VALUE"""),702.0)</f>
        <v>702</v>
      </c>
      <c r="AI396" s="200" t="str">
        <f>IFERROR(__xludf.DUMMYFUNCTION("""COMPUTED_VALUE"""),"Normal - No Action Required")</f>
        <v>Normal - No Action Required</v>
      </c>
      <c r="AJ396" s="200" t="str">
        <f>IFERROR(__xludf.DUMMYFUNCTION("""COMPUTED_VALUE"""),"Continue routine monitoring and sampling schedule")</f>
        <v>Continue routine monitoring and sampling schedule</v>
      </c>
      <c r="AK396" s="204"/>
      <c r="AL396" s="204"/>
      <c r="AM396" s="204"/>
    </row>
    <row r="397" hidden="1">
      <c r="A397" s="199" t="str">
        <f>IFERROR(__xludf.DUMMYFUNCTION("""COMPUTED_VALUE"""),"331.FN110(Fx.B.)")</f>
        <v>331.FN110(Fx.B.)</v>
      </c>
      <c r="B397" s="200" t="str">
        <f>IFERROR(__xludf.DUMMYFUNCTION("""COMPUTED_VALUE"""),"ID fan fixed bearing")</f>
        <v>ID fan fixed bearing</v>
      </c>
      <c r="C397" s="199">
        <f>IFERROR(__xludf.DUMMYFUNCTION("""COMPUTED_VALUE"""),2.5258159214E10)</f>
        <v>25258159214</v>
      </c>
      <c r="D397" s="201">
        <f>IFERROR(__xludf.DUMMYFUNCTION("""COMPUTED_VALUE"""),45909.0)</f>
        <v>45909</v>
      </c>
      <c r="E397" s="202" t="str">
        <f>IFERROR(__xludf.DUMMYFUNCTION("""COMPUTED_VALUE"""),"Caution")</f>
        <v>Caution</v>
      </c>
      <c r="F397" s="202" t="str">
        <f>IFERROR(__xludf.DUMMYFUNCTION("""COMPUTED_VALUE"""),"Caution")</f>
        <v>Caution</v>
      </c>
      <c r="G397" s="203" t="str">
        <f>IFERROR(__xludf.DUMMYFUNCTION("""COMPUTED_VALUE"""),"Normal")</f>
        <v>Normal</v>
      </c>
      <c r="H397" s="203" t="str">
        <f>IFERROR(__xludf.DUMMYFUNCTION("""COMPUTED_VALUE"""),"Normal")</f>
        <v>Normal</v>
      </c>
      <c r="I397" s="37"/>
      <c r="J397" s="37"/>
      <c r="K397" s="37"/>
      <c r="L397" s="199">
        <f>IFERROR(__xludf.DUMMYFUNCTION("""COMPUTED_VALUE"""),21.0)</f>
        <v>21</v>
      </c>
      <c r="M397" s="199">
        <f>IFERROR(__xludf.DUMMYFUNCTION("""COMPUTED_VALUE"""),61.8)</f>
        <v>61.8</v>
      </c>
      <c r="N397" s="199"/>
      <c r="O397" s="199">
        <f>IFERROR(__xludf.DUMMYFUNCTION("""COMPUTED_VALUE"""),0.0)</f>
        <v>0</v>
      </c>
      <c r="P397" s="199">
        <f>IFERROR(__xludf.DUMMYFUNCTION("""COMPUTED_VALUE"""),0.05)</f>
        <v>0.05</v>
      </c>
      <c r="Q397" s="199">
        <f>IFERROR(__xludf.DUMMYFUNCTION("""COMPUTED_VALUE"""),0.0)</f>
        <v>0</v>
      </c>
      <c r="R397" s="199">
        <f>IFERROR(__xludf.DUMMYFUNCTION("""COMPUTED_VALUE"""),12.0)</f>
        <v>12</v>
      </c>
      <c r="S397" s="199">
        <f>IFERROR(__xludf.DUMMYFUNCTION("""COMPUTED_VALUE"""),1.0)</f>
        <v>1</v>
      </c>
      <c r="T397" s="199">
        <f>IFERROR(__xludf.DUMMYFUNCTION("""COMPUTED_VALUE"""),3.0)</f>
        <v>3</v>
      </c>
      <c r="U397" s="199">
        <f>IFERROR(__xludf.DUMMYFUNCTION("""COMPUTED_VALUE"""),23.0)</f>
        <v>23</v>
      </c>
      <c r="V397" s="199">
        <f>IFERROR(__xludf.DUMMYFUNCTION("""COMPUTED_VALUE"""),0.0)</f>
        <v>0</v>
      </c>
      <c r="W397" s="199">
        <f>IFERROR(__xludf.DUMMYFUNCTION("""COMPUTED_VALUE"""),0.0)</f>
        <v>0</v>
      </c>
      <c r="X397" s="199">
        <f>IFERROR(__xludf.DUMMYFUNCTION("""COMPUTED_VALUE"""),1.0)</f>
        <v>1</v>
      </c>
      <c r="Y397" s="199">
        <f>IFERROR(__xludf.DUMMYFUNCTION("""COMPUTED_VALUE"""),0.0)</f>
        <v>0</v>
      </c>
      <c r="Z397" s="199">
        <f>IFERROR(__xludf.DUMMYFUNCTION("""COMPUTED_VALUE"""),0.0)</f>
        <v>0</v>
      </c>
      <c r="AA397" s="199">
        <f>IFERROR(__xludf.DUMMYFUNCTION("""COMPUTED_VALUE"""),0.0)</f>
        <v>0</v>
      </c>
      <c r="AB397" s="199">
        <f>IFERROR(__xludf.DUMMYFUNCTION("""COMPUTED_VALUE"""),0.0)</f>
        <v>0</v>
      </c>
      <c r="AC397" s="199">
        <f>IFERROR(__xludf.DUMMYFUNCTION("""COMPUTED_VALUE"""),0.0)</f>
        <v>0</v>
      </c>
      <c r="AD397" s="199">
        <f>IFERROR(__xludf.DUMMYFUNCTION("""COMPUTED_VALUE"""),0.0)</f>
        <v>0</v>
      </c>
      <c r="AE397" s="199">
        <f>IFERROR(__xludf.DUMMYFUNCTION("""COMPUTED_VALUE"""),70.0)</f>
        <v>70</v>
      </c>
      <c r="AF397" s="199">
        <f>IFERROR(__xludf.DUMMYFUNCTION("""COMPUTED_VALUE"""),0.0)</f>
        <v>0</v>
      </c>
      <c r="AG397" s="199">
        <f>IFERROR(__xludf.DUMMYFUNCTION("""COMPUTED_VALUE"""),258.0)</f>
        <v>258</v>
      </c>
      <c r="AH397" s="199">
        <f>IFERROR(__xludf.DUMMYFUNCTION("""COMPUTED_VALUE"""),86.0)</f>
        <v>86</v>
      </c>
      <c r="AI397" s="200" t="str">
        <f>IFERROR(__xludf.DUMMYFUNCTION("""COMPUTED_VALUE"""),"Elevated Fe &amp; Al / Water – Caution")</f>
        <v>Elevated Fe &amp; Al / Water – Caution</v>
      </c>
      <c r="AJ397" s="200" t="str">
        <f>IFERROR(__xludf.DUMMYFUNCTION("""COMPUTED_VALUE"""),"Fe (23 ppm) and Al (12 ppm) elevated with slight water detected (0.050%). Monitor bearing wear trend. Inspect filtration. Resample within 45 days.")</f>
        <v>Fe (23 ppm) and Al (12 ppm) elevated with slight water detected (0.050%). Monitor bearing wear trend. Inspect filtration. Resample within 45 days.</v>
      </c>
      <c r="AK397" s="204"/>
      <c r="AL397" s="204"/>
      <c r="AM397" s="204"/>
    </row>
    <row r="398" hidden="1">
      <c r="A398" s="199" t="str">
        <f>IFERROR(__xludf.DUMMYFUNCTION("""COMPUTED_VALUE"""),"462.MD152")</f>
        <v>462.MD152</v>
      </c>
      <c r="B398" s="200" t="str">
        <f>IFERROR(__xludf.DUMMYFUNCTION("""COMPUTED_VALUE"""),"Coal Mill 2 Separator Gear box")</f>
        <v>Coal Mill 2 Separator Gear box</v>
      </c>
      <c r="C398" s="199">
        <f>IFERROR(__xludf.DUMMYFUNCTION("""COMPUTED_VALUE"""),2.5258159239E10)</f>
        <v>25258159239</v>
      </c>
      <c r="D398" s="201">
        <f>IFERROR(__xludf.DUMMYFUNCTION("""COMPUTED_VALUE"""),45909.0)</f>
        <v>45909</v>
      </c>
      <c r="E398" s="202" t="str">
        <f>IFERROR(__xludf.DUMMYFUNCTION("""COMPUTED_VALUE"""),"Alert")</f>
        <v>Alert</v>
      </c>
      <c r="F398" s="202" t="str">
        <f>IFERROR(__xludf.DUMMYFUNCTION("""COMPUTED_VALUE"""),"Alert")</f>
        <v>Alert</v>
      </c>
      <c r="G398" s="203" t="str">
        <f>IFERROR(__xludf.DUMMYFUNCTION("""COMPUTED_VALUE"""),"Alert")</f>
        <v>Alert</v>
      </c>
      <c r="H398" s="203" t="str">
        <f>IFERROR(__xludf.DUMMYFUNCTION("""COMPUTED_VALUE"""),"Normal")</f>
        <v>Normal</v>
      </c>
      <c r="I398" s="199"/>
      <c r="J398" s="199"/>
      <c r="K398" s="199"/>
      <c r="L398" s="199">
        <f>IFERROR(__xludf.DUMMYFUNCTION("""COMPUTED_VALUE"""),22.0)</f>
        <v>22</v>
      </c>
      <c r="M398" s="199">
        <f>IFERROR(__xludf.DUMMYFUNCTION("""COMPUTED_VALUE"""),295.2)</f>
        <v>295.2</v>
      </c>
      <c r="N398" s="37"/>
      <c r="O398" s="37"/>
      <c r="P398" s="199">
        <f>IFERROR(__xludf.DUMMYFUNCTION("""COMPUTED_VALUE"""),0.04)</f>
        <v>0.04</v>
      </c>
      <c r="Q398" s="199">
        <f>IFERROR(__xludf.DUMMYFUNCTION("""COMPUTED_VALUE"""),0.0)</f>
        <v>0</v>
      </c>
      <c r="R398" s="199">
        <f>IFERROR(__xludf.DUMMYFUNCTION("""COMPUTED_VALUE"""),21.0)</f>
        <v>21</v>
      </c>
      <c r="S398" s="199">
        <f>IFERROR(__xludf.DUMMYFUNCTION("""COMPUTED_VALUE"""),1.0)</f>
        <v>1</v>
      </c>
      <c r="T398" s="199">
        <f>IFERROR(__xludf.DUMMYFUNCTION("""COMPUTED_VALUE"""),4.0)</f>
        <v>4</v>
      </c>
      <c r="U398" s="199">
        <f>IFERROR(__xludf.DUMMYFUNCTION("""COMPUTED_VALUE"""),108.0)</f>
        <v>108</v>
      </c>
      <c r="V398" s="199">
        <f>IFERROR(__xludf.DUMMYFUNCTION("""COMPUTED_VALUE"""),0.0)</f>
        <v>0</v>
      </c>
      <c r="W398" s="199">
        <f>IFERROR(__xludf.DUMMYFUNCTION("""COMPUTED_VALUE"""),0.0)</f>
        <v>0</v>
      </c>
      <c r="X398" s="199">
        <f>IFERROR(__xludf.DUMMYFUNCTION("""COMPUTED_VALUE"""),3.0)</f>
        <v>3</v>
      </c>
      <c r="Y398" s="199">
        <f>IFERROR(__xludf.DUMMYFUNCTION("""COMPUTED_VALUE"""),0.0)</f>
        <v>0</v>
      </c>
      <c r="Z398" s="199">
        <f>IFERROR(__xludf.DUMMYFUNCTION("""COMPUTED_VALUE"""),5.0)</f>
        <v>5</v>
      </c>
      <c r="AA398" s="199">
        <f>IFERROR(__xludf.DUMMYFUNCTION("""COMPUTED_VALUE"""),0.0)</f>
        <v>0</v>
      </c>
      <c r="AB398" s="199">
        <f>IFERROR(__xludf.DUMMYFUNCTION("""COMPUTED_VALUE"""),70.0)</f>
        <v>70</v>
      </c>
      <c r="AC398" s="199">
        <f>IFERROR(__xludf.DUMMYFUNCTION("""COMPUTED_VALUE"""),49.0)</f>
        <v>49</v>
      </c>
      <c r="AD398" s="199">
        <f>IFERROR(__xludf.DUMMYFUNCTION("""COMPUTED_VALUE"""),2.0)</f>
        <v>2</v>
      </c>
      <c r="AE398" s="199">
        <f>IFERROR(__xludf.DUMMYFUNCTION("""COMPUTED_VALUE"""),59.0)</f>
        <v>59</v>
      </c>
      <c r="AF398" s="199">
        <f>IFERROR(__xludf.DUMMYFUNCTION("""COMPUTED_VALUE"""),3.0)</f>
        <v>3</v>
      </c>
      <c r="AG398" s="199">
        <f>IFERROR(__xludf.DUMMYFUNCTION("""COMPUTED_VALUE"""),281.0)</f>
        <v>281</v>
      </c>
      <c r="AH398" s="199">
        <f>IFERROR(__xludf.DUMMYFUNCTION("""COMPUTED_VALUE"""),44.0)</f>
        <v>44</v>
      </c>
      <c r="AI398" s="200" t="str">
        <f>IFERROR(__xludf.DUMMYFUNCTION("""COMPUTED_VALUE"""),"Critical Fe / Elevated Si / Equipment Alert")</f>
        <v>Critical Fe / Elevated Si / Equipment Alert</v>
      </c>
      <c r="AJ398" s="200" t="str">
        <f>IFERROR(__xludf.DUMMYFUNCTION("""COMPUTED_VALUE"""),"ACTION REQUIRED – Fe 108 ppm (critical – severe metallic wear), Al 21 ppm. TAN 1.40 mg KOH/g. Si 70 ppm (abrasive). Particle count not completed (visible sediment). Equipment experiencing severe wear. Immediate shutdown and inspection required. Change oil"&amp;", replace all filters, inspect gear teeth and bearings.")</f>
        <v>ACTION REQUIRED – Fe 108 ppm (critical – severe metallic wear), Al 21 ppm. TAN 1.40 mg KOH/g. Si 70 ppm (abrasive). Particle count not completed (visible sediment). Equipment experiencing severe wear. Immediate shutdown and inspection required. Change oil, replace all filters, inspect gear teeth and bearings.</v>
      </c>
      <c r="AK398" s="204"/>
      <c r="AL398" s="204"/>
      <c r="AM398" s="204"/>
    </row>
    <row r="399" hidden="1">
      <c r="A399" s="199" t="str">
        <f>IFERROR(__xludf.DUMMYFUNCTION("""COMPUTED_VALUE"""),"111.AF040 (L)")</f>
        <v>111.AF040 (L)</v>
      </c>
      <c r="B399" s="200" t="str">
        <f>IFERROR(__xludf.DUMMYFUNCTION("""COMPUTED_VALUE"""),"Clay apron feeder left geared motor")</f>
        <v>Clay apron feeder left geared motor</v>
      </c>
      <c r="C399" s="199">
        <f>IFERROR(__xludf.DUMMYFUNCTION("""COMPUTED_VALUE"""),2.5258159251E10)</f>
        <v>25258159251</v>
      </c>
      <c r="D399" s="201">
        <f>IFERROR(__xludf.DUMMYFUNCTION("""COMPUTED_VALUE"""),45909.0)</f>
        <v>45909</v>
      </c>
      <c r="E399" s="202" t="str">
        <f>IFERROR(__xludf.DUMMYFUNCTION("""COMPUTED_VALUE"""),"Alert")</f>
        <v>Alert</v>
      </c>
      <c r="F399" s="202" t="str">
        <f>IFERROR(__xludf.DUMMYFUNCTION("""COMPUTED_VALUE"""),"Alert")</f>
        <v>Alert</v>
      </c>
      <c r="G399" s="203" t="str">
        <f>IFERROR(__xludf.DUMMYFUNCTION("""COMPUTED_VALUE"""),"Alert")</f>
        <v>Alert</v>
      </c>
      <c r="H399" s="203" t="str">
        <f>IFERROR(__xludf.DUMMYFUNCTION("""COMPUTED_VALUE"""),"Caution")</f>
        <v>Caution</v>
      </c>
      <c r="I399" s="37"/>
      <c r="J399" s="37"/>
      <c r="K399" s="37"/>
      <c r="L399" s="199">
        <f>IFERROR(__xludf.DUMMYFUNCTION("""COMPUTED_VALUE"""),262.0)</f>
        <v>262</v>
      </c>
      <c r="M399" s="199">
        <f>IFERROR(__xludf.DUMMYFUNCTION("""COMPUTED_VALUE"""),199.2)</f>
        <v>199.2</v>
      </c>
      <c r="N399" s="37">
        <f>IFERROR(__xludf.DUMMYFUNCTION("""COMPUTED_VALUE"""),1.5)</f>
        <v>1.5</v>
      </c>
      <c r="O399" s="37"/>
      <c r="P399" s="199">
        <f>IFERROR(__xludf.DUMMYFUNCTION("""COMPUTED_VALUE"""),0.2)</f>
        <v>0.2</v>
      </c>
      <c r="Q399" s="199">
        <f>IFERROR(__xludf.DUMMYFUNCTION("""COMPUTED_VALUE"""),0.0)</f>
        <v>0</v>
      </c>
      <c r="R399" s="199">
        <f>IFERROR(__xludf.DUMMYFUNCTION("""COMPUTED_VALUE"""),20.0)</f>
        <v>20</v>
      </c>
      <c r="S399" s="199">
        <f>IFERROR(__xludf.DUMMYFUNCTION("""COMPUTED_VALUE"""),6.0)</f>
        <v>6</v>
      </c>
      <c r="T399" s="199">
        <f>IFERROR(__xludf.DUMMYFUNCTION("""COMPUTED_VALUE"""),5.0)</f>
        <v>5</v>
      </c>
      <c r="U399" s="199">
        <f>IFERROR(__xludf.DUMMYFUNCTION("""COMPUTED_VALUE"""),314.0)</f>
        <v>314</v>
      </c>
      <c r="V399" s="199">
        <f>IFERROR(__xludf.DUMMYFUNCTION("""COMPUTED_VALUE"""),0.0)</f>
        <v>0</v>
      </c>
      <c r="W399" s="199">
        <f>IFERROR(__xludf.DUMMYFUNCTION("""COMPUTED_VALUE"""),0.0)</f>
        <v>0</v>
      </c>
      <c r="X399" s="199">
        <f>IFERROR(__xludf.DUMMYFUNCTION("""COMPUTED_VALUE"""),0.0)</f>
        <v>0</v>
      </c>
      <c r="Y399" s="199">
        <f>IFERROR(__xludf.DUMMYFUNCTION("""COMPUTED_VALUE"""),0.0)</f>
        <v>0</v>
      </c>
      <c r="Z399" s="199">
        <f>IFERROR(__xludf.DUMMYFUNCTION("""COMPUTED_VALUE"""),2.0)</f>
        <v>2</v>
      </c>
      <c r="AA399" s="199">
        <f>IFERROR(__xludf.DUMMYFUNCTION("""COMPUTED_VALUE"""),10.0)</f>
        <v>10</v>
      </c>
      <c r="AB399" s="199">
        <f>IFERROR(__xludf.DUMMYFUNCTION("""COMPUTED_VALUE"""),28.0)</f>
        <v>28</v>
      </c>
      <c r="AC399" s="199">
        <f>IFERROR(__xludf.DUMMYFUNCTION("""COMPUTED_VALUE"""),26.0)</f>
        <v>26</v>
      </c>
      <c r="AD399" s="199">
        <f>IFERROR(__xludf.DUMMYFUNCTION("""COMPUTED_VALUE"""),0.0)</f>
        <v>0</v>
      </c>
      <c r="AE399" s="199">
        <f>IFERROR(__xludf.DUMMYFUNCTION("""COMPUTED_VALUE"""),110.0)</f>
        <v>110</v>
      </c>
      <c r="AF399" s="199">
        <f>IFERROR(__xludf.DUMMYFUNCTION("""COMPUTED_VALUE"""),3.0)</f>
        <v>3</v>
      </c>
      <c r="AG399" s="199">
        <f>IFERROR(__xludf.DUMMYFUNCTION("""COMPUTED_VALUE"""),383.0)</f>
        <v>383</v>
      </c>
      <c r="AH399" s="199">
        <f>IFERROR(__xludf.DUMMYFUNCTION("""COMPUTED_VALUE"""),2.0)</f>
        <v>2</v>
      </c>
      <c r="AI399" s="200" t="str">
        <f>IFERROR(__xludf.DUMMYFUNCTION("""COMPUTED_VALUE"""),"Critical Fe / Water / Si / Equipment Alert")</f>
        <v>Critical Fe / Water / Si / Equipment Alert</v>
      </c>
      <c r="AJ399" s="200" t="str">
        <f>IFERROR(__xludf.DUMMYFUNCTION("""COMPUTED_VALUE"""),"ACTION REQUIRED – Fe 314 ppm (extreme – severe wear), Al 20 ppm, Cr 6 ppm, water 0.200 Vol%, Si 28 ppm (abrasive), Na 10 ppm. ISO 22/21/20. TAN 1.50 mg KOH/g. Immediate shutdown and inspection required. Change oil, replace all filters. Inspect all gearbox"&amp;" internals for damage.")</f>
        <v>ACTION REQUIRED – Fe 314 ppm (extreme – severe wear), Al 20 ppm, Cr 6 ppm, water 0.200 Vol%, Si 28 ppm (abrasive), Na 10 ppm. ISO 22/21/20. TAN 1.50 mg KOH/g. Immediate shutdown and inspection required. Change oil, replace all filters. Inspect all gearbox internals for damage.</v>
      </c>
      <c r="AK399" s="204"/>
      <c r="AL399" s="204"/>
      <c r="AM399" s="204"/>
    </row>
    <row r="400" hidden="1">
      <c r="A400" s="199" t="str">
        <f>IFERROR(__xludf.DUMMYFUNCTION("""COMPUTED_VALUE"""),"342.BE050 R")</f>
        <v>342.BE050 R</v>
      </c>
      <c r="B400" s="200" t="str">
        <f>IFERROR(__xludf.DUMMYFUNCTION("""COMPUTED_VALUE"""),"Bucket Elevator GB - R")</f>
        <v>Bucket Elevator GB - R</v>
      </c>
      <c r="C400" s="199">
        <f>IFERROR(__xludf.DUMMYFUNCTION("""COMPUTED_VALUE"""),2.5258159233E10)</f>
        <v>25258159233</v>
      </c>
      <c r="D400" s="201">
        <f>IFERROR(__xludf.DUMMYFUNCTION("""COMPUTED_VALUE"""),45909.0)</f>
        <v>45909</v>
      </c>
      <c r="E400" s="202" t="str">
        <f>IFERROR(__xludf.DUMMYFUNCTION("""COMPUTED_VALUE"""),"Caution")</f>
        <v>Caution</v>
      </c>
      <c r="F400" s="202" t="str">
        <f>IFERROR(__xludf.DUMMYFUNCTION("""COMPUTED_VALUE"""),"Caution")</f>
        <v>Caution</v>
      </c>
      <c r="G400" s="203" t="str">
        <f>IFERROR(__xludf.DUMMYFUNCTION("""COMPUTED_VALUE"""),"Normal")</f>
        <v>Normal</v>
      </c>
      <c r="H400" s="203" t="str">
        <f>IFERROR(__xludf.DUMMYFUNCTION("""COMPUTED_VALUE"""),"Caution")</f>
        <v>Caution</v>
      </c>
      <c r="I400" s="37"/>
      <c r="J400" s="37"/>
      <c r="K400" s="37"/>
      <c r="L400" s="199">
        <f>IFERROR(__xludf.DUMMYFUNCTION("""COMPUTED_VALUE"""),16.0)</f>
        <v>16</v>
      </c>
      <c r="M400" s="199">
        <f>IFERROR(__xludf.DUMMYFUNCTION("""COMPUTED_VALUE"""),282.6)</f>
        <v>282.6</v>
      </c>
      <c r="N400" s="199"/>
      <c r="O400" s="199"/>
      <c r="P400" s="199">
        <f>IFERROR(__xludf.DUMMYFUNCTION("""COMPUTED_VALUE"""),0.05)</f>
        <v>0.05</v>
      </c>
      <c r="Q400" s="199">
        <f>IFERROR(__xludf.DUMMYFUNCTION("""COMPUTED_VALUE"""),0.0)</f>
        <v>0</v>
      </c>
      <c r="R400" s="199">
        <f>IFERROR(__xludf.DUMMYFUNCTION("""COMPUTED_VALUE"""),13.0)</f>
        <v>13</v>
      </c>
      <c r="S400" s="199">
        <f>IFERROR(__xludf.DUMMYFUNCTION("""COMPUTED_VALUE"""),1.0)</f>
        <v>1</v>
      </c>
      <c r="T400" s="199">
        <f>IFERROR(__xludf.DUMMYFUNCTION("""COMPUTED_VALUE"""),2.0)</f>
        <v>2</v>
      </c>
      <c r="U400" s="199">
        <f>IFERROR(__xludf.DUMMYFUNCTION("""COMPUTED_VALUE"""),39.0)</f>
        <v>39</v>
      </c>
      <c r="V400" s="199">
        <f>IFERROR(__xludf.DUMMYFUNCTION("""COMPUTED_VALUE"""),0.0)</f>
        <v>0</v>
      </c>
      <c r="W400" s="199">
        <f>IFERROR(__xludf.DUMMYFUNCTION("""COMPUTED_VALUE"""),0.0)</f>
        <v>0</v>
      </c>
      <c r="X400" s="199">
        <f>IFERROR(__xludf.DUMMYFUNCTION("""COMPUTED_VALUE"""),1.0)</f>
        <v>1</v>
      </c>
      <c r="Y400" s="199">
        <f>IFERROR(__xludf.DUMMYFUNCTION("""COMPUTED_VALUE"""),0.0)</f>
        <v>0</v>
      </c>
      <c r="Z400" s="199">
        <f>IFERROR(__xludf.DUMMYFUNCTION("""COMPUTED_VALUE"""),2.0)</f>
        <v>2</v>
      </c>
      <c r="AA400" s="199">
        <f>IFERROR(__xludf.DUMMYFUNCTION("""COMPUTED_VALUE"""),0.0)</f>
        <v>0</v>
      </c>
      <c r="AB400" s="199">
        <f>IFERROR(__xludf.DUMMYFUNCTION("""COMPUTED_VALUE"""),2.0)</f>
        <v>2</v>
      </c>
      <c r="AC400" s="199">
        <f>IFERROR(__xludf.DUMMYFUNCTION("""COMPUTED_VALUE"""),14.0)</f>
        <v>14</v>
      </c>
      <c r="AD400" s="199">
        <f>IFERROR(__xludf.DUMMYFUNCTION("""COMPUTED_VALUE"""),0.0)</f>
        <v>0</v>
      </c>
      <c r="AE400" s="199">
        <f>IFERROR(__xludf.DUMMYFUNCTION("""COMPUTED_VALUE"""),48.0)</f>
        <v>48</v>
      </c>
      <c r="AF400" s="199">
        <f>IFERROR(__xludf.DUMMYFUNCTION("""COMPUTED_VALUE"""),5.0)</f>
        <v>5</v>
      </c>
      <c r="AG400" s="199">
        <f>IFERROR(__xludf.DUMMYFUNCTION("""COMPUTED_VALUE"""),454.0)</f>
        <v>454</v>
      </c>
      <c r="AH400" s="199">
        <f>IFERROR(__xludf.DUMMYFUNCTION("""COMPUTED_VALUE"""),34.0)</f>
        <v>34</v>
      </c>
      <c r="AI400" s="200" t="str">
        <f>IFERROR(__xludf.DUMMYFUNCTION("""COMPUTED_VALUE"""),"Caution – Elevated Fe / TAN / Viscosity Low")</f>
        <v>Caution – Elevated Fe / TAN / Viscosity Low</v>
      </c>
      <c r="AJ400" s="200" t="str">
        <f>IFERROR(__xludf.DUMMYFUNCTION("""COMPUTED_VALUE"""),"Fe 39 ppm (elevated), Al 13 ppm. TAN 1.70 mg KOH/g. Viscosity 282.6 cSt (below spec). Water 0.050 Vol%. Monitor closely. Inspect filtration. Verify correct oil grade used for top-ups. Resample within 45 days.")</f>
        <v>Fe 39 ppm (elevated), Al 13 ppm. TAN 1.70 mg KOH/g. Viscosity 282.6 cSt (below spec). Water 0.050 Vol%. Monitor closely. Inspect filtration. Verify correct oil grade used for top-ups. Resample within 45 days.</v>
      </c>
      <c r="AK400" s="204"/>
      <c r="AL400" s="204"/>
      <c r="AM400" s="204"/>
    </row>
    <row r="401" hidden="1">
      <c r="A401" s="199" t="str">
        <f>IFERROR(__xludf.DUMMYFUNCTION("""COMPUTED_VALUE"""),"431.HT120(BE)")</f>
        <v>431.HT120(BE)</v>
      </c>
      <c r="B401" s="200" t="str">
        <f>IFERROR(__xludf.DUMMYFUNCTION("""COMPUTED_VALUE"""),"Hydraulic thrust bearing")</f>
        <v>Hydraulic thrust bearing</v>
      </c>
      <c r="C401" s="199">
        <f>IFERROR(__xludf.DUMMYFUNCTION("""COMPUTED_VALUE"""),2.5258159253E10)</f>
        <v>25258159253</v>
      </c>
      <c r="D401" s="201">
        <f>IFERROR(__xludf.DUMMYFUNCTION("""COMPUTED_VALUE"""),45909.0)</f>
        <v>45909</v>
      </c>
      <c r="E401" s="202" t="str">
        <f>IFERROR(__xludf.DUMMYFUNCTION("""COMPUTED_VALUE"""),"Caution")</f>
        <v>Caution</v>
      </c>
      <c r="F401" s="202" t="str">
        <f>IFERROR(__xludf.DUMMYFUNCTION("""COMPUTED_VALUE"""),"Caution")</f>
        <v>Caution</v>
      </c>
      <c r="G401" s="203" t="str">
        <f>IFERROR(__xludf.DUMMYFUNCTION("""COMPUTED_VALUE"""),"Caution")</f>
        <v>Caution</v>
      </c>
      <c r="H401" s="203" t="str">
        <f>IFERROR(__xludf.DUMMYFUNCTION("""COMPUTED_VALUE"""),"Normal")</f>
        <v>Normal</v>
      </c>
      <c r="I401" s="37"/>
      <c r="J401" s="37"/>
      <c r="K401" s="37"/>
      <c r="L401" s="199">
        <f>IFERROR(__xludf.DUMMYFUNCTION("""COMPUTED_VALUE"""),15.0)</f>
        <v>15</v>
      </c>
      <c r="M401" s="199">
        <f>IFERROR(__xludf.DUMMYFUNCTION("""COMPUTED_VALUE"""),75.1)</f>
        <v>75.1</v>
      </c>
      <c r="N401" s="37"/>
      <c r="O401" s="37"/>
      <c r="P401" s="199">
        <f>IFERROR(__xludf.DUMMYFUNCTION("""COMPUTED_VALUE"""),0.05)</f>
        <v>0.05</v>
      </c>
      <c r="Q401" s="199">
        <f>IFERROR(__xludf.DUMMYFUNCTION("""COMPUTED_VALUE"""),0.0)</f>
        <v>0</v>
      </c>
      <c r="R401" s="199">
        <f>IFERROR(__xludf.DUMMYFUNCTION("""COMPUTED_VALUE"""),12.0)</f>
        <v>12</v>
      </c>
      <c r="S401" s="199">
        <f>IFERROR(__xludf.DUMMYFUNCTION("""COMPUTED_VALUE"""),1.0)</f>
        <v>1</v>
      </c>
      <c r="T401" s="199">
        <f>IFERROR(__xludf.DUMMYFUNCTION("""COMPUTED_VALUE"""),3.0)</f>
        <v>3</v>
      </c>
      <c r="U401" s="199">
        <f>IFERROR(__xludf.DUMMYFUNCTION("""COMPUTED_VALUE"""),72.0)</f>
        <v>72</v>
      </c>
      <c r="V401" s="199">
        <f>IFERROR(__xludf.DUMMYFUNCTION("""COMPUTED_VALUE"""),0.0)</f>
        <v>0</v>
      </c>
      <c r="W401" s="199">
        <f>IFERROR(__xludf.DUMMYFUNCTION("""COMPUTED_VALUE"""),0.0)</f>
        <v>0</v>
      </c>
      <c r="X401" s="199">
        <f>IFERROR(__xludf.DUMMYFUNCTION("""COMPUTED_VALUE"""),2.0)</f>
        <v>2</v>
      </c>
      <c r="Y401" s="199">
        <f>IFERROR(__xludf.DUMMYFUNCTION("""COMPUTED_VALUE"""),0.0)</f>
        <v>0</v>
      </c>
      <c r="Z401" s="199">
        <f>IFERROR(__xludf.DUMMYFUNCTION("""COMPUTED_VALUE"""),2.0)</f>
        <v>2</v>
      </c>
      <c r="AA401" s="199">
        <f>IFERROR(__xludf.DUMMYFUNCTION("""COMPUTED_VALUE"""),0.0)</f>
        <v>0</v>
      </c>
      <c r="AB401" s="199">
        <f>IFERROR(__xludf.DUMMYFUNCTION("""COMPUTED_VALUE"""),0.0)</f>
        <v>0</v>
      </c>
      <c r="AC401" s="199">
        <f>IFERROR(__xludf.DUMMYFUNCTION("""COMPUTED_VALUE"""),30.0)</f>
        <v>30</v>
      </c>
      <c r="AD401" s="199">
        <f>IFERROR(__xludf.DUMMYFUNCTION("""COMPUTED_VALUE"""),0.0)</f>
        <v>0</v>
      </c>
      <c r="AE401" s="199">
        <f>IFERROR(__xludf.DUMMYFUNCTION("""COMPUTED_VALUE"""),29.0)</f>
        <v>29</v>
      </c>
      <c r="AF401" s="199">
        <f>IFERROR(__xludf.DUMMYFUNCTION("""COMPUTED_VALUE"""),3.0)</f>
        <v>3</v>
      </c>
      <c r="AG401" s="199">
        <f>IFERROR(__xludf.DUMMYFUNCTION("""COMPUTED_VALUE"""),326.0)</f>
        <v>326</v>
      </c>
      <c r="AH401" s="199">
        <f>IFERROR(__xludf.DUMMYFUNCTION("""COMPUTED_VALUE"""),49.0)</f>
        <v>49</v>
      </c>
      <c r="AI401" s="200" t="str">
        <f>IFERROR(__xludf.DUMMYFUNCTION("""COMPUTED_VALUE"""),"Elevated Fe / Al / Water – Caution")</f>
        <v>Elevated Fe / Al / Water – Caution</v>
      </c>
      <c r="AJ401" s="200" t="str">
        <f>IFERROR(__xludf.DUMMYFUNCTION("""COMPUTED_VALUE"""),"Fe 72 ppm (elevated – increasing trend), Al 12 ppm, water 0.050 Vol%. TAN 1.40 mg KOH/g. Monitor bearing wear closely. Inspect filtration. Resample within 30 days.")</f>
        <v>Fe 72 ppm (elevated – increasing trend), Al 12 ppm, water 0.050 Vol%. TAN 1.40 mg KOH/g. Monitor bearing wear closely. Inspect filtration. Resample within 30 days.</v>
      </c>
      <c r="AK401" s="204"/>
      <c r="AL401" s="204"/>
      <c r="AM401" s="204"/>
    </row>
    <row r="402" hidden="1">
      <c r="A402" s="199" t="str">
        <f>IFERROR(__xludf.DUMMYFUNCTION("""COMPUTED_VALUE"""),"441.FN590")</f>
        <v>441.FN590</v>
      </c>
      <c r="B402" s="200" t="str">
        <f>IFERROR(__xludf.DUMMYFUNCTION("""COMPUTED_VALUE"""),"Clinker Cooler filter Fan")</f>
        <v>Clinker Cooler filter Fan</v>
      </c>
      <c r="C402" s="199">
        <f>IFERROR(__xludf.DUMMYFUNCTION("""COMPUTED_VALUE"""),2.5258159255E10)</f>
        <v>25258159255</v>
      </c>
      <c r="D402" s="201">
        <f>IFERROR(__xludf.DUMMYFUNCTION("""COMPUTED_VALUE"""),45909.0)</f>
        <v>45909</v>
      </c>
      <c r="E402" s="202" t="str">
        <f>IFERROR(__xludf.DUMMYFUNCTION("""COMPUTED_VALUE"""),"Caution")</f>
        <v>Caution</v>
      </c>
      <c r="F402" s="202" t="str">
        <f>IFERROR(__xludf.DUMMYFUNCTION("""COMPUTED_VALUE"""),"Caution")</f>
        <v>Caution</v>
      </c>
      <c r="G402" s="203" t="str">
        <f>IFERROR(__xludf.DUMMYFUNCTION("""COMPUTED_VALUE"""),"Normal")</f>
        <v>Normal</v>
      </c>
      <c r="H402" s="203" t="str">
        <f>IFERROR(__xludf.DUMMYFUNCTION("""COMPUTED_VALUE"""),"Normal")</f>
        <v>Normal</v>
      </c>
      <c r="I402" s="37"/>
      <c r="J402" s="37"/>
      <c r="K402" s="37"/>
      <c r="L402" s="199">
        <f>IFERROR(__xludf.DUMMYFUNCTION("""COMPUTED_VALUE"""),20.0)</f>
        <v>20</v>
      </c>
      <c r="M402" s="199">
        <f>IFERROR(__xludf.DUMMYFUNCTION("""COMPUTED_VALUE"""),330.7)</f>
        <v>330.7</v>
      </c>
      <c r="N402" s="37"/>
      <c r="O402" s="37"/>
      <c r="P402" s="199">
        <f>IFERROR(__xludf.DUMMYFUNCTION("""COMPUTED_VALUE"""),0.02)</f>
        <v>0.02</v>
      </c>
      <c r="Q402" s="199">
        <f>IFERROR(__xludf.DUMMYFUNCTION("""COMPUTED_VALUE"""),0.0)</f>
        <v>0</v>
      </c>
      <c r="R402" s="199">
        <f>IFERROR(__xludf.DUMMYFUNCTION("""COMPUTED_VALUE"""),13.0)</f>
        <v>13</v>
      </c>
      <c r="S402" s="199">
        <f>IFERROR(__xludf.DUMMYFUNCTION("""COMPUTED_VALUE"""),1.0)</f>
        <v>1</v>
      </c>
      <c r="T402" s="199">
        <f>IFERROR(__xludf.DUMMYFUNCTION("""COMPUTED_VALUE"""),3.0)</f>
        <v>3</v>
      </c>
      <c r="U402" s="199">
        <f>IFERROR(__xludf.DUMMYFUNCTION("""COMPUTED_VALUE"""),7.0)</f>
        <v>7</v>
      </c>
      <c r="V402" s="199">
        <f>IFERROR(__xludf.DUMMYFUNCTION("""COMPUTED_VALUE"""),0.0)</f>
        <v>0</v>
      </c>
      <c r="W402" s="199">
        <f>IFERROR(__xludf.DUMMYFUNCTION("""COMPUTED_VALUE"""),0.0)</f>
        <v>0</v>
      </c>
      <c r="X402" s="199">
        <f>IFERROR(__xludf.DUMMYFUNCTION("""COMPUTED_VALUE"""),0.0)</f>
        <v>0</v>
      </c>
      <c r="Y402" s="199">
        <f>IFERROR(__xludf.DUMMYFUNCTION("""COMPUTED_VALUE"""),0.0)</f>
        <v>0</v>
      </c>
      <c r="Z402" s="199">
        <f>IFERROR(__xludf.DUMMYFUNCTION("""COMPUTED_VALUE"""),0.0)</f>
        <v>0</v>
      </c>
      <c r="AA402" s="199">
        <f>IFERROR(__xludf.DUMMYFUNCTION("""COMPUTED_VALUE"""),0.0)</f>
        <v>0</v>
      </c>
      <c r="AB402" s="199">
        <f>IFERROR(__xludf.DUMMYFUNCTION("""COMPUTED_VALUE"""),9.0)</f>
        <v>9</v>
      </c>
      <c r="AC402" s="199">
        <f>IFERROR(__xludf.DUMMYFUNCTION("""COMPUTED_VALUE"""),21.0)</f>
        <v>21</v>
      </c>
      <c r="AD402" s="199">
        <f>IFERROR(__xludf.DUMMYFUNCTION("""COMPUTED_VALUE"""),0.0)</f>
        <v>0</v>
      </c>
      <c r="AE402" s="199">
        <f>IFERROR(__xludf.DUMMYFUNCTION("""COMPUTED_VALUE"""),35.0)</f>
        <v>35</v>
      </c>
      <c r="AF402" s="199">
        <f>IFERROR(__xludf.DUMMYFUNCTION("""COMPUTED_VALUE"""),2.0)</f>
        <v>2</v>
      </c>
      <c r="AG402" s="199">
        <f>IFERROR(__xludf.DUMMYFUNCTION("""COMPUTED_VALUE"""),324.0)</f>
        <v>324</v>
      </c>
      <c r="AH402" s="199">
        <f>IFERROR(__xludf.DUMMYFUNCTION("""COMPUTED_VALUE"""),14.0)</f>
        <v>14</v>
      </c>
      <c r="AI402" s="200" t="str">
        <f>IFERROR(__xludf.DUMMYFUNCTION("""COMPUTED_VALUE"""),"Caution – Elevated Al / Si / TAN")</f>
        <v>Caution – Elevated Al / Si / TAN</v>
      </c>
      <c r="AJ402" s="200" t="str">
        <f>IFERROR(__xludf.DUMMYFUNCTION("""COMPUTED_VALUE"""),"Al 13 ppm, Si 9 ppm. TAN 1.20 mg KOH/g. Monitor wear trend. Inspect filtration.")</f>
        <v>Al 13 ppm, Si 9 ppm. TAN 1.20 mg KOH/g. Monitor wear trend. Inspect filtration.</v>
      </c>
      <c r="AK402" s="204"/>
      <c r="AL402" s="204"/>
      <c r="AM402" s="204"/>
    </row>
    <row r="403" hidden="1">
      <c r="A403" s="199" t="str">
        <f>IFERROR(__xludf.DUMMYFUNCTION("""COMPUTED_VALUE"""),"421.HR700 (A)")</f>
        <v>421.HR700 (A)</v>
      </c>
      <c r="B403" s="200" t="str">
        <f>IFERROR(__xludf.DUMMYFUNCTION("""COMPUTED_VALUE"""),"HOTDISC Drive M02")</f>
        <v>HOTDISC Drive M02</v>
      </c>
      <c r="C403" s="199">
        <f>IFERROR(__xludf.DUMMYFUNCTION("""COMPUTED_VALUE"""),2.5258159208E10)</f>
        <v>25258159208</v>
      </c>
      <c r="D403" s="201">
        <f>IFERROR(__xludf.DUMMYFUNCTION("""COMPUTED_VALUE"""),45909.0)</f>
        <v>45909</v>
      </c>
      <c r="E403" s="202" t="str">
        <f>IFERROR(__xludf.DUMMYFUNCTION("""COMPUTED_VALUE"""),"Normal")</f>
        <v>Normal</v>
      </c>
      <c r="F403" s="202" t="str">
        <f>IFERROR(__xludf.DUMMYFUNCTION("""COMPUTED_VALUE"""),"Normal")</f>
        <v>Normal</v>
      </c>
      <c r="G403" s="203" t="str">
        <f>IFERROR(__xludf.DUMMYFUNCTION("""COMPUTED_VALUE"""),"Normal")</f>
        <v>Normal</v>
      </c>
      <c r="H403" s="203" t="str">
        <f>IFERROR(__xludf.DUMMYFUNCTION("""COMPUTED_VALUE"""),"Normal")</f>
        <v>Normal</v>
      </c>
      <c r="I403" s="199">
        <f>IFERROR(__xludf.DUMMYFUNCTION("""COMPUTED_VALUE"""),31568.0)</f>
        <v>31568</v>
      </c>
      <c r="J403" s="199">
        <f>IFERROR(__xludf.DUMMYFUNCTION("""COMPUTED_VALUE"""),11294.0)</f>
        <v>11294</v>
      </c>
      <c r="K403" s="199">
        <f>IFERROR(__xludf.DUMMYFUNCTION("""COMPUTED_VALUE"""),4169.0)</f>
        <v>4169</v>
      </c>
      <c r="L403" s="199">
        <f>IFERROR(__xludf.DUMMYFUNCTION("""COMPUTED_VALUE"""),5.0)</f>
        <v>5</v>
      </c>
      <c r="M403" s="199">
        <f>IFERROR(__xludf.DUMMYFUNCTION("""COMPUTED_VALUE"""),213.4)</f>
        <v>213.4</v>
      </c>
      <c r="N403" s="37"/>
      <c r="O403" s="37"/>
      <c r="P403" s="199">
        <f>IFERROR(__xludf.DUMMYFUNCTION("""COMPUTED_VALUE"""),0.02)</f>
        <v>0.02</v>
      </c>
      <c r="Q403" s="199">
        <f>IFERROR(__xludf.DUMMYFUNCTION("""COMPUTED_VALUE"""),0.0)</f>
        <v>0</v>
      </c>
      <c r="R403" s="199">
        <f>IFERROR(__xludf.DUMMYFUNCTION("""COMPUTED_VALUE"""),6.0)</f>
        <v>6</v>
      </c>
      <c r="S403" s="199">
        <f>IFERROR(__xludf.DUMMYFUNCTION("""COMPUTED_VALUE"""),1.0)</f>
        <v>1</v>
      </c>
      <c r="T403" s="199">
        <f>IFERROR(__xludf.DUMMYFUNCTION("""COMPUTED_VALUE"""),2.0)</f>
        <v>2</v>
      </c>
      <c r="U403" s="199">
        <f>IFERROR(__xludf.DUMMYFUNCTION("""COMPUTED_VALUE"""),8.0)</f>
        <v>8</v>
      </c>
      <c r="V403" s="199">
        <f>IFERROR(__xludf.DUMMYFUNCTION("""COMPUTED_VALUE"""),0.0)</f>
        <v>0</v>
      </c>
      <c r="W403" s="199">
        <f>IFERROR(__xludf.DUMMYFUNCTION("""COMPUTED_VALUE"""),0.0)</f>
        <v>0</v>
      </c>
      <c r="X403" s="199">
        <f>IFERROR(__xludf.DUMMYFUNCTION("""COMPUTED_VALUE"""),0.0)</f>
        <v>0</v>
      </c>
      <c r="Y403" s="199">
        <f>IFERROR(__xludf.DUMMYFUNCTION("""COMPUTED_VALUE"""),0.0)</f>
        <v>0</v>
      </c>
      <c r="Z403" s="199">
        <f>IFERROR(__xludf.DUMMYFUNCTION("""COMPUTED_VALUE"""),0.0)</f>
        <v>0</v>
      </c>
      <c r="AA403" s="199">
        <f>IFERROR(__xludf.DUMMYFUNCTION("""COMPUTED_VALUE"""),0.0)</f>
        <v>0</v>
      </c>
      <c r="AB403" s="199">
        <f>IFERROR(__xludf.DUMMYFUNCTION("""COMPUTED_VALUE"""),0.0)</f>
        <v>0</v>
      </c>
      <c r="AC403" s="199">
        <f>IFERROR(__xludf.DUMMYFUNCTION("""COMPUTED_VALUE"""),25.0)</f>
        <v>25</v>
      </c>
      <c r="AD403" s="199">
        <f>IFERROR(__xludf.DUMMYFUNCTION("""COMPUTED_VALUE"""),0.0)</f>
        <v>0</v>
      </c>
      <c r="AE403" s="199">
        <f>IFERROR(__xludf.DUMMYFUNCTION("""COMPUTED_VALUE"""),60.0)</f>
        <v>60</v>
      </c>
      <c r="AF403" s="199">
        <f>IFERROR(__xludf.DUMMYFUNCTION("""COMPUTED_VALUE"""),2.0)</f>
        <v>2</v>
      </c>
      <c r="AG403" s="199">
        <f>IFERROR(__xludf.DUMMYFUNCTION("""COMPUTED_VALUE"""),696.0)</f>
        <v>696</v>
      </c>
      <c r="AH403" s="199">
        <f>IFERROR(__xludf.DUMMYFUNCTION("""COMPUTED_VALUE"""),5.0)</f>
        <v>5</v>
      </c>
      <c r="AI403" s="200" t="str">
        <f>IFERROR(__xludf.DUMMYFUNCTION("""COMPUTED_VALUE"""),"Normal")</f>
        <v>Normal</v>
      </c>
      <c r="AJ403" s="200" t="str">
        <f>IFERROR(__xludf.DUMMYFUNCTION("""COMPUTED_VALUE"""),"ISO Code 22/21/19. All parameters within acceptable limits. Continue routine monitoring.")</f>
        <v>ISO Code 22/21/19. All parameters within acceptable limits. Continue routine monitoring.</v>
      </c>
      <c r="AK403" s="204"/>
      <c r="AL403" s="204"/>
      <c r="AM403" s="204"/>
    </row>
    <row r="404" hidden="1">
      <c r="A404" s="199" t="str">
        <f>IFERROR(__xludf.DUMMYFUNCTION("""COMPUTED_VALUE"""),"461.LQ145")</f>
        <v>461.LQ145</v>
      </c>
      <c r="B404" s="200" t="str">
        <f>IFERROR(__xludf.DUMMYFUNCTION("""COMPUTED_VALUE"""),"Coal Mill 1 Gear box")</f>
        <v>Coal Mill 1 Gear box</v>
      </c>
      <c r="C404" s="199">
        <f>IFERROR(__xludf.DUMMYFUNCTION("""COMPUTED_VALUE"""),2.5259169214E10)</f>
        <v>25259169214</v>
      </c>
      <c r="D404" s="201">
        <f>IFERROR(__xludf.DUMMYFUNCTION("""COMPUTED_VALUE"""),45909.0)</f>
        <v>45909</v>
      </c>
      <c r="E404" s="202" t="str">
        <f>IFERROR(__xludf.DUMMYFUNCTION("""COMPUTED_VALUE"""),"Normal")</f>
        <v>Normal</v>
      </c>
      <c r="F404" s="202" t="str">
        <f>IFERROR(__xludf.DUMMYFUNCTION("""COMPUTED_VALUE"""),"Normal")</f>
        <v>Normal</v>
      </c>
      <c r="G404" s="203" t="str">
        <f>IFERROR(__xludf.DUMMYFUNCTION("""COMPUTED_VALUE"""),"Normal")</f>
        <v>Normal</v>
      </c>
      <c r="H404" s="203" t="str">
        <f>IFERROR(__xludf.DUMMYFUNCTION("""COMPUTED_VALUE"""),"Normal")</f>
        <v>Normal</v>
      </c>
      <c r="I404" s="37">
        <f>IFERROR(__xludf.DUMMYFUNCTION("""COMPUTED_VALUE"""),38351.0)</f>
        <v>38351</v>
      </c>
      <c r="J404" s="37">
        <f>IFERROR(__xludf.DUMMYFUNCTION("""COMPUTED_VALUE"""),21681.0)</f>
        <v>21681</v>
      </c>
      <c r="K404" s="37">
        <f>IFERROR(__xludf.DUMMYFUNCTION("""COMPUTED_VALUE"""),9474.0)</f>
        <v>9474</v>
      </c>
      <c r="L404" s="199">
        <f>IFERROR(__xludf.DUMMYFUNCTION("""COMPUTED_VALUE"""),10.0)</f>
        <v>10</v>
      </c>
      <c r="M404" s="199">
        <f>IFERROR(__xludf.DUMMYFUNCTION("""COMPUTED_VALUE"""),306.7)</f>
        <v>306.7</v>
      </c>
      <c r="N404" s="37"/>
      <c r="O404" s="37">
        <f>IFERROR(__xludf.DUMMYFUNCTION("""COMPUTED_VALUE"""),1.0)</f>
        <v>1</v>
      </c>
      <c r="P404" s="199">
        <f>IFERROR(__xludf.DUMMYFUNCTION("""COMPUTED_VALUE"""),0.04)</f>
        <v>0.04</v>
      </c>
      <c r="Q404" s="199">
        <f>IFERROR(__xludf.DUMMYFUNCTION("""COMPUTED_VALUE"""),0.0)</f>
        <v>0</v>
      </c>
      <c r="R404" s="199">
        <f>IFERROR(__xludf.DUMMYFUNCTION("""COMPUTED_VALUE"""),3.0)</f>
        <v>3</v>
      </c>
      <c r="S404" s="199">
        <f>IFERROR(__xludf.DUMMYFUNCTION("""COMPUTED_VALUE"""),1.0)</f>
        <v>1</v>
      </c>
      <c r="T404" s="199">
        <f>IFERROR(__xludf.DUMMYFUNCTION("""COMPUTED_VALUE"""),5.0)</f>
        <v>5</v>
      </c>
      <c r="U404" s="199">
        <f>IFERROR(__xludf.DUMMYFUNCTION("""COMPUTED_VALUE"""),10.0)</f>
        <v>10</v>
      </c>
      <c r="V404" s="199">
        <f>IFERROR(__xludf.DUMMYFUNCTION("""COMPUTED_VALUE"""),0.0)</f>
        <v>0</v>
      </c>
      <c r="W404" s="199">
        <f>IFERROR(__xludf.DUMMYFUNCTION("""COMPUTED_VALUE"""),0.0)</f>
        <v>0</v>
      </c>
      <c r="X404" s="199">
        <f>IFERROR(__xludf.DUMMYFUNCTION("""COMPUTED_VALUE"""),0.0)</f>
        <v>0</v>
      </c>
      <c r="Y404" s="199">
        <f>IFERROR(__xludf.DUMMYFUNCTION("""COMPUTED_VALUE"""),0.0)</f>
        <v>0</v>
      </c>
      <c r="Z404" s="199">
        <f>IFERROR(__xludf.DUMMYFUNCTION("""COMPUTED_VALUE"""),2.0)</f>
        <v>2</v>
      </c>
      <c r="AA404" s="199">
        <f>IFERROR(__xludf.DUMMYFUNCTION("""COMPUTED_VALUE"""),0.0)</f>
        <v>0</v>
      </c>
      <c r="AB404" s="199">
        <f>IFERROR(__xludf.DUMMYFUNCTION("""COMPUTED_VALUE"""),6.0)</f>
        <v>6</v>
      </c>
      <c r="AC404" s="199">
        <f>IFERROR(__xludf.DUMMYFUNCTION("""COMPUTED_VALUE"""),2.0)</f>
        <v>2</v>
      </c>
      <c r="AD404" s="199">
        <f>IFERROR(__xludf.DUMMYFUNCTION("""COMPUTED_VALUE"""),0.0)</f>
        <v>0</v>
      </c>
      <c r="AE404" s="199">
        <f>IFERROR(__xludf.DUMMYFUNCTION("""COMPUTED_VALUE"""),19.0)</f>
        <v>19</v>
      </c>
      <c r="AF404" s="199">
        <f>IFERROR(__xludf.DUMMYFUNCTION("""COMPUTED_VALUE"""),0.0)</f>
        <v>0</v>
      </c>
      <c r="AG404" s="199">
        <f>IFERROR(__xludf.DUMMYFUNCTION("""COMPUTED_VALUE"""),370.0)</f>
        <v>370</v>
      </c>
      <c r="AH404" s="199">
        <f>IFERROR(__xludf.DUMMYFUNCTION("""COMPUTED_VALUE"""),5.0)</f>
        <v>5</v>
      </c>
      <c r="AI404" s="200" t="str">
        <f>IFERROR(__xludf.DUMMYFUNCTION("""COMPUTED_VALUE"""),"Normal")</f>
        <v>Normal</v>
      </c>
      <c r="AJ404" s="200" t="str">
        <f>IFERROR(__xludf.DUMMYFUNCTION("""COMPUTED_VALUE"""),"ISO Code 22/22/20. All parameters within acceptable limits. Oxidation 1 Ab/cm – monitor trend. Continue routine monitoring.")</f>
        <v>ISO Code 22/22/20. All parameters within acceptable limits. Oxidation 1 Ab/cm – monitor trend. Continue routine monitoring.</v>
      </c>
      <c r="AK404" s="204"/>
      <c r="AL404" s="204"/>
      <c r="AM404" s="204"/>
    </row>
    <row r="405" hidden="1">
      <c r="A405" s="199" t="str">
        <f>IFERROR(__xludf.DUMMYFUNCTION("""COMPUTED_VALUE"""),"462.LQ145")</f>
        <v>462.LQ145</v>
      </c>
      <c r="B405" s="200" t="str">
        <f>IFERROR(__xludf.DUMMYFUNCTION("""COMPUTED_VALUE"""),"Coal Mill 2 Gear box")</f>
        <v>Coal Mill 2 Gear box</v>
      </c>
      <c r="C405" s="199">
        <f>IFERROR(__xludf.DUMMYFUNCTION("""COMPUTED_VALUE"""),2.5258159242E10)</f>
        <v>25258159242</v>
      </c>
      <c r="D405" s="201">
        <f>IFERROR(__xludf.DUMMYFUNCTION("""COMPUTED_VALUE"""),45909.0)</f>
        <v>45909</v>
      </c>
      <c r="E405" s="202" t="str">
        <f>IFERROR(__xludf.DUMMYFUNCTION("""COMPUTED_VALUE"""),"Normal")</f>
        <v>Normal</v>
      </c>
      <c r="F405" s="202" t="str">
        <f>IFERROR(__xludf.DUMMYFUNCTION("""COMPUTED_VALUE"""),"Normal")</f>
        <v>Normal</v>
      </c>
      <c r="G405" s="203" t="str">
        <f>IFERROR(__xludf.DUMMYFUNCTION("""COMPUTED_VALUE"""),"Normal")</f>
        <v>Normal</v>
      </c>
      <c r="H405" s="203" t="str">
        <f>IFERROR(__xludf.DUMMYFUNCTION("""COMPUTED_VALUE"""),"Normal")</f>
        <v>Normal</v>
      </c>
      <c r="I405" s="37">
        <f>IFERROR(__xludf.DUMMYFUNCTION("""COMPUTED_VALUE"""),23929.0)</f>
        <v>23929</v>
      </c>
      <c r="J405" s="37">
        <f>IFERROR(__xludf.DUMMYFUNCTION("""COMPUTED_VALUE"""),13007.0)</f>
        <v>13007</v>
      </c>
      <c r="K405" s="37">
        <f>IFERROR(__xludf.DUMMYFUNCTION("""COMPUTED_VALUE"""),6511.0)</f>
        <v>6511</v>
      </c>
      <c r="L405" s="199">
        <f>IFERROR(__xludf.DUMMYFUNCTION("""COMPUTED_VALUE"""),13.0)</f>
        <v>13</v>
      </c>
      <c r="M405" s="199">
        <f>IFERROR(__xludf.DUMMYFUNCTION("""COMPUTED_VALUE"""),287.3)</f>
        <v>287.3</v>
      </c>
      <c r="N405" s="37"/>
      <c r="O405" s="37">
        <f>IFERROR(__xludf.DUMMYFUNCTION("""COMPUTED_VALUE"""),1.0)</f>
        <v>1</v>
      </c>
      <c r="P405" s="199">
        <f>IFERROR(__xludf.DUMMYFUNCTION("""COMPUTED_VALUE"""),0.01)</f>
        <v>0.01</v>
      </c>
      <c r="Q405" s="199">
        <f>IFERROR(__xludf.DUMMYFUNCTION("""COMPUTED_VALUE"""),0.0)</f>
        <v>0</v>
      </c>
      <c r="R405" s="199">
        <f>IFERROR(__xludf.DUMMYFUNCTION("""COMPUTED_VALUE"""),11.0)</f>
        <v>11</v>
      </c>
      <c r="S405" s="199">
        <f>IFERROR(__xludf.DUMMYFUNCTION("""COMPUTED_VALUE"""),1.0)</f>
        <v>1</v>
      </c>
      <c r="T405" s="199">
        <f>IFERROR(__xludf.DUMMYFUNCTION("""COMPUTED_VALUE"""),3.0)</f>
        <v>3</v>
      </c>
      <c r="U405" s="199">
        <f>IFERROR(__xludf.DUMMYFUNCTION("""COMPUTED_VALUE"""),13.0)</f>
        <v>13</v>
      </c>
      <c r="V405" s="199">
        <f>IFERROR(__xludf.DUMMYFUNCTION("""COMPUTED_VALUE"""),0.0)</f>
        <v>0</v>
      </c>
      <c r="W405" s="199">
        <f>IFERROR(__xludf.DUMMYFUNCTION("""COMPUTED_VALUE"""),0.0)</f>
        <v>0</v>
      </c>
      <c r="X405" s="199">
        <f>IFERROR(__xludf.DUMMYFUNCTION("""COMPUTED_VALUE"""),0.0)</f>
        <v>0</v>
      </c>
      <c r="Y405" s="199">
        <f>IFERROR(__xludf.DUMMYFUNCTION("""COMPUTED_VALUE"""),0.0)</f>
        <v>0</v>
      </c>
      <c r="Z405" s="199">
        <f>IFERROR(__xludf.DUMMYFUNCTION("""COMPUTED_VALUE"""),0.0)</f>
        <v>0</v>
      </c>
      <c r="AA405" s="199">
        <f>IFERROR(__xludf.DUMMYFUNCTION("""COMPUTED_VALUE"""),0.0)</f>
        <v>0</v>
      </c>
      <c r="AB405" s="199">
        <f>IFERROR(__xludf.DUMMYFUNCTION("""COMPUTED_VALUE"""),0.0)</f>
        <v>0</v>
      </c>
      <c r="AC405" s="199">
        <f>IFERROR(__xludf.DUMMYFUNCTION("""COMPUTED_VALUE"""),27.0)</f>
        <v>27</v>
      </c>
      <c r="AD405" s="199">
        <f>IFERROR(__xludf.DUMMYFUNCTION("""COMPUTED_VALUE"""),0.0)</f>
        <v>0</v>
      </c>
      <c r="AE405" s="199">
        <f>IFERROR(__xludf.DUMMYFUNCTION("""COMPUTED_VALUE"""),26.0)</f>
        <v>26</v>
      </c>
      <c r="AF405" s="199">
        <f>IFERROR(__xludf.DUMMYFUNCTION("""COMPUTED_VALUE"""),5.0)</f>
        <v>5</v>
      </c>
      <c r="AG405" s="199">
        <f>IFERROR(__xludf.DUMMYFUNCTION("""COMPUTED_VALUE"""),288.0)</f>
        <v>288</v>
      </c>
      <c r="AH405" s="199">
        <f>IFERROR(__xludf.DUMMYFUNCTION("""COMPUTED_VALUE"""),3.0)</f>
        <v>3</v>
      </c>
      <c r="AI405" s="200" t="str">
        <f>IFERROR(__xludf.DUMMYFUNCTION("""COMPUTED_VALUE"""),"Normal")</f>
        <v>Normal</v>
      </c>
      <c r="AJ405" s="200" t="str">
        <f>IFERROR(__xludf.DUMMYFUNCTION("""COMPUTED_VALUE"""),"ISO Code 22/21/20. All parameters within acceptable limits. Al 11 ppm – monitor trend. Oxidation 1 Ab/cm. Continue routine monitoring.")</f>
        <v>ISO Code 22/21/20. All parameters within acceptable limits. Al 11 ppm – monitor trend. Oxidation 1 Ab/cm. Continue routine monitoring.</v>
      </c>
      <c r="AK405" s="204"/>
      <c r="AL405" s="204"/>
      <c r="AM405" s="204"/>
    </row>
    <row r="406" hidden="1">
      <c r="A406" s="199" t="str">
        <f>IFERROR(__xludf.DUMMYFUNCTION("""COMPUTED_VALUE"""),"111.HC100 (HY)")</f>
        <v>111.HC100 (HY)</v>
      </c>
      <c r="B406" s="200" t="str">
        <f>IFERROR(__xludf.DUMMYFUNCTION("""COMPUTED_VALUE"""),"Crusher hydraulic cylinder station")</f>
        <v>Crusher hydraulic cylinder station</v>
      </c>
      <c r="C406" s="199">
        <f>IFERROR(__xludf.DUMMYFUNCTION("""COMPUTED_VALUE"""),2.5258159209E10)</f>
        <v>25258159209</v>
      </c>
      <c r="D406" s="201">
        <f>IFERROR(__xludf.DUMMYFUNCTION("""COMPUTED_VALUE"""),45909.0)</f>
        <v>45909</v>
      </c>
      <c r="E406" s="202" t="str">
        <f>IFERROR(__xludf.DUMMYFUNCTION("""COMPUTED_VALUE"""),"Normal")</f>
        <v>Normal</v>
      </c>
      <c r="F406" s="202" t="str">
        <f>IFERROR(__xludf.DUMMYFUNCTION("""COMPUTED_VALUE"""),"Normal")</f>
        <v>Normal</v>
      </c>
      <c r="G406" s="203" t="str">
        <f>IFERROR(__xludf.DUMMYFUNCTION("""COMPUTED_VALUE"""),"Normal")</f>
        <v>Normal</v>
      </c>
      <c r="H406" s="203" t="str">
        <f>IFERROR(__xludf.DUMMYFUNCTION("""COMPUTED_VALUE"""),"Normal")</f>
        <v>Normal</v>
      </c>
      <c r="I406" s="37">
        <f>IFERROR(__xludf.DUMMYFUNCTION("""COMPUTED_VALUE"""),17307.0)</f>
        <v>17307</v>
      </c>
      <c r="J406" s="37">
        <f>IFERROR(__xludf.DUMMYFUNCTION("""COMPUTED_VALUE"""),9394.0)</f>
        <v>9394</v>
      </c>
      <c r="K406" s="37">
        <f>IFERROR(__xludf.DUMMYFUNCTION("""COMPUTED_VALUE"""),4890.0)</f>
        <v>4890</v>
      </c>
      <c r="L406" s="199">
        <f>IFERROR(__xludf.DUMMYFUNCTION("""COMPUTED_VALUE"""),8.0)</f>
        <v>8</v>
      </c>
      <c r="M406" s="199">
        <f>IFERROR(__xludf.DUMMYFUNCTION("""COMPUTED_VALUE"""),51.0)</f>
        <v>51</v>
      </c>
      <c r="N406" s="37"/>
      <c r="O406" s="37">
        <f>IFERROR(__xludf.DUMMYFUNCTION("""COMPUTED_VALUE"""),1.0)</f>
        <v>1</v>
      </c>
      <c r="P406" s="199">
        <f>IFERROR(__xludf.DUMMYFUNCTION("""COMPUTED_VALUE"""),0.003)</f>
        <v>0.003</v>
      </c>
      <c r="Q406" s="199">
        <f>IFERROR(__xludf.DUMMYFUNCTION("""COMPUTED_VALUE"""),0.0)</f>
        <v>0</v>
      </c>
      <c r="R406" s="199">
        <f>IFERROR(__xludf.DUMMYFUNCTION("""COMPUTED_VALUE"""),8.0)</f>
        <v>8</v>
      </c>
      <c r="S406" s="199">
        <f>IFERROR(__xludf.DUMMYFUNCTION("""COMPUTED_VALUE"""),1.0)</f>
        <v>1</v>
      </c>
      <c r="T406" s="199">
        <f>IFERROR(__xludf.DUMMYFUNCTION("""COMPUTED_VALUE"""),4.0)</f>
        <v>4</v>
      </c>
      <c r="U406" s="199">
        <f>IFERROR(__xludf.DUMMYFUNCTION("""COMPUTED_VALUE"""),7.0)</f>
        <v>7</v>
      </c>
      <c r="V406" s="199">
        <f>IFERROR(__xludf.DUMMYFUNCTION("""COMPUTED_VALUE"""),0.0)</f>
        <v>0</v>
      </c>
      <c r="W406" s="199">
        <f>IFERROR(__xludf.DUMMYFUNCTION("""COMPUTED_VALUE"""),0.0)</f>
        <v>0</v>
      </c>
      <c r="X406" s="199">
        <f>IFERROR(__xludf.DUMMYFUNCTION("""COMPUTED_VALUE"""),0.0)</f>
        <v>0</v>
      </c>
      <c r="Y406" s="199">
        <f>IFERROR(__xludf.DUMMYFUNCTION("""COMPUTED_VALUE"""),0.0)</f>
        <v>0</v>
      </c>
      <c r="Z406" s="199">
        <f>IFERROR(__xludf.DUMMYFUNCTION("""COMPUTED_VALUE"""),0.0)</f>
        <v>0</v>
      </c>
      <c r="AA406" s="199">
        <f>IFERROR(__xludf.DUMMYFUNCTION("""COMPUTED_VALUE"""),0.0)</f>
        <v>0</v>
      </c>
      <c r="AB406" s="199">
        <f>IFERROR(__xludf.DUMMYFUNCTION("""COMPUTED_VALUE"""),0.0)</f>
        <v>0</v>
      </c>
      <c r="AC406" s="199">
        <f>IFERROR(__xludf.DUMMYFUNCTION("""COMPUTED_VALUE"""),24.0)</f>
        <v>24</v>
      </c>
      <c r="AD406" s="199">
        <f>IFERROR(__xludf.DUMMYFUNCTION("""COMPUTED_VALUE"""),0.0)</f>
        <v>0</v>
      </c>
      <c r="AE406" s="199">
        <f>IFERROR(__xludf.DUMMYFUNCTION("""COMPUTED_VALUE"""),108.0)</f>
        <v>108</v>
      </c>
      <c r="AF406" s="199">
        <f>IFERROR(__xludf.DUMMYFUNCTION("""COMPUTED_VALUE"""),1.0)</f>
        <v>1</v>
      </c>
      <c r="AG406" s="199">
        <f>IFERROR(__xludf.DUMMYFUNCTION("""COMPUTED_VALUE"""),531.0)</f>
        <v>531</v>
      </c>
      <c r="AH406" s="199">
        <f>IFERROR(__xludf.DUMMYFUNCTION("""COMPUTED_VALUE"""),646.0)</f>
        <v>646</v>
      </c>
      <c r="AI406" s="200" t="str">
        <f>IFERROR(__xludf.DUMMYFUNCTION("""COMPUTED_VALUE"""),"Normal")</f>
        <v>Normal</v>
      </c>
      <c r="AJ406" s="200" t="str">
        <f>IFERROR(__xludf.DUMMYFUNCTION("""COMPUTED_VALUE"""),"ISO Code 21/20/19. All parameters within acceptable limits. Oxidation 1 Ab/cm – monitor trend. Continue routine monitoring.")</f>
        <v>ISO Code 21/20/19. All parameters within acceptable limits. Oxidation 1 Ab/cm – monitor trend. Continue routine monitoring.</v>
      </c>
      <c r="AK406" s="204"/>
      <c r="AL406" s="204"/>
      <c r="AM406" s="204"/>
    </row>
    <row r="407" hidden="1">
      <c r="A407" s="199" t="str">
        <f>IFERROR(__xludf.DUMMYFUNCTION("""COMPUTED_VALUE"""),"111.AF060 (R)")</f>
        <v>111.AF060 (R)</v>
      </c>
      <c r="B407" s="200" t="str">
        <f>IFERROR(__xludf.DUMMYFUNCTION("""COMPUTED_VALUE"""),"Limestone Apron Feeder Right Gear Box")</f>
        <v>Limestone Apron Feeder Right Gear Box</v>
      </c>
      <c r="C407" s="199">
        <f>IFERROR(__xludf.DUMMYFUNCTION("""COMPUTED_VALUE"""),2.5259169215E10)</f>
        <v>25259169215</v>
      </c>
      <c r="D407" s="201">
        <f>IFERROR(__xludf.DUMMYFUNCTION("""COMPUTED_VALUE"""),45909.0)</f>
        <v>45909</v>
      </c>
      <c r="E407" s="202" t="str">
        <f>IFERROR(__xludf.DUMMYFUNCTION("""COMPUTED_VALUE"""),"Normal")</f>
        <v>Normal</v>
      </c>
      <c r="F407" s="202" t="str">
        <f>IFERROR(__xludf.DUMMYFUNCTION("""COMPUTED_VALUE"""),"Normal")</f>
        <v>Normal</v>
      </c>
      <c r="G407" s="203" t="str">
        <f>IFERROR(__xludf.DUMMYFUNCTION("""COMPUTED_VALUE"""),"Normal")</f>
        <v>Normal</v>
      </c>
      <c r="H407" s="203" t="str">
        <f>IFERROR(__xludf.DUMMYFUNCTION("""COMPUTED_VALUE"""),"Normal")</f>
        <v>Normal</v>
      </c>
      <c r="I407" s="37">
        <f>IFERROR(__xludf.DUMMYFUNCTION("""COMPUTED_VALUE"""),31325.0)</f>
        <v>31325</v>
      </c>
      <c r="J407" s="37">
        <f>IFERROR(__xludf.DUMMYFUNCTION("""COMPUTED_VALUE"""),18074.0)</f>
        <v>18074</v>
      </c>
      <c r="K407" s="37">
        <f>IFERROR(__xludf.DUMMYFUNCTION("""COMPUTED_VALUE"""),7899.0)</f>
        <v>7899</v>
      </c>
      <c r="L407" s="199">
        <f>IFERROR(__xludf.DUMMYFUNCTION("""COMPUTED_VALUE"""),7.0)</f>
        <v>7</v>
      </c>
      <c r="M407" s="199">
        <f>IFERROR(__xludf.DUMMYFUNCTION("""COMPUTED_VALUE"""),200.7)</f>
        <v>200.7</v>
      </c>
      <c r="N407" s="37"/>
      <c r="O407" s="37"/>
      <c r="P407" s="199">
        <f>IFERROR(__xludf.DUMMYFUNCTION("""COMPUTED_VALUE"""),0.003)</f>
        <v>0.003</v>
      </c>
      <c r="Q407" s="199">
        <f>IFERROR(__xludf.DUMMYFUNCTION("""COMPUTED_VALUE"""),0.0)</f>
        <v>0</v>
      </c>
      <c r="R407" s="199">
        <f>IFERROR(__xludf.DUMMYFUNCTION("""COMPUTED_VALUE"""),3.0)</f>
        <v>3</v>
      </c>
      <c r="S407" s="199">
        <f>IFERROR(__xludf.DUMMYFUNCTION("""COMPUTED_VALUE"""),2.0)</f>
        <v>2</v>
      </c>
      <c r="T407" s="199">
        <f>IFERROR(__xludf.DUMMYFUNCTION("""COMPUTED_VALUE"""),3.0)</f>
        <v>3</v>
      </c>
      <c r="U407" s="199">
        <f>IFERROR(__xludf.DUMMYFUNCTION("""COMPUTED_VALUE"""),12.0)</f>
        <v>12</v>
      </c>
      <c r="V407" s="199">
        <f>IFERROR(__xludf.DUMMYFUNCTION("""COMPUTED_VALUE"""),0.0)</f>
        <v>0</v>
      </c>
      <c r="W407" s="199">
        <f>IFERROR(__xludf.DUMMYFUNCTION("""COMPUTED_VALUE"""),0.0)</f>
        <v>0</v>
      </c>
      <c r="X407" s="199">
        <f>IFERROR(__xludf.DUMMYFUNCTION("""COMPUTED_VALUE"""),0.0)</f>
        <v>0</v>
      </c>
      <c r="Y407" s="199">
        <f>IFERROR(__xludf.DUMMYFUNCTION("""COMPUTED_VALUE"""),0.0)</f>
        <v>0</v>
      </c>
      <c r="Z407" s="199">
        <f>IFERROR(__xludf.DUMMYFUNCTION("""COMPUTED_VALUE"""),0.0)</f>
        <v>0</v>
      </c>
      <c r="AA407" s="199">
        <f>IFERROR(__xludf.DUMMYFUNCTION("""COMPUTED_VALUE"""),0.0)</f>
        <v>0</v>
      </c>
      <c r="AB407" s="199">
        <f>IFERROR(__xludf.DUMMYFUNCTION("""COMPUTED_VALUE"""),21.0)</f>
        <v>21</v>
      </c>
      <c r="AC407" s="199">
        <f>IFERROR(__xludf.DUMMYFUNCTION("""COMPUTED_VALUE"""),11.0)</f>
        <v>11</v>
      </c>
      <c r="AD407" s="199">
        <f>IFERROR(__xludf.DUMMYFUNCTION("""COMPUTED_VALUE"""),0.0)</f>
        <v>0</v>
      </c>
      <c r="AE407" s="199">
        <f>IFERROR(__xludf.DUMMYFUNCTION("""COMPUTED_VALUE"""),14.0)</f>
        <v>14</v>
      </c>
      <c r="AF407" s="199">
        <f>IFERROR(__xludf.DUMMYFUNCTION("""COMPUTED_VALUE"""),2.0)</f>
        <v>2</v>
      </c>
      <c r="AG407" s="199">
        <f>IFERROR(__xludf.DUMMYFUNCTION("""COMPUTED_VALUE"""),351.0)</f>
        <v>351</v>
      </c>
      <c r="AH407" s="199">
        <f>IFERROR(__xludf.DUMMYFUNCTION("""COMPUTED_VALUE"""),2.0)</f>
        <v>2</v>
      </c>
      <c r="AI407" s="200" t="str">
        <f>IFERROR(__xludf.DUMMYFUNCTION("""COMPUTED_VALUE"""),"Normal - No Action Required")</f>
        <v>Normal - No Action Required</v>
      </c>
      <c r="AJ407" s="200" t="str">
        <f>IFERROR(__xludf.DUMMYFUNCTION("""COMPUTED_VALUE"""),"Continue routine monitoring and sampling schedule")</f>
        <v>Continue routine monitoring and sampling schedule</v>
      </c>
      <c r="AK407" s="204"/>
      <c r="AL407" s="204"/>
      <c r="AM407" s="204"/>
    </row>
    <row r="408" hidden="1">
      <c r="A408" s="199" t="str">
        <f>IFERROR(__xludf.DUMMYFUNCTION("""COMPUTED_VALUE"""),"111.BC210")</f>
        <v>111.BC210</v>
      </c>
      <c r="B408" s="200" t="str">
        <f>IFERROR(__xludf.DUMMYFUNCTION("""COMPUTED_VALUE"""),"Belt conveyor Gearbox")</f>
        <v>Belt conveyor Gearbox</v>
      </c>
      <c r="C408" s="199">
        <f>IFERROR(__xludf.DUMMYFUNCTION("""COMPUTED_VALUE"""),2.5258159238E10)</f>
        <v>25258159238</v>
      </c>
      <c r="D408" s="201">
        <f>IFERROR(__xludf.DUMMYFUNCTION("""COMPUTED_VALUE"""),45909.0)</f>
        <v>45909</v>
      </c>
      <c r="E408" s="202" t="str">
        <f>IFERROR(__xludf.DUMMYFUNCTION("""COMPUTED_VALUE"""),"Alert")</f>
        <v>Alert</v>
      </c>
      <c r="F408" s="202" t="str">
        <f>IFERROR(__xludf.DUMMYFUNCTION("""COMPUTED_VALUE"""),"Caution")</f>
        <v>Caution</v>
      </c>
      <c r="G408" s="203" t="str">
        <f>IFERROR(__xludf.DUMMYFUNCTION("""COMPUTED_VALUE"""),"Alert")</f>
        <v>Alert</v>
      </c>
      <c r="H408" s="203" t="str">
        <f>IFERROR(__xludf.DUMMYFUNCTION("""COMPUTED_VALUE"""),"Caution")</f>
        <v>Caution</v>
      </c>
      <c r="I408" s="37"/>
      <c r="J408" s="37"/>
      <c r="K408" s="37"/>
      <c r="L408" s="199">
        <f>IFERROR(__xludf.DUMMYFUNCTION("""COMPUTED_VALUE"""),30.0)</f>
        <v>30</v>
      </c>
      <c r="M408" s="199">
        <f>IFERROR(__xludf.DUMMYFUNCTION("""COMPUTED_VALUE"""),255.1)</f>
        <v>255.1</v>
      </c>
      <c r="N408" s="37"/>
      <c r="O408" s="37"/>
      <c r="P408" s="199">
        <f>IFERROR(__xludf.DUMMYFUNCTION("""COMPUTED_VALUE"""),0.01)</f>
        <v>0.01</v>
      </c>
      <c r="Q408" s="199">
        <f>IFERROR(__xludf.DUMMYFUNCTION("""COMPUTED_VALUE"""),12.0)</f>
        <v>12</v>
      </c>
      <c r="R408" s="199">
        <f>IFERROR(__xludf.DUMMYFUNCTION("""COMPUTED_VALUE"""),268.0)</f>
        <v>268</v>
      </c>
      <c r="S408" s="199">
        <f>IFERROR(__xludf.DUMMYFUNCTION("""COMPUTED_VALUE"""),1.0)</f>
        <v>1</v>
      </c>
      <c r="T408" s="199">
        <f>IFERROR(__xludf.DUMMYFUNCTION("""COMPUTED_VALUE"""),15.0)</f>
        <v>15</v>
      </c>
      <c r="U408" s="199">
        <f>IFERROR(__xludf.DUMMYFUNCTION("""COMPUTED_VALUE"""),178.0)</f>
        <v>178</v>
      </c>
      <c r="V408" s="199">
        <f>IFERROR(__xludf.DUMMYFUNCTION("""COMPUTED_VALUE"""),2.0)</f>
        <v>2</v>
      </c>
      <c r="W408" s="199">
        <f>IFERROR(__xludf.DUMMYFUNCTION("""COMPUTED_VALUE"""),0.0)</f>
        <v>0</v>
      </c>
      <c r="X408" s="199">
        <f>IFERROR(__xludf.DUMMYFUNCTION("""COMPUTED_VALUE"""),1.0)</f>
        <v>1</v>
      </c>
      <c r="Y408" s="199">
        <f>IFERROR(__xludf.DUMMYFUNCTION("""COMPUTED_VALUE"""),2.0)</f>
        <v>2</v>
      </c>
      <c r="Z408" s="199">
        <f>IFERROR(__xludf.DUMMYFUNCTION("""COMPUTED_VALUE"""),5.0)</f>
        <v>5</v>
      </c>
      <c r="AA408" s="199">
        <f>IFERROR(__xludf.DUMMYFUNCTION("""COMPUTED_VALUE"""),2.0)</f>
        <v>2</v>
      </c>
      <c r="AB408" s="199">
        <f>IFERROR(__xludf.DUMMYFUNCTION("""COMPUTED_VALUE"""),38.0)</f>
        <v>38</v>
      </c>
      <c r="AC408" s="199">
        <f>IFERROR(__xludf.DUMMYFUNCTION("""COMPUTED_VALUE"""),41.0)</f>
        <v>41</v>
      </c>
      <c r="AD408" s="199">
        <f>IFERROR(__xludf.DUMMYFUNCTION("""COMPUTED_VALUE"""),0.0)</f>
        <v>0</v>
      </c>
      <c r="AE408" s="199">
        <f>IFERROR(__xludf.DUMMYFUNCTION("""COMPUTED_VALUE"""),401.0)</f>
        <v>401</v>
      </c>
      <c r="AF408" s="199">
        <f>IFERROR(__xludf.DUMMYFUNCTION("""COMPUTED_VALUE"""),6.0)</f>
        <v>6</v>
      </c>
      <c r="AG408" s="199">
        <f>IFERROR(__xludf.DUMMYFUNCTION("""COMPUTED_VALUE"""),405.0)</f>
        <v>405</v>
      </c>
      <c r="AH408" s="199">
        <f>IFERROR(__xludf.DUMMYFUNCTION("""COMPUTED_VALUE"""),227.0)</f>
        <v>227</v>
      </c>
      <c r="AI408" s="200" t="str">
        <f>IFERROR(__xludf.DUMMYFUNCTION("""COMPUTED_VALUE"""),"Wear Metal Alert")</f>
        <v>Wear Metal Alert</v>
      </c>
      <c r="AJ408" s="200" t="str">
        <f>IFERROR(__xludf.DUMMYFUNCTION("""COMPUTED_VALUE"""),"URGENT: Inspect equipment immediately for wear/damage; High wear metals - inspect bearing/gear surfaces; Elevated silicon - inspect filters and seals for contamination")</f>
        <v>URGENT: Inspect equipment immediately for wear/damage; High wear metals - inspect bearing/gear surfaces; Elevated silicon - inspect filters and seals for contamination</v>
      </c>
      <c r="AK408" s="204"/>
      <c r="AL408" s="204"/>
      <c r="AM408" s="204"/>
    </row>
    <row r="409" hidden="1">
      <c r="A409" s="199" t="str">
        <f>IFERROR(__xludf.DUMMYFUNCTION("""COMPUTED_VALUE"""),"261.SH050 (T)")</f>
        <v>261.SH050 (T)</v>
      </c>
      <c r="B409" s="200" t="str">
        <f>IFERROR(__xludf.DUMMYFUNCTION("""COMPUTED_VALUE"""),"Shredder - Hydraulic Sys.")</f>
        <v>Shredder - Hydraulic Sys.</v>
      </c>
      <c r="C409" s="199">
        <f>IFERROR(__xludf.DUMMYFUNCTION("""COMPUTED_VALUE"""),2.5258159203E10)</f>
        <v>25258159203</v>
      </c>
      <c r="D409" s="201">
        <f>IFERROR(__xludf.DUMMYFUNCTION("""COMPUTED_VALUE"""),45909.0)</f>
        <v>45909</v>
      </c>
      <c r="E409" s="202" t="str">
        <f>IFERROR(__xludf.DUMMYFUNCTION("""COMPUTED_VALUE"""),"Normal")</f>
        <v>Normal</v>
      </c>
      <c r="F409" s="202" t="str">
        <f>IFERROR(__xludf.DUMMYFUNCTION("""COMPUTED_VALUE"""),"Normal")</f>
        <v>Normal</v>
      </c>
      <c r="G409" s="203" t="str">
        <f>IFERROR(__xludf.DUMMYFUNCTION("""COMPUTED_VALUE"""),"Normal")</f>
        <v>Normal</v>
      </c>
      <c r="H409" s="203" t="str">
        <f>IFERROR(__xludf.DUMMYFUNCTION("""COMPUTED_VALUE"""),"Normal")</f>
        <v>Normal</v>
      </c>
      <c r="I409" s="37">
        <f>IFERROR(__xludf.DUMMYFUNCTION("""COMPUTED_VALUE"""),7279.0)</f>
        <v>7279</v>
      </c>
      <c r="J409" s="37">
        <f>IFERROR(__xludf.DUMMYFUNCTION("""COMPUTED_VALUE"""),3125.0)</f>
        <v>3125</v>
      </c>
      <c r="K409" s="37">
        <f>IFERROR(__xludf.DUMMYFUNCTION("""COMPUTED_VALUE"""),1100.0)</f>
        <v>1100</v>
      </c>
      <c r="L409" s="199">
        <f>IFERROR(__xludf.DUMMYFUNCTION("""COMPUTED_VALUE"""),3.0)</f>
        <v>3</v>
      </c>
      <c r="M409" s="199">
        <f>IFERROR(__xludf.DUMMYFUNCTION("""COMPUTED_VALUE"""),48.6)</f>
        <v>48.6</v>
      </c>
      <c r="N409" s="37"/>
      <c r="O409" s="37">
        <f>IFERROR(__xludf.DUMMYFUNCTION("""COMPUTED_VALUE"""),0.0)</f>
        <v>0</v>
      </c>
      <c r="P409" s="199">
        <f>IFERROR(__xludf.DUMMYFUNCTION("""COMPUTED_VALUE"""),0.003)</f>
        <v>0.003</v>
      </c>
      <c r="Q409" s="199">
        <f>IFERROR(__xludf.DUMMYFUNCTION("""COMPUTED_VALUE"""),0.0)</f>
        <v>0</v>
      </c>
      <c r="R409" s="199">
        <f>IFERROR(__xludf.DUMMYFUNCTION("""COMPUTED_VALUE"""),5.0)</f>
        <v>5</v>
      </c>
      <c r="S409" s="199">
        <f>IFERROR(__xludf.DUMMYFUNCTION("""COMPUTED_VALUE"""),1.0)</f>
        <v>1</v>
      </c>
      <c r="T409" s="199">
        <f>IFERROR(__xludf.DUMMYFUNCTION("""COMPUTED_VALUE"""),2.0)</f>
        <v>2</v>
      </c>
      <c r="U409" s="199">
        <f>IFERROR(__xludf.DUMMYFUNCTION("""COMPUTED_VALUE"""),4.0)</f>
        <v>4</v>
      </c>
      <c r="V409" s="199">
        <f>IFERROR(__xludf.DUMMYFUNCTION("""COMPUTED_VALUE"""),0.0)</f>
        <v>0</v>
      </c>
      <c r="W409" s="199">
        <f>IFERROR(__xludf.DUMMYFUNCTION("""COMPUTED_VALUE"""),0.0)</f>
        <v>0</v>
      </c>
      <c r="X409" s="199">
        <f>IFERROR(__xludf.DUMMYFUNCTION("""COMPUTED_VALUE"""),0.0)</f>
        <v>0</v>
      </c>
      <c r="Y409" s="199">
        <f>IFERROR(__xludf.DUMMYFUNCTION("""COMPUTED_VALUE"""),0.0)</f>
        <v>0</v>
      </c>
      <c r="Z409" s="199">
        <f>IFERROR(__xludf.DUMMYFUNCTION("""COMPUTED_VALUE"""),0.0)</f>
        <v>0</v>
      </c>
      <c r="AA409" s="199">
        <f>IFERROR(__xludf.DUMMYFUNCTION("""COMPUTED_VALUE"""),0.0)</f>
        <v>0</v>
      </c>
      <c r="AB409" s="199">
        <f>IFERROR(__xludf.DUMMYFUNCTION("""COMPUTED_VALUE"""),0.0)</f>
        <v>0</v>
      </c>
      <c r="AC409" s="199">
        <f>IFERROR(__xludf.DUMMYFUNCTION("""COMPUTED_VALUE"""),10.0)</f>
        <v>10</v>
      </c>
      <c r="AD409" s="199">
        <f>IFERROR(__xludf.DUMMYFUNCTION("""COMPUTED_VALUE"""),0.0)</f>
        <v>0</v>
      </c>
      <c r="AE409" s="199">
        <f>IFERROR(__xludf.DUMMYFUNCTION("""COMPUTED_VALUE"""),110.0)</f>
        <v>110</v>
      </c>
      <c r="AF409" s="199">
        <f>IFERROR(__xludf.DUMMYFUNCTION("""COMPUTED_VALUE"""),0.0)</f>
        <v>0</v>
      </c>
      <c r="AG409" s="199">
        <f>IFERROR(__xludf.DUMMYFUNCTION("""COMPUTED_VALUE"""),521.0)</f>
        <v>521</v>
      </c>
      <c r="AH409" s="199">
        <f>IFERROR(__xludf.DUMMYFUNCTION("""COMPUTED_VALUE"""),509.0)</f>
        <v>509</v>
      </c>
      <c r="AI409" s="200" t="str">
        <f>IFERROR(__xludf.DUMMYFUNCTION("""COMPUTED_VALUE"""),"Normal - No Action Required")</f>
        <v>Normal - No Action Required</v>
      </c>
      <c r="AJ409" s="200" t="str">
        <f>IFERROR(__xludf.DUMMYFUNCTION("""COMPUTED_VALUE"""),"Continue routine monitoring and sampling schedule")</f>
        <v>Continue routine monitoring and sampling schedule</v>
      </c>
      <c r="AK409" s="204"/>
      <c r="AL409" s="204"/>
      <c r="AM409" s="204"/>
    </row>
    <row r="410" hidden="1">
      <c r="A410" s="199" t="str">
        <f>IFERROR(__xludf.DUMMYFUNCTION("""COMPUTED_VALUE"""),"321.LQ120 (T)")</f>
        <v>321.LQ120 (T)</v>
      </c>
      <c r="B410" s="200" t="str">
        <f>IFERROR(__xludf.DUMMYFUNCTION("""COMPUTED_VALUE"""),"Roller Lubrication Unit (Tank)")</f>
        <v>Roller Lubrication Unit (Tank)</v>
      </c>
      <c r="C410" s="199">
        <f>IFERROR(__xludf.DUMMYFUNCTION("""COMPUTED_VALUE"""),2.525815924E10)</f>
        <v>25258159240</v>
      </c>
      <c r="D410" s="201">
        <f>IFERROR(__xludf.DUMMYFUNCTION("""COMPUTED_VALUE"""),45909.0)</f>
        <v>45909</v>
      </c>
      <c r="E410" s="202" t="str">
        <f>IFERROR(__xludf.DUMMYFUNCTION("""COMPUTED_VALUE"""),"Normal")</f>
        <v>Normal</v>
      </c>
      <c r="F410" s="202" t="str">
        <f>IFERROR(__xludf.DUMMYFUNCTION("""COMPUTED_VALUE"""),"Normal")</f>
        <v>Normal</v>
      </c>
      <c r="G410" s="203" t="str">
        <f>IFERROR(__xludf.DUMMYFUNCTION("""COMPUTED_VALUE"""),"Normal")</f>
        <v>Normal</v>
      </c>
      <c r="H410" s="203" t="str">
        <f>IFERROR(__xludf.DUMMYFUNCTION("""COMPUTED_VALUE"""),"Normal")</f>
        <v>Normal</v>
      </c>
      <c r="I410" s="37"/>
      <c r="J410" s="37"/>
      <c r="K410" s="37"/>
      <c r="L410" s="199">
        <f>IFERROR(__xludf.DUMMYFUNCTION("""COMPUTED_VALUE"""),21.0)</f>
        <v>21</v>
      </c>
      <c r="M410" s="199">
        <f>IFERROR(__xludf.DUMMYFUNCTION("""COMPUTED_VALUE"""),90.1)</f>
        <v>90.1</v>
      </c>
      <c r="N410" s="37"/>
      <c r="O410" s="37"/>
      <c r="P410" s="199">
        <f>IFERROR(__xludf.DUMMYFUNCTION("""COMPUTED_VALUE"""),0.003)</f>
        <v>0.003</v>
      </c>
      <c r="Q410" s="199">
        <f>IFERROR(__xludf.DUMMYFUNCTION("""COMPUTED_VALUE"""),0.0)</f>
        <v>0</v>
      </c>
      <c r="R410" s="199">
        <f>IFERROR(__xludf.DUMMYFUNCTION("""COMPUTED_VALUE"""),12.0)</f>
        <v>12</v>
      </c>
      <c r="S410" s="199">
        <f>IFERROR(__xludf.DUMMYFUNCTION("""COMPUTED_VALUE"""),1.0)</f>
        <v>1</v>
      </c>
      <c r="T410" s="199">
        <f>IFERROR(__xludf.DUMMYFUNCTION("""COMPUTED_VALUE"""),4.0)</f>
        <v>4</v>
      </c>
      <c r="U410" s="199">
        <f>IFERROR(__xludf.DUMMYFUNCTION("""COMPUTED_VALUE"""),29.0)</f>
        <v>29</v>
      </c>
      <c r="V410" s="199">
        <f>IFERROR(__xludf.DUMMYFUNCTION("""COMPUTED_VALUE"""),0.0)</f>
        <v>0</v>
      </c>
      <c r="W410" s="199">
        <f>IFERROR(__xludf.DUMMYFUNCTION("""COMPUTED_VALUE"""),0.0)</f>
        <v>0</v>
      </c>
      <c r="X410" s="199">
        <f>IFERROR(__xludf.DUMMYFUNCTION("""COMPUTED_VALUE"""),0.0)</f>
        <v>0</v>
      </c>
      <c r="Y410" s="199">
        <f>IFERROR(__xludf.DUMMYFUNCTION("""COMPUTED_VALUE"""),0.0)</f>
        <v>0</v>
      </c>
      <c r="Z410" s="199">
        <f>IFERROR(__xludf.DUMMYFUNCTION("""COMPUTED_VALUE"""),2.0)</f>
        <v>2</v>
      </c>
      <c r="AA410" s="199">
        <f>IFERROR(__xludf.DUMMYFUNCTION("""COMPUTED_VALUE"""),0.0)</f>
        <v>0</v>
      </c>
      <c r="AB410" s="199">
        <f>IFERROR(__xludf.DUMMYFUNCTION("""COMPUTED_VALUE"""),15.0)</f>
        <v>15</v>
      </c>
      <c r="AC410" s="199">
        <f>IFERROR(__xludf.DUMMYFUNCTION("""COMPUTED_VALUE"""),25.0)</f>
        <v>25</v>
      </c>
      <c r="AD410" s="199">
        <f>IFERROR(__xludf.DUMMYFUNCTION("""COMPUTED_VALUE"""),0.0)</f>
        <v>0</v>
      </c>
      <c r="AE410" s="199">
        <f>IFERROR(__xludf.DUMMYFUNCTION("""COMPUTED_VALUE"""),24.0)</f>
        <v>24</v>
      </c>
      <c r="AF410" s="199">
        <f>IFERROR(__xludf.DUMMYFUNCTION("""COMPUTED_VALUE"""),5.0)</f>
        <v>5</v>
      </c>
      <c r="AG410" s="199">
        <f>IFERROR(__xludf.DUMMYFUNCTION("""COMPUTED_VALUE"""),396.0)</f>
        <v>396</v>
      </c>
      <c r="AH410" s="199">
        <f>IFERROR(__xludf.DUMMYFUNCTION("""COMPUTED_VALUE"""),0.0)</f>
        <v>0</v>
      </c>
      <c r="AI410" s="200" t="str">
        <f>IFERROR(__xludf.DUMMYFUNCTION("""COMPUTED_VALUE"""),"Normal - No Action Required")</f>
        <v>Normal - No Action Required</v>
      </c>
      <c r="AJ410" s="200" t="str">
        <f>IFERROR(__xludf.DUMMYFUNCTION("""COMPUTED_VALUE"""),"Continue routine monitoring and sampling schedule")</f>
        <v>Continue routine monitoring and sampling schedule</v>
      </c>
      <c r="AK410" s="204"/>
      <c r="AL410" s="204"/>
      <c r="AM410" s="204"/>
    </row>
    <row r="411" hidden="1">
      <c r="A411" s="199" t="str">
        <f>IFERROR(__xludf.DUMMYFUNCTION("""COMPUTED_VALUE"""),"441.MD140 (T)")</f>
        <v>441.MD140 (T)</v>
      </c>
      <c r="B411" s="200" t="str">
        <f>IFERROR(__xludf.DUMMYFUNCTION("""COMPUTED_VALUE"""),"Clinker Cooler Drive (From Tank)")</f>
        <v>Clinker Cooler Drive (From Tank)</v>
      </c>
      <c r="C411" s="199">
        <f>IFERROR(__xludf.DUMMYFUNCTION("""COMPUTED_VALUE"""),2.5258159206E10)</f>
        <v>25258159206</v>
      </c>
      <c r="D411" s="201">
        <f>IFERROR(__xludf.DUMMYFUNCTION("""COMPUTED_VALUE"""),45909.0)</f>
        <v>45909</v>
      </c>
      <c r="E411" s="202" t="str">
        <f>IFERROR(__xludf.DUMMYFUNCTION("""COMPUTED_VALUE"""),"Normal")</f>
        <v>Normal</v>
      </c>
      <c r="F411" s="202" t="str">
        <f>IFERROR(__xludf.DUMMYFUNCTION("""COMPUTED_VALUE"""),"Normal")</f>
        <v>Normal</v>
      </c>
      <c r="G411" s="203" t="str">
        <f>IFERROR(__xludf.DUMMYFUNCTION("""COMPUTED_VALUE"""),"Normal")</f>
        <v>Normal</v>
      </c>
      <c r="H411" s="203" t="str">
        <f>IFERROR(__xludf.DUMMYFUNCTION("""COMPUTED_VALUE"""),"Normal")</f>
        <v>Normal</v>
      </c>
      <c r="I411" s="37">
        <f>IFERROR(__xludf.DUMMYFUNCTION("""COMPUTED_VALUE"""),5491.0)</f>
        <v>5491</v>
      </c>
      <c r="J411" s="37">
        <f>IFERROR(__xludf.DUMMYFUNCTION("""COMPUTED_VALUE"""),910.0)</f>
        <v>910</v>
      </c>
      <c r="K411" s="37">
        <f>IFERROR(__xludf.DUMMYFUNCTION("""COMPUTED_VALUE"""),2117.0)</f>
        <v>2117</v>
      </c>
      <c r="L411" s="199">
        <f>IFERROR(__xludf.DUMMYFUNCTION("""COMPUTED_VALUE"""),5.0)</f>
        <v>5</v>
      </c>
      <c r="M411" s="199">
        <f>IFERROR(__xludf.DUMMYFUNCTION("""COMPUTED_VALUE"""),48.5)</f>
        <v>48.5</v>
      </c>
      <c r="N411" s="37"/>
      <c r="O411" s="37">
        <f>IFERROR(__xludf.DUMMYFUNCTION("""COMPUTED_VALUE"""),0.0)</f>
        <v>0</v>
      </c>
      <c r="P411" s="199">
        <f>IFERROR(__xludf.DUMMYFUNCTION("""COMPUTED_VALUE"""),0.003)</f>
        <v>0.003</v>
      </c>
      <c r="Q411" s="199">
        <f>IFERROR(__xludf.DUMMYFUNCTION("""COMPUTED_VALUE"""),0.0)</f>
        <v>0</v>
      </c>
      <c r="R411" s="199">
        <f>IFERROR(__xludf.DUMMYFUNCTION("""COMPUTED_VALUE"""),5.0)</f>
        <v>5</v>
      </c>
      <c r="S411" s="199">
        <f>IFERROR(__xludf.DUMMYFUNCTION("""COMPUTED_VALUE"""),1.0)</f>
        <v>1</v>
      </c>
      <c r="T411" s="199">
        <f>IFERROR(__xludf.DUMMYFUNCTION("""COMPUTED_VALUE"""),2.0)</f>
        <v>2</v>
      </c>
      <c r="U411" s="199">
        <f>IFERROR(__xludf.DUMMYFUNCTION("""COMPUTED_VALUE"""),4.0)</f>
        <v>4</v>
      </c>
      <c r="V411" s="199">
        <f>IFERROR(__xludf.DUMMYFUNCTION("""COMPUTED_VALUE"""),0.0)</f>
        <v>0</v>
      </c>
      <c r="W411" s="199">
        <f>IFERROR(__xludf.DUMMYFUNCTION("""COMPUTED_VALUE"""),0.0)</f>
        <v>0</v>
      </c>
      <c r="X411" s="199">
        <f>IFERROR(__xludf.DUMMYFUNCTION("""COMPUTED_VALUE"""),0.0)</f>
        <v>0</v>
      </c>
      <c r="Y411" s="199">
        <f>IFERROR(__xludf.DUMMYFUNCTION("""COMPUTED_VALUE"""),0.0)</f>
        <v>0</v>
      </c>
      <c r="Z411" s="199">
        <f>IFERROR(__xludf.DUMMYFUNCTION("""COMPUTED_VALUE"""),0.0)</f>
        <v>0</v>
      </c>
      <c r="AA411" s="199">
        <f>IFERROR(__xludf.DUMMYFUNCTION("""COMPUTED_VALUE"""),0.0)</f>
        <v>0</v>
      </c>
      <c r="AB411" s="199">
        <f>IFERROR(__xludf.DUMMYFUNCTION("""COMPUTED_VALUE"""),0.0)</f>
        <v>0</v>
      </c>
      <c r="AC411" s="199">
        <f>IFERROR(__xludf.DUMMYFUNCTION("""COMPUTED_VALUE"""),2.0)</f>
        <v>2</v>
      </c>
      <c r="AD411" s="199">
        <f>IFERROR(__xludf.DUMMYFUNCTION("""COMPUTED_VALUE"""),0.0)</f>
        <v>0</v>
      </c>
      <c r="AE411" s="199">
        <f>IFERROR(__xludf.DUMMYFUNCTION("""COMPUTED_VALUE"""),68.0)</f>
        <v>68</v>
      </c>
      <c r="AF411" s="199">
        <f>IFERROR(__xludf.DUMMYFUNCTION("""COMPUTED_VALUE"""),0.0)</f>
        <v>0</v>
      </c>
      <c r="AG411" s="199">
        <f>IFERROR(__xludf.DUMMYFUNCTION("""COMPUTED_VALUE"""),464.0)</f>
        <v>464</v>
      </c>
      <c r="AH411" s="199">
        <f>IFERROR(__xludf.DUMMYFUNCTION("""COMPUTED_VALUE"""),480.0)</f>
        <v>480</v>
      </c>
      <c r="AI411" s="200" t="str">
        <f>IFERROR(__xludf.DUMMYFUNCTION("""COMPUTED_VALUE"""),"Normal - No Action Required")</f>
        <v>Normal - No Action Required</v>
      </c>
      <c r="AJ411" s="200" t="str">
        <f>IFERROR(__xludf.DUMMYFUNCTION("""COMPUTED_VALUE"""),"Continue routine monitoring and sampling schedule")</f>
        <v>Continue routine monitoring and sampling schedule</v>
      </c>
      <c r="AK411" s="204"/>
      <c r="AL411" s="204"/>
      <c r="AM411" s="204"/>
    </row>
    <row r="412" hidden="1">
      <c r="A412" s="199" t="str">
        <f>IFERROR(__xludf.DUMMYFUNCTION("""COMPUTED_VALUE"""),"461.HY110")</f>
        <v>461.HY110</v>
      </c>
      <c r="B412" s="200" t="str">
        <f>IFERROR(__xludf.DUMMYFUNCTION("""COMPUTED_VALUE"""),"Coal Mill 1 Hyd. tensioning sys.")</f>
        <v>Coal Mill 1 Hyd. tensioning sys.</v>
      </c>
      <c r="C412" s="199">
        <f>IFERROR(__xludf.DUMMYFUNCTION("""COMPUTED_VALUE"""),2.5258159205E10)</f>
        <v>25258159205</v>
      </c>
      <c r="D412" s="201">
        <f>IFERROR(__xludf.DUMMYFUNCTION("""COMPUTED_VALUE"""),45909.0)</f>
        <v>45909</v>
      </c>
      <c r="E412" s="202" t="str">
        <f>IFERROR(__xludf.DUMMYFUNCTION("""COMPUTED_VALUE"""),"Normal")</f>
        <v>Normal</v>
      </c>
      <c r="F412" s="202" t="str">
        <f>IFERROR(__xludf.DUMMYFUNCTION("""COMPUTED_VALUE"""),"Normal")</f>
        <v>Normal</v>
      </c>
      <c r="G412" s="203" t="str">
        <f>IFERROR(__xludf.DUMMYFUNCTION("""COMPUTED_VALUE"""),"Normal")</f>
        <v>Normal</v>
      </c>
      <c r="H412" s="203" t="str">
        <f>IFERROR(__xludf.DUMMYFUNCTION("""COMPUTED_VALUE"""),"Normal")</f>
        <v>Normal</v>
      </c>
      <c r="I412" s="199">
        <f>IFERROR(__xludf.DUMMYFUNCTION("""COMPUTED_VALUE"""),10977.0)</f>
        <v>10977</v>
      </c>
      <c r="J412" s="199">
        <f>IFERROR(__xludf.DUMMYFUNCTION("""COMPUTED_VALUE"""),5168.0)</f>
        <v>5168</v>
      </c>
      <c r="K412" s="199">
        <f>IFERROR(__xludf.DUMMYFUNCTION("""COMPUTED_VALUE"""),911.0)</f>
        <v>911</v>
      </c>
      <c r="L412" s="199">
        <f>IFERROR(__xludf.DUMMYFUNCTION("""COMPUTED_VALUE"""),6.0)</f>
        <v>6</v>
      </c>
      <c r="M412" s="199">
        <f>IFERROR(__xludf.DUMMYFUNCTION("""COMPUTED_VALUE"""),45.4)</f>
        <v>45.4</v>
      </c>
      <c r="N412" s="37"/>
      <c r="O412" s="37">
        <f>IFERROR(__xludf.DUMMYFUNCTION("""COMPUTED_VALUE"""),0.0)</f>
        <v>0</v>
      </c>
      <c r="P412" s="199">
        <f>IFERROR(__xludf.DUMMYFUNCTION("""COMPUTED_VALUE"""),0.01)</f>
        <v>0.01</v>
      </c>
      <c r="Q412" s="199">
        <f>IFERROR(__xludf.DUMMYFUNCTION("""COMPUTED_VALUE"""),0.0)</f>
        <v>0</v>
      </c>
      <c r="R412" s="199">
        <f>IFERROR(__xludf.DUMMYFUNCTION("""COMPUTED_VALUE"""),5.0)</f>
        <v>5</v>
      </c>
      <c r="S412" s="199">
        <f>IFERROR(__xludf.DUMMYFUNCTION("""COMPUTED_VALUE"""),2.0)</f>
        <v>2</v>
      </c>
      <c r="T412" s="199">
        <f>IFERROR(__xludf.DUMMYFUNCTION("""COMPUTED_VALUE"""),9.0)</f>
        <v>9</v>
      </c>
      <c r="U412" s="199">
        <f>IFERROR(__xludf.DUMMYFUNCTION("""COMPUTED_VALUE"""),22.0)</f>
        <v>22</v>
      </c>
      <c r="V412" s="199">
        <f>IFERROR(__xludf.DUMMYFUNCTION("""COMPUTED_VALUE"""),0.0)</f>
        <v>0</v>
      </c>
      <c r="W412" s="199">
        <f>IFERROR(__xludf.DUMMYFUNCTION("""COMPUTED_VALUE"""),0.0)</f>
        <v>0</v>
      </c>
      <c r="X412" s="199">
        <f>IFERROR(__xludf.DUMMYFUNCTION("""COMPUTED_VALUE"""),0.0)</f>
        <v>0</v>
      </c>
      <c r="Y412" s="199">
        <f>IFERROR(__xludf.DUMMYFUNCTION("""COMPUTED_VALUE"""),0.0)</f>
        <v>0</v>
      </c>
      <c r="Z412" s="199">
        <f>IFERROR(__xludf.DUMMYFUNCTION("""COMPUTED_VALUE"""),0.0)</f>
        <v>0</v>
      </c>
      <c r="AA412" s="199">
        <f>IFERROR(__xludf.DUMMYFUNCTION("""COMPUTED_VALUE"""),0.0)</f>
        <v>0</v>
      </c>
      <c r="AB412" s="199">
        <f>IFERROR(__xludf.DUMMYFUNCTION("""COMPUTED_VALUE"""),0.0)</f>
        <v>0</v>
      </c>
      <c r="AC412" s="199">
        <f>IFERROR(__xludf.DUMMYFUNCTION("""COMPUTED_VALUE"""),10.0)</f>
        <v>10</v>
      </c>
      <c r="AD412" s="199">
        <f>IFERROR(__xludf.DUMMYFUNCTION("""COMPUTED_VALUE"""),0.0)</f>
        <v>0</v>
      </c>
      <c r="AE412" s="199">
        <f>IFERROR(__xludf.DUMMYFUNCTION("""COMPUTED_VALUE"""),82.0)</f>
        <v>82</v>
      </c>
      <c r="AF412" s="199">
        <f>IFERROR(__xludf.DUMMYFUNCTION("""COMPUTED_VALUE"""),3.0)</f>
        <v>3</v>
      </c>
      <c r="AG412" s="199">
        <f>IFERROR(__xludf.DUMMYFUNCTION("""COMPUTED_VALUE"""),384.0)</f>
        <v>384</v>
      </c>
      <c r="AH412" s="199">
        <f>IFERROR(__xludf.DUMMYFUNCTION("""COMPUTED_VALUE"""),658.0)</f>
        <v>658</v>
      </c>
      <c r="AI412" s="200" t="str">
        <f>IFERROR(__xludf.DUMMYFUNCTION("""COMPUTED_VALUE"""),"Normal - No Action Required")</f>
        <v>Normal - No Action Required</v>
      </c>
      <c r="AJ412" s="200" t="str">
        <f>IFERROR(__xludf.DUMMYFUNCTION("""COMPUTED_VALUE"""),"Continue routine monitoring and sampling schedule")</f>
        <v>Continue routine monitoring and sampling schedule</v>
      </c>
      <c r="AK412" s="204"/>
      <c r="AL412" s="204"/>
      <c r="AM412" s="204"/>
    </row>
    <row r="413" hidden="1">
      <c r="A413" s="199" t="str">
        <f>IFERROR(__xludf.DUMMYFUNCTION("""COMPUTED_VALUE"""),"461.LQ120(T)")</f>
        <v>461.LQ120(T)</v>
      </c>
      <c r="B413" s="200" t="str">
        <f>IFERROR(__xludf.DUMMYFUNCTION("""COMPUTED_VALUE"""),"Coal mill 1 Roller Lub. Unit (Tank)")</f>
        <v>Coal mill 1 Roller Lub. Unit (Tank)</v>
      </c>
      <c r="C413" s="199">
        <f>IFERROR(__xludf.DUMMYFUNCTION("""COMPUTED_VALUE"""),2.5259220322E10)</f>
        <v>25259220322</v>
      </c>
      <c r="D413" s="201">
        <f>IFERROR(__xludf.DUMMYFUNCTION("""COMPUTED_VALUE"""),45909.0)</f>
        <v>45909</v>
      </c>
      <c r="E413" s="202" t="str">
        <f>IFERROR(__xludf.DUMMYFUNCTION("""COMPUTED_VALUE"""),"Caution")</f>
        <v>Caution</v>
      </c>
      <c r="F413" s="202" t="str">
        <f>IFERROR(__xludf.DUMMYFUNCTION("""COMPUTED_VALUE"""),"Normal")</f>
        <v>Normal</v>
      </c>
      <c r="G413" s="203" t="str">
        <f>IFERROR(__xludf.DUMMYFUNCTION("""COMPUTED_VALUE"""),"Normal")</f>
        <v>Normal</v>
      </c>
      <c r="H413" s="203" t="str">
        <f>IFERROR(__xludf.DUMMYFUNCTION("""COMPUTED_VALUE"""),"Caution")</f>
        <v>Caution</v>
      </c>
      <c r="I413" s="37"/>
      <c r="J413" s="37"/>
      <c r="K413" s="37"/>
      <c r="L413" s="199">
        <f>IFERROR(__xludf.DUMMYFUNCTION("""COMPUTED_VALUE"""),20.0)</f>
        <v>20</v>
      </c>
      <c r="M413" s="199">
        <f>IFERROR(__xludf.DUMMYFUNCTION("""COMPUTED_VALUE"""),97.5)</f>
        <v>97.5</v>
      </c>
      <c r="N413" s="37"/>
      <c r="O413" s="37"/>
      <c r="P413" s="199">
        <f>IFERROR(__xludf.DUMMYFUNCTION("""COMPUTED_VALUE"""),0.04)</f>
        <v>0.04</v>
      </c>
      <c r="Q413" s="199">
        <f>IFERROR(__xludf.DUMMYFUNCTION("""COMPUTED_VALUE"""),0.0)</f>
        <v>0</v>
      </c>
      <c r="R413" s="199">
        <f>IFERROR(__xludf.DUMMYFUNCTION("""COMPUTED_VALUE"""),12.0)</f>
        <v>12</v>
      </c>
      <c r="S413" s="199">
        <f>IFERROR(__xludf.DUMMYFUNCTION("""COMPUTED_VALUE"""),1.0)</f>
        <v>1</v>
      </c>
      <c r="T413" s="199">
        <f>IFERROR(__xludf.DUMMYFUNCTION("""COMPUTED_VALUE"""),6.0)</f>
        <v>6</v>
      </c>
      <c r="U413" s="199">
        <f>IFERROR(__xludf.DUMMYFUNCTION("""COMPUTED_VALUE"""),25.0)</f>
        <v>25</v>
      </c>
      <c r="V413" s="199">
        <f>IFERROR(__xludf.DUMMYFUNCTION("""COMPUTED_VALUE"""),0.0)</f>
        <v>0</v>
      </c>
      <c r="W413" s="199">
        <f>IFERROR(__xludf.DUMMYFUNCTION("""COMPUTED_VALUE"""),0.0)</f>
        <v>0</v>
      </c>
      <c r="X413" s="199">
        <f>IFERROR(__xludf.DUMMYFUNCTION("""COMPUTED_VALUE"""),0.0)</f>
        <v>0</v>
      </c>
      <c r="Y413" s="199">
        <f>IFERROR(__xludf.DUMMYFUNCTION("""COMPUTED_VALUE"""),0.0)</f>
        <v>0</v>
      </c>
      <c r="Z413" s="199">
        <f>IFERROR(__xludf.DUMMYFUNCTION("""COMPUTED_VALUE"""),2.0)</f>
        <v>2</v>
      </c>
      <c r="AA413" s="199">
        <f>IFERROR(__xludf.DUMMYFUNCTION("""COMPUTED_VALUE"""),0.0)</f>
        <v>0</v>
      </c>
      <c r="AB413" s="199">
        <f>IFERROR(__xludf.DUMMYFUNCTION("""COMPUTED_VALUE"""),8.0)</f>
        <v>8</v>
      </c>
      <c r="AC413" s="199">
        <f>IFERROR(__xludf.DUMMYFUNCTION("""COMPUTED_VALUE"""),23.0)</f>
        <v>23</v>
      </c>
      <c r="AD413" s="199">
        <f>IFERROR(__xludf.DUMMYFUNCTION("""COMPUTED_VALUE"""),0.0)</f>
        <v>0</v>
      </c>
      <c r="AE413" s="199">
        <f>IFERROR(__xludf.DUMMYFUNCTION("""COMPUTED_VALUE"""),15.0)</f>
        <v>15</v>
      </c>
      <c r="AF413" s="199">
        <f>IFERROR(__xludf.DUMMYFUNCTION("""COMPUTED_VALUE"""),0.0)</f>
        <v>0</v>
      </c>
      <c r="AG413" s="199">
        <f>IFERROR(__xludf.DUMMYFUNCTION("""COMPUTED_VALUE"""),346.0)</f>
        <v>346</v>
      </c>
      <c r="AH413" s="199">
        <f>IFERROR(__xludf.DUMMYFUNCTION("""COMPUTED_VALUE"""),0.0)</f>
        <v>0</v>
      </c>
      <c r="AI413" s="200" t="str">
        <f>IFERROR(__xludf.DUMMYFUNCTION("""COMPUTED_VALUE"""),"General Caution")</f>
        <v>General Caution</v>
      </c>
      <c r="AJ413" s="200" t="str">
        <f>IFERROR(__xludf.DUMMYFUNCTION("""COMPUTED_VALUE"""),"Lubricant showing degradation - plan oil change within 3 months")</f>
        <v>Lubricant showing degradation - plan oil change within 3 months</v>
      </c>
      <c r="AK413" s="204"/>
      <c r="AL413" s="204"/>
      <c r="AM413" s="204"/>
    </row>
    <row r="414" hidden="1">
      <c r="A414" s="199" t="str">
        <f>IFERROR(__xludf.DUMMYFUNCTION("""COMPUTED_VALUE"""),"462.HY110")</f>
        <v>462.HY110</v>
      </c>
      <c r="B414" s="200" t="str">
        <f>IFERROR(__xludf.DUMMYFUNCTION("""COMPUTED_VALUE"""),"Coal Mill 2 Hyd. tensioning sys.")</f>
        <v>Coal Mill 2 Hyd. tensioning sys.</v>
      </c>
      <c r="C414" s="199">
        <f>IFERROR(__xludf.DUMMYFUNCTION("""COMPUTED_VALUE"""),2.5258159201E10)</f>
        <v>25258159201</v>
      </c>
      <c r="D414" s="201">
        <f>IFERROR(__xludf.DUMMYFUNCTION("""COMPUTED_VALUE"""),45909.0)</f>
        <v>45909</v>
      </c>
      <c r="E414" s="202" t="str">
        <f>IFERROR(__xludf.DUMMYFUNCTION("""COMPUTED_VALUE"""),"Normal")</f>
        <v>Normal</v>
      </c>
      <c r="F414" s="202" t="str">
        <f>IFERROR(__xludf.DUMMYFUNCTION("""COMPUTED_VALUE"""),"Normal")</f>
        <v>Normal</v>
      </c>
      <c r="G414" s="203" t="str">
        <f>IFERROR(__xludf.DUMMYFUNCTION("""COMPUTED_VALUE"""),"Normal")</f>
        <v>Normal</v>
      </c>
      <c r="H414" s="203" t="str">
        <f>IFERROR(__xludf.DUMMYFUNCTION("""COMPUTED_VALUE"""),"Normal")</f>
        <v>Normal</v>
      </c>
      <c r="I414" s="37">
        <f>IFERROR(__xludf.DUMMYFUNCTION("""COMPUTED_VALUE"""),11780.0)</f>
        <v>11780</v>
      </c>
      <c r="J414" s="37">
        <f>IFERROR(__xludf.DUMMYFUNCTION("""COMPUTED_VALUE"""),5186.0)</f>
        <v>5186</v>
      </c>
      <c r="K414" s="37">
        <f>IFERROR(__xludf.DUMMYFUNCTION("""COMPUTED_VALUE"""),1300.0)</f>
        <v>1300</v>
      </c>
      <c r="L414" s="199">
        <f>IFERROR(__xludf.DUMMYFUNCTION("""COMPUTED_VALUE"""),13.0)</f>
        <v>13</v>
      </c>
      <c r="M414" s="199">
        <f>IFERROR(__xludf.DUMMYFUNCTION("""COMPUTED_VALUE"""),48.7)</f>
        <v>48.7</v>
      </c>
      <c r="N414" s="199"/>
      <c r="O414" s="199">
        <f>IFERROR(__xludf.DUMMYFUNCTION("""COMPUTED_VALUE"""),0.0)</f>
        <v>0</v>
      </c>
      <c r="P414" s="199">
        <f>IFERROR(__xludf.DUMMYFUNCTION("""COMPUTED_VALUE"""),0.04)</f>
        <v>0.04</v>
      </c>
      <c r="Q414" s="199">
        <f>IFERROR(__xludf.DUMMYFUNCTION("""COMPUTED_VALUE"""),0.0)</f>
        <v>0</v>
      </c>
      <c r="R414" s="199">
        <f>IFERROR(__xludf.DUMMYFUNCTION("""COMPUTED_VALUE"""),7.0)</f>
        <v>7</v>
      </c>
      <c r="S414" s="199">
        <f>IFERROR(__xludf.DUMMYFUNCTION("""COMPUTED_VALUE"""),1.0)</f>
        <v>1</v>
      </c>
      <c r="T414" s="199">
        <f>IFERROR(__xludf.DUMMYFUNCTION("""COMPUTED_VALUE"""),4.0)</f>
        <v>4</v>
      </c>
      <c r="U414" s="199">
        <f>IFERROR(__xludf.DUMMYFUNCTION("""COMPUTED_VALUE"""),8.0)</f>
        <v>8</v>
      </c>
      <c r="V414" s="199">
        <f>IFERROR(__xludf.DUMMYFUNCTION("""COMPUTED_VALUE"""),0.0)</f>
        <v>0</v>
      </c>
      <c r="W414" s="199">
        <f>IFERROR(__xludf.DUMMYFUNCTION("""COMPUTED_VALUE"""),0.0)</f>
        <v>0</v>
      </c>
      <c r="X414" s="199">
        <f>IFERROR(__xludf.DUMMYFUNCTION("""COMPUTED_VALUE"""),0.0)</f>
        <v>0</v>
      </c>
      <c r="Y414" s="199">
        <f>IFERROR(__xludf.DUMMYFUNCTION("""COMPUTED_VALUE"""),0.0)</f>
        <v>0</v>
      </c>
      <c r="Z414" s="199">
        <f>IFERROR(__xludf.DUMMYFUNCTION("""COMPUTED_VALUE"""),0.0)</f>
        <v>0</v>
      </c>
      <c r="AA414" s="199">
        <f>IFERROR(__xludf.DUMMYFUNCTION("""COMPUTED_VALUE"""),0.0)</f>
        <v>0</v>
      </c>
      <c r="AB414" s="199">
        <f>IFERROR(__xludf.DUMMYFUNCTION("""COMPUTED_VALUE"""),0.0)</f>
        <v>0</v>
      </c>
      <c r="AC414" s="199">
        <f>IFERROR(__xludf.DUMMYFUNCTION("""COMPUTED_VALUE"""),10.0)</f>
        <v>10</v>
      </c>
      <c r="AD414" s="199">
        <f>IFERROR(__xludf.DUMMYFUNCTION("""COMPUTED_VALUE"""),0.0)</f>
        <v>0</v>
      </c>
      <c r="AE414" s="199">
        <f>IFERROR(__xludf.DUMMYFUNCTION("""COMPUTED_VALUE"""),89.0)</f>
        <v>89</v>
      </c>
      <c r="AF414" s="199">
        <f>IFERROR(__xludf.DUMMYFUNCTION("""COMPUTED_VALUE"""),0.0)</f>
        <v>0</v>
      </c>
      <c r="AG414" s="199">
        <f>IFERROR(__xludf.DUMMYFUNCTION("""COMPUTED_VALUE"""),451.0)</f>
        <v>451</v>
      </c>
      <c r="AH414" s="199">
        <f>IFERROR(__xludf.DUMMYFUNCTION("""COMPUTED_VALUE"""),502.0)</f>
        <v>502</v>
      </c>
      <c r="AI414" s="200" t="str">
        <f>IFERROR(__xludf.DUMMYFUNCTION("""COMPUTED_VALUE"""),"Normal - No Action Required")</f>
        <v>Normal - No Action Required</v>
      </c>
      <c r="AJ414" s="200" t="str">
        <f>IFERROR(__xludf.DUMMYFUNCTION("""COMPUTED_VALUE"""),"Continue routine monitoring and sampling schedule")</f>
        <v>Continue routine monitoring and sampling schedule</v>
      </c>
      <c r="AK414" s="204"/>
      <c r="AL414" s="204"/>
      <c r="AM414" s="204"/>
    </row>
    <row r="415" hidden="1">
      <c r="A415" s="199" t="str">
        <f>IFERROR(__xludf.DUMMYFUNCTION("""COMPUTED_VALUE"""),"462.LQ120(T)")</f>
        <v>462.LQ120(T)</v>
      </c>
      <c r="B415" s="200" t="str">
        <f>IFERROR(__xludf.DUMMYFUNCTION("""COMPUTED_VALUE"""),"Coal mill 2 Roller Lub. Unit (Tank)")</f>
        <v>Coal mill 2 Roller Lub. Unit (Tank)</v>
      </c>
      <c r="C415" s="199">
        <f>IFERROR(__xludf.DUMMYFUNCTION("""COMPUTED_VALUE"""),2.525815922E10)</f>
        <v>25258159220</v>
      </c>
      <c r="D415" s="201">
        <f>IFERROR(__xludf.DUMMYFUNCTION("""COMPUTED_VALUE"""),45909.0)</f>
        <v>45909</v>
      </c>
      <c r="E415" s="202" t="str">
        <f>IFERROR(__xludf.DUMMYFUNCTION("""COMPUTED_VALUE"""),"Normal")</f>
        <v>Normal</v>
      </c>
      <c r="F415" s="202" t="str">
        <f>IFERROR(__xludf.DUMMYFUNCTION("""COMPUTED_VALUE"""),"Normal")</f>
        <v>Normal</v>
      </c>
      <c r="G415" s="203" t="str">
        <f>IFERROR(__xludf.DUMMYFUNCTION("""COMPUTED_VALUE"""),"Normal")</f>
        <v>Normal</v>
      </c>
      <c r="H415" s="203" t="str">
        <f>IFERROR(__xludf.DUMMYFUNCTION("""COMPUTED_VALUE"""),"Normal")</f>
        <v>Normal</v>
      </c>
      <c r="I415" s="37"/>
      <c r="J415" s="37"/>
      <c r="K415" s="37"/>
      <c r="L415" s="199">
        <f>IFERROR(__xludf.DUMMYFUNCTION("""COMPUTED_VALUE"""),7.0)</f>
        <v>7</v>
      </c>
      <c r="M415" s="199">
        <f>IFERROR(__xludf.DUMMYFUNCTION("""COMPUTED_VALUE"""),91.1)</f>
        <v>91.1</v>
      </c>
      <c r="N415" s="37"/>
      <c r="O415" s="37"/>
      <c r="P415" s="199">
        <f>IFERROR(__xludf.DUMMYFUNCTION("""COMPUTED_VALUE"""),0.003)</f>
        <v>0.003</v>
      </c>
      <c r="Q415" s="199">
        <f>IFERROR(__xludf.DUMMYFUNCTION("""COMPUTED_VALUE"""),0.0)</f>
        <v>0</v>
      </c>
      <c r="R415" s="199">
        <f>IFERROR(__xludf.DUMMYFUNCTION("""COMPUTED_VALUE"""),5.0)</f>
        <v>5</v>
      </c>
      <c r="S415" s="199">
        <f>IFERROR(__xludf.DUMMYFUNCTION("""COMPUTED_VALUE"""),1.0)</f>
        <v>1</v>
      </c>
      <c r="T415" s="199">
        <f>IFERROR(__xludf.DUMMYFUNCTION("""COMPUTED_VALUE"""),4.0)</f>
        <v>4</v>
      </c>
      <c r="U415" s="199">
        <f>IFERROR(__xludf.DUMMYFUNCTION("""COMPUTED_VALUE"""),4.0)</f>
        <v>4</v>
      </c>
      <c r="V415" s="199">
        <f>IFERROR(__xludf.DUMMYFUNCTION("""COMPUTED_VALUE"""),0.0)</f>
        <v>0</v>
      </c>
      <c r="W415" s="199">
        <f>IFERROR(__xludf.DUMMYFUNCTION("""COMPUTED_VALUE"""),0.0)</f>
        <v>0</v>
      </c>
      <c r="X415" s="199">
        <f>IFERROR(__xludf.DUMMYFUNCTION("""COMPUTED_VALUE"""),0.0)</f>
        <v>0</v>
      </c>
      <c r="Y415" s="199">
        <f>IFERROR(__xludf.DUMMYFUNCTION("""COMPUTED_VALUE"""),0.0)</f>
        <v>0</v>
      </c>
      <c r="Z415" s="199">
        <f>IFERROR(__xludf.DUMMYFUNCTION("""COMPUTED_VALUE"""),0.0)</f>
        <v>0</v>
      </c>
      <c r="AA415" s="199">
        <f>IFERROR(__xludf.DUMMYFUNCTION("""COMPUTED_VALUE"""),0.0)</f>
        <v>0</v>
      </c>
      <c r="AB415" s="199">
        <f>IFERROR(__xludf.DUMMYFUNCTION("""COMPUTED_VALUE"""),6.0)</f>
        <v>6</v>
      </c>
      <c r="AC415" s="199">
        <f>IFERROR(__xludf.DUMMYFUNCTION("""COMPUTED_VALUE"""),0.0)</f>
        <v>0</v>
      </c>
      <c r="AD415" s="199">
        <f>IFERROR(__xludf.DUMMYFUNCTION("""COMPUTED_VALUE"""),0.0)</f>
        <v>0</v>
      </c>
      <c r="AE415" s="199">
        <f>IFERROR(__xludf.DUMMYFUNCTION("""COMPUTED_VALUE"""),40.0)</f>
        <v>40</v>
      </c>
      <c r="AF415" s="199">
        <f>IFERROR(__xludf.DUMMYFUNCTION("""COMPUTED_VALUE"""),2.0)</f>
        <v>2</v>
      </c>
      <c r="AG415" s="199">
        <f>IFERROR(__xludf.DUMMYFUNCTION("""COMPUTED_VALUE"""),662.0)</f>
        <v>662</v>
      </c>
      <c r="AH415" s="199">
        <f>IFERROR(__xludf.DUMMYFUNCTION("""COMPUTED_VALUE"""),0.0)</f>
        <v>0</v>
      </c>
      <c r="AI415" s="200" t="str">
        <f>IFERROR(__xludf.DUMMYFUNCTION("""COMPUTED_VALUE"""),"Normal - No Action Required")</f>
        <v>Normal - No Action Required</v>
      </c>
      <c r="AJ415" s="200" t="str">
        <f>IFERROR(__xludf.DUMMYFUNCTION("""COMPUTED_VALUE"""),"Continue routine monitoring and sampling schedule")</f>
        <v>Continue routine monitoring and sampling schedule</v>
      </c>
      <c r="AK415" s="204"/>
      <c r="AL415" s="204"/>
      <c r="AM415" s="204"/>
    </row>
    <row r="416" hidden="1">
      <c r="A416" s="199" t="str">
        <f>IFERROR(__xludf.DUMMYFUNCTION("""COMPUTED_VALUE"""),"481.BC600")</f>
        <v>481.BC600</v>
      </c>
      <c r="B416" s="200" t="str">
        <f>IFERROR(__xludf.DUMMYFUNCTION("""COMPUTED_VALUE"""),"Belt conveyor Gearbox")</f>
        <v>Belt conveyor Gearbox</v>
      </c>
      <c r="C416" s="199">
        <f>IFERROR(__xludf.DUMMYFUNCTION("""COMPUTED_VALUE"""),2.5258159223E10)</f>
        <v>25258159223</v>
      </c>
      <c r="D416" s="201">
        <f>IFERROR(__xludf.DUMMYFUNCTION("""COMPUTED_VALUE"""),45909.0)</f>
        <v>45909</v>
      </c>
      <c r="E416" s="202" t="str">
        <f>IFERROR(__xludf.DUMMYFUNCTION("""COMPUTED_VALUE"""),"Normal")</f>
        <v>Normal</v>
      </c>
      <c r="F416" s="202" t="str">
        <f>IFERROR(__xludf.DUMMYFUNCTION("""COMPUTED_VALUE"""),"Normal")</f>
        <v>Normal</v>
      </c>
      <c r="G416" s="203" t="str">
        <f>IFERROR(__xludf.DUMMYFUNCTION("""COMPUTED_VALUE"""),"Normal")</f>
        <v>Normal</v>
      </c>
      <c r="H416" s="203" t="str">
        <f>IFERROR(__xludf.DUMMYFUNCTION("""COMPUTED_VALUE"""),"Normal")</f>
        <v>Normal</v>
      </c>
      <c r="I416" s="37">
        <f>IFERROR(__xludf.DUMMYFUNCTION("""COMPUTED_VALUE"""),12817.0)</f>
        <v>12817</v>
      </c>
      <c r="J416" s="37">
        <f>IFERROR(__xludf.DUMMYFUNCTION("""COMPUTED_VALUE"""),5170.0)</f>
        <v>5170</v>
      </c>
      <c r="K416" s="37">
        <f>IFERROR(__xludf.DUMMYFUNCTION("""COMPUTED_VALUE"""),1162.0)</f>
        <v>1162</v>
      </c>
      <c r="L416" s="199">
        <f>IFERROR(__xludf.DUMMYFUNCTION("""COMPUTED_VALUE"""),10.0)</f>
        <v>10</v>
      </c>
      <c r="M416" s="199">
        <f>IFERROR(__xludf.DUMMYFUNCTION("""COMPUTED_VALUE"""),217.1)</f>
        <v>217.1</v>
      </c>
      <c r="N416" s="37"/>
      <c r="O416" s="37"/>
      <c r="P416" s="199">
        <f>IFERROR(__xludf.DUMMYFUNCTION("""COMPUTED_VALUE"""),0.003)</f>
        <v>0.003</v>
      </c>
      <c r="Q416" s="199">
        <f>IFERROR(__xludf.DUMMYFUNCTION("""COMPUTED_VALUE"""),0.0)</f>
        <v>0</v>
      </c>
      <c r="R416" s="199">
        <f>IFERROR(__xludf.DUMMYFUNCTION("""COMPUTED_VALUE"""),2.0)</f>
        <v>2</v>
      </c>
      <c r="S416" s="199">
        <f>IFERROR(__xludf.DUMMYFUNCTION("""COMPUTED_VALUE"""),1.0)</f>
        <v>1</v>
      </c>
      <c r="T416" s="199">
        <f>IFERROR(__xludf.DUMMYFUNCTION("""COMPUTED_VALUE"""),2.0)</f>
        <v>2</v>
      </c>
      <c r="U416" s="199">
        <f>IFERROR(__xludf.DUMMYFUNCTION("""COMPUTED_VALUE"""),4.0)</f>
        <v>4</v>
      </c>
      <c r="V416" s="199">
        <f>IFERROR(__xludf.DUMMYFUNCTION("""COMPUTED_VALUE"""),0.0)</f>
        <v>0</v>
      </c>
      <c r="W416" s="199">
        <f>IFERROR(__xludf.DUMMYFUNCTION("""COMPUTED_VALUE"""),0.0)</f>
        <v>0</v>
      </c>
      <c r="X416" s="199">
        <f>IFERROR(__xludf.DUMMYFUNCTION("""COMPUTED_VALUE"""),0.0)</f>
        <v>0</v>
      </c>
      <c r="Y416" s="199">
        <f>IFERROR(__xludf.DUMMYFUNCTION("""COMPUTED_VALUE"""),0.0)</f>
        <v>0</v>
      </c>
      <c r="Z416" s="199">
        <f>IFERROR(__xludf.DUMMYFUNCTION("""COMPUTED_VALUE"""),0.0)</f>
        <v>0</v>
      </c>
      <c r="AA416" s="199">
        <f>IFERROR(__xludf.DUMMYFUNCTION("""COMPUTED_VALUE"""),0.0)</f>
        <v>0</v>
      </c>
      <c r="AB416" s="199">
        <f>IFERROR(__xludf.DUMMYFUNCTION("""COMPUTED_VALUE"""),6.0)</f>
        <v>6</v>
      </c>
      <c r="AC416" s="199">
        <f>IFERROR(__xludf.DUMMYFUNCTION("""COMPUTED_VALUE"""),2.0)</f>
        <v>2</v>
      </c>
      <c r="AD416" s="199">
        <f>IFERROR(__xludf.DUMMYFUNCTION("""COMPUTED_VALUE"""),0.0)</f>
        <v>0</v>
      </c>
      <c r="AE416" s="199">
        <f>IFERROR(__xludf.DUMMYFUNCTION("""COMPUTED_VALUE"""),47.0)</f>
        <v>47</v>
      </c>
      <c r="AF416" s="199">
        <f>IFERROR(__xludf.DUMMYFUNCTION("""COMPUTED_VALUE"""),2.0)</f>
        <v>2</v>
      </c>
      <c r="AG416" s="199">
        <f>IFERROR(__xludf.DUMMYFUNCTION("""COMPUTED_VALUE"""),395.0)</f>
        <v>395</v>
      </c>
      <c r="AH416" s="199">
        <f>IFERROR(__xludf.DUMMYFUNCTION("""COMPUTED_VALUE"""),0.0)</f>
        <v>0</v>
      </c>
      <c r="AI416" s="200" t="str">
        <f>IFERROR(__xludf.DUMMYFUNCTION("""COMPUTED_VALUE"""),"Normal - No Action Required")</f>
        <v>Normal - No Action Required</v>
      </c>
      <c r="AJ416" s="200" t="str">
        <f>IFERROR(__xludf.DUMMYFUNCTION("""COMPUTED_VALUE"""),"Continue routine monitoring and sampling schedule")</f>
        <v>Continue routine monitoring and sampling schedule</v>
      </c>
      <c r="AK416" s="204"/>
      <c r="AL416" s="204"/>
      <c r="AM416" s="204"/>
    </row>
    <row r="417" hidden="1">
      <c r="A417" s="199" t="str">
        <f>IFERROR(__xludf.DUMMYFUNCTION("""COMPUTED_VALUE"""),"531.LQ145")</f>
        <v>531.LQ145</v>
      </c>
      <c r="B417" s="200" t="str">
        <f>IFERROR(__xludf.DUMMYFUNCTION("""COMPUTED_VALUE"""),"Cement Mill #1 Gear box")</f>
        <v>Cement Mill #1 Gear box</v>
      </c>
      <c r="C417" s="199">
        <f>IFERROR(__xludf.DUMMYFUNCTION("""COMPUTED_VALUE"""),2.525916923E10)</f>
        <v>25259169230</v>
      </c>
      <c r="D417" s="201">
        <f>IFERROR(__xludf.DUMMYFUNCTION("""COMPUTED_VALUE"""),45909.0)</f>
        <v>45909</v>
      </c>
      <c r="E417" s="202" t="str">
        <f>IFERROR(__xludf.DUMMYFUNCTION("""COMPUTED_VALUE"""),"Caution")</f>
        <v>Caution</v>
      </c>
      <c r="F417" s="202" t="str">
        <f>IFERROR(__xludf.DUMMYFUNCTION("""COMPUTED_VALUE"""),"Caution")</f>
        <v>Caution</v>
      </c>
      <c r="G417" s="203" t="str">
        <f>IFERROR(__xludf.DUMMYFUNCTION("""COMPUTED_VALUE"""),"Normal")</f>
        <v>Normal</v>
      </c>
      <c r="H417" s="203" t="str">
        <f>IFERROR(__xludf.DUMMYFUNCTION("""COMPUTED_VALUE"""),"Normal")</f>
        <v>Normal</v>
      </c>
      <c r="I417" s="37"/>
      <c r="J417" s="37"/>
      <c r="K417" s="37"/>
      <c r="L417" s="199">
        <f>IFERROR(__xludf.DUMMYFUNCTION("""COMPUTED_VALUE"""),20.0)</f>
        <v>20</v>
      </c>
      <c r="M417" s="199">
        <f>IFERROR(__xludf.DUMMYFUNCTION("""COMPUTED_VALUE"""),426.6)</f>
        <v>426.6</v>
      </c>
      <c r="N417" s="37"/>
      <c r="O417" s="37">
        <f>IFERROR(__xludf.DUMMYFUNCTION("""COMPUTED_VALUE"""),2.0)</f>
        <v>2</v>
      </c>
      <c r="P417" s="199">
        <f>IFERROR(__xludf.DUMMYFUNCTION("""COMPUTED_VALUE"""),0.05)</f>
        <v>0.05</v>
      </c>
      <c r="Q417" s="199">
        <f>IFERROR(__xludf.DUMMYFUNCTION("""COMPUTED_VALUE"""),0.0)</f>
        <v>0</v>
      </c>
      <c r="R417" s="199">
        <f>IFERROR(__xludf.DUMMYFUNCTION("""COMPUTED_VALUE"""),9.0)</f>
        <v>9</v>
      </c>
      <c r="S417" s="199">
        <f>IFERROR(__xludf.DUMMYFUNCTION("""COMPUTED_VALUE"""),1.0)</f>
        <v>1</v>
      </c>
      <c r="T417" s="199">
        <f>IFERROR(__xludf.DUMMYFUNCTION("""COMPUTED_VALUE"""),6.0)</f>
        <v>6</v>
      </c>
      <c r="U417" s="199">
        <f>IFERROR(__xludf.DUMMYFUNCTION("""COMPUTED_VALUE"""),29.0)</f>
        <v>29</v>
      </c>
      <c r="V417" s="199">
        <f>IFERROR(__xludf.DUMMYFUNCTION("""COMPUTED_VALUE"""),2.0)</f>
        <v>2</v>
      </c>
      <c r="W417" s="199">
        <f>IFERROR(__xludf.DUMMYFUNCTION("""COMPUTED_VALUE"""),0.0)</f>
        <v>0</v>
      </c>
      <c r="X417" s="199">
        <f>IFERROR(__xludf.DUMMYFUNCTION("""COMPUTED_VALUE"""),2.0)</f>
        <v>2</v>
      </c>
      <c r="Y417" s="199">
        <f>IFERROR(__xludf.DUMMYFUNCTION("""COMPUTED_VALUE"""),0.0)</f>
        <v>0</v>
      </c>
      <c r="Z417" s="199">
        <f>IFERROR(__xludf.DUMMYFUNCTION("""COMPUTED_VALUE"""),2.0)</f>
        <v>2</v>
      </c>
      <c r="AA417" s="199">
        <f>IFERROR(__xludf.DUMMYFUNCTION("""COMPUTED_VALUE"""),2.0)</f>
        <v>2</v>
      </c>
      <c r="AB417" s="199">
        <f>IFERROR(__xludf.DUMMYFUNCTION("""COMPUTED_VALUE"""),16.0)</f>
        <v>16</v>
      </c>
      <c r="AC417" s="199">
        <f>IFERROR(__xludf.DUMMYFUNCTION("""COMPUTED_VALUE"""),16.0)</f>
        <v>16</v>
      </c>
      <c r="AD417" s="199">
        <f>IFERROR(__xludf.DUMMYFUNCTION("""COMPUTED_VALUE"""),0.0)</f>
        <v>0</v>
      </c>
      <c r="AE417" s="199">
        <f>IFERROR(__xludf.DUMMYFUNCTION("""COMPUTED_VALUE"""),104.0)</f>
        <v>104</v>
      </c>
      <c r="AF417" s="199">
        <f>IFERROR(__xludf.DUMMYFUNCTION("""COMPUTED_VALUE"""),6.0)</f>
        <v>6</v>
      </c>
      <c r="AG417" s="199">
        <f>IFERROR(__xludf.DUMMYFUNCTION("""COMPUTED_VALUE"""),276.0)</f>
        <v>276</v>
      </c>
      <c r="AH417" s="199">
        <f>IFERROR(__xludf.DUMMYFUNCTION("""COMPUTED_VALUE"""),16.0)</f>
        <v>16</v>
      </c>
      <c r="AI417" s="200" t="str">
        <f>IFERROR(__xludf.DUMMYFUNCTION("""COMPUTED_VALUE"""),"General Caution")</f>
        <v>General Caution</v>
      </c>
      <c r="AJ417" s="200" t="str">
        <f>IFERROR(__xludf.DUMMYFUNCTION("""COMPUTED_VALUE"""),"Oxidation increasing - monitor and plan oil change")</f>
        <v>Oxidation increasing - monitor and plan oil change</v>
      </c>
      <c r="AK417" s="204"/>
      <c r="AL417" s="204"/>
      <c r="AM417" s="204"/>
    </row>
    <row r="418" hidden="1">
      <c r="A418" s="199" t="str">
        <f>IFERROR(__xludf.DUMMYFUNCTION("""COMPUTED_VALUE"""),"532.LQ145")</f>
        <v>532.LQ145</v>
      </c>
      <c r="B418" s="200" t="str">
        <f>IFERROR(__xludf.DUMMYFUNCTION("""COMPUTED_VALUE"""),"Cement Mill #2 Gear box")</f>
        <v>Cement Mill #2 Gear box</v>
      </c>
      <c r="C418" s="199">
        <f>IFERROR(__xludf.DUMMYFUNCTION("""COMPUTED_VALUE"""),2.5259169233E10)</f>
        <v>25259169233</v>
      </c>
      <c r="D418" s="201">
        <f>IFERROR(__xludf.DUMMYFUNCTION("""COMPUTED_VALUE"""),45909.0)</f>
        <v>45909</v>
      </c>
      <c r="E418" s="202" t="str">
        <f>IFERROR(__xludf.DUMMYFUNCTION("""COMPUTED_VALUE"""),"Alert")</f>
        <v>Alert</v>
      </c>
      <c r="F418" s="202" t="str">
        <f>IFERROR(__xludf.DUMMYFUNCTION("""COMPUTED_VALUE"""),"Alert")</f>
        <v>Alert</v>
      </c>
      <c r="G418" s="203" t="str">
        <f>IFERROR(__xludf.DUMMYFUNCTION("""COMPUTED_VALUE"""),"Alert")</f>
        <v>Alert</v>
      </c>
      <c r="H418" s="203" t="str">
        <f>IFERROR(__xludf.DUMMYFUNCTION("""COMPUTED_VALUE"""),"Normal")</f>
        <v>Normal</v>
      </c>
      <c r="I418" s="37"/>
      <c r="J418" s="37"/>
      <c r="K418" s="37"/>
      <c r="L418" s="199">
        <f>IFERROR(__xludf.DUMMYFUNCTION("""COMPUTED_VALUE"""),123.0)</f>
        <v>123</v>
      </c>
      <c r="M418" s="199">
        <f>IFERROR(__xludf.DUMMYFUNCTION("""COMPUTED_VALUE"""),446.9)</f>
        <v>446.9</v>
      </c>
      <c r="N418" s="37"/>
      <c r="O418" s="37">
        <f>IFERROR(__xludf.DUMMYFUNCTION("""COMPUTED_VALUE"""),1.0)</f>
        <v>1</v>
      </c>
      <c r="P418" s="199">
        <f>IFERROR(__xludf.DUMMYFUNCTION("""COMPUTED_VALUE"""),0.4)</f>
        <v>0.4</v>
      </c>
      <c r="Q418" s="199">
        <f>IFERROR(__xludf.DUMMYFUNCTION("""COMPUTED_VALUE"""),0.0)</f>
        <v>0</v>
      </c>
      <c r="R418" s="199">
        <f>IFERROR(__xludf.DUMMYFUNCTION("""COMPUTED_VALUE"""),23.0)</f>
        <v>23</v>
      </c>
      <c r="S418" s="199">
        <f>IFERROR(__xludf.DUMMYFUNCTION("""COMPUTED_VALUE"""),2.0)</f>
        <v>2</v>
      </c>
      <c r="T418" s="199">
        <f>IFERROR(__xludf.DUMMYFUNCTION("""COMPUTED_VALUE"""),9.0)</f>
        <v>9</v>
      </c>
      <c r="U418" s="199">
        <f>IFERROR(__xludf.DUMMYFUNCTION("""COMPUTED_VALUE"""),77.0)</f>
        <v>77</v>
      </c>
      <c r="V418" s="199">
        <f>IFERROR(__xludf.DUMMYFUNCTION("""COMPUTED_VALUE"""),3.0)</f>
        <v>3</v>
      </c>
      <c r="W418" s="199">
        <f>IFERROR(__xludf.DUMMYFUNCTION("""COMPUTED_VALUE"""),0.0)</f>
        <v>0</v>
      </c>
      <c r="X418" s="199">
        <f>IFERROR(__xludf.DUMMYFUNCTION("""COMPUTED_VALUE"""),0.0)</f>
        <v>0</v>
      </c>
      <c r="Y418" s="199">
        <f>IFERROR(__xludf.DUMMYFUNCTION("""COMPUTED_VALUE"""),0.0)</f>
        <v>0</v>
      </c>
      <c r="Z418" s="199">
        <f>IFERROR(__xludf.DUMMYFUNCTION("""COMPUTED_VALUE"""),2.0)</f>
        <v>2</v>
      </c>
      <c r="AA418" s="199">
        <f>IFERROR(__xludf.DUMMYFUNCTION("""COMPUTED_VALUE"""),0.0)</f>
        <v>0</v>
      </c>
      <c r="AB418" s="199">
        <f>IFERROR(__xludf.DUMMYFUNCTION("""COMPUTED_VALUE"""),74.0)</f>
        <v>74</v>
      </c>
      <c r="AC418" s="199">
        <f>IFERROR(__xludf.DUMMYFUNCTION("""COMPUTED_VALUE"""),17.0)</f>
        <v>17</v>
      </c>
      <c r="AD418" s="199">
        <f>IFERROR(__xludf.DUMMYFUNCTION("""COMPUTED_VALUE"""),0.0)</f>
        <v>0</v>
      </c>
      <c r="AE418" s="199">
        <f>IFERROR(__xludf.DUMMYFUNCTION("""COMPUTED_VALUE"""),249.0)</f>
        <v>249</v>
      </c>
      <c r="AF418" s="199">
        <f>IFERROR(__xludf.DUMMYFUNCTION("""COMPUTED_VALUE"""),14.0)</f>
        <v>14</v>
      </c>
      <c r="AG418" s="199">
        <f>IFERROR(__xludf.DUMMYFUNCTION("""COMPUTED_VALUE"""),279.0)</f>
        <v>279</v>
      </c>
      <c r="AH418" s="199">
        <f>IFERROR(__xludf.DUMMYFUNCTION("""COMPUTED_VALUE"""),0.0)</f>
        <v>0</v>
      </c>
      <c r="AI418" s="200" t="str">
        <f>IFERROR(__xludf.DUMMYFUNCTION("""COMPUTED_VALUE"""),"Wear Metal Alert | Contamination Alert | Water Ingress | High Particle Count")</f>
        <v>Wear Metal Alert | Contamination Alert | Water Ingress | High Particle Count</v>
      </c>
      <c r="AJ418" s="200" t="str">
        <f>IFERROR(__xludf.DUMMYFUNCTION("""COMPUTED_VALUE"""),"URGENT: Inspect equipment immediately for wear/damage; High water contamination - check seals and drain water immediately; Elevated silicon - inspect filters and seals for contamination; High particle count - replace filters and resample")</f>
        <v>URGENT: Inspect equipment immediately for wear/damage; High water contamination - check seals and drain water immediately; Elevated silicon - inspect filters and seals for contamination; High particle count - replace filters and resample</v>
      </c>
      <c r="AK418" s="204"/>
      <c r="AL418" s="204"/>
      <c r="AM418" s="204"/>
    </row>
    <row r="419" hidden="1">
      <c r="A419" s="199" t="str">
        <f>IFERROR(__xludf.DUMMYFUNCTION("""COMPUTED_VALUE"""),"432.KB101(3)")</f>
        <v>432.KB101(3)</v>
      </c>
      <c r="B419" s="200" t="str">
        <f>IFERROR(__xludf.DUMMYFUNCTION("""COMPUTED_VALUE"""),"Kiln Bearing")</f>
        <v>Kiln Bearing</v>
      </c>
      <c r="C419" s="199">
        <f>IFERROR(__xludf.DUMMYFUNCTION("""COMPUTED_VALUE"""),2.5258159235E10)</f>
        <v>25258159235</v>
      </c>
      <c r="D419" s="201">
        <f>IFERROR(__xludf.DUMMYFUNCTION("""COMPUTED_VALUE"""),45909.0)</f>
        <v>45909</v>
      </c>
      <c r="E419" s="202" t="str">
        <f>IFERROR(__xludf.DUMMYFUNCTION("""COMPUTED_VALUE"""),"Alert")</f>
        <v>Alert</v>
      </c>
      <c r="F419" s="202" t="str">
        <f>IFERROR(__xludf.DUMMYFUNCTION("""COMPUTED_VALUE"""),"Caution")</f>
        <v>Caution</v>
      </c>
      <c r="G419" s="203" t="str">
        <f>IFERROR(__xludf.DUMMYFUNCTION("""COMPUTED_VALUE"""),"Alert")</f>
        <v>Alert</v>
      </c>
      <c r="H419" s="203" t="str">
        <f>IFERROR(__xludf.DUMMYFUNCTION("""COMPUTED_VALUE"""),"Normal")</f>
        <v>Normal</v>
      </c>
      <c r="I419" s="37"/>
      <c r="J419" s="37"/>
      <c r="K419" s="37"/>
      <c r="L419" s="199">
        <f>IFERROR(__xludf.DUMMYFUNCTION("""COMPUTED_VALUE"""),48.0)</f>
        <v>48</v>
      </c>
      <c r="M419" s="199">
        <f>IFERROR(__xludf.DUMMYFUNCTION("""COMPUTED_VALUE"""),45.9)</f>
        <v>45.9</v>
      </c>
      <c r="N419" s="37"/>
      <c r="O419" s="37">
        <f>IFERROR(__xludf.DUMMYFUNCTION("""COMPUTED_VALUE"""),3.0)</f>
        <v>3</v>
      </c>
      <c r="P419" s="199">
        <f>IFERROR(__xludf.DUMMYFUNCTION("""COMPUTED_VALUE"""),0.11)</f>
        <v>0.11</v>
      </c>
      <c r="Q419" s="199">
        <f>IFERROR(__xludf.DUMMYFUNCTION("""COMPUTED_VALUE"""),0.0)</f>
        <v>0</v>
      </c>
      <c r="R419" s="199">
        <f>IFERROR(__xludf.DUMMYFUNCTION("""COMPUTED_VALUE"""),13.0)</f>
        <v>13</v>
      </c>
      <c r="S419" s="199">
        <f>IFERROR(__xludf.DUMMYFUNCTION("""COMPUTED_VALUE"""),1.0)</f>
        <v>1</v>
      </c>
      <c r="T419" s="199">
        <f>IFERROR(__xludf.DUMMYFUNCTION("""COMPUTED_VALUE"""),33.0)</f>
        <v>33</v>
      </c>
      <c r="U419" s="199">
        <f>IFERROR(__xludf.DUMMYFUNCTION("""COMPUTED_VALUE"""),100.0)</f>
        <v>100</v>
      </c>
      <c r="V419" s="199">
        <f>IFERROR(__xludf.DUMMYFUNCTION("""COMPUTED_VALUE"""),2.0)</f>
        <v>2</v>
      </c>
      <c r="W419" s="199">
        <f>IFERROR(__xludf.DUMMYFUNCTION("""COMPUTED_VALUE"""),0.0)</f>
        <v>0</v>
      </c>
      <c r="X419" s="199">
        <f>IFERROR(__xludf.DUMMYFUNCTION("""COMPUTED_VALUE"""),3.0)</f>
        <v>3</v>
      </c>
      <c r="Y419" s="199">
        <f>IFERROR(__xludf.DUMMYFUNCTION("""COMPUTED_VALUE"""),0.0)</f>
        <v>0</v>
      </c>
      <c r="Z419" s="199">
        <f>IFERROR(__xludf.DUMMYFUNCTION("""COMPUTED_VALUE"""),2.0)</f>
        <v>2</v>
      </c>
      <c r="AA419" s="199">
        <f>IFERROR(__xludf.DUMMYFUNCTION("""COMPUTED_VALUE"""),0.0)</f>
        <v>0</v>
      </c>
      <c r="AB419" s="199">
        <f>IFERROR(__xludf.DUMMYFUNCTION("""COMPUTED_VALUE"""),4.0)</f>
        <v>4</v>
      </c>
      <c r="AC419" s="199">
        <f>IFERROR(__xludf.DUMMYFUNCTION("""COMPUTED_VALUE"""),10.0)</f>
        <v>10</v>
      </c>
      <c r="AD419" s="199">
        <f>IFERROR(__xludf.DUMMYFUNCTION("""COMPUTED_VALUE"""),0.0)</f>
        <v>0</v>
      </c>
      <c r="AE419" s="199">
        <f>IFERROR(__xludf.DUMMYFUNCTION("""COMPUTED_VALUE"""),56.0)</f>
        <v>56</v>
      </c>
      <c r="AF419" s="199">
        <f>IFERROR(__xludf.DUMMYFUNCTION("""COMPUTED_VALUE"""),6.0)</f>
        <v>6</v>
      </c>
      <c r="AG419" s="199">
        <f>IFERROR(__xludf.DUMMYFUNCTION("""COMPUTED_VALUE"""),257.0)</f>
        <v>257</v>
      </c>
      <c r="AH419" s="199">
        <f>IFERROR(__xludf.DUMMYFUNCTION("""COMPUTED_VALUE"""),0.0)</f>
        <v>0</v>
      </c>
      <c r="AI419" s="200" t="str">
        <f>IFERROR(__xludf.DUMMYFUNCTION("""COMPUTED_VALUE"""),"Wear Metal Alert")</f>
        <v>Wear Metal Alert</v>
      </c>
      <c r="AJ419" s="200" t="str">
        <f>IFERROR(__xludf.DUMMYFUNCTION("""COMPUTED_VALUE"""),"URGENT: Inspect equipment immediately for wear/damage")</f>
        <v>URGENT: Inspect equipment immediately for wear/damage</v>
      </c>
      <c r="AK419" s="204"/>
      <c r="AL419" s="204"/>
      <c r="AM419" s="204"/>
    </row>
    <row r="420" hidden="1">
      <c r="A420" s="199" t="str">
        <f>IFERROR(__xludf.DUMMYFUNCTION("""COMPUTED_VALUE"""),"542.BE180")</f>
        <v>542.BE180</v>
      </c>
      <c r="B420" s="200" t="str">
        <f>IFERROR(__xludf.DUMMYFUNCTION("""COMPUTED_VALUE"""),"Bucket Elevator Cem. Silo#2 GB.")</f>
        <v>Bucket Elevator Cem. Silo#2 GB.</v>
      </c>
      <c r="C420" s="199">
        <f>IFERROR(__xludf.DUMMYFUNCTION("""COMPUTED_VALUE"""),2.5258159237E10)</f>
        <v>25258159237</v>
      </c>
      <c r="D420" s="201">
        <f>IFERROR(__xludf.DUMMYFUNCTION("""COMPUTED_VALUE"""),45909.0)</f>
        <v>45909</v>
      </c>
      <c r="E420" s="202" t="str">
        <f>IFERROR(__xludf.DUMMYFUNCTION("""COMPUTED_VALUE"""),"Alert")</f>
        <v>Alert</v>
      </c>
      <c r="F420" s="202" t="str">
        <f>IFERROR(__xludf.DUMMYFUNCTION("""COMPUTED_VALUE"""),"Alert")</f>
        <v>Alert</v>
      </c>
      <c r="G420" s="203" t="str">
        <f>IFERROR(__xludf.DUMMYFUNCTION("""COMPUTED_VALUE"""),"Normal")</f>
        <v>Normal</v>
      </c>
      <c r="H420" s="203" t="str">
        <f>IFERROR(__xludf.DUMMYFUNCTION("""COMPUTED_VALUE"""),"Caution")</f>
        <v>Caution</v>
      </c>
      <c r="I420" s="37"/>
      <c r="J420" s="37"/>
      <c r="K420" s="37"/>
      <c r="L420" s="199">
        <f>IFERROR(__xludf.DUMMYFUNCTION("""COMPUTED_VALUE"""),13.0)</f>
        <v>13</v>
      </c>
      <c r="M420" s="199">
        <f>IFERROR(__xludf.DUMMYFUNCTION("""COMPUTED_VALUE"""),254.1)</f>
        <v>254.1</v>
      </c>
      <c r="N420" s="37"/>
      <c r="O420" s="37"/>
      <c r="P420" s="199">
        <f>IFERROR(__xludf.DUMMYFUNCTION("""COMPUTED_VALUE"""),0.1)</f>
        <v>0.1</v>
      </c>
      <c r="Q420" s="199">
        <f>IFERROR(__xludf.DUMMYFUNCTION("""COMPUTED_VALUE"""),0.0)</f>
        <v>0</v>
      </c>
      <c r="R420" s="199">
        <f>IFERROR(__xludf.DUMMYFUNCTION("""COMPUTED_VALUE"""),11.0)</f>
        <v>11</v>
      </c>
      <c r="S420" s="199">
        <f>IFERROR(__xludf.DUMMYFUNCTION("""COMPUTED_VALUE"""),1.0)</f>
        <v>1</v>
      </c>
      <c r="T420" s="199">
        <f>IFERROR(__xludf.DUMMYFUNCTION("""COMPUTED_VALUE"""),4.0)</f>
        <v>4</v>
      </c>
      <c r="U420" s="199">
        <f>IFERROR(__xludf.DUMMYFUNCTION("""COMPUTED_VALUE"""),10.0)</f>
        <v>10</v>
      </c>
      <c r="V420" s="199">
        <f>IFERROR(__xludf.DUMMYFUNCTION("""COMPUTED_VALUE"""),0.0)</f>
        <v>0</v>
      </c>
      <c r="W420" s="199">
        <f>IFERROR(__xludf.DUMMYFUNCTION("""COMPUTED_VALUE"""),0.0)</f>
        <v>0</v>
      </c>
      <c r="X420" s="199">
        <f>IFERROR(__xludf.DUMMYFUNCTION("""COMPUTED_VALUE"""),2.0)</f>
        <v>2</v>
      </c>
      <c r="Y420" s="199">
        <f>IFERROR(__xludf.DUMMYFUNCTION("""COMPUTED_VALUE"""),0.0)</f>
        <v>0</v>
      </c>
      <c r="Z420" s="199">
        <f>IFERROR(__xludf.DUMMYFUNCTION("""COMPUTED_VALUE"""),2.0)</f>
        <v>2</v>
      </c>
      <c r="AA420" s="199">
        <f>IFERROR(__xludf.DUMMYFUNCTION("""COMPUTED_VALUE"""),0.0)</f>
        <v>0</v>
      </c>
      <c r="AB420" s="199">
        <f>IFERROR(__xludf.DUMMYFUNCTION("""COMPUTED_VALUE"""),1.0)</f>
        <v>1</v>
      </c>
      <c r="AC420" s="199">
        <f>IFERROR(__xludf.DUMMYFUNCTION("""COMPUTED_VALUE"""),23.0)</f>
        <v>23</v>
      </c>
      <c r="AD420" s="199">
        <f>IFERROR(__xludf.DUMMYFUNCTION("""COMPUTED_VALUE"""),0.0)</f>
        <v>0</v>
      </c>
      <c r="AE420" s="199">
        <f>IFERROR(__xludf.DUMMYFUNCTION("""COMPUTED_VALUE"""),36.0)</f>
        <v>36</v>
      </c>
      <c r="AF420" s="199">
        <f>IFERROR(__xludf.DUMMYFUNCTION("""COMPUTED_VALUE"""),2.0)</f>
        <v>2</v>
      </c>
      <c r="AG420" s="199">
        <f>IFERROR(__xludf.DUMMYFUNCTION("""COMPUTED_VALUE"""),289.0)</f>
        <v>289</v>
      </c>
      <c r="AH420" s="199">
        <f>IFERROR(__xludf.DUMMYFUNCTION("""COMPUTED_VALUE"""),0.0)</f>
        <v>0</v>
      </c>
      <c r="AI420" s="200" t="str">
        <f>IFERROR(__xludf.DUMMYFUNCTION("""COMPUTED_VALUE"""),"General Alert")</f>
        <v>General Alert</v>
      </c>
      <c r="AJ420" s="200" t="str">
        <f>IFERROR(__xludf.DUMMYFUNCTION("""COMPUTED_VALUE"""),"Investigate root cause; increase sampling frequency to monthly")</f>
        <v>Investigate root cause; increase sampling frequency to monthly</v>
      </c>
      <c r="AK420" s="204"/>
      <c r="AL420" s="204"/>
      <c r="AM420" s="204"/>
    </row>
    <row r="421" hidden="1">
      <c r="A421" s="199" t="str">
        <f>IFERROR(__xludf.DUMMYFUNCTION("""COMPUTED_VALUE"""),"461.LQ120(T)")</f>
        <v>461.LQ120(T)</v>
      </c>
      <c r="B421" s="200" t="str">
        <f>IFERROR(__xludf.DUMMYFUNCTION("""COMPUTED_VALUE"""),"Coal mill 1 Roller Lub. Unit (Tank)")</f>
        <v>Coal mill 1 Roller Lub. Unit (Tank)</v>
      </c>
      <c r="C421" s="199">
        <f>IFERROR(__xludf.DUMMYFUNCTION("""COMPUTED_VALUE"""),2.5258159232E10)</f>
        <v>25258159232</v>
      </c>
      <c r="D421" s="201">
        <f>IFERROR(__xludf.DUMMYFUNCTION("""COMPUTED_VALUE"""),45909.0)</f>
        <v>45909</v>
      </c>
      <c r="E421" s="202" t="str">
        <f>IFERROR(__xludf.DUMMYFUNCTION("""COMPUTED_VALUE"""),"Caution")</f>
        <v>Caution</v>
      </c>
      <c r="F421" s="202" t="str">
        <f>IFERROR(__xludf.DUMMYFUNCTION("""COMPUTED_VALUE"""),"Normal")</f>
        <v>Normal</v>
      </c>
      <c r="G421" s="203" t="str">
        <f>IFERROR(__xludf.DUMMYFUNCTION("""COMPUTED_VALUE"""),"Normal")</f>
        <v>Normal</v>
      </c>
      <c r="H421" s="203" t="str">
        <f>IFERROR(__xludf.DUMMYFUNCTION("""COMPUTED_VALUE"""),"Caution")</f>
        <v>Caution</v>
      </c>
      <c r="I421" s="199"/>
      <c r="J421" s="199"/>
      <c r="K421" s="199"/>
      <c r="L421" s="199">
        <f>IFERROR(__xludf.DUMMYFUNCTION("""COMPUTED_VALUE"""),20.0)</f>
        <v>20</v>
      </c>
      <c r="M421" s="199">
        <f>IFERROR(__xludf.DUMMYFUNCTION("""COMPUTED_VALUE"""),97.5)</f>
        <v>97.5</v>
      </c>
      <c r="N421" s="37"/>
      <c r="O421" s="37"/>
      <c r="P421" s="199">
        <f>IFERROR(__xludf.DUMMYFUNCTION("""COMPUTED_VALUE"""),0.04)</f>
        <v>0.04</v>
      </c>
      <c r="Q421" s="199">
        <f>IFERROR(__xludf.DUMMYFUNCTION("""COMPUTED_VALUE"""),0.0)</f>
        <v>0</v>
      </c>
      <c r="R421" s="199">
        <f>IFERROR(__xludf.DUMMYFUNCTION("""COMPUTED_VALUE"""),12.0)</f>
        <v>12</v>
      </c>
      <c r="S421" s="199">
        <f>IFERROR(__xludf.DUMMYFUNCTION("""COMPUTED_VALUE"""),1.0)</f>
        <v>1</v>
      </c>
      <c r="T421" s="199">
        <f>IFERROR(__xludf.DUMMYFUNCTION("""COMPUTED_VALUE"""),6.0)</f>
        <v>6</v>
      </c>
      <c r="U421" s="199">
        <f>IFERROR(__xludf.DUMMYFUNCTION("""COMPUTED_VALUE"""),25.0)</f>
        <v>25</v>
      </c>
      <c r="V421" s="199">
        <f>IFERROR(__xludf.DUMMYFUNCTION("""COMPUTED_VALUE"""),3.0)</f>
        <v>3</v>
      </c>
      <c r="W421" s="199">
        <f>IFERROR(__xludf.DUMMYFUNCTION("""COMPUTED_VALUE"""),0.0)</f>
        <v>0</v>
      </c>
      <c r="X421" s="199">
        <f>IFERROR(__xludf.DUMMYFUNCTION("""COMPUTED_VALUE"""),0.0)</f>
        <v>0</v>
      </c>
      <c r="Y421" s="199">
        <f>IFERROR(__xludf.DUMMYFUNCTION("""COMPUTED_VALUE"""),0.0)</f>
        <v>0</v>
      </c>
      <c r="Z421" s="199">
        <f>IFERROR(__xludf.DUMMYFUNCTION("""COMPUTED_VALUE"""),2.0)</f>
        <v>2</v>
      </c>
      <c r="AA421" s="199">
        <f>IFERROR(__xludf.DUMMYFUNCTION("""COMPUTED_VALUE"""),0.0)</f>
        <v>0</v>
      </c>
      <c r="AB421" s="199">
        <f>IFERROR(__xludf.DUMMYFUNCTION("""COMPUTED_VALUE"""),8.0)</f>
        <v>8</v>
      </c>
      <c r="AC421" s="199">
        <f>IFERROR(__xludf.DUMMYFUNCTION("""COMPUTED_VALUE"""),23.0)</f>
        <v>23</v>
      </c>
      <c r="AD421" s="199">
        <f>IFERROR(__xludf.DUMMYFUNCTION("""COMPUTED_VALUE"""),0.0)</f>
        <v>0</v>
      </c>
      <c r="AE421" s="199">
        <f>IFERROR(__xludf.DUMMYFUNCTION("""COMPUTED_VALUE"""),15.0)</f>
        <v>15</v>
      </c>
      <c r="AF421" s="199">
        <f>IFERROR(__xludf.DUMMYFUNCTION("""COMPUTED_VALUE"""),0.0)</f>
        <v>0</v>
      </c>
      <c r="AG421" s="199">
        <f>IFERROR(__xludf.DUMMYFUNCTION("""COMPUTED_VALUE"""),346.0)</f>
        <v>346</v>
      </c>
      <c r="AH421" s="199">
        <f>IFERROR(__xludf.DUMMYFUNCTION("""COMPUTED_VALUE"""),0.0)</f>
        <v>0</v>
      </c>
      <c r="AI421" s="200" t="str">
        <f>IFERROR(__xludf.DUMMYFUNCTION("""COMPUTED_VALUE"""),"General Caution")</f>
        <v>General Caution</v>
      </c>
      <c r="AJ421" s="200" t="str">
        <f>IFERROR(__xludf.DUMMYFUNCTION("""COMPUTED_VALUE"""),"Lubricant showing degradation - plan oil change within 3 months")</f>
        <v>Lubricant showing degradation - plan oil change within 3 months</v>
      </c>
      <c r="AK421" s="204"/>
      <c r="AL421" s="204"/>
      <c r="AM421" s="204"/>
    </row>
    <row r="422" hidden="1">
      <c r="A422" s="199" t="str">
        <f>IFERROR(__xludf.DUMMYFUNCTION("""COMPUTED_VALUE"""),"531.LQ110")</f>
        <v>531.LQ110</v>
      </c>
      <c r="B422" s="200" t="str">
        <f>IFERROR(__xludf.DUMMYFUNCTION("""COMPUTED_VALUE"""),"Cement Mill Inlet Slide Shoe Bearing LUB.")</f>
        <v>Cement Mill Inlet Slide Shoe Bearing LUB.</v>
      </c>
      <c r="C422" s="199">
        <f>IFERROR(__xludf.DUMMYFUNCTION("""COMPUTED_VALUE"""),2.5259169229E10)</f>
        <v>25259169229</v>
      </c>
      <c r="D422" s="201">
        <f>IFERROR(__xludf.DUMMYFUNCTION("""COMPUTED_VALUE"""),45909.0)</f>
        <v>45909</v>
      </c>
      <c r="E422" s="202" t="str">
        <f>IFERROR(__xludf.DUMMYFUNCTION("""COMPUTED_VALUE"""),"Alert")</f>
        <v>Alert</v>
      </c>
      <c r="F422" s="202" t="str">
        <f>IFERROR(__xludf.DUMMYFUNCTION("""COMPUTED_VALUE"""),"Alert")</f>
        <v>Alert</v>
      </c>
      <c r="G422" s="203" t="str">
        <f>IFERROR(__xludf.DUMMYFUNCTION("""COMPUTED_VALUE"""),"Alert")</f>
        <v>Alert</v>
      </c>
      <c r="H422" s="203" t="str">
        <f>IFERROR(__xludf.DUMMYFUNCTION("""COMPUTED_VALUE"""),"Normal")</f>
        <v>Normal</v>
      </c>
      <c r="I422" s="37"/>
      <c r="J422" s="37"/>
      <c r="K422" s="37"/>
      <c r="L422" s="199">
        <f>IFERROR(__xludf.DUMMYFUNCTION("""COMPUTED_VALUE"""),43.0)</f>
        <v>43</v>
      </c>
      <c r="M422" s="199">
        <f>IFERROR(__xludf.DUMMYFUNCTION("""COMPUTED_VALUE"""),445.9)</f>
        <v>445.9</v>
      </c>
      <c r="N422" s="37"/>
      <c r="O422" s="37">
        <f>IFERROR(__xludf.DUMMYFUNCTION("""COMPUTED_VALUE"""),0.0)</f>
        <v>0</v>
      </c>
      <c r="P422" s="199">
        <f>IFERROR(__xludf.DUMMYFUNCTION("""COMPUTED_VALUE"""),0.3)</f>
        <v>0.3</v>
      </c>
      <c r="Q422" s="199">
        <f>IFERROR(__xludf.DUMMYFUNCTION("""COMPUTED_VALUE"""),0.0)</f>
        <v>0</v>
      </c>
      <c r="R422" s="199">
        <f>IFERROR(__xludf.DUMMYFUNCTION("""COMPUTED_VALUE"""),46.0)</f>
        <v>46</v>
      </c>
      <c r="S422" s="199">
        <f>IFERROR(__xludf.DUMMYFUNCTION("""COMPUTED_VALUE"""),1.0)</f>
        <v>1</v>
      </c>
      <c r="T422" s="199">
        <f>IFERROR(__xludf.DUMMYFUNCTION("""COMPUTED_VALUE"""),17.0)</f>
        <v>17</v>
      </c>
      <c r="U422" s="199">
        <f>IFERROR(__xludf.DUMMYFUNCTION("""COMPUTED_VALUE"""),82.0)</f>
        <v>82</v>
      </c>
      <c r="V422" s="199">
        <f>IFERROR(__xludf.DUMMYFUNCTION("""COMPUTED_VALUE"""),2.0)</f>
        <v>2</v>
      </c>
      <c r="W422" s="199">
        <f>IFERROR(__xludf.DUMMYFUNCTION("""COMPUTED_VALUE"""),0.0)</f>
        <v>0</v>
      </c>
      <c r="X422" s="199">
        <f>IFERROR(__xludf.DUMMYFUNCTION("""COMPUTED_VALUE"""),36.0)</f>
        <v>36</v>
      </c>
      <c r="Y422" s="199">
        <f>IFERROR(__xludf.DUMMYFUNCTION("""COMPUTED_VALUE"""),92.0)</f>
        <v>92</v>
      </c>
      <c r="Z422" s="199">
        <f>IFERROR(__xludf.DUMMYFUNCTION("""COMPUTED_VALUE"""),3.0)</f>
        <v>3</v>
      </c>
      <c r="AA422" s="199">
        <f>IFERROR(__xludf.DUMMYFUNCTION("""COMPUTED_VALUE"""),0.0)</f>
        <v>0</v>
      </c>
      <c r="AB422" s="199">
        <f>IFERROR(__xludf.DUMMYFUNCTION("""COMPUTED_VALUE"""),141.0)</f>
        <v>141</v>
      </c>
      <c r="AC422" s="199">
        <f>IFERROR(__xludf.DUMMYFUNCTION("""COMPUTED_VALUE"""),16.0)</f>
        <v>16</v>
      </c>
      <c r="AD422" s="199">
        <f>IFERROR(__xludf.DUMMYFUNCTION("""COMPUTED_VALUE"""),2.0)</f>
        <v>2</v>
      </c>
      <c r="AE422" s="199">
        <f>IFERROR(__xludf.DUMMYFUNCTION("""COMPUTED_VALUE"""),555.0)</f>
        <v>555</v>
      </c>
      <c r="AF422" s="199">
        <f>IFERROR(__xludf.DUMMYFUNCTION("""COMPUTED_VALUE"""),6.0)</f>
        <v>6</v>
      </c>
      <c r="AG422" s="199">
        <f>IFERROR(__xludf.DUMMYFUNCTION("""COMPUTED_VALUE"""),337.0)</f>
        <v>337</v>
      </c>
      <c r="AH422" s="199">
        <f>IFERROR(__xludf.DUMMYFUNCTION("""COMPUTED_VALUE"""),5.0)</f>
        <v>5</v>
      </c>
      <c r="AI422" s="200" t="str">
        <f>IFERROR(__xludf.DUMMYFUNCTION("""COMPUTED_VALUE"""),"Wear Metal Alert | Contamination Alert | Water Ingress")</f>
        <v>Wear Metal Alert | Contamination Alert | Water Ingress</v>
      </c>
      <c r="AJ422" s="200" t="str">
        <f>IFERROR(__xludf.DUMMYFUNCTION("""COMPUTED_VALUE"""),"URGENT: Inspect equipment immediately for wear/damage; High water contamination - check seals and drain water immediately; Very high silicon - check/replace air filters, inspect seals")</f>
        <v>URGENT: Inspect equipment immediately for wear/damage; High water contamination - check seals and drain water immediately; Very high silicon - check/replace air filters, inspect seals</v>
      </c>
      <c r="AK422" s="204"/>
      <c r="AL422" s="204"/>
      <c r="AM422" s="204"/>
    </row>
    <row r="423" hidden="1">
      <c r="A423" s="199" t="str">
        <f>IFERROR(__xludf.DUMMYFUNCTION("""COMPUTED_VALUE"""),"531.LQ120")</f>
        <v>531.LQ120</v>
      </c>
      <c r="B423" s="200" t="str">
        <f>IFERROR(__xludf.DUMMYFUNCTION("""COMPUTED_VALUE"""),"Cement Mill Outlet Slide Shoe Bearing LUB.")</f>
        <v>Cement Mill Outlet Slide Shoe Bearing LUB.</v>
      </c>
      <c r="C423" s="199">
        <f>IFERROR(__xludf.DUMMYFUNCTION("""COMPUTED_VALUE"""),2.5259169232E10)</f>
        <v>25259169232</v>
      </c>
      <c r="D423" s="201">
        <f>IFERROR(__xludf.DUMMYFUNCTION("""COMPUTED_VALUE"""),45909.0)</f>
        <v>45909</v>
      </c>
      <c r="E423" s="202" t="str">
        <f>IFERROR(__xludf.DUMMYFUNCTION("""COMPUTED_VALUE"""),"Alert")</f>
        <v>Alert</v>
      </c>
      <c r="F423" s="202" t="str">
        <f>IFERROR(__xludf.DUMMYFUNCTION("""COMPUTED_VALUE"""),"Alert")</f>
        <v>Alert</v>
      </c>
      <c r="G423" s="203" t="str">
        <f>IFERROR(__xludf.DUMMYFUNCTION("""COMPUTED_VALUE"""),"Alert")</f>
        <v>Alert</v>
      </c>
      <c r="H423" s="203" t="str">
        <f>IFERROR(__xludf.DUMMYFUNCTION("""COMPUTED_VALUE"""),"Normal")</f>
        <v>Normal</v>
      </c>
      <c r="I423" s="37"/>
      <c r="J423" s="37"/>
      <c r="K423" s="37"/>
      <c r="L423" s="199">
        <f>IFERROR(__xludf.DUMMYFUNCTION("""COMPUTED_VALUE"""),34.0)</f>
        <v>34</v>
      </c>
      <c r="M423" s="199">
        <f>IFERROR(__xludf.DUMMYFUNCTION("""COMPUTED_VALUE"""),411.6)</f>
        <v>411.6</v>
      </c>
      <c r="N423" s="37"/>
      <c r="O423" s="37">
        <f>IFERROR(__xludf.DUMMYFUNCTION("""COMPUTED_VALUE"""),0.0)</f>
        <v>0</v>
      </c>
      <c r="P423" s="199">
        <f>IFERROR(__xludf.DUMMYFUNCTION("""COMPUTED_VALUE"""),0.6)</f>
        <v>0.6</v>
      </c>
      <c r="Q423" s="199">
        <f>IFERROR(__xludf.DUMMYFUNCTION("""COMPUTED_VALUE"""),0.0)</f>
        <v>0</v>
      </c>
      <c r="R423" s="199">
        <f>IFERROR(__xludf.DUMMYFUNCTION("""COMPUTED_VALUE"""),36.0)</f>
        <v>36</v>
      </c>
      <c r="S423" s="199">
        <f>IFERROR(__xludf.DUMMYFUNCTION("""COMPUTED_VALUE"""),1.0)</f>
        <v>1</v>
      </c>
      <c r="T423" s="199">
        <f>IFERROR(__xludf.DUMMYFUNCTION("""COMPUTED_VALUE"""),24.0)</f>
        <v>24</v>
      </c>
      <c r="U423" s="199">
        <f>IFERROR(__xludf.DUMMYFUNCTION("""COMPUTED_VALUE"""),56.0)</f>
        <v>56</v>
      </c>
      <c r="V423" s="199">
        <f>IFERROR(__xludf.DUMMYFUNCTION("""COMPUTED_VALUE"""),3.0)</f>
        <v>3</v>
      </c>
      <c r="W423" s="199">
        <f>IFERROR(__xludf.DUMMYFUNCTION("""COMPUTED_VALUE"""),0.0)</f>
        <v>0</v>
      </c>
      <c r="X423" s="199">
        <f>IFERROR(__xludf.DUMMYFUNCTION("""COMPUTED_VALUE"""),5.0)</f>
        <v>5</v>
      </c>
      <c r="Y423" s="199">
        <f>IFERROR(__xludf.DUMMYFUNCTION("""COMPUTED_VALUE"""),5.0)</f>
        <v>5</v>
      </c>
      <c r="Z423" s="199">
        <f>IFERROR(__xludf.DUMMYFUNCTION("""COMPUTED_VALUE"""),5.0)</f>
        <v>5</v>
      </c>
      <c r="AA423" s="199">
        <f>IFERROR(__xludf.DUMMYFUNCTION("""COMPUTED_VALUE"""),0.0)</f>
        <v>0</v>
      </c>
      <c r="AB423" s="199">
        <f>IFERROR(__xludf.DUMMYFUNCTION("""COMPUTED_VALUE"""),117.0)</f>
        <v>117</v>
      </c>
      <c r="AC423" s="199">
        <f>IFERROR(__xludf.DUMMYFUNCTION("""COMPUTED_VALUE"""),12.0)</f>
        <v>12</v>
      </c>
      <c r="AD423" s="199">
        <f>IFERROR(__xludf.DUMMYFUNCTION("""COMPUTED_VALUE"""),0.0)</f>
        <v>0</v>
      </c>
      <c r="AE423" s="199">
        <f>IFERROR(__xludf.DUMMYFUNCTION("""COMPUTED_VALUE"""),412.0)</f>
        <v>412</v>
      </c>
      <c r="AF423" s="199">
        <f>IFERROR(__xludf.DUMMYFUNCTION("""COMPUTED_VALUE"""),12.0)</f>
        <v>12</v>
      </c>
      <c r="AG423" s="199">
        <f>IFERROR(__xludf.DUMMYFUNCTION("""COMPUTED_VALUE"""),302.0)</f>
        <v>302</v>
      </c>
      <c r="AH423" s="199">
        <f>IFERROR(__xludf.DUMMYFUNCTION("""COMPUTED_VALUE"""),23.0)</f>
        <v>23</v>
      </c>
      <c r="AI423" s="200" t="str">
        <f>IFERROR(__xludf.DUMMYFUNCTION("""COMPUTED_VALUE"""),"Wear Metal Alert | Contamination Alert | Water Ingress")</f>
        <v>Wear Metal Alert | Contamination Alert | Water Ingress</v>
      </c>
      <c r="AJ423" s="200" t="str">
        <f>IFERROR(__xludf.DUMMYFUNCTION("""COMPUTED_VALUE"""),"URGENT: Inspect equipment immediately for wear/damage; High water contamination - check seals and drain water immediately; Very high silicon - check/replace air filters, inspect seals")</f>
        <v>URGENT: Inspect equipment immediately for wear/damage; High water contamination - check seals and drain water immediately; Very high silicon - check/replace air filters, inspect seals</v>
      </c>
      <c r="AK423" s="204"/>
      <c r="AL423" s="204"/>
      <c r="AM423" s="204"/>
    </row>
    <row r="424" hidden="1">
      <c r="A424" s="199" t="str">
        <f>IFERROR(__xludf.DUMMYFUNCTION("""COMPUTED_VALUE"""),"532.LQ110")</f>
        <v>532.LQ110</v>
      </c>
      <c r="B424" s="200" t="str">
        <f>IFERROR(__xludf.DUMMYFUNCTION("""COMPUTED_VALUE"""),"Cement Mill Inlet Slide Shoe Bearing LUB.")</f>
        <v>Cement Mill Inlet Slide Shoe Bearing LUB.</v>
      </c>
      <c r="C424" s="199">
        <f>IFERROR(__xludf.DUMMYFUNCTION("""COMPUTED_VALUE"""),2.5259169216E10)</f>
        <v>25259169216</v>
      </c>
      <c r="D424" s="201">
        <f>IFERROR(__xludf.DUMMYFUNCTION("""COMPUTED_VALUE"""),45909.0)</f>
        <v>45909</v>
      </c>
      <c r="E424" s="202" t="str">
        <f>IFERROR(__xludf.DUMMYFUNCTION("""COMPUTED_VALUE"""),"Alert")</f>
        <v>Alert</v>
      </c>
      <c r="F424" s="202" t="str">
        <f>IFERROR(__xludf.DUMMYFUNCTION("""COMPUTED_VALUE"""),"Alert")</f>
        <v>Alert</v>
      </c>
      <c r="G424" s="203" t="str">
        <f>IFERROR(__xludf.DUMMYFUNCTION("""COMPUTED_VALUE"""),"Caution")</f>
        <v>Caution</v>
      </c>
      <c r="H424" s="203" t="str">
        <f>IFERROR(__xludf.DUMMYFUNCTION("""COMPUTED_VALUE"""),"Normal")</f>
        <v>Normal</v>
      </c>
      <c r="I424" s="37"/>
      <c r="J424" s="37"/>
      <c r="K424" s="37"/>
      <c r="L424" s="199">
        <f>IFERROR(__xludf.DUMMYFUNCTION("""COMPUTED_VALUE"""),36.0)</f>
        <v>36</v>
      </c>
      <c r="M424" s="199">
        <f>IFERROR(__xludf.DUMMYFUNCTION("""COMPUTED_VALUE"""),431.6)</f>
        <v>431.6</v>
      </c>
      <c r="N424" s="199"/>
      <c r="O424" s="199">
        <f>IFERROR(__xludf.DUMMYFUNCTION("""COMPUTED_VALUE"""),1.0)</f>
        <v>1</v>
      </c>
      <c r="P424" s="199">
        <f>IFERROR(__xludf.DUMMYFUNCTION("""COMPUTED_VALUE"""),0.2)</f>
        <v>0.2</v>
      </c>
      <c r="Q424" s="199">
        <f>IFERROR(__xludf.DUMMYFUNCTION("""COMPUTED_VALUE"""),0.0)</f>
        <v>0</v>
      </c>
      <c r="R424" s="199">
        <f>IFERROR(__xludf.DUMMYFUNCTION("""COMPUTED_VALUE"""),9.0)</f>
        <v>9</v>
      </c>
      <c r="S424" s="199">
        <f>IFERROR(__xludf.DUMMYFUNCTION("""COMPUTED_VALUE"""),1.0)</f>
        <v>1</v>
      </c>
      <c r="T424" s="199">
        <f>IFERROR(__xludf.DUMMYFUNCTION("""COMPUTED_VALUE"""),15.0)</f>
        <v>15</v>
      </c>
      <c r="U424" s="199">
        <f>IFERROR(__xludf.DUMMYFUNCTION("""COMPUTED_VALUE"""),43.0)</f>
        <v>43</v>
      </c>
      <c r="V424" s="199">
        <f>IFERROR(__xludf.DUMMYFUNCTION("""COMPUTED_VALUE"""),0.0)</f>
        <v>0</v>
      </c>
      <c r="W424" s="199">
        <f>IFERROR(__xludf.DUMMYFUNCTION("""COMPUTED_VALUE"""),0.0)</f>
        <v>0</v>
      </c>
      <c r="X424" s="199">
        <f>IFERROR(__xludf.DUMMYFUNCTION("""COMPUTED_VALUE"""),3.0)</f>
        <v>3</v>
      </c>
      <c r="Y424" s="199">
        <f>IFERROR(__xludf.DUMMYFUNCTION("""COMPUTED_VALUE"""),0.0)</f>
        <v>0</v>
      </c>
      <c r="Z424" s="199">
        <f>IFERROR(__xludf.DUMMYFUNCTION("""COMPUTED_VALUE"""),4.0)</f>
        <v>4</v>
      </c>
      <c r="AA424" s="199">
        <f>IFERROR(__xludf.DUMMYFUNCTION("""COMPUTED_VALUE"""),0.0)</f>
        <v>0</v>
      </c>
      <c r="AB424" s="199">
        <f>IFERROR(__xludf.DUMMYFUNCTION("""COMPUTED_VALUE"""),56.0)</f>
        <v>56</v>
      </c>
      <c r="AC424" s="199">
        <f>IFERROR(__xludf.DUMMYFUNCTION("""COMPUTED_VALUE"""),12.0)</f>
        <v>12</v>
      </c>
      <c r="AD424" s="199">
        <f>IFERROR(__xludf.DUMMYFUNCTION("""COMPUTED_VALUE"""),0.0)</f>
        <v>0</v>
      </c>
      <c r="AE424" s="199">
        <f>IFERROR(__xludf.DUMMYFUNCTION("""COMPUTED_VALUE"""),106.0)</f>
        <v>106</v>
      </c>
      <c r="AF424" s="199">
        <f>IFERROR(__xludf.DUMMYFUNCTION("""COMPUTED_VALUE"""),0.0)</f>
        <v>0</v>
      </c>
      <c r="AG424" s="199">
        <f>IFERROR(__xludf.DUMMYFUNCTION("""COMPUTED_VALUE"""),338.0)</f>
        <v>338</v>
      </c>
      <c r="AH424" s="199">
        <f>IFERROR(__xludf.DUMMYFUNCTION("""COMPUTED_VALUE"""),0.0)</f>
        <v>0</v>
      </c>
      <c r="AI424" s="200" t="str">
        <f>IFERROR(__xludf.DUMMYFUNCTION("""COMPUTED_VALUE"""),"Contamination Alert | Water Ingress")</f>
        <v>Contamination Alert | Water Ingress</v>
      </c>
      <c r="AJ424" s="200" t="str">
        <f>IFERROR(__xludf.DUMMYFUNCTION("""COMPUTED_VALUE"""),"Water detected - inspect seals and breathers; Elevated silicon - inspect filters and seals for contamination")</f>
        <v>Water detected - inspect seals and breathers; Elevated silicon - inspect filters and seals for contamination</v>
      </c>
      <c r="AK424" s="204"/>
      <c r="AL424" s="204"/>
      <c r="AM424" s="204"/>
    </row>
    <row r="425" hidden="1">
      <c r="A425" s="199" t="str">
        <f>IFERROR(__xludf.DUMMYFUNCTION("""COMPUTED_VALUE"""),"532.LQ120")</f>
        <v>532.LQ120</v>
      </c>
      <c r="B425" s="200" t="str">
        <f>IFERROR(__xludf.DUMMYFUNCTION("""COMPUTED_VALUE"""),"Cement Mill Outlet Slide Shoe Bearing LUB.")</f>
        <v>Cement Mill Outlet Slide Shoe Bearing LUB.</v>
      </c>
      <c r="C425" s="199">
        <f>IFERROR(__xludf.DUMMYFUNCTION("""COMPUTED_VALUE"""),2.5258159241E10)</f>
        <v>25258159241</v>
      </c>
      <c r="D425" s="201">
        <f>IFERROR(__xludf.DUMMYFUNCTION("""COMPUTED_VALUE"""),45909.0)</f>
        <v>45909</v>
      </c>
      <c r="E425" s="202" t="str">
        <f>IFERROR(__xludf.DUMMYFUNCTION("""COMPUTED_VALUE"""),"Caution")</f>
        <v>Caution</v>
      </c>
      <c r="F425" s="202" t="str">
        <f>IFERROR(__xludf.DUMMYFUNCTION("""COMPUTED_VALUE"""),"Caution")</f>
        <v>Caution</v>
      </c>
      <c r="G425" s="203" t="str">
        <f>IFERROR(__xludf.DUMMYFUNCTION("""COMPUTED_VALUE"""),"Normal")</f>
        <v>Normal</v>
      </c>
      <c r="H425" s="203" t="str">
        <f>IFERROR(__xludf.DUMMYFUNCTION("""COMPUTED_VALUE"""),"Normal")</f>
        <v>Normal</v>
      </c>
      <c r="I425" s="199"/>
      <c r="J425" s="199"/>
      <c r="K425" s="199"/>
      <c r="L425" s="199">
        <f>IFERROR(__xludf.DUMMYFUNCTION("""COMPUTED_VALUE"""),22.0)</f>
        <v>22</v>
      </c>
      <c r="M425" s="199">
        <f>IFERROR(__xludf.DUMMYFUNCTION("""COMPUTED_VALUE"""),446.4)</f>
        <v>446.4</v>
      </c>
      <c r="N425" s="199"/>
      <c r="O425" s="199">
        <f>IFERROR(__xludf.DUMMYFUNCTION("""COMPUTED_VALUE"""),1.0)</f>
        <v>1</v>
      </c>
      <c r="P425" s="199">
        <f>IFERROR(__xludf.DUMMYFUNCTION("""COMPUTED_VALUE"""),0.05)</f>
        <v>0.05</v>
      </c>
      <c r="Q425" s="199">
        <f>IFERROR(__xludf.DUMMYFUNCTION("""COMPUTED_VALUE"""),0.0)</f>
        <v>0</v>
      </c>
      <c r="R425" s="199">
        <f>IFERROR(__xludf.DUMMYFUNCTION("""COMPUTED_VALUE"""),16.0)</f>
        <v>16</v>
      </c>
      <c r="S425" s="199">
        <f>IFERROR(__xludf.DUMMYFUNCTION("""COMPUTED_VALUE"""),1.0)</f>
        <v>1</v>
      </c>
      <c r="T425" s="199">
        <f>IFERROR(__xludf.DUMMYFUNCTION("""COMPUTED_VALUE"""),13.0)</f>
        <v>13</v>
      </c>
      <c r="U425" s="199">
        <f>IFERROR(__xludf.DUMMYFUNCTION("""COMPUTED_VALUE"""),28.0)</f>
        <v>28</v>
      </c>
      <c r="V425" s="199">
        <f>IFERROR(__xludf.DUMMYFUNCTION("""COMPUTED_VALUE"""),0.0)</f>
        <v>0</v>
      </c>
      <c r="W425" s="199">
        <f>IFERROR(__xludf.DUMMYFUNCTION("""COMPUTED_VALUE"""),0.0)</f>
        <v>0</v>
      </c>
      <c r="X425" s="199">
        <f>IFERROR(__xludf.DUMMYFUNCTION("""COMPUTED_VALUE"""),3.0)</f>
        <v>3</v>
      </c>
      <c r="Y425" s="199">
        <f>IFERROR(__xludf.DUMMYFUNCTION("""COMPUTED_VALUE"""),0.0)</f>
        <v>0</v>
      </c>
      <c r="Z425" s="199">
        <f>IFERROR(__xludf.DUMMYFUNCTION("""COMPUTED_VALUE"""),0.0)</f>
        <v>0</v>
      </c>
      <c r="AA425" s="199">
        <f>IFERROR(__xludf.DUMMYFUNCTION("""COMPUTED_VALUE"""),0.0)</f>
        <v>0</v>
      </c>
      <c r="AB425" s="199">
        <f>IFERROR(__xludf.DUMMYFUNCTION("""COMPUTED_VALUE"""),12.0)</f>
        <v>12</v>
      </c>
      <c r="AC425" s="199">
        <f>IFERROR(__xludf.DUMMYFUNCTION("""COMPUTED_VALUE"""),12.0)</f>
        <v>12</v>
      </c>
      <c r="AD425" s="199">
        <f>IFERROR(__xludf.DUMMYFUNCTION("""COMPUTED_VALUE"""),0.0)</f>
        <v>0</v>
      </c>
      <c r="AE425" s="199">
        <f>IFERROR(__xludf.DUMMYFUNCTION("""COMPUTED_VALUE"""),61.0)</f>
        <v>61</v>
      </c>
      <c r="AF425" s="199">
        <f>IFERROR(__xludf.DUMMYFUNCTION("""COMPUTED_VALUE"""),5.0)</f>
        <v>5</v>
      </c>
      <c r="AG425" s="199">
        <f>IFERROR(__xludf.DUMMYFUNCTION("""COMPUTED_VALUE"""),325.0)</f>
        <v>325</v>
      </c>
      <c r="AH425" s="199">
        <f>IFERROR(__xludf.DUMMYFUNCTION("""COMPUTED_VALUE"""),0.0)</f>
        <v>0</v>
      </c>
      <c r="AI425" s="200" t="str">
        <f>IFERROR(__xludf.DUMMYFUNCTION("""COMPUTED_VALUE"""),"General Caution")</f>
        <v>General Caution</v>
      </c>
      <c r="AJ425" s="200" t="str">
        <f>IFERROR(__xludf.DUMMYFUNCTION("""COMPUTED_VALUE"""),"Continue monitoring; resample at next scheduled interval")</f>
        <v>Continue monitoring; resample at next scheduled interval</v>
      </c>
      <c r="AK425" s="204"/>
      <c r="AL425" s="204"/>
      <c r="AM425" s="204"/>
    </row>
    <row r="426" hidden="1">
      <c r="A426" s="199" t="str">
        <f>IFERROR(__xludf.DUMMYFUNCTION("""COMPUTED_VALUE"""),"533.LQ110")</f>
        <v>533.LQ110</v>
      </c>
      <c r="B426" s="200" t="str">
        <f>IFERROR(__xludf.DUMMYFUNCTION("""COMPUTED_VALUE"""),"Cement Mill Inlet Slide Shoe Bearing LUB.")</f>
        <v>Cement Mill Inlet Slide Shoe Bearing LUB.</v>
      </c>
      <c r="C426" s="199">
        <f>IFERROR(__xludf.DUMMYFUNCTION("""COMPUTED_VALUE"""),2.5259169225E10)</f>
        <v>25259169225</v>
      </c>
      <c r="D426" s="201">
        <f>IFERROR(__xludf.DUMMYFUNCTION("""COMPUTED_VALUE"""),45909.0)</f>
        <v>45909</v>
      </c>
      <c r="E426" s="202" t="str">
        <f>IFERROR(__xludf.DUMMYFUNCTION("""COMPUTED_VALUE"""),"Alert")</f>
        <v>Alert</v>
      </c>
      <c r="F426" s="202" t="str">
        <f>IFERROR(__xludf.DUMMYFUNCTION("""COMPUTED_VALUE"""),"Alert")</f>
        <v>Alert</v>
      </c>
      <c r="G426" s="203" t="str">
        <f>IFERROR(__xludf.DUMMYFUNCTION("""COMPUTED_VALUE"""),"Alert")</f>
        <v>Alert</v>
      </c>
      <c r="H426" s="203" t="str">
        <f>IFERROR(__xludf.DUMMYFUNCTION("""COMPUTED_VALUE"""),"Normal")</f>
        <v>Normal</v>
      </c>
      <c r="I426" s="199"/>
      <c r="J426" s="199"/>
      <c r="K426" s="199"/>
      <c r="L426" s="199">
        <f>IFERROR(__xludf.DUMMYFUNCTION("""COMPUTED_VALUE"""),499.0)</f>
        <v>499</v>
      </c>
      <c r="M426" s="199">
        <f>IFERROR(__xludf.DUMMYFUNCTION("""COMPUTED_VALUE"""),419.8)</f>
        <v>419.8</v>
      </c>
      <c r="N426" s="199"/>
      <c r="O426" s="199">
        <f>IFERROR(__xludf.DUMMYFUNCTION("""COMPUTED_VALUE"""),2.0)</f>
        <v>2</v>
      </c>
      <c r="P426" s="199">
        <f>IFERROR(__xludf.DUMMYFUNCTION("""COMPUTED_VALUE"""),0.4)</f>
        <v>0.4</v>
      </c>
      <c r="Q426" s="199">
        <f>IFERROR(__xludf.DUMMYFUNCTION("""COMPUTED_VALUE"""),0.0)</f>
        <v>0</v>
      </c>
      <c r="R426" s="199">
        <f>IFERROR(__xludf.DUMMYFUNCTION("""COMPUTED_VALUE"""),146.0)</f>
        <v>146</v>
      </c>
      <c r="S426" s="199">
        <f>IFERROR(__xludf.DUMMYFUNCTION("""COMPUTED_VALUE"""),16.0)</f>
        <v>16</v>
      </c>
      <c r="T426" s="199">
        <f>IFERROR(__xludf.DUMMYFUNCTION("""COMPUTED_VALUE"""),276.0)</f>
        <v>276</v>
      </c>
      <c r="U426" s="199">
        <f>IFERROR(__xludf.DUMMYFUNCTION("""COMPUTED_VALUE"""),153.0)</f>
        <v>153</v>
      </c>
      <c r="V426" s="199">
        <f>IFERROR(__xludf.DUMMYFUNCTION("""COMPUTED_VALUE"""),5.0)</f>
        <v>5</v>
      </c>
      <c r="W426" s="199">
        <f>IFERROR(__xludf.DUMMYFUNCTION("""COMPUTED_VALUE"""),12.0)</f>
        <v>12</v>
      </c>
      <c r="X426" s="199">
        <f>IFERROR(__xludf.DUMMYFUNCTION("""COMPUTED_VALUE"""),140.0)</f>
        <v>140</v>
      </c>
      <c r="Y426" s="199">
        <f>IFERROR(__xludf.DUMMYFUNCTION("""COMPUTED_VALUE"""),1098.0)</f>
        <v>1098</v>
      </c>
      <c r="Z426" s="199">
        <f>IFERROR(__xludf.DUMMYFUNCTION("""COMPUTED_VALUE"""),37.0)</f>
        <v>37</v>
      </c>
      <c r="AA426" s="199">
        <f>IFERROR(__xludf.DUMMYFUNCTION("""COMPUTED_VALUE"""),14.0)</f>
        <v>14</v>
      </c>
      <c r="AB426" s="199">
        <f>IFERROR(__xludf.DUMMYFUNCTION("""COMPUTED_VALUE"""),579.0)</f>
        <v>579</v>
      </c>
      <c r="AC426" s="199">
        <f>IFERROR(__xludf.DUMMYFUNCTION("""COMPUTED_VALUE"""),28.0)</f>
        <v>28</v>
      </c>
      <c r="AD426" s="199">
        <f>IFERROR(__xludf.DUMMYFUNCTION("""COMPUTED_VALUE"""),0.0)</f>
        <v>0</v>
      </c>
      <c r="AE426" s="199">
        <f>IFERROR(__xludf.DUMMYFUNCTION("""COMPUTED_VALUE"""),3279.0)</f>
        <v>3279</v>
      </c>
      <c r="AF426" s="199">
        <f>IFERROR(__xludf.DUMMYFUNCTION("""COMPUTED_VALUE"""),12.0)</f>
        <v>12</v>
      </c>
      <c r="AG426" s="199">
        <f>IFERROR(__xludf.DUMMYFUNCTION("""COMPUTED_VALUE"""),319.0)</f>
        <v>319</v>
      </c>
      <c r="AH426" s="199">
        <f>IFERROR(__xludf.DUMMYFUNCTION("""COMPUTED_VALUE"""),0.0)</f>
        <v>0</v>
      </c>
      <c r="AI426" s="200" t="str">
        <f>IFERROR(__xludf.DUMMYFUNCTION("""COMPUTED_VALUE"""),"Wear Metal Alert | Contamination Alert | Water Ingress | High Particle Count")</f>
        <v>Wear Metal Alert | Contamination Alert | Water Ingress | High Particle Count</v>
      </c>
      <c r="AJ426" s="200" t="str">
        <f>IFERROR(__xludf.DUMMYFUNCTION("""COMPUTED_VALUE"""),"URGENT: Inspect equipment immediately for wear/damage; Critical wear metals detected - schedule immediate inspection; High wear metals - inspect bearing/gear surfaces; High water contamination - check seals and drain water immediately; Very high silicon -"&amp;" check/replace air filters, inspect seals; Critical particle count - flush system and replace filters")</f>
        <v>URGENT: Inspect equipment immediately for wear/damage; Critical wear metals detected - schedule immediate inspection; High wear metals - inspect bearing/gear surfaces; High water contamination - check seals and drain water immediately; Very high silicon - check/replace air filters, inspect seals; Critical particle count - flush system and replace filters</v>
      </c>
      <c r="AK426" s="204"/>
      <c r="AL426" s="204"/>
      <c r="AM426" s="204"/>
    </row>
    <row r="427" hidden="1">
      <c r="A427" s="199" t="str">
        <f>IFERROR(__xludf.DUMMYFUNCTION("""COMPUTED_VALUE"""),"533.LQ120")</f>
        <v>533.LQ120</v>
      </c>
      <c r="B427" s="200" t="str">
        <f>IFERROR(__xludf.DUMMYFUNCTION("""COMPUTED_VALUE"""),"Cement Mill Outlet Slide Shoe Bearing LUB.")</f>
        <v>Cement Mill Outlet Slide Shoe Bearing LUB.</v>
      </c>
      <c r="C427" s="199">
        <f>IFERROR(__xludf.DUMMYFUNCTION("""COMPUTED_VALUE"""),2.525916922E10)</f>
        <v>25259169220</v>
      </c>
      <c r="D427" s="201">
        <f>IFERROR(__xludf.DUMMYFUNCTION("""COMPUTED_VALUE"""),45909.0)</f>
        <v>45909</v>
      </c>
      <c r="E427" s="202" t="str">
        <f>IFERROR(__xludf.DUMMYFUNCTION("""COMPUTED_VALUE"""),"Alert")</f>
        <v>Alert</v>
      </c>
      <c r="F427" s="202" t="str">
        <f>IFERROR(__xludf.DUMMYFUNCTION("""COMPUTED_VALUE"""),"Alert")</f>
        <v>Alert</v>
      </c>
      <c r="G427" s="203" t="str">
        <f>IFERROR(__xludf.DUMMYFUNCTION("""COMPUTED_VALUE"""),"Alert")</f>
        <v>Alert</v>
      </c>
      <c r="H427" s="203" t="str">
        <f>IFERROR(__xludf.DUMMYFUNCTION("""COMPUTED_VALUE"""),"Normal")</f>
        <v>Normal</v>
      </c>
      <c r="I427" s="37"/>
      <c r="J427" s="37"/>
      <c r="K427" s="37"/>
      <c r="L427" s="199">
        <f>IFERROR(__xludf.DUMMYFUNCTION("""COMPUTED_VALUE"""),70.0)</f>
        <v>70</v>
      </c>
      <c r="M427" s="199">
        <f>IFERROR(__xludf.DUMMYFUNCTION("""COMPUTED_VALUE"""),406.6)</f>
        <v>406.6</v>
      </c>
      <c r="N427" s="199"/>
      <c r="O427" s="199">
        <f>IFERROR(__xludf.DUMMYFUNCTION("""COMPUTED_VALUE"""),0.0)</f>
        <v>0</v>
      </c>
      <c r="P427" s="199">
        <f>IFERROR(__xludf.DUMMYFUNCTION("""COMPUTED_VALUE"""),0.22)</f>
        <v>0.22</v>
      </c>
      <c r="Q427" s="199">
        <f>IFERROR(__xludf.DUMMYFUNCTION("""COMPUTED_VALUE"""),0.0)</f>
        <v>0</v>
      </c>
      <c r="R427" s="199">
        <f>IFERROR(__xludf.DUMMYFUNCTION("""COMPUTED_VALUE"""),3.0)</f>
        <v>3</v>
      </c>
      <c r="S427" s="199">
        <f>IFERROR(__xludf.DUMMYFUNCTION("""COMPUTED_VALUE"""),0.0)</f>
        <v>0</v>
      </c>
      <c r="T427" s="199">
        <f>IFERROR(__xludf.DUMMYFUNCTION("""COMPUTED_VALUE"""),17.0)</f>
        <v>17</v>
      </c>
      <c r="U427" s="199">
        <f>IFERROR(__xludf.DUMMYFUNCTION("""COMPUTED_VALUE"""),52.0)</f>
        <v>52</v>
      </c>
      <c r="V427" s="199">
        <f>IFERROR(__xludf.DUMMYFUNCTION("""COMPUTED_VALUE"""),0.0)</f>
        <v>0</v>
      </c>
      <c r="W427" s="199">
        <f>IFERROR(__xludf.DUMMYFUNCTION("""COMPUTED_VALUE"""),0.0)</f>
        <v>0</v>
      </c>
      <c r="X427" s="199">
        <f>IFERROR(__xludf.DUMMYFUNCTION("""COMPUTED_VALUE"""),31.0)</f>
        <v>31</v>
      </c>
      <c r="Y427" s="199">
        <f>IFERROR(__xludf.DUMMYFUNCTION("""COMPUTED_VALUE"""),0.0)</f>
        <v>0</v>
      </c>
      <c r="Z427" s="199">
        <f>IFERROR(__xludf.DUMMYFUNCTION("""COMPUTED_VALUE"""),5.0)</f>
        <v>5</v>
      </c>
      <c r="AA427" s="199">
        <f>IFERROR(__xludf.DUMMYFUNCTION("""COMPUTED_VALUE"""),0.0)</f>
        <v>0</v>
      </c>
      <c r="AB427" s="199">
        <f>IFERROR(__xludf.DUMMYFUNCTION("""COMPUTED_VALUE"""),17.0)</f>
        <v>17</v>
      </c>
      <c r="AC427" s="199">
        <f>IFERROR(__xludf.DUMMYFUNCTION("""COMPUTED_VALUE"""),41.0)</f>
        <v>41</v>
      </c>
      <c r="AD427" s="199">
        <f>IFERROR(__xludf.DUMMYFUNCTION("""COMPUTED_VALUE"""),0.0)</f>
        <v>0</v>
      </c>
      <c r="AE427" s="199">
        <f>IFERROR(__xludf.DUMMYFUNCTION("""COMPUTED_VALUE"""),75.0)</f>
        <v>75</v>
      </c>
      <c r="AF427" s="199">
        <f>IFERROR(__xludf.DUMMYFUNCTION("""COMPUTED_VALUE"""),3.0)</f>
        <v>3</v>
      </c>
      <c r="AG427" s="199">
        <f>IFERROR(__xludf.DUMMYFUNCTION("""COMPUTED_VALUE"""),351.0)</f>
        <v>351</v>
      </c>
      <c r="AH427" s="199">
        <f>IFERROR(__xludf.DUMMYFUNCTION("""COMPUTED_VALUE"""),2.0)</f>
        <v>2</v>
      </c>
      <c r="AI427" s="200" t="str">
        <f>IFERROR(__xludf.DUMMYFUNCTION("""COMPUTED_VALUE"""),"Wear Metal Alert | Water Ingress")</f>
        <v>Wear Metal Alert | Water Ingress</v>
      </c>
      <c r="AJ427" s="200" t="str">
        <f>IFERROR(__xludf.DUMMYFUNCTION("""COMPUTED_VALUE"""),"URGENT: Inspect equipment immediately for wear/damage; High water contamination - check seals and drain water immediately")</f>
        <v>URGENT: Inspect equipment immediately for wear/damage; High water contamination - check seals and drain water immediately</v>
      </c>
      <c r="AK427" s="204"/>
      <c r="AL427" s="204"/>
      <c r="AM427" s="204"/>
    </row>
    <row r="428" hidden="1">
      <c r="A428" s="199" t="str">
        <f>IFERROR(__xludf.DUMMYFUNCTION("""COMPUTED_VALUE"""),"534.LQ110")</f>
        <v>534.LQ110</v>
      </c>
      <c r="B428" s="200" t="str">
        <f>IFERROR(__xludf.DUMMYFUNCTION("""COMPUTED_VALUE"""),"Cement Mill Inlet Slide Shoe Bearing LUB.")</f>
        <v>Cement Mill Inlet Slide Shoe Bearing LUB.</v>
      </c>
      <c r="C428" s="199">
        <f>IFERROR(__xludf.DUMMYFUNCTION("""COMPUTED_VALUE"""),2.5259169224E10)</f>
        <v>25259169224</v>
      </c>
      <c r="D428" s="201">
        <f>IFERROR(__xludf.DUMMYFUNCTION("""COMPUTED_VALUE"""),45909.0)</f>
        <v>45909</v>
      </c>
      <c r="E428" s="202" t="str">
        <f>IFERROR(__xludf.DUMMYFUNCTION("""COMPUTED_VALUE"""),"Alert")</f>
        <v>Alert</v>
      </c>
      <c r="F428" s="202" t="str">
        <f>IFERROR(__xludf.DUMMYFUNCTION("""COMPUTED_VALUE"""),"Alert")</f>
        <v>Alert</v>
      </c>
      <c r="G428" s="203" t="str">
        <f>IFERROR(__xludf.DUMMYFUNCTION("""COMPUTED_VALUE"""),"Alert")</f>
        <v>Alert</v>
      </c>
      <c r="H428" s="203" t="str">
        <f>IFERROR(__xludf.DUMMYFUNCTION("""COMPUTED_VALUE"""),"Caution")</f>
        <v>Caution</v>
      </c>
      <c r="I428" s="37"/>
      <c r="J428" s="37"/>
      <c r="K428" s="37"/>
      <c r="L428" s="199">
        <f>IFERROR(__xludf.DUMMYFUNCTION("""COMPUTED_VALUE"""),193.0)</f>
        <v>193</v>
      </c>
      <c r="M428" s="199">
        <f>IFERROR(__xludf.DUMMYFUNCTION("""COMPUTED_VALUE"""),453.0)</f>
        <v>453</v>
      </c>
      <c r="N428" s="199"/>
      <c r="O428" s="199">
        <f>IFERROR(__xludf.DUMMYFUNCTION("""COMPUTED_VALUE"""),7.0)</f>
        <v>7</v>
      </c>
      <c r="P428" s="199">
        <f>IFERROR(__xludf.DUMMYFUNCTION("""COMPUTED_VALUE"""),0.56)</f>
        <v>0.56</v>
      </c>
      <c r="Q428" s="199">
        <f>IFERROR(__xludf.DUMMYFUNCTION("""COMPUTED_VALUE"""),0.0)</f>
        <v>0</v>
      </c>
      <c r="R428" s="199">
        <f>IFERROR(__xludf.DUMMYFUNCTION("""COMPUTED_VALUE"""),22.0)</f>
        <v>22</v>
      </c>
      <c r="S428" s="199">
        <f>IFERROR(__xludf.DUMMYFUNCTION("""COMPUTED_VALUE"""),1.0)</f>
        <v>1</v>
      </c>
      <c r="T428" s="199">
        <f>IFERROR(__xludf.DUMMYFUNCTION("""COMPUTED_VALUE"""),325.0)</f>
        <v>325</v>
      </c>
      <c r="U428" s="199">
        <f>IFERROR(__xludf.DUMMYFUNCTION("""COMPUTED_VALUE"""),62.0)</f>
        <v>62</v>
      </c>
      <c r="V428" s="199">
        <f>IFERROR(__xludf.DUMMYFUNCTION("""COMPUTED_VALUE"""),2.0)</f>
        <v>2</v>
      </c>
      <c r="W428" s="199">
        <f>IFERROR(__xludf.DUMMYFUNCTION("""COMPUTED_VALUE"""),268.0)</f>
        <v>268</v>
      </c>
      <c r="X428" s="199">
        <f>IFERROR(__xludf.DUMMYFUNCTION("""COMPUTED_VALUE"""),80.0)</f>
        <v>80</v>
      </c>
      <c r="Y428" s="199">
        <f>IFERROR(__xludf.DUMMYFUNCTION("""COMPUTED_VALUE"""),0.0)</f>
        <v>0</v>
      </c>
      <c r="Z428" s="199">
        <f>IFERROR(__xludf.DUMMYFUNCTION("""COMPUTED_VALUE"""),2.0)</f>
        <v>2</v>
      </c>
      <c r="AA428" s="199">
        <f>IFERROR(__xludf.DUMMYFUNCTION("""COMPUTED_VALUE"""),1.0)</f>
        <v>1</v>
      </c>
      <c r="AB428" s="199">
        <f>IFERROR(__xludf.DUMMYFUNCTION("""COMPUTED_VALUE"""),320.0)</f>
        <v>320</v>
      </c>
      <c r="AC428" s="199">
        <f>IFERROR(__xludf.DUMMYFUNCTION("""COMPUTED_VALUE"""),19.0)</f>
        <v>19</v>
      </c>
      <c r="AD428" s="199">
        <f>IFERROR(__xludf.DUMMYFUNCTION("""COMPUTED_VALUE"""),0.0)</f>
        <v>0</v>
      </c>
      <c r="AE428" s="199">
        <f>IFERROR(__xludf.DUMMYFUNCTION("""COMPUTED_VALUE"""),351.0)</f>
        <v>351</v>
      </c>
      <c r="AF428" s="199">
        <f>IFERROR(__xludf.DUMMYFUNCTION("""COMPUTED_VALUE"""),17.0)</f>
        <v>17</v>
      </c>
      <c r="AG428" s="199">
        <f>IFERROR(__xludf.DUMMYFUNCTION("""COMPUTED_VALUE"""),58.0)</f>
        <v>58</v>
      </c>
      <c r="AH428" s="199">
        <f>IFERROR(__xludf.DUMMYFUNCTION("""COMPUTED_VALUE"""),4.0)</f>
        <v>4</v>
      </c>
      <c r="AI428" s="200" t="str">
        <f>IFERROR(__xludf.DUMMYFUNCTION("""COMPUTED_VALUE"""),"Wear Metal Alert | Contamination Alert | Water Ingress | High Particle Count")</f>
        <v>Wear Metal Alert | Contamination Alert | Water Ingress | High Particle Count</v>
      </c>
      <c r="AJ428" s="200" t="str">
        <f>IFERROR(__xludf.DUMMYFUNCTION("""COMPUTED_VALUE"""),"URGENT: Inspect equipment immediately for wear/damage; Critical wear metals detected - schedule immediate inspection; High wear metals - inspect bearing/gear surfaces; High water contamination - check seals and drain water immediately; Severe oxidation - "&amp;"lubricant change required urgently; Very high silicon - check/replace air filters, inspect seals; Critical particle count - flush system and replace filters")</f>
        <v>URGENT: Inspect equipment immediately for wear/damage; Critical wear metals detected - schedule immediate inspection; High wear metals - inspect bearing/gear surfaces; High water contamination - check seals and drain water immediately; Severe oxidation - lubricant change required urgently; Very high silicon - check/replace air filters, inspect seals; Critical particle count - flush system and replace filters</v>
      </c>
      <c r="AK428" s="204"/>
      <c r="AL428" s="204"/>
      <c r="AM428" s="204"/>
    </row>
    <row r="429">
      <c r="A429" s="199" t="str">
        <f>IFERROR(__xludf.DUMMYFUNCTION("""COMPUTED_VALUE"""),"534.LQ120")</f>
        <v>534.LQ120</v>
      </c>
      <c r="B429" s="200" t="str">
        <f>IFERROR(__xludf.DUMMYFUNCTION("""COMPUTED_VALUE"""),"Cement Mill Outlet Slide Shoe Bearing LUB.")</f>
        <v>Cement Mill Outlet Slide Shoe Bearing LUB.</v>
      </c>
      <c r="C429" s="199">
        <f>IFERROR(__xludf.DUMMYFUNCTION("""COMPUTED_VALUE"""),2.5259169226E10)</f>
        <v>25259169226</v>
      </c>
      <c r="D429" s="201">
        <f>IFERROR(__xludf.DUMMYFUNCTION("""COMPUTED_VALUE"""),45909.0)</f>
        <v>45909</v>
      </c>
      <c r="E429" s="202" t="str">
        <f>IFERROR(__xludf.DUMMYFUNCTION("""COMPUTED_VALUE"""),"Alert")</f>
        <v>Alert</v>
      </c>
      <c r="F429" s="202" t="str">
        <f>IFERROR(__xludf.DUMMYFUNCTION("""COMPUTED_VALUE"""),"Alert")</f>
        <v>Alert</v>
      </c>
      <c r="G429" s="203" t="str">
        <f>IFERROR(__xludf.DUMMYFUNCTION("""COMPUTED_VALUE"""),"Alert")</f>
        <v>Alert</v>
      </c>
      <c r="H429" s="203" t="str">
        <f>IFERROR(__xludf.DUMMYFUNCTION("""COMPUTED_VALUE"""),"Alert")</f>
        <v>Alert</v>
      </c>
      <c r="I429" s="37"/>
      <c r="J429" s="37"/>
      <c r="K429" s="37"/>
      <c r="L429" s="199">
        <f>IFERROR(__xludf.DUMMYFUNCTION("""COMPUTED_VALUE"""),97.0)</f>
        <v>97</v>
      </c>
      <c r="M429" s="199">
        <f>IFERROR(__xludf.DUMMYFUNCTION("""COMPUTED_VALUE"""),440.6)</f>
        <v>440.6</v>
      </c>
      <c r="N429" s="199"/>
      <c r="O429" s="199">
        <f>IFERROR(__xludf.DUMMYFUNCTION("""COMPUTED_VALUE"""),12.0)</f>
        <v>12</v>
      </c>
      <c r="P429" s="199">
        <f>IFERROR(__xludf.DUMMYFUNCTION("""COMPUTED_VALUE"""),0.4)</f>
        <v>0.4</v>
      </c>
      <c r="Q429" s="199">
        <f>IFERROR(__xludf.DUMMYFUNCTION("""COMPUTED_VALUE"""),0.0)</f>
        <v>0</v>
      </c>
      <c r="R429" s="199">
        <f>IFERROR(__xludf.DUMMYFUNCTION("""COMPUTED_VALUE"""),58.0)</f>
        <v>58</v>
      </c>
      <c r="S429" s="199">
        <f>IFERROR(__xludf.DUMMYFUNCTION("""COMPUTED_VALUE"""),3.0)</f>
        <v>3</v>
      </c>
      <c r="T429" s="199">
        <f>IFERROR(__xludf.DUMMYFUNCTION("""COMPUTED_VALUE"""),84.0)</f>
        <v>84</v>
      </c>
      <c r="U429" s="199">
        <f>IFERROR(__xludf.DUMMYFUNCTION("""COMPUTED_VALUE"""),233.0)</f>
        <v>233</v>
      </c>
      <c r="V429" s="199">
        <f>IFERROR(__xludf.DUMMYFUNCTION("""COMPUTED_VALUE"""),2.0)</f>
        <v>2</v>
      </c>
      <c r="W429" s="199">
        <f>IFERROR(__xludf.DUMMYFUNCTION("""COMPUTED_VALUE"""),0.0)</f>
        <v>0</v>
      </c>
      <c r="X429" s="199">
        <f>IFERROR(__xludf.DUMMYFUNCTION("""COMPUTED_VALUE"""),73.0)</f>
        <v>73</v>
      </c>
      <c r="Y429" s="199">
        <f>IFERROR(__xludf.DUMMYFUNCTION("""COMPUTED_VALUE"""),40.0)</f>
        <v>40</v>
      </c>
      <c r="Z429" s="199">
        <f>IFERROR(__xludf.DUMMYFUNCTION("""COMPUTED_VALUE"""),5.0)</f>
        <v>5</v>
      </c>
      <c r="AA429" s="199">
        <f>IFERROR(__xludf.DUMMYFUNCTION("""COMPUTED_VALUE"""),23.0)</f>
        <v>23</v>
      </c>
      <c r="AB429" s="199">
        <f>IFERROR(__xludf.DUMMYFUNCTION("""COMPUTED_VALUE"""),194.0)</f>
        <v>194</v>
      </c>
      <c r="AC429" s="199">
        <f>IFERROR(__xludf.DUMMYFUNCTION("""COMPUTED_VALUE"""),31.0)</f>
        <v>31</v>
      </c>
      <c r="AD429" s="199">
        <f>IFERROR(__xludf.DUMMYFUNCTION("""COMPUTED_VALUE"""),0.0)</f>
        <v>0</v>
      </c>
      <c r="AE429" s="199">
        <f>IFERROR(__xludf.DUMMYFUNCTION("""COMPUTED_VALUE"""),1624.0)</f>
        <v>1624</v>
      </c>
      <c r="AF429" s="199">
        <f>IFERROR(__xludf.DUMMYFUNCTION("""COMPUTED_VALUE"""),58.0)</f>
        <v>58</v>
      </c>
      <c r="AG429" s="199">
        <f>IFERROR(__xludf.DUMMYFUNCTION("""COMPUTED_VALUE"""),273.0)</f>
        <v>273</v>
      </c>
      <c r="AH429" s="199">
        <f>IFERROR(__xludf.DUMMYFUNCTION("""COMPUTED_VALUE"""),3.0)</f>
        <v>3</v>
      </c>
      <c r="AI429" s="200" t="str">
        <f>IFERROR(__xludf.DUMMYFUNCTION("""COMPUTED_VALUE"""),"Wear Metal Alert | Lubricant Degradation | Contamination Alert | Water Ingress")</f>
        <v>Wear Metal Alert | Lubricant Degradation | Contamination Alert | Water Ingress</v>
      </c>
      <c r="AJ429" s="200" t="str">
        <f>IFERROR(__xludf.DUMMYFUNCTION("""COMPUTED_VALUE"""),"URGENT: Inspect equipment immediately for wear/damage; High wear metals - inspect bearing/gear surfaces; High water contamination - check seals and drain water immediately; Viscosity critically high - change lubricant immediately; Severe oxidation - lubri"&amp;"cant change required urgently; Very high silicon - check/replace air filters, inspect seals; High particle count - replace filters and resample")</f>
        <v>URGENT: Inspect equipment immediately for wear/damage; High wear metals - inspect bearing/gear surfaces; High water contamination - check seals and drain water immediately; Viscosity critically high - change lubricant immediately; Severe oxidation - lubricant change required urgently; Very high silicon - check/replace air filters, inspect seals; High particle count - replace filters and resample</v>
      </c>
      <c r="AK429" s="204"/>
      <c r="AL429" s="204"/>
      <c r="AM429" s="204"/>
    </row>
    <row r="430" hidden="1">
      <c r="A430" s="199" t="str">
        <f>IFERROR(__xludf.DUMMYFUNCTION("""COMPUTED_VALUE"""),"321.HY110")</f>
        <v>321.HY110</v>
      </c>
      <c r="B430" s="200" t="str">
        <f>IFERROR(__xludf.DUMMYFUNCTION("""COMPUTED_VALUE"""),"Hydraulic tensioning system for mill")</f>
        <v>Hydraulic tensioning system for mill</v>
      </c>
      <c r="C430" s="199">
        <f>IFERROR(__xludf.DUMMYFUNCTION("""COMPUTED_VALUE"""),2.5258159224E10)</f>
        <v>25258159224</v>
      </c>
      <c r="D430" s="201">
        <f>IFERROR(__xludf.DUMMYFUNCTION("""COMPUTED_VALUE"""),45909.0)</f>
        <v>45909</v>
      </c>
      <c r="E430" s="202" t="str">
        <f>IFERROR(__xludf.DUMMYFUNCTION("""COMPUTED_VALUE"""),"Caution")</f>
        <v>Caution</v>
      </c>
      <c r="F430" s="202" t="str">
        <f>IFERROR(__xludf.DUMMYFUNCTION("""COMPUTED_VALUE"""),"Caution")</f>
        <v>Caution</v>
      </c>
      <c r="G430" s="203" t="str">
        <f>IFERROR(__xludf.DUMMYFUNCTION("""COMPUTED_VALUE"""),"Caution")</f>
        <v>Caution</v>
      </c>
      <c r="H430" s="203" t="str">
        <f>IFERROR(__xludf.DUMMYFUNCTION("""COMPUTED_VALUE"""),"Normal")</f>
        <v>Normal</v>
      </c>
      <c r="I430" s="37"/>
      <c r="J430" s="37"/>
      <c r="K430" s="37"/>
      <c r="L430" s="199">
        <f>IFERROR(__xludf.DUMMYFUNCTION("""COMPUTED_VALUE"""),22.0)</f>
        <v>22</v>
      </c>
      <c r="M430" s="199">
        <f>IFERROR(__xludf.DUMMYFUNCTION("""COMPUTED_VALUE"""),45.5)</f>
        <v>45.5</v>
      </c>
      <c r="N430" s="199"/>
      <c r="O430" s="199">
        <f>IFERROR(__xludf.DUMMYFUNCTION("""COMPUTED_VALUE"""),0.0)</f>
        <v>0</v>
      </c>
      <c r="P430" s="199">
        <f>IFERROR(__xludf.DUMMYFUNCTION("""COMPUTED_VALUE"""),0.08)</f>
        <v>0.08</v>
      </c>
      <c r="Q430" s="199">
        <f>IFERROR(__xludf.DUMMYFUNCTION("""COMPUTED_VALUE"""),0.0)</f>
        <v>0</v>
      </c>
      <c r="R430" s="199">
        <f>IFERROR(__xludf.DUMMYFUNCTION("""COMPUTED_VALUE"""),11.0)</f>
        <v>11</v>
      </c>
      <c r="S430" s="199">
        <f>IFERROR(__xludf.DUMMYFUNCTION("""COMPUTED_VALUE"""),4.0)</f>
        <v>4</v>
      </c>
      <c r="T430" s="199">
        <f>IFERROR(__xludf.DUMMYFUNCTION("""COMPUTED_VALUE"""),15.0)</f>
        <v>15</v>
      </c>
      <c r="U430" s="199">
        <f>IFERROR(__xludf.DUMMYFUNCTION("""COMPUTED_VALUE"""),50.0)</f>
        <v>50</v>
      </c>
      <c r="V430" s="199">
        <f>IFERROR(__xludf.DUMMYFUNCTION("""COMPUTED_VALUE"""),0.0)</f>
        <v>0</v>
      </c>
      <c r="W430" s="199">
        <f>IFERROR(__xludf.DUMMYFUNCTION("""COMPUTED_VALUE"""),0.0)</f>
        <v>0</v>
      </c>
      <c r="X430" s="199">
        <f>IFERROR(__xludf.DUMMYFUNCTION("""COMPUTED_VALUE"""),1.0)</f>
        <v>1</v>
      </c>
      <c r="Y430" s="199">
        <f>IFERROR(__xludf.DUMMYFUNCTION("""COMPUTED_VALUE"""),0.0)</f>
        <v>0</v>
      </c>
      <c r="Z430" s="199">
        <f>IFERROR(__xludf.DUMMYFUNCTION("""COMPUTED_VALUE"""),2.0)</f>
        <v>2</v>
      </c>
      <c r="AA430" s="199">
        <f>IFERROR(__xludf.DUMMYFUNCTION("""COMPUTED_VALUE"""),0.0)</f>
        <v>0</v>
      </c>
      <c r="AB430" s="199">
        <f>IFERROR(__xludf.DUMMYFUNCTION("""COMPUTED_VALUE"""),2.0)</f>
        <v>2</v>
      </c>
      <c r="AC430" s="199">
        <f>IFERROR(__xludf.DUMMYFUNCTION("""COMPUTED_VALUE"""),0.0)</f>
        <v>0</v>
      </c>
      <c r="AD430" s="199">
        <f>IFERROR(__xludf.DUMMYFUNCTION("""COMPUTED_VALUE"""),1.0)</f>
        <v>1</v>
      </c>
      <c r="AE430" s="199">
        <f>IFERROR(__xludf.DUMMYFUNCTION("""COMPUTED_VALUE"""),102.0)</f>
        <v>102</v>
      </c>
      <c r="AF430" s="199">
        <f>IFERROR(__xludf.DUMMYFUNCTION("""COMPUTED_VALUE"""),3.0)</f>
        <v>3</v>
      </c>
      <c r="AG430" s="199">
        <f>IFERROR(__xludf.DUMMYFUNCTION("""COMPUTED_VALUE"""),238.0)</f>
        <v>238</v>
      </c>
      <c r="AH430" s="199">
        <f>IFERROR(__xludf.DUMMYFUNCTION("""COMPUTED_VALUE"""),488.0)</f>
        <v>488</v>
      </c>
      <c r="AI430" s="200" t="str">
        <f>IFERROR(__xludf.DUMMYFUNCTION("""COMPUTED_VALUE"""),"Wear Metal Caution | Moisture Caution")</f>
        <v>Wear Metal Caution | Moisture Caution</v>
      </c>
      <c r="AJ430" s="200" t="str">
        <f>IFERROR(__xludf.DUMMYFUNCTION("""COMPUTED_VALUE"""),"Monitor closely - inspect at next planned maintenance; Moisture detected - check breathers and seals")</f>
        <v>Monitor closely - inspect at next planned maintenance; Moisture detected - check breathers and seals</v>
      </c>
      <c r="AK430" s="204"/>
      <c r="AL430" s="204"/>
      <c r="AM430" s="204"/>
    </row>
    <row r="431" hidden="1">
      <c r="A431" s="199" t="str">
        <f>IFERROR(__xludf.DUMMYFUNCTION("""COMPUTED_VALUE"""),"R2.432.HT120(BE)")</f>
        <v>R2.432.HT120(BE)</v>
      </c>
      <c r="B431" s="200" t="str">
        <f>IFERROR(__xludf.DUMMYFUNCTION("""COMPUTED_VALUE"""),"Hydraulic thrust bearing")</f>
        <v>Hydraulic thrust bearing</v>
      </c>
      <c r="C431" s="199">
        <f>IFERROR(__xludf.DUMMYFUNCTION("""COMPUTED_VALUE"""),2.5258159221E10)</f>
        <v>25258159221</v>
      </c>
      <c r="D431" s="201">
        <f>IFERROR(__xludf.DUMMYFUNCTION("""COMPUTED_VALUE"""),45909.0)</f>
        <v>45909</v>
      </c>
      <c r="E431" s="202" t="str">
        <f>IFERROR(__xludf.DUMMYFUNCTION("""COMPUTED_VALUE"""),"Normal")</f>
        <v>Normal</v>
      </c>
      <c r="F431" s="202" t="str">
        <f>IFERROR(__xludf.DUMMYFUNCTION("""COMPUTED_VALUE"""),"Normal")</f>
        <v>Normal</v>
      </c>
      <c r="G431" s="203" t="str">
        <f>IFERROR(__xludf.DUMMYFUNCTION("""COMPUTED_VALUE"""),"Normal")</f>
        <v>Normal</v>
      </c>
      <c r="H431" s="203" t="str">
        <f>IFERROR(__xludf.DUMMYFUNCTION("""COMPUTED_VALUE"""),"Normal")</f>
        <v>Normal</v>
      </c>
      <c r="I431" s="37"/>
      <c r="J431" s="37"/>
      <c r="K431" s="37"/>
      <c r="L431" s="199">
        <f>IFERROR(__xludf.DUMMYFUNCTION("""COMPUTED_VALUE"""),5.0)</f>
        <v>5</v>
      </c>
      <c r="M431" s="199">
        <f>IFERROR(__xludf.DUMMYFUNCTION("""COMPUTED_VALUE"""),93.2)</f>
        <v>93.2</v>
      </c>
      <c r="N431" s="199"/>
      <c r="O431" s="199"/>
      <c r="P431" s="199">
        <f>IFERROR(__xludf.DUMMYFUNCTION("""COMPUTED_VALUE"""),0.003)</f>
        <v>0.003</v>
      </c>
      <c r="Q431" s="199">
        <f>IFERROR(__xludf.DUMMYFUNCTION("""COMPUTED_VALUE"""),0.0)</f>
        <v>0</v>
      </c>
      <c r="R431" s="199">
        <f>IFERROR(__xludf.DUMMYFUNCTION("""COMPUTED_VALUE"""),9.0)</f>
        <v>9</v>
      </c>
      <c r="S431" s="199">
        <f>IFERROR(__xludf.DUMMYFUNCTION("""COMPUTED_VALUE"""),0.0)</f>
        <v>0</v>
      </c>
      <c r="T431" s="199">
        <f>IFERROR(__xludf.DUMMYFUNCTION("""COMPUTED_VALUE"""),2.0)</f>
        <v>2</v>
      </c>
      <c r="U431" s="199">
        <f>IFERROR(__xludf.DUMMYFUNCTION("""COMPUTED_VALUE"""),10.0)</f>
        <v>10</v>
      </c>
      <c r="V431" s="199">
        <f>IFERROR(__xludf.DUMMYFUNCTION("""COMPUTED_VALUE"""),0.0)</f>
        <v>0</v>
      </c>
      <c r="W431" s="199">
        <f>IFERROR(__xludf.DUMMYFUNCTION("""COMPUTED_VALUE"""),0.0)</f>
        <v>0</v>
      </c>
      <c r="X431" s="199">
        <f>IFERROR(__xludf.DUMMYFUNCTION("""COMPUTED_VALUE"""),0.0)</f>
        <v>0</v>
      </c>
      <c r="Y431" s="199">
        <f>IFERROR(__xludf.DUMMYFUNCTION("""COMPUTED_VALUE"""),0.0)</f>
        <v>0</v>
      </c>
      <c r="Z431" s="199">
        <f>IFERROR(__xludf.DUMMYFUNCTION("""COMPUTED_VALUE"""),2.0)</f>
        <v>2</v>
      </c>
      <c r="AA431" s="199">
        <f>IFERROR(__xludf.DUMMYFUNCTION("""COMPUTED_VALUE"""),0.0)</f>
        <v>0</v>
      </c>
      <c r="AB431" s="199">
        <f>IFERROR(__xludf.DUMMYFUNCTION("""COMPUTED_VALUE"""),9.0)</f>
        <v>9</v>
      </c>
      <c r="AC431" s="199">
        <f>IFERROR(__xludf.DUMMYFUNCTION("""COMPUTED_VALUE"""),2.0)</f>
        <v>2</v>
      </c>
      <c r="AD431" s="199">
        <f>IFERROR(__xludf.DUMMYFUNCTION("""COMPUTED_VALUE"""),0.0)</f>
        <v>0</v>
      </c>
      <c r="AE431" s="199">
        <f>IFERROR(__xludf.DUMMYFUNCTION("""COMPUTED_VALUE"""),94.0)</f>
        <v>94</v>
      </c>
      <c r="AF431" s="199">
        <f>IFERROR(__xludf.DUMMYFUNCTION("""COMPUTED_VALUE"""),0.0)</f>
        <v>0</v>
      </c>
      <c r="AG431" s="199">
        <f>IFERROR(__xludf.DUMMYFUNCTION("""COMPUTED_VALUE"""),415.0)</f>
        <v>415</v>
      </c>
      <c r="AH431" s="199">
        <f>IFERROR(__xludf.DUMMYFUNCTION("""COMPUTED_VALUE"""),1.0)</f>
        <v>1</v>
      </c>
      <c r="AI431" s="200" t="str">
        <f>IFERROR(__xludf.DUMMYFUNCTION("""COMPUTED_VALUE"""),"Normal - No Action Required")</f>
        <v>Normal - No Action Required</v>
      </c>
      <c r="AJ431" s="200" t="str">
        <f>IFERROR(__xludf.DUMMYFUNCTION("""COMPUTED_VALUE"""),"Continue routine monitoring and sampling schedule")</f>
        <v>Continue routine monitoring and sampling schedule</v>
      </c>
      <c r="AK431" s="204"/>
      <c r="AL431" s="204"/>
      <c r="AM431" s="204"/>
    </row>
    <row r="432" hidden="1">
      <c r="A432" s="199" t="str">
        <f>IFERROR(__xludf.DUMMYFUNCTION("""COMPUTED_VALUE"""),"R2.442.MD140(T)")</f>
        <v>R2.442.MD140(T)</v>
      </c>
      <c r="B432" s="200" t="str">
        <f>IFERROR(__xludf.DUMMYFUNCTION("""COMPUTED_VALUE"""),"Clinker Cooler Drive (From Tank)")</f>
        <v>Clinker Cooler Drive (From Tank)</v>
      </c>
      <c r="C432" s="199">
        <f>IFERROR(__xludf.DUMMYFUNCTION("""COMPUTED_VALUE"""),2.5258159204E10)</f>
        <v>25258159204</v>
      </c>
      <c r="D432" s="201">
        <f>IFERROR(__xludf.DUMMYFUNCTION("""COMPUTED_VALUE"""),45909.0)</f>
        <v>45909</v>
      </c>
      <c r="E432" s="202" t="str">
        <f>IFERROR(__xludf.DUMMYFUNCTION("""COMPUTED_VALUE"""),"Normal")</f>
        <v>Normal</v>
      </c>
      <c r="F432" s="202" t="str">
        <f>IFERROR(__xludf.DUMMYFUNCTION("""COMPUTED_VALUE"""),"Normal")</f>
        <v>Normal</v>
      </c>
      <c r="G432" s="203" t="str">
        <f>IFERROR(__xludf.DUMMYFUNCTION("""COMPUTED_VALUE"""),"Normal")</f>
        <v>Normal</v>
      </c>
      <c r="H432" s="203" t="str">
        <f>IFERROR(__xludf.DUMMYFUNCTION("""COMPUTED_VALUE"""),"Normal")</f>
        <v>Normal</v>
      </c>
      <c r="I432" s="37">
        <f>IFERROR(__xludf.DUMMYFUNCTION("""COMPUTED_VALUE"""),9329.0)</f>
        <v>9329</v>
      </c>
      <c r="J432" s="37">
        <f>IFERROR(__xludf.DUMMYFUNCTION("""COMPUTED_VALUE"""),3142.0)</f>
        <v>3142</v>
      </c>
      <c r="K432" s="37">
        <f>IFERROR(__xludf.DUMMYFUNCTION("""COMPUTED_VALUE"""),918.0)</f>
        <v>918</v>
      </c>
      <c r="L432" s="199">
        <f>IFERROR(__xludf.DUMMYFUNCTION("""COMPUTED_VALUE"""),7.0)</f>
        <v>7</v>
      </c>
      <c r="M432" s="199">
        <f>IFERROR(__xludf.DUMMYFUNCTION("""COMPUTED_VALUE"""),41.7)</f>
        <v>41.7</v>
      </c>
      <c r="N432" s="199"/>
      <c r="O432" s="199">
        <f>IFERROR(__xludf.DUMMYFUNCTION("""COMPUTED_VALUE"""),0.0)</f>
        <v>0</v>
      </c>
      <c r="P432" s="199">
        <f>IFERROR(__xludf.DUMMYFUNCTION("""COMPUTED_VALUE"""),0.01)</f>
        <v>0.01</v>
      </c>
      <c r="Q432" s="199">
        <f>IFERROR(__xludf.DUMMYFUNCTION("""COMPUTED_VALUE"""),0.0)</f>
        <v>0</v>
      </c>
      <c r="R432" s="199">
        <f>IFERROR(__xludf.DUMMYFUNCTION("""COMPUTED_VALUE"""),5.0)</f>
        <v>5</v>
      </c>
      <c r="S432" s="199">
        <f>IFERROR(__xludf.DUMMYFUNCTION("""COMPUTED_VALUE"""),1.0)</f>
        <v>1</v>
      </c>
      <c r="T432" s="199">
        <f>IFERROR(__xludf.DUMMYFUNCTION("""COMPUTED_VALUE"""),3.0)</f>
        <v>3</v>
      </c>
      <c r="U432" s="199">
        <f>IFERROR(__xludf.DUMMYFUNCTION("""COMPUTED_VALUE"""),4.0)</f>
        <v>4</v>
      </c>
      <c r="V432" s="199">
        <f>IFERROR(__xludf.DUMMYFUNCTION("""COMPUTED_VALUE"""),0.0)</f>
        <v>0</v>
      </c>
      <c r="W432" s="199">
        <f>IFERROR(__xludf.DUMMYFUNCTION("""COMPUTED_VALUE"""),0.0)</f>
        <v>0</v>
      </c>
      <c r="X432" s="199">
        <f>IFERROR(__xludf.DUMMYFUNCTION("""COMPUTED_VALUE"""),0.0)</f>
        <v>0</v>
      </c>
      <c r="Y432" s="199">
        <f>IFERROR(__xludf.DUMMYFUNCTION("""COMPUTED_VALUE"""),0.0)</f>
        <v>0</v>
      </c>
      <c r="Z432" s="199">
        <f>IFERROR(__xludf.DUMMYFUNCTION("""COMPUTED_VALUE"""),0.0)</f>
        <v>0</v>
      </c>
      <c r="AA432" s="199">
        <f>IFERROR(__xludf.DUMMYFUNCTION("""COMPUTED_VALUE"""),0.0)</f>
        <v>0</v>
      </c>
      <c r="AB432" s="199">
        <f>IFERROR(__xludf.DUMMYFUNCTION("""COMPUTED_VALUE"""),0.0)</f>
        <v>0</v>
      </c>
      <c r="AC432" s="199">
        <f>IFERROR(__xludf.DUMMYFUNCTION("""COMPUTED_VALUE"""),0.0)</f>
        <v>0</v>
      </c>
      <c r="AD432" s="199">
        <f>IFERROR(__xludf.DUMMYFUNCTION("""COMPUTED_VALUE"""),0.0)</f>
        <v>0</v>
      </c>
      <c r="AE432" s="199">
        <f>IFERROR(__xludf.DUMMYFUNCTION("""COMPUTED_VALUE"""),77.0)</f>
        <v>77</v>
      </c>
      <c r="AF432" s="199">
        <f>IFERROR(__xludf.DUMMYFUNCTION("""COMPUTED_VALUE"""),0.0)</f>
        <v>0</v>
      </c>
      <c r="AG432" s="199">
        <f>IFERROR(__xludf.DUMMYFUNCTION("""COMPUTED_VALUE"""),491.0)</f>
        <v>491</v>
      </c>
      <c r="AH432" s="199">
        <f>IFERROR(__xludf.DUMMYFUNCTION("""COMPUTED_VALUE"""),525.0)</f>
        <v>525</v>
      </c>
      <c r="AI432" s="200" t="str">
        <f>IFERROR(__xludf.DUMMYFUNCTION("""COMPUTED_VALUE"""),"Normal - No Action Required")</f>
        <v>Normal - No Action Required</v>
      </c>
      <c r="AJ432" s="200" t="str">
        <f>IFERROR(__xludf.DUMMYFUNCTION("""COMPUTED_VALUE"""),"Continue routine monitoring and sampling schedule")</f>
        <v>Continue routine monitoring and sampling schedule</v>
      </c>
      <c r="AK432" s="204"/>
      <c r="AL432" s="204"/>
      <c r="AM432" s="204"/>
    </row>
    <row r="433" hidden="1">
      <c r="A433" s="199" t="str">
        <f>IFERROR(__xludf.DUMMYFUNCTION("""COMPUTED_VALUE"""),"R2.432.KB101(1)")</f>
        <v>R2.432.KB101(1)</v>
      </c>
      <c r="B433" s="200" t="str">
        <f>IFERROR(__xludf.DUMMYFUNCTION("""COMPUTED_VALUE"""),"Kiln Bearing")</f>
        <v>Kiln Bearing</v>
      </c>
      <c r="C433" s="199">
        <f>IFERROR(__xludf.DUMMYFUNCTION("""COMPUTED_VALUE"""),2.5258159236E10)</f>
        <v>25258159236</v>
      </c>
      <c r="D433" s="201">
        <f>IFERROR(__xludf.DUMMYFUNCTION("""COMPUTED_VALUE"""),45909.0)</f>
        <v>45909</v>
      </c>
      <c r="E433" s="202" t="str">
        <f>IFERROR(__xludf.DUMMYFUNCTION("""COMPUTED_VALUE"""),"Alert")</f>
        <v>Alert</v>
      </c>
      <c r="F433" s="202" t="str">
        <f>IFERROR(__xludf.DUMMYFUNCTION("""COMPUTED_VALUE"""),"Alert")</f>
        <v>Alert</v>
      </c>
      <c r="G433" s="203" t="str">
        <f>IFERROR(__xludf.DUMMYFUNCTION("""COMPUTED_VALUE"""),"Alert")</f>
        <v>Alert</v>
      </c>
      <c r="H433" s="203" t="str">
        <f>IFERROR(__xludf.DUMMYFUNCTION("""COMPUTED_VALUE"""),"Caution")</f>
        <v>Caution</v>
      </c>
      <c r="I433" s="37"/>
      <c r="J433" s="37"/>
      <c r="K433" s="37"/>
      <c r="L433" s="199">
        <f>IFERROR(__xludf.DUMMYFUNCTION("""COMPUTED_VALUE"""),58.0)</f>
        <v>58</v>
      </c>
      <c r="M433" s="199">
        <f>IFERROR(__xludf.DUMMYFUNCTION("""COMPUTED_VALUE"""),50.2)</f>
        <v>50.2</v>
      </c>
      <c r="N433" s="199"/>
      <c r="O433" s="199">
        <f>IFERROR(__xludf.DUMMYFUNCTION("""COMPUTED_VALUE"""),7.0)</f>
        <v>7</v>
      </c>
      <c r="P433" s="199"/>
      <c r="Q433" s="199">
        <f>IFERROR(__xludf.DUMMYFUNCTION("""COMPUTED_VALUE"""),0.0)</f>
        <v>0</v>
      </c>
      <c r="R433" s="199">
        <f>IFERROR(__xludf.DUMMYFUNCTION("""COMPUTED_VALUE"""),82.0)</f>
        <v>82</v>
      </c>
      <c r="S433" s="199">
        <f>IFERROR(__xludf.DUMMYFUNCTION("""COMPUTED_VALUE"""),1.0)</f>
        <v>1</v>
      </c>
      <c r="T433" s="199">
        <f>IFERROR(__xludf.DUMMYFUNCTION("""COMPUTED_VALUE"""),72.0)</f>
        <v>72</v>
      </c>
      <c r="U433" s="199">
        <f>IFERROR(__xludf.DUMMYFUNCTION("""COMPUTED_VALUE"""),189.0)</f>
        <v>189</v>
      </c>
      <c r="V433" s="199">
        <f>IFERROR(__xludf.DUMMYFUNCTION("""COMPUTED_VALUE"""),0.0)</f>
        <v>0</v>
      </c>
      <c r="W433" s="199">
        <f>IFERROR(__xludf.DUMMYFUNCTION("""COMPUTED_VALUE"""),0.0)</f>
        <v>0</v>
      </c>
      <c r="X433" s="199">
        <f>IFERROR(__xludf.DUMMYFUNCTION("""COMPUTED_VALUE"""),25.0)</f>
        <v>25</v>
      </c>
      <c r="Y433" s="199">
        <f>IFERROR(__xludf.DUMMYFUNCTION("""COMPUTED_VALUE"""),0.0)</f>
        <v>0</v>
      </c>
      <c r="Z433" s="199">
        <f>IFERROR(__xludf.DUMMYFUNCTION("""COMPUTED_VALUE"""),12.0)</f>
        <v>12</v>
      </c>
      <c r="AA433" s="199">
        <f>IFERROR(__xludf.DUMMYFUNCTION("""COMPUTED_VALUE"""),0.0)</f>
        <v>0</v>
      </c>
      <c r="AB433" s="199">
        <f>IFERROR(__xludf.DUMMYFUNCTION("""COMPUTED_VALUE"""),65.0)</f>
        <v>65</v>
      </c>
      <c r="AC433" s="199">
        <f>IFERROR(__xludf.DUMMYFUNCTION("""COMPUTED_VALUE"""),48.0)</f>
        <v>48</v>
      </c>
      <c r="AD433" s="199">
        <f>IFERROR(__xludf.DUMMYFUNCTION("""COMPUTED_VALUE"""),0.0)</f>
        <v>0</v>
      </c>
      <c r="AE433" s="199">
        <f>IFERROR(__xludf.DUMMYFUNCTION("""COMPUTED_VALUE"""),1936.0)</f>
        <v>1936</v>
      </c>
      <c r="AF433" s="199">
        <f>IFERROR(__xludf.DUMMYFUNCTION("""COMPUTED_VALUE"""),50.0)</f>
        <v>50</v>
      </c>
      <c r="AG433" s="199">
        <f>IFERROR(__xludf.DUMMYFUNCTION("""COMPUTED_VALUE"""),242.0)</f>
        <v>242</v>
      </c>
      <c r="AH433" s="199">
        <f>IFERROR(__xludf.DUMMYFUNCTION("""COMPUTED_VALUE"""),20.0)</f>
        <v>20</v>
      </c>
      <c r="AI433" s="200" t="str">
        <f>IFERROR(__xludf.DUMMYFUNCTION("""COMPUTED_VALUE"""),"Wear Metal Alert | Contamination Alert")</f>
        <v>Wear Metal Alert | Contamination Alert</v>
      </c>
      <c r="AJ433" s="200" t="str">
        <f>IFERROR(__xludf.DUMMYFUNCTION("""COMPUTED_VALUE"""),"URGENT: Inspect equipment immediately for wear/damage; High wear metals - inspect bearing/gear surfaces; Severe oxidation - lubricant change required urgently; Elevated silicon - inspect filters and seals for contamination")</f>
        <v>URGENT: Inspect equipment immediately for wear/damage; High wear metals - inspect bearing/gear surfaces; Severe oxidation - lubricant change required urgently; Elevated silicon - inspect filters and seals for contamination</v>
      </c>
      <c r="AK433" s="204"/>
      <c r="AL433" s="204"/>
      <c r="AM433" s="204"/>
    </row>
    <row r="434" hidden="1">
      <c r="A434" s="199" t="str">
        <f>IFERROR(__xludf.DUMMYFUNCTION("""COMPUTED_VALUE"""),"R2.432.KB101(2)")</f>
        <v>R2.432.KB101(2)</v>
      </c>
      <c r="B434" s="200" t="str">
        <f>IFERROR(__xludf.DUMMYFUNCTION("""COMPUTED_VALUE"""),"Kiln Bearing")</f>
        <v>Kiln Bearing</v>
      </c>
      <c r="C434" s="199">
        <f>IFERROR(__xludf.DUMMYFUNCTION("""COMPUTED_VALUE"""),2.525815923E10)</f>
        <v>25258159230</v>
      </c>
      <c r="D434" s="201">
        <f>IFERROR(__xludf.DUMMYFUNCTION("""COMPUTED_VALUE"""),45909.0)</f>
        <v>45909</v>
      </c>
      <c r="E434" s="202" t="str">
        <f>IFERROR(__xludf.DUMMYFUNCTION("""COMPUTED_VALUE"""),"Alert")</f>
        <v>Alert</v>
      </c>
      <c r="F434" s="202" t="str">
        <f>IFERROR(__xludf.DUMMYFUNCTION("""COMPUTED_VALUE"""),"Caution")</f>
        <v>Caution</v>
      </c>
      <c r="G434" s="203" t="str">
        <f>IFERROR(__xludf.DUMMYFUNCTION("""COMPUTED_VALUE"""),"Alert")</f>
        <v>Alert</v>
      </c>
      <c r="H434" s="203" t="str">
        <f>IFERROR(__xludf.DUMMYFUNCTION("""COMPUTED_VALUE"""),"Normal")</f>
        <v>Normal</v>
      </c>
      <c r="I434" s="37"/>
      <c r="J434" s="37"/>
      <c r="K434" s="37"/>
      <c r="L434" s="199">
        <f>IFERROR(__xludf.DUMMYFUNCTION("""COMPUTED_VALUE"""),168.0)</f>
        <v>168</v>
      </c>
      <c r="M434" s="199">
        <f>IFERROR(__xludf.DUMMYFUNCTION("""COMPUTED_VALUE"""),43.6)</f>
        <v>43.6</v>
      </c>
      <c r="N434" s="199"/>
      <c r="O434" s="199">
        <f>IFERROR(__xludf.DUMMYFUNCTION("""COMPUTED_VALUE"""),10.0)</f>
        <v>10</v>
      </c>
      <c r="P434" s="199"/>
      <c r="Q434" s="199">
        <f>IFERROR(__xludf.DUMMYFUNCTION("""COMPUTED_VALUE"""),0.0)</f>
        <v>0</v>
      </c>
      <c r="R434" s="199">
        <f>IFERROR(__xludf.DUMMYFUNCTION("""COMPUTED_VALUE"""),12.0)</f>
        <v>12</v>
      </c>
      <c r="S434" s="199">
        <f>IFERROR(__xludf.DUMMYFUNCTION("""COMPUTED_VALUE"""),1.0)</f>
        <v>1</v>
      </c>
      <c r="T434" s="199">
        <f>IFERROR(__xludf.DUMMYFUNCTION("""COMPUTED_VALUE"""),174.0)</f>
        <v>174</v>
      </c>
      <c r="U434" s="199">
        <f>IFERROR(__xludf.DUMMYFUNCTION("""COMPUTED_VALUE"""),111.0)</f>
        <v>111</v>
      </c>
      <c r="V434" s="199">
        <f>IFERROR(__xludf.DUMMYFUNCTION("""COMPUTED_VALUE"""),5.0)</f>
        <v>5</v>
      </c>
      <c r="W434" s="199">
        <f>IFERROR(__xludf.DUMMYFUNCTION("""COMPUTED_VALUE"""),0.0)</f>
        <v>0</v>
      </c>
      <c r="X434" s="199">
        <f>IFERROR(__xludf.DUMMYFUNCTION("""COMPUTED_VALUE"""),7.0)</f>
        <v>7</v>
      </c>
      <c r="Y434" s="199">
        <f>IFERROR(__xludf.DUMMYFUNCTION("""COMPUTED_VALUE"""),0.0)</f>
        <v>0</v>
      </c>
      <c r="Z434" s="199">
        <f>IFERROR(__xludf.DUMMYFUNCTION("""COMPUTED_VALUE"""),2.0)</f>
        <v>2</v>
      </c>
      <c r="AA434" s="199">
        <f>IFERROR(__xludf.DUMMYFUNCTION("""COMPUTED_VALUE"""),0.0)</f>
        <v>0</v>
      </c>
      <c r="AB434" s="199">
        <f>IFERROR(__xludf.DUMMYFUNCTION("""COMPUTED_VALUE"""),5.0)</f>
        <v>5</v>
      </c>
      <c r="AC434" s="199">
        <f>IFERROR(__xludf.DUMMYFUNCTION("""COMPUTED_VALUE"""),54.0)</f>
        <v>54</v>
      </c>
      <c r="AD434" s="199">
        <f>IFERROR(__xludf.DUMMYFUNCTION("""COMPUTED_VALUE"""),2.0)</f>
        <v>2</v>
      </c>
      <c r="AE434" s="199">
        <f>IFERROR(__xludf.DUMMYFUNCTION("""COMPUTED_VALUE"""),46.0)</f>
        <v>46</v>
      </c>
      <c r="AF434" s="199">
        <f>IFERROR(__xludf.DUMMYFUNCTION("""COMPUTED_VALUE"""),6.0)</f>
        <v>6</v>
      </c>
      <c r="AG434" s="199">
        <f>IFERROR(__xludf.DUMMYFUNCTION("""COMPUTED_VALUE"""),291.0)</f>
        <v>291</v>
      </c>
      <c r="AH434" s="199">
        <f>IFERROR(__xludf.DUMMYFUNCTION("""COMPUTED_VALUE"""),0.0)</f>
        <v>0</v>
      </c>
      <c r="AI434" s="200" t="str">
        <f>IFERROR(__xludf.DUMMYFUNCTION("""COMPUTED_VALUE"""),"Wear Metal Alert | High Particle Count")</f>
        <v>Wear Metal Alert | High Particle Count</v>
      </c>
      <c r="AJ434" s="200" t="str">
        <f>IFERROR(__xludf.DUMMYFUNCTION("""COMPUTED_VALUE"""),"URGENT: Inspect equipment immediately for wear/damage; High wear metals - inspect bearing/gear surfaces; Severe oxidation - lubricant change required urgently; Critical particle count - flush system and replace filters")</f>
        <v>URGENT: Inspect equipment immediately for wear/damage; High wear metals - inspect bearing/gear surfaces; Severe oxidation - lubricant change required urgently; Critical particle count - flush system and replace filters</v>
      </c>
      <c r="AK434" s="204"/>
      <c r="AL434" s="204"/>
      <c r="AM434" s="204"/>
    </row>
    <row r="435" hidden="1">
      <c r="A435" s="199" t="str">
        <f>IFERROR(__xludf.DUMMYFUNCTION("""COMPUTED_VALUE"""),"R2.432.KB101(4)")</f>
        <v>R2.432.KB101(4)</v>
      </c>
      <c r="B435" s="200" t="str">
        <f>IFERROR(__xludf.DUMMYFUNCTION("""COMPUTED_VALUE"""),"Kiln Bearing")</f>
        <v>Kiln Bearing</v>
      </c>
      <c r="C435" s="199">
        <f>IFERROR(__xludf.DUMMYFUNCTION("""COMPUTED_VALUE"""),2.5258159231E10)</f>
        <v>25258159231</v>
      </c>
      <c r="D435" s="201">
        <f>IFERROR(__xludf.DUMMYFUNCTION("""COMPUTED_VALUE"""),45909.0)</f>
        <v>45909</v>
      </c>
      <c r="E435" s="202" t="str">
        <f>IFERROR(__xludf.DUMMYFUNCTION("""COMPUTED_VALUE"""),"Alert")</f>
        <v>Alert</v>
      </c>
      <c r="F435" s="202" t="str">
        <f>IFERROR(__xludf.DUMMYFUNCTION("""COMPUTED_VALUE"""),"Caution")</f>
        <v>Caution</v>
      </c>
      <c r="G435" s="203" t="str">
        <f>IFERROR(__xludf.DUMMYFUNCTION("""COMPUTED_VALUE"""),"Alert")</f>
        <v>Alert</v>
      </c>
      <c r="H435" s="203" t="str">
        <f>IFERROR(__xludf.DUMMYFUNCTION("""COMPUTED_VALUE"""),"Normal")</f>
        <v>Normal</v>
      </c>
      <c r="I435" s="199"/>
      <c r="J435" s="199"/>
      <c r="K435" s="199"/>
      <c r="L435" s="199">
        <f>IFERROR(__xludf.DUMMYFUNCTION("""COMPUTED_VALUE"""),73.0)</f>
        <v>73</v>
      </c>
      <c r="M435" s="199">
        <f>IFERROR(__xludf.DUMMYFUNCTION("""COMPUTED_VALUE"""),48.0)</f>
        <v>48</v>
      </c>
      <c r="N435" s="199"/>
      <c r="O435" s="199">
        <f>IFERROR(__xludf.DUMMYFUNCTION("""COMPUTED_VALUE"""),12.0)</f>
        <v>12</v>
      </c>
      <c r="P435" s="199"/>
      <c r="Q435" s="199">
        <f>IFERROR(__xludf.DUMMYFUNCTION("""COMPUTED_VALUE"""),0.0)</f>
        <v>0</v>
      </c>
      <c r="R435" s="199">
        <f>IFERROR(__xludf.DUMMYFUNCTION("""COMPUTED_VALUE"""),15.0)</f>
        <v>15</v>
      </c>
      <c r="S435" s="199">
        <f>IFERROR(__xludf.DUMMYFUNCTION("""COMPUTED_VALUE"""),1.0)</f>
        <v>1</v>
      </c>
      <c r="T435" s="199">
        <f>IFERROR(__xludf.DUMMYFUNCTION("""COMPUTED_VALUE"""),127.0)</f>
        <v>127</v>
      </c>
      <c r="U435" s="199">
        <f>IFERROR(__xludf.DUMMYFUNCTION("""COMPUTED_VALUE"""),73.0)</f>
        <v>73</v>
      </c>
      <c r="V435" s="199">
        <f>IFERROR(__xludf.DUMMYFUNCTION("""COMPUTED_VALUE"""),0.0)</f>
        <v>0</v>
      </c>
      <c r="W435" s="199">
        <f>IFERROR(__xludf.DUMMYFUNCTION("""COMPUTED_VALUE"""),0.0)</f>
        <v>0</v>
      </c>
      <c r="X435" s="199">
        <f>IFERROR(__xludf.DUMMYFUNCTION("""COMPUTED_VALUE"""),5.0)</f>
        <v>5</v>
      </c>
      <c r="Y435" s="199">
        <f>IFERROR(__xludf.DUMMYFUNCTION("""COMPUTED_VALUE"""),2.0)</f>
        <v>2</v>
      </c>
      <c r="Z435" s="199">
        <f>IFERROR(__xludf.DUMMYFUNCTION("""COMPUTED_VALUE"""),2.0)</f>
        <v>2</v>
      </c>
      <c r="AA435" s="199">
        <f>IFERROR(__xludf.DUMMYFUNCTION("""COMPUTED_VALUE"""),0.0)</f>
        <v>0</v>
      </c>
      <c r="AB435" s="199">
        <f>IFERROR(__xludf.DUMMYFUNCTION("""COMPUTED_VALUE"""),13.0)</f>
        <v>13</v>
      </c>
      <c r="AC435" s="199">
        <f>IFERROR(__xludf.DUMMYFUNCTION("""COMPUTED_VALUE"""),25.0)</f>
        <v>25</v>
      </c>
      <c r="AD435" s="199">
        <f>IFERROR(__xludf.DUMMYFUNCTION("""COMPUTED_VALUE"""),0.0)</f>
        <v>0</v>
      </c>
      <c r="AE435" s="199">
        <f>IFERROR(__xludf.DUMMYFUNCTION("""COMPUTED_VALUE"""),54.0)</f>
        <v>54</v>
      </c>
      <c r="AF435" s="199">
        <f>IFERROR(__xludf.DUMMYFUNCTION("""COMPUTED_VALUE"""),6.0)</f>
        <v>6</v>
      </c>
      <c r="AG435" s="199">
        <f>IFERROR(__xludf.DUMMYFUNCTION("""COMPUTED_VALUE"""),218.0)</f>
        <v>218</v>
      </c>
      <c r="AH435" s="199">
        <f>IFERROR(__xludf.DUMMYFUNCTION("""COMPUTED_VALUE"""),0.0)</f>
        <v>0</v>
      </c>
      <c r="AI435" s="200" t="str">
        <f>IFERROR(__xludf.DUMMYFUNCTION("""COMPUTED_VALUE"""),"Wear Metal Alert")</f>
        <v>Wear Metal Alert</v>
      </c>
      <c r="AJ435" s="200" t="str">
        <f>IFERROR(__xludf.DUMMYFUNCTION("""COMPUTED_VALUE"""),"URGENT: Inspect equipment immediately for wear/damage; High wear metals - inspect bearing/gear surfaces; Severe oxidation - lubricant change required urgently")</f>
        <v>URGENT: Inspect equipment immediately for wear/damage; High wear metals - inspect bearing/gear surfaces; Severe oxidation - lubricant change required urgently</v>
      </c>
      <c r="AK435" s="204"/>
      <c r="AL435" s="204"/>
      <c r="AM435" s="204"/>
    </row>
    <row r="436" hidden="1">
      <c r="A436" s="199" t="str">
        <f>IFERROR(__xludf.DUMMYFUNCTION("""COMPUTED_VALUE"""),"R2.432.KB102(1)")</f>
        <v>R2.432.KB102(1)</v>
      </c>
      <c r="B436" s="200" t="str">
        <f>IFERROR(__xludf.DUMMYFUNCTION("""COMPUTED_VALUE"""),"Kiln Bearing")</f>
        <v>Kiln Bearing</v>
      </c>
      <c r="C436" s="199">
        <f>IFERROR(__xludf.DUMMYFUNCTION("""COMPUTED_VALUE"""),2.5258159227E10)</f>
        <v>25258159227</v>
      </c>
      <c r="D436" s="201">
        <f>IFERROR(__xludf.DUMMYFUNCTION("""COMPUTED_VALUE"""),45909.0)</f>
        <v>45909</v>
      </c>
      <c r="E436" s="202" t="str">
        <f>IFERROR(__xludf.DUMMYFUNCTION("""COMPUTED_VALUE"""),"Alert")</f>
        <v>Alert</v>
      </c>
      <c r="F436" s="202" t="str">
        <f>IFERROR(__xludf.DUMMYFUNCTION("""COMPUTED_VALUE"""),"Caution")</f>
        <v>Caution</v>
      </c>
      <c r="G436" s="203" t="str">
        <f>IFERROR(__xludf.DUMMYFUNCTION("""COMPUTED_VALUE"""),"Alert")</f>
        <v>Alert</v>
      </c>
      <c r="H436" s="203" t="str">
        <f>IFERROR(__xludf.DUMMYFUNCTION("""COMPUTED_VALUE"""),"Normal")</f>
        <v>Normal</v>
      </c>
      <c r="I436" s="37"/>
      <c r="J436" s="37"/>
      <c r="K436" s="37"/>
      <c r="L436" s="199">
        <f>IFERROR(__xludf.DUMMYFUNCTION("""COMPUTED_VALUE"""),45.0)</f>
        <v>45</v>
      </c>
      <c r="M436" s="199">
        <f>IFERROR(__xludf.DUMMYFUNCTION("""COMPUTED_VALUE"""),49.0)</f>
        <v>49</v>
      </c>
      <c r="N436" s="199"/>
      <c r="O436" s="199">
        <f>IFERROR(__xludf.DUMMYFUNCTION("""COMPUTED_VALUE"""),7.0)</f>
        <v>7</v>
      </c>
      <c r="P436" s="199"/>
      <c r="Q436" s="199">
        <f>IFERROR(__xludf.DUMMYFUNCTION("""COMPUTED_VALUE"""),0.0)</f>
        <v>0</v>
      </c>
      <c r="R436" s="199">
        <f>IFERROR(__xludf.DUMMYFUNCTION("""COMPUTED_VALUE"""),14.0)</f>
        <v>14</v>
      </c>
      <c r="S436" s="199">
        <f>IFERROR(__xludf.DUMMYFUNCTION("""COMPUTED_VALUE"""),1.0)</f>
        <v>1</v>
      </c>
      <c r="T436" s="199">
        <f>IFERROR(__xludf.DUMMYFUNCTION("""COMPUTED_VALUE"""),64.0)</f>
        <v>64</v>
      </c>
      <c r="U436" s="199">
        <f>IFERROR(__xludf.DUMMYFUNCTION("""COMPUTED_VALUE"""),143.0)</f>
        <v>143</v>
      </c>
      <c r="V436" s="199">
        <f>IFERROR(__xludf.DUMMYFUNCTION("""COMPUTED_VALUE"""),0.0)</f>
        <v>0</v>
      </c>
      <c r="W436" s="199">
        <f>IFERROR(__xludf.DUMMYFUNCTION("""COMPUTED_VALUE"""),0.0)</f>
        <v>0</v>
      </c>
      <c r="X436" s="199">
        <f>IFERROR(__xludf.DUMMYFUNCTION("""COMPUTED_VALUE"""),2.0)</f>
        <v>2</v>
      </c>
      <c r="Y436" s="199">
        <f>IFERROR(__xludf.DUMMYFUNCTION("""COMPUTED_VALUE"""),0.0)</f>
        <v>0</v>
      </c>
      <c r="Z436" s="199">
        <f>IFERROR(__xludf.DUMMYFUNCTION("""COMPUTED_VALUE"""),2.0)</f>
        <v>2</v>
      </c>
      <c r="AA436" s="199">
        <f>IFERROR(__xludf.DUMMYFUNCTION("""COMPUTED_VALUE"""),0.0)</f>
        <v>0</v>
      </c>
      <c r="AB436" s="199">
        <f>IFERROR(__xludf.DUMMYFUNCTION("""COMPUTED_VALUE"""),10.0)</f>
        <v>10</v>
      </c>
      <c r="AC436" s="199">
        <f>IFERROR(__xludf.DUMMYFUNCTION("""COMPUTED_VALUE"""),42.0)</f>
        <v>42</v>
      </c>
      <c r="AD436" s="199">
        <f>IFERROR(__xludf.DUMMYFUNCTION("""COMPUTED_VALUE"""),0.0)</f>
        <v>0</v>
      </c>
      <c r="AE436" s="199">
        <f>IFERROR(__xludf.DUMMYFUNCTION("""COMPUTED_VALUE"""),37.0)</f>
        <v>37</v>
      </c>
      <c r="AF436" s="199">
        <f>IFERROR(__xludf.DUMMYFUNCTION("""COMPUTED_VALUE"""),6.0)</f>
        <v>6</v>
      </c>
      <c r="AG436" s="199">
        <f>IFERROR(__xludf.DUMMYFUNCTION("""COMPUTED_VALUE"""),285.0)</f>
        <v>285</v>
      </c>
      <c r="AH436" s="199">
        <f>IFERROR(__xludf.DUMMYFUNCTION("""COMPUTED_VALUE"""),6.0)</f>
        <v>6</v>
      </c>
      <c r="AI436" s="200" t="str">
        <f>IFERROR(__xludf.DUMMYFUNCTION("""COMPUTED_VALUE"""),"Wear Metal Alert")</f>
        <v>Wear Metal Alert</v>
      </c>
      <c r="AJ436" s="200" t="str">
        <f>IFERROR(__xludf.DUMMYFUNCTION("""COMPUTED_VALUE"""),"URGENT: Inspect equipment immediately for wear/damage; High wear metals - inspect bearing/gear surfaces; Severe oxidation - lubricant change required urgently")</f>
        <v>URGENT: Inspect equipment immediately for wear/damage; High wear metals - inspect bearing/gear surfaces; Severe oxidation - lubricant change required urgently</v>
      </c>
      <c r="AK436" s="204"/>
      <c r="AL436" s="204"/>
      <c r="AM436" s="204"/>
    </row>
    <row r="437" hidden="1">
      <c r="A437" s="199" t="str">
        <f>IFERROR(__xludf.DUMMYFUNCTION("""COMPUTED_VALUE"""),"R2.432.KB102(2)")</f>
        <v>R2.432.KB102(2)</v>
      </c>
      <c r="B437" s="200" t="str">
        <f>IFERROR(__xludf.DUMMYFUNCTION("""COMPUTED_VALUE"""),"Kiln Bearing")</f>
        <v>Kiln Bearing</v>
      </c>
      <c r="C437" s="199">
        <f>IFERROR(__xludf.DUMMYFUNCTION("""COMPUTED_VALUE"""),2.5258159229E10)</f>
        <v>25258159229</v>
      </c>
      <c r="D437" s="201">
        <f>IFERROR(__xludf.DUMMYFUNCTION("""COMPUTED_VALUE"""),45909.0)</f>
        <v>45909</v>
      </c>
      <c r="E437" s="202" t="str">
        <f>IFERROR(__xludf.DUMMYFUNCTION("""COMPUTED_VALUE"""),"Caution")</f>
        <v>Caution</v>
      </c>
      <c r="F437" s="202" t="str">
        <f>IFERROR(__xludf.DUMMYFUNCTION("""COMPUTED_VALUE"""),"Caution")</f>
        <v>Caution</v>
      </c>
      <c r="G437" s="203" t="str">
        <f>IFERROR(__xludf.DUMMYFUNCTION("""COMPUTED_VALUE"""),"Normal")</f>
        <v>Normal</v>
      </c>
      <c r="H437" s="203" t="str">
        <f>IFERROR(__xludf.DUMMYFUNCTION("""COMPUTED_VALUE"""),"Normal")</f>
        <v>Normal</v>
      </c>
      <c r="I437" s="37"/>
      <c r="J437" s="37"/>
      <c r="K437" s="37"/>
      <c r="L437" s="199">
        <f>IFERROR(__xludf.DUMMYFUNCTION("""COMPUTED_VALUE"""),15.0)</f>
        <v>15</v>
      </c>
      <c r="M437" s="199">
        <f>IFERROR(__xludf.DUMMYFUNCTION("""COMPUTED_VALUE"""),49.3)</f>
        <v>49.3</v>
      </c>
      <c r="N437" s="199"/>
      <c r="O437" s="199">
        <f>IFERROR(__xludf.DUMMYFUNCTION("""COMPUTED_VALUE"""),3.0)</f>
        <v>3</v>
      </c>
      <c r="P437" s="199"/>
      <c r="Q437" s="199">
        <f>IFERROR(__xludf.DUMMYFUNCTION("""COMPUTED_VALUE"""),0.0)</f>
        <v>0</v>
      </c>
      <c r="R437" s="199">
        <f>IFERROR(__xludf.DUMMYFUNCTION("""COMPUTED_VALUE"""),15.0)</f>
        <v>15</v>
      </c>
      <c r="S437" s="199">
        <f>IFERROR(__xludf.DUMMYFUNCTION("""COMPUTED_VALUE"""),1.0)</f>
        <v>1</v>
      </c>
      <c r="T437" s="199">
        <f>IFERROR(__xludf.DUMMYFUNCTION("""COMPUTED_VALUE"""),28.0)</f>
        <v>28</v>
      </c>
      <c r="U437" s="199">
        <f>IFERROR(__xludf.DUMMYFUNCTION("""COMPUTED_VALUE"""),32.0)</f>
        <v>32</v>
      </c>
      <c r="V437" s="199">
        <f>IFERROR(__xludf.DUMMYFUNCTION("""COMPUTED_VALUE"""),0.0)</f>
        <v>0</v>
      </c>
      <c r="W437" s="199">
        <f>IFERROR(__xludf.DUMMYFUNCTION("""COMPUTED_VALUE"""),0.0)</f>
        <v>0</v>
      </c>
      <c r="X437" s="199">
        <f>IFERROR(__xludf.DUMMYFUNCTION("""COMPUTED_VALUE"""),0.0)</f>
        <v>0</v>
      </c>
      <c r="Y437" s="199">
        <f>IFERROR(__xludf.DUMMYFUNCTION("""COMPUTED_VALUE"""),0.0)</f>
        <v>0</v>
      </c>
      <c r="Z437" s="199">
        <f>IFERROR(__xludf.DUMMYFUNCTION("""COMPUTED_VALUE"""),1.0)</f>
        <v>1</v>
      </c>
      <c r="AA437" s="199">
        <f>IFERROR(__xludf.DUMMYFUNCTION("""COMPUTED_VALUE"""),0.0)</f>
        <v>0</v>
      </c>
      <c r="AB437" s="199">
        <f>IFERROR(__xludf.DUMMYFUNCTION("""COMPUTED_VALUE"""),0.0)</f>
        <v>0</v>
      </c>
      <c r="AC437" s="199">
        <f>IFERROR(__xludf.DUMMYFUNCTION("""COMPUTED_VALUE"""),38.0)</f>
        <v>38</v>
      </c>
      <c r="AD437" s="199">
        <f>IFERROR(__xludf.DUMMYFUNCTION("""COMPUTED_VALUE"""),2.0)</f>
        <v>2</v>
      </c>
      <c r="AE437" s="199">
        <f>IFERROR(__xludf.DUMMYFUNCTION("""COMPUTED_VALUE"""),46.0)</f>
        <v>46</v>
      </c>
      <c r="AF437" s="199">
        <f>IFERROR(__xludf.DUMMYFUNCTION("""COMPUTED_VALUE"""),2.0)</f>
        <v>2</v>
      </c>
      <c r="AG437" s="199">
        <f>IFERROR(__xludf.DUMMYFUNCTION("""COMPUTED_VALUE"""),281.0)</f>
        <v>281</v>
      </c>
      <c r="AH437" s="199">
        <f>IFERROR(__xludf.DUMMYFUNCTION("""COMPUTED_VALUE"""),0.0)</f>
        <v>0</v>
      </c>
      <c r="AI437" s="200" t="str">
        <f>IFERROR(__xludf.DUMMYFUNCTION("""COMPUTED_VALUE"""),"General Caution")</f>
        <v>General Caution</v>
      </c>
      <c r="AJ437" s="200" t="str">
        <f>IFERROR(__xludf.DUMMYFUNCTION("""COMPUTED_VALUE"""),"Oxidation increasing - monitor and plan oil change")</f>
        <v>Oxidation increasing - monitor and plan oil change</v>
      </c>
      <c r="AK437" s="204"/>
      <c r="AL437" s="204"/>
      <c r="AM437" s="204"/>
    </row>
    <row r="438" hidden="1">
      <c r="A438" s="199" t="str">
        <f>IFERROR(__xludf.DUMMYFUNCTION("""COMPUTED_VALUE"""),"R2.432.KB102(3)")</f>
        <v>R2.432.KB102(3)</v>
      </c>
      <c r="B438" s="200" t="str">
        <f>IFERROR(__xludf.DUMMYFUNCTION("""COMPUTED_VALUE"""),"Kiln Bearing")</f>
        <v>Kiln Bearing</v>
      </c>
      <c r="C438" s="199">
        <f>IFERROR(__xludf.DUMMYFUNCTION("""COMPUTED_VALUE"""),2.5258159234E10)</f>
        <v>25258159234</v>
      </c>
      <c r="D438" s="201">
        <f>IFERROR(__xludf.DUMMYFUNCTION("""COMPUTED_VALUE"""),45909.0)</f>
        <v>45909</v>
      </c>
      <c r="E438" s="202" t="str">
        <f>IFERROR(__xludf.DUMMYFUNCTION("""COMPUTED_VALUE"""),"Alert")</f>
        <v>Alert</v>
      </c>
      <c r="F438" s="202" t="str">
        <f>IFERROR(__xludf.DUMMYFUNCTION("""COMPUTED_VALUE"""),"Caution")</f>
        <v>Caution</v>
      </c>
      <c r="G438" s="203" t="str">
        <f>IFERROR(__xludf.DUMMYFUNCTION("""COMPUTED_VALUE"""),"Alert")</f>
        <v>Alert</v>
      </c>
      <c r="H438" s="203" t="str">
        <f>IFERROR(__xludf.DUMMYFUNCTION("""COMPUTED_VALUE"""),"Caution")</f>
        <v>Caution</v>
      </c>
      <c r="I438" s="37"/>
      <c r="J438" s="37"/>
      <c r="K438" s="37"/>
      <c r="L438" s="199">
        <f>IFERROR(__xludf.DUMMYFUNCTION("""COMPUTED_VALUE"""),40.0)</f>
        <v>40</v>
      </c>
      <c r="M438" s="199">
        <f>IFERROR(__xludf.DUMMYFUNCTION("""COMPUTED_VALUE"""),46.7)</f>
        <v>46.7</v>
      </c>
      <c r="N438" s="199"/>
      <c r="O438" s="199">
        <f>IFERROR(__xludf.DUMMYFUNCTION("""COMPUTED_VALUE"""),3.0)</f>
        <v>3</v>
      </c>
      <c r="P438" s="199"/>
      <c r="Q438" s="199">
        <f>IFERROR(__xludf.DUMMYFUNCTION("""COMPUTED_VALUE"""),0.0)</f>
        <v>0</v>
      </c>
      <c r="R438" s="199">
        <f>IFERROR(__xludf.DUMMYFUNCTION("""COMPUTED_VALUE"""),13.0)</f>
        <v>13</v>
      </c>
      <c r="S438" s="199">
        <f>IFERROR(__xludf.DUMMYFUNCTION("""COMPUTED_VALUE"""),1.0)</f>
        <v>1</v>
      </c>
      <c r="T438" s="199">
        <f>IFERROR(__xludf.DUMMYFUNCTION("""COMPUTED_VALUE"""),313.0)</f>
        <v>313</v>
      </c>
      <c r="U438" s="199">
        <f>IFERROR(__xludf.DUMMYFUNCTION("""COMPUTED_VALUE"""),171.0)</f>
        <v>171</v>
      </c>
      <c r="V438" s="199">
        <f>IFERROR(__xludf.DUMMYFUNCTION("""COMPUTED_VALUE"""),0.0)</f>
        <v>0</v>
      </c>
      <c r="W438" s="199">
        <f>IFERROR(__xludf.DUMMYFUNCTION("""COMPUTED_VALUE"""),0.0)</f>
        <v>0</v>
      </c>
      <c r="X438" s="199">
        <f>IFERROR(__xludf.DUMMYFUNCTION("""COMPUTED_VALUE"""),46.0)</f>
        <v>46</v>
      </c>
      <c r="Y438" s="199">
        <f>IFERROR(__xludf.DUMMYFUNCTION("""COMPUTED_VALUE"""),16.0)</f>
        <v>16</v>
      </c>
      <c r="Z438" s="199">
        <f>IFERROR(__xludf.DUMMYFUNCTION("""COMPUTED_VALUE"""),2.0)</f>
        <v>2</v>
      </c>
      <c r="AA438" s="199">
        <f>IFERROR(__xludf.DUMMYFUNCTION("""COMPUTED_VALUE"""),0.0)</f>
        <v>0</v>
      </c>
      <c r="AB438" s="199">
        <f>IFERROR(__xludf.DUMMYFUNCTION("""COMPUTED_VALUE"""),0.0)</f>
        <v>0</v>
      </c>
      <c r="AC438" s="199">
        <f>IFERROR(__xludf.DUMMYFUNCTION("""COMPUTED_VALUE"""),15.0)</f>
        <v>15</v>
      </c>
      <c r="AD438" s="199">
        <f>IFERROR(__xludf.DUMMYFUNCTION("""COMPUTED_VALUE"""),0.0)</f>
        <v>0</v>
      </c>
      <c r="AE438" s="199">
        <f>IFERROR(__xludf.DUMMYFUNCTION("""COMPUTED_VALUE"""),37.0)</f>
        <v>37</v>
      </c>
      <c r="AF438" s="199">
        <f>IFERROR(__xludf.DUMMYFUNCTION("""COMPUTED_VALUE"""),5.0)</f>
        <v>5</v>
      </c>
      <c r="AG438" s="199">
        <f>IFERROR(__xludf.DUMMYFUNCTION("""COMPUTED_VALUE"""),263.0)</f>
        <v>263</v>
      </c>
      <c r="AH438" s="199">
        <f>IFERROR(__xludf.DUMMYFUNCTION("""COMPUTED_VALUE"""),0.0)</f>
        <v>0</v>
      </c>
      <c r="AI438" s="200" t="str">
        <f>IFERROR(__xludf.DUMMYFUNCTION("""COMPUTED_VALUE"""),"Wear Metal Alert")</f>
        <v>Wear Metal Alert</v>
      </c>
      <c r="AJ438" s="200" t="str">
        <f>IFERROR(__xludf.DUMMYFUNCTION("""COMPUTED_VALUE"""),"URGENT: Inspect equipment immediately for wear/damage; Critical wear metals detected - schedule immediate inspection; High wear metals - inspect bearing/gear surfaces")</f>
        <v>URGENT: Inspect equipment immediately for wear/damage; Critical wear metals detected - schedule immediate inspection; High wear metals - inspect bearing/gear surfaces</v>
      </c>
      <c r="AK438" s="204"/>
      <c r="AL438" s="204"/>
      <c r="AM438" s="204"/>
    </row>
    <row r="439" hidden="1">
      <c r="A439" s="199" t="str">
        <f>IFERROR(__xludf.DUMMYFUNCTION("""COMPUTED_VALUE"""),"R2.432.KB102(4)")</f>
        <v>R2.432.KB102(4)</v>
      </c>
      <c r="B439" s="200" t="str">
        <f>IFERROR(__xludf.DUMMYFUNCTION("""COMPUTED_VALUE"""),"Kiln Bearing")</f>
        <v>Kiln Bearing</v>
      </c>
      <c r="C439" s="199">
        <f>IFERROR(__xludf.DUMMYFUNCTION("""COMPUTED_VALUE"""),2.5258159245E10)</f>
        <v>25258159245</v>
      </c>
      <c r="D439" s="201">
        <f>IFERROR(__xludf.DUMMYFUNCTION("""COMPUTED_VALUE"""),45909.0)</f>
        <v>45909</v>
      </c>
      <c r="E439" s="202" t="str">
        <f>IFERROR(__xludf.DUMMYFUNCTION("""COMPUTED_VALUE"""),"Alert")</f>
        <v>Alert</v>
      </c>
      <c r="F439" s="202" t="str">
        <f>IFERROR(__xludf.DUMMYFUNCTION("""COMPUTED_VALUE"""),"Caution")</f>
        <v>Caution</v>
      </c>
      <c r="G439" s="203" t="str">
        <f>IFERROR(__xludf.DUMMYFUNCTION("""COMPUTED_VALUE"""),"Alert")</f>
        <v>Alert</v>
      </c>
      <c r="H439" s="203" t="str">
        <f>IFERROR(__xludf.DUMMYFUNCTION("""COMPUTED_VALUE"""),"Normal")</f>
        <v>Normal</v>
      </c>
      <c r="I439" s="37"/>
      <c r="J439" s="37"/>
      <c r="K439" s="37"/>
      <c r="L439" s="199">
        <f>IFERROR(__xludf.DUMMYFUNCTION("""COMPUTED_VALUE"""),73.0)</f>
        <v>73</v>
      </c>
      <c r="M439" s="199">
        <f>IFERROR(__xludf.DUMMYFUNCTION("""COMPUTED_VALUE"""),46.9)</f>
        <v>46.9</v>
      </c>
      <c r="N439" s="199"/>
      <c r="O439" s="199">
        <f>IFERROR(__xludf.DUMMYFUNCTION("""COMPUTED_VALUE"""),9.0)</f>
        <v>9</v>
      </c>
      <c r="P439" s="199"/>
      <c r="Q439" s="199">
        <f>IFERROR(__xludf.DUMMYFUNCTION("""COMPUTED_VALUE"""),0.0)</f>
        <v>0</v>
      </c>
      <c r="R439" s="199">
        <f>IFERROR(__xludf.DUMMYFUNCTION("""COMPUTED_VALUE"""),26.0)</f>
        <v>26</v>
      </c>
      <c r="S439" s="199">
        <f>IFERROR(__xludf.DUMMYFUNCTION("""COMPUTED_VALUE"""),1.0)</f>
        <v>1</v>
      </c>
      <c r="T439" s="199">
        <f>IFERROR(__xludf.DUMMYFUNCTION("""COMPUTED_VALUE"""),64.0)</f>
        <v>64</v>
      </c>
      <c r="U439" s="199">
        <f>IFERROR(__xludf.DUMMYFUNCTION("""COMPUTED_VALUE"""),127.0)</f>
        <v>127</v>
      </c>
      <c r="V439" s="199">
        <f>IFERROR(__xludf.DUMMYFUNCTION("""COMPUTED_VALUE"""),2.0)</f>
        <v>2</v>
      </c>
      <c r="W439" s="199">
        <f>IFERROR(__xludf.DUMMYFUNCTION("""COMPUTED_VALUE"""),0.0)</f>
        <v>0</v>
      </c>
      <c r="X439" s="199">
        <f>IFERROR(__xludf.DUMMYFUNCTION("""COMPUTED_VALUE"""),1.0)</f>
        <v>1</v>
      </c>
      <c r="Y439" s="199">
        <f>IFERROR(__xludf.DUMMYFUNCTION("""COMPUTED_VALUE"""),2.0)</f>
        <v>2</v>
      </c>
      <c r="Z439" s="199">
        <f>IFERROR(__xludf.DUMMYFUNCTION("""COMPUTED_VALUE"""),0.0)</f>
        <v>0</v>
      </c>
      <c r="AA439" s="199">
        <f>IFERROR(__xludf.DUMMYFUNCTION("""COMPUTED_VALUE"""),0.0)</f>
        <v>0</v>
      </c>
      <c r="AB439" s="199">
        <f>IFERROR(__xludf.DUMMYFUNCTION("""COMPUTED_VALUE"""),16.0)</f>
        <v>16</v>
      </c>
      <c r="AC439" s="199">
        <f>IFERROR(__xludf.DUMMYFUNCTION("""COMPUTED_VALUE"""),35.0)</f>
        <v>35</v>
      </c>
      <c r="AD439" s="199">
        <f>IFERROR(__xludf.DUMMYFUNCTION("""COMPUTED_VALUE"""),0.0)</f>
        <v>0</v>
      </c>
      <c r="AE439" s="199">
        <f>IFERROR(__xludf.DUMMYFUNCTION("""COMPUTED_VALUE"""),241.0)</f>
        <v>241</v>
      </c>
      <c r="AF439" s="199">
        <f>IFERROR(__xludf.DUMMYFUNCTION("""COMPUTED_VALUE"""),5.0)</f>
        <v>5</v>
      </c>
      <c r="AG439" s="199">
        <f>IFERROR(__xludf.DUMMYFUNCTION("""COMPUTED_VALUE"""),271.0)</f>
        <v>271</v>
      </c>
      <c r="AH439" s="199">
        <f>IFERROR(__xludf.DUMMYFUNCTION("""COMPUTED_VALUE"""),5.0)</f>
        <v>5</v>
      </c>
      <c r="AI439" s="200" t="str">
        <f>IFERROR(__xludf.DUMMYFUNCTION("""COMPUTED_VALUE"""),"Wear Metal Alert")</f>
        <v>Wear Metal Alert</v>
      </c>
      <c r="AJ439" s="200" t="str">
        <f>IFERROR(__xludf.DUMMYFUNCTION("""COMPUTED_VALUE"""),"URGENT: Inspect equipment immediately for wear/damage; High wear metals - inspect bearing/gear surfaces; Severe oxidation - lubricant change required urgently")</f>
        <v>URGENT: Inspect equipment immediately for wear/damage; High wear metals - inspect bearing/gear surfaces; Severe oxidation - lubricant change required urgently</v>
      </c>
      <c r="AK439" s="204"/>
      <c r="AL439" s="204"/>
      <c r="AM439" s="204"/>
    </row>
    <row r="440" hidden="1">
      <c r="A440" s="199" t="str">
        <f>IFERROR(__xludf.DUMMYFUNCTION("""COMPUTED_VALUE"""),"R2.432.KB103(1)")</f>
        <v>R2.432.KB103(1)</v>
      </c>
      <c r="B440" s="200" t="str">
        <f>IFERROR(__xludf.DUMMYFUNCTION("""COMPUTED_VALUE"""),"Kiln Bearing")</f>
        <v>Kiln Bearing</v>
      </c>
      <c r="C440" s="199">
        <f>IFERROR(__xludf.DUMMYFUNCTION("""COMPUTED_VALUE"""),2.5258159226E10)</f>
        <v>25258159226</v>
      </c>
      <c r="D440" s="201">
        <f>IFERROR(__xludf.DUMMYFUNCTION("""COMPUTED_VALUE"""),45909.0)</f>
        <v>45909</v>
      </c>
      <c r="E440" s="202" t="str">
        <f>IFERROR(__xludf.DUMMYFUNCTION("""COMPUTED_VALUE"""),"Alert")</f>
        <v>Alert</v>
      </c>
      <c r="F440" s="202" t="str">
        <f>IFERROR(__xludf.DUMMYFUNCTION("""COMPUTED_VALUE"""),"Caution")</f>
        <v>Caution</v>
      </c>
      <c r="G440" s="203" t="str">
        <f>IFERROR(__xludf.DUMMYFUNCTION("""COMPUTED_VALUE"""),"Alert")</f>
        <v>Alert</v>
      </c>
      <c r="H440" s="203" t="str">
        <f>IFERROR(__xludf.DUMMYFUNCTION("""COMPUTED_VALUE"""),"Caution")</f>
        <v>Caution</v>
      </c>
      <c r="I440" s="37"/>
      <c r="J440" s="37"/>
      <c r="K440" s="37"/>
      <c r="L440" s="199">
        <f>IFERROR(__xludf.DUMMYFUNCTION("""COMPUTED_VALUE"""),42.0)</f>
        <v>42</v>
      </c>
      <c r="M440" s="199">
        <f>IFERROR(__xludf.DUMMYFUNCTION("""COMPUTED_VALUE"""),50.6)</f>
        <v>50.6</v>
      </c>
      <c r="N440" s="199"/>
      <c r="O440" s="199">
        <f>IFERROR(__xludf.DUMMYFUNCTION("""COMPUTED_VALUE"""),12.0)</f>
        <v>12</v>
      </c>
      <c r="P440" s="199"/>
      <c r="Q440" s="199">
        <f>IFERROR(__xludf.DUMMYFUNCTION("""COMPUTED_VALUE"""),0.0)</f>
        <v>0</v>
      </c>
      <c r="R440" s="199">
        <f>IFERROR(__xludf.DUMMYFUNCTION("""COMPUTED_VALUE"""),18.0)</f>
        <v>18</v>
      </c>
      <c r="S440" s="199">
        <f>IFERROR(__xludf.DUMMYFUNCTION("""COMPUTED_VALUE"""),1.0)</f>
        <v>1</v>
      </c>
      <c r="T440" s="199">
        <f>IFERROR(__xludf.DUMMYFUNCTION("""COMPUTED_VALUE"""),241.0)</f>
        <v>241</v>
      </c>
      <c r="U440" s="199">
        <f>IFERROR(__xludf.DUMMYFUNCTION("""COMPUTED_VALUE"""),113.0)</f>
        <v>113</v>
      </c>
      <c r="V440" s="199">
        <f>IFERROR(__xludf.DUMMYFUNCTION("""COMPUTED_VALUE"""),3.0)</f>
        <v>3</v>
      </c>
      <c r="W440" s="199">
        <f>IFERROR(__xludf.DUMMYFUNCTION("""COMPUTED_VALUE"""),0.0)</f>
        <v>0</v>
      </c>
      <c r="X440" s="199">
        <f>IFERROR(__xludf.DUMMYFUNCTION("""COMPUTED_VALUE"""),9.0)</f>
        <v>9</v>
      </c>
      <c r="Y440" s="199">
        <f>IFERROR(__xludf.DUMMYFUNCTION("""COMPUTED_VALUE"""),0.0)</f>
        <v>0</v>
      </c>
      <c r="Z440" s="199">
        <f>IFERROR(__xludf.DUMMYFUNCTION("""COMPUTED_VALUE"""),2.0)</f>
        <v>2</v>
      </c>
      <c r="AA440" s="199">
        <f>IFERROR(__xludf.DUMMYFUNCTION("""COMPUTED_VALUE"""),2.0)</f>
        <v>2</v>
      </c>
      <c r="AB440" s="199">
        <f>IFERROR(__xludf.DUMMYFUNCTION("""COMPUTED_VALUE"""),16.0)</f>
        <v>16</v>
      </c>
      <c r="AC440" s="199">
        <f>IFERROR(__xludf.DUMMYFUNCTION("""COMPUTED_VALUE"""),58.0)</f>
        <v>58</v>
      </c>
      <c r="AD440" s="199">
        <f>IFERROR(__xludf.DUMMYFUNCTION("""COMPUTED_VALUE"""),0.0)</f>
        <v>0</v>
      </c>
      <c r="AE440" s="199">
        <f>IFERROR(__xludf.DUMMYFUNCTION("""COMPUTED_VALUE"""),96.0)</f>
        <v>96</v>
      </c>
      <c r="AF440" s="199">
        <f>IFERROR(__xludf.DUMMYFUNCTION("""COMPUTED_VALUE"""),9.0)</f>
        <v>9</v>
      </c>
      <c r="AG440" s="199">
        <f>IFERROR(__xludf.DUMMYFUNCTION("""COMPUTED_VALUE"""),238.0)</f>
        <v>238</v>
      </c>
      <c r="AH440" s="199">
        <f>IFERROR(__xludf.DUMMYFUNCTION("""COMPUTED_VALUE"""),2.0)</f>
        <v>2</v>
      </c>
      <c r="AI440" s="200" t="str">
        <f>IFERROR(__xludf.DUMMYFUNCTION("""COMPUTED_VALUE"""),"Wear Metal Alert")</f>
        <v>Wear Metal Alert</v>
      </c>
      <c r="AJ440" s="200" t="str">
        <f>IFERROR(__xludf.DUMMYFUNCTION("""COMPUTED_VALUE"""),"URGENT: Inspect equipment immediately for wear/damage; High wear metals - inspect bearing/gear surfaces; Severe oxidation - urgent lubricant change required")</f>
        <v>URGENT: Inspect equipment immediately for wear/damage; High wear metals - inspect bearing/gear surfaces; Severe oxidation - urgent lubricant change required</v>
      </c>
      <c r="AK440" s="204"/>
      <c r="AL440" s="204"/>
      <c r="AM440" s="204"/>
    </row>
    <row r="441" hidden="1">
      <c r="A441" s="199" t="str">
        <f>IFERROR(__xludf.DUMMYFUNCTION("""COMPUTED_VALUE"""),"R2.432.KB103(2)")</f>
        <v>R2.432.KB103(2)</v>
      </c>
      <c r="B441" s="200" t="str">
        <f>IFERROR(__xludf.DUMMYFUNCTION("""COMPUTED_VALUE"""),"Kiln Bearing")</f>
        <v>Kiln Bearing</v>
      </c>
      <c r="C441" s="199">
        <f>IFERROR(__xludf.DUMMYFUNCTION("""COMPUTED_VALUE"""),2.5258159247E10)</f>
        <v>25258159247</v>
      </c>
      <c r="D441" s="201">
        <f>IFERROR(__xludf.DUMMYFUNCTION("""COMPUTED_VALUE"""),45909.0)</f>
        <v>45909</v>
      </c>
      <c r="E441" s="202" t="str">
        <f>IFERROR(__xludf.DUMMYFUNCTION("""COMPUTED_VALUE"""),"Alert")</f>
        <v>Alert</v>
      </c>
      <c r="F441" s="202" t="str">
        <f>IFERROR(__xludf.DUMMYFUNCTION("""COMPUTED_VALUE"""),"Caution")</f>
        <v>Caution</v>
      </c>
      <c r="G441" s="203" t="str">
        <f>IFERROR(__xludf.DUMMYFUNCTION("""COMPUTED_VALUE"""),"Alert")</f>
        <v>Alert</v>
      </c>
      <c r="H441" s="203" t="str">
        <f>IFERROR(__xludf.DUMMYFUNCTION("""COMPUTED_VALUE"""),"Caution")</f>
        <v>Caution</v>
      </c>
      <c r="I441" s="199"/>
      <c r="J441" s="199"/>
      <c r="K441" s="199"/>
      <c r="L441" s="199">
        <f>IFERROR(__xludf.DUMMYFUNCTION("""COMPUTED_VALUE"""),86.0)</f>
        <v>86</v>
      </c>
      <c r="M441" s="199">
        <f>IFERROR(__xludf.DUMMYFUNCTION("""COMPUTED_VALUE"""),51.8)</f>
        <v>51.8</v>
      </c>
      <c r="N441" s="199"/>
      <c r="O441" s="199">
        <f>IFERROR(__xludf.DUMMYFUNCTION("""COMPUTED_VALUE"""),17.0)</f>
        <v>17</v>
      </c>
      <c r="P441" s="199">
        <f>IFERROR(__xludf.DUMMYFUNCTION("""COMPUTED_VALUE"""),0.11)</f>
        <v>0.11</v>
      </c>
      <c r="Q441" s="199">
        <f>IFERROR(__xludf.DUMMYFUNCTION("""COMPUTED_VALUE"""),0.0)</f>
        <v>0</v>
      </c>
      <c r="R441" s="199">
        <f>IFERROR(__xludf.DUMMYFUNCTION("""COMPUTED_VALUE"""),22.0)</f>
        <v>22</v>
      </c>
      <c r="S441" s="199">
        <f>IFERROR(__xludf.DUMMYFUNCTION("""COMPUTED_VALUE"""),1.0)</f>
        <v>1</v>
      </c>
      <c r="T441" s="199">
        <f>IFERROR(__xludf.DUMMYFUNCTION("""COMPUTED_VALUE"""),394.0)</f>
        <v>394</v>
      </c>
      <c r="U441" s="199">
        <f>IFERROR(__xludf.DUMMYFUNCTION("""COMPUTED_VALUE"""),76.0)</f>
        <v>76</v>
      </c>
      <c r="V441" s="199">
        <f>IFERROR(__xludf.DUMMYFUNCTION("""COMPUTED_VALUE"""),2.0)</f>
        <v>2</v>
      </c>
      <c r="W441" s="199">
        <f>IFERROR(__xludf.DUMMYFUNCTION("""COMPUTED_VALUE"""),0.0)</f>
        <v>0</v>
      </c>
      <c r="X441" s="199">
        <f>IFERROR(__xludf.DUMMYFUNCTION("""COMPUTED_VALUE"""),16.0)</f>
        <v>16</v>
      </c>
      <c r="Y441" s="199">
        <f>IFERROR(__xludf.DUMMYFUNCTION("""COMPUTED_VALUE"""),0.0)</f>
        <v>0</v>
      </c>
      <c r="Z441" s="199">
        <f>IFERROR(__xludf.DUMMYFUNCTION("""COMPUTED_VALUE"""),2.0)</f>
        <v>2</v>
      </c>
      <c r="AA441" s="199">
        <f>IFERROR(__xludf.DUMMYFUNCTION("""COMPUTED_VALUE"""),0.0)</f>
        <v>0</v>
      </c>
      <c r="AB441" s="199">
        <f>IFERROR(__xludf.DUMMYFUNCTION("""COMPUTED_VALUE"""),12.0)</f>
        <v>12</v>
      </c>
      <c r="AC441" s="199">
        <f>IFERROR(__xludf.DUMMYFUNCTION("""COMPUTED_VALUE"""),55.0)</f>
        <v>55</v>
      </c>
      <c r="AD441" s="199">
        <f>IFERROR(__xludf.DUMMYFUNCTION("""COMPUTED_VALUE"""),0.0)</f>
        <v>0</v>
      </c>
      <c r="AE441" s="199">
        <f>IFERROR(__xludf.DUMMYFUNCTION("""COMPUTED_VALUE"""),191.0)</f>
        <v>191</v>
      </c>
      <c r="AF441" s="199">
        <f>IFERROR(__xludf.DUMMYFUNCTION("""COMPUTED_VALUE"""),14.0)</f>
        <v>14</v>
      </c>
      <c r="AG441" s="199">
        <f>IFERROR(__xludf.DUMMYFUNCTION("""COMPUTED_VALUE"""),223.0)</f>
        <v>223</v>
      </c>
      <c r="AH441" s="199">
        <f>IFERROR(__xludf.DUMMYFUNCTION("""COMPUTED_VALUE"""),0.0)</f>
        <v>0</v>
      </c>
      <c r="AI441" s="200" t="str">
        <f>IFERROR(__xludf.DUMMYFUNCTION("""COMPUTED_VALUE"""),"Wear Metal Alert | Water Ingress")</f>
        <v>Wear Metal Alert | Water Ingress</v>
      </c>
      <c r="AJ441" s="200" t="str">
        <f>IFERROR(__xludf.DUMMYFUNCTION("""COMPUTED_VALUE"""),"URGENT: Inspect equipment immediately for wear/damage; Critical wear metals - schedule immediate inspection; Water detected - inspect seals and breathers; Severe oxidation - urgent lubricant change required; High particle count - replace filters and resam"&amp;"ple")</f>
        <v>URGENT: Inspect equipment immediately for wear/damage; Critical wear metals - schedule immediate inspection; Water detected - inspect seals and breathers; Severe oxidation - urgent lubricant change required; High particle count - replace filters and resample</v>
      </c>
      <c r="AK441" s="204"/>
      <c r="AL441" s="204"/>
      <c r="AM441" s="204"/>
    </row>
    <row r="442" hidden="1">
      <c r="A442" s="199" t="str">
        <f>IFERROR(__xludf.DUMMYFUNCTION("""COMPUTED_VALUE"""),"R2.432.KB103(3)")</f>
        <v>R2.432.KB103(3)</v>
      </c>
      <c r="B442" s="200" t="str">
        <f>IFERROR(__xludf.DUMMYFUNCTION("""COMPUTED_VALUE"""),"Kiln Bearing")</f>
        <v>Kiln Bearing</v>
      </c>
      <c r="C442" s="199">
        <f>IFERROR(__xludf.DUMMYFUNCTION("""COMPUTED_VALUE"""),2.5258159248E10)</f>
        <v>25258159248</v>
      </c>
      <c r="D442" s="201">
        <f>IFERROR(__xludf.DUMMYFUNCTION("""COMPUTED_VALUE"""),45909.0)</f>
        <v>45909</v>
      </c>
      <c r="E442" s="202" t="str">
        <f>IFERROR(__xludf.DUMMYFUNCTION("""COMPUTED_VALUE"""),"Alert")</f>
        <v>Alert</v>
      </c>
      <c r="F442" s="202" t="str">
        <f>IFERROR(__xludf.DUMMYFUNCTION("""COMPUTED_VALUE"""),"Alert")</f>
        <v>Alert</v>
      </c>
      <c r="G442" s="203" t="str">
        <f>IFERROR(__xludf.DUMMYFUNCTION("""COMPUTED_VALUE"""),"Alert")</f>
        <v>Alert</v>
      </c>
      <c r="H442" s="203" t="str">
        <f>IFERROR(__xludf.DUMMYFUNCTION("""COMPUTED_VALUE"""),"Alert")</f>
        <v>Alert</v>
      </c>
      <c r="I442" s="37"/>
      <c r="J442" s="37"/>
      <c r="K442" s="37"/>
      <c r="L442" s="199">
        <f>IFERROR(__xludf.DUMMYFUNCTION("""COMPUTED_VALUE"""),60.0)</f>
        <v>60</v>
      </c>
      <c r="M442" s="199">
        <f>IFERROR(__xludf.DUMMYFUNCTION("""COMPUTED_VALUE"""),57.0)</f>
        <v>57</v>
      </c>
      <c r="N442" s="199"/>
      <c r="O442" s="199">
        <f>IFERROR(__xludf.DUMMYFUNCTION("""COMPUTED_VALUE"""),19.0)</f>
        <v>19</v>
      </c>
      <c r="P442" s="199">
        <f>IFERROR(__xludf.DUMMYFUNCTION("""COMPUTED_VALUE"""),0.11)</f>
        <v>0.11</v>
      </c>
      <c r="Q442" s="199">
        <f>IFERROR(__xludf.DUMMYFUNCTION("""COMPUTED_VALUE"""),0.0)</f>
        <v>0</v>
      </c>
      <c r="R442" s="199">
        <f>IFERROR(__xludf.DUMMYFUNCTION("""COMPUTED_VALUE"""),36.0)</f>
        <v>36</v>
      </c>
      <c r="S442" s="199">
        <f>IFERROR(__xludf.DUMMYFUNCTION("""COMPUTED_VALUE"""),1.0)</f>
        <v>1</v>
      </c>
      <c r="T442" s="199">
        <f>IFERROR(__xludf.DUMMYFUNCTION("""COMPUTED_VALUE"""),764.0)</f>
        <v>764</v>
      </c>
      <c r="U442" s="199">
        <f>IFERROR(__xludf.DUMMYFUNCTION("""COMPUTED_VALUE"""),80.0)</f>
        <v>80</v>
      </c>
      <c r="V442" s="199">
        <f>IFERROR(__xludf.DUMMYFUNCTION("""COMPUTED_VALUE"""),2.0)</f>
        <v>2</v>
      </c>
      <c r="W442" s="199">
        <f>IFERROR(__xludf.DUMMYFUNCTION("""COMPUTED_VALUE"""),0.0)</f>
        <v>0</v>
      </c>
      <c r="X442" s="199">
        <f>IFERROR(__xludf.DUMMYFUNCTION("""COMPUTED_VALUE"""),36.0)</f>
        <v>36</v>
      </c>
      <c r="Y442" s="199">
        <f>IFERROR(__xludf.DUMMYFUNCTION("""COMPUTED_VALUE"""),0.0)</f>
        <v>0</v>
      </c>
      <c r="Z442" s="199">
        <f>IFERROR(__xludf.DUMMYFUNCTION("""COMPUTED_VALUE"""),2.0)</f>
        <v>2</v>
      </c>
      <c r="AA442" s="199">
        <f>IFERROR(__xludf.DUMMYFUNCTION("""COMPUTED_VALUE"""),0.0)</f>
        <v>0</v>
      </c>
      <c r="AB442" s="199">
        <f>IFERROR(__xludf.DUMMYFUNCTION("""COMPUTED_VALUE"""),23.0)</f>
        <v>23</v>
      </c>
      <c r="AC442" s="199">
        <f>IFERROR(__xludf.DUMMYFUNCTION("""COMPUTED_VALUE"""),26.0)</f>
        <v>26</v>
      </c>
      <c r="AD442" s="199">
        <f>IFERROR(__xludf.DUMMYFUNCTION("""COMPUTED_VALUE"""),0.0)</f>
        <v>0</v>
      </c>
      <c r="AE442" s="199">
        <f>IFERROR(__xludf.DUMMYFUNCTION("""COMPUTED_VALUE"""),638.0)</f>
        <v>638</v>
      </c>
      <c r="AF442" s="199">
        <f>IFERROR(__xludf.DUMMYFUNCTION("""COMPUTED_VALUE"""),13.0)</f>
        <v>13</v>
      </c>
      <c r="AG442" s="199">
        <f>IFERROR(__xludf.DUMMYFUNCTION("""COMPUTED_VALUE"""),227.0)</f>
        <v>227</v>
      </c>
      <c r="AH442" s="199">
        <f>IFERROR(__xludf.DUMMYFUNCTION("""COMPUTED_VALUE"""),0.0)</f>
        <v>0</v>
      </c>
      <c r="AI442" s="200" t="str">
        <f>IFERROR(__xludf.DUMMYFUNCTION("""COMPUTED_VALUE"""),"Wear Metal Alert | Lubricant Degradation | Water Ingress")</f>
        <v>Wear Metal Alert | Lubricant Degradation | Water Ingress</v>
      </c>
      <c r="AJ442" s="200" t="str">
        <f>IFERROR(__xludf.DUMMYFUNCTION("""COMPUTED_VALUE"""),"URGENT: Inspect equipment immediately for wear/damage; Critical wear metals - schedule immediate inspection; Water detected - inspect seals and breathers; Severe oxidation - urgent lubricant change required")</f>
        <v>URGENT: Inspect equipment immediately for wear/damage; Critical wear metals - schedule immediate inspection; Water detected - inspect seals and breathers; Severe oxidation - urgent lubricant change required</v>
      </c>
      <c r="AK442" s="204"/>
      <c r="AL442" s="204"/>
      <c r="AM442" s="204"/>
    </row>
    <row r="443" hidden="1">
      <c r="A443" s="199" t="str">
        <f>IFERROR(__xludf.DUMMYFUNCTION("""COMPUTED_VALUE"""),"R2.432.KB103(4)")</f>
        <v>R2.432.KB103(4)</v>
      </c>
      <c r="B443" s="200" t="str">
        <f>IFERROR(__xludf.DUMMYFUNCTION("""COMPUTED_VALUE"""),"Kiln Bearing")</f>
        <v>Kiln Bearing</v>
      </c>
      <c r="C443" s="199">
        <f>IFERROR(__xludf.DUMMYFUNCTION("""COMPUTED_VALUE"""),2.5258159228E10)</f>
        <v>25258159228</v>
      </c>
      <c r="D443" s="201">
        <f>IFERROR(__xludf.DUMMYFUNCTION("""COMPUTED_VALUE"""),45909.0)</f>
        <v>45909</v>
      </c>
      <c r="E443" s="202" t="str">
        <f>IFERROR(__xludf.DUMMYFUNCTION("""COMPUTED_VALUE"""),"Alert")</f>
        <v>Alert</v>
      </c>
      <c r="F443" s="202" t="str">
        <f>IFERROR(__xludf.DUMMYFUNCTION("""COMPUTED_VALUE"""),"Caution")</f>
        <v>Caution</v>
      </c>
      <c r="G443" s="203" t="str">
        <f>IFERROR(__xludf.DUMMYFUNCTION("""COMPUTED_VALUE"""),"Alert")</f>
        <v>Alert</v>
      </c>
      <c r="H443" s="203" t="str">
        <f>IFERROR(__xludf.DUMMYFUNCTION("""COMPUTED_VALUE"""),"Normal")</f>
        <v>Normal</v>
      </c>
      <c r="I443" s="37"/>
      <c r="J443" s="37"/>
      <c r="K443" s="37"/>
      <c r="L443" s="199">
        <f>IFERROR(__xludf.DUMMYFUNCTION("""COMPUTED_VALUE"""),22.0)</f>
        <v>22</v>
      </c>
      <c r="M443" s="199">
        <f>IFERROR(__xludf.DUMMYFUNCTION("""COMPUTED_VALUE"""),47.5)</f>
        <v>47.5</v>
      </c>
      <c r="N443" s="199"/>
      <c r="O443" s="199">
        <f>IFERROR(__xludf.DUMMYFUNCTION("""COMPUTED_VALUE"""),7.0)</f>
        <v>7</v>
      </c>
      <c r="P443" s="199"/>
      <c r="Q443" s="199">
        <f>IFERROR(__xludf.DUMMYFUNCTION("""COMPUTED_VALUE"""),0.0)</f>
        <v>0</v>
      </c>
      <c r="R443" s="199">
        <f>IFERROR(__xludf.DUMMYFUNCTION("""COMPUTED_VALUE"""),15.0)</f>
        <v>15</v>
      </c>
      <c r="S443" s="199">
        <f>IFERROR(__xludf.DUMMYFUNCTION("""COMPUTED_VALUE"""),1.0)</f>
        <v>1</v>
      </c>
      <c r="T443" s="199">
        <f>IFERROR(__xludf.DUMMYFUNCTION("""COMPUTED_VALUE"""),62.0)</f>
        <v>62</v>
      </c>
      <c r="U443" s="199">
        <f>IFERROR(__xludf.DUMMYFUNCTION("""COMPUTED_VALUE"""),30.0)</f>
        <v>30</v>
      </c>
      <c r="V443" s="199">
        <f>IFERROR(__xludf.DUMMYFUNCTION("""COMPUTED_VALUE"""),2.0)</f>
        <v>2</v>
      </c>
      <c r="W443" s="199">
        <f>IFERROR(__xludf.DUMMYFUNCTION("""COMPUTED_VALUE"""),0.0)</f>
        <v>0</v>
      </c>
      <c r="X443" s="199">
        <f>IFERROR(__xludf.DUMMYFUNCTION("""COMPUTED_VALUE"""),12.0)</f>
        <v>12</v>
      </c>
      <c r="Y443" s="199">
        <f>IFERROR(__xludf.DUMMYFUNCTION("""COMPUTED_VALUE"""),0.0)</f>
        <v>0</v>
      </c>
      <c r="Z443" s="199">
        <f>IFERROR(__xludf.DUMMYFUNCTION("""COMPUTED_VALUE"""),2.0)</f>
        <v>2</v>
      </c>
      <c r="AA443" s="199">
        <f>IFERROR(__xludf.DUMMYFUNCTION("""COMPUTED_VALUE"""),0.0)</f>
        <v>0</v>
      </c>
      <c r="AB443" s="199">
        <f>IFERROR(__xludf.DUMMYFUNCTION("""COMPUTED_VALUE"""),0.0)</f>
        <v>0</v>
      </c>
      <c r="AC443" s="199">
        <f>IFERROR(__xludf.DUMMYFUNCTION("""COMPUTED_VALUE"""),25.0)</f>
        <v>25</v>
      </c>
      <c r="AD443" s="199">
        <f>IFERROR(__xludf.DUMMYFUNCTION("""COMPUTED_VALUE"""),0.0)</f>
        <v>0</v>
      </c>
      <c r="AE443" s="199">
        <f>IFERROR(__xludf.DUMMYFUNCTION("""COMPUTED_VALUE"""),95.0)</f>
        <v>95</v>
      </c>
      <c r="AF443" s="199">
        <f>IFERROR(__xludf.DUMMYFUNCTION("""COMPUTED_VALUE"""),6.0)</f>
        <v>6</v>
      </c>
      <c r="AG443" s="199">
        <f>IFERROR(__xludf.DUMMYFUNCTION("""COMPUTED_VALUE"""),253.0)</f>
        <v>253</v>
      </c>
      <c r="AH443" s="199">
        <f>IFERROR(__xludf.DUMMYFUNCTION("""COMPUTED_VALUE"""),10.0)</f>
        <v>10</v>
      </c>
      <c r="AI443" s="200" t="str">
        <f>IFERROR(__xludf.DUMMYFUNCTION("""COMPUTED_VALUE"""),"Wear Metal Alert")</f>
        <v>Wear Metal Alert</v>
      </c>
      <c r="AJ443" s="200" t="str">
        <f>IFERROR(__xludf.DUMMYFUNCTION("""COMPUTED_VALUE"""),"URGENT: Inspect equipment immediately for wear/damage; Severe oxidation - urgent lubricant change required")</f>
        <v>URGENT: Inspect equipment immediately for wear/damage; Severe oxidation - urgent lubricant change required</v>
      </c>
      <c r="AK443" s="204"/>
      <c r="AL443" s="204"/>
      <c r="AM443" s="204"/>
    </row>
    <row r="444" hidden="1">
      <c r="A444" s="199" t="str">
        <f>IFERROR(__xludf.DUMMYFUNCTION("""COMPUTED_VALUE"""),"R2.322.RF090")</f>
        <v>R2.322.RF090</v>
      </c>
      <c r="B444" s="200" t="str">
        <f>IFERROR(__xludf.DUMMYFUNCTION("""COMPUTED_VALUE"""),"Rotary feeder Gear Box")</f>
        <v>Rotary feeder Gear Box</v>
      </c>
      <c r="C444" s="199">
        <f>IFERROR(__xludf.DUMMYFUNCTION("""COMPUTED_VALUE"""),2.5258159219E10)</f>
        <v>25258159219</v>
      </c>
      <c r="D444" s="201">
        <f>IFERROR(__xludf.DUMMYFUNCTION("""COMPUTED_VALUE"""),45910.0)</f>
        <v>45910</v>
      </c>
      <c r="E444" s="202" t="str">
        <f>IFERROR(__xludf.DUMMYFUNCTION("""COMPUTED_VALUE"""),"Alert")</f>
        <v>Alert</v>
      </c>
      <c r="F444" s="202" t="str">
        <f>IFERROR(__xludf.DUMMYFUNCTION("""COMPUTED_VALUE"""),"Normal")</f>
        <v>Normal</v>
      </c>
      <c r="G444" s="203" t="str">
        <f>IFERROR(__xludf.DUMMYFUNCTION("""COMPUTED_VALUE"""),"Normal")</f>
        <v>Normal</v>
      </c>
      <c r="H444" s="203" t="str">
        <f>IFERROR(__xludf.DUMMYFUNCTION("""COMPUTED_VALUE"""),"Alert")</f>
        <v>Alert</v>
      </c>
      <c r="I444" s="37"/>
      <c r="J444" s="37"/>
      <c r="K444" s="37"/>
      <c r="L444" s="199">
        <f>IFERROR(__xludf.DUMMYFUNCTION("""COMPUTED_VALUE"""),6.0)</f>
        <v>6</v>
      </c>
      <c r="M444" s="199">
        <f>IFERROR(__xludf.DUMMYFUNCTION("""COMPUTED_VALUE"""),30.2)</f>
        <v>30.2</v>
      </c>
      <c r="N444" s="199"/>
      <c r="O444" s="199"/>
      <c r="P444" s="199">
        <f>IFERROR(__xludf.DUMMYFUNCTION("""COMPUTED_VALUE"""),0.01)</f>
        <v>0.01</v>
      </c>
      <c r="Q444" s="199">
        <f>IFERROR(__xludf.DUMMYFUNCTION("""COMPUTED_VALUE"""),0.0)</f>
        <v>0</v>
      </c>
      <c r="R444" s="199">
        <f>IFERROR(__xludf.DUMMYFUNCTION("""COMPUTED_VALUE"""),6.0)</f>
        <v>6</v>
      </c>
      <c r="S444" s="199">
        <f>IFERROR(__xludf.DUMMYFUNCTION("""COMPUTED_VALUE"""),1.0)</f>
        <v>1</v>
      </c>
      <c r="T444" s="199">
        <f>IFERROR(__xludf.DUMMYFUNCTION("""COMPUTED_VALUE"""),2.0)</f>
        <v>2</v>
      </c>
      <c r="U444" s="199">
        <f>IFERROR(__xludf.DUMMYFUNCTION("""COMPUTED_VALUE"""),3.0)</f>
        <v>3</v>
      </c>
      <c r="V444" s="199">
        <f>IFERROR(__xludf.DUMMYFUNCTION("""COMPUTED_VALUE"""),0.0)</f>
        <v>0</v>
      </c>
      <c r="W444" s="199">
        <f>IFERROR(__xludf.DUMMYFUNCTION("""COMPUTED_VALUE"""),0.0)</f>
        <v>0</v>
      </c>
      <c r="X444" s="199">
        <f>IFERROR(__xludf.DUMMYFUNCTION("""COMPUTED_VALUE"""),0.0)</f>
        <v>0</v>
      </c>
      <c r="Y444" s="199">
        <f>IFERROR(__xludf.DUMMYFUNCTION("""COMPUTED_VALUE"""),0.0)</f>
        <v>0</v>
      </c>
      <c r="Z444" s="199">
        <f>IFERROR(__xludf.DUMMYFUNCTION("""COMPUTED_VALUE"""),0.0)</f>
        <v>0</v>
      </c>
      <c r="AA444" s="199">
        <f>IFERROR(__xludf.DUMMYFUNCTION("""COMPUTED_VALUE"""),0.0)</f>
        <v>0</v>
      </c>
      <c r="AB444" s="199">
        <f>IFERROR(__xludf.DUMMYFUNCTION("""COMPUTED_VALUE"""),14.0)</f>
        <v>14</v>
      </c>
      <c r="AC444" s="199">
        <f>IFERROR(__xludf.DUMMYFUNCTION("""COMPUTED_VALUE"""),10.0)</f>
        <v>10</v>
      </c>
      <c r="AD444" s="199">
        <f>IFERROR(__xludf.DUMMYFUNCTION("""COMPUTED_VALUE"""),0.0)</f>
        <v>0</v>
      </c>
      <c r="AE444" s="199">
        <f>IFERROR(__xludf.DUMMYFUNCTION("""COMPUTED_VALUE"""),21.0)</f>
        <v>21</v>
      </c>
      <c r="AF444" s="199">
        <f>IFERROR(__xludf.DUMMYFUNCTION("""COMPUTED_VALUE"""),2.0)</f>
        <v>2</v>
      </c>
      <c r="AG444" s="199">
        <f>IFERROR(__xludf.DUMMYFUNCTION("""COMPUTED_VALUE"""),741.0)</f>
        <v>741</v>
      </c>
      <c r="AH444" s="199">
        <f>IFERROR(__xludf.DUMMYFUNCTION("""COMPUTED_VALUE"""),0.0)</f>
        <v>0</v>
      </c>
      <c r="AI444" s="200" t="str">
        <f>IFERROR(__xludf.DUMMYFUNCTION("""COMPUTED_VALUE"""),"Alert – Severely Reduced Viscosity / Lubricant Alert")</f>
        <v>Alert – Severely Reduced Viscosity / Lubricant Alert</v>
      </c>
      <c r="AJ444" s="200" t="str">
        <f>IFERROR(__xludf.DUMMYFUNCTION("""COMPUTED_VALUE"""),"ACTION REQUIRED – Viscosity critically low at 30.2 cSt (expected ~100 cSt for SHC 639). Possible fuel/solvent contamination or wrong oil fill. Si 14 ppm. Inspect system for fuel or coolant ingression. Drain and recharge with correct MOBIL SHC 639. Resampl"&amp;"e immediately after corrective action.")</f>
        <v>ACTION REQUIRED – Viscosity critically low at 30.2 cSt (expected ~100 cSt for SHC 639). Possible fuel/solvent contamination or wrong oil fill. Si 14 ppm. Inspect system for fuel or coolant ingression. Drain and recharge with correct MOBIL SHC 639. Resample immediately after corrective action.</v>
      </c>
      <c r="AK444" s="204"/>
      <c r="AL444" s="204"/>
      <c r="AM444" s="204"/>
    </row>
    <row r="445" hidden="1">
      <c r="A445" s="199" t="str">
        <f>IFERROR(__xludf.DUMMYFUNCTION("""COMPUTED_VALUE"""),"R2.432.MD140(N32)")</f>
        <v>R2.432.MD140(N32)</v>
      </c>
      <c r="B445" s="200" t="str">
        <f>IFERROR(__xludf.DUMMYFUNCTION("""COMPUTED_VALUE"""),"Kiln #2 Main drive gearbox (N32)")</f>
        <v>Kiln #2 Main drive gearbox (N32)</v>
      </c>
      <c r="C445" s="199">
        <f>IFERROR(__xludf.DUMMYFUNCTION("""COMPUTED_VALUE"""),2.5259169223E10)</f>
        <v>25259169223</v>
      </c>
      <c r="D445" s="201">
        <f>IFERROR(__xludf.DUMMYFUNCTION("""COMPUTED_VALUE"""),45910.0)</f>
        <v>45910</v>
      </c>
      <c r="E445" s="202" t="str">
        <f>IFERROR(__xludf.DUMMYFUNCTION("""COMPUTED_VALUE"""),"Alert")</f>
        <v>Alert</v>
      </c>
      <c r="F445" s="202" t="str">
        <f>IFERROR(__xludf.DUMMYFUNCTION("""COMPUTED_VALUE"""),"Alert")</f>
        <v>Alert</v>
      </c>
      <c r="G445" s="203" t="str">
        <f>IFERROR(__xludf.DUMMYFUNCTION("""COMPUTED_VALUE"""),"Alert")</f>
        <v>Alert</v>
      </c>
      <c r="H445" s="203" t="str">
        <f>IFERROR(__xludf.DUMMYFUNCTION("""COMPUTED_VALUE"""),"Normal")</f>
        <v>Normal</v>
      </c>
      <c r="I445" s="37"/>
      <c r="J445" s="37"/>
      <c r="K445" s="37"/>
      <c r="L445" s="199">
        <f>IFERROR(__xludf.DUMMYFUNCTION("""COMPUTED_VALUE"""),25.0)</f>
        <v>25</v>
      </c>
      <c r="M445" s="199">
        <f>IFERROR(__xludf.DUMMYFUNCTION("""COMPUTED_VALUE"""),428.4)</f>
        <v>428.4</v>
      </c>
      <c r="N445" s="199"/>
      <c r="O445" s="199">
        <f>IFERROR(__xludf.DUMMYFUNCTION("""COMPUTED_VALUE"""),2.0)</f>
        <v>2</v>
      </c>
      <c r="P445" s="199">
        <f>IFERROR(__xludf.DUMMYFUNCTION("""COMPUTED_VALUE"""),0.22)</f>
        <v>0.22</v>
      </c>
      <c r="Q445" s="199">
        <f>IFERROR(__xludf.DUMMYFUNCTION("""COMPUTED_VALUE"""),0.0)</f>
        <v>0</v>
      </c>
      <c r="R445" s="199">
        <f>IFERROR(__xludf.DUMMYFUNCTION("""COMPUTED_VALUE"""),38.0)</f>
        <v>38</v>
      </c>
      <c r="S445" s="199">
        <f>IFERROR(__xludf.DUMMYFUNCTION("""COMPUTED_VALUE"""),1.0)</f>
        <v>1</v>
      </c>
      <c r="T445" s="199">
        <f>IFERROR(__xludf.DUMMYFUNCTION("""COMPUTED_VALUE"""),7.0)</f>
        <v>7</v>
      </c>
      <c r="U445" s="199">
        <f>IFERROR(__xludf.DUMMYFUNCTION("""COMPUTED_VALUE"""),41.0)</f>
        <v>41</v>
      </c>
      <c r="V445" s="199">
        <f>IFERROR(__xludf.DUMMYFUNCTION("""COMPUTED_VALUE"""),2.0)</f>
        <v>2</v>
      </c>
      <c r="W445" s="199">
        <f>IFERROR(__xludf.DUMMYFUNCTION("""COMPUTED_VALUE"""),0.0)</f>
        <v>0</v>
      </c>
      <c r="X445" s="199">
        <f>IFERROR(__xludf.DUMMYFUNCTION("""COMPUTED_VALUE"""),0.0)</f>
        <v>0</v>
      </c>
      <c r="Y445" s="199">
        <f>IFERROR(__xludf.DUMMYFUNCTION("""COMPUTED_VALUE"""),0.0)</f>
        <v>0</v>
      </c>
      <c r="Z445" s="199">
        <f>IFERROR(__xludf.DUMMYFUNCTION("""COMPUTED_VALUE"""),0.0)</f>
        <v>0</v>
      </c>
      <c r="AA445" s="199">
        <f>IFERROR(__xludf.DUMMYFUNCTION("""COMPUTED_VALUE"""),0.0)</f>
        <v>0</v>
      </c>
      <c r="AB445" s="199">
        <f>IFERROR(__xludf.DUMMYFUNCTION("""COMPUTED_VALUE"""),21.0)</f>
        <v>21</v>
      </c>
      <c r="AC445" s="199">
        <f>IFERROR(__xludf.DUMMYFUNCTION("""COMPUTED_VALUE"""),12.0)</f>
        <v>12</v>
      </c>
      <c r="AD445" s="199">
        <f>IFERROR(__xludf.DUMMYFUNCTION("""COMPUTED_VALUE"""),0.0)</f>
        <v>0</v>
      </c>
      <c r="AE445" s="199">
        <f>IFERROR(__xludf.DUMMYFUNCTION("""COMPUTED_VALUE"""),224.0)</f>
        <v>224</v>
      </c>
      <c r="AF445" s="199">
        <f>IFERROR(__xludf.DUMMYFUNCTION("""COMPUTED_VALUE"""),2.0)</f>
        <v>2</v>
      </c>
      <c r="AG445" s="199">
        <f>IFERROR(__xludf.DUMMYFUNCTION("""COMPUTED_VALUE"""),317.0)</f>
        <v>317</v>
      </c>
      <c r="AH445" s="199">
        <f>IFERROR(__xludf.DUMMYFUNCTION("""COMPUTED_VALUE"""),48.0)</f>
        <v>48</v>
      </c>
      <c r="AI445" s="200" t="str">
        <f>IFERROR(__xludf.DUMMYFUNCTION("""COMPUTED_VALUE"""),"Wear Metal Alert | Water Ingress")</f>
        <v>Wear Metal Alert | Water Ingress</v>
      </c>
      <c r="AJ445" s="200" t="str">
        <f>IFERROR(__xludf.DUMMYFUNCTION("""COMPUTED_VALUE"""),"URGENT: Inspect equipment immediately for wear/damage; High water contamination - check seals, drain water immediately")</f>
        <v>URGENT: Inspect equipment immediately for wear/damage; High water contamination - check seals, drain water immediately</v>
      </c>
      <c r="AK445" s="204"/>
      <c r="AL445" s="204"/>
      <c r="AM445" s="204"/>
    </row>
    <row r="446" hidden="1">
      <c r="A446" s="199" t="str">
        <f>IFERROR(__xludf.DUMMYFUNCTION("""COMPUTED_VALUE"""),"R2.322.LQ145 (T)")</f>
        <v>R2.322.LQ145 (T)</v>
      </c>
      <c r="B446" s="200" t="str">
        <f>IFERROR(__xludf.DUMMYFUNCTION("""COMPUTED_VALUE"""),"Mill2 gear Lub pump station tank")</f>
        <v>Mill2 gear Lub pump station tank</v>
      </c>
      <c r="C446" s="199">
        <f>IFERROR(__xludf.DUMMYFUNCTION("""COMPUTED_VALUE"""),2.525916921E10)</f>
        <v>25259169210</v>
      </c>
      <c r="D446" s="201">
        <f>IFERROR(__xludf.DUMMYFUNCTION("""COMPUTED_VALUE"""),45910.0)</f>
        <v>45910</v>
      </c>
      <c r="E446" s="202" t="str">
        <f>IFERROR(__xludf.DUMMYFUNCTION("""COMPUTED_VALUE"""),"Normal")</f>
        <v>Normal</v>
      </c>
      <c r="F446" s="202" t="str">
        <f>IFERROR(__xludf.DUMMYFUNCTION("""COMPUTED_VALUE"""),"Normal")</f>
        <v>Normal</v>
      </c>
      <c r="G446" s="203" t="str">
        <f>IFERROR(__xludf.DUMMYFUNCTION("""COMPUTED_VALUE"""),"Normal")</f>
        <v>Normal</v>
      </c>
      <c r="H446" s="203" t="str">
        <f>IFERROR(__xludf.DUMMYFUNCTION("""COMPUTED_VALUE"""),"Normal")</f>
        <v>Normal</v>
      </c>
      <c r="I446" s="37">
        <f>IFERROR(__xludf.DUMMYFUNCTION("""COMPUTED_VALUE"""),32192.0)</f>
        <v>32192</v>
      </c>
      <c r="J446" s="37">
        <f>IFERROR(__xludf.DUMMYFUNCTION("""COMPUTED_VALUE"""),11474.0)</f>
        <v>11474</v>
      </c>
      <c r="K446" s="37">
        <f>IFERROR(__xludf.DUMMYFUNCTION("""COMPUTED_VALUE"""),5480.0)</f>
        <v>5480</v>
      </c>
      <c r="L446" s="199">
        <f>IFERROR(__xludf.DUMMYFUNCTION("""COMPUTED_VALUE"""),6.0)</f>
        <v>6</v>
      </c>
      <c r="M446" s="199">
        <f>IFERROR(__xludf.DUMMYFUNCTION("""COMPUTED_VALUE"""),281.4)</f>
        <v>281.4</v>
      </c>
      <c r="N446" s="199"/>
      <c r="O446" s="199">
        <f>IFERROR(__xludf.DUMMYFUNCTION("""COMPUTED_VALUE"""),0.0)</f>
        <v>0</v>
      </c>
      <c r="P446" s="199">
        <f>IFERROR(__xludf.DUMMYFUNCTION("""COMPUTED_VALUE"""),0.02)</f>
        <v>0.02</v>
      </c>
      <c r="Q446" s="199">
        <f>IFERROR(__xludf.DUMMYFUNCTION("""COMPUTED_VALUE"""),0.0)</f>
        <v>0</v>
      </c>
      <c r="R446" s="199">
        <f>IFERROR(__xludf.DUMMYFUNCTION("""COMPUTED_VALUE"""),3.0)</f>
        <v>3</v>
      </c>
      <c r="S446" s="199">
        <f>IFERROR(__xludf.DUMMYFUNCTION("""COMPUTED_VALUE"""),1.0)</f>
        <v>1</v>
      </c>
      <c r="T446" s="199">
        <f>IFERROR(__xludf.DUMMYFUNCTION("""COMPUTED_VALUE"""),3.0)</f>
        <v>3</v>
      </c>
      <c r="U446" s="199">
        <f>IFERROR(__xludf.DUMMYFUNCTION("""COMPUTED_VALUE"""),8.0)</f>
        <v>8</v>
      </c>
      <c r="V446" s="199">
        <f>IFERROR(__xludf.DUMMYFUNCTION("""COMPUTED_VALUE"""),0.0)</f>
        <v>0</v>
      </c>
      <c r="W446" s="199">
        <f>IFERROR(__xludf.DUMMYFUNCTION("""COMPUTED_VALUE"""),0.0)</f>
        <v>0</v>
      </c>
      <c r="X446" s="199">
        <f>IFERROR(__xludf.DUMMYFUNCTION("""COMPUTED_VALUE"""),0.0)</f>
        <v>0</v>
      </c>
      <c r="Y446" s="199">
        <f>IFERROR(__xludf.DUMMYFUNCTION("""COMPUTED_VALUE"""),0.0)</f>
        <v>0</v>
      </c>
      <c r="Z446" s="199">
        <f>IFERROR(__xludf.DUMMYFUNCTION("""COMPUTED_VALUE"""),2.0)</f>
        <v>2</v>
      </c>
      <c r="AA446" s="199">
        <f>IFERROR(__xludf.DUMMYFUNCTION("""COMPUTED_VALUE"""),0.0)</f>
        <v>0</v>
      </c>
      <c r="AB446" s="199">
        <f>IFERROR(__xludf.DUMMYFUNCTION("""COMPUTED_VALUE"""),2.0)</f>
        <v>2</v>
      </c>
      <c r="AC446" s="199">
        <f>IFERROR(__xludf.DUMMYFUNCTION("""COMPUTED_VALUE"""),22.0)</f>
        <v>22</v>
      </c>
      <c r="AD446" s="199">
        <f>IFERROR(__xludf.DUMMYFUNCTION("""COMPUTED_VALUE"""),0.0)</f>
        <v>0</v>
      </c>
      <c r="AE446" s="199">
        <f>IFERROR(__xludf.DUMMYFUNCTION("""COMPUTED_VALUE"""),17.0)</f>
        <v>17</v>
      </c>
      <c r="AF446" s="199">
        <f>IFERROR(__xludf.DUMMYFUNCTION("""COMPUTED_VALUE"""),2.0)</f>
        <v>2</v>
      </c>
      <c r="AG446" s="199">
        <f>IFERROR(__xludf.DUMMYFUNCTION("""COMPUTED_VALUE"""),288.0)</f>
        <v>288</v>
      </c>
      <c r="AH446" s="199">
        <f>IFERROR(__xludf.DUMMYFUNCTION("""COMPUTED_VALUE"""),2.0)</f>
        <v>2</v>
      </c>
      <c r="AI446" s="200" t="str">
        <f>IFERROR(__xludf.DUMMYFUNCTION("""COMPUTED_VALUE"""),"Normal - No Action Required")</f>
        <v>Normal - No Action Required</v>
      </c>
      <c r="AJ446" s="200" t="str">
        <f>IFERROR(__xludf.DUMMYFUNCTION("""COMPUTED_VALUE"""),"Continue routine monitoring and sampling schedule")</f>
        <v>Continue routine monitoring and sampling schedule</v>
      </c>
      <c r="AK446" s="204"/>
      <c r="AL446" s="204"/>
      <c r="AM446" s="204"/>
    </row>
    <row r="447" hidden="1">
      <c r="A447" s="199" t="str">
        <f>IFERROR(__xludf.DUMMYFUNCTION("""COMPUTED_VALUE"""),"R2.322.LQ120(T)")</f>
        <v>R2.322.LQ120(T)</v>
      </c>
      <c r="B447" s="200" t="str">
        <f>IFERROR(__xludf.DUMMYFUNCTION("""COMPUTED_VALUE"""),"Roller Lubrication Unit (Tank)")</f>
        <v>Roller Lubrication Unit (Tank)</v>
      </c>
      <c r="C447" s="199">
        <f>IFERROR(__xludf.DUMMYFUNCTION("""COMPUTED_VALUE"""),2.5259169221E10)</f>
        <v>25259169221</v>
      </c>
      <c r="D447" s="201">
        <f>IFERROR(__xludf.DUMMYFUNCTION("""COMPUTED_VALUE"""),45910.0)</f>
        <v>45910</v>
      </c>
      <c r="E447" s="202" t="str">
        <f>IFERROR(__xludf.DUMMYFUNCTION("""COMPUTED_VALUE"""),"Caution")</f>
        <v>Caution</v>
      </c>
      <c r="F447" s="202" t="str">
        <f>IFERROR(__xludf.DUMMYFUNCTION("""COMPUTED_VALUE"""),"Normal")</f>
        <v>Normal</v>
      </c>
      <c r="G447" s="203" t="str">
        <f>IFERROR(__xludf.DUMMYFUNCTION("""COMPUTED_VALUE"""),"Normal")</f>
        <v>Normal</v>
      </c>
      <c r="H447" s="203" t="str">
        <f>IFERROR(__xludf.DUMMYFUNCTION("""COMPUTED_VALUE"""),"Caution")</f>
        <v>Caution</v>
      </c>
      <c r="I447" s="37"/>
      <c r="J447" s="37"/>
      <c r="K447" s="37"/>
      <c r="L447" s="199">
        <f>IFERROR(__xludf.DUMMYFUNCTION("""COMPUTED_VALUE"""),18.0)</f>
        <v>18</v>
      </c>
      <c r="M447" s="199">
        <f>IFERROR(__xludf.DUMMYFUNCTION("""COMPUTED_VALUE"""),82.6)</f>
        <v>82.6</v>
      </c>
      <c r="N447" s="37"/>
      <c r="O447" s="37"/>
      <c r="P447" s="199">
        <f>IFERROR(__xludf.DUMMYFUNCTION("""COMPUTED_VALUE"""),0.04)</f>
        <v>0.04</v>
      </c>
      <c r="Q447" s="199">
        <f>IFERROR(__xludf.DUMMYFUNCTION("""COMPUTED_VALUE"""),0.0)</f>
        <v>0</v>
      </c>
      <c r="R447" s="199">
        <f>IFERROR(__xludf.DUMMYFUNCTION("""COMPUTED_VALUE"""),3.0)</f>
        <v>3</v>
      </c>
      <c r="S447" s="199">
        <f>IFERROR(__xludf.DUMMYFUNCTION("""COMPUTED_VALUE"""),1.0)</f>
        <v>1</v>
      </c>
      <c r="T447" s="199">
        <f>IFERROR(__xludf.DUMMYFUNCTION("""COMPUTED_VALUE"""),5.0)</f>
        <v>5</v>
      </c>
      <c r="U447" s="199">
        <f>IFERROR(__xludf.DUMMYFUNCTION("""COMPUTED_VALUE"""),6.0)</f>
        <v>6</v>
      </c>
      <c r="V447" s="199">
        <f>IFERROR(__xludf.DUMMYFUNCTION("""COMPUTED_VALUE"""),0.0)</f>
        <v>0</v>
      </c>
      <c r="W447" s="199">
        <f>IFERROR(__xludf.DUMMYFUNCTION("""COMPUTED_VALUE"""),0.0)</f>
        <v>0</v>
      </c>
      <c r="X447" s="199">
        <f>IFERROR(__xludf.DUMMYFUNCTION("""COMPUTED_VALUE"""),0.0)</f>
        <v>0</v>
      </c>
      <c r="Y447" s="199">
        <f>IFERROR(__xludf.DUMMYFUNCTION("""COMPUTED_VALUE"""),0.0)</f>
        <v>0</v>
      </c>
      <c r="Z447" s="199">
        <f>IFERROR(__xludf.DUMMYFUNCTION("""COMPUTED_VALUE"""),0.0)</f>
        <v>0</v>
      </c>
      <c r="AA447" s="199">
        <f>IFERROR(__xludf.DUMMYFUNCTION("""COMPUTED_VALUE"""),0.0)</f>
        <v>0</v>
      </c>
      <c r="AB447" s="199">
        <f>IFERROR(__xludf.DUMMYFUNCTION("""COMPUTED_VALUE"""),15.0)</f>
        <v>15</v>
      </c>
      <c r="AC447" s="199">
        <f>IFERROR(__xludf.DUMMYFUNCTION("""COMPUTED_VALUE"""),12.0)</f>
        <v>12</v>
      </c>
      <c r="AD447" s="199">
        <f>IFERROR(__xludf.DUMMYFUNCTION("""COMPUTED_VALUE"""),0.0)</f>
        <v>0</v>
      </c>
      <c r="AE447" s="199">
        <f>IFERROR(__xludf.DUMMYFUNCTION("""COMPUTED_VALUE"""),24.0)</f>
        <v>24</v>
      </c>
      <c r="AF447" s="199">
        <f>IFERROR(__xludf.DUMMYFUNCTION("""COMPUTED_VALUE"""),1.0)</f>
        <v>1</v>
      </c>
      <c r="AG447" s="199">
        <f>IFERROR(__xludf.DUMMYFUNCTION("""COMPUTED_VALUE"""),337.0)</f>
        <v>337</v>
      </c>
      <c r="AH447" s="199">
        <f>IFERROR(__xludf.DUMMYFUNCTION("""COMPUTED_VALUE"""),2.0)</f>
        <v>2</v>
      </c>
      <c r="AI447" s="200" t="str">
        <f>IFERROR(__xludf.DUMMYFUNCTION("""COMPUTED_VALUE"""),"Lubricant Condition Caution")</f>
        <v>Lubricant Condition Caution</v>
      </c>
      <c r="AJ447" s="200" t="str">
        <f>IFERROR(__xludf.DUMMYFUNCTION("""COMPUTED_VALUE"""),"Lubricant showing degradation - plan oil change within 3 months")</f>
        <v>Lubricant showing degradation - plan oil change within 3 months</v>
      </c>
      <c r="AK447" s="204"/>
      <c r="AL447" s="204"/>
      <c r="AM447" s="204"/>
    </row>
    <row r="448" hidden="1">
      <c r="A448" s="199" t="str">
        <f>IFERROR(__xludf.DUMMYFUNCTION("""COMPUTED_VALUE"""),"R2.322.HY110")</f>
        <v>R2.322.HY110</v>
      </c>
      <c r="B448" s="200" t="str">
        <f>IFERROR(__xludf.DUMMYFUNCTION("""COMPUTED_VALUE"""),"Hydraulic tensioning sys. Mill 2")</f>
        <v>Hydraulic tensioning sys. Mill 2</v>
      </c>
      <c r="C448" s="199">
        <f>IFERROR(__xludf.DUMMYFUNCTION("""COMPUTED_VALUE"""),2.5258159215E10)</f>
        <v>25258159215</v>
      </c>
      <c r="D448" s="201">
        <f>IFERROR(__xludf.DUMMYFUNCTION("""COMPUTED_VALUE"""),45910.0)</f>
        <v>45910</v>
      </c>
      <c r="E448" s="202" t="str">
        <f>IFERROR(__xludf.DUMMYFUNCTION("""COMPUTED_VALUE"""),"Normal")</f>
        <v>Normal</v>
      </c>
      <c r="F448" s="202" t="str">
        <f>IFERROR(__xludf.DUMMYFUNCTION("""COMPUTED_VALUE"""),"Normal")</f>
        <v>Normal</v>
      </c>
      <c r="G448" s="203" t="str">
        <f>IFERROR(__xludf.DUMMYFUNCTION("""COMPUTED_VALUE"""),"Normal")</f>
        <v>Normal</v>
      </c>
      <c r="H448" s="203" t="str">
        <f>IFERROR(__xludf.DUMMYFUNCTION("""COMPUTED_VALUE"""),"Normal")</f>
        <v>Normal</v>
      </c>
      <c r="I448" s="37">
        <f>IFERROR(__xludf.DUMMYFUNCTION("""COMPUTED_VALUE"""),15681.0)</f>
        <v>15681</v>
      </c>
      <c r="J448" s="37">
        <f>IFERROR(__xludf.DUMMYFUNCTION("""COMPUTED_VALUE"""),6117.0)</f>
        <v>6117</v>
      </c>
      <c r="K448" s="37">
        <f>IFERROR(__xludf.DUMMYFUNCTION("""COMPUTED_VALUE"""),1150.0)</f>
        <v>1150</v>
      </c>
      <c r="L448" s="199">
        <f>IFERROR(__xludf.DUMMYFUNCTION("""COMPUTED_VALUE"""),7.0)</f>
        <v>7</v>
      </c>
      <c r="M448" s="199">
        <f>IFERROR(__xludf.DUMMYFUNCTION("""COMPUTED_VALUE"""),44.7)</f>
        <v>44.7</v>
      </c>
      <c r="N448" s="37"/>
      <c r="O448" s="37">
        <f>IFERROR(__xludf.DUMMYFUNCTION("""COMPUTED_VALUE"""),0.0)</f>
        <v>0</v>
      </c>
      <c r="P448" s="199">
        <f>IFERROR(__xludf.DUMMYFUNCTION("""COMPUTED_VALUE"""),0.003)</f>
        <v>0.003</v>
      </c>
      <c r="Q448" s="199">
        <f>IFERROR(__xludf.DUMMYFUNCTION("""COMPUTED_VALUE"""),0.0)</f>
        <v>0</v>
      </c>
      <c r="R448" s="199">
        <f>IFERROR(__xludf.DUMMYFUNCTION("""COMPUTED_VALUE"""),0.0)</f>
        <v>0</v>
      </c>
      <c r="S448" s="199">
        <f>IFERROR(__xludf.DUMMYFUNCTION("""COMPUTED_VALUE"""),1.0)</f>
        <v>1</v>
      </c>
      <c r="T448" s="199">
        <f>IFERROR(__xludf.DUMMYFUNCTION("""COMPUTED_VALUE"""),8.0)</f>
        <v>8</v>
      </c>
      <c r="U448" s="199">
        <f>IFERROR(__xludf.DUMMYFUNCTION("""COMPUTED_VALUE"""),19.0)</f>
        <v>19</v>
      </c>
      <c r="V448" s="199">
        <f>IFERROR(__xludf.DUMMYFUNCTION("""COMPUTED_VALUE"""),0.0)</f>
        <v>0</v>
      </c>
      <c r="W448" s="199">
        <f>IFERROR(__xludf.DUMMYFUNCTION("""COMPUTED_VALUE"""),0.0)</f>
        <v>0</v>
      </c>
      <c r="X448" s="199">
        <f>IFERROR(__xludf.DUMMYFUNCTION("""COMPUTED_VALUE"""),0.0)</f>
        <v>0</v>
      </c>
      <c r="Y448" s="199">
        <f>IFERROR(__xludf.DUMMYFUNCTION("""COMPUTED_VALUE"""),0.0)</f>
        <v>0</v>
      </c>
      <c r="Z448" s="199">
        <f>IFERROR(__xludf.DUMMYFUNCTION("""COMPUTED_VALUE"""),0.0)</f>
        <v>0</v>
      </c>
      <c r="AA448" s="199">
        <f>IFERROR(__xludf.DUMMYFUNCTION("""COMPUTED_VALUE"""),0.0)</f>
        <v>0</v>
      </c>
      <c r="AB448" s="199">
        <f>IFERROR(__xludf.DUMMYFUNCTION("""COMPUTED_VALUE"""),0.0)</f>
        <v>0</v>
      </c>
      <c r="AC448" s="199">
        <f>IFERROR(__xludf.DUMMYFUNCTION("""COMPUTED_VALUE"""),0.0)</f>
        <v>0</v>
      </c>
      <c r="AD448" s="199">
        <f>IFERROR(__xludf.DUMMYFUNCTION("""COMPUTED_VALUE"""),0.0)</f>
        <v>0</v>
      </c>
      <c r="AE448" s="199">
        <f>IFERROR(__xludf.DUMMYFUNCTION("""COMPUTED_VALUE"""),78.0)</f>
        <v>78</v>
      </c>
      <c r="AF448" s="199">
        <f>IFERROR(__xludf.DUMMYFUNCTION("""COMPUTED_VALUE"""),2.0)</f>
        <v>2</v>
      </c>
      <c r="AG448" s="199">
        <f>IFERROR(__xludf.DUMMYFUNCTION("""COMPUTED_VALUE"""),379.0)</f>
        <v>379</v>
      </c>
      <c r="AH448" s="199">
        <f>IFERROR(__xludf.DUMMYFUNCTION("""COMPUTED_VALUE"""),413.0)</f>
        <v>413</v>
      </c>
      <c r="AI448" s="200" t="str">
        <f>IFERROR(__xludf.DUMMYFUNCTION("""COMPUTED_VALUE"""),"Normal - No Action Required")</f>
        <v>Normal - No Action Required</v>
      </c>
      <c r="AJ448" s="200" t="str">
        <f>IFERROR(__xludf.DUMMYFUNCTION("""COMPUTED_VALUE"""),"Continue routine monitoring and sampling schedule")</f>
        <v>Continue routine monitoring and sampling schedule</v>
      </c>
      <c r="AK448" s="204"/>
      <c r="AL448" s="204"/>
      <c r="AM448" s="204"/>
    </row>
    <row r="449" hidden="1">
      <c r="A449" s="199" t="str">
        <f>IFERROR(__xludf.DUMMYFUNCTION("""COMPUTED_VALUE"""),"R2.432.HT120(T)")</f>
        <v>R2.432.HT120(T)</v>
      </c>
      <c r="B449" s="200" t="str">
        <f>IFERROR(__xludf.DUMMYFUNCTION("""COMPUTED_VALUE"""),"Kiln Hydraulic thrust Tank")</f>
        <v>Kiln Hydraulic thrust Tank</v>
      </c>
      <c r="C449" s="199">
        <f>IFERROR(__xludf.DUMMYFUNCTION("""COMPUTED_VALUE"""),2.5258159211E10)</f>
        <v>25258159211</v>
      </c>
      <c r="D449" s="201">
        <f>IFERROR(__xludf.DUMMYFUNCTION("""COMPUTED_VALUE"""),45910.0)</f>
        <v>45910</v>
      </c>
      <c r="E449" s="202" t="str">
        <f>IFERROR(__xludf.DUMMYFUNCTION("""COMPUTED_VALUE"""),"Normal")</f>
        <v>Normal</v>
      </c>
      <c r="F449" s="202" t="str">
        <f>IFERROR(__xludf.DUMMYFUNCTION("""COMPUTED_VALUE"""),"Normal")</f>
        <v>Normal</v>
      </c>
      <c r="G449" s="203" t="str">
        <f>IFERROR(__xludf.DUMMYFUNCTION("""COMPUTED_VALUE"""),"Normal")</f>
        <v>Normal</v>
      </c>
      <c r="H449" s="203" t="str">
        <f>IFERROR(__xludf.DUMMYFUNCTION("""COMPUTED_VALUE"""),"Normal")</f>
        <v>Normal</v>
      </c>
      <c r="I449" s="37">
        <f>IFERROR(__xludf.DUMMYFUNCTION("""COMPUTED_VALUE"""),9399.0)</f>
        <v>9399</v>
      </c>
      <c r="J449" s="37">
        <f>IFERROR(__xludf.DUMMYFUNCTION("""COMPUTED_VALUE"""),2170.0)</f>
        <v>2170</v>
      </c>
      <c r="K449" s="37">
        <f>IFERROR(__xludf.DUMMYFUNCTION("""COMPUTED_VALUE"""),913.0)</f>
        <v>913</v>
      </c>
      <c r="L449" s="199">
        <f>IFERROR(__xludf.DUMMYFUNCTION("""COMPUTED_VALUE"""),6.0)</f>
        <v>6</v>
      </c>
      <c r="M449" s="199">
        <f>IFERROR(__xludf.DUMMYFUNCTION("""COMPUTED_VALUE"""),46.9)</f>
        <v>46.9</v>
      </c>
      <c r="N449" s="37"/>
      <c r="O449" s="37">
        <f>IFERROR(__xludf.DUMMYFUNCTION("""COMPUTED_VALUE"""),0.0)</f>
        <v>0</v>
      </c>
      <c r="P449" s="199">
        <f>IFERROR(__xludf.DUMMYFUNCTION("""COMPUTED_VALUE"""),0.003)</f>
        <v>0.003</v>
      </c>
      <c r="Q449" s="199">
        <f>IFERROR(__xludf.DUMMYFUNCTION("""COMPUTED_VALUE"""),0.0)</f>
        <v>0</v>
      </c>
      <c r="R449" s="199">
        <f>IFERROR(__xludf.DUMMYFUNCTION("""COMPUTED_VALUE"""),6.0)</f>
        <v>6</v>
      </c>
      <c r="S449" s="199">
        <f>IFERROR(__xludf.DUMMYFUNCTION("""COMPUTED_VALUE"""),1.0)</f>
        <v>1</v>
      </c>
      <c r="T449" s="199">
        <f>IFERROR(__xludf.DUMMYFUNCTION("""COMPUTED_VALUE"""),3.0)</f>
        <v>3</v>
      </c>
      <c r="U449" s="199">
        <f>IFERROR(__xludf.DUMMYFUNCTION("""COMPUTED_VALUE"""),3.0)</f>
        <v>3</v>
      </c>
      <c r="V449" s="199">
        <f>IFERROR(__xludf.DUMMYFUNCTION("""COMPUTED_VALUE"""),0.0)</f>
        <v>0</v>
      </c>
      <c r="W449" s="199">
        <f>IFERROR(__xludf.DUMMYFUNCTION("""COMPUTED_VALUE"""),0.0)</f>
        <v>0</v>
      </c>
      <c r="X449" s="199">
        <f>IFERROR(__xludf.DUMMYFUNCTION("""COMPUTED_VALUE"""),0.0)</f>
        <v>0</v>
      </c>
      <c r="Y449" s="199">
        <f>IFERROR(__xludf.DUMMYFUNCTION("""COMPUTED_VALUE"""),0.0)</f>
        <v>0</v>
      </c>
      <c r="Z449" s="199">
        <f>IFERROR(__xludf.DUMMYFUNCTION("""COMPUTED_VALUE"""),0.0)</f>
        <v>0</v>
      </c>
      <c r="AA449" s="199">
        <f>IFERROR(__xludf.DUMMYFUNCTION("""COMPUTED_VALUE"""),0.0)</f>
        <v>0</v>
      </c>
      <c r="AB449" s="199">
        <f>IFERROR(__xludf.DUMMYFUNCTION("""COMPUTED_VALUE"""),0.0)</f>
        <v>0</v>
      </c>
      <c r="AC449" s="199">
        <f>IFERROR(__xludf.DUMMYFUNCTION("""COMPUTED_VALUE"""),0.0)</f>
        <v>0</v>
      </c>
      <c r="AD449" s="199">
        <f>IFERROR(__xludf.DUMMYFUNCTION("""COMPUTED_VALUE"""),0.0)</f>
        <v>0</v>
      </c>
      <c r="AE449" s="199">
        <f>IFERROR(__xludf.DUMMYFUNCTION("""COMPUTED_VALUE"""),82.0)</f>
        <v>82</v>
      </c>
      <c r="AF449" s="199">
        <f>IFERROR(__xludf.DUMMYFUNCTION("""COMPUTED_VALUE"""),2.0)</f>
        <v>2</v>
      </c>
      <c r="AG449" s="199">
        <f>IFERROR(__xludf.DUMMYFUNCTION("""COMPUTED_VALUE"""),461.0)</f>
        <v>461</v>
      </c>
      <c r="AH449" s="199">
        <f>IFERROR(__xludf.DUMMYFUNCTION("""COMPUTED_VALUE"""),594.0)</f>
        <v>594</v>
      </c>
      <c r="AI449" s="200" t="str">
        <f>IFERROR(__xludf.DUMMYFUNCTION("""COMPUTED_VALUE"""),"Normal - No Action Required")</f>
        <v>Normal - No Action Required</v>
      </c>
      <c r="AJ449" s="200" t="str">
        <f>IFERROR(__xludf.DUMMYFUNCTION("""COMPUTED_VALUE"""),"Continue routine monitoring and sampling schedule")</f>
        <v>Continue routine monitoring and sampling schedule</v>
      </c>
      <c r="AK449" s="204"/>
      <c r="AL449" s="204"/>
      <c r="AM449" s="204"/>
    </row>
    <row r="450" hidden="1">
      <c r="A450" s="199" t="str">
        <f>IFERROR(__xludf.DUMMYFUNCTION("""COMPUTED_VALUE"""),"R2.472.CV200")</f>
        <v>R2.472.CV200</v>
      </c>
      <c r="B450" s="200" t="str">
        <f>IFERROR(__xludf.DUMMYFUNCTION("""COMPUTED_VALUE"""),"Drag chain #2 geared motor")</f>
        <v>Drag chain #2 geared motor</v>
      </c>
      <c r="C450" s="199">
        <f>IFERROR(__xludf.DUMMYFUNCTION("""COMPUTED_VALUE"""),2.5258159212E10)</f>
        <v>25258159212</v>
      </c>
      <c r="D450" s="201">
        <f>IFERROR(__xludf.DUMMYFUNCTION("""COMPUTED_VALUE"""),45910.0)</f>
        <v>45910</v>
      </c>
      <c r="E450" s="202" t="str">
        <f>IFERROR(__xludf.DUMMYFUNCTION("""COMPUTED_VALUE"""),"Alert")</f>
        <v>Alert</v>
      </c>
      <c r="F450" s="202" t="str">
        <f>IFERROR(__xludf.DUMMYFUNCTION("""COMPUTED_VALUE"""),"Normal")</f>
        <v>Normal</v>
      </c>
      <c r="G450" s="203" t="str">
        <f>IFERROR(__xludf.DUMMYFUNCTION("""COMPUTED_VALUE"""),"Normal")</f>
        <v>Normal</v>
      </c>
      <c r="H450" s="203" t="str">
        <f>IFERROR(__xludf.DUMMYFUNCTION("""COMPUTED_VALUE"""),"Alert")</f>
        <v>Alert</v>
      </c>
      <c r="I450" s="37">
        <f>IFERROR(__xludf.DUMMYFUNCTION("""COMPUTED_VALUE"""),19562.0)</f>
        <v>19562</v>
      </c>
      <c r="J450" s="37">
        <f>IFERROR(__xludf.DUMMYFUNCTION("""COMPUTED_VALUE"""),10074.0)</f>
        <v>10074</v>
      </c>
      <c r="K450" s="37">
        <f>IFERROR(__xludf.DUMMYFUNCTION("""COMPUTED_VALUE"""),4168.0)</f>
        <v>4168</v>
      </c>
      <c r="L450" s="199">
        <f>IFERROR(__xludf.DUMMYFUNCTION("""COMPUTED_VALUE"""),4.0)</f>
        <v>4</v>
      </c>
      <c r="M450" s="199">
        <f>IFERROR(__xludf.DUMMYFUNCTION("""COMPUTED_VALUE"""),226.1)</f>
        <v>226.1</v>
      </c>
      <c r="N450" s="37"/>
      <c r="O450" s="37">
        <f>IFERROR(__xludf.DUMMYFUNCTION("""COMPUTED_VALUE"""),0.0)</f>
        <v>0</v>
      </c>
      <c r="P450" s="199">
        <f>IFERROR(__xludf.DUMMYFUNCTION("""COMPUTED_VALUE"""),0.003)</f>
        <v>0.003</v>
      </c>
      <c r="Q450" s="199">
        <f>IFERROR(__xludf.DUMMYFUNCTION("""COMPUTED_VALUE"""),0.0)</f>
        <v>0</v>
      </c>
      <c r="R450" s="199">
        <f>IFERROR(__xludf.DUMMYFUNCTION("""COMPUTED_VALUE"""),2.0)</f>
        <v>2</v>
      </c>
      <c r="S450" s="199">
        <f>IFERROR(__xludf.DUMMYFUNCTION("""COMPUTED_VALUE"""),1.0)</f>
        <v>1</v>
      </c>
      <c r="T450" s="199">
        <f>IFERROR(__xludf.DUMMYFUNCTION("""COMPUTED_VALUE"""),2.0)</f>
        <v>2</v>
      </c>
      <c r="U450" s="199">
        <f>IFERROR(__xludf.DUMMYFUNCTION("""COMPUTED_VALUE"""),1.0)</f>
        <v>1</v>
      </c>
      <c r="V450" s="199">
        <f>IFERROR(__xludf.DUMMYFUNCTION("""COMPUTED_VALUE"""),0.0)</f>
        <v>0</v>
      </c>
      <c r="W450" s="199">
        <f>IFERROR(__xludf.DUMMYFUNCTION("""COMPUTED_VALUE"""),0.0)</f>
        <v>0</v>
      </c>
      <c r="X450" s="199">
        <f>IFERROR(__xludf.DUMMYFUNCTION("""COMPUTED_VALUE"""),0.0)</f>
        <v>0</v>
      </c>
      <c r="Y450" s="199">
        <f>IFERROR(__xludf.DUMMYFUNCTION("""COMPUTED_VALUE"""),0.0)</f>
        <v>0</v>
      </c>
      <c r="Z450" s="199">
        <f>IFERROR(__xludf.DUMMYFUNCTION("""COMPUTED_VALUE"""),2.0)</f>
        <v>2</v>
      </c>
      <c r="AA450" s="199">
        <f>IFERROR(__xludf.DUMMYFUNCTION("""COMPUTED_VALUE"""),0.0)</f>
        <v>0</v>
      </c>
      <c r="AB450" s="199">
        <f>IFERROR(__xludf.DUMMYFUNCTION("""COMPUTED_VALUE"""),19.0)</f>
        <v>19</v>
      </c>
      <c r="AC450" s="199">
        <f>IFERROR(__xludf.DUMMYFUNCTION("""COMPUTED_VALUE"""),10.0)</f>
        <v>10</v>
      </c>
      <c r="AD450" s="199">
        <f>IFERROR(__xludf.DUMMYFUNCTION("""COMPUTED_VALUE"""),0.0)</f>
        <v>0</v>
      </c>
      <c r="AE450" s="199">
        <f>IFERROR(__xludf.DUMMYFUNCTION("""COMPUTED_VALUE"""),11.0)</f>
        <v>11</v>
      </c>
      <c r="AF450" s="199">
        <f>IFERROR(__xludf.DUMMYFUNCTION("""COMPUTED_VALUE"""),0.0)</f>
        <v>0</v>
      </c>
      <c r="AG450" s="199">
        <f>IFERROR(__xludf.DUMMYFUNCTION("""COMPUTED_VALUE"""),369.0)</f>
        <v>369</v>
      </c>
      <c r="AH450" s="199">
        <f>IFERROR(__xludf.DUMMYFUNCTION("""COMPUTED_VALUE"""),2.0)</f>
        <v>2</v>
      </c>
      <c r="AI450" s="200" t="str">
        <f>IFERROR(__xludf.DUMMYFUNCTION("""COMPUTED_VALUE"""),"General Alert")</f>
        <v>General Alert</v>
      </c>
      <c r="AJ450" s="200" t="str">
        <f>IFERROR(__xludf.DUMMYFUNCTION("""COMPUTED_VALUE"""),"Investigate root cause; increase sampling to monthly")</f>
        <v>Investigate root cause; increase sampling to monthly</v>
      </c>
      <c r="AK450" s="204"/>
      <c r="AL450" s="204"/>
      <c r="AM450" s="204"/>
    </row>
    <row r="451" hidden="1">
      <c r="A451" s="199" t="str">
        <f>IFERROR(__xludf.DUMMYFUNCTION("""COMPUTED_VALUE"""),"R2.432.MD140(N31)")</f>
        <v>R2.432.MD140(N31)</v>
      </c>
      <c r="B451" s="200" t="str">
        <f>IFERROR(__xludf.DUMMYFUNCTION("""COMPUTED_VALUE"""),"Kiln #2 Main drive gearbox (N31)")</f>
        <v>Kiln #2 Main drive gearbox (N31)</v>
      </c>
      <c r="C451" s="199">
        <f>IFERROR(__xludf.DUMMYFUNCTION("""COMPUTED_VALUE"""),2.5259169219E10)</f>
        <v>25259169219</v>
      </c>
      <c r="D451" s="201">
        <f>IFERROR(__xludf.DUMMYFUNCTION("""COMPUTED_VALUE"""),45910.0)</f>
        <v>45910</v>
      </c>
      <c r="E451" s="202" t="str">
        <f>IFERROR(__xludf.DUMMYFUNCTION("""COMPUTED_VALUE"""),"Alert")</f>
        <v>Alert</v>
      </c>
      <c r="F451" s="202" t="str">
        <f>IFERROR(__xludf.DUMMYFUNCTION("""COMPUTED_VALUE"""),"Alert")</f>
        <v>Alert</v>
      </c>
      <c r="G451" s="203" t="str">
        <f>IFERROR(__xludf.DUMMYFUNCTION("""COMPUTED_VALUE"""),"Normal")</f>
        <v>Normal</v>
      </c>
      <c r="H451" s="203" t="str">
        <f>IFERROR(__xludf.DUMMYFUNCTION("""COMPUTED_VALUE"""),"Normal")</f>
        <v>Normal</v>
      </c>
      <c r="I451" s="37"/>
      <c r="J451" s="37"/>
      <c r="K451" s="37"/>
      <c r="L451" s="199">
        <f>IFERROR(__xludf.DUMMYFUNCTION("""COMPUTED_VALUE"""),20.0)</f>
        <v>20</v>
      </c>
      <c r="M451" s="199">
        <f>IFERROR(__xludf.DUMMYFUNCTION("""COMPUTED_VALUE"""),465.0)</f>
        <v>465</v>
      </c>
      <c r="N451" s="37"/>
      <c r="O451" s="37">
        <f>IFERROR(__xludf.DUMMYFUNCTION("""COMPUTED_VALUE"""),2.0)</f>
        <v>2</v>
      </c>
      <c r="P451" s="199">
        <f>IFERROR(__xludf.DUMMYFUNCTION("""COMPUTED_VALUE"""),0.1)</f>
        <v>0.1</v>
      </c>
      <c r="Q451" s="199">
        <f>IFERROR(__xludf.DUMMYFUNCTION("""COMPUTED_VALUE"""),0.0)</f>
        <v>0</v>
      </c>
      <c r="R451" s="199">
        <f>IFERROR(__xludf.DUMMYFUNCTION("""COMPUTED_VALUE"""),5.0)</f>
        <v>5</v>
      </c>
      <c r="S451" s="199">
        <f>IFERROR(__xludf.DUMMYFUNCTION("""COMPUTED_VALUE"""),1.0)</f>
        <v>1</v>
      </c>
      <c r="T451" s="199">
        <f>IFERROR(__xludf.DUMMYFUNCTION("""COMPUTED_VALUE"""),3.0)</f>
        <v>3</v>
      </c>
      <c r="U451" s="199">
        <f>IFERROR(__xludf.DUMMYFUNCTION("""COMPUTED_VALUE"""),27.0)</f>
        <v>27</v>
      </c>
      <c r="V451" s="199">
        <f>IFERROR(__xludf.DUMMYFUNCTION("""COMPUTED_VALUE"""),0.0)</f>
        <v>0</v>
      </c>
      <c r="W451" s="199">
        <f>IFERROR(__xludf.DUMMYFUNCTION("""COMPUTED_VALUE"""),0.0)</f>
        <v>0</v>
      </c>
      <c r="X451" s="199">
        <f>IFERROR(__xludf.DUMMYFUNCTION("""COMPUTED_VALUE"""),0.0)</f>
        <v>0</v>
      </c>
      <c r="Y451" s="199">
        <f>IFERROR(__xludf.DUMMYFUNCTION("""COMPUTED_VALUE"""),0.0)</f>
        <v>0</v>
      </c>
      <c r="Z451" s="199">
        <f>IFERROR(__xludf.DUMMYFUNCTION("""COMPUTED_VALUE"""),2.0)</f>
        <v>2</v>
      </c>
      <c r="AA451" s="199">
        <f>IFERROR(__xludf.DUMMYFUNCTION("""COMPUTED_VALUE"""),0.0)</f>
        <v>0</v>
      </c>
      <c r="AB451" s="199">
        <f>IFERROR(__xludf.DUMMYFUNCTION("""COMPUTED_VALUE"""),18.0)</f>
        <v>18</v>
      </c>
      <c r="AC451" s="199">
        <f>IFERROR(__xludf.DUMMYFUNCTION("""COMPUTED_VALUE"""),24.0)</f>
        <v>24</v>
      </c>
      <c r="AD451" s="199">
        <f>IFERROR(__xludf.DUMMYFUNCTION("""COMPUTED_VALUE"""),0.0)</f>
        <v>0</v>
      </c>
      <c r="AE451" s="199">
        <f>IFERROR(__xludf.DUMMYFUNCTION("""COMPUTED_VALUE"""),26.0)</f>
        <v>26</v>
      </c>
      <c r="AF451" s="199">
        <f>IFERROR(__xludf.DUMMYFUNCTION("""COMPUTED_VALUE"""),0.0)</f>
        <v>0</v>
      </c>
      <c r="AG451" s="199">
        <f>IFERROR(__xludf.DUMMYFUNCTION("""COMPUTED_VALUE"""),317.0)</f>
        <v>317</v>
      </c>
      <c r="AH451" s="199">
        <f>IFERROR(__xludf.DUMMYFUNCTION("""COMPUTED_VALUE"""),1.0)</f>
        <v>1</v>
      </c>
      <c r="AI451" s="200" t="str">
        <f>IFERROR(__xludf.DUMMYFUNCTION("""COMPUTED_VALUE"""),"General Alert")</f>
        <v>General Alert</v>
      </c>
      <c r="AJ451" s="200" t="str">
        <f>IFERROR(__xludf.DUMMYFUNCTION("""COMPUTED_VALUE"""),"Investigate root cause; increase sampling to monthly")</f>
        <v>Investigate root cause; increase sampling to monthly</v>
      </c>
      <c r="AK451" s="204"/>
      <c r="AL451" s="204"/>
      <c r="AM451" s="204"/>
    </row>
    <row r="452" hidden="1">
      <c r="A452" s="199" t="str">
        <f>IFERROR(__xludf.DUMMYFUNCTION("""COMPUTED_VALUE"""),"321.FN400(Fr.B)")</f>
        <v>321.FN400(Fr.B)</v>
      </c>
      <c r="B452" s="200" t="str">
        <f>IFERROR(__xludf.DUMMYFUNCTION("""COMPUTED_VALUE"""),"Raw Mill free bearing")</f>
        <v>Raw Mill free bearing</v>
      </c>
      <c r="C452" s="199">
        <f>IFERROR(__xludf.DUMMYFUNCTION("""COMPUTED_VALUE"""),2.5294210209E10)</f>
        <v>25294210209</v>
      </c>
      <c r="D452" s="201">
        <f>IFERROR(__xludf.DUMMYFUNCTION("""COMPUTED_VALUE"""),45946.0)</f>
        <v>45946</v>
      </c>
      <c r="E452" s="202" t="str">
        <f>IFERROR(__xludf.DUMMYFUNCTION("""COMPUTED_VALUE"""),"Alert")</f>
        <v>Alert</v>
      </c>
      <c r="F452" s="202" t="str">
        <f>IFERROR(__xludf.DUMMYFUNCTION("""COMPUTED_VALUE"""),"Alert")</f>
        <v>Alert</v>
      </c>
      <c r="G452" s="203" t="str">
        <f>IFERROR(__xludf.DUMMYFUNCTION("""COMPUTED_VALUE"""),"Normal")</f>
        <v>Normal</v>
      </c>
      <c r="H452" s="203" t="str">
        <f>IFERROR(__xludf.DUMMYFUNCTION("""COMPUTED_VALUE"""),"Normal")</f>
        <v>Normal</v>
      </c>
      <c r="I452" s="37">
        <f>IFERROR(__xludf.DUMMYFUNCTION("""COMPUTED_VALUE"""),8809.0)</f>
        <v>8809</v>
      </c>
      <c r="J452" s="37">
        <f>IFERROR(__xludf.DUMMYFUNCTION("""COMPUTED_VALUE"""),4300.0)</f>
        <v>4300</v>
      </c>
      <c r="K452" s="37">
        <f>IFERROR(__xludf.DUMMYFUNCTION("""COMPUTED_VALUE"""),1151.0)</f>
        <v>1151</v>
      </c>
      <c r="L452" s="199">
        <f>IFERROR(__xludf.DUMMYFUNCTION("""COMPUTED_VALUE"""),17.0)</f>
        <v>17</v>
      </c>
      <c r="M452" s="199">
        <f>IFERROR(__xludf.DUMMYFUNCTION("""COMPUTED_VALUE"""),60.6)</f>
        <v>60.6</v>
      </c>
      <c r="N452" s="37"/>
      <c r="O452" s="37">
        <f>IFERROR(__xludf.DUMMYFUNCTION("""COMPUTED_VALUE"""),0.0)</f>
        <v>0</v>
      </c>
      <c r="P452" s="199">
        <f>IFERROR(__xludf.DUMMYFUNCTION("""COMPUTED_VALUE"""),0.02)</f>
        <v>0.02</v>
      </c>
      <c r="Q452" s="199">
        <f>IFERROR(__xludf.DUMMYFUNCTION("""COMPUTED_VALUE"""),0.0)</f>
        <v>0</v>
      </c>
      <c r="R452" s="199">
        <f>IFERROR(__xludf.DUMMYFUNCTION("""COMPUTED_VALUE"""),5.0)</f>
        <v>5</v>
      </c>
      <c r="S452" s="199">
        <f>IFERROR(__xludf.DUMMYFUNCTION("""COMPUTED_VALUE"""),0.0)</f>
        <v>0</v>
      </c>
      <c r="T452" s="199">
        <f>IFERROR(__xludf.DUMMYFUNCTION("""COMPUTED_VALUE"""),3.0)</f>
        <v>3</v>
      </c>
      <c r="U452" s="199">
        <f>IFERROR(__xludf.DUMMYFUNCTION("""COMPUTED_VALUE"""),5.0)</f>
        <v>5</v>
      </c>
      <c r="V452" s="199">
        <f>IFERROR(__xludf.DUMMYFUNCTION("""COMPUTED_VALUE"""),0.0)</f>
        <v>0</v>
      </c>
      <c r="W452" s="199">
        <f>IFERROR(__xludf.DUMMYFUNCTION("""COMPUTED_VALUE"""),0.0)</f>
        <v>0</v>
      </c>
      <c r="X452" s="199">
        <f>IFERROR(__xludf.DUMMYFUNCTION("""COMPUTED_VALUE"""),0.0)</f>
        <v>0</v>
      </c>
      <c r="Y452" s="199">
        <f>IFERROR(__xludf.DUMMYFUNCTION("""COMPUTED_VALUE"""),0.0)</f>
        <v>0</v>
      </c>
      <c r="Z452" s="199">
        <f>IFERROR(__xludf.DUMMYFUNCTION("""COMPUTED_VALUE"""),0.0)</f>
        <v>0</v>
      </c>
      <c r="AA452" s="199">
        <f>IFERROR(__xludf.DUMMYFUNCTION("""COMPUTED_VALUE"""),0.0)</f>
        <v>0</v>
      </c>
      <c r="AB452" s="199">
        <f>IFERROR(__xludf.DUMMYFUNCTION("""COMPUTED_VALUE"""),22.0)</f>
        <v>22</v>
      </c>
      <c r="AC452" s="199">
        <f>IFERROR(__xludf.DUMMYFUNCTION("""COMPUTED_VALUE"""),0.0)</f>
        <v>0</v>
      </c>
      <c r="AD452" s="199">
        <f>IFERROR(__xludf.DUMMYFUNCTION("""COMPUTED_VALUE"""),0.0)</f>
        <v>0</v>
      </c>
      <c r="AE452" s="199">
        <f>IFERROR(__xludf.DUMMYFUNCTION("""COMPUTED_VALUE"""),13.0)</f>
        <v>13</v>
      </c>
      <c r="AF452" s="199">
        <f>IFERROR(__xludf.DUMMYFUNCTION("""COMPUTED_VALUE"""),0.0)</f>
        <v>0</v>
      </c>
      <c r="AG452" s="199">
        <f>IFERROR(__xludf.DUMMYFUNCTION("""COMPUTED_VALUE"""),145.0)</f>
        <v>145</v>
      </c>
      <c r="AH452" s="199">
        <f>IFERROR(__xludf.DUMMYFUNCTION("""COMPUTED_VALUE"""),41.0)</f>
        <v>41</v>
      </c>
      <c r="AI452" s="200" t="str">
        <f>IFERROR(__xludf.DUMMYFUNCTION("""COMPUTED_VALUE"""),"High Si / Contamination Alert")</f>
        <v>High Si / Contamination Alert</v>
      </c>
      <c r="AJ452" s="200" t="str">
        <f>IFERROR(__xludf.DUMMYFUNCTION("""COMPUTED_VALUE"""),"Si 22 ppm (elevated – abrasive contamination), ISO Code 20/19/17. Inspect filter condition and seals. Replace filter and resample.")</f>
        <v>Si 22 ppm (elevated – abrasive contamination), ISO Code 20/19/17. Inspect filter condition and seals. Replace filter and resample.</v>
      </c>
      <c r="AK452" s="204"/>
      <c r="AL452" s="204"/>
      <c r="AM452" s="204"/>
    </row>
    <row r="453" hidden="1">
      <c r="A453" s="199" t="str">
        <f>IFERROR(__xludf.DUMMYFUNCTION("""COMPUTED_VALUE"""),"321.FN400(Fx.B)")</f>
        <v>321.FN400(Fx.B)</v>
      </c>
      <c r="B453" s="200" t="str">
        <f>IFERROR(__xludf.DUMMYFUNCTION("""COMPUTED_VALUE"""),"Raw Mill fan fixed bearing")</f>
        <v>Raw Mill fan fixed bearing</v>
      </c>
      <c r="C453" s="199">
        <f>IFERROR(__xludf.DUMMYFUNCTION("""COMPUTED_VALUE"""),2.5295220202E10)</f>
        <v>25295220202</v>
      </c>
      <c r="D453" s="201">
        <f>IFERROR(__xludf.DUMMYFUNCTION("""COMPUTED_VALUE"""),45946.0)</f>
        <v>45946</v>
      </c>
      <c r="E453" s="202" t="str">
        <f>IFERROR(__xludf.DUMMYFUNCTION("""COMPUTED_VALUE"""),"Caution")</f>
        <v>Caution</v>
      </c>
      <c r="F453" s="202" t="str">
        <f>IFERROR(__xludf.DUMMYFUNCTION("""COMPUTED_VALUE"""),"Caution")</f>
        <v>Caution</v>
      </c>
      <c r="G453" s="203" t="str">
        <f>IFERROR(__xludf.DUMMYFUNCTION("""COMPUTED_VALUE"""),"Normal")</f>
        <v>Normal</v>
      </c>
      <c r="H453" s="203" t="str">
        <f>IFERROR(__xludf.DUMMYFUNCTION("""COMPUTED_VALUE"""),"Normal")</f>
        <v>Normal</v>
      </c>
      <c r="I453" s="37"/>
      <c r="J453" s="37"/>
      <c r="K453" s="37"/>
      <c r="L453" s="199">
        <f>IFERROR(__xludf.DUMMYFUNCTION("""COMPUTED_VALUE"""),20.0)</f>
        <v>20</v>
      </c>
      <c r="M453" s="199">
        <f>IFERROR(__xludf.DUMMYFUNCTION("""COMPUTED_VALUE"""),61.2)</f>
        <v>61.2</v>
      </c>
      <c r="N453" s="37"/>
      <c r="O453" s="37">
        <f>IFERROR(__xludf.DUMMYFUNCTION("""COMPUTED_VALUE"""),0.0)</f>
        <v>0</v>
      </c>
      <c r="P453" s="199">
        <f>IFERROR(__xludf.DUMMYFUNCTION("""COMPUTED_VALUE"""),0.02)</f>
        <v>0.02</v>
      </c>
      <c r="Q453" s="199">
        <f>IFERROR(__xludf.DUMMYFUNCTION("""COMPUTED_VALUE"""),0.0)</f>
        <v>0</v>
      </c>
      <c r="R453" s="199">
        <f>IFERROR(__xludf.DUMMYFUNCTION("""COMPUTED_VALUE"""),0.0)</f>
        <v>0</v>
      </c>
      <c r="S453" s="199">
        <f>IFERROR(__xludf.DUMMYFUNCTION("""COMPUTED_VALUE"""),0.0)</f>
        <v>0</v>
      </c>
      <c r="T453" s="199">
        <f>IFERROR(__xludf.DUMMYFUNCTION("""COMPUTED_VALUE"""),0.0)</f>
        <v>0</v>
      </c>
      <c r="U453" s="199">
        <f>IFERROR(__xludf.DUMMYFUNCTION("""COMPUTED_VALUE"""),0.0)</f>
        <v>0</v>
      </c>
      <c r="V453" s="199">
        <f>IFERROR(__xludf.DUMMYFUNCTION("""COMPUTED_VALUE"""),0.0)</f>
        <v>0</v>
      </c>
      <c r="W453" s="199">
        <f>IFERROR(__xludf.DUMMYFUNCTION("""COMPUTED_VALUE"""),0.0)</f>
        <v>0</v>
      </c>
      <c r="X453" s="199">
        <f>IFERROR(__xludf.DUMMYFUNCTION("""COMPUTED_VALUE"""),0.0)</f>
        <v>0</v>
      </c>
      <c r="Y453" s="199">
        <f>IFERROR(__xludf.DUMMYFUNCTION("""COMPUTED_VALUE"""),0.0)</f>
        <v>0</v>
      </c>
      <c r="Z453" s="199">
        <f>IFERROR(__xludf.DUMMYFUNCTION("""COMPUTED_VALUE"""),0.0)</f>
        <v>0</v>
      </c>
      <c r="AA453" s="199">
        <f>IFERROR(__xludf.DUMMYFUNCTION("""COMPUTED_VALUE"""),0.0)</f>
        <v>0</v>
      </c>
      <c r="AB453" s="199">
        <f>IFERROR(__xludf.DUMMYFUNCTION("""COMPUTED_VALUE"""),0.0)</f>
        <v>0</v>
      </c>
      <c r="AC453" s="199">
        <f>IFERROR(__xludf.DUMMYFUNCTION("""COMPUTED_VALUE"""),2.0)</f>
        <v>2</v>
      </c>
      <c r="AD453" s="199">
        <f>IFERROR(__xludf.DUMMYFUNCTION("""COMPUTED_VALUE"""),0.0)</f>
        <v>0</v>
      </c>
      <c r="AE453" s="199">
        <f>IFERROR(__xludf.DUMMYFUNCTION("""COMPUTED_VALUE"""),0.0)</f>
        <v>0</v>
      </c>
      <c r="AF453" s="199">
        <f>IFERROR(__xludf.DUMMYFUNCTION("""COMPUTED_VALUE"""),0.0)</f>
        <v>0</v>
      </c>
      <c r="AG453" s="199">
        <f>IFERROR(__xludf.DUMMYFUNCTION("""COMPUTED_VALUE"""),153.0)</f>
        <v>153</v>
      </c>
      <c r="AH453" s="199">
        <f>IFERROR(__xludf.DUMMYFUNCTION("""COMPUTED_VALUE"""),39.0)</f>
        <v>39</v>
      </c>
      <c r="AI453" s="200" t="str">
        <f>IFERROR(__xludf.DUMMYFUNCTION("""COMPUTED_VALUE"""),"Caution – Viscosity Declining / Monitor")</f>
        <v>Caution – Viscosity Declining / Monitor</v>
      </c>
      <c r="AJ453" s="200" t="str">
        <f>IFERROR(__xludf.DUMMYFUNCTION("""COMPUTED_VALUE"""),"Slight viscosity reduction observed (61.2 cSt). Monitor at next sample. Verify correct lubricant used for top-ups. No immediate action required but continue close monitoring.")</f>
        <v>Slight viscosity reduction observed (61.2 cSt). Monitor at next sample. Verify correct lubricant used for top-ups. No immediate action required but continue close monitoring.</v>
      </c>
      <c r="AK453" s="204"/>
      <c r="AL453" s="204"/>
      <c r="AM453" s="204"/>
    </row>
    <row r="454" hidden="1">
      <c r="A454" s="199" t="str">
        <f>IFERROR(__xludf.DUMMYFUNCTION("""COMPUTED_VALUE"""),"R2.322.FN400(Fr.B)")</f>
        <v>R2.322.FN400(Fr.B)</v>
      </c>
      <c r="B454" s="200" t="str">
        <f>IFERROR(__xludf.DUMMYFUNCTION("""COMPUTED_VALUE"""),"Final fan free bearing")</f>
        <v>Final fan free bearing</v>
      </c>
      <c r="C454" s="199">
        <f>IFERROR(__xludf.DUMMYFUNCTION("""COMPUTED_VALUE"""),2.5294210205E10)</f>
        <v>25294210205</v>
      </c>
      <c r="D454" s="201">
        <f>IFERROR(__xludf.DUMMYFUNCTION("""COMPUTED_VALUE"""),45946.0)</f>
        <v>45946</v>
      </c>
      <c r="E454" s="202" t="str">
        <f>IFERROR(__xludf.DUMMYFUNCTION("""COMPUTED_VALUE"""),"Alert")</f>
        <v>Alert</v>
      </c>
      <c r="F454" s="202" t="str">
        <f>IFERROR(__xludf.DUMMYFUNCTION("""COMPUTED_VALUE"""),"Normal")</f>
        <v>Normal</v>
      </c>
      <c r="G454" s="203" t="str">
        <f>IFERROR(__xludf.DUMMYFUNCTION("""COMPUTED_VALUE"""),"Normal")</f>
        <v>Normal</v>
      </c>
      <c r="H454" s="203" t="str">
        <f>IFERROR(__xludf.DUMMYFUNCTION("""COMPUTED_VALUE"""),"Alert")</f>
        <v>Alert</v>
      </c>
      <c r="I454" s="199">
        <f>IFERROR(__xludf.DUMMYFUNCTION("""COMPUTED_VALUE"""),8189.0)</f>
        <v>8189</v>
      </c>
      <c r="J454" s="199">
        <f>IFERROR(__xludf.DUMMYFUNCTION("""COMPUTED_VALUE"""),2110.0)</f>
        <v>2110</v>
      </c>
      <c r="K454" s="199">
        <f>IFERROR(__xludf.DUMMYFUNCTION("""COMPUTED_VALUE"""),818.0)</f>
        <v>818</v>
      </c>
      <c r="L454" s="199">
        <f>IFERROR(__xludf.DUMMYFUNCTION("""COMPUTED_VALUE"""),5.0)</f>
        <v>5</v>
      </c>
      <c r="M454" s="199">
        <f>IFERROR(__xludf.DUMMYFUNCTION("""COMPUTED_VALUE"""),44.5)</f>
        <v>44.5</v>
      </c>
      <c r="N454" s="37"/>
      <c r="O454" s="37">
        <f>IFERROR(__xludf.DUMMYFUNCTION("""COMPUTED_VALUE"""),1.0)</f>
        <v>1</v>
      </c>
      <c r="P454" s="199">
        <f>IFERROR(__xludf.DUMMYFUNCTION("""COMPUTED_VALUE"""),0.003)</f>
        <v>0.003</v>
      </c>
      <c r="Q454" s="199">
        <f>IFERROR(__xludf.DUMMYFUNCTION("""COMPUTED_VALUE"""),0.0)</f>
        <v>0</v>
      </c>
      <c r="R454" s="199">
        <f>IFERROR(__xludf.DUMMYFUNCTION("""COMPUTED_VALUE"""),3.0)</f>
        <v>3</v>
      </c>
      <c r="S454" s="199">
        <f>IFERROR(__xludf.DUMMYFUNCTION("""COMPUTED_VALUE"""),0.0)</f>
        <v>0</v>
      </c>
      <c r="T454" s="199">
        <f>IFERROR(__xludf.DUMMYFUNCTION("""COMPUTED_VALUE"""),3.0)</f>
        <v>3</v>
      </c>
      <c r="U454" s="199">
        <f>IFERROR(__xludf.DUMMYFUNCTION("""COMPUTED_VALUE"""),1.0)</f>
        <v>1</v>
      </c>
      <c r="V454" s="199">
        <f>IFERROR(__xludf.DUMMYFUNCTION("""COMPUTED_VALUE"""),0.0)</f>
        <v>0</v>
      </c>
      <c r="W454" s="199">
        <f>IFERROR(__xludf.DUMMYFUNCTION("""COMPUTED_VALUE"""),0.0)</f>
        <v>0</v>
      </c>
      <c r="X454" s="199">
        <f>IFERROR(__xludf.DUMMYFUNCTION("""COMPUTED_VALUE"""),0.0)</f>
        <v>0</v>
      </c>
      <c r="Y454" s="199">
        <f>IFERROR(__xludf.DUMMYFUNCTION("""COMPUTED_VALUE"""),0.0)</f>
        <v>0</v>
      </c>
      <c r="Z454" s="199">
        <f>IFERROR(__xludf.DUMMYFUNCTION("""COMPUTED_VALUE"""),0.0)</f>
        <v>0</v>
      </c>
      <c r="AA454" s="199">
        <f>IFERROR(__xludf.DUMMYFUNCTION("""COMPUTED_VALUE"""),0.0)</f>
        <v>0</v>
      </c>
      <c r="AB454" s="199">
        <f>IFERROR(__xludf.DUMMYFUNCTION("""COMPUTED_VALUE"""),4.0)</f>
        <v>4</v>
      </c>
      <c r="AC454" s="199">
        <f>IFERROR(__xludf.DUMMYFUNCTION("""COMPUTED_VALUE"""),0.0)</f>
        <v>0</v>
      </c>
      <c r="AD454" s="199">
        <f>IFERROR(__xludf.DUMMYFUNCTION("""COMPUTED_VALUE"""),0.0)</f>
        <v>0</v>
      </c>
      <c r="AE454" s="199">
        <f>IFERROR(__xludf.DUMMYFUNCTION("""COMPUTED_VALUE"""),57.0)</f>
        <v>57</v>
      </c>
      <c r="AF454" s="199">
        <f>IFERROR(__xludf.DUMMYFUNCTION("""COMPUTED_VALUE"""),0.0)</f>
        <v>0</v>
      </c>
      <c r="AG454" s="199">
        <f>IFERROR(__xludf.DUMMYFUNCTION("""COMPUTED_VALUE"""),361.0)</f>
        <v>361</v>
      </c>
      <c r="AH454" s="199">
        <f>IFERROR(__xludf.DUMMYFUNCTION("""COMPUTED_VALUE"""),384.0)</f>
        <v>384</v>
      </c>
      <c r="AI454" s="200" t="str">
        <f>IFERROR(__xludf.DUMMYFUNCTION("""COMPUTED_VALUE"""),"Reduced Oil Viscosity / Lubricant Alert")</f>
        <v>Reduced Oil Viscosity / Lubricant Alert</v>
      </c>
      <c r="AJ454" s="200" t="str">
        <f>IFERROR(__xludf.DUMMYFUNCTION("""COMPUTED_VALUE"""),"ACTION REQUIRED – Viscosity at 44.5 cSt, significantly below expected ~100 cSt for Heavy Medium grade. ISO Code 20/18/17. Suspect wrong oil used for top-up. Verify oil fill records. Drain and refill with correct grade.")</f>
        <v>ACTION REQUIRED – Viscosity at 44.5 cSt, significantly below expected ~100 cSt for Heavy Medium grade. ISO Code 20/18/17. Suspect wrong oil used for top-up. Verify oil fill records. Drain and refill with correct grade.</v>
      </c>
      <c r="AK454" s="204"/>
      <c r="AL454" s="204"/>
      <c r="AM454" s="204"/>
    </row>
    <row r="455" hidden="1">
      <c r="A455" s="199" t="str">
        <f>IFERROR(__xludf.DUMMYFUNCTION("""COMPUTED_VALUE"""),"R2.322.FN400(Fx.B)")</f>
        <v>R2.322.FN400(Fx.B)</v>
      </c>
      <c r="B455" s="200" t="str">
        <f>IFERROR(__xludf.DUMMYFUNCTION("""COMPUTED_VALUE"""),"Final fan fixed bearing")</f>
        <v>Final fan fixed bearing</v>
      </c>
      <c r="C455" s="199">
        <f>IFERROR(__xludf.DUMMYFUNCTION("""COMPUTED_VALUE"""),2.5294210204E10)</f>
        <v>25294210204</v>
      </c>
      <c r="D455" s="201">
        <f>IFERROR(__xludf.DUMMYFUNCTION("""COMPUTED_VALUE"""),45946.0)</f>
        <v>45946</v>
      </c>
      <c r="E455" s="202" t="str">
        <f>IFERROR(__xludf.DUMMYFUNCTION("""COMPUTED_VALUE"""),"Alert")</f>
        <v>Alert</v>
      </c>
      <c r="F455" s="202" t="str">
        <f>IFERROR(__xludf.DUMMYFUNCTION("""COMPUTED_VALUE"""),"Normal")</f>
        <v>Normal</v>
      </c>
      <c r="G455" s="203" t="str">
        <f>IFERROR(__xludf.DUMMYFUNCTION("""COMPUTED_VALUE"""),"Normal")</f>
        <v>Normal</v>
      </c>
      <c r="H455" s="203" t="str">
        <f>IFERROR(__xludf.DUMMYFUNCTION("""COMPUTED_VALUE"""),"Alert")</f>
        <v>Alert</v>
      </c>
      <c r="I455" s="37">
        <f>IFERROR(__xludf.DUMMYFUNCTION("""COMPUTED_VALUE"""),7825.0)</f>
        <v>7825</v>
      </c>
      <c r="J455" s="37">
        <f>IFERROR(__xludf.DUMMYFUNCTION("""COMPUTED_VALUE"""),2140.0)</f>
        <v>2140</v>
      </c>
      <c r="K455" s="37">
        <f>IFERROR(__xludf.DUMMYFUNCTION("""COMPUTED_VALUE"""),818.0)</f>
        <v>818</v>
      </c>
      <c r="L455" s="199">
        <f>IFERROR(__xludf.DUMMYFUNCTION("""COMPUTED_VALUE"""),4.0)</f>
        <v>4</v>
      </c>
      <c r="M455" s="199">
        <f>IFERROR(__xludf.DUMMYFUNCTION("""COMPUTED_VALUE"""),44.5)</f>
        <v>44.5</v>
      </c>
      <c r="N455" s="37"/>
      <c r="O455" s="37">
        <f>IFERROR(__xludf.DUMMYFUNCTION("""COMPUTED_VALUE"""),1.0)</f>
        <v>1</v>
      </c>
      <c r="P455" s="199">
        <f>IFERROR(__xludf.DUMMYFUNCTION("""COMPUTED_VALUE"""),0.003)</f>
        <v>0.003</v>
      </c>
      <c r="Q455" s="199">
        <f>IFERROR(__xludf.DUMMYFUNCTION("""COMPUTED_VALUE"""),0.0)</f>
        <v>0</v>
      </c>
      <c r="R455" s="199">
        <f>IFERROR(__xludf.DUMMYFUNCTION("""COMPUTED_VALUE"""),3.0)</f>
        <v>3</v>
      </c>
      <c r="S455" s="199">
        <f>IFERROR(__xludf.DUMMYFUNCTION("""COMPUTED_VALUE"""),0.0)</f>
        <v>0</v>
      </c>
      <c r="T455" s="199">
        <f>IFERROR(__xludf.DUMMYFUNCTION("""COMPUTED_VALUE"""),3.0)</f>
        <v>3</v>
      </c>
      <c r="U455" s="199">
        <f>IFERROR(__xludf.DUMMYFUNCTION("""COMPUTED_VALUE"""),2.0)</f>
        <v>2</v>
      </c>
      <c r="V455" s="199">
        <f>IFERROR(__xludf.DUMMYFUNCTION("""COMPUTED_VALUE"""),0.0)</f>
        <v>0</v>
      </c>
      <c r="W455" s="199">
        <f>IFERROR(__xludf.DUMMYFUNCTION("""COMPUTED_VALUE"""),0.0)</f>
        <v>0</v>
      </c>
      <c r="X455" s="199">
        <f>IFERROR(__xludf.DUMMYFUNCTION("""COMPUTED_VALUE"""),0.0)</f>
        <v>0</v>
      </c>
      <c r="Y455" s="199">
        <f>IFERROR(__xludf.DUMMYFUNCTION("""COMPUTED_VALUE"""),0.0)</f>
        <v>0</v>
      </c>
      <c r="Z455" s="199">
        <f>IFERROR(__xludf.DUMMYFUNCTION("""COMPUTED_VALUE"""),0.0)</f>
        <v>0</v>
      </c>
      <c r="AA455" s="199">
        <f>IFERROR(__xludf.DUMMYFUNCTION("""COMPUTED_VALUE"""),0.0)</f>
        <v>0</v>
      </c>
      <c r="AB455" s="199">
        <f>IFERROR(__xludf.DUMMYFUNCTION("""COMPUTED_VALUE"""),1.0)</f>
        <v>1</v>
      </c>
      <c r="AC455" s="199">
        <f>IFERROR(__xludf.DUMMYFUNCTION("""COMPUTED_VALUE"""),0.0)</f>
        <v>0</v>
      </c>
      <c r="AD455" s="199">
        <f>IFERROR(__xludf.DUMMYFUNCTION("""COMPUTED_VALUE"""),0.0)</f>
        <v>0</v>
      </c>
      <c r="AE455" s="199">
        <f>IFERROR(__xludf.DUMMYFUNCTION("""COMPUTED_VALUE"""),61.0)</f>
        <v>61</v>
      </c>
      <c r="AF455" s="199">
        <f>IFERROR(__xludf.DUMMYFUNCTION("""COMPUTED_VALUE"""),0.0)</f>
        <v>0</v>
      </c>
      <c r="AG455" s="199">
        <f>IFERROR(__xludf.DUMMYFUNCTION("""COMPUTED_VALUE"""),393.0)</f>
        <v>393</v>
      </c>
      <c r="AH455" s="199">
        <f>IFERROR(__xludf.DUMMYFUNCTION("""COMPUTED_VALUE"""),416.0)</f>
        <v>416</v>
      </c>
      <c r="AI455" s="200" t="str">
        <f>IFERROR(__xludf.DUMMYFUNCTION("""COMPUTED_VALUE"""),"Reduced Oil Viscosity / Lubricant Alert")</f>
        <v>Reduced Oil Viscosity / Lubricant Alert</v>
      </c>
      <c r="AJ455" s="200" t="str">
        <f>IFERROR(__xludf.DUMMYFUNCTION("""COMPUTED_VALUE"""),"ACTION REQUIRED – Viscosity at 44.5 cSt vs expected ~100 cSt for Heavy Medium grade. ISO Code 20/18/17. Suspect wrong oil used. Verify oil fill records and drain/refill with correct grade.")</f>
        <v>ACTION REQUIRED – Viscosity at 44.5 cSt vs expected ~100 cSt for Heavy Medium grade. ISO Code 20/18/17. Suspect wrong oil used. Verify oil fill records and drain/refill with correct grade.</v>
      </c>
      <c r="AK455" s="204"/>
      <c r="AL455" s="204"/>
      <c r="AM455" s="204"/>
    </row>
    <row r="456" hidden="1">
      <c r="A456" s="199" t="str">
        <f>IFERROR(__xludf.DUMMYFUNCTION("""COMPUTED_VALUE"""),"352.BE340 R")</f>
        <v>352.BE340 R</v>
      </c>
      <c r="B456" s="200" t="str">
        <f>IFERROR(__xludf.DUMMYFUNCTION("""COMPUTED_VALUE"""),"Bucket Elevator GB - R")</f>
        <v>Bucket Elevator GB - R</v>
      </c>
      <c r="C456" s="199">
        <f>IFERROR(__xludf.DUMMYFUNCTION("""COMPUTED_VALUE"""),2.5295220233E10)</f>
        <v>25295220233</v>
      </c>
      <c r="D456" s="201">
        <f>IFERROR(__xludf.DUMMYFUNCTION("""COMPUTED_VALUE"""),45946.0)</f>
        <v>45946</v>
      </c>
      <c r="E456" s="202" t="str">
        <f>IFERROR(__xludf.DUMMYFUNCTION("""COMPUTED_VALUE"""),"Caution")</f>
        <v>Caution</v>
      </c>
      <c r="F456" s="202" t="str">
        <f>IFERROR(__xludf.DUMMYFUNCTION("""COMPUTED_VALUE"""),"Caution")</f>
        <v>Caution</v>
      </c>
      <c r="G456" s="203" t="str">
        <f>IFERROR(__xludf.DUMMYFUNCTION("""COMPUTED_VALUE"""),"Normal")</f>
        <v>Normal</v>
      </c>
      <c r="H456" s="203" t="str">
        <f>IFERROR(__xludf.DUMMYFUNCTION("""COMPUTED_VALUE"""),"Caution")</f>
        <v>Caution</v>
      </c>
      <c r="I456" s="37"/>
      <c r="J456" s="37"/>
      <c r="K456" s="37"/>
      <c r="L456" s="199">
        <f>IFERROR(__xludf.DUMMYFUNCTION("""COMPUTED_VALUE"""),16.0)</f>
        <v>16</v>
      </c>
      <c r="M456" s="199">
        <f>IFERROR(__xludf.DUMMYFUNCTION("""COMPUTED_VALUE"""),284.8)</f>
        <v>284.8</v>
      </c>
      <c r="N456" s="37"/>
      <c r="O456" s="37"/>
      <c r="P456" s="199">
        <f>IFERROR(__xludf.DUMMYFUNCTION("""COMPUTED_VALUE"""),0.01)</f>
        <v>0.01</v>
      </c>
      <c r="Q456" s="199">
        <f>IFERROR(__xludf.DUMMYFUNCTION("""COMPUTED_VALUE"""),0.0)</f>
        <v>0</v>
      </c>
      <c r="R456" s="199">
        <f>IFERROR(__xludf.DUMMYFUNCTION("""COMPUTED_VALUE"""),0.0)</f>
        <v>0</v>
      </c>
      <c r="S456" s="199">
        <f>IFERROR(__xludf.DUMMYFUNCTION("""COMPUTED_VALUE"""),0.0)</f>
        <v>0</v>
      </c>
      <c r="T456" s="199">
        <f>IFERROR(__xludf.DUMMYFUNCTION("""COMPUTED_VALUE"""),0.0)</f>
        <v>0</v>
      </c>
      <c r="U456" s="199">
        <f>IFERROR(__xludf.DUMMYFUNCTION("""COMPUTED_VALUE"""),12.0)</f>
        <v>12</v>
      </c>
      <c r="V456" s="199">
        <f>IFERROR(__xludf.DUMMYFUNCTION("""COMPUTED_VALUE"""),0.0)</f>
        <v>0</v>
      </c>
      <c r="W456" s="199">
        <f>IFERROR(__xludf.DUMMYFUNCTION("""COMPUTED_VALUE"""),0.0)</f>
        <v>0</v>
      </c>
      <c r="X456" s="199">
        <f>IFERROR(__xludf.DUMMYFUNCTION("""COMPUTED_VALUE"""),0.0)</f>
        <v>0</v>
      </c>
      <c r="Y456" s="199">
        <f>IFERROR(__xludf.DUMMYFUNCTION("""COMPUTED_VALUE"""),0.0)</f>
        <v>0</v>
      </c>
      <c r="Z456" s="199">
        <f>IFERROR(__xludf.DUMMYFUNCTION("""COMPUTED_VALUE"""),0.0)</f>
        <v>0</v>
      </c>
      <c r="AA456" s="199">
        <f>IFERROR(__xludf.DUMMYFUNCTION("""COMPUTED_VALUE"""),0.0)</f>
        <v>0</v>
      </c>
      <c r="AB456" s="199">
        <f>IFERROR(__xludf.DUMMYFUNCTION("""COMPUTED_VALUE"""),0.0)</f>
        <v>0</v>
      </c>
      <c r="AC456" s="199">
        <f>IFERROR(__xludf.DUMMYFUNCTION("""COMPUTED_VALUE"""),12.0)</f>
        <v>12</v>
      </c>
      <c r="AD456" s="199">
        <f>IFERROR(__xludf.DUMMYFUNCTION("""COMPUTED_VALUE"""),0.0)</f>
        <v>0</v>
      </c>
      <c r="AE456" s="199">
        <f>IFERROR(__xludf.DUMMYFUNCTION("""COMPUTED_VALUE"""),8.0)</f>
        <v>8</v>
      </c>
      <c r="AF456" s="199">
        <f>IFERROR(__xludf.DUMMYFUNCTION("""COMPUTED_VALUE"""),0.0)</f>
        <v>0</v>
      </c>
      <c r="AG456" s="199">
        <f>IFERROR(__xludf.DUMMYFUNCTION("""COMPUTED_VALUE"""),602.0)</f>
        <v>602</v>
      </c>
      <c r="AH456" s="199">
        <f>IFERROR(__xludf.DUMMYFUNCTION("""COMPUTED_VALUE"""),49.0)</f>
        <v>49</v>
      </c>
      <c r="AI456" s="200" t="str">
        <f>IFERROR(__xludf.DUMMYFUNCTION("""COMPUTED_VALUE"""),"Viscosity Declining / TAN Elevated – Caution")</f>
        <v>Viscosity Declining / TAN Elevated – Caution</v>
      </c>
      <c r="AJ456" s="200" t="str">
        <f>IFERROR(__xludf.DUMMYFUNCTION("""COMPUTED_VALUE"""),"Viscosity trending down (284.8 cSt). TAN elevated (1.50 mg KOH/g). Monitor oil degradation. Verify no fuel/solvent contamination. Resample within 60 days.")</f>
        <v>Viscosity trending down (284.8 cSt). TAN elevated (1.50 mg KOH/g). Monitor oil degradation. Verify no fuel/solvent contamination. Resample within 60 days.</v>
      </c>
      <c r="AK456" s="204"/>
      <c r="AL456" s="204"/>
      <c r="AM456" s="204"/>
    </row>
    <row r="457" hidden="1">
      <c r="A457" s="199" t="str">
        <f>IFERROR(__xludf.DUMMYFUNCTION("""COMPUTED_VALUE"""),"462.LQ120(T)")</f>
        <v>462.LQ120(T)</v>
      </c>
      <c r="B457" s="200" t="str">
        <f>IFERROR(__xludf.DUMMYFUNCTION("""COMPUTED_VALUE"""),"Coal mill 2 Roller Lub. Unit (Tank)")</f>
        <v>Coal mill 2 Roller Lub. Unit (Tank)</v>
      </c>
      <c r="C457" s="199">
        <f>IFERROR(__xludf.DUMMYFUNCTION("""COMPUTED_VALUE"""),2.5294210225E10)</f>
        <v>25294210225</v>
      </c>
      <c r="D457" s="201">
        <f>IFERROR(__xludf.DUMMYFUNCTION("""COMPUTED_VALUE"""),45946.0)</f>
        <v>45946</v>
      </c>
      <c r="E457" s="202" t="str">
        <f>IFERROR(__xludf.DUMMYFUNCTION("""COMPUTED_VALUE"""),"Normal")</f>
        <v>Normal</v>
      </c>
      <c r="F457" s="202" t="str">
        <f>IFERROR(__xludf.DUMMYFUNCTION("""COMPUTED_VALUE"""),"Normal")</f>
        <v>Normal</v>
      </c>
      <c r="G457" s="203" t="str">
        <f>IFERROR(__xludf.DUMMYFUNCTION("""COMPUTED_VALUE"""),"Normal")</f>
        <v>Normal</v>
      </c>
      <c r="H457" s="203" t="str">
        <f>IFERROR(__xludf.DUMMYFUNCTION("""COMPUTED_VALUE"""),"Normal")</f>
        <v>Normal</v>
      </c>
      <c r="I457" s="37"/>
      <c r="J457" s="37"/>
      <c r="K457" s="37"/>
      <c r="L457" s="199">
        <f>IFERROR(__xludf.DUMMYFUNCTION("""COMPUTED_VALUE"""),5.0)</f>
        <v>5</v>
      </c>
      <c r="M457" s="199">
        <f>IFERROR(__xludf.DUMMYFUNCTION("""COMPUTED_VALUE"""),89.9)</f>
        <v>89.9</v>
      </c>
      <c r="N457" s="37"/>
      <c r="O457" s="37"/>
      <c r="P457" s="199">
        <f>IFERROR(__xludf.DUMMYFUNCTION("""COMPUTED_VALUE"""),0.003)</f>
        <v>0.003</v>
      </c>
      <c r="Q457" s="199">
        <f>IFERROR(__xludf.DUMMYFUNCTION("""COMPUTED_VALUE"""),0.0)</f>
        <v>0</v>
      </c>
      <c r="R457" s="199">
        <f>IFERROR(__xludf.DUMMYFUNCTION("""COMPUTED_VALUE"""),3.0)</f>
        <v>3</v>
      </c>
      <c r="S457" s="199">
        <f>IFERROR(__xludf.DUMMYFUNCTION("""COMPUTED_VALUE"""),0.0)</f>
        <v>0</v>
      </c>
      <c r="T457" s="199">
        <f>IFERROR(__xludf.DUMMYFUNCTION("""COMPUTED_VALUE"""),2.0)</f>
        <v>2</v>
      </c>
      <c r="U457" s="199">
        <f>IFERROR(__xludf.DUMMYFUNCTION("""COMPUTED_VALUE"""),2.0)</f>
        <v>2</v>
      </c>
      <c r="V457" s="199">
        <f>IFERROR(__xludf.DUMMYFUNCTION("""COMPUTED_VALUE"""),0.0)</f>
        <v>0</v>
      </c>
      <c r="W457" s="199">
        <f>IFERROR(__xludf.DUMMYFUNCTION("""COMPUTED_VALUE"""),0.0)</f>
        <v>0</v>
      </c>
      <c r="X457" s="199">
        <f>IFERROR(__xludf.DUMMYFUNCTION("""COMPUTED_VALUE"""),0.0)</f>
        <v>0</v>
      </c>
      <c r="Y457" s="199">
        <f>IFERROR(__xludf.DUMMYFUNCTION("""COMPUTED_VALUE"""),0.0)</f>
        <v>0</v>
      </c>
      <c r="Z457" s="199">
        <f>IFERROR(__xludf.DUMMYFUNCTION("""COMPUTED_VALUE"""),0.0)</f>
        <v>0</v>
      </c>
      <c r="AA457" s="199">
        <f>IFERROR(__xludf.DUMMYFUNCTION("""COMPUTED_VALUE"""),0.0)</f>
        <v>0</v>
      </c>
      <c r="AB457" s="199">
        <f>IFERROR(__xludf.DUMMYFUNCTION("""COMPUTED_VALUE"""),24.0)</f>
        <v>24</v>
      </c>
      <c r="AC457" s="199">
        <f>IFERROR(__xludf.DUMMYFUNCTION("""COMPUTED_VALUE"""),0.0)</f>
        <v>0</v>
      </c>
      <c r="AD457" s="199">
        <f>IFERROR(__xludf.DUMMYFUNCTION("""COMPUTED_VALUE"""),0.0)</f>
        <v>0</v>
      </c>
      <c r="AE457" s="199">
        <f>IFERROR(__xludf.DUMMYFUNCTION("""COMPUTED_VALUE"""),6.0)</f>
        <v>6</v>
      </c>
      <c r="AF457" s="199">
        <f>IFERROR(__xludf.DUMMYFUNCTION("""COMPUTED_VALUE"""),0.0)</f>
        <v>0</v>
      </c>
      <c r="AG457" s="199">
        <f>IFERROR(__xludf.DUMMYFUNCTION("""COMPUTED_VALUE"""),509.0)</f>
        <v>509</v>
      </c>
      <c r="AH457" s="199">
        <f>IFERROR(__xludf.DUMMYFUNCTION("""COMPUTED_VALUE"""),0.0)</f>
        <v>0</v>
      </c>
      <c r="AI457" s="200" t="str">
        <f>IFERROR(__xludf.DUMMYFUNCTION("""COMPUTED_VALUE"""),"Normal")</f>
        <v>Normal</v>
      </c>
      <c r="AJ457" s="200" t="str">
        <f>IFERROR(__xludf.DUMMYFUNCTION("""COMPUTED_VALUE"""),"All parameters within limits. Continue routine monitoring. Si (24 ppm) at boundary – monitor trend.")</f>
        <v>All parameters within limits. Continue routine monitoring. Si (24 ppm) at boundary – monitor trend.</v>
      </c>
      <c r="AK457" s="204"/>
      <c r="AL457" s="204"/>
      <c r="AM457" s="204"/>
    </row>
    <row r="458" hidden="1">
      <c r="A458" s="199" t="str">
        <f>IFERROR(__xludf.DUMMYFUNCTION("""COMPUTED_VALUE"""),"111.AF040 (L)")</f>
        <v>111.AF040 (L)</v>
      </c>
      <c r="B458" s="200" t="str">
        <f>IFERROR(__xludf.DUMMYFUNCTION("""COMPUTED_VALUE"""),"Clay apron feeder left geared motor")</f>
        <v>Clay apron feeder left geared motor</v>
      </c>
      <c r="C458" s="199">
        <f>IFERROR(__xludf.DUMMYFUNCTION("""COMPUTED_VALUE"""),2.5294210214E10)</f>
        <v>25294210214</v>
      </c>
      <c r="D458" s="201">
        <f>IFERROR(__xludf.DUMMYFUNCTION("""COMPUTED_VALUE"""),45946.0)</f>
        <v>45946</v>
      </c>
      <c r="E458" s="202" t="str">
        <f>IFERROR(__xludf.DUMMYFUNCTION("""COMPUTED_VALUE"""),"Caution")</f>
        <v>Caution</v>
      </c>
      <c r="F458" s="202" t="str">
        <f>IFERROR(__xludf.DUMMYFUNCTION("""COMPUTED_VALUE"""),"Normal")</f>
        <v>Normal</v>
      </c>
      <c r="G458" s="203" t="str">
        <f>IFERROR(__xludf.DUMMYFUNCTION("""COMPUTED_VALUE"""),"Normal")</f>
        <v>Normal</v>
      </c>
      <c r="H458" s="203" t="str">
        <f>IFERROR(__xludf.DUMMYFUNCTION("""COMPUTED_VALUE"""),"Caution")</f>
        <v>Caution</v>
      </c>
      <c r="I458" s="199">
        <f>IFERROR(__xludf.DUMMYFUNCTION("""COMPUTED_VALUE"""),23161.0)</f>
        <v>23161</v>
      </c>
      <c r="J458" s="199">
        <f>IFERROR(__xludf.DUMMYFUNCTION("""COMPUTED_VALUE"""),10076.0)</f>
        <v>10076</v>
      </c>
      <c r="K458" s="199">
        <f>IFERROR(__xludf.DUMMYFUNCTION("""COMPUTED_VALUE"""),5161.0)</f>
        <v>5161</v>
      </c>
      <c r="L458" s="199">
        <f>IFERROR(__xludf.DUMMYFUNCTION("""COMPUTED_VALUE"""),5.0)</f>
        <v>5</v>
      </c>
      <c r="M458" s="199">
        <f>IFERROR(__xludf.DUMMYFUNCTION("""COMPUTED_VALUE"""),249.7)</f>
        <v>249.7</v>
      </c>
      <c r="N458" s="37">
        <f>IFERROR(__xludf.DUMMYFUNCTION("""COMPUTED_VALUE"""),0.89)</f>
        <v>0.89</v>
      </c>
      <c r="O458" s="37"/>
      <c r="P458" s="199">
        <f>IFERROR(__xludf.DUMMYFUNCTION("""COMPUTED_VALUE"""),0.003)</f>
        <v>0.003</v>
      </c>
      <c r="Q458" s="199">
        <f>IFERROR(__xludf.DUMMYFUNCTION("""COMPUTED_VALUE"""),0.0)</f>
        <v>0</v>
      </c>
      <c r="R458" s="199">
        <f>IFERROR(__xludf.DUMMYFUNCTION("""COMPUTED_VALUE"""),3.0)</f>
        <v>3</v>
      </c>
      <c r="S458" s="199">
        <f>IFERROR(__xludf.DUMMYFUNCTION("""COMPUTED_VALUE"""),0.0)</f>
        <v>0</v>
      </c>
      <c r="T458" s="199">
        <f>IFERROR(__xludf.DUMMYFUNCTION("""COMPUTED_VALUE"""),2.0)</f>
        <v>2</v>
      </c>
      <c r="U458" s="199">
        <f>IFERROR(__xludf.DUMMYFUNCTION("""COMPUTED_VALUE"""),0.0)</f>
        <v>0</v>
      </c>
      <c r="V458" s="199">
        <f>IFERROR(__xludf.DUMMYFUNCTION("""COMPUTED_VALUE"""),0.0)</f>
        <v>0</v>
      </c>
      <c r="W458" s="199">
        <f>IFERROR(__xludf.DUMMYFUNCTION("""COMPUTED_VALUE"""),0.0)</f>
        <v>0</v>
      </c>
      <c r="X458" s="199">
        <f>IFERROR(__xludf.DUMMYFUNCTION("""COMPUTED_VALUE"""),0.0)</f>
        <v>0</v>
      </c>
      <c r="Y458" s="199">
        <f>IFERROR(__xludf.DUMMYFUNCTION("""COMPUTED_VALUE"""),0.0)</f>
        <v>0</v>
      </c>
      <c r="Z458" s="199">
        <f>IFERROR(__xludf.DUMMYFUNCTION("""COMPUTED_VALUE"""),0.0)</f>
        <v>0</v>
      </c>
      <c r="AA458" s="199">
        <f>IFERROR(__xludf.DUMMYFUNCTION("""COMPUTED_VALUE"""),0.0)</f>
        <v>0</v>
      </c>
      <c r="AB458" s="199">
        <f>IFERROR(__xludf.DUMMYFUNCTION("""COMPUTED_VALUE"""),3.0)</f>
        <v>3</v>
      </c>
      <c r="AC458" s="199">
        <f>IFERROR(__xludf.DUMMYFUNCTION("""COMPUTED_VALUE"""),0.0)</f>
        <v>0</v>
      </c>
      <c r="AD458" s="199">
        <f>IFERROR(__xludf.DUMMYFUNCTION("""COMPUTED_VALUE"""),0.0)</f>
        <v>0</v>
      </c>
      <c r="AE458" s="199">
        <f>IFERROR(__xludf.DUMMYFUNCTION("""COMPUTED_VALUE"""),8.0)</f>
        <v>8</v>
      </c>
      <c r="AF458" s="199">
        <f>IFERROR(__xludf.DUMMYFUNCTION("""COMPUTED_VALUE"""),0.0)</f>
        <v>0</v>
      </c>
      <c r="AG458" s="199">
        <f>IFERROR(__xludf.DUMMYFUNCTION("""COMPUTED_VALUE"""),436.0)</f>
        <v>436</v>
      </c>
      <c r="AH458" s="199">
        <f>IFERROR(__xludf.DUMMYFUNCTION("""COMPUTED_VALUE"""),20.0)</f>
        <v>20</v>
      </c>
      <c r="AI458" s="200" t="str">
        <f>IFERROR(__xludf.DUMMYFUNCTION("""COMPUTED_VALUE"""),"Caution – Elevated Viscosity / Monitor")</f>
        <v>Caution – Elevated Viscosity / Monitor</v>
      </c>
      <c r="AJ458" s="200" t="str">
        <f>IFERROR(__xludf.DUMMYFUNCTION("""COMPUTED_VALUE"""),"Viscosity elevated to 249.7 cSt. ISO 22/21/20. Wear metals now low – previous corrective action appears effective. Monitor viscosity trend. Verify correct oil is used for top-ups. Resample at next scheduled interval.")</f>
        <v>Viscosity elevated to 249.7 cSt. ISO 22/21/20. Wear metals now low – previous corrective action appears effective. Monitor viscosity trend. Verify correct oil is used for top-ups. Resample at next scheduled interval.</v>
      </c>
      <c r="AK458" s="204"/>
      <c r="AL458" s="204"/>
      <c r="AM458" s="204"/>
    </row>
    <row r="459" hidden="1">
      <c r="A459" s="199" t="str">
        <f>IFERROR(__xludf.DUMMYFUNCTION("""COMPUTED_VALUE"""),"321.HY110")</f>
        <v>321.HY110</v>
      </c>
      <c r="B459" s="200" t="str">
        <f>IFERROR(__xludf.DUMMYFUNCTION("""COMPUTED_VALUE"""),"Hydraulic tensioning system for mill")</f>
        <v>Hydraulic tensioning system for mill</v>
      </c>
      <c r="C459" s="199">
        <f>IFERROR(__xludf.DUMMYFUNCTION("""COMPUTED_VALUE"""),2.5294210217E10)</f>
        <v>25294210217</v>
      </c>
      <c r="D459" s="201">
        <f>IFERROR(__xludf.DUMMYFUNCTION("""COMPUTED_VALUE"""),45946.0)</f>
        <v>45946</v>
      </c>
      <c r="E459" s="202" t="str">
        <f>IFERROR(__xludf.DUMMYFUNCTION("""COMPUTED_VALUE"""),"Caution")</f>
        <v>Caution</v>
      </c>
      <c r="F459" s="202" t="str">
        <f>IFERROR(__xludf.DUMMYFUNCTION("""COMPUTED_VALUE"""),"Caution")</f>
        <v>Caution</v>
      </c>
      <c r="G459" s="203" t="str">
        <f>IFERROR(__xludf.DUMMYFUNCTION("""COMPUTED_VALUE"""),"Normal")</f>
        <v>Normal</v>
      </c>
      <c r="H459" s="203" t="str">
        <f>IFERROR(__xludf.DUMMYFUNCTION("""COMPUTED_VALUE"""),"Normal")</f>
        <v>Normal</v>
      </c>
      <c r="I459" s="37"/>
      <c r="J459" s="37"/>
      <c r="K459" s="37"/>
      <c r="L459" s="199">
        <f>IFERROR(__xludf.DUMMYFUNCTION("""COMPUTED_VALUE"""),15.0)</f>
        <v>15</v>
      </c>
      <c r="M459" s="199">
        <f>IFERROR(__xludf.DUMMYFUNCTION("""COMPUTED_VALUE"""),44.7)</f>
        <v>44.7</v>
      </c>
      <c r="N459" s="37"/>
      <c r="O459" s="37">
        <f>IFERROR(__xludf.DUMMYFUNCTION("""COMPUTED_VALUE"""),1.0)</f>
        <v>1</v>
      </c>
      <c r="P459" s="199">
        <f>IFERROR(__xludf.DUMMYFUNCTION("""COMPUTED_VALUE"""),0.04)</f>
        <v>0.04</v>
      </c>
      <c r="Q459" s="199">
        <f>IFERROR(__xludf.DUMMYFUNCTION("""COMPUTED_VALUE"""),0.0)</f>
        <v>0</v>
      </c>
      <c r="R459" s="199">
        <f>IFERROR(__xludf.DUMMYFUNCTION("""COMPUTED_VALUE"""),5.0)</f>
        <v>5</v>
      </c>
      <c r="S459" s="199">
        <f>IFERROR(__xludf.DUMMYFUNCTION("""COMPUTED_VALUE"""),2.0)</f>
        <v>2</v>
      </c>
      <c r="T459" s="199">
        <f>IFERROR(__xludf.DUMMYFUNCTION("""COMPUTED_VALUE"""),12.0)</f>
        <v>12</v>
      </c>
      <c r="U459" s="199">
        <f>IFERROR(__xludf.DUMMYFUNCTION("""COMPUTED_VALUE"""),26.0)</f>
        <v>26</v>
      </c>
      <c r="V459" s="199">
        <f>IFERROR(__xludf.DUMMYFUNCTION("""COMPUTED_VALUE"""),0.0)</f>
        <v>0</v>
      </c>
      <c r="W459" s="199">
        <f>IFERROR(__xludf.DUMMYFUNCTION("""COMPUTED_VALUE"""),0.0)</f>
        <v>0</v>
      </c>
      <c r="X459" s="199">
        <f>IFERROR(__xludf.DUMMYFUNCTION("""COMPUTED_VALUE"""),0.0)</f>
        <v>0</v>
      </c>
      <c r="Y459" s="199">
        <f>IFERROR(__xludf.DUMMYFUNCTION("""COMPUTED_VALUE"""),0.0)</f>
        <v>0</v>
      </c>
      <c r="Z459" s="199">
        <f>IFERROR(__xludf.DUMMYFUNCTION("""COMPUTED_VALUE"""),0.0)</f>
        <v>0</v>
      </c>
      <c r="AA459" s="199">
        <f>IFERROR(__xludf.DUMMYFUNCTION("""COMPUTED_VALUE"""),0.0)</f>
        <v>0</v>
      </c>
      <c r="AB459" s="199">
        <f>IFERROR(__xludf.DUMMYFUNCTION("""COMPUTED_VALUE"""),4.0)</f>
        <v>4</v>
      </c>
      <c r="AC459" s="199">
        <f>IFERROR(__xludf.DUMMYFUNCTION("""COMPUTED_VALUE"""),0.0)</f>
        <v>0</v>
      </c>
      <c r="AD459" s="199">
        <f>IFERROR(__xludf.DUMMYFUNCTION("""COMPUTED_VALUE"""),0.0)</f>
        <v>0</v>
      </c>
      <c r="AE459" s="199">
        <f>IFERROR(__xludf.DUMMYFUNCTION("""COMPUTED_VALUE"""),68.0)</f>
        <v>68</v>
      </c>
      <c r="AF459" s="199">
        <f>IFERROR(__xludf.DUMMYFUNCTION("""COMPUTED_VALUE"""),2.0)</f>
        <v>2</v>
      </c>
      <c r="AG459" s="199">
        <f>IFERROR(__xludf.DUMMYFUNCTION("""COMPUTED_VALUE"""),401.0)</f>
        <v>401</v>
      </c>
      <c r="AH459" s="199">
        <f>IFERROR(__xludf.DUMMYFUNCTION("""COMPUTED_VALUE"""),442.0)</f>
        <v>442</v>
      </c>
      <c r="AI459" s="200" t="str">
        <f>IFERROR(__xludf.DUMMYFUNCTION("""COMPUTED_VALUE"""),"Caution – Elevated Fe / Cu / Water")</f>
        <v>Caution – Elevated Fe / Cu / Water</v>
      </c>
      <c r="AJ459" s="200" t="str">
        <f>IFERROR(__xludf.DUMMYFUNCTION("""COMPUTED_VALUE"""),"Fe 26 ppm, Cu 12 ppm, water 0.040 Vol%, oxidation 1 Ab/cm. Monitor wear trend. Inspect seals and filtration. Resample within 45 days.")</f>
        <v>Fe 26 ppm, Cu 12 ppm, water 0.040 Vol%, oxidation 1 Ab/cm. Monitor wear trend. Inspect seals and filtration. Resample within 45 days.</v>
      </c>
      <c r="AK459" s="204"/>
      <c r="AL459" s="204"/>
      <c r="AM459" s="204"/>
    </row>
    <row r="460" hidden="1">
      <c r="A460" s="199" t="str">
        <f>IFERROR(__xludf.DUMMYFUNCTION("""COMPUTED_VALUE"""),"342.BE050 R")</f>
        <v>342.BE050 R</v>
      </c>
      <c r="B460" s="200" t="str">
        <f>IFERROR(__xludf.DUMMYFUNCTION("""COMPUTED_VALUE"""),"Bucket Elevator GB - R")</f>
        <v>Bucket Elevator GB - R</v>
      </c>
      <c r="C460" s="199">
        <f>IFERROR(__xludf.DUMMYFUNCTION("""COMPUTED_VALUE"""),2.5295220231E10)</f>
        <v>25295220231</v>
      </c>
      <c r="D460" s="201">
        <f>IFERROR(__xludf.DUMMYFUNCTION("""COMPUTED_VALUE"""),45946.0)</f>
        <v>45946</v>
      </c>
      <c r="E460" s="202" t="str">
        <f>IFERROR(__xludf.DUMMYFUNCTION("""COMPUTED_VALUE"""),"Caution")</f>
        <v>Caution</v>
      </c>
      <c r="F460" s="202" t="str">
        <f>IFERROR(__xludf.DUMMYFUNCTION("""COMPUTED_VALUE"""),"Caution")</f>
        <v>Caution</v>
      </c>
      <c r="G460" s="203" t="str">
        <f>IFERROR(__xludf.DUMMYFUNCTION("""COMPUTED_VALUE"""),"Normal")</f>
        <v>Normal</v>
      </c>
      <c r="H460" s="203" t="str">
        <f>IFERROR(__xludf.DUMMYFUNCTION("""COMPUTED_VALUE"""),"Caution")</f>
        <v>Caution</v>
      </c>
      <c r="I460" s="37"/>
      <c r="J460" s="37"/>
      <c r="K460" s="37"/>
      <c r="L460" s="199">
        <f>IFERROR(__xludf.DUMMYFUNCTION("""COMPUTED_VALUE"""),18.0)</f>
        <v>18</v>
      </c>
      <c r="M460" s="199">
        <f>IFERROR(__xludf.DUMMYFUNCTION("""COMPUTED_VALUE"""),289.5)</f>
        <v>289.5</v>
      </c>
      <c r="N460" s="37"/>
      <c r="O460" s="37"/>
      <c r="P460" s="199">
        <f>IFERROR(__xludf.DUMMYFUNCTION("""COMPUTED_VALUE"""),0.08)</f>
        <v>0.08</v>
      </c>
      <c r="Q460" s="199">
        <f>IFERROR(__xludf.DUMMYFUNCTION("""COMPUTED_VALUE"""),0.0)</f>
        <v>0</v>
      </c>
      <c r="R460" s="199">
        <f>IFERROR(__xludf.DUMMYFUNCTION("""COMPUTED_VALUE"""),0.0)</f>
        <v>0</v>
      </c>
      <c r="S460" s="199">
        <f>IFERROR(__xludf.DUMMYFUNCTION("""COMPUTED_VALUE"""),0.0)</f>
        <v>0</v>
      </c>
      <c r="T460" s="199">
        <f>IFERROR(__xludf.DUMMYFUNCTION("""COMPUTED_VALUE"""),0.0)</f>
        <v>0</v>
      </c>
      <c r="U460" s="199">
        <f>IFERROR(__xludf.DUMMYFUNCTION("""COMPUTED_VALUE"""),4.0)</f>
        <v>4</v>
      </c>
      <c r="V460" s="199">
        <f>IFERROR(__xludf.DUMMYFUNCTION("""COMPUTED_VALUE"""),0.0)</f>
        <v>0</v>
      </c>
      <c r="W460" s="199">
        <f>IFERROR(__xludf.DUMMYFUNCTION("""COMPUTED_VALUE"""),0.0)</f>
        <v>0</v>
      </c>
      <c r="X460" s="199">
        <f>IFERROR(__xludf.DUMMYFUNCTION("""COMPUTED_VALUE"""),0.0)</f>
        <v>0</v>
      </c>
      <c r="Y460" s="199">
        <f>IFERROR(__xludf.DUMMYFUNCTION("""COMPUTED_VALUE"""),0.0)</f>
        <v>0</v>
      </c>
      <c r="Z460" s="199">
        <f>IFERROR(__xludf.DUMMYFUNCTION("""COMPUTED_VALUE"""),0.0)</f>
        <v>0</v>
      </c>
      <c r="AA460" s="199">
        <f>IFERROR(__xludf.DUMMYFUNCTION("""COMPUTED_VALUE"""),0.0)</f>
        <v>0</v>
      </c>
      <c r="AB460" s="199">
        <f>IFERROR(__xludf.DUMMYFUNCTION("""COMPUTED_VALUE"""),0.0)</f>
        <v>0</v>
      </c>
      <c r="AC460" s="199">
        <f>IFERROR(__xludf.DUMMYFUNCTION("""COMPUTED_VALUE"""),14.0)</f>
        <v>14</v>
      </c>
      <c r="AD460" s="199">
        <f>IFERROR(__xludf.DUMMYFUNCTION("""COMPUTED_VALUE"""),0.0)</f>
        <v>0</v>
      </c>
      <c r="AE460" s="199">
        <f>IFERROR(__xludf.DUMMYFUNCTION("""COMPUTED_VALUE"""),2.0)</f>
        <v>2</v>
      </c>
      <c r="AF460" s="199">
        <f>IFERROR(__xludf.DUMMYFUNCTION("""COMPUTED_VALUE"""),2.0)</f>
        <v>2</v>
      </c>
      <c r="AG460" s="199">
        <f>IFERROR(__xludf.DUMMYFUNCTION("""COMPUTED_VALUE"""),525.0)</f>
        <v>525</v>
      </c>
      <c r="AH460" s="199">
        <f>IFERROR(__xludf.DUMMYFUNCTION("""COMPUTED_VALUE"""),46.0)</f>
        <v>46</v>
      </c>
      <c r="AI460" s="200" t="str">
        <f>IFERROR(__xludf.DUMMYFUNCTION("""COMPUTED_VALUE"""),"Caution – Viscosity Low / TAN Elevated")</f>
        <v>Caution – Viscosity Low / TAN Elevated</v>
      </c>
      <c r="AJ460" s="200" t="str">
        <f>IFERROR(__xludf.DUMMYFUNCTION("""COMPUTED_VALUE"""),"Viscosity 289.5 cSt (below spec). TAN 1.60 mg KOH/g. Water 0.080 Vol%. Monitor closely. Verify correct oil used for top-ups. Resample within 45 days.")</f>
        <v>Viscosity 289.5 cSt (below spec). TAN 1.60 mg KOH/g. Water 0.080 Vol%. Monitor closely. Verify correct oil used for top-ups. Resample within 45 days.</v>
      </c>
      <c r="AK460" s="204"/>
      <c r="AL460" s="204"/>
      <c r="AM460" s="204"/>
    </row>
    <row r="461" hidden="1">
      <c r="A461" s="199" t="str">
        <f>IFERROR(__xludf.DUMMYFUNCTION("""COMPUTED_VALUE"""),"351.BE350 L")</f>
        <v>351.BE350 L</v>
      </c>
      <c r="B461" s="200" t="str">
        <f>IFERROR(__xludf.DUMMYFUNCTION("""COMPUTED_VALUE"""),"Bucket Elevator GB - L")</f>
        <v>Bucket Elevator GB - L</v>
      </c>
      <c r="C461" s="199">
        <f>IFERROR(__xludf.DUMMYFUNCTION("""COMPUTED_VALUE"""),2.5295220219E10)</f>
        <v>25295220219</v>
      </c>
      <c r="D461" s="201">
        <f>IFERROR(__xludf.DUMMYFUNCTION("""COMPUTED_VALUE"""),45946.0)</f>
        <v>45946</v>
      </c>
      <c r="E461" s="202" t="str">
        <f>IFERROR(__xludf.DUMMYFUNCTION("""COMPUTED_VALUE"""),"Normal")</f>
        <v>Normal</v>
      </c>
      <c r="F461" s="202" t="str">
        <f>IFERROR(__xludf.DUMMYFUNCTION("""COMPUTED_VALUE"""),"Normal")</f>
        <v>Normal</v>
      </c>
      <c r="G461" s="203" t="str">
        <f>IFERROR(__xludf.DUMMYFUNCTION("""COMPUTED_VALUE"""),"Normal")</f>
        <v>Normal</v>
      </c>
      <c r="H461" s="203" t="str">
        <f>IFERROR(__xludf.DUMMYFUNCTION("""COMPUTED_VALUE"""),"Normal")</f>
        <v>Normal</v>
      </c>
      <c r="I461" s="37">
        <f>IFERROR(__xludf.DUMMYFUNCTION("""COMPUTED_VALUE"""),13292.0)</f>
        <v>13292</v>
      </c>
      <c r="J461" s="37">
        <f>IFERROR(__xludf.DUMMYFUNCTION("""COMPUTED_VALUE"""),4299.0)</f>
        <v>4299</v>
      </c>
      <c r="K461" s="37">
        <f>IFERROR(__xludf.DUMMYFUNCTION("""COMPUTED_VALUE"""),1616.0)</f>
        <v>1616</v>
      </c>
      <c r="L461" s="199">
        <f>IFERROR(__xludf.DUMMYFUNCTION("""COMPUTED_VALUE"""),9.0)</f>
        <v>9</v>
      </c>
      <c r="M461" s="199">
        <f>IFERROR(__xludf.DUMMYFUNCTION("""COMPUTED_VALUE"""),289.2)</f>
        <v>289.2</v>
      </c>
      <c r="N461" s="37"/>
      <c r="O461" s="37"/>
      <c r="P461" s="199">
        <f>IFERROR(__xludf.DUMMYFUNCTION("""COMPUTED_VALUE"""),0.01)</f>
        <v>0.01</v>
      </c>
      <c r="Q461" s="199">
        <f>IFERROR(__xludf.DUMMYFUNCTION("""COMPUTED_VALUE"""),0.0)</f>
        <v>0</v>
      </c>
      <c r="R461" s="199">
        <f>IFERROR(__xludf.DUMMYFUNCTION("""COMPUTED_VALUE"""),0.0)</f>
        <v>0</v>
      </c>
      <c r="S461" s="199">
        <f>IFERROR(__xludf.DUMMYFUNCTION("""COMPUTED_VALUE"""),0.0)</f>
        <v>0</v>
      </c>
      <c r="T461" s="199">
        <f>IFERROR(__xludf.DUMMYFUNCTION("""COMPUTED_VALUE"""),0.0)</f>
        <v>0</v>
      </c>
      <c r="U461" s="199">
        <f>IFERROR(__xludf.DUMMYFUNCTION("""COMPUTED_VALUE"""),43.0)</f>
        <v>43</v>
      </c>
      <c r="V461" s="199">
        <f>IFERROR(__xludf.DUMMYFUNCTION("""COMPUTED_VALUE"""),0.0)</f>
        <v>0</v>
      </c>
      <c r="W461" s="199">
        <f>IFERROR(__xludf.DUMMYFUNCTION("""COMPUTED_VALUE"""),0.0)</f>
        <v>0</v>
      </c>
      <c r="X461" s="199">
        <f>IFERROR(__xludf.DUMMYFUNCTION("""COMPUTED_VALUE"""),0.0)</f>
        <v>0</v>
      </c>
      <c r="Y461" s="199">
        <f>IFERROR(__xludf.DUMMYFUNCTION("""COMPUTED_VALUE"""),0.0)</f>
        <v>0</v>
      </c>
      <c r="Z461" s="199">
        <f>IFERROR(__xludf.DUMMYFUNCTION("""COMPUTED_VALUE"""),0.0)</f>
        <v>0</v>
      </c>
      <c r="AA461" s="199">
        <f>IFERROR(__xludf.DUMMYFUNCTION("""COMPUTED_VALUE"""),0.0)</f>
        <v>0</v>
      </c>
      <c r="AB461" s="199">
        <f>IFERROR(__xludf.DUMMYFUNCTION("""COMPUTED_VALUE"""),20.0)</f>
        <v>20</v>
      </c>
      <c r="AC461" s="199">
        <f>IFERROR(__xludf.DUMMYFUNCTION("""COMPUTED_VALUE"""),16.0)</f>
        <v>16</v>
      </c>
      <c r="AD461" s="199">
        <f>IFERROR(__xludf.DUMMYFUNCTION("""COMPUTED_VALUE"""),0.0)</f>
        <v>0</v>
      </c>
      <c r="AE461" s="199">
        <f>IFERROR(__xludf.DUMMYFUNCTION("""COMPUTED_VALUE"""),38.0)</f>
        <v>38</v>
      </c>
      <c r="AF461" s="199">
        <f>IFERROR(__xludf.DUMMYFUNCTION("""COMPUTED_VALUE"""),2.0)</f>
        <v>2</v>
      </c>
      <c r="AG461" s="199">
        <f>IFERROR(__xludf.DUMMYFUNCTION("""COMPUTED_VALUE"""),374.0)</f>
        <v>374</v>
      </c>
      <c r="AH461" s="199">
        <f>IFERROR(__xludf.DUMMYFUNCTION("""COMPUTED_VALUE"""),28.0)</f>
        <v>28</v>
      </c>
      <c r="AI461" s="200" t="str">
        <f>IFERROR(__xludf.DUMMYFUNCTION("""COMPUTED_VALUE"""),"Normal")</f>
        <v>Normal</v>
      </c>
      <c r="AJ461" s="200" t="str">
        <f>IFERROR(__xludf.DUMMYFUNCTION("""COMPUTED_VALUE"""),"ISO Code 21/19/18. All parameters within acceptable limits. Fe 43 ppm – monitor trend. Continue routine monitoring.")</f>
        <v>ISO Code 21/19/18. All parameters within acceptable limits. Fe 43 ppm – monitor trend. Continue routine monitoring.</v>
      </c>
      <c r="AK461" s="204"/>
      <c r="AL461" s="204"/>
      <c r="AM461" s="204"/>
    </row>
    <row r="462" hidden="1">
      <c r="A462" s="199" t="str">
        <f>IFERROR(__xludf.DUMMYFUNCTION("""COMPUTED_VALUE"""),"431.HT120(BE)")</f>
        <v>431.HT120(BE)</v>
      </c>
      <c r="B462" s="200" t="str">
        <f>IFERROR(__xludf.DUMMYFUNCTION("""COMPUTED_VALUE"""),"Hydraulic thrust bearing")</f>
        <v>Hydraulic thrust bearing</v>
      </c>
      <c r="C462" s="199">
        <f>IFERROR(__xludf.DUMMYFUNCTION("""COMPUTED_VALUE"""),2.5294210233E10)</f>
        <v>25294210233</v>
      </c>
      <c r="D462" s="201">
        <f>IFERROR(__xludf.DUMMYFUNCTION("""COMPUTED_VALUE"""),45946.0)</f>
        <v>45946</v>
      </c>
      <c r="E462" s="202" t="str">
        <f>IFERROR(__xludf.DUMMYFUNCTION("""COMPUTED_VALUE"""),"Normal")</f>
        <v>Normal</v>
      </c>
      <c r="F462" s="202" t="str">
        <f>IFERROR(__xludf.DUMMYFUNCTION("""COMPUTED_VALUE"""),"Normal")</f>
        <v>Normal</v>
      </c>
      <c r="G462" s="203" t="str">
        <f>IFERROR(__xludf.DUMMYFUNCTION("""COMPUTED_VALUE"""),"Normal")</f>
        <v>Normal</v>
      </c>
      <c r="H462" s="203" t="str">
        <f>IFERROR(__xludf.DUMMYFUNCTION("""COMPUTED_VALUE"""),"Normal")</f>
        <v>Normal</v>
      </c>
      <c r="I462" s="199"/>
      <c r="J462" s="199"/>
      <c r="K462" s="199"/>
      <c r="L462" s="199">
        <f>IFERROR(__xludf.DUMMYFUNCTION("""COMPUTED_VALUE"""),13.0)</f>
        <v>13</v>
      </c>
      <c r="M462" s="199">
        <f>IFERROR(__xludf.DUMMYFUNCTION("""COMPUTED_VALUE"""),71.1)</f>
        <v>71.1</v>
      </c>
      <c r="N462" s="37"/>
      <c r="O462" s="37"/>
      <c r="P462" s="199">
        <f>IFERROR(__xludf.DUMMYFUNCTION("""COMPUTED_VALUE"""),0.01)</f>
        <v>0.01</v>
      </c>
      <c r="Q462" s="199">
        <f>IFERROR(__xludf.DUMMYFUNCTION("""COMPUTED_VALUE"""),0.0)</f>
        <v>0</v>
      </c>
      <c r="R462" s="199">
        <f>IFERROR(__xludf.DUMMYFUNCTION("""COMPUTED_VALUE"""),4.0)</f>
        <v>4</v>
      </c>
      <c r="S462" s="199">
        <f>IFERROR(__xludf.DUMMYFUNCTION("""COMPUTED_VALUE"""),0.0)</f>
        <v>0</v>
      </c>
      <c r="T462" s="199">
        <f>IFERROR(__xludf.DUMMYFUNCTION("""COMPUTED_VALUE"""),2.0)</f>
        <v>2</v>
      </c>
      <c r="U462" s="199">
        <f>IFERROR(__xludf.DUMMYFUNCTION("""COMPUTED_VALUE"""),34.0)</f>
        <v>34</v>
      </c>
      <c r="V462" s="199">
        <f>IFERROR(__xludf.DUMMYFUNCTION("""COMPUTED_VALUE"""),0.0)</f>
        <v>0</v>
      </c>
      <c r="W462" s="199">
        <f>IFERROR(__xludf.DUMMYFUNCTION("""COMPUTED_VALUE"""),0.0)</f>
        <v>0</v>
      </c>
      <c r="X462" s="199">
        <f>IFERROR(__xludf.DUMMYFUNCTION("""COMPUTED_VALUE"""),0.0)</f>
        <v>0</v>
      </c>
      <c r="Y462" s="199">
        <f>IFERROR(__xludf.DUMMYFUNCTION("""COMPUTED_VALUE"""),0.0)</f>
        <v>0</v>
      </c>
      <c r="Z462" s="199">
        <f>IFERROR(__xludf.DUMMYFUNCTION("""COMPUTED_VALUE"""),0.0)</f>
        <v>0</v>
      </c>
      <c r="AA462" s="199">
        <f>IFERROR(__xludf.DUMMYFUNCTION("""COMPUTED_VALUE"""),0.0)</f>
        <v>0</v>
      </c>
      <c r="AB462" s="199">
        <f>IFERROR(__xludf.DUMMYFUNCTION("""COMPUTED_VALUE"""),12.0)</f>
        <v>12</v>
      </c>
      <c r="AC462" s="199">
        <f>IFERROR(__xludf.DUMMYFUNCTION("""COMPUTED_VALUE"""),0.0)</f>
        <v>0</v>
      </c>
      <c r="AD462" s="199">
        <f>IFERROR(__xludf.DUMMYFUNCTION("""COMPUTED_VALUE"""),0.0)</f>
        <v>0</v>
      </c>
      <c r="AE462" s="199">
        <f>IFERROR(__xludf.DUMMYFUNCTION("""COMPUTED_VALUE"""),14.0)</f>
        <v>14</v>
      </c>
      <c r="AF462" s="199">
        <f>IFERROR(__xludf.DUMMYFUNCTION("""COMPUTED_VALUE"""),2.0)</f>
        <v>2</v>
      </c>
      <c r="AG462" s="199">
        <f>IFERROR(__xludf.DUMMYFUNCTION("""COMPUTED_VALUE"""),378.0)</f>
        <v>378</v>
      </c>
      <c r="AH462" s="199">
        <f>IFERROR(__xludf.DUMMYFUNCTION("""COMPUTED_VALUE"""),38.0)</f>
        <v>38</v>
      </c>
      <c r="AI462" s="200" t="str">
        <f>IFERROR(__xludf.DUMMYFUNCTION("""COMPUTED_VALUE"""),"Normal")</f>
        <v>Normal</v>
      </c>
      <c r="AJ462" s="200" t="str">
        <f>IFERROR(__xludf.DUMMYFUNCTION("""COMPUTED_VALUE"""),"All parameters within acceptable limits. Fe reduced (34 ppm). Continue routine monitoring.")</f>
        <v>All parameters within acceptable limits. Fe reduced (34 ppm). Continue routine monitoring.</v>
      </c>
      <c r="AK462" s="204"/>
      <c r="AL462" s="204"/>
      <c r="AM462" s="204"/>
    </row>
    <row r="463" hidden="1">
      <c r="A463" s="199" t="str">
        <f>IFERROR(__xludf.DUMMYFUNCTION("""COMPUTED_VALUE"""),"441.FN590")</f>
        <v>441.FN590</v>
      </c>
      <c r="B463" s="200" t="str">
        <f>IFERROR(__xludf.DUMMYFUNCTION("""COMPUTED_VALUE"""),"Clinker Cooler filter Fan")</f>
        <v>Clinker Cooler filter Fan</v>
      </c>
      <c r="C463" s="199">
        <f>IFERROR(__xludf.DUMMYFUNCTION("""COMPUTED_VALUE"""),2.5294210244E10)</f>
        <v>25294210244</v>
      </c>
      <c r="D463" s="201">
        <f>IFERROR(__xludf.DUMMYFUNCTION("""COMPUTED_VALUE"""),45946.0)</f>
        <v>45946</v>
      </c>
      <c r="E463" s="202" t="str">
        <f>IFERROR(__xludf.DUMMYFUNCTION("""COMPUTED_VALUE"""),"Caution")</f>
        <v>Caution</v>
      </c>
      <c r="F463" s="202" t="str">
        <f>IFERROR(__xludf.DUMMYFUNCTION("""COMPUTED_VALUE"""),"Caution")</f>
        <v>Caution</v>
      </c>
      <c r="G463" s="203" t="str">
        <f>IFERROR(__xludf.DUMMYFUNCTION("""COMPUTED_VALUE"""),"Normal")</f>
        <v>Normal</v>
      </c>
      <c r="H463" s="203" t="str">
        <f>IFERROR(__xludf.DUMMYFUNCTION("""COMPUTED_VALUE"""),"Normal")</f>
        <v>Normal</v>
      </c>
      <c r="I463" s="37"/>
      <c r="J463" s="37"/>
      <c r="K463" s="37"/>
      <c r="L463" s="199">
        <f>IFERROR(__xludf.DUMMYFUNCTION("""COMPUTED_VALUE"""),10.0)</f>
        <v>10</v>
      </c>
      <c r="M463" s="199">
        <f>IFERROR(__xludf.DUMMYFUNCTION("""COMPUTED_VALUE"""),317.6)</f>
        <v>317.6</v>
      </c>
      <c r="N463" s="37"/>
      <c r="O463" s="37"/>
      <c r="P463" s="199">
        <f>IFERROR(__xludf.DUMMYFUNCTION("""COMPUTED_VALUE"""),0.003)</f>
        <v>0.003</v>
      </c>
      <c r="Q463" s="199">
        <f>IFERROR(__xludf.DUMMYFUNCTION("""COMPUTED_VALUE"""),0.0)</f>
        <v>0</v>
      </c>
      <c r="R463" s="199">
        <f>IFERROR(__xludf.DUMMYFUNCTION("""COMPUTED_VALUE"""),4.0)</f>
        <v>4</v>
      </c>
      <c r="S463" s="199">
        <f>IFERROR(__xludf.DUMMYFUNCTION("""COMPUTED_VALUE"""),0.0)</f>
        <v>0</v>
      </c>
      <c r="T463" s="199">
        <f>IFERROR(__xludf.DUMMYFUNCTION("""COMPUTED_VALUE"""),2.0)</f>
        <v>2</v>
      </c>
      <c r="U463" s="199">
        <f>IFERROR(__xludf.DUMMYFUNCTION("""COMPUTED_VALUE"""),1.0)</f>
        <v>1</v>
      </c>
      <c r="V463" s="199">
        <f>IFERROR(__xludf.DUMMYFUNCTION("""COMPUTED_VALUE"""),0.0)</f>
        <v>0</v>
      </c>
      <c r="W463" s="199">
        <f>IFERROR(__xludf.DUMMYFUNCTION("""COMPUTED_VALUE"""),0.0)</f>
        <v>0</v>
      </c>
      <c r="X463" s="199">
        <f>IFERROR(__xludf.DUMMYFUNCTION("""COMPUTED_VALUE"""),0.0)</f>
        <v>0</v>
      </c>
      <c r="Y463" s="199">
        <f>IFERROR(__xludf.DUMMYFUNCTION("""COMPUTED_VALUE"""),0.0)</f>
        <v>0</v>
      </c>
      <c r="Z463" s="199">
        <f>IFERROR(__xludf.DUMMYFUNCTION("""COMPUTED_VALUE"""),0.0)</f>
        <v>0</v>
      </c>
      <c r="AA463" s="199">
        <f>IFERROR(__xludf.DUMMYFUNCTION("""COMPUTED_VALUE"""),0.0)</f>
        <v>0</v>
      </c>
      <c r="AB463" s="199">
        <f>IFERROR(__xludf.DUMMYFUNCTION("""COMPUTED_VALUE"""),36.0)</f>
        <v>36</v>
      </c>
      <c r="AC463" s="199">
        <f>IFERROR(__xludf.DUMMYFUNCTION("""COMPUTED_VALUE"""),0.0)</f>
        <v>0</v>
      </c>
      <c r="AD463" s="199">
        <f>IFERROR(__xludf.DUMMYFUNCTION("""COMPUTED_VALUE"""),0.0)</f>
        <v>0</v>
      </c>
      <c r="AE463" s="199">
        <f>IFERROR(__xludf.DUMMYFUNCTION("""COMPUTED_VALUE"""),8.0)</f>
        <v>8</v>
      </c>
      <c r="AF463" s="199">
        <f>IFERROR(__xludf.DUMMYFUNCTION("""COMPUTED_VALUE"""),0.0)</f>
        <v>0</v>
      </c>
      <c r="AG463" s="199">
        <f>IFERROR(__xludf.DUMMYFUNCTION("""COMPUTED_VALUE"""),482.0)</f>
        <v>482</v>
      </c>
      <c r="AH463" s="199">
        <f>IFERROR(__xludf.DUMMYFUNCTION("""COMPUTED_VALUE"""),3.0)</f>
        <v>3</v>
      </c>
      <c r="AI463" s="200" t="str">
        <f>IFERROR(__xludf.DUMMYFUNCTION("""COMPUTED_VALUE"""),"Caution – Elevated Si")</f>
        <v>Caution – Elevated Si</v>
      </c>
      <c r="AJ463" s="200" t="str">
        <f>IFERROR(__xludf.DUMMYFUNCTION("""COMPUTED_VALUE"""),"Si 36 ppm (elevated – abrasive). TAN 1.20 mg KOH/g. Inspect breathers, seals, fill caps. Monitor closely.")</f>
        <v>Si 36 ppm (elevated – abrasive). TAN 1.20 mg KOH/g. Inspect breathers, seals, fill caps. Monitor closely.</v>
      </c>
      <c r="AK463" s="204"/>
      <c r="AL463" s="204"/>
      <c r="AM463" s="204"/>
    </row>
    <row r="464" hidden="1">
      <c r="A464" s="199" t="str">
        <f>IFERROR(__xludf.DUMMYFUNCTION("""COMPUTED_VALUE"""),"461.HY110")</f>
        <v>461.HY110</v>
      </c>
      <c r="B464" s="200" t="str">
        <f>IFERROR(__xludf.DUMMYFUNCTION("""COMPUTED_VALUE"""),"Coal Mill 1 Hyd. tensioning sys.")</f>
        <v>Coal Mill 1 Hyd. tensioning sys.</v>
      </c>
      <c r="C464" s="199">
        <f>IFERROR(__xludf.DUMMYFUNCTION("""COMPUTED_VALUE"""),2.5294210215E10)</f>
        <v>25294210215</v>
      </c>
      <c r="D464" s="201">
        <f>IFERROR(__xludf.DUMMYFUNCTION("""COMPUTED_VALUE"""),45946.0)</f>
        <v>45946</v>
      </c>
      <c r="E464" s="202" t="str">
        <f>IFERROR(__xludf.DUMMYFUNCTION("""COMPUTED_VALUE"""),"Caution")</f>
        <v>Caution</v>
      </c>
      <c r="F464" s="202" t="str">
        <f>IFERROR(__xludf.DUMMYFUNCTION("""COMPUTED_VALUE"""),"Caution")</f>
        <v>Caution</v>
      </c>
      <c r="G464" s="203" t="str">
        <f>IFERROR(__xludf.DUMMYFUNCTION("""COMPUTED_VALUE"""),"Normal")</f>
        <v>Normal</v>
      </c>
      <c r="H464" s="203" t="str">
        <f>IFERROR(__xludf.DUMMYFUNCTION("""COMPUTED_VALUE"""),"Normal")</f>
        <v>Normal</v>
      </c>
      <c r="I464" s="37">
        <f>IFERROR(__xludf.DUMMYFUNCTION("""COMPUTED_VALUE"""),9712.0)</f>
        <v>9712</v>
      </c>
      <c r="J464" s="37">
        <f>IFERROR(__xludf.DUMMYFUNCTION("""COMPUTED_VALUE"""),4602.0)</f>
        <v>4602</v>
      </c>
      <c r="K464" s="37">
        <f>IFERROR(__xludf.DUMMYFUNCTION("""COMPUTED_VALUE"""),898.0)</f>
        <v>898</v>
      </c>
      <c r="L464" s="199">
        <f>IFERROR(__xludf.DUMMYFUNCTION("""COMPUTED_VALUE"""),8.0)</f>
        <v>8</v>
      </c>
      <c r="M464" s="199">
        <f>IFERROR(__xludf.DUMMYFUNCTION("""COMPUTED_VALUE"""),46.8)</f>
        <v>46.8</v>
      </c>
      <c r="N464" s="37"/>
      <c r="O464" s="37">
        <f>IFERROR(__xludf.DUMMYFUNCTION("""COMPUTED_VALUE"""),1.0)</f>
        <v>1</v>
      </c>
      <c r="P464" s="199">
        <f>IFERROR(__xludf.DUMMYFUNCTION("""COMPUTED_VALUE"""),0.003)</f>
        <v>0.003</v>
      </c>
      <c r="Q464" s="199">
        <f>IFERROR(__xludf.DUMMYFUNCTION("""COMPUTED_VALUE"""),0.0)</f>
        <v>0</v>
      </c>
      <c r="R464" s="199">
        <f>IFERROR(__xludf.DUMMYFUNCTION("""COMPUTED_VALUE"""),4.0)</f>
        <v>4</v>
      </c>
      <c r="S464" s="199">
        <f>IFERROR(__xludf.DUMMYFUNCTION("""COMPUTED_VALUE"""),1.0)</f>
        <v>1</v>
      </c>
      <c r="T464" s="199">
        <f>IFERROR(__xludf.DUMMYFUNCTION("""COMPUTED_VALUE"""),7.0)</f>
        <v>7</v>
      </c>
      <c r="U464" s="199">
        <f>IFERROR(__xludf.DUMMYFUNCTION("""COMPUTED_VALUE"""),19.0)</f>
        <v>19</v>
      </c>
      <c r="V464" s="199">
        <f>IFERROR(__xludf.DUMMYFUNCTION("""COMPUTED_VALUE"""),0.0)</f>
        <v>0</v>
      </c>
      <c r="W464" s="199">
        <f>IFERROR(__xludf.DUMMYFUNCTION("""COMPUTED_VALUE"""),0.0)</f>
        <v>0</v>
      </c>
      <c r="X464" s="199">
        <f>IFERROR(__xludf.DUMMYFUNCTION("""COMPUTED_VALUE"""),0.0)</f>
        <v>0</v>
      </c>
      <c r="Y464" s="199">
        <f>IFERROR(__xludf.DUMMYFUNCTION("""COMPUTED_VALUE"""),0.0)</f>
        <v>0</v>
      </c>
      <c r="Z464" s="199">
        <f>IFERROR(__xludf.DUMMYFUNCTION("""COMPUTED_VALUE"""),0.0)</f>
        <v>0</v>
      </c>
      <c r="AA464" s="199">
        <f>IFERROR(__xludf.DUMMYFUNCTION("""COMPUTED_VALUE"""),0.0)</f>
        <v>0</v>
      </c>
      <c r="AB464" s="199">
        <f>IFERROR(__xludf.DUMMYFUNCTION("""COMPUTED_VALUE"""),4.0)</f>
        <v>4</v>
      </c>
      <c r="AC464" s="199">
        <f>IFERROR(__xludf.DUMMYFUNCTION("""COMPUTED_VALUE"""),0.0)</f>
        <v>0</v>
      </c>
      <c r="AD464" s="199">
        <f>IFERROR(__xludf.DUMMYFUNCTION("""COMPUTED_VALUE"""),0.0)</f>
        <v>0</v>
      </c>
      <c r="AE464" s="199">
        <f>IFERROR(__xludf.DUMMYFUNCTION("""COMPUTED_VALUE"""),71.0)</f>
        <v>71</v>
      </c>
      <c r="AF464" s="199">
        <f>IFERROR(__xludf.DUMMYFUNCTION("""COMPUTED_VALUE"""),1.0)</f>
        <v>1</v>
      </c>
      <c r="AG464" s="199">
        <f>IFERROR(__xludf.DUMMYFUNCTION("""COMPUTED_VALUE"""),410.0)</f>
        <v>410</v>
      </c>
      <c r="AH464" s="199">
        <f>IFERROR(__xludf.DUMMYFUNCTION("""COMPUTED_VALUE"""),406.0)</f>
        <v>406</v>
      </c>
      <c r="AI464" s="200" t="str">
        <f>IFERROR(__xludf.DUMMYFUNCTION("""COMPUTED_VALUE"""),"Caution – Elevated Fe / Cu / Oxidation / Particle Count Not Reported")</f>
        <v>Caution – Elevated Fe / Cu / Oxidation / Particle Count Not Reported</v>
      </c>
      <c r="AJ464" s="200" t="str">
        <f>IFERROR(__xludf.DUMMYFUNCTION("""COMPUTED_VALUE"""),"Fe 19 ppm, Cu 7 ppm, Al 4 ppm, Cr 1 ppm, oxidation 1 Ab/cm. Visible sediment – particle count not completed. Inspect seals and filtration. Resample within 45 days.")</f>
        <v>Fe 19 ppm, Cu 7 ppm, Al 4 ppm, Cr 1 ppm, oxidation 1 Ab/cm. Visible sediment – particle count not completed. Inspect seals and filtration. Resample within 45 days.</v>
      </c>
      <c r="AK464" s="204"/>
      <c r="AL464" s="204"/>
      <c r="AM464" s="204"/>
    </row>
    <row r="465" hidden="1">
      <c r="A465" s="199" t="str">
        <f>IFERROR(__xludf.DUMMYFUNCTION("""COMPUTED_VALUE"""),"R2.322.HY110")</f>
        <v>R2.322.HY110</v>
      </c>
      <c r="B465" s="200" t="str">
        <f>IFERROR(__xludf.DUMMYFUNCTION("""COMPUTED_VALUE"""),"Hydraulic tensioning sys. Mill 2")</f>
        <v>Hydraulic tensioning sys. Mill 2</v>
      </c>
      <c r="C465" s="199">
        <f>IFERROR(__xludf.DUMMYFUNCTION("""COMPUTED_VALUE"""),2.5295220208E10)</f>
        <v>25295220208</v>
      </c>
      <c r="D465" s="201">
        <f>IFERROR(__xludf.DUMMYFUNCTION("""COMPUTED_VALUE"""),45946.0)</f>
        <v>45946</v>
      </c>
      <c r="E465" s="202" t="str">
        <f>IFERROR(__xludf.DUMMYFUNCTION("""COMPUTED_VALUE"""),"Caution")</f>
        <v>Caution</v>
      </c>
      <c r="F465" s="202" t="str">
        <f>IFERROR(__xludf.DUMMYFUNCTION("""COMPUTED_VALUE"""),"Caution")</f>
        <v>Caution</v>
      </c>
      <c r="G465" s="203" t="str">
        <f>IFERROR(__xludf.DUMMYFUNCTION("""COMPUTED_VALUE"""),"Normal")</f>
        <v>Normal</v>
      </c>
      <c r="H465" s="203" t="str">
        <f>IFERROR(__xludf.DUMMYFUNCTION("""COMPUTED_VALUE"""),"Normal")</f>
        <v>Normal</v>
      </c>
      <c r="I465" s="37">
        <f>IFERROR(__xludf.DUMMYFUNCTION("""COMPUTED_VALUE"""),9912.0)</f>
        <v>9912</v>
      </c>
      <c r="J465" s="37">
        <f>IFERROR(__xludf.DUMMYFUNCTION("""COMPUTED_VALUE"""),4340.0)</f>
        <v>4340</v>
      </c>
      <c r="K465" s="37">
        <f>IFERROR(__xludf.DUMMYFUNCTION("""COMPUTED_VALUE"""),1090.0)</f>
        <v>1090</v>
      </c>
      <c r="L465" s="199">
        <f>IFERROR(__xludf.DUMMYFUNCTION("""COMPUTED_VALUE"""),10.0)</f>
        <v>10</v>
      </c>
      <c r="M465" s="199">
        <f>IFERROR(__xludf.DUMMYFUNCTION("""COMPUTED_VALUE"""),45.7)</f>
        <v>45.7</v>
      </c>
      <c r="N465" s="37"/>
      <c r="O465" s="37">
        <f>IFERROR(__xludf.DUMMYFUNCTION("""COMPUTED_VALUE"""),1.0)</f>
        <v>1</v>
      </c>
      <c r="P465" s="199">
        <f>IFERROR(__xludf.DUMMYFUNCTION("""COMPUTED_VALUE"""),0.01)</f>
        <v>0.01</v>
      </c>
      <c r="Q465" s="199">
        <f>IFERROR(__xludf.DUMMYFUNCTION("""COMPUTED_VALUE"""),0.0)</f>
        <v>0</v>
      </c>
      <c r="R465" s="199">
        <f>IFERROR(__xludf.DUMMYFUNCTION("""COMPUTED_VALUE"""),0.0)</f>
        <v>0</v>
      </c>
      <c r="S465" s="199">
        <f>IFERROR(__xludf.DUMMYFUNCTION("""COMPUTED_VALUE"""),0.0)</f>
        <v>0</v>
      </c>
      <c r="T465" s="199">
        <f>IFERROR(__xludf.DUMMYFUNCTION("""COMPUTED_VALUE"""),3.0)</f>
        <v>3</v>
      </c>
      <c r="U465" s="199">
        <f>IFERROR(__xludf.DUMMYFUNCTION("""COMPUTED_VALUE"""),20.0)</f>
        <v>20</v>
      </c>
      <c r="V465" s="199">
        <f>IFERROR(__xludf.DUMMYFUNCTION("""COMPUTED_VALUE"""),0.0)</f>
        <v>0</v>
      </c>
      <c r="W465" s="199">
        <f>IFERROR(__xludf.DUMMYFUNCTION("""COMPUTED_VALUE"""),0.0)</f>
        <v>0</v>
      </c>
      <c r="X465" s="199">
        <f>IFERROR(__xludf.DUMMYFUNCTION("""COMPUTED_VALUE"""),0.0)</f>
        <v>0</v>
      </c>
      <c r="Y465" s="199">
        <f>IFERROR(__xludf.DUMMYFUNCTION("""COMPUTED_VALUE"""),0.0)</f>
        <v>0</v>
      </c>
      <c r="Z465" s="199">
        <f>IFERROR(__xludf.DUMMYFUNCTION("""COMPUTED_VALUE"""),0.0)</f>
        <v>0</v>
      </c>
      <c r="AA465" s="199">
        <f>IFERROR(__xludf.DUMMYFUNCTION("""COMPUTED_VALUE"""),0.0)</f>
        <v>0</v>
      </c>
      <c r="AB465" s="199">
        <f>IFERROR(__xludf.DUMMYFUNCTION("""COMPUTED_VALUE"""),0.0)</f>
        <v>0</v>
      </c>
      <c r="AC465" s="199">
        <f>IFERROR(__xludf.DUMMYFUNCTION("""COMPUTED_VALUE"""),5.0)</f>
        <v>5</v>
      </c>
      <c r="AD465" s="199">
        <f>IFERROR(__xludf.DUMMYFUNCTION("""COMPUTED_VALUE"""),0.0)</f>
        <v>0</v>
      </c>
      <c r="AE465" s="199">
        <f>IFERROR(__xludf.DUMMYFUNCTION("""COMPUTED_VALUE"""),79.0)</f>
        <v>79</v>
      </c>
      <c r="AF465" s="199">
        <f>IFERROR(__xludf.DUMMYFUNCTION("""COMPUTED_VALUE"""),2.0)</f>
        <v>2</v>
      </c>
      <c r="AG465" s="199">
        <f>IFERROR(__xludf.DUMMYFUNCTION("""COMPUTED_VALUE"""),422.0)</f>
        <v>422</v>
      </c>
      <c r="AH465" s="199">
        <f>IFERROR(__xludf.DUMMYFUNCTION("""COMPUTED_VALUE"""),630.0)</f>
        <v>630</v>
      </c>
      <c r="AI465" s="200" t="str">
        <f>IFERROR(__xludf.DUMMYFUNCTION("""COMPUTED_VALUE"""),"General Caution")</f>
        <v>General Caution</v>
      </c>
      <c r="AJ465" s="200" t="str">
        <f>IFERROR(__xludf.DUMMYFUNCTION("""COMPUTED_VALUE"""),"Continue monitoring; resample at next scheduled interval")</f>
        <v>Continue monitoring; resample at next scheduled interval</v>
      </c>
      <c r="AK465" s="204"/>
      <c r="AL465" s="204"/>
      <c r="AM465" s="204"/>
    </row>
    <row r="466" hidden="1">
      <c r="A466" s="199" t="str">
        <f>IFERROR(__xludf.DUMMYFUNCTION("""COMPUTED_VALUE"""),"R2.322.LQ120(T)")</f>
        <v>R2.322.LQ120(T)</v>
      </c>
      <c r="B466" s="200" t="str">
        <f>IFERROR(__xludf.DUMMYFUNCTION("""COMPUTED_VALUE"""),"Roller Lubrication Unit (Tank)")</f>
        <v>Roller Lubrication Unit (Tank)</v>
      </c>
      <c r="C466" s="199">
        <f>IFERROR(__xludf.DUMMYFUNCTION("""COMPUTED_VALUE"""),2.5295220232E10)</f>
        <v>25295220232</v>
      </c>
      <c r="D466" s="201">
        <f>IFERROR(__xludf.DUMMYFUNCTION("""COMPUTED_VALUE"""),45946.0)</f>
        <v>45946</v>
      </c>
      <c r="E466" s="202" t="str">
        <f>IFERROR(__xludf.DUMMYFUNCTION("""COMPUTED_VALUE"""),"Caution")</f>
        <v>Caution</v>
      </c>
      <c r="F466" s="202" t="str">
        <f>IFERROR(__xludf.DUMMYFUNCTION("""COMPUTED_VALUE"""),"Caution")</f>
        <v>Caution</v>
      </c>
      <c r="G466" s="203" t="str">
        <f>IFERROR(__xludf.DUMMYFUNCTION("""COMPUTED_VALUE"""),"Normal")</f>
        <v>Normal</v>
      </c>
      <c r="H466" s="203" t="str">
        <f>IFERROR(__xludf.DUMMYFUNCTION("""COMPUTED_VALUE"""),"Caution")</f>
        <v>Caution</v>
      </c>
      <c r="I466" s="37"/>
      <c r="J466" s="37"/>
      <c r="K466" s="37"/>
      <c r="L466" s="199">
        <f>IFERROR(__xludf.DUMMYFUNCTION("""COMPUTED_VALUE"""),18.0)</f>
        <v>18</v>
      </c>
      <c r="M466" s="199">
        <f>IFERROR(__xludf.DUMMYFUNCTION("""COMPUTED_VALUE"""),84.9)</f>
        <v>84.9</v>
      </c>
      <c r="N466" s="37"/>
      <c r="O466" s="37"/>
      <c r="P466" s="199">
        <f>IFERROR(__xludf.DUMMYFUNCTION("""COMPUTED_VALUE"""),0.06)</f>
        <v>0.06</v>
      </c>
      <c r="Q466" s="199">
        <f>IFERROR(__xludf.DUMMYFUNCTION("""COMPUTED_VALUE"""),0.0)</f>
        <v>0</v>
      </c>
      <c r="R466" s="199">
        <f>IFERROR(__xludf.DUMMYFUNCTION("""COMPUTED_VALUE"""),0.0)</f>
        <v>0</v>
      </c>
      <c r="S466" s="199">
        <f>IFERROR(__xludf.DUMMYFUNCTION("""COMPUTED_VALUE"""),0.0)</f>
        <v>0</v>
      </c>
      <c r="T466" s="199">
        <f>IFERROR(__xludf.DUMMYFUNCTION("""COMPUTED_VALUE"""),0.0)</f>
        <v>0</v>
      </c>
      <c r="U466" s="199">
        <f>IFERROR(__xludf.DUMMYFUNCTION("""COMPUTED_VALUE"""),0.0)</f>
        <v>0</v>
      </c>
      <c r="V466" s="199">
        <f>IFERROR(__xludf.DUMMYFUNCTION("""COMPUTED_VALUE"""),0.0)</f>
        <v>0</v>
      </c>
      <c r="W466" s="199">
        <f>IFERROR(__xludf.DUMMYFUNCTION("""COMPUTED_VALUE"""),0.0)</f>
        <v>0</v>
      </c>
      <c r="X466" s="199">
        <f>IFERROR(__xludf.DUMMYFUNCTION("""COMPUTED_VALUE"""),0.0)</f>
        <v>0</v>
      </c>
      <c r="Y466" s="199">
        <f>IFERROR(__xludf.DUMMYFUNCTION("""COMPUTED_VALUE"""),0.0)</f>
        <v>0</v>
      </c>
      <c r="Z466" s="199">
        <f>IFERROR(__xludf.DUMMYFUNCTION("""COMPUTED_VALUE"""),2.0)</f>
        <v>2</v>
      </c>
      <c r="AA466" s="199">
        <f>IFERROR(__xludf.DUMMYFUNCTION("""COMPUTED_VALUE"""),0.0)</f>
        <v>0</v>
      </c>
      <c r="AB466" s="199">
        <f>IFERROR(__xludf.DUMMYFUNCTION("""COMPUTED_VALUE"""),1.0)</f>
        <v>1</v>
      </c>
      <c r="AC466" s="199">
        <f>IFERROR(__xludf.DUMMYFUNCTION("""COMPUTED_VALUE"""),0.0)</f>
        <v>0</v>
      </c>
      <c r="AD466" s="199">
        <f>IFERROR(__xludf.DUMMYFUNCTION("""COMPUTED_VALUE"""),1.0)</f>
        <v>1</v>
      </c>
      <c r="AE466" s="199">
        <f>IFERROR(__xludf.DUMMYFUNCTION("""COMPUTED_VALUE"""),0.0)</f>
        <v>0</v>
      </c>
      <c r="AF466" s="199">
        <f>IFERROR(__xludf.DUMMYFUNCTION("""COMPUTED_VALUE"""),0.0)</f>
        <v>0</v>
      </c>
      <c r="AG466" s="199">
        <f>IFERROR(__xludf.DUMMYFUNCTION("""COMPUTED_VALUE"""),443.0)</f>
        <v>443</v>
      </c>
      <c r="AH466" s="199">
        <f>IFERROR(__xludf.DUMMYFUNCTION("""COMPUTED_VALUE"""),0.0)</f>
        <v>0</v>
      </c>
      <c r="AI466" s="200" t="str">
        <f>IFERROR(__xludf.DUMMYFUNCTION("""COMPUTED_VALUE"""),"Lubricant Condition Caution | Moisture Caution")</f>
        <v>Lubricant Condition Caution | Moisture Caution</v>
      </c>
      <c r="AJ466" s="200" t="str">
        <f>IFERROR(__xludf.DUMMYFUNCTION("""COMPUTED_VALUE"""),"Moisture detected - check breathers and seals; Lubricant showing degradation - plan oil change within 3 months")</f>
        <v>Moisture detected - check breathers and seals; Lubricant showing degradation - plan oil change within 3 months</v>
      </c>
      <c r="AK466" s="204"/>
      <c r="AL466" s="204"/>
      <c r="AM466" s="204"/>
    </row>
    <row r="467" hidden="1">
      <c r="A467" s="199" t="str">
        <f>IFERROR(__xludf.DUMMYFUNCTION("""COMPUTED_VALUE"""),"R2.322.RF090")</f>
        <v>R2.322.RF090</v>
      </c>
      <c r="B467" s="200" t="str">
        <f>IFERROR(__xludf.DUMMYFUNCTION("""COMPUTED_VALUE"""),"Rotary feeder Gear Box")</f>
        <v>Rotary feeder Gear Box</v>
      </c>
      <c r="C467" s="199">
        <f>IFERROR(__xludf.DUMMYFUNCTION("""COMPUTED_VALUE"""),2.5294210228E10)</f>
        <v>25294210228</v>
      </c>
      <c r="D467" s="201">
        <f>IFERROR(__xludf.DUMMYFUNCTION("""COMPUTED_VALUE"""),45946.0)</f>
        <v>45946</v>
      </c>
      <c r="E467" s="202" t="str">
        <f>IFERROR(__xludf.DUMMYFUNCTION("""COMPUTED_VALUE"""),"Alert")</f>
        <v>Alert</v>
      </c>
      <c r="F467" s="202" t="str">
        <f>IFERROR(__xludf.DUMMYFUNCTION("""COMPUTED_VALUE"""),"Alert")</f>
        <v>Alert</v>
      </c>
      <c r="G467" s="203" t="str">
        <f>IFERROR(__xludf.DUMMYFUNCTION("""COMPUTED_VALUE"""),"Normal")</f>
        <v>Normal</v>
      </c>
      <c r="H467" s="203" t="str">
        <f>IFERROR(__xludf.DUMMYFUNCTION("""COMPUTED_VALUE"""),"Alert")</f>
        <v>Alert</v>
      </c>
      <c r="I467" s="37"/>
      <c r="J467" s="37"/>
      <c r="K467" s="37"/>
      <c r="L467" s="199">
        <f>IFERROR(__xludf.DUMMYFUNCTION("""COMPUTED_VALUE"""),5.0)</f>
        <v>5</v>
      </c>
      <c r="M467" s="199">
        <f>IFERROR(__xludf.DUMMYFUNCTION("""COMPUTED_VALUE"""),29.5)</f>
        <v>29.5</v>
      </c>
      <c r="N467" s="37"/>
      <c r="O467" s="37"/>
      <c r="P467" s="199">
        <f>IFERROR(__xludf.DUMMYFUNCTION("""COMPUTED_VALUE"""),0.01)</f>
        <v>0.01</v>
      </c>
      <c r="Q467" s="199">
        <f>IFERROR(__xludf.DUMMYFUNCTION("""COMPUTED_VALUE"""),0.0)</f>
        <v>0</v>
      </c>
      <c r="R467" s="199">
        <f>IFERROR(__xludf.DUMMYFUNCTION("""COMPUTED_VALUE"""),4.0)</f>
        <v>4</v>
      </c>
      <c r="S467" s="199">
        <f>IFERROR(__xludf.DUMMYFUNCTION("""COMPUTED_VALUE"""),0.0)</f>
        <v>0</v>
      </c>
      <c r="T467" s="199">
        <f>IFERROR(__xludf.DUMMYFUNCTION("""COMPUTED_VALUE"""),2.0)</f>
        <v>2</v>
      </c>
      <c r="U467" s="199">
        <f>IFERROR(__xludf.DUMMYFUNCTION("""COMPUTED_VALUE"""),1.0)</f>
        <v>1</v>
      </c>
      <c r="V467" s="199">
        <f>IFERROR(__xludf.DUMMYFUNCTION("""COMPUTED_VALUE"""),0.0)</f>
        <v>0</v>
      </c>
      <c r="W467" s="199">
        <f>IFERROR(__xludf.DUMMYFUNCTION("""COMPUTED_VALUE"""),0.0)</f>
        <v>0</v>
      </c>
      <c r="X467" s="199">
        <f>IFERROR(__xludf.DUMMYFUNCTION("""COMPUTED_VALUE"""),0.0)</f>
        <v>0</v>
      </c>
      <c r="Y467" s="199">
        <f>IFERROR(__xludf.DUMMYFUNCTION("""COMPUTED_VALUE"""),0.0)</f>
        <v>0</v>
      </c>
      <c r="Z467" s="199">
        <f>IFERROR(__xludf.DUMMYFUNCTION("""COMPUTED_VALUE"""),0.0)</f>
        <v>0</v>
      </c>
      <c r="AA467" s="199">
        <f>IFERROR(__xludf.DUMMYFUNCTION("""COMPUTED_VALUE"""),0.0)</f>
        <v>0</v>
      </c>
      <c r="AB467" s="199">
        <f>IFERROR(__xludf.DUMMYFUNCTION("""COMPUTED_VALUE"""),53.0)</f>
        <v>53</v>
      </c>
      <c r="AC467" s="199">
        <f>IFERROR(__xludf.DUMMYFUNCTION("""COMPUTED_VALUE"""),0.0)</f>
        <v>0</v>
      </c>
      <c r="AD467" s="199">
        <f>IFERROR(__xludf.DUMMYFUNCTION("""COMPUTED_VALUE"""),0.0)</f>
        <v>0</v>
      </c>
      <c r="AE467" s="199">
        <f>IFERROR(__xludf.DUMMYFUNCTION("""COMPUTED_VALUE"""),3.0)</f>
        <v>3</v>
      </c>
      <c r="AF467" s="199">
        <f>IFERROR(__xludf.DUMMYFUNCTION("""COMPUTED_VALUE"""),0.0)</f>
        <v>0</v>
      </c>
      <c r="AG467" s="199">
        <f>IFERROR(__xludf.DUMMYFUNCTION("""COMPUTED_VALUE"""),541.0)</f>
        <v>541</v>
      </c>
      <c r="AH467" s="199">
        <f>IFERROR(__xludf.DUMMYFUNCTION("""COMPUTED_VALUE"""),0.0)</f>
        <v>0</v>
      </c>
      <c r="AI467" s="200" t="str">
        <f>IFERROR(__xludf.DUMMYFUNCTION("""COMPUTED_VALUE"""),"Alert – Severely Reduced Viscosity / Elevated Si")</f>
        <v>Alert – Severely Reduced Viscosity / Elevated Si</v>
      </c>
      <c r="AJ467" s="200" t="str">
        <f>IFERROR(__xludf.DUMMYFUNCTION("""COMPUTED_VALUE"""),"ACTION REQUIRED – Viscosity still critically low at 29.5 cSt. Si 53 ppm (elevated). Lubricant condition unsatisfactory. Drain and recharge with correct MOBIL SHC 639 immediately. Inspect system for contamination source. Contact ExxonMobil representative.")</f>
        <v>ACTION REQUIRED – Viscosity still critically low at 29.5 cSt. Si 53 ppm (elevated). Lubricant condition unsatisfactory. Drain and recharge with correct MOBIL SHC 639 immediately. Inspect system for contamination source. Contact ExxonMobil representative.</v>
      </c>
      <c r="AK467" s="204"/>
      <c r="AL467" s="204"/>
      <c r="AM467" s="204"/>
    </row>
    <row r="468" hidden="1">
      <c r="A468" s="199" t="str">
        <f>IFERROR(__xludf.DUMMYFUNCTION("""COMPUTED_VALUE"""),"111.AF060 (L)")</f>
        <v>111.AF060 (L)</v>
      </c>
      <c r="B468" s="200" t="str">
        <f>IFERROR(__xludf.DUMMYFUNCTION("""COMPUTED_VALUE"""),"Limestone Apron Feeder Left Gear Box")</f>
        <v>Limestone Apron Feeder Left Gear Box</v>
      </c>
      <c r="C468" s="199">
        <f>IFERROR(__xludf.DUMMYFUNCTION("""COMPUTED_VALUE"""),2.5294210227E10)</f>
        <v>25294210227</v>
      </c>
      <c r="D468" s="201">
        <f>IFERROR(__xludf.DUMMYFUNCTION("""COMPUTED_VALUE"""),45946.0)</f>
        <v>45946</v>
      </c>
      <c r="E468" s="202" t="str">
        <f>IFERROR(__xludf.DUMMYFUNCTION("""COMPUTED_VALUE"""),"Caution")</f>
        <v>Caution</v>
      </c>
      <c r="F468" s="202" t="str">
        <f>IFERROR(__xludf.DUMMYFUNCTION("""COMPUTED_VALUE"""),"Caution")</f>
        <v>Caution</v>
      </c>
      <c r="G468" s="203" t="str">
        <f>IFERROR(__xludf.DUMMYFUNCTION("""COMPUTED_VALUE"""),"Normal")</f>
        <v>Normal</v>
      </c>
      <c r="H468" s="203" t="str">
        <f>IFERROR(__xludf.DUMMYFUNCTION("""COMPUTED_VALUE"""),"Normal")</f>
        <v>Normal</v>
      </c>
      <c r="I468" s="37">
        <f>IFERROR(__xludf.DUMMYFUNCTION("""COMPUTED_VALUE"""),23071.0)</f>
        <v>23071</v>
      </c>
      <c r="J468" s="37">
        <f>IFERROR(__xludf.DUMMYFUNCTION("""COMPUTED_VALUE"""),10058.0)</f>
        <v>10058</v>
      </c>
      <c r="K468" s="37">
        <f>IFERROR(__xludf.DUMMYFUNCTION("""COMPUTED_VALUE"""),5109.0)</f>
        <v>5109</v>
      </c>
      <c r="L468" s="199">
        <f>IFERROR(__xludf.DUMMYFUNCTION("""COMPUTED_VALUE"""),5.0)</f>
        <v>5</v>
      </c>
      <c r="M468" s="199">
        <f>IFERROR(__xludf.DUMMYFUNCTION("""COMPUTED_VALUE"""),221.0)</f>
        <v>221</v>
      </c>
      <c r="N468" s="37"/>
      <c r="O468" s="37"/>
      <c r="P468" s="199">
        <f>IFERROR(__xludf.DUMMYFUNCTION("""COMPUTED_VALUE"""),0.003)</f>
        <v>0.003</v>
      </c>
      <c r="Q468" s="199">
        <f>IFERROR(__xludf.DUMMYFUNCTION("""COMPUTED_VALUE"""),0.0)</f>
        <v>0</v>
      </c>
      <c r="R468" s="199">
        <f>IFERROR(__xludf.DUMMYFUNCTION("""COMPUTED_VALUE"""),4.0)</f>
        <v>4</v>
      </c>
      <c r="S468" s="199">
        <f>IFERROR(__xludf.DUMMYFUNCTION("""COMPUTED_VALUE"""),0.0)</f>
        <v>0</v>
      </c>
      <c r="T468" s="199">
        <f>IFERROR(__xludf.DUMMYFUNCTION("""COMPUTED_VALUE"""),2.0)</f>
        <v>2</v>
      </c>
      <c r="U468" s="199">
        <f>IFERROR(__xludf.DUMMYFUNCTION("""COMPUTED_VALUE"""),25.0)</f>
        <v>25</v>
      </c>
      <c r="V468" s="199">
        <f>IFERROR(__xludf.DUMMYFUNCTION("""COMPUTED_VALUE"""),0.0)</f>
        <v>0</v>
      </c>
      <c r="W468" s="199">
        <f>IFERROR(__xludf.DUMMYFUNCTION("""COMPUTED_VALUE"""),0.0)</f>
        <v>0</v>
      </c>
      <c r="X468" s="199">
        <f>IFERROR(__xludf.DUMMYFUNCTION("""COMPUTED_VALUE"""),0.0)</f>
        <v>0</v>
      </c>
      <c r="Y468" s="199">
        <f>IFERROR(__xludf.DUMMYFUNCTION("""COMPUTED_VALUE"""),0.0)</f>
        <v>0</v>
      </c>
      <c r="Z468" s="199">
        <f>IFERROR(__xludf.DUMMYFUNCTION("""COMPUTED_VALUE"""),0.0)</f>
        <v>0</v>
      </c>
      <c r="AA468" s="199">
        <f>IFERROR(__xludf.DUMMYFUNCTION("""COMPUTED_VALUE"""),0.0)</f>
        <v>0</v>
      </c>
      <c r="AB468" s="199">
        <f>IFERROR(__xludf.DUMMYFUNCTION("""COMPUTED_VALUE"""),45.0)</f>
        <v>45</v>
      </c>
      <c r="AC468" s="199">
        <f>IFERROR(__xludf.DUMMYFUNCTION("""COMPUTED_VALUE"""),0.0)</f>
        <v>0</v>
      </c>
      <c r="AD468" s="199">
        <f>IFERROR(__xludf.DUMMYFUNCTION("""COMPUTED_VALUE"""),0.0)</f>
        <v>0</v>
      </c>
      <c r="AE468" s="199">
        <f>IFERROR(__xludf.DUMMYFUNCTION("""COMPUTED_VALUE"""),6.0)</f>
        <v>6</v>
      </c>
      <c r="AF468" s="199">
        <f>IFERROR(__xludf.DUMMYFUNCTION("""COMPUTED_VALUE"""),3.0)</f>
        <v>3</v>
      </c>
      <c r="AG468" s="199">
        <f>IFERROR(__xludf.DUMMYFUNCTION("""COMPUTED_VALUE"""),563.0)</f>
        <v>563</v>
      </c>
      <c r="AH468" s="199">
        <f>IFERROR(__xludf.DUMMYFUNCTION("""COMPUTED_VALUE"""),0.0)</f>
        <v>0</v>
      </c>
      <c r="AI468" s="200" t="str">
        <f>IFERROR(__xludf.DUMMYFUNCTION("""COMPUTED_VALUE"""),"Caution – Elevated Si")</f>
        <v>Caution – Elevated Si</v>
      </c>
      <c r="AJ468" s="200" t="str">
        <f>IFERROR(__xludf.DUMMYFUNCTION("""COMPUTED_VALUE"""),"Si 45 ppm (elevated – abrasive). ISO 22/21/20. Inspect breathers, seals, fill caps. Monitor closely.")</f>
        <v>Si 45 ppm (elevated – abrasive). ISO 22/21/20. Inspect breathers, seals, fill caps. Monitor closely.</v>
      </c>
      <c r="AK468" s="204"/>
      <c r="AL468" s="204"/>
      <c r="AM468" s="204"/>
    </row>
    <row r="469" hidden="1">
      <c r="A469" s="199" t="str">
        <f>IFERROR(__xludf.DUMMYFUNCTION("""COMPUTED_VALUE"""),"321.LQ145 (T)")</f>
        <v>321.LQ145 (T)</v>
      </c>
      <c r="B469" s="200" t="str">
        <f>IFERROR(__xludf.DUMMYFUNCTION("""COMPUTED_VALUE"""),"Gear lubrication pump station Tank")</f>
        <v>Gear lubrication pump station Tank</v>
      </c>
      <c r="C469" s="199">
        <f>IFERROR(__xludf.DUMMYFUNCTION("""COMPUTED_VALUE"""),2.5294210224E10)</f>
        <v>25294210224</v>
      </c>
      <c r="D469" s="201">
        <f>IFERROR(__xludf.DUMMYFUNCTION("""COMPUTED_VALUE"""),45946.0)</f>
        <v>45946</v>
      </c>
      <c r="E469" s="202" t="str">
        <f>IFERROR(__xludf.DUMMYFUNCTION("""COMPUTED_VALUE"""),"Normal")</f>
        <v>Normal</v>
      </c>
      <c r="F469" s="202" t="str">
        <f>IFERROR(__xludf.DUMMYFUNCTION("""COMPUTED_VALUE"""),"Normal")</f>
        <v>Normal</v>
      </c>
      <c r="G469" s="203" t="str">
        <f>IFERROR(__xludf.DUMMYFUNCTION("""COMPUTED_VALUE"""),"Normal")</f>
        <v>Normal</v>
      </c>
      <c r="H469" s="203" t="str">
        <f>IFERROR(__xludf.DUMMYFUNCTION("""COMPUTED_VALUE"""),"Normal")</f>
        <v>Normal</v>
      </c>
      <c r="I469" s="199">
        <f>IFERROR(__xludf.DUMMYFUNCTION("""COMPUTED_VALUE"""),30674.0)</f>
        <v>30674</v>
      </c>
      <c r="J469" s="199">
        <f>IFERROR(__xludf.DUMMYFUNCTION("""COMPUTED_VALUE"""),11568.0)</f>
        <v>11568</v>
      </c>
      <c r="K469" s="199">
        <f>IFERROR(__xludf.DUMMYFUNCTION("""COMPUTED_VALUE"""),5100.0)</f>
        <v>5100</v>
      </c>
      <c r="L469" s="199">
        <f>IFERROR(__xludf.DUMMYFUNCTION("""COMPUTED_VALUE"""),8.0)</f>
        <v>8</v>
      </c>
      <c r="M469" s="199">
        <f>IFERROR(__xludf.DUMMYFUNCTION("""COMPUTED_VALUE"""),291.5)</f>
        <v>291.5</v>
      </c>
      <c r="N469" s="199"/>
      <c r="O469" s="199">
        <f>IFERROR(__xludf.DUMMYFUNCTION("""COMPUTED_VALUE"""),1.0)</f>
        <v>1</v>
      </c>
      <c r="P469" s="199">
        <f>IFERROR(__xludf.DUMMYFUNCTION("""COMPUTED_VALUE"""),0.01)</f>
        <v>0.01</v>
      </c>
      <c r="Q469" s="199">
        <f>IFERROR(__xludf.DUMMYFUNCTION("""COMPUTED_VALUE"""),0.0)</f>
        <v>0</v>
      </c>
      <c r="R469" s="199">
        <f>IFERROR(__xludf.DUMMYFUNCTION("""COMPUTED_VALUE"""),6.0)</f>
        <v>6</v>
      </c>
      <c r="S469" s="199">
        <f>IFERROR(__xludf.DUMMYFUNCTION("""COMPUTED_VALUE"""),0.0)</f>
        <v>0</v>
      </c>
      <c r="T469" s="199">
        <f>IFERROR(__xludf.DUMMYFUNCTION("""COMPUTED_VALUE"""),3.0)</f>
        <v>3</v>
      </c>
      <c r="U469" s="199">
        <f>IFERROR(__xludf.DUMMYFUNCTION("""COMPUTED_VALUE"""),13.0)</f>
        <v>13</v>
      </c>
      <c r="V469" s="199">
        <f>IFERROR(__xludf.DUMMYFUNCTION("""COMPUTED_VALUE"""),0.0)</f>
        <v>0</v>
      </c>
      <c r="W469" s="199">
        <f>IFERROR(__xludf.DUMMYFUNCTION("""COMPUTED_VALUE"""),0.0)</f>
        <v>0</v>
      </c>
      <c r="X469" s="199">
        <f>IFERROR(__xludf.DUMMYFUNCTION("""COMPUTED_VALUE"""),0.0)</f>
        <v>0</v>
      </c>
      <c r="Y469" s="199">
        <f>IFERROR(__xludf.DUMMYFUNCTION("""COMPUTED_VALUE"""),0.0)</f>
        <v>0</v>
      </c>
      <c r="Z469" s="199">
        <f>IFERROR(__xludf.DUMMYFUNCTION("""COMPUTED_VALUE"""),0.0)</f>
        <v>0</v>
      </c>
      <c r="AA469" s="199">
        <f>IFERROR(__xludf.DUMMYFUNCTION("""COMPUTED_VALUE"""),0.0)</f>
        <v>0</v>
      </c>
      <c r="AB469" s="199">
        <f>IFERROR(__xludf.DUMMYFUNCTION("""COMPUTED_VALUE"""),7.0)</f>
        <v>7</v>
      </c>
      <c r="AC469" s="199">
        <f>IFERROR(__xludf.DUMMYFUNCTION("""COMPUTED_VALUE"""),0.0)</f>
        <v>0</v>
      </c>
      <c r="AD469" s="199">
        <f>IFERROR(__xludf.DUMMYFUNCTION("""COMPUTED_VALUE"""),0.0)</f>
        <v>0</v>
      </c>
      <c r="AE469" s="199">
        <f>IFERROR(__xludf.DUMMYFUNCTION("""COMPUTED_VALUE"""),15.0)</f>
        <v>15</v>
      </c>
      <c r="AF469" s="199">
        <f>IFERROR(__xludf.DUMMYFUNCTION("""COMPUTED_VALUE"""),2.0)</f>
        <v>2</v>
      </c>
      <c r="AG469" s="199">
        <f>IFERROR(__xludf.DUMMYFUNCTION("""COMPUTED_VALUE"""),379.0)</f>
        <v>379</v>
      </c>
      <c r="AH469" s="199">
        <f>IFERROR(__xludf.DUMMYFUNCTION("""COMPUTED_VALUE"""),11.0)</f>
        <v>11</v>
      </c>
      <c r="AI469" s="200" t="str">
        <f>IFERROR(__xludf.DUMMYFUNCTION("""COMPUTED_VALUE"""),"Normal")</f>
        <v>Normal</v>
      </c>
      <c r="AJ469" s="200" t="str">
        <f>IFERROR(__xludf.DUMMYFUNCTION("""COMPUTED_VALUE"""),"ISO Code 22/21/20. All parameters within acceptable limits. Fe improved (13 ppm). Continue routine monitoring.")</f>
        <v>ISO Code 22/21/20. All parameters within acceptable limits. Fe improved (13 ppm). Continue routine monitoring.</v>
      </c>
      <c r="AK469" s="204"/>
      <c r="AL469" s="204"/>
      <c r="AM469" s="204"/>
    </row>
    <row r="470" hidden="1">
      <c r="A470" s="199" t="str">
        <f>IFERROR(__xludf.DUMMYFUNCTION("""COMPUTED_VALUE"""),"341.BE040 L")</f>
        <v>341.BE040 L</v>
      </c>
      <c r="B470" s="200" t="str">
        <f>IFERROR(__xludf.DUMMYFUNCTION("""COMPUTED_VALUE"""),"Bucket Elevator GB - L")</f>
        <v>Bucket Elevator GB - L</v>
      </c>
      <c r="C470" s="199">
        <f>IFERROR(__xludf.DUMMYFUNCTION("""COMPUTED_VALUE"""),2.5294210226E10)</f>
        <v>25294210226</v>
      </c>
      <c r="D470" s="201">
        <f>IFERROR(__xludf.DUMMYFUNCTION("""COMPUTED_VALUE"""),45946.0)</f>
        <v>45946</v>
      </c>
      <c r="E470" s="202" t="str">
        <f>IFERROR(__xludf.DUMMYFUNCTION("""COMPUTED_VALUE"""),"Normal")</f>
        <v>Normal</v>
      </c>
      <c r="F470" s="202" t="str">
        <f>IFERROR(__xludf.DUMMYFUNCTION("""COMPUTED_VALUE"""),"Normal")</f>
        <v>Normal</v>
      </c>
      <c r="G470" s="203" t="str">
        <f>IFERROR(__xludf.DUMMYFUNCTION("""COMPUTED_VALUE"""),"Normal")</f>
        <v>Normal</v>
      </c>
      <c r="H470" s="203" t="str">
        <f>IFERROR(__xludf.DUMMYFUNCTION("""COMPUTED_VALUE"""),"Normal")</f>
        <v>Normal</v>
      </c>
      <c r="I470" s="37">
        <f>IFERROR(__xludf.DUMMYFUNCTION("""COMPUTED_VALUE"""),24814.0)</f>
        <v>24814</v>
      </c>
      <c r="J470" s="37">
        <f>IFERROR(__xludf.DUMMYFUNCTION("""COMPUTED_VALUE"""),11008.0)</f>
        <v>11008</v>
      </c>
      <c r="K470" s="37">
        <f>IFERROR(__xludf.DUMMYFUNCTION("""COMPUTED_VALUE"""),6681.0)</f>
        <v>6681</v>
      </c>
      <c r="L470" s="199">
        <f>IFERROR(__xludf.DUMMYFUNCTION("""COMPUTED_VALUE"""),9.0)</f>
        <v>9</v>
      </c>
      <c r="M470" s="199">
        <f>IFERROR(__xludf.DUMMYFUNCTION("""COMPUTED_VALUE"""),325.9)</f>
        <v>325.9</v>
      </c>
      <c r="N470" s="199"/>
      <c r="O470" s="199"/>
      <c r="P470" s="199">
        <f>IFERROR(__xludf.DUMMYFUNCTION("""COMPUTED_VALUE"""),0.01)</f>
        <v>0.01</v>
      </c>
      <c r="Q470" s="199">
        <f>IFERROR(__xludf.DUMMYFUNCTION("""COMPUTED_VALUE"""),0.0)</f>
        <v>0</v>
      </c>
      <c r="R470" s="199">
        <f>IFERROR(__xludf.DUMMYFUNCTION("""COMPUTED_VALUE"""),4.0)</f>
        <v>4</v>
      </c>
      <c r="S470" s="199">
        <f>IFERROR(__xludf.DUMMYFUNCTION("""COMPUTED_VALUE"""),0.0)</f>
        <v>0</v>
      </c>
      <c r="T470" s="199">
        <f>IFERROR(__xludf.DUMMYFUNCTION("""COMPUTED_VALUE"""),2.0)</f>
        <v>2</v>
      </c>
      <c r="U470" s="199">
        <f>IFERROR(__xludf.DUMMYFUNCTION("""COMPUTED_VALUE"""),41.0)</f>
        <v>41</v>
      </c>
      <c r="V470" s="199">
        <f>IFERROR(__xludf.DUMMYFUNCTION("""COMPUTED_VALUE"""),0.0)</f>
        <v>0</v>
      </c>
      <c r="W470" s="199">
        <f>IFERROR(__xludf.DUMMYFUNCTION("""COMPUTED_VALUE"""),0.0)</f>
        <v>0</v>
      </c>
      <c r="X470" s="199">
        <f>IFERROR(__xludf.DUMMYFUNCTION("""COMPUTED_VALUE"""),0.0)</f>
        <v>0</v>
      </c>
      <c r="Y470" s="199">
        <f>IFERROR(__xludf.DUMMYFUNCTION("""COMPUTED_VALUE"""),0.0)</f>
        <v>0</v>
      </c>
      <c r="Z470" s="199">
        <f>IFERROR(__xludf.DUMMYFUNCTION("""COMPUTED_VALUE"""),0.0)</f>
        <v>0</v>
      </c>
      <c r="AA470" s="199">
        <f>IFERROR(__xludf.DUMMYFUNCTION("""COMPUTED_VALUE"""),0.0)</f>
        <v>0</v>
      </c>
      <c r="AB470" s="199">
        <f>IFERROR(__xludf.DUMMYFUNCTION("""COMPUTED_VALUE"""),12.0)</f>
        <v>12</v>
      </c>
      <c r="AC470" s="199">
        <f>IFERROR(__xludf.DUMMYFUNCTION("""COMPUTED_VALUE"""),0.0)</f>
        <v>0</v>
      </c>
      <c r="AD470" s="199">
        <f>IFERROR(__xludf.DUMMYFUNCTION("""COMPUTED_VALUE"""),0.0)</f>
        <v>0</v>
      </c>
      <c r="AE470" s="199">
        <f>IFERROR(__xludf.DUMMYFUNCTION("""COMPUTED_VALUE"""),9.0)</f>
        <v>9</v>
      </c>
      <c r="AF470" s="199">
        <f>IFERROR(__xludf.DUMMYFUNCTION("""COMPUTED_VALUE"""),3.0)</f>
        <v>3</v>
      </c>
      <c r="AG470" s="199">
        <f>IFERROR(__xludf.DUMMYFUNCTION("""COMPUTED_VALUE"""),307.0)</f>
        <v>307</v>
      </c>
      <c r="AH470" s="199">
        <f>IFERROR(__xludf.DUMMYFUNCTION("""COMPUTED_VALUE"""),55.0)</f>
        <v>55</v>
      </c>
      <c r="AI470" s="200" t="str">
        <f>IFERROR(__xludf.DUMMYFUNCTION("""COMPUTED_VALUE"""),"Normal")</f>
        <v>Normal</v>
      </c>
      <c r="AJ470" s="200" t="str">
        <f>IFERROR(__xludf.DUMMYFUNCTION("""COMPUTED_VALUE"""),"ISO Code 22/21/20. All parameters within acceptable limits. Fe 41 ppm – monitor trend. Continue routine monitoring.")</f>
        <v>ISO Code 22/21/20. All parameters within acceptable limits. Fe 41 ppm – monitor trend. Continue routine monitoring.</v>
      </c>
      <c r="AK470" s="204"/>
      <c r="AL470" s="204"/>
      <c r="AM470" s="204"/>
    </row>
    <row r="471" hidden="1">
      <c r="A471" s="199" t="str">
        <f>IFERROR(__xludf.DUMMYFUNCTION("""COMPUTED_VALUE"""),"431.MD140 (N31)")</f>
        <v>431.MD140 (N31)</v>
      </c>
      <c r="B471" s="200" t="str">
        <f>IFERROR(__xludf.DUMMYFUNCTION("""COMPUTED_VALUE"""),"Kiln Main drive gearbox W.S side")</f>
        <v>Kiln Main drive gearbox W.S side</v>
      </c>
      <c r="C471" s="199">
        <f>IFERROR(__xludf.DUMMYFUNCTION("""COMPUTED_VALUE"""),2.5295220225E10)</f>
        <v>25295220225</v>
      </c>
      <c r="D471" s="201">
        <f>IFERROR(__xludf.DUMMYFUNCTION("""COMPUTED_VALUE"""),45946.0)</f>
        <v>45946</v>
      </c>
      <c r="E471" s="202" t="str">
        <f>IFERROR(__xludf.DUMMYFUNCTION("""COMPUTED_VALUE"""),"Normal")</f>
        <v>Normal</v>
      </c>
      <c r="F471" s="202" t="str">
        <f>IFERROR(__xludf.DUMMYFUNCTION("""COMPUTED_VALUE"""),"Normal")</f>
        <v>Normal</v>
      </c>
      <c r="G471" s="203" t="str">
        <f>IFERROR(__xludf.DUMMYFUNCTION("""COMPUTED_VALUE"""),"Normal")</f>
        <v>Normal</v>
      </c>
      <c r="H471" s="203" t="str">
        <f>IFERROR(__xludf.DUMMYFUNCTION("""COMPUTED_VALUE"""),"Normal")</f>
        <v>Normal</v>
      </c>
      <c r="I471" s="37">
        <f>IFERROR(__xludf.DUMMYFUNCTION("""COMPUTED_VALUE"""),39261.0)</f>
        <v>39261</v>
      </c>
      <c r="J471" s="37">
        <f>IFERROR(__xludf.DUMMYFUNCTION("""COMPUTED_VALUE"""),19107.0)</f>
        <v>19107</v>
      </c>
      <c r="K471" s="37">
        <f>IFERROR(__xludf.DUMMYFUNCTION("""COMPUTED_VALUE"""),6518.0)</f>
        <v>6518</v>
      </c>
      <c r="L471" s="199">
        <f>IFERROR(__xludf.DUMMYFUNCTION("""COMPUTED_VALUE"""),14.0)</f>
        <v>14</v>
      </c>
      <c r="M471" s="199">
        <f>IFERROR(__xludf.DUMMYFUNCTION("""COMPUTED_VALUE"""),295.7)</f>
        <v>295.7</v>
      </c>
      <c r="N471" s="199"/>
      <c r="O471" s="199">
        <f>IFERROR(__xludf.DUMMYFUNCTION("""COMPUTED_VALUE"""),2.0)</f>
        <v>2</v>
      </c>
      <c r="P471" s="199">
        <f>IFERROR(__xludf.DUMMYFUNCTION("""COMPUTED_VALUE"""),0.04)</f>
        <v>0.04</v>
      </c>
      <c r="Q471" s="199">
        <f>IFERROR(__xludf.DUMMYFUNCTION("""COMPUTED_VALUE"""),0.0)</f>
        <v>0</v>
      </c>
      <c r="R471" s="199">
        <f>IFERROR(__xludf.DUMMYFUNCTION("""COMPUTED_VALUE"""),0.0)</f>
        <v>0</v>
      </c>
      <c r="S471" s="199">
        <f>IFERROR(__xludf.DUMMYFUNCTION("""COMPUTED_VALUE"""),0.0)</f>
        <v>0</v>
      </c>
      <c r="T471" s="199">
        <f>IFERROR(__xludf.DUMMYFUNCTION("""COMPUTED_VALUE"""),0.0)</f>
        <v>0</v>
      </c>
      <c r="U471" s="199">
        <f>IFERROR(__xludf.DUMMYFUNCTION("""COMPUTED_VALUE"""),7.0)</f>
        <v>7</v>
      </c>
      <c r="V471" s="199">
        <f>IFERROR(__xludf.DUMMYFUNCTION("""COMPUTED_VALUE"""),0.0)</f>
        <v>0</v>
      </c>
      <c r="W471" s="199">
        <f>IFERROR(__xludf.DUMMYFUNCTION("""COMPUTED_VALUE"""),0.0)</f>
        <v>0</v>
      </c>
      <c r="X471" s="199">
        <f>IFERROR(__xludf.DUMMYFUNCTION("""COMPUTED_VALUE"""),0.0)</f>
        <v>0</v>
      </c>
      <c r="Y471" s="199">
        <f>IFERROR(__xludf.DUMMYFUNCTION("""COMPUTED_VALUE"""),0.0)</f>
        <v>0</v>
      </c>
      <c r="Z471" s="199">
        <f>IFERROR(__xludf.DUMMYFUNCTION("""COMPUTED_VALUE"""),0.0)</f>
        <v>0</v>
      </c>
      <c r="AA471" s="199">
        <f>IFERROR(__xludf.DUMMYFUNCTION("""COMPUTED_VALUE"""),0.0)</f>
        <v>0</v>
      </c>
      <c r="AB471" s="199">
        <f>IFERROR(__xludf.DUMMYFUNCTION("""COMPUTED_VALUE"""),2.0)</f>
        <v>2</v>
      </c>
      <c r="AC471" s="199">
        <f>IFERROR(__xludf.DUMMYFUNCTION("""COMPUTED_VALUE"""),26.0)</f>
        <v>26</v>
      </c>
      <c r="AD471" s="199">
        <f>IFERROR(__xludf.DUMMYFUNCTION("""COMPUTED_VALUE"""),0.0)</f>
        <v>0</v>
      </c>
      <c r="AE471" s="199">
        <f>IFERROR(__xludf.DUMMYFUNCTION("""COMPUTED_VALUE"""),13.0)</f>
        <v>13</v>
      </c>
      <c r="AF471" s="199">
        <f>IFERROR(__xludf.DUMMYFUNCTION("""COMPUTED_VALUE"""),2.0)</f>
        <v>2</v>
      </c>
      <c r="AG471" s="199">
        <f>IFERROR(__xludf.DUMMYFUNCTION("""COMPUTED_VALUE"""),373.0)</f>
        <v>373</v>
      </c>
      <c r="AH471" s="199">
        <f>IFERROR(__xludf.DUMMYFUNCTION("""COMPUTED_VALUE"""),4.0)</f>
        <v>4</v>
      </c>
      <c r="AI471" s="200" t="str">
        <f>IFERROR(__xludf.DUMMYFUNCTION("""COMPUTED_VALUE"""),"Normal")</f>
        <v>Normal</v>
      </c>
      <c r="AJ471" s="200" t="str">
        <f>IFERROR(__xludf.DUMMYFUNCTION("""COMPUTED_VALUE"""),"All parameters within acceptable limits. Oxidation 2 Ab/cm – monitor trend. Continue routine monitoring.")</f>
        <v>All parameters within acceptable limits. Oxidation 2 Ab/cm – monitor trend. Continue routine monitoring.</v>
      </c>
      <c r="AK471" s="204"/>
      <c r="AL471" s="204"/>
      <c r="AM471" s="204"/>
    </row>
    <row r="472" hidden="1">
      <c r="A472" s="199" t="str">
        <f>IFERROR(__xludf.DUMMYFUNCTION("""COMPUTED_VALUE"""),"431.MD140 (N32)")</f>
        <v>431.MD140 (N32)</v>
      </c>
      <c r="B472" s="200" t="str">
        <f>IFERROR(__xludf.DUMMYFUNCTION("""COMPUTED_VALUE"""),"Kiln Main drive gearbox CCR side")</f>
        <v>Kiln Main drive gearbox CCR side</v>
      </c>
      <c r="C472" s="199">
        <f>IFERROR(__xludf.DUMMYFUNCTION("""COMPUTED_VALUE"""),2.5295220216E10)</f>
        <v>25295220216</v>
      </c>
      <c r="D472" s="201">
        <f>IFERROR(__xludf.DUMMYFUNCTION("""COMPUTED_VALUE"""),45946.0)</f>
        <v>45946</v>
      </c>
      <c r="E472" s="202" t="str">
        <f>IFERROR(__xludf.DUMMYFUNCTION("""COMPUTED_VALUE"""),"Caution")</f>
        <v>Caution</v>
      </c>
      <c r="F472" s="202" t="str">
        <f>IFERROR(__xludf.DUMMYFUNCTION("""COMPUTED_VALUE"""),"Caution")</f>
        <v>Caution</v>
      </c>
      <c r="G472" s="203" t="str">
        <f>IFERROR(__xludf.DUMMYFUNCTION("""COMPUTED_VALUE"""),"Normal")</f>
        <v>Normal</v>
      </c>
      <c r="H472" s="203" t="str">
        <f>IFERROR(__xludf.DUMMYFUNCTION("""COMPUTED_VALUE"""),"Normal")</f>
        <v>Normal</v>
      </c>
      <c r="I472" s="37"/>
      <c r="J472" s="37"/>
      <c r="K472" s="37"/>
      <c r="L472" s="199">
        <f>IFERROR(__xludf.DUMMYFUNCTION("""COMPUTED_VALUE"""),20.0)</f>
        <v>20</v>
      </c>
      <c r="M472" s="199">
        <f>IFERROR(__xludf.DUMMYFUNCTION("""COMPUTED_VALUE"""),298.6)</f>
        <v>298.6</v>
      </c>
      <c r="N472" s="199"/>
      <c r="O472" s="199">
        <f>IFERROR(__xludf.DUMMYFUNCTION("""COMPUTED_VALUE"""),1.0)</f>
        <v>1</v>
      </c>
      <c r="P472" s="199">
        <f>IFERROR(__xludf.DUMMYFUNCTION("""COMPUTED_VALUE"""),0.05)</f>
        <v>0.05</v>
      </c>
      <c r="Q472" s="199">
        <f>IFERROR(__xludf.DUMMYFUNCTION("""COMPUTED_VALUE"""),0.0)</f>
        <v>0</v>
      </c>
      <c r="R472" s="199">
        <f>IFERROR(__xludf.DUMMYFUNCTION("""COMPUTED_VALUE"""),0.0)</f>
        <v>0</v>
      </c>
      <c r="S472" s="199">
        <f>IFERROR(__xludf.DUMMYFUNCTION("""COMPUTED_VALUE"""),0.0)</f>
        <v>0</v>
      </c>
      <c r="T472" s="199">
        <f>IFERROR(__xludf.DUMMYFUNCTION("""COMPUTED_VALUE"""),0.0)</f>
        <v>0</v>
      </c>
      <c r="U472" s="199">
        <f>IFERROR(__xludf.DUMMYFUNCTION("""COMPUTED_VALUE"""),9.0)</f>
        <v>9</v>
      </c>
      <c r="V472" s="199">
        <f>IFERROR(__xludf.DUMMYFUNCTION("""COMPUTED_VALUE"""),0.0)</f>
        <v>0</v>
      </c>
      <c r="W472" s="199">
        <f>IFERROR(__xludf.DUMMYFUNCTION("""COMPUTED_VALUE"""),0.0)</f>
        <v>0</v>
      </c>
      <c r="X472" s="199">
        <f>IFERROR(__xludf.DUMMYFUNCTION("""COMPUTED_VALUE"""),0.0)</f>
        <v>0</v>
      </c>
      <c r="Y472" s="199">
        <f>IFERROR(__xludf.DUMMYFUNCTION("""COMPUTED_VALUE"""),0.0)</f>
        <v>0</v>
      </c>
      <c r="Z472" s="199">
        <f>IFERROR(__xludf.DUMMYFUNCTION("""COMPUTED_VALUE"""),2.0)</f>
        <v>2</v>
      </c>
      <c r="AA472" s="199">
        <f>IFERROR(__xludf.DUMMYFUNCTION("""COMPUTED_VALUE"""),0.0)</f>
        <v>0</v>
      </c>
      <c r="AB472" s="199">
        <f>IFERROR(__xludf.DUMMYFUNCTION("""COMPUTED_VALUE"""),2.0)</f>
        <v>2</v>
      </c>
      <c r="AC472" s="199">
        <f>IFERROR(__xludf.DUMMYFUNCTION("""COMPUTED_VALUE"""),12.0)</f>
        <v>12</v>
      </c>
      <c r="AD472" s="199">
        <f>IFERROR(__xludf.DUMMYFUNCTION("""COMPUTED_VALUE"""),0.0)</f>
        <v>0</v>
      </c>
      <c r="AE472" s="199">
        <f>IFERROR(__xludf.DUMMYFUNCTION("""COMPUTED_VALUE"""),10.0)</f>
        <v>10</v>
      </c>
      <c r="AF472" s="199">
        <f>IFERROR(__xludf.DUMMYFUNCTION("""COMPUTED_VALUE"""),0.0)</f>
        <v>0</v>
      </c>
      <c r="AG472" s="199">
        <f>IFERROR(__xludf.DUMMYFUNCTION("""COMPUTED_VALUE"""),431.0)</f>
        <v>431</v>
      </c>
      <c r="AH472" s="199">
        <f>IFERROR(__xludf.DUMMYFUNCTION("""COMPUTED_VALUE"""),0.0)</f>
        <v>0</v>
      </c>
      <c r="AI472" s="200" t="str">
        <f>IFERROR(__xludf.DUMMYFUNCTION("""COMPUTED_VALUE"""),"Caution – Elevated Fe / Contamination")</f>
        <v>Caution – Elevated Fe / Contamination</v>
      </c>
      <c r="AJ472" s="200" t="str">
        <f>IFERROR(__xludf.DUMMYFUNCTION("""COMPUTED_VALUE"""),"Fe 9 ppm. Oxidation 1 Ab/cm. Water 0.050 Vol%. Monitor trend. Continue routine monitoring.")</f>
        <v>Fe 9 ppm. Oxidation 1 Ab/cm. Water 0.050 Vol%. Monitor trend. Continue routine monitoring.</v>
      </c>
      <c r="AK472" s="204"/>
      <c r="AL472" s="204"/>
      <c r="AM472" s="204"/>
    </row>
    <row r="473" hidden="1">
      <c r="A473" s="199" t="str">
        <f>IFERROR(__xludf.DUMMYFUNCTION("""COMPUTED_VALUE"""),"461.CP524")</f>
        <v>461.CP524</v>
      </c>
      <c r="B473" s="200" t="str">
        <f>IFERROR(__xludf.DUMMYFUNCTION("""COMPUTED_VALUE"""),"Coal#1 - Air Compressor")</f>
        <v>Coal#1 - Air Compressor</v>
      </c>
      <c r="C473" s="199">
        <f>IFERROR(__xludf.DUMMYFUNCTION("""COMPUTED_VALUE"""),2.529522021E10)</f>
        <v>25295220210</v>
      </c>
      <c r="D473" s="201">
        <f>IFERROR(__xludf.DUMMYFUNCTION("""COMPUTED_VALUE"""),45946.0)</f>
        <v>45946</v>
      </c>
      <c r="E473" s="202" t="str">
        <f>IFERROR(__xludf.DUMMYFUNCTION("""COMPUTED_VALUE"""),"Normal")</f>
        <v>Normal</v>
      </c>
      <c r="F473" s="202" t="str">
        <f>IFERROR(__xludf.DUMMYFUNCTION("""COMPUTED_VALUE"""),"Normal")</f>
        <v>Normal</v>
      </c>
      <c r="G473" s="203" t="str">
        <f>IFERROR(__xludf.DUMMYFUNCTION("""COMPUTED_VALUE"""),"Normal")</f>
        <v>Normal</v>
      </c>
      <c r="H473" s="203" t="str">
        <f>IFERROR(__xludf.DUMMYFUNCTION("""COMPUTED_VALUE"""),"Normal")</f>
        <v>Normal</v>
      </c>
      <c r="I473" s="37">
        <f>IFERROR(__xludf.DUMMYFUNCTION("""COMPUTED_VALUE"""),9631.0)</f>
        <v>9631</v>
      </c>
      <c r="J473" s="37">
        <f>IFERROR(__xludf.DUMMYFUNCTION("""COMPUTED_VALUE"""),3402.0)</f>
        <v>3402</v>
      </c>
      <c r="K473" s="37">
        <f>IFERROR(__xludf.DUMMYFUNCTION("""COMPUTED_VALUE"""),919.0)</f>
        <v>919</v>
      </c>
      <c r="L473" s="199">
        <f>IFERROR(__xludf.DUMMYFUNCTION("""COMPUTED_VALUE"""),6.0)</f>
        <v>6</v>
      </c>
      <c r="M473" s="199">
        <f>IFERROR(__xludf.DUMMYFUNCTION("""COMPUTED_VALUE"""),63.8)</f>
        <v>63.8</v>
      </c>
      <c r="N473" s="199"/>
      <c r="O473" s="199"/>
      <c r="P473" s="199">
        <f>IFERROR(__xludf.DUMMYFUNCTION("""COMPUTED_VALUE"""),0.01)</f>
        <v>0.01</v>
      </c>
      <c r="Q473" s="199">
        <f>IFERROR(__xludf.DUMMYFUNCTION("""COMPUTED_VALUE"""),0.0)</f>
        <v>0</v>
      </c>
      <c r="R473" s="199">
        <f>IFERROR(__xludf.DUMMYFUNCTION("""COMPUTED_VALUE"""),0.0)</f>
        <v>0</v>
      </c>
      <c r="S473" s="199">
        <f>IFERROR(__xludf.DUMMYFUNCTION("""COMPUTED_VALUE"""),0.0)</f>
        <v>0</v>
      </c>
      <c r="T473" s="199">
        <f>IFERROR(__xludf.DUMMYFUNCTION("""COMPUTED_VALUE"""),0.0)</f>
        <v>0</v>
      </c>
      <c r="U473" s="199">
        <f>IFERROR(__xludf.DUMMYFUNCTION("""COMPUTED_VALUE"""),0.0)</f>
        <v>0</v>
      </c>
      <c r="V473" s="199">
        <f>IFERROR(__xludf.DUMMYFUNCTION("""COMPUTED_VALUE"""),0.0)</f>
        <v>0</v>
      </c>
      <c r="W473" s="199">
        <f>IFERROR(__xludf.DUMMYFUNCTION("""COMPUTED_VALUE"""),0.0)</f>
        <v>0</v>
      </c>
      <c r="X473" s="199">
        <f>IFERROR(__xludf.DUMMYFUNCTION("""COMPUTED_VALUE"""),0.0)</f>
        <v>0</v>
      </c>
      <c r="Y473" s="199">
        <f>IFERROR(__xludf.DUMMYFUNCTION("""COMPUTED_VALUE"""),0.0)</f>
        <v>0</v>
      </c>
      <c r="Z473" s="199">
        <f>IFERROR(__xludf.DUMMYFUNCTION("""COMPUTED_VALUE"""),2.0)</f>
        <v>2</v>
      </c>
      <c r="AA473" s="199">
        <f>IFERROR(__xludf.DUMMYFUNCTION("""COMPUTED_VALUE"""),0.0)</f>
        <v>0</v>
      </c>
      <c r="AB473" s="199">
        <f>IFERROR(__xludf.DUMMYFUNCTION("""COMPUTED_VALUE"""),0.0)</f>
        <v>0</v>
      </c>
      <c r="AC473" s="199">
        <f>IFERROR(__xludf.DUMMYFUNCTION("""COMPUTED_VALUE"""),0.0)</f>
        <v>0</v>
      </c>
      <c r="AD473" s="199">
        <f>IFERROR(__xludf.DUMMYFUNCTION("""COMPUTED_VALUE"""),0.0)</f>
        <v>0</v>
      </c>
      <c r="AE473" s="199">
        <f>IFERROR(__xludf.DUMMYFUNCTION("""COMPUTED_VALUE"""),0.0)</f>
        <v>0</v>
      </c>
      <c r="AF473" s="199">
        <f>IFERROR(__xludf.DUMMYFUNCTION("""COMPUTED_VALUE"""),0.0)</f>
        <v>0</v>
      </c>
      <c r="AG473" s="199">
        <f>IFERROR(__xludf.DUMMYFUNCTION("""COMPUTED_VALUE"""),547.0)</f>
        <v>547</v>
      </c>
      <c r="AH473" s="199">
        <f>IFERROR(__xludf.DUMMYFUNCTION("""COMPUTED_VALUE"""),0.0)</f>
        <v>0</v>
      </c>
      <c r="AI473" s="200" t="str">
        <f>IFERROR(__xludf.DUMMYFUNCTION("""COMPUTED_VALUE"""),"Normal")</f>
        <v>Normal</v>
      </c>
      <c r="AJ473" s="200" t="str">
        <f>IFERROR(__xludf.DUMMYFUNCTION("""COMPUTED_VALUE"""),"ISO Code 20/19/17. All parameters within acceptable limits. Continue routine monitoring.")</f>
        <v>ISO Code 20/19/17. All parameters within acceptable limits. Continue routine monitoring.</v>
      </c>
      <c r="AK473" s="204"/>
      <c r="AL473" s="204"/>
      <c r="AM473" s="204"/>
    </row>
    <row r="474" hidden="1">
      <c r="A474" s="199" t="str">
        <f>IFERROR(__xludf.DUMMYFUNCTION("""COMPUTED_VALUE"""),"462.HY110")</f>
        <v>462.HY110</v>
      </c>
      <c r="B474" s="200" t="str">
        <f>IFERROR(__xludf.DUMMYFUNCTION("""COMPUTED_VALUE"""),"Coal Mill 2 Hyd. tensioning sys.")</f>
        <v>Coal Mill 2 Hyd. tensioning sys.</v>
      </c>
      <c r="C474" s="199">
        <f>IFERROR(__xludf.DUMMYFUNCTION("""COMPUTED_VALUE"""),2.5294210203E10)</f>
        <v>25294210203</v>
      </c>
      <c r="D474" s="201">
        <f>IFERROR(__xludf.DUMMYFUNCTION("""COMPUTED_VALUE"""),45946.0)</f>
        <v>45946</v>
      </c>
      <c r="E474" s="202" t="str">
        <f>IFERROR(__xludf.DUMMYFUNCTION("""COMPUTED_VALUE"""),"Normal")</f>
        <v>Normal</v>
      </c>
      <c r="F474" s="202" t="str">
        <f>IFERROR(__xludf.DUMMYFUNCTION("""COMPUTED_VALUE"""),"Normal")</f>
        <v>Normal</v>
      </c>
      <c r="G474" s="203" t="str">
        <f>IFERROR(__xludf.DUMMYFUNCTION("""COMPUTED_VALUE"""),"Normal")</f>
        <v>Normal</v>
      </c>
      <c r="H474" s="203" t="str">
        <f>IFERROR(__xludf.DUMMYFUNCTION("""COMPUTED_VALUE"""),"Normal")</f>
        <v>Normal</v>
      </c>
      <c r="I474" s="37">
        <f>IFERROR(__xludf.DUMMYFUNCTION("""COMPUTED_VALUE"""),9370.0)</f>
        <v>9370</v>
      </c>
      <c r="J474" s="37">
        <f>IFERROR(__xludf.DUMMYFUNCTION("""COMPUTED_VALUE"""),3168.0)</f>
        <v>3168</v>
      </c>
      <c r="K474" s="37">
        <f>IFERROR(__xludf.DUMMYFUNCTION("""COMPUTED_VALUE"""),999.0)</f>
        <v>999</v>
      </c>
      <c r="L474" s="199">
        <f>IFERROR(__xludf.DUMMYFUNCTION("""COMPUTED_VALUE"""),6.0)</f>
        <v>6</v>
      </c>
      <c r="M474" s="199">
        <f>IFERROR(__xludf.DUMMYFUNCTION("""COMPUTED_VALUE"""),45.5)</f>
        <v>45.5</v>
      </c>
      <c r="N474" s="199"/>
      <c r="O474" s="199">
        <f>IFERROR(__xludf.DUMMYFUNCTION("""COMPUTED_VALUE"""),0.0)</f>
        <v>0</v>
      </c>
      <c r="P474" s="199">
        <f>IFERROR(__xludf.DUMMYFUNCTION("""COMPUTED_VALUE"""),0.01)</f>
        <v>0.01</v>
      </c>
      <c r="Q474" s="199">
        <f>IFERROR(__xludf.DUMMYFUNCTION("""COMPUTED_VALUE"""),0.0)</f>
        <v>0</v>
      </c>
      <c r="R474" s="199">
        <f>IFERROR(__xludf.DUMMYFUNCTION("""COMPUTED_VALUE"""),3.0)</f>
        <v>3</v>
      </c>
      <c r="S474" s="199">
        <f>IFERROR(__xludf.DUMMYFUNCTION("""COMPUTED_VALUE"""),0.0)</f>
        <v>0</v>
      </c>
      <c r="T474" s="199">
        <f>IFERROR(__xludf.DUMMYFUNCTION("""COMPUTED_VALUE"""),3.0)</f>
        <v>3</v>
      </c>
      <c r="U474" s="199">
        <f>IFERROR(__xludf.DUMMYFUNCTION("""COMPUTED_VALUE"""),3.0)</f>
        <v>3</v>
      </c>
      <c r="V474" s="199">
        <f>IFERROR(__xludf.DUMMYFUNCTION("""COMPUTED_VALUE"""),0.0)</f>
        <v>0</v>
      </c>
      <c r="W474" s="199">
        <f>IFERROR(__xludf.DUMMYFUNCTION("""COMPUTED_VALUE"""),0.0)</f>
        <v>0</v>
      </c>
      <c r="X474" s="199">
        <f>IFERROR(__xludf.DUMMYFUNCTION("""COMPUTED_VALUE"""),0.0)</f>
        <v>0</v>
      </c>
      <c r="Y474" s="199">
        <f>IFERROR(__xludf.DUMMYFUNCTION("""COMPUTED_VALUE"""),0.0)</f>
        <v>0</v>
      </c>
      <c r="Z474" s="199">
        <f>IFERROR(__xludf.DUMMYFUNCTION("""COMPUTED_VALUE"""),0.0)</f>
        <v>0</v>
      </c>
      <c r="AA474" s="199">
        <f>IFERROR(__xludf.DUMMYFUNCTION("""COMPUTED_VALUE"""),0.0)</f>
        <v>0</v>
      </c>
      <c r="AB474" s="199">
        <f>IFERROR(__xludf.DUMMYFUNCTION("""COMPUTED_VALUE"""),3.0)</f>
        <v>3</v>
      </c>
      <c r="AC474" s="199">
        <f>IFERROR(__xludf.DUMMYFUNCTION("""COMPUTED_VALUE"""),0.0)</f>
        <v>0</v>
      </c>
      <c r="AD474" s="199">
        <f>IFERROR(__xludf.DUMMYFUNCTION("""COMPUTED_VALUE"""),0.0)</f>
        <v>0</v>
      </c>
      <c r="AE474" s="199">
        <f>IFERROR(__xludf.DUMMYFUNCTION("""COMPUTED_VALUE"""),41.0)</f>
        <v>41</v>
      </c>
      <c r="AF474" s="199">
        <f>IFERROR(__xludf.DUMMYFUNCTION("""COMPUTED_VALUE"""),0.0)</f>
        <v>0</v>
      </c>
      <c r="AG474" s="199">
        <f>IFERROR(__xludf.DUMMYFUNCTION("""COMPUTED_VALUE"""),284.0)</f>
        <v>284</v>
      </c>
      <c r="AH474" s="199">
        <f>IFERROR(__xludf.DUMMYFUNCTION("""COMPUTED_VALUE"""),255.0)</f>
        <v>255</v>
      </c>
      <c r="AI474" s="200" t="str">
        <f>IFERROR(__xludf.DUMMYFUNCTION("""COMPUTED_VALUE"""),"Normal")</f>
        <v>Normal</v>
      </c>
      <c r="AJ474" s="200" t="str">
        <f>IFERROR(__xludf.DUMMYFUNCTION("""COMPUTED_VALUE"""),"ISO Code 20/19/17. All parameters within acceptable limits. Continue routine monitoring.")</f>
        <v>ISO Code 20/19/17. All parameters within acceptable limits. Continue routine monitoring.</v>
      </c>
      <c r="AK474" s="204"/>
      <c r="AL474" s="204"/>
      <c r="AM474" s="204"/>
    </row>
    <row r="475" hidden="1">
      <c r="A475" s="199" t="str">
        <f>IFERROR(__xludf.DUMMYFUNCTION("""COMPUTED_VALUE"""),"123.BC200")</f>
        <v>123.BC200</v>
      </c>
      <c r="B475" s="200" t="str">
        <f>IFERROR(__xludf.DUMMYFUNCTION("""COMPUTED_VALUE"""),"Belt Conveyor Gearbox")</f>
        <v>Belt Conveyor Gearbox</v>
      </c>
      <c r="C475" s="199">
        <f>IFERROR(__xludf.DUMMYFUNCTION("""COMPUTED_VALUE"""),2.529421022E10)</f>
        <v>25294210220</v>
      </c>
      <c r="D475" s="201">
        <f>IFERROR(__xludf.DUMMYFUNCTION("""COMPUTED_VALUE"""),45946.0)</f>
        <v>45946</v>
      </c>
      <c r="E475" s="202" t="str">
        <f>IFERROR(__xludf.DUMMYFUNCTION("""COMPUTED_VALUE"""),"Alert")</f>
        <v>Alert</v>
      </c>
      <c r="F475" s="202" t="str">
        <f>IFERROR(__xludf.DUMMYFUNCTION("""COMPUTED_VALUE"""),"Normal")</f>
        <v>Normal</v>
      </c>
      <c r="G475" s="203" t="str">
        <f>IFERROR(__xludf.DUMMYFUNCTION("""COMPUTED_VALUE"""),"Normal")</f>
        <v>Normal</v>
      </c>
      <c r="H475" s="203" t="str">
        <f>IFERROR(__xludf.DUMMYFUNCTION("""COMPUTED_VALUE"""),"Alert")</f>
        <v>Alert</v>
      </c>
      <c r="I475" s="37">
        <f>IFERROR(__xludf.DUMMYFUNCTION("""COMPUTED_VALUE"""),19867.0)</f>
        <v>19867</v>
      </c>
      <c r="J475" s="37">
        <f>IFERROR(__xludf.DUMMYFUNCTION("""COMPUTED_VALUE"""),10081.0)</f>
        <v>10081</v>
      </c>
      <c r="K475" s="37">
        <f>IFERROR(__xludf.DUMMYFUNCTION("""COMPUTED_VALUE"""),5161.0)</f>
        <v>5161</v>
      </c>
      <c r="L475" s="199">
        <f>IFERROR(__xludf.DUMMYFUNCTION("""COMPUTED_VALUE"""),5.0)</f>
        <v>5</v>
      </c>
      <c r="M475" s="199">
        <f>IFERROR(__xludf.DUMMYFUNCTION("""COMPUTED_VALUE"""),116.1)</f>
        <v>116.1</v>
      </c>
      <c r="N475" s="199"/>
      <c r="O475" s="199"/>
      <c r="P475" s="199">
        <f>IFERROR(__xludf.DUMMYFUNCTION("""COMPUTED_VALUE"""),0.01)</f>
        <v>0.01</v>
      </c>
      <c r="Q475" s="199">
        <f>IFERROR(__xludf.DUMMYFUNCTION("""COMPUTED_VALUE"""),0.0)</f>
        <v>0</v>
      </c>
      <c r="R475" s="199">
        <f>IFERROR(__xludf.DUMMYFUNCTION("""COMPUTED_VALUE"""),7.0)</f>
        <v>7</v>
      </c>
      <c r="S475" s="199">
        <f>IFERROR(__xludf.DUMMYFUNCTION("""COMPUTED_VALUE"""),0.0)</f>
        <v>0</v>
      </c>
      <c r="T475" s="199">
        <f>IFERROR(__xludf.DUMMYFUNCTION("""COMPUTED_VALUE"""),2.0)</f>
        <v>2</v>
      </c>
      <c r="U475" s="199">
        <f>IFERROR(__xludf.DUMMYFUNCTION("""COMPUTED_VALUE"""),29.0)</f>
        <v>29</v>
      </c>
      <c r="V475" s="199">
        <f>IFERROR(__xludf.DUMMYFUNCTION("""COMPUTED_VALUE"""),2.0)</f>
        <v>2</v>
      </c>
      <c r="W475" s="199">
        <f>IFERROR(__xludf.DUMMYFUNCTION("""COMPUTED_VALUE"""),0.0)</f>
        <v>0</v>
      </c>
      <c r="X475" s="199">
        <f>IFERROR(__xludf.DUMMYFUNCTION("""COMPUTED_VALUE"""),0.0)</f>
        <v>0</v>
      </c>
      <c r="Y475" s="199">
        <f>IFERROR(__xludf.DUMMYFUNCTION("""COMPUTED_VALUE"""),0.0)</f>
        <v>0</v>
      </c>
      <c r="Z475" s="199">
        <f>IFERROR(__xludf.DUMMYFUNCTION("""COMPUTED_VALUE"""),0.0)</f>
        <v>0</v>
      </c>
      <c r="AA475" s="199">
        <f>IFERROR(__xludf.DUMMYFUNCTION("""COMPUTED_VALUE"""),0.0)</f>
        <v>0</v>
      </c>
      <c r="AB475" s="199">
        <f>IFERROR(__xludf.DUMMYFUNCTION("""COMPUTED_VALUE"""),21.0)</f>
        <v>21</v>
      </c>
      <c r="AC475" s="199">
        <f>IFERROR(__xludf.DUMMYFUNCTION("""COMPUTED_VALUE"""),0.0)</f>
        <v>0</v>
      </c>
      <c r="AD475" s="199">
        <f>IFERROR(__xludf.DUMMYFUNCTION("""COMPUTED_VALUE"""),0.0)</f>
        <v>0</v>
      </c>
      <c r="AE475" s="199">
        <f>IFERROR(__xludf.DUMMYFUNCTION("""COMPUTED_VALUE"""),62.0)</f>
        <v>62</v>
      </c>
      <c r="AF475" s="199">
        <f>IFERROR(__xludf.DUMMYFUNCTION("""COMPUTED_VALUE"""),3.0)</f>
        <v>3</v>
      </c>
      <c r="AG475" s="199">
        <f>IFERROR(__xludf.DUMMYFUNCTION("""COMPUTED_VALUE"""),451.0)</f>
        <v>451</v>
      </c>
      <c r="AH475" s="199">
        <f>IFERROR(__xludf.DUMMYFUNCTION("""COMPUTED_VALUE"""),159.0)</f>
        <v>159</v>
      </c>
      <c r="AI475" s="200" t="str">
        <f>IFERROR(__xludf.DUMMYFUNCTION("""COMPUTED_VALUE"""),"Alert – Severely Reduced Viscosity / Elevated Fe / Contamination Alert")</f>
        <v>Alert – Severely Reduced Viscosity / Elevated Fe / Contamination Alert</v>
      </c>
      <c r="AJ475" s="200" t="str">
        <f>IFERROR(__xludf.DUMMYFUNCTION("""COMPUTED_VALUE"""),"ACTION REQUIRED – Viscosity critically low at 116.1 cSt (expected ~220 cSt). ISO 21/21/20. Fe 29 ppm, Al 7 ppm, Si 21 ppm. Mo 2 ppm. Determine cause of extreme viscosity reduction: check for fuel/solvent contamination or wrong oil fill. Drain and refill w"&amp;"ith correct MOBIL SHC 630 immediately. Contact ExxonMobil representative urgently.")</f>
        <v>ACTION REQUIRED – Viscosity critically low at 116.1 cSt (expected ~220 cSt). ISO 21/21/20. Fe 29 ppm, Al 7 ppm, Si 21 ppm. Mo 2 ppm. Determine cause of extreme viscosity reduction: check for fuel/solvent contamination or wrong oil fill. Drain and refill with correct MOBIL SHC 630 immediately. Contact ExxonMobil representative urgently.</v>
      </c>
      <c r="AK475" s="204"/>
      <c r="AL475" s="204"/>
      <c r="AM475" s="204"/>
    </row>
    <row r="476" hidden="1">
      <c r="A476" s="199" t="str">
        <f>IFERROR(__xludf.DUMMYFUNCTION("""COMPUTED_VALUE"""),"111.AF040 (R)")</f>
        <v>111.AF040 (R)</v>
      </c>
      <c r="B476" s="200" t="str">
        <f>IFERROR(__xludf.DUMMYFUNCTION("""COMPUTED_VALUE"""),"Clay apron feeder right gearbox")</f>
        <v>Clay apron feeder right gearbox</v>
      </c>
      <c r="C476" s="199">
        <f>IFERROR(__xludf.DUMMYFUNCTION("""COMPUTED_VALUE"""),2.5295220217E10)</f>
        <v>25295220217</v>
      </c>
      <c r="D476" s="201">
        <f>IFERROR(__xludf.DUMMYFUNCTION("""COMPUTED_VALUE"""),45946.0)</f>
        <v>45946</v>
      </c>
      <c r="E476" s="202" t="str">
        <f>IFERROR(__xludf.DUMMYFUNCTION("""COMPUTED_VALUE"""),"Normal")</f>
        <v>Normal</v>
      </c>
      <c r="F476" s="202" t="str">
        <f>IFERROR(__xludf.DUMMYFUNCTION("""COMPUTED_VALUE"""),"Normal")</f>
        <v>Normal</v>
      </c>
      <c r="G476" s="203" t="str">
        <f>IFERROR(__xludf.DUMMYFUNCTION("""COMPUTED_VALUE"""),"Normal")</f>
        <v>Normal</v>
      </c>
      <c r="H476" s="203" t="str">
        <f>IFERROR(__xludf.DUMMYFUNCTION("""COMPUTED_VALUE"""),"Normal")</f>
        <v>Normal</v>
      </c>
      <c r="I476" s="37">
        <f>IFERROR(__xludf.DUMMYFUNCTION("""COMPUTED_VALUE"""),10319.0)</f>
        <v>10319</v>
      </c>
      <c r="J476" s="37">
        <f>IFERROR(__xludf.DUMMYFUNCTION("""COMPUTED_VALUE"""),5168.0)</f>
        <v>5168</v>
      </c>
      <c r="K476" s="37">
        <f>IFERROR(__xludf.DUMMYFUNCTION("""COMPUTED_VALUE"""),1182.0)</f>
        <v>1182</v>
      </c>
      <c r="L476" s="199">
        <f>IFERROR(__xludf.DUMMYFUNCTION("""COMPUTED_VALUE"""),5.0)</f>
        <v>5</v>
      </c>
      <c r="M476" s="199">
        <f>IFERROR(__xludf.DUMMYFUNCTION("""COMPUTED_VALUE"""),203.5)</f>
        <v>203.5</v>
      </c>
      <c r="N476" s="199"/>
      <c r="O476" s="199"/>
      <c r="P476" s="199">
        <f>IFERROR(__xludf.DUMMYFUNCTION("""COMPUTED_VALUE"""),0.01)</f>
        <v>0.01</v>
      </c>
      <c r="Q476" s="199">
        <f>IFERROR(__xludf.DUMMYFUNCTION("""COMPUTED_VALUE"""),0.0)</f>
        <v>0</v>
      </c>
      <c r="R476" s="199">
        <f>IFERROR(__xludf.DUMMYFUNCTION("""COMPUTED_VALUE"""),0.0)</f>
        <v>0</v>
      </c>
      <c r="S476" s="199">
        <f>IFERROR(__xludf.DUMMYFUNCTION("""COMPUTED_VALUE"""),0.0)</f>
        <v>0</v>
      </c>
      <c r="T476" s="199">
        <f>IFERROR(__xludf.DUMMYFUNCTION("""COMPUTED_VALUE"""),0.0)</f>
        <v>0</v>
      </c>
      <c r="U476" s="199">
        <f>IFERROR(__xludf.DUMMYFUNCTION("""COMPUTED_VALUE"""),9.0)</f>
        <v>9</v>
      </c>
      <c r="V476" s="199">
        <f>IFERROR(__xludf.DUMMYFUNCTION("""COMPUTED_VALUE"""),0.0)</f>
        <v>0</v>
      </c>
      <c r="W476" s="199">
        <f>IFERROR(__xludf.DUMMYFUNCTION("""COMPUTED_VALUE"""),0.0)</f>
        <v>0</v>
      </c>
      <c r="X476" s="199">
        <f>IFERROR(__xludf.DUMMYFUNCTION("""COMPUTED_VALUE"""),0.0)</f>
        <v>0</v>
      </c>
      <c r="Y476" s="199">
        <f>IFERROR(__xludf.DUMMYFUNCTION("""COMPUTED_VALUE"""),0.0)</f>
        <v>0</v>
      </c>
      <c r="Z476" s="199">
        <f>IFERROR(__xludf.DUMMYFUNCTION("""COMPUTED_VALUE"""),0.0)</f>
        <v>0</v>
      </c>
      <c r="AA476" s="199">
        <f>IFERROR(__xludf.DUMMYFUNCTION("""COMPUTED_VALUE"""),0.0)</f>
        <v>0</v>
      </c>
      <c r="AB476" s="199">
        <f>IFERROR(__xludf.DUMMYFUNCTION("""COMPUTED_VALUE"""),18.0)</f>
        <v>18</v>
      </c>
      <c r="AC476" s="199">
        <f>IFERROR(__xludf.DUMMYFUNCTION("""COMPUTED_VALUE"""),12.0)</f>
        <v>12</v>
      </c>
      <c r="AD476" s="199">
        <f>IFERROR(__xludf.DUMMYFUNCTION("""COMPUTED_VALUE"""),0.0)</f>
        <v>0</v>
      </c>
      <c r="AE476" s="199">
        <f>IFERROR(__xludf.DUMMYFUNCTION("""COMPUTED_VALUE"""),0.0)</f>
        <v>0</v>
      </c>
      <c r="AF476" s="199">
        <f>IFERROR(__xludf.DUMMYFUNCTION("""COMPUTED_VALUE"""),2.0)</f>
        <v>2</v>
      </c>
      <c r="AG476" s="199">
        <f>IFERROR(__xludf.DUMMYFUNCTION("""COMPUTED_VALUE"""),560.0)</f>
        <v>560</v>
      </c>
      <c r="AH476" s="199">
        <f>IFERROR(__xludf.DUMMYFUNCTION("""COMPUTED_VALUE"""),0.0)</f>
        <v>0</v>
      </c>
      <c r="AI476" s="200" t="str">
        <f>IFERROR(__xludf.DUMMYFUNCTION("""COMPUTED_VALUE"""),"Normal - No Action Required")</f>
        <v>Normal - No Action Required</v>
      </c>
      <c r="AJ476" s="200" t="str">
        <f>IFERROR(__xludf.DUMMYFUNCTION("""COMPUTED_VALUE"""),"Continue routine monitoring and sampling schedule")</f>
        <v>Continue routine monitoring and sampling schedule</v>
      </c>
      <c r="AK476" s="204"/>
      <c r="AL476" s="204"/>
      <c r="AM476" s="204"/>
    </row>
    <row r="477" hidden="1">
      <c r="A477" s="199" t="str">
        <f>IFERROR(__xludf.DUMMYFUNCTION("""COMPUTED_VALUE"""),"131.BC500 (M01)")</f>
        <v>131.BC500 (M01)</v>
      </c>
      <c r="B477" s="200" t="str">
        <f>IFERROR(__xludf.DUMMYFUNCTION("""COMPUTED_VALUE"""),"Belt Conveyor Gearbox")</f>
        <v>Belt Conveyor Gearbox</v>
      </c>
      <c r="C477" s="199">
        <f>IFERROR(__xludf.DUMMYFUNCTION("""COMPUTED_VALUE"""),2.529421023E10)</f>
        <v>25294210230</v>
      </c>
      <c r="D477" s="201">
        <f>IFERROR(__xludf.DUMMYFUNCTION("""COMPUTED_VALUE"""),45946.0)</f>
        <v>45946</v>
      </c>
      <c r="E477" s="202" t="str">
        <f>IFERROR(__xludf.DUMMYFUNCTION("""COMPUTED_VALUE"""),"Caution")</f>
        <v>Caution</v>
      </c>
      <c r="F477" s="202" t="str">
        <f>IFERROR(__xludf.DUMMYFUNCTION("""COMPUTED_VALUE"""),"Caution")</f>
        <v>Caution</v>
      </c>
      <c r="G477" s="203" t="str">
        <f>IFERROR(__xludf.DUMMYFUNCTION("""COMPUTED_VALUE"""),"Normal")</f>
        <v>Normal</v>
      </c>
      <c r="H477" s="203" t="str">
        <f>IFERROR(__xludf.DUMMYFUNCTION("""COMPUTED_VALUE"""),"Normal")</f>
        <v>Normal</v>
      </c>
      <c r="I477" s="37"/>
      <c r="J477" s="37"/>
      <c r="K477" s="37"/>
      <c r="L477" s="199">
        <f>IFERROR(__xludf.DUMMYFUNCTION("""COMPUTED_VALUE"""),16.0)</f>
        <v>16</v>
      </c>
      <c r="M477" s="199">
        <f>IFERROR(__xludf.DUMMYFUNCTION("""COMPUTED_VALUE"""),215.3)</f>
        <v>215.3</v>
      </c>
      <c r="N477" s="199"/>
      <c r="O477" s="199"/>
      <c r="P477" s="199">
        <f>IFERROR(__xludf.DUMMYFUNCTION("""COMPUTED_VALUE"""),0.05)</f>
        <v>0.05</v>
      </c>
      <c r="Q477" s="199">
        <f>IFERROR(__xludf.DUMMYFUNCTION("""COMPUTED_VALUE"""),0.0)</f>
        <v>0</v>
      </c>
      <c r="R477" s="199">
        <f>IFERROR(__xludf.DUMMYFUNCTION("""COMPUTED_VALUE"""),4.0)</f>
        <v>4</v>
      </c>
      <c r="S477" s="199">
        <f>IFERROR(__xludf.DUMMYFUNCTION("""COMPUTED_VALUE"""),0.0)</f>
        <v>0</v>
      </c>
      <c r="T477" s="199">
        <f>IFERROR(__xludf.DUMMYFUNCTION("""COMPUTED_VALUE"""),2.0)</f>
        <v>2</v>
      </c>
      <c r="U477" s="199">
        <f>IFERROR(__xludf.DUMMYFUNCTION("""COMPUTED_VALUE"""),12.0)</f>
        <v>12</v>
      </c>
      <c r="V477" s="199">
        <f>IFERROR(__xludf.DUMMYFUNCTION("""COMPUTED_VALUE"""),0.0)</f>
        <v>0</v>
      </c>
      <c r="W477" s="199">
        <f>IFERROR(__xludf.DUMMYFUNCTION("""COMPUTED_VALUE"""),0.0)</f>
        <v>0</v>
      </c>
      <c r="X477" s="199">
        <f>IFERROR(__xludf.DUMMYFUNCTION("""COMPUTED_VALUE"""),0.0)</f>
        <v>0</v>
      </c>
      <c r="Y477" s="199">
        <f>IFERROR(__xludf.DUMMYFUNCTION("""COMPUTED_VALUE"""),0.0)</f>
        <v>0</v>
      </c>
      <c r="Z477" s="199">
        <f>IFERROR(__xludf.DUMMYFUNCTION("""COMPUTED_VALUE"""),0.0)</f>
        <v>0</v>
      </c>
      <c r="AA477" s="199">
        <f>IFERROR(__xludf.DUMMYFUNCTION("""COMPUTED_VALUE"""),0.0)</f>
        <v>0</v>
      </c>
      <c r="AB477" s="199">
        <f>IFERROR(__xludf.DUMMYFUNCTION("""COMPUTED_VALUE"""),27.0)</f>
        <v>27</v>
      </c>
      <c r="AC477" s="199">
        <f>IFERROR(__xludf.DUMMYFUNCTION("""COMPUTED_VALUE"""),0.0)</f>
        <v>0</v>
      </c>
      <c r="AD477" s="199">
        <f>IFERROR(__xludf.DUMMYFUNCTION("""COMPUTED_VALUE"""),0.0)</f>
        <v>0</v>
      </c>
      <c r="AE477" s="199">
        <f>IFERROR(__xludf.DUMMYFUNCTION("""COMPUTED_VALUE"""),15.0)</f>
        <v>15</v>
      </c>
      <c r="AF477" s="199">
        <f>IFERROR(__xludf.DUMMYFUNCTION("""COMPUTED_VALUE"""),2.0)</f>
        <v>2</v>
      </c>
      <c r="AG477" s="199">
        <f>IFERROR(__xludf.DUMMYFUNCTION("""COMPUTED_VALUE"""),647.0)</f>
        <v>647</v>
      </c>
      <c r="AH477" s="199">
        <f>IFERROR(__xludf.DUMMYFUNCTION("""COMPUTED_VALUE"""),6.0)</f>
        <v>6</v>
      </c>
      <c r="AI477" s="200" t="str">
        <f>IFERROR(__xludf.DUMMYFUNCTION("""COMPUTED_VALUE"""),"Contamination Caution")</f>
        <v>Contamination Caution</v>
      </c>
      <c r="AJ477" s="200" t="str">
        <f>IFERROR(__xludf.DUMMYFUNCTION("""COMPUTED_VALUE"""),"Silicon elevated - check air filtration and seals")</f>
        <v>Silicon elevated - check air filtration and seals</v>
      </c>
      <c r="AK477" s="204"/>
      <c r="AL477" s="204"/>
      <c r="AM477" s="204"/>
    </row>
    <row r="478" hidden="1">
      <c r="A478" s="199" t="str">
        <f>IFERROR(__xludf.DUMMYFUNCTION("""COMPUTED_VALUE"""),"131.BC500 (M02)")</f>
        <v>131.BC500 (M02)</v>
      </c>
      <c r="B478" s="200" t="str">
        <f>IFERROR(__xludf.DUMMYFUNCTION("""COMPUTED_VALUE"""),"Belt Conveyor Gearbox")</f>
        <v>Belt Conveyor Gearbox</v>
      </c>
      <c r="C478" s="199">
        <f>IFERROR(__xludf.DUMMYFUNCTION("""COMPUTED_VALUE"""),2.5295220221E10)</f>
        <v>25295220221</v>
      </c>
      <c r="D478" s="201">
        <f>IFERROR(__xludf.DUMMYFUNCTION("""COMPUTED_VALUE"""),45946.0)</f>
        <v>45946</v>
      </c>
      <c r="E478" s="202" t="str">
        <f>IFERROR(__xludf.DUMMYFUNCTION("""COMPUTED_VALUE"""),"Caution")</f>
        <v>Caution</v>
      </c>
      <c r="F478" s="202" t="str">
        <f>IFERROR(__xludf.DUMMYFUNCTION("""COMPUTED_VALUE"""),"Caution")</f>
        <v>Caution</v>
      </c>
      <c r="G478" s="203" t="str">
        <f>IFERROR(__xludf.DUMMYFUNCTION("""COMPUTED_VALUE"""),"Normal")</f>
        <v>Normal</v>
      </c>
      <c r="H478" s="203" t="str">
        <f>IFERROR(__xludf.DUMMYFUNCTION("""COMPUTED_VALUE"""),"Caution")</f>
        <v>Caution</v>
      </c>
      <c r="I478" s="37"/>
      <c r="J478" s="37"/>
      <c r="K478" s="37"/>
      <c r="L478" s="199">
        <f>IFERROR(__xludf.DUMMYFUNCTION("""COMPUTED_VALUE"""),19.0)</f>
        <v>19</v>
      </c>
      <c r="M478" s="199">
        <f>IFERROR(__xludf.DUMMYFUNCTION("""COMPUTED_VALUE"""),222.3)</f>
        <v>222.3</v>
      </c>
      <c r="N478" s="199"/>
      <c r="O478" s="199"/>
      <c r="P478" s="199">
        <f>IFERROR(__xludf.DUMMYFUNCTION("""COMPUTED_VALUE"""),0.05)</f>
        <v>0.05</v>
      </c>
      <c r="Q478" s="199">
        <f>IFERROR(__xludf.DUMMYFUNCTION("""COMPUTED_VALUE"""),0.0)</f>
        <v>0</v>
      </c>
      <c r="R478" s="199">
        <f>IFERROR(__xludf.DUMMYFUNCTION("""COMPUTED_VALUE"""),0.0)</f>
        <v>0</v>
      </c>
      <c r="S478" s="199">
        <f>IFERROR(__xludf.DUMMYFUNCTION("""COMPUTED_VALUE"""),0.0)</f>
        <v>0</v>
      </c>
      <c r="T478" s="199">
        <f>IFERROR(__xludf.DUMMYFUNCTION("""COMPUTED_VALUE"""),0.0)</f>
        <v>0</v>
      </c>
      <c r="U478" s="199">
        <f>IFERROR(__xludf.DUMMYFUNCTION("""COMPUTED_VALUE"""),0.0)</f>
        <v>0</v>
      </c>
      <c r="V478" s="199">
        <f>IFERROR(__xludf.DUMMYFUNCTION("""COMPUTED_VALUE"""),0.0)</f>
        <v>0</v>
      </c>
      <c r="W478" s="199">
        <f>IFERROR(__xludf.DUMMYFUNCTION("""COMPUTED_VALUE"""),0.0)</f>
        <v>0</v>
      </c>
      <c r="X478" s="199">
        <f>IFERROR(__xludf.DUMMYFUNCTION("""COMPUTED_VALUE"""),0.0)</f>
        <v>0</v>
      </c>
      <c r="Y478" s="199">
        <f>IFERROR(__xludf.DUMMYFUNCTION("""COMPUTED_VALUE"""),0.0)</f>
        <v>0</v>
      </c>
      <c r="Z478" s="199">
        <f>IFERROR(__xludf.DUMMYFUNCTION("""COMPUTED_VALUE"""),0.0)</f>
        <v>0</v>
      </c>
      <c r="AA478" s="199">
        <f>IFERROR(__xludf.DUMMYFUNCTION("""COMPUTED_VALUE"""),0.0)</f>
        <v>0</v>
      </c>
      <c r="AB478" s="199">
        <f>IFERROR(__xludf.DUMMYFUNCTION("""COMPUTED_VALUE"""),4.0)</f>
        <v>4</v>
      </c>
      <c r="AC478" s="199">
        <f>IFERROR(__xludf.DUMMYFUNCTION("""COMPUTED_VALUE"""),6.0)</f>
        <v>6</v>
      </c>
      <c r="AD478" s="199">
        <f>IFERROR(__xludf.DUMMYFUNCTION("""COMPUTED_VALUE"""),0.0)</f>
        <v>0</v>
      </c>
      <c r="AE478" s="199">
        <f>IFERROR(__xludf.DUMMYFUNCTION("""COMPUTED_VALUE"""),14.0)</f>
        <v>14</v>
      </c>
      <c r="AF478" s="199">
        <f>IFERROR(__xludf.DUMMYFUNCTION("""COMPUTED_VALUE"""),0.0)</f>
        <v>0</v>
      </c>
      <c r="AG478" s="199">
        <f>IFERROR(__xludf.DUMMYFUNCTION("""COMPUTED_VALUE"""),733.0)</f>
        <v>733</v>
      </c>
      <c r="AH478" s="199">
        <f>IFERROR(__xludf.DUMMYFUNCTION("""COMPUTED_VALUE"""),0.0)</f>
        <v>0</v>
      </c>
      <c r="AI478" s="200" t="str">
        <f>IFERROR(__xludf.DUMMYFUNCTION("""COMPUTED_VALUE"""),"General Caution")</f>
        <v>General Caution</v>
      </c>
      <c r="AJ478" s="200" t="str">
        <f>IFERROR(__xludf.DUMMYFUNCTION("""COMPUTED_VALUE"""),"Lubricant showing degradation - plan oil change within 3 months")</f>
        <v>Lubricant showing degradation - plan oil change within 3 months</v>
      </c>
      <c r="AK478" s="204"/>
      <c r="AL478" s="204"/>
      <c r="AM478" s="204"/>
    </row>
    <row r="479" hidden="1">
      <c r="A479" s="199" t="str">
        <f>IFERROR(__xludf.DUMMYFUNCTION("""COMPUTED_VALUE"""),"261.SH050 (T)")</f>
        <v>261.SH050 (T)</v>
      </c>
      <c r="B479" s="200" t="str">
        <f>IFERROR(__xludf.DUMMYFUNCTION("""COMPUTED_VALUE"""),"Shredder - Hydraulic Sys.")</f>
        <v>Shredder - Hydraulic Sys.</v>
      </c>
      <c r="C479" s="199">
        <f>IFERROR(__xludf.DUMMYFUNCTION("""COMPUTED_VALUE"""),2.5294210216E10)</f>
        <v>25294210216</v>
      </c>
      <c r="D479" s="201">
        <f>IFERROR(__xludf.DUMMYFUNCTION("""COMPUTED_VALUE"""),45946.0)</f>
        <v>45946</v>
      </c>
      <c r="E479" s="202" t="str">
        <f>IFERROR(__xludf.DUMMYFUNCTION("""COMPUTED_VALUE"""),"Alert")</f>
        <v>Alert</v>
      </c>
      <c r="F479" s="202" t="str">
        <f>IFERROR(__xludf.DUMMYFUNCTION("""COMPUTED_VALUE"""),"Alert")</f>
        <v>Alert</v>
      </c>
      <c r="G479" s="203" t="str">
        <f>IFERROR(__xludf.DUMMYFUNCTION("""COMPUTED_VALUE"""),"Normal")</f>
        <v>Normal</v>
      </c>
      <c r="H479" s="203" t="str">
        <f>IFERROR(__xludf.DUMMYFUNCTION("""COMPUTED_VALUE"""),"Normal")</f>
        <v>Normal</v>
      </c>
      <c r="I479" s="37"/>
      <c r="J479" s="37"/>
      <c r="K479" s="37"/>
      <c r="L479" s="199">
        <f>IFERROR(__xludf.DUMMYFUNCTION("""COMPUTED_VALUE"""),25.0)</f>
        <v>25</v>
      </c>
      <c r="M479" s="199">
        <f>IFERROR(__xludf.DUMMYFUNCTION("""COMPUTED_VALUE"""),43.5)</f>
        <v>43.5</v>
      </c>
      <c r="N479" s="199"/>
      <c r="O479" s="199">
        <f>IFERROR(__xludf.DUMMYFUNCTION("""COMPUTED_VALUE"""),0.0)</f>
        <v>0</v>
      </c>
      <c r="P479" s="199">
        <f>IFERROR(__xludf.DUMMYFUNCTION("""COMPUTED_VALUE"""),0.1)</f>
        <v>0.1</v>
      </c>
      <c r="Q479" s="199">
        <f>IFERROR(__xludf.DUMMYFUNCTION("""COMPUTED_VALUE"""),0.0)</f>
        <v>0</v>
      </c>
      <c r="R479" s="199">
        <f>IFERROR(__xludf.DUMMYFUNCTION("""COMPUTED_VALUE"""),8.0)</f>
        <v>8</v>
      </c>
      <c r="S479" s="199">
        <f>IFERROR(__xludf.DUMMYFUNCTION("""COMPUTED_VALUE"""),0.0)</f>
        <v>0</v>
      </c>
      <c r="T479" s="199">
        <f>IFERROR(__xludf.DUMMYFUNCTION("""COMPUTED_VALUE"""),18.0)</f>
        <v>18</v>
      </c>
      <c r="U479" s="199">
        <f>IFERROR(__xludf.DUMMYFUNCTION("""COMPUTED_VALUE"""),33.0)</f>
        <v>33</v>
      </c>
      <c r="V479" s="199">
        <f>IFERROR(__xludf.DUMMYFUNCTION("""COMPUTED_VALUE"""),0.0)</f>
        <v>0</v>
      </c>
      <c r="W479" s="199">
        <f>IFERROR(__xludf.DUMMYFUNCTION("""COMPUTED_VALUE"""),0.0)</f>
        <v>0</v>
      </c>
      <c r="X479" s="199">
        <f>IFERROR(__xludf.DUMMYFUNCTION("""COMPUTED_VALUE"""),0.0)</f>
        <v>0</v>
      </c>
      <c r="Y479" s="199">
        <f>IFERROR(__xludf.DUMMYFUNCTION("""COMPUTED_VALUE"""),0.0)</f>
        <v>0</v>
      </c>
      <c r="Z479" s="199">
        <f>IFERROR(__xludf.DUMMYFUNCTION("""COMPUTED_VALUE"""),0.0)</f>
        <v>0</v>
      </c>
      <c r="AA479" s="199">
        <f>IFERROR(__xludf.DUMMYFUNCTION("""COMPUTED_VALUE"""),0.0)</f>
        <v>0</v>
      </c>
      <c r="AB479" s="199">
        <f>IFERROR(__xludf.DUMMYFUNCTION("""COMPUTED_VALUE"""),23.0)</f>
        <v>23</v>
      </c>
      <c r="AC479" s="199">
        <f>IFERROR(__xludf.DUMMYFUNCTION("""COMPUTED_VALUE"""),0.0)</f>
        <v>0</v>
      </c>
      <c r="AD479" s="199">
        <f>IFERROR(__xludf.DUMMYFUNCTION("""COMPUTED_VALUE"""),0.0)</f>
        <v>0</v>
      </c>
      <c r="AE479" s="199">
        <f>IFERROR(__xludf.DUMMYFUNCTION("""COMPUTED_VALUE"""),63.0)</f>
        <v>63</v>
      </c>
      <c r="AF479" s="199">
        <f>IFERROR(__xludf.DUMMYFUNCTION("""COMPUTED_VALUE"""),2.0)</f>
        <v>2</v>
      </c>
      <c r="AG479" s="199">
        <f>IFERROR(__xludf.DUMMYFUNCTION("""COMPUTED_VALUE"""),346.0)</f>
        <v>346</v>
      </c>
      <c r="AH479" s="199">
        <f>IFERROR(__xludf.DUMMYFUNCTION("""COMPUTED_VALUE"""),363.0)</f>
        <v>363</v>
      </c>
      <c r="AI479" s="200" t="str">
        <f>IFERROR(__xludf.DUMMYFUNCTION("""COMPUTED_VALUE"""),"General Alert")</f>
        <v>General Alert</v>
      </c>
      <c r="AJ479" s="200" t="str">
        <f>IFERROR(__xludf.DUMMYFUNCTION("""COMPUTED_VALUE"""),"Investigate root cause; increase sampling frequency to monthly")</f>
        <v>Investigate root cause; increase sampling frequency to monthly</v>
      </c>
      <c r="AK479" s="204"/>
      <c r="AL479" s="204"/>
      <c r="AM479" s="204"/>
    </row>
    <row r="480" hidden="1">
      <c r="A480" s="199" t="str">
        <f>IFERROR(__xludf.DUMMYFUNCTION("""COMPUTED_VALUE"""),"352.BE340 L")</f>
        <v>352.BE340 L</v>
      </c>
      <c r="B480" s="200" t="str">
        <f>IFERROR(__xludf.DUMMYFUNCTION("""COMPUTED_VALUE"""),"Bucket Elevator GB - L")</f>
        <v>Bucket Elevator GB - L</v>
      </c>
      <c r="C480" s="199">
        <f>IFERROR(__xludf.DUMMYFUNCTION("""COMPUTED_VALUE"""),2.5295220223E10)</f>
        <v>25295220223</v>
      </c>
      <c r="D480" s="201">
        <f>IFERROR(__xludf.DUMMYFUNCTION("""COMPUTED_VALUE"""),45946.0)</f>
        <v>45946</v>
      </c>
      <c r="E480" s="202" t="str">
        <f>IFERROR(__xludf.DUMMYFUNCTION("""COMPUTED_VALUE"""),"Alert")</f>
        <v>Alert</v>
      </c>
      <c r="F480" s="202" t="str">
        <f>IFERROR(__xludf.DUMMYFUNCTION("""COMPUTED_VALUE"""),"Caution")</f>
        <v>Caution</v>
      </c>
      <c r="G480" s="203" t="str">
        <f>IFERROR(__xludf.DUMMYFUNCTION("""COMPUTED_VALUE"""),"Alert")</f>
        <v>Alert</v>
      </c>
      <c r="H480" s="203" t="str">
        <f>IFERROR(__xludf.DUMMYFUNCTION("""COMPUTED_VALUE"""),"Caution")</f>
        <v>Caution</v>
      </c>
      <c r="I480" s="37"/>
      <c r="J480" s="37"/>
      <c r="K480" s="37"/>
      <c r="L480" s="199">
        <f>IFERROR(__xludf.DUMMYFUNCTION("""COMPUTED_VALUE"""),154.0)</f>
        <v>154</v>
      </c>
      <c r="M480" s="199">
        <f>IFERROR(__xludf.DUMMYFUNCTION("""COMPUTED_VALUE"""),311.8)</f>
        <v>311.8</v>
      </c>
      <c r="N480" s="199"/>
      <c r="O480" s="199"/>
      <c r="P480" s="199">
        <f>IFERROR(__xludf.DUMMYFUNCTION("""COMPUTED_VALUE"""),0.05)</f>
        <v>0.05</v>
      </c>
      <c r="Q480" s="199">
        <f>IFERROR(__xludf.DUMMYFUNCTION("""COMPUTED_VALUE"""),0.0)</f>
        <v>0</v>
      </c>
      <c r="R480" s="199">
        <f>IFERROR(__xludf.DUMMYFUNCTION("""COMPUTED_VALUE"""),0.0)</f>
        <v>0</v>
      </c>
      <c r="S480" s="199">
        <f>IFERROR(__xludf.DUMMYFUNCTION("""COMPUTED_VALUE"""),0.0)</f>
        <v>0</v>
      </c>
      <c r="T480" s="199">
        <f>IFERROR(__xludf.DUMMYFUNCTION("""COMPUTED_VALUE"""),0.0)</f>
        <v>0</v>
      </c>
      <c r="U480" s="199">
        <f>IFERROR(__xludf.DUMMYFUNCTION("""COMPUTED_VALUE"""),312.0)</f>
        <v>312</v>
      </c>
      <c r="V480" s="199">
        <f>IFERROR(__xludf.DUMMYFUNCTION("""COMPUTED_VALUE"""),0.0)</f>
        <v>0</v>
      </c>
      <c r="W480" s="199">
        <f>IFERROR(__xludf.DUMMYFUNCTION("""COMPUTED_VALUE"""),0.0)</f>
        <v>0</v>
      </c>
      <c r="X480" s="199">
        <f>IFERROR(__xludf.DUMMYFUNCTION("""COMPUTED_VALUE"""),0.0)</f>
        <v>0</v>
      </c>
      <c r="Y480" s="199">
        <f>IFERROR(__xludf.DUMMYFUNCTION("""COMPUTED_VALUE"""),0.0)</f>
        <v>0</v>
      </c>
      <c r="Z480" s="199">
        <f>IFERROR(__xludf.DUMMYFUNCTION("""COMPUTED_VALUE"""),0.0)</f>
        <v>0</v>
      </c>
      <c r="AA480" s="199">
        <f>IFERROR(__xludf.DUMMYFUNCTION("""COMPUTED_VALUE"""),0.0)</f>
        <v>0</v>
      </c>
      <c r="AB480" s="199">
        <f>IFERROR(__xludf.DUMMYFUNCTION("""COMPUTED_VALUE"""),0.0)</f>
        <v>0</v>
      </c>
      <c r="AC480" s="199">
        <f>IFERROR(__xludf.DUMMYFUNCTION("""COMPUTED_VALUE"""),17.0)</f>
        <v>17</v>
      </c>
      <c r="AD480" s="199">
        <f>IFERROR(__xludf.DUMMYFUNCTION("""COMPUTED_VALUE"""),0.0)</f>
        <v>0</v>
      </c>
      <c r="AE480" s="199">
        <f>IFERROR(__xludf.DUMMYFUNCTION("""COMPUTED_VALUE"""),10.0)</f>
        <v>10</v>
      </c>
      <c r="AF480" s="199">
        <f>IFERROR(__xludf.DUMMYFUNCTION("""COMPUTED_VALUE"""),0.0)</f>
        <v>0</v>
      </c>
      <c r="AG480" s="199">
        <f>IFERROR(__xludf.DUMMYFUNCTION("""COMPUTED_VALUE"""),489.0)</f>
        <v>489</v>
      </c>
      <c r="AH480" s="199">
        <f>IFERROR(__xludf.DUMMYFUNCTION("""COMPUTED_VALUE"""),99.0)</f>
        <v>99</v>
      </c>
      <c r="AI480" s="200" t="str">
        <f>IFERROR(__xludf.DUMMYFUNCTION("""COMPUTED_VALUE"""),"Wear Metal Alert | High Particle Count")</f>
        <v>Wear Metal Alert | High Particle Count</v>
      </c>
      <c r="AJ480" s="200" t="str">
        <f>IFERROR(__xludf.DUMMYFUNCTION("""COMPUTED_VALUE"""),"URGENT: Inspect equipment immediately for wear/damage; Critical wear metals detected - schedule immediate inspection; High wear metals - inspect bearing/gear surfaces; Critical particle count - flush system and replace filters")</f>
        <v>URGENT: Inspect equipment immediately for wear/damage; Critical wear metals detected - schedule immediate inspection; High wear metals - inspect bearing/gear surfaces; Critical particle count - flush system and replace filters</v>
      </c>
      <c r="AK480" s="204"/>
      <c r="AL480" s="204"/>
      <c r="AM480" s="204"/>
    </row>
    <row r="481" hidden="1">
      <c r="A481" s="199" t="str">
        <f>IFERROR(__xludf.DUMMYFUNCTION("""COMPUTED_VALUE"""),"421.HR700 (B)")</f>
        <v>421.HR700 (B)</v>
      </c>
      <c r="B481" s="200" t="str">
        <f>IFERROR(__xludf.DUMMYFUNCTION("""COMPUTED_VALUE"""),"HOTDISC Drive M02")</f>
        <v>HOTDISC Drive M02</v>
      </c>
      <c r="C481" s="199">
        <f>IFERROR(__xludf.DUMMYFUNCTION("""COMPUTED_VALUE"""),2.5294210211E10)</f>
        <v>25294210211</v>
      </c>
      <c r="D481" s="201">
        <f>IFERROR(__xludf.DUMMYFUNCTION("""COMPUTED_VALUE"""),45946.0)</f>
        <v>45946</v>
      </c>
      <c r="E481" s="202" t="str">
        <f>IFERROR(__xludf.DUMMYFUNCTION("""COMPUTED_VALUE"""),"Normal")</f>
        <v>Normal</v>
      </c>
      <c r="F481" s="202" t="str">
        <f>IFERROR(__xludf.DUMMYFUNCTION("""COMPUTED_VALUE"""),"Normal")</f>
        <v>Normal</v>
      </c>
      <c r="G481" s="203" t="str">
        <f>IFERROR(__xludf.DUMMYFUNCTION("""COMPUTED_VALUE"""),"Normal")</f>
        <v>Normal</v>
      </c>
      <c r="H481" s="203" t="str">
        <f>IFERROR(__xludf.DUMMYFUNCTION("""COMPUTED_VALUE"""),"Normal")</f>
        <v>Normal</v>
      </c>
      <c r="I481" s="37">
        <f>IFERROR(__xludf.DUMMYFUNCTION("""COMPUTED_VALUE"""),12691.0)</f>
        <v>12691</v>
      </c>
      <c r="J481" s="37">
        <f>IFERROR(__xludf.DUMMYFUNCTION("""COMPUTED_VALUE"""),5122.0)</f>
        <v>5122</v>
      </c>
      <c r="K481" s="37">
        <f>IFERROR(__xludf.DUMMYFUNCTION("""COMPUTED_VALUE"""),2131.0)</f>
        <v>2131</v>
      </c>
      <c r="L481" s="199">
        <f>IFERROR(__xludf.DUMMYFUNCTION("""COMPUTED_VALUE"""),5.0)</f>
        <v>5</v>
      </c>
      <c r="M481" s="199">
        <f>IFERROR(__xludf.DUMMYFUNCTION("""COMPUTED_VALUE"""),217.9)</f>
        <v>217.9</v>
      </c>
      <c r="N481" s="199"/>
      <c r="O481" s="199"/>
      <c r="P481" s="199">
        <f>IFERROR(__xludf.DUMMYFUNCTION("""COMPUTED_VALUE"""),0.003)</f>
        <v>0.003</v>
      </c>
      <c r="Q481" s="199">
        <f>IFERROR(__xludf.DUMMYFUNCTION("""COMPUTED_VALUE"""),0.0)</f>
        <v>0</v>
      </c>
      <c r="R481" s="199">
        <f>IFERROR(__xludf.DUMMYFUNCTION("""COMPUTED_VALUE"""),3.0)</f>
        <v>3</v>
      </c>
      <c r="S481" s="199">
        <f>IFERROR(__xludf.DUMMYFUNCTION("""COMPUTED_VALUE"""),0.0)</f>
        <v>0</v>
      </c>
      <c r="T481" s="199">
        <f>IFERROR(__xludf.DUMMYFUNCTION("""COMPUTED_VALUE"""),2.0)</f>
        <v>2</v>
      </c>
      <c r="U481" s="199">
        <f>IFERROR(__xludf.DUMMYFUNCTION("""COMPUTED_VALUE"""),7.0)</f>
        <v>7</v>
      </c>
      <c r="V481" s="199">
        <f>IFERROR(__xludf.DUMMYFUNCTION("""COMPUTED_VALUE"""),0.0)</f>
        <v>0</v>
      </c>
      <c r="W481" s="199">
        <f>IFERROR(__xludf.DUMMYFUNCTION("""COMPUTED_VALUE"""),0.0)</f>
        <v>0</v>
      </c>
      <c r="X481" s="199">
        <f>IFERROR(__xludf.DUMMYFUNCTION("""COMPUTED_VALUE"""),0.0)</f>
        <v>0</v>
      </c>
      <c r="Y481" s="199">
        <f>IFERROR(__xludf.DUMMYFUNCTION("""COMPUTED_VALUE"""),0.0)</f>
        <v>0</v>
      </c>
      <c r="Z481" s="199">
        <f>IFERROR(__xludf.DUMMYFUNCTION("""COMPUTED_VALUE"""),0.0)</f>
        <v>0</v>
      </c>
      <c r="AA481" s="199">
        <f>IFERROR(__xludf.DUMMYFUNCTION("""COMPUTED_VALUE"""),0.0)</f>
        <v>0</v>
      </c>
      <c r="AB481" s="199">
        <f>IFERROR(__xludf.DUMMYFUNCTION("""COMPUTED_VALUE"""),16.0)</f>
        <v>16</v>
      </c>
      <c r="AC481" s="199">
        <f>IFERROR(__xludf.DUMMYFUNCTION("""COMPUTED_VALUE"""),20.0)</f>
        <v>20</v>
      </c>
      <c r="AD481" s="199">
        <f>IFERROR(__xludf.DUMMYFUNCTION("""COMPUTED_VALUE"""),0.0)</f>
        <v>0</v>
      </c>
      <c r="AE481" s="199">
        <f>IFERROR(__xludf.DUMMYFUNCTION("""COMPUTED_VALUE"""),21.0)</f>
        <v>21</v>
      </c>
      <c r="AF481" s="199">
        <f>IFERROR(__xludf.DUMMYFUNCTION("""COMPUTED_VALUE"""),2.0)</f>
        <v>2</v>
      </c>
      <c r="AG481" s="199">
        <f>IFERROR(__xludf.DUMMYFUNCTION("""COMPUTED_VALUE"""),432.0)</f>
        <v>432</v>
      </c>
      <c r="AH481" s="199">
        <f>IFERROR(__xludf.DUMMYFUNCTION("""COMPUTED_VALUE"""),14.0)</f>
        <v>14</v>
      </c>
      <c r="AI481" s="200" t="str">
        <f>IFERROR(__xludf.DUMMYFUNCTION("""COMPUTED_VALUE"""),"Normal - No Action Required")</f>
        <v>Normal - No Action Required</v>
      </c>
      <c r="AJ481" s="200" t="str">
        <f>IFERROR(__xludf.DUMMYFUNCTION("""COMPUTED_VALUE"""),"Continue routine monitoring and sampling schedule")</f>
        <v>Continue routine monitoring and sampling schedule</v>
      </c>
      <c r="AK481" s="204"/>
      <c r="AL481" s="204"/>
      <c r="AM481" s="204"/>
    </row>
    <row r="482" hidden="1">
      <c r="A482" s="199" t="str">
        <f>IFERROR(__xludf.DUMMYFUNCTION("""COMPUTED_VALUE"""),"441.MD140 (T)")</f>
        <v>441.MD140 (T)</v>
      </c>
      <c r="B482" s="200" t="str">
        <f>IFERROR(__xludf.DUMMYFUNCTION("""COMPUTED_VALUE"""),"Clinker Cooler Drive (From Tank)")</f>
        <v>Clinker Cooler Drive (From Tank)</v>
      </c>
      <c r="C482" s="199">
        <f>IFERROR(__xludf.DUMMYFUNCTION("""COMPUTED_VALUE"""),2.5294210202E10)</f>
        <v>25294210202</v>
      </c>
      <c r="D482" s="201">
        <f>IFERROR(__xludf.DUMMYFUNCTION("""COMPUTED_VALUE"""),45946.0)</f>
        <v>45946</v>
      </c>
      <c r="E482" s="202" t="str">
        <f>IFERROR(__xludf.DUMMYFUNCTION("""COMPUTED_VALUE"""),"Normal")</f>
        <v>Normal</v>
      </c>
      <c r="F482" s="202" t="str">
        <f>IFERROR(__xludf.DUMMYFUNCTION("""COMPUTED_VALUE"""),"Normal")</f>
        <v>Normal</v>
      </c>
      <c r="G482" s="203" t="str">
        <f>IFERROR(__xludf.DUMMYFUNCTION("""COMPUTED_VALUE"""),"Normal")</f>
        <v>Normal</v>
      </c>
      <c r="H482" s="203" t="str">
        <f>IFERROR(__xludf.DUMMYFUNCTION("""COMPUTED_VALUE"""),"Normal")</f>
        <v>Normal</v>
      </c>
      <c r="I482" s="37">
        <f>IFERROR(__xludf.DUMMYFUNCTION("""COMPUTED_VALUE"""),6819.0)</f>
        <v>6819</v>
      </c>
      <c r="J482" s="37">
        <f>IFERROR(__xludf.DUMMYFUNCTION("""COMPUTED_VALUE"""),3112.0)</f>
        <v>3112</v>
      </c>
      <c r="K482" s="37">
        <f>IFERROR(__xludf.DUMMYFUNCTION("""COMPUTED_VALUE"""),422.0)</f>
        <v>422</v>
      </c>
      <c r="L482" s="199">
        <f>IFERROR(__xludf.DUMMYFUNCTION("""COMPUTED_VALUE"""),3.0)</f>
        <v>3</v>
      </c>
      <c r="M482" s="199">
        <f>IFERROR(__xludf.DUMMYFUNCTION("""COMPUTED_VALUE"""),45.3)</f>
        <v>45.3</v>
      </c>
      <c r="N482" s="199"/>
      <c r="O482" s="199">
        <f>IFERROR(__xludf.DUMMYFUNCTION("""COMPUTED_VALUE"""),0.0)</f>
        <v>0</v>
      </c>
      <c r="P482" s="199">
        <f>IFERROR(__xludf.DUMMYFUNCTION("""COMPUTED_VALUE"""),0.003)</f>
        <v>0.003</v>
      </c>
      <c r="Q482" s="199">
        <f>IFERROR(__xludf.DUMMYFUNCTION("""COMPUTED_VALUE"""),0.0)</f>
        <v>0</v>
      </c>
      <c r="R482" s="199">
        <f>IFERROR(__xludf.DUMMYFUNCTION("""COMPUTED_VALUE"""),3.0)</f>
        <v>3</v>
      </c>
      <c r="S482" s="199">
        <f>IFERROR(__xludf.DUMMYFUNCTION("""COMPUTED_VALUE"""),0.0)</f>
        <v>0</v>
      </c>
      <c r="T482" s="199">
        <f>IFERROR(__xludf.DUMMYFUNCTION("""COMPUTED_VALUE"""),2.0)</f>
        <v>2</v>
      </c>
      <c r="U482" s="199">
        <f>IFERROR(__xludf.DUMMYFUNCTION("""COMPUTED_VALUE"""),0.0)</f>
        <v>0</v>
      </c>
      <c r="V482" s="199">
        <f>IFERROR(__xludf.DUMMYFUNCTION("""COMPUTED_VALUE"""),0.0)</f>
        <v>0</v>
      </c>
      <c r="W482" s="199">
        <f>IFERROR(__xludf.DUMMYFUNCTION("""COMPUTED_VALUE"""),0.0)</f>
        <v>0</v>
      </c>
      <c r="X482" s="199">
        <f>IFERROR(__xludf.DUMMYFUNCTION("""COMPUTED_VALUE"""),0.0)</f>
        <v>0</v>
      </c>
      <c r="Y482" s="199">
        <f>IFERROR(__xludf.DUMMYFUNCTION("""COMPUTED_VALUE"""),0.0)</f>
        <v>0</v>
      </c>
      <c r="Z482" s="199">
        <f>IFERROR(__xludf.DUMMYFUNCTION("""COMPUTED_VALUE"""),0.0)</f>
        <v>0</v>
      </c>
      <c r="AA482" s="199">
        <f>IFERROR(__xludf.DUMMYFUNCTION("""COMPUTED_VALUE"""),0.0)</f>
        <v>0</v>
      </c>
      <c r="AB482" s="199">
        <f>IFERROR(__xludf.DUMMYFUNCTION("""COMPUTED_VALUE"""),1.0)</f>
        <v>1</v>
      </c>
      <c r="AC482" s="199">
        <f>IFERROR(__xludf.DUMMYFUNCTION("""COMPUTED_VALUE"""),0.0)</f>
        <v>0</v>
      </c>
      <c r="AD482" s="199">
        <f>IFERROR(__xludf.DUMMYFUNCTION("""COMPUTED_VALUE"""),0.0)</f>
        <v>0</v>
      </c>
      <c r="AE482" s="199">
        <f>IFERROR(__xludf.DUMMYFUNCTION("""COMPUTED_VALUE"""),46.0)</f>
        <v>46</v>
      </c>
      <c r="AF482" s="199">
        <f>IFERROR(__xludf.DUMMYFUNCTION("""COMPUTED_VALUE"""),0.0)</f>
        <v>0</v>
      </c>
      <c r="AG482" s="199">
        <f>IFERROR(__xludf.DUMMYFUNCTION("""COMPUTED_VALUE"""),304.0)</f>
        <v>304</v>
      </c>
      <c r="AH482" s="199">
        <f>IFERROR(__xludf.DUMMYFUNCTION("""COMPUTED_VALUE"""),321.0)</f>
        <v>321</v>
      </c>
      <c r="AI482" s="200" t="str">
        <f>IFERROR(__xludf.DUMMYFUNCTION("""COMPUTED_VALUE"""),"Normal - No Action Required")</f>
        <v>Normal - No Action Required</v>
      </c>
      <c r="AJ482" s="200" t="str">
        <f>IFERROR(__xludf.DUMMYFUNCTION("""COMPUTED_VALUE"""),"Continue routine monitoring and sampling schedule")</f>
        <v>Continue routine monitoring and sampling schedule</v>
      </c>
      <c r="AK482" s="204"/>
      <c r="AL482" s="204"/>
      <c r="AM482" s="204"/>
    </row>
    <row r="483" hidden="1">
      <c r="A483" s="199" t="str">
        <f>IFERROR(__xludf.DUMMYFUNCTION("""COMPUTED_VALUE"""),"461.CP525")</f>
        <v>461.CP525</v>
      </c>
      <c r="B483" s="200" t="str">
        <f>IFERROR(__xludf.DUMMYFUNCTION("""COMPUTED_VALUE"""),"Coal#1 - Air Compressor")</f>
        <v>Coal#1 - Air Compressor</v>
      </c>
      <c r="C483" s="199">
        <f>IFERROR(__xludf.DUMMYFUNCTION("""COMPUTED_VALUE"""),2.5295220211E10)</f>
        <v>25295220211</v>
      </c>
      <c r="D483" s="201">
        <f>IFERROR(__xludf.DUMMYFUNCTION("""COMPUTED_VALUE"""),45946.0)</f>
        <v>45946</v>
      </c>
      <c r="E483" s="202" t="str">
        <f>IFERROR(__xludf.DUMMYFUNCTION("""COMPUTED_VALUE"""),"Normal")</f>
        <v>Normal</v>
      </c>
      <c r="F483" s="202" t="str">
        <f>IFERROR(__xludf.DUMMYFUNCTION("""COMPUTED_VALUE"""),"Normal")</f>
        <v>Normal</v>
      </c>
      <c r="G483" s="203" t="str">
        <f>IFERROR(__xludf.DUMMYFUNCTION("""COMPUTED_VALUE"""),"Normal")</f>
        <v>Normal</v>
      </c>
      <c r="H483" s="203" t="str">
        <f>IFERROR(__xludf.DUMMYFUNCTION("""COMPUTED_VALUE"""),"Normal")</f>
        <v>Normal</v>
      </c>
      <c r="I483" s="37">
        <f>IFERROR(__xludf.DUMMYFUNCTION("""COMPUTED_VALUE"""),9312.0)</f>
        <v>9312</v>
      </c>
      <c r="J483" s="37">
        <f>IFERROR(__xludf.DUMMYFUNCTION("""COMPUTED_VALUE"""),4310.0)</f>
        <v>4310</v>
      </c>
      <c r="K483" s="37">
        <f>IFERROR(__xludf.DUMMYFUNCTION("""COMPUTED_VALUE"""),1100.0)</f>
        <v>1100</v>
      </c>
      <c r="L483" s="199">
        <f>IFERROR(__xludf.DUMMYFUNCTION("""COMPUTED_VALUE"""),6.0)</f>
        <v>6</v>
      </c>
      <c r="M483" s="199">
        <f>IFERROR(__xludf.DUMMYFUNCTION("""COMPUTED_VALUE"""),63.9)</f>
        <v>63.9</v>
      </c>
      <c r="N483" s="199"/>
      <c r="O483" s="199"/>
      <c r="P483" s="199">
        <f>IFERROR(__xludf.DUMMYFUNCTION("""COMPUTED_VALUE"""),0.003)</f>
        <v>0.003</v>
      </c>
      <c r="Q483" s="199">
        <f>IFERROR(__xludf.DUMMYFUNCTION("""COMPUTED_VALUE"""),0.0)</f>
        <v>0</v>
      </c>
      <c r="R483" s="199">
        <f>IFERROR(__xludf.DUMMYFUNCTION("""COMPUTED_VALUE"""),0.0)</f>
        <v>0</v>
      </c>
      <c r="S483" s="199">
        <f>IFERROR(__xludf.DUMMYFUNCTION("""COMPUTED_VALUE"""),0.0)</f>
        <v>0</v>
      </c>
      <c r="T483" s="199">
        <f>IFERROR(__xludf.DUMMYFUNCTION("""COMPUTED_VALUE"""),0.0)</f>
        <v>0</v>
      </c>
      <c r="U483" s="199">
        <f>IFERROR(__xludf.DUMMYFUNCTION("""COMPUTED_VALUE"""),0.0)</f>
        <v>0</v>
      </c>
      <c r="V483" s="199">
        <f>IFERROR(__xludf.DUMMYFUNCTION("""COMPUTED_VALUE"""),0.0)</f>
        <v>0</v>
      </c>
      <c r="W483" s="199">
        <f>IFERROR(__xludf.DUMMYFUNCTION("""COMPUTED_VALUE"""),0.0)</f>
        <v>0</v>
      </c>
      <c r="X483" s="199">
        <f>IFERROR(__xludf.DUMMYFUNCTION("""COMPUTED_VALUE"""),0.0)</f>
        <v>0</v>
      </c>
      <c r="Y483" s="199">
        <f>IFERROR(__xludf.DUMMYFUNCTION("""COMPUTED_VALUE"""),0.0)</f>
        <v>0</v>
      </c>
      <c r="Z483" s="199">
        <f>IFERROR(__xludf.DUMMYFUNCTION("""COMPUTED_VALUE"""),0.0)</f>
        <v>0</v>
      </c>
      <c r="AA483" s="199">
        <f>IFERROR(__xludf.DUMMYFUNCTION("""COMPUTED_VALUE"""),0.0)</f>
        <v>0</v>
      </c>
      <c r="AB483" s="199">
        <f>IFERROR(__xludf.DUMMYFUNCTION("""COMPUTED_VALUE"""),0.0)</f>
        <v>0</v>
      </c>
      <c r="AC483" s="199">
        <f>IFERROR(__xludf.DUMMYFUNCTION("""COMPUTED_VALUE"""),7.0)</f>
        <v>7</v>
      </c>
      <c r="AD483" s="199">
        <f>IFERROR(__xludf.DUMMYFUNCTION("""COMPUTED_VALUE"""),0.0)</f>
        <v>0</v>
      </c>
      <c r="AE483" s="199">
        <f>IFERROR(__xludf.DUMMYFUNCTION("""COMPUTED_VALUE"""),0.0)</f>
        <v>0</v>
      </c>
      <c r="AF483" s="199">
        <f>IFERROR(__xludf.DUMMYFUNCTION("""COMPUTED_VALUE"""),0.0)</f>
        <v>0</v>
      </c>
      <c r="AG483" s="199">
        <f>IFERROR(__xludf.DUMMYFUNCTION("""COMPUTED_VALUE"""),465.0)</f>
        <v>465</v>
      </c>
      <c r="AH483" s="199">
        <f>IFERROR(__xludf.DUMMYFUNCTION("""COMPUTED_VALUE"""),0.0)</f>
        <v>0</v>
      </c>
      <c r="AI483" s="200" t="str">
        <f>IFERROR(__xludf.DUMMYFUNCTION("""COMPUTED_VALUE"""),"Normal - No Action Required")</f>
        <v>Normal - No Action Required</v>
      </c>
      <c r="AJ483" s="200" t="str">
        <f>IFERROR(__xludf.DUMMYFUNCTION("""COMPUTED_VALUE"""),"Continue routine monitoring and sampling schedule")</f>
        <v>Continue routine monitoring and sampling schedule</v>
      </c>
      <c r="AK483" s="204"/>
      <c r="AL483" s="204"/>
      <c r="AM483" s="204"/>
    </row>
    <row r="484" hidden="1">
      <c r="A484" s="199" t="str">
        <f>IFERROR(__xludf.DUMMYFUNCTION("""COMPUTED_VALUE"""),"461.CP526")</f>
        <v>461.CP526</v>
      </c>
      <c r="B484" s="200" t="str">
        <f>IFERROR(__xludf.DUMMYFUNCTION("""COMPUTED_VALUE"""),"Coal#1 - Air Compressor")</f>
        <v>Coal#1 - Air Compressor</v>
      </c>
      <c r="C484" s="199">
        <f>IFERROR(__xludf.DUMMYFUNCTION("""COMPUTED_VALUE"""),2.5294210221E10)</f>
        <v>25294210221</v>
      </c>
      <c r="D484" s="201">
        <f>IFERROR(__xludf.DUMMYFUNCTION("""COMPUTED_VALUE"""),45946.0)</f>
        <v>45946</v>
      </c>
      <c r="E484" s="202" t="str">
        <f>IFERROR(__xludf.DUMMYFUNCTION("""COMPUTED_VALUE"""),"Normal")</f>
        <v>Normal</v>
      </c>
      <c r="F484" s="202" t="str">
        <f>IFERROR(__xludf.DUMMYFUNCTION("""COMPUTED_VALUE"""),"Normal")</f>
        <v>Normal</v>
      </c>
      <c r="G484" s="203" t="str">
        <f>IFERROR(__xludf.DUMMYFUNCTION("""COMPUTED_VALUE"""),"Normal")</f>
        <v>Normal</v>
      </c>
      <c r="H484" s="203" t="str">
        <f>IFERROR(__xludf.DUMMYFUNCTION("""COMPUTED_VALUE"""),"Normal")</f>
        <v>Normal</v>
      </c>
      <c r="I484" s="37">
        <f>IFERROR(__xludf.DUMMYFUNCTION("""COMPUTED_VALUE"""),18310.0)</f>
        <v>18310</v>
      </c>
      <c r="J484" s="37">
        <f>IFERROR(__xludf.DUMMYFUNCTION("""COMPUTED_VALUE"""),9146.0)</f>
        <v>9146</v>
      </c>
      <c r="K484" s="37">
        <f>IFERROR(__xludf.DUMMYFUNCTION("""COMPUTED_VALUE"""),4511.0)</f>
        <v>4511</v>
      </c>
      <c r="L484" s="199">
        <f>IFERROR(__xludf.DUMMYFUNCTION("""COMPUTED_VALUE"""),6.0)</f>
        <v>6</v>
      </c>
      <c r="M484" s="199">
        <f>IFERROR(__xludf.DUMMYFUNCTION("""COMPUTED_VALUE"""),64.2)</f>
        <v>64.2</v>
      </c>
      <c r="N484" s="199"/>
      <c r="O484" s="199"/>
      <c r="P484" s="199">
        <f>IFERROR(__xludf.DUMMYFUNCTION("""COMPUTED_VALUE"""),0.003)</f>
        <v>0.003</v>
      </c>
      <c r="Q484" s="199">
        <f>IFERROR(__xludf.DUMMYFUNCTION("""COMPUTED_VALUE"""),0.0)</f>
        <v>0</v>
      </c>
      <c r="R484" s="199">
        <f>IFERROR(__xludf.DUMMYFUNCTION("""COMPUTED_VALUE"""),4.0)</f>
        <v>4</v>
      </c>
      <c r="S484" s="199">
        <f>IFERROR(__xludf.DUMMYFUNCTION("""COMPUTED_VALUE"""),0.0)</f>
        <v>0</v>
      </c>
      <c r="T484" s="199">
        <f>IFERROR(__xludf.DUMMYFUNCTION("""COMPUTED_VALUE"""),2.0)</f>
        <v>2</v>
      </c>
      <c r="U484" s="199">
        <f>IFERROR(__xludf.DUMMYFUNCTION("""COMPUTED_VALUE"""),1.0)</f>
        <v>1</v>
      </c>
      <c r="V484" s="199">
        <f>IFERROR(__xludf.DUMMYFUNCTION("""COMPUTED_VALUE"""),0.0)</f>
        <v>0</v>
      </c>
      <c r="W484" s="199">
        <f>IFERROR(__xludf.DUMMYFUNCTION("""COMPUTED_VALUE"""),0.0)</f>
        <v>0</v>
      </c>
      <c r="X484" s="199">
        <f>IFERROR(__xludf.DUMMYFUNCTION("""COMPUTED_VALUE"""),0.0)</f>
        <v>0</v>
      </c>
      <c r="Y484" s="199">
        <f>IFERROR(__xludf.DUMMYFUNCTION("""COMPUTED_VALUE"""),0.0)</f>
        <v>0</v>
      </c>
      <c r="Z484" s="199">
        <f>IFERROR(__xludf.DUMMYFUNCTION("""COMPUTED_VALUE"""),0.0)</f>
        <v>0</v>
      </c>
      <c r="AA484" s="199">
        <f>IFERROR(__xludf.DUMMYFUNCTION("""COMPUTED_VALUE"""),0.0)</f>
        <v>0</v>
      </c>
      <c r="AB484" s="199">
        <f>IFERROR(__xludf.DUMMYFUNCTION("""COMPUTED_VALUE"""),4.0)</f>
        <v>4</v>
      </c>
      <c r="AC484" s="199">
        <f>IFERROR(__xludf.DUMMYFUNCTION("""COMPUTED_VALUE"""),0.0)</f>
        <v>0</v>
      </c>
      <c r="AD484" s="199">
        <f>IFERROR(__xludf.DUMMYFUNCTION("""COMPUTED_VALUE"""),0.0)</f>
        <v>0</v>
      </c>
      <c r="AE484" s="199">
        <f>IFERROR(__xludf.DUMMYFUNCTION("""COMPUTED_VALUE"""),7.0)</f>
        <v>7</v>
      </c>
      <c r="AF484" s="199">
        <f>IFERROR(__xludf.DUMMYFUNCTION("""COMPUTED_VALUE"""),0.0)</f>
        <v>0</v>
      </c>
      <c r="AG484" s="199">
        <f>IFERROR(__xludf.DUMMYFUNCTION("""COMPUTED_VALUE"""),445.0)</f>
        <v>445</v>
      </c>
      <c r="AH484" s="199">
        <f>IFERROR(__xludf.DUMMYFUNCTION("""COMPUTED_VALUE"""),4.0)</f>
        <v>4</v>
      </c>
      <c r="AI484" s="200" t="str">
        <f>IFERROR(__xludf.DUMMYFUNCTION("""COMPUTED_VALUE"""),"Normal - No Action Required")</f>
        <v>Normal - No Action Required</v>
      </c>
      <c r="AJ484" s="200" t="str">
        <f>IFERROR(__xludf.DUMMYFUNCTION("""COMPUTED_VALUE"""),"Continue routine monitoring and sampling schedule")</f>
        <v>Continue routine monitoring and sampling schedule</v>
      </c>
      <c r="AK484" s="204"/>
      <c r="AL484" s="204"/>
      <c r="AM484" s="204"/>
    </row>
    <row r="485" hidden="1">
      <c r="A485" s="199" t="str">
        <f>IFERROR(__xludf.DUMMYFUNCTION("""COMPUTED_VALUE"""),"461.LQ120(T)")</f>
        <v>461.LQ120(T)</v>
      </c>
      <c r="B485" s="200" t="str">
        <f>IFERROR(__xludf.DUMMYFUNCTION("""COMPUTED_VALUE"""),"Coal mill 1 Roller Lub. Unit (Tank)")</f>
        <v>Coal mill 1 Roller Lub. Unit (Tank)</v>
      </c>
      <c r="C485" s="199">
        <f>IFERROR(__xludf.DUMMYFUNCTION("""COMPUTED_VALUE"""),2.5295220227E10)</f>
        <v>25295220227</v>
      </c>
      <c r="D485" s="201">
        <f>IFERROR(__xludf.DUMMYFUNCTION("""COMPUTED_VALUE"""),45946.0)</f>
        <v>45946</v>
      </c>
      <c r="E485" s="202" t="str">
        <f>IFERROR(__xludf.DUMMYFUNCTION("""COMPUTED_VALUE"""),"Normal")</f>
        <v>Normal</v>
      </c>
      <c r="F485" s="202" t="str">
        <f>IFERROR(__xludf.DUMMYFUNCTION("""COMPUTED_VALUE"""),"Normal")</f>
        <v>Normal</v>
      </c>
      <c r="G485" s="203" t="str">
        <f>IFERROR(__xludf.DUMMYFUNCTION("""COMPUTED_VALUE"""),"Normal")</f>
        <v>Normal</v>
      </c>
      <c r="H485" s="203" t="str">
        <f>IFERROR(__xludf.DUMMYFUNCTION("""COMPUTED_VALUE"""),"Normal")</f>
        <v>Normal</v>
      </c>
      <c r="I485" s="37"/>
      <c r="J485" s="37"/>
      <c r="K485" s="37"/>
      <c r="L485" s="199">
        <f>IFERROR(__xludf.DUMMYFUNCTION("""COMPUTED_VALUE"""),16.0)</f>
        <v>16</v>
      </c>
      <c r="M485" s="199">
        <f>IFERROR(__xludf.DUMMYFUNCTION("""COMPUTED_VALUE"""),92.1)</f>
        <v>92.1</v>
      </c>
      <c r="N485" s="199"/>
      <c r="O485" s="199"/>
      <c r="P485" s="199">
        <f>IFERROR(__xludf.DUMMYFUNCTION("""COMPUTED_VALUE"""),0.04)</f>
        <v>0.04</v>
      </c>
      <c r="Q485" s="199">
        <f>IFERROR(__xludf.DUMMYFUNCTION("""COMPUTED_VALUE"""),0.0)</f>
        <v>0</v>
      </c>
      <c r="R485" s="199">
        <f>IFERROR(__xludf.DUMMYFUNCTION("""COMPUTED_VALUE"""),0.0)</f>
        <v>0</v>
      </c>
      <c r="S485" s="199">
        <f>IFERROR(__xludf.DUMMYFUNCTION("""COMPUTED_VALUE"""),0.0)</f>
        <v>0</v>
      </c>
      <c r="T485" s="199">
        <f>IFERROR(__xludf.DUMMYFUNCTION("""COMPUTED_VALUE"""),0.0)</f>
        <v>0</v>
      </c>
      <c r="U485" s="199">
        <f>IFERROR(__xludf.DUMMYFUNCTION("""COMPUTED_VALUE"""),0.0)</f>
        <v>0</v>
      </c>
      <c r="V485" s="199">
        <f>IFERROR(__xludf.DUMMYFUNCTION("""COMPUTED_VALUE"""),0.0)</f>
        <v>0</v>
      </c>
      <c r="W485" s="199">
        <f>IFERROR(__xludf.DUMMYFUNCTION("""COMPUTED_VALUE"""),0.0)</f>
        <v>0</v>
      </c>
      <c r="X485" s="199">
        <f>IFERROR(__xludf.DUMMYFUNCTION("""COMPUTED_VALUE"""),0.0)</f>
        <v>0</v>
      </c>
      <c r="Y485" s="199">
        <f>IFERROR(__xludf.DUMMYFUNCTION("""COMPUTED_VALUE"""),0.0)</f>
        <v>0</v>
      </c>
      <c r="Z485" s="199">
        <f>IFERROR(__xludf.DUMMYFUNCTION("""COMPUTED_VALUE"""),2.0)</f>
        <v>2</v>
      </c>
      <c r="AA485" s="199">
        <f>IFERROR(__xludf.DUMMYFUNCTION("""COMPUTED_VALUE"""),0.0)</f>
        <v>0</v>
      </c>
      <c r="AB485" s="199">
        <f>IFERROR(__xludf.DUMMYFUNCTION("""COMPUTED_VALUE"""),12.0)</f>
        <v>12</v>
      </c>
      <c r="AC485" s="199">
        <f>IFERROR(__xludf.DUMMYFUNCTION("""COMPUTED_VALUE"""),4.0)</f>
        <v>4</v>
      </c>
      <c r="AD485" s="199">
        <f>IFERROR(__xludf.DUMMYFUNCTION("""COMPUTED_VALUE"""),0.0)</f>
        <v>0</v>
      </c>
      <c r="AE485" s="199">
        <f>IFERROR(__xludf.DUMMYFUNCTION("""COMPUTED_VALUE"""),8.0)</f>
        <v>8</v>
      </c>
      <c r="AF485" s="199">
        <f>IFERROR(__xludf.DUMMYFUNCTION("""COMPUTED_VALUE"""),0.0)</f>
        <v>0</v>
      </c>
      <c r="AG485" s="199">
        <f>IFERROR(__xludf.DUMMYFUNCTION("""COMPUTED_VALUE"""),467.0)</f>
        <v>467</v>
      </c>
      <c r="AH485" s="199">
        <f>IFERROR(__xludf.DUMMYFUNCTION("""COMPUTED_VALUE"""),0.0)</f>
        <v>0</v>
      </c>
      <c r="AI485" s="200" t="str">
        <f>IFERROR(__xludf.DUMMYFUNCTION("""COMPUTED_VALUE"""),"Normal - No Action Required")</f>
        <v>Normal - No Action Required</v>
      </c>
      <c r="AJ485" s="200" t="str">
        <f>IFERROR(__xludf.DUMMYFUNCTION("""COMPUTED_VALUE"""),"Continue routine monitoring and sampling schedule")</f>
        <v>Continue routine monitoring and sampling schedule</v>
      </c>
      <c r="AK485" s="204"/>
      <c r="AL485" s="204"/>
      <c r="AM485" s="204"/>
    </row>
    <row r="486" hidden="1">
      <c r="A486" s="199" t="str">
        <f>IFERROR(__xludf.DUMMYFUNCTION("""COMPUTED_VALUE"""),"462.CP525")</f>
        <v>462.CP525</v>
      </c>
      <c r="B486" s="200" t="str">
        <f>IFERROR(__xludf.DUMMYFUNCTION("""COMPUTED_VALUE"""),"Coal#1 - Air Compressor")</f>
        <v>Coal#1 - Air Compressor</v>
      </c>
      <c r="C486" s="199">
        <f>IFERROR(__xludf.DUMMYFUNCTION("""COMPUTED_VALUE"""),2.5295220209E10)</f>
        <v>25295220209</v>
      </c>
      <c r="D486" s="201">
        <f>IFERROR(__xludf.DUMMYFUNCTION("""COMPUTED_VALUE"""),45946.0)</f>
        <v>45946</v>
      </c>
      <c r="E486" s="202" t="str">
        <f>IFERROR(__xludf.DUMMYFUNCTION("""COMPUTED_VALUE"""),"Normal")</f>
        <v>Normal</v>
      </c>
      <c r="F486" s="202" t="str">
        <f>IFERROR(__xludf.DUMMYFUNCTION("""COMPUTED_VALUE"""),"Normal")</f>
        <v>Normal</v>
      </c>
      <c r="G486" s="203" t="str">
        <f>IFERROR(__xludf.DUMMYFUNCTION("""COMPUTED_VALUE"""),"Normal")</f>
        <v>Normal</v>
      </c>
      <c r="H486" s="203" t="str">
        <f>IFERROR(__xludf.DUMMYFUNCTION("""COMPUTED_VALUE"""),"Normal")</f>
        <v>Normal</v>
      </c>
      <c r="I486" s="37">
        <f>IFERROR(__xludf.DUMMYFUNCTION("""COMPUTED_VALUE"""),11915.0)</f>
        <v>11915</v>
      </c>
      <c r="J486" s="37">
        <f>IFERROR(__xludf.DUMMYFUNCTION("""COMPUTED_VALUE"""),6631.0)</f>
        <v>6631</v>
      </c>
      <c r="K486" s="37">
        <f>IFERROR(__xludf.DUMMYFUNCTION("""COMPUTED_VALUE"""),1151.0)</f>
        <v>1151</v>
      </c>
      <c r="L486" s="199">
        <f>IFERROR(__xludf.DUMMYFUNCTION("""COMPUTED_VALUE"""),6.0)</f>
        <v>6</v>
      </c>
      <c r="M486" s="199">
        <f>IFERROR(__xludf.DUMMYFUNCTION("""COMPUTED_VALUE"""),67.2)</f>
        <v>67.2</v>
      </c>
      <c r="N486" s="199"/>
      <c r="O486" s="199"/>
      <c r="P486" s="199">
        <f>IFERROR(__xludf.DUMMYFUNCTION("""COMPUTED_VALUE"""),0.01)</f>
        <v>0.01</v>
      </c>
      <c r="Q486" s="199">
        <f>IFERROR(__xludf.DUMMYFUNCTION("""COMPUTED_VALUE"""),0.0)</f>
        <v>0</v>
      </c>
      <c r="R486" s="199">
        <f>IFERROR(__xludf.DUMMYFUNCTION("""COMPUTED_VALUE"""),0.0)</f>
        <v>0</v>
      </c>
      <c r="S486" s="199">
        <f>IFERROR(__xludf.DUMMYFUNCTION("""COMPUTED_VALUE"""),0.0)</f>
        <v>0</v>
      </c>
      <c r="T486" s="199">
        <f>IFERROR(__xludf.DUMMYFUNCTION("""COMPUTED_VALUE"""),0.0)</f>
        <v>0</v>
      </c>
      <c r="U486" s="199">
        <f>IFERROR(__xludf.DUMMYFUNCTION("""COMPUTED_VALUE"""),0.0)</f>
        <v>0</v>
      </c>
      <c r="V486" s="199">
        <f>IFERROR(__xludf.DUMMYFUNCTION("""COMPUTED_VALUE"""),0.0)</f>
        <v>0</v>
      </c>
      <c r="W486" s="199">
        <f>IFERROR(__xludf.DUMMYFUNCTION("""COMPUTED_VALUE"""),0.0)</f>
        <v>0</v>
      </c>
      <c r="X486" s="199">
        <f>IFERROR(__xludf.DUMMYFUNCTION("""COMPUTED_VALUE"""),0.0)</f>
        <v>0</v>
      </c>
      <c r="Y486" s="199">
        <f>IFERROR(__xludf.DUMMYFUNCTION("""COMPUTED_VALUE"""),0.0)</f>
        <v>0</v>
      </c>
      <c r="Z486" s="199">
        <f>IFERROR(__xludf.DUMMYFUNCTION("""COMPUTED_VALUE"""),0.0)</f>
        <v>0</v>
      </c>
      <c r="AA486" s="199">
        <f>IFERROR(__xludf.DUMMYFUNCTION("""COMPUTED_VALUE"""),0.0)</f>
        <v>0</v>
      </c>
      <c r="AB486" s="199">
        <f>IFERROR(__xludf.DUMMYFUNCTION("""COMPUTED_VALUE"""),0.0)</f>
        <v>0</v>
      </c>
      <c r="AC486" s="199">
        <f>IFERROR(__xludf.DUMMYFUNCTION("""COMPUTED_VALUE"""),5.0)</f>
        <v>5</v>
      </c>
      <c r="AD486" s="199">
        <f>IFERROR(__xludf.DUMMYFUNCTION("""COMPUTED_VALUE"""),0.0)</f>
        <v>0</v>
      </c>
      <c r="AE486" s="199">
        <f>IFERROR(__xludf.DUMMYFUNCTION("""COMPUTED_VALUE"""),0.0)</f>
        <v>0</v>
      </c>
      <c r="AF486" s="199">
        <f>IFERROR(__xludf.DUMMYFUNCTION("""COMPUTED_VALUE"""),0.0)</f>
        <v>0</v>
      </c>
      <c r="AG486" s="199">
        <f>IFERROR(__xludf.DUMMYFUNCTION("""COMPUTED_VALUE"""),621.0)</f>
        <v>621</v>
      </c>
      <c r="AH486" s="199">
        <f>IFERROR(__xludf.DUMMYFUNCTION("""COMPUTED_VALUE"""),0.0)</f>
        <v>0</v>
      </c>
      <c r="AI486" s="200" t="str">
        <f>IFERROR(__xludf.DUMMYFUNCTION("""COMPUTED_VALUE"""),"Normal - No Action Required")</f>
        <v>Normal - No Action Required</v>
      </c>
      <c r="AJ486" s="200" t="str">
        <f>IFERROR(__xludf.DUMMYFUNCTION("""COMPUTED_VALUE"""),"Continue routine monitoring and sampling schedule")</f>
        <v>Continue routine monitoring and sampling schedule</v>
      </c>
      <c r="AK486" s="204"/>
      <c r="AL486" s="204"/>
      <c r="AM486" s="204"/>
    </row>
    <row r="487" hidden="1">
      <c r="A487" s="199" t="str">
        <f>IFERROR(__xludf.DUMMYFUNCTION("""COMPUTED_VALUE"""),"462.CP530")</f>
        <v>462.CP530</v>
      </c>
      <c r="B487" s="200" t="str">
        <f>IFERROR(__xludf.DUMMYFUNCTION("""COMPUTED_VALUE"""),"Coal#1 - Air Compressor")</f>
        <v>Coal#1 - Air Compressor</v>
      </c>
      <c r="C487" s="199">
        <f>IFERROR(__xludf.DUMMYFUNCTION("""COMPUTED_VALUE"""),2.5294210223E10)</f>
        <v>25294210223</v>
      </c>
      <c r="D487" s="201">
        <f>IFERROR(__xludf.DUMMYFUNCTION("""COMPUTED_VALUE"""),45946.0)</f>
        <v>45946</v>
      </c>
      <c r="E487" s="202" t="str">
        <f>IFERROR(__xludf.DUMMYFUNCTION("""COMPUTED_VALUE"""),"Normal")</f>
        <v>Normal</v>
      </c>
      <c r="F487" s="202" t="str">
        <f>IFERROR(__xludf.DUMMYFUNCTION("""COMPUTED_VALUE"""),"Normal")</f>
        <v>Normal</v>
      </c>
      <c r="G487" s="203" t="str">
        <f>IFERROR(__xludf.DUMMYFUNCTION("""COMPUTED_VALUE"""),"Normal")</f>
        <v>Normal</v>
      </c>
      <c r="H487" s="203" t="str">
        <f>IFERROR(__xludf.DUMMYFUNCTION("""COMPUTED_VALUE"""),"Normal")</f>
        <v>Normal</v>
      </c>
      <c r="I487" s="37">
        <f>IFERROR(__xludf.DUMMYFUNCTION("""COMPUTED_VALUE"""),8492.0)</f>
        <v>8492</v>
      </c>
      <c r="J487" s="37">
        <f>IFERROR(__xludf.DUMMYFUNCTION("""COMPUTED_VALUE"""),4608.0)</f>
        <v>4608</v>
      </c>
      <c r="K487" s="37">
        <f>IFERROR(__xludf.DUMMYFUNCTION("""COMPUTED_VALUE"""),1171.0)</f>
        <v>1171</v>
      </c>
      <c r="L487" s="199">
        <f>IFERROR(__xludf.DUMMYFUNCTION("""COMPUTED_VALUE"""),5.0)</f>
        <v>5</v>
      </c>
      <c r="M487" s="199">
        <f>IFERROR(__xludf.DUMMYFUNCTION("""COMPUTED_VALUE"""),64.8)</f>
        <v>64.8</v>
      </c>
      <c r="N487" s="199"/>
      <c r="O487" s="199"/>
      <c r="P487" s="199">
        <f>IFERROR(__xludf.DUMMYFUNCTION("""COMPUTED_VALUE"""),0.01)</f>
        <v>0.01</v>
      </c>
      <c r="Q487" s="199">
        <f>IFERROR(__xludf.DUMMYFUNCTION("""COMPUTED_VALUE"""),0.0)</f>
        <v>0</v>
      </c>
      <c r="R487" s="199">
        <f>IFERROR(__xludf.DUMMYFUNCTION("""COMPUTED_VALUE"""),3.0)</f>
        <v>3</v>
      </c>
      <c r="S487" s="199">
        <f>IFERROR(__xludf.DUMMYFUNCTION("""COMPUTED_VALUE"""),0.0)</f>
        <v>0</v>
      </c>
      <c r="T487" s="199">
        <f>IFERROR(__xludf.DUMMYFUNCTION("""COMPUTED_VALUE"""),2.0)</f>
        <v>2</v>
      </c>
      <c r="U487" s="199">
        <f>IFERROR(__xludf.DUMMYFUNCTION("""COMPUTED_VALUE"""),0.0)</f>
        <v>0</v>
      </c>
      <c r="V487" s="199">
        <f>IFERROR(__xludf.DUMMYFUNCTION("""COMPUTED_VALUE"""),0.0)</f>
        <v>0</v>
      </c>
      <c r="W487" s="199">
        <f>IFERROR(__xludf.DUMMYFUNCTION("""COMPUTED_VALUE"""),0.0)</f>
        <v>0</v>
      </c>
      <c r="X487" s="199">
        <f>IFERROR(__xludf.DUMMYFUNCTION("""COMPUTED_VALUE"""),0.0)</f>
        <v>0</v>
      </c>
      <c r="Y487" s="199">
        <f>IFERROR(__xludf.DUMMYFUNCTION("""COMPUTED_VALUE"""),0.0)</f>
        <v>0</v>
      </c>
      <c r="Z487" s="199">
        <f>IFERROR(__xludf.DUMMYFUNCTION("""COMPUTED_VALUE"""),0.0)</f>
        <v>0</v>
      </c>
      <c r="AA487" s="199">
        <f>IFERROR(__xludf.DUMMYFUNCTION("""COMPUTED_VALUE"""),0.0)</f>
        <v>0</v>
      </c>
      <c r="AB487" s="199">
        <f>IFERROR(__xludf.DUMMYFUNCTION("""COMPUTED_VALUE"""),13.0)</f>
        <v>13</v>
      </c>
      <c r="AC487" s="199">
        <f>IFERROR(__xludf.DUMMYFUNCTION("""COMPUTED_VALUE"""),0.0)</f>
        <v>0</v>
      </c>
      <c r="AD487" s="199">
        <f>IFERROR(__xludf.DUMMYFUNCTION("""COMPUTED_VALUE"""),0.0)</f>
        <v>0</v>
      </c>
      <c r="AE487" s="199">
        <f>IFERROR(__xludf.DUMMYFUNCTION("""COMPUTED_VALUE"""),8.0)</f>
        <v>8</v>
      </c>
      <c r="AF487" s="199">
        <f>IFERROR(__xludf.DUMMYFUNCTION("""COMPUTED_VALUE"""),0.0)</f>
        <v>0</v>
      </c>
      <c r="AG487" s="199">
        <f>IFERROR(__xludf.DUMMYFUNCTION("""COMPUTED_VALUE"""),456.0)</f>
        <v>456</v>
      </c>
      <c r="AH487" s="199">
        <f>IFERROR(__xludf.DUMMYFUNCTION("""COMPUTED_VALUE"""),0.0)</f>
        <v>0</v>
      </c>
      <c r="AI487" s="200" t="str">
        <f>IFERROR(__xludf.DUMMYFUNCTION("""COMPUTED_VALUE"""),"Normal - No Action Required")</f>
        <v>Normal - No Action Required</v>
      </c>
      <c r="AJ487" s="200" t="str">
        <f>IFERROR(__xludf.DUMMYFUNCTION("""COMPUTED_VALUE"""),"Continue routine monitoring and sampling schedule")</f>
        <v>Continue routine monitoring and sampling schedule</v>
      </c>
      <c r="AK487" s="204"/>
      <c r="AL487" s="204"/>
      <c r="AM487" s="204"/>
    </row>
    <row r="488" hidden="1">
      <c r="A488" s="199" t="str">
        <f>IFERROR(__xludf.DUMMYFUNCTION("""COMPUTED_VALUE"""),"462.CP535")</f>
        <v>462.CP535</v>
      </c>
      <c r="B488" s="200" t="str">
        <f>IFERROR(__xludf.DUMMYFUNCTION("""COMPUTED_VALUE"""),"Coal#1 - Air Compressor")</f>
        <v>Coal#1 - Air Compressor</v>
      </c>
      <c r="C488" s="199">
        <f>IFERROR(__xludf.DUMMYFUNCTION("""COMPUTED_VALUE"""),2.5294210219E10)</f>
        <v>25294210219</v>
      </c>
      <c r="D488" s="201">
        <f>IFERROR(__xludf.DUMMYFUNCTION("""COMPUTED_VALUE"""),45946.0)</f>
        <v>45946</v>
      </c>
      <c r="E488" s="202" t="str">
        <f>IFERROR(__xludf.DUMMYFUNCTION("""COMPUTED_VALUE"""),"Caution")</f>
        <v>Caution</v>
      </c>
      <c r="F488" s="202" t="str">
        <f>IFERROR(__xludf.DUMMYFUNCTION("""COMPUTED_VALUE"""),"Caution")</f>
        <v>Caution</v>
      </c>
      <c r="G488" s="203" t="str">
        <f>IFERROR(__xludf.DUMMYFUNCTION("""COMPUTED_VALUE"""),"Normal")</f>
        <v>Normal</v>
      </c>
      <c r="H488" s="203" t="str">
        <f>IFERROR(__xludf.DUMMYFUNCTION("""COMPUTED_VALUE"""),"Normal")</f>
        <v>Normal</v>
      </c>
      <c r="I488" s="37">
        <f>IFERROR(__xludf.DUMMYFUNCTION("""COMPUTED_VALUE"""),18917.0)</f>
        <v>18917</v>
      </c>
      <c r="J488" s="37">
        <f>IFERROR(__xludf.DUMMYFUNCTION("""COMPUTED_VALUE"""),10062.0)</f>
        <v>10062</v>
      </c>
      <c r="K488" s="37">
        <f>IFERROR(__xludf.DUMMYFUNCTION("""COMPUTED_VALUE"""),6516.0)</f>
        <v>6516</v>
      </c>
      <c r="L488" s="199">
        <f>IFERROR(__xludf.DUMMYFUNCTION("""COMPUTED_VALUE"""),15.0)</f>
        <v>15</v>
      </c>
      <c r="M488" s="199">
        <f>IFERROR(__xludf.DUMMYFUNCTION("""COMPUTED_VALUE"""),66.9)</f>
        <v>66.9</v>
      </c>
      <c r="N488" s="199"/>
      <c r="O488" s="199"/>
      <c r="P488" s="199">
        <f>IFERROR(__xludf.DUMMYFUNCTION("""COMPUTED_VALUE"""),0.07)</f>
        <v>0.07</v>
      </c>
      <c r="Q488" s="199">
        <f>IFERROR(__xludf.DUMMYFUNCTION("""COMPUTED_VALUE"""),0.0)</f>
        <v>0</v>
      </c>
      <c r="R488" s="199">
        <f>IFERROR(__xludf.DUMMYFUNCTION("""COMPUTED_VALUE"""),4.0)</f>
        <v>4</v>
      </c>
      <c r="S488" s="199">
        <f>IFERROR(__xludf.DUMMYFUNCTION("""COMPUTED_VALUE"""),1.0)</f>
        <v>1</v>
      </c>
      <c r="T488" s="199">
        <f>IFERROR(__xludf.DUMMYFUNCTION("""COMPUTED_VALUE"""),2.0)</f>
        <v>2</v>
      </c>
      <c r="U488" s="199">
        <f>IFERROR(__xludf.DUMMYFUNCTION("""COMPUTED_VALUE"""),1.0)</f>
        <v>1</v>
      </c>
      <c r="V488" s="199">
        <f>IFERROR(__xludf.DUMMYFUNCTION("""COMPUTED_VALUE"""),0.0)</f>
        <v>0</v>
      </c>
      <c r="W488" s="199">
        <f>IFERROR(__xludf.DUMMYFUNCTION("""COMPUTED_VALUE"""),0.0)</f>
        <v>0</v>
      </c>
      <c r="X488" s="199">
        <f>IFERROR(__xludf.DUMMYFUNCTION("""COMPUTED_VALUE"""),0.0)</f>
        <v>0</v>
      </c>
      <c r="Y488" s="199">
        <f>IFERROR(__xludf.DUMMYFUNCTION("""COMPUTED_VALUE"""),0.0)</f>
        <v>0</v>
      </c>
      <c r="Z488" s="199">
        <f>IFERROR(__xludf.DUMMYFUNCTION("""COMPUTED_VALUE"""),0.0)</f>
        <v>0</v>
      </c>
      <c r="AA488" s="199">
        <f>IFERROR(__xludf.DUMMYFUNCTION("""COMPUTED_VALUE"""),0.0)</f>
        <v>0</v>
      </c>
      <c r="AB488" s="199">
        <f>IFERROR(__xludf.DUMMYFUNCTION("""COMPUTED_VALUE"""),4.0)</f>
        <v>4</v>
      </c>
      <c r="AC488" s="199">
        <f>IFERROR(__xludf.DUMMYFUNCTION("""COMPUTED_VALUE"""),0.0)</f>
        <v>0</v>
      </c>
      <c r="AD488" s="199">
        <f>IFERROR(__xludf.DUMMYFUNCTION("""COMPUTED_VALUE"""),0.0)</f>
        <v>0</v>
      </c>
      <c r="AE488" s="199">
        <f>IFERROR(__xludf.DUMMYFUNCTION("""COMPUTED_VALUE"""),15.0)</f>
        <v>15</v>
      </c>
      <c r="AF488" s="199">
        <f>IFERROR(__xludf.DUMMYFUNCTION("""COMPUTED_VALUE"""),2.0)</f>
        <v>2</v>
      </c>
      <c r="AG488" s="199">
        <f>IFERROR(__xludf.DUMMYFUNCTION("""COMPUTED_VALUE"""),674.0)</f>
        <v>674</v>
      </c>
      <c r="AH488" s="199">
        <f>IFERROR(__xludf.DUMMYFUNCTION("""COMPUTED_VALUE"""),9.0)</f>
        <v>9</v>
      </c>
      <c r="AI488" s="200" t="str">
        <f>IFERROR(__xludf.DUMMYFUNCTION("""COMPUTED_VALUE"""),"Moisture Caution")</f>
        <v>Moisture Caution</v>
      </c>
      <c r="AJ488" s="200" t="str">
        <f>IFERROR(__xludf.DUMMYFUNCTION("""COMPUTED_VALUE"""),"Moisture detected - check breathers and seals")</f>
        <v>Moisture detected - check breathers and seals</v>
      </c>
      <c r="AK488" s="204"/>
      <c r="AL488" s="204"/>
      <c r="AM488" s="204"/>
    </row>
    <row r="489" hidden="1">
      <c r="A489" s="199" t="str">
        <f>IFERROR(__xludf.DUMMYFUNCTION("""COMPUTED_VALUE"""),"531.LQ145")</f>
        <v>531.LQ145</v>
      </c>
      <c r="B489" s="200" t="str">
        <f>IFERROR(__xludf.DUMMYFUNCTION("""COMPUTED_VALUE"""),"Cement Mill #1 Gear box")</f>
        <v>Cement Mill #1 Gear box</v>
      </c>
      <c r="C489" s="199">
        <f>IFERROR(__xludf.DUMMYFUNCTION("""COMPUTED_VALUE"""),2.5295220236E10)</f>
        <v>25295220236</v>
      </c>
      <c r="D489" s="201">
        <f>IFERROR(__xludf.DUMMYFUNCTION("""COMPUTED_VALUE"""),45946.0)</f>
        <v>45946</v>
      </c>
      <c r="E489" s="202" t="str">
        <f>IFERROR(__xludf.DUMMYFUNCTION("""COMPUTED_VALUE"""),"Alert")</f>
        <v>Alert</v>
      </c>
      <c r="F489" s="202" t="str">
        <f>IFERROR(__xludf.DUMMYFUNCTION("""COMPUTED_VALUE"""),"Alert")</f>
        <v>Alert</v>
      </c>
      <c r="G489" s="203" t="str">
        <f>IFERROR(__xludf.DUMMYFUNCTION("""COMPUTED_VALUE"""),"Alert")</f>
        <v>Alert</v>
      </c>
      <c r="H489" s="203" t="str">
        <f>IFERROR(__xludf.DUMMYFUNCTION("""COMPUTED_VALUE"""),"Normal")</f>
        <v>Normal</v>
      </c>
      <c r="I489" s="37"/>
      <c r="J489" s="37"/>
      <c r="K489" s="37"/>
      <c r="L489" s="199">
        <f>IFERROR(__xludf.DUMMYFUNCTION("""COMPUTED_VALUE"""),146.0)</f>
        <v>146</v>
      </c>
      <c r="M489" s="199">
        <f>IFERROR(__xludf.DUMMYFUNCTION("""COMPUTED_VALUE"""),456.3)</f>
        <v>456.3</v>
      </c>
      <c r="N489" s="199"/>
      <c r="O489" s="199">
        <f>IFERROR(__xludf.DUMMYFUNCTION("""COMPUTED_VALUE"""),3.0)</f>
        <v>3</v>
      </c>
      <c r="P489" s="199">
        <f>IFERROR(__xludf.DUMMYFUNCTION("""COMPUTED_VALUE"""),0.2)</f>
        <v>0.2</v>
      </c>
      <c r="Q489" s="199">
        <f>IFERROR(__xludf.DUMMYFUNCTION("""COMPUTED_VALUE"""),0.0)</f>
        <v>0</v>
      </c>
      <c r="R489" s="199">
        <f>IFERROR(__xludf.DUMMYFUNCTION("""COMPUTED_VALUE"""),38.0)</f>
        <v>38</v>
      </c>
      <c r="S489" s="199">
        <f>IFERROR(__xludf.DUMMYFUNCTION("""COMPUTED_VALUE"""),0.0)</f>
        <v>0</v>
      </c>
      <c r="T489" s="199">
        <f>IFERROR(__xludf.DUMMYFUNCTION("""COMPUTED_VALUE"""),0.0)</f>
        <v>0</v>
      </c>
      <c r="U489" s="199">
        <f>IFERROR(__xludf.DUMMYFUNCTION("""COMPUTED_VALUE"""),142.0)</f>
        <v>142</v>
      </c>
      <c r="V489" s="199">
        <f>IFERROR(__xludf.DUMMYFUNCTION("""COMPUTED_VALUE"""),0.0)</f>
        <v>0</v>
      </c>
      <c r="W489" s="199">
        <f>IFERROR(__xludf.DUMMYFUNCTION("""COMPUTED_VALUE"""),0.0)</f>
        <v>0</v>
      </c>
      <c r="X489" s="199">
        <f>IFERROR(__xludf.DUMMYFUNCTION("""COMPUTED_VALUE"""),0.0)</f>
        <v>0</v>
      </c>
      <c r="Y489" s="199">
        <f>IFERROR(__xludf.DUMMYFUNCTION("""COMPUTED_VALUE"""),0.0)</f>
        <v>0</v>
      </c>
      <c r="Z489" s="199">
        <f>IFERROR(__xludf.DUMMYFUNCTION("""COMPUTED_VALUE"""),0.0)</f>
        <v>0</v>
      </c>
      <c r="AA489" s="199">
        <f>IFERROR(__xludf.DUMMYFUNCTION("""COMPUTED_VALUE"""),0.0)</f>
        <v>0</v>
      </c>
      <c r="AB489" s="199">
        <f>IFERROR(__xludf.DUMMYFUNCTION("""COMPUTED_VALUE"""),203.0)</f>
        <v>203</v>
      </c>
      <c r="AC489" s="199">
        <f>IFERROR(__xludf.DUMMYFUNCTION("""COMPUTED_VALUE"""),50.0)</f>
        <v>50</v>
      </c>
      <c r="AD489" s="199">
        <f>IFERROR(__xludf.DUMMYFUNCTION("""COMPUTED_VALUE"""),0.0)</f>
        <v>0</v>
      </c>
      <c r="AE489" s="199">
        <f>IFERROR(__xludf.DUMMYFUNCTION("""COMPUTED_VALUE"""),627.0)</f>
        <v>627</v>
      </c>
      <c r="AF489" s="199">
        <f>IFERROR(__xludf.DUMMYFUNCTION("""COMPUTED_VALUE"""),18.0)</f>
        <v>18</v>
      </c>
      <c r="AG489" s="199">
        <f>IFERROR(__xludf.DUMMYFUNCTION("""COMPUTED_VALUE"""),433.0)</f>
        <v>433</v>
      </c>
      <c r="AH489" s="199">
        <f>IFERROR(__xludf.DUMMYFUNCTION("""COMPUTED_VALUE"""),2.0)</f>
        <v>2</v>
      </c>
      <c r="AI489" s="200" t="str">
        <f>IFERROR(__xludf.DUMMYFUNCTION("""COMPUTED_VALUE"""),"Wear Metal Alert | Contamination Alert | Water Ingress | High Particle Count")</f>
        <v>Wear Metal Alert | Contamination Alert | Water Ingress | High Particle Count</v>
      </c>
      <c r="AJ489" s="200" t="str">
        <f>IFERROR(__xludf.DUMMYFUNCTION("""COMPUTED_VALUE"""),"URGENT: Inspect equipment immediately for wear/damage; High wear metals - inspect bearing/gear surfaces; Water detected - inspect seals and breathers; Very high silicon - check/replace air filters, inspect seals; High particle count - replace filters and "&amp;"resample")</f>
        <v>URGENT: Inspect equipment immediately for wear/damage; High wear metals - inspect bearing/gear surfaces; Water detected - inspect seals and breathers; Very high silicon - check/replace air filters, inspect seals; High particle count - replace filters and resample</v>
      </c>
      <c r="AK489" s="204"/>
      <c r="AL489" s="204"/>
      <c r="AM489" s="204"/>
    </row>
    <row r="490" hidden="1">
      <c r="A490" s="199" t="str">
        <f>IFERROR(__xludf.DUMMYFUNCTION("""COMPUTED_VALUE"""),"531.MD302")</f>
        <v>531.MD302</v>
      </c>
      <c r="B490" s="200" t="str">
        <f>IFERROR(__xludf.DUMMYFUNCTION("""COMPUTED_VALUE"""),"Cement Mill #1 Separator GB")</f>
        <v>Cement Mill #1 Separator GB</v>
      </c>
      <c r="C490" s="199">
        <f>IFERROR(__xludf.DUMMYFUNCTION("""COMPUTED_VALUE"""),2.5295220214E10)</f>
        <v>25295220214</v>
      </c>
      <c r="D490" s="201">
        <f>IFERROR(__xludf.DUMMYFUNCTION("""COMPUTED_VALUE"""),45946.0)</f>
        <v>45946</v>
      </c>
      <c r="E490" s="202" t="str">
        <f>IFERROR(__xludf.DUMMYFUNCTION("""COMPUTED_VALUE"""),"Alert")</f>
        <v>Alert</v>
      </c>
      <c r="F490" s="202" t="str">
        <f>IFERROR(__xludf.DUMMYFUNCTION("""COMPUTED_VALUE"""),"Alert")</f>
        <v>Alert</v>
      </c>
      <c r="G490" s="203" t="str">
        <f>IFERROR(__xludf.DUMMYFUNCTION("""COMPUTED_VALUE"""),"Normal")</f>
        <v>Normal</v>
      </c>
      <c r="H490" s="203" t="str">
        <f>IFERROR(__xludf.DUMMYFUNCTION("""COMPUTED_VALUE"""),"Caution")</f>
        <v>Caution</v>
      </c>
      <c r="I490" s="37"/>
      <c r="J490" s="37"/>
      <c r="K490" s="37"/>
      <c r="L490" s="199">
        <f>IFERROR(__xludf.DUMMYFUNCTION("""COMPUTED_VALUE"""),25.0)</f>
        <v>25</v>
      </c>
      <c r="M490" s="199">
        <f>IFERROR(__xludf.DUMMYFUNCTION("""COMPUTED_VALUE"""),271.4)</f>
        <v>271.4</v>
      </c>
      <c r="N490" s="199"/>
      <c r="O490" s="199"/>
      <c r="P490" s="199">
        <f>IFERROR(__xludf.DUMMYFUNCTION("""COMPUTED_VALUE"""),0.1)</f>
        <v>0.1</v>
      </c>
      <c r="Q490" s="199">
        <f>IFERROR(__xludf.DUMMYFUNCTION("""COMPUTED_VALUE"""),0.0)</f>
        <v>0</v>
      </c>
      <c r="R490" s="199">
        <f>IFERROR(__xludf.DUMMYFUNCTION("""COMPUTED_VALUE"""),0.0)</f>
        <v>0</v>
      </c>
      <c r="S490" s="199">
        <f>IFERROR(__xludf.DUMMYFUNCTION("""COMPUTED_VALUE"""),0.0)</f>
        <v>0</v>
      </c>
      <c r="T490" s="199">
        <f>IFERROR(__xludf.DUMMYFUNCTION("""COMPUTED_VALUE"""),0.0)</f>
        <v>0</v>
      </c>
      <c r="U490" s="199">
        <f>IFERROR(__xludf.DUMMYFUNCTION("""COMPUTED_VALUE"""),17.0)</f>
        <v>17</v>
      </c>
      <c r="V490" s="199">
        <f>IFERROR(__xludf.DUMMYFUNCTION("""COMPUTED_VALUE"""),0.0)</f>
        <v>0</v>
      </c>
      <c r="W490" s="199">
        <f>IFERROR(__xludf.DUMMYFUNCTION("""COMPUTED_VALUE"""),0.0)</f>
        <v>0</v>
      </c>
      <c r="X490" s="199">
        <f>IFERROR(__xludf.DUMMYFUNCTION("""COMPUTED_VALUE"""),0.0)</f>
        <v>0</v>
      </c>
      <c r="Y490" s="199">
        <f>IFERROR(__xludf.DUMMYFUNCTION("""COMPUTED_VALUE"""),0.0)</f>
        <v>0</v>
      </c>
      <c r="Z490" s="199">
        <f>IFERROR(__xludf.DUMMYFUNCTION("""COMPUTED_VALUE"""),0.0)</f>
        <v>0</v>
      </c>
      <c r="AA490" s="199">
        <f>IFERROR(__xludf.DUMMYFUNCTION("""COMPUTED_VALUE"""),0.0)</f>
        <v>0</v>
      </c>
      <c r="AB490" s="199">
        <f>IFERROR(__xludf.DUMMYFUNCTION("""COMPUTED_VALUE"""),38.0)</f>
        <v>38</v>
      </c>
      <c r="AC490" s="199">
        <f>IFERROR(__xludf.DUMMYFUNCTION("""COMPUTED_VALUE"""),15.0)</f>
        <v>15</v>
      </c>
      <c r="AD490" s="199">
        <f>IFERROR(__xludf.DUMMYFUNCTION("""COMPUTED_VALUE"""),0.0)</f>
        <v>0</v>
      </c>
      <c r="AE490" s="199">
        <f>IFERROR(__xludf.DUMMYFUNCTION("""COMPUTED_VALUE"""),41.0)</f>
        <v>41</v>
      </c>
      <c r="AF490" s="199">
        <f>IFERROR(__xludf.DUMMYFUNCTION("""COMPUTED_VALUE"""),2.0)</f>
        <v>2</v>
      </c>
      <c r="AG490" s="199">
        <f>IFERROR(__xludf.DUMMYFUNCTION("""COMPUTED_VALUE"""),542.0)</f>
        <v>542</v>
      </c>
      <c r="AH490" s="199">
        <f>IFERROR(__xludf.DUMMYFUNCTION("""COMPUTED_VALUE"""),16.0)</f>
        <v>16</v>
      </c>
      <c r="AI490" s="200" t="str">
        <f>IFERROR(__xludf.DUMMYFUNCTION("""COMPUTED_VALUE"""),"General Alert")</f>
        <v>General Alert</v>
      </c>
      <c r="AJ490" s="200" t="str">
        <f>IFERROR(__xludf.DUMMYFUNCTION("""COMPUTED_VALUE"""),"Elevated silicon - inspect filters and seals for contamination")</f>
        <v>Elevated silicon - inspect filters and seals for contamination</v>
      </c>
      <c r="AK490" s="204"/>
      <c r="AL490" s="204"/>
      <c r="AM490" s="204"/>
    </row>
    <row r="491" hidden="1">
      <c r="A491" s="199" t="str">
        <f>IFERROR(__xludf.DUMMYFUNCTION("""COMPUTED_VALUE"""),"532.LQ145")</f>
        <v>532.LQ145</v>
      </c>
      <c r="B491" s="200" t="str">
        <f>IFERROR(__xludf.DUMMYFUNCTION("""COMPUTED_VALUE"""),"Cement Mill #2 Gear box")</f>
        <v>Cement Mill #2 Gear box</v>
      </c>
      <c r="C491" s="199">
        <f>IFERROR(__xludf.DUMMYFUNCTION("""COMPUTED_VALUE"""),2.5295220239E10)</f>
        <v>25295220239</v>
      </c>
      <c r="D491" s="201">
        <f>IFERROR(__xludf.DUMMYFUNCTION("""COMPUTED_VALUE"""),45946.0)</f>
        <v>45946</v>
      </c>
      <c r="E491" s="202" t="str">
        <f>IFERROR(__xludf.DUMMYFUNCTION("""COMPUTED_VALUE"""),"Alert")</f>
        <v>Alert</v>
      </c>
      <c r="F491" s="202" t="str">
        <f>IFERROR(__xludf.DUMMYFUNCTION("""COMPUTED_VALUE"""),"Alert")</f>
        <v>Alert</v>
      </c>
      <c r="G491" s="203" t="str">
        <f>IFERROR(__xludf.DUMMYFUNCTION("""COMPUTED_VALUE"""),"Alert")</f>
        <v>Alert</v>
      </c>
      <c r="H491" s="203" t="str">
        <f>IFERROR(__xludf.DUMMYFUNCTION("""COMPUTED_VALUE"""),"Normal")</f>
        <v>Normal</v>
      </c>
      <c r="I491" s="37"/>
      <c r="J491" s="37"/>
      <c r="K491" s="37"/>
      <c r="L491" s="199">
        <f>IFERROR(__xludf.DUMMYFUNCTION("""COMPUTED_VALUE"""),227.0)</f>
        <v>227</v>
      </c>
      <c r="M491" s="199">
        <f>IFERROR(__xludf.DUMMYFUNCTION("""COMPUTED_VALUE"""),438.0)</f>
        <v>438</v>
      </c>
      <c r="N491" s="199"/>
      <c r="O491" s="199">
        <f>IFERROR(__xludf.DUMMYFUNCTION("""COMPUTED_VALUE"""),2.0)</f>
        <v>2</v>
      </c>
      <c r="P491" s="199">
        <f>IFERROR(__xludf.DUMMYFUNCTION("""COMPUTED_VALUE"""),0.22)</f>
        <v>0.22</v>
      </c>
      <c r="Q491" s="199">
        <f>IFERROR(__xludf.DUMMYFUNCTION("""COMPUTED_VALUE"""),0.0)</f>
        <v>0</v>
      </c>
      <c r="R491" s="199">
        <f>IFERROR(__xludf.DUMMYFUNCTION("""COMPUTED_VALUE"""),0.0)</f>
        <v>0</v>
      </c>
      <c r="S491" s="199">
        <f>IFERROR(__xludf.DUMMYFUNCTION("""COMPUTED_VALUE"""),0.0)</f>
        <v>0</v>
      </c>
      <c r="T491" s="199">
        <f>IFERROR(__xludf.DUMMYFUNCTION("""COMPUTED_VALUE"""),0.0)</f>
        <v>0</v>
      </c>
      <c r="U491" s="199">
        <f>IFERROR(__xludf.DUMMYFUNCTION("""COMPUTED_VALUE"""),107.0)</f>
        <v>107</v>
      </c>
      <c r="V491" s="199">
        <f>IFERROR(__xludf.DUMMYFUNCTION("""COMPUTED_VALUE"""),0.0)</f>
        <v>0</v>
      </c>
      <c r="W491" s="199">
        <f>IFERROR(__xludf.DUMMYFUNCTION("""COMPUTED_VALUE"""),0.0)</f>
        <v>0</v>
      </c>
      <c r="X491" s="199">
        <f>IFERROR(__xludf.DUMMYFUNCTION("""COMPUTED_VALUE"""),0.0)</f>
        <v>0</v>
      </c>
      <c r="Y491" s="199">
        <f>IFERROR(__xludf.DUMMYFUNCTION("""COMPUTED_VALUE"""),0.0)</f>
        <v>0</v>
      </c>
      <c r="Z491" s="199">
        <f>IFERROR(__xludf.DUMMYFUNCTION("""COMPUTED_VALUE"""),0.0)</f>
        <v>0</v>
      </c>
      <c r="AA491" s="199">
        <f>IFERROR(__xludf.DUMMYFUNCTION("""COMPUTED_VALUE"""),0.0)</f>
        <v>0</v>
      </c>
      <c r="AB491" s="199">
        <f>IFERROR(__xludf.DUMMYFUNCTION("""COMPUTED_VALUE"""),70.0)</f>
        <v>70</v>
      </c>
      <c r="AC491" s="199">
        <f>IFERROR(__xludf.DUMMYFUNCTION("""COMPUTED_VALUE"""),0.0)</f>
        <v>0</v>
      </c>
      <c r="AD491" s="199">
        <f>IFERROR(__xludf.DUMMYFUNCTION("""COMPUTED_VALUE"""),0.0)</f>
        <v>0</v>
      </c>
      <c r="AE491" s="199">
        <f>IFERROR(__xludf.DUMMYFUNCTION("""COMPUTED_VALUE"""),319.0)</f>
        <v>319</v>
      </c>
      <c r="AF491" s="199">
        <f>IFERROR(__xludf.DUMMYFUNCTION("""COMPUTED_VALUE"""),0.0)</f>
        <v>0</v>
      </c>
      <c r="AG491" s="199">
        <f>IFERROR(__xludf.DUMMYFUNCTION("""COMPUTED_VALUE"""),265.0)</f>
        <v>265</v>
      </c>
      <c r="AH491" s="199">
        <f>IFERROR(__xludf.DUMMYFUNCTION("""COMPUTED_VALUE"""),0.0)</f>
        <v>0</v>
      </c>
      <c r="AI491" s="200" t="str">
        <f>IFERROR(__xludf.DUMMYFUNCTION("""COMPUTED_VALUE"""),"Wear Metal Alert | Contamination Alert | Water Ingress | High Particle Count")</f>
        <v>Wear Metal Alert | Contamination Alert | Water Ingress | High Particle Count</v>
      </c>
      <c r="AJ491" s="200" t="str">
        <f>IFERROR(__xludf.DUMMYFUNCTION("""COMPUTED_VALUE"""),"URGENT: Inspect equipment immediately for wear/damage; High wear metals - inspect bearing/gear surfaces; High water contamination - check seals and drain water immediately; Elevated silicon - inspect filters and seals for contamination; Critical particle "&amp;"count - flush system and replace filters")</f>
        <v>URGENT: Inspect equipment immediately for wear/damage; High wear metals - inspect bearing/gear surfaces; High water contamination - check seals and drain water immediately; Elevated silicon - inspect filters and seals for contamination; Critical particle count - flush system and replace filters</v>
      </c>
      <c r="AK491" s="204"/>
      <c r="AL491" s="204"/>
      <c r="AM491" s="204"/>
    </row>
    <row r="492" hidden="1">
      <c r="A492" s="199" t="str">
        <f>IFERROR(__xludf.DUMMYFUNCTION("""COMPUTED_VALUE"""),"533.LQ145")</f>
        <v>533.LQ145</v>
      </c>
      <c r="B492" s="200" t="str">
        <f>IFERROR(__xludf.DUMMYFUNCTION("""COMPUTED_VALUE"""),"Cement Mill #3 Gear box")</f>
        <v>Cement Mill #3 Gear box</v>
      </c>
      <c r="C492" s="199">
        <f>IFERROR(__xludf.DUMMYFUNCTION("""COMPUTED_VALUE"""),2.5295220238E10)</f>
        <v>25295220238</v>
      </c>
      <c r="D492" s="201">
        <f>IFERROR(__xludf.DUMMYFUNCTION("""COMPUTED_VALUE"""),45946.0)</f>
        <v>45946</v>
      </c>
      <c r="E492" s="202" t="str">
        <f>IFERROR(__xludf.DUMMYFUNCTION("""COMPUTED_VALUE"""),"Alert")</f>
        <v>Alert</v>
      </c>
      <c r="F492" s="202" t="str">
        <f>IFERROR(__xludf.DUMMYFUNCTION("""COMPUTED_VALUE"""),"Alert")</f>
        <v>Alert</v>
      </c>
      <c r="G492" s="203" t="str">
        <f>IFERROR(__xludf.DUMMYFUNCTION("""COMPUTED_VALUE"""),"Alert")</f>
        <v>Alert</v>
      </c>
      <c r="H492" s="203" t="str">
        <f>IFERROR(__xludf.DUMMYFUNCTION("""COMPUTED_VALUE"""),"Normal")</f>
        <v>Normal</v>
      </c>
      <c r="I492" s="37"/>
      <c r="J492" s="37"/>
      <c r="K492" s="37"/>
      <c r="L492" s="199">
        <f>IFERROR(__xludf.DUMMYFUNCTION("""COMPUTED_VALUE"""),93.0)</f>
        <v>93</v>
      </c>
      <c r="M492" s="199">
        <f>IFERROR(__xludf.DUMMYFUNCTION("""COMPUTED_VALUE"""),447.3)</f>
        <v>447.3</v>
      </c>
      <c r="N492" s="199"/>
      <c r="O492" s="199">
        <f>IFERROR(__xludf.DUMMYFUNCTION("""COMPUTED_VALUE"""),2.0)</f>
        <v>2</v>
      </c>
      <c r="P492" s="199">
        <f>IFERROR(__xludf.DUMMYFUNCTION("""COMPUTED_VALUE"""),0.2)</f>
        <v>0.2</v>
      </c>
      <c r="Q492" s="199">
        <f>IFERROR(__xludf.DUMMYFUNCTION("""COMPUTED_VALUE"""),0.0)</f>
        <v>0</v>
      </c>
      <c r="R492" s="199">
        <f>IFERROR(__xludf.DUMMYFUNCTION("""COMPUTED_VALUE"""),39.0)</f>
        <v>39</v>
      </c>
      <c r="S492" s="199">
        <f>IFERROR(__xludf.DUMMYFUNCTION("""COMPUTED_VALUE"""),0.0)</f>
        <v>0</v>
      </c>
      <c r="T492" s="199">
        <f>IFERROR(__xludf.DUMMYFUNCTION("""COMPUTED_VALUE"""),0.0)</f>
        <v>0</v>
      </c>
      <c r="U492" s="199">
        <f>IFERROR(__xludf.DUMMYFUNCTION("""COMPUTED_VALUE"""),123.0)</f>
        <v>123</v>
      </c>
      <c r="V492" s="199">
        <f>IFERROR(__xludf.DUMMYFUNCTION("""COMPUTED_VALUE"""),0.0)</f>
        <v>0</v>
      </c>
      <c r="W492" s="199">
        <f>IFERROR(__xludf.DUMMYFUNCTION("""COMPUTED_VALUE"""),0.0)</f>
        <v>0</v>
      </c>
      <c r="X492" s="199">
        <f>IFERROR(__xludf.DUMMYFUNCTION("""COMPUTED_VALUE"""),0.0)</f>
        <v>0</v>
      </c>
      <c r="Y492" s="199">
        <f>IFERROR(__xludf.DUMMYFUNCTION("""COMPUTED_VALUE"""),0.0)</f>
        <v>0</v>
      </c>
      <c r="Z492" s="199">
        <f>IFERROR(__xludf.DUMMYFUNCTION("""COMPUTED_VALUE"""),2.0)</f>
        <v>2</v>
      </c>
      <c r="AA492" s="199">
        <f>IFERROR(__xludf.DUMMYFUNCTION("""COMPUTED_VALUE"""),0.0)</f>
        <v>0</v>
      </c>
      <c r="AB492" s="199">
        <f>IFERROR(__xludf.DUMMYFUNCTION("""COMPUTED_VALUE"""),185.0)</f>
        <v>185</v>
      </c>
      <c r="AC492" s="199">
        <f>IFERROR(__xludf.DUMMYFUNCTION("""COMPUTED_VALUE"""),20.0)</f>
        <v>20</v>
      </c>
      <c r="AD492" s="199">
        <f>IFERROR(__xludf.DUMMYFUNCTION("""COMPUTED_VALUE"""),0.0)</f>
        <v>0</v>
      </c>
      <c r="AE492" s="199">
        <f>IFERROR(__xludf.DUMMYFUNCTION("""COMPUTED_VALUE"""),72.0)</f>
        <v>72</v>
      </c>
      <c r="AF492" s="199">
        <f>IFERROR(__xludf.DUMMYFUNCTION("""COMPUTED_VALUE"""),5.0)</f>
        <v>5</v>
      </c>
      <c r="AG492" s="199">
        <f>IFERROR(__xludf.DUMMYFUNCTION("""COMPUTED_VALUE"""),440.0)</f>
        <v>440</v>
      </c>
      <c r="AH492" s="199">
        <f>IFERROR(__xludf.DUMMYFUNCTION("""COMPUTED_VALUE"""),13.0)</f>
        <v>13</v>
      </c>
      <c r="AI492" s="200" t="str">
        <f>IFERROR(__xludf.DUMMYFUNCTION("""COMPUTED_VALUE"""),"Wear Metal Alert | Contamination Alert | Water Ingress")</f>
        <v>Wear Metal Alert | Contamination Alert | Water Ingress</v>
      </c>
      <c r="AJ492" s="200" t="str">
        <f>IFERROR(__xludf.DUMMYFUNCTION("""COMPUTED_VALUE"""),"URGENT: Inspect equipment immediately for wear/damage; High wear metals - inspect bearing/gear surfaces; Water detected - inspect seals and breathers; Very high silicon - check/replace air filters, inspect seals; High particle count - replace filters and "&amp;"resample")</f>
        <v>URGENT: Inspect equipment immediately for wear/damage; High wear metals - inspect bearing/gear surfaces; Water detected - inspect seals and breathers; Very high silicon - check/replace air filters, inspect seals; High particle count - replace filters and resample</v>
      </c>
      <c r="AK492" s="204"/>
      <c r="AL492" s="204"/>
      <c r="AM492" s="204"/>
    </row>
    <row r="493" hidden="1">
      <c r="A493" s="199" t="str">
        <f>IFERROR(__xludf.DUMMYFUNCTION("""COMPUTED_VALUE"""),"534.MD302")</f>
        <v>534.MD302</v>
      </c>
      <c r="B493" s="200" t="str">
        <f>IFERROR(__xludf.DUMMYFUNCTION("""COMPUTED_VALUE"""),"Cement Mill #4 Separator GB")</f>
        <v>Cement Mill #4 Separator GB</v>
      </c>
      <c r="C493" s="199">
        <f>IFERROR(__xludf.DUMMYFUNCTION("""COMPUTED_VALUE"""),2.5294210238E10)</f>
        <v>25294210238</v>
      </c>
      <c r="D493" s="201">
        <f>IFERROR(__xludf.DUMMYFUNCTION("""COMPUTED_VALUE"""),45946.0)</f>
        <v>45946</v>
      </c>
      <c r="E493" s="202" t="str">
        <f>IFERROR(__xludf.DUMMYFUNCTION("""COMPUTED_VALUE"""),"Alert")</f>
        <v>Alert</v>
      </c>
      <c r="F493" s="202" t="str">
        <f>IFERROR(__xludf.DUMMYFUNCTION("""COMPUTED_VALUE"""),"Alert")</f>
        <v>Alert</v>
      </c>
      <c r="G493" s="203" t="str">
        <f>IFERROR(__xludf.DUMMYFUNCTION("""COMPUTED_VALUE"""),"Normal")</f>
        <v>Normal</v>
      </c>
      <c r="H493" s="203" t="str">
        <f>IFERROR(__xludf.DUMMYFUNCTION("""COMPUTED_VALUE"""),"Alert")</f>
        <v>Alert</v>
      </c>
      <c r="I493" s="37"/>
      <c r="J493" s="37"/>
      <c r="K493" s="37"/>
      <c r="L493" s="199">
        <f>IFERROR(__xludf.DUMMYFUNCTION("""COMPUTED_VALUE"""),12.0)</f>
        <v>12</v>
      </c>
      <c r="M493" s="199">
        <f>IFERROR(__xludf.DUMMYFUNCTION("""COMPUTED_VALUE"""),227.1)</f>
        <v>227.1</v>
      </c>
      <c r="N493" s="199"/>
      <c r="O493" s="199"/>
      <c r="P493" s="199">
        <f>IFERROR(__xludf.DUMMYFUNCTION("""COMPUTED_VALUE"""),0.04)</f>
        <v>0.04</v>
      </c>
      <c r="Q493" s="199">
        <f>IFERROR(__xludf.DUMMYFUNCTION("""COMPUTED_VALUE"""),0.0)</f>
        <v>0</v>
      </c>
      <c r="R493" s="199">
        <f>IFERROR(__xludf.DUMMYFUNCTION("""COMPUTED_VALUE"""),5.0)</f>
        <v>5</v>
      </c>
      <c r="S493" s="199">
        <f>IFERROR(__xludf.DUMMYFUNCTION("""COMPUTED_VALUE"""),0.0)</f>
        <v>0</v>
      </c>
      <c r="T493" s="199">
        <f>IFERROR(__xludf.DUMMYFUNCTION("""COMPUTED_VALUE"""),2.0)</f>
        <v>2</v>
      </c>
      <c r="U493" s="199">
        <f>IFERROR(__xludf.DUMMYFUNCTION("""COMPUTED_VALUE"""),16.0)</f>
        <v>16</v>
      </c>
      <c r="V493" s="199">
        <f>IFERROR(__xludf.DUMMYFUNCTION("""COMPUTED_VALUE"""),0.0)</f>
        <v>0</v>
      </c>
      <c r="W493" s="199">
        <f>IFERROR(__xludf.DUMMYFUNCTION("""COMPUTED_VALUE"""),0.0)</f>
        <v>0</v>
      </c>
      <c r="X493" s="199">
        <f>IFERROR(__xludf.DUMMYFUNCTION("""COMPUTED_VALUE"""),0.0)</f>
        <v>0</v>
      </c>
      <c r="Y493" s="199">
        <f>IFERROR(__xludf.DUMMYFUNCTION("""COMPUTED_VALUE"""),0.0)</f>
        <v>0</v>
      </c>
      <c r="Z493" s="199">
        <f>IFERROR(__xludf.DUMMYFUNCTION("""COMPUTED_VALUE"""),2.0)</f>
        <v>2</v>
      </c>
      <c r="AA493" s="199">
        <f>IFERROR(__xludf.DUMMYFUNCTION("""COMPUTED_VALUE"""),0.0)</f>
        <v>0</v>
      </c>
      <c r="AB493" s="199">
        <f>IFERROR(__xludf.DUMMYFUNCTION("""COMPUTED_VALUE"""),51.0)</f>
        <v>51</v>
      </c>
      <c r="AC493" s="199">
        <f>IFERROR(__xludf.DUMMYFUNCTION("""COMPUTED_VALUE"""),0.0)</f>
        <v>0</v>
      </c>
      <c r="AD493" s="199">
        <f>IFERROR(__xludf.DUMMYFUNCTION("""COMPUTED_VALUE"""),0.0)</f>
        <v>0</v>
      </c>
      <c r="AE493" s="199">
        <f>IFERROR(__xludf.DUMMYFUNCTION("""COMPUTED_VALUE"""),28.0)</f>
        <v>28</v>
      </c>
      <c r="AF493" s="199">
        <f>IFERROR(__xludf.DUMMYFUNCTION("""COMPUTED_VALUE"""),2.0)</f>
        <v>2</v>
      </c>
      <c r="AG493" s="199">
        <f>IFERROR(__xludf.DUMMYFUNCTION("""COMPUTED_VALUE"""),472.0)</f>
        <v>472</v>
      </c>
      <c r="AH493" s="199">
        <f>IFERROR(__xludf.DUMMYFUNCTION("""COMPUTED_VALUE"""),39.0)</f>
        <v>39</v>
      </c>
      <c r="AI493" s="200" t="str">
        <f>IFERROR(__xludf.DUMMYFUNCTION("""COMPUTED_VALUE"""),"Contamination Alert")</f>
        <v>Contamination Alert</v>
      </c>
      <c r="AJ493" s="200" t="str">
        <f>IFERROR(__xludf.DUMMYFUNCTION("""COMPUTED_VALUE"""),"Elevated silicon - inspect filters and seals for contamination")</f>
        <v>Elevated silicon - inspect filters and seals for contamination</v>
      </c>
      <c r="AK493" s="204"/>
      <c r="AL493" s="204"/>
      <c r="AM493" s="204"/>
    </row>
    <row r="494" hidden="1">
      <c r="A494" s="199" t="str">
        <f>IFERROR(__xludf.DUMMYFUNCTION("""COMPUTED_VALUE"""),"542.BE180")</f>
        <v>542.BE180</v>
      </c>
      <c r="B494" s="200" t="str">
        <f>IFERROR(__xludf.DUMMYFUNCTION("""COMPUTED_VALUE"""),"Bucket Elevator Cem. Silo#2 GB.")</f>
        <v>Bucket Elevator Cem. Silo#2 GB.</v>
      </c>
      <c r="C494" s="199">
        <f>IFERROR(__xludf.DUMMYFUNCTION("""COMPUTED_VALUE"""),2.5294210239E10)</f>
        <v>25294210239</v>
      </c>
      <c r="D494" s="201">
        <f>IFERROR(__xludf.DUMMYFUNCTION("""COMPUTED_VALUE"""),45946.0)</f>
        <v>45946</v>
      </c>
      <c r="E494" s="202" t="str">
        <f>IFERROR(__xludf.DUMMYFUNCTION("""COMPUTED_VALUE"""),"Alert")</f>
        <v>Alert</v>
      </c>
      <c r="F494" s="202" t="str">
        <f>IFERROR(__xludf.DUMMYFUNCTION("""COMPUTED_VALUE"""),"Alert")</f>
        <v>Alert</v>
      </c>
      <c r="G494" s="203" t="str">
        <f>IFERROR(__xludf.DUMMYFUNCTION("""COMPUTED_VALUE"""),"Normal")</f>
        <v>Normal</v>
      </c>
      <c r="H494" s="203" t="str">
        <f>IFERROR(__xludf.DUMMYFUNCTION("""COMPUTED_VALUE"""),"Caution")</f>
        <v>Caution</v>
      </c>
      <c r="I494" s="37"/>
      <c r="J494" s="37"/>
      <c r="K494" s="37"/>
      <c r="L494" s="199">
        <f>IFERROR(__xludf.DUMMYFUNCTION("""COMPUTED_VALUE"""),14.0)</f>
        <v>14</v>
      </c>
      <c r="M494" s="199">
        <f>IFERROR(__xludf.DUMMYFUNCTION("""COMPUTED_VALUE"""),260.2)</f>
        <v>260.2</v>
      </c>
      <c r="N494" s="199"/>
      <c r="O494" s="199"/>
      <c r="P494" s="199">
        <f>IFERROR(__xludf.DUMMYFUNCTION("""COMPUTED_VALUE"""),0.2)</f>
        <v>0.2</v>
      </c>
      <c r="Q494" s="199">
        <f>IFERROR(__xludf.DUMMYFUNCTION("""COMPUTED_VALUE"""),0.0)</f>
        <v>0</v>
      </c>
      <c r="R494" s="199">
        <f>IFERROR(__xludf.DUMMYFUNCTION("""COMPUTED_VALUE"""),5.0)</f>
        <v>5</v>
      </c>
      <c r="S494" s="199">
        <f>IFERROR(__xludf.DUMMYFUNCTION("""COMPUTED_VALUE"""),0.0)</f>
        <v>0</v>
      </c>
      <c r="T494" s="199">
        <f>IFERROR(__xludf.DUMMYFUNCTION("""COMPUTED_VALUE"""),2.0)</f>
        <v>2</v>
      </c>
      <c r="U494" s="199">
        <f>IFERROR(__xludf.DUMMYFUNCTION("""COMPUTED_VALUE"""),5.0)</f>
        <v>5</v>
      </c>
      <c r="V494" s="199">
        <f>IFERROR(__xludf.DUMMYFUNCTION("""COMPUTED_VALUE"""),0.0)</f>
        <v>0</v>
      </c>
      <c r="W494" s="199">
        <f>IFERROR(__xludf.DUMMYFUNCTION("""COMPUTED_VALUE"""),0.0)</f>
        <v>0</v>
      </c>
      <c r="X494" s="199">
        <f>IFERROR(__xludf.DUMMYFUNCTION("""COMPUTED_VALUE"""),0.0)</f>
        <v>0</v>
      </c>
      <c r="Y494" s="199">
        <f>IFERROR(__xludf.DUMMYFUNCTION("""COMPUTED_VALUE"""),0.0)</f>
        <v>0</v>
      </c>
      <c r="Z494" s="199">
        <f>IFERROR(__xludf.DUMMYFUNCTION("""COMPUTED_VALUE"""),0.0)</f>
        <v>0</v>
      </c>
      <c r="AA494" s="199">
        <f>IFERROR(__xludf.DUMMYFUNCTION("""COMPUTED_VALUE"""),0.0)</f>
        <v>0</v>
      </c>
      <c r="AB494" s="199">
        <f>IFERROR(__xludf.DUMMYFUNCTION("""COMPUTED_VALUE"""),38.0)</f>
        <v>38</v>
      </c>
      <c r="AC494" s="199">
        <f>IFERROR(__xludf.DUMMYFUNCTION("""COMPUTED_VALUE"""),0.0)</f>
        <v>0</v>
      </c>
      <c r="AD494" s="199">
        <f>IFERROR(__xludf.DUMMYFUNCTION("""COMPUTED_VALUE"""),0.0)</f>
        <v>0</v>
      </c>
      <c r="AE494" s="199">
        <f>IFERROR(__xludf.DUMMYFUNCTION("""COMPUTED_VALUE"""),19.0)</f>
        <v>19</v>
      </c>
      <c r="AF494" s="199">
        <f>IFERROR(__xludf.DUMMYFUNCTION("""COMPUTED_VALUE"""),0.0)</f>
        <v>0</v>
      </c>
      <c r="AG494" s="199">
        <f>IFERROR(__xludf.DUMMYFUNCTION("""COMPUTED_VALUE"""),422.0)</f>
        <v>422</v>
      </c>
      <c r="AH494" s="199">
        <f>IFERROR(__xludf.DUMMYFUNCTION("""COMPUTED_VALUE"""),8.0)</f>
        <v>8</v>
      </c>
      <c r="AI494" s="200" t="str">
        <f>IFERROR(__xludf.DUMMYFUNCTION("""COMPUTED_VALUE"""),"Water Ingress")</f>
        <v>Water Ingress</v>
      </c>
      <c r="AJ494" s="200" t="str">
        <f>IFERROR(__xludf.DUMMYFUNCTION("""COMPUTED_VALUE"""),"Water detected - inspect seals and breathers; Elevated silicon - inspect filters and seals for contamination")</f>
        <v>Water detected - inspect seals and breathers; Elevated silicon - inspect filters and seals for contamination</v>
      </c>
      <c r="AK494" s="204"/>
      <c r="AL494" s="204"/>
      <c r="AM494" s="204"/>
    </row>
    <row r="495" hidden="1">
      <c r="A495" s="199" t="str">
        <f>IFERROR(__xludf.DUMMYFUNCTION("""COMPUTED_VALUE"""),"543.BE180")</f>
        <v>543.BE180</v>
      </c>
      <c r="B495" s="200" t="str">
        <f>IFERROR(__xludf.DUMMYFUNCTION("""COMPUTED_VALUE"""),"Bucket Elevator Cem. Silo#3 GB.")</f>
        <v>Bucket Elevator Cem. Silo#3 GB.</v>
      </c>
      <c r="C495" s="199">
        <f>IFERROR(__xludf.DUMMYFUNCTION("""COMPUTED_VALUE"""),2.5294210243E10)</f>
        <v>25294210243</v>
      </c>
      <c r="D495" s="201">
        <f>IFERROR(__xludf.DUMMYFUNCTION("""COMPUTED_VALUE"""),45946.0)</f>
        <v>45946</v>
      </c>
      <c r="E495" s="202" t="str">
        <f>IFERROR(__xludf.DUMMYFUNCTION("""COMPUTED_VALUE"""),"Caution")</f>
        <v>Caution</v>
      </c>
      <c r="F495" s="202" t="str">
        <f>IFERROR(__xludf.DUMMYFUNCTION("""COMPUTED_VALUE"""),"Caution")</f>
        <v>Caution</v>
      </c>
      <c r="G495" s="203" t="str">
        <f>IFERROR(__xludf.DUMMYFUNCTION("""COMPUTED_VALUE"""),"Normal")</f>
        <v>Normal</v>
      </c>
      <c r="H495" s="203" t="str">
        <f>IFERROR(__xludf.DUMMYFUNCTION("""COMPUTED_VALUE"""),"Normal")</f>
        <v>Normal</v>
      </c>
      <c r="I495" s="199"/>
      <c r="J495" s="199"/>
      <c r="K495" s="199"/>
      <c r="L495" s="199">
        <f>IFERROR(__xludf.DUMMYFUNCTION("""COMPUTED_VALUE"""),11.0)</f>
        <v>11</v>
      </c>
      <c r="M495" s="199">
        <f>IFERROR(__xludf.DUMMYFUNCTION("""COMPUTED_VALUE"""),309.4)</f>
        <v>309.4</v>
      </c>
      <c r="N495" s="199"/>
      <c r="O495" s="199"/>
      <c r="P495" s="199">
        <f>IFERROR(__xludf.DUMMYFUNCTION("""COMPUTED_VALUE"""),0.05)</f>
        <v>0.05</v>
      </c>
      <c r="Q495" s="199">
        <f>IFERROR(__xludf.DUMMYFUNCTION("""COMPUTED_VALUE"""),0.0)</f>
        <v>0</v>
      </c>
      <c r="R495" s="199">
        <f>IFERROR(__xludf.DUMMYFUNCTION("""COMPUTED_VALUE"""),4.0)</f>
        <v>4</v>
      </c>
      <c r="S495" s="199">
        <f>IFERROR(__xludf.DUMMYFUNCTION("""COMPUTED_VALUE"""),0.0)</f>
        <v>0</v>
      </c>
      <c r="T495" s="199">
        <f>IFERROR(__xludf.DUMMYFUNCTION("""COMPUTED_VALUE"""),2.0)</f>
        <v>2</v>
      </c>
      <c r="U495" s="199">
        <f>IFERROR(__xludf.DUMMYFUNCTION("""COMPUTED_VALUE"""),3.0)</f>
        <v>3</v>
      </c>
      <c r="V495" s="199">
        <f>IFERROR(__xludf.DUMMYFUNCTION("""COMPUTED_VALUE"""),0.0)</f>
        <v>0</v>
      </c>
      <c r="W495" s="199">
        <f>IFERROR(__xludf.DUMMYFUNCTION("""COMPUTED_VALUE"""),0.0)</f>
        <v>0</v>
      </c>
      <c r="X495" s="199">
        <f>IFERROR(__xludf.DUMMYFUNCTION("""COMPUTED_VALUE"""),0.0)</f>
        <v>0</v>
      </c>
      <c r="Y495" s="199">
        <f>IFERROR(__xludf.DUMMYFUNCTION("""COMPUTED_VALUE"""),0.0)</f>
        <v>0</v>
      </c>
      <c r="Z495" s="199">
        <f>IFERROR(__xludf.DUMMYFUNCTION("""COMPUTED_VALUE"""),0.0)</f>
        <v>0</v>
      </c>
      <c r="AA495" s="199">
        <f>IFERROR(__xludf.DUMMYFUNCTION("""COMPUTED_VALUE"""),0.0)</f>
        <v>0</v>
      </c>
      <c r="AB495" s="199">
        <f>IFERROR(__xludf.DUMMYFUNCTION("""COMPUTED_VALUE"""),19.0)</f>
        <v>19</v>
      </c>
      <c r="AC495" s="199">
        <f>IFERROR(__xludf.DUMMYFUNCTION("""COMPUTED_VALUE"""),0.0)</f>
        <v>0</v>
      </c>
      <c r="AD495" s="199">
        <f>IFERROR(__xludf.DUMMYFUNCTION("""COMPUTED_VALUE"""),0.0)</f>
        <v>0</v>
      </c>
      <c r="AE495" s="199">
        <f>IFERROR(__xludf.DUMMYFUNCTION("""COMPUTED_VALUE"""),7.0)</f>
        <v>7</v>
      </c>
      <c r="AF495" s="199">
        <f>IFERROR(__xludf.DUMMYFUNCTION("""COMPUTED_VALUE"""),2.0)</f>
        <v>2</v>
      </c>
      <c r="AG495" s="199">
        <f>IFERROR(__xludf.DUMMYFUNCTION("""COMPUTED_VALUE"""),366.0)</f>
        <v>366</v>
      </c>
      <c r="AH495" s="199">
        <f>IFERROR(__xludf.DUMMYFUNCTION("""COMPUTED_VALUE"""),0.0)</f>
        <v>0</v>
      </c>
      <c r="AI495" s="200" t="str">
        <f>IFERROR(__xludf.DUMMYFUNCTION("""COMPUTED_VALUE"""),"General Caution")</f>
        <v>General Caution</v>
      </c>
      <c r="AJ495" s="200" t="str">
        <f>IFERROR(__xludf.DUMMYFUNCTION("""COMPUTED_VALUE"""),"Continue monitoring; resample at next scheduled interval")</f>
        <v>Continue monitoring; resample at next scheduled interval</v>
      </c>
      <c r="AK495" s="204"/>
      <c r="AL495" s="204"/>
      <c r="AM495" s="204"/>
    </row>
    <row r="496" hidden="1">
      <c r="A496" s="199" t="str">
        <f>IFERROR(__xludf.DUMMYFUNCTION("""COMPUTED_VALUE"""),"131.RE300")</f>
        <v>131.RE300</v>
      </c>
      <c r="B496" s="200" t="str">
        <f>IFERROR(__xludf.DUMMYFUNCTION("""COMPUTED_VALUE"""),"Take up unit Tank for Scraper Chain")</f>
        <v>Take up unit Tank for Scraper Chain</v>
      </c>
      <c r="C496" s="199">
        <f>IFERROR(__xludf.DUMMYFUNCTION("""COMPUTED_VALUE"""),2.5294210213E10)</f>
        <v>25294210213</v>
      </c>
      <c r="D496" s="201">
        <f>IFERROR(__xludf.DUMMYFUNCTION("""COMPUTED_VALUE"""),45946.0)</f>
        <v>45946</v>
      </c>
      <c r="E496" s="202" t="str">
        <f>IFERROR(__xludf.DUMMYFUNCTION("""COMPUTED_VALUE"""),"Caution")</f>
        <v>Caution</v>
      </c>
      <c r="F496" s="202" t="str">
        <f>IFERROR(__xludf.DUMMYFUNCTION("""COMPUTED_VALUE"""),"Caution")</f>
        <v>Caution</v>
      </c>
      <c r="G496" s="203" t="str">
        <f>IFERROR(__xludf.DUMMYFUNCTION("""COMPUTED_VALUE"""),"Normal")</f>
        <v>Normal</v>
      </c>
      <c r="H496" s="203" t="str">
        <f>IFERROR(__xludf.DUMMYFUNCTION("""COMPUTED_VALUE"""),"Normal")</f>
        <v>Normal</v>
      </c>
      <c r="I496" s="37"/>
      <c r="J496" s="37"/>
      <c r="K496" s="37"/>
      <c r="L496" s="199">
        <f>IFERROR(__xludf.DUMMYFUNCTION("""COMPUTED_VALUE"""),7.0)</f>
        <v>7</v>
      </c>
      <c r="M496" s="199">
        <f>IFERROR(__xludf.DUMMYFUNCTION("""COMPUTED_VALUE"""),51.1)</f>
        <v>51.1</v>
      </c>
      <c r="N496" s="199"/>
      <c r="O496" s="199">
        <f>IFERROR(__xludf.DUMMYFUNCTION("""COMPUTED_VALUE"""),1.0)</f>
        <v>1</v>
      </c>
      <c r="P496" s="199">
        <f>IFERROR(__xludf.DUMMYFUNCTION("""COMPUTED_VALUE"""),0.003)</f>
        <v>0.003</v>
      </c>
      <c r="Q496" s="199">
        <f>IFERROR(__xludf.DUMMYFUNCTION("""COMPUTED_VALUE"""),0.0)</f>
        <v>0</v>
      </c>
      <c r="R496" s="199">
        <f>IFERROR(__xludf.DUMMYFUNCTION("""COMPUTED_VALUE"""),3.0)</f>
        <v>3</v>
      </c>
      <c r="S496" s="199">
        <f>IFERROR(__xludf.DUMMYFUNCTION("""COMPUTED_VALUE"""),0.0)</f>
        <v>0</v>
      </c>
      <c r="T496" s="199">
        <f>IFERROR(__xludf.DUMMYFUNCTION("""COMPUTED_VALUE"""),2.0)</f>
        <v>2</v>
      </c>
      <c r="U496" s="199">
        <f>IFERROR(__xludf.DUMMYFUNCTION("""COMPUTED_VALUE"""),0.0)</f>
        <v>0</v>
      </c>
      <c r="V496" s="199">
        <f>IFERROR(__xludf.DUMMYFUNCTION("""COMPUTED_VALUE"""),0.0)</f>
        <v>0</v>
      </c>
      <c r="W496" s="199">
        <f>IFERROR(__xludf.DUMMYFUNCTION("""COMPUTED_VALUE"""),0.0)</f>
        <v>0</v>
      </c>
      <c r="X496" s="199">
        <f>IFERROR(__xludf.DUMMYFUNCTION("""COMPUTED_VALUE"""),0.0)</f>
        <v>0</v>
      </c>
      <c r="Y496" s="199">
        <f>IFERROR(__xludf.DUMMYFUNCTION("""COMPUTED_VALUE"""),0.0)</f>
        <v>0</v>
      </c>
      <c r="Z496" s="199">
        <f>IFERROR(__xludf.DUMMYFUNCTION("""COMPUTED_VALUE"""),0.0)</f>
        <v>0</v>
      </c>
      <c r="AA496" s="199">
        <f>IFERROR(__xludf.DUMMYFUNCTION("""COMPUTED_VALUE"""),0.0)</f>
        <v>0</v>
      </c>
      <c r="AB496" s="199">
        <f>IFERROR(__xludf.DUMMYFUNCTION("""COMPUTED_VALUE"""),3.0)</f>
        <v>3</v>
      </c>
      <c r="AC496" s="199">
        <f>IFERROR(__xludf.DUMMYFUNCTION("""COMPUTED_VALUE"""),0.0)</f>
        <v>0</v>
      </c>
      <c r="AD496" s="199">
        <f>IFERROR(__xludf.DUMMYFUNCTION("""COMPUTED_VALUE"""),0.0)</f>
        <v>0</v>
      </c>
      <c r="AE496" s="199">
        <f>IFERROR(__xludf.DUMMYFUNCTION("""COMPUTED_VALUE"""),43.0)</f>
        <v>43</v>
      </c>
      <c r="AF496" s="199">
        <f>IFERROR(__xludf.DUMMYFUNCTION("""COMPUTED_VALUE"""),0.0)</f>
        <v>0</v>
      </c>
      <c r="AG496" s="199">
        <f>IFERROR(__xludf.DUMMYFUNCTION("""COMPUTED_VALUE"""),326.0)</f>
        <v>326</v>
      </c>
      <c r="AH496" s="199">
        <f>IFERROR(__xludf.DUMMYFUNCTION("""COMPUTED_VALUE"""),307.0)</f>
        <v>307</v>
      </c>
      <c r="AI496" s="200" t="str">
        <f>IFERROR(__xludf.DUMMYFUNCTION("""COMPUTED_VALUE"""),"General Caution")</f>
        <v>General Caution</v>
      </c>
      <c r="AJ496" s="200" t="str">
        <f>IFERROR(__xludf.DUMMYFUNCTION("""COMPUTED_VALUE"""),"Continue monitoring; resample at next scheduled interval")</f>
        <v>Continue monitoring; resample at next scheduled interval</v>
      </c>
      <c r="AK496" s="204"/>
      <c r="AL496" s="204"/>
      <c r="AM496" s="204"/>
    </row>
    <row r="497">
      <c r="A497" s="199" t="str">
        <f>IFERROR(__xludf.DUMMYFUNCTION("""COMPUTED_VALUE"""),"131.RE300.M11")</f>
        <v>131.RE300.M11</v>
      </c>
      <c r="B497" s="200" t="str">
        <f>IFERROR(__xludf.DUMMYFUNCTION("""COMPUTED_VALUE"""),"Reclaimer Chain Scraper gearbox")</f>
        <v>Reclaimer Chain Scraper gearbox</v>
      </c>
      <c r="C497" s="199">
        <f>IFERROR(__xludf.DUMMYFUNCTION("""COMPUTED_VALUE"""),2.5294210232E10)</f>
        <v>25294210232</v>
      </c>
      <c r="D497" s="201">
        <f>IFERROR(__xludf.DUMMYFUNCTION("""COMPUTED_VALUE"""),45946.0)</f>
        <v>45946</v>
      </c>
      <c r="E497" s="202" t="str">
        <f>IFERROR(__xludf.DUMMYFUNCTION("""COMPUTED_VALUE"""),"Alert")</f>
        <v>Alert</v>
      </c>
      <c r="F497" s="202" t="str">
        <f>IFERROR(__xludf.DUMMYFUNCTION("""COMPUTED_VALUE"""),"Alert")</f>
        <v>Alert</v>
      </c>
      <c r="G497" s="203" t="str">
        <f>IFERROR(__xludf.DUMMYFUNCTION("""COMPUTED_VALUE"""),"Normal")</f>
        <v>Normal</v>
      </c>
      <c r="H497" s="203" t="str">
        <f>IFERROR(__xludf.DUMMYFUNCTION("""COMPUTED_VALUE"""),"Normal")</f>
        <v>Normal</v>
      </c>
      <c r="I497" s="37"/>
      <c r="J497" s="37"/>
      <c r="K497" s="37"/>
      <c r="L497" s="199">
        <f>IFERROR(__xludf.DUMMYFUNCTION("""COMPUTED_VALUE"""),35.0)</f>
        <v>35</v>
      </c>
      <c r="M497" s="199">
        <f>IFERROR(__xludf.DUMMYFUNCTION("""COMPUTED_VALUE"""),269.3)</f>
        <v>269.3</v>
      </c>
      <c r="N497" s="199"/>
      <c r="O497" s="199">
        <f>IFERROR(__xludf.DUMMYFUNCTION("""COMPUTED_VALUE"""),4.0)</f>
        <v>4</v>
      </c>
      <c r="P497" s="199">
        <f>IFERROR(__xludf.DUMMYFUNCTION("""COMPUTED_VALUE"""),0.1)</f>
        <v>0.1</v>
      </c>
      <c r="Q497" s="199">
        <f>IFERROR(__xludf.DUMMYFUNCTION("""COMPUTED_VALUE"""),0.0)</f>
        <v>0</v>
      </c>
      <c r="R497" s="199">
        <f>IFERROR(__xludf.DUMMYFUNCTION("""COMPUTED_VALUE"""),14.0)</f>
        <v>14</v>
      </c>
      <c r="S497" s="199">
        <f>IFERROR(__xludf.DUMMYFUNCTION("""COMPUTED_VALUE"""),1.0)</f>
        <v>1</v>
      </c>
      <c r="T497" s="199">
        <f>IFERROR(__xludf.DUMMYFUNCTION("""COMPUTED_VALUE"""),4.0)</f>
        <v>4</v>
      </c>
      <c r="U497" s="199">
        <f>IFERROR(__xludf.DUMMYFUNCTION("""COMPUTED_VALUE"""),86.0)</f>
        <v>86</v>
      </c>
      <c r="V497" s="199">
        <f>IFERROR(__xludf.DUMMYFUNCTION("""COMPUTED_VALUE"""),2.0)</f>
        <v>2</v>
      </c>
      <c r="W497" s="199">
        <f>IFERROR(__xludf.DUMMYFUNCTION("""COMPUTED_VALUE"""),0.0)</f>
        <v>0</v>
      </c>
      <c r="X497" s="199">
        <f>IFERROR(__xludf.DUMMYFUNCTION("""COMPUTED_VALUE"""),1.0)</f>
        <v>1</v>
      </c>
      <c r="Y497" s="199">
        <f>IFERROR(__xludf.DUMMYFUNCTION("""COMPUTED_VALUE"""),0.0)</f>
        <v>0</v>
      </c>
      <c r="Z497" s="199">
        <f>IFERROR(__xludf.DUMMYFUNCTION("""COMPUTED_VALUE"""),2.0)</f>
        <v>2</v>
      </c>
      <c r="AA497" s="199">
        <f>IFERROR(__xludf.DUMMYFUNCTION("""COMPUTED_VALUE"""),0.0)</f>
        <v>0</v>
      </c>
      <c r="AB497" s="199">
        <f>IFERROR(__xludf.DUMMYFUNCTION("""COMPUTED_VALUE"""),54.0)</f>
        <v>54</v>
      </c>
      <c r="AC497" s="199">
        <f>IFERROR(__xludf.DUMMYFUNCTION("""COMPUTED_VALUE"""),0.0)</f>
        <v>0</v>
      </c>
      <c r="AD497" s="199">
        <f>IFERROR(__xludf.DUMMYFUNCTION("""COMPUTED_VALUE"""),0.0)</f>
        <v>0</v>
      </c>
      <c r="AE497" s="199">
        <f>IFERROR(__xludf.DUMMYFUNCTION("""COMPUTED_VALUE"""),114.0)</f>
        <v>114</v>
      </c>
      <c r="AF497" s="199">
        <f>IFERROR(__xludf.DUMMYFUNCTION("""COMPUTED_VALUE"""),5.0)</f>
        <v>5</v>
      </c>
      <c r="AG497" s="199">
        <f>IFERROR(__xludf.DUMMYFUNCTION("""COMPUTED_VALUE"""),327.0)</f>
        <v>327</v>
      </c>
      <c r="AH497" s="199">
        <f>IFERROR(__xludf.DUMMYFUNCTION("""COMPUTED_VALUE"""),22.0)</f>
        <v>22</v>
      </c>
      <c r="AI497" s="200" t="str">
        <f>IFERROR(__xludf.DUMMYFUNCTION("""COMPUTED_VALUE"""),"Contamination Alert")</f>
        <v>Contamination Alert</v>
      </c>
      <c r="AJ497" s="200" t="str">
        <f>IFERROR(__xludf.DUMMYFUNCTION("""COMPUTED_VALUE"""),"Elevated silicon - inspect filters and seals for contamination")</f>
        <v>Elevated silicon - inspect filters and seals for contamination</v>
      </c>
      <c r="AK497" s="204"/>
      <c r="AL497" s="204"/>
      <c r="AM497" s="204"/>
    </row>
    <row r="498" hidden="1">
      <c r="A498" s="199" t="str">
        <f>IFERROR(__xludf.DUMMYFUNCTION("""COMPUTED_VALUE"""),"131.ST200 (HY)")</f>
        <v>131.ST200 (HY)</v>
      </c>
      <c r="B498" s="200" t="str">
        <f>IFERROR(__xludf.DUMMYFUNCTION("""COMPUTED_VALUE"""),"Jib arm Hydraulic Pump Station")</f>
        <v>Jib arm Hydraulic Pump Station</v>
      </c>
      <c r="C498" s="199">
        <f>IFERROR(__xludf.DUMMYFUNCTION("""COMPUTED_VALUE"""),2.529421021E10)</f>
        <v>25294210210</v>
      </c>
      <c r="D498" s="201">
        <f>IFERROR(__xludf.DUMMYFUNCTION("""COMPUTED_VALUE"""),45946.0)</f>
        <v>45946</v>
      </c>
      <c r="E498" s="202" t="str">
        <f>IFERROR(__xludf.DUMMYFUNCTION("""COMPUTED_VALUE"""),"Caution")</f>
        <v>Caution</v>
      </c>
      <c r="F498" s="202" t="str">
        <f>IFERROR(__xludf.DUMMYFUNCTION("""COMPUTED_VALUE"""),"Normal")</f>
        <v>Normal</v>
      </c>
      <c r="G498" s="203" t="str">
        <f>IFERROR(__xludf.DUMMYFUNCTION("""COMPUTED_VALUE"""),"Normal")</f>
        <v>Normal</v>
      </c>
      <c r="H498" s="203" t="str">
        <f>IFERROR(__xludf.DUMMYFUNCTION("""COMPUTED_VALUE"""),"Caution")</f>
        <v>Caution</v>
      </c>
      <c r="I498" s="37">
        <f>IFERROR(__xludf.DUMMYFUNCTION("""COMPUTED_VALUE"""),9712.0)</f>
        <v>9712</v>
      </c>
      <c r="J498" s="37">
        <f>IFERROR(__xludf.DUMMYFUNCTION("""COMPUTED_VALUE"""),4602.0)</f>
        <v>4602</v>
      </c>
      <c r="K498" s="37">
        <f>IFERROR(__xludf.DUMMYFUNCTION("""COMPUTED_VALUE"""),898.0)</f>
        <v>898</v>
      </c>
      <c r="L498" s="199">
        <f>IFERROR(__xludf.DUMMYFUNCTION("""COMPUTED_VALUE"""),6.0)</f>
        <v>6</v>
      </c>
      <c r="M498" s="199">
        <f>IFERROR(__xludf.DUMMYFUNCTION("""COMPUTED_VALUE"""),53.4)</f>
        <v>53.4</v>
      </c>
      <c r="N498" s="199"/>
      <c r="O498" s="199">
        <f>IFERROR(__xludf.DUMMYFUNCTION("""COMPUTED_VALUE"""),1.0)</f>
        <v>1</v>
      </c>
      <c r="P498" s="199">
        <f>IFERROR(__xludf.DUMMYFUNCTION("""COMPUTED_VALUE"""),0.01)</f>
        <v>0.01</v>
      </c>
      <c r="Q498" s="199">
        <f>IFERROR(__xludf.DUMMYFUNCTION("""COMPUTED_VALUE"""),0.0)</f>
        <v>0</v>
      </c>
      <c r="R498" s="199">
        <f>IFERROR(__xludf.DUMMYFUNCTION("""COMPUTED_VALUE"""),3.0)</f>
        <v>3</v>
      </c>
      <c r="S498" s="199">
        <f>IFERROR(__xludf.DUMMYFUNCTION("""COMPUTED_VALUE"""),0.0)</f>
        <v>0</v>
      </c>
      <c r="T498" s="199">
        <f>IFERROR(__xludf.DUMMYFUNCTION("""COMPUTED_VALUE"""),0.0)</f>
        <v>0</v>
      </c>
      <c r="U498" s="199">
        <f>IFERROR(__xludf.DUMMYFUNCTION("""COMPUTED_VALUE"""),0.0)</f>
        <v>0</v>
      </c>
      <c r="V498" s="199">
        <f>IFERROR(__xludf.DUMMYFUNCTION("""COMPUTED_VALUE"""),0.0)</f>
        <v>0</v>
      </c>
      <c r="W498" s="199">
        <f>IFERROR(__xludf.DUMMYFUNCTION("""COMPUTED_VALUE"""),0.0)</f>
        <v>0</v>
      </c>
      <c r="X498" s="199">
        <f>IFERROR(__xludf.DUMMYFUNCTION("""COMPUTED_VALUE"""),0.0)</f>
        <v>0</v>
      </c>
      <c r="Y498" s="199">
        <f>IFERROR(__xludf.DUMMYFUNCTION("""COMPUTED_VALUE"""),0.0)</f>
        <v>0</v>
      </c>
      <c r="Z498" s="199">
        <f>IFERROR(__xludf.DUMMYFUNCTION("""COMPUTED_VALUE"""),0.0)</f>
        <v>0</v>
      </c>
      <c r="AA498" s="199">
        <f>IFERROR(__xludf.DUMMYFUNCTION("""COMPUTED_VALUE"""),0.0)</f>
        <v>0</v>
      </c>
      <c r="AB498" s="199">
        <f>IFERROR(__xludf.DUMMYFUNCTION("""COMPUTED_VALUE"""),2.0)</f>
        <v>2</v>
      </c>
      <c r="AC498" s="199">
        <f>IFERROR(__xludf.DUMMYFUNCTION("""COMPUTED_VALUE"""),0.0)</f>
        <v>0</v>
      </c>
      <c r="AD498" s="199">
        <f>IFERROR(__xludf.DUMMYFUNCTION("""COMPUTED_VALUE"""),0.0)</f>
        <v>0</v>
      </c>
      <c r="AE498" s="199">
        <f>IFERROR(__xludf.DUMMYFUNCTION("""COMPUTED_VALUE"""),42.0)</f>
        <v>42</v>
      </c>
      <c r="AF498" s="199">
        <f>IFERROR(__xludf.DUMMYFUNCTION("""COMPUTED_VALUE"""),1.0)</f>
        <v>1</v>
      </c>
      <c r="AG498" s="199">
        <f>IFERROR(__xludf.DUMMYFUNCTION("""COMPUTED_VALUE"""),312.0)</f>
        <v>312</v>
      </c>
      <c r="AH498" s="199">
        <f>IFERROR(__xludf.DUMMYFUNCTION("""COMPUTED_VALUE"""),308.0)</f>
        <v>308</v>
      </c>
      <c r="AI498" s="200" t="str">
        <f>IFERROR(__xludf.DUMMYFUNCTION("""COMPUTED_VALUE"""),"Lubricant Condition Caution")</f>
        <v>Lubricant Condition Caution</v>
      </c>
      <c r="AJ498" s="200" t="str">
        <f>IFERROR(__xludf.DUMMYFUNCTION("""COMPUTED_VALUE"""),"Lubricant showing degradation - plan oil change within 3 months")</f>
        <v>Lubricant showing degradation - plan oil change within 3 months</v>
      </c>
      <c r="AK498" s="204"/>
      <c r="AL498" s="204"/>
      <c r="AM498" s="204"/>
    </row>
    <row r="499" hidden="1">
      <c r="A499" s="199" t="str">
        <f>IFERROR(__xludf.DUMMYFUNCTION("""COMPUTED_VALUE"""),"131.ST200.M11")</f>
        <v>131.ST200.M11</v>
      </c>
      <c r="B499" s="200" t="str">
        <f>IFERROR(__xludf.DUMMYFUNCTION("""COMPUTED_VALUE"""),"Stacker Belt gearbox")</f>
        <v>Stacker Belt gearbox</v>
      </c>
      <c r="C499" s="199">
        <f>IFERROR(__xludf.DUMMYFUNCTION("""COMPUTED_VALUE"""),2.5295220235E10)</f>
        <v>25295220235</v>
      </c>
      <c r="D499" s="201">
        <f>IFERROR(__xludf.DUMMYFUNCTION("""COMPUTED_VALUE"""),45946.0)</f>
        <v>45946</v>
      </c>
      <c r="E499" s="202" t="str">
        <f>IFERROR(__xludf.DUMMYFUNCTION("""COMPUTED_VALUE"""),"Alert")</f>
        <v>Alert</v>
      </c>
      <c r="F499" s="202" t="str">
        <f>IFERROR(__xludf.DUMMYFUNCTION("""COMPUTED_VALUE"""),"Alert")</f>
        <v>Alert</v>
      </c>
      <c r="G499" s="203" t="str">
        <f>IFERROR(__xludf.DUMMYFUNCTION("""COMPUTED_VALUE"""),"Caution")</f>
        <v>Caution</v>
      </c>
      <c r="H499" s="203" t="str">
        <f>IFERROR(__xludf.DUMMYFUNCTION("""COMPUTED_VALUE"""),"Normal")</f>
        <v>Normal</v>
      </c>
      <c r="I499" s="37"/>
      <c r="J499" s="37"/>
      <c r="K499" s="37"/>
      <c r="L499" s="199">
        <f>IFERROR(__xludf.DUMMYFUNCTION("""COMPUTED_VALUE"""),325.0)</f>
        <v>325</v>
      </c>
      <c r="M499" s="199">
        <f>IFERROR(__xludf.DUMMYFUNCTION("""COMPUTED_VALUE"""),304.2)</f>
        <v>304.2</v>
      </c>
      <c r="N499" s="199"/>
      <c r="O499" s="199">
        <f>IFERROR(__xludf.DUMMYFUNCTION("""COMPUTED_VALUE"""),2.0)</f>
        <v>2</v>
      </c>
      <c r="P499" s="199">
        <f>IFERROR(__xludf.DUMMYFUNCTION("""COMPUTED_VALUE"""),0.2)</f>
        <v>0.2</v>
      </c>
      <c r="Q499" s="199">
        <f>IFERROR(__xludf.DUMMYFUNCTION("""COMPUTED_VALUE"""),0.0)</f>
        <v>0</v>
      </c>
      <c r="R499" s="199">
        <f>IFERROR(__xludf.DUMMYFUNCTION("""COMPUTED_VALUE"""),1.0)</f>
        <v>1</v>
      </c>
      <c r="S499" s="199">
        <f>IFERROR(__xludf.DUMMYFUNCTION("""COMPUTED_VALUE"""),0.0)</f>
        <v>0</v>
      </c>
      <c r="T499" s="199">
        <f>IFERROR(__xludf.DUMMYFUNCTION("""COMPUTED_VALUE"""),0.0)</f>
        <v>0</v>
      </c>
      <c r="U499" s="199">
        <f>IFERROR(__xludf.DUMMYFUNCTION("""COMPUTED_VALUE"""),90.0)</f>
        <v>90</v>
      </c>
      <c r="V499" s="199">
        <f>IFERROR(__xludf.DUMMYFUNCTION("""COMPUTED_VALUE"""),0.0)</f>
        <v>0</v>
      </c>
      <c r="W499" s="199">
        <f>IFERROR(__xludf.DUMMYFUNCTION("""COMPUTED_VALUE"""),0.0)</f>
        <v>0</v>
      </c>
      <c r="X499" s="199">
        <f>IFERROR(__xludf.DUMMYFUNCTION("""COMPUTED_VALUE"""),0.0)</f>
        <v>0</v>
      </c>
      <c r="Y499" s="199">
        <f>IFERROR(__xludf.DUMMYFUNCTION("""COMPUTED_VALUE"""),0.0)</f>
        <v>0</v>
      </c>
      <c r="Z499" s="199">
        <f>IFERROR(__xludf.DUMMYFUNCTION("""COMPUTED_VALUE"""),2.0)</f>
        <v>2</v>
      </c>
      <c r="AA499" s="199">
        <f>IFERROR(__xludf.DUMMYFUNCTION("""COMPUTED_VALUE"""),0.0)</f>
        <v>0</v>
      </c>
      <c r="AB499" s="199">
        <f>IFERROR(__xludf.DUMMYFUNCTION("""COMPUTED_VALUE"""),136.0)</f>
        <v>136</v>
      </c>
      <c r="AC499" s="199">
        <f>IFERROR(__xludf.DUMMYFUNCTION("""COMPUTED_VALUE"""),19.0)</f>
        <v>19</v>
      </c>
      <c r="AD499" s="199">
        <f>IFERROR(__xludf.DUMMYFUNCTION("""COMPUTED_VALUE"""),0.0)</f>
        <v>0</v>
      </c>
      <c r="AE499" s="199">
        <f>IFERROR(__xludf.DUMMYFUNCTION("""COMPUTED_VALUE"""),141.0)</f>
        <v>141</v>
      </c>
      <c r="AF499" s="199">
        <f>IFERROR(__xludf.DUMMYFUNCTION("""COMPUTED_VALUE"""),2.0)</f>
        <v>2</v>
      </c>
      <c r="AG499" s="199">
        <f>IFERROR(__xludf.DUMMYFUNCTION("""COMPUTED_VALUE"""),439.0)</f>
        <v>439</v>
      </c>
      <c r="AH499" s="199">
        <f>IFERROR(__xludf.DUMMYFUNCTION("""COMPUTED_VALUE"""),1.0)</f>
        <v>1</v>
      </c>
      <c r="AI499" s="200" t="str">
        <f>IFERROR(__xludf.DUMMYFUNCTION("""COMPUTED_VALUE"""),"Contamination Alert | Water Ingress | High Particle Count")</f>
        <v>Contamination Alert | Water Ingress | High Particle Count</v>
      </c>
      <c r="AJ499" s="200" t="str">
        <f>IFERROR(__xludf.DUMMYFUNCTION("""COMPUTED_VALUE"""),"Water detected - inspect seals and breathers; Very high silicon - check/replace air filters, inspect seals; Critical particle count - flush system and replace filters")</f>
        <v>Water detected - inspect seals and breathers; Very high silicon - check/replace air filters, inspect seals; Critical particle count - flush system and replace filters</v>
      </c>
      <c r="AK499" s="204"/>
      <c r="AL499" s="204"/>
      <c r="AM499" s="204"/>
    </row>
    <row r="500" hidden="1">
      <c r="A500" s="199" t="str">
        <f>IFERROR(__xludf.DUMMYFUNCTION("""COMPUTED_VALUE"""),"341.BE040 R")</f>
        <v>341.BE040 R</v>
      </c>
      <c r="B500" s="200" t="str">
        <f>IFERROR(__xludf.DUMMYFUNCTION("""COMPUTED_VALUE"""),"Bucket Elevator GB - R")</f>
        <v>Bucket Elevator GB - R</v>
      </c>
      <c r="C500" s="199">
        <f>IFERROR(__xludf.DUMMYFUNCTION("""COMPUTED_VALUE"""),2.5295220213E10)</f>
        <v>25295220213</v>
      </c>
      <c r="D500" s="201">
        <f>IFERROR(__xludf.DUMMYFUNCTION("""COMPUTED_VALUE"""),45946.0)</f>
        <v>45946</v>
      </c>
      <c r="E500" s="202" t="str">
        <f>IFERROR(__xludf.DUMMYFUNCTION("""COMPUTED_VALUE"""),"Alert")</f>
        <v>Alert</v>
      </c>
      <c r="F500" s="202" t="str">
        <f>IFERROR(__xludf.DUMMYFUNCTION("""COMPUTED_VALUE"""),"Alert")</f>
        <v>Alert</v>
      </c>
      <c r="G500" s="203" t="str">
        <f>IFERROR(__xludf.DUMMYFUNCTION("""COMPUTED_VALUE"""),"Normal")</f>
        <v>Normal</v>
      </c>
      <c r="H500" s="203" t="str">
        <f>IFERROR(__xludf.DUMMYFUNCTION("""COMPUTED_VALUE"""),"Caution")</f>
        <v>Caution</v>
      </c>
      <c r="I500" s="37"/>
      <c r="J500" s="37"/>
      <c r="K500" s="37"/>
      <c r="L500" s="199">
        <f>IFERROR(__xludf.DUMMYFUNCTION("""COMPUTED_VALUE"""),83.0)</f>
        <v>83</v>
      </c>
      <c r="M500" s="199">
        <f>IFERROR(__xludf.DUMMYFUNCTION("""COMPUTED_VALUE"""),306.2)</f>
        <v>306.2</v>
      </c>
      <c r="N500" s="199"/>
      <c r="O500" s="199"/>
      <c r="P500" s="199">
        <f>IFERROR(__xludf.DUMMYFUNCTION("""COMPUTED_VALUE"""),0.1)</f>
        <v>0.1</v>
      </c>
      <c r="Q500" s="199">
        <f>IFERROR(__xludf.DUMMYFUNCTION("""COMPUTED_VALUE"""),0.0)</f>
        <v>0</v>
      </c>
      <c r="R500" s="199">
        <f>IFERROR(__xludf.DUMMYFUNCTION("""COMPUTED_VALUE"""),4.0)</f>
        <v>4</v>
      </c>
      <c r="S500" s="199">
        <f>IFERROR(__xludf.DUMMYFUNCTION("""COMPUTED_VALUE"""),0.0)</f>
        <v>0</v>
      </c>
      <c r="T500" s="199">
        <f>IFERROR(__xludf.DUMMYFUNCTION("""COMPUTED_VALUE"""),0.0)</f>
        <v>0</v>
      </c>
      <c r="U500" s="199">
        <f>IFERROR(__xludf.DUMMYFUNCTION("""COMPUTED_VALUE"""),72.0)</f>
        <v>72</v>
      </c>
      <c r="V500" s="199">
        <f>IFERROR(__xludf.DUMMYFUNCTION("""COMPUTED_VALUE"""),0.0)</f>
        <v>0</v>
      </c>
      <c r="W500" s="199">
        <f>IFERROR(__xludf.DUMMYFUNCTION("""COMPUTED_VALUE"""),0.0)</f>
        <v>0</v>
      </c>
      <c r="X500" s="199">
        <f>IFERROR(__xludf.DUMMYFUNCTION("""COMPUTED_VALUE"""),0.0)</f>
        <v>0</v>
      </c>
      <c r="Y500" s="199">
        <f>IFERROR(__xludf.DUMMYFUNCTION("""COMPUTED_VALUE"""),0.0)</f>
        <v>0</v>
      </c>
      <c r="Z500" s="199">
        <f>IFERROR(__xludf.DUMMYFUNCTION("""COMPUTED_VALUE"""),0.0)</f>
        <v>0</v>
      </c>
      <c r="AA500" s="199">
        <f>IFERROR(__xludf.DUMMYFUNCTION("""COMPUTED_VALUE"""),0.0)</f>
        <v>0</v>
      </c>
      <c r="AB500" s="199">
        <f>IFERROR(__xludf.DUMMYFUNCTION("""COMPUTED_VALUE"""),4.0)</f>
        <v>4</v>
      </c>
      <c r="AC500" s="199">
        <f>IFERROR(__xludf.DUMMYFUNCTION("""COMPUTED_VALUE"""),12.0)</f>
        <v>12</v>
      </c>
      <c r="AD500" s="199">
        <f>IFERROR(__xludf.DUMMYFUNCTION("""COMPUTED_VALUE"""),0.0)</f>
        <v>0</v>
      </c>
      <c r="AE500" s="199">
        <f>IFERROR(__xludf.DUMMYFUNCTION("""COMPUTED_VALUE"""),65.0)</f>
        <v>65</v>
      </c>
      <c r="AF500" s="199">
        <f>IFERROR(__xludf.DUMMYFUNCTION("""COMPUTED_VALUE"""),2.0)</f>
        <v>2</v>
      </c>
      <c r="AG500" s="199">
        <f>IFERROR(__xludf.DUMMYFUNCTION("""COMPUTED_VALUE"""),453.0)</f>
        <v>453</v>
      </c>
      <c r="AH500" s="199">
        <f>IFERROR(__xludf.DUMMYFUNCTION("""COMPUTED_VALUE"""),10.0)</f>
        <v>10</v>
      </c>
      <c r="AI500" s="200" t="str">
        <f>IFERROR(__xludf.DUMMYFUNCTION("""COMPUTED_VALUE"""),"General Alert")</f>
        <v>General Alert</v>
      </c>
      <c r="AJ500" s="200" t="str">
        <f>IFERROR(__xludf.DUMMYFUNCTION("""COMPUTED_VALUE"""),"High particle count - replace filters and resample")</f>
        <v>High particle count - replace filters and resample</v>
      </c>
      <c r="AK500" s="204"/>
      <c r="AL500" s="204"/>
      <c r="AM500" s="204"/>
    </row>
    <row r="501" hidden="1">
      <c r="A501" s="199" t="str">
        <f>IFERROR(__xludf.DUMMYFUNCTION("""COMPUTED_VALUE"""),"342.BE050 L")</f>
        <v>342.BE050 L</v>
      </c>
      <c r="B501" s="200" t="str">
        <f>IFERROR(__xludf.DUMMYFUNCTION("""COMPUTED_VALUE"""),"Bucket Elevator GB - L")</f>
        <v>Bucket Elevator GB - L</v>
      </c>
      <c r="C501" s="199">
        <f>IFERROR(__xludf.DUMMYFUNCTION("""COMPUTED_VALUE"""),2.5294210235E10)</f>
        <v>25294210235</v>
      </c>
      <c r="D501" s="201">
        <f>IFERROR(__xludf.DUMMYFUNCTION("""COMPUTED_VALUE"""),45946.0)</f>
        <v>45946</v>
      </c>
      <c r="E501" s="202" t="str">
        <f>IFERROR(__xludf.DUMMYFUNCTION("""COMPUTED_VALUE"""),"Alert")</f>
        <v>Alert</v>
      </c>
      <c r="F501" s="202" t="str">
        <f>IFERROR(__xludf.DUMMYFUNCTION("""COMPUTED_VALUE"""),"Alert")</f>
        <v>Alert</v>
      </c>
      <c r="G501" s="203" t="str">
        <f>IFERROR(__xludf.DUMMYFUNCTION("""COMPUTED_VALUE"""),"Alert")</f>
        <v>Alert</v>
      </c>
      <c r="H501" s="203" t="str">
        <f>IFERROR(__xludf.DUMMYFUNCTION("""COMPUTED_VALUE"""),"Caution")</f>
        <v>Caution</v>
      </c>
      <c r="I501" s="37"/>
      <c r="J501" s="37"/>
      <c r="K501" s="37"/>
      <c r="L501" s="199">
        <f>IFERROR(__xludf.DUMMYFUNCTION("""COMPUTED_VALUE"""),63.0)</f>
        <v>63</v>
      </c>
      <c r="M501" s="199">
        <f>IFERROR(__xludf.DUMMYFUNCTION("""COMPUTED_VALUE"""),310.8)</f>
        <v>310.8</v>
      </c>
      <c r="N501" s="199"/>
      <c r="O501" s="199"/>
      <c r="P501" s="199">
        <f>IFERROR(__xludf.DUMMYFUNCTION("""COMPUTED_VALUE"""),0.5)</f>
        <v>0.5</v>
      </c>
      <c r="Q501" s="199">
        <f>IFERROR(__xludf.DUMMYFUNCTION("""COMPUTED_VALUE"""),0.0)</f>
        <v>0</v>
      </c>
      <c r="R501" s="199">
        <f>IFERROR(__xludf.DUMMYFUNCTION("""COMPUTED_VALUE"""),4.0)</f>
        <v>4</v>
      </c>
      <c r="S501" s="199">
        <f>IFERROR(__xludf.DUMMYFUNCTION("""COMPUTED_VALUE"""),1.0)</f>
        <v>1</v>
      </c>
      <c r="T501" s="199">
        <f>IFERROR(__xludf.DUMMYFUNCTION("""COMPUTED_VALUE"""),2.0)</f>
        <v>2</v>
      </c>
      <c r="U501" s="199">
        <f>IFERROR(__xludf.DUMMYFUNCTION("""COMPUTED_VALUE"""),378.0)</f>
        <v>378</v>
      </c>
      <c r="V501" s="199">
        <f>IFERROR(__xludf.DUMMYFUNCTION("""COMPUTED_VALUE"""),0.0)</f>
        <v>0</v>
      </c>
      <c r="W501" s="199">
        <f>IFERROR(__xludf.DUMMYFUNCTION("""COMPUTED_VALUE"""),0.0)</f>
        <v>0</v>
      </c>
      <c r="X501" s="199">
        <f>IFERROR(__xludf.DUMMYFUNCTION("""COMPUTED_VALUE"""),0.0)</f>
        <v>0</v>
      </c>
      <c r="Y501" s="199">
        <f>IFERROR(__xludf.DUMMYFUNCTION("""COMPUTED_VALUE"""),0.0)</f>
        <v>0</v>
      </c>
      <c r="Z501" s="199">
        <f>IFERROR(__xludf.DUMMYFUNCTION("""COMPUTED_VALUE"""),0.0)</f>
        <v>0</v>
      </c>
      <c r="AA501" s="199">
        <f>IFERROR(__xludf.DUMMYFUNCTION("""COMPUTED_VALUE"""),0.0)</f>
        <v>0</v>
      </c>
      <c r="AB501" s="199">
        <f>IFERROR(__xludf.DUMMYFUNCTION("""COMPUTED_VALUE"""),29.0)</f>
        <v>29</v>
      </c>
      <c r="AC501" s="199">
        <f>IFERROR(__xludf.DUMMYFUNCTION("""COMPUTED_VALUE"""),0.0)</f>
        <v>0</v>
      </c>
      <c r="AD501" s="199">
        <f>IFERROR(__xludf.DUMMYFUNCTION("""COMPUTED_VALUE"""),0.0)</f>
        <v>0</v>
      </c>
      <c r="AE501" s="199">
        <f>IFERROR(__xludf.DUMMYFUNCTION("""COMPUTED_VALUE"""),23.0)</f>
        <v>23</v>
      </c>
      <c r="AF501" s="199">
        <f>IFERROR(__xludf.DUMMYFUNCTION("""COMPUTED_VALUE"""),5.0)</f>
        <v>5</v>
      </c>
      <c r="AG501" s="199">
        <f>IFERROR(__xludf.DUMMYFUNCTION("""COMPUTED_VALUE"""),451.0)</f>
        <v>451</v>
      </c>
      <c r="AH501" s="199">
        <f>IFERROR(__xludf.DUMMYFUNCTION("""COMPUTED_VALUE"""),78.0)</f>
        <v>78</v>
      </c>
      <c r="AI501" s="200" t="str">
        <f>IFERROR(__xludf.DUMMYFUNCTION("""COMPUTED_VALUE"""),"Wear Metal Alert | Water Ingress")</f>
        <v>Wear Metal Alert | Water Ingress</v>
      </c>
      <c r="AJ501" s="200" t="str">
        <f>IFERROR(__xludf.DUMMYFUNCTION("""COMPUTED_VALUE"""),"URGENT: Inspect equipment immediately for wear/damage; Critical wear metals detected - schedule immediate inspection; High wear metals - inspect bearing/gear surfaces; High water contamination - check seals and drain water immediately")</f>
        <v>URGENT: Inspect equipment immediately for wear/damage; Critical wear metals detected - schedule immediate inspection; High wear metals - inspect bearing/gear surfaces; High water contamination - check seals and drain water immediately</v>
      </c>
      <c r="AK501" s="204"/>
      <c r="AL501" s="204"/>
      <c r="AM501" s="204"/>
    </row>
    <row r="502" hidden="1">
      <c r="A502" s="199" t="str">
        <f>IFERROR(__xludf.DUMMYFUNCTION("""COMPUTED_VALUE"""),"351.BE350 R")</f>
        <v>351.BE350 R</v>
      </c>
      <c r="B502" s="200" t="str">
        <f>IFERROR(__xludf.DUMMYFUNCTION("""COMPUTED_VALUE"""),"Bucket Elevator GB - R")</f>
        <v>Bucket Elevator GB - R</v>
      </c>
      <c r="C502" s="199">
        <f>IFERROR(__xludf.DUMMYFUNCTION("""COMPUTED_VALUE"""),2.529522024E10)</f>
        <v>25295220240</v>
      </c>
      <c r="D502" s="201">
        <f>IFERROR(__xludf.DUMMYFUNCTION("""COMPUTED_VALUE"""),45946.0)</f>
        <v>45946</v>
      </c>
      <c r="E502" s="202" t="str">
        <f>IFERROR(__xludf.DUMMYFUNCTION("""COMPUTED_VALUE"""),"Alert")</f>
        <v>Alert</v>
      </c>
      <c r="F502" s="202" t="str">
        <f>IFERROR(__xludf.DUMMYFUNCTION("""COMPUTED_VALUE"""),"Alert")</f>
        <v>Alert</v>
      </c>
      <c r="G502" s="203" t="str">
        <f>IFERROR(__xludf.DUMMYFUNCTION("""COMPUTED_VALUE"""),"Normal")</f>
        <v>Normal</v>
      </c>
      <c r="H502" s="203" t="str">
        <f>IFERROR(__xludf.DUMMYFUNCTION("""COMPUTED_VALUE"""),"Caution")</f>
        <v>Caution</v>
      </c>
      <c r="I502" s="37"/>
      <c r="J502" s="37"/>
      <c r="K502" s="37"/>
      <c r="L502" s="199">
        <f>IFERROR(__xludf.DUMMYFUNCTION("""COMPUTED_VALUE"""),60.0)</f>
        <v>60</v>
      </c>
      <c r="M502" s="199">
        <f>IFERROR(__xludf.DUMMYFUNCTION("""COMPUTED_VALUE"""),301.7)</f>
        <v>301.7</v>
      </c>
      <c r="N502" s="199"/>
      <c r="O502" s="199"/>
      <c r="P502" s="199">
        <f>IFERROR(__xludf.DUMMYFUNCTION("""COMPUTED_VALUE"""),0.1)</f>
        <v>0.1</v>
      </c>
      <c r="Q502" s="199">
        <f>IFERROR(__xludf.DUMMYFUNCTION("""COMPUTED_VALUE"""),0.0)</f>
        <v>0</v>
      </c>
      <c r="R502" s="199">
        <f>IFERROR(__xludf.DUMMYFUNCTION("""COMPUTED_VALUE"""),0.0)</f>
        <v>0</v>
      </c>
      <c r="S502" s="199">
        <f>IFERROR(__xludf.DUMMYFUNCTION("""COMPUTED_VALUE"""),0.0)</f>
        <v>0</v>
      </c>
      <c r="T502" s="199">
        <f>IFERROR(__xludf.DUMMYFUNCTION("""COMPUTED_VALUE"""),0.0)</f>
        <v>0</v>
      </c>
      <c r="U502" s="199">
        <f>IFERROR(__xludf.DUMMYFUNCTION("""COMPUTED_VALUE"""),99.0)</f>
        <v>99</v>
      </c>
      <c r="V502" s="199">
        <f>IFERROR(__xludf.DUMMYFUNCTION("""COMPUTED_VALUE"""),0.0)</f>
        <v>0</v>
      </c>
      <c r="W502" s="199">
        <f>IFERROR(__xludf.DUMMYFUNCTION("""COMPUTED_VALUE"""),0.0)</f>
        <v>0</v>
      </c>
      <c r="X502" s="199">
        <f>IFERROR(__xludf.DUMMYFUNCTION("""COMPUTED_VALUE"""),0.0)</f>
        <v>0</v>
      </c>
      <c r="Y502" s="199">
        <f>IFERROR(__xludf.DUMMYFUNCTION("""COMPUTED_VALUE"""),0.0)</f>
        <v>0</v>
      </c>
      <c r="Z502" s="199">
        <f>IFERROR(__xludf.DUMMYFUNCTION("""COMPUTED_VALUE"""),2.0)</f>
        <v>2</v>
      </c>
      <c r="AA502" s="199">
        <f>IFERROR(__xludf.DUMMYFUNCTION("""COMPUTED_VALUE"""),0.0)</f>
        <v>0</v>
      </c>
      <c r="AB502" s="199">
        <f>IFERROR(__xludf.DUMMYFUNCTION("""COMPUTED_VALUE"""),19.0)</f>
        <v>19</v>
      </c>
      <c r="AC502" s="199">
        <f>IFERROR(__xludf.DUMMYFUNCTION("""COMPUTED_VALUE"""),14.0)</f>
        <v>14</v>
      </c>
      <c r="AD502" s="199">
        <f>IFERROR(__xludf.DUMMYFUNCTION("""COMPUTED_VALUE"""),0.0)</f>
        <v>0</v>
      </c>
      <c r="AE502" s="199">
        <f>IFERROR(__xludf.DUMMYFUNCTION("""COMPUTED_VALUE"""),150.0)</f>
        <v>150</v>
      </c>
      <c r="AF502" s="199">
        <f>IFERROR(__xludf.DUMMYFUNCTION("""COMPUTED_VALUE"""),2.0)</f>
        <v>2</v>
      </c>
      <c r="AG502" s="199">
        <f>IFERROR(__xludf.DUMMYFUNCTION("""COMPUTED_VALUE"""),401.0)</f>
        <v>401</v>
      </c>
      <c r="AH502" s="199">
        <f>IFERROR(__xludf.DUMMYFUNCTION("""COMPUTED_VALUE"""),43.0)</f>
        <v>43</v>
      </c>
      <c r="AI502" s="200" t="str">
        <f>IFERROR(__xludf.DUMMYFUNCTION("""COMPUTED_VALUE"""),"General Alert")</f>
        <v>General Alert</v>
      </c>
      <c r="AJ502" s="200" t="str">
        <f>IFERROR(__xludf.DUMMYFUNCTION("""COMPUTED_VALUE"""),"Investigate root cause; increase sampling frequency to monthly")</f>
        <v>Investigate root cause; increase sampling frequency to monthly</v>
      </c>
      <c r="AK502" s="204"/>
      <c r="AL502" s="204"/>
      <c r="AM502" s="204"/>
    </row>
    <row r="503" hidden="1">
      <c r="A503" s="199" t="str">
        <f>IFERROR(__xludf.DUMMYFUNCTION("""COMPUTED_VALUE"""),"532.LQ120")</f>
        <v>532.LQ120</v>
      </c>
      <c r="B503" s="200" t="str">
        <f>IFERROR(__xludf.DUMMYFUNCTION("""COMPUTED_VALUE"""),"Cement Mill Outlet Slide Shoe Bearing LUB.")</f>
        <v>Cement Mill Outlet Slide Shoe Bearing LUB.</v>
      </c>
      <c r="C503" s="199">
        <f>IFERROR(__xludf.DUMMYFUNCTION("""COMPUTED_VALUE"""),2.5294210241E10)</f>
        <v>25294210241</v>
      </c>
      <c r="D503" s="201">
        <f>IFERROR(__xludf.DUMMYFUNCTION("""COMPUTED_VALUE"""),45946.0)</f>
        <v>45946</v>
      </c>
      <c r="E503" s="202" t="str">
        <f>IFERROR(__xludf.DUMMYFUNCTION("""COMPUTED_VALUE"""),"Alert")</f>
        <v>Alert</v>
      </c>
      <c r="F503" s="202" t="str">
        <f>IFERROR(__xludf.DUMMYFUNCTION("""COMPUTED_VALUE"""),"Alert")</f>
        <v>Alert</v>
      </c>
      <c r="G503" s="203" t="str">
        <f>IFERROR(__xludf.DUMMYFUNCTION("""COMPUTED_VALUE"""),"Caution")</f>
        <v>Caution</v>
      </c>
      <c r="H503" s="203" t="str">
        <f>IFERROR(__xludf.DUMMYFUNCTION("""COMPUTED_VALUE"""),"Alert")</f>
        <v>Alert</v>
      </c>
      <c r="I503" s="37"/>
      <c r="J503" s="37"/>
      <c r="K503" s="37"/>
      <c r="L503" s="199">
        <f>IFERROR(__xludf.DUMMYFUNCTION("""COMPUTED_VALUE"""),22.0)</f>
        <v>22</v>
      </c>
      <c r="M503" s="199">
        <f>IFERROR(__xludf.DUMMYFUNCTION("""COMPUTED_VALUE"""),164.8)</f>
        <v>164.8</v>
      </c>
      <c r="N503" s="199"/>
      <c r="O503" s="199">
        <f>IFERROR(__xludf.DUMMYFUNCTION("""COMPUTED_VALUE"""),0.0)</f>
        <v>0</v>
      </c>
      <c r="P503" s="199">
        <f>IFERROR(__xludf.DUMMYFUNCTION("""COMPUTED_VALUE"""),0.11)</f>
        <v>0.11</v>
      </c>
      <c r="Q503" s="199">
        <f>IFERROR(__xludf.DUMMYFUNCTION("""COMPUTED_VALUE"""),0.0)</f>
        <v>0</v>
      </c>
      <c r="R503" s="199">
        <f>IFERROR(__xludf.DUMMYFUNCTION("""COMPUTED_VALUE"""),18.0)</f>
        <v>18</v>
      </c>
      <c r="S503" s="199">
        <f>IFERROR(__xludf.DUMMYFUNCTION("""COMPUTED_VALUE"""),1.0)</f>
        <v>1</v>
      </c>
      <c r="T503" s="199">
        <f>IFERROR(__xludf.DUMMYFUNCTION("""COMPUTED_VALUE"""),3.0)</f>
        <v>3</v>
      </c>
      <c r="U503" s="199">
        <f>IFERROR(__xludf.DUMMYFUNCTION("""COMPUTED_VALUE"""),45.0)</f>
        <v>45</v>
      </c>
      <c r="V503" s="199">
        <f>IFERROR(__xludf.DUMMYFUNCTION("""COMPUTED_VALUE"""),2.0)</f>
        <v>2</v>
      </c>
      <c r="W503" s="199">
        <f>IFERROR(__xludf.DUMMYFUNCTION("""COMPUTED_VALUE"""),0.0)</f>
        <v>0</v>
      </c>
      <c r="X503" s="199">
        <f>IFERROR(__xludf.DUMMYFUNCTION("""COMPUTED_VALUE"""),0.0)</f>
        <v>0</v>
      </c>
      <c r="Y503" s="199">
        <f>IFERROR(__xludf.DUMMYFUNCTION("""COMPUTED_VALUE"""),0.0)</f>
        <v>0</v>
      </c>
      <c r="Z503" s="199">
        <f>IFERROR(__xludf.DUMMYFUNCTION("""COMPUTED_VALUE"""),0.0)</f>
        <v>0</v>
      </c>
      <c r="AA503" s="199">
        <f>IFERROR(__xludf.DUMMYFUNCTION("""COMPUTED_VALUE"""),0.0)</f>
        <v>0</v>
      </c>
      <c r="AB503" s="199">
        <f>IFERROR(__xludf.DUMMYFUNCTION("""COMPUTED_VALUE"""),97.0)</f>
        <v>97</v>
      </c>
      <c r="AC503" s="199">
        <f>IFERROR(__xludf.DUMMYFUNCTION("""COMPUTED_VALUE"""),0.0)</f>
        <v>0</v>
      </c>
      <c r="AD503" s="199">
        <f>IFERROR(__xludf.DUMMYFUNCTION("""COMPUTED_VALUE"""),0.0)</f>
        <v>0</v>
      </c>
      <c r="AE503" s="199">
        <f>IFERROR(__xludf.DUMMYFUNCTION("""COMPUTED_VALUE"""),234.0)</f>
        <v>234</v>
      </c>
      <c r="AF503" s="199">
        <f>IFERROR(__xludf.DUMMYFUNCTION("""COMPUTED_VALUE"""),5.0)</f>
        <v>5</v>
      </c>
      <c r="AG503" s="199">
        <f>IFERROR(__xludf.DUMMYFUNCTION("""COMPUTED_VALUE"""),522.0)</f>
        <v>522</v>
      </c>
      <c r="AH503" s="199">
        <f>IFERROR(__xludf.DUMMYFUNCTION("""COMPUTED_VALUE"""),40.0)</f>
        <v>40</v>
      </c>
      <c r="AI503" s="200" t="str">
        <f>IFERROR(__xludf.DUMMYFUNCTION("""COMPUTED_VALUE"""),"Contamination Alert | Water Ingress")</f>
        <v>Contamination Alert | Water Ingress</v>
      </c>
      <c r="AJ503" s="200" t="str">
        <f>IFERROR(__xludf.DUMMYFUNCTION("""COMPUTED_VALUE"""),"Water detected - inspect seals and breathers; Elevated silicon - inspect filters and seals for contamination")</f>
        <v>Water detected - inspect seals and breathers; Elevated silicon - inspect filters and seals for contamination</v>
      </c>
      <c r="AK503" s="204"/>
      <c r="AL503" s="204"/>
      <c r="AM503" s="204"/>
    </row>
    <row r="504" hidden="1">
      <c r="A504" s="199" t="str">
        <f>IFERROR(__xludf.DUMMYFUNCTION("""COMPUTED_VALUE"""),"533.BE220")</f>
        <v>533.BE220</v>
      </c>
      <c r="B504" s="200" t="str">
        <f>IFERROR(__xludf.DUMMYFUNCTION("""COMPUTED_VALUE"""),"Bucket Elevator BM#3 GB.")</f>
        <v>Bucket Elevator BM#3 GB.</v>
      </c>
      <c r="C504" s="199">
        <f>IFERROR(__xludf.DUMMYFUNCTION("""COMPUTED_VALUE"""),2.5294210237E10)</f>
        <v>25294210237</v>
      </c>
      <c r="D504" s="201">
        <f>IFERROR(__xludf.DUMMYFUNCTION("""COMPUTED_VALUE"""),45946.0)</f>
        <v>45946</v>
      </c>
      <c r="E504" s="202" t="str">
        <f>IFERROR(__xludf.DUMMYFUNCTION("""COMPUTED_VALUE"""),"Alert")</f>
        <v>Alert</v>
      </c>
      <c r="F504" s="202" t="str">
        <f>IFERROR(__xludf.DUMMYFUNCTION("""COMPUTED_VALUE"""),"Alert")</f>
        <v>Alert</v>
      </c>
      <c r="G504" s="203" t="str">
        <f>IFERROR(__xludf.DUMMYFUNCTION("""COMPUTED_VALUE"""),"Normal")</f>
        <v>Normal</v>
      </c>
      <c r="H504" s="203" t="str">
        <f>IFERROR(__xludf.DUMMYFUNCTION("""COMPUTED_VALUE"""),"Normal")</f>
        <v>Normal</v>
      </c>
      <c r="I504" s="37"/>
      <c r="J504" s="37"/>
      <c r="K504" s="37"/>
      <c r="L504" s="199">
        <f>IFERROR(__xludf.DUMMYFUNCTION("""COMPUTED_VALUE"""),82.0)</f>
        <v>82</v>
      </c>
      <c r="M504" s="199">
        <f>IFERROR(__xludf.DUMMYFUNCTION("""COMPUTED_VALUE"""),305.7)</f>
        <v>305.7</v>
      </c>
      <c r="N504" s="199"/>
      <c r="O504" s="199">
        <f>IFERROR(__xludf.DUMMYFUNCTION("""COMPUTED_VALUE"""),1.0)</f>
        <v>1</v>
      </c>
      <c r="P504" s="199">
        <f>IFERROR(__xludf.DUMMYFUNCTION("""COMPUTED_VALUE"""),0.12)</f>
        <v>0.12</v>
      </c>
      <c r="Q504" s="199">
        <f>IFERROR(__xludf.DUMMYFUNCTION("""COMPUTED_VALUE"""),0.0)</f>
        <v>0</v>
      </c>
      <c r="R504" s="199">
        <f>IFERROR(__xludf.DUMMYFUNCTION("""COMPUTED_VALUE"""),14.0)</f>
        <v>14</v>
      </c>
      <c r="S504" s="199">
        <f>IFERROR(__xludf.DUMMYFUNCTION("""COMPUTED_VALUE"""),1.0)</f>
        <v>1</v>
      </c>
      <c r="T504" s="199">
        <f>IFERROR(__xludf.DUMMYFUNCTION("""COMPUTED_VALUE"""),2.0)</f>
        <v>2</v>
      </c>
      <c r="U504" s="199">
        <f>IFERROR(__xludf.DUMMYFUNCTION("""COMPUTED_VALUE"""),111.0)</f>
        <v>111</v>
      </c>
      <c r="V504" s="199">
        <f>IFERROR(__xludf.DUMMYFUNCTION("""COMPUTED_VALUE"""),2.0)</f>
        <v>2</v>
      </c>
      <c r="W504" s="199">
        <f>IFERROR(__xludf.DUMMYFUNCTION("""COMPUTED_VALUE"""),0.0)</f>
        <v>0</v>
      </c>
      <c r="X504" s="199">
        <f>IFERROR(__xludf.DUMMYFUNCTION("""COMPUTED_VALUE"""),0.0)</f>
        <v>0</v>
      </c>
      <c r="Y504" s="199">
        <f>IFERROR(__xludf.DUMMYFUNCTION("""COMPUTED_VALUE"""),0.0)</f>
        <v>0</v>
      </c>
      <c r="Z504" s="199">
        <f>IFERROR(__xludf.DUMMYFUNCTION("""COMPUTED_VALUE"""),0.0)</f>
        <v>0</v>
      </c>
      <c r="AA504" s="199">
        <f>IFERROR(__xludf.DUMMYFUNCTION("""COMPUTED_VALUE"""),0.0)</f>
        <v>0</v>
      </c>
      <c r="AB504" s="199">
        <f>IFERROR(__xludf.DUMMYFUNCTION("""COMPUTED_VALUE"""),76.0)</f>
        <v>76</v>
      </c>
      <c r="AC504" s="199">
        <f>IFERROR(__xludf.DUMMYFUNCTION("""COMPUTED_VALUE"""),20.0)</f>
        <v>20</v>
      </c>
      <c r="AD504" s="199">
        <f>IFERROR(__xludf.DUMMYFUNCTION("""COMPUTED_VALUE"""),0.0)</f>
        <v>0</v>
      </c>
      <c r="AE504" s="199">
        <f>IFERROR(__xludf.DUMMYFUNCTION("""COMPUTED_VALUE"""),119.0)</f>
        <v>119</v>
      </c>
      <c r="AF504" s="199">
        <f>IFERROR(__xludf.DUMMYFUNCTION("""COMPUTED_VALUE"""),5.0)</f>
        <v>5</v>
      </c>
      <c r="AG504" s="199">
        <f>IFERROR(__xludf.DUMMYFUNCTION("""COMPUTED_VALUE"""),270.0)</f>
        <v>270</v>
      </c>
      <c r="AH504" s="199">
        <f>IFERROR(__xludf.DUMMYFUNCTION("""COMPUTED_VALUE"""),7.0)</f>
        <v>7</v>
      </c>
      <c r="AI504" s="200" t="str">
        <f>IFERROR(__xludf.DUMMYFUNCTION("""COMPUTED_VALUE"""),"Contamination Alert | Water Ingress")</f>
        <v>Contamination Alert | Water Ingress</v>
      </c>
      <c r="AJ504" s="200" t="str">
        <f>IFERROR(__xludf.DUMMYFUNCTION("""COMPUTED_VALUE"""),"High wear metals - inspect bearing/gear surfaces; Water detected - inspect seals and breathers; Elevated silicon - inspect filters and seals for contamination; High particle count - replace filters and resample")</f>
        <v>High wear metals - inspect bearing/gear surfaces; Water detected - inspect seals and breathers; Elevated silicon - inspect filters and seals for contamination; High particle count - replace filters and resample</v>
      </c>
      <c r="AK504" s="204"/>
      <c r="AL504" s="204"/>
      <c r="AM504" s="204"/>
    </row>
    <row r="505" hidden="1">
      <c r="A505" s="199" t="str">
        <f>IFERROR(__xludf.DUMMYFUNCTION("""COMPUTED_VALUE"""),"R2.322.BE220")</f>
        <v>R2.322.BE220</v>
      </c>
      <c r="B505" s="200" t="str">
        <f>IFERROR(__xludf.DUMMYFUNCTION("""COMPUTED_VALUE"""),"R2 Bucket Elevator gearbox")</f>
        <v>R2 Bucket Elevator gearbox</v>
      </c>
      <c r="C505" s="199">
        <f>IFERROR(__xludf.DUMMYFUNCTION("""COMPUTED_VALUE"""),2.5294210218E10)</f>
        <v>25294210218</v>
      </c>
      <c r="D505" s="201">
        <f>IFERROR(__xludf.DUMMYFUNCTION("""COMPUTED_VALUE"""),45946.0)</f>
        <v>45946</v>
      </c>
      <c r="E505" s="202" t="str">
        <f>IFERROR(__xludf.DUMMYFUNCTION("""COMPUTED_VALUE"""),"Caution")</f>
        <v>Caution</v>
      </c>
      <c r="F505" s="202" t="str">
        <f>IFERROR(__xludf.DUMMYFUNCTION("""COMPUTED_VALUE"""),"Caution")</f>
        <v>Caution</v>
      </c>
      <c r="G505" s="203" t="str">
        <f>IFERROR(__xludf.DUMMYFUNCTION("""COMPUTED_VALUE"""),"Normal")</f>
        <v>Normal</v>
      </c>
      <c r="H505" s="203" t="str">
        <f>IFERROR(__xludf.DUMMYFUNCTION("""COMPUTED_VALUE"""),"Normal")</f>
        <v>Normal</v>
      </c>
      <c r="I505" s="37"/>
      <c r="J505" s="37"/>
      <c r="K505" s="37"/>
      <c r="L505" s="199">
        <f>IFERROR(__xludf.DUMMYFUNCTION("""COMPUTED_VALUE"""),20.0)</f>
        <v>20</v>
      </c>
      <c r="M505" s="199">
        <f>IFERROR(__xludf.DUMMYFUNCTION("""COMPUTED_VALUE"""),283.1)</f>
        <v>283.1</v>
      </c>
      <c r="N505" s="199"/>
      <c r="O505" s="199">
        <f>IFERROR(__xludf.DUMMYFUNCTION("""COMPUTED_VALUE"""),2.0)</f>
        <v>2</v>
      </c>
      <c r="P505" s="199">
        <f>IFERROR(__xludf.DUMMYFUNCTION("""COMPUTED_VALUE"""),0.04)</f>
        <v>0.04</v>
      </c>
      <c r="Q505" s="199">
        <f>IFERROR(__xludf.DUMMYFUNCTION("""COMPUTED_VALUE"""),0.0)</f>
        <v>0</v>
      </c>
      <c r="R505" s="199">
        <f>IFERROR(__xludf.DUMMYFUNCTION("""COMPUTED_VALUE"""),6.0)</f>
        <v>6</v>
      </c>
      <c r="S505" s="199">
        <f>IFERROR(__xludf.DUMMYFUNCTION("""COMPUTED_VALUE"""),0.0)</f>
        <v>0</v>
      </c>
      <c r="T505" s="199">
        <f>IFERROR(__xludf.DUMMYFUNCTION("""COMPUTED_VALUE"""),2.0)</f>
        <v>2</v>
      </c>
      <c r="U505" s="199">
        <f>IFERROR(__xludf.DUMMYFUNCTION("""COMPUTED_VALUE"""),32.0)</f>
        <v>32</v>
      </c>
      <c r="V505" s="199">
        <f>IFERROR(__xludf.DUMMYFUNCTION("""COMPUTED_VALUE"""),0.0)</f>
        <v>0</v>
      </c>
      <c r="W505" s="199">
        <f>IFERROR(__xludf.DUMMYFUNCTION("""COMPUTED_VALUE"""),0.0)</f>
        <v>0</v>
      </c>
      <c r="X505" s="199">
        <f>IFERROR(__xludf.DUMMYFUNCTION("""COMPUTED_VALUE"""),0.0)</f>
        <v>0</v>
      </c>
      <c r="Y505" s="199">
        <f>IFERROR(__xludf.DUMMYFUNCTION("""COMPUTED_VALUE"""),0.0)</f>
        <v>0</v>
      </c>
      <c r="Z505" s="199">
        <f>IFERROR(__xludf.DUMMYFUNCTION("""COMPUTED_VALUE"""),0.0)</f>
        <v>0</v>
      </c>
      <c r="AA505" s="199">
        <f>IFERROR(__xludf.DUMMYFUNCTION("""COMPUTED_VALUE"""),0.0)</f>
        <v>0</v>
      </c>
      <c r="AB505" s="199">
        <f>IFERROR(__xludf.DUMMYFUNCTION("""COMPUTED_VALUE"""),25.0)</f>
        <v>25</v>
      </c>
      <c r="AC505" s="199">
        <f>IFERROR(__xludf.DUMMYFUNCTION("""COMPUTED_VALUE"""),0.0)</f>
        <v>0</v>
      </c>
      <c r="AD505" s="199">
        <f>IFERROR(__xludf.DUMMYFUNCTION("""COMPUTED_VALUE"""),0.0)</f>
        <v>0</v>
      </c>
      <c r="AE505" s="199">
        <f>IFERROR(__xludf.DUMMYFUNCTION("""COMPUTED_VALUE"""),43.0)</f>
        <v>43</v>
      </c>
      <c r="AF505" s="199">
        <f>IFERROR(__xludf.DUMMYFUNCTION("""COMPUTED_VALUE"""),3.0)</f>
        <v>3</v>
      </c>
      <c r="AG505" s="199">
        <f>IFERROR(__xludf.DUMMYFUNCTION("""COMPUTED_VALUE"""),418.0)</f>
        <v>418</v>
      </c>
      <c r="AH505" s="199">
        <f>IFERROR(__xludf.DUMMYFUNCTION("""COMPUTED_VALUE"""),31.0)</f>
        <v>31</v>
      </c>
      <c r="AI505" s="200" t="str">
        <f>IFERROR(__xludf.DUMMYFUNCTION("""COMPUTED_VALUE"""),"Contamination Caution")</f>
        <v>Contamination Caution</v>
      </c>
      <c r="AJ505" s="200" t="str">
        <f>IFERROR(__xludf.DUMMYFUNCTION("""COMPUTED_VALUE"""),"Oxidation increasing - monitor and plan oil change; Silicon elevated - check air filtration and seals")</f>
        <v>Oxidation increasing - monitor and plan oil change; Silicon elevated - check air filtration and seals</v>
      </c>
      <c r="AK505" s="204"/>
      <c r="AL505" s="204"/>
      <c r="AM505" s="204"/>
    </row>
    <row r="506" hidden="1">
      <c r="A506" s="199" t="str">
        <f>IFERROR(__xludf.DUMMYFUNCTION("""COMPUTED_VALUE"""),"R2.332.FN110(Fr.B.)")</f>
        <v>R2.332.FN110(Fr.B.)</v>
      </c>
      <c r="B506" s="200" t="str">
        <f>IFERROR(__xludf.DUMMYFUNCTION("""COMPUTED_VALUE"""),"ID fan free bearing line 2")</f>
        <v>ID fan free bearing line 2</v>
      </c>
      <c r="C506" s="199">
        <f>IFERROR(__xludf.DUMMYFUNCTION("""COMPUTED_VALUE"""),2.5294210207E10)</f>
        <v>25294210207</v>
      </c>
      <c r="D506" s="201">
        <f>IFERROR(__xludf.DUMMYFUNCTION("""COMPUTED_VALUE"""),45946.0)</f>
        <v>45946</v>
      </c>
      <c r="E506" s="202" t="str">
        <f>IFERROR(__xludf.DUMMYFUNCTION("""COMPUTED_VALUE"""),"Alert")</f>
        <v>Alert</v>
      </c>
      <c r="F506" s="202" t="str">
        <f>IFERROR(__xludf.DUMMYFUNCTION("""COMPUTED_VALUE"""),"Normal")</f>
        <v>Normal</v>
      </c>
      <c r="G506" s="203" t="str">
        <f>IFERROR(__xludf.DUMMYFUNCTION("""COMPUTED_VALUE"""),"Normal")</f>
        <v>Normal</v>
      </c>
      <c r="H506" s="203" t="str">
        <f>IFERROR(__xludf.DUMMYFUNCTION("""COMPUTED_VALUE"""),"Alert")</f>
        <v>Alert</v>
      </c>
      <c r="I506" s="37">
        <f>IFERROR(__xludf.DUMMYFUNCTION("""COMPUTED_VALUE"""),9281.0)</f>
        <v>9281</v>
      </c>
      <c r="J506" s="37">
        <f>IFERROR(__xludf.DUMMYFUNCTION("""COMPUTED_VALUE"""),4015.0)</f>
        <v>4015</v>
      </c>
      <c r="K506" s="37">
        <f>IFERROR(__xludf.DUMMYFUNCTION("""COMPUTED_VALUE"""),961.0)</f>
        <v>961</v>
      </c>
      <c r="L506" s="199">
        <f>IFERROR(__xludf.DUMMYFUNCTION("""COMPUTED_VALUE"""),4.0)</f>
        <v>4</v>
      </c>
      <c r="M506" s="199">
        <f>IFERROR(__xludf.DUMMYFUNCTION("""COMPUTED_VALUE"""),45.0)</f>
        <v>45</v>
      </c>
      <c r="N506" s="199"/>
      <c r="O506" s="199">
        <f>IFERROR(__xludf.DUMMYFUNCTION("""COMPUTED_VALUE"""),1.0)</f>
        <v>1</v>
      </c>
      <c r="P506" s="199">
        <f>IFERROR(__xludf.DUMMYFUNCTION("""COMPUTED_VALUE"""),0.01)</f>
        <v>0.01</v>
      </c>
      <c r="Q506" s="199">
        <f>IFERROR(__xludf.DUMMYFUNCTION("""COMPUTED_VALUE"""),0.0)</f>
        <v>0</v>
      </c>
      <c r="R506" s="199">
        <f>IFERROR(__xludf.DUMMYFUNCTION("""COMPUTED_VALUE"""),3.0)</f>
        <v>3</v>
      </c>
      <c r="S506" s="199">
        <f>IFERROR(__xludf.DUMMYFUNCTION("""COMPUTED_VALUE"""),0.0)</f>
        <v>0</v>
      </c>
      <c r="T506" s="199">
        <f>IFERROR(__xludf.DUMMYFUNCTION("""COMPUTED_VALUE"""),3.0)</f>
        <v>3</v>
      </c>
      <c r="U506" s="199">
        <f>IFERROR(__xludf.DUMMYFUNCTION("""COMPUTED_VALUE"""),1.0)</f>
        <v>1</v>
      </c>
      <c r="V506" s="199">
        <f>IFERROR(__xludf.DUMMYFUNCTION("""COMPUTED_VALUE"""),0.0)</f>
        <v>0</v>
      </c>
      <c r="W506" s="199">
        <f>IFERROR(__xludf.DUMMYFUNCTION("""COMPUTED_VALUE"""),0.0)</f>
        <v>0</v>
      </c>
      <c r="X506" s="199">
        <f>IFERROR(__xludf.DUMMYFUNCTION("""COMPUTED_VALUE"""),0.0)</f>
        <v>0</v>
      </c>
      <c r="Y506" s="199">
        <f>IFERROR(__xludf.DUMMYFUNCTION("""COMPUTED_VALUE"""),0.0)</f>
        <v>0</v>
      </c>
      <c r="Z506" s="199">
        <f>IFERROR(__xludf.DUMMYFUNCTION("""COMPUTED_VALUE"""),0.0)</f>
        <v>0</v>
      </c>
      <c r="AA506" s="199">
        <f>IFERROR(__xludf.DUMMYFUNCTION("""COMPUTED_VALUE"""),0.0)</f>
        <v>0</v>
      </c>
      <c r="AB506" s="199">
        <f>IFERROR(__xludf.DUMMYFUNCTION("""COMPUTED_VALUE"""),2.0)</f>
        <v>2</v>
      </c>
      <c r="AC506" s="199">
        <f>IFERROR(__xludf.DUMMYFUNCTION("""COMPUTED_VALUE"""),0.0)</f>
        <v>0</v>
      </c>
      <c r="AD506" s="199">
        <f>IFERROR(__xludf.DUMMYFUNCTION("""COMPUTED_VALUE"""),0.0)</f>
        <v>0</v>
      </c>
      <c r="AE506" s="199">
        <f>IFERROR(__xludf.DUMMYFUNCTION("""COMPUTED_VALUE"""),47.0)</f>
        <v>47</v>
      </c>
      <c r="AF506" s="199">
        <f>IFERROR(__xludf.DUMMYFUNCTION("""COMPUTED_VALUE"""),0.0)</f>
        <v>0</v>
      </c>
      <c r="AG506" s="199">
        <f>IFERROR(__xludf.DUMMYFUNCTION("""COMPUTED_VALUE"""),347.0)</f>
        <v>347</v>
      </c>
      <c r="AH506" s="199">
        <f>IFERROR(__xludf.DUMMYFUNCTION("""COMPUTED_VALUE"""),357.0)</f>
        <v>357</v>
      </c>
      <c r="AI506" s="200" t="str">
        <f>IFERROR(__xludf.DUMMYFUNCTION("""COMPUTED_VALUE"""),"Lubricant Degradation")</f>
        <v>Lubricant Degradation</v>
      </c>
      <c r="AJ506" s="200" t="str">
        <f>IFERROR(__xludf.DUMMYFUNCTION("""COMPUTED_VALUE"""),"Viscosity critically low - change lubricant immediately")</f>
        <v>Viscosity critically low - change lubricant immediately</v>
      </c>
      <c r="AK506" s="204"/>
      <c r="AL506" s="204"/>
      <c r="AM506" s="204"/>
    </row>
    <row r="507" hidden="1">
      <c r="A507" s="199" t="str">
        <f>IFERROR(__xludf.DUMMYFUNCTION("""COMPUTED_VALUE"""),"R2.332.FN110(Fx.B.)")</f>
        <v>R2.332.FN110(Fx.B.)</v>
      </c>
      <c r="B507" s="200" t="str">
        <f>IFERROR(__xludf.DUMMYFUNCTION("""COMPUTED_VALUE"""),"ID fan fixed bearing")</f>
        <v>ID fan fixed bearing</v>
      </c>
      <c r="C507" s="199">
        <f>IFERROR(__xludf.DUMMYFUNCTION("""COMPUTED_VALUE"""),2.5294210201E10)</f>
        <v>25294210201</v>
      </c>
      <c r="D507" s="201">
        <f>IFERROR(__xludf.DUMMYFUNCTION("""COMPUTED_VALUE"""),45946.0)</f>
        <v>45946</v>
      </c>
      <c r="E507" s="202" t="str">
        <f>IFERROR(__xludf.DUMMYFUNCTION("""COMPUTED_VALUE"""),"Alert")</f>
        <v>Alert</v>
      </c>
      <c r="F507" s="202" t="str">
        <f>IFERROR(__xludf.DUMMYFUNCTION("""COMPUTED_VALUE"""),"Normal")</f>
        <v>Normal</v>
      </c>
      <c r="G507" s="203" t="str">
        <f>IFERROR(__xludf.DUMMYFUNCTION("""COMPUTED_VALUE"""),"Normal")</f>
        <v>Normal</v>
      </c>
      <c r="H507" s="203" t="str">
        <f>IFERROR(__xludf.DUMMYFUNCTION("""COMPUTED_VALUE"""),"Alert")</f>
        <v>Alert</v>
      </c>
      <c r="I507" s="37">
        <f>IFERROR(__xludf.DUMMYFUNCTION("""COMPUTED_VALUE"""),4312.0)</f>
        <v>4312</v>
      </c>
      <c r="J507" s="37">
        <f>IFERROR(__xludf.DUMMYFUNCTION("""COMPUTED_VALUE"""),1007.0)</f>
        <v>1007</v>
      </c>
      <c r="K507" s="37">
        <f>IFERROR(__xludf.DUMMYFUNCTION("""COMPUTED_VALUE"""),470.0)</f>
        <v>470</v>
      </c>
      <c r="L507" s="199">
        <f>IFERROR(__xludf.DUMMYFUNCTION("""COMPUTED_VALUE"""),5.0)</f>
        <v>5</v>
      </c>
      <c r="M507" s="199">
        <f>IFERROR(__xludf.DUMMYFUNCTION("""COMPUTED_VALUE"""),46.8)</f>
        <v>46.8</v>
      </c>
      <c r="N507" s="199"/>
      <c r="O507" s="199">
        <f>IFERROR(__xludf.DUMMYFUNCTION("""COMPUTED_VALUE"""),1.0)</f>
        <v>1</v>
      </c>
      <c r="P507" s="199">
        <f>IFERROR(__xludf.DUMMYFUNCTION("""COMPUTED_VALUE"""),0.01)</f>
        <v>0.01</v>
      </c>
      <c r="Q507" s="199">
        <f>IFERROR(__xludf.DUMMYFUNCTION("""COMPUTED_VALUE"""),0.0)</f>
        <v>0</v>
      </c>
      <c r="R507" s="199">
        <f>IFERROR(__xludf.DUMMYFUNCTION("""COMPUTED_VALUE"""),3.0)</f>
        <v>3</v>
      </c>
      <c r="S507" s="199">
        <f>IFERROR(__xludf.DUMMYFUNCTION("""COMPUTED_VALUE"""),0.0)</f>
        <v>0</v>
      </c>
      <c r="T507" s="199">
        <f>IFERROR(__xludf.DUMMYFUNCTION("""COMPUTED_VALUE"""),5.0)</f>
        <v>5</v>
      </c>
      <c r="U507" s="199">
        <f>IFERROR(__xludf.DUMMYFUNCTION("""COMPUTED_VALUE"""),2.0)</f>
        <v>2</v>
      </c>
      <c r="V507" s="199">
        <f>IFERROR(__xludf.DUMMYFUNCTION("""COMPUTED_VALUE"""),0.0)</f>
        <v>0</v>
      </c>
      <c r="W507" s="199">
        <f>IFERROR(__xludf.DUMMYFUNCTION("""COMPUTED_VALUE"""),0.0)</f>
        <v>0</v>
      </c>
      <c r="X507" s="199">
        <f>IFERROR(__xludf.DUMMYFUNCTION("""COMPUTED_VALUE"""),0.0)</f>
        <v>0</v>
      </c>
      <c r="Y507" s="199">
        <f>IFERROR(__xludf.DUMMYFUNCTION("""COMPUTED_VALUE"""),0.0)</f>
        <v>0</v>
      </c>
      <c r="Z507" s="199">
        <f>IFERROR(__xludf.DUMMYFUNCTION("""COMPUTED_VALUE"""),2.0)</f>
        <v>2</v>
      </c>
      <c r="AA507" s="199">
        <f>IFERROR(__xludf.DUMMYFUNCTION("""COMPUTED_VALUE"""),0.0)</f>
        <v>0</v>
      </c>
      <c r="AB507" s="199">
        <f>IFERROR(__xludf.DUMMYFUNCTION("""COMPUTED_VALUE"""),2.0)</f>
        <v>2</v>
      </c>
      <c r="AC507" s="199">
        <f>IFERROR(__xludf.DUMMYFUNCTION("""COMPUTED_VALUE"""),0.0)</f>
        <v>0</v>
      </c>
      <c r="AD507" s="199">
        <f>IFERROR(__xludf.DUMMYFUNCTION("""COMPUTED_VALUE"""),0.0)</f>
        <v>0</v>
      </c>
      <c r="AE507" s="199">
        <f>IFERROR(__xludf.DUMMYFUNCTION("""COMPUTED_VALUE"""),50.0)</f>
        <v>50</v>
      </c>
      <c r="AF507" s="199">
        <f>IFERROR(__xludf.DUMMYFUNCTION("""COMPUTED_VALUE"""),0.0)</f>
        <v>0</v>
      </c>
      <c r="AG507" s="199">
        <f>IFERROR(__xludf.DUMMYFUNCTION("""COMPUTED_VALUE"""),354.0)</f>
        <v>354</v>
      </c>
      <c r="AH507" s="199">
        <f>IFERROR(__xludf.DUMMYFUNCTION("""COMPUTED_VALUE"""),352.0)</f>
        <v>352</v>
      </c>
      <c r="AI507" s="200" t="str">
        <f>IFERROR(__xludf.DUMMYFUNCTION("""COMPUTED_VALUE"""),"Lubricant Degradation")</f>
        <v>Lubricant Degradation</v>
      </c>
      <c r="AJ507" s="200" t="str">
        <f>IFERROR(__xludf.DUMMYFUNCTION("""COMPUTED_VALUE"""),"Viscosity critically low - change lubricant immediately")</f>
        <v>Viscosity critically low - change lubricant immediately</v>
      </c>
      <c r="AK507" s="204"/>
      <c r="AL507" s="204"/>
      <c r="AM507" s="204"/>
    </row>
    <row r="508" hidden="1">
      <c r="A508" s="199" t="str">
        <f>IFERROR(__xludf.DUMMYFUNCTION("""COMPUTED_VALUE"""),"321.BE220")</f>
        <v>321.BE220</v>
      </c>
      <c r="B508" s="200" t="str">
        <f>IFERROR(__xludf.DUMMYFUNCTION("""COMPUTED_VALUE"""),"Bucket Elevator gearbox")</f>
        <v>Bucket Elevator gearbox</v>
      </c>
      <c r="C508" s="199">
        <f>IFERROR(__xludf.DUMMYFUNCTION("""COMPUTED_VALUE"""),2.5294210229E10)</f>
        <v>25294210229</v>
      </c>
      <c r="D508" s="201">
        <f>IFERROR(__xludf.DUMMYFUNCTION("""COMPUTED_VALUE"""),45946.0)</f>
        <v>45946</v>
      </c>
      <c r="E508" s="202" t="str">
        <f>IFERROR(__xludf.DUMMYFUNCTION("""COMPUTED_VALUE"""),"Caution")</f>
        <v>Caution</v>
      </c>
      <c r="F508" s="202" t="str">
        <f>IFERROR(__xludf.DUMMYFUNCTION("""COMPUTED_VALUE"""),"Caution")</f>
        <v>Caution</v>
      </c>
      <c r="G508" s="203" t="str">
        <f>IFERROR(__xludf.DUMMYFUNCTION("""COMPUTED_VALUE"""),"Normal")</f>
        <v>Normal</v>
      </c>
      <c r="H508" s="203" t="str">
        <f>IFERROR(__xludf.DUMMYFUNCTION("""COMPUTED_VALUE"""),"Normal")</f>
        <v>Normal</v>
      </c>
      <c r="I508" s="37"/>
      <c r="J508" s="37"/>
      <c r="K508" s="37"/>
      <c r="L508" s="199">
        <f>IFERROR(__xludf.DUMMYFUNCTION("""COMPUTED_VALUE"""),18.0)</f>
        <v>18</v>
      </c>
      <c r="M508" s="199">
        <f>IFERROR(__xludf.DUMMYFUNCTION("""COMPUTED_VALUE"""),301.2)</f>
        <v>301.2</v>
      </c>
      <c r="N508" s="199"/>
      <c r="O508" s="199">
        <f>IFERROR(__xludf.DUMMYFUNCTION("""COMPUTED_VALUE"""),2.0)</f>
        <v>2</v>
      </c>
      <c r="P508" s="199">
        <f>IFERROR(__xludf.DUMMYFUNCTION("""COMPUTED_VALUE"""),0.04)</f>
        <v>0.04</v>
      </c>
      <c r="Q508" s="199">
        <f>IFERROR(__xludf.DUMMYFUNCTION("""COMPUTED_VALUE"""),0.0)</f>
        <v>0</v>
      </c>
      <c r="R508" s="199">
        <f>IFERROR(__xludf.DUMMYFUNCTION("""COMPUTED_VALUE"""),6.0)</f>
        <v>6</v>
      </c>
      <c r="S508" s="199">
        <f>IFERROR(__xludf.DUMMYFUNCTION("""COMPUTED_VALUE"""),2.0)</f>
        <v>2</v>
      </c>
      <c r="T508" s="199">
        <f>IFERROR(__xludf.DUMMYFUNCTION("""COMPUTED_VALUE"""),2.0)</f>
        <v>2</v>
      </c>
      <c r="U508" s="199">
        <f>IFERROR(__xludf.DUMMYFUNCTION("""COMPUTED_VALUE"""),31.0)</f>
        <v>31</v>
      </c>
      <c r="V508" s="199">
        <f>IFERROR(__xludf.DUMMYFUNCTION("""COMPUTED_VALUE"""),0.0)</f>
        <v>0</v>
      </c>
      <c r="W508" s="199">
        <f>IFERROR(__xludf.DUMMYFUNCTION("""COMPUTED_VALUE"""),0.0)</f>
        <v>0</v>
      </c>
      <c r="X508" s="199">
        <f>IFERROR(__xludf.DUMMYFUNCTION("""COMPUTED_VALUE"""),0.0)</f>
        <v>0</v>
      </c>
      <c r="Y508" s="199">
        <f>IFERROR(__xludf.DUMMYFUNCTION("""COMPUTED_VALUE"""),0.0)</f>
        <v>0</v>
      </c>
      <c r="Z508" s="199">
        <f>IFERROR(__xludf.DUMMYFUNCTION("""COMPUTED_VALUE"""),0.0)</f>
        <v>0</v>
      </c>
      <c r="AA508" s="199">
        <f>IFERROR(__xludf.DUMMYFUNCTION("""COMPUTED_VALUE"""),0.0)</f>
        <v>0</v>
      </c>
      <c r="AB508" s="199">
        <f>IFERROR(__xludf.DUMMYFUNCTION("""COMPUTED_VALUE"""),29.0)</f>
        <v>29</v>
      </c>
      <c r="AC508" s="199">
        <f>IFERROR(__xludf.DUMMYFUNCTION("""COMPUTED_VALUE"""),0.0)</f>
        <v>0</v>
      </c>
      <c r="AD508" s="199">
        <f>IFERROR(__xludf.DUMMYFUNCTION("""COMPUTED_VALUE"""),0.0)</f>
        <v>0</v>
      </c>
      <c r="AE508" s="199">
        <f>IFERROR(__xludf.DUMMYFUNCTION("""COMPUTED_VALUE"""),0.0)</f>
        <v>0</v>
      </c>
      <c r="AF508" s="199">
        <f>IFERROR(__xludf.DUMMYFUNCTION("""COMPUTED_VALUE"""),2.0)</f>
        <v>2</v>
      </c>
      <c r="AG508" s="199">
        <f>IFERROR(__xludf.DUMMYFUNCTION("""COMPUTED_VALUE"""),373.0)</f>
        <v>373</v>
      </c>
      <c r="AH508" s="199">
        <f>IFERROR(__xludf.DUMMYFUNCTION("""COMPUTED_VALUE"""),24.0)</f>
        <v>24</v>
      </c>
      <c r="AI508" s="200" t="str">
        <f>IFERROR(__xludf.DUMMYFUNCTION("""COMPUTED_VALUE"""),"Contamination Caution")</f>
        <v>Contamination Caution</v>
      </c>
      <c r="AJ508" s="200" t="str">
        <f>IFERROR(__xludf.DUMMYFUNCTION("""COMPUTED_VALUE"""),"Oxidation increasing - monitor and plan oil change; Silicon elevated - check air filtration and seals")</f>
        <v>Oxidation increasing - monitor and plan oil change; Silicon elevated - check air filtration and seals</v>
      </c>
      <c r="AK508" s="204"/>
      <c r="AL508" s="204"/>
      <c r="AM508" s="204"/>
    </row>
    <row r="509" hidden="1">
      <c r="A509" s="199" t="str">
        <f>IFERROR(__xludf.DUMMYFUNCTION("""COMPUTED_VALUE"""),"R2.442.MD140(T)")</f>
        <v>R2.442.MD140(T)</v>
      </c>
      <c r="B509" s="200" t="str">
        <f>IFERROR(__xludf.DUMMYFUNCTION("""COMPUTED_VALUE"""),"Clinker Cooler Drive (From Tank)")</f>
        <v>Clinker Cooler Drive (From Tank)</v>
      </c>
      <c r="C509" s="199">
        <f>IFERROR(__xludf.DUMMYFUNCTION("""COMPUTED_VALUE"""),2.5294210206E10)</f>
        <v>25294210206</v>
      </c>
      <c r="D509" s="201">
        <f>IFERROR(__xludf.DUMMYFUNCTION("""COMPUTED_VALUE"""),45946.0)</f>
        <v>45946</v>
      </c>
      <c r="E509" s="202" t="str">
        <f>IFERROR(__xludf.DUMMYFUNCTION("""COMPUTED_VALUE"""),"Normal")</f>
        <v>Normal</v>
      </c>
      <c r="F509" s="202" t="str">
        <f>IFERROR(__xludf.DUMMYFUNCTION("""COMPUTED_VALUE"""),"Normal")</f>
        <v>Normal</v>
      </c>
      <c r="G509" s="203" t="str">
        <f>IFERROR(__xludf.DUMMYFUNCTION("""COMPUTED_VALUE"""),"Normal")</f>
        <v>Normal</v>
      </c>
      <c r="H509" s="203" t="str">
        <f>IFERROR(__xludf.DUMMYFUNCTION("""COMPUTED_VALUE"""),"Normal")</f>
        <v>Normal</v>
      </c>
      <c r="I509" s="37">
        <f>IFERROR(__xludf.DUMMYFUNCTION("""COMPUTED_VALUE"""),6174.0)</f>
        <v>6174</v>
      </c>
      <c r="J509" s="37">
        <f>IFERROR(__xludf.DUMMYFUNCTION("""COMPUTED_VALUE"""),2121.0)</f>
        <v>2121</v>
      </c>
      <c r="K509" s="37">
        <f>IFERROR(__xludf.DUMMYFUNCTION("""COMPUTED_VALUE"""),619.0)</f>
        <v>619</v>
      </c>
      <c r="L509" s="199">
        <f>IFERROR(__xludf.DUMMYFUNCTION("""COMPUTED_VALUE"""),5.0)</f>
        <v>5</v>
      </c>
      <c r="M509" s="199">
        <f>IFERROR(__xludf.DUMMYFUNCTION("""COMPUTED_VALUE"""),43.9)</f>
        <v>43.9</v>
      </c>
      <c r="N509" s="199"/>
      <c r="O509" s="199">
        <f>IFERROR(__xludf.DUMMYFUNCTION("""COMPUTED_VALUE"""),0.0)</f>
        <v>0</v>
      </c>
      <c r="P509" s="199">
        <f>IFERROR(__xludf.DUMMYFUNCTION("""COMPUTED_VALUE"""),0.003)</f>
        <v>0.003</v>
      </c>
      <c r="Q509" s="199">
        <f>IFERROR(__xludf.DUMMYFUNCTION("""COMPUTED_VALUE"""),0.0)</f>
        <v>0</v>
      </c>
      <c r="R509" s="199">
        <f>IFERROR(__xludf.DUMMYFUNCTION("""COMPUTED_VALUE"""),3.0)</f>
        <v>3</v>
      </c>
      <c r="S509" s="199">
        <f>IFERROR(__xludf.DUMMYFUNCTION("""COMPUTED_VALUE"""),0.0)</f>
        <v>0</v>
      </c>
      <c r="T509" s="199">
        <f>IFERROR(__xludf.DUMMYFUNCTION("""COMPUTED_VALUE"""),2.0)</f>
        <v>2</v>
      </c>
      <c r="U509" s="199">
        <f>IFERROR(__xludf.DUMMYFUNCTION("""COMPUTED_VALUE"""),0.0)</f>
        <v>0</v>
      </c>
      <c r="V509" s="199">
        <f>IFERROR(__xludf.DUMMYFUNCTION("""COMPUTED_VALUE"""),0.0)</f>
        <v>0</v>
      </c>
      <c r="W509" s="199">
        <f>IFERROR(__xludf.DUMMYFUNCTION("""COMPUTED_VALUE"""),0.0)</f>
        <v>0</v>
      </c>
      <c r="X509" s="199">
        <f>IFERROR(__xludf.DUMMYFUNCTION("""COMPUTED_VALUE"""),0.0)</f>
        <v>0</v>
      </c>
      <c r="Y509" s="199">
        <f>IFERROR(__xludf.DUMMYFUNCTION("""COMPUTED_VALUE"""),0.0)</f>
        <v>0</v>
      </c>
      <c r="Z509" s="199">
        <f>IFERROR(__xludf.DUMMYFUNCTION("""COMPUTED_VALUE"""),0.0)</f>
        <v>0</v>
      </c>
      <c r="AA509" s="199">
        <f>IFERROR(__xludf.DUMMYFUNCTION("""COMPUTED_VALUE"""),0.0)</f>
        <v>0</v>
      </c>
      <c r="AB509" s="199">
        <f>IFERROR(__xludf.DUMMYFUNCTION("""COMPUTED_VALUE"""),0.0)</f>
        <v>0</v>
      </c>
      <c r="AC509" s="199">
        <f>IFERROR(__xludf.DUMMYFUNCTION("""COMPUTED_VALUE"""),0.0)</f>
        <v>0</v>
      </c>
      <c r="AD509" s="199">
        <f>IFERROR(__xludf.DUMMYFUNCTION("""COMPUTED_VALUE"""),0.0)</f>
        <v>0</v>
      </c>
      <c r="AE509" s="199">
        <f>IFERROR(__xludf.DUMMYFUNCTION("""COMPUTED_VALUE"""),42.0)</f>
        <v>42</v>
      </c>
      <c r="AF509" s="199">
        <f>IFERROR(__xludf.DUMMYFUNCTION("""COMPUTED_VALUE"""),0.0)</f>
        <v>0</v>
      </c>
      <c r="AG509" s="199">
        <f>IFERROR(__xludf.DUMMYFUNCTION("""COMPUTED_VALUE"""),298.0)</f>
        <v>298</v>
      </c>
      <c r="AH509" s="199">
        <f>IFERROR(__xludf.DUMMYFUNCTION("""COMPUTED_VALUE"""),327.0)</f>
        <v>327</v>
      </c>
      <c r="AI509" s="200" t="str">
        <f>IFERROR(__xludf.DUMMYFUNCTION("""COMPUTED_VALUE"""),"Normal - No Action Required")</f>
        <v>Normal - No Action Required</v>
      </c>
      <c r="AJ509" s="200" t="str">
        <f>IFERROR(__xludf.DUMMYFUNCTION("""COMPUTED_VALUE"""),"Continue routine monitoring and sampling schedule")</f>
        <v>Continue routine monitoring and sampling schedule</v>
      </c>
      <c r="AK509" s="204"/>
      <c r="AL509" s="204"/>
      <c r="AM509" s="204"/>
    </row>
    <row r="510" hidden="1">
      <c r="A510" s="199" t="str">
        <f>IFERROR(__xludf.DUMMYFUNCTION("""COMPUTED_VALUE"""),"R2.472.CV200")</f>
        <v>R2.472.CV200</v>
      </c>
      <c r="B510" s="200" t="str">
        <f>IFERROR(__xludf.DUMMYFUNCTION("""COMPUTED_VALUE"""),"Drag chain #2 geared motor")</f>
        <v>Drag chain #2 geared motor</v>
      </c>
      <c r="C510" s="199">
        <f>IFERROR(__xludf.DUMMYFUNCTION("""COMPUTED_VALUE"""),2.5295220222E10)</f>
        <v>25295220222</v>
      </c>
      <c r="D510" s="201">
        <f>IFERROR(__xludf.DUMMYFUNCTION("""COMPUTED_VALUE"""),45946.0)</f>
        <v>45946</v>
      </c>
      <c r="E510" s="202" t="str">
        <f>IFERROR(__xludf.DUMMYFUNCTION("""COMPUTED_VALUE"""),"Alert")</f>
        <v>Alert</v>
      </c>
      <c r="F510" s="202" t="str">
        <f>IFERROR(__xludf.DUMMYFUNCTION("""COMPUTED_VALUE"""),"Caution")</f>
        <v>Caution</v>
      </c>
      <c r="G510" s="203" t="str">
        <f>IFERROR(__xludf.DUMMYFUNCTION("""COMPUTED_VALUE"""),"Normal")</f>
        <v>Normal</v>
      </c>
      <c r="H510" s="203" t="str">
        <f>IFERROR(__xludf.DUMMYFUNCTION("""COMPUTED_VALUE"""),"Alert")</f>
        <v>Alert</v>
      </c>
      <c r="I510" s="37"/>
      <c r="J510" s="37"/>
      <c r="K510" s="37"/>
      <c r="L510" s="199">
        <f>IFERROR(__xludf.DUMMYFUNCTION("""COMPUTED_VALUE"""),16.0)</f>
        <v>16</v>
      </c>
      <c r="M510" s="199">
        <f>IFERROR(__xludf.DUMMYFUNCTION("""COMPUTED_VALUE"""),976.7)</f>
        <v>976.7</v>
      </c>
      <c r="N510" s="199"/>
      <c r="O510" s="199"/>
      <c r="P510" s="199">
        <f>IFERROR(__xludf.DUMMYFUNCTION("""COMPUTED_VALUE"""),0.05)</f>
        <v>0.05</v>
      </c>
      <c r="Q510" s="199">
        <f>IFERROR(__xludf.DUMMYFUNCTION("""COMPUTED_VALUE"""),0.0)</f>
        <v>0</v>
      </c>
      <c r="R510" s="199">
        <f>IFERROR(__xludf.DUMMYFUNCTION("""COMPUTED_VALUE"""),0.0)</f>
        <v>0</v>
      </c>
      <c r="S510" s="199">
        <f>IFERROR(__xludf.DUMMYFUNCTION("""COMPUTED_VALUE"""),1.0)</f>
        <v>1</v>
      </c>
      <c r="T510" s="199">
        <f>IFERROR(__xludf.DUMMYFUNCTION("""COMPUTED_VALUE"""),0.0)</f>
        <v>0</v>
      </c>
      <c r="U510" s="199">
        <f>IFERROR(__xludf.DUMMYFUNCTION("""COMPUTED_VALUE"""),0.0)</f>
        <v>0</v>
      </c>
      <c r="V510" s="199">
        <f>IFERROR(__xludf.DUMMYFUNCTION("""COMPUTED_VALUE"""),0.0)</f>
        <v>0</v>
      </c>
      <c r="W510" s="199">
        <f>IFERROR(__xludf.DUMMYFUNCTION("""COMPUTED_VALUE"""),0.0)</f>
        <v>0</v>
      </c>
      <c r="X510" s="199">
        <f>IFERROR(__xludf.DUMMYFUNCTION("""COMPUTED_VALUE"""),0.0)</f>
        <v>0</v>
      </c>
      <c r="Y510" s="199">
        <f>IFERROR(__xludf.DUMMYFUNCTION("""COMPUTED_VALUE"""),0.0)</f>
        <v>0</v>
      </c>
      <c r="Z510" s="199">
        <f>IFERROR(__xludf.DUMMYFUNCTION("""COMPUTED_VALUE"""),2.0)</f>
        <v>2</v>
      </c>
      <c r="AA510" s="199">
        <f>IFERROR(__xludf.DUMMYFUNCTION("""COMPUTED_VALUE"""),0.0)</f>
        <v>0</v>
      </c>
      <c r="AB510" s="199">
        <f>IFERROR(__xludf.DUMMYFUNCTION("""COMPUTED_VALUE"""),36.0)</f>
        <v>36</v>
      </c>
      <c r="AC510" s="199">
        <f>IFERROR(__xludf.DUMMYFUNCTION("""COMPUTED_VALUE"""),7.0)</f>
        <v>7</v>
      </c>
      <c r="AD510" s="199">
        <f>IFERROR(__xludf.DUMMYFUNCTION("""COMPUTED_VALUE"""),0.0)</f>
        <v>0</v>
      </c>
      <c r="AE510" s="199">
        <f>IFERROR(__xludf.DUMMYFUNCTION("""COMPUTED_VALUE"""),17.0)</f>
        <v>17</v>
      </c>
      <c r="AF510" s="199">
        <f>IFERROR(__xludf.DUMMYFUNCTION("""COMPUTED_VALUE"""),0.0)</f>
        <v>0</v>
      </c>
      <c r="AG510" s="199">
        <f>IFERROR(__xludf.DUMMYFUNCTION("""COMPUTED_VALUE"""),575.0)</f>
        <v>575</v>
      </c>
      <c r="AH510" s="199">
        <f>IFERROR(__xludf.DUMMYFUNCTION("""COMPUTED_VALUE"""),2.0)</f>
        <v>2</v>
      </c>
      <c r="AI510" s="200" t="str">
        <f>IFERROR(__xludf.DUMMYFUNCTION("""COMPUTED_VALUE"""),"Lubricant Degradation")</f>
        <v>Lubricant Degradation</v>
      </c>
      <c r="AJ510" s="200" t="str">
        <f>IFERROR(__xludf.DUMMYFUNCTION("""COMPUTED_VALUE"""),"Viscosity critically high - change lubricant immediately; Elevated silicon - inspect filters and seals")</f>
        <v>Viscosity critically high - change lubricant immediately; Elevated silicon - inspect filters and seals</v>
      </c>
      <c r="AK510" s="204"/>
      <c r="AL510" s="204"/>
      <c r="AM510" s="204"/>
    </row>
    <row r="511" hidden="1">
      <c r="A511" s="199" t="str">
        <f>IFERROR(__xludf.DUMMYFUNCTION("""COMPUTED_VALUE"""),"461.LQ120(T)")</f>
        <v>461.LQ120(T)</v>
      </c>
      <c r="B511" s="200" t="str">
        <f>IFERROR(__xludf.DUMMYFUNCTION("""COMPUTED_VALUE"""),"Coal mill 1 Roller Lub. Unit (Tank)")</f>
        <v>Coal mill 1 Roller Lub. Unit (Tank)</v>
      </c>
      <c r="C511" s="199">
        <f>IFERROR(__xludf.DUMMYFUNCTION("""COMPUTED_VALUE"""),2.5330281218E10)</f>
        <v>25330281218</v>
      </c>
      <c r="D511" s="201">
        <f>IFERROR(__xludf.DUMMYFUNCTION("""COMPUTED_VALUE"""),45977.0)</f>
        <v>45977</v>
      </c>
      <c r="E511" s="202" t="str">
        <f>IFERROR(__xludf.DUMMYFUNCTION("""COMPUTED_VALUE"""),"Alert")</f>
        <v>Alert</v>
      </c>
      <c r="F511" s="202" t="str">
        <f>IFERROR(__xludf.DUMMYFUNCTION("""COMPUTED_VALUE"""),"Alert")</f>
        <v>Alert</v>
      </c>
      <c r="G511" s="203" t="str">
        <f>IFERROR(__xludf.DUMMYFUNCTION("""COMPUTED_VALUE"""),"Normal")</f>
        <v>Normal</v>
      </c>
      <c r="H511" s="203" t="str">
        <f>IFERROR(__xludf.DUMMYFUNCTION("""COMPUTED_VALUE"""),"Alert")</f>
        <v>Alert</v>
      </c>
      <c r="I511" s="37"/>
      <c r="J511" s="37"/>
      <c r="K511" s="37"/>
      <c r="L511" s="199">
        <f>IFERROR(__xludf.DUMMYFUNCTION("""COMPUTED_VALUE"""),40.0)</f>
        <v>40</v>
      </c>
      <c r="M511" s="199">
        <f>IFERROR(__xludf.DUMMYFUNCTION("""COMPUTED_VALUE"""),42.9)</f>
        <v>42.9</v>
      </c>
      <c r="N511" s="199"/>
      <c r="O511" s="199"/>
      <c r="P511" s="199">
        <f>IFERROR(__xludf.DUMMYFUNCTION("""COMPUTED_VALUE"""),0.3)</f>
        <v>0.3</v>
      </c>
      <c r="Q511" s="199">
        <f>IFERROR(__xludf.DUMMYFUNCTION("""COMPUTED_VALUE"""),0.0)</f>
        <v>0</v>
      </c>
      <c r="R511" s="199">
        <f>IFERROR(__xludf.DUMMYFUNCTION("""COMPUTED_VALUE"""),5.0)</f>
        <v>5</v>
      </c>
      <c r="S511" s="199">
        <f>IFERROR(__xludf.DUMMYFUNCTION("""COMPUTED_VALUE"""),0.0)</f>
        <v>0</v>
      </c>
      <c r="T511" s="199">
        <f>IFERROR(__xludf.DUMMYFUNCTION("""COMPUTED_VALUE"""),8.0)</f>
        <v>8</v>
      </c>
      <c r="U511" s="199">
        <f>IFERROR(__xludf.DUMMYFUNCTION("""COMPUTED_VALUE"""),47.0)</f>
        <v>47</v>
      </c>
      <c r="V511" s="199">
        <f>IFERROR(__xludf.DUMMYFUNCTION("""COMPUTED_VALUE"""),3.0)</f>
        <v>3</v>
      </c>
      <c r="W511" s="199">
        <f>IFERROR(__xludf.DUMMYFUNCTION("""COMPUTED_VALUE"""),0.0)</f>
        <v>0</v>
      </c>
      <c r="X511" s="199">
        <f>IFERROR(__xludf.DUMMYFUNCTION("""COMPUTED_VALUE"""),1.0)</f>
        <v>1</v>
      </c>
      <c r="Y511" s="199">
        <f>IFERROR(__xludf.DUMMYFUNCTION("""COMPUTED_VALUE"""),0.0)</f>
        <v>0</v>
      </c>
      <c r="Z511" s="199">
        <f>IFERROR(__xludf.DUMMYFUNCTION("""COMPUTED_VALUE"""),6.0)</f>
        <v>6</v>
      </c>
      <c r="AA511" s="199">
        <f>IFERROR(__xludf.DUMMYFUNCTION("""COMPUTED_VALUE"""),0.0)</f>
        <v>0</v>
      </c>
      <c r="AB511" s="199">
        <f>IFERROR(__xludf.DUMMYFUNCTION("""COMPUTED_VALUE"""),39.0)</f>
        <v>39</v>
      </c>
      <c r="AC511" s="199">
        <f>IFERROR(__xludf.DUMMYFUNCTION("""COMPUTED_VALUE"""),37.0)</f>
        <v>37</v>
      </c>
      <c r="AD511" s="199">
        <f>IFERROR(__xludf.DUMMYFUNCTION("""COMPUTED_VALUE"""),0.0)</f>
        <v>0</v>
      </c>
      <c r="AE511" s="199">
        <f>IFERROR(__xludf.DUMMYFUNCTION("""COMPUTED_VALUE"""),25.0)</f>
        <v>25</v>
      </c>
      <c r="AF511" s="199">
        <f>IFERROR(__xludf.DUMMYFUNCTION("""COMPUTED_VALUE"""),5.0)</f>
        <v>5</v>
      </c>
      <c r="AG511" s="199">
        <f>IFERROR(__xludf.DUMMYFUNCTION("""COMPUTED_VALUE"""),305.0)</f>
        <v>305</v>
      </c>
      <c r="AH511" s="199">
        <f>IFERROR(__xludf.DUMMYFUNCTION("""COMPUTED_VALUE"""),9.0)</f>
        <v>9</v>
      </c>
      <c r="AI511" s="200" t="str">
        <f>IFERROR(__xludf.DUMMYFUNCTION("""COMPUTED_VALUE"""),"Elevated Si / Excessive Water / Reduced Viscosity / Elevated Fe")</f>
        <v>Elevated Si / Excessive Water / Reduced Viscosity / Elevated Fe</v>
      </c>
      <c r="AJ511" s="200" t="str">
        <f>IFERROR(__xludf.DUMMYFUNCTION("""COMPUTED_VALUE"""),"ACTION REQUIRED – Si (39 ppm), water (0.300 Vol%), Fe (47 ppm), Cu (8 ppm). PQ Index 40 – significant ferrous debris. TAN 1.40 mg KOH/g. Serious contamination. Inspect air intake filters, breathers, and seals. Remove water immediately. Resample urgently a"&amp;"fter corrective action.")</f>
        <v>ACTION REQUIRED – Si (39 ppm), water (0.300 Vol%), Fe (47 ppm), Cu (8 ppm). PQ Index 40 – significant ferrous debris. TAN 1.40 mg KOH/g. Serious contamination. Inspect air intake filters, breathers, and seals. Remove water immediately. Resample urgently after corrective action.</v>
      </c>
      <c r="AK511" s="204"/>
      <c r="AL511" s="204"/>
      <c r="AM511" s="204"/>
    </row>
    <row r="512" hidden="1">
      <c r="A512" s="199" t="str">
        <f>IFERROR(__xludf.DUMMYFUNCTION("""COMPUTED_VALUE"""),"462.LQ120(T)")</f>
        <v>462.LQ120(T)</v>
      </c>
      <c r="B512" s="200" t="str">
        <f>IFERROR(__xludf.DUMMYFUNCTION("""COMPUTED_VALUE"""),"Coal mill 2 Roller Lub. Unit (Tank)")</f>
        <v>Coal mill 2 Roller Lub. Unit (Tank)</v>
      </c>
      <c r="C512" s="199">
        <f>IFERROR(__xludf.DUMMYFUNCTION("""COMPUTED_VALUE"""),2.5330261225E10)</f>
        <v>25330261225</v>
      </c>
      <c r="D512" s="201">
        <f>IFERROR(__xludf.DUMMYFUNCTION("""COMPUTED_VALUE"""),45977.0)</f>
        <v>45977</v>
      </c>
      <c r="E512" s="202" t="str">
        <f>IFERROR(__xludf.DUMMYFUNCTION("""COMPUTED_VALUE"""),"Normal")</f>
        <v>Normal</v>
      </c>
      <c r="F512" s="202" t="str">
        <f>IFERROR(__xludf.DUMMYFUNCTION("""COMPUTED_VALUE"""),"Normal")</f>
        <v>Normal</v>
      </c>
      <c r="G512" s="203" t="str">
        <f>IFERROR(__xludf.DUMMYFUNCTION("""COMPUTED_VALUE"""),"Normal")</f>
        <v>Normal</v>
      </c>
      <c r="H512" s="203" t="str">
        <f>IFERROR(__xludf.DUMMYFUNCTION("""COMPUTED_VALUE"""),"Normal")</f>
        <v>Normal</v>
      </c>
      <c r="I512" s="37"/>
      <c r="J512" s="37"/>
      <c r="K512" s="37"/>
      <c r="L512" s="199">
        <f>IFERROR(__xludf.DUMMYFUNCTION("""COMPUTED_VALUE"""),8.0)</f>
        <v>8</v>
      </c>
      <c r="M512" s="199">
        <f>IFERROR(__xludf.DUMMYFUNCTION("""COMPUTED_VALUE"""),85.7)</f>
        <v>85.7</v>
      </c>
      <c r="N512" s="199"/>
      <c r="O512" s="199"/>
      <c r="P512" s="199">
        <f>IFERROR(__xludf.DUMMYFUNCTION("""COMPUTED_VALUE"""),0.04)</f>
        <v>0.04</v>
      </c>
      <c r="Q512" s="199">
        <f>IFERROR(__xludf.DUMMYFUNCTION("""COMPUTED_VALUE"""),0.0)</f>
        <v>0</v>
      </c>
      <c r="R512" s="199">
        <f>IFERROR(__xludf.DUMMYFUNCTION("""COMPUTED_VALUE"""),0.0)</f>
        <v>0</v>
      </c>
      <c r="S512" s="199">
        <f>IFERROR(__xludf.DUMMYFUNCTION("""COMPUTED_VALUE"""),0.0)</f>
        <v>0</v>
      </c>
      <c r="T512" s="199">
        <f>IFERROR(__xludf.DUMMYFUNCTION("""COMPUTED_VALUE"""),0.0)</f>
        <v>0</v>
      </c>
      <c r="U512" s="199">
        <f>IFERROR(__xludf.DUMMYFUNCTION("""COMPUTED_VALUE"""),1.0)</f>
        <v>1</v>
      </c>
      <c r="V512" s="199">
        <f>IFERROR(__xludf.DUMMYFUNCTION("""COMPUTED_VALUE"""),0.0)</f>
        <v>0</v>
      </c>
      <c r="W512" s="199">
        <f>IFERROR(__xludf.DUMMYFUNCTION("""COMPUTED_VALUE"""),0.0)</f>
        <v>0</v>
      </c>
      <c r="X512" s="199">
        <f>IFERROR(__xludf.DUMMYFUNCTION("""COMPUTED_VALUE"""),0.0)</f>
        <v>0</v>
      </c>
      <c r="Y512" s="199">
        <f>IFERROR(__xludf.DUMMYFUNCTION("""COMPUTED_VALUE"""),0.0)</f>
        <v>0</v>
      </c>
      <c r="Z512" s="199">
        <f>IFERROR(__xludf.DUMMYFUNCTION("""COMPUTED_VALUE"""),0.0)</f>
        <v>0</v>
      </c>
      <c r="AA512" s="199">
        <f>IFERROR(__xludf.DUMMYFUNCTION("""COMPUTED_VALUE"""),0.0)</f>
        <v>0</v>
      </c>
      <c r="AB512" s="199">
        <f>IFERROR(__xludf.DUMMYFUNCTION("""COMPUTED_VALUE"""),16.0)</f>
        <v>16</v>
      </c>
      <c r="AC512" s="199">
        <f>IFERROR(__xludf.DUMMYFUNCTION("""COMPUTED_VALUE"""),12.0)</f>
        <v>12</v>
      </c>
      <c r="AD512" s="199">
        <f>IFERROR(__xludf.DUMMYFUNCTION("""COMPUTED_VALUE"""),0.0)</f>
        <v>0</v>
      </c>
      <c r="AE512" s="199">
        <f>IFERROR(__xludf.DUMMYFUNCTION("""COMPUTED_VALUE"""),42.0)</f>
        <v>42</v>
      </c>
      <c r="AF512" s="199">
        <f>IFERROR(__xludf.DUMMYFUNCTION("""COMPUTED_VALUE"""),0.0)</f>
        <v>0</v>
      </c>
      <c r="AG512" s="199">
        <f>IFERROR(__xludf.DUMMYFUNCTION("""COMPUTED_VALUE"""),615.0)</f>
        <v>615</v>
      </c>
      <c r="AH512" s="199">
        <f>IFERROR(__xludf.DUMMYFUNCTION("""COMPUTED_VALUE"""),45.0)</f>
        <v>45</v>
      </c>
      <c r="AI512" s="200" t="str">
        <f>IFERROR(__xludf.DUMMYFUNCTION("""COMPUTED_VALUE"""),"Normal – Monitor TAN")</f>
        <v>Normal – Monitor TAN</v>
      </c>
      <c r="AJ512" s="200" t="str">
        <f>IFERROR(__xludf.DUMMYFUNCTION("""COMPUTED_VALUE"""),"Parameters within limits. TAN trending up (1.12 mg KOH/g). Monitor oil acidity at next sample.")</f>
        <v>Parameters within limits. TAN trending up (1.12 mg KOH/g). Monitor oil acidity at next sample.</v>
      </c>
      <c r="AK512" s="204"/>
      <c r="AL512" s="204"/>
      <c r="AM512" s="204"/>
    </row>
    <row r="513" hidden="1">
      <c r="A513" s="199" t="str">
        <f>IFERROR(__xludf.DUMMYFUNCTION("""COMPUTED_VALUE"""),"321.HY110")</f>
        <v>321.HY110</v>
      </c>
      <c r="B513" s="200" t="str">
        <f>IFERROR(__xludf.DUMMYFUNCTION("""COMPUTED_VALUE"""),"Hydraulic tensioning system for mill")</f>
        <v>Hydraulic tensioning system for mill</v>
      </c>
      <c r="C513" s="199">
        <f>IFERROR(__xludf.DUMMYFUNCTION("""COMPUTED_VALUE"""),2.5330261216E10)</f>
        <v>25330261216</v>
      </c>
      <c r="D513" s="201">
        <f>IFERROR(__xludf.DUMMYFUNCTION("""COMPUTED_VALUE"""),45977.0)</f>
        <v>45977</v>
      </c>
      <c r="E513" s="202" t="str">
        <f>IFERROR(__xludf.DUMMYFUNCTION("""COMPUTED_VALUE"""),"Caution")</f>
        <v>Caution</v>
      </c>
      <c r="F513" s="202" t="str">
        <f>IFERROR(__xludf.DUMMYFUNCTION("""COMPUTED_VALUE"""),"Caution")</f>
        <v>Caution</v>
      </c>
      <c r="G513" s="203" t="str">
        <f>IFERROR(__xludf.DUMMYFUNCTION("""COMPUTED_VALUE"""),"Normal")</f>
        <v>Normal</v>
      </c>
      <c r="H513" s="203" t="str">
        <f>IFERROR(__xludf.DUMMYFUNCTION("""COMPUTED_VALUE"""),"Normal")</f>
        <v>Normal</v>
      </c>
      <c r="I513" s="37"/>
      <c r="J513" s="37"/>
      <c r="K513" s="37"/>
      <c r="L513" s="199">
        <f>IFERROR(__xludf.DUMMYFUNCTION("""COMPUTED_VALUE"""),18.0)</f>
        <v>18</v>
      </c>
      <c r="M513" s="199">
        <f>IFERROR(__xludf.DUMMYFUNCTION("""COMPUTED_VALUE"""),44.0)</f>
        <v>44</v>
      </c>
      <c r="N513" s="199"/>
      <c r="O513" s="199">
        <f>IFERROR(__xludf.DUMMYFUNCTION("""COMPUTED_VALUE"""),1.0)</f>
        <v>1</v>
      </c>
      <c r="P513" s="199">
        <f>IFERROR(__xludf.DUMMYFUNCTION("""COMPUTED_VALUE"""),0.04)</f>
        <v>0.04</v>
      </c>
      <c r="Q513" s="199">
        <f>IFERROR(__xludf.DUMMYFUNCTION("""COMPUTED_VALUE"""),0.0)</f>
        <v>0</v>
      </c>
      <c r="R513" s="199">
        <f>IFERROR(__xludf.DUMMYFUNCTION("""COMPUTED_VALUE"""),0.0)</f>
        <v>0</v>
      </c>
      <c r="S513" s="199">
        <f>IFERROR(__xludf.DUMMYFUNCTION("""COMPUTED_VALUE"""),0.0)</f>
        <v>0</v>
      </c>
      <c r="T513" s="199">
        <f>IFERROR(__xludf.DUMMYFUNCTION("""COMPUTED_VALUE"""),4.0)</f>
        <v>4</v>
      </c>
      <c r="U513" s="199">
        <f>IFERROR(__xludf.DUMMYFUNCTION("""COMPUTED_VALUE"""),19.0)</f>
        <v>19</v>
      </c>
      <c r="V513" s="199">
        <f>IFERROR(__xludf.DUMMYFUNCTION("""COMPUTED_VALUE"""),0.0)</f>
        <v>0</v>
      </c>
      <c r="W513" s="199">
        <f>IFERROR(__xludf.DUMMYFUNCTION("""COMPUTED_VALUE"""),0.0)</f>
        <v>0</v>
      </c>
      <c r="X513" s="199">
        <f>IFERROR(__xludf.DUMMYFUNCTION("""COMPUTED_VALUE"""),0.0)</f>
        <v>0</v>
      </c>
      <c r="Y513" s="199">
        <f>IFERROR(__xludf.DUMMYFUNCTION("""COMPUTED_VALUE"""),0.0)</f>
        <v>0</v>
      </c>
      <c r="Z513" s="199">
        <f>IFERROR(__xludf.DUMMYFUNCTION("""COMPUTED_VALUE"""),0.0)</f>
        <v>0</v>
      </c>
      <c r="AA513" s="199">
        <f>IFERROR(__xludf.DUMMYFUNCTION("""COMPUTED_VALUE"""),0.0)</f>
        <v>0</v>
      </c>
      <c r="AB513" s="199">
        <f>IFERROR(__xludf.DUMMYFUNCTION("""COMPUTED_VALUE"""),5.0)</f>
        <v>5</v>
      </c>
      <c r="AC513" s="199">
        <f>IFERROR(__xludf.DUMMYFUNCTION("""COMPUTED_VALUE"""),3.0)</f>
        <v>3</v>
      </c>
      <c r="AD513" s="199">
        <f>IFERROR(__xludf.DUMMYFUNCTION("""COMPUTED_VALUE"""),0.0)</f>
        <v>0</v>
      </c>
      <c r="AE513" s="199">
        <f>IFERROR(__xludf.DUMMYFUNCTION("""COMPUTED_VALUE"""),83.0)</f>
        <v>83</v>
      </c>
      <c r="AF513" s="199">
        <f>IFERROR(__xludf.DUMMYFUNCTION("""COMPUTED_VALUE"""),2.0)</f>
        <v>2</v>
      </c>
      <c r="AG513" s="199">
        <f>IFERROR(__xludf.DUMMYFUNCTION("""COMPUTED_VALUE"""),444.0)</f>
        <v>444</v>
      </c>
      <c r="AH513" s="199">
        <f>IFERROR(__xludf.DUMMYFUNCTION("""COMPUTED_VALUE"""),459.0)</f>
        <v>459</v>
      </c>
      <c r="AI513" s="200" t="str">
        <f>IFERROR(__xludf.DUMMYFUNCTION("""COMPUTED_VALUE"""),"Caution – Elevated Fe / Water")</f>
        <v>Caution – Elevated Fe / Water</v>
      </c>
      <c r="AJ513" s="200" t="str">
        <f>IFERROR(__xludf.DUMMYFUNCTION("""COMPUTED_VALUE"""),"Fe 19 ppm, Cu 4 ppm, water 0.040 Vol%, oxidation 1 Ab/cm. Monitor wear trend. Inspect seals. Resample within 45 days.")</f>
        <v>Fe 19 ppm, Cu 4 ppm, water 0.040 Vol%, oxidation 1 Ab/cm. Monitor wear trend. Inspect seals. Resample within 45 days.</v>
      </c>
      <c r="AK513" s="204"/>
      <c r="AL513" s="204"/>
      <c r="AM513" s="204"/>
    </row>
    <row r="514" hidden="1">
      <c r="A514" s="199" t="str">
        <f>IFERROR(__xludf.DUMMYFUNCTION("""COMPUTED_VALUE"""),"321.LQ120 (T)")</f>
        <v>321.LQ120 (T)</v>
      </c>
      <c r="B514" s="200" t="str">
        <f>IFERROR(__xludf.DUMMYFUNCTION("""COMPUTED_VALUE"""),"Roller Lubrication Unit (Tank)")</f>
        <v>Roller Lubrication Unit (Tank)</v>
      </c>
      <c r="C514" s="199">
        <f>IFERROR(__xludf.DUMMYFUNCTION("""COMPUTED_VALUE"""),2.5330261235E10)</f>
        <v>25330261235</v>
      </c>
      <c r="D514" s="201">
        <f>IFERROR(__xludf.DUMMYFUNCTION("""COMPUTED_VALUE"""),45977.0)</f>
        <v>45977</v>
      </c>
      <c r="E514" s="202" t="str">
        <f>IFERROR(__xludf.DUMMYFUNCTION("""COMPUTED_VALUE"""),"Caution")</f>
        <v>Caution</v>
      </c>
      <c r="F514" s="202" t="str">
        <f>IFERROR(__xludf.DUMMYFUNCTION("""COMPUTED_VALUE"""),"Normal")</f>
        <v>Normal</v>
      </c>
      <c r="G514" s="203" t="str">
        <f>IFERROR(__xludf.DUMMYFUNCTION("""COMPUTED_VALUE"""),"Normal")</f>
        <v>Normal</v>
      </c>
      <c r="H514" s="203" t="str">
        <f>IFERROR(__xludf.DUMMYFUNCTION("""COMPUTED_VALUE"""),"Caution")</f>
        <v>Caution</v>
      </c>
      <c r="I514" s="37"/>
      <c r="J514" s="37"/>
      <c r="K514" s="37"/>
      <c r="L514" s="199">
        <f>IFERROR(__xludf.DUMMYFUNCTION("""COMPUTED_VALUE"""),20.0)</f>
        <v>20</v>
      </c>
      <c r="M514" s="199">
        <f>IFERROR(__xludf.DUMMYFUNCTION("""COMPUTED_VALUE"""),82.9)</f>
        <v>82.9</v>
      </c>
      <c r="N514" s="199"/>
      <c r="O514" s="199"/>
      <c r="P514" s="199">
        <f>IFERROR(__xludf.DUMMYFUNCTION("""COMPUTED_VALUE"""),0.04)</f>
        <v>0.04</v>
      </c>
      <c r="Q514" s="199">
        <f>IFERROR(__xludf.DUMMYFUNCTION("""COMPUTED_VALUE"""),0.0)</f>
        <v>0</v>
      </c>
      <c r="R514" s="199">
        <f>IFERROR(__xludf.DUMMYFUNCTION("""COMPUTED_VALUE"""),0.0)</f>
        <v>0</v>
      </c>
      <c r="S514" s="199">
        <f>IFERROR(__xludf.DUMMYFUNCTION("""COMPUTED_VALUE"""),0.0)</f>
        <v>0</v>
      </c>
      <c r="T514" s="199">
        <f>IFERROR(__xludf.DUMMYFUNCTION("""COMPUTED_VALUE"""),0.0)</f>
        <v>0</v>
      </c>
      <c r="U514" s="199">
        <f>IFERROR(__xludf.DUMMYFUNCTION("""COMPUTED_VALUE"""),13.0)</f>
        <v>13</v>
      </c>
      <c r="V514" s="199">
        <f>IFERROR(__xludf.DUMMYFUNCTION("""COMPUTED_VALUE"""),0.0)</f>
        <v>0</v>
      </c>
      <c r="W514" s="199">
        <f>IFERROR(__xludf.DUMMYFUNCTION("""COMPUTED_VALUE"""),0.0)</f>
        <v>0</v>
      </c>
      <c r="X514" s="199">
        <f>IFERROR(__xludf.DUMMYFUNCTION("""COMPUTED_VALUE"""),0.0)</f>
        <v>0</v>
      </c>
      <c r="Y514" s="199">
        <f>IFERROR(__xludf.DUMMYFUNCTION("""COMPUTED_VALUE"""),0.0)</f>
        <v>0</v>
      </c>
      <c r="Z514" s="199">
        <f>IFERROR(__xludf.DUMMYFUNCTION("""COMPUTED_VALUE"""),2.0)</f>
        <v>2</v>
      </c>
      <c r="AA514" s="199">
        <f>IFERROR(__xludf.DUMMYFUNCTION("""COMPUTED_VALUE"""),0.0)</f>
        <v>0</v>
      </c>
      <c r="AB514" s="199">
        <f>IFERROR(__xludf.DUMMYFUNCTION("""COMPUTED_VALUE"""),2.0)</f>
        <v>2</v>
      </c>
      <c r="AC514" s="199">
        <f>IFERROR(__xludf.DUMMYFUNCTION("""COMPUTED_VALUE"""),23.0)</f>
        <v>23</v>
      </c>
      <c r="AD514" s="199">
        <f>IFERROR(__xludf.DUMMYFUNCTION("""COMPUTED_VALUE"""),0.0)</f>
        <v>0</v>
      </c>
      <c r="AE514" s="199">
        <f>IFERROR(__xludf.DUMMYFUNCTION("""COMPUTED_VALUE"""),23.0)</f>
        <v>23</v>
      </c>
      <c r="AF514" s="199">
        <f>IFERROR(__xludf.DUMMYFUNCTION("""COMPUTED_VALUE"""),5.0)</f>
        <v>5</v>
      </c>
      <c r="AG514" s="199">
        <f>IFERROR(__xludf.DUMMYFUNCTION("""COMPUTED_VALUE"""),483.0)</f>
        <v>483</v>
      </c>
      <c r="AH514" s="199">
        <f>IFERROR(__xludf.DUMMYFUNCTION("""COMPUTED_VALUE"""),23.0)</f>
        <v>23</v>
      </c>
      <c r="AI514" s="200" t="str">
        <f>IFERROR(__xludf.DUMMYFUNCTION("""COMPUTED_VALUE"""),"Caution – Elevated Fe / TAN")</f>
        <v>Caution – Elevated Fe / TAN</v>
      </c>
      <c r="AJ514" s="200" t="str">
        <f>IFERROR(__xludf.DUMMYFUNCTION("""COMPUTED_VALUE"""),"Fe 13 ppm, TAN 1.50 mg KOH/g. Monitor trend. Inspect filtration. Resample within 45 days.")</f>
        <v>Fe 13 ppm, TAN 1.50 mg KOH/g. Monitor trend. Inspect filtration. Resample within 45 days.</v>
      </c>
      <c r="AK514" s="204"/>
      <c r="AL514" s="204"/>
      <c r="AM514" s="204"/>
    </row>
    <row r="515" hidden="1">
      <c r="A515" s="199" t="str">
        <f>IFERROR(__xludf.DUMMYFUNCTION("""COMPUTED_VALUE"""),"461.HY110")</f>
        <v>461.HY110</v>
      </c>
      <c r="B515" s="200" t="str">
        <f>IFERROR(__xludf.DUMMYFUNCTION("""COMPUTED_VALUE"""),"Coal Mill 1 Hyd. tensioning sys.")</f>
        <v>Coal Mill 1 Hyd. tensioning sys.</v>
      </c>
      <c r="C515" s="199">
        <f>IFERROR(__xludf.DUMMYFUNCTION("""COMPUTED_VALUE"""),2.5330261222E10)</f>
        <v>25330261222</v>
      </c>
      <c r="D515" s="201">
        <f>IFERROR(__xludf.DUMMYFUNCTION("""COMPUTED_VALUE"""),45977.0)</f>
        <v>45977</v>
      </c>
      <c r="E515" s="202" t="str">
        <f>IFERROR(__xludf.DUMMYFUNCTION("""COMPUTED_VALUE"""),"Caution")</f>
        <v>Caution</v>
      </c>
      <c r="F515" s="202" t="str">
        <f>IFERROR(__xludf.DUMMYFUNCTION("""COMPUTED_VALUE"""),"Caution")</f>
        <v>Caution</v>
      </c>
      <c r="G515" s="203" t="str">
        <f>IFERROR(__xludf.DUMMYFUNCTION("""COMPUTED_VALUE"""),"Normal")</f>
        <v>Normal</v>
      </c>
      <c r="H515" s="203" t="str">
        <f>IFERROR(__xludf.DUMMYFUNCTION("""COMPUTED_VALUE"""),"Normal")</f>
        <v>Normal</v>
      </c>
      <c r="I515" s="37"/>
      <c r="J515" s="37"/>
      <c r="K515" s="37"/>
      <c r="L515" s="199">
        <f>IFERROR(__xludf.DUMMYFUNCTION("""COMPUTED_VALUE"""),16.0)</f>
        <v>16</v>
      </c>
      <c r="M515" s="199">
        <f>IFERROR(__xludf.DUMMYFUNCTION("""COMPUTED_VALUE"""),44.6)</f>
        <v>44.6</v>
      </c>
      <c r="N515" s="199"/>
      <c r="O515" s="199">
        <f>IFERROR(__xludf.DUMMYFUNCTION("""COMPUTED_VALUE"""),1.0)</f>
        <v>1</v>
      </c>
      <c r="P515" s="199">
        <f>IFERROR(__xludf.DUMMYFUNCTION("""COMPUTED_VALUE"""),0.01)</f>
        <v>0.01</v>
      </c>
      <c r="Q515" s="199">
        <f>IFERROR(__xludf.DUMMYFUNCTION("""COMPUTED_VALUE"""),0.0)</f>
        <v>0</v>
      </c>
      <c r="R515" s="199">
        <f>IFERROR(__xludf.DUMMYFUNCTION("""COMPUTED_VALUE"""),0.0)</f>
        <v>0</v>
      </c>
      <c r="S515" s="199">
        <f>IFERROR(__xludf.DUMMYFUNCTION("""COMPUTED_VALUE"""),0.0)</f>
        <v>0</v>
      </c>
      <c r="T515" s="199">
        <f>IFERROR(__xludf.DUMMYFUNCTION("""COMPUTED_VALUE"""),3.0)</f>
        <v>3</v>
      </c>
      <c r="U515" s="199">
        <f>IFERROR(__xludf.DUMMYFUNCTION("""COMPUTED_VALUE"""),21.0)</f>
        <v>21</v>
      </c>
      <c r="V515" s="199">
        <f>IFERROR(__xludf.DUMMYFUNCTION("""COMPUTED_VALUE"""),0.0)</f>
        <v>0</v>
      </c>
      <c r="W515" s="199">
        <f>IFERROR(__xludf.DUMMYFUNCTION("""COMPUTED_VALUE"""),0.0)</f>
        <v>0</v>
      </c>
      <c r="X515" s="199">
        <f>IFERROR(__xludf.DUMMYFUNCTION("""COMPUTED_VALUE"""),0.0)</f>
        <v>0</v>
      </c>
      <c r="Y515" s="199">
        <f>IFERROR(__xludf.DUMMYFUNCTION("""COMPUTED_VALUE"""),0.0)</f>
        <v>0</v>
      </c>
      <c r="Z515" s="199">
        <f>IFERROR(__xludf.DUMMYFUNCTION("""COMPUTED_VALUE"""),0.0)</f>
        <v>0</v>
      </c>
      <c r="AA515" s="199">
        <f>IFERROR(__xludf.DUMMYFUNCTION("""COMPUTED_VALUE"""),0.0)</f>
        <v>0</v>
      </c>
      <c r="AB515" s="199">
        <f>IFERROR(__xludf.DUMMYFUNCTION("""COMPUTED_VALUE"""),7.0)</f>
        <v>7</v>
      </c>
      <c r="AC515" s="199">
        <f>IFERROR(__xludf.DUMMYFUNCTION("""COMPUTED_VALUE"""),3.0)</f>
        <v>3</v>
      </c>
      <c r="AD515" s="199">
        <f>IFERROR(__xludf.DUMMYFUNCTION("""COMPUTED_VALUE"""),0.0)</f>
        <v>0</v>
      </c>
      <c r="AE515" s="199">
        <f>IFERROR(__xludf.DUMMYFUNCTION("""COMPUTED_VALUE"""),102.0)</f>
        <v>102</v>
      </c>
      <c r="AF515" s="199">
        <f>IFERROR(__xludf.DUMMYFUNCTION("""COMPUTED_VALUE"""),2.0)</f>
        <v>2</v>
      </c>
      <c r="AG515" s="199">
        <f>IFERROR(__xludf.DUMMYFUNCTION("""COMPUTED_VALUE"""),450.0)</f>
        <v>450</v>
      </c>
      <c r="AH515" s="199">
        <f>IFERROR(__xludf.DUMMYFUNCTION("""COMPUTED_VALUE"""),497.0)</f>
        <v>497</v>
      </c>
      <c r="AI515" s="200" t="str">
        <f>IFERROR(__xludf.DUMMYFUNCTION("""COMPUTED_VALUE"""),"Caution – Elevated Fe / Cu / Particle Count Not Reported")</f>
        <v>Caution – Elevated Fe / Cu / Particle Count Not Reported</v>
      </c>
      <c r="AJ515" s="200" t="str">
        <f>IFERROR(__xludf.DUMMYFUNCTION("""COMPUTED_VALUE"""),"Fe 21 ppm, Cu 3 ppm, oxidation 1 Ab/cm. Visible sediment – particle count not completed. Inspect seals and filtration. Resample within 45 days.")</f>
        <v>Fe 21 ppm, Cu 3 ppm, oxidation 1 Ab/cm. Visible sediment – particle count not completed. Inspect seals and filtration. Resample within 45 days.</v>
      </c>
      <c r="AK515" s="204"/>
      <c r="AL515" s="204"/>
      <c r="AM515" s="204"/>
    </row>
    <row r="516" hidden="1">
      <c r="A516" s="199" t="str">
        <f>IFERROR(__xludf.DUMMYFUNCTION("""COMPUTED_VALUE"""),"R2.322.HY110")</f>
        <v>R2.322.HY110</v>
      </c>
      <c r="B516" s="200" t="str">
        <f>IFERROR(__xludf.DUMMYFUNCTION("""COMPUTED_VALUE"""),"Hydraulic tensioning sys. Mill 2")</f>
        <v>Hydraulic tensioning sys. Mill 2</v>
      </c>
      <c r="C516" s="199">
        <f>IFERROR(__xludf.DUMMYFUNCTION("""COMPUTED_VALUE"""),2.5330261212E10)</f>
        <v>25330261212</v>
      </c>
      <c r="D516" s="201">
        <f>IFERROR(__xludf.DUMMYFUNCTION("""COMPUTED_VALUE"""),45977.0)</f>
        <v>45977</v>
      </c>
      <c r="E516" s="202" t="str">
        <f>IFERROR(__xludf.DUMMYFUNCTION("""COMPUTED_VALUE"""),"Normal")</f>
        <v>Normal</v>
      </c>
      <c r="F516" s="202" t="str">
        <f>IFERROR(__xludf.DUMMYFUNCTION("""COMPUTED_VALUE"""),"Normal")</f>
        <v>Normal</v>
      </c>
      <c r="G516" s="203" t="str">
        <f>IFERROR(__xludf.DUMMYFUNCTION("""COMPUTED_VALUE"""),"Normal")</f>
        <v>Normal</v>
      </c>
      <c r="H516" s="203" t="str">
        <f>IFERROR(__xludf.DUMMYFUNCTION("""COMPUTED_VALUE"""),"Normal")</f>
        <v>Normal</v>
      </c>
      <c r="I516" s="37">
        <f>IFERROR(__xludf.DUMMYFUNCTION("""COMPUTED_VALUE"""),9912.0)</f>
        <v>9912</v>
      </c>
      <c r="J516" s="37">
        <f>IFERROR(__xludf.DUMMYFUNCTION("""COMPUTED_VALUE"""),4340.0)</f>
        <v>4340</v>
      </c>
      <c r="K516" s="37">
        <f>IFERROR(__xludf.DUMMYFUNCTION("""COMPUTED_VALUE"""),1090.0)</f>
        <v>1090</v>
      </c>
      <c r="L516" s="199">
        <f>IFERROR(__xludf.DUMMYFUNCTION("""COMPUTED_VALUE"""),6.0)</f>
        <v>6</v>
      </c>
      <c r="M516" s="199">
        <f>IFERROR(__xludf.DUMMYFUNCTION("""COMPUTED_VALUE"""),43.8)</f>
        <v>43.8</v>
      </c>
      <c r="N516" s="199"/>
      <c r="O516" s="199">
        <f>IFERROR(__xludf.DUMMYFUNCTION("""COMPUTED_VALUE"""),0.0)</f>
        <v>0</v>
      </c>
      <c r="P516" s="199">
        <f>IFERROR(__xludf.DUMMYFUNCTION("""COMPUTED_VALUE"""),0.01)</f>
        <v>0.01</v>
      </c>
      <c r="Q516" s="199">
        <f>IFERROR(__xludf.DUMMYFUNCTION("""COMPUTED_VALUE"""),0.0)</f>
        <v>0</v>
      </c>
      <c r="R516" s="199">
        <f>IFERROR(__xludf.DUMMYFUNCTION("""COMPUTED_VALUE"""),0.0)</f>
        <v>0</v>
      </c>
      <c r="S516" s="199">
        <f>IFERROR(__xludf.DUMMYFUNCTION("""COMPUTED_VALUE"""),0.0)</f>
        <v>0</v>
      </c>
      <c r="T516" s="199">
        <f>IFERROR(__xludf.DUMMYFUNCTION("""COMPUTED_VALUE"""),3.0)</f>
        <v>3</v>
      </c>
      <c r="U516" s="199">
        <f>IFERROR(__xludf.DUMMYFUNCTION("""COMPUTED_VALUE"""),19.0)</f>
        <v>19</v>
      </c>
      <c r="V516" s="199">
        <f>IFERROR(__xludf.DUMMYFUNCTION("""COMPUTED_VALUE"""),2.0)</f>
        <v>2</v>
      </c>
      <c r="W516" s="199">
        <f>IFERROR(__xludf.DUMMYFUNCTION("""COMPUTED_VALUE"""),0.0)</f>
        <v>0</v>
      </c>
      <c r="X516" s="199">
        <f>IFERROR(__xludf.DUMMYFUNCTION("""COMPUTED_VALUE"""),0.0)</f>
        <v>0</v>
      </c>
      <c r="Y516" s="199">
        <f>IFERROR(__xludf.DUMMYFUNCTION("""COMPUTED_VALUE"""),0.0)</f>
        <v>0</v>
      </c>
      <c r="Z516" s="199">
        <f>IFERROR(__xludf.DUMMYFUNCTION("""COMPUTED_VALUE"""),0.0)</f>
        <v>0</v>
      </c>
      <c r="AA516" s="199">
        <f>IFERROR(__xludf.DUMMYFUNCTION("""COMPUTED_VALUE"""),0.0)</f>
        <v>0</v>
      </c>
      <c r="AB516" s="199">
        <f>IFERROR(__xludf.DUMMYFUNCTION("""COMPUTED_VALUE"""),2.0)</f>
        <v>2</v>
      </c>
      <c r="AC516" s="199">
        <f>IFERROR(__xludf.DUMMYFUNCTION("""COMPUTED_VALUE"""),6.0)</f>
        <v>6</v>
      </c>
      <c r="AD516" s="199">
        <f>IFERROR(__xludf.DUMMYFUNCTION("""COMPUTED_VALUE"""),0.0)</f>
        <v>0</v>
      </c>
      <c r="AE516" s="199">
        <f>IFERROR(__xludf.DUMMYFUNCTION("""COMPUTED_VALUE"""),73.0)</f>
        <v>73</v>
      </c>
      <c r="AF516" s="199">
        <f>IFERROR(__xludf.DUMMYFUNCTION("""COMPUTED_VALUE"""),5.0)</f>
        <v>5</v>
      </c>
      <c r="AG516" s="199">
        <f>IFERROR(__xludf.DUMMYFUNCTION("""COMPUTED_VALUE"""),386.0)</f>
        <v>386</v>
      </c>
      <c r="AH516" s="199">
        <f>IFERROR(__xludf.DUMMYFUNCTION("""COMPUTED_VALUE"""),446.0)</f>
        <v>446</v>
      </c>
      <c r="AI516" s="200" t="str">
        <f>IFERROR(__xludf.DUMMYFUNCTION("""COMPUTED_VALUE"""),"Normal - No Action Required")</f>
        <v>Normal - No Action Required</v>
      </c>
      <c r="AJ516" s="200" t="str">
        <f>IFERROR(__xludf.DUMMYFUNCTION("""COMPUTED_VALUE"""),"Continue routine monitoring and sampling schedule")</f>
        <v>Continue routine monitoring and sampling schedule</v>
      </c>
      <c r="AK516" s="204"/>
      <c r="AL516" s="204"/>
      <c r="AM516" s="204"/>
    </row>
    <row r="517" hidden="1">
      <c r="A517" s="199" t="str">
        <f>IFERROR(__xludf.DUMMYFUNCTION("""COMPUTED_VALUE"""),"R2.322.LQ120(T)")</f>
        <v>R2.322.LQ120(T)</v>
      </c>
      <c r="B517" s="200" t="str">
        <f>IFERROR(__xludf.DUMMYFUNCTION("""COMPUTED_VALUE"""),"Roller Lubrication Unit (Tank)")</f>
        <v>Roller Lubrication Unit (Tank)</v>
      </c>
      <c r="C517" s="199">
        <f>IFERROR(__xludf.DUMMYFUNCTION("""COMPUTED_VALUE"""),2.5330281209E10)</f>
        <v>25330281209</v>
      </c>
      <c r="D517" s="201">
        <f>IFERROR(__xludf.DUMMYFUNCTION("""COMPUTED_VALUE"""),45977.0)</f>
        <v>45977</v>
      </c>
      <c r="E517" s="202" t="str">
        <f>IFERROR(__xludf.DUMMYFUNCTION("""COMPUTED_VALUE"""),"Caution")</f>
        <v>Caution</v>
      </c>
      <c r="F517" s="202" t="str">
        <f>IFERROR(__xludf.DUMMYFUNCTION("""COMPUTED_VALUE"""),"Caution")</f>
        <v>Caution</v>
      </c>
      <c r="G517" s="203" t="str">
        <f>IFERROR(__xludf.DUMMYFUNCTION("""COMPUTED_VALUE"""),"Normal")</f>
        <v>Normal</v>
      </c>
      <c r="H517" s="203" t="str">
        <f>IFERROR(__xludf.DUMMYFUNCTION("""COMPUTED_VALUE"""),"Caution")</f>
        <v>Caution</v>
      </c>
      <c r="I517" s="37"/>
      <c r="J517" s="37"/>
      <c r="K517" s="37"/>
      <c r="L517" s="199">
        <f>IFERROR(__xludf.DUMMYFUNCTION("""COMPUTED_VALUE"""),15.0)</f>
        <v>15</v>
      </c>
      <c r="M517" s="199">
        <f>IFERROR(__xludf.DUMMYFUNCTION("""COMPUTED_VALUE"""),68.6)</f>
        <v>68.6</v>
      </c>
      <c r="N517" s="199"/>
      <c r="O517" s="199"/>
      <c r="P517" s="199">
        <f>IFERROR(__xludf.DUMMYFUNCTION("""COMPUTED_VALUE"""),0.05)</f>
        <v>0.05</v>
      </c>
      <c r="Q517" s="199">
        <f>IFERROR(__xludf.DUMMYFUNCTION("""COMPUTED_VALUE"""),0.0)</f>
        <v>0</v>
      </c>
      <c r="R517" s="199">
        <f>IFERROR(__xludf.DUMMYFUNCTION("""COMPUTED_VALUE"""),0.0)</f>
        <v>0</v>
      </c>
      <c r="S517" s="199">
        <f>IFERROR(__xludf.DUMMYFUNCTION("""COMPUTED_VALUE"""),0.0)</f>
        <v>0</v>
      </c>
      <c r="T517" s="199">
        <f>IFERROR(__xludf.DUMMYFUNCTION("""COMPUTED_VALUE"""),7.0)</f>
        <v>7</v>
      </c>
      <c r="U517" s="199">
        <f>IFERROR(__xludf.DUMMYFUNCTION("""COMPUTED_VALUE"""),7.0)</f>
        <v>7</v>
      </c>
      <c r="V517" s="199">
        <f>IFERROR(__xludf.DUMMYFUNCTION("""COMPUTED_VALUE"""),0.0)</f>
        <v>0</v>
      </c>
      <c r="W517" s="199">
        <f>IFERROR(__xludf.DUMMYFUNCTION("""COMPUTED_VALUE"""),0.0)</f>
        <v>0</v>
      </c>
      <c r="X517" s="199">
        <f>IFERROR(__xludf.DUMMYFUNCTION("""COMPUTED_VALUE"""),0.0)</f>
        <v>0</v>
      </c>
      <c r="Y517" s="199">
        <f>IFERROR(__xludf.DUMMYFUNCTION("""COMPUTED_VALUE"""),0.0)</f>
        <v>0</v>
      </c>
      <c r="Z517" s="199">
        <f>IFERROR(__xludf.DUMMYFUNCTION("""COMPUTED_VALUE"""),2.0)</f>
        <v>2</v>
      </c>
      <c r="AA517" s="199">
        <f>IFERROR(__xludf.DUMMYFUNCTION("""COMPUTED_VALUE"""),0.0)</f>
        <v>0</v>
      </c>
      <c r="AB517" s="199">
        <f>IFERROR(__xludf.DUMMYFUNCTION("""COMPUTED_VALUE"""),45.0)</f>
        <v>45</v>
      </c>
      <c r="AC517" s="199">
        <f>IFERROR(__xludf.DUMMYFUNCTION("""COMPUTED_VALUE"""),41.0)</f>
        <v>41</v>
      </c>
      <c r="AD517" s="199">
        <f>IFERROR(__xludf.DUMMYFUNCTION("""COMPUTED_VALUE"""),0.0)</f>
        <v>0</v>
      </c>
      <c r="AE517" s="199">
        <f>IFERROR(__xludf.DUMMYFUNCTION("""COMPUTED_VALUE"""),25.0)</f>
        <v>25</v>
      </c>
      <c r="AF517" s="199">
        <f>IFERROR(__xludf.DUMMYFUNCTION("""COMPUTED_VALUE"""),6.0)</f>
        <v>6</v>
      </c>
      <c r="AG517" s="199">
        <f>IFERROR(__xludf.DUMMYFUNCTION("""COMPUTED_VALUE"""),456.0)</f>
        <v>456</v>
      </c>
      <c r="AH517" s="199">
        <f>IFERROR(__xludf.DUMMYFUNCTION("""COMPUTED_VALUE"""),16.0)</f>
        <v>16</v>
      </c>
      <c r="AI517" s="200" t="str">
        <f>IFERROR(__xludf.DUMMYFUNCTION("""COMPUTED_VALUE"""),"Lubricant Condition Caution | Contamination Caution")</f>
        <v>Lubricant Condition Caution | Contamination Caution</v>
      </c>
      <c r="AJ517" s="200" t="str">
        <f>IFERROR(__xludf.DUMMYFUNCTION("""COMPUTED_VALUE"""),"Lubricant showing degradation - plan oil change within 3 months; Silicon elevated - check air filtration and seals")</f>
        <v>Lubricant showing degradation - plan oil change within 3 months; Silicon elevated - check air filtration and seals</v>
      </c>
      <c r="AK517" s="204"/>
      <c r="AL517" s="204"/>
      <c r="AM517" s="204"/>
    </row>
    <row r="518" hidden="1">
      <c r="A518" s="199" t="str">
        <f>IFERROR(__xludf.DUMMYFUNCTION("""COMPUTED_VALUE"""),"461.LQ145")</f>
        <v>461.LQ145</v>
      </c>
      <c r="B518" s="200" t="str">
        <f>IFERROR(__xludf.DUMMYFUNCTION("""COMPUTED_VALUE"""),"Coal Mill 1 Gear box")</f>
        <v>Coal Mill 1 Gear box</v>
      </c>
      <c r="C518" s="199">
        <f>IFERROR(__xludf.DUMMYFUNCTION("""COMPUTED_VALUE"""),2.5330281217E10)</f>
        <v>25330281217</v>
      </c>
      <c r="D518" s="201">
        <f>IFERROR(__xludf.DUMMYFUNCTION("""COMPUTED_VALUE"""),45977.0)</f>
        <v>45977</v>
      </c>
      <c r="E518" s="202" t="str">
        <f>IFERROR(__xludf.DUMMYFUNCTION("""COMPUTED_VALUE"""),"Alert")</f>
        <v>Alert</v>
      </c>
      <c r="F518" s="202" t="str">
        <f>IFERROR(__xludf.DUMMYFUNCTION("""COMPUTED_VALUE"""),"Alert")</f>
        <v>Alert</v>
      </c>
      <c r="G518" s="203" t="str">
        <f>IFERROR(__xludf.DUMMYFUNCTION("""COMPUTED_VALUE"""),"Normal")</f>
        <v>Normal</v>
      </c>
      <c r="H518" s="203" t="str">
        <f>IFERROR(__xludf.DUMMYFUNCTION("""COMPUTED_VALUE"""),"Normal")</f>
        <v>Normal</v>
      </c>
      <c r="I518" s="37">
        <f>IFERROR(__xludf.DUMMYFUNCTION("""COMPUTED_VALUE"""),43921.0)</f>
        <v>43921</v>
      </c>
      <c r="J518" s="37">
        <f>IFERROR(__xludf.DUMMYFUNCTION("""COMPUTED_VALUE"""),28089.0)</f>
        <v>28089</v>
      </c>
      <c r="K518" s="37">
        <f>IFERROR(__xludf.DUMMYFUNCTION("""COMPUTED_VALUE"""),10911.0)</f>
        <v>10911</v>
      </c>
      <c r="L518" s="199">
        <f>IFERROR(__xludf.DUMMYFUNCTION("""COMPUTED_VALUE"""),15.0)</f>
        <v>15</v>
      </c>
      <c r="M518" s="199">
        <f>IFERROR(__xludf.DUMMYFUNCTION("""COMPUTED_VALUE"""),306.7)</f>
        <v>306.7</v>
      </c>
      <c r="N518" s="199"/>
      <c r="O518" s="199">
        <f>IFERROR(__xludf.DUMMYFUNCTION("""COMPUTED_VALUE"""),2.0)</f>
        <v>2</v>
      </c>
      <c r="P518" s="199">
        <f>IFERROR(__xludf.DUMMYFUNCTION("""COMPUTED_VALUE"""),0.01)</f>
        <v>0.01</v>
      </c>
      <c r="Q518" s="199">
        <f>IFERROR(__xludf.DUMMYFUNCTION("""COMPUTED_VALUE"""),0.0)</f>
        <v>0</v>
      </c>
      <c r="R518" s="199">
        <f>IFERROR(__xludf.DUMMYFUNCTION("""COMPUTED_VALUE"""),0.0)</f>
        <v>0</v>
      </c>
      <c r="S518" s="199">
        <f>IFERROR(__xludf.DUMMYFUNCTION("""COMPUTED_VALUE"""),0.0)</f>
        <v>0</v>
      </c>
      <c r="T518" s="199">
        <f>IFERROR(__xludf.DUMMYFUNCTION("""COMPUTED_VALUE"""),0.0)</f>
        <v>0</v>
      </c>
      <c r="U518" s="199">
        <f>IFERROR(__xludf.DUMMYFUNCTION("""COMPUTED_VALUE"""),14.0)</f>
        <v>14</v>
      </c>
      <c r="V518" s="199">
        <f>IFERROR(__xludf.DUMMYFUNCTION("""COMPUTED_VALUE"""),5.0)</f>
        <v>5</v>
      </c>
      <c r="W518" s="199">
        <f>IFERROR(__xludf.DUMMYFUNCTION("""COMPUTED_VALUE"""),0.0)</f>
        <v>0</v>
      </c>
      <c r="X518" s="199">
        <f>IFERROR(__xludf.DUMMYFUNCTION("""COMPUTED_VALUE"""),0.0)</f>
        <v>0</v>
      </c>
      <c r="Y518" s="199">
        <f>IFERROR(__xludf.DUMMYFUNCTION("""COMPUTED_VALUE"""),0.0)</f>
        <v>0</v>
      </c>
      <c r="Z518" s="199">
        <f>IFERROR(__xludf.DUMMYFUNCTION("""COMPUTED_VALUE"""),2.0)</f>
        <v>2</v>
      </c>
      <c r="AA518" s="199">
        <f>IFERROR(__xludf.DUMMYFUNCTION("""COMPUTED_VALUE"""),0.0)</f>
        <v>0</v>
      </c>
      <c r="AB518" s="199">
        <f>IFERROR(__xludf.DUMMYFUNCTION("""COMPUTED_VALUE"""),30.0)</f>
        <v>30</v>
      </c>
      <c r="AC518" s="199">
        <f>IFERROR(__xludf.DUMMYFUNCTION("""COMPUTED_VALUE"""),25.0)</f>
        <v>25</v>
      </c>
      <c r="AD518" s="199">
        <f>IFERROR(__xludf.DUMMYFUNCTION("""COMPUTED_VALUE"""),0.0)</f>
        <v>0</v>
      </c>
      <c r="AE518" s="199">
        <f>IFERROR(__xludf.DUMMYFUNCTION("""COMPUTED_VALUE"""),38.0)</f>
        <v>38</v>
      </c>
      <c r="AF518" s="199">
        <f>IFERROR(__xludf.DUMMYFUNCTION("""COMPUTED_VALUE"""),6.0)</f>
        <v>6</v>
      </c>
      <c r="AG518" s="199">
        <f>IFERROR(__xludf.DUMMYFUNCTION("""COMPUTED_VALUE"""),360.0)</f>
        <v>360</v>
      </c>
      <c r="AH518" s="199">
        <f>IFERROR(__xludf.DUMMYFUNCTION("""COMPUTED_VALUE"""),7.0)</f>
        <v>7</v>
      </c>
      <c r="AI518" s="200" t="str">
        <f>IFERROR(__xludf.DUMMYFUNCTION("""COMPUTED_VALUE"""),"Alert – Elevated Si / High Particle Count / Contamination Alert")</f>
        <v>Alert – Elevated Si / High Particle Count / Contamination Alert</v>
      </c>
      <c r="AJ518" s="200" t="str">
        <f>IFERROR(__xludf.DUMMYFUNCTION("""COMPUTED_VALUE"""),"Si 30 ppm (abrasive), ISO 23/22/21, particle count 43921 @4µm. Mo 5 ppm. Oxidation 2 Ab/cm. Inspect seals, breathers, fill caps for dirt ingress. Replace filter. Resample within 30 days.")</f>
        <v>Si 30 ppm (abrasive), ISO 23/22/21, particle count 43921 @4µm. Mo 5 ppm. Oxidation 2 Ab/cm. Inspect seals, breathers, fill caps for dirt ingress. Replace filter. Resample within 30 days.</v>
      </c>
      <c r="AK518" s="204"/>
      <c r="AL518" s="204"/>
      <c r="AM518" s="204"/>
    </row>
    <row r="519" hidden="1">
      <c r="A519" s="199" t="str">
        <f>IFERROR(__xludf.DUMMYFUNCTION("""COMPUTED_VALUE"""),"462.HY110")</f>
        <v>462.HY110</v>
      </c>
      <c r="B519" s="200" t="str">
        <f>IFERROR(__xludf.DUMMYFUNCTION("""COMPUTED_VALUE"""),"Coal Mill 2 Hyd. tensioning sys.")</f>
        <v>Coal Mill 2 Hyd. tensioning sys.</v>
      </c>
      <c r="C519" s="199">
        <f>IFERROR(__xludf.DUMMYFUNCTION("""COMPUTED_VALUE"""),2.5330261213E10)</f>
        <v>25330261213</v>
      </c>
      <c r="D519" s="201">
        <f>IFERROR(__xludf.DUMMYFUNCTION("""COMPUTED_VALUE"""),45977.0)</f>
        <v>45977</v>
      </c>
      <c r="E519" s="202" t="str">
        <f>IFERROR(__xludf.DUMMYFUNCTION("""COMPUTED_VALUE"""),"Normal")</f>
        <v>Normal</v>
      </c>
      <c r="F519" s="202" t="str">
        <f>IFERROR(__xludf.DUMMYFUNCTION("""COMPUTED_VALUE"""),"Normal")</f>
        <v>Normal</v>
      </c>
      <c r="G519" s="203" t="str">
        <f>IFERROR(__xludf.DUMMYFUNCTION("""COMPUTED_VALUE"""),"Normal")</f>
        <v>Normal</v>
      </c>
      <c r="H519" s="203" t="str">
        <f>IFERROR(__xludf.DUMMYFUNCTION("""COMPUTED_VALUE"""),"Normal")</f>
        <v>Normal</v>
      </c>
      <c r="I519" s="37">
        <f>IFERROR(__xludf.DUMMYFUNCTION("""COMPUTED_VALUE"""),10919.0)</f>
        <v>10919</v>
      </c>
      <c r="J519" s="37">
        <f>IFERROR(__xludf.DUMMYFUNCTION("""COMPUTED_VALUE"""),6142.0)</f>
        <v>6142</v>
      </c>
      <c r="K519" s="37">
        <f>IFERROR(__xludf.DUMMYFUNCTION("""COMPUTED_VALUE"""),3188.0)</f>
        <v>3188</v>
      </c>
      <c r="L519" s="199">
        <f>IFERROR(__xludf.DUMMYFUNCTION("""COMPUTED_VALUE"""),8.0)</f>
        <v>8</v>
      </c>
      <c r="M519" s="199">
        <f>IFERROR(__xludf.DUMMYFUNCTION("""COMPUTED_VALUE"""),45.8)</f>
        <v>45.8</v>
      </c>
      <c r="N519" s="199"/>
      <c r="O519" s="199">
        <f>IFERROR(__xludf.DUMMYFUNCTION("""COMPUTED_VALUE"""),0.0)</f>
        <v>0</v>
      </c>
      <c r="P519" s="199">
        <f>IFERROR(__xludf.DUMMYFUNCTION("""COMPUTED_VALUE"""),0.01)</f>
        <v>0.01</v>
      </c>
      <c r="Q519" s="199">
        <f>IFERROR(__xludf.DUMMYFUNCTION("""COMPUTED_VALUE"""),0.0)</f>
        <v>0</v>
      </c>
      <c r="R519" s="199">
        <f>IFERROR(__xludf.DUMMYFUNCTION("""COMPUTED_VALUE"""),0.0)</f>
        <v>0</v>
      </c>
      <c r="S519" s="199">
        <f>IFERROR(__xludf.DUMMYFUNCTION("""COMPUTED_VALUE"""),0.0)</f>
        <v>0</v>
      </c>
      <c r="T519" s="199">
        <f>IFERROR(__xludf.DUMMYFUNCTION("""COMPUTED_VALUE"""),0.0)</f>
        <v>0</v>
      </c>
      <c r="U519" s="199">
        <f>IFERROR(__xludf.DUMMYFUNCTION("""COMPUTED_VALUE"""),2.0)</f>
        <v>2</v>
      </c>
      <c r="V519" s="199">
        <f>IFERROR(__xludf.DUMMYFUNCTION("""COMPUTED_VALUE"""),0.0)</f>
        <v>0</v>
      </c>
      <c r="W519" s="199">
        <f>IFERROR(__xludf.DUMMYFUNCTION("""COMPUTED_VALUE"""),0.0)</f>
        <v>0</v>
      </c>
      <c r="X519" s="199">
        <f>IFERROR(__xludf.DUMMYFUNCTION("""COMPUTED_VALUE"""),0.0)</f>
        <v>0</v>
      </c>
      <c r="Y519" s="199">
        <f>IFERROR(__xludf.DUMMYFUNCTION("""COMPUTED_VALUE"""),0.0)</f>
        <v>0</v>
      </c>
      <c r="Z519" s="199">
        <f>IFERROR(__xludf.DUMMYFUNCTION("""COMPUTED_VALUE"""),0.0)</f>
        <v>0</v>
      </c>
      <c r="AA519" s="199">
        <f>IFERROR(__xludf.DUMMYFUNCTION("""COMPUTED_VALUE"""),0.0)</f>
        <v>0</v>
      </c>
      <c r="AB519" s="199">
        <f>IFERROR(__xludf.DUMMYFUNCTION("""COMPUTED_VALUE"""),0.0)</f>
        <v>0</v>
      </c>
      <c r="AC519" s="199">
        <f>IFERROR(__xludf.DUMMYFUNCTION("""COMPUTED_VALUE"""),2.0)</f>
        <v>2</v>
      </c>
      <c r="AD519" s="199">
        <f>IFERROR(__xludf.DUMMYFUNCTION("""COMPUTED_VALUE"""),0.0)</f>
        <v>0</v>
      </c>
      <c r="AE519" s="199">
        <f>IFERROR(__xludf.DUMMYFUNCTION("""COMPUTED_VALUE"""),80.0)</f>
        <v>80</v>
      </c>
      <c r="AF519" s="199">
        <f>IFERROR(__xludf.DUMMYFUNCTION("""COMPUTED_VALUE"""),0.0)</f>
        <v>0</v>
      </c>
      <c r="AG519" s="199">
        <f>IFERROR(__xludf.DUMMYFUNCTION("""COMPUTED_VALUE"""),421.0)</f>
        <v>421</v>
      </c>
      <c r="AH519" s="199">
        <f>IFERROR(__xludf.DUMMYFUNCTION("""COMPUTED_VALUE"""),397.0)</f>
        <v>397</v>
      </c>
      <c r="AI519" s="200" t="str">
        <f>IFERROR(__xludf.DUMMYFUNCTION("""COMPUTED_VALUE"""),"Normal")</f>
        <v>Normal</v>
      </c>
      <c r="AJ519" s="200" t="str">
        <f>IFERROR(__xludf.DUMMYFUNCTION("""COMPUTED_VALUE"""),"ISO Code 21/20/19. All parameters within acceptable limits. Continue routine monitoring.")</f>
        <v>ISO Code 21/20/19. All parameters within acceptable limits. Continue routine monitoring.</v>
      </c>
      <c r="AK519" s="204"/>
      <c r="AL519" s="204"/>
      <c r="AM519" s="204"/>
    </row>
    <row r="520" hidden="1">
      <c r="A520" s="199" t="str">
        <f>IFERROR(__xludf.DUMMYFUNCTION("""COMPUTED_VALUE"""),"462.LQ145")</f>
        <v>462.LQ145</v>
      </c>
      <c r="B520" s="200" t="str">
        <f>IFERROR(__xludf.DUMMYFUNCTION("""COMPUTED_VALUE"""),"Coal Mill 2 Gear box")</f>
        <v>Coal Mill 2 Gear box</v>
      </c>
      <c r="C520" s="199">
        <f>IFERROR(__xludf.DUMMYFUNCTION("""COMPUTED_VALUE"""),2.5330261214E10)</f>
        <v>25330261214</v>
      </c>
      <c r="D520" s="201">
        <f>IFERROR(__xludf.DUMMYFUNCTION("""COMPUTED_VALUE"""),45977.0)</f>
        <v>45977</v>
      </c>
      <c r="E520" s="202" t="str">
        <f>IFERROR(__xludf.DUMMYFUNCTION("""COMPUTED_VALUE"""),"Normal")</f>
        <v>Normal</v>
      </c>
      <c r="F520" s="202" t="str">
        <f>IFERROR(__xludf.DUMMYFUNCTION("""COMPUTED_VALUE"""),"Normal")</f>
        <v>Normal</v>
      </c>
      <c r="G520" s="203" t="str">
        <f>IFERROR(__xludf.DUMMYFUNCTION("""COMPUTED_VALUE"""),"Normal")</f>
        <v>Normal</v>
      </c>
      <c r="H520" s="203" t="str">
        <f>IFERROR(__xludf.DUMMYFUNCTION("""COMPUTED_VALUE"""),"Normal")</f>
        <v>Normal</v>
      </c>
      <c r="I520" s="37">
        <f>IFERROR(__xludf.DUMMYFUNCTION("""COMPUTED_VALUE"""),39117.0)</f>
        <v>39117</v>
      </c>
      <c r="J520" s="37">
        <f>IFERROR(__xludf.DUMMYFUNCTION("""COMPUTED_VALUE"""),21188.0)</f>
        <v>21188</v>
      </c>
      <c r="K520" s="37">
        <f>IFERROR(__xludf.DUMMYFUNCTION("""COMPUTED_VALUE"""),10071.0)</f>
        <v>10071</v>
      </c>
      <c r="L520" s="199">
        <f>IFERROR(__xludf.DUMMYFUNCTION("""COMPUTED_VALUE"""),12.0)</f>
        <v>12</v>
      </c>
      <c r="M520" s="199">
        <f>IFERROR(__xludf.DUMMYFUNCTION("""COMPUTED_VALUE"""),284.3)</f>
        <v>284.3</v>
      </c>
      <c r="N520" s="37"/>
      <c r="O520" s="37">
        <f>IFERROR(__xludf.DUMMYFUNCTION("""COMPUTED_VALUE"""),2.0)</f>
        <v>2</v>
      </c>
      <c r="P520" s="199">
        <f>IFERROR(__xludf.DUMMYFUNCTION("""COMPUTED_VALUE"""),0.01)</f>
        <v>0.01</v>
      </c>
      <c r="Q520" s="199">
        <f>IFERROR(__xludf.DUMMYFUNCTION("""COMPUTED_VALUE"""),0.0)</f>
        <v>0</v>
      </c>
      <c r="R520" s="199">
        <f>IFERROR(__xludf.DUMMYFUNCTION("""COMPUTED_VALUE"""),0.0)</f>
        <v>0</v>
      </c>
      <c r="S520" s="199">
        <f>IFERROR(__xludf.DUMMYFUNCTION("""COMPUTED_VALUE"""),0.0)</f>
        <v>0</v>
      </c>
      <c r="T520" s="199">
        <f>IFERROR(__xludf.DUMMYFUNCTION("""COMPUTED_VALUE"""),0.0)</f>
        <v>0</v>
      </c>
      <c r="U520" s="199">
        <f>IFERROR(__xludf.DUMMYFUNCTION("""COMPUTED_VALUE"""),3.0)</f>
        <v>3</v>
      </c>
      <c r="V520" s="199">
        <f>IFERROR(__xludf.DUMMYFUNCTION("""COMPUTED_VALUE"""),0.0)</f>
        <v>0</v>
      </c>
      <c r="W520" s="199">
        <f>IFERROR(__xludf.DUMMYFUNCTION("""COMPUTED_VALUE"""),0.0)</f>
        <v>0</v>
      </c>
      <c r="X520" s="199">
        <f>IFERROR(__xludf.DUMMYFUNCTION("""COMPUTED_VALUE"""),0.0)</f>
        <v>0</v>
      </c>
      <c r="Y520" s="199">
        <f>IFERROR(__xludf.DUMMYFUNCTION("""COMPUTED_VALUE"""),0.0)</f>
        <v>0</v>
      </c>
      <c r="Z520" s="199">
        <f>IFERROR(__xludf.DUMMYFUNCTION("""COMPUTED_VALUE"""),2.0)</f>
        <v>2</v>
      </c>
      <c r="AA520" s="199">
        <f>IFERROR(__xludf.DUMMYFUNCTION("""COMPUTED_VALUE"""),0.0)</f>
        <v>0</v>
      </c>
      <c r="AB520" s="199">
        <f>IFERROR(__xludf.DUMMYFUNCTION("""COMPUTED_VALUE"""),0.0)</f>
        <v>0</v>
      </c>
      <c r="AC520" s="199">
        <f>IFERROR(__xludf.DUMMYFUNCTION("""COMPUTED_VALUE"""),23.0)</f>
        <v>23</v>
      </c>
      <c r="AD520" s="199">
        <f>IFERROR(__xludf.DUMMYFUNCTION("""COMPUTED_VALUE"""),0.0)</f>
        <v>0</v>
      </c>
      <c r="AE520" s="199">
        <f>IFERROR(__xludf.DUMMYFUNCTION("""COMPUTED_VALUE"""),29.0)</f>
        <v>29</v>
      </c>
      <c r="AF520" s="199">
        <f>IFERROR(__xludf.DUMMYFUNCTION("""COMPUTED_VALUE"""),0.0)</f>
        <v>0</v>
      </c>
      <c r="AG520" s="199">
        <f>IFERROR(__xludf.DUMMYFUNCTION("""COMPUTED_VALUE"""),461.0)</f>
        <v>461</v>
      </c>
      <c r="AH520" s="199">
        <f>IFERROR(__xludf.DUMMYFUNCTION("""COMPUTED_VALUE"""),39.0)</f>
        <v>39</v>
      </c>
      <c r="AI520" s="200" t="str">
        <f>IFERROR(__xludf.DUMMYFUNCTION("""COMPUTED_VALUE"""),"Normal")</f>
        <v>Normal</v>
      </c>
      <c r="AJ520" s="200" t="str">
        <f>IFERROR(__xludf.DUMMYFUNCTION("""COMPUTED_VALUE"""),"ISO Code 22/22/21. All parameters within acceptable limits. Oxidation 2 Ab/cm – monitor trend. Continue routine monitoring.")</f>
        <v>ISO Code 22/22/21. All parameters within acceptable limits. Oxidation 2 Ab/cm – monitor trend. Continue routine monitoring.</v>
      </c>
      <c r="AK520" s="204"/>
      <c r="AL520" s="204"/>
      <c r="AM520" s="204"/>
    </row>
    <row r="521" hidden="1">
      <c r="A521" s="199" t="str">
        <f>IFERROR(__xludf.DUMMYFUNCTION("""COMPUTED_VALUE"""),"R2.322.LQ145 (T)")</f>
        <v>R2.322.LQ145 (T)</v>
      </c>
      <c r="B521" s="200" t="str">
        <f>IFERROR(__xludf.DUMMYFUNCTION("""COMPUTED_VALUE"""),"Mill2 gear Lub pump station tank")</f>
        <v>Mill2 gear Lub pump station tank</v>
      </c>
      <c r="C521" s="199">
        <f>IFERROR(__xludf.DUMMYFUNCTION("""COMPUTED_VALUE"""),2.5330261211E10)</f>
        <v>25330261211</v>
      </c>
      <c r="D521" s="201">
        <f>IFERROR(__xludf.DUMMYFUNCTION("""COMPUTED_VALUE"""),45977.0)</f>
        <v>45977</v>
      </c>
      <c r="E521" s="202" t="str">
        <f>IFERROR(__xludf.DUMMYFUNCTION("""COMPUTED_VALUE"""),"Normal")</f>
        <v>Normal</v>
      </c>
      <c r="F521" s="202" t="str">
        <f>IFERROR(__xludf.DUMMYFUNCTION("""COMPUTED_VALUE"""),"Normal")</f>
        <v>Normal</v>
      </c>
      <c r="G521" s="203" t="str">
        <f>IFERROR(__xludf.DUMMYFUNCTION("""COMPUTED_VALUE"""),"Normal")</f>
        <v>Normal</v>
      </c>
      <c r="H521" s="203" t="str">
        <f>IFERROR(__xludf.DUMMYFUNCTION("""COMPUTED_VALUE"""),"Normal")</f>
        <v>Normal</v>
      </c>
      <c r="I521" s="37">
        <f>IFERROR(__xludf.DUMMYFUNCTION("""COMPUTED_VALUE"""),40291.0)</f>
        <v>40291</v>
      </c>
      <c r="J521" s="37">
        <f>IFERROR(__xludf.DUMMYFUNCTION("""COMPUTED_VALUE"""),24732.0)</f>
        <v>24732</v>
      </c>
      <c r="K521" s="37">
        <f>IFERROR(__xludf.DUMMYFUNCTION("""COMPUTED_VALUE"""),14007.0)</f>
        <v>14007</v>
      </c>
      <c r="L521" s="199">
        <f>IFERROR(__xludf.DUMMYFUNCTION("""COMPUTED_VALUE"""),8.0)</f>
        <v>8</v>
      </c>
      <c r="M521" s="199">
        <f>IFERROR(__xludf.DUMMYFUNCTION("""COMPUTED_VALUE"""),295.5)</f>
        <v>295.5</v>
      </c>
      <c r="N521" s="37"/>
      <c r="O521" s="37">
        <f>IFERROR(__xludf.DUMMYFUNCTION("""COMPUTED_VALUE"""),1.0)</f>
        <v>1</v>
      </c>
      <c r="P521" s="199">
        <f>IFERROR(__xludf.DUMMYFUNCTION("""COMPUTED_VALUE"""),0.01)</f>
        <v>0.01</v>
      </c>
      <c r="Q521" s="199">
        <f>IFERROR(__xludf.DUMMYFUNCTION("""COMPUTED_VALUE"""),0.0)</f>
        <v>0</v>
      </c>
      <c r="R521" s="199">
        <f>IFERROR(__xludf.DUMMYFUNCTION("""COMPUTED_VALUE"""),0.0)</f>
        <v>0</v>
      </c>
      <c r="S521" s="199">
        <f>IFERROR(__xludf.DUMMYFUNCTION("""COMPUTED_VALUE"""),1.0)</f>
        <v>1</v>
      </c>
      <c r="T521" s="199">
        <f>IFERROR(__xludf.DUMMYFUNCTION("""COMPUTED_VALUE"""),3.0)</f>
        <v>3</v>
      </c>
      <c r="U521" s="199">
        <f>IFERROR(__xludf.DUMMYFUNCTION("""COMPUTED_VALUE"""),11.0)</f>
        <v>11</v>
      </c>
      <c r="V521" s="199">
        <f>IFERROR(__xludf.DUMMYFUNCTION("""COMPUTED_VALUE"""),0.0)</f>
        <v>0</v>
      </c>
      <c r="W521" s="199">
        <f>IFERROR(__xludf.DUMMYFUNCTION("""COMPUTED_VALUE"""),0.0)</f>
        <v>0</v>
      </c>
      <c r="X521" s="199">
        <f>IFERROR(__xludf.DUMMYFUNCTION("""COMPUTED_VALUE"""),0.0)</f>
        <v>0</v>
      </c>
      <c r="Y521" s="199">
        <f>IFERROR(__xludf.DUMMYFUNCTION("""COMPUTED_VALUE"""),0.0)</f>
        <v>0</v>
      </c>
      <c r="Z521" s="199">
        <f>IFERROR(__xludf.DUMMYFUNCTION("""COMPUTED_VALUE"""),0.0)</f>
        <v>0</v>
      </c>
      <c r="AA521" s="199">
        <f>IFERROR(__xludf.DUMMYFUNCTION("""COMPUTED_VALUE"""),0.0)</f>
        <v>0</v>
      </c>
      <c r="AB521" s="199">
        <f>IFERROR(__xludf.DUMMYFUNCTION("""COMPUTED_VALUE"""),4.0)</f>
        <v>4</v>
      </c>
      <c r="AC521" s="199">
        <f>IFERROR(__xludf.DUMMYFUNCTION("""COMPUTED_VALUE"""),22.0)</f>
        <v>22</v>
      </c>
      <c r="AD521" s="199">
        <f>IFERROR(__xludf.DUMMYFUNCTION("""COMPUTED_VALUE"""),0.0)</f>
        <v>0</v>
      </c>
      <c r="AE521" s="199">
        <f>IFERROR(__xludf.DUMMYFUNCTION("""COMPUTED_VALUE"""),43.0)</f>
        <v>43</v>
      </c>
      <c r="AF521" s="199">
        <f>IFERROR(__xludf.DUMMYFUNCTION("""COMPUTED_VALUE"""),2.0)</f>
        <v>2</v>
      </c>
      <c r="AG521" s="199">
        <f>IFERROR(__xludf.DUMMYFUNCTION("""COMPUTED_VALUE"""),528.0)</f>
        <v>528</v>
      </c>
      <c r="AH521" s="199">
        <f>IFERROR(__xludf.DUMMYFUNCTION("""COMPUTED_VALUE"""),14.0)</f>
        <v>14</v>
      </c>
      <c r="AI521" s="200" t="str">
        <f>IFERROR(__xludf.DUMMYFUNCTION("""COMPUTED_VALUE"""),"Normal - No Action Required")</f>
        <v>Normal - No Action Required</v>
      </c>
      <c r="AJ521" s="200" t="str">
        <f>IFERROR(__xludf.DUMMYFUNCTION("""COMPUTED_VALUE"""),"Continue routine monitoring and sampling schedule")</f>
        <v>Continue routine monitoring and sampling schedule</v>
      </c>
      <c r="AK521" s="204"/>
      <c r="AL521" s="204"/>
      <c r="AM521" s="204"/>
    </row>
    <row r="522" hidden="1">
      <c r="A522" s="199" t="str">
        <f>IFERROR(__xludf.DUMMYFUNCTION("""COMPUTED_VALUE"""),"261.SH050 (T)")</f>
        <v>261.SH050 (T)</v>
      </c>
      <c r="B522" s="200" t="str">
        <f>IFERROR(__xludf.DUMMYFUNCTION("""COMPUTED_VALUE"""),"Shredder - Hydraulic Sys.")</f>
        <v>Shredder - Hydraulic Sys.</v>
      </c>
      <c r="C522" s="199">
        <f>IFERROR(__xludf.DUMMYFUNCTION("""COMPUTED_VALUE"""),2.5330261221E10)</f>
        <v>25330261221</v>
      </c>
      <c r="D522" s="201">
        <f>IFERROR(__xludf.DUMMYFUNCTION("""COMPUTED_VALUE"""),45977.0)</f>
        <v>45977</v>
      </c>
      <c r="E522" s="202" t="str">
        <f>IFERROR(__xludf.DUMMYFUNCTION("""COMPUTED_VALUE"""),"Alert")</f>
        <v>Alert</v>
      </c>
      <c r="F522" s="202" t="str">
        <f>IFERROR(__xludf.DUMMYFUNCTION("""COMPUTED_VALUE"""),"Alert")</f>
        <v>Alert</v>
      </c>
      <c r="G522" s="203" t="str">
        <f>IFERROR(__xludf.DUMMYFUNCTION("""COMPUTED_VALUE"""),"Alert")</f>
        <v>Alert</v>
      </c>
      <c r="H522" s="203" t="str">
        <f>IFERROR(__xludf.DUMMYFUNCTION("""COMPUTED_VALUE"""),"Normal")</f>
        <v>Normal</v>
      </c>
      <c r="I522" s="199"/>
      <c r="J522" s="199"/>
      <c r="K522" s="199"/>
      <c r="L522" s="199">
        <f>IFERROR(__xludf.DUMMYFUNCTION("""COMPUTED_VALUE"""),49.0)</f>
        <v>49</v>
      </c>
      <c r="M522" s="199">
        <f>IFERROR(__xludf.DUMMYFUNCTION("""COMPUTED_VALUE"""),43.8)</f>
        <v>43.8</v>
      </c>
      <c r="N522" s="199"/>
      <c r="O522" s="199">
        <f>IFERROR(__xludf.DUMMYFUNCTION("""COMPUTED_VALUE"""),1.0)</f>
        <v>1</v>
      </c>
      <c r="P522" s="199">
        <f>IFERROR(__xludf.DUMMYFUNCTION("""COMPUTED_VALUE"""),0.4)</f>
        <v>0.4</v>
      </c>
      <c r="Q522" s="199">
        <f>IFERROR(__xludf.DUMMYFUNCTION("""COMPUTED_VALUE"""),0.0)</f>
        <v>0</v>
      </c>
      <c r="R522" s="199">
        <f>IFERROR(__xludf.DUMMYFUNCTION("""COMPUTED_VALUE"""),0.0)</f>
        <v>0</v>
      </c>
      <c r="S522" s="199">
        <f>IFERROR(__xludf.DUMMYFUNCTION("""COMPUTED_VALUE"""),0.0)</f>
        <v>0</v>
      </c>
      <c r="T522" s="199">
        <f>IFERROR(__xludf.DUMMYFUNCTION("""COMPUTED_VALUE"""),24.0)</f>
        <v>24</v>
      </c>
      <c r="U522" s="199">
        <f>IFERROR(__xludf.DUMMYFUNCTION("""COMPUTED_VALUE"""),55.0)</f>
        <v>55</v>
      </c>
      <c r="V522" s="199">
        <f>IFERROR(__xludf.DUMMYFUNCTION("""COMPUTED_VALUE"""),0.0)</f>
        <v>0</v>
      </c>
      <c r="W522" s="199">
        <f>IFERROR(__xludf.DUMMYFUNCTION("""COMPUTED_VALUE"""),0.0)</f>
        <v>0</v>
      </c>
      <c r="X522" s="199">
        <f>IFERROR(__xludf.DUMMYFUNCTION("""COMPUTED_VALUE"""),0.0)</f>
        <v>0</v>
      </c>
      <c r="Y522" s="199">
        <f>IFERROR(__xludf.DUMMYFUNCTION("""COMPUTED_VALUE"""),0.0)</f>
        <v>0</v>
      </c>
      <c r="Z522" s="199">
        <f>IFERROR(__xludf.DUMMYFUNCTION("""COMPUTED_VALUE"""),0.0)</f>
        <v>0</v>
      </c>
      <c r="AA522" s="199">
        <f>IFERROR(__xludf.DUMMYFUNCTION("""COMPUTED_VALUE"""),0.0)</f>
        <v>0</v>
      </c>
      <c r="AB522" s="199">
        <f>IFERROR(__xludf.DUMMYFUNCTION("""COMPUTED_VALUE"""),29.0)</f>
        <v>29</v>
      </c>
      <c r="AC522" s="199">
        <f>IFERROR(__xludf.DUMMYFUNCTION("""COMPUTED_VALUE"""),3.0)</f>
        <v>3</v>
      </c>
      <c r="AD522" s="199">
        <f>IFERROR(__xludf.DUMMYFUNCTION("""COMPUTED_VALUE"""),0.0)</f>
        <v>0</v>
      </c>
      <c r="AE522" s="199">
        <f>IFERROR(__xludf.DUMMYFUNCTION("""COMPUTED_VALUE"""),108.0)</f>
        <v>108</v>
      </c>
      <c r="AF522" s="199">
        <f>IFERROR(__xludf.DUMMYFUNCTION("""COMPUTED_VALUE"""),2.0)</f>
        <v>2</v>
      </c>
      <c r="AG522" s="199">
        <f>IFERROR(__xludf.DUMMYFUNCTION("""COMPUTED_VALUE"""),423.0)</f>
        <v>423</v>
      </c>
      <c r="AH522" s="199">
        <f>IFERROR(__xludf.DUMMYFUNCTION("""COMPUTED_VALUE"""),429.0)</f>
        <v>429</v>
      </c>
      <c r="AI522" s="200" t="str">
        <f>IFERROR(__xludf.DUMMYFUNCTION("""COMPUTED_VALUE"""),"Wear Metal Alert | Water Ingress")</f>
        <v>Wear Metal Alert | Water Ingress</v>
      </c>
      <c r="AJ522" s="200" t="str">
        <f>IFERROR(__xludf.DUMMYFUNCTION("""COMPUTED_VALUE"""),"URGENT: Inspect equipment immediately for wear/damage; High water contamination - check seals and drain water immediately")</f>
        <v>URGENT: Inspect equipment immediately for wear/damage; High water contamination - check seals and drain water immediately</v>
      </c>
      <c r="AK522" s="204"/>
      <c r="AL522" s="204"/>
      <c r="AM522" s="204"/>
    </row>
    <row r="523" hidden="1">
      <c r="A523" s="199" t="str">
        <f>IFERROR(__xludf.DUMMYFUNCTION("""COMPUTED_VALUE"""),"352.BE340 L")</f>
        <v>352.BE340 L</v>
      </c>
      <c r="B523" s="200" t="str">
        <f>IFERROR(__xludf.DUMMYFUNCTION("""COMPUTED_VALUE"""),"Bucket Elevator GB - L")</f>
        <v>Bucket Elevator GB - L</v>
      </c>
      <c r="C523" s="199">
        <f>IFERROR(__xludf.DUMMYFUNCTION("""COMPUTED_VALUE"""),2.5330261224E10)</f>
        <v>25330261224</v>
      </c>
      <c r="D523" s="201">
        <f>IFERROR(__xludf.DUMMYFUNCTION("""COMPUTED_VALUE"""),45977.0)</f>
        <v>45977</v>
      </c>
      <c r="E523" s="202" t="str">
        <f>IFERROR(__xludf.DUMMYFUNCTION("""COMPUTED_VALUE"""),"Caution")</f>
        <v>Caution</v>
      </c>
      <c r="F523" s="202" t="str">
        <f>IFERROR(__xludf.DUMMYFUNCTION("""COMPUTED_VALUE"""),"Caution")</f>
        <v>Caution</v>
      </c>
      <c r="G523" s="203" t="str">
        <f>IFERROR(__xludf.DUMMYFUNCTION("""COMPUTED_VALUE"""),"Normal")</f>
        <v>Normal</v>
      </c>
      <c r="H523" s="203" t="str">
        <f>IFERROR(__xludf.DUMMYFUNCTION("""COMPUTED_VALUE"""),"Normal")</f>
        <v>Normal</v>
      </c>
      <c r="I523" s="199"/>
      <c r="J523" s="199"/>
      <c r="K523" s="199"/>
      <c r="L523" s="199">
        <f>IFERROR(__xludf.DUMMYFUNCTION("""COMPUTED_VALUE"""),24.0)</f>
        <v>24</v>
      </c>
      <c r="M523" s="199">
        <f>IFERROR(__xludf.DUMMYFUNCTION("""COMPUTED_VALUE"""),319.4)</f>
        <v>319.4</v>
      </c>
      <c r="N523" s="199"/>
      <c r="O523" s="199"/>
      <c r="P523" s="199">
        <f>IFERROR(__xludf.DUMMYFUNCTION("""COMPUTED_VALUE"""),0.04)</f>
        <v>0.04</v>
      </c>
      <c r="Q523" s="199">
        <f>IFERROR(__xludf.DUMMYFUNCTION("""COMPUTED_VALUE"""),0.0)</f>
        <v>0</v>
      </c>
      <c r="R523" s="199">
        <f>IFERROR(__xludf.DUMMYFUNCTION("""COMPUTED_VALUE"""),0.0)</f>
        <v>0</v>
      </c>
      <c r="S523" s="199">
        <f>IFERROR(__xludf.DUMMYFUNCTION("""COMPUTED_VALUE"""),0.0)</f>
        <v>0</v>
      </c>
      <c r="T523" s="199">
        <f>IFERROR(__xludf.DUMMYFUNCTION("""COMPUTED_VALUE"""),0.0)</f>
        <v>0</v>
      </c>
      <c r="U523" s="199">
        <f>IFERROR(__xludf.DUMMYFUNCTION("""COMPUTED_VALUE"""),64.0)</f>
        <v>64</v>
      </c>
      <c r="V523" s="199">
        <f>IFERROR(__xludf.DUMMYFUNCTION("""COMPUTED_VALUE"""),0.0)</f>
        <v>0</v>
      </c>
      <c r="W523" s="199">
        <f>IFERROR(__xludf.DUMMYFUNCTION("""COMPUTED_VALUE"""),0.0)</f>
        <v>0</v>
      </c>
      <c r="X523" s="199">
        <f>IFERROR(__xludf.DUMMYFUNCTION("""COMPUTED_VALUE"""),2.0)</f>
        <v>2</v>
      </c>
      <c r="Y523" s="199">
        <f>IFERROR(__xludf.DUMMYFUNCTION("""COMPUTED_VALUE"""),0.0)</f>
        <v>0</v>
      </c>
      <c r="Z523" s="199">
        <f>IFERROR(__xludf.DUMMYFUNCTION("""COMPUTED_VALUE"""),2.0)</f>
        <v>2</v>
      </c>
      <c r="AA523" s="199">
        <f>IFERROR(__xludf.DUMMYFUNCTION("""COMPUTED_VALUE"""),0.0)</f>
        <v>0</v>
      </c>
      <c r="AB523" s="199">
        <f>IFERROR(__xludf.DUMMYFUNCTION("""COMPUTED_VALUE"""),25.0)</f>
        <v>25</v>
      </c>
      <c r="AC523" s="199">
        <f>IFERROR(__xludf.DUMMYFUNCTION("""COMPUTED_VALUE"""),12.0)</f>
        <v>12</v>
      </c>
      <c r="AD523" s="199">
        <f>IFERROR(__xludf.DUMMYFUNCTION("""COMPUTED_VALUE"""),0.0)</f>
        <v>0</v>
      </c>
      <c r="AE523" s="199">
        <f>IFERROR(__xludf.DUMMYFUNCTION("""COMPUTED_VALUE"""),67.0)</f>
        <v>67</v>
      </c>
      <c r="AF523" s="199">
        <f>IFERROR(__xludf.DUMMYFUNCTION("""COMPUTED_VALUE"""),2.0)</f>
        <v>2</v>
      </c>
      <c r="AG523" s="199">
        <f>IFERROR(__xludf.DUMMYFUNCTION("""COMPUTED_VALUE"""),433.0)</f>
        <v>433</v>
      </c>
      <c r="AH523" s="199">
        <f>IFERROR(__xludf.DUMMYFUNCTION("""COMPUTED_VALUE"""),52.0)</f>
        <v>52</v>
      </c>
      <c r="AI523" s="200" t="str">
        <f>IFERROR(__xludf.DUMMYFUNCTION("""COMPUTED_VALUE"""),"Wear Metal Caution | Contamination Caution")</f>
        <v>Wear Metal Caution | Contamination Caution</v>
      </c>
      <c r="AJ523" s="200" t="str">
        <f>IFERROR(__xludf.DUMMYFUNCTION("""COMPUTED_VALUE"""),"Elevated wear metals - monitor trend; inspect at next opportunity; Silicon elevated - check air filtration and seals")</f>
        <v>Elevated wear metals - monitor trend; inspect at next opportunity; Silicon elevated - check air filtration and seals</v>
      </c>
      <c r="AK523" s="204"/>
      <c r="AL523" s="204"/>
      <c r="AM523" s="204"/>
    </row>
    <row r="524" hidden="1">
      <c r="A524" s="199" t="str">
        <f>IFERROR(__xludf.DUMMYFUNCTION("""COMPUTED_VALUE"""),"441.MD140 (T)")</f>
        <v>441.MD140 (T)</v>
      </c>
      <c r="B524" s="200" t="str">
        <f>IFERROR(__xludf.DUMMYFUNCTION("""COMPUTED_VALUE"""),"Clinker Cooler Drive (From Tank)")</f>
        <v>Clinker Cooler Drive (From Tank)</v>
      </c>
      <c r="C524" s="199">
        <f>IFERROR(__xludf.DUMMYFUNCTION("""COMPUTED_VALUE"""),2.5330261205E10)</f>
        <v>25330261205</v>
      </c>
      <c r="D524" s="201">
        <f>IFERROR(__xludf.DUMMYFUNCTION("""COMPUTED_VALUE"""),45977.0)</f>
        <v>45977</v>
      </c>
      <c r="E524" s="202" t="str">
        <f>IFERROR(__xludf.DUMMYFUNCTION("""COMPUTED_VALUE"""),"Normal")</f>
        <v>Normal</v>
      </c>
      <c r="F524" s="202" t="str">
        <f>IFERROR(__xludf.DUMMYFUNCTION("""COMPUTED_VALUE"""),"Normal")</f>
        <v>Normal</v>
      </c>
      <c r="G524" s="203" t="str">
        <f>IFERROR(__xludf.DUMMYFUNCTION("""COMPUTED_VALUE"""),"Normal")</f>
        <v>Normal</v>
      </c>
      <c r="H524" s="203" t="str">
        <f>IFERROR(__xludf.DUMMYFUNCTION("""COMPUTED_VALUE"""),"Normal")</f>
        <v>Normal</v>
      </c>
      <c r="I524" s="199">
        <f>IFERROR(__xludf.DUMMYFUNCTION("""COMPUTED_VALUE"""),6914.0)</f>
        <v>6914</v>
      </c>
      <c r="J524" s="199">
        <f>IFERROR(__xludf.DUMMYFUNCTION("""COMPUTED_VALUE"""),3112.0)</f>
        <v>3112</v>
      </c>
      <c r="K524" s="199">
        <f>IFERROR(__xludf.DUMMYFUNCTION("""COMPUTED_VALUE"""),616.0)</f>
        <v>616</v>
      </c>
      <c r="L524" s="199">
        <f>IFERROR(__xludf.DUMMYFUNCTION("""COMPUTED_VALUE"""),4.0)</f>
        <v>4</v>
      </c>
      <c r="M524" s="199">
        <f>IFERROR(__xludf.DUMMYFUNCTION("""COMPUTED_VALUE"""),45.4)</f>
        <v>45.4</v>
      </c>
      <c r="N524" s="199"/>
      <c r="O524" s="199">
        <f>IFERROR(__xludf.DUMMYFUNCTION("""COMPUTED_VALUE"""),1.0)</f>
        <v>1</v>
      </c>
      <c r="P524" s="199">
        <f>IFERROR(__xludf.DUMMYFUNCTION("""COMPUTED_VALUE"""),0.003)</f>
        <v>0.003</v>
      </c>
      <c r="Q524" s="199">
        <f>IFERROR(__xludf.DUMMYFUNCTION("""COMPUTED_VALUE"""),0.0)</f>
        <v>0</v>
      </c>
      <c r="R524" s="199">
        <f>IFERROR(__xludf.DUMMYFUNCTION("""COMPUTED_VALUE"""),0.0)</f>
        <v>0</v>
      </c>
      <c r="S524" s="199">
        <f>IFERROR(__xludf.DUMMYFUNCTION("""COMPUTED_VALUE"""),0.0)</f>
        <v>0</v>
      </c>
      <c r="T524" s="199">
        <f>IFERROR(__xludf.DUMMYFUNCTION("""COMPUTED_VALUE"""),0.0)</f>
        <v>0</v>
      </c>
      <c r="U524" s="199">
        <f>IFERROR(__xludf.DUMMYFUNCTION("""COMPUTED_VALUE"""),0.0)</f>
        <v>0</v>
      </c>
      <c r="V524" s="199">
        <f>IFERROR(__xludf.DUMMYFUNCTION("""COMPUTED_VALUE"""),0.0)</f>
        <v>0</v>
      </c>
      <c r="W524" s="199">
        <f>IFERROR(__xludf.DUMMYFUNCTION("""COMPUTED_VALUE"""),0.0)</f>
        <v>0</v>
      </c>
      <c r="X524" s="199">
        <f>IFERROR(__xludf.DUMMYFUNCTION("""COMPUTED_VALUE"""),0.0)</f>
        <v>0</v>
      </c>
      <c r="Y524" s="199">
        <f>IFERROR(__xludf.DUMMYFUNCTION("""COMPUTED_VALUE"""),0.0)</f>
        <v>0</v>
      </c>
      <c r="Z524" s="199">
        <f>IFERROR(__xludf.DUMMYFUNCTION("""COMPUTED_VALUE"""),0.0)</f>
        <v>0</v>
      </c>
      <c r="AA524" s="199">
        <f>IFERROR(__xludf.DUMMYFUNCTION("""COMPUTED_VALUE"""),0.0)</f>
        <v>0</v>
      </c>
      <c r="AB524" s="199">
        <f>IFERROR(__xludf.DUMMYFUNCTION("""COMPUTED_VALUE"""),0.0)</f>
        <v>0</v>
      </c>
      <c r="AC524" s="199">
        <f>IFERROR(__xludf.DUMMYFUNCTION("""COMPUTED_VALUE"""),2.0)</f>
        <v>2</v>
      </c>
      <c r="AD524" s="199">
        <f>IFERROR(__xludf.DUMMYFUNCTION("""COMPUTED_VALUE"""),0.0)</f>
        <v>0</v>
      </c>
      <c r="AE524" s="199">
        <f>IFERROR(__xludf.DUMMYFUNCTION("""COMPUTED_VALUE"""),74.0)</f>
        <v>74</v>
      </c>
      <c r="AF524" s="199">
        <f>IFERROR(__xludf.DUMMYFUNCTION("""COMPUTED_VALUE"""),0.0)</f>
        <v>0</v>
      </c>
      <c r="AG524" s="199">
        <f>IFERROR(__xludf.DUMMYFUNCTION("""COMPUTED_VALUE"""),418.0)</f>
        <v>418</v>
      </c>
      <c r="AH524" s="199">
        <f>IFERROR(__xludf.DUMMYFUNCTION("""COMPUTED_VALUE"""),482.0)</f>
        <v>482</v>
      </c>
      <c r="AI524" s="200" t="str">
        <f>IFERROR(__xludf.DUMMYFUNCTION("""COMPUTED_VALUE"""),"Normal - No Action Required")</f>
        <v>Normal - No Action Required</v>
      </c>
      <c r="AJ524" s="200" t="str">
        <f>IFERROR(__xludf.DUMMYFUNCTION("""COMPUTED_VALUE"""),"Continue routine monitoring and sampling schedule")</f>
        <v>Continue routine monitoring and sampling schedule</v>
      </c>
      <c r="AK524" s="204"/>
      <c r="AL524" s="204"/>
      <c r="AM524" s="204"/>
    </row>
    <row r="525" hidden="1">
      <c r="A525" s="199" t="str">
        <f>IFERROR(__xludf.DUMMYFUNCTION("""COMPUTED_VALUE"""),"531.LQ145")</f>
        <v>531.LQ145</v>
      </c>
      <c r="B525" s="200" t="str">
        <f>IFERROR(__xludf.DUMMYFUNCTION("""COMPUTED_VALUE"""),"Cement Mill #1 Gear box")</f>
        <v>Cement Mill #1 Gear box</v>
      </c>
      <c r="C525" s="199">
        <f>IFERROR(__xludf.DUMMYFUNCTION("""COMPUTED_VALUE"""),2.5330281214E10)</f>
        <v>25330281214</v>
      </c>
      <c r="D525" s="201">
        <f>IFERROR(__xludf.DUMMYFUNCTION("""COMPUTED_VALUE"""),45977.0)</f>
        <v>45977</v>
      </c>
      <c r="E525" s="202" t="str">
        <f>IFERROR(__xludf.DUMMYFUNCTION("""COMPUTED_VALUE"""),"Alert")</f>
        <v>Alert</v>
      </c>
      <c r="F525" s="202" t="str">
        <f>IFERROR(__xludf.DUMMYFUNCTION("""COMPUTED_VALUE"""),"Alert")</f>
        <v>Alert</v>
      </c>
      <c r="G525" s="203" t="str">
        <f>IFERROR(__xludf.DUMMYFUNCTION("""COMPUTED_VALUE"""),"Alert")</f>
        <v>Alert</v>
      </c>
      <c r="H525" s="203" t="str">
        <f>IFERROR(__xludf.DUMMYFUNCTION("""COMPUTED_VALUE"""),"Normal")</f>
        <v>Normal</v>
      </c>
      <c r="I525" s="37"/>
      <c r="J525" s="37"/>
      <c r="K525" s="37"/>
      <c r="L525" s="199">
        <f>IFERROR(__xludf.DUMMYFUNCTION("""COMPUTED_VALUE"""),58.0)</f>
        <v>58</v>
      </c>
      <c r="M525" s="199">
        <f>IFERROR(__xludf.DUMMYFUNCTION("""COMPUTED_VALUE"""),422.8)</f>
        <v>422.8</v>
      </c>
      <c r="N525" s="199"/>
      <c r="O525" s="199">
        <f>IFERROR(__xludf.DUMMYFUNCTION("""COMPUTED_VALUE"""),1.0)</f>
        <v>1</v>
      </c>
      <c r="P525" s="199">
        <f>IFERROR(__xludf.DUMMYFUNCTION("""COMPUTED_VALUE"""),0.2)</f>
        <v>0.2</v>
      </c>
      <c r="Q525" s="199">
        <f>IFERROR(__xludf.DUMMYFUNCTION("""COMPUTED_VALUE"""),0.0)</f>
        <v>0</v>
      </c>
      <c r="R525" s="199">
        <f>IFERROR(__xludf.DUMMYFUNCTION("""COMPUTED_VALUE"""),29.0)</f>
        <v>29</v>
      </c>
      <c r="S525" s="199">
        <f>IFERROR(__xludf.DUMMYFUNCTION("""COMPUTED_VALUE"""),0.0)</f>
        <v>0</v>
      </c>
      <c r="T525" s="199">
        <f>IFERROR(__xludf.DUMMYFUNCTION("""COMPUTED_VALUE"""),0.0)</f>
        <v>0</v>
      </c>
      <c r="U525" s="199">
        <f>IFERROR(__xludf.DUMMYFUNCTION("""COMPUTED_VALUE"""),72.0)</f>
        <v>72</v>
      </c>
      <c r="V525" s="199">
        <f>IFERROR(__xludf.DUMMYFUNCTION("""COMPUTED_VALUE"""),3.0)</f>
        <v>3</v>
      </c>
      <c r="W525" s="199">
        <f>IFERROR(__xludf.DUMMYFUNCTION("""COMPUTED_VALUE"""),0.0)</f>
        <v>0</v>
      </c>
      <c r="X525" s="199">
        <f>IFERROR(__xludf.DUMMYFUNCTION("""COMPUTED_VALUE"""),0.0)</f>
        <v>0</v>
      </c>
      <c r="Y525" s="199">
        <f>IFERROR(__xludf.DUMMYFUNCTION("""COMPUTED_VALUE"""),0.0)</f>
        <v>0</v>
      </c>
      <c r="Z525" s="199">
        <f>IFERROR(__xludf.DUMMYFUNCTION("""COMPUTED_VALUE"""),5.0)</f>
        <v>5</v>
      </c>
      <c r="AA525" s="199">
        <f>IFERROR(__xludf.DUMMYFUNCTION("""COMPUTED_VALUE"""),0.0)</f>
        <v>0</v>
      </c>
      <c r="AB525" s="199">
        <f>IFERROR(__xludf.DUMMYFUNCTION("""COMPUTED_VALUE"""),266.0)</f>
        <v>266</v>
      </c>
      <c r="AC525" s="199">
        <f>IFERROR(__xludf.DUMMYFUNCTION("""COMPUTED_VALUE"""),11.0)</f>
        <v>11</v>
      </c>
      <c r="AD525" s="199">
        <f>IFERROR(__xludf.DUMMYFUNCTION("""COMPUTED_VALUE"""),0.0)</f>
        <v>0</v>
      </c>
      <c r="AE525" s="199">
        <f>IFERROR(__xludf.DUMMYFUNCTION("""COMPUTED_VALUE"""),186.0)</f>
        <v>186</v>
      </c>
      <c r="AF525" s="199">
        <f>IFERROR(__xludf.DUMMYFUNCTION("""COMPUTED_VALUE"""),6.0)</f>
        <v>6</v>
      </c>
      <c r="AG525" s="199">
        <f>IFERROR(__xludf.DUMMYFUNCTION("""COMPUTED_VALUE"""),433.0)</f>
        <v>433</v>
      </c>
      <c r="AH525" s="199">
        <f>IFERROR(__xludf.DUMMYFUNCTION("""COMPUTED_VALUE"""),7.0)</f>
        <v>7</v>
      </c>
      <c r="AI525" s="200" t="str">
        <f>IFERROR(__xludf.DUMMYFUNCTION("""COMPUTED_VALUE"""),"Wear Metal Alert | Contamination Alert | Water Ingress")</f>
        <v>Wear Metal Alert | Contamination Alert | Water Ingress</v>
      </c>
      <c r="AJ525" s="200" t="str">
        <f>IFERROR(__xludf.DUMMYFUNCTION("""COMPUTED_VALUE"""),"URGENT: Inspect equipment immediately for wear/damage; Water detected - inspect seals and breathers; Very high silicon - check/replace air filters, inspect seals")</f>
        <v>URGENT: Inspect equipment immediately for wear/damage; Water detected - inspect seals and breathers; Very high silicon - check/replace air filters, inspect seals</v>
      </c>
      <c r="AK525" s="204"/>
      <c r="AL525" s="204"/>
      <c r="AM525" s="204"/>
    </row>
    <row r="526" hidden="1">
      <c r="A526" s="199" t="str">
        <f>IFERROR(__xludf.DUMMYFUNCTION("""COMPUTED_VALUE"""),"531.MD302")</f>
        <v>531.MD302</v>
      </c>
      <c r="B526" s="200" t="str">
        <f>IFERROR(__xludf.DUMMYFUNCTION("""COMPUTED_VALUE"""),"Cement Mill #1 Separator GB")</f>
        <v>Cement Mill #1 Separator GB</v>
      </c>
      <c r="C526" s="199">
        <f>IFERROR(__xludf.DUMMYFUNCTION("""COMPUTED_VALUE"""),2.5330261226E10)</f>
        <v>25330261226</v>
      </c>
      <c r="D526" s="201">
        <f>IFERROR(__xludf.DUMMYFUNCTION("""COMPUTED_VALUE"""),45977.0)</f>
        <v>45977</v>
      </c>
      <c r="E526" s="202" t="str">
        <f>IFERROR(__xludf.DUMMYFUNCTION("""COMPUTED_VALUE"""),"Caution")</f>
        <v>Caution</v>
      </c>
      <c r="F526" s="202" t="str">
        <f>IFERROR(__xludf.DUMMYFUNCTION("""COMPUTED_VALUE"""),"Caution")</f>
        <v>Caution</v>
      </c>
      <c r="G526" s="203" t="str">
        <f>IFERROR(__xludf.DUMMYFUNCTION("""COMPUTED_VALUE"""),"Normal")</f>
        <v>Normal</v>
      </c>
      <c r="H526" s="203" t="str">
        <f>IFERROR(__xludf.DUMMYFUNCTION("""COMPUTED_VALUE"""),"Normal")</f>
        <v>Normal</v>
      </c>
      <c r="I526" s="37"/>
      <c r="J526" s="37"/>
      <c r="K526" s="37"/>
      <c r="L526" s="199">
        <f>IFERROR(__xludf.DUMMYFUNCTION("""COMPUTED_VALUE"""),36.0)</f>
        <v>36</v>
      </c>
      <c r="M526" s="199">
        <f>IFERROR(__xludf.DUMMYFUNCTION("""COMPUTED_VALUE"""),267.9)</f>
        <v>267.9</v>
      </c>
      <c r="N526" s="199"/>
      <c r="O526" s="199"/>
      <c r="P526" s="199">
        <f>IFERROR(__xludf.DUMMYFUNCTION("""COMPUTED_VALUE"""),0.05)</f>
        <v>0.05</v>
      </c>
      <c r="Q526" s="199">
        <f>IFERROR(__xludf.DUMMYFUNCTION("""COMPUTED_VALUE"""),0.0)</f>
        <v>0</v>
      </c>
      <c r="R526" s="199">
        <f>IFERROR(__xludf.DUMMYFUNCTION("""COMPUTED_VALUE"""),0.0)</f>
        <v>0</v>
      </c>
      <c r="S526" s="199">
        <f>IFERROR(__xludf.DUMMYFUNCTION("""COMPUTED_VALUE"""),0.0)</f>
        <v>0</v>
      </c>
      <c r="T526" s="199">
        <f>IFERROR(__xludf.DUMMYFUNCTION("""COMPUTED_VALUE"""),0.0)</f>
        <v>0</v>
      </c>
      <c r="U526" s="199">
        <f>IFERROR(__xludf.DUMMYFUNCTION("""COMPUTED_VALUE"""),56.0)</f>
        <v>56</v>
      </c>
      <c r="V526" s="199">
        <f>IFERROR(__xludf.DUMMYFUNCTION("""COMPUTED_VALUE"""),0.0)</f>
        <v>0</v>
      </c>
      <c r="W526" s="199">
        <f>IFERROR(__xludf.DUMMYFUNCTION("""COMPUTED_VALUE"""),0.0)</f>
        <v>0</v>
      </c>
      <c r="X526" s="199">
        <f>IFERROR(__xludf.DUMMYFUNCTION("""COMPUTED_VALUE"""),0.0)</f>
        <v>0</v>
      </c>
      <c r="Y526" s="199">
        <f>IFERROR(__xludf.DUMMYFUNCTION("""COMPUTED_VALUE"""),0.0)</f>
        <v>0</v>
      </c>
      <c r="Z526" s="199">
        <f>IFERROR(__xludf.DUMMYFUNCTION("""COMPUTED_VALUE"""),0.0)</f>
        <v>0</v>
      </c>
      <c r="AA526" s="199">
        <f>IFERROR(__xludf.DUMMYFUNCTION("""COMPUTED_VALUE"""),0.0)</f>
        <v>0</v>
      </c>
      <c r="AB526" s="199">
        <f>IFERROR(__xludf.DUMMYFUNCTION("""COMPUTED_VALUE"""),25.0)</f>
        <v>25</v>
      </c>
      <c r="AC526" s="199">
        <f>IFERROR(__xludf.DUMMYFUNCTION("""COMPUTED_VALUE"""),12.0)</f>
        <v>12</v>
      </c>
      <c r="AD526" s="199">
        <f>IFERROR(__xludf.DUMMYFUNCTION("""COMPUTED_VALUE"""),0.0)</f>
        <v>0</v>
      </c>
      <c r="AE526" s="199">
        <f>IFERROR(__xludf.DUMMYFUNCTION("""COMPUTED_VALUE"""),109.0)</f>
        <v>109</v>
      </c>
      <c r="AF526" s="199">
        <f>IFERROR(__xludf.DUMMYFUNCTION("""COMPUTED_VALUE"""),2.0)</f>
        <v>2</v>
      </c>
      <c r="AG526" s="199">
        <f>IFERROR(__xludf.DUMMYFUNCTION("""COMPUTED_VALUE"""),680.0)</f>
        <v>680</v>
      </c>
      <c r="AH526" s="199">
        <f>IFERROR(__xludf.DUMMYFUNCTION("""COMPUTED_VALUE"""),172.0)</f>
        <v>172</v>
      </c>
      <c r="AI526" s="200" t="str">
        <f>IFERROR(__xludf.DUMMYFUNCTION("""COMPUTED_VALUE"""),"Wear Metal Caution | Contamination Caution")</f>
        <v>Wear Metal Caution | Contamination Caution</v>
      </c>
      <c r="AJ526" s="200" t="str">
        <f>IFERROR(__xludf.DUMMYFUNCTION("""COMPUTED_VALUE"""),"Elevated wear metals - monitor trend; inspect at next opportunity; Silicon elevated - check air filtration and seals")</f>
        <v>Elevated wear metals - monitor trend; inspect at next opportunity; Silicon elevated - check air filtration and seals</v>
      </c>
      <c r="AK526" s="204"/>
      <c r="AL526" s="204"/>
      <c r="AM526" s="204"/>
    </row>
    <row r="527" hidden="1">
      <c r="A527" s="199" t="str">
        <f>IFERROR(__xludf.DUMMYFUNCTION("""COMPUTED_VALUE"""),"532.LQ145")</f>
        <v>532.LQ145</v>
      </c>
      <c r="B527" s="200" t="str">
        <f>IFERROR(__xludf.DUMMYFUNCTION("""COMPUTED_VALUE"""),"Cement Mill #2 Gear box")</f>
        <v>Cement Mill #2 Gear box</v>
      </c>
      <c r="C527" s="199">
        <f>IFERROR(__xludf.DUMMYFUNCTION("""COMPUTED_VALUE"""),2.533028121E10)</f>
        <v>25330281210</v>
      </c>
      <c r="D527" s="201">
        <f>IFERROR(__xludf.DUMMYFUNCTION("""COMPUTED_VALUE"""),45977.0)</f>
        <v>45977</v>
      </c>
      <c r="E527" s="202" t="str">
        <f>IFERROR(__xludf.DUMMYFUNCTION("""COMPUTED_VALUE"""),"Alert")</f>
        <v>Alert</v>
      </c>
      <c r="F527" s="202" t="str">
        <f>IFERROR(__xludf.DUMMYFUNCTION("""COMPUTED_VALUE"""),"Alert")</f>
        <v>Alert</v>
      </c>
      <c r="G527" s="203" t="str">
        <f>IFERROR(__xludf.DUMMYFUNCTION("""COMPUTED_VALUE"""),"Alert")</f>
        <v>Alert</v>
      </c>
      <c r="H527" s="203" t="str">
        <f>IFERROR(__xludf.DUMMYFUNCTION("""COMPUTED_VALUE"""),"Normal")</f>
        <v>Normal</v>
      </c>
      <c r="I527" s="199"/>
      <c r="J527" s="199"/>
      <c r="K527" s="199"/>
      <c r="L527" s="199">
        <f>IFERROR(__xludf.DUMMYFUNCTION("""COMPUTED_VALUE"""),181.0)</f>
        <v>181</v>
      </c>
      <c r="M527" s="199">
        <f>IFERROR(__xludf.DUMMYFUNCTION("""COMPUTED_VALUE"""),452.6)</f>
        <v>452.6</v>
      </c>
      <c r="N527" s="199"/>
      <c r="O527" s="199">
        <f>IFERROR(__xludf.DUMMYFUNCTION("""COMPUTED_VALUE"""),4.0)</f>
        <v>4</v>
      </c>
      <c r="P527" s="199">
        <f>IFERROR(__xludf.DUMMYFUNCTION("""COMPUTED_VALUE"""),0.2)</f>
        <v>0.2</v>
      </c>
      <c r="Q527" s="199">
        <f>IFERROR(__xludf.DUMMYFUNCTION("""COMPUTED_VALUE"""),0.0)</f>
        <v>0</v>
      </c>
      <c r="R527" s="199">
        <f>IFERROR(__xludf.DUMMYFUNCTION("""COMPUTED_VALUE"""),110.0)</f>
        <v>110</v>
      </c>
      <c r="S527" s="199">
        <f>IFERROR(__xludf.DUMMYFUNCTION("""COMPUTED_VALUE"""),0.0)</f>
        <v>0</v>
      </c>
      <c r="T527" s="199">
        <f>IFERROR(__xludf.DUMMYFUNCTION("""COMPUTED_VALUE"""),3.0)</f>
        <v>3</v>
      </c>
      <c r="U527" s="199">
        <f>IFERROR(__xludf.DUMMYFUNCTION("""COMPUTED_VALUE"""),172.0)</f>
        <v>172</v>
      </c>
      <c r="V527" s="199">
        <f>IFERROR(__xludf.DUMMYFUNCTION("""COMPUTED_VALUE"""),2.0)</f>
        <v>2</v>
      </c>
      <c r="W527" s="199">
        <f>IFERROR(__xludf.DUMMYFUNCTION("""COMPUTED_VALUE"""),0.0)</f>
        <v>0</v>
      </c>
      <c r="X527" s="199">
        <f>IFERROR(__xludf.DUMMYFUNCTION("""COMPUTED_VALUE"""),0.0)</f>
        <v>0</v>
      </c>
      <c r="Y527" s="199">
        <f>IFERROR(__xludf.DUMMYFUNCTION("""COMPUTED_VALUE"""),0.0)</f>
        <v>0</v>
      </c>
      <c r="Z527" s="199">
        <f>IFERROR(__xludf.DUMMYFUNCTION("""COMPUTED_VALUE"""),5.0)</f>
        <v>5</v>
      </c>
      <c r="AA527" s="199">
        <f>IFERROR(__xludf.DUMMYFUNCTION("""COMPUTED_VALUE"""),0.0)</f>
        <v>0</v>
      </c>
      <c r="AB527" s="199">
        <f>IFERROR(__xludf.DUMMYFUNCTION("""COMPUTED_VALUE"""),640.0)</f>
        <v>640</v>
      </c>
      <c r="AC527" s="199">
        <f>IFERROR(__xludf.DUMMYFUNCTION("""COMPUTED_VALUE"""),73.0)</f>
        <v>73</v>
      </c>
      <c r="AD527" s="199">
        <f>IFERROR(__xludf.DUMMYFUNCTION("""COMPUTED_VALUE"""),0.0)</f>
        <v>0</v>
      </c>
      <c r="AE527" s="199">
        <f>IFERROR(__xludf.DUMMYFUNCTION("""COMPUTED_VALUE"""),577.0)</f>
        <v>577</v>
      </c>
      <c r="AF527" s="199">
        <f>IFERROR(__xludf.DUMMYFUNCTION("""COMPUTED_VALUE"""),6.0)</f>
        <v>6</v>
      </c>
      <c r="AG527" s="199">
        <f>IFERROR(__xludf.DUMMYFUNCTION("""COMPUTED_VALUE"""),437.0)</f>
        <v>437</v>
      </c>
      <c r="AH527" s="199">
        <f>IFERROR(__xludf.DUMMYFUNCTION("""COMPUTED_VALUE"""),8.0)</f>
        <v>8</v>
      </c>
      <c r="AI527" s="200" t="str">
        <f>IFERROR(__xludf.DUMMYFUNCTION("""COMPUTED_VALUE"""),"Wear Metal Alert | Contamination Alert | Water Ingress | High Particle Count")</f>
        <v>Wear Metal Alert | Contamination Alert | Water Ingress | High Particle Count</v>
      </c>
      <c r="AJ527" s="200" t="str">
        <f>IFERROR(__xludf.DUMMYFUNCTION("""COMPUTED_VALUE"""),"URGENT: Inspect equipment immediately for wear/damage; High wear metals - inspect bearing/gear surfaces; Water detected - inspect seals and breathers; Very high silicon - check/replace air filters, inspect seals; Critical particle count - flush system and"&amp;" replace filters")</f>
        <v>URGENT: Inspect equipment immediately for wear/damage; High wear metals - inspect bearing/gear surfaces; Water detected - inspect seals and breathers; Very high silicon - check/replace air filters, inspect seals; Critical particle count - flush system and replace filters</v>
      </c>
      <c r="AK527" s="204"/>
      <c r="AL527" s="204"/>
      <c r="AM527" s="204"/>
    </row>
    <row r="528" hidden="1">
      <c r="A528" s="199" t="str">
        <f>IFERROR(__xludf.DUMMYFUNCTION("""COMPUTED_VALUE"""),"533.LQ145")</f>
        <v>533.LQ145</v>
      </c>
      <c r="B528" s="200" t="str">
        <f>IFERROR(__xludf.DUMMYFUNCTION("""COMPUTED_VALUE"""),"Cement Mill #3 Gear box")</f>
        <v>Cement Mill #3 Gear box</v>
      </c>
      <c r="C528" s="199">
        <f>IFERROR(__xludf.DUMMYFUNCTION("""COMPUTED_VALUE"""),2.5330281204E10)</f>
        <v>25330281204</v>
      </c>
      <c r="D528" s="201">
        <f>IFERROR(__xludf.DUMMYFUNCTION("""COMPUTED_VALUE"""),45977.0)</f>
        <v>45977</v>
      </c>
      <c r="E528" s="202" t="str">
        <f>IFERROR(__xludf.DUMMYFUNCTION("""COMPUTED_VALUE"""),"Alert")</f>
        <v>Alert</v>
      </c>
      <c r="F528" s="202" t="str">
        <f>IFERROR(__xludf.DUMMYFUNCTION("""COMPUTED_VALUE"""),"Alert")</f>
        <v>Alert</v>
      </c>
      <c r="G528" s="203" t="str">
        <f>IFERROR(__xludf.DUMMYFUNCTION("""COMPUTED_VALUE"""),"Alert")</f>
        <v>Alert</v>
      </c>
      <c r="H528" s="203" t="str">
        <f>IFERROR(__xludf.DUMMYFUNCTION("""COMPUTED_VALUE"""),"Normal")</f>
        <v>Normal</v>
      </c>
      <c r="I528" s="37"/>
      <c r="J528" s="37"/>
      <c r="K528" s="37"/>
      <c r="L528" s="199">
        <f>IFERROR(__xludf.DUMMYFUNCTION("""COMPUTED_VALUE"""),246.0)</f>
        <v>246</v>
      </c>
      <c r="M528" s="199">
        <f>IFERROR(__xludf.DUMMYFUNCTION("""COMPUTED_VALUE"""),454.5)</f>
        <v>454.5</v>
      </c>
      <c r="N528" s="199"/>
      <c r="O528" s="199">
        <f>IFERROR(__xludf.DUMMYFUNCTION("""COMPUTED_VALUE"""),3.0)</f>
        <v>3</v>
      </c>
      <c r="P528" s="199">
        <f>IFERROR(__xludf.DUMMYFUNCTION("""COMPUTED_VALUE"""),0.2)</f>
        <v>0.2</v>
      </c>
      <c r="Q528" s="199">
        <f>IFERROR(__xludf.DUMMYFUNCTION("""COMPUTED_VALUE"""),0.0)</f>
        <v>0</v>
      </c>
      <c r="R528" s="199">
        <f>IFERROR(__xludf.DUMMYFUNCTION("""COMPUTED_VALUE"""),289.0)</f>
        <v>289</v>
      </c>
      <c r="S528" s="199">
        <f>IFERROR(__xludf.DUMMYFUNCTION("""COMPUTED_VALUE"""),0.0)</f>
        <v>0</v>
      </c>
      <c r="T528" s="199">
        <f>IFERROR(__xludf.DUMMYFUNCTION("""COMPUTED_VALUE"""),21.0)</f>
        <v>21</v>
      </c>
      <c r="U528" s="199">
        <f>IFERROR(__xludf.DUMMYFUNCTION("""COMPUTED_VALUE"""),266.0)</f>
        <v>266</v>
      </c>
      <c r="V528" s="199">
        <f>IFERROR(__xludf.DUMMYFUNCTION("""COMPUTED_VALUE"""),5.0)</f>
        <v>5</v>
      </c>
      <c r="W528" s="199">
        <f>IFERROR(__xludf.DUMMYFUNCTION("""COMPUTED_VALUE"""),0.0)</f>
        <v>0</v>
      </c>
      <c r="X528" s="199">
        <f>IFERROR(__xludf.DUMMYFUNCTION("""COMPUTED_VALUE"""),0.0)</f>
        <v>0</v>
      </c>
      <c r="Y528" s="199">
        <f>IFERROR(__xludf.DUMMYFUNCTION("""COMPUTED_VALUE"""),0.0)</f>
        <v>0</v>
      </c>
      <c r="Z528" s="199">
        <f>IFERROR(__xludf.DUMMYFUNCTION("""COMPUTED_VALUE"""),16.0)</f>
        <v>16</v>
      </c>
      <c r="AA528" s="199">
        <f>IFERROR(__xludf.DUMMYFUNCTION("""COMPUTED_VALUE"""),2.0)</f>
        <v>2</v>
      </c>
      <c r="AB528" s="199">
        <f>IFERROR(__xludf.DUMMYFUNCTION("""COMPUTED_VALUE"""),1367.0)</f>
        <v>1367</v>
      </c>
      <c r="AC528" s="199">
        <f>IFERROR(__xludf.DUMMYFUNCTION("""COMPUTED_VALUE"""),96.0)</f>
        <v>96</v>
      </c>
      <c r="AD528" s="199">
        <f>IFERROR(__xludf.DUMMYFUNCTION("""COMPUTED_VALUE"""),0.0)</f>
        <v>0</v>
      </c>
      <c r="AE528" s="199">
        <f>IFERROR(__xludf.DUMMYFUNCTION("""COMPUTED_VALUE"""),1394.0)</f>
        <v>1394</v>
      </c>
      <c r="AF528" s="199">
        <f>IFERROR(__xludf.DUMMYFUNCTION("""COMPUTED_VALUE"""),31.0)</f>
        <v>31</v>
      </c>
      <c r="AG528" s="199">
        <f>IFERROR(__xludf.DUMMYFUNCTION("""COMPUTED_VALUE"""),439.0)</f>
        <v>439</v>
      </c>
      <c r="AH528" s="199">
        <f>IFERROR(__xludf.DUMMYFUNCTION("""COMPUTED_VALUE"""),7.0)</f>
        <v>7</v>
      </c>
      <c r="AI528" s="200" t="str">
        <f>IFERROR(__xludf.DUMMYFUNCTION("""COMPUTED_VALUE"""),"Wear Metal Alert | Contamination Alert | Water Ingress | High Particle Count")</f>
        <v>Wear Metal Alert | Contamination Alert | Water Ingress | High Particle Count</v>
      </c>
      <c r="AJ528" s="200" t="str">
        <f>IFERROR(__xludf.DUMMYFUNCTION("""COMPUTED_VALUE"""),"URGENT: Inspect equipment immediately for wear/damage; High wear metals - inspect bearing/gear surfaces; Water detected - inspect seals and breathers; Very high silicon - check/replace air filters, inspect seals; Critical particle count - flush system and"&amp;" replace filters")</f>
        <v>URGENT: Inspect equipment immediately for wear/damage; High wear metals - inspect bearing/gear surfaces; Water detected - inspect seals and breathers; Very high silicon - check/replace air filters, inspect seals; Critical particle count - flush system and replace filters</v>
      </c>
      <c r="AK528" s="204"/>
      <c r="AL528" s="204"/>
      <c r="AM528" s="204"/>
    </row>
    <row r="529" hidden="1">
      <c r="A529" s="199" t="str">
        <f>IFERROR(__xludf.DUMMYFUNCTION("""COMPUTED_VALUE"""),"534.LQ145 GearBox")</f>
        <v>534.LQ145 GearBox</v>
      </c>
      <c r="B529" s="200" t="str">
        <f>IFERROR(__xludf.DUMMYFUNCTION("""COMPUTED_VALUE"""),"Cement Mill #4 Gear box")</f>
        <v>Cement Mill #4 Gear box</v>
      </c>
      <c r="C529" s="199">
        <f>IFERROR(__xludf.DUMMYFUNCTION("""COMPUTED_VALUE"""),2.5330281213E10)</f>
        <v>25330281213</v>
      </c>
      <c r="D529" s="201">
        <f>IFERROR(__xludf.DUMMYFUNCTION("""COMPUTED_VALUE"""),45977.0)</f>
        <v>45977</v>
      </c>
      <c r="E529" s="202" t="str">
        <f>IFERROR(__xludf.DUMMYFUNCTION("""COMPUTED_VALUE"""),"Alert")</f>
        <v>Alert</v>
      </c>
      <c r="F529" s="202" t="str">
        <f>IFERROR(__xludf.DUMMYFUNCTION("""COMPUTED_VALUE"""),"Alert")</f>
        <v>Alert</v>
      </c>
      <c r="G529" s="203" t="str">
        <f>IFERROR(__xludf.DUMMYFUNCTION("""COMPUTED_VALUE"""),"Alert")</f>
        <v>Alert</v>
      </c>
      <c r="H529" s="203" t="str">
        <f>IFERROR(__xludf.DUMMYFUNCTION("""COMPUTED_VALUE"""),"Normal")</f>
        <v>Normal</v>
      </c>
      <c r="I529" s="199"/>
      <c r="J529" s="199"/>
      <c r="K529" s="199"/>
      <c r="L529" s="199">
        <f>IFERROR(__xludf.DUMMYFUNCTION("""COMPUTED_VALUE"""),77.0)</f>
        <v>77</v>
      </c>
      <c r="M529" s="199">
        <f>IFERROR(__xludf.DUMMYFUNCTION("""COMPUTED_VALUE"""),416.7)</f>
        <v>416.7</v>
      </c>
      <c r="N529" s="199"/>
      <c r="O529" s="199">
        <f>IFERROR(__xludf.DUMMYFUNCTION("""COMPUTED_VALUE"""),1.0)</f>
        <v>1</v>
      </c>
      <c r="P529" s="199">
        <f>IFERROR(__xludf.DUMMYFUNCTION("""COMPUTED_VALUE"""),0.15)</f>
        <v>0.15</v>
      </c>
      <c r="Q529" s="199">
        <f>IFERROR(__xludf.DUMMYFUNCTION("""COMPUTED_VALUE"""),0.0)</f>
        <v>0</v>
      </c>
      <c r="R529" s="199">
        <f>IFERROR(__xludf.DUMMYFUNCTION("""COMPUTED_VALUE"""),37.0)</f>
        <v>37</v>
      </c>
      <c r="S529" s="199">
        <f>IFERROR(__xludf.DUMMYFUNCTION("""COMPUTED_VALUE"""),0.0)</f>
        <v>0</v>
      </c>
      <c r="T529" s="199">
        <f>IFERROR(__xludf.DUMMYFUNCTION("""COMPUTED_VALUE"""),0.0)</f>
        <v>0</v>
      </c>
      <c r="U529" s="199">
        <f>IFERROR(__xludf.DUMMYFUNCTION("""COMPUTED_VALUE"""),135.0)</f>
        <v>135</v>
      </c>
      <c r="V529" s="199">
        <f>IFERROR(__xludf.DUMMYFUNCTION("""COMPUTED_VALUE"""),3.0)</f>
        <v>3</v>
      </c>
      <c r="W529" s="199">
        <f>IFERROR(__xludf.DUMMYFUNCTION("""COMPUTED_VALUE"""),0.0)</f>
        <v>0</v>
      </c>
      <c r="X529" s="199">
        <f>IFERROR(__xludf.DUMMYFUNCTION("""COMPUTED_VALUE"""),0.0)</f>
        <v>0</v>
      </c>
      <c r="Y529" s="199">
        <f>IFERROR(__xludf.DUMMYFUNCTION("""COMPUTED_VALUE"""),0.0)</f>
        <v>0</v>
      </c>
      <c r="Z529" s="199">
        <f>IFERROR(__xludf.DUMMYFUNCTION("""COMPUTED_VALUE"""),5.0)</f>
        <v>5</v>
      </c>
      <c r="AA529" s="199">
        <f>IFERROR(__xludf.DUMMYFUNCTION("""COMPUTED_VALUE"""),10.0)</f>
        <v>10</v>
      </c>
      <c r="AB529" s="199">
        <f>IFERROR(__xludf.DUMMYFUNCTION("""COMPUTED_VALUE"""),263.0)</f>
        <v>263</v>
      </c>
      <c r="AC529" s="199">
        <f>IFERROR(__xludf.DUMMYFUNCTION("""COMPUTED_VALUE"""),26.0)</f>
        <v>26</v>
      </c>
      <c r="AD529" s="199">
        <f>IFERROR(__xludf.DUMMYFUNCTION("""COMPUTED_VALUE"""),0.0)</f>
        <v>0</v>
      </c>
      <c r="AE529" s="199">
        <f>IFERROR(__xludf.DUMMYFUNCTION("""COMPUTED_VALUE"""),223.0)</f>
        <v>223</v>
      </c>
      <c r="AF529" s="199">
        <f>IFERROR(__xludf.DUMMYFUNCTION("""COMPUTED_VALUE"""),6.0)</f>
        <v>6</v>
      </c>
      <c r="AG529" s="199">
        <f>IFERROR(__xludf.DUMMYFUNCTION("""COMPUTED_VALUE"""),474.0)</f>
        <v>474</v>
      </c>
      <c r="AH529" s="199">
        <f>IFERROR(__xludf.DUMMYFUNCTION("""COMPUTED_VALUE"""),12.0)</f>
        <v>12</v>
      </c>
      <c r="AI529" s="200" t="str">
        <f>IFERROR(__xludf.DUMMYFUNCTION("""COMPUTED_VALUE"""),"Wear Metal Alert | Contamination Alert | Water Ingress")</f>
        <v>Wear Metal Alert | Contamination Alert | Water Ingress</v>
      </c>
      <c r="AJ529" s="200" t="str">
        <f>IFERROR(__xludf.DUMMYFUNCTION("""COMPUTED_VALUE"""),"URGENT: Inspect equipment immediately for wear/damage; High wear metals - inspect bearing/gear surfaces; Water detected - inspect seals and breathers; Very high silicon - check/replace air filters, inspect seals")</f>
        <v>URGENT: Inspect equipment immediately for wear/damage; High wear metals - inspect bearing/gear surfaces; Water detected - inspect seals and breathers; Very high silicon - check/replace air filters, inspect seals</v>
      </c>
      <c r="AK529" s="204"/>
      <c r="AL529" s="204"/>
      <c r="AM529" s="204"/>
    </row>
    <row r="530" hidden="1">
      <c r="A530" s="199" t="str">
        <f>IFERROR(__xludf.DUMMYFUNCTION("""COMPUTED_VALUE"""),"321.RF090")</f>
        <v>321.RF090</v>
      </c>
      <c r="B530" s="200" t="str">
        <f>IFERROR(__xludf.DUMMYFUNCTION("""COMPUTED_VALUE"""),"Rotary feeder Gear Box")</f>
        <v>Rotary feeder Gear Box</v>
      </c>
      <c r="C530" s="199">
        <f>IFERROR(__xludf.DUMMYFUNCTION("""COMPUTED_VALUE"""),2.5330261217E10)</f>
        <v>25330261217</v>
      </c>
      <c r="D530" s="201">
        <f>IFERROR(__xludf.DUMMYFUNCTION("""COMPUTED_VALUE"""),45977.0)</f>
        <v>45977</v>
      </c>
      <c r="E530" s="202" t="str">
        <f>IFERROR(__xludf.DUMMYFUNCTION("""COMPUTED_VALUE"""),"Alert")</f>
        <v>Alert</v>
      </c>
      <c r="F530" s="202" t="str">
        <f>IFERROR(__xludf.DUMMYFUNCTION("""COMPUTED_VALUE"""),"Alert")</f>
        <v>Alert</v>
      </c>
      <c r="G530" s="203" t="str">
        <f>IFERROR(__xludf.DUMMYFUNCTION("""COMPUTED_VALUE"""),"Normal")</f>
        <v>Normal</v>
      </c>
      <c r="H530" s="203" t="str">
        <f>IFERROR(__xludf.DUMMYFUNCTION("""COMPUTED_VALUE"""),"Alert")</f>
        <v>Alert</v>
      </c>
      <c r="I530" s="199"/>
      <c r="J530" s="199"/>
      <c r="K530" s="199"/>
      <c r="L530" s="199">
        <f>IFERROR(__xludf.DUMMYFUNCTION("""COMPUTED_VALUE"""),12.0)</f>
        <v>12</v>
      </c>
      <c r="M530" s="199">
        <f>IFERROR(__xludf.DUMMYFUNCTION("""COMPUTED_VALUE"""),31.9)</f>
        <v>31.9</v>
      </c>
      <c r="N530" s="199"/>
      <c r="O530" s="199"/>
      <c r="P530" s="199">
        <f>IFERROR(__xludf.DUMMYFUNCTION("""COMPUTED_VALUE"""),0.15)</f>
        <v>0.15</v>
      </c>
      <c r="Q530" s="199">
        <f>IFERROR(__xludf.DUMMYFUNCTION("""COMPUTED_VALUE"""),0.0)</f>
        <v>0</v>
      </c>
      <c r="R530" s="199">
        <f>IFERROR(__xludf.DUMMYFUNCTION("""COMPUTED_VALUE"""),0.0)</f>
        <v>0</v>
      </c>
      <c r="S530" s="199">
        <f>IFERROR(__xludf.DUMMYFUNCTION("""COMPUTED_VALUE"""),0.0)</f>
        <v>0</v>
      </c>
      <c r="T530" s="199">
        <f>IFERROR(__xludf.DUMMYFUNCTION("""COMPUTED_VALUE"""),0.0)</f>
        <v>0</v>
      </c>
      <c r="U530" s="199">
        <f>IFERROR(__xludf.DUMMYFUNCTION("""COMPUTED_VALUE"""),1.0)</f>
        <v>1</v>
      </c>
      <c r="V530" s="199">
        <f>IFERROR(__xludf.DUMMYFUNCTION("""COMPUTED_VALUE"""),0.0)</f>
        <v>0</v>
      </c>
      <c r="W530" s="199">
        <f>IFERROR(__xludf.DUMMYFUNCTION("""COMPUTED_VALUE"""),0.0)</f>
        <v>0</v>
      </c>
      <c r="X530" s="199">
        <f>IFERROR(__xludf.DUMMYFUNCTION("""COMPUTED_VALUE"""),0.0)</f>
        <v>0</v>
      </c>
      <c r="Y530" s="199">
        <f>IFERROR(__xludf.DUMMYFUNCTION("""COMPUTED_VALUE"""),0.0)</f>
        <v>0</v>
      </c>
      <c r="Z530" s="199">
        <f>IFERROR(__xludf.DUMMYFUNCTION("""COMPUTED_VALUE"""),0.0)</f>
        <v>0</v>
      </c>
      <c r="AA530" s="199">
        <f>IFERROR(__xludf.DUMMYFUNCTION("""COMPUTED_VALUE"""),0.0)</f>
        <v>0</v>
      </c>
      <c r="AB530" s="199">
        <f>IFERROR(__xludf.DUMMYFUNCTION("""COMPUTED_VALUE"""),37.0)</f>
        <v>37</v>
      </c>
      <c r="AC530" s="199">
        <f>IFERROR(__xludf.DUMMYFUNCTION("""COMPUTED_VALUE"""),2.0)</f>
        <v>2</v>
      </c>
      <c r="AD530" s="199">
        <f>IFERROR(__xludf.DUMMYFUNCTION("""COMPUTED_VALUE"""),0.0)</f>
        <v>0</v>
      </c>
      <c r="AE530" s="199">
        <f>IFERROR(__xludf.DUMMYFUNCTION("""COMPUTED_VALUE"""),13.0)</f>
        <v>13</v>
      </c>
      <c r="AF530" s="199">
        <f>IFERROR(__xludf.DUMMYFUNCTION("""COMPUTED_VALUE"""),0.0)</f>
        <v>0</v>
      </c>
      <c r="AG530" s="199">
        <f>IFERROR(__xludf.DUMMYFUNCTION("""COMPUTED_VALUE"""),777.0)</f>
        <v>777</v>
      </c>
      <c r="AH530" s="199">
        <f>IFERROR(__xludf.DUMMYFUNCTION("""COMPUTED_VALUE"""),40.0)</f>
        <v>40</v>
      </c>
      <c r="AI530" s="200" t="str">
        <f>IFERROR(__xludf.DUMMYFUNCTION("""COMPUTED_VALUE"""),"Lubricant Degradation | Water Ingress")</f>
        <v>Lubricant Degradation | Water Ingress</v>
      </c>
      <c r="AJ530" s="200" t="str">
        <f>IFERROR(__xludf.DUMMYFUNCTION("""COMPUTED_VALUE"""),"Water detected - inspect seals and breathers; Viscosity critically low - change lubricant immediately; Elevated silicon - inspect filters and seals for contamination")</f>
        <v>Water detected - inspect seals and breathers; Viscosity critically low - change lubricant immediately; Elevated silicon - inspect filters and seals for contamination</v>
      </c>
      <c r="AK530" s="204"/>
      <c r="AL530" s="204"/>
      <c r="AM530" s="204"/>
    </row>
    <row r="531" hidden="1">
      <c r="A531" s="199" t="str">
        <f>IFERROR(__xludf.DUMMYFUNCTION("""COMPUTED_VALUE"""),"341.BE040 R")</f>
        <v>341.BE040 R</v>
      </c>
      <c r="B531" s="200" t="str">
        <f>IFERROR(__xludf.DUMMYFUNCTION("""COMPUTED_VALUE"""),"Bucket Elevator GB - R")</f>
        <v>Bucket Elevator GB - R</v>
      </c>
      <c r="C531" s="199">
        <f>IFERROR(__xludf.DUMMYFUNCTION("""COMPUTED_VALUE"""),2.5330261234E10)</f>
        <v>25330261234</v>
      </c>
      <c r="D531" s="201">
        <f>IFERROR(__xludf.DUMMYFUNCTION("""COMPUTED_VALUE"""),45977.0)</f>
        <v>45977</v>
      </c>
      <c r="E531" s="202" t="str">
        <f>IFERROR(__xludf.DUMMYFUNCTION("""COMPUTED_VALUE"""),"Alert")</f>
        <v>Alert</v>
      </c>
      <c r="F531" s="202" t="str">
        <f>IFERROR(__xludf.DUMMYFUNCTION("""COMPUTED_VALUE"""),"Alert")</f>
        <v>Alert</v>
      </c>
      <c r="G531" s="203" t="str">
        <f>IFERROR(__xludf.DUMMYFUNCTION("""COMPUTED_VALUE"""),"Normal")</f>
        <v>Normal</v>
      </c>
      <c r="H531" s="203" t="str">
        <f>IFERROR(__xludf.DUMMYFUNCTION("""COMPUTED_VALUE"""),"Caution")</f>
        <v>Caution</v>
      </c>
      <c r="I531" s="199"/>
      <c r="J531" s="199"/>
      <c r="K531" s="199"/>
      <c r="L531" s="199">
        <f>IFERROR(__xludf.DUMMYFUNCTION("""COMPUTED_VALUE"""),21.0)</f>
        <v>21</v>
      </c>
      <c r="M531" s="199">
        <f>IFERROR(__xludf.DUMMYFUNCTION("""COMPUTED_VALUE"""),280.6)</f>
        <v>280.6</v>
      </c>
      <c r="N531" s="199"/>
      <c r="O531" s="199"/>
      <c r="P531" s="199">
        <f>IFERROR(__xludf.DUMMYFUNCTION("""COMPUTED_VALUE"""),0.1)</f>
        <v>0.1</v>
      </c>
      <c r="Q531" s="199">
        <f>IFERROR(__xludf.DUMMYFUNCTION("""COMPUTED_VALUE"""),0.0)</f>
        <v>0</v>
      </c>
      <c r="R531" s="199">
        <f>IFERROR(__xludf.DUMMYFUNCTION("""COMPUTED_VALUE"""),0.0)</f>
        <v>0</v>
      </c>
      <c r="S531" s="199">
        <f>IFERROR(__xludf.DUMMYFUNCTION("""COMPUTED_VALUE"""),0.0)</f>
        <v>0</v>
      </c>
      <c r="T531" s="199">
        <f>IFERROR(__xludf.DUMMYFUNCTION("""COMPUTED_VALUE"""),0.0)</f>
        <v>0</v>
      </c>
      <c r="U531" s="199">
        <f>IFERROR(__xludf.DUMMYFUNCTION("""COMPUTED_VALUE"""),43.0)</f>
        <v>43</v>
      </c>
      <c r="V531" s="199">
        <f>IFERROR(__xludf.DUMMYFUNCTION("""COMPUTED_VALUE"""),2.0)</f>
        <v>2</v>
      </c>
      <c r="W531" s="199">
        <f>IFERROR(__xludf.DUMMYFUNCTION("""COMPUTED_VALUE"""),0.0)</f>
        <v>0</v>
      </c>
      <c r="X531" s="199">
        <f>IFERROR(__xludf.DUMMYFUNCTION("""COMPUTED_VALUE"""),0.0)</f>
        <v>0</v>
      </c>
      <c r="Y531" s="199">
        <f>IFERROR(__xludf.DUMMYFUNCTION("""COMPUTED_VALUE"""),0.0)</f>
        <v>0</v>
      </c>
      <c r="Z531" s="199">
        <f>IFERROR(__xludf.DUMMYFUNCTION("""COMPUTED_VALUE"""),0.0)</f>
        <v>0</v>
      </c>
      <c r="AA531" s="199">
        <f>IFERROR(__xludf.DUMMYFUNCTION("""COMPUTED_VALUE"""),0.0)</f>
        <v>0</v>
      </c>
      <c r="AB531" s="199">
        <f>IFERROR(__xludf.DUMMYFUNCTION("""COMPUTED_VALUE"""),75.0)</f>
        <v>75</v>
      </c>
      <c r="AC531" s="199">
        <f>IFERROR(__xludf.DUMMYFUNCTION("""COMPUTED_VALUE"""),19.0)</f>
        <v>19</v>
      </c>
      <c r="AD531" s="199">
        <f>IFERROR(__xludf.DUMMYFUNCTION("""COMPUTED_VALUE"""),0.0)</f>
        <v>0</v>
      </c>
      <c r="AE531" s="199">
        <f>IFERROR(__xludf.DUMMYFUNCTION("""COMPUTED_VALUE"""),31.0)</f>
        <v>31</v>
      </c>
      <c r="AF531" s="199">
        <f>IFERROR(__xludf.DUMMYFUNCTION("""COMPUTED_VALUE"""),5.0)</f>
        <v>5</v>
      </c>
      <c r="AG531" s="199">
        <f>IFERROR(__xludf.DUMMYFUNCTION("""COMPUTED_VALUE"""),583.0)</f>
        <v>583</v>
      </c>
      <c r="AH531" s="199">
        <f>IFERROR(__xludf.DUMMYFUNCTION("""COMPUTED_VALUE"""),37.0)</f>
        <v>37</v>
      </c>
      <c r="AI531" s="200" t="str">
        <f>IFERROR(__xludf.DUMMYFUNCTION("""COMPUTED_VALUE"""),"Contamination Alert")</f>
        <v>Contamination Alert</v>
      </c>
      <c r="AJ531" s="200" t="str">
        <f>IFERROR(__xludf.DUMMYFUNCTION("""COMPUTED_VALUE"""),"Elevated silicon - inspect filters and seals for contamination")</f>
        <v>Elevated silicon - inspect filters and seals for contamination</v>
      </c>
      <c r="AK531" s="204"/>
      <c r="AL531" s="204"/>
      <c r="AM531" s="204"/>
    </row>
    <row r="532" hidden="1">
      <c r="A532" s="199" t="str">
        <f>IFERROR(__xludf.DUMMYFUNCTION("""COMPUTED_VALUE"""),"342.BE050 L")</f>
        <v>342.BE050 L</v>
      </c>
      <c r="B532" s="200" t="str">
        <f>IFERROR(__xludf.DUMMYFUNCTION("""COMPUTED_VALUE"""),"Bucket Elevator GB - L")</f>
        <v>Bucket Elevator GB - L</v>
      </c>
      <c r="C532" s="199">
        <f>IFERROR(__xludf.DUMMYFUNCTION("""COMPUTED_VALUE"""),2.533026123E10)</f>
        <v>25330261230</v>
      </c>
      <c r="D532" s="201">
        <f>IFERROR(__xludf.DUMMYFUNCTION("""COMPUTED_VALUE"""),45977.0)</f>
        <v>45977</v>
      </c>
      <c r="E532" s="202" t="str">
        <f>IFERROR(__xludf.DUMMYFUNCTION("""COMPUTED_VALUE"""),"Alert")</f>
        <v>Alert</v>
      </c>
      <c r="F532" s="202" t="str">
        <f>IFERROR(__xludf.DUMMYFUNCTION("""COMPUTED_VALUE"""),"Alert")</f>
        <v>Alert</v>
      </c>
      <c r="G532" s="203" t="str">
        <f>IFERROR(__xludf.DUMMYFUNCTION("""COMPUTED_VALUE"""),"Alert")</f>
        <v>Alert</v>
      </c>
      <c r="H532" s="203" t="str">
        <f>IFERROR(__xludf.DUMMYFUNCTION("""COMPUTED_VALUE"""),"Caution")</f>
        <v>Caution</v>
      </c>
      <c r="I532" s="37"/>
      <c r="J532" s="37"/>
      <c r="K532" s="37"/>
      <c r="L532" s="199">
        <f>IFERROR(__xludf.DUMMYFUNCTION("""COMPUTED_VALUE"""),140.0)</f>
        <v>140</v>
      </c>
      <c r="M532" s="199">
        <f>IFERROR(__xludf.DUMMYFUNCTION("""COMPUTED_VALUE"""),324.2)</f>
        <v>324.2</v>
      </c>
      <c r="N532" s="199"/>
      <c r="O532" s="199"/>
      <c r="P532" s="199">
        <f>IFERROR(__xludf.DUMMYFUNCTION("""COMPUTED_VALUE"""),0.11)</f>
        <v>0.11</v>
      </c>
      <c r="Q532" s="199">
        <f>IFERROR(__xludf.DUMMYFUNCTION("""COMPUTED_VALUE"""),0.0)</f>
        <v>0</v>
      </c>
      <c r="R532" s="199">
        <f>IFERROR(__xludf.DUMMYFUNCTION("""COMPUTED_VALUE"""),0.0)</f>
        <v>0</v>
      </c>
      <c r="S532" s="199">
        <f>IFERROR(__xludf.DUMMYFUNCTION("""COMPUTED_VALUE"""),0.0)</f>
        <v>0</v>
      </c>
      <c r="T532" s="199">
        <f>IFERROR(__xludf.DUMMYFUNCTION("""COMPUTED_VALUE"""),2.0)</f>
        <v>2</v>
      </c>
      <c r="U532" s="199">
        <f>IFERROR(__xludf.DUMMYFUNCTION("""COMPUTED_VALUE"""),517.0)</f>
        <v>517</v>
      </c>
      <c r="V532" s="199">
        <f>IFERROR(__xludf.DUMMYFUNCTION("""COMPUTED_VALUE"""),0.0)</f>
        <v>0</v>
      </c>
      <c r="W532" s="199">
        <f>IFERROR(__xludf.DUMMYFUNCTION("""COMPUTED_VALUE"""),0.0)</f>
        <v>0</v>
      </c>
      <c r="X532" s="199">
        <f>IFERROR(__xludf.DUMMYFUNCTION("""COMPUTED_VALUE"""),0.0)</f>
        <v>0</v>
      </c>
      <c r="Y532" s="199">
        <f>IFERROR(__xludf.DUMMYFUNCTION("""COMPUTED_VALUE"""),0.0)</f>
        <v>0</v>
      </c>
      <c r="Z532" s="199">
        <f>IFERROR(__xludf.DUMMYFUNCTION("""COMPUTED_VALUE"""),2.0)</f>
        <v>2</v>
      </c>
      <c r="AA532" s="199">
        <f>IFERROR(__xludf.DUMMYFUNCTION("""COMPUTED_VALUE"""),0.0)</f>
        <v>0</v>
      </c>
      <c r="AB532" s="199">
        <f>IFERROR(__xludf.DUMMYFUNCTION("""COMPUTED_VALUE"""),51.0)</f>
        <v>51</v>
      </c>
      <c r="AC532" s="199">
        <f>IFERROR(__xludf.DUMMYFUNCTION("""COMPUTED_VALUE"""),23.0)</f>
        <v>23</v>
      </c>
      <c r="AD532" s="199">
        <f>IFERROR(__xludf.DUMMYFUNCTION("""COMPUTED_VALUE"""),0.0)</f>
        <v>0</v>
      </c>
      <c r="AE532" s="199">
        <f>IFERROR(__xludf.DUMMYFUNCTION("""COMPUTED_VALUE"""),122.0)</f>
        <v>122</v>
      </c>
      <c r="AF532" s="199">
        <f>IFERROR(__xludf.DUMMYFUNCTION("""COMPUTED_VALUE"""),8.0)</f>
        <v>8</v>
      </c>
      <c r="AG532" s="199">
        <f>IFERROR(__xludf.DUMMYFUNCTION("""COMPUTED_VALUE"""),621.0)</f>
        <v>621</v>
      </c>
      <c r="AH532" s="199">
        <f>IFERROR(__xludf.DUMMYFUNCTION("""COMPUTED_VALUE"""),206.0)</f>
        <v>206</v>
      </c>
      <c r="AI532" s="200" t="str">
        <f>IFERROR(__xludf.DUMMYFUNCTION("""COMPUTED_VALUE"""),"Wear Metal Alert | Contamination Alert | Water Ingress | High Particle Count")</f>
        <v>Wear Metal Alert | Contamination Alert | Water Ingress | High Particle Count</v>
      </c>
      <c r="AJ532" s="200" t="str">
        <f>IFERROR(__xludf.DUMMYFUNCTION("""COMPUTED_VALUE"""),"URGENT: Inspect equipment immediately for wear/damage; Critical wear metals detected - schedule immediate inspection; High wear metals - inspect bearing/gear surfaces; Water detected - inspect seals and breathers; Elevated silicon - inspect filters and se"&amp;"als for contamination; High particle count - replace filters and resample")</f>
        <v>URGENT: Inspect equipment immediately for wear/damage; Critical wear metals detected - schedule immediate inspection; High wear metals - inspect bearing/gear surfaces; Water detected - inspect seals and breathers; Elevated silicon - inspect filters and seals for contamination; High particle count - replace filters and resample</v>
      </c>
      <c r="AK532" s="204"/>
      <c r="AL532" s="204"/>
      <c r="AM532" s="204"/>
    </row>
    <row r="533" hidden="1">
      <c r="A533" s="199" t="str">
        <f>IFERROR(__xludf.DUMMYFUNCTION("""COMPUTED_VALUE"""),"351.BE350 R")</f>
        <v>351.BE350 R</v>
      </c>
      <c r="B533" s="200" t="str">
        <f>IFERROR(__xludf.DUMMYFUNCTION("""COMPUTED_VALUE"""),"Bucket Elevator GB - R")</f>
        <v>Bucket Elevator GB - R</v>
      </c>
      <c r="C533" s="199">
        <f>IFERROR(__xludf.DUMMYFUNCTION("""COMPUTED_VALUE"""),2.5330261233E10)</f>
        <v>25330261233</v>
      </c>
      <c r="D533" s="201">
        <f>IFERROR(__xludf.DUMMYFUNCTION("""COMPUTED_VALUE"""),45977.0)</f>
        <v>45977</v>
      </c>
      <c r="E533" s="202" t="str">
        <f>IFERROR(__xludf.DUMMYFUNCTION("""COMPUTED_VALUE"""),"Alert")</f>
        <v>Alert</v>
      </c>
      <c r="F533" s="202" t="str">
        <f>IFERROR(__xludf.DUMMYFUNCTION("""COMPUTED_VALUE"""),"Alert")</f>
        <v>Alert</v>
      </c>
      <c r="G533" s="203" t="str">
        <f>IFERROR(__xludf.DUMMYFUNCTION("""COMPUTED_VALUE"""),"Normal")</f>
        <v>Normal</v>
      </c>
      <c r="H533" s="203" t="str">
        <f>IFERROR(__xludf.DUMMYFUNCTION("""COMPUTED_VALUE"""),"Caution")</f>
        <v>Caution</v>
      </c>
      <c r="I533" s="199"/>
      <c r="J533" s="199"/>
      <c r="K533" s="199"/>
      <c r="L533" s="199">
        <f>IFERROR(__xludf.DUMMYFUNCTION("""COMPUTED_VALUE"""),23.0)</f>
        <v>23</v>
      </c>
      <c r="M533" s="199">
        <f>IFERROR(__xludf.DUMMYFUNCTION("""COMPUTED_VALUE"""),303.9)</f>
        <v>303.9</v>
      </c>
      <c r="N533" s="199"/>
      <c r="O533" s="199"/>
      <c r="P533" s="199">
        <f>IFERROR(__xludf.DUMMYFUNCTION("""COMPUTED_VALUE"""),0.11)</f>
        <v>0.11</v>
      </c>
      <c r="Q533" s="199">
        <f>IFERROR(__xludf.DUMMYFUNCTION("""COMPUTED_VALUE"""),0.0)</f>
        <v>0</v>
      </c>
      <c r="R533" s="199">
        <f>IFERROR(__xludf.DUMMYFUNCTION("""COMPUTED_VALUE"""),0.0)</f>
        <v>0</v>
      </c>
      <c r="S533" s="199">
        <f>IFERROR(__xludf.DUMMYFUNCTION("""COMPUTED_VALUE"""),0.0)</f>
        <v>0</v>
      </c>
      <c r="T533" s="199">
        <f>IFERROR(__xludf.DUMMYFUNCTION("""COMPUTED_VALUE"""),0.0)</f>
        <v>0</v>
      </c>
      <c r="U533" s="199">
        <f>IFERROR(__xludf.DUMMYFUNCTION("""COMPUTED_VALUE"""),52.0)</f>
        <v>52</v>
      </c>
      <c r="V533" s="199">
        <f>IFERROR(__xludf.DUMMYFUNCTION("""COMPUTED_VALUE"""),0.0)</f>
        <v>0</v>
      </c>
      <c r="W533" s="199">
        <f>IFERROR(__xludf.DUMMYFUNCTION("""COMPUTED_VALUE"""),0.0)</f>
        <v>0</v>
      </c>
      <c r="X533" s="199">
        <f>IFERROR(__xludf.DUMMYFUNCTION("""COMPUTED_VALUE"""),0.0)</f>
        <v>0</v>
      </c>
      <c r="Y533" s="199">
        <f>IFERROR(__xludf.DUMMYFUNCTION("""COMPUTED_VALUE"""),0.0)</f>
        <v>0</v>
      </c>
      <c r="Z533" s="199">
        <f>IFERROR(__xludf.DUMMYFUNCTION("""COMPUTED_VALUE"""),0.0)</f>
        <v>0</v>
      </c>
      <c r="AA533" s="199">
        <f>IFERROR(__xludf.DUMMYFUNCTION("""COMPUTED_VALUE"""),0.0)</f>
        <v>0</v>
      </c>
      <c r="AB533" s="199">
        <f>IFERROR(__xludf.DUMMYFUNCTION("""COMPUTED_VALUE"""),28.0)</f>
        <v>28</v>
      </c>
      <c r="AC533" s="199">
        <f>IFERROR(__xludf.DUMMYFUNCTION("""COMPUTED_VALUE"""),13.0)</f>
        <v>13</v>
      </c>
      <c r="AD533" s="199">
        <f>IFERROR(__xludf.DUMMYFUNCTION("""COMPUTED_VALUE"""),0.0)</f>
        <v>0</v>
      </c>
      <c r="AE533" s="199">
        <f>IFERROR(__xludf.DUMMYFUNCTION("""COMPUTED_VALUE"""),39.0)</f>
        <v>39</v>
      </c>
      <c r="AF533" s="199">
        <f>IFERROR(__xludf.DUMMYFUNCTION("""COMPUTED_VALUE"""),2.0)</f>
        <v>2</v>
      </c>
      <c r="AG533" s="199">
        <f>IFERROR(__xludf.DUMMYFUNCTION("""COMPUTED_VALUE"""),420.0)</f>
        <v>420</v>
      </c>
      <c r="AH533" s="199">
        <f>IFERROR(__xludf.DUMMYFUNCTION("""COMPUTED_VALUE"""),18.0)</f>
        <v>18</v>
      </c>
      <c r="AI533" s="200" t="str">
        <f>IFERROR(__xludf.DUMMYFUNCTION("""COMPUTED_VALUE"""),"Water Ingress")</f>
        <v>Water Ingress</v>
      </c>
      <c r="AJ533" s="200" t="str">
        <f>IFERROR(__xludf.DUMMYFUNCTION("""COMPUTED_VALUE"""),"Water detected - inspect seals and breathers")</f>
        <v>Water detected - inspect seals and breathers</v>
      </c>
      <c r="AK533" s="204"/>
      <c r="AL533" s="204"/>
      <c r="AM533" s="204"/>
    </row>
    <row r="534" hidden="1">
      <c r="A534" s="199" t="str">
        <f>IFERROR(__xludf.DUMMYFUNCTION("""COMPUTED_VALUE"""),"531.LQ110")</f>
        <v>531.LQ110</v>
      </c>
      <c r="B534" s="200" t="str">
        <f>IFERROR(__xludf.DUMMYFUNCTION("""COMPUTED_VALUE"""),"Cement Mill Inlet Slide Shoe Bearing LUB.")</f>
        <v>Cement Mill Inlet Slide Shoe Bearing LUB.</v>
      </c>
      <c r="C534" s="199">
        <f>IFERROR(__xludf.DUMMYFUNCTION("""COMPUTED_VALUE"""),2.5330281215E10)</f>
        <v>25330281215</v>
      </c>
      <c r="D534" s="201">
        <f>IFERROR(__xludf.DUMMYFUNCTION("""COMPUTED_VALUE"""),45977.0)</f>
        <v>45977</v>
      </c>
      <c r="E534" s="202" t="str">
        <f>IFERROR(__xludf.DUMMYFUNCTION("""COMPUTED_VALUE"""),"Alert")</f>
        <v>Alert</v>
      </c>
      <c r="F534" s="202" t="str">
        <f>IFERROR(__xludf.DUMMYFUNCTION("""COMPUTED_VALUE"""),"Alert")</f>
        <v>Alert</v>
      </c>
      <c r="G534" s="203" t="str">
        <f>IFERROR(__xludf.DUMMYFUNCTION("""COMPUTED_VALUE"""),"Alert")</f>
        <v>Alert</v>
      </c>
      <c r="H534" s="203" t="str">
        <f>IFERROR(__xludf.DUMMYFUNCTION("""COMPUTED_VALUE"""),"Caution")</f>
        <v>Caution</v>
      </c>
      <c r="I534" s="199"/>
      <c r="J534" s="199"/>
      <c r="K534" s="199"/>
      <c r="L534" s="199">
        <f>IFERROR(__xludf.DUMMYFUNCTION("""COMPUTED_VALUE"""),173.0)</f>
        <v>173</v>
      </c>
      <c r="M534" s="199">
        <f>IFERROR(__xludf.DUMMYFUNCTION("""COMPUTED_VALUE"""),435.8)</f>
        <v>435.8</v>
      </c>
      <c r="N534" s="199"/>
      <c r="O534" s="199">
        <f>IFERROR(__xludf.DUMMYFUNCTION("""COMPUTED_VALUE"""),8.0)</f>
        <v>8</v>
      </c>
      <c r="P534" s="199">
        <f>IFERROR(__xludf.DUMMYFUNCTION("""COMPUTED_VALUE"""),0.22)</f>
        <v>0.22</v>
      </c>
      <c r="Q534" s="199">
        <f>IFERROR(__xludf.DUMMYFUNCTION("""COMPUTED_VALUE"""),0.0)</f>
        <v>0</v>
      </c>
      <c r="R534" s="199">
        <f>IFERROR(__xludf.DUMMYFUNCTION("""COMPUTED_VALUE"""),199.0)</f>
        <v>199</v>
      </c>
      <c r="S534" s="199">
        <f>IFERROR(__xludf.DUMMYFUNCTION("""COMPUTED_VALUE"""),0.0)</f>
        <v>0</v>
      </c>
      <c r="T534" s="199">
        <f>IFERROR(__xludf.DUMMYFUNCTION("""COMPUTED_VALUE"""),42.0)</f>
        <v>42</v>
      </c>
      <c r="U534" s="199">
        <f>IFERROR(__xludf.DUMMYFUNCTION("""COMPUTED_VALUE"""),208.0)</f>
        <v>208</v>
      </c>
      <c r="V534" s="199">
        <f>IFERROR(__xludf.DUMMYFUNCTION("""COMPUTED_VALUE"""),2.0)</f>
        <v>2</v>
      </c>
      <c r="W534" s="199">
        <f>IFERROR(__xludf.DUMMYFUNCTION("""COMPUTED_VALUE"""),0.0)</f>
        <v>0</v>
      </c>
      <c r="X534" s="199">
        <f>IFERROR(__xludf.DUMMYFUNCTION("""COMPUTED_VALUE"""),11.0)</f>
        <v>11</v>
      </c>
      <c r="Y534" s="199">
        <f>IFERROR(__xludf.DUMMYFUNCTION("""COMPUTED_VALUE"""),294.0)</f>
        <v>294</v>
      </c>
      <c r="Z534" s="199">
        <f>IFERROR(__xludf.DUMMYFUNCTION("""COMPUTED_VALUE"""),6.0)</f>
        <v>6</v>
      </c>
      <c r="AA534" s="199">
        <f>IFERROR(__xludf.DUMMYFUNCTION("""COMPUTED_VALUE"""),17.0)</f>
        <v>17</v>
      </c>
      <c r="AB534" s="199">
        <f>IFERROR(__xludf.DUMMYFUNCTION("""COMPUTED_VALUE"""),997.0)</f>
        <v>997</v>
      </c>
      <c r="AC534" s="199">
        <f>IFERROR(__xludf.DUMMYFUNCTION("""COMPUTED_VALUE"""),80.0)</f>
        <v>80</v>
      </c>
      <c r="AD534" s="199">
        <f>IFERROR(__xludf.DUMMYFUNCTION("""COMPUTED_VALUE"""),0.0)</f>
        <v>0</v>
      </c>
      <c r="AE534" s="199">
        <f>IFERROR(__xludf.DUMMYFUNCTION("""COMPUTED_VALUE"""),1034.0)</f>
        <v>1034</v>
      </c>
      <c r="AF534" s="199">
        <f>IFERROR(__xludf.DUMMYFUNCTION("""COMPUTED_VALUE"""),13.0)</f>
        <v>13</v>
      </c>
      <c r="AG534" s="199">
        <f>IFERROR(__xludf.DUMMYFUNCTION("""COMPUTED_VALUE"""),433.0)</f>
        <v>433</v>
      </c>
      <c r="AH534" s="199">
        <f>IFERROR(__xludf.DUMMYFUNCTION("""COMPUTED_VALUE"""),12.0)</f>
        <v>12</v>
      </c>
      <c r="AI534" s="200" t="str">
        <f>IFERROR(__xludf.DUMMYFUNCTION("""COMPUTED_VALUE"""),"Wear Metal Alert | Contamination Alert | Water Ingress | High Particle Count")</f>
        <v>Wear Metal Alert | Contamination Alert | Water Ingress | High Particle Count</v>
      </c>
      <c r="AJ534" s="200" t="str">
        <f>IFERROR(__xludf.DUMMYFUNCTION("""COMPUTED_VALUE"""),"URGENT: Inspect equipment immediately for wear/damage; Critical wear metals detected - schedule immediate inspection; High wear metals - inspect bearing/gear surfaces; High water contamination - check seals and drain water immediately; Severe oxidation - "&amp;"lubricant change required urgently; Very high silicon - check/replace air filters, inspect seals; Critical particle count - flush system and replace filters")</f>
        <v>URGENT: Inspect equipment immediately for wear/damage; Critical wear metals detected - schedule immediate inspection; High wear metals - inspect bearing/gear surfaces; High water contamination - check seals and drain water immediately; Severe oxidation - lubricant change required urgently; Very high silicon - check/replace air filters, inspect seals; Critical particle count - flush system and replace filters</v>
      </c>
      <c r="AK534" s="204"/>
      <c r="AL534" s="204"/>
      <c r="AM534" s="204"/>
    </row>
    <row r="535" hidden="1">
      <c r="A535" s="199" t="str">
        <f>IFERROR(__xludf.DUMMYFUNCTION("""COMPUTED_VALUE"""),"531.LQ120")</f>
        <v>531.LQ120</v>
      </c>
      <c r="B535" s="200" t="str">
        <f>IFERROR(__xludf.DUMMYFUNCTION("""COMPUTED_VALUE"""),"Cement Mill Outlet Slide Shoe Bearing LUB.")</f>
        <v>Cement Mill Outlet Slide Shoe Bearing LUB.</v>
      </c>
      <c r="C535" s="199">
        <f>IFERROR(__xludf.DUMMYFUNCTION("""COMPUTED_VALUE"""),2.5330281216E10)</f>
        <v>25330281216</v>
      </c>
      <c r="D535" s="201">
        <f>IFERROR(__xludf.DUMMYFUNCTION("""COMPUTED_VALUE"""),45977.0)</f>
        <v>45977</v>
      </c>
      <c r="E535" s="202" t="str">
        <f>IFERROR(__xludf.DUMMYFUNCTION("""COMPUTED_VALUE"""),"Alert")</f>
        <v>Alert</v>
      </c>
      <c r="F535" s="202" t="str">
        <f>IFERROR(__xludf.DUMMYFUNCTION("""COMPUTED_VALUE"""),"Alert")</f>
        <v>Alert</v>
      </c>
      <c r="G535" s="203" t="str">
        <f>IFERROR(__xludf.DUMMYFUNCTION("""COMPUTED_VALUE"""),"Alert")</f>
        <v>Alert</v>
      </c>
      <c r="H535" s="203" t="str">
        <f>IFERROR(__xludf.DUMMYFUNCTION("""COMPUTED_VALUE"""),"Caution")</f>
        <v>Caution</v>
      </c>
      <c r="I535" s="199"/>
      <c r="J535" s="199"/>
      <c r="K535" s="199"/>
      <c r="L535" s="199">
        <f>IFERROR(__xludf.DUMMYFUNCTION("""COMPUTED_VALUE"""),170.0)</f>
        <v>170</v>
      </c>
      <c r="M535" s="199">
        <f>IFERROR(__xludf.DUMMYFUNCTION("""COMPUTED_VALUE"""),432.1)</f>
        <v>432.1</v>
      </c>
      <c r="N535" s="199"/>
      <c r="O535" s="199">
        <f>IFERROR(__xludf.DUMMYFUNCTION("""COMPUTED_VALUE"""),8.0)</f>
        <v>8</v>
      </c>
      <c r="P535" s="199">
        <f>IFERROR(__xludf.DUMMYFUNCTION("""COMPUTED_VALUE"""),0.15)</f>
        <v>0.15</v>
      </c>
      <c r="Q535" s="199">
        <f>IFERROR(__xludf.DUMMYFUNCTION("""COMPUTED_VALUE"""),0.0)</f>
        <v>0</v>
      </c>
      <c r="R535" s="199">
        <f>IFERROR(__xludf.DUMMYFUNCTION("""COMPUTED_VALUE"""),194.0)</f>
        <v>194</v>
      </c>
      <c r="S535" s="199">
        <f>IFERROR(__xludf.DUMMYFUNCTION("""COMPUTED_VALUE"""),0.0)</f>
        <v>0</v>
      </c>
      <c r="T535" s="199">
        <f>IFERROR(__xludf.DUMMYFUNCTION("""COMPUTED_VALUE"""),43.0)</f>
        <v>43</v>
      </c>
      <c r="U535" s="199">
        <f>IFERROR(__xludf.DUMMYFUNCTION("""COMPUTED_VALUE"""),195.0)</f>
        <v>195</v>
      </c>
      <c r="V535" s="199">
        <f>IFERROR(__xludf.DUMMYFUNCTION("""COMPUTED_VALUE"""),8.0)</f>
        <v>8</v>
      </c>
      <c r="W535" s="199">
        <f>IFERROR(__xludf.DUMMYFUNCTION("""COMPUTED_VALUE"""),2.0)</f>
        <v>2</v>
      </c>
      <c r="X535" s="199">
        <f>IFERROR(__xludf.DUMMYFUNCTION("""COMPUTED_VALUE"""),10.0)</f>
        <v>10</v>
      </c>
      <c r="Y535" s="199">
        <f>IFERROR(__xludf.DUMMYFUNCTION("""COMPUTED_VALUE"""),271.0)</f>
        <v>271</v>
      </c>
      <c r="Z535" s="199">
        <f>IFERROR(__xludf.DUMMYFUNCTION("""COMPUTED_VALUE"""),5.0)</f>
        <v>5</v>
      </c>
      <c r="AA535" s="199">
        <f>IFERROR(__xludf.DUMMYFUNCTION("""COMPUTED_VALUE"""),15.0)</f>
        <v>15</v>
      </c>
      <c r="AB535" s="199">
        <f>IFERROR(__xludf.DUMMYFUNCTION("""COMPUTED_VALUE"""),965.0)</f>
        <v>965</v>
      </c>
      <c r="AC535" s="199">
        <f>IFERROR(__xludf.DUMMYFUNCTION("""COMPUTED_VALUE"""),69.0)</f>
        <v>69</v>
      </c>
      <c r="AD535" s="199">
        <f>IFERROR(__xludf.DUMMYFUNCTION("""COMPUTED_VALUE"""),5.0)</f>
        <v>5</v>
      </c>
      <c r="AE535" s="199">
        <f>IFERROR(__xludf.DUMMYFUNCTION("""COMPUTED_VALUE"""),981.0)</f>
        <v>981</v>
      </c>
      <c r="AF535" s="199">
        <f>IFERROR(__xludf.DUMMYFUNCTION("""COMPUTED_VALUE"""),20.0)</f>
        <v>20</v>
      </c>
      <c r="AG535" s="199">
        <f>IFERROR(__xludf.DUMMYFUNCTION("""COMPUTED_VALUE"""),417.0)</f>
        <v>417</v>
      </c>
      <c r="AH535" s="199">
        <f>IFERROR(__xludf.DUMMYFUNCTION("""COMPUTED_VALUE"""),7.0)</f>
        <v>7</v>
      </c>
      <c r="AI535" s="200" t="str">
        <f>IFERROR(__xludf.DUMMYFUNCTION("""COMPUTED_VALUE"""),"Wear Metal Alert | Contamination Alert | Water Ingress | High Particle Count")</f>
        <v>Wear Metal Alert | Contamination Alert | Water Ingress | High Particle Count</v>
      </c>
      <c r="AJ535" s="200" t="str">
        <f>IFERROR(__xludf.DUMMYFUNCTION("""COMPUTED_VALUE"""),"URGENT: Inspect equipment immediately for wear/damage; Critical wear metals detected - schedule immediate inspection; High wear metals - inspect bearing/gear surfaces; Water detected - inspect seals and breathers; Severe oxidation - lubricant change requi"&amp;"red urgently; Very high silicon - check/replace air filters, inspect seals; Critical particle count - flush system and replace filters")</f>
        <v>URGENT: Inspect equipment immediately for wear/damage; Critical wear metals detected - schedule immediate inspection; High wear metals - inspect bearing/gear surfaces; Water detected - inspect seals and breathers; Severe oxidation - lubricant change required urgently; Very high silicon - check/replace air filters, inspect seals; Critical particle count - flush system and replace filters</v>
      </c>
      <c r="AK535" s="204"/>
      <c r="AL535" s="204"/>
      <c r="AM535" s="204"/>
    </row>
    <row r="536" hidden="1">
      <c r="A536" s="199" t="str">
        <f>IFERROR(__xludf.DUMMYFUNCTION("""COMPUTED_VALUE"""),"532.LQ110")</f>
        <v>532.LQ110</v>
      </c>
      <c r="B536" s="200" t="str">
        <f>IFERROR(__xludf.DUMMYFUNCTION("""COMPUTED_VALUE"""),"Cement Mill Inlet Slide Shoe Bearing LUB.")</f>
        <v>Cement Mill Inlet Slide Shoe Bearing LUB.</v>
      </c>
      <c r="C536" s="199">
        <f>IFERROR(__xludf.DUMMYFUNCTION("""COMPUTED_VALUE"""),2.5330281237E10)</f>
        <v>25330281237</v>
      </c>
      <c r="D536" s="201">
        <f>IFERROR(__xludf.DUMMYFUNCTION("""COMPUTED_VALUE"""),45977.0)</f>
        <v>45977</v>
      </c>
      <c r="E536" s="202" t="str">
        <f>IFERROR(__xludf.DUMMYFUNCTION("""COMPUTED_VALUE"""),"Alert")</f>
        <v>Alert</v>
      </c>
      <c r="F536" s="202" t="str">
        <f>IFERROR(__xludf.DUMMYFUNCTION("""COMPUTED_VALUE"""),"Alert")</f>
        <v>Alert</v>
      </c>
      <c r="G536" s="203" t="str">
        <f>IFERROR(__xludf.DUMMYFUNCTION("""COMPUTED_VALUE"""),"Normal")</f>
        <v>Normal</v>
      </c>
      <c r="H536" s="203" t="str">
        <f>IFERROR(__xludf.DUMMYFUNCTION("""COMPUTED_VALUE"""),"Caution")</f>
        <v>Caution</v>
      </c>
      <c r="I536" s="199"/>
      <c r="J536" s="199"/>
      <c r="K536" s="199"/>
      <c r="L536" s="199">
        <f>IFERROR(__xludf.DUMMYFUNCTION("""COMPUTED_VALUE"""),26.0)</f>
        <v>26</v>
      </c>
      <c r="M536" s="199">
        <f>IFERROR(__xludf.DUMMYFUNCTION("""COMPUTED_VALUE"""),448.5)</f>
        <v>448.5</v>
      </c>
      <c r="N536" s="199"/>
      <c r="O536" s="199">
        <f>IFERROR(__xludf.DUMMYFUNCTION("""COMPUTED_VALUE"""),6.0)</f>
        <v>6</v>
      </c>
      <c r="P536" s="199">
        <f>IFERROR(__xludf.DUMMYFUNCTION("""COMPUTED_VALUE"""),0.05)</f>
        <v>0.05</v>
      </c>
      <c r="Q536" s="199">
        <f>IFERROR(__xludf.DUMMYFUNCTION("""COMPUTED_VALUE"""),0.0)</f>
        <v>0</v>
      </c>
      <c r="R536" s="199">
        <f>IFERROR(__xludf.DUMMYFUNCTION("""COMPUTED_VALUE"""),0.0)</f>
        <v>0</v>
      </c>
      <c r="S536" s="199">
        <f>IFERROR(__xludf.DUMMYFUNCTION("""COMPUTED_VALUE"""),0.0)</f>
        <v>0</v>
      </c>
      <c r="T536" s="199">
        <f>IFERROR(__xludf.DUMMYFUNCTION("""COMPUTED_VALUE"""),9.0)</f>
        <v>9</v>
      </c>
      <c r="U536" s="199">
        <f>IFERROR(__xludf.DUMMYFUNCTION("""COMPUTED_VALUE"""),37.0)</f>
        <v>37</v>
      </c>
      <c r="V536" s="199">
        <f>IFERROR(__xludf.DUMMYFUNCTION("""COMPUTED_VALUE"""),0.0)</f>
        <v>0</v>
      </c>
      <c r="W536" s="199">
        <f>IFERROR(__xludf.DUMMYFUNCTION("""COMPUTED_VALUE"""),0.0)</f>
        <v>0</v>
      </c>
      <c r="X536" s="199">
        <f>IFERROR(__xludf.DUMMYFUNCTION("""COMPUTED_VALUE"""),1.0)</f>
        <v>1</v>
      </c>
      <c r="Y536" s="199">
        <f>IFERROR(__xludf.DUMMYFUNCTION("""COMPUTED_VALUE"""),0.0)</f>
        <v>0</v>
      </c>
      <c r="Z536" s="199">
        <f>IFERROR(__xludf.DUMMYFUNCTION("""COMPUTED_VALUE"""),0.0)</f>
        <v>0</v>
      </c>
      <c r="AA536" s="199">
        <f>IFERROR(__xludf.DUMMYFUNCTION("""COMPUTED_VALUE"""),2.0)</f>
        <v>2</v>
      </c>
      <c r="AB536" s="199">
        <f>IFERROR(__xludf.DUMMYFUNCTION("""COMPUTED_VALUE"""),80.0)</f>
        <v>80</v>
      </c>
      <c r="AC536" s="199">
        <f>IFERROR(__xludf.DUMMYFUNCTION("""COMPUTED_VALUE"""),26.0)</f>
        <v>26</v>
      </c>
      <c r="AD536" s="199">
        <f>IFERROR(__xludf.DUMMYFUNCTION("""COMPUTED_VALUE"""),0.0)</f>
        <v>0</v>
      </c>
      <c r="AE536" s="199">
        <f>IFERROR(__xludf.DUMMYFUNCTION("""COMPUTED_VALUE"""),102.0)</f>
        <v>102</v>
      </c>
      <c r="AF536" s="199">
        <f>IFERROR(__xludf.DUMMYFUNCTION("""COMPUTED_VALUE"""),4.0)</f>
        <v>4</v>
      </c>
      <c r="AG536" s="199">
        <f>IFERROR(__xludf.DUMMYFUNCTION("""COMPUTED_VALUE"""),349.0)</f>
        <v>349</v>
      </c>
      <c r="AH536" s="199">
        <f>IFERROR(__xludf.DUMMYFUNCTION("""COMPUTED_VALUE"""),18.0)</f>
        <v>18</v>
      </c>
      <c r="AI536" s="200" t="str">
        <f>IFERROR(__xludf.DUMMYFUNCTION("""COMPUTED_VALUE"""),"Contamination Alert")</f>
        <v>Contamination Alert</v>
      </c>
      <c r="AJ536" s="200" t="str">
        <f>IFERROR(__xludf.DUMMYFUNCTION("""COMPUTED_VALUE"""),"Severe oxidation - lubricant change required urgently; Elevated silicon - inspect filters and seals for contamination")</f>
        <v>Severe oxidation - lubricant change required urgently; Elevated silicon - inspect filters and seals for contamination</v>
      </c>
      <c r="AK536" s="204"/>
      <c r="AL536" s="204"/>
      <c r="AM536" s="204"/>
    </row>
    <row r="537" hidden="1">
      <c r="A537" s="199" t="str">
        <f>IFERROR(__xludf.DUMMYFUNCTION("""COMPUTED_VALUE"""),"532.LQ120")</f>
        <v>532.LQ120</v>
      </c>
      <c r="B537" s="200" t="str">
        <f>IFERROR(__xludf.DUMMYFUNCTION("""COMPUTED_VALUE"""),"Cement Mill Outlet Slide Shoe Bearing LUB.")</f>
        <v>Cement Mill Outlet Slide Shoe Bearing LUB.</v>
      </c>
      <c r="C537" s="199">
        <f>IFERROR(__xludf.DUMMYFUNCTION("""COMPUTED_VALUE"""),2.5330281207E10)</f>
        <v>25330281207</v>
      </c>
      <c r="D537" s="201">
        <f>IFERROR(__xludf.DUMMYFUNCTION("""COMPUTED_VALUE"""),45977.0)</f>
        <v>45977</v>
      </c>
      <c r="E537" s="202" t="str">
        <f>IFERROR(__xludf.DUMMYFUNCTION("""COMPUTED_VALUE"""),"Alert")</f>
        <v>Alert</v>
      </c>
      <c r="F537" s="202" t="str">
        <f>IFERROR(__xludf.DUMMYFUNCTION("""COMPUTED_VALUE"""),"Alert")</f>
        <v>Alert</v>
      </c>
      <c r="G537" s="203" t="str">
        <f>IFERROR(__xludf.DUMMYFUNCTION("""COMPUTED_VALUE"""),"Alert")</f>
        <v>Alert</v>
      </c>
      <c r="H537" s="203" t="str">
        <f>IFERROR(__xludf.DUMMYFUNCTION("""COMPUTED_VALUE"""),"Normal")</f>
        <v>Normal</v>
      </c>
      <c r="I537" s="37"/>
      <c r="J537" s="37"/>
      <c r="K537" s="37"/>
      <c r="L537" s="199">
        <f>IFERROR(__xludf.DUMMYFUNCTION("""COMPUTED_VALUE"""),39.0)</f>
        <v>39</v>
      </c>
      <c r="M537" s="199">
        <f>IFERROR(__xludf.DUMMYFUNCTION("""COMPUTED_VALUE"""),427.6)</f>
        <v>427.6</v>
      </c>
      <c r="N537" s="37"/>
      <c r="O537" s="37">
        <f>IFERROR(__xludf.DUMMYFUNCTION("""COMPUTED_VALUE"""),4.0)</f>
        <v>4</v>
      </c>
      <c r="P537" s="199">
        <f>IFERROR(__xludf.DUMMYFUNCTION("""COMPUTED_VALUE"""),0.1)</f>
        <v>0.1</v>
      </c>
      <c r="Q537" s="199">
        <f>IFERROR(__xludf.DUMMYFUNCTION("""COMPUTED_VALUE"""),0.0)</f>
        <v>0</v>
      </c>
      <c r="R537" s="199">
        <f>IFERROR(__xludf.DUMMYFUNCTION("""COMPUTED_VALUE"""),15.0)</f>
        <v>15</v>
      </c>
      <c r="S537" s="199">
        <f>IFERROR(__xludf.DUMMYFUNCTION("""COMPUTED_VALUE"""),0.0)</f>
        <v>0</v>
      </c>
      <c r="T537" s="199">
        <f>IFERROR(__xludf.DUMMYFUNCTION("""COMPUTED_VALUE"""),6.0)</f>
        <v>6</v>
      </c>
      <c r="U537" s="199">
        <f>IFERROR(__xludf.DUMMYFUNCTION("""COMPUTED_VALUE"""),68.0)</f>
        <v>68</v>
      </c>
      <c r="V537" s="199">
        <f>IFERROR(__xludf.DUMMYFUNCTION("""COMPUTED_VALUE"""),2.0)</f>
        <v>2</v>
      </c>
      <c r="W537" s="199">
        <f>IFERROR(__xludf.DUMMYFUNCTION("""COMPUTED_VALUE"""),0.0)</f>
        <v>0</v>
      </c>
      <c r="X537" s="199">
        <f>IFERROR(__xludf.DUMMYFUNCTION("""COMPUTED_VALUE"""),4.0)</f>
        <v>4</v>
      </c>
      <c r="Y537" s="199">
        <f>IFERROR(__xludf.DUMMYFUNCTION("""COMPUTED_VALUE"""),0.0)</f>
        <v>0</v>
      </c>
      <c r="Z537" s="199">
        <f>IFERROR(__xludf.DUMMYFUNCTION("""COMPUTED_VALUE"""),5.0)</f>
        <v>5</v>
      </c>
      <c r="AA537" s="199">
        <f>IFERROR(__xludf.DUMMYFUNCTION("""COMPUTED_VALUE"""),0.0)</f>
        <v>0</v>
      </c>
      <c r="AB537" s="199">
        <f>IFERROR(__xludf.DUMMYFUNCTION("""COMPUTED_VALUE"""),221.0)</f>
        <v>221</v>
      </c>
      <c r="AC537" s="199">
        <f>IFERROR(__xludf.DUMMYFUNCTION("""COMPUTED_VALUE"""),60.0)</f>
        <v>60</v>
      </c>
      <c r="AD537" s="199">
        <f>IFERROR(__xludf.DUMMYFUNCTION("""COMPUTED_VALUE"""),0.0)</f>
        <v>0</v>
      </c>
      <c r="AE537" s="199">
        <f>IFERROR(__xludf.DUMMYFUNCTION("""COMPUTED_VALUE"""),152.0)</f>
        <v>152</v>
      </c>
      <c r="AF537" s="199">
        <f>IFERROR(__xludf.DUMMYFUNCTION("""COMPUTED_VALUE"""),6.0)</f>
        <v>6</v>
      </c>
      <c r="AG537" s="199">
        <f>IFERROR(__xludf.DUMMYFUNCTION("""COMPUTED_VALUE"""),428.0)</f>
        <v>428</v>
      </c>
      <c r="AH537" s="199">
        <f>IFERROR(__xludf.DUMMYFUNCTION("""COMPUTED_VALUE"""),11.0)</f>
        <v>11</v>
      </c>
      <c r="AI537" s="200" t="str">
        <f>IFERROR(__xludf.DUMMYFUNCTION("""COMPUTED_VALUE"""),"Wear Metal Alert | Contamination Alert")</f>
        <v>Wear Metal Alert | Contamination Alert</v>
      </c>
      <c r="AJ537" s="200" t="str">
        <f>IFERROR(__xludf.DUMMYFUNCTION("""COMPUTED_VALUE"""),"URGENT: Inspect equipment immediately for wear/damage; Very high silicon - check/replace air filters, inspect seals")</f>
        <v>URGENT: Inspect equipment immediately for wear/damage; Very high silicon - check/replace air filters, inspect seals</v>
      </c>
      <c r="AK537" s="204"/>
      <c r="AL537" s="204"/>
      <c r="AM537" s="204"/>
    </row>
    <row r="538" hidden="1">
      <c r="A538" s="199" t="str">
        <f>IFERROR(__xludf.DUMMYFUNCTION("""COMPUTED_VALUE"""),"533.BE220")</f>
        <v>533.BE220</v>
      </c>
      <c r="B538" s="200" t="str">
        <f>IFERROR(__xludf.DUMMYFUNCTION("""COMPUTED_VALUE"""),"Bucket Elevator BM#3 GB.")</f>
        <v>Bucket Elevator BM#3 GB.</v>
      </c>
      <c r="C538" s="199">
        <f>IFERROR(__xludf.DUMMYFUNCTION("""COMPUTED_VALUE"""),2.5330281203E10)</f>
        <v>25330281203</v>
      </c>
      <c r="D538" s="201">
        <f>IFERROR(__xludf.DUMMYFUNCTION("""COMPUTED_VALUE"""),45977.0)</f>
        <v>45977</v>
      </c>
      <c r="E538" s="202" t="str">
        <f>IFERROR(__xludf.DUMMYFUNCTION("""COMPUTED_VALUE"""),"Alert")</f>
        <v>Alert</v>
      </c>
      <c r="F538" s="202" t="str">
        <f>IFERROR(__xludf.DUMMYFUNCTION("""COMPUTED_VALUE"""),"Alert")</f>
        <v>Alert</v>
      </c>
      <c r="G538" s="203" t="str">
        <f>IFERROR(__xludf.DUMMYFUNCTION("""COMPUTED_VALUE"""),"Normal")</f>
        <v>Normal</v>
      </c>
      <c r="H538" s="203" t="str">
        <f>IFERROR(__xludf.DUMMYFUNCTION("""COMPUTED_VALUE"""),"Normal")</f>
        <v>Normal</v>
      </c>
      <c r="I538" s="37"/>
      <c r="J538" s="37"/>
      <c r="K538" s="37"/>
      <c r="L538" s="199">
        <f>IFERROR(__xludf.DUMMYFUNCTION("""COMPUTED_VALUE"""),73.0)</f>
        <v>73</v>
      </c>
      <c r="M538" s="199">
        <f>IFERROR(__xludf.DUMMYFUNCTION("""COMPUTED_VALUE"""),307.1)</f>
        <v>307.1</v>
      </c>
      <c r="N538" s="37"/>
      <c r="O538" s="37">
        <f>IFERROR(__xludf.DUMMYFUNCTION("""COMPUTED_VALUE"""),1.0)</f>
        <v>1</v>
      </c>
      <c r="P538" s="199">
        <f>IFERROR(__xludf.DUMMYFUNCTION("""COMPUTED_VALUE"""),0.1)</f>
        <v>0.1</v>
      </c>
      <c r="Q538" s="199">
        <f>IFERROR(__xludf.DUMMYFUNCTION("""COMPUTED_VALUE"""),0.0)</f>
        <v>0</v>
      </c>
      <c r="R538" s="199">
        <f>IFERROR(__xludf.DUMMYFUNCTION("""COMPUTED_VALUE"""),5.0)</f>
        <v>5</v>
      </c>
      <c r="S538" s="199">
        <f>IFERROR(__xludf.DUMMYFUNCTION("""COMPUTED_VALUE"""),0.0)</f>
        <v>0</v>
      </c>
      <c r="T538" s="199">
        <f>IFERROR(__xludf.DUMMYFUNCTION("""COMPUTED_VALUE"""),3.0)</f>
        <v>3</v>
      </c>
      <c r="U538" s="199">
        <f>IFERROR(__xludf.DUMMYFUNCTION("""COMPUTED_VALUE"""),142.0)</f>
        <v>142</v>
      </c>
      <c r="V538" s="199">
        <f>IFERROR(__xludf.DUMMYFUNCTION("""COMPUTED_VALUE"""),2.0)</f>
        <v>2</v>
      </c>
      <c r="W538" s="199">
        <f>IFERROR(__xludf.DUMMYFUNCTION("""COMPUTED_VALUE"""),0.0)</f>
        <v>0</v>
      </c>
      <c r="X538" s="199">
        <f>IFERROR(__xludf.DUMMYFUNCTION("""COMPUTED_VALUE"""),0.0)</f>
        <v>0</v>
      </c>
      <c r="Y538" s="199">
        <f>IFERROR(__xludf.DUMMYFUNCTION("""COMPUTED_VALUE"""),0.0)</f>
        <v>0</v>
      </c>
      <c r="Z538" s="199">
        <f>IFERROR(__xludf.DUMMYFUNCTION("""COMPUTED_VALUE"""),5.0)</f>
        <v>5</v>
      </c>
      <c r="AA538" s="199">
        <f>IFERROR(__xludf.DUMMYFUNCTION("""COMPUTED_VALUE"""),0.0)</f>
        <v>0</v>
      </c>
      <c r="AB538" s="199">
        <f>IFERROR(__xludf.DUMMYFUNCTION("""COMPUTED_VALUE"""),139.0)</f>
        <v>139</v>
      </c>
      <c r="AC538" s="199">
        <f>IFERROR(__xludf.DUMMYFUNCTION("""COMPUTED_VALUE"""),27.0)</f>
        <v>27</v>
      </c>
      <c r="AD538" s="199">
        <f>IFERROR(__xludf.DUMMYFUNCTION("""COMPUTED_VALUE"""),0.0)</f>
        <v>0</v>
      </c>
      <c r="AE538" s="199">
        <f>IFERROR(__xludf.DUMMYFUNCTION("""COMPUTED_VALUE"""),151.0)</f>
        <v>151</v>
      </c>
      <c r="AF538" s="199">
        <f>IFERROR(__xludf.DUMMYFUNCTION("""COMPUTED_VALUE"""),9.0)</f>
        <v>9</v>
      </c>
      <c r="AG538" s="199">
        <f>IFERROR(__xludf.DUMMYFUNCTION("""COMPUTED_VALUE"""),336.0)</f>
        <v>336</v>
      </c>
      <c r="AH538" s="199">
        <f>IFERROR(__xludf.DUMMYFUNCTION("""COMPUTED_VALUE"""),14.0)</f>
        <v>14</v>
      </c>
      <c r="AI538" s="200" t="str">
        <f>IFERROR(__xludf.DUMMYFUNCTION("""COMPUTED_VALUE"""),"Contamination Alert")</f>
        <v>Contamination Alert</v>
      </c>
      <c r="AJ538" s="200" t="str">
        <f>IFERROR(__xludf.DUMMYFUNCTION("""COMPUTED_VALUE"""),"High wear metals - inspect bearing/gear surfaces; Very high silicon - check/replace air filters, inspect seals")</f>
        <v>High wear metals - inspect bearing/gear surfaces; Very high silicon - check/replace air filters, inspect seals</v>
      </c>
      <c r="AK538" s="204"/>
      <c r="AL538" s="204"/>
      <c r="AM538" s="204"/>
    </row>
    <row r="539" hidden="1">
      <c r="A539" s="199" t="str">
        <f>IFERROR(__xludf.DUMMYFUNCTION("""COMPUTED_VALUE"""),"533.LQ110")</f>
        <v>533.LQ110</v>
      </c>
      <c r="B539" s="200" t="str">
        <f>IFERROR(__xludf.DUMMYFUNCTION("""COMPUTED_VALUE"""),"Cement Mill Inlet Slide Shoe Bearing LUB.")</f>
        <v>Cement Mill Inlet Slide Shoe Bearing LUB.</v>
      </c>
      <c r="C539" s="199">
        <f>IFERROR(__xludf.DUMMYFUNCTION("""COMPUTED_VALUE"""),2.5330281205E10)</f>
        <v>25330281205</v>
      </c>
      <c r="D539" s="201">
        <f>IFERROR(__xludf.DUMMYFUNCTION("""COMPUTED_VALUE"""),45977.0)</f>
        <v>45977</v>
      </c>
      <c r="E539" s="202" t="str">
        <f>IFERROR(__xludf.DUMMYFUNCTION("""COMPUTED_VALUE"""),"Alert")</f>
        <v>Alert</v>
      </c>
      <c r="F539" s="202" t="str">
        <f>IFERROR(__xludf.DUMMYFUNCTION("""COMPUTED_VALUE"""),"Alert")</f>
        <v>Alert</v>
      </c>
      <c r="G539" s="203" t="str">
        <f>IFERROR(__xludf.DUMMYFUNCTION("""COMPUTED_VALUE"""),"Alert")</f>
        <v>Alert</v>
      </c>
      <c r="H539" s="203" t="str">
        <f>IFERROR(__xludf.DUMMYFUNCTION("""COMPUTED_VALUE"""),"Normal")</f>
        <v>Normal</v>
      </c>
      <c r="I539" s="199"/>
      <c r="J539" s="199"/>
      <c r="K539" s="199"/>
      <c r="L539" s="199">
        <f>IFERROR(__xludf.DUMMYFUNCTION("""COMPUTED_VALUE"""),116.0)</f>
        <v>116</v>
      </c>
      <c r="M539" s="199">
        <f>IFERROR(__xludf.DUMMYFUNCTION("""COMPUTED_VALUE"""),463.8)</f>
        <v>463.8</v>
      </c>
      <c r="N539" s="199"/>
      <c r="O539" s="199">
        <f>IFERROR(__xludf.DUMMYFUNCTION("""COMPUTED_VALUE"""),1.0)</f>
        <v>1</v>
      </c>
      <c r="P539" s="199">
        <f>IFERROR(__xludf.DUMMYFUNCTION("""COMPUTED_VALUE"""),0.2)</f>
        <v>0.2</v>
      </c>
      <c r="Q539" s="199">
        <f>IFERROR(__xludf.DUMMYFUNCTION("""COMPUTED_VALUE"""),0.0)</f>
        <v>0</v>
      </c>
      <c r="R539" s="199">
        <f>IFERROR(__xludf.DUMMYFUNCTION("""COMPUTED_VALUE"""),39.0)</f>
        <v>39</v>
      </c>
      <c r="S539" s="199">
        <f>IFERROR(__xludf.DUMMYFUNCTION("""COMPUTED_VALUE"""),0.0)</f>
        <v>0</v>
      </c>
      <c r="T539" s="199">
        <f>IFERROR(__xludf.DUMMYFUNCTION("""COMPUTED_VALUE"""),40.0)</f>
        <v>40</v>
      </c>
      <c r="U539" s="199">
        <f>IFERROR(__xludf.DUMMYFUNCTION("""COMPUTED_VALUE"""),64.0)</f>
        <v>64</v>
      </c>
      <c r="V539" s="199">
        <f>IFERROR(__xludf.DUMMYFUNCTION("""COMPUTED_VALUE"""),5.0)</f>
        <v>5</v>
      </c>
      <c r="W539" s="199">
        <f>IFERROR(__xludf.DUMMYFUNCTION("""COMPUTED_VALUE"""),0.0)</f>
        <v>0</v>
      </c>
      <c r="X539" s="199">
        <f>IFERROR(__xludf.DUMMYFUNCTION("""COMPUTED_VALUE"""),23.0)</f>
        <v>23</v>
      </c>
      <c r="Y539" s="199">
        <f>IFERROR(__xludf.DUMMYFUNCTION("""COMPUTED_VALUE"""),0.0)</f>
        <v>0</v>
      </c>
      <c r="Z539" s="199">
        <f>IFERROR(__xludf.DUMMYFUNCTION("""COMPUTED_VALUE"""),8.0)</f>
        <v>8</v>
      </c>
      <c r="AA539" s="199">
        <f>IFERROR(__xludf.DUMMYFUNCTION("""COMPUTED_VALUE"""),0.0)</f>
        <v>0</v>
      </c>
      <c r="AB539" s="199">
        <f>IFERROR(__xludf.DUMMYFUNCTION("""COMPUTED_VALUE"""),331.0)</f>
        <v>331</v>
      </c>
      <c r="AC539" s="199">
        <f>IFERROR(__xludf.DUMMYFUNCTION("""COMPUTED_VALUE"""),85.0)</f>
        <v>85</v>
      </c>
      <c r="AD539" s="199">
        <f>IFERROR(__xludf.DUMMYFUNCTION("""COMPUTED_VALUE"""),0.0)</f>
        <v>0</v>
      </c>
      <c r="AE539" s="199">
        <f>IFERROR(__xludf.DUMMYFUNCTION("""COMPUTED_VALUE"""),361.0)</f>
        <v>361</v>
      </c>
      <c r="AF539" s="199">
        <f>IFERROR(__xludf.DUMMYFUNCTION("""COMPUTED_VALUE"""),9.0)</f>
        <v>9</v>
      </c>
      <c r="AG539" s="199">
        <f>IFERROR(__xludf.DUMMYFUNCTION("""COMPUTED_VALUE"""),368.0)</f>
        <v>368</v>
      </c>
      <c r="AH539" s="199">
        <f>IFERROR(__xludf.DUMMYFUNCTION("""COMPUTED_VALUE"""),32.0)</f>
        <v>32</v>
      </c>
      <c r="AI539" s="200" t="str">
        <f>IFERROR(__xludf.DUMMYFUNCTION("""COMPUTED_VALUE"""),"Wear Metal Alert | Contamination Alert | Water Ingress | High Particle Count")</f>
        <v>Wear Metal Alert | Contamination Alert | Water Ingress | High Particle Count</v>
      </c>
      <c r="AJ539" s="200" t="str">
        <f>IFERROR(__xludf.DUMMYFUNCTION("""COMPUTED_VALUE"""),"URGENT: Inspect equipment immediately for wear/damage; Water detected - inspect seals and breathers; Very high silicon - check/replace air filters, inspect seals; High particle count - replace filters and resample")</f>
        <v>URGENT: Inspect equipment immediately for wear/damage; Water detected - inspect seals and breathers; Very high silicon - check/replace air filters, inspect seals; High particle count - replace filters and resample</v>
      </c>
      <c r="AK539" s="204"/>
      <c r="AL539" s="204"/>
      <c r="AM539" s="204"/>
    </row>
    <row r="540" hidden="1">
      <c r="A540" s="199" t="str">
        <f>IFERROR(__xludf.DUMMYFUNCTION("""COMPUTED_VALUE"""),"533.LQ120")</f>
        <v>533.LQ120</v>
      </c>
      <c r="B540" s="200" t="str">
        <f>IFERROR(__xludf.DUMMYFUNCTION("""COMPUTED_VALUE"""),"Cement Mill Outlet Slide Shoe Bearing LUB.")</f>
        <v>Cement Mill Outlet Slide Shoe Bearing LUB.</v>
      </c>
      <c r="C540" s="199">
        <f>IFERROR(__xludf.DUMMYFUNCTION("""COMPUTED_VALUE"""),2.5330281206E10)</f>
        <v>25330281206</v>
      </c>
      <c r="D540" s="201">
        <f>IFERROR(__xludf.DUMMYFUNCTION("""COMPUTED_VALUE"""),45977.0)</f>
        <v>45977</v>
      </c>
      <c r="E540" s="202" t="str">
        <f>IFERROR(__xludf.DUMMYFUNCTION("""COMPUTED_VALUE"""),"Alert")</f>
        <v>Alert</v>
      </c>
      <c r="F540" s="202" t="str">
        <f>IFERROR(__xludf.DUMMYFUNCTION("""COMPUTED_VALUE"""),"Alert")</f>
        <v>Alert</v>
      </c>
      <c r="G540" s="203" t="str">
        <f>IFERROR(__xludf.DUMMYFUNCTION("""COMPUTED_VALUE"""),"Alert")</f>
        <v>Alert</v>
      </c>
      <c r="H540" s="203" t="str">
        <f>IFERROR(__xludf.DUMMYFUNCTION("""COMPUTED_VALUE"""),"Normal")</f>
        <v>Normal</v>
      </c>
      <c r="I540" s="37"/>
      <c r="J540" s="37"/>
      <c r="K540" s="37"/>
      <c r="L540" s="199">
        <f>IFERROR(__xludf.DUMMYFUNCTION("""COMPUTED_VALUE"""),126.0)</f>
        <v>126</v>
      </c>
      <c r="M540" s="199">
        <f>IFERROR(__xludf.DUMMYFUNCTION("""COMPUTED_VALUE"""),429.2)</f>
        <v>429.2</v>
      </c>
      <c r="N540" s="199"/>
      <c r="O540" s="199">
        <f>IFERROR(__xludf.DUMMYFUNCTION("""COMPUTED_VALUE"""),0.0)</f>
        <v>0</v>
      </c>
      <c r="P540" s="199">
        <f>IFERROR(__xludf.DUMMYFUNCTION("""COMPUTED_VALUE"""),0.2)</f>
        <v>0.2</v>
      </c>
      <c r="Q540" s="199">
        <f>IFERROR(__xludf.DUMMYFUNCTION("""COMPUTED_VALUE"""),0.0)</f>
        <v>0</v>
      </c>
      <c r="R540" s="199">
        <f>IFERROR(__xludf.DUMMYFUNCTION("""COMPUTED_VALUE"""),14.0)</f>
        <v>14</v>
      </c>
      <c r="S540" s="199">
        <f>IFERROR(__xludf.DUMMYFUNCTION("""COMPUTED_VALUE"""),0.0)</f>
        <v>0</v>
      </c>
      <c r="T540" s="199">
        <f>IFERROR(__xludf.DUMMYFUNCTION("""COMPUTED_VALUE"""),57.0)</f>
        <v>57</v>
      </c>
      <c r="U540" s="199">
        <f>IFERROR(__xludf.DUMMYFUNCTION("""COMPUTED_VALUE"""),116.0)</f>
        <v>116</v>
      </c>
      <c r="V540" s="199">
        <f>IFERROR(__xludf.DUMMYFUNCTION("""COMPUTED_VALUE"""),2.0)</f>
        <v>2</v>
      </c>
      <c r="W540" s="199">
        <f>IFERROR(__xludf.DUMMYFUNCTION("""COMPUTED_VALUE"""),0.0)</f>
        <v>0</v>
      </c>
      <c r="X540" s="199">
        <f>IFERROR(__xludf.DUMMYFUNCTION("""COMPUTED_VALUE"""),46.0)</f>
        <v>46</v>
      </c>
      <c r="Y540" s="199">
        <f>IFERROR(__xludf.DUMMYFUNCTION("""COMPUTED_VALUE"""),0.0)</f>
        <v>0</v>
      </c>
      <c r="Z540" s="199">
        <f>IFERROR(__xludf.DUMMYFUNCTION("""COMPUTED_VALUE"""),0.0)</f>
        <v>0</v>
      </c>
      <c r="AA540" s="199">
        <f>IFERROR(__xludf.DUMMYFUNCTION("""COMPUTED_VALUE"""),7.0)</f>
        <v>7</v>
      </c>
      <c r="AB540" s="199">
        <f>IFERROR(__xludf.DUMMYFUNCTION("""COMPUTED_VALUE"""),78.0)</f>
        <v>78</v>
      </c>
      <c r="AC540" s="199">
        <f>IFERROR(__xludf.DUMMYFUNCTION("""COMPUTED_VALUE"""),25.0)</f>
        <v>25</v>
      </c>
      <c r="AD540" s="199">
        <f>IFERROR(__xludf.DUMMYFUNCTION("""COMPUTED_VALUE"""),0.0)</f>
        <v>0</v>
      </c>
      <c r="AE540" s="199">
        <f>IFERROR(__xludf.DUMMYFUNCTION("""COMPUTED_VALUE"""),424.0)</f>
        <v>424</v>
      </c>
      <c r="AF540" s="199">
        <f>IFERROR(__xludf.DUMMYFUNCTION("""COMPUTED_VALUE"""),16.0)</f>
        <v>16</v>
      </c>
      <c r="AG540" s="199">
        <f>IFERROR(__xludf.DUMMYFUNCTION("""COMPUTED_VALUE"""),403.0)</f>
        <v>403</v>
      </c>
      <c r="AH540" s="199">
        <f>IFERROR(__xludf.DUMMYFUNCTION("""COMPUTED_VALUE"""),24.0)</f>
        <v>24</v>
      </c>
      <c r="AI540" s="200" t="str">
        <f>IFERROR(__xludf.DUMMYFUNCTION("""COMPUTED_VALUE"""),"Wear Metal Alert | Contamination Alert | Water Ingress | High Particle Count")</f>
        <v>Wear Metal Alert | Contamination Alert | Water Ingress | High Particle Count</v>
      </c>
      <c r="AJ540" s="200" t="str">
        <f>IFERROR(__xludf.DUMMYFUNCTION("""COMPUTED_VALUE"""),"URGENT: Inspect equipment immediately for wear/damage; High wear metals - inspect bearing/gear surfaces; Water detected - inspect seals and breathers; Elevated silicon - inspect filters and seals for contamination; High particle count - replace filters an"&amp;"d resample")</f>
        <v>URGENT: Inspect equipment immediately for wear/damage; High wear metals - inspect bearing/gear surfaces; Water detected - inspect seals and breathers; Elevated silicon - inspect filters and seals for contamination; High particle count - replace filters and resample</v>
      </c>
      <c r="AK540" s="204"/>
      <c r="AL540" s="204"/>
      <c r="AM540" s="204"/>
    </row>
    <row r="541" hidden="1">
      <c r="A541" s="199" t="str">
        <f>IFERROR(__xludf.DUMMYFUNCTION("""COMPUTED_VALUE"""),"534.LQ110")</f>
        <v>534.LQ110</v>
      </c>
      <c r="B541" s="200" t="str">
        <f>IFERROR(__xludf.DUMMYFUNCTION("""COMPUTED_VALUE"""),"Cement Mill Inlet Slide Shoe Bearing LUB.")</f>
        <v>Cement Mill Inlet Slide Shoe Bearing LUB.</v>
      </c>
      <c r="C541" s="199">
        <f>IFERROR(__xludf.DUMMYFUNCTION("""COMPUTED_VALUE"""),2.5330281208E10)</f>
        <v>25330281208</v>
      </c>
      <c r="D541" s="201">
        <f>IFERROR(__xludf.DUMMYFUNCTION("""COMPUTED_VALUE"""),45977.0)</f>
        <v>45977</v>
      </c>
      <c r="E541" s="202" t="str">
        <f>IFERROR(__xludf.DUMMYFUNCTION("""COMPUTED_VALUE"""),"Alert")</f>
        <v>Alert</v>
      </c>
      <c r="F541" s="202" t="str">
        <f>IFERROR(__xludf.DUMMYFUNCTION("""COMPUTED_VALUE"""),"Alert")</f>
        <v>Alert</v>
      </c>
      <c r="G541" s="203" t="str">
        <f>IFERROR(__xludf.DUMMYFUNCTION("""COMPUTED_VALUE"""),"Alert")</f>
        <v>Alert</v>
      </c>
      <c r="H541" s="203" t="str">
        <f>IFERROR(__xludf.DUMMYFUNCTION("""COMPUTED_VALUE"""),"Caution")</f>
        <v>Caution</v>
      </c>
      <c r="I541" s="37"/>
      <c r="J541" s="37"/>
      <c r="K541" s="37"/>
      <c r="L541" s="199">
        <f>IFERROR(__xludf.DUMMYFUNCTION("""COMPUTED_VALUE"""),388.0)</f>
        <v>388</v>
      </c>
      <c r="M541" s="199">
        <f>IFERROR(__xludf.DUMMYFUNCTION("""COMPUTED_VALUE"""),459.5)</f>
        <v>459.5</v>
      </c>
      <c r="N541" s="199"/>
      <c r="O541" s="199">
        <f>IFERROR(__xludf.DUMMYFUNCTION("""COMPUTED_VALUE"""),6.0)</f>
        <v>6</v>
      </c>
      <c r="P541" s="199">
        <f>IFERROR(__xludf.DUMMYFUNCTION("""COMPUTED_VALUE"""),0.2)</f>
        <v>0.2</v>
      </c>
      <c r="Q541" s="199">
        <f>IFERROR(__xludf.DUMMYFUNCTION("""COMPUTED_VALUE"""),0.0)</f>
        <v>0</v>
      </c>
      <c r="R541" s="199">
        <f>IFERROR(__xludf.DUMMYFUNCTION("""COMPUTED_VALUE"""),26.0)</f>
        <v>26</v>
      </c>
      <c r="S541" s="199">
        <f>IFERROR(__xludf.DUMMYFUNCTION("""COMPUTED_VALUE"""),1.0)</f>
        <v>1</v>
      </c>
      <c r="T541" s="199">
        <f>IFERROR(__xludf.DUMMYFUNCTION("""COMPUTED_VALUE"""),690.0)</f>
        <v>690</v>
      </c>
      <c r="U541" s="199">
        <f>IFERROR(__xludf.DUMMYFUNCTION("""COMPUTED_VALUE"""),449.0)</f>
        <v>449</v>
      </c>
      <c r="V541" s="199">
        <f>IFERROR(__xludf.DUMMYFUNCTION("""COMPUTED_VALUE"""),2.0)</f>
        <v>2</v>
      </c>
      <c r="W541" s="199">
        <f>IFERROR(__xludf.DUMMYFUNCTION("""COMPUTED_VALUE"""),0.0)</f>
        <v>0</v>
      </c>
      <c r="X541" s="199">
        <f>IFERROR(__xludf.DUMMYFUNCTION("""COMPUTED_VALUE"""),215.0)</f>
        <v>215</v>
      </c>
      <c r="Y541" s="199">
        <f>IFERROR(__xludf.DUMMYFUNCTION("""COMPUTED_VALUE"""),1604.0)</f>
        <v>1604</v>
      </c>
      <c r="Z541" s="199">
        <f>IFERROR(__xludf.DUMMYFUNCTION("""COMPUTED_VALUE"""),8.0)</f>
        <v>8</v>
      </c>
      <c r="AA541" s="199">
        <f>IFERROR(__xludf.DUMMYFUNCTION("""COMPUTED_VALUE"""),12.0)</f>
        <v>12</v>
      </c>
      <c r="AB541" s="199">
        <f>IFERROR(__xludf.DUMMYFUNCTION("""COMPUTED_VALUE"""),107.0)</f>
        <v>107</v>
      </c>
      <c r="AC541" s="199">
        <f>IFERROR(__xludf.DUMMYFUNCTION("""COMPUTED_VALUE"""),22.0)</f>
        <v>22</v>
      </c>
      <c r="AD541" s="199">
        <f>IFERROR(__xludf.DUMMYFUNCTION("""COMPUTED_VALUE"""),0.0)</f>
        <v>0</v>
      </c>
      <c r="AE541" s="199">
        <f>IFERROR(__xludf.DUMMYFUNCTION("""COMPUTED_VALUE"""),592.0)</f>
        <v>592</v>
      </c>
      <c r="AF541" s="199">
        <f>IFERROR(__xludf.DUMMYFUNCTION("""COMPUTED_VALUE"""),25.0)</f>
        <v>25</v>
      </c>
      <c r="AG541" s="199">
        <f>IFERROR(__xludf.DUMMYFUNCTION("""COMPUTED_VALUE"""),433.0)</f>
        <v>433</v>
      </c>
      <c r="AH541" s="199">
        <f>IFERROR(__xludf.DUMMYFUNCTION("""COMPUTED_VALUE"""),11.0)</f>
        <v>11</v>
      </c>
      <c r="AI541" s="200" t="str">
        <f>IFERROR(__xludf.DUMMYFUNCTION("""COMPUTED_VALUE"""),"Wear Metal Alert | Contamination Alert | Water Ingress | High Particle Count")</f>
        <v>Wear Metal Alert | Contamination Alert | Water Ingress | High Particle Count</v>
      </c>
      <c r="AJ541" s="200" t="str">
        <f>IFERROR(__xludf.DUMMYFUNCTION("""COMPUTED_VALUE"""),"URGENT: Inspect equipment immediately for wear/damage; Critical wear metals detected - schedule immediate inspection; High wear metals - inspect bearing/gear surfaces; Water detected - inspect seals and breathers; Severe oxidation - lubricant change requi"&amp;"red urgently; Very high silicon - check/replace air filters, inspect seals; Critical particle count - flush system and replace filters")</f>
        <v>URGENT: Inspect equipment immediately for wear/damage; Critical wear metals detected - schedule immediate inspection; High wear metals - inspect bearing/gear surfaces; Water detected - inspect seals and breathers; Severe oxidation - lubricant change required urgently; Very high silicon - check/replace air filters, inspect seals; Critical particle count - flush system and replace filters</v>
      </c>
      <c r="AK541" s="204"/>
      <c r="AL541" s="204"/>
      <c r="AM541" s="204"/>
    </row>
    <row r="542" hidden="1">
      <c r="A542" s="199" t="str">
        <f>IFERROR(__xludf.DUMMYFUNCTION("""COMPUTED_VALUE"""),"534.LQ120")</f>
        <v>534.LQ120</v>
      </c>
      <c r="B542" s="200" t="str">
        <f>IFERROR(__xludf.DUMMYFUNCTION("""COMPUTED_VALUE"""),"Cement Mill Outlet Slide Shoe Bearing LUB.")</f>
        <v>Cement Mill Outlet Slide Shoe Bearing LUB.</v>
      </c>
      <c r="C542" s="199">
        <f>IFERROR(__xludf.DUMMYFUNCTION("""COMPUTED_VALUE"""),2.5330281202E10)</f>
        <v>25330281202</v>
      </c>
      <c r="D542" s="201">
        <f>IFERROR(__xludf.DUMMYFUNCTION("""COMPUTED_VALUE"""),45977.0)</f>
        <v>45977</v>
      </c>
      <c r="E542" s="202" t="str">
        <f>IFERROR(__xludf.DUMMYFUNCTION("""COMPUTED_VALUE"""),"Alert")</f>
        <v>Alert</v>
      </c>
      <c r="F542" s="202" t="str">
        <f>IFERROR(__xludf.DUMMYFUNCTION("""COMPUTED_VALUE"""),"Alert")</f>
        <v>Alert</v>
      </c>
      <c r="G542" s="203" t="str">
        <f>IFERROR(__xludf.DUMMYFUNCTION("""COMPUTED_VALUE"""),"Alert")</f>
        <v>Alert</v>
      </c>
      <c r="H542" s="203" t="str">
        <f>IFERROR(__xludf.DUMMYFUNCTION("""COMPUTED_VALUE"""),"Caution")</f>
        <v>Caution</v>
      </c>
      <c r="I542" s="37"/>
      <c r="J542" s="37"/>
      <c r="K542" s="37"/>
      <c r="L542" s="199">
        <f>IFERROR(__xludf.DUMMYFUNCTION("""COMPUTED_VALUE"""),389.0)</f>
        <v>389</v>
      </c>
      <c r="M542" s="199">
        <f>IFERROR(__xludf.DUMMYFUNCTION("""COMPUTED_VALUE"""),458.1)</f>
        <v>458.1</v>
      </c>
      <c r="N542" s="199"/>
      <c r="O542" s="199">
        <f>IFERROR(__xludf.DUMMYFUNCTION("""COMPUTED_VALUE"""),5.0)</f>
        <v>5</v>
      </c>
      <c r="P542" s="199">
        <f>IFERROR(__xludf.DUMMYFUNCTION("""COMPUTED_VALUE"""),0.4)</f>
        <v>0.4</v>
      </c>
      <c r="Q542" s="199">
        <f>IFERROR(__xludf.DUMMYFUNCTION("""COMPUTED_VALUE"""),0.0)</f>
        <v>0</v>
      </c>
      <c r="R542" s="199">
        <f>IFERROR(__xludf.DUMMYFUNCTION("""COMPUTED_VALUE"""),21.0)</f>
        <v>21</v>
      </c>
      <c r="S542" s="199">
        <f>IFERROR(__xludf.DUMMYFUNCTION("""COMPUTED_VALUE"""),0.0)</f>
        <v>0</v>
      </c>
      <c r="T542" s="199">
        <f>IFERROR(__xludf.DUMMYFUNCTION("""COMPUTED_VALUE"""),334.0)</f>
        <v>334</v>
      </c>
      <c r="U542" s="199">
        <f>IFERROR(__xludf.DUMMYFUNCTION("""COMPUTED_VALUE"""),80.0)</f>
        <v>80</v>
      </c>
      <c r="V542" s="199">
        <f>IFERROR(__xludf.DUMMYFUNCTION("""COMPUTED_VALUE"""),2.0)</f>
        <v>2</v>
      </c>
      <c r="W542" s="199">
        <f>IFERROR(__xludf.DUMMYFUNCTION("""COMPUTED_VALUE"""),0.0)</f>
        <v>0</v>
      </c>
      <c r="X542" s="199">
        <f>IFERROR(__xludf.DUMMYFUNCTION("""COMPUTED_VALUE"""),65.0)</f>
        <v>65</v>
      </c>
      <c r="Y542" s="199">
        <f>IFERROR(__xludf.DUMMYFUNCTION("""COMPUTED_VALUE"""),1800.0)</f>
        <v>1800</v>
      </c>
      <c r="Z542" s="199">
        <f>IFERROR(__xludf.DUMMYFUNCTION("""COMPUTED_VALUE"""),5.0)</f>
        <v>5</v>
      </c>
      <c r="AA542" s="199">
        <f>IFERROR(__xludf.DUMMYFUNCTION("""COMPUTED_VALUE"""),0.0)</f>
        <v>0</v>
      </c>
      <c r="AB542" s="199">
        <f>IFERROR(__xludf.DUMMYFUNCTION("""COMPUTED_VALUE"""),184.0)</f>
        <v>184</v>
      </c>
      <c r="AC542" s="199">
        <f>IFERROR(__xludf.DUMMYFUNCTION("""COMPUTED_VALUE"""),64.0)</f>
        <v>64</v>
      </c>
      <c r="AD542" s="199">
        <f>IFERROR(__xludf.DUMMYFUNCTION("""COMPUTED_VALUE"""),0.0)</f>
        <v>0</v>
      </c>
      <c r="AE542" s="199">
        <f>IFERROR(__xludf.DUMMYFUNCTION("""COMPUTED_VALUE"""),188.0)</f>
        <v>188</v>
      </c>
      <c r="AF542" s="199">
        <f>IFERROR(__xludf.DUMMYFUNCTION("""COMPUTED_VALUE"""),3.0)</f>
        <v>3</v>
      </c>
      <c r="AG542" s="199">
        <f>IFERROR(__xludf.DUMMYFUNCTION("""COMPUTED_VALUE"""),356.0)</f>
        <v>356</v>
      </c>
      <c r="AH542" s="199">
        <f>IFERROR(__xludf.DUMMYFUNCTION("""COMPUTED_VALUE"""),0.0)</f>
        <v>0</v>
      </c>
      <c r="AI542" s="200" t="str">
        <f>IFERROR(__xludf.DUMMYFUNCTION("""COMPUTED_VALUE"""),"Wear Metal Alert | Contamination Alert | Water Ingress | High Particle Count")</f>
        <v>Wear Metal Alert | Contamination Alert | Water Ingress | High Particle Count</v>
      </c>
      <c r="AJ542" s="200" t="str">
        <f>IFERROR(__xludf.DUMMYFUNCTION("""COMPUTED_VALUE"""),"URGENT: Inspect equipment immediately for wear/damage; Critical wear metals detected - schedule immediate inspection; High wear metals - inspect bearing/gear surfaces; High water contamination - check seals and drain water immediately; Severe oxidation - "&amp;"lubricant change required urgently; Very high silicon - check/replace air filters, inspect seals; Critical particle count - flush system and replace filters")</f>
        <v>URGENT: Inspect equipment immediately for wear/damage; Critical wear metals detected - schedule immediate inspection; High wear metals - inspect bearing/gear surfaces; High water contamination - check seals and drain water immediately; Severe oxidation - lubricant change required urgently; Very high silicon - check/replace air filters, inspect seals; Critical particle count - flush system and replace filters</v>
      </c>
      <c r="AK542" s="204"/>
      <c r="AL542" s="204"/>
      <c r="AM542" s="204"/>
    </row>
    <row r="543" hidden="1">
      <c r="A543" s="199" t="str">
        <f>IFERROR(__xludf.DUMMYFUNCTION("""COMPUTED_VALUE"""),"R2.322.BE220")</f>
        <v>R2.322.BE220</v>
      </c>
      <c r="B543" s="200" t="str">
        <f>IFERROR(__xludf.DUMMYFUNCTION("""COMPUTED_VALUE"""),"R2 Bucket Elevator gearbox")</f>
        <v>R2 Bucket Elevator gearbox</v>
      </c>
      <c r="C543" s="199">
        <f>IFERROR(__xludf.DUMMYFUNCTION("""COMPUTED_VALUE"""),2.5330261236E10)</f>
        <v>25330261236</v>
      </c>
      <c r="D543" s="201">
        <f>IFERROR(__xludf.DUMMYFUNCTION("""COMPUTED_VALUE"""),45977.0)</f>
        <v>45977</v>
      </c>
      <c r="E543" s="202" t="str">
        <f>IFERROR(__xludf.DUMMYFUNCTION("""COMPUTED_VALUE"""),"Alert")</f>
        <v>Alert</v>
      </c>
      <c r="F543" s="202" t="str">
        <f>IFERROR(__xludf.DUMMYFUNCTION("""COMPUTED_VALUE"""),"Alert")</f>
        <v>Alert</v>
      </c>
      <c r="G543" s="203" t="str">
        <f>IFERROR(__xludf.DUMMYFUNCTION("""COMPUTED_VALUE"""),"Normal")</f>
        <v>Normal</v>
      </c>
      <c r="H543" s="203" t="str">
        <f>IFERROR(__xludf.DUMMYFUNCTION("""COMPUTED_VALUE"""),"Normal")</f>
        <v>Normal</v>
      </c>
      <c r="I543" s="37"/>
      <c r="J543" s="37"/>
      <c r="K543" s="37"/>
      <c r="L543" s="199">
        <f>IFERROR(__xludf.DUMMYFUNCTION("""COMPUTED_VALUE"""),9.0)</f>
        <v>9</v>
      </c>
      <c r="M543" s="199">
        <f>IFERROR(__xludf.DUMMYFUNCTION("""COMPUTED_VALUE"""),285.1)</f>
        <v>285.1</v>
      </c>
      <c r="N543" s="199"/>
      <c r="O543" s="199">
        <f>IFERROR(__xludf.DUMMYFUNCTION("""COMPUTED_VALUE"""),0.0)</f>
        <v>0</v>
      </c>
      <c r="P543" s="199">
        <f>IFERROR(__xludf.DUMMYFUNCTION("""COMPUTED_VALUE"""),0.2)</f>
        <v>0.2</v>
      </c>
      <c r="Q543" s="199">
        <f>IFERROR(__xludf.DUMMYFUNCTION("""COMPUTED_VALUE"""),0.0)</f>
        <v>0</v>
      </c>
      <c r="R543" s="199">
        <f>IFERROR(__xludf.DUMMYFUNCTION("""COMPUTED_VALUE"""),0.0)</f>
        <v>0</v>
      </c>
      <c r="S543" s="199">
        <f>IFERROR(__xludf.DUMMYFUNCTION("""COMPUTED_VALUE"""),0.0)</f>
        <v>0</v>
      </c>
      <c r="T543" s="199">
        <f>IFERROR(__xludf.DUMMYFUNCTION("""COMPUTED_VALUE"""),0.0)</f>
        <v>0</v>
      </c>
      <c r="U543" s="199">
        <f>IFERROR(__xludf.DUMMYFUNCTION("""COMPUTED_VALUE"""),1.0)</f>
        <v>1</v>
      </c>
      <c r="V543" s="199">
        <f>IFERROR(__xludf.DUMMYFUNCTION("""COMPUTED_VALUE"""),0.0)</f>
        <v>0</v>
      </c>
      <c r="W543" s="199">
        <f>IFERROR(__xludf.DUMMYFUNCTION("""COMPUTED_VALUE"""),0.0)</f>
        <v>0</v>
      </c>
      <c r="X543" s="199">
        <f>IFERROR(__xludf.DUMMYFUNCTION("""COMPUTED_VALUE"""),0.0)</f>
        <v>0</v>
      </c>
      <c r="Y543" s="199">
        <f>IFERROR(__xludf.DUMMYFUNCTION("""COMPUTED_VALUE"""),0.0)</f>
        <v>0</v>
      </c>
      <c r="Z543" s="199">
        <f>IFERROR(__xludf.DUMMYFUNCTION("""COMPUTED_VALUE"""),0.0)</f>
        <v>0</v>
      </c>
      <c r="AA543" s="199">
        <f>IFERROR(__xludf.DUMMYFUNCTION("""COMPUTED_VALUE"""),0.0)</f>
        <v>0</v>
      </c>
      <c r="AB543" s="199">
        <f>IFERROR(__xludf.DUMMYFUNCTION("""COMPUTED_VALUE"""),28.0)</f>
        <v>28</v>
      </c>
      <c r="AC543" s="199">
        <f>IFERROR(__xludf.DUMMYFUNCTION("""COMPUTED_VALUE"""),30.0)</f>
        <v>30</v>
      </c>
      <c r="AD543" s="199">
        <f>IFERROR(__xludf.DUMMYFUNCTION("""COMPUTED_VALUE"""),0.0)</f>
        <v>0</v>
      </c>
      <c r="AE543" s="199">
        <f>IFERROR(__xludf.DUMMYFUNCTION("""COMPUTED_VALUE"""),15.0)</f>
        <v>15</v>
      </c>
      <c r="AF543" s="199">
        <f>IFERROR(__xludf.DUMMYFUNCTION("""COMPUTED_VALUE"""),2.0)</f>
        <v>2</v>
      </c>
      <c r="AG543" s="199">
        <f>IFERROR(__xludf.DUMMYFUNCTION("""COMPUTED_VALUE"""),651.0)</f>
        <v>651</v>
      </c>
      <c r="AH543" s="199">
        <f>IFERROR(__xludf.DUMMYFUNCTION("""COMPUTED_VALUE"""),14.0)</f>
        <v>14</v>
      </c>
      <c r="AI543" s="200" t="str">
        <f>IFERROR(__xludf.DUMMYFUNCTION("""COMPUTED_VALUE"""),"Water Ingress")</f>
        <v>Water Ingress</v>
      </c>
      <c r="AJ543" s="200" t="str">
        <f>IFERROR(__xludf.DUMMYFUNCTION("""COMPUTED_VALUE"""),"Water detected - inspect seals and breathers")</f>
        <v>Water detected - inspect seals and breathers</v>
      </c>
      <c r="AK543" s="204"/>
      <c r="AL543" s="204"/>
      <c r="AM543" s="204"/>
    </row>
    <row r="544" hidden="1">
      <c r="A544" s="199" t="str">
        <f>IFERROR(__xludf.DUMMYFUNCTION("""COMPUTED_VALUE"""),"R2.332.FN110(Fr.B.)")</f>
        <v>R2.332.FN110(Fr.B.)</v>
      </c>
      <c r="B544" s="200" t="str">
        <f>IFERROR(__xludf.DUMMYFUNCTION("""COMPUTED_VALUE"""),"ID fan free bearing line 2")</f>
        <v>ID fan free bearing line 2</v>
      </c>
      <c r="C544" s="199">
        <f>IFERROR(__xludf.DUMMYFUNCTION("""COMPUTED_VALUE"""),2.5330261208E10)</f>
        <v>25330261208</v>
      </c>
      <c r="D544" s="201">
        <f>IFERROR(__xludf.DUMMYFUNCTION("""COMPUTED_VALUE"""),45977.0)</f>
        <v>45977</v>
      </c>
      <c r="E544" s="202" t="str">
        <f>IFERROR(__xludf.DUMMYFUNCTION("""COMPUTED_VALUE"""),"Alert")</f>
        <v>Alert</v>
      </c>
      <c r="F544" s="202" t="str">
        <f>IFERROR(__xludf.DUMMYFUNCTION("""COMPUTED_VALUE"""),"Normal")</f>
        <v>Normal</v>
      </c>
      <c r="G544" s="203" t="str">
        <f>IFERROR(__xludf.DUMMYFUNCTION("""COMPUTED_VALUE"""),"Normal")</f>
        <v>Normal</v>
      </c>
      <c r="H544" s="203" t="str">
        <f>IFERROR(__xludf.DUMMYFUNCTION("""COMPUTED_VALUE"""),"Alert")</f>
        <v>Alert</v>
      </c>
      <c r="I544" s="199">
        <f>IFERROR(__xludf.DUMMYFUNCTION("""COMPUTED_VALUE"""),8007.0)</f>
        <v>8007</v>
      </c>
      <c r="J544" s="199">
        <f>IFERROR(__xludf.DUMMYFUNCTION("""COMPUTED_VALUE"""),4103.0)</f>
        <v>4103</v>
      </c>
      <c r="K544" s="199">
        <f>IFERROR(__xludf.DUMMYFUNCTION("""COMPUTED_VALUE"""),961.0)</f>
        <v>961</v>
      </c>
      <c r="L544" s="199">
        <f>IFERROR(__xludf.DUMMYFUNCTION("""COMPUTED_VALUE"""),4.0)</f>
        <v>4</v>
      </c>
      <c r="M544" s="199">
        <f>IFERROR(__xludf.DUMMYFUNCTION("""COMPUTED_VALUE"""),45.5)</f>
        <v>45.5</v>
      </c>
      <c r="N544" s="199"/>
      <c r="O544" s="199">
        <f>IFERROR(__xludf.DUMMYFUNCTION("""COMPUTED_VALUE"""),1.0)</f>
        <v>1</v>
      </c>
      <c r="P544" s="199">
        <f>IFERROR(__xludf.DUMMYFUNCTION("""COMPUTED_VALUE"""),0.003)</f>
        <v>0.003</v>
      </c>
      <c r="Q544" s="199">
        <f>IFERROR(__xludf.DUMMYFUNCTION("""COMPUTED_VALUE"""),0.0)</f>
        <v>0</v>
      </c>
      <c r="R544" s="199">
        <f>IFERROR(__xludf.DUMMYFUNCTION("""COMPUTED_VALUE"""),0.0)</f>
        <v>0</v>
      </c>
      <c r="S544" s="199">
        <f>IFERROR(__xludf.DUMMYFUNCTION("""COMPUTED_VALUE"""),0.0)</f>
        <v>0</v>
      </c>
      <c r="T544" s="199">
        <f>IFERROR(__xludf.DUMMYFUNCTION("""COMPUTED_VALUE"""),0.0)</f>
        <v>0</v>
      </c>
      <c r="U544" s="199">
        <f>IFERROR(__xludf.DUMMYFUNCTION("""COMPUTED_VALUE"""),0.0)</f>
        <v>0</v>
      </c>
      <c r="V544" s="199">
        <f>IFERROR(__xludf.DUMMYFUNCTION("""COMPUTED_VALUE"""),0.0)</f>
        <v>0</v>
      </c>
      <c r="W544" s="199">
        <f>IFERROR(__xludf.DUMMYFUNCTION("""COMPUTED_VALUE"""),0.0)</f>
        <v>0</v>
      </c>
      <c r="X544" s="199">
        <f>IFERROR(__xludf.DUMMYFUNCTION("""COMPUTED_VALUE"""),0.0)</f>
        <v>0</v>
      </c>
      <c r="Y544" s="199">
        <f>IFERROR(__xludf.DUMMYFUNCTION("""COMPUTED_VALUE"""),0.0)</f>
        <v>0</v>
      </c>
      <c r="Z544" s="199">
        <f>IFERROR(__xludf.DUMMYFUNCTION("""COMPUTED_VALUE"""),0.0)</f>
        <v>0</v>
      </c>
      <c r="AA544" s="199">
        <f>IFERROR(__xludf.DUMMYFUNCTION("""COMPUTED_VALUE"""),0.0)</f>
        <v>0</v>
      </c>
      <c r="AB544" s="199">
        <f>IFERROR(__xludf.DUMMYFUNCTION("""COMPUTED_VALUE"""),2.0)</f>
        <v>2</v>
      </c>
      <c r="AC544" s="199">
        <f>IFERROR(__xludf.DUMMYFUNCTION("""COMPUTED_VALUE"""),3.0)</f>
        <v>3</v>
      </c>
      <c r="AD544" s="199">
        <f>IFERROR(__xludf.DUMMYFUNCTION("""COMPUTED_VALUE"""),0.0)</f>
        <v>0</v>
      </c>
      <c r="AE544" s="199">
        <f>IFERROR(__xludf.DUMMYFUNCTION("""COMPUTED_VALUE"""),65.0)</f>
        <v>65</v>
      </c>
      <c r="AF544" s="199">
        <f>IFERROR(__xludf.DUMMYFUNCTION("""COMPUTED_VALUE"""),0.0)</f>
        <v>0</v>
      </c>
      <c r="AG544" s="199">
        <f>IFERROR(__xludf.DUMMYFUNCTION("""COMPUTED_VALUE"""),411.0)</f>
        <v>411</v>
      </c>
      <c r="AH544" s="199">
        <f>IFERROR(__xludf.DUMMYFUNCTION("""COMPUTED_VALUE"""),447.0)</f>
        <v>447</v>
      </c>
      <c r="AI544" s="200" t="str">
        <f>IFERROR(__xludf.DUMMYFUNCTION("""COMPUTED_VALUE"""),"Lubricant Degradation")</f>
        <v>Lubricant Degradation</v>
      </c>
      <c r="AJ544" s="200" t="str">
        <f>IFERROR(__xludf.DUMMYFUNCTION("""COMPUTED_VALUE"""),"Viscosity critically low - change lubricant immediately")</f>
        <v>Viscosity critically low - change lubricant immediately</v>
      </c>
      <c r="AK544" s="204"/>
      <c r="AL544" s="204"/>
      <c r="AM544" s="204"/>
    </row>
    <row r="545" hidden="1">
      <c r="A545" s="199" t="str">
        <f>IFERROR(__xludf.DUMMYFUNCTION("""COMPUTED_VALUE"""),"R2.332.FN110(Fx.B.)")</f>
        <v>R2.332.FN110(Fx.B.)</v>
      </c>
      <c r="B545" s="200" t="str">
        <f>IFERROR(__xludf.DUMMYFUNCTION("""COMPUTED_VALUE"""),"ID fan fixed bearing")</f>
        <v>ID fan fixed bearing</v>
      </c>
      <c r="C545" s="199">
        <f>IFERROR(__xludf.DUMMYFUNCTION("""COMPUTED_VALUE"""),2.5330261207E10)</f>
        <v>25330261207</v>
      </c>
      <c r="D545" s="201">
        <f>IFERROR(__xludf.DUMMYFUNCTION("""COMPUTED_VALUE"""),45977.0)</f>
        <v>45977</v>
      </c>
      <c r="E545" s="202" t="str">
        <f>IFERROR(__xludf.DUMMYFUNCTION("""COMPUTED_VALUE"""),"Alert")</f>
        <v>Alert</v>
      </c>
      <c r="F545" s="202" t="str">
        <f>IFERROR(__xludf.DUMMYFUNCTION("""COMPUTED_VALUE"""),"Normal")</f>
        <v>Normal</v>
      </c>
      <c r="G545" s="203" t="str">
        <f>IFERROR(__xludf.DUMMYFUNCTION("""COMPUTED_VALUE"""),"Normal")</f>
        <v>Normal</v>
      </c>
      <c r="H545" s="203" t="str">
        <f>IFERROR(__xludf.DUMMYFUNCTION("""COMPUTED_VALUE"""),"Alert")</f>
        <v>Alert</v>
      </c>
      <c r="I545" s="37">
        <f>IFERROR(__xludf.DUMMYFUNCTION("""COMPUTED_VALUE"""),9179.0)</f>
        <v>9179</v>
      </c>
      <c r="J545" s="37">
        <f>IFERROR(__xludf.DUMMYFUNCTION("""COMPUTED_VALUE"""),4310.0)</f>
        <v>4310</v>
      </c>
      <c r="K545" s="37">
        <f>IFERROR(__xludf.DUMMYFUNCTION("""COMPUTED_VALUE"""),2188.0)</f>
        <v>2188</v>
      </c>
      <c r="L545" s="199">
        <f>IFERROR(__xludf.DUMMYFUNCTION("""COMPUTED_VALUE"""),4.0)</f>
        <v>4</v>
      </c>
      <c r="M545" s="199">
        <f>IFERROR(__xludf.DUMMYFUNCTION("""COMPUTED_VALUE"""),46.0)</f>
        <v>46</v>
      </c>
      <c r="N545" s="199"/>
      <c r="O545" s="199">
        <f>IFERROR(__xludf.DUMMYFUNCTION("""COMPUTED_VALUE"""),1.0)</f>
        <v>1</v>
      </c>
      <c r="P545" s="199">
        <f>IFERROR(__xludf.DUMMYFUNCTION("""COMPUTED_VALUE"""),0.003)</f>
        <v>0.003</v>
      </c>
      <c r="Q545" s="199">
        <f>IFERROR(__xludf.DUMMYFUNCTION("""COMPUTED_VALUE"""),0.0)</f>
        <v>0</v>
      </c>
      <c r="R545" s="199">
        <f>IFERROR(__xludf.DUMMYFUNCTION("""COMPUTED_VALUE"""),0.0)</f>
        <v>0</v>
      </c>
      <c r="S545" s="199">
        <f>IFERROR(__xludf.DUMMYFUNCTION("""COMPUTED_VALUE"""),0.0)</f>
        <v>0</v>
      </c>
      <c r="T545" s="199">
        <f>IFERROR(__xludf.DUMMYFUNCTION("""COMPUTED_VALUE"""),0.0)</f>
        <v>0</v>
      </c>
      <c r="U545" s="199">
        <f>IFERROR(__xludf.DUMMYFUNCTION("""COMPUTED_VALUE"""),0.0)</f>
        <v>0</v>
      </c>
      <c r="V545" s="199">
        <f>IFERROR(__xludf.DUMMYFUNCTION("""COMPUTED_VALUE"""),0.0)</f>
        <v>0</v>
      </c>
      <c r="W545" s="199">
        <f>IFERROR(__xludf.DUMMYFUNCTION("""COMPUTED_VALUE"""),0.0)</f>
        <v>0</v>
      </c>
      <c r="X545" s="199">
        <f>IFERROR(__xludf.DUMMYFUNCTION("""COMPUTED_VALUE"""),0.0)</f>
        <v>0</v>
      </c>
      <c r="Y545" s="199">
        <f>IFERROR(__xludf.DUMMYFUNCTION("""COMPUTED_VALUE"""),0.0)</f>
        <v>0</v>
      </c>
      <c r="Z545" s="199">
        <f>IFERROR(__xludf.DUMMYFUNCTION("""COMPUTED_VALUE"""),0.0)</f>
        <v>0</v>
      </c>
      <c r="AA545" s="199">
        <f>IFERROR(__xludf.DUMMYFUNCTION("""COMPUTED_VALUE"""),0.0)</f>
        <v>0</v>
      </c>
      <c r="AB545" s="199">
        <f>IFERROR(__xludf.DUMMYFUNCTION("""COMPUTED_VALUE"""),2.0)</f>
        <v>2</v>
      </c>
      <c r="AC545" s="199">
        <f>IFERROR(__xludf.DUMMYFUNCTION("""COMPUTED_VALUE"""),0.0)</f>
        <v>0</v>
      </c>
      <c r="AD545" s="199">
        <f>IFERROR(__xludf.DUMMYFUNCTION("""COMPUTED_VALUE"""),0.0)</f>
        <v>0</v>
      </c>
      <c r="AE545" s="199">
        <f>IFERROR(__xludf.DUMMYFUNCTION("""COMPUTED_VALUE"""),71.0)</f>
        <v>71</v>
      </c>
      <c r="AF545" s="199">
        <f>IFERROR(__xludf.DUMMYFUNCTION("""COMPUTED_VALUE"""),2.0)</f>
        <v>2</v>
      </c>
      <c r="AG545" s="199">
        <f>IFERROR(__xludf.DUMMYFUNCTION("""COMPUTED_VALUE"""),420.0)</f>
        <v>420</v>
      </c>
      <c r="AH545" s="199">
        <f>IFERROR(__xludf.DUMMYFUNCTION("""COMPUTED_VALUE"""),478.0)</f>
        <v>478</v>
      </c>
      <c r="AI545" s="200" t="str">
        <f>IFERROR(__xludf.DUMMYFUNCTION("""COMPUTED_VALUE"""),"Lubricant Degradation")</f>
        <v>Lubricant Degradation</v>
      </c>
      <c r="AJ545" s="200" t="str">
        <f>IFERROR(__xludf.DUMMYFUNCTION("""COMPUTED_VALUE"""),"Viscosity critically low - change lubricant immediately")</f>
        <v>Viscosity critically low - change lubricant immediately</v>
      </c>
      <c r="AK545" s="204"/>
      <c r="AL545" s="204"/>
      <c r="AM545" s="204"/>
    </row>
    <row r="546" hidden="1">
      <c r="A546" s="199" t="str">
        <f>IFERROR(__xludf.DUMMYFUNCTION("""COMPUTED_VALUE"""),"321.BE220")</f>
        <v>321.BE220</v>
      </c>
      <c r="B546" s="200" t="str">
        <f>IFERROR(__xludf.DUMMYFUNCTION("""COMPUTED_VALUE"""),"Bucket Elevator gearbox")</f>
        <v>Bucket Elevator gearbox</v>
      </c>
      <c r="C546" s="199">
        <f>IFERROR(__xludf.DUMMYFUNCTION("""COMPUTED_VALUE"""),2.5330281211E10)</f>
        <v>25330281211</v>
      </c>
      <c r="D546" s="201">
        <f>IFERROR(__xludf.DUMMYFUNCTION("""COMPUTED_VALUE"""),45977.0)</f>
        <v>45977</v>
      </c>
      <c r="E546" s="202" t="str">
        <f>IFERROR(__xludf.DUMMYFUNCTION("""COMPUTED_VALUE"""),"Caution")</f>
        <v>Caution</v>
      </c>
      <c r="F546" s="202" t="str">
        <f>IFERROR(__xludf.DUMMYFUNCTION("""COMPUTED_VALUE"""),"Caution")</f>
        <v>Caution</v>
      </c>
      <c r="G546" s="203" t="str">
        <f>IFERROR(__xludf.DUMMYFUNCTION("""COMPUTED_VALUE"""),"Normal")</f>
        <v>Normal</v>
      </c>
      <c r="H546" s="203" t="str">
        <f>IFERROR(__xludf.DUMMYFUNCTION("""COMPUTED_VALUE"""),"Normal")</f>
        <v>Normal</v>
      </c>
      <c r="I546" s="37"/>
      <c r="J546" s="37"/>
      <c r="K546" s="37"/>
      <c r="L546" s="199">
        <f>IFERROR(__xludf.DUMMYFUNCTION("""COMPUTED_VALUE"""),16.0)</f>
        <v>16</v>
      </c>
      <c r="M546" s="199">
        <f>IFERROR(__xludf.DUMMYFUNCTION("""COMPUTED_VALUE"""),290.7)</f>
        <v>290.7</v>
      </c>
      <c r="N546" s="37"/>
      <c r="O546" s="37">
        <f>IFERROR(__xludf.DUMMYFUNCTION("""COMPUTED_VALUE"""),2.0)</f>
        <v>2</v>
      </c>
      <c r="P546" s="199">
        <f>IFERROR(__xludf.DUMMYFUNCTION("""COMPUTED_VALUE"""),0.04)</f>
        <v>0.04</v>
      </c>
      <c r="Q546" s="199">
        <f>IFERROR(__xludf.DUMMYFUNCTION("""COMPUTED_VALUE"""),0.0)</f>
        <v>0</v>
      </c>
      <c r="R546" s="199">
        <f>IFERROR(__xludf.DUMMYFUNCTION("""COMPUTED_VALUE"""),0.0)</f>
        <v>0</v>
      </c>
      <c r="S546" s="199">
        <f>IFERROR(__xludf.DUMMYFUNCTION("""COMPUTED_VALUE"""),0.0)</f>
        <v>0</v>
      </c>
      <c r="T546" s="199">
        <f>IFERROR(__xludf.DUMMYFUNCTION("""COMPUTED_VALUE"""),0.0)</f>
        <v>0</v>
      </c>
      <c r="U546" s="199">
        <f>IFERROR(__xludf.DUMMYFUNCTION("""COMPUTED_VALUE"""),32.0)</f>
        <v>32</v>
      </c>
      <c r="V546" s="199">
        <f>IFERROR(__xludf.DUMMYFUNCTION("""COMPUTED_VALUE"""),6.0)</f>
        <v>6</v>
      </c>
      <c r="W546" s="199">
        <f>IFERROR(__xludf.DUMMYFUNCTION("""COMPUTED_VALUE"""),0.0)</f>
        <v>0</v>
      </c>
      <c r="X546" s="199">
        <f>IFERROR(__xludf.DUMMYFUNCTION("""COMPUTED_VALUE"""),0.0)</f>
        <v>0</v>
      </c>
      <c r="Y546" s="199">
        <f>IFERROR(__xludf.DUMMYFUNCTION("""COMPUTED_VALUE"""),0.0)</f>
        <v>0</v>
      </c>
      <c r="Z546" s="199">
        <f>IFERROR(__xludf.DUMMYFUNCTION("""COMPUTED_VALUE"""),0.0)</f>
        <v>0</v>
      </c>
      <c r="AA546" s="199">
        <f>IFERROR(__xludf.DUMMYFUNCTION("""COMPUTED_VALUE"""),0.0)</f>
        <v>0</v>
      </c>
      <c r="AB546" s="199">
        <f>IFERROR(__xludf.DUMMYFUNCTION("""COMPUTED_VALUE"""),47.0)</f>
        <v>47</v>
      </c>
      <c r="AC546" s="199">
        <f>IFERROR(__xludf.DUMMYFUNCTION("""COMPUTED_VALUE"""),67.0)</f>
        <v>67</v>
      </c>
      <c r="AD546" s="199">
        <f>IFERROR(__xludf.DUMMYFUNCTION("""COMPUTED_VALUE"""),0.0)</f>
        <v>0</v>
      </c>
      <c r="AE546" s="199">
        <f>IFERROR(__xludf.DUMMYFUNCTION("""COMPUTED_VALUE"""),56.0)</f>
        <v>56</v>
      </c>
      <c r="AF546" s="199">
        <f>IFERROR(__xludf.DUMMYFUNCTION("""COMPUTED_VALUE"""),5.0)</f>
        <v>5</v>
      </c>
      <c r="AG546" s="199">
        <f>IFERROR(__xludf.DUMMYFUNCTION("""COMPUTED_VALUE"""),421.0)</f>
        <v>421</v>
      </c>
      <c r="AH546" s="199">
        <f>IFERROR(__xludf.DUMMYFUNCTION("""COMPUTED_VALUE"""),15.0)</f>
        <v>15</v>
      </c>
      <c r="AI546" s="200" t="str">
        <f>IFERROR(__xludf.DUMMYFUNCTION("""COMPUTED_VALUE"""),"Contamination Caution")</f>
        <v>Contamination Caution</v>
      </c>
      <c r="AJ546" s="200" t="str">
        <f>IFERROR(__xludf.DUMMYFUNCTION("""COMPUTED_VALUE"""),"Oxidation increasing - monitor and plan oil change; Silicon elevated - check air filtration and seals")</f>
        <v>Oxidation increasing - monitor and plan oil change; Silicon elevated - check air filtration and seals</v>
      </c>
      <c r="AK546" s="204"/>
      <c r="AL546" s="204"/>
      <c r="AM546" s="204"/>
    </row>
    <row r="547" hidden="1">
      <c r="A547" s="199" t="str">
        <f>IFERROR(__xludf.DUMMYFUNCTION("""COMPUTED_VALUE"""),"321.MD152")</f>
        <v>321.MD152</v>
      </c>
      <c r="B547" s="200" t="str">
        <f>IFERROR(__xludf.DUMMYFUNCTION("""COMPUTED_VALUE"""),"Dynamic Separator Gearbox")</f>
        <v>Dynamic Separator Gearbox</v>
      </c>
      <c r="C547" s="199">
        <f>IFERROR(__xludf.DUMMYFUNCTION("""COMPUTED_VALUE"""),2.5330261223E10)</f>
        <v>25330261223</v>
      </c>
      <c r="D547" s="201">
        <f>IFERROR(__xludf.DUMMYFUNCTION("""COMPUTED_VALUE"""),45977.0)</f>
        <v>45977</v>
      </c>
      <c r="E547" s="202" t="str">
        <f>IFERROR(__xludf.DUMMYFUNCTION("""COMPUTED_VALUE"""),"Caution")</f>
        <v>Caution</v>
      </c>
      <c r="F547" s="202" t="str">
        <f>IFERROR(__xludf.DUMMYFUNCTION("""COMPUTED_VALUE"""),"Caution")</f>
        <v>Caution</v>
      </c>
      <c r="G547" s="203" t="str">
        <f>IFERROR(__xludf.DUMMYFUNCTION("""COMPUTED_VALUE"""),"Normal")</f>
        <v>Normal</v>
      </c>
      <c r="H547" s="203" t="str">
        <f>IFERROR(__xludf.DUMMYFUNCTION("""COMPUTED_VALUE"""),"Normal")</f>
        <v>Normal</v>
      </c>
      <c r="I547" s="37"/>
      <c r="J547" s="37"/>
      <c r="K547" s="37"/>
      <c r="L547" s="199">
        <f>IFERROR(__xludf.DUMMYFUNCTION("""COMPUTED_VALUE"""),6.0)</f>
        <v>6</v>
      </c>
      <c r="M547" s="199">
        <f>IFERROR(__xludf.DUMMYFUNCTION("""COMPUTED_VALUE"""),299.3)</f>
        <v>299.3</v>
      </c>
      <c r="N547" s="37"/>
      <c r="O547" s="37"/>
      <c r="P547" s="199">
        <f>IFERROR(__xludf.DUMMYFUNCTION("""COMPUTED_VALUE"""),0.05)</f>
        <v>0.05</v>
      </c>
      <c r="Q547" s="199">
        <f>IFERROR(__xludf.DUMMYFUNCTION("""COMPUTED_VALUE"""),0.0)</f>
        <v>0</v>
      </c>
      <c r="R547" s="199">
        <f>IFERROR(__xludf.DUMMYFUNCTION("""COMPUTED_VALUE"""),0.0)</f>
        <v>0</v>
      </c>
      <c r="S547" s="199">
        <f>IFERROR(__xludf.DUMMYFUNCTION("""COMPUTED_VALUE"""),0.0)</f>
        <v>0</v>
      </c>
      <c r="T547" s="199">
        <f>IFERROR(__xludf.DUMMYFUNCTION("""COMPUTED_VALUE"""),0.0)</f>
        <v>0</v>
      </c>
      <c r="U547" s="199">
        <f>IFERROR(__xludf.DUMMYFUNCTION("""COMPUTED_VALUE"""),10.0)</f>
        <v>10</v>
      </c>
      <c r="V547" s="199">
        <f>IFERROR(__xludf.DUMMYFUNCTION("""COMPUTED_VALUE"""),0.0)</f>
        <v>0</v>
      </c>
      <c r="W547" s="199">
        <f>IFERROR(__xludf.DUMMYFUNCTION("""COMPUTED_VALUE"""),0.0)</f>
        <v>0</v>
      </c>
      <c r="X547" s="199">
        <f>IFERROR(__xludf.DUMMYFUNCTION("""COMPUTED_VALUE"""),0.0)</f>
        <v>0</v>
      </c>
      <c r="Y547" s="199">
        <f>IFERROR(__xludf.DUMMYFUNCTION("""COMPUTED_VALUE"""),0.0)</f>
        <v>0</v>
      </c>
      <c r="Z547" s="199">
        <f>IFERROR(__xludf.DUMMYFUNCTION("""COMPUTED_VALUE"""),0.0)</f>
        <v>0</v>
      </c>
      <c r="AA547" s="199">
        <f>IFERROR(__xludf.DUMMYFUNCTION("""COMPUTED_VALUE"""),0.0)</f>
        <v>0</v>
      </c>
      <c r="AB547" s="199">
        <f>IFERROR(__xludf.DUMMYFUNCTION("""COMPUTED_VALUE"""),29.0)</f>
        <v>29</v>
      </c>
      <c r="AC547" s="199">
        <f>IFERROR(__xludf.DUMMYFUNCTION("""COMPUTED_VALUE"""),12.0)</f>
        <v>12</v>
      </c>
      <c r="AD547" s="199">
        <f>IFERROR(__xludf.DUMMYFUNCTION("""COMPUTED_VALUE"""),0.0)</f>
        <v>0</v>
      </c>
      <c r="AE547" s="199">
        <f>IFERROR(__xludf.DUMMYFUNCTION("""COMPUTED_VALUE"""),24.0)</f>
        <v>24</v>
      </c>
      <c r="AF547" s="199">
        <f>IFERROR(__xludf.DUMMYFUNCTION("""COMPUTED_VALUE"""),2.0)</f>
        <v>2</v>
      </c>
      <c r="AG547" s="199">
        <f>IFERROR(__xludf.DUMMYFUNCTION("""COMPUTED_VALUE"""),459.0)</f>
        <v>459</v>
      </c>
      <c r="AH547" s="199">
        <f>IFERROR(__xludf.DUMMYFUNCTION("""COMPUTED_VALUE"""),54.0)</f>
        <v>54</v>
      </c>
      <c r="AI547" s="200" t="str">
        <f>IFERROR(__xludf.DUMMYFUNCTION("""COMPUTED_VALUE"""),"Contamination Caution")</f>
        <v>Contamination Caution</v>
      </c>
      <c r="AJ547" s="200" t="str">
        <f>IFERROR(__xludf.DUMMYFUNCTION("""COMPUTED_VALUE"""),"Silicon elevated - check air filtration and seals")</f>
        <v>Silicon elevated - check air filtration and seals</v>
      </c>
      <c r="AK547" s="204"/>
      <c r="AL547" s="204"/>
      <c r="AM547" s="204"/>
    </row>
    <row r="548" hidden="1">
      <c r="A548" s="199" t="str">
        <f>IFERROR(__xludf.DUMMYFUNCTION("""COMPUTED_VALUE"""),"431.HT120")</f>
        <v>431.HT120</v>
      </c>
      <c r="B548" s="200" t="str">
        <f>IFERROR(__xludf.DUMMYFUNCTION("""COMPUTED_VALUE"""),"Kiln Hydraulic thrust circuit")</f>
        <v>Kiln Hydraulic thrust circuit</v>
      </c>
      <c r="C548" s="199">
        <f>IFERROR(__xludf.DUMMYFUNCTION("""COMPUTED_VALUE"""),2.5330261209E10)</f>
        <v>25330261209</v>
      </c>
      <c r="D548" s="201">
        <f>IFERROR(__xludf.DUMMYFUNCTION("""COMPUTED_VALUE"""),45977.0)</f>
        <v>45977</v>
      </c>
      <c r="E548" s="202" t="str">
        <f>IFERROR(__xludf.DUMMYFUNCTION("""COMPUTED_VALUE"""),"Normal")</f>
        <v>Normal</v>
      </c>
      <c r="F548" s="202" t="str">
        <f>IFERROR(__xludf.DUMMYFUNCTION("""COMPUTED_VALUE"""),"Normal")</f>
        <v>Normal</v>
      </c>
      <c r="G548" s="203" t="str">
        <f>IFERROR(__xludf.DUMMYFUNCTION("""COMPUTED_VALUE"""),"Normal")</f>
        <v>Normal</v>
      </c>
      <c r="H548" s="203" t="str">
        <f>IFERROR(__xludf.DUMMYFUNCTION("""COMPUTED_VALUE"""),"Normal")</f>
        <v>Normal</v>
      </c>
      <c r="I548" s="37">
        <f>IFERROR(__xludf.DUMMYFUNCTION("""COMPUTED_VALUE"""),7900.0)</f>
        <v>7900</v>
      </c>
      <c r="J548" s="37">
        <f>IFERROR(__xludf.DUMMYFUNCTION("""COMPUTED_VALUE"""),3499.0)</f>
        <v>3499</v>
      </c>
      <c r="K548" s="37">
        <f>IFERROR(__xludf.DUMMYFUNCTION("""COMPUTED_VALUE"""),1516.0)</f>
        <v>1516</v>
      </c>
      <c r="L548" s="199">
        <f>IFERROR(__xludf.DUMMYFUNCTION("""COMPUTED_VALUE"""),6.0)</f>
        <v>6</v>
      </c>
      <c r="M548" s="199">
        <f>IFERROR(__xludf.DUMMYFUNCTION("""COMPUTED_VALUE"""),45.2)</f>
        <v>45.2</v>
      </c>
      <c r="N548" s="37"/>
      <c r="O548" s="37">
        <f>IFERROR(__xludf.DUMMYFUNCTION("""COMPUTED_VALUE"""),1.0)</f>
        <v>1</v>
      </c>
      <c r="P548" s="199">
        <f>IFERROR(__xludf.DUMMYFUNCTION("""COMPUTED_VALUE"""),0.01)</f>
        <v>0.01</v>
      </c>
      <c r="Q548" s="199">
        <f>IFERROR(__xludf.DUMMYFUNCTION("""COMPUTED_VALUE"""),0.0)</f>
        <v>0</v>
      </c>
      <c r="R548" s="199">
        <f>IFERROR(__xludf.DUMMYFUNCTION("""COMPUTED_VALUE"""),0.0)</f>
        <v>0</v>
      </c>
      <c r="S548" s="199">
        <f>IFERROR(__xludf.DUMMYFUNCTION("""COMPUTED_VALUE"""),0.0)</f>
        <v>0</v>
      </c>
      <c r="T548" s="199">
        <f>IFERROR(__xludf.DUMMYFUNCTION("""COMPUTED_VALUE"""),1.0)</f>
        <v>1</v>
      </c>
      <c r="U548" s="199">
        <f>IFERROR(__xludf.DUMMYFUNCTION("""COMPUTED_VALUE"""),6.0)</f>
        <v>6</v>
      </c>
      <c r="V548" s="199">
        <f>IFERROR(__xludf.DUMMYFUNCTION("""COMPUTED_VALUE"""),0.0)</f>
        <v>0</v>
      </c>
      <c r="W548" s="199">
        <f>IFERROR(__xludf.DUMMYFUNCTION("""COMPUTED_VALUE"""),0.0)</f>
        <v>0</v>
      </c>
      <c r="X548" s="199">
        <f>IFERROR(__xludf.DUMMYFUNCTION("""COMPUTED_VALUE"""),0.0)</f>
        <v>0</v>
      </c>
      <c r="Y548" s="199">
        <f>IFERROR(__xludf.DUMMYFUNCTION("""COMPUTED_VALUE"""),0.0)</f>
        <v>0</v>
      </c>
      <c r="Z548" s="199">
        <f>IFERROR(__xludf.DUMMYFUNCTION("""COMPUTED_VALUE"""),0.0)</f>
        <v>0</v>
      </c>
      <c r="AA548" s="199">
        <f>IFERROR(__xludf.DUMMYFUNCTION("""COMPUTED_VALUE"""),0.0)</f>
        <v>0</v>
      </c>
      <c r="AB548" s="199">
        <f>IFERROR(__xludf.DUMMYFUNCTION("""COMPUTED_VALUE"""),0.0)</f>
        <v>0</v>
      </c>
      <c r="AC548" s="199">
        <f>IFERROR(__xludf.DUMMYFUNCTION("""COMPUTED_VALUE"""),3.0)</f>
        <v>3</v>
      </c>
      <c r="AD548" s="199">
        <f>IFERROR(__xludf.DUMMYFUNCTION("""COMPUTED_VALUE"""),0.0)</f>
        <v>0</v>
      </c>
      <c r="AE548" s="199">
        <f>IFERROR(__xludf.DUMMYFUNCTION("""COMPUTED_VALUE"""),115.0)</f>
        <v>115</v>
      </c>
      <c r="AF548" s="199">
        <f>IFERROR(__xludf.DUMMYFUNCTION("""COMPUTED_VALUE"""),0.0)</f>
        <v>0</v>
      </c>
      <c r="AG548" s="199">
        <f>IFERROR(__xludf.DUMMYFUNCTION("""COMPUTED_VALUE"""),466.0)</f>
        <v>466</v>
      </c>
      <c r="AH548" s="199">
        <f>IFERROR(__xludf.DUMMYFUNCTION("""COMPUTED_VALUE"""),610.0)</f>
        <v>610</v>
      </c>
      <c r="AI548" s="200" t="str">
        <f>IFERROR(__xludf.DUMMYFUNCTION("""COMPUTED_VALUE"""),"Normal - No Action Required")</f>
        <v>Normal - No Action Required</v>
      </c>
      <c r="AJ548" s="200" t="str">
        <f>IFERROR(__xludf.DUMMYFUNCTION("""COMPUTED_VALUE"""),"Continue routine monitoring and sampling schedule")</f>
        <v>Continue routine monitoring and sampling schedule</v>
      </c>
      <c r="AK548" s="204"/>
      <c r="AL548" s="204"/>
      <c r="AM548" s="204"/>
    </row>
    <row r="549" hidden="1">
      <c r="A549" s="199" t="str">
        <f>IFERROR(__xludf.DUMMYFUNCTION("""COMPUTED_VALUE"""),"R2.432.HT120(BE)")</f>
        <v>R2.432.HT120(BE)</v>
      </c>
      <c r="B549" s="200" t="str">
        <f>IFERROR(__xludf.DUMMYFUNCTION("""COMPUTED_VALUE"""),"Hydraulic thrust bearing")</f>
        <v>Hydraulic thrust bearing</v>
      </c>
      <c r="C549" s="199">
        <f>IFERROR(__xludf.DUMMYFUNCTION("""COMPUTED_VALUE"""),2.5330261232E10)</f>
        <v>25330261232</v>
      </c>
      <c r="D549" s="201">
        <f>IFERROR(__xludf.DUMMYFUNCTION("""COMPUTED_VALUE"""),45977.0)</f>
        <v>45977</v>
      </c>
      <c r="E549" s="202" t="str">
        <f>IFERROR(__xludf.DUMMYFUNCTION("""COMPUTED_VALUE"""),"Normal")</f>
        <v>Normal</v>
      </c>
      <c r="F549" s="202" t="str">
        <f>IFERROR(__xludf.DUMMYFUNCTION("""COMPUTED_VALUE"""),"Normal")</f>
        <v>Normal</v>
      </c>
      <c r="G549" s="203" t="str">
        <f>IFERROR(__xludf.DUMMYFUNCTION("""COMPUTED_VALUE"""),"Normal")</f>
        <v>Normal</v>
      </c>
      <c r="H549" s="203" t="str">
        <f>IFERROR(__xludf.DUMMYFUNCTION("""COMPUTED_VALUE"""),"Normal")</f>
        <v>Normal</v>
      </c>
      <c r="I549" s="37"/>
      <c r="J549" s="37"/>
      <c r="K549" s="37"/>
      <c r="L549" s="199">
        <f>IFERROR(__xludf.DUMMYFUNCTION("""COMPUTED_VALUE"""),6.0)</f>
        <v>6</v>
      </c>
      <c r="M549" s="199">
        <f>IFERROR(__xludf.DUMMYFUNCTION("""COMPUTED_VALUE"""),92.5)</f>
        <v>92.5</v>
      </c>
      <c r="N549" s="37"/>
      <c r="O549" s="37"/>
      <c r="P549" s="199">
        <f>IFERROR(__xludf.DUMMYFUNCTION("""COMPUTED_VALUE"""),0.003)</f>
        <v>0.003</v>
      </c>
      <c r="Q549" s="199">
        <f>IFERROR(__xludf.DUMMYFUNCTION("""COMPUTED_VALUE"""),0.0)</f>
        <v>0</v>
      </c>
      <c r="R549" s="199">
        <f>IFERROR(__xludf.DUMMYFUNCTION("""COMPUTED_VALUE"""),0.0)</f>
        <v>0</v>
      </c>
      <c r="S549" s="199">
        <f>IFERROR(__xludf.DUMMYFUNCTION("""COMPUTED_VALUE"""),0.0)</f>
        <v>0</v>
      </c>
      <c r="T549" s="199">
        <f>IFERROR(__xludf.DUMMYFUNCTION("""COMPUTED_VALUE"""),0.0)</f>
        <v>0</v>
      </c>
      <c r="U549" s="199">
        <f>IFERROR(__xludf.DUMMYFUNCTION("""COMPUTED_VALUE"""),0.0)</f>
        <v>0</v>
      </c>
      <c r="V549" s="199">
        <f>IFERROR(__xludf.DUMMYFUNCTION("""COMPUTED_VALUE"""),0.0)</f>
        <v>0</v>
      </c>
      <c r="W549" s="199">
        <f>IFERROR(__xludf.DUMMYFUNCTION("""COMPUTED_VALUE"""),0.0)</f>
        <v>0</v>
      </c>
      <c r="X549" s="199">
        <f>IFERROR(__xludf.DUMMYFUNCTION("""COMPUTED_VALUE"""),0.0)</f>
        <v>0</v>
      </c>
      <c r="Y549" s="199">
        <f>IFERROR(__xludf.DUMMYFUNCTION("""COMPUTED_VALUE"""),0.0)</f>
        <v>0</v>
      </c>
      <c r="Z549" s="199">
        <f>IFERROR(__xludf.DUMMYFUNCTION("""COMPUTED_VALUE"""),0.0)</f>
        <v>0</v>
      </c>
      <c r="AA549" s="199">
        <f>IFERROR(__xludf.DUMMYFUNCTION("""COMPUTED_VALUE"""),0.0)</f>
        <v>0</v>
      </c>
      <c r="AB549" s="199">
        <f>IFERROR(__xludf.DUMMYFUNCTION("""COMPUTED_VALUE"""),21.0)</f>
        <v>21</v>
      </c>
      <c r="AC549" s="199">
        <f>IFERROR(__xludf.DUMMYFUNCTION("""COMPUTED_VALUE"""),26.0)</f>
        <v>26</v>
      </c>
      <c r="AD549" s="199">
        <f>IFERROR(__xludf.DUMMYFUNCTION("""COMPUTED_VALUE"""),0.0)</f>
        <v>0</v>
      </c>
      <c r="AE549" s="199">
        <f>IFERROR(__xludf.DUMMYFUNCTION("""COMPUTED_VALUE"""),19.0)</f>
        <v>19</v>
      </c>
      <c r="AF549" s="199">
        <f>IFERROR(__xludf.DUMMYFUNCTION("""COMPUTED_VALUE"""),0.0)</f>
        <v>0</v>
      </c>
      <c r="AG549" s="199">
        <f>IFERROR(__xludf.DUMMYFUNCTION("""COMPUTED_VALUE"""),543.0)</f>
        <v>543</v>
      </c>
      <c r="AH549" s="199">
        <f>IFERROR(__xludf.DUMMYFUNCTION("""COMPUTED_VALUE"""),18.0)</f>
        <v>18</v>
      </c>
      <c r="AI549" s="200" t="str">
        <f>IFERROR(__xludf.DUMMYFUNCTION("""COMPUTED_VALUE"""),"Normal - No Action Required")</f>
        <v>Normal - No Action Required</v>
      </c>
      <c r="AJ549" s="200" t="str">
        <f>IFERROR(__xludf.DUMMYFUNCTION("""COMPUTED_VALUE"""),"Continue routine monitoring and sampling schedule")</f>
        <v>Continue routine monitoring and sampling schedule</v>
      </c>
      <c r="AK549" s="204"/>
      <c r="AL549" s="204"/>
      <c r="AM549" s="204"/>
    </row>
    <row r="550" hidden="1">
      <c r="A550" s="199" t="str">
        <f>IFERROR(__xludf.DUMMYFUNCTION("""COMPUTED_VALUE"""),"R2.432.HT120(T)")</f>
        <v>R2.432.HT120(T)</v>
      </c>
      <c r="B550" s="200" t="str">
        <f>IFERROR(__xludf.DUMMYFUNCTION("""COMPUTED_VALUE"""),"Kiln Hydraulic thrust Tank")</f>
        <v>Kiln Hydraulic thrust Tank</v>
      </c>
      <c r="C550" s="199">
        <f>IFERROR(__xludf.DUMMYFUNCTION("""COMPUTED_VALUE"""),2.533026121E10)</f>
        <v>25330261210</v>
      </c>
      <c r="D550" s="201">
        <f>IFERROR(__xludf.DUMMYFUNCTION("""COMPUTED_VALUE"""),45977.0)</f>
        <v>45977</v>
      </c>
      <c r="E550" s="202" t="str">
        <f>IFERROR(__xludf.DUMMYFUNCTION("""COMPUTED_VALUE"""),"Normal")</f>
        <v>Normal</v>
      </c>
      <c r="F550" s="202" t="str">
        <f>IFERROR(__xludf.DUMMYFUNCTION("""COMPUTED_VALUE"""),"Normal")</f>
        <v>Normal</v>
      </c>
      <c r="G550" s="203" t="str">
        <f>IFERROR(__xludf.DUMMYFUNCTION("""COMPUTED_VALUE"""),"Normal")</f>
        <v>Normal</v>
      </c>
      <c r="H550" s="203" t="str">
        <f>IFERROR(__xludf.DUMMYFUNCTION("""COMPUTED_VALUE"""),"Normal")</f>
        <v>Normal</v>
      </c>
      <c r="I550" s="37">
        <f>IFERROR(__xludf.DUMMYFUNCTION("""COMPUTED_VALUE"""),9081.0)</f>
        <v>9081</v>
      </c>
      <c r="J550" s="37">
        <f>IFERROR(__xludf.DUMMYFUNCTION("""COMPUTED_VALUE"""),3175.0)</f>
        <v>3175</v>
      </c>
      <c r="K550" s="37">
        <f>IFERROR(__xludf.DUMMYFUNCTION("""COMPUTED_VALUE"""),918.0)</f>
        <v>918</v>
      </c>
      <c r="L550" s="199">
        <f>IFERROR(__xludf.DUMMYFUNCTION("""COMPUTED_VALUE"""),6.0)</f>
        <v>6</v>
      </c>
      <c r="M550" s="199">
        <f>IFERROR(__xludf.DUMMYFUNCTION("""COMPUTED_VALUE"""),45.8)</f>
        <v>45.8</v>
      </c>
      <c r="N550" s="37"/>
      <c r="O550" s="37">
        <f>IFERROR(__xludf.DUMMYFUNCTION("""COMPUTED_VALUE"""),1.0)</f>
        <v>1</v>
      </c>
      <c r="P550" s="199">
        <f>IFERROR(__xludf.DUMMYFUNCTION("""COMPUTED_VALUE"""),0.003)</f>
        <v>0.003</v>
      </c>
      <c r="Q550" s="199">
        <f>IFERROR(__xludf.DUMMYFUNCTION("""COMPUTED_VALUE"""),0.0)</f>
        <v>0</v>
      </c>
      <c r="R550" s="199">
        <f>IFERROR(__xludf.DUMMYFUNCTION("""COMPUTED_VALUE"""),0.0)</f>
        <v>0</v>
      </c>
      <c r="S550" s="199">
        <f>IFERROR(__xludf.DUMMYFUNCTION("""COMPUTED_VALUE"""),0.0)</f>
        <v>0</v>
      </c>
      <c r="T550" s="199">
        <f>IFERROR(__xludf.DUMMYFUNCTION("""COMPUTED_VALUE"""),3.0)</f>
        <v>3</v>
      </c>
      <c r="U550" s="199">
        <f>IFERROR(__xludf.DUMMYFUNCTION("""COMPUTED_VALUE"""),0.0)</f>
        <v>0</v>
      </c>
      <c r="V550" s="199">
        <f>IFERROR(__xludf.DUMMYFUNCTION("""COMPUTED_VALUE"""),0.0)</f>
        <v>0</v>
      </c>
      <c r="W550" s="199">
        <f>IFERROR(__xludf.DUMMYFUNCTION("""COMPUTED_VALUE"""),0.0)</f>
        <v>0</v>
      </c>
      <c r="X550" s="199">
        <f>IFERROR(__xludf.DUMMYFUNCTION("""COMPUTED_VALUE"""),0.0)</f>
        <v>0</v>
      </c>
      <c r="Y550" s="199">
        <f>IFERROR(__xludf.DUMMYFUNCTION("""COMPUTED_VALUE"""),0.0)</f>
        <v>0</v>
      </c>
      <c r="Z550" s="199">
        <f>IFERROR(__xludf.DUMMYFUNCTION("""COMPUTED_VALUE"""),0.0)</f>
        <v>0</v>
      </c>
      <c r="AA550" s="199">
        <f>IFERROR(__xludf.DUMMYFUNCTION("""COMPUTED_VALUE"""),0.0)</f>
        <v>0</v>
      </c>
      <c r="AB550" s="199">
        <f>IFERROR(__xludf.DUMMYFUNCTION("""COMPUTED_VALUE"""),0.0)</f>
        <v>0</v>
      </c>
      <c r="AC550" s="199">
        <f>IFERROR(__xludf.DUMMYFUNCTION("""COMPUTED_VALUE"""),2.0)</f>
        <v>2</v>
      </c>
      <c r="AD550" s="199">
        <f>IFERROR(__xludf.DUMMYFUNCTION("""COMPUTED_VALUE"""),0.0)</f>
        <v>0</v>
      </c>
      <c r="AE550" s="199">
        <f>IFERROR(__xludf.DUMMYFUNCTION("""COMPUTED_VALUE"""),82.0)</f>
        <v>82</v>
      </c>
      <c r="AF550" s="199">
        <f>IFERROR(__xludf.DUMMYFUNCTION("""COMPUTED_VALUE"""),0.0)</f>
        <v>0</v>
      </c>
      <c r="AG550" s="199">
        <f>IFERROR(__xludf.DUMMYFUNCTION("""COMPUTED_VALUE"""),506.0)</f>
        <v>506</v>
      </c>
      <c r="AH550" s="199">
        <f>IFERROR(__xludf.DUMMYFUNCTION("""COMPUTED_VALUE"""),545.0)</f>
        <v>545</v>
      </c>
      <c r="AI550" s="200" t="str">
        <f>IFERROR(__xludf.DUMMYFUNCTION("""COMPUTED_VALUE"""),"Normal - No Action Required")</f>
        <v>Normal - No Action Required</v>
      </c>
      <c r="AJ550" s="200" t="str">
        <f>IFERROR(__xludf.DUMMYFUNCTION("""COMPUTED_VALUE"""),"Continue routine monitoring and sampling schedule")</f>
        <v>Continue routine monitoring and sampling schedule</v>
      </c>
      <c r="AK550" s="204"/>
      <c r="AL550" s="204"/>
      <c r="AM550" s="204"/>
    </row>
    <row r="551" hidden="1">
      <c r="A551" s="199" t="str">
        <f>IFERROR(__xludf.DUMMYFUNCTION("""COMPUTED_VALUE"""),"R2.442.MD140(T)")</f>
        <v>R2.442.MD140(T)</v>
      </c>
      <c r="B551" s="200" t="str">
        <f>IFERROR(__xludf.DUMMYFUNCTION("""COMPUTED_VALUE"""),"Clinker Cooler Drive (From Tank)")</f>
        <v>Clinker Cooler Drive (From Tank)</v>
      </c>
      <c r="C551" s="199">
        <f>IFERROR(__xludf.DUMMYFUNCTION("""COMPUTED_VALUE"""),2.5330261206E10)</f>
        <v>25330261206</v>
      </c>
      <c r="D551" s="201">
        <f>IFERROR(__xludf.DUMMYFUNCTION("""COMPUTED_VALUE"""),45977.0)</f>
        <v>45977</v>
      </c>
      <c r="E551" s="202" t="str">
        <f>IFERROR(__xludf.DUMMYFUNCTION("""COMPUTED_VALUE"""),"Normal")</f>
        <v>Normal</v>
      </c>
      <c r="F551" s="202" t="str">
        <f>IFERROR(__xludf.DUMMYFUNCTION("""COMPUTED_VALUE"""),"Normal")</f>
        <v>Normal</v>
      </c>
      <c r="G551" s="203" t="str">
        <f>IFERROR(__xludf.DUMMYFUNCTION("""COMPUTED_VALUE"""),"Normal")</f>
        <v>Normal</v>
      </c>
      <c r="H551" s="203" t="str">
        <f>IFERROR(__xludf.DUMMYFUNCTION("""COMPUTED_VALUE"""),"Normal")</f>
        <v>Normal</v>
      </c>
      <c r="I551" s="37">
        <f>IFERROR(__xludf.DUMMYFUNCTION("""COMPUTED_VALUE"""),7087.0)</f>
        <v>7087</v>
      </c>
      <c r="J551" s="37">
        <f>IFERROR(__xludf.DUMMYFUNCTION("""COMPUTED_VALUE"""),3100.0)</f>
        <v>3100</v>
      </c>
      <c r="K551" s="37">
        <f>IFERROR(__xludf.DUMMYFUNCTION("""COMPUTED_VALUE"""),917.0)</f>
        <v>917</v>
      </c>
      <c r="L551" s="199">
        <f>IFERROR(__xludf.DUMMYFUNCTION("""COMPUTED_VALUE"""),3.0)</f>
        <v>3</v>
      </c>
      <c r="M551" s="199">
        <f>IFERROR(__xludf.DUMMYFUNCTION("""COMPUTED_VALUE"""),43.5)</f>
        <v>43.5</v>
      </c>
      <c r="N551" s="37"/>
      <c r="O551" s="37">
        <f>IFERROR(__xludf.DUMMYFUNCTION("""COMPUTED_VALUE"""),1.0)</f>
        <v>1</v>
      </c>
      <c r="P551" s="199">
        <f>IFERROR(__xludf.DUMMYFUNCTION("""COMPUTED_VALUE"""),0.003)</f>
        <v>0.003</v>
      </c>
      <c r="Q551" s="199">
        <f>IFERROR(__xludf.DUMMYFUNCTION("""COMPUTED_VALUE"""),0.0)</f>
        <v>0</v>
      </c>
      <c r="R551" s="199">
        <f>IFERROR(__xludf.DUMMYFUNCTION("""COMPUTED_VALUE"""),0.0)</f>
        <v>0</v>
      </c>
      <c r="S551" s="199">
        <f>IFERROR(__xludf.DUMMYFUNCTION("""COMPUTED_VALUE"""),0.0)</f>
        <v>0</v>
      </c>
      <c r="T551" s="199">
        <f>IFERROR(__xludf.DUMMYFUNCTION("""COMPUTED_VALUE"""),0.0)</f>
        <v>0</v>
      </c>
      <c r="U551" s="199">
        <f>IFERROR(__xludf.DUMMYFUNCTION("""COMPUTED_VALUE"""),0.0)</f>
        <v>0</v>
      </c>
      <c r="V551" s="199">
        <f>IFERROR(__xludf.DUMMYFUNCTION("""COMPUTED_VALUE"""),0.0)</f>
        <v>0</v>
      </c>
      <c r="W551" s="199">
        <f>IFERROR(__xludf.DUMMYFUNCTION("""COMPUTED_VALUE"""),0.0)</f>
        <v>0</v>
      </c>
      <c r="X551" s="199">
        <f>IFERROR(__xludf.DUMMYFUNCTION("""COMPUTED_VALUE"""),0.0)</f>
        <v>0</v>
      </c>
      <c r="Y551" s="199">
        <f>IFERROR(__xludf.DUMMYFUNCTION("""COMPUTED_VALUE"""),0.0)</f>
        <v>0</v>
      </c>
      <c r="Z551" s="199">
        <f>IFERROR(__xludf.DUMMYFUNCTION("""COMPUTED_VALUE"""),0.0)</f>
        <v>0</v>
      </c>
      <c r="AA551" s="199">
        <f>IFERROR(__xludf.DUMMYFUNCTION("""COMPUTED_VALUE"""),0.0)</f>
        <v>0</v>
      </c>
      <c r="AB551" s="199">
        <f>IFERROR(__xludf.DUMMYFUNCTION("""COMPUTED_VALUE"""),0.0)</f>
        <v>0</v>
      </c>
      <c r="AC551" s="199">
        <f>IFERROR(__xludf.DUMMYFUNCTION("""COMPUTED_VALUE"""),3.0)</f>
        <v>3</v>
      </c>
      <c r="AD551" s="199">
        <f>IFERROR(__xludf.DUMMYFUNCTION("""COMPUTED_VALUE"""),0.0)</f>
        <v>0</v>
      </c>
      <c r="AE551" s="199">
        <f>IFERROR(__xludf.DUMMYFUNCTION("""COMPUTED_VALUE"""),75.0)</f>
        <v>75</v>
      </c>
      <c r="AF551" s="199">
        <f>IFERROR(__xludf.DUMMYFUNCTION("""COMPUTED_VALUE"""),2.0)</f>
        <v>2</v>
      </c>
      <c r="AG551" s="199">
        <f>IFERROR(__xludf.DUMMYFUNCTION("""COMPUTED_VALUE"""),416.0)</f>
        <v>416</v>
      </c>
      <c r="AH551" s="199">
        <f>IFERROR(__xludf.DUMMYFUNCTION("""COMPUTED_VALUE"""),463.0)</f>
        <v>463</v>
      </c>
      <c r="AI551" s="200" t="str">
        <f>IFERROR(__xludf.DUMMYFUNCTION("""COMPUTED_VALUE"""),"Normal - No Action Required")</f>
        <v>Normal - No Action Required</v>
      </c>
      <c r="AJ551" s="200" t="str">
        <f>IFERROR(__xludf.DUMMYFUNCTION("""COMPUTED_VALUE"""),"Continue routine monitoring and sampling schedule")</f>
        <v>Continue routine monitoring and sampling schedule</v>
      </c>
      <c r="AK551" s="204"/>
      <c r="AL551" s="204"/>
      <c r="AM551" s="204"/>
    </row>
    <row r="552" hidden="1">
      <c r="A552" s="199" t="str">
        <f>IFERROR(__xludf.DUMMYFUNCTION("""COMPUTED_VALUE"""),"111.BC330 (L1)")</f>
        <v>111.BC330 (L1)</v>
      </c>
      <c r="B552" s="200" t="str">
        <f>IFERROR(__xludf.DUMMYFUNCTION("""COMPUTED_VALUE"""),"Belt conveyor first left Gearbox")</f>
        <v>Belt conveyor first left Gearbox</v>
      </c>
      <c r="C552" s="199">
        <f>IFERROR(__xludf.DUMMYFUNCTION("""COMPUTED_VALUE"""),2.5330261229E10)</f>
        <v>25330261229</v>
      </c>
      <c r="D552" s="201">
        <f>IFERROR(__xludf.DUMMYFUNCTION("""COMPUTED_VALUE"""),45978.0)</f>
        <v>45978</v>
      </c>
      <c r="E552" s="202" t="str">
        <f>IFERROR(__xludf.DUMMYFUNCTION("""COMPUTED_VALUE"""),"Caution")</f>
        <v>Caution</v>
      </c>
      <c r="F552" s="202" t="str">
        <f>IFERROR(__xludf.DUMMYFUNCTION("""COMPUTED_VALUE"""),"Caution")</f>
        <v>Caution</v>
      </c>
      <c r="G552" s="203" t="str">
        <f>IFERROR(__xludf.DUMMYFUNCTION("""COMPUTED_VALUE"""),"Normal")</f>
        <v>Normal</v>
      </c>
      <c r="H552" s="203" t="str">
        <f>IFERROR(__xludf.DUMMYFUNCTION("""COMPUTED_VALUE"""),"Normal")</f>
        <v>Normal</v>
      </c>
      <c r="I552" s="37">
        <f>IFERROR(__xludf.DUMMYFUNCTION("""COMPUTED_VALUE"""),30291.0)</f>
        <v>30291</v>
      </c>
      <c r="J552" s="37">
        <f>IFERROR(__xludf.DUMMYFUNCTION("""COMPUTED_VALUE"""),20046.0)</f>
        <v>20046</v>
      </c>
      <c r="K552" s="37">
        <f>IFERROR(__xludf.DUMMYFUNCTION("""COMPUTED_VALUE"""),9121.0)</f>
        <v>9121</v>
      </c>
      <c r="L552" s="199">
        <f>IFERROR(__xludf.DUMMYFUNCTION("""COMPUTED_VALUE"""),10.0)</f>
        <v>10</v>
      </c>
      <c r="M552" s="199">
        <f>IFERROR(__xludf.DUMMYFUNCTION("""COMPUTED_VALUE"""),220.9)</f>
        <v>220.9</v>
      </c>
      <c r="N552" s="37"/>
      <c r="O552" s="37"/>
      <c r="P552" s="199">
        <f>IFERROR(__xludf.DUMMYFUNCTION("""COMPUTED_VALUE"""),0.04)</f>
        <v>0.04</v>
      </c>
      <c r="Q552" s="199">
        <f>IFERROR(__xludf.DUMMYFUNCTION("""COMPUTED_VALUE"""),0.0)</f>
        <v>0</v>
      </c>
      <c r="R552" s="199">
        <f>IFERROR(__xludf.DUMMYFUNCTION("""COMPUTED_VALUE"""),0.0)</f>
        <v>0</v>
      </c>
      <c r="S552" s="199">
        <f>IFERROR(__xludf.DUMMYFUNCTION("""COMPUTED_VALUE"""),0.0)</f>
        <v>0</v>
      </c>
      <c r="T552" s="199">
        <f>IFERROR(__xludf.DUMMYFUNCTION("""COMPUTED_VALUE"""),0.0)</f>
        <v>0</v>
      </c>
      <c r="U552" s="199">
        <f>IFERROR(__xludf.DUMMYFUNCTION("""COMPUTED_VALUE"""),9.0)</f>
        <v>9</v>
      </c>
      <c r="V552" s="199">
        <f>IFERROR(__xludf.DUMMYFUNCTION("""COMPUTED_VALUE"""),0.0)</f>
        <v>0</v>
      </c>
      <c r="W552" s="199">
        <f>IFERROR(__xludf.DUMMYFUNCTION("""COMPUTED_VALUE"""),0.0)</f>
        <v>0</v>
      </c>
      <c r="X552" s="199">
        <f>IFERROR(__xludf.DUMMYFUNCTION("""COMPUTED_VALUE"""),0.0)</f>
        <v>0</v>
      </c>
      <c r="Y552" s="199">
        <f>IFERROR(__xludf.DUMMYFUNCTION("""COMPUTED_VALUE"""),0.0)</f>
        <v>0</v>
      </c>
      <c r="Z552" s="199">
        <f>IFERROR(__xludf.DUMMYFUNCTION("""COMPUTED_VALUE"""),0.0)</f>
        <v>0</v>
      </c>
      <c r="AA552" s="199">
        <f>IFERROR(__xludf.DUMMYFUNCTION("""COMPUTED_VALUE"""),0.0)</f>
        <v>0</v>
      </c>
      <c r="AB552" s="199">
        <f>IFERROR(__xludf.DUMMYFUNCTION("""COMPUTED_VALUE"""),42.0)</f>
        <v>42</v>
      </c>
      <c r="AC552" s="199">
        <f>IFERROR(__xludf.DUMMYFUNCTION("""COMPUTED_VALUE"""),30.0)</f>
        <v>30</v>
      </c>
      <c r="AD552" s="199">
        <f>IFERROR(__xludf.DUMMYFUNCTION("""COMPUTED_VALUE"""),0.0)</f>
        <v>0</v>
      </c>
      <c r="AE552" s="199">
        <f>IFERROR(__xludf.DUMMYFUNCTION("""COMPUTED_VALUE"""),37.0)</f>
        <v>37</v>
      </c>
      <c r="AF552" s="199">
        <f>IFERROR(__xludf.DUMMYFUNCTION("""COMPUTED_VALUE"""),2.0)</f>
        <v>2</v>
      </c>
      <c r="AG552" s="199">
        <f>IFERROR(__xludf.DUMMYFUNCTION("""COMPUTED_VALUE"""),630.0)</f>
        <v>630</v>
      </c>
      <c r="AH552" s="199">
        <f>IFERROR(__xludf.DUMMYFUNCTION("""COMPUTED_VALUE"""),13.0)</f>
        <v>13</v>
      </c>
      <c r="AI552" s="200" t="str">
        <f>IFERROR(__xludf.DUMMYFUNCTION("""COMPUTED_VALUE"""),"Caution – Elevated Si / High Particle Count")</f>
        <v>Caution – Elevated Si / High Particle Count</v>
      </c>
      <c r="AJ552" s="200" t="str">
        <f>IFERROR(__xludf.DUMMYFUNCTION("""COMPUTED_VALUE"""),"Si 42 ppm (elevated – abrasive). ISO 22/22/20. Particle count high (30291 @4µm). Water 0.040 Vol%. Inspect breathers, fill caps, seals. Replace filter. Resample within 30 days.")</f>
        <v>Si 42 ppm (elevated – abrasive). ISO 22/22/20. Particle count high (30291 @4µm). Water 0.040 Vol%. Inspect breathers, fill caps, seals. Replace filter. Resample within 30 days.</v>
      </c>
      <c r="AK552" s="204"/>
      <c r="AL552" s="204"/>
      <c r="AM552" s="204"/>
    </row>
    <row r="553" hidden="1">
      <c r="A553" s="199" t="str">
        <f>IFERROR(__xludf.DUMMYFUNCTION("""COMPUTED_VALUE"""),"111.BC330 (R2)")</f>
        <v>111.BC330 (R2)</v>
      </c>
      <c r="B553" s="200" t="str">
        <f>IFERROR(__xludf.DUMMYFUNCTION("""COMPUTED_VALUE"""),"Belt conveyor second right Gearbox")</f>
        <v>Belt conveyor second right Gearbox</v>
      </c>
      <c r="C553" s="199">
        <f>IFERROR(__xludf.DUMMYFUNCTION("""COMPUTED_VALUE"""),2.5330261218E10)</f>
        <v>25330261218</v>
      </c>
      <c r="D553" s="201">
        <f>IFERROR(__xludf.DUMMYFUNCTION("""COMPUTED_VALUE"""),45978.0)</f>
        <v>45978</v>
      </c>
      <c r="E553" s="202" t="str">
        <f>IFERROR(__xludf.DUMMYFUNCTION("""COMPUTED_VALUE"""),"Caution")</f>
        <v>Caution</v>
      </c>
      <c r="F553" s="202" t="str">
        <f>IFERROR(__xludf.DUMMYFUNCTION("""COMPUTED_VALUE"""),"Caution")</f>
        <v>Caution</v>
      </c>
      <c r="G553" s="203" t="str">
        <f>IFERROR(__xludf.DUMMYFUNCTION("""COMPUTED_VALUE"""),"Normal")</f>
        <v>Normal</v>
      </c>
      <c r="H553" s="203" t="str">
        <f>IFERROR(__xludf.DUMMYFUNCTION("""COMPUTED_VALUE"""),"Normal")</f>
        <v>Normal</v>
      </c>
      <c r="I553" s="199">
        <f>IFERROR(__xludf.DUMMYFUNCTION("""COMPUTED_VALUE"""),21768.0)</f>
        <v>21768</v>
      </c>
      <c r="J553" s="199">
        <f>IFERROR(__xludf.DUMMYFUNCTION("""COMPUTED_VALUE"""),16024.0)</f>
        <v>16024</v>
      </c>
      <c r="K553" s="199">
        <f>IFERROR(__xludf.DUMMYFUNCTION("""COMPUTED_VALUE"""),5618.0)</f>
        <v>5618</v>
      </c>
      <c r="L553" s="199">
        <f>IFERROR(__xludf.DUMMYFUNCTION("""COMPUTED_VALUE"""),6.0)</f>
        <v>6</v>
      </c>
      <c r="M553" s="199">
        <f>IFERROR(__xludf.DUMMYFUNCTION("""COMPUTED_VALUE"""),213.2)</f>
        <v>213.2</v>
      </c>
      <c r="N553" s="199"/>
      <c r="O553" s="199"/>
      <c r="P553" s="199">
        <f>IFERROR(__xludf.DUMMYFUNCTION("""COMPUTED_VALUE"""),0.01)</f>
        <v>0.01</v>
      </c>
      <c r="Q553" s="199">
        <f>IFERROR(__xludf.DUMMYFUNCTION("""COMPUTED_VALUE"""),0.0)</f>
        <v>0</v>
      </c>
      <c r="R553" s="199">
        <f>IFERROR(__xludf.DUMMYFUNCTION("""COMPUTED_VALUE"""),0.0)</f>
        <v>0</v>
      </c>
      <c r="S553" s="199">
        <f>IFERROR(__xludf.DUMMYFUNCTION("""COMPUTED_VALUE"""),0.0)</f>
        <v>0</v>
      </c>
      <c r="T553" s="199">
        <f>IFERROR(__xludf.DUMMYFUNCTION("""COMPUTED_VALUE"""),0.0)</f>
        <v>0</v>
      </c>
      <c r="U553" s="199">
        <f>IFERROR(__xludf.DUMMYFUNCTION("""COMPUTED_VALUE"""),6.0)</f>
        <v>6</v>
      </c>
      <c r="V553" s="199">
        <f>IFERROR(__xludf.DUMMYFUNCTION("""COMPUTED_VALUE"""),0.0)</f>
        <v>0</v>
      </c>
      <c r="W553" s="199">
        <f>IFERROR(__xludf.DUMMYFUNCTION("""COMPUTED_VALUE"""),0.0)</f>
        <v>0</v>
      </c>
      <c r="X553" s="199">
        <f>IFERROR(__xludf.DUMMYFUNCTION("""COMPUTED_VALUE"""),0.0)</f>
        <v>0</v>
      </c>
      <c r="Y553" s="199">
        <f>IFERROR(__xludf.DUMMYFUNCTION("""COMPUTED_VALUE"""),0.0)</f>
        <v>0</v>
      </c>
      <c r="Z553" s="199">
        <f>IFERROR(__xludf.DUMMYFUNCTION("""COMPUTED_VALUE"""),0.0)</f>
        <v>0</v>
      </c>
      <c r="AA553" s="199">
        <f>IFERROR(__xludf.DUMMYFUNCTION("""COMPUTED_VALUE"""),0.0)</f>
        <v>0</v>
      </c>
      <c r="AB553" s="199">
        <f>IFERROR(__xludf.DUMMYFUNCTION("""COMPUTED_VALUE"""),39.0)</f>
        <v>39</v>
      </c>
      <c r="AC553" s="199">
        <f>IFERROR(__xludf.DUMMYFUNCTION("""COMPUTED_VALUE"""),26.0)</f>
        <v>26</v>
      </c>
      <c r="AD553" s="199">
        <f>IFERROR(__xludf.DUMMYFUNCTION("""COMPUTED_VALUE"""),0.0)</f>
        <v>0</v>
      </c>
      <c r="AE553" s="199">
        <f>IFERROR(__xludf.DUMMYFUNCTION("""COMPUTED_VALUE"""),33.0)</f>
        <v>33</v>
      </c>
      <c r="AF553" s="199">
        <f>IFERROR(__xludf.DUMMYFUNCTION("""COMPUTED_VALUE"""),2.0)</f>
        <v>2</v>
      </c>
      <c r="AG553" s="199">
        <f>IFERROR(__xludf.DUMMYFUNCTION("""COMPUTED_VALUE"""),664.0)</f>
        <v>664</v>
      </c>
      <c r="AH553" s="199">
        <f>IFERROR(__xludf.DUMMYFUNCTION("""COMPUTED_VALUE"""),11.0)</f>
        <v>11</v>
      </c>
      <c r="AI553" s="200" t="str">
        <f>IFERROR(__xludf.DUMMYFUNCTION("""COMPUTED_VALUE"""),"Caution – Elevated Si / Particle Count")</f>
        <v>Caution – Elevated Si / Particle Count</v>
      </c>
      <c r="AJ553" s="200" t="str">
        <f>IFERROR(__xludf.DUMMYFUNCTION("""COMPUTED_VALUE"""),"Si 39 ppm (elevated). ISO 22/21/20. Particle count 21768 @4µm. Inspect seals and breathers. Monitor trend.")</f>
        <v>Si 39 ppm (elevated). ISO 22/21/20. Particle count 21768 @4µm. Inspect seals and breathers. Monitor trend.</v>
      </c>
      <c r="AK553" s="204"/>
      <c r="AL553" s="204"/>
      <c r="AM553" s="204"/>
    </row>
    <row r="554" hidden="1">
      <c r="A554" s="199" t="str">
        <f>IFERROR(__xludf.DUMMYFUNCTION("""COMPUTED_VALUE"""),"111.BC330 (R1)")</f>
        <v>111.BC330 (R1)</v>
      </c>
      <c r="B554" s="200" t="str">
        <f>IFERROR(__xludf.DUMMYFUNCTION("""COMPUTED_VALUE"""),"Belt conveyor first right Gearbox")</f>
        <v>Belt conveyor first right Gearbox</v>
      </c>
      <c r="C554" s="199">
        <f>IFERROR(__xludf.DUMMYFUNCTION("""COMPUTED_VALUE"""),2.5330261215E10)</f>
        <v>25330261215</v>
      </c>
      <c r="D554" s="201">
        <f>IFERROR(__xludf.DUMMYFUNCTION("""COMPUTED_VALUE"""),45978.0)</f>
        <v>45978</v>
      </c>
      <c r="E554" s="202" t="str">
        <f>IFERROR(__xludf.DUMMYFUNCTION("""COMPUTED_VALUE"""),"Alert")</f>
        <v>Alert</v>
      </c>
      <c r="F554" s="202" t="str">
        <f>IFERROR(__xludf.DUMMYFUNCTION("""COMPUTED_VALUE"""),"Alert")</f>
        <v>Alert</v>
      </c>
      <c r="G554" s="203" t="str">
        <f>IFERROR(__xludf.DUMMYFUNCTION("""COMPUTED_VALUE"""),"Normal")</f>
        <v>Normal</v>
      </c>
      <c r="H554" s="203" t="str">
        <f>IFERROR(__xludf.DUMMYFUNCTION("""COMPUTED_VALUE"""),"Normal")</f>
        <v>Normal</v>
      </c>
      <c r="I554" s="37">
        <f>IFERROR(__xludf.DUMMYFUNCTION("""COMPUTED_VALUE"""),29917.0)</f>
        <v>29917</v>
      </c>
      <c r="J554" s="37">
        <f>IFERROR(__xludf.DUMMYFUNCTION("""COMPUTED_VALUE"""),10618.0)</f>
        <v>10618</v>
      </c>
      <c r="K554" s="37">
        <f>IFERROR(__xludf.DUMMYFUNCTION("""COMPUTED_VALUE"""),5100.0)</f>
        <v>5100</v>
      </c>
      <c r="L554" s="199">
        <f>IFERROR(__xludf.DUMMYFUNCTION("""COMPUTED_VALUE"""),10.0)</f>
        <v>10</v>
      </c>
      <c r="M554" s="199">
        <f>IFERROR(__xludf.DUMMYFUNCTION("""COMPUTED_VALUE"""),219.5)</f>
        <v>219.5</v>
      </c>
      <c r="N554" s="37"/>
      <c r="O554" s="37"/>
      <c r="P554" s="199">
        <f>IFERROR(__xludf.DUMMYFUNCTION("""COMPUTED_VALUE"""),0.01)</f>
        <v>0.01</v>
      </c>
      <c r="Q554" s="199">
        <f>IFERROR(__xludf.DUMMYFUNCTION("""COMPUTED_VALUE"""),0.0)</f>
        <v>0</v>
      </c>
      <c r="R554" s="199">
        <f>IFERROR(__xludf.DUMMYFUNCTION("""COMPUTED_VALUE"""),0.0)</f>
        <v>0</v>
      </c>
      <c r="S554" s="199">
        <f>IFERROR(__xludf.DUMMYFUNCTION("""COMPUTED_VALUE"""),0.0)</f>
        <v>0</v>
      </c>
      <c r="T554" s="199">
        <f>IFERROR(__xludf.DUMMYFUNCTION("""COMPUTED_VALUE"""),0.0)</f>
        <v>0</v>
      </c>
      <c r="U554" s="199">
        <f>IFERROR(__xludf.DUMMYFUNCTION("""COMPUTED_VALUE"""),4.0)</f>
        <v>4</v>
      </c>
      <c r="V554" s="199">
        <f>IFERROR(__xludf.DUMMYFUNCTION("""COMPUTED_VALUE"""),0.0)</f>
        <v>0</v>
      </c>
      <c r="W554" s="199">
        <f>IFERROR(__xludf.DUMMYFUNCTION("""COMPUTED_VALUE"""),0.0)</f>
        <v>0</v>
      </c>
      <c r="X554" s="199">
        <f>IFERROR(__xludf.DUMMYFUNCTION("""COMPUTED_VALUE"""),0.0)</f>
        <v>0</v>
      </c>
      <c r="Y554" s="199">
        <f>IFERROR(__xludf.DUMMYFUNCTION("""COMPUTED_VALUE"""),0.0)</f>
        <v>0</v>
      </c>
      <c r="Z554" s="199">
        <f>IFERROR(__xludf.DUMMYFUNCTION("""COMPUTED_VALUE"""),0.0)</f>
        <v>0</v>
      </c>
      <c r="AA554" s="199">
        <f>IFERROR(__xludf.DUMMYFUNCTION("""COMPUTED_VALUE"""),0.0)</f>
        <v>0</v>
      </c>
      <c r="AB554" s="199">
        <f>IFERROR(__xludf.DUMMYFUNCTION("""COMPUTED_VALUE"""),59.0)</f>
        <v>59</v>
      </c>
      <c r="AC554" s="199">
        <f>IFERROR(__xludf.DUMMYFUNCTION("""COMPUTED_VALUE"""),12.0)</f>
        <v>12</v>
      </c>
      <c r="AD554" s="199">
        <f>IFERROR(__xludf.DUMMYFUNCTION("""COMPUTED_VALUE"""),0.0)</f>
        <v>0</v>
      </c>
      <c r="AE554" s="199">
        <f>IFERROR(__xludf.DUMMYFUNCTION("""COMPUTED_VALUE"""),36.0)</f>
        <v>36</v>
      </c>
      <c r="AF554" s="199">
        <f>IFERROR(__xludf.DUMMYFUNCTION("""COMPUTED_VALUE"""),0.0)</f>
        <v>0</v>
      </c>
      <c r="AG554" s="199">
        <f>IFERROR(__xludf.DUMMYFUNCTION("""COMPUTED_VALUE"""),636.0)</f>
        <v>636</v>
      </c>
      <c r="AH554" s="199">
        <f>IFERROR(__xludf.DUMMYFUNCTION("""COMPUTED_VALUE"""),92.0)</f>
        <v>92</v>
      </c>
      <c r="AI554" s="200" t="str">
        <f>IFERROR(__xludf.DUMMYFUNCTION("""COMPUTED_VALUE"""),"Alert – Extreme Si / High Particle Count / Contamination Alert")</f>
        <v>Alert – Extreme Si / High Particle Count / Contamination Alert</v>
      </c>
      <c r="AJ554" s="200" t="str">
        <f>IFERROR(__xludf.DUMMYFUNCTION("""COMPUTED_VALUE"""),"ACTION REQUIRED – Si 59 ppm (extreme abrasive contamination). ISO 22/21/20. Particle count 29917 @4µm. TAN 1.40 mg KOH/g. Inspect breathers, seals, fill caps for dirt ingress immediately. Replace filter. Change oil if Si is confirmed abrasive. Resample wi"&amp;"thin 15 days.")</f>
        <v>ACTION REQUIRED – Si 59 ppm (extreme abrasive contamination). ISO 22/21/20. Particle count 29917 @4µm. TAN 1.40 mg KOH/g. Inspect breathers, seals, fill caps for dirt ingress immediately. Replace filter. Change oil if Si is confirmed abrasive. Resample within 15 days.</v>
      </c>
      <c r="AK554" s="204"/>
      <c r="AL554" s="204"/>
      <c r="AM554" s="204"/>
    </row>
    <row r="555" hidden="1">
      <c r="A555" s="199" t="str">
        <f>IFERROR(__xludf.DUMMYFUNCTION("""COMPUTED_VALUE"""),"131.ST200 (HY)")</f>
        <v>131.ST200 (HY)</v>
      </c>
      <c r="B555" s="200" t="str">
        <f>IFERROR(__xludf.DUMMYFUNCTION("""COMPUTED_VALUE"""),"Jib arm Hydraulic Pump Station")</f>
        <v>Jib arm Hydraulic Pump Station</v>
      </c>
      <c r="C555" s="199">
        <f>IFERROR(__xludf.DUMMYFUNCTION("""COMPUTED_VALUE"""),2.5330261231E10)</f>
        <v>25330261231</v>
      </c>
      <c r="D555" s="201">
        <f>IFERROR(__xludf.DUMMYFUNCTION("""COMPUTED_VALUE"""),45978.0)</f>
        <v>45978</v>
      </c>
      <c r="E555" s="202" t="str">
        <f>IFERROR(__xludf.DUMMYFUNCTION("""COMPUTED_VALUE"""),"Alert")</f>
        <v>Alert</v>
      </c>
      <c r="F555" s="202" t="str">
        <f>IFERROR(__xludf.DUMMYFUNCTION("""COMPUTED_VALUE"""),"Caution")</f>
        <v>Caution</v>
      </c>
      <c r="G555" s="203" t="str">
        <f>IFERROR(__xludf.DUMMYFUNCTION("""COMPUTED_VALUE"""),"Alert")</f>
        <v>Alert</v>
      </c>
      <c r="H555" s="203" t="str">
        <f>IFERROR(__xludf.DUMMYFUNCTION("""COMPUTED_VALUE"""),"Normal")</f>
        <v>Normal</v>
      </c>
      <c r="I555" s="37"/>
      <c r="J555" s="37"/>
      <c r="K555" s="37"/>
      <c r="L555" s="199">
        <f>IFERROR(__xludf.DUMMYFUNCTION("""COMPUTED_VALUE"""),20.0)</f>
        <v>20</v>
      </c>
      <c r="M555" s="199">
        <f>IFERROR(__xludf.DUMMYFUNCTION("""COMPUTED_VALUE"""),45.6)</f>
        <v>45.6</v>
      </c>
      <c r="N555" s="37"/>
      <c r="O555" s="37">
        <f>IFERROR(__xludf.DUMMYFUNCTION("""COMPUTED_VALUE"""),1.0)</f>
        <v>1</v>
      </c>
      <c r="P555" s="199">
        <f>IFERROR(__xludf.DUMMYFUNCTION("""COMPUTED_VALUE"""),0.01)</f>
        <v>0.01</v>
      </c>
      <c r="Q555" s="199">
        <f>IFERROR(__xludf.DUMMYFUNCTION("""COMPUTED_VALUE"""),0.0)</f>
        <v>0</v>
      </c>
      <c r="R555" s="199">
        <f>IFERROR(__xludf.DUMMYFUNCTION("""COMPUTED_VALUE"""),0.0)</f>
        <v>0</v>
      </c>
      <c r="S555" s="199">
        <f>IFERROR(__xludf.DUMMYFUNCTION("""COMPUTED_VALUE"""),1.0)</f>
        <v>1</v>
      </c>
      <c r="T555" s="199">
        <f>IFERROR(__xludf.DUMMYFUNCTION("""COMPUTED_VALUE"""),4.0)</f>
        <v>4</v>
      </c>
      <c r="U555" s="199">
        <f>IFERROR(__xludf.DUMMYFUNCTION("""COMPUTED_VALUE"""),55.0)</f>
        <v>55</v>
      </c>
      <c r="V555" s="199">
        <f>IFERROR(__xludf.DUMMYFUNCTION("""COMPUTED_VALUE"""),0.0)</f>
        <v>0</v>
      </c>
      <c r="W555" s="199">
        <f>IFERROR(__xludf.DUMMYFUNCTION("""COMPUTED_VALUE"""),0.0)</f>
        <v>0</v>
      </c>
      <c r="X555" s="199">
        <f>IFERROR(__xludf.DUMMYFUNCTION("""COMPUTED_VALUE"""),0.0)</f>
        <v>0</v>
      </c>
      <c r="Y555" s="199">
        <f>IFERROR(__xludf.DUMMYFUNCTION("""COMPUTED_VALUE"""),0.0)</f>
        <v>0</v>
      </c>
      <c r="Z555" s="199">
        <f>IFERROR(__xludf.DUMMYFUNCTION("""COMPUTED_VALUE"""),2.0)</f>
        <v>2</v>
      </c>
      <c r="AA555" s="199">
        <f>IFERROR(__xludf.DUMMYFUNCTION("""COMPUTED_VALUE"""),0.0)</f>
        <v>0</v>
      </c>
      <c r="AB555" s="199">
        <f>IFERROR(__xludf.DUMMYFUNCTION("""COMPUTED_VALUE"""),18.0)</f>
        <v>18</v>
      </c>
      <c r="AC555" s="199">
        <f>IFERROR(__xludf.DUMMYFUNCTION("""COMPUTED_VALUE"""),12.0)</f>
        <v>12</v>
      </c>
      <c r="AD555" s="199">
        <f>IFERROR(__xludf.DUMMYFUNCTION("""COMPUTED_VALUE"""),0.0)</f>
        <v>0</v>
      </c>
      <c r="AE555" s="199">
        <f>IFERROR(__xludf.DUMMYFUNCTION("""COMPUTED_VALUE"""),125.0)</f>
        <v>125</v>
      </c>
      <c r="AF555" s="199">
        <f>IFERROR(__xludf.DUMMYFUNCTION("""COMPUTED_VALUE"""),3.0)</f>
        <v>3</v>
      </c>
      <c r="AG555" s="199">
        <f>IFERROR(__xludf.DUMMYFUNCTION("""COMPUTED_VALUE"""),436.0)</f>
        <v>436</v>
      </c>
      <c r="AH555" s="199">
        <f>IFERROR(__xludf.DUMMYFUNCTION("""COMPUTED_VALUE"""),376.0)</f>
        <v>376</v>
      </c>
      <c r="AI555" s="200" t="str">
        <f>IFERROR(__xludf.DUMMYFUNCTION("""COMPUTED_VALUE"""),"Wear Metal Alert")</f>
        <v>Wear Metal Alert</v>
      </c>
      <c r="AJ555" s="200" t="str">
        <f>IFERROR(__xludf.DUMMYFUNCTION("""COMPUTED_VALUE"""),"URGENT: Inspect equipment immediately for wear/damage")</f>
        <v>URGENT: Inspect equipment immediately for wear/damage</v>
      </c>
      <c r="AK555" s="204"/>
      <c r="AL555" s="204"/>
      <c r="AM555" s="204"/>
    </row>
    <row r="556" hidden="1">
      <c r="A556" s="199" t="str">
        <f>IFERROR(__xludf.DUMMYFUNCTION("""COMPUTED_VALUE"""),"543.BE180")</f>
        <v>543.BE180</v>
      </c>
      <c r="B556" s="200" t="str">
        <f>IFERROR(__xludf.DUMMYFUNCTION("""COMPUTED_VALUE"""),"Bucket Elevator Cem. Silo#3 GB.")</f>
        <v>Bucket Elevator Cem. Silo#3 GB.</v>
      </c>
      <c r="C556" s="199">
        <f>IFERROR(__xludf.DUMMYFUNCTION("""COMPUTED_VALUE"""),2.5330281212E10)</f>
        <v>25330281212</v>
      </c>
      <c r="D556" s="201">
        <f>IFERROR(__xludf.DUMMYFUNCTION("""COMPUTED_VALUE"""),45978.0)</f>
        <v>45978</v>
      </c>
      <c r="E556" s="202" t="str">
        <f>IFERROR(__xludf.DUMMYFUNCTION("""COMPUTED_VALUE"""),"Alert")</f>
        <v>Alert</v>
      </c>
      <c r="F556" s="202" t="str">
        <f>IFERROR(__xludf.DUMMYFUNCTION("""COMPUTED_VALUE"""),"Alert")</f>
        <v>Alert</v>
      </c>
      <c r="G556" s="203" t="str">
        <f>IFERROR(__xludf.DUMMYFUNCTION("""COMPUTED_VALUE"""),"Normal")</f>
        <v>Normal</v>
      </c>
      <c r="H556" s="203" t="str">
        <f>IFERROR(__xludf.DUMMYFUNCTION("""COMPUTED_VALUE"""),"Caution")</f>
        <v>Caution</v>
      </c>
      <c r="I556" s="37"/>
      <c r="J556" s="37"/>
      <c r="K556" s="37"/>
      <c r="L556" s="199">
        <f>IFERROR(__xludf.DUMMYFUNCTION("""COMPUTED_VALUE"""),15.0)</f>
        <v>15</v>
      </c>
      <c r="M556" s="199">
        <f>IFERROR(__xludf.DUMMYFUNCTION("""COMPUTED_VALUE"""),302.0)</f>
        <v>302</v>
      </c>
      <c r="N556" s="37"/>
      <c r="O556" s="37"/>
      <c r="P556" s="199">
        <f>IFERROR(__xludf.DUMMYFUNCTION("""COMPUTED_VALUE"""),0.05)</f>
        <v>0.05</v>
      </c>
      <c r="Q556" s="199">
        <f>IFERROR(__xludf.DUMMYFUNCTION("""COMPUTED_VALUE"""),0.0)</f>
        <v>0</v>
      </c>
      <c r="R556" s="199">
        <f>IFERROR(__xludf.DUMMYFUNCTION("""COMPUTED_VALUE"""),0.0)</f>
        <v>0</v>
      </c>
      <c r="S556" s="199">
        <f>IFERROR(__xludf.DUMMYFUNCTION("""COMPUTED_VALUE"""),0.0)</f>
        <v>0</v>
      </c>
      <c r="T556" s="199">
        <f>IFERROR(__xludf.DUMMYFUNCTION("""COMPUTED_VALUE"""),0.0)</f>
        <v>0</v>
      </c>
      <c r="U556" s="199">
        <f>IFERROR(__xludf.DUMMYFUNCTION("""COMPUTED_VALUE"""),20.0)</f>
        <v>20</v>
      </c>
      <c r="V556" s="199">
        <f>IFERROR(__xludf.DUMMYFUNCTION("""COMPUTED_VALUE"""),0.0)</f>
        <v>0</v>
      </c>
      <c r="W556" s="199">
        <f>IFERROR(__xludf.DUMMYFUNCTION("""COMPUTED_VALUE"""),0.0)</f>
        <v>0</v>
      </c>
      <c r="X556" s="199">
        <f>IFERROR(__xludf.DUMMYFUNCTION("""COMPUTED_VALUE"""),0.0)</f>
        <v>0</v>
      </c>
      <c r="Y556" s="199">
        <f>IFERROR(__xludf.DUMMYFUNCTION("""COMPUTED_VALUE"""),0.0)</f>
        <v>0</v>
      </c>
      <c r="Z556" s="199">
        <f>IFERROR(__xludf.DUMMYFUNCTION("""COMPUTED_VALUE"""),0.0)</f>
        <v>0</v>
      </c>
      <c r="AA556" s="199">
        <f>IFERROR(__xludf.DUMMYFUNCTION("""COMPUTED_VALUE"""),2.0)</f>
        <v>2</v>
      </c>
      <c r="AB556" s="199">
        <f>IFERROR(__xludf.DUMMYFUNCTION("""COMPUTED_VALUE"""),50.0)</f>
        <v>50</v>
      </c>
      <c r="AC556" s="199">
        <f>IFERROR(__xludf.DUMMYFUNCTION("""COMPUTED_VALUE"""),29.0)</f>
        <v>29</v>
      </c>
      <c r="AD556" s="199">
        <f>IFERROR(__xludf.DUMMYFUNCTION("""COMPUTED_VALUE"""),2.0)</f>
        <v>2</v>
      </c>
      <c r="AE556" s="199">
        <f>IFERROR(__xludf.DUMMYFUNCTION("""COMPUTED_VALUE"""),22.0)</f>
        <v>22</v>
      </c>
      <c r="AF556" s="199">
        <f>IFERROR(__xludf.DUMMYFUNCTION("""COMPUTED_VALUE"""),0.0)</f>
        <v>0</v>
      </c>
      <c r="AG556" s="199">
        <f>IFERROR(__xludf.DUMMYFUNCTION("""COMPUTED_VALUE"""),371.0)</f>
        <v>371</v>
      </c>
      <c r="AH556" s="199">
        <f>IFERROR(__xludf.DUMMYFUNCTION("""COMPUTED_VALUE"""),0.0)</f>
        <v>0</v>
      </c>
      <c r="AI556" s="200" t="str">
        <f>IFERROR(__xludf.DUMMYFUNCTION("""COMPUTED_VALUE"""),"General Alert")</f>
        <v>General Alert</v>
      </c>
      <c r="AJ556" s="200" t="str">
        <f>IFERROR(__xludf.DUMMYFUNCTION("""COMPUTED_VALUE"""),"Elevated silicon - inspect filters and seals for contamination")</f>
        <v>Elevated silicon - inspect filters and seals for contamination</v>
      </c>
      <c r="AK556" s="204"/>
      <c r="AL556" s="204"/>
      <c r="AM556" s="204"/>
    </row>
    <row r="557" hidden="1">
      <c r="A557" s="199" t="str">
        <f>IFERROR(__xludf.DUMMYFUNCTION("""COMPUTED_VALUE"""),"131.RE300")</f>
        <v>131.RE300</v>
      </c>
      <c r="B557" s="200" t="str">
        <f>IFERROR(__xludf.DUMMYFUNCTION("""COMPUTED_VALUE"""),"Take up unit Tank for Scraper Chain")</f>
        <v>Take up unit Tank for Scraper Chain</v>
      </c>
      <c r="C557" s="199">
        <f>IFERROR(__xludf.DUMMYFUNCTION("""COMPUTED_VALUE"""),2.5330261219E10)</f>
        <v>25330261219</v>
      </c>
      <c r="D557" s="201">
        <f>IFERROR(__xludf.DUMMYFUNCTION("""COMPUTED_VALUE"""),45978.0)</f>
        <v>45978</v>
      </c>
      <c r="E557" s="202" t="str">
        <f>IFERROR(__xludf.DUMMYFUNCTION("""COMPUTED_VALUE"""),"Alert")</f>
        <v>Alert</v>
      </c>
      <c r="F557" s="202" t="str">
        <f>IFERROR(__xludf.DUMMYFUNCTION("""COMPUTED_VALUE"""),"Alert")</f>
        <v>Alert</v>
      </c>
      <c r="G557" s="203" t="str">
        <f>IFERROR(__xludf.DUMMYFUNCTION("""COMPUTED_VALUE"""),"Normal")</f>
        <v>Normal</v>
      </c>
      <c r="H557" s="203" t="str">
        <f>IFERROR(__xludf.DUMMYFUNCTION("""COMPUTED_VALUE"""),"Normal")</f>
        <v>Normal</v>
      </c>
      <c r="I557" s="37"/>
      <c r="J557" s="37"/>
      <c r="K557" s="37"/>
      <c r="L557" s="199">
        <f>IFERROR(__xludf.DUMMYFUNCTION("""COMPUTED_VALUE"""),22.0)</f>
        <v>22</v>
      </c>
      <c r="M557" s="199">
        <f>IFERROR(__xludf.DUMMYFUNCTION("""COMPUTED_VALUE"""),46.6)</f>
        <v>46.6</v>
      </c>
      <c r="N557" s="37"/>
      <c r="O557" s="37">
        <f>IFERROR(__xludf.DUMMYFUNCTION("""COMPUTED_VALUE"""),1.0)</f>
        <v>1</v>
      </c>
      <c r="P557" s="199">
        <f>IFERROR(__xludf.DUMMYFUNCTION("""COMPUTED_VALUE"""),0.04)</f>
        <v>0.04</v>
      </c>
      <c r="Q557" s="199">
        <f>IFERROR(__xludf.DUMMYFUNCTION("""COMPUTED_VALUE"""),0.0)</f>
        <v>0</v>
      </c>
      <c r="R557" s="199">
        <f>IFERROR(__xludf.DUMMYFUNCTION("""COMPUTED_VALUE"""),3.0)</f>
        <v>3</v>
      </c>
      <c r="S557" s="199">
        <f>IFERROR(__xludf.DUMMYFUNCTION("""COMPUTED_VALUE"""),1.0)</f>
        <v>1</v>
      </c>
      <c r="T557" s="199">
        <f>IFERROR(__xludf.DUMMYFUNCTION("""COMPUTED_VALUE"""),4.0)</f>
        <v>4</v>
      </c>
      <c r="U557" s="199">
        <f>IFERROR(__xludf.DUMMYFUNCTION("""COMPUTED_VALUE"""),22.0)</f>
        <v>22</v>
      </c>
      <c r="V557" s="199">
        <f>IFERROR(__xludf.DUMMYFUNCTION("""COMPUTED_VALUE"""),0.0)</f>
        <v>0</v>
      </c>
      <c r="W557" s="199">
        <f>IFERROR(__xludf.DUMMYFUNCTION("""COMPUTED_VALUE"""),0.0)</f>
        <v>0</v>
      </c>
      <c r="X557" s="199">
        <f>IFERROR(__xludf.DUMMYFUNCTION("""COMPUTED_VALUE"""),0.0)</f>
        <v>0</v>
      </c>
      <c r="Y557" s="199">
        <f>IFERROR(__xludf.DUMMYFUNCTION("""COMPUTED_VALUE"""),0.0)</f>
        <v>0</v>
      </c>
      <c r="Z557" s="199">
        <f>IFERROR(__xludf.DUMMYFUNCTION("""COMPUTED_VALUE"""),2.0)</f>
        <v>2</v>
      </c>
      <c r="AA557" s="199">
        <f>IFERROR(__xludf.DUMMYFUNCTION("""COMPUTED_VALUE"""),0.0)</f>
        <v>0</v>
      </c>
      <c r="AB557" s="199">
        <f>IFERROR(__xludf.DUMMYFUNCTION("""COMPUTED_VALUE"""),23.0)</f>
        <v>23</v>
      </c>
      <c r="AC557" s="199">
        <f>IFERROR(__xludf.DUMMYFUNCTION("""COMPUTED_VALUE"""),1.0)</f>
        <v>1</v>
      </c>
      <c r="AD557" s="199">
        <f>IFERROR(__xludf.DUMMYFUNCTION("""COMPUTED_VALUE"""),0.0)</f>
        <v>0</v>
      </c>
      <c r="AE557" s="199">
        <f>IFERROR(__xludf.DUMMYFUNCTION("""COMPUTED_VALUE"""),86.0)</f>
        <v>86</v>
      </c>
      <c r="AF557" s="199">
        <f>IFERROR(__xludf.DUMMYFUNCTION("""COMPUTED_VALUE"""),0.0)</f>
        <v>0</v>
      </c>
      <c r="AG557" s="199">
        <f>IFERROR(__xludf.DUMMYFUNCTION("""COMPUTED_VALUE"""),434.0)</f>
        <v>434</v>
      </c>
      <c r="AH557" s="199">
        <f>IFERROR(__xludf.DUMMYFUNCTION("""COMPUTED_VALUE"""),461.0)</f>
        <v>461</v>
      </c>
      <c r="AI557" s="200" t="str">
        <f>IFERROR(__xludf.DUMMYFUNCTION("""COMPUTED_VALUE"""),"General Alert")</f>
        <v>General Alert</v>
      </c>
      <c r="AJ557" s="200" t="str">
        <f>IFERROR(__xludf.DUMMYFUNCTION("""COMPUTED_VALUE"""),"Investigate root cause; increase sampling frequency to monthly")</f>
        <v>Investigate root cause; increase sampling frequency to monthly</v>
      </c>
      <c r="AK557" s="204"/>
      <c r="AL557" s="204"/>
      <c r="AM557" s="204"/>
    </row>
    <row r="558" hidden="1">
      <c r="A558" s="199" t="str">
        <f>IFERROR(__xludf.DUMMYFUNCTION("""COMPUTED_VALUE"""),"131.RE300.M11")</f>
        <v>131.RE300.M11</v>
      </c>
      <c r="B558" s="200" t="str">
        <f>IFERROR(__xludf.DUMMYFUNCTION("""COMPUTED_VALUE"""),"Reclaimer Chain Scraper gearbox")</f>
        <v>Reclaimer Chain Scraper gearbox</v>
      </c>
      <c r="C558" s="199">
        <f>IFERROR(__xludf.DUMMYFUNCTION("""COMPUTED_VALUE"""),2.5330281201E10)</f>
        <v>25330281201</v>
      </c>
      <c r="D558" s="201">
        <f>IFERROR(__xludf.DUMMYFUNCTION("""COMPUTED_VALUE"""),45978.0)</f>
        <v>45978</v>
      </c>
      <c r="E558" s="202" t="str">
        <f>IFERROR(__xludf.DUMMYFUNCTION("""COMPUTED_VALUE"""),"Alert")</f>
        <v>Alert</v>
      </c>
      <c r="F558" s="202" t="str">
        <f>IFERROR(__xludf.DUMMYFUNCTION("""COMPUTED_VALUE"""),"Alert")</f>
        <v>Alert</v>
      </c>
      <c r="G558" s="203" t="str">
        <f>IFERROR(__xludf.DUMMYFUNCTION("""COMPUTED_VALUE"""),"Caution")</f>
        <v>Caution</v>
      </c>
      <c r="H558" s="203" t="str">
        <f>IFERROR(__xludf.DUMMYFUNCTION("""COMPUTED_VALUE"""),"Normal")</f>
        <v>Normal</v>
      </c>
      <c r="I558" s="37"/>
      <c r="J558" s="37"/>
      <c r="K558" s="37"/>
      <c r="L558" s="199">
        <f>IFERROR(__xludf.DUMMYFUNCTION("""COMPUTED_VALUE"""),31.0)</f>
        <v>31</v>
      </c>
      <c r="M558" s="199">
        <f>IFERROR(__xludf.DUMMYFUNCTION("""COMPUTED_VALUE"""),261.4)</f>
        <v>261.4</v>
      </c>
      <c r="N558" s="37"/>
      <c r="O558" s="37">
        <f>IFERROR(__xludf.DUMMYFUNCTION("""COMPUTED_VALUE"""),4.0)</f>
        <v>4</v>
      </c>
      <c r="P558" s="199">
        <f>IFERROR(__xludf.DUMMYFUNCTION("""COMPUTED_VALUE"""),0.06)</f>
        <v>0.06</v>
      </c>
      <c r="Q558" s="199">
        <f>IFERROR(__xludf.DUMMYFUNCTION("""COMPUTED_VALUE"""),0.0)</f>
        <v>0</v>
      </c>
      <c r="R558" s="199">
        <f>IFERROR(__xludf.DUMMYFUNCTION("""COMPUTED_VALUE"""),21.0)</f>
        <v>21</v>
      </c>
      <c r="S558" s="199">
        <f>IFERROR(__xludf.DUMMYFUNCTION("""COMPUTED_VALUE"""),0.0)</f>
        <v>0</v>
      </c>
      <c r="T558" s="199">
        <f>IFERROR(__xludf.DUMMYFUNCTION("""COMPUTED_VALUE"""),0.0)</f>
        <v>0</v>
      </c>
      <c r="U558" s="199">
        <f>IFERROR(__xludf.DUMMYFUNCTION("""COMPUTED_VALUE"""),94.0)</f>
        <v>94</v>
      </c>
      <c r="V558" s="199">
        <f>IFERROR(__xludf.DUMMYFUNCTION("""COMPUTED_VALUE"""),2.0)</f>
        <v>2</v>
      </c>
      <c r="W558" s="199">
        <f>IFERROR(__xludf.DUMMYFUNCTION("""COMPUTED_VALUE"""),0.0)</f>
        <v>0</v>
      </c>
      <c r="X558" s="199">
        <f>IFERROR(__xludf.DUMMYFUNCTION("""COMPUTED_VALUE"""),0.0)</f>
        <v>0</v>
      </c>
      <c r="Y558" s="199">
        <f>IFERROR(__xludf.DUMMYFUNCTION("""COMPUTED_VALUE"""),0.0)</f>
        <v>0</v>
      </c>
      <c r="Z558" s="199">
        <f>IFERROR(__xludf.DUMMYFUNCTION("""COMPUTED_VALUE"""),2.0)</f>
        <v>2</v>
      </c>
      <c r="AA558" s="199">
        <f>IFERROR(__xludf.DUMMYFUNCTION("""COMPUTED_VALUE"""),0.0)</f>
        <v>0</v>
      </c>
      <c r="AB558" s="199">
        <f>IFERROR(__xludf.DUMMYFUNCTION("""COMPUTED_VALUE"""),111.0)</f>
        <v>111</v>
      </c>
      <c r="AC558" s="199">
        <f>IFERROR(__xludf.DUMMYFUNCTION("""COMPUTED_VALUE"""),88.0)</f>
        <v>88</v>
      </c>
      <c r="AD558" s="199">
        <f>IFERROR(__xludf.DUMMYFUNCTION("""COMPUTED_VALUE"""),0.0)</f>
        <v>0</v>
      </c>
      <c r="AE558" s="199">
        <f>IFERROR(__xludf.DUMMYFUNCTION("""COMPUTED_VALUE"""),174.0)</f>
        <v>174</v>
      </c>
      <c r="AF558" s="199">
        <f>IFERROR(__xludf.DUMMYFUNCTION("""COMPUTED_VALUE"""),5.0)</f>
        <v>5</v>
      </c>
      <c r="AG558" s="199">
        <f>IFERROR(__xludf.DUMMYFUNCTION("""COMPUTED_VALUE"""),367.0)</f>
        <v>367</v>
      </c>
      <c r="AH558" s="199">
        <f>IFERROR(__xludf.DUMMYFUNCTION("""COMPUTED_VALUE"""),33.0)</f>
        <v>33</v>
      </c>
      <c r="AI558" s="200" t="str">
        <f>IFERROR(__xludf.DUMMYFUNCTION("""COMPUTED_VALUE"""),"Contamination Alert")</f>
        <v>Contamination Alert</v>
      </c>
      <c r="AJ558" s="200" t="str">
        <f>IFERROR(__xludf.DUMMYFUNCTION("""COMPUTED_VALUE"""),"Very high silicon - check/replace air filters, inspect seals")</f>
        <v>Very high silicon - check/replace air filters, inspect seals</v>
      </c>
      <c r="AK558" s="204"/>
      <c r="AL558" s="204"/>
      <c r="AM558" s="204"/>
    </row>
    <row r="559" hidden="1">
      <c r="A559" s="199" t="str">
        <f>IFERROR(__xludf.DUMMYFUNCTION("""COMPUTED_VALUE"""),"131.ST200.M11")</f>
        <v>131.ST200.M11</v>
      </c>
      <c r="B559" s="200" t="str">
        <f>IFERROR(__xludf.DUMMYFUNCTION("""COMPUTED_VALUE"""),"Stacker Belt gearbox")</f>
        <v>Stacker Belt gearbox</v>
      </c>
      <c r="C559" s="199">
        <f>IFERROR(__xludf.DUMMYFUNCTION("""COMPUTED_VALUE"""),2.5330281228E10)</f>
        <v>25330281228</v>
      </c>
      <c r="D559" s="201">
        <f>IFERROR(__xludf.DUMMYFUNCTION("""COMPUTED_VALUE"""),45978.0)</f>
        <v>45978</v>
      </c>
      <c r="E559" s="202" t="str">
        <f>IFERROR(__xludf.DUMMYFUNCTION("""COMPUTED_VALUE"""),"Alert")</f>
        <v>Alert</v>
      </c>
      <c r="F559" s="202" t="str">
        <f>IFERROR(__xludf.DUMMYFUNCTION("""COMPUTED_VALUE"""),"Alert")</f>
        <v>Alert</v>
      </c>
      <c r="G559" s="203" t="str">
        <f>IFERROR(__xludf.DUMMYFUNCTION("""COMPUTED_VALUE"""),"Caution")</f>
        <v>Caution</v>
      </c>
      <c r="H559" s="203" t="str">
        <f>IFERROR(__xludf.DUMMYFUNCTION("""COMPUTED_VALUE"""),"Normal")</f>
        <v>Normal</v>
      </c>
      <c r="I559" s="199"/>
      <c r="J559" s="199"/>
      <c r="K559" s="199"/>
      <c r="L559" s="199">
        <f>IFERROR(__xludf.DUMMYFUNCTION("""COMPUTED_VALUE"""),171.0)</f>
        <v>171</v>
      </c>
      <c r="M559" s="199">
        <f>IFERROR(__xludf.DUMMYFUNCTION("""COMPUTED_VALUE"""),291.0)</f>
        <v>291</v>
      </c>
      <c r="N559" s="37"/>
      <c r="O559" s="37">
        <f>IFERROR(__xludf.DUMMYFUNCTION("""COMPUTED_VALUE"""),3.0)</f>
        <v>3</v>
      </c>
      <c r="P559" s="199">
        <f>IFERROR(__xludf.DUMMYFUNCTION("""COMPUTED_VALUE"""),0.15)</f>
        <v>0.15</v>
      </c>
      <c r="Q559" s="199">
        <f>IFERROR(__xludf.DUMMYFUNCTION("""COMPUTED_VALUE"""),0.0)</f>
        <v>0</v>
      </c>
      <c r="R559" s="199">
        <f>IFERROR(__xludf.DUMMYFUNCTION("""COMPUTED_VALUE"""),21.0)</f>
        <v>21</v>
      </c>
      <c r="S559" s="199">
        <f>IFERROR(__xludf.DUMMYFUNCTION("""COMPUTED_VALUE"""),0.0)</f>
        <v>0</v>
      </c>
      <c r="T559" s="199">
        <f>IFERROR(__xludf.DUMMYFUNCTION("""COMPUTED_VALUE"""),0.0)</f>
        <v>0</v>
      </c>
      <c r="U559" s="199">
        <f>IFERROR(__xludf.DUMMYFUNCTION("""COMPUTED_VALUE"""),212.0)</f>
        <v>212</v>
      </c>
      <c r="V559" s="199">
        <f>IFERROR(__xludf.DUMMYFUNCTION("""COMPUTED_VALUE"""),0.0)</f>
        <v>0</v>
      </c>
      <c r="W559" s="199">
        <f>IFERROR(__xludf.DUMMYFUNCTION("""COMPUTED_VALUE"""),0.0)</f>
        <v>0</v>
      </c>
      <c r="X559" s="199">
        <f>IFERROR(__xludf.DUMMYFUNCTION("""COMPUTED_VALUE"""),0.0)</f>
        <v>0</v>
      </c>
      <c r="Y559" s="199">
        <f>IFERROR(__xludf.DUMMYFUNCTION("""COMPUTED_VALUE"""),0.0)</f>
        <v>0</v>
      </c>
      <c r="Z559" s="199">
        <f>IFERROR(__xludf.DUMMYFUNCTION("""COMPUTED_VALUE"""),0.0)</f>
        <v>0</v>
      </c>
      <c r="AA559" s="199">
        <f>IFERROR(__xludf.DUMMYFUNCTION("""COMPUTED_VALUE"""),0.0)</f>
        <v>0</v>
      </c>
      <c r="AB559" s="199">
        <f>IFERROR(__xludf.DUMMYFUNCTION("""COMPUTED_VALUE"""),48.0)</f>
        <v>48</v>
      </c>
      <c r="AC559" s="199">
        <f>IFERROR(__xludf.DUMMYFUNCTION("""COMPUTED_VALUE"""),26.0)</f>
        <v>26</v>
      </c>
      <c r="AD559" s="199">
        <f>IFERROR(__xludf.DUMMYFUNCTION("""COMPUTED_VALUE"""),0.0)</f>
        <v>0</v>
      </c>
      <c r="AE559" s="199">
        <f>IFERROR(__xludf.DUMMYFUNCTION("""COMPUTED_VALUE"""),246.0)</f>
        <v>246</v>
      </c>
      <c r="AF559" s="199">
        <f>IFERROR(__xludf.DUMMYFUNCTION("""COMPUTED_VALUE"""),8.0)</f>
        <v>8</v>
      </c>
      <c r="AG559" s="199">
        <f>IFERROR(__xludf.DUMMYFUNCTION("""COMPUTED_VALUE"""),385.0)</f>
        <v>385</v>
      </c>
      <c r="AH559" s="199">
        <f>IFERROR(__xludf.DUMMYFUNCTION("""COMPUTED_VALUE"""),25.0)</f>
        <v>25</v>
      </c>
      <c r="AI559" s="200" t="str">
        <f>IFERROR(__xludf.DUMMYFUNCTION("""COMPUTED_VALUE"""),"Wear Metal Alert | Water Ingress | High Particle Count")</f>
        <v>Wear Metal Alert | Water Ingress | High Particle Count</v>
      </c>
      <c r="AJ559" s="200" t="str">
        <f>IFERROR(__xludf.DUMMYFUNCTION("""COMPUTED_VALUE"""),"High wear metals - inspect bearing/gear surfaces; Water detected - inspect seals and breathers; Elevated silicon - inspect filters and seals for contamination; Critical particle count - flush system and replace filters")</f>
        <v>High wear metals - inspect bearing/gear surfaces; Water detected - inspect seals and breathers; Elevated silicon - inspect filters and seals for contamination; Critical particle count - flush system and replace filters</v>
      </c>
      <c r="AK559" s="204"/>
      <c r="AL559" s="204"/>
      <c r="AM559" s="204"/>
    </row>
    <row r="560" hidden="1">
      <c r="A560" s="199" t="str">
        <f>IFERROR(__xludf.DUMMYFUNCTION("""COMPUTED_VALUE"""),"131.ST200.M12")</f>
        <v>131.ST200.M12</v>
      </c>
      <c r="B560" s="200" t="str">
        <f>IFERROR(__xludf.DUMMYFUNCTION("""COMPUTED_VALUE"""),"Stacker Belt gearbox")</f>
        <v>Stacker Belt gearbox</v>
      </c>
      <c r="C560" s="199">
        <f>IFERROR(__xludf.DUMMYFUNCTION("""COMPUTED_VALUE"""),2.533026122E10)</f>
        <v>25330261220</v>
      </c>
      <c r="D560" s="201">
        <f>IFERROR(__xludf.DUMMYFUNCTION("""COMPUTED_VALUE"""),45978.0)</f>
        <v>45978</v>
      </c>
      <c r="E560" s="202" t="str">
        <f>IFERROR(__xludf.DUMMYFUNCTION("""COMPUTED_VALUE"""),"Alert")</f>
        <v>Alert</v>
      </c>
      <c r="F560" s="202" t="str">
        <f>IFERROR(__xludf.DUMMYFUNCTION("""COMPUTED_VALUE"""),"Alert")</f>
        <v>Alert</v>
      </c>
      <c r="G560" s="203" t="str">
        <f>IFERROR(__xludf.DUMMYFUNCTION("""COMPUTED_VALUE"""),"Normal")</f>
        <v>Normal</v>
      </c>
      <c r="H560" s="203" t="str">
        <f>IFERROR(__xludf.DUMMYFUNCTION("""COMPUTED_VALUE"""),"Alert")</f>
        <v>Alert</v>
      </c>
      <c r="I560" s="199"/>
      <c r="J560" s="199"/>
      <c r="K560" s="199"/>
      <c r="L560" s="199">
        <f>IFERROR(__xludf.DUMMYFUNCTION("""COMPUTED_VALUE"""),149.0)</f>
        <v>149</v>
      </c>
      <c r="M560" s="199">
        <f>IFERROR(__xludf.DUMMYFUNCTION("""COMPUTED_VALUE"""),191.8)</f>
        <v>191.8</v>
      </c>
      <c r="N560" s="37"/>
      <c r="O560" s="37">
        <f>IFERROR(__xludf.DUMMYFUNCTION("""COMPUTED_VALUE"""),0.0)</f>
        <v>0</v>
      </c>
      <c r="P560" s="199">
        <f>IFERROR(__xludf.DUMMYFUNCTION("""COMPUTED_VALUE"""),0.2)</f>
        <v>0.2</v>
      </c>
      <c r="Q560" s="199">
        <f>IFERROR(__xludf.DUMMYFUNCTION("""COMPUTED_VALUE"""),0.0)</f>
        <v>0</v>
      </c>
      <c r="R560" s="199">
        <f>IFERROR(__xludf.DUMMYFUNCTION("""COMPUTED_VALUE"""),3.0)</f>
        <v>3</v>
      </c>
      <c r="S560" s="199">
        <f>IFERROR(__xludf.DUMMYFUNCTION("""COMPUTED_VALUE"""),0.0)</f>
        <v>0</v>
      </c>
      <c r="T560" s="199">
        <f>IFERROR(__xludf.DUMMYFUNCTION("""COMPUTED_VALUE"""),0.0)</f>
        <v>0</v>
      </c>
      <c r="U560" s="199">
        <f>IFERROR(__xludf.DUMMYFUNCTION("""COMPUTED_VALUE"""),158.0)</f>
        <v>158</v>
      </c>
      <c r="V560" s="199">
        <f>IFERROR(__xludf.DUMMYFUNCTION("""COMPUTED_VALUE"""),2.0)</f>
        <v>2</v>
      </c>
      <c r="W560" s="199">
        <f>IFERROR(__xludf.DUMMYFUNCTION("""COMPUTED_VALUE"""),0.0)</f>
        <v>0</v>
      </c>
      <c r="X560" s="199">
        <f>IFERROR(__xludf.DUMMYFUNCTION("""COMPUTED_VALUE"""),0.0)</f>
        <v>0</v>
      </c>
      <c r="Y560" s="199">
        <f>IFERROR(__xludf.DUMMYFUNCTION("""COMPUTED_VALUE"""),0.0)</f>
        <v>0</v>
      </c>
      <c r="Z560" s="199">
        <f>IFERROR(__xludf.DUMMYFUNCTION("""COMPUTED_VALUE"""),2.0)</f>
        <v>2</v>
      </c>
      <c r="AA560" s="199">
        <f>IFERROR(__xludf.DUMMYFUNCTION("""COMPUTED_VALUE"""),0.0)</f>
        <v>0</v>
      </c>
      <c r="AB560" s="199">
        <f>IFERROR(__xludf.DUMMYFUNCTION("""COMPUTED_VALUE"""),78.0)</f>
        <v>78</v>
      </c>
      <c r="AC560" s="199">
        <f>IFERROR(__xludf.DUMMYFUNCTION("""COMPUTED_VALUE"""),23.0)</f>
        <v>23</v>
      </c>
      <c r="AD560" s="199">
        <f>IFERROR(__xludf.DUMMYFUNCTION("""COMPUTED_VALUE"""),0.0)</f>
        <v>0</v>
      </c>
      <c r="AE560" s="199">
        <f>IFERROR(__xludf.DUMMYFUNCTION("""COMPUTED_VALUE"""),22.0)</f>
        <v>22</v>
      </c>
      <c r="AF560" s="199">
        <f>IFERROR(__xludf.DUMMYFUNCTION("""COMPUTED_VALUE"""),6.0)</f>
        <v>6</v>
      </c>
      <c r="AG560" s="199">
        <f>IFERROR(__xludf.DUMMYFUNCTION("""COMPUTED_VALUE"""),563.0)</f>
        <v>563</v>
      </c>
      <c r="AH560" s="199">
        <f>IFERROR(__xludf.DUMMYFUNCTION("""COMPUTED_VALUE"""),75.0)</f>
        <v>75</v>
      </c>
      <c r="AI560" s="200" t="str">
        <f>IFERROR(__xludf.DUMMYFUNCTION("""COMPUTED_VALUE"""),"Contamination Alert | Water Ingress | High Particle Count")</f>
        <v>Contamination Alert | Water Ingress | High Particle Count</v>
      </c>
      <c r="AJ560" s="200" t="str">
        <f>IFERROR(__xludf.DUMMYFUNCTION("""COMPUTED_VALUE"""),"High wear metals - inspect bearing/gear surfaces; Water detected - inspect seals and breathers; Elevated silicon - inspect filters and seals for contamination; High particle count - replace filters and resample")</f>
        <v>High wear metals - inspect bearing/gear surfaces; Water detected - inspect seals and breathers; Elevated silicon - inspect filters and seals for contamination; High particle count - replace filters and resample</v>
      </c>
      <c r="AK560" s="204"/>
      <c r="AL560" s="204"/>
      <c r="AM560" s="204"/>
    </row>
    <row r="561" hidden="1">
      <c r="A561" s="199" t="str">
        <f>IFERROR(__xludf.DUMMYFUNCTION("""COMPUTED_VALUE"""),"111.BC330 (L2)")</f>
        <v>111.BC330 (L2)</v>
      </c>
      <c r="B561" s="200" t="str">
        <f>IFERROR(__xludf.DUMMYFUNCTION("""COMPUTED_VALUE"""),"Belt conveyor second left Gearbox")</f>
        <v>Belt conveyor second left Gearbox</v>
      </c>
      <c r="C561" s="199">
        <f>IFERROR(__xludf.DUMMYFUNCTION("""COMPUTED_VALUE"""),2.5330261227E10)</f>
        <v>25330261227</v>
      </c>
      <c r="D561" s="201">
        <f>IFERROR(__xludf.DUMMYFUNCTION("""COMPUTED_VALUE"""),45978.0)</f>
        <v>45978</v>
      </c>
      <c r="E561" s="202" t="str">
        <f>IFERROR(__xludf.DUMMYFUNCTION("""COMPUTED_VALUE"""),"Normal")</f>
        <v>Normal</v>
      </c>
      <c r="F561" s="202" t="str">
        <f>IFERROR(__xludf.DUMMYFUNCTION("""COMPUTED_VALUE"""),"Normal")</f>
        <v>Normal</v>
      </c>
      <c r="G561" s="203" t="str">
        <f>IFERROR(__xludf.DUMMYFUNCTION("""COMPUTED_VALUE"""),"Normal")</f>
        <v>Normal</v>
      </c>
      <c r="H561" s="203" t="str">
        <f>IFERROR(__xludf.DUMMYFUNCTION("""COMPUTED_VALUE"""),"Normal")</f>
        <v>Normal</v>
      </c>
      <c r="I561" s="199">
        <f>IFERROR(__xludf.DUMMYFUNCTION("""COMPUTED_VALUE"""),11890.0)</f>
        <v>11890</v>
      </c>
      <c r="J561" s="199">
        <f>IFERROR(__xludf.DUMMYFUNCTION("""COMPUTED_VALUE"""),5161.0)</f>
        <v>5161</v>
      </c>
      <c r="K561" s="199">
        <f>IFERROR(__xludf.DUMMYFUNCTION("""COMPUTED_VALUE"""),1152.0)</f>
        <v>1152</v>
      </c>
      <c r="L561" s="199">
        <f>IFERROR(__xludf.DUMMYFUNCTION("""COMPUTED_VALUE"""),6.0)</f>
        <v>6</v>
      </c>
      <c r="M561" s="199">
        <f>IFERROR(__xludf.DUMMYFUNCTION("""COMPUTED_VALUE"""),211.5)</f>
        <v>211.5</v>
      </c>
      <c r="N561" s="199"/>
      <c r="O561" s="199"/>
      <c r="P561" s="199">
        <f>IFERROR(__xludf.DUMMYFUNCTION("""COMPUTED_VALUE"""),0.01)</f>
        <v>0.01</v>
      </c>
      <c r="Q561" s="199">
        <f>IFERROR(__xludf.DUMMYFUNCTION("""COMPUTED_VALUE"""),0.0)</f>
        <v>0</v>
      </c>
      <c r="R561" s="199">
        <f>IFERROR(__xludf.DUMMYFUNCTION("""COMPUTED_VALUE"""),0.0)</f>
        <v>0</v>
      </c>
      <c r="S561" s="199">
        <f>IFERROR(__xludf.DUMMYFUNCTION("""COMPUTED_VALUE"""),0.0)</f>
        <v>0</v>
      </c>
      <c r="T561" s="199">
        <f>IFERROR(__xludf.DUMMYFUNCTION("""COMPUTED_VALUE"""),0.0)</f>
        <v>0</v>
      </c>
      <c r="U561" s="199">
        <f>IFERROR(__xludf.DUMMYFUNCTION("""COMPUTED_VALUE"""),6.0)</f>
        <v>6</v>
      </c>
      <c r="V561" s="199">
        <f>IFERROR(__xludf.DUMMYFUNCTION("""COMPUTED_VALUE"""),0.0)</f>
        <v>0</v>
      </c>
      <c r="W561" s="199">
        <f>IFERROR(__xludf.DUMMYFUNCTION("""COMPUTED_VALUE"""),0.0)</f>
        <v>0</v>
      </c>
      <c r="X561" s="199">
        <f>IFERROR(__xludf.DUMMYFUNCTION("""COMPUTED_VALUE"""),0.0)</f>
        <v>0</v>
      </c>
      <c r="Y561" s="199">
        <f>IFERROR(__xludf.DUMMYFUNCTION("""COMPUTED_VALUE"""),0.0)</f>
        <v>0</v>
      </c>
      <c r="Z561" s="199">
        <f>IFERROR(__xludf.DUMMYFUNCTION("""COMPUTED_VALUE"""),0.0)</f>
        <v>0</v>
      </c>
      <c r="AA561" s="199">
        <f>IFERROR(__xludf.DUMMYFUNCTION("""COMPUTED_VALUE"""),0.0)</f>
        <v>0</v>
      </c>
      <c r="AB561" s="199">
        <f>IFERROR(__xludf.DUMMYFUNCTION("""COMPUTED_VALUE"""),12.0)</f>
        <v>12</v>
      </c>
      <c r="AC561" s="199">
        <f>IFERROR(__xludf.DUMMYFUNCTION("""COMPUTED_VALUE"""),32.0)</f>
        <v>32</v>
      </c>
      <c r="AD561" s="199">
        <f>IFERROR(__xludf.DUMMYFUNCTION("""COMPUTED_VALUE"""),0.0)</f>
        <v>0</v>
      </c>
      <c r="AE561" s="199">
        <f>IFERROR(__xludf.DUMMYFUNCTION("""COMPUTED_VALUE"""),13.0)</f>
        <v>13</v>
      </c>
      <c r="AF561" s="199">
        <f>IFERROR(__xludf.DUMMYFUNCTION("""COMPUTED_VALUE"""),2.0)</f>
        <v>2</v>
      </c>
      <c r="AG561" s="199">
        <f>IFERROR(__xludf.DUMMYFUNCTION("""COMPUTED_VALUE"""),619.0)</f>
        <v>619</v>
      </c>
      <c r="AH561" s="199">
        <f>IFERROR(__xludf.DUMMYFUNCTION("""COMPUTED_VALUE"""),6.0)</f>
        <v>6</v>
      </c>
      <c r="AI561" s="200" t="str">
        <f>IFERROR(__xludf.DUMMYFUNCTION("""COMPUTED_VALUE"""),"Normal - No Action Required")</f>
        <v>Normal - No Action Required</v>
      </c>
      <c r="AJ561" s="200" t="str">
        <f>IFERROR(__xludf.DUMMYFUNCTION("""COMPUTED_VALUE"""),"Continue routine monitoring and sampling schedule")</f>
        <v>Continue routine monitoring and sampling schedule</v>
      </c>
      <c r="AK561" s="204"/>
      <c r="AL561" s="204"/>
      <c r="AM561" s="204"/>
    </row>
    <row r="562" hidden="1">
      <c r="A562" s="199" t="str">
        <f>IFERROR(__xludf.DUMMYFUNCTION("""COMPUTED_VALUE"""),"461.LQ120(T)")</f>
        <v>461.LQ120(T)</v>
      </c>
      <c r="B562" s="200" t="str">
        <f>IFERROR(__xludf.DUMMYFUNCTION("""COMPUTED_VALUE"""),"Coal mill 1 Roller Lub. Unit (Tank)")</f>
        <v>Coal mill 1 Roller Lub. Unit (Tank)</v>
      </c>
      <c r="C562" s="199">
        <f>IFERROR(__xludf.DUMMYFUNCTION("""COMPUTED_VALUE"""),2.6005501208E10)</f>
        <v>26005501208</v>
      </c>
      <c r="D562" s="201">
        <f>IFERROR(__xludf.DUMMYFUNCTION("""COMPUTED_VALUE"""),46007.0)</f>
        <v>46007</v>
      </c>
      <c r="E562" s="202" t="str">
        <f>IFERROR(__xludf.DUMMYFUNCTION("""COMPUTED_VALUE"""),"Alert")</f>
        <v>Alert</v>
      </c>
      <c r="F562" s="202" t="str">
        <f>IFERROR(__xludf.DUMMYFUNCTION("""COMPUTED_VALUE"""),"Alert")</f>
        <v>Alert</v>
      </c>
      <c r="G562" s="203" t="str">
        <f>IFERROR(__xludf.DUMMYFUNCTION("""COMPUTED_VALUE"""),"Alert")</f>
        <v>Alert</v>
      </c>
      <c r="H562" s="203" t="str">
        <f>IFERROR(__xludf.DUMMYFUNCTION("""COMPUTED_VALUE"""),"Alert")</f>
        <v>Alert</v>
      </c>
      <c r="I562" s="199"/>
      <c r="J562" s="199"/>
      <c r="K562" s="199"/>
      <c r="L562" s="199">
        <f>IFERROR(__xludf.DUMMYFUNCTION("""COMPUTED_VALUE"""),62.0)</f>
        <v>62</v>
      </c>
      <c r="M562" s="199">
        <f>IFERROR(__xludf.DUMMYFUNCTION("""COMPUTED_VALUE"""),46.2)</f>
        <v>46.2</v>
      </c>
      <c r="N562" s="199"/>
      <c r="O562" s="199"/>
      <c r="P562" s="199">
        <f>IFERROR(__xludf.DUMMYFUNCTION("""COMPUTED_VALUE"""),0.3)</f>
        <v>0.3</v>
      </c>
      <c r="Q562" s="199">
        <f>IFERROR(__xludf.DUMMYFUNCTION("""COMPUTED_VALUE"""),0.0)</f>
        <v>0</v>
      </c>
      <c r="R562" s="199">
        <f>IFERROR(__xludf.DUMMYFUNCTION("""COMPUTED_VALUE"""),5.0)</f>
        <v>5</v>
      </c>
      <c r="S562" s="199">
        <f>IFERROR(__xludf.DUMMYFUNCTION("""COMPUTED_VALUE"""),0.0)</f>
        <v>0</v>
      </c>
      <c r="T562" s="199">
        <f>IFERROR(__xludf.DUMMYFUNCTION("""COMPUTED_VALUE"""),7.0)</f>
        <v>7</v>
      </c>
      <c r="U562" s="199">
        <f>IFERROR(__xludf.DUMMYFUNCTION("""COMPUTED_VALUE"""),84.0)</f>
        <v>84</v>
      </c>
      <c r="V562" s="199">
        <f>IFERROR(__xludf.DUMMYFUNCTION("""COMPUTED_VALUE"""),0.0)</f>
        <v>0</v>
      </c>
      <c r="W562" s="199">
        <f>IFERROR(__xludf.DUMMYFUNCTION("""COMPUTED_VALUE"""),0.0)</f>
        <v>0</v>
      </c>
      <c r="X562" s="199">
        <f>IFERROR(__xludf.DUMMYFUNCTION("""COMPUTED_VALUE"""),6.0)</f>
        <v>6</v>
      </c>
      <c r="Y562" s="199">
        <f>IFERROR(__xludf.DUMMYFUNCTION("""COMPUTED_VALUE"""),0.0)</f>
        <v>0</v>
      </c>
      <c r="Z562" s="199">
        <f>IFERROR(__xludf.DUMMYFUNCTION("""COMPUTED_VALUE"""),0.0)</f>
        <v>0</v>
      </c>
      <c r="AA562" s="199">
        <f>IFERROR(__xludf.DUMMYFUNCTION("""COMPUTED_VALUE"""),0.0)</f>
        <v>0</v>
      </c>
      <c r="AB562" s="199">
        <f>IFERROR(__xludf.DUMMYFUNCTION("""COMPUTED_VALUE"""),56.0)</f>
        <v>56</v>
      </c>
      <c r="AC562" s="199">
        <f>IFERROR(__xludf.DUMMYFUNCTION("""COMPUTED_VALUE"""),16.0)</f>
        <v>16</v>
      </c>
      <c r="AD562" s="199">
        <f>IFERROR(__xludf.DUMMYFUNCTION("""COMPUTED_VALUE"""),0.0)</f>
        <v>0</v>
      </c>
      <c r="AE562" s="199">
        <f>IFERROR(__xludf.DUMMYFUNCTION("""COMPUTED_VALUE"""),51.0)</f>
        <v>51</v>
      </c>
      <c r="AF562" s="199">
        <f>IFERROR(__xludf.DUMMYFUNCTION("""COMPUTED_VALUE"""),2.0)</f>
        <v>2</v>
      </c>
      <c r="AG562" s="199">
        <f>IFERROR(__xludf.DUMMYFUNCTION("""COMPUTED_VALUE"""),496.0)</f>
        <v>496</v>
      </c>
      <c r="AH562" s="199">
        <f>IFERROR(__xludf.DUMMYFUNCTION("""COMPUTED_VALUE"""),29.0)</f>
        <v>29</v>
      </c>
      <c r="AI562" s="200" t="str">
        <f>IFERROR(__xludf.DUMMYFUNCTION("""COMPUTED_VALUE"""),"Critical Fe / Si / Water / Equipment Alert")</f>
        <v>Critical Fe / Si / Water / Equipment Alert</v>
      </c>
      <c r="AJ562" s="200" t="str">
        <f>IFERROR(__xludf.DUMMYFUNCTION("""COMPUTED_VALUE"""),"ACTION REQUIRED – Fe 84 ppm (critical), Si 56 ppm (abrasive), water 0.300 Vol%. PQ Index 62 – severe metallic debris. TAN 1.20 mg KOH/g. Equipment damage likely. Immediate inspection of rollers and seals required. Change oil after equipment inspection. Co"&amp;"nsider shutdown for full assessment.")</f>
        <v>ACTION REQUIRED – Fe 84 ppm (critical), Si 56 ppm (abrasive), water 0.300 Vol%. PQ Index 62 – severe metallic debris. TAN 1.20 mg KOH/g. Equipment damage likely. Immediate inspection of rollers and seals required. Change oil after equipment inspection. Consider shutdown for full assessment.</v>
      </c>
      <c r="AK562" s="204"/>
      <c r="AL562" s="204"/>
      <c r="AM562" s="204"/>
    </row>
    <row r="563" hidden="1">
      <c r="A563" s="199" t="str">
        <f>IFERROR(__xludf.DUMMYFUNCTION("""COMPUTED_VALUE"""),"462.LQ120(T)")</f>
        <v>462.LQ120(T)</v>
      </c>
      <c r="B563" s="200" t="str">
        <f>IFERROR(__xludf.DUMMYFUNCTION("""COMPUTED_VALUE"""),"Coal mill 2 Roller Lub. Unit (Tank)")</f>
        <v>Coal mill 2 Roller Lub. Unit (Tank)</v>
      </c>
      <c r="C563" s="199">
        <f>IFERROR(__xludf.DUMMYFUNCTION("""COMPUTED_VALUE"""),2.6005501207E10)</f>
        <v>26005501207</v>
      </c>
      <c r="D563" s="201">
        <f>IFERROR(__xludf.DUMMYFUNCTION("""COMPUTED_VALUE"""),46007.0)</f>
        <v>46007</v>
      </c>
      <c r="E563" s="202" t="str">
        <f>IFERROR(__xludf.DUMMYFUNCTION("""COMPUTED_VALUE"""),"Normal")</f>
        <v>Normal</v>
      </c>
      <c r="F563" s="202" t="str">
        <f>IFERROR(__xludf.DUMMYFUNCTION("""COMPUTED_VALUE"""),"Normal")</f>
        <v>Normal</v>
      </c>
      <c r="G563" s="203" t="str">
        <f>IFERROR(__xludf.DUMMYFUNCTION("""COMPUTED_VALUE"""),"Normal")</f>
        <v>Normal</v>
      </c>
      <c r="H563" s="203" t="str">
        <f>IFERROR(__xludf.DUMMYFUNCTION("""COMPUTED_VALUE"""),"Normal")</f>
        <v>Normal</v>
      </c>
      <c r="I563" s="199"/>
      <c r="J563" s="199"/>
      <c r="K563" s="199"/>
      <c r="L563" s="199">
        <f>IFERROR(__xludf.DUMMYFUNCTION("""COMPUTED_VALUE"""),15.0)</f>
        <v>15</v>
      </c>
      <c r="M563" s="199">
        <f>IFERROR(__xludf.DUMMYFUNCTION("""COMPUTED_VALUE"""),83.1)</f>
        <v>83.1</v>
      </c>
      <c r="N563" s="199"/>
      <c r="O563" s="199"/>
      <c r="P563" s="199">
        <f>IFERROR(__xludf.DUMMYFUNCTION("""COMPUTED_VALUE"""),0.04)</f>
        <v>0.04</v>
      </c>
      <c r="Q563" s="199">
        <f>IFERROR(__xludf.DUMMYFUNCTION("""COMPUTED_VALUE"""),0.0)</f>
        <v>0</v>
      </c>
      <c r="R563" s="199">
        <f>IFERROR(__xludf.DUMMYFUNCTION("""COMPUTED_VALUE"""),0.0)</f>
        <v>0</v>
      </c>
      <c r="S563" s="199">
        <f>IFERROR(__xludf.DUMMYFUNCTION("""COMPUTED_VALUE"""),0.0)</f>
        <v>0</v>
      </c>
      <c r="T563" s="199">
        <f>IFERROR(__xludf.DUMMYFUNCTION("""COMPUTED_VALUE"""),0.0)</f>
        <v>0</v>
      </c>
      <c r="U563" s="199">
        <f>IFERROR(__xludf.DUMMYFUNCTION("""COMPUTED_VALUE"""),1.0)</f>
        <v>1</v>
      </c>
      <c r="V563" s="199">
        <f>IFERROR(__xludf.DUMMYFUNCTION("""COMPUTED_VALUE"""),0.0)</f>
        <v>0</v>
      </c>
      <c r="W563" s="199">
        <f>IFERROR(__xludf.DUMMYFUNCTION("""COMPUTED_VALUE"""),0.0)</f>
        <v>0</v>
      </c>
      <c r="X563" s="199">
        <f>IFERROR(__xludf.DUMMYFUNCTION("""COMPUTED_VALUE"""),0.0)</f>
        <v>0</v>
      </c>
      <c r="Y563" s="199">
        <f>IFERROR(__xludf.DUMMYFUNCTION("""COMPUTED_VALUE"""),0.0)</f>
        <v>0</v>
      </c>
      <c r="Z563" s="199">
        <f>IFERROR(__xludf.DUMMYFUNCTION("""COMPUTED_VALUE"""),0.0)</f>
        <v>0</v>
      </c>
      <c r="AA563" s="199">
        <f>IFERROR(__xludf.DUMMYFUNCTION("""COMPUTED_VALUE"""),0.0)</f>
        <v>0</v>
      </c>
      <c r="AB563" s="199">
        <f>IFERROR(__xludf.DUMMYFUNCTION("""COMPUTED_VALUE"""),24.0)</f>
        <v>24</v>
      </c>
      <c r="AC563" s="199">
        <f>IFERROR(__xludf.DUMMYFUNCTION("""COMPUTED_VALUE"""),21.0)</f>
        <v>21</v>
      </c>
      <c r="AD563" s="199">
        <f>IFERROR(__xludf.DUMMYFUNCTION("""COMPUTED_VALUE"""),0.0)</f>
        <v>0</v>
      </c>
      <c r="AE563" s="199">
        <f>IFERROR(__xludf.DUMMYFUNCTION("""COMPUTED_VALUE"""),53.0)</f>
        <v>53</v>
      </c>
      <c r="AF563" s="199">
        <f>IFERROR(__xludf.DUMMYFUNCTION("""COMPUTED_VALUE"""),2.0)</f>
        <v>2</v>
      </c>
      <c r="AG563" s="199">
        <f>IFERROR(__xludf.DUMMYFUNCTION("""COMPUTED_VALUE"""),839.0)</f>
        <v>839</v>
      </c>
      <c r="AH563" s="199">
        <f>IFERROR(__xludf.DUMMYFUNCTION("""COMPUTED_VALUE"""),14.0)</f>
        <v>14</v>
      </c>
      <c r="AI563" s="200" t="str">
        <f>IFERROR(__xludf.DUMMYFUNCTION("""COMPUTED_VALUE"""),"Normal – Monitor TAN")</f>
        <v>Normal – Monitor TAN</v>
      </c>
      <c r="AJ563" s="200" t="str">
        <f>IFERROR(__xludf.DUMMYFUNCTION("""COMPUTED_VALUE"""),"Parameters within limits. TAN continues to rise (1.13 mg KOH/g). Viscosity slowly declining – verify correct top-up oil. Monitor at next scheduled sample.")</f>
        <v>Parameters within limits. TAN continues to rise (1.13 mg KOH/g). Viscosity slowly declining – verify correct top-up oil. Monitor at next scheduled sample.</v>
      </c>
      <c r="AK563" s="204"/>
      <c r="AL563" s="204"/>
      <c r="AM563" s="204"/>
    </row>
    <row r="564" hidden="1">
      <c r="A564" s="199" t="str">
        <f>IFERROR(__xludf.DUMMYFUNCTION("""COMPUTED_VALUE"""),"321.HY110")</f>
        <v>321.HY110</v>
      </c>
      <c r="B564" s="200" t="str">
        <f>IFERROR(__xludf.DUMMYFUNCTION("""COMPUTED_VALUE"""),"Hydraulic tensioning system for mill")</f>
        <v>Hydraulic tensioning system for mill</v>
      </c>
      <c r="C564" s="199">
        <f>IFERROR(__xludf.DUMMYFUNCTION("""COMPUTED_VALUE"""),2.600440125E10)</f>
        <v>26004401250</v>
      </c>
      <c r="D564" s="201">
        <f>IFERROR(__xludf.DUMMYFUNCTION("""COMPUTED_VALUE"""),46007.0)</f>
        <v>46007</v>
      </c>
      <c r="E564" s="202" t="str">
        <f>IFERROR(__xludf.DUMMYFUNCTION("""COMPUTED_VALUE"""),"Normal")</f>
        <v>Normal</v>
      </c>
      <c r="F564" s="202" t="str">
        <f>IFERROR(__xludf.DUMMYFUNCTION("""COMPUTED_VALUE"""),"Normal")</f>
        <v>Normal</v>
      </c>
      <c r="G564" s="203" t="str">
        <f>IFERROR(__xludf.DUMMYFUNCTION("""COMPUTED_VALUE"""),"Normal")</f>
        <v>Normal</v>
      </c>
      <c r="H564" s="203" t="str">
        <f>IFERROR(__xludf.DUMMYFUNCTION("""COMPUTED_VALUE"""),"Normal")</f>
        <v>Normal</v>
      </c>
      <c r="I564" s="199">
        <f>IFERROR(__xludf.DUMMYFUNCTION("""COMPUTED_VALUE"""),7891.0)</f>
        <v>7891</v>
      </c>
      <c r="J564" s="199">
        <f>IFERROR(__xludf.DUMMYFUNCTION("""COMPUTED_VALUE"""),2311.0)</f>
        <v>2311</v>
      </c>
      <c r="K564" s="199">
        <f>IFERROR(__xludf.DUMMYFUNCTION("""COMPUTED_VALUE"""),494.0)</f>
        <v>494</v>
      </c>
      <c r="L564" s="199">
        <f>IFERROR(__xludf.DUMMYFUNCTION("""COMPUTED_VALUE"""),6.0)</f>
        <v>6</v>
      </c>
      <c r="M564" s="199">
        <f>IFERROR(__xludf.DUMMYFUNCTION("""COMPUTED_VALUE"""),45.1)</f>
        <v>45.1</v>
      </c>
      <c r="N564" s="199"/>
      <c r="O564" s="199">
        <f>IFERROR(__xludf.DUMMYFUNCTION("""COMPUTED_VALUE"""),0.0)</f>
        <v>0</v>
      </c>
      <c r="P564" s="199">
        <f>IFERROR(__xludf.DUMMYFUNCTION("""COMPUTED_VALUE"""),0.003)</f>
        <v>0.003</v>
      </c>
      <c r="Q564" s="199">
        <f>IFERROR(__xludf.DUMMYFUNCTION("""COMPUTED_VALUE"""),0.0)</f>
        <v>0</v>
      </c>
      <c r="R564" s="199">
        <f>IFERROR(__xludf.DUMMYFUNCTION("""COMPUTED_VALUE"""),0.0)</f>
        <v>0</v>
      </c>
      <c r="S564" s="199">
        <f>IFERROR(__xludf.DUMMYFUNCTION("""COMPUTED_VALUE"""),0.0)</f>
        <v>0</v>
      </c>
      <c r="T564" s="199">
        <f>IFERROR(__xludf.DUMMYFUNCTION("""COMPUTED_VALUE"""),0.0)</f>
        <v>0</v>
      </c>
      <c r="U564" s="199">
        <f>IFERROR(__xludf.DUMMYFUNCTION("""COMPUTED_VALUE"""),10.0)</f>
        <v>10</v>
      </c>
      <c r="V564" s="199">
        <f>IFERROR(__xludf.DUMMYFUNCTION("""COMPUTED_VALUE"""),0.0)</f>
        <v>0</v>
      </c>
      <c r="W564" s="199">
        <f>IFERROR(__xludf.DUMMYFUNCTION("""COMPUTED_VALUE"""),0.0)</f>
        <v>0</v>
      </c>
      <c r="X564" s="199">
        <f>IFERROR(__xludf.DUMMYFUNCTION("""COMPUTED_VALUE"""),0.0)</f>
        <v>0</v>
      </c>
      <c r="Y564" s="199">
        <f>IFERROR(__xludf.DUMMYFUNCTION("""COMPUTED_VALUE"""),0.0)</f>
        <v>0</v>
      </c>
      <c r="Z564" s="199">
        <f>IFERROR(__xludf.DUMMYFUNCTION("""COMPUTED_VALUE"""),0.0)</f>
        <v>0</v>
      </c>
      <c r="AA564" s="199">
        <f>IFERROR(__xludf.DUMMYFUNCTION("""COMPUTED_VALUE"""),0.0)</f>
        <v>0</v>
      </c>
      <c r="AB564" s="199">
        <f>IFERROR(__xludf.DUMMYFUNCTION("""COMPUTED_VALUE"""),0.0)</f>
        <v>0</v>
      </c>
      <c r="AC564" s="199">
        <f>IFERROR(__xludf.DUMMYFUNCTION("""COMPUTED_VALUE"""),1.0)</f>
        <v>1</v>
      </c>
      <c r="AD564" s="199">
        <f>IFERROR(__xludf.DUMMYFUNCTION("""COMPUTED_VALUE"""),0.0)</f>
        <v>0</v>
      </c>
      <c r="AE564" s="199">
        <f>IFERROR(__xludf.DUMMYFUNCTION("""COMPUTED_VALUE"""),125.0)</f>
        <v>125</v>
      </c>
      <c r="AF564" s="199">
        <f>IFERROR(__xludf.DUMMYFUNCTION("""COMPUTED_VALUE"""),2.0)</f>
        <v>2</v>
      </c>
      <c r="AG564" s="199">
        <f>IFERROR(__xludf.DUMMYFUNCTION("""COMPUTED_VALUE"""),457.0)</f>
        <v>457</v>
      </c>
      <c r="AH564" s="199">
        <f>IFERROR(__xludf.DUMMYFUNCTION("""COMPUTED_VALUE"""),586.0)</f>
        <v>586</v>
      </c>
      <c r="AI564" s="200" t="str">
        <f>IFERROR(__xludf.DUMMYFUNCTION("""COMPUTED_VALUE"""),"Normal")</f>
        <v>Normal</v>
      </c>
      <c r="AJ564" s="200" t="str">
        <f>IFERROR(__xludf.DUMMYFUNCTION("""COMPUTED_VALUE"""),"All parameters within acceptable limits. ISO Code 20/18/16. Continue routine monitoring.")</f>
        <v>All parameters within acceptable limits. ISO Code 20/18/16. Continue routine monitoring.</v>
      </c>
      <c r="AK564" s="204"/>
      <c r="AL564" s="204"/>
      <c r="AM564" s="204"/>
    </row>
    <row r="565" hidden="1">
      <c r="A565" s="199" t="str">
        <f>IFERROR(__xludf.DUMMYFUNCTION("""COMPUTED_VALUE"""),"321.LQ120 (T)")</f>
        <v>321.LQ120 (T)</v>
      </c>
      <c r="B565" s="200" t="str">
        <f>IFERROR(__xludf.DUMMYFUNCTION("""COMPUTED_VALUE"""),"Roller Lubrication Unit (Tank)")</f>
        <v>Roller Lubrication Unit (Tank)</v>
      </c>
      <c r="C565" s="199">
        <f>IFERROR(__xludf.DUMMYFUNCTION("""COMPUTED_VALUE"""),2.6005501225E10)</f>
        <v>26005501225</v>
      </c>
      <c r="D565" s="201">
        <f>IFERROR(__xludf.DUMMYFUNCTION("""COMPUTED_VALUE"""),46007.0)</f>
        <v>46007</v>
      </c>
      <c r="E565" s="202" t="str">
        <f>IFERROR(__xludf.DUMMYFUNCTION("""COMPUTED_VALUE"""),"Caution")</f>
        <v>Caution</v>
      </c>
      <c r="F565" s="202" t="str">
        <f>IFERROR(__xludf.DUMMYFUNCTION("""COMPUTED_VALUE"""),"Caution")</f>
        <v>Caution</v>
      </c>
      <c r="G565" s="203" t="str">
        <f>IFERROR(__xludf.DUMMYFUNCTION("""COMPUTED_VALUE"""),"Caution")</f>
        <v>Caution</v>
      </c>
      <c r="H565" s="203" t="str">
        <f>IFERROR(__xludf.DUMMYFUNCTION("""COMPUTED_VALUE"""),"Caution")</f>
        <v>Caution</v>
      </c>
      <c r="I565" s="199"/>
      <c r="J565" s="199"/>
      <c r="K565" s="199"/>
      <c r="L565" s="199">
        <f>IFERROR(__xludf.DUMMYFUNCTION("""COMPUTED_VALUE"""),63.0)</f>
        <v>63</v>
      </c>
      <c r="M565" s="199">
        <f>IFERROR(__xludf.DUMMYFUNCTION("""COMPUTED_VALUE"""),81.5)</f>
        <v>81.5</v>
      </c>
      <c r="N565" s="199"/>
      <c r="O565" s="199"/>
      <c r="P565" s="199">
        <f>IFERROR(__xludf.DUMMYFUNCTION("""COMPUTED_VALUE"""),0.06)</f>
        <v>0.06</v>
      </c>
      <c r="Q565" s="199">
        <f>IFERROR(__xludf.DUMMYFUNCTION("""COMPUTED_VALUE"""),0.0)</f>
        <v>0</v>
      </c>
      <c r="R565" s="199">
        <f>IFERROR(__xludf.DUMMYFUNCTION("""COMPUTED_VALUE"""),0.0)</f>
        <v>0</v>
      </c>
      <c r="S565" s="199">
        <f>IFERROR(__xludf.DUMMYFUNCTION("""COMPUTED_VALUE"""),0.0)</f>
        <v>0</v>
      </c>
      <c r="T565" s="199">
        <f>IFERROR(__xludf.DUMMYFUNCTION("""COMPUTED_VALUE"""),0.0)</f>
        <v>0</v>
      </c>
      <c r="U565" s="199">
        <f>IFERROR(__xludf.DUMMYFUNCTION("""COMPUTED_VALUE"""),17.0)</f>
        <v>17</v>
      </c>
      <c r="V565" s="199">
        <f>IFERROR(__xludf.DUMMYFUNCTION("""COMPUTED_VALUE"""),0.0)</f>
        <v>0</v>
      </c>
      <c r="W565" s="199">
        <f>IFERROR(__xludf.DUMMYFUNCTION("""COMPUTED_VALUE"""),0.0)</f>
        <v>0</v>
      </c>
      <c r="X565" s="199">
        <f>IFERROR(__xludf.DUMMYFUNCTION("""COMPUTED_VALUE"""),0.0)</f>
        <v>0</v>
      </c>
      <c r="Y565" s="199">
        <f>IFERROR(__xludf.DUMMYFUNCTION("""COMPUTED_VALUE"""),0.0)</f>
        <v>0</v>
      </c>
      <c r="Z565" s="199">
        <f>IFERROR(__xludf.DUMMYFUNCTION("""COMPUTED_VALUE"""),0.0)</f>
        <v>0</v>
      </c>
      <c r="AA565" s="199">
        <f>IFERROR(__xludf.DUMMYFUNCTION("""COMPUTED_VALUE"""),0.0)</f>
        <v>0</v>
      </c>
      <c r="AB565" s="199">
        <f>IFERROR(__xludf.DUMMYFUNCTION("""COMPUTED_VALUE"""),0.0)</f>
        <v>0</v>
      </c>
      <c r="AC565" s="199">
        <f>IFERROR(__xludf.DUMMYFUNCTION("""COMPUTED_VALUE"""),21.0)</f>
        <v>21</v>
      </c>
      <c r="AD565" s="199">
        <f>IFERROR(__xludf.DUMMYFUNCTION("""COMPUTED_VALUE"""),0.0)</f>
        <v>0</v>
      </c>
      <c r="AE565" s="199">
        <f>IFERROR(__xludf.DUMMYFUNCTION("""COMPUTED_VALUE"""),22.0)</f>
        <v>22</v>
      </c>
      <c r="AF565" s="199">
        <f>IFERROR(__xludf.DUMMYFUNCTION("""COMPUTED_VALUE"""),0.0)</f>
        <v>0</v>
      </c>
      <c r="AG565" s="199">
        <f>IFERROR(__xludf.DUMMYFUNCTION("""COMPUTED_VALUE"""),650.0)</f>
        <v>650</v>
      </c>
      <c r="AH565" s="199">
        <f>IFERROR(__xludf.DUMMYFUNCTION("""COMPUTED_VALUE"""),15.0)</f>
        <v>15</v>
      </c>
      <c r="AI565" s="200" t="str">
        <f>IFERROR(__xludf.DUMMYFUNCTION("""COMPUTED_VALUE"""),"Caution – Elevated Fe / TAN / PQ Index")</f>
        <v>Caution – Elevated Fe / TAN / PQ Index</v>
      </c>
      <c r="AJ565" s="200" t="str">
        <f>IFERROR(__xludf.DUMMYFUNCTION("""COMPUTED_VALUE"""),"Fe 17 ppm, TAN 1.80 mg KOH/g (elevated), PQ Index 63 – elevated ferrous debris. Water 0.060 Vol%. Monitor closely. Inspect filtration and seals. Resample within 30 days.")</f>
        <v>Fe 17 ppm, TAN 1.80 mg KOH/g (elevated), PQ Index 63 – elevated ferrous debris. Water 0.060 Vol%. Monitor closely. Inspect filtration and seals. Resample within 30 days.</v>
      </c>
      <c r="AK565" s="204"/>
      <c r="AL565" s="204"/>
      <c r="AM565" s="204"/>
    </row>
    <row r="566" hidden="1">
      <c r="A566" s="199" t="str">
        <f>IFERROR(__xludf.DUMMYFUNCTION("""COMPUTED_VALUE"""),"R2.322.LQ120(T)")</f>
        <v>R2.322.LQ120(T)</v>
      </c>
      <c r="B566" s="200" t="str">
        <f>IFERROR(__xludf.DUMMYFUNCTION("""COMPUTED_VALUE"""),"Roller Lubrication Unit (Tank)")</f>
        <v>Roller Lubrication Unit (Tank)</v>
      </c>
      <c r="C566" s="199">
        <f>IFERROR(__xludf.DUMMYFUNCTION("""COMPUTED_VALUE"""),2.6004401263E10)</f>
        <v>26004401263</v>
      </c>
      <c r="D566" s="201">
        <f>IFERROR(__xludf.DUMMYFUNCTION("""COMPUTED_VALUE"""),46007.0)</f>
        <v>46007</v>
      </c>
      <c r="E566" s="202" t="str">
        <f>IFERROR(__xludf.DUMMYFUNCTION("""COMPUTED_VALUE"""),"Alert")</f>
        <v>Alert</v>
      </c>
      <c r="F566" s="202" t="str">
        <f>IFERROR(__xludf.DUMMYFUNCTION("""COMPUTED_VALUE"""),"Normal")</f>
        <v>Normal</v>
      </c>
      <c r="G566" s="203" t="str">
        <f>IFERROR(__xludf.DUMMYFUNCTION("""COMPUTED_VALUE"""),"Normal")</f>
        <v>Normal</v>
      </c>
      <c r="H566" s="203" t="str">
        <f>IFERROR(__xludf.DUMMYFUNCTION("""COMPUTED_VALUE"""),"Alert")</f>
        <v>Alert</v>
      </c>
      <c r="I566" s="199"/>
      <c r="J566" s="199"/>
      <c r="K566" s="199"/>
      <c r="L566" s="199">
        <f>IFERROR(__xludf.DUMMYFUNCTION("""COMPUTED_VALUE"""),23.0)</f>
        <v>23</v>
      </c>
      <c r="M566" s="199">
        <f>IFERROR(__xludf.DUMMYFUNCTION("""COMPUTED_VALUE"""),57.5)</f>
        <v>57.5</v>
      </c>
      <c r="N566" s="199"/>
      <c r="O566" s="199"/>
      <c r="P566" s="199">
        <f>IFERROR(__xludf.DUMMYFUNCTION("""COMPUTED_VALUE"""),0.04)</f>
        <v>0.04</v>
      </c>
      <c r="Q566" s="199">
        <f>IFERROR(__xludf.DUMMYFUNCTION("""COMPUTED_VALUE"""),0.0)</f>
        <v>0</v>
      </c>
      <c r="R566" s="199">
        <f>IFERROR(__xludf.DUMMYFUNCTION("""COMPUTED_VALUE"""),0.0)</f>
        <v>0</v>
      </c>
      <c r="S566" s="199">
        <f>IFERROR(__xludf.DUMMYFUNCTION("""COMPUTED_VALUE"""),0.0)</f>
        <v>0</v>
      </c>
      <c r="T566" s="199">
        <f>IFERROR(__xludf.DUMMYFUNCTION("""COMPUTED_VALUE"""),0.0)</f>
        <v>0</v>
      </c>
      <c r="U566" s="199">
        <f>IFERROR(__xludf.DUMMYFUNCTION("""COMPUTED_VALUE"""),6.0)</f>
        <v>6</v>
      </c>
      <c r="V566" s="199">
        <f>IFERROR(__xludf.DUMMYFUNCTION("""COMPUTED_VALUE"""),0.0)</f>
        <v>0</v>
      </c>
      <c r="W566" s="199">
        <f>IFERROR(__xludf.DUMMYFUNCTION("""COMPUTED_VALUE"""),0.0)</f>
        <v>0</v>
      </c>
      <c r="X566" s="199">
        <f>IFERROR(__xludf.DUMMYFUNCTION("""COMPUTED_VALUE"""),0.0)</f>
        <v>0</v>
      </c>
      <c r="Y566" s="199">
        <f>IFERROR(__xludf.DUMMYFUNCTION("""COMPUTED_VALUE"""),0.0)</f>
        <v>0</v>
      </c>
      <c r="Z566" s="199">
        <f>IFERROR(__xludf.DUMMYFUNCTION("""COMPUTED_VALUE"""),0.0)</f>
        <v>0</v>
      </c>
      <c r="AA566" s="199">
        <f>IFERROR(__xludf.DUMMYFUNCTION("""COMPUTED_VALUE"""),0.0)</f>
        <v>0</v>
      </c>
      <c r="AB566" s="199">
        <f>IFERROR(__xludf.DUMMYFUNCTION("""COMPUTED_VALUE"""),11.0)</f>
        <v>11</v>
      </c>
      <c r="AC566" s="199">
        <f>IFERROR(__xludf.DUMMYFUNCTION("""COMPUTED_VALUE"""),22.0)</f>
        <v>22</v>
      </c>
      <c r="AD566" s="199">
        <f>IFERROR(__xludf.DUMMYFUNCTION("""COMPUTED_VALUE"""),0.0)</f>
        <v>0</v>
      </c>
      <c r="AE566" s="199">
        <f>IFERROR(__xludf.DUMMYFUNCTION("""COMPUTED_VALUE"""),23.0)</f>
        <v>23</v>
      </c>
      <c r="AF566" s="199">
        <f>IFERROR(__xludf.DUMMYFUNCTION("""COMPUTED_VALUE"""),2.0)</f>
        <v>2</v>
      </c>
      <c r="AG566" s="199">
        <f>IFERROR(__xludf.DUMMYFUNCTION("""COMPUTED_VALUE"""),306.0)</f>
        <v>306</v>
      </c>
      <c r="AH566" s="199">
        <f>IFERROR(__xludf.DUMMYFUNCTION("""COMPUTED_VALUE"""),0.0)</f>
        <v>0</v>
      </c>
      <c r="AI566" s="200" t="str">
        <f>IFERROR(__xludf.DUMMYFUNCTION("""COMPUTED_VALUE"""),"Lubricant Degradation")</f>
        <v>Lubricant Degradation</v>
      </c>
      <c r="AJ566" s="200" t="str">
        <f>IFERROR(__xludf.DUMMYFUNCTION("""COMPUTED_VALUE"""),"Viscosity critically low - change lubricant immediately")</f>
        <v>Viscosity critically low - change lubricant immediately</v>
      </c>
      <c r="AK566" s="204"/>
      <c r="AL566" s="204"/>
      <c r="AM566" s="204"/>
    </row>
    <row r="567" hidden="1">
      <c r="A567" s="199" t="str">
        <f>IFERROR(__xludf.DUMMYFUNCTION("""COMPUTED_VALUE"""),"R2.432.MD140(N32)")</f>
        <v>R2.432.MD140(N32)</v>
      </c>
      <c r="B567" s="200" t="str">
        <f>IFERROR(__xludf.DUMMYFUNCTION("""COMPUTED_VALUE"""),"Kiln #2 Main drive gearbox (N32)")</f>
        <v>Kiln #2 Main drive gearbox (N32)</v>
      </c>
      <c r="C567" s="199">
        <f>IFERROR(__xludf.DUMMYFUNCTION("""COMPUTED_VALUE"""),2.6004401264E10)</f>
        <v>26004401264</v>
      </c>
      <c r="D567" s="201">
        <f>IFERROR(__xludf.DUMMYFUNCTION("""COMPUTED_VALUE"""),46007.0)</f>
        <v>46007</v>
      </c>
      <c r="E567" s="202" t="str">
        <f>IFERROR(__xludf.DUMMYFUNCTION("""COMPUTED_VALUE"""),"Alert")</f>
        <v>Alert</v>
      </c>
      <c r="F567" s="202" t="str">
        <f>IFERROR(__xludf.DUMMYFUNCTION("""COMPUTED_VALUE"""),"Alert")</f>
        <v>Alert</v>
      </c>
      <c r="G567" s="203" t="str">
        <f>IFERROR(__xludf.DUMMYFUNCTION("""COMPUTED_VALUE"""),"Normal")</f>
        <v>Normal</v>
      </c>
      <c r="H567" s="203" t="str">
        <f>IFERROR(__xludf.DUMMYFUNCTION("""COMPUTED_VALUE"""),"Normal")</f>
        <v>Normal</v>
      </c>
      <c r="I567" s="199"/>
      <c r="J567" s="199"/>
      <c r="K567" s="199"/>
      <c r="L567" s="199">
        <f>IFERROR(__xludf.DUMMYFUNCTION("""COMPUTED_VALUE"""),52.0)</f>
        <v>52</v>
      </c>
      <c r="M567" s="199">
        <f>IFERROR(__xludf.DUMMYFUNCTION("""COMPUTED_VALUE"""),410.1)</f>
        <v>410.1</v>
      </c>
      <c r="N567" s="199"/>
      <c r="O567" s="199">
        <f>IFERROR(__xludf.DUMMYFUNCTION("""COMPUTED_VALUE"""),1.0)</f>
        <v>1</v>
      </c>
      <c r="P567" s="199">
        <f>IFERROR(__xludf.DUMMYFUNCTION("""COMPUTED_VALUE"""),0.3)</f>
        <v>0.3</v>
      </c>
      <c r="Q567" s="199">
        <f>IFERROR(__xludf.DUMMYFUNCTION("""COMPUTED_VALUE"""),0.0)</f>
        <v>0</v>
      </c>
      <c r="R567" s="199">
        <f>IFERROR(__xludf.DUMMYFUNCTION("""COMPUTED_VALUE"""),5.0)</f>
        <v>5</v>
      </c>
      <c r="S567" s="199">
        <f>IFERROR(__xludf.DUMMYFUNCTION("""COMPUTED_VALUE"""),0.0)</f>
        <v>0</v>
      </c>
      <c r="T567" s="199">
        <f>IFERROR(__xludf.DUMMYFUNCTION("""COMPUTED_VALUE"""),0.0)</f>
        <v>0</v>
      </c>
      <c r="U567" s="199">
        <f>IFERROR(__xludf.DUMMYFUNCTION("""COMPUTED_VALUE"""),43.0)</f>
        <v>43</v>
      </c>
      <c r="V567" s="199">
        <f>IFERROR(__xludf.DUMMYFUNCTION("""COMPUTED_VALUE"""),2.0)</f>
        <v>2</v>
      </c>
      <c r="W567" s="199">
        <f>IFERROR(__xludf.DUMMYFUNCTION("""COMPUTED_VALUE"""),0.0)</f>
        <v>0</v>
      </c>
      <c r="X567" s="199">
        <f>IFERROR(__xludf.DUMMYFUNCTION("""COMPUTED_VALUE"""),0.0)</f>
        <v>0</v>
      </c>
      <c r="Y567" s="199">
        <f>IFERROR(__xludf.DUMMYFUNCTION("""COMPUTED_VALUE"""),0.0)</f>
        <v>0</v>
      </c>
      <c r="Z567" s="199">
        <f>IFERROR(__xludf.DUMMYFUNCTION("""COMPUTED_VALUE"""),0.0)</f>
        <v>0</v>
      </c>
      <c r="AA567" s="199">
        <f>IFERROR(__xludf.DUMMYFUNCTION("""COMPUTED_VALUE"""),0.0)</f>
        <v>0</v>
      </c>
      <c r="AB567" s="199">
        <f>IFERROR(__xludf.DUMMYFUNCTION("""COMPUTED_VALUE"""),17.0)</f>
        <v>17</v>
      </c>
      <c r="AC567" s="199">
        <f>IFERROR(__xludf.DUMMYFUNCTION("""COMPUTED_VALUE"""),32.0)</f>
        <v>32</v>
      </c>
      <c r="AD567" s="199">
        <f>IFERROR(__xludf.DUMMYFUNCTION("""COMPUTED_VALUE"""),0.0)</f>
        <v>0</v>
      </c>
      <c r="AE567" s="199">
        <f>IFERROR(__xludf.DUMMYFUNCTION("""COMPUTED_VALUE"""),188.0)</f>
        <v>188</v>
      </c>
      <c r="AF567" s="199">
        <f>IFERROR(__xludf.DUMMYFUNCTION("""COMPUTED_VALUE"""),5.0)</f>
        <v>5</v>
      </c>
      <c r="AG567" s="199">
        <f>IFERROR(__xludf.DUMMYFUNCTION("""COMPUTED_VALUE"""),399.0)</f>
        <v>399</v>
      </c>
      <c r="AH567" s="199">
        <f>IFERROR(__xludf.DUMMYFUNCTION("""COMPUTED_VALUE"""),22.0)</f>
        <v>22</v>
      </c>
      <c r="AI567" s="200" t="str">
        <f>IFERROR(__xludf.DUMMYFUNCTION("""COMPUTED_VALUE"""),"Water Ingress")</f>
        <v>Water Ingress</v>
      </c>
      <c r="AJ567" s="200" t="str">
        <f>IFERROR(__xludf.DUMMYFUNCTION("""COMPUTED_VALUE"""),"High water contamination - check seals, drain water immediately")</f>
        <v>High water contamination - check seals, drain water immediately</v>
      </c>
      <c r="AK567" s="204"/>
      <c r="AL567" s="204"/>
      <c r="AM567" s="204"/>
    </row>
    <row r="568" hidden="1">
      <c r="A568" s="199" t="str">
        <f>IFERROR(__xludf.DUMMYFUNCTION("""COMPUTED_VALUE"""),"321.LQ145 (T)")</f>
        <v>321.LQ145 (T)</v>
      </c>
      <c r="B568" s="200" t="str">
        <f>IFERROR(__xludf.DUMMYFUNCTION("""COMPUTED_VALUE"""),"Gear lubrication pump station Tank")</f>
        <v>Gear lubrication pump station Tank</v>
      </c>
      <c r="C568" s="199">
        <f>IFERROR(__xludf.DUMMYFUNCTION("""COMPUTED_VALUE"""),2.6005501227E10)</f>
        <v>26005501227</v>
      </c>
      <c r="D568" s="201">
        <f>IFERROR(__xludf.DUMMYFUNCTION("""COMPUTED_VALUE"""),46007.0)</f>
        <v>46007</v>
      </c>
      <c r="E568" s="202" t="str">
        <f>IFERROR(__xludf.DUMMYFUNCTION("""COMPUTED_VALUE"""),"Alert")</f>
        <v>Alert</v>
      </c>
      <c r="F568" s="202" t="str">
        <f>IFERROR(__xludf.DUMMYFUNCTION("""COMPUTED_VALUE"""),"Alert")</f>
        <v>Alert</v>
      </c>
      <c r="G568" s="203" t="str">
        <f>IFERROR(__xludf.DUMMYFUNCTION("""COMPUTED_VALUE"""),"Normal")</f>
        <v>Normal</v>
      </c>
      <c r="H568" s="203" t="str">
        <f>IFERROR(__xludf.DUMMYFUNCTION("""COMPUTED_VALUE"""),"Normal")</f>
        <v>Normal</v>
      </c>
      <c r="I568" s="37">
        <f>IFERROR(__xludf.DUMMYFUNCTION("""COMPUTED_VALUE"""),35671.0)</f>
        <v>35671</v>
      </c>
      <c r="J568" s="37">
        <f>IFERROR(__xludf.DUMMYFUNCTION("""COMPUTED_VALUE"""),19807.0)</f>
        <v>19807</v>
      </c>
      <c r="K568" s="37">
        <f>IFERROR(__xludf.DUMMYFUNCTION("""COMPUTED_VALUE"""),6149.0)</f>
        <v>6149</v>
      </c>
      <c r="L568" s="199">
        <f>IFERROR(__xludf.DUMMYFUNCTION("""COMPUTED_VALUE"""),22.0)</f>
        <v>22</v>
      </c>
      <c r="M568" s="199">
        <f>IFERROR(__xludf.DUMMYFUNCTION("""COMPUTED_VALUE"""),313.7)</f>
        <v>313.7</v>
      </c>
      <c r="N568" s="37"/>
      <c r="O568" s="37">
        <f>IFERROR(__xludf.DUMMYFUNCTION("""COMPUTED_VALUE"""),2.0)</f>
        <v>2</v>
      </c>
      <c r="P568" s="199">
        <f>IFERROR(__xludf.DUMMYFUNCTION("""COMPUTED_VALUE"""),0.5)</f>
        <v>0.5</v>
      </c>
      <c r="Q568" s="199">
        <f>IFERROR(__xludf.DUMMYFUNCTION("""COMPUTED_VALUE"""),0.0)</f>
        <v>0</v>
      </c>
      <c r="R568" s="199">
        <f>IFERROR(__xludf.DUMMYFUNCTION("""COMPUTED_VALUE"""),2.0)</f>
        <v>2</v>
      </c>
      <c r="S568" s="199">
        <f>IFERROR(__xludf.DUMMYFUNCTION("""COMPUTED_VALUE"""),0.0)</f>
        <v>0</v>
      </c>
      <c r="T568" s="199">
        <f>IFERROR(__xludf.DUMMYFUNCTION("""COMPUTED_VALUE"""),0.0)</f>
        <v>0</v>
      </c>
      <c r="U568" s="199">
        <f>IFERROR(__xludf.DUMMYFUNCTION("""COMPUTED_VALUE"""),35.0)</f>
        <v>35</v>
      </c>
      <c r="V568" s="199">
        <f>IFERROR(__xludf.DUMMYFUNCTION("""COMPUTED_VALUE"""),0.0)</f>
        <v>0</v>
      </c>
      <c r="W568" s="199">
        <f>IFERROR(__xludf.DUMMYFUNCTION("""COMPUTED_VALUE"""),0.0)</f>
        <v>0</v>
      </c>
      <c r="X568" s="199">
        <f>IFERROR(__xludf.DUMMYFUNCTION("""COMPUTED_VALUE"""),0.0)</f>
        <v>0</v>
      </c>
      <c r="Y568" s="199">
        <f>IFERROR(__xludf.DUMMYFUNCTION("""COMPUTED_VALUE"""),0.0)</f>
        <v>0</v>
      </c>
      <c r="Z568" s="199">
        <f>IFERROR(__xludf.DUMMYFUNCTION("""COMPUTED_VALUE"""),0.0)</f>
        <v>0</v>
      </c>
      <c r="AA568" s="199">
        <f>IFERROR(__xludf.DUMMYFUNCTION("""COMPUTED_VALUE"""),0.0)</f>
        <v>0</v>
      </c>
      <c r="AB568" s="199">
        <f>IFERROR(__xludf.DUMMYFUNCTION("""COMPUTED_VALUE"""),0.0)</f>
        <v>0</v>
      </c>
      <c r="AC568" s="199">
        <f>IFERROR(__xludf.DUMMYFUNCTION("""COMPUTED_VALUE"""),15.0)</f>
        <v>15</v>
      </c>
      <c r="AD568" s="199">
        <f>IFERROR(__xludf.DUMMYFUNCTION("""COMPUTED_VALUE"""),0.0)</f>
        <v>0</v>
      </c>
      <c r="AE568" s="199">
        <f>IFERROR(__xludf.DUMMYFUNCTION("""COMPUTED_VALUE"""),64.0)</f>
        <v>64</v>
      </c>
      <c r="AF568" s="199">
        <f>IFERROR(__xludf.DUMMYFUNCTION("""COMPUTED_VALUE"""),5.0)</f>
        <v>5</v>
      </c>
      <c r="AG568" s="199">
        <f>IFERROR(__xludf.DUMMYFUNCTION("""COMPUTED_VALUE"""),682.0)</f>
        <v>682</v>
      </c>
      <c r="AH568" s="199">
        <f>IFERROR(__xludf.DUMMYFUNCTION("""COMPUTED_VALUE"""),60.0)</f>
        <v>60</v>
      </c>
      <c r="AI568" s="200" t="str">
        <f>IFERROR(__xludf.DUMMYFUNCTION("""COMPUTED_VALUE"""),"Alert – Excessive Water / Elevated Fe / Contamination Alert")</f>
        <v>Alert – Excessive Water / Elevated Fe / Contamination Alert</v>
      </c>
      <c r="AJ568" s="200" t="str">
        <f>IFERROR(__xludf.DUMMYFUNCTION("""COMPUTED_VALUE"""),"ACTION REQUIRED – Water 0.500 Vol% (excessive), Fe 35 ppm, oxidation 2 Ab/cm. ISO 22/21/20. PQ Index 22. Determine water source (leaking seals, cooler, condensation). Remove water via dehydration unit. Resample after corrective action. Contact ExxonMobil "&amp;"representative.")</f>
        <v>ACTION REQUIRED – Water 0.500 Vol% (excessive), Fe 35 ppm, oxidation 2 Ab/cm. ISO 22/21/20. PQ Index 22. Determine water source (leaking seals, cooler, condensation). Remove water via dehydration unit. Resample after corrective action. Contact ExxonMobil representative.</v>
      </c>
      <c r="AK568" s="204"/>
      <c r="AL568" s="204"/>
      <c r="AM568" s="204"/>
    </row>
    <row r="569" hidden="1">
      <c r="A569" s="199" t="str">
        <f>IFERROR(__xludf.DUMMYFUNCTION("""COMPUTED_VALUE"""),"421.HR700 (A)")</f>
        <v>421.HR700 (A)</v>
      </c>
      <c r="B569" s="200" t="str">
        <f>IFERROR(__xludf.DUMMYFUNCTION("""COMPUTED_VALUE"""),"HOTDISC Drive M02")</f>
        <v>HOTDISC Drive M02</v>
      </c>
      <c r="C569" s="199">
        <f>IFERROR(__xludf.DUMMYFUNCTION("""COMPUTED_VALUE"""),2.6004401249E10)</f>
        <v>26004401249</v>
      </c>
      <c r="D569" s="201">
        <f>IFERROR(__xludf.DUMMYFUNCTION("""COMPUTED_VALUE"""),46007.0)</f>
        <v>46007</v>
      </c>
      <c r="E569" s="202" t="str">
        <f>IFERROR(__xludf.DUMMYFUNCTION("""COMPUTED_VALUE"""),"Normal")</f>
        <v>Normal</v>
      </c>
      <c r="F569" s="202" t="str">
        <f>IFERROR(__xludf.DUMMYFUNCTION("""COMPUTED_VALUE"""),"Normal")</f>
        <v>Normal</v>
      </c>
      <c r="G569" s="203" t="str">
        <f>IFERROR(__xludf.DUMMYFUNCTION("""COMPUTED_VALUE"""),"Normal")</f>
        <v>Normal</v>
      </c>
      <c r="H569" s="203" t="str">
        <f>IFERROR(__xludf.DUMMYFUNCTION("""COMPUTED_VALUE"""),"Normal")</f>
        <v>Normal</v>
      </c>
      <c r="I569" s="199">
        <f>IFERROR(__xludf.DUMMYFUNCTION("""COMPUTED_VALUE"""),11085.0)</f>
        <v>11085</v>
      </c>
      <c r="J569" s="199">
        <f>IFERROR(__xludf.DUMMYFUNCTION("""COMPUTED_VALUE"""),6148.0)</f>
        <v>6148</v>
      </c>
      <c r="K569" s="199">
        <f>IFERROR(__xludf.DUMMYFUNCTION("""COMPUTED_VALUE"""),2411.0)</f>
        <v>2411</v>
      </c>
      <c r="L569" s="199">
        <f>IFERROR(__xludf.DUMMYFUNCTION("""COMPUTED_VALUE"""),6.0)</f>
        <v>6</v>
      </c>
      <c r="M569" s="199">
        <f>IFERROR(__xludf.DUMMYFUNCTION("""COMPUTED_VALUE"""),224.7)</f>
        <v>224.7</v>
      </c>
      <c r="N569" s="199"/>
      <c r="O569" s="199"/>
      <c r="P569" s="199">
        <f>IFERROR(__xludf.DUMMYFUNCTION("""COMPUTED_VALUE"""),0.003)</f>
        <v>0.003</v>
      </c>
      <c r="Q569" s="199">
        <f>IFERROR(__xludf.DUMMYFUNCTION("""COMPUTED_VALUE"""),0.0)</f>
        <v>0</v>
      </c>
      <c r="R569" s="199">
        <f>IFERROR(__xludf.DUMMYFUNCTION("""COMPUTED_VALUE"""),1.0)</f>
        <v>1</v>
      </c>
      <c r="S569" s="199">
        <f>IFERROR(__xludf.DUMMYFUNCTION("""COMPUTED_VALUE"""),0.0)</f>
        <v>0</v>
      </c>
      <c r="T569" s="199">
        <f>IFERROR(__xludf.DUMMYFUNCTION("""COMPUTED_VALUE"""),0.0)</f>
        <v>0</v>
      </c>
      <c r="U569" s="199">
        <f>IFERROR(__xludf.DUMMYFUNCTION("""COMPUTED_VALUE"""),11.0)</f>
        <v>11</v>
      </c>
      <c r="V569" s="199">
        <f>IFERROR(__xludf.DUMMYFUNCTION("""COMPUTED_VALUE"""),0.0)</f>
        <v>0</v>
      </c>
      <c r="W569" s="199">
        <f>IFERROR(__xludf.DUMMYFUNCTION("""COMPUTED_VALUE"""),0.0)</f>
        <v>0</v>
      </c>
      <c r="X569" s="199">
        <f>IFERROR(__xludf.DUMMYFUNCTION("""COMPUTED_VALUE"""),0.0)</f>
        <v>0</v>
      </c>
      <c r="Y569" s="199">
        <f>IFERROR(__xludf.DUMMYFUNCTION("""COMPUTED_VALUE"""),0.0)</f>
        <v>0</v>
      </c>
      <c r="Z569" s="199">
        <f>IFERROR(__xludf.DUMMYFUNCTION("""COMPUTED_VALUE"""),0.0)</f>
        <v>0</v>
      </c>
      <c r="AA569" s="199">
        <f>IFERROR(__xludf.DUMMYFUNCTION("""COMPUTED_VALUE"""),0.0)</f>
        <v>0</v>
      </c>
      <c r="AB569" s="199">
        <f>IFERROR(__xludf.DUMMYFUNCTION("""COMPUTED_VALUE"""),0.0)</f>
        <v>0</v>
      </c>
      <c r="AC569" s="199">
        <f>IFERROR(__xludf.DUMMYFUNCTION("""COMPUTED_VALUE"""),26.0)</f>
        <v>26</v>
      </c>
      <c r="AD569" s="199">
        <f>IFERROR(__xludf.DUMMYFUNCTION("""COMPUTED_VALUE"""),0.0)</f>
        <v>0</v>
      </c>
      <c r="AE569" s="199">
        <f>IFERROR(__xludf.DUMMYFUNCTION("""COMPUTED_VALUE"""),26.0)</f>
        <v>26</v>
      </c>
      <c r="AF569" s="199">
        <f>IFERROR(__xludf.DUMMYFUNCTION("""COMPUTED_VALUE"""),2.0)</f>
        <v>2</v>
      </c>
      <c r="AG569" s="199">
        <f>IFERROR(__xludf.DUMMYFUNCTION("""COMPUTED_VALUE"""),540.0)</f>
        <v>540</v>
      </c>
      <c r="AH569" s="199">
        <f>IFERROR(__xludf.DUMMYFUNCTION("""COMPUTED_VALUE"""),8.0)</f>
        <v>8</v>
      </c>
      <c r="AI569" s="200" t="str">
        <f>IFERROR(__xludf.DUMMYFUNCTION("""COMPUTED_VALUE"""),"Normal")</f>
        <v>Normal</v>
      </c>
      <c r="AJ569" s="200" t="str">
        <f>IFERROR(__xludf.DUMMYFUNCTION("""COMPUTED_VALUE"""),"ISO Code 21/20/18. All parameters within acceptable limits. Continue routine monitoring.")</f>
        <v>ISO Code 21/20/18. All parameters within acceptable limits. Continue routine monitoring.</v>
      </c>
      <c r="AK569" s="204"/>
      <c r="AL569" s="204"/>
      <c r="AM569" s="204"/>
    </row>
    <row r="570" hidden="1">
      <c r="A570" s="199" t="str">
        <f>IFERROR(__xludf.DUMMYFUNCTION("""COMPUTED_VALUE"""),"461.LQ145")</f>
        <v>461.LQ145</v>
      </c>
      <c r="B570" s="200" t="str">
        <f>IFERROR(__xludf.DUMMYFUNCTION("""COMPUTED_VALUE"""),"Coal Mill 1 Gear box")</f>
        <v>Coal Mill 1 Gear box</v>
      </c>
      <c r="C570" s="199">
        <f>IFERROR(__xludf.DUMMYFUNCTION("""COMPUTED_VALUE"""),2.6005501203E10)</f>
        <v>26005501203</v>
      </c>
      <c r="D570" s="201">
        <f>IFERROR(__xludf.DUMMYFUNCTION("""COMPUTED_VALUE"""),46007.0)</f>
        <v>46007</v>
      </c>
      <c r="E570" s="202" t="str">
        <f>IFERROR(__xludf.DUMMYFUNCTION("""COMPUTED_VALUE"""),"Normal")</f>
        <v>Normal</v>
      </c>
      <c r="F570" s="202" t="str">
        <f>IFERROR(__xludf.DUMMYFUNCTION("""COMPUTED_VALUE"""),"Normal")</f>
        <v>Normal</v>
      </c>
      <c r="G570" s="203" t="str">
        <f>IFERROR(__xludf.DUMMYFUNCTION("""COMPUTED_VALUE"""),"Normal")</f>
        <v>Normal</v>
      </c>
      <c r="H570" s="203" t="str">
        <f>IFERROR(__xludf.DUMMYFUNCTION("""COMPUTED_VALUE"""),"Normal")</f>
        <v>Normal</v>
      </c>
      <c r="I570" s="199">
        <f>IFERROR(__xludf.DUMMYFUNCTION("""COMPUTED_VALUE"""),33514.0)</f>
        <v>33514</v>
      </c>
      <c r="J570" s="199">
        <f>IFERROR(__xludf.DUMMYFUNCTION("""COMPUTED_VALUE"""),19210.0)</f>
        <v>19210</v>
      </c>
      <c r="K570" s="199">
        <f>IFERROR(__xludf.DUMMYFUNCTION("""COMPUTED_VALUE"""),9184.0)</f>
        <v>9184</v>
      </c>
      <c r="L570" s="199">
        <f>IFERROR(__xludf.DUMMYFUNCTION("""COMPUTED_VALUE"""),10.0)</f>
        <v>10</v>
      </c>
      <c r="M570" s="199">
        <f>IFERROR(__xludf.DUMMYFUNCTION("""COMPUTED_VALUE"""),305.3)</f>
        <v>305.3</v>
      </c>
      <c r="N570" s="199"/>
      <c r="O570" s="199">
        <f>IFERROR(__xludf.DUMMYFUNCTION("""COMPUTED_VALUE"""),1.0)</f>
        <v>1</v>
      </c>
      <c r="P570" s="199">
        <f>IFERROR(__xludf.DUMMYFUNCTION("""COMPUTED_VALUE"""),0.01)</f>
        <v>0.01</v>
      </c>
      <c r="Q570" s="199">
        <f>IFERROR(__xludf.DUMMYFUNCTION("""COMPUTED_VALUE"""),0.0)</f>
        <v>0</v>
      </c>
      <c r="R570" s="199">
        <f>IFERROR(__xludf.DUMMYFUNCTION("""COMPUTED_VALUE"""),0.0)</f>
        <v>0</v>
      </c>
      <c r="S570" s="199">
        <f>IFERROR(__xludf.DUMMYFUNCTION("""COMPUTED_VALUE"""),0.0)</f>
        <v>0</v>
      </c>
      <c r="T570" s="199">
        <f>IFERROR(__xludf.DUMMYFUNCTION("""COMPUTED_VALUE"""),0.0)</f>
        <v>0</v>
      </c>
      <c r="U570" s="199">
        <f>IFERROR(__xludf.DUMMYFUNCTION("""COMPUTED_VALUE"""),8.0)</f>
        <v>8</v>
      </c>
      <c r="V570" s="199">
        <f>IFERROR(__xludf.DUMMYFUNCTION("""COMPUTED_VALUE"""),0.0)</f>
        <v>0</v>
      </c>
      <c r="W570" s="199">
        <f>IFERROR(__xludf.DUMMYFUNCTION("""COMPUTED_VALUE"""),0.0)</f>
        <v>0</v>
      </c>
      <c r="X570" s="199">
        <f>IFERROR(__xludf.DUMMYFUNCTION("""COMPUTED_VALUE"""),0.0)</f>
        <v>0</v>
      </c>
      <c r="Y570" s="199">
        <f>IFERROR(__xludf.DUMMYFUNCTION("""COMPUTED_VALUE"""),0.0)</f>
        <v>0</v>
      </c>
      <c r="Z570" s="199">
        <f>IFERROR(__xludf.DUMMYFUNCTION("""COMPUTED_VALUE"""),0.0)</f>
        <v>0</v>
      </c>
      <c r="AA570" s="199">
        <f>IFERROR(__xludf.DUMMYFUNCTION("""COMPUTED_VALUE"""),0.0)</f>
        <v>0</v>
      </c>
      <c r="AB570" s="199">
        <f>IFERROR(__xludf.DUMMYFUNCTION("""COMPUTED_VALUE"""),0.0)</f>
        <v>0</v>
      </c>
      <c r="AC570" s="199">
        <f>IFERROR(__xludf.DUMMYFUNCTION("""COMPUTED_VALUE"""),12.0)</f>
        <v>12</v>
      </c>
      <c r="AD570" s="199">
        <f>IFERROR(__xludf.DUMMYFUNCTION("""COMPUTED_VALUE"""),0.0)</f>
        <v>0</v>
      </c>
      <c r="AE570" s="199">
        <f>IFERROR(__xludf.DUMMYFUNCTION("""COMPUTED_VALUE"""),12.0)</f>
        <v>12</v>
      </c>
      <c r="AF570" s="199">
        <f>IFERROR(__xludf.DUMMYFUNCTION("""COMPUTED_VALUE"""),2.0)</f>
        <v>2</v>
      </c>
      <c r="AG570" s="199">
        <f>IFERROR(__xludf.DUMMYFUNCTION("""COMPUTED_VALUE"""),568.0)</f>
        <v>568</v>
      </c>
      <c r="AH570" s="199">
        <f>IFERROR(__xludf.DUMMYFUNCTION("""COMPUTED_VALUE"""),54.0)</f>
        <v>54</v>
      </c>
      <c r="AI570" s="200" t="str">
        <f>IFERROR(__xludf.DUMMYFUNCTION("""COMPUTED_VALUE"""),"Normal")</f>
        <v>Normal</v>
      </c>
      <c r="AJ570" s="200" t="str">
        <f>IFERROR(__xludf.DUMMYFUNCTION("""COMPUTED_VALUE"""),"ISO Code 22/21/20. All parameters within acceptable limits. Si cleared. Continue routine monitoring.")</f>
        <v>ISO Code 22/21/20. All parameters within acceptable limits. Si cleared. Continue routine monitoring.</v>
      </c>
      <c r="AK570" s="204"/>
      <c r="AL570" s="204"/>
      <c r="AM570" s="204"/>
    </row>
    <row r="571" hidden="1">
      <c r="A571" s="199" t="str">
        <f>IFERROR(__xludf.DUMMYFUNCTION("""COMPUTED_VALUE"""),"111.BC330 (R1)")</f>
        <v>111.BC330 (R1)</v>
      </c>
      <c r="B571" s="200" t="str">
        <f>IFERROR(__xludf.DUMMYFUNCTION("""COMPUTED_VALUE"""),"Belt conveyor first right Gearbox")</f>
        <v>Belt conveyor first right Gearbox</v>
      </c>
      <c r="C571" s="199">
        <f>IFERROR(__xludf.DUMMYFUNCTION("""COMPUTED_VALUE"""),2.6005501204E10)</f>
        <v>26005501204</v>
      </c>
      <c r="D571" s="201">
        <f>IFERROR(__xludf.DUMMYFUNCTION("""COMPUTED_VALUE"""),46007.0)</f>
        <v>46007</v>
      </c>
      <c r="E571" s="202" t="str">
        <f>IFERROR(__xludf.DUMMYFUNCTION("""COMPUTED_VALUE"""),"Normal")</f>
        <v>Normal</v>
      </c>
      <c r="F571" s="202" t="str">
        <f>IFERROR(__xludf.DUMMYFUNCTION("""COMPUTED_VALUE"""),"Normal")</f>
        <v>Normal</v>
      </c>
      <c r="G571" s="203" t="str">
        <f>IFERROR(__xludf.DUMMYFUNCTION("""COMPUTED_VALUE"""),"Normal")</f>
        <v>Normal</v>
      </c>
      <c r="H571" s="203" t="str">
        <f>IFERROR(__xludf.DUMMYFUNCTION("""COMPUTED_VALUE"""),"Normal")</f>
        <v>Normal</v>
      </c>
      <c r="I571" s="37">
        <f>IFERROR(__xludf.DUMMYFUNCTION("""COMPUTED_VALUE"""),29147.0)</f>
        <v>29147</v>
      </c>
      <c r="J571" s="37">
        <f>IFERROR(__xludf.DUMMYFUNCTION("""COMPUTED_VALUE"""),11288.0)</f>
        <v>11288</v>
      </c>
      <c r="K571" s="37">
        <f>IFERROR(__xludf.DUMMYFUNCTION("""COMPUTED_VALUE"""),6606.0)</f>
        <v>6606</v>
      </c>
      <c r="L571" s="199">
        <f>IFERROR(__xludf.DUMMYFUNCTION("""COMPUTED_VALUE"""),10.0)</f>
        <v>10</v>
      </c>
      <c r="M571" s="199">
        <f>IFERROR(__xludf.DUMMYFUNCTION("""COMPUTED_VALUE"""),220.4)</f>
        <v>220.4</v>
      </c>
      <c r="N571" s="199"/>
      <c r="O571" s="199"/>
      <c r="P571" s="199">
        <f>IFERROR(__xludf.DUMMYFUNCTION("""COMPUTED_VALUE"""),0.01)</f>
        <v>0.01</v>
      </c>
      <c r="Q571" s="199">
        <f>IFERROR(__xludf.DUMMYFUNCTION("""COMPUTED_VALUE"""),0.0)</f>
        <v>0</v>
      </c>
      <c r="R571" s="199">
        <f>IFERROR(__xludf.DUMMYFUNCTION("""COMPUTED_VALUE"""),0.0)</f>
        <v>0</v>
      </c>
      <c r="S571" s="199">
        <f>IFERROR(__xludf.DUMMYFUNCTION("""COMPUTED_VALUE"""),0.0)</f>
        <v>0</v>
      </c>
      <c r="T571" s="199">
        <f>IFERROR(__xludf.DUMMYFUNCTION("""COMPUTED_VALUE"""),0.0)</f>
        <v>0</v>
      </c>
      <c r="U571" s="199">
        <f>IFERROR(__xludf.DUMMYFUNCTION("""COMPUTED_VALUE"""),0.0)</f>
        <v>0</v>
      </c>
      <c r="V571" s="199">
        <f>IFERROR(__xludf.DUMMYFUNCTION("""COMPUTED_VALUE"""),0.0)</f>
        <v>0</v>
      </c>
      <c r="W571" s="199">
        <f>IFERROR(__xludf.DUMMYFUNCTION("""COMPUTED_VALUE"""),0.0)</f>
        <v>0</v>
      </c>
      <c r="X571" s="199">
        <f>IFERROR(__xludf.DUMMYFUNCTION("""COMPUTED_VALUE"""),0.0)</f>
        <v>0</v>
      </c>
      <c r="Y571" s="199">
        <f>IFERROR(__xludf.DUMMYFUNCTION("""COMPUTED_VALUE"""),0.0)</f>
        <v>0</v>
      </c>
      <c r="Z571" s="199">
        <f>IFERROR(__xludf.DUMMYFUNCTION("""COMPUTED_VALUE"""),0.0)</f>
        <v>0</v>
      </c>
      <c r="AA571" s="199">
        <f>IFERROR(__xludf.DUMMYFUNCTION("""COMPUTED_VALUE"""),0.0)</f>
        <v>0</v>
      </c>
      <c r="AB571" s="199">
        <f>IFERROR(__xludf.DUMMYFUNCTION("""COMPUTED_VALUE"""),4.0)</f>
        <v>4</v>
      </c>
      <c r="AC571" s="199">
        <f>IFERROR(__xludf.DUMMYFUNCTION("""COMPUTED_VALUE"""),16.0)</f>
        <v>16</v>
      </c>
      <c r="AD571" s="199">
        <f>IFERROR(__xludf.DUMMYFUNCTION("""COMPUTED_VALUE"""),0.0)</f>
        <v>0</v>
      </c>
      <c r="AE571" s="199">
        <f>IFERROR(__xludf.DUMMYFUNCTION("""COMPUTED_VALUE"""),16.0)</f>
        <v>16</v>
      </c>
      <c r="AF571" s="199">
        <f>IFERROR(__xludf.DUMMYFUNCTION("""COMPUTED_VALUE"""),0.0)</f>
        <v>0</v>
      </c>
      <c r="AG571" s="199">
        <f>IFERROR(__xludf.DUMMYFUNCTION("""COMPUTED_VALUE"""),599.0)</f>
        <v>599</v>
      </c>
      <c r="AH571" s="199">
        <f>IFERROR(__xludf.DUMMYFUNCTION("""COMPUTED_VALUE"""),46.0)</f>
        <v>46</v>
      </c>
      <c r="AI571" s="200" t="str">
        <f>IFERROR(__xludf.DUMMYFUNCTION("""COMPUTED_VALUE"""),"Normal")</f>
        <v>Normal</v>
      </c>
      <c r="AJ571" s="200" t="str">
        <f>IFERROR(__xludf.DUMMYFUNCTION("""COMPUTED_VALUE"""),"NO ACTION REQUIRED. ISO 22/21/20. Si cleared (4 ppm). All levels within acceptable ranges. Sample at next scheduled interval.")</f>
        <v>NO ACTION REQUIRED. ISO 22/21/20. Si cleared (4 ppm). All levels within acceptable ranges. Sample at next scheduled interval.</v>
      </c>
      <c r="AK571" s="204"/>
      <c r="AL571" s="204"/>
      <c r="AM571" s="204"/>
    </row>
    <row r="572" hidden="1">
      <c r="A572" s="199" t="str">
        <f>IFERROR(__xludf.DUMMYFUNCTION("""COMPUTED_VALUE"""),"123.BC100")</f>
        <v>123.BC100</v>
      </c>
      <c r="B572" s="200" t="str">
        <f>IFERROR(__xludf.DUMMYFUNCTION("""COMPUTED_VALUE"""),"Belt conveyor Gearbox")</f>
        <v>Belt conveyor Gearbox</v>
      </c>
      <c r="C572" s="199">
        <f>IFERROR(__xludf.DUMMYFUNCTION("""COMPUTED_VALUE"""),2.6005501228E10)</f>
        <v>26005501228</v>
      </c>
      <c r="D572" s="201">
        <f>IFERROR(__xludf.DUMMYFUNCTION("""COMPUTED_VALUE"""),46007.0)</f>
        <v>46007</v>
      </c>
      <c r="E572" s="202" t="str">
        <f>IFERROR(__xludf.DUMMYFUNCTION("""COMPUTED_VALUE"""),"Normal")</f>
        <v>Normal</v>
      </c>
      <c r="F572" s="202" t="str">
        <f>IFERROR(__xludf.DUMMYFUNCTION("""COMPUTED_VALUE"""),"Normal")</f>
        <v>Normal</v>
      </c>
      <c r="G572" s="203" t="str">
        <f>IFERROR(__xludf.DUMMYFUNCTION("""COMPUTED_VALUE"""),"Normal")</f>
        <v>Normal</v>
      </c>
      <c r="H572" s="203" t="str">
        <f>IFERROR(__xludf.DUMMYFUNCTION("""COMPUTED_VALUE"""),"Normal")</f>
        <v>Normal</v>
      </c>
      <c r="I572" s="199">
        <f>IFERROR(__xludf.DUMMYFUNCTION("""COMPUTED_VALUE"""),24185.0)</f>
        <v>24185</v>
      </c>
      <c r="J572" s="199">
        <f>IFERROR(__xludf.DUMMYFUNCTION("""COMPUTED_VALUE"""),11107.0)</f>
        <v>11107</v>
      </c>
      <c r="K572" s="199">
        <f>IFERROR(__xludf.DUMMYFUNCTION("""COMPUTED_VALUE"""),5152.0)</f>
        <v>5152</v>
      </c>
      <c r="L572" s="199">
        <f>IFERROR(__xludf.DUMMYFUNCTION("""COMPUTED_VALUE"""),5.0)</f>
        <v>5</v>
      </c>
      <c r="M572" s="199">
        <f>IFERROR(__xludf.DUMMYFUNCTION("""COMPUTED_VALUE"""),229.0)</f>
        <v>229</v>
      </c>
      <c r="N572" s="199"/>
      <c r="O572" s="199"/>
      <c r="P572" s="199">
        <f>IFERROR(__xludf.DUMMYFUNCTION("""COMPUTED_VALUE"""),0.003)</f>
        <v>0.003</v>
      </c>
      <c r="Q572" s="199">
        <f>IFERROR(__xludf.DUMMYFUNCTION("""COMPUTED_VALUE"""),0.0)</f>
        <v>0</v>
      </c>
      <c r="R572" s="199">
        <f>IFERROR(__xludf.DUMMYFUNCTION("""COMPUTED_VALUE"""),0.0)</f>
        <v>0</v>
      </c>
      <c r="S572" s="199">
        <f>IFERROR(__xludf.DUMMYFUNCTION("""COMPUTED_VALUE"""),0.0)</f>
        <v>0</v>
      </c>
      <c r="T572" s="199">
        <f>IFERROR(__xludf.DUMMYFUNCTION("""COMPUTED_VALUE"""),0.0)</f>
        <v>0</v>
      </c>
      <c r="U572" s="199">
        <f>IFERROR(__xludf.DUMMYFUNCTION("""COMPUTED_VALUE"""),5.0)</f>
        <v>5</v>
      </c>
      <c r="V572" s="199">
        <f>IFERROR(__xludf.DUMMYFUNCTION("""COMPUTED_VALUE"""),0.0)</f>
        <v>0</v>
      </c>
      <c r="W572" s="199">
        <f>IFERROR(__xludf.DUMMYFUNCTION("""COMPUTED_VALUE"""),0.0)</f>
        <v>0</v>
      </c>
      <c r="X572" s="199">
        <f>IFERROR(__xludf.DUMMYFUNCTION("""COMPUTED_VALUE"""),0.0)</f>
        <v>0</v>
      </c>
      <c r="Y572" s="199">
        <f>IFERROR(__xludf.DUMMYFUNCTION("""COMPUTED_VALUE"""),0.0)</f>
        <v>0</v>
      </c>
      <c r="Z572" s="199">
        <f>IFERROR(__xludf.DUMMYFUNCTION("""COMPUTED_VALUE"""),0.0)</f>
        <v>0</v>
      </c>
      <c r="AA572" s="199">
        <f>IFERROR(__xludf.DUMMYFUNCTION("""COMPUTED_VALUE"""),0.0)</f>
        <v>0</v>
      </c>
      <c r="AB572" s="199">
        <f>IFERROR(__xludf.DUMMYFUNCTION("""COMPUTED_VALUE"""),16.0)</f>
        <v>16</v>
      </c>
      <c r="AC572" s="199">
        <f>IFERROR(__xludf.DUMMYFUNCTION("""COMPUTED_VALUE"""),17.0)</f>
        <v>17</v>
      </c>
      <c r="AD572" s="199">
        <f>IFERROR(__xludf.DUMMYFUNCTION("""COMPUTED_VALUE"""),0.0)</f>
        <v>0</v>
      </c>
      <c r="AE572" s="199">
        <f>IFERROR(__xludf.DUMMYFUNCTION("""COMPUTED_VALUE"""),4.0)</f>
        <v>4</v>
      </c>
      <c r="AF572" s="199">
        <f>IFERROR(__xludf.DUMMYFUNCTION("""COMPUTED_VALUE"""),2.0)</f>
        <v>2</v>
      </c>
      <c r="AG572" s="199">
        <f>IFERROR(__xludf.DUMMYFUNCTION("""COMPUTED_VALUE"""),354.0)</f>
        <v>354</v>
      </c>
      <c r="AH572" s="199">
        <f>IFERROR(__xludf.DUMMYFUNCTION("""COMPUTED_VALUE"""),16.0)</f>
        <v>16</v>
      </c>
      <c r="AI572" s="200" t="str">
        <f>IFERROR(__xludf.DUMMYFUNCTION("""COMPUTED_VALUE"""),"Normal")</f>
        <v>Normal</v>
      </c>
      <c r="AJ572" s="200" t="str">
        <f>IFERROR(__xludf.DUMMYFUNCTION("""COMPUTED_VALUE"""),"NO ACTION REQUIRED. ISO 22/21/20. All levels within acceptable ranges. Sample at next scheduled interval.")</f>
        <v>NO ACTION REQUIRED. ISO 22/21/20. All levels within acceptable ranges. Sample at next scheduled interval.</v>
      </c>
      <c r="AK572" s="204"/>
      <c r="AL572" s="204"/>
      <c r="AM572" s="204"/>
    </row>
    <row r="573" hidden="1">
      <c r="A573" s="199" t="str">
        <f>IFERROR(__xludf.DUMMYFUNCTION("""COMPUTED_VALUE"""),"131.BC100")</f>
        <v>131.BC100</v>
      </c>
      <c r="B573" s="200" t="str">
        <f>IFERROR(__xludf.DUMMYFUNCTION("""COMPUTED_VALUE"""),"Belt Conveyor Gearbox")</f>
        <v>Belt Conveyor Gearbox</v>
      </c>
      <c r="C573" s="199">
        <f>IFERROR(__xludf.DUMMYFUNCTION("""COMPUTED_VALUE"""),2.6004401255E10)</f>
        <v>26004401255</v>
      </c>
      <c r="D573" s="201">
        <f>IFERROR(__xludf.DUMMYFUNCTION("""COMPUTED_VALUE"""),46007.0)</f>
        <v>46007</v>
      </c>
      <c r="E573" s="202" t="str">
        <f>IFERROR(__xludf.DUMMYFUNCTION("""COMPUTED_VALUE"""),"Normal")</f>
        <v>Normal</v>
      </c>
      <c r="F573" s="202" t="str">
        <f>IFERROR(__xludf.DUMMYFUNCTION("""COMPUTED_VALUE"""),"Normal")</f>
        <v>Normal</v>
      </c>
      <c r="G573" s="203" t="str">
        <f>IFERROR(__xludf.DUMMYFUNCTION("""COMPUTED_VALUE"""),"Normal")</f>
        <v>Normal</v>
      </c>
      <c r="H573" s="203" t="str">
        <f>IFERROR(__xludf.DUMMYFUNCTION("""COMPUTED_VALUE"""),"Normal")</f>
        <v>Normal</v>
      </c>
      <c r="I573" s="199">
        <f>IFERROR(__xludf.DUMMYFUNCTION("""COMPUTED_VALUE"""),31918.0)</f>
        <v>31918</v>
      </c>
      <c r="J573" s="199">
        <f>IFERROR(__xludf.DUMMYFUNCTION("""COMPUTED_VALUE"""),9474.0)</f>
        <v>9474</v>
      </c>
      <c r="K573" s="199">
        <f>IFERROR(__xludf.DUMMYFUNCTION("""COMPUTED_VALUE"""),2188.0)</f>
        <v>2188</v>
      </c>
      <c r="L573" s="199">
        <f>IFERROR(__xludf.DUMMYFUNCTION("""COMPUTED_VALUE"""),6.0)</f>
        <v>6</v>
      </c>
      <c r="M573" s="199">
        <f>IFERROR(__xludf.DUMMYFUNCTION("""COMPUTED_VALUE"""),217.6)</f>
        <v>217.6</v>
      </c>
      <c r="N573" s="199"/>
      <c r="O573" s="199"/>
      <c r="P573" s="199">
        <f>IFERROR(__xludf.DUMMYFUNCTION("""COMPUTED_VALUE"""),0.01)</f>
        <v>0.01</v>
      </c>
      <c r="Q573" s="199">
        <f>IFERROR(__xludf.DUMMYFUNCTION("""COMPUTED_VALUE"""),0.0)</f>
        <v>0</v>
      </c>
      <c r="R573" s="199">
        <f>IFERROR(__xludf.DUMMYFUNCTION("""COMPUTED_VALUE"""),1.0)</f>
        <v>1</v>
      </c>
      <c r="S573" s="199">
        <f>IFERROR(__xludf.DUMMYFUNCTION("""COMPUTED_VALUE"""),0.0)</f>
        <v>0</v>
      </c>
      <c r="T573" s="199">
        <f>IFERROR(__xludf.DUMMYFUNCTION("""COMPUTED_VALUE"""),0.0)</f>
        <v>0</v>
      </c>
      <c r="U573" s="199">
        <f>IFERROR(__xludf.DUMMYFUNCTION("""COMPUTED_VALUE"""),27.0)</f>
        <v>27</v>
      </c>
      <c r="V573" s="199">
        <f>IFERROR(__xludf.DUMMYFUNCTION("""COMPUTED_VALUE"""),0.0)</f>
        <v>0</v>
      </c>
      <c r="W573" s="199">
        <f>IFERROR(__xludf.DUMMYFUNCTION("""COMPUTED_VALUE"""),0.0)</f>
        <v>0</v>
      </c>
      <c r="X573" s="199">
        <f>IFERROR(__xludf.DUMMYFUNCTION("""COMPUTED_VALUE"""),0.0)</f>
        <v>0</v>
      </c>
      <c r="Y573" s="199">
        <f>IFERROR(__xludf.DUMMYFUNCTION("""COMPUTED_VALUE"""),0.0)</f>
        <v>0</v>
      </c>
      <c r="Z573" s="199">
        <f>IFERROR(__xludf.DUMMYFUNCTION("""COMPUTED_VALUE"""),0.0)</f>
        <v>0</v>
      </c>
      <c r="AA573" s="199">
        <f>IFERROR(__xludf.DUMMYFUNCTION("""COMPUTED_VALUE"""),0.0)</f>
        <v>0</v>
      </c>
      <c r="AB573" s="199">
        <f>IFERROR(__xludf.DUMMYFUNCTION("""COMPUTED_VALUE"""),11.0)</f>
        <v>11</v>
      </c>
      <c r="AC573" s="199">
        <f>IFERROR(__xludf.DUMMYFUNCTION("""COMPUTED_VALUE"""),21.0)</f>
        <v>21</v>
      </c>
      <c r="AD573" s="199">
        <f>IFERROR(__xludf.DUMMYFUNCTION("""COMPUTED_VALUE"""),0.0)</f>
        <v>0</v>
      </c>
      <c r="AE573" s="199">
        <f>IFERROR(__xludf.DUMMYFUNCTION("""COMPUTED_VALUE"""),32.0)</f>
        <v>32</v>
      </c>
      <c r="AF573" s="199">
        <f>IFERROR(__xludf.DUMMYFUNCTION("""COMPUTED_VALUE"""),2.0)</f>
        <v>2</v>
      </c>
      <c r="AG573" s="199">
        <f>IFERROR(__xludf.DUMMYFUNCTION("""COMPUTED_VALUE"""),349.0)</f>
        <v>349</v>
      </c>
      <c r="AH573" s="199">
        <f>IFERROR(__xludf.DUMMYFUNCTION("""COMPUTED_VALUE"""),15.0)</f>
        <v>15</v>
      </c>
      <c r="AI573" s="200" t="str">
        <f>IFERROR(__xludf.DUMMYFUNCTION("""COMPUTED_VALUE"""),"Normal - No Action Required")</f>
        <v>Normal - No Action Required</v>
      </c>
      <c r="AJ573" s="200" t="str">
        <f>IFERROR(__xludf.DUMMYFUNCTION("""COMPUTED_VALUE"""),"Continue routine monitoring and sampling schedule")</f>
        <v>Continue routine monitoring and sampling schedule</v>
      </c>
      <c r="AK573" s="204"/>
      <c r="AL573" s="204"/>
      <c r="AM573" s="204"/>
    </row>
    <row r="574" hidden="1">
      <c r="A574" s="199" t="str">
        <f>IFERROR(__xludf.DUMMYFUNCTION("""COMPUTED_VALUE"""),"131.ST200 (HY)")</f>
        <v>131.ST200 (HY)</v>
      </c>
      <c r="B574" s="200" t="str">
        <f>IFERROR(__xludf.DUMMYFUNCTION("""COMPUTED_VALUE"""),"Jib arm Hydraulic Pump Station")</f>
        <v>Jib arm Hydraulic Pump Station</v>
      </c>
      <c r="C574" s="199">
        <f>IFERROR(__xludf.DUMMYFUNCTION("""COMPUTED_VALUE"""),2.6004401254E10)</f>
        <v>26004401254</v>
      </c>
      <c r="D574" s="201">
        <f>IFERROR(__xludf.DUMMYFUNCTION("""COMPUTED_VALUE"""),46007.0)</f>
        <v>46007</v>
      </c>
      <c r="E574" s="202" t="str">
        <f>IFERROR(__xludf.DUMMYFUNCTION("""COMPUTED_VALUE"""),"Caution")</f>
        <v>Caution</v>
      </c>
      <c r="F574" s="202" t="str">
        <f>IFERROR(__xludf.DUMMYFUNCTION("""COMPUTED_VALUE"""),"Caution")</f>
        <v>Caution</v>
      </c>
      <c r="G574" s="203" t="str">
        <f>IFERROR(__xludf.DUMMYFUNCTION("""COMPUTED_VALUE"""),"Normal")</f>
        <v>Normal</v>
      </c>
      <c r="H574" s="203" t="str">
        <f>IFERROR(__xludf.DUMMYFUNCTION("""COMPUTED_VALUE"""),"Caution")</f>
        <v>Caution</v>
      </c>
      <c r="I574" s="199"/>
      <c r="J574" s="199"/>
      <c r="K574" s="199"/>
      <c r="L574" s="199">
        <f>IFERROR(__xludf.DUMMYFUNCTION("""COMPUTED_VALUE"""),7.0)</f>
        <v>7</v>
      </c>
      <c r="M574" s="199">
        <f>IFERROR(__xludf.DUMMYFUNCTION("""COMPUTED_VALUE"""),54.1)</f>
        <v>54.1</v>
      </c>
      <c r="N574" s="199"/>
      <c r="O574" s="199">
        <f>IFERROR(__xludf.DUMMYFUNCTION("""COMPUTED_VALUE"""),0.0)</f>
        <v>0</v>
      </c>
      <c r="P574" s="199">
        <f>IFERROR(__xludf.DUMMYFUNCTION("""COMPUTED_VALUE"""),0.003)</f>
        <v>0.003</v>
      </c>
      <c r="Q574" s="199">
        <f>IFERROR(__xludf.DUMMYFUNCTION("""COMPUTED_VALUE"""),0.0)</f>
        <v>0</v>
      </c>
      <c r="R574" s="199">
        <f>IFERROR(__xludf.DUMMYFUNCTION("""COMPUTED_VALUE"""),0.0)</f>
        <v>0</v>
      </c>
      <c r="S574" s="199">
        <f>IFERROR(__xludf.DUMMYFUNCTION("""COMPUTED_VALUE"""),0.0)</f>
        <v>0</v>
      </c>
      <c r="T574" s="199">
        <f>IFERROR(__xludf.DUMMYFUNCTION("""COMPUTED_VALUE"""),0.0)</f>
        <v>0</v>
      </c>
      <c r="U574" s="199">
        <f>IFERROR(__xludf.DUMMYFUNCTION("""COMPUTED_VALUE"""),0.0)</f>
        <v>0</v>
      </c>
      <c r="V574" s="199">
        <f>IFERROR(__xludf.DUMMYFUNCTION("""COMPUTED_VALUE"""),0.0)</f>
        <v>0</v>
      </c>
      <c r="W574" s="199">
        <f>IFERROR(__xludf.DUMMYFUNCTION("""COMPUTED_VALUE"""),0.0)</f>
        <v>0</v>
      </c>
      <c r="X574" s="199">
        <f>IFERROR(__xludf.DUMMYFUNCTION("""COMPUTED_VALUE"""),0.0)</f>
        <v>0</v>
      </c>
      <c r="Y574" s="199">
        <f>IFERROR(__xludf.DUMMYFUNCTION("""COMPUTED_VALUE"""),0.0)</f>
        <v>0</v>
      </c>
      <c r="Z574" s="199">
        <f>IFERROR(__xludf.DUMMYFUNCTION("""COMPUTED_VALUE"""),0.0)</f>
        <v>0</v>
      </c>
      <c r="AA574" s="199">
        <f>IFERROR(__xludf.DUMMYFUNCTION("""COMPUTED_VALUE"""),0.0)</f>
        <v>0</v>
      </c>
      <c r="AB574" s="199">
        <f>IFERROR(__xludf.DUMMYFUNCTION("""COMPUTED_VALUE"""),0.0)</f>
        <v>0</v>
      </c>
      <c r="AC574" s="199">
        <f>IFERROR(__xludf.DUMMYFUNCTION("""COMPUTED_VALUE"""),16.0)</f>
        <v>16</v>
      </c>
      <c r="AD574" s="199">
        <f>IFERROR(__xludf.DUMMYFUNCTION("""COMPUTED_VALUE"""),0.0)</f>
        <v>0</v>
      </c>
      <c r="AE574" s="199">
        <f>IFERROR(__xludf.DUMMYFUNCTION("""COMPUTED_VALUE"""),45.0)</f>
        <v>45</v>
      </c>
      <c r="AF574" s="199">
        <f>IFERROR(__xludf.DUMMYFUNCTION("""COMPUTED_VALUE"""),0.0)</f>
        <v>0</v>
      </c>
      <c r="AG574" s="199">
        <f>IFERROR(__xludf.DUMMYFUNCTION("""COMPUTED_VALUE"""),385.0)</f>
        <v>385</v>
      </c>
      <c r="AH574" s="199">
        <f>IFERROR(__xludf.DUMMYFUNCTION("""COMPUTED_VALUE"""),540.0)</f>
        <v>540</v>
      </c>
      <c r="AI574" s="200" t="str">
        <f>IFERROR(__xludf.DUMMYFUNCTION("""COMPUTED_VALUE"""),"Lubricant Condition Caution")</f>
        <v>Lubricant Condition Caution</v>
      </c>
      <c r="AJ574" s="200" t="str">
        <f>IFERROR(__xludf.DUMMYFUNCTION("""COMPUTED_VALUE"""),"Lubricant showing degradation - plan oil change within 3 months")</f>
        <v>Lubricant showing degradation - plan oil change within 3 months</v>
      </c>
      <c r="AK574" s="204"/>
      <c r="AL574" s="204"/>
      <c r="AM574" s="204"/>
    </row>
    <row r="575" hidden="1">
      <c r="A575" s="199" t="str">
        <f>IFERROR(__xludf.DUMMYFUNCTION("""COMPUTED_VALUE"""),"421.FV770")</f>
        <v>421.FV770</v>
      </c>
      <c r="B575" s="200" t="str">
        <f>IFERROR(__xludf.DUMMYFUNCTION("""COMPUTED_VALUE"""),"AF sluice FLS Hyd. unit")</f>
        <v>AF sluice FLS Hyd. unit</v>
      </c>
      <c r="C575" s="199">
        <f>IFERROR(__xludf.DUMMYFUNCTION("""COMPUTED_VALUE"""),2.6005501202E10)</f>
        <v>26005501202</v>
      </c>
      <c r="D575" s="201">
        <f>IFERROR(__xludf.DUMMYFUNCTION("""COMPUTED_VALUE"""),46007.0)</f>
        <v>46007</v>
      </c>
      <c r="E575" s="202" t="str">
        <f>IFERROR(__xludf.DUMMYFUNCTION("""COMPUTED_VALUE"""),"Normal")</f>
        <v>Normal</v>
      </c>
      <c r="F575" s="202" t="str">
        <f>IFERROR(__xludf.DUMMYFUNCTION("""COMPUTED_VALUE"""),"Normal")</f>
        <v>Normal</v>
      </c>
      <c r="G575" s="203" t="str">
        <f>IFERROR(__xludf.DUMMYFUNCTION("""COMPUTED_VALUE"""),"Normal")</f>
        <v>Normal</v>
      </c>
      <c r="H575" s="203" t="str">
        <f>IFERROR(__xludf.DUMMYFUNCTION("""COMPUTED_VALUE"""),"Normal")</f>
        <v>Normal</v>
      </c>
      <c r="I575" s="37">
        <f>IFERROR(__xludf.DUMMYFUNCTION("""COMPUTED_VALUE"""),9125.0)</f>
        <v>9125</v>
      </c>
      <c r="J575" s="37">
        <f>IFERROR(__xludf.DUMMYFUNCTION("""COMPUTED_VALUE"""),4611.0)</f>
        <v>4611</v>
      </c>
      <c r="K575" s="37">
        <f>IFERROR(__xludf.DUMMYFUNCTION("""COMPUTED_VALUE"""),1101.0)</f>
        <v>1101</v>
      </c>
      <c r="L575" s="199">
        <f>IFERROR(__xludf.DUMMYFUNCTION("""COMPUTED_VALUE"""),4.0)</f>
        <v>4</v>
      </c>
      <c r="M575" s="199">
        <f>IFERROR(__xludf.DUMMYFUNCTION("""COMPUTED_VALUE"""),47.0)</f>
        <v>47</v>
      </c>
      <c r="N575" s="37"/>
      <c r="O575" s="37">
        <f>IFERROR(__xludf.DUMMYFUNCTION("""COMPUTED_VALUE"""),0.0)</f>
        <v>0</v>
      </c>
      <c r="P575" s="199">
        <f>IFERROR(__xludf.DUMMYFUNCTION("""COMPUTED_VALUE"""),0.003)</f>
        <v>0.003</v>
      </c>
      <c r="Q575" s="199">
        <f>IFERROR(__xludf.DUMMYFUNCTION("""COMPUTED_VALUE"""),0.0)</f>
        <v>0</v>
      </c>
      <c r="R575" s="199">
        <f>IFERROR(__xludf.DUMMYFUNCTION("""COMPUTED_VALUE"""),0.0)</f>
        <v>0</v>
      </c>
      <c r="S575" s="199">
        <f>IFERROR(__xludf.DUMMYFUNCTION("""COMPUTED_VALUE"""),0.0)</f>
        <v>0</v>
      </c>
      <c r="T575" s="199">
        <f>IFERROR(__xludf.DUMMYFUNCTION("""COMPUTED_VALUE"""),0.0)</f>
        <v>0</v>
      </c>
      <c r="U575" s="199">
        <f>IFERROR(__xludf.DUMMYFUNCTION("""COMPUTED_VALUE"""),1.0)</f>
        <v>1</v>
      </c>
      <c r="V575" s="199">
        <f>IFERROR(__xludf.DUMMYFUNCTION("""COMPUTED_VALUE"""),0.0)</f>
        <v>0</v>
      </c>
      <c r="W575" s="199">
        <f>IFERROR(__xludf.DUMMYFUNCTION("""COMPUTED_VALUE"""),0.0)</f>
        <v>0</v>
      </c>
      <c r="X575" s="199">
        <f>IFERROR(__xludf.DUMMYFUNCTION("""COMPUTED_VALUE"""),0.0)</f>
        <v>0</v>
      </c>
      <c r="Y575" s="199">
        <f>IFERROR(__xludf.DUMMYFUNCTION("""COMPUTED_VALUE"""),0.0)</f>
        <v>0</v>
      </c>
      <c r="Z575" s="199">
        <f>IFERROR(__xludf.DUMMYFUNCTION("""COMPUTED_VALUE"""),0.0)</f>
        <v>0</v>
      </c>
      <c r="AA575" s="199">
        <f>IFERROR(__xludf.DUMMYFUNCTION("""COMPUTED_VALUE"""),0.0)</f>
        <v>0</v>
      </c>
      <c r="AB575" s="199">
        <f>IFERROR(__xludf.DUMMYFUNCTION("""COMPUTED_VALUE"""),0.0)</f>
        <v>0</v>
      </c>
      <c r="AC575" s="199">
        <f>IFERROR(__xludf.DUMMYFUNCTION("""COMPUTED_VALUE"""),1.0)</f>
        <v>1</v>
      </c>
      <c r="AD575" s="199">
        <f>IFERROR(__xludf.DUMMYFUNCTION("""COMPUTED_VALUE"""),0.0)</f>
        <v>0</v>
      </c>
      <c r="AE575" s="199">
        <f>IFERROR(__xludf.DUMMYFUNCTION("""COMPUTED_VALUE"""),93.0)</f>
        <v>93</v>
      </c>
      <c r="AF575" s="199">
        <f>IFERROR(__xludf.DUMMYFUNCTION("""COMPUTED_VALUE"""),2.0)</f>
        <v>2</v>
      </c>
      <c r="AG575" s="199">
        <f>IFERROR(__xludf.DUMMYFUNCTION("""COMPUTED_VALUE"""),497.0)</f>
        <v>497</v>
      </c>
      <c r="AH575" s="199">
        <f>IFERROR(__xludf.DUMMYFUNCTION("""COMPUTED_VALUE"""),657.0)</f>
        <v>657</v>
      </c>
      <c r="AI575" s="200" t="str">
        <f>IFERROR(__xludf.DUMMYFUNCTION("""COMPUTED_VALUE"""),"Normal - No Action Required")</f>
        <v>Normal - No Action Required</v>
      </c>
      <c r="AJ575" s="200" t="str">
        <f>IFERROR(__xludf.DUMMYFUNCTION("""COMPUTED_VALUE"""),"Continue routine monitoring and sampling schedule")</f>
        <v>Continue routine monitoring and sampling schedule</v>
      </c>
      <c r="AK575" s="204"/>
      <c r="AL575" s="204"/>
      <c r="AM575" s="204"/>
    </row>
    <row r="576" hidden="1">
      <c r="A576" s="199" t="str">
        <f>IFERROR(__xludf.DUMMYFUNCTION("""COMPUTED_VALUE"""),"431.KB101(1)")</f>
        <v>431.KB101(1)</v>
      </c>
      <c r="B576" s="200" t="str">
        <f>IFERROR(__xludf.DUMMYFUNCTION("""COMPUTED_VALUE"""),"Kiln Bearing")</f>
        <v>Kiln Bearing</v>
      </c>
      <c r="C576" s="199">
        <f>IFERROR(__xludf.DUMMYFUNCTION("""COMPUTED_VALUE"""),2.6005501212E10)</f>
        <v>26005501212</v>
      </c>
      <c r="D576" s="201">
        <f>IFERROR(__xludf.DUMMYFUNCTION("""COMPUTED_VALUE"""),46007.0)</f>
        <v>46007</v>
      </c>
      <c r="E576" s="202" t="str">
        <f>IFERROR(__xludf.DUMMYFUNCTION("""COMPUTED_VALUE"""),"Alert")</f>
        <v>Alert</v>
      </c>
      <c r="F576" s="202" t="str">
        <f>IFERROR(__xludf.DUMMYFUNCTION("""COMPUTED_VALUE"""),"Alert")</f>
        <v>Alert</v>
      </c>
      <c r="G576" s="203" t="str">
        <f>IFERROR(__xludf.DUMMYFUNCTION("""COMPUTED_VALUE"""),"Alert")</f>
        <v>Alert</v>
      </c>
      <c r="H576" s="203" t="str">
        <f>IFERROR(__xludf.DUMMYFUNCTION("""COMPUTED_VALUE"""),"Alert")</f>
        <v>Alert</v>
      </c>
      <c r="I576" s="37"/>
      <c r="J576" s="37"/>
      <c r="K576" s="37"/>
      <c r="L576" s="199">
        <f>IFERROR(__xludf.DUMMYFUNCTION("""COMPUTED_VALUE"""),376.0)</f>
        <v>376</v>
      </c>
      <c r="M576" s="199">
        <f>IFERROR(__xludf.DUMMYFUNCTION("""COMPUTED_VALUE"""),55.3)</f>
        <v>55.3</v>
      </c>
      <c r="N576" s="37"/>
      <c r="O576" s="37">
        <f>IFERROR(__xludf.DUMMYFUNCTION("""COMPUTED_VALUE"""),5.0)</f>
        <v>5</v>
      </c>
      <c r="P576" s="199"/>
      <c r="Q576" s="199">
        <f>IFERROR(__xludf.DUMMYFUNCTION("""COMPUTED_VALUE"""),0.0)</f>
        <v>0</v>
      </c>
      <c r="R576" s="199">
        <f>IFERROR(__xludf.DUMMYFUNCTION("""COMPUTED_VALUE"""),9.0)</f>
        <v>9</v>
      </c>
      <c r="S576" s="199">
        <f>IFERROR(__xludf.DUMMYFUNCTION("""COMPUTED_VALUE"""),0.0)</f>
        <v>0</v>
      </c>
      <c r="T576" s="199">
        <f>IFERROR(__xludf.DUMMYFUNCTION("""COMPUTED_VALUE"""),3916.0)</f>
        <v>3916</v>
      </c>
      <c r="U576" s="199">
        <f>IFERROR(__xludf.DUMMYFUNCTION("""COMPUTED_VALUE"""),268.0)</f>
        <v>268</v>
      </c>
      <c r="V576" s="199">
        <f>IFERROR(__xludf.DUMMYFUNCTION("""COMPUTED_VALUE"""),0.0)</f>
        <v>0</v>
      </c>
      <c r="W576" s="199">
        <f>IFERROR(__xludf.DUMMYFUNCTION("""COMPUTED_VALUE"""),33.0)</f>
        <v>33</v>
      </c>
      <c r="X576" s="199">
        <f>IFERROR(__xludf.DUMMYFUNCTION("""COMPUTED_VALUE"""),65.0)</f>
        <v>65</v>
      </c>
      <c r="Y576" s="199">
        <f>IFERROR(__xludf.DUMMYFUNCTION("""COMPUTED_VALUE"""),0.0)</f>
        <v>0</v>
      </c>
      <c r="Z576" s="199">
        <f>IFERROR(__xludf.DUMMYFUNCTION("""COMPUTED_VALUE"""),5.0)</f>
        <v>5</v>
      </c>
      <c r="AA576" s="199">
        <f>IFERROR(__xludf.DUMMYFUNCTION("""COMPUTED_VALUE"""),2.0)</f>
        <v>2</v>
      </c>
      <c r="AB576" s="199">
        <f>IFERROR(__xludf.DUMMYFUNCTION("""COMPUTED_VALUE"""),964.0)</f>
        <v>964</v>
      </c>
      <c r="AC576" s="199">
        <f>IFERROR(__xludf.DUMMYFUNCTION("""COMPUTED_VALUE"""),34.0)</f>
        <v>34</v>
      </c>
      <c r="AD576" s="199">
        <f>IFERROR(__xludf.DUMMYFUNCTION("""COMPUTED_VALUE"""),0.0)</f>
        <v>0</v>
      </c>
      <c r="AE576" s="199">
        <f>IFERROR(__xludf.DUMMYFUNCTION("""COMPUTED_VALUE"""),433.0)</f>
        <v>433</v>
      </c>
      <c r="AF576" s="199">
        <f>IFERROR(__xludf.DUMMYFUNCTION("""COMPUTED_VALUE"""),2.0)</f>
        <v>2</v>
      </c>
      <c r="AG576" s="199">
        <f>IFERROR(__xludf.DUMMYFUNCTION("""COMPUTED_VALUE"""),252.0)</f>
        <v>252</v>
      </c>
      <c r="AH576" s="199">
        <f>IFERROR(__xludf.DUMMYFUNCTION("""COMPUTED_VALUE"""),8.0)</f>
        <v>8</v>
      </c>
      <c r="AI576" s="200" t="str">
        <f>IFERROR(__xludf.DUMMYFUNCTION("""COMPUTED_VALUE"""),"Wear Metal Alert | Lubricant Degradation | Contamination Alert | High Particle Count")</f>
        <v>Wear Metal Alert | Lubricant Degradation | Contamination Alert | High Particle Count</v>
      </c>
      <c r="AJ576" s="200" t="str">
        <f>IFERROR(__xludf.DUMMYFUNCTION("""COMPUTED_VALUE"""),"URGENT: Inspect equipment immediately for wear/damage; Critical wear metals detected - schedule immediate inspection; High wear metals - inspect bearing/gear surfaces; Severe oxidation - lubricant change required urgently; Very high silicon - check/replac"&amp;"e air filters, inspect seals; Critical particle count - flush system and replace filters")</f>
        <v>URGENT: Inspect equipment immediately for wear/damage; Critical wear metals detected - schedule immediate inspection; High wear metals - inspect bearing/gear surfaces; Severe oxidation - lubricant change required urgently; Very high silicon - check/replace air filters, inspect seals; Critical particle count - flush system and replace filters</v>
      </c>
      <c r="AK576" s="204"/>
      <c r="AL576" s="204"/>
      <c r="AM576" s="204"/>
    </row>
    <row r="577" hidden="1">
      <c r="A577" s="199" t="str">
        <f>IFERROR(__xludf.DUMMYFUNCTION("""COMPUTED_VALUE"""),"431.KB101(3)")</f>
        <v>431.KB101(3)</v>
      </c>
      <c r="B577" s="200" t="str">
        <f>IFERROR(__xludf.DUMMYFUNCTION("""COMPUTED_VALUE"""),"Kiln Bearing")</f>
        <v>Kiln Bearing</v>
      </c>
      <c r="C577" s="199">
        <f>IFERROR(__xludf.DUMMYFUNCTION("""COMPUTED_VALUE"""),2.6005501221E10)</f>
        <v>26005501221</v>
      </c>
      <c r="D577" s="201">
        <f>IFERROR(__xludf.DUMMYFUNCTION("""COMPUTED_VALUE"""),46007.0)</f>
        <v>46007</v>
      </c>
      <c r="E577" s="202" t="str">
        <f>IFERROR(__xludf.DUMMYFUNCTION("""COMPUTED_VALUE"""),"Alert")</f>
        <v>Alert</v>
      </c>
      <c r="F577" s="202" t="str">
        <f>IFERROR(__xludf.DUMMYFUNCTION("""COMPUTED_VALUE"""),"Alert")</f>
        <v>Alert</v>
      </c>
      <c r="G577" s="203" t="str">
        <f>IFERROR(__xludf.DUMMYFUNCTION("""COMPUTED_VALUE"""),"Alert")</f>
        <v>Alert</v>
      </c>
      <c r="H577" s="203" t="str">
        <f>IFERROR(__xludf.DUMMYFUNCTION("""COMPUTED_VALUE"""),"Normal")</f>
        <v>Normal</v>
      </c>
      <c r="I577" s="37"/>
      <c r="J577" s="37"/>
      <c r="K577" s="37"/>
      <c r="L577" s="199">
        <f>IFERROR(__xludf.DUMMYFUNCTION("""COMPUTED_VALUE"""),103.0)</f>
        <v>103</v>
      </c>
      <c r="M577" s="199">
        <f>IFERROR(__xludf.DUMMYFUNCTION("""COMPUTED_VALUE"""),45.3)</f>
        <v>45.3</v>
      </c>
      <c r="N577" s="37"/>
      <c r="O577" s="37">
        <f>IFERROR(__xludf.DUMMYFUNCTION("""COMPUTED_VALUE"""),10.0)</f>
        <v>10</v>
      </c>
      <c r="P577" s="199"/>
      <c r="Q577" s="199">
        <f>IFERROR(__xludf.DUMMYFUNCTION("""COMPUTED_VALUE"""),0.0)</f>
        <v>0</v>
      </c>
      <c r="R577" s="199">
        <f>IFERROR(__xludf.DUMMYFUNCTION("""COMPUTED_VALUE"""),0.0)</f>
        <v>0</v>
      </c>
      <c r="S577" s="199">
        <f>IFERROR(__xludf.DUMMYFUNCTION("""COMPUTED_VALUE"""),0.0)</f>
        <v>0</v>
      </c>
      <c r="T577" s="199">
        <f>IFERROR(__xludf.DUMMYFUNCTION("""COMPUTED_VALUE"""),161.0)</f>
        <v>161</v>
      </c>
      <c r="U577" s="199">
        <f>IFERROR(__xludf.DUMMYFUNCTION("""COMPUTED_VALUE"""),99.0)</f>
        <v>99</v>
      </c>
      <c r="V577" s="199">
        <f>IFERROR(__xludf.DUMMYFUNCTION("""COMPUTED_VALUE"""),0.0)</f>
        <v>0</v>
      </c>
      <c r="W577" s="199">
        <f>IFERROR(__xludf.DUMMYFUNCTION("""COMPUTED_VALUE"""),0.0)</f>
        <v>0</v>
      </c>
      <c r="X577" s="199">
        <f>IFERROR(__xludf.DUMMYFUNCTION("""COMPUTED_VALUE"""),4.0)</f>
        <v>4</v>
      </c>
      <c r="Y577" s="199">
        <f>IFERROR(__xludf.DUMMYFUNCTION("""COMPUTED_VALUE"""),0.0)</f>
        <v>0</v>
      </c>
      <c r="Z577" s="199">
        <f>IFERROR(__xludf.DUMMYFUNCTION("""COMPUTED_VALUE"""),2.0)</f>
        <v>2</v>
      </c>
      <c r="AA577" s="199">
        <f>IFERROR(__xludf.DUMMYFUNCTION("""COMPUTED_VALUE"""),29.0)</f>
        <v>29</v>
      </c>
      <c r="AB577" s="199">
        <f>IFERROR(__xludf.DUMMYFUNCTION("""COMPUTED_VALUE"""),44.0)</f>
        <v>44</v>
      </c>
      <c r="AC577" s="199">
        <f>IFERROR(__xludf.DUMMYFUNCTION("""COMPUTED_VALUE"""),67.0)</f>
        <v>67</v>
      </c>
      <c r="AD577" s="199">
        <f>IFERROR(__xludf.DUMMYFUNCTION("""COMPUTED_VALUE"""),0.0)</f>
        <v>0</v>
      </c>
      <c r="AE577" s="199">
        <f>IFERROR(__xludf.DUMMYFUNCTION("""COMPUTED_VALUE"""),98.0)</f>
        <v>98</v>
      </c>
      <c r="AF577" s="199">
        <f>IFERROR(__xludf.DUMMYFUNCTION("""COMPUTED_VALUE"""),12.0)</f>
        <v>12</v>
      </c>
      <c r="AG577" s="199">
        <f>IFERROR(__xludf.DUMMYFUNCTION("""COMPUTED_VALUE"""),434.0)</f>
        <v>434</v>
      </c>
      <c r="AH577" s="199">
        <f>IFERROR(__xludf.DUMMYFUNCTION("""COMPUTED_VALUE"""),21.0)</f>
        <v>21</v>
      </c>
      <c r="AI577" s="200" t="str">
        <f>IFERROR(__xludf.DUMMYFUNCTION("""COMPUTED_VALUE"""),"Wear Metal Alert | High Particle Count")</f>
        <v>Wear Metal Alert | High Particle Count</v>
      </c>
      <c r="AJ577" s="200" t="str">
        <f>IFERROR(__xludf.DUMMYFUNCTION("""COMPUTED_VALUE"""),"URGENT: Inspect equipment immediately for wear/damage; High wear metals - inspect bearing/gear surfaces; Severe oxidation - lubricant change required urgently; Elevated silicon - inspect filters and seals for contamination; High particle count - replace f"&amp;"ilters and resample")</f>
        <v>URGENT: Inspect equipment immediately for wear/damage; High wear metals - inspect bearing/gear surfaces; Severe oxidation - lubricant change required urgently; Elevated silicon - inspect filters and seals for contamination; High particle count - replace filters and resample</v>
      </c>
      <c r="AK577" s="204"/>
      <c r="AL577" s="204"/>
      <c r="AM577" s="204"/>
    </row>
    <row r="578" hidden="1">
      <c r="A578" s="199" t="str">
        <f>IFERROR(__xludf.DUMMYFUNCTION("""COMPUTED_VALUE"""),"431.KB101(4)")</f>
        <v>431.KB101(4)</v>
      </c>
      <c r="B578" s="200" t="str">
        <f>IFERROR(__xludf.DUMMYFUNCTION("""COMPUTED_VALUE"""),"Kiln Bearing")</f>
        <v>Kiln Bearing</v>
      </c>
      <c r="C578" s="199">
        <f>IFERROR(__xludf.DUMMYFUNCTION("""COMPUTED_VALUE"""),2.6005501222E10)</f>
        <v>26005501222</v>
      </c>
      <c r="D578" s="201">
        <f>IFERROR(__xludf.DUMMYFUNCTION("""COMPUTED_VALUE"""),46007.0)</f>
        <v>46007</v>
      </c>
      <c r="E578" s="202" t="str">
        <f>IFERROR(__xludf.DUMMYFUNCTION("""COMPUTED_VALUE"""),"Alert")</f>
        <v>Alert</v>
      </c>
      <c r="F578" s="202" t="str">
        <f>IFERROR(__xludf.DUMMYFUNCTION("""COMPUTED_VALUE"""),"Caution")</f>
        <v>Caution</v>
      </c>
      <c r="G578" s="203" t="str">
        <f>IFERROR(__xludf.DUMMYFUNCTION("""COMPUTED_VALUE"""),"Alert")</f>
        <v>Alert</v>
      </c>
      <c r="H578" s="203" t="str">
        <f>IFERROR(__xludf.DUMMYFUNCTION("""COMPUTED_VALUE"""),"Alert")</f>
        <v>Alert</v>
      </c>
      <c r="I578" s="37"/>
      <c r="J578" s="37"/>
      <c r="K578" s="37"/>
      <c r="L578" s="199">
        <f>IFERROR(__xludf.DUMMYFUNCTION("""COMPUTED_VALUE"""),60.0)</f>
        <v>60</v>
      </c>
      <c r="M578" s="199">
        <f>IFERROR(__xludf.DUMMYFUNCTION("""COMPUTED_VALUE"""),56.5)</f>
        <v>56.5</v>
      </c>
      <c r="N578" s="37"/>
      <c r="O578" s="37">
        <f>IFERROR(__xludf.DUMMYFUNCTION("""COMPUTED_VALUE"""),9.0)</f>
        <v>9</v>
      </c>
      <c r="P578" s="199"/>
      <c r="Q578" s="199">
        <f>IFERROR(__xludf.DUMMYFUNCTION("""COMPUTED_VALUE"""),0.0)</f>
        <v>0</v>
      </c>
      <c r="R578" s="199">
        <f>IFERROR(__xludf.DUMMYFUNCTION("""COMPUTED_VALUE"""),0.0)</f>
        <v>0</v>
      </c>
      <c r="S578" s="199">
        <f>IFERROR(__xludf.DUMMYFUNCTION("""COMPUTED_VALUE"""),1.0)</f>
        <v>1</v>
      </c>
      <c r="T578" s="199">
        <f>IFERROR(__xludf.DUMMYFUNCTION("""COMPUTED_VALUE"""),346.0)</f>
        <v>346</v>
      </c>
      <c r="U578" s="199">
        <f>IFERROR(__xludf.DUMMYFUNCTION("""COMPUTED_VALUE"""),24.0)</f>
        <v>24</v>
      </c>
      <c r="V578" s="199">
        <f>IFERROR(__xludf.DUMMYFUNCTION("""COMPUTED_VALUE"""),0.0)</f>
        <v>0</v>
      </c>
      <c r="W578" s="199">
        <f>IFERROR(__xludf.DUMMYFUNCTION("""COMPUTED_VALUE"""),0.0)</f>
        <v>0</v>
      </c>
      <c r="X578" s="199">
        <f>IFERROR(__xludf.DUMMYFUNCTION("""COMPUTED_VALUE"""),10.0)</f>
        <v>10</v>
      </c>
      <c r="Y578" s="199">
        <f>IFERROR(__xludf.DUMMYFUNCTION("""COMPUTED_VALUE"""),0.0)</f>
        <v>0</v>
      </c>
      <c r="Z578" s="199">
        <f>IFERROR(__xludf.DUMMYFUNCTION("""COMPUTED_VALUE"""),2.0)</f>
        <v>2</v>
      </c>
      <c r="AA578" s="199">
        <f>IFERROR(__xludf.DUMMYFUNCTION("""COMPUTED_VALUE"""),0.0)</f>
        <v>0</v>
      </c>
      <c r="AB578" s="199">
        <f>IFERROR(__xludf.DUMMYFUNCTION("""COMPUTED_VALUE"""),0.0)</f>
        <v>0</v>
      </c>
      <c r="AC578" s="199">
        <f>IFERROR(__xludf.DUMMYFUNCTION("""COMPUTED_VALUE"""),15.0)</f>
        <v>15</v>
      </c>
      <c r="AD578" s="199">
        <f>IFERROR(__xludf.DUMMYFUNCTION("""COMPUTED_VALUE"""),0.0)</f>
        <v>0</v>
      </c>
      <c r="AE578" s="199">
        <f>IFERROR(__xludf.DUMMYFUNCTION("""COMPUTED_VALUE"""),29.0)</f>
        <v>29</v>
      </c>
      <c r="AF578" s="199">
        <f>IFERROR(__xludf.DUMMYFUNCTION("""COMPUTED_VALUE"""),5.0)</f>
        <v>5</v>
      </c>
      <c r="AG578" s="199">
        <f>IFERROR(__xludf.DUMMYFUNCTION("""COMPUTED_VALUE"""),260.0)</f>
        <v>260</v>
      </c>
      <c r="AH578" s="199">
        <f>IFERROR(__xludf.DUMMYFUNCTION("""COMPUTED_VALUE"""),10.0)</f>
        <v>10</v>
      </c>
      <c r="AI578" s="200" t="str">
        <f>IFERROR(__xludf.DUMMYFUNCTION("""COMPUTED_VALUE"""),"Wear Metal Alert | Lubricant Degradation")</f>
        <v>Wear Metal Alert | Lubricant Degradation</v>
      </c>
      <c r="AJ578" s="200" t="str">
        <f>IFERROR(__xludf.DUMMYFUNCTION("""COMPUTED_VALUE"""),"URGENT: Inspect equipment immediately for wear/damage; Critical wear metals detected - schedule immediate inspection; High wear metals - inspect bearing/gear surfaces; Severe oxidation - lubricant change required urgently")</f>
        <v>URGENT: Inspect equipment immediately for wear/damage; Critical wear metals detected - schedule immediate inspection; High wear metals - inspect bearing/gear surfaces; Severe oxidation - lubricant change required urgently</v>
      </c>
      <c r="AK578" s="204"/>
      <c r="AL578" s="204"/>
      <c r="AM578" s="204"/>
    </row>
    <row r="579" hidden="1">
      <c r="A579" s="199" t="str">
        <f>IFERROR(__xludf.DUMMYFUNCTION("""COMPUTED_VALUE"""),"431.KB102(1)")</f>
        <v>431.KB102(1)</v>
      </c>
      <c r="B579" s="200" t="str">
        <f>IFERROR(__xludf.DUMMYFUNCTION("""COMPUTED_VALUE"""),"Kiln Bearing")</f>
        <v>Kiln Bearing</v>
      </c>
      <c r="C579" s="199">
        <f>IFERROR(__xludf.DUMMYFUNCTION("""COMPUTED_VALUE"""),2.6005501219E10)</f>
        <v>26005501219</v>
      </c>
      <c r="D579" s="201">
        <f>IFERROR(__xludf.DUMMYFUNCTION("""COMPUTED_VALUE"""),46007.0)</f>
        <v>46007</v>
      </c>
      <c r="E579" s="202" t="str">
        <f>IFERROR(__xludf.DUMMYFUNCTION("""COMPUTED_VALUE"""),"Alert")</f>
        <v>Alert</v>
      </c>
      <c r="F579" s="202" t="str">
        <f>IFERROR(__xludf.DUMMYFUNCTION("""COMPUTED_VALUE"""),"Caution")</f>
        <v>Caution</v>
      </c>
      <c r="G579" s="203" t="str">
        <f>IFERROR(__xludf.DUMMYFUNCTION("""COMPUTED_VALUE"""),"Alert")</f>
        <v>Alert</v>
      </c>
      <c r="H579" s="203" t="str">
        <f>IFERROR(__xludf.DUMMYFUNCTION("""COMPUTED_VALUE"""),"Alert")</f>
        <v>Alert</v>
      </c>
      <c r="I579" s="37"/>
      <c r="J579" s="37"/>
      <c r="K579" s="37"/>
      <c r="L579" s="199">
        <f>IFERROR(__xludf.DUMMYFUNCTION("""COMPUTED_VALUE"""),36.0)</f>
        <v>36</v>
      </c>
      <c r="M579" s="199">
        <f>IFERROR(__xludf.DUMMYFUNCTION("""COMPUTED_VALUE"""),53.0)</f>
        <v>53</v>
      </c>
      <c r="N579" s="37"/>
      <c r="O579" s="37">
        <f>IFERROR(__xludf.DUMMYFUNCTION("""COMPUTED_VALUE"""),9.0)</f>
        <v>9</v>
      </c>
      <c r="P579" s="199"/>
      <c r="Q579" s="199">
        <f>IFERROR(__xludf.DUMMYFUNCTION("""COMPUTED_VALUE"""),0.0)</f>
        <v>0</v>
      </c>
      <c r="R579" s="199">
        <f>IFERROR(__xludf.DUMMYFUNCTION("""COMPUTED_VALUE"""),0.0)</f>
        <v>0</v>
      </c>
      <c r="S579" s="199">
        <f>IFERROR(__xludf.DUMMYFUNCTION("""COMPUTED_VALUE"""),0.0)</f>
        <v>0</v>
      </c>
      <c r="T579" s="199">
        <f>IFERROR(__xludf.DUMMYFUNCTION("""COMPUTED_VALUE"""),386.0)</f>
        <v>386</v>
      </c>
      <c r="U579" s="199">
        <f>IFERROR(__xludf.DUMMYFUNCTION("""COMPUTED_VALUE"""),26.0)</f>
        <v>26</v>
      </c>
      <c r="V579" s="199">
        <f>IFERROR(__xludf.DUMMYFUNCTION("""COMPUTED_VALUE"""),0.0)</f>
        <v>0</v>
      </c>
      <c r="W579" s="199">
        <f>IFERROR(__xludf.DUMMYFUNCTION("""COMPUTED_VALUE"""),0.0)</f>
        <v>0</v>
      </c>
      <c r="X579" s="199">
        <f>IFERROR(__xludf.DUMMYFUNCTION("""COMPUTED_VALUE"""),11.0)</f>
        <v>11</v>
      </c>
      <c r="Y579" s="199">
        <f>IFERROR(__xludf.DUMMYFUNCTION("""COMPUTED_VALUE"""),9.0)</f>
        <v>9</v>
      </c>
      <c r="Z579" s="199">
        <f>IFERROR(__xludf.DUMMYFUNCTION("""COMPUTED_VALUE"""),0.0)</f>
        <v>0</v>
      </c>
      <c r="AA579" s="199">
        <f>IFERROR(__xludf.DUMMYFUNCTION("""COMPUTED_VALUE"""),0.0)</f>
        <v>0</v>
      </c>
      <c r="AB579" s="199">
        <f>IFERROR(__xludf.DUMMYFUNCTION("""COMPUTED_VALUE"""),0.0)</f>
        <v>0</v>
      </c>
      <c r="AC579" s="199">
        <f>IFERROR(__xludf.DUMMYFUNCTION("""COMPUTED_VALUE"""),16.0)</f>
        <v>16</v>
      </c>
      <c r="AD579" s="199">
        <f>IFERROR(__xludf.DUMMYFUNCTION("""COMPUTED_VALUE"""),0.0)</f>
        <v>0</v>
      </c>
      <c r="AE579" s="199">
        <f>IFERROR(__xludf.DUMMYFUNCTION("""COMPUTED_VALUE"""),37.0)</f>
        <v>37</v>
      </c>
      <c r="AF579" s="199">
        <f>IFERROR(__xludf.DUMMYFUNCTION("""COMPUTED_VALUE"""),5.0)</f>
        <v>5</v>
      </c>
      <c r="AG579" s="199">
        <f>IFERROR(__xludf.DUMMYFUNCTION("""COMPUTED_VALUE"""),273.0)</f>
        <v>273</v>
      </c>
      <c r="AH579" s="199">
        <f>IFERROR(__xludf.DUMMYFUNCTION("""COMPUTED_VALUE"""),24.0)</f>
        <v>24</v>
      </c>
      <c r="AI579" s="200" t="str">
        <f>IFERROR(__xludf.DUMMYFUNCTION("""COMPUTED_VALUE"""),"Wear Metal Alert | Lubricant Degradation")</f>
        <v>Wear Metal Alert | Lubricant Degradation</v>
      </c>
      <c r="AJ579" s="200" t="str">
        <f>IFERROR(__xludf.DUMMYFUNCTION("""COMPUTED_VALUE"""),"URGENT: Inspect equipment immediately for wear/damage; Critical wear metals detected - schedule immediate inspection; High wear metals - inspect bearing/gear surfaces; Severe oxidation - lubricant change required urgently")</f>
        <v>URGENT: Inspect equipment immediately for wear/damage; Critical wear metals detected - schedule immediate inspection; High wear metals - inspect bearing/gear surfaces; Severe oxidation - lubricant change required urgently</v>
      </c>
      <c r="AK579" s="204"/>
      <c r="AL579" s="204"/>
      <c r="AM579" s="204"/>
    </row>
    <row r="580" hidden="1">
      <c r="A580" s="199" t="str">
        <f>IFERROR(__xludf.DUMMYFUNCTION("""COMPUTED_VALUE"""),"431.KB102(2)")</f>
        <v>431.KB102(2)</v>
      </c>
      <c r="B580" s="200" t="str">
        <f>IFERROR(__xludf.DUMMYFUNCTION("""COMPUTED_VALUE"""),"Kiln Bearing")</f>
        <v>Kiln Bearing</v>
      </c>
      <c r="C580" s="199">
        <f>IFERROR(__xludf.DUMMYFUNCTION("""COMPUTED_VALUE"""),2.600550122E10)</f>
        <v>26005501220</v>
      </c>
      <c r="D580" s="201">
        <f>IFERROR(__xludf.DUMMYFUNCTION("""COMPUTED_VALUE"""),46007.0)</f>
        <v>46007</v>
      </c>
      <c r="E580" s="202" t="str">
        <f>IFERROR(__xludf.DUMMYFUNCTION("""COMPUTED_VALUE"""),"Alert")</f>
        <v>Alert</v>
      </c>
      <c r="F580" s="202" t="str">
        <f>IFERROR(__xludf.DUMMYFUNCTION("""COMPUTED_VALUE"""),"Caution")</f>
        <v>Caution</v>
      </c>
      <c r="G580" s="203" t="str">
        <f>IFERROR(__xludf.DUMMYFUNCTION("""COMPUTED_VALUE"""),"Alert")</f>
        <v>Alert</v>
      </c>
      <c r="H580" s="203" t="str">
        <f>IFERROR(__xludf.DUMMYFUNCTION("""COMPUTED_VALUE"""),"Caution")</f>
        <v>Caution</v>
      </c>
      <c r="I580" s="199"/>
      <c r="J580" s="199"/>
      <c r="K580" s="199"/>
      <c r="L580" s="199">
        <f>IFERROR(__xludf.DUMMYFUNCTION("""COMPUTED_VALUE"""),67.0)</f>
        <v>67</v>
      </c>
      <c r="M580" s="199">
        <f>IFERROR(__xludf.DUMMYFUNCTION("""COMPUTED_VALUE"""),49.2)</f>
        <v>49.2</v>
      </c>
      <c r="N580" s="199"/>
      <c r="O580" s="199">
        <f>IFERROR(__xludf.DUMMYFUNCTION("""COMPUTED_VALUE"""),18.0)</f>
        <v>18</v>
      </c>
      <c r="P580" s="199"/>
      <c r="Q580" s="199">
        <f>IFERROR(__xludf.DUMMYFUNCTION("""COMPUTED_VALUE"""),0.0)</f>
        <v>0</v>
      </c>
      <c r="R580" s="199">
        <f>IFERROR(__xludf.DUMMYFUNCTION("""COMPUTED_VALUE"""),0.0)</f>
        <v>0</v>
      </c>
      <c r="S580" s="199">
        <f>IFERROR(__xludf.DUMMYFUNCTION("""COMPUTED_VALUE"""),0.0)</f>
        <v>0</v>
      </c>
      <c r="T580" s="199">
        <f>IFERROR(__xludf.DUMMYFUNCTION("""COMPUTED_VALUE"""),318.0)</f>
        <v>318</v>
      </c>
      <c r="U580" s="199">
        <f>IFERROR(__xludf.DUMMYFUNCTION("""COMPUTED_VALUE"""),121.0)</f>
        <v>121</v>
      </c>
      <c r="V580" s="199">
        <f>IFERROR(__xludf.DUMMYFUNCTION("""COMPUTED_VALUE"""),0.0)</f>
        <v>0</v>
      </c>
      <c r="W580" s="199">
        <f>IFERROR(__xludf.DUMMYFUNCTION("""COMPUTED_VALUE"""),0.0)</f>
        <v>0</v>
      </c>
      <c r="X580" s="199">
        <f>IFERROR(__xludf.DUMMYFUNCTION("""COMPUTED_VALUE"""),8.0)</f>
        <v>8</v>
      </c>
      <c r="Y580" s="199">
        <f>IFERROR(__xludf.DUMMYFUNCTION("""COMPUTED_VALUE"""),8.0)</f>
        <v>8</v>
      </c>
      <c r="Z580" s="199">
        <f>IFERROR(__xludf.DUMMYFUNCTION("""COMPUTED_VALUE"""),2.0)</f>
        <v>2</v>
      </c>
      <c r="AA580" s="199">
        <f>IFERROR(__xludf.DUMMYFUNCTION("""COMPUTED_VALUE"""),0.0)</f>
        <v>0</v>
      </c>
      <c r="AB580" s="199">
        <f>IFERROR(__xludf.DUMMYFUNCTION("""COMPUTED_VALUE"""),0.0)</f>
        <v>0</v>
      </c>
      <c r="AC580" s="199">
        <f>IFERROR(__xludf.DUMMYFUNCTION("""COMPUTED_VALUE"""),26.0)</f>
        <v>26</v>
      </c>
      <c r="AD580" s="199">
        <f>IFERROR(__xludf.DUMMYFUNCTION("""COMPUTED_VALUE"""),0.0)</f>
        <v>0</v>
      </c>
      <c r="AE580" s="199">
        <f>IFERROR(__xludf.DUMMYFUNCTION("""COMPUTED_VALUE"""),102.0)</f>
        <v>102</v>
      </c>
      <c r="AF580" s="199">
        <f>IFERROR(__xludf.DUMMYFUNCTION("""COMPUTED_VALUE"""),16.0)</f>
        <v>16</v>
      </c>
      <c r="AG580" s="199">
        <f>IFERROR(__xludf.DUMMYFUNCTION("""COMPUTED_VALUE"""),353.0)</f>
        <v>353</v>
      </c>
      <c r="AH580" s="199">
        <f>IFERROR(__xludf.DUMMYFUNCTION("""COMPUTED_VALUE"""),48.0)</f>
        <v>48</v>
      </c>
      <c r="AI580" s="200" t="str">
        <f>IFERROR(__xludf.DUMMYFUNCTION("""COMPUTED_VALUE"""),"Wear Metal Alert")</f>
        <v>Wear Metal Alert</v>
      </c>
      <c r="AJ580" s="200" t="str">
        <f>IFERROR(__xludf.DUMMYFUNCTION("""COMPUTED_VALUE"""),"URGENT: Inspect equipment immediately for wear/damage; Critical wear metals detected - schedule immediate inspection; High wear metals - inspect bearing/gear surfaces; Severe oxidation - lubricant change required urgently")</f>
        <v>URGENT: Inspect equipment immediately for wear/damage; Critical wear metals detected - schedule immediate inspection; High wear metals - inspect bearing/gear surfaces; Severe oxidation - lubricant change required urgently</v>
      </c>
      <c r="AK580" s="204"/>
      <c r="AL580" s="204"/>
      <c r="AM580" s="204"/>
    </row>
    <row r="581" hidden="1">
      <c r="A581" s="199" t="str">
        <f>IFERROR(__xludf.DUMMYFUNCTION("""COMPUTED_VALUE"""),"431.KB102(3)")</f>
        <v>431.KB102(3)</v>
      </c>
      <c r="B581" s="200" t="str">
        <f>IFERROR(__xludf.DUMMYFUNCTION("""COMPUTED_VALUE"""),"Kiln Bearing")</f>
        <v>Kiln Bearing</v>
      </c>
      <c r="C581" s="199">
        <f>IFERROR(__xludf.DUMMYFUNCTION("""COMPUTED_VALUE"""),2.6005501215E10)</f>
        <v>26005501215</v>
      </c>
      <c r="D581" s="201">
        <f>IFERROR(__xludf.DUMMYFUNCTION("""COMPUTED_VALUE"""),46007.0)</f>
        <v>46007</v>
      </c>
      <c r="E581" s="202" t="str">
        <f>IFERROR(__xludf.DUMMYFUNCTION("""COMPUTED_VALUE"""),"Alert")</f>
        <v>Alert</v>
      </c>
      <c r="F581" s="202" t="str">
        <f>IFERROR(__xludf.DUMMYFUNCTION("""COMPUTED_VALUE"""),"Alert")</f>
        <v>Alert</v>
      </c>
      <c r="G581" s="203" t="str">
        <f>IFERROR(__xludf.DUMMYFUNCTION("""COMPUTED_VALUE"""),"Alert")</f>
        <v>Alert</v>
      </c>
      <c r="H581" s="203" t="str">
        <f>IFERROR(__xludf.DUMMYFUNCTION("""COMPUTED_VALUE"""),"Alert")</f>
        <v>Alert</v>
      </c>
      <c r="I581" s="199"/>
      <c r="J581" s="199"/>
      <c r="K581" s="199"/>
      <c r="L581" s="199">
        <f>IFERROR(__xludf.DUMMYFUNCTION("""COMPUTED_VALUE"""),101.0)</f>
        <v>101</v>
      </c>
      <c r="M581" s="199">
        <f>IFERROR(__xludf.DUMMYFUNCTION("""COMPUTED_VALUE"""),49.5)</f>
        <v>49.5</v>
      </c>
      <c r="N581" s="199"/>
      <c r="O581" s="199">
        <f>IFERROR(__xludf.DUMMYFUNCTION("""COMPUTED_VALUE"""),21.0)</f>
        <v>21</v>
      </c>
      <c r="P581" s="199"/>
      <c r="Q581" s="199">
        <f>IFERROR(__xludf.DUMMYFUNCTION("""COMPUTED_VALUE"""),0.0)</f>
        <v>0</v>
      </c>
      <c r="R581" s="199">
        <f>IFERROR(__xludf.DUMMYFUNCTION("""COMPUTED_VALUE"""),11.0)</f>
        <v>11</v>
      </c>
      <c r="S581" s="199">
        <f>IFERROR(__xludf.DUMMYFUNCTION("""COMPUTED_VALUE"""),0.0)</f>
        <v>0</v>
      </c>
      <c r="T581" s="199">
        <f>IFERROR(__xludf.DUMMYFUNCTION("""COMPUTED_VALUE"""),424.0)</f>
        <v>424</v>
      </c>
      <c r="U581" s="199">
        <f>IFERROR(__xludf.DUMMYFUNCTION("""COMPUTED_VALUE"""),205.0)</f>
        <v>205</v>
      </c>
      <c r="V581" s="199">
        <f>IFERROR(__xludf.DUMMYFUNCTION("""COMPUTED_VALUE"""),2.0)</f>
        <v>2</v>
      </c>
      <c r="W581" s="199">
        <f>IFERROR(__xludf.DUMMYFUNCTION("""COMPUTED_VALUE"""),0.0)</f>
        <v>0</v>
      </c>
      <c r="X581" s="199">
        <f>IFERROR(__xludf.DUMMYFUNCTION("""COMPUTED_VALUE"""),20.0)</f>
        <v>20</v>
      </c>
      <c r="Y581" s="199">
        <f>IFERROR(__xludf.DUMMYFUNCTION("""COMPUTED_VALUE"""),0.0)</f>
        <v>0</v>
      </c>
      <c r="Z581" s="199">
        <f>IFERROR(__xludf.DUMMYFUNCTION("""COMPUTED_VALUE"""),2.0)</f>
        <v>2</v>
      </c>
      <c r="AA581" s="199">
        <f>IFERROR(__xludf.DUMMYFUNCTION("""COMPUTED_VALUE"""),29.0)</f>
        <v>29</v>
      </c>
      <c r="AB581" s="199">
        <f>IFERROR(__xludf.DUMMYFUNCTION("""COMPUTED_VALUE"""),44.0)</f>
        <v>44</v>
      </c>
      <c r="AC581" s="199">
        <f>IFERROR(__xludf.DUMMYFUNCTION("""COMPUTED_VALUE"""),67.0)</f>
        <v>67</v>
      </c>
      <c r="AD581" s="199">
        <f>IFERROR(__xludf.DUMMYFUNCTION("""COMPUTED_VALUE"""),0.0)</f>
        <v>0</v>
      </c>
      <c r="AE581" s="199">
        <f>IFERROR(__xludf.DUMMYFUNCTION("""COMPUTED_VALUE"""),599.0)</f>
        <v>599</v>
      </c>
      <c r="AF581" s="199">
        <f>IFERROR(__xludf.DUMMYFUNCTION("""COMPUTED_VALUE"""),19.0)</f>
        <v>19</v>
      </c>
      <c r="AG581" s="199">
        <f>IFERROR(__xludf.DUMMYFUNCTION("""COMPUTED_VALUE"""),319.0)</f>
        <v>319</v>
      </c>
      <c r="AH581" s="199">
        <f>IFERROR(__xludf.DUMMYFUNCTION("""COMPUTED_VALUE"""),29.0)</f>
        <v>29</v>
      </c>
      <c r="AI581" s="200" t="str">
        <f>IFERROR(__xludf.DUMMYFUNCTION("""COMPUTED_VALUE"""),"Wear Metal Alert | Lubricant Degradation | High Particle Count")</f>
        <v>Wear Metal Alert | Lubricant Degradation | High Particle Count</v>
      </c>
      <c r="AJ581" s="200" t="str">
        <f>IFERROR(__xludf.DUMMYFUNCTION("""COMPUTED_VALUE"""),"URGENT: Inspect equipment immediately for wear/damage; Critical wear metals detected - schedule immediate inspection; High wear metals - inspect bearing/gear surfaces; Viscosity critically low - change lubricant immediately; Severe oxidation - lubricant c"&amp;"hange required urgently; Elevated silicon - inspect filters and seals for contamination; High particle count - replace filters and resample")</f>
        <v>URGENT: Inspect equipment immediately for wear/damage; Critical wear metals detected - schedule immediate inspection; High wear metals - inspect bearing/gear surfaces; Viscosity critically low - change lubricant immediately; Severe oxidation - lubricant change required urgently; Elevated silicon - inspect filters and seals for contamination; High particle count - replace filters and resample</v>
      </c>
      <c r="AK581" s="204"/>
      <c r="AL581" s="204"/>
      <c r="AM581" s="204"/>
    </row>
    <row r="582" hidden="1">
      <c r="A582" s="199" t="str">
        <f>IFERROR(__xludf.DUMMYFUNCTION("""COMPUTED_VALUE"""),"431.KB102(4)")</f>
        <v>431.KB102(4)</v>
      </c>
      <c r="B582" s="200" t="str">
        <f>IFERROR(__xludf.DUMMYFUNCTION("""COMPUTED_VALUE"""),"Kiln Bearing")</f>
        <v>Kiln Bearing</v>
      </c>
      <c r="C582" s="199">
        <f>IFERROR(__xludf.DUMMYFUNCTION("""COMPUTED_VALUE"""),2.6005501223E10)</f>
        <v>26005501223</v>
      </c>
      <c r="D582" s="201">
        <f>IFERROR(__xludf.DUMMYFUNCTION("""COMPUTED_VALUE"""),46007.0)</f>
        <v>46007</v>
      </c>
      <c r="E582" s="202" t="str">
        <f>IFERROR(__xludf.DUMMYFUNCTION("""COMPUTED_VALUE"""),"Alert")</f>
        <v>Alert</v>
      </c>
      <c r="F582" s="202" t="str">
        <f>IFERROR(__xludf.DUMMYFUNCTION("""COMPUTED_VALUE"""),"Alert")</f>
        <v>Alert</v>
      </c>
      <c r="G582" s="203" t="str">
        <f>IFERROR(__xludf.DUMMYFUNCTION("""COMPUTED_VALUE"""),"Alert")</f>
        <v>Alert</v>
      </c>
      <c r="H582" s="203" t="str">
        <f>IFERROR(__xludf.DUMMYFUNCTION("""COMPUTED_VALUE"""),"Normal")</f>
        <v>Normal</v>
      </c>
      <c r="I582" s="199"/>
      <c r="J582" s="199"/>
      <c r="K582" s="199"/>
      <c r="L582" s="199">
        <f>IFERROR(__xludf.DUMMYFUNCTION("""COMPUTED_VALUE"""),17.0)</f>
        <v>17</v>
      </c>
      <c r="M582" s="199">
        <f>IFERROR(__xludf.DUMMYFUNCTION("""COMPUTED_VALUE"""),49.4)</f>
        <v>49.4</v>
      </c>
      <c r="N582" s="199"/>
      <c r="O582" s="199">
        <f>IFERROR(__xludf.DUMMYFUNCTION("""COMPUTED_VALUE"""),9.0)</f>
        <v>9</v>
      </c>
      <c r="P582" s="199"/>
      <c r="Q582" s="199">
        <f>IFERROR(__xludf.DUMMYFUNCTION("""COMPUTED_VALUE"""),0.0)</f>
        <v>0</v>
      </c>
      <c r="R582" s="199">
        <f>IFERROR(__xludf.DUMMYFUNCTION("""COMPUTED_VALUE"""),0.0)</f>
        <v>0</v>
      </c>
      <c r="S582" s="199">
        <f>IFERROR(__xludf.DUMMYFUNCTION("""COMPUTED_VALUE"""),0.0)</f>
        <v>0</v>
      </c>
      <c r="T582" s="199">
        <f>IFERROR(__xludf.DUMMYFUNCTION("""COMPUTED_VALUE"""),73.0)</f>
        <v>73</v>
      </c>
      <c r="U582" s="199">
        <f>IFERROR(__xludf.DUMMYFUNCTION("""COMPUTED_VALUE"""),15.0)</f>
        <v>15</v>
      </c>
      <c r="V582" s="199">
        <f>IFERROR(__xludf.DUMMYFUNCTION("""COMPUTED_VALUE"""),0.0)</f>
        <v>0</v>
      </c>
      <c r="W582" s="199">
        <f>IFERROR(__xludf.DUMMYFUNCTION("""COMPUTED_VALUE"""),0.0)</f>
        <v>0</v>
      </c>
      <c r="X582" s="199">
        <f>IFERROR(__xludf.DUMMYFUNCTION("""COMPUTED_VALUE"""),0.0)</f>
        <v>0</v>
      </c>
      <c r="Y582" s="199">
        <f>IFERROR(__xludf.DUMMYFUNCTION("""COMPUTED_VALUE"""),0.0)</f>
        <v>0</v>
      </c>
      <c r="Z582" s="199">
        <f>IFERROR(__xludf.DUMMYFUNCTION("""COMPUTED_VALUE"""),0.0)</f>
        <v>0</v>
      </c>
      <c r="AA582" s="199">
        <f>IFERROR(__xludf.DUMMYFUNCTION("""COMPUTED_VALUE"""),0.0)</f>
        <v>0</v>
      </c>
      <c r="AB582" s="199">
        <f>IFERROR(__xludf.DUMMYFUNCTION("""COMPUTED_VALUE"""),0.0)</f>
        <v>0</v>
      </c>
      <c r="AC582" s="199">
        <f>IFERROR(__xludf.DUMMYFUNCTION("""COMPUTED_VALUE"""),17.0)</f>
        <v>17</v>
      </c>
      <c r="AD582" s="199">
        <f>IFERROR(__xludf.DUMMYFUNCTION("""COMPUTED_VALUE"""),0.0)</f>
        <v>0</v>
      </c>
      <c r="AE582" s="199">
        <f>IFERROR(__xludf.DUMMYFUNCTION("""COMPUTED_VALUE"""),38.0)</f>
        <v>38</v>
      </c>
      <c r="AF582" s="199">
        <f>IFERROR(__xludf.DUMMYFUNCTION("""COMPUTED_VALUE"""),5.0)</f>
        <v>5</v>
      </c>
      <c r="AG582" s="199">
        <f>IFERROR(__xludf.DUMMYFUNCTION("""COMPUTED_VALUE"""),374.0)</f>
        <v>374</v>
      </c>
      <c r="AH582" s="199">
        <f>IFERROR(__xludf.DUMMYFUNCTION("""COMPUTED_VALUE"""),35.0)</f>
        <v>35</v>
      </c>
      <c r="AI582" s="200" t="str">
        <f>IFERROR(__xludf.DUMMYFUNCTION("""COMPUTED_VALUE"""),"Wear Metal Alert")</f>
        <v>Wear Metal Alert</v>
      </c>
      <c r="AJ582" s="200" t="str">
        <f>IFERROR(__xludf.DUMMYFUNCTION("""COMPUTED_VALUE"""),"URGENT: Inspect equipment immediately for wear/damage; Severe oxidation - lubricant change required urgently")</f>
        <v>URGENT: Inspect equipment immediately for wear/damage; Severe oxidation - lubricant change required urgently</v>
      </c>
      <c r="AK582" s="204"/>
      <c r="AL582" s="204"/>
      <c r="AM582" s="204"/>
    </row>
    <row r="583" hidden="1">
      <c r="A583" s="199" t="str">
        <f>IFERROR(__xludf.DUMMYFUNCTION("""COMPUTED_VALUE"""),"431.KB103(1)")</f>
        <v>431.KB103(1)</v>
      </c>
      <c r="B583" s="200" t="str">
        <f>IFERROR(__xludf.DUMMYFUNCTION("""COMPUTED_VALUE"""),"Kiln Bearing")</f>
        <v>Kiln Bearing</v>
      </c>
      <c r="C583" s="199">
        <f>IFERROR(__xludf.DUMMYFUNCTION("""COMPUTED_VALUE"""),2.6005501213E10)</f>
        <v>26005501213</v>
      </c>
      <c r="D583" s="201">
        <f>IFERROR(__xludf.DUMMYFUNCTION("""COMPUTED_VALUE"""),46007.0)</f>
        <v>46007</v>
      </c>
      <c r="E583" s="202" t="str">
        <f>IFERROR(__xludf.DUMMYFUNCTION("""COMPUTED_VALUE"""),"Caution")</f>
        <v>Caution</v>
      </c>
      <c r="F583" s="202" t="str">
        <f>IFERROR(__xludf.DUMMYFUNCTION("""COMPUTED_VALUE"""),"Caution")</f>
        <v>Caution</v>
      </c>
      <c r="G583" s="203" t="str">
        <f>IFERROR(__xludf.DUMMYFUNCTION("""COMPUTED_VALUE"""),"Normal")</f>
        <v>Normal</v>
      </c>
      <c r="H583" s="203" t="str">
        <f>IFERROR(__xludf.DUMMYFUNCTION("""COMPUTED_VALUE"""),"Normal")</f>
        <v>Normal</v>
      </c>
      <c r="I583" s="199"/>
      <c r="J583" s="199"/>
      <c r="K583" s="199"/>
      <c r="L583" s="199">
        <f>IFERROR(__xludf.DUMMYFUNCTION("""COMPUTED_VALUE"""),32.0)</f>
        <v>32</v>
      </c>
      <c r="M583" s="199">
        <f>IFERROR(__xludf.DUMMYFUNCTION("""COMPUTED_VALUE"""),41.3)</f>
        <v>41.3</v>
      </c>
      <c r="N583" s="199"/>
      <c r="O583" s="199">
        <f>IFERROR(__xludf.DUMMYFUNCTION("""COMPUTED_VALUE"""),11.0)</f>
        <v>11</v>
      </c>
      <c r="P583" s="199"/>
      <c r="Q583" s="199">
        <f>IFERROR(__xludf.DUMMYFUNCTION("""COMPUTED_VALUE"""),0.0)</f>
        <v>0</v>
      </c>
      <c r="R583" s="199">
        <f>IFERROR(__xludf.DUMMYFUNCTION("""COMPUTED_VALUE"""),0.0)</f>
        <v>0</v>
      </c>
      <c r="S583" s="199">
        <f>IFERROR(__xludf.DUMMYFUNCTION("""COMPUTED_VALUE"""),0.0)</f>
        <v>0</v>
      </c>
      <c r="T583" s="199">
        <f>IFERROR(__xludf.DUMMYFUNCTION("""COMPUTED_VALUE"""),30.0)</f>
        <v>30</v>
      </c>
      <c r="U583" s="199">
        <f>IFERROR(__xludf.DUMMYFUNCTION("""COMPUTED_VALUE"""),20.0)</f>
        <v>20</v>
      </c>
      <c r="V583" s="199">
        <f>IFERROR(__xludf.DUMMYFUNCTION("""COMPUTED_VALUE"""),0.0)</f>
        <v>0</v>
      </c>
      <c r="W583" s="199">
        <f>IFERROR(__xludf.DUMMYFUNCTION("""COMPUTED_VALUE"""),0.0)</f>
        <v>0</v>
      </c>
      <c r="X583" s="199">
        <f>IFERROR(__xludf.DUMMYFUNCTION("""COMPUTED_VALUE"""),0.0)</f>
        <v>0</v>
      </c>
      <c r="Y583" s="199">
        <f>IFERROR(__xludf.DUMMYFUNCTION("""COMPUTED_VALUE"""),0.0)</f>
        <v>0</v>
      </c>
      <c r="Z583" s="199">
        <f>IFERROR(__xludf.DUMMYFUNCTION("""COMPUTED_VALUE"""),5.0)</f>
        <v>5</v>
      </c>
      <c r="AA583" s="199">
        <f>IFERROR(__xludf.DUMMYFUNCTION("""COMPUTED_VALUE"""),0.0)</f>
        <v>0</v>
      </c>
      <c r="AB583" s="199">
        <f>IFERROR(__xludf.DUMMYFUNCTION("""COMPUTED_VALUE"""),12.0)</f>
        <v>12</v>
      </c>
      <c r="AC583" s="199">
        <f>IFERROR(__xludf.DUMMYFUNCTION("""COMPUTED_VALUE"""),16.0)</f>
        <v>16</v>
      </c>
      <c r="AD583" s="199">
        <f>IFERROR(__xludf.DUMMYFUNCTION("""COMPUTED_VALUE"""),0.0)</f>
        <v>0</v>
      </c>
      <c r="AE583" s="199">
        <f>IFERROR(__xludf.DUMMYFUNCTION("""COMPUTED_VALUE"""),25.0)</f>
        <v>25</v>
      </c>
      <c r="AF583" s="199">
        <f>IFERROR(__xludf.DUMMYFUNCTION("""COMPUTED_VALUE"""),2.0)</f>
        <v>2</v>
      </c>
      <c r="AG583" s="199">
        <f>IFERROR(__xludf.DUMMYFUNCTION("""COMPUTED_VALUE"""),184.0)</f>
        <v>184</v>
      </c>
      <c r="AH583" s="199">
        <f>IFERROR(__xludf.DUMMYFUNCTION("""COMPUTED_VALUE"""),53.0)</f>
        <v>53</v>
      </c>
      <c r="AI583" s="200" t="str">
        <f>IFERROR(__xludf.DUMMYFUNCTION("""COMPUTED_VALUE"""),"General Caution")</f>
        <v>General Caution</v>
      </c>
      <c r="AJ583" s="200" t="str">
        <f>IFERROR(__xludf.DUMMYFUNCTION("""COMPUTED_VALUE"""),"Oxidation increasing - monitor and plan oil change")</f>
        <v>Oxidation increasing - monitor and plan oil change</v>
      </c>
      <c r="AK583" s="204"/>
      <c r="AL583" s="204"/>
      <c r="AM583" s="204"/>
    </row>
    <row r="584" hidden="1">
      <c r="A584" s="199" t="str">
        <f>IFERROR(__xludf.DUMMYFUNCTION("""COMPUTED_VALUE"""),"431.KB103(3)")</f>
        <v>431.KB103(3)</v>
      </c>
      <c r="B584" s="200" t="str">
        <f>IFERROR(__xludf.DUMMYFUNCTION("""COMPUTED_VALUE"""),"Kiln Bearing")</f>
        <v>Kiln Bearing</v>
      </c>
      <c r="C584" s="199">
        <f>IFERROR(__xludf.DUMMYFUNCTION("""COMPUTED_VALUE"""),2.6005501218E10)</f>
        <v>26005501218</v>
      </c>
      <c r="D584" s="201">
        <f>IFERROR(__xludf.DUMMYFUNCTION("""COMPUTED_VALUE"""),46007.0)</f>
        <v>46007</v>
      </c>
      <c r="E584" s="202" t="str">
        <f>IFERROR(__xludf.DUMMYFUNCTION("""COMPUTED_VALUE"""),"Alert")</f>
        <v>Alert</v>
      </c>
      <c r="F584" s="202" t="str">
        <f>IFERROR(__xludf.DUMMYFUNCTION("""COMPUTED_VALUE"""),"Alert")</f>
        <v>Alert</v>
      </c>
      <c r="G584" s="203" t="str">
        <f>IFERROR(__xludf.DUMMYFUNCTION("""COMPUTED_VALUE"""),"Alert")</f>
        <v>Alert</v>
      </c>
      <c r="H584" s="203" t="str">
        <f>IFERROR(__xludf.DUMMYFUNCTION("""COMPUTED_VALUE"""),"Caution")</f>
        <v>Caution</v>
      </c>
      <c r="I584" s="199"/>
      <c r="J584" s="199"/>
      <c r="K584" s="199"/>
      <c r="L584" s="199">
        <f>IFERROR(__xludf.DUMMYFUNCTION("""COMPUTED_VALUE"""),90.0)</f>
        <v>90</v>
      </c>
      <c r="M584" s="199">
        <f>IFERROR(__xludf.DUMMYFUNCTION("""COMPUTED_VALUE"""),49.8)</f>
        <v>49.8</v>
      </c>
      <c r="N584" s="199"/>
      <c r="O584" s="199">
        <f>IFERROR(__xludf.DUMMYFUNCTION("""COMPUTED_VALUE"""),19.0)</f>
        <v>19</v>
      </c>
      <c r="P584" s="199"/>
      <c r="Q584" s="199">
        <f>IFERROR(__xludf.DUMMYFUNCTION("""COMPUTED_VALUE"""),0.0)</f>
        <v>0</v>
      </c>
      <c r="R584" s="199">
        <f>IFERROR(__xludf.DUMMYFUNCTION("""COMPUTED_VALUE"""),10.0)</f>
        <v>10</v>
      </c>
      <c r="S584" s="199">
        <f>IFERROR(__xludf.DUMMYFUNCTION("""COMPUTED_VALUE"""),0.0)</f>
        <v>0</v>
      </c>
      <c r="T584" s="199">
        <f>IFERROR(__xludf.DUMMYFUNCTION("""COMPUTED_VALUE"""),347.0)</f>
        <v>347</v>
      </c>
      <c r="U584" s="199">
        <f>IFERROR(__xludf.DUMMYFUNCTION("""COMPUTED_VALUE"""),155.0)</f>
        <v>155</v>
      </c>
      <c r="V584" s="199">
        <f>IFERROR(__xludf.DUMMYFUNCTION("""COMPUTED_VALUE"""),0.0)</f>
        <v>0</v>
      </c>
      <c r="W584" s="199">
        <f>IFERROR(__xludf.DUMMYFUNCTION("""COMPUTED_VALUE"""),0.0)</f>
        <v>0</v>
      </c>
      <c r="X584" s="199">
        <f>IFERROR(__xludf.DUMMYFUNCTION("""COMPUTED_VALUE"""),14.0)</f>
        <v>14</v>
      </c>
      <c r="Y584" s="199">
        <f>IFERROR(__xludf.DUMMYFUNCTION("""COMPUTED_VALUE"""),0.0)</f>
        <v>0</v>
      </c>
      <c r="Z584" s="199">
        <f>IFERROR(__xludf.DUMMYFUNCTION("""COMPUTED_VALUE"""),2.0)</f>
        <v>2</v>
      </c>
      <c r="AA584" s="199">
        <f>IFERROR(__xludf.DUMMYFUNCTION("""COMPUTED_VALUE"""),0.0)</f>
        <v>0</v>
      </c>
      <c r="AB584" s="199">
        <f>IFERROR(__xludf.DUMMYFUNCTION("""COMPUTED_VALUE"""),42.0)</f>
        <v>42</v>
      </c>
      <c r="AC584" s="199">
        <f>IFERROR(__xludf.DUMMYFUNCTION("""COMPUTED_VALUE"""),58.0)</f>
        <v>58</v>
      </c>
      <c r="AD584" s="199">
        <f>IFERROR(__xludf.DUMMYFUNCTION("""COMPUTED_VALUE"""),0.0)</f>
        <v>0</v>
      </c>
      <c r="AE584" s="199">
        <f>IFERROR(__xludf.DUMMYFUNCTION("""COMPUTED_VALUE"""),508.0)</f>
        <v>508</v>
      </c>
      <c r="AF584" s="199">
        <f>IFERROR(__xludf.DUMMYFUNCTION("""COMPUTED_VALUE"""),17.0)</f>
        <v>17</v>
      </c>
      <c r="AG584" s="199">
        <f>IFERROR(__xludf.DUMMYFUNCTION("""COMPUTED_VALUE"""),360.0)</f>
        <v>360</v>
      </c>
      <c r="AH584" s="199">
        <f>IFERROR(__xludf.DUMMYFUNCTION("""COMPUTED_VALUE"""),50.0)</f>
        <v>50</v>
      </c>
      <c r="AI584" s="200" t="str">
        <f>IFERROR(__xludf.DUMMYFUNCTION("""COMPUTED_VALUE"""),"Wear Metal Alert")</f>
        <v>Wear Metal Alert</v>
      </c>
      <c r="AJ584" s="200" t="str">
        <f>IFERROR(__xludf.DUMMYFUNCTION("""COMPUTED_VALUE"""),"URGENT: Inspect equipment immediately for wear/damage; Critical wear metals detected - schedule immediate inspection; High wear metals - inspect bearing/gear surfaces; Severe oxidation - lubricant change required urgently; Elevated silicon - inspect filte"&amp;"rs and seals for contamination; High particle count - replace filters and resample")</f>
        <v>URGENT: Inspect equipment immediately for wear/damage; Critical wear metals detected - schedule immediate inspection; High wear metals - inspect bearing/gear surfaces; Severe oxidation - lubricant change required urgently; Elevated silicon - inspect filters and seals for contamination; High particle count - replace filters and resample</v>
      </c>
      <c r="AK584" s="204"/>
      <c r="AL584" s="204"/>
      <c r="AM584" s="204"/>
    </row>
    <row r="585" hidden="1">
      <c r="A585" s="199" t="str">
        <f>IFERROR(__xludf.DUMMYFUNCTION("""COMPUTED_VALUE"""),"431.KB103(4)")</f>
        <v>431.KB103(4)</v>
      </c>
      <c r="B585" s="200" t="str">
        <f>IFERROR(__xludf.DUMMYFUNCTION("""COMPUTED_VALUE"""),"Kiln Bearing")</f>
        <v>Kiln Bearing</v>
      </c>
      <c r="C585" s="199">
        <f>IFERROR(__xludf.DUMMYFUNCTION("""COMPUTED_VALUE"""),2.6005501211E10)</f>
        <v>26005501211</v>
      </c>
      <c r="D585" s="201">
        <f>IFERROR(__xludf.DUMMYFUNCTION("""COMPUTED_VALUE"""),46007.0)</f>
        <v>46007</v>
      </c>
      <c r="E585" s="202" t="str">
        <f>IFERROR(__xludf.DUMMYFUNCTION("""COMPUTED_VALUE"""),"Alert")</f>
        <v>Alert</v>
      </c>
      <c r="F585" s="202" t="str">
        <f>IFERROR(__xludf.DUMMYFUNCTION("""COMPUTED_VALUE"""),"Alert")</f>
        <v>Alert</v>
      </c>
      <c r="G585" s="203" t="str">
        <f>IFERROR(__xludf.DUMMYFUNCTION("""COMPUTED_VALUE"""),"Alert")</f>
        <v>Alert</v>
      </c>
      <c r="H585" s="203" t="str">
        <f>IFERROR(__xludf.DUMMYFUNCTION("""COMPUTED_VALUE"""),"Normal")</f>
        <v>Normal</v>
      </c>
      <c r="I585" s="199"/>
      <c r="J585" s="199"/>
      <c r="K585" s="199"/>
      <c r="L585" s="199">
        <f>IFERROR(__xludf.DUMMYFUNCTION("""COMPUTED_VALUE"""),49.0)</f>
        <v>49</v>
      </c>
      <c r="M585" s="199">
        <f>IFERROR(__xludf.DUMMYFUNCTION("""COMPUTED_VALUE"""),44.5)</f>
        <v>44.5</v>
      </c>
      <c r="N585" s="199"/>
      <c r="O585" s="199">
        <f>IFERROR(__xludf.DUMMYFUNCTION("""COMPUTED_VALUE"""),11.0)</f>
        <v>11</v>
      </c>
      <c r="P585" s="199"/>
      <c r="Q585" s="199">
        <f>IFERROR(__xludf.DUMMYFUNCTION("""COMPUTED_VALUE"""),0.0)</f>
        <v>0</v>
      </c>
      <c r="R585" s="199">
        <f>IFERROR(__xludf.DUMMYFUNCTION("""COMPUTED_VALUE"""),0.0)</f>
        <v>0</v>
      </c>
      <c r="S585" s="199">
        <f>IFERROR(__xludf.DUMMYFUNCTION("""COMPUTED_VALUE"""),1.0)</f>
        <v>1</v>
      </c>
      <c r="T585" s="199">
        <f>IFERROR(__xludf.DUMMYFUNCTION("""COMPUTED_VALUE"""),47.0)</f>
        <v>47</v>
      </c>
      <c r="U585" s="199">
        <f>IFERROR(__xludf.DUMMYFUNCTION("""COMPUTED_VALUE"""),63.0)</f>
        <v>63</v>
      </c>
      <c r="V585" s="199">
        <f>IFERROR(__xludf.DUMMYFUNCTION("""COMPUTED_VALUE"""),0.0)</f>
        <v>0</v>
      </c>
      <c r="W585" s="199">
        <f>IFERROR(__xludf.DUMMYFUNCTION("""COMPUTED_VALUE"""),0.0)</f>
        <v>0</v>
      </c>
      <c r="X585" s="199">
        <f>IFERROR(__xludf.DUMMYFUNCTION("""COMPUTED_VALUE"""),0.0)</f>
        <v>0</v>
      </c>
      <c r="Y585" s="199">
        <f>IFERROR(__xludf.DUMMYFUNCTION("""COMPUTED_VALUE"""),0.0)</f>
        <v>0</v>
      </c>
      <c r="Z585" s="199">
        <f>IFERROR(__xludf.DUMMYFUNCTION("""COMPUTED_VALUE"""),2.0)</f>
        <v>2</v>
      </c>
      <c r="AA585" s="199">
        <f>IFERROR(__xludf.DUMMYFUNCTION("""COMPUTED_VALUE"""),0.0)</f>
        <v>0</v>
      </c>
      <c r="AB585" s="199">
        <f>IFERROR(__xludf.DUMMYFUNCTION("""COMPUTED_VALUE"""),31.0)</f>
        <v>31</v>
      </c>
      <c r="AC585" s="199">
        <f>IFERROR(__xludf.DUMMYFUNCTION("""COMPUTED_VALUE"""),64.0)</f>
        <v>64</v>
      </c>
      <c r="AD585" s="199">
        <f>IFERROR(__xludf.DUMMYFUNCTION("""COMPUTED_VALUE"""),0.0)</f>
        <v>0</v>
      </c>
      <c r="AE585" s="199">
        <f>IFERROR(__xludf.DUMMYFUNCTION("""COMPUTED_VALUE"""),65.0)</f>
        <v>65</v>
      </c>
      <c r="AF585" s="199">
        <f>IFERROR(__xludf.DUMMYFUNCTION("""COMPUTED_VALUE"""),5.0)</f>
        <v>5</v>
      </c>
      <c r="AG585" s="199">
        <f>IFERROR(__xludf.DUMMYFUNCTION("""COMPUTED_VALUE"""),471.0)</f>
        <v>471</v>
      </c>
      <c r="AH585" s="199">
        <f>IFERROR(__xludf.DUMMYFUNCTION("""COMPUTED_VALUE"""),35.0)</f>
        <v>35</v>
      </c>
      <c r="AI585" s="200" t="str">
        <f>IFERROR(__xludf.DUMMYFUNCTION("""COMPUTED_VALUE"""),"Wear Metal Alert")</f>
        <v>Wear Metal Alert</v>
      </c>
      <c r="AJ585" s="200" t="str">
        <f>IFERROR(__xludf.DUMMYFUNCTION("""COMPUTED_VALUE"""),"URGENT: Inspect equipment immediately for wear/damage; Severe oxidation - lubricant change required urgently; Elevated silicon - inspect filters and seals for contamination")</f>
        <v>URGENT: Inspect equipment immediately for wear/damage; Severe oxidation - lubricant change required urgently; Elevated silicon - inspect filters and seals for contamination</v>
      </c>
      <c r="AK585" s="204"/>
      <c r="AL585" s="204"/>
      <c r="AM585" s="204"/>
    </row>
    <row r="586" hidden="1">
      <c r="A586" s="199" t="str">
        <f>IFERROR(__xludf.DUMMYFUNCTION("""COMPUTED_VALUE"""),"481.BC600")</f>
        <v>481.BC600</v>
      </c>
      <c r="B586" s="200" t="str">
        <f>IFERROR(__xludf.DUMMYFUNCTION("""COMPUTED_VALUE"""),"Belt conveyor Gearbox")</f>
        <v>Belt conveyor Gearbox</v>
      </c>
      <c r="C586" s="199">
        <f>IFERROR(__xludf.DUMMYFUNCTION("""COMPUTED_VALUE"""),2.6004401256E10)</f>
        <v>26004401256</v>
      </c>
      <c r="D586" s="201">
        <f>IFERROR(__xludf.DUMMYFUNCTION("""COMPUTED_VALUE"""),46007.0)</f>
        <v>46007</v>
      </c>
      <c r="E586" s="202" t="str">
        <f>IFERROR(__xludf.DUMMYFUNCTION("""COMPUTED_VALUE"""),"Alert")</f>
        <v>Alert</v>
      </c>
      <c r="F586" s="202" t="str">
        <f>IFERROR(__xludf.DUMMYFUNCTION("""COMPUTED_VALUE"""),"Caution")</f>
        <v>Caution</v>
      </c>
      <c r="G586" s="203" t="str">
        <f>IFERROR(__xludf.DUMMYFUNCTION("""COMPUTED_VALUE"""),"Normal")</f>
        <v>Normal</v>
      </c>
      <c r="H586" s="203" t="str">
        <f>IFERROR(__xludf.DUMMYFUNCTION("""COMPUTED_VALUE"""),"Alert")</f>
        <v>Alert</v>
      </c>
      <c r="I586" s="37"/>
      <c r="J586" s="37"/>
      <c r="K586" s="37"/>
      <c r="L586" s="199">
        <f>IFERROR(__xludf.DUMMYFUNCTION("""COMPUTED_VALUE"""),19.0)</f>
        <v>19</v>
      </c>
      <c r="M586" s="199">
        <f>IFERROR(__xludf.DUMMYFUNCTION("""COMPUTED_VALUE"""),258.3)</f>
        <v>258.3</v>
      </c>
      <c r="N586" s="199"/>
      <c r="O586" s="199"/>
      <c r="P586" s="199">
        <f>IFERROR(__xludf.DUMMYFUNCTION("""COMPUTED_VALUE"""),0.06)</f>
        <v>0.06</v>
      </c>
      <c r="Q586" s="199">
        <f>IFERROR(__xludf.DUMMYFUNCTION("""COMPUTED_VALUE"""),0.0)</f>
        <v>0</v>
      </c>
      <c r="R586" s="199">
        <f>IFERROR(__xludf.DUMMYFUNCTION("""COMPUTED_VALUE"""),0.0)</f>
        <v>0</v>
      </c>
      <c r="S586" s="199">
        <f>IFERROR(__xludf.DUMMYFUNCTION("""COMPUTED_VALUE"""),1.0)</f>
        <v>1</v>
      </c>
      <c r="T586" s="199">
        <f>IFERROR(__xludf.DUMMYFUNCTION("""COMPUTED_VALUE"""),0.0)</f>
        <v>0</v>
      </c>
      <c r="U586" s="199">
        <f>IFERROR(__xludf.DUMMYFUNCTION("""COMPUTED_VALUE"""),0.0)</f>
        <v>0</v>
      </c>
      <c r="V586" s="199">
        <f>IFERROR(__xludf.DUMMYFUNCTION("""COMPUTED_VALUE"""),0.0)</f>
        <v>0</v>
      </c>
      <c r="W586" s="199">
        <f>IFERROR(__xludf.DUMMYFUNCTION("""COMPUTED_VALUE"""),0.0)</f>
        <v>0</v>
      </c>
      <c r="X586" s="199">
        <f>IFERROR(__xludf.DUMMYFUNCTION("""COMPUTED_VALUE"""),0.0)</f>
        <v>0</v>
      </c>
      <c r="Y586" s="199">
        <f>IFERROR(__xludf.DUMMYFUNCTION("""COMPUTED_VALUE"""),0.0)</f>
        <v>0</v>
      </c>
      <c r="Z586" s="199">
        <f>IFERROR(__xludf.DUMMYFUNCTION("""COMPUTED_VALUE"""),0.0)</f>
        <v>0</v>
      </c>
      <c r="AA586" s="199">
        <f>IFERROR(__xludf.DUMMYFUNCTION("""COMPUTED_VALUE"""),0.0)</f>
        <v>0</v>
      </c>
      <c r="AB586" s="199">
        <f>IFERROR(__xludf.DUMMYFUNCTION("""COMPUTED_VALUE"""),2.0)</f>
        <v>2</v>
      </c>
      <c r="AC586" s="199">
        <f>IFERROR(__xludf.DUMMYFUNCTION("""COMPUTED_VALUE"""),12.0)</f>
        <v>12</v>
      </c>
      <c r="AD586" s="199">
        <f>IFERROR(__xludf.DUMMYFUNCTION("""COMPUTED_VALUE"""),0.0)</f>
        <v>0</v>
      </c>
      <c r="AE586" s="199">
        <f>IFERROR(__xludf.DUMMYFUNCTION("""COMPUTED_VALUE"""),4.0)</f>
        <v>4</v>
      </c>
      <c r="AF586" s="199">
        <f>IFERROR(__xludf.DUMMYFUNCTION("""COMPUTED_VALUE"""),0.0)</f>
        <v>0</v>
      </c>
      <c r="AG586" s="199">
        <f>IFERROR(__xludf.DUMMYFUNCTION("""COMPUTED_VALUE"""),301.0)</f>
        <v>301</v>
      </c>
      <c r="AH586" s="199">
        <f>IFERROR(__xludf.DUMMYFUNCTION("""COMPUTED_VALUE"""),0.0)</f>
        <v>0</v>
      </c>
      <c r="AI586" s="200" t="str">
        <f>IFERROR(__xludf.DUMMYFUNCTION("""COMPUTED_VALUE"""),"General Alert")</f>
        <v>General Alert</v>
      </c>
      <c r="AJ586" s="200" t="str">
        <f>IFERROR(__xludf.DUMMYFUNCTION("""COMPUTED_VALUE"""),"Investigate root cause; increase sampling frequency to monthly")</f>
        <v>Investigate root cause; increase sampling frequency to monthly</v>
      </c>
      <c r="AK586" s="204"/>
      <c r="AL586" s="204"/>
      <c r="AM586" s="204"/>
    </row>
    <row r="587" hidden="1">
      <c r="A587" s="199" t="str">
        <f>IFERROR(__xludf.DUMMYFUNCTION("""COMPUTED_VALUE"""),"531.BE220")</f>
        <v>531.BE220</v>
      </c>
      <c r="B587" s="200" t="str">
        <f>IFERROR(__xludf.DUMMYFUNCTION("""COMPUTED_VALUE"""),"Bucket Elevator BM#1 GB.")</f>
        <v>Bucket Elevator BM#1 GB.</v>
      </c>
      <c r="C587" s="199">
        <f>IFERROR(__xludf.DUMMYFUNCTION("""COMPUTED_VALUE"""),2.6004401265E10)</f>
        <v>26004401265</v>
      </c>
      <c r="D587" s="201">
        <f>IFERROR(__xludf.DUMMYFUNCTION("""COMPUTED_VALUE"""),46007.0)</f>
        <v>46007</v>
      </c>
      <c r="E587" s="202" t="str">
        <f>IFERROR(__xludf.DUMMYFUNCTION("""COMPUTED_VALUE"""),"Caution")</f>
        <v>Caution</v>
      </c>
      <c r="F587" s="202" t="str">
        <f>IFERROR(__xludf.DUMMYFUNCTION("""COMPUTED_VALUE"""),"Caution")</f>
        <v>Caution</v>
      </c>
      <c r="G587" s="203" t="str">
        <f>IFERROR(__xludf.DUMMYFUNCTION("""COMPUTED_VALUE"""),"Normal")</f>
        <v>Normal</v>
      </c>
      <c r="H587" s="203" t="str">
        <f>IFERROR(__xludf.DUMMYFUNCTION("""COMPUTED_VALUE"""),"Normal")</f>
        <v>Normal</v>
      </c>
      <c r="I587" s="199"/>
      <c r="J587" s="199"/>
      <c r="K587" s="199"/>
      <c r="L587" s="199">
        <f>IFERROR(__xludf.DUMMYFUNCTION("""COMPUTED_VALUE"""),15.0)</f>
        <v>15</v>
      </c>
      <c r="M587" s="199">
        <f>IFERROR(__xludf.DUMMYFUNCTION("""COMPUTED_VALUE"""),286.2)</f>
        <v>286.2</v>
      </c>
      <c r="N587" s="199"/>
      <c r="O587" s="199">
        <f>IFERROR(__xludf.DUMMYFUNCTION("""COMPUTED_VALUE"""),1.0)</f>
        <v>1</v>
      </c>
      <c r="P587" s="199">
        <f>IFERROR(__xludf.DUMMYFUNCTION("""COMPUTED_VALUE"""),0.04)</f>
        <v>0.04</v>
      </c>
      <c r="Q587" s="199">
        <f>IFERROR(__xludf.DUMMYFUNCTION("""COMPUTED_VALUE"""),0.0)</f>
        <v>0</v>
      </c>
      <c r="R587" s="199">
        <f>IFERROR(__xludf.DUMMYFUNCTION("""COMPUTED_VALUE"""),2.0)</f>
        <v>2</v>
      </c>
      <c r="S587" s="199">
        <f>IFERROR(__xludf.DUMMYFUNCTION("""COMPUTED_VALUE"""),0.0)</f>
        <v>0</v>
      </c>
      <c r="T587" s="199">
        <f>IFERROR(__xludf.DUMMYFUNCTION("""COMPUTED_VALUE"""),0.0)</f>
        <v>0</v>
      </c>
      <c r="U587" s="199">
        <f>IFERROR(__xludf.DUMMYFUNCTION("""COMPUTED_VALUE"""),45.0)</f>
        <v>45</v>
      </c>
      <c r="V587" s="199">
        <f>IFERROR(__xludf.DUMMYFUNCTION("""COMPUTED_VALUE"""),0.0)</f>
        <v>0</v>
      </c>
      <c r="W587" s="199">
        <f>IFERROR(__xludf.DUMMYFUNCTION("""COMPUTED_VALUE"""),0.0)</f>
        <v>0</v>
      </c>
      <c r="X587" s="199">
        <f>IFERROR(__xludf.DUMMYFUNCTION("""COMPUTED_VALUE"""),0.0)</f>
        <v>0</v>
      </c>
      <c r="Y587" s="199">
        <f>IFERROR(__xludf.DUMMYFUNCTION("""COMPUTED_VALUE"""),0.0)</f>
        <v>0</v>
      </c>
      <c r="Z587" s="199">
        <f>IFERROR(__xludf.DUMMYFUNCTION("""COMPUTED_VALUE"""),0.0)</f>
        <v>0</v>
      </c>
      <c r="AA587" s="199">
        <f>IFERROR(__xludf.DUMMYFUNCTION("""COMPUTED_VALUE"""),0.0)</f>
        <v>0</v>
      </c>
      <c r="AB587" s="199">
        <f>IFERROR(__xludf.DUMMYFUNCTION("""COMPUTED_VALUE"""),22.0)</f>
        <v>22</v>
      </c>
      <c r="AC587" s="199">
        <f>IFERROR(__xludf.DUMMYFUNCTION("""COMPUTED_VALUE"""),15.0)</f>
        <v>15</v>
      </c>
      <c r="AD587" s="199">
        <f>IFERROR(__xludf.DUMMYFUNCTION("""COMPUTED_VALUE"""),0.0)</f>
        <v>0</v>
      </c>
      <c r="AE587" s="199">
        <f>IFERROR(__xludf.DUMMYFUNCTION("""COMPUTED_VALUE"""),67.0)</f>
        <v>67</v>
      </c>
      <c r="AF587" s="199">
        <f>IFERROR(__xludf.DUMMYFUNCTION("""COMPUTED_VALUE"""),2.0)</f>
        <v>2</v>
      </c>
      <c r="AG587" s="199">
        <f>IFERROR(__xludf.DUMMYFUNCTION("""COMPUTED_VALUE"""),353.0)</f>
        <v>353</v>
      </c>
      <c r="AH587" s="199">
        <f>IFERROR(__xludf.DUMMYFUNCTION("""COMPUTED_VALUE"""),12.0)</f>
        <v>12</v>
      </c>
      <c r="AI587" s="200" t="str">
        <f>IFERROR(__xludf.DUMMYFUNCTION("""COMPUTED_VALUE"""),"Contamination Caution")</f>
        <v>Contamination Caution</v>
      </c>
      <c r="AJ587" s="200" t="str">
        <f>IFERROR(__xludf.DUMMYFUNCTION("""COMPUTED_VALUE"""),"Silicon elevated - check air filtration and seals")</f>
        <v>Silicon elevated - check air filtration and seals</v>
      </c>
      <c r="AK587" s="204"/>
      <c r="AL587" s="204"/>
      <c r="AM587" s="204"/>
    </row>
    <row r="588" hidden="1">
      <c r="A588" s="199" t="str">
        <f>IFERROR(__xludf.DUMMYFUNCTION("""COMPUTED_VALUE"""),"531.LQ145")</f>
        <v>531.LQ145</v>
      </c>
      <c r="B588" s="200" t="str">
        <f>IFERROR(__xludf.DUMMYFUNCTION("""COMPUTED_VALUE"""),"Cement Mill #1 Gear box")</f>
        <v>Cement Mill #1 Gear box</v>
      </c>
      <c r="C588" s="199">
        <f>IFERROR(__xludf.DUMMYFUNCTION("""COMPUTED_VALUE"""),2.600440127E10)</f>
        <v>26004401270</v>
      </c>
      <c r="D588" s="201">
        <f>IFERROR(__xludf.DUMMYFUNCTION("""COMPUTED_VALUE"""),46007.0)</f>
        <v>46007</v>
      </c>
      <c r="E588" s="202" t="str">
        <f>IFERROR(__xludf.DUMMYFUNCTION("""COMPUTED_VALUE"""),"Alert")</f>
        <v>Alert</v>
      </c>
      <c r="F588" s="202" t="str">
        <f>IFERROR(__xludf.DUMMYFUNCTION("""COMPUTED_VALUE"""),"Alert")</f>
        <v>Alert</v>
      </c>
      <c r="G588" s="203" t="str">
        <f>IFERROR(__xludf.DUMMYFUNCTION("""COMPUTED_VALUE"""),"Alert")</f>
        <v>Alert</v>
      </c>
      <c r="H588" s="203" t="str">
        <f>IFERROR(__xludf.DUMMYFUNCTION("""COMPUTED_VALUE"""),"Normal")</f>
        <v>Normal</v>
      </c>
      <c r="I588" s="199"/>
      <c r="J588" s="199"/>
      <c r="K588" s="199"/>
      <c r="L588" s="199">
        <f>IFERROR(__xludf.DUMMYFUNCTION("""COMPUTED_VALUE"""),113.0)</f>
        <v>113</v>
      </c>
      <c r="M588" s="199">
        <f>IFERROR(__xludf.DUMMYFUNCTION("""COMPUTED_VALUE"""),446.1)</f>
        <v>446.1</v>
      </c>
      <c r="N588" s="199"/>
      <c r="O588" s="199">
        <f>IFERROR(__xludf.DUMMYFUNCTION("""COMPUTED_VALUE"""),0.0)</f>
        <v>0</v>
      </c>
      <c r="P588" s="199">
        <f>IFERROR(__xludf.DUMMYFUNCTION("""COMPUTED_VALUE"""),0.11)</f>
        <v>0.11</v>
      </c>
      <c r="Q588" s="199">
        <f>IFERROR(__xludf.DUMMYFUNCTION("""COMPUTED_VALUE"""),0.0)</f>
        <v>0</v>
      </c>
      <c r="R588" s="199">
        <f>IFERROR(__xludf.DUMMYFUNCTION("""COMPUTED_VALUE"""),42.0)</f>
        <v>42</v>
      </c>
      <c r="S588" s="199">
        <f>IFERROR(__xludf.DUMMYFUNCTION("""COMPUTED_VALUE"""),0.0)</f>
        <v>0</v>
      </c>
      <c r="T588" s="199">
        <f>IFERROR(__xludf.DUMMYFUNCTION("""COMPUTED_VALUE"""),2.0)</f>
        <v>2</v>
      </c>
      <c r="U588" s="199">
        <f>IFERROR(__xludf.DUMMYFUNCTION("""COMPUTED_VALUE"""),169.0)</f>
        <v>169</v>
      </c>
      <c r="V588" s="199">
        <f>IFERROR(__xludf.DUMMYFUNCTION("""COMPUTED_VALUE"""),0.0)</f>
        <v>0</v>
      </c>
      <c r="W588" s="199">
        <f>IFERROR(__xludf.DUMMYFUNCTION("""COMPUTED_VALUE"""),0.0)</f>
        <v>0</v>
      </c>
      <c r="X588" s="199">
        <f>IFERROR(__xludf.DUMMYFUNCTION("""COMPUTED_VALUE"""),0.0)</f>
        <v>0</v>
      </c>
      <c r="Y588" s="199">
        <f>IFERROR(__xludf.DUMMYFUNCTION("""COMPUTED_VALUE"""),0.0)</f>
        <v>0</v>
      </c>
      <c r="Z588" s="199">
        <f>IFERROR(__xludf.DUMMYFUNCTION("""COMPUTED_VALUE"""),2.0)</f>
        <v>2</v>
      </c>
      <c r="AA588" s="199">
        <f>IFERROR(__xludf.DUMMYFUNCTION("""COMPUTED_VALUE"""),0.0)</f>
        <v>0</v>
      </c>
      <c r="AB588" s="199">
        <f>IFERROR(__xludf.DUMMYFUNCTION("""COMPUTED_VALUE"""),176.0)</f>
        <v>176</v>
      </c>
      <c r="AC588" s="199">
        <f>IFERROR(__xludf.DUMMYFUNCTION("""COMPUTED_VALUE"""),39.0)</f>
        <v>39</v>
      </c>
      <c r="AD588" s="199">
        <f>IFERROR(__xludf.DUMMYFUNCTION("""COMPUTED_VALUE"""),0.0)</f>
        <v>0</v>
      </c>
      <c r="AE588" s="199">
        <f>IFERROR(__xludf.DUMMYFUNCTION("""COMPUTED_VALUE"""),410.0)</f>
        <v>410</v>
      </c>
      <c r="AF588" s="199">
        <f>IFERROR(__xludf.DUMMYFUNCTION("""COMPUTED_VALUE"""),5.0)</f>
        <v>5</v>
      </c>
      <c r="AG588" s="199">
        <f>IFERROR(__xludf.DUMMYFUNCTION("""COMPUTED_VALUE"""),318.0)</f>
        <v>318</v>
      </c>
      <c r="AH588" s="199">
        <f>IFERROR(__xludf.DUMMYFUNCTION("""COMPUTED_VALUE"""),0.0)</f>
        <v>0</v>
      </c>
      <c r="AI588" s="200" t="str">
        <f>IFERROR(__xludf.DUMMYFUNCTION("""COMPUTED_VALUE"""),"Wear Metal Alert | Contamination Alert | Water Ingress | High Particle Count")</f>
        <v>Wear Metal Alert | Contamination Alert | Water Ingress | High Particle Count</v>
      </c>
      <c r="AJ588" s="200" t="str">
        <f>IFERROR(__xludf.DUMMYFUNCTION("""COMPUTED_VALUE"""),"URGENT: Inspect equipment immediately for wear/damage; High wear metals - inspect bearing/gear surfaces; Water detected - inspect seals and breathers; Very high silicon - check/replace air filters, inspect seals; High particle count - replace filters and "&amp;"resample")</f>
        <v>URGENT: Inspect equipment immediately for wear/damage; High wear metals - inspect bearing/gear surfaces; Water detected - inspect seals and breathers; Very high silicon - check/replace air filters, inspect seals; High particle count - replace filters and resample</v>
      </c>
      <c r="AK588" s="204"/>
      <c r="AL588" s="204"/>
      <c r="AM588" s="204"/>
    </row>
    <row r="589" hidden="1">
      <c r="A589" s="199" t="str">
        <f>IFERROR(__xludf.DUMMYFUNCTION("""COMPUTED_VALUE"""),"531.MD302")</f>
        <v>531.MD302</v>
      </c>
      <c r="B589" s="200" t="str">
        <f>IFERROR(__xludf.DUMMYFUNCTION("""COMPUTED_VALUE"""),"Cement Mill #1 Separator GB")</f>
        <v>Cement Mill #1 Separator GB</v>
      </c>
      <c r="C589" s="199">
        <f>IFERROR(__xludf.DUMMYFUNCTION("""COMPUTED_VALUE"""),2.6004401267E10)</f>
        <v>26004401267</v>
      </c>
      <c r="D589" s="201">
        <f>IFERROR(__xludf.DUMMYFUNCTION("""COMPUTED_VALUE"""),46007.0)</f>
        <v>46007</v>
      </c>
      <c r="E589" s="202" t="str">
        <f>IFERROR(__xludf.DUMMYFUNCTION("""COMPUTED_VALUE"""),"Caution")</f>
        <v>Caution</v>
      </c>
      <c r="F589" s="202" t="str">
        <f>IFERROR(__xludf.DUMMYFUNCTION("""COMPUTED_VALUE"""),"Caution")</f>
        <v>Caution</v>
      </c>
      <c r="G589" s="203" t="str">
        <f>IFERROR(__xludf.DUMMYFUNCTION("""COMPUTED_VALUE"""),"Normal")</f>
        <v>Normal</v>
      </c>
      <c r="H589" s="203" t="str">
        <f>IFERROR(__xludf.DUMMYFUNCTION("""COMPUTED_VALUE"""),"Normal")</f>
        <v>Normal</v>
      </c>
      <c r="I589" s="199"/>
      <c r="J589" s="199"/>
      <c r="K589" s="199"/>
      <c r="L589" s="199">
        <f>IFERROR(__xludf.DUMMYFUNCTION("""COMPUTED_VALUE"""),5.0)</f>
        <v>5</v>
      </c>
      <c r="M589" s="199">
        <f>IFERROR(__xludf.DUMMYFUNCTION("""COMPUTED_VALUE"""),292.3)</f>
        <v>292.3</v>
      </c>
      <c r="N589" s="199"/>
      <c r="O589" s="199"/>
      <c r="P589" s="199">
        <f>IFERROR(__xludf.DUMMYFUNCTION("""COMPUTED_VALUE"""),0.01)</f>
        <v>0.01</v>
      </c>
      <c r="Q589" s="199">
        <f>IFERROR(__xludf.DUMMYFUNCTION("""COMPUTED_VALUE"""),0.0)</f>
        <v>0</v>
      </c>
      <c r="R589" s="199">
        <f>IFERROR(__xludf.DUMMYFUNCTION("""COMPUTED_VALUE"""),0.0)</f>
        <v>0</v>
      </c>
      <c r="S589" s="199">
        <f>IFERROR(__xludf.DUMMYFUNCTION("""COMPUTED_VALUE"""),0.0)</f>
        <v>0</v>
      </c>
      <c r="T589" s="199">
        <f>IFERROR(__xludf.DUMMYFUNCTION("""COMPUTED_VALUE"""),0.0)</f>
        <v>0</v>
      </c>
      <c r="U589" s="199">
        <f>IFERROR(__xludf.DUMMYFUNCTION("""COMPUTED_VALUE"""),5.0)</f>
        <v>5</v>
      </c>
      <c r="V589" s="199">
        <f>IFERROR(__xludf.DUMMYFUNCTION("""COMPUTED_VALUE"""),0.0)</f>
        <v>0</v>
      </c>
      <c r="W589" s="199">
        <f>IFERROR(__xludf.DUMMYFUNCTION("""COMPUTED_VALUE"""),0.0)</f>
        <v>0</v>
      </c>
      <c r="X589" s="199">
        <f>IFERROR(__xludf.DUMMYFUNCTION("""COMPUTED_VALUE"""),0.0)</f>
        <v>0</v>
      </c>
      <c r="Y589" s="199">
        <f>IFERROR(__xludf.DUMMYFUNCTION("""COMPUTED_VALUE"""),0.0)</f>
        <v>0</v>
      </c>
      <c r="Z589" s="199">
        <f>IFERROR(__xludf.DUMMYFUNCTION("""COMPUTED_VALUE"""),0.0)</f>
        <v>0</v>
      </c>
      <c r="AA589" s="199">
        <f>IFERROR(__xludf.DUMMYFUNCTION("""COMPUTED_VALUE"""),0.0)</f>
        <v>0</v>
      </c>
      <c r="AB589" s="199">
        <f>IFERROR(__xludf.DUMMYFUNCTION("""COMPUTED_VALUE"""),20.0)</f>
        <v>20</v>
      </c>
      <c r="AC589" s="199">
        <f>IFERROR(__xludf.DUMMYFUNCTION("""COMPUTED_VALUE"""),14.0)</f>
        <v>14</v>
      </c>
      <c r="AD589" s="199">
        <f>IFERROR(__xludf.DUMMYFUNCTION("""COMPUTED_VALUE"""),0.0)</f>
        <v>0</v>
      </c>
      <c r="AE589" s="199">
        <f>IFERROR(__xludf.DUMMYFUNCTION("""COMPUTED_VALUE"""),20.0)</f>
        <v>20</v>
      </c>
      <c r="AF589" s="199">
        <f>IFERROR(__xludf.DUMMYFUNCTION("""COMPUTED_VALUE"""),2.0)</f>
        <v>2</v>
      </c>
      <c r="AG589" s="199">
        <f>IFERROR(__xludf.DUMMYFUNCTION("""COMPUTED_VALUE"""),331.0)</f>
        <v>331</v>
      </c>
      <c r="AH589" s="199">
        <f>IFERROR(__xludf.DUMMYFUNCTION("""COMPUTED_VALUE"""),56.0)</f>
        <v>56</v>
      </c>
      <c r="AI589" s="200" t="str">
        <f>IFERROR(__xludf.DUMMYFUNCTION("""COMPUTED_VALUE"""),"General Caution")</f>
        <v>General Caution</v>
      </c>
      <c r="AJ589" s="200" t="str">
        <f>IFERROR(__xludf.DUMMYFUNCTION("""COMPUTED_VALUE"""),"Continue monitoring; resample at next scheduled interval")</f>
        <v>Continue monitoring; resample at next scheduled interval</v>
      </c>
      <c r="AK589" s="204"/>
      <c r="AL589" s="204"/>
      <c r="AM589" s="204"/>
    </row>
    <row r="590" hidden="1">
      <c r="A590" s="199" t="str">
        <f>IFERROR(__xludf.DUMMYFUNCTION("""COMPUTED_VALUE"""),"541.BE180")</f>
        <v>541.BE180</v>
      </c>
      <c r="B590" s="200" t="str">
        <f>IFERROR(__xludf.DUMMYFUNCTION("""COMPUTED_VALUE"""),"Bucket Elevator Cem. Silo#1 GB.")</f>
        <v>Bucket Elevator Cem. Silo#1 GB.</v>
      </c>
      <c r="C590" s="199">
        <f>IFERROR(__xludf.DUMMYFUNCTION("""COMPUTED_VALUE"""),2.6005501216E10)</f>
        <v>26005501216</v>
      </c>
      <c r="D590" s="201">
        <f>IFERROR(__xludf.DUMMYFUNCTION("""COMPUTED_VALUE"""),46007.0)</f>
        <v>46007</v>
      </c>
      <c r="E590" s="202" t="str">
        <f>IFERROR(__xludf.DUMMYFUNCTION("""COMPUTED_VALUE"""),"Alert")</f>
        <v>Alert</v>
      </c>
      <c r="F590" s="202" t="str">
        <f>IFERROR(__xludf.DUMMYFUNCTION("""COMPUTED_VALUE"""),"Alert")</f>
        <v>Alert</v>
      </c>
      <c r="G590" s="203" t="str">
        <f>IFERROR(__xludf.DUMMYFUNCTION("""COMPUTED_VALUE"""),"Normal")</f>
        <v>Normal</v>
      </c>
      <c r="H590" s="203" t="str">
        <f>IFERROR(__xludf.DUMMYFUNCTION("""COMPUTED_VALUE"""),"Caution")</f>
        <v>Caution</v>
      </c>
      <c r="I590" s="199"/>
      <c r="J590" s="199"/>
      <c r="K590" s="199"/>
      <c r="L590" s="199">
        <f>IFERROR(__xludf.DUMMYFUNCTION("""COMPUTED_VALUE"""),21.0)</f>
        <v>21</v>
      </c>
      <c r="M590" s="199">
        <f>IFERROR(__xludf.DUMMYFUNCTION("""COMPUTED_VALUE"""),262.0)</f>
        <v>262</v>
      </c>
      <c r="N590" s="199"/>
      <c r="O590" s="199"/>
      <c r="P590" s="199">
        <f>IFERROR(__xludf.DUMMYFUNCTION("""COMPUTED_VALUE"""),0.11)</f>
        <v>0.11</v>
      </c>
      <c r="Q590" s="199">
        <f>IFERROR(__xludf.DUMMYFUNCTION("""COMPUTED_VALUE"""),0.0)</f>
        <v>0</v>
      </c>
      <c r="R590" s="199">
        <f>IFERROR(__xludf.DUMMYFUNCTION("""COMPUTED_VALUE"""),0.0)</f>
        <v>0</v>
      </c>
      <c r="S590" s="199">
        <f>IFERROR(__xludf.DUMMYFUNCTION("""COMPUTED_VALUE"""),0.0)</f>
        <v>0</v>
      </c>
      <c r="T590" s="199">
        <f>IFERROR(__xludf.DUMMYFUNCTION("""COMPUTED_VALUE"""),1.0)</f>
        <v>1</v>
      </c>
      <c r="U590" s="199">
        <f>IFERROR(__xludf.DUMMYFUNCTION("""COMPUTED_VALUE"""),6.0)</f>
        <v>6</v>
      </c>
      <c r="V590" s="199">
        <f>IFERROR(__xludf.DUMMYFUNCTION("""COMPUTED_VALUE"""),0.0)</f>
        <v>0</v>
      </c>
      <c r="W590" s="199">
        <f>IFERROR(__xludf.DUMMYFUNCTION("""COMPUTED_VALUE"""),0.0)</f>
        <v>0</v>
      </c>
      <c r="X590" s="199">
        <f>IFERROR(__xludf.DUMMYFUNCTION("""COMPUTED_VALUE"""),0.0)</f>
        <v>0</v>
      </c>
      <c r="Y590" s="199">
        <f>IFERROR(__xludf.DUMMYFUNCTION("""COMPUTED_VALUE"""),0.0)</f>
        <v>0</v>
      </c>
      <c r="Z590" s="199">
        <f>IFERROR(__xludf.DUMMYFUNCTION("""COMPUTED_VALUE"""),0.0)</f>
        <v>0</v>
      </c>
      <c r="AA590" s="199">
        <f>IFERROR(__xludf.DUMMYFUNCTION("""COMPUTED_VALUE"""),0.0)</f>
        <v>0</v>
      </c>
      <c r="AB590" s="199">
        <f>IFERROR(__xludf.DUMMYFUNCTION("""COMPUTED_VALUE"""),13.0)</f>
        <v>13</v>
      </c>
      <c r="AC590" s="199">
        <f>IFERROR(__xludf.DUMMYFUNCTION("""COMPUTED_VALUE"""),0.0)</f>
        <v>0</v>
      </c>
      <c r="AD590" s="199">
        <f>IFERROR(__xludf.DUMMYFUNCTION("""COMPUTED_VALUE"""),0.0)</f>
        <v>0</v>
      </c>
      <c r="AE590" s="199">
        <f>IFERROR(__xludf.DUMMYFUNCTION("""COMPUTED_VALUE"""),16.0)</f>
        <v>16</v>
      </c>
      <c r="AF590" s="199">
        <f>IFERROR(__xludf.DUMMYFUNCTION("""COMPUTED_VALUE"""),0.0)</f>
        <v>0</v>
      </c>
      <c r="AG590" s="199">
        <f>IFERROR(__xludf.DUMMYFUNCTION("""COMPUTED_VALUE"""),752.0)</f>
        <v>752</v>
      </c>
      <c r="AH590" s="199">
        <f>IFERROR(__xludf.DUMMYFUNCTION("""COMPUTED_VALUE"""),66.0)</f>
        <v>66</v>
      </c>
      <c r="AI590" s="200" t="str">
        <f>IFERROR(__xludf.DUMMYFUNCTION("""COMPUTED_VALUE"""),"Water Ingress")</f>
        <v>Water Ingress</v>
      </c>
      <c r="AJ590" s="200" t="str">
        <f>IFERROR(__xludf.DUMMYFUNCTION("""COMPUTED_VALUE"""),"Water detected - inspect seals and breathers")</f>
        <v>Water detected - inspect seals and breathers</v>
      </c>
      <c r="AK590" s="204"/>
      <c r="AL590" s="204"/>
      <c r="AM590" s="204"/>
    </row>
    <row r="591" hidden="1">
      <c r="A591" s="199" t="str">
        <f>IFERROR(__xludf.DUMMYFUNCTION("""COMPUTED_VALUE"""),"542.BE180")</f>
        <v>542.BE180</v>
      </c>
      <c r="B591" s="200" t="str">
        <f>IFERROR(__xludf.DUMMYFUNCTION("""COMPUTED_VALUE"""),"Bucket Elevator Cem. Silo#2 GB.")</f>
        <v>Bucket Elevator Cem. Silo#2 GB.</v>
      </c>
      <c r="C591" s="199">
        <f>IFERROR(__xludf.DUMMYFUNCTION("""COMPUTED_VALUE"""),2.6004401269E10)</f>
        <v>26004401269</v>
      </c>
      <c r="D591" s="201">
        <f>IFERROR(__xludf.DUMMYFUNCTION("""COMPUTED_VALUE"""),46007.0)</f>
        <v>46007</v>
      </c>
      <c r="E591" s="202" t="str">
        <f>IFERROR(__xludf.DUMMYFUNCTION("""COMPUTED_VALUE"""),"Normal")</f>
        <v>Normal</v>
      </c>
      <c r="F591" s="202" t="str">
        <f>IFERROR(__xludf.DUMMYFUNCTION("""COMPUTED_VALUE"""),"Normal")</f>
        <v>Normal</v>
      </c>
      <c r="G591" s="203" t="str">
        <f>IFERROR(__xludf.DUMMYFUNCTION("""COMPUTED_VALUE"""),"Normal")</f>
        <v>Normal</v>
      </c>
      <c r="H591" s="203" t="str">
        <f>IFERROR(__xludf.DUMMYFUNCTION("""COMPUTED_VALUE"""),"Normal")</f>
        <v>Normal</v>
      </c>
      <c r="I591" s="199">
        <f>IFERROR(__xludf.DUMMYFUNCTION("""COMPUTED_VALUE"""),23161.0)</f>
        <v>23161</v>
      </c>
      <c r="J591" s="199">
        <f>IFERROR(__xludf.DUMMYFUNCTION("""COMPUTED_VALUE"""),9474.0)</f>
        <v>9474</v>
      </c>
      <c r="K591" s="199">
        <f>IFERROR(__xludf.DUMMYFUNCTION("""COMPUTED_VALUE"""),3614.0)</f>
        <v>3614</v>
      </c>
      <c r="L591" s="199">
        <f>IFERROR(__xludf.DUMMYFUNCTION("""COMPUTED_VALUE"""),11.0)</f>
        <v>11</v>
      </c>
      <c r="M591" s="199">
        <f>IFERROR(__xludf.DUMMYFUNCTION("""COMPUTED_VALUE"""),288.7)</f>
        <v>288.7</v>
      </c>
      <c r="N591" s="199"/>
      <c r="O591" s="199"/>
      <c r="P591" s="199">
        <f>IFERROR(__xludf.DUMMYFUNCTION("""COMPUTED_VALUE"""),0.01)</f>
        <v>0.01</v>
      </c>
      <c r="Q591" s="199">
        <f>IFERROR(__xludf.DUMMYFUNCTION("""COMPUTED_VALUE"""),0.0)</f>
        <v>0</v>
      </c>
      <c r="R591" s="199">
        <f>IFERROR(__xludf.DUMMYFUNCTION("""COMPUTED_VALUE"""),0.0)</f>
        <v>0</v>
      </c>
      <c r="S591" s="199">
        <f>IFERROR(__xludf.DUMMYFUNCTION("""COMPUTED_VALUE"""),0.0)</f>
        <v>0</v>
      </c>
      <c r="T591" s="199">
        <f>IFERROR(__xludf.DUMMYFUNCTION("""COMPUTED_VALUE"""),0.0)</f>
        <v>0</v>
      </c>
      <c r="U591" s="199">
        <f>IFERROR(__xludf.DUMMYFUNCTION("""COMPUTED_VALUE"""),6.0)</f>
        <v>6</v>
      </c>
      <c r="V591" s="199">
        <f>IFERROR(__xludf.DUMMYFUNCTION("""COMPUTED_VALUE"""),0.0)</f>
        <v>0</v>
      </c>
      <c r="W591" s="199">
        <f>IFERROR(__xludf.DUMMYFUNCTION("""COMPUTED_VALUE"""),0.0)</f>
        <v>0</v>
      </c>
      <c r="X591" s="199">
        <f>IFERROR(__xludf.DUMMYFUNCTION("""COMPUTED_VALUE"""),0.0)</f>
        <v>0</v>
      </c>
      <c r="Y591" s="199">
        <f>IFERROR(__xludf.DUMMYFUNCTION("""COMPUTED_VALUE"""),0.0)</f>
        <v>0</v>
      </c>
      <c r="Z591" s="199">
        <f>IFERROR(__xludf.DUMMYFUNCTION("""COMPUTED_VALUE"""),2.0)</f>
        <v>2</v>
      </c>
      <c r="AA591" s="199">
        <f>IFERROR(__xludf.DUMMYFUNCTION("""COMPUTED_VALUE"""),0.0)</f>
        <v>0</v>
      </c>
      <c r="AB591" s="199">
        <f>IFERROR(__xludf.DUMMYFUNCTION("""COMPUTED_VALUE"""),0.0)</f>
        <v>0</v>
      </c>
      <c r="AC591" s="199">
        <f>IFERROR(__xludf.DUMMYFUNCTION("""COMPUTED_VALUE"""),23.0)</f>
        <v>23</v>
      </c>
      <c r="AD591" s="199">
        <f>IFERROR(__xludf.DUMMYFUNCTION("""COMPUTED_VALUE"""),0.0)</f>
        <v>0</v>
      </c>
      <c r="AE591" s="199">
        <f>IFERROR(__xludf.DUMMYFUNCTION("""COMPUTED_VALUE"""),45.0)</f>
        <v>45</v>
      </c>
      <c r="AF591" s="199">
        <f>IFERROR(__xludf.DUMMYFUNCTION("""COMPUTED_VALUE"""),3.0)</f>
        <v>3</v>
      </c>
      <c r="AG591" s="199">
        <f>IFERROR(__xludf.DUMMYFUNCTION("""COMPUTED_VALUE"""),524.0)</f>
        <v>524</v>
      </c>
      <c r="AH591" s="199">
        <f>IFERROR(__xludf.DUMMYFUNCTION("""COMPUTED_VALUE"""),67.0)</f>
        <v>67</v>
      </c>
      <c r="AI591" s="200" t="str">
        <f>IFERROR(__xludf.DUMMYFUNCTION("""COMPUTED_VALUE"""),"Normal - No Action Required")</f>
        <v>Normal - No Action Required</v>
      </c>
      <c r="AJ591" s="200" t="str">
        <f>IFERROR(__xludf.DUMMYFUNCTION("""COMPUTED_VALUE"""),"Continue routine monitoring and sampling schedule")</f>
        <v>Continue routine monitoring and sampling schedule</v>
      </c>
      <c r="AK591" s="204"/>
      <c r="AL591" s="204"/>
      <c r="AM591" s="204"/>
    </row>
    <row r="592" hidden="1">
      <c r="A592" s="199" t="str">
        <f>IFERROR(__xludf.DUMMYFUNCTION("""COMPUTED_VALUE"""),"R2.432.MD140(N31)")</f>
        <v>R2.432.MD140(N31)</v>
      </c>
      <c r="B592" s="200" t="str">
        <f>IFERROR(__xludf.DUMMYFUNCTION("""COMPUTED_VALUE"""),"Kiln #2 Main drive gearbox (N31)")</f>
        <v>Kiln #2 Main drive gearbox (N31)</v>
      </c>
      <c r="C592" s="199">
        <f>IFERROR(__xludf.DUMMYFUNCTION("""COMPUTED_VALUE"""),2.6004401262E10)</f>
        <v>26004401262</v>
      </c>
      <c r="D592" s="201">
        <f>IFERROR(__xludf.DUMMYFUNCTION("""COMPUTED_VALUE"""),46007.0)</f>
        <v>46007</v>
      </c>
      <c r="E592" s="202" t="str">
        <f>IFERROR(__xludf.DUMMYFUNCTION("""COMPUTED_VALUE"""),"Caution")</f>
        <v>Caution</v>
      </c>
      <c r="F592" s="202" t="str">
        <f>IFERROR(__xludf.DUMMYFUNCTION("""COMPUTED_VALUE"""),"Caution")</f>
        <v>Caution</v>
      </c>
      <c r="G592" s="203" t="str">
        <f>IFERROR(__xludf.DUMMYFUNCTION("""COMPUTED_VALUE"""),"Normal")</f>
        <v>Normal</v>
      </c>
      <c r="H592" s="203" t="str">
        <f>IFERROR(__xludf.DUMMYFUNCTION("""COMPUTED_VALUE"""),"Normal")</f>
        <v>Normal</v>
      </c>
      <c r="I592" s="199"/>
      <c r="J592" s="199"/>
      <c r="K592" s="199"/>
      <c r="L592" s="199">
        <f>IFERROR(__xludf.DUMMYFUNCTION("""COMPUTED_VALUE"""),22.0)</f>
        <v>22</v>
      </c>
      <c r="M592" s="199">
        <f>IFERROR(__xludf.DUMMYFUNCTION("""COMPUTED_VALUE"""),428.3)</f>
        <v>428.3</v>
      </c>
      <c r="N592" s="199"/>
      <c r="O592" s="199">
        <f>IFERROR(__xludf.DUMMYFUNCTION("""COMPUTED_VALUE"""),1.0)</f>
        <v>1</v>
      </c>
      <c r="P592" s="199">
        <f>IFERROR(__xludf.DUMMYFUNCTION("""COMPUTED_VALUE"""),0.04)</f>
        <v>0.04</v>
      </c>
      <c r="Q592" s="199">
        <f>IFERROR(__xludf.DUMMYFUNCTION("""COMPUTED_VALUE"""),0.0)</f>
        <v>0</v>
      </c>
      <c r="R592" s="199">
        <f>IFERROR(__xludf.DUMMYFUNCTION("""COMPUTED_VALUE"""),0.0)</f>
        <v>0</v>
      </c>
      <c r="S592" s="199">
        <f>IFERROR(__xludf.DUMMYFUNCTION("""COMPUTED_VALUE"""),1.0)</f>
        <v>1</v>
      </c>
      <c r="T592" s="199">
        <f>IFERROR(__xludf.DUMMYFUNCTION("""COMPUTED_VALUE"""),0.0)</f>
        <v>0</v>
      </c>
      <c r="U592" s="199">
        <f>IFERROR(__xludf.DUMMYFUNCTION("""COMPUTED_VALUE"""),25.0)</f>
        <v>25</v>
      </c>
      <c r="V592" s="199">
        <f>IFERROR(__xludf.DUMMYFUNCTION("""COMPUTED_VALUE"""),0.0)</f>
        <v>0</v>
      </c>
      <c r="W592" s="199">
        <f>IFERROR(__xludf.DUMMYFUNCTION("""COMPUTED_VALUE"""),0.0)</f>
        <v>0</v>
      </c>
      <c r="X592" s="199">
        <f>IFERROR(__xludf.DUMMYFUNCTION("""COMPUTED_VALUE"""),0.0)</f>
        <v>0</v>
      </c>
      <c r="Y592" s="199">
        <f>IFERROR(__xludf.DUMMYFUNCTION("""COMPUTED_VALUE"""),0.0)</f>
        <v>0</v>
      </c>
      <c r="Z592" s="199">
        <f>IFERROR(__xludf.DUMMYFUNCTION("""COMPUTED_VALUE"""),2.0)</f>
        <v>2</v>
      </c>
      <c r="AA592" s="199">
        <f>IFERROR(__xludf.DUMMYFUNCTION("""COMPUTED_VALUE"""),0.0)</f>
        <v>0</v>
      </c>
      <c r="AB592" s="199">
        <f>IFERROR(__xludf.DUMMYFUNCTION("""COMPUTED_VALUE"""),28.0)</f>
        <v>28</v>
      </c>
      <c r="AC592" s="199">
        <f>IFERROR(__xludf.DUMMYFUNCTION("""COMPUTED_VALUE"""),32.0)</f>
        <v>32</v>
      </c>
      <c r="AD592" s="199">
        <f>IFERROR(__xludf.DUMMYFUNCTION("""COMPUTED_VALUE"""),0.0)</f>
        <v>0</v>
      </c>
      <c r="AE592" s="199">
        <f>IFERROR(__xludf.DUMMYFUNCTION("""COMPUTED_VALUE"""),26.0)</f>
        <v>26</v>
      </c>
      <c r="AF592" s="199">
        <f>IFERROR(__xludf.DUMMYFUNCTION("""COMPUTED_VALUE"""),0.0)</f>
        <v>0</v>
      </c>
      <c r="AG592" s="199">
        <f>IFERROR(__xludf.DUMMYFUNCTION("""COMPUTED_VALUE"""),274.0)</f>
        <v>274</v>
      </c>
      <c r="AH592" s="199">
        <f>IFERROR(__xludf.DUMMYFUNCTION("""COMPUTED_VALUE"""),11.0)</f>
        <v>11</v>
      </c>
      <c r="AI592" s="200" t="str">
        <f>IFERROR(__xludf.DUMMYFUNCTION("""COMPUTED_VALUE"""),"Contamination Caution")</f>
        <v>Contamination Caution</v>
      </c>
      <c r="AJ592" s="200" t="str">
        <f>IFERROR(__xludf.DUMMYFUNCTION("""COMPUTED_VALUE"""),"Silicon elevated - check air filtration and seals")</f>
        <v>Silicon elevated - check air filtration and seals</v>
      </c>
      <c r="AK592" s="204"/>
      <c r="AL592" s="204"/>
      <c r="AM592" s="204"/>
    </row>
    <row r="593" hidden="1">
      <c r="A593" s="199" t="str">
        <f>IFERROR(__xludf.DUMMYFUNCTION("""COMPUTED_VALUE"""),"R2.442.FN590")</f>
        <v>R2.442.FN590</v>
      </c>
      <c r="B593" s="200" t="str">
        <f>IFERROR(__xludf.DUMMYFUNCTION("""COMPUTED_VALUE"""),"Clinker Cooler #2 filter Fan")</f>
        <v>Clinker Cooler #2 filter Fan</v>
      </c>
      <c r="C593" s="199">
        <f>IFERROR(__xludf.DUMMYFUNCTION("""COMPUTED_VALUE"""),2.6005501205E10)</f>
        <v>26005501205</v>
      </c>
      <c r="D593" s="201">
        <f>IFERROR(__xludf.DUMMYFUNCTION("""COMPUTED_VALUE"""),46007.0)</f>
        <v>46007</v>
      </c>
      <c r="E593" s="202" t="str">
        <f>IFERROR(__xludf.DUMMYFUNCTION("""COMPUTED_VALUE"""),"Caution")</f>
        <v>Caution</v>
      </c>
      <c r="F593" s="202" t="str">
        <f>IFERROR(__xludf.DUMMYFUNCTION("""COMPUTED_VALUE"""),"Caution")</f>
        <v>Caution</v>
      </c>
      <c r="G593" s="203" t="str">
        <f>IFERROR(__xludf.DUMMYFUNCTION("""COMPUTED_VALUE"""),"Normal")</f>
        <v>Normal</v>
      </c>
      <c r="H593" s="203" t="str">
        <f>IFERROR(__xludf.DUMMYFUNCTION("""COMPUTED_VALUE"""),"Normal")</f>
        <v>Normal</v>
      </c>
      <c r="I593" s="199"/>
      <c r="J593" s="199"/>
      <c r="K593" s="199"/>
      <c r="L593" s="199">
        <f>IFERROR(__xludf.DUMMYFUNCTION("""COMPUTED_VALUE"""),10.0)</f>
        <v>10</v>
      </c>
      <c r="M593" s="199">
        <f>IFERROR(__xludf.DUMMYFUNCTION("""COMPUTED_VALUE"""),278.1)</f>
        <v>278.1</v>
      </c>
      <c r="N593" s="199"/>
      <c r="O593" s="199"/>
      <c r="P593" s="199">
        <f>IFERROR(__xludf.DUMMYFUNCTION("""COMPUTED_VALUE"""),0.01)</f>
        <v>0.01</v>
      </c>
      <c r="Q593" s="199">
        <f>IFERROR(__xludf.DUMMYFUNCTION("""COMPUTED_VALUE"""),0.0)</f>
        <v>0</v>
      </c>
      <c r="R593" s="199">
        <f>IFERROR(__xludf.DUMMYFUNCTION("""COMPUTED_VALUE"""),0.0)</f>
        <v>0</v>
      </c>
      <c r="S593" s="199">
        <f>IFERROR(__xludf.DUMMYFUNCTION("""COMPUTED_VALUE"""),0.0)</f>
        <v>0</v>
      </c>
      <c r="T593" s="199">
        <f>IFERROR(__xludf.DUMMYFUNCTION("""COMPUTED_VALUE"""),0.0)</f>
        <v>0</v>
      </c>
      <c r="U593" s="199">
        <f>IFERROR(__xludf.DUMMYFUNCTION("""COMPUTED_VALUE"""),0.0)</f>
        <v>0</v>
      </c>
      <c r="V593" s="199">
        <f>IFERROR(__xludf.DUMMYFUNCTION("""COMPUTED_VALUE"""),0.0)</f>
        <v>0</v>
      </c>
      <c r="W593" s="199">
        <f>IFERROR(__xludf.DUMMYFUNCTION("""COMPUTED_VALUE"""),0.0)</f>
        <v>0</v>
      </c>
      <c r="X593" s="199">
        <f>IFERROR(__xludf.DUMMYFUNCTION("""COMPUTED_VALUE"""),5.0)</f>
        <v>5</v>
      </c>
      <c r="Y593" s="199">
        <f>IFERROR(__xludf.DUMMYFUNCTION("""COMPUTED_VALUE"""),0.0)</f>
        <v>0</v>
      </c>
      <c r="Z593" s="199">
        <f>IFERROR(__xludf.DUMMYFUNCTION("""COMPUTED_VALUE"""),0.0)</f>
        <v>0</v>
      </c>
      <c r="AA593" s="199">
        <f>IFERROR(__xludf.DUMMYFUNCTION("""COMPUTED_VALUE"""),0.0)</f>
        <v>0</v>
      </c>
      <c r="AB593" s="199">
        <f>IFERROR(__xludf.DUMMYFUNCTION("""COMPUTED_VALUE"""),38.0)</f>
        <v>38</v>
      </c>
      <c r="AC593" s="199">
        <f>IFERROR(__xludf.DUMMYFUNCTION("""COMPUTED_VALUE"""),13.0)</f>
        <v>13</v>
      </c>
      <c r="AD593" s="199">
        <f>IFERROR(__xludf.DUMMYFUNCTION("""COMPUTED_VALUE"""),0.0)</f>
        <v>0</v>
      </c>
      <c r="AE593" s="199">
        <f>IFERROR(__xludf.DUMMYFUNCTION("""COMPUTED_VALUE"""),20.0)</f>
        <v>20</v>
      </c>
      <c r="AF593" s="199">
        <f>IFERROR(__xludf.DUMMYFUNCTION("""COMPUTED_VALUE"""),0.0)</f>
        <v>0</v>
      </c>
      <c r="AG593" s="199">
        <f>IFERROR(__xludf.DUMMYFUNCTION("""COMPUTED_VALUE"""),760.0)</f>
        <v>760</v>
      </c>
      <c r="AH593" s="199">
        <f>IFERROR(__xludf.DUMMYFUNCTION("""COMPUTED_VALUE"""),51.0)</f>
        <v>51</v>
      </c>
      <c r="AI593" s="200" t="str">
        <f>IFERROR(__xludf.DUMMYFUNCTION("""COMPUTED_VALUE"""),"Contamination Caution")</f>
        <v>Contamination Caution</v>
      </c>
      <c r="AJ593" s="200" t="str">
        <f>IFERROR(__xludf.DUMMYFUNCTION("""COMPUTED_VALUE"""),"Silicon elevated - check air filtration and seals")</f>
        <v>Silicon elevated - check air filtration and seals</v>
      </c>
      <c r="AK593" s="204"/>
      <c r="AL593" s="204"/>
      <c r="AM593" s="204"/>
    </row>
    <row r="594" hidden="1">
      <c r="A594" s="199" t="str">
        <f>IFERROR(__xludf.DUMMYFUNCTION("""COMPUTED_VALUE"""),"352.BE340 L")</f>
        <v>352.BE340 L</v>
      </c>
      <c r="B594" s="200" t="str">
        <f>IFERROR(__xludf.DUMMYFUNCTION("""COMPUTED_VALUE"""),"Bucket Elevator GB - L")</f>
        <v>Bucket Elevator GB - L</v>
      </c>
      <c r="C594" s="199">
        <f>IFERROR(__xludf.DUMMYFUNCTION("""COMPUTED_VALUE"""),2.6004401261E10)</f>
        <v>26004401261</v>
      </c>
      <c r="D594" s="201">
        <f>IFERROR(__xludf.DUMMYFUNCTION("""COMPUTED_VALUE"""),46018.0)</f>
        <v>46018</v>
      </c>
      <c r="E594" s="202" t="str">
        <f>IFERROR(__xludf.DUMMYFUNCTION("""COMPUTED_VALUE"""),"Alert")</f>
        <v>Alert</v>
      </c>
      <c r="F594" s="202" t="str">
        <f>IFERROR(__xludf.DUMMYFUNCTION("""COMPUTED_VALUE"""),"Alert")</f>
        <v>Alert</v>
      </c>
      <c r="G594" s="203" t="str">
        <f>IFERROR(__xludf.DUMMYFUNCTION("""COMPUTED_VALUE"""),"Normal")</f>
        <v>Normal</v>
      </c>
      <c r="H594" s="203" t="str">
        <f>IFERROR(__xludf.DUMMYFUNCTION("""COMPUTED_VALUE"""),"Normal")</f>
        <v>Normal</v>
      </c>
      <c r="I594" s="37"/>
      <c r="J594" s="37"/>
      <c r="K594" s="37"/>
      <c r="L594" s="199">
        <f>IFERROR(__xludf.DUMMYFUNCTION("""COMPUTED_VALUE"""),13.0)</f>
        <v>13</v>
      </c>
      <c r="M594" s="199">
        <f>IFERROR(__xludf.DUMMYFUNCTION("""COMPUTED_VALUE"""),318.2)</f>
        <v>318.2</v>
      </c>
      <c r="N594" s="37"/>
      <c r="O594" s="37"/>
      <c r="P594" s="199">
        <f>IFERROR(__xludf.DUMMYFUNCTION("""COMPUTED_VALUE"""),0.05)</f>
        <v>0.05</v>
      </c>
      <c r="Q594" s="199">
        <f>IFERROR(__xludf.DUMMYFUNCTION("""COMPUTED_VALUE"""),0.0)</f>
        <v>0</v>
      </c>
      <c r="R594" s="199">
        <f>IFERROR(__xludf.DUMMYFUNCTION("""COMPUTED_VALUE"""),0.0)</f>
        <v>0</v>
      </c>
      <c r="S594" s="199">
        <f>IFERROR(__xludf.DUMMYFUNCTION("""COMPUTED_VALUE"""),0.0)</f>
        <v>0</v>
      </c>
      <c r="T594" s="199">
        <f>IFERROR(__xludf.DUMMYFUNCTION("""COMPUTED_VALUE"""),0.0)</f>
        <v>0</v>
      </c>
      <c r="U594" s="199">
        <f>IFERROR(__xludf.DUMMYFUNCTION("""COMPUTED_VALUE"""),62.0)</f>
        <v>62</v>
      </c>
      <c r="V594" s="199">
        <f>IFERROR(__xludf.DUMMYFUNCTION("""COMPUTED_VALUE"""),0.0)</f>
        <v>0</v>
      </c>
      <c r="W594" s="199">
        <f>IFERROR(__xludf.DUMMYFUNCTION("""COMPUTED_VALUE"""),0.0)</f>
        <v>0</v>
      </c>
      <c r="X594" s="199">
        <f>IFERROR(__xludf.DUMMYFUNCTION("""COMPUTED_VALUE"""),0.0)</f>
        <v>0</v>
      </c>
      <c r="Y594" s="199">
        <f>IFERROR(__xludf.DUMMYFUNCTION("""COMPUTED_VALUE"""),0.0)</f>
        <v>0</v>
      </c>
      <c r="Z594" s="199">
        <f>IFERROR(__xludf.DUMMYFUNCTION("""COMPUTED_VALUE"""),0.0)</f>
        <v>0</v>
      </c>
      <c r="AA594" s="199">
        <f>IFERROR(__xludf.DUMMYFUNCTION("""COMPUTED_VALUE"""),0.0)</f>
        <v>0</v>
      </c>
      <c r="AB594" s="199">
        <f>IFERROR(__xludf.DUMMYFUNCTION("""COMPUTED_VALUE"""),54.0)</f>
        <v>54</v>
      </c>
      <c r="AC594" s="199">
        <f>IFERROR(__xludf.DUMMYFUNCTION("""COMPUTED_VALUE"""),14.0)</f>
        <v>14</v>
      </c>
      <c r="AD594" s="199">
        <f>IFERROR(__xludf.DUMMYFUNCTION("""COMPUTED_VALUE"""),0.0)</f>
        <v>0</v>
      </c>
      <c r="AE594" s="199">
        <f>IFERROR(__xludf.DUMMYFUNCTION("""COMPUTED_VALUE"""),9.0)</f>
        <v>9</v>
      </c>
      <c r="AF594" s="199">
        <f>IFERROR(__xludf.DUMMYFUNCTION("""COMPUTED_VALUE"""),2.0)</f>
        <v>2</v>
      </c>
      <c r="AG594" s="199">
        <f>IFERROR(__xludf.DUMMYFUNCTION("""COMPUTED_VALUE"""),331.0)</f>
        <v>331</v>
      </c>
      <c r="AH594" s="199">
        <f>IFERROR(__xludf.DUMMYFUNCTION("""COMPUTED_VALUE"""),52.0)</f>
        <v>52</v>
      </c>
      <c r="AI594" s="200" t="str">
        <f>IFERROR(__xludf.DUMMYFUNCTION("""COMPUTED_VALUE"""),"Contamination Alert")</f>
        <v>Contamination Alert</v>
      </c>
      <c r="AJ594" s="200" t="str">
        <f>IFERROR(__xludf.DUMMYFUNCTION("""COMPUTED_VALUE"""),"Elevated silicon - inspect filters and seals for contamination")</f>
        <v>Elevated silicon - inspect filters and seals for contamination</v>
      </c>
      <c r="AK594" s="204"/>
      <c r="AL594" s="204"/>
      <c r="AM594" s="204"/>
    </row>
    <row r="595" hidden="1">
      <c r="A595" s="199" t="str">
        <f>IFERROR(__xludf.DUMMYFUNCTION("""COMPUTED_VALUE"""),"431.KB101(2)")</f>
        <v>431.KB101(2)</v>
      </c>
      <c r="B595" s="200" t="str">
        <f>IFERROR(__xludf.DUMMYFUNCTION("""COMPUTED_VALUE"""),"Kiln Bearing")</f>
        <v>Kiln Bearing</v>
      </c>
      <c r="C595" s="199">
        <f>IFERROR(__xludf.DUMMYFUNCTION("""COMPUTED_VALUE"""),2.6005501224E10)</f>
        <v>26005501224</v>
      </c>
      <c r="D595" s="201">
        <f>IFERROR(__xludf.DUMMYFUNCTION("""COMPUTED_VALUE"""),46018.0)</f>
        <v>46018</v>
      </c>
      <c r="E595" s="202" t="str">
        <f>IFERROR(__xludf.DUMMYFUNCTION("""COMPUTED_VALUE"""),"Alert")</f>
        <v>Alert</v>
      </c>
      <c r="F595" s="202" t="str">
        <f>IFERROR(__xludf.DUMMYFUNCTION("""COMPUTED_VALUE"""),"Caution")</f>
        <v>Caution</v>
      </c>
      <c r="G595" s="203" t="str">
        <f>IFERROR(__xludf.DUMMYFUNCTION("""COMPUTED_VALUE"""),"Alert")</f>
        <v>Alert</v>
      </c>
      <c r="H595" s="203" t="str">
        <f>IFERROR(__xludf.DUMMYFUNCTION("""COMPUTED_VALUE"""),"Normal")</f>
        <v>Normal</v>
      </c>
      <c r="I595" s="199"/>
      <c r="J595" s="199"/>
      <c r="K595" s="199"/>
      <c r="L595" s="199">
        <f>IFERROR(__xludf.DUMMYFUNCTION("""COMPUTED_VALUE"""),73.0)</f>
        <v>73</v>
      </c>
      <c r="M595" s="199">
        <f>IFERROR(__xludf.DUMMYFUNCTION("""COMPUTED_VALUE"""),48.5)</f>
        <v>48.5</v>
      </c>
      <c r="N595" s="199"/>
      <c r="O595" s="199">
        <f>IFERROR(__xludf.DUMMYFUNCTION("""COMPUTED_VALUE"""),8.0)</f>
        <v>8</v>
      </c>
      <c r="P595" s="199"/>
      <c r="Q595" s="199">
        <f>IFERROR(__xludf.DUMMYFUNCTION("""COMPUTED_VALUE"""),0.0)</f>
        <v>0</v>
      </c>
      <c r="R595" s="199">
        <f>IFERROR(__xludf.DUMMYFUNCTION("""COMPUTED_VALUE"""),0.0)</f>
        <v>0</v>
      </c>
      <c r="S595" s="199">
        <f>IFERROR(__xludf.DUMMYFUNCTION("""COMPUTED_VALUE"""),0.0)</f>
        <v>0</v>
      </c>
      <c r="T595" s="199">
        <f>IFERROR(__xludf.DUMMYFUNCTION("""COMPUTED_VALUE"""),116.0)</f>
        <v>116</v>
      </c>
      <c r="U595" s="199">
        <f>IFERROR(__xludf.DUMMYFUNCTION("""COMPUTED_VALUE"""),82.0)</f>
        <v>82</v>
      </c>
      <c r="V595" s="199">
        <f>IFERROR(__xludf.DUMMYFUNCTION("""COMPUTED_VALUE"""),0.0)</f>
        <v>0</v>
      </c>
      <c r="W595" s="199">
        <f>IFERROR(__xludf.DUMMYFUNCTION("""COMPUTED_VALUE"""),0.0)</f>
        <v>0</v>
      </c>
      <c r="X595" s="199">
        <f>IFERROR(__xludf.DUMMYFUNCTION("""COMPUTED_VALUE"""),2.0)</f>
        <v>2</v>
      </c>
      <c r="Y595" s="199">
        <f>IFERROR(__xludf.DUMMYFUNCTION("""COMPUTED_VALUE"""),7.0)</f>
        <v>7</v>
      </c>
      <c r="Z595" s="199">
        <f>IFERROR(__xludf.DUMMYFUNCTION("""COMPUTED_VALUE"""),0.0)</f>
        <v>0</v>
      </c>
      <c r="AA595" s="199">
        <f>IFERROR(__xludf.DUMMYFUNCTION("""COMPUTED_VALUE"""),0.0)</f>
        <v>0</v>
      </c>
      <c r="AB595" s="199">
        <f>IFERROR(__xludf.DUMMYFUNCTION("""COMPUTED_VALUE"""),0.0)</f>
        <v>0</v>
      </c>
      <c r="AC595" s="199">
        <f>IFERROR(__xludf.DUMMYFUNCTION("""COMPUTED_VALUE"""),25.0)</f>
        <v>25</v>
      </c>
      <c r="AD595" s="199">
        <f>IFERROR(__xludf.DUMMYFUNCTION("""COMPUTED_VALUE"""),0.0)</f>
        <v>0</v>
      </c>
      <c r="AE595" s="199">
        <f>IFERROR(__xludf.DUMMYFUNCTION("""COMPUTED_VALUE"""),66.0)</f>
        <v>66</v>
      </c>
      <c r="AF595" s="199">
        <f>IFERROR(__xludf.DUMMYFUNCTION("""COMPUTED_VALUE"""),5.0)</f>
        <v>5</v>
      </c>
      <c r="AG595" s="199">
        <f>IFERROR(__xludf.DUMMYFUNCTION("""COMPUTED_VALUE"""),409.0)</f>
        <v>409</v>
      </c>
      <c r="AH595" s="199">
        <f>IFERROR(__xludf.DUMMYFUNCTION("""COMPUTED_VALUE"""),0.0)</f>
        <v>0</v>
      </c>
      <c r="AI595" s="200" t="str">
        <f>IFERROR(__xludf.DUMMYFUNCTION("""COMPUTED_VALUE"""),"Wear Metal Alert")</f>
        <v>Wear Metal Alert</v>
      </c>
      <c r="AJ595" s="200" t="str">
        <f>IFERROR(__xludf.DUMMYFUNCTION("""COMPUTED_VALUE"""),"URGENT: Inspect equipment immediately for wear/damage; High wear metals - inspect bearing/gear surfaces; Severe oxidation - lubricant change required urgently")</f>
        <v>URGENT: Inspect equipment immediately for wear/damage; High wear metals - inspect bearing/gear surfaces; Severe oxidation - lubricant change required urgently</v>
      </c>
      <c r="AK595" s="204"/>
      <c r="AL595" s="204"/>
      <c r="AM595" s="204"/>
    </row>
    <row r="596" hidden="1">
      <c r="A596" s="199" t="str">
        <f>IFERROR(__xludf.DUMMYFUNCTION("""COMPUTED_VALUE"""),"431.KB103(2)")</f>
        <v>431.KB103(2)</v>
      </c>
      <c r="B596" s="200" t="str">
        <f>IFERROR(__xludf.DUMMYFUNCTION("""COMPUTED_VALUE"""),"Kiln Bearing")</f>
        <v>Kiln Bearing</v>
      </c>
      <c r="C596" s="199">
        <f>IFERROR(__xludf.DUMMYFUNCTION("""COMPUTED_VALUE"""),2.6005501214E10)</f>
        <v>26005501214</v>
      </c>
      <c r="D596" s="201">
        <f>IFERROR(__xludf.DUMMYFUNCTION("""COMPUTED_VALUE"""),46018.0)</f>
        <v>46018</v>
      </c>
      <c r="E596" s="202" t="str">
        <f>IFERROR(__xludf.DUMMYFUNCTION("""COMPUTED_VALUE"""),"Alert")</f>
        <v>Alert</v>
      </c>
      <c r="F596" s="202" t="str">
        <f>IFERROR(__xludf.DUMMYFUNCTION("""COMPUTED_VALUE"""),"Caution")</f>
        <v>Caution</v>
      </c>
      <c r="G596" s="203" t="str">
        <f>IFERROR(__xludf.DUMMYFUNCTION("""COMPUTED_VALUE"""),"Alert")</f>
        <v>Alert</v>
      </c>
      <c r="H596" s="203" t="str">
        <f>IFERROR(__xludf.DUMMYFUNCTION("""COMPUTED_VALUE"""),"Normal")</f>
        <v>Normal</v>
      </c>
      <c r="I596" s="37"/>
      <c r="J596" s="37"/>
      <c r="K596" s="37"/>
      <c r="L596" s="199">
        <f>IFERROR(__xludf.DUMMYFUNCTION("""COMPUTED_VALUE"""),101.0)</f>
        <v>101</v>
      </c>
      <c r="M596" s="199">
        <f>IFERROR(__xludf.DUMMYFUNCTION("""COMPUTED_VALUE"""),42.6)</f>
        <v>42.6</v>
      </c>
      <c r="N596" s="199"/>
      <c r="O596" s="199">
        <f>IFERROR(__xludf.DUMMYFUNCTION("""COMPUTED_VALUE"""),11.0)</f>
        <v>11</v>
      </c>
      <c r="P596" s="37"/>
      <c r="Q596" s="199">
        <f>IFERROR(__xludf.DUMMYFUNCTION("""COMPUTED_VALUE"""),0.0)</f>
        <v>0</v>
      </c>
      <c r="R596" s="199">
        <f>IFERROR(__xludf.DUMMYFUNCTION("""COMPUTED_VALUE"""),1.0)</f>
        <v>1</v>
      </c>
      <c r="S596" s="199">
        <f>IFERROR(__xludf.DUMMYFUNCTION("""COMPUTED_VALUE"""),0.0)</f>
        <v>0</v>
      </c>
      <c r="T596" s="199">
        <f>IFERROR(__xludf.DUMMYFUNCTION("""COMPUTED_VALUE"""),27.0)</f>
        <v>27</v>
      </c>
      <c r="U596" s="199">
        <f>IFERROR(__xludf.DUMMYFUNCTION("""COMPUTED_VALUE"""),314.0)</f>
        <v>314</v>
      </c>
      <c r="V596" s="199">
        <f>IFERROR(__xludf.DUMMYFUNCTION("""COMPUTED_VALUE"""),2.0)</f>
        <v>2</v>
      </c>
      <c r="W596" s="199">
        <f>IFERROR(__xludf.DUMMYFUNCTION("""COMPUTED_VALUE"""),0.0)</f>
        <v>0</v>
      </c>
      <c r="X596" s="199">
        <f>IFERROR(__xludf.DUMMYFUNCTION("""COMPUTED_VALUE"""),0.0)</f>
        <v>0</v>
      </c>
      <c r="Y596" s="199">
        <f>IFERROR(__xludf.DUMMYFUNCTION("""COMPUTED_VALUE"""),0.0)</f>
        <v>0</v>
      </c>
      <c r="Z596" s="199">
        <f>IFERROR(__xludf.DUMMYFUNCTION("""COMPUTED_VALUE"""),0.0)</f>
        <v>0</v>
      </c>
      <c r="AA596" s="199">
        <f>IFERROR(__xludf.DUMMYFUNCTION("""COMPUTED_VALUE"""),0.0)</f>
        <v>0</v>
      </c>
      <c r="AB596" s="199">
        <f>IFERROR(__xludf.DUMMYFUNCTION("""COMPUTED_VALUE"""),10.0)</f>
        <v>10</v>
      </c>
      <c r="AC596" s="199">
        <f>IFERROR(__xludf.DUMMYFUNCTION("""COMPUTED_VALUE"""),15.0)</f>
        <v>15</v>
      </c>
      <c r="AD596" s="199">
        <f>IFERROR(__xludf.DUMMYFUNCTION("""COMPUTED_VALUE"""),0.0)</f>
        <v>0</v>
      </c>
      <c r="AE596" s="199">
        <f>IFERROR(__xludf.DUMMYFUNCTION("""COMPUTED_VALUE"""),129.0)</f>
        <v>129</v>
      </c>
      <c r="AF596" s="199">
        <f>IFERROR(__xludf.DUMMYFUNCTION("""COMPUTED_VALUE"""),8.0)</f>
        <v>8</v>
      </c>
      <c r="AG596" s="199">
        <f>IFERROR(__xludf.DUMMYFUNCTION("""COMPUTED_VALUE"""),424.0)</f>
        <v>424</v>
      </c>
      <c r="AH596" s="199">
        <f>IFERROR(__xludf.DUMMYFUNCTION("""COMPUTED_VALUE"""),34.0)</f>
        <v>34</v>
      </c>
      <c r="AI596" s="200" t="str">
        <f>IFERROR(__xludf.DUMMYFUNCTION("""COMPUTED_VALUE"""),"Wear Metal Alert | High Particle Count")</f>
        <v>Wear Metal Alert | High Particle Count</v>
      </c>
      <c r="AJ596" s="200" t="str">
        <f>IFERROR(__xludf.DUMMYFUNCTION("""COMPUTED_VALUE"""),"URGENT: Inspect equipment immediately for wear/damage; Critical wear metals detected - schedule immediate inspection; High wear metals - inspect bearing/gear surfaces; Severe oxidation - lubricant change required urgently; High particle count - replace fi"&amp;"lters and resample")</f>
        <v>URGENT: Inspect equipment immediately for wear/damage; Critical wear metals detected - schedule immediate inspection; High wear metals - inspect bearing/gear surfaces; Severe oxidation - lubricant change required urgently; High particle count - replace filters and resample</v>
      </c>
      <c r="AK596" s="204"/>
      <c r="AL596" s="204"/>
      <c r="AM596" s="204"/>
    </row>
    <row r="597" hidden="1">
      <c r="A597" s="199" t="str">
        <f>IFERROR(__xludf.DUMMYFUNCTION("""COMPUTED_VALUE"""),"471.CV200")</f>
        <v>471.CV200</v>
      </c>
      <c r="B597" s="200" t="str">
        <f>IFERROR(__xludf.DUMMYFUNCTION("""COMPUTED_VALUE"""),"Drag chain geared motor")</f>
        <v>Drag chain geared motor</v>
      </c>
      <c r="C597" s="199">
        <f>IFERROR(__xludf.DUMMYFUNCTION("""COMPUTED_VALUE"""),2.6005501226E10)</f>
        <v>26005501226</v>
      </c>
      <c r="D597" s="201">
        <f>IFERROR(__xludf.DUMMYFUNCTION("""COMPUTED_VALUE"""),46018.0)</f>
        <v>46018</v>
      </c>
      <c r="E597" s="202" t="str">
        <f>IFERROR(__xludf.DUMMYFUNCTION("""COMPUTED_VALUE"""),"Caution")</f>
        <v>Caution</v>
      </c>
      <c r="F597" s="202" t="str">
        <f>IFERROR(__xludf.DUMMYFUNCTION("""COMPUTED_VALUE"""),"Caution")</f>
        <v>Caution</v>
      </c>
      <c r="G597" s="203" t="str">
        <f>IFERROR(__xludf.DUMMYFUNCTION("""COMPUTED_VALUE"""),"Normal")</f>
        <v>Normal</v>
      </c>
      <c r="H597" s="203" t="str">
        <f>IFERROR(__xludf.DUMMYFUNCTION("""COMPUTED_VALUE"""),"Normal")</f>
        <v>Normal</v>
      </c>
      <c r="I597" s="37"/>
      <c r="J597" s="37"/>
      <c r="K597" s="37"/>
      <c r="L597" s="199">
        <f>IFERROR(__xludf.DUMMYFUNCTION("""COMPUTED_VALUE"""),18.0)</f>
        <v>18</v>
      </c>
      <c r="M597" s="199">
        <f>IFERROR(__xludf.DUMMYFUNCTION("""COMPUTED_VALUE"""),310.2)</f>
        <v>310.2</v>
      </c>
      <c r="N597" s="199"/>
      <c r="O597" s="199"/>
      <c r="P597" s="37">
        <f>IFERROR(__xludf.DUMMYFUNCTION("""COMPUTED_VALUE"""),0.04)</f>
        <v>0.04</v>
      </c>
      <c r="Q597" s="199">
        <f>IFERROR(__xludf.DUMMYFUNCTION("""COMPUTED_VALUE"""),0.0)</f>
        <v>0</v>
      </c>
      <c r="R597" s="199">
        <f>IFERROR(__xludf.DUMMYFUNCTION("""COMPUTED_VALUE"""),0.0)</f>
        <v>0</v>
      </c>
      <c r="S597" s="199">
        <f>IFERROR(__xludf.DUMMYFUNCTION("""COMPUTED_VALUE"""),0.0)</f>
        <v>0</v>
      </c>
      <c r="T597" s="199">
        <f>IFERROR(__xludf.DUMMYFUNCTION("""COMPUTED_VALUE"""),0.0)</f>
        <v>0</v>
      </c>
      <c r="U597" s="199">
        <f>IFERROR(__xludf.DUMMYFUNCTION("""COMPUTED_VALUE"""),9.0)</f>
        <v>9</v>
      </c>
      <c r="V597" s="199">
        <f>IFERROR(__xludf.DUMMYFUNCTION("""COMPUTED_VALUE"""),0.0)</f>
        <v>0</v>
      </c>
      <c r="W597" s="199">
        <f>IFERROR(__xludf.DUMMYFUNCTION("""COMPUTED_VALUE"""),0.0)</f>
        <v>0</v>
      </c>
      <c r="X597" s="199">
        <f>IFERROR(__xludf.DUMMYFUNCTION("""COMPUTED_VALUE"""),0.0)</f>
        <v>0</v>
      </c>
      <c r="Y597" s="199">
        <f>IFERROR(__xludf.DUMMYFUNCTION("""COMPUTED_VALUE"""),0.0)</f>
        <v>0</v>
      </c>
      <c r="Z597" s="199">
        <f>IFERROR(__xludf.DUMMYFUNCTION("""COMPUTED_VALUE"""),0.0)</f>
        <v>0</v>
      </c>
      <c r="AA597" s="199">
        <f>IFERROR(__xludf.DUMMYFUNCTION("""COMPUTED_VALUE"""),0.0)</f>
        <v>0</v>
      </c>
      <c r="AB597" s="199">
        <f>IFERROR(__xludf.DUMMYFUNCTION("""COMPUTED_VALUE"""),24.0)</f>
        <v>24</v>
      </c>
      <c r="AC597" s="199">
        <f>IFERROR(__xludf.DUMMYFUNCTION("""COMPUTED_VALUE"""),13.0)</f>
        <v>13</v>
      </c>
      <c r="AD597" s="199">
        <f>IFERROR(__xludf.DUMMYFUNCTION("""COMPUTED_VALUE"""),0.0)</f>
        <v>0</v>
      </c>
      <c r="AE597" s="199">
        <f>IFERROR(__xludf.DUMMYFUNCTION("""COMPUTED_VALUE"""),32.0)</f>
        <v>32</v>
      </c>
      <c r="AF597" s="199">
        <f>IFERROR(__xludf.DUMMYFUNCTION("""COMPUTED_VALUE"""),2.0)</f>
        <v>2</v>
      </c>
      <c r="AG597" s="199">
        <f>IFERROR(__xludf.DUMMYFUNCTION("""COMPUTED_VALUE"""),658.0)</f>
        <v>658</v>
      </c>
      <c r="AH597" s="199">
        <f>IFERROR(__xludf.DUMMYFUNCTION("""COMPUTED_VALUE"""),3.0)</f>
        <v>3</v>
      </c>
      <c r="AI597" s="200" t="str">
        <f>IFERROR(__xludf.DUMMYFUNCTION("""COMPUTED_VALUE"""),"Contamination Caution")</f>
        <v>Contamination Caution</v>
      </c>
      <c r="AJ597" s="200" t="str">
        <f>IFERROR(__xludf.DUMMYFUNCTION("""COMPUTED_VALUE"""),"Silicon elevated - check air filtration and seals")</f>
        <v>Silicon elevated - check air filtration and seals</v>
      </c>
      <c r="AK597" s="204"/>
      <c r="AL597" s="204"/>
      <c r="AM597" s="204"/>
    </row>
    <row r="598" hidden="1">
      <c r="A598" s="199" t="str">
        <f>IFERROR(__xludf.DUMMYFUNCTION("""COMPUTED_VALUE"""),"482.BC600")</f>
        <v>482.BC600</v>
      </c>
      <c r="B598" s="200" t="str">
        <f>IFERROR(__xludf.DUMMYFUNCTION("""COMPUTED_VALUE"""),"Belt conveyor Gearbox")</f>
        <v>Belt conveyor Gearbox</v>
      </c>
      <c r="C598" s="199">
        <f>IFERROR(__xludf.DUMMYFUNCTION("""COMPUTED_VALUE"""),2.6004401258E10)</f>
        <v>26004401258</v>
      </c>
      <c r="D598" s="201">
        <f>IFERROR(__xludf.DUMMYFUNCTION("""COMPUTED_VALUE"""),46018.0)</f>
        <v>46018</v>
      </c>
      <c r="E598" s="202" t="str">
        <f>IFERROR(__xludf.DUMMYFUNCTION("""COMPUTED_VALUE"""),"Caution")</f>
        <v>Caution</v>
      </c>
      <c r="F598" s="202" t="str">
        <f>IFERROR(__xludf.DUMMYFUNCTION("""COMPUTED_VALUE"""),"Caution")</f>
        <v>Caution</v>
      </c>
      <c r="G598" s="203" t="str">
        <f>IFERROR(__xludf.DUMMYFUNCTION("""COMPUTED_VALUE"""),"Normal")</f>
        <v>Normal</v>
      </c>
      <c r="H598" s="203" t="str">
        <f>IFERROR(__xludf.DUMMYFUNCTION("""COMPUTED_VALUE"""),"Caution")</f>
        <v>Caution</v>
      </c>
      <c r="I598" s="37"/>
      <c r="J598" s="37"/>
      <c r="K598" s="37"/>
      <c r="L598" s="199">
        <f>IFERROR(__xludf.DUMMYFUNCTION("""COMPUTED_VALUE"""),10.0)</f>
        <v>10</v>
      </c>
      <c r="M598" s="199">
        <f>IFERROR(__xludf.DUMMYFUNCTION("""COMPUTED_VALUE"""),249.1)</f>
        <v>249.1</v>
      </c>
      <c r="N598" s="199"/>
      <c r="O598" s="199"/>
      <c r="P598" s="37">
        <f>IFERROR(__xludf.DUMMYFUNCTION("""COMPUTED_VALUE"""),0.01)</f>
        <v>0.01</v>
      </c>
      <c r="Q598" s="199">
        <f>IFERROR(__xludf.DUMMYFUNCTION("""COMPUTED_VALUE"""),0.0)</f>
        <v>0</v>
      </c>
      <c r="R598" s="199">
        <f>IFERROR(__xludf.DUMMYFUNCTION("""COMPUTED_VALUE"""),0.0)</f>
        <v>0</v>
      </c>
      <c r="S598" s="199">
        <f>IFERROR(__xludf.DUMMYFUNCTION("""COMPUTED_VALUE"""),0.0)</f>
        <v>0</v>
      </c>
      <c r="T598" s="199">
        <f>IFERROR(__xludf.DUMMYFUNCTION("""COMPUTED_VALUE"""),0.0)</f>
        <v>0</v>
      </c>
      <c r="U598" s="199">
        <f>IFERROR(__xludf.DUMMYFUNCTION("""COMPUTED_VALUE"""),3.0)</f>
        <v>3</v>
      </c>
      <c r="V598" s="199">
        <f>IFERROR(__xludf.DUMMYFUNCTION("""COMPUTED_VALUE"""),0.0)</f>
        <v>0</v>
      </c>
      <c r="W598" s="199">
        <f>IFERROR(__xludf.DUMMYFUNCTION("""COMPUTED_VALUE"""),0.0)</f>
        <v>0</v>
      </c>
      <c r="X598" s="199">
        <f>IFERROR(__xludf.DUMMYFUNCTION("""COMPUTED_VALUE"""),0.0)</f>
        <v>0</v>
      </c>
      <c r="Y598" s="199">
        <f>IFERROR(__xludf.DUMMYFUNCTION("""COMPUTED_VALUE"""),0.0)</f>
        <v>0</v>
      </c>
      <c r="Z598" s="199">
        <f>IFERROR(__xludf.DUMMYFUNCTION("""COMPUTED_VALUE"""),0.0)</f>
        <v>0</v>
      </c>
      <c r="AA598" s="199">
        <f>IFERROR(__xludf.DUMMYFUNCTION("""COMPUTED_VALUE"""),0.0)</f>
        <v>0</v>
      </c>
      <c r="AB598" s="199">
        <f>IFERROR(__xludf.DUMMYFUNCTION("""COMPUTED_VALUE"""),6.0)</f>
        <v>6</v>
      </c>
      <c r="AC598" s="199">
        <f>IFERROR(__xludf.DUMMYFUNCTION("""COMPUTED_VALUE"""),29.0)</f>
        <v>29</v>
      </c>
      <c r="AD598" s="199">
        <f>IFERROR(__xludf.DUMMYFUNCTION("""COMPUTED_VALUE"""),0.0)</f>
        <v>0</v>
      </c>
      <c r="AE598" s="199">
        <f>IFERROR(__xludf.DUMMYFUNCTION("""COMPUTED_VALUE"""),12.0)</f>
        <v>12</v>
      </c>
      <c r="AF598" s="199">
        <f>IFERROR(__xludf.DUMMYFUNCTION("""COMPUTED_VALUE"""),2.0)</f>
        <v>2</v>
      </c>
      <c r="AG598" s="199">
        <f>IFERROR(__xludf.DUMMYFUNCTION("""COMPUTED_VALUE"""),340.0)</f>
        <v>340</v>
      </c>
      <c r="AH598" s="199">
        <f>IFERROR(__xludf.DUMMYFUNCTION("""COMPUTED_VALUE"""),0.0)</f>
        <v>0</v>
      </c>
      <c r="AI598" s="200" t="str">
        <f>IFERROR(__xludf.DUMMYFUNCTION("""COMPUTED_VALUE"""),"General Caution")</f>
        <v>General Caution</v>
      </c>
      <c r="AJ598" s="200" t="str">
        <f>IFERROR(__xludf.DUMMYFUNCTION("""COMPUTED_VALUE"""),"Lubricant showing degradation - plan oil change within 3 months")</f>
        <v>Lubricant showing degradation - plan oil change within 3 months</v>
      </c>
      <c r="AK598" s="204"/>
      <c r="AL598" s="204"/>
      <c r="AM598" s="204"/>
    </row>
    <row r="599" hidden="1">
      <c r="A599" s="199" t="str">
        <f>IFERROR(__xludf.DUMMYFUNCTION("""COMPUTED_VALUE"""),"532.BE220")</f>
        <v>532.BE220</v>
      </c>
      <c r="B599" s="200" t="str">
        <f>IFERROR(__xludf.DUMMYFUNCTION("""COMPUTED_VALUE"""),"Bucket Elevator BM#2 GB.")</f>
        <v>Bucket Elevator BM#2 GB.</v>
      </c>
      <c r="C599" s="199">
        <f>IFERROR(__xludf.DUMMYFUNCTION("""COMPUTED_VALUE"""),2.600440126E10)</f>
        <v>26004401260</v>
      </c>
      <c r="D599" s="201">
        <f>IFERROR(__xludf.DUMMYFUNCTION("""COMPUTED_VALUE"""),46018.0)</f>
        <v>46018</v>
      </c>
      <c r="E599" s="202" t="str">
        <f>IFERROR(__xludf.DUMMYFUNCTION("""COMPUTED_VALUE"""),"Alert")</f>
        <v>Alert</v>
      </c>
      <c r="F599" s="202" t="str">
        <f>IFERROR(__xludf.DUMMYFUNCTION("""COMPUTED_VALUE"""),"Alert")</f>
        <v>Alert</v>
      </c>
      <c r="G599" s="203" t="str">
        <f>IFERROR(__xludf.DUMMYFUNCTION("""COMPUTED_VALUE"""),"Normal")</f>
        <v>Normal</v>
      </c>
      <c r="H599" s="203" t="str">
        <f>IFERROR(__xludf.DUMMYFUNCTION("""COMPUTED_VALUE"""),"Normal")</f>
        <v>Normal</v>
      </c>
      <c r="I599" s="37"/>
      <c r="J599" s="37"/>
      <c r="K599" s="37"/>
      <c r="L599" s="199">
        <f>IFERROR(__xludf.DUMMYFUNCTION("""COMPUTED_VALUE"""),23.0)</f>
        <v>23</v>
      </c>
      <c r="M599" s="199">
        <f>IFERROR(__xludf.DUMMYFUNCTION("""COMPUTED_VALUE"""),286.0)</f>
        <v>286</v>
      </c>
      <c r="N599" s="199"/>
      <c r="O599" s="199">
        <f>IFERROR(__xludf.DUMMYFUNCTION("""COMPUTED_VALUE"""),0.0)</f>
        <v>0</v>
      </c>
      <c r="P599" s="37">
        <f>IFERROR(__xludf.DUMMYFUNCTION("""COMPUTED_VALUE"""),0.1)</f>
        <v>0.1</v>
      </c>
      <c r="Q599" s="199">
        <f>IFERROR(__xludf.DUMMYFUNCTION("""COMPUTED_VALUE"""),0.0)</f>
        <v>0</v>
      </c>
      <c r="R599" s="199">
        <f>IFERROR(__xludf.DUMMYFUNCTION("""COMPUTED_VALUE"""),6.0)</f>
        <v>6</v>
      </c>
      <c r="S599" s="199">
        <f>IFERROR(__xludf.DUMMYFUNCTION("""COMPUTED_VALUE"""),0.0)</f>
        <v>0</v>
      </c>
      <c r="T599" s="199">
        <f>IFERROR(__xludf.DUMMYFUNCTION("""COMPUTED_VALUE"""),0.0)</f>
        <v>0</v>
      </c>
      <c r="U599" s="199">
        <f>IFERROR(__xludf.DUMMYFUNCTION("""COMPUTED_VALUE"""),54.0)</f>
        <v>54</v>
      </c>
      <c r="V599" s="199">
        <f>IFERROR(__xludf.DUMMYFUNCTION("""COMPUTED_VALUE"""),0.0)</f>
        <v>0</v>
      </c>
      <c r="W599" s="199">
        <f>IFERROR(__xludf.DUMMYFUNCTION("""COMPUTED_VALUE"""),0.0)</f>
        <v>0</v>
      </c>
      <c r="X599" s="199">
        <f>IFERROR(__xludf.DUMMYFUNCTION("""COMPUTED_VALUE"""),0.0)</f>
        <v>0</v>
      </c>
      <c r="Y599" s="199">
        <f>IFERROR(__xludf.DUMMYFUNCTION("""COMPUTED_VALUE"""),0.0)</f>
        <v>0</v>
      </c>
      <c r="Z599" s="199">
        <f>IFERROR(__xludf.DUMMYFUNCTION("""COMPUTED_VALUE"""),2.0)</f>
        <v>2</v>
      </c>
      <c r="AA599" s="199">
        <f>IFERROR(__xludf.DUMMYFUNCTION("""COMPUTED_VALUE"""),0.0)</f>
        <v>0</v>
      </c>
      <c r="AB599" s="199">
        <f>IFERROR(__xludf.DUMMYFUNCTION("""COMPUTED_VALUE"""),34.0)</f>
        <v>34</v>
      </c>
      <c r="AC599" s="199">
        <f>IFERROR(__xludf.DUMMYFUNCTION("""COMPUTED_VALUE"""),35.0)</f>
        <v>35</v>
      </c>
      <c r="AD599" s="199">
        <f>IFERROR(__xludf.DUMMYFUNCTION("""COMPUTED_VALUE"""),0.0)</f>
        <v>0</v>
      </c>
      <c r="AE599" s="199">
        <f>IFERROR(__xludf.DUMMYFUNCTION("""COMPUTED_VALUE"""),60.0)</f>
        <v>60</v>
      </c>
      <c r="AF599" s="199">
        <f>IFERROR(__xludf.DUMMYFUNCTION("""COMPUTED_VALUE"""),6.0)</f>
        <v>6</v>
      </c>
      <c r="AG599" s="199">
        <f>IFERROR(__xludf.DUMMYFUNCTION("""COMPUTED_VALUE"""),217.0)</f>
        <v>217</v>
      </c>
      <c r="AH599" s="199">
        <f>IFERROR(__xludf.DUMMYFUNCTION("""COMPUTED_VALUE"""),17.0)</f>
        <v>17</v>
      </c>
      <c r="AI599" s="200" t="str">
        <f>IFERROR(__xludf.DUMMYFUNCTION("""COMPUTED_VALUE"""),"General Alert")</f>
        <v>General Alert</v>
      </c>
      <c r="AJ599" s="200" t="str">
        <f>IFERROR(__xludf.DUMMYFUNCTION("""COMPUTED_VALUE"""),"Elevated silicon - inspect filters and seals for contamination")</f>
        <v>Elevated silicon - inspect filters and seals for contamination</v>
      </c>
      <c r="AK599" s="204"/>
      <c r="AL599" s="204"/>
      <c r="AM599" s="204"/>
    </row>
    <row r="600" hidden="1">
      <c r="A600" s="199" t="str">
        <f>IFERROR(__xludf.DUMMYFUNCTION("""COMPUTED_VALUE"""),"532.LQ145")</f>
        <v>532.LQ145</v>
      </c>
      <c r="B600" s="200" t="str">
        <f>IFERROR(__xludf.DUMMYFUNCTION("""COMPUTED_VALUE"""),"Cement Mill #2 Gear box")</f>
        <v>Cement Mill #2 Gear box</v>
      </c>
      <c r="C600" s="199">
        <f>IFERROR(__xludf.DUMMYFUNCTION("""COMPUTED_VALUE"""),2.6005501209E10)</f>
        <v>26005501209</v>
      </c>
      <c r="D600" s="201">
        <f>IFERROR(__xludf.DUMMYFUNCTION("""COMPUTED_VALUE"""),46018.0)</f>
        <v>46018</v>
      </c>
      <c r="E600" s="202" t="str">
        <f>IFERROR(__xludf.DUMMYFUNCTION("""COMPUTED_VALUE"""),"Alert")</f>
        <v>Alert</v>
      </c>
      <c r="F600" s="202" t="str">
        <f>IFERROR(__xludf.DUMMYFUNCTION("""COMPUTED_VALUE"""),"Alert")</f>
        <v>Alert</v>
      </c>
      <c r="G600" s="203" t="str">
        <f>IFERROR(__xludf.DUMMYFUNCTION("""COMPUTED_VALUE"""),"Alert")</f>
        <v>Alert</v>
      </c>
      <c r="H600" s="203" t="str">
        <f>IFERROR(__xludf.DUMMYFUNCTION("""COMPUTED_VALUE"""),"Normal")</f>
        <v>Normal</v>
      </c>
      <c r="I600" s="37"/>
      <c r="J600" s="37"/>
      <c r="K600" s="37"/>
      <c r="L600" s="199">
        <f>IFERROR(__xludf.DUMMYFUNCTION("""COMPUTED_VALUE"""),479.0)</f>
        <v>479</v>
      </c>
      <c r="M600" s="199">
        <f>IFERROR(__xludf.DUMMYFUNCTION("""COMPUTED_VALUE"""),469.2)</f>
        <v>469.2</v>
      </c>
      <c r="N600" s="199"/>
      <c r="O600" s="199">
        <f>IFERROR(__xludf.DUMMYFUNCTION("""COMPUTED_VALUE"""),4.0)</f>
        <v>4</v>
      </c>
      <c r="P600" s="37">
        <f>IFERROR(__xludf.DUMMYFUNCTION("""COMPUTED_VALUE"""),0.3)</f>
        <v>0.3</v>
      </c>
      <c r="Q600" s="199">
        <f>IFERROR(__xludf.DUMMYFUNCTION("""COMPUTED_VALUE"""),0.0)</f>
        <v>0</v>
      </c>
      <c r="R600" s="199">
        <f>IFERROR(__xludf.DUMMYFUNCTION("""COMPUTED_VALUE"""),46.0)</f>
        <v>46</v>
      </c>
      <c r="S600" s="199">
        <f>IFERROR(__xludf.DUMMYFUNCTION("""COMPUTED_VALUE"""),0.0)</f>
        <v>0</v>
      </c>
      <c r="T600" s="199">
        <f>IFERROR(__xludf.DUMMYFUNCTION("""COMPUTED_VALUE"""),2.0)</f>
        <v>2</v>
      </c>
      <c r="U600" s="199">
        <f>IFERROR(__xludf.DUMMYFUNCTION("""COMPUTED_VALUE"""),332.0)</f>
        <v>332</v>
      </c>
      <c r="V600" s="199">
        <f>IFERROR(__xludf.DUMMYFUNCTION("""COMPUTED_VALUE"""),2.0)</f>
        <v>2</v>
      </c>
      <c r="W600" s="199">
        <f>IFERROR(__xludf.DUMMYFUNCTION("""COMPUTED_VALUE"""),0.0)</f>
        <v>0</v>
      </c>
      <c r="X600" s="199">
        <f>IFERROR(__xludf.DUMMYFUNCTION("""COMPUTED_VALUE"""),0.0)</f>
        <v>0</v>
      </c>
      <c r="Y600" s="199">
        <f>IFERROR(__xludf.DUMMYFUNCTION("""COMPUTED_VALUE"""),0.0)</f>
        <v>0</v>
      </c>
      <c r="Z600" s="199">
        <f>IFERROR(__xludf.DUMMYFUNCTION("""COMPUTED_VALUE"""),0.0)</f>
        <v>0</v>
      </c>
      <c r="AA600" s="199">
        <f>IFERROR(__xludf.DUMMYFUNCTION("""COMPUTED_VALUE"""),0.0)</f>
        <v>0</v>
      </c>
      <c r="AB600" s="199">
        <f>IFERROR(__xludf.DUMMYFUNCTION("""COMPUTED_VALUE"""),232.0)</f>
        <v>232</v>
      </c>
      <c r="AC600" s="199">
        <f>IFERROR(__xludf.DUMMYFUNCTION("""COMPUTED_VALUE"""),51.0)</f>
        <v>51</v>
      </c>
      <c r="AD600" s="199">
        <f>IFERROR(__xludf.DUMMYFUNCTION("""COMPUTED_VALUE"""),0.0)</f>
        <v>0</v>
      </c>
      <c r="AE600" s="199">
        <f>IFERROR(__xludf.DUMMYFUNCTION("""COMPUTED_VALUE"""),1201.0)</f>
        <v>1201</v>
      </c>
      <c r="AF600" s="199">
        <f>IFERROR(__xludf.DUMMYFUNCTION("""COMPUTED_VALUE"""),66.0)</f>
        <v>66</v>
      </c>
      <c r="AG600" s="199">
        <f>IFERROR(__xludf.DUMMYFUNCTION("""COMPUTED_VALUE"""),641.0)</f>
        <v>641</v>
      </c>
      <c r="AH600" s="199">
        <f>IFERROR(__xludf.DUMMYFUNCTION("""COMPUTED_VALUE"""),18.0)</f>
        <v>18</v>
      </c>
      <c r="AI600" s="200" t="str">
        <f>IFERROR(__xludf.DUMMYFUNCTION("""COMPUTED_VALUE"""),"Wear Metal Alert | Contamination Alert | Water Ingress | High Particle Count")</f>
        <v>Wear Metal Alert | Contamination Alert | Water Ingress | High Particle Count</v>
      </c>
      <c r="AJ600" s="200" t="str">
        <f>IFERROR(__xludf.DUMMYFUNCTION("""COMPUTED_VALUE"""),"URGENT: Inspect equipment immediately for wear/damage; Critical wear metals detected - schedule immediate inspection; High wear metals - inspect bearing/gear surfaces; High water contamination - check seals and drain water immediately; Very high silicon -"&amp;" check/replace air filters, inspect seals; Critical particle count - flush system and replace filters")</f>
        <v>URGENT: Inspect equipment immediately for wear/damage; Critical wear metals detected - schedule immediate inspection; High wear metals - inspect bearing/gear surfaces; High water contamination - check seals and drain water immediately; Very high silicon - check/replace air filters, inspect seals; Critical particle count - flush system and replace filters</v>
      </c>
      <c r="AK600" s="204"/>
      <c r="AL600" s="204"/>
      <c r="AM600" s="204"/>
    </row>
    <row r="601" hidden="1">
      <c r="A601" s="199" t="str">
        <f>IFERROR(__xludf.DUMMYFUNCTION("""COMPUTED_VALUE"""),"533.LQ145")</f>
        <v>533.LQ145</v>
      </c>
      <c r="B601" s="200" t="str">
        <f>IFERROR(__xludf.DUMMYFUNCTION("""COMPUTED_VALUE"""),"Cement Mill #3 Gear box")</f>
        <v>Cement Mill #3 Gear box</v>
      </c>
      <c r="C601" s="199">
        <f>IFERROR(__xludf.DUMMYFUNCTION("""COMPUTED_VALUE"""),2.6004401253E10)</f>
        <v>26004401253</v>
      </c>
      <c r="D601" s="201">
        <f>IFERROR(__xludf.DUMMYFUNCTION("""COMPUTED_VALUE"""),46018.0)</f>
        <v>46018</v>
      </c>
      <c r="E601" s="202" t="str">
        <f>IFERROR(__xludf.DUMMYFUNCTION("""COMPUTED_VALUE"""),"Alert")</f>
        <v>Alert</v>
      </c>
      <c r="F601" s="202" t="str">
        <f>IFERROR(__xludf.DUMMYFUNCTION("""COMPUTED_VALUE"""),"Alert")</f>
        <v>Alert</v>
      </c>
      <c r="G601" s="203" t="str">
        <f>IFERROR(__xludf.DUMMYFUNCTION("""COMPUTED_VALUE"""),"Alert")</f>
        <v>Alert</v>
      </c>
      <c r="H601" s="203" t="str">
        <f>IFERROR(__xludf.DUMMYFUNCTION("""COMPUTED_VALUE"""),"Caution")</f>
        <v>Caution</v>
      </c>
      <c r="I601" s="37"/>
      <c r="J601" s="37"/>
      <c r="K601" s="37"/>
      <c r="L601" s="199">
        <f>IFERROR(__xludf.DUMMYFUNCTION("""COMPUTED_VALUE"""),125.0)</f>
        <v>125</v>
      </c>
      <c r="M601" s="199">
        <f>IFERROR(__xludf.DUMMYFUNCTION("""COMPUTED_VALUE"""),435.1)</f>
        <v>435.1</v>
      </c>
      <c r="N601" s="199"/>
      <c r="O601" s="199">
        <f>IFERROR(__xludf.DUMMYFUNCTION("""COMPUTED_VALUE"""),5.0)</f>
        <v>5</v>
      </c>
      <c r="P601" s="37">
        <f>IFERROR(__xludf.DUMMYFUNCTION("""COMPUTED_VALUE"""),0.3)</f>
        <v>0.3</v>
      </c>
      <c r="Q601" s="199">
        <f>IFERROR(__xludf.DUMMYFUNCTION("""COMPUTED_VALUE"""),0.0)</f>
        <v>0</v>
      </c>
      <c r="R601" s="199">
        <f>IFERROR(__xludf.DUMMYFUNCTION("""COMPUTED_VALUE"""),28.0)</f>
        <v>28</v>
      </c>
      <c r="S601" s="199">
        <f>IFERROR(__xludf.DUMMYFUNCTION("""COMPUTED_VALUE"""),0.0)</f>
        <v>0</v>
      </c>
      <c r="T601" s="199">
        <f>IFERROR(__xludf.DUMMYFUNCTION("""COMPUTED_VALUE"""),26.0)</f>
        <v>26</v>
      </c>
      <c r="U601" s="199">
        <f>IFERROR(__xludf.DUMMYFUNCTION("""COMPUTED_VALUE"""),92.0)</f>
        <v>92</v>
      </c>
      <c r="V601" s="199">
        <f>IFERROR(__xludf.DUMMYFUNCTION("""COMPUTED_VALUE"""),0.0)</f>
        <v>0</v>
      </c>
      <c r="W601" s="199">
        <f>IFERROR(__xludf.DUMMYFUNCTION("""COMPUTED_VALUE"""),0.0)</f>
        <v>0</v>
      </c>
      <c r="X601" s="199">
        <f>IFERROR(__xludf.DUMMYFUNCTION("""COMPUTED_VALUE"""),15.0)</f>
        <v>15</v>
      </c>
      <c r="Y601" s="199">
        <f>IFERROR(__xludf.DUMMYFUNCTION("""COMPUTED_VALUE"""),0.0)</f>
        <v>0</v>
      </c>
      <c r="Z601" s="199">
        <f>IFERROR(__xludf.DUMMYFUNCTION("""COMPUTED_VALUE"""),0.0)</f>
        <v>0</v>
      </c>
      <c r="AA601" s="199">
        <f>IFERROR(__xludf.DUMMYFUNCTION("""COMPUTED_VALUE"""),0.0)</f>
        <v>0</v>
      </c>
      <c r="AB601" s="199">
        <f>IFERROR(__xludf.DUMMYFUNCTION("""COMPUTED_VALUE"""),140.0)</f>
        <v>140</v>
      </c>
      <c r="AC601" s="199">
        <f>IFERROR(__xludf.DUMMYFUNCTION("""COMPUTED_VALUE"""),16.0)</f>
        <v>16</v>
      </c>
      <c r="AD601" s="199">
        <f>IFERROR(__xludf.DUMMYFUNCTION("""COMPUTED_VALUE"""),0.0)</f>
        <v>0</v>
      </c>
      <c r="AE601" s="199">
        <f>IFERROR(__xludf.DUMMYFUNCTION("""COMPUTED_VALUE"""),286.0)</f>
        <v>286</v>
      </c>
      <c r="AF601" s="199">
        <f>IFERROR(__xludf.DUMMYFUNCTION("""COMPUTED_VALUE"""),5.0)</f>
        <v>5</v>
      </c>
      <c r="AG601" s="199">
        <f>IFERROR(__xludf.DUMMYFUNCTION("""COMPUTED_VALUE"""),254.0)</f>
        <v>254</v>
      </c>
      <c r="AH601" s="199">
        <f>IFERROR(__xludf.DUMMYFUNCTION("""COMPUTED_VALUE"""),0.0)</f>
        <v>0</v>
      </c>
      <c r="AI601" s="200" t="str">
        <f>IFERROR(__xludf.DUMMYFUNCTION("""COMPUTED_VALUE"""),"Wear Metal Alert | Contamination Alert | Water Ingress | High Particle Count")</f>
        <v>Wear Metal Alert | Contamination Alert | Water Ingress | High Particle Count</v>
      </c>
      <c r="AJ601" s="200" t="str">
        <f>IFERROR(__xludf.DUMMYFUNCTION("""COMPUTED_VALUE"""),"URGENT: Inspect equipment immediately for wear/damage; High water contamination - check seals and drain water immediately; Severe oxidation - lubricant change required urgently; Very high silicon - check/replace air filters, inspect seals; High particle c"&amp;"ount - replace filters and resample")</f>
        <v>URGENT: Inspect equipment immediately for wear/damage; High water contamination - check seals and drain water immediately; Severe oxidation - lubricant change required urgently; Very high silicon - check/replace air filters, inspect seals; High particle count - replace filters and resample</v>
      </c>
      <c r="AK601" s="204"/>
      <c r="AL601" s="204"/>
      <c r="AM601" s="204"/>
    </row>
    <row r="602" hidden="1">
      <c r="A602" s="199" t="str">
        <f>IFERROR(__xludf.DUMMYFUNCTION("""COMPUTED_VALUE"""),"534.BE220")</f>
        <v>534.BE220</v>
      </c>
      <c r="B602" s="200" t="str">
        <f>IFERROR(__xludf.DUMMYFUNCTION("""COMPUTED_VALUE"""),"Bucket Elevator BM#4 GB.")</f>
        <v>Bucket Elevator BM#4 GB.</v>
      </c>
      <c r="C602" s="199">
        <f>IFERROR(__xludf.DUMMYFUNCTION("""COMPUTED_VALUE"""),2.6004401268E10)</f>
        <v>26004401268</v>
      </c>
      <c r="D602" s="201">
        <f>IFERROR(__xludf.DUMMYFUNCTION("""COMPUTED_VALUE"""),46018.0)</f>
        <v>46018</v>
      </c>
      <c r="E602" s="202" t="str">
        <f>IFERROR(__xludf.DUMMYFUNCTION("""COMPUTED_VALUE"""),"Normal")</f>
        <v>Normal</v>
      </c>
      <c r="F602" s="202" t="str">
        <f>IFERROR(__xludf.DUMMYFUNCTION("""COMPUTED_VALUE"""),"Normal")</f>
        <v>Normal</v>
      </c>
      <c r="G602" s="203" t="str">
        <f>IFERROR(__xludf.DUMMYFUNCTION("""COMPUTED_VALUE"""),"Normal")</f>
        <v>Normal</v>
      </c>
      <c r="H602" s="203" t="str">
        <f>IFERROR(__xludf.DUMMYFUNCTION("""COMPUTED_VALUE"""),"Normal")</f>
        <v>Normal</v>
      </c>
      <c r="I602" s="37">
        <f>IFERROR(__xludf.DUMMYFUNCTION("""COMPUTED_VALUE"""),31951.0)</f>
        <v>31951</v>
      </c>
      <c r="J602" s="37">
        <f>IFERROR(__xludf.DUMMYFUNCTION("""COMPUTED_VALUE"""),17749.0)</f>
        <v>17749</v>
      </c>
      <c r="K602" s="37">
        <f>IFERROR(__xludf.DUMMYFUNCTION("""COMPUTED_VALUE"""),5116.0)</f>
        <v>5116</v>
      </c>
      <c r="L602" s="199">
        <f>IFERROR(__xludf.DUMMYFUNCTION("""COMPUTED_VALUE"""),22.0)</f>
        <v>22</v>
      </c>
      <c r="M602" s="199">
        <f>IFERROR(__xludf.DUMMYFUNCTION("""COMPUTED_VALUE"""),302.3)</f>
        <v>302.3</v>
      </c>
      <c r="N602" s="199"/>
      <c r="O602" s="199">
        <f>IFERROR(__xludf.DUMMYFUNCTION("""COMPUTED_VALUE"""),1.0)</f>
        <v>1</v>
      </c>
      <c r="P602" s="37">
        <f>IFERROR(__xludf.DUMMYFUNCTION("""COMPUTED_VALUE"""),0.04)</f>
        <v>0.04</v>
      </c>
      <c r="Q602" s="199">
        <f>IFERROR(__xludf.DUMMYFUNCTION("""COMPUTED_VALUE"""),0.0)</f>
        <v>0</v>
      </c>
      <c r="R602" s="199">
        <f>IFERROR(__xludf.DUMMYFUNCTION("""COMPUTED_VALUE"""),3.0)</f>
        <v>3</v>
      </c>
      <c r="S602" s="199">
        <f>IFERROR(__xludf.DUMMYFUNCTION("""COMPUTED_VALUE"""),0.0)</f>
        <v>0</v>
      </c>
      <c r="T602" s="199">
        <f>IFERROR(__xludf.DUMMYFUNCTION("""COMPUTED_VALUE"""),0.0)</f>
        <v>0</v>
      </c>
      <c r="U602" s="199">
        <f>IFERROR(__xludf.DUMMYFUNCTION("""COMPUTED_VALUE"""),27.0)</f>
        <v>27</v>
      </c>
      <c r="V602" s="199">
        <f>IFERROR(__xludf.DUMMYFUNCTION("""COMPUTED_VALUE"""),0.0)</f>
        <v>0</v>
      </c>
      <c r="W602" s="199">
        <f>IFERROR(__xludf.DUMMYFUNCTION("""COMPUTED_VALUE"""),0.0)</f>
        <v>0</v>
      </c>
      <c r="X602" s="199">
        <f>IFERROR(__xludf.DUMMYFUNCTION("""COMPUTED_VALUE"""),0.0)</f>
        <v>0</v>
      </c>
      <c r="Y602" s="199">
        <f>IFERROR(__xludf.DUMMYFUNCTION("""COMPUTED_VALUE"""),0.0)</f>
        <v>0</v>
      </c>
      <c r="Z602" s="199">
        <f>IFERROR(__xludf.DUMMYFUNCTION("""COMPUTED_VALUE"""),2.0)</f>
        <v>2</v>
      </c>
      <c r="AA602" s="199">
        <f>IFERROR(__xludf.DUMMYFUNCTION("""COMPUTED_VALUE"""),0.0)</f>
        <v>0</v>
      </c>
      <c r="AB602" s="199">
        <f>IFERROR(__xludf.DUMMYFUNCTION("""COMPUTED_VALUE"""),20.0)</f>
        <v>20</v>
      </c>
      <c r="AC602" s="199">
        <f>IFERROR(__xludf.DUMMYFUNCTION("""COMPUTED_VALUE"""),22.0)</f>
        <v>22</v>
      </c>
      <c r="AD602" s="199">
        <f>IFERROR(__xludf.DUMMYFUNCTION("""COMPUTED_VALUE"""),0.0)</f>
        <v>0</v>
      </c>
      <c r="AE602" s="199">
        <f>IFERROR(__xludf.DUMMYFUNCTION("""COMPUTED_VALUE"""),94.0)</f>
        <v>94</v>
      </c>
      <c r="AF602" s="199">
        <f>IFERROR(__xludf.DUMMYFUNCTION("""COMPUTED_VALUE"""),6.0)</f>
        <v>6</v>
      </c>
      <c r="AG602" s="199">
        <f>IFERROR(__xludf.DUMMYFUNCTION("""COMPUTED_VALUE"""),441.0)</f>
        <v>441</v>
      </c>
      <c r="AH602" s="199">
        <f>IFERROR(__xludf.DUMMYFUNCTION("""COMPUTED_VALUE"""),13.0)</f>
        <v>13</v>
      </c>
      <c r="AI602" s="200" t="str">
        <f>IFERROR(__xludf.DUMMYFUNCTION("""COMPUTED_VALUE"""),"Normal - No Action Required")</f>
        <v>Normal - No Action Required</v>
      </c>
      <c r="AJ602" s="200" t="str">
        <f>IFERROR(__xludf.DUMMYFUNCTION("""COMPUTED_VALUE"""),"Continue routine monitoring and sampling schedule")</f>
        <v>Continue routine monitoring and sampling schedule</v>
      </c>
      <c r="AK602" s="204"/>
      <c r="AL602" s="204"/>
      <c r="AM602" s="204"/>
    </row>
    <row r="603" hidden="1">
      <c r="A603" s="199" t="str">
        <f>IFERROR(__xludf.DUMMYFUNCTION("""COMPUTED_VALUE"""),"534.LQ145 GearBox")</f>
        <v>534.LQ145 GearBox</v>
      </c>
      <c r="B603" s="200" t="str">
        <f>IFERROR(__xludf.DUMMYFUNCTION("""COMPUTED_VALUE"""),"Cement Mill #4 Gear box")</f>
        <v>Cement Mill #4 Gear box</v>
      </c>
      <c r="C603" s="199">
        <f>IFERROR(__xludf.DUMMYFUNCTION("""COMPUTED_VALUE"""),2.600550121E10)</f>
        <v>26005501210</v>
      </c>
      <c r="D603" s="201">
        <f>IFERROR(__xludf.DUMMYFUNCTION("""COMPUTED_VALUE"""),46018.0)</f>
        <v>46018</v>
      </c>
      <c r="E603" s="202" t="str">
        <f>IFERROR(__xludf.DUMMYFUNCTION("""COMPUTED_VALUE"""),"Alert")</f>
        <v>Alert</v>
      </c>
      <c r="F603" s="202" t="str">
        <f>IFERROR(__xludf.DUMMYFUNCTION("""COMPUTED_VALUE"""),"Alert")</f>
        <v>Alert</v>
      </c>
      <c r="G603" s="203" t="str">
        <f>IFERROR(__xludf.DUMMYFUNCTION("""COMPUTED_VALUE"""),"Alert")</f>
        <v>Alert</v>
      </c>
      <c r="H603" s="203" t="str">
        <f>IFERROR(__xludf.DUMMYFUNCTION("""COMPUTED_VALUE"""),"Normal")</f>
        <v>Normal</v>
      </c>
      <c r="I603" s="37"/>
      <c r="J603" s="37"/>
      <c r="K603" s="37"/>
      <c r="L603" s="199">
        <f>IFERROR(__xludf.DUMMYFUNCTION("""COMPUTED_VALUE"""),60.0)</f>
        <v>60</v>
      </c>
      <c r="M603" s="199">
        <f>IFERROR(__xludf.DUMMYFUNCTION("""COMPUTED_VALUE"""),443.6)</f>
        <v>443.6</v>
      </c>
      <c r="N603" s="199"/>
      <c r="O603" s="199">
        <f>IFERROR(__xludf.DUMMYFUNCTION("""COMPUTED_VALUE"""),0.0)</f>
        <v>0</v>
      </c>
      <c r="P603" s="37">
        <f>IFERROR(__xludf.DUMMYFUNCTION("""COMPUTED_VALUE"""),0.2)</f>
        <v>0.2</v>
      </c>
      <c r="Q603" s="199">
        <f>IFERROR(__xludf.DUMMYFUNCTION("""COMPUTED_VALUE"""),0.0)</f>
        <v>0</v>
      </c>
      <c r="R603" s="199">
        <f>IFERROR(__xludf.DUMMYFUNCTION("""COMPUTED_VALUE"""),10.0)</f>
        <v>10</v>
      </c>
      <c r="S603" s="199">
        <f>IFERROR(__xludf.DUMMYFUNCTION("""COMPUTED_VALUE"""),0.0)</f>
        <v>0</v>
      </c>
      <c r="T603" s="199">
        <f>IFERROR(__xludf.DUMMYFUNCTION("""COMPUTED_VALUE"""),0.0)</f>
        <v>0</v>
      </c>
      <c r="U603" s="199">
        <f>IFERROR(__xludf.DUMMYFUNCTION("""COMPUTED_VALUE"""),94.0)</f>
        <v>94</v>
      </c>
      <c r="V603" s="199">
        <f>IFERROR(__xludf.DUMMYFUNCTION("""COMPUTED_VALUE"""),2.0)</f>
        <v>2</v>
      </c>
      <c r="W603" s="199">
        <f>IFERROR(__xludf.DUMMYFUNCTION("""COMPUTED_VALUE"""),0.0)</f>
        <v>0</v>
      </c>
      <c r="X603" s="199">
        <f>IFERROR(__xludf.DUMMYFUNCTION("""COMPUTED_VALUE"""),0.0)</f>
        <v>0</v>
      </c>
      <c r="Y603" s="199">
        <f>IFERROR(__xludf.DUMMYFUNCTION("""COMPUTED_VALUE"""),0.0)</f>
        <v>0</v>
      </c>
      <c r="Z603" s="199">
        <f>IFERROR(__xludf.DUMMYFUNCTION("""COMPUTED_VALUE"""),0.0)</f>
        <v>0</v>
      </c>
      <c r="AA603" s="199">
        <f>IFERROR(__xludf.DUMMYFUNCTION("""COMPUTED_VALUE"""),0.0)</f>
        <v>0</v>
      </c>
      <c r="AB603" s="199">
        <f>IFERROR(__xludf.DUMMYFUNCTION("""COMPUTED_VALUE"""),44.0)</f>
        <v>44</v>
      </c>
      <c r="AC603" s="199">
        <f>IFERROR(__xludf.DUMMYFUNCTION("""COMPUTED_VALUE"""),26.0)</f>
        <v>26</v>
      </c>
      <c r="AD603" s="199">
        <f>IFERROR(__xludf.DUMMYFUNCTION("""COMPUTED_VALUE"""),0.0)</f>
        <v>0</v>
      </c>
      <c r="AE603" s="199">
        <f>IFERROR(__xludf.DUMMYFUNCTION("""COMPUTED_VALUE"""),383.0)</f>
        <v>383</v>
      </c>
      <c r="AF603" s="199">
        <f>IFERROR(__xludf.DUMMYFUNCTION("""COMPUTED_VALUE"""),16.0)</f>
        <v>16</v>
      </c>
      <c r="AG603" s="199">
        <f>IFERROR(__xludf.DUMMYFUNCTION("""COMPUTED_VALUE"""),683.0)</f>
        <v>683</v>
      </c>
      <c r="AH603" s="199">
        <f>IFERROR(__xludf.DUMMYFUNCTION("""COMPUTED_VALUE"""),16.0)</f>
        <v>16</v>
      </c>
      <c r="AI603" s="200" t="str">
        <f>IFERROR(__xludf.DUMMYFUNCTION("""COMPUTED_VALUE"""),"Wear Metal Alert | Water Ingress")</f>
        <v>Wear Metal Alert | Water Ingress</v>
      </c>
      <c r="AJ603" s="200" t="str">
        <f>IFERROR(__xludf.DUMMYFUNCTION("""COMPUTED_VALUE"""),"URGENT: Inspect equipment immediately for wear/damage; Water detected - inspect seals and breathers; Elevated silicon - inspect filters and seals for contamination")</f>
        <v>URGENT: Inspect equipment immediately for wear/damage; Water detected - inspect seals and breathers; Elevated silicon - inspect filters and seals for contamination</v>
      </c>
      <c r="AK603" s="204"/>
      <c r="AL603" s="204"/>
      <c r="AM603" s="204"/>
    </row>
    <row r="604" hidden="1">
      <c r="A604" s="199" t="str">
        <f>IFERROR(__xludf.DUMMYFUNCTION("""COMPUTED_VALUE"""),"534.MD302")</f>
        <v>534.MD302</v>
      </c>
      <c r="B604" s="200" t="str">
        <f>IFERROR(__xludf.DUMMYFUNCTION("""COMPUTED_VALUE"""),"Cement Mill #4 Separator GB")</f>
        <v>Cement Mill #4 Separator GB</v>
      </c>
      <c r="C604" s="199">
        <f>IFERROR(__xludf.DUMMYFUNCTION("""COMPUTED_VALUE"""),2.6004401259E10)</f>
        <v>26004401259</v>
      </c>
      <c r="D604" s="201">
        <f>IFERROR(__xludf.DUMMYFUNCTION("""COMPUTED_VALUE"""),46018.0)</f>
        <v>46018</v>
      </c>
      <c r="E604" s="202" t="str">
        <f>IFERROR(__xludf.DUMMYFUNCTION("""COMPUTED_VALUE"""),"Alert")</f>
        <v>Alert</v>
      </c>
      <c r="F604" s="202" t="str">
        <f>IFERROR(__xludf.DUMMYFUNCTION("""COMPUTED_VALUE"""),"Caution")</f>
        <v>Caution</v>
      </c>
      <c r="G604" s="203" t="str">
        <f>IFERROR(__xludf.DUMMYFUNCTION("""COMPUTED_VALUE"""),"Normal")</f>
        <v>Normal</v>
      </c>
      <c r="H604" s="203" t="str">
        <f>IFERROR(__xludf.DUMMYFUNCTION("""COMPUTED_VALUE"""),"Alert")</f>
        <v>Alert</v>
      </c>
      <c r="I604" s="37"/>
      <c r="J604" s="37"/>
      <c r="K604" s="37"/>
      <c r="L604" s="199">
        <f>IFERROR(__xludf.DUMMYFUNCTION("""COMPUTED_VALUE"""),25.0)</f>
        <v>25</v>
      </c>
      <c r="M604" s="199">
        <f>IFERROR(__xludf.DUMMYFUNCTION("""COMPUTED_VALUE"""),232.5)</f>
        <v>232.5</v>
      </c>
      <c r="N604" s="199"/>
      <c r="O604" s="199"/>
      <c r="P604" s="37">
        <f>IFERROR(__xludf.DUMMYFUNCTION("""COMPUTED_VALUE"""),0.01)</f>
        <v>0.01</v>
      </c>
      <c r="Q604" s="199">
        <f>IFERROR(__xludf.DUMMYFUNCTION("""COMPUTED_VALUE"""),0.0)</f>
        <v>0</v>
      </c>
      <c r="R604" s="199">
        <f>IFERROR(__xludf.DUMMYFUNCTION("""COMPUTED_VALUE"""),2.0)</f>
        <v>2</v>
      </c>
      <c r="S604" s="199">
        <f>IFERROR(__xludf.DUMMYFUNCTION("""COMPUTED_VALUE"""),0.0)</f>
        <v>0</v>
      </c>
      <c r="T604" s="199">
        <f>IFERROR(__xludf.DUMMYFUNCTION("""COMPUTED_VALUE"""),0.0)</f>
        <v>0</v>
      </c>
      <c r="U604" s="199">
        <f>IFERROR(__xludf.DUMMYFUNCTION("""COMPUTED_VALUE"""),16.0)</f>
        <v>16</v>
      </c>
      <c r="V604" s="199">
        <f>IFERROR(__xludf.DUMMYFUNCTION("""COMPUTED_VALUE"""),0.0)</f>
        <v>0</v>
      </c>
      <c r="W604" s="199">
        <f>IFERROR(__xludf.DUMMYFUNCTION("""COMPUTED_VALUE"""),0.0)</f>
        <v>0</v>
      </c>
      <c r="X604" s="199">
        <f>IFERROR(__xludf.DUMMYFUNCTION("""COMPUTED_VALUE"""),0.0)</f>
        <v>0</v>
      </c>
      <c r="Y604" s="199">
        <f>IFERROR(__xludf.DUMMYFUNCTION("""COMPUTED_VALUE"""),0.0)</f>
        <v>0</v>
      </c>
      <c r="Z604" s="199">
        <f>IFERROR(__xludf.DUMMYFUNCTION("""COMPUTED_VALUE"""),0.0)</f>
        <v>0</v>
      </c>
      <c r="AA604" s="199">
        <f>IFERROR(__xludf.DUMMYFUNCTION("""COMPUTED_VALUE"""),0.0)</f>
        <v>0</v>
      </c>
      <c r="AB604" s="199">
        <f>IFERROR(__xludf.DUMMYFUNCTION("""COMPUTED_VALUE"""),38.0)</f>
        <v>38</v>
      </c>
      <c r="AC604" s="199">
        <f>IFERROR(__xludf.DUMMYFUNCTION("""COMPUTED_VALUE"""),18.0)</f>
        <v>18</v>
      </c>
      <c r="AD604" s="199">
        <f>IFERROR(__xludf.DUMMYFUNCTION("""COMPUTED_VALUE"""),0.0)</f>
        <v>0</v>
      </c>
      <c r="AE604" s="199">
        <f>IFERROR(__xludf.DUMMYFUNCTION("""COMPUTED_VALUE"""),36.0)</f>
        <v>36</v>
      </c>
      <c r="AF604" s="199">
        <f>IFERROR(__xludf.DUMMYFUNCTION("""COMPUTED_VALUE"""),2.0)</f>
        <v>2</v>
      </c>
      <c r="AG604" s="199">
        <f>IFERROR(__xludf.DUMMYFUNCTION("""COMPUTED_VALUE"""),323.0)</f>
        <v>323</v>
      </c>
      <c r="AH604" s="199">
        <f>IFERROR(__xludf.DUMMYFUNCTION("""COMPUTED_VALUE"""),32.0)</f>
        <v>32</v>
      </c>
      <c r="AI604" s="200" t="str">
        <f>IFERROR(__xludf.DUMMYFUNCTION("""COMPUTED_VALUE"""),"General Alert")</f>
        <v>General Alert</v>
      </c>
      <c r="AJ604" s="200" t="str">
        <f>IFERROR(__xludf.DUMMYFUNCTION("""COMPUTED_VALUE"""),"Elevated silicon - inspect filters and seals for contamination")</f>
        <v>Elevated silicon - inspect filters and seals for contamination</v>
      </c>
      <c r="AK604" s="204"/>
      <c r="AL604" s="204"/>
      <c r="AM604" s="204"/>
    </row>
    <row r="605" hidden="1">
      <c r="A605" s="199" t="str">
        <f>IFERROR(__xludf.DUMMYFUNCTION("""COMPUTED_VALUE"""),"543.BE180")</f>
        <v>543.BE180</v>
      </c>
      <c r="B605" s="200" t="str">
        <f>IFERROR(__xludf.DUMMYFUNCTION("""COMPUTED_VALUE"""),"Bucket Elevator Cem. Silo#3 GB.")</f>
        <v>Bucket Elevator Cem. Silo#3 GB.</v>
      </c>
      <c r="C605" s="199">
        <f>IFERROR(__xludf.DUMMYFUNCTION("""COMPUTED_VALUE"""),2.6004401266E10)</f>
        <v>26004401266</v>
      </c>
      <c r="D605" s="201">
        <f>IFERROR(__xludf.DUMMYFUNCTION("""COMPUTED_VALUE"""),46018.0)</f>
        <v>46018</v>
      </c>
      <c r="E605" s="202" t="str">
        <f>IFERROR(__xludf.DUMMYFUNCTION("""COMPUTED_VALUE"""),"Alert")</f>
        <v>Alert</v>
      </c>
      <c r="F605" s="202" t="str">
        <f>IFERROR(__xludf.DUMMYFUNCTION("""COMPUTED_VALUE"""),"Alert")</f>
        <v>Alert</v>
      </c>
      <c r="G605" s="203" t="str">
        <f>IFERROR(__xludf.DUMMYFUNCTION("""COMPUTED_VALUE"""),"Normal")</f>
        <v>Normal</v>
      </c>
      <c r="H605" s="203" t="str">
        <f>IFERROR(__xludf.DUMMYFUNCTION("""COMPUTED_VALUE"""),"Caution")</f>
        <v>Caution</v>
      </c>
      <c r="I605" s="37"/>
      <c r="J605" s="37"/>
      <c r="K605" s="37"/>
      <c r="L605" s="199">
        <f>IFERROR(__xludf.DUMMYFUNCTION("""COMPUTED_VALUE"""),9.0)</f>
        <v>9</v>
      </c>
      <c r="M605" s="199">
        <f>IFERROR(__xludf.DUMMYFUNCTION("""COMPUTED_VALUE"""),294.8)</f>
        <v>294.8</v>
      </c>
      <c r="N605" s="199"/>
      <c r="O605" s="199"/>
      <c r="P605" s="37">
        <f>IFERROR(__xludf.DUMMYFUNCTION("""COMPUTED_VALUE"""),0.1)</f>
        <v>0.1</v>
      </c>
      <c r="Q605" s="199">
        <f>IFERROR(__xludf.DUMMYFUNCTION("""COMPUTED_VALUE"""),0.0)</f>
        <v>0</v>
      </c>
      <c r="R605" s="199">
        <f>IFERROR(__xludf.DUMMYFUNCTION("""COMPUTED_VALUE"""),0.0)</f>
        <v>0</v>
      </c>
      <c r="S605" s="199">
        <f>IFERROR(__xludf.DUMMYFUNCTION("""COMPUTED_VALUE"""),0.0)</f>
        <v>0</v>
      </c>
      <c r="T605" s="199">
        <f>IFERROR(__xludf.DUMMYFUNCTION("""COMPUTED_VALUE"""),0.0)</f>
        <v>0</v>
      </c>
      <c r="U605" s="199">
        <f>IFERROR(__xludf.DUMMYFUNCTION("""COMPUTED_VALUE"""),0.0)</f>
        <v>0</v>
      </c>
      <c r="V605" s="199">
        <f>IFERROR(__xludf.DUMMYFUNCTION("""COMPUTED_VALUE"""),0.0)</f>
        <v>0</v>
      </c>
      <c r="W605" s="199">
        <f>IFERROR(__xludf.DUMMYFUNCTION("""COMPUTED_VALUE"""),0.0)</f>
        <v>0</v>
      </c>
      <c r="X605" s="199">
        <f>IFERROR(__xludf.DUMMYFUNCTION("""COMPUTED_VALUE"""),0.0)</f>
        <v>0</v>
      </c>
      <c r="Y605" s="199">
        <f>IFERROR(__xludf.DUMMYFUNCTION("""COMPUTED_VALUE"""),0.0)</f>
        <v>0</v>
      </c>
      <c r="Z605" s="199">
        <f>IFERROR(__xludf.DUMMYFUNCTION("""COMPUTED_VALUE"""),0.0)</f>
        <v>0</v>
      </c>
      <c r="AA605" s="199">
        <f>IFERROR(__xludf.DUMMYFUNCTION("""COMPUTED_VALUE"""),0.0)</f>
        <v>0</v>
      </c>
      <c r="AB605" s="199">
        <f>IFERROR(__xludf.DUMMYFUNCTION("""COMPUTED_VALUE"""),1.0)</f>
        <v>1</v>
      </c>
      <c r="AC605" s="199">
        <f>IFERROR(__xludf.DUMMYFUNCTION("""COMPUTED_VALUE"""),3.0)</f>
        <v>3</v>
      </c>
      <c r="AD605" s="199">
        <f>IFERROR(__xludf.DUMMYFUNCTION("""COMPUTED_VALUE"""),0.0)</f>
        <v>0</v>
      </c>
      <c r="AE605" s="199">
        <f>IFERROR(__xludf.DUMMYFUNCTION("""COMPUTED_VALUE"""),9.0)</f>
        <v>9</v>
      </c>
      <c r="AF605" s="199">
        <f>IFERROR(__xludf.DUMMYFUNCTION("""COMPUTED_VALUE"""),0.0)</f>
        <v>0</v>
      </c>
      <c r="AG605" s="199">
        <f>IFERROR(__xludf.DUMMYFUNCTION("""COMPUTED_VALUE"""),405.0)</f>
        <v>405</v>
      </c>
      <c r="AH605" s="199">
        <f>IFERROR(__xludf.DUMMYFUNCTION("""COMPUTED_VALUE"""),17.0)</f>
        <v>17</v>
      </c>
      <c r="AI605" s="200" t="str">
        <f>IFERROR(__xludf.DUMMYFUNCTION("""COMPUTED_VALUE"""),"General Alert")</f>
        <v>General Alert</v>
      </c>
      <c r="AJ605" s="200" t="str">
        <f>IFERROR(__xludf.DUMMYFUNCTION("""COMPUTED_VALUE"""),"Investigate root cause; increase sampling frequency to monthly")</f>
        <v>Investigate root cause; increase sampling frequency to monthly</v>
      </c>
      <c r="AK605" s="204"/>
      <c r="AL605" s="204"/>
      <c r="AM605" s="204"/>
    </row>
    <row r="606" hidden="1">
      <c r="A606" s="199" t="str">
        <f>IFERROR(__xludf.DUMMYFUNCTION("""COMPUTED_VALUE"""),"544.BE180")</f>
        <v>544.BE180</v>
      </c>
      <c r="B606" s="200" t="str">
        <f>IFERROR(__xludf.DUMMYFUNCTION("""COMPUTED_VALUE"""),"Bucket Elevator Cem. Silo#4 GB.")</f>
        <v>Bucket Elevator Cem. Silo#4 GB.</v>
      </c>
      <c r="C606" s="199">
        <f>IFERROR(__xludf.DUMMYFUNCTION("""COMPUTED_VALUE"""),2.6005501217E10)</f>
        <v>26005501217</v>
      </c>
      <c r="D606" s="201">
        <f>IFERROR(__xludf.DUMMYFUNCTION("""COMPUTED_VALUE"""),46018.0)</f>
        <v>46018</v>
      </c>
      <c r="E606" s="202" t="str">
        <f>IFERROR(__xludf.DUMMYFUNCTION("""COMPUTED_VALUE"""),"Caution")</f>
        <v>Caution</v>
      </c>
      <c r="F606" s="202" t="str">
        <f>IFERROR(__xludf.DUMMYFUNCTION("""COMPUTED_VALUE"""),"Caution")</f>
        <v>Caution</v>
      </c>
      <c r="G606" s="203" t="str">
        <f>IFERROR(__xludf.DUMMYFUNCTION("""COMPUTED_VALUE"""),"Normal")</f>
        <v>Normal</v>
      </c>
      <c r="H606" s="203" t="str">
        <f>IFERROR(__xludf.DUMMYFUNCTION("""COMPUTED_VALUE"""),"Normal")</f>
        <v>Normal</v>
      </c>
      <c r="I606" s="37"/>
      <c r="J606" s="37"/>
      <c r="K606" s="37"/>
      <c r="L606" s="199">
        <f>IFERROR(__xludf.DUMMYFUNCTION("""COMPUTED_VALUE"""),11.0)</f>
        <v>11</v>
      </c>
      <c r="M606" s="199">
        <f>IFERROR(__xludf.DUMMYFUNCTION("""COMPUTED_VALUE"""),302.2)</f>
        <v>302.2</v>
      </c>
      <c r="N606" s="199"/>
      <c r="O606" s="199"/>
      <c r="P606" s="37">
        <f>IFERROR(__xludf.DUMMYFUNCTION("""COMPUTED_VALUE"""),0.02)</f>
        <v>0.02</v>
      </c>
      <c r="Q606" s="199">
        <f>IFERROR(__xludf.DUMMYFUNCTION("""COMPUTED_VALUE"""),0.0)</f>
        <v>0</v>
      </c>
      <c r="R606" s="199">
        <f>IFERROR(__xludf.DUMMYFUNCTION("""COMPUTED_VALUE"""),0.0)</f>
        <v>0</v>
      </c>
      <c r="S606" s="199">
        <f>IFERROR(__xludf.DUMMYFUNCTION("""COMPUTED_VALUE"""),0.0)</f>
        <v>0</v>
      </c>
      <c r="T606" s="199">
        <f>IFERROR(__xludf.DUMMYFUNCTION("""COMPUTED_VALUE"""),0.0)</f>
        <v>0</v>
      </c>
      <c r="U606" s="199">
        <f>IFERROR(__xludf.DUMMYFUNCTION("""COMPUTED_VALUE"""),0.0)</f>
        <v>0</v>
      </c>
      <c r="V606" s="199">
        <f>IFERROR(__xludf.DUMMYFUNCTION("""COMPUTED_VALUE"""),0.0)</f>
        <v>0</v>
      </c>
      <c r="W606" s="199">
        <f>IFERROR(__xludf.DUMMYFUNCTION("""COMPUTED_VALUE"""),0.0)</f>
        <v>0</v>
      </c>
      <c r="X606" s="199">
        <f>IFERROR(__xludf.DUMMYFUNCTION("""COMPUTED_VALUE"""),0.0)</f>
        <v>0</v>
      </c>
      <c r="Y606" s="199">
        <f>IFERROR(__xludf.DUMMYFUNCTION("""COMPUTED_VALUE"""),0.0)</f>
        <v>0</v>
      </c>
      <c r="Z606" s="199">
        <f>IFERROR(__xludf.DUMMYFUNCTION("""COMPUTED_VALUE"""),0.0)</f>
        <v>0</v>
      </c>
      <c r="AA606" s="199">
        <f>IFERROR(__xludf.DUMMYFUNCTION("""COMPUTED_VALUE"""),0.0)</f>
        <v>0</v>
      </c>
      <c r="AB606" s="199">
        <f>IFERROR(__xludf.DUMMYFUNCTION("""COMPUTED_VALUE"""),8.0)</f>
        <v>8</v>
      </c>
      <c r="AC606" s="199">
        <f>IFERROR(__xludf.DUMMYFUNCTION("""COMPUTED_VALUE"""),0.0)</f>
        <v>0</v>
      </c>
      <c r="AD606" s="199">
        <f>IFERROR(__xludf.DUMMYFUNCTION("""COMPUTED_VALUE"""),0.0)</f>
        <v>0</v>
      </c>
      <c r="AE606" s="199">
        <f>IFERROR(__xludf.DUMMYFUNCTION("""COMPUTED_VALUE"""),14.0)</f>
        <v>14</v>
      </c>
      <c r="AF606" s="199">
        <f>IFERROR(__xludf.DUMMYFUNCTION("""COMPUTED_VALUE"""),0.0)</f>
        <v>0</v>
      </c>
      <c r="AG606" s="199">
        <f>IFERROR(__xludf.DUMMYFUNCTION("""COMPUTED_VALUE"""),735.0)</f>
        <v>735</v>
      </c>
      <c r="AH606" s="199">
        <f>IFERROR(__xludf.DUMMYFUNCTION("""COMPUTED_VALUE"""),7.0)</f>
        <v>7</v>
      </c>
      <c r="AI606" s="200" t="str">
        <f>IFERROR(__xludf.DUMMYFUNCTION("""COMPUTED_VALUE"""),"General Caution")</f>
        <v>General Caution</v>
      </c>
      <c r="AJ606" s="200" t="str">
        <f>IFERROR(__xludf.DUMMYFUNCTION("""COMPUTED_VALUE"""),"Continue monitoring; resample at next scheduled interval")</f>
        <v>Continue monitoring; resample at next scheduled interval</v>
      </c>
      <c r="AK606" s="204"/>
      <c r="AL606" s="204"/>
      <c r="AM606" s="204"/>
    </row>
    <row r="607" hidden="1">
      <c r="A607" s="199" t="str">
        <f>IFERROR(__xludf.DUMMYFUNCTION("""COMPUTED_VALUE"""),"R2.472.CV200")</f>
        <v>R2.472.CV200</v>
      </c>
      <c r="B607" s="200" t="str">
        <f>IFERROR(__xludf.DUMMYFUNCTION("""COMPUTED_VALUE"""),"Drag chain #2 geared motor")</f>
        <v>Drag chain #2 geared motor</v>
      </c>
      <c r="C607" s="199">
        <f>IFERROR(__xludf.DUMMYFUNCTION("""COMPUTED_VALUE"""),2.6005501206E10)</f>
        <v>26005501206</v>
      </c>
      <c r="D607" s="201">
        <f>IFERROR(__xludf.DUMMYFUNCTION("""COMPUTED_VALUE"""),46018.0)</f>
        <v>46018</v>
      </c>
      <c r="E607" s="202" t="str">
        <f>IFERROR(__xludf.DUMMYFUNCTION("""COMPUTED_VALUE"""),"Normal")</f>
        <v>Normal</v>
      </c>
      <c r="F607" s="202" t="str">
        <f>IFERROR(__xludf.DUMMYFUNCTION("""COMPUTED_VALUE"""),"Normal")</f>
        <v>Normal</v>
      </c>
      <c r="G607" s="203" t="str">
        <f>IFERROR(__xludf.DUMMYFUNCTION("""COMPUTED_VALUE"""),"Normal")</f>
        <v>Normal</v>
      </c>
      <c r="H607" s="203" t="str">
        <f>IFERROR(__xludf.DUMMYFUNCTION("""COMPUTED_VALUE"""),"Normal")</f>
        <v>Normal</v>
      </c>
      <c r="I607" s="37">
        <f>IFERROR(__xludf.DUMMYFUNCTION("""COMPUTED_VALUE"""),19664.0)</f>
        <v>19664</v>
      </c>
      <c r="J607" s="37">
        <f>IFERROR(__xludf.DUMMYFUNCTION("""COMPUTED_VALUE"""),10038.0)</f>
        <v>10038</v>
      </c>
      <c r="K607" s="37">
        <f>IFERROR(__xludf.DUMMYFUNCTION("""COMPUTED_VALUE"""),5511.0)</f>
        <v>5511</v>
      </c>
      <c r="L607" s="199">
        <f>IFERROR(__xludf.DUMMYFUNCTION("""COMPUTED_VALUE"""),8.0)</f>
        <v>8</v>
      </c>
      <c r="M607" s="199">
        <f>IFERROR(__xludf.DUMMYFUNCTION("""COMPUTED_VALUE"""),302.9)</f>
        <v>302.9</v>
      </c>
      <c r="N607" s="199"/>
      <c r="O607" s="199"/>
      <c r="P607" s="37">
        <f>IFERROR(__xludf.DUMMYFUNCTION("""COMPUTED_VALUE"""),0.003)</f>
        <v>0.003</v>
      </c>
      <c r="Q607" s="199">
        <f>IFERROR(__xludf.DUMMYFUNCTION("""COMPUTED_VALUE"""),0.0)</f>
        <v>0</v>
      </c>
      <c r="R607" s="199">
        <f>IFERROR(__xludf.DUMMYFUNCTION("""COMPUTED_VALUE"""),0.0)</f>
        <v>0</v>
      </c>
      <c r="S607" s="199">
        <f>IFERROR(__xludf.DUMMYFUNCTION("""COMPUTED_VALUE"""),0.0)</f>
        <v>0</v>
      </c>
      <c r="T607" s="199">
        <f>IFERROR(__xludf.DUMMYFUNCTION("""COMPUTED_VALUE"""),0.0)</f>
        <v>0</v>
      </c>
      <c r="U607" s="199">
        <f>IFERROR(__xludf.DUMMYFUNCTION("""COMPUTED_VALUE"""),5.0)</f>
        <v>5</v>
      </c>
      <c r="V607" s="199">
        <f>IFERROR(__xludf.DUMMYFUNCTION("""COMPUTED_VALUE"""),0.0)</f>
        <v>0</v>
      </c>
      <c r="W607" s="199">
        <f>IFERROR(__xludf.DUMMYFUNCTION("""COMPUTED_VALUE"""),0.0)</f>
        <v>0</v>
      </c>
      <c r="X607" s="199">
        <f>IFERROR(__xludf.DUMMYFUNCTION("""COMPUTED_VALUE"""),0.0)</f>
        <v>0</v>
      </c>
      <c r="Y607" s="199">
        <f>IFERROR(__xludf.DUMMYFUNCTION("""COMPUTED_VALUE"""),0.0)</f>
        <v>0</v>
      </c>
      <c r="Z607" s="199">
        <f>IFERROR(__xludf.DUMMYFUNCTION("""COMPUTED_VALUE"""),0.0)</f>
        <v>0</v>
      </c>
      <c r="AA607" s="199">
        <f>IFERROR(__xludf.DUMMYFUNCTION("""COMPUTED_VALUE"""),0.0)</f>
        <v>0</v>
      </c>
      <c r="AB607" s="199">
        <f>IFERROR(__xludf.DUMMYFUNCTION("""COMPUTED_VALUE"""),33.0)</f>
        <v>33</v>
      </c>
      <c r="AC607" s="199">
        <f>IFERROR(__xludf.DUMMYFUNCTION("""COMPUTED_VALUE"""),14.0)</f>
        <v>14</v>
      </c>
      <c r="AD607" s="199">
        <f>IFERROR(__xludf.DUMMYFUNCTION("""COMPUTED_VALUE"""),0.0)</f>
        <v>0</v>
      </c>
      <c r="AE607" s="199">
        <f>IFERROR(__xludf.DUMMYFUNCTION("""COMPUTED_VALUE"""),14.0)</f>
        <v>14</v>
      </c>
      <c r="AF607" s="199">
        <f>IFERROR(__xludf.DUMMYFUNCTION("""COMPUTED_VALUE"""),2.0)</f>
        <v>2</v>
      </c>
      <c r="AG607" s="199">
        <f>IFERROR(__xludf.DUMMYFUNCTION("""COMPUTED_VALUE"""),648.0)</f>
        <v>648</v>
      </c>
      <c r="AH607" s="199">
        <f>IFERROR(__xludf.DUMMYFUNCTION("""COMPUTED_VALUE"""),38.0)</f>
        <v>38</v>
      </c>
      <c r="AI607" s="200" t="str">
        <f>IFERROR(__xludf.DUMMYFUNCTION("""COMPUTED_VALUE"""),"Normal - No Action Required")</f>
        <v>Normal - No Action Required</v>
      </c>
      <c r="AJ607" s="200" t="str">
        <f>IFERROR(__xludf.DUMMYFUNCTION("""COMPUTED_VALUE"""),"Continue routine monitoring and sampling schedule")</f>
        <v>Continue routine monitoring and sampling schedule</v>
      </c>
      <c r="AK607" s="204"/>
      <c r="AL607" s="204"/>
      <c r="AM607" s="204"/>
    </row>
    <row r="608" hidden="1">
      <c r="A608" s="199" t="str">
        <f>IFERROR(__xludf.DUMMYFUNCTION("""COMPUTED_VALUE"""),"R2.472.AC100")</f>
        <v>R2.472.AC100</v>
      </c>
      <c r="B608" s="200" t="str">
        <f>IFERROR(__xludf.DUMMYFUNCTION("""COMPUTED_VALUE"""),"Pan Conv. #2 Main drive gearbox")</f>
        <v>Pan Conv. #2 Main drive gearbox</v>
      </c>
      <c r="C608" s="199">
        <f>IFERROR(__xludf.DUMMYFUNCTION("""COMPUTED_VALUE"""),2.6004401252E10)</f>
        <v>26004401252</v>
      </c>
      <c r="D608" s="201">
        <f>IFERROR(__xludf.DUMMYFUNCTION("""COMPUTED_VALUE"""),46021.0)</f>
        <v>46021</v>
      </c>
      <c r="E608" s="202" t="str">
        <f>IFERROR(__xludf.DUMMYFUNCTION("""COMPUTED_VALUE"""),"Caution")</f>
        <v>Caution</v>
      </c>
      <c r="F608" s="202" t="str">
        <f>IFERROR(__xludf.DUMMYFUNCTION("""COMPUTED_VALUE"""),"Caution")</f>
        <v>Caution</v>
      </c>
      <c r="G608" s="203" t="str">
        <f>IFERROR(__xludf.DUMMYFUNCTION("""COMPUTED_VALUE"""),"Normal")</f>
        <v>Normal</v>
      </c>
      <c r="H608" s="203" t="str">
        <f>IFERROR(__xludf.DUMMYFUNCTION("""COMPUTED_VALUE"""),"Normal")</f>
        <v>Normal</v>
      </c>
      <c r="I608" s="37"/>
      <c r="J608" s="37"/>
      <c r="K608" s="37"/>
      <c r="L608" s="199">
        <f>IFERROR(__xludf.DUMMYFUNCTION("""COMPUTED_VALUE"""),18.0)</f>
        <v>18</v>
      </c>
      <c r="M608" s="199">
        <f>IFERROR(__xludf.DUMMYFUNCTION("""COMPUTED_VALUE"""),219.5)</f>
        <v>219.5</v>
      </c>
      <c r="N608" s="199"/>
      <c r="O608" s="199"/>
      <c r="P608" s="37">
        <f>IFERROR(__xludf.DUMMYFUNCTION("""COMPUTED_VALUE"""),0.06)</f>
        <v>0.06</v>
      </c>
      <c r="Q608" s="199">
        <f>IFERROR(__xludf.DUMMYFUNCTION("""COMPUTED_VALUE"""),0.0)</f>
        <v>0</v>
      </c>
      <c r="R608" s="199">
        <f>IFERROR(__xludf.DUMMYFUNCTION("""COMPUTED_VALUE"""),3.0)</f>
        <v>3</v>
      </c>
      <c r="S608" s="199">
        <f>IFERROR(__xludf.DUMMYFUNCTION("""COMPUTED_VALUE"""),0.0)</f>
        <v>0</v>
      </c>
      <c r="T608" s="199">
        <f>IFERROR(__xludf.DUMMYFUNCTION("""COMPUTED_VALUE"""),0.0)</f>
        <v>0</v>
      </c>
      <c r="U608" s="199">
        <f>IFERROR(__xludf.DUMMYFUNCTION("""COMPUTED_VALUE"""),66.0)</f>
        <v>66</v>
      </c>
      <c r="V608" s="199">
        <f>IFERROR(__xludf.DUMMYFUNCTION("""COMPUTED_VALUE"""),0.0)</f>
        <v>0</v>
      </c>
      <c r="W608" s="199">
        <f>IFERROR(__xludf.DUMMYFUNCTION("""COMPUTED_VALUE"""),0.0)</f>
        <v>0</v>
      </c>
      <c r="X608" s="199">
        <f>IFERROR(__xludf.DUMMYFUNCTION("""COMPUTED_VALUE"""),0.0)</f>
        <v>0</v>
      </c>
      <c r="Y608" s="199">
        <f>IFERROR(__xludf.DUMMYFUNCTION("""COMPUTED_VALUE"""),0.0)</f>
        <v>0</v>
      </c>
      <c r="Z608" s="199">
        <f>IFERROR(__xludf.DUMMYFUNCTION("""COMPUTED_VALUE"""),0.0)</f>
        <v>0</v>
      </c>
      <c r="AA608" s="199">
        <f>IFERROR(__xludf.DUMMYFUNCTION("""COMPUTED_VALUE"""),0.0)</f>
        <v>0</v>
      </c>
      <c r="AB608" s="199">
        <f>IFERROR(__xludf.DUMMYFUNCTION("""COMPUTED_VALUE"""),4.0)</f>
        <v>4</v>
      </c>
      <c r="AC608" s="199">
        <f>IFERROR(__xludf.DUMMYFUNCTION("""COMPUTED_VALUE"""),0.0)</f>
        <v>0</v>
      </c>
      <c r="AD608" s="199">
        <f>IFERROR(__xludf.DUMMYFUNCTION("""COMPUTED_VALUE"""),0.0)</f>
        <v>0</v>
      </c>
      <c r="AE608" s="199">
        <f>IFERROR(__xludf.DUMMYFUNCTION("""COMPUTED_VALUE"""),19.0)</f>
        <v>19</v>
      </c>
      <c r="AF608" s="199">
        <f>IFERROR(__xludf.DUMMYFUNCTION("""COMPUTED_VALUE"""),2.0)</f>
        <v>2</v>
      </c>
      <c r="AG608" s="199">
        <f>IFERROR(__xludf.DUMMYFUNCTION("""COMPUTED_VALUE"""),330.0)</f>
        <v>330</v>
      </c>
      <c r="AH608" s="199">
        <f>IFERROR(__xludf.DUMMYFUNCTION("""COMPUTED_VALUE"""),34.0)</f>
        <v>34</v>
      </c>
      <c r="AI608" s="200" t="str">
        <f>IFERROR(__xludf.DUMMYFUNCTION("""COMPUTED_VALUE"""),"Wear Metal Caution | Moisture Caution")</f>
        <v>Wear Metal Caution | Moisture Caution</v>
      </c>
      <c r="AJ608" s="200" t="str">
        <f>IFERROR(__xludf.DUMMYFUNCTION("""COMPUTED_VALUE"""),"Elevated wear metals - monitor trend; Moisture detected - check breathers and seals")</f>
        <v>Elevated wear metals - monitor trend; Moisture detected - check breathers and seals</v>
      </c>
      <c r="AK608" s="204"/>
      <c r="AL608" s="204"/>
      <c r="AM608" s="204"/>
    </row>
    <row r="609" hidden="1">
      <c r="A609" s="199" t="str">
        <f>IFERROR(__xludf.DUMMYFUNCTION("""COMPUTED_VALUE"""),"471.AC100")</f>
        <v>471.AC100</v>
      </c>
      <c r="B609" s="200" t="str">
        <f>IFERROR(__xludf.DUMMYFUNCTION("""COMPUTED_VALUE"""),"Pan Conveyor Main drive gearbox")</f>
        <v>Pan Conveyor Main drive gearbox</v>
      </c>
      <c r="C609" s="199">
        <f>IFERROR(__xludf.DUMMYFUNCTION("""COMPUTED_VALUE"""),2.6004401251E10)</f>
        <v>26004401251</v>
      </c>
      <c r="D609" s="201">
        <f>IFERROR(__xludf.DUMMYFUNCTION("""COMPUTED_VALUE"""),46021.0)</f>
        <v>46021</v>
      </c>
      <c r="E609" s="202" t="str">
        <f>IFERROR(__xludf.DUMMYFUNCTION("""COMPUTED_VALUE"""),"Alert")</f>
        <v>Alert</v>
      </c>
      <c r="F609" s="202" t="str">
        <f>IFERROR(__xludf.DUMMYFUNCTION("""COMPUTED_VALUE"""),"Caution")</f>
        <v>Caution</v>
      </c>
      <c r="G609" s="203" t="str">
        <f>IFERROR(__xludf.DUMMYFUNCTION("""COMPUTED_VALUE"""),"Normal")</f>
        <v>Normal</v>
      </c>
      <c r="H609" s="203" t="str">
        <f>IFERROR(__xludf.DUMMYFUNCTION("""COMPUTED_VALUE"""),"Alert")</f>
        <v>Alert</v>
      </c>
      <c r="I609" s="37"/>
      <c r="J609" s="37"/>
      <c r="K609" s="37"/>
      <c r="L609" s="199">
        <f>IFERROR(__xludf.DUMMYFUNCTION("""COMPUTED_VALUE"""),16.0)</f>
        <v>16</v>
      </c>
      <c r="M609" s="199">
        <f>IFERROR(__xludf.DUMMYFUNCTION("""COMPUTED_VALUE"""),260.4)</f>
        <v>260.4</v>
      </c>
      <c r="N609" s="199"/>
      <c r="O609" s="199"/>
      <c r="P609" s="37">
        <f>IFERROR(__xludf.DUMMYFUNCTION("""COMPUTED_VALUE"""),0.003)</f>
        <v>0.003</v>
      </c>
      <c r="Q609" s="199">
        <f>IFERROR(__xludf.DUMMYFUNCTION("""COMPUTED_VALUE"""),0.0)</f>
        <v>0</v>
      </c>
      <c r="R609" s="199">
        <f>IFERROR(__xludf.DUMMYFUNCTION("""COMPUTED_VALUE"""),0.0)</f>
        <v>0</v>
      </c>
      <c r="S609" s="199">
        <f>IFERROR(__xludf.DUMMYFUNCTION("""COMPUTED_VALUE"""),2.0)</f>
        <v>2</v>
      </c>
      <c r="T609" s="199">
        <f>IFERROR(__xludf.DUMMYFUNCTION("""COMPUTED_VALUE"""),0.0)</f>
        <v>0</v>
      </c>
      <c r="U609" s="199">
        <f>IFERROR(__xludf.DUMMYFUNCTION("""COMPUTED_VALUE"""),24.0)</f>
        <v>24</v>
      </c>
      <c r="V609" s="199">
        <f>IFERROR(__xludf.DUMMYFUNCTION("""COMPUTED_VALUE"""),0.0)</f>
        <v>0</v>
      </c>
      <c r="W609" s="199">
        <f>IFERROR(__xludf.DUMMYFUNCTION("""COMPUTED_VALUE"""),0.0)</f>
        <v>0</v>
      </c>
      <c r="X609" s="199">
        <f>IFERROR(__xludf.DUMMYFUNCTION("""COMPUTED_VALUE"""),0.0)</f>
        <v>0</v>
      </c>
      <c r="Y609" s="199">
        <f>IFERROR(__xludf.DUMMYFUNCTION("""COMPUTED_VALUE"""),0.0)</f>
        <v>0</v>
      </c>
      <c r="Z609" s="199">
        <f>IFERROR(__xludf.DUMMYFUNCTION("""COMPUTED_VALUE"""),1.0)</f>
        <v>1</v>
      </c>
      <c r="AA609" s="199">
        <f>IFERROR(__xludf.DUMMYFUNCTION("""COMPUTED_VALUE"""),0.0)</f>
        <v>0</v>
      </c>
      <c r="AB609" s="199">
        <f>IFERROR(__xludf.DUMMYFUNCTION("""COMPUTED_VALUE"""),13.0)</f>
        <v>13</v>
      </c>
      <c r="AC609" s="199">
        <f>IFERROR(__xludf.DUMMYFUNCTION("""COMPUTED_VALUE"""),10.0)</f>
        <v>10</v>
      </c>
      <c r="AD609" s="199">
        <f>IFERROR(__xludf.DUMMYFUNCTION("""COMPUTED_VALUE"""),0.0)</f>
        <v>0</v>
      </c>
      <c r="AE609" s="199">
        <f>IFERROR(__xludf.DUMMYFUNCTION("""COMPUTED_VALUE"""),5.0)</f>
        <v>5</v>
      </c>
      <c r="AF609" s="199">
        <f>IFERROR(__xludf.DUMMYFUNCTION("""COMPUTED_VALUE"""),2.0)</f>
        <v>2</v>
      </c>
      <c r="AG609" s="199">
        <f>IFERROR(__xludf.DUMMYFUNCTION("""COMPUTED_VALUE"""),421.0)</f>
        <v>421</v>
      </c>
      <c r="AH609" s="199">
        <f>IFERROR(__xludf.DUMMYFUNCTION("""COMPUTED_VALUE"""),38.0)</f>
        <v>38</v>
      </c>
      <c r="AI609" s="200" t="str">
        <f>IFERROR(__xludf.DUMMYFUNCTION("""COMPUTED_VALUE"""),"General Alert")</f>
        <v>General Alert</v>
      </c>
      <c r="AJ609" s="200" t="str">
        <f>IFERROR(__xludf.DUMMYFUNCTION("""COMPUTED_VALUE"""),"Investigate root cause; increase sampling frequency to monthly")</f>
        <v>Investigate root cause; increase sampling frequency to monthly</v>
      </c>
      <c r="AK609" s="204"/>
      <c r="AL609" s="204"/>
      <c r="AM609" s="204"/>
    </row>
    <row r="610" hidden="1">
      <c r="A610" s="199" t="str">
        <f>IFERROR(__xludf.DUMMYFUNCTION("""COMPUTED_VALUE"""),"R2.322.FN400(Fx.B)")</f>
        <v>R2.322.FN400(Fx.B)</v>
      </c>
      <c r="B610" s="200" t="str">
        <f>IFERROR(__xludf.DUMMYFUNCTION("""COMPUTED_VALUE"""),"Final fan fixed bearing")</f>
        <v>Final fan fixed bearing</v>
      </c>
      <c r="C610" s="199">
        <f>IFERROR(__xludf.DUMMYFUNCTION("""COMPUTED_VALUE"""),2.6060130245E10)</f>
        <v>26060130245</v>
      </c>
      <c r="D610" s="201">
        <f>IFERROR(__xludf.DUMMYFUNCTION("""COMPUTED_VALUE"""),46054.0)</f>
        <v>46054</v>
      </c>
      <c r="E610" s="202" t="str">
        <f>IFERROR(__xludf.DUMMYFUNCTION("""COMPUTED_VALUE"""),"Normal")</f>
        <v>Normal</v>
      </c>
      <c r="F610" s="202" t="str">
        <f>IFERROR(__xludf.DUMMYFUNCTION("""COMPUTED_VALUE"""),"Normal")</f>
        <v>Normal</v>
      </c>
      <c r="G610" s="203" t="str">
        <f>IFERROR(__xludf.DUMMYFUNCTION("""COMPUTED_VALUE"""),"Normal")</f>
        <v>Normal</v>
      </c>
      <c r="H610" s="203" t="str">
        <f>IFERROR(__xludf.DUMMYFUNCTION("""COMPUTED_VALUE"""),"Normal")</f>
        <v>Normal</v>
      </c>
      <c r="I610" s="37">
        <f>IFERROR(__xludf.DUMMYFUNCTION("""COMPUTED_VALUE"""),12981.0)</f>
        <v>12981</v>
      </c>
      <c r="J610" s="37">
        <f>IFERROR(__xludf.DUMMYFUNCTION("""COMPUTED_VALUE"""),5117.0)</f>
        <v>5117</v>
      </c>
      <c r="K610" s="37">
        <f>IFERROR(__xludf.DUMMYFUNCTION("""COMPUTED_VALUE"""),2319.0)</f>
        <v>2319</v>
      </c>
      <c r="L610" s="199">
        <f>IFERROR(__xludf.DUMMYFUNCTION("""COMPUTED_VALUE"""),5.0)</f>
        <v>5</v>
      </c>
      <c r="M610" s="199">
        <f>IFERROR(__xludf.DUMMYFUNCTION("""COMPUTED_VALUE"""),63.7)</f>
        <v>63.7</v>
      </c>
      <c r="N610" s="199"/>
      <c r="O610" s="199">
        <f>IFERROR(__xludf.DUMMYFUNCTION("""COMPUTED_VALUE"""),0.0)</f>
        <v>0</v>
      </c>
      <c r="P610" s="37">
        <f>IFERROR(__xludf.DUMMYFUNCTION("""COMPUTED_VALUE"""),0.01)</f>
        <v>0.01</v>
      </c>
      <c r="Q610" s="199">
        <f>IFERROR(__xludf.DUMMYFUNCTION("""COMPUTED_VALUE"""),0.0)</f>
        <v>0</v>
      </c>
      <c r="R610" s="199">
        <f>IFERROR(__xludf.DUMMYFUNCTION("""COMPUTED_VALUE"""),0.0)</f>
        <v>0</v>
      </c>
      <c r="S610" s="199">
        <f>IFERROR(__xludf.DUMMYFUNCTION("""COMPUTED_VALUE"""),0.0)</f>
        <v>0</v>
      </c>
      <c r="T610" s="199">
        <f>IFERROR(__xludf.DUMMYFUNCTION("""COMPUTED_VALUE"""),0.0)</f>
        <v>0</v>
      </c>
      <c r="U610" s="199">
        <f>IFERROR(__xludf.DUMMYFUNCTION("""COMPUTED_VALUE"""),0.0)</f>
        <v>0</v>
      </c>
      <c r="V610" s="199">
        <f>IFERROR(__xludf.DUMMYFUNCTION("""COMPUTED_VALUE"""),0.0)</f>
        <v>0</v>
      </c>
      <c r="W610" s="199">
        <f>IFERROR(__xludf.DUMMYFUNCTION("""COMPUTED_VALUE"""),0.0)</f>
        <v>0</v>
      </c>
      <c r="X610" s="199">
        <f>IFERROR(__xludf.DUMMYFUNCTION("""COMPUTED_VALUE"""),0.0)</f>
        <v>0</v>
      </c>
      <c r="Y610" s="199">
        <f>IFERROR(__xludf.DUMMYFUNCTION("""COMPUTED_VALUE"""),0.0)</f>
        <v>0</v>
      </c>
      <c r="Z610" s="199">
        <f>IFERROR(__xludf.DUMMYFUNCTION("""COMPUTED_VALUE"""),0.0)</f>
        <v>0</v>
      </c>
      <c r="AA610" s="199">
        <f>IFERROR(__xludf.DUMMYFUNCTION("""COMPUTED_VALUE"""),0.0)</f>
        <v>0</v>
      </c>
      <c r="AB610" s="199">
        <f>IFERROR(__xludf.DUMMYFUNCTION("""COMPUTED_VALUE"""),0.0)</f>
        <v>0</v>
      </c>
      <c r="AC610" s="199">
        <f>IFERROR(__xludf.DUMMYFUNCTION("""COMPUTED_VALUE"""),1.0)</f>
        <v>1</v>
      </c>
      <c r="AD610" s="199">
        <f>IFERROR(__xludf.DUMMYFUNCTION("""COMPUTED_VALUE"""),0.0)</f>
        <v>0</v>
      </c>
      <c r="AE610" s="199">
        <f>IFERROR(__xludf.DUMMYFUNCTION("""COMPUTED_VALUE"""),23.0)</f>
        <v>23</v>
      </c>
      <c r="AF610" s="199">
        <f>IFERROR(__xludf.DUMMYFUNCTION("""COMPUTED_VALUE"""),0.0)</f>
        <v>0</v>
      </c>
      <c r="AG610" s="199">
        <f>IFERROR(__xludf.DUMMYFUNCTION("""COMPUTED_VALUE"""),117.0)</f>
        <v>117</v>
      </c>
      <c r="AH610" s="199">
        <f>IFERROR(__xludf.DUMMYFUNCTION("""COMPUTED_VALUE"""),70.0)</f>
        <v>70</v>
      </c>
      <c r="AI610" s="200" t="str">
        <f>IFERROR(__xludf.DUMMYFUNCTION("""COMPUTED_VALUE"""),"Normal")</f>
        <v>Normal</v>
      </c>
      <c r="AJ610" s="200" t="str">
        <f>IFERROR(__xludf.DUMMYFUNCTION("""COMPUTED_VALUE"""),"Viscosity recovered to 63.7 cSt. ISO Code 21/20/18. Continue monitoring. Verify correct lubricant is used for top-ups.")</f>
        <v>Viscosity recovered to 63.7 cSt. ISO Code 21/20/18. Continue monitoring. Verify correct lubricant is used for top-ups.</v>
      </c>
      <c r="AK610" s="204"/>
      <c r="AL610" s="204"/>
      <c r="AM610" s="204"/>
    </row>
    <row r="611" hidden="1">
      <c r="A611" s="199" t="str">
        <f>IFERROR(__xludf.DUMMYFUNCTION("""COMPUTED_VALUE"""),"462.MD152")</f>
        <v>462.MD152</v>
      </c>
      <c r="B611" s="200" t="str">
        <f>IFERROR(__xludf.DUMMYFUNCTION("""COMPUTED_VALUE"""),"Coal Mill 2 Separator Gear box")</f>
        <v>Coal Mill 2 Separator Gear box</v>
      </c>
      <c r="C611" s="199">
        <f>IFERROR(__xludf.DUMMYFUNCTION("""COMPUTED_VALUE"""),2.6061630208E10)</f>
        <v>26061630208</v>
      </c>
      <c r="D611" s="201">
        <f>IFERROR(__xludf.DUMMYFUNCTION("""COMPUTED_VALUE"""),46054.0)</f>
        <v>46054</v>
      </c>
      <c r="E611" s="202" t="str">
        <f>IFERROR(__xludf.DUMMYFUNCTION("""COMPUTED_VALUE"""),"Alert")</f>
        <v>Alert</v>
      </c>
      <c r="F611" s="202" t="str">
        <f>IFERROR(__xludf.DUMMYFUNCTION("""COMPUTED_VALUE"""),"Alert")</f>
        <v>Alert</v>
      </c>
      <c r="G611" s="203" t="str">
        <f>IFERROR(__xludf.DUMMYFUNCTION("""COMPUTED_VALUE"""),"Normal")</f>
        <v>Normal</v>
      </c>
      <c r="H611" s="203" t="str">
        <f>IFERROR(__xludf.DUMMYFUNCTION("""COMPUTED_VALUE"""),"Caution")</f>
        <v>Caution</v>
      </c>
      <c r="I611" s="37"/>
      <c r="J611" s="37"/>
      <c r="K611" s="37"/>
      <c r="L611" s="199">
        <f>IFERROR(__xludf.DUMMYFUNCTION("""COMPUTED_VALUE"""),20.0)</f>
        <v>20</v>
      </c>
      <c r="M611" s="199">
        <f>IFERROR(__xludf.DUMMYFUNCTION("""COMPUTED_VALUE"""),307.9)</f>
        <v>307.9</v>
      </c>
      <c r="N611" s="199"/>
      <c r="O611" s="199"/>
      <c r="P611" s="37">
        <f>IFERROR(__xludf.DUMMYFUNCTION("""COMPUTED_VALUE"""),0.05)</f>
        <v>0.05</v>
      </c>
      <c r="Q611" s="199">
        <f>IFERROR(__xludf.DUMMYFUNCTION("""COMPUTED_VALUE"""),0.0)</f>
        <v>0</v>
      </c>
      <c r="R611" s="199">
        <f>IFERROR(__xludf.DUMMYFUNCTION("""COMPUTED_VALUE"""),0.0)</f>
        <v>0</v>
      </c>
      <c r="S611" s="199">
        <f>IFERROR(__xludf.DUMMYFUNCTION("""COMPUTED_VALUE"""),0.0)</f>
        <v>0</v>
      </c>
      <c r="T611" s="199">
        <f>IFERROR(__xludf.DUMMYFUNCTION("""COMPUTED_VALUE"""),0.0)</f>
        <v>0</v>
      </c>
      <c r="U611" s="199">
        <f>IFERROR(__xludf.DUMMYFUNCTION("""COMPUTED_VALUE"""),21.0)</f>
        <v>21</v>
      </c>
      <c r="V611" s="199">
        <f>IFERROR(__xludf.DUMMYFUNCTION("""COMPUTED_VALUE"""),0.0)</f>
        <v>0</v>
      </c>
      <c r="W611" s="199">
        <f>IFERROR(__xludf.DUMMYFUNCTION("""COMPUTED_VALUE"""),0.0)</f>
        <v>0</v>
      </c>
      <c r="X611" s="199">
        <f>IFERROR(__xludf.DUMMYFUNCTION("""COMPUTED_VALUE"""),0.0)</f>
        <v>0</v>
      </c>
      <c r="Y611" s="199">
        <f>IFERROR(__xludf.DUMMYFUNCTION("""COMPUTED_VALUE"""),0.0)</f>
        <v>0</v>
      </c>
      <c r="Z611" s="199">
        <f>IFERROR(__xludf.DUMMYFUNCTION("""COMPUTED_VALUE"""),0.0)</f>
        <v>0</v>
      </c>
      <c r="AA611" s="199">
        <f>IFERROR(__xludf.DUMMYFUNCTION("""COMPUTED_VALUE"""),0.0)</f>
        <v>0</v>
      </c>
      <c r="AB611" s="199">
        <f>IFERROR(__xludf.DUMMYFUNCTION("""COMPUTED_VALUE"""),51.0)</f>
        <v>51</v>
      </c>
      <c r="AC611" s="199">
        <f>IFERROR(__xludf.DUMMYFUNCTION("""COMPUTED_VALUE"""),19.0)</f>
        <v>19</v>
      </c>
      <c r="AD611" s="199">
        <f>IFERROR(__xludf.DUMMYFUNCTION("""COMPUTED_VALUE"""),0.0)</f>
        <v>0</v>
      </c>
      <c r="AE611" s="199">
        <f>IFERROR(__xludf.DUMMYFUNCTION("""COMPUTED_VALUE"""),31.0)</f>
        <v>31</v>
      </c>
      <c r="AF611" s="199">
        <f>IFERROR(__xludf.DUMMYFUNCTION("""COMPUTED_VALUE"""),0.0)</f>
        <v>0</v>
      </c>
      <c r="AG611" s="199">
        <f>IFERROR(__xludf.DUMMYFUNCTION("""COMPUTED_VALUE"""),348.0)</f>
        <v>348</v>
      </c>
      <c r="AH611" s="199">
        <f>IFERROR(__xludf.DUMMYFUNCTION("""COMPUTED_VALUE"""),11.0)</f>
        <v>11</v>
      </c>
      <c r="AI611" s="200" t="str">
        <f>IFERROR(__xludf.DUMMYFUNCTION("""COMPUTED_VALUE"""),"Elevated Si / Elevated TAN / Contamination Persists")</f>
        <v>Elevated Si / Elevated TAN / Contamination Persists</v>
      </c>
      <c r="AJ611" s="200" t="str">
        <f>IFERROR(__xludf.DUMMYFUNCTION("""COMPUTED_VALUE"""),"ACTION REQUIRED – Si still elevated (51 ppm), TAN at 1.70 mg KOH/g. Fe (21 ppm). Contamination persists despite previous oil change. Inspect air filters and breather. Verify new oil fill was correct grade and quantity. Resample within 30 days to confirm i"&amp;"mprovement.")</f>
        <v>ACTION REQUIRED – Si still elevated (51 ppm), TAN at 1.70 mg KOH/g. Fe (21 ppm). Contamination persists despite previous oil change. Inspect air filters and breather. Verify new oil fill was correct grade and quantity. Resample within 30 days to confirm improvement.</v>
      </c>
      <c r="AK611" s="204"/>
      <c r="AL611" s="204"/>
      <c r="AM611" s="204"/>
    </row>
    <row r="612" hidden="1">
      <c r="A612" s="199" t="str">
        <f>IFERROR(__xludf.DUMMYFUNCTION("""COMPUTED_VALUE"""),"431.HT120(BE)")</f>
        <v>431.HT120(BE)</v>
      </c>
      <c r="B612" s="200" t="str">
        <f>IFERROR(__xludf.DUMMYFUNCTION("""COMPUTED_VALUE"""),"Hydraulic thrust bearing")</f>
        <v>Hydraulic thrust bearing</v>
      </c>
      <c r="C612" s="199">
        <f>IFERROR(__xludf.DUMMYFUNCTION("""COMPUTED_VALUE"""),2.6061630213E10)</f>
        <v>26061630213</v>
      </c>
      <c r="D612" s="201">
        <f>IFERROR(__xludf.DUMMYFUNCTION("""COMPUTED_VALUE"""),46054.0)</f>
        <v>46054</v>
      </c>
      <c r="E612" s="202" t="str">
        <f>IFERROR(__xludf.DUMMYFUNCTION("""COMPUTED_VALUE"""),"Caution")</f>
        <v>Caution</v>
      </c>
      <c r="F612" s="202" t="str">
        <f>IFERROR(__xludf.DUMMYFUNCTION("""COMPUTED_VALUE"""),"Normal")</f>
        <v>Normal</v>
      </c>
      <c r="G612" s="203" t="str">
        <f>IFERROR(__xludf.DUMMYFUNCTION("""COMPUTED_VALUE"""),"Normal")</f>
        <v>Normal</v>
      </c>
      <c r="H612" s="203" t="str">
        <f>IFERROR(__xludf.DUMMYFUNCTION("""COMPUTED_VALUE"""),"Caution")</f>
        <v>Caution</v>
      </c>
      <c r="I612" s="37"/>
      <c r="J612" s="37"/>
      <c r="K612" s="37"/>
      <c r="L612" s="199">
        <f>IFERROR(__xludf.DUMMYFUNCTION("""COMPUTED_VALUE"""),22.0)</f>
        <v>22</v>
      </c>
      <c r="M612" s="199">
        <f>IFERROR(__xludf.DUMMYFUNCTION("""COMPUTED_VALUE"""),75.5)</f>
        <v>75.5</v>
      </c>
      <c r="N612" s="199"/>
      <c r="O612" s="199"/>
      <c r="P612" s="37">
        <f>IFERROR(__xludf.DUMMYFUNCTION("""COMPUTED_VALUE"""),0.03)</f>
        <v>0.03</v>
      </c>
      <c r="Q612" s="199">
        <f>IFERROR(__xludf.DUMMYFUNCTION("""COMPUTED_VALUE"""),0.0)</f>
        <v>0</v>
      </c>
      <c r="R612" s="199">
        <f>IFERROR(__xludf.DUMMYFUNCTION("""COMPUTED_VALUE"""),0.0)</f>
        <v>0</v>
      </c>
      <c r="S612" s="199">
        <f>IFERROR(__xludf.DUMMYFUNCTION("""COMPUTED_VALUE"""),0.0)</f>
        <v>0</v>
      </c>
      <c r="T612" s="199">
        <f>IFERROR(__xludf.DUMMYFUNCTION("""COMPUTED_VALUE"""),0.0)</f>
        <v>0</v>
      </c>
      <c r="U612" s="199">
        <f>IFERROR(__xludf.DUMMYFUNCTION("""COMPUTED_VALUE"""),42.0)</f>
        <v>42</v>
      </c>
      <c r="V612" s="199">
        <f>IFERROR(__xludf.DUMMYFUNCTION("""COMPUTED_VALUE"""),0.0)</f>
        <v>0</v>
      </c>
      <c r="W612" s="199">
        <f>IFERROR(__xludf.DUMMYFUNCTION("""COMPUTED_VALUE"""),0.0)</f>
        <v>0</v>
      </c>
      <c r="X612" s="199">
        <f>IFERROR(__xludf.DUMMYFUNCTION("""COMPUTED_VALUE"""),0.0)</f>
        <v>0</v>
      </c>
      <c r="Y612" s="199">
        <f>IFERROR(__xludf.DUMMYFUNCTION("""COMPUTED_VALUE"""),0.0)</f>
        <v>0</v>
      </c>
      <c r="Z612" s="199">
        <f>IFERROR(__xludf.DUMMYFUNCTION("""COMPUTED_VALUE"""),0.0)</f>
        <v>0</v>
      </c>
      <c r="AA612" s="199">
        <f>IFERROR(__xludf.DUMMYFUNCTION("""COMPUTED_VALUE"""),0.0)</f>
        <v>0</v>
      </c>
      <c r="AB612" s="199">
        <f>IFERROR(__xludf.DUMMYFUNCTION("""COMPUTED_VALUE"""),4.0)</f>
        <v>4</v>
      </c>
      <c r="AC612" s="199">
        <f>IFERROR(__xludf.DUMMYFUNCTION("""COMPUTED_VALUE"""),9.0)</f>
        <v>9</v>
      </c>
      <c r="AD612" s="199">
        <f>IFERROR(__xludf.DUMMYFUNCTION("""COMPUTED_VALUE"""),0.0)</f>
        <v>0</v>
      </c>
      <c r="AE612" s="199">
        <f>IFERROR(__xludf.DUMMYFUNCTION("""COMPUTED_VALUE"""),20.0)</f>
        <v>20</v>
      </c>
      <c r="AF612" s="199">
        <f>IFERROR(__xludf.DUMMYFUNCTION("""COMPUTED_VALUE"""),2.0)</f>
        <v>2</v>
      </c>
      <c r="AG612" s="199">
        <f>IFERROR(__xludf.DUMMYFUNCTION("""COMPUTED_VALUE"""),539.0)</f>
        <v>539</v>
      </c>
      <c r="AH612" s="199">
        <f>IFERROR(__xludf.DUMMYFUNCTION("""COMPUTED_VALUE"""),71.0)</f>
        <v>71</v>
      </c>
      <c r="AI612" s="200" t="str">
        <f>IFERROR(__xludf.DUMMYFUNCTION("""COMPUTED_VALUE"""),"Caution – Elevated Fe / TAN")</f>
        <v>Caution – Elevated Fe / TAN</v>
      </c>
      <c r="AJ612" s="200" t="str">
        <f>IFERROR(__xludf.DUMMYFUNCTION("""COMPUTED_VALUE"""),"Fe 42 ppm (elevated – increasing again). TAN 1.60 mg KOH/g. Water 0.030 Vol%. Monitor bearing wear trend. Inspect filtration. Resample within 30 days.")</f>
        <v>Fe 42 ppm (elevated – increasing again). TAN 1.60 mg KOH/g. Water 0.030 Vol%. Monitor bearing wear trend. Inspect filtration. Resample within 30 days.</v>
      </c>
      <c r="AK612" s="204"/>
      <c r="AL612" s="204"/>
      <c r="AM612" s="204"/>
    </row>
    <row r="613" hidden="1">
      <c r="A613" s="199" t="str">
        <f>IFERROR(__xludf.DUMMYFUNCTION("""COMPUTED_VALUE"""),"461.HY110")</f>
        <v>461.HY110</v>
      </c>
      <c r="B613" s="200" t="str">
        <f>IFERROR(__xludf.DUMMYFUNCTION("""COMPUTED_VALUE"""),"Coal Mill 1 Hyd. tensioning sys.")</f>
        <v>Coal Mill 1 Hyd. tensioning sys.</v>
      </c>
      <c r="C613" s="199">
        <f>IFERROR(__xludf.DUMMYFUNCTION("""COMPUTED_VALUE"""),2.6060130243E10)</f>
        <v>26060130243</v>
      </c>
      <c r="D613" s="201">
        <f>IFERROR(__xludf.DUMMYFUNCTION("""COMPUTED_VALUE"""),46054.0)</f>
        <v>46054</v>
      </c>
      <c r="E613" s="202" t="str">
        <f>IFERROR(__xludf.DUMMYFUNCTION("""COMPUTED_VALUE"""),"Caution")</f>
        <v>Caution</v>
      </c>
      <c r="F613" s="202" t="str">
        <f>IFERROR(__xludf.DUMMYFUNCTION("""COMPUTED_VALUE"""),"Caution")</f>
        <v>Caution</v>
      </c>
      <c r="G613" s="203" t="str">
        <f>IFERROR(__xludf.DUMMYFUNCTION("""COMPUTED_VALUE"""),"Normal")</f>
        <v>Normal</v>
      </c>
      <c r="H613" s="203" t="str">
        <f>IFERROR(__xludf.DUMMYFUNCTION("""COMPUTED_VALUE"""),"Normal")</f>
        <v>Normal</v>
      </c>
      <c r="I613" s="37"/>
      <c r="J613" s="37"/>
      <c r="K613" s="37"/>
      <c r="L613" s="199">
        <f>IFERROR(__xludf.DUMMYFUNCTION("""COMPUTED_VALUE"""),17.0)</f>
        <v>17</v>
      </c>
      <c r="M613" s="199">
        <f>IFERROR(__xludf.DUMMYFUNCTION("""COMPUTED_VALUE"""),47.1)</f>
        <v>47.1</v>
      </c>
      <c r="N613" s="199"/>
      <c r="O613" s="199">
        <f>IFERROR(__xludf.DUMMYFUNCTION("""COMPUTED_VALUE"""),0.0)</f>
        <v>0</v>
      </c>
      <c r="P613" s="37">
        <f>IFERROR(__xludf.DUMMYFUNCTION("""COMPUTED_VALUE"""),0.02)</f>
        <v>0.02</v>
      </c>
      <c r="Q613" s="199">
        <f>IFERROR(__xludf.DUMMYFUNCTION("""COMPUTED_VALUE"""),0.0)</f>
        <v>0</v>
      </c>
      <c r="R613" s="199">
        <f>IFERROR(__xludf.DUMMYFUNCTION("""COMPUTED_VALUE"""),0.0)</f>
        <v>0</v>
      </c>
      <c r="S613" s="199">
        <f>IFERROR(__xludf.DUMMYFUNCTION("""COMPUTED_VALUE"""),0.0)</f>
        <v>0</v>
      </c>
      <c r="T613" s="199">
        <f>IFERROR(__xludf.DUMMYFUNCTION("""COMPUTED_VALUE"""),6.0)</f>
        <v>6</v>
      </c>
      <c r="U613" s="199">
        <f>IFERROR(__xludf.DUMMYFUNCTION("""COMPUTED_VALUE"""),18.0)</f>
        <v>18</v>
      </c>
      <c r="V613" s="199">
        <f>IFERROR(__xludf.DUMMYFUNCTION("""COMPUTED_VALUE"""),0.0)</f>
        <v>0</v>
      </c>
      <c r="W613" s="199">
        <f>IFERROR(__xludf.DUMMYFUNCTION("""COMPUTED_VALUE"""),0.0)</f>
        <v>0</v>
      </c>
      <c r="X613" s="199">
        <f>IFERROR(__xludf.DUMMYFUNCTION("""COMPUTED_VALUE"""),0.0)</f>
        <v>0</v>
      </c>
      <c r="Y613" s="199">
        <f>IFERROR(__xludf.DUMMYFUNCTION("""COMPUTED_VALUE"""),0.0)</f>
        <v>0</v>
      </c>
      <c r="Z613" s="199">
        <f>IFERROR(__xludf.DUMMYFUNCTION("""COMPUTED_VALUE"""),0.0)</f>
        <v>0</v>
      </c>
      <c r="AA613" s="199">
        <f>IFERROR(__xludf.DUMMYFUNCTION("""COMPUTED_VALUE"""),0.0)</f>
        <v>0</v>
      </c>
      <c r="AB613" s="199">
        <f>IFERROR(__xludf.DUMMYFUNCTION("""COMPUTED_VALUE"""),0.0)</f>
        <v>0</v>
      </c>
      <c r="AC613" s="199">
        <f>IFERROR(__xludf.DUMMYFUNCTION("""COMPUTED_VALUE"""),0.0)</f>
        <v>0</v>
      </c>
      <c r="AD613" s="199">
        <f>IFERROR(__xludf.DUMMYFUNCTION("""COMPUTED_VALUE"""),0.0)</f>
        <v>0</v>
      </c>
      <c r="AE613" s="199">
        <f>IFERROR(__xludf.DUMMYFUNCTION("""COMPUTED_VALUE"""),130.0)</f>
        <v>130</v>
      </c>
      <c r="AF613" s="199">
        <f>IFERROR(__xludf.DUMMYFUNCTION("""COMPUTED_VALUE"""),2.0)</f>
        <v>2</v>
      </c>
      <c r="AG613" s="199">
        <f>IFERROR(__xludf.DUMMYFUNCTION("""COMPUTED_VALUE"""),415.0)</f>
        <v>415</v>
      </c>
      <c r="AH613" s="199">
        <f>IFERROR(__xludf.DUMMYFUNCTION("""COMPUTED_VALUE"""),652.0)</f>
        <v>652</v>
      </c>
      <c r="AI613" s="200" t="str">
        <f>IFERROR(__xludf.DUMMYFUNCTION("""COMPUTED_VALUE"""),"Caution – Elevated Fe / Cu / Particle Count Not Reported")</f>
        <v>Caution – Elevated Fe / Cu / Particle Count Not Reported</v>
      </c>
      <c r="AJ613" s="200" t="str">
        <f>IFERROR(__xludf.DUMMYFUNCTION("""COMPUTED_VALUE"""),"Fe 18 ppm, Cu 6 ppm, water 0.020 Vol%. Visible sediment – particle count not completed. Inspect seals and filtration. Resample within 45 days.")</f>
        <v>Fe 18 ppm, Cu 6 ppm, water 0.020 Vol%. Visible sediment – particle count not completed. Inspect seals and filtration. Resample within 45 days.</v>
      </c>
      <c r="AK613" s="204"/>
      <c r="AL613" s="204"/>
      <c r="AM613" s="204"/>
    </row>
    <row r="614" hidden="1">
      <c r="A614" s="199" t="str">
        <f>IFERROR(__xludf.DUMMYFUNCTION("""COMPUTED_VALUE"""),"R2.322.HY110")</f>
        <v>R2.322.HY110</v>
      </c>
      <c r="B614" s="200" t="str">
        <f>IFERROR(__xludf.DUMMYFUNCTION("""COMPUTED_VALUE"""),"Hydraulic tensioning sys. Mill 2")</f>
        <v>Hydraulic tensioning sys. Mill 2</v>
      </c>
      <c r="C614" s="199">
        <f>IFERROR(__xludf.DUMMYFUNCTION("""COMPUTED_VALUE"""),2.6061230215E10)</f>
        <v>26061230215</v>
      </c>
      <c r="D614" s="201">
        <f>IFERROR(__xludf.DUMMYFUNCTION("""COMPUTED_VALUE"""),46054.0)</f>
        <v>46054</v>
      </c>
      <c r="E614" s="202" t="str">
        <f>IFERROR(__xludf.DUMMYFUNCTION("""COMPUTED_VALUE"""),"Caution")</f>
        <v>Caution</v>
      </c>
      <c r="F614" s="202" t="str">
        <f>IFERROR(__xludf.DUMMYFUNCTION("""COMPUTED_VALUE"""),"Caution")</f>
        <v>Caution</v>
      </c>
      <c r="G614" s="203" t="str">
        <f>IFERROR(__xludf.DUMMYFUNCTION("""COMPUTED_VALUE"""),"Normal")</f>
        <v>Normal</v>
      </c>
      <c r="H614" s="203" t="str">
        <f>IFERROR(__xludf.DUMMYFUNCTION("""COMPUTED_VALUE"""),"Normal")</f>
        <v>Normal</v>
      </c>
      <c r="I614" s="37"/>
      <c r="J614" s="37"/>
      <c r="K614" s="37"/>
      <c r="L614" s="199">
        <f>IFERROR(__xludf.DUMMYFUNCTION("""COMPUTED_VALUE"""),10.0)</f>
        <v>10</v>
      </c>
      <c r="M614" s="199">
        <f>IFERROR(__xludf.DUMMYFUNCTION("""COMPUTED_VALUE"""),45.9)</f>
        <v>45.9</v>
      </c>
      <c r="N614" s="199"/>
      <c r="O614" s="199">
        <f>IFERROR(__xludf.DUMMYFUNCTION("""COMPUTED_VALUE"""),0.0)</f>
        <v>0</v>
      </c>
      <c r="P614" s="37">
        <f>IFERROR(__xludf.DUMMYFUNCTION("""COMPUTED_VALUE"""),0.01)</f>
        <v>0.01</v>
      </c>
      <c r="Q614" s="199">
        <f>IFERROR(__xludf.DUMMYFUNCTION("""COMPUTED_VALUE"""),0.0)</f>
        <v>0</v>
      </c>
      <c r="R614" s="199">
        <f>IFERROR(__xludf.DUMMYFUNCTION("""COMPUTED_VALUE"""),0.0)</f>
        <v>0</v>
      </c>
      <c r="S614" s="199">
        <f>IFERROR(__xludf.DUMMYFUNCTION("""COMPUTED_VALUE"""),0.0)</f>
        <v>0</v>
      </c>
      <c r="T614" s="199">
        <f>IFERROR(__xludf.DUMMYFUNCTION("""COMPUTED_VALUE"""),2.0)</f>
        <v>2</v>
      </c>
      <c r="U614" s="199">
        <f>IFERROR(__xludf.DUMMYFUNCTION("""COMPUTED_VALUE"""),15.0)</f>
        <v>15</v>
      </c>
      <c r="V614" s="199">
        <f>IFERROR(__xludf.DUMMYFUNCTION("""COMPUTED_VALUE"""),0.0)</f>
        <v>0</v>
      </c>
      <c r="W614" s="199">
        <f>IFERROR(__xludf.DUMMYFUNCTION("""COMPUTED_VALUE"""),0.0)</f>
        <v>0</v>
      </c>
      <c r="X614" s="199">
        <f>IFERROR(__xludf.DUMMYFUNCTION("""COMPUTED_VALUE"""),0.0)</f>
        <v>0</v>
      </c>
      <c r="Y614" s="199">
        <f>IFERROR(__xludf.DUMMYFUNCTION("""COMPUTED_VALUE"""),0.0)</f>
        <v>0</v>
      </c>
      <c r="Z614" s="199">
        <f>IFERROR(__xludf.DUMMYFUNCTION("""COMPUTED_VALUE"""),0.0)</f>
        <v>0</v>
      </c>
      <c r="AA614" s="199">
        <f>IFERROR(__xludf.DUMMYFUNCTION("""COMPUTED_VALUE"""),0.0)</f>
        <v>0</v>
      </c>
      <c r="AB614" s="199">
        <f>IFERROR(__xludf.DUMMYFUNCTION("""COMPUTED_VALUE"""),2.0)</f>
        <v>2</v>
      </c>
      <c r="AC614" s="199">
        <f>IFERROR(__xludf.DUMMYFUNCTION("""COMPUTED_VALUE"""),0.0)</f>
        <v>0</v>
      </c>
      <c r="AD614" s="199">
        <f>IFERROR(__xludf.DUMMYFUNCTION("""COMPUTED_VALUE"""),0.0)</f>
        <v>0</v>
      </c>
      <c r="AE614" s="199">
        <f>IFERROR(__xludf.DUMMYFUNCTION("""COMPUTED_VALUE"""),74.0)</f>
        <v>74</v>
      </c>
      <c r="AF614" s="199">
        <f>IFERROR(__xludf.DUMMYFUNCTION("""COMPUTED_VALUE"""),0.0)</f>
        <v>0</v>
      </c>
      <c r="AG614" s="199">
        <f>IFERROR(__xludf.DUMMYFUNCTION("""COMPUTED_VALUE"""),387.0)</f>
        <v>387</v>
      </c>
      <c r="AH614" s="199">
        <f>IFERROR(__xludf.DUMMYFUNCTION("""COMPUTED_VALUE"""),564.0)</f>
        <v>564</v>
      </c>
      <c r="AI614" s="200" t="str">
        <f>IFERROR(__xludf.DUMMYFUNCTION("""COMPUTED_VALUE"""),"General Caution")</f>
        <v>General Caution</v>
      </c>
      <c r="AJ614" s="200" t="str">
        <f>IFERROR(__xludf.DUMMYFUNCTION("""COMPUTED_VALUE"""),"Continue monitoring; resample at next scheduled interval")</f>
        <v>Continue monitoring; resample at next scheduled interval</v>
      </c>
      <c r="AK614" s="204"/>
      <c r="AL614" s="204"/>
      <c r="AM614" s="204"/>
    </row>
    <row r="615" hidden="1">
      <c r="A615" s="199" t="str">
        <f>IFERROR(__xludf.DUMMYFUNCTION("""COMPUTED_VALUE"""),"462.HY110")</f>
        <v>462.HY110</v>
      </c>
      <c r="B615" s="200" t="str">
        <f>IFERROR(__xludf.DUMMYFUNCTION("""COMPUTED_VALUE"""),"Coal Mill 2 Hyd. tensioning sys.")</f>
        <v>Coal Mill 2 Hyd. tensioning sys.</v>
      </c>
      <c r="C615" s="199">
        <f>IFERROR(__xludf.DUMMYFUNCTION("""COMPUTED_VALUE"""),2.6061230214E10)</f>
        <v>26061230214</v>
      </c>
      <c r="D615" s="201">
        <f>IFERROR(__xludf.DUMMYFUNCTION("""COMPUTED_VALUE"""),46054.0)</f>
        <v>46054</v>
      </c>
      <c r="E615" s="202" t="str">
        <f>IFERROR(__xludf.DUMMYFUNCTION("""COMPUTED_VALUE"""),"Caution")</f>
        <v>Caution</v>
      </c>
      <c r="F615" s="202" t="str">
        <f>IFERROR(__xludf.DUMMYFUNCTION("""COMPUTED_VALUE"""),"Caution")</f>
        <v>Caution</v>
      </c>
      <c r="G615" s="203" t="str">
        <f>IFERROR(__xludf.DUMMYFUNCTION("""COMPUTED_VALUE"""),"Normal")</f>
        <v>Normal</v>
      </c>
      <c r="H615" s="203" t="str">
        <f>IFERROR(__xludf.DUMMYFUNCTION("""COMPUTED_VALUE"""),"Normal")</f>
        <v>Normal</v>
      </c>
      <c r="I615" s="37"/>
      <c r="J615" s="37"/>
      <c r="K615" s="37"/>
      <c r="L615" s="199">
        <f>IFERROR(__xludf.DUMMYFUNCTION("""COMPUTED_VALUE"""),12.0)</f>
        <v>12</v>
      </c>
      <c r="M615" s="199">
        <f>IFERROR(__xludf.DUMMYFUNCTION("""COMPUTED_VALUE"""),46.7)</f>
        <v>46.7</v>
      </c>
      <c r="N615" s="199"/>
      <c r="O615" s="199">
        <f>IFERROR(__xludf.DUMMYFUNCTION("""COMPUTED_VALUE"""),0.0)</f>
        <v>0</v>
      </c>
      <c r="P615" s="37">
        <f>IFERROR(__xludf.DUMMYFUNCTION("""COMPUTED_VALUE"""),0.02)</f>
        <v>0.02</v>
      </c>
      <c r="Q615" s="199">
        <f>IFERROR(__xludf.DUMMYFUNCTION("""COMPUTED_VALUE"""),0.0)</f>
        <v>0</v>
      </c>
      <c r="R615" s="199">
        <f>IFERROR(__xludf.DUMMYFUNCTION("""COMPUTED_VALUE"""),0.0)</f>
        <v>0</v>
      </c>
      <c r="S615" s="199">
        <f>IFERROR(__xludf.DUMMYFUNCTION("""COMPUTED_VALUE"""),0.0)</f>
        <v>0</v>
      </c>
      <c r="T615" s="199">
        <f>IFERROR(__xludf.DUMMYFUNCTION("""COMPUTED_VALUE"""),0.0)</f>
        <v>0</v>
      </c>
      <c r="U615" s="199">
        <f>IFERROR(__xludf.DUMMYFUNCTION("""COMPUTED_VALUE"""),2.0)</f>
        <v>2</v>
      </c>
      <c r="V615" s="199">
        <f>IFERROR(__xludf.DUMMYFUNCTION("""COMPUTED_VALUE"""),0.0)</f>
        <v>0</v>
      </c>
      <c r="W615" s="199">
        <f>IFERROR(__xludf.DUMMYFUNCTION("""COMPUTED_VALUE"""),0.0)</f>
        <v>0</v>
      </c>
      <c r="X615" s="199">
        <f>IFERROR(__xludf.DUMMYFUNCTION("""COMPUTED_VALUE"""),0.0)</f>
        <v>0</v>
      </c>
      <c r="Y615" s="199">
        <f>IFERROR(__xludf.DUMMYFUNCTION("""COMPUTED_VALUE"""),0.0)</f>
        <v>0</v>
      </c>
      <c r="Z615" s="199">
        <f>IFERROR(__xludf.DUMMYFUNCTION("""COMPUTED_VALUE"""),0.0)</f>
        <v>0</v>
      </c>
      <c r="AA615" s="199">
        <f>IFERROR(__xludf.DUMMYFUNCTION("""COMPUTED_VALUE"""),0.0)</f>
        <v>0</v>
      </c>
      <c r="AB615" s="199">
        <f>IFERROR(__xludf.DUMMYFUNCTION("""COMPUTED_VALUE"""),0.0)</f>
        <v>0</v>
      </c>
      <c r="AC615" s="199">
        <f>IFERROR(__xludf.DUMMYFUNCTION("""COMPUTED_VALUE"""),0.0)</f>
        <v>0</v>
      </c>
      <c r="AD615" s="199">
        <f>IFERROR(__xludf.DUMMYFUNCTION("""COMPUTED_VALUE"""),0.0)</f>
        <v>0</v>
      </c>
      <c r="AE615" s="199">
        <f>IFERROR(__xludf.DUMMYFUNCTION("""COMPUTED_VALUE"""),62.0)</f>
        <v>62</v>
      </c>
      <c r="AF615" s="199">
        <f>IFERROR(__xludf.DUMMYFUNCTION("""COMPUTED_VALUE"""),2.0)</f>
        <v>2</v>
      </c>
      <c r="AG615" s="199">
        <f>IFERROR(__xludf.DUMMYFUNCTION("""COMPUTED_VALUE"""),356.0)</f>
        <v>356</v>
      </c>
      <c r="AH615" s="199">
        <f>IFERROR(__xludf.DUMMYFUNCTION("""COMPUTED_VALUE"""),456.0)</f>
        <v>456</v>
      </c>
      <c r="AI615" s="200" t="str">
        <f>IFERROR(__xludf.DUMMYFUNCTION("""COMPUTED_VALUE"""),"Caution – Elevated Particle Count / Monitor")</f>
        <v>Caution – Elevated Particle Count / Monitor</v>
      </c>
      <c r="AJ615" s="200" t="str">
        <f>IFERROR(__xludf.DUMMYFUNCTION("""COMPUTED_VALUE"""),"Particle count not available. Water 0.020 Vol%. Monitor trend. Inspect filtration.")</f>
        <v>Particle count not available. Water 0.020 Vol%. Monitor trend. Inspect filtration.</v>
      </c>
      <c r="AK615" s="204"/>
      <c r="AL615" s="204"/>
      <c r="AM615" s="204"/>
    </row>
    <row r="616" hidden="1">
      <c r="A616" s="199" t="str">
        <f>IFERROR(__xludf.DUMMYFUNCTION("""COMPUTED_VALUE"""),"111.HC100 (HY)")</f>
        <v>111.HC100 (HY)</v>
      </c>
      <c r="B616" s="200" t="str">
        <f>IFERROR(__xludf.DUMMYFUNCTION("""COMPUTED_VALUE"""),"Crusher hydraulic cylinder station")</f>
        <v>Crusher hydraulic cylinder station</v>
      </c>
      <c r="C616" s="199">
        <f>IFERROR(__xludf.DUMMYFUNCTION("""COMPUTED_VALUE"""),2.6060130242E10)</f>
        <v>26060130242</v>
      </c>
      <c r="D616" s="201">
        <f>IFERROR(__xludf.DUMMYFUNCTION("""COMPUTED_VALUE"""),46054.0)</f>
        <v>46054</v>
      </c>
      <c r="E616" s="202" t="str">
        <f>IFERROR(__xludf.DUMMYFUNCTION("""COMPUTED_VALUE"""),"Normal")</f>
        <v>Normal</v>
      </c>
      <c r="F616" s="202" t="str">
        <f>IFERROR(__xludf.DUMMYFUNCTION("""COMPUTED_VALUE"""),"Normal")</f>
        <v>Normal</v>
      </c>
      <c r="G616" s="203" t="str">
        <f>IFERROR(__xludf.DUMMYFUNCTION("""COMPUTED_VALUE"""),"Normal")</f>
        <v>Normal</v>
      </c>
      <c r="H616" s="203" t="str">
        <f>IFERROR(__xludf.DUMMYFUNCTION("""COMPUTED_VALUE"""),"Normal")</f>
        <v>Normal</v>
      </c>
      <c r="I616" s="37">
        <f>IFERROR(__xludf.DUMMYFUNCTION("""COMPUTED_VALUE"""),9107.0)</f>
        <v>9107</v>
      </c>
      <c r="J616" s="37">
        <f>IFERROR(__xludf.DUMMYFUNCTION("""COMPUTED_VALUE"""),4178.0)</f>
        <v>4178</v>
      </c>
      <c r="K616" s="37">
        <f>IFERROR(__xludf.DUMMYFUNCTION("""COMPUTED_VALUE"""),1151.0)</f>
        <v>1151</v>
      </c>
      <c r="L616" s="199">
        <f>IFERROR(__xludf.DUMMYFUNCTION("""COMPUTED_VALUE"""),7.0)</f>
        <v>7</v>
      </c>
      <c r="M616" s="199">
        <f>IFERROR(__xludf.DUMMYFUNCTION("""COMPUTED_VALUE"""),52.2)</f>
        <v>52.2</v>
      </c>
      <c r="N616" s="199"/>
      <c r="O616" s="199">
        <f>IFERROR(__xludf.DUMMYFUNCTION("""COMPUTED_VALUE"""),0.0)</f>
        <v>0</v>
      </c>
      <c r="P616" s="199">
        <f>IFERROR(__xludf.DUMMYFUNCTION("""COMPUTED_VALUE"""),0.003)</f>
        <v>0.003</v>
      </c>
      <c r="Q616" s="199">
        <f>IFERROR(__xludf.DUMMYFUNCTION("""COMPUTED_VALUE"""),0.0)</f>
        <v>0</v>
      </c>
      <c r="R616" s="199">
        <f>IFERROR(__xludf.DUMMYFUNCTION("""COMPUTED_VALUE"""),0.0)</f>
        <v>0</v>
      </c>
      <c r="S616" s="199">
        <f>IFERROR(__xludf.DUMMYFUNCTION("""COMPUTED_VALUE"""),0.0)</f>
        <v>0</v>
      </c>
      <c r="T616" s="199">
        <f>IFERROR(__xludf.DUMMYFUNCTION("""COMPUTED_VALUE"""),0.0)</f>
        <v>0</v>
      </c>
      <c r="U616" s="199">
        <f>IFERROR(__xludf.DUMMYFUNCTION("""COMPUTED_VALUE"""),1.0)</f>
        <v>1</v>
      </c>
      <c r="V616" s="199">
        <f>IFERROR(__xludf.DUMMYFUNCTION("""COMPUTED_VALUE"""),0.0)</f>
        <v>0</v>
      </c>
      <c r="W616" s="199">
        <f>IFERROR(__xludf.DUMMYFUNCTION("""COMPUTED_VALUE"""),0.0)</f>
        <v>0</v>
      </c>
      <c r="X616" s="199">
        <f>IFERROR(__xludf.DUMMYFUNCTION("""COMPUTED_VALUE"""),0.0)</f>
        <v>0</v>
      </c>
      <c r="Y616" s="199">
        <f>IFERROR(__xludf.DUMMYFUNCTION("""COMPUTED_VALUE"""),0.0)</f>
        <v>0</v>
      </c>
      <c r="Z616" s="199">
        <f>IFERROR(__xludf.DUMMYFUNCTION("""COMPUTED_VALUE"""),0.0)</f>
        <v>0</v>
      </c>
      <c r="AA616" s="199">
        <f>IFERROR(__xludf.DUMMYFUNCTION("""COMPUTED_VALUE"""),0.0)</f>
        <v>0</v>
      </c>
      <c r="AB616" s="199">
        <f>IFERROR(__xludf.DUMMYFUNCTION("""COMPUTED_VALUE"""),2.0)</f>
        <v>2</v>
      </c>
      <c r="AC616" s="199">
        <f>IFERROR(__xludf.DUMMYFUNCTION("""COMPUTED_VALUE"""),2.0)</f>
        <v>2</v>
      </c>
      <c r="AD616" s="199">
        <f>IFERROR(__xludf.DUMMYFUNCTION("""COMPUTED_VALUE"""),0.0)</f>
        <v>0</v>
      </c>
      <c r="AE616" s="199">
        <f>IFERROR(__xludf.DUMMYFUNCTION("""COMPUTED_VALUE"""),106.0)</f>
        <v>106</v>
      </c>
      <c r="AF616" s="199">
        <f>IFERROR(__xludf.DUMMYFUNCTION("""COMPUTED_VALUE"""),2.0)</f>
        <v>2</v>
      </c>
      <c r="AG616" s="199">
        <f>IFERROR(__xludf.DUMMYFUNCTION("""COMPUTED_VALUE"""),434.0)</f>
        <v>434</v>
      </c>
      <c r="AH616" s="199">
        <f>IFERROR(__xludf.DUMMYFUNCTION("""COMPUTED_VALUE"""),533.0)</f>
        <v>533</v>
      </c>
      <c r="AI616" s="200" t="str">
        <f>IFERROR(__xludf.DUMMYFUNCTION("""COMPUTED_VALUE"""),"Normal")</f>
        <v>Normal</v>
      </c>
      <c r="AJ616" s="200" t="str">
        <f>IFERROR(__xludf.DUMMYFUNCTION("""COMPUTED_VALUE"""),"NO ACTION REQUIRED. ISO 20/19/17. All levels within acceptable ranges. Sample at next scheduled interval.")</f>
        <v>NO ACTION REQUIRED. ISO 20/19/17. All levels within acceptable ranges. Sample at next scheduled interval.</v>
      </c>
      <c r="AK616" s="204"/>
      <c r="AL616" s="204"/>
      <c r="AM616" s="204"/>
    </row>
    <row r="617" hidden="1">
      <c r="A617" s="199" t="str">
        <f>IFERROR(__xludf.DUMMYFUNCTION("""COMPUTED_VALUE"""),"111.AF060 (R)")</f>
        <v>111.AF060 (R)</v>
      </c>
      <c r="B617" s="200" t="str">
        <f>IFERROR(__xludf.DUMMYFUNCTION("""COMPUTED_VALUE"""),"Limestone Apron Feeder Right Gear Box")</f>
        <v>Limestone Apron Feeder Right Gear Box</v>
      </c>
      <c r="C617" s="199">
        <f>IFERROR(__xludf.DUMMYFUNCTION("""COMPUTED_VALUE"""),2.6061630207E10)</f>
        <v>26061630207</v>
      </c>
      <c r="D617" s="201">
        <f>IFERROR(__xludf.DUMMYFUNCTION("""COMPUTED_VALUE"""),46054.0)</f>
        <v>46054</v>
      </c>
      <c r="E617" s="202" t="str">
        <f>IFERROR(__xludf.DUMMYFUNCTION("""COMPUTED_VALUE"""),"Caution")</f>
        <v>Caution</v>
      </c>
      <c r="F617" s="202" t="str">
        <f>IFERROR(__xludf.DUMMYFUNCTION("""COMPUTED_VALUE"""),"Caution")</f>
        <v>Caution</v>
      </c>
      <c r="G617" s="203" t="str">
        <f>IFERROR(__xludf.DUMMYFUNCTION("""COMPUTED_VALUE"""),"Normal")</f>
        <v>Normal</v>
      </c>
      <c r="H617" s="203" t="str">
        <f>IFERROR(__xludf.DUMMYFUNCTION("""COMPUTED_VALUE"""),"Normal")</f>
        <v>Normal</v>
      </c>
      <c r="I617" s="37"/>
      <c r="J617" s="37"/>
      <c r="K617" s="37"/>
      <c r="L617" s="199">
        <f>IFERROR(__xludf.DUMMYFUNCTION("""COMPUTED_VALUE"""),19.0)</f>
        <v>19</v>
      </c>
      <c r="M617" s="199">
        <f>IFERROR(__xludf.DUMMYFUNCTION("""COMPUTED_VALUE"""),206.3)</f>
        <v>206.3</v>
      </c>
      <c r="N617" s="199"/>
      <c r="O617" s="199"/>
      <c r="P617" s="37">
        <f>IFERROR(__xludf.DUMMYFUNCTION("""COMPUTED_VALUE"""),0.01)</f>
        <v>0.01</v>
      </c>
      <c r="Q617" s="199">
        <f>IFERROR(__xludf.DUMMYFUNCTION("""COMPUTED_VALUE"""),0.0)</f>
        <v>0</v>
      </c>
      <c r="R617" s="199">
        <f>IFERROR(__xludf.DUMMYFUNCTION("""COMPUTED_VALUE"""),0.0)</f>
        <v>0</v>
      </c>
      <c r="S617" s="199">
        <f>IFERROR(__xludf.DUMMYFUNCTION("""COMPUTED_VALUE"""),0.0)</f>
        <v>0</v>
      </c>
      <c r="T617" s="199">
        <f>IFERROR(__xludf.DUMMYFUNCTION("""COMPUTED_VALUE"""),0.0)</f>
        <v>0</v>
      </c>
      <c r="U617" s="199">
        <f>IFERROR(__xludf.DUMMYFUNCTION("""COMPUTED_VALUE"""),14.0)</f>
        <v>14</v>
      </c>
      <c r="V617" s="199">
        <f>IFERROR(__xludf.DUMMYFUNCTION("""COMPUTED_VALUE"""),0.0)</f>
        <v>0</v>
      </c>
      <c r="W617" s="199">
        <f>IFERROR(__xludf.DUMMYFUNCTION("""COMPUTED_VALUE"""),0.0)</f>
        <v>0</v>
      </c>
      <c r="X617" s="199">
        <f>IFERROR(__xludf.DUMMYFUNCTION("""COMPUTED_VALUE"""),0.0)</f>
        <v>0</v>
      </c>
      <c r="Y617" s="199">
        <f>IFERROR(__xludf.DUMMYFUNCTION("""COMPUTED_VALUE"""),0.0)</f>
        <v>0</v>
      </c>
      <c r="Z617" s="199">
        <f>IFERROR(__xludf.DUMMYFUNCTION("""COMPUTED_VALUE"""),0.0)</f>
        <v>0</v>
      </c>
      <c r="AA617" s="199">
        <f>IFERROR(__xludf.DUMMYFUNCTION("""COMPUTED_VALUE"""),0.0)</f>
        <v>0</v>
      </c>
      <c r="AB617" s="199">
        <f>IFERROR(__xludf.DUMMYFUNCTION("""COMPUTED_VALUE"""),25.0)</f>
        <v>25</v>
      </c>
      <c r="AC617" s="199">
        <f>IFERROR(__xludf.DUMMYFUNCTION("""COMPUTED_VALUE"""),0.0)</f>
        <v>0</v>
      </c>
      <c r="AD617" s="199">
        <f>IFERROR(__xludf.DUMMYFUNCTION("""COMPUTED_VALUE"""),0.0)</f>
        <v>0</v>
      </c>
      <c r="AE617" s="199">
        <f>IFERROR(__xludf.DUMMYFUNCTION("""COMPUTED_VALUE"""),0.0)</f>
        <v>0</v>
      </c>
      <c r="AF617" s="199">
        <f>IFERROR(__xludf.DUMMYFUNCTION("""COMPUTED_VALUE"""),0.0)</f>
        <v>0</v>
      </c>
      <c r="AG617" s="199">
        <f>IFERROR(__xludf.DUMMYFUNCTION("""COMPUTED_VALUE"""),430.0)</f>
        <v>430</v>
      </c>
      <c r="AH617" s="199">
        <f>IFERROR(__xludf.DUMMYFUNCTION("""COMPUTED_VALUE"""),0.0)</f>
        <v>0</v>
      </c>
      <c r="AI617" s="200" t="str">
        <f>IFERROR(__xludf.DUMMYFUNCTION("""COMPUTED_VALUE"""),"Contamination Caution")</f>
        <v>Contamination Caution</v>
      </c>
      <c r="AJ617" s="200" t="str">
        <f>IFERROR(__xludf.DUMMYFUNCTION("""COMPUTED_VALUE"""),"Silicon elevated - check air filtration and seals")</f>
        <v>Silicon elevated - check air filtration and seals</v>
      </c>
      <c r="AK617" s="204"/>
      <c r="AL617" s="204"/>
      <c r="AM617" s="204"/>
    </row>
    <row r="618" hidden="1">
      <c r="A618" s="199" t="str">
        <f>IFERROR(__xludf.DUMMYFUNCTION("""COMPUTED_VALUE"""),"R2.432.KB101(1)")</f>
        <v>R2.432.KB101(1)</v>
      </c>
      <c r="B618" s="200" t="str">
        <f>IFERROR(__xludf.DUMMYFUNCTION("""COMPUTED_VALUE"""),"Kiln Bearing")</f>
        <v>Kiln Bearing</v>
      </c>
      <c r="C618" s="199">
        <f>IFERROR(__xludf.DUMMYFUNCTION("""COMPUTED_VALUE"""),2.6060130247E10)</f>
        <v>26060130247</v>
      </c>
      <c r="D618" s="201">
        <f>IFERROR(__xludf.DUMMYFUNCTION("""COMPUTED_VALUE"""),46054.0)</f>
        <v>46054</v>
      </c>
      <c r="E618" s="202" t="str">
        <f>IFERROR(__xludf.DUMMYFUNCTION("""COMPUTED_VALUE"""),"Alert")</f>
        <v>Alert</v>
      </c>
      <c r="F618" s="202" t="str">
        <f>IFERROR(__xludf.DUMMYFUNCTION("""COMPUTED_VALUE"""),"Alert")</f>
        <v>Alert</v>
      </c>
      <c r="G618" s="203" t="str">
        <f>IFERROR(__xludf.DUMMYFUNCTION("""COMPUTED_VALUE"""),"Alert")</f>
        <v>Alert</v>
      </c>
      <c r="H618" s="203" t="str">
        <f>IFERROR(__xludf.DUMMYFUNCTION("""COMPUTED_VALUE"""),"Caution")</f>
        <v>Caution</v>
      </c>
      <c r="I618" s="37"/>
      <c r="J618" s="37"/>
      <c r="K618" s="37"/>
      <c r="L618" s="199">
        <f>IFERROR(__xludf.DUMMYFUNCTION("""COMPUTED_VALUE"""),78.0)</f>
        <v>78</v>
      </c>
      <c r="M618" s="199">
        <f>IFERROR(__xludf.DUMMYFUNCTION("""COMPUTED_VALUE"""),49.0)</f>
        <v>49</v>
      </c>
      <c r="N618" s="199"/>
      <c r="O618" s="199">
        <f>IFERROR(__xludf.DUMMYFUNCTION("""COMPUTED_VALUE"""),18.0)</f>
        <v>18</v>
      </c>
      <c r="P618" s="37"/>
      <c r="Q618" s="199">
        <f>IFERROR(__xludf.DUMMYFUNCTION("""COMPUTED_VALUE"""),0.0)</f>
        <v>0</v>
      </c>
      <c r="R618" s="199">
        <f>IFERROR(__xludf.DUMMYFUNCTION("""COMPUTED_VALUE"""),1.0)</f>
        <v>1</v>
      </c>
      <c r="S618" s="199">
        <f>IFERROR(__xludf.DUMMYFUNCTION("""COMPUTED_VALUE"""),0.0)</f>
        <v>0</v>
      </c>
      <c r="T618" s="199">
        <f>IFERROR(__xludf.DUMMYFUNCTION("""COMPUTED_VALUE"""),363.0)</f>
        <v>363</v>
      </c>
      <c r="U618" s="199">
        <f>IFERROR(__xludf.DUMMYFUNCTION("""COMPUTED_VALUE"""),73.0)</f>
        <v>73</v>
      </c>
      <c r="V618" s="199">
        <f>IFERROR(__xludf.DUMMYFUNCTION("""COMPUTED_VALUE"""),0.0)</f>
        <v>0</v>
      </c>
      <c r="W618" s="199">
        <f>IFERROR(__xludf.DUMMYFUNCTION("""COMPUTED_VALUE"""),0.0)</f>
        <v>0</v>
      </c>
      <c r="X618" s="199">
        <f>IFERROR(__xludf.DUMMYFUNCTION("""COMPUTED_VALUE"""),12.0)</f>
        <v>12</v>
      </c>
      <c r="Y618" s="199">
        <f>IFERROR(__xludf.DUMMYFUNCTION("""COMPUTED_VALUE"""),0.0)</f>
        <v>0</v>
      </c>
      <c r="Z618" s="199">
        <f>IFERROR(__xludf.DUMMYFUNCTION("""COMPUTED_VALUE"""),2.0)</f>
        <v>2</v>
      </c>
      <c r="AA618" s="199">
        <f>IFERROR(__xludf.DUMMYFUNCTION("""COMPUTED_VALUE"""),0.0)</f>
        <v>0</v>
      </c>
      <c r="AB618" s="199">
        <f>IFERROR(__xludf.DUMMYFUNCTION("""COMPUTED_VALUE"""),34.0)</f>
        <v>34</v>
      </c>
      <c r="AC618" s="199">
        <f>IFERROR(__xludf.DUMMYFUNCTION("""COMPUTED_VALUE"""),31.0)</f>
        <v>31</v>
      </c>
      <c r="AD618" s="199">
        <f>IFERROR(__xludf.DUMMYFUNCTION("""COMPUTED_VALUE"""),0.0)</f>
        <v>0</v>
      </c>
      <c r="AE618" s="199">
        <f>IFERROR(__xludf.DUMMYFUNCTION("""COMPUTED_VALUE"""),69.0)</f>
        <v>69</v>
      </c>
      <c r="AF618" s="199">
        <f>IFERROR(__xludf.DUMMYFUNCTION("""COMPUTED_VALUE"""),5.0)</f>
        <v>5</v>
      </c>
      <c r="AG618" s="199">
        <f>IFERROR(__xludf.DUMMYFUNCTION("""COMPUTED_VALUE"""),281.0)</f>
        <v>281</v>
      </c>
      <c r="AH618" s="199">
        <f>IFERROR(__xludf.DUMMYFUNCTION("""COMPUTED_VALUE"""),20.0)</f>
        <v>20</v>
      </c>
      <c r="AI618" s="200" t="str">
        <f>IFERROR(__xludf.DUMMYFUNCTION("""COMPUTED_VALUE"""),"Wear Metal Alert")</f>
        <v>Wear Metal Alert</v>
      </c>
      <c r="AJ618" s="200" t="str">
        <f>IFERROR(__xludf.DUMMYFUNCTION("""COMPUTED_VALUE"""),"URGENT: Inspect equipment immediately for wear/damage; Critical wear metals detected - schedule immediate inspection; High wear metals - inspect bearing/gear surfaces; Severe oxidation - lubricant change required urgently; Elevated silicon - inspect filte"&amp;"rs and seals for contamination")</f>
        <v>URGENT: Inspect equipment immediately for wear/damage; Critical wear metals detected - schedule immediate inspection; High wear metals - inspect bearing/gear surfaces; Severe oxidation - lubricant change required urgently; Elevated silicon - inspect filters and seals for contamination</v>
      </c>
      <c r="AK618" s="204"/>
      <c r="AL618" s="204"/>
      <c r="AM618" s="204"/>
    </row>
    <row r="619" hidden="1">
      <c r="A619" s="199" t="str">
        <f>IFERROR(__xludf.DUMMYFUNCTION("""COMPUTED_VALUE"""),"R2.432.KB101(2)")</f>
        <v>R2.432.KB101(2)</v>
      </c>
      <c r="B619" s="200" t="str">
        <f>IFERROR(__xludf.DUMMYFUNCTION("""COMPUTED_VALUE"""),"Kiln Bearing")</f>
        <v>Kiln Bearing</v>
      </c>
      <c r="C619" s="199">
        <f>IFERROR(__xludf.DUMMYFUNCTION("""COMPUTED_VALUE"""),2.6060130248E10)</f>
        <v>26060130248</v>
      </c>
      <c r="D619" s="201">
        <f>IFERROR(__xludf.DUMMYFUNCTION("""COMPUTED_VALUE"""),46054.0)</f>
        <v>46054</v>
      </c>
      <c r="E619" s="202" t="str">
        <f>IFERROR(__xludf.DUMMYFUNCTION("""COMPUTED_VALUE"""),"Alert")</f>
        <v>Alert</v>
      </c>
      <c r="F619" s="202" t="str">
        <f>IFERROR(__xludf.DUMMYFUNCTION("""COMPUTED_VALUE"""),"Caution")</f>
        <v>Caution</v>
      </c>
      <c r="G619" s="203" t="str">
        <f>IFERROR(__xludf.DUMMYFUNCTION("""COMPUTED_VALUE"""),"Alert")</f>
        <v>Alert</v>
      </c>
      <c r="H619" s="203" t="str">
        <f>IFERROR(__xludf.DUMMYFUNCTION("""COMPUTED_VALUE"""),"Caution")</f>
        <v>Caution</v>
      </c>
      <c r="I619" s="37"/>
      <c r="J619" s="37"/>
      <c r="K619" s="37"/>
      <c r="L619" s="199">
        <f>IFERROR(__xludf.DUMMYFUNCTION("""COMPUTED_VALUE"""),171.0)</f>
        <v>171</v>
      </c>
      <c r="M619" s="199">
        <f>IFERROR(__xludf.DUMMYFUNCTION("""COMPUTED_VALUE"""),44.4)</f>
        <v>44.4</v>
      </c>
      <c r="N619" s="199"/>
      <c r="O619" s="199">
        <f>IFERROR(__xludf.DUMMYFUNCTION("""COMPUTED_VALUE"""),15.0)</f>
        <v>15</v>
      </c>
      <c r="P619" s="37"/>
      <c r="Q619" s="199">
        <f>IFERROR(__xludf.DUMMYFUNCTION("""COMPUTED_VALUE"""),0.0)</f>
        <v>0</v>
      </c>
      <c r="R619" s="199">
        <f>IFERROR(__xludf.DUMMYFUNCTION("""COMPUTED_VALUE"""),0.0)</f>
        <v>0</v>
      </c>
      <c r="S619" s="199">
        <f>IFERROR(__xludf.DUMMYFUNCTION("""COMPUTED_VALUE"""),0.0)</f>
        <v>0</v>
      </c>
      <c r="T619" s="199">
        <f>IFERROR(__xludf.DUMMYFUNCTION("""COMPUTED_VALUE"""),252.0)</f>
        <v>252</v>
      </c>
      <c r="U619" s="199">
        <f>IFERROR(__xludf.DUMMYFUNCTION("""COMPUTED_VALUE"""),102.0)</f>
        <v>102</v>
      </c>
      <c r="V619" s="199">
        <f>IFERROR(__xludf.DUMMYFUNCTION("""COMPUTED_VALUE"""),0.0)</f>
        <v>0</v>
      </c>
      <c r="W619" s="199">
        <f>IFERROR(__xludf.DUMMYFUNCTION("""COMPUTED_VALUE"""),0.0)</f>
        <v>0</v>
      </c>
      <c r="X619" s="199">
        <f>IFERROR(__xludf.DUMMYFUNCTION("""COMPUTED_VALUE"""),7.0)</f>
        <v>7</v>
      </c>
      <c r="Y619" s="199">
        <f>IFERROR(__xludf.DUMMYFUNCTION("""COMPUTED_VALUE"""),2.0)</f>
        <v>2</v>
      </c>
      <c r="Z619" s="199">
        <f>IFERROR(__xludf.DUMMYFUNCTION("""COMPUTED_VALUE"""),0.0)</f>
        <v>0</v>
      </c>
      <c r="AA619" s="199">
        <f>IFERROR(__xludf.DUMMYFUNCTION("""COMPUTED_VALUE"""),0.0)</f>
        <v>0</v>
      </c>
      <c r="AB619" s="199">
        <f>IFERROR(__xludf.DUMMYFUNCTION("""COMPUTED_VALUE"""),20.0)</f>
        <v>20</v>
      </c>
      <c r="AC619" s="199">
        <f>IFERROR(__xludf.DUMMYFUNCTION("""COMPUTED_VALUE"""),41.0)</f>
        <v>41</v>
      </c>
      <c r="AD619" s="199">
        <f>IFERROR(__xludf.DUMMYFUNCTION("""COMPUTED_VALUE"""),1.0)</f>
        <v>1</v>
      </c>
      <c r="AE619" s="199">
        <f>IFERROR(__xludf.DUMMYFUNCTION("""COMPUTED_VALUE"""),68.0)</f>
        <v>68</v>
      </c>
      <c r="AF619" s="199">
        <f>IFERROR(__xludf.DUMMYFUNCTION("""COMPUTED_VALUE"""),0.0)</f>
        <v>0</v>
      </c>
      <c r="AG619" s="199">
        <f>IFERROR(__xludf.DUMMYFUNCTION("""COMPUTED_VALUE"""),324.0)</f>
        <v>324</v>
      </c>
      <c r="AH619" s="199">
        <f>IFERROR(__xludf.DUMMYFUNCTION("""COMPUTED_VALUE"""),13.0)</f>
        <v>13</v>
      </c>
      <c r="AI619" s="200" t="str">
        <f>IFERROR(__xludf.DUMMYFUNCTION("""COMPUTED_VALUE"""),"Wear Metal Alert | High Particle Count")</f>
        <v>Wear Metal Alert | High Particle Count</v>
      </c>
      <c r="AJ619" s="200" t="str">
        <f>IFERROR(__xludf.DUMMYFUNCTION("""COMPUTED_VALUE"""),"URGENT: Inspect equipment immediately for wear/damage; High wear metals - inspect bearing/gear surfaces; Severe oxidation - lubricant change required urgently; Critical particle count - flush system and replace filters")</f>
        <v>URGENT: Inspect equipment immediately for wear/damage; High wear metals - inspect bearing/gear surfaces; Severe oxidation - lubricant change required urgently; Critical particle count - flush system and replace filters</v>
      </c>
      <c r="AK619" s="204"/>
      <c r="AL619" s="204"/>
      <c r="AM619" s="204"/>
    </row>
    <row r="620" hidden="1">
      <c r="A620" s="199" t="str">
        <f>IFERROR(__xludf.DUMMYFUNCTION("""COMPUTED_VALUE"""),"R2.432.KB101(3)")</f>
        <v>R2.432.KB101(3)</v>
      </c>
      <c r="B620" s="200" t="str">
        <f>IFERROR(__xludf.DUMMYFUNCTION("""COMPUTED_VALUE"""),"Kiln Bearing")</f>
        <v>Kiln Bearing</v>
      </c>
      <c r="C620" s="199">
        <f>IFERROR(__xludf.DUMMYFUNCTION("""COMPUTED_VALUE"""),2.606163022E10)</f>
        <v>26061630220</v>
      </c>
      <c r="D620" s="201">
        <f>IFERROR(__xludf.DUMMYFUNCTION("""COMPUTED_VALUE"""),46054.0)</f>
        <v>46054</v>
      </c>
      <c r="E620" s="202" t="str">
        <f>IFERROR(__xludf.DUMMYFUNCTION("""COMPUTED_VALUE"""),"Alert")</f>
        <v>Alert</v>
      </c>
      <c r="F620" s="202" t="str">
        <f>IFERROR(__xludf.DUMMYFUNCTION("""COMPUTED_VALUE"""),"Caution")</f>
        <v>Caution</v>
      </c>
      <c r="G620" s="203" t="str">
        <f>IFERROR(__xludf.DUMMYFUNCTION("""COMPUTED_VALUE"""),"Alert")</f>
        <v>Alert</v>
      </c>
      <c r="H620" s="203" t="str">
        <f>IFERROR(__xludf.DUMMYFUNCTION("""COMPUTED_VALUE"""),"Normal")</f>
        <v>Normal</v>
      </c>
      <c r="I620" s="37"/>
      <c r="J620" s="37"/>
      <c r="K620" s="37"/>
      <c r="L620" s="199">
        <f>IFERROR(__xludf.DUMMYFUNCTION("""COMPUTED_VALUE"""),108.0)</f>
        <v>108</v>
      </c>
      <c r="M620" s="199">
        <f>IFERROR(__xludf.DUMMYFUNCTION("""COMPUTED_VALUE"""),46.6)</f>
        <v>46.6</v>
      </c>
      <c r="N620" s="199"/>
      <c r="O620" s="199">
        <f>IFERROR(__xludf.DUMMYFUNCTION("""COMPUTED_VALUE"""),6.0)</f>
        <v>6</v>
      </c>
      <c r="P620" s="37"/>
      <c r="Q620" s="199">
        <f>IFERROR(__xludf.DUMMYFUNCTION("""COMPUTED_VALUE"""),0.0)</f>
        <v>0</v>
      </c>
      <c r="R620" s="199">
        <f>IFERROR(__xludf.DUMMYFUNCTION("""COMPUTED_VALUE"""),0.0)</f>
        <v>0</v>
      </c>
      <c r="S620" s="199">
        <f>IFERROR(__xludf.DUMMYFUNCTION("""COMPUTED_VALUE"""),0.0)</f>
        <v>0</v>
      </c>
      <c r="T620" s="199">
        <f>IFERROR(__xludf.DUMMYFUNCTION("""COMPUTED_VALUE"""),33.0)</f>
        <v>33</v>
      </c>
      <c r="U620" s="199">
        <f>IFERROR(__xludf.DUMMYFUNCTION("""COMPUTED_VALUE"""),83.0)</f>
        <v>83</v>
      </c>
      <c r="V620" s="199">
        <f>IFERROR(__xludf.DUMMYFUNCTION("""COMPUTED_VALUE"""),0.0)</f>
        <v>0</v>
      </c>
      <c r="W620" s="199">
        <f>IFERROR(__xludf.DUMMYFUNCTION("""COMPUTED_VALUE"""),0.0)</f>
        <v>0</v>
      </c>
      <c r="X620" s="199">
        <f>IFERROR(__xludf.DUMMYFUNCTION("""COMPUTED_VALUE"""),0.0)</f>
        <v>0</v>
      </c>
      <c r="Y620" s="199">
        <f>IFERROR(__xludf.DUMMYFUNCTION("""COMPUTED_VALUE"""),0.0)</f>
        <v>0</v>
      </c>
      <c r="Z620" s="199">
        <f>IFERROR(__xludf.DUMMYFUNCTION("""COMPUTED_VALUE"""),2.0)</f>
        <v>2</v>
      </c>
      <c r="AA620" s="199">
        <f>IFERROR(__xludf.DUMMYFUNCTION("""COMPUTED_VALUE"""),0.0)</f>
        <v>0</v>
      </c>
      <c r="AB620" s="199">
        <f>IFERROR(__xludf.DUMMYFUNCTION("""COMPUTED_VALUE"""),20.0)</f>
        <v>20</v>
      </c>
      <c r="AC620" s="199">
        <f>IFERROR(__xludf.DUMMYFUNCTION("""COMPUTED_VALUE"""),2.0)</f>
        <v>2</v>
      </c>
      <c r="AD620" s="199">
        <f>IFERROR(__xludf.DUMMYFUNCTION("""COMPUTED_VALUE"""),0.0)</f>
        <v>0</v>
      </c>
      <c r="AE620" s="199">
        <f>IFERROR(__xludf.DUMMYFUNCTION("""COMPUTED_VALUE"""),45.0)</f>
        <v>45</v>
      </c>
      <c r="AF620" s="199">
        <f>IFERROR(__xludf.DUMMYFUNCTION("""COMPUTED_VALUE"""),5.0)</f>
        <v>5</v>
      </c>
      <c r="AG620" s="199">
        <f>IFERROR(__xludf.DUMMYFUNCTION("""COMPUTED_VALUE"""),318.0)</f>
        <v>318</v>
      </c>
      <c r="AH620" s="199">
        <f>IFERROR(__xludf.DUMMYFUNCTION("""COMPUTED_VALUE"""),12.0)</f>
        <v>12</v>
      </c>
      <c r="AI620" s="200" t="str">
        <f>IFERROR(__xludf.DUMMYFUNCTION("""COMPUTED_VALUE"""),"Wear Metal Alert | High Particle Count")</f>
        <v>Wear Metal Alert | High Particle Count</v>
      </c>
      <c r="AJ620" s="200" t="str">
        <f>IFERROR(__xludf.DUMMYFUNCTION("""COMPUTED_VALUE"""),"URGENT: Inspect equipment immediately for wear/damage; Severe oxidation - lubricant change required urgently; High particle count - replace filters and resample")</f>
        <v>URGENT: Inspect equipment immediately for wear/damage; Severe oxidation - lubricant change required urgently; High particle count - replace filters and resample</v>
      </c>
      <c r="AK620" s="204"/>
      <c r="AL620" s="204"/>
      <c r="AM620" s="204"/>
    </row>
    <row r="621" hidden="1">
      <c r="A621" s="199" t="str">
        <f>IFERROR(__xludf.DUMMYFUNCTION("""COMPUTED_VALUE"""),"R2.432.KB102(4)")</f>
        <v>R2.432.KB102(4)</v>
      </c>
      <c r="B621" s="200" t="str">
        <f>IFERROR(__xludf.DUMMYFUNCTION("""COMPUTED_VALUE"""),"Kiln Bearing")</f>
        <v>Kiln Bearing</v>
      </c>
      <c r="C621" s="199">
        <f>IFERROR(__xludf.DUMMYFUNCTION("""COMPUTED_VALUE"""),2.6061630216E10)</f>
        <v>26061630216</v>
      </c>
      <c r="D621" s="201">
        <f>IFERROR(__xludf.DUMMYFUNCTION("""COMPUTED_VALUE"""),46054.0)</f>
        <v>46054</v>
      </c>
      <c r="E621" s="202" t="str">
        <f>IFERROR(__xludf.DUMMYFUNCTION("""COMPUTED_VALUE"""),"Alert")</f>
        <v>Alert</v>
      </c>
      <c r="F621" s="202" t="str">
        <f>IFERROR(__xludf.DUMMYFUNCTION("""COMPUTED_VALUE"""),"Caution")</f>
        <v>Caution</v>
      </c>
      <c r="G621" s="203" t="str">
        <f>IFERROR(__xludf.DUMMYFUNCTION("""COMPUTED_VALUE"""),"Alert")</f>
        <v>Alert</v>
      </c>
      <c r="H621" s="203" t="str">
        <f>IFERROR(__xludf.DUMMYFUNCTION("""COMPUTED_VALUE"""),"Normal")</f>
        <v>Normal</v>
      </c>
      <c r="I621" s="37"/>
      <c r="J621" s="37"/>
      <c r="K621" s="37"/>
      <c r="L621" s="199">
        <f>IFERROR(__xludf.DUMMYFUNCTION("""COMPUTED_VALUE"""),54.0)</f>
        <v>54</v>
      </c>
      <c r="M621" s="199">
        <f>IFERROR(__xludf.DUMMYFUNCTION("""COMPUTED_VALUE"""),49.4)</f>
        <v>49.4</v>
      </c>
      <c r="N621" s="199"/>
      <c r="O621" s="199">
        <f>IFERROR(__xludf.DUMMYFUNCTION("""COMPUTED_VALUE"""),11.0)</f>
        <v>11</v>
      </c>
      <c r="P621" s="37"/>
      <c r="Q621" s="199">
        <f>IFERROR(__xludf.DUMMYFUNCTION("""COMPUTED_VALUE"""),0.0)</f>
        <v>0</v>
      </c>
      <c r="R621" s="199">
        <f>IFERROR(__xludf.DUMMYFUNCTION("""COMPUTED_VALUE"""),0.0)</f>
        <v>0</v>
      </c>
      <c r="S621" s="199">
        <f>IFERROR(__xludf.DUMMYFUNCTION("""COMPUTED_VALUE"""),0.0)</f>
        <v>0</v>
      </c>
      <c r="T621" s="199">
        <f>IFERROR(__xludf.DUMMYFUNCTION("""COMPUTED_VALUE"""),86.0)</f>
        <v>86</v>
      </c>
      <c r="U621" s="199">
        <f>IFERROR(__xludf.DUMMYFUNCTION("""COMPUTED_VALUE"""),65.0)</f>
        <v>65</v>
      </c>
      <c r="V621" s="199">
        <f>IFERROR(__xludf.DUMMYFUNCTION("""COMPUTED_VALUE"""),0.0)</f>
        <v>0</v>
      </c>
      <c r="W621" s="199">
        <f>IFERROR(__xludf.DUMMYFUNCTION("""COMPUTED_VALUE"""),0.0)</f>
        <v>0</v>
      </c>
      <c r="X621" s="199">
        <f>IFERROR(__xludf.DUMMYFUNCTION("""COMPUTED_VALUE"""),4.0)</f>
        <v>4</v>
      </c>
      <c r="Y621" s="199">
        <f>IFERROR(__xludf.DUMMYFUNCTION("""COMPUTED_VALUE"""),0.0)</f>
        <v>0</v>
      </c>
      <c r="Z621" s="199">
        <f>IFERROR(__xludf.DUMMYFUNCTION("""COMPUTED_VALUE"""),5.0)</f>
        <v>5</v>
      </c>
      <c r="AA621" s="199">
        <f>IFERROR(__xludf.DUMMYFUNCTION("""COMPUTED_VALUE"""),0.0)</f>
        <v>0</v>
      </c>
      <c r="AB621" s="199">
        <f>IFERROR(__xludf.DUMMYFUNCTION("""COMPUTED_VALUE"""),15.0)</f>
        <v>15</v>
      </c>
      <c r="AC621" s="199">
        <f>IFERROR(__xludf.DUMMYFUNCTION("""COMPUTED_VALUE"""),16.0)</f>
        <v>16</v>
      </c>
      <c r="AD621" s="199">
        <f>IFERROR(__xludf.DUMMYFUNCTION("""COMPUTED_VALUE"""),0.0)</f>
        <v>0</v>
      </c>
      <c r="AE621" s="199">
        <f>IFERROR(__xludf.DUMMYFUNCTION("""COMPUTED_VALUE"""),36.0)</f>
        <v>36</v>
      </c>
      <c r="AF621" s="199">
        <f>IFERROR(__xludf.DUMMYFUNCTION("""COMPUTED_VALUE"""),2.0)</f>
        <v>2</v>
      </c>
      <c r="AG621" s="199">
        <f>IFERROR(__xludf.DUMMYFUNCTION("""COMPUTED_VALUE"""),281.0)</f>
        <v>281</v>
      </c>
      <c r="AH621" s="199">
        <f>IFERROR(__xludf.DUMMYFUNCTION("""COMPUTED_VALUE"""),4.0)</f>
        <v>4</v>
      </c>
      <c r="AI621" s="200" t="str">
        <f>IFERROR(__xludf.DUMMYFUNCTION("""COMPUTED_VALUE"""),"Wear Metal Alert")</f>
        <v>Wear Metal Alert</v>
      </c>
      <c r="AJ621" s="200" t="str">
        <f>IFERROR(__xludf.DUMMYFUNCTION("""COMPUTED_VALUE"""),"URGENT: Inspect equipment immediately for wear/damage; Severe oxidation - lubricant change required urgently")</f>
        <v>URGENT: Inspect equipment immediately for wear/damage; Severe oxidation - lubricant change required urgently</v>
      </c>
      <c r="AK621" s="204"/>
      <c r="AL621" s="204"/>
      <c r="AM621" s="204"/>
    </row>
    <row r="622" hidden="1">
      <c r="A622" s="199" t="str">
        <f>IFERROR(__xludf.DUMMYFUNCTION("""COMPUTED_VALUE"""),"R2.432.KB102(1)")</f>
        <v>R2.432.KB102(1)</v>
      </c>
      <c r="B622" s="200" t="str">
        <f>IFERROR(__xludf.DUMMYFUNCTION("""COMPUTED_VALUE"""),"Kiln Bearing")</f>
        <v>Kiln Bearing</v>
      </c>
      <c r="C622" s="199">
        <f>IFERROR(__xludf.DUMMYFUNCTION("""COMPUTED_VALUE"""),2.6060130249E10)</f>
        <v>26060130249</v>
      </c>
      <c r="D622" s="201">
        <f>IFERROR(__xludf.DUMMYFUNCTION("""COMPUTED_VALUE"""),46054.0)</f>
        <v>46054</v>
      </c>
      <c r="E622" s="202" t="str">
        <f>IFERROR(__xludf.DUMMYFUNCTION("""COMPUTED_VALUE"""),"Alert")</f>
        <v>Alert</v>
      </c>
      <c r="F622" s="202" t="str">
        <f>IFERROR(__xludf.DUMMYFUNCTION("""COMPUTED_VALUE"""),"Caution")</f>
        <v>Caution</v>
      </c>
      <c r="G622" s="203" t="str">
        <f>IFERROR(__xludf.DUMMYFUNCTION("""COMPUTED_VALUE"""),"Alert")</f>
        <v>Alert</v>
      </c>
      <c r="H622" s="203" t="str">
        <f>IFERROR(__xludf.DUMMYFUNCTION("""COMPUTED_VALUE"""),"Caution")</f>
        <v>Caution</v>
      </c>
      <c r="I622" s="37"/>
      <c r="J622" s="37"/>
      <c r="K622" s="37"/>
      <c r="L622" s="199">
        <f>IFERROR(__xludf.DUMMYFUNCTION("""COMPUTED_VALUE"""),107.0)</f>
        <v>107</v>
      </c>
      <c r="M622" s="199">
        <f>IFERROR(__xludf.DUMMYFUNCTION("""COMPUTED_VALUE"""),48.3)</f>
        <v>48.3</v>
      </c>
      <c r="N622" s="199"/>
      <c r="O622" s="199">
        <f>IFERROR(__xludf.DUMMYFUNCTION("""COMPUTED_VALUE"""),15.0)</f>
        <v>15</v>
      </c>
      <c r="P622" s="37"/>
      <c r="Q622" s="199">
        <f>IFERROR(__xludf.DUMMYFUNCTION("""COMPUTED_VALUE"""),0.0)</f>
        <v>0</v>
      </c>
      <c r="R622" s="199">
        <f>IFERROR(__xludf.DUMMYFUNCTION("""COMPUTED_VALUE"""),0.0)</f>
        <v>0</v>
      </c>
      <c r="S622" s="199">
        <f>IFERROR(__xludf.DUMMYFUNCTION("""COMPUTED_VALUE"""),0.0)</f>
        <v>0</v>
      </c>
      <c r="T622" s="199">
        <f>IFERROR(__xludf.DUMMYFUNCTION("""COMPUTED_VALUE"""),195.0)</f>
        <v>195</v>
      </c>
      <c r="U622" s="199">
        <f>IFERROR(__xludf.DUMMYFUNCTION("""COMPUTED_VALUE"""),117.0)</f>
        <v>117</v>
      </c>
      <c r="V622" s="199">
        <f>IFERROR(__xludf.DUMMYFUNCTION("""COMPUTED_VALUE"""),0.0)</f>
        <v>0</v>
      </c>
      <c r="W622" s="199">
        <f>IFERROR(__xludf.DUMMYFUNCTION("""COMPUTED_VALUE"""),0.0)</f>
        <v>0</v>
      </c>
      <c r="X622" s="199">
        <f>IFERROR(__xludf.DUMMYFUNCTION("""COMPUTED_VALUE"""),4.0)</f>
        <v>4</v>
      </c>
      <c r="Y622" s="199">
        <f>IFERROR(__xludf.DUMMYFUNCTION("""COMPUTED_VALUE"""),0.0)</f>
        <v>0</v>
      </c>
      <c r="Z622" s="199">
        <f>IFERROR(__xludf.DUMMYFUNCTION("""COMPUTED_VALUE"""),5.0)</f>
        <v>5</v>
      </c>
      <c r="AA622" s="199">
        <f>IFERROR(__xludf.DUMMYFUNCTION("""COMPUTED_VALUE"""),0.0)</f>
        <v>0</v>
      </c>
      <c r="AB622" s="199">
        <f>IFERROR(__xludf.DUMMYFUNCTION("""COMPUTED_VALUE"""),18.0)</f>
        <v>18</v>
      </c>
      <c r="AC622" s="199">
        <f>IFERROR(__xludf.DUMMYFUNCTION("""COMPUTED_VALUE"""),34.0)</f>
        <v>34</v>
      </c>
      <c r="AD622" s="199">
        <f>IFERROR(__xludf.DUMMYFUNCTION("""COMPUTED_VALUE"""),0.0)</f>
        <v>0</v>
      </c>
      <c r="AE622" s="199">
        <f>IFERROR(__xludf.DUMMYFUNCTION("""COMPUTED_VALUE"""),44.0)</f>
        <v>44</v>
      </c>
      <c r="AF622" s="199">
        <f>IFERROR(__xludf.DUMMYFUNCTION("""COMPUTED_VALUE"""),2.0)</f>
        <v>2</v>
      </c>
      <c r="AG622" s="199">
        <f>IFERROR(__xludf.DUMMYFUNCTION("""COMPUTED_VALUE"""),366.0)</f>
        <v>366</v>
      </c>
      <c r="AH622" s="199">
        <f>IFERROR(__xludf.DUMMYFUNCTION("""COMPUTED_VALUE"""),30.0)</f>
        <v>30</v>
      </c>
      <c r="AI622" s="200" t="str">
        <f>IFERROR(__xludf.DUMMYFUNCTION("""COMPUTED_VALUE"""),"Wear Metal Alert | High Particle Count")</f>
        <v>Wear Metal Alert | High Particle Count</v>
      </c>
      <c r="AJ622" s="200" t="str">
        <f>IFERROR(__xludf.DUMMYFUNCTION("""COMPUTED_VALUE"""),"URGENT: Inspect equipment immediately for wear/damage; High wear metals - inspect bearing/gear surfaces; Severe oxidation - lubricant change required urgently; High particle count - replace filters and resample")</f>
        <v>URGENT: Inspect equipment immediately for wear/damage; High wear metals - inspect bearing/gear surfaces; Severe oxidation - lubricant change required urgently; High particle count - replace filters and resample</v>
      </c>
      <c r="AK622" s="204"/>
      <c r="AL622" s="204"/>
      <c r="AM622" s="204"/>
    </row>
    <row r="623" hidden="1">
      <c r="A623" s="199" t="str">
        <f>IFERROR(__xludf.DUMMYFUNCTION("""COMPUTED_VALUE"""),"R2.432.KB102(2)")</f>
        <v>R2.432.KB102(2)</v>
      </c>
      <c r="B623" s="200" t="str">
        <f>IFERROR(__xludf.DUMMYFUNCTION("""COMPUTED_VALUE"""),"Kiln Bearing")</f>
        <v>Kiln Bearing</v>
      </c>
      <c r="C623" s="199">
        <f>IFERROR(__xludf.DUMMYFUNCTION("""COMPUTED_VALUE"""),2.6060130255E10)</f>
        <v>26060130255</v>
      </c>
      <c r="D623" s="201">
        <f>IFERROR(__xludf.DUMMYFUNCTION("""COMPUTED_VALUE"""),46054.0)</f>
        <v>46054</v>
      </c>
      <c r="E623" s="202" t="str">
        <f>IFERROR(__xludf.DUMMYFUNCTION("""COMPUTED_VALUE"""),"Caution")</f>
        <v>Caution</v>
      </c>
      <c r="F623" s="202" t="str">
        <f>IFERROR(__xludf.DUMMYFUNCTION("""COMPUTED_VALUE"""),"Caution")</f>
        <v>Caution</v>
      </c>
      <c r="G623" s="203" t="str">
        <f>IFERROR(__xludf.DUMMYFUNCTION("""COMPUTED_VALUE"""),"Normal")</f>
        <v>Normal</v>
      </c>
      <c r="H623" s="203" t="str">
        <f>IFERROR(__xludf.DUMMYFUNCTION("""COMPUTED_VALUE"""),"Normal")</f>
        <v>Normal</v>
      </c>
      <c r="I623" s="37"/>
      <c r="J623" s="37"/>
      <c r="K623" s="37"/>
      <c r="L623" s="199">
        <f>IFERROR(__xludf.DUMMYFUNCTION("""COMPUTED_VALUE"""),25.0)</f>
        <v>25</v>
      </c>
      <c r="M623" s="199">
        <f>IFERROR(__xludf.DUMMYFUNCTION("""COMPUTED_VALUE"""),41.6)</f>
        <v>41.6</v>
      </c>
      <c r="N623" s="199"/>
      <c r="O623" s="199">
        <f>IFERROR(__xludf.DUMMYFUNCTION("""COMPUTED_VALUE"""),5.0)</f>
        <v>5</v>
      </c>
      <c r="P623" s="37"/>
      <c r="Q623" s="199">
        <f>IFERROR(__xludf.DUMMYFUNCTION("""COMPUTED_VALUE"""),0.0)</f>
        <v>0</v>
      </c>
      <c r="R623" s="199">
        <f>IFERROR(__xludf.DUMMYFUNCTION("""COMPUTED_VALUE"""),1.0)</f>
        <v>1</v>
      </c>
      <c r="S623" s="199">
        <f>IFERROR(__xludf.DUMMYFUNCTION("""COMPUTED_VALUE"""),0.0)</f>
        <v>0</v>
      </c>
      <c r="T623" s="199">
        <f>IFERROR(__xludf.DUMMYFUNCTION("""COMPUTED_VALUE"""),26.0)</f>
        <v>26</v>
      </c>
      <c r="U623" s="199">
        <f>IFERROR(__xludf.DUMMYFUNCTION("""COMPUTED_VALUE"""),23.0)</f>
        <v>23</v>
      </c>
      <c r="V623" s="199">
        <f>IFERROR(__xludf.DUMMYFUNCTION("""COMPUTED_VALUE"""),0.0)</f>
        <v>0</v>
      </c>
      <c r="W623" s="199">
        <f>IFERROR(__xludf.DUMMYFUNCTION("""COMPUTED_VALUE"""),0.0)</f>
        <v>0</v>
      </c>
      <c r="X623" s="199">
        <f>IFERROR(__xludf.DUMMYFUNCTION("""COMPUTED_VALUE"""),0.0)</f>
        <v>0</v>
      </c>
      <c r="Y623" s="199">
        <f>IFERROR(__xludf.DUMMYFUNCTION("""COMPUTED_VALUE"""),0.0)</f>
        <v>0</v>
      </c>
      <c r="Z623" s="199">
        <f>IFERROR(__xludf.DUMMYFUNCTION("""COMPUTED_VALUE"""),2.0)</f>
        <v>2</v>
      </c>
      <c r="AA623" s="199">
        <f>IFERROR(__xludf.DUMMYFUNCTION("""COMPUTED_VALUE"""),0.0)</f>
        <v>0</v>
      </c>
      <c r="AB623" s="199">
        <f>IFERROR(__xludf.DUMMYFUNCTION("""COMPUTED_VALUE"""),10.0)</f>
        <v>10</v>
      </c>
      <c r="AC623" s="199">
        <f>IFERROR(__xludf.DUMMYFUNCTION("""COMPUTED_VALUE"""),2.0)</f>
        <v>2</v>
      </c>
      <c r="AD623" s="199">
        <f>IFERROR(__xludf.DUMMYFUNCTION("""COMPUTED_VALUE"""),0.0)</f>
        <v>0</v>
      </c>
      <c r="AE623" s="199">
        <f>IFERROR(__xludf.DUMMYFUNCTION("""COMPUTED_VALUE"""),104.0)</f>
        <v>104</v>
      </c>
      <c r="AF623" s="199">
        <f>IFERROR(__xludf.DUMMYFUNCTION("""COMPUTED_VALUE"""),1.0)</f>
        <v>1</v>
      </c>
      <c r="AG623" s="199">
        <f>IFERROR(__xludf.DUMMYFUNCTION("""COMPUTED_VALUE"""),406.0)</f>
        <v>406</v>
      </c>
      <c r="AH623" s="199">
        <f>IFERROR(__xludf.DUMMYFUNCTION("""COMPUTED_VALUE"""),17.0)</f>
        <v>17</v>
      </c>
      <c r="AI623" s="200" t="str">
        <f>IFERROR(__xludf.DUMMYFUNCTION("""COMPUTED_VALUE"""),"General Caution")</f>
        <v>General Caution</v>
      </c>
      <c r="AJ623" s="200" t="str">
        <f>IFERROR(__xludf.DUMMYFUNCTION("""COMPUTED_VALUE"""),"Oxidation increasing - monitor and plan oil change")</f>
        <v>Oxidation increasing - monitor and plan oil change</v>
      </c>
      <c r="AK623" s="204"/>
      <c r="AL623" s="204"/>
      <c r="AM623" s="204"/>
    </row>
    <row r="624" hidden="1">
      <c r="A624" s="199" t="str">
        <f>IFERROR(__xludf.DUMMYFUNCTION("""COMPUTED_VALUE"""),"R2.432.KB102(3)")</f>
        <v>R2.432.KB102(3)</v>
      </c>
      <c r="B624" s="200" t="str">
        <f>IFERROR(__xludf.DUMMYFUNCTION("""COMPUTED_VALUE"""),"Kiln Bearing")</f>
        <v>Kiln Bearing</v>
      </c>
      <c r="C624" s="199">
        <f>IFERROR(__xludf.DUMMYFUNCTION("""COMPUTED_VALUE"""),2.6060130253E10)</f>
        <v>26060130253</v>
      </c>
      <c r="D624" s="201">
        <f>IFERROR(__xludf.DUMMYFUNCTION("""COMPUTED_VALUE"""),46054.0)</f>
        <v>46054</v>
      </c>
      <c r="E624" s="202" t="str">
        <f>IFERROR(__xludf.DUMMYFUNCTION("""COMPUTED_VALUE"""),"Alert")</f>
        <v>Alert</v>
      </c>
      <c r="F624" s="202" t="str">
        <f>IFERROR(__xludf.DUMMYFUNCTION("""COMPUTED_VALUE"""),"Caution")</f>
        <v>Caution</v>
      </c>
      <c r="G624" s="203" t="str">
        <f>IFERROR(__xludf.DUMMYFUNCTION("""COMPUTED_VALUE"""),"Alert")</f>
        <v>Alert</v>
      </c>
      <c r="H624" s="203" t="str">
        <f>IFERROR(__xludf.DUMMYFUNCTION("""COMPUTED_VALUE"""),"Caution")</f>
        <v>Caution</v>
      </c>
      <c r="I624" s="37"/>
      <c r="J624" s="37"/>
      <c r="K624" s="37"/>
      <c r="L624" s="199">
        <f>IFERROR(__xludf.DUMMYFUNCTION("""COMPUTED_VALUE"""),46.0)</f>
        <v>46</v>
      </c>
      <c r="M624" s="199">
        <f>IFERROR(__xludf.DUMMYFUNCTION("""COMPUTED_VALUE"""),41.0)</f>
        <v>41</v>
      </c>
      <c r="N624" s="199"/>
      <c r="O624" s="199">
        <f>IFERROR(__xludf.DUMMYFUNCTION("""COMPUTED_VALUE"""),16.0)</f>
        <v>16</v>
      </c>
      <c r="P624" s="37"/>
      <c r="Q624" s="199">
        <f>IFERROR(__xludf.DUMMYFUNCTION("""COMPUTED_VALUE"""),0.0)</f>
        <v>0</v>
      </c>
      <c r="R624" s="199">
        <f>IFERROR(__xludf.DUMMYFUNCTION("""COMPUTED_VALUE"""),1.0)</f>
        <v>1</v>
      </c>
      <c r="S624" s="199">
        <f>IFERROR(__xludf.DUMMYFUNCTION("""COMPUTED_VALUE"""),0.0)</f>
        <v>0</v>
      </c>
      <c r="T624" s="199">
        <f>IFERROR(__xludf.DUMMYFUNCTION("""COMPUTED_VALUE"""),304.0)</f>
        <v>304</v>
      </c>
      <c r="U624" s="199">
        <f>IFERROR(__xludf.DUMMYFUNCTION("""COMPUTED_VALUE"""),71.0)</f>
        <v>71</v>
      </c>
      <c r="V624" s="199">
        <f>IFERROR(__xludf.DUMMYFUNCTION("""COMPUTED_VALUE"""),0.0)</f>
        <v>0</v>
      </c>
      <c r="W624" s="199">
        <f>IFERROR(__xludf.DUMMYFUNCTION("""COMPUTED_VALUE"""),0.0)</f>
        <v>0</v>
      </c>
      <c r="X624" s="199">
        <f>IFERROR(__xludf.DUMMYFUNCTION("""COMPUTED_VALUE"""),22.0)</f>
        <v>22</v>
      </c>
      <c r="Y624" s="199">
        <f>IFERROR(__xludf.DUMMYFUNCTION("""COMPUTED_VALUE"""),0.0)</f>
        <v>0</v>
      </c>
      <c r="Z624" s="199">
        <f>IFERROR(__xludf.DUMMYFUNCTION("""COMPUTED_VALUE"""),7.0)</f>
        <v>7</v>
      </c>
      <c r="AA624" s="199">
        <f>IFERROR(__xludf.DUMMYFUNCTION("""COMPUTED_VALUE"""),0.0)</f>
        <v>0</v>
      </c>
      <c r="AB624" s="199">
        <f>IFERROR(__xludf.DUMMYFUNCTION("""COMPUTED_VALUE"""),11.0)</f>
        <v>11</v>
      </c>
      <c r="AC624" s="199">
        <f>IFERROR(__xludf.DUMMYFUNCTION("""COMPUTED_VALUE"""),33.0)</f>
        <v>33</v>
      </c>
      <c r="AD624" s="199">
        <f>IFERROR(__xludf.DUMMYFUNCTION("""COMPUTED_VALUE"""),0.0)</f>
        <v>0</v>
      </c>
      <c r="AE624" s="199">
        <f>IFERROR(__xludf.DUMMYFUNCTION("""COMPUTED_VALUE"""),133.0)</f>
        <v>133</v>
      </c>
      <c r="AF624" s="199">
        <f>IFERROR(__xludf.DUMMYFUNCTION("""COMPUTED_VALUE"""),6.0)</f>
        <v>6</v>
      </c>
      <c r="AG624" s="199">
        <f>IFERROR(__xludf.DUMMYFUNCTION("""COMPUTED_VALUE"""),361.0)</f>
        <v>361</v>
      </c>
      <c r="AH624" s="199">
        <f>IFERROR(__xludf.DUMMYFUNCTION("""COMPUTED_VALUE"""),39.0)</f>
        <v>39</v>
      </c>
      <c r="AI624" s="200" t="str">
        <f>IFERROR(__xludf.DUMMYFUNCTION("""COMPUTED_VALUE"""),"Wear Metal Alert")</f>
        <v>Wear Metal Alert</v>
      </c>
      <c r="AJ624" s="200" t="str">
        <f>IFERROR(__xludf.DUMMYFUNCTION("""COMPUTED_VALUE"""),"URGENT: Inspect equipment immediately for wear/damage; Critical wear metals detected - schedule immediate inspection; High wear metals - inspect bearing/gear surfaces; Severe oxidation - lubricant change required urgently")</f>
        <v>URGENT: Inspect equipment immediately for wear/damage; Critical wear metals detected - schedule immediate inspection; High wear metals - inspect bearing/gear surfaces; Severe oxidation - lubricant change required urgently</v>
      </c>
      <c r="AK624" s="204"/>
      <c r="AL624" s="204"/>
      <c r="AM624" s="204"/>
    </row>
    <row r="625" hidden="1">
      <c r="A625" s="199" t="str">
        <f>IFERROR(__xludf.DUMMYFUNCTION("""COMPUTED_VALUE"""),"R2.432.KB103(1)")</f>
        <v>R2.432.KB103(1)</v>
      </c>
      <c r="B625" s="200" t="str">
        <f>IFERROR(__xludf.DUMMYFUNCTION("""COMPUTED_VALUE"""),"Kiln Bearing")</f>
        <v>Kiln Bearing</v>
      </c>
      <c r="C625" s="199">
        <f>IFERROR(__xludf.DUMMYFUNCTION("""COMPUTED_VALUE"""),2.6060130251E10)</f>
        <v>26060130251</v>
      </c>
      <c r="D625" s="201">
        <f>IFERROR(__xludf.DUMMYFUNCTION("""COMPUTED_VALUE"""),46054.0)</f>
        <v>46054</v>
      </c>
      <c r="E625" s="202" t="str">
        <f>IFERROR(__xludf.DUMMYFUNCTION("""COMPUTED_VALUE"""),"Alert")</f>
        <v>Alert</v>
      </c>
      <c r="F625" s="202" t="str">
        <f>IFERROR(__xludf.DUMMYFUNCTION("""COMPUTED_VALUE"""),"Caution")</f>
        <v>Caution</v>
      </c>
      <c r="G625" s="203" t="str">
        <f>IFERROR(__xludf.DUMMYFUNCTION("""COMPUTED_VALUE"""),"Alert")</f>
        <v>Alert</v>
      </c>
      <c r="H625" s="203" t="str">
        <f>IFERROR(__xludf.DUMMYFUNCTION("""COMPUTED_VALUE"""),"Alert")</f>
        <v>Alert</v>
      </c>
      <c r="I625" s="37"/>
      <c r="J625" s="37"/>
      <c r="K625" s="37"/>
      <c r="L625" s="199">
        <f>IFERROR(__xludf.DUMMYFUNCTION("""COMPUTED_VALUE"""),38.0)</f>
        <v>38</v>
      </c>
      <c r="M625" s="199">
        <f>IFERROR(__xludf.DUMMYFUNCTION("""COMPUTED_VALUE"""),49.0)</f>
        <v>49</v>
      </c>
      <c r="N625" s="199"/>
      <c r="O625" s="199">
        <f>IFERROR(__xludf.DUMMYFUNCTION("""COMPUTED_VALUE"""),21.0)</f>
        <v>21</v>
      </c>
      <c r="P625" s="37"/>
      <c r="Q625" s="199">
        <f>IFERROR(__xludf.DUMMYFUNCTION("""COMPUTED_VALUE"""),0.0)</f>
        <v>0</v>
      </c>
      <c r="R625" s="199">
        <f>IFERROR(__xludf.DUMMYFUNCTION("""COMPUTED_VALUE"""),0.0)</f>
        <v>0</v>
      </c>
      <c r="S625" s="199">
        <f>IFERROR(__xludf.DUMMYFUNCTION("""COMPUTED_VALUE"""),1.0)</f>
        <v>1</v>
      </c>
      <c r="T625" s="199">
        <f>IFERROR(__xludf.DUMMYFUNCTION("""COMPUTED_VALUE"""),350.0)</f>
        <v>350</v>
      </c>
      <c r="U625" s="199">
        <f>IFERROR(__xludf.DUMMYFUNCTION("""COMPUTED_VALUE"""),39.0)</f>
        <v>39</v>
      </c>
      <c r="V625" s="199">
        <f>IFERROR(__xludf.DUMMYFUNCTION("""COMPUTED_VALUE"""),0.0)</f>
        <v>0</v>
      </c>
      <c r="W625" s="199">
        <f>IFERROR(__xludf.DUMMYFUNCTION("""COMPUTED_VALUE"""),0.0)</f>
        <v>0</v>
      </c>
      <c r="X625" s="199">
        <f>IFERROR(__xludf.DUMMYFUNCTION("""COMPUTED_VALUE"""),12.0)</f>
        <v>12</v>
      </c>
      <c r="Y625" s="199">
        <f>IFERROR(__xludf.DUMMYFUNCTION("""COMPUTED_VALUE"""),24.0)</f>
        <v>24</v>
      </c>
      <c r="Z625" s="199">
        <f>IFERROR(__xludf.DUMMYFUNCTION("""COMPUTED_VALUE"""),6.0)</f>
        <v>6</v>
      </c>
      <c r="AA625" s="199">
        <f>IFERROR(__xludf.DUMMYFUNCTION("""COMPUTED_VALUE"""),0.0)</f>
        <v>0</v>
      </c>
      <c r="AB625" s="199">
        <f>IFERROR(__xludf.DUMMYFUNCTION("""COMPUTED_VALUE"""),16.0)</f>
        <v>16</v>
      </c>
      <c r="AC625" s="199">
        <f>IFERROR(__xludf.DUMMYFUNCTION("""COMPUTED_VALUE"""),40.0)</f>
        <v>40</v>
      </c>
      <c r="AD625" s="199">
        <f>IFERROR(__xludf.DUMMYFUNCTION("""COMPUTED_VALUE"""),0.0)</f>
        <v>0</v>
      </c>
      <c r="AE625" s="199">
        <f>IFERROR(__xludf.DUMMYFUNCTION("""COMPUTED_VALUE"""),48.0)</f>
        <v>48</v>
      </c>
      <c r="AF625" s="199">
        <f>IFERROR(__xludf.DUMMYFUNCTION("""COMPUTED_VALUE"""),2.0)</f>
        <v>2</v>
      </c>
      <c r="AG625" s="199">
        <f>IFERROR(__xludf.DUMMYFUNCTION("""COMPUTED_VALUE"""),345.0)</f>
        <v>345</v>
      </c>
      <c r="AH625" s="199">
        <f>IFERROR(__xludf.DUMMYFUNCTION("""COMPUTED_VALUE"""),6.0)</f>
        <v>6</v>
      </c>
      <c r="AI625" s="200" t="str">
        <f>IFERROR(__xludf.DUMMYFUNCTION("""COMPUTED_VALUE"""),"Wear Metal Alert | Lubricant Degradation")</f>
        <v>Wear Metal Alert | Lubricant Degradation</v>
      </c>
      <c r="AJ625" s="200" t="str">
        <f>IFERROR(__xludf.DUMMYFUNCTION("""COMPUTED_VALUE"""),"URGENT: Inspect equipment immediately for wear/damage; Critical wear metals - schedule immediate inspection; Viscosity critically low - change lubricant immediately; Severe oxidation - urgent lubricant change required")</f>
        <v>URGENT: Inspect equipment immediately for wear/damage; Critical wear metals - schedule immediate inspection; Viscosity critically low - change lubricant immediately; Severe oxidation - urgent lubricant change required</v>
      </c>
      <c r="AK625" s="204"/>
      <c r="AL625" s="204"/>
      <c r="AM625" s="204"/>
    </row>
    <row r="626" hidden="1">
      <c r="A626" s="199" t="str">
        <f>IFERROR(__xludf.DUMMYFUNCTION("""COMPUTED_VALUE"""),"R2.432.KB103(2)")</f>
        <v>R2.432.KB103(2)</v>
      </c>
      <c r="B626" s="200" t="str">
        <f>IFERROR(__xludf.DUMMYFUNCTION("""COMPUTED_VALUE"""),"Kiln Bearing")</f>
        <v>Kiln Bearing</v>
      </c>
      <c r="C626" s="199">
        <f>IFERROR(__xludf.DUMMYFUNCTION("""COMPUTED_VALUE"""),2.6060130252E10)</f>
        <v>26060130252</v>
      </c>
      <c r="D626" s="201">
        <f>IFERROR(__xludf.DUMMYFUNCTION("""COMPUTED_VALUE"""),46054.0)</f>
        <v>46054</v>
      </c>
      <c r="E626" s="202" t="str">
        <f>IFERROR(__xludf.DUMMYFUNCTION("""COMPUTED_VALUE"""),"Alert")</f>
        <v>Alert</v>
      </c>
      <c r="F626" s="202" t="str">
        <f>IFERROR(__xludf.DUMMYFUNCTION("""COMPUTED_VALUE"""),"Caution")</f>
        <v>Caution</v>
      </c>
      <c r="G626" s="203" t="str">
        <f>IFERROR(__xludf.DUMMYFUNCTION("""COMPUTED_VALUE"""),"Alert")</f>
        <v>Alert</v>
      </c>
      <c r="H626" s="203" t="str">
        <f>IFERROR(__xludf.DUMMYFUNCTION("""COMPUTED_VALUE"""),"Normal")</f>
        <v>Normal</v>
      </c>
      <c r="I626" s="37"/>
      <c r="J626" s="37"/>
      <c r="K626" s="37"/>
      <c r="L626" s="199">
        <f>IFERROR(__xludf.DUMMYFUNCTION("""COMPUTED_VALUE"""),132.0)</f>
        <v>132</v>
      </c>
      <c r="M626" s="199">
        <f>IFERROR(__xludf.DUMMYFUNCTION("""COMPUTED_VALUE"""),44.7)</f>
        <v>44.7</v>
      </c>
      <c r="N626" s="199"/>
      <c r="O626" s="199">
        <f>IFERROR(__xludf.DUMMYFUNCTION("""COMPUTED_VALUE"""),7.0)</f>
        <v>7</v>
      </c>
      <c r="P626" s="37"/>
      <c r="Q626" s="199">
        <f>IFERROR(__xludf.DUMMYFUNCTION("""COMPUTED_VALUE"""),0.0)</f>
        <v>0</v>
      </c>
      <c r="R626" s="199">
        <f>IFERROR(__xludf.DUMMYFUNCTION("""COMPUTED_VALUE"""),0.0)</f>
        <v>0</v>
      </c>
      <c r="S626" s="199">
        <f>IFERROR(__xludf.DUMMYFUNCTION("""COMPUTED_VALUE"""),0.0)</f>
        <v>0</v>
      </c>
      <c r="T626" s="199">
        <f>IFERROR(__xludf.DUMMYFUNCTION("""COMPUTED_VALUE"""),33.0)</f>
        <v>33</v>
      </c>
      <c r="U626" s="199">
        <f>IFERROR(__xludf.DUMMYFUNCTION("""COMPUTED_VALUE"""),46.0)</f>
        <v>46</v>
      </c>
      <c r="V626" s="199">
        <f>IFERROR(__xludf.DUMMYFUNCTION("""COMPUTED_VALUE"""),0.0)</f>
        <v>0</v>
      </c>
      <c r="W626" s="199">
        <f>IFERROR(__xludf.DUMMYFUNCTION("""COMPUTED_VALUE"""),0.0)</f>
        <v>0</v>
      </c>
      <c r="X626" s="199">
        <f>IFERROR(__xludf.DUMMYFUNCTION("""COMPUTED_VALUE"""),0.0)</f>
        <v>0</v>
      </c>
      <c r="Y626" s="199">
        <f>IFERROR(__xludf.DUMMYFUNCTION("""COMPUTED_VALUE"""),0.0)</f>
        <v>0</v>
      </c>
      <c r="Z626" s="199">
        <f>IFERROR(__xludf.DUMMYFUNCTION("""COMPUTED_VALUE"""),2.0)</f>
        <v>2</v>
      </c>
      <c r="AA626" s="199">
        <f>IFERROR(__xludf.DUMMYFUNCTION("""COMPUTED_VALUE"""),0.0)</f>
        <v>0</v>
      </c>
      <c r="AB626" s="199">
        <f>IFERROR(__xludf.DUMMYFUNCTION("""COMPUTED_VALUE"""),12.0)</f>
        <v>12</v>
      </c>
      <c r="AC626" s="199">
        <f>IFERROR(__xludf.DUMMYFUNCTION("""COMPUTED_VALUE"""),12.0)</f>
        <v>12</v>
      </c>
      <c r="AD626" s="199">
        <f>IFERROR(__xludf.DUMMYFUNCTION("""COMPUTED_VALUE"""),0.0)</f>
        <v>0</v>
      </c>
      <c r="AE626" s="199">
        <f>IFERROR(__xludf.DUMMYFUNCTION("""COMPUTED_VALUE"""),71.0)</f>
        <v>71</v>
      </c>
      <c r="AF626" s="199">
        <f>IFERROR(__xludf.DUMMYFUNCTION("""COMPUTED_VALUE"""),5.0)</f>
        <v>5</v>
      </c>
      <c r="AG626" s="199">
        <f>IFERROR(__xludf.DUMMYFUNCTION("""COMPUTED_VALUE"""),340.0)</f>
        <v>340</v>
      </c>
      <c r="AH626" s="199">
        <f>IFERROR(__xludf.DUMMYFUNCTION("""COMPUTED_VALUE"""),21.0)</f>
        <v>21</v>
      </c>
      <c r="AI626" s="200" t="str">
        <f>IFERROR(__xludf.DUMMYFUNCTION("""COMPUTED_VALUE"""),"Wear Metal Alert | High Particle Count")</f>
        <v>Wear Metal Alert | High Particle Count</v>
      </c>
      <c r="AJ626" s="200" t="str">
        <f>IFERROR(__xludf.DUMMYFUNCTION("""COMPUTED_VALUE"""),"URGENT: Inspect equipment immediately for wear/damage; Severe oxidation - urgent lubricant change required; High particle count - replace filters and resample")</f>
        <v>URGENT: Inspect equipment immediately for wear/damage; Severe oxidation - urgent lubricant change required; High particle count - replace filters and resample</v>
      </c>
      <c r="AK626" s="204"/>
      <c r="AL626" s="204"/>
      <c r="AM626" s="204"/>
    </row>
    <row r="627" hidden="1">
      <c r="A627" s="199" t="str">
        <f>IFERROR(__xludf.DUMMYFUNCTION("""COMPUTED_VALUE"""),"R2.432.KB103(3)")</f>
        <v>R2.432.KB103(3)</v>
      </c>
      <c r="B627" s="200" t="str">
        <f>IFERROR(__xludf.DUMMYFUNCTION("""COMPUTED_VALUE"""),"Kiln Bearing")</f>
        <v>Kiln Bearing</v>
      </c>
      <c r="C627" s="199">
        <f>IFERROR(__xludf.DUMMYFUNCTION("""COMPUTED_VALUE"""),2.6060130254E10)</f>
        <v>26060130254</v>
      </c>
      <c r="D627" s="201">
        <f>IFERROR(__xludf.DUMMYFUNCTION("""COMPUTED_VALUE"""),46054.0)</f>
        <v>46054</v>
      </c>
      <c r="E627" s="202" t="str">
        <f>IFERROR(__xludf.DUMMYFUNCTION("""COMPUTED_VALUE"""),"Alert")</f>
        <v>Alert</v>
      </c>
      <c r="F627" s="202" t="str">
        <f>IFERROR(__xludf.DUMMYFUNCTION("""COMPUTED_VALUE"""),"Alert")</f>
        <v>Alert</v>
      </c>
      <c r="G627" s="203" t="str">
        <f>IFERROR(__xludf.DUMMYFUNCTION("""COMPUTED_VALUE"""),"Alert")</f>
        <v>Alert</v>
      </c>
      <c r="H627" s="203" t="str">
        <f>IFERROR(__xludf.DUMMYFUNCTION("""COMPUTED_VALUE"""),"Alert")</f>
        <v>Alert</v>
      </c>
      <c r="I627" s="37"/>
      <c r="J627" s="37"/>
      <c r="K627" s="37"/>
      <c r="L627" s="199">
        <f>IFERROR(__xludf.DUMMYFUNCTION("""COMPUTED_VALUE"""),97.0)</f>
        <v>97</v>
      </c>
      <c r="M627" s="199">
        <f>IFERROR(__xludf.DUMMYFUNCTION("""COMPUTED_VALUE"""),52.8)</f>
        <v>52.8</v>
      </c>
      <c r="N627" s="199"/>
      <c r="O627" s="199">
        <f>IFERROR(__xludf.DUMMYFUNCTION("""COMPUTED_VALUE"""),24.0)</f>
        <v>24</v>
      </c>
      <c r="P627" s="37"/>
      <c r="Q627" s="199">
        <f>IFERROR(__xludf.DUMMYFUNCTION("""COMPUTED_VALUE"""),0.0)</f>
        <v>0</v>
      </c>
      <c r="R627" s="199">
        <f>IFERROR(__xludf.DUMMYFUNCTION("""COMPUTED_VALUE"""),8.0)</f>
        <v>8</v>
      </c>
      <c r="S627" s="199">
        <f>IFERROR(__xludf.DUMMYFUNCTION("""COMPUTED_VALUE"""),0.0)</f>
        <v>0</v>
      </c>
      <c r="T627" s="199">
        <f>IFERROR(__xludf.DUMMYFUNCTION("""COMPUTED_VALUE"""),932.0)</f>
        <v>932</v>
      </c>
      <c r="U627" s="199">
        <f>IFERROR(__xludf.DUMMYFUNCTION("""COMPUTED_VALUE"""),72.0)</f>
        <v>72</v>
      </c>
      <c r="V627" s="199">
        <f>IFERROR(__xludf.DUMMYFUNCTION("""COMPUTED_VALUE"""),5.0)</f>
        <v>5</v>
      </c>
      <c r="W627" s="199">
        <f>IFERROR(__xludf.DUMMYFUNCTION("""COMPUTED_VALUE"""),0.0)</f>
        <v>0</v>
      </c>
      <c r="X627" s="199">
        <f>IFERROR(__xludf.DUMMYFUNCTION("""COMPUTED_VALUE"""),39.0)</f>
        <v>39</v>
      </c>
      <c r="Y627" s="199">
        <f>IFERROR(__xludf.DUMMYFUNCTION("""COMPUTED_VALUE"""),68.0)</f>
        <v>68</v>
      </c>
      <c r="Z627" s="199">
        <f>IFERROR(__xludf.DUMMYFUNCTION("""COMPUTED_VALUE"""),0.0)</f>
        <v>0</v>
      </c>
      <c r="AA627" s="199">
        <f>IFERROR(__xludf.DUMMYFUNCTION("""COMPUTED_VALUE"""),0.0)</f>
        <v>0</v>
      </c>
      <c r="AB627" s="199">
        <f>IFERROR(__xludf.DUMMYFUNCTION("""COMPUTED_VALUE"""),35.0)</f>
        <v>35</v>
      </c>
      <c r="AC627" s="199">
        <f>IFERROR(__xludf.DUMMYFUNCTION("""COMPUTED_VALUE"""),23.0)</f>
        <v>23</v>
      </c>
      <c r="AD627" s="199">
        <f>IFERROR(__xludf.DUMMYFUNCTION("""COMPUTED_VALUE"""),0.0)</f>
        <v>0</v>
      </c>
      <c r="AE627" s="199">
        <f>IFERROR(__xludf.DUMMYFUNCTION("""COMPUTED_VALUE"""),495.0)</f>
        <v>495</v>
      </c>
      <c r="AF627" s="199">
        <f>IFERROR(__xludf.DUMMYFUNCTION("""COMPUTED_VALUE"""),10.0)</f>
        <v>10</v>
      </c>
      <c r="AG627" s="199">
        <f>IFERROR(__xludf.DUMMYFUNCTION("""COMPUTED_VALUE"""),252.0)</f>
        <v>252</v>
      </c>
      <c r="AH627" s="199">
        <f>IFERROR(__xludf.DUMMYFUNCTION("""COMPUTED_VALUE"""),13.0)</f>
        <v>13</v>
      </c>
      <c r="AI627" s="200" t="str">
        <f>IFERROR(__xludf.DUMMYFUNCTION("""COMPUTED_VALUE"""),"Wear Metal Alert | Lubricant Degradation")</f>
        <v>Wear Metal Alert | Lubricant Degradation</v>
      </c>
      <c r="AJ627" s="200" t="str">
        <f>IFERROR(__xludf.DUMMYFUNCTION("""COMPUTED_VALUE"""),"URGENT: Inspect equipment immediately for wear/damage; Critical wear metals - schedule immediate inspection; Severe oxidation - urgent lubricant change required; Elevated silicon - inspect filters and seals; High particle count - replace filters and resam"&amp;"ple")</f>
        <v>URGENT: Inspect equipment immediately for wear/damage; Critical wear metals - schedule immediate inspection; Severe oxidation - urgent lubricant change required; Elevated silicon - inspect filters and seals; High particle count - replace filters and resample</v>
      </c>
      <c r="AK627" s="204"/>
      <c r="AL627" s="204"/>
      <c r="AM627" s="204"/>
    </row>
    <row r="628" hidden="1">
      <c r="A628" s="199" t="str">
        <f>IFERROR(__xludf.DUMMYFUNCTION("""COMPUTED_VALUE"""),"R2.432.KB103(4)")</f>
        <v>R2.432.KB103(4)</v>
      </c>
      <c r="B628" s="200" t="str">
        <f>IFERROR(__xludf.DUMMYFUNCTION("""COMPUTED_VALUE"""),"Kiln Bearing")</f>
        <v>Kiln Bearing</v>
      </c>
      <c r="C628" s="199">
        <f>IFERROR(__xludf.DUMMYFUNCTION("""COMPUTED_VALUE"""),2.6061630219E10)</f>
        <v>26061630219</v>
      </c>
      <c r="D628" s="201">
        <f>IFERROR(__xludf.DUMMYFUNCTION("""COMPUTED_VALUE"""),46054.0)</f>
        <v>46054</v>
      </c>
      <c r="E628" s="202" t="str">
        <f>IFERROR(__xludf.DUMMYFUNCTION("""COMPUTED_VALUE"""),"Alert")</f>
        <v>Alert</v>
      </c>
      <c r="F628" s="202" t="str">
        <f>IFERROR(__xludf.DUMMYFUNCTION("""COMPUTED_VALUE"""),"Alert")</f>
        <v>Alert</v>
      </c>
      <c r="G628" s="203" t="str">
        <f>IFERROR(__xludf.DUMMYFUNCTION("""COMPUTED_VALUE"""),"Alert")</f>
        <v>Alert</v>
      </c>
      <c r="H628" s="203" t="str">
        <f>IFERROR(__xludf.DUMMYFUNCTION("""COMPUTED_VALUE"""),"Normal")</f>
        <v>Normal</v>
      </c>
      <c r="I628" s="37"/>
      <c r="J628" s="37"/>
      <c r="K628" s="37"/>
      <c r="L628" s="199">
        <f>IFERROR(__xludf.DUMMYFUNCTION("""COMPUTED_VALUE"""),25.0)</f>
        <v>25</v>
      </c>
      <c r="M628" s="199">
        <f>IFERROR(__xludf.DUMMYFUNCTION("""COMPUTED_VALUE"""),45.9)</f>
        <v>45.9</v>
      </c>
      <c r="N628" s="199"/>
      <c r="O628" s="199">
        <f>IFERROR(__xludf.DUMMYFUNCTION("""COMPUTED_VALUE"""),12.0)</f>
        <v>12</v>
      </c>
      <c r="P628" s="37"/>
      <c r="Q628" s="199">
        <f>IFERROR(__xludf.DUMMYFUNCTION("""COMPUTED_VALUE"""),0.0)</f>
        <v>0</v>
      </c>
      <c r="R628" s="199">
        <f>IFERROR(__xludf.DUMMYFUNCTION("""COMPUTED_VALUE"""),0.0)</f>
        <v>0</v>
      </c>
      <c r="S628" s="199">
        <f>IFERROR(__xludf.DUMMYFUNCTION("""COMPUTED_VALUE"""),1.0)</f>
        <v>1</v>
      </c>
      <c r="T628" s="199">
        <f>IFERROR(__xludf.DUMMYFUNCTION("""COMPUTED_VALUE"""),70.0)</f>
        <v>70</v>
      </c>
      <c r="U628" s="199">
        <f>IFERROR(__xludf.DUMMYFUNCTION("""COMPUTED_VALUE"""),19.0)</f>
        <v>19</v>
      </c>
      <c r="V628" s="199">
        <f>IFERROR(__xludf.DUMMYFUNCTION("""COMPUTED_VALUE"""),2.0)</f>
        <v>2</v>
      </c>
      <c r="W628" s="199">
        <f>IFERROR(__xludf.DUMMYFUNCTION("""COMPUTED_VALUE"""),0.0)</f>
        <v>0</v>
      </c>
      <c r="X628" s="199">
        <f>IFERROR(__xludf.DUMMYFUNCTION("""COMPUTED_VALUE"""),0.0)</f>
        <v>0</v>
      </c>
      <c r="Y628" s="199">
        <f>IFERROR(__xludf.DUMMYFUNCTION("""COMPUTED_VALUE"""),0.0)</f>
        <v>0</v>
      </c>
      <c r="Z628" s="199">
        <f>IFERROR(__xludf.DUMMYFUNCTION("""COMPUTED_VALUE"""),6.0)</f>
        <v>6</v>
      </c>
      <c r="AA628" s="199">
        <f>IFERROR(__xludf.DUMMYFUNCTION("""COMPUTED_VALUE"""),2.0)</f>
        <v>2</v>
      </c>
      <c r="AB628" s="199">
        <f>IFERROR(__xludf.DUMMYFUNCTION("""COMPUTED_VALUE"""),29.0)</f>
        <v>29</v>
      </c>
      <c r="AC628" s="199">
        <f>IFERROR(__xludf.DUMMYFUNCTION("""COMPUTED_VALUE"""),20.0)</f>
        <v>20</v>
      </c>
      <c r="AD628" s="199">
        <f>IFERROR(__xludf.DUMMYFUNCTION("""COMPUTED_VALUE"""),0.0)</f>
        <v>0</v>
      </c>
      <c r="AE628" s="199">
        <f>IFERROR(__xludf.DUMMYFUNCTION("""COMPUTED_VALUE"""),28.0)</f>
        <v>28</v>
      </c>
      <c r="AF628" s="199">
        <f>IFERROR(__xludf.DUMMYFUNCTION("""COMPUTED_VALUE"""),5.0)</f>
        <v>5</v>
      </c>
      <c r="AG628" s="199">
        <f>IFERROR(__xludf.DUMMYFUNCTION("""COMPUTED_VALUE"""),271.0)</f>
        <v>271</v>
      </c>
      <c r="AH628" s="199">
        <f>IFERROR(__xludf.DUMMYFUNCTION("""COMPUTED_VALUE"""),44.0)</f>
        <v>44</v>
      </c>
      <c r="AI628" s="200" t="str">
        <f>IFERROR(__xludf.DUMMYFUNCTION("""COMPUTED_VALUE"""),"Wear Metal Alert")</f>
        <v>Wear Metal Alert</v>
      </c>
      <c r="AJ628" s="200" t="str">
        <f>IFERROR(__xludf.DUMMYFUNCTION("""COMPUTED_VALUE"""),"URGENT: Inspect equipment immediately for wear/damage; Severe oxidation - urgent lubricant change required")</f>
        <v>URGENT: Inspect equipment immediately for wear/damage; Severe oxidation - urgent lubricant change required</v>
      </c>
      <c r="AK628" s="204"/>
      <c r="AL628" s="204"/>
      <c r="AM628" s="204"/>
    </row>
    <row r="629" hidden="1">
      <c r="A629" s="199" t="str">
        <f>IFERROR(__xludf.DUMMYFUNCTION("""COMPUTED_VALUE"""),"R2.442.MD140(T)")</f>
        <v>R2.442.MD140(T)</v>
      </c>
      <c r="B629" s="200" t="str">
        <f>IFERROR(__xludf.DUMMYFUNCTION("""COMPUTED_VALUE"""),"Clinker Cooler Drive (From Tank)")</f>
        <v>Clinker Cooler Drive (From Tank)</v>
      </c>
      <c r="C629" s="199">
        <f>IFERROR(__xludf.DUMMYFUNCTION("""COMPUTED_VALUE"""),2.6060130241E10)</f>
        <v>26060130241</v>
      </c>
      <c r="D629" s="201">
        <f>IFERROR(__xludf.DUMMYFUNCTION("""COMPUTED_VALUE"""),46054.0)</f>
        <v>46054</v>
      </c>
      <c r="E629" s="202" t="str">
        <f>IFERROR(__xludf.DUMMYFUNCTION("""COMPUTED_VALUE"""),"Normal")</f>
        <v>Normal</v>
      </c>
      <c r="F629" s="202" t="str">
        <f>IFERROR(__xludf.DUMMYFUNCTION("""COMPUTED_VALUE"""),"Normal")</f>
        <v>Normal</v>
      </c>
      <c r="G629" s="203" t="str">
        <f>IFERROR(__xludf.DUMMYFUNCTION("""COMPUTED_VALUE"""),"Normal")</f>
        <v>Normal</v>
      </c>
      <c r="H629" s="203" t="str">
        <f>IFERROR(__xludf.DUMMYFUNCTION("""COMPUTED_VALUE"""),"Normal")</f>
        <v>Normal</v>
      </c>
      <c r="I629" s="37">
        <f>IFERROR(__xludf.DUMMYFUNCTION("""COMPUTED_VALUE"""),8917.0)</f>
        <v>8917</v>
      </c>
      <c r="J629" s="37">
        <f>IFERROR(__xludf.DUMMYFUNCTION("""COMPUTED_VALUE"""),3100.0)</f>
        <v>3100</v>
      </c>
      <c r="K629" s="37">
        <f>IFERROR(__xludf.DUMMYFUNCTION("""COMPUTED_VALUE"""),914.0)</f>
        <v>914</v>
      </c>
      <c r="L629" s="199">
        <f>IFERROR(__xludf.DUMMYFUNCTION("""COMPUTED_VALUE"""),3.0)</f>
        <v>3</v>
      </c>
      <c r="M629" s="199">
        <f>IFERROR(__xludf.DUMMYFUNCTION("""COMPUTED_VALUE"""),46.4)</f>
        <v>46.4</v>
      </c>
      <c r="N629" s="199"/>
      <c r="O629" s="199">
        <f>IFERROR(__xludf.DUMMYFUNCTION("""COMPUTED_VALUE"""),1.0)</f>
        <v>1</v>
      </c>
      <c r="P629" s="37">
        <f>IFERROR(__xludf.DUMMYFUNCTION("""COMPUTED_VALUE"""),0.003)</f>
        <v>0.003</v>
      </c>
      <c r="Q629" s="199">
        <f>IFERROR(__xludf.DUMMYFUNCTION("""COMPUTED_VALUE"""),0.0)</f>
        <v>0</v>
      </c>
      <c r="R629" s="199">
        <f>IFERROR(__xludf.DUMMYFUNCTION("""COMPUTED_VALUE"""),0.0)</f>
        <v>0</v>
      </c>
      <c r="S629" s="199">
        <f>IFERROR(__xludf.DUMMYFUNCTION("""COMPUTED_VALUE"""),0.0)</f>
        <v>0</v>
      </c>
      <c r="T629" s="199">
        <f>IFERROR(__xludf.DUMMYFUNCTION("""COMPUTED_VALUE"""),0.0)</f>
        <v>0</v>
      </c>
      <c r="U629" s="199">
        <f>IFERROR(__xludf.DUMMYFUNCTION("""COMPUTED_VALUE"""),0.0)</f>
        <v>0</v>
      </c>
      <c r="V629" s="199">
        <f>IFERROR(__xludf.DUMMYFUNCTION("""COMPUTED_VALUE"""),0.0)</f>
        <v>0</v>
      </c>
      <c r="W629" s="199">
        <f>IFERROR(__xludf.DUMMYFUNCTION("""COMPUTED_VALUE"""),0.0)</f>
        <v>0</v>
      </c>
      <c r="X629" s="199">
        <f>IFERROR(__xludf.DUMMYFUNCTION("""COMPUTED_VALUE"""),0.0)</f>
        <v>0</v>
      </c>
      <c r="Y629" s="199">
        <f>IFERROR(__xludf.DUMMYFUNCTION("""COMPUTED_VALUE"""),0.0)</f>
        <v>0</v>
      </c>
      <c r="Z629" s="199">
        <f>IFERROR(__xludf.DUMMYFUNCTION("""COMPUTED_VALUE"""),0.0)</f>
        <v>0</v>
      </c>
      <c r="AA629" s="199">
        <f>IFERROR(__xludf.DUMMYFUNCTION("""COMPUTED_VALUE"""),0.0)</f>
        <v>0</v>
      </c>
      <c r="AB629" s="199">
        <f>IFERROR(__xludf.DUMMYFUNCTION("""COMPUTED_VALUE"""),0.0)</f>
        <v>0</v>
      </c>
      <c r="AC629" s="199">
        <f>IFERROR(__xludf.DUMMYFUNCTION("""COMPUTED_VALUE"""),1.0)</f>
        <v>1</v>
      </c>
      <c r="AD629" s="199">
        <f>IFERROR(__xludf.DUMMYFUNCTION("""COMPUTED_VALUE"""),0.0)</f>
        <v>0</v>
      </c>
      <c r="AE629" s="199">
        <f>IFERROR(__xludf.DUMMYFUNCTION("""COMPUTED_VALUE"""),82.0)</f>
        <v>82</v>
      </c>
      <c r="AF629" s="199">
        <f>IFERROR(__xludf.DUMMYFUNCTION("""COMPUTED_VALUE"""),0.0)</f>
        <v>0</v>
      </c>
      <c r="AG629" s="199">
        <f>IFERROR(__xludf.DUMMYFUNCTION("""COMPUTED_VALUE"""),414.0)</f>
        <v>414</v>
      </c>
      <c r="AH629" s="199">
        <f>IFERROR(__xludf.DUMMYFUNCTION("""COMPUTED_VALUE"""),564.0)</f>
        <v>564</v>
      </c>
      <c r="AI629" s="200" t="str">
        <f>IFERROR(__xludf.DUMMYFUNCTION("""COMPUTED_VALUE"""),"Normal - No Action Required")</f>
        <v>Normal - No Action Required</v>
      </c>
      <c r="AJ629" s="200" t="str">
        <f>IFERROR(__xludf.DUMMYFUNCTION("""COMPUTED_VALUE"""),"Continue routine monitoring and sampling schedule")</f>
        <v>Continue routine monitoring and sampling schedule</v>
      </c>
      <c r="AK629" s="204"/>
      <c r="AL629" s="204"/>
      <c r="AM629" s="204"/>
    </row>
    <row r="630" hidden="1">
      <c r="A630" s="199" t="str">
        <f>IFERROR(__xludf.DUMMYFUNCTION("""COMPUTED_VALUE"""),"461.CP524")</f>
        <v>461.CP524</v>
      </c>
      <c r="B630" s="200" t="str">
        <f>IFERROR(__xludf.DUMMYFUNCTION("""COMPUTED_VALUE"""),"Coal#1 - Air Compressor")</f>
        <v>Coal#1 - Air Compressor</v>
      </c>
      <c r="C630" s="199">
        <f>IFERROR(__xludf.DUMMYFUNCTION("""COMPUTED_VALUE"""),2.6061630203E10)</f>
        <v>26061630203</v>
      </c>
      <c r="D630" s="201">
        <f>IFERROR(__xludf.DUMMYFUNCTION("""COMPUTED_VALUE"""),46064.0)</f>
        <v>46064</v>
      </c>
      <c r="E630" s="202" t="str">
        <f>IFERROR(__xludf.DUMMYFUNCTION("""COMPUTED_VALUE"""),"Normal")</f>
        <v>Normal</v>
      </c>
      <c r="F630" s="202" t="str">
        <f>IFERROR(__xludf.DUMMYFUNCTION("""COMPUTED_VALUE"""),"Normal")</f>
        <v>Normal</v>
      </c>
      <c r="G630" s="203" t="str">
        <f>IFERROR(__xludf.DUMMYFUNCTION("""COMPUTED_VALUE"""),"Normal")</f>
        <v>Normal</v>
      </c>
      <c r="H630" s="203" t="str">
        <f>IFERROR(__xludf.DUMMYFUNCTION("""COMPUTED_VALUE"""),"Normal")</f>
        <v>Normal</v>
      </c>
      <c r="I630" s="37">
        <f>IFERROR(__xludf.DUMMYFUNCTION("""COMPUTED_VALUE"""),9891.0)</f>
        <v>9891</v>
      </c>
      <c r="J630" s="37">
        <f>IFERROR(__xludf.DUMMYFUNCTION("""COMPUTED_VALUE"""),4789.0)</f>
        <v>4789</v>
      </c>
      <c r="K630" s="37">
        <f>IFERROR(__xludf.DUMMYFUNCTION("""COMPUTED_VALUE"""),1287.0)</f>
        <v>1287</v>
      </c>
      <c r="L630" s="199">
        <f>IFERROR(__xludf.DUMMYFUNCTION("""COMPUTED_VALUE"""),5.0)</f>
        <v>5</v>
      </c>
      <c r="M630" s="199">
        <f>IFERROR(__xludf.DUMMYFUNCTION("""COMPUTED_VALUE"""),68.6)</f>
        <v>68.6</v>
      </c>
      <c r="N630" s="199"/>
      <c r="O630" s="199"/>
      <c r="P630" s="37">
        <f>IFERROR(__xludf.DUMMYFUNCTION("""COMPUTED_VALUE"""),0.003)</f>
        <v>0.003</v>
      </c>
      <c r="Q630" s="199">
        <f>IFERROR(__xludf.DUMMYFUNCTION("""COMPUTED_VALUE"""),0.0)</f>
        <v>0</v>
      </c>
      <c r="R630" s="199">
        <f>IFERROR(__xludf.DUMMYFUNCTION("""COMPUTED_VALUE"""),0.0)</f>
        <v>0</v>
      </c>
      <c r="S630" s="199">
        <f>IFERROR(__xludf.DUMMYFUNCTION("""COMPUTED_VALUE"""),0.0)</f>
        <v>0</v>
      </c>
      <c r="T630" s="199">
        <f>IFERROR(__xludf.DUMMYFUNCTION("""COMPUTED_VALUE"""),0.0)</f>
        <v>0</v>
      </c>
      <c r="U630" s="199">
        <f>IFERROR(__xludf.DUMMYFUNCTION("""COMPUTED_VALUE"""),0.0)</f>
        <v>0</v>
      </c>
      <c r="V630" s="199">
        <f>IFERROR(__xludf.DUMMYFUNCTION("""COMPUTED_VALUE"""),0.0)</f>
        <v>0</v>
      </c>
      <c r="W630" s="199">
        <f>IFERROR(__xludf.DUMMYFUNCTION("""COMPUTED_VALUE"""),0.0)</f>
        <v>0</v>
      </c>
      <c r="X630" s="199">
        <f>IFERROR(__xludf.DUMMYFUNCTION("""COMPUTED_VALUE"""),0.0)</f>
        <v>0</v>
      </c>
      <c r="Y630" s="199">
        <f>IFERROR(__xludf.DUMMYFUNCTION("""COMPUTED_VALUE"""),0.0)</f>
        <v>0</v>
      </c>
      <c r="Z630" s="199">
        <f>IFERROR(__xludf.DUMMYFUNCTION("""COMPUTED_VALUE"""),0.0)</f>
        <v>0</v>
      </c>
      <c r="AA630" s="199">
        <f>IFERROR(__xludf.DUMMYFUNCTION("""COMPUTED_VALUE"""),0.0)</f>
        <v>0</v>
      </c>
      <c r="AB630" s="199">
        <f>IFERROR(__xludf.DUMMYFUNCTION("""COMPUTED_VALUE"""),0.0)</f>
        <v>0</v>
      </c>
      <c r="AC630" s="199">
        <f>IFERROR(__xludf.DUMMYFUNCTION("""COMPUTED_VALUE"""),0.0)</f>
        <v>0</v>
      </c>
      <c r="AD630" s="199">
        <f>IFERROR(__xludf.DUMMYFUNCTION("""COMPUTED_VALUE"""),0.0)</f>
        <v>0</v>
      </c>
      <c r="AE630" s="199">
        <f>IFERROR(__xludf.DUMMYFUNCTION("""COMPUTED_VALUE"""),0.0)</f>
        <v>0</v>
      </c>
      <c r="AF630" s="199">
        <f>IFERROR(__xludf.DUMMYFUNCTION("""COMPUTED_VALUE"""),0.0)</f>
        <v>0</v>
      </c>
      <c r="AG630" s="199">
        <f>IFERROR(__xludf.DUMMYFUNCTION("""COMPUTED_VALUE"""),558.0)</f>
        <v>558</v>
      </c>
      <c r="AH630" s="199">
        <f>IFERROR(__xludf.DUMMYFUNCTION("""COMPUTED_VALUE"""),0.0)</f>
        <v>0</v>
      </c>
      <c r="AI630" s="200" t="str">
        <f>IFERROR(__xludf.DUMMYFUNCTION("""COMPUTED_VALUE"""),"Normal")</f>
        <v>Normal</v>
      </c>
      <c r="AJ630" s="200" t="str">
        <f>IFERROR(__xludf.DUMMYFUNCTION("""COMPUTED_VALUE"""),"ISO Code 20/19/17. All parameters within acceptable limits. Continue routine monitoring.")</f>
        <v>ISO Code 20/19/17. All parameters within acceptable limits. Continue routine monitoring.</v>
      </c>
      <c r="AK630" s="204"/>
      <c r="AL630" s="204"/>
      <c r="AM630" s="204"/>
    </row>
    <row r="631" hidden="1">
      <c r="A631" s="199" t="str">
        <f>IFERROR(__xludf.DUMMYFUNCTION("""COMPUTED_VALUE"""),"441.MD140 (T)")</f>
        <v>441.MD140 (T)</v>
      </c>
      <c r="B631" s="200" t="str">
        <f>IFERROR(__xludf.DUMMYFUNCTION("""COMPUTED_VALUE"""),"Clinker Cooler Drive (From Tank)")</f>
        <v>Clinker Cooler Drive (From Tank)</v>
      </c>
      <c r="C631" s="199">
        <f>IFERROR(__xludf.DUMMYFUNCTION("""COMPUTED_VALUE"""),2.606013024E10)</f>
        <v>26060130240</v>
      </c>
      <c r="D631" s="201">
        <f>IFERROR(__xludf.DUMMYFUNCTION("""COMPUTED_VALUE"""),46064.0)</f>
        <v>46064</v>
      </c>
      <c r="E631" s="202" t="str">
        <f>IFERROR(__xludf.DUMMYFUNCTION("""COMPUTED_VALUE"""),"Normal")</f>
        <v>Normal</v>
      </c>
      <c r="F631" s="202" t="str">
        <f>IFERROR(__xludf.DUMMYFUNCTION("""COMPUTED_VALUE"""),"Normal")</f>
        <v>Normal</v>
      </c>
      <c r="G631" s="203" t="str">
        <f>IFERROR(__xludf.DUMMYFUNCTION("""COMPUTED_VALUE"""),"Normal")</f>
        <v>Normal</v>
      </c>
      <c r="H631" s="203" t="str">
        <f>IFERROR(__xludf.DUMMYFUNCTION("""COMPUTED_VALUE"""),"Normal")</f>
        <v>Normal</v>
      </c>
      <c r="I631" s="37">
        <f>IFERROR(__xludf.DUMMYFUNCTION("""COMPUTED_VALUE"""),3117.0)</f>
        <v>3117</v>
      </c>
      <c r="J631" s="37">
        <f>IFERROR(__xludf.DUMMYFUNCTION("""COMPUTED_VALUE"""),3117.0)</f>
        <v>3117</v>
      </c>
      <c r="K631" s="37">
        <f>IFERROR(__xludf.DUMMYFUNCTION("""COMPUTED_VALUE"""),618.0)</f>
        <v>618</v>
      </c>
      <c r="L631" s="37">
        <f>IFERROR(__xludf.DUMMYFUNCTION("""COMPUTED_VALUE"""),4.0)</f>
        <v>4</v>
      </c>
      <c r="M631" s="199">
        <f>IFERROR(__xludf.DUMMYFUNCTION("""COMPUTED_VALUE"""),45.8)</f>
        <v>45.8</v>
      </c>
      <c r="N631" s="199"/>
      <c r="O631" s="199">
        <f>IFERROR(__xludf.DUMMYFUNCTION("""COMPUTED_VALUE"""),0.0)</f>
        <v>0</v>
      </c>
      <c r="P631" s="37">
        <f>IFERROR(__xludf.DUMMYFUNCTION("""COMPUTED_VALUE"""),0.003)</f>
        <v>0.003</v>
      </c>
      <c r="Q631" s="199">
        <f>IFERROR(__xludf.DUMMYFUNCTION("""COMPUTED_VALUE"""),0.0)</f>
        <v>0</v>
      </c>
      <c r="R631" s="199">
        <f>IFERROR(__xludf.DUMMYFUNCTION("""COMPUTED_VALUE"""),0.0)</f>
        <v>0</v>
      </c>
      <c r="S631" s="199">
        <f>IFERROR(__xludf.DUMMYFUNCTION("""COMPUTED_VALUE"""),0.0)</f>
        <v>0</v>
      </c>
      <c r="T631" s="199">
        <f>IFERROR(__xludf.DUMMYFUNCTION("""COMPUTED_VALUE"""),0.0)</f>
        <v>0</v>
      </c>
      <c r="U631" s="199">
        <f>IFERROR(__xludf.DUMMYFUNCTION("""COMPUTED_VALUE"""),1.0)</f>
        <v>1</v>
      </c>
      <c r="V631" s="199">
        <f>IFERROR(__xludf.DUMMYFUNCTION("""COMPUTED_VALUE"""),0.0)</f>
        <v>0</v>
      </c>
      <c r="W631" s="199">
        <f>IFERROR(__xludf.DUMMYFUNCTION("""COMPUTED_VALUE"""),0.0)</f>
        <v>0</v>
      </c>
      <c r="X631" s="199">
        <f>IFERROR(__xludf.DUMMYFUNCTION("""COMPUTED_VALUE"""),0.0)</f>
        <v>0</v>
      </c>
      <c r="Y631" s="199">
        <f>IFERROR(__xludf.DUMMYFUNCTION("""COMPUTED_VALUE"""),0.0)</f>
        <v>0</v>
      </c>
      <c r="Z631" s="199">
        <f>IFERROR(__xludf.DUMMYFUNCTION("""COMPUTED_VALUE"""),0.0)</f>
        <v>0</v>
      </c>
      <c r="AA631" s="199">
        <f>IFERROR(__xludf.DUMMYFUNCTION("""COMPUTED_VALUE"""),0.0)</f>
        <v>0</v>
      </c>
      <c r="AB631" s="199">
        <f>IFERROR(__xludf.DUMMYFUNCTION("""COMPUTED_VALUE"""),0.0)</f>
        <v>0</v>
      </c>
      <c r="AC631" s="199">
        <f>IFERROR(__xludf.DUMMYFUNCTION("""COMPUTED_VALUE"""),2.0)</f>
        <v>2</v>
      </c>
      <c r="AD631" s="199">
        <f>IFERROR(__xludf.DUMMYFUNCTION("""COMPUTED_VALUE"""),0.0)</f>
        <v>0</v>
      </c>
      <c r="AE631" s="199">
        <f>IFERROR(__xludf.DUMMYFUNCTION("""COMPUTED_VALUE"""),148.0)</f>
        <v>148</v>
      </c>
      <c r="AF631" s="199">
        <f>IFERROR(__xludf.DUMMYFUNCTION("""COMPUTED_VALUE"""),0.0)</f>
        <v>0</v>
      </c>
      <c r="AG631" s="199">
        <f>IFERROR(__xludf.DUMMYFUNCTION("""COMPUTED_VALUE"""),458.0)</f>
        <v>458</v>
      </c>
      <c r="AH631" s="199">
        <f>IFERROR(__xludf.DUMMYFUNCTION("""COMPUTED_VALUE"""),688.0)</f>
        <v>688</v>
      </c>
      <c r="AI631" s="200" t="str">
        <f>IFERROR(__xludf.DUMMYFUNCTION("""COMPUTED_VALUE"""),"Normal - No Action Required")</f>
        <v>Normal - No Action Required</v>
      </c>
      <c r="AJ631" s="200" t="str">
        <f>IFERROR(__xludf.DUMMYFUNCTION("""COMPUTED_VALUE"""),"Continue routine monitoring and sampling schedule")</f>
        <v>Continue routine monitoring and sampling schedule</v>
      </c>
      <c r="AK631" s="204"/>
      <c r="AL631" s="204"/>
      <c r="AM631" s="204"/>
    </row>
    <row r="632" hidden="1">
      <c r="A632" s="199" t="str">
        <f>IFERROR(__xludf.DUMMYFUNCTION("""COMPUTED_VALUE"""),"461.CP525")</f>
        <v>461.CP525</v>
      </c>
      <c r="B632" s="200" t="str">
        <f>IFERROR(__xludf.DUMMYFUNCTION("""COMPUTED_VALUE"""),"Coal#1 - Air Compressor")</f>
        <v>Coal#1 - Air Compressor</v>
      </c>
      <c r="C632" s="199">
        <f>IFERROR(__xludf.DUMMYFUNCTION("""COMPUTED_VALUE"""),2.6061630206E10)</f>
        <v>26061630206</v>
      </c>
      <c r="D632" s="201">
        <f>IFERROR(__xludf.DUMMYFUNCTION("""COMPUTED_VALUE"""),46064.0)</f>
        <v>46064</v>
      </c>
      <c r="E632" s="202" t="str">
        <f>IFERROR(__xludf.DUMMYFUNCTION("""COMPUTED_VALUE"""),"Normal")</f>
        <v>Normal</v>
      </c>
      <c r="F632" s="202" t="str">
        <f>IFERROR(__xludf.DUMMYFUNCTION("""COMPUTED_VALUE"""),"Normal")</f>
        <v>Normal</v>
      </c>
      <c r="G632" s="203" t="str">
        <f>IFERROR(__xludf.DUMMYFUNCTION("""COMPUTED_VALUE"""),"Normal")</f>
        <v>Normal</v>
      </c>
      <c r="H632" s="203" t="str">
        <f>IFERROR(__xludf.DUMMYFUNCTION("""COMPUTED_VALUE"""),"Normal")</f>
        <v>Normal</v>
      </c>
      <c r="I632" s="37">
        <f>IFERROR(__xludf.DUMMYFUNCTION("""COMPUTED_VALUE"""),12181.0)</f>
        <v>12181</v>
      </c>
      <c r="J632" s="37">
        <f>IFERROR(__xludf.DUMMYFUNCTION("""COMPUTED_VALUE"""),5174.0)</f>
        <v>5174</v>
      </c>
      <c r="K632" s="37">
        <f>IFERROR(__xludf.DUMMYFUNCTION("""COMPUTED_VALUE"""),1100.0)</f>
        <v>1100</v>
      </c>
      <c r="L632" s="199">
        <f>IFERROR(__xludf.DUMMYFUNCTION("""COMPUTED_VALUE"""),7.0)</f>
        <v>7</v>
      </c>
      <c r="M632" s="199">
        <f>IFERROR(__xludf.DUMMYFUNCTION("""COMPUTED_VALUE"""),67.3)</f>
        <v>67.3</v>
      </c>
      <c r="N632" s="199"/>
      <c r="O632" s="199"/>
      <c r="P632" s="37">
        <f>IFERROR(__xludf.DUMMYFUNCTION("""COMPUTED_VALUE"""),0.003)</f>
        <v>0.003</v>
      </c>
      <c r="Q632" s="199">
        <f>IFERROR(__xludf.DUMMYFUNCTION("""COMPUTED_VALUE"""),0.0)</f>
        <v>0</v>
      </c>
      <c r="R632" s="199">
        <f>IFERROR(__xludf.DUMMYFUNCTION("""COMPUTED_VALUE"""),1.0)</f>
        <v>1</v>
      </c>
      <c r="S632" s="199">
        <f>IFERROR(__xludf.DUMMYFUNCTION("""COMPUTED_VALUE"""),0.0)</f>
        <v>0</v>
      </c>
      <c r="T632" s="199">
        <f>IFERROR(__xludf.DUMMYFUNCTION("""COMPUTED_VALUE"""),0.0)</f>
        <v>0</v>
      </c>
      <c r="U632" s="199">
        <f>IFERROR(__xludf.DUMMYFUNCTION("""COMPUTED_VALUE"""),0.0)</f>
        <v>0</v>
      </c>
      <c r="V632" s="199">
        <f>IFERROR(__xludf.DUMMYFUNCTION("""COMPUTED_VALUE"""),0.0)</f>
        <v>0</v>
      </c>
      <c r="W632" s="199">
        <f>IFERROR(__xludf.DUMMYFUNCTION("""COMPUTED_VALUE"""),0.0)</f>
        <v>0</v>
      </c>
      <c r="X632" s="199">
        <f>IFERROR(__xludf.DUMMYFUNCTION("""COMPUTED_VALUE"""),0.0)</f>
        <v>0</v>
      </c>
      <c r="Y632" s="199">
        <f>IFERROR(__xludf.DUMMYFUNCTION("""COMPUTED_VALUE"""),0.0)</f>
        <v>0</v>
      </c>
      <c r="Z632" s="199">
        <f>IFERROR(__xludf.DUMMYFUNCTION("""COMPUTED_VALUE"""),0.0)</f>
        <v>0</v>
      </c>
      <c r="AA632" s="199">
        <f>IFERROR(__xludf.DUMMYFUNCTION("""COMPUTED_VALUE"""),0.0)</f>
        <v>0</v>
      </c>
      <c r="AB632" s="199">
        <f>IFERROR(__xludf.DUMMYFUNCTION("""COMPUTED_VALUE"""),2.0)</f>
        <v>2</v>
      </c>
      <c r="AC632" s="199">
        <f>IFERROR(__xludf.DUMMYFUNCTION("""COMPUTED_VALUE"""),0.0)</f>
        <v>0</v>
      </c>
      <c r="AD632" s="199">
        <f>IFERROR(__xludf.DUMMYFUNCTION("""COMPUTED_VALUE"""),0.0)</f>
        <v>0</v>
      </c>
      <c r="AE632" s="199">
        <f>IFERROR(__xludf.DUMMYFUNCTION("""COMPUTED_VALUE"""),11.0)</f>
        <v>11</v>
      </c>
      <c r="AF632" s="199">
        <f>IFERROR(__xludf.DUMMYFUNCTION("""COMPUTED_VALUE"""),0.0)</f>
        <v>0</v>
      </c>
      <c r="AG632" s="199">
        <f>IFERROR(__xludf.DUMMYFUNCTION("""COMPUTED_VALUE"""),524.0)</f>
        <v>524</v>
      </c>
      <c r="AH632" s="199">
        <f>IFERROR(__xludf.DUMMYFUNCTION("""COMPUTED_VALUE"""),0.0)</f>
        <v>0</v>
      </c>
      <c r="AI632" s="200" t="str">
        <f>IFERROR(__xludf.DUMMYFUNCTION("""COMPUTED_VALUE"""),"Normal - No Action Required")</f>
        <v>Normal - No Action Required</v>
      </c>
      <c r="AJ632" s="200" t="str">
        <f>IFERROR(__xludf.DUMMYFUNCTION("""COMPUTED_VALUE"""),"Continue routine monitoring and sampling schedule")</f>
        <v>Continue routine monitoring and sampling schedule</v>
      </c>
      <c r="AK632" s="204"/>
      <c r="AL632" s="204"/>
      <c r="AM632" s="204"/>
    </row>
    <row r="633" hidden="1">
      <c r="A633" s="199" t="str">
        <f>IFERROR(__xludf.DUMMYFUNCTION("""COMPUTED_VALUE"""),"461.CP526")</f>
        <v>461.CP526</v>
      </c>
      <c r="B633" s="200" t="str">
        <f>IFERROR(__xludf.DUMMYFUNCTION("""COMPUTED_VALUE"""),"Coal#1 - Air Compressor")</f>
        <v>Coal#1 - Air Compressor</v>
      </c>
      <c r="C633" s="199">
        <f>IFERROR(__xludf.DUMMYFUNCTION("""COMPUTED_VALUE"""),2.6061630218E10)</f>
        <v>26061630218</v>
      </c>
      <c r="D633" s="201">
        <f>IFERROR(__xludf.DUMMYFUNCTION("""COMPUTED_VALUE"""),46064.0)</f>
        <v>46064</v>
      </c>
      <c r="E633" s="202" t="str">
        <f>IFERROR(__xludf.DUMMYFUNCTION("""COMPUTED_VALUE"""),"Alert")</f>
        <v>Alert</v>
      </c>
      <c r="F633" s="202" t="str">
        <f>IFERROR(__xludf.DUMMYFUNCTION("""COMPUTED_VALUE"""),"Caution")</f>
        <v>Caution</v>
      </c>
      <c r="G633" s="203" t="str">
        <f>IFERROR(__xludf.DUMMYFUNCTION("""COMPUTED_VALUE"""),"Alert")</f>
        <v>Alert</v>
      </c>
      <c r="H633" s="203" t="str">
        <f>IFERROR(__xludf.DUMMYFUNCTION("""COMPUTED_VALUE"""),"Normal")</f>
        <v>Normal</v>
      </c>
      <c r="I633" s="37"/>
      <c r="J633" s="37"/>
      <c r="K633" s="37"/>
      <c r="L633" s="199">
        <f>IFERROR(__xludf.DUMMYFUNCTION("""COMPUTED_VALUE"""),15.0)</f>
        <v>15</v>
      </c>
      <c r="M633" s="199">
        <f>IFERROR(__xludf.DUMMYFUNCTION("""COMPUTED_VALUE"""),68.0)</f>
        <v>68</v>
      </c>
      <c r="N633" s="199"/>
      <c r="O633" s="199"/>
      <c r="P633" s="37">
        <f>IFERROR(__xludf.DUMMYFUNCTION("""COMPUTED_VALUE"""),0.04)</f>
        <v>0.04</v>
      </c>
      <c r="Q633" s="199">
        <f>IFERROR(__xludf.DUMMYFUNCTION("""COMPUTED_VALUE"""),0.0)</f>
        <v>0</v>
      </c>
      <c r="R633" s="199">
        <f>IFERROR(__xludf.DUMMYFUNCTION("""COMPUTED_VALUE"""),0.0)</f>
        <v>0</v>
      </c>
      <c r="S633" s="199">
        <f>IFERROR(__xludf.DUMMYFUNCTION("""COMPUTED_VALUE"""),0.0)</f>
        <v>0</v>
      </c>
      <c r="T633" s="199">
        <f>IFERROR(__xludf.DUMMYFUNCTION("""COMPUTED_VALUE"""),1.0)</f>
        <v>1</v>
      </c>
      <c r="U633" s="199">
        <f>IFERROR(__xludf.DUMMYFUNCTION("""COMPUTED_VALUE"""),221.0)</f>
        <v>221</v>
      </c>
      <c r="V633" s="199">
        <f>IFERROR(__xludf.DUMMYFUNCTION("""COMPUTED_VALUE"""),2.0)</f>
        <v>2</v>
      </c>
      <c r="W633" s="199">
        <f>IFERROR(__xludf.DUMMYFUNCTION("""COMPUTED_VALUE"""),0.0)</f>
        <v>0</v>
      </c>
      <c r="X633" s="199">
        <f>IFERROR(__xludf.DUMMYFUNCTION("""COMPUTED_VALUE"""),0.0)</f>
        <v>0</v>
      </c>
      <c r="Y633" s="199">
        <f>IFERROR(__xludf.DUMMYFUNCTION("""COMPUTED_VALUE"""),0.0)</f>
        <v>0</v>
      </c>
      <c r="Z633" s="199">
        <f>IFERROR(__xludf.DUMMYFUNCTION("""COMPUTED_VALUE"""),0.0)</f>
        <v>0</v>
      </c>
      <c r="AA633" s="199">
        <f>IFERROR(__xludf.DUMMYFUNCTION("""COMPUTED_VALUE"""),0.0)</f>
        <v>0</v>
      </c>
      <c r="AB633" s="199">
        <f>IFERROR(__xludf.DUMMYFUNCTION("""COMPUTED_VALUE"""),6.0)</f>
        <v>6</v>
      </c>
      <c r="AC633" s="199">
        <f>IFERROR(__xludf.DUMMYFUNCTION("""COMPUTED_VALUE"""),7.0)</f>
        <v>7</v>
      </c>
      <c r="AD633" s="199">
        <f>IFERROR(__xludf.DUMMYFUNCTION("""COMPUTED_VALUE"""),0.0)</f>
        <v>0</v>
      </c>
      <c r="AE633" s="199">
        <f>IFERROR(__xludf.DUMMYFUNCTION("""COMPUTED_VALUE"""),60.0)</f>
        <v>60</v>
      </c>
      <c r="AF633" s="199">
        <f>IFERROR(__xludf.DUMMYFUNCTION("""COMPUTED_VALUE"""),4.0)</f>
        <v>4</v>
      </c>
      <c r="AG633" s="199">
        <f>IFERROR(__xludf.DUMMYFUNCTION("""COMPUTED_VALUE"""),696.0)</f>
        <v>696</v>
      </c>
      <c r="AH633" s="199">
        <f>IFERROR(__xludf.DUMMYFUNCTION("""COMPUTED_VALUE"""),24.0)</f>
        <v>24</v>
      </c>
      <c r="AI633" s="200" t="str">
        <f>IFERROR(__xludf.DUMMYFUNCTION("""COMPUTED_VALUE"""),"Wear Metal Alert")</f>
        <v>Wear Metal Alert</v>
      </c>
      <c r="AJ633" s="200" t="str">
        <f>IFERROR(__xludf.DUMMYFUNCTION("""COMPUTED_VALUE"""),"URGENT: Inspect equipment immediately for wear/damage; High wear metals - inspect bearing/gear surfaces")</f>
        <v>URGENT: Inspect equipment immediately for wear/damage; High wear metals - inspect bearing/gear surfaces</v>
      </c>
      <c r="AK633" s="204"/>
      <c r="AL633" s="204"/>
      <c r="AM633" s="204"/>
    </row>
    <row r="634" hidden="1">
      <c r="A634" s="199" t="str">
        <f>IFERROR(__xludf.DUMMYFUNCTION("""COMPUTED_VALUE"""),"462.CP525")</f>
        <v>462.CP525</v>
      </c>
      <c r="B634" s="200" t="str">
        <f>IFERROR(__xludf.DUMMYFUNCTION("""COMPUTED_VALUE"""),"Coal#1 - Air Compressor")</f>
        <v>Coal#1 - Air Compressor</v>
      </c>
      <c r="C634" s="199">
        <f>IFERROR(__xludf.DUMMYFUNCTION("""COMPUTED_VALUE"""),2.6061630212E10)</f>
        <v>26061630212</v>
      </c>
      <c r="D634" s="201">
        <f>IFERROR(__xludf.DUMMYFUNCTION("""COMPUTED_VALUE"""),46064.0)</f>
        <v>46064</v>
      </c>
      <c r="E634" s="202" t="str">
        <f>IFERROR(__xludf.DUMMYFUNCTION("""COMPUTED_VALUE"""),"Caution")</f>
        <v>Caution</v>
      </c>
      <c r="F634" s="202" t="str">
        <f>IFERROR(__xludf.DUMMYFUNCTION("""COMPUTED_VALUE"""),"Caution")</f>
        <v>Caution</v>
      </c>
      <c r="G634" s="203" t="str">
        <f>IFERROR(__xludf.DUMMYFUNCTION("""COMPUTED_VALUE"""),"Normal")</f>
        <v>Normal</v>
      </c>
      <c r="H634" s="203" t="str">
        <f>IFERROR(__xludf.DUMMYFUNCTION("""COMPUTED_VALUE"""),"Normal")</f>
        <v>Normal</v>
      </c>
      <c r="I634" s="37"/>
      <c r="J634" s="37"/>
      <c r="K634" s="37"/>
      <c r="L634" s="199">
        <f>IFERROR(__xludf.DUMMYFUNCTION("""COMPUTED_VALUE"""),15.0)</f>
        <v>15</v>
      </c>
      <c r="M634" s="199">
        <f>IFERROR(__xludf.DUMMYFUNCTION("""COMPUTED_VALUE"""),68.8)</f>
        <v>68.8</v>
      </c>
      <c r="N634" s="199"/>
      <c r="O634" s="199"/>
      <c r="P634" s="37">
        <f>IFERROR(__xludf.DUMMYFUNCTION("""COMPUTED_VALUE"""),0.04)</f>
        <v>0.04</v>
      </c>
      <c r="Q634" s="199">
        <f>IFERROR(__xludf.DUMMYFUNCTION("""COMPUTED_VALUE"""),0.0)</f>
        <v>0</v>
      </c>
      <c r="R634" s="199">
        <f>IFERROR(__xludf.DUMMYFUNCTION("""COMPUTED_VALUE"""),0.0)</f>
        <v>0</v>
      </c>
      <c r="S634" s="199">
        <f>IFERROR(__xludf.DUMMYFUNCTION("""COMPUTED_VALUE"""),0.0)</f>
        <v>0</v>
      </c>
      <c r="T634" s="199">
        <f>IFERROR(__xludf.DUMMYFUNCTION("""COMPUTED_VALUE"""),1.0)</f>
        <v>1</v>
      </c>
      <c r="U634" s="199">
        <f>IFERROR(__xludf.DUMMYFUNCTION("""COMPUTED_VALUE"""),0.0)</f>
        <v>0</v>
      </c>
      <c r="V634" s="199">
        <f>IFERROR(__xludf.DUMMYFUNCTION("""COMPUTED_VALUE"""),0.0)</f>
        <v>0</v>
      </c>
      <c r="W634" s="199">
        <f>IFERROR(__xludf.DUMMYFUNCTION("""COMPUTED_VALUE"""),0.0)</f>
        <v>0</v>
      </c>
      <c r="X634" s="199">
        <f>IFERROR(__xludf.DUMMYFUNCTION("""COMPUTED_VALUE"""),0.0)</f>
        <v>0</v>
      </c>
      <c r="Y634" s="199">
        <f>IFERROR(__xludf.DUMMYFUNCTION("""COMPUTED_VALUE"""),0.0)</f>
        <v>0</v>
      </c>
      <c r="Z634" s="199">
        <f>IFERROR(__xludf.DUMMYFUNCTION("""COMPUTED_VALUE"""),0.0)</f>
        <v>0</v>
      </c>
      <c r="AA634" s="199">
        <f>IFERROR(__xludf.DUMMYFUNCTION("""COMPUTED_VALUE"""),0.0)</f>
        <v>0</v>
      </c>
      <c r="AB634" s="199">
        <f>IFERROR(__xludf.DUMMYFUNCTION("""COMPUTED_VALUE"""),2.0)</f>
        <v>2</v>
      </c>
      <c r="AC634" s="199">
        <f>IFERROR(__xludf.DUMMYFUNCTION("""COMPUTED_VALUE"""),0.0)</f>
        <v>0</v>
      </c>
      <c r="AD634" s="199">
        <f>IFERROR(__xludf.DUMMYFUNCTION("""COMPUTED_VALUE"""),0.0)</f>
        <v>0</v>
      </c>
      <c r="AE634" s="199">
        <f>IFERROR(__xludf.DUMMYFUNCTION("""COMPUTED_VALUE"""),7.0)</f>
        <v>7</v>
      </c>
      <c r="AF634" s="199">
        <f>IFERROR(__xludf.DUMMYFUNCTION("""COMPUTED_VALUE"""),0.0)</f>
        <v>0</v>
      </c>
      <c r="AG634" s="199">
        <f>IFERROR(__xludf.DUMMYFUNCTION("""COMPUTED_VALUE"""),564.0)</f>
        <v>564</v>
      </c>
      <c r="AH634" s="199">
        <f>IFERROR(__xludf.DUMMYFUNCTION("""COMPUTED_VALUE"""),13.0)</f>
        <v>13</v>
      </c>
      <c r="AI634" s="200" t="str">
        <f>IFERROR(__xludf.DUMMYFUNCTION("""COMPUTED_VALUE"""),"General Caution")</f>
        <v>General Caution</v>
      </c>
      <c r="AJ634" s="200" t="str">
        <f>IFERROR(__xludf.DUMMYFUNCTION("""COMPUTED_VALUE"""),"Continue monitoring; resample at next scheduled interval")</f>
        <v>Continue monitoring; resample at next scheduled interval</v>
      </c>
      <c r="AK634" s="204"/>
      <c r="AL634" s="204"/>
      <c r="AM634" s="204"/>
    </row>
    <row r="635" hidden="1">
      <c r="A635" s="199" t="str">
        <f>IFERROR(__xludf.DUMMYFUNCTION("""COMPUTED_VALUE"""),"462.CP530")</f>
        <v>462.CP530</v>
      </c>
      <c r="B635" s="200" t="str">
        <f>IFERROR(__xludf.DUMMYFUNCTION("""COMPUTED_VALUE"""),"Coal#1 - Air Compressor")</f>
        <v>Coal#1 - Air Compressor</v>
      </c>
      <c r="C635" s="199">
        <f>IFERROR(__xludf.DUMMYFUNCTION("""COMPUTED_VALUE"""),2.6061230212E10)</f>
        <v>26061230212</v>
      </c>
      <c r="D635" s="201">
        <f>IFERROR(__xludf.DUMMYFUNCTION("""COMPUTED_VALUE"""),46064.0)</f>
        <v>46064</v>
      </c>
      <c r="E635" s="202" t="str">
        <f>IFERROR(__xludf.DUMMYFUNCTION("""COMPUTED_VALUE"""),"Caution")</f>
        <v>Caution</v>
      </c>
      <c r="F635" s="202" t="str">
        <f>IFERROR(__xludf.DUMMYFUNCTION("""COMPUTED_VALUE"""),"Caution")</f>
        <v>Caution</v>
      </c>
      <c r="G635" s="203" t="str">
        <f>IFERROR(__xludf.DUMMYFUNCTION("""COMPUTED_VALUE"""),"Normal")</f>
        <v>Normal</v>
      </c>
      <c r="H635" s="203" t="str">
        <f>IFERROR(__xludf.DUMMYFUNCTION("""COMPUTED_VALUE"""),"Normal")</f>
        <v>Normal</v>
      </c>
      <c r="I635" s="37"/>
      <c r="J635" s="37"/>
      <c r="K635" s="37"/>
      <c r="L635" s="199">
        <f>IFERROR(__xludf.DUMMYFUNCTION("""COMPUTED_VALUE"""),12.0)</f>
        <v>12</v>
      </c>
      <c r="M635" s="199">
        <f>IFERROR(__xludf.DUMMYFUNCTION("""COMPUTED_VALUE"""),73.9)</f>
        <v>73.9</v>
      </c>
      <c r="N635" s="199"/>
      <c r="O635" s="199"/>
      <c r="P635" s="37">
        <f>IFERROR(__xludf.DUMMYFUNCTION("""COMPUTED_VALUE"""),0.02)</f>
        <v>0.02</v>
      </c>
      <c r="Q635" s="199">
        <f>IFERROR(__xludf.DUMMYFUNCTION("""COMPUTED_VALUE"""),0.0)</f>
        <v>0</v>
      </c>
      <c r="R635" s="199">
        <f>IFERROR(__xludf.DUMMYFUNCTION("""COMPUTED_VALUE"""),0.0)</f>
        <v>0</v>
      </c>
      <c r="S635" s="199">
        <f>IFERROR(__xludf.DUMMYFUNCTION("""COMPUTED_VALUE"""),0.0)</f>
        <v>0</v>
      </c>
      <c r="T635" s="199">
        <f>IFERROR(__xludf.DUMMYFUNCTION("""COMPUTED_VALUE"""),0.0)</f>
        <v>0</v>
      </c>
      <c r="U635" s="199">
        <f>IFERROR(__xludf.DUMMYFUNCTION("""COMPUTED_VALUE"""),0.0)</f>
        <v>0</v>
      </c>
      <c r="V635" s="199">
        <f>IFERROR(__xludf.DUMMYFUNCTION("""COMPUTED_VALUE"""),0.0)</f>
        <v>0</v>
      </c>
      <c r="W635" s="199">
        <f>IFERROR(__xludf.DUMMYFUNCTION("""COMPUTED_VALUE"""),0.0)</f>
        <v>0</v>
      </c>
      <c r="X635" s="199">
        <f>IFERROR(__xludf.DUMMYFUNCTION("""COMPUTED_VALUE"""),0.0)</f>
        <v>0</v>
      </c>
      <c r="Y635" s="199">
        <f>IFERROR(__xludf.DUMMYFUNCTION("""COMPUTED_VALUE"""),0.0)</f>
        <v>0</v>
      </c>
      <c r="Z635" s="199">
        <f>IFERROR(__xludf.DUMMYFUNCTION("""COMPUTED_VALUE"""),0.0)</f>
        <v>0</v>
      </c>
      <c r="AA635" s="199">
        <f>IFERROR(__xludf.DUMMYFUNCTION("""COMPUTED_VALUE"""),0.0)</f>
        <v>0</v>
      </c>
      <c r="AB635" s="199">
        <f>IFERROR(__xludf.DUMMYFUNCTION("""COMPUTED_VALUE"""),0.0)</f>
        <v>0</v>
      </c>
      <c r="AC635" s="199">
        <f>IFERROR(__xludf.DUMMYFUNCTION("""COMPUTED_VALUE"""),0.0)</f>
        <v>0</v>
      </c>
      <c r="AD635" s="199">
        <f>IFERROR(__xludf.DUMMYFUNCTION("""COMPUTED_VALUE"""),0.0)</f>
        <v>0</v>
      </c>
      <c r="AE635" s="199">
        <f>IFERROR(__xludf.DUMMYFUNCTION("""COMPUTED_VALUE"""),0.0)</f>
        <v>0</v>
      </c>
      <c r="AF635" s="199">
        <f>IFERROR(__xludf.DUMMYFUNCTION("""COMPUTED_VALUE"""),0.0)</f>
        <v>0</v>
      </c>
      <c r="AG635" s="199">
        <f>IFERROR(__xludf.DUMMYFUNCTION("""COMPUTED_VALUE"""),502.0)</f>
        <v>502</v>
      </c>
      <c r="AH635" s="199">
        <f>IFERROR(__xludf.DUMMYFUNCTION("""COMPUTED_VALUE"""),0.0)</f>
        <v>0</v>
      </c>
      <c r="AI635" s="200" t="str">
        <f>IFERROR(__xludf.DUMMYFUNCTION("""COMPUTED_VALUE"""),"General Caution")</f>
        <v>General Caution</v>
      </c>
      <c r="AJ635" s="200" t="str">
        <f>IFERROR(__xludf.DUMMYFUNCTION("""COMPUTED_VALUE"""),"Continue monitoring; resample at next scheduled interval")</f>
        <v>Continue monitoring; resample at next scheduled interval</v>
      </c>
      <c r="AK635" s="204"/>
      <c r="AL635" s="204"/>
      <c r="AM635" s="204"/>
    </row>
    <row r="636" hidden="1">
      <c r="A636" s="199" t="str">
        <f>IFERROR(__xludf.DUMMYFUNCTION("""COMPUTED_VALUE"""),"462.CP535")</f>
        <v>462.CP535</v>
      </c>
      <c r="B636" s="200" t="str">
        <f>IFERROR(__xludf.DUMMYFUNCTION("""COMPUTED_VALUE"""),"Coal#1 - Air Compressor")</f>
        <v>Coal#1 - Air Compressor</v>
      </c>
      <c r="C636" s="199">
        <f>IFERROR(__xludf.DUMMYFUNCTION("""COMPUTED_VALUE"""),2.6061630204E10)</f>
        <v>26061630204</v>
      </c>
      <c r="D636" s="201">
        <f>IFERROR(__xludf.DUMMYFUNCTION("""COMPUTED_VALUE"""),46064.0)</f>
        <v>46064</v>
      </c>
      <c r="E636" s="202" t="str">
        <f>IFERROR(__xludf.DUMMYFUNCTION("""COMPUTED_VALUE"""),"Normal")</f>
        <v>Normal</v>
      </c>
      <c r="F636" s="202" t="str">
        <f>IFERROR(__xludf.DUMMYFUNCTION("""COMPUTED_VALUE"""),"Normal")</f>
        <v>Normal</v>
      </c>
      <c r="G636" s="203" t="str">
        <f>IFERROR(__xludf.DUMMYFUNCTION("""COMPUTED_VALUE"""),"Normal")</f>
        <v>Normal</v>
      </c>
      <c r="H636" s="203" t="str">
        <f>IFERROR(__xludf.DUMMYFUNCTION("""COMPUTED_VALUE"""),"Normal")</f>
        <v>Normal</v>
      </c>
      <c r="I636" s="37">
        <f>IFERROR(__xludf.DUMMYFUNCTION("""COMPUTED_VALUE"""),11817.0)</f>
        <v>11817</v>
      </c>
      <c r="J636" s="37">
        <f>IFERROR(__xludf.DUMMYFUNCTION("""COMPUTED_VALUE"""),2128.0)</f>
        <v>2128</v>
      </c>
      <c r="K636" s="37"/>
      <c r="L636" s="199">
        <f>IFERROR(__xludf.DUMMYFUNCTION("""COMPUTED_VALUE"""),10.0)</f>
        <v>10</v>
      </c>
      <c r="M636" s="199">
        <f>IFERROR(__xludf.DUMMYFUNCTION("""COMPUTED_VALUE"""),67.0)</f>
        <v>67</v>
      </c>
      <c r="N636" s="199"/>
      <c r="O636" s="199"/>
      <c r="P636" s="37">
        <f>IFERROR(__xludf.DUMMYFUNCTION("""COMPUTED_VALUE"""),0.01)</f>
        <v>0.01</v>
      </c>
      <c r="Q636" s="199">
        <f>IFERROR(__xludf.DUMMYFUNCTION("""COMPUTED_VALUE"""),0.0)</f>
        <v>0</v>
      </c>
      <c r="R636" s="199">
        <f>IFERROR(__xludf.DUMMYFUNCTION("""COMPUTED_VALUE"""),0.0)</f>
        <v>0</v>
      </c>
      <c r="S636" s="199">
        <f>IFERROR(__xludf.DUMMYFUNCTION("""COMPUTED_VALUE"""),0.0)</f>
        <v>0</v>
      </c>
      <c r="T636" s="199">
        <f>IFERROR(__xludf.DUMMYFUNCTION("""COMPUTED_VALUE"""),0.0)</f>
        <v>0</v>
      </c>
      <c r="U636" s="199">
        <f>IFERROR(__xludf.DUMMYFUNCTION("""COMPUTED_VALUE"""),0.0)</f>
        <v>0</v>
      </c>
      <c r="V636" s="199">
        <f>IFERROR(__xludf.DUMMYFUNCTION("""COMPUTED_VALUE"""),0.0)</f>
        <v>0</v>
      </c>
      <c r="W636" s="199">
        <f>IFERROR(__xludf.DUMMYFUNCTION("""COMPUTED_VALUE"""),0.0)</f>
        <v>0</v>
      </c>
      <c r="X636" s="199">
        <f>IFERROR(__xludf.DUMMYFUNCTION("""COMPUTED_VALUE"""),0.0)</f>
        <v>0</v>
      </c>
      <c r="Y636" s="199">
        <f>IFERROR(__xludf.DUMMYFUNCTION("""COMPUTED_VALUE"""),0.0)</f>
        <v>0</v>
      </c>
      <c r="Z636" s="199">
        <f>IFERROR(__xludf.DUMMYFUNCTION("""COMPUTED_VALUE"""),0.0)</f>
        <v>0</v>
      </c>
      <c r="AA636" s="199">
        <f>IFERROR(__xludf.DUMMYFUNCTION("""COMPUTED_VALUE"""),0.0)</f>
        <v>0</v>
      </c>
      <c r="AB636" s="199">
        <f>IFERROR(__xludf.DUMMYFUNCTION("""COMPUTED_VALUE"""),0.0)</f>
        <v>0</v>
      </c>
      <c r="AC636" s="199">
        <f>IFERROR(__xludf.DUMMYFUNCTION("""COMPUTED_VALUE"""),0.0)</f>
        <v>0</v>
      </c>
      <c r="AD636" s="199">
        <f>IFERROR(__xludf.DUMMYFUNCTION("""COMPUTED_VALUE"""),0.0)</f>
        <v>0</v>
      </c>
      <c r="AE636" s="199">
        <f>IFERROR(__xludf.DUMMYFUNCTION("""COMPUTED_VALUE"""),0.0)</f>
        <v>0</v>
      </c>
      <c r="AF636" s="199">
        <f>IFERROR(__xludf.DUMMYFUNCTION("""COMPUTED_VALUE"""),0.0)</f>
        <v>0</v>
      </c>
      <c r="AG636" s="199">
        <f>IFERROR(__xludf.DUMMYFUNCTION("""COMPUTED_VALUE"""),538.0)</f>
        <v>538</v>
      </c>
      <c r="AH636" s="199">
        <f>IFERROR(__xludf.DUMMYFUNCTION("""COMPUTED_VALUE"""),0.0)</f>
        <v>0</v>
      </c>
      <c r="AI636" s="200" t="str">
        <f>IFERROR(__xludf.DUMMYFUNCTION("""COMPUTED_VALUE"""),"Normal - No Action Required")</f>
        <v>Normal - No Action Required</v>
      </c>
      <c r="AJ636" s="200" t="str">
        <f>IFERROR(__xludf.DUMMYFUNCTION("""COMPUTED_VALUE"""),"Continue routine monitoring and sampling schedule")</f>
        <v>Continue routine monitoring and sampling schedule</v>
      </c>
      <c r="AK636" s="204"/>
      <c r="AL636" s="204"/>
      <c r="AM636" s="204"/>
    </row>
    <row r="637" hidden="1">
      <c r="A637" s="199" t="str">
        <f>IFERROR(__xludf.DUMMYFUNCTION("""COMPUTED_VALUE"""),"462.LQ145")</f>
        <v>462.LQ145</v>
      </c>
      <c r="B637" s="200" t="str">
        <f>IFERROR(__xludf.DUMMYFUNCTION("""COMPUTED_VALUE"""),"Coal Mill 2 Gear box")</f>
        <v>Coal Mill 2 Gear box</v>
      </c>
      <c r="C637" s="199">
        <f>IFERROR(__xludf.DUMMYFUNCTION("""COMPUTED_VALUE"""),2.6061630211E10)</f>
        <v>26061630211</v>
      </c>
      <c r="D637" s="201">
        <f>IFERROR(__xludf.DUMMYFUNCTION("""COMPUTED_VALUE"""),46065.0)</f>
        <v>46065</v>
      </c>
      <c r="E637" s="202" t="str">
        <f>IFERROR(__xludf.DUMMYFUNCTION("""COMPUTED_VALUE"""),"Alert")</f>
        <v>Alert</v>
      </c>
      <c r="F637" s="202" t="str">
        <f>IFERROR(__xludf.DUMMYFUNCTION("""COMPUTED_VALUE"""),"Caution")</f>
        <v>Caution</v>
      </c>
      <c r="G637" s="203" t="str">
        <f>IFERROR(__xludf.DUMMYFUNCTION("""COMPUTED_VALUE"""),"Normal")</f>
        <v>Normal</v>
      </c>
      <c r="H637" s="203" t="str">
        <f>IFERROR(__xludf.DUMMYFUNCTION("""COMPUTED_VALUE"""),"Alert")</f>
        <v>Alert</v>
      </c>
      <c r="I637" s="37"/>
      <c r="J637" s="37"/>
      <c r="K637" s="37"/>
      <c r="L637" s="199">
        <f>IFERROR(__xludf.DUMMYFUNCTION("""COMPUTED_VALUE"""),13.0)</f>
        <v>13</v>
      </c>
      <c r="M637" s="199">
        <f>IFERROR(__xludf.DUMMYFUNCTION("""COMPUTED_VALUE"""),862.0)</f>
        <v>862</v>
      </c>
      <c r="N637" s="199"/>
      <c r="O637" s="199">
        <f>IFERROR(__xludf.DUMMYFUNCTION("""COMPUTED_VALUE"""),0.0)</f>
        <v>0</v>
      </c>
      <c r="P637" s="37">
        <f>IFERROR(__xludf.DUMMYFUNCTION("""COMPUTED_VALUE"""),0.03)</f>
        <v>0.03</v>
      </c>
      <c r="Q637" s="199">
        <f>IFERROR(__xludf.DUMMYFUNCTION("""COMPUTED_VALUE"""),0.0)</f>
        <v>0</v>
      </c>
      <c r="R637" s="199">
        <f>IFERROR(__xludf.DUMMYFUNCTION("""COMPUTED_VALUE"""),0.0)</f>
        <v>0</v>
      </c>
      <c r="S637" s="199">
        <f>IFERROR(__xludf.DUMMYFUNCTION("""COMPUTED_VALUE"""),0.0)</f>
        <v>0</v>
      </c>
      <c r="T637" s="199">
        <f>IFERROR(__xludf.DUMMYFUNCTION("""COMPUTED_VALUE"""),0.0)</f>
        <v>0</v>
      </c>
      <c r="U637" s="199">
        <f>IFERROR(__xludf.DUMMYFUNCTION("""COMPUTED_VALUE"""),0.0)</f>
        <v>0</v>
      </c>
      <c r="V637" s="199">
        <f>IFERROR(__xludf.DUMMYFUNCTION("""COMPUTED_VALUE"""),0.0)</f>
        <v>0</v>
      </c>
      <c r="W637" s="199">
        <f>IFERROR(__xludf.DUMMYFUNCTION("""COMPUTED_VALUE"""),0.0)</f>
        <v>0</v>
      </c>
      <c r="X637" s="199">
        <f>IFERROR(__xludf.DUMMYFUNCTION("""COMPUTED_VALUE"""),0.0)</f>
        <v>0</v>
      </c>
      <c r="Y637" s="199">
        <f>IFERROR(__xludf.DUMMYFUNCTION("""COMPUTED_VALUE"""),0.0)</f>
        <v>0</v>
      </c>
      <c r="Z637" s="199">
        <f>IFERROR(__xludf.DUMMYFUNCTION("""COMPUTED_VALUE"""),2.0)</f>
        <v>2</v>
      </c>
      <c r="AA637" s="199">
        <f>IFERROR(__xludf.DUMMYFUNCTION("""COMPUTED_VALUE"""),0.0)</f>
        <v>0</v>
      </c>
      <c r="AB637" s="199">
        <f>IFERROR(__xludf.DUMMYFUNCTION("""COMPUTED_VALUE"""),16.0)</f>
        <v>16</v>
      </c>
      <c r="AC637" s="199">
        <f>IFERROR(__xludf.DUMMYFUNCTION("""COMPUTED_VALUE"""),1.0)</f>
        <v>1</v>
      </c>
      <c r="AD637" s="199">
        <f>IFERROR(__xludf.DUMMYFUNCTION("""COMPUTED_VALUE"""),0.0)</f>
        <v>0</v>
      </c>
      <c r="AE637" s="199">
        <f>IFERROR(__xludf.DUMMYFUNCTION("""COMPUTED_VALUE"""),11.0)</f>
        <v>11</v>
      </c>
      <c r="AF637" s="199">
        <f>IFERROR(__xludf.DUMMYFUNCTION("""COMPUTED_VALUE"""),0.0)</f>
        <v>0</v>
      </c>
      <c r="AG637" s="199">
        <f>IFERROR(__xludf.DUMMYFUNCTION("""COMPUTED_VALUE"""),457.0)</f>
        <v>457</v>
      </c>
      <c r="AH637" s="199">
        <f>IFERROR(__xludf.DUMMYFUNCTION("""COMPUTED_VALUE"""),3.0)</f>
        <v>3</v>
      </c>
      <c r="AI637" s="200" t="str">
        <f>IFERROR(__xludf.DUMMYFUNCTION("""COMPUTED_VALUE"""),"Alert – Extreme Viscosity Spike / Lubricant Alert")</f>
        <v>Alert – Extreme Viscosity Spike / Lubricant Alert</v>
      </c>
      <c r="AJ637" s="200" t="str">
        <f>IFERROR(__xludf.DUMMYFUNCTION("""COMPUTED_VALUE"""),"ACTION REQUIRED – Viscosity spiked to 862.0 cSt (extreme – likely wrong oil fill). Si 16 ppm. Water 0.030 Vol%. Determine cause: verify oil fill records. Drain and refill with correct MOBILGEAR 600 XP 320 immediately. Contact ExxonMobil representative urg"&amp;"ently.")</f>
        <v>ACTION REQUIRED – Viscosity spiked to 862.0 cSt (extreme – likely wrong oil fill). Si 16 ppm. Water 0.030 Vol%. Determine cause: verify oil fill records. Drain and refill with correct MOBILGEAR 600 XP 320 immediately. Contact ExxonMobil representative urgently.</v>
      </c>
      <c r="AK637" s="204"/>
      <c r="AL637" s="204"/>
      <c r="AM637" s="204"/>
    </row>
    <row r="638" hidden="1">
      <c r="A638" s="199" t="str">
        <f>IFERROR(__xludf.DUMMYFUNCTION("""COMPUTED_VALUE"""),"R2.432.HT120(BE)")</f>
        <v>R2.432.HT120(BE)</v>
      </c>
      <c r="B638" s="200" t="str">
        <f>IFERROR(__xludf.DUMMYFUNCTION("""COMPUTED_VALUE"""),"Hydraulic thrust bearing")</f>
        <v>Hydraulic thrust bearing</v>
      </c>
      <c r="C638" s="199">
        <f>IFERROR(__xludf.DUMMYFUNCTION("""COMPUTED_VALUE"""),2.6061630205E10)</f>
        <v>26061630205</v>
      </c>
      <c r="D638" s="201">
        <f>IFERROR(__xludf.DUMMYFUNCTION("""COMPUTED_VALUE"""),46065.0)</f>
        <v>46065</v>
      </c>
      <c r="E638" s="202" t="str">
        <f>IFERROR(__xludf.DUMMYFUNCTION("""COMPUTED_VALUE"""),"Normal")</f>
        <v>Normal</v>
      </c>
      <c r="F638" s="202" t="str">
        <f>IFERROR(__xludf.DUMMYFUNCTION("""COMPUTED_VALUE"""),"Normal")</f>
        <v>Normal</v>
      </c>
      <c r="G638" s="203" t="str">
        <f>IFERROR(__xludf.DUMMYFUNCTION("""COMPUTED_VALUE"""),"Normal")</f>
        <v>Normal</v>
      </c>
      <c r="H638" s="203" t="str">
        <f>IFERROR(__xludf.DUMMYFUNCTION("""COMPUTED_VALUE"""),"Normal")</f>
        <v>Normal</v>
      </c>
      <c r="I638" s="37"/>
      <c r="J638" s="37"/>
      <c r="K638" s="37"/>
      <c r="L638" s="199">
        <f>IFERROR(__xludf.DUMMYFUNCTION("""COMPUTED_VALUE"""),5.0)</f>
        <v>5</v>
      </c>
      <c r="M638" s="199">
        <f>IFERROR(__xludf.DUMMYFUNCTION("""COMPUTED_VALUE"""),89.0)</f>
        <v>89</v>
      </c>
      <c r="N638" s="199"/>
      <c r="O638" s="199"/>
      <c r="P638" s="37">
        <f>IFERROR(__xludf.DUMMYFUNCTION("""COMPUTED_VALUE"""),0.003)</f>
        <v>0.003</v>
      </c>
      <c r="Q638" s="199">
        <f>IFERROR(__xludf.DUMMYFUNCTION("""COMPUTED_VALUE"""),0.0)</f>
        <v>0</v>
      </c>
      <c r="R638" s="199">
        <f>IFERROR(__xludf.DUMMYFUNCTION("""COMPUTED_VALUE"""),0.0)</f>
        <v>0</v>
      </c>
      <c r="S638" s="199">
        <f>IFERROR(__xludf.DUMMYFUNCTION("""COMPUTED_VALUE"""),0.0)</f>
        <v>0</v>
      </c>
      <c r="T638" s="199">
        <f>IFERROR(__xludf.DUMMYFUNCTION("""COMPUTED_VALUE"""),0.0)</f>
        <v>0</v>
      </c>
      <c r="U638" s="199">
        <f>IFERROR(__xludf.DUMMYFUNCTION("""COMPUTED_VALUE"""),5.0)</f>
        <v>5</v>
      </c>
      <c r="V638" s="199">
        <f>IFERROR(__xludf.DUMMYFUNCTION("""COMPUTED_VALUE"""),0.0)</f>
        <v>0</v>
      </c>
      <c r="W638" s="199">
        <f>IFERROR(__xludf.DUMMYFUNCTION("""COMPUTED_VALUE"""),0.0)</f>
        <v>0</v>
      </c>
      <c r="X638" s="199">
        <f>IFERROR(__xludf.DUMMYFUNCTION("""COMPUTED_VALUE"""),0.0)</f>
        <v>0</v>
      </c>
      <c r="Y638" s="199">
        <f>IFERROR(__xludf.DUMMYFUNCTION("""COMPUTED_VALUE"""),0.0)</f>
        <v>0</v>
      </c>
      <c r="Z638" s="199">
        <f>IFERROR(__xludf.DUMMYFUNCTION("""COMPUTED_VALUE"""),0.0)</f>
        <v>0</v>
      </c>
      <c r="AA638" s="199">
        <f>IFERROR(__xludf.DUMMYFUNCTION("""COMPUTED_VALUE"""),0.0)</f>
        <v>0</v>
      </c>
      <c r="AB638" s="199">
        <f>IFERROR(__xludf.DUMMYFUNCTION("""COMPUTED_VALUE"""),18.0)</f>
        <v>18</v>
      </c>
      <c r="AC638" s="199">
        <f>IFERROR(__xludf.DUMMYFUNCTION("""COMPUTED_VALUE"""),0.0)</f>
        <v>0</v>
      </c>
      <c r="AD638" s="199">
        <f>IFERROR(__xludf.DUMMYFUNCTION("""COMPUTED_VALUE"""),0.0)</f>
        <v>0</v>
      </c>
      <c r="AE638" s="199">
        <f>IFERROR(__xludf.DUMMYFUNCTION("""COMPUTED_VALUE"""),14.0)</f>
        <v>14</v>
      </c>
      <c r="AF638" s="199">
        <f>IFERROR(__xludf.DUMMYFUNCTION("""COMPUTED_VALUE"""),0.0)</f>
        <v>0</v>
      </c>
      <c r="AG638" s="199">
        <f>IFERROR(__xludf.DUMMYFUNCTION("""COMPUTED_VALUE"""),629.0)</f>
        <v>629</v>
      </c>
      <c r="AH638" s="199">
        <f>IFERROR(__xludf.DUMMYFUNCTION("""COMPUTED_VALUE"""),0.0)</f>
        <v>0</v>
      </c>
      <c r="AI638" s="200" t="str">
        <f>IFERROR(__xludf.DUMMYFUNCTION("""COMPUTED_VALUE"""),"Normal - No Action Required")</f>
        <v>Normal - No Action Required</v>
      </c>
      <c r="AJ638" s="200" t="str">
        <f>IFERROR(__xludf.DUMMYFUNCTION("""COMPUTED_VALUE"""),"Continue routine monitoring and sampling schedule")</f>
        <v>Continue routine monitoring and sampling schedule</v>
      </c>
      <c r="AK638" s="204"/>
      <c r="AL638" s="204"/>
      <c r="AM638" s="204"/>
    </row>
    <row r="639" hidden="1">
      <c r="A639" s="199" t="str">
        <f>IFERROR(__xludf.DUMMYFUNCTION("""COMPUTED_VALUE"""),"R2.432.HT120(T)")</f>
        <v>R2.432.HT120(T)</v>
      </c>
      <c r="B639" s="200" t="str">
        <f>IFERROR(__xludf.DUMMYFUNCTION("""COMPUTED_VALUE"""),"Kiln Hydraulic thrust Tank")</f>
        <v>Kiln Hydraulic thrust Tank</v>
      </c>
      <c r="C639" s="199">
        <f>IFERROR(__xludf.DUMMYFUNCTION("""COMPUTED_VALUE"""),2.6060130244E10)</f>
        <v>26060130244</v>
      </c>
      <c r="D639" s="201">
        <f>IFERROR(__xludf.DUMMYFUNCTION("""COMPUTED_VALUE"""),46065.0)</f>
        <v>46065</v>
      </c>
      <c r="E639" s="202" t="str">
        <f>IFERROR(__xludf.DUMMYFUNCTION("""COMPUTED_VALUE"""),"Normal")</f>
        <v>Normal</v>
      </c>
      <c r="F639" s="202" t="str">
        <f>IFERROR(__xludf.DUMMYFUNCTION("""COMPUTED_VALUE"""),"Normal")</f>
        <v>Normal</v>
      </c>
      <c r="G639" s="203" t="str">
        <f>IFERROR(__xludf.DUMMYFUNCTION("""COMPUTED_VALUE"""),"Normal")</f>
        <v>Normal</v>
      </c>
      <c r="H639" s="203" t="str">
        <f>IFERROR(__xludf.DUMMYFUNCTION("""COMPUTED_VALUE"""),"Normal")</f>
        <v>Normal</v>
      </c>
      <c r="I639" s="37">
        <f>IFERROR(__xludf.DUMMYFUNCTION("""COMPUTED_VALUE"""),9497.0)</f>
        <v>9497</v>
      </c>
      <c r="J639" s="37">
        <f>IFERROR(__xludf.DUMMYFUNCTION("""COMPUTED_VALUE"""),4318.0)</f>
        <v>4318</v>
      </c>
      <c r="K639" s="37">
        <f>IFERROR(__xludf.DUMMYFUNCTION("""COMPUTED_VALUE"""),1227.0)</f>
        <v>1227</v>
      </c>
      <c r="L639" s="199">
        <f>IFERROR(__xludf.DUMMYFUNCTION("""COMPUTED_VALUE"""),3.0)</f>
        <v>3</v>
      </c>
      <c r="M639" s="199">
        <f>IFERROR(__xludf.DUMMYFUNCTION("""COMPUTED_VALUE"""),46.1)</f>
        <v>46.1</v>
      </c>
      <c r="N639" s="199"/>
      <c r="O639" s="199">
        <f>IFERROR(__xludf.DUMMYFUNCTION("""COMPUTED_VALUE"""),0.0)</f>
        <v>0</v>
      </c>
      <c r="P639" s="37">
        <f>IFERROR(__xludf.DUMMYFUNCTION("""COMPUTED_VALUE"""),0.003)</f>
        <v>0.003</v>
      </c>
      <c r="Q639" s="199">
        <f>IFERROR(__xludf.DUMMYFUNCTION("""COMPUTED_VALUE"""),0.0)</f>
        <v>0</v>
      </c>
      <c r="R639" s="199">
        <f>IFERROR(__xludf.DUMMYFUNCTION("""COMPUTED_VALUE"""),0.0)</f>
        <v>0</v>
      </c>
      <c r="S639" s="199">
        <f>IFERROR(__xludf.DUMMYFUNCTION("""COMPUTED_VALUE"""),0.0)</f>
        <v>0</v>
      </c>
      <c r="T639" s="199">
        <f>IFERROR(__xludf.DUMMYFUNCTION("""COMPUTED_VALUE"""),0.0)</f>
        <v>0</v>
      </c>
      <c r="U639" s="199">
        <f>IFERROR(__xludf.DUMMYFUNCTION("""COMPUTED_VALUE"""),0.0)</f>
        <v>0</v>
      </c>
      <c r="V639" s="199">
        <f>IFERROR(__xludf.DUMMYFUNCTION("""COMPUTED_VALUE"""),0.0)</f>
        <v>0</v>
      </c>
      <c r="W639" s="199">
        <f>IFERROR(__xludf.DUMMYFUNCTION("""COMPUTED_VALUE"""),0.0)</f>
        <v>0</v>
      </c>
      <c r="X639" s="199">
        <f>IFERROR(__xludf.DUMMYFUNCTION("""COMPUTED_VALUE"""),0.0)</f>
        <v>0</v>
      </c>
      <c r="Y639" s="199">
        <f>IFERROR(__xludf.DUMMYFUNCTION("""COMPUTED_VALUE"""),0.0)</f>
        <v>0</v>
      </c>
      <c r="Z639" s="199">
        <f>IFERROR(__xludf.DUMMYFUNCTION("""COMPUTED_VALUE"""),0.0)</f>
        <v>0</v>
      </c>
      <c r="AA639" s="199">
        <f>IFERROR(__xludf.DUMMYFUNCTION("""COMPUTED_VALUE"""),0.0)</f>
        <v>0</v>
      </c>
      <c r="AB639" s="199">
        <f>IFERROR(__xludf.DUMMYFUNCTION("""COMPUTED_VALUE"""),0.0)</f>
        <v>0</v>
      </c>
      <c r="AC639" s="199">
        <f>IFERROR(__xludf.DUMMYFUNCTION("""COMPUTED_VALUE"""),1.0)</f>
        <v>1</v>
      </c>
      <c r="AD639" s="199">
        <f>IFERROR(__xludf.DUMMYFUNCTION("""COMPUTED_VALUE"""),0.0)</f>
        <v>0</v>
      </c>
      <c r="AE639" s="199">
        <f>IFERROR(__xludf.DUMMYFUNCTION("""COMPUTED_VALUE"""),75.0)</f>
        <v>75</v>
      </c>
      <c r="AF639" s="199">
        <f>IFERROR(__xludf.DUMMYFUNCTION("""COMPUTED_VALUE"""),0.0)</f>
        <v>0</v>
      </c>
      <c r="AG639" s="199">
        <f>IFERROR(__xludf.DUMMYFUNCTION("""COMPUTED_VALUE"""),380.0)</f>
        <v>380</v>
      </c>
      <c r="AH639" s="199">
        <f>IFERROR(__xludf.DUMMYFUNCTION("""COMPUTED_VALUE"""),517.0)</f>
        <v>517</v>
      </c>
      <c r="AI639" s="200" t="str">
        <f>IFERROR(__xludf.DUMMYFUNCTION("""COMPUTED_VALUE"""),"Normal - No Action Required")</f>
        <v>Normal - No Action Required</v>
      </c>
      <c r="AJ639" s="200" t="str">
        <f>IFERROR(__xludf.DUMMYFUNCTION("""COMPUTED_VALUE"""),"Continue routine monitoring and sampling schedule")</f>
        <v>Continue routine monitoring and sampling schedule</v>
      </c>
      <c r="AK639" s="204"/>
      <c r="AL639" s="204"/>
      <c r="AM639" s="204"/>
    </row>
    <row r="640" hidden="1">
      <c r="A640" s="199" t="str">
        <f>IFERROR(__xludf.DUMMYFUNCTION("""COMPUTED_VALUE"""),"321.LQ145(GB)")</f>
        <v>321.LQ145(GB)</v>
      </c>
      <c r="B640" s="200" t="str">
        <f>IFERROR(__xludf.DUMMYFUNCTION("""COMPUTED_VALUE"""),"Gear lubrication Gear Box")</f>
        <v>Gear lubrication Gear Box</v>
      </c>
      <c r="C640" s="199">
        <f>IFERROR(__xludf.DUMMYFUNCTION("""COMPUTED_VALUE"""),2.6090313214E10)</f>
        <v>26090313214</v>
      </c>
      <c r="D640" s="201">
        <f>IFERROR(__xludf.DUMMYFUNCTION("""COMPUTED_VALUE"""),46093.0)</f>
        <v>46093</v>
      </c>
      <c r="E640" s="202" t="str">
        <f>IFERROR(__xludf.DUMMYFUNCTION("""COMPUTED_VALUE"""),"Alert")</f>
        <v>Alert</v>
      </c>
      <c r="F640" s="202" t="str">
        <f>IFERROR(__xludf.DUMMYFUNCTION("""COMPUTED_VALUE"""),"Alert")</f>
        <v>Alert</v>
      </c>
      <c r="G640" s="203" t="str">
        <f>IFERROR(__xludf.DUMMYFUNCTION("""COMPUTED_VALUE"""),"Normal")</f>
        <v>Normal</v>
      </c>
      <c r="H640" s="203" t="str">
        <f>IFERROR(__xludf.DUMMYFUNCTION("""COMPUTED_VALUE"""),"Normal")</f>
        <v>Normal</v>
      </c>
      <c r="I640" s="37"/>
      <c r="J640" s="37"/>
      <c r="K640" s="37"/>
      <c r="L640" s="199">
        <f>IFERROR(__xludf.DUMMYFUNCTION("""COMPUTED_VALUE"""),19.0)</f>
        <v>19</v>
      </c>
      <c r="M640" s="199">
        <f>IFERROR(__xludf.DUMMYFUNCTION("""COMPUTED_VALUE"""),310.7)</f>
        <v>310.7</v>
      </c>
      <c r="N640" s="199"/>
      <c r="O640" s="199">
        <f>IFERROR(__xludf.DUMMYFUNCTION("""COMPUTED_VALUE"""),3.0)</f>
        <v>3</v>
      </c>
      <c r="P640" s="37">
        <f>IFERROR(__xludf.DUMMYFUNCTION("""COMPUTED_VALUE"""),0.5)</f>
        <v>0.5</v>
      </c>
      <c r="Q640" s="199">
        <f>IFERROR(__xludf.DUMMYFUNCTION("""COMPUTED_VALUE"""),0.0)</f>
        <v>0</v>
      </c>
      <c r="R640" s="199">
        <f>IFERROR(__xludf.DUMMYFUNCTION("""COMPUTED_VALUE"""),7.0)</f>
        <v>7</v>
      </c>
      <c r="S640" s="199">
        <f>IFERROR(__xludf.DUMMYFUNCTION("""COMPUTED_VALUE"""),0.0)</f>
        <v>0</v>
      </c>
      <c r="T640" s="199">
        <f>IFERROR(__xludf.DUMMYFUNCTION("""COMPUTED_VALUE"""),5.0)</f>
        <v>5</v>
      </c>
      <c r="U640" s="199">
        <f>IFERROR(__xludf.DUMMYFUNCTION("""COMPUTED_VALUE"""),27.0)</f>
        <v>27</v>
      </c>
      <c r="V640" s="199">
        <f>IFERROR(__xludf.DUMMYFUNCTION("""COMPUTED_VALUE"""),2.0)</f>
        <v>2</v>
      </c>
      <c r="W640" s="199">
        <f>IFERROR(__xludf.DUMMYFUNCTION("""COMPUTED_VALUE"""),0.0)</f>
        <v>0</v>
      </c>
      <c r="X640" s="199">
        <f>IFERROR(__xludf.DUMMYFUNCTION("""COMPUTED_VALUE"""),0.0)</f>
        <v>0</v>
      </c>
      <c r="Y640" s="199">
        <f>IFERROR(__xludf.DUMMYFUNCTION("""COMPUTED_VALUE"""),0.0)</f>
        <v>0</v>
      </c>
      <c r="Z640" s="199">
        <f>IFERROR(__xludf.DUMMYFUNCTION("""COMPUTED_VALUE"""),2.0)</f>
        <v>2</v>
      </c>
      <c r="AA640" s="199">
        <f>IFERROR(__xludf.DUMMYFUNCTION("""COMPUTED_VALUE"""),0.0)</f>
        <v>0</v>
      </c>
      <c r="AB640" s="199">
        <f>IFERROR(__xludf.DUMMYFUNCTION("""COMPUTED_VALUE"""),4.0)</f>
        <v>4</v>
      </c>
      <c r="AC640" s="199">
        <f>IFERROR(__xludf.DUMMYFUNCTION("""COMPUTED_VALUE"""),10.0)</f>
        <v>10</v>
      </c>
      <c r="AD640" s="199">
        <f>IFERROR(__xludf.DUMMYFUNCTION("""COMPUTED_VALUE"""),0.0)</f>
        <v>0</v>
      </c>
      <c r="AE640" s="199">
        <f>IFERROR(__xludf.DUMMYFUNCTION("""COMPUTED_VALUE"""),124.0)</f>
        <v>124</v>
      </c>
      <c r="AF640" s="199">
        <f>IFERROR(__xludf.DUMMYFUNCTION("""COMPUTED_VALUE"""),5.0)</f>
        <v>5</v>
      </c>
      <c r="AG640" s="199">
        <f>IFERROR(__xludf.DUMMYFUNCTION("""COMPUTED_VALUE"""),491.0)</f>
        <v>491</v>
      </c>
      <c r="AH640" s="199">
        <f>IFERROR(__xludf.DUMMYFUNCTION("""COMPUTED_VALUE"""),16.0)</f>
        <v>16</v>
      </c>
      <c r="AI640" s="200" t="str">
        <f>IFERROR(__xludf.DUMMYFUNCTION("""COMPUTED_VALUE"""),"Excessive Water Contamination / Contamination Alert")</f>
        <v>Excessive Water Contamination / Contamination Alert</v>
      </c>
      <c r="AJ640" s="200" t="str">
        <f>IFERROR(__xludf.DUMMYFUNCTION("""COMPUTED_VALUE"""),"ACTION REQUIRED – Excessive water contamination (0.500 Vol%). Oxidation 3 Ab/cm. Determine water source: check seals, oil cooler, breather, tank fill access. Remove water via centrifuge or dehydration unit. Resample after corrective action. Monitor closel"&amp;"y.")</f>
        <v>ACTION REQUIRED – Excessive water contamination (0.500 Vol%). Oxidation 3 Ab/cm. Determine water source: check seals, oil cooler, breather, tank fill access. Remove water via centrifuge or dehydration unit. Resample after corrective action. Monitor closely.</v>
      </c>
      <c r="AK640" s="204"/>
      <c r="AL640" s="204"/>
      <c r="AM640" s="204"/>
    </row>
    <row r="641" hidden="1">
      <c r="A641" s="199" t="str">
        <f>IFERROR(__xludf.DUMMYFUNCTION("""COMPUTED_VALUE"""),"331.FN110(Fx.B.)")</f>
        <v>331.FN110(Fx.B.)</v>
      </c>
      <c r="B641" s="200" t="str">
        <f>IFERROR(__xludf.DUMMYFUNCTION("""COMPUTED_VALUE"""),"ID fan fixed bearing")</f>
        <v>ID fan fixed bearing</v>
      </c>
      <c r="C641" s="199">
        <f>IFERROR(__xludf.DUMMYFUNCTION("""COMPUTED_VALUE"""),2.6090313216E10)</f>
        <v>26090313216</v>
      </c>
      <c r="D641" s="201">
        <f>IFERROR(__xludf.DUMMYFUNCTION("""COMPUTED_VALUE"""),46093.0)</f>
        <v>46093</v>
      </c>
      <c r="E641" s="202" t="str">
        <f>IFERROR(__xludf.DUMMYFUNCTION("""COMPUTED_VALUE"""),"Alert")</f>
        <v>Alert</v>
      </c>
      <c r="F641" s="202" t="str">
        <f>IFERROR(__xludf.DUMMYFUNCTION("""COMPUTED_VALUE"""),"Normal")</f>
        <v>Normal</v>
      </c>
      <c r="G641" s="203" t="str">
        <f>IFERROR(__xludf.DUMMYFUNCTION("""COMPUTED_VALUE"""),"Normal")</f>
        <v>Normal</v>
      </c>
      <c r="H641" s="203" t="str">
        <f>IFERROR(__xludf.DUMMYFUNCTION("""COMPUTED_VALUE"""),"Alert")</f>
        <v>Alert</v>
      </c>
      <c r="I641" s="37">
        <f>IFERROR(__xludf.DUMMYFUNCTION("""COMPUTED_VALUE"""),6199.0)</f>
        <v>6199</v>
      </c>
      <c r="J641" s="37">
        <f>IFERROR(__xludf.DUMMYFUNCTION("""COMPUTED_VALUE"""),2394.0)</f>
        <v>2394</v>
      </c>
      <c r="K641" s="37">
        <f>IFERROR(__xludf.DUMMYFUNCTION("""COMPUTED_VALUE"""),619.0)</f>
        <v>619</v>
      </c>
      <c r="L641" s="199">
        <f>IFERROR(__xludf.DUMMYFUNCTION("""COMPUTED_VALUE"""),5.0)</f>
        <v>5</v>
      </c>
      <c r="M641" s="199">
        <f>IFERROR(__xludf.DUMMYFUNCTION("""COMPUTED_VALUE"""),46.6)</f>
        <v>46.6</v>
      </c>
      <c r="N641" s="199"/>
      <c r="O641" s="199">
        <f>IFERROR(__xludf.DUMMYFUNCTION("""COMPUTED_VALUE"""),0.0)</f>
        <v>0</v>
      </c>
      <c r="P641" s="199">
        <f>IFERROR(__xludf.DUMMYFUNCTION("""COMPUTED_VALUE"""),0.003)</f>
        <v>0.003</v>
      </c>
      <c r="Q641" s="199">
        <f>IFERROR(__xludf.DUMMYFUNCTION("""COMPUTED_VALUE"""),0.0)</f>
        <v>0</v>
      </c>
      <c r="R641" s="199">
        <f>IFERROR(__xludf.DUMMYFUNCTION("""COMPUTED_VALUE"""),1.0)</f>
        <v>1</v>
      </c>
      <c r="S641" s="199">
        <f>IFERROR(__xludf.DUMMYFUNCTION("""COMPUTED_VALUE"""),0.0)</f>
        <v>0</v>
      </c>
      <c r="T641" s="199">
        <f>IFERROR(__xludf.DUMMYFUNCTION("""COMPUTED_VALUE"""),4.0)</f>
        <v>4</v>
      </c>
      <c r="U641" s="199">
        <f>IFERROR(__xludf.DUMMYFUNCTION("""COMPUTED_VALUE"""),0.0)</f>
        <v>0</v>
      </c>
      <c r="V641" s="199">
        <f>IFERROR(__xludf.DUMMYFUNCTION("""COMPUTED_VALUE"""),0.0)</f>
        <v>0</v>
      </c>
      <c r="W641" s="199">
        <f>IFERROR(__xludf.DUMMYFUNCTION("""COMPUTED_VALUE"""),0.0)</f>
        <v>0</v>
      </c>
      <c r="X641" s="199">
        <f>IFERROR(__xludf.DUMMYFUNCTION("""COMPUTED_VALUE"""),0.0)</f>
        <v>0</v>
      </c>
      <c r="Y641" s="199">
        <f>IFERROR(__xludf.DUMMYFUNCTION("""COMPUTED_VALUE"""),0.0)</f>
        <v>0</v>
      </c>
      <c r="Z641" s="199">
        <f>IFERROR(__xludf.DUMMYFUNCTION("""COMPUTED_VALUE"""),0.0)</f>
        <v>0</v>
      </c>
      <c r="AA641" s="199">
        <f>IFERROR(__xludf.DUMMYFUNCTION("""COMPUTED_VALUE"""),0.0)</f>
        <v>0</v>
      </c>
      <c r="AB641" s="199">
        <f>IFERROR(__xludf.DUMMYFUNCTION("""COMPUTED_VALUE"""),1.0)</f>
        <v>1</v>
      </c>
      <c r="AC641" s="199">
        <f>IFERROR(__xludf.DUMMYFUNCTION("""COMPUTED_VALUE"""),2.0)</f>
        <v>2</v>
      </c>
      <c r="AD641" s="199">
        <f>IFERROR(__xludf.DUMMYFUNCTION("""COMPUTED_VALUE"""),0.0)</f>
        <v>0</v>
      </c>
      <c r="AE641" s="199">
        <f>IFERROR(__xludf.DUMMYFUNCTION("""COMPUTED_VALUE"""),104.0)</f>
        <v>104</v>
      </c>
      <c r="AF641" s="199">
        <f>IFERROR(__xludf.DUMMYFUNCTION("""COMPUTED_VALUE"""),0.0)</f>
        <v>0</v>
      </c>
      <c r="AG641" s="199">
        <f>IFERROR(__xludf.DUMMYFUNCTION("""COMPUTED_VALUE"""),429.0)</f>
        <v>429</v>
      </c>
      <c r="AH641" s="199">
        <f>IFERROR(__xludf.DUMMYFUNCTION("""COMPUTED_VALUE"""),459.0)</f>
        <v>459</v>
      </c>
      <c r="AI641" s="200" t="str">
        <f>IFERROR(__xludf.DUMMYFUNCTION("""COMPUTED_VALUE"""),"Reduced Oil Viscosity / Lubricant Alert")</f>
        <v>Reduced Oil Viscosity / Lubricant Alert</v>
      </c>
      <c r="AJ641" s="200" t="str">
        <f>IFERROR(__xludf.DUMMYFUNCTION("""COMPUTED_VALUE"""),"ACTION REQUIRED – Viscosity at 46.6 cSt, well below target ~68 cSt. ISO Code 20/18/16. Determine cause: check for fuel/solvent contamination or wrong oil addition. Inspect seals. Resample after corrective action.")</f>
        <v>ACTION REQUIRED – Viscosity at 46.6 cSt, well below target ~68 cSt. ISO Code 20/18/16. Determine cause: check for fuel/solvent contamination or wrong oil addition. Inspect seals. Resample after corrective action.</v>
      </c>
      <c r="AK641" s="204"/>
      <c r="AL641" s="204"/>
      <c r="AM641" s="204"/>
    </row>
    <row r="642" hidden="1">
      <c r="A642" s="199" t="str">
        <f>IFERROR(__xludf.DUMMYFUNCTION("""COMPUTED_VALUE"""),"431.MD140 (N31)")</f>
        <v>431.MD140 (N31)</v>
      </c>
      <c r="B642" s="200" t="str">
        <f>IFERROR(__xludf.DUMMYFUNCTION("""COMPUTED_VALUE"""),"Kiln Main drive gearbox W.S side")</f>
        <v>Kiln Main drive gearbox W.S side</v>
      </c>
      <c r="C642" s="199">
        <f>IFERROR(__xludf.DUMMYFUNCTION("""COMPUTED_VALUE"""),2.6090313208E10)</f>
        <v>26090313208</v>
      </c>
      <c r="D642" s="201">
        <f>IFERROR(__xludf.DUMMYFUNCTION("""COMPUTED_VALUE"""),46093.0)</f>
        <v>46093</v>
      </c>
      <c r="E642" s="202" t="str">
        <f>IFERROR(__xludf.DUMMYFUNCTION("""COMPUTED_VALUE"""),"Caution")</f>
        <v>Caution</v>
      </c>
      <c r="F642" s="202" t="str">
        <f>IFERROR(__xludf.DUMMYFUNCTION("""COMPUTED_VALUE"""),"Caution")</f>
        <v>Caution</v>
      </c>
      <c r="G642" s="203" t="str">
        <f>IFERROR(__xludf.DUMMYFUNCTION("""COMPUTED_VALUE"""),"Normal")</f>
        <v>Normal</v>
      </c>
      <c r="H642" s="203" t="str">
        <f>IFERROR(__xludf.DUMMYFUNCTION("""COMPUTED_VALUE"""),"Normal")</f>
        <v>Normal</v>
      </c>
      <c r="I642" s="37"/>
      <c r="J642" s="37"/>
      <c r="K642" s="37"/>
      <c r="L642" s="199">
        <f>IFERROR(__xludf.DUMMYFUNCTION("""COMPUTED_VALUE"""),16.0)</f>
        <v>16</v>
      </c>
      <c r="M642" s="199">
        <f>IFERROR(__xludf.DUMMYFUNCTION("""COMPUTED_VALUE"""),328.7)</f>
        <v>328.7</v>
      </c>
      <c r="N642" s="199"/>
      <c r="O642" s="199">
        <f>IFERROR(__xludf.DUMMYFUNCTION("""COMPUTED_VALUE"""),0.0)</f>
        <v>0</v>
      </c>
      <c r="P642" s="37">
        <f>IFERROR(__xludf.DUMMYFUNCTION("""COMPUTED_VALUE"""),0.04)</f>
        <v>0.04</v>
      </c>
      <c r="Q642" s="199">
        <f>IFERROR(__xludf.DUMMYFUNCTION("""COMPUTED_VALUE"""),0.0)</f>
        <v>0</v>
      </c>
      <c r="R642" s="199">
        <f>IFERROR(__xludf.DUMMYFUNCTION("""COMPUTED_VALUE"""),0.0)</f>
        <v>0</v>
      </c>
      <c r="S642" s="199">
        <f>IFERROR(__xludf.DUMMYFUNCTION("""COMPUTED_VALUE"""),0.0)</f>
        <v>0</v>
      </c>
      <c r="T642" s="199">
        <f>IFERROR(__xludf.DUMMYFUNCTION("""COMPUTED_VALUE"""),2.0)</f>
        <v>2</v>
      </c>
      <c r="U642" s="199">
        <f>IFERROR(__xludf.DUMMYFUNCTION("""COMPUTED_VALUE"""),2.0)</f>
        <v>2</v>
      </c>
      <c r="V642" s="199">
        <f>IFERROR(__xludf.DUMMYFUNCTION("""COMPUTED_VALUE"""),0.0)</f>
        <v>0</v>
      </c>
      <c r="W642" s="199">
        <f>IFERROR(__xludf.DUMMYFUNCTION("""COMPUTED_VALUE"""),0.0)</f>
        <v>0</v>
      </c>
      <c r="X642" s="199">
        <f>IFERROR(__xludf.DUMMYFUNCTION("""COMPUTED_VALUE"""),0.0)</f>
        <v>0</v>
      </c>
      <c r="Y642" s="199">
        <f>IFERROR(__xludf.DUMMYFUNCTION("""COMPUTED_VALUE"""),0.0)</f>
        <v>0</v>
      </c>
      <c r="Z642" s="199">
        <f>IFERROR(__xludf.DUMMYFUNCTION("""COMPUTED_VALUE"""),0.0)</f>
        <v>0</v>
      </c>
      <c r="AA642" s="199">
        <f>IFERROR(__xludf.DUMMYFUNCTION("""COMPUTED_VALUE"""),0.0)</f>
        <v>0</v>
      </c>
      <c r="AB642" s="199">
        <f>IFERROR(__xludf.DUMMYFUNCTION("""COMPUTED_VALUE"""),0.0)</f>
        <v>0</v>
      </c>
      <c r="AC642" s="199">
        <f>IFERROR(__xludf.DUMMYFUNCTION("""COMPUTED_VALUE"""),14.0)</f>
        <v>14</v>
      </c>
      <c r="AD642" s="199">
        <f>IFERROR(__xludf.DUMMYFUNCTION("""COMPUTED_VALUE"""),0.0)</f>
        <v>0</v>
      </c>
      <c r="AE642" s="199">
        <f>IFERROR(__xludf.DUMMYFUNCTION("""COMPUTED_VALUE"""),0.0)</f>
        <v>0</v>
      </c>
      <c r="AF642" s="199">
        <f>IFERROR(__xludf.DUMMYFUNCTION("""COMPUTED_VALUE"""),0.0)</f>
        <v>0</v>
      </c>
      <c r="AG642" s="199">
        <f>IFERROR(__xludf.DUMMYFUNCTION("""COMPUTED_VALUE"""),320.0)</f>
        <v>320</v>
      </c>
      <c r="AH642" s="199">
        <f>IFERROR(__xludf.DUMMYFUNCTION("""COMPUTED_VALUE"""),16.0)</f>
        <v>16</v>
      </c>
      <c r="AI642" s="200" t="str">
        <f>IFERROR(__xludf.DUMMYFUNCTION("""COMPUTED_VALUE"""),"Caution – Elevated Viscosity / Monitor")</f>
        <v>Caution – Elevated Viscosity / Monitor</v>
      </c>
      <c r="AJ642" s="200" t="str">
        <f>IFERROR(__xludf.DUMMYFUNCTION("""COMPUTED_VALUE"""),"Viscosity elevated to 328.7 cSt. Cu 2 ppm. Water 0.040 Vol%. Monitor viscosity trend. Verify correct lubricant used for top-ups.")</f>
        <v>Viscosity elevated to 328.7 cSt. Cu 2 ppm. Water 0.040 Vol%. Monitor viscosity trend. Verify correct lubricant used for top-ups.</v>
      </c>
      <c r="AK642" s="204"/>
      <c r="AL642" s="204"/>
      <c r="AM642" s="204"/>
    </row>
    <row r="643" hidden="1">
      <c r="A643" s="199" t="str">
        <f>IFERROR(__xludf.DUMMYFUNCTION("""COMPUTED_VALUE"""),"431.MD140 (N32)")</f>
        <v>431.MD140 (N32)</v>
      </c>
      <c r="B643" s="200" t="str">
        <f>IFERROR(__xludf.DUMMYFUNCTION("""COMPUTED_VALUE"""),"Kiln Main drive gearbox CCR side")</f>
        <v>Kiln Main drive gearbox CCR side</v>
      </c>
      <c r="C643" s="199">
        <f>IFERROR(__xludf.DUMMYFUNCTION("""COMPUTED_VALUE"""),2.6090313207E10)</f>
        <v>26090313207</v>
      </c>
      <c r="D643" s="201">
        <f>IFERROR(__xludf.DUMMYFUNCTION("""COMPUTED_VALUE"""),46093.0)</f>
        <v>46093</v>
      </c>
      <c r="E643" s="202" t="str">
        <f>IFERROR(__xludf.DUMMYFUNCTION("""COMPUTED_VALUE"""),"Alert")</f>
        <v>Alert</v>
      </c>
      <c r="F643" s="202" t="str">
        <f>IFERROR(__xludf.DUMMYFUNCTION("""COMPUTED_VALUE"""),"Caution")</f>
        <v>Caution</v>
      </c>
      <c r="G643" s="203" t="str">
        <f>IFERROR(__xludf.DUMMYFUNCTION("""COMPUTED_VALUE"""),"Normal")</f>
        <v>Normal</v>
      </c>
      <c r="H643" s="203" t="str">
        <f>IFERROR(__xludf.DUMMYFUNCTION("""COMPUTED_VALUE"""),"Alert")</f>
        <v>Alert</v>
      </c>
      <c r="I643" s="37"/>
      <c r="J643" s="37"/>
      <c r="K643" s="37"/>
      <c r="L643" s="199">
        <f>IFERROR(__xludf.DUMMYFUNCTION("""COMPUTED_VALUE"""),12.0)</f>
        <v>12</v>
      </c>
      <c r="M643" s="199">
        <f>IFERROR(__xludf.DUMMYFUNCTION("""COMPUTED_VALUE"""),418.4)</f>
        <v>418.4</v>
      </c>
      <c r="N643" s="199"/>
      <c r="O643" s="199">
        <f>IFERROR(__xludf.DUMMYFUNCTION("""COMPUTED_VALUE"""),0.0)</f>
        <v>0</v>
      </c>
      <c r="P643" s="37">
        <f>IFERROR(__xludf.DUMMYFUNCTION("""COMPUTED_VALUE"""),0.05)</f>
        <v>0.05</v>
      </c>
      <c r="Q643" s="199">
        <f>IFERROR(__xludf.DUMMYFUNCTION("""COMPUTED_VALUE"""),0.0)</f>
        <v>0</v>
      </c>
      <c r="R643" s="199">
        <f>IFERROR(__xludf.DUMMYFUNCTION("""COMPUTED_VALUE"""),0.0)</f>
        <v>0</v>
      </c>
      <c r="S643" s="199">
        <f>IFERROR(__xludf.DUMMYFUNCTION("""COMPUTED_VALUE"""),0.0)</f>
        <v>0</v>
      </c>
      <c r="T643" s="199">
        <f>IFERROR(__xludf.DUMMYFUNCTION("""COMPUTED_VALUE"""),2.0)</f>
        <v>2</v>
      </c>
      <c r="U643" s="199">
        <f>IFERROR(__xludf.DUMMYFUNCTION("""COMPUTED_VALUE"""),1.0)</f>
        <v>1</v>
      </c>
      <c r="V643" s="199">
        <f>IFERROR(__xludf.DUMMYFUNCTION("""COMPUTED_VALUE"""),0.0)</f>
        <v>0</v>
      </c>
      <c r="W643" s="199">
        <f>IFERROR(__xludf.DUMMYFUNCTION("""COMPUTED_VALUE"""),0.0)</f>
        <v>0</v>
      </c>
      <c r="X643" s="199">
        <f>IFERROR(__xludf.DUMMYFUNCTION("""COMPUTED_VALUE"""),0.0)</f>
        <v>0</v>
      </c>
      <c r="Y643" s="199">
        <f>IFERROR(__xludf.DUMMYFUNCTION("""COMPUTED_VALUE"""),0.0)</f>
        <v>0</v>
      </c>
      <c r="Z643" s="199">
        <f>IFERROR(__xludf.DUMMYFUNCTION("""COMPUTED_VALUE"""),0.0)</f>
        <v>0</v>
      </c>
      <c r="AA643" s="199">
        <f>IFERROR(__xludf.DUMMYFUNCTION("""COMPUTED_VALUE"""),0.0)</f>
        <v>0</v>
      </c>
      <c r="AB643" s="199">
        <f>IFERROR(__xludf.DUMMYFUNCTION("""COMPUTED_VALUE"""),28.0)</f>
        <v>28</v>
      </c>
      <c r="AC643" s="199">
        <f>IFERROR(__xludf.DUMMYFUNCTION("""COMPUTED_VALUE"""),3.0)</f>
        <v>3</v>
      </c>
      <c r="AD643" s="199">
        <f>IFERROR(__xludf.DUMMYFUNCTION("""COMPUTED_VALUE"""),0.0)</f>
        <v>0</v>
      </c>
      <c r="AE643" s="199">
        <f>IFERROR(__xludf.DUMMYFUNCTION("""COMPUTED_VALUE"""),3.0)</f>
        <v>3</v>
      </c>
      <c r="AF643" s="199">
        <f>IFERROR(__xludf.DUMMYFUNCTION("""COMPUTED_VALUE"""),0.0)</f>
        <v>0</v>
      </c>
      <c r="AG643" s="199">
        <f>IFERROR(__xludf.DUMMYFUNCTION("""COMPUTED_VALUE"""),591.0)</f>
        <v>591</v>
      </c>
      <c r="AH643" s="199">
        <f>IFERROR(__xludf.DUMMYFUNCTION("""COMPUTED_VALUE"""),12.0)</f>
        <v>12</v>
      </c>
      <c r="AI643" s="200" t="str">
        <f>IFERROR(__xludf.DUMMYFUNCTION("""COMPUTED_VALUE"""),"Alert – Elevated Viscosity Spike / Elevated Si / Lubricant Alert")</f>
        <v>Alert – Elevated Viscosity Spike / Elevated Si / Lubricant Alert</v>
      </c>
      <c r="AJ643" s="200" t="str">
        <f>IFERROR(__xludf.DUMMYFUNCTION("""COMPUTED_VALUE"""),"ACTION REQUIRED – Viscosity spiked to 418.4 cSt (oil change to MOBIL SHC 634 in progress). Si 28 ppm (elevated). Water 0.050 Vol%. Lubricant rating Alert. Monitor viscosity trend after oil change completion. Resample after corrective action.")</f>
        <v>ACTION REQUIRED – Viscosity spiked to 418.4 cSt (oil change to MOBIL SHC 634 in progress). Si 28 ppm (elevated). Water 0.050 Vol%. Lubricant rating Alert. Monitor viscosity trend after oil change completion. Resample after corrective action.</v>
      </c>
      <c r="AK643" s="204"/>
      <c r="AL643" s="204"/>
      <c r="AM643" s="204"/>
    </row>
    <row r="644" hidden="1">
      <c r="A644" s="199" t="str">
        <f>IFERROR(__xludf.DUMMYFUNCTION("""COMPUTED_VALUE"""),"123.BC200")</f>
        <v>123.BC200</v>
      </c>
      <c r="B644" s="200" t="str">
        <f>IFERROR(__xludf.DUMMYFUNCTION("""COMPUTED_VALUE"""),"Belt Conveyor Gearbox")</f>
        <v>Belt Conveyor Gearbox</v>
      </c>
      <c r="C644" s="199">
        <f>IFERROR(__xludf.DUMMYFUNCTION("""COMPUTED_VALUE"""),2.6090313223E10)</f>
        <v>26090313223</v>
      </c>
      <c r="D644" s="201">
        <f>IFERROR(__xludf.DUMMYFUNCTION("""COMPUTED_VALUE"""),46093.0)</f>
        <v>46093</v>
      </c>
      <c r="E644" s="202" t="str">
        <f>IFERROR(__xludf.DUMMYFUNCTION("""COMPUTED_VALUE"""),"Caution")</f>
        <v>Caution</v>
      </c>
      <c r="F644" s="202" t="str">
        <f>IFERROR(__xludf.DUMMYFUNCTION("""COMPUTED_VALUE"""),"Caution")</f>
        <v>Caution</v>
      </c>
      <c r="G644" s="203" t="str">
        <f>IFERROR(__xludf.DUMMYFUNCTION("""COMPUTED_VALUE"""),"Normal")</f>
        <v>Normal</v>
      </c>
      <c r="H644" s="203" t="str">
        <f>IFERROR(__xludf.DUMMYFUNCTION("""COMPUTED_VALUE"""),"Normal")</f>
        <v>Normal</v>
      </c>
      <c r="I644" s="37"/>
      <c r="J644" s="37"/>
      <c r="K644" s="37"/>
      <c r="L644" s="199">
        <f>IFERROR(__xludf.DUMMYFUNCTION("""COMPUTED_VALUE"""),9.0)</f>
        <v>9</v>
      </c>
      <c r="M644" s="199">
        <f>IFERROR(__xludf.DUMMYFUNCTION("""COMPUTED_VALUE"""),222.6)</f>
        <v>222.6</v>
      </c>
      <c r="N644" s="199"/>
      <c r="O644" s="199"/>
      <c r="P644" s="37">
        <f>IFERROR(__xludf.DUMMYFUNCTION("""COMPUTED_VALUE"""),0.003)</f>
        <v>0.003</v>
      </c>
      <c r="Q644" s="199">
        <f>IFERROR(__xludf.DUMMYFUNCTION("""COMPUTED_VALUE"""),0.0)</f>
        <v>0</v>
      </c>
      <c r="R644" s="199">
        <f>IFERROR(__xludf.DUMMYFUNCTION("""COMPUTED_VALUE"""),0.0)</f>
        <v>0</v>
      </c>
      <c r="S644" s="199">
        <f>IFERROR(__xludf.DUMMYFUNCTION("""COMPUTED_VALUE"""),0.0)</f>
        <v>0</v>
      </c>
      <c r="T644" s="199">
        <f>IFERROR(__xludf.DUMMYFUNCTION("""COMPUTED_VALUE"""),0.0)</f>
        <v>0</v>
      </c>
      <c r="U644" s="199">
        <f>IFERROR(__xludf.DUMMYFUNCTION("""COMPUTED_VALUE"""),14.0)</f>
        <v>14</v>
      </c>
      <c r="V644" s="199">
        <f>IFERROR(__xludf.DUMMYFUNCTION("""COMPUTED_VALUE"""),0.0)</f>
        <v>0</v>
      </c>
      <c r="W644" s="199">
        <f>IFERROR(__xludf.DUMMYFUNCTION("""COMPUTED_VALUE"""),0.0)</f>
        <v>0</v>
      </c>
      <c r="X644" s="199">
        <f>IFERROR(__xludf.DUMMYFUNCTION("""COMPUTED_VALUE"""),0.0)</f>
        <v>0</v>
      </c>
      <c r="Y644" s="199">
        <f>IFERROR(__xludf.DUMMYFUNCTION("""COMPUTED_VALUE"""),0.0)</f>
        <v>0</v>
      </c>
      <c r="Z644" s="199">
        <f>IFERROR(__xludf.DUMMYFUNCTION("""COMPUTED_VALUE"""),0.0)</f>
        <v>0</v>
      </c>
      <c r="AA644" s="199">
        <f>IFERROR(__xludf.DUMMYFUNCTION("""COMPUTED_VALUE"""),0.0)</f>
        <v>0</v>
      </c>
      <c r="AB644" s="199">
        <f>IFERROR(__xludf.DUMMYFUNCTION("""COMPUTED_VALUE"""),5.0)</f>
        <v>5</v>
      </c>
      <c r="AC644" s="199">
        <f>IFERROR(__xludf.DUMMYFUNCTION("""COMPUTED_VALUE"""),0.0)</f>
        <v>0</v>
      </c>
      <c r="AD644" s="199">
        <f>IFERROR(__xludf.DUMMYFUNCTION("""COMPUTED_VALUE"""),0.0)</f>
        <v>0</v>
      </c>
      <c r="AE644" s="199">
        <f>IFERROR(__xludf.DUMMYFUNCTION("""COMPUTED_VALUE"""),25.0)</f>
        <v>25</v>
      </c>
      <c r="AF644" s="199">
        <f>IFERROR(__xludf.DUMMYFUNCTION("""COMPUTED_VALUE"""),2.0)</f>
        <v>2</v>
      </c>
      <c r="AG644" s="199">
        <f>IFERROR(__xludf.DUMMYFUNCTION("""COMPUTED_VALUE"""),477.0)</f>
        <v>477</v>
      </c>
      <c r="AH644" s="199">
        <f>IFERROR(__xludf.DUMMYFUNCTION("""COMPUTED_VALUE"""),36.0)</f>
        <v>36</v>
      </c>
      <c r="AI644" s="200" t="str">
        <f>IFERROR(__xludf.DUMMYFUNCTION("""COMPUTED_VALUE"""),"Caution – Elevated Fe / Particle Count Not Reported")</f>
        <v>Caution – Elevated Fe / Particle Count Not Reported</v>
      </c>
      <c r="AJ644" s="200" t="str">
        <f>IFERROR(__xludf.DUMMYFUNCTION("""COMPUTED_VALUE"""),"Fe 14 ppm. TAN 0.89 mg KOH/g. Water &lt;0.003 Vol%. Viscosity recovered (222.6 cSt). Visible sediment – particle count not completed. Monitor Fe trend. Inspect filtration. Resample within 45 days.")</f>
        <v>Fe 14 ppm. TAN 0.89 mg KOH/g. Water &lt;0.003 Vol%. Viscosity recovered (222.6 cSt). Visible sediment – particle count not completed. Monitor Fe trend. Inspect filtration. Resample within 45 days.</v>
      </c>
      <c r="AK644" s="204"/>
      <c r="AL644" s="204"/>
      <c r="AM644" s="204"/>
    </row>
    <row r="645" hidden="1">
      <c r="A645" s="199" t="str">
        <f>IFERROR(__xludf.DUMMYFUNCTION("""COMPUTED_VALUE"""),"111.BC210")</f>
        <v>111.BC210</v>
      </c>
      <c r="B645" s="200" t="str">
        <f>IFERROR(__xludf.DUMMYFUNCTION("""COMPUTED_VALUE"""),"Belt conveyor Gearbox")</f>
        <v>Belt conveyor Gearbox</v>
      </c>
      <c r="C645" s="199">
        <f>IFERROR(__xludf.DUMMYFUNCTION("""COMPUTED_VALUE"""),2.6090313225E10)</f>
        <v>26090313225</v>
      </c>
      <c r="D645" s="201">
        <f>IFERROR(__xludf.DUMMYFUNCTION("""COMPUTED_VALUE"""),46093.0)</f>
        <v>46093</v>
      </c>
      <c r="E645" s="202" t="str">
        <f>IFERROR(__xludf.DUMMYFUNCTION("""COMPUTED_VALUE"""),"Alert")</f>
        <v>Alert</v>
      </c>
      <c r="F645" s="202" t="str">
        <f>IFERROR(__xludf.DUMMYFUNCTION("""COMPUTED_VALUE"""),"Caution")</f>
        <v>Caution</v>
      </c>
      <c r="G645" s="203" t="str">
        <f>IFERROR(__xludf.DUMMYFUNCTION("""COMPUTED_VALUE"""),"Normal")</f>
        <v>Normal</v>
      </c>
      <c r="H645" s="203" t="str">
        <f>IFERROR(__xludf.DUMMYFUNCTION("""COMPUTED_VALUE"""),"Alert")</f>
        <v>Alert</v>
      </c>
      <c r="I645" s="37"/>
      <c r="J645" s="37"/>
      <c r="K645" s="37"/>
      <c r="L645" s="199">
        <f>IFERROR(__xludf.DUMMYFUNCTION("""COMPUTED_VALUE"""),16.0)</f>
        <v>16</v>
      </c>
      <c r="M645" s="199">
        <f>IFERROR(__xludf.DUMMYFUNCTION("""COMPUTED_VALUE"""),219.3)</f>
        <v>219.3</v>
      </c>
      <c r="N645" s="199"/>
      <c r="O645" s="199"/>
      <c r="P645" s="37">
        <f>IFERROR(__xludf.DUMMYFUNCTION("""COMPUTED_VALUE"""),0.04)</f>
        <v>0.04</v>
      </c>
      <c r="Q645" s="199">
        <f>IFERROR(__xludf.DUMMYFUNCTION("""COMPUTED_VALUE"""),0.0)</f>
        <v>0</v>
      </c>
      <c r="R645" s="199">
        <f>IFERROR(__xludf.DUMMYFUNCTION("""COMPUTED_VALUE"""),0.0)</f>
        <v>0</v>
      </c>
      <c r="S645" s="199">
        <f>IFERROR(__xludf.DUMMYFUNCTION("""COMPUTED_VALUE"""),0.0)</f>
        <v>0</v>
      </c>
      <c r="T645" s="199">
        <f>IFERROR(__xludf.DUMMYFUNCTION("""COMPUTED_VALUE"""),0.0)</f>
        <v>0</v>
      </c>
      <c r="U645" s="199">
        <f>IFERROR(__xludf.DUMMYFUNCTION("""COMPUTED_VALUE"""),17.0)</f>
        <v>17</v>
      </c>
      <c r="V645" s="199">
        <f>IFERROR(__xludf.DUMMYFUNCTION("""COMPUTED_VALUE"""),0.0)</f>
        <v>0</v>
      </c>
      <c r="W645" s="199">
        <f>IFERROR(__xludf.DUMMYFUNCTION("""COMPUTED_VALUE"""),0.0)</f>
        <v>0</v>
      </c>
      <c r="X645" s="199">
        <f>IFERROR(__xludf.DUMMYFUNCTION("""COMPUTED_VALUE"""),0.0)</f>
        <v>0</v>
      </c>
      <c r="Y645" s="199">
        <f>IFERROR(__xludf.DUMMYFUNCTION("""COMPUTED_VALUE"""),0.0)</f>
        <v>0</v>
      </c>
      <c r="Z645" s="199">
        <f>IFERROR(__xludf.DUMMYFUNCTION("""COMPUTED_VALUE"""),0.0)</f>
        <v>0</v>
      </c>
      <c r="AA645" s="199">
        <f>IFERROR(__xludf.DUMMYFUNCTION("""COMPUTED_VALUE"""),0.0)</f>
        <v>0</v>
      </c>
      <c r="AB645" s="199">
        <f>IFERROR(__xludf.DUMMYFUNCTION("""COMPUTED_VALUE"""),6.0)</f>
        <v>6</v>
      </c>
      <c r="AC645" s="199">
        <f>IFERROR(__xludf.DUMMYFUNCTION("""COMPUTED_VALUE"""),12.0)</f>
        <v>12</v>
      </c>
      <c r="AD645" s="199">
        <f>IFERROR(__xludf.DUMMYFUNCTION("""COMPUTED_VALUE"""),0.0)</f>
        <v>0</v>
      </c>
      <c r="AE645" s="199">
        <f>IFERROR(__xludf.DUMMYFUNCTION("""COMPUTED_VALUE"""),26.0)</f>
        <v>26</v>
      </c>
      <c r="AF645" s="199">
        <f>IFERROR(__xludf.DUMMYFUNCTION("""COMPUTED_VALUE"""),2.0)</f>
        <v>2</v>
      </c>
      <c r="AG645" s="199">
        <f>IFERROR(__xludf.DUMMYFUNCTION("""COMPUTED_VALUE"""),487.0)</f>
        <v>487</v>
      </c>
      <c r="AH645" s="199">
        <f>IFERROR(__xludf.DUMMYFUNCTION("""COMPUTED_VALUE"""),16.0)</f>
        <v>16</v>
      </c>
      <c r="AI645" s="200" t="str">
        <f>IFERROR(__xludf.DUMMYFUNCTION("""COMPUTED_VALUE"""),"General Alert")</f>
        <v>General Alert</v>
      </c>
      <c r="AJ645" s="200" t="str">
        <f>IFERROR(__xludf.DUMMYFUNCTION("""COMPUTED_VALUE"""),"Investigate root cause; increase sampling frequency to monthly")</f>
        <v>Investigate root cause; increase sampling frequency to monthly</v>
      </c>
      <c r="AK645" s="204"/>
      <c r="AL645" s="204"/>
      <c r="AM645" s="204"/>
    </row>
    <row r="646" hidden="1">
      <c r="A646" s="199" t="str">
        <f>IFERROR(__xludf.DUMMYFUNCTION("""COMPUTED_VALUE"""),"R2.322.FN400(Fr.B)")</f>
        <v>R2.322.FN400(Fr.B)</v>
      </c>
      <c r="B646" s="200" t="str">
        <f>IFERROR(__xludf.DUMMYFUNCTION("""COMPUTED_VALUE"""),"Raw Mill#2 free bearing")</f>
        <v>Raw Mill#2 free bearing</v>
      </c>
      <c r="C646" s="199">
        <f>IFERROR(__xludf.DUMMYFUNCTION("""COMPUTED_VALUE"""),2.6090313213E10)</f>
        <v>26090313213</v>
      </c>
      <c r="D646" s="201">
        <f>IFERROR(__xludf.DUMMYFUNCTION("""COMPUTED_VALUE"""),46093.0)</f>
        <v>46093</v>
      </c>
      <c r="E646" s="202" t="str">
        <f>IFERROR(__xludf.DUMMYFUNCTION("""COMPUTED_VALUE"""),"Alert")</f>
        <v>Alert</v>
      </c>
      <c r="F646" s="202" t="str">
        <f>IFERROR(__xludf.DUMMYFUNCTION("""COMPUTED_VALUE"""),"Normal")</f>
        <v>Normal</v>
      </c>
      <c r="G646" s="203" t="str">
        <f>IFERROR(__xludf.DUMMYFUNCTION("""COMPUTED_VALUE"""),"Normal")</f>
        <v>Normal</v>
      </c>
      <c r="H646" s="203" t="str">
        <f>IFERROR(__xludf.DUMMYFUNCTION("""COMPUTED_VALUE"""),"Alert")</f>
        <v>Alert</v>
      </c>
      <c r="I646" s="37">
        <f>IFERROR(__xludf.DUMMYFUNCTION("""COMPUTED_VALUE"""),9107.0)</f>
        <v>9107</v>
      </c>
      <c r="J646" s="37">
        <f>IFERROR(__xludf.DUMMYFUNCTION("""COMPUTED_VALUE"""),4642.0)</f>
        <v>4642</v>
      </c>
      <c r="K646" s="37">
        <f>IFERROR(__xludf.DUMMYFUNCTION("""COMPUTED_VALUE"""),1078.0)</f>
        <v>1078</v>
      </c>
      <c r="L646" s="199">
        <f>IFERROR(__xludf.DUMMYFUNCTION("""COMPUTED_VALUE"""),10.0)</f>
        <v>10</v>
      </c>
      <c r="M646" s="199">
        <f>IFERROR(__xludf.DUMMYFUNCTION("""COMPUTED_VALUE"""),45.6)</f>
        <v>45.6</v>
      </c>
      <c r="N646" s="199"/>
      <c r="O646" s="199">
        <f>IFERROR(__xludf.DUMMYFUNCTION("""COMPUTED_VALUE"""),0.0)</f>
        <v>0</v>
      </c>
      <c r="P646" s="199">
        <f>IFERROR(__xludf.DUMMYFUNCTION("""COMPUTED_VALUE"""),0.01)</f>
        <v>0.01</v>
      </c>
      <c r="Q646" s="199">
        <f>IFERROR(__xludf.DUMMYFUNCTION("""COMPUTED_VALUE"""),0.0)</f>
        <v>0</v>
      </c>
      <c r="R646" s="199">
        <f>IFERROR(__xludf.DUMMYFUNCTION("""COMPUTED_VALUE"""),1.0)</f>
        <v>1</v>
      </c>
      <c r="S646" s="199">
        <f>IFERROR(__xludf.DUMMYFUNCTION("""COMPUTED_VALUE"""),0.0)</f>
        <v>0</v>
      </c>
      <c r="T646" s="199">
        <f>IFERROR(__xludf.DUMMYFUNCTION("""COMPUTED_VALUE"""),8.0)</f>
        <v>8</v>
      </c>
      <c r="U646" s="199">
        <f>IFERROR(__xludf.DUMMYFUNCTION("""COMPUTED_VALUE"""),3.0)</f>
        <v>3</v>
      </c>
      <c r="V646" s="199">
        <f>IFERROR(__xludf.DUMMYFUNCTION("""COMPUTED_VALUE"""),0.0)</f>
        <v>0</v>
      </c>
      <c r="W646" s="199">
        <f>IFERROR(__xludf.DUMMYFUNCTION("""COMPUTED_VALUE"""),0.0)</f>
        <v>0</v>
      </c>
      <c r="X646" s="199">
        <f>IFERROR(__xludf.DUMMYFUNCTION("""COMPUTED_VALUE"""),0.0)</f>
        <v>0</v>
      </c>
      <c r="Y646" s="199">
        <f>IFERROR(__xludf.DUMMYFUNCTION("""COMPUTED_VALUE"""),0.0)</f>
        <v>0</v>
      </c>
      <c r="Z646" s="199">
        <f>IFERROR(__xludf.DUMMYFUNCTION("""COMPUTED_VALUE"""),0.0)</f>
        <v>0</v>
      </c>
      <c r="AA646" s="199">
        <f>IFERROR(__xludf.DUMMYFUNCTION("""COMPUTED_VALUE"""),0.0)</f>
        <v>0</v>
      </c>
      <c r="AB646" s="199">
        <f>IFERROR(__xludf.DUMMYFUNCTION("""COMPUTED_VALUE"""),2.0)</f>
        <v>2</v>
      </c>
      <c r="AC646" s="199">
        <f>IFERROR(__xludf.DUMMYFUNCTION("""COMPUTED_VALUE"""),0.0)</f>
        <v>0</v>
      </c>
      <c r="AD646" s="199">
        <f>IFERROR(__xludf.DUMMYFUNCTION("""COMPUTED_VALUE"""),0.0)</f>
        <v>0</v>
      </c>
      <c r="AE646" s="199">
        <f>IFERROR(__xludf.DUMMYFUNCTION("""COMPUTED_VALUE"""),126.0)</f>
        <v>126</v>
      </c>
      <c r="AF646" s="199">
        <f>IFERROR(__xludf.DUMMYFUNCTION("""COMPUTED_VALUE"""),2.0)</f>
        <v>2</v>
      </c>
      <c r="AG646" s="199">
        <f>IFERROR(__xludf.DUMMYFUNCTION("""COMPUTED_VALUE"""),466.0)</f>
        <v>466</v>
      </c>
      <c r="AH646" s="199">
        <f>IFERROR(__xludf.DUMMYFUNCTION("""COMPUTED_VALUE"""),655.0)</f>
        <v>655</v>
      </c>
      <c r="AI646" s="200" t="str">
        <f>IFERROR(__xludf.DUMMYFUNCTION("""COMPUTED_VALUE"""),"Lubricant Degradation")</f>
        <v>Lubricant Degradation</v>
      </c>
      <c r="AJ646" s="200" t="str">
        <f>IFERROR(__xludf.DUMMYFUNCTION("""COMPUTED_VALUE"""),"Viscosity critically low - change lubricant immediately")</f>
        <v>Viscosity critically low - change lubricant immediately</v>
      </c>
      <c r="AK646" s="204"/>
      <c r="AL646" s="204"/>
      <c r="AM646" s="204"/>
    </row>
    <row r="647" hidden="1">
      <c r="A647" s="199" t="str">
        <f>IFERROR(__xludf.DUMMYFUNCTION("""COMPUTED_VALUE"""),"131.BC500 (M01)")</f>
        <v>131.BC500 (M01)</v>
      </c>
      <c r="B647" s="200" t="str">
        <f>IFERROR(__xludf.DUMMYFUNCTION("""COMPUTED_VALUE"""),"Belt Conveyor Gearbox")</f>
        <v>Belt Conveyor Gearbox</v>
      </c>
      <c r="C647" s="199">
        <f>IFERROR(__xludf.DUMMYFUNCTION("""COMPUTED_VALUE"""),2.6090313235E10)</f>
        <v>26090313235</v>
      </c>
      <c r="D647" s="201">
        <f>IFERROR(__xludf.DUMMYFUNCTION("""COMPUTED_VALUE"""),46097.0)</f>
        <v>46097</v>
      </c>
      <c r="E647" s="202" t="str">
        <f>IFERROR(__xludf.DUMMYFUNCTION("""COMPUTED_VALUE"""),"Alert")</f>
        <v>Alert</v>
      </c>
      <c r="F647" s="202" t="str">
        <f>IFERROR(__xludf.DUMMYFUNCTION("""COMPUTED_VALUE"""),"Caution")</f>
        <v>Caution</v>
      </c>
      <c r="G647" s="203" t="str">
        <f>IFERROR(__xludf.DUMMYFUNCTION("""COMPUTED_VALUE"""),"Normal")</f>
        <v>Normal</v>
      </c>
      <c r="H647" s="203" t="str">
        <f>IFERROR(__xludf.DUMMYFUNCTION("""COMPUTED_VALUE"""),"Alert")</f>
        <v>Alert</v>
      </c>
      <c r="I647" s="37"/>
      <c r="J647" s="37"/>
      <c r="K647" s="37"/>
      <c r="L647" s="199">
        <f>IFERROR(__xludf.DUMMYFUNCTION("""COMPUTED_VALUE"""),10.0)</f>
        <v>10</v>
      </c>
      <c r="M647" s="199">
        <f>IFERROR(__xludf.DUMMYFUNCTION("""COMPUTED_VALUE"""),311.0)</f>
        <v>311</v>
      </c>
      <c r="N647" s="199"/>
      <c r="O647" s="199"/>
      <c r="P647" s="37">
        <f>IFERROR(__xludf.DUMMYFUNCTION("""COMPUTED_VALUE"""),0.05)</f>
        <v>0.05</v>
      </c>
      <c r="Q647" s="199">
        <f>IFERROR(__xludf.DUMMYFUNCTION("""COMPUTED_VALUE"""),0.0)</f>
        <v>0</v>
      </c>
      <c r="R647" s="199">
        <f>IFERROR(__xludf.DUMMYFUNCTION("""COMPUTED_VALUE"""),0.0)</f>
        <v>0</v>
      </c>
      <c r="S647" s="199">
        <f>IFERROR(__xludf.DUMMYFUNCTION("""COMPUTED_VALUE"""),0.0)</f>
        <v>0</v>
      </c>
      <c r="T647" s="199">
        <f>IFERROR(__xludf.DUMMYFUNCTION("""COMPUTED_VALUE"""),0.0)</f>
        <v>0</v>
      </c>
      <c r="U647" s="199">
        <f>IFERROR(__xludf.DUMMYFUNCTION("""COMPUTED_VALUE"""),2.0)</f>
        <v>2</v>
      </c>
      <c r="V647" s="199">
        <f>IFERROR(__xludf.DUMMYFUNCTION("""COMPUTED_VALUE"""),0.0)</f>
        <v>0</v>
      </c>
      <c r="W647" s="199">
        <f>IFERROR(__xludf.DUMMYFUNCTION("""COMPUTED_VALUE"""),0.0)</f>
        <v>0</v>
      </c>
      <c r="X647" s="199">
        <f>IFERROR(__xludf.DUMMYFUNCTION("""COMPUTED_VALUE"""),0.0)</f>
        <v>0</v>
      </c>
      <c r="Y647" s="199">
        <f>IFERROR(__xludf.DUMMYFUNCTION("""COMPUTED_VALUE"""),0.0)</f>
        <v>0</v>
      </c>
      <c r="Z647" s="199">
        <f>IFERROR(__xludf.DUMMYFUNCTION("""COMPUTED_VALUE"""),0.0)</f>
        <v>0</v>
      </c>
      <c r="AA647" s="199">
        <f>IFERROR(__xludf.DUMMYFUNCTION("""COMPUTED_VALUE"""),0.0)</f>
        <v>0</v>
      </c>
      <c r="AB647" s="199">
        <f>IFERROR(__xludf.DUMMYFUNCTION("""COMPUTED_VALUE"""),27.0)</f>
        <v>27</v>
      </c>
      <c r="AC647" s="199">
        <f>IFERROR(__xludf.DUMMYFUNCTION("""COMPUTED_VALUE"""),12.0)</f>
        <v>12</v>
      </c>
      <c r="AD647" s="199">
        <f>IFERROR(__xludf.DUMMYFUNCTION("""COMPUTED_VALUE"""),0.0)</f>
        <v>0</v>
      </c>
      <c r="AE647" s="199">
        <f>IFERROR(__xludf.DUMMYFUNCTION("""COMPUTED_VALUE"""),17.0)</f>
        <v>17</v>
      </c>
      <c r="AF647" s="199">
        <f>IFERROR(__xludf.DUMMYFUNCTION("""COMPUTED_VALUE"""),2.0)</f>
        <v>2</v>
      </c>
      <c r="AG647" s="199">
        <f>IFERROR(__xludf.DUMMYFUNCTION("""COMPUTED_VALUE"""),465.0)</f>
        <v>465</v>
      </c>
      <c r="AH647" s="199">
        <f>IFERROR(__xludf.DUMMYFUNCTION("""COMPUTED_VALUE"""),16.0)</f>
        <v>16</v>
      </c>
      <c r="AI647" s="200" t="str">
        <f>IFERROR(__xludf.DUMMYFUNCTION("""COMPUTED_VALUE"""),"General Alert")</f>
        <v>General Alert</v>
      </c>
      <c r="AJ647" s="200" t="str">
        <f>IFERROR(__xludf.DUMMYFUNCTION("""COMPUTED_VALUE"""),"Investigate root cause; increase sampling frequency to monthly")</f>
        <v>Investigate root cause; increase sampling frequency to monthly</v>
      </c>
      <c r="AK647" s="204"/>
      <c r="AL647" s="204"/>
      <c r="AM647" s="204"/>
    </row>
    <row r="648" hidden="1">
      <c r="A648" s="199" t="str">
        <f>IFERROR(__xludf.DUMMYFUNCTION("""COMPUTED_VALUE"""),"131.BC500 (M02)")</f>
        <v>131.BC500 (M02)</v>
      </c>
      <c r="B648" s="200" t="str">
        <f>IFERROR(__xludf.DUMMYFUNCTION("""COMPUTED_VALUE"""),"Belt Conveyor Gearbox")</f>
        <v>Belt Conveyor Gearbox</v>
      </c>
      <c r="C648" s="199">
        <f>IFERROR(__xludf.DUMMYFUNCTION("""COMPUTED_VALUE"""),2.609031322E10)</f>
        <v>26090313220</v>
      </c>
      <c r="D648" s="201">
        <f>IFERROR(__xludf.DUMMYFUNCTION("""COMPUTED_VALUE"""),46097.0)</f>
        <v>46097</v>
      </c>
      <c r="E648" s="202" t="str">
        <f>IFERROR(__xludf.DUMMYFUNCTION("""COMPUTED_VALUE"""),"Caution")</f>
        <v>Caution</v>
      </c>
      <c r="F648" s="202" t="str">
        <f>IFERROR(__xludf.DUMMYFUNCTION("""COMPUTED_VALUE"""),"Caution")</f>
        <v>Caution</v>
      </c>
      <c r="G648" s="203" t="str">
        <f>IFERROR(__xludf.DUMMYFUNCTION("""COMPUTED_VALUE"""),"Normal")</f>
        <v>Normal</v>
      </c>
      <c r="H648" s="203" t="str">
        <f>IFERROR(__xludf.DUMMYFUNCTION("""COMPUTED_VALUE"""),"Normal")</f>
        <v>Normal</v>
      </c>
      <c r="I648" s="37"/>
      <c r="J648" s="37"/>
      <c r="K648" s="37"/>
      <c r="L648" s="199">
        <f>IFERROR(__xludf.DUMMYFUNCTION("""COMPUTED_VALUE"""),10.0)</f>
        <v>10</v>
      </c>
      <c r="M648" s="199">
        <f>IFERROR(__xludf.DUMMYFUNCTION("""COMPUTED_VALUE"""),239.8)</f>
        <v>239.8</v>
      </c>
      <c r="N648" s="199"/>
      <c r="O648" s="199"/>
      <c r="P648" s="37">
        <f>IFERROR(__xludf.DUMMYFUNCTION("""COMPUTED_VALUE"""),0.02)</f>
        <v>0.02</v>
      </c>
      <c r="Q648" s="199">
        <f>IFERROR(__xludf.DUMMYFUNCTION("""COMPUTED_VALUE"""),0.0)</f>
        <v>0</v>
      </c>
      <c r="R648" s="199">
        <f>IFERROR(__xludf.DUMMYFUNCTION("""COMPUTED_VALUE"""),0.0)</f>
        <v>0</v>
      </c>
      <c r="S648" s="199">
        <f>IFERROR(__xludf.DUMMYFUNCTION("""COMPUTED_VALUE"""),8.0)</f>
        <v>8</v>
      </c>
      <c r="T648" s="199">
        <f>IFERROR(__xludf.DUMMYFUNCTION("""COMPUTED_VALUE"""),0.0)</f>
        <v>0</v>
      </c>
      <c r="U648" s="199">
        <f>IFERROR(__xludf.DUMMYFUNCTION("""COMPUTED_VALUE"""),3.0)</f>
        <v>3</v>
      </c>
      <c r="V648" s="199">
        <f>IFERROR(__xludf.DUMMYFUNCTION("""COMPUTED_VALUE"""),0.0)</f>
        <v>0</v>
      </c>
      <c r="W648" s="199">
        <f>IFERROR(__xludf.DUMMYFUNCTION("""COMPUTED_VALUE"""),0.0)</f>
        <v>0</v>
      </c>
      <c r="X648" s="199">
        <f>IFERROR(__xludf.DUMMYFUNCTION("""COMPUTED_VALUE"""),0.0)</f>
        <v>0</v>
      </c>
      <c r="Y648" s="199">
        <f>IFERROR(__xludf.DUMMYFUNCTION("""COMPUTED_VALUE"""),0.0)</f>
        <v>0</v>
      </c>
      <c r="Z648" s="199">
        <f>IFERROR(__xludf.DUMMYFUNCTION("""COMPUTED_VALUE"""),0.0)</f>
        <v>0</v>
      </c>
      <c r="AA648" s="199">
        <f>IFERROR(__xludf.DUMMYFUNCTION("""COMPUTED_VALUE"""),0.0)</f>
        <v>0</v>
      </c>
      <c r="AB648" s="199">
        <f>IFERROR(__xludf.DUMMYFUNCTION("""COMPUTED_VALUE"""),22.0)</f>
        <v>22</v>
      </c>
      <c r="AC648" s="199">
        <f>IFERROR(__xludf.DUMMYFUNCTION("""COMPUTED_VALUE"""),10.0)</f>
        <v>10</v>
      </c>
      <c r="AD648" s="199">
        <f>IFERROR(__xludf.DUMMYFUNCTION("""COMPUTED_VALUE"""),0.0)</f>
        <v>0</v>
      </c>
      <c r="AE648" s="199">
        <f>IFERROR(__xludf.DUMMYFUNCTION("""COMPUTED_VALUE"""),34.0)</f>
        <v>34</v>
      </c>
      <c r="AF648" s="199">
        <f>IFERROR(__xludf.DUMMYFUNCTION("""COMPUTED_VALUE"""),0.0)</f>
        <v>0</v>
      </c>
      <c r="AG648" s="199">
        <f>IFERROR(__xludf.DUMMYFUNCTION("""COMPUTED_VALUE"""),518.0)</f>
        <v>518</v>
      </c>
      <c r="AH648" s="199">
        <f>IFERROR(__xludf.DUMMYFUNCTION("""COMPUTED_VALUE"""),17.0)</f>
        <v>17</v>
      </c>
      <c r="AI648" s="200" t="str">
        <f>IFERROR(__xludf.DUMMYFUNCTION("""COMPUTED_VALUE"""),"Contamination Caution")</f>
        <v>Contamination Caution</v>
      </c>
      <c r="AJ648" s="200" t="str">
        <f>IFERROR(__xludf.DUMMYFUNCTION("""COMPUTED_VALUE"""),"Silicon elevated - check air filtration and seals")</f>
        <v>Silicon elevated - check air filtration and seals</v>
      </c>
      <c r="AK648" s="204"/>
      <c r="AL648" s="204"/>
      <c r="AM648" s="204"/>
    </row>
    <row r="649" hidden="1">
      <c r="A649" s="199" t="str">
        <f>IFERROR(__xludf.DUMMYFUNCTION("""COMPUTED_VALUE"""),"321.FN400(Fr.B)")</f>
        <v>321.FN400(Fr.B)</v>
      </c>
      <c r="B649" s="200" t="str">
        <f>IFERROR(__xludf.DUMMYFUNCTION("""COMPUTED_VALUE"""),"Raw Mill free bearing")</f>
        <v>Raw Mill free bearing</v>
      </c>
      <c r="C649" s="199">
        <f>IFERROR(__xludf.DUMMYFUNCTION("""COMPUTED_VALUE"""),2.609031321E10)</f>
        <v>26090313210</v>
      </c>
      <c r="D649" s="201">
        <f>IFERROR(__xludf.DUMMYFUNCTION("""COMPUTED_VALUE"""),46099.0)</f>
        <v>46099</v>
      </c>
      <c r="E649" s="202" t="str">
        <f>IFERROR(__xludf.DUMMYFUNCTION("""COMPUTED_VALUE"""),"Alert")</f>
        <v>Alert</v>
      </c>
      <c r="F649" s="202" t="str">
        <f>IFERROR(__xludf.DUMMYFUNCTION("""COMPUTED_VALUE"""),"Normal")</f>
        <v>Normal</v>
      </c>
      <c r="G649" s="203" t="str">
        <f>IFERROR(__xludf.DUMMYFUNCTION("""COMPUTED_VALUE"""),"Normal")</f>
        <v>Normal</v>
      </c>
      <c r="H649" s="203" t="str">
        <f>IFERROR(__xludf.DUMMYFUNCTION("""COMPUTED_VALUE"""),"Alert")</f>
        <v>Alert</v>
      </c>
      <c r="I649" s="37">
        <f>IFERROR(__xludf.DUMMYFUNCTION("""COMPUTED_VALUE"""),8809.0)</f>
        <v>8809</v>
      </c>
      <c r="J649" s="37">
        <f>IFERROR(__xludf.DUMMYFUNCTION("""COMPUTED_VALUE"""),4300.0)</f>
        <v>4300</v>
      </c>
      <c r="K649" s="37">
        <f>IFERROR(__xludf.DUMMYFUNCTION("""COMPUTED_VALUE"""),1151.0)</f>
        <v>1151</v>
      </c>
      <c r="L649" s="199">
        <f>IFERROR(__xludf.DUMMYFUNCTION("""COMPUTED_VALUE"""),4.0)</f>
        <v>4</v>
      </c>
      <c r="M649" s="199">
        <f>IFERROR(__xludf.DUMMYFUNCTION("""COMPUTED_VALUE"""),46.7)</f>
        <v>46.7</v>
      </c>
      <c r="N649" s="199"/>
      <c r="O649" s="199">
        <f>IFERROR(__xludf.DUMMYFUNCTION("""COMPUTED_VALUE"""),0.0)</f>
        <v>0</v>
      </c>
      <c r="P649" s="37">
        <f>IFERROR(__xludf.DUMMYFUNCTION("""COMPUTED_VALUE"""),0.003)</f>
        <v>0.003</v>
      </c>
      <c r="Q649" s="199">
        <f>IFERROR(__xludf.DUMMYFUNCTION("""COMPUTED_VALUE"""),0.0)</f>
        <v>0</v>
      </c>
      <c r="R649" s="199">
        <f>IFERROR(__xludf.DUMMYFUNCTION("""COMPUTED_VALUE"""),0.0)</f>
        <v>0</v>
      </c>
      <c r="S649" s="199">
        <f>IFERROR(__xludf.DUMMYFUNCTION("""COMPUTED_VALUE"""),0.0)</f>
        <v>0</v>
      </c>
      <c r="T649" s="199">
        <f>IFERROR(__xludf.DUMMYFUNCTION("""COMPUTED_VALUE"""),4.0)</f>
        <v>4</v>
      </c>
      <c r="U649" s="199">
        <f>IFERROR(__xludf.DUMMYFUNCTION("""COMPUTED_VALUE"""),2.0)</f>
        <v>2</v>
      </c>
      <c r="V649" s="199">
        <f>IFERROR(__xludf.DUMMYFUNCTION("""COMPUTED_VALUE"""),0.0)</f>
        <v>0</v>
      </c>
      <c r="W649" s="199">
        <f>IFERROR(__xludf.DUMMYFUNCTION("""COMPUTED_VALUE"""),0.0)</f>
        <v>0</v>
      </c>
      <c r="X649" s="199">
        <f>IFERROR(__xludf.DUMMYFUNCTION("""COMPUTED_VALUE"""),0.0)</f>
        <v>0</v>
      </c>
      <c r="Y649" s="199">
        <f>IFERROR(__xludf.DUMMYFUNCTION("""COMPUTED_VALUE"""),0.0)</f>
        <v>0</v>
      </c>
      <c r="Z649" s="199">
        <f>IFERROR(__xludf.DUMMYFUNCTION("""COMPUTED_VALUE"""),0.0)</f>
        <v>0</v>
      </c>
      <c r="AA649" s="199">
        <f>IFERROR(__xludf.DUMMYFUNCTION("""COMPUTED_VALUE"""),0.0)</f>
        <v>0</v>
      </c>
      <c r="AB649" s="199">
        <f>IFERROR(__xludf.DUMMYFUNCTION("""COMPUTED_VALUE"""),5.0)</f>
        <v>5</v>
      </c>
      <c r="AC649" s="199">
        <f>IFERROR(__xludf.DUMMYFUNCTION("""COMPUTED_VALUE"""),1.0)</f>
        <v>1</v>
      </c>
      <c r="AD649" s="199">
        <f>IFERROR(__xludf.DUMMYFUNCTION("""COMPUTED_VALUE"""),0.0)</f>
        <v>0</v>
      </c>
      <c r="AE649" s="199">
        <f>IFERROR(__xludf.DUMMYFUNCTION("""COMPUTED_VALUE"""),120.0)</f>
        <v>120</v>
      </c>
      <c r="AF649" s="199">
        <f>IFERROR(__xludf.DUMMYFUNCTION("""COMPUTED_VALUE"""),0.0)</f>
        <v>0</v>
      </c>
      <c r="AG649" s="199">
        <f>IFERROR(__xludf.DUMMYFUNCTION("""COMPUTED_VALUE"""),378.0)</f>
        <v>378</v>
      </c>
      <c r="AH649" s="199">
        <f>IFERROR(__xludf.DUMMYFUNCTION("""COMPUTED_VALUE"""),399.0)</f>
        <v>399</v>
      </c>
      <c r="AI649" s="200" t="str">
        <f>IFERROR(__xludf.DUMMYFUNCTION("""COMPUTED_VALUE"""),"Reduced Oil Viscosity / Lubricant Alert")</f>
        <v>Reduced Oil Viscosity / Lubricant Alert</v>
      </c>
      <c r="AJ649" s="200" t="str">
        <f>IFERROR(__xludf.DUMMYFUNCTION("""COMPUTED_VALUE"""),"ACTION REQUIRED – Viscosity dropped to 46.7 cSt (expected ~68 cSt). ISO Code 20/17/16. Determine cause: check for fuel/solvent contamination or wrong oil fill. Resample after corrective action.")</f>
        <v>ACTION REQUIRED – Viscosity dropped to 46.7 cSt (expected ~68 cSt). ISO Code 20/17/16. Determine cause: check for fuel/solvent contamination or wrong oil fill. Resample after corrective action.</v>
      </c>
      <c r="AK649" s="204"/>
      <c r="AL649" s="204"/>
      <c r="AM649" s="204"/>
    </row>
    <row r="650" hidden="1">
      <c r="A650" s="199" t="str">
        <f>IFERROR(__xludf.DUMMYFUNCTION("""COMPUTED_VALUE"""),"R2.322.LQ145 (T)")</f>
        <v>R2.322.LQ145 (T)</v>
      </c>
      <c r="B650" s="200" t="str">
        <f>IFERROR(__xludf.DUMMYFUNCTION("""COMPUTED_VALUE"""),"Mill2 gear Lub pump station tank")</f>
        <v>Mill2 gear Lub pump station tank</v>
      </c>
      <c r="C650" s="199">
        <f>IFERROR(__xludf.DUMMYFUNCTION("""COMPUTED_VALUE"""),2.6090313244E10)</f>
        <v>26090313244</v>
      </c>
      <c r="D650" s="201">
        <f>IFERROR(__xludf.DUMMYFUNCTION("""COMPUTED_VALUE"""),46099.0)</f>
        <v>46099</v>
      </c>
      <c r="E650" s="202" t="str">
        <f>IFERROR(__xludf.DUMMYFUNCTION("""COMPUTED_VALUE"""),"Alert")</f>
        <v>Alert</v>
      </c>
      <c r="F650" s="202" t="str">
        <f>IFERROR(__xludf.DUMMYFUNCTION("""COMPUTED_VALUE"""),"Caution")</f>
        <v>Caution</v>
      </c>
      <c r="G650" s="203" t="str">
        <f>IFERROR(__xludf.DUMMYFUNCTION("""COMPUTED_VALUE"""),"Normal")</f>
        <v>Normal</v>
      </c>
      <c r="H650" s="203" t="str">
        <f>IFERROR(__xludf.DUMMYFUNCTION("""COMPUTED_VALUE"""),"Alert")</f>
        <v>Alert</v>
      </c>
      <c r="I650" s="37"/>
      <c r="J650" s="37"/>
      <c r="K650" s="37"/>
      <c r="L650" s="199">
        <f>IFERROR(__xludf.DUMMYFUNCTION("""COMPUTED_VALUE"""),20.0)</f>
        <v>20</v>
      </c>
      <c r="M650" s="199">
        <f>IFERROR(__xludf.DUMMYFUNCTION("""COMPUTED_VALUE"""),797.8)</f>
        <v>797.8</v>
      </c>
      <c r="N650" s="199"/>
      <c r="O650" s="199">
        <f>IFERROR(__xludf.DUMMYFUNCTION("""COMPUTED_VALUE"""),3.0)</f>
        <v>3</v>
      </c>
      <c r="P650" s="37">
        <f>IFERROR(__xludf.DUMMYFUNCTION("""COMPUTED_VALUE"""),0.04)</f>
        <v>0.04</v>
      </c>
      <c r="Q650" s="199">
        <f>IFERROR(__xludf.DUMMYFUNCTION("""COMPUTED_VALUE"""),0.0)</f>
        <v>0</v>
      </c>
      <c r="R650" s="199">
        <f>IFERROR(__xludf.DUMMYFUNCTION("""COMPUTED_VALUE"""),0.0)</f>
        <v>0</v>
      </c>
      <c r="S650" s="199">
        <f>IFERROR(__xludf.DUMMYFUNCTION("""COMPUTED_VALUE"""),0.0)</f>
        <v>0</v>
      </c>
      <c r="T650" s="199">
        <f>IFERROR(__xludf.DUMMYFUNCTION("""COMPUTED_VALUE"""),0.0)</f>
        <v>0</v>
      </c>
      <c r="U650" s="199">
        <f>IFERROR(__xludf.DUMMYFUNCTION("""COMPUTED_VALUE"""),2.0)</f>
        <v>2</v>
      </c>
      <c r="V650" s="199">
        <f>IFERROR(__xludf.DUMMYFUNCTION("""COMPUTED_VALUE"""),0.0)</f>
        <v>0</v>
      </c>
      <c r="W650" s="199">
        <f>IFERROR(__xludf.DUMMYFUNCTION("""COMPUTED_VALUE"""),0.0)</f>
        <v>0</v>
      </c>
      <c r="X650" s="199">
        <f>IFERROR(__xludf.DUMMYFUNCTION("""COMPUTED_VALUE"""),0.0)</f>
        <v>0</v>
      </c>
      <c r="Y650" s="199">
        <f>IFERROR(__xludf.DUMMYFUNCTION("""COMPUTED_VALUE"""),0.0)</f>
        <v>0</v>
      </c>
      <c r="Z650" s="199">
        <f>IFERROR(__xludf.DUMMYFUNCTION("""COMPUTED_VALUE"""),0.0)</f>
        <v>0</v>
      </c>
      <c r="AA650" s="199">
        <f>IFERROR(__xludf.DUMMYFUNCTION("""COMPUTED_VALUE"""),0.0)</f>
        <v>0</v>
      </c>
      <c r="AB650" s="199">
        <f>IFERROR(__xludf.DUMMYFUNCTION("""COMPUTED_VALUE"""),0.0)</f>
        <v>0</v>
      </c>
      <c r="AC650" s="199">
        <f>IFERROR(__xludf.DUMMYFUNCTION("""COMPUTED_VALUE"""),32.0)</f>
        <v>32</v>
      </c>
      <c r="AD650" s="199">
        <f>IFERROR(__xludf.DUMMYFUNCTION("""COMPUTED_VALUE"""),0.0)</f>
        <v>0</v>
      </c>
      <c r="AE650" s="199">
        <f>IFERROR(__xludf.DUMMYFUNCTION("""COMPUTED_VALUE"""),32.0)</f>
        <v>32</v>
      </c>
      <c r="AF650" s="199">
        <f>IFERROR(__xludf.DUMMYFUNCTION("""COMPUTED_VALUE"""),0.0)</f>
        <v>0</v>
      </c>
      <c r="AG650" s="199">
        <f>IFERROR(__xludf.DUMMYFUNCTION("""COMPUTED_VALUE"""),606.0)</f>
        <v>606</v>
      </c>
      <c r="AH650" s="199">
        <f>IFERROR(__xludf.DUMMYFUNCTION("""COMPUTED_VALUE"""),3.0)</f>
        <v>3</v>
      </c>
      <c r="AI650" s="200" t="str">
        <f>IFERROR(__xludf.DUMMYFUNCTION("""COMPUTED_VALUE"""),"Lubricant Degradation")</f>
        <v>Lubricant Degradation</v>
      </c>
      <c r="AJ650" s="200" t="str">
        <f>IFERROR(__xludf.DUMMYFUNCTION("""COMPUTED_VALUE"""),"Viscosity critically high - change lubricant immediately")</f>
        <v>Viscosity critically high - change lubricant immediately</v>
      </c>
      <c r="AK650" s="204"/>
      <c r="AL650" s="204"/>
      <c r="AM650" s="204"/>
    </row>
    <row r="651" hidden="1">
      <c r="A651" s="199" t="str">
        <f>IFERROR(__xludf.DUMMYFUNCTION("""COMPUTED_VALUE"""),"261.SH050 (T)")</f>
        <v>261.SH050 (T)</v>
      </c>
      <c r="B651" s="200" t="str">
        <f>IFERROR(__xludf.DUMMYFUNCTION("""COMPUTED_VALUE"""),"Shredder - Hydraulic Sys.")</f>
        <v>Shredder - Hydraulic Sys.</v>
      </c>
      <c r="C651" s="199">
        <f>IFERROR(__xludf.DUMMYFUNCTION("""COMPUTED_VALUE"""),2.6090313215E10)</f>
        <v>26090313215</v>
      </c>
      <c r="D651" s="201">
        <f>IFERROR(__xludf.DUMMYFUNCTION("""COMPUTED_VALUE"""),46099.0)</f>
        <v>46099</v>
      </c>
      <c r="E651" s="202" t="str">
        <f>IFERROR(__xludf.DUMMYFUNCTION("""COMPUTED_VALUE"""),"Normal")</f>
        <v>Normal</v>
      </c>
      <c r="F651" s="202" t="str">
        <f>IFERROR(__xludf.DUMMYFUNCTION("""COMPUTED_VALUE"""),"Normal")</f>
        <v>Normal</v>
      </c>
      <c r="G651" s="203" t="str">
        <f>IFERROR(__xludf.DUMMYFUNCTION("""COMPUTED_VALUE"""),"Normal")</f>
        <v>Normal</v>
      </c>
      <c r="H651" s="203" t="str">
        <f>IFERROR(__xludf.DUMMYFUNCTION("""COMPUTED_VALUE"""),"Normal")</f>
        <v>Normal</v>
      </c>
      <c r="I651" s="37">
        <f>IFERROR(__xludf.DUMMYFUNCTION("""COMPUTED_VALUE"""),10974.0)</f>
        <v>10974</v>
      </c>
      <c r="J651" s="37">
        <f>IFERROR(__xludf.DUMMYFUNCTION("""COMPUTED_VALUE"""),6149.0)</f>
        <v>6149</v>
      </c>
      <c r="K651" s="37">
        <f>IFERROR(__xludf.DUMMYFUNCTION("""COMPUTED_VALUE"""),2311.0)</f>
        <v>2311</v>
      </c>
      <c r="L651" s="199">
        <f>IFERROR(__xludf.DUMMYFUNCTION("""COMPUTED_VALUE"""),5.0)</f>
        <v>5</v>
      </c>
      <c r="M651" s="199">
        <f>IFERROR(__xludf.DUMMYFUNCTION("""COMPUTED_VALUE"""),49.0)</f>
        <v>49</v>
      </c>
      <c r="N651" s="199"/>
      <c r="O651" s="199">
        <f>IFERROR(__xludf.DUMMYFUNCTION("""COMPUTED_VALUE"""),0.0)</f>
        <v>0</v>
      </c>
      <c r="P651" s="37">
        <f>IFERROR(__xludf.DUMMYFUNCTION("""COMPUTED_VALUE"""),0.003)</f>
        <v>0.003</v>
      </c>
      <c r="Q651" s="199">
        <f>IFERROR(__xludf.DUMMYFUNCTION("""COMPUTED_VALUE"""),0.0)</f>
        <v>0</v>
      </c>
      <c r="R651" s="199">
        <f>IFERROR(__xludf.DUMMYFUNCTION("""COMPUTED_VALUE"""),1.0)</f>
        <v>1</v>
      </c>
      <c r="S651" s="199">
        <f>IFERROR(__xludf.DUMMYFUNCTION("""COMPUTED_VALUE"""),0.0)</f>
        <v>0</v>
      </c>
      <c r="T651" s="199">
        <f>IFERROR(__xludf.DUMMYFUNCTION("""COMPUTED_VALUE"""),6.0)</f>
        <v>6</v>
      </c>
      <c r="U651" s="199">
        <f>IFERROR(__xludf.DUMMYFUNCTION("""COMPUTED_VALUE"""),3.0)</f>
        <v>3</v>
      </c>
      <c r="V651" s="199">
        <f>IFERROR(__xludf.DUMMYFUNCTION("""COMPUTED_VALUE"""),0.0)</f>
        <v>0</v>
      </c>
      <c r="W651" s="199">
        <f>IFERROR(__xludf.DUMMYFUNCTION("""COMPUTED_VALUE"""),0.0)</f>
        <v>0</v>
      </c>
      <c r="X651" s="199">
        <f>IFERROR(__xludf.DUMMYFUNCTION("""COMPUTED_VALUE"""),0.0)</f>
        <v>0</v>
      </c>
      <c r="Y651" s="199">
        <f>IFERROR(__xludf.DUMMYFUNCTION("""COMPUTED_VALUE"""),0.0)</f>
        <v>0</v>
      </c>
      <c r="Z651" s="199">
        <f>IFERROR(__xludf.DUMMYFUNCTION("""COMPUTED_VALUE"""),0.0)</f>
        <v>0</v>
      </c>
      <c r="AA651" s="199">
        <f>IFERROR(__xludf.DUMMYFUNCTION("""COMPUTED_VALUE"""),0.0)</f>
        <v>0</v>
      </c>
      <c r="AB651" s="199">
        <f>IFERROR(__xludf.DUMMYFUNCTION("""COMPUTED_VALUE"""),2.0)</f>
        <v>2</v>
      </c>
      <c r="AC651" s="199">
        <f>IFERROR(__xludf.DUMMYFUNCTION("""COMPUTED_VALUE"""),2.0)</f>
        <v>2</v>
      </c>
      <c r="AD651" s="199">
        <f>IFERROR(__xludf.DUMMYFUNCTION("""COMPUTED_VALUE"""),0.0)</f>
        <v>0</v>
      </c>
      <c r="AE651" s="199">
        <f>IFERROR(__xludf.DUMMYFUNCTION("""COMPUTED_VALUE"""),104.0)</f>
        <v>104</v>
      </c>
      <c r="AF651" s="199">
        <f>IFERROR(__xludf.DUMMYFUNCTION("""COMPUTED_VALUE"""),2.0)</f>
        <v>2</v>
      </c>
      <c r="AG651" s="199">
        <f>IFERROR(__xludf.DUMMYFUNCTION("""COMPUTED_VALUE"""),389.0)</f>
        <v>389</v>
      </c>
      <c r="AH651" s="199">
        <f>IFERROR(__xludf.DUMMYFUNCTION("""COMPUTED_VALUE"""),408.0)</f>
        <v>408</v>
      </c>
      <c r="AI651" s="200" t="str">
        <f>IFERROR(__xludf.DUMMYFUNCTION("""COMPUTED_VALUE"""),"Normal - No Action Required")</f>
        <v>Normal - No Action Required</v>
      </c>
      <c r="AJ651" s="200" t="str">
        <f>IFERROR(__xludf.DUMMYFUNCTION("""COMPUTED_VALUE"""),"Continue routine monitoring and sampling schedule")</f>
        <v>Continue routine monitoring and sampling schedule</v>
      </c>
      <c r="AK651" s="204"/>
      <c r="AL651" s="204"/>
      <c r="AM651" s="204"/>
    </row>
    <row r="652" hidden="1">
      <c r="A652" s="199" t="str">
        <f>IFERROR(__xludf.DUMMYFUNCTION("""COMPUTED_VALUE"""),"321.LQ120 (R3)")</f>
        <v>321.LQ120 (R3)</v>
      </c>
      <c r="B652" s="200" t="str">
        <f>IFERROR(__xludf.DUMMYFUNCTION("""COMPUTED_VALUE"""),"Roller Lubrication Return R3 (filter Cup)")</f>
        <v>Roller Lubrication Return R3 (filter Cup)</v>
      </c>
      <c r="C652" s="199">
        <f>IFERROR(__xludf.DUMMYFUNCTION("""COMPUTED_VALUE"""),2.6090313217E10)</f>
        <v>26090313217</v>
      </c>
      <c r="D652" s="201">
        <f>IFERROR(__xludf.DUMMYFUNCTION("""COMPUTED_VALUE"""),46099.0)</f>
        <v>46099</v>
      </c>
      <c r="E652" s="202" t="str">
        <f>IFERROR(__xludf.DUMMYFUNCTION("""COMPUTED_VALUE"""),"Normal")</f>
        <v>Normal</v>
      </c>
      <c r="F652" s="202" t="str">
        <f>IFERROR(__xludf.DUMMYFUNCTION("""COMPUTED_VALUE"""),"Normal")</f>
        <v>Normal</v>
      </c>
      <c r="G652" s="203" t="str">
        <f>IFERROR(__xludf.DUMMYFUNCTION("""COMPUTED_VALUE"""),"Normal")</f>
        <v>Normal</v>
      </c>
      <c r="H652" s="203" t="str">
        <f>IFERROR(__xludf.DUMMYFUNCTION("""COMPUTED_VALUE"""),"Normal")</f>
        <v>Normal</v>
      </c>
      <c r="I652" s="37"/>
      <c r="J652" s="37"/>
      <c r="K652" s="37"/>
      <c r="L652" s="199">
        <f>IFERROR(__xludf.DUMMYFUNCTION("""COMPUTED_VALUE"""),7.0)</f>
        <v>7</v>
      </c>
      <c r="M652" s="199">
        <f>IFERROR(__xludf.DUMMYFUNCTION("""COMPUTED_VALUE"""),90.9)</f>
        <v>90.9</v>
      </c>
      <c r="N652" s="199"/>
      <c r="O652" s="199"/>
      <c r="P652" s="37">
        <f>IFERROR(__xludf.DUMMYFUNCTION("""COMPUTED_VALUE"""),0.003)</f>
        <v>0.003</v>
      </c>
      <c r="Q652" s="199">
        <f>IFERROR(__xludf.DUMMYFUNCTION("""COMPUTED_VALUE"""),0.0)</f>
        <v>0</v>
      </c>
      <c r="R652" s="199">
        <f>IFERROR(__xludf.DUMMYFUNCTION("""COMPUTED_VALUE"""),0.0)</f>
        <v>0</v>
      </c>
      <c r="S652" s="199">
        <f>IFERROR(__xludf.DUMMYFUNCTION("""COMPUTED_VALUE"""),0.0)</f>
        <v>0</v>
      </c>
      <c r="T652" s="199">
        <f>IFERROR(__xludf.DUMMYFUNCTION("""COMPUTED_VALUE"""),2.0)</f>
        <v>2</v>
      </c>
      <c r="U652" s="199">
        <f>IFERROR(__xludf.DUMMYFUNCTION("""COMPUTED_VALUE"""),2.0)</f>
        <v>2</v>
      </c>
      <c r="V652" s="199">
        <f>IFERROR(__xludf.DUMMYFUNCTION("""COMPUTED_VALUE"""),0.0)</f>
        <v>0</v>
      </c>
      <c r="W652" s="199">
        <f>IFERROR(__xludf.DUMMYFUNCTION("""COMPUTED_VALUE"""),0.0)</f>
        <v>0</v>
      </c>
      <c r="X652" s="199">
        <f>IFERROR(__xludf.DUMMYFUNCTION("""COMPUTED_VALUE"""),0.0)</f>
        <v>0</v>
      </c>
      <c r="Y652" s="199">
        <f>IFERROR(__xludf.DUMMYFUNCTION("""COMPUTED_VALUE"""),0.0)</f>
        <v>0</v>
      </c>
      <c r="Z652" s="199">
        <f>IFERROR(__xludf.DUMMYFUNCTION("""COMPUTED_VALUE"""),0.0)</f>
        <v>0</v>
      </c>
      <c r="AA652" s="199">
        <f>IFERROR(__xludf.DUMMYFUNCTION("""COMPUTED_VALUE"""),0.0)</f>
        <v>0</v>
      </c>
      <c r="AB652" s="199">
        <f>IFERROR(__xludf.DUMMYFUNCTION("""COMPUTED_VALUE"""),26.0)</f>
        <v>26</v>
      </c>
      <c r="AC652" s="199">
        <f>IFERROR(__xludf.DUMMYFUNCTION("""COMPUTED_VALUE"""),12.0)</f>
        <v>12</v>
      </c>
      <c r="AD652" s="199">
        <f>IFERROR(__xludf.DUMMYFUNCTION("""COMPUTED_VALUE"""),0.0)</f>
        <v>0</v>
      </c>
      <c r="AE652" s="199">
        <f>IFERROR(__xludf.DUMMYFUNCTION("""COMPUTED_VALUE"""),28.0)</f>
        <v>28</v>
      </c>
      <c r="AF652" s="199">
        <f>IFERROR(__xludf.DUMMYFUNCTION("""COMPUTED_VALUE"""),0.0)</f>
        <v>0</v>
      </c>
      <c r="AG652" s="199">
        <f>IFERROR(__xludf.DUMMYFUNCTION("""COMPUTED_VALUE"""),518.0)</f>
        <v>518</v>
      </c>
      <c r="AH652" s="199">
        <f>IFERROR(__xludf.DUMMYFUNCTION("""COMPUTED_VALUE"""),29.0)</f>
        <v>29</v>
      </c>
      <c r="AI652" s="200" t="str">
        <f>IFERROR(__xludf.DUMMYFUNCTION("""COMPUTED_VALUE"""),"Normal - No Action Required")</f>
        <v>Normal - No Action Required</v>
      </c>
      <c r="AJ652" s="200" t="str">
        <f>IFERROR(__xludf.DUMMYFUNCTION("""COMPUTED_VALUE"""),"Continue routine monitoring and sampling schedule")</f>
        <v>Continue routine monitoring and sampling schedule</v>
      </c>
      <c r="AK652" s="204"/>
      <c r="AL652" s="204"/>
      <c r="AM652" s="204"/>
    </row>
    <row r="653" hidden="1">
      <c r="A653" s="199" t="str">
        <f>IFERROR(__xludf.DUMMYFUNCTION("""COMPUTED_VALUE"""),"421.HR700 (B)")</f>
        <v>421.HR700 (B)</v>
      </c>
      <c r="B653" s="200" t="str">
        <f>IFERROR(__xludf.DUMMYFUNCTION("""COMPUTED_VALUE"""),"HOTDISC Drive M02")</f>
        <v>HOTDISC Drive M02</v>
      </c>
      <c r="C653" s="199">
        <f>IFERROR(__xludf.DUMMYFUNCTION("""COMPUTED_VALUE"""),2.6090313211E10)</f>
        <v>26090313211</v>
      </c>
      <c r="D653" s="201">
        <f>IFERROR(__xludf.DUMMYFUNCTION("""COMPUTED_VALUE"""),46099.0)</f>
        <v>46099</v>
      </c>
      <c r="E653" s="202" t="str">
        <f>IFERROR(__xludf.DUMMYFUNCTION("""COMPUTED_VALUE"""),"Normal")</f>
        <v>Normal</v>
      </c>
      <c r="F653" s="202" t="str">
        <f>IFERROR(__xludf.DUMMYFUNCTION("""COMPUTED_VALUE"""),"Normal")</f>
        <v>Normal</v>
      </c>
      <c r="G653" s="203" t="str">
        <f>IFERROR(__xludf.DUMMYFUNCTION("""COMPUTED_VALUE"""),"Normal")</f>
        <v>Normal</v>
      </c>
      <c r="H653" s="203" t="str">
        <f>IFERROR(__xludf.DUMMYFUNCTION("""COMPUTED_VALUE"""),"Normal")</f>
        <v>Normal</v>
      </c>
      <c r="I653" s="37">
        <f>IFERROR(__xludf.DUMMYFUNCTION("""COMPUTED_VALUE"""),30291.0)</f>
        <v>30291</v>
      </c>
      <c r="J653" s="37">
        <f>IFERROR(__xludf.DUMMYFUNCTION("""COMPUTED_VALUE"""),18957.0)</f>
        <v>18957</v>
      </c>
      <c r="K653" s="37">
        <f>IFERROR(__xludf.DUMMYFUNCTION("""COMPUTED_VALUE"""),10012.0)</f>
        <v>10012</v>
      </c>
      <c r="L653" s="199">
        <f>IFERROR(__xludf.DUMMYFUNCTION("""COMPUTED_VALUE"""),6.0)</f>
        <v>6</v>
      </c>
      <c r="M653" s="199">
        <f>IFERROR(__xludf.DUMMYFUNCTION("""COMPUTED_VALUE"""),225.9)</f>
        <v>225.9</v>
      </c>
      <c r="N653" s="199"/>
      <c r="O653" s="199"/>
      <c r="P653" s="199">
        <f>IFERROR(__xludf.DUMMYFUNCTION("""COMPUTED_VALUE"""),0.003)</f>
        <v>0.003</v>
      </c>
      <c r="Q653" s="199">
        <f>IFERROR(__xludf.DUMMYFUNCTION("""COMPUTED_VALUE"""),0.0)</f>
        <v>0</v>
      </c>
      <c r="R653" s="199">
        <f>IFERROR(__xludf.DUMMYFUNCTION("""COMPUTED_VALUE"""),0.0)</f>
        <v>0</v>
      </c>
      <c r="S653" s="199">
        <f>IFERROR(__xludf.DUMMYFUNCTION("""COMPUTED_VALUE"""),0.0)</f>
        <v>0</v>
      </c>
      <c r="T653" s="199">
        <f>IFERROR(__xludf.DUMMYFUNCTION("""COMPUTED_VALUE"""),2.0)</f>
        <v>2</v>
      </c>
      <c r="U653" s="199">
        <f>IFERROR(__xludf.DUMMYFUNCTION("""COMPUTED_VALUE"""),3.0)</f>
        <v>3</v>
      </c>
      <c r="V653" s="199">
        <f>IFERROR(__xludf.DUMMYFUNCTION("""COMPUTED_VALUE"""),0.0)</f>
        <v>0</v>
      </c>
      <c r="W653" s="199">
        <f>IFERROR(__xludf.DUMMYFUNCTION("""COMPUTED_VALUE"""),0.0)</f>
        <v>0</v>
      </c>
      <c r="X653" s="199">
        <f>IFERROR(__xludf.DUMMYFUNCTION("""COMPUTED_VALUE"""),0.0)</f>
        <v>0</v>
      </c>
      <c r="Y653" s="199">
        <f>IFERROR(__xludf.DUMMYFUNCTION("""COMPUTED_VALUE"""),0.0)</f>
        <v>0</v>
      </c>
      <c r="Z653" s="199">
        <f>IFERROR(__xludf.DUMMYFUNCTION("""COMPUTED_VALUE"""),0.0)</f>
        <v>0</v>
      </c>
      <c r="AA653" s="199">
        <f>IFERROR(__xludf.DUMMYFUNCTION("""COMPUTED_VALUE"""),0.0)</f>
        <v>0</v>
      </c>
      <c r="AB653" s="199">
        <f>IFERROR(__xludf.DUMMYFUNCTION("""COMPUTED_VALUE"""),23.0)</f>
        <v>23</v>
      </c>
      <c r="AC653" s="199">
        <f>IFERROR(__xludf.DUMMYFUNCTION("""COMPUTED_VALUE"""),8.0)</f>
        <v>8</v>
      </c>
      <c r="AD653" s="199">
        <f>IFERROR(__xludf.DUMMYFUNCTION("""COMPUTED_VALUE"""),0.0)</f>
        <v>0</v>
      </c>
      <c r="AE653" s="199">
        <f>IFERROR(__xludf.DUMMYFUNCTION("""COMPUTED_VALUE"""),19.0)</f>
        <v>19</v>
      </c>
      <c r="AF653" s="199">
        <f>IFERROR(__xludf.DUMMYFUNCTION("""COMPUTED_VALUE"""),0.0)</f>
        <v>0</v>
      </c>
      <c r="AG653" s="199">
        <f>IFERROR(__xludf.DUMMYFUNCTION("""COMPUTED_VALUE"""),597.0)</f>
        <v>597</v>
      </c>
      <c r="AH653" s="199">
        <f>IFERROR(__xludf.DUMMYFUNCTION("""COMPUTED_VALUE"""),9.0)</f>
        <v>9</v>
      </c>
      <c r="AI653" s="200" t="str">
        <f>IFERROR(__xludf.DUMMYFUNCTION("""COMPUTED_VALUE"""),"Normal - No Action Required")</f>
        <v>Normal - No Action Required</v>
      </c>
      <c r="AJ653" s="200" t="str">
        <f>IFERROR(__xludf.DUMMYFUNCTION("""COMPUTED_VALUE"""),"Continue routine monitoring and sampling schedule")</f>
        <v>Continue routine monitoring and sampling schedule</v>
      </c>
      <c r="AK653" s="204"/>
      <c r="AL653" s="204"/>
      <c r="AM653" s="204"/>
    </row>
    <row r="654" hidden="1">
      <c r="A654" s="199" t="str">
        <f>IFERROR(__xludf.DUMMYFUNCTION("""COMPUTED_VALUE"""),"111.AF040 (R)")</f>
        <v>111.AF040 (R)</v>
      </c>
      <c r="B654" s="200" t="str">
        <f>IFERROR(__xludf.DUMMYFUNCTION("""COMPUTED_VALUE"""),"Clay apron feeder right gearbox")</f>
        <v>Clay apron feeder right gearbox</v>
      </c>
      <c r="C654" s="199">
        <f>IFERROR(__xludf.DUMMYFUNCTION("""COMPUTED_VALUE"""),2.612335023E10)</f>
        <v>26123350230</v>
      </c>
      <c r="D654" s="201">
        <f>IFERROR(__xludf.DUMMYFUNCTION("""COMPUTED_VALUE"""),46138.0)</f>
        <v>46138</v>
      </c>
      <c r="E654" s="202" t="str">
        <f>IFERROR(__xludf.DUMMYFUNCTION("""COMPUTED_VALUE"""),"Alert")</f>
        <v>Alert</v>
      </c>
      <c r="F654" s="202" t="str">
        <f>IFERROR(__xludf.DUMMYFUNCTION("""COMPUTED_VALUE"""),"Alert")</f>
        <v>Alert</v>
      </c>
      <c r="G654" s="203" t="str">
        <f>IFERROR(__xludf.DUMMYFUNCTION("""COMPUTED_VALUE"""),"Normal")</f>
        <v>Normal</v>
      </c>
      <c r="H654" s="203" t="str">
        <f>IFERROR(__xludf.DUMMYFUNCTION("""COMPUTED_VALUE"""),"Alert")</f>
        <v>Alert</v>
      </c>
      <c r="I654" s="37"/>
      <c r="J654" s="37"/>
      <c r="K654" s="37"/>
      <c r="L654" s="199">
        <f>IFERROR(__xludf.DUMMYFUNCTION("""COMPUTED_VALUE"""),50.0)</f>
        <v>50</v>
      </c>
      <c r="M654" s="199">
        <f>IFERROR(__xludf.DUMMYFUNCTION("""COMPUTED_VALUE"""),269.9)</f>
        <v>269.9</v>
      </c>
      <c r="N654" s="199"/>
      <c r="O654" s="199"/>
      <c r="P654" s="199">
        <f>IFERROR(__xludf.DUMMYFUNCTION("""COMPUTED_VALUE"""),0.2)</f>
        <v>0.2</v>
      </c>
      <c r="Q654" s="199">
        <f>IFERROR(__xludf.DUMMYFUNCTION("""COMPUTED_VALUE"""),0.0)</f>
        <v>0</v>
      </c>
      <c r="R654" s="199">
        <f>IFERROR(__xludf.DUMMYFUNCTION("""COMPUTED_VALUE"""),2.0)</f>
        <v>2</v>
      </c>
      <c r="S654" s="199">
        <f>IFERROR(__xludf.DUMMYFUNCTION("""COMPUTED_VALUE"""),0.0)</f>
        <v>0</v>
      </c>
      <c r="T654" s="199">
        <f>IFERROR(__xludf.DUMMYFUNCTION("""COMPUTED_VALUE"""),0.0)</f>
        <v>0</v>
      </c>
      <c r="U654" s="199">
        <f>IFERROR(__xludf.DUMMYFUNCTION("""COMPUTED_VALUE"""),66.0)</f>
        <v>66</v>
      </c>
      <c r="V654" s="199">
        <f>IFERROR(__xludf.DUMMYFUNCTION("""COMPUTED_VALUE"""),0.0)</f>
        <v>0</v>
      </c>
      <c r="W654" s="199">
        <f>IFERROR(__xludf.DUMMYFUNCTION("""COMPUTED_VALUE"""),0.0)</f>
        <v>0</v>
      </c>
      <c r="X654" s="199">
        <f>IFERROR(__xludf.DUMMYFUNCTION("""COMPUTED_VALUE"""),0.0)</f>
        <v>0</v>
      </c>
      <c r="Y654" s="199">
        <f>IFERROR(__xludf.DUMMYFUNCTION("""COMPUTED_VALUE"""),0.0)</f>
        <v>0</v>
      </c>
      <c r="Z654" s="199">
        <f>IFERROR(__xludf.DUMMYFUNCTION("""COMPUTED_VALUE"""),0.0)</f>
        <v>0</v>
      </c>
      <c r="AA654" s="199">
        <f>IFERROR(__xludf.DUMMYFUNCTION("""COMPUTED_VALUE"""),0.0)</f>
        <v>0</v>
      </c>
      <c r="AB654" s="199">
        <f>IFERROR(__xludf.DUMMYFUNCTION("""COMPUTED_VALUE"""),11.0)</f>
        <v>11</v>
      </c>
      <c r="AC654" s="199">
        <f>IFERROR(__xludf.DUMMYFUNCTION("""COMPUTED_VALUE"""),26.0)</f>
        <v>26</v>
      </c>
      <c r="AD654" s="199">
        <f>IFERROR(__xludf.DUMMYFUNCTION("""COMPUTED_VALUE"""),0.0)</f>
        <v>0</v>
      </c>
      <c r="AE654" s="199">
        <f>IFERROR(__xludf.DUMMYFUNCTION("""COMPUTED_VALUE"""),49.0)</f>
        <v>49</v>
      </c>
      <c r="AF654" s="199">
        <f>IFERROR(__xludf.DUMMYFUNCTION("""COMPUTED_VALUE"""),2.0)</f>
        <v>2</v>
      </c>
      <c r="AG654" s="199">
        <f>IFERROR(__xludf.DUMMYFUNCTION("""COMPUTED_VALUE"""),701.0)</f>
        <v>701</v>
      </c>
      <c r="AH654" s="199">
        <f>IFERROR(__xludf.DUMMYFUNCTION("""COMPUTED_VALUE"""),39.0)</f>
        <v>39</v>
      </c>
      <c r="AI654" s="200" t="str">
        <f>IFERROR(__xludf.DUMMYFUNCTION("""COMPUTED_VALUE"""),"Excessive Water / Elevated TAN / Elevated Viscosity / Unsatisfactory Oil / Particle Count Not Reported")</f>
        <v>Excessive Water / Elevated TAN / Elevated Viscosity / Unsatisfactory Oil / Particle Count Not Reported</v>
      </c>
      <c r="AJ654" s="200" t="str">
        <f>IFERROR(__xludf.DUMMYFUNCTION("""COMPUTED_VALUE"""),"ACTION REQUIRED – Excessive water (0.200 Vol%), viscosity spiked to 269.9 cSt, TAN elevated to 1.50 mg KOH/g, Fe 66 ppm. Sample heavily contaminated with visible sediment – particle count not completed. Determine water source (leaking seals, oil cooler, c"&amp;"ondensation). Remove water via centrifuge or drain and refill. Contact ExxonMobil representative urgently.")</f>
        <v>ACTION REQUIRED – Excessive water (0.200 Vol%), viscosity spiked to 269.9 cSt, TAN elevated to 1.50 mg KOH/g, Fe 66 ppm. Sample heavily contaminated with visible sediment – particle count not completed. Determine water source (leaking seals, oil cooler, condensation). Remove water via centrifuge or drain and refill. Contact ExxonMobil representative urgently.</v>
      </c>
      <c r="AK654" s="204"/>
      <c r="AL654" s="204"/>
      <c r="AM654" s="204"/>
    </row>
    <row r="655" hidden="1">
      <c r="A655" s="199" t="str">
        <f>IFERROR(__xludf.DUMMYFUNCTION("""COMPUTED_VALUE"""),"263.AF010")</f>
        <v>263.AF010</v>
      </c>
      <c r="B655" s="200" t="str">
        <f>IFERROR(__xludf.DUMMYFUNCTION("""COMPUTED_VALUE"""),"Cargo floor hydraulic tank")</f>
        <v>Cargo floor hydraulic tank</v>
      </c>
      <c r="C655" s="199">
        <f>IFERROR(__xludf.DUMMYFUNCTION("""COMPUTED_VALUE"""),2.6124405238E10)</f>
        <v>26124405238</v>
      </c>
      <c r="D655" s="201">
        <f>IFERROR(__xludf.DUMMYFUNCTION("""COMPUTED_VALUE"""),46138.0)</f>
        <v>46138</v>
      </c>
      <c r="E655" s="202" t="str">
        <f>IFERROR(__xludf.DUMMYFUNCTION("""COMPUTED_VALUE"""),"Alert")</f>
        <v>Alert</v>
      </c>
      <c r="F655" s="202" t="str">
        <f>IFERROR(__xludf.DUMMYFUNCTION("""COMPUTED_VALUE"""),"Alert")</f>
        <v>Alert</v>
      </c>
      <c r="G655" s="203" t="str">
        <f>IFERROR(__xludf.DUMMYFUNCTION("""COMPUTED_VALUE"""),"Alert")</f>
        <v>Alert</v>
      </c>
      <c r="H655" s="203" t="str">
        <f>IFERROR(__xludf.DUMMYFUNCTION("""COMPUTED_VALUE"""),"Alert")</f>
        <v>Alert</v>
      </c>
      <c r="I655" s="37"/>
      <c r="J655" s="37"/>
      <c r="K655" s="37"/>
      <c r="L655" s="199">
        <f>IFERROR(__xludf.DUMMYFUNCTION("""COMPUTED_VALUE"""),48.0)</f>
        <v>48</v>
      </c>
      <c r="M655" s="199">
        <f>IFERROR(__xludf.DUMMYFUNCTION("""COMPUTED_VALUE"""),215.5)</f>
        <v>215.5</v>
      </c>
      <c r="N655" s="199"/>
      <c r="O655" s="199">
        <f>IFERROR(__xludf.DUMMYFUNCTION("""COMPUTED_VALUE"""),13.0)</f>
        <v>13</v>
      </c>
      <c r="P655" s="199">
        <f>IFERROR(__xludf.DUMMYFUNCTION("""COMPUTED_VALUE"""),0.1)</f>
        <v>0.1</v>
      </c>
      <c r="Q655" s="199">
        <f>IFERROR(__xludf.DUMMYFUNCTION("""COMPUTED_VALUE"""),0.0)</f>
        <v>0</v>
      </c>
      <c r="R655" s="199">
        <f>IFERROR(__xludf.DUMMYFUNCTION("""COMPUTED_VALUE"""),0.0)</f>
        <v>0</v>
      </c>
      <c r="S655" s="199">
        <f>IFERROR(__xludf.DUMMYFUNCTION("""COMPUTED_VALUE"""),0.0)</f>
        <v>0</v>
      </c>
      <c r="T655" s="199">
        <f>IFERROR(__xludf.DUMMYFUNCTION("""COMPUTED_VALUE"""),0.0)</f>
        <v>0</v>
      </c>
      <c r="U655" s="199">
        <f>IFERROR(__xludf.DUMMYFUNCTION("""COMPUTED_VALUE"""),75.0)</f>
        <v>75</v>
      </c>
      <c r="V655" s="199">
        <f>IFERROR(__xludf.DUMMYFUNCTION("""COMPUTED_VALUE"""),0.0)</f>
        <v>0</v>
      </c>
      <c r="W655" s="199">
        <f>IFERROR(__xludf.DUMMYFUNCTION("""COMPUTED_VALUE"""),0.0)</f>
        <v>0</v>
      </c>
      <c r="X655" s="199">
        <f>IFERROR(__xludf.DUMMYFUNCTION("""COMPUTED_VALUE"""),0.0)</f>
        <v>0</v>
      </c>
      <c r="Y655" s="199">
        <f>IFERROR(__xludf.DUMMYFUNCTION("""COMPUTED_VALUE"""),0.0)</f>
        <v>0</v>
      </c>
      <c r="Z655" s="199">
        <f>IFERROR(__xludf.DUMMYFUNCTION("""COMPUTED_VALUE"""),0.0)</f>
        <v>0</v>
      </c>
      <c r="AA655" s="199">
        <f>IFERROR(__xludf.DUMMYFUNCTION("""COMPUTED_VALUE"""),0.0)</f>
        <v>0</v>
      </c>
      <c r="AB655" s="199">
        <f>IFERROR(__xludf.DUMMYFUNCTION("""COMPUTED_VALUE"""),11.0)</f>
        <v>11</v>
      </c>
      <c r="AC655" s="199">
        <f>IFERROR(__xludf.DUMMYFUNCTION("""COMPUTED_VALUE"""),12.0)</f>
        <v>12</v>
      </c>
      <c r="AD655" s="199">
        <f>IFERROR(__xludf.DUMMYFUNCTION("""COMPUTED_VALUE"""),0.0)</f>
        <v>0</v>
      </c>
      <c r="AE655" s="199">
        <f>IFERROR(__xludf.DUMMYFUNCTION("""COMPUTED_VALUE"""),42.0)</f>
        <v>42</v>
      </c>
      <c r="AF655" s="199">
        <f>IFERROR(__xludf.DUMMYFUNCTION("""COMPUTED_VALUE"""),2.0)</f>
        <v>2</v>
      </c>
      <c r="AG655" s="199">
        <f>IFERROR(__xludf.DUMMYFUNCTION("""COMPUTED_VALUE"""),545.0)</f>
        <v>545</v>
      </c>
      <c r="AH655" s="199">
        <f>IFERROR(__xludf.DUMMYFUNCTION("""COMPUTED_VALUE"""),19.0)</f>
        <v>19</v>
      </c>
      <c r="AI655" s="200" t="str">
        <f>IFERROR(__xludf.DUMMYFUNCTION("""COMPUTED_VALUE"""),"Excessive Iron / Excessive Oxidation / Elevated Viscosity / Excessive Water / Unsatisfactory Oil / Particle Count Not Reported")</f>
        <v>Excessive Iron / Excessive Oxidation / Elevated Viscosity / Excessive Water / Unsatisfactory Oil / Particle Count Not Reported</v>
      </c>
      <c r="AJ655" s="200" t="str">
        <f>IFERROR(__xludf.DUMMYFUNCTION("""COMPUTED_VALUE"""),"ACTION REQUIRED – Fe 75 ppm (excessive wear), viscosity spiked to 215.5 cSt, oxidation 13 Ab/cm (excessive), water 0.100 Vol%, PQ Index 48. Sample heavily contaminated – particle count not completed. Change filter immediately. Drain and replace oil. Inspe"&amp;"ct equipment for internal damage. Contact ExxonMobil representative urgently.")</f>
        <v>ACTION REQUIRED – Fe 75 ppm (excessive wear), viscosity spiked to 215.5 cSt, oxidation 13 Ab/cm (excessive), water 0.100 Vol%, PQ Index 48. Sample heavily contaminated – particle count not completed. Change filter immediately. Drain and replace oil. Inspect equipment for internal damage. Contact ExxonMobil representative urgently.</v>
      </c>
      <c r="AK655" s="204"/>
      <c r="AL655" s="204"/>
      <c r="AM655" s="204"/>
    </row>
    <row r="656" hidden="1">
      <c r="A656" s="199" t="str">
        <f>IFERROR(__xludf.DUMMYFUNCTION("""COMPUTED_VALUE"""),"321.FN400(Fx.B)")</f>
        <v>321.FN400(Fx.B)</v>
      </c>
      <c r="B656" s="200" t="str">
        <f>IFERROR(__xludf.DUMMYFUNCTION("""COMPUTED_VALUE"""),"Raw Mill fan fixed bearing")</f>
        <v>Raw Mill fan fixed bearing</v>
      </c>
      <c r="C656" s="199">
        <f>IFERROR(__xludf.DUMMYFUNCTION("""COMPUTED_VALUE"""),2.6123350232E10)</f>
        <v>26123350232</v>
      </c>
      <c r="D656" s="201">
        <f>IFERROR(__xludf.DUMMYFUNCTION("""COMPUTED_VALUE"""),46138.0)</f>
        <v>46138</v>
      </c>
      <c r="E656" s="202" t="str">
        <f>IFERROR(__xludf.DUMMYFUNCTION("""COMPUTED_VALUE"""),"Alert")</f>
        <v>Alert</v>
      </c>
      <c r="F656" s="202" t="str">
        <f>IFERROR(__xludf.DUMMYFUNCTION("""COMPUTED_VALUE"""),"Normal")</f>
        <v>Normal</v>
      </c>
      <c r="G656" s="203" t="str">
        <f>IFERROR(__xludf.DUMMYFUNCTION("""COMPUTED_VALUE"""),"Normal")</f>
        <v>Normal</v>
      </c>
      <c r="H656" s="203" t="str">
        <f>IFERROR(__xludf.DUMMYFUNCTION("""COMPUTED_VALUE"""),"Alert")</f>
        <v>Alert</v>
      </c>
      <c r="I656" s="37">
        <f>IFERROR(__xludf.DUMMYFUNCTION("""COMPUTED_VALUE"""),8914.0)</f>
        <v>8914</v>
      </c>
      <c r="J656" s="37">
        <f>IFERROR(__xludf.DUMMYFUNCTION("""COMPUTED_VALUE"""),2160.0)</f>
        <v>2160</v>
      </c>
      <c r="K656" s="37">
        <f>IFERROR(__xludf.DUMMYFUNCTION("""COMPUTED_VALUE"""),894.0)</f>
        <v>894</v>
      </c>
      <c r="L656" s="199">
        <f>IFERROR(__xludf.DUMMYFUNCTION("""COMPUTED_VALUE"""),4.0)</f>
        <v>4</v>
      </c>
      <c r="M656" s="199">
        <f>IFERROR(__xludf.DUMMYFUNCTION("""COMPUTED_VALUE"""),45.7)</f>
        <v>45.7</v>
      </c>
      <c r="N656" s="199"/>
      <c r="O656" s="199">
        <f>IFERROR(__xludf.DUMMYFUNCTION("""COMPUTED_VALUE"""),0.0)</f>
        <v>0</v>
      </c>
      <c r="P656" s="199">
        <f>IFERROR(__xludf.DUMMYFUNCTION("""COMPUTED_VALUE"""),0.003)</f>
        <v>0.003</v>
      </c>
      <c r="Q656" s="199">
        <f>IFERROR(__xludf.DUMMYFUNCTION("""COMPUTED_VALUE"""),0.0)</f>
        <v>0</v>
      </c>
      <c r="R656" s="199">
        <f>IFERROR(__xludf.DUMMYFUNCTION("""COMPUTED_VALUE"""),0.0)</f>
        <v>0</v>
      </c>
      <c r="S656" s="199">
        <f>IFERROR(__xludf.DUMMYFUNCTION("""COMPUTED_VALUE"""),0.0)</f>
        <v>0</v>
      </c>
      <c r="T656" s="199">
        <f>IFERROR(__xludf.DUMMYFUNCTION("""COMPUTED_VALUE"""),4.0)</f>
        <v>4</v>
      </c>
      <c r="U656" s="199">
        <f>IFERROR(__xludf.DUMMYFUNCTION("""COMPUTED_VALUE"""),3.0)</f>
        <v>3</v>
      </c>
      <c r="V656" s="199">
        <f>IFERROR(__xludf.DUMMYFUNCTION("""COMPUTED_VALUE"""),0.0)</f>
        <v>0</v>
      </c>
      <c r="W656" s="199">
        <f>IFERROR(__xludf.DUMMYFUNCTION("""COMPUTED_VALUE"""),0.0)</f>
        <v>0</v>
      </c>
      <c r="X656" s="199">
        <f>IFERROR(__xludf.DUMMYFUNCTION("""COMPUTED_VALUE"""),0.0)</f>
        <v>0</v>
      </c>
      <c r="Y656" s="199">
        <f>IFERROR(__xludf.DUMMYFUNCTION("""COMPUTED_VALUE"""),0.0)</f>
        <v>0</v>
      </c>
      <c r="Z656" s="199">
        <f>IFERROR(__xludf.DUMMYFUNCTION("""COMPUTED_VALUE"""),0.0)</f>
        <v>0</v>
      </c>
      <c r="AA656" s="199">
        <f>IFERROR(__xludf.DUMMYFUNCTION("""COMPUTED_VALUE"""),0.0)</f>
        <v>0</v>
      </c>
      <c r="AB656" s="199">
        <f>IFERROR(__xludf.DUMMYFUNCTION("""COMPUTED_VALUE"""),0.0)</f>
        <v>0</v>
      </c>
      <c r="AC656" s="199">
        <f>IFERROR(__xludf.DUMMYFUNCTION("""COMPUTED_VALUE"""),10.0)</f>
        <v>10</v>
      </c>
      <c r="AD656" s="199">
        <f>IFERROR(__xludf.DUMMYFUNCTION("""COMPUTED_VALUE"""),0.0)</f>
        <v>0</v>
      </c>
      <c r="AE656" s="199">
        <f>IFERROR(__xludf.DUMMYFUNCTION("""COMPUTED_VALUE"""),133.0)</f>
        <v>133</v>
      </c>
      <c r="AF656" s="199">
        <f>IFERROR(__xludf.DUMMYFUNCTION("""COMPUTED_VALUE"""),0.0)</f>
        <v>0</v>
      </c>
      <c r="AG656" s="199">
        <f>IFERROR(__xludf.DUMMYFUNCTION("""COMPUTED_VALUE"""),415.0)</f>
        <v>415</v>
      </c>
      <c r="AH656" s="199">
        <f>IFERROR(__xludf.DUMMYFUNCTION("""COMPUTED_VALUE"""),652.0)</f>
        <v>652</v>
      </c>
      <c r="AI656" s="200" t="str">
        <f>IFERROR(__xludf.DUMMYFUNCTION("""COMPUTED_VALUE"""),"Reduced Oil Viscosity / Unsatisfactory Oil")</f>
        <v>Reduced Oil Viscosity / Unsatisfactory Oil</v>
      </c>
      <c r="AJ656" s="200" t="str">
        <f>IFERROR(__xludf.DUMMYFUNCTION("""COMPUTED_VALUE"""),"ACTION REQUIRED – Viscosity dropped to 45.7 cSt (expected ~68 cSt for MOBIL DTE 26). ISO Code 20/18/17. Possible fuel/solvent contamination or wrong oil fill. Inspect seals. Resample after corrective action. If condition continues, recharge system with ne"&amp;"w oil.")</f>
        <v>ACTION REQUIRED – Viscosity dropped to 45.7 cSt (expected ~68 cSt for MOBIL DTE 26). ISO Code 20/18/17. Possible fuel/solvent contamination or wrong oil fill. Inspect seals. Resample after corrective action. If condition continues, recharge system with new oil.</v>
      </c>
      <c r="AK656" s="204"/>
      <c r="AL656" s="204"/>
      <c r="AM656" s="204"/>
    </row>
    <row r="657" hidden="1">
      <c r="A657" s="199" t="str">
        <f>IFERROR(__xludf.DUMMYFUNCTION("""COMPUTED_VALUE"""),"R2.322.FN400(Fr.B)")</f>
        <v>R2.322.FN400(Fr.B)</v>
      </c>
      <c r="B657" s="200" t="str">
        <f>IFERROR(__xludf.DUMMYFUNCTION("""COMPUTED_VALUE"""),"Final fan free bearing")</f>
        <v>Final fan free bearing</v>
      </c>
      <c r="C657" s="199">
        <f>IFERROR(__xludf.DUMMYFUNCTION("""COMPUTED_VALUE"""),2.6124405202E10)</f>
        <v>26124405202</v>
      </c>
      <c r="D657" s="201">
        <f>IFERROR(__xludf.DUMMYFUNCTION("""COMPUTED_VALUE"""),46138.0)</f>
        <v>46138</v>
      </c>
      <c r="E657" s="202" t="str">
        <f>IFERROR(__xludf.DUMMYFUNCTION("""COMPUTED_VALUE"""),"Alert")</f>
        <v>Alert</v>
      </c>
      <c r="F657" s="202" t="str">
        <f>IFERROR(__xludf.DUMMYFUNCTION("""COMPUTED_VALUE"""),"Normal")</f>
        <v>Normal</v>
      </c>
      <c r="G657" s="203" t="str">
        <f>IFERROR(__xludf.DUMMYFUNCTION("""COMPUTED_VALUE"""),"Normal")</f>
        <v>Normal</v>
      </c>
      <c r="H657" s="203" t="str">
        <f>IFERROR(__xludf.DUMMYFUNCTION("""COMPUTED_VALUE"""),"Alert")</f>
        <v>Alert</v>
      </c>
      <c r="I657" s="37">
        <f>IFERROR(__xludf.DUMMYFUNCTION("""COMPUTED_VALUE"""),8914.0)</f>
        <v>8914</v>
      </c>
      <c r="J657" s="37">
        <f>IFERROR(__xludf.DUMMYFUNCTION("""COMPUTED_VALUE"""),3607.0)</f>
        <v>3607</v>
      </c>
      <c r="K657" s="37">
        <f>IFERROR(__xludf.DUMMYFUNCTION("""COMPUTED_VALUE"""),912.0)</f>
        <v>912</v>
      </c>
      <c r="L657" s="199">
        <f>IFERROR(__xludf.DUMMYFUNCTION("""COMPUTED_VALUE"""),9.0)</f>
        <v>9</v>
      </c>
      <c r="M657" s="199">
        <f>IFERROR(__xludf.DUMMYFUNCTION("""COMPUTED_VALUE"""),45.2)</f>
        <v>45.2</v>
      </c>
      <c r="N657" s="199"/>
      <c r="O657" s="199">
        <f>IFERROR(__xludf.DUMMYFUNCTION("""COMPUTED_VALUE"""),2.0)</f>
        <v>2</v>
      </c>
      <c r="P657" s="199">
        <f>IFERROR(__xludf.DUMMYFUNCTION("""COMPUTED_VALUE"""),0.003)</f>
        <v>0.003</v>
      </c>
      <c r="Q657" s="199">
        <f>IFERROR(__xludf.DUMMYFUNCTION("""COMPUTED_VALUE"""),0.0)</f>
        <v>0</v>
      </c>
      <c r="R657" s="199">
        <f>IFERROR(__xludf.DUMMYFUNCTION("""COMPUTED_VALUE"""),0.0)</f>
        <v>0</v>
      </c>
      <c r="S657" s="199">
        <f>IFERROR(__xludf.DUMMYFUNCTION("""COMPUTED_VALUE"""),0.0)</f>
        <v>0</v>
      </c>
      <c r="T657" s="199">
        <f>IFERROR(__xludf.DUMMYFUNCTION("""COMPUTED_VALUE"""),0.0)</f>
        <v>0</v>
      </c>
      <c r="U657" s="199">
        <f>IFERROR(__xludf.DUMMYFUNCTION("""COMPUTED_VALUE"""),4.0)</f>
        <v>4</v>
      </c>
      <c r="V657" s="199">
        <f>IFERROR(__xludf.DUMMYFUNCTION("""COMPUTED_VALUE"""),0.0)</f>
        <v>0</v>
      </c>
      <c r="W657" s="199">
        <f>IFERROR(__xludf.DUMMYFUNCTION("""COMPUTED_VALUE"""),0.0)</f>
        <v>0</v>
      </c>
      <c r="X657" s="199">
        <f>IFERROR(__xludf.DUMMYFUNCTION("""COMPUTED_VALUE"""),0.0)</f>
        <v>0</v>
      </c>
      <c r="Y657" s="199">
        <f>IFERROR(__xludf.DUMMYFUNCTION("""COMPUTED_VALUE"""),0.0)</f>
        <v>0</v>
      </c>
      <c r="Z657" s="199">
        <f>IFERROR(__xludf.DUMMYFUNCTION("""COMPUTED_VALUE"""),0.0)</f>
        <v>0</v>
      </c>
      <c r="AA657" s="199">
        <f>IFERROR(__xludf.DUMMYFUNCTION("""COMPUTED_VALUE"""),0.0)</f>
        <v>0</v>
      </c>
      <c r="AB657" s="199">
        <f>IFERROR(__xludf.DUMMYFUNCTION("""COMPUTED_VALUE"""),0.0)</f>
        <v>0</v>
      </c>
      <c r="AC657" s="199">
        <f>IFERROR(__xludf.DUMMYFUNCTION("""COMPUTED_VALUE"""),10.0)</f>
        <v>10</v>
      </c>
      <c r="AD657" s="199">
        <f>IFERROR(__xludf.DUMMYFUNCTION("""COMPUTED_VALUE"""),0.0)</f>
        <v>0</v>
      </c>
      <c r="AE657" s="199">
        <f>IFERROR(__xludf.DUMMYFUNCTION("""COMPUTED_VALUE"""),118.0)</f>
        <v>118</v>
      </c>
      <c r="AF657" s="199">
        <f>IFERROR(__xludf.DUMMYFUNCTION("""COMPUTED_VALUE"""),0.0)</f>
        <v>0</v>
      </c>
      <c r="AG657" s="199">
        <f>IFERROR(__xludf.DUMMYFUNCTION("""COMPUTED_VALUE"""),451.0)</f>
        <v>451</v>
      </c>
      <c r="AH657" s="199">
        <f>IFERROR(__xludf.DUMMYFUNCTION("""COMPUTED_VALUE"""),638.0)</f>
        <v>638</v>
      </c>
      <c r="AI657" s="200" t="str">
        <f>IFERROR(__xludf.DUMMYFUNCTION("""COMPUTED_VALUE"""),"Reduced Oil Viscosity / Unsatisfactory Oil / Increasing Oxidation")</f>
        <v>Reduced Oil Viscosity / Unsatisfactory Oil / Increasing Oxidation</v>
      </c>
      <c r="AJ657" s="200" t="str">
        <f>IFERROR(__xludf.DUMMYFUNCTION("""COMPUTED_VALUE"""),"ACTION REQUIRED – Viscosity still low (45.2 cSt) with oxidation increasing (2 Ab/cm). ISO Code 20/19/17. Recurring viscosity issue – wrong oil likely being used for top-ups. Full drain and refill with correct MOBIL DTE OIL HEAVY MEDIUM strongly recommende"&amp;"d. Verify procurement and top-up procedures.")</f>
        <v>ACTION REQUIRED – Viscosity still low (45.2 cSt) with oxidation increasing (2 Ab/cm). ISO Code 20/19/17. Recurring viscosity issue – wrong oil likely being used for top-ups. Full drain and refill with correct MOBIL DTE OIL HEAVY MEDIUM strongly recommended. Verify procurement and top-up procedures.</v>
      </c>
      <c r="AK657" s="204"/>
      <c r="AL657" s="204"/>
      <c r="AM657" s="204"/>
    </row>
    <row r="658" hidden="1">
      <c r="A658" s="199" t="str">
        <f>IFERROR(__xludf.DUMMYFUNCTION("""COMPUTED_VALUE"""),"352.BE340 R")</f>
        <v>352.BE340 R</v>
      </c>
      <c r="B658" s="200" t="str">
        <f>IFERROR(__xludf.DUMMYFUNCTION("""COMPUTED_VALUE"""),"Bucket Elevator GB - R")</f>
        <v>Bucket Elevator GB - R</v>
      </c>
      <c r="C658" s="199">
        <f>IFERROR(__xludf.DUMMYFUNCTION("""COMPUTED_VALUE"""),2.6124405247E10)</f>
        <v>26124405247</v>
      </c>
      <c r="D658" s="201">
        <f>IFERROR(__xludf.DUMMYFUNCTION("""COMPUTED_VALUE"""),46138.0)</f>
        <v>46138</v>
      </c>
      <c r="E658" s="202" t="str">
        <f>IFERROR(__xludf.DUMMYFUNCTION("""COMPUTED_VALUE"""),"Alert")</f>
        <v>Alert</v>
      </c>
      <c r="F658" s="202" t="str">
        <f>IFERROR(__xludf.DUMMYFUNCTION("""COMPUTED_VALUE"""),"Alert")</f>
        <v>Alert</v>
      </c>
      <c r="G658" s="203" t="str">
        <f>IFERROR(__xludf.DUMMYFUNCTION("""COMPUTED_VALUE"""),"Normal")</f>
        <v>Normal</v>
      </c>
      <c r="H658" s="203" t="str">
        <f>IFERROR(__xludf.DUMMYFUNCTION("""COMPUTED_VALUE"""),"Caution")</f>
        <v>Caution</v>
      </c>
      <c r="I658" s="37"/>
      <c r="J658" s="37"/>
      <c r="K658" s="37"/>
      <c r="L658" s="199">
        <f>IFERROR(__xludf.DUMMYFUNCTION("""COMPUTED_VALUE"""),20.0)</f>
        <v>20</v>
      </c>
      <c r="M658" s="199">
        <f>IFERROR(__xludf.DUMMYFUNCTION("""COMPUTED_VALUE"""),313.9)</f>
        <v>313.9</v>
      </c>
      <c r="N658" s="199"/>
      <c r="O658" s="199"/>
      <c r="P658" s="199">
        <f>IFERROR(__xludf.DUMMYFUNCTION("""COMPUTED_VALUE"""),0.2)</f>
        <v>0.2</v>
      </c>
      <c r="Q658" s="199">
        <f>IFERROR(__xludf.DUMMYFUNCTION("""COMPUTED_VALUE"""),0.0)</f>
        <v>0</v>
      </c>
      <c r="R658" s="199">
        <f>IFERROR(__xludf.DUMMYFUNCTION("""COMPUTED_VALUE"""),0.0)</f>
        <v>0</v>
      </c>
      <c r="S658" s="199">
        <f>IFERROR(__xludf.DUMMYFUNCTION("""COMPUTED_VALUE"""),0.0)</f>
        <v>0</v>
      </c>
      <c r="T658" s="199">
        <f>IFERROR(__xludf.DUMMYFUNCTION("""COMPUTED_VALUE"""),0.0)</f>
        <v>0</v>
      </c>
      <c r="U658" s="199">
        <f>IFERROR(__xludf.DUMMYFUNCTION("""COMPUTED_VALUE"""),77.0)</f>
        <v>77</v>
      </c>
      <c r="V658" s="199">
        <f>IFERROR(__xludf.DUMMYFUNCTION("""COMPUTED_VALUE"""),0.0)</f>
        <v>0</v>
      </c>
      <c r="W658" s="199">
        <f>IFERROR(__xludf.DUMMYFUNCTION("""COMPUTED_VALUE"""),0.0)</f>
        <v>0</v>
      </c>
      <c r="X658" s="199">
        <f>IFERROR(__xludf.DUMMYFUNCTION("""COMPUTED_VALUE"""),0.0)</f>
        <v>0</v>
      </c>
      <c r="Y658" s="199">
        <f>IFERROR(__xludf.DUMMYFUNCTION("""COMPUTED_VALUE"""),0.0)</f>
        <v>0</v>
      </c>
      <c r="Z658" s="199">
        <f>IFERROR(__xludf.DUMMYFUNCTION("""COMPUTED_VALUE"""),0.0)</f>
        <v>0</v>
      </c>
      <c r="AA658" s="199">
        <f>IFERROR(__xludf.DUMMYFUNCTION("""COMPUTED_VALUE"""),0.0)</f>
        <v>0</v>
      </c>
      <c r="AB658" s="199">
        <f>IFERROR(__xludf.DUMMYFUNCTION("""COMPUTED_VALUE"""),47.0)</f>
        <v>47</v>
      </c>
      <c r="AC658" s="199">
        <f>IFERROR(__xludf.DUMMYFUNCTION("""COMPUTED_VALUE"""),12.0)</f>
        <v>12</v>
      </c>
      <c r="AD658" s="199">
        <f>IFERROR(__xludf.DUMMYFUNCTION("""COMPUTED_VALUE"""),0.0)</f>
        <v>0</v>
      </c>
      <c r="AE658" s="199">
        <f>IFERROR(__xludf.DUMMYFUNCTION("""COMPUTED_VALUE"""),21.0)</f>
        <v>21</v>
      </c>
      <c r="AF658" s="199">
        <f>IFERROR(__xludf.DUMMYFUNCTION("""COMPUTED_VALUE"""),0.0)</f>
        <v>0</v>
      </c>
      <c r="AG658" s="199">
        <f>IFERROR(__xludf.DUMMYFUNCTION("""COMPUTED_VALUE"""),359.0)</f>
        <v>359</v>
      </c>
      <c r="AH658" s="199">
        <f>IFERROR(__xludf.DUMMYFUNCTION("""COMPUTED_VALUE"""),26.0)</f>
        <v>26</v>
      </c>
      <c r="AI658" s="200" t="str">
        <f>IFERROR(__xludf.DUMMYFUNCTION("""COMPUTED_VALUE"""),"Elevated Si / Excessive Water / Elevated TAN / Excessive Fe / Unsatisfactory Oil / Particle Count Not Reported")</f>
        <v>Elevated Si / Excessive Water / Elevated TAN / Excessive Fe / Unsatisfactory Oil / Particle Count Not Reported</v>
      </c>
      <c r="AJ658" s="200" t="str">
        <f>IFERROR(__xludf.DUMMYFUNCTION("""COMPUTED_VALUE"""),"ACTION REQUIRED – Si 47 ppm (abrasive dirt ingress), water 0.200 Vol%, Fe 77 ppm (excessive), TAN 1.50 mg KOH/g. Sample heavily contaminated with visible sediment – particle count not completed. Inspect air filters, breather, seals. Remove water via dehyd"&amp;"ration unit. Change oil immediately. Contact ExxonMobil representative urgently.")</f>
        <v>ACTION REQUIRED – Si 47 ppm (abrasive dirt ingress), water 0.200 Vol%, Fe 77 ppm (excessive), TAN 1.50 mg KOH/g. Sample heavily contaminated with visible sediment – particle count not completed. Inspect air filters, breather, seals. Remove water via dehydration unit. Change oil immediately. Contact ExxonMobil representative urgently.</v>
      </c>
      <c r="AK658" s="204"/>
      <c r="AL658" s="204"/>
      <c r="AM658" s="204"/>
    </row>
    <row r="659" hidden="1">
      <c r="A659" s="199" t="str">
        <f>IFERROR(__xludf.DUMMYFUNCTION("""COMPUTED_VALUE"""),"111.AF040 (L)")</f>
        <v>111.AF040 (L)</v>
      </c>
      <c r="B659" s="200" t="str">
        <f>IFERROR(__xludf.DUMMYFUNCTION("""COMPUTED_VALUE"""),"Clay apron feeder left geared motor")</f>
        <v>Clay apron feeder left geared motor</v>
      </c>
      <c r="C659" s="199">
        <f>IFERROR(__xludf.DUMMYFUNCTION("""COMPUTED_VALUE"""),2.6124405207E10)</f>
        <v>26124405207</v>
      </c>
      <c r="D659" s="201">
        <f>IFERROR(__xludf.DUMMYFUNCTION("""COMPUTED_VALUE"""),46138.0)</f>
        <v>46138</v>
      </c>
      <c r="E659" s="202" t="str">
        <f>IFERROR(__xludf.DUMMYFUNCTION("""COMPUTED_VALUE"""),"Caution")</f>
        <v>Caution</v>
      </c>
      <c r="F659" s="202" t="str">
        <f>IFERROR(__xludf.DUMMYFUNCTION("""COMPUTED_VALUE"""),"Caution")</f>
        <v>Caution</v>
      </c>
      <c r="G659" s="203" t="str">
        <f>IFERROR(__xludf.DUMMYFUNCTION("""COMPUTED_VALUE"""),"Normal")</f>
        <v>Normal</v>
      </c>
      <c r="H659" s="203" t="str">
        <f>IFERROR(__xludf.DUMMYFUNCTION("""COMPUTED_VALUE"""),"Normal")</f>
        <v>Normal</v>
      </c>
      <c r="I659" s="199">
        <f>IFERROR(__xludf.DUMMYFUNCTION("""COMPUTED_VALUE"""),31900.0)</f>
        <v>31900</v>
      </c>
      <c r="J659" s="199">
        <f>IFERROR(__xludf.DUMMYFUNCTION("""COMPUTED_VALUE"""),19089.0)</f>
        <v>19089</v>
      </c>
      <c r="K659" s="199">
        <f>IFERROR(__xludf.DUMMYFUNCTION("""COMPUTED_VALUE"""),6160.0)</f>
        <v>6160</v>
      </c>
      <c r="L659" s="199">
        <f>IFERROR(__xludf.DUMMYFUNCTION("""COMPUTED_VALUE"""),6.0)</f>
        <v>6</v>
      </c>
      <c r="M659" s="199">
        <f>IFERROR(__xludf.DUMMYFUNCTION("""COMPUTED_VALUE"""),222.3)</f>
        <v>222.3</v>
      </c>
      <c r="N659" s="199">
        <f>IFERROR(__xludf.DUMMYFUNCTION("""COMPUTED_VALUE"""),1.26)</f>
        <v>1.26</v>
      </c>
      <c r="O659" s="199"/>
      <c r="P659" s="199">
        <f>IFERROR(__xludf.DUMMYFUNCTION("""COMPUTED_VALUE"""),0.01)</f>
        <v>0.01</v>
      </c>
      <c r="Q659" s="199">
        <f>IFERROR(__xludf.DUMMYFUNCTION("""COMPUTED_VALUE"""),0.0)</f>
        <v>0</v>
      </c>
      <c r="R659" s="199">
        <f>IFERROR(__xludf.DUMMYFUNCTION("""COMPUTED_VALUE"""),0.0)</f>
        <v>0</v>
      </c>
      <c r="S659" s="199">
        <f>IFERROR(__xludf.DUMMYFUNCTION("""COMPUTED_VALUE"""),0.0)</f>
        <v>0</v>
      </c>
      <c r="T659" s="199">
        <f>IFERROR(__xludf.DUMMYFUNCTION("""COMPUTED_VALUE"""),0.0)</f>
        <v>0</v>
      </c>
      <c r="U659" s="199">
        <f>IFERROR(__xludf.DUMMYFUNCTION("""COMPUTED_VALUE"""),15.0)</f>
        <v>15</v>
      </c>
      <c r="V659" s="199">
        <f>IFERROR(__xludf.DUMMYFUNCTION("""COMPUTED_VALUE"""),0.0)</f>
        <v>0</v>
      </c>
      <c r="W659" s="199">
        <f>IFERROR(__xludf.DUMMYFUNCTION("""COMPUTED_VALUE"""),0.0)</f>
        <v>0</v>
      </c>
      <c r="X659" s="199">
        <f>IFERROR(__xludf.DUMMYFUNCTION("""COMPUTED_VALUE"""),0.0)</f>
        <v>0</v>
      </c>
      <c r="Y659" s="199">
        <f>IFERROR(__xludf.DUMMYFUNCTION("""COMPUTED_VALUE"""),0.0)</f>
        <v>0</v>
      </c>
      <c r="Z659" s="199">
        <f>IFERROR(__xludf.DUMMYFUNCTION("""COMPUTED_VALUE"""),0.0)</f>
        <v>0</v>
      </c>
      <c r="AA659" s="199">
        <f>IFERROR(__xludf.DUMMYFUNCTION("""COMPUTED_VALUE"""),0.0)</f>
        <v>0</v>
      </c>
      <c r="AB659" s="199">
        <f>IFERROR(__xludf.DUMMYFUNCTION("""COMPUTED_VALUE"""),35.0)</f>
        <v>35</v>
      </c>
      <c r="AC659" s="199">
        <f>IFERROR(__xludf.DUMMYFUNCTION("""COMPUTED_VALUE"""),17.0)</f>
        <v>17</v>
      </c>
      <c r="AD659" s="199">
        <f>IFERROR(__xludf.DUMMYFUNCTION("""COMPUTED_VALUE"""),0.0)</f>
        <v>0</v>
      </c>
      <c r="AE659" s="199">
        <f>IFERROR(__xludf.DUMMYFUNCTION("""COMPUTED_VALUE"""),16.0)</f>
        <v>16</v>
      </c>
      <c r="AF659" s="199">
        <f>IFERROR(__xludf.DUMMYFUNCTION("""COMPUTED_VALUE"""),0.0)</f>
        <v>0</v>
      </c>
      <c r="AG659" s="199">
        <f>IFERROR(__xludf.DUMMYFUNCTION("""COMPUTED_VALUE"""),471.0)</f>
        <v>471</v>
      </c>
      <c r="AH659" s="199">
        <f>IFERROR(__xludf.DUMMYFUNCTION("""COMPUTED_VALUE"""),11.0)</f>
        <v>11</v>
      </c>
      <c r="AI659" s="200" t="str">
        <f>IFERROR(__xludf.DUMMYFUNCTION("""COMPUTED_VALUE"""),"Caution – Elevated Si / Particle Count High")</f>
        <v>Caution – Elevated Si / Particle Count High</v>
      </c>
      <c r="AJ659" s="200" t="str">
        <f>IFERROR(__xludf.DUMMYFUNCTION("""COMPUTED_VALUE"""),"CAUTION – Si 35 ppm (elevated – possible abrasive contamination). ISO 22/21/20, particle count rising (31900 @4µm). TAN 1.26 mg KOH/g. Inspect seals, breathers, and fill caps for dirt ingress. Monitor closely. Change oil immediately if Si escalates. Conta"&amp;"ct ExxonMobil representative if necessary.")</f>
        <v>CAUTION – Si 35 ppm (elevated – possible abrasive contamination). ISO 22/21/20, particle count rising (31900 @4µm). TAN 1.26 mg KOH/g. Inspect seals, breathers, and fill caps for dirt ingress. Monitor closely. Change oil immediately if Si escalates. Contact ExxonMobil representative if necessary.</v>
      </c>
      <c r="AK659" s="204"/>
      <c r="AL659" s="204"/>
      <c r="AM659" s="204"/>
    </row>
    <row r="660" hidden="1">
      <c r="A660" s="199" t="str">
        <f>IFERROR(__xludf.DUMMYFUNCTION("""COMPUTED_VALUE"""),"111.BC330 (L1)")</f>
        <v>111.BC330 (L1)</v>
      </c>
      <c r="B660" s="200" t="str">
        <f>IFERROR(__xludf.DUMMYFUNCTION("""COMPUTED_VALUE"""),"Belt conveyor first left Gearbox")</f>
        <v>Belt conveyor first left Gearbox</v>
      </c>
      <c r="C660" s="199">
        <f>IFERROR(__xludf.DUMMYFUNCTION("""COMPUTED_VALUE"""),2.6123350234E10)</f>
        <v>26123350234</v>
      </c>
      <c r="D660" s="201">
        <f>IFERROR(__xludf.DUMMYFUNCTION("""COMPUTED_VALUE"""),46138.0)</f>
        <v>46138</v>
      </c>
      <c r="E660" s="202" t="str">
        <f>IFERROR(__xludf.DUMMYFUNCTION("""COMPUTED_VALUE"""),"Caution")</f>
        <v>Caution</v>
      </c>
      <c r="F660" s="202" t="str">
        <f>IFERROR(__xludf.DUMMYFUNCTION("""COMPUTED_VALUE"""),"Caution")</f>
        <v>Caution</v>
      </c>
      <c r="G660" s="203" t="str">
        <f>IFERROR(__xludf.DUMMYFUNCTION("""COMPUTED_VALUE"""),"Normal")</f>
        <v>Normal</v>
      </c>
      <c r="H660" s="203" t="str">
        <f>IFERROR(__xludf.DUMMYFUNCTION("""COMPUTED_VALUE"""),"Normal")</f>
        <v>Normal</v>
      </c>
      <c r="I660" s="37">
        <f>IFERROR(__xludf.DUMMYFUNCTION("""COMPUTED_VALUE"""),31082.0)</f>
        <v>31082</v>
      </c>
      <c r="J660" s="37">
        <f>IFERROR(__xludf.DUMMYFUNCTION("""COMPUTED_VALUE"""),12107.0)</f>
        <v>12107</v>
      </c>
      <c r="K660" s="37">
        <f>IFERROR(__xludf.DUMMYFUNCTION("""COMPUTED_VALUE"""),6112.0)</f>
        <v>6112</v>
      </c>
      <c r="L660" s="199">
        <f>IFERROR(__xludf.DUMMYFUNCTION("""COMPUTED_VALUE"""),10.0)</f>
        <v>10</v>
      </c>
      <c r="M660" s="199">
        <f>IFERROR(__xludf.DUMMYFUNCTION("""COMPUTED_VALUE"""),221.7)</f>
        <v>221.7</v>
      </c>
      <c r="N660" s="199"/>
      <c r="O660" s="199"/>
      <c r="P660" s="199">
        <f>IFERROR(__xludf.DUMMYFUNCTION("""COMPUTED_VALUE"""),0.04)</f>
        <v>0.04</v>
      </c>
      <c r="Q660" s="199">
        <f>IFERROR(__xludf.DUMMYFUNCTION("""COMPUTED_VALUE"""),0.0)</f>
        <v>0</v>
      </c>
      <c r="R660" s="199">
        <f>IFERROR(__xludf.DUMMYFUNCTION("""COMPUTED_VALUE"""),0.0)</f>
        <v>0</v>
      </c>
      <c r="S660" s="199">
        <f>IFERROR(__xludf.DUMMYFUNCTION("""COMPUTED_VALUE"""),0.0)</f>
        <v>0</v>
      </c>
      <c r="T660" s="199">
        <f>IFERROR(__xludf.DUMMYFUNCTION("""COMPUTED_VALUE"""),0.0)</f>
        <v>0</v>
      </c>
      <c r="U660" s="199">
        <f>IFERROR(__xludf.DUMMYFUNCTION("""COMPUTED_VALUE"""),1.0)</f>
        <v>1</v>
      </c>
      <c r="V660" s="199">
        <f>IFERROR(__xludf.DUMMYFUNCTION("""COMPUTED_VALUE"""),0.0)</f>
        <v>0</v>
      </c>
      <c r="W660" s="199">
        <f>IFERROR(__xludf.DUMMYFUNCTION("""COMPUTED_VALUE"""),0.0)</f>
        <v>0</v>
      </c>
      <c r="X660" s="199">
        <f>IFERROR(__xludf.DUMMYFUNCTION("""COMPUTED_VALUE"""),0.0)</f>
        <v>0</v>
      </c>
      <c r="Y660" s="199">
        <f>IFERROR(__xludf.DUMMYFUNCTION("""COMPUTED_VALUE"""),0.0)</f>
        <v>0</v>
      </c>
      <c r="Z660" s="199">
        <f>IFERROR(__xludf.DUMMYFUNCTION("""COMPUTED_VALUE"""),0.0)</f>
        <v>0</v>
      </c>
      <c r="AA660" s="199">
        <f>IFERROR(__xludf.DUMMYFUNCTION("""COMPUTED_VALUE"""),0.0)</f>
        <v>0</v>
      </c>
      <c r="AB660" s="199">
        <f>IFERROR(__xludf.DUMMYFUNCTION("""COMPUTED_VALUE"""),13.0)</f>
        <v>13</v>
      </c>
      <c r="AC660" s="199">
        <f>IFERROR(__xludf.DUMMYFUNCTION("""COMPUTED_VALUE"""),18.0)</f>
        <v>18</v>
      </c>
      <c r="AD660" s="199">
        <f>IFERROR(__xludf.DUMMYFUNCTION("""COMPUTED_VALUE"""),0.0)</f>
        <v>0</v>
      </c>
      <c r="AE660" s="199">
        <f>IFERROR(__xludf.DUMMYFUNCTION("""COMPUTED_VALUE"""),5.0)</f>
        <v>5</v>
      </c>
      <c r="AF660" s="199">
        <f>IFERROR(__xludf.DUMMYFUNCTION("""COMPUTED_VALUE"""),2.0)</f>
        <v>2</v>
      </c>
      <c r="AG660" s="199">
        <f>IFERROR(__xludf.DUMMYFUNCTION("""COMPUTED_VALUE"""),496.0)</f>
        <v>496</v>
      </c>
      <c r="AH660" s="199">
        <f>IFERROR(__xludf.DUMMYFUNCTION("""COMPUTED_VALUE"""),5.0)</f>
        <v>5</v>
      </c>
      <c r="AI660" s="200" t="str">
        <f>IFERROR(__xludf.DUMMYFUNCTION("""COMPUTED_VALUE"""),"Caution – Insufficient Sample Volume / Particle Count Elevated")</f>
        <v>Caution – Insufficient Sample Volume / Particle Count Elevated</v>
      </c>
      <c r="AJ660" s="200" t="str">
        <f>IFERROR(__xludf.DUMMYFUNCTION("""COMPUTED_VALUE"""),"ADMINISTRATION – Insufficient sample volume; certain tests not completed. ISO 22/21/20, particle count still elevated (31082 @4µm). TAN 0.99 mg KOH/g. Water 0.040 Vol%. Ensure adequate sample volumes collected. Monitor Si and particle count trend. Contact"&amp;" ExxonMobil representative.")</f>
        <v>ADMINISTRATION – Insufficient sample volume; certain tests not completed. ISO 22/21/20, particle count still elevated (31082 @4µm). TAN 0.99 mg KOH/g. Water 0.040 Vol%. Ensure adequate sample volumes collected. Monitor Si and particle count trend. Contact ExxonMobil representative.</v>
      </c>
      <c r="AK660" s="204"/>
      <c r="AL660" s="204"/>
      <c r="AM660" s="204"/>
    </row>
    <row r="661" hidden="1">
      <c r="A661" s="199" t="str">
        <f>IFERROR(__xludf.DUMMYFUNCTION("""COMPUTED_VALUE"""),"342.BE050 R")</f>
        <v>342.BE050 R</v>
      </c>
      <c r="B661" s="200" t="str">
        <f>IFERROR(__xludf.DUMMYFUNCTION("""COMPUTED_VALUE"""),"Bucket Elevator GB - R")</f>
        <v>Bucket Elevator GB - R</v>
      </c>
      <c r="C661" s="199">
        <f>IFERROR(__xludf.DUMMYFUNCTION("""COMPUTED_VALUE"""),2.6124405276E10)</f>
        <v>26124405276</v>
      </c>
      <c r="D661" s="201">
        <f>IFERROR(__xludf.DUMMYFUNCTION("""COMPUTED_VALUE"""),46138.0)</f>
        <v>46138</v>
      </c>
      <c r="E661" s="202" t="str">
        <f>IFERROR(__xludf.DUMMYFUNCTION("""COMPUTED_VALUE"""),"Caution")</f>
        <v>Caution</v>
      </c>
      <c r="F661" s="202" t="str">
        <f>IFERROR(__xludf.DUMMYFUNCTION("""COMPUTED_VALUE"""),"Caution")</f>
        <v>Caution</v>
      </c>
      <c r="G661" s="203" t="str">
        <f>IFERROR(__xludf.DUMMYFUNCTION("""COMPUTED_VALUE"""),"Normal")</f>
        <v>Normal</v>
      </c>
      <c r="H661" s="203" t="str">
        <f>IFERROR(__xludf.DUMMYFUNCTION("""COMPUTED_VALUE"""),"Caution")</f>
        <v>Caution</v>
      </c>
      <c r="I661" s="37"/>
      <c r="J661" s="37"/>
      <c r="K661" s="37"/>
      <c r="L661" s="199">
        <f>IFERROR(__xludf.DUMMYFUNCTION("""COMPUTED_VALUE"""),20.0)</f>
        <v>20</v>
      </c>
      <c r="M661" s="199">
        <f>IFERROR(__xludf.DUMMYFUNCTION("""COMPUTED_VALUE"""),287.7)</f>
        <v>287.7</v>
      </c>
      <c r="N661" s="37"/>
      <c r="O661" s="37"/>
      <c r="P661" s="199">
        <f>IFERROR(__xludf.DUMMYFUNCTION("""COMPUTED_VALUE"""),0.05)</f>
        <v>0.05</v>
      </c>
      <c r="Q661" s="199">
        <f>IFERROR(__xludf.DUMMYFUNCTION("""COMPUTED_VALUE"""),0.0)</f>
        <v>0</v>
      </c>
      <c r="R661" s="199">
        <f>IFERROR(__xludf.DUMMYFUNCTION("""COMPUTED_VALUE"""),0.0)</f>
        <v>0</v>
      </c>
      <c r="S661" s="199">
        <f>IFERROR(__xludf.DUMMYFUNCTION("""COMPUTED_VALUE"""),0.0)</f>
        <v>0</v>
      </c>
      <c r="T661" s="199">
        <f>IFERROR(__xludf.DUMMYFUNCTION("""COMPUTED_VALUE"""),0.0)</f>
        <v>0</v>
      </c>
      <c r="U661" s="199">
        <f>IFERROR(__xludf.DUMMYFUNCTION("""COMPUTED_VALUE"""),10.0)</f>
        <v>10</v>
      </c>
      <c r="V661" s="199">
        <f>IFERROR(__xludf.DUMMYFUNCTION("""COMPUTED_VALUE"""),0.0)</f>
        <v>0</v>
      </c>
      <c r="W661" s="199">
        <f>IFERROR(__xludf.DUMMYFUNCTION("""COMPUTED_VALUE"""),0.0)</f>
        <v>0</v>
      </c>
      <c r="X661" s="199">
        <f>IFERROR(__xludf.DUMMYFUNCTION("""COMPUTED_VALUE"""),0.0)</f>
        <v>0</v>
      </c>
      <c r="Y661" s="199">
        <f>IFERROR(__xludf.DUMMYFUNCTION("""COMPUTED_VALUE"""),0.0)</f>
        <v>0</v>
      </c>
      <c r="Z661" s="199">
        <f>IFERROR(__xludf.DUMMYFUNCTION("""COMPUTED_VALUE"""),0.0)</f>
        <v>0</v>
      </c>
      <c r="AA661" s="199">
        <f>IFERROR(__xludf.DUMMYFUNCTION("""COMPUTED_VALUE"""),0.0)</f>
        <v>0</v>
      </c>
      <c r="AB661" s="199">
        <f>IFERROR(__xludf.DUMMYFUNCTION("""COMPUTED_VALUE"""),0.0)</f>
        <v>0</v>
      </c>
      <c r="AC661" s="199">
        <f>IFERROR(__xludf.DUMMYFUNCTION("""COMPUTED_VALUE"""),27.0)</f>
        <v>27</v>
      </c>
      <c r="AD661" s="199">
        <f>IFERROR(__xludf.DUMMYFUNCTION("""COMPUTED_VALUE"""),0.0)</f>
        <v>0</v>
      </c>
      <c r="AE661" s="199">
        <f>IFERROR(__xludf.DUMMYFUNCTION("""COMPUTED_VALUE"""),38.0)</f>
        <v>38</v>
      </c>
      <c r="AF661" s="199">
        <f>IFERROR(__xludf.DUMMYFUNCTION("""COMPUTED_VALUE"""),0.0)</f>
        <v>0</v>
      </c>
      <c r="AG661" s="199">
        <f>IFERROR(__xludf.DUMMYFUNCTION("""COMPUTED_VALUE"""),443.0)</f>
        <v>443</v>
      </c>
      <c r="AH661" s="199">
        <f>IFERROR(__xludf.DUMMYFUNCTION("""COMPUTED_VALUE"""),69.0)</f>
        <v>69</v>
      </c>
      <c r="AI661" s="200" t="str">
        <f>IFERROR(__xludf.DUMMYFUNCTION("""COMPUTED_VALUE"""),"Caution – Excessive Water / Elevated TAN / Viscosity Low / Particle Count Not Reported")</f>
        <v>Caution – Excessive Water / Elevated TAN / Viscosity Low / Particle Count Not Reported</v>
      </c>
      <c r="AJ661" s="200" t="str">
        <f>IFERROR(__xludf.DUMMYFUNCTION("""COMPUTED_VALUE"""),"ACTION REQUIRED – Water 0.050 Vol% (excessive), TAN 1.50 mg KOH/g (above OEM limit). Viscosity still low at 287.7 cSt. Visible sediment – particle count not completed. Determine water source (leaking seals, cooler, condensation). Remove water. Change oil."&amp;" Contact ExxonMobil representative.")</f>
        <v>ACTION REQUIRED – Water 0.050 Vol% (excessive), TAN 1.50 mg KOH/g (above OEM limit). Viscosity still low at 287.7 cSt. Visible sediment – particle count not completed. Determine water source (leaking seals, cooler, condensation). Remove water. Change oil. Contact ExxonMobil representative.</v>
      </c>
      <c r="AK661" s="204"/>
      <c r="AL661" s="204"/>
      <c r="AM661" s="204"/>
    </row>
    <row r="662" hidden="1">
      <c r="A662" s="199" t="str">
        <f>IFERROR(__xludf.DUMMYFUNCTION("""COMPUTED_VALUE"""),"351.BE350 L")</f>
        <v>351.BE350 L</v>
      </c>
      <c r="B662" s="200" t="str">
        <f>IFERROR(__xludf.DUMMYFUNCTION("""COMPUTED_VALUE"""),"Bucket Elevator GB - L")</f>
        <v>Bucket Elevator GB - L</v>
      </c>
      <c r="C662" s="199">
        <f>IFERROR(__xludf.DUMMYFUNCTION("""COMPUTED_VALUE"""),2.6123350238E10)</f>
        <v>26123350238</v>
      </c>
      <c r="D662" s="201">
        <f>IFERROR(__xludf.DUMMYFUNCTION("""COMPUTED_VALUE"""),46138.0)</f>
        <v>46138</v>
      </c>
      <c r="E662" s="202" t="str">
        <f>IFERROR(__xludf.DUMMYFUNCTION("""COMPUTED_VALUE"""),"Caution")</f>
        <v>Caution</v>
      </c>
      <c r="F662" s="202" t="str">
        <f>IFERROR(__xludf.DUMMYFUNCTION("""COMPUTED_VALUE"""),"Caution")</f>
        <v>Caution</v>
      </c>
      <c r="G662" s="203" t="str">
        <f>IFERROR(__xludf.DUMMYFUNCTION("""COMPUTED_VALUE"""),"Normal")</f>
        <v>Normal</v>
      </c>
      <c r="H662" s="203" t="str">
        <f>IFERROR(__xludf.DUMMYFUNCTION("""COMPUTED_VALUE"""),"Normal")</f>
        <v>Normal</v>
      </c>
      <c r="I662" s="199"/>
      <c r="J662" s="199"/>
      <c r="K662" s="199"/>
      <c r="L662" s="199">
        <f>IFERROR(__xludf.DUMMYFUNCTION("""COMPUTED_VALUE"""),14.0)</f>
        <v>14</v>
      </c>
      <c r="M662" s="199">
        <f>IFERROR(__xludf.DUMMYFUNCTION("""COMPUTED_VALUE"""),310.8)</f>
        <v>310.8</v>
      </c>
      <c r="N662" s="37"/>
      <c r="O662" s="37"/>
      <c r="P662" s="199">
        <f>IFERROR(__xludf.DUMMYFUNCTION("""COMPUTED_VALUE"""),0.01)</f>
        <v>0.01</v>
      </c>
      <c r="Q662" s="199">
        <f>IFERROR(__xludf.DUMMYFUNCTION("""COMPUTED_VALUE"""),0.0)</f>
        <v>0</v>
      </c>
      <c r="R662" s="199">
        <f>IFERROR(__xludf.DUMMYFUNCTION("""COMPUTED_VALUE"""),1.0)</f>
        <v>1</v>
      </c>
      <c r="S662" s="199">
        <f>IFERROR(__xludf.DUMMYFUNCTION("""COMPUTED_VALUE"""),0.0)</f>
        <v>0</v>
      </c>
      <c r="T662" s="199">
        <f>IFERROR(__xludf.DUMMYFUNCTION("""COMPUTED_VALUE"""),0.0)</f>
        <v>0</v>
      </c>
      <c r="U662" s="199">
        <f>IFERROR(__xludf.DUMMYFUNCTION("""COMPUTED_VALUE"""),37.0)</f>
        <v>37</v>
      </c>
      <c r="V662" s="199">
        <f>IFERROR(__xludf.DUMMYFUNCTION("""COMPUTED_VALUE"""),0.0)</f>
        <v>0</v>
      </c>
      <c r="W662" s="199">
        <f>IFERROR(__xludf.DUMMYFUNCTION("""COMPUTED_VALUE"""),0.0)</f>
        <v>0</v>
      </c>
      <c r="X662" s="199">
        <f>IFERROR(__xludf.DUMMYFUNCTION("""COMPUTED_VALUE"""),0.0)</f>
        <v>0</v>
      </c>
      <c r="Y662" s="199">
        <f>IFERROR(__xludf.DUMMYFUNCTION("""COMPUTED_VALUE"""),0.0)</f>
        <v>0</v>
      </c>
      <c r="Z662" s="199">
        <f>IFERROR(__xludf.DUMMYFUNCTION("""COMPUTED_VALUE"""),0.0)</f>
        <v>0</v>
      </c>
      <c r="AA662" s="199">
        <f>IFERROR(__xludf.DUMMYFUNCTION("""COMPUTED_VALUE"""),0.0)</f>
        <v>0</v>
      </c>
      <c r="AB662" s="199">
        <f>IFERROR(__xludf.DUMMYFUNCTION("""COMPUTED_VALUE"""),22.0)</f>
        <v>22</v>
      </c>
      <c r="AC662" s="199">
        <f>IFERROR(__xludf.DUMMYFUNCTION("""COMPUTED_VALUE"""),12.0)</f>
        <v>12</v>
      </c>
      <c r="AD662" s="199">
        <f>IFERROR(__xludf.DUMMYFUNCTION("""COMPUTED_VALUE"""),0.0)</f>
        <v>0</v>
      </c>
      <c r="AE662" s="199">
        <f>IFERROR(__xludf.DUMMYFUNCTION("""COMPUTED_VALUE"""),65.0)</f>
        <v>65</v>
      </c>
      <c r="AF662" s="199">
        <f>IFERROR(__xludf.DUMMYFUNCTION("""COMPUTED_VALUE"""),0.0)</f>
        <v>0</v>
      </c>
      <c r="AG662" s="199">
        <f>IFERROR(__xludf.DUMMYFUNCTION("""COMPUTED_VALUE"""),488.0)</f>
        <v>488</v>
      </c>
      <c r="AH662" s="199">
        <f>IFERROR(__xludf.DUMMYFUNCTION("""COMPUTED_VALUE"""),18.0)</f>
        <v>18</v>
      </c>
      <c r="AI662" s="200" t="str">
        <f>IFERROR(__xludf.DUMMYFUNCTION("""COMPUTED_VALUE"""),"Caution – Elevated Fe &amp; Si / Particle Count Not Reported")</f>
        <v>Caution – Elevated Fe &amp; Si / Particle Count Not Reported</v>
      </c>
      <c r="AJ662" s="200" t="str">
        <f>IFERROR(__xludf.DUMMYFUNCTION("""COMPUTED_VALUE"""),"Fe 37 ppm and Si 22 ppm (elevated). TAN 1.30 mg KOH/g. Visible sediment – particle count not completed. Inspect air filtration and seals. Monitor Fe trend (43→37 ppm, stabilising). Resample within 45 days.")</f>
        <v>Fe 37 ppm and Si 22 ppm (elevated). TAN 1.30 mg KOH/g. Visible sediment – particle count not completed. Inspect air filtration and seals. Monitor Fe trend (43→37 ppm, stabilising). Resample within 45 days.</v>
      </c>
      <c r="AK662" s="204"/>
      <c r="AL662" s="204"/>
      <c r="AM662" s="204"/>
    </row>
    <row r="663" hidden="1">
      <c r="A663" s="199" t="str">
        <f>IFERROR(__xludf.DUMMYFUNCTION("""COMPUTED_VALUE"""),"441.FN590")</f>
        <v>441.FN590</v>
      </c>
      <c r="B663" s="200" t="str">
        <f>IFERROR(__xludf.DUMMYFUNCTION("""COMPUTED_VALUE"""),"Clinker Cooler filter Fan")</f>
        <v>Clinker Cooler filter Fan</v>
      </c>
      <c r="C663" s="199">
        <f>IFERROR(__xludf.DUMMYFUNCTION("""COMPUTED_VALUE"""),2.6124405236E10)</f>
        <v>26124405236</v>
      </c>
      <c r="D663" s="201">
        <f>IFERROR(__xludf.DUMMYFUNCTION("""COMPUTED_VALUE"""),46138.0)</f>
        <v>46138</v>
      </c>
      <c r="E663" s="202" t="str">
        <f>IFERROR(__xludf.DUMMYFUNCTION("""COMPUTED_VALUE"""),"Caution")</f>
        <v>Caution</v>
      </c>
      <c r="F663" s="202" t="str">
        <f>IFERROR(__xludf.DUMMYFUNCTION("""COMPUTED_VALUE"""),"Caution")</f>
        <v>Caution</v>
      </c>
      <c r="G663" s="203" t="str">
        <f>IFERROR(__xludf.DUMMYFUNCTION("""COMPUTED_VALUE"""),"Normal")</f>
        <v>Normal</v>
      </c>
      <c r="H663" s="203" t="str">
        <f>IFERROR(__xludf.DUMMYFUNCTION("""COMPUTED_VALUE"""),"Normal")</f>
        <v>Normal</v>
      </c>
      <c r="I663" s="37"/>
      <c r="J663" s="37"/>
      <c r="K663" s="37"/>
      <c r="L663" s="199">
        <f>IFERROR(__xludf.DUMMYFUNCTION("""COMPUTED_VALUE"""),22.0)</f>
        <v>22</v>
      </c>
      <c r="M663" s="199">
        <f>IFERROR(__xludf.DUMMYFUNCTION("""COMPUTED_VALUE"""),333.6)</f>
        <v>333.6</v>
      </c>
      <c r="N663" s="37"/>
      <c r="O663" s="37"/>
      <c r="P663" s="199">
        <f>IFERROR(__xludf.DUMMYFUNCTION("""COMPUTED_VALUE"""),0.04)</f>
        <v>0.04</v>
      </c>
      <c r="Q663" s="199">
        <f>IFERROR(__xludf.DUMMYFUNCTION("""COMPUTED_VALUE"""),0.0)</f>
        <v>0</v>
      </c>
      <c r="R663" s="199">
        <f>IFERROR(__xludf.DUMMYFUNCTION("""COMPUTED_VALUE"""),0.0)</f>
        <v>0</v>
      </c>
      <c r="S663" s="199">
        <f>IFERROR(__xludf.DUMMYFUNCTION("""COMPUTED_VALUE"""),0.0)</f>
        <v>0</v>
      </c>
      <c r="T663" s="199">
        <f>IFERROR(__xludf.DUMMYFUNCTION("""COMPUTED_VALUE"""),0.0)</f>
        <v>0</v>
      </c>
      <c r="U663" s="199">
        <f>IFERROR(__xludf.DUMMYFUNCTION("""COMPUTED_VALUE"""),1.0)</f>
        <v>1</v>
      </c>
      <c r="V663" s="199">
        <f>IFERROR(__xludf.DUMMYFUNCTION("""COMPUTED_VALUE"""),0.0)</f>
        <v>0</v>
      </c>
      <c r="W663" s="199">
        <f>IFERROR(__xludf.DUMMYFUNCTION("""COMPUTED_VALUE"""),0.0)</f>
        <v>0</v>
      </c>
      <c r="X663" s="199">
        <f>IFERROR(__xludf.DUMMYFUNCTION("""COMPUTED_VALUE"""),0.0)</f>
        <v>0</v>
      </c>
      <c r="Y663" s="199">
        <f>IFERROR(__xludf.DUMMYFUNCTION("""COMPUTED_VALUE"""),0.0)</f>
        <v>0</v>
      </c>
      <c r="Z663" s="199">
        <f>IFERROR(__xludf.DUMMYFUNCTION("""COMPUTED_VALUE"""),0.0)</f>
        <v>0</v>
      </c>
      <c r="AA663" s="199">
        <f>IFERROR(__xludf.DUMMYFUNCTION("""COMPUTED_VALUE"""),0.0)</f>
        <v>0</v>
      </c>
      <c r="AB663" s="199">
        <f>IFERROR(__xludf.DUMMYFUNCTION("""COMPUTED_VALUE"""),15.0)</f>
        <v>15</v>
      </c>
      <c r="AC663" s="199">
        <f>IFERROR(__xludf.DUMMYFUNCTION("""COMPUTED_VALUE"""),12.0)</f>
        <v>12</v>
      </c>
      <c r="AD663" s="199">
        <f>IFERROR(__xludf.DUMMYFUNCTION("""COMPUTED_VALUE"""),0.0)</f>
        <v>0</v>
      </c>
      <c r="AE663" s="199">
        <f>IFERROR(__xludf.DUMMYFUNCTION("""COMPUTED_VALUE"""),0.0)</f>
        <v>0</v>
      </c>
      <c r="AF663" s="199">
        <f>IFERROR(__xludf.DUMMYFUNCTION("""COMPUTED_VALUE"""),15.0)</f>
        <v>15</v>
      </c>
      <c r="AG663" s="199">
        <f>IFERROR(__xludf.DUMMYFUNCTION("""COMPUTED_VALUE"""),433.0)</f>
        <v>433</v>
      </c>
      <c r="AH663" s="199">
        <f>IFERROR(__xludf.DUMMYFUNCTION("""COMPUTED_VALUE"""),9.0)</f>
        <v>9</v>
      </c>
      <c r="AI663" s="200" t="str">
        <f>IFERROR(__xludf.DUMMYFUNCTION("""COMPUTED_VALUE"""),"Caution – Particle Count Not Reported / Monitor")</f>
        <v>Caution – Particle Count Not Reported / Monitor</v>
      </c>
      <c r="AJ663" s="200" t="str">
        <f>IFERROR(__xludf.DUMMYFUNCTION("""COMPUTED_VALUE"""),"Si 15 ppm, TAN 1.30 mg KOH/g, water 0.040 Vol%. Mg 15 ppm (elevated). Visible sediment – particle count not completed. Inspect seals, breathers, fill caps. Ensure adequate sample volumes collected next time. Monitor contamination trend.")</f>
        <v>Si 15 ppm, TAN 1.30 mg KOH/g, water 0.040 Vol%. Mg 15 ppm (elevated). Visible sediment – particle count not completed. Inspect seals, breathers, fill caps. Ensure adequate sample volumes collected next time. Monitor contamination trend.</v>
      </c>
      <c r="AK663" s="204"/>
      <c r="AL663" s="204"/>
      <c r="AM663" s="204"/>
    </row>
    <row r="664" hidden="1">
      <c r="A664" s="199" t="str">
        <f>IFERROR(__xludf.DUMMYFUNCTION("""COMPUTED_VALUE"""),"R2.322.LQ145 (GB)")</f>
        <v>R2.322.LQ145 (GB)</v>
      </c>
      <c r="B664" s="200" t="str">
        <f>IFERROR(__xludf.DUMMYFUNCTION("""COMPUTED_VALUE"""),"Mill2 gear Box")</f>
        <v>Mill2 gear Box</v>
      </c>
      <c r="C664" s="199">
        <f>IFERROR(__xludf.DUMMYFUNCTION("""COMPUTED_VALUE"""),2.6124405214E10)</f>
        <v>26124405214</v>
      </c>
      <c r="D664" s="201">
        <f>IFERROR(__xludf.DUMMYFUNCTION("""COMPUTED_VALUE"""),46138.0)</f>
        <v>46138</v>
      </c>
      <c r="E664" s="202" t="str">
        <f>IFERROR(__xludf.DUMMYFUNCTION("""COMPUTED_VALUE"""),"Caution")</f>
        <v>Caution</v>
      </c>
      <c r="F664" s="202" t="str">
        <f>IFERROR(__xludf.DUMMYFUNCTION("""COMPUTED_VALUE"""),"Caution")</f>
        <v>Caution</v>
      </c>
      <c r="G664" s="203" t="str">
        <f>IFERROR(__xludf.DUMMYFUNCTION("""COMPUTED_VALUE"""),"Normal")</f>
        <v>Normal</v>
      </c>
      <c r="H664" s="203" t="str">
        <f>IFERROR(__xludf.DUMMYFUNCTION("""COMPUTED_VALUE"""),"Normal")</f>
        <v>Normal</v>
      </c>
      <c r="I664" s="37"/>
      <c r="J664" s="37"/>
      <c r="K664" s="37"/>
      <c r="L664" s="199">
        <f>IFERROR(__xludf.DUMMYFUNCTION("""COMPUTED_VALUE"""),36.0)</f>
        <v>36</v>
      </c>
      <c r="M664" s="199">
        <f>IFERROR(__xludf.DUMMYFUNCTION("""COMPUTED_VALUE"""),308.6)</f>
        <v>308.6</v>
      </c>
      <c r="N664" s="37"/>
      <c r="O664" s="37">
        <f>IFERROR(__xludf.DUMMYFUNCTION("""COMPUTED_VALUE"""),1.0)</f>
        <v>1</v>
      </c>
      <c r="P664" s="199">
        <f>IFERROR(__xludf.DUMMYFUNCTION("""COMPUTED_VALUE"""),0.04)</f>
        <v>0.04</v>
      </c>
      <c r="Q664" s="199">
        <f>IFERROR(__xludf.DUMMYFUNCTION("""COMPUTED_VALUE"""),0.0)</f>
        <v>0</v>
      </c>
      <c r="R664" s="199">
        <f>IFERROR(__xludf.DUMMYFUNCTION("""COMPUTED_VALUE"""),0.0)</f>
        <v>0</v>
      </c>
      <c r="S664" s="199">
        <f>IFERROR(__xludf.DUMMYFUNCTION("""COMPUTED_VALUE"""),0.0)</f>
        <v>0</v>
      </c>
      <c r="T664" s="199">
        <f>IFERROR(__xludf.DUMMYFUNCTION("""COMPUTED_VALUE"""),0.0)</f>
        <v>0</v>
      </c>
      <c r="U664" s="199">
        <f>IFERROR(__xludf.DUMMYFUNCTION("""COMPUTED_VALUE"""),26.0)</f>
        <v>26</v>
      </c>
      <c r="V664" s="199">
        <f>IFERROR(__xludf.DUMMYFUNCTION("""COMPUTED_VALUE"""),0.0)</f>
        <v>0</v>
      </c>
      <c r="W664" s="199">
        <f>IFERROR(__xludf.DUMMYFUNCTION("""COMPUTED_VALUE"""),0.0)</f>
        <v>0</v>
      </c>
      <c r="X664" s="199">
        <f>IFERROR(__xludf.DUMMYFUNCTION("""COMPUTED_VALUE"""),0.0)</f>
        <v>0</v>
      </c>
      <c r="Y664" s="199">
        <f>IFERROR(__xludf.DUMMYFUNCTION("""COMPUTED_VALUE"""),0.0)</f>
        <v>0</v>
      </c>
      <c r="Z664" s="199">
        <f>IFERROR(__xludf.DUMMYFUNCTION("""COMPUTED_VALUE"""),0.0)</f>
        <v>0</v>
      </c>
      <c r="AA664" s="199">
        <f>IFERROR(__xludf.DUMMYFUNCTION("""COMPUTED_VALUE"""),0.0)</f>
        <v>0</v>
      </c>
      <c r="AB664" s="199">
        <f>IFERROR(__xludf.DUMMYFUNCTION("""COMPUTED_VALUE"""),0.0)</f>
        <v>0</v>
      </c>
      <c r="AC664" s="199">
        <f>IFERROR(__xludf.DUMMYFUNCTION("""COMPUTED_VALUE"""),13.0)</f>
        <v>13</v>
      </c>
      <c r="AD664" s="199">
        <f>IFERROR(__xludf.DUMMYFUNCTION("""COMPUTED_VALUE"""),0.0)</f>
        <v>0</v>
      </c>
      <c r="AE664" s="199">
        <f>IFERROR(__xludf.DUMMYFUNCTION("""COMPUTED_VALUE"""),9.0)</f>
        <v>9</v>
      </c>
      <c r="AF664" s="199">
        <f>IFERROR(__xludf.DUMMYFUNCTION("""COMPUTED_VALUE"""),2.0)</f>
        <v>2</v>
      </c>
      <c r="AG664" s="199">
        <f>IFERROR(__xludf.DUMMYFUNCTION("""COMPUTED_VALUE"""),386.0)</f>
        <v>386</v>
      </c>
      <c r="AH664" s="199">
        <f>IFERROR(__xludf.DUMMYFUNCTION("""COMPUTED_VALUE"""),1.0)</f>
        <v>1</v>
      </c>
      <c r="AI664" s="200" t="str">
        <f>IFERROR(__xludf.DUMMYFUNCTION("""COMPUTED_VALUE"""),"Caution – Elevated Fe / PQ Index / Particle Count Not Reported")</f>
        <v>Caution – Elevated Fe / PQ Index / Particle Count Not Reported</v>
      </c>
      <c r="AJ664" s="200" t="str">
        <f>IFERROR(__xludf.DUMMYFUNCTION("""COMPUTED_VALUE"""),"Fe 26 ppm, PQ Index 36 (elevated ferrous debris). Oxidation 1 Ab/cm. Water 0.040 Vol%. Visible sediment – particle count not completed. Inspect seals, breathers, and filtration. Monitor Fe trend. Resample within 45 days. Contact ExxonMobil representative "&amp;"if condition escalates.")</f>
        <v>Fe 26 ppm, PQ Index 36 (elevated ferrous debris). Oxidation 1 Ab/cm. Water 0.040 Vol%. Visible sediment – particle count not completed. Inspect seals, breathers, and filtration. Monitor Fe trend. Resample within 45 days. Contact ExxonMobil representative if condition escalates.</v>
      </c>
      <c r="AK664" s="204"/>
      <c r="AL664" s="204"/>
      <c r="AM664" s="204"/>
    </row>
    <row r="665" hidden="1">
      <c r="A665" s="199" t="str">
        <f>IFERROR(__xludf.DUMMYFUNCTION("""COMPUTED_VALUE"""),"R2.322.RF090")</f>
        <v>R2.322.RF090</v>
      </c>
      <c r="B665" s="200" t="str">
        <f>IFERROR(__xludf.DUMMYFUNCTION("""COMPUTED_VALUE"""),"Rotary feeder Gear Box")</f>
        <v>Rotary feeder Gear Box</v>
      </c>
      <c r="C665" s="199">
        <f>IFERROR(__xludf.DUMMYFUNCTION("""COMPUTED_VALUE"""),2.6123350236E10)</f>
        <v>26123350236</v>
      </c>
      <c r="D665" s="201">
        <f>IFERROR(__xludf.DUMMYFUNCTION("""COMPUTED_VALUE"""),46138.0)</f>
        <v>46138</v>
      </c>
      <c r="E665" s="202" t="str">
        <f>IFERROR(__xludf.DUMMYFUNCTION("""COMPUTED_VALUE"""),"Caution")</f>
        <v>Caution</v>
      </c>
      <c r="F665" s="202" t="str">
        <f>IFERROR(__xludf.DUMMYFUNCTION("""COMPUTED_VALUE"""),"Normal")</f>
        <v>Normal</v>
      </c>
      <c r="G665" s="203" t="str">
        <f>IFERROR(__xludf.DUMMYFUNCTION("""COMPUTED_VALUE"""),"Normal")</f>
        <v>Normal</v>
      </c>
      <c r="H665" s="203" t="str">
        <f>IFERROR(__xludf.DUMMYFUNCTION("""COMPUTED_VALUE"""),"Caution")</f>
        <v>Caution</v>
      </c>
      <c r="I665" s="199"/>
      <c r="J665" s="199"/>
      <c r="K665" s="199"/>
      <c r="L665" s="199">
        <f>IFERROR(__xludf.DUMMYFUNCTION("""COMPUTED_VALUE"""),12.0)</f>
        <v>12</v>
      </c>
      <c r="M665" s="199">
        <f>IFERROR(__xludf.DUMMYFUNCTION("""COMPUTED_VALUE"""),69.4)</f>
        <v>69.4</v>
      </c>
      <c r="N665" s="199"/>
      <c r="O665" s="199"/>
      <c r="P665" s="199">
        <f>IFERROR(__xludf.DUMMYFUNCTION("""COMPUTED_VALUE"""),0.01)</f>
        <v>0.01</v>
      </c>
      <c r="Q665" s="199">
        <f>IFERROR(__xludf.DUMMYFUNCTION("""COMPUTED_VALUE"""),0.0)</f>
        <v>0</v>
      </c>
      <c r="R665" s="199">
        <f>IFERROR(__xludf.DUMMYFUNCTION("""COMPUTED_VALUE"""),0.0)</f>
        <v>0</v>
      </c>
      <c r="S665" s="199">
        <f>IFERROR(__xludf.DUMMYFUNCTION("""COMPUTED_VALUE"""),0.0)</f>
        <v>0</v>
      </c>
      <c r="T665" s="199">
        <f>IFERROR(__xludf.DUMMYFUNCTION("""COMPUTED_VALUE"""),3.0)</f>
        <v>3</v>
      </c>
      <c r="U665" s="199">
        <f>IFERROR(__xludf.DUMMYFUNCTION("""COMPUTED_VALUE"""),11.0)</f>
        <v>11</v>
      </c>
      <c r="V665" s="199">
        <f>IFERROR(__xludf.DUMMYFUNCTION("""COMPUTED_VALUE"""),0.0)</f>
        <v>0</v>
      </c>
      <c r="W665" s="199">
        <f>IFERROR(__xludf.DUMMYFUNCTION("""COMPUTED_VALUE"""),0.0)</f>
        <v>0</v>
      </c>
      <c r="X665" s="199">
        <f>IFERROR(__xludf.DUMMYFUNCTION("""COMPUTED_VALUE"""),0.0)</f>
        <v>0</v>
      </c>
      <c r="Y665" s="199">
        <f>IFERROR(__xludf.DUMMYFUNCTION("""COMPUTED_VALUE"""),0.0)</f>
        <v>0</v>
      </c>
      <c r="Z665" s="199">
        <f>IFERROR(__xludf.DUMMYFUNCTION("""COMPUTED_VALUE"""),0.0)</f>
        <v>0</v>
      </c>
      <c r="AA665" s="199">
        <f>IFERROR(__xludf.DUMMYFUNCTION("""COMPUTED_VALUE"""),0.0)</f>
        <v>0</v>
      </c>
      <c r="AB665" s="199">
        <f>IFERROR(__xludf.DUMMYFUNCTION("""COMPUTED_VALUE"""),6.0)</f>
        <v>6</v>
      </c>
      <c r="AC665" s="199">
        <f>IFERROR(__xludf.DUMMYFUNCTION("""COMPUTED_VALUE"""),0.0)</f>
        <v>0</v>
      </c>
      <c r="AD665" s="199">
        <f>IFERROR(__xludf.DUMMYFUNCTION("""COMPUTED_VALUE"""),0.0)</f>
        <v>0</v>
      </c>
      <c r="AE665" s="199">
        <f>IFERROR(__xludf.DUMMYFUNCTION("""COMPUTED_VALUE"""),18.0)</f>
        <v>18</v>
      </c>
      <c r="AF665" s="199">
        <f>IFERROR(__xludf.DUMMYFUNCTION("""COMPUTED_VALUE"""),2.0)</f>
        <v>2</v>
      </c>
      <c r="AG665" s="199">
        <f>IFERROR(__xludf.DUMMYFUNCTION("""COMPUTED_VALUE"""),662.0)</f>
        <v>662</v>
      </c>
      <c r="AH665" s="199">
        <f>IFERROR(__xludf.DUMMYFUNCTION("""COMPUTED_VALUE"""),19.0)</f>
        <v>19</v>
      </c>
      <c r="AI665" s="200" t="str">
        <f>IFERROR(__xludf.DUMMYFUNCTION("""COMPUTED_VALUE"""),"Caution – Reduced Viscosity / Lubricant Alert")</f>
        <v>Caution – Reduced Viscosity / Lubricant Alert</v>
      </c>
      <c r="AJ665" s="200" t="str">
        <f>IFERROR(__xludf.DUMMYFUNCTION("""COMPUTED_VALUE"""),"ACTION REQUIRED – Viscosity at 69.4 cSt, below expected ~100 cSt for MOBIL SHC 639. TAN 1.20 mg KOH/g. Cu 3 ppm, Fe 11 ppm. Determine cause of low viscosity: check for fuel/solvent contamination or wrong oil fill. Resample after corrective actions. If con"&amp;"dition continues, recharge with new oil. Contact ExxonMobil representative.")</f>
        <v>ACTION REQUIRED – Viscosity at 69.4 cSt, below expected ~100 cSt for MOBIL SHC 639. TAN 1.20 mg KOH/g. Cu 3 ppm, Fe 11 ppm. Determine cause of low viscosity: check for fuel/solvent contamination or wrong oil fill. Resample after corrective actions. If condition continues, recharge with new oil. Contact ExxonMobil representative.</v>
      </c>
      <c r="AK665" s="204"/>
      <c r="AL665" s="204"/>
      <c r="AM665" s="204"/>
    </row>
    <row r="666" hidden="1">
      <c r="A666" s="199" t="str">
        <f>IFERROR(__xludf.DUMMYFUNCTION("""COMPUTED_VALUE"""),"111.AF060 (L)")</f>
        <v>111.AF060 (L)</v>
      </c>
      <c r="B666" s="200" t="str">
        <f>IFERROR(__xludf.DUMMYFUNCTION("""COMPUTED_VALUE"""),"Limestone Apron Feeder Left Gear Box")</f>
        <v>Limestone Apron Feeder Left Gear Box</v>
      </c>
      <c r="C666" s="199">
        <f>IFERROR(__xludf.DUMMYFUNCTION("""COMPUTED_VALUE"""),2.6124405209E10)</f>
        <v>26124405209</v>
      </c>
      <c r="D666" s="201">
        <f>IFERROR(__xludf.DUMMYFUNCTION("""COMPUTED_VALUE"""),46138.0)</f>
        <v>46138</v>
      </c>
      <c r="E666" s="202" t="str">
        <f>IFERROR(__xludf.DUMMYFUNCTION("""COMPUTED_VALUE"""),"Normal")</f>
        <v>Normal</v>
      </c>
      <c r="F666" s="202" t="str">
        <f>IFERROR(__xludf.DUMMYFUNCTION("""COMPUTED_VALUE"""),"Normal")</f>
        <v>Normal</v>
      </c>
      <c r="G666" s="203" t="str">
        <f>IFERROR(__xludf.DUMMYFUNCTION("""COMPUTED_VALUE"""),"Normal")</f>
        <v>Normal</v>
      </c>
      <c r="H666" s="203" t="str">
        <f>IFERROR(__xludf.DUMMYFUNCTION("""COMPUTED_VALUE"""),"Normal")</f>
        <v>Normal</v>
      </c>
      <c r="I666" s="37"/>
      <c r="J666" s="37"/>
      <c r="K666" s="37"/>
      <c r="L666" s="199">
        <f>IFERROR(__xludf.DUMMYFUNCTION("""COMPUTED_VALUE"""),5.0)</f>
        <v>5</v>
      </c>
      <c r="M666" s="199">
        <f>IFERROR(__xludf.DUMMYFUNCTION("""COMPUTED_VALUE"""),221.3)</f>
        <v>221.3</v>
      </c>
      <c r="N666" s="37"/>
      <c r="O666" s="37"/>
      <c r="P666" s="199">
        <f>IFERROR(__xludf.DUMMYFUNCTION("""COMPUTED_VALUE"""),0.003)</f>
        <v>0.003</v>
      </c>
      <c r="Q666" s="199">
        <f>IFERROR(__xludf.DUMMYFUNCTION("""COMPUTED_VALUE"""),0.0)</f>
        <v>0</v>
      </c>
      <c r="R666" s="199">
        <f>IFERROR(__xludf.DUMMYFUNCTION("""COMPUTED_VALUE"""),0.0)</f>
        <v>0</v>
      </c>
      <c r="S666" s="199">
        <f>IFERROR(__xludf.DUMMYFUNCTION("""COMPUTED_VALUE"""),0.0)</f>
        <v>0</v>
      </c>
      <c r="T666" s="199">
        <f>IFERROR(__xludf.DUMMYFUNCTION("""COMPUTED_VALUE"""),0.0)</f>
        <v>0</v>
      </c>
      <c r="U666" s="199">
        <f>IFERROR(__xludf.DUMMYFUNCTION("""COMPUTED_VALUE"""),16.0)</f>
        <v>16</v>
      </c>
      <c r="V666" s="199">
        <f>IFERROR(__xludf.DUMMYFUNCTION("""COMPUTED_VALUE"""),0.0)</f>
        <v>0</v>
      </c>
      <c r="W666" s="199">
        <f>IFERROR(__xludf.DUMMYFUNCTION("""COMPUTED_VALUE"""),0.0)</f>
        <v>0</v>
      </c>
      <c r="X666" s="199">
        <f>IFERROR(__xludf.DUMMYFUNCTION("""COMPUTED_VALUE"""),0.0)</f>
        <v>0</v>
      </c>
      <c r="Y666" s="199">
        <f>IFERROR(__xludf.DUMMYFUNCTION("""COMPUTED_VALUE"""),0.0)</f>
        <v>0</v>
      </c>
      <c r="Z666" s="199">
        <f>IFERROR(__xludf.DUMMYFUNCTION("""COMPUTED_VALUE"""),0.0)</f>
        <v>0</v>
      </c>
      <c r="AA666" s="199">
        <f>IFERROR(__xludf.DUMMYFUNCTION("""COMPUTED_VALUE"""),0.0)</f>
        <v>0</v>
      </c>
      <c r="AB666" s="199">
        <f>IFERROR(__xludf.DUMMYFUNCTION("""COMPUTED_VALUE"""),16.0)</f>
        <v>16</v>
      </c>
      <c r="AC666" s="199">
        <f>IFERROR(__xludf.DUMMYFUNCTION("""COMPUTED_VALUE"""),12.0)</f>
        <v>12</v>
      </c>
      <c r="AD666" s="199">
        <f>IFERROR(__xludf.DUMMYFUNCTION("""COMPUTED_VALUE"""),0.0)</f>
        <v>0</v>
      </c>
      <c r="AE666" s="199">
        <f>IFERROR(__xludf.DUMMYFUNCTION("""COMPUTED_VALUE"""),79.0)</f>
        <v>79</v>
      </c>
      <c r="AF666" s="199">
        <f>IFERROR(__xludf.DUMMYFUNCTION("""COMPUTED_VALUE"""),2.0)</f>
        <v>2</v>
      </c>
      <c r="AG666" s="199">
        <f>IFERROR(__xludf.DUMMYFUNCTION("""COMPUTED_VALUE"""),547.0)</f>
        <v>547</v>
      </c>
      <c r="AH666" s="199">
        <f>IFERROR(__xludf.DUMMYFUNCTION("""COMPUTED_VALUE"""),48.0)</f>
        <v>48</v>
      </c>
      <c r="AI666" s="200" t="str">
        <f>IFERROR(__xludf.DUMMYFUNCTION("""COMPUTED_VALUE"""),"Normal")</f>
        <v>Normal</v>
      </c>
      <c r="AJ666" s="200" t="str">
        <f>IFERROR(__xludf.DUMMYFUNCTION("""COMPUTED_VALUE"""),"NO ACTION REQUIRED. ISO 22/21/20. All levels within acceptable ranges. Examine progressive changes and monitor results for changing trends. Sample at next scheduled interval.")</f>
        <v>NO ACTION REQUIRED. ISO 22/21/20. All levels within acceptable ranges. Examine progressive changes and monitor results for changing trends. Sample at next scheduled interval.</v>
      </c>
      <c r="AK666" s="204"/>
      <c r="AL666" s="204"/>
      <c r="AM666" s="204"/>
    </row>
    <row r="667" hidden="1">
      <c r="A667" s="199" t="str">
        <f>IFERROR(__xludf.DUMMYFUNCTION("""COMPUTED_VALUE"""),"111.BC330 (R2)")</f>
        <v>111.BC330 (R2)</v>
      </c>
      <c r="B667" s="200" t="str">
        <f>IFERROR(__xludf.DUMMYFUNCTION("""COMPUTED_VALUE"""),"Belt conveyor second right Gearbox")</f>
        <v>Belt conveyor second right Gearbox</v>
      </c>
      <c r="C667" s="199">
        <f>IFERROR(__xludf.DUMMYFUNCTION("""COMPUTED_VALUE"""),2.612440521E10)</f>
        <v>26124405210</v>
      </c>
      <c r="D667" s="201">
        <f>IFERROR(__xludf.DUMMYFUNCTION("""COMPUTED_VALUE"""),46138.0)</f>
        <v>46138</v>
      </c>
      <c r="E667" s="202" t="str">
        <f>IFERROR(__xludf.DUMMYFUNCTION("""COMPUTED_VALUE"""),"Normal")</f>
        <v>Normal</v>
      </c>
      <c r="F667" s="202" t="str">
        <f>IFERROR(__xludf.DUMMYFUNCTION("""COMPUTED_VALUE"""),"Normal")</f>
        <v>Normal</v>
      </c>
      <c r="G667" s="203" t="str">
        <f>IFERROR(__xludf.DUMMYFUNCTION("""COMPUTED_VALUE"""),"Normal")</f>
        <v>Normal</v>
      </c>
      <c r="H667" s="203" t="str">
        <f>IFERROR(__xludf.DUMMYFUNCTION("""COMPUTED_VALUE"""),"Normal")</f>
        <v>Normal</v>
      </c>
      <c r="I667" s="37">
        <f>IFERROR(__xludf.DUMMYFUNCTION("""COMPUTED_VALUE"""),30748.0)</f>
        <v>30748</v>
      </c>
      <c r="J667" s="37">
        <f>IFERROR(__xludf.DUMMYFUNCTION("""COMPUTED_VALUE"""),15899.0)</f>
        <v>15899</v>
      </c>
      <c r="K667" s="37">
        <f>IFERROR(__xludf.DUMMYFUNCTION("""COMPUTED_VALUE"""),5168.0)</f>
        <v>5168</v>
      </c>
      <c r="L667" s="199">
        <f>IFERROR(__xludf.DUMMYFUNCTION("""COMPUTED_VALUE"""),12.0)</f>
        <v>12</v>
      </c>
      <c r="M667" s="199">
        <f>IFERROR(__xludf.DUMMYFUNCTION("""COMPUTED_VALUE"""),223.7)</f>
        <v>223.7</v>
      </c>
      <c r="N667" s="37"/>
      <c r="O667" s="37"/>
      <c r="P667" s="199">
        <f>IFERROR(__xludf.DUMMYFUNCTION("""COMPUTED_VALUE"""),0.01)</f>
        <v>0.01</v>
      </c>
      <c r="Q667" s="199">
        <f>IFERROR(__xludf.DUMMYFUNCTION("""COMPUTED_VALUE"""),0.0)</f>
        <v>0</v>
      </c>
      <c r="R667" s="199">
        <f>IFERROR(__xludf.DUMMYFUNCTION("""COMPUTED_VALUE"""),0.0)</f>
        <v>0</v>
      </c>
      <c r="S667" s="199">
        <f>IFERROR(__xludf.DUMMYFUNCTION("""COMPUTED_VALUE"""),0.0)</f>
        <v>0</v>
      </c>
      <c r="T667" s="199">
        <f>IFERROR(__xludf.DUMMYFUNCTION("""COMPUTED_VALUE"""),0.0)</f>
        <v>0</v>
      </c>
      <c r="U667" s="199">
        <f>IFERROR(__xludf.DUMMYFUNCTION("""COMPUTED_VALUE"""),12.0)</f>
        <v>12</v>
      </c>
      <c r="V667" s="199">
        <f>IFERROR(__xludf.DUMMYFUNCTION("""COMPUTED_VALUE"""),0.0)</f>
        <v>0</v>
      </c>
      <c r="W667" s="199">
        <f>IFERROR(__xludf.DUMMYFUNCTION("""COMPUTED_VALUE"""),0.0)</f>
        <v>0</v>
      </c>
      <c r="X667" s="199">
        <f>IFERROR(__xludf.DUMMYFUNCTION("""COMPUTED_VALUE"""),0.0)</f>
        <v>0</v>
      </c>
      <c r="Y667" s="199">
        <f>IFERROR(__xludf.DUMMYFUNCTION("""COMPUTED_VALUE"""),0.0)</f>
        <v>0</v>
      </c>
      <c r="Z667" s="199">
        <f>IFERROR(__xludf.DUMMYFUNCTION("""COMPUTED_VALUE"""),0.0)</f>
        <v>0</v>
      </c>
      <c r="AA667" s="199">
        <f>IFERROR(__xludf.DUMMYFUNCTION("""COMPUTED_VALUE"""),0.0)</f>
        <v>0</v>
      </c>
      <c r="AB667" s="199">
        <f>IFERROR(__xludf.DUMMYFUNCTION("""COMPUTED_VALUE"""),14.0)</f>
        <v>14</v>
      </c>
      <c r="AC667" s="199">
        <f>IFERROR(__xludf.DUMMYFUNCTION("""COMPUTED_VALUE"""),10.0)</f>
        <v>10</v>
      </c>
      <c r="AD667" s="199">
        <f>IFERROR(__xludf.DUMMYFUNCTION("""COMPUTED_VALUE"""),0.0)</f>
        <v>0</v>
      </c>
      <c r="AE667" s="199">
        <f>IFERROR(__xludf.DUMMYFUNCTION("""COMPUTED_VALUE"""),20.0)</f>
        <v>20</v>
      </c>
      <c r="AF667" s="199">
        <f>IFERROR(__xludf.DUMMYFUNCTION("""COMPUTED_VALUE"""),0.0)</f>
        <v>0</v>
      </c>
      <c r="AG667" s="199">
        <f>IFERROR(__xludf.DUMMYFUNCTION("""COMPUTED_VALUE"""),650.0)</f>
        <v>650</v>
      </c>
      <c r="AH667" s="199">
        <f>IFERROR(__xludf.DUMMYFUNCTION("""COMPUTED_VALUE"""),12.0)</f>
        <v>12</v>
      </c>
      <c r="AI667" s="200" t="str">
        <f>IFERROR(__xludf.DUMMYFUNCTION("""COMPUTED_VALUE"""),"Normal")</f>
        <v>Normal</v>
      </c>
      <c r="AJ667" s="200" t="str">
        <f>IFERROR(__xludf.DUMMYFUNCTION("""COMPUTED_VALUE"""),"NO ACTION REQUIRED. ISO 22/21/20. All levels within acceptable ranges. Monitor Si trend (previously elevated). Sample at next scheduled interval.")</f>
        <v>NO ACTION REQUIRED. ISO 22/21/20. All levels within acceptable ranges. Monitor Si trend (previously elevated). Sample at next scheduled interval.</v>
      </c>
      <c r="AK667" s="204"/>
      <c r="AL667" s="204"/>
      <c r="AM667" s="204"/>
    </row>
    <row r="668" hidden="1">
      <c r="A668" s="199" t="str">
        <f>IFERROR(__xludf.DUMMYFUNCTION("""COMPUTED_VALUE"""),"341.BE040 L")</f>
        <v>341.BE040 L</v>
      </c>
      <c r="B668" s="200" t="str">
        <f>IFERROR(__xludf.DUMMYFUNCTION("""COMPUTED_VALUE"""),"Bucket Elevator GB - L")</f>
        <v>Bucket Elevator GB - L</v>
      </c>
      <c r="C668" s="199">
        <f>IFERROR(__xludf.DUMMYFUNCTION("""COMPUTED_VALUE"""),2.6123350239E10)</f>
        <v>26123350239</v>
      </c>
      <c r="D668" s="201">
        <f>IFERROR(__xludf.DUMMYFUNCTION("""COMPUTED_VALUE"""),46138.0)</f>
        <v>46138</v>
      </c>
      <c r="E668" s="202" t="str">
        <f>IFERROR(__xludf.DUMMYFUNCTION("""COMPUTED_VALUE"""),"Normal")</f>
        <v>Normal</v>
      </c>
      <c r="F668" s="202" t="str">
        <f>IFERROR(__xludf.DUMMYFUNCTION("""COMPUTED_VALUE"""),"Normal")</f>
        <v>Normal</v>
      </c>
      <c r="G668" s="203" t="str">
        <f>IFERROR(__xludf.DUMMYFUNCTION("""COMPUTED_VALUE"""),"Normal")</f>
        <v>Normal</v>
      </c>
      <c r="H668" s="203" t="str">
        <f>IFERROR(__xludf.DUMMYFUNCTION("""COMPUTED_VALUE"""),"Normal")</f>
        <v>Normal</v>
      </c>
      <c r="I668" s="37">
        <f>IFERROR(__xludf.DUMMYFUNCTION("""COMPUTED_VALUE"""),19932.0)</f>
        <v>19932</v>
      </c>
      <c r="J668" s="37">
        <f>IFERROR(__xludf.DUMMYFUNCTION("""COMPUTED_VALUE"""),5169.0)</f>
        <v>5169</v>
      </c>
      <c r="K668" s="37">
        <f>IFERROR(__xludf.DUMMYFUNCTION("""COMPUTED_VALUE"""),1131.0)</f>
        <v>1131</v>
      </c>
      <c r="L668" s="199">
        <f>IFERROR(__xludf.DUMMYFUNCTION("""COMPUTED_VALUE"""),10.0)</f>
        <v>10</v>
      </c>
      <c r="M668" s="199">
        <f>IFERROR(__xludf.DUMMYFUNCTION("""COMPUTED_VALUE"""),323.9)</f>
        <v>323.9</v>
      </c>
      <c r="N668" s="37"/>
      <c r="O668" s="37"/>
      <c r="P668" s="199">
        <f>IFERROR(__xludf.DUMMYFUNCTION("""COMPUTED_VALUE"""),0.01)</f>
        <v>0.01</v>
      </c>
      <c r="Q668" s="199">
        <f>IFERROR(__xludf.DUMMYFUNCTION("""COMPUTED_VALUE"""),0.0)</f>
        <v>0</v>
      </c>
      <c r="R668" s="199">
        <f>IFERROR(__xludf.DUMMYFUNCTION("""COMPUTED_VALUE"""),0.0)</f>
        <v>0</v>
      </c>
      <c r="S668" s="199">
        <f>IFERROR(__xludf.DUMMYFUNCTION("""COMPUTED_VALUE"""),0.0)</f>
        <v>0</v>
      </c>
      <c r="T668" s="199">
        <f>IFERROR(__xludf.DUMMYFUNCTION("""COMPUTED_VALUE"""),0.0)</f>
        <v>0</v>
      </c>
      <c r="U668" s="199">
        <f>IFERROR(__xludf.DUMMYFUNCTION("""COMPUTED_VALUE"""),24.0)</f>
        <v>24</v>
      </c>
      <c r="V668" s="199">
        <f>IFERROR(__xludf.DUMMYFUNCTION("""COMPUTED_VALUE"""),0.0)</f>
        <v>0</v>
      </c>
      <c r="W668" s="199">
        <f>IFERROR(__xludf.DUMMYFUNCTION("""COMPUTED_VALUE"""),0.0)</f>
        <v>0</v>
      </c>
      <c r="X668" s="199">
        <f>IFERROR(__xludf.DUMMYFUNCTION("""COMPUTED_VALUE"""),0.0)</f>
        <v>0</v>
      </c>
      <c r="Y668" s="199">
        <f>IFERROR(__xludf.DUMMYFUNCTION("""COMPUTED_VALUE"""),0.0)</f>
        <v>0</v>
      </c>
      <c r="Z668" s="199">
        <f>IFERROR(__xludf.DUMMYFUNCTION("""COMPUTED_VALUE"""),0.0)</f>
        <v>0</v>
      </c>
      <c r="AA668" s="199">
        <f>IFERROR(__xludf.DUMMYFUNCTION("""COMPUTED_VALUE"""),0.0)</f>
        <v>0</v>
      </c>
      <c r="AB668" s="199">
        <f>IFERROR(__xludf.DUMMYFUNCTION("""COMPUTED_VALUE"""),2.0)</f>
        <v>2</v>
      </c>
      <c r="AC668" s="199">
        <f>IFERROR(__xludf.DUMMYFUNCTION("""COMPUTED_VALUE"""),11.0)</f>
        <v>11</v>
      </c>
      <c r="AD668" s="199">
        <f>IFERROR(__xludf.DUMMYFUNCTION("""COMPUTED_VALUE"""),0.0)</f>
        <v>0</v>
      </c>
      <c r="AE668" s="199">
        <f>IFERROR(__xludf.DUMMYFUNCTION("""COMPUTED_VALUE"""),21.0)</f>
        <v>21</v>
      </c>
      <c r="AF668" s="199">
        <f>IFERROR(__xludf.DUMMYFUNCTION("""COMPUTED_VALUE"""),2.0)</f>
        <v>2</v>
      </c>
      <c r="AG668" s="199">
        <f>IFERROR(__xludf.DUMMYFUNCTION("""COMPUTED_VALUE"""),467.0)</f>
        <v>467</v>
      </c>
      <c r="AH668" s="199">
        <f>IFERROR(__xludf.DUMMYFUNCTION("""COMPUTED_VALUE"""),105.0)</f>
        <v>105</v>
      </c>
      <c r="AI668" s="200" t="str">
        <f>IFERROR(__xludf.DUMMYFUNCTION("""COMPUTED_VALUE"""),"Normal")</f>
        <v>Normal</v>
      </c>
      <c r="AJ668" s="200" t="str">
        <f>IFERROR(__xludf.DUMMYFUNCTION("""COMPUTED_VALUE"""),"NO ACTION REQUIRED. ISO 21/20/17. All levels within acceptable ranges. Fe trending down (41→24 ppm). Sample at next scheduled interval.")</f>
        <v>NO ACTION REQUIRED. ISO 21/20/17. All levels within acceptable ranges. Fe trending down (41→24 ppm). Sample at next scheduled interval.</v>
      </c>
      <c r="AK668" s="204"/>
      <c r="AL668" s="204"/>
      <c r="AM668" s="204"/>
    </row>
    <row r="669" hidden="1">
      <c r="A669" s="199" t="str">
        <f>IFERROR(__xludf.DUMMYFUNCTION("""COMPUTED_VALUE"""),"531.LQ110")</f>
        <v>531.LQ110</v>
      </c>
      <c r="B669" s="200" t="str">
        <f>IFERROR(__xludf.DUMMYFUNCTION("""COMPUTED_VALUE"""),"Cement Mill #1 Inlet Shoe Beating Lubrication Unit")</f>
        <v>Cement Mill #1 Inlet Shoe Beating Lubrication Unit</v>
      </c>
      <c r="C669" s="199">
        <f>IFERROR(__xludf.DUMMYFUNCTION("""COMPUTED_VALUE"""),2.612440525E10)</f>
        <v>26124405250</v>
      </c>
      <c r="D669" s="201">
        <f>IFERROR(__xludf.DUMMYFUNCTION("""COMPUTED_VALUE"""),46139.0)</f>
        <v>46139</v>
      </c>
      <c r="E669" s="202" t="str">
        <f>IFERROR(__xludf.DUMMYFUNCTION("""COMPUTED_VALUE"""),"Alert")</f>
        <v>Alert</v>
      </c>
      <c r="F669" s="202" t="str">
        <f>IFERROR(__xludf.DUMMYFUNCTION("""COMPUTED_VALUE"""),"Alert")</f>
        <v>Alert</v>
      </c>
      <c r="G669" s="203" t="str">
        <f>IFERROR(__xludf.DUMMYFUNCTION("""COMPUTED_VALUE"""),"Alert")</f>
        <v>Alert</v>
      </c>
      <c r="H669" s="203" t="str">
        <f>IFERROR(__xludf.DUMMYFUNCTION("""COMPUTED_VALUE"""),"Normal")</f>
        <v>Normal</v>
      </c>
      <c r="I669" s="199"/>
      <c r="J669" s="199"/>
      <c r="K669" s="199"/>
      <c r="L669" s="199">
        <f>IFERROR(__xludf.DUMMYFUNCTION("""COMPUTED_VALUE"""),97.0)</f>
        <v>97</v>
      </c>
      <c r="M669" s="199">
        <f>IFERROR(__xludf.DUMMYFUNCTION("""COMPUTED_VALUE"""),442.3)</f>
        <v>442.3</v>
      </c>
      <c r="N669" s="37"/>
      <c r="O669" s="37">
        <f>IFERROR(__xludf.DUMMYFUNCTION("""COMPUTED_VALUE"""),0.0)</f>
        <v>0</v>
      </c>
      <c r="P669" s="199">
        <f>IFERROR(__xludf.DUMMYFUNCTION("""COMPUTED_VALUE"""),0.3)</f>
        <v>0.3</v>
      </c>
      <c r="Q669" s="199">
        <f>IFERROR(__xludf.DUMMYFUNCTION("""COMPUTED_VALUE"""),0.0)</f>
        <v>0</v>
      </c>
      <c r="R669" s="199">
        <f>IFERROR(__xludf.DUMMYFUNCTION("""COMPUTED_VALUE"""),15.0)</f>
        <v>15</v>
      </c>
      <c r="S669" s="199">
        <f>IFERROR(__xludf.DUMMYFUNCTION("""COMPUTED_VALUE"""),0.0)</f>
        <v>0</v>
      </c>
      <c r="T669" s="199">
        <f>IFERROR(__xludf.DUMMYFUNCTION("""COMPUTED_VALUE"""),21.0)</f>
        <v>21</v>
      </c>
      <c r="U669" s="199">
        <f>IFERROR(__xludf.DUMMYFUNCTION("""COMPUTED_VALUE"""),37.0)</f>
        <v>37</v>
      </c>
      <c r="V669" s="199">
        <f>IFERROR(__xludf.DUMMYFUNCTION("""COMPUTED_VALUE"""),0.0)</f>
        <v>0</v>
      </c>
      <c r="W669" s="199">
        <f>IFERROR(__xludf.DUMMYFUNCTION("""COMPUTED_VALUE"""),0.0)</f>
        <v>0</v>
      </c>
      <c r="X669" s="199">
        <f>IFERROR(__xludf.DUMMYFUNCTION("""COMPUTED_VALUE"""),0.0)</f>
        <v>0</v>
      </c>
      <c r="Y669" s="199">
        <f>IFERROR(__xludf.DUMMYFUNCTION("""COMPUTED_VALUE"""),5.0)</f>
        <v>5</v>
      </c>
      <c r="Z669" s="199">
        <f>IFERROR(__xludf.DUMMYFUNCTION("""COMPUTED_VALUE"""),0.0)</f>
        <v>0</v>
      </c>
      <c r="AA669" s="199">
        <f>IFERROR(__xludf.DUMMYFUNCTION("""COMPUTED_VALUE"""),0.0)</f>
        <v>0</v>
      </c>
      <c r="AB669" s="199">
        <f>IFERROR(__xludf.DUMMYFUNCTION("""COMPUTED_VALUE"""),57.0)</f>
        <v>57</v>
      </c>
      <c r="AC669" s="199">
        <f>IFERROR(__xludf.DUMMYFUNCTION("""COMPUTED_VALUE"""),16.0)</f>
        <v>16</v>
      </c>
      <c r="AD669" s="199">
        <f>IFERROR(__xludf.DUMMYFUNCTION("""COMPUTED_VALUE"""),0.0)</f>
        <v>0</v>
      </c>
      <c r="AE669" s="199">
        <f>IFERROR(__xludf.DUMMYFUNCTION("""COMPUTED_VALUE"""),178.0)</f>
        <v>178</v>
      </c>
      <c r="AF669" s="199">
        <f>IFERROR(__xludf.DUMMYFUNCTION("""COMPUTED_VALUE"""),2.0)</f>
        <v>2</v>
      </c>
      <c r="AG669" s="199">
        <f>IFERROR(__xludf.DUMMYFUNCTION("""COMPUTED_VALUE"""),330.0)</f>
        <v>330</v>
      </c>
      <c r="AH669" s="199">
        <f>IFERROR(__xludf.DUMMYFUNCTION("""COMPUTED_VALUE"""),2.0)</f>
        <v>2</v>
      </c>
      <c r="AI669" s="200" t="str">
        <f>IFERROR(__xludf.DUMMYFUNCTION("""COMPUTED_VALUE"""),"Wear Metal Alert | Contamination Alert | Water Ingress")</f>
        <v>Wear Metal Alert | Contamination Alert | Water Ingress</v>
      </c>
      <c r="AJ669" s="200" t="str">
        <f>IFERROR(__xludf.DUMMYFUNCTION("""COMPUTED_VALUE"""),"URGENT: Inspect equipment immediately for wear/damage; High water contamination - check seals, drain immediately; Elevated silicon - inspect filters and seals; High particle count - replace filters and resample")</f>
        <v>URGENT: Inspect equipment immediately for wear/damage; High water contamination - check seals, drain immediately; Elevated silicon - inspect filters and seals; High particle count - replace filters and resample</v>
      </c>
      <c r="AK669" s="204"/>
      <c r="AL669" s="204"/>
      <c r="AM669" s="204"/>
    </row>
    <row r="670" hidden="1">
      <c r="A670" s="199" t="str">
        <f>IFERROR(__xludf.DUMMYFUNCTION("""COMPUTED_VALUE"""),"531.LQ120")</f>
        <v>531.LQ120</v>
      </c>
      <c r="B670" s="200" t="str">
        <f>IFERROR(__xludf.DUMMYFUNCTION("""COMPUTED_VALUE"""),"Cement Mill #1 Outlet Shoe Beating Lubrication Unit")</f>
        <v>Cement Mill #1 Outlet Shoe Beating Lubrication Unit</v>
      </c>
      <c r="C670" s="199">
        <f>IFERROR(__xludf.DUMMYFUNCTION("""COMPUTED_VALUE"""),2.6124405243E10)</f>
        <v>26124405243</v>
      </c>
      <c r="D670" s="201">
        <f>IFERROR(__xludf.DUMMYFUNCTION("""COMPUTED_VALUE"""),46139.0)</f>
        <v>46139</v>
      </c>
      <c r="E670" s="202" t="str">
        <f>IFERROR(__xludf.DUMMYFUNCTION("""COMPUTED_VALUE"""),"Alert")</f>
        <v>Alert</v>
      </c>
      <c r="F670" s="202" t="str">
        <f>IFERROR(__xludf.DUMMYFUNCTION("""COMPUTED_VALUE"""),"Alert")</f>
        <v>Alert</v>
      </c>
      <c r="G670" s="203" t="str">
        <f>IFERROR(__xludf.DUMMYFUNCTION("""COMPUTED_VALUE"""),"Caution")</f>
        <v>Caution</v>
      </c>
      <c r="H670" s="203" t="str">
        <f>IFERROR(__xludf.DUMMYFUNCTION("""COMPUTED_VALUE"""),"Normal")</f>
        <v>Normal</v>
      </c>
      <c r="I670" s="37"/>
      <c r="J670" s="37"/>
      <c r="K670" s="37"/>
      <c r="L670" s="199">
        <f>IFERROR(__xludf.DUMMYFUNCTION("""COMPUTED_VALUE"""),49.0)</f>
        <v>49</v>
      </c>
      <c r="M670" s="199">
        <f>IFERROR(__xludf.DUMMYFUNCTION("""COMPUTED_VALUE"""),449.2)</f>
        <v>449.2</v>
      </c>
      <c r="N670" s="37"/>
      <c r="O670" s="199">
        <f>IFERROR(__xludf.DUMMYFUNCTION("""COMPUTED_VALUE"""),0.0)</f>
        <v>0</v>
      </c>
      <c r="P670" s="199">
        <f>IFERROR(__xludf.DUMMYFUNCTION("""COMPUTED_VALUE"""),0.2)</f>
        <v>0.2</v>
      </c>
      <c r="Q670" s="199">
        <f>IFERROR(__xludf.DUMMYFUNCTION("""COMPUTED_VALUE"""),0.0)</f>
        <v>0</v>
      </c>
      <c r="R670" s="199">
        <f>IFERROR(__xludf.DUMMYFUNCTION("""COMPUTED_VALUE"""),14.0)</f>
        <v>14</v>
      </c>
      <c r="S670" s="199">
        <f>IFERROR(__xludf.DUMMYFUNCTION("""COMPUTED_VALUE"""),0.0)</f>
        <v>0</v>
      </c>
      <c r="T670" s="199">
        <f>IFERROR(__xludf.DUMMYFUNCTION("""COMPUTED_VALUE"""),18.0)</f>
        <v>18</v>
      </c>
      <c r="U670" s="199">
        <f>IFERROR(__xludf.DUMMYFUNCTION("""COMPUTED_VALUE"""),40.0)</f>
        <v>40</v>
      </c>
      <c r="V670" s="199">
        <f>IFERROR(__xludf.DUMMYFUNCTION("""COMPUTED_VALUE"""),0.0)</f>
        <v>0</v>
      </c>
      <c r="W670" s="199">
        <f>IFERROR(__xludf.DUMMYFUNCTION("""COMPUTED_VALUE"""),0.0)</f>
        <v>0</v>
      </c>
      <c r="X670" s="199">
        <f>IFERROR(__xludf.DUMMYFUNCTION("""COMPUTED_VALUE"""),0.0)</f>
        <v>0</v>
      </c>
      <c r="Y670" s="199">
        <f>IFERROR(__xludf.DUMMYFUNCTION("""COMPUTED_VALUE"""),6.0)</f>
        <v>6</v>
      </c>
      <c r="Z670" s="199">
        <f>IFERROR(__xludf.DUMMYFUNCTION("""COMPUTED_VALUE"""),0.0)</f>
        <v>0</v>
      </c>
      <c r="AA670" s="199">
        <f>IFERROR(__xludf.DUMMYFUNCTION("""COMPUTED_VALUE"""),0.0)</f>
        <v>0</v>
      </c>
      <c r="AB670" s="199">
        <f>IFERROR(__xludf.DUMMYFUNCTION("""COMPUTED_VALUE"""),55.0)</f>
        <v>55</v>
      </c>
      <c r="AC670" s="199">
        <f>IFERROR(__xludf.DUMMYFUNCTION("""COMPUTED_VALUE"""),16.0)</f>
        <v>16</v>
      </c>
      <c r="AD670" s="199">
        <f>IFERROR(__xludf.DUMMYFUNCTION("""COMPUTED_VALUE"""),0.0)</f>
        <v>0</v>
      </c>
      <c r="AE670" s="199">
        <f>IFERROR(__xludf.DUMMYFUNCTION("""COMPUTED_VALUE"""),116.0)</f>
        <v>116</v>
      </c>
      <c r="AF670" s="199">
        <f>IFERROR(__xludf.DUMMYFUNCTION("""COMPUTED_VALUE"""),5.0)</f>
        <v>5</v>
      </c>
      <c r="AG670" s="199">
        <f>IFERROR(__xludf.DUMMYFUNCTION("""COMPUTED_VALUE"""),369.0)</f>
        <v>369</v>
      </c>
      <c r="AH670" s="199">
        <f>IFERROR(__xludf.DUMMYFUNCTION("""COMPUTED_VALUE"""),14.0)</f>
        <v>14</v>
      </c>
      <c r="AI670" s="200" t="str">
        <f>IFERROR(__xludf.DUMMYFUNCTION("""COMPUTED_VALUE"""),"Contamination Alert | Water Ingress")</f>
        <v>Contamination Alert | Water Ingress</v>
      </c>
      <c r="AJ670" s="200" t="str">
        <f>IFERROR(__xludf.DUMMYFUNCTION("""COMPUTED_VALUE"""),"Water detected - inspect seals and breathers; Elevated silicon - inspect filters and seals")</f>
        <v>Water detected - inspect seals and breathers; Elevated silicon - inspect filters and seals</v>
      </c>
      <c r="AK670" s="204"/>
      <c r="AL670" s="204"/>
      <c r="AM670" s="204"/>
    </row>
    <row r="671" hidden="1">
      <c r="A671" s="199" t="str">
        <f>IFERROR(__xludf.DUMMYFUNCTION("""COMPUTED_VALUE"""),"531.LQ145")</f>
        <v>531.LQ145</v>
      </c>
      <c r="B671" s="200" t="str">
        <f>IFERROR(__xludf.DUMMYFUNCTION("""COMPUTED_VALUE"""),"Cement Mill #1 Gearbox Lubrication Unit")</f>
        <v>Cement Mill #1 Gearbox Lubrication Unit</v>
      </c>
      <c r="C671" s="199">
        <f>IFERROR(__xludf.DUMMYFUNCTION("""COMPUTED_VALUE"""),2.6124405245E10)</f>
        <v>26124405245</v>
      </c>
      <c r="D671" s="201">
        <f>IFERROR(__xludf.DUMMYFUNCTION("""COMPUTED_VALUE"""),46139.0)</f>
        <v>46139</v>
      </c>
      <c r="E671" s="202" t="str">
        <f>IFERROR(__xludf.DUMMYFUNCTION("""COMPUTED_VALUE"""),"Alert")</f>
        <v>Alert</v>
      </c>
      <c r="F671" s="202" t="str">
        <f>IFERROR(__xludf.DUMMYFUNCTION("""COMPUTED_VALUE"""),"Alert")</f>
        <v>Alert</v>
      </c>
      <c r="G671" s="203" t="str">
        <f>IFERROR(__xludf.DUMMYFUNCTION("""COMPUTED_VALUE"""),"Alert")</f>
        <v>Alert</v>
      </c>
      <c r="H671" s="203" t="str">
        <f>IFERROR(__xludf.DUMMYFUNCTION("""COMPUTED_VALUE"""),"Normal")</f>
        <v>Normal</v>
      </c>
      <c r="I671" s="37"/>
      <c r="J671" s="37"/>
      <c r="K671" s="37"/>
      <c r="L671" s="199">
        <f>IFERROR(__xludf.DUMMYFUNCTION("""COMPUTED_VALUE"""),95.0)</f>
        <v>95</v>
      </c>
      <c r="M671" s="199">
        <f>IFERROR(__xludf.DUMMYFUNCTION("""COMPUTED_VALUE"""),445.4)</f>
        <v>445.4</v>
      </c>
      <c r="N671" s="37"/>
      <c r="O671" s="199">
        <f>IFERROR(__xludf.DUMMYFUNCTION("""COMPUTED_VALUE"""),0.0)</f>
        <v>0</v>
      </c>
      <c r="P671" s="199">
        <f>IFERROR(__xludf.DUMMYFUNCTION("""COMPUTED_VALUE"""),0.15)</f>
        <v>0.15</v>
      </c>
      <c r="Q671" s="199">
        <f>IFERROR(__xludf.DUMMYFUNCTION("""COMPUTED_VALUE"""),0.0)</f>
        <v>0</v>
      </c>
      <c r="R671" s="199">
        <f>IFERROR(__xludf.DUMMYFUNCTION("""COMPUTED_VALUE"""),22.0)</f>
        <v>22</v>
      </c>
      <c r="S671" s="199">
        <f>IFERROR(__xludf.DUMMYFUNCTION("""COMPUTED_VALUE"""),0.0)</f>
        <v>0</v>
      </c>
      <c r="T671" s="199">
        <f>IFERROR(__xludf.DUMMYFUNCTION("""COMPUTED_VALUE"""),11.0)</f>
        <v>11</v>
      </c>
      <c r="U671" s="199">
        <f>IFERROR(__xludf.DUMMYFUNCTION("""COMPUTED_VALUE"""),80.0)</f>
        <v>80</v>
      </c>
      <c r="V671" s="199">
        <f>IFERROR(__xludf.DUMMYFUNCTION("""COMPUTED_VALUE"""),2.0)</f>
        <v>2</v>
      </c>
      <c r="W671" s="199">
        <f>IFERROR(__xludf.DUMMYFUNCTION("""COMPUTED_VALUE"""),0.0)</f>
        <v>0</v>
      </c>
      <c r="X671" s="199">
        <f>IFERROR(__xludf.DUMMYFUNCTION("""COMPUTED_VALUE"""),0.0)</f>
        <v>0</v>
      </c>
      <c r="Y671" s="199">
        <f>IFERROR(__xludf.DUMMYFUNCTION("""COMPUTED_VALUE"""),0.0)</f>
        <v>0</v>
      </c>
      <c r="Z671" s="199">
        <f>IFERROR(__xludf.DUMMYFUNCTION("""COMPUTED_VALUE"""),0.0)</f>
        <v>0</v>
      </c>
      <c r="AA671" s="199">
        <f>IFERROR(__xludf.DUMMYFUNCTION("""COMPUTED_VALUE"""),0.0)</f>
        <v>0</v>
      </c>
      <c r="AB671" s="199">
        <f>IFERROR(__xludf.DUMMYFUNCTION("""COMPUTED_VALUE"""),97.0)</f>
        <v>97</v>
      </c>
      <c r="AC671" s="199">
        <f>IFERROR(__xludf.DUMMYFUNCTION("""COMPUTED_VALUE"""),10.0)</f>
        <v>10</v>
      </c>
      <c r="AD671" s="199">
        <f>IFERROR(__xludf.DUMMYFUNCTION("""COMPUTED_VALUE"""),0.0)</f>
        <v>0</v>
      </c>
      <c r="AE671" s="199">
        <f>IFERROR(__xludf.DUMMYFUNCTION("""COMPUTED_VALUE"""),288.0)</f>
        <v>288</v>
      </c>
      <c r="AF671" s="199">
        <f>IFERROR(__xludf.DUMMYFUNCTION("""COMPUTED_VALUE"""),12.0)</f>
        <v>12</v>
      </c>
      <c r="AG671" s="199">
        <f>IFERROR(__xludf.DUMMYFUNCTION("""COMPUTED_VALUE"""),368.0)</f>
        <v>368</v>
      </c>
      <c r="AH671" s="199">
        <f>IFERROR(__xludf.DUMMYFUNCTION("""COMPUTED_VALUE"""),0.0)</f>
        <v>0</v>
      </c>
      <c r="AI671" s="200" t="str">
        <f>IFERROR(__xludf.DUMMYFUNCTION("""COMPUTED_VALUE"""),"Wear Metal Alert | Contamination Alert | Water Ingress")</f>
        <v>Wear Metal Alert | Contamination Alert | Water Ingress</v>
      </c>
      <c r="AJ671" s="200" t="str">
        <f>IFERROR(__xludf.DUMMYFUNCTION("""COMPUTED_VALUE"""),"URGENT: Inspect equipment immediately for wear/damage; Water detected - inspect seals and breathers; Elevated silicon - inspect filters and seals; High particle count - replace filters and resample")</f>
        <v>URGENT: Inspect equipment immediately for wear/damage; Water detected - inspect seals and breathers; Elevated silicon - inspect filters and seals; High particle count - replace filters and resample</v>
      </c>
      <c r="AK671" s="204"/>
      <c r="AL671" s="204"/>
      <c r="AM671" s="204"/>
    </row>
    <row r="672" hidden="1">
      <c r="A672" s="199" t="str">
        <f>IFERROR(__xludf.DUMMYFUNCTION("""COMPUTED_VALUE"""),"531.MD302")</f>
        <v>531.MD302</v>
      </c>
      <c r="B672" s="200" t="str">
        <f>IFERROR(__xludf.DUMMYFUNCTION("""COMPUTED_VALUE"""),"Cement Mill #1 Separator Gearbox")</f>
        <v>Cement Mill #1 Separator Gearbox</v>
      </c>
      <c r="C672" s="199">
        <f>IFERROR(__xludf.DUMMYFUNCTION("""COMPUTED_VALUE"""),2.6124405206E10)</f>
        <v>26124405206</v>
      </c>
      <c r="D672" s="201">
        <f>IFERROR(__xludf.DUMMYFUNCTION("""COMPUTED_VALUE"""),46139.0)</f>
        <v>46139</v>
      </c>
      <c r="E672" s="202" t="str">
        <f>IFERROR(__xludf.DUMMYFUNCTION("""COMPUTED_VALUE"""),"Alert")</f>
        <v>Alert</v>
      </c>
      <c r="F672" s="202" t="str">
        <f>IFERROR(__xludf.DUMMYFUNCTION("""COMPUTED_VALUE"""),"Alert")</f>
        <v>Alert</v>
      </c>
      <c r="G672" s="203" t="str">
        <f>IFERROR(__xludf.DUMMYFUNCTION("""COMPUTED_VALUE"""),"Normal")</f>
        <v>Normal</v>
      </c>
      <c r="H672" s="203" t="str">
        <f>IFERROR(__xludf.DUMMYFUNCTION("""COMPUTED_VALUE"""),"Normal")</f>
        <v>Normal</v>
      </c>
      <c r="I672" s="199"/>
      <c r="J672" s="199"/>
      <c r="K672" s="199"/>
      <c r="L672" s="199">
        <f>IFERROR(__xludf.DUMMYFUNCTION("""COMPUTED_VALUE"""),12.0)</f>
        <v>12</v>
      </c>
      <c r="M672" s="199">
        <f>IFERROR(__xludf.DUMMYFUNCTION("""COMPUTED_VALUE"""),274.9)</f>
        <v>274.9</v>
      </c>
      <c r="N672" s="37">
        <f>IFERROR(__xludf.DUMMYFUNCTION("""COMPUTED_VALUE"""),1.4)</f>
        <v>1.4</v>
      </c>
      <c r="O672" s="37"/>
      <c r="P672" s="199">
        <f>IFERROR(__xludf.DUMMYFUNCTION("""COMPUTED_VALUE"""),0.1)</f>
        <v>0.1</v>
      </c>
      <c r="Q672" s="199">
        <f>IFERROR(__xludf.DUMMYFUNCTION("""COMPUTED_VALUE"""),0.0)</f>
        <v>0</v>
      </c>
      <c r="R672" s="199">
        <f>IFERROR(__xludf.DUMMYFUNCTION("""COMPUTED_VALUE"""),4.0)</f>
        <v>4</v>
      </c>
      <c r="S672" s="199">
        <f>IFERROR(__xludf.DUMMYFUNCTION("""COMPUTED_VALUE"""),0.0)</f>
        <v>0</v>
      </c>
      <c r="T672" s="199">
        <f>IFERROR(__xludf.DUMMYFUNCTION("""COMPUTED_VALUE"""),0.0)</f>
        <v>0</v>
      </c>
      <c r="U672" s="199">
        <f>IFERROR(__xludf.DUMMYFUNCTION("""COMPUTED_VALUE"""),44.0)</f>
        <v>44</v>
      </c>
      <c r="V672" s="199">
        <f>IFERROR(__xludf.DUMMYFUNCTION("""COMPUTED_VALUE"""),2.0)</f>
        <v>2</v>
      </c>
      <c r="W672" s="199">
        <f>IFERROR(__xludf.DUMMYFUNCTION("""COMPUTED_VALUE"""),0.0)</f>
        <v>0</v>
      </c>
      <c r="X672" s="199">
        <f>IFERROR(__xludf.DUMMYFUNCTION("""COMPUTED_VALUE"""),0.0)</f>
        <v>0</v>
      </c>
      <c r="Y672" s="199">
        <f>IFERROR(__xludf.DUMMYFUNCTION("""COMPUTED_VALUE"""),0.0)</f>
        <v>0</v>
      </c>
      <c r="Z672" s="199">
        <f>IFERROR(__xludf.DUMMYFUNCTION("""COMPUTED_VALUE"""),0.0)</f>
        <v>0</v>
      </c>
      <c r="AA672" s="199">
        <f>IFERROR(__xludf.DUMMYFUNCTION("""COMPUTED_VALUE"""),0.0)</f>
        <v>0</v>
      </c>
      <c r="AB672" s="199">
        <f>IFERROR(__xludf.DUMMYFUNCTION("""COMPUTED_VALUE"""),68.0)</f>
        <v>68</v>
      </c>
      <c r="AC672" s="199">
        <f>IFERROR(__xludf.DUMMYFUNCTION("""COMPUTED_VALUE"""),10.0)</f>
        <v>10</v>
      </c>
      <c r="AD672" s="199">
        <f>IFERROR(__xludf.DUMMYFUNCTION("""COMPUTED_VALUE"""),0.0)</f>
        <v>0</v>
      </c>
      <c r="AE672" s="199">
        <f>IFERROR(__xludf.DUMMYFUNCTION("""COMPUTED_VALUE"""),115.0)</f>
        <v>115</v>
      </c>
      <c r="AF672" s="199">
        <f>IFERROR(__xludf.DUMMYFUNCTION("""COMPUTED_VALUE"""),5.0)</f>
        <v>5</v>
      </c>
      <c r="AG672" s="199">
        <f>IFERROR(__xludf.DUMMYFUNCTION("""COMPUTED_VALUE"""),659.0)</f>
        <v>659</v>
      </c>
      <c r="AH672" s="199">
        <f>IFERROR(__xludf.DUMMYFUNCTION("""COMPUTED_VALUE"""),26.0)</f>
        <v>26</v>
      </c>
      <c r="AI672" s="200" t="str">
        <f>IFERROR(__xludf.DUMMYFUNCTION("""COMPUTED_VALUE"""),"Contamination Alert")</f>
        <v>Contamination Alert</v>
      </c>
      <c r="AJ672" s="200" t="str">
        <f>IFERROR(__xludf.DUMMYFUNCTION("""COMPUTED_VALUE"""),"Elevated silicon - inspect filters and seals")</f>
        <v>Elevated silicon - inspect filters and seals</v>
      </c>
      <c r="AK672" s="204"/>
      <c r="AL672" s="204"/>
      <c r="AM672" s="204"/>
    </row>
    <row r="673" hidden="1">
      <c r="A673" s="199" t="str">
        <f>IFERROR(__xludf.DUMMYFUNCTION("""COMPUTED_VALUE"""),"532.BE220")</f>
        <v>532.BE220</v>
      </c>
      <c r="B673" s="200" t="str">
        <f>IFERROR(__xludf.DUMMYFUNCTION("""COMPUTED_VALUE"""),"Cement Mill #2 Bucket Elevator Gearbox")</f>
        <v>Cement Mill #2 Bucket Elevator Gearbox</v>
      </c>
      <c r="C673" s="199">
        <f>IFERROR(__xludf.DUMMYFUNCTION("""COMPUTED_VALUE"""),2.6124405229E10)</f>
        <v>26124405229</v>
      </c>
      <c r="D673" s="201">
        <f>IFERROR(__xludf.DUMMYFUNCTION("""COMPUTED_VALUE"""),46139.0)</f>
        <v>46139</v>
      </c>
      <c r="E673" s="202" t="str">
        <f>IFERROR(__xludf.DUMMYFUNCTION("""COMPUTED_VALUE"""),"Alert")</f>
        <v>Alert</v>
      </c>
      <c r="F673" s="202" t="str">
        <f>IFERROR(__xludf.DUMMYFUNCTION("""COMPUTED_VALUE"""),"Alert")</f>
        <v>Alert</v>
      </c>
      <c r="G673" s="203" t="str">
        <f>IFERROR(__xludf.DUMMYFUNCTION("""COMPUTED_VALUE"""),"Normal")</f>
        <v>Normal</v>
      </c>
      <c r="H673" s="203" t="str">
        <f>IFERROR(__xludf.DUMMYFUNCTION("""COMPUTED_VALUE"""),"Normal")</f>
        <v>Normal</v>
      </c>
      <c r="I673" s="199"/>
      <c r="J673" s="199"/>
      <c r="K673" s="199"/>
      <c r="L673" s="199">
        <f>IFERROR(__xludf.DUMMYFUNCTION("""COMPUTED_VALUE"""),29.0)</f>
        <v>29</v>
      </c>
      <c r="M673" s="199">
        <f>IFERROR(__xludf.DUMMYFUNCTION("""COMPUTED_VALUE"""),295.7)</f>
        <v>295.7</v>
      </c>
      <c r="N673" s="37"/>
      <c r="O673" s="37">
        <f>IFERROR(__xludf.DUMMYFUNCTION("""COMPUTED_VALUE"""),1.0)</f>
        <v>1</v>
      </c>
      <c r="P673" s="199">
        <f>IFERROR(__xludf.DUMMYFUNCTION("""COMPUTED_VALUE"""),0.1)</f>
        <v>0.1</v>
      </c>
      <c r="Q673" s="199">
        <f>IFERROR(__xludf.DUMMYFUNCTION("""COMPUTED_VALUE"""),0.0)</f>
        <v>0</v>
      </c>
      <c r="R673" s="199">
        <f>IFERROR(__xludf.DUMMYFUNCTION("""COMPUTED_VALUE"""),6.0)</f>
        <v>6</v>
      </c>
      <c r="S673" s="199">
        <f>IFERROR(__xludf.DUMMYFUNCTION("""COMPUTED_VALUE"""),0.0)</f>
        <v>0</v>
      </c>
      <c r="T673" s="199">
        <f>IFERROR(__xludf.DUMMYFUNCTION("""COMPUTED_VALUE"""),0.0)</f>
        <v>0</v>
      </c>
      <c r="U673" s="199">
        <f>IFERROR(__xludf.DUMMYFUNCTION("""COMPUTED_VALUE"""),43.0)</f>
        <v>43</v>
      </c>
      <c r="V673" s="199">
        <f>IFERROR(__xludf.DUMMYFUNCTION("""COMPUTED_VALUE"""),0.0)</f>
        <v>0</v>
      </c>
      <c r="W673" s="199">
        <f>IFERROR(__xludf.DUMMYFUNCTION("""COMPUTED_VALUE"""),0.0)</f>
        <v>0</v>
      </c>
      <c r="X673" s="199">
        <f>IFERROR(__xludf.DUMMYFUNCTION("""COMPUTED_VALUE"""),0.0)</f>
        <v>0</v>
      </c>
      <c r="Y673" s="199">
        <f>IFERROR(__xludf.DUMMYFUNCTION("""COMPUTED_VALUE"""),0.0)</f>
        <v>0</v>
      </c>
      <c r="Z673" s="199">
        <f>IFERROR(__xludf.DUMMYFUNCTION("""COMPUTED_VALUE"""),0.0)</f>
        <v>0</v>
      </c>
      <c r="AA673" s="199">
        <f>IFERROR(__xludf.DUMMYFUNCTION("""COMPUTED_VALUE"""),0.0)</f>
        <v>0</v>
      </c>
      <c r="AB673" s="199">
        <f>IFERROR(__xludf.DUMMYFUNCTION("""COMPUTED_VALUE"""),36.0)</f>
        <v>36</v>
      </c>
      <c r="AC673" s="199">
        <f>IFERROR(__xludf.DUMMYFUNCTION("""COMPUTED_VALUE"""),12.0)</f>
        <v>12</v>
      </c>
      <c r="AD673" s="199">
        <f>IFERROR(__xludf.DUMMYFUNCTION("""COMPUTED_VALUE"""),0.0)</f>
        <v>0</v>
      </c>
      <c r="AE673" s="199">
        <f>IFERROR(__xludf.DUMMYFUNCTION("""COMPUTED_VALUE"""),38.0)</f>
        <v>38</v>
      </c>
      <c r="AF673" s="199">
        <f>IFERROR(__xludf.DUMMYFUNCTION("""COMPUTED_VALUE"""),2.0)</f>
        <v>2</v>
      </c>
      <c r="AG673" s="199">
        <f>IFERROR(__xludf.DUMMYFUNCTION("""COMPUTED_VALUE"""),474.0)</f>
        <v>474</v>
      </c>
      <c r="AH673" s="199">
        <f>IFERROR(__xludf.DUMMYFUNCTION("""COMPUTED_VALUE"""),11.0)</f>
        <v>11</v>
      </c>
      <c r="AI673" s="200" t="str">
        <f>IFERROR(__xludf.DUMMYFUNCTION("""COMPUTED_VALUE"""),"General Alert")</f>
        <v>General Alert</v>
      </c>
      <c r="AJ673" s="200" t="str">
        <f>IFERROR(__xludf.DUMMYFUNCTION("""COMPUTED_VALUE"""),"Elevated silicon - inspect filters and seals")</f>
        <v>Elevated silicon - inspect filters and seals</v>
      </c>
      <c r="AK673" s="204"/>
      <c r="AL673" s="204"/>
      <c r="AM673" s="204"/>
    </row>
    <row r="674" hidden="1">
      <c r="A674" s="199" t="str">
        <f>IFERROR(__xludf.DUMMYFUNCTION("""COMPUTED_VALUE"""),"532.LQ110")</f>
        <v>532.LQ110</v>
      </c>
      <c r="B674" s="200" t="str">
        <f>IFERROR(__xludf.DUMMYFUNCTION("""COMPUTED_VALUE"""),"Cement Mill #2 Inlet Shoe Beating Lubrication Unit")</f>
        <v>Cement Mill #2 Inlet Shoe Beating Lubrication Unit</v>
      </c>
      <c r="C674" s="199">
        <f>IFERROR(__xludf.DUMMYFUNCTION("""COMPUTED_VALUE"""),2.6124405246E10)</f>
        <v>26124405246</v>
      </c>
      <c r="D674" s="201">
        <f>IFERROR(__xludf.DUMMYFUNCTION("""COMPUTED_VALUE"""),46139.0)</f>
        <v>46139</v>
      </c>
      <c r="E674" s="202" t="str">
        <f>IFERROR(__xludf.DUMMYFUNCTION("""COMPUTED_VALUE"""),"Alert")</f>
        <v>Alert</v>
      </c>
      <c r="F674" s="202" t="str">
        <f>IFERROR(__xludf.DUMMYFUNCTION("""COMPUTED_VALUE"""),"Alert")</f>
        <v>Alert</v>
      </c>
      <c r="G674" s="203" t="str">
        <f>IFERROR(__xludf.DUMMYFUNCTION("""COMPUTED_VALUE"""),"Alert")</f>
        <v>Alert</v>
      </c>
      <c r="H674" s="203" t="str">
        <f>IFERROR(__xludf.DUMMYFUNCTION("""COMPUTED_VALUE"""),"Normal")</f>
        <v>Normal</v>
      </c>
      <c r="I674" s="37"/>
      <c r="J674" s="37"/>
      <c r="K674" s="37"/>
      <c r="L674" s="199">
        <f>IFERROR(__xludf.DUMMYFUNCTION("""COMPUTED_VALUE"""),66.0)</f>
        <v>66</v>
      </c>
      <c r="M674" s="199">
        <f>IFERROR(__xludf.DUMMYFUNCTION("""COMPUTED_VALUE"""),447.8)</f>
        <v>447.8</v>
      </c>
      <c r="N674" s="37"/>
      <c r="O674" s="37">
        <f>IFERROR(__xludf.DUMMYFUNCTION("""COMPUTED_VALUE"""),4.0)</f>
        <v>4</v>
      </c>
      <c r="P674" s="199">
        <f>IFERROR(__xludf.DUMMYFUNCTION("""COMPUTED_VALUE"""),0.3)</f>
        <v>0.3</v>
      </c>
      <c r="Q674" s="199">
        <f>IFERROR(__xludf.DUMMYFUNCTION("""COMPUTED_VALUE"""),0.0)</f>
        <v>0</v>
      </c>
      <c r="R674" s="199">
        <f>IFERROR(__xludf.DUMMYFUNCTION("""COMPUTED_VALUE"""),44.0)</f>
        <v>44</v>
      </c>
      <c r="S674" s="199">
        <f>IFERROR(__xludf.DUMMYFUNCTION("""COMPUTED_VALUE"""),0.0)</f>
        <v>0</v>
      </c>
      <c r="T674" s="199">
        <f>IFERROR(__xludf.DUMMYFUNCTION("""COMPUTED_VALUE"""),42.0)</f>
        <v>42</v>
      </c>
      <c r="U674" s="199">
        <f>IFERROR(__xludf.DUMMYFUNCTION("""COMPUTED_VALUE"""),105.0)</f>
        <v>105</v>
      </c>
      <c r="V674" s="199">
        <f>IFERROR(__xludf.DUMMYFUNCTION("""COMPUTED_VALUE"""),0.0)</f>
        <v>0</v>
      </c>
      <c r="W674" s="199">
        <f>IFERROR(__xludf.DUMMYFUNCTION("""COMPUTED_VALUE"""),0.0)</f>
        <v>0</v>
      </c>
      <c r="X674" s="199">
        <f>IFERROR(__xludf.DUMMYFUNCTION("""COMPUTED_VALUE"""),12.0)</f>
        <v>12</v>
      </c>
      <c r="Y674" s="199">
        <f>IFERROR(__xludf.DUMMYFUNCTION("""COMPUTED_VALUE"""),7.0)</f>
        <v>7</v>
      </c>
      <c r="Z674" s="199">
        <f>IFERROR(__xludf.DUMMYFUNCTION("""COMPUTED_VALUE"""),2.0)</f>
        <v>2</v>
      </c>
      <c r="AA674" s="199">
        <f>IFERROR(__xludf.DUMMYFUNCTION("""COMPUTED_VALUE"""),0.0)</f>
        <v>0</v>
      </c>
      <c r="AB674" s="199">
        <f>IFERROR(__xludf.DUMMYFUNCTION("""COMPUTED_VALUE"""),136.0)</f>
        <v>136</v>
      </c>
      <c r="AC674" s="199">
        <f>IFERROR(__xludf.DUMMYFUNCTION("""COMPUTED_VALUE"""),0.0)</f>
        <v>0</v>
      </c>
      <c r="AD674" s="199">
        <f>IFERROR(__xludf.DUMMYFUNCTION("""COMPUTED_VALUE"""),0.0)</f>
        <v>0</v>
      </c>
      <c r="AE674" s="199">
        <f>IFERROR(__xludf.DUMMYFUNCTION("""COMPUTED_VALUE"""),428.0)</f>
        <v>428</v>
      </c>
      <c r="AF674" s="199">
        <f>IFERROR(__xludf.DUMMYFUNCTION("""COMPUTED_VALUE"""),25.0)</f>
        <v>25</v>
      </c>
      <c r="AG674" s="199">
        <f>IFERROR(__xludf.DUMMYFUNCTION("""COMPUTED_VALUE"""),319.0)</f>
        <v>319</v>
      </c>
      <c r="AH674" s="199">
        <f>IFERROR(__xludf.DUMMYFUNCTION("""COMPUTED_VALUE"""),8.0)</f>
        <v>8</v>
      </c>
      <c r="AI674" s="200" t="str">
        <f>IFERROR(__xludf.DUMMYFUNCTION("""COMPUTED_VALUE"""),"Wear Metal Alert | Contamination Alert | Water Ingress")</f>
        <v>Wear Metal Alert | Contamination Alert | Water Ingress</v>
      </c>
      <c r="AJ674" s="200" t="str">
        <f>IFERROR(__xludf.DUMMYFUNCTION("""COMPUTED_VALUE"""),"URGENT: Inspect equipment immediately for wear/damage; High wear metals - inspect bearing/gear surfaces; High water contamination - check seals, drain immediately; Very high silicon - check/replace air filters and seals")</f>
        <v>URGENT: Inspect equipment immediately for wear/damage; High wear metals - inspect bearing/gear surfaces; High water contamination - check seals, drain immediately; Very high silicon - check/replace air filters and seals</v>
      </c>
      <c r="AK674" s="204"/>
      <c r="AL674" s="204"/>
      <c r="AM674" s="204"/>
    </row>
    <row r="675" hidden="1">
      <c r="A675" s="199" t="str">
        <f>IFERROR(__xludf.DUMMYFUNCTION("""COMPUTED_VALUE"""),"532.LQ120")</f>
        <v>532.LQ120</v>
      </c>
      <c r="B675" s="200" t="str">
        <f>IFERROR(__xludf.DUMMYFUNCTION("""COMPUTED_VALUE"""),"Cement Mill #2 Outlet Shoe Beating Lubrication Unit")</f>
        <v>Cement Mill #2 Outlet Shoe Beating Lubrication Unit</v>
      </c>
      <c r="C675" s="199">
        <f>IFERROR(__xludf.DUMMYFUNCTION("""COMPUTED_VALUE"""),2.6124405261E10)</f>
        <v>26124405261</v>
      </c>
      <c r="D675" s="201">
        <f>IFERROR(__xludf.DUMMYFUNCTION("""COMPUTED_VALUE"""),46139.0)</f>
        <v>46139</v>
      </c>
      <c r="E675" s="202" t="str">
        <f>IFERROR(__xludf.DUMMYFUNCTION("""COMPUTED_VALUE"""),"Alert")</f>
        <v>Alert</v>
      </c>
      <c r="F675" s="202" t="str">
        <f>IFERROR(__xludf.DUMMYFUNCTION("""COMPUTED_VALUE"""),"Alert")</f>
        <v>Alert</v>
      </c>
      <c r="G675" s="203" t="str">
        <f>IFERROR(__xludf.DUMMYFUNCTION("""COMPUTED_VALUE"""),"Alert")</f>
        <v>Alert</v>
      </c>
      <c r="H675" s="203" t="str">
        <f>IFERROR(__xludf.DUMMYFUNCTION("""COMPUTED_VALUE"""),"Normal")</f>
        <v>Normal</v>
      </c>
      <c r="I675" s="37"/>
      <c r="J675" s="37"/>
      <c r="K675" s="37"/>
      <c r="L675" s="199">
        <f>IFERROR(__xludf.DUMMYFUNCTION("""COMPUTED_VALUE"""),101.0)</f>
        <v>101</v>
      </c>
      <c r="M675" s="199">
        <f>IFERROR(__xludf.DUMMYFUNCTION("""COMPUTED_VALUE"""),462.3)</f>
        <v>462.3</v>
      </c>
      <c r="N675" s="37"/>
      <c r="O675" s="37">
        <f>IFERROR(__xludf.DUMMYFUNCTION("""COMPUTED_VALUE"""),4.0)</f>
        <v>4</v>
      </c>
      <c r="P675" s="199">
        <f>IFERROR(__xludf.DUMMYFUNCTION("""COMPUTED_VALUE"""),0.2)</f>
        <v>0.2</v>
      </c>
      <c r="Q675" s="199">
        <f>IFERROR(__xludf.DUMMYFUNCTION("""COMPUTED_VALUE"""),0.0)</f>
        <v>0</v>
      </c>
      <c r="R675" s="199">
        <f>IFERROR(__xludf.DUMMYFUNCTION("""COMPUTED_VALUE"""),30.0)</f>
        <v>30</v>
      </c>
      <c r="S675" s="199">
        <f>IFERROR(__xludf.DUMMYFUNCTION("""COMPUTED_VALUE"""),0.0)</f>
        <v>0</v>
      </c>
      <c r="T675" s="199">
        <f>IFERROR(__xludf.DUMMYFUNCTION("""COMPUTED_VALUE"""),74.0)</f>
        <v>74</v>
      </c>
      <c r="U675" s="199">
        <f>IFERROR(__xludf.DUMMYFUNCTION("""COMPUTED_VALUE"""),84.0)</f>
        <v>84</v>
      </c>
      <c r="V675" s="199">
        <f>IFERROR(__xludf.DUMMYFUNCTION("""COMPUTED_VALUE"""),2.0)</f>
        <v>2</v>
      </c>
      <c r="W675" s="199">
        <f>IFERROR(__xludf.DUMMYFUNCTION("""COMPUTED_VALUE"""),0.0)</f>
        <v>0</v>
      </c>
      <c r="X675" s="199">
        <f>IFERROR(__xludf.DUMMYFUNCTION("""COMPUTED_VALUE"""),17.0)</f>
        <v>17</v>
      </c>
      <c r="Y675" s="199">
        <f>IFERROR(__xludf.DUMMYFUNCTION("""COMPUTED_VALUE"""),0.0)</f>
        <v>0</v>
      </c>
      <c r="Z675" s="199">
        <f>IFERROR(__xludf.DUMMYFUNCTION("""COMPUTED_VALUE"""),0.0)</f>
        <v>0</v>
      </c>
      <c r="AA675" s="199">
        <f>IFERROR(__xludf.DUMMYFUNCTION("""COMPUTED_VALUE"""),0.0)</f>
        <v>0</v>
      </c>
      <c r="AB675" s="199">
        <f>IFERROR(__xludf.DUMMYFUNCTION("""COMPUTED_VALUE"""),98.0)</f>
        <v>98</v>
      </c>
      <c r="AC675" s="199">
        <f>IFERROR(__xludf.DUMMYFUNCTION("""COMPUTED_VALUE"""),17.0)</f>
        <v>17</v>
      </c>
      <c r="AD675" s="199">
        <f>IFERROR(__xludf.DUMMYFUNCTION("""COMPUTED_VALUE"""),0.0)</f>
        <v>0</v>
      </c>
      <c r="AE675" s="199">
        <f>IFERROR(__xludf.DUMMYFUNCTION("""COMPUTED_VALUE"""),339.0)</f>
        <v>339</v>
      </c>
      <c r="AF675" s="199">
        <f>IFERROR(__xludf.DUMMYFUNCTION("""COMPUTED_VALUE"""),18.0)</f>
        <v>18</v>
      </c>
      <c r="AG675" s="199">
        <f>IFERROR(__xludf.DUMMYFUNCTION("""COMPUTED_VALUE"""),377.0)</f>
        <v>377</v>
      </c>
      <c r="AH675" s="199">
        <f>IFERROR(__xludf.DUMMYFUNCTION("""COMPUTED_VALUE"""),0.0)</f>
        <v>0</v>
      </c>
      <c r="AI675" s="200" t="str">
        <f>IFERROR(__xludf.DUMMYFUNCTION("""COMPUTED_VALUE"""),"Wear Metal Alert | Contamination Alert | Water Ingress | High Particle Count")</f>
        <v>Wear Metal Alert | Contamination Alert | Water Ingress | High Particle Count</v>
      </c>
      <c r="AJ675" s="200" t="str">
        <f>IFERROR(__xludf.DUMMYFUNCTION("""COMPUTED_VALUE"""),"URGENT: Inspect equipment immediately for wear/damage; Water detected - inspect seals and breathers; Elevated silicon - inspect filters and seals; High particle count - replace filters and resample")</f>
        <v>URGENT: Inspect equipment immediately for wear/damage; Water detected - inspect seals and breathers; Elevated silicon - inspect filters and seals; High particle count - replace filters and resample</v>
      </c>
      <c r="AK675" s="204"/>
      <c r="AL675" s="204"/>
      <c r="AM675" s="204"/>
    </row>
    <row r="676" hidden="1">
      <c r="A676" s="199" t="str">
        <f>IFERROR(__xludf.DUMMYFUNCTION("""COMPUTED_VALUE"""),"532.LQ145")</f>
        <v>532.LQ145</v>
      </c>
      <c r="B676" s="200" t="str">
        <f>IFERROR(__xludf.DUMMYFUNCTION("""COMPUTED_VALUE"""),"Cement Mill #2 Gearbox Lubrication Unit")</f>
        <v>Cement Mill #2 Gearbox Lubrication Unit</v>
      </c>
      <c r="C676" s="199">
        <f>IFERROR(__xludf.DUMMYFUNCTION("""COMPUTED_VALUE"""),2.6124405244E10)</f>
        <v>26124405244</v>
      </c>
      <c r="D676" s="201">
        <f>IFERROR(__xludf.DUMMYFUNCTION("""COMPUTED_VALUE"""),46139.0)</f>
        <v>46139</v>
      </c>
      <c r="E676" s="202" t="str">
        <f>IFERROR(__xludf.DUMMYFUNCTION("""COMPUTED_VALUE"""),"Alert")</f>
        <v>Alert</v>
      </c>
      <c r="F676" s="202" t="str">
        <f>IFERROR(__xludf.DUMMYFUNCTION("""COMPUTED_VALUE"""),"Alert")</f>
        <v>Alert</v>
      </c>
      <c r="G676" s="203" t="str">
        <f>IFERROR(__xludf.DUMMYFUNCTION("""COMPUTED_VALUE"""),"Alert")</f>
        <v>Alert</v>
      </c>
      <c r="H676" s="203" t="str">
        <f>IFERROR(__xludf.DUMMYFUNCTION("""COMPUTED_VALUE"""),"Normal")</f>
        <v>Normal</v>
      </c>
      <c r="I676" s="199"/>
      <c r="J676" s="199"/>
      <c r="K676" s="199"/>
      <c r="L676" s="199">
        <f>IFERROR(__xludf.DUMMYFUNCTION("""COMPUTED_VALUE"""),480.0)</f>
        <v>480</v>
      </c>
      <c r="M676" s="199">
        <f>IFERROR(__xludf.DUMMYFUNCTION("""COMPUTED_VALUE"""),485.3)</f>
        <v>485.3</v>
      </c>
      <c r="N676" s="37"/>
      <c r="O676" s="199">
        <f>IFERROR(__xludf.DUMMYFUNCTION("""COMPUTED_VALUE"""),4.0)</f>
        <v>4</v>
      </c>
      <c r="P676" s="199">
        <f>IFERROR(__xludf.DUMMYFUNCTION("""COMPUTED_VALUE"""),0.2)</f>
        <v>0.2</v>
      </c>
      <c r="Q676" s="199">
        <f>IFERROR(__xludf.DUMMYFUNCTION("""COMPUTED_VALUE"""),0.0)</f>
        <v>0</v>
      </c>
      <c r="R676" s="199">
        <f>IFERROR(__xludf.DUMMYFUNCTION("""COMPUTED_VALUE"""),101.0)</f>
        <v>101</v>
      </c>
      <c r="S676" s="199">
        <f>IFERROR(__xludf.DUMMYFUNCTION("""COMPUTED_VALUE"""),4.0)</f>
        <v>4</v>
      </c>
      <c r="T676" s="199">
        <f>IFERROR(__xludf.DUMMYFUNCTION("""COMPUTED_VALUE"""),25.0)</f>
        <v>25</v>
      </c>
      <c r="U676" s="199">
        <f>IFERROR(__xludf.DUMMYFUNCTION("""COMPUTED_VALUE"""),307.0)</f>
        <v>307</v>
      </c>
      <c r="V676" s="199">
        <f>IFERROR(__xludf.DUMMYFUNCTION("""COMPUTED_VALUE"""),0.0)</f>
        <v>0</v>
      </c>
      <c r="W676" s="199">
        <f>IFERROR(__xludf.DUMMYFUNCTION("""COMPUTED_VALUE"""),0.0)</f>
        <v>0</v>
      </c>
      <c r="X676" s="199">
        <f>IFERROR(__xludf.DUMMYFUNCTION("""COMPUTED_VALUE"""),0.0)</f>
        <v>0</v>
      </c>
      <c r="Y676" s="199">
        <f>IFERROR(__xludf.DUMMYFUNCTION("""COMPUTED_VALUE"""),4.0)</f>
        <v>4</v>
      </c>
      <c r="Z676" s="199">
        <f>IFERROR(__xludf.DUMMYFUNCTION("""COMPUTED_VALUE"""),2.0)</f>
        <v>2</v>
      </c>
      <c r="AA676" s="199">
        <f>IFERROR(__xludf.DUMMYFUNCTION("""COMPUTED_VALUE"""),0.0)</f>
        <v>0</v>
      </c>
      <c r="AB676" s="199">
        <f>IFERROR(__xludf.DUMMYFUNCTION("""COMPUTED_VALUE"""),377.0)</f>
        <v>377</v>
      </c>
      <c r="AC676" s="199">
        <f>IFERROR(__xludf.DUMMYFUNCTION("""COMPUTED_VALUE"""),41.0)</f>
        <v>41</v>
      </c>
      <c r="AD676" s="199">
        <f>IFERROR(__xludf.DUMMYFUNCTION("""COMPUTED_VALUE"""),0.0)</f>
        <v>0</v>
      </c>
      <c r="AE676" s="199">
        <f>IFERROR(__xludf.DUMMYFUNCTION("""COMPUTED_VALUE"""),1176.0)</f>
        <v>1176</v>
      </c>
      <c r="AF676" s="199">
        <f>IFERROR(__xludf.DUMMYFUNCTION("""COMPUTED_VALUE"""),69.0)</f>
        <v>69</v>
      </c>
      <c r="AG676" s="199">
        <f>IFERROR(__xludf.DUMMYFUNCTION("""COMPUTED_VALUE"""),359.0)</f>
        <v>359</v>
      </c>
      <c r="AH676" s="199">
        <f>IFERROR(__xludf.DUMMYFUNCTION("""COMPUTED_VALUE"""),14.0)</f>
        <v>14</v>
      </c>
      <c r="AI676" s="200" t="str">
        <f>IFERROR(__xludf.DUMMYFUNCTION("""COMPUTED_VALUE"""),"Wear Metal Alert | Contamination Alert | Water Ingress | High Particle Count")</f>
        <v>Wear Metal Alert | Contamination Alert | Water Ingress | High Particle Count</v>
      </c>
      <c r="AJ676" s="200" t="str">
        <f>IFERROR(__xludf.DUMMYFUNCTION("""COMPUTED_VALUE"""),"URGENT: Inspect equipment immediately for wear/damage; Critical wear metals - schedule immediate inspection; Water detected - inspect seals and breathers; Very high silicon - check/replace air filters and seals; Critical particle count - flush system and "&amp;"replace filters")</f>
        <v>URGENT: Inspect equipment immediately for wear/damage; Critical wear metals - schedule immediate inspection; Water detected - inspect seals and breathers; Very high silicon - check/replace air filters and seals; Critical particle count - flush system and replace filters</v>
      </c>
      <c r="AK676" s="204"/>
      <c r="AL676" s="204"/>
      <c r="AM676" s="204"/>
    </row>
    <row r="677" hidden="1">
      <c r="A677" s="199" t="str">
        <f>IFERROR(__xludf.DUMMYFUNCTION("""COMPUTED_VALUE"""),"533.LQ110")</f>
        <v>533.LQ110</v>
      </c>
      <c r="B677" s="200" t="str">
        <f>IFERROR(__xludf.DUMMYFUNCTION("""COMPUTED_VALUE"""),"Cement Mill #3 Inlet Shoe Beating Lubrication Unit")</f>
        <v>Cement Mill #3 Inlet Shoe Beating Lubrication Unit</v>
      </c>
      <c r="C677" s="199">
        <f>IFERROR(__xludf.DUMMYFUNCTION("""COMPUTED_VALUE"""),2.6124405226E10)</f>
        <v>26124405226</v>
      </c>
      <c r="D677" s="201">
        <f>IFERROR(__xludf.DUMMYFUNCTION("""COMPUTED_VALUE"""),46139.0)</f>
        <v>46139</v>
      </c>
      <c r="E677" s="202" t="str">
        <f>IFERROR(__xludf.DUMMYFUNCTION("""COMPUTED_VALUE"""),"Alert")</f>
        <v>Alert</v>
      </c>
      <c r="F677" s="202" t="str">
        <f>IFERROR(__xludf.DUMMYFUNCTION("""COMPUTED_VALUE"""),"Alert")</f>
        <v>Alert</v>
      </c>
      <c r="G677" s="203" t="str">
        <f>IFERROR(__xludf.DUMMYFUNCTION("""COMPUTED_VALUE"""),"Alert")</f>
        <v>Alert</v>
      </c>
      <c r="H677" s="203" t="str">
        <f>IFERROR(__xludf.DUMMYFUNCTION("""COMPUTED_VALUE"""),"Caution")</f>
        <v>Caution</v>
      </c>
      <c r="I677" s="199"/>
      <c r="J677" s="199"/>
      <c r="K677" s="199"/>
      <c r="L677" s="199">
        <f>IFERROR(__xludf.DUMMYFUNCTION("""COMPUTED_VALUE"""),143.0)</f>
        <v>143</v>
      </c>
      <c r="M677" s="199">
        <f>IFERROR(__xludf.DUMMYFUNCTION("""COMPUTED_VALUE"""),444.4)</f>
        <v>444.4</v>
      </c>
      <c r="N677" s="37"/>
      <c r="O677" s="199">
        <f>IFERROR(__xludf.DUMMYFUNCTION("""COMPUTED_VALUE"""),5.0)</f>
        <v>5</v>
      </c>
      <c r="P677" s="199">
        <f>IFERROR(__xludf.DUMMYFUNCTION("""COMPUTED_VALUE"""),0.4)</f>
        <v>0.4</v>
      </c>
      <c r="Q677" s="199">
        <f>IFERROR(__xludf.DUMMYFUNCTION("""COMPUTED_VALUE"""),0.0)</f>
        <v>0</v>
      </c>
      <c r="R677" s="199">
        <f>IFERROR(__xludf.DUMMYFUNCTION("""COMPUTED_VALUE"""),40.0)</f>
        <v>40</v>
      </c>
      <c r="S677" s="199">
        <f>IFERROR(__xludf.DUMMYFUNCTION("""COMPUTED_VALUE"""),0.0)</f>
        <v>0</v>
      </c>
      <c r="T677" s="199">
        <f>IFERROR(__xludf.DUMMYFUNCTION("""COMPUTED_VALUE"""),132.0)</f>
        <v>132</v>
      </c>
      <c r="U677" s="199">
        <f>IFERROR(__xludf.DUMMYFUNCTION("""COMPUTED_VALUE"""),102.0)</f>
        <v>102</v>
      </c>
      <c r="V677" s="199">
        <f>IFERROR(__xludf.DUMMYFUNCTION("""COMPUTED_VALUE"""),3.0)</f>
        <v>3</v>
      </c>
      <c r="W677" s="199">
        <f>IFERROR(__xludf.DUMMYFUNCTION("""COMPUTED_VALUE"""),0.0)</f>
        <v>0</v>
      </c>
      <c r="X677" s="199">
        <f>IFERROR(__xludf.DUMMYFUNCTION("""COMPUTED_VALUE"""),67.0)</f>
        <v>67</v>
      </c>
      <c r="Y677" s="199">
        <f>IFERROR(__xludf.DUMMYFUNCTION("""COMPUTED_VALUE"""),0.0)</f>
        <v>0</v>
      </c>
      <c r="Z677" s="199">
        <f>IFERROR(__xludf.DUMMYFUNCTION("""COMPUTED_VALUE"""),15.0)</f>
        <v>15</v>
      </c>
      <c r="AA677" s="199">
        <f>IFERROR(__xludf.DUMMYFUNCTION("""COMPUTED_VALUE"""),20.0)</f>
        <v>20</v>
      </c>
      <c r="AB677" s="199">
        <f>IFERROR(__xludf.DUMMYFUNCTION("""COMPUTED_VALUE"""),388.0)</f>
        <v>388</v>
      </c>
      <c r="AC677" s="199">
        <f>IFERROR(__xludf.DUMMYFUNCTION("""COMPUTED_VALUE"""),12.0)</f>
        <v>12</v>
      </c>
      <c r="AD677" s="199">
        <f>IFERROR(__xludf.DUMMYFUNCTION("""COMPUTED_VALUE"""),0.0)</f>
        <v>0</v>
      </c>
      <c r="AE677" s="199">
        <f>IFERROR(__xludf.DUMMYFUNCTION("""COMPUTED_VALUE"""),621.0)</f>
        <v>621</v>
      </c>
      <c r="AF677" s="199">
        <f>IFERROR(__xludf.DUMMYFUNCTION("""COMPUTED_VALUE"""),23.0)</f>
        <v>23</v>
      </c>
      <c r="AG677" s="199">
        <f>IFERROR(__xludf.DUMMYFUNCTION("""COMPUTED_VALUE"""),398.0)</f>
        <v>398</v>
      </c>
      <c r="AH677" s="199">
        <f>IFERROR(__xludf.DUMMYFUNCTION("""COMPUTED_VALUE"""),59.0)</f>
        <v>59</v>
      </c>
      <c r="AI677" s="200" t="str">
        <f>IFERROR(__xludf.DUMMYFUNCTION("""COMPUTED_VALUE"""),"Wear Metal Alert | Contamination Alert | Water Ingress | High Particle Count")</f>
        <v>Wear Metal Alert | Contamination Alert | Water Ingress | High Particle Count</v>
      </c>
      <c r="AJ677" s="200" t="str">
        <f>IFERROR(__xludf.DUMMYFUNCTION("""COMPUTED_VALUE"""),"URGENT: Inspect equipment immediately for wear/damage; High wear metals - inspect bearing/gear surfaces; High water contamination - check seals, drain immediately; Severe oxidation - urgent lubricant change required; Very high silicon - check/replace air "&amp;"filters and seals; High particle count - replace filters and resample")</f>
        <v>URGENT: Inspect equipment immediately for wear/damage; High wear metals - inspect bearing/gear surfaces; High water contamination - check seals, drain immediately; Severe oxidation - urgent lubricant change required; Very high silicon - check/replace air filters and seals; High particle count - replace filters and resample</v>
      </c>
      <c r="AK677" s="204"/>
      <c r="AL677" s="204"/>
      <c r="AM677" s="204"/>
    </row>
    <row r="678" hidden="1">
      <c r="A678" s="199" t="str">
        <f>IFERROR(__xludf.DUMMYFUNCTION("""COMPUTED_VALUE"""),"533.LQ120")</f>
        <v>533.LQ120</v>
      </c>
      <c r="B678" s="200" t="str">
        <f>IFERROR(__xludf.DUMMYFUNCTION("""COMPUTED_VALUE"""),"Cement Mill #3 Outlet Shoe Beating Lubrication Unit")</f>
        <v>Cement Mill #3 Outlet Shoe Beating Lubrication Unit</v>
      </c>
      <c r="C678" s="199">
        <f>IFERROR(__xludf.DUMMYFUNCTION("""COMPUTED_VALUE"""),2.612440523E10)</f>
        <v>26124405230</v>
      </c>
      <c r="D678" s="201">
        <f>IFERROR(__xludf.DUMMYFUNCTION("""COMPUTED_VALUE"""),46139.0)</f>
        <v>46139</v>
      </c>
      <c r="E678" s="202" t="str">
        <f>IFERROR(__xludf.DUMMYFUNCTION("""COMPUTED_VALUE"""),"Alert")</f>
        <v>Alert</v>
      </c>
      <c r="F678" s="202" t="str">
        <f>IFERROR(__xludf.DUMMYFUNCTION("""COMPUTED_VALUE"""),"Alert")</f>
        <v>Alert</v>
      </c>
      <c r="G678" s="203" t="str">
        <f>IFERROR(__xludf.DUMMYFUNCTION("""COMPUTED_VALUE"""),"Normal")</f>
        <v>Normal</v>
      </c>
      <c r="H678" s="203" t="str">
        <f>IFERROR(__xludf.DUMMYFUNCTION("""COMPUTED_VALUE"""),"Normal")</f>
        <v>Normal</v>
      </c>
      <c r="I678" s="199"/>
      <c r="J678" s="199"/>
      <c r="K678" s="199"/>
      <c r="L678" s="199">
        <f>IFERROR(__xludf.DUMMYFUNCTION("""COMPUTED_VALUE"""),41.0)</f>
        <v>41</v>
      </c>
      <c r="M678" s="199">
        <f>IFERROR(__xludf.DUMMYFUNCTION("""COMPUTED_VALUE"""),442.6)</f>
        <v>442.6</v>
      </c>
      <c r="N678" s="37"/>
      <c r="O678" s="199">
        <f>IFERROR(__xludf.DUMMYFUNCTION("""COMPUTED_VALUE"""),1.0)</f>
        <v>1</v>
      </c>
      <c r="P678" s="199">
        <f>IFERROR(__xludf.DUMMYFUNCTION("""COMPUTED_VALUE"""),0.2)</f>
        <v>0.2</v>
      </c>
      <c r="Q678" s="199">
        <f>IFERROR(__xludf.DUMMYFUNCTION("""COMPUTED_VALUE"""),0.0)</f>
        <v>0</v>
      </c>
      <c r="R678" s="199">
        <f>IFERROR(__xludf.DUMMYFUNCTION("""COMPUTED_VALUE"""),4.0)</f>
        <v>4</v>
      </c>
      <c r="S678" s="199">
        <f>IFERROR(__xludf.DUMMYFUNCTION("""COMPUTED_VALUE"""),0.0)</f>
        <v>0</v>
      </c>
      <c r="T678" s="199">
        <f>IFERROR(__xludf.DUMMYFUNCTION("""COMPUTED_VALUE"""),18.0)</f>
        <v>18</v>
      </c>
      <c r="U678" s="199">
        <f>IFERROR(__xludf.DUMMYFUNCTION("""COMPUTED_VALUE"""),29.0)</f>
        <v>29</v>
      </c>
      <c r="V678" s="199">
        <f>IFERROR(__xludf.DUMMYFUNCTION("""COMPUTED_VALUE"""),0.0)</f>
        <v>0</v>
      </c>
      <c r="W678" s="199">
        <f>IFERROR(__xludf.DUMMYFUNCTION("""COMPUTED_VALUE"""),0.0)</f>
        <v>0</v>
      </c>
      <c r="X678" s="199">
        <f>IFERROR(__xludf.DUMMYFUNCTION("""COMPUTED_VALUE"""),2.0)</f>
        <v>2</v>
      </c>
      <c r="Y678" s="199">
        <f>IFERROR(__xludf.DUMMYFUNCTION("""COMPUTED_VALUE"""),0.0)</f>
        <v>0</v>
      </c>
      <c r="Z678" s="199">
        <f>IFERROR(__xludf.DUMMYFUNCTION("""COMPUTED_VALUE"""),0.0)</f>
        <v>0</v>
      </c>
      <c r="AA678" s="199">
        <f>IFERROR(__xludf.DUMMYFUNCTION("""COMPUTED_VALUE"""),0.0)</f>
        <v>0</v>
      </c>
      <c r="AB678" s="199">
        <f>IFERROR(__xludf.DUMMYFUNCTION("""COMPUTED_VALUE"""),33.0)</f>
        <v>33</v>
      </c>
      <c r="AC678" s="199">
        <f>IFERROR(__xludf.DUMMYFUNCTION("""COMPUTED_VALUE"""),16.0)</f>
        <v>16</v>
      </c>
      <c r="AD678" s="199">
        <f>IFERROR(__xludf.DUMMYFUNCTION("""COMPUTED_VALUE"""),0.0)</f>
        <v>0</v>
      </c>
      <c r="AE678" s="199">
        <f>IFERROR(__xludf.DUMMYFUNCTION("""COMPUTED_VALUE"""),125.0)</f>
        <v>125</v>
      </c>
      <c r="AF678" s="199">
        <f>IFERROR(__xludf.DUMMYFUNCTION("""COMPUTED_VALUE"""),2.0)</f>
        <v>2</v>
      </c>
      <c r="AG678" s="199">
        <f>IFERROR(__xludf.DUMMYFUNCTION("""COMPUTED_VALUE"""),385.0)</f>
        <v>385</v>
      </c>
      <c r="AH678" s="199">
        <f>IFERROR(__xludf.DUMMYFUNCTION("""COMPUTED_VALUE"""),5.0)</f>
        <v>5</v>
      </c>
      <c r="AI678" s="200" t="str">
        <f>IFERROR(__xludf.DUMMYFUNCTION("""COMPUTED_VALUE"""),"Water Ingress")</f>
        <v>Water Ingress</v>
      </c>
      <c r="AJ678" s="200" t="str">
        <f>IFERROR(__xludf.DUMMYFUNCTION("""COMPUTED_VALUE"""),"Water detected - inspect seals and breathers; Elevated silicon - inspect filters and seals")</f>
        <v>Water detected - inspect seals and breathers; Elevated silicon - inspect filters and seals</v>
      </c>
      <c r="AK678" s="204"/>
      <c r="AL678" s="204"/>
      <c r="AM678" s="204"/>
    </row>
    <row r="679" hidden="1">
      <c r="A679" s="199" t="str">
        <f>IFERROR(__xludf.DUMMYFUNCTION("""COMPUTED_VALUE"""),"533.LQ145")</f>
        <v>533.LQ145</v>
      </c>
      <c r="B679" s="200" t="str">
        <f>IFERROR(__xludf.DUMMYFUNCTION("""COMPUTED_VALUE"""),"Cement Mill #3 Gearbox Lubrication Unit")</f>
        <v>Cement Mill #3 Gearbox Lubrication Unit</v>
      </c>
      <c r="C679" s="199">
        <f>IFERROR(__xludf.DUMMYFUNCTION("""COMPUTED_VALUE"""),2.6124405249E10)</f>
        <v>26124405249</v>
      </c>
      <c r="D679" s="201">
        <f>IFERROR(__xludf.DUMMYFUNCTION("""COMPUTED_VALUE"""),46139.0)</f>
        <v>46139</v>
      </c>
      <c r="E679" s="202" t="str">
        <f>IFERROR(__xludf.DUMMYFUNCTION("""COMPUTED_VALUE"""),"Alert")</f>
        <v>Alert</v>
      </c>
      <c r="F679" s="202" t="str">
        <f>IFERROR(__xludf.DUMMYFUNCTION("""COMPUTED_VALUE"""),"Alert")</f>
        <v>Alert</v>
      </c>
      <c r="G679" s="203" t="str">
        <f>IFERROR(__xludf.DUMMYFUNCTION("""COMPUTED_VALUE"""),"Alert")</f>
        <v>Alert</v>
      </c>
      <c r="H679" s="203" t="str">
        <f>IFERROR(__xludf.DUMMYFUNCTION("""COMPUTED_VALUE"""),"Normal")</f>
        <v>Normal</v>
      </c>
      <c r="I679" s="37"/>
      <c r="J679" s="37"/>
      <c r="K679" s="37"/>
      <c r="L679" s="199">
        <f>IFERROR(__xludf.DUMMYFUNCTION("""COMPUTED_VALUE"""),783.0)</f>
        <v>783</v>
      </c>
      <c r="M679" s="199">
        <f>IFERROR(__xludf.DUMMYFUNCTION("""COMPUTED_VALUE"""),466.4)</f>
        <v>466.4</v>
      </c>
      <c r="N679" s="37"/>
      <c r="O679" s="199">
        <f>IFERROR(__xludf.DUMMYFUNCTION("""COMPUTED_VALUE"""),4.0)</f>
        <v>4</v>
      </c>
      <c r="P679" s="199">
        <f>IFERROR(__xludf.DUMMYFUNCTION("""COMPUTED_VALUE"""),0.3)</f>
        <v>0.3</v>
      </c>
      <c r="Q679" s="199">
        <f>IFERROR(__xludf.DUMMYFUNCTION("""COMPUTED_VALUE"""),0.0)</f>
        <v>0</v>
      </c>
      <c r="R679" s="199">
        <f>IFERROR(__xludf.DUMMYFUNCTION("""COMPUTED_VALUE"""),165.0)</f>
        <v>165</v>
      </c>
      <c r="S679" s="199">
        <f>IFERROR(__xludf.DUMMYFUNCTION("""COMPUTED_VALUE"""),2.0)</f>
        <v>2</v>
      </c>
      <c r="T679" s="199">
        <f>IFERROR(__xludf.DUMMYFUNCTION("""COMPUTED_VALUE"""),43.0)</f>
        <v>43</v>
      </c>
      <c r="U679" s="199">
        <f>IFERROR(__xludf.DUMMYFUNCTION("""COMPUTED_VALUE"""),327.0)</f>
        <v>327</v>
      </c>
      <c r="V679" s="199">
        <f>IFERROR(__xludf.DUMMYFUNCTION("""COMPUTED_VALUE"""),0.0)</f>
        <v>0</v>
      </c>
      <c r="W679" s="199">
        <f>IFERROR(__xludf.DUMMYFUNCTION("""COMPUTED_VALUE"""),0.0)</f>
        <v>0</v>
      </c>
      <c r="X679" s="199">
        <f>IFERROR(__xludf.DUMMYFUNCTION("""COMPUTED_VALUE"""),1.0)</f>
        <v>1</v>
      </c>
      <c r="Y679" s="199">
        <f>IFERROR(__xludf.DUMMYFUNCTION("""COMPUTED_VALUE"""),18.0)</f>
        <v>18</v>
      </c>
      <c r="Z679" s="199">
        <f>IFERROR(__xludf.DUMMYFUNCTION("""COMPUTED_VALUE"""),29.0)</f>
        <v>29</v>
      </c>
      <c r="AA679" s="199">
        <f>IFERROR(__xludf.DUMMYFUNCTION("""COMPUTED_VALUE"""),37.0)</f>
        <v>37</v>
      </c>
      <c r="AB679" s="199">
        <f>IFERROR(__xludf.DUMMYFUNCTION("""COMPUTED_VALUE"""),588.0)</f>
        <v>588</v>
      </c>
      <c r="AC679" s="199">
        <f>IFERROR(__xludf.DUMMYFUNCTION("""COMPUTED_VALUE"""),10.0)</f>
        <v>10</v>
      </c>
      <c r="AD679" s="199">
        <f>IFERROR(__xludf.DUMMYFUNCTION("""COMPUTED_VALUE"""),0.0)</f>
        <v>0</v>
      </c>
      <c r="AE679" s="199">
        <f>IFERROR(__xludf.DUMMYFUNCTION("""COMPUTED_VALUE"""),2224.0)</f>
        <v>2224</v>
      </c>
      <c r="AF679" s="199">
        <f>IFERROR(__xludf.DUMMYFUNCTION("""COMPUTED_VALUE"""),0.0)</f>
        <v>0</v>
      </c>
      <c r="AG679" s="199">
        <f>IFERROR(__xludf.DUMMYFUNCTION("""COMPUTED_VALUE"""),387.0)</f>
        <v>387</v>
      </c>
      <c r="AH679" s="199">
        <f>IFERROR(__xludf.DUMMYFUNCTION("""COMPUTED_VALUE"""),18.0)</f>
        <v>18</v>
      </c>
      <c r="AI679" s="200" t="str">
        <f>IFERROR(__xludf.DUMMYFUNCTION("""COMPUTED_VALUE"""),"Wear Metal Alert | Contamination Alert | Water Ingress | High Particle Count")</f>
        <v>Wear Metal Alert | Contamination Alert | Water Ingress | High Particle Count</v>
      </c>
      <c r="AJ679" s="200" t="str">
        <f>IFERROR(__xludf.DUMMYFUNCTION("""COMPUTED_VALUE"""),"URGENT: Inspect equipment immediately for wear/damage; Critical wear metals - schedule immediate inspection; High water contamination - check seals, drain immediately; Very high silicon - check/replace air filters and seals; Critical particle count - flus"&amp;"h system and replace filters")</f>
        <v>URGENT: Inspect equipment immediately for wear/damage; Critical wear metals - schedule immediate inspection; High water contamination - check seals, drain immediately; Very high silicon - check/replace air filters and seals; Critical particle count - flush system and replace filters</v>
      </c>
      <c r="AK679" s="204"/>
      <c r="AL679" s="204"/>
      <c r="AM679" s="204"/>
    </row>
    <row r="680" hidden="1">
      <c r="A680" s="199" t="str">
        <f>IFERROR(__xludf.DUMMYFUNCTION("""COMPUTED_VALUE"""),"534.LQ110")</f>
        <v>534.LQ110</v>
      </c>
      <c r="B680" s="200" t="str">
        <f>IFERROR(__xludf.DUMMYFUNCTION("""COMPUTED_VALUE"""),"Cement Mill #4 Inlet Shoe Beating Lubrication Unit")</f>
        <v>Cement Mill #4 Inlet Shoe Beating Lubrication Unit</v>
      </c>
      <c r="C680" s="199">
        <f>IFERROR(__xludf.DUMMYFUNCTION("""COMPUTED_VALUE"""),2.6124405251E10)</f>
        <v>26124405251</v>
      </c>
      <c r="D680" s="201">
        <f>IFERROR(__xludf.DUMMYFUNCTION("""COMPUTED_VALUE"""),46139.0)</f>
        <v>46139</v>
      </c>
      <c r="E680" s="202" t="str">
        <f>IFERROR(__xludf.DUMMYFUNCTION("""COMPUTED_VALUE"""),"Alert")</f>
        <v>Alert</v>
      </c>
      <c r="F680" s="202" t="str">
        <f>IFERROR(__xludf.DUMMYFUNCTION("""COMPUTED_VALUE"""),"Alert")</f>
        <v>Alert</v>
      </c>
      <c r="G680" s="203" t="str">
        <f>IFERROR(__xludf.DUMMYFUNCTION("""COMPUTED_VALUE"""),"Alert")</f>
        <v>Alert</v>
      </c>
      <c r="H680" s="203" t="str">
        <f>IFERROR(__xludf.DUMMYFUNCTION("""COMPUTED_VALUE"""),"Normal")</f>
        <v>Normal</v>
      </c>
      <c r="I680" s="199"/>
      <c r="J680" s="199"/>
      <c r="K680" s="199"/>
      <c r="L680" s="199">
        <f>IFERROR(__xludf.DUMMYFUNCTION("""COMPUTED_VALUE"""),92.0)</f>
        <v>92</v>
      </c>
      <c r="M680" s="199">
        <f>IFERROR(__xludf.DUMMYFUNCTION("""COMPUTED_VALUE"""),442.4)</f>
        <v>442.4</v>
      </c>
      <c r="N680" s="37"/>
      <c r="O680" s="199">
        <f>IFERROR(__xludf.DUMMYFUNCTION("""COMPUTED_VALUE"""),0.0)</f>
        <v>0</v>
      </c>
      <c r="P680" s="199">
        <f>IFERROR(__xludf.DUMMYFUNCTION("""COMPUTED_VALUE"""),0.2)</f>
        <v>0.2</v>
      </c>
      <c r="Q680" s="199">
        <f>IFERROR(__xludf.DUMMYFUNCTION("""COMPUTED_VALUE"""),0.0)</f>
        <v>0</v>
      </c>
      <c r="R680" s="199">
        <f>IFERROR(__xludf.DUMMYFUNCTION("""COMPUTED_VALUE"""),23.0)</f>
        <v>23</v>
      </c>
      <c r="S680" s="199">
        <f>IFERROR(__xludf.DUMMYFUNCTION("""COMPUTED_VALUE"""),0.0)</f>
        <v>0</v>
      </c>
      <c r="T680" s="199">
        <f>IFERROR(__xludf.DUMMYFUNCTION("""COMPUTED_VALUE"""),88.0)</f>
        <v>88</v>
      </c>
      <c r="U680" s="199">
        <f>IFERROR(__xludf.DUMMYFUNCTION("""COMPUTED_VALUE"""),68.0)</f>
        <v>68</v>
      </c>
      <c r="V680" s="199">
        <f>IFERROR(__xludf.DUMMYFUNCTION("""COMPUTED_VALUE"""),2.0)</f>
        <v>2</v>
      </c>
      <c r="W680" s="199">
        <f>IFERROR(__xludf.DUMMYFUNCTION("""COMPUTED_VALUE"""),0.0)</f>
        <v>0</v>
      </c>
      <c r="X680" s="199">
        <f>IFERROR(__xludf.DUMMYFUNCTION("""COMPUTED_VALUE"""),120.0)</f>
        <v>120</v>
      </c>
      <c r="Y680" s="199">
        <f>IFERROR(__xludf.DUMMYFUNCTION("""COMPUTED_VALUE"""),20.0)</f>
        <v>20</v>
      </c>
      <c r="Z680" s="199">
        <f>IFERROR(__xludf.DUMMYFUNCTION("""COMPUTED_VALUE"""),0.0)</f>
        <v>0</v>
      </c>
      <c r="AA680" s="199">
        <f>IFERROR(__xludf.DUMMYFUNCTION("""COMPUTED_VALUE"""),0.0)</f>
        <v>0</v>
      </c>
      <c r="AB680" s="199">
        <f>IFERROR(__xludf.DUMMYFUNCTION("""COMPUTED_VALUE"""),87.0)</f>
        <v>87</v>
      </c>
      <c r="AC680" s="199">
        <f>IFERROR(__xludf.DUMMYFUNCTION("""COMPUTED_VALUE"""),0.0)</f>
        <v>0</v>
      </c>
      <c r="AD680" s="199">
        <f>IFERROR(__xludf.DUMMYFUNCTION("""COMPUTED_VALUE"""),0.0)</f>
        <v>0</v>
      </c>
      <c r="AE680" s="199">
        <f>IFERROR(__xludf.DUMMYFUNCTION("""COMPUTED_VALUE"""),329.0)</f>
        <v>329</v>
      </c>
      <c r="AF680" s="199">
        <f>IFERROR(__xludf.DUMMYFUNCTION("""COMPUTED_VALUE"""),13.0)</f>
        <v>13</v>
      </c>
      <c r="AG680" s="199">
        <f>IFERROR(__xludf.DUMMYFUNCTION("""COMPUTED_VALUE"""),396.0)</f>
        <v>396</v>
      </c>
      <c r="AH680" s="199">
        <f>IFERROR(__xludf.DUMMYFUNCTION("""COMPUTED_VALUE"""),5.0)</f>
        <v>5</v>
      </c>
      <c r="AI680" s="200" t="str">
        <f>IFERROR(__xludf.DUMMYFUNCTION("""COMPUTED_VALUE"""),"Wear Metal Alert | Contamination Alert | Water Ingress")</f>
        <v>Wear Metal Alert | Contamination Alert | Water Ingress</v>
      </c>
      <c r="AJ680" s="200" t="str">
        <f>IFERROR(__xludf.DUMMYFUNCTION("""COMPUTED_VALUE"""),"URGENT: Inspect equipment immediately for wear/damage; Water detected - inspect seals and breathers; Elevated silicon - inspect filters and seals; High particle count - replace filters and resample")</f>
        <v>URGENT: Inspect equipment immediately for wear/damage; Water detected - inspect seals and breathers; Elevated silicon - inspect filters and seals; High particle count - replace filters and resample</v>
      </c>
      <c r="AK680" s="204"/>
      <c r="AL680" s="204"/>
      <c r="AM680" s="204"/>
    </row>
    <row r="681" hidden="1">
      <c r="A681" s="199" t="str">
        <f>IFERROR(__xludf.DUMMYFUNCTION("""COMPUTED_VALUE"""),"534.LQ120")</f>
        <v>534.LQ120</v>
      </c>
      <c r="B681" s="200" t="str">
        <f>IFERROR(__xludf.DUMMYFUNCTION("""COMPUTED_VALUE"""),"Cement Mill #4 Outlet Shoe Beating Lubrication Unit")</f>
        <v>Cement Mill #4 Outlet Shoe Beating Lubrication Unit</v>
      </c>
      <c r="C681" s="199">
        <f>IFERROR(__xludf.DUMMYFUNCTION("""COMPUTED_VALUE"""),2.6124405252E10)</f>
        <v>26124405252</v>
      </c>
      <c r="D681" s="201">
        <f>IFERROR(__xludf.DUMMYFUNCTION("""COMPUTED_VALUE"""),46139.0)</f>
        <v>46139</v>
      </c>
      <c r="E681" s="202" t="str">
        <f>IFERROR(__xludf.DUMMYFUNCTION("""COMPUTED_VALUE"""),"Alert")</f>
        <v>Alert</v>
      </c>
      <c r="F681" s="202" t="str">
        <f>IFERROR(__xludf.DUMMYFUNCTION("""COMPUTED_VALUE"""),"Alert")</f>
        <v>Alert</v>
      </c>
      <c r="G681" s="203" t="str">
        <f>IFERROR(__xludf.DUMMYFUNCTION("""COMPUTED_VALUE"""),"Alert")</f>
        <v>Alert</v>
      </c>
      <c r="H681" s="203" t="str">
        <f>IFERROR(__xludf.DUMMYFUNCTION("""COMPUTED_VALUE"""),"Normal")</f>
        <v>Normal</v>
      </c>
      <c r="I681" s="199"/>
      <c r="J681" s="199"/>
      <c r="K681" s="199"/>
      <c r="L681" s="199">
        <f>IFERROR(__xludf.DUMMYFUNCTION("""COMPUTED_VALUE"""),107.0)</f>
        <v>107</v>
      </c>
      <c r="M681" s="199">
        <f>IFERROR(__xludf.DUMMYFUNCTION("""COMPUTED_VALUE"""),468.8)</f>
        <v>468.8</v>
      </c>
      <c r="N681" s="37"/>
      <c r="O681" s="199">
        <f>IFERROR(__xludf.DUMMYFUNCTION("""COMPUTED_VALUE"""),4.0)</f>
        <v>4</v>
      </c>
      <c r="P681" s="199">
        <f>IFERROR(__xludf.DUMMYFUNCTION("""COMPUTED_VALUE"""),0.22)</f>
        <v>0.22</v>
      </c>
      <c r="Q681" s="199">
        <f>IFERROR(__xludf.DUMMYFUNCTION("""COMPUTED_VALUE"""),0.0)</f>
        <v>0</v>
      </c>
      <c r="R681" s="199">
        <f>IFERROR(__xludf.DUMMYFUNCTION("""COMPUTED_VALUE"""),21.0)</f>
        <v>21</v>
      </c>
      <c r="S681" s="199">
        <f>IFERROR(__xludf.DUMMYFUNCTION("""COMPUTED_VALUE"""),0.0)</f>
        <v>0</v>
      </c>
      <c r="T681" s="199">
        <f>IFERROR(__xludf.DUMMYFUNCTION("""COMPUTED_VALUE"""),312.0)</f>
        <v>312</v>
      </c>
      <c r="U681" s="199">
        <f>IFERROR(__xludf.DUMMYFUNCTION("""COMPUTED_VALUE"""),109.0)</f>
        <v>109</v>
      </c>
      <c r="V681" s="199">
        <f>IFERROR(__xludf.DUMMYFUNCTION("""COMPUTED_VALUE"""),0.0)</f>
        <v>0</v>
      </c>
      <c r="W681" s="199">
        <f>IFERROR(__xludf.DUMMYFUNCTION("""COMPUTED_VALUE"""),0.0)</f>
        <v>0</v>
      </c>
      <c r="X681" s="199">
        <f>IFERROR(__xludf.DUMMYFUNCTION("""COMPUTED_VALUE"""),23.0)</f>
        <v>23</v>
      </c>
      <c r="Y681" s="199">
        <f>IFERROR(__xludf.DUMMYFUNCTION("""COMPUTED_VALUE"""),12.0)</f>
        <v>12</v>
      </c>
      <c r="Z681" s="199">
        <f>IFERROR(__xludf.DUMMYFUNCTION("""COMPUTED_VALUE"""),2.0)</f>
        <v>2</v>
      </c>
      <c r="AA681" s="199">
        <f>IFERROR(__xludf.DUMMYFUNCTION("""COMPUTED_VALUE"""),6.0)</f>
        <v>6</v>
      </c>
      <c r="AB681" s="199">
        <f>IFERROR(__xludf.DUMMYFUNCTION("""COMPUTED_VALUE"""),80.0)</f>
        <v>80</v>
      </c>
      <c r="AC681" s="199">
        <f>IFERROR(__xludf.DUMMYFUNCTION("""COMPUTED_VALUE"""),17.0)</f>
        <v>17</v>
      </c>
      <c r="AD681" s="199">
        <f>IFERROR(__xludf.DUMMYFUNCTION("""COMPUTED_VALUE"""),0.0)</f>
        <v>0</v>
      </c>
      <c r="AE681" s="199">
        <f>IFERROR(__xludf.DUMMYFUNCTION("""COMPUTED_VALUE"""),374.0)</f>
        <v>374</v>
      </c>
      <c r="AF681" s="199">
        <f>IFERROR(__xludf.DUMMYFUNCTION("""COMPUTED_VALUE"""),12.0)</f>
        <v>12</v>
      </c>
      <c r="AG681" s="199">
        <f>IFERROR(__xludf.DUMMYFUNCTION("""COMPUTED_VALUE"""),404.0)</f>
        <v>404</v>
      </c>
      <c r="AH681" s="199">
        <f>IFERROR(__xludf.DUMMYFUNCTION("""COMPUTED_VALUE"""),8.0)</f>
        <v>8</v>
      </c>
      <c r="AI681" s="200" t="str">
        <f>IFERROR(__xludf.DUMMYFUNCTION("""COMPUTED_VALUE"""),"Wear Metal Alert | Contamination Alert | Water Ingress | High Particle Count")</f>
        <v>Wear Metal Alert | Contamination Alert | Water Ingress | High Particle Count</v>
      </c>
      <c r="AJ681" s="200" t="str">
        <f>IFERROR(__xludf.DUMMYFUNCTION("""COMPUTED_VALUE"""),"URGENT: Inspect equipment immediately for wear/damage; Critical wear metals - schedule immediate inspection; High water contamination - check seals, drain immediately; Elevated silicon - inspect filters and seals; High particle count - replace filters and"&amp;" resample")</f>
        <v>URGENT: Inspect equipment immediately for wear/damage; Critical wear metals - schedule immediate inspection; High water contamination - check seals, drain immediately; Elevated silicon - inspect filters and seals; High particle count - replace filters and resample</v>
      </c>
      <c r="AK681" s="204"/>
      <c r="AL681" s="204"/>
      <c r="AM681" s="204"/>
    </row>
    <row r="682" hidden="1">
      <c r="A682" s="199" t="str">
        <f>IFERROR(__xludf.DUMMYFUNCTION("""COMPUTED_VALUE"""),"534.LQ145 - Gearbox")</f>
        <v>534.LQ145 - Gearbox</v>
      </c>
      <c r="B682" s="200" t="str">
        <f>IFERROR(__xludf.DUMMYFUNCTION("""COMPUTED_VALUE"""),"Cement Mill #4 Gearbox Lubrication Unit")</f>
        <v>Cement Mill #4 Gearbox Lubrication Unit</v>
      </c>
      <c r="C682" s="199">
        <f>IFERROR(__xludf.DUMMYFUNCTION("""COMPUTED_VALUE"""),2.6124405253E10)</f>
        <v>26124405253</v>
      </c>
      <c r="D682" s="201">
        <f>IFERROR(__xludf.DUMMYFUNCTION("""COMPUTED_VALUE"""),46139.0)</f>
        <v>46139</v>
      </c>
      <c r="E682" s="202" t="str">
        <f>IFERROR(__xludf.DUMMYFUNCTION("""COMPUTED_VALUE"""),"Alert")</f>
        <v>Alert</v>
      </c>
      <c r="F682" s="202" t="str">
        <f>IFERROR(__xludf.DUMMYFUNCTION("""COMPUTED_VALUE"""),"Alert")</f>
        <v>Alert</v>
      </c>
      <c r="G682" s="203" t="str">
        <f>IFERROR(__xludf.DUMMYFUNCTION("""COMPUTED_VALUE"""),"Alert")</f>
        <v>Alert</v>
      </c>
      <c r="H682" s="203" t="str">
        <f>IFERROR(__xludf.DUMMYFUNCTION("""COMPUTED_VALUE"""),"Normal")</f>
        <v>Normal</v>
      </c>
      <c r="I682" s="199"/>
      <c r="J682" s="199"/>
      <c r="K682" s="199"/>
      <c r="L682" s="199">
        <f>IFERROR(__xludf.DUMMYFUNCTION("""COMPUTED_VALUE"""),273.0)</f>
        <v>273</v>
      </c>
      <c r="M682" s="199">
        <f>IFERROR(__xludf.DUMMYFUNCTION("""COMPUTED_VALUE"""),447.2)</f>
        <v>447.2</v>
      </c>
      <c r="N682" s="37"/>
      <c r="O682" s="199">
        <f>IFERROR(__xludf.DUMMYFUNCTION("""COMPUTED_VALUE"""),0.0)</f>
        <v>0</v>
      </c>
      <c r="P682" s="199">
        <f>IFERROR(__xludf.DUMMYFUNCTION("""COMPUTED_VALUE"""),0.3)</f>
        <v>0.3</v>
      </c>
      <c r="Q682" s="199">
        <f>IFERROR(__xludf.DUMMYFUNCTION("""COMPUTED_VALUE"""),0.0)</f>
        <v>0</v>
      </c>
      <c r="R682" s="199">
        <f>IFERROR(__xludf.DUMMYFUNCTION("""COMPUTED_VALUE"""),111.0)</f>
        <v>111</v>
      </c>
      <c r="S682" s="199">
        <f>IFERROR(__xludf.DUMMYFUNCTION("""COMPUTED_VALUE"""),0.0)</f>
        <v>0</v>
      </c>
      <c r="T682" s="199">
        <f>IFERROR(__xludf.DUMMYFUNCTION("""COMPUTED_VALUE"""),20.0)</f>
        <v>20</v>
      </c>
      <c r="U682" s="199">
        <f>IFERROR(__xludf.DUMMYFUNCTION("""COMPUTED_VALUE"""),264.0)</f>
        <v>264</v>
      </c>
      <c r="V682" s="199">
        <f>IFERROR(__xludf.DUMMYFUNCTION("""COMPUTED_VALUE"""),0.0)</f>
        <v>0</v>
      </c>
      <c r="W682" s="199">
        <f>IFERROR(__xludf.DUMMYFUNCTION("""COMPUTED_VALUE"""),0.0)</f>
        <v>0</v>
      </c>
      <c r="X682" s="199">
        <f>IFERROR(__xludf.DUMMYFUNCTION("""COMPUTED_VALUE"""),0.0)</f>
        <v>0</v>
      </c>
      <c r="Y682" s="199">
        <f>IFERROR(__xludf.DUMMYFUNCTION("""COMPUTED_VALUE"""),0.0)</f>
        <v>0</v>
      </c>
      <c r="Z682" s="199">
        <f>IFERROR(__xludf.DUMMYFUNCTION("""COMPUTED_VALUE"""),0.0)</f>
        <v>0</v>
      </c>
      <c r="AA682" s="199">
        <f>IFERROR(__xludf.DUMMYFUNCTION("""COMPUTED_VALUE"""),25.0)</f>
        <v>25</v>
      </c>
      <c r="AB682" s="199">
        <f>IFERROR(__xludf.DUMMYFUNCTION("""COMPUTED_VALUE"""),418.0)</f>
        <v>418</v>
      </c>
      <c r="AC682" s="199">
        <f>IFERROR(__xludf.DUMMYFUNCTION("""COMPUTED_VALUE"""),11.0)</f>
        <v>11</v>
      </c>
      <c r="AD682" s="199">
        <f>IFERROR(__xludf.DUMMYFUNCTION("""COMPUTED_VALUE"""),0.0)</f>
        <v>0</v>
      </c>
      <c r="AE682" s="199">
        <f>IFERROR(__xludf.DUMMYFUNCTION("""COMPUTED_VALUE"""),1695.0)</f>
        <v>1695</v>
      </c>
      <c r="AF682" s="199">
        <f>IFERROR(__xludf.DUMMYFUNCTION("""COMPUTED_VALUE"""),80.0)</f>
        <v>80</v>
      </c>
      <c r="AG682" s="199">
        <f>IFERROR(__xludf.DUMMYFUNCTION("""COMPUTED_VALUE"""),417.0)</f>
        <v>417</v>
      </c>
      <c r="AH682" s="199">
        <f>IFERROR(__xludf.DUMMYFUNCTION("""COMPUTED_VALUE"""),2.0)</f>
        <v>2</v>
      </c>
      <c r="AI682" s="200" t="str">
        <f>IFERROR(__xludf.DUMMYFUNCTION("""COMPUTED_VALUE"""),"Wear Metal Alert | Contamination Alert | Water Ingress | High Particle Count")</f>
        <v>Wear Metal Alert | Contamination Alert | Water Ingress | High Particle Count</v>
      </c>
      <c r="AJ682" s="200" t="str">
        <f>IFERROR(__xludf.DUMMYFUNCTION("""COMPUTED_VALUE"""),"URGENT: Inspect equipment immediately for wear/damage; High wear metals - inspect bearing/gear surfaces; High water contamination - check seals, drain immediately; Very high silicon - check/replace air filters and seals; Critical particle count - flush sy"&amp;"stem and replace filters")</f>
        <v>URGENT: Inspect equipment immediately for wear/damage; High wear metals - inspect bearing/gear surfaces; High water contamination - check seals, drain immediately; Very high silicon - check/replace air filters and seals; Critical particle count - flush system and replace filters</v>
      </c>
      <c r="AK682" s="204"/>
      <c r="AL682" s="204"/>
      <c r="AM682" s="204"/>
    </row>
    <row r="683" hidden="1">
      <c r="A683" s="199" t="str">
        <f>IFERROR(__xludf.DUMMYFUNCTION("""COMPUTED_VALUE"""),"534.LQ145 - Girth Gear")</f>
        <v>534.LQ145 - Girth Gear</v>
      </c>
      <c r="B683" s="200" t="str">
        <f>IFERROR(__xludf.DUMMYFUNCTION("""COMPUTED_VALUE"""),"Cement Mill #4 Gearbox Lubrication Unit")</f>
        <v>Cement Mill #4 Gearbox Lubrication Unit</v>
      </c>
      <c r="C683" s="199">
        <f>IFERROR(__xludf.DUMMYFUNCTION("""COMPUTED_VALUE"""),2.6124405254E10)</f>
        <v>26124405254</v>
      </c>
      <c r="D683" s="201">
        <f>IFERROR(__xludf.DUMMYFUNCTION("""COMPUTED_VALUE"""),46139.0)</f>
        <v>46139</v>
      </c>
      <c r="E683" s="202" t="str">
        <f>IFERROR(__xludf.DUMMYFUNCTION("""COMPUTED_VALUE"""),"Alert")</f>
        <v>Alert</v>
      </c>
      <c r="F683" s="202" t="str">
        <f>IFERROR(__xludf.DUMMYFUNCTION("""COMPUTED_VALUE"""),"Alert")</f>
        <v>Alert</v>
      </c>
      <c r="G683" s="203" t="str">
        <f>IFERROR(__xludf.DUMMYFUNCTION("""COMPUTED_VALUE"""),"Alert")</f>
        <v>Alert</v>
      </c>
      <c r="H683" s="203" t="str">
        <f>IFERROR(__xludf.DUMMYFUNCTION("""COMPUTED_VALUE"""),"Normal")</f>
        <v>Normal</v>
      </c>
      <c r="I683" s="199"/>
      <c r="J683" s="199"/>
      <c r="K683" s="199"/>
      <c r="L683" s="199">
        <f>IFERROR(__xludf.DUMMYFUNCTION("""COMPUTED_VALUE"""),194.0)</f>
        <v>194</v>
      </c>
      <c r="M683" s="199">
        <f>IFERROR(__xludf.DUMMYFUNCTION("""COMPUTED_VALUE"""),447.4)</f>
        <v>447.4</v>
      </c>
      <c r="N683" s="37"/>
      <c r="O683" s="199">
        <f>IFERROR(__xludf.DUMMYFUNCTION("""COMPUTED_VALUE"""),0.0)</f>
        <v>0</v>
      </c>
      <c r="P683" s="199">
        <f>IFERROR(__xludf.DUMMYFUNCTION("""COMPUTED_VALUE"""),0.3)</f>
        <v>0.3</v>
      </c>
      <c r="Q683" s="199">
        <f>IFERROR(__xludf.DUMMYFUNCTION("""COMPUTED_VALUE"""),0.0)</f>
        <v>0</v>
      </c>
      <c r="R683" s="199">
        <f>IFERROR(__xludf.DUMMYFUNCTION("""COMPUTED_VALUE"""),94.0)</f>
        <v>94</v>
      </c>
      <c r="S683" s="199">
        <f>IFERROR(__xludf.DUMMYFUNCTION("""COMPUTED_VALUE"""),0.0)</f>
        <v>0</v>
      </c>
      <c r="T683" s="199">
        <f>IFERROR(__xludf.DUMMYFUNCTION("""COMPUTED_VALUE"""),13.0)</f>
        <v>13</v>
      </c>
      <c r="U683" s="199">
        <f>IFERROR(__xludf.DUMMYFUNCTION("""COMPUTED_VALUE"""),207.0)</f>
        <v>207</v>
      </c>
      <c r="V683" s="199">
        <f>IFERROR(__xludf.DUMMYFUNCTION("""COMPUTED_VALUE"""),0.0)</f>
        <v>0</v>
      </c>
      <c r="W683" s="199">
        <f>IFERROR(__xludf.DUMMYFUNCTION("""COMPUTED_VALUE"""),0.0)</f>
        <v>0</v>
      </c>
      <c r="X683" s="199">
        <f>IFERROR(__xludf.DUMMYFUNCTION("""COMPUTED_VALUE"""),0.0)</f>
        <v>0</v>
      </c>
      <c r="Y683" s="199">
        <f>IFERROR(__xludf.DUMMYFUNCTION("""COMPUTED_VALUE"""),0.0)</f>
        <v>0</v>
      </c>
      <c r="Z683" s="199">
        <f>IFERROR(__xludf.DUMMYFUNCTION("""COMPUTED_VALUE"""),0.0)</f>
        <v>0</v>
      </c>
      <c r="AA683" s="199">
        <f>IFERROR(__xludf.DUMMYFUNCTION("""COMPUTED_VALUE"""),22.0)</f>
        <v>22</v>
      </c>
      <c r="AB683" s="199">
        <f>IFERROR(__xludf.DUMMYFUNCTION("""COMPUTED_VALUE"""),330.0)</f>
        <v>330</v>
      </c>
      <c r="AC683" s="199">
        <f>IFERROR(__xludf.DUMMYFUNCTION("""COMPUTED_VALUE"""),103.0)</f>
        <v>103</v>
      </c>
      <c r="AD683" s="199">
        <f>IFERROR(__xludf.DUMMYFUNCTION("""COMPUTED_VALUE"""),0.0)</f>
        <v>0</v>
      </c>
      <c r="AE683" s="199">
        <f>IFERROR(__xludf.DUMMYFUNCTION("""COMPUTED_VALUE"""),1451.0)</f>
        <v>1451</v>
      </c>
      <c r="AF683" s="199">
        <f>IFERROR(__xludf.DUMMYFUNCTION("""COMPUTED_VALUE"""),67.0)</f>
        <v>67</v>
      </c>
      <c r="AG683" s="199">
        <f>IFERROR(__xludf.DUMMYFUNCTION("""COMPUTED_VALUE"""),427.0)</f>
        <v>427</v>
      </c>
      <c r="AH683" s="199">
        <f>IFERROR(__xludf.DUMMYFUNCTION("""COMPUTED_VALUE"""),7.0)</f>
        <v>7</v>
      </c>
      <c r="AI683" s="200" t="str">
        <f>IFERROR(__xludf.DUMMYFUNCTION("""COMPUTED_VALUE"""),"Wear Metal Alert | Contamination Alert | Water Ingress | High Particle Count")</f>
        <v>Wear Metal Alert | Contamination Alert | Water Ingress | High Particle Count</v>
      </c>
      <c r="AJ683" s="200" t="str">
        <f>IFERROR(__xludf.DUMMYFUNCTION("""COMPUTED_VALUE"""),"URGENT: Inspect equipment immediately for wear/damage; High wear metals - inspect bearing/gear surfaces; High water contamination - check seals, drain immediately; Very high silicon - check/replace air filters and seals; Critical particle count - flush sy"&amp;"stem and replace filters")</f>
        <v>URGENT: Inspect equipment immediately for wear/damage; High wear metals - inspect bearing/gear surfaces; High water contamination - check seals, drain immediately; Very high silicon - check/replace air filters and seals; Critical particle count - flush system and replace filters</v>
      </c>
      <c r="AK683" s="204"/>
      <c r="AL683" s="204"/>
      <c r="AM683" s="204"/>
    </row>
    <row r="684" hidden="1">
      <c r="A684" s="199" t="str">
        <f>IFERROR(__xludf.DUMMYFUNCTION("""COMPUTED_VALUE"""),"534.MD302")</f>
        <v>534.MD302</v>
      </c>
      <c r="B684" s="200" t="str">
        <f>IFERROR(__xludf.DUMMYFUNCTION("""COMPUTED_VALUE"""),"Cement Mill #4 Separator Gearbox")</f>
        <v>Cement Mill #4 Separator Gearbox</v>
      </c>
      <c r="C684" s="199">
        <f>IFERROR(__xludf.DUMMYFUNCTION("""COMPUTED_VALUE"""),2.6124405218E10)</f>
        <v>26124405218</v>
      </c>
      <c r="D684" s="201">
        <f>IFERROR(__xludf.DUMMYFUNCTION("""COMPUTED_VALUE"""),46139.0)</f>
        <v>46139</v>
      </c>
      <c r="E684" s="202" t="str">
        <f>IFERROR(__xludf.DUMMYFUNCTION("""COMPUTED_VALUE"""),"Alert")</f>
        <v>Alert</v>
      </c>
      <c r="F684" s="202" t="str">
        <f>IFERROR(__xludf.DUMMYFUNCTION("""COMPUTED_VALUE"""),"Alert")</f>
        <v>Alert</v>
      </c>
      <c r="G684" s="203" t="str">
        <f>IFERROR(__xludf.DUMMYFUNCTION("""COMPUTED_VALUE"""),"Normal")</f>
        <v>Normal</v>
      </c>
      <c r="H684" s="203" t="str">
        <f>IFERROR(__xludf.DUMMYFUNCTION("""COMPUTED_VALUE"""),"Alert")</f>
        <v>Alert</v>
      </c>
      <c r="I684" s="37"/>
      <c r="J684" s="37"/>
      <c r="K684" s="37"/>
      <c r="L684" s="199">
        <f>IFERROR(__xludf.DUMMYFUNCTION("""COMPUTED_VALUE"""),16.0)</f>
        <v>16</v>
      </c>
      <c r="M684" s="199">
        <f>IFERROR(__xludf.DUMMYFUNCTION("""COMPUTED_VALUE"""),234.7)</f>
        <v>234.7</v>
      </c>
      <c r="N684" s="37">
        <f>IFERROR(__xludf.DUMMYFUNCTION("""COMPUTED_VALUE"""),1.3)</f>
        <v>1.3</v>
      </c>
      <c r="O684" s="199"/>
      <c r="P684" s="37">
        <f>IFERROR(__xludf.DUMMYFUNCTION("""COMPUTED_VALUE"""),0.05)</f>
        <v>0.05</v>
      </c>
      <c r="Q684" s="199">
        <f>IFERROR(__xludf.DUMMYFUNCTION("""COMPUTED_VALUE"""),0.0)</f>
        <v>0</v>
      </c>
      <c r="R684" s="199">
        <f>IFERROR(__xludf.DUMMYFUNCTION("""COMPUTED_VALUE"""),0.0)</f>
        <v>0</v>
      </c>
      <c r="S684" s="199">
        <f>IFERROR(__xludf.DUMMYFUNCTION("""COMPUTED_VALUE"""),0.0)</f>
        <v>0</v>
      </c>
      <c r="T684" s="199">
        <f>IFERROR(__xludf.DUMMYFUNCTION("""COMPUTED_VALUE"""),0.0)</f>
        <v>0</v>
      </c>
      <c r="U684" s="199">
        <f>IFERROR(__xludf.DUMMYFUNCTION("""COMPUTED_VALUE"""),16.0)</f>
        <v>16</v>
      </c>
      <c r="V684" s="199">
        <f>IFERROR(__xludf.DUMMYFUNCTION("""COMPUTED_VALUE"""),0.0)</f>
        <v>0</v>
      </c>
      <c r="W684" s="199">
        <f>IFERROR(__xludf.DUMMYFUNCTION("""COMPUTED_VALUE"""),0.0)</f>
        <v>0</v>
      </c>
      <c r="X684" s="199">
        <f>IFERROR(__xludf.DUMMYFUNCTION("""COMPUTED_VALUE"""),0.0)</f>
        <v>0</v>
      </c>
      <c r="Y684" s="199">
        <f>IFERROR(__xludf.DUMMYFUNCTION("""COMPUTED_VALUE"""),0.0)</f>
        <v>0</v>
      </c>
      <c r="Z684" s="199">
        <f>IFERROR(__xludf.DUMMYFUNCTION("""COMPUTED_VALUE"""),0.0)</f>
        <v>0</v>
      </c>
      <c r="AA684" s="199">
        <f>IFERROR(__xludf.DUMMYFUNCTION("""COMPUTED_VALUE"""),0.0)</f>
        <v>0</v>
      </c>
      <c r="AB684" s="199">
        <f>IFERROR(__xludf.DUMMYFUNCTION("""COMPUTED_VALUE"""),56.0)</f>
        <v>56</v>
      </c>
      <c r="AC684" s="199">
        <f>IFERROR(__xludf.DUMMYFUNCTION("""COMPUTED_VALUE"""),1.0)</f>
        <v>1</v>
      </c>
      <c r="AD684" s="199">
        <f>IFERROR(__xludf.DUMMYFUNCTION("""COMPUTED_VALUE"""),0.0)</f>
        <v>0</v>
      </c>
      <c r="AE684" s="199">
        <f>IFERROR(__xludf.DUMMYFUNCTION("""COMPUTED_VALUE"""),53.0)</f>
        <v>53</v>
      </c>
      <c r="AF684" s="199">
        <f>IFERROR(__xludf.DUMMYFUNCTION("""COMPUTED_VALUE"""),2.0)</f>
        <v>2</v>
      </c>
      <c r="AG684" s="199">
        <f>IFERROR(__xludf.DUMMYFUNCTION("""COMPUTED_VALUE"""),525.0)</f>
        <v>525</v>
      </c>
      <c r="AH684" s="199">
        <f>IFERROR(__xludf.DUMMYFUNCTION("""COMPUTED_VALUE"""),58.0)</f>
        <v>58</v>
      </c>
      <c r="AI684" s="200" t="str">
        <f>IFERROR(__xludf.DUMMYFUNCTION("""COMPUTED_VALUE"""),"Contamination Alert")</f>
        <v>Contamination Alert</v>
      </c>
      <c r="AJ684" s="200" t="str">
        <f>IFERROR(__xludf.DUMMYFUNCTION("""COMPUTED_VALUE"""),"Elevated silicon - inspect filters and seals")</f>
        <v>Elevated silicon - inspect filters and seals</v>
      </c>
      <c r="AK684" s="204"/>
      <c r="AL684" s="204"/>
      <c r="AM684" s="204"/>
    </row>
    <row r="685" hidden="1">
      <c r="A685" s="199" t="str">
        <f>IFERROR(__xludf.DUMMYFUNCTION("""COMPUTED_VALUE"""),"541.BE180")</f>
        <v>541.BE180</v>
      </c>
      <c r="B685" s="200" t="str">
        <f>IFERROR(__xludf.DUMMYFUNCTION("""COMPUTED_VALUE"""),"Cement Mill #1 Belt Bucket Elevator Gearbox")</f>
        <v>Cement Mill #1 Belt Bucket Elevator Gearbox</v>
      </c>
      <c r="C685" s="199">
        <f>IFERROR(__xludf.DUMMYFUNCTION("""COMPUTED_VALUE"""),2.6124405228E10)</f>
        <v>26124405228</v>
      </c>
      <c r="D685" s="201">
        <f>IFERROR(__xludf.DUMMYFUNCTION("""COMPUTED_VALUE"""),46139.0)</f>
        <v>46139</v>
      </c>
      <c r="E685" s="202" t="str">
        <f>IFERROR(__xludf.DUMMYFUNCTION("""COMPUTED_VALUE"""),"Alert")</f>
        <v>Alert</v>
      </c>
      <c r="F685" s="202" t="str">
        <f>IFERROR(__xludf.DUMMYFUNCTION("""COMPUTED_VALUE"""),"Alert")</f>
        <v>Alert</v>
      </c>
      <c r="G685" s="203" t="str">
        <f>IFERROR(__xludf.DUMMYFUNCTION("""COMPUTED_VALUE"""),"Normal")</f>
        <v>Normal</v>
      </c>
      <c r="H685" s="203" t="str">
        <f>IFERROR(__xludf.DUMMYFUNCTION("""COMPUTED_VALUE"""),"Caution")</f>
        <v>Caution</v>
      </c>
      <c r="I685" s="37"/>
      <c r="J685" s="37"/>
      <c r="K685" s="37"/>
      <c r="L685" s="199">
        <f>IFERROR(__xludf.DUMMYFUNCTION("""COMPUTED_VALUE"""),12.0)</f>
        <v>12</v>
      </c>
      <c r="M685" s="199">
        <f>IFERROR(__xludf.DUMMYFUNCTION("""COMPUTED_VALUE"""),257.8)</f>
        <v>257.8</v>
      </c>
      <c r="N685" s="37">
        <f>IFERROR(__xludf.DUMMYFUNCTION("""COMPUTED_VALUE"""),1.5)</f>
        <v>1.5</v>
      </c>
      <c r="O685" s="199"/>
      <c r="P685" s="37">
        <f>IFERROR(__xludf.DUMMYFUNCTION("""COMPUTED_VALUE"""),0.11)</f>
        <v>0.11</v>
      </c>
      <c r="Q685" s="199">
        <f>IFERROR(__xludf.DUMMYFUNCTION("""COMPUTED_VALUE"""),0.0)</f>
        <v>0</v>
      </c>
      <c r="R685" s="199">
        <f>IFERROR(__xludf.DUMMYFUNCTION("""COMPUTED_VALUE"""),1.0)</f>
        <v>1</v>
      </c>
      <c r="S685" s="199">
        <f>IFERROR(__xludf.DUMMYFUNCTION("""COMPUTED_VALUE"""),0.0)</f>
        <v>0</v>
      </c>
      <c r="T685" s="199">
        <f>IFERROR(__xludf.DUMMYFUNCTION("""COMPUTED_VALUE"""),0.0)</f>
        <v>0</v>
      </c>
      <c r="U685" s="199">
        <f>IFERROR(__xludf.DUMMYFUNCTION("""COMPUTED_VALUE"""),3.0)</f>
        <v>3</v>
      </c>
      <c r="V685" s="199">
        <f>IFERROR(__xludf.DUMMYFUNCTION("""COMPUTED_VALUE"""),0.0)</f>
        <v>0</v>
      </c>
      <c r="W685" s="199">
        <f>IFERROR(__xludf.DUMMYFUNCTION("""COMPUTED_VALUE"""),0.0)</f>
        <v>0</v>
      </c>
      <c r="X685" s="199">
        <f>IFERROR(__xludf.DUMMYFUNCTION("""COMPUTED_VALUE"""),0.0)</f>
        <v>0</v>
      </c>
      <c r="Y685" s="199">
        <f>IFERROR(__xludf.DUMMYFUNCTION("""COMPUTED_VALUE"""),0.0)</f>
        <v>0</v>
      </c>
      <c r="Z685" s="199">
        <f>IFERROR(__xludf.DUMMYFUNCTION("""COMPUTED_VALUE"""),0.0)</f>
        <v>0</v>
      </c>
      <c r="AA685" s="199">
        <f>IFERROR(__xludf.DUMMYFUNCTION("""COMPUTED_VALUE"""),0.0)</f>
        <v>0</v>
      </c>
      <c r="AB685" s="199">
        <f>IFERROR(__xludf.DUMMYFUNCTION("""COMPUTED_VALUE"""),28.0)</f>
        <v>28</v>
      </c>
      <c r="AC685" s="199">
        <f>IFERROR(__xludf.DUMMYFUNCTION("""COMPUTED_VALUE"""),10.0)</f>
        <v>10</v>
      </c>
      <c r="AD685" s="199">
        <f>IFERROR(__xludf.DUMMYFUNCTION("""COMPUTED_VALUE"""),0.0)</f>
        <v>0</v>
      </c>
      <c r="AE685" s="199">
        <f>IFERROR(__xludf.DUMMYFUNCTION("""COMPUTED_VALUE"""),22.0)</f>
        <v>22</v>
      </c>
      <c r="AF685" s="199">
        <f>IFERROR(__xludf.DUMMYFUNCTION("""COMPUTED_VALUE"""),2.0)</f>
        <v>2</v>
      </c>
      <c r="AG685" s="199">
        <f>IFERROR(__xludf.DUMMYFUNCTION("""COMPUTED_VALUE"""),377.0)</f>
        <v>377</v>
      </c>
      <c r="AH685" s="199">
        <f>IFERROR(__xludf.DUMMYFUNCTION("""COMPUTED_VALUE"""),13.0)</f>
        <v>13</v>
      </c>
      <c r="AI685" s="200" t="str">
        <f>IFERROR(__xludf.DUMMYFUNCTION("""COMPUTED_VALUE"""),"Water Ingress")</f>
        <v>Water Ingress</v>
      </c>
      <c r="AJ685" s="200" t="str">
        <f>IFERROR(__xludf.DUMMYFUNCTION("""COMPUTED_VALUE"""),"Water detected - inspect seals and breathers")</f>
        <v>Water detected - inspect seals and breathers</v>
      </c>
      <c r="AK685" s="204"/>
      <c r="AL685" s="204"/>
      <c r="AM685" s="204"/>
    </row>
    <row r="686" hidden="1">
      <c r="A686" s="199" t="str">
        <f>IFERROR(__xludf.DUMMYFUNCTION("""COMPUTED_VALUE"""),"531.BE220")</f>
        <v>531.BE220</v>
      </c>
      <c r="B686" s="200" t="str">
        <f>IFERROR(__xludf.DUMMYFUNCTION("""COMPUTED_VALUE"""),"Cement Mill #1 Bucket Elevator Gearbox")</f>
        <v>Cement Mill #1 Bucket Elevator Gearbox</v>
      </c>
      <c r="C686" s="199">
        <f>IFERROR(__xludf.DUMMYFUNCTION("""COMPUTED_VALUE"""),2.6123350235E10)</f>
        <v>26123350235</v>
      </c>
      <c r="D686" s="201">
        <f>IFERROR(__xludf.DUMMYFUNCTION("""COMPUTED_VALUE"""),46139.0)</f>
        <v>46139</v>
      </c>
      <c r="E686" s="202" t="str">
        <f>IFERROR(__xludf.DUMMYFUNCTION("""COMPUTED_VALUE"""),"Caution")</f>
        <v>Caution</v>
      </c>
      <c r="F686" s="202" t="str">
        <f>IFERROR(__xludf.DUMMYFUNCTION("""COMPUTED_VALUE"""),"Caution")</f>
        <v>Caution</v>
      </c>
      <c r="G686" s="203" t="str">
        <f>IFERROR(__xludf.DUMMYFUNCTION("""COMPUTED_VALUE"""),"Normal")</f>
        <v>Normal</v>
      </c>
      <c r="H686" s="203" t="str">
        <f>IFERROR(__xludf.DUMMYFUNCTION("""COMPUTED_VALUE"""),"Normal")</f>
        <v>Normal</v>
      </c>
      <c r="I686" s="37"/>
      <c r="J686" s="37"/>
      <c r="K686" s="37"/>
      <c r="L686" s="199">
        <f>IFERROR(__xludf.DUMMYFUNCTION("""COMPUTED_VALUE"""),17.0)</f>
        <v>17</v>
      </c>
      <c r="M686" s="199">
        <f>IFERROR(__xludf.DUMMYFUNCTION("""COMPUTED_VALUE"""),285.6)</f>
        <v>285.6</v>
      </c>
      <c r="N686" s="37"/>
      <c r="O686" s="199">
        <f>IFERROR(__xludf.DUMMYFUNCTION("""COMPUTED_VALUE"""),1.0)</f>
        <v>1</v>
      </c>
      <c r="P686" s="37">
        <f>IFERROR(__xludf.DUMMYFUNCTION("""COMPUTED_VALUE"""),0.05)</f>
        <v>0.05</v>
      </c>
      <c r="Q686" s="199">
        <f>IFERROR(__xludf.DUMMYFUNCTION("""COMPUTED_VALUE"""),0.0)</f>
        <v>0</v>
      </c>
      <c r="R686" s="199">
        <f>IFERROR(__xludf.DUMMYFUNCTION("""COMPUTED_VALUE"""),1.0)</f>
        <v>1</v>
      </c>
      <c r="S686" s="199">
        <f>IFERROR(__xludf.DUMMYFUNCTION("""COMPUTED_VALUE"""),0.0)</f>
        <v>0</v>
      </c>
      <c r="T686" s="199">
        <f>IFERROR(__xludf.DUMMYFUNCTION("""COMPUTED_VALUE"""),0.0)</f>
        <v>0</v>
      </c>
      <c r="U686" s="199">
        <f>IFERROR(__xludf.DUMMYFUNCTION("""COMPUTED_VALUE"""),23.0)</f>
        <v>23</v>
      </c>
      <c r="V686" s="199">
        <f>IFERROR(__xludf.DUMMYFUNCTION("""COMPUTED_VALUE"""),0.0)</f>
        <v>0</v>
      </c>
      <c r="W686" s="199">
        <f>IFERROR(__xludf.DUMMYFUNCTION("""COMPUTED_VALUE"""),0.0)</f>
        <v>0</v>
      </c>
      <c r="X686" s="199">
        <f>IFERROR(__xludf.DUMMYFUNCTION("""COMPUTED_VALUE"""),0.0)</f>
        <v>0</v>
      </c>
      <c r="Y686" s="199">
        <f>IFERROR(__xludf.DUMMYFUNCTION("""COMPUTED_VALUE"""),0.0)</f>
        <v>0</v>
      </c>
      <c r="Z686" s="199">
        <f>IFERROR(__xludf.DUMMYFUNCTION("""COMPUTED_VALUE"""),0.0)</f>
        <v>0</v>
      </c>
      <c r="AA686" s="199">
        <f>IFERROR(__xludf.DUMMYFUNCTION("""COMPUTED_VALUE"""),0.0)</f>
        <v>0</v>
      </c>
      <c r="AB686" s="199">
        <f>IFERROR(__xludf.DUMMYFUNCTION("""COMPUTED_VALUE"""),7.0)</f>
        <v>7</v>
      </c>
      <c r="AC686" s="199">
        <f>IFERROR(__xludf.DUMMYFUNCTION("""COMPUTED_VALUE"""),15.0)</f>
        <v>15</v>
      </c>
      <c r="AD686" s="199">
        <f>IFERROR(__xludf.DUMMYFUNCTION("""COMPUTED_VALUE"""),0.0)</f>
        <v>0</v>
      </c>
      <c r="AE686" s="199">
        <f>IFERROR(__xludf.DUMMYFUNCTION("""COMPUTED_VALUE"""),45.0)</f>
        <v>45</v>
      </c>
      <c r="AF686" s="199">
        <f>IFERROR(__xludf.DUMMYFUNCTION("""COMPUTED_VALUE"""),2.0)</f>
        <v>2</v>
      </c>
      <c r="AG686" s="199">
        <f>IFERROR(__xludf.DUMMYFUNCTION("""COMPUTED_VALUE"""),463.0)</f>
        <v>463</v>
      </c>
      <c r="AH686" s="199">
        <f>IFERROR(__xludf.DUMMYFUNCTION("""COMPUTED_VALUE"""),40.0)</f>
        <v>40</v>
      </c>
      <c r="AI686" s="200" t="str">
        <f>IFERROR(__xludf.DUMMYFUNCTION("""COMPUTED_VALUE"""),"General Caution")</f>
        <v>General Caution</v>
      </c>
      <c r="AJ686" s="200" t="str">
        <f>IFERROR(__xludf.DUMMYFUNCTION("""COMPUTED_VALUE"""),"Continue monitoring; resample at next scheduled interval")</f>
        <v>Continue monitoring; resample at next scheduled interval</v>
      </c>
      <c r="AK686" s="204"/>
      <c r="AL686" s="204"/>
      <c r="AM686" s="204"/>
    </row>
    <row r="687" hidden="1">
      <c r="A687" s="199" t="str">
        <f>IFERROR(__xludf.DUMMYFUNCTION("""COMPUTED_VALUE"""),"532.MD302")</f>
        <v>532.MD302</v>
      </c>
      <c r="B687" s="200" t="str">
        <f>IFERROR(__xludf.DUMMYFUNCTION("""COMPUTED_VALUE"""),"Cement Mill #2 Separator Gearbox")</f>
        <v>Cement Mill #2 Separator Gearbox</v>
      </c>
      <c r="C687" s="199">
        <f>IFERROR(__xludf.DUMMYFUNCTION("""COMPUTED_VALUE"""),2.6124405227E10)</f>
        <v>26124405227</v>
      </c>
      <c r="D687" s="201">
        <f>IFERROR(__xludf.DUMMYFUNCTION("""COMPUTED_VALUE"""),46139.0)</f>
        <v>46139</v>
      </c>
      <c r="E687" s="202" t="str">
        <f>IFERROR(__xludf.DUMMYFUNCTION("""COMPUTED_VALUE"""),"Caution")</f>
        <v>Caution</v>
      </c>
      <c r="F687" s="202" t="str">
        <f>IFERROR(__xludf.DUMMYFUNCTION("""COMPUTED_VALUE"""),"Caution")</f>
        <v>Caution</v>
      </c>
      <c r="G687" s="203" t="str">
        <f>IFERROR(__xludf.DUMMYFUNCTION("""COMPUTED_VALUE"""),"Normal")</f>
        <v>Normal</v>
      </c>
      <c r="H687" s="203" t="str">
        <f>IFERROR(__xludf.DUMMYFUNCTION("""COMPUTED_VALUE"""),"Normal")</f>
        <v>Normal</v>
      </c>
      <c r="I687" s="37"/>
      <c r="J687" s="37"/>
      <c r="K687" s="37"/>
      <c r="L687" s="199">
        <f>IFERROR(__xludf.DUMMYFUNCTION("""COMPUTED_VALUE"""),19.0)</f>
        <v>19</v>
      </c>
      <c r="M687" s="199">
        <f>IFERROR(__xludf.DUMMYFUNCTION("""COMPUTED_VALUE"""),287.4)</f>
        <v>287.4</v>
      </c>
      <c r="N687" s="37">
        <f>IFERROR(__xludf.DUMMYFUNCTION("""COMPUTED_VALUE"""),1.4)</f>
        <v>1.4</v>
      </c>
      <c r="O687" s="199"/>
      <c r="P687" s="37">
        <f>IFERROR(__xludf.DUMMYFUNCTION("""COMPUTED_VALUE"""),0.03)</f>
        <v>0.03</v>
      </c>
      <c r="Q687" s="199">
        <f>IFERROR(__xludf.DUMMYFUNCTION("""COMPUTED_VALUE"""),0.0)</f>
        <v>0</v>
      </c>
      <c r="R687" s="199">
        <f>IFERROR(__xludf.DUMMYFUNCTION("""COMPUTED_VALUE"""),0.0)</f>
        <v>0</v>
      </c>
      <c r="S687" s="199">
        <f>IFERROR(__xludf.DUMMYFUNCTION("""COMPUTED_VALUE"""),0.0)</f>
        <v>0</v>
      </c>
      <c r="T687" s="199">
        <f>IFERROR(__xludf.DUMMYFUNCTION("""COMPUTED_VALUE"""),0.0)</f>
        <v>0</v>
      </c>
      <c r="U687" s="199">
        <f>IFERROR(__xludf.DUMMYFUNCTION("""COMPUTED_VALUE"""),23.0)</f>
        <v>23</v>
      </c>
      <c r="V687" s="199">
        <f>IFERROR(__xludf.DUMMYFUNCTION("""COMPUTED_VALUE"""),0.0)</f>
        <v>0</v>
      </c>
      <c r="W687" s="199">
        <f>IFERROR(__xludf.DUMMYFUNCTION("""COMPUTED_VALUE"""),0.0)</f>
        <v>0</v>
      </c>
      <c r="X687" s="199">
        <f>IFERROR(__xludf.DUMMYFUNCTION("""COMPUTED_VALUE"""),0.0)</f>
        <v>0</v>
      </c>
      <c r="Y687" s="199">
        <f>IFERROR(__xludf.DUMMYFUNCTION("""COMPUTED_VALUE"""),0.0)</f>
        <v>0</v>
      </c>
      <c r="Z687" s="199">
        <f>IFERROR(__xludf.DUMMYFUNCTION("""COMPUTED_VALUE"""),0.0)</f>
        <v>0</v>
      </c>
      <c r="AA687" s="199">
        <f>IFERROR(__xludf.DUMMYFUNCTION("""COMPUTED_VALUE"""),0.0)</f>
        <v>0</v>
      </c>
      <c r="AB687" s="199">
        <f>IFERROR(__xludf.DUMMYFUNCTION("""COMPUTED_VALUE"""),39.0)</f>
        <v>39</v>
      </c>
      <c r="AC687" s="199">
        <f>IFERROR(__xludf.DUMMYFUNCTION("""COMPUTED_VALUE"""),12.0)</f>
        <v>12</v>
      </c>
      <c r="AD687" s="199">
        <f>IFERROR(__xludf.DUMMYFUNCTION("""COMPUTED_VALUE"""),0.0)</f>
        <v>0</v>
      </c>
      <c r="AE687" s="199">
        <f>IFERROR(__xludf.DUMMYFUNCTION("""COMPUTED_VALUE"""),21.0)</f>
        <v>21</v>
      </c>
      <c r="AF687" s="199">
        <f>IFERROR(__xludf.DUMMYFUNCTION("""COMPUTED_VALUE"""),2.0)</f>
        <v>2</v>
      </c>
      <c r="AG687" s="199">
        <f>IFERROR(__xludf.DUMMYFUNCTION("""COMPUTED_VALUE"""),433.0)</f>
        <v>433</v>
      </c>
      <c r="AH687" s="199">
        <f>IFERROR(__xludf.DUMMYFUNCTION("""COMPUTED_VALUE"""),71.0)</f>
        <v>71</v>
      </c>
      <c r="AI687" s="200" t="str">
        <f>IFERROR(__xludf.DUMMYFUNCTION("""COMPUTED_VALUE"""),"Contamination Caution")</f>
        <v>Contamination Caution</v>
      </c>
      <c r="AJ687" s="200" t="str">
        <f>IFERROR(__xludf.DUMMYFUNCTION("""COMPUTED_VALUE"""),"Silicon elevated - check air filtration and seals")</f>
        <v>Silicon elevated - check air filtration and seals</v>
      </c>
      <c r="AK687" s="204"/>
      <c r="AL687" s="204"/>
      <c r="AM687" s="204"/>
    </row>
    <row r="688" hidden="1">
      <c r="A688" s="199" t="str">
        <f>IFERROR(__xludf.DUMMYFUNCTION("""COMPUTED_VALUE"""),"533.MD302")</f>
        <v>533.MD302</v>
      </c>
      <c r="B688" s="200" t="str">
        <f>IFERROR(__xludf.DUMMYFUNCTION("""COMPUTED_VALUE"""),"Cement Mill #3 Separator Gearbox")</f>
        <v>Cement Mill #3 Separator Gearbox</v>
      </c>
      <c r="C688" s="199">
        <f>IFERROR(__xludf.DUMMYFUNCTION("""COMPUTED_VALUE"""),2.6124405225E10)</f>
        <v>26124405225</v>
      </c>
      <c r="D688" s="201">
        <f>IFERROR(__xludf.DUMMYFUNCTION("""COMPUTED_VALUE"""),46139.0)</f>
        <v>46139</v>
      </c>
      <c r="E688" s="202" t="str">
        <f>IFERROR(__xludf.DUMMYFUNCTION("""COMPUTED_VALUE"""),"Caution")</f>
        <v>Caution</v>
      </c>
      <c r="F688" s="202" t="str">
        <f>IFERROR(__xludf.DUMMYFUNCTION("""COMPUTED_VALUE"""),"Caution")</f>
        <v>Caution</v>
      </c>
      <c r="G688" s="203" t="str">
        <f>IFERROR(__xludf.DUMMYFUNCTION("""COMPUTED_VALUE"""),"Normal")</f>
        <v>Normal</v>
      </c>
      <c r="H688" s="203" t="str">
        <f>IFERROR(__xludf.DUMMYFUNCTION("""COMPUTED_VALUE"""),"Normal")</f>
        <v>Normal</v>
      </c>
      <c r="I688" s="37"/>
      <c r="J688" s="37"/>
      <c r="K688" s="37"/>
      <c r="L688" s="199">
        <f>IFERROR(__xludf.DUMMYFUNCTION("""COMPUTED_VALUE"""),32.0)</f>
        <v>32</v>
      </c>
      <c r="M688" s="199">
        <f>IFERROR(__xludf.DUMMYFUNCTION("""COMPUTED_VALUE"""),280.1)</f>
        <v>280.1</v>
      </c>
      <c r="N688" s="37">
        <f>IFERROR(__xludf.DUMMYFUNCTION("""COMPUTED_VALUE"""),1.4)</f>
        <v>1.4</v>
      </c>
      <c r="O688" s="199"/>
      <c r="P688" s="37">
        <f>IFERROR(__xludf.DUMMYFUNCTION("""COMPUTED_VALUE"""),0.05)</f>
        <v>0.05</v>
      </c>
      <c r="Q688" s="199">
        <f>IFERROR(__xludf.DUMMYFUNCTION("""COMPUTED_VALUE"""),0.0)</f>
        <v>0</v>
      </c>
      <c r="R688" s="199">
        <f>IFERROR(__xludf.DUMMYFUNCTION("""COMPUTED_VALUE"""),6.0)</f>
        <v>6</v>
      </c>
      <c r="S688" s="199">
        <f>IFERROR(__xludf.DUMMYFUNCTION("""COMPUTED_VALUE"""),0.0)</f>
        <v>0</v>
      </c>
      <c r="T688" s="199">
        <f>IFERROR(__xludf.DUMMYFUNCTION("""COMPUTED_VALUE"""),0.0)</f>
        <v>0</v>
      </c>
      <c r="U688" s="199">
        <f>IFERROR(__xludf.DUMMYFUNCTION("""COMPUTED_VALUE"""),63.0)</f>
        <v>63</v>
      </c>
      <c r="V688" s="199">
        <f>IFERROR(__xludf.DUMMYFUNCTION("""COMPUTED_VALUE"""),0.0)</f>
        <v>0</v>
      </c>
      <c r="W688" s="199">
        <f>IFERROR(__xludf.DUMMYFUNCTION("""COMPUTED_VALUE"""),0.0)</f>
        <v>0</v>
      </c>
      <c r="X688" s="199">
        <f>IFERROR(__xludf.DUMMYFUNCTION("""COMPUTED_VALUE"""),0.0)</f>
        <v>0</v>
      </c>
      <c r="Y688" s="199">
        <f>IFERROR(__xludf.DUMMYFUNCTION("""COMPUTED_VALUE"""),0.0)</f>
        <v>0</v>
      </c>
      <c r="Z688" s="199">
        <f>IFERROR(__xludf.DUMMYFUNCTION("""COMPUTED_VALUE"""),0.0)</f>
        <v>0</v>
      </c>
      <c r="AA688" s="199">
        <f>IFERROR(__xludf.DUMMYFUNCTION("""COMPUTED_VALUE"""),0.0)</f>
        <v>0</v>
      </c>
      <c r="AB688" s="199">
        <f>IFERROR(__xludf.DUMMYFUNCTION("""COMPUTED_VALUE"""),32.0)</f>
        <v>32</v>
      </c>
      <c r="AC688" s="199">
        <f>IFERROR(__xludf.DUMMYFUNCTION("""COMPUTED_VALUE"""),12.0)</f>
        <v>12</v>
      </c>
      <c r="AD688" s="199">
        <f>IFERROR(__xludf.DUMMYFUNCTION("""COMPUTED_VALUE"""),0.0)</f>
        <v>0</v>
      </c>
      <c r="AE688" s="199">
        <f>IFERROR(__xludf.DUMMYFUNCTION("""COMPUTED_VALUE"""),52.0)</f>
        <v>52</v>
      </c>
      <c r="AF688" s="199">
        <f>IFERROR(__xludf.DUMMYFUNCTION("""COMPUTED_VALUE"""),2.0)</f>
        <v>2</v>
      </c>
      <c r="AG688" s="199">
        <f>IFERROR(__xludf.DUMMYFUNCTION("""COMPUTED_VALUE"""),466.0)</f>
        <v>466</v>
      </c>
      <c r="AH688" s="199">
        <f>IFERROR(__xludf.DUMMYFUNCTION("""COMPUTED_VALUE"""),165.0)</f>
        <v>165</v>
      </c>
      <c r="AI688" s="200" t="str">
        <f>IFERROR(__xludf.DUMMYFUNCTION("""COMPUTED_VALUE"""),"Wear Metal Caution | Contamination Caution")</f>
        <v>Wear Metal Caution | Contamination Caution</v>
      </c>
      <c r="AJ688" s="200" t="str">
        <f>IFERROR(__xludf.DUMMYFUNCTION("""COMPUTED_VALUE"""),"Elevated wear metals - monitor trend; Silicon elevated - check air filtration and seals")</f>
        <v>Elevated wear metals - monitor trend; Silicon elevated - check air filtration and seals</v>
      </c>
      <c r="AK688" s="204"/>
      <c r="AL688" s="204"/>
      <c r="AM688" s="204"/>
    </row>
    <row r="689" hidden="1">
      <c r="A689" s="199" t="str">
        <f>IFERROR(__xludf.DUMMYFUNCTION("""COMPUTED_VALUE"""),"542.BE180")</f>
        <v>542.BE180</v>
      </c>
      <c r="B689" s="200" t="str">
        <f>IFERROR(__xludf.DUMMYFUNCTION("""COMPUTED_VALUE"""),"Cement Mill #2 Belt Bucket Elevator Gearbox")</f>
        <v>Cement Mill #2 Belt Bucket Elevator Gearbox</v>
      </c>
      <c r="C689" s="199">
        <f>IFERROR(__xludf.DUMMYFUNCTION("""COMPUTED_VALUE"""),2.612440522E10)</f>
        <v>26124405220</v>
      </c>
      <c r="D689" s="201">
        <f>IFERROR(__xludf.DUMMYFUNCTION("""COMPUTED_VALUE"""),46139.0)</f>
        <v>46139</v>
      </c>
      <c r="E689" s="202" t="str">
        <f>IFERROR(__xludf.DUMMYFUNCTION("""COMPUTED_VALUE"""),"Caution")</f>
        <v>Caution</v>
      </c>
      <c r="F689" s="202" t="str">
        <f>IFERROR(__xludf.DUMMYFUNCTION("""COMPUTED_VALUE"""),"Caution")</f>
        <v>Caution</v>
      </c>
      <c r="G689" s="203" t="str">
        <f>IFERROR(__xludf.DUMMYFUNCTION("""COMPUTED_VALUE"""),"Normal")</f>
        <v>Normal</v>
      </c>
      <c r="H689" s="203" t="str">
        <f>IFERROR(__xludf.DUMMYFUNCTION("""COMPUTED_VALUE"""),"Normal")</f>
        <v>Normal</v>
      </c>
      <c r="I689" s="37"/>
      <c r="J689" s="37"/>
      <c r="K689" s="37"/>
      <c r="L689" s="199">
        <f>IFERROR(__xludf.DUMMYFUNCTION("""COMPUTED_VALUE"""),25.0)</f>
        <v>25</v>
      </c>
      <c r="M689" s="199">
        <f>IFERROR(__xludf.DUMMYFUNCTION("""COMPUTED_VALUE"""),280.9)</f>
        <v>280.9</v>
      </c>
      <c r="N689" s="37">
        <f>IFERROR(__xludf.DUMMYFUNCTION("""COMPUTED_VALUE"""),1.4)</f>
        <v>1.4</v>
      </c>
      <c r="O689" s="199"/>
      <c r="P689" s="37">
        <f>IFERROR(__xludf.DUMMYFUNCTION("""COMPUTED_VALUE"""),0.05)</f>
        <v>0.05</v>
      </c>
      <c r="Q689" s="199">
        <f>IFERROR(__xludf.DUMMYFUNCTION("""COMPUTED_VALUE"""),0.0)</f>
        <v>0</v>
      </c>
      <c r="R689" s="199">
        <f>IFERROR(__xludf.DUMMYFUNCTION("""COMPUTED_VALUE"""),0.0)</f>
        <v>0</v>
      </c>
      <c r="S689" s="199">
        <f>IFERROR(__xludf.DUMMYFUNCTION("""COMPUTED_VALUE"""),0.0)</f>
        <v>0</v>
      </c>
      <c r="T689" s="199">
        <f>IFERROR(__xludf.DUMMYFUNCTION("""COMPUTED_VALUE"""),0.0)</f>
        <v>0</v>
      </c>
      <c r="U689" s="199">
        <f>IFERROR(__xludf.DUMMYFUNCTION("""COMPUTED_VALUE"""),8.0)</f>
        <v>8</v>
      </c>
      <c r="V689" s="199">
        <f>IFERROR(__xludf.DUMMYFUNCTION("""COMPUTED_VALUE"""),0.0)</f>
        <v>0</v>
      </c>
      <c r="W689" s="199">
        <f>IFERROR(__xludf.DUMMYFUNCTION("""COMPUTED_VALUE"""),0.0)</f>
        <v>0</v>
      </c>
      <c r="X689" s="199">
        <f>IFERROR(__xludf.DUMMYFUNCTION("""COMPUTED_VALUE"""),0.0)</f>
        <v>0</v>
      </c>
      <c r="Y689" s="199">
        <f>IFERROR(__xludf.DUMMYFUNCTION("""COMPUTED_VALUE"""),0.0)</f>
        <v>0</v>
      </c>
      <c r="Z689" s="199">
        <f>IFERROR(__xludf.DUMMYFUNCTION("""COMPUTED_VALUE"""),0.0)</f>
        <v>0</v>
      </c>
      <c r="AA689" s="199">
        <f>IFERROR(__xludf.DUMMYFUNCTION("""COMPUTED_VALUE"""),0.0)</f>
        <v>0</v>
      </c>
      <c r="AB689" s="199">
        <f>IFERROR(__xludf.DUMMYFUNCTION("""COMPUTED_VALUE"""),8.0)</f>
        <v>8</v>
      </c>
      <c r="AC689" s="199">
        <f>IFERROR(__xludf.DUMMYFUNCTION("""COMPUTED_VALUE"""),13.0)</f>
        <v>13</v>
      </c>
      <c r="AD689" s="199">
        <f>IFERROR(__xludf.DUMMYFUNCTION("""COMPUTED_VALUE"""),0.0)</f>
        <v>0</v>
      </c>
      <c r="AE689" s="199">
        <f>IFERROR(__xludf.DUMMYFUNCTION("""COMPUTED_VALUE"""),31.0)</f>
        <v>31</v>
      </c>
      <c r="AF689" s="199">
        <f>IFERROR(__xludf.DUMMYFUNCTION("""COMPUTED_VALUE"""),2.0)</f>
        <v>2</v>
      </c>
      <c r="AG689" s="199">
        <f>IFERROR(__xludf.DUMMYFUNCTION("""COMPUTED_VALUE"""),403.0)</f>
        <v>403</v>
      </c>
      <c r="AH689" s="199">
        <f>IFERROR(__xludf.DUMMYFUNCTION("""COMPUTED_VALUE"""),60.0)</f>
        <v>60</v>
      </c>
      <c r="AI689" s="200" t="str">
        <f>IFERROR(__xludf.DUMMYFUNCTION("""COMPUTED_VALUE"""),"General Caution")</f>
        <v>General Caution</v>
      </c>
      <c r="AJ689" s="200" t="str">
        <f>IFERROR(__xludf.DUMMYFUNCTION("""COMPUTED_VALUE"""),"Continue monitoring; resample at next scheduled interval")</f>
        <v>Continue monitoring; resample at next scheduled interval</v>
      </c>
      <c r="AK689" s="204"/>
      <c r="AL689" s="204"/>
      <c r="AM689" s="204"/>
    </row>
    <row r="690" hidden="1">
      <c r="A690" s="199" t="str">
        <f>IFERROR(__xludf.DUMMYFUNCTION("""COMPUTED_VALUE"""),"543.BE180")</f>
        <v>543.BE180</v>
      </c>
      <c r="B690" s="200" t="str">
        <f>IFERROR(__xludf.DUMMYFUNCTION("""COMPUTED_VALUE"""),"Cement Mill #3 Belt Bucket Elevator Gearbox")</f>
        <v>Cement Mill #3 Belt Bucket Elevator Gearbox</v>
      </c>
      <c r="C690" s="199">
        <f>IFERROR(__xludf.DUMMYFUNCTION("""COMPUTED_VALUE"""),2.6124405234E10)</f>
        <v>26124405234</v>
      </c>
      <c r="D690" s="201">
        <f>IFERROR(__xludf.DUMMYFUNCTION("""COMPUTED_VALUE"""),46139.0)</f>
        <v>46139</v>
      </c>
      <c r="E690" s="202" t="str">
        <f>IFERROR(__xludf.DUMMYFUNCTION("""COMPUTED_VALUE"""),"Caution")</f>
        <v>Caution</v>
      </c>
      <c r="F690" s="202" t="str">
        <f>IFERROR(__xludf.DUMMYFUNCTION("""COMPUTED_VALUE"""),"Caution")</f>
        <v>Caution</v>
      </c>
      <c r="G690" s="203" t="str">
        <f>IFERROR(__xludf.DUMMYFUNCTION("""COMPUTED_VALUE"""),"Normal")</f>
        <v>Normal</v>
      </c>
      <c r="H690" s="203" t="str">
        <f>IFERROR(__xludf.DUMMYFUNCTION("""COMPUTED_VALUE"""),"Normal")</f>
        <v>Normal</v>
      </c>
      <c r="I690" s="37"/>
      <c r="J690" s="37"/>
      <c r="K690" s="37"/>
      <c r="L690" s="199">
        <f>IFERROR(__xludf.DUMMYFUNCTION("""COMPUTED_VALUE"""),15.0)</f>
        <v>15</v>
      </c>
      <c r="M690" s="199">
        <f>IFERROR(__xludf.DUMMYFUNCTION("""COMPUTED_VALUE"""),288.4)</f>
        <v>288.4</v>
      </c>
      <c r="N690" s="37">
        <f>IFERROR(__xludf.DUMMYFUNCTION("""COMPUTED_VALUE"""),1.2)</f>
        <v>1.2</v>
      </c>
      <c r="O690" s="199"/>
      <c r="P690" s="37">
        <f>IFERROR(__xludf.DUMMYFUNCTION("""COMPUTED_VALUE"""),0.01)</f>
        <v>0.01</v>
      </c>
      <c r="Q690" s="199">
        <f>IFERROR(__xludf.DUMMYFUNCTION("""COMPUTED_VALUE"""),0.0)</f>
        <v>0</v>
      </c>
      <c r="R690" s="199">
        <f>IFERROR(__xludf.DUMMYFUNCTION("""COMPUTED_VALUE"""),0.0)</f>
        <v>0</v>
      </c>
      <c r="S690" s="199">
        <f>IFERROR(__xludf.DUMMYFUNCTION("""COMPUTED_VALUE"""),0.0)</f>
        <v>0</v>
      </c>
      <c r="T690" s="199">
        <f>IFERROR(__xludf.DUMMYFUNCTION("""COMPUTED_VALUE"""),0.0)</f>
        <v>0</v>
      </c>
      <c r="U690" s="199">
        <f>IFERROR(__xludf.DUMMYFUNCTION("""COMPUTED_VALUE"""),0.0)</f>
        <v>0</v>
      </c>
      <c r="V690" s="199">
        <f>IFERROR(__xludf.DUMMYFUNCTION("""COMPUTED_VALUE"""),0.0)</f>
        <v>0</v>
      </c>
      <c r="W690" s="199">
        <f>IFERROR(__xludf.DUMMYFUNCTION("""COMPUTED_VALUE"""),0.0)</f>
        <v>0</v>
      </c>
      <c r="X690" s="199">
        <f>IFERROR(__xludf.DUMMYFUNCTION("""COMPUTED_VALUE"""),0.0)</f>
        <v>0</v>
      </c>
      <c r="Y690" s="199">
        <f>IFERROR(__xludf.DUMMYFUNCTION("""COMPUTED_VALUE"""),0.0)</f>
        <v>0</v>
      </c>
      <c r="Z690" s="199">
        <f>IFERROR(__xludf.DUMMYFUNCTION("""COMPUTED_VALUE"""),0.0)</f>
        <v>0</v>
      </c>
      <c r="AA690" s="199">
        <f>IFERROR(__xludf.DUMMYFUNCTION("""COMPUTED_VALUE"""),0.0)</f>
        <v>0</v>
      </c>
      <c r="AB690" s="199">
        <f>IFERROR(__xludf.DUMMYFUNCTION("""COMPUTED_VALUE"""),5.0)</f>
        <v>5</v>
      </c>
      <c r="AC690" s="199">
        <f>IFERROR(__xludf.DUMMYFUNCTION("""COMPUTED_VALUE"""),23.0)</f>
        <v>23</v>
      </c>
      <c r="AD690" s="199">
        <f>IFERROR(__xludf.DUMMYFUNCTION("""COMPUTED_VALUE"""),0.0)</f>
        <v>0</v>
      </c>
      <c r="AE690" s="199">
        <f>IFERROR(__xludf.DUMMYFUNCTION("""COMPUTED_VALUE"""),10.0)</f>
        <v>10</v>
      </c>
      <c r="AF690" s="199">
        <f>IFERROR(__xludf.DUMMYFUNCTION("""COMPUTED_VALUE"""),0.0)</f>
        <v>0</v>
      </c>
      <c r="AG690" s="199">
        <f>IFERROR(__xludf.DUMMYFUNCTION("""COMPUTED_VALUE"""),374.0)</f>
        <v>374</v>
      </c>
      <c r="AH690" s="199">
        <f>IFERROR(__xludf.DUMMYFUNCTION("""COMPUTED_VALUE"""),34.0)</f>
        <v>34</v>
      </c>
      <c r="AI690" s="200" t="str">
        <f>IFERROR(__xludf.DUMMYFUNCTION("""COMPUTED_VALUE"""),"General Caution")</f>
        <v>General Caution</v>
      </c>
      <c r="AJ690" s="200" t="str">
        <f>IFERROR(__xludf.DUMMYFUNCTION("""COMPUTED_VALUE"""),"Continue monitoring; resample at next scheduled interval")</f>
        <v>Continue monitoring; resample at next scheduled interval</v>
      </c>
      <c r="AK690" s="204"/>
      <c r="AL690" s="204"/>
      <c r="AM690" s="204"/>
    </row>
    <row r="691" hidden="1">
      <c r="A691" s="199" t="str">
        <f>IFERROR(__xludf.DUMMYFUNCTION("""COMPUTED_VALUE"""),"544.BE180")</f>
        <v>544.BE180</v>
      </c>
      <c r="B691" s="200" t="str">
        <f>IFERROR(__xludf.DUMMYFUNCTION("""COMPUTED_VALUE"""),"Cement Mill #4 Belt Bucket Elevator Gearbox")</f>
        <v>Cement Mill #4 Belt Bucket Elevator Gearbox</v>
      </c>
      <c r="C691" s="199">
        <f>IFERROR(__xludf.DUMMYFUNCTION("""COMPUTED_VALUE"""),2.6124405219E10)</f>
        <v>26124405219</v>
      </c>
      <c r="D691" s="201">
        <f>IFERROR(__xludf.DUMMYFUNCTION("""COMPUTED_VALUE"""),46139.0)</f>
        <v>46139</v>
      </c>
      <c r="E691" s="202" t="str">
        <f>IFERROR(__xludf.DUMMYFUNCTION("""COMPUTED_VALUE"""),"Caution")</f>
        <v>Caution</v>
      </c>
      <c r="F691" s="202" t="str">
        <f>IFERROR(__xludf.DUMMYFUNCTION("""COMPUTED_VALUE"""),"Caution")</f>
        <v>Caution</v>
      </c>
      <c r="G691" s="203" t="str">
        <f>IFERROR(__xludf.DUMMYFUNCTION("""COMPUTED_VALUE"""),"Normal")</f>
        <v>Normal</v>
      </c>
      <c r="H691" s="203" t="str">
        <f>IFERROR(__xludf.DUMMYFUNCTION("""COMPUTED_VALUE"""),"Normal")</f>
        <v>Normal</v>
      </c>
      <c r="I691" s="37"/>
      <c r="J691" s="37"/>
      <c r="K691" s="37"/>
      <c r="L691" s="199">
        <f>IFERROR(__xludf.DUMMYFUNCTION("""COMPUTED_VALUE"""),13.0)</f>
        <v>13</v>
      </c>
      <c r="M691" s="199">
        <f>IFERROR(__xludf.DUMMYFUNCTION("""COMPUTED_VALUE"""),300.2)</f>
        <v>300.2</v>
      </c>
      <c r="N691" s="37">
        <f>IFERROR(__xludf.DUMMYFUNCTION("""COMPUTED_VALUE"""),1.4)</f>
        <v>1.4</v>
      </c>
      <c r="O691" s="199"/>
      <c r="P691" s="37">
        <f>IFERROR(__xludf.DUMMYFUNCTION("""COMPUTED_VALUE"""),0.05)</f>
        <v>0.05</v>
      </c>
      <c r="Q691" s="199">
        <f>IFERROR(__xludf.DUMMYFUNCTION("""COMPUTED_VALUE"""),0.0)</f>
        <v>0</v>
      </c>
      <c r="R691" s="199">
        <f>IFERROR(__xludf.DUMMYFUNCTION("""COMPUTED_VALUE"""),0.0)</f>
        <v>0</v>
      </c>
      <c r="S691" s="199">
        <f>IFERROR(__xludf.DUMMYFUNCTION("""COMPUTED_VALUE"""),5.0)</f>
        <v>5</v>
      </c>
      <c r="T691" s="199">
        <f>IFERROR(__xludf.DUMMYFUNCTION("""COMPUTED_VALUE"""),0.0)</f>
        <v>0</v>
      </c>
      <c r="U691" s="199">
        <f>IFERROR(__xludf.DUMMYFUNCTION("""COMPUTED_VALUE"""),0.0)</f>
        <v>0</v>
      </c>
      <c r="V691" s="199">
        <f>IFERROR(__xludf.DUMMYFUNCTION("""COMPUTED_VALUE"""),0.0)</f>
        <v>0</v>
      </c>
      <c r="W691" s="199">
        <f>IFERROR(__xludf.DUMMYFUNCTION("""COMPUTED_VALUE"""),0.0)</f>
        <v>0</v>
      </c>
      <c r="X691" s="199">
        <f>IFERROR(__xludf.DUMMYFUNCTION("""COMPUTED_VALUE"""),0.0)</f>
        <v>0</v>
      </c>
      <c r="Y691" s="199">
        <f>IFERROR(__xludf.DUMMYFUNCTION("""COMPUTED_VALUE"""),0.0)</f>
        <v>0</v>
      </c>
      <c r="Z691" s="199">
        <f>IFERROR(__xludf.DUMMYFUNCTION("""COMPUTED_VALUE"""),0.0)</f>
        <v>0</v>
      </c>
      <c r="AA691" s="199">
        <f>IFERROR(__xludf.DUMMYFUNCTION("""COMPUTED_VALUE"""),0.0)</f>
        <v>0</v>
      </c>
      <c r="AB691" s="199">
        <f>IFERROR(__xludf.DUMMYFUNCTION("""COMPUTED_VALUE"""),15.0)</f>
        <v>15</v>
      </c>
      <c r="AC691" s="199">
        <f>IFERROR(__xludf.DUMMYFUNCTION("""COMPUTED_VALUE"""),12.0)</f>
        <v>12</v>
      </c>
      <c r="AD691" s="199">
        <f>IFERROR(__xludf.DUMMYFUNCTION("""COMPUTED_VALUE"""),0.0)</f>
        <v>0</v>
      </c>
      <c r="AE691" s="199">
        <f>IFERROR(__xludf.DUMMYFUNCTION("""COMPUTED_VALUE"""),24.0)</f>
        <v>24</v>
      </c>
      <c r="AF691" s="199">
        <f>IFERROR(__xludf.DUMMYFUNCTION("""COMPUTED_VALUE"""),0.0)</f>
        <v>0</v>
      </c>
      <c r="AG691" s="199">
        <f>IFERROR(__xludf.DUMMYFUNCTION("""COMPUTED_VALUE"""),388.0)</f>
        <v>388</v>
      </c>
      <c r="AH691" s="199">
        <f>IFERROR(__xludf.DUMMYFUNCTION("""COMPUTED_VALUE"""),0.0)</f>
        <v>0</v>
      </c>
      <c r="AI691" s="200" t="str">
        <f>IFERROR(__xludf.DUMMYFUNCTION("""COMPUTED_VALUE"""),"General Caution")</f>
        <v>General Caution</v>
      </c>
      <c r="AJ691" s="200" t="str">
        <f>IFERROR(__xludf.DUMMYFUNCTION("""COMPUTED_VALUE"""),"Continue monitoring; resample at next scheduled interval")</f>
        <v>Continue monitoring; resample at next scheduled interval</v>
      </c>
      <c r="AK691" s="204"/>
      <c r="AL691" s="204"/>
      <c r="AM691" s="204"/>
    </row>
    <row r="692" hidden="1">
      <c r="A692" s="199"/>
      <c r="B692" s="200"/>
      <c r="C692" s="199"/>
      <c r="D692" s="201"/>
      <c r="E692" s="202"/>
      <c r="F692" s="202"/>
      <c r="G692" s="203"/>
      <c r="H692" s="203"/>
      <c r="I692" s="37"/>
      <c r="J692" s="37"/>
      <c r="K692" s="37"/>
      <c r="L692" s="199"/>
      <c r="M692" s="199"/>
      <c r="N692" s="37"/>
      <c r="O692" s="199"/>
      <c r="P692" s="199"/>
      <c r="Q692" s="199"/>
      <c r="R692" s="199"/>
      <c r="S692" s="199"/>
      <c r="T692" s="199"/>
      <c r="U692" s="199"/>
      <c r="V692" s="199"/>
      <c r="W692" s="199"/>
      <c r="X692" s="199"/>
      <c r="Y692" s="199"/>
      <c r="Z692" s="199"/>
      <c r="AA692" s="199"/>
      <c r="AB692" s="199"/>
      <c r="AC692" s="199"/>
      <c r="AD692" s="199"/>
      <c r="AE692" s="199"/>
      <c r="AF692" s="199"/>
      <c r="AG692" s="199"/>
      <c r="AH692" s="199"/>
      <c r="AI692" s="200"/>
      <c r="AJ692" s="200"/>
      <c r="AK692" s="204"/>
      <c r="AL692" s="204"/>
      <c r="AM692" s="204"/>
    </row>
    <row r="693" hidden="1">
      <c r="A693" s="199"/>
      <c r="B693" s="200"/>
      <c r="C693" s="199"/>
      <c r="D693" s="201"/>
      <c r="E693" s="202"/>
      <c r="F693" s="202"/>
      <c r="G693" s="203"/>
      <c r="H693" s="203"/>
      <c r="I693" s="37"/>
      <c r="J693" s="37"/>
      <c r="K693" s="37"/>
      <c r="L693" s="199"/>
      <c r="M693" s="199"/>
      <c r="N693" s="37"/>
      <c r="O693" s="199"/>
      <c r="P693" s="37"/>
      <c r="Q693" s="199"/>
      <c r="R693" s="199"/>
      <c r="S693" s="199"/>
      <c r="T693" s="199"/>
      <c r="U693" s="199"/>
      <c r="V693" s="199"/>
      <c r="W693" s="199"/>
      <c r="X693" s="199"/>
      <c r="Y693" s="199"/>
      <c r="Z693" s="199"/>
      <c r="AA693" s="199"/>
      <c r="AB693" s="199"/>
      <c r="AC693" s="199"/>
      <c r="AD693" s="199"/>
      <c r="AE693" s="199"/>
      <c r="AF693" s="199"/>
      <c r="AG693" s="199"/>
      <c r="AH693" s="199"/>
      <c r="AI693" s="200"/>
      <c r="AJ693" s="200"/>
      <c r="AK693" s="204"/>
      <c r="AL693" s="204"/>
      <c r="AM693" s="204"/>
    </row>
    <row r="694" hidden="1">
      <c r="A694" s="199"/>
      <c r="B694" s="200"/>
      <c r="C694" s="199"/>
      <c r="D694" s="201"/>
      <c r="E694" s="202"/>
      <c r="F694" s="202"/>
      <c r="G694" s="203"/>
      <c r="H694" s="203"/>
      <c r="I694" s="37"/>
      <c r="J694" s="37"/>
      <c r="K694" s="37"/>
      <c r="L694" s="199"/>
      <c r="M694" s="199"/>
      <c r="N694" s="37"/>
      <c r="O694" s="199"/>
      <c r="P694" s="37"/>
      <c r="Q694" s="199"/>
      <c r="R694" s="199"/>
      <c r="S694" s="199"/>
      <c r="T694" s="199"/>
      <c r="U694" s="199"/>
      <c r="V694" s="199"/>
      <c r="W694" s="199"/>
      <c r="X694" s="199"/>
      <c r="Y694" s="199"/>
      <c r="Z694" s="199"/>
      <c r="AA694" s="199"/>
      <c r="AB694" s="199"/>
      <c r="AC694" s="199"/>
      <c r="AD694" s="199"/>
      <c r="AE694" s="199"/>
      <c r="AF694" s="199"/>
      <c r="AG694" s="199"/>
      <c r="AH694" s="199"/>
      <c r="AI694" s="200"/>
      <c r="AJ694" s="200"/>
      <c r="AK694" s="204"/>
      <c r="AL694" s="204"/>
      <c r="AM694" s="204"/>
    </row>
    <row r="695" hidden="1">
      <c r="A695" s="199"/>
      <c r="B695" s="200"/>
      <c r="C695" s="199"/>
      <c r="D695" s="201"/>
      <c r="E695" s="202"/>
      <c r="F695" s="202"/>
      <c r="G695" s="203"/>
      <c r="H695" s="203"/>
      <c r="I695" s="37"/>
      <c r="J695" s="37"/>
      <c r="K695" s="37"/>
      <c r="L695" s="199"/>
      <c r="M695" s="199"/>
      <c r="N695" s="37"/>
      <c r="O695" s="199"/>
      <c r="P695" s="37"/>
      <c r="Q695" s="199"/>
      <c r="R695" s="199"/>
      <c r="S695" s="199"/>
      <c r="T695" s="199"/>
      <c r="U695" s="199"/>
      <c r="V695" s="199"/>
      <c r="W695" s="199"/>
      <c r="X695" s="199"/>
      <c r="Y695" s="199"/>
      <c r="Z695" s="199"/>
      <c r="AA695" s="199"/>
      <c r="AB695" s="199"/>
      <c r="AC695" s="199"/>
      <c r="AD695" s="199"/>
      <c r="AE695" s="199"/>
      <c r="AF695" s="199"/>
      <c r="AG695" s="199"/>
      <c r="AH695" s="199"/>
      <c r="AI695" s="200"/>
      <c r="AJ695" s="200"/>
      <c r="AK695" s="204"/>
      <c r="AL695" s="204"/>
      <c r="AM695" s="204"/>
    </row>
    <row r="696" hidden="1">
      <c r="A696" s="199"/>
      <c r="B696" s="200"/>
      <c r="C696" s="199"/>
      <c r="D696" s="201"/>
      <c r="E696" s="202"/>
      <c r="F696" s="202"/>
      <c r="G696" s="203"/>
      <c r="H696" s="203"/>
      <c r="I696" s="37"/>
      <c r="J696" s="37"/>
      <c r="K696" s="37"/>
      <c r="L696" s="199"/>
      <c r="M696" s="199"/>
      <c r="N696" s="37"/>
      <c r="O696" s="199"/>
      <c r="P696" s="37"/>
      <c r="Q696" s="199"/>
      <c r="R696" s="199"/>
      <c r="S696" s="199"/>
      <c r="T696" s="199"/>
      <c r="U696" s="199"/>
      <c r="V696" s="199"/>
      <c r="W696" s="199"/>
      <c r="X696" s="199"/>
      <c r="Y696" s="199"/>
      <c r="Z696" s="199"/>
      <c r="AA696" s="199"/>
      <c r="AB696" s="199"/>
      <c r="AC696" s="199"/>
      <c r="AD696" s="199"/>
      <c r="AE696" s="199"/>
      <c r="AF696" s="199"/>
      <c r="AG696" s="199"/>
      <c r="AH696" s="199"/>
      <c r="AI696" s="200"/>
      <c r="AJ696" s="200"/>
      <c r="AK696" s="204"/>
      <c r="AL696" s="204"/>
      <c r="AM696" s="204"/>
    </row>
    <row r="697" hidden="1">
      <c r="A697" s="199"/>
      <c r="B697" s="200"/>
      <c r="C697" s="199"/>
      <c r="D697" s="201"/>
      <c r="E697" s="202"/>
      <c r="F697" s="202"/>
      <c r="G697" s="203"/>
      <c r="H697" s="203"/>
      <c r="I697" s="37"/>
      <c r="J697" s="37"/>
      <c r="K697" s="37"/>
      <c r="L697" s="199"/>
      <c r="M697" s="199"/>
      <c r="N697" s="37"/>
      <c r="O697" s="199"/>
      <c r="P697" s="199"/>
      <c r="Q697" s="199"/>
      <c r="R697" s="199"/>
      <c r="S697" s="199"/>
      <c r="T697" s="199"/>
      <c r="U697" s="199"/>
      <c r="V697" s="199"/>
      <c r="W697" s="199"/>
      <c r="X697" s="199"/>
      <c r="Y697" s="199"/>
      <c r="Z697" s="199"/>
      <c r="AA697" s="199"/>
      <c r="AB697" s="199"/>
      <c r="AC697" s="199"/>
      <c r="AD697" s="199"/>
      <c r="AE697" s="199"/>
      <c r="AF697" s="199"/>
      <c r="AG697" s="199"/>
      <c r="AH697" s="199"/>
      <c r="AI697" s="200"/>
      <c r="AJ697" s="200"/>
      <c r="AK697" s="204"/>
      <c r="AL697" s="204"/>
      <c r="AM697" s="204"/>
    </row>
    <row r="698" hidden="1">
      <c r="A698" s="199"/>
      <c r="B698" s="200"/>
      <c r="C698" s="199"/>
      <c r="D698" s="201"/>
      <c r="E698" s="202"/>
      <c r="F698" s="202"/>
      <c r="G698" s="203"/>
      <c r="H698" s="203"/>
      <c r="I698" s="37"/>
      <c r="J698" s="37"/>
      <c r="K698" s="37"/>
      <c r="L698" s="199"/>
      <c r="M698" s="199"/>
      <c r="N698" s="37"/>
      <c r="O698" s="199"/>
      <c r="P698" s="37"/>
      <c r="Q698" s="199"/>
      <c r="R698" s="199"/>
      <c r="S698" s="199"/>
      <c r="T698" s="199"/>
      <c r="U698" s="199"/>
      <c r="V698" s="199"/>
      <c r="W698" s="199"/>
      <c r="X698" s="199"/>
      <c r="Y698" s="199"/>
      <c r="Z698" s="199"/>
      <c r="AA698" s="199"/>
      <c r="AB698" s="199"/>
      <c r="AC698" s="199"/>
      <c r="AD698" s="199"/>
      <c r="AE698" s="199"/>
      <c r="AF698" s="199"/>
      <c r="AG698" s="199"/>
      <c r="AH698" s="199"/>
      <c r="AI698" s="200"/>
      <c r="AJ698" s="200"/>
      <c r="AK698" s="204"/>
      <c r="AL698" s="204"/>
      <c r="AM698" s="204"/>
    </row>
    <row r="699" hidden="1">
      <c r="A699" s="199"/>
      <c r="B699" s="200"/>
      <c r="C699" s="199"/>
      <c r="D699" s="201"/>
      <c r="E699" s="202"/>
      <c r="F699" s="202"/>
      <c r="G699" s="203"/>
      <c r="H699" s="203"/>
      <c r="I699" s="37"/>
      <c r="J699" s="37"/>
      <c r="K699" s="37"/>
      <c r="L699" s="199"/>
      <c r="M699" s="199"/>
      <c r="N699" s="37"/>
      <c r="O699" s="199"/>
      <c r="P699" s="37"/>
      <c r="Q699" s="199"/>
      <c r="R699" s="199"/>
      <c r="S699" s="199"/>
      <c r="T699" s="199"/>
      <c r="U699" s="199"/>
      <c r="V699" s="199"/>
      <c r="W699" s="199"/>
      <c r="X699" s="199"/>
      <c r="Y699" s="199"/>
      <c r="Z699" s="199"/>
      <c r="AA699" s="199"/>
      <c r="AB699" s="199"/>
      <c r="AC699" s="199"/>
      <c r="AD699" s="199"/>
      <c r="AE699" s="199"/>
      <c r="AF699" s="199"/>
      <c r="AG699" s="199"/>
      <c r="AH699" s="199"/>
      <c r="AI699" s="200"/>
      <c r="AJ699" s="200"/>
      <c r="AK699" s="204"/>
      <c r="AL699" s="204"/>
      <c r="AM699" s="204"/>
    </row>
    <row r="700" hidden="1">
      <c r="A700" s="199"/>
      <c r="B700" s="200"/>
      <c r="C700" s="199"/>
      <c r="D700" s="201"/>
      <c r="E700" s="202"/>
      <c r="F700" s="202"/>
      <c r="G700" s="203"/>
      <c r="H700" s="203"/>
      <c r="I700" s="37"/>
      <c r="J700" s="37"/>
      <c r="K700" s="37"/>
      <c r="L700" s="199"/>
      <c r="M700" s="199"/>
      <c r="N700" s="37"/>
      <c r="O700" s="199"/>
      <c r="P700" s="37"/>
      <c r="Q700" s="199"/>
      <c r="R700" s="199"/>
      <c r="S700" s="199"/>
      <c r="T700" s="199"/>
      <c r="U700" s="199"/>
      <c r="V700" s="199"/>
      <c r="W700" s="199"/>
      <c r="X700" s="199"/>
      <c r="Y700" s="199"/>
      <c r="Z700" s="199"/>
      <c r="AA700" s="199"/>
      <c r="AB700" s="199"/>
      <c r="AC700" s="199"/>
      <c r="AD700" s="199"/>
      <c r="AE700" s="199"/>
      <c r="AF700" s="199"/>
      <c r="AG700" s="199"/>
      <c r="AH700" s="199"/>
      <c r="AI700" s="200"/>
      <c r="AJ700" s="200"/>
      <c r="AK700" s="204"/>
      <c r="AL700" s="204"/>
      <c r="AM700" s="204"/>
    </row>
    <row r="701" hidden="1">
      <c r="A701" s="199"/>
      <c r="B701" s="200"/>
      <c r="C701" s="199"/>
      <c r="D701" s="201"/>
      <c r="E701" s="202"/>
      <c r="F701" s="202"/>
      <c r="G701" s="203"/>
      <c r="H701" s="203"/>
      <c r="I701" s="37"/>
      <c r="J701" s="37"/>
      <c r="K701" s="37"/>
      <c r="L701" s="199"/>
      <c r="M701" s="199"/>
      <c r="N701" s="37"/>
      <c r="O701" s="199"/>
      <c r="P701" s="37"/>
      <c r="Q701" s="199"/>
      <c r="R701" s="199"/>
      <c r="S701" s="199"/>
      <c r="T701" s="199"/>
      <c r="U701" s="199"/>
      <c r="V701" s="199"/>
      <c r="W701" s="199"/>
      <c r="X701" s="199"/>
      <c r="Y701" s="199"/>
      <c r="Z701" s="199"/>
      <c r="AA701" s="199"/>
      <c r="AB701" s="199"/>
      <c r="AC701" s="199"/>
      <c r="AD701" s="199"/>
      <c r="AE701" s="199"/>
      <c r="AF701" s="199"/>
      <c r="AG701" s="199"/>
      <c r="AH701" s="199"/>
      <c r="AI701" s="200"/>
      <c r="AJ701" s="200"/>
      <c r="AK701" s="204"/>
      <c r="AL701" s="204"/>
      <c r="AM701" s="204"/>
    </row>
    <row r="702" hidden="1">
      <c r="A702" s="199"/>
      <c r="B702" s="200"/>
      <c r="C702" s="199"/>
      <c r="D702" s="201"/>
      <c r="E702" s="202"/>
      <c r="F702" s="202"/>
      <c r="G702" s="203"/>
      <c r="H702" s="203"/>
      <c r="I702" s="37"/>
      <c r="J702" s="37"/>
      <c r="K702" s="37"/>
      <c r="L702" s="199"/>
      <c r="M702" s="199"/>
      <c r="N702" s="37"/>
      <c r="O702" s="199"/>
      <c r="P702" s="37"/>
      <c r="Q702" s="199"/>
      <c r="R702" s="199"/>
      <c r="S702" s="199"/>
      <c r="T702" s="199"/>
      <c r="U702" s="199"/>
      <c r="V702" s="199"/>
      <c r="W702" s="199"/>
      <c r="X702" s="199"/>
      <c r="Y702" s="199"/>
      <c r="Z702" s="199"/>
      <c r="AA702" s="199"/>
      <c r="AB702" s="199"/>
      <c r="AC702" s="199"/>
      <c r="AD702" s="199"/>
      <c r="AE702" s="199"/>
      <c r="AF702" s="199"/>
      <c r="AG702" s="199"/>
      <c r="AH702" s="199"/>
      <c r="AI702" s="200"/>
      <c r="AJ702" s="200"/>
      <c r="AK702" s="204"/>
      <c r="AL702" s="204"/>
      <c r="AM702" s="204"/>
    </row>
    <row r="703" hidden="1">
      <c r="A703" s="199"/>
      <c r="B703" s="200"/>
      <c r="C703" s="199"/>
      <c r="D703" s="201"/>
      <c r="E703" s="202"/>
      <c r="F703" s="202"/>
      <c r="G703" s="203"/>
      <c r="H703" s="203"/>
      <c r="I703" s="37"/>
      <c r="J703" s="37"/>
      <c r="K703" s="37"/>
      <c r="L703" s="199"/>
      <c r="M703" s="199"/>
      <c r="N703" s="37"/>
      <c r="O703" s="199"/>
      <c r="P703" s="37"/>
      <c r="Q703" s="199"/>
      <c r="R703" s="199"/>
      <c r="S703" s="199"/>
      <c r="T703" s="199"/>
      <c r="U703" s="199"/>
      <c r="V703" s="199"/>
      <c r="W703" s="199"/>
      <c r="X703" s="199"/>
      <c r="Y703" s="199"/>
      <c r="Z703" s="199"/>
      <c r="AA703" s="199"/>
      <c r="AB703" s="199"/>
      <c r="AC703" s="199"/>
      <c r="AD703" s="199"/>
      <c r="AE703" s="199"/>
      <c r="AF703" s="199"/>
      <c r="AG703" s="199"/>
      <c r="AH703" s="199"/>
      <c r="AI703" s="200"/>
      <c r="AJ703" s="200"/>
      <c r="AK703" s="204"/>
      <c r="AL703" s="204"/>
      <c r="AM703" s="204"/>
    </row>
    <row r="704" hidden="1">
      <c r="A704" s="199"/>
      <c r="B704" s="200"/>
      <c r="C704" s="199"/>
      <c r="D704" s="201"/>
      <c r="E704" s="202"/>
      <c r="F704" s="202"/>
      <c r="G704" s="203"/>
      <c r="H704" s="203"/>
      <c r="I704" s="37"/>
      <c r="J704" s="37"/>
      <c r="K704" s="37"/>
      <c r="L704" s="199"/>
      <c r="M704" s="199"/>
      <c r="N704" s="37"/>
      <c r="O704" s="199"/>
      <c r="P704" s="199"/>
      <c r="Q704" s="199"/>
      <c r="R704" s="199"/>
      <c r="S704" s="199"/>
      <c r="T704" s="199"/>
      <c r="U704" s="199"/>
      <c r="V704" s="199"/>
      <c r="W704" s="199"/>
      <c r="X704" s="199"/>
      <c r="Y704" s="199"/>
      <c r="Z704" s="199"/>
      <c r="AA704" s="199"/>
      <c r="AB704" s="199"/>
      <c r="AC704" s="199"/>
      <c r="AD704" s="199"/>
      <c r="AE704" s="199"/>
      <c r="AF704" s="199"/>
      <c r="AG704" s="199"/>
      <c r="AH704" s="199"/>
      <c r="AI704" s="200"/>
      <c r="AJ704" s="200"/>
      <c r="AK704" s="204"/>
      <c r="AL704" s="204"/>
      <c r="AM704" s="204"/>
    </row>
    <row r="705" hidden="1">
      <c r="A705" s="199"/>
      <c r="B705" s="200"/>
      <c r="C705" s="199"/>
      <c r="D705" s="201"/>
      <c r="E705" s="202"/>
      <c r="F705" s="202"/>
      <c r="G705" s="203"/>
      <c r="H705" s="203"/>
      <c r="I705" s="37"/>
      <c r="J705" s="37"/>
      <c r="K705" s="37"/>
      <c r="L705" s="199"/>
      <c r="M705" s="199"/>
      <c r="N705" s="37"/>
      <c r="O705" s="199"/>
      <c r="P705" s="199"/>
      <c r="Q705" s="199"/>
      <c r="R705" s="199"/>
      <c r="S705" s="199"/>
      <c r="T705" s="199"/>
      <c r="U705" s="199"/>
      <c r="V705" s="199"/>
      <c r="W705" s="199"/>
      <c r="X705" s="199"/>
      <c r="Y705" s="199"/>
      <c r="Z705" s="199"/>
      <c r="AA705" s="199"/>
      <c r="AB705" s="199"/>
      <c r="AC705" s="199"/>
      <c r="AD705" s="199"/>
      <c r="AE705" s="199"/>
      <c r="AF705" s="199"/>
      <c r="AG705" s="199"/>
      <c r="AH705" s="199"/>
      <c r="AI705" s="200"/>
      <c r="AJ705" s="200"/>
      <c r="AK705" s="204"/>
      <c r="AL705" s="204"/>
      <c r="AM705" s="204"/>
    </row>
    <row r="706" hidden="1">
      <c r="A706" s="199"/>
      <c r="B706" s="200"/>
      <c r="C706" s="199"/>
      <c r="D706" s="201"/>
      <c r="E706" s="202"/>
      <c r="F706" s="202"/>
      <c r="G706" s="203"/>
      <c r="H706" s="203"/>
      <c r="I706" s="37"/>
      <c r="J706" s="37"/>
      <c r="K706" s="37"/>
      <c r="L706" s="199"/>
      <c r="M706" s="199"/>
      <c r="N706" s="37"/>
      <c r="O706" s="199"/>
      <c r="P706" s="199"/>
      <c r="Q706" s="199"/>
      <c r="R706" s="199"/>
      <c r="S706" s="199"/>
      <c r="T706" s="199"/>
      <c r="U706" s="199"/>
      <c r="V706" s="199"/>
      <c r="W706" s="199"/>
      <c r="X706" s="199"/>
      <c r="Y706" s="199"/>
      <c r="Z706" s="199"/>
      <c r="AA706" s="199"/>
      <c r="AB706" s="199"/>
      <c r="AC706" s="199"/>
      <c r="AD706" s="199"/>
      <c r="AE706" s="199"/>
      <c r="AF706" s="199"/>
      <c r="AG706" s="199"/>
      <c r="AH706" s="199"/>
      <c r="AI706" s="200"/>
      <c r="AJ706" s="200"/>
      <c r="AK706" s="204"/>
      <c r="AL706" s="204"/>
      <c r="AM706" s="204"/>
    </row>
    <row r="707" hidden="1">
      <c r="A707" s="199"/>
      <c r="B707" s="200"/>
      <c r="C707" s="199"/>
      <c r="D707" s="201"/>
      <c r="E707" s="202"/>
      <c r="F707" s="202"/>
      <c r="G707" s="203"/>
      <c r="H707" s="203"/>
      <c r="I707" s="37"/>
      <c r="J707" s="37"/>
      <c r="K707" s="37"/>
      <c r="L707" s="199"/>
      <c r="M707" s="199"/>
      <c r="N707" s="37"/>
      <c r="O707" s="199"/>
      <c r="P707" s="199"/>
      <c r="Q707" s="199"/>
      <c r="R707" s="199"/>
      <c r="S707" s="199"/>
      <c r="T707" s="199"/>
      <c r="U707" s="199"/>
      <c r="V707" s="199"/>
      <c r="W707" s="199"/>
      <c r="X707" s="199"/>
      <c r="Y707" s="199"/>
      <c r="Z707" s="199"/>
      <c r="AA707" s="199"/>
      <c r="AB707" s="199"/>
      <c r="AC707" s="199"/>
      <c r="AD707" s="199"/>
      <c r="AE707" s="199"/>
      <c r="AF707" s="199"/>
      <c r="AG707" s="199"/>
      <c r="AH707" s="199"/>
      <c r="AI707" s="200"/>
      <c r="AJ707" s="200"/>
      <c r="AK707" s="204"/>
      <c r="AL707" s="204"/>
      <c r="AM707" s="204"/>
    </row>
    <row r="708" hidden="1">
      <c r="A708" s="199"/>
      <c r="B708" s="200"/>
      <c r="C708" s="199"/>
      <c r="D708" s="201"/>
      <c r="E708" s="202"/>
      <c r="F708" s="202"/>
      <c r="G708" s="203"/>
      <c r="H708" s="203"/>
      <c r="I708" s="37"/>
      <c r="J708" s="37"/>
      <c r="K708" s="37"/>
      <c r="L708" s="199"/>
      <c r="M708" s="199"/>
      <c r="N708" s="37"/>
      <c r="O708" s="199"/>
      <c r="P708" s="199"/>
      <c r="Q708" s="199"/>
      <c r="R708" s="199"/>
      <c r="S708" s="199"/>
      <c r="T708" s="199"/>
      <c r="U708" s="199"/>
      <c r="V708" s="199"/>
      <c r="W708" s="199"/>
      <c r="X708" s="199"/>
      <c r="Y708" s="199"/>
      <c r="Z708" s="199"/>
      <c r="AA708" s="199"/>
      <c r="AB708" s="199"/>
      <c r="AC708" s="199"/>
      <c r="AD708" s="199"/>
      <c r="AE708" s="199"/>
      <c r="AF708" s="199"/>
      <c r="AG708" s="199"/>
      <c r="AH708" s="199"/>
      <c r="AI708" s="200"/>
      <c r="AJ708" s="200"/>
      <c r="AK708" s="204"/>
      <c r="AL708" s="204"/>
      <c r="AM708" s="204"/>
    </row>
    <row r="709" hidden="1">
      <c r="A709" s="199"/>
      <c r="B709" s="200"/>
      <c r="C709" s="199"/>
      <c r="D709" s="201"/>
      <c r="E709" s="202"/>
      <c r="F709" s="202"/>
      <c r="G709" s="203"/>
      <c r="H709" s="203"/>
      <c r="I709" s="37"/>
      <c r="J709" s="37"/>
      <c r="K709" s="37"/>
      <c r="L709" s="199"/>
      <c r="M709" s="199"/>
      <c r="N709" s="37"/>
      <c r="O709" s="199"/>
      <c r="P709" s="199"/>
      <c r="Q709" s="199"/>
      <c r="R709" s="199"/>
      <c r="S709" s="199"/>
      <c r="T709" s="199"/>
      <c r="U709" s="199"/>
      <c r="V709" s="199"/>
      <c r="W709" s="199"/>
      <c r="X709" s="199"/>
      <c r="Y709" s="199"/>
      <c r="Z709" s="199"/>
      <c r="AA709" s="199"/>
      <c r="AB709" s="199"/>
      <c r="AC709" s="199"/>
      <c r="AD709" s="199"/>
      <c r="AE709" s="199"/>
      <c r="AF709" s="199"/>
      <c r="AG709" s="199"/>
      <c r="AH709" s="199"/>
      <c r="AI709" s="200"/>
      <c r="AJ709" s="200"/>
      <c r="AK709" s="204"/>
      <c r="AL709" s="204"/>
      <c r="AM709" s="204"/>
    </row>
    <row r="710" hidden="1">
      <c r="A710" s="199"/>
      <c r="B710" s="200"/>
      <c r="C710" s="199"/>
      <c r="D710" s="201"/>
      <c r="E710" s="202"/>
      <c r="F710" s="202"/>
      <c r="G710" s="203"/>
      <c r="H710" s="203"/>
      <c r="I710" s="199"/>
      <c r="J710" s="199"/>
      <c r="K710" s="199"/>
      <c r="L710" s="199"/>
      <c r="M710" s="199"/>
      <c r="N710" s="37"/>
      <c r="O710" s="199"/>
      <c r="P710" s="199"/>
      <c r="Q710" s="199"/>
      <c r="R710" s="199"/>
      <c r="S710" s="199"/>
      <c r="T710" s="199"/>
      <c r="U710" s="199"/>
      <c r="V710" s="199"/>
      <c r="W710" s="199"/>
      <c r="X710" s="199"/>
      <c r="Y710" s="199"/>
      <c r="Z710" s="199"/>
      <c r="AA710" s="199"/>
      <c r="AB710" s="199"/>
      <c r="AC710" s="199"/>
      <c r="AD710" s="199"/>
      <c r="AE710" s="199"/>
      <c r="AF710" s="199"/>
      <c r="AG710" s="199"/>
      <c r="AH710" s="199"/>
      <c r="AI710" s="200"/>
      <c r="AJ710" s="200"/>
      <c r="AK710" s="204"/>
      <c r="AL710" s="204"/>
      <c r="AM710" s="204"/>
    </row>
    <row r="711">
      <c r="A711" s="199"/>
      <c r="B711" s="200"/>
      <c r="C711" s="199"/>
      <c r="D711" s="201"/>
      <c r="E711" s="202"/>
      <c r="F711" s="202"/>
      <c r="G711" s="203"/>
      <c r="H711" s="203"/>
      <c r="I711" s="37"/>
      <c r="J711" s="37"/>
      <c r="K711" s="37"/>
      <c r="L711" s="199"/>
      <c r="M711" s="199"/>
      <c r="N711" s="37"/>
      <c r="O711" s="199"/>
      <c r="P711" s="199"/>
      <c r="Q711" s="199"/>
      <c r="R711" s="199"/>
      <c r="S711" s="199"/>
      <c r="T711" s="199"/>
      <c r="U711" s="199"/>
      <c r="V711" s="199"/>
      <c r="W711" s="199"/>
      <c r="X711" s="199"/>
      <c r="Y711" s="199"/>
      <c r="Z711" s="199"/>
      <c r="AA711" s="199"/>
      <c r="AB711" s="199"/>
      <c r="AC711" s="199"/>
      <c r="AD711" s="199"/>
      <c r="AE711" s="199"/>
      <c r="AF711" s="199"/>
      <c r="AG711" s="199"/>
      <c r="AH711" s="199"/>
      <c r="AI711" s="200"/>
      <c r="AJ711" s="200"/>
      <c r="AK711" s="204"/>
      <c r="AL711" s="204"/>
      <c r="AM711" s="204"/>
    </row>
    <row r="712" hidden="1">
      <c r="A712" s="199"/>
      <c r="B712" s="200"/>
      <c r="C712" s="199"/>
      <c r="D712" s="201"/>
      <c r="E712" s="202"/>
      <c r="F712" s="202"/>
      <c r="G712" s="203"/>
      <c r="H712" s="203"/>
      <c r="I712" s="37"/>
      <c r="J712" s="37"/>
      <c r="K712" s="37"/>
      <c r="L712" s="199"/>
      <c r="M712" s="199"/>
      <c r="N712" s="37"/>
      <c r="O712" s="37"/>
      <c r="P712" s="199"/>
      <c r="Q712" s="199"/>
      <c r="R712" s="199"/>
      <c r="S712" s="199"/>
      <c r="T712" s="199"/>
      <c r="U712" s="199"/>
      <c r="V712" s="199"/>
      <c r="W712" s="199"/>
      <c r="X712" s="199"/>
      <c r="Y712" s="199"/>
      <c r="Z712" s="199"/>
      <c r="AA712" s="199"/>
      <c r="AB712" s="199"/>
      <c r="AC712" s="199"/>
      <c r="AD712" s="199"/>
      <c r="AE712" s="199"/>
      <c r="AF712" s="199"/>
      <c r="AG712" s="199"/>
      <c r="AH712" s="199"/>
      <c r="AI712" s="200"/>
      <c r="AJ712" s="200"/>
      <c r="AK712" s="204"/>
      <c r="AL712" s="204"/>
      <c r="AM712" s="204"/>
    </row>
    <row r="713" hidden="1">
      <c r="A713" s="199"/>
      <c r="B713" s="200"/>
      <c r="C713" s="199"/>
      <c r="D713" s="201"/>
      <c r="E713" s="202"/>
      <c r="F713" s="202"/>
      <c r="G713" s="203"/>
      <c r="H713" s="203"/>
      <c r="I713" s="199"/>
      <c r="J713" s="199"/>
      <c r="K713" s="199"/>
      <c r="L713" s="199"/>
      <c r="M713" s="199"/>
      <c r="N713" s="37"/>
      <c r="O713" s="37"/>
      <c r="P713" s="199"/>
      <c r="Q713" s="199"/>
      <c r="R713" s="199"/>
      <c r="S713" s="199"/>
      <c r="T713" s="199"/>
      <c r="U713" s="199"/>
      <c r="V713" s="199"/>
      <c r="W713" s="199"/>
      <c r="X713" s="199"/>
      <c r="Y713" s="199"/>
      <c r="Z713" s="199"/>
      <c r="AA713" s="199"/>
      <c r="AB713" s="199"/>
      <c r="AC713" s="199"/>
      <c r="AD713" s="199"/>
      <c r="AE713" s="199"/>
      <c r="AF713" s="199"/>
      <c r="AG713" s="199"/>
      <c r="AH713" s="199"/>
      <c r="AI713" s="200"/>
      <c r="AJ713" s="200"/>
      <c r="AK713" s="204"/>
      <c r="AL713" s="204"/>
      <c r="AM713" s="204"/>
    </row>
    <row r="714" hidden="1">
      <c r="A714" s="199"/>
      <c r="B714" s="200"/>
      <c r="C714" s="199"/>
      <c r="D714" s="201"/>
      <c r="E714" s="202"/>
      <c r="F714" s="202"/>
      <c r="G714" s="203"/>
      <c r="H714" s="203"/>
      <c r="I714" s="37"/>
      <c r="J714" s="37"/>
      <c r="K714" s="37"/>
      <c r="L714" s="199"/>
      <c r="M714" s="199"/>
      <c r="N714" s="37"/>
      <c r="O714" s="37"/>
      <c r="P714" s="199"/>
      <c r="Q714" s="199"/>
      <c r="R714" s="199"/>
      <c r="S714" s="199"/>
      <c r="T714" s="199"/>
      <c r="U714" s="199"/>
      <c r="V714" s="199"/>
      <c r="W714" s="199"/>
      <c r="X714" s="199"/>
      <c r="Y714" s="199"/>
      <c r="Z714" s="199"/>
      <c r="AA714" s="199"/>
      <c r="AB714" s="199"/>
      <c r="AC714" s="199"/>
      <c r="AD714" s="199"/>
      <c r="AE714" s="199"/>
      <c r="AF714" s="199"/>
      <c r="AG714" s="199"/>
      <c r="AH714" s="199"/>
      <c r="AI714" s="200"/>
      <c r="AJ714" s="200"/>
      <c r="AK714" s="204"/>
      <c r="AL714" s="204"/>
      <c r="AM714" s="204"/>
    </row>
    <row r="715" hidden="1">
      <c r="A715" s="199"/>
      <c r="B715" s="200"/>
      <c r="C715" s="199"/>
      <c r="D715" s="201"/>
      <c r="E715" s="202"/>
      <c r="F715" s="202"/>
      <c r="G715" s="203"/>
      <c r="H715" s="203"/>
      <c r="I715" s="37"/>
      <c r="J715" s="37"/>
      <c r="K715" s="37"/>
      <c r="L715" s="199"/>
      <c r="M715" s="199"/>
      <c r="N715" s="37"/>
      <c r="O715" s="37"/>
      <c r="P715" s="199"/>
      <c r="Q715" s="199"/>
      <c r="R715" s="199"/>
      <c r="S715" s="199"/>
      <c r="T715" s="199"/>
      <c r="U715" s="199"/>
      <c r="V715" s="199"/>
      <c r="W715" s="199"/>
      <c r="X715" s="199"/>
      <c r="Y715" s="199"/>
      <c r="Z715" s="199"/>
      <c r="AA715" s="199"/>
      <c r="AB715" s="199"/>
      <c r="AC715" s="199"/>
      <c r="AD715" s="199"/>
      <c r="AE715" s="199"/>
      <c r="AF715" s="199"/>
      <c r="AG715" s="199"/>
      <c r="AH715" s="199"/>
      <c r="AI715" s="200"/>
      <c r="AJ715" s="200"/>
      <c r="AK715" s="204"/>
      <c r="AL715" s="204"/>
      <c r="AM715" s="204"/>
    </row>
    <row r="716" hidden="1">
      <c r="A716" s="199"/>
      <c r="B716" s="200"/>
      <c r="C716" s="199"/>
      <c r="D716" s="201"/>
      <c r="E716" s="202"/>
      <c r="F716" s="202"/>
      <c r="G716" s="203"/>
      <c r="H716" s="203"/>
      <c r="I716" s="199"/>
      <c r="J716" s="199"/>
      <c r="K716" s="199"/>
      <c r="L716" s="199"/>
      <c r="M716" s="199"/>
      <c r="N716" s="37"/>
      <c r="O716" s="199"/>
      <c r="P716" s="199"/>
      <c r="Q716" s="199"/>
      <c r="R716" s="199"/>
      <c r="S716" s="199"/>
      <c r="T716" s="199"/>
      <c r="U716" s="199"/>
      <c r="V716" s="199"/>
      <c r="W716" s="199"/>
      <c r="X716" s="199"/>
      <c r="Y716" s="199"/>
      <c r="Z716" s="199"/>
      <c r="AA716" s="199"/>
      <c r="AB716" s="199"/>
      <c r="AC716" s="199"/>
      <c r="AD716" s="199"/>
      <c r="AE716" s="199"/>
      <c r="AF716" s="199"/>
      <c r="AG716" s="199"/>
      <c r="AH716" s="199"/>
      <c r="AI716" s="200"/>
      <c r="AJ716" s="200"/>
      <c r="AK716" s="204"/>
      <c r="AL716" s="204"/>
      <c r="AM716" s="204"/>
    </row>
    <row r="717" hidden="1">
      <c r="A717" s="199"/>
      <c r="B717" s="200"/>
      <c r="C717" s="199"/>
      <c r="D717" s="201"/>
      <c r="E717" s="202"/>
      <c r="F717" s="202"/>
      <c r="G717" s="203"/>
      <c r="H717" s="203"/>
      <c r="I717" s="37"/>
      <c r="J717" s="37"/>
      <c r="K717" s="37"/>
      <c r="L717" s="199"/>
      <c r="M717" s="199"/>
      <c r="N717" s="37"/>
      <c r="O717" s="37"/>
      <c r="P717" s="199"/>
      <c r="Q717" s="199"/>
      <c r="R717" s="199"/>
      <c r="S717" s="199"/>
      <c r="T717" s="199"/>
      <c r="U717" s="199"/>
      <c r="V717" s="199"/>
      <c r="W717" s="199"/>
      <c r="X717" s="199"/>
      <c r="Y717" s="199"/>
      <c r="Z717" s="199"/>
      <c r="AA717" s="199"/>
      <c r="AB717" s="199"/>
      <c r="AC717" s="199"/>
      <c r="AD717" s="199"/>
      <c r="AE717" s="199"/>
      <c r="AF717" s="199"/>
      <c r="AG717" s="199"/>
      <c r="AH717" s="199"/>
      <c r="AI717" s="200"/>
      <c r="AJ717" s="200"/>
      <c r="AK717" s="204"/>
      <c r="AL717" s="204"/>
      <c r="AM717" s="204"/>
    </row>
    <row r="718" hidden="1">
      <c r="A718" s="199"/>
      <c r="B718" s="200"/>
      <c r="C718" s="199"/>
      <c r="D718" s="201"/>
      <c r="E718" s="202"/>
      <c r="F718" s="202"/>
      <c r="G718" s="203"/>
      <c r="H718" s="203"/>
      <c r="I718" s="37"/>
      <c r="J718" s="37"/>
      <c r="K718" s="37"/>
      <c r="L718" s="199"/>
      <c r="M718" s="199"/>
      <c r="N718" s="37"/>
      <c r="O718" s="37"/>
      <c r="P718" s="199"/>
      <c r="Q718" s="199"/>
      <c r="R718" s="199"/>
      <c r="S718" s="199"/>
      <c r="T718" s="199"/>
      <c r="U718" s="199"/>
      <c r="V718" s="199"/>
      <c r="W718" s="199"/>
      <c r="X718" s="199"/>
      <c r="Y718" s="199"/>
      <c r="Z718" s="199"/>
      <c r="AA718" s="199"/>
      <c r="AB718" s="199"/>
      <c r="AC718" s="199"/>
      <c r="AD718" s="199"/>
      <c r="AE718" s="199"/>
      <c r="AF718" s="199"/>
      <c r="AG718" s="199"/>
      <c r="AH718" s="199"/>
      <c r="AI718" s="200"/>
      <c r="AJ718" s="200"/>
      <c r="AK718" s="204"/>
      <c r="AL718" s="204"/>
      <c r="AM718" s="204"/>
    </row>
    <row r="719" hidden="1">
      <c r="A719" s="199"/>
      <c r="B719" s="200"/>
      <c r="C719" s="199"/>
      <c r="D719" s="201"/>
      <c r="E719" s="202"/>
      <c r="F719" s="202"/>
      <c r="G719" s="203"/>
      <c r="H719" s="203"/>
      <c r="I719" s="37"/>
      <c r="J719" s="37"/>
      <c r="K719" s="37"/>
      <c r="L719" s="199"/>
      <c r="M719" s="199"/>
      <c r="N719" s="37"/>
      <c r="O719" s="37"/>
      <c r="P719" s="199"/>
      <c r="Q719" s="199"/>
      <c r="R719" s="199"/>
      <c r="S719" s="199"/>
      <c r="T719" s="199"/>
      <c r="U719" s="199"/>
      <c r="V719" s="199"/>
      <c r="W719" s="199"/>
      <c r="X719" s="199"/>
      <c r="Y719" s="199"/>
      <c r="Z719" s="199"/>
      <c r="AA719" s="199"/>
      <c r="AB719" s="199"/>
      <c r="AC719" s="199"/>
      <c r="AD719" s="199"/>
      <c r="AE719" s="199"/>
      <c r="AF719" s="199"/>
      <c r="AG719" s="199"/>
      <c r="AH719" s="199"/>
      <c r="AI719" s="200"/>
      <c r="AJ719" s="200"/>
      <c r="AK719" s="204"/>
      <c r="AL719" s="204"/>
      <c r="AM719" s="204"/>
    </row>
    <row r="720" hidden="1">
      <c r="A720" s="199"/>
      <c r="B720" s="200"/>
      <c r="C720" s="199"/>
      <c r="D720" s="201"/>
      <c r="E720" s="202"/>
      <c r="F720" s="202"/>
      <c r="G720" s="203"/>
      <c r="H720" s="203"/>
      <c r="I720" s="199"/>
      <c r="J720" s="199"/>
      <c r="K720" s="199"/>
      <c r="L720" s="199"/>
      <c r="M720" s="199"/>
      <c r="N720" s="37"/>
      <c r="O720" s="37"/>
      <c r="P720" s="199"/>
      <c r="Q720" s="199"/>
      <c r="R720" s="199"/>
      <c r="S720" s="199"/>
      <c r="T720" s="199"/>
      <c r="U720" s="199"/>
      <c r="V720" s="199"/>
      <c r="W720" s="199"/>
      <c r="X720" s="199"/>
      <c r="Y720" s="199"/>
      <c r="Z720" s="199"/>
      <c r="AA720" s="199"/>
      <c r="AB720" s="199"/>
      <c r="AC720" s="199"/>
      <c r="AD720" s="199"/>
      <c r="AE720" s="199"/>
      <c r="AF720" s="199"/>
      <c r="AG720" s="199"/>
      <c r="AH720" s="199"/>
      <c r="AI720" s="200"/>
      <c r="AJ720" s="200"/>
      <c r="AK720" s="204"/>
      <c r="AL720" s="204"/>
      <c r="AM720" s="204"/>
    </row>
    <row r="721" hidden="1">
      <c r="A721" s="199"/>
      <c r="B721" s="200"/>
      <c r="C721" s="199"/>
      <c r="D721" s="201"/>
      <c r="E721" s="202"/>
      <c r="F721" s="202"/>
      <c r="G721" s="203"/>
      <c r="H721" s="203"/>
      <c r="I721" s="37"/>
      <c r="J721" s="37"/>
      <c r="K721" s="37"/>
      <c r="L721" s="199"/>
      <c r="M721" s="199"/>
      <c r="N721" s="37"/>
      <c r="O721" s="199"/>
      <c r="P721" s="199"/>
      <c r="Q721" s="199"/>
      <c r="R721" s="199"/>
      <c r="S721" s="199"/>
      <c r="T721" s="199"/>
      <c r="U721" s="199"/>
      <c r="V721" s="199"/>
      <c r="W721" s="199"/>
      <c r="X721" s="199"/>
      <c r="Y721" s="199"/>
      <c r="Z721" s="199"/>
      <c r="AA721" s="199"/>
      <c r="AB721" s="199"/>
      <c r="AC721" s="199"/>
      <c r="AD721" s="199"/>
      <c r="AE721" s="199"/>
      <c r="AF721" s="199"/>
      <c r="AG721" s="199"/>
      <c r="AH721" s="199"/>
      <c r="AI721" s="200"/>
      <c r="AJ721" s="200"/>
      <c r="AK721" s="204"/>
      <c r="AL721" s="204"/>
      <c r="AM721" s="204"/>
    </row>
    <row r="722" hidden="1">
      <c r="A722" s="199"/>
      <c r="B722" s="200"/>
      <c r="C722" s="199"/>
      <c r="D722" s="201"/>
      <c r="E722" s="202"/>
      <c r="F722" s="202"/>
      <c r="G722" s="203"/>
      <c r="H722" s="203"/>
      <c r="I722" s="37"/>
      <c r="J722" s="37"/>
      <c r="K722" s="37"/>
      <c r="L722" s="199"/>
      <c r="M722" s="199"/>
      <c r="N722" s="37"/>
      <c r="O722" s="199"/>
      <c r="P722" s="199"/>
      <c r="Q722" s="199"/>
      <c r="R722" s="199"/>
      <c r="S722" s="199"/>
      <c r="T722" s="199"/>
      <c r="U722" s="199"/>
      <c r="V722" s="199"/>
      <c r="W722" s="199"/>
      <c r="X722" s="199"/>
      <c r="Y722" s="199"/>
      <c r="Z722" s="199"/>
      <c r="AA722" s="199"/>
      <c r="AB722" s="199"/>
      <c r="AC722" s="199"/>
      <c r="AD722" s="199"/>
      <c r="AE722" s="199"/>
      <c r="AF722" s="199"/>
      <c r="AG722" s="199"/>
      <c r="AH722" s="199"/>
      <c r="AI722" s="200"/>
      <c r="AJ722" s="200"/>
      <c r="AK722" s="204"/>
      <c r="AL722" s="204"/>
      <c r="AM722" s="204"/>
    </row>
    <row r="723" hidden="1">
      <c r="A723" s="199"/>
      <c r="B723" s="200"/>
      <c r="C723" s="199"/>
      <c r="D723" s="201"/>
      <c r="E723" s="202"/>
      <c r="F723" s="202"/>
      <c r="G723" s="203"/>
      <c r="H723" s="203"/>
      <c r="I723" s="37"/>
      <c r="J723" s="37"/>
      <c r="K723" s="37"/>
      <c r="L723" s="199"/>
      <c r="M723" s="199"/>
      <c r="N723" s="37"/>
      <c r="O723" s="199"/>
      <c r="P723" s="199"/>
      <c r="Q723" s="199"/>
      <c r="R723" s="199"/>
      <c r="S723" s="199"/>
      <c r="T723" s="199"/>
      <c r="U723" s="199"/>
      <c r="V723" s="199"/>
      <c r="W723" s="199"/>
      <c r="X723" s="199"/>
      <c r="Y723" s="199"/>
      <c r="Z723" s="199"/>
      <c r="AA723" s="199"/>
      <c r="AB723" s="199"/>
      <c r="AC723" s="199"/>
      <c r="AD723" s="199"/>
      <c r="AE723" s="199"/>
      <c r="AF723" s="199"/>
      <c r="AG723" s="199"/>
      <c r="AH723" s="199"/>
      <c r="AI723" s="200"/>
      <c r="AJ723" s="200"/>
      <c r="AK723" s="204"/>
      <c r="AL723" s="204"/>
      <c r="AM723" s="204"/>
    </row>
    <row r="724" hidden="1">
      <c r="A724" s="199"/>
      <c r="B724" s="200"/>
      <c r="C724" s="199"/>
      <c r="D724" s="201"/>
      <c r="E724" s="202"/>
      <c r="F724" s="202"/>
      <c r="G724" s="203"/>
      <c r="H724" s="203"/>
      <c r="I724" s="37"/>
      <c r="J724" s="37"/>
      <c r="K724" s="37"/>
      <c r="L724" s="199"/>
      <c r="M724" s="199"/>
      <c r="N724" s="199"/>
      <c r="O724" s="37"/>
      <c r="P724" s="199"/>
      <c r="Q724" s="199"/>
      <c r="R724" s="199"/>
      <c r="S724" s="199"/>
      <c r="T724" s="199"/>
      <c r="U724" s="199"/>
      <c r="V724" s="199"/>
      <c r="W724" s="199"/>
      <c r="X724" s="199"/>
      <c r="Y724" s="199"/>
      <c r="Z724" s="199"/>
      <c r="AA724" s="199"/>
      <c r="AB724" s="199"/>
      <c r="AC724" s="199"/>
      <c r="AD724" s="199"/>
      <c r="AE724" s="199"/>
      <c r="AF724" s="199"/>
      <c r="AG724" s="199"/>
      <c r="AH724" s="199"/>
      <c r="AI724" s="200"/>
      <c r="AJ724" s="200"/>
      <c r="AK724" s="204"/>
      <c r="AL724" s="204"/>
      <c r="AM724" s="204"/>
    </row>
    <row r="725" hidden="1">
      <c r="A725" s="199"/>
      <c r="B725" s="200"/>
      <c r="C725" s="199"/>
      <c r="D725" s="201"/>
      <c r="E725" s="202"/>
      <c r="F725" s="202"/>
      <c r="G725" s="203"/>
      <c r="H725" s="203"/>
      <c r="I725" s="37"/>
      <c r="J725" s="37"/>
      <c r="K725" s="37"/>
      <c r="L725" s="199"/>
      <c r="M725" s="199"/>
      <c r="N725" s="37"/>
      <c r="O725" s="199"/>
      <c r="P725" s="199"/>
      <c r="Q725" s="199"/>
      <c r="R725" s="199"/>
      <c r="S725" s="199"/>
      <c r="T725" s="199"/>
      <c r="U725" s="199"/>
      <c r="V725" s="199"/>
      <c r="W725" s="199"/>
      <c r="X725" s="199"/>
      <c r="Y725" s="199"/>
      <c r="Z725" s="199"/>
      <c r="AA725" s="199"/>
      <c r="AB725" s="199"/>
      <c r="AC725" s="199"/>
      <c r="AD725" s="199"/>
      <c r="AE725" s="199"/>
      <c r="AF725" s="199"/>
      <c r="AG725" s="199"/>
      <c r="AH725" s="199"/>
      <c r="AI725" s="200"/>
      <c r="AJ725" s="200"/>
      <c r="AK725" s="204"/>
      <c r="AL725" s="204"/>
      <c r="AM725" s="204"/>
    </row>
    <row r="726" hidden="1">
      <c r="A726" s="199"/>
      <c r="B726" s="200"/>
      <c r="C726" s="199"/>
      <c r="D726" s="201"/>
      <c r="E726" s="202"/>
      <c r="F726" s="202"/>
      <c r="G726" s="203"/>
      <c r="H726" s="203"/>
      <c r="I726" s="37"/>
      <c r="J726" s="37"/>
      <c r="K726" s="37"/>
      <c r="L726" s="199"/>
      <c r="M726" s="199"/>
      <c r="N726" s="37"/>
      <c r="O726" s="199"/>
      <c r="P726" s="199"/>
      <c r="Q726" s="199"/>
      <c r="R726" s="199"/>
      <c r="S726" s="199"/>
      <c r="T726" s="199"/>
      <c r="U726" s="199"/>
      <c r="V726" s="199"/>
      <c r="W726" s="199"/>
      <c r="X726" s="199"/>
      <c r="Y726" s="199"/>
      <c r="Z726" s="199"/>
      <c r="AA726" s="199"/>
      <c r="AB726" s="199"/>
      <c r="AC726" s="199"/>
      <c r="AD726" s="199"/>
      <c r="AE726" s="199"/>
      <c r="AF726" s="199"/>
      <c r="AG726" s="199"/>
      <c r="AH726" s="199"/>
      <c r="AI726" s="200"/>
      <c r="AJ726" s="200"/>
      <c r="AK726" s="204"/>
      <c r="AL726" s="204"/>
      <c r="AM726" s="204"/>
    </row>
    <row r="727" hidden="1">
      <c r="A727" s="199"/>
      <c r="B727" s="200"/>
      <c r="C727" s="199"/>
      <c r="D727" s="201"/>
      <c r="E727" s="202"/>
      <c r="F727" s="202"/>
      <c r="G727" s="203"/>
      <c r="H727" s="203"/>
      <c r="I727" s="37"/>
      <c r="J727" s="37"/>
      <c r="K727" s="37"/>
      <c r="L727" s="199"/>
      <c r="M727" s="199"/>
      <c r="N727" s="37"/>
      <c r="O727" s="199"/>
      <c r="P727" s="199"/>
      <c r="Q727" s="199"/>
      <c r="R727" s="199"/>
      <c r="S727" s="199"/>
      <c r="T727" s="199"/>
      <c r="U727" s="199"/>
      <c r="V727" s="199"/>
      <c r="W727" s="199"/>
      <c r="X727" s="199"/>
      <c r="Y727" s="199"/>
      <c r="Z727" s="199"/>
      <c r="AA727" s="199"/>
      <c r="AB727" s="199"/>
      <c r="AC727" s="199"/>
      <c r="AD727" s="199"/>
      <c r="AE727" s="199"/>
      <c r="AF727" s="199"/>
      <c r="AG727" s="199"/>
      <c r="AH727" s="199"/>
      <c r="AI727" s="200"/>
      <c r="AJ727" s="200"/>
      <c r="AK727" s="204"/>
      <c r="AL727" s="204"/>
      <c r="AM727" s="204"/>
    </row>
    <row r="728" hidden="1">
      <c r="A728" s="199"/>
      <c r="B728" s="200"/>
      <c r="C728" s="199"/>
      <c r="D728" s="201"/>
      <c r="E728" s="202"/>
      <c r="F728" s="202"/>
      <c r="G728" s="203"/>
      <c r="H728" s="203"/>
      <c r="I728" s="37"/>
      <c r="J728" s="37"/>
      <c r="K728" s="37"/>
      <c r="L728" s="199"/>
      <c r="M728" s="199"/>
      <c r="N728" s="37"/>
      <c r="O728" s="199"/>
      <c r="P728" s="199"/>
      <c r="Q728" s="199"/>
      <c r="R728" s="199"/>
      <c r="S728" s="199"/>
      <c r="T728" s="199"/>
      <c r="U728" s="199"/>
      <c r="V728" s="199"/>
      <c r="W728" s="199"/>
      <c r="X728" s="199"/>
      <c r="Y728" s="199"/>
      <c r="Z728" s="199"/>
      <c r="AA728" s="199"/>
      <c r="AB728" s="199"/>
      <c r="AC728" s="199"/>
      <c r="AD728" s="199"/>
      <c r="AE728" s="199"/>
      <c r="AF728" s="199"/>
      <c r="AG728" s="199"/>
      <c r="AH728" s="199"/>
      <c r="AI728" s="200"/>
      <c r="AJ728" s="200"/>
      <c r="AK728" s="204"/>
      <c r="AL728" s="204"/>
      <c r="AM728" s="204"/>
    </row>
    <row r="729" hidden="1">
      <c r="A729" s="199"/>
      <c r="B729" s="200"/>
      <c r="C729" s="199"/>
      <c r="D729" s="201"/>
      <c r="E729" s="202"/>
      <c r="F729" s="202"/>
      <c r="G729" s="203"/>
      <c r="H729" s="203"/>
      <c r="I729" s="37"/>
      <c r="J729" s="37"/>
      <c r="K729" s="37"/>
      <c r="L729" s="199"/>
      <c r="M729" s="199"/>
      <c r="N729" s="37"/>
      <c r="O729" s="199"/>
      <c r="P729" s="199"/>
      <c r="Q729" s="199"/>
      <c r="R729" s="199"/>
      <c r="S729" s="199"/>
      <c r="T729" s="199"/>
      <c r="U729" s="199"/>
      <c r="V729" s="199"/>
      <c r="W729" s="199"/>
      <c r="X729" s="199"/>
      <c r="Y729" s="199"/>
      <c r="Z729" s="199"/>
      <c r="AA729" s="199"/>
      <c r="AB729" s="199"/>
      <c r="AC729" s="199"/>
      <c r="AD729" s="199"/>
      <c r="AE729" s="199"/>
      <c r="AF729" s="199"/>
      <c r="AG729" s="199"/>
      <c r="AH729" s="199"/>
      <c r="AI729" s="200"/>
      <c r="AJ729" s="200"/>
      <c r="AK729" s="204"/>
      <c r="AL729" s="204"/>
      <c r="AM729" s="204"/>
    </row>
    <row r="730" hidden="1">
      <c r="A730" s="199"/>
      <c r="B730" s="200"/>
      <c r="C730" s="199"/>
      <c r="D730" s="201"/>
      <c r="E730" s="202"/>
      <c r="F730" s="202"/>
      <c r="G730" s="203"/>
      <c r="H730" s="203"/>
      <c r="I730" s="37"/>
      <c r="J730" s="37"/>
      <c r="K730" s="37"/>
      <c r="L730" s="199"/>
      <c r="M730" s="199"/>
      <c r="N730" s="37"/>
      <c r="O730" s="199"/>
      <c r="P730" s="199"/>
      <c r="Q730" s="199"/>
      <c r="R730" s="199"/>
      <c r="S730" s="199"/>
      <c r="T730" s="199"/>
      <c r="U730" s="199"/>
      <c r="V730" s="199"/>
      <c r="W730" s="199"/>
      <c r="X730" s="199"/>
      <c r="Y730" s="199"/>
      <c r="Z730" s="199"/>
      <c r="AA730" s="199"/>
      <c r="AB730" s="199"/>
      <c r="AC730" s="199"/>
      <c r="AD730" s="199"/>
      <c r="AE730" s="199"/>
      <c r="AF730" s="199"/>
      <c r="AG730" s="199"/>
      <c r="AH730" s="199"/>
      <c r="AI730" s="200"/>
      <c r="AJ730" s="200"/>
      <c r="AK730" s="204"/>
      <c r="AL730" s="204"/>
      <c r="AM730" s="204"/>
    </row>
    <row r="731" hidden="1">
      <c r="A731" s="199"/>
      <c r="B731" s="200"/>
      <c r="C731" s="199"/>
      <c r="D731" s="201"/>
      <c r="E731" s="202"/>
      <c r="F731" s="202"/>
      <c r="G731" s="203"/>
      <c r="H731" s="203"/>
      <c r="I731" s="37"/>
      <c r="J731" s="37"/>
      <c r="K731" s="37"/>
      <c r="L731" s="199"/>
      <c r="M731" s="199"/>
      <c r="N731" s="37"/>
      <c r="O731" s="199"/>
      <c r="P731" s="199"/>
      <c r="Q731" s="199"/>
      <c r="R731" s="199"/>
      <c r="S731" s="199"/>
      <c r="T731" s="199"/>
      <c r="U731" s="199"/>
      <c r="V731" s="199"/>
      <c r="W731" s="199"/>
      <c r="X731" s="199"/>
      <c r="Y731" s="199"/>
      <c r="Z731" s="199"/>
      <c r="AA731" s="199"/>
      <c r="AB731" s="199"/>
      <c r="AC731" s="199"/>
      <c r="AD731" s="199"/>
      <c r="AE731" s="199"/>
      <c r="AF731" s="199"/>
      <c r="AG731" s="199"/>
      <c r="AH731" s="199"/>
      <c r="AI731" s="200"/>
      <c r="AJ731" s="200"/>
      <c r="AK731" s="204"/>
      <c r="AL731" s="204"/>
      <c r="AM731" s="204"/>
    </row>
    <row r="732" hidden="1">
      <c r="A732" s="199"/>
      <c r="B732" s="200"/>
      <c r="C732" s="199"/>
      <c r="D732" s="201"/>
      <c r="E732" s="202"/>
      <c r="F732" s="202"/>
      <c r="G732" s="203"/>
      <c r="H732" s="203"/>
      <c r="I732" s="37"/>
      <c r="J732" s="37"/>
      <c r="K732" s="37"/>
      <c r="L732" s="199"/>
      <c r="M732" s="199"/>
      <c r="N732" s="37"/>
      <c r="O732" s="199"/>
      <c r="P732" s="199"/>
      <c r="Q732" s="199"/>
      <c r="R732" s="199"/>
      <c r="S732" s="199"/>
      <c r="T732" s="199"/>
      <c r="U732" s="199"/>
      <c r="V732" s="199"/>
      <c r="W732" s="199"/>
      <c r="X732" s="199"/>
      <c r="Y732" s="199"/>
      <c r="Z732" s="199"/>
      <c r="AA732" s="199"/>
      <c r="AB732" s="199"/>
      <c r="AC732" s="199"/>
      <c r="AD732" s="199"/>
      <c r="AE732" s="199"/>
      <c r="AF732" s="199"/>
      <c r="AG732" s="199"/>
      <c r="AH732" s="199"/>
      <c r="AI732" s="200"/>
      <c r="AJ732" s="200"/>
      <c r="AK732" s="204"/>
      <c r="AL732" s="204"/>
      <c r="AM732" s="204"/>
    </row>
    <row r="733" hidden="1">
      <c r="A733" s="199"/>
      <c r="B733" s="200"/>
      <c r="C733" s="199"/>
      <c r="D733" s="201"/>
      <c r="E733" s="202"/>
      <c r="F733" s="202"/>
      <c r="G733" s="203"/>
      <c r="H733" s="203"/>
      <c r="I733" s="37"/>
      <c r="J733" s="37"/>
      <c r="K733" s="37"/>
      <c r="L733" s="199"/>
      <c r="M733" s="199"/>
      <c r="N733" s="37"/>
      <c r="O733" s="199"/>
      <c r="P733" s="199"/>
      <c r="Q733" s="199"/>
      <c r="R733" s="199"/>
      <c r="S733" s="199"/>
      <c r="T733" s="199"/>
      <c r="U733" s="199"/>
      <c r="V733" s="199"/>
      <c r="W733" s="199"/>
      <c r="X733" s="199"/>
      <c r="Y733" s="199"/>
      <c r="Z733" s="199"/>
      <c r="AA733" s="199"/>
      <c r="AB733" s="199"/>
      <c r="AC733" s="199"/>
      <c r="AD733" s="199"/>
      <c r="AE733" s="199"/>
      <c r="AF733" s="199"/>
      <c r="AG733" s="199"/>
      <c r="AH733" s="199"/>
      <c r="AI733" s="200"/>
      <c r="AJ733" s="200"/>
      <c r="AK733" s="204"/>
      <c r="AL733" s="204"/>
      <c r="AM733" s="204"/>
    </row>
    <row r="734" hidden="1">
      <c r="A734" s="199"/>
      <c r="B734" s="200"/>
      <c r="C734" s="199"/>
      <c r="D734" s="201"/>
      <c r="E734" s="202"/>
      <c r="F734" s="202"/>
      <c r="G734" s="203"/>
      <c r="H734" s="203"/>
      <c r="I734" s="37"/>
      <c r="J734" s="37"/>
      <c r="K734" s="37"/>
      <c r="L734" s="199"/>
      <c r="M734" s="199"/>
      <c r="N734" s="37"/>
      <c r="O734" s="199"/>
      <c r="P734" s="199"/>
      <c r="Q734" s="199"/>
      <c r="R734" s="199"/>
      <c r="S734" s="199"/>
      <c r="T734" s="199"/>
      <c r="U734" s="199"/>
      <c r="V734" s="199"/>
      <c r="W734" s="199"/>
      <c r="X734" s="199"/>
      <c r="Y734" s="199"/>
      <c r="Z734" s="199"/>
      <c r="AA734" s="199"/>
      <c r="AB734" s="199"/>
      <c r="AC734" s="199"/>
      <c r="AD734" s="199"/>
      <c r="AE734" s="199"/>
      <c r="AF734" s="199"/>
      <c r="AG734" s="199"/>
      <c r="AH734" s="199"/>
      <c r="AI734" s="200"/>
      <c r="AJ734" s="200"/>
      <c r="AK734" s="204"/>
      <c r="AL734" s="204"/>
      <c r="AM734" s="204"/>
    </row>
    <row r="735" hidden="1">
      <c r="A735" s="199"/>
      <c r="B735" s="200"/>
      <c r="C735" s="199"/>
      <c r="D735" s="201"/>
      <c r="E735" s="202"/>
      <c r="F735" s="202"/>
      <c r="G735" s="203"/>
      <c r="H735" s="203"/>
      <c r="I735" s="37"/>
      <c r="J735" s="37"/>
      <c r="K735" s="37"/>
      <c r="L735" s="199"/>
      <c r="M735" s="199"/>
      <c r="N735" s="37"/>
      <c r="O735" s="199"/>
      <c r="P735" s="199"/>
      <c r="Q735" s="199"/>
      <c r="R735" s="199"/>
      <c r="S735" s="199"/>
      <c r="T735" s="199"/>
      <c r="U735" s="199"/>
      <c r="V735" s="199"/>
      <c r="W735" s="199"/>
      <c r="X735" s="199"/>
      <c r="Y735" s="199"/>
      <c r="Z735" s="199"/>
      <c r="AA735" s="199"/>
      <c r="AB735" s="199"/>
      <c r="AC735" s="199"/>
      <c r="AD735" s="199"/>
      <c r="AE735" s="199"/>
      <c r="AF735" s="199"/>
      <c r="AG735" s="199"/>
      <c r="AH735" s="199"/>
      <c r="AI735" s="200"/>
      <c r="AJ735" s="200"/>
      <c r="AK735" s="204"/>
      <c r="AL735" s="204"/>
      <c r="AM735" s="204"/>
    </row>
    <row r="736" hidden="1">
      <c r="A736" s="199"/>
      <c r="B736" s="200"/>
      <c r="C736" s="199"/>
      <c r="D736" s="201"/>
      <c r="E736" s="202"/>
      <c r="F736" s="202"/>
      <c r="G736" s="203"/>
      <c r="H736" s="203"/>
      <c r="I736" s="37"/>
      <c r="J736" s="37"/>
      <c r="K736" s="37"/>
      <c r="L736" s="199"/>
      <c r="M736" s="199"/>
      <c r="N736" s="199"/>
      <c r="O736" s="37"/>
      <c r="P736" s="199"/>
      <c r="Q736" s="199"/>
      <c r="R736" s="199"/>
      <c r="S736" s="199"/>
      <c r="T736" s="199"/>
      <c r="U736" s="199"/>
      <c r="V736" s="199"/>
      <c r="W736" s="199"/>
      <c r="X736" s="199"/>
      <c r="Y736" s="199"/>
      <c r="Z736" s="199"/>
      <c r="AA736" s="199"/>
      <c r="AB736" s="199"/>
      <c r="AC736" s="199"/>
      <c r="AD736" s="199"/>
      <c r="AE736" s="199"/>
      <c r="AF736" s="199"/>
      <c r="AG736" s="199"/>
      <c r="AH736" s="199"/>
      <c r="AI736" s="200"/>
      <c r="AJ736" s="200"/>
      <c r="AK736" s="204"/>
      <c r="AL736" s="204"/>
      <c r="AM736" s="204"/>
    </row>
    <row r="737" hidden="1">
      <c r="A737" s="199"/>
      <c r="B737" s="200"/>
      <c r="C737" s="199"/>
      <c r="D737" s="201"/>
      <c r="E737" s="202"/>
      <c r="F737" s="202"/>
      <c r="G737" s="203"/>
      <c r="H737" s="203"/>
      <c r="I737" s="37"/>
      <c r="J737" s="37"/>
      <c r="K737" s="37"/>
      <c r="L737" s="199"/>
      <c r="M737" s="199"/>
      <c r="N737" s="199"/>
      <c r="O737" s="37"/>
      <c r="P737" s="199"/>
      <c r="Q737" s="199"/>
      <c r="R737" s="199"/>
      <c r="S737" s="199"/>
      <c r="T737" s="199"/>
      <c r="U737" s="199"/>
      <c r="V737" s="199"/>
      <c r="W737" s="199"/>
      <c r="X737" s="199"/>
      <c r="Y737" s="199"/>
      <c r="Z737" s="199"/>
      <c r="AA737" s="199"/>
      <c r="AB737" s="199"/>
      <c r="AC737" s="199"/>
      <c r="AD737" s="199"/>
      <c r="AE737" s="199"/>
      <c r="AF737" s="199"/>
      <c r="AG737" s="199"/>
      <c r="AH737" s="199"/>
      <c r="AI737" s="200"/>
      <c r="AJ737" s="200"/>
      <c r="AK737" s="204"/>
      <c r="AL737" s="204"/>
      <c r="AM737" s="204"/>
    </row>
    <row r="738" hidden="1">
      <c r="A738" s="199"/>
      <c r="B738" s="200"/>
      <c r="C738" s="199"/>
      <c r="D738" s="201"/>
      <c r="E738" s="202"/>
      <c r="F738" s="202"/>
      <c r="G738" s="203"/>
      <c r="H738" s="203"/>
      <c r="I738" s="37"/>
      <c r="J738" s="37"/>
      <c r="K738" s="37"/>
      <c r="L738" s="199"/>
      <c r="M738" s="199"/>
      <c r="N738" s="37"/>
      <c r="O738" s="199"/>
      <c r="P738" s="199"/>
      <c r="Q738" s="199"/>
      <c r="R738" s="199"/>
      <c r="S738" s="199"/>
      <c r="T738" s="199"/>
      <c r="U738" s="199"/>
      <c r="V738" s="199"/>
      <c r="W738" s="199"/>
      <c r="X738" s="199"/>
      <c r="Y738" s="199"/>
      <c r="Z738" s="199"/>
      <c r="AA738" s="199"/>
      <c r="AB738" s="199"/>
      <c r="AC738" s="199"/>
      <c r="AD738" s="199"/>
      <c r="AE738" s="199"/>
      <c r="AF738" s="199"/>
      <c r="AG738" s="199"/>
      <c r="AH738" s="199"/>
      <c r="AI738" s="200"/>
      <c r="AJ738" s="200"/>
      <c r="AK738" s="204"/>
      <c r="AL738" s="204"/>
      <c r="AM738" s="204"/>
    </row>
    <row r="739" hidden="1">
      <c r="A739" s="199"/>
      <c r="B739" s="200"/>
      <c r="C739" s="199"/>
      <c r="D739" s="201"/>
      <c r="E739" s="202"/>
      <c r="F739" s="202"/>
      <c r="G739" s="203"/>
      <c r="H739" s="203"/>
      <c r="I739" s="37"/>
      <c r="J739" s="37"/>
      <c r="K739" s="37"/>
      <c r="L739" s="199"/>
      <c r="M739" s="199"/>
      <c r="N739" s="199"/>
      <c r="O739" s="37"/>
      <c r="P739" s="199"/>
      <c r="Q739" s="199"/>
      <c r="R739" s="199"/>
      <c r="S739" s="199"/>
      <c r="T739" s="199"/>
      <c r="U739" s="199"/>
      <c r="V739" s="199"/>
      <c r="W739" s="199"/>
      <c r="X739" s="199"/>
      <c r="Y739" s="199"/>
      <c r="Z739" s="199"/>
      <c r="AA739" s="199"/>
      <c r="AB739" s="199"/>
      <c r="AC739" s="199"/>
      <c r="AD739" s="199"/>
      <c r="AE739" s="199"/>
      <c r="AF739" s="199"/>
      <c r="AG739" s="199"/>
      <c r="AH739" s="199"/>
      <c r="AI739" s="200"/>
      <c r="AJ739" s="200"/>
      <c r="AK739" s="204"/>
      <c r="AL739" s="204"/>
      <c r="AM739" s="204"/>
    </row>
    <row r="740" hidden="1">
      <c r="A740" s="199"/>
      <c r="B740" s="200"/>
      <c r="C740" s="199"/>
      <c r="D740" s="201"/>
      <c r="E740" s="202"/>
      <c r="F740" s="202"/>
      <c r="G740" s="203"/>
      <c r="H740" s="203"/>
      <c r="I740" s="37"/>
      <c r="J740" s="37"/>
      <c r="K740" s="37"/>
      <c r="L740" s="199"/>
      <c r="M740" s="199"/>
      <c r="N740" s="199"/>
      <c r="O740" s="37"/>
      <c r="P740" s="199"/>
      <c r="Q740" s="199"/>
      <c r="R740" s="199"/>
      <c r="S740" s="199"/>
      <c r="T740" s="199"/>
      <c r="U740" s="199"/>
      <c r="V740" s="199"/>
      <c r="W740" s="199"/>
      <c r="X740" s="199"/>
      <c r="Y740" s="199"/>
      <c r="Z740" s="199"/>
      <c r="AA740" s="199"/>
      <c r="AB740" s="199"/>
      <c r="AC740" s="199"/>
      <c r="AD740" s="199"/>
      <c r="AE740" s="199"/>
      <c r="AF740" s="199"/>
      <c r="AG740" s="199"/>
      <c r="AH740" s="199"/>
      <c r="AI740" s="200"/>
      <c r="AJ740" s="200"/>
      <c r="AK740" s="204"/>
      <c r="AL740" s="204"/>
      <c r="AM740" s="204"/>
    </row>
    <row r="741" hidden="1">
      <c r="A741" s="199"/>
      <c r="B741" s="200"/>
      <c r="C741" s="199"/>
      <c r="D741" s="201"/>
      <c r="E741" s="202"/>
      <c r="F741" s="202"/>
      <c r="G741" s="203"/>
      <c r="H741" s="203"/>
      <c r="I741" s="37"/>
      <c r="J741" s="37"/>
      <c r="K741" s="37"/>
      <c r="L741" s="199"/>
      <c r="M741" s="199"/>
      <c r="N741" s="199"/>
      <c r="O741" s="37"/>
      <c r="P741" s="199"/>
      <c r="Q741" s="199"/>
      <c r="R741" s="199"/>
      <c r="S741" s="199"/>
      <c r="T741" s="199"/>
      <c r="U741" s="199"/>
      <c r="V741" s="199"/>
      <c r="W741" s="199"/>
      <c r="X741" s="199"/>
      <c r="Y741" s="199"/>
      <c r="Z741" s="199"/>
      <c r="AA741" s="199"/>
      <c r="AB741" s="199"/>
      <c r="AC741" s="199"/>
      <c r="AD741" s="199"/>
      <c r="AE741" s="199"/>
      <c r="AF741" s="199"/>
      <c r="AG741" s="199"/>
      <c r="AH741" s="199"/>
      <c r="AI741" s="200"/>
      <c r="AJ741" s="200"/>
      <c r="AK741" s="204"/>
      <c r="AL741" s="204"/>
      <c r="AM741" s="204"/>
    </row>
    <row r="742" hidden="1">
      <c r="A742" s="199"/>
      <c r="B742" s="200"/>
      <c r="C742" s="199"/>
      <c r="D742" s="201"/>
      <c r="E742" s="202"/>
      <c r="F742" s="202"/>
      <c r="G742" s="203"/>
      <c r="H742" s="203"/>
      <c r="I742" s="37"/>
      <c r="J742" s="37"/>
      <c r="K742" s="37"/>
      <c r="L742" s="199"/>
      <c r="M742" s="199"/>
      <c r="N742" s="199"/>
      <c r="O742" s="37"/>
      <c r="P742" s="199"/>
      <c r="Q742" s="199"/>
      <c r="R742" s="199"/>
      <c r="S742" s="199"/>
      <c r="T742" s="199"/>
      <c r="U742" s="199"/>
      <c r="V742" s="199"/>
      <c r="W742" s="199"/>
      <c r="X742" s="199"/>
      <c r="Y742" s="199"/>
      <c r="Z742" s="199"/>
      <c r="AA742" s="199"/>
      <c r="AB742" s="199"/>
      <c r="AC742" s="199"/>
      <c r="AD742" s="199"/>
      <c r="AE742" s="199"/>
      <c r="AF742" s="199"/>
      <c r="AG742" s="199"/>
      <c r="AH742" s="199"/>
      <c r="AI742" s="200"/>
      <c r="AJ742" s="200"/>
      <c r="AK742" s="204"/>
      <c r="AL742" s="204"/>
      <c r="AM742" s="204"/>
    </row>
    <row r="743" hidden="1">
      <c r="A743" s="199"/>
      <c r="B743" s="200"/>
      <c r="C743" s="199"/>
      <c r="D743" s="201"/>
      <c r="E743" s="202"/>
      <c r="F743" s="202"/>
      <c r="G743" s="203"/>
      <c r="H743" s="203"/>
      <c r="I743" s="37"/>
      <c r="J743" s="37"/>
      <c r="K743" s="37"/>
      <c r="L743" s="199"/>
      <c r="M743" s="199"/>
      <c r="N743" s="199"/>
      <c r="O743" s="37"/>
      <c r="P743" s="199"/>
      <c r="Q743" s="199"/>
      <c r="R743" s="199"/>
      <c r="S743" s="199"/>
      <c r="T743" s="199"/>
      <c r="U743" s="199"/>
      <c r="V743" s="199"/>
      <c r="W743" s="199"/>
      <c r="X743" s="199"/>
      <c r="Y743" s="199"/>
      <c r="Z743" s="199"/>
      <c r="AA743" s="199"/>
      <c r="AB743" s="199"/>
      <c r="AC743" s="199"/>
      <c r="AD743" s="199"/>
      <c r="AE743" s="199"/>
      <c r="AF743" s="199"/>
      <c r="AG743" s="199"/>
      <c r="AH743" s="199"/>
      <c r="AI743" s="200"/>
      <c r="AJ743" s="200"/>
      <c r="AK743" s="204"/>
      <c r="AL743" s="204"/>
      <c r="AM743" s="204"/>
    </row>
    <row r="744" hidden="1">
      <c r="A744" s="199"/>
      <c r="B744" s="200"/>
      <c r="C744" s="199"/>
      <c r="D744" s="201"/>
      <c r="E744" s="202"/>
      <c r="F744" s="202"/>
      <c r="G744" s="202"/>
      <c r="H744" s="202"/>
      <c r="I744" s="37"/>
      <c r="J744" s="37"/>
      <c r="K744" s="37"/>
      <c r="L744" s="37"/>
      <c r="M744" s="37"/>
      <c r="N744" s="37"/>
      <c r="O744" s="37"/>
      <c r="P744" s="37"/>
      <c r="Q744" s="37"/>
      <c r="R744" s="37"/>
      <c r="S744" s="37"/>
      <c r="T744" s="37"/>
      <c r="U744" s="37"/>
      <c r="V744" s="37"/>
      <c r="W744" s="37"/>
      <c r="X744" s="37"/>
      <c r="Y744" s="37"/>
      <c r="Z744" s="37"/>
      <c r="AA744" s="37"/>
      <c r="AB744" s="37"/>
      <c r="AC744" s="37"/>
      <c r="AD744" s="37"/>
      <c r="AE744" s="37"/>
      <c r="AF744" s="37"/>
      <c r="AG744" s="37"/>
      <c r="AH744" s="37"/>
      <c r="AI744" s="205"/>
      <c r="AJ744" s="205"/>
      <c r="AK744" s="204"/>
      <c r="AL744" s="204"/>
      <c r="AM744" s="204"/>
    </row>
    <row r="745">
      <c r="A745" s="37"/>
      <c r="B745" s="205"/>
      <c r="C745" s="37"/>
      <c r="D745" s="206"/>
      <c r="E745" s="207"/>
      <c r="F745" s="207"/>
      <c r="G745" s="208"/>
      <c r="H745" s="208"/>
      <c r="I745" s="37"/>
      <c r="J745" s="37"/>
      <c r="K745" s="37"/>
      <c r="L745" s="37"/>
      <c r="M745" s="37"/>
      <c r="N745" s="37"/>
      <c r="O745" s="37"/>
      <c r="P745" s="37"/>
      <c r="Q745" s="37"/>
      <c r="R745" s="37"/>
      <c r="S745" s="37"/>
      <c r="T745" s="37"/>
      <c r="U745" s="37"/>
      <c r="V745" s="37"/>
      <c r="W745" s="37"/>
      <c r="X745" s="37"/>
      <c r="Y745" s="37"/>
      <c r="Z745" s="37"/>
      <c r="AA745" s="37"/>
      <c r="AB745" s="37"/>
      <c r="AC745" s="37"/>
      <c r="AD745" s="37"/>
      <c r="AE745" s="37"/>
      <c r="AF745" s="37"/>
      <c r="AG745" s="37"/>
      <c r="AH745" s="37"/>
      <c r="AI745" s="205"/>
      <c r="AJ745" s="205"/>
      <c r="AK745" s="204"/>
      <c r="AL745" s="204"/>
      <c r="AM745" s="204"/>
    </row>
    <row r="746">
      <c r="A746" s="37"/>
      <c r="B746" s="205"/>
      <c r="C746" s="37"/>
      <c r="D746" s="206"/>
      <c r="E746" s="207"/>
      <c r="F746" s="207"/>
      <c r="G746" s="208"/>
      <c r="H746" s="208"/>
      <c r="I746" s="37"/>
      <c r="J746" s="37"/>
      <c r="K746" s="37"/>
      <c r="L746" s="37"/>
      <c r="M746" s="37"/>
      <c r="N746" s="37"/>
      <c r="O746" s="37"/>
      <c r="P746" s="37"/>
      <c r="Q746" s="37"/>
      <c r="R746" s="37"/>
      <c r="S746" s="37"/>
      <c r="T746" s="37"/>
      <c r="U746" s="37"/>
      <c r="V746" s="37"/>
      <c r="W746" s="37"/>
      <c r="X746" s="37"/>
      <c r="Y746" s="37"/>
      <c r="Z746" s="37"/>
      <c r="AA746" s="37"/>
      <c r="AB746" s="37"/>
      <c r="AC746" s="37"/>
      <c r="AD746" s="37"/>
      <c r="AE746" s="37"/>
      <c r="AF746" s="37"/>
      <c r="AG746" s="37"/>
      <c r="AH746" s="37"/>
      <c r="AI746" s="205"/>
      <c r="AJ746" s="205"/>
      <c r="AK746" s="204"/>
      <c r="AL746" s="204"/>
      <c r="AM746" s="204"/>
    </row>
    <row r="747">
      <c r="A747" s="37"/>
      <c r="B747" s="205"/>
      <c r="C747" s="37"/>
      <c r="D747" s="206"/>
      <c r="E747" s="207"/>
      <c r="F747" s="207"/>
      <c r="G747" s="208"/>
      <c r="H747" s="208"/>
      <c r="I747" s="37"/>
      <c r="J747" s="37"/>
      <c r="K747" s="37"/>
      <c r="L747" s="37"/>
      <c r="M747" s="37"/>
      <c r="N747" s="37"/>
      <c r="O747" s="37"/>
      <c r="P747" s="37"/>
      <c r="Q747" s="37"/>
      <c r="R747" s="37"/>
      <c r="S747" s="37"/>
      <c r="T747" s="37"/>
      <c r="U747" s="37"/>
      <c r="V747" s="37"/>
      <c r="W747" s="37"/>
      <c r="X747" s="37"/>
      <c r="Y747" s="37"/>
      <c r="Z747" s="37"/>
      <c r="AA747" s="37"/>
      <c r="AB747" s="37"/>
      <c r="AC747" s="37"/>
      <c r="AD747" s="37"/>
      <c r="AE747" s="37"/>
      <c r="AF747" s="37"/>
      <c r="AG747" s="37"/>
      <c r="AH747" s="37"/>
      <c r="AI747" s="205"/>
      <c r="AJ747" s="205"/>
      <c r="AK747" s="204"/>
      <c r="AL747" s="204"/>
      <c r="AM747" s="204"/>
    </row>
    <row r="748">
      <c r="A748" s="37"/>
      <c r="B748" s="205"/>
      <c r="C748" s="37"/>
      <c r="D748" s="206"/>
      <c r="E748" s="207"/>
      <c r="F748" s="207"/>
      <c r="G748" s="208"/>
      <c r="H748" s="208"/>
      <c r="I748" s="37"/>
      <c r="J748" s="37"/>
      <c r="K748" s="37"/>
      <c r="L748" s="37"/>
      <c r="M748" s="37"/>
      <c r="N748" s="37"/>
      <c r="O748" s="37"/>
      <c r="P748" s="37"/>
      <c r="Q748" s="37"/>
      <c r="R748" s="37"/>
      <c r="S748" s="37"/>
      <c r="T748" s="37"/>
      <c r="U748" s="37"/>
      <c r="V748" s="37"/>
      <c r="W748" s="37"/>
      <c r="X748" s="37"/>
      <c r="Y748" s="37"/>
      <c r="Z748" s="37"/>
      <c r="AA748" s="37"/>
      <c r="AB748" s="37"/>
      <c r="AC748" s="37"/>
      <c r="AD748" s="37"/>
      <c r="AE748" s="37"/>
      <c r="AF748" s="37"/>
      <c r="AG748" s="37"/>
      <c r="AH748" s="37"/>
      <c r="AI748" s="205"/>
      <c r="AJ748" s="205"/>
      <c r="AK748" s="204"/>
      <c r="AL748" s="204"/>
      <c r="AM748" s="204"/>
    </row>
    <row r="749">
      <c r="A749" s="37"/>
      <c r="B749" s="205"/>
      <c r="C749" s="37"/>
      <c r="D749" s="206"/>
      <c r="E749" s="207"/>
      <c r="F749" s="207"/>
      <c r="G749" s="208"/>
      <c r="H749" s="208"/>
      <c r="I749" s="37"/>
      <c r="J749" s="37"/>
      <c r="K749" s="37"/>
      <c r="L749" s="37"/>
      <c r="M749" s="37"/>
      <c r="N749" s="37"/>
      <c r="O749" s="37"/>
      <c r="P749" s="37"/>
      <c r="Q749" s="37"/>
      <c r="R749" s="37"/>
      <c r="S749" s="37"/>
      <c r="T749" s="37"/>
      <c r="U749" s="37"/>
      <c r="V749" s="37"/>
      <c r="W749" s="37"/>
      <c r="X749" s="37"/>
      <c r="Y749" s="37"/>
      <c r="Z749" s="37"/>
      <c r="AA749" s="37"/>
      <c r="AB749" s="37"/>
      <c r="AC749" s="37"/>
      <c r="AD749" s="37"/>
      <c r="AE749" s="37"/>
      <c r="AF749" s="37"/>
      <c r="AG749" s="37"/>
      <c r="AH749" s="37"/>
      <c r="AI749" s="205"/>
      <c r="AJ749" s="205"/>
      <c r="AK749" s="204"/>
      <c r="AL749" s="204"/>
      <c r="AM749" s="204"/>
    </row>
    <row r="750">
      <c r="A750" s="37"/>
      <c r="B750" s="205"/>
      <c r="C750" s="37"/>
      <c r="D750" s="206"/>
      <c r="E750" s="207"/>
      <c r="F750" s="207"/>
      <c r="G750" s="208"/>
      <c r="H750" s="208"/>
      <c r="I750" s="37"/>
      <c r="J750" s="37"/>
      <c r="K750" s="37"/>
      <c r="L750" s="37"/>
      <c r="M750" s="37"/>
      <c r="N750" s="37"/>
      <c r="O750" s="37"/>
      <c r="P750" s="37"/>
      <c r="Q750" s="37"/>
      <c r="R750" s="37"/>
      <c r="S750" s="37"/>
      <c r="T750" s="37"/>
      <c r="U750" s="37"/>
      <c r="V750" s="37"/>
      <c r="W750" s="37"/>
      <c r="X750" s="37"/>
      <c r="Y750" s="37"/>
      <c r="Z750" s="37"/>
      <c r="AA750" s="37"/>
      <c r="AB750" s="37"/>
      <c r="AC750" s="37"/>
      <c r="AD750" s="37"/>
      <c r="AE750" s="37"/>
      <c r="AF750" s="37"/>
      <c r="AG750" s="37"/>
      <c r="AH750" s="37"/>
      <c r="AI750" s="205"/>
      <c r="AJ750" s="205"/>
      <c r="AK750" s="204"/>
      <c r="AL750" s="204"/>
      <c r="AM750" s="204"/>
    </row>
    <row r="751">
      <c r="A751" s="37"/>
      <c r="B751" s="205"/>
      <c r="C751" s="37"/>
      <c r="D751" s="206"/>
      <c r="E751" s="207"/>
      <c r="F751" s="207"/>
      <c r="G751" s="208"/>
      <c r="H751" s="208"/>
      <c r="I751" s="37"/>
      <c r="J751" s="37"/>
      <c r="K751" s="37"/>
      <c r="L751" s="37"/>
      <c r="M751" s="37"/>
      <c r="N751" s="37"/>
      <c r="O751" s="37"/>
      <c r="P751" s="37"/>
      <c r="Q751" s="37"/>
      <c r="R751" s="37"/>
      <c r="S751" s="37"/>
      <c r="T751" s="37"/>
      <c r="U751" s="37"/>
      <c r="V751" s="37"/>
      <c r="W751" s="37"/>
      <c r="X751" s="37"/>
      <c r="Y751" s="37"/>
      <c r="Z751" s="37"/>
      <c r="AA751" s="37"/>
      <c r="AB751" s="37"/>
      <c r="AC751" s="37"/>
      <c r="AD751" s="37"/>
      <c r="AE751" s="37"/>
      <c r="AF751" s="37"/>
      <c r="AG751" s="37"/>
      <c r="AH751" s="37"/>
      <c r="AI751" s="205"/>
      <c r="AJ751" s="205"/>
      <c r="AK751" s="204"/>
      <c r="AL751" s="204"/>
      <c r="AM751" s="204"/>
    </row>
    <row r="752">
      <c r="A752" s="37"/>
      <c r="B752" s="205"/>
      <c r="C752" s="37"/>
      <c r="D752" s="206"/>
      <c r="E752" s="207"/>
      <c r="F752" s="207"/>
      <c r="G752" s="208"/>
      <c r="H752" s="208"/>
      <c r="I752" s="37"/>
      <c r="J752" s="37"/>
      <c r="K752" s="37"/>
      <c r="L752" s="37"/>
      <c r="M752" s="37"/>
      <c r="N752" s="37"/>
      <c r="O752" s="37"/>
      <c r="P752" s="37"/>
      <c r="Q752" s="37"/>
      <c r="R752" s="37"/>
      <c r="S752" s="37"/>
      <c r="T752" s="37"/>
      <c r="U752" s="37"/>
      <c r="V752" s="37"/>
      <c r="W752" s="37"/>
      <c r="X752" s="37"/>
      <c r="Y752" s="37"/>
      <c r="Z752" s="37"/>
      <c r="AA752" s="37"/>
      <c r="AB752" s="37"/>
      <c r="AC752" s="37"/>
      <c r="AD752" s="37"/>
      <c r="AE752" s="37"/>
      <c r="AF752" s="37"/>
      <c r="AG752" s="37"/>
      <c r="AH752" s="37"/>
      <c r="AI752" s="205"/>
      <c r="AJ752" s="205"/>
      <c r="AK752" s="204"/>
      <c r="AL752" s="204"/>
      <c r="AM752" s="204"/>
    </row>
    <row r="753">
      <c r="A753" s="37"/>
      <c r="B753" s="205"/>
      <c r="C753" s="37"/>
      <c r="D753" s="206"/>
      <c r="E753" s="207"/>
      <c r="F753" s="207"/>
      <c r="G753" s="208"/>
      <c r="H753" s="208"/>
      <c r="I753" s="37"/>
      <c r="J753" s="37"/>
      <c r="K753" s="37"/>
      <c r="L753" s="37"/>
      <c r="M753" s="37"/>
      <c r="N753" s="37"/>
      <c r="O753" s="37"/>
      <c r="P753" s="37"/>
      <c r="Q753" s="37"/>
      <c r="R753" s="37"/>
      <c r="S753" s="37"/>
      <c r="T753" s="37"/>
      <c r="U753" s="37"/>
      <c r="V753" s="37"/>
      <c r="W753" s="37"/>
      <c r="X753" s="37"/>
      <c r="Y753" s="37"/>
      <c r="Z753" s="37"/>
      <c r="AA753" s="37"/>
      <c r="AB753" s="37"/>
      <c r="AC753" s="37"/>
      <c r="AD753" s="37"/>
      <c r="AE753" s="37"/>
      <c r="AF753" s="37"/>
      <c r="AG753" s="37"/>
      <c r="AH753" s="37"/>
      <c r="AI753" s="205"/>
      <c r="AJ753" s="205"/>
      <c r="AK753" s="204"/>
      <c r="AL753" s="204"/>
      <c r="AM753" s="204"/>
    </row>
    <row r="754">
      <c r="A754" s="37"/>
      <c r="B754" s="205"/>
      <c r="C754" s="37"/>
      <c r="D754" s="206"/>
      <c r="E754" s="207"/>
      <c r="F754" s="207"/>
      <c r="G754" s="208"/>
      <c r="H754" s="208"/>
      <c r="I754" s="37"/>
      <c r="J754" s="37"/>
      <c r="K754" s="37"/>
      <c r="L754" s="37"/>
      <c r="M754" s="37"/>
      <c r="N754" s="37"/>
      <c r="O754" s="37"/>
      <c r="P754" s="37"/>
      <c r="Q754" s="37"/>
      <c r="R754" s="37"/>
      <c r="S754" s="37"/>
      <c r="T754" s="37"/>
      <c r="U754" s="37"/>
      <c r="V754" s="37"/>
      <c r="W754" s="37"/>
      <c r="X754" s="37"/>
      <c r="Y754" s="37"/>
      <c r="Z754" s="37"/>
      <c r="AA754" s="37"/>
      <c r="AB754" s="37"/>
      <c r="AC754" s="37"/>
      <c r="AD754" s="37"/>
      <c r="AE754" s="37"/>
      <c r="AF754" s="37"/>
      <c r="AG754" s="37"/>
      <c r="AH754" s="37"/>
      <c r="AI754" s="205"/>
      <c r="AJ754" s="205"/>
      <c r="AK754" s="204"/>
      <c r="AL754" s="204"/>
      <c r="AM754" s="204"/>
    </row>
    <row r="755">
      <c r="A755" s="37"/>
      <c r="B755" s="205"/>
      <c r="C755" s="37"/>
      <c r="D755" s="206"/>
      <c r="E755" s="207"/>
      <c r="F755" s="207"/>
      <c r="G755" s="208"/>
      <c r="H755" s="208"/>
      <c r="I755" s="37"/>
      <c r="J755" s="37"/>
      <c r="K755" s="37"/>
      <c r="L755" s="37"/>
      <c r="M755" s="37"/>
      <c r="N755" s="37"/>
      <c r="O755" s="37"/>
      <c r="P755" s="37"/>
      <c r="Q755" s="37"/>
      <c r="R755" s="37"/>
      <c r="S755" s="37"/>
      <c r="T755" s="37"/>
      <c r="U755" s="37"/>
      <c r="V755" s="37"/>
      <c r="W755" s="37"/>
      <c r="X755" s="37"/>
      <c r="Y755" s="37"/>
      <c r="Z755" s="37"/>
      <c r="AA755" s="37"/>
      <c r="AB755" s="37"/>
      <c r="AC755" s="37"/>
      <c r="AD755" s="37"/>
      <c r="AE755" s="37"/>
      <c r="AF755" s="37"/>
      <c r="AG755" s="37"/>
      <c r="AH755" s="37"/>
      <c r="AI755" s="205"/>
      <c r="AJ755" s="205"/>
      <c r="AK755" s="204"/>
      <c r="AL755" s="204"/>
      <c r="AM755" s="204"/>
    </row>
    <row r="756">
      <c r="A756" s="37"/>
      <c r="B756" s="205"/>
      <c r="C756" s="37"/>
      <c r="D756" s="206"/>
      <c r="E756" s="207"/>
      <c r="F756" s="207"/>
      <c r="G756" s="208"/>
      <c r="H756" s="208"/>
      <c r="I756" s="37"/>
      <c r="J756" s="37"/>
      <c r="K756" s="37"/>
      <c r="L756" s="37"/>
      <c r="M756" s="37"/>
      <c r="N756" s="37"/>
      <c r="O756" s="37"/>
      <c r="P756" s="37"/>
      <c r="Q756" s="37"/>
      <c r="R756" s="37"/>
      <c r="S756" s="37"/>
      <c r="T756" s="37"/>
      <c r="U756" s="37"/>
      <c r="V756" s="37"/>
      <c r="W756" s="37"/>
      <c r="X756" s="37"/>
      <c r="Y756" s="37"/>
      <c r="Z756" s="37"/>
      <c r="AA756" s="37"/>
      <c r="AB756" s="37"/>
      <c r="AC756" s="37"/>
      <c r="AD756" s="37"/>
      <c r="AE756" s="37"/>
      <c r="AF756" s="37"/>
      <c r="AG756" s="37"/>
      <c r="AH756" s="37"/>
      <c r="AI756" s="205"/>
      <c r="AJ756" s="205"/>
      <c r="AK756" s="204"/>
      <c r="AL756" s="204"/>
      <c r="AM756" s="204"/>
    </row>
    <row r="757">
      <c r="A757" s="37"/>
      <c r="B757" s="205"/>
      <c r="C757" s="37"/>
      <c r="D757" s="206"/>
      <c r="E757" s="207"/>
      <c r="F757" s="207"/>
      <c r="G757" s="208"/>
      <c r="H757" s="208"/>
      <c r="I757" s="37"/>
      <c r="J757" s="37"/>
      <c r="K757" s="37"/>
      <c r="L757" s="37"/>
      <c r="M757" s="37"/>
      <c r="N757" s="37"/>
      <c r="O757" s="37"/>
      <c r="P757" s="37"/>
      <c r="Q757" s="37"/>
      <c r="R757" s="37"/>
      <c r="S757" s="37"/>
      <c r="T757" s="37"/>
      <c r="U757" s="37"/>
      <c r="V757" s="37"/>
      <c r="W757" s="37"/>
      <c r="X757" s="37"/>
      <c r="Y757" s="37"/>
      <c r="Z757" s="37"/>
      <c r="AA757" s="37"/>
      <c r="AB757" s="37"/>
      <c r="AC757" s="37"/>
      <c r="AD757" s="37"/>
      <c r="AE757" s="37"/>
      <c r="AF757" s="37"/>
      <c r="AG757" s="37"/>
      <c r="AH757" s="37"/>
      <c r="AI757" s="205"/>
      <c r="AJ757" s="205"/>
      <c r="AK757" s="204"/>
      <c r="AL757" s="204"/>
      <c r="AM757" s="204"/>
    </row>
    <row r="758">
      <c r="A758" s="37"/>
      <c r="B758" s="205"/>
      <c r="C758" s="37"/>
      <c r="D758" s="206"/>
      <c r="E758" s="207"/>
      <c r="F758" s="207"/>
      <c r="G758" s="208"/>
      <c r="H758" s="208"/>
      <c r="I758" s="37"/>
      <c r="J758" s="37"/>
      <c r="K758" s="37"/>
      <c r="L758" s="37"/>
      <c r="M758" s="37"/>
      <c r="N758" s="37"/>
      <c r="O758" s="37"/>
      <c r="P758" s="37"/>
      <c r="Q758" s="37"/>
      <c r="R758" s="37"/>
      <c r="S758" s="37"/>
      <c r="T758" s="37"/>
      <c r="U758" s="37"/>
      <c r="V758" s="37"/>
      <c r="W758" s="37"/>
      <c r="X758" s="37"/>
      <c r="Y758" s="37"/>
      <c r="Z758" s="37"/>
      <c r="AA758" s="37"/>
      <c r="AB758" s="37"/>
      <c r="AC758" s="37"/>
      <c r="AD758" s="37"/>
      <c r="AE758" s="37"/>
      <c r="AF758" s="37"/>
      <c r="AG758" s="37"/>
      <c r="AH758" s="37"/>
      <c r="AI758" s="205"/>
      <c r="AJ758" s="205"/>
      <c r="AK758" s="204"/>
      <c r="AL758" s="204"/>
      <c r="AM758" s="204"/>
    </row>
    <row r="759">
      <c r="A759" s="37"/>
      <c r="B759" s="205"/>
      <c r="C759" s="37"/>
      <c r="D759" s="206"/>
      <c r="E759" s="207"/>
      <c r="F759" s="207"/>
      <c r="G759" s="208"/>
      <c r="H759" s="208"/>
      <c r="I759" s="37"/>
      <c r="J759" s="37"/>
      <c r="K759" s="37"/>
      <c r="L759" s="37"/>
      <c r="M759" s="37"/>
      <c r="N759" s="37"/>
      <c r="O759" s="37"/>
      <c r="P759" s="37"/>
      <c r="Q759" s="37"/>
      <c r="R759" s="37"/>
      <c r="S759" s="37"/>
      <c r="T759" s="37"/>
      <c r="U759" s="37"/>
      <c r="V759" s="37"/>
      <c r="W759" s="37"/>
      <c r="X759" s="37"/>
      <c r="Y759" s="37"/>
      <c r="Z759" s="37"/>
      <c r="AA759" s="37"/>
      <c r="AB759" s="37"/>
      <c r="AC759" s="37"/>
      <c r="AD759" s="37"/>
      <c r="AE759" s="37"/>
      <c r="AF759" s="37"/>
      <c r="AG759" s="37"/>
      <c r="AH759" s="37"/>
      <c r="AI759" s="205"/>
      <c r="AJ759" s="205"/>
      <c r="AK759" s="204"/>
      <c r="AL759" s="204"/>
      <c r="AM759" s="204"/>
    </row>
    <row r="760">
      <c r="A760" s="37"/>
      <c r="B760" s="205"/>
      <c r="C760" s="37"/>
      <c r="D760" s="206"/>
      <c r="E760" s="207"/>
      <c r="F760" s="207"/>
      <c r="G760" s="208"/>
      <c r="H760" s="208"/>
      <c r="I760" s="37"/>
      <c r="J760" s="37"/>
      <c r="K760" s="37"/>
      <c r="L760" s="37"/>
      <c r="M760" s="37"/>
      <c r="N760" s="37"/>
      <c r="O760" s="37"/>
      <c r="P760" s="37"/>
      <c r="Q760" s="37"/>
      <c r="R760" s="37"/>
      <c r="S760" s="37"/>
      <c r="T760" s="37"/>
      <c r="U760" s="37"/>
      <c r="V760" s="37"/>
      <c r="W760" s="37"/>
      <c r="X760" s="37"/>
      <c r="Y760" s="37"/>
      <c r="Z760" s="37"/>
      <c r="AA760" s="37"/>
      <c r="AB760" s="37"/>
      <c r="AC760" s="37"/>
      <c r="AD760" s="37"/>
      <c r="AE760" s="37"/>
      <c r="AF760" s="37"/>
      <c r="AG760" s="37"/>
      <c r="AH760" s="37"/>
      <c r="AI760" s="205"/>
      <c r="AJ760" s="205"/>
      <c r="AK760" s="204"/>
      <c r="AL760" s="204"/>
      <c r="AM760" s="204"/>
    </row>
    <row r="761">
      <c r="A761" s="37"/>
      <c r="B761" s="205"/>
      <c r="C761" s="37"/>
      <c r="D761" s="206"/>
      <c r="E761" s="207"/>
      <c r="F761" s="207"/>
      <c r="G761" s="208"/>
      <c r="H761" s="208"/>
      <c r="I761" s="37"/>
      <c r="J761" s="37"/>
      <c r="K761" s="37"/>
      <c r="L761" s="37"/>
      <c r="M761" s="37"/>
      <c r="N761" s="37"/>
      <c r="O761" s="37"/>
      <c r="P761" s="37"/>
      <c r="Q761" s="37"/>
      <c r="R761" s="37"/>
      <c r="S761" s="37"/>
      <c r="T761" s="37"/>
      <c r="U761" s="37"/>
      <c r="V761" s="37"/>
      <c r="W761" s="37"/>
      <c r="X761" s="37"/>
      <c r="Y761" s="37"/>
      <c r="Z761" s="37"/>
      <c r="AA761" s="37"/>
      <c r="AB761" s="37"/>
      <c r="AC761" s="37"/>
      <c r="AD761" s="37"/>
      <c r="AE761" s="37"/>
      <c r="AF761" s="37"/>
      <c r="AG761" s="37"/>
      <c r="AH761" s="37"/>
      <c r="AI761" s="205"/>
      <c r="AJ761" s="205"/>
      <c r="AK761" s="204"/>
      <c r="AL761" s="204"/>
      <c r="AM761" s="204"/>
    </row>
    <row r="762">
      <c r="A762" s="37"/>
      <c r="B762" s="205"/>
      <c r="C762" s="37"/>
      <c r="D762" s="206"/>
      <c r="E762" s="207"/>
      <c r="F762" s="207"/>
      <c r="G762" s="208"/>
      <c r="H762" s="208"/>
      <c r="I762" s="37"/>
      <c r="J762" s="37"/>
      <c r="K762" s="37"/>
      <c r="L762" s="37"/>
      <c r="M762" s="37"/>
      <c r="N762" s="37"/>
      <c r="O762" s="37"/>
      <c r="P762" s="37"/>
      <c r="Q762" s="37"/>
      <c r="R762" s="37"/>
      <c r="S762" s="37"/>
      <c r="T762" s="37"/>
      <c r="U762" s="37"/>
      <c r="V762" s="37"/>
      <c r="W762" s="37"/>
      <c r="X762" s="37"/>
      <c r="Y762" s="37"/>
      <c r="Z762" s="37"/>
      <c r="AA762" s="37"/>
      <c r="AB762" s="37"/>
      <c r="AC762" s="37"/>
      <c r="AD762" s="37"/>
      <c r="AE762" s="37"/>
      <c r="AF762" s="37"/>
      <c r="AG762" s="37"/>
      <c r="AH762" s="37"/>
      <c r="AI762" s="205"/>
      <c r="AJ762" s="205"/>
      <c r="AK762" s="204"/>
      <c r="AL762" s="204"/>
      <c r="AM762" s="204"/>
    </row>
    <row r="763">
      <c r="A763" s="37"/>
      <c r="B763" s="205"/>
      <c r="C763" s="37"/>
      <c r="D763" s="206"/>
      <c r="E763" s="207"/>
      <c r="F763" s="207"/>
      <c r="G763" s="208"/>
      <c r="H763" s="208"/>
      <c r="I763" s="37"/>
      <c r="J763" s="37"/>
      <c r="K763" s="37"/>
      <c r="L763" s="37"/>
      <c r="M763" s="37"/>
      <c r="N763" s="37"/>
      <c r="O763" s="37"/>
      <c r="P763" s="37"/>
      <c r="Q763" s="37"/>
      <c r="R763" s="37"/>
      <c r="S763" s="37"/>
      <c r="T763" s="37"/>
      <c r="U763" s="37"/>
      <c r="V763" s="37"/>
      <c r="W763" s="37"/>
      <c r="X763" s="37"/>
      <c r="Y763" s="37"/>
      <c r="Z763" s="37"/>
      <c r="AA763" s="37"/>
      <c r="AB763" s="37"/>
      <c r="AC763" s="37"/>
      <c r="AD763" s="37"/>
      <c r="AE763" s="37"/>
      <c r="AF763" s="37"/>
      <c r="AG763" s="37"/>
      <c r="AH763" s="37"/>
      <c r="AI763" s="205"/>
      <c r="AJ763" s="205"/>
      <c r="AK763" s="204"/>
      <c r="AL763" s="204"/>
      <c r="AM763" s="204"/>
    </row>
    <row r="764">
      <c r="A764" s="37"/>
      <c r="B764" s="205"/>
      <c r="C764" s="37"/>
      <c r="D764" s="206"/>
      <c r="E764" s="207"/>
      <c r="F764" s="207"/>
      <c r="G764" s="208"/>
      <c r="H764" s="208"/>
      <c r="I764" s="37"/>
      <c r="J764" s="37"/>
      <c r="K764" s="37"/>
      <c r="L764" s="37"/>
      <c r="M764" s="37"/>
      <c r="N764" s="37"/>
      <c r="O764" s="37"/>
      <c r="P764" s="37"/>
      <c r="Q764" s="37"/>
      <c r="R764" s="37"/>
      <c r="S764" s="37"/>
      <c r="T764" s="37"/>
      <c r="U764" s="37"/>
      <c r="V764" s="37"/>
      <c r="W764" s="37"/>
      <c r="X764" s="37"/>
      <c r="Y764" s="37"/>
      <c r="Z764" s="37"/>
      <c r="AA764" s="37"/>
      <c r="AB764" s="37"/>
      <c r="AC764" s="37"/>
      <c r="AD764" s="37"/>
      <c r="AE764" s="37"/>
      <c r="AF764" s="37"/>
      <c r="AG764" s="37"/>
      <c r="AH764" s="37"/>
      <c r="AI764" s="205"/>
      <c r="AJ764" s="205"/>
      <c r="AK764" s="204"/>
      <c r="AL764" s="204"/>
      <c r="AM764" s="204"/>
    </row>
    <row r="765">
      <c r="A765" s="37"/>
      <c r="B765" s="205"/>
      <c r="C765" s="37"/>
      <c r="D765" s="206"/>
      <c r="E765" s="207"/>
      <c r="F765" s="207"/>
      <c r="G765" s="208"/>
      <c r="H765" s="208"/>
      <c r="I765" s="37"/>
      <c r="J765" s="37"/>
      <c r="K765" s="37"/>
      <c r="L765" s="37"/>
      <c r="M765" s="37"/>
      <c r="N765" s="37"/>
      <c r="O765" s="37"/>
      <c r="P765" s="37"/>
      <c r="Q765" s="37"/>
      <c r="R765" s="37"/>
      <c r="S765" s="37"/>
      <c r="T765" s="37"/>
      <c r="U765" s="37"/>
      <c r="V765" s="37"/>
      <c r="W765" s="37"/>
      <c r="X765" s="37"/>
      <c r="Y765" s="37"/>
      <c r="Z765" s="37"/>
      <c r="AA765" s="37"/>
      <c r="AB765" s="37"/>
      <c r="AC765" s="37"/>
      <c r="AD765" s="37"/>
      <c r="AE765" s="37"/>
      <c r="AF765" s="37"/>
      <c r="AG765" s="37"/>
      <c r="AH765" s="37"/>
      <c r="AI765" s="205"/>
      <c r="AJ765" s="205"/>
      <c r="AK765" s="204"/>
      <c r="AL765" s="204"/>
      <c r="AM765" s="204"/>
    </row>
    <row r="766">
      <c r="A766" s="37"/>
      <c r="B766" s="205"/>
      <c r="C766" s="37"/>
      <c r="D766" s="206"/>
      <c r="E766" s="207"/>
      <c r="F766" s="207"/>
      <c r="G766" s="208"/>
      <c r="H766" s="208"/>
      <c r="I766" s="37"/>
      <c r="J766" s="37"/>
      <c r="K766" s="37"/>
      <c r="L766" s="37"/>
      <c r="M766" s="37"/>
      <c r="N766" s="37"/>
      <c r="O766" s="37"/>
      <c r="P766" s="37"/>
      <c r="Q766" s="37"/>
      <c r="R766" s="37"/>
      <c r="S766" s="37"/>
      <c r="T766" s="37"/>
      <c r="U766" s="37"/>
      <c r="V766" s="37"/>
      <c r="W766" s="37"/>
      <c r="X766" s="37"/>
      <c r="Y766" s="37"/>
      <c r="Z766" s="37"/>
      <c r="AA766" s="37"/>
      <c r="AB766" s="37"/>
      <c r="AC766" s="37"/>
      <c r="AD766" s="37"/>
      <c r="AE766" s="37"/>
      <c r="AF766" s="37"/>
      <c r="AG766" s="37"/>
      <c r="AH766" s="37"/>
      <c r="AI766" s="205"/>
      <c r="AJ766" s="205"/>
      <c r="AK766" s="204"/>
      <c r="AL766" s="204"/>
      <c r="AM766" s="204"/>
    </row>
    <row r="767">
      <c r="A767" s="37"/>
      <c r="B767" s="205"/>
      <c r="C767" s="37"/>
      <c r="D767" s="206"/>
      <c r="E767" s="207"/>
      <c r="F767" s="207"/>
      <c r="G767" s="208"/>
      <c r="H767" s="208"/>
      <c r="I767" s="37"/>
      <c r="J767" s="37"/>
      <c r="K767" s="37"/>
      <c r="L767" s="37"/>
      <c r="M767" s="37"/>
      <c r="N767" s="37"/>
      <c r="O767" s="37"/>
      <c r="P767" s="37"/>
      <c r="Q767" s="37"/>
      <c r="R767" s="37"/>
      <c r="S767" s="37"/>
      <c r="T767" s="37"/>
      <c r="U767" s="37"/>
      <c r="V767" s="37"/>
      <c r="W767" s="37"/>
      <c r="X767" s="37"/>
      <c r="Y767" s="37"/>
      <c r="Z767" s="37"/>
      <c r="AA767" s="37"/>
      <c r="AB767" s="37"/>
      <c r="AC767" s="37"/>
      <c r="AD767" s="37"/>
      <c r="AE767" s="37"/>
      <c r="AF767" s="37"/>
      <c r="AG767" s="37"/>
      <c r="AH767" s="37"/>
      <c r="AI767" s="205"/>
      <c r="AJ767" s="205"/>
      <c r="AK767" s="204"/>
      <c r="AL767" s="204"/>
      <c r="AM767" s="204"/>
    </row>
    <row r="768">
      <c r="A768" s="37"/>
      <c r="B768" s="205"/>
      <c r="C768" s="37"/>
      <c r="D768" s="206"/>
      <c r="E768" s="207"/>
      <c r="F768" s="207"/>
      <c r="G768" s="208"/>
      <c r="H768" s="208"/>
      <c r="I768" s="37"/>
      <c r="J768" s="37"/>
      <c r="K768" s="37"/>
      <c r="L768" s="37"/>
      <c r="M768" s="37"/>
      <c r="N768" s="37"/>
      <c r="O768" s="37"/>
      <c r="P768" s="37"/>
      <c r="Q768" s="37"/>
      <c r="R768" s="37"/>
      <c r="S768" s="37"/>
      <c r="T768" s="37"/>
      <c r="U768" s="37"/>
      <c r="V768" s="37"/>
      <c r="W768" s="37"/>
      <c r="X768" s="37"/>
      <c r="Y768" s="37"/>
      <c r="Z768" s="37"/>
      <c r="AA768" s="37"/>
      <c r="AB768" s="37"/>
      <c r="AC768" s="37"/>
      <c r="AD768" s="37"/>
      <c r="AE768" s="37"/>
      <c r="AF768" s="37"/>
      <c r="AG768" s="37"/>
      <c r="AH768" s="37"/>
      <c r="AI768" s="205"/>
      <c r="AJ768" s="205"/>
      <c r="AK768" s="204"/>
      <c r="AL768" s="204"/>
      <c r="AM768" s="204"/>
    </row>
    <row r="769">
      <c r="A769" s="37"/>
      <c r="B769" s="205"/>
      <c r="C769" s="37"/>
      <c r="D769" s="206"/>
      <c r="E769" s="207"/>
      <c r="F769" s="207"/>
      <c r="G769" s="208"/>
      <c r="H769" s="208"/>
      <c r="I769" s="37"/>
      <c r="J769" s="37"/>
      <c r="K769" s="37"/>
      <c r="L769" s="37"/>
      <c r="M769" s="37"/>
      <c r="N769" s="37"/>
      <c r="O769" s="37"/>
      <c r="P769" s="37"/>
      <c r="Q769" s="37"/>
      <c r="R769" s="37"/>
      <c r="S769" s="37"/>
      <c r="T769" s="37"/>
      <c r="U769" s="37"/>
      <c r="V769" s="37"/>
      <c r="W769" s="37"/>
      <c r="X769" s="37"/>
      <c r="Y769" s="37"/>
      <c r="Z769" s="37"/>
      <c r="AA769" s="37"/>
      <c r="AB769" s="37"/>
      <c r="AC769" s="37"/>
      <c r="AD769" s="37"/>
      <c r="AE769" s="37"/>
      <c r="AF769" s="37"/>
      <c r="AG769" s="37"/>
      <c r="AH769" s="37"/>
      <c r="AI769" s="205"/>
      <c r="AJ769" s="205"/>
      <c r="AK769" s="204"/>
      <c r="AL769" s="204"/>
      <c r="AM769" s="204"/>
    </row>
    <row r="770">
      <c r="A770" s="37"/>
      <c r="B770" s="205"/>
      <c r="C770" s="37"/>
      <c r="D770" s="206"/>
      <c r="E770" s="207"/>
      <c r="F770" s="207"/>
      <c r="G770" s="208"/>
      <c r="H770" s="208"/>
      <c r="I770" s="37"/>
      <c r="J770" s="37"/>
      <c r="K770" s="37"/>
      <c r="L770" s="37"/>
      <c r="M770" s="37"/>
      <c r="N770" s="37"/>
      <c r="O770" s="37"/>
      <c r="P770" s="37"/>
      <c r="Q770" s="37"/>
      <c r="R770" s="37"/>
      <c r="S770" s="37"/>
      <c r="T770" s="37"/>
      <c r="U770" s="37"/>
      <c r="V770" s="37"/>
      <c r="W770" s="37"/>
      <c r="X770" s="37"/>
      <c r="Y770" s="37"/>
      <c r="Z770" s="37"/>
      <c r="AA770" s="37"/>
      <c r="AB770" s="37"/>
      <c r="AC770" s="37"/>
      <c r="AD770" s="37"/>
      <c r="AE770" s="37"/>
      <c r="AF770" s="37"/>
      <c r="AG770" s="37"/>
      <c r="AH770" s="37"/>
      <c r="AI770" s="205"/>
      <c r="AJ770" s="205"/>
      <c r="AK770" s="204"/>
      <c r="AL770" s="204"/>
      <c r="AM770" s="204"/>
    </row>
    <row r="771">
      <c r="A771" s="37"/>
      <c r="B771" s="205"/>
      <c r="C771" s="37"/>
      <c r="D771" s="206"/>
      <c r="E771" s="207"/>
      <c r="F771" s="207"/>
      <c r="G771" s="208"/>
      <c r="H771" s="208"/>
      <c r="I771" s="37"/>
      <c r="J771" s="37"/>
      <c r="K771" s="37"/>
      <c r="L771" s="37"/>
      <c r="M771" s="37"/>
      <c r="N771" s="37"/>
      <c r="O771" s="37"/>
      <c r="P771" s="37"/>
      <c r="Q771" s="37"/>
      <c r="R771" s="37"/>
      <c r="S771" s="37"/>
      <c r="T771" s="37"/>
      <c r="U771" s="37"/>
      <c r="V771" s="37"/>
      <c r="W771" s="37"/>
      <c r="X771" s="37"/>
      <c r="Y771" s="37"/>
      <c r="Z771" s="37"/>
      <c r="AA771" s="37"/>
      <c r="AB771" s="37"/>
      <c r="AC771" s="37"/>
      <c r="AD771" s="37"/>
      <c r="AE771" s="37"/>
      <c r="AF771" s="37"/>
      <c r="AG771" s="37"/>
      <c r="AH771" s="37"/>
      <c r="AI771" s="205"/>
      <c r="AJ771" s="205"/>
      <c r="AK771" s="204"/>
      <c r="AL771" s="204"/>
      <c r="AM771" s="204"/>
    </row>
    <row r="772">
      <c r="A772" s="37"/>
      <c r="B772" s="205"/>
      <c r="C772" s="37"/>
      <c r="D772" s="206"/>
      <c r="E772" s="207"/>
      <c r="F772" s="207"/>
      <c r="G772" s="208"/>
      <c r="H772" s="208"/>
      <c r="I772" s="37"/>
      <c r="J772" s="37"/>
      <c r="K772" s="37"/>
      <c r="L772" s="37"/>
      <c r="M772" s="37"/>
      <c r="N772" s="37"/>
      <c r="O772" s="37"/>
      <c r="P772" s="37"/>
      <c r="Q772" s="37"/>
      <c r="R772" s="37"/>
      <c r="S772" s="37"/>
      <c r="T772" s="37"/>
      <c r="U772" s="37"/>
      <c r="V772" s="37"/>
      <c r="W772" s="37"/>
      <c r="X772" s="37"/>
      <c r="Y772" s="37"/>
      <c r="Z772" s="37"/>
      <c r="AA772" s="37"/>
      <c r="AB772" s="37"/>
      <c r="AC772" s="37"/>
      <c r="AD772" s="37"/>
      <c r="AE772" s="37"/>
      <c r="AF772" s="37"/>
      <c r="AG772" s="37"/>
      <c r="AH772" s="37"/>
      <c r="AI772" s="205"/>
      <c r="AJ772" s="205"/>
      <c r="AK772" s="204"/>
      <c r="AL772" s="204"/>
      <c r="AM772" s="204"/>
    </row>
    <row r="773">
      <c r="A773" s="37"/>
      <c r="B773" s="205"/>
      <c r="C773" s="37"/>
      <c r="D773" s="206"/>
      <c r="E773" s="207"/>
      <c r="F773" s="207"/>
      <c r="G773" s="208"/>
      <c r="H773" s="208"/>
      <c r="I773" s="37"/>
      <c r="J773" s="37"/>
      <c r="K773" s="37"/>
      <c r="L773" s="37"/>
      <c r="M773" s="37"/>
      <c r="N773" s="37"/>
      <c r="O773" s="37"/>
      <c r="P773" s="37"/>
      <c r="Q773" s="37"/>
      <c r="R773" s="37"/>
      <c r="S773" s="37"/>
      <c r="T773" s="37"/>
      <c r="U773" s="37"/>
      <c r="V773" s="37"/>
      <c r="W773" s="37"/>
      <c r="X773" s="37"/>
      <c r="Y773" s="37"/>
      <c r="Z773" s="37"/>
      <c r="AA773" s="37"/>
      <c r="AB773" s="37"/>
      <c r="AC773" s="37"/>
      <c r="AD773" s="37"/>
      <c r="AE773" s="37"/>
      <c r="AF773" s="37"/>
      <c r="AG773" s="37"/>
      <c r="AH773" s="37"/>
      <c r="AI773" s="205"/>
      <c r="AJ773" s="205"/>
      <c r="AK773" s="204"/>
      <c r="AL773" s="204"/>
      <c r="AM773" s="204"/>
    </row>
    <row r="774">
      <c r="A774" s="37"/>
      <c r="B774" s="205"/>
      <c r="C774" s="37"/>
      <c r="D774" s="206"/>
      <c r="E774" s="207"/>
      <c r="F774" s="207"/>
      <c r="G774" s="208"/>
      <c r="H774" s="208"/>
      <c r="I774" s="37"/>
      <c r="J774" s="37"/>
      <c r="K774" s="37"/>
      <c r="L774" s="37"/>
      <c r="M774" s="37"/>
      <c r="N774" s="37"/>
      <c r="O774" s="37"/>
      <c r="P774" s="37"/>
      <c r="Q774" s="37"/>
      <c r="R774" s="37"/>
      <c r="S774" s="37"/>
      <c r="T774" s="37"/>
      <c r="U774" s="37"/>
      <c r="V774" s="37"/>
      <c r="W774" s="37"/>
      <c r="X774" s="37"/>
      <c r="Y774" s="37"/>
      <c r="Z774" s="37"/>
      <c r="AA774" s="37"/>
      <c r="AB774" s="37"/>
      <c r="AC774" s="37"/>
      <c r="AD774" s="37"/>
      <c r="AE774" s="37"/>
      <c r="AF774" s="37"/>
      <c r="AG774" s="37"/>
      <c r="AH774" s="37"/>
      <c r="AI774" s="205"/>
      <c r="AJ774" s="205"/>
      <c r="AK774" s="204"/>
      <c r="AL774" s="204"/>
      <c r="AM774" s="204"/>
    </row>
    <row r="775">
      <c r="A775" s="37"/>
      <c r="B775" s="205"/>
      <c r="C775" s="37"/>
      <c r="D775" s="206"/>
      <c r="E775" s="207"/>
      <c r="F775" s="207"/>
      <c r="G775" s="208"/>
      <c r="H775" s="208"/>
      <c r="I775" s="37"/>
      <c r="J775" s="37"/>
      <c r="K775" s="37"/>
      <c r="L775" s="37"/>
      <c r="M775" s="37"/>
      <c r="N775" s="37"/>
      <c r="O775" s="37"/>
      <c r="P775" s="37"/>
      <c r="Q775" s="37"/>
      <c r="R775" s="37"/>
      <c r="S775" s="37"/>
      <c r="T775" s="37"/>
      <c r="U775" s="37"/>
      <c r="V775" s="37"/>
      <c r="W775" s="37"/>
      <c r="X775" s="37"/>
      <c r="Y775" s="37"/>
      <c r="Z775" s="37"/>
      <c r="AA775" s="37"/>
      <c r="AB775" s="37"/>
      <c r="AC775" s="37"/>
      <c r="AD775" s="37"/>
      <c r="AE775" s="37"/>
      <c r="AF775" s="37"/>
      <c r="AG775" s="37"/>
      <c r="AH775" s="37"/>
      <c r="AI775" s="205"/>
      <c r="AJ775" s="205"/>
      <c r="AK775" s="204"/>
      <c r="AL775" s="204"/>
      <c r="AM775" s="204"/>
    </row>
    <row r="776">
      <c r="A776" s="37"/>
      <c r="B776" s="205"/>
      <c r="C776" s="37"/>
      <c r="D776" s="206"/>
      <c r="E776" s="207"/>
      <c r="F776" s="207"/>
      <c r="G776" s="208"/>
      <c r="H776" s="208"/>
      <c r="I776" s="37"/>
      <c r="J776" s="37"/>
      <c r="K776" s="37"/>
      <c r="L776" s="37"/>
      <c r="M776" s="37"/>
      <c r="N776" s="37"/>
      <c r="O776" s="37"/>
      <c r="P776" s="37"/>
      <c r="Q776" s="37"/>
      <c r="R776" s="37"/>
      <c r="S776" s="37"/>
      <c r="T776" s="37"/>
      <c r="U776" s="37"/>
      <c r="V776" s="37"/>
      <c r="W776" s="37"/>
      <c r="X776" s="37"/>
      <c r="Y776" s="37"/>
      <c r="Z776" s="37"/>
      <c r="AA776" s="37"/>
      <c r="AB776" s="37"/>
      <c r="AC776" s="37"/>
      <c r="AD776" s="37"/>
      <c r="AE776" s="37"/>
      <c r="AF776" s="37"/>
      <c r="AG776" s="37"/>
      <c r="AH776" s="37"/>
      <c r="AI776" s="205"/>
      <c r="AJ776" s="205"/>
      <c r="AK776" s="204"/>
      <c r="AL776" s="204"/>
      <c r="AM776" s="204"/>
    </row>
    <row r="777">
      <c r="A777" s="37"/>
      <c r="B777" s="205"/>
      <c r="C777" s="37"/>
      <c r="D777" s="206"/>
      <c r="E777" s="207"/>
      <c r="F777" s="207"/>
      <c r="G777" s="208"/>
      <c r="H777" s="208"/>
      <c r="I777" s="37"/>
      <c r="J777" s="37"/>
      <c r="K777" s="37"/>
      <c r="L777" s="37"/>
      <c r="M777" s="37"/>
      <c r="N777" s="37"/>
      <c r="O777" s="37"/>
      <c r="P777" s="37"/>
      <c r="Q777" s="37"/>
      <c r="R777" s="37"/>
      <c r="S777" s="37"/>
      <c r="T777" s="37"/>
      <c r="U777" s="37"/>
      <c r="V777" s="37"/>
      <c r="W777" s="37"/>
      <c r="X777" s="37"/>
      <c r="Y777" s="37"/>
      <c r="Z777" s="37"/>
      <c r="AA777" s="37"/>
      <c r="AB777" s="37"/>
      <c r="AC777" s="37"/>
      <c r="AD777" s="37"/>
      <c r="AE777" s="37"/>
      <c r="AF777" s="37"/>
      <c r="AG777" s="37"/>
      <c r="AH777" s="37"/>
      <c r="AI777" s="205"/>
      <c r="AJ777" s="205"/>
      <c r="AK777" s="204"/>
      <c r="AL777" s="204"/>
      <c r="AM777" s="204"/>
    </row>
    <row r="778">
      <c r="A778" s="37"/>
      <c r="B778" s="205"/>
      <c r="C778" s="37"/>
      <c r="D778" s="206"/>
      <c r="E778" s="207"/>
      <c r="F778" s="207"/>
      <c r="G778" s="208"/>
      <c r="H778" s="208"/>
      <c r="I778" s="37"/>
      <c r="J778" s="37"/>
      <c r="K778" s="37"/>
      <c r="L778" s="37"/>
      <c r="M778" s="37"/>
      <c r="N778" s="37"/>
      <c r="O778" s="37"/>
      <c r="P778" s="37"/>
      <c r="Q778" s="37"/>
      <c r="R778" s="37"/>
      <c r="S778" s="37"/>
      <c r="T778" s="37"/>
      <c r="U778" s="37"/>
      <c r="V778" s="37"/>
      <c r="W778" s="37"/>
      <c r="X778" s="37"/>
      <c r="Y778" s="37"/>
      <c r="Z778" s="37"/>
      <c r="AA778" s="37"/>
      <c r="AB778" s="37"/>
      <c r="AC778" s="37"/>
      <c r="AD778" s="37"/>
      <c r="AE778" s="37"/>
      <c r="AF778" s="37"/>
      <c r="AG778" s="37"/>
      <c r="AH778" s="37"/>
      <c r="AI778" s="205"/>
      <c r="AJ778" s="205"/>
      <c r="AK778" s="204"/>
      <c r="AL778" s="204"/>
      <c r="AM778" s="204"/>
    </row>
    <row r="779">
      <c r="A779" s="37"/>
      <c r="B779" s="205"/>
      <c r="C779" s="37"/>
      <c r="D779" s="206"/>
      <c r="E779" s="207"/>
      <c r="F779" s="207"/>
      <c r="G779" s="208"/>
      <c r="H779" s="208"/>
      <c r="I779" s="37"/>
      <c r="J779" s="37"/>
      <c r="K779" s="37"/>
      <c r="L779" s="37"/>
      <c r="M779" s="37"/>
      <c r="N779" s="37"/>
      <c r="O779" s="37"/>
      <c r="P779" s="37"/>
      <c r="Q779" s="37"/>
      <c r="R779" s="37"/>
      <c r="S779" s="37"/>
      <c r="T779" s="37"/>
      <c r="U779" s="37"/>
      <c r="V779" s="37"/>
      <c r="W779" s="37"/>
      <c r="X779" s="37"/>
      <c r="Y779" s="37"/>
      <c r="Z779" s="37"/>
      <c r="AA779" s="37"/>
      <c r="AB779" s="37"/>
      <c r="AC779" s="37"/>
      <c r="AD779" s="37"/>
      <c r="AE779" s="37"/>
      <c r="AF779" s="37"/>
      <c r="AG779" s="37"/>
      <c r="AH779" s="37"/>
      <c r="AI779" s="205"/>
      <c r="AJ779" s="205"/>
      <c r="AK779" s="204"/>
      <c r="AL779" s="204"/>
      <c r="AM779" s="204"/>
    </row>
    <row r="780">
      <c r="A780" s="37"/>
      <c r="B780" s="205"/>
      <c r="C780" s="37"/>
      <c r="D780" s="206"/>
      <c r="E780" s="207"/>
      <c r="F780" s="207"/>
      <c r="G780" s="208"/>
      <c r="H780" s="208"/>
      <c r="I780" s="37"/>
      <c r="J780" s="37"/>
      <c r="K780" s="37"/>
      <c r="L780" s="37"/>
      <c r="M780" s="37"/>
      <c r="N780" s="37"/>
      <c r="O780" s="37"/>
      <c r="P780" s="37"/>
      <c r="Q780" s="37"/>
      <c r="R780" s="37"/>
      <c r="S780" s="37"/>
      <c r="T780" s="37"/>
      <c r="U780" s="37"/>
      <c r="V780" s="37"/>
      <c r="W780" s="37"/>
      <c r="X780" s="37"/>
      <c r="Y780" s="37"/>
      <c r="Z780" s="37"/>
      <c r="AA780" s="37"/>
      <c r="AB780" s="37"/>
      <c r="AC780" s="37"/>
      <c r="AD780" s="37"/>
      <c r="AE780" s="37"/>
      <c r="AF780" s="37"/>
      <c r="AG780" s="37"/>
      <c r="AH780" s="37"/>
      <c r="AI780" s="205"/>
      <c r="AJ780" s="205"/>
      <c r="AK780" s="204"/>
      <c r="AL780" s="204"/>
      <c r="AM780" s="204"/>
    </row>
    <row r="781">
      <c r="A781" s="37"/>
      <c r="B781" s="205"/>
      <c r="C781" s="37"/>
      <c r="D781" s="206"/>
      <c r="E781" s="207"/>
      <c r="F781" s="207"/>
      <c r="G781" s="208"/>
      <c r="H781" s="208"/>
      <c r="I781" s="37"/>
      <c r="J781" s="37"/>
      <c r="K781" s="37"/>
      <c r="L781" s="37"/>
      <c r="M781" s="37"/>
      <c r="N781" s="37"/>
      <c r="O781" s="37"/>
      <c r="P781" s="37"/>
      <c r="Q781" s="37"/>
      <c r="R781" s="37"/>
      <c r="S781" s="37"/>
      <c r="T781" s="37"/>
      <c r="U781" s="37"/>
      <c r="V781" s="37"/>
      <c r="W781" s="37"/>
      <c r="X781" s="37"/>
      <c r="Y781" s="37"/>
      <c r="Z781" s="37"/>
      <c r="AA781" s="37"/>
      <c r="AB781" s="37"/>
      <c r="AC781" s="37"/>
      <c r="AD781" s="37"/>
      <c r="AE781" s="37"/>
      <c r="AF781" s="37"/>
      <c r="AG781" s="37"/>
      <c r="AH781" s="37"/>
      <c r="AI781" s="205"/>
      <c r="AJ781" s="205"/>
      <c r="AK781" s="204"/>
      <c r="AL781" s="204"/>
      <c r="AM781" s="204"/>
    </row>
    <row r="782">
      <c r="A782" s="37"/>
      <c r="B782" s="205"/>
      <c r="C782" s="37"/>
      <c r="D782" s="206"/>
      <c r="E782" s="207"/>
      <c r="F782" s="207"/>
      <c r="G782" s="208"/>
      <c r="H782" s="208"/>
      <c r="I782" s="37"/>
      <c r="J782" s="37"/>
      <c r="K782" s="37"/>
      <c r="L782" s="37"/>
      <c r="M782" s="37"/>
      <c r="N782" s="37"/>
      <c r="O782" s="37"/>
      <c r="P782" s="37"/>
      <c r="Q782" s="37"/>
      <c r="R782" s="37"/>
      <c r="S782" s="37"/>
      <c r="T782" s="37"/>
      <c r="U782" s="37"/>
      <c r="V782" s="37"/>
      <c r="W782" s="37"/>
      <c r="X782" s="37"/>
      <c r="Y782" s="37"/>
      <c r="Z782" s="37"/>
      <c r="AA782" s="37"/>
      <c r="AB782" s="37"/>
      <c r="AC782" s="37"/>
      <c r="AD782" s="37"/>
      <c r="AE782" s="37"/>
      <c r="AF782" s="37"/>
      <c r="AG782" s="37"/>
      <c r="AH782" s="37"/>
      <c r="AI782" s="205"/>
      <c r="AJ782" s="205"/>
      <c r="AK782" s="204"/>
      <c r="AL782" s="204"/>
      <c r="AM782" s="204"/>
    </row>
    <row r="783">
      <c r="A783" s="37"/>
      <c r="B783" s="205"/>
      <c r="C783" s="37"/>
      <c r="D783" s="206"/>
      <c r="E783" s="207"/>
      <c r="F783" s="207"/>
      <c r="G783" s="208"/>
      <c r="H783" s="208"/>
      <c r="I783" s="37"/>
      <c r="J783" s="37"/>
      <c r="K783" s="37"/>
      <c r="L783" s="37"/>
      <c r="M783" s="37"/>
      <c r="N783" s="37"/>
      <c r="O783" s="37"/>
      <c r="P783" s="37"/>
      <c r="Q783" s="37"/>
      <c r="R783" s="37"/>
      <c r="S783" s="37"/>
      <c r="T783" s="37"/>
      <c r="U783" s="37"/>
      <c r="V783" s="37"/>
      <c r="W783" s="37"/>
      <c r="X783" s="37"/>
      <c r="Y783" s="37"/>
      <c r="Z783" s="37"/>
      <c r="AA783" s="37"/>
      <c r="AB783" s="37"/>
      <c r="AC783" s="37"/>
      <c r="AD783" s="37"/>
      <c r="AE783" s="37"/>
      <c r="AF783" s="37"/>
      <c r="AG783" s="37"/>
      <c r="AH783" s="37"/>
      <c r="AI783" s="205"/>
      <c r="AJ783" s="205"/>
      <c r="AK783" s="204"/>
      <c r="AL783" s="204"/>
      <c r="AM783" s="204"/>
    </row>
    <row r="784">
      <c r="A784" s="37"/>
      <c r="B784" s="205"/>
      <c r="C784" s="37"/>
      <c r="D784" s="206"/>
      <c r="E784" s="207"/>
      <c r="F784" s="207"/>
      <c r="G784" s="208"/>
      <c r="H784" s="208"/>
      <c r="I784" s="37"/>
      <c r="J784" s="37"/>
      <c r="K784" s="37"/>
      <c r="L784" s="37"/>
      <c r="M784" s="37"/>
      <c r="N784" s="37"/>
      <c r="O784" s="37"/>
      <c r="P784" s="37"/>
      <c r="Q784" s="37"/>
      <c r="R784" s="37"/>
      <c r="S784" s="37"/>
      <c r="T784" s="37"/>
      <c r="U784" s="37"/>
      <c r="V784" s="37"/>
      <c r="W784" s="37"/>
      <c r="X784" s="37"/>
      <c r="Y784" s="37"/>
      <c r="Z784" s="37"/>
      <c r="AA784" s="37"/>
      <c r="AB784" s="37"/>
      <c r="AC784" s="37"/>
      <c r="AD784" s="37"/>
      <c r="AE784" s="37"/>
      <c r="AF784" s="37"/>
      <c r="AG784" s="37"/>
      <c r="AH784" s="37"/>
      <c r="AI784" s="205"/>
      <c r="AJ784" s="205"/>
      <c r="AK784" s="204"/>
      <c r="AL784" s="204"/>
      <c r="AM784" s="204"/>
    </row>
    <row r="785">
      <c r="A785" s="37"/>
      <c r="B785" s="205"/>
      <c r="C785" s="37"/>
      <c r="D785" s="206"/>
      <c r="E785" s="207"/>
      <c r="F785" s="207"/>
      <c r="G785" s="208"/>
      <c r="H785" s="208"/>
      <c r="I785" s="37"/>
      <c r="J785" s="37"/>
      <c r="K785" s="37"/>
      <c r="L785" s="37"/>
      <c r="M785" s="37"/>
      <c r="N785" s="37"/>
      <c r="O785" s="37"/>
      <c r="P785" s="37"/>
      <c r="Q785" s="37"/>
      <c r="R785" s="37"/>
      <c r="S785" s="37"/>
      <c r="T785" s="37"/>
      <c r="U785" s="37"/>
      <c r="V785" s="37"/>
      <c r="W785" s="37"/>
      <c r="X785" s="37"/>
      <c r="Y785" s="37"/>
      <c r="Z785" s="37"/>
      <c r="AA785" s="37"/>
      <c r="AB785" s="37"/>
      <c r="AC785" s="37"/>
      <c r="AD785" s="37"/>
      <c r="AE785" s="37"/>
      <c r="AF785" s="37"/>
      <c r="AG785" s="37"/>
      <c r="AH785" s="37"/>
      <c r="AI785" s="205"/>
      <c r="AJ785" s="205"/>
      <c r="AK785" s="204"/>
      <c r="AL785" s="204"/>
      <c r="AM785" s="204"/>
    </row>
    <row r="786">
      <c r="A786" s="37"/>
      <c r="B786" s="205"/>
      <c r="C786" s="37"/>
      <c r="D786" s="206"/>
      <c r="E786" s="207"/>
      <c r="F786" s="207"/>
      <c r="G786" s="208"/>
      <c r="H786" s="208"/>
      <c r="I786" s="37"/>
      <c r="J786" s="37"/>
      <c r="K786" s="37"/>
      <c r="L786" s="37"/>
      <c r="M786" s="37"/>
      <c r="N786" s="37"/>
      <c r="O786" s="37"/>
      <c r="P786" s="37"/>
      <c r="Q786" s="37"/>
      <c r="R786" s="37"/>
      <c r="S786" s="37"/>
      <c r="T786" s="37"/>
      <c r="U786" s="37"/>
      <c r="V786" s="37"/>
      <c r="W786" s="37"/>
      <c r="X786" s="37"/>
      <c r="Y786" s="37"/>
      <c r="Z786" s="37"/>
      <c r="AA786" s="37"/>
      <c r="AB786" s="37"/>
      <c r="AC786" s="37"/>
      <c r="AD786" s="37"/>
      <c r="AE786" s="37"/>
      <c r="AF786" s="37"/>
      <c r="AG786" s="37"/>
      <c r="AH786" s="37"/>
      <c r="AI786" s="205"/>
      <c r="AJ786" s="205"/>
      <c r="AK786" s="204"/>
      <c r="AL786" s="204"/>
      <c r="AM786" s="204"/>
    </row>
    <row r="787">
      <c r="A787" s="37"/>
      <c r="B787" s="205"/>
      <c r="C787" s="37"/>
      <c r="D787" s="206"/>
      <c r="E787" s="207"/>
      <c r="F787" s="207"/>
      <c r="G787" s="208"/>
      <c r="H787" s="208"/>
      <c r="I787" s="37"/>
      <c r="J787" s="37"/>
      <c r="K787" s="37"/>
      <c r="L787" s="37"/>
      <c r="M787" s="37"/>
      <c r="N787" s="37"/>
      <c r="O787" s="37"/>
      <c r="P787" s="37"/>
      <c r="Q787" s="37"/>
      <c r="R787" s="37"/>
      <c r="S787" s="37"/>
      <c r="T787" s="37"/>
      <c r="U787" s="37"/>
      <c r="V787" s="37"/>
      <c r="W787" s="37"/>
      <c r="X787" s="37"/>
      <c r="Y787" s="37"/>
      <c r="Z787" s="37"/>
      <c r="AA787" s="37"/>
      <c r="AB787" s="37"/>
      <c r="AC787" s="37"/>
      <c r="AD787" s="37"/>
      <c r="AE787" s="37"/>
      <c r="AF787" s="37"/>
      <c r="AG787" s="37"/>
      <c r="AH787" s="37"/>
      <c r="AI787" s="205"/>
      <c r="AJ787" s="205"/>
      <c r="AK787" s="204"/>
      <c r="AL787" s="204"/>
      <c r="AM787" s="204"/>
    </row>
    <row r="788">
      <c r="A788" s="37"/>
      <c r="B788" s="205"/>
      <c r="C788" s="37"/>
      <c r="D788" s="206"/>
      <c r="E788" s="207"/>
      <c r="F788" s="207"/>
      <c r="G788" s="208"/>
      <c r="H788" s="208"/>
      <c r="I788" s="37"/>
      <c r="J788" s="37"/>
      <c r="K788" s="37"/>
      <c r="L788" s="37"/>
      <c r="M788" s="37"/>
      <c r="N788" s="37"/>
      <c r="O788" s="37"/>
      <c r="P788" s="37"/>
      <c r="Q788" s="37"/>
      <c r="R788" s="37"/>
      <c r="S788" s="37"/>
      <c r="T788" s="37"/>
      <c r="U788" s="37"/>
      <c r="V788" s="37"/>
      <c r="W788" s="37"/>
      <c r="X788" s="37"/>
      <c r="Y788" s="37"/>
      <c r="Z788" s="37"/>
      <c r="AA788" s="37"/>
      <c r="AB788" s="37"/>
      <c r="AC788" s="37"/>
      <c r="AD788" s="37"/>
      <c r="AE788" s="37"/>
      <c r="AF788" s="37"/>
      <c r="AG788" s="37"/>
      <c r="AH788" s="37"/>
      <c r="AI788" s="205"/>
      <c r="AJ788" s="205"/>
      <c r="AK788" s="204"/>
      <c r="AL788" s="204"/>
      <c r="AM788" s="204"/>
    </row>
    <row r="789">
      <c r="A789" s="37"/>
      <c r="B789" s="205"/>
      <c r="C789" s="37"/>
      <c r="D789" s="206"/>
      <c r="E789" s="207"/>
      <c r="F789" s="207"/>
      <c r="G789" s="208"/>
      <c r="H789" s="208"/>
      <c r="I789" s="37"/>
      <c r="J789" s="37"/>
      <c r="K789" s="37"/>
      <c r="L789" s="37"/>
      <c r="M789" s="37"/>
      <c r="N789" s="37"/>
      <c r="O789" s="37"/>
      <c r="P789" s="37"/>
      <c r="Q789" s="37"/>
      <c r="R789" s="37"/>
      <c r="S789" s="37"/>
      <c r="T789" s="37"/>
      <c r="U789" s="37"/>
      <c r="V789" s="37"/>
      <c r="W789" s="37"/>
      <c r="X789" s="37"/>
      <c r="Y789" s="37"/>
      <c r="Z789" s="37"/>
      <c r="AA789" s="37"/>
      <c r="AB789" s="37"/>
      <c r="AC789" s="37"/>
      <c r="AD789" s="37"/>
      <c r="AE789" s="37"/>
      <c r="AF789" s="37"/>
      <c r="AG789" s="37"/>
      <c r="AH789" s="37"/>
      <c r="AI789" s="205"/>
      <c r="AJ789" s="205"/>
      <c r="AK789" s="204"/>
      <c r="AL789" s="204"/>
      <c r="AM789" s="204"/>
    </row>
    <row r="790">
      <c r="A790" s="37"/>
      <c r="B790" s="205"/>
      <c r="C790" s="37"/>
      <c r="D790" s="206"/>
      <c r="E790" s="207"/>
      <c r="F790" s="207"/>
      <c r="G790" s="208"/>
      <c r="H790" s="208"/>
      <c r="I790" s="37"/>
      <c r="J790" s="37"/>
      <c r="K790" s="37"/>
      <c r="L790" s="37"/>
      <c r="M790" s="37"/>
      <c r="N790" s="37"/>
      <c r="O790" s="37"/>
      <c r="P790" s="37"/>
      <c r="Q790" s="37"/>
      <c r="R790" s="37"/>
      <c r="S790" s="37"/>
      <c r="T790" s="37"/>
      <c r="U790" s="37"/>
      <c r="V790" s="37"/>
      <c r="W790" s="37"/>
      <c r="X790" s="37"/>
      <c r="Y790" s="37"/>
      <c r="Z790" s="37"/>
      <c r="AA790" s="37"/>
      <c r="AB790" s="37"/>
      <c r="AC790" s="37"/>
      <c r="AD790" s="37"/>
      <c r="AE790" s="37"/>
      <c r="AF790" s="37"/>
      <c r="AG790" s="37"/>
      <c r="AH790" s="37"/>
      <c r="AI790" s="205"/>
      <c r="AJ790" s="205"/>
      <c r="AK790" s="204"/>
      <c r="AL790" s="204"/>
      <c r="AM790" s="204"/>
    </row>
    <row r="791">
      <c r="A791" s="37"/>
      <c r="B791" s="205"/>
      <c r="C791" s="37"/>
      <c r="D791" s="206"/>
      <c r="E791" s="207"/>
      <c r="F791" s="207"/>
      <c r="G791" s="208"/>
      <c r="H791" s="208"/>
      <c r="I791" s="37"/>
      <c r="J791" s="37"/>
      <c r="K791" s="37"/>
      <c r="L791" s="37"/>
      <c r="M791" s="37"/>
      <c r="N791" s="37"/>
      <c r="O791" s="37"/>
      <c r="P791" s="37"/>
      <c r="Q791" s="37"/>
      <c r="R791" s="37"/>
      <c r="S791" s="37"/>
      <c r="T791" s="37"/>
      <c r="U791" s="37"/>
      <c r="V791" s="37"/>
      <c r="W791" s="37"/>
      <c r="X791" s="37"/>
      <c r="Y791" s="37"/>
      <c r="Z791" s="37"/>
      <c r="AA791" s="37"/>
      <c r="AB791" s="37"/>
      <c r="AC791" s="37"/>
      <c r="AD791" s="37"/>
      <c r="AE791" s="37"/>
      <c r="AF791" s="37"/>
      <c r="AG791" s="37"/>
      <c r="AH791" s="37"/>
      <c r="AI791" s="205"/>
      <c r="AJ791" s="205"/>
      <c r="AK791" s="204"/>
      <c r="AL791" s="204"/>
      <c r="AM791" s="204"/>
    </row>
    <row r="792">
      <c r="A792" s="37"/>
      <c r="B792" s="205"/>
      <c r="C792" s="37"/>
      <c r="D792" s="206"/>
      <c r="E792" s="207"/>
      <c r="F792" s="207"/>
      <c r="G792" s="208"/>
      <c r="H792" s="208"/>
      <c r="I792" s="37"/>
      <c r="J792" s="37"/>
      <c r="K792" s="37"/>
      <c r="L792" s="37"/>
      <c r="M792" s="37"/>
      <c r="N792" s="37"/>
      <c r="O792" s="37"/>
      <c r="P792" s="37"/>
      <c r="Q792" s="37"/>
      <c r="R792" s="37"/>
      <c r="S792" s="37"/>
      <c r="T792" s="37"/>
      <c r="U792" s="37"/>
      <c r="V792" s="37"/>
      <c r="W792" s="37"/>
      <c r="X792" s="37"/>
      <c r="Y792" s="37"/>
      <c r="Z792" s="37"/>
      <c r="AA792" s="37"/>
      <c r="AB792" s="37"/>
      <c r="AC792" s="37"/>
      <c r="AD792" s="37"/>
      <c r="AE792" s="37"/>
      <c r="AF792" s="37"/>
      <c r="AG792" s="37"/>
      <c r="AH792" s="37"/>
      <c r="AI792" s="205"/>
      <c r="AJ792" s="205"/>
      <c r="AK792" s="204"/>
      <c r="AL792" s="204"/>
      <c r="AM792" s="204"/>
    </row>
    <row r="793">
      <c r="A793" s="37"/>
      <c r="B793" s="205"/>
      <c r="C793" s="37"/>
      <c r="D793" s="206"/>
      <c r="E793" s="207"/>
      <c r="F793" s="207"/>
      <c r="G793" s="208"/>
      <c r="H793" s="208"/>
      <c r="I793" s="37"/>
      <c r="J793" s="37"/>
      <c r="K793" s="37"/>
      <c r="L793" s="37"/>
      <c r="M793" s="37"/>
      <c r="N793" s="37"/>
      <c r="O793" s="37"/>
      <c r="P793" s="37"/>
      <c r="Q793" s="37"/>
      <c r="R793" s="37"/>
      <c r="S793" s="37"/>
      <c r="T793" s="37"/>
      <c r="U793" s="37"/>
      <c r="V793" s="37"/>
      <c r="W793" s="37"/>
      <c r="X793" s="37"/>
      <c r="Y793" s="37"/>
      <c r="Z793" s="37"/>
      <c r="AA793" s="37"/>
      <c r="AB793" s="37"/>
      <c r="AC793" s="37"/>
      <c r="AD793" s="37"/>
      <c r="AE793" s="37"/>
      <c r="AF793" s="37"/>
      <c r="AG793" s="37"/>
      <c r="AH793" s="37"/>
      <c r="AI793" s="205"/>
      <c r="AJ793" s="205"/>
      <c r="AK793" s="204"/>
      <c r="AL793" s="204"/>
      <c r="AM793" s="204"/>
    </row>
    <row r="794">
      <c r="A794" s="37"/>
      <c r="B794" s="205"/>
      <c r="C794" s="37"/>
      <c r="D794" s="206"/>
      <c r="E794" s="207"/>
      <c r="F794" s="207"/>
      <c r="G794" s="208"/>
      <c r="H794" s="208"/>
      <c r="I794" s="37"/>
      <c r="J794" s="37"/>
      <c r="K794" s="37"/>
      <c r="L794" s="37"/>
      <c r="M794" s="37"/>
      <c r="N794" s="37"/>
      <c r="O794" s="37"/>
      <c r="P794" s="37"/>
      <c r="Q794" s="37"/>
      <c r="R794" s="37"/>
      <c r="S794" s="37"/>
      <c r="T794" s="37"/>
      <c r="U794" s="37"/>
      <c r="V794" s="37"/>
      <c r="W794" s="37"/>
      <c r="X794" s="37"/>
      <c r="Y794" s="37"/>
      <c r="Z794" s="37"/>
      <c r="AA794" s="37"/>
      <c r="AB794" s="37"/>
      <c r="AC794" s="37"/>
      <c r="AD794" s="37"/>
      <c r="AE794" s="37"/>
      <c r="AF794" s="37"/>
      <c r="AG794" s="37"/>
      <c r="AH794" s="37"/>
      <c r="AI794" s="205"/>
      <c r="AJ794" s="205"/>
      <c r="AK794" s="204"/>
      <c r="AL794" s="204"/>
      <c r="AM794" s="204"/>
    </row>
    <row r="795">
      <c r="A795" s="37"/>
      <c r="B795" s="205"/>
      <c r="C795" s="37"/>
      <c r="D795" s="206"/>
      <c r="E795" s="207"/>
      <c r="F795" s="207"/>
      <c r="G795" s="208"/>
      <c r="H795" s="208"/>
      <c r="I795" s="37"/>
      <c r="J795" s="37"/>
      <c r="K795" s="37"/>
      <c r="L795" s="37"/>
      <c r="M795" s="37"/>
      <c r="N795" s="37"/>
      <c r="O795" s="37"/>
      <c r="P795" s="37"/>
      <c r="Q795" s="37"/>
      <c r="R795" s="37"/>
      <c r="S795" s="37"/>
      <c r="T795" s="37"/>
      <c r="U795" s="37"/>
      <c r="V795" s="37"/>
      <c r="W795" s="37"/>
      <c r="X795" s="37"/>
      <c r="Y795" s="37"/>
      <c r="Z795" s="37"/>
      <c r="AA795" s="37"/>
      <c r="AB795" s="37"/>
      <c r="AC795" s="37"/>
      <c r="AD795" s="37"/>
      <c r="AE795" s="37"/>
      <c r="AF795" s="37"/>
      <c r="AG795" s="37"/>
      <c r="AH795" s="37"/>
      <c r="AI795" s="205"/>
      <c r="AJ795" s="205"/>
      <c r="AK795" s="204"/>
      <c r="AL795" s="204"/>
      <c r="AM795" s="204"/>
    </row>
    <row r="796">
      <c r="A796" s="37"/>
      <c r="B796" s="205"/>
      <c r="C796" s="37"/>
      <c r="D796" s="206"/>
      <c r="E796" s="207"/>
      <c r="F796" s="207"/>
      <c r="G796" s="208"/>
      <c r="H796" s="208"/>
      <c r="I796" s="37"/>
      <c r="J796" s="37"/>
      <c r="K796" s="37"/>
      <c r="L796" s="37"/>
      <c r="M796" s="37"/>
      <c r="N796" s="37"/>
      <c r="O796" s="37"/>
      <c r="P796" s="37"/>
      <c r="Q796" s="37"/>
      <c r="R796" s="37"/>
      <c r="S796" s="37"/>
      <c r="T796" s="37"/>
      <c r="U796" s="37"/>
      <c r="V796" s="37"/>
      <c r="W796" s="37"/>
      <c r="X796" s="37"/>
      <c r="Y796" s="37"/>
      <c r="Z796" s="37"/>
      <c r="AA796" s="37"/>
      <c r="AB796" s="37"/>
      <c r="AC796" s="37"/>
      <c r="AD796" s="37"/>
      <c r="AE796" s="37"/>
      <c r="AF796" s="37"/>
      <c r="AG796" s="37"/>
      <c r="AH796" s="37"/>
      <c r="AI796" s="205"/>
      <c r="AJ796" s="205"/>
      <c r="AK796" s="204"/>
      <c r="AL796" s="204"/>
      <c r="AM796" s="204"/>
    </row>
    <row r="797">
      <c r="A797" s="37"/>
      <c r="B797" s="205"/>
      <c r="C797" s="37"/>
      <c r="D797" s="206"/>
      <c r="E797" s="207"/>
      <c r="F797" s="207"/>
      <c r="G797" s="208"/>
      <c r="H797" s="208"/>
      <c r="I797" s="37"/>
      <c r="J797" s="37"/>
      <c r="K797" s="37"/>
      <c r="L797" s="37"/>
      <c r="M797" s="37"/>
      <c r="N797" s="37"/>
      <c r="O797" s="37"/>
      <c r="P797" s="37"/>
      <c r="Q797" s="37"/>
      <c r="R797" s="37"/>
      <c r="S797" s="37"/>
      <c r="T797" s="37"/>
      <c r="U797" s="37"/>
      <c r="V797" s="37"/>
      <c r="W797" s="37"/>
      <c r="X797" s="37"/>
      <c r="Y797" s="37"/>
      <c r="Z797" s="37"/>
      <c r="AA797" s="37"/>
      <c r="AB797" s="37"/>
      <c r="AC797" s="37"/>
      <c r="AD797" s="37"/>
      <c r="AE797" s="37"/>
      <c r="AF797" s="37"/>
      <c r="AG797" s="37"/>
      <c r="AH797" s="37"/>
      <c r="AI797" s="205"/>
      <c r="AJ797" s="205"/>
      <c r="AK797" s="204"/>
      <c r="AL797" s="204"/>
      <c r="AM797" s="204"/>
    </row>
    <row r="798">
      <c r="A798" s="37"/>
      <c r="B798" s="205"/>
      <c r="C798" s="37"/>
      <c r="D798" s="206"/>
      <c r="E798" s="207"/>
      <c r="F798" s="207"/>
      <c r="G798" s="208"/>
      <c r="H798" s="208"/>
      <c r="I798" s="37"/>
      <c r="J798" s="37"/>
      <c r="K798" s="37"/>
      <c r="L798" s="37"/>
      <c r="M798" s="37"/>
      <c r="N798" s="37"/>
      <c r="O798" s="37"/>
      <c r="P798" s="37"/>
      <c r="Q798" s="37"/>
      <c r="R798" s="37"/>
      <c r="S798" s="37"/>
      <c r="T798" s="37"/>
      <c r="U798" s="37"/>
      <c r="V798" s="37"/>
      <c r="W798" s="37"/>
      <c r="X798" s="37"/>
      <c r="Y798" s="37"/>
      <c r="Z798" s="37"/>
      <c r="AA798" s="37"/>
      <c r="AB798" s="37"/>
      <c r="AC798" s="37"/>
      <c r="AD798" s="37"/>
      <c r="AE798" s="37"/>
      <c r="AF798" s="37"/>
      <c r="AG798" s="37"/>
      <c r="AH798" s="37"/>
      <c r="AI798" s="205"/>
      <c r="AJ798" s="205"/>
      <c r="AK798" s="204"/>
      <c r="AL798" s="204"/>
      <c r="AM798" s="204"/>
    </row>
    <row r="799">
      <c r="A799" s="37"/>
      <c r="B799" s="205"/>
      <c r="C799" s="37"/>
      <c r="D799" s="206"/>
      <c r="E799" s="207"/>
      <c r="F799" s="207"/>
      <c r="G799" s="208"/>
      <c r="H799" s="208"/>
      <c r="I799" s="37"/>
      <c r="J799" s="37"/>
      <c r="K799" s="37"/>
      <c r="L799" s="37"/>
      <c r="M799" s="37"/>
      <c r="N799" s="37"/>
      <c r="O799" s="37"/>
      <c r="P799" s="37"/>
      <c r="Q799" s="37"/>
      <c r="R799" s="37"/>
      <c r="S799" s="37"/>
      <c r="T799" s="37"/>
      <c r="U799" s="37"/>
      <c r="V799" s="37"/>
      <c r="W799" s="37"/>
      <c r="X799" s="37"/>
      <c r="Y799" s="37"/>
      <c r="Z799" s="37"/>
      <c r="AA799" s="37"/>
      <c r="AB799" s="37"/>
      <c r="AC799" s="37"/>
      <c r="AD799" s="37"/>
      <c r="AE799" s="37"/>
      <c r="AF799" s="37"/>
      <c r="AG799" s="37"/>
      <c r="AH799" s="37"/>
      <c r="AI799" s="205"/>
      <c r="AJ799" s="205"/>
      <c r="AK799" s="204"/>
      <c r="AL799" s="204"/>
      <c r="AM799" s="204"/>
    </row>
    <row r="800">
      <c r="A800" s="37"/>
      <c r="B800" s="205"/>
      <c r="C800" s="37"/>
      <c r="D800" s="206"/>
      <c r="E800" s="207"/>
      <c r="F800" s="207"/>
      <c r="G800" s="208"/>
      <c r="H800" s="208"/>
      <c r="I800" s="37"/>
      <c r="J800" s="37"/>
      <c r="K800" s="37"/>
      <c r="L800" s="37"/>
      <c r="M800" s="37"/>
      <c r="N800" s="37"/>
      <c r="O800" s="37"/>
      <c r="P800" s="37"/>
      <c r="Q800" s="37"/>
      <c r="R800" s="37"/>
      <c r="S800" s="37"/>
      <c r="T800" s="37"/>
      <c r="U800" s="37"/>
      <c r="V800" s="37"/>
      <c r="W800" s="37"/>
      <c r="X800" s="37"/>
      <c r="Y800" s="37"/>
      <c r="Z800" s="37"/>
      <c r="AA800" s="37"/>
      <c r="AB800" s="37"/>
      <c r="AC800" s="37"/>
      <c r="AD800" s="37"/>
      <c r="AE800" s="37"/>
      <c r="AF800" s="37"/>
      <c r="AG800" s="37"/>
      <c r="AH800" s="37"/>
      <c r="AI800" s="205"/>
      <c r="AJ800" s="205"/>
      <c r="AK800" s="204"/>
      <c r="AL800" s="204"/>
      <c r="AM800" s="204"/>
    </row>
    <row r="801">
      <c r="A801" s="37"/>
      <c r="B801" s="205"/>
      <c r="C801" s="37"/>
      <c r="D801" s="206"/>
      <c r="E801" s="207"/>
      <c r="F801" s="207"/>
      <c r="G801" s="208"/>
      <c r="H801" s="208"/>
      <c r="I801" s="37"/>
      <c r="J801" s="37"/>
      <c r="K801" s="37"/>
      <c r="L801" s="37"/>
      <c r="M801" s="37"/>
      <c r="N801" s="37"/>
      <c r="O801" s="37"/>
      <c r="P801" s="37"/>
      <c r="Q801" s="37"/>
      <c r="R801" s="37"/>
      <c r="S801" s="37"/>
      <c r="T801" s="37"/>
      <c r="U801" s="37"/>
      <c r="V801" s="37"/>
      <c r="W801" s="37"/>
      <c r="X801" s="37"/>
      <c r="Y801" s="37"/>
      <c r="Z801" s="37"/>
      <c r="AA801" s="37"/>
      <c r="AB801" s="37"/>
      <c r="AC801" s="37"/>
      <c r="AD801" s="37"/>
      <c r="AE801" s="37"/>
      <c r="AF801" s="37"/>
      <c r="AG801" s="37"/>
      <c r="AH801" s="37"/>
      <c r="AI801" s="205"/>
      <c r="AJ801" s="205"/>
      <c r="AK801" s="204"/>
      <c r="AL801" s="204"/>
      <c r="AM801" s="204"/>
    </row>
    <row r="802">
      <c r="A802" s="37"/>
      <c r="B802" s="205"/>
      <c r="C802" s="37"/>
      <c r="D802" s="206"/>
      <c r="E802" s="207"/>
      <c r="F802" s="207"/>
      <c r="G802" s="208"/>
      <c r="H802" s="208"/>
      <c r="I802" s="37"/>
      <c r="J802" s="37"/>
      <c r="K802" s="37"/>
      <c r="L802" s="37"/>
      <c r="M802" s="37"/>
      <c r="N802" s="37"/>
      <c r="O802" s="37"/>
      <c r="P802" s="37"/>
      <c r="Q802" s="37"/>
      <c r="R802" s="37"/>
      <c r="S802" s="37"/>
      <c r="T802" s="37"/>
      <c r="U802" s="37"/>
      <c r="V802" s="37"/>
      <c r="W802" s="37"/>
      <c r="X802" s="37"/>
      <c r="Y802" s="37"/>
      <c r="Z802" s="37"/>
      <c r="AA802" s="37"/>
      <c r="AB802" s="37"/>
      <c r="AC802" s="37"/>
      <c r="AD802" s="37"/>
      <c r="AE802" s="37"/>
      <c r="AF802" s="37"/>
      <c r="AG802" s="37"/>
      <c r="AH802" s="37"/>
      <c r="AI802" s="205"/>
      <c r="AJ802" s="205"/>
      <c r="AK802" s="204"/>
      <c r="AL802" s="204"/>
      <c r="AM802" s="204"/>
    </row>
    <row r="803">
      <c r="A803" s="37"/>
      <c r="B803" s="205"/>
      <c r="C803" s="37"/>
      <c r="D803" s="206"/>
      <c r="E803" s="207"/>
      <c r="F803" s="207"/>
      <c r="G803" s="208"/>
      <c r="H803" s="208"/>
      <c r="I803" s="37"/>
      <c r="J803" s="37"/>
      <c r="K803" s="37"/>
      <c r="L803" s="37"/>
      <c r="M803" s="37"/>
      <c r="N803" s="37"/>
      <c r="O803" s="37"/>
      <c r="P803" s="37"/>
      <c r="Q803" s="37"/>
      <c r="R803" s="37"/>
      <c r="S803" s="37"/>
      <c r="T803" s="37"/>
      <c r="U803" s="37"/>
      <c r="V803" s="37"/>
      <c r="W803" s="37"/>
      <c r="X803" s="37"/>
      <c r="Y803" s="37"/>
      <c r="Z803" s="37"/>
      <c r="AA803" s="37"/>
      <c r="AB803" s="37"/>
      <c r="AC803" s="37"/>
      <c r="AD803" s="37"/>
      <c r="AE803" s="37"/>
      <c r="AF803" s="37"/>
      <c r="AG803" s="37"/>
      <c r="AH803" s="37"/>
      <c r="AI803" s="205"/>
      <c r="AJ803" s="205"/>
      <c r="AK803" s="204"/>
      <c r="AL803" s="204"/>
      <c r="AM803" s="204"/>
    </row>
    <row r="804">
      <c r="A804" s="37"/>
      <c r="B804" s="205"/>
      <c r="C804" s="37"/>
      <c r="D804" s="206"/>
      <c r="E804" s="207"/>
      <c r="F804" s="207"/>
      <c r="G804" s="208"/>
      <c r="H804" s="208"/>
      <c r="I804" s="37"/>
      <c r="J804" s="37"/>
      <c r="K804" s="37"/>
      <c r="L804" s="37"/>
      <c r="M804" s="37"/>
      <c r="N804" s="37"/>
      <c r="O804" s="37"/>
      <c r="P804" s="37"/>
      <c r="Q804" s="37"/>
      <c r="R804" s="37"/>
      <c r="S804" s="37"/>
      <c r="T804" s="37"/>
      <c r="U804" s="37"/>
      <c r="V804" s="37"/>
      <c r="W804" s="37"/>
      <c r="X804" s="37"/>
      <c r="Y804" s="37"/>
      <c r="Z804" s="37"/>
      <c r="AA804" s="37"/>
      <c r="AB804" s="37"/>
      <c r="AC804" s="37"/>
      <c r="AD804" s="37"/>
      <c r="AE804" s="37"/>
      <c r="AF804" s="37"/>
      <c r="AG804" s="37"/>
      <c r="AH804" s="37"/>
      <c r="AI804" s="205"/>
      <c r="AJ804" s="205"/>
      <c r="AK804" s="204"/>
      <c r="AL804" s="204"/>
      <c r="AM804" s="204"/>
    </row>
    <row r="805">
      <c r="A805" s="37"/>
      <c r="B805" s="205"/>
      <c r="C805" s="37"/>
      <c r="D805" s="206"/>
      <c r="E805" s="207"/>
      <c r="F805" s="207"/>
      <c r="G805" s="208"/>
      <c r="H805" s="208"/>
      <c r="I805" s="37"/>
      <c r="J805" s="37"/>
      <c r="K805" s="37"/>
      <c r="L805" s="37"/>
      <c r="M805" s="37"/>
      <c r="N805" s="37"/>
      <c r="O805" s="37"/>
      <c r="P805" s="37"/>
      <c r="Q805" s="37"/>
      <c r="R805" s="37"/>
      <c r="S805" s="37"/>
      <c r="T805" s="37"/>
      <c r="U805" s="37"/>
      <c r="V805" s="37"/>
      <c r="W805" s="37"/>
      <c r="X805" s="37"/>
      <c r="Y805" s="37"/>
      <c r="Z805" s="37"/>
      <c r="AA805" s="37"/>
      <c r="AB805" s="37"/>
      <c r="AC805" s="37"/>
      <c r="AD805" s="37"/>
      <c r="AE805" s="37"/>
      <c r="AF805" s="37"/>
      <c r="AG805" s="37"/>
      <c r="AH805" s="37"/>
      <c r="AI805" s="205"/>
      <c r="AJ805" s="205"/>
      <c r="AK805" s="204"/>
      <c r="AL805" s="204"/>
      <c r="AM805" s="204"/>
    </row>
    <row r="806">
      <c r="A806" s="37"/>
      <c r="B806" s="205"/>
      <c r="C806" s="37"/>
      <c r="D806" s="206"/>
      <c r="E806" s="207"/>
      <c r="F806" s="207"/>
      <c r="G806" s="208"/>
      <c r="H806" s="208"/>
      <c r="I806" s="37"/>
      <c r="J806" s="37"/>
      <c r="K806" s="37"/>
      <c r="L806" s="37"/>
      <c r="M806" s="37"/>
      <c r="N806" s="37"/>
      <c r="O806" s="37"/>
      <c r="P806" s="37"/>
      <c r="Q806" s="37"/>
      <c r="R806" s="37"/>
      <c r="S806" s="37"/>
      <c r="T806" s="37"/>
      <c r="U806" s="37"/>
      <c r="V806" s="37"/>
      <c r="W806" s="37"/>
      <c r="X806" s="37"/>
      <c r="Y806" s="37"/>
      <c r="Z806" s="37"/>
      <c r="AA806" s="37"/>
      <c r="AB806" s="37"/>
      <c r="AC806" s="37"/>
      <c r="AD806" s="37"/>
      <c r="AE806" s="37"/>
      <c r="AF806" s="37"/>
      <c r="AG806" s="37"/>
      <c r="AH806" s="37"/>
      <c r="AI806" s="205"/>
      <c r="AJ806" s="205"/>
      <c r="AK806" s="204"/>
      <c r="AL806" s="204"/>
      <c r="AM806" s="204"/>
    </row>
    <row r="807">
      <c r="A807" s="37"/>
      <c r="B807" s="205"/>
      <c r="C807" s="37"/>
      <c r="D807" s="206"/>
      <c r="E807" s="207"/>
      <c r="F807" s="207"/>
      <c r="G807" s="208"/>
      <c r="H807" s="208"/>
      <c r="I807" s="37"/>
      <c r="J807" s="37"/>
      <c r="K807" s="37"/>
      <c r="L807" s="37"/>
      <c r="M807" s="37"/>
      <c r="N807" s="37"/>
      <c r="O807" s="37"/>
      <c r="P807" s="37"/>
      <c r="Q807" s="37"/>
      <c r="R807" s="37"/>
      <c r="S807" s="37"/>
      <c r="T807" s="37"/>
      <c r="U807" s="37"/>
      <c r="V807" s="37"/>
      <c r="W807" s="37"/>
      <c r="X807" s="37"/>
      <c r="Y807" s="37"/>
      <c r="Z807" s="37"/>
      <c r="AA807" s="37"/>
      <c r="AB807" s="37"/>
      <c r="AC807" s="37"/>
      <c r="AD807" s="37"/>
      <c r="AE807" s="37"/>
      <c r="AF807" s="37"/>
      <c r="AG807" s="37"/>
      <c r="AH807" s="37"/>
      <c r="AI807" s="205"/>
      <c r="AJ807" s="205"/>
      <c r="AK807" s="204"/>
      <c r="AL807" s="204"/>
      <c r="AM807" s="204"/>
    </row>
    <row r="808">
      <c r="A808" s="37"/>
      <c r="B808" s="205"/>
      <c r="C808" s="37"/>
      <c r="D808" s="206"/>
      <c r="E808" s="207"/>
      <c r="F808" s="207"/>
      <c r="G808" s="208"/>
      <c r="H808" s="208"/>
      <c r="I808" s="37"/>
      <c r="J808" s="37"/>
      <c r="K808" s="37"/>
      <c r="L808" s="37"/>
      <c r="M808" s="37"/>
      <c r="N808" s="37"/>
      <c r="O808" s="37"/>
      <c r="P808" s="37"/>
      <c r="Q808" s="37"/>
      <c r="R808" s="37"/>
      <c r="S808" s="37"/>
      <c r="T808" s="37"/>
      <c r="U808" s="37"/>
      <c r="V808" s="37"/>
      <c r="W808" s="37"/>
      <c r="X808" s="37"/>
      <c r="Y808" s="37"/>
      <c r="Z808" s="37"/>
      <c r="AA808" s="37"/>
      <c r="AB808" s="37"/>
      <c r="AC808" s="37"/>
      <c r="AD808" s="37"/>
      <c r="AE808" s="37"/>
      <c r="AF808" s="37"/>
      <c r="AG808" s="37"/>
      <c r="AH808" s="37"/>
      <c r="AI808" s="205"/>
      <c r="AJ808" s="205"/>
      <c r="AK808" s="204"/>
      <c r="AL808" s="204"/>
      <c r="AM808" s="204"/>
    </row>
    <row r="809">
      <c r="A809" s="37"/>
      <c r="B809" s="205"/>
      <c r="C809" s="37"/>
      <c r="D809" s="206"/>
      <c r="E809" s="207"/>
      <c r="F809" s="207"/>
      <c r="G809" s="208"/>
      <c r="H809" s="208"/>
      <c r="I809" s="37"/>
      <c r="J809" s="37"/>
      <c r="K809" s="37"/>
      <c r="L809" s="37"/>
      <c r="M809" s="37"/>
      <c r="N809" s="37"/>
      <c r="O809" s="37"/>
      <c r="P809" s="37"/>
      <c r="Q809" s="37"/>
      <c r="R809" s="37"/>
      <c r="S809" s="37"/>
      <c r="T809" s="37"/>
      <c r="U809" s="37"/>
      <c r="V809" s="37"/>
      <c r="W809" s="37"/>
      <c r="X809" s="37"/>
      <c r="Y809" s="37"/>
      <c r="Z809" s="37"/>
      <c r="AA809" s="37"/>
      <c r="AB809" s="37"/>
      <c r="AC809" s="37"/>
      <c r="AD809" s="37"/>
      <c r="AE809" s="37"/>
      <c r="AF809" s="37"/>
      <c r="AG809" s="37"/>
      <c r="AH809" s="37"/>
      <c r="AI809" s="205"/>
      <c r="AJ809" s="205"/>
      <c r="AK809" s="204"/>
      <c r="AL809" s="204"/>
      <c r="AM809" s="204"/>
    </row>
    <row r="810">
      <c r="A810" s="37"/>
      <c r="B810" s="205"/>
      <c r="C810" s="37"/>
      <c r="D810" s="206"/>
      <c r="E810" s="207"/>
      <c r="F810" s="207"/>
      <c r="G810" s="208"/>
      <c r="H810" s="208"/>
      <c r="I810" s="37"/>
      <c r="J810" s="37"/>
      <c r="K810" s="37"/>
      <c r="L810" s="37"/>
      <c r="M810" s="37"/>
      <c r="N810" s="37"/>
      <c r="O810" s="37"/>
      <c r="P810" s="37"/>
      <c r="Q810" s="37"/>
      <c r="R810" s="37"/>
      <c r="S810" s="37"/>
      <c r="T810" s="37"/>
      <c r="U810" s="37"/>
      <c r="V810" s="37"/>
      <c r="W810" s="37"/>
      <c r="X810" s="37"/>
      <c r="Y810" s="37"/>
      <c r="Z810" s="37"/>
      <c r="AA810" s="37"/>
      <c r="AB810" s="37"/>
      <c r="AC810" s="37"/>
      <c r="AD810" s="37"/>
      <c r="AE810" s="37"/>
      <c r="AF810" s="37"/>
      <c r="AG810" s="37"/>
      <c r="AH810" s="37"/>
      <c r="AI810" s="205"/>
      <c r="AJ810" s="205"/>
      <c r="AK810" s="204"/>
      <c r="AL810" s="204"/>
      <c r="AM810" s="204"/>
    </row>
    <row r="811">
      <c r="A811" s="37"/>
      <c r="B811" s="205"/>
      <c r="C811" s="37"/>
      <c r="D811" s="206"/>
      <c r="E811" s="207"/>
      <c r="F811" s="207"/>
      <c r="G811" s="208"/>
      <c r="H811" s="208"/>
      <c r="I811" s="37"/>
      <c r="J811" s="37"/>
      <c r="K811" s="37"/>
      <c r="L811" s="37"/>
      <c r="M811" s="37"/>
      <c r="N811" s="37"/>
      <c r="O811" s="37"/>
      <c r="P811" s="37"/>
      <c r="Q811" s="37"/>
      <c r="R811" s="37"/>
      <c r="S811" s="37"/>
      <c r="T811" s="37"/>
      <c r="U811" s="37"/>
      <c r="V811" s="37"/>
      <c r="W811" s="37"/>
      <c r="X811" s="37"/>
      <c r="Y811" s="37"/>
      <c r="Z811" s="37"/>
      <c r="AA811" s="37"/>
      <c r="AB811" s="37"/>
      <c r="AC811" s="37"/>
      <c r="AD811" s="37"/>
      <c r="AE811" s="37"/>
      <c r="AF811" s="37"/>
      <c r="AG811" s="37"/>
      <c r="AH811" s="37"/>
      <c r="AI811" s="205"/>
      <c r="AJ811" s="205"/>
      <c r="AK811" s="204"/>
      <c r="AL811" s="204"/>
      <c r="AM811" s="204"/>
    </row>
    <row r="812">
      <c r="A812" s="37"/>
      <c r="B812" s="205"/>
      <c r="C812" s="37"/>
      <c r="D812" s="206"/>
      <c r="E812" s="207"/>
      <c r="F812" s="207"/>
      <c r="G812" s="208"/>
      <c r="H812" s="208"/>
      <c r="I812" s="37"/>
      <c r="J812" s="37"/>
      <c r="K812" s="37"/>
      <c r="L812" s="37"/>
      <c r="M812" s="37"/>
      <c r="N812" s="37"/>
      <c r="O812" s="37"/>
      <c r="P812" s="37"/>
      <c r="Q812" s="37"/>
      <c r="R812" s="37"/>
      <c r="S812" s="37"/>
      <c r="T812" s="37"/>
      <c r="U812" s="37"/>
      <c r="V812" s="37"/>
      <c r="W812" s="37"/>
      <c r="X812" s="37"/>
      <c r="Y812" s="37"/>
      <c r="Z812" s="37"/>
      <c r="AA812" s="37"/>
      <c r="AB812" s="37"/>
      <c r="AC812" s="37"/>
      <c r="AD812" s="37"/>
      <c r="AE812" s="37"/>
      <c r="AF812" s="37"/>
      <c r="AG812" s="37"/>
      <c r="AH812" s="37"/>
      <c r="AI812" s="205"/>
      <c r="AJ812" s="205"/>
      <c r="AK812" s="204"/>
      <c r="AL812" s="204"/>
      <c r="AM812" s="204"/>
    </row>
    <row r="813">
      <c r="A813" s="37"/>
      <c r="B813" s="205"/>
      <c r="C813" s="37"/>
      <c r="D813" s="206"/>
      <c r="E813" s="207"/>
      <c r="F813" s="207"/>
      <c r="G813" s="208"/>
      <c r="H813" s="208"/>
      <c r="I813" s="37"/>
      <c r="J813" s="37"/>
      <c r="K813" s="37"/>
      <c r="L813" s="37"/>
      <c r="M813" s="37"/>
      <c r="N813" s="37"/>
      <c r="O813" s="37"/>
      <c r="P813" s="37"/>
      <c r="Q813" s="37"/>
      <c r="R813" s="37"/>
      <c r="S813" s="37"/>
      <c r="T813" s="37"/>
      <c r="U813" s="37"/>
      <c r="V813" s="37"/>
      <c r="W813" s="37"/>
      <c r="X813" s="37"/>
      <c r="Y813" s="37"/>
      <c r="Z813" s="37"/>
      <c r="AA813" s="37"/>
      <c r="AB813" s="37"/>
      <c r="AC813" s="37"/>
      <c r="AD813" s="37"/>
      <c r="AE813" s="37"/>
      <c r="AF813" s="37"/>
      <c r="AG813" s="37"/>
      <c r="AH813" s="37"/>
      <c r="AI813" s="205"/>
      <c r="AJ813" s="205"/>
      <c r="AK813" s="204"/>
      <c r="AL813" s="204"/>
      <c r="AM813" s="204"/>
    </row>
    <row r="814">
      <c r="A814" s="37"/>
      <c r="B814" s="205"/>
      <c r="C814" s="37"/>
      <c r="D814" s="206"/>
      <c r="E814" s="207"/>
      <c r="F814" s="207"/>
      <c r="G814" s="208"/>
      <c r="H814" s="208"/>
      <c r="I814" s="37"/>
      <c r="J814" s="37"/>
      <c r="K814" s="37"/>
      <c r="L814" s="37"/>
      <c r="M814" s="37"/>
      <c r="N814" s="37"/>
      <c r="O814" s="37"/>
      <c r="P814" s="37"/>
      <c r="Q814" s="37"/>
      <c r="R814" s="37"/>
      <c r="S814" s="37"/>
      <c r="T814" s="37"/>
      <c r="U814" s="37"/>
      <c r="V814" s="37"/>
      <c r="W814" s="37"/>
      <c r="X814" s="37"/>
      <c r="Y814" s="37"/>
      <c r="Z814" s="37"/>
      <c r="AA814" s="37"/>
      <c r="AB814" s="37"/>
      <c r="AC814" s="37"/>
      <c r="AD814" s="37"/>
      <c r="AE814" s="37"/>
      <c r="AF814" s="37"/>
      <c r="AG814" s="37"/>
      <c r="AH814" s="37"/>
      <c r="AI814" s="205"/>
      <c r="AJ814" s="205"/>
      <c r="AK814" s="204"/>
      <c r="AL814" s="204"/>
      <c r="AM814" s="204"/>
    </row>
    <row r="815">
      <c r="A815" s="37"/>
      <c r="B815" s="205"/>
      <c r="C815" s="37"/>
      <c r="D815" s="206"/>
      <c r="E815" s="207"/>
      <c r="F815" s="207"/>
      <c r="G815" s="208"/>
      <c r="H815" s="208"/>
      <c r="I815" s="37"/>
      <c r="J815" s="37"/>
      <c r="K815" s="37"/>
      <c r="L815" s="37"/>
      <c r="M815" s="37"/>
      <c r="N815" s="37"/>
      <c r="O815" s="37"/>
      <c r="P815" s="37"/>
      <c r="Q815" s="37"/>
      <c r="R815" s="37"/>
      <c r="S815" s="37"/>
      <c r="T815" s="37"/>
      <c r="U815" s="37"/>
      <c r="V815" s="37"/>
      <c r="W815" s="37"/>
      <c r="X815" s="37"/>
      <c r="Y815" s="37"/>
      <c r="Z815" s="37"/>
      <c r="AA815" s="37"/>
      <c r="AB815" s="37"/>
      <c r="AC815" s="37"/>
      <c r="AD815" s="37"/>
      <c r="AE815" s="37"/>
      <c r="AF815" s="37"/>
      <c r="AG815" s="37"/>
      <c r="AH815" s="37"/>
      <c r="AI815" s="205"/>
      <c r="AJ815" s="205"/>
      <c r="AK815" s="204"/>
      <c r="AL815" s="204"/>
      <c r="AM815" s="204"/>
    </row>
    <row r="816">
      <c r="A816" s="37"/>
      <c r="B816" s="205"/>
      <c r="C816" s="37"/>
      <c r="D816" s="206"/>
      <c r="E816" s="207"/>
      <c r="F816" s="207"/>
      <c r="G816" s="208"/>
      <c r="H816" s="208"/>
      <c r="I816" s="37"/>
      <c r="J816" s="37"/>
      <c r="K816" s="37"/>
      <c r="L816" s="37"/>
      <c r="M816" s="37"/>
      <c r="N816" s="37"/>
      <c r="O816" s="37"/>
      <c r="P816" s="37"/>
      <c r="Q816" s="37"/>
      <c r="R816" s="37"/>
      <c r="S816" s="37"/>
      <c r="T816" s="37"/>
      <c r="U816" s="37"/>
      <c r="V816" s="37"/>
      <c r="W816" s="37"/>
      <c r="X816" s="37"/>
      <c r="Y816" s="37"/>
      <c r="Z816" s="37"/>
      <c r="AA816" s="37"/>
      <c r="AB816" s="37"/>
      <c r="AC816" s="37"/>
      <c r="AD816" s="37"/>
      <c r="AE816" s="37"/>
      <c r="AF816" s="37"/>
      <c r="AG816" s="37"/>
      <c r="AH816" s="37"/>
      <c r="AI816" s="205"/>
      <c r="AJ816" s="205"/>
      <c r="AK816" s="204"/>
      <c r="AL816" s="204"/>
      <c r="AM816" s="204"/>
    </row>
    <row r="817">
      <c r="A817" s="37"/>
      <c r="B817" s="205"/>
      <c r="C817" s="37"/>
      <c r="D817" s="206"/>
      <c r="E817" s="207"/>
      <c r="F817" s="207"/>
      <c r="G817" s="208"/>
      <c r="H817" s="208"/>
      <c r="I817" s="37"/>
      <c r="J817" s="37"/>
      <c r="K817" s="37"/>
      <c r="L817" s="37"/>
      <c r="M817" s="37"/>
      <c r="N817" s="37"/>
      <c r="O817" s="37"/>
      <c r="P817" s="37"/>
      <c r="Q817" s="37"/>
      <c r="R817" s="37"/>
      <c r="S817" s="37"/>
      <c r="T817" s="37"/>
      <c r="U817" s="37"/>
      <c r="V817" s="37"/>
      <c r="W817" s="37"/>
      <c r="X817" s="37"/>
      <c r="Y817" s="37"/>
      <c r="Z817" s="37"/>
      <c r="AA817" s="37"/>
      <c r="AB817" s="37"/>
      <c r="AC817" s="37"/>
      <c r="AD817" s="37"/>
      <c r="AE817" s="37"/>
      <c r="AF817" s="37"/>
      <c r="AG817" s="37"/>
      <c r="AH817" s="37"/>
      <c r="AI817" s="205"/>
      <c r="AJ817" s="205"/>
      <c r="AK817" s="204"/>
      <c r="AL817" s="204"/>
      <c r="AM817" s="204"/>
    </row>
    <row r="818">
      <c r="A818" s="37"/>
      <c r="B818" s="205"/>
      <c r="C818" s="37"/>
      <c r="D818" s="206"/>
      <c r="E818" s="207"/>
      <c r="F818" s="207"/>
      <c r="G818" s="208"/>
      <c r="H818" s="208"/>
      <c r="I818" s="37"/>
      <c r="J818" s="37"/>
      <c r="K818" s="37"/>
      <c r="L818" s="37"/>
      <c r="M818" s="37"/>
      <c r="N818" s="37"/>
      <c r="O818" s="37"/>
      <c r="P818" s="37"/>
      <c r="Q818" s="37"/>
      <c r="R818" s="37"/>
      <c r="S818" s="37"/>
      <c r="T818" s="37"/>
      <c r="U818" s="37"/>
      <c r="V818" s="37"/>
      <c r="W818" s="37"/>
      <c r="X818" s="37"/>
      <c r="Y818" s="37"/>
      <c r="Z818" s="37"/>
      <c r="AA818" s="37"/>
      <c r="AB818" s="37"/>
      <c r="AC818" s="37"/>
      <c r="AD818" s="37"/>
      <c r="AE818" s="37"/>
      <c r="AF818" s="37"/>
      <c r="AG818" s="37"/>
      <c r="AH818" s="37"/>
      <c r="AI818" s="205"/>
      <c r="AJ818" s="205"/>
      <c r="AK818" s="204"/>
      <c r="AL818" s="204"/>
      <c r="AM818" s="204"/>
    </row>
    <row r="819">
      <c r="A819" s="37"/>
      <c r="B819" s="205"/>
      <c r="C819" s="37"/>
      <c r="D819" s="206"/>
      <c r="E819" s="207"/>
      <c r="F819" s="207"/>
      <c r="G819" s="208"/>
      <c r="H819" s="208"/>
      <c r="I819" s="37"/>
      <c r="J819" s="37"/>
      <c r="K819" s="37"/>
      <c r="L819" s="37"/>
      <c r="M819" s="37"/>
      <c r="N819" s="37"/>
      <c r="O819" s="37"/>
      <c r="P819" s="37"/>
      <c r="Q819" s="37"/>
      <c r="R819" s="37"/>
      <c r="S819" s="37"/>
      <c r="T819" s="37"/>
      <c r="U819" s="37"/>
      <c r="V819" s="37"/>
      <c r="W819" s="37"/>
      <c r="X819" s="37"/>
      <c r="Y819" s="37"/>
      <c r="Z819" s="37"/>
      <c r="AA819" s="37"/>
      <c r="AB819" s="37"/>
      <c r="AC819" s="37"/>
      <c r="AD819" s="37"/>
      <c r="AE819" s="37"/>
      <c r="AF819" s="37"/>
      <c r="AG819" s="37"/>
      <c r="AH819" s="37"/>
      <c r="AI819" s="205"/>
      <c r="AJ819" s="205"/>
      <c r="AK819" s="204"/>
      <c r="AL819" s="204"/>
      <c r="AM819" s="204"/>
    </row>
    <row r="820">
      <c r="A820" s="37"/>
      <c r="B820" s="205"/>
      <c r="C820" s="37"/>
      <c r="D820" s="206"/>
      <c r="E820" s="207"/>
      <c r="F820" s="207"/>
      <c r="G820" s="208"/>
      <c r="H820" s="208"/>
      <c r="I820" s="37"/>
      <c r="J820" s="37"/>
      <c r="K820" s="37"/>
      <c r="L820" s="37"/>
      <c r="M820" s="37"/>
      <c r="N820" s="37"/>
      <c r="O820" s="37"/>
      <c r="P820" s="37"/>
      <c r="Q820" s="37"/>
      <c r="R820" s="37"/>
      <c r="S820" s="37"/>
      <c r="T820" s="37"/>
      <c r="U820" s="37"/>
      <c r="V820" s="37"/>
      <c r="W820" s="37"/>
      <c r="X820" s="37"/>
      <c r="Y820" s="37"/>
      <c r="Z820" s="37"/>
      <c r="AA820" s="37"/>
      <c r="AB820" s="37"/>
      <c r="AC820" s="37"/>
      <c r="AD820" s="37"/>
      <c r="AE820" s="37"/>
      <c r="AF820" s="37"/>
      <c r="AG820" s="37"/>
      <c r="AH820" s="37"/>
      <c r="AI820" s="205"/>
      <c r="AJ820" s="205"/>
      <c r="AK820" s="204"/>
      <c r="AL820" s="204"/>
      <c r="AM820" s="204"/>
    </row>
    <row r="821">
      <c r="A821" s="37"/>
      <c r="B821" s="205"/>
      <c r="C821" s="37"/>
      <c r="D821" s="206"/>
      <c r="E821" s="207"/>
      <c r="F821" s="207"/>
      <c r="G821" s="208"/>
      <c r="H821" s="208"/>
      <c r="I821" s="37"/>
      <c r="J821" s="37"/>
      <c r="K821" s="37"/>
      <c r="L821" s="37"/>
      <c r="M821" s="37"/>
      <c r="N821" s="37"/>
      <c r="O821" s="37"/>
      <c r="P821" s="37"/>
      <c r="Q821" s="37"/>
      <c r="R821" s="37"/>
      <c r="S821" s="37"/>
      <c r="T821" s="37"/>
      <c r="U821" s="37"/>
      <c r="V821" s="37"/>
      <c r="W821" s="37"/>
      <c r="X821" s="37"/>
      <c r="Y821" s="37"/>
      <c r="Z821" s="37"/>
      <c r="AA821" s="37"/>
      <c r="AB821" s="37"/>
      <c r="AC821" s="37"/>
      <c r="AD821" s="37"/>
      <c r="AE821" s="37"/>
      <c r="AF821" s="37"/>
      <c r="AG821" s="37"/>
      <c r="AH821" s="37"/>
      <c r="AI821" s="205"/>
      <c r="AJ821" s="205"/>
      <c r="AK821" s="204"/>
      <c r="AL821" s="204"/>
      <c r="AM821" s="204"/>
    </row>
    <row r="822">
      <c r="A822" s="37"/>
      <c r="B822" s="205"/>
      <c r="C822" s="37"/>
      <c r="D822" s="206"/>
      <c r="E822" s="207"/>
      <c r="F822" s="207"/>
      <c r="G822" s="208"/>
      <c r="H822" s="208"/>
      <c r="I822" s="37"/>
      <c r="J822" s="37"/>
      <c r="K822" s="37"/>
      <c r="L822" s="37"/>
      <c r="M822" s="37"/>
      <c r="N822" s="37"/>
      <c r="O822" s="37"/>
      <c r="P822" s="37"/>
      <c r="Q822" s="37"/>
      <c r="R822" s="37"/>
      <c r="S822" s="37"/>
      <c r="T822" s="37"/>
      <c r="U822" s="37"/>
      <c r="V822" s="37"/>
      <c r="W822" s="37"/>
      <c r="X822" s="37"/>
      <c r="Y822" s="37"/>
      <c r="Z822" s="37"/>
      <c r="AA822" s="37"/>
      <c r="AB822" s="37"/>
      <c r="AC822" s="37"/>
      <c r="AD822" s="37"/>
      <c r="AE822" s="37"/>
      <c r="AF822" s="37"/>
      <c r="AG822" s="37"/>
      <c r="AH822" s="37"/>
      <c r="AI822" s="205"/>
      <c r="AJ822" s="205"/>
      <c r="AK822" s="204"/>
      <c r="AL822" s="204"/>
      <c r="AM822" s="204"/>
    </row>
    <row r="823">
      <c r="A823" s="37"/>
      <c r="B823" s="205"/>
      <c r="C823" s="37"/>
      <c r="D823" s="206"/>
      <c r="E823" s="207"/>
      <c r="F823" s="207"/>
      <c r="G823" s="208"/>
      <c r="H823" s="208"/>
      <c r="I823" s="37"/>
      <c r="J823" s="37"/>
      <c r="K823" s="37"/>
      <c r="L823" s="37"/>
      <c r="M823" s="37"/>
      <c r="N823" s="37"/>
      <c r="O823" s="37"/>
      <c r="P823" s="37"/>
      <c r="Q823" s="37"/>
      <c r="R823" s="37"/>
      <c r="S823" s="37"/>
      <c r="T823" s="37"/>
      <c r="U823" s="37"/>
      <c r="V823" s="37"/>
      <c r="W823" s="37"/>
      <c r="X823" s="37"/>
      <c r="Y823" s="37"/>
      <c r="Z823" s="37"/>
      <c r="AA823" s="37"/>
      <c r="AB823" s="37"/>
      <c r="AC823" s="37"/>
      <c r="AD823" s="37"/>
      <c r="AE823" s="37"/>
      <c r="AF823" s="37"/>
      <c r="AG823" s="37"/>
      <c r="AH823" s="37"/>
      <c r="AI823" s="205"/>
      <c r="AJ823" s="205"/>
      <c r="AK823" s="204"/>
      <c r="AL823" s="204"/>
      <c r="AM823" s="204"/>
    </row>
    <row r="824">
      <c r="A824" s="37"/>
      <c r="B824" s="205"/>
      <c r="C824" s="37"/>
      <c r="D824" s="206"/>
      <c r="E824" s="207"/>
      <c r="F824" s="207"/>
      <c r="G824" s="208"/>
      <c r="H824" s="208"/>
      <c r="I824" s="37"/>
      <c r="J824" s="37"/>
      <c r="K824" s="37"/>
      <c r="L824" s="37"/>
      <c r="M824" s="37"/>
      <c r="N824" s="37"/>
      <c r="O824" s="37"/>
      <c r="P824" s="37"/>
      <c r="Q824" s="37"/>
      <c r="R824" s="37"/>
      <c r="S824" s="37"/>
      <c r="T824" s="37"/>
      <c r="U824" s="37"/>
      <c r="V824" s="37"/>
      <c r="W824" s="37"/>
      <c r="X824" s="37"/>
      <c r="Y824" s="37"/>
      <c r="Z824" s="37"/>
      <c r="AA824" s="37"/>
      <c r="AB824" s="37"/>
      <c r="AC824" s="37"/>
      <c r="AD824" s="37"/>
      <c r="AE824" s="37"/>
      <c r="AF824" s="37"/>
      <c r="AG824" s="37"/>
      <c r="AH824" s="37"/>
      <c r="AI824" s="205"/>
      <c r="AJ824" s="205"/>
      <c r="AK824" s="204"/>
      <c r="AL824" s="204"/>
      <c r="AM824" s="204"/>
    </row>
    <row r="825">
      <c r="A825" s="37"/>
      <c r="B825" s="205"/>
      <c r="C825" s="37"/>
      <c r="D825" s="206"/>
      <c r="E825" s="207"/>
      <c r="F825" s="207"/>
      <c r="G825" s="208"/>
      <c r="H825" s="208"/>
      <c r="I825" s="37"/>
      <c r="J825" s="37"/>
      <c r="K825" s="37"/>
      <c r="L825" s="37"/>
      <c r="M825" s="37"/>
      <c r="N825" s="37"/>
      <c r="O825" s="37"/>
      <c r="P825" s="37"/>
      <c r="Q825" s="37"/>
      <c r="R825" s="37"/>
      <c r="S825" s="37"/>
      <c r="T825" s="37"/>
      <c r="U825" s="37"/>
      <c r="V825" s="37"/>
      <c r="W825" s="37"/>
      <c r="X825" s="37"/>
      <c r="Y825" s="37"/>
      <c r="Z825" s="37"/>
      <c r="AA825" s="37"/>
      <c r="AB825" s="37"/>
      <c r="AC825" s="37"/>
      <c r="AD825" s="37"/>
      <c r="AE825" s="37"/>
      <c r="AF825" s="37"/>
      <c r="AG825" s="37"/>
      <c r="AH825" s="37"/>
      <c r="AI825" s="205"/>
      <c r="AJ825" s="205"/>
      <c r="AK825" s="204"/>
      <c r="AL825" s="204"/>
      <c r="AM825" s="204"/>
    </row>
    <row r="826">
      <c r="A826" s="37"/>
      <c r="B826" s="205"/>
      <c r="C826" s="37"/>
      <c r="D826" s="206"/>
      <c r="E826" s="207"/>
      <c r="F826" s="207"/>
      <c r="G826" s="208"/>
      <c r="H826" s="208"/>
      <c r="I826" s="37"/>
      <c r="J826" s="37"/>
      <c r="K826" s="37"/>
      <c r="L826" s="37"/>
      <c r="M826" s="37"/>
      <c r="N826" s="37"/>
      <c r="O826" s="37"/>
      <c r="P826" s="37"/>
      <c r="Q826" s="37"/>
      <c r="R826" s="37"/>
      <c r="S826" s="37"/>
      <c r="T826" s="37"/>
      <c r="U826" s="37"/>
      <c r="V826" s="37"/>
      <c r="W826" s="37"/>
      <c r="X826" s="37"/>
      <c r="Y826" s="37"/>
      <c r="Z826" s="37"/>
      <c r="AA826" s="37"/>
      <c r="AB826" s="37"/>
      <c r="AC826" s="37"/>
      <c r="AD826" s="37"/>
      <c r="AE826" s="37"/>
      <c r="AF826" s="37"/>
      <c r="AG826" s="37"/>
      <c r="AH826" s="37"/>
      <c r="AI826" s="205"/>
      <c r="AJ826" s="205"/>
      <c r="AK826" s="204"/>
      <c r="AL826" s="204"/>
      <c r="AM826" s="204"/>
    </row>
    <row r="827">
      <c r="A827" s="37"/>
      <c r="B827" s="205"/>
      <c r="C827" s="37"/>
      <c r="D827" s="206"/>
      <c r="E827" s="207"/>
      <c r="F827" s="207"/>
      <c r="G827" s="208"/>
      <c r="H827" s="208"/>
      <c r="I827" s="37"/>
      <c r="J827" s="37"/>
      <c r="K827" s="37"/>
      <c r="L827" s="37"/>
      <c r="M827" s="37"/>
      <c r="N827" s="37"/>
      <c r="O827" s="37"/>
      <c r="P827" s="37"/>
      <c r="Q827" s="37"/>
      <c r="R827" s="37"/>
      <c r="S827" s="37"/>
      <c r="T827" s="37"/>
      <c r="U827" s="37"/>
      <c r="V827" s="37"/>
      <c r="W827" s="37"/>
      <c r="X827" s="37"/>
      <c r="Y827" s="37"/>
      <c r="Z827" s="37"/>
      <c r="AA827" s="37"/>
      <c r="AB827" s="37"/>
      <c r="AC827" s="37"/>
      <c r="AD827" s="37"/>
      <c r="AE827" s="37"/>
      <c r="AF827" s="37"/>
      <c r="AG827" s="37"/>
      <c r="AH827" s="37"/>
      <c r="AI827" s="205"/>
      <c r="AJ827" s="205"/>
      <c r="AK827" s="204"/>
      <c r="AL827" s="204"/>
      <c r="AM827" s="204"/>
    </row>
    <row r="828">
      <c r="A828" s="37"/>
      <c r="B828" s="205"/>
      <c r="C828" s="37"/>
      <c r="D828" s="206"/>
      <c r="E828" s="207"/>
      <c r="F828" s="207"/>
      <c r="G828" s="208"/>
      <c r="H828" s="208"/>
      <c r="I828" s="37"/>
      <c r="J828" s="37"/>
      <c r="K828" s="37"/>
      <c r="L828" s="37"/>
      <c r="M828" s="37"/>
      <c r="N828" s="37"/>
      <c r="O828" s="37"/>
      <c r="P828" s="37"/>
      <c r="Q828" s="37"/>
      <c r="R828" s="37"/>
      <c r="S828" s="37"/>
      <c r="T828" s="37"/>
      <c r="U828" s="37"/>
      <c r="V828" s="37"/>
      <c r="W828" s="37"/>
      <c r="X828" s="37"/>
      <c r="Y828" s="37"/>
      <c r="Z828" s="37"/>
      <c r="AA828" s="37"/>
      <c r="AB828" s="37"/>
      <c r="AC828" s="37"/>
      <c r="AD828" s="37"/>
      <c r="AE828" s="37"/>
      <c r="AF828" s="37"/>
      <c r="AG828" s="37"/>
      <c r="AH828" s="37"/>
      <c r="AI828" s="205"/>
      <c r="AJ828" s="205"/>
      <c r="AK828" s="204"/>
      <c r="AL828" s="204"/>
      <c r="AM828" s="204"/>
    </row>
    <row r="829">
      <c r="A829" s="37"/>
      <c r="B829" s="205"/>
      <c r="C829" s="37"/>
      <c r="D829" s="206"/>
      <c r="E829" s="207"/>
      <c r="F829" s="207"/>
      <c r="G829" s="208"/>
      <c r="H829" s="208"/>
      <c r="I829" s="37"/>
      <c r="J829" s="37"/>
      <c r="K829" s="37"/>
      <c r="L829" s="37"/>
      <c r="M829" s="37"/>
      <c r="N829" s="37"/>
      <c r="O829" s="37"/>
      <c r="P829" s="37"/>
      <c r="Q829" s="37"/>
      <c r="R829" s="37"/>
      <c r="S829" s="37"/>
      <c r="T829" s="37"/>
      <c r="U829" s="37"/>
      <c r="V829" s="37"/>
      <c r="W829" s="37"/>
      <c r="X829" s="37"/>
      <c r="Y829" s="37"/>
      <c r="Z829" s="37"/>
      <c r="AA829" s="37"/>
      <c r="AB829" s="37"/>
      <c r="AC829" s="37"/>
      <c r="AD829" s="37"/>
      <c r="AE829" s="37"/>
      <c r="AF829" s="37"/>
      <c r="AG829" s="37"/>
      <c r="AH829" s="37"/>
      <c r="AI829" s="205"/>
      <c r="AJ829" s="205"/>
      <c r="AK829" s="204"/>
      <c r="AL829" s="204"/>
      <c r="AM829" s="204"/>
    </row>
    <row r="830">
      <c r="A830" s="37"/>
      <c r="B830" s="205"/>
      <c r="C830" s="37"/>
      <c r="D830" s="206"/>
      <c r="E830" s="207"/>
      <c r="F830" s="207"/>
      <c r="G830" s="208"/>
      <c r="H830" s="208"/>
      <c r="I830" s="37"/>
      <c r="J830" s="37"/>
      <c r="K830" s="37"/>
      <c r="L830" s="37"/>
      <c r="M830" s="37"/>
      <c r="N830" s="37"/>
      <c r="O830" s="37"/>
      <c r="P830" s="37"/>
      <c r="Q830" s="37"/>
      <c r="R830" s="37"/>
      <c r="S830" s="37"/>
      <c r="T830" s="37"/>
      <c r="U830" s="37"/>
      <c r="V830" s="37"/>
      <c r="W830" s="37"/>
      <c r="X830" s="37"/>
      <c r="Y830" s="37"/>
      <c r="Z830" s="37"/>
      <c r="AA830" s="37"/>
      <c r="AB830" s="37"/>
      <c r="AC830" s="37"/>
      <c r="AD830" s="37"/>
      <c r="AE830" s="37"/>
      <c r="AF830" s="37"/>
      <c r="AG830" s="37"/>
      <c r="AH830" s="37"/>
      <c r="AI830" s="205"/>
      <c r="AJ830" s="205"/>
      <c r="AK830" s="204"/>
      <c r="AL830" s="204"/>
      <c r="AM830" s="204"/>
    </row>
    <row r="831">
      <c r="A831" s="37"/>
      <c r="B831" s="205"/>
      <c r="C831" s="37"/>
      <c r="D831" s="206"/>
      <c r="E831" s="207"/>
      <c r="F831" s="207"/>
      <c r="G831" s="208"/>
      <c r="H831" s="208"/>
      <c r="I831" s="37"/>
      <c r="J831" s="37"/>
      <c r="K831" s="37"/>
      <c r="L831" s="37"/>
      <c r="M831" s="37"/>
      <c r="N831" s="37"/>
      <c r="O831" s="37"/>
      <c r="P831" s="37"/>
      <c r="Q831" s="37"/>
      <c r="R831" s="37"/>
      <c r="S831" s="37"/>
      <c r="T831" s="37"/>
      <c r="U831" s="37"/>
      <c r="V831" s="37"/>
      <c r="W831" s="37"/>
      <c r="X831" s="37"/>
      <c r="Y831" s="37"/>
      <c r="Z831" s="37"/>
      <c r="AA831" s="37"/>
      <c r="AB831" s="37"/>
      <c r="AC831" s="37"/>
      <c r="AD831" s="37"/>
      <c r="AE831" s="37"/>
      <c r="AF831" s="37"/>
      <c r="AG831" s="37"/>
      <c r="AH831" s="37"/>
      <c r="AI831" s="205"/>
      <c r="AJ831" s="205"/>
      <c r="AK831" s="204"/>
      <c r="AL831" s="204"/>
      <c r="AM831" s="204"/>
    </row>
    <row r="832">
      <c r="A832" s="37"/>
      <c r="B832" s="205"/>
      <c r="C832" s="37"/>
      <c r="D832" s="206"/>
      <c r="E832" s="207"/>
      <c r="F832" s="207"/>
      <c r="G832" s="208"/>
      <c r="H832" s="208"/>
      <c r="I832" s="37"/>
      <c r="J832" s="37"/>
      <c r="K832" s="37"/>
      <c r="L832" s="37"/>
      <c r="M832" s="37"/>
      <c r="N832" s="37"/>
      <c r="O832" s="37"/>
      <c r="P832" s="37"/>
      <c r="Q832" s="37"/>
      <c r="R832" s="37"/>
      <c r="S832" s="37"/>
      <c r="T832" s="37"/>
      <c r="U832" s="37"/>
      <c r="V832" s="37"/>
      <c r="W832" s="37"/>
      <c r="X832" s="37"/>
      <c r="Y832" s="37"/>
      <c r="Z832" s="37"/>
      <c r="AA832" s="37"/>
      <c r="AB832" s="37"/>
      <c r="AC832" s="37"/>
      <c r="AD832" s="37"/>
      <c r="AE832" s="37"/>
      <c r="AF832" s="37"/>
      <c r="AG832" s="37"/>
      <c r="AH832" s="37"/>
      <c r="AI832" s="205"/>
      <c r="AJ832" s="205"/>
      <c r="AK832" s="204"/>
      <c r="AL832" s="204"/>
      <c r="AM832" s="204"/>
    </row>
    <row r="833">
      <c r="A833" s="37"/>
      <c r="B833" s="205"/>
      <c r="C833" s="37"/>
      <c r="D833" s="206"/>
      <c r="E833" s="207"/>
      <c r="F833" s="207"/>
      <c r="G833" s="208"/>
      <c r="H833" s="208"/>
      <c r="I833" s="37"/>
      <c r="J833" s="37"/>
      <c r="K833" s="37"/>
      <c r="L833" s="37"/>
      <c r="M833" s="37"/>
      <c r="N833" s="37"/>
      <c r="O833" s="37"/>
      <c r="P833" s="37"/>
      <c r="Q833" s="37"/>
      <c r="R833" s="37"/>
      <c r="S833" s="37"/>
      <c r="T833" s="37"/>
      <c r="U833" s="37"/>
      <c r="V833" s="37"/>
      <c r="W833" s="37"/>
      <c r="X833" s="37"/>
      <c r="Y833" s="37"/>
      <c r="Z833" s="37"/>
      <c r="AA833" s="37"/>
      <c r="AB833" s="37"/>
      <c r="AC833" s="37"/>
      <c r="AD833" s="37"/>
      <c r="AE833" s="37"/>
      <c r="AF833" s="37"/>
      <c r="AG833" s="37"/>
      <c r="AH833" s="37"/>
      <c r="AI833" s="205"/>
      <c r="AJ833" s="205"/>
      <c r="AK833" s="204"/>
      <c r="AL833" s="204"/>
      <c r="AM833" s="204"/>
    </row>
    <row r="834">
      <c r="A834" s="37"/>
      <c r="B834" s="205"/>
      <c r="C834" s="37"/>
      <c r="D834" s="206"/>
      <c r="E834" s="207"/>
      <c r="F834" s="207"/>
      <c r="G834" s="208"/>
      <c r="H834" s="208"/>
      <c r="I834" s="37"/>
      <c r="J834" s="37"/>
      <c r="K834" s="37"/>
      <c r="L834" s="37"/>
      <c r="M834" s="37"/>
      <c r="N834" s="37"/>
      <c r="O834" s="37"/>
      <c r="P834" s="37"/>
      <c r="Q834" s="37"/>
      <c r="R834" s="37"/>
      <c r="S834" s="37"/>
      <c r="T834" s="37"/>
      <c r="U834" s="37"/>
      <c r="V834" s="37"/>
      <c r="W834" s="37"/>
      <c r="X834" s="37"/>
      <c r="Y834" s="37"/>
      <c r="Z834" s="37"/>
      <c r="AA834" s="37"/>
      <c r="AB834" s="37"/>
      <c r="AC834" s="37"/>
      <c r="AD834" s="37"/>
      <c r="AE834" s="37"/>
      <c r="AF834" s="37"/>
      <c r="AG834" s="37"/>
      <c r="AH834" s="37"/>
      <c r="AI834" s="205"/>
      <c r="AJ834" s="205"/>
      <c r="AK834" s="204"/>
      <c r="AL834" s="204"/>
      <c r="AM834" s="204"/>
    </row>
    <row r="835">
      <c r="A835" s="37"/>
      <c r="B835" s="205"/>
      <c r="C835" s="37"/>
      <c r="D835" s="206"/>
      <c r="E835" s="207"/>
      <c r="F835" s="207"/>
      <c r="G835" s="208"/>
      <c r="H835" s="208"/>
      <c r="I835" s="37"/>
      <c r="J835" s="37"/>
      <c r="K835" s="37"/>
      <c r="L835" s="37"/>
      <c r="M835" s="37"/>
      <c r="N835" s="37"/>
      <c r="O835" s="37"/>
      <c r="P835" s="37"/>
      <c r="Q835" s="37"/>
      <c r="R835" s="37"/>
      <c r="S835" s="37"/>
      <c r="T835" s="37"/>
      <c r="U835" s="37"/>
      <c r="V835" s="37"/>
      <c r="W835" s="37"/>
      <c r="X835" s="37"/>
      <c r="Y835" s="37"/>
      <c r="Z835" s="37"/>
      <c r="AA835" s="37"/>
      <c r="AB835" s="37"/>
      <c r="AC835" s="37"/>
      <c r="AD835" s="37"/>
      <c r="AE835" s="37"/>
      <c r="AF835" s="37"/>
      <c r="AG835" s="37"/>
      <c r="AH835" s="37"/>
      <c r="AI835" s="205"/>
      <c r="AJ835" s="205"/>
      <c r="AK835" s="204"/>
      <c r="AL835" s="204"/>
      <c r="AM835" s="204"/>
    </row>
    <row r="836">
      <c r="A836" s="37"/>
      <c r="B836" s="205"/>
      <c r="C836" s="37"/>
      <c r="D836" s="206"/>
      <c r="E836" s="207"/>
      <c r="F836" s="207"/>
      <c r="G836" s="208"/>
      <c r="H836" s="208"/>
      <c r="I836" s="37"/>
      <c r="J836" s="37"/>
      <c r="K836" s="37"/>
      <c r="L836" s="37"/>
      <c r="M836" s="37"/>
      <c r="N836" s="37"/>
      <c r="O836" s="37"/>
      <c r="P836" s="37"/>
      <c r="Q836" s="37"/>
      <c r="R836" s="37"/>
      <c r="S836" s="37"/>
      <c r="T836" s="37"/>
      <c r="U836" s="37"/>
      <c r="V836" s="37"/>
      <c r="W836" s="37"/>
      <c r="X836" s="37"/>
      <c r="Y836" s="37"/>
      <c r="Z836" s="37"/>
      <c r="AA836" s="37"/>
      <c r="AB836" s="37"/>
      <c r="AC836" s="37"/>
      <c r="AD836" s="37"/>
      <c r="AE836" s="37"/>
      <c r="AF836" s="37"/>
      <c r="AG836" s="37"/>
      <c r="AH836" s="37"/>
      <c r="AI836" s="205"/>
      <c r="AJ836" s="205"/>
      <c r="AK836" s="204"/>
      <c r="AL836" s="204"/>
      <c r="AM836" s="204"/>
    </row>
    <row r="837">
      <c r="A837" s="37"/>
      <c r="B837" s="205"/>
      <c r="C837" s="37"/>
      <c r="D837" s="206"/>
      <c r="E837" s="207"/>
      <c r="F837" s="207"/>
      <c r="G837" s="208"/>
      <c r="H837" s="208"/>
      <c r="I837" s="37"/>
      <c r="J837" s="37"/>
      <c r="K837" s="37"/>
      <c r="L837" s="37"/>
      <c r="M837" s="37"/>
      <c r="N837" s="37"/>
      <c r="O837" s="37"/>
      <c r="P837" s="37"/>
      <c r="Q837" s="37"/>
      <c r="R837" s="37"/>
      <c r="S837" s="37"/>
      <c r="T837" s="37"/>
      <c r="U837" s="37"/>
      <c r="V837" s="37"/>
      <c r="W837" s="37"/>
      <c r="X837" s="37"/>
      <c r="Y837" s="37"/>
      <c r="Z837" s="37"/>
      <c r="AA837" s="37"/>
      <c r="AB837" s="37"/>
      <c r="AC837" s="37"/>
      <c r="AD837" s="37"/>
      <c r="AE837" s="37"/>
      <c r="AF837" s="37"/>
      <c r="AG837" s="37"/>
      <c r="AH837" s="37"/>
      <c r="AI837" s="205"/>
      <c r="AJ837" s="205"/>
      <c r="AK837" s="204"/>
      <c r="AL837" s="204"/>
      <c r="AM837" s="204"/>
    </row>
    <row r="838">
      <c r="A838" s="37"/>
      <c r="B838" s="205"/>
      <c r="C838" s="37"/>
      <c r="D838" s="206"/>
      <c r="E838" s="207"/>
      <c r="F838" s="207"/>
      <c r="G838" s="208"/>
      <c r="H838" s="208"/>
      <c r="I838" s="37"/>
      <c r="J838" s="37"/>
      <c r="K838" s="37"/>
      <c r="L838" s="37"/>
      <c r="M838" s="37"/>
      <c r="N838" s="37"/>
      <c r="O838" s="37"/>
      <c r="P838" s="37"/>
      <c r="Q838" s="37"/>
      <c r="R838" s="37"/>
      <c r="S838" s="37"/>
      <c r="T838" s="37"/>
      <c r="U838" s="37"/>
      <c r="V838" s="37"/>
      <c r="W838" s="37"/>
      <c r="X838" s="37"/>
      <c r="Y838" s="37"/>
      <c r="Z838" s="37"/>
      <c r="AA838" s="37"/>
      <c r="AB838" s="37"/>
      <c r="AC838" s="37"/>
      <c r="AD838" s="37"/>
      <c r="AE838" s="37"/>
      <c r="AF838" s="37"/>
      <c r="AG838" s="37"/>
      <c r="AH838" s="37"/>
      <c r="AI838" s="205"/>
      <c r="AJ838" s="205"/>
      <c r="AK838" s="204"/>
      <c r="AL838" s="204"/>
      <c r="AM838" s="204"/>
    </row>
    <row r="839">
      <c r="A839" s="37"/>
      <c r="B839" s="205"/>
      <c r="C839" s="37"/>
      <c r="D839" s="206"/>
      <c r="E839" s="207"/>
      <c r="F839" s="207"/>
      <c r="G839" s="208"/>
      <c r="H839" s="208"/>
      <c r="I839" s="37"/>
      <c r="J839" s="37"/>
      <c r="K839" s="37"/>
      <c r="L839" s="37"/>
      <c r="M839" s="37"/>
      <c r="N839" s="37"/>
      <c r="O839" s="37"/>
      <c r="P839" s="37"/>
      <c r="Q839" s="37"/>
      <c r="R839" s="37"/>
      <c r="S839" s="37"/>
      <c r="T839" s="37"/>
      <c r="U839" s="37"/>
      <c r="V839" s="37"/>
      <c r="W839" s="37"/>
      <c r="X839" s="37"/>
      <c r="Y839" s="37"/>
      <c r="Z839" s="37"/>
      <c r="AA839" s="37"/>
      <c r="AB839" s="37"/>
      <c r="AC839" s="37"/>
      <c r="AD839" s="37"/>
      <c r="AE839" s="37"/>
      <c r="AF839" s="37"/>
      <c r="AG839" s="37"/>
      <c r="AH839" s="37"/>
      <c r="AI839" s="205"/>
      <c r="AJ839" s="205"/>
      <c r="AK839" s="204"/>
      <c r="AL839" s="204"/>
      <c r="AM839" s="204"/>
    </row>
    <row r="840">
      <c r="A840" s="37"/>
      <c r="B840" s="205"/>
      <c r="C840" s="37"/>
      <c r="D840" s="206"/>
      <c r="E840" s="207"/>
      <c r="F840" s="207"/>
      <c r="G840" s="208"/>
      <c r="H840" s="208"/>
      <c r="I840" s="37"/>
      <c r="J840" s="37"/>
      <c r="K840" s="37"/>
      <c r="L840" s="37"/>
      <c r="M840" s="37"/>
      <c r="N840" s="37"/>
      <c r="O840" s="37"/>
      <c r="P840" s="37"/>
      <c r="Q840" s="37"/>
      <c r="R840" s="37"/>
      <c r="S840" s="37"/>
      <c r="T840" s="37"/>
      <c r="U840" s="37"/>
      <c r="V840" s="37"/>
      <c r="W840" s="37"/>
      <c r="X840" s="37"/>
      <c r="Y840" s="37"/>
      <c r="Z840" s="37"/>
      <c r="AA840" s="37"/>
      <c r="AB840" s="37"/>
      <c r="AC840" s="37"/>
      <c r="AD840" s="37"/>
      <c r="AE840" s="37"/>
      <c r="AF840" s="37"/>
      <c r="AG840" s="37"/>
      <c r="AH840" s="37"/>
      <c r="AI840" s="205"/>
      <c r="AJ840" s="205"/>
      <c r="AK840" s="204"/>
      <c r="AL840" s="204"/>
      <c r="AM840" s="204"/>
    </row>
    <row r="841">
      <c r="A841" s="37"/>
      <c r="B841" s="205"/>
      <c r="C841" s="37"/>
      <c r="D841" s="206"/>
      <c r="E841" s="207"/>
      <c r="F841" s="207"/>
      <c r="G841" s="208"/>
      <c r="H841" s="208"/>
      <c r="I841" s="37"/>
      <c r="J841" s="37"/>
      <c r="K841" s="37"/>
      <c r="L841" s="37"/>
      <c r="M841" s="37"/>
      <c r="N841" s="37"/>
      <c r="O841" s="37"/>
      <c r="P841" s="37"/>
      <c r="Q841" s="37"/>
      <c r="R841" s="37"/>
      <c r="S841" s="37"/>
      <c r="T841" s="37"/>
      <c r="U841" s="37"/>
      <c r="V841" s="37"/>
      <c r="W841" s="37"/>
      <c r="X841" s="37"/>
      <c r="Y841" s="37"/>
      <c r="Z841" s="37"/>
      <c r="AA841" s="37"/>
      <c r="AB841" s="37"/>
      <c r="AC841" s="37"/>
      <c r="AD841" s="37"/>
      <c r="AE841" s="37"/>
      <c r="AF841" s="37"/>
      <c r="AG841" s="37"/>
      <c r="AH841" s="37"/>
      <c r="AI841" s="205"/>
      <c r="AJ841" s="205"/>
      <c r="AK841" s="204"/>
      <c r="AL841" s="204"/>
      <c r="AM841" s="204"/>
    </row>
    <row r="842">
      <c r="A842" s="37"/>
      <c r="B842" s="205"/>
      <c r="C842" s="37"/>
      <c r="D842" s="206"/>
      <c r="E842" s="207"/>
      <c r="F842" s="207"/>
      <c r="G842" s="208"/>
      <c r="H842" s="208"/>
      <c r="I842" s="37"/>
      <c r="J842" s="37"/>
      <c r="K842" s="37"/>
      <c r="L842" s="37"/>
      <c r="M842" s="37"/>
      <c r="N842" s="37"/>
      <c r="O842" s="37"/>
      <c r="P842" s="37"/>
      <c r="Q842" s="37"/>
      <c r="R842" s="37"/>
      <c r="S842" s="37"/>
      <c r="T842" s="37"/>
      <c r="U842" s="37"/>
      <c r="V842" s="37"/>
      <c r="W842" s="37"/>
      <c r="X842" s="37"/>
      <c r="Y842" s="37"/>
      <c r="Z842" s="37"/>
      <c r="AA842" s="37"/>
      <c r="AB842" s="37"/>
      <c r="AC842" s="37"/>
      <c r="AD842" s="37"/>
      <c r="AE842" s="37"/>
      <c r="AF842" s="37"/>
      <c r="AG842" s="37"/>
      <c r="AH842" s="37"/>
      <c r="AI842" s="205"/>
      <c r="AJ842" s="205"/>
      <c r="AK842" s="204"/>
      <c r="AL842" s="204"/>
      <c r="AM842" s="204"/>
    </row>
    <row r="843">
      <c r="A843" s="37"/>
      <c r="B843" s="205"/>
      <c r="C843" s="37"/>
      <c r="D843" s="206"/>
      <c r="E843" s="207"/>
      <c r="F843" s="207"/>
      <c r="G843" s="208"/>
      <c r="H843" s="208"/>
      <c r="I843" s="37"/>
      <c r="J843" s="37"/>
      <c r="K843" s="37"/>
      <c r="L843" s="37"/>
      <c r="M843" s="37"/>
      <c r="N843" s="37"/>
      <c r="O843" s="37"/>
      <c r="P843" s="37"/>
      <c r="Q843" s="37"/>
      <c r="R843" s="37"/>
      <c r="S843" s="37"/>
      <c r="T843" s="37"/>
      <c r="U843" s="37"/>
      <c r="V843" s="37"/>
      <c r="W843" s="37"/>
      <c r="X843" s="37"/>
      <c r="Y843" s="37"/>
      <c r="Z843" s="37"/>
      <c r="AA843" s="37"/>
      <c r="AB843" s="37"/>
      <c r="AC843" s="37"/>
      <c r="AD843" s="37"/>
      <c r="AE843" s="37"/>
      <c r="AF843" s="37"/>
      <c r="AG843" s="37"/>
      <c r="AH843" s="37"/>
      <c r="AI843" s="205"/>
      <c r="AJ843" s="205"/>
      <c r="AK843" s="204"/>
      <c r="AL843" s="204"/>
      <c r="AM843" s="204"/>
    </row>
    <row r="844">
      <c r="A844" s="37"/>
      <c r="B844" s="205"/>
      <c r="C844" s="37"/>
      <c r="D844" s="206"/>
      <c r="E844" s="207"/>
      <c r="F844" s="207"/>
      <c r="G844" s="208"/>
      <c r="H844" s="208"/>
      <c r="I844" s="37"/>
      <c r="J844" s="37"/>
      <c r="K844" s="37"/>
      <c r="L844" s="37"/>
      <c r="M844" s="37"/>
      <c r="N844" s="37"/>
      <c r="O844" s="37"/>
      <c r="P844" s="37"/>
      <c r="Q844" s="37"/>
      <c r="R844" s="37"/>
      <c r="S844" s="37"/>
      <c r="T844" s="37"/>
      <c r="U844" s="37"/>
      <c r="V844" s="37"/>
      <c r="W844" s="37"/>
      <c r="X844" s="37"/>
      <c r="Y844" s="37"/>
      <c r="Z844" s="37"/>
      <c r="AA844" s="37"/>
      <c r="AB844" s="37"/>
      <c r="AC844" s="37"/>
      <c r="AD844" s="37"/>
      <c r="AE844" s="37"/>
      <c r="AF844" s="37"/>
      <c r="AG844" s="37"/>
      <c r="AH844" s="37"/>
      <c r="AI844" s="205"/>
      <c r="AJ844" s="205"/>
      <c r="AK844" s="204"/>
      <c r="AL844" s="204"/>
      <c r="AM844" s="204"/>
    </row>
    <row r="845">
      <c r="A845" s="37"/>
      <c r="B845" s="205"/>
      <c r="C845" s="37"/>
      <c r="D845" s="206"/>
      <c r="E845" s="207"/>
      <c r="F845" s="207"/>
      <c r="G845" s="208"/>
      <c r="H845" s="208"/>
      <c r="I845" s="37"/>
      <c r="J845" s="37"/>
      <c r="K845" s="37"/>
      <c r="L845" s="37"/>
      <c r="M845" s="37"/>
      <c r="N845" s="37"/>
      <c r="O845" s="37"/>
      <c r="P845" s="37"/>
      <c r="Q845" s="37"/>
      <c r="R845" s="37"/>
      <c r="S845" s="37"/>
      <c r="T845" s="37"/>
      <c r="U845" s="37"/>
      <c r="V845" s="37"/>
      <c r="W845" s="37"/>
      <c r="X845" s="37"/>
      <c r="Y845" s="37"/>
      <c r="Z845" s="37"/>
      <c r="AA845" s="37"/>
      <c r="AB845" s="37"/>
      <c r="AC845" s="37"/>
      <c r="AD845" s="37"/>
      <c r="AE845" s="37"/>
      <c r="AF845" s="37"/>
      <c r="AG845" s="37"/>
      <c r="AH845" s="37"/>
      <c r="AI845" s="205"/>
      <c r="AJ845" s="205"/>
      <c r="AK845" s="204"/>
      <c r="AL845" s="204"/>
      <c r="AM845" s="204"/>
    </row>
    <row r="846">
      <c r="A846" s="37"/>
      <c r="B846" s="205"/>
      <c r="C846" s="37"/>
      <c r="D846" s="206"/>
      <c r="E846" s="207"/>
      <c r="F846" s="207"/>
      <c r="G846" s="208"/>
      <c r="H846" s="208"/>
      <c r="I846" s="37"/>
      <c r="J846" s="37"/>
      <c r="K846" s="37"/>
      <c r="L846" s="37"/>
      <c r="M846" s="37"/>
      <c r="N846" s="37"/>
      <c r="O846" s="37"/>
      <c r="P846" s="37"/>
      <c r="Q846" s="37"/>
      <c r="R846" s="37"/>
      <c r="S846" s="37"/>
      <c r="T846" s="37"/>
      <c r="U846" s="37"/>
      <c r="V846" s="37"/>
      <c r="W846" s="37"/>
      <c r="X846" s="37"/>
      <c r="Y846" s="37"/>
      <c r="Z846" s="37"/>
      <c r="AA846" s="37"/>
      <c r="AB846" s="37"/>
      <c r="AC846" s="37"/>
      <c r="AD846" s="37"/>
      <c r="AE846" s="37"/>
      <c r="AF846" s="37"/>
      <c r="AG846" s="37"/>
      <c r="AH846" s="37"/>
      <c r="AI846" s="205"/>
      <c r="AJ846" s="205"/>
      <c r="AK846" s="204"/>
      <c r="AL846" s="204"/>
      <c r="AM846" s="204"/>
    </row>
    <row r="847">
      <c r="A847" s="37"/>
      <c r="B847" s="205"/>
      <c r="C847" s="37"/>
      <c r="D847" s="206"/>
      <c r="E847" s="207"/>
      <c r="F847" s="207"/>
      <c r="G847" s="208"/>
      <c r="H847" s="208"/>
      <c r="I847" s="37"/>
      <c r="J847" s="37"/>
      <c r="K847" s="37"/>
      <c r="L847" s="37"/>
      <c r="M847" s="37"/>
      <c r="N847" s="37"/>
      <c r="O847" s="37"/>
      <c r="P847" s="37"/>
      <c r="Q847" s="37"/>
      <c r="R847" s="37"/>
      <c r="S847" s="37"/>
      <c r="T847" s="37"/>
      <c r="U847" s="37"/>
      <c r="V847" s="37"/>
      <c r="W847" s="37"/>
      <c r="X847" s="37"/>
      <c r="Y847" s="37"/>
      <c r="Z847" s="37"/>
      <c r="AA847" s="37"/>
      <c r="AB847" s="37"/>
      <c r="AC847" s="37"/>
      <c r="AD847" s="37"/>
      <c r="AE847" s="37"/>
      <c r="AF847" s="37"/>
      <c r="AG847" s="37"/>
      <c r="AH847" s="37"/>
      <c r="AI847" s="205"/>
      <c r="AJ847" s="205"/>
      <c r="AK847" s="204"/>
      <c r="AL847" s="204"/>
      <c r="AM847" s="204"/>
    </row>
    <row r="848">
      <c r="A848" s="37"/>
      <c r="B848" s="205"/>
      <c r="C848" s="37"/>
      <c r="D848" s="206"/>
      <c r="E848" s="207"/>
      <c r="F848" s="207"/>
      <c r="G848" s="208"/>
      <c r="H848" s="208"/>
      <c r="I848" s="37"/>
      <c r="J848" s="37"/>
      <c r="K848" s="37"/>
      <c r="L848" s="37"/>
      <c r="M848" s="37"/>
      <c r="N848" s="37"/>
      <c r="O848" s="37"/>
      <c r="P848" s="37"/>
      <c r="Q848" s="37"/>
      <c r="R848" s="37"/>
      <c r="S848" s="37"/>
      <c r="T848" s="37"/>
      <c r="U848" s="37"/>
      <c r="V848" s="37"/>
      <c r="W848" s="37"/>
      <c r="X848" s="37"/>
      <c r="Y848" s="37"/>
      <c r="Z848" s="37"/>
      <c r="AA848" s="37"/>
      <c r="AB848" s="37"/>
      <c r="AC848" s="37"/>
      <c r="AD848" s="37"/>
      <c r="AE848" s="37"/>
      <c r="AF848" s="37"/>
      <c r="AG848" s="37"/>
      <c r="AH848" s="37"/>
      <c r="AI848" s="205"/>
      <c r="AJ848" s="205"/>
      <c r="AK848" s="204"/>
      <c r="AL848" s="204"/>
      <c r="AM848" s="204"/>
    </row>
    <row r="849">
      <c r="A849" s="37"/>
      <c r="B849" s="205"/>
      <c r="C849" s="37"/>
      <c r="D849" s="206"/>
      <c r="E849" s="207"/>
      <c r="F849" s="207"/>
      <c r="G849" s="208"/>
      <c r="H849" s="208"/>
      <c r="I849" s="37"/>
      <c r="J849" s="37"/>
      <c r="K849" s="37"/>
      <c r="L849" s="37"/>
      <c r="M849" s="37"/>
      <c r="N849" s="37"/>
      <c r="O849" s="37"/>
      <c r="P849" s="37"/>
      <c r="Q849" s="37"/>
      <c r="R849" s="37"/>
      <c r="S849" s="37"/>
      <c r="T849" s="37"/>
      <c r="U849" s="37"/>
      <c r="V849" s="37"/>
      <c r="W849" s="37"/>
      <c r="X849" s="37"/>
      <c r="Y849" s="37"/>
      <c r="Z849" s="37"/>
      <c r="AA849" s="37"/>
      <c r="AB849" s="37"/>
      <c r="AC849" s="37"/>
      <c r="AD849" s="37"/>
      <c r="AE849" s="37"/>
      <c r="AF849" s="37"/>
      <c r="AG849" s="37"/>
      <c r="AH849" s="37"/>
      <c r="AI849" s="205"/>
      <c r="AJ849" s="205"/>
      <c r="AK849" s="204"/>
      <c r="AL849" s="204"/>
      <c r="AM849" s="204"/>
    </row>
    <row r="850">
      <c r="A850" s="37"/>
      <c r="B850" s="205"/>
      <c r="C850" s="37"/>
      <c r="D850" s="206"/>
      <c r="E850" s="207"/>
      <c r="F850" s="207"/>
      <c r="G850" s="208"/>
      <c r="H850" s="208"/>
      <c r="I850" s="37"/>
      <c r="J850" s="37"/>
      <c r="K850" s="37"/>
      <c r="L850" s="37"/>
      <c r="M850" s="37"/>
      <c r="N850" s="37"/>
      <c r="O850" s="37"/>
      <c r="P850" s="37"/>
      <c r="Q850" s="37"/>
      <c r="R850" s="37"/>
      <c r="S850" s="37"/>
      <c r="T850" s="37"/>
      <c r="U850" s="37"/>
      <c r="V850" s="37"/>
      <c r="W850" s="37"/>
      <c r="X850" s="37"/>
      <c r="Y850" s="37"/>
      <c r="Z850" s="37"/>
      <c r="AA850" s="37"/>
      <c r="AB850" s="37"/>
      <c r="AC850" s="37"/>
      <c r="AD850" s="37"/>
      <c r="AE850" s="37"/>
      <c r="AF850" s="37"/>
      <c r="AG850" s="37"/>
      <c r="AH850" s="37"/>
      <c r="AI850" s="205"/>
      <c r="AJ850" s="205"/>
      <c r="AK850" s="204"/>
      <c r="AL850" s="204"/>
      <c r="AM850" s="204"/>
    </row>
    <row r="851">
      <c r="A851" s="37"/>
      <c r="B851" s="205"/>
      <c r="C851" s="37"/>
      <c r="D851" s="206"/>
      <c r="E851" s="207"/>
      <c r="F851" s="207"/>
      <c r="G851" s="208"/>
      <c r="H851" s="208"/>
      <c r="I851" s="37"/>
      <c r="J851" s="37"/>
      <c r="K851" s="37"/>
      <c r="L851" s="37"/>
      <c r="M851" s="37"/>
      <c r="N851" s="37"/>
      <c r="O851" s="37"/>
      <c r="P851" s="37"/>
      <c r="Q851" s="37"/>
      <c r="R851" s="37"/>
      <c r="S851" s="37"/>
      <c r="T851" s="37"/>
      <c r="U851" s="37"/>
      <c r="V851" s="37"/>
      <c r="W851" s="37"/>
      <c r="X851" s="37"/>
      <c r="Y851" s="37"/>
      <c r="Z851" s="37"/>
      <c r="AA851" s="37"/>
      <c r="AB851" s="37"/>
      <c r="AC851" s="37"/>
      <c r="AD851" s="37"/>
      <c r="AE851" s="37"/>
      <c r="AF851" s="37"/>
      <c r="AG851" s="37"/>
      <c r="AH851" s="37"/>
      <c r="AI851" s="205"/>
      <c r="AJ851" s="205"/>
      <c r="AK851" s="204"/>
      <c r="AL851" s="204"/>
      <c r="AM851" s="204"/>
    </row>
    <row r="852">
      <c r="A852" s="37"/>
      <c r="B852" s="205"/>
      <c r="C852" s="37"/>
      <c r="D852" s="206"/>
      <c r="E852" s="207"/>
      <c r="F852" s="207"/>
      <c r="G852" s="208"/>
      <c r="H852" s="208"/>
      <c r="I852" s="37"/>
      <c r="J852" s="37"/>
      <c r="K852" s="37"/>
      <c r="L852" s="37"/>
      <c r="M852" s="37"/>
      <c r="N852" s="37"/>
      <c r="O852" s="37"/>
      <c r="P852" s="37"/>
      <c r="Q852" s="37"/>
      <c r="R852" s="37"/>
      <c r="S852" s="37"/>
      <c r="T852" s="37"/>
      <c r="U852" s="37"/>
      <c r="V852" s="37"/>
      <c r="W852" s="37"/>
      <c r="X852" s="37"/>
      <c r="Y852" s="37"/>
      <c r="Z852" s="37"/>
      <c r="AA852" s="37"/>
      <c r="AB852" s="37"/>
      <c r="AC852" s="37"/>
      <c r="AD852" s="37"/>
      <c r="AE852" s="37"/>
      <c r="AF852" s="37"/>
      <c r="AG852" s="37"/>
      <c r="AH852" s="37"/>
      <c r="AI852" s="205"/>
      <c r="AJ852" s="205"/>
      <c r="AK852" s="204"/>
      <c r="AL852" s="204"/>
      <c r="AM852" s="204"/>
    </row>
    <row r="853">
      <c r="A853" s="37"/>
      <c r="B853" s="205"/>
      <c r="C853" s="37"/>
      <c r="D853" s="206"/>
      <c r="E853" s="207"/>
      <c r="F853" s="207"/>
      <c r="G853" s="208"/>
      <c r="H853" s="208"/>
      <c r="I853" s="37"/>
      <c r="J853" s="37"/>
      <c r="K853" s="37"/>
      <c r="L853" s="37"/>
      <c r="M853" s="37"/>
      <c r="N853" s="37"/>
      <c r="O853" s="37"/>
      <c r="P853" s="37"/>
      <c r="Q853" s="37"/>
      <c r="R853" s="37"/>
      <c r="S853" s="37"/>
      <c r="T853" s="37"/>
      <c r="U853" s="37"/>
      <c r="V853" s="37"/>
      <c r="W853" s="37"/>
      <c r="X853" s="37"/>
      <c r="Y853" s="37"/>
      <c r="Z853" s="37"/>
      <c r="AA853" s="37"/>
      <c r="AB853" s="37"/>
      <c r="AC853" s="37"/>
      <c r="AD853" s="37"/>
      <c r="AE853" s="37"/>
      <c r="AF853" s="37"/>
      <c r="AG853" s="37"/>
      <c r="AH853" s="37"/>
      <c r="AI853" s="205"/>
      <c r="AJ853" s="205"/>
      <c r="AK853" s="204"/>
      <c r="AL853" s="204"/>
      <c r="AM853" s="204"/>
    </row>
    <row r="854">
      <c r="A854" s="37"/>
      <c r="B854" s="205"/>
      <c r="C854" s="37"/>
      <c r="D854" s="206"/>
      <c r="E854" s="207"/>
      <c r="F854" s="207"/>
      <c r="G854" s="208"/>
      <c r="H854" s="208"/>
      <c r="I854" s="37"/>
      <c r="J854" s="37"/>
      <c r="K854" s="37"/>
      <c r="L854" s="37"/>
      <c r="M854" s="37"/>
      <c r="N854" s="37"/>
      <c r="O854" s="37"/>
      <c r="P854" s="37"/>
      <c r="Q854" s="37"/>
      <c r="R854" s="37"/>
      <c r="S854" s="37"/>
      <c r="T854" s="37"/>
      <c r="U854" s="37"/>
      <c r="V854" s="37"/>
      <c r="W854" s="37"/>
      <c r="X854" s="37"/>
      <c r="Y854" s="37"/>
      <c r="Z854" s="37"/>
      <c r="AA854" s="37"/>
      <c r="AB854" s="37"/>
      <c r="AC854" s="37"/>
      <c r="AD854" s="37"/>
      <c r="AE854" s="37"/>
      <c r="AF854" s="37"/>
      <c r="AG854" s="37"/>
      <c r="AH854" s="37"/>
      <c r="AI854" s="205"/>
      <c r="AJ854" s="205"/>
      <c r="AK854" s="204"/>
      <c r="AL854" s="204"/>
      <c r="AM854" s="204"/>
    </row>
    <row r="855">
      <c r="A855" s="37"/>
      <c r="B855" s="205"/>
      <c r="C855" s="37"/>
      <c r="D855" s="206"/>
      <c r="E855" s="207"/>
      <c r="F855" s="207"/>
      <c r="G855" s="208"/>
      <c r="H855" s="208"/>
      <c r="I855" s="37"/>
      <c r="J855" s="37"/>
      <c r="K855" s="37"/>
      <c r="L855" s="37"/>
      <c r="M855" s="37"/>
      <c r="N855" s="37"/>
      <c r="O855" s="37"/>
      <c r="P855" s="37"/>
      <c r="Q855" s="37"/>
      <c r="R855" s="37"/>
      <c r="S855" s="37"/>
      <c r="T855" s="37"/>
      <c r="U855" s="37"/>
      <c r="V855" s="37"/>
      <c r="W855" s="37"/>
      <c r="X855" s="37"/>
      <c r="Y855" s="37"/>
      <c r="Z855" s="37"/>
      <c r="AA855" s="37"/>
      <c r="AB855" s="37"/>
      <c r="AC855" s="37"/>
      <c r="AD855" s="37"/>
      <c r="AE855" s="37"/>
      <c r="AF855" s="37"/>
      <c r="AG855" s="37"/>
      <c r="AH855" s="37"/>
      <c r="AI855" s="205"/>
      <c r="AJ855" s="205"/>
      <c r="AK855" s="204"/>
      <c r="AL855" s="204"/>
      <c r="AM855" s="204"/>
    </row>
    <row r="856">
      <c r="A856" s="37"/>
      <c r="B856" s="205"/>
      <c r="C856" s="37"/>
      <c r="D856" s="206"/>
      <c r="E856" s="207"/>
      <c r="F856" s="207"/>
      <c r="G856" s="208"/>
      <c r="H856" s="208"/>
      <c r="I856" s="37"/>
      <c r="J856" s="37"/>
      <c r="K856" s="37"/>
      <c r="L856" s="37"/>
      <c r="M856" s="37"/>
      <c r="N856" s="37"/>
      <c r="O856" s="37"/>
      <c r="P856" s="37"/>
      <c r="Q856" s="37"/>
      <c r="R856" s="37"/>
      <c r="S856" s="37"/>
      <c r="T856" s="37"/>
      <c r="U856" s="37"/>
      <c r="V856" s="37"/>
      <c r="W856" s="37"/>
      <c r="X856" s="37"/>
      <c r="Y856" s="37"/>
      <c r="Z856" s="37"/>
      <c r="AA856" s="37"/>
      <c r="AB856" s="37"/>
      <c r="AC856" s="37"/>
      <c r="AD856" s="37"/>
      <c r="AE856" s="37"/>
      <c r="AF856" s="37"/>
      <c r="AG856" s="37"/>
      <c r="AH856" s="37"/>
      <c r="AI856" s="205"/>
      <c r="AJ856" s="205"/>
      <c r="AK856" s="204"/>
      <c r="AL856" s="204"/>
      <c r="AM856" s="204"/>
    </row>
    <row r="857">
      <c r="A857" s="37"/>
      <c r="B857" s="205"/>
      <c r="C857" s="37"/>
      <c r="D857" s="206"/>
      <c r="E857" s="207"/>
      <c r="F857" s="207"/>
      <c r="G857" s="208"/>
      <c r="H857" s="208"/>
      <c r="I857" s="37"/>
      <c r="J857" s="37"/>
      <c r="K857" s="37"/>
      <c r="L857" s="37"/>
      <c r="M857" s="37"/>
      <c r="N857" s="37"/>
      <c r="O857" s="37"/>
      <c r="P857" s="37"/>
      <c r="Q857" s="37"/>
      <c r="R857" s="37"/>
      <c r="S857" s="37"/>
      <c r="T857" s="37"/>
      <c r="U857" s="37"/>
      <c r="V857" s="37"/>
      <c r="W857" s="37"/>
      <c r="X857" s="37"/>
      <c r="Y857" s="37"/>
      <c r="Z857" s="37"/>
      <c r="AA857" s="37"/>
      <c r="AB857" s="37"/>
      <c r="AC857" s="37"/>
      <c r="AD857" s="37"/>
      <c r="AE857" s="37"/>
      <c r="AF857" s="37"/>
      <c r="AG857" s="37"/>
      <c r="AH857" s="37"/>
      <c r="AI857" s="205"/>
      <c r="AJ857" s="205"/>
      <c r="AK857" s="204"/>
      <c r="AL857" s="204"/>
      <c r="AM857" s="204"/>
    </row>
    <row r="858">
      <c r="A858" s="37"/>
      <c r="B858" s="205"/>
      <c r="C858" s="37"/>
      <c r="D858" s="206"/>
      <c r="E858" s="207"/>
      <c r="F858" s="207"/>
      <c r="G858" s="208"/>
      <c r="H858" s="208"/>
      <c r="I858" s="37"/>
      <c r="J858" s="37"/>
      <c r="K858" s="37"/>
      <c r="L858" s="37"/>
      <c r="M858" s="37"/>
      <c r="N858" s="37"/>
      <c r="O858" s="37"/>
      <c r="P858" s="37"/>
      <c r="Q858" s="37"/>
      <c r="R858" s="37"/>
      <c r="S858" s="37"/>
      <c r="T858" s="37"/>
      <c r="U858" s="37"/>
      <c r="V858" s="37"/>
      <c r="W858" s="37"/>
      <c r="X858" s="37"/>
      <c r="Y858" s="37"/>
      <c r="Z858" s="37"/>
      <c r="AA858" s="37"/>
      <c r="AB858" s="37"/>
      <c r="AC858" s="37"/>
      <c r="AD858" s="37"/>
      <c r="AE858" s="37"/>
      <c r="AF858" s="37"/>
      <c r="AG858" s="37"/>
      <c r="AH858" s="37"/>
      <c r="AI858" s="205"/>
      <c r="AJ858" s="205"/>
      <c r="AK858" s="204"/>
      <c r="AL858" s="204"/>
      <c r="AM858" s="204"/>
    </row>
    <row r="859">
      <c r="A859" s="37"/>
      <c r="B859" s="205"/>
      <c r="C859" s="37"/>
      <c r="D859" s="206"/>
      <c r="E859" s="207"/>
      <c r="F859" s="207"/>
      <c r="G859" s="208"/>
      <c r="H859" s="208"/>
      <c r="I859" s="37"/>
      <c r="J859" s="37"/>
      <c r="K859" s="37"/>
      <c r="L859" s="37"/>
      <c r="M859" s="37"/>
      <c r="N859" s="37"/>
      <c r="O859" s="37"/>
      <c r="P859" s="37"/>
      <c r="Q859" s="37"/>
      <c r="R859" s="37"/>
      <c r="S859" s="37"/>
      <c r="T859" s="37"/>
      <c r="U859" s="37"/>
      <c r="V859" s="37"/>
      <c r="W859" s="37"/>
      <c r="X859" s="37"/>
      <c r="Y859" s="37"/>
      <c r="Z859" s="37"/>
      <c r="AA859" s="37"/>
      <c r="AB859" s="37"/>
      <c r="AC859" s="37"/>
      <c r="AD859" s="37"/>
      <c r="AE859" s="37"/>
      <c r="AF859" s="37"/>
      <c r="AG859" s="37"/>
      <c r="AH859" s="37"/>
      <c r="AI859" s="205"/>
      <c r="AJ859" s="205"/>
      <c r="AK859" s="204"/>
      <c r="AL859" s="204"/>
      <c r="AM859" s="204"/>
    </row>
    <row r="860">
      <c r="A860" s="37"/>
      <c r="B860" s="205"/>
      <c r="C860" s="37"/>
      <c r="D860" s="206"/>
      <c r="E860" s="207"/>
      <c r="F860" s="207"/>
      <c r="G860" s="208"/>
      <c r="H860" s="208"/>
      <c r="I860" s="37"/>
      <c r="J860" s="37"/>
      <c r="K860" s="37"/>
      <c r="L860" s="37"/>
      <c r="M860" s="37"/>
      <c r="N860" s="37"/>
      <c r="O860" s="37"/>
      <c r="P860" s="37"/>
      <c r="Q860" s="37"/>
      <c r="R860" s="37"/>
      <c r="S860" s="37"/>
      <c r="T860" s="37"/>
      <c r="U860" s="37"/>
      <c r="V860" s="37"/>
      <c r="W860" s="37"/>
      <c r="X860" s="37"/>
      <c r="Y860" s="37"/>
      <c r="Z860" s="37"/>
      <c r="AA860" s="37"/>
      <c r="AB860" s="37"/>
      <c r="AC860" s="37"/>
      <c r="AD860" s="37"/>
      <c r="AE860" s="37"/>
      <c r="AF860" s="37"/>
      <c r="AG860" s="37"/>
      <c r="AH860" s="37"/>
      <c r="AI860" s="205"/>
      <c r="AJ860" s="205"/>
      <c r="AK860" s="204"/>
      <c r="AL860" s="204"/>
      <c r="AM860" s="204"/>
    </row>
    <row r="861">
      <c r="A861" s="37"/>
      <c r="B861" s="205"/>
      <c r="C861" s="37"/>
      <c r="D861" s="206"/>
      <c r="E861" s="207"/>
      <c r="F861" s="207"/>
      <c r="G861" s="208"/>
      <c r="H861" s="208"/>
      <c r="I861" s="37"/>
      <c r="J861" s="37"/>
      <c r="K861" s="37"/>
      <c r="L861" s="37"/>
      <c r="M861" s="37"/>
      <c r="N861" s="37"/>
      <c r="O861" s="37"/>
      <c r="P861" s="37"/>
      <c r="Q861" s="37"/>
      <c r="R861" s="37"/>
      <c r="S861" s="37"/>
      <c r="T861" s="37"/>
      <c r="U861" s="37"/>
      <c r="V861" s="37"/>
      <c r="W861" s="37"/>
      <c r="X861" s="37"/>
      <c r="Y861" s="37"/>
      <c r="Z861" s="37"/>
      <c r="AA861" s="37"/>
      <c r="AB861" s="37"/>
      <c r="AC861" s="37"/>
      <c r="AD861" s="37"/>
      <c r="AE861" s="37"/>
      <c r="AF861" s="37"/>
      <c r="AG861" s="37"/>
      <c r="AH861" s="37"/>
      <c r="AI861" s="205"/>
      <c r="AJ861" s="205"/>
      <c r="AK861" s="204"/>
      <c r="AL861" s="204"/>
      <c r="AM861" s="204"/>
    </row>
    <row r="862">
      <c r="A862" s="37"/>
      <c r="B862" s="205"/>
      <c r="C862" s="37"/>
      <c r="D862" s="206"/>
      <c r="E862" s="207"/>
      <c r="F862" s="207"/>
      <c r="G862" s="208"/>
      <c r="H862" s="208"/>
      <c r="I862" s="37"/>
      <c r="J862" s="37"/>
      <c r="K862" s="37"/>
      <c r="L862" s="37"/>
      <c r="M862" s="37"/>
      <c r="N862" s="37"/>
      <c r="O862" s="37"/>
      <c r="P862" s="37"/>
      <c r="Q862" s="37"/>
      <c r="R862" s="37"/>
      <c r="S862" s="37"/>
      <c r="T862" s="37"/>
      <c r="U862" s="37"/>
      <c r="V862" s="37"/>
      <c r="W862" s="37"/>
      <c r="X862" s="37"/>
      <c r="Y862" s="37"/>
      <c r="Z862" s="37"/>
      <c r="AA862" s="37"/>
      <c r="AB862" s="37"/>
      <c r="AC862" s="37"/>
      <c r="AD862" s="37"/>
      <c r="AE862" s="37"/>
      <c r="AF862" s="37"/>
      <c r="AG862" s="37"/>
      <c r="AH862" s="37"/>
      <c r="AI862" s="205"/>
      <c r="AJ862" s="205"/>
      <c r="AK862" s="204"/>
      <c r="AL862" s="204"/>
      <c r="AM862" s="204"/>
    </row>
    <row r="863">
      <c r="A863" s="37"/>
      <c r="B863" s="205"/>
      <c r="C863" s="37"/>
      <c r="D863" s="206"/>
      <c r="E863" s="207"/>
      <c r="F863" s="207"/>
      <c r="G863" s="208"/>
      <c r="H863" s="208"/>
      <c r="I863" s="37"/>
      <c r="J863" s="37"/>
      <c r="K863" s="37"/>
      <c r="L863" s="37"/>
      <c r="M863" s="37"/>
      <c r="N863" s="37"/>
      <c r="O863" s="37"/>
      <c r="P863" s="37"/>
      <c r="Q863" s="37"/>
      <c r="R863" s="37"/>
      <c r="S863" s="37"/>
      <c r="T863" s="37"/>
      <c r="U863" s="37"/>
      <c r="V863" s="37"/>
      <c r="W863" s="37"/>
      <c r="X863" s="37"/>
      <c r="Y863" s="37"/>
      <c r="Z863" s="37"/>
      <c r="AA863" s="37"/>
      <c r="AB863" s="37"/>
      <c r="AC863" s="37"/>
      <c r="AD863" s="37"/>
      <c r="AE863" s="37"/>
      <c r="AF863" s="37"/>
      <c r="AG863" s="37"/>
      <c r="AH863" s="37"/>
      <c r="AI863" s="205"/>
      <c r="AJ863" s="205"/>
      <c r="AK863" s="204"/>
      <c r="AL863" s="204"/>
      <c r="AM863" s="204"/>
    </row>
    <row r="864">
      <c r="A864" s="37"/>
      <c r="B864" s="205"/>
      <c r="C864" s="37"/>
      <c r="D864" s="206"/>
      <c r="E864" s="207"/>
      <c r="F864" s="207"/>
      <c r="G864" s="208"/>
      <c r="H864" s="208"/>
      <c r="I864" s="37"/>
      <c r="J864" s="37"/>
      <c r="K864" s="37"/>
      <c r="L864" s="37"/>
      <c r="M864" s="37"/>
      <c r="N864" s="37"/>
      <c r="O864" s="37"/>
      <c r="P864" s="37"/>
      <c r="Q864" s="37"/>
      <c r="R864" s="37"/>
      <c r="S864" s="37"/>
      <c r="T864" s="37"/>
      <c r="U864" s="37"/>
      <c r="V864" s="37"/>
      <c r="W864" s="37"/>
      <c r="X864" s="37"/>
      <c r="Y864" s="37"/>
      <c r="Z864" s="37"/>
      <c r="AA864" s="37"/>
      <c r="AB864" s="37"/>
      <c r="AC864" s="37"/>
      <c r="AD864" s="37"/>
      <c r="AE864" s="37"/>
      <c r="AF864" s="37"/>
      <c r="AG864" s="37"/>
      <c r="AH864" s="37"/>
      <c r="AI864" s="205"/>
      <c r="AJ864" s="205"/>
      <c r="AK864" s="204"/>
      <c r="AL864" s="204"/>
      <c r="AM864" s="204"/>
    </row>
    <row r="865">
      <c r="A865" s="37"/>
      <c r="B865" s="205"/>
      <c r="C865" s="37"/>
      <c r="D865" s="206"/>
      <c r="E865" s="207"/>
      <c r="F865" s="207"/>
      <c r="G865" s="208"/>
      <c r="H865" s="208"/>
      <c r="I865" s="37"/>
      <c r="J865" s="37"/>
      <c r="K865" s="37"/>
      <c r="L865" s="37"/>
      <c r="M865" s="37"/>
      <c r="N865" s="37"/>
      <c r="O865" s="37"/>
      <c r="P865" s="37"/>
      <c r="Q865" s="37"/>
      <c r="R865" s="37"/>
      <c r="S865" s="37"/>
      <c r="T865" s="37"/>
      <c r="U865" s="37"/>
      <c r="V865" s="37"/>
      <c r="W865" s="37"/>
      <c r="X865" s="37"/>
      <c r="Y865" s="37"/>
      <c r="Z865" s="37"/>
      <c r="AA865" s="37"/>
      <c r="AB865" s="37"/>
      <c r="AC865" s="37"/>
      <c r="AD865" s="37"/>
      <c r="AE865" s="37"/>
      <c r="AF865" s="37"/>
      <c r="AG865" s="37"/>
      <c r="AH865" s="37"/>
      <c r="AI865" s="205"/>
      <c r="AJ865" s="205"/>
      <c r="AK865" s="204"/>
      <c r="AL865" s="204"/>
      <c r="AM865" s="204"/>
    </row>
    <row r="866">
      <c r="A866" s="37"/>
      <c r="B866" s="205"/>
      <c r="C866" s="37"/>
      <c r="D866" s="206"/>
      <c r="E866" s="207"/>
      <c r="F866" s="207"/>
      <c r="G866" s="208"/>
      <c r="H866" s="208"/>
      <c r="I866" s="37"/>
      <c r="J866" s="37"/>
      <c r="K866" s="37"/>
      <c r="L866" s="37"/>
      <c r="M866" s="37"/>
      <c r="N866" s="37"/>
      <c r="O866" s="37"/>
      <c r="P866" s="37"/>
      <c r="Q866" s="37"/>
      <c r="R866" s="37"/>
      <c r="S866" s="37"/>
      <c r="T866" s="37"/>
      <c r="U866" s="37"/>
      <c r="V866" s="37"/>
      <c r="W866" s="37"/>
      <c r="X866" s="37"/>
      <c r="Y866" s="37"/>
      <c r="Z866" s="37"/>
      <c r="AA866" s="37"/>
      <c r="AB866" s="37"/>
      <c r="AC866" s="37"/>
      <c r="AD866" s="37"/>
      <c r="AE866" s="37"/>
      <c r="AF866" s="37"/>
      <c r="AG866" s="37"/>
      <c r="AH866" s="37"/>
      <c r="AI866" s="205"/>
      <c r="AJ866" s="205"/>
      <c r="AK866" s="204"/>
      <c r="AL866" s="204"/>
      <c r="AM866" s="204"/>
    </row>
    <row r="867">
      <c r="A867" s="37"/>
      <c r="B867" s="205"/>
      <c r="C867" s="37"/>
      <c r="D867" s="206"/>
      <c r="E867" s="207"/>
      <c r="F867" s="207"/>
      <c r="G867" s="208"/>
      <c r="H867" s="208"/>
      <c r="I867" s="37"/>
      <c r="J867" s="37"/>
      <c r="K867" s="37"/>
      <c r="L867" s="37"/>
      <c r="M867" s="37"/>
      <c r="N867" s="37"/>
      <c r="O867" s="37"/>
      <c r="P867" s="37"/>
      <c r="Q867" s="37"/>
      <c r="R867" s="37"/>
      <c r="S867" s="37"/>
      <c r="T867" s="37"/>
      <c r="U867" s="37"/>
      <c r="V867" s="37"/>
      <c r="W867" s="37"/>
      <c r="X867" s="37"/>
      <c r="Y867" s="37"/>
      <c r="Z867" s="37"/>
      <c r="AA867" s="37"/>
      <c r="AB867" s="37"/>
      <c r="AC867" s="37"/>
      <c r="AD867" s="37"/>
      <c r="AE867" s="37"/>
      <c r="AF867" s="37"/>
      <c r="AG867" s="37"/>
      <c r="AH867" s="37"/>
      <c r="AI867" s="205"/>
      <c r="AJ867" s="205"/>
      <c r="AK867" s="204"/>
      <c r="AL867" s="204"/>
      <c r="AM867" s="204"/>
    </row>
    <row r="868">
      <c r="A868" s="37"/>
      <c r="B868" s="205"/>
      <c r="C868" s="37"/>
      <c r="D868" s="206"/>
      <c r="E868" s="207"/>
      <c r="F868" s="207"/>
      <c r="G868" s="208"/>
      <c r="H868" s="208"/>
      <c r="I868" s="37"/>
      <c r="J868" s="37"/>
      <c r="K868" s="37"/>
      <c r="L868" s="37"/>
      <c r="M868" s="37"/>
      <c r="N868" s="37"/>
      <c r="O868" s="37"/>
      <c r="P868" s="37"/>
      <c r="Q868" s="37"/>
      <c r="R868" s="37"/>
      <c r="S868" s="37"/>
      <c r="T868" s="37"/>
      <c r="U868" s="37"/>
      <c r="V868" s="37"/>
      <c r="W868" s="37"/>
      <c r="X868" s="37"/>
      <c r="Y868" s="37"/>
      <c r="Z868" s="37"/>
      <c r="AA868" s="37"/>
      <c r="AB868" s="37"/>
      <c r="AC868" s="37"/>
      <c r="AD868" s="37"/>
      <c r="AE868" s="37"/>
      <c r="AF868" s="37"/>
      <c r="AG868" s="37"/>
      <c r="AH868" s="37"/>
      <c r="AI868" s="205"/>
      <c r="AJ868" s="205"/>
      <c r="AK868" s="204"/>
      <c r="AL868" s="204"/>
      <c r="AM868" s="204"/>
    </row>
    <row r="869">
      <c r="A869" s="37"/>
      <c r="B869" s="205"/>
      <c r="C869" s="37"/>
      <c r="D869" s="206"/>
      <c r="E869" s="207"/>
      <c r="F869" s="207"/>
      <c r="G869" s="208"/>
      <c r="H869" s="208"/>
      <c r="I869" s="37"/>
      <c r="J869" s="37"/>
      <c r="K869" s="37"/>
      <c r="L869" s="37"/>
      <c r="M869" s="37"/>
      <c r="N869" s="37"/>
      <c r="O869" s="37"/>
      <c r="P869" s="37"/>
      <c r="Q869" s="37"/>
      <c r="R869" s="37"/>
      <c r="S869" s="37"/>
      <c r="T869" s="37"/>
      <c r="U869" s="37"/>
      <c r="V869" s="37"/>
      <c r="W869" s="37"/>
      <c r="X869" s="37"/>
      <c r="Y869" s="37"/>
      <c r="Z869" s="37"/>
      <c r="AA869" s="37"/>
      <c r="AB869" s="37"/>
      <c r="AC869" s="37"/>
      <c r="AD869" s="37"/>
      <c r="AE869" s="37"/>
      <c r="AF869" s="37"/>
      <c r="AG869" s="37"/>
      <c r="AH869" s="37"/>
      <c r="AI869" s="205"/>
      <c r="AJ869" s="205"/>
      <c r="AK869" s="204"/>
      <c r="AL869" s="204"/>
      <c r="AM869" s="204"/>
    </row>
    <row r="870">
      <c r="A870" s="37"/>
      <c r="B870" s="205"/>
      <c r="C870" s="37"/>
      <c r="D870" s="206"/>
      <c r="E870" s="207"/>
      <c r="F870" s="207"/>
      <c r="G870" s="208"/>
      <c r="H870" s="208"/>
      <c r="I870" s="37"/>
      <c r="J870" s="37"/>
      <c r="K870" s="37"/>
      <c r="L870" s="37"/>
      <c r="M870" s="37"/>
      <c r="N870" s="37"/>
      <c r="O870" s="37"/>
      <c r="P870" s="37"/>
      <c r="Q870" s="37"/>
      <c r="R870" s="37"/>
      <c r="S870" s="37"/>
      <c r="T870" s="37"/>
      <c r="U870" s="37"/>
      <c r="V870" s="37"/>
      <c r="W870" s="37"/>
      <c r="X870" s="37"/>
      <c r="Y870" s="37"/>
      <c r="Z870" s="37"/>
      <c r="AA870" s="37"/>
      <c r="AB870" s="37"/>
      <c r="AC870" s="37"/>
      <c r="AD870" s="37"/>
      <c r="AE870" s="37"/>
      <c r="AF870" s="37"/>
      <c r="AG870" s="37"/>
      <c r="AH870" s="37"/>
      <c r="AI870" s="205"/>
      <c r="AJ870" s="205"/>
      <c r="AK870" s="204"/>
      <c r="AL870" s="204"/>
      <c r="AM870" s="204"/>
    </row>
    <row r="871">
      <c r="A871" s="37"/>
      <c r="B871" s="205"/>
      <c r="C871" s="37"/>
      <c r="D871" s="206"/>
      <c r="E871" s="207"/>
      <c r="F871" s="207"/>
      <c r="G871" s="208"/>
      <c r="H871" s="208"/>
      <c r="I871" s="37"/>
      <c r="J871" s="37"/>
      <c r="K871" s="37"/>
      <c r="L871" s="37"/>
      <c r="M871" s="37"/>
      <c r="N871" s="37"/>
      <c r="O871" s="37"/>
      <c r="P871" s="37"/>
      <c r="Q871" s="37"/>
      <c r="R871" s="37"/>
      <c r="S871" s="37"/>
      <c r="T871" s="37"/>
      <c r="U871" s="37"/>
      <c r="V871" s="37"/>
      <c r="W871" s="37"/>
      <c r="X871" s="37"/>
      <c r="Y871" s="37"/>
      <c r="Z871" s="37"/>
      <c r="AA871" s="37"/>
      <c r="AB871" s="37"/>
      <c r="AC871" s="37"/>
      <c r="AD871" s="37"/>
      <c r="AE871" s="37"/>
      <c r="AF871" s="37"/>
      <c r="AG871" s="37"/>
      <c r="AH871" s="37"/>
      <c r="AI871" s="205"/>
      <c r="AJ871" s="205"/>
      <c r="AK871" s="204"/>
      <c r="AL871" s="204"/>
      <c r="AM871" s="204"/>
    </row>
    <row r="872">
      <c r="A872" s="37"/>
      <c r="B872" s="205"/>
      <c r="C872" s="37"/>
      <c r="D872" s="206"/>
      <c r="E872" s="207"/>
      <c r="F872" s="207"/>
      <c r="G872" s="208"/>
      <c r="H872" s="208"/>
      <c r="I872" s="37"/>
      <c r="J872" s="37"/>
      <c r="K872" s="37"/>
      <c r="L872" s="37"/>
      <c r="M872" s="37"/>
      <c r="N872" s="37"/>
      <c r="O872" s="37"/>
      <c r="P872" s="37"/>
      <c r="Q872" s="37"/>
      <c r="R872" s="37"/>
      <c r="S872" s="37"/>
      <c r="T872" s="37"/>
      <c r="U872" s="37"/>
      <c r="V872" s="37"/>
      <c r="W872" s="37"/>
      <c r="X872" s="37"/>
      <c r="Y872" s="37"/>
      <c r="Z872" s="37"/>
      <c r="AA872" s="37"/>
      <c r="AB872" s="37"/>
      <c r="AC872" s="37"/>
      <c r="AD872" s="37"/>
      <c r="AE872" s="37"/>
      <c r="AF872" s="37"/>
      <c r="AG872" s="37"/>
      <c r="AH872" s="37"/>
      <c r="AI872" s="205"/>
      <c r="AJ872" s="205"/>
      <c r="AK872" s="204"/>
      <c r="AL872" s="204"/>
      <c r="AM872" s="204"/>
    </row>
    <row r="873">
      <c r="A873" s="37"/>
      <c r="B873" s="205"/>
      <c r="C873" s="37"/>
      <c r="D873" s="206"/>
      <c r="E873" s="207"/>
      <c r="F873" s="207"/>
      <c r="G873" s="208"/>
      <c r="H873" s="208"/>
      <c r="I873" s="37"/>
      <c r="J873" s="37"/>
      <c r="K873" s="37"/>
      <c r="L873" s="37"/>
      <c r="M873" s="37"/>
      <c r="N873" s="37"/>
      <c r="O873" s="37"/>
      <c r="P873" s="37"/>
      <c r="Q873" s="37"/>
      <c r="R873" s="37"/>
      <c r="S873" s="37"/>
      <c r="T873" s="37"/>
      <c r="U873" s="37"/>
      <c r="V873" s="37"/>
      <c r="W873" s="37"/>
      <c r="X873" s="37"/>
      <c r="Y873" s="37"/>
      <c r="Z873" s="37"/>
      <c r="AA873" s="37"/>
      <c r="AB873" s="37"/>
      <c r="AC873" s="37"/>
      <c r="AD873" s="37"/>
      <c r="AE873" s="37"/>
      <c r="AF873" s="37"/>
      <c r="AG873" s="37"/>
      <c r="AH873" s="37"/>
      <c r="AI873" s="205"/>
      <c r="AJ873" s="205"/>
      <c r="AK873" s="204"/>
      <c r="AL873" s="204"/>
      <c r="AM873" s="204"/>
    </row>
    <row r="874">
      <c r="A874" s="37"/>
      <c r="B874" s="205"/>
      <c r="C874" s="37"/>
      <c r="D874" s="206"/>
      <c r="E874" s="207"/>
      <c r="F874" s="207"/>
      <c r="G874" s="208"/>
      <c r="H874" s="208"/>
      <c r="I874" s="37"/>
      <c r="J874" s="37"/>
      <c r="K874" s="37"/>
      <c r="L874" s="37"/>
      <c r="M874" s="37"/>
      <c r="N874" s="37"/>
      <c r="O874" s="37"/>
      <c r="P874" s="37"/>
      <c r="Q874" s="37"/>
      <c r="R874" s="37"/>
      <c r="S874" s="37"/>
      <c r="T874" s="37"/>
      <c r="U874" s="37"/>
      <c r="V874" s="37"/>
      <c r="W874" s="37"/>
      <c r="X874" s="37"/>
      <c r="Y874" s="37"/>
      <c r="Z874" s="37"/>
      <c r="AA874" s="37"/>
      <c r="AB874" s="37"/>
      <c r="AC874" s="37"/>
      <c r="AD874" s="37"/>
      <c r="AE874" s="37"/>
      <c r="AF874" s="37"/>
      <c r="AG874" s="37"/>
      <c r="AH874" s="37"/>
      <c r="AI874" s="205"/>
      <c r="AJ874" s="205"/>
      <c r="AK874" s="204"/>
      <c r="AL874" s="204"/>
      <c r="AM874" s="204"/>
    </row>
    <row r="875">
      <c r="A875" s="37"/>
      <c r="B875" s="205"/>
      <c r="C875" s="37"/>
      <c r="D875" s="206"/>
      <c r="E875" s="207"/>
      <c r="F875" s="207"/>
      <c r="G875" s="208"/>
      <c r="H875" s="208"/>
      <c r="I875" s="37"/>
      <c r="J875" s="37"/>
      <c r="K875" s="37"/>
      <c r="L875" s="37"/>
      <c r="M875" s="37"/>
      <c r="N875" s="37"/>
      <c r="O875" s="37"/>
      <c r="P875" s="37"/>
      <c r="Q875" s="37"/>
      <c r="R875" s="37"/>
      <c r="S875" s="37"/>
      <c r="T875" s="37"/>
      <c r="U875" s="37"/>
      <c r="V875" s="37"/>
      <c r="W875" s="37"/>
      <c r="X875" s="37"/>
      <c r="Y875" s="37"/>
      <c r="Z875" s="37"/>
      <c r="AA875" s="37"/>
      <c r="AB875" s="37"/>
      <c r="AC875" s="37"/>
      <c r="AD875" s="37"/>
      <c r="AE875" s="37"/>
      <c r="AF875" s="37"/>
      <c r="AG875" s="37"/>
      <c r="AH875" s="37"/>
      <c r="AI875" s="205"/>
      <c r="AJ875" s="205"/>
      <c r="AK875" s="204"/>
      <c r="AL875" s="204"/>
      <c r="AM875" s="204"/>
    </row>
    <row r="876">
      <c r="A876" s="37"/>
      <c r="B876" s="205"/>
      <c r="C876" s="37"/>
      <c r="D876" s="206"/>
      <c r="E876" s="207"/>
      <c r="F876" s="207"/>
      <c r="G876" s="208"/>
      <c r="H876" s="208"/>
      <c r="I876" s="37"/>
      <c r="J876" s="37"/>
      <c r="K876" s="37"/>
      <c r="L876" s="37"/>
      <c r="M876" s="37"/>
      <c r="N876" s="37"/>
      <c r="O876" s="37"/>
      <c r="P876" s="37"/>
      <c r="Q876" s="37"/>
      <c r="R876" s="37"/>
      <c r="S876" s="37"/>
      <c r="T876" s="37"/>
      <c r="U876" s="37"/>
      <c r="V876" s="37"/>
      <c r="W876" s="37"/>
      <c r="X876" s="37"/>
      <c r="Y876" s="37"/>
      <c r="Z876" s="37"/>
      <c r="AA876" s="37"/>
      <c r="AB876" s="37"/>
      <c r="AC876" s="37"/>
      <c r="AD876" s="37"/>
      <c r="AE876" s="37"/>
      <c r="AF876" s="37"/>
      <c r="AG876" s="37"/>
      <c r="AH876" s="37"/>
      <c r="AI876" s="205"/>
      <c r="AJ876" s="205"/>
      <c r="AK876" s="204"/>
      <c r="AL876" s="204"/>
      <c r="AM876" s="204"/>
    </row>
    <row r="877">
      <c r="A877" s="37"/>
      <c r="B877" s="205"/>
      <c r="C877" s="37"/>
      <c r="D877" s="206"/>
      <c r="E877" s="207"/>
      <c r="F877" s="207"/>
      <c r="G877" s="208"/>
      <c r="H877" s="208"/>
      <c r="I877" s="37"/>
      <c r="J877" s="37"/>
      <c r="K877" s="37"/>
      <c r="L877" s="37"/>
      <c r="M877" s="37"/>
      <c r="N877" s="37"/>
      <c r="O877" s="37"/>
      <c r="P877" s="37"/>
      <c r="Q877" s="37"/>
      <c r="R877" s="37"/>
      <c r="S877" s="37"/>
      <c r="T877" s="37"/>
      <c r="U877" s="37"/>
      <c r="V877" s="37"/>
      <c r="W877" s="37"/>
      <c r="X877" s="37"/>
      <c r="Y877" s="37"/>
      <c r="Z877" s="37"/>
      <c r="AA877" s="37"/>
      <c r="AB877" s="37"/>
      <c r="AC877" s="37"/>
      <c r="AD877" s="37"/>
      <c r="AE877" s="37"/>
      <c r="AF877" s="37"/>
      <c r="AG877" s="37"/>
      <c r="AH877" s="37"/>
      <c r="AI877" s="205"/>
      <c r="AJ877" s="205"/>
      <c r="AK877" s="204"/>
      <c r="AL877" s="204"/>
      <c r="AM877" s="204"/>
    </row>
    <row r="878">
      <c r="A878" s="37"/>
      <c r="B878" s="205"/>
      <c r="C878" s="37"/>
      <c r="D878" s="206"/>
      <c r="E878" s="207"/>
      <c r="F878" s="207"/>
      <c r="G878" s="208"/>
      <c r="H878" s="208"/>
      <c r="I878" s="37"/>
      <c r="J878" s="37"/>
      <c r="K878" s="37"/>
      <c r="L878" s="37"/>
      <c r="M878" s="37"/>
      <c r="N878" s="37"/>
      <c r="O878" s="37"/>
      <c r="P878" s="37"/>
      <c r="Q878" s="37"/>
      <c r="R878" s="37"/>
      <c r="S878" s="37"/>
      <c r="T878" s="37"/>
      <c r="U878" s="37"/>
      <c r="V878" s="37"/>
      <c r="W878" s="37"/>
      <c r="X878" s="37"/>
      <c r="Y878" s="37"/>
      <c r="Z878" s="37"/>
      <c r="AA878" s="37"/>
      <c r="AB878" s="37"/>
      <c r="AC878" s="37"/>
      <c r="AD878" s="37"/>
      <c r="AE878" s="37"/>
      <c r="AF878" s="37"/>
      <c r="AG878" s="37"/>
      <c r="AH878" s="37"/>
      <c r="AI878" s="205"/>
      <c r="AJ878" s="205"/>
      <c r="AK878" s="204"/>
      <c r="AL878" s="204"/>
      <c r="AM878" s="204"/>
    </row>
    <row r="879">
      <c r="A879" s="37"/>
      <c r="B879" s="205"/>
      <c r="C879" s="37"/>
      <c r="D879" s="206"/>
      <c r="E879" s="207"/>
      <c r="F879" s="207"/>
      <c r="G879" s="208"/>
      <c r="H879" s="208"/>
      <c r="I879" s="37"/>
      <c r="J879" s="37"/>
      <c r="K879" s="37"/>
      <c r="L879" s="37"/>
      <c r="M879" s="37"/>
      <c r="N879" s="37"/>
      <c r="O879" s="37"/>
      <c r="P879" s="37"/>
      <c r="Q879" s="37"/>
      <c r="R879" s="37"/>
      <c r="S879" s="37"/>
      <c r="T879" s="37"/>
      <c r="U879" s="37"/>
      <c r="V879" s="37"/>
      <c r="W879" s="37"/>
      <c r="X879" s="37"/>
      <c r="Y879" s="37"/>
      <c r="Z879" s="37"/>
      <c r="AA879" s="37"/>
      <c r="AB879" s="37"/>
      <c r="AC879" s="37"/>
      <c r="AD879" s="37"/>
      <c r="AE879" s="37"/>
      <c r="AF879" s="37"/>
      <c r="AG879" s="37"/>
      <c r="AH879" s="37"/>
      <c r="AI879" s="205"/>
      <c r="AJ879" s="205"/>
      <c r="AK879" s="204"/>
      <c r="AL879" s="204"/>
      <c r="AM879" s="204"/>
    </row>
    <row r="880">
      <c r="A880" s="37"/>
      <c r="B880" s="205"/>
      <c r="C880" s="37"/>
      <c r="D880" s="206"/>
      <c r="E880" s="207"/>
      <c r="F880" s="207"/>
      <c r="G880" s="208"/>
      <c r="H880" s="208"/>
      <c r="I880" s="37"/>
      <c r="J880" s="37"/>
      <c r="K880" s="37"/>
      <c r="L880" s="37"/>
      <c r="M880" s="37"/>
      <c r="N880" s="37"/>
      <c r="O880" s="37"/>
      <c r="P880" s="37"/>
      <c r="Q880" s="37"/>
      <c r="R880" s="37"/>
      <c r="S880" s="37"/>
      <c r="T880" s="37"/>
      <c r="U880" s="37"/>
      <c r="V880" s="37"/>
      <c r="W880" s="37"/>
      <c r="X880" s="37"/>
      <c r="Y880" s="37"/>
      <c r="Z880" s="37"/>
      <c r="AA880" s="37"/>
      <c r="AB880" s="37"/>
      <c r="AC880" s="37"/>
      <c r="AD880" s="37"/>
      <c r="AE880" s="37"/>
      <c r="AF880" s="37"/>
      <c r="AG880" s="37"/>
      <c r="AH880" s="37"/>
      <c r="AI880" s="205"/>
      <c r="AJ880" s="205"/>
      <c r="AK880" s="204"/>
      <c r="AL880" s="204"/>
      <c r="AM880" s="204"/>
    </row>
    <row r="881">
      <c r="A881" s="37"/>
      <c r="B881" s="205"/>
      <c r="C881" s="37"/>
      <c r="D881" s="206"/>
      <c r="E881" s="207"/>
      <c r="F881" s="207"/>
      <c r="G881" s="208"/>
      <c r="H881" s="208"/>
      <c r="I881" s="37"/>
      <c r="J881" s="37"/>
      <c r="K881" s="37"/>
      <c r="L881" s="37"/>
      <c r="M881" s="37"/>
      <c r="N881" s="37"/>
      <c r="O881" s="37"/>
      <c r="P881" s="37"/>
      <c r="Q881" s="37"/>
      <c r="R881" s="37"/>
      <c r="S881" s="37"/>
      <c r="T881" s="37"/>
      <c r="U881" s="37"/>
      <c r="V881" s="37"/>
      <c r="W881" s="37"/>
      <c r="X881" s="37"/>
      <c r="Y881" s="37"/>
      <c r="Z881" s="37"/>
      <c r="AA881" s="37"/>
      <c r="AB881" s="37"/>
      <c r="AC881" s="37"/>
      <c r="AD881" s="37"/>
      <c r="AE881" s="37"/>
      <c r="AF881" s="37"/>
      <c r="AG881" s="37"/>
      <c r="AH881" s="37"/>
      <c r="AI881" s="205"/>
      <c r="AJ881" s="205"/>
      <c r="AK881" s="204"/>
      <c r="AL881" s="204"/>
      <c r="AM881" s="204"/>
    </row>
    <row r="882">
      <c r="A882" s="37"/>
      <c r="B882" s="205"/>
      <c r="C882" s="37"/>
      <c r="D882" s="206"/>
      <c r="E882" s="207"/>
      <c r="F882" s="207"/>
      <c r="G882" s="208"/>
      <c r="H882" s="208"/>
      <c r="I882" s="37"/>
      <c r="J882" s="37"/>
      <c r="K882" s="37"/>
      <c r="L882" s="37"/>
      <c r="M882" s="37"/>
      <c r="N882" s="37"/>
      <c r="O882" s="37"/>
      <c r="P882" s="37"/>
      <c r="Q882" s="37"/>
      <c r="R882" s="37"/>
      <c r="S882" s="37"/>
      <c r="T882" s="37"/>
      <c r="U882" s="37"/>
      <c r="V882" s="37"/>
      <c r="W882" s="37"/>
      <c r="X882" s="37"/>
      <c r="Y882" s="37"/>
      <c r="Z882" s="37"/>
      <c r="AA882" s="37"/>
      <c r="AB882" s="37"/>
      <c r="AC882" s="37"/>
      <c r="AD882" s="37"/>
      <c r="AE882" s="37"/>
      <c r="AF882" s="37"/>
      <c r="AG882" s="37"/>
      <c r="AH882" s="37"/>
      <c r="AI882" s="205"/>
      <c r="AJ882" s="205"/>
      <c r="AK882" s="204"/>
      <c r="AL882" s="204"/>
      <c r="AM882" s="204"/>
    </row>
    <row r="883">
      <c r="A883" s="37"/>
      <c r="B883" s="205"/>
      <c r="C883" s="37"/>
      <c r="D883" s="206"/>
      <c r="E883" s="207"/>
      <c r="F883" s="207"/>
      <c r="G883" s="208"/>
      <c r="H883" s="208"/>
      <c r="I883" s="37"/>
      <c r="J883" s="37"/>
      <c r="K883" s="37"/>
      <c r="L883" s="37"/>
      <c r="M883" s="37"/>
      <c r="N883" s="37"/>
      <c r="O883" s="37"/>
      <c r="P883" s="37"/>
      <c r="Q883" s="37"/>
      <c r="R883" s="37"/>
      <c r="S883" s="37"/>
      <c r="T883" s="37"/>
      <c r="U883" s="37"/>
      <c r="V883" s="37"/>
      <c r="W883" s="37"/>
      <c r="X883" s="37"/>
      <c r="Y883" s="37"/>
      <c r="Z883" s="37"/>
      <c r="AA883" s="37"/>
      <c r="AB883" s="37"/>
      <c r="AC883" s="37"/>
      <c r="AD883" s="37"/>
      <c r="AE883" s="37"/>
      <c r="AF883" s="37"/>
      <c r="AG883" s="37"/>
      <c r="AH883" s="37"/>
      <c r="AI883" s="205"/>
      <c r="AJ883" s="205"/>
      <c r="AK883" s="204"/>
      <c r="AL883" s="204"/>
      <c r="AM883" s="204"/>
    </row>
    <row r="884">
      <c r="A884" s="37"/>
      <c r="B884" s="205"/>
      <c r="C884" s="37"/>
      <c r="D884" s="206"/>
      <c r="E884" s="207"/>
      <c r="F884" s="207"/>
      <c r="G884" s="208"/>
      <c r="H884" s="208"/>
      <c r="I884" s="37"/>
      <c r="J884" s="37"/>
      <c r="K884" s="37"/>
      <c r="L884" s="37"/>
      <c r="M884" s="37"/>
      <c r="N884" s="37"/>
      <c r="O884" s="37"/>
      <c r="P884" s="37"/>
      <c r="Q884" s="37"/>
      <c r="R884" s="37"/>
      <c r="S884" s="37"/>
      <c r="T884" s="37"/>
      <c r="U884" s="37"/>
      <c r="V884" s="37"/>
      <c r="W884" s="37"/>
      <c r="X884" s="37"/>
      <c r="Y884" s="37"/>
      <c r="Z884" s="37"/>
      <c r="AA884" s="37"/>
      <c r="AB884" s="37"/>
      <c r="AC884" s="37"/>
      <c r="AD884" s="37"/>
      <c r="AE884" s="37"/>
      <c r="AF884" s="37"/>
      <c r="AG884" s="37"/>
      <c r="AH884" s="37"/>
      <c r="AI884" s="205"/>
      <c r="AJ884" s="205"/>
      <c r="AK884" s="204"/>
      <c r="AL884" s="204"/>
      <c r="AM884" s="204"/>
    </row>
    <row r="885">
      <c r="A885" s="37"/>
      <c r="B885" s="205"/>
      <c r="C885" s="37"/>
      <c r="D885" s="206"/>
      <c r="E885" s="207"/>
      <c r="F885" s="207"/>
      <c r="G885" s="208"/>
      <c r="H885" s="208"/>
      <c r="I885" s="37"/>
      <c r="J885" s="37"/>
      <c r="K885" s="37"/>
      <c r="L885" s="37"/>
      <c r="M885" s="37"/>
      <c r="N885" s="37"/>
      <c r="O885" s="37"/>
      <c r="P885" s="37"/>
      <c r="Q885" s="37"/>
      <c r="R885" s="37"/>
      <c r="S885" s="37"/>
      <c r="T885" s="37"/>
      <c r="U885" s="37"/>
      <c r="V885" s="37"/>
      <c r="W885" s="37"/>
      <c r="X885" s="37"/>
      <c r="Y885" s="37"/>
      <c r="Z885" s="37"/>
      <c r="AA885" s="37"/>
      <c r="AB885" s="37"/>
      <c r="AC885" s="37"/>
      <c r="AD885" s="37"/>
      <c r="AE885" s="37"/>
      <c r="AF885" s="37"/>
      <c r="AG885" s="37"/>
      <c r="AH885" s="37"/>
      <c r="AI885" s="205"/>
      <c r="AJ885" s="205"/>
      <c r="AK885" s="204"/>
      <c r="AL885" s="204"/>
      <c r="AM885" s="204"/>
    </row>
    <row r="886">
      <c r="A886" s="37"/>
      <c r="B886" s="205"/>
      <c r="C886" s="37"/>
      <c r="D886" s="206"/>
      <c r="E886" s="207"/>
      <c r="F886" s="207"/>
      <c r="G886" s="208"/>
      <c r="H886" s="208"/>
      <c r="I886" s="37"/>
      <c r="J886" s="37"/>
      <c r="K886" s="37"/>
      <c r="L886" s="37"/>
      <c r="M886" s="37"/>
      <c r="N886" s="37"/>
      <c r="O886" s="37"/>
      <c r="P886" s="37"/>
      <c r="Q886" s="37"/>
      <c r="R886" s="37"/>
      <c r="S886" s="37"/>
      <c r="T886" s="37"/>
      <c r="U886" s="37"/>
      <c r="V886" s="37"/>
      <c r="W886" s="37"/>
      <c r="X886" s="37"/>
      <c r="Y886" s="37"/>
      <c r="Z886" s="37"/>
      <c r="AA886" s="37"/>
      <c r="AB886" s="37"/>
      <c r="AC886" s="37"/>
      <c r="AD886" s="37"/>
      <c r="AE886" s="37"/>
      <c r="AF886" s="37"/>
      <c r="AG886" s="37"/>
      <c r="AH886" s="37"/>
      <c r="AI886" s="205"/>
      <c r="AJ886" s="205"/>
      <c r="AK886" s="204"/>
      <c r="AL886" s="204"/>
      <c r="AM886" s="204"/>
    </row>
    <row r="887">
      <c r="A887" s="37"/>
      <c r="B887" s="205"/>
      <c r="C887" s="37"/>
      <c r="D887" s="206"/>
      <c r="E887" s="207"/>
      <c r="F887" s="207"/>
      <c r="G887" s="208"/>
      <c r="H887" s="208"/>
      <c r="I887" s="37"/>
      <c r="J887" s="37"/>
      <c r="K887" s="37"/>
      <c r="L887" s="37"/>
      <c r="M887" s="37"/>
      <c r="N887" s="37"/>
      <c r="O887" s="37"/>
      <c r="P887" s="37"/>
      <c r="Q887" s="37"/>
      <c r="R887" s="37"/>
      <c r="S887" s="37"/>
      <c r="T887" s="37"/>
      <c r="U887" s="37"/>
      <c r="V887" s="37"/>
      <c r="W887" s="37"/>
      <c r="X887" s="37"/>
      <c r="Y887" s="37"/>
      <c r="Z887" s="37"/>
      <c r="AA887" s="37"/>
      <c r="AB887" s="37"/>
      <c r="AC887" s="37"/>
      <c r="AD887" s="37"/>
      <c r="AE887" s="37"/>
      <c r="AF887" s="37"/>
      <c r="AG887" s="37"/>
      <c r="AH887" s="37"/>
      <c r="AI887" s="205"/>
      <c r="AJ887" s="205"/>
      <c r="AK887" s="204"/>
      <c r="AL887" s="204"/>
      <c r="AM887" s="204"/>
    </row>
    <row r="888">
      <c r="A888" s="37"/>
      <c r="B888" s="205"/>
      <c r="C888" s="37"/>
      <c r="D888" s="206"/>
      <c r="E888" s="207"/>
      <c r="F888" s="207"/>
      <c r="G888" s="208"/>
      <c r="H888" s="208"/>
      <c r="I888" s="37"/>
      <c r="J888" s="37"/>
      <c r="K888" s="37"/>
      <c r="L888" s="37"/>
      <c r="M888" s="37"/>
      <c r="N888" s="37"/>
      <c r="O888" s="37"/>
      <c r="P888" s="37"/>
      <c r="Q888" s="37"/>
      <c r="R888" s="37"/>
      <c r="S888" s="37"/>
      <c r="T888" s="37"/>
      <c r="U888" s="37"/>
      <c r="V888" s="37"/>
      <c r="W888" s="37"/>
      <c r="X888" s="37"/>
      <c r="Y888" s="37"/>
      <c r="Z888" s="37"/>
      <c r="AA888" s="37"/>
      <c r="AB888" s="37"/>
      <c r="AC888" s="37"/>
      <c r="AD888" s="37"/>
      <c r="AE888" s="37"/>
      <c r="AF888" s="37"/>
      <c r="AG888" s="37"/>
      <c r="AH888" s="37"/>
      <c r="AI888" s="205"/>
      <c r="AJ888" s="205"/>
      <c r="AK888" s="204"/>
      <c r="AL888" s="204"/>
      <c r="AM888" s="204"/>
    </row>
    <row r="889">
      <c r="A889" s="37"/>
      <c r="B889" s="205"/>
      <c r="C889" s="37"/>
      <c r="D889" s="206"/>
      <c r="E889" s="207"/>
      <c r="F889" s="207"/>
      <c r="G889" s="208"/>
      <c r="H889" s="208"/>
      <c r="I889" s="37"/>
      <c r="J889" s="37"/>
      <c r="K889" s="37"/>
      <c r="L889" s="37"/>
      <c r="M889" s="37"/>
      <c r="N889" s="37"/>
      <c r="O889" s="37"/>
      <c r="P889" s="37"/>
      <c r="Q889" s="37"/>
      <c r="R889" s="37"/>
      <c r="S889" s="37"/>
      <c r="T889" s="37"/>
      <c r="U889" s="37"/>
      <c r="V889" s="37"/>
      <c r="W889" s="37"/>
      <c r="X889" s="37"/>
      <c r="Y889" s="37"/>
      <c r="Z889" s="37"/>
      <c r="AA889" s="37"/>
      <c r="AB889" s="37"/>
      <c r="AC889" s="37"/>
      <c r="AD889" s="37"/>
      <c r="AE889" s="37"/>
      <c r="AF889" s="37"/>
      <c r="AG889" s="37"/>
      <c r="AH889" s="37"/>
      <c r="AI889" s="205"/>
      <c r="AJ889" s="205"/>
      <c r="AK889" s="204"/>
      <c r="AL889" s="204"/>
      <c r="AM889" s="204"/>
    </row>
    <row r="890">
      <c r="A890" s="37"/>
      <c r="B890" s="205"/>
      <c r="C890" s="37"/>
      <c r="D890" s="206"/>
      <c r="E890" s="207"/>
      <c r="F890" s="207"/>
      <c r="G890" s="208"/>
      <c r="H890" s="208"/>
      <c r="I890" s="37"/>
      <c r="J890" s="37"/>
      <c r="K890" s="37"/>
      <c r="L890" s="37"/>
      <c r="M890" s="37"/>
      <c r="N890" s="37"/>
      <c r="O890" s="37"/>
      <c r="P890" s="37"/>
      <c r="Q890" s="37"/>
      <c r="R890" s="37"/>
      <c r="S890" s="37"/>
      <c r="T890" s="37"/>
      <c r="U890" s="37"/>
      <c r="V890" s="37"/>
      <c r="W890" s="37"/>
      <c r="X890" s="37"/>
      <c r="Y890" s="37"/>
      <c r="Z890" s="37"/>
      <c r="AA890" s="37"/>
      <c r="AB890" s="37"/>
      <c r="AC890" s="37"/>
      <c r="AD890" s="37"/>
      <c r="AE890" s="37"/>
      <c r="AF890" s="37"/>
      <c r="AG890" s="37"/>
      <c r="AH890" s="37"/>
      <c r="AI890" s="205"/>
      <c r="AJ890" s="205"/>
      <c r="AK890" s="204"/>
      <c r="AL890" s="204"/>
      <c r="AM890" s="204"/>
    </row>
    <row r="891">
      <c r="A891" s="37"/>
      <c r="B891" s="205"/>
      <c r="C891" s="37"/>
      <c r="D891" s="206"/>
      <c r="E891" s="207"/>
      <c r="F891" s="207"/>
      <c r="G891" s="208"/>
      <c r="H891" s="208"/>
      <c r="I891" s="37"/>
      <c r="J891" s="37"/>
      <c r="K891" s="37"/>
      <c r="L891" s="37"/>
      <c r="M891" s="37"/>
      <c r="N891" s="37"/>
      <c r="O891" s="37"/>
      <c r="P891" s="37"/>
      <c r="Q891" s="37"/>
      <c r="R891" s="37"/>
      <c r="S891" s="37"/>
      <c r="T891" s="37"/>
      <c r="U891" s="37"/>
      <c r="V891" s="37"/>
      <c r="W891" s="37"/>
      <c r="X891" s="37"/>
      <c r="Y891" s="37"/>
      <c r="Z891" s="37"/>
      <c r="AA891" s="37"/>
      <c r="AB891" s="37"/>
      <c r="AC891" s="37"/>
      <c r="AD891" s="37"/>
      <c r="AE891" s="37"/>
      <c r="AF891" s="37"/>
      <c r="AG891" s="37"/>
      <c r="AH891" s="37"/>
      <c r="AI891" s="205"/>
      <c r="AJ891" s="205"/>
      <c r="AK891" s="204"/>
      <c r="AL891" s="204"/>
      <c r="AM891" s="204"/>
    </row>
    <row r="892">
      <c r="A892" s="37"/>
      <c r="B892" s="205"/>
      <c r="C892" s="37"/>
      <c r="D892" s="206"/>
      <c r="E892" s="207"/>
      <c r="F892" s="207"/>
      <c r="G892" s="208"/>
      <c r="H892" s="208"/>
      <c r="I892" s="37"/>
      <c r="J892" s="37"/>
      <c r="K892" s="37"/>
      <c r="L892" s="37"/>
      <c r="M892" s="37"/>
      <c r="N892" s="37"/>
      <c r="O892" s="37"/>
      <c r="P892" s="37"/>
      <c r="Q892" s="37"/>
      <c r="R892" s="37"/>
      <c r="S892" s="37"/>
      <c r="T892" s="37"/>
      <c r="U892" s="37"/>
      <c r="V892" s="37"/>
      <c r="W892" s="37"/>
      <c r="X892" s="37"/>
      <c r="Y892" s="37"/>
      <c r="Z892" s="37"/>
      <c r="AA892" s="37"/>
      <c r="AB892" s="37"/>
      <c r="AC892" s="37"/>
      <c r="AD892" s="37"/>
      <c r="AE892" s="37"/>
      <c r="AF892" s="37"/>
      <c r="AG892" s="37"/>
      <c r="AH892" s="37"/>
      <c r="AI892" s="205"/>
      <c r="AJ892" s="205"/>
      <c r="AK892" s="204"/>
      <c r="AL892" s="204"/>
      <c r="AM892" s="204"/>
    </row>
    <row r="893">
      <c r="A893" s="37"/>
      <c r="B893" s="205"/>
      <c r="C893" s="37"/>
      <c r="D893" s="206"/>
      <c r="E893" s="207"/>
      <c r="F893" s="207"/>
      <c r="G893" s="208"/>
      <c r="H893" s="208"/>
      <c r="I893" s="37"/>
      <c r="J893" s="37"/>
      <c r="K893" s="37"/>
      <c r="L893" s="37"/>
      <c r="M893" s="37"/>
      <c r="N893" s="37"/>
      <c r="O893" s="37"/>
      <c r="P893" s="37"/>
      <c r="Q893" s="37"/>
      <c r="R893" s="37"/>
      <c r="S893" s="37"/>
      <c r="T893" s="37"/>
      <c r="U893" s="37"/>
      <c r="V893" s="37"/>
      <c r="W893" s="37"/>
      <c r="X893" s="37"/>
      <c r="Y893" s="37"/>
      <c r="Z893" s="37"/>
      <c r="AA893" s="37"/>
      <c r="AB893" s="37"/>
      <c r="AC893" s="37"/>
      <c r="AD893" s="37"/>
      <c r="AE893" s="37"/>
      <c r="AF893" s="37"/>
      <c r="AG893" s="37"/>
      <c r="AH893" s="37"/>
      <c r="AI893" s="205"/>
      <c r="AJ893" s="205"/>
      <c r="AK893" s="204"/>
      <c r="AL893" s="204"/>
      <c r="AM893" s="204"/>
    </row>
    <row r="894">
      <c r="A894" s="37"/>
      <c r="B894" s="205"/>
      <c r="C894" s="37"/>
      <c r="D894" s="206"/>
      <c r="E894" s="207"/>
      <c r="F894" s="207"/>
      <c r="G894" s="208"/>
      <c r="H894" s="208"/>
      <c r="I894" s="37"/>
      <c r="J894" s="37"/>
      <c r="K894" s="37"/>
      <c r="L894" s="37"/>
      <c r="M894" s="37"/>
      <c r="N894" s="37"/>
      <c r="O894" s="37"/>
      <c r="P894" s="37"/>
      <c r="Q894" s="37"/>
      <c r="R894" s="37"/>
      <c r="S894" s="37"/>
      <c r="T894" s="37"/>
      <c r="U894" s="37"/>
      <c r="V894" s="37"/>
      <c r="W894" s="37"/>
      <c r="X894" s="37"/>
      <c r="Y894" s="37"/>
      <c r="Z894" s="37"/>
      <c r="AA894" s="37"/>
      <c r="AB894" s="37"/>
      <c r="AC894" s="37"/>
      <c r="AD894" s="37"/>
      <c r="AE894" s="37"/>
      <c r="AF894" s="37"/>
      <c r="AG894" s="37"/>
      <c r="AH894" s="37"/>
      <c r="AI894" s="205"/>
      <c r="AJ894" s="205"/>
      <c r="AK894" s="204"/>
      <c r="AL894" s="204"/>
      <c r="AM894" s="204"/>
    </row>
    <row r="895">
      <c r="A895" s="37"/>
      <c r="B895" s="205"/>
      <c r="C895" s="37"/>
      <c r="D895" s="206"/>
      <c r="E895" s="207"/>
      <c r="F895" s="207"/>
      <c r="G895" s="208"/>
      <c r="H895" s="208"/>
      <c r="I895" s="37"/>
      <c r="J895" s="37"/>
      <c r="K895" s="37"/>
      <c r="L895" s="37"/>
      <c r="M895" s="37"/>
      <c r="N895" s="37"/>
      <c r="O895" s="37"/>
      <c r="P895" s="37"/>
      <c r="Q895" s="37"/>
      <c r="R895" s="37"/>
      <c r="S895" s="37"/>
      <c r="T895" s="37"/>
      <c r="U895" s="37"/>
      <c r="V895" s="37"/>
      <c r="W895" s="37"/>
      <c r="X895" s="37"/>
      <c r="Y895" s="37"/>
      <c r="Z895" s="37"/>
      <c r="AA895" s="37"/>
      <c r="AB895" s="37"/>
      <c r="AC895" s="37"/>
      <c r="AD895" s="37"/>
      <c r="AE895" s="37"/>
      <c r="AF895" s="37"/>
      <c r="AG895" s="37"/>
      <c r="AH895" s="37"/>
      <c r="AI895" s="205"/>
      <c r="AJ895" s="205"/>
      <c r="AK895" s="204"/>
      <c r="AL895" s="204"/>
      <c r="AM895" s="204"/>
    </row>
    <row r="896">
      <c r="A896" s="37"/>
      <c r="B896" s="205"/>
      <c r="C896" s="37"/>
      <c r="D896" s="206"/>
      <c r="E896" s="207"/>
      <c r="F896" s="207"/>
      <c r="G896" s="208"/>
      <c r="H896" s="208"/>
      <c r="I896" s="37"/>
      <c r="J896" s="37"/>
      <c r="K896" s="37"/>
      <c r="L896" s="37"/>
      <c r="M896" s="37"/>
      <c r="N896" s="37"/>
      <c r="O896" s="37"/>
      <c r="P896" s="37"/>
      <c r="Q896" s="37"/>
      <c r="R896" s="37"/>
      <c r="S896" s="37"/>
      <c r="T896" s="37"/>
      <c r="U896" s="37"/>
      <c r="V896" s="37"/>
      <c r="W896" s="37"/>
      <c r="X896" s="37"/>
      <c r="Y896" s="37"/>
      <c r="Z896" s="37"/>
      <c r="AA896" s="37"/>
      <c r="AB896" s="37"/>
      <c r="AC896" s="37"/>
      <c r="AD896" s="37"/>
      <c r="AE896" s="37"/>
      <c r="AF896" s="37"/>
      <c r="AG896" s="37"/>
      <c r="AH896" s="37"/>
      <c r="AI896" s="205"/>
      <c r="AJ896" s="205"/>
      <c r="AK896" s="204"/>
      <c r="AL896" s="204"/>
      <c r="AM896" s="204"/>
    </row>
    <row r="897">
      <c r="A897" s="37"/>
      <c r="B897" s="205"/>
      <c r="C897" s="37"/>
      <c r="D897" s="206"/>
      <c r="E897" s="207"/>
      <c r="F897" s="207"/>
      <c r="G897" s="208"/>
      <c r="H897" s="208"/>
      <c r="I897" s="37"/>
      <c r="J897" s="37"/>
      <c r="K897" s="37"/>
      <c r="L897" s="37"/>
      <c r="M897" s="37"/>
      <c r="N897" s="37"/>
      <c r="O897" s="37"/>
      <c r="P897" s="37"/>
      <c r="Q897" s="37"/>
      <c r="R897" s="37"/>
      <c r="S897" s="37"/>
      <c r="T897" s="37"/>
      <c r="U897" s="37"/>
      <c r="V897" s="37"/>
      <c r="W897" s="37"/>
      <c r="X897" s="37"/>
      <c r="Y897" s="37"/>
      <c r="Z897" s="37"/>
      <c r="AA897" s="37"/>
      <c r="AB897" s="37"/>
      <c r="AC897" s="37"/>
      <c r="AD897" s="37"/>
      <c r="AE897" s="37"/>
      <c r="AF897" s="37"/>
      <c r="AG897" s="37"/>
      <c r="AH897" s="37"/>
      <c r="AI897" s="205"/>
      <c r="AJ897" s="205"/>
      <c r="AK897" s="204"/>
      <c r="AL897" s="204"/>
      <c r="AM897" s="204"/>
    </row>
    <row r="898">
      <c r="A898" s="37"/>
      <c r="B898" s="205"/>
      <c r="C898" s="37"/>
      <c r="D898" s="206"/>
      <c r="E898" s="207"/>
      <c r="F898" s="207"/>
      <c r="G898" s="208"/>
      <c r="H898" s="208"/>
      <c r="I898" s="37"/>
      <c r="J898" s="37"/>
      <c r="K898" s="37"/>
      <c r="L898" s="37"/>
      <c r="M898" s="37"/>
      <c r="N898" s="37"/>
      <c r="O898" s="37"/>
      <c r="P898" s="37"/>
      <c r="Q898" s="37"/>
      <c r="R898" s="37"/>
      <c r="S898" s="37"/>
      <c r="T898" s="37"/>
      <c r="U898" s="37"/>
      <c r="V898" s="37"/>
      <c r="W898" s="37"/>
      <c r="X898" s="37"/>
      <c r="Y898" s="37"/>
      <c r="Z898" s="37"/>
      <c r="AA898" s="37"/>
      <c r="AB898" s="37"/>
      <c r="AC898" s="37"/>
      <c r="AD898" s="37"/>
      <c r="AE898" s="37"/>
      <c r="AF898" s="37"/>
      <c r="AG898" s="37"/>
      <c r="AH898" s="37"/>
      <c r="AI898" s="205"/>
      <c r="AJ898" s="205"/>
      <c r="AK898" s="204"/>
      <c r="AL898" s="204"/>
      <c r="AM898" s="204"/>
    </row>
    <row r="899">
      <c r="A899" s="37"/>
      <c r="B899" s="205"/>
      <c r="C899" s="37"/>
      <c r="D899" s="206"/>
      <c r="E899" s="207"/>
      <c r="F899" s="207"/>
      <c r="G899" s="208"/>
      <c r="H899" s="208"/>
      <c r="I899" s="37"/>
      <c r="J899" s="37"/>
      <c r="K899" s="37"/>
      <c r="L899" s="37"/>
      <c r="M899" s="37"/>
      <c r="N899" s="37"/>
      <c r="O899" s="37"/>
      <c r="P899" s="37"/>
      <c r="Q899" s="37"/>
      <c r="R899" s="37"/>
      <c r="S899" s="37"/>
      <c r="T899" s="37"/>
      <c r="U899" s="37"/>
      <c r="V899" s="37"/>
      <c r="W899" s="37"/>
      <c r="X899" s="37"/>
      <c r="Y899" s="37"/>
      <c r="Z899" s="37"/>
      <c r="AA899" s="37"/>
      <c r="AB899" s="37"/>
      <c r="AC899" s="37"/>
      <c r="AD899" s="37"/>
      <c r="AE899" s="37"/>
      <c r="AF899" s="37"/>
      <c r="AG899" s="37"/>
      <c r="AH899" s="37"/>
      <c r="AI899" s="205"/>
      <c r="AJ899" s="205"/>
      <c r="AK899" s="204"/>
      <c r="AL899" s="204"/>
      <c r="AM899" s="204"/>
    </row>
    <row r="900">
      <c r="A900" s="37"/>
      <c r="B900" s="205"/>
      <c r="C900" s="37"/>
      <c r="D900" s="206"/>
      <c r="E900" s="207"/>
      <c r="F900" s="207"/>
      <c r="G900" s="208"/>
      <c r="H900" s="208"/>
      <c r="I900" s="37"/>
      <c r="J900" s="37"/>
      <c r="K900" s="37"/>
      <c r="L900" s="37"/>
      <c r="M900" s="37"/>
      <c r="N900" s="37"/>
      <c r="O900" s="37"/>
      <c r="P900" s="37"/>
      <c r="Q900" s="37"/>
      <c r="R900" s="37"/>
      <c r="S900" s="37"/>
      <c r="T900" s="37"/>
      <c r="U900" s="37"/>
      <c r="V900" s="37"/>
      <c r="W900" s="37"/>
      <c r="X900" s="37"/>
      <c r="Y900" s="37"/>
      <c r="Z900" s="37"/>
      <c r="AA900" s="37"/>
      <c r="AB900" s="37"/>
      <c r="AC900" s="37"/>
      <c r="AD900" s="37"/>
      <c r="AE900" s="37"/>
      <c r="AF900" s="37"/>
      <c r="AG900" s="37"/>
      <c r="AH900" s="37"/>
      <c r="AI900" s="205"/>
      <c r="AJ900" s="205"/>
      <c r="AK900" s="204"/>
      <c r="AL900" s="204"/>
      <c r="AM900" s="204"/>
    </row>
    <row r="901">
      <c r="A901" s="37"/>
      <c r="B901" s="205"/>
      <c r="C901" s="37"/>
      <c r="D901" s="206"/>
      <c r="E901" s="207"/>
      <c r="F901" s="207"/>
      <c r="G901" s="208"/>
      <c r="H901" s="208"/>
      <c r="I901" s="37"/>
      <c r="J901" s="37"/>
      <c r="K901" s="37"/>
      <c r="L901" s="37"/>
      <c r="M901" s="37"/>
      <c r="N901" s="37"/>
      <c r="O901" s="37"/>
      <c r="P901" s="37"/>
      <c r="Q901" s="37"/>
      <c r="R901" s="37"/>
      <c r="S901" s="37"/>
      <c r="T901" s="37"/>
      <c r="U901" s="37"/>
      <c r="V901" s="37"/>
      <c r="W901" s="37"/>
      <c r="X901" s="37"/>
      <c r="Y901" s="37"/>
      <c r="Z901" s="37"/>
      <c r="AA901" s="37"/>
      <c r="AB901" s="37"/>
      <c r="AC901" s="37"/>
      <c r="AD901" s="37"/>
      <c r="AE901" s="37"/>
      <c r="AF901" s="37"/>
      <c r="AG901" s="37"/>
      <c r="AH901" s="37"/>
      <c r="AI901" s="205"/>
      <c r="AJ901" s="205"/>
      <c r="AK901" s="204"/>
      <c r="AL901" s="204"/>
      <c r="AM901" s="204"/>
    </row>
    <row r="902">
      <c r="A902" s="37"/>
      <c r="B902" s="205"/>
      <c r="C902" s="37"/>
      <c r="D902" s="206"/>
      <c r="E902" s="207"/>
      <c r="F902" s="207"/>
      <c r="G902" s="208"/>
      <c r="H902" s="208"/>
      <c r="I902" s="37"/>
      <c r="J902" s="37"/>
      <c r="K902" s="37"/>
      <c r="L902" s="37"/>
      <c r="M902" s="37"/>
      <c r="N902" s="37"/>
      <c r="O902" s="37"/>
      <c r="P902" s="37"/>
      <c r="Q902" s="37"/>
      <c r="R902" s="37"/>
      <c r="S902" s="37"/>
      <c r="T902" s="37"/>
      <c r="U902" s="37"/>
      <c r="V902" s="37"/>
      <c r="W902" s="37"/>
      <c r="X902" s="37"/>
      <c r="Y902" s="37"/>
      <c r="Z902" s="37"/>
      <c r="AA902" s="37"/>
      <c r="AB902" s="37"/>
      <c r="AC902" s="37"/>
      <c r="AD902" s="37"/>
      <c r="AE902" s="37"/>
      <c r="AF902" s="37"/>
      <c r="AG902" s="37"/>
      <c r="AH902" s="37"/>
      <c r="AI902" s="205"/>
      <c r="AJ902" s="205"/>
      <c r="AK902" s="204"/>
      <c r="AL902" s="204"/>
      <c r="AM902" s="204"/>
    </row>
    <row r="903">
      <c r="A903" s="37"/>
      <c r="B903" s="205"/>
      <c r="C903" s="37"/>
      <c r="D903" s="206"/>
      <c r="E903" s="207"/>
      <c r="F903" s="207"/>
      <c r="G903" s="208"/>
      <c r="H903" s="208"/>
      <c r="I903" s="37"/>
      <c r="J903" s="37"/>
      <c r="K903" s="37"/>
      <c r="L903" s="37"/>
      <c r="M903" s="37"/>
      <c r="N903" s="37"/>
      <c r="O903" s="37"/>
      <c r="P903" s="37"/>
      <c r="Q903" s="37"/>
      <c r="R903" s="37"/>
      <c r="S903" s="37"/>
      <c r="T903" s="37"/>
      <c r="U903" s="37"/>
      <c r="V903" s="37"/>
      <c r="W903" s="37"/>
      <c r="X903" s="37"/>
      <c r="Y903" s="37"/>
      <c r="Z903" s="37"/>
      <c r="AA903" s="37"/>
      <c r="AB903" s="37"/>
      <c r="AC903" s="37"/>
      <c r="AD903" s="37"/>
      <c r="AE903" s="37"/>
      <c r="AF903" s="37"/>
      <c r="AG903" s="37"/>
      <c r="AH903" s="37"/>
      <c r="AI903" s="205"/>
      <c r="AJ903" s="205"/>
      <c r="AK903" s="204"/>
      <c r="AL903" s="204"/>
      <c r="AM903" s="204"/>
    </row>
    <row r="904">
      <c r="A904" s="37"/>
      <c r="B904" s="205"/>
      <c r="C904" s="37"/>
      <c r="D904" s="206"/>
      <c r="E904" s="207"/>
      <c r="F904" s="207"/>
      <c r="G904" s="208"/>
      <c r="H904" s="208"/>
      <c r="I904" s="37"/>
      <c r="J904" s="37"/>
      <c r="K904" s="37"/>
      <c r="L904" s="37"/>
      <c r="M904" s="37"/>
      <c r="N904" s="37"/>
      <c r="O904" s="37"/>
      <c r="P904" s="37"/>
      <c r="Q904" s="37"/>
      <c r="R904" s="37"/>
      <c r="S904" s="37"/>
      <c r="T904" s="37"/>
      <c r="U904" s="37"/>
      <c r="V904" s="37"/>
      <c r="W904" s="37"/>
      <c r="X904" s="37"/>
      <c r="Y904" s="37"/>
      <c r="Z904" s="37"/>
      <c r="AA904" s="37"/>
      <c r="AB904" s="37"/>
      <c r="AC904" s="37"/>
      <c r="AD904" s="37"/>
      <c r="AE904" s="37"/>
      <c r="AF904" s="37"/>
      <c r="AG904" s="37"/>
      <c r="AH904" s="37"/>
      <c r="AI904" s="205"/>
      <c r="AJ904" s="205"/>
      <c r="AK904" s="204"/>
      <c r="AL904" s="204"/>
      <c r="AM904" s="204"/>
    </row>
    <row r="905">
      <c r="A905" s="37"/>
      <c r="B905" s="205"/>
      <c r="C905" s="37"/>
      <c r="D905" s="206"/>
      <c r="E905" s="207"/>
      <c r="F905" s="207"/>
      <c r="G905" s="208"/>
      <c r="H905" s="208"/>
      <c r="I905" s="37"/>
      <c r="J905" s="37"/>
      <c r="K905" s="37"/>
      <c r="L905" s="37"/>
      <c r="M905" s="37"/>
      <c r="N905" s="37"/>
      <c r="O905" s="37"/>
      <c r="P905" s="37"/>
      <c r="Q905" s="37"/>
      <c r="R905" s="37"/>
      <c r="S905" s="37"/>
      <c r="T905" s="37"/>
      <c r="U905" s="37"/>
      <c r="V905" s="37"/>
      <c r="W905" s="37"/>
      <c r="X905" s="37"/>
      <c r="Y905" s="37"/>
      <c r="Z905" s="37"/>
      <c r="AA905" s="37"/>
      <c r="AB905" s="37"/>
      <c r="AC905" s="37"/>
      <c r="AD905" s="37"/>
      <c r="AE905" s="37"/>
      <c r="AF905" s="37"/>
      <c r="AG905" s="37"/>
      <c r="AH905" s="37"/>
      <c r="AI905" s="205"/>
      <c r="AJ905" s="205"/>
      <c r="AK905" s="204"/>
      <c r="AL905" s="204"/>
      <c r="AM905" s="204"/>
    </row>
    <row r="906">
      <c r="A906" s="37"/>
      <c r="B906" s="205"/>
      <c r="C906" s="37"/>
      <c r="D906" s="206"/>
      <c r="E906" s="207"/>
      <c r="F906" s="207"/>
      <c r="G906" s="208"/>
      <c r="H906" s="208"/>
      <c r="I906" s="37"/>
      <c r="J906" s="37"/>
      <c r="K906" s="37"/>
      <c r="L906" s="37"/>
      <c r="M906" s="37"/>
      <c r="N906" s="37"/>
      <c r="O906" s="37"/>
      <c r="P906" s="37"/>
      <c r="Q906" s="37"/>
      <c r="R906" s="37"/>
      <c r="S906" s="37"/>
      <c r="T906" s="37"/>
      <c r="U906" s="37"/>
      <c r="V906" s="37"/>
      <c r="W906" s="37"/>
      <c r="X906" s="37"/>
      <c r="Y906" s="37"/>
      <c r="Z906" s="37"/>
      <c r="AA906" s="37"/>
      <c r="AB906" s="37"/>
      <c r="AC906" s="37"/>
      <c r="AD906" s="37"/>
      <c r="AE906" s="37"/>
      <c r="AF906" s="37"/>
      <c r="AG906" s="37"/>
      <c r="AH906" s="37"/>
      <c r="AI906" s="205"/>
      <c r="AJ906" s="205"/>
      <c r="AK906" s="204"/>
      <c r="AL906" s="204"/>
      <c r="AM906" s="204"/>
    </row>
    <row r="907">
      <c r="A907" s="37"/>
      <c r="B907" s="205"/>
      <c r="C907" s="37"/>
      <c r="D907" s="206"/>
      <c r="E907" s="207"/>
      <c r="F907" s="207"/>
      <c r="G907" s="208"/>
      <c r="H907" s="208"/>
      <c r="I907" s="37"/>
      <c r="J907" s="37"/>
      <c r="K907" s="37"/>
      <c r="L907" s="37"/>
      <c r="M907" s="37"/>
      <c r="N907" s="37"/>
      <c r="O907" s="37"/>
      <c r="P907" s="37"/>
      <c r="Q907" s="37"/>
      <c r="R907" s="37"/>
      <c r="S907" s="37"/>
      <c r="T907" s="37"/>
      <c r="U907" s="37"/>
      <c r="V907" s="37"/>
      <c r="W907" s="37"/>
      <c r="X907" s="37"/>
      <c r="Y907" s="37"/>
      <c r="Z907" s="37"/>
      <c r="AA907" s="37"/>
      <c r="AB907" s="37"/>
      <c r="AC907" s="37"/>
      <c r="AD907" s="37"/>
      <c r="AE907" s="37"/>
      <c r="AF907" s="37"/>
      <c r="AG907" s="37"/>
      <c r="AH907" s="37"/>
      <c r="AI907" s="205"/>
      <c r="AJ907" s="205"/>
      <c r="AK907" s="204"/>
      <c r="AL907" s="204"/>
      <c r="AM907" s="204"/>
    </row>
    <row r="908">
      <c r="A908" s="37"/>
      <c r="B908" s="205"/>
      <c r="C908" s="37"/>
      <c r="D908" s="206"/>
      <c r="E908" s="207"/>
      <c r="F908" s="207"/>
      <c r="G908" s="208"/>
      <c r="H908" s="208"/>
      <c r="I908" s="37"/>
      <c r="J908" s="37"/>
      <c r="K908" s="37"/>
      <c r="L908" s="37"/>
      <c r="M908" s="37"/>
      <c r="N908" s="37"/>
      <c r="O908" s="37"/>
      <c r="P908" s="37"/>
      <c r="Q908" s="37"/>
      <c r="R908" s="37"/>
      <c r="S908" s="37"/>
      <c r="T908" s="37"/>
      <c r="U908" s="37"/>
      <c r="V908" s="37"/>
      <c r="W908" s="37"/>
      <c r="X908" s="37"/>
      <c r="Y908" s="37"/>
      <c r="Z908" s="37"/>
      <c r="AA908" s="37"/>
      <c r="AB908" s="37"/>
      <c r="AC908" s="37"/>
      <c r="AD908" s="37"/>
      <c r="AE908" s="37"/>
      <c r="AF908" s="37"/>
      <c r="AG908" s="37"/>
      <c r="AH908" s="37"/>
      <c r="AI908" s="205"/>
      <c r="AJ908" s="205"/>
      <c r="AK908" s="204"/>
      <c r="AL908" s="204"/>
      <c r="AM908" s="204"/>
    </row>
    <row r="909">
      <c r="A909" s="37"/>
      <c r="B909" s="205"/>
      <c r="C909" s="37"/>
      <c r="D909" s="206"/>
      <c r="E909" s="207"/>
      <c r="F909" s="207"/>
      <c r="G909" s="208"/>
      <c r="H909" s="208"/>
      <c r="I909" s="37"/>
      <c r="J909" s="37"/>
      <c r="K909" s="37"/>
      <c r="L909" s="37"/>
      <c r="M909" s="37"/>
      <c r="N909" s="37"/>
      <c r="O909" s="37"/>
      <c r="P909" s="37"/>
      <c r="Q909" s="37"/>
      <c r="R909" s="37"/>
      <c r="S909" s="37"/>
      <c r="T909" s="37"/>
      <c r="U909" s="37"/>
      <c r="V909" s="37"/>
      <c r="W909" s="37"/>
      <c r="X909" s="37"/>
      <c r="Y909" s="37"/>
      <c r="Z909" s="37"/>
      <c r="AA909" s="37"/>
      <c r="AB909" s="37"/>
      <c r="AC909" s="37"/>
      <c r="AD909" s="37"/>
      <c r="AE909" s="37"/>
      <c r="AF909" s="37"/>
      <c r="AG909" s="37"/>
      <c r="AH909" s="37"/>
      <c r="AI909" s="205"/>
      <c r="AJ909" s="205"/>
      <c r="AK909" s="204"/>
      <c r="AL909" s="204"/>
      <c r="AM909" s="204"/>
    </row>
    <row r="910">
      <c r="A910" s="37"/>
      <c r="B910" s="205"/>
      <c r="C910" s="37"/>
      <c r="D910" s="206"/>
      <c r="E910" s="207"/>
      <c r="F910" s="207"/>
      <c r="G910" s="208"/>
      <c r="H910" s="208"/>
      <c r="I910" s="37"/>
      <c r="J910" s="37"/>
      <c r="K910" s="37"/>
      <c r="L910" s="37"/>
      <c r="M910" s="37"/>
      <c r="N910" s="37"/>
      <c r="O910" s="37"/>
      <c r="P910" s="37"/>
      <c r="Q910" s="37"/>
      <c r="R910" s="37"/>
      <c r="S910" s="37"/>
      <c r="T910" s="37"/>
      <c r="U910" s="37"/>
      <c r="V910" s="37"/>
      <c r="W910" s="37"/>
      <c r="X910" s="37"/>
      <c r="Y910" s="37"/>
      <c r="Z910" s="37"/>
      <c r="AA910" s="37"/>
      <c r="AB910" s="37"/>
      <c r="AC910" s="37"/>
      <c r="AD910" s="37"/>
      <c r="AE910" s="37"/>
      <c r="AF910" s="37"/>
      <c r="AG910" s="37"/>
      <c r="AH910" s="37"/>
      <c r="AI910" s="205"/>
      <c r="AJ910" s="205"/>
      <c r="AK910" s="204"/>
      <c r="AL910" s="204"/>
      <c r="AM910" s="204"/>
    </row>
    <row r="911">
      <c r="A911" s="37"/>
      <c r="B911" s="205"/>
      <c r="C911" s="37"/>
      <c r="D911" s="206"/>
      <c r="E911" s="207"/>
      <c r="F911" s="207"/>
      <c r="G911" s="208"/>
      <c r="H911" s="208"/>
      <c r="I911" s="37"/>
      <c r="J911" s="37"/>
      <c r="K911" s="37"/>
      <c r="L911" s="37"/>
      <c r="M911" s="37"/>
      <c r="N911" s="37"/>
      <c r="O911" s="37"/>
      <c r="P911" s="37"/>
      <c r="Q911" s="37"/>
      <c r="R911" s="37"/>
      <c r="S911" s="37"/>
      <c r="T911" s="37"/>
      <c r="U911" s="37"/>
      <c r="V911" s="37"/>
      <c r="W911" s="37"/>
      <c r="X911" s="37"/>
      <c r="Y911" s="37"/>
      <c r="Z911" s="37"/>
      <c r="AA911" s="37"/>
      <c r="AB911" s="37"/>
      <c r="AC911" s="37"/>
      <c r="AD911" s="37"/>
      <c r="AE911" s="37"/>
      <c r="AF911" s="37"/>
      <c r="AG911" s="37"/>
      <c r="AH911" s="37"/>
      <c r="AI911" s="205"/>
      <c r="AJ911" s="205"/>
      <c r="AK911" s="204"/>
      <c r="AL911" s="204"/>
      <c r="AM911" s="204"/>
    </row>
    <row r="912">
      <c r="A912" s="37"/>
      <c r="B912" s="205"/>
      <c r="C912" s="37"/>
      <c r="D912" s="206"/>
      <c r="E912" s="207"/>
      <c r="F912" s="207"/>
      <c r="G912" s="208"/>
      <c r="H912" s="208"/>
      <c r="I912" s="37"/>
      <c r="J912" s="37"/>
      <c r="K912" s="37"/>
      <c r="L912" s="37"/>
      <c r="M912" s="37"/>
      <c r="N912" s="37"/>
      <c r="O912" s="37"/>
      <c r="P912" s="37"/>
      <c r="Q912" s="37"/>
      <c r="R912" s="37"/>
      <c r="S912" s="37"/>
      <c r="T912" s="37"/>
      <c r="U912" s="37"/>
      <c r="V912" s="37"/>
      <c r="W912" s="37"/>
      <c r="X912" s="37"/>
      <c r="Y912" s="37"/>
      <c r="Z912" s="37"/>
      <c r="AA912" s="37"/>
      <c r="AB912" s="37"/>
      <c r="AC912" s="37"/>
      <c r="AD912" s="37"/>
      <c r="AE912" s="37"/>
      <c r="AF912" s="37"/>
      <c r="AG912" s="37"/>
      <c r="AH912" s="37"/>
      <c r="AI912" s="205"/>
      <c r="AJ912" s="205"/>
      <c r="AK912" s="204"/>
      <c r="AL912" s="204"/>
      <c r="AM912" s="204"/>
    </row>
    <row r="913">
      <c r="A913" s="37"/>
      <c r="B913" s="205"/>
      <c r="C913" s="37"/>
      <c r="D913" s="206"/>
      <c r="E913" s="207"/>
      <c r="F913" s="207"/>
      <c r="G913" s="208"/>
      <c r="H913" s="208"/>
      <c r="I913" s="37"/>
      <c r="J913" s="37"/>
      <c r="K913" s="37"/>
      <c r="L913" s="37"/>
      <c r="M913" s="37"/>
      <c r="N913" s="37"/>
      <c r="O913" s="37"/>
      <c r="P913" s="37"/>
      <c r="Q913" s="37"/>
      <c r="R913" s="37"/>
      <c r="S913" s="37"/>
      <c r="T913" s="37"/>
      <c r="U913" s="37"/>
      <c r="V913" s="37"/>
      <c r="W913" s="37"/>
      <c r="X913" s="37"/>
      <c r="Y913" s="37"/>
      <c r="Z913" s="37"/>
      <c r="AA913" s="37"/>
      <c r="AB913" s="37"/>
      <c r="AC913" s="37"/>
      <c r="AD913" s="37"/>
      <c r="AE913" s="37"/>
      <c r="AF913" s="37"/>
      <c r="AG913" s="37"/>
      <c r="AH913" s="37"/>
      <c r="AI913" s="205"/>
      <c r="AJ913" s="205"/>
      <c r="AK913" s="204"/>
      <c r="AL913" s="204"/>
      <c r="AM913" s="204"/>
    </row>
    <row r="914">
      <c r="A914" s="37"/>
      <c r="B914" s="205"/>
      <c r="C914" s="37"/>
      <c r="D914" s="206"/>
      <c r="E914" s="207"/>
      <c r="F914" s="207"/>
      <c r="G914" s="208"/>
      <c r="H914" s="208"/>
      <c r="I914" s="37"/>
      <c r="J914" s="37"/>
      <c r="K914" s="37"/>
      <c r="L914" s="37"/>
      <c r="M914" s="37"/>
      <c r="N914" s="37"/>
      <c r="O914" s="37"/>
      <c r="P914" s="37"/>
      <c r="Q914" s="37"/>
      <c r="R914" s="37"/>
      <c r="S914" s="37"/>
      <c r="T914" s="37"/>
      <c r="U914" s="37"/>
      <c r="V914" s="37"/>
      <c r="W914" s="37"/>
      <c r="X914" s="37"/>
      <c r="Y914" s="37"/>
      <c r="Z914" s="37"/>
      <c r="AA914" s="37"/>
      <c r="AB914" s="37"/>
      <c r="AC914" s="37"/>
      <c r="AD914" s="37"/>
      <c r="AE914" s="37"/>
      <c r="AF914" s="37"/>
      <c r="AG914" s="37"/>
      <c r="AH914" s="37"/>
      <c r="AI914" s="205"/>
      <c r="AJ914" s="205"/>
      <c r="AK914" s="204"/>
      <c r="AL914" s="204"/>
      <c r="AM914" s="204"/>
    </row>
    <row r="915">
      <c r="A915" s="37"/>
      <c r="B915" s="205"/>
      <c r="C915" s="37"/>
      <c r="D915" s="206"/>
      <c r="E915" s="207"/>
      <c r="F915" s="207"/>
      <c r="G915" s="208"/>
      <c r="H915" s="208"/>
      <c r="I915" s="37"/>
      <c r="J915" s="37"/>
      <c r="K915" s="37"/>
      <c r="L915" s="37"/>
      <c r="M915" s="37"/>
      <c r="N915" s="37"/>
      <c r="O915" s="37"/>
      <c r="P915" s="37"/>
      <c r="Q915" s="37"/>
      <c r="R915" s="37"/>
      <c r="S915" s="37"/>
      <c r="T915" s="37"/>
      <c r="U915" s="37"/>
      <c r="V915" s="37"/>
      <c r="W915" s="37"/>
      <c r="X915" s="37"/>
      <c r="Y915" s="37"/>
      <c r="Z915" s="37"/>
      <c r="AA915" s="37"/>
      <c r="AB915" s="37"/>
      <c r="AC915" s="37"/>
      <c r="AD915" s="37"/>
      <c r="AE915" s="37"/>
      <c r="AF915" s="37"/>
      <c r="AG915" s="37"/>
      <c r="AH915" s="37"/>
      <c r="AI915" s="205"/>
      <c r="AJ915" s="205"/>
      <c r="AK915" s="204"/>
      <c r="AL915" s="204"/>
      <c r="AM915" s="204"/>
    </row>
    <row r="916">
      <c r="A916" s="37"/>
      <c r="B916" s="205"/>
      <c r="C916" s="37"/>
      <c r="D916" s="206"/>
      <c r="E916" s="207"/>
      <c r="F916" s="207"/>
      <c r="G916" s="208"/>
      <c r="H916" s="208"/>
      <c r="I916" s="37"/>
      <c r="J916" s="37"/>
      <c r="K916" s="37"/>
      <c r="L916" s="37"/>
      <c r="M916" s="37"/>
      <c r="N916" s="37"/>
      <c r="O916" s="37"/>
      <c r="P916" s="37"/>
      <c r="Q916" s="37"/>
      <c r="R916" s="37"/>
      <c r="S916" s="37"/>
      <c r="T916" s="37"/>
      <c r="U916" s="37"/>
      <c r="V916" s="37"/>
      <c r="W916" s="37"/>
      <c r="X916" s="37"/>
      <c r="Y916" s="37"/>
      <c r="Z916" s="37"/>
      <c r="AA916" s="37"/>
      <c r="AB916" s="37"/>
      <c r="AC916" s="37"/>
      <c r="AD916" s="37"/>
      <c r="AE916" s="37"/>
      <c r="AF916" s="37"/>
      <c r="AG916" s="37"/>
      <c r="AH916" s="37"/>
      <c r="AI916" s="205"/>
      <c r="AJ916" s="205"/>
      <c r="AK916" s="204"/>
      <c r="AL916" s="204"/>
      <c r="AM916" s="204"/>
    </row>
    <row r="917">
      <c r="A917" s="37"/>
      <c r="B917" s="205"/>
      <c r="C917" s="37"/>
      <c r="D917" s="206"/>
      <c r="E917" s="207"/>
      <c r="F917" s="207"/>
      <c r="G917" s="208"/>
      <c r="H917" s="208"/>
      <c r="I917" s="37"/>
      <c r="J917" s="37"/>
      <c r="K917" s="37"/>
      <c r="L917" s="37"/>
      <c r="M917" s="37"/>
      <c r="N917" s="37"/>
      <c r="O917" s="37"/>
      <c r="P917" s="37"/>
      <c r="Q917" s="37"/>
      <c r="R917" s="37"/>
      <c r="S917" s="37"/>
      <c r="T917" s="37"/>
      <c r="U917" s="37"/>
      <c r="V917" s="37"/>
      <c r="W917" s="37"/>
      <c r="X917" s="37"/>
      <c r="Y917" s="37"/>
      <c r="Z917" s="37"/>
      <c r="AA917" s="37"/>
      <c r="AB917" s="37"/>
      <c r="AC917" s="37"/>
      <c r="AD917" s="37"/>
      <c r="AE917" s="37"/>
      <c r="AF917" s="37"/>
      <c r="AG917" s="37"/>
      <c r="AH917" s="37"/>
      <c r="AI917" s="205"/>
      <c r="AJ917" s="205"/>
      <c r="AK917" s="204"/>
      <c r="AL917" s="204"/>
      <c r="AM917" s="204"/>
    </row>
    <row r="918">
      <c r="A918" s="37"/>
      <c r="B918" s="205"/>
      <c r="C918" s="37"/>
      <c r="D918" s="206"/>
      <c r="E918" s="207"/>
      <c r="F918" s="207"/>
      <c r="G918" s="208"/>
      <c r="H918" s="208"/>
      <c r="I918" s="37"/>
      <c r="J918" s="37"/>
      <c r="K918" s="37"/>
      <c r="L918" s="37"/>
      <c r="M918" s="37"/>
      <c r="N918" s="37"/>
      <c r="O918" s="37"/>
      <c r="P918" s="37"/>
      <c r="Q918" s="37"/>
      <c r="R918" s="37"/>
      <c r="S918" s="37"/>
      <c r="T918" s="37"/>
      <c r="U918" s="37"/>
      <c r="V918" s="37"/>
      <c r="W918" s="37"/>
      <c r="X918" s="37"/>
      <c r="Y918" s="37"/>
      <c r="Z918" s="37"/>
      <c r="AA918" s="37"/>
      <c r="AB918" s="37"/>
      <c r="AC918" s="37"/>
      <c r="AD918" s="37"/>
      <c r="AE918" s="37"/>
      <c r="AF918" s="37"/>
      <c r="AG918" s="37"/>
      <c r="AH918" s="37"/>
      <c r="AI918" s="205"/>
      <c r="AJ918" s="205"/>
      <c r="AK918" s="204"/>
      <c r="AL918" s="204"/>
      <c r="AM918" s="204"/>
    </row>
    <row r="919">
      <c r="A919" s="37"/>
      <c r="B919" s="205"/>
      <c r="C919" s="37"/>
      <c r="D919" s="206"/>
      <c r="E919" s="207"/>
      <c r="F919" s="207"/>
      <c r="G919" s="208"/>
      <c r="H919" s="208"/>
      <c r="I919" s="37"/>
      <c r="J919" s="37"/>
      <c r="K919" s="37"/>
      <c r="L919" s="37"/>
      <c r="M919" s="37"/>
      <c r="N919" s="37"/>
      <c r="O919" s="37"/>
      <c r="P919" s="37"/>
      <c r="Q919" s="37"/>
      <c r="R919" s="37"/>
      <c r="S919" s="37"/>
      <c r="T919" s="37"/>
      <c r="U919" s="37"/>
      <c r="V919" s="37"/>
      <c r="W919" s="37"/>
      <c r="X919" s="37"/>
      <c r="Y919" s="37"/>
      <c r="Z919" s="37"/>
      <c r="AA919" s="37"/>
      <c r="AB919" s="37"/>
      <c r="AC919" s="37"/>
      <c r="AD919" s="37"/>
      <c r="AE919" s="37"/>
      <c r="AF919" s="37"/>
      <c r="AG919" s="37"/>
      <c r="AH919" s="37"/>
      <c r="AI919" s="205"/>
      <c r="AJ919" s="205"/>
      <c r="AK919" s="204"/>
      <c r="AL919" s="204"/>
      <c r="AM919" s="204"/>
    </row>
    <row r="920">
      <c r="A920" s="37"/>
      <c r="B920" s="205"/>
      <c r="C920" s="37"/>
      <c r="D920" s="206"/>
      <c r="E920" s="207"/>
      <c r="F920" s="207"/>
      <c r="G920" s="208"/>
      <c r="H920" s="208"/>
      <c r="I920" s="37"/>
      <c r="J920" s="37"/>
      <c r="K920" s="37"/>
      <c r="L920" s="37"/>
      <c r="M920" s="37"/>
      <c r="N920" s="37"/>
      <c r="O920" s="37"/>
      <c r="P920" s="37"/>
      <c r="Q920" s="37"/>
      <c r="R920" s="37"/>
      <c r="S920" s="37"/>
      <c r="T920" s="37"/>
      <c r="U920" s="37"/>
      <c r="V920" s="37"/>
      <c r="W920" s="37"/>
      <c r="X920" s="37"/>
      <c r="Y920" s="37"/>
      <c r="Z920" s="37"/>
      <c r="AA920" s="37"/>
      <c r="AB920" s="37"/>
      <c r="AC920" s="37"/>
      <c r="AD920" s="37"/>
      <c r="AE920" s="37"/>
      <c r="AF920" s="37"/>
      <c r="AG920" s="37"/>
      <c r="AH920" s="37"/>
      <c r="AI920" s="205"/>
      <c r="AJ920" s="205"/>
      <c r="AK920" s="204"/>
      <c r="AL920" s="204"/>
      <c r="AM920" s="204"/>
    </row>
    <row r="921">
      <c r="A921" s="37"/>
      <c r="B921" s="205"/>
      <c r="C921" s="37"/>
      <c r="D921" s="206"/>
      <c r="E921" s="207"/>
      <c r="F921" s="207"/>
      <c r="G921" s="208"/>
      <c r="H921" s="208"/>
      <c r="I921" s="37"/>
      <c r="J921" s="37"/>
      <c r="K921" s="37"/>
      <c r="L921" s="37"/>
      <c r="M921" s="37"/>
      <c r="N921" s="37"/>
      <c r="O921" s="37"/>
      <c r="P921" s="37"/>
      <c r="Q921" s="37"/>
      <c r="R921" s="37"/>
      <c r="S921" s="37"/>
      <c r="T921" s="37"/>
      <c r="U921" s="37"/>
      <c r="V921" s="37"/>
      <c r="W921" s="37"/>
      <c r="X921" s="37"/>
      <c r="Y921" s="37"/>
      <c r="Z921" s="37"/>
      <c r="AA921" s="37"/>
      <c r="AB921" s="37"/>
      <c r="AC921" s="37"/>
      <c r="AD921" s="37"/>
      <c r="AE921" s="37"/>
      <c r="AF921" s="37"/>
      <c r="AG921" s="37"/>
      <c r="AH921" s="37"/>
      <c r="AI921" s="205"/>
      <c r="AJ921" s="205"/>
      <c r="AK921" s="204"/>
      <c r="AL921" s="204"/>
      <c r="AM921" s="204"/>
    </row>
    <row r="922">
      <c r="A922" s="37"/>
      <c r="B922" s="205"/>
      <c r="C922" s="37"/>
      <c r="D922" s="206"/>
      <c r="E922" s="207"/>
      <c r="F922" s="207"/>
      <c r="G922" s="208"/>
      <c r="H922" s="208"/>
      <c r="I922" s="37"/>
      <c r="J922" s="37"/>
      <c r="K922" s="37"/>
      <c r="L922" s="37"/>
      <c r="M922" s="37"/>
      <c r="N922" s="37"/>
      <c r="O922" s="37"/>
      <c r="P922" s="37"/>
      <c r="Q922" s="37"/>
      <c r="R922" s="37"/>
      <c r="S922" s="37"/>
      <c r="T922" s="37"/>
      <c r="U922" s="37"/>
      <c r="V922" s="37"/>
      <c r="W922" s="37"/>
      <c r="X922" s="37"/>
      <c r="Y922" s="37"/>
      <c r="Z922" s="37"/>
      <c r="AA922" s="37"/>
      <c r="AB922" s="37"/>
      <c r="AC922" s="37"/>
      <c r="AD922" s="37"/>
      <c r="AE922" s="37"/>
      <c r="AF922" s="37"/>
      <c r="AG922" s="37"/>
      <c r="AH922" s="37"/>
      <c r="AI922" s="205"/>
      <c r="AJ922" s="205"/>
      <c r="AK922" s="204"/>
      <c r="AL922" s="204"/>
      <c r="AM922" s="204"/>
    </row>
    <row r="923">
      <c r="A923" s="37"/>
      <c r="B923" s="205"/>
      <c r="C923" s="37"/>
      <c r="D923" s="206"/>
      <c r="E923" s="207"/>
      <c r="F923" s="207"/>
      <c r="G923" s="208"/>
      <c r="H923" s="208"/>
      <c r="I923" s="37"/>
      <c r="J923" s="37"/>
      <c r="K923" s="37"/>
      <c r="L923" s="37"/>
      <c r="M923" s="37"/>
      <c r="N923" s="37"/>
      <c r="O923" s="37"/>
      <c r="P923" s="37"/>
      <c r="Q923" s="37"/>
      <c r="R923" s="37"/>
      <c r="S923" s="37"/>
      <c r="T923" s="37"/>
      <c r="U923" s="37"/>
      <c r="V923" s="37"/>
      <c r="W923" s="37"/>
      <c r="X923" s="37"/>
      <c r="Y923" s="37"/>
      <c r="Z923" s="37"/>
      <c r="AA923" s="37"/>
      <c r="AB923" s="37"/>
      <c r="AC923" s="37"/>
      <c r="AD923" s="37"/>
      <c r="AE923" s="37"/>
      <c r="AF923" s="37"/>
      <c r="AG923" s="37"/>
      <c r="AH923" s="37"/>
      <c r="AI923" s="205"/>
      <c r="AJ923" s="205"/>
      <c r="AK923" s="204"/>
      <c r="AL923" s="204"/>
      <c r="AM923" s="204"/>
    </row>
    <row r="924">
      <c r="A924" s="37"/>
      <c r="B924" s="205"/>
      <c r="C924" s="37"/>
      <c r="D924" s="206"/>
      <c r="E924" s="207"/>
      <c r="F924" s="207"/>
      <c r="G924" s="208"/>
      <c r="H924" s="208"/>
      <c r="I924" s="37"/>
      <c r="J924" s="37"/>
      <c r="K924" s="37"/>
      <c r="L924" s="37"/>
      <c r="M924" s="37"/>
      <c r="N924" s="37"/>
      <c r="O924" s="37"/>
      <c r="P924" s="37"/>
      <c r="Q924" s="37"/>
      <c r="R924" s="37"/>
      <c r="S924" s="37"/>
      <c r="T924" s="37"/>
      <c r="U924" s="37"/>
      <c r="V924" s="37"/>
      <c r="W924" s="37"/>
      <c r="X924" s="37"/>
      <c r="Y924" s="37"/>
      <c r="Z924" s="37"/>
      <c r="AA924" s="37"/>
      <c r="AB924" s="37"/>
      <c r="AC924" s="37"/>
      <c r="AD924" s="37"/>
      <c r="AE924" s="37"/>
      <c r="AF924" s="37"/>
      <c r="AG924" s="37"/>
      <c r="AH924" s="37"/>
      <c r="AI924" s="205"/>
      <c r="AJ924" s="205"/>
      <c r="AK924" s="204"/>
      <c r="AL924" s="204"/>
      <c r="AM924" s="204"/>
    </row>
    <row r="925">
      <c r="A925" s="37"/>
      <c r="B925" s="205"/>
      <c r="C925" s="37"/>
      <c r="D925" s="206"/>
      <c r="E925" s="207"/>
      <c r="F925" s="207"/>
      <c r="G925" s="208"/>
      <c r="H925" s="208"/>
      <c r="I925" s="37"/>
      <c r="J925" s="37"/>
      <c r="K925" s="37"/>
      <c r="L925" s="37"/>
      <c r="M925" s="37"/>
      <c r="N925" s="37"/>
      <c r="O925" s="37"/>
      <c r="P925" s="37"/>
      <c r="Q925" s="37"/>
      <c r="R925" s="37"/>
      <c r="S925" s="37"/>
      <c r="T925" s="37"/>
      <c r="U925" s="37"/>
      <c r="V925" s="37"/>
      <c r="W925" s="37"/>
      <c r="X925" s="37"/>
      <c r="Y925" s="37"/>
      <c r="Z925" s="37"/>
      <c r="AA925" s="37"/>
      <c r="AB925" s="37"/>
      <c r="AC925" s="37"/>
      <c r="AD925" s="37"/>
      <c r="AE925" s="37"/>
      <c r="AF925" s="37"/>
      <c r="AG925" s="37"/>
      <c r="AH925" s="37"/>
      <c r="AI925" s="205"/>
      <c r="AJ925" s="205"/>
      <c r="AK925" s="204"/>
      <c r="AL925" s="204"/>
      <c r="AM925" s="204"/>
    </row>
    <row r="926">
      <c r="A926" s="37"/>
      <c r="B926" s="205"/>
      <c r="C926" s="37"/>
      <c r="D926" s="206"/>
      <c r="E926" s="207"/>
      <c r="F926" s="207"/>
      <c r="G926" s="208"/>
      <c r="H926" s="208"/>
      <c r="I926" s="37"/>
      <c r="J926" s="37"/>
      <c r="K926" s="37"/>
      <c r="L926" s="37"/>
      <c r="M926" s="37"/>
      <c r="N926" s="37"/>
      <c r="O926" s="37"/>
      <c r="P926" s="37"/>
      <c r="Q926" s="37"/>
      <c r="R926" s="37"/>
      <c r="S926" s="37"/>
      <c r="T926" s="37"/>
      <c r="U926" s="37"/>
      <c r="V926" s="37"/>
      <c r="W926" s="37"/>
      <c r="X926" s="37"/>
      <c r="Y926" s="37"/>
      <c r="Z926" s="37"/>
      <c r="AA926" s="37"/>
      <c r="AB926" s="37"/>
      <c r="AC926" s="37"/>
      <c r="AD926" s="37"/>
      <c r="AE926" s="37"/>
      <c r="AF926" s="37"/>
      <c r="AG926" s="37"/>
      <c r="AH926" s="37"/>
      <c r="AI926" s="205"/>
      <c r="AJ926" s="205"/>
      <c r="AK926" s="204"/>
      <c r="AL926" s="204"/>
      <c r="AM926" s="204"/>
    </row>
    <row r="927">
      <c r="A927" s="37"/>
      <c r="B927" s="205"/>
      <c r="C927" s="37"/>
      <c r="D927" s="206"/>
      <c r="E927" s="207"/>
      <c r="F927" s="207"/>
      <c r="G927" s="208"/>
      <c r="H927" s="208"/>
      <c r="I927" s="37"/>
      <c r="J927" s="37"/>
      <c r="K927" s="37"/>
      <c r="L927" s="37"/>
      <c r="M927" s="37"/>
      <c r="N927" s="37"/>
      <c r="O927" s="37"/>
      <c r="P927" s="37"/>
      <c r="Q927" s="37"/>
      <c r="R927" s="37"/>
      <c r="S927" s="37"/>
      <c r="T927" s="37"/>
      <c r="U927" s="37"/>
      <c r="V927" s="37"/>
      <c r="W927" s="37"/>
      <c r="X927" s="37"/>
      <c r="Y927" s="37"/>
      <c r="Z927" s="37"/>
      <c r="AA927" s="37"/>
      <c r="AB927" s="37"/>
      <c r="AC927" s="37"/>
      <c r="AD927" s="37"/>
      <c r="AE927" s="37"/>
      <c r="AF927" s="37"/>
      <c r="AG927" s="37"/>
      <c r="AH927" s="37"/>
      <c r="AI927" s="205"/>
      <c r="AJ927" s="205"/>
      <c r="AK927" s="204"/>
      <c r="AL927" s="204"/>
      <c r="AM927" s="204"/>
    </row>
    <row r="928">
      <c r="A928" s="37"/>
      <c r="B928" s="205"/>
      <c r="C928" s="37"/>
      <c r="D928" s="206"/>
      <c r="E928" s="207"/>
      <c r="F928" s="207"/>
      <c r="G928" s="208"/>
      <c r="H928" s="208"/>
      <c r="I928" s="37"/>
      <c r="J928" s="37"/>
      <c r="K928" s="37"/>
      <c r="L928" s="37"/>
      <c r="M928" s="37"/>
      <c r="N928" s="37"/>
      <c r="O928" s="37"/>
      <c r="P928" s="37"/>
      <c r="Q928" s="37"/>
      <c r="R928" s="37"/>
      <c r="S928" s="37"/>
      <c r="T928" s="37"/>
      <c r="U928" s="37"/>
      <c r="V928" s="37"/>
      <c r="W928" s="37"/>
      <c r="X928" s="37"/>
      <c r="Y928" s="37"/>
      <c r="Z928" s="37"/>
      <c r="AA928" s="37"/>
      <c r="AB928" s="37"/>
      <c r="AC928" s="37"/>
      <c r="AD928" s="37"/>
      <c r="AE928" s="37"/>
      <c r="AF928" s="37"/>
      <c r="AG928" s="37"/>
      <c r="AH928" s="37"/>
      <c r="AI928" s="205"/>
      <c r="AJ928" s="205"/>
      <c r="AK928" s="204"/>
      <c r="AL928" s="204"/>
      <c r="AM928" s="204"/>
    </row>
    <row r="929">
      <c r="A929" s="37"/>
      <c r="B929" s="205"/>
      <c r="C929" s="37"/>
      <c r="D929" s="206"/>
      <c r="E929" s="207"/>
      <c r="F929" s="207"/>
      <c r="G929" s="208"/>
      <c r="H929" s="208"/>
      <c r="I929" s="37"/>
      <c r="J929" s="37"/>
      <c r="K929" s="37"/>
      <c r="L929" s="37"/>
      <c r="M929" s="37"/>
      <c r="N929" s="37"/>
      <c r="O929" s="37"/>
      <c r="P929" s="37"/>
      <c r="Q929" s="37"/>
      <c r="R929" s="37"/>
      <c r="S929" s="37"/>
      <c r="T929" s="37"/>
      <c r="U929" s="37"/>
      <c r="V929" s="37"/>
      <c r="W929" s="37"/>
      <c r="X929" s="37"/>
      <c r="Y929" s="37"/>
      <c r="Z929" s="37"/>
      <c r="AA929" s="37"/>
      <c r="AB929" s="37"/>
      <c r="AC929" s="37"/>
      <c r="AD929" s="37"/>
      <c r="AE929" s="37"/>
      <c r="AF929" s="37"/>
      <c r="AG929" s="37"/>
      <c r="AH929" s="37"/>
      <c r="AI929" s="205"/>
      <c r="AJ929" s="205"/>
      <c r="AK929" s="204"/>
      <c r="AL929" s="204"/>
      <c r="AM929" s="204"/>
    </row>
    <row r="930">
      <c r="A930" s="37"/>
      <c r="B930" s="205"/>
      <c r="C930" s="37"/>
      <c r="D930" s="206"/>
      <c r="E930" s="207"/>
      <c r="F930" s="207"/>
      <c r="G930" s="208"/>
      <c r="H930" s="208"/>
      <c r="I930" s="37"/>
      <c r="J930" s="37"/>
      <c r="K930" s="37"/>
      <c r="L930" s="37"/>
      <c r="M930" s="37"/>
      <c r="N930" s="37"/>
      <c r="O930" s="37"/>
      <c r="P930" s="37"/>
      <c r="Q930" s="37"/>
      <c r="R930" s="37"/>
      <c r="S930" s="37"/>
      <c r="T930" s="37"/>
      <c r="U930" s="37"/>
      <c r="V930" s="37"/>
      <c r="W930" s="37"/>
      <c r="X930" s="37"/>
      <c r="Y930" s="37"/>
      <c r="Z930" s="37"/>
      <c r="AA930" s="37"/>
      <c r="AB930" s="37"/>
      <c r="AC930" s="37"/>
      <c r="AD930" s="37"/>
      <c r="AE930" s="37"/>
      <c r="AF930" s="37"/>
      <c r="AG930" s="37"/>
      <c r="AH930" s="37"/>
      <c r="AI930" s="205"/>
      <c r="AJ930" s="205"/>
      <c r="AK930" s="204"/>
      <c r="AL930" s="204"/>
      <c r="AM930" s="204"/>
    </row>
    <row r="931">
      <c r="A931" s="204"/>
      <c r="B931" s="209"/>
      <c r="C931" s="204"/>
      <c r="D931" s="210"/>
      <c r="E931" s="211"/>
      <c r="F931" s="211"/>
      <c r="G931" s="212"/>
      <c r="H931" s="212"/>
      <c r="I931" s="204"/>
      <c r="J931" s="204"/>
      <c r="K931" s="204"/>
      <c r="L931" s="204"/>
      <c r="M931" s="204"/>
      <c r="N931" s="204"/>
      <c r="O931" s="204"/>
      <c r="P931" s="204"/>
      <c r="Q931" s="204"/>
      <c r="R931" s="204"/>
      <c r="S931" s="204"/>
      <c r="T931" s="204"/>
      <c r="U931" s="204"/>
      <c r="V931" s="204"/>
      <c r="W931" s="204"/>
      <c r="X931" s="204"/>
      <c r="Y931" s="204"/>
      <c r="Z931" s="204"/>
      <c r="AA931" s="204"/>
      <c r="AB931" s="204"/>
      <c r="AC931" s="204"/>
      <c r="AD931" s="204"/>
      <c r="AE931" s="204"/>
      <c r="AF931" s="204"/>
      <c r="AG931" s="204"/>
      <c r="AH931" s="204"/>
      <c r="AI931" s="209"/>
      <c r="AJ931" s="209"/>
      <c r="AK931" s="204"/>
      <c r="AL931" s="204"/>
      <c r="AM931" s="204"/>
    </row>
    <row r="932">
      <c r="A932" s="204"/>
      <c r="B932" s="209"/>
      <c r="C932" s="204"/>
      <c r="D932" s="210"/>
      <c r="E932" s="211"/>
      <c r="F932" s="211"/>
      <c r="G932" s="212"/>
      <c r="H932" s="212"/>
      <c r="I932" s="204"/>
      <c r="J932" s="204"/>
      <c r="K932" s="204"/>
      <c r="L932" s="204"/>
      <c r="M932" s="204"/>
      <c r="N932" s="204"/>
      <c r="O932" s="204"/>
      <c r="P932" s="204"/>
      <c r="Q932" s="204"/>
      <c r="R932" s="204"/>
      <c r="S932" s="204"/>
      <c r="T932" s="204"/>
      <c r="U932" s="204"/>
      <c r="V932" s="204"/>
      <c r="W932" s="204"/>
      <c r="X932" s="204"/>
      <c r="Y932" s="204"/>
      <c r="Z932" s="204"/>
      <c r="AA932" s="204"/>
      <c r="AB932" s="204"/>
      <c r="AC932" s="204"/>
      <c r="AD932" s="204"/>
      <c r="AE932" s="204"/>
      <c r="AF932" s="204"/>
      <c r="AG932" s="204"/>
      <c r="AH932" s="204"/>
      <c r="AI932" s="209"/>
      <c r="AJ932" s="209"/>
      <c r="AK932" s="204"/>
      <c r="AL932" s="204"/>
      <c r="AM932" s="204"/>
    </row>
    <row r="933">
      <c r="A933" s="204"/>
      <c r="B933" s="209"/>
      <c r="C933" s="204"/>
      <c r="D933" s="210"/>
      <c r="E933" s="211"/>
      <c r="F933" s="211"/>
      <c r="G933" s="212"/>
      <c r="H933" s="212"/>
      <c r="I933" s="204"/>
      <c r="J933" s="204"/>
      <c r="K933" s="204"/>
      <c r="L933" s="204"/>
      <c r="M933" s="204"/>
      <c r="N933" s="204"/>
      <c r="O933" s="204"/>
      <c r="P933" s="204"/>
      <c r="Q933" s="204"/>
      <c r="R933" s="204"/>
      <c r="S933" s="204"/>
      <c r="T933" s="204"/>
      <c r="U933" s="204"/>
      <c r="V933" s="204"/>
      <c r="W933" s="204"/>
      <c r="X933" s="204"/>
      <c r="Y933" s="204"/>
      <c r="Z933" s="204"/>
      <c r="AA933" s="204"/>
      <c r="AB933" s="204"/>
      <c r="AC933" s="204"/>
      <c r="AD933" s="204"/>
      <c r="AE933" s="204"/>
      <c r="AF933" s="204"/>
      <c r="AG933" s="204"/>
      <c r="AH933" s="204"/>
      <c r="AI933" s="209"/>
      <c r="AJ933" s="209"/>
      <c r="AK933" s="204"/>
      <c r="AL933" s="204"/>
      <c r="AM933" s="204"/>
    </row>
    <row r="934">
      <c r="A934" s="204"/>
      <c r="B934" s="209"/>
      <c r="C934" s="204"/>
      <c r="D934" s="210"/>
      <c r="E934" s="211"/>
      <c r="F934" s="211"/>
      <c r="G934" s="212"/>
      <c r="H934" s="212"/>
      <c r="I934" s="204"/>
      <c r="J934" s="204"/>
      <c r="K934" s="204"/>
      <c r="L934" s="204"/>
      <c r="M934" s="204"/>
      <c r="N934" s="204"/>
      <c r="O934" s="204"/>
      <c r="P934" s="204"/>
      <c r="Q934" s="204"/>
      <c r="R934" s="204"/>
      <c r="S934" s="204"/>
      <c r="T934" s="204"/>
      <c r="U934" s="204"/>
      <c r="V934" s="204"/>
      <c r="W934" s="204"/>
      <c r="X934" s="204"/>
      <c r="Y934" s="204"/>
      <c r="Z934" s="204"/>
      <c r="AA934" s="204"/>
      <c r="AB934" s="204"/>
      <c r="AC934" s="204"/>
      <c r="AD934" s="204"/>
      <c r="AE934" s="204"/>
      <c r="AF934" s="204"/>
      <c r="AG934" s="204"/>
      <c r="AH934" s="204"/>
      <c r="AI934" s="209"/>
      <c r="AJ934" s="209"/>
      <c r="AK934" s="204"/>
      <c r="AL934" s="204"/>
      <c r="AM934" s="204"/>
    </row>
    <row r="935">
      <c r="A935" s="204"/>
      <c r="B935" s="209"/>
      <c r="C935" s="204"/>
      <c r="D935" s="210"/>
      <c r="E935" s="211"/>
      <c r="F935" s="211"/>
      <c r="G935" s="212"/>
      <c r="H935" s="212"/>
      <c r="I935" s="204"/>
      <c r="J935" s="204"/>
      <c r="K935" s="204"/>
      <c r="L935" s="204"/>
      <c r="M935" s="204"/>
      <c r="N935" s="204"/>
      <c r="O935" s="204"/>
      <c r="P935" s="204"/>
      <c r="Q935" s="204"/>
      <c r="R935" s="204"/>
      <c r="S935" s="204"/>
      <c r="T935" s="204"/>
      <c r="U935" s="204"/>
      <c r="V935" s="204"/>
      <c r="W935" s="204"/>
      <c r="X935" s="204"/>
      <c r="Y935" s="204"/>
      <c r="Z935" s="204"/>
      <c r="AA935" s="204"/>
      <c r="AB935" s="204"/>
      <c r="AC935" s="204"/>
      <c r="AD935" s="204"/>
      <c r="AE935" s="204"/>
      <c r="AF935" s="204"/>
      <c r="AG935" s="204"/>
      <c r="AH935" s="204"/>
      <c r="AI935" s="209"/>
      <c r="AJ935" s="209"/>
      <c r="AK935" s="204"/>
      <c r="AL935" s="204"/>
      <c r="AM935" s="204"/>
    </row>
    <row r="936">
      <c r="A936" s="204"/>
      <c r="B936" s="209"/>
      <c r="C936" s="204"/>
      <c r="D936" s="210"/>
      <c r="E936" s="211"/>
      <c r="F936" s="211"/>
      <c r="G936" s="212"/>
      <c r="H936" s="212"/>
      <c r="I936" s="204"/>
      <c r="J936" s="204"/>
      <c r="K936" s="204"/>
      <c r="L936" s="204"/>
      <c r="M936" s="204"/>
      <c r="N936" s="204"/>
      <c r="O936" s="204"/>
      <c r="P936" s="204"/>
      <c r="Q936" s="204"/>
      <c r="R936" s="204"/>
      <c r="S936" s="204"/>
      <c r="T936" s="204"/>
      <c r="U936" s="204"/>
      <c r="V936" s="204"/>
      <c r="W936" s="204"/>
      <c r="X936" s="204"/>
      <c r="Y936" s="204"/>
      <c r="Z936" s="204"/>
      <c r="AA936" s="204"/>
      <c r="AB936" s="204"/>
      <c r="AC936" s="204"/>
      <c r="AD936" s="204"/>
      <c r="AE936" s="204"/>
      <c r="AF936" s="204"/>
      <c r="AG936" s="204"/>
      <c r="AH936" s="204"/>
      <c r="AI936" s="209"/>
      <c r="AJ936" s="209"/>
      <c r="AK936" s="204"/>
      <c r="AL936" s="204"/>
      <c r="AM936" s="204"/>
    </row>
    <row r="937">
      <c r="A937" s="204"/>
      <c r="B937" s="209"/>
      <c r="C937" s="204"/>
      <c r="D937" s="210"/>
      <c r="E937" s="211"/>
      <c r="F937" s="211"/>
      <c r="G937" s="212"/>
      <c r="H937" s="212"/>
      <c r="I937" s="204"/>
      <c r="J937" s="204"/>
      <c r="K937" s="204"/>
      <c r="L937" s="204"/>
      <c r="M937" s="204"/>
      <c r="N937" s="204"/>
      <c r="O937" s="204"/>
      <c r="P937" s="204"/>
      <c r="Q937" s="204"/>
      <c r="R937" s="204"/>
      <c r="S937" s="204"/>
      <c r="T937" s="204"/>
      <c r="U937" s="204"/>
      <c r="V937" s="204"/>
      <c r="W937" s="204"/>
      <c r="X937" s="204"/>
      <c r="Y937" s="204"/>
      <c r="Z937" s="204"/>
      <c r="AA937" s="204"/>
      <c r="AB937" s="204"/>
      <c r="AC937" s="204"/>
      <c r="AD937" s="204"/>
      <c r="AE937" s="204"/>
      <c r="AF937" s="204"/>
      <c r="AG937" s="204"/>
      <c r="AH937" s="204"/>
      <c r="AI937" s="209"/>
      <c r="AJ937" s="209"/>
      <c r="AK937" s="204"/>
      <c r="AL937" s="204"/>
      <c r="AM937" s="204"/>
    </row>
    <row r="938">
      <c r="A938" s="204"/>
      <c r="B938" s="209"/>
      <c r="C938" s="204"/>
      <c r="D938" s="210"/>
      <c r="E938" s="211"/>
      <c r="F938" s="211"/>
      <c r="G938" s="212"/>
      <c r="H938" s="212"/>
      <c r="I938" s="204"/>
      <c r="J938" s="204"/>
      <c r="K938" s="204"/>
      <c r="L938" s="204"/>
      <c r="M938" s="204"/>
      <c r="N938" s="204"/>
      <c r="O938" s="204"/>
      <c r="P938" s="204"/>
      <c r="Q938" s="204"/>
      <c r="R938" s="204"/>
      <c r="S938" s="204"/>
      <c r="T938" s="204"/>
      <c r="U938" s="204"/>
      <c r="V938" s="204"/>
      <c r="W938" s="204"/>
      <c r="X938" s="204"/>
      <c r="Y938" s="204"/>
      <c r="Z938" s="204"/>
      <c r="AA938" s="204"/>
      <c r="AB938" s="204"/>
      <c r="AC938" s="204"/>
      <c r="AD938" s="204"/>
      <c r="AE938" s="204"/>
      <c r="AF938" s="204"/>
      <c r="AG938" s="204"/>
      <c r="AH938" s="204"/>
      <c r="AI938" s="209"/>
      <c r="AJ938" s="209"/>
      <c r="AK938" s="204"/>
      <c r="AL938" s="204"/>
      <c r="AM938" s="204"/>
    </row>
    <row r="939">
      <c r="A939" s="204"/>
      <c r="B939" s="209"/>
      <c r="C939" s="204"/>
      <c r="D939" s="210"/>
      <c r="E939" s="211"/>
      <c r="F939" s="211"/>
      <c r="G939" s="212"/>
      <c r="H939" s="212"/>
      <c r="I939" s="204"/>
      <c r="J939" s="204"/>
      <c r="K939" s="204"/>
      <c r="L939" s="204"/>
      <c r="M939" s="204"/>
      <c r="N939" s="204"/>
      <c r="O939" s="204"/>
      <c r="P939" s="204"/>
      <c r="Q939" s="204"/>
      <c r="R939" s="204"/>
      <c r="S939" s="204"/>
      <c r="T939" s="204"/>
      <c r="U939" s="204"/>
      <c r="V939" s="204"/>
      <c r="W939" s="204"/>
      <c r="X939" s="204"/>
      <c r="Y939" s="204"/>
      <c r="Z939" s="204"/>
      <c r="AA939" s="204"/>
      <c r="AB939" s="204"/>
      <c r="AC939" s="204"/>
      <c r="AD939" s="204"/>
      <c r="AE939" s="204"/>
      <c r="AF939" s="204"/>
      <c r="AG939" s="204"/>
      <c r="AH939" s="204"/>
      <c r="AI939" s="209"/>
      <c r="AJ939" s="209"/>
      <c r="AK939" s="204"/>
      <c r="AL939" s="204"/>
      <c r="AM939" s="204"/>
    </row>
    <row r="940">
      <c r="A940" s="204"/>
      <c r="B940" s="209"/>
      <c r="C940" s="204"/>
      <c r="D940" s="210"/>
      <c r="E940" s="211"/>
      <c r="F940" s="211"/>
      <c r="G940" s="212"/>
      <c r="H940" s="212"/>
      <c r="I940" s="204"/>
      <c r="J940" s="204"/>
      <c r="K940" s="204"/>
      <c r="L940" s="204"/>
      <c r="M940" s="204"/>
      <c r="N940" s="204"/>
      <c r="O940" s="204"/>
      <c r="P940" s="204"/>
      <c r="Q940" s="204"/>
      <c r="R940" s="204"/>
      <c r="S940" s="204"/>
      <c r="T940" s="204"/>
      <c r="U940" s="204"/>
      <c r="V940" s="204"/>
      <c r="W940" s="204"/>
      <c r="X940" s="204"/>
      <c r="Y940" s="204"/>
      <c r="Z940" s="204"/>
      <c r="AA940" s="204"/>
      <c r="AB940" s="204"/>
      <c r="AC940" s="204"/>
      <c r="AD940" s="204"/>
      <c r="AE940" s="204"/>
      <c r="AF940" s="204"/>
      <c r="AG940" s="204"/>
      <c r="AH940" s="204"/>
      <c r="AI940" s="209"/>
      <c r="AJ940" s="209"/>
      <c r="AK940" s="204"/>
      <c r="AL940" s="204"/>
      <c r="AM940" s="204"/>
    </row>
    <row r="941">
      <c r="A941" s="204"/>
      <c r="B941" s="209"/>
      <c r="C941" s="204"/>
      <c r="D941" s="210"/>
      <c r="E941" s="211"/>
      <c r="F941" s="211"/>
      <c r="G941" s="212"/>
      <c r="H941" s="212"/>
      <c r="I941" s="204"/>
      <c r="J941" s="204"/>
      <c r="K941" s="204"/>
      <c r="L941" s="204"/>
      <c r="M941" s="204"/>
      <c r="N941" s="204"/>
      <c r="O941" s="204"/>
      <c r="P941" s="204"/>
      <c r="Q941" s="204"/>
      <c r="R941" s="204"/>
      <c r="S941" s="204"/>
      <c r="T941" s="204"/>
      <c r="U941" s="204"/>
      <c r="V941" s="204"/>
      <c r="W941" s="204"/>
      <c r="X941" s="204"/>
      <c r="Y941" s="204"/>
      <c r="Z941" s="204"/>
      <c r="AA941" s="204"/>
      <c r="AB941" s="204"/>
      <c r="AC941" s="204"/>
      <c r="AD941" s="204"/>
      <c r="AE941" s="204"/>
      <c r="AF941" s="204"/>
      <c r="AG941" s="204"/>
      <c r="AH941" s="204"/>
      <c r="AI941" s="209"/>
      <c r="AJ941" s="209"/>
      <c r="AK941" s="204"/>
      <c r="AL941" s="204"/>
      <c r="AM941" s="204"/>
    </row>
    <row r="942">
      <c r="A942" s="204"/>
      <c r="B942" s="209"/>
      <c r="C942" s="204"/>
      <c r="D942" s="210"/>
      <c r="E942" s="211"/>
      <c r="F942" s="211"/>
      <c r="G942" s="212"/>
      <c r="H942" s="212"/>
      <c r="I942" s="204"/>
      <c r="J942" s="204"/>
      <c r="K942" s="204"/>
      <c r="L942" s="204"/>
      <c r="M942" s="204"/>
      <c r="N942" s="204"/>
      <c r="O942" s="204"/>
      <c r="P942" s="204"/>
      <c r="Q942" s="204"/>
      <c r="R942" s="204"/>
      <c r="S942" s="204"/>
      <c r="T942" s="204"/>
      <c r="U942" s="204"/>
      <c r="V942" s="204"/>
      <c r="W942" s="204"/>
      <c r="X942" s="204"/>
      <c r="Y942" s="204"/>
      <c r="Z942" s="204"/>
      <c r="AA942" s="204"/>
      <c r="AB942" s="204"/>
      <c r="AC942" s="204"/>
      <c r="AD942" s="204"/>
      <c r="AE942" s="204"/>
      <c r="AF942" s="204"/>
      <c r="AG942" s="204"/>
      <c r="AH942" s="204"/>
      <c r="AI942" s="209"/>
      <c r="AJ942" s="209"/>
      <c r="AK942" s="204"/>
      <c r="AL942" s="204"/>
      <c r="AM942" s="204"/>
    </row>
    <row r="943">
      <c r="A943" s="204"/>
      <c r="B943" s="209"/>
      <c r="C943" s="204"/>
      <c r="D943" s="210"/>
      <c r="E943" s="211"/>
      <c r="F943" s="211"/>
      <c r="G943" s="212"/>
      <c r="H943" s="212"/>
      <c r="I943" s="204"/>
      <c r="J943" s="204"/>
      <c r="K943" s="204"/>
      <c r="L943" s="204"/>
      <c r="M943" s="204"/>
      <c r="N943" s="204"/>
      <c r="O943" s="204"/>
      <c r="P943" s="204"/>
      <c r="Q943" s="204"/>
      <c r="R943" s="204"/>
      <c r="S943" s="204"/>
      <c r="T943" s="204"/>
      <c r="U943" s="204"/>
      <c r="V943" s="204"/>
      <c r="W943" s="204"/>
      <c r="X943" s="204"/>
      <c r="Y943" s="204"/>
      <c r="Z943" s="204"/>
      <c r="AA943" s="204"/>
      <c r="AB943" s="204"/>
      <c r="AC943" s="204"/>
      <c r="AD943" s="204"/>
      <c r="AE943" s="204"/>
      <c r="AF943" s="204"/>
      <c r="AG943" s="204"/>
      <c r="AH943" s="204"/>
      <c r="AI943" s="209"/>
      <c r="AJ943" s="209"/>
      <c r="AK943" s="204"/>
      <c r="AL943" s="204"/>
      <c r="AM943" s="204"/>
    </row>
    <row r="944">
      <c r="A944" s="204"/>
      <c r="B944" s="209"/>
      <c r="C944" s="204"/>
      <c r="D944" s="210"/>
      <c r="E944" s="211"/>
      <c r="F944" s="211"/>
      <c r="G944" s="212"/>
      <c r="H944" s="212"/>
      <c r="I944" s="204"/>
      <c r="J944" s="204"/>
      <c r="K944" s="204"/>
      <c r="L944" s="204"/>
      <c r="M944" s="204"/>
      <c r="N944" s="204"/>
      <c r="O944" s="204"/>
      <c r="P944" s="204"/>
      <c r="Q944" s="204"/>
      <c r="R944" s="204"/>
      <c r="S944" s="204"/>
      <c r="T944" s="204"/>
      <c r="U944" s="204"/>
      <c r="V944" s="204"/>
      <c r="W944" s="204"/>
      <c r="X944" s="204"/>
      <c r="Y944" s="204"/>
      <c r="Z944" s="204"/>
      <c r="AA944" s="204"/>
      <c r="AB944" s="204"/>
      <c r="AC944" s="204"/>
      <c r="AD944" s="204"/>
      <c r="AE944" s="204"/>
      <c r="AF944" s="204"/>
      <c r="AG944" s="204"/>
      <c r="AH944" s="204"/>
      <c r="AI944" s="209"/>
      <c r="AJ944" s="209"/>
      <c r="AK944" s="204"/>
      <c r="AL944" s="204"/>
      <c r="AM944" s="204"/>
    </row>
    <row r="945">
      <c r="A945" s="204"/>
      <c r="B945" s="209"/>
      <c r="C945" s="204"/>
      <c r="D945" s="210"/>
      <c r="E945" s="211"/>
      <c r="F945" s="211"/>
      <c r="G945" s="212"/>
      <c r="H945" s="212"/>
      <c r="I945" s="204"/>
      <c r="J945" s="204"/>
      <c r="K945" s="204"/>
      <c r="L945" s="204"/>
      <c r="M945" s="204"/>
      <c r="N945" s="204"/>
      <c r="O945" s="204"/>
      <c r="P945" s="204"/>
      <c r="Q945" s="204"/>
      <c r="R945" s="204"/>
      <c r="S945" s="204"/>
      <c r="T945" s="204"/>
      <c r="U945" s="204"/>
      <c r="V945" s="204"/>
      <c r="W945" s="204"/>
      <c r="X945" s="204"/>
      <c r="Y945" s="204"/>
      <c r="Z945" s="204"/>
      <c r="AA945" s="204"/>
      <c r="AB945" s="204"/>
      <c r="AC945" s="204"/>
      <c r="AD945" s="204"/>
      <c r="AE945" s="204"/>
      <c r="AF945" s="204"/>
      <c r="AG945" s="204"/>
      <c r="AH945" s="204"/>
      <c r="AI945" s="209"/>
      <c r="AJ945" s="209"/>
      <c r="AK945" s="204"/>
      <c r="AL945" s="204"/>
      <c r="AM945" s="204"/>
    </row>
    <row r="946">
      <c r="A946" s="204"/>
      <c r="B946" s="209"/>
      <c r="C946" s="204"/>
      <c r="D946" s="210"/>
      <c r="E946" s="211"/>
      <c r="F946" s="211"/>
      <c r="G946" s="212"/>
      <c r="H946" s="212"/>
      <c r="I946" s="204"/>
      <c r="J946" s="204"/>
      <c r="K946" s="204"/>
      <c r="L946" s="204"/>
      <c r="M946" s="204"/>
      <c r="N946" s="204"/>
      <c r="O946" s="204"/>
      <c r="P946" s="204"/>
      <c r="Q946" s="204"/>
      <c r="R946" s="204"/>
      <c r="S946" s="204"/>
      <c r="T946" s="204"/>
      <c r="U946" s="204"/>
      <c r="V946" s="204"/>
      <c r="W946" s="204"/>
      <c r="X946" s="204"/>
      <c r="Y946" s="204"/>
      <c r="Z946" s="204"/>
      <c r="AA946" s="204"/>
      <c r="AB946" s="204"/>
      <c r="AC946" s="204"/>
      <c r="AD946" s="204"/>
      <c r="AE946" s="204"/>
      <c r="AF946" s="204"/>
      <c r="AG946" s="204"/>
      <c r="AH946" s="204"/>
      <c r="AI946" s="209"/>
      <c r="AJ946" s="209"/>
      <c r="AK946" s="204"/>
      <c r="AL946" s="204"/>
      <c r="AM946" s="204"/>
    </row>
    <row r="947">
      <c r="A947" s="204"/>
      <c r="B947" s="209"/>
      <c r="C947" s="204"/>
      <c r="D947" s="210"/>
      <c r="E947" s="211"/>
      <c r="F947" s="211"/>
      <c r="G947" s="212"/>
      <c r="H947" s="212"/>
      <c r="I947" s="204"/>
      <c r="J947" s="204"/>
      <c r="K947" s="204"/>
      <c r="L947" s="204"/>
      <c r="M947" s="204"/>
      <c r="N947" s="204"/>
      <c r="O947" s="204"/>
      <c r="P947" s="204"/>
      <c r="Q947" s="204"/>
      <c r="R947" s="204"/>
      <c r="S947" s="204"/>
      <c r="T947" s="204"/>
      <c r="U947" s="204"/>
      <c r="V947" s="204"/>
      <c r="W947" s="204"/>
      <c r="X947" s="204"/>
      <c r="Y947" s="204"/>
      <c r="Z947" s="204"/>
      <c r="AA947" s="204"/>
      <c r="AB947" s="204"/>
      <c r="AC947" s="204"/>
      <c r="AD947" s="204"/>
      <c r="AE947" s="204"/>
      <c r="AF947" s="204"/>
      <c r="AG947" s="204"/>
      <c r="AH947" s="204"/>
      <c r="AI947" s="209"/>
      <c r="AJ947" s="209"/>
      <c r="AK947" s="204"/>
      <c r="AL947" s="204"/>
      <c r="AM947" s="204"/>
    </row>
    <row r="948">
      <c r="A948" s="204"/>
      <c r="B948" s="209"/>
      <c r="C948" s="204"/>
      <c r="D948" s="210"/>
      <c r="E948" s="211"/>
      <c r="F948" s="211"/>
      <c r="G948" s="212"/>
      <c r="H948" s="212"/>
      <c r="I948" s="204"/>
      <c r="J948" s="204"/>
      <c r="K948" s="204"/>
      <c r="L948" s="204"/>
      <c r="M948" s="204"/>
      <c r="N948" s="204"/>
      <c r="O948" s="204"/>
      <c r="P948" s="204"/>
      <c r="Q948" s="204"/>
      <c r="R948" s="204"/>
      <c r="S948" s="204"/>
      <c r="T948" s="204"/>
      <c r="U948" s="204"/>
      <c r="V948" s="204"/>
      <c r="W948" s="204"/>
      <c r="X948" s="204"/>
      <c r="Y948" s="204"/>
      <c r="Z948" s="204"/>
      <c r="AA948" s="204"/>
      <c r="AB948" s="204"/>
      <c r="AC948" s="204"/>
      <c r="AD948" s="204"/>
      <c r="AE948" s="204"/>
      <c r="AF948" s="204"/>
      <c r="AG948" s="204"/>
      <c r="AH948" s="204"/>
      <c r="AI948" s="209"/>
      <c r="AJ948" s="209"/>
      <c r="AK948" s="204"/>
      <c r="AL948" s="204"/>
      <c r="AM948" s="204"/>
    </row>
    <row r="949">
      <c r="A949" s="204"/>
      <c r="B949" s="209"/>
      <c r="C949" s="204"/>
      <c r="D949" s="210"/>
      <c r="E949" s="211"/>
      <c r="F949" s="211"/>
      <c r="G949" s="212"/>
      <c r="H949" s="212"/>
      <c r="I949" s="204"/>
      <c r="J949" s="204"/>
      <c r="K949" s="204"/>
      <c r="L949" s="204"/>
      <c r="M949" s="204"/>
      <c r="N949" s="204"/>
      <c r="O949" s="204"/>
      <c r="P949" s="204"/>
      <c r="Q949" s="204"/>
      <c r="R949" s="204"/>
      <c r="S949" s="204"/>
      <c r="T949" s="204"/>
      <c r="U949" s="204"/>
      <c r="V949" s="204"/>
      <c r="W949" s="204"/>
      <c r="X949" s="204"/>
      <c r="Y949" s="204"/>
      <c r="Z949" s="204"/>
      <c r="AA949" s="204"/>
      <c r="AB949" s="204"/>
      <c r="AC949" s="204"/>
      <c r="AD949" s="204"/>
      <c r="AE949" s="204"/>
      <c r="AF949" s="204"/>
      <c r="AG949" s="204"/>
      <c r="AH949" s="204"/>
      <c r="AI949" s="209"/>
      <c r="AJ949" s="209"/>
      <c r="AK949" s="204"/>
      <c r="AL949" s="204"/>
      <c r="AM949" s="204"/>
    </row>
    <row r="950">
      <c r="A950" s="204"/>
      <c r="B950" s="209"/>
      <c r="C950" s="204"/>
      <c r="D950" s="210"/>
      <c r="E950" s="211"/>
      <c r="F950" s="211"/>
      <c r="G950" s="212"/>
      <c r="H950" s="212"/>
      <c r="I950" s="204"/>
      <c r="J950" s="204"/>
      <c r="K950" s="204"/>
      <c r="L950" s="204"/>
      <c r="M950" s="204"/>
      <c r="N950" s="204"/>
      <c r="O950" s="204"/>
      <c r="P950" s="204"/>
      <c r="Q950" s="204"/>
      <c r="R950" s="204"/>
      <c r="S950" s="204"/>
      <c r="T950" s="204"/>
      <c r="U950" s="204"/>
      <c r="V950" s="204"/>
      <c r="W950" s="204"/>
      <c r="X950" s="204"/>
      <c r="Y950" s="204"/>
      <c r="Z950" s="204"/>
      <c r="AA950" s="204"/>
      <c r="AB950" s="204"/>
      <c r="AC950" s="204"/>
      <c r="AD950" s="204"/>
      <c r="AE950" s="204"/>
      <c r="AF950" s="204"/>
      <c r="AG950" s="204"/>
      <c r="AH950" s="204"/>
      <c r="AI950" s="209"/>
      <c r="AJ950" s="209"/>
      <c r="AK950" s="204"/>
      <c r="AL950" s="204"/>
      <c r="AM950" s="204"/>
    </row>
    <row r="951">
      <c r="A951" s="204"/>
      <c r="B951" s="209"/>
      <c r="C951" s="204"/>
      <c r="D951" s="210"/>
      <c r="E951" s="211"/>
      <c r="F951" s="211"/>
      <c r="G951" s="212"/>
      <c r="H951" s="212"/>
      <c r="I951" s="204"/>
      <c r="J951" s="204"/>
      <c r="K951" s="204"/>
      <c r="L951" s="204"/>
      <c r="M951" s="204"/>
      <c r="N951" s="204"/>
      <c r="O951" s="204"/>
      <c r="P951" s="204"/>
      <c r="Q951" s="204"/>
      <c r="R951" s="204"/>
      <c r="S951" s="204"/>
      <c r="T951" s="204"/>
      <c r="U951" s="204"/>
      <c r="V951" s="204"/>
      <c r="W951" s="204"/>
      <c r="X951" s="204"/>
      <c r="Y951" s="204"/>
      <c r="Z951" s="204"/>
      <c r="AA951" s="204"/>
      <c r="AB951" s="204"/>
      <c r="AC951" s="204"/>
      <c r="AD951" s="204"/>
      <c r="AE951" s="204"/>
      <c r="AF951" s="204"/>
      <c r="AG951" s="204"/>
      <c r="AH951" s="204"/>
      <c r="AI951" s="209"/>
      <c r="AJ951" s="209"/>
      <c r="AK951" s="204"/>
      <c r="AL951" s="204"/>
      <c r="AM951" s="204"/>
    </row>
    <row r="952">
      <c r="A952" s="204"/>
      <c r="B952" s="209"/>
      <c r="C952" s="204"/>
      <c r="D952" s="210"/>
      <c r="E952" s="211"/>
      <c r="F952" s="211"/>
      <c r="G952" s="212"/>
      <c r="H952" s="212"/>
      <c r="I952" s="204"/>
      <c r="J952" s="204"/>
      <c r="K952" s="204"/>
      <c r="L952" s="204"/>
      <c r="M952" s="204"/>
      <c r="N952" s="204"/>
      <c r="O952" s="204"/>
      <c r="P952" s="204"/>
      <c r="Q952" s="204"/>
      <c r="R952" s="204"/>
      <c r="S952" s="204"/>
      <c r="T952" s="204"/>
      <c r="U952" s="204"/>
      <c r="V952" s="204"/>
      <c r="W952" s="204"/>
      <c r="X952" s="204"/>
      <c r="Y952" s="204"/>
      <c r="Z952" s="204"/>
      <c r="AA952" s="204"/>
      <c r="AB952" s="204"/>
      <c r="AC952" s="204"/>
      <c r="AD952" s="204"/>
      <c r="AE952" s="204"/>
      <c r="AF952" s="204"/>
      <c r="AG952" s="204"/>
      <c r="AH952" s="204"/>
      <c r="AI952" s="209"/>
      <c r="AJ952" s="209"/>
      <c r="AK952" s="204"/>
      <c r="AL952" s="204"/>
      <c r="AM952" s="204"/>
    </row>
    <row r="953">
      <c r="A953" s="204"/>
      <c r="B953" s="209"/>
      <c r="C953" s="204"/>
      <c r="D953" s="210"/>
      <c r="E953" s="211"/>
      <c r="F953" s="211"/>
      <c r="G953" s="212"/>
      <c r="H953" s="212"/>
      <c r="I953" s="204"/>
      <c r="J953" s="204"/>
      <c r="K953" s="204"/>
      <c r="L953" s="204"/>
      <c r="M953" s="204"/>
      <c r="N953" s="204"/>
      <c r="O953" s="204"/>
      <c r="P953" s="204"/>
      <c r="Q953" s="204"/>
      <c r="R953" s="204"/>
      <c r="S953" s="204"/>
      <c r="T953" s="204"/>
      <c r="U953" s="204"/>
      <c r="V953" s="204"/>
      <c r="W953" s="204"/>
      <c r="X953" s="204"/>
      <c r="Y953" s="204"/>
      <c r="Z953" s="204"/>
      <c r="AA953" s="204"/>
      <c r="AB953" s="204"/>
      <c r="AC953" s="204"/>
      <c r="AD953" s="204"/>
      <c r="AE953" s="204"/>
      <c r="AF953" s="204"/>
      <c r="AG953" s="204"/>
      <c r="AH953" s="204"/>
      <c r="AI953" s="209"/>
      <c r="AJ953" s="209"/>
      <c r="AK953" s="204"/>
      <c r="AL953" s="204"/>
      <c r="AM953" s="204"/>
    </row>
    <row r="954">
      <c r="A954" s="204"/>
      <c r="B954" s="209"/>
      <c r="C954" s="204"/>
      <c r="D954" s="210"/>
      <c r="E954" s="211"/>
      <c r="F954" s="211"/>
      <c r="G954" s="212"/>
      <c r="H954" s="212"/>
      <c r="I954" s="204"/>
      <c r="J954" s="204"/>
      <c r="K954" s="204"/>
      <c r="L954" s="204"/>
      <c r="M954" s="204"/>
      <c r="N954" s="204"/>
      <c r="O954" s="204"/>
      <c r="P954" s="204"/>
      <c r="Q954" s="204"/>
      <c r="R954" s="204"/>
      <c r="S954" s="204"/>
      <c r="T954" s="204"/>
      <c r="U954" s="204"/>
      <c r="V954" s="204"/>
      <c r="W954" s="204"/>
      <c r="X954" s="204"/>
      <c r="Y954" s="204"/>
      <c r="Z954" s="204"/>
      <c r="AA954" s="204"/>
      <c r="AB954" s="204"/>
      <c r="AC954" s="204"/>
      <c r="AD954" s="204"/>
      <c r="AE954" s="204"/>
      <c r="AF954" s="204"/>
      <c r="AG954" s="204"/>
      <c r="AH954" s="204"/>
      <c r="AI954" s="209"/>
      <c r="AJ954" s="209"/>
      <c r="AK954" s="204"/>
      <c r="AL954" s="204"/>
      <c r="AM954" s="204"/>
    </row>
    <row r="955">
      <c r="A955" s="204"/>
      <c r="B955" s="209"/>
      <c r="C955" s="204"/>
      <c r="D955" s="210"/>
      <c r="E955" s="211"/>
      <c r="F955" s="211"/>
      <c r="G955" s="212"/>
      <c r="H955" s="212"/>
      <c r="I955" s="204"/>
      <c r="J955" s="204"/>
      <c r="K955" s="204"/>
      <c r="L955" s="204"/>
      <c r="M955" s="204"/>
      <c r="N955" s="204"/>
      <c r="O955" s="204"/>
      <c r="P955" s="204"/>
      <c r="Q955" s="204"/>
      <c r="R955" s="204"/>
      <c r="S955" s="204"/>
      <c r="T955" s="204"/>
      <c r="U955" s="204"/>
      <c r="V955" s="204"/>
      <c r="W955" s="204"/>
      <c r="X955" s="204"/>
      <c r="Y955" s="204"/>
      <c r="Z955" s="204"/>
      <c r="AA955" s="204"/>
      <c r="AB955" s="204"/>
      <c r="AC955" s="204"/>
      <c r="AD955" s="204"/>
      <c r="AE955" s="204"/>
      <c r="AF955" s="204"/>
      <c r="AG955" s="204"/>
      <c r="AH955" s="204"/>
      <c r="AI955" s="209"/>
      <c r="AJ955" s="209"/>
      <c r="AK955" s="204"/>
      <c r="AL955" s="204"/>
      <c r="AM955" s="204"/>
    </row>
    <row r="956">
      <c r="A956" s="204"/>
      <c r="B956" s="209"/>
      <c r="C956" s="204"/>
      <c r="D956" s="210"/>
      <c r="E956" s="211"/>
      <c r="F956" s="211"/>
      <c r="G956" s="212"/>
      <c r="H956" s="212"/>
      <c r="I956" s="204"/>
      <c r="J956" s="204"/>
      <c r="K956" s="204"/>
      <c r="L956" s="204"/>
      <c r="M956" s="204"/>
      <c r="N956" s="204"/>
      <c r="O956" s="204"/>
      <c r="P956" s="204"/>
      <c r="Q956" s="204"/>
      <c r="R956" s="204"/>
      <c r="S956" s="204"/>
      <c r="T956" s="204"/>
      <c r="U956" s="204"/>
      <c r="V956" s="204"/>
      <c r="W956" s="204"/>
      <c r="X956" s="204"/>
      <c r="Y956" s="204"/>
      <c r="Z956" s="204"/>
      <c r="AA956" s="204"/>
      <c r="AB956" s="204"/>
      <c r="AC956" s="204"/>
      <c r="AD956" s="204"/>
      <c r="AE956" s="204"/>
      <c r="AF956" s="204"/>
      <c r="AG956" s="204"/>
      <c r="AH956" s="204"/>
      <c r="AI956" s="209"/>
      <c r="AJ956" s="209"/>
      <c r="AK956" s="204"/>
      <c r="AL956" s="204"/>
      <c r="AM956" s="204"/>
    </row>
    <row r="957">
      <c r="A957" s="204"/>
      <c r="B957" s="209"/>
      <c r="C957" s="204"/>
      <c r="D957" s="210"/>
      <c r="E957" s="211"/>
      <c r="F957" s="211"/>
      <c r="G957" s="212"/>
      <c r="H957" s="212"/>
      <c r="I957" s="204"/>
      <c r="J957" s="204"/>
      <c r="K957" s="204"/>
      <c r="L957" s="204"/>
      <c r="M957" s="204"/>
      <c r="N957" s="204"/>
      <c r="O957" s="204"/>
      <c r="P957" s="204"/>
      <c r="Q957" s="204"/>
      <c r="R957" s="204"/>
      <c r="S957" s="204"/>
      <c r="T957" s="204"/>
      <c r="U957" s="204"/>
      <c r="V957" s="204"/>
      <c r="W957" s="204"/>
      <c r="X957" s="204"/>
      <c r="Y957" s="204"/>
      <c r="Z957" s="204"/>
      <c r="AA957" s="204"/>
      <c r="AB957" s="204"/>
      <c r="AC957" s="204"/>
      <c r="AD957" s="204"/>
      <c r="AE957" s="204"/>
      <c r="AF957" s="204"/>
      <c r="AG957" s="204"/>
      <c r="AH957" s="204"/>
      <c r="AI957" s="209"/>
      <c r="AJ957" s="209"/>
      <c r="AK957" s="204"/>
      <c r="AL957" s="204"/>
      <c r="AM957" s="204"/>
    </row>
    <row r="958">
      <c r="A958" s="204"/>
      <c r="B958" s="209"/>
      <c r="C958" s="204"/>
      <c r="D958" s="210"/>
      <c r="E958" s="211"/>
      <c r="F958" s="211"/>
      <c r="G958" s="212"/>
      <c r="H958" s="212"/>
      <c r="I958" s="204"/>
      <c r="J958" s="204"/>
      <c r="K958" s="204"/>
      <c r="L958" s="204"/>
      <c r="M958" s="204"/>
      <c r="N958" s="204"/>
      <c r="O958" s="204"/>
      <c r="P958" s="204"/>
      <c r="Q958" s="204"/>
      <c r="R958" s="204"/>
      <c r="S958" s="204"/>
      <c r="T958" s="204"/>
      <c r="U958" s="204"/>
      <c r="V958" s="204"/>
      <c r="W958" s="204"/>
      <c r="X958" s="204"/>
      <c r="Y958" s="204"/>
      <c r="Z958" s="204"/>
      <c r="AA958" s="204"/>
      <c r="AB958" s="204"/>
      <c r="AC958" s="204"/>
      <c r="AD958" s="204"/>
      <c r="AE958" s="204"/>
      <c r="AF958" s="204"/>
      <c r="AG958" s="204"/>
      <c r="AH958" s="204"/>
      <c r="AI958" s="209"/>
      <c r="AJ958" s="209"/>
      <c r="AK958" s="204"/>
      <c r="AL958" s="204"/>
      <c r="AM958" s="204"/>
    </row>
    <row r="959">
      <c r="A959" s="204"/>
      <c r="B959" s="209"/>
      <c r="C959" s="204"/>
      <c r="D959" s="210"/>
      <c r="E959" s="211"/>
      <c r="F959" s="211"/>
      <c r="G959" s="212"/>
      <c r="H959" s="212"/>
      <c r="I959" s="204"/>
      <c r="J959" s="204"/>
      <c r="K959" s="204"/>
      <c r="L959" s="204"/>
      <c r="M959" s="204"/>
      <c r="N959" s="204"/>
      <c r="O959" s="204"/>
      <c r="P959" s="204"/>
      <c r="Q959" s="204"/>
      <c r="R959" s="204"/>
      <c r="S959" s="204"/>
      <c r="T959" s="204"/>
      <c r="U959" s="204"/>
      <c r="V959" s="204"/>
      <c r="W959" s="204"/>
      <c r="X959" s="204"/>
      <c r="Y959" s="204"/>
      <c r="Z959" s="204"/>
      <c r="AA959" s="204"/>
      <c r="AB959" s="204"/>
      <c r="AC959" s="204"/>
      <c r="AD959" s="204"/>
      <c r="AE959" s="204"/>
      <c r="AF959" s="204"/>
      <c r="AG959" s="204"/>
      <c r="AH959" s="204"/>
      <c r="AI959" s="209"/>
      <c r="AJ959" s="209"/>
      <c r="AK959" s="204"/>
      <c r="AL959" s="204"/>
      <c r="AM959" s="204"/>
    </row>
    <row r="960">
      <c r="A960" s="204"/>
      <c r="B960" s="209"/>
      <c r="C960" s="204"/>
      <c r="D960" s="210"/>
      <c r="E960" s="211"/>
      <c r="F960" s="211"/>
      <c r="G960" s="212"/>
      <c r="H960" s="212"/>
      <c r="I960" s="204"/>
      <c r="J960" s="204"/>
      <c r="K960" s="204"/>
      <c r="L960" s="204"/>
      <c r="M960" s="204"/>
      <c r="N960" s="204"/>
      <c r="O960" s="204"/>
      <c r="P960" s="204"/>
      <c r="Q960" s="204"/>
      <c r="R960" s="204"/>
      <c r="S960" s="204"/>
      <c r="T960" s="204"/>
      <c r="U960" s="204"/>
      <c r="V960" s="204"/>
      <c r="W960" s="204"/>
      <c r="X960" s="204"/>
      <c r="Y960" s="204"/>
      <c r="Z960" s="204"/>
      <c r="AA960" s="204"/>
      <c r="AB960" s="204"/>
      <c r="AC960" s="204"/>
      <c r="AD960" s="204"/>
      <c r="AE960" s="204"/>
      <c r="AF960" s="204"/>
      <c r="AG960" s="204"/>
      <c r="AH960" s="204"/>
      <c r="AI960" s="209"/>
      <c r="AJ960" s="209"/>
      <c r="AK960" s="204"/>
      <c r="AL960" s="204"/>
      <c r="AM960" s="204"/>
    </row>
    <row r="961">
      <c r="A961" s="204"/>
      <c r="B961" s="209"/>
      <c r="C961" s="204"/>
      <c r="D961" s="210"/>
      <c r="E961" s="211"/>
      <c r="F961" s="211"/>
      <c r="G961" s="212"/>
      <c r="H961" s="212"/>
      <c r="I961" s="204"/>
      <c r="J961" s="204"/>
      <c r="K961" s="204"/>
      <c r="L961" s="204"/>
      <c r="M961" s="204"/>
      <c r="N961" s="204"/>
      <c r="O961" s="204"/>
      <c r="P961" s="204"/>
      <c r="Q961" s="204"/>
      <c r="R961" s="204"/>
      <c r="S961" s="204"/>
      <c r="T961" s="204"/>
      <c r="U961" s="204"/>
      <c r="V961" s="204"/>
      <c r="W961" s="204"/>
      <c r="X961" s="204"/>
      <c r="Y961" s="204"/>
      <c r="Z961" s="204"/>
      <c r="AA961" s="204"/>
      <c r="AB961" s="204"/>
      <c r="AC961" s="204"/>
      <c r="AD961" s="204"/>
      <c r="AE961" s="204"/>
      <c r="AF961" s="204"/>
      <c r="AG961" s="204"/>
      <c r="AH961" s="204"/>
      <c r="AI961" s="209"/>
      <c r="AJ961" s="209"/>
      <c r="AK961" s="204"/>
      <c r="AL961" s="204"/>
      <c r="AM961" s="204"/>
    </row>
    <row r="962">
      <c r="A962" s="204"/>
      <c r="B962" s="209"/>
      <c r="C962" s="204"/>
      <c r="D962" s="210"/>
      <c r="E962" s="211"/>
      <c r="F962" s="211"/>
      <c r="G962" s="212"/>
      <c r="H962" s="212"/>
      <c r="I962" s="204"/>
      <c r="J962" s="204"/>
      <c r="K962" s="204"/>
      <c r="L962" s="204"/>
      <c r="M962" s="204"/>
      <c r="N962" s="204"/>
      <c r="O962" s="204"/>
      <c r="P962" s="204"/>
      <c r="Q962" s="204"/>
      <c r="R962" s="204"/>
      <c r="S962" s="204"/>
      <c r="T962" s="204"/>
      <c r="U962" s="204"/>
      <c r="V962" s="204"/>
      <c r="W962" s="204"/>
      <c r="X962" s="204"/>
      <c r="Y962" s="204"/>
      <c r="Z962" s="204"/>
      <c r="AA962" s="204"/>
      <c r="AB962" s="204"/>
      <c r="AC962" s="204"/>
      <c r="AD962" s="204"/>
      <c r="AE962" s="204"/>
      <c r="AF962" s="204"/>
      <c r="AG962" s="204"/>
      <c r="AH962" s="204"/>
      <c r="AI962" s="209"/>
      <c r="AJ962" s="209"/>
      <c r="AK962" s="204"/>
      <c r="AL962" s="204"/>
      <c r="AM962" s="204"/>
    </row>
    <row r="963">
      <c r="A963" s="204"/>
      <c r="B963" s="209"/>
      <c r="C963" s="204"/>
      <c r="D963" s="210"/>
      <c r="E963" s="211"/>
      <c r="F963" s="211"/>
      <c r="G963" s="212"/>
      <c r="H963" s="212"/>
      <c r="I963" s="204"/>
      <c r="J963" s="204"/>
      <c r="K963" s="204"/>
      <c r="L963" s="204"/>
      <c r="M963" s="204"/>
      <c r="N963" s="204"/>
      <c r="O963" s="204"/>
      <c r="P963" s="204"/>
      <c r="Q963" s="204"/>
      <c r="R963" s="204"/>
      <c r="S963" s="204"/>
      <c r="T963" s="204"/>
      <c r="U963" s="204"/>
      <c r="V963" s="204"/>
      <c r="W963" s="204"/>
      <c r="X963" s="204"/>
      <c r="Y963" s="204"/>
      <c r="Z963" s="204"/>
      <c r="AA963" s="204"/>
      <c r="AB963" s="204"/>
      <c r="AC963" s="204"/>
      <c r="AD963" s="204"/>
      <c r="AE963" s="204"/>
      <c r="AF963" s="204"/>
      <c r="AG963" s="204"/>
      <c r="AH963" s="204"/>
      <c r="AI963" s="209"/>
      <c r="AJ963" s="209"/>
      <c r="AK963" s="204"/>
      <c r="AL963" s="204"/>
      <c r="AM963" s="204"/>
    </row>
    <row r="964">
      <c r="A964" s="204"/>
      <c r="B964" s="209"/>
      <c r="C964" s="204"/>
      <c r="D964" s="210"/>
      <c r="E964" s="211"/>
      <c r="F964" s="211"/>
      <c r="G964" s="212"/>
      <c r="H964" s="212"/>
      <c r="I964" s="204"/>
      <c r="J964" s="204"/>
      <c r="K964" s="204"/>
      <c r="L964" s="204"/>
      <c r="M964" s="204"/>
      <c r="N964" s="204"/>
      <c r="O964" s="204"/>
      <c r="P964" s="204"/>
      <c r="Q964" s="204"/>
      <c r="R964" s="204"/>
      <c r="S964" s="204"/>
      <c r="T964" s="204"/>
      <c r="U964" s="204"/>
      <c r="V964" s="204"/>
      <c r="W964" s="204"/>
      <c r="X964" s="204"/>
      <c r="Y964" s="204"/>
      <c r="Z964" s="204"/>
      <c r="AA964" s="204"/>
      <c r="AB964" s="204"/>
      <c r="AC964" s="204"/>
      <c r="AD964" s="204"/>
      <c r="AE964" s="204"/>
      <c r="AF964" s="204"/>
      <c r="AG964" s="204"/>
      <c r="AH964" s="204"/>
      <c r="AI964" s="209"/>
      <c r="AJ964" s="209"/>
      <c r="AK964" s="204"/>
      <c r="AL964" s="204"/>
      <c r="AM964" s="204"/>
    </row>
    <row r="965">
      <c r="A965" s="204"/>
      <c r="B965" s="209"/>
      <c r="C965" s="204"/>
      <c r="D965" s="210"/>
      <c r="E965" s="211"/>
      <c r="F965" s="211"/>
      <c r="G965" s="212"/>
      <c r="H965" s="212"/>
      <c r="I965" s="204"/>
      <c r="J965" s="204"/>
      <c r="K965" s="204"/>
      <c r="L965" s="204"/>
      <c r="M965" s="204"/>
      <c r="N965" s="204"/>
      <c r="O965" s="204"/>
      <c r="P965" s="204"/>
      <c r="Q965" s="204"/>
      <c r="R965" s="204"/>
      <c r="S965" s="204"/>
      <c r="T965" s="204"/>
      <c r="U965" s="204"/>
      <c r="V965" s="204"/>
      <c r="W965" s="204"/>
      <c r="X965" s="204"/>
      <c r="Y965" s="204"/>
      <c r="Z965" s="204"/>
      <c r="AA965" s="204"/>
      <c r="AB965" s="204"/>
      <c r="AC965" s="204"/>
      <c r="AD965" s="204"/>
      <c r="AE965" s="204"/>
      <c r="AF965" s="204"/>
      <c r="AG965" s="204"/>
      <c r="AH965" s="204"/>
      <c r="AI965" s="209"/>
      <c r="AJ965" s="209"/>
      <c r="AK965" s="204"/>
      <c r="AL965" s="204"/>
      <c r="AM965" s="204"/>
    </row>
    <row r="966">
      <c r="A966" s="204"/>
      <c r="B966" s="209"/>
      <c r="C966" s="204"/>
      <c r="D966" s="210"/>
      <c r="E966" s="211"/>
      <c r="F966" s="211"/>
      <c r="G966" s="212"/>
      <c r="H966" s="212"/>
      <c r="I966" s="204"/>
      <c r="J966" s="204"/>
      <c r="K966" s="204"/>
      <c r="L966" s="204"/>
      <c r="M966" s="204"/>
      <c r="N966" s="204"/>
      <c r="O966" s="204"/>
      <c r="P966" s="204"/>
      <c r="Q966" s="204"/>
      <c r="R966" s="204"/>
      <c r="S966" s="204"/>
      <c r="T966" s="204"/>
      <c r="U966" s="204"/>
      <c r="V966" s="204"/>
      <c r="W966" s="204"/>
      <c r="X966" s="204"/>
      <c r="Y966" s="204"/>
      <c r="Z966" s="204"/>
      <c r="AA966" s="204"/>
      <c r="AB966" s="204"/>
      <c r="AC966" s="204"/>
      <c r="AD966" s="204"/>
      <c r="AE966" s="204"/>
      <c r="AF966" s="204"/>
      <c r="AG966" s="204"/>
      <c r="AH966" s="204"/>
      <c r="AI966" s="209"/>
      <c r="AJ966" s="209"/>
      <c r="AK966" s="204"/>
      <c r="AL966" s="204"/>
      <c r="AM966" s="204"/>
    </row>
    <row r="967">
      <c r="A967" s="204"/>
      <c r="B967" s="209"/>
      <c r="C967" s="204"/>
      <c r="D967" s="210"/>
      <c r="E967" s="211"/>
      <c r="F967" s="211"/>
      <c r="G967" s="212"/>
      <c r="H967" s="212"/>
      <c r="I967" s="204"/>
      <c r="J967" s="204"/>
      <c r="K967" s="204"/>
      <c r="L967" s="204"/>
      <c r="M967" s="204"/>
      <c r="N967" s="204"/>
      <c r="O967" s="204"/>
      <c r="P967" s="204"/>
      <c r="Q967" s="204"/>
      <c r="R967" s="204"/>
      <c r="S967" s="204"/>
      <c r="T967" s="204"/>
      <c r="U967" s="204"/>
      <c r="V967" s="204"/>
      <c r="W967" s="204"/>
      <c r="X967" s="204"/>
      <c r="Y967" s="204"/>
      <c r="Z967" s="204"/>
      <c r="AA967" s="204"/>
      <c r="AB967" s="204"/>
      <c r="AC967" s="204"/>
      <c r="AD967" s="204"/>
      <c r="AE967" s="204"/>
      <c r="AF967" s="204"/>
      <c r="AG967" s="204"/>
      <c r="AH967" s="204"/>
      <c r="AI967" s="209"/>
      <c r="AJ967" s="209"/>
      <c r="AK967" s="204"/>
      <c r="AL967" s="204"/>
      <c r="AM967" s="204"/>
    </row>
    <row r="968">
      <c r="A968" s="204"/>
      <c r="B968" s="209"/>
      <c r="C968" s="204"/>
      <c r="D968" s="210"/>
      <c r="E968" s="211"/>
      <c r="F968" s="211"/>
      <c r="G968" s="212"/>
      <c r="H968" s="212"/>
      <c r="I968" s="204"/>
      <c r="J968" s="204"/>
      <c r="K968" s="204"/>
      <c r="L968" s="204"/>
      <c r="M968" s="204"/>
      <c r="N968" s="204"/>
      <c r="O968" s="204"/>
      <c r="P968" s="204"/>
      <c r="Q968" s="204"/>
      <c r="R968" s="204"/>
      <c r="S968" s="204"/>
      <c r="T968" s="204"/>
      <c r="U968" s="204"/>
      <c r="V968" s="204"/>
      <c r="W968" s="204"/>
      <c r="X968" s="204"/>
      <c r="Y968" s="204"/>
      <c r="Z968" s="204"/>
      <c r="AA968" s="204"/>
      <c r="AB968" s="204"/>
      <c r="AC968" s="204"/>
      <c r="AD968" s="204"/>
      <c r="AE968" s="204"/>
      <c r="AF968" s="204"/>
      <c r="AG968" s="204"/>
      <c r="AH968" s="204"/>
      <c r="AI968" s="209"/>
      <c r="AJ968" s="209"/>
      <c r="AK968" s="204"/>
      <c r="AL968" s="204"/>
      <c r="AM968" s="204"/>
    </row>
    <row r="969">
      <c r="A969" s="204"/>
      <c r="B969" s="209"/>
      <c r="C969" s="204"/>
      <c r="D969" s="210"/>
      <c r="E969" s="211"/>
      <c r="F969" s="211"/>
      <c r="G969" s="212"/>
      <c r="H969" s="212"/>
      <c r="I969" s="204"/>
      <c r="J969" s="204"/>
      <c r="K969" s="204"/>
      <c r="L969" s="204"/>
      <c r="M969" s="204"/>
      <c r="N969" s="204"/>
      <c r="O969" s="204"/>
      <c r="P969" s="204"/>
      <c r="Q969" s="204"/>
      <c r="R969" s="204"/>
      <c r="S969" s="204"/>
      <c r="T969" s="204"/>
      <c r="U969" s="204"/>
      <c r="V969" s="204"/>
      <c r="W969" s="204"/>
      <c r="X969" s="204"/>
      <c r="Y969" s="204"/>
      <c r="Z969" s="204"/>
      <c r="AA969" s="204"/>
      <c r="AB969" s="204"/>
      <c r="AC969" s="204"/>
      <c r="AD969" s="204"/>
      <c r="AE969" s="204"/>
      <c r="AF969" s="204"/>
      <c r="AG969" s="204"/>
      <c r="AH969" s="204"/>
      <c r="AI969" s="209"/>
      <c r="AJ969" s="209"/>
      <c r="AK969" s="204"/>
      <c r="AL969" s="204"/>
      <c r="AM969" s="204"/>
    </row>
    <row r="970">
      <c r="A970" s="204"/>
      <c r="B970" s="209"/>
      <c r="C970" s="204"/>
      <c r="D970" s="210"/>
      <c r="E970" s="211"/>
      <c r="F970" s="211"/>
      <c r="G970" s="212"/>
      <c r="H970" s="212"/>
      <c r="I970" s="204"/>
      <c r="J970" s="204"/>
      <c r="K970" s="204"/>
      <c r="L970" s="204"/>
      <c r="M970" s="204"/>
      <c r="N970" s="204"/>
      <c r="O970" s="204"/>
      <c r="P970" s="204"/>
      <c r="Q970" s="204"/>
      <c r="R970" s="204"/>
      <c r="S970" s="204"/>
      <c r="T970" s="204"/>
      <c r="U970" s="204"/>
      <c r="V970" s="204"/>
      <c r="W970" s="204"/>
      <c r="X970" s="204"/>
      <c r="Y970" s="204"/>
      <c r="Z970" s="204"/>
      <c r="AA970" s="204"/>
      <c r="AB970" s="204"/>
      <c r="AC970" s="204"/>
      <c r="AD970" s="204"/>
      <c r="AE970" s="204"/>
      <c r="AF970" s="204"/>
      <c r="AG970" s="204"/>
      <c r="AH970" s="204"/>
      <c r="AI970" s="209"/>
      <c r="AJ970" s="209"/>
      <c r="AK970" s="204"/>
      <c r="AL970" s="204"/>
      <c r="AM970" s="204"/>
    </row>
    <row r="971">
      <c r="A971" s="204"/>
      <c r="B971" s="209"/>
      <c r="C971" s="204"/>
      <c r="D971" s="210"/>
      <c r="E971" s="211"/>
      <c r="F971" s="211"/>
      <c r="G971" s="212"/>
      <c r="H971" s="212"/>
      <c r="I971" s="204"/>
      <c r="J971" s="204"/>
      <c r="K971" s="204"/>
      <c r="L971" s="204"/>
      <c r="M971" s="204"/>
      <c r="N971" s="204"/>
      <c r="O971" s="204"/>
      <c r="P971" s="204"/>
      <c r="Q971" s="204"/>
      <c r="R971" s="204"/>
      <c r="S971" s="204"/>
      <c r="T971" s="204"/>
      <c r="U971" s="204"/>
      <c r="V971" s="204"/>
      <c r="W971" s="204"/>
      <c r="X971" s="204"/>
      <c r="Y971" s="204"/>
      <c r="Z971" s="204"/>
      <c r="AA971" s="204"/>
      <c r="AB971" s="204"/>
      <c r="AC971" s="204"/>
      <c r="AD971" s="204"/>
      <c r="AE971" s="204"/>
      <c r="AF971" s="204"/>
      <c r="AG971" s="204"/>
      <c r="AH971" s="204"/>
      <c r="AI971" s="209"/>
      <c r="AJ971" s="209"/>
      <c r="AK971" s="204"/>
      <c r="AL971" s="204"/>
      <c r="AM971" s="204"/>
    </row>
    <row r="972">
      <c r="A972" s="204"/>
      <c r="B972" s="209"/>
      <c r="C972" s="204"/>
      <c r="D972" s="210"/>
      <c r="E972" s="211"/>
      <c r="F972" s="211"/>
      <c r="G972" s="212"/>
      <c r="H972" s="212"/>
      <c r="I972" s="204"/>
      <c r="J972" s="204"/>
      <c r="K972" s="204"/>
      <c r="L972" s="204"/>
      <c r="M972" s="204"/>
      <c r="N972" s="204"/>
      <c r="O972" s="204"/>
      <c r="P972" s="204"/>
      <c r="Q972" s="204"/>
      <c r="R972" s="204"/>
      <c r="S972" s="204"/>
      <c r="T972" s="204"/>
      <c r="U972" s="204"/>
      <c r="V972" s="204"/>
      <c r="W972" s="204"/>
      <c r="X972" s="204"/>
      <c r="Y972" s="204"/>
      <c r="Z972" s="204"/>
      <c r="AA972" s="204"/>
      <c r="AB972" s="204"/>
      <c r="AC972" s="204"/>
      <c r="AD972" s="204"/>
      <c r="AE972" s="204"/>
      <c r="AF972" s="204"/>
      <c r="AG972" s="204"/>
      <c r="AH972" s="204"/>
      <c r="AI972" s="209"/>
      <c r="AJ972" s="209"/>
      <c r="AK972" s="204"/>
      <c r="AL972" s="204"/>
      <c r="AM972" s="204"/>
    </row>
    <row r="973">
      <c r="A973" s="204"/>
      <c r="B973" s="209"/>
      <c r="C973" s="204"/>
      <c r="D973" s="210"/>
      <c r="E973" s="211"/>
      <c r="F973" s="211"/>
      <c r="G973" s="212"/>
      <c r="H973" s="212"/>
      <c r="I973" s="204"/>
      <c r="J973" s="204"/>
      <c r="K973" s="204"/>
      <c r="L973" s="204"/>
      <c r="M973" s="204"/>
      <c r="N973" s="204"/>
      <c r="O973" s="204"/>
      <c r="P973" s="204"/>
      <c r="Q973" s="204"/>
      <c r="R973" s="204"/>
      <c r="S973" s="204"/>
      <c r="T973" s="204"/>
      <c r="U973" s="204"/>
      <c r="V973" s="204"/>
      <c r="W973" s="204"/>
      <c r="X973" s="204"/>
      <c r="Y973" s="204"/>
      <c r="Z973" s="204"/>
      <c r="AA973" s="204"/>
      <c r="AB973" s="204"/>
      <c r="AC973" s="204"/>
      <c r="AD973" s="204"/>
      <c r="AE973" s="204"/>
      <c r="AF973" s="204"/>
      <c r="AG973" s="204"/>
      <c r="AH973" s="204"/>
      <c r="AI973" s="209"/>
      <c r="AJ973" s="209"/>
      <c r="AK973" s="204"/>
      <c r="AL973" s="204"/>
      <c r="AM973" s="204"/>
    </row>
    <row r="974">
      <c r="A974" s="204"/>
      <c r="B974" s="209"/>
      <c r="C974" s="204"/>
      <c r="D974" s="210"/>
      <c r="E974" s="211"/>
      <c r="F974" s="211"/>
      <c r="G974" s="212"/>
      <c r="H974" s="212"/>
      <c r="I974" s="204"/>
      <c r="J974" s="204"/>
      <c r="K974" s="204"/>
      <c r="L974" s="204"/>
      <c r="M974" s="204"/>
      <c r="N974" s="204"/>
      <c r="O974" s="204"/>
      <c r="P974" s="204"/>
      <c r="Q974" s="204"/>
      <c r="R974" s="204"/>
      <c r="S974" s="204"/>
      <c r="T974" s="204"/>
      <c r="U974" s="204"/>
      <c r="V974" s="204"/>
      <c r="W974" s="204"/>
      <c r="X974" s="204"/>
      <c r="Y974" s="204"/>
      <c r="Z974" s="204"/>
      <c r="AA974" s="204"/>
      <c r="AB974" s="204"/>
      <c r="AC974" s="204"/>
      <c r="AD974" s="204"/>
      <c r="AE974" s="204"/>
      <c r="AF974" s="204"/>
      <c r="AG974" s="204"/>
      <c r="AH974" s="204"/>
      <c r="AI974" s="209"/>
      <c r="AJ974" s="209"/>
      <c r="AK974" s="204"/>
      <c r="AL974" s="204"/>
      <c r="AM974" s="204"/>
    </row>
    <row r="975">
      <c r="A975" s="204"/>
      <c r="B975" s="209"/>
      <c r="C975" s="204"/>
      <c r="D975" s="210"/>
      <c r="E975" s="211"/>
      <c r="F975" s="211"/>
      <c r="G975" s="212"/>
      <c r="H975" s="212"/>
      <c r="I975" s="204"/>
      <c r="J975" s="204"/>
      <c r="K975" s="204"/>
      <c r="L975" s="204"/>
      <c r="M975" s="204"/>
      <c r="N975" s="204"/>
      <c r="O975" s="204"/>
      <c r="P975" s="204"/>
      <c r="Q975" s="204"/>
      <c r="R975" s="204"/>
      <c r="S975" s="204"/>
      <c r="T975" s="204"/>
      <c r="U975" s="204"/>
      <c r="V975" s="204"/>
      <c r="W975" s="204"/>
      <c r="X975" s="204"/>
      <c r="Y975" s="204"/>
      <c r="Z975" s="204"/>
      <c r="AA975" s="204"/>
      <c r="AB975" s="204"/>
      <c r="AC975" s="204"/>
      <c r="AD975" s="204"/>
      <c r="AE975" s="204"/>
      <c r="AF975" s="204"/>
      <c r="AG975" s="204"/>
      <c r="AH975" s="204"/>
      <c r="AI975" s="209"/>
      <c r="AJ975" s="209"/>
      <c r="AK975" s="204"/>
      <c r="AL975" s="204"/>
      <c r="AM975" s="204"/>
    </row>
    <row r="976">
      <c r="A976" s="204"/>
      <c r="B976" s="209"/>
      <c r="C976" s="204"/>
      <c r="D976" s="210"/>
      <c r="E976" s="211"/>
      <c r="F976" s="211"/>
      <c r="G976" s="212"/>
      <c r="H976" s="212"/>
      <c r="I976" s="204"/>
      <c r="J976" s="204"/>
      <c r="K976" s="204"/>
      <c r="L976" s="204"/>
      <c r="M976" s="204"/>
      <c r="N976" s="204"/>
      <c r="O976" s="204"/>
      <c r="P976" s="204"/>
      <c r="Q976" s="204"/>
      <c r="R976" s="204"/>
      <c r="S976" s="204"/>
      <c r="T976" s="204"/>
      <c r="U976" s="204"/>
      <c r="V976" s="204"/>
      <c r="W976" s="204"/>
      <c r="X976" s="204"/>
      <c r="Y976" s="204"/>
      <c r="Z976" s="204"/>
      <c r="AA976" s="204"/>
      <c r="AB976" s="204"/>
      <c r="AC976" s="204"/>
      <c r="AD976" s="204"/>
      <c r="AE976" s="204"/>
      <c r="AF976" s="204"/>
      <c r="AG976" s="204"/>
      <c r="AH976" s="204"/>
      <c r="AI976" s="209"/>
      <c r="AJ976" s="209"/>
      <c r="AK976" s="204"/>
      <c r="AL976" s="204"/>
      <c r="AM976" s="204"/>
    </row>
    <row r="977">
      <c r="A977" s="204"/>
      <c r="B977" s="209"/>
      <c r="C977" s="204"/>
      <c r="D977" s="210"/>
      <c r="E977" s="211"/>
      <c r="F977" s="211"/>
      <c r="G977" s="212"/>
      <c r="H977" s="212"/>
      <c r="I977" s="204"/>
      <c r="J977" s="204"/>
      <c r="K977" s="204"/>
      <c r="L977" s="204"/>
      <c r="M977" s="204"/>
      <c r="N977" s="204"/>
      <c r="O977" s="204"/>
      <c r="P977" s="204"/>
      <c r="Q977" s="204"/>
      <c r="R977" s="204"/>
      <c r="S977" s="204"/>
      <c r="T977" s="204"/>
      <c r="U977" s="204"/>
      <c r="V977" s="204"/>
      <c r="W977" s="204"/>
      <c r="X977" s="204"/>
      <c r="Y977" s="204"/>
      <c r="Z977" s="204"/>
      <c r="AA977" s="204"/>
      <c r="AB977" s="204"/>
      <c r="AC977" s="204"/>
      <c r="AD977" s="204"/>
      <c r="AE977" s="204"/>
      <c r="AF977" s="204"/>
      <c r="AG977" s="204"/>
      <c r="AH977" s="204"/>
      <c r="AI977" s="209"/>
      <c r="AJ977" s="209"/>
      <c r="AK977" s="204"/>
      <c r="AL977" s="204"/>
      <c r="AM977" s="204"/>
    </row>
    <row r="978">
      <c r="A978" s="204"/>
      <c r="B978" s="209"/>
      <c r="C978" s="204"/>
      <c r="D978" s="210"/>
      <c r="E978" s="211"/>
      <c r="F978" s="211"/>
      <c r="G978" s="212"/>
      <c r="H978" s="212"/>
      <c r="I978" s="204"/>
      <c r="J978" s="204"/>
      <c r="K978" s="204"/>
      <c r="L978" s="204"/>
      <c r="M978" s="204"/>
      <c r="N978" s="204"/>
      <c r="O978" s="204"/>
      <c r="P978" s="204"/>
      <c r="Q978" s="204"/>
      <c r="R978" s="204"/>
      <c r="S978" s="204"/>
      <c r="T978" s="204"/>
      <c r="U978" s="204"/>
      <c r="V978" s="204"/>
      <c r="W978" s="204"/>
      <c r="X978" s="204"/>
      <c r="Y978" s="204"/>
      <c r="Z978" s="204"/>
      <c r="AA978" s="204"/>
      <c r="AB978" s="204"/>
      <c r="AC978" s="204"/>
      <c r="AD978" s="204"/>
      <c r="AE978" s="204"/>
      <c r="AF978" s="204"/>
      <c r="AG978" s="204"/>
      <c r="AH978" s="204"/>
      <c r="AI978" s="209"/>
      <c r="AJ978" s="209"/>
      <c r="AK978" s="204"/>
      <c r="AL978" s="204"/>
      <c r="AM978" s="204"/>
    </row>
    <row r="979">
      <c r="A979" s="204"/>
      <c r="B979" s="209"/>
      <c r="C979" s="204"/>
      <c r="D979" s="210"/>
      <c r="E979" s="211"/>
      <c r="F979" s="211"/>
      <c r="G979" s="212"/>
      <c r="H979" s="212"/>
      <c r="I979" s="204"/>
      <c r="J979" s="204"/>
      <c r="K979" s="204"/>
      <c r="L979" s="204"/>
      <c r="M979" s="204"/>
      <c r="N979" s="204"/>
      <c r="O979" s="204"/>
      <c r="P979" s="204"/>
      <c r="Q979" s="204"/>
      <c r="R979" s="204"/>
      <c r="S979" s="204"/>
      <c r="T979" s="204"/>
      <c r="U979" s="204"/>
      <c r="V979" s="204"/>
      <c r="W979" s="204"/>
      <c r="X979" s="204"/>
      <c r="Y979" s="204"/>
      <c r="Z979" s="204"/>
      <c r="AA979" s="204"/>
      <c r="AB979" s="204"/>
      <c r="AC979" s="204"/>
      <c r="AD979" s="204"/>
      <c r="AE979" s="204"/>
      <c r="AF979" s="204"/>
      <c r="AG979" s="204"/>
      <c r="AH979" s="204"/>
      <c r="AI979" s="209"/>
      <c r="AJ979" s="209"/>
      <c r="AK979" s="204"/>
      <c r="AL979" s="204"/>
      <c r="AM979" s="204"/>
    </row>
    <row r="980">
      <c r="A980" s="204"/>
      <c r="B980" s="209"/>
      <c r="C980" s="204"/>
      <c r="D980" s="210"/>
      <c r="E980" s="211"/>
      <c r="F980" s="211"/>
      <c r="G980" s="212"/>
      <c r="H980" s="212"/>
      <c r="I980" s="204"/>
      <c r="J980" s="204"/>
      <c r="K980" s="204"/>
      <c r="L980" s="204"/>
      <c r="M980" s="204"/>
      <c r="N980" s="204"/>
      <c r="O980" s="204"/>
      <c r="P980" s="204"/>
      <c r="Q980" s="204"/>
      <c r="R980" s="204"/>
      <c r="S980" s="204"/>
      <c r="T980" s="204"/>
      <c r="U980" s="204"/>
      <c r="V980" s="204"/>
      <c r="W980" s="204"/>
      <c r="X980" s="204"/>
      <c r="Y980" s="204"/>
      <c r="Z980" s="204"/>
      <c r="AA980" s="204"/>
      <c r="AB980" s="204"/>
      <c r="AC980" s="204"/>
      <c r="AD980" s="204"/>
      <c r="AE980" s="204"/>
      <c r="AF980" s="204"/>
      <c r="AG980" s="204"/>
      <c r="AH980" s="204"/>
      <c r="AI980" s="209"/>
      <c r="AJ980" s="209"/>
      <c r="AK980" s="204"/>
      <c r="AL980" s="204"/>
      <c r="AM980" s="204"/>
    </row>
    <row r="981">
      <c r="A981" s="204"/>
      <c r="B981" s="209"/>
      <c r="C981" s="204"/>
      <c r="D981" s="210"/>
      <c r="E981" s="211"/>
      <c r="F981" s="211"/>
      <c r="G981" s="212"/>
      <c r="H981" s="212"/>
      <c r="I981" s="204"/>
      <c r="J981" s="204"/>
      <c r="K981" s="204"/>
      <c r="L981" s="204"/>
      <c r="M981" s="204"/>
      <c r="N981" s="204"/>
      <c r="O981" s="204"/>
      <c r="P981" s="204"/>
      <c r="Q981" s="204"/>
      <c r="R981" s="204"/>
      <c r="S981" s="204"/>
      <c r="T981" s="204"/>
      <c r="U981" s="204"/>
      <c r="V981" s="204"/>
      <c r="W981" s="204"/>
      <c r="X981" s="204"/>
      <c r="Y981" s="204"/>
      <c r="Z981" s="204"/>
      <c r="AA981" s="204"/>
      <c r="AB981" s="204"/>
      <c r="AC981" s="204"/>
      <c r="AD981" s="204"/>
      <c r="AE981" s="204"/>
      <c r="AF981" s="204"/>
      <c r="AG981" s="204"/>
      <c r="AH981" s="204"/>
      <c r="AI981" s="209"/>
      <c r="AJ981" s="209"/>
      <c r="AK981" s="204"/>
      <c r="AL981" s="204"/>
      <c r="AM981" s="204"/>
    </row>
    <row r="982">
      <c r="A982" s="204"/>
      <c r="B982" s="209"/>
      <c r="C982" s="204"/>
      <c r="D982" s="210"/>
      <c r="E982" s="211"/>
      <c r="F982" s="211"/>
      <c r="G982" s="212"/>
      <c r="H982" s="212"/>
      <c r="I982" s="204"/>
      <c r="J982" s="204"/>
      <c r="K982" s="204"/>
      <c r="L982" s="204"/>
      <c r="M982" s="204"/>
      <c r="N982" s="204"/>
      <c r="O982" s="204"/>
      <c r="P982" s="204"/>
      <c r="Q982" s="204"/>
      <c r="R982" s="204"/>
      <c r="S982" s="204"/>
      <c r="T982" s="204"/>
      <c r="U982" s="204"/>
      <c r="V982" s="204"/>
      <c r="W982" s="204"/>
      <c r="X982" s="204"/>
      <c r="Y982" s="204"/>
      <c r="Z982" s="204"/>
      <c r="AA982" s="204"/>
      <c r="AB982" s="204"/>
      <c r="AC982" s="204"/>
      <c r="AD982" s="204"/>
      <c r="AE982" s="204"/>
      <c r="AF982" s="204"/>
      <c r="AG982" s="204"/>
      <c r="AH982" s="204"/>
      <c r="AI982" s="209"/>
      <c r="AJ982" s="209"/>
      <c r="AK982" s="204"/>
      <c r="AL982" s="204"/>
      <c r="AM982" s="204"/>
    </row>
    <row r="983">
      <c r="A983" s="204"/>
      <c r="B983" s="209"/>
      <c r="C983" s="204"/>
      <c r="D983" s="210"/>
      <c r="E983" s="211"/>
      <c r="F983" s="211"/>
      <c r="G983" s="212"/>
      <c r="H983" s="212"/>
      <c r="I983" s="204"/>
      <c r="J983" s="204"/>
      <c r="K983" s="204"/>
      <c r="L983" s="204"/>
      <c r="M983" s="204"/>
      <c r="N983" s="204"/>
      <c r="O983" s="204"/>
      <c r="P983" s="204"/>
      <c r="Q983" s="204"/>
      <c r="R983" s="204"/>
      <c r="S983" s="204"/>
      <c r="T983" s="204"/>
      <c r="U983" s="204"/>
      <c r="V983" s="204"/>
      <c r="W983" s="204"/>
      <c r="X983" s="204"/>
      <c r="Y983" s="204"/>
      <c r="Z983" s="204"/>
      <c r="AA983" s="204"/>
      <c r="AB983" s="204"/>
      <c r="AC983" s="204"/>
      <c r="AD983" s="204"/>
      <c r="AE983" s="204"/>
      <c r="AF983" s="204"/>
      <c r="AG983" s="204"/>
      <c r="AH983" s="204"/>
      <c r="AI983" s="209"/>
      <c r="AJ983" s="209"/>
      <c r="AK983" s="204"/>
      <c r="AL983" s="204"/>
      <c r="AM983" s="204"/>
    </row>
    <row r="984">
      <c r="A984" s="204"/>
      <c r="B984" s="209"/>
      <c r="C984" s="204"/>
      <c r="D984" s="210"/>
      <c r="E984" s="211"/>
      <c r="F984" s="211"/>
      <c r="G984" s="212"/>
      <c r="H984" s="212"/>
      <c r="I984" s="204"/>
      <c r="J984" s="204"/>
      <c r="K984" s="204"/>
      <c r="L984" s="204"/>
      <c r="M984" s="204"/>
      <c r="N984" s="204"/>
      <c r="O984" s="204"/>
      <c r="P984" s="204"/>
      <c r="Q984" s="204"/>
      <c r="R984" s="204"/>
      <c r="S984" s="204"/>
      <c r="T984" s="204"/>
      <c r="U984" s="204"/>
      <c r="V984" s="204"/>
      <c r="W984" s="204"/>
      <c r="X984" s="204"/>
      <c r="Y984" s="204"/>
      <c r="Z984" s="204"/>
      <c r="AA984" s="204"/>
      <c r="AB984" s="204"/>
      <c r="AC984" s="204"/>
      <c r="AD984" s="204"/>
      <c r="AE984" s="204"/>
      <c r="AF984" s="204"/>
      <c r="AG984" s="204"/>
      <c r="AH984" s="204"/>
      <c r="AI984" s="209"/>
      <c r="AJ984" s="209"/>
      <c r="AK984" s="204"/>
      <c r="AL984" s="204"/>
      <c r="AM984" s="204"/>
    </row>
    <row r="985">
      <c r="A985" s="204"/>
      <c r="B985" s="209"/>
      <c r="C985" s="204"/>
      <c r="D985" s="210"/>
      <c r="E985" s="211"/>
      <c r="F985" s="211"/>
      <c r="G985" s="212"/>
      <c r="H985" s="212"/>
      <c r="I985" s="204"/>
      <c r="J985" s="204"/>
      <c r="K985" s="204"/>
      <c r="L985" s="204"/>
      <c r="M985" s="204"/>
      <c r="N985" s="204"/>
      <c r="O985" s="204"/>
      <c r="P985" s="204"/>
      <c r="Q985" s="204"/>
      <c r="R985" s="204"/>
      <c r="S985" s="204"/>
      <c r="T985" s="204"/>
      <c r="U985" s="204"/>
      <c r="V985" s="204"/>
      <c r="W985" s="204"/>
      <c r="X985" s="204"/>
      <c r="Y985" s="204"/>
      <c r="Z985" s="204"/>
      <c r="AA985" s="204"/>
      <c r="AB985" s="204"/>
      <c r="AC985" s="204"/>
      <c r="AD985" s="204"/>
      <c r="AE985" s="204"/>
      <c r="AF985" s="204"/>
      <c r="AG985" s="204"/>
      <c r="AH985" s="204"/>
      <c r="AI985" s="209"/>
      <c r="AJ985" s="209"/>
      <c r="AK985" s="204"/>
      <c r="AL985" s="204"/>
      <c r="AM985" s="204"/>
    </row>
    <row r="986">
      <c r="A986" s="204"/>
      <c r="B986" s="209"/>
      <c r="C986" s="204"/>
      <c r="D986" s="210"/>
      <c r="E986" s="211"/>
      <c r="F986" s="211"/>
      <c r="G986" s="212"/>
      <c r="H986" s="212"/>
      <c r="I986" s="204"/>
      <c r="J986" s="204"/>
      <c r="K986" s="204"/>
      <c r="L986" s="204"/>
      <c r="M986" s="204"/>
      <c r="N986" s="204"/>
      <c r="O986" s="204"/>
      <c r="P986" s="204"/>
      <c r="Q986" s="204"/>
      <c r="R986" s="204"/>
      <c r="S986" s="204"/>
      <c r="T986" s="204"/>
      <c r="U986" s="204"/>
      <c r="V986" s="204"/>
      <c r="W986" s="204"/>
      <c r="X986" s="204"/>
      <c r="Y986" s="204"/>
      <c r="Z986" s="204"/>
      <c r="AA986" s="204"/>
      <c r="AB986" s="204"/>
      <c r="AC986" s="204"/>
      <c r="AD986" s="204"/>
      <c r="AE986" s="204"/>
      <c r="AF986" s="204"/>
      <c r="AG986" s="204"/>
      <c r="AH986" s="204"/>
      <c r="AI986" s="209"/>
      <c r="AJ986" s="209"/>
      <c r="AK986" s="204"/>
      <c r="AL986" s="204"/>
      <c r="AM986" s="204"/>
    </row>
    <row r="987">
      <c r="A987" s="204"/>
      <c r="B987" s="209"/>
      <c r="C987" s="204"/>
      <c r="D987" s="210"/>
      <c r="E987" s="211"/>
      <c r="F987" s="211"/>
      <c r="G987" s="212"/>
      <c r="H987" s="212"/>
      <c r="I987" s="204"/>
      <c r="J987" s="204"/>
      <c r="K987" s="204"/>
      <c r="L987" s="204"/>
      <c r="M987" s="204"/>
      <c r="N987" s="204"/>
      <c r="O987" s="204"/>
      <c r="P987" s="204"/>
      <c r="Q987" s="204"/>
      <c r="R987" s="204"/>
      <c r="S987" s="204"/>
      <c r="T987" s="204"/>
      <c r="U987" s="204"/>
      <c r="V987" s="204"/>
      <c r="W987" s="204"/>
      <c r="X987" s="204"/>
      <c r="Y987" s="204"/>
      <c r="Z987" s="204"/>
      <c r="AA987" s="204"/>
      <c r="AB987" s="204"/>
      <c r="AC987" s="204"/>
      <c r="AD987" s="204"/>
      <c r="AE987" s="204"/>
      <c r="AF987" s="204"/>
      <c r="AG987" s="204"/>
      <c r="AH987" s="204"/>
      <c r="AI987" s="209"/>
      <c r="AJ987" s="209"/>
      <c r="AK987" s="204"/>
      <c r="AL987" s="204"/>
      <c r="AM987" s="204"/>
    </row>
    <row r="988">
      <c r="A988" s="204"/>
      <c r="B988" s="209"/>
      <c r="C988" s="204"/>
      <c r="D988" s="210"/>
      <c r="E988" s="211"/>
      <c r="F988" s="211"/>
      <c r="G988" s="212"/>
      <c r="H988" s="212"/>
      <c r="I988" s="204"/>
      <c r="J988" s="204"/>
      <c r="K988" s="204"/>
      <c r="L988" s="204"/>
      <c r="M988" s="204"/>
      <c r="N988" s="204"/>
      <c r="O988" s="204"/>
      <c r="P988" s="204"/>
      <c r="Q988" s="204"/>
      <c r="R988" s="204"/>
      <c r="S988" s="204"/>
      <c r="T988" s="204"/>
      <c r="U988" s="204"/>
      <c r="V988" s="204"/>
      <c r="W988" s="204"/>
      <c r="X988" s="204"/>
      <c r="Y988" s="204"/>
      <c r="Z988" s="204"/>
      <c r="AA988" s="204"/>
      <c r="AB988" s="204"/>
      <c r="AC988" s="204"/>
      <c r="AD988" s="204"/>
      <c r="AE988" s="204"/>
      <c r="AF988" s="204"/>
      <c r="AG988" s="204"/>
      <c r="AH988" s="204"/>
      <c r="AI988" s="209"/>
      <c r="AJ988" s="209"/>
      <c r="AK988" s="204"/>
      <c r="AL988" s="204"/>
      <c r="AM988" s="204"/>
    </row>
    <row r="989">
      <c r="A989" s="204"/>
      <c r="B989" s="209"/>
      <c r="C989" s="204"/>
      <c r="D989" s="210"/>
      <c r="E989" s="211"/>
      <c r="F989" s="211"/>
      <c r="G989" s="212"/>
      <c r="H989" s="212"/>
      <c r="I989" s="204"/>
      <c r="J989" s="204"/>
      <c r="K989" s="204"/>
      <c r="L989" s="204"/>
      <c r="M989" s="204"/>
      <c r="N989" s="204"/>
      <c r="O989" s="204"/>
      <c r="P989" s="204"/>
      <c r="Q989" s="204"/>
      <c r="R989" s="204"/>
      <c r="S989" s="204"/>
      <c r="T989" s="204"/>
      <c r="U989" s="204"/>
      <c r="V989" s="204"/>
      <c r="W989" s="204"/>
      <c r="X989" s="204"/>
      <c r="Y989" s="204"/>
      <c r="Z989" s="204"/>
      <c r="AA989" s="204"/>
      <c r="AB989" s="204"/>
      <c r="AC989" s="204"/>
      <c r="AD989" s="204"/>
      <c r="AE989" s="204"/>
      <c r="AF989" s="204"/>
      <c r="AG989" s="204"/>
      <c r="AH989" s="204"/>
      <c r="AI989" s="209"/>
      <c r="AJ989" s="209"/>
      <c r="AK989" s="204"/>
      <c r="AL989" s="204"/>
      <c r="AM989" s="204"/>
    </row>
    <row r="990">
      <c r="A990" s="204"/>
      <c r="B990" s="209"/>
      <c r="C990" s="204"/>
      <c r="D990" s="210"/>
      <c r="E990" s="211"/>
      <c r="F990" s="211"/>
      <c r="G990" s="212"/>
      <c r="H990" s="212"/>
      <c r="I990" s="204"/>
      <c r="J990" s="204"/>
      <c r="K990" s="204"/>
      <c r="L990" s="204"/>
      <c r="M990" s="204"/>
      <c r="N990" s="204"/>
      <c r="O990" s="204"/>
      <c r="P990" s="204"/>
      <c r="Q990" s="204"/>
      <c r="R990" s="204"/>
      <c r="S990" s="204"/>
      <c r="T990" s="204"/>
      <c r="U990" s="204"/>
      <c r="V990" s="204"/>
      <c r="W990" s="204"/>
      <c r="X990" s="204"/>
      <c r="Y990" s="204"/>
      <c r="Z990" s="204"/>
      <c r="AA990" s="204"/>
      <c r="AB990" s="204"/>
      <c r="AC990" s="204"/>
      <c r="AD990" s="204"/>
      <c r="AE990" s="204"/>
      <c r="AF990" s="204"/>
      <c r="AG990" s="204"/>
      <c r="AH990" s="204"/>
      <c r="AI990" s="209"/>
      <c r="AJ990" s="209"/>
      <c r="AK990" s="204"/>
      <c r="AL990" s="204"/>
      <c r="AM990" s="204"/>
    </row>
    <row r="991">
      <c r="A991" s="204"/>
      <c r="B991" s="209"/>
      <c r="C991" s="204"/>
      <c r="D991" s="210"/>
      <c r="E991" s="211"/>
      <c r="F991" s="211"/>
      <c r="G991" s="212"/>
      <c r="H991" s="212"/>
      <c r="I991" s="204"/>
      <c r="J991" s="204"/>
      <c r="K991" s="204"/>
      <c r="L991" s="204"/>
      <c r="M991" s="204"/>
      <c r="N991" s="204"/>
      <c r="O991" s="204"/>
      <c r="P991" s="204"/>
      <c r="Q991" s="204"/>
      <c r="R991" s="204"/>
      <c r="S991" s="204"/>
      <c r="T991" s="204"/>
      <c r="U991" s="204"/>
      <c r="V991" s="204"/>
      <c r="W991" s="204"/>
      <c r="X991" s="204"/>
      <c r="Y991" s="204"/>
      <c r="Z991" s="204"/>
      <c r="AA991" s="204"/>
      <c r="AB991" s="204"/>
      <c r="AC991" s="204"/>
      <c r="AD991" s="204"/>
      <c r="AE991" s="204"/>
      <c r="AF991" s="204"/>
      <c r="AG991" s="204"/>
      <c r="AH991" s="204"/>
      <c r="AI991" s="209"/>
      <c r="AJ991" s="209"/>
      <c r="AK991" s="204"/>
      <c r="AL991" s="204"/>
      <c r="AM991" s="204"/>
    </row>
    <row r="992">
      <c r="A992" s="204"/>
      <c r="B992" s="209"/>
      <c r="C992" s="204"/>
      <c r="D992" s="210"/>
      <c r="E992" s="211"/>
      <c r="F992" s="211"/>
      <c r="G992" s="212"/>
      <c r="H992" s="212"/>
      <c r="I992" s="204"/>
      <c r="J992" s="204"/>
      <c r="K992" s="204"/>
      <c r="L992" s="204"/>
      <c r="M992" s="204"/>
      <c r="N992" s="204"/>
      <c r="O992" s="204"/>
      <c r="P992" s="204"/>
      <c r="Q992" s="204"/>
      <c r="R992" s="204"/>
      <c r="S992" s="204"/>
      <c r="T992" s="204"/>
      <c r="U992" s="204"/>
      <c r="V992" s="204"/>
      <c r="W992" s="204"/>
      <c r="X992" s="204"/>
      <c r="Y992" s="204"/>
      <c r="Z992" s="204"/>
      <c r="AA992" s="204"/>
      <c r="AB992" s="204"/>
      <c r="AC992" s="204"/>
      <c r="AD992" s="204"/>
      <c r="AE992" s="204"/>
      <c r="AF992" s="204"/>
      <c r="AG992" s="204"/>
      <c r="AH992" s="204"/>
      <c r="AI992" s="209"/>
      <c r="AJ992" s="209"/>
      <c r="AK992" s="204"/>
      <c r="AL992" s="204"/>
      <c r="AM992" s="204"/>
    </row>
    <row r="993">
      <c r="A993" s="204"/>
      <c r="B993" s="209"/>
      <c r="C993" s="204"/>
      <c r="D993" s="210"/>
      <c r="E993" s="211"/>
      <c r="F993" s="211"/>
      <c r="G993" s="212"/>
      <c r="H993" s="212"/>
      <c r="I993" s="204"/>
      <c r="J993" s="204"/>
      <c r="K993" s="204"/>
      <c r="L993" s="204"/>
      <c r="M993" s="204"/>
      <c r="N993" s="204"/>
      <c r="O993" s="204"/>
      <c r="P993" s="204"/>
      <c r="Q993" s="204"/>
      <c r="R993" s="204"/>
      <c r="S993" s="204"/>
      <c r="T993" s="204"/>
      <c r="U993" s="204"/>
      <c r="V993" s="204"/>
      <c r="W993" s="204"/>
      <c r="X993" s="204"/>
      <c r="Y993" s="204"/>
      <c r="Z993" s="204"/>
      <c r="AA993" s="204"/>
      <c r="AB993" s="204"/>
      <c r="AC993" s="204"/>
      <c r="AD993" s="204"/>
      <c r="AE993" s="204"/>
      <c r="AF993" s="204"/>
      <c r="AG993" s="204"/>
      <c r="AH993" s="204"/>
      <c r="AI993" s="209"/>
      <c r="AJ993" s="209"/>
      <c r="AK993" s="204"/>
      <c r="AL993" s="204"/>
      <c r="AM993" s="204"/>
    </row>
    <row r="994">
      <c r="A994" s="204"/>
      <c r="B994" s="209"/>
      <c r="C994" s="204"/>
      <c r="D994" s="210"/>
      <c r="E994" s="211"/>
      <c r="F994" s="211"/>
      <c r="G994" s="212"/>
      <c r="H994" s="212"/>
      <c r="I994" s="204"/>
      <c r="J994" s="204"/>
      <c r="K994" s="204"/>
      <c r="L994" s="204"/>
      <c r="M994" s="204"/>
      <c r="N994" s="204"/>
      <c r="O994" s="204"/>
      <c r="P994" s="204"/>
      <c r="Q994" s="204"/>
      <c r="R994" s="204"/>
      <c r="S994" s="204"/>
      <c r="T994" s="204"/>
      <c r="U994" s="204"/>
      <c r="V994" s="204"/>
      <c r="W994" s="204"/>
      <c r="X994" s="204"/>
      <c r="Y994" s="204"/>
      <c r="Z994" s="204"/>
      <c r="AA994" s="204"/>
      <c r="AB994" s="204"/>
      <c r="AC994" s="204"/>
      <c r="AD994" s="204"/>
      <c r="AE994" s="204"/>
      <c r="AF994" s="204"/>
      <c r="AG994" s="204"/>
      <c r="AH994" s="204"/>
      <c r="AI994" s="209"/>
      <c r="AJ994" s="209"/>
      <c r="AK994" s="204"/>
      <c r="AL994" s="204"/>
      <c r="AM994" s="204"/>
    </row>
    <row r="995">
      <c r="A995" s="204"/>
      <c r="B995" s="209"/>
      <c r="C995" s="204"/>
      <c r="D995" s="210"/>
      <c r="E995" s="211"/>
      <c r="F995" s="211"/>
      <c r="G995" s="212"/>
      <c r="H995" s="212"/>
      <c r="I995" s="204"/>
      <c r="J995" s="204"/>
      <c r="K995" s="204"/>
      <c r="L995" s="204"/>
      <c r="M995" s="204"/>
      <c r="N995" s="204"/>
      <c r="O995" s="204"/>
      <c r="P995" s="204"/>
      <c r="Q995" s="204"/>
      <c r="R995" s="204"/>
      <c r="S995" s="204"/>
      <c r="T995" s="204"/>
      <c r="U995" s="204"/>
      <c r="V995" s="204"/>
      <c r="W995" s="204"/>
      <c r="X995" s="204"/>
      <c r="Y995" s="204"/>
      <c r="Z995" s="204"/>
      <c r="AA995" s="204"/>
      <c r="AB995" s="204"/>
      <c r="AC995" s="204"/>
      <c r="AD995" s="204"/>
      <c r="AE995" s="204"/>
      <c r="AF995" s="204"/>
      <c r="AG995" s="204"/>
      <c r="AH995" s="204"/>
      <c r="AI995" s="209"/>
      <c r="AJ995" s="209"/>
      <c r="AK995" s="204"/>
      <c r="AL995" s="204"/>
      <c r="AM995" s="204"/>
    </row>
    <row r="996">
      <c r="A996" s="204"/>
      <c r="B996" s="209"/>
      <c r="C996" s="204"/>
      <c r="D996" s="210"/>
      <c r="E996" s="211"/>
      <c r="F996" s="211"/>
      <c r="G996" s="212"/>
      <c r="H996" s="212"/>
      <c r="I996" s="204"/>
      <c r="J996" s="204"/>
      <c r="K996" s="204"/>
      <c r="L996" s="204"/>
      <c r="M996" s="204"/>
      <c r="N996" s="204"/>
      <c r="O996" s="204"/>
      <c r="P996" s="204"/>
      <c r="Q996" s="204"/>
      <c r="R996" s="204"/>
      <c r="S996" s="204"/>
      <c r="T996" s="204"/>
      <c r="U996" s="204"/>
      <c r="V996" s="204"/>
      <c r="W996" s="204"/>
      <c r="X996" s="204"/>
      <c r="Y996" s="204"/>
      <c r="Z996" s="204"/>
      <c r="AA996" s="204"/>
      <c r="AB996" s="204"/>
      <c r="AC996" s="204"/>
      <c r="AD996" s="204"/>
      <c r="AE996" s="204"/>
      <c r="AF996" s="204"/>
      <c r="AG996" s="204"/>
      <c r="AH996" s="204"/>
      <c r="AI996" s="209"/>
      <c r="AJ996" s="209"/>
      <c r="AK996" s="204"/>
      <c r="AL996" s="204"/>
      <c r="AM996" s="204"/>
    </row>
    <row r="997">
      <c r="A997" s="204"/>
      <c r="B997" s="209"/>
      <c r="C997" s="204"/>
      <c r="D997" s="210"/>
      <c r="E997" s="211"/>
      <c r="F997" s="211"/>
      <c r="G997" s="212"/>
      <c r="H997" s="212"/>
      <c r="I997" s="204"/>
      <c r="J997" s="204"/>
      <c r="K997" s="204"/>
      <c r="L997" s="204"/>
      <c r="M997" s="204"/>
      <c r="N997" s="204"/>
      <c r="O997" s="204"/>
      <c r="P997" s="204"/>
      <c r="Q997" s="204"/>
      <c r="R997" s="204"/>
      <c r="S997" s="204"/>
      <c r="T997" s="204"/>
      <c r="U997" s="204"/>
      <c r="V997" s="204"/>
      <c r="W997" s="204"/>
      <c r="X997" s="204"/>
      <c r="Y997" s="204"/>
      <c r="Z997" s="204"/>
      <c r="AA997" s="204"/>
      <c r="AB997" s="204"/>
      <c r="AC997" s="204"/>
      <c r="AD997" s="204"/>
      <c r="AE997" s="204"/>
      <c r="AF997" s="204"/>
      <c r="AG997" s="204"/>
      <c r="AH997" s="204"/>
      <c r="AI997" s="209"/>
      <c r="AJ997" s="209"/>
      <c r="AK997" s="204"/>
      <c r="AL997" s="204"/>
      <c r="AM997" s="204"/>
    </row>
    <row r="998">
      <c r="A998" s="204"/>
      <c r="B998" s="209"/>
      <c r="C998" s="204"/>
      <c r="D998" s="210"/>
      <c r="E998" s="211"/>
      <c r="F998" s="211"/>
      <c r="G998" s="212"/>
      <c r="H998" s="212"/>
      <c r="I998" s="204"/>
      <c r="J998" s="204"/>
      <c r="K998" s="204"/>
      <c r="L998" s="204"/>
      <c r="M998" s="204"/>
      <c r="N998" s="204"/>
      <c r="O998" s="204"/>
      <c r="P998" s="204"/>
      <c r="Q998" s="204"/>
      <c r="R998" s="204"/>
      <c r="S998" s="204"/>
      <c r="T998" s="204"/>
      <c r="U998" s="204"/>
      <c r="V998" s="204"/>
      <c r="W998" s="204"/>
      <c r="X998" s="204"/>
      <c r="Y998" s="204"/>
      <c r="Z998" s="204"/>
      <c r="AA998" s="204"/>
      <c r="AB998" s="204"/>
      <c r="AC998" s="204"/>
      <c r="AD998" s="204"/>
      <c r="AE998" s="204"/>
      <c r="AF998" s="204"/>
      <c r="AG998" s="204"/>
      <c r="AH998" s="204"/>
      <c r="AI998" s="209"/>
      <c r="AJ998" s="209"/>
      <c r="AK998" s="204"/>
      <c r="AL998" s="204"/>
      <c r="AM998" s="204"/>
    </row>
    <row r="999">
      <c r="A999" s="204"/>
      <c r="B999" s="209"/>
      <c r="C999" s="204"/>
      <c r="D999" s="210"/>
      <c r="E999" s="211"/>
      <c r="F999" s="211"/>
      <c r="G999" s="212"/>
      <c r="H999" s="212"/>
      <c r="I999" s="204"/>
      <c r="J999" s="204"/>
      <c r="K999" s="204"/>
      <c r="L999" s="204"/>
      <c r="M999" s="204"/>
      <c r="N999" s="204"/>
      <c r="O999" s="204"/>
      <c r="P999" s="204"/>
      <c r="Q999" s="204"/>
      <c r="R999" s="204"/>
      <c r="S999" s="204"/>
      <c r="T999" s="204"/>
      <c r="U999" s="204"/>
      <c r="V999" s="204"/>
      <c r="W999" s="204"/>
      <c r="X999" s="204"/>
      <c r="Y999" s="204"/>
      <c r="Z999" s="204"/>
      <c r="AA999" s="204"/>
      <c r="AB999" s="204"/>
      <c r="AC999" s="204"/>
      <c r="AD999" s="204"/>
      <c r="AE999" s="204"/>
      <c r="AF999" s="204"/>
      <c r="AG999" s="204"/>
      <c r="AH999" s="204"/>
      <c r="AI999" s="209"/>
      <c r="AJ999" s="209"/>
      <c r="AK999" s="204"/>
      <c r="AL999" s="204"/>
      <c r="AM999" s="204"/>
    </row>
    <row r="1000">
      <c r="A1000" s="204"/>
      <c r="B1000" s="209"/>
      <c r="C1000" s="204"/>
      <c r="D1000" s="210"/>
      <c r="E1000" s="211"/>
      <c r="F1000" s="211"/>
      <c r="G1000" s="212"/>
      <c r="H1000" s="212"/>
      <c r="I1000" s="204"/>
      <c r="J1000" s="204"/>
      <c r="K1000" s="204"/>
      <c r="L1000" s="204"/>
      <c r="M1000" s="204"/>
      <c r="N1000" s="204"/>
      <c r="O1000" s="204"/>
      <c r="P1000" s="204"/>
      <c r="Q1000" s="204"/>
      <c r="R1000" s="204"/>
      <c r="S1000" s="204"/>
      <c r="T1000" s="204"/>
      <c r="U1000" s="204"/>
      <c r="V1000" s="204"/>
      <c r="W1000" s="204"/>
      <c r="X1000" s="204"/>
      <c r="Y1000" s="204"/>
      <c r="Z1000" s="204"/>
      <c r="AA1000" s="204"/>
      <c r="AB1000" s="204"/>
      <c r="AC1000" s="204"/>
      <c r="AD1000" s="204"/>
      <c r="AE1000" s="204"/>
      <c r="AF1000" s="204"/>
      <c r="AG1000" s="204"/>
      <c r="AH1000" s="204"/>
      <c r="AI1000" s="209"/>
      <c r="AJ1000" s="209"/>
      <c r="AK1000" s="204"/>
      <c r="AL1000" s="204"/>
      <c r="AM1000" s="204"/>
    </row>
    <row r="1001">
      <c r="A1001" s="204"/>
      <c r="B1001" s="209"/>
      <c r="C1001" s="204"/>
      <c r="D1001" s="210"/>
      <c r="E1001" s="211"/>
      <c r="F1001" s="211"/>
      <c r="G1001" s="212"/>
      <c r="H1001" s="212"/>
      <c r="I1001" s="204"/>
      <c r="J1001" s="204"/>
      <c r="K1001" s="204"/>
      <c r="L1001" s="204"/>
      <c r="M1001" s="204"/>
      <c r="N1001" s="204"/>
      <c r="O1001" s="204"/>
      <c r="P1001" s="204"/>
      <c r="Q1001" s="204"/>
      <c r="R1001" s="204"/>
      <c r="S1001" s="204"/>
      <c r="T1001" s="204"/>
      <c r="U1001" s="204"/>
      <c r="V1001" s="204"/>
      <c r="W1001" s="204"/>
      <c r="X1001" s="204"/>
      <c r="Y1001" s="204"/>
      <c r="Z1001" s="204"/>
      <c r="AA1001" s="204"/>
      <c r="AB1001" s="204"/>
      <c r="AC1001" s="204"/>
      <c r="AD1001" s="204"/>
      <c r="AE1001" s="204"/>
      <c r="AF1001" s="204"/>
      <c r="AG1001" s="204"/>
      <c r="AH1001" s="204"/>
      <c r="AI1001" s="209"/>
      <c r="AJ1001" s="209"/>
      <c r="AK1001" s="204"/>
      <c r="AL1001" s="204"/>
      <c r="AM1001" s="204"/>
    </row>
    <row r="1002">
      <c r="A1002" s="204"/>
      <c r="B1002" s="209"/>
      <c r="C1002" s="204"/>
      <c r="D1002" s="210"/>
      <c r="E1002" s="211"/>
      <c r="F1002" s="211"/>
      <c r="G1002" s="212"/>
      <c r="H1002" s="212"/>
      <c r="I1002" s="204"/>
      <c r="J1002" s="204"/>
      <c r="K1002" s="204"/>
      <c r="L1002" s="204"/>
      <c r="M1002" s="204"/>
      <c r="N1002" s="204"/>
      <c r="O1002" s="204"/>
      <c r="P1002" s="204"/>
      <c r="Q1002" s="204"/>
      <c r="R1002" s="204"/>
      <c r="S1002" s="204"/>
      <c r="T1002" s="204"/>
      <c r="U1002" s="204"/>
      <c r="V1002" s="204"/>
      <c r="W1002" s="204"/>
      <c r="X1002" s="204"/>
      <c r="Y1002" s="204"/>
      <c r="Z1002" s="204"/>
      <c r="AA1002" s="204"/>
      <c r="AB1002" s="204"/>
      <c r="AC1002" s="204"/>
      <c r="AD1002" s="204"/>
      <c r="AE1002" s="204"/>
      <c r="AF1002" s="204"/>
      <c r="AG1002" s="204"/>
      <c r="AH1002" s="204"/>
      <c r="AI1002" s="209"/>
      <c r="AJ1002" s="209"/>
      <c r="AK1002" s="204"/>
      <c r="AL1002" s="204"/>
      <c r="AM1002" s="204"/>
    </row>
    <row r="1003">
      <c r="A1003" s="204"/>
      <c r="B1003" s="209"/>
      <c r="C1003" s="204"/>
      <c r="D1003" s="210"/>
      <c r="E1003" s="211"/>
      <c r="F1003" s="211"/>
      <c r="G1003" s="212"/>
      <c r="H1003" s="212"/>
      <c r="I1003" s="204"/>
      <c r="J1003" s="204"/>
      <c r="K1003" s="204"/>
      <c r="L1003" s="204"/>
      <c r="M1003" s="204"/>
      <c r="N1003" s="204"/>
      <c r="O1003" s="204"/>
      <c r="P1003" s="204"/>
      <c r="Q1003" s="204"/>
      <c r="R1003" s="204"/>
      <c r="S1003" s="204"/>
      <c r="T1003" s="204"/>
      <c r="U1003" s="204"/>
      <c r="V1003" s="204"/>
      <c r="W1003" s="204"/>
      <c r="X1003" s="204"/>
      <c r="Y1003" s="204"/>
      <c r="Z1003" s="204"/>
      <c r="AA1003" s="204"/>
      <c r="AB1003" s="204"/>
      <c r="AC1003" s="204"/>
      <c r="AD1003" s="204"/>
      <c r="AE1003" s="204"/>
      <c r="AF1003" s="204"/>
      <c r="AG1003" s="204"/>
      <c r="AH1003" s="204"/>
      <c r="AI1003" s="209"/>
      <c r="AJ1003" s="209"/>
      <c r="AK1003" s="204"/>
      <c r="AL1003" s="204"/>
      <c r="AM1003" s="204"/>
    </row>
    <row r="1004">
      <c r="A1004" s="204"/>
      <c r="B1004" s="209"/>
      <c r="C1004" s="204"/>
      <c r="D1004" s="210"/>
      <c r="E1004" s="211"/>
      <c r="F1004" s="211"/>
      <c r="G1004" s="212"/>
      <c r="H1004" s="212"/>
      <c r="I1004" s="204"/>
      <c r="J1004" s="204"/>
      <c r="K1004" s="204"/>
      <c r="L1004" s="204"/>
      <c r="M1004" s="204"/>
      <c r="N1004" s="204"/>
      <c r="O1004" s="204"/>
      <c r="P1004" s="204"/>
      <c r="Q1004" s="204"/>
      <c r="R1004" s="204"/>
      <c r="S1004" s="204"/>
      <c r="T1004" s="204"/>
      <c r="U1004" s="204"/>
      <c r="V1004" s="204"/>
      <c r="W1004" s="204"/>
      <c r="X1004" s="204"/>
      <c r="Y1004" s="204"/>
      <c r="Z1004" s="204"/>
      <c r="AA1004" s="204"/>
      <c r="AB1004" s="204"/>
      <c r="AC1004" s="204"/>
      <c r="AD1004" s="204"/>
      <c r="AE1004" s="204"/>
      <c r="AF1004" s="204"/>
      <c r="AG1004" s="204"/>
      <c r="AH1004" s="204"/>
      <c r="AI1004" s="209"/>
      <c r="AJ1004" s="209"/>
      <c r="AK1004" s="204"/>
      <c r="AL1004" s="204"/>
      <c r="AM1004" s="204"/>
    </row>
    <row r="1005">
      <c r="A1005" s="204"/>
      <c r="B1005" s="209"/>
      <c r="C1005" s="204"/>
      <c r="D1005" s="210"/>
      <c r="E1005" s="211"/>
      <c r="F1005" s="211"/>
      <c r="G1005" s="212"/>
      <c r="H1005" s="212"/>
      <c r="I1005" s="204"/>
      <c r="J1005" s="204"/>
      <c r="K1005" s="204"/>
      <c r="L1005" s="204"/>
      <c r="M1005" s="204"/>
      <c r="N1005" s="204"/>
      <c r="O1005" s="204"/>
      <c r="P1005" s="204"/>
      <c r="Q1005" s="204"/>
      <c r="R1005" s="204"/>
      <c r="S1005" s="204"/>
      <c r="T1005" s="204"/>
      <c r="U1005" s="204"/>
      <c r="V1005" s="204"/>
      <c r="W1005" s="204"/>
      <c r="X1005" s="204"/>
      <c r="Y1005" s="204"/>
      <c r="Z1005" s="204"/>
      <c r="AA1005" s="204"/>
      <c r="AB1005" s="204"/>
      <c r="AC1005" s="204"/>
      <c r="AD1005" s="204"/>
      <c r="AE1005" s="204"/>
      <c r="AF1005" s="204"/>
      <c r="AG1005" s="204"/>
      <c r="AH1005" s="204"/>
      <c r="AI1005" s="209"/>
      <c r="AJ1005" s="209"/>
      <c r="AK1005" s="204"/>
      <c r="AL1005" s="204"/>
      <c r="AM1005" s="204"/>
    </row>
    <row r="1006">
      <c r="A1006" s="204"/>
      <c r="B1006" s="209"/>
      <c r="C1006" s="204"/>
      <c r="D1006" s="210"/>
      <c r="E1006" s="211"/>
      <c r="F1006" s="211"/>
      <c r="G1006" s="212"/>
      <c r="H1006" s="212"/>
      <c r="I1006" s="204"/>
      <c r="J1006" s="204"/>
      <c r="K1006" s="204"/>
      <c r="L1006" s="204"/>
      <c r="M1006" s="204"/>
      <c r="N1006" s="204"/>
      <c r="O1006" s="204"/>
      <c r="P1006" s="204"/>
      <c r="Q1006" s="204"/>
      <c r="R1006" s="204"/>
      <c r="S1006" s="204"/>
      <c r="T1006" s="204"/>
      <c r="U1006" s="204"/>
      <c r="V1006" s="204"/>
      <c r="W1006" s="204"/>
      <c r="X1006" s="204"/>
      <c r="Y1006" s="204"/>
      <c r="Z1006" s="204"/>
      <c r="AA1006" s="204"/>
      <c r="AB1006" s="204"/>
      <c r="AC1006" s="204"/>
      <c r="AD1006" s="204"/>
      <c r="AE1006" s="204"/>
      <c r="AF1006" s="204"/>
      <c r="AG1006" s="204"/>
      <c r="AH1006" s="204"/>
      <c r="AI1006" s="209"/>
      <c r="AJ1006" s="209"/>
      <c r="AK1006" s="204"/>
      <c r="AL1006" s="204"/>
      <c r="AM1006" s="204"/>
    </row>
    <row r="1007">
      <c r="A1007" s="204"/>
      <c r="B1007" s="209"/>
      <c r="C1007" s="204"/>
      <c r="D1007" s="210"/>
      <c r="E1007" s="211"/>
      <c r="F1007" s="211"/>
      <c r="G1007" s="212"/>
      <c r="H1007" s="212"/>
      <c r="I1007" s="204"/>
      <c r="J1007" s="204"/>
      <c r="K1007" s="204"/>
      <c r="L1007" s="204"/>
      <c r="M1007" s="204"/>
      <c r="N1007" s="204"/>
      <c r="O1007" s="204"/>
      <c r="P1007" s="204"/>
      <c r="Q1007" s="204"/>
      <c r="R1007" s="204"/>
      <c r="S1007" s="204"/>
      <c r="T1007" s="204"/>
      <c r="U1007" s="204"/>
      <c r="V1007" s="204"/>
      <c r="W1007" s="204"/>
      <c r="X1007" s="204"/>
      <c r="Y1007" s="204"/>
      <c r="Z1007" s="204"/>
      <c r="AA1007" s="204"/>
      <c r="AB1007" s="204"/>
      <c r="AC1007" s="204"/>
      <c r="AD1007" s="204"/>
      <c r="AE1007" s="204"/>
      <c r="AF1007" s="204"/>
      <c r="AG1007" s="204"/>
      <c r="AH1007" s="204"/>
      <c r="AI1007" s="209"/>
      <c r="AJ1007" s="209"/>
      <c r="AK1007" s="204"/>
      <c r="AL1007" s="204"/>
      <c r="AM1007" s="204"/>
    </row>
    <row r="1008">
      <c r="A1008" s="204"/>
      <c r="B1008" s="209"/>
      <c r="C1008" s="204"/>
      <c r="D1008" s="210"/>
      <c r="E1008" s="211"/>
      <c r="F1008" s="211"/>
      <c r="G1008" s="212"/>
      <c r="H1008" s="212"/>
      <c r="I1008" s="204"/>
      <c r="J1008" s="204"/>
      <c r="K1008" s="204"/>
      <c r="L1008" s="204"/>
      <c r="M1008" s="204"/>
      <c r="N1008" s="204"/>
      <c r="O1008" s="204"/>
      <c r="P1008" s="204"/>
      <c r="Q1008" s="204"/>
      <c r="R1008" s="204"/>
      <c r="S1008" s="204"/>
      <c r="T1008" s="204"/>
      <c r="U1008" s="204"/>
      <c r="V1008" s="204"/>
      <c r="W1008" s="204"/>
      <c r="X1008" s="204"/>
      <c r="Y1008" s="204"/>
      <c r="Z1008" s="204"/>
      <c r="AA1008" s="204"/>
      <c r="AB1008" s="204"/>
      <c r="AC1008" s="204"/>
      <c r="AD1008" s="204"/>
      <c r="AE1008" s="204"/>
      <c r="AF1008" s="204"/>
      <c r="AG1008" s="204"/>
      <c r="AH1008" s="204"/>
      <c r="AI1008" s="209"/>
      <c r="AJ1008" s="209"/>
      <c r="AK1008" s="204"/>
      <c r="AL1008" s="204"/>
      <c r="AM1008" s="204"/>
    </row>
    <row r="1009">
      <c r="A1009" s="204"/>
      <c r="B1009" s="209"/>
      <c r="C1009" s="204"/>
      <c r="D1009" s="210"/>
      <c r="E1009" s="211"/>
      <c r="F1009" s="211"/>
      <c r="G1009" s="212"/>
      <c r="H1009" s="212"/>
      <c r="I1009" s="204"/>
      <c r="J1009" s="204"/>
      <c r="K1009" s="204"/>
      <c r="L1009" s="204"/>
      <c r="M1009" s="204"/>
      <c r="N1009" s="204"/>
      <c r="O1009" s="204"/>
      <c r="P1009" s="204"/>
      <c r="Q1009" s="204"/>
      <c r="R1009" s="204"/>
      <c r="S1009" s="204"/>
      <c r="T1009" s="204"/>
      <c r="U1009" s="204"/>
      <c r="V1009" s="204"/>
      <c r="W1009" s="204"/>
      <c r="X1009" s="204"/>
      <c r="Y1009" s="204"/>
      <c r="Z1009" s="204"/>
      <c r="AA1009" s="204"/>
      <c r="AB1009" s="204"/>
      <c r="AC1009" s="204"/>
      <c r="AD1009" s="204"/>
      <c r="AE1009" s="204"/>
      <c r="AF1009" s="204"/>
      <c r="AG1009" s="204"/>
      <c r="AH1009" s="204"/>
      <c r="AI1009" s="209"/>
      <c r="AJ1009" s="209"/>
      <c r="AK1009" s="204"/>
      <c r="AL1009" s="204"/>
      <c r="AM1009" s="204"/>
    </row>
    <row r="1010">
      <c r="A1010" s="204"/>
      <c r="B1010" s="209"/>
      <c r="C1010" s="204"/>
      <c r="D1010" s="210"/>
      <c r="E1010" s="211"/>
      <c r="F1010" s="211"/>
      <c r="G1010" s="212"/>
      <c r="H1010" s="212"/>
      <c r="I1010" s="204"/>
      <c r="J1010" s="204"/>
      <c r="K1010" s="204"/>
      <c r="L1010" s="204"/>
      <c r="M1010" s="204"/>
      <c r="N1010" s="204"/>
      <c r="O1010" s="204"/>
      <c r="P1010" s="204"/>
      <c r="Q1010" s="204"/>
      <c r="R1010" s="204"/>
      <c r="S1010" s="204"/>
      <c r="T1010" s="204"/>
      <c r="U1010" s="204"/>
      <c r="V1010" s="204"/>
      <c r="W1010" s="204"/>
      <c r="X1010" s="204"/>
      <c r="Y1010" s="204"/>
      <c r="Z1010" s="204"/>
      <c r="AA1010" s="204"/>
      <c r="AB1010" s="204"/>
      <c r="AC1010" s="204"/>
      <c r="AD1010" s="204"/>
      <c r="AE1010" s="204"/>
      <c r="AF1010" s="204"/>
      <c r="AG1010" s="204"/>
      <c r="AH1010" s="204"/>
      <c r="AI1010" s="209"/>
      <c r="AJ1010" s="209"/>
      <c r="AK1010" s="204"/>
      <c r="AL1010" s="204"/>
      <c r="AM1010" s="204"/>
    </row>
    <row r="1011">
      <c r="A1011" s="204"/>
      <c r="B1011" s="209"/>
      <c r="C1011" s="204"/>
      <c r="D1011" s="210"/>
      <c r="E1011" s="211"/>
      <c r="F1011" s="211"/>
      <c r="G1011" s="212"/>
      <c r="H1011" s="212"/>
      <c r="I1011" s="204"/>
      <c r="J1011" s="204"/>
      <c r="K1011" s="204"/>
      <c r="L1011" s="204"/>
      <c r="M1011" s="204"/>
      <c r="N1011" s="204"/>
      <c r="O1011" s="204"/>
      <c r="P1011" s="204"/>
      <c r="Q1011" s="204"/>
      <c r="R1011" s="204"/>
      <c r="S1011" s="204"/>
      <c r="T1011" s="204"/>
      <c r="U1011" s="204"/>
      <c r="V1011" s="204"/>
      <c r="W1011" s="204"/>
      <c r="X1011" s="204"/>
      <c r="Y1011" s="204"/>
      <c r="Z1011" s="204"/>
      <c r="AA1011" s="204"/>
      <c r="AB1011" s="204"/>
      <c r="AC1011" s="204"/>
      <c r="AD1011" s="204"/>
      <c r="AE1011" s="204"/>
      <c r="AF1011" s="204"/>
      <c r="AG1011" s="204"/>
      <c r="AH1011" s="204"/>
      <c r="AI1011" s="209"/>
      <c r="AJ1011" s="209"/>
      <c r="AK1011" s="204"/>
      <c r="AL1011" s="204"/>
      <c r="AM1011" s="204"/>
    </row>
    <row r="1012">
      <c r="A1012" s="204"/>
      <c r="B1012" s="209"/>
      <c r="C1012" s="204"/>
      <c r="D1012" s="210"/>
      <c r="E1012" s="211"/>
      <c r="F1012" s="211"/>
      <c r="G1012" s="212"/>
      <c r="H1012" s="212"/>
      <c r="I1012" s="204"/>
      <c r="J1012" s="204"/>
      <c r="K1012" s="204"/>
      <c r="L1012" s="204"/>
      <c r="M1012" s="204"/>
      <c r="N1012" s="204"/>
      <c r="O1012" s="204"/>
      <c r="P1012" s="204"/>
      <c r="Q1012" s="204"/>
      <c r="R1012" s="204"/>
      <c r="S1012" s="204"/>
      <c r="T1012" s="204"/>
      <c r="U1012" s="204"/>
      <c r="V1012" s="204"/>
      <c r="W1012" s="204"/>
      <c r="X1012" s="204"/>
      <c r="Y1012" s="204"/>
      <c r="Z1012" s="204"/>
      <c r="AA1012" s="204"/>
      <c r="AB1012" s="204"/>
      <c r="AC1012" s="204"/>
      <c r="AD1012" s="204"/>
      <c r="AE1012" s="204"/>
      <c r="AF1012" s="204"/>
      <c r="AG1012" s="204"/>
      <c r="AH1012" s="204"/>
      <c r="AI1012" s="209"/>
      <c r="AJ1012" s="209"/>
      <c r="AK1012" s="204"/>
      <c r="AL1012" s="204"/>
      <c r="AM1012" s="204"/>
    </row>
    <row r="1013">
      <c r="A1013" s="204"/>
      <c r="B1013" s="209"/>
      <c r="C1013" s="204"/>
      <c r="D1013" s="210"/>
      <c r="E1013" s="211"/>
      <c r="F1013" s="211"/>
      <c r="G1013" s="212"/>
      <c r="H1013" s="212"/>
      <c r="I1013" s="204"/>
      <c r="J1013" s="204"/>
      <c r="K1013" s="204"/>
      <c r="L1013" s="204"/>
      <c r="M1013" s="204"/>
      <c r="N1013" s="204"/>
      <c r="O1013" s="204"/>
      <c r="P1013" s="204"/>
      <c r="Q1013" s="204"/>
      <c r="R1013" s="204"/>
      <c r="S1013" s="204"/>
      <c r="T1013" s="204"/>
      <c r="U1013" s="204"/>
      <c r="V1013" s="204"/>
      <c r="W1013" s="204"/>
      <c r="X1013" s="204"/>
      <c r="Y1013" s="204"/>
      <c r="Z1013" s="204"/>
      <c r="AA1013" s="204"/>
      <c r="AB1013" s="204"/>
      <c r="AC1013" s="204"/>
      <c r="AD1013" s="204"/>
      <c r="AE1013" s="204"/>
      <c r="AF1013" s="204"/>
      <c r="AG1013" s="204"/>
      <c r="AH1013" s="204"/>
      <c r="AI1013" s="209"/>
      <c r="AJ1013" s="209"/>
      <c r="AK1013" s="204"/>
      <c r="AL1013" s="204"/>
      <c r="AM1013" s="204"/>
    </row>
    <row r="1014">
      <c r="A1014" s="204"/>
      <c r="B1014" s="209"/>
      <c r="C1014" s="204"/>
      <c r="D1014" s="210"/>
      <c r="E1014" s="211"/>
      <c r="F1014" s="211"/>
      <c r="G1014" s="212"/>
      <c r="H1014" s="212"/>
      <c r="I1014" s="204"/>
      <c r="J1014" s="204"/>
      <c r="K1014" s="204"/>
      <c r="L1014" s="204"/>
      <c r="M1014" s="204"/>
      <c r="N1014" s="204"/>
      <c r="O1014" s="204"/>
      <c r="P1014" s="204"/>
      <c r="Q1014" s="204"/>
      <c r="R1014" s="204"/>
      <c r="S1014" s="204"/>
      <c r="T1014" s="204"/>
      <c r="U1014" s="204"/>
      <c r="V1014" s="204"/>
      <c r="W1014" s="204"/>
      <c r="X1014" s="204"/>
      <c r="Y1014" s="204"/>
      <c r="Z1014" s="204"/>
      <c r="AA1014" s="204"/>
      <c r="AB1014" s="204"/>
      <c r="AC1014" s="204"/>
      <c r="AD1014" s="204"/>
      <c r="AE1014" s="204"/>
      <c r="AF1014" s="204"/>
      <c r="AG1014" s="204"/>
      <c r="AH1014" s="204"/>
      <c r="AI1014" s="209"/>
      <c r="AJ1014" s="209"/>
      <c r="AK1014" s="204"/>
      <c r="AL1014" s="204"/>
      <c r="AM1014" s="204"/>
    </row>
    <row r="1015">
      <c r="A1015" s="204"/>
      <c r="B1015" s="209"/>
      <c r="C1015" s="204"/>
      <c r="D1015" s="210"/>
      <c r="E1015" s="211"/>
      <c r="F1015" s="211"/>
      <c r="G1015" s="212"/>
      <c r="H1015" s="212"/>
      <c r="I1015" s="204"/>
      <c r="J1015" s="204"/>
      <c r="K1015" s="204"/>
      <c r="L1015" s="204"/>
      <c r="M1015" s="204"/>
      <c r="N1015" s="204"/>
      <c r="O1015" s="204"/>
      <c r="P1015" s="204"/>
      <c r="Q1015" s="204"/>
      <c r="R1015" s="204"/>
      <c r="S1015" s="204"/>
      <c r="T1015" s="204"/>
      <c r="U1015" s="204"/>
      <c r="V1015" s="204"/>
      <c r="W1015" s="204"/>
      <c r="X1015" s="204"/>
      <c r="Y1015" s="204"/>
      <c r="Z1015" s="204"/>
      <c r="AA1015" s="204"/>
      <c r="AB1015" s="204"/>
      <c r="AC1015" s="204"/>
      <c r="AD1015" s="204"/>
      <c r="AE1015" s="204"/>
      <c r="AF1015" s="204"/>
      <c r="AG1015" s="204"/>
      <c r="AH1015" s="204"/>
      <c r="AI1015" s="209"/>
      <c r="AJ1015" s="209"/>
      <c r="AK1015" s="204"/>
      <c r="AL1015" s="204"/>
      <c r="AM1015" s="204"/>
    </row>
    <row r="1016">
      <c r="A1016" s="204"/>
      <c r="B1016" s="209"/>
      <c r="C1016" s="204"/>
      <c r="D1016" s="210"/>
      <c r="E1016" s="211"/>
      <c r="F1016" s="211"/>
      <c r="G1016" s="212"/>
      <c r="H1016" s="212"/>
      <c r="I1016" s="204"/>
      <c r="J1016" s="204"/>
      <c r="K1016" s="204"/>
      <c r="L1016" s="204"/>
      <c r="M1016" s="204"/>
      <c r="N1016" s="204"/>
      <c r="O1016" s="204"/>
      <c r="P1016" s="204"/>
      <c r="Q1016" s="204"/>
      <c r="R1016" s="204"/>
      <c r="S1016" s="204"/>
      <c r="T1016" s="204"/>
      <c r="U1016" s="204"/>
      <c r="V1016" s="204"/>
      <c r="W1016" s="204"/>
      <c r="X1016" s="204"/>
      <c r="Y1016" s="204"/>
      <c r="Z1016" s="204"/>
      <c r="AA1016" s="204"/>
      <c r="AB1016" s="204"/>
      <c r="AC1016" s="204"/>
      <c r="AD1016" s="204"/>
      <c r="AE1016" s="204"/>
      <c r="AF1016" s="204"/>
      <c r="AG1016" s="204"/>
      <c r="AH1016" s="204"/>
      <c r="AI1016" s="209"/>
      <c r="AJ1016" s="209"/>
      <c r="AK1016" s="204"/>
      <c r="AL1016" s="204"/>
      <c r="AM1016" s="204"/>
    </row>
    <row r="1017">
      <c r="A1017" s="204"/>
      <c r="B1017" s="209"/>
      <c r="C1017" s="204"/>
      <c r="D1017" s="210"/>
      <c r="E1017" s="211"/>
      <c r="F1017" s="211"/>
      <c r="G1017" s="212"/>
      <c r="H1017" s="212"/>
      <c r="I1017" s="204"/>
      <c r="J1017" s="204"/>
      <c r="K1017" s="204"/>
      <c r="L1017" s="204"/>
      <c r="M1017" s="204"/>
      <c r="N1017" s="204"/>
      <c r="O1017" s="204"/>
      <c r="P1017" s="204"/>
      <c r="Q1017" s="204"/>
      <c r="R1017" s="204"/>
      <c r="S1017" s="204"/>
      <c r="T1017" s="204"/>
      <c r="U1017" s="204"/>
      <c r="V1017" s="204"/>
      <c r="W1017" s="204"/>
      <c r="X1017" s="204"/>
      <c r="Y1017" s="204"/>
      <c r="Z1017" s="204"/>
      <c r="AA1017" s="204"/>
      <c r="AB1017" s="204"/>
      <c r="AC1017" s="204"/>
      <c r="AD1017" s="204"/>
      <c r="AE1017" s="204"/>
      <c r="AF1017" s="204"/>
      <c r="AG1017" s="204"/>
      <c r="AH1017" s="204"/>
      <c r="AI1017" s="209"/>
      <c r="AJ1017" s="209"/>
      <c r="AK1017" s="204"/>
      <c r="AL1017" s="204"/>
      <c r="AM1017" s="204"/>
    </row>
    <row r="1018">
      <c r="A1018" s="204"/>
      <c r="B1018" s="209"/>
      <c r="C1018" s="204"/>
      <c r="D1018" s="210"/>
      <c r="E1018" s="211"/>
      <c r="F1018" s="211"/>
      <c r="G1018" s="212"/>
      <c r="H1018" s="212"/>
      <c r="I1018" s="204"/>
      <c r="J1018" s="204"/>
      <c r="K1018" s="204"/>
      <c r="L1018" s="204"/>
      <c r="M1018" s="204"/>
      <c r="N1018" s="204"/>
      <c r="O1018" s="204"/>
      <c r="P1018" s="204"/>
      <c r="Q1018" s="204"/>
      <c r="R1018" s="204"/>
      <c r="S1018" s="204"/>
      <c r="T1018" s="204"/>
      <c r="U1018" s="204"/>
      <c r="V1018" s="204"/>
      <c r="W1018" s="204"/>
      <c r="X1018" s="204"/>
      <c r="Y1018" s="204"/>
      <c r="Z1018" s="204"/>
      <c r="AA1018" s="204"/>
      <c r="AB1018" s="204"/>
      <c r="AC1018" s="204"/>
      <c r="AD1018" s="204"/>
      <c r="AE1018" s="204"/>
      <c r="AF1018" s="204"/>
      <c r="AG1018" s="204"/>
      <c r="AH1018" s="204"/>
      <c r="AI1018" s="209"/>
      <c r="AJ1018" s="209"/>
      <c r="AK1018" s="204"/>
      <c r="AL1018" s="204"/>
      <c r="AM1018" s="204"/>
    </row>
    <row r="1019">
      <c r="A1019" s="204"/>
      <c r="B1019" s="209"/>
      <c r="C1019" s="204"/>
      <c r="D1019" s="210"/>
      <c r="E1019" s="211"/>
      <c r="F1019" s="211"/>
      <c r="G1019" s="212"/>
      <c r="H1019" s="212"/>
      <c r="I1019" s="204"/>
      <c r="J1019" s="204"/>
      <c r="K1019" s="204"/>
      <c r="L1019" s="204"/>
      <c r="M1019" s="204"/>
      <c r="N1019" s="204"/>
      <c r="O1019" s="204"/>
      <c r="P1019" s="204"/>
      <c r="Q1019" s="204"/>
      <c r="R1019" s="204"/>
      <c r="S1019" s="204"/>
      <c r="T1019" s="204"/>
      <c r="U1019" s="204"/>
      <c r="V1019" s="204"/>
      <c r="W1019" s="204"/>
      <c r="X1019" s="204"/>
      <c r="Y1019" s="204"/>
      <c r="Z1019" s="204"/>
      <c r="AA1019" s="204"/>
      <c r="AB1019" s="204"/>
      <c r="AC1019" s="204"/>
      <c r="AD1019" s="204"/>
      <c r="AE1019" s="204"/>
      <c r="AF1019" s="204"/>
      <c r="AG1019" s="204"/>
      <c r="AH1019" s="204"/>
      <c r="AI1019" s="209"/>
      <c r="AJ1019" s="209"/>
      <c r="AK1019" s="204"/>
      <c r="AL1019" s="204"/>
      <c r="AM1019" s="204"/>
    </row>
    <row r="1020">
      <c r="A1020" s="204"/>
      <c r="B1020" s="209"/>
      <c r="C1020" s="204"/>
      <c r="D1020" s="210"/>
      <c r="E1020" s="211"/>
      <c r="F1020" s="211"/>
      <c r="G1020" s="212"/>
      <c r="H1020" s="212"/>
      <c r="I1020" s="204"/>
      <c r="J1020" s="204"/>
      <c r="K1020" s="204"/>
      <c r="L1020" s="204"/>
      <c r="M1020" s="204"/>
      <c r="N1020" s="204"/>
      <c r="O1020" s="204"/>
      <c r="P1020" s="204"/>
      <c r="Q1020" s="204"/>
      <c r="R1020" s="204"/>
      <c r="S1020" s="204"/>
      <c r="T1020" s="204"/>
      <c r="U1020" s="204"/>
      <c r="V1020" s="204"/>
      <c r="W1020" s="204"/>
      <c r="X1020" s="204"/>
      <c r="Y1020" s="204"/>
      <c r="Z1020" s="204"/>
      <c r="AA1020" s="204"/>
      <c r="AB1020" s="204"/>
      <c r="AC1020" s="204"/>
      <c r="AD1020" s="204"/>
      <c r="AE1020" s="204"/>
      <c r="AF1020" s="204"/>
      <c r="AG1020" s="204"/>
      <c r="AH1020" s="204"/>
      <c r="AI1020" s="209"/>
      <c r="AJ1020" s="209"/>
      <c r="AK1020" s="204"/>
      <c r="AL1020" s="204"/>
      <c r="AM1020" s="204"/>
    </row>
    <row r="1021">
      <c r="A1021" s="204"/>
      <c r="B1021" s="209"/>
      <c r="C1021" s="204"/>
      <c r="D1021" s="210"/>
      <c r="E1021" s="211"/>
      <c r="F1021" s="211"/>
      <c r="G1021" s="212"/>
      <c r="H1021" s="212"/>
      <c r="I1021" s="204"/>
      <c r="J1021" s="204"/>
      <c r="K1021" s="204"/>
      <c r="L1021" s="204"/>
      <c r="M1021" s="204"/>
      <c r="N1021" s="204"/>
      <c r="O1021" s="204"/>
      <c r="P1021" s="204"/>
      <c r="Q1021" s="204"/>
      <c r="R1021" s="204"/>
      <c r="S1021" s="204"/>
      <c r="T1021" s="204"/>
      <c r="U1021" s="204"/>
      <c r="V1021" s="204"/>
      <c r="W1021" s="204"/>
      <c r="X1021" s="204"/>
      <c r="Y1021" s="204"/>
      <c r="Z1021" s="204"/>
      <c r="AA1021" s="204"/>
      <c r="AB1021" s="204"/>
      <c r="AC1021" s="204"/>
      <c r="AD1021" s="204"/>
      <c r="AE1021" s="204"/>
      <c r="AF1021" s="204"/>
      <c r="AG1021" s="204"/>
      <c r="AH1021" s="204"/>
      <c r="AI1021" s="209"/>
      <c r="AJ1021" s="209"/>
      <c r="AK1021" s="204"/>
      <c r="AL1021" s="204"/>
      <c r="AM1021" s="204"/>
    </row>
    <row r="1022">
      <c r="A1022" s="204"/>
      <c r="B1022" s="209"/>
      <c r="C1022" s="204"/>
      <c r="D1022" s="210"/>
      <c r="E1022" s="211"/>
      <c r="F1022" s="211"/>
      <c r="G1022" s="212"/>
      <c r="H1022" s="212"/>
      <c r="I1022" s="204"/>
      <c r="J1022" s="204"/>
      <c r="K1022" s="204"/>
      <c r="L1022" s="204"/>
      <c r="M1022" s="204"/>
      <c r="N1022" s="204"/>
      <c r="O1022" s="204"/>
      <c r="P1022" s="204"/>
      <c r="Q1022" s="204"/>
      <c r="R1022" s="204"/>
      <c r="S1022" s="204"/>
      <c r="T1022" s="204"/>
      <c r="U1022" s="204"/>
      <c r="V1022" s="204"/>
      <c r="W1022" s="204"/>
      <c r="X1022" s="204"/>
      <c r="Y1022" s="204"/>
      <c r="Z1022" s="204"/>
      <c r="AA1022" s="204"/>
      <c r="AB1022" s="204"/>
      <c r="AC1022" s="204"/>
      <c r="AD1022" s="204"/>
      <c r="AE1022" s="204"/>
      <c r="AF1022" s="204"/>
      <c r="AG1022" s="204"/>
      <c r="AH1022" s="204"/>
      <c r="AI1022" s="209"/>
      <c r="AJ1022" s="209"/>
      <c r="AK1022" s="204"/>
      <c r="AL1022" s="204"/>
      <c r="AM1022" s="204"/>
    </row>
    <row r="1023">
      <c r="A1023" s="204"/>
      <c r="B1023" s="209"/>
      <c r="C1023" s="204"/>
      <c r="D1023" s="210"/>
      <c r="E1023" s="211"/>
      <c r="F1023" s="211"/>
      <c r="G1023" s="212"/>
      <c r="H1023" s="212"/>
      <c r="I1023" s="204"/>
      <c r="J1023" s="204"/>
      <c r="K1023" s="204"/>
      <c r="L1023" s="204"/>
      <c r="M1023" s="204"/>
      <c r="N1023" s="204"/>
      <c r="O1023" s="204"/>
      <c r="P1023" s="204"/>
      <c r="Q1023" s="204"/>
      <c r="R1023" s="204"/>
      <c r="S1023" s="204"/>
      <c r="T1023" s="204"/>
      <c r="U1023" s="204"/>
      <c r="V1023" s="204"/>
      <c r="W1023" s="204"/>
      <c r="X1023" s="204"/>
      <c r="Y1023" s="204"/>
      <c r="Z1023" s="204"/>
      <c r="AA1023" s="204"/>
      <c r="AB1023" s="204"/>
      <c r="AC1023" s="204"/>
      <c r="AD1023" s="204"/>
      <c r="AE1023" s="204"/>
      <c r="AF1023" s="204"/>
      <c r="AG1023" s="204"/>
      <c r="AH1023" s="204"/>
      <c r="AI1023" s="209"/>
      <c r="AJ1023" s="209"/>
      <c r="AK1023" s="204"/>
      <c r="AL1023" s="204"/>
      <c r="AM1023" s="204"/>
    </row>
    <row r="1024">
      <c r="A1024" s="204"/>
      <c r="B1024" s="209"/>
      <c r="C1024" s="204"/>
      <c r="D1024" s="210"/>
      <c r="E1024" s="211"/>
      <c r="F1024" s="211"/>
      <c r="G1024" s="212"/>
      <c r="H1024" s="212"/>
      <c r="I1024" s="204"/>
      <c r="J1024" s="204"/>
      <c r="K1024" s="204"/>
      <c r="L1024" s="204"/>
      <c r="M1024" s="204"/>
      <c r="N1024" s="204"/>
      <c r="O1024" s="204"/>
      <c r="P1024" s="204"/>
      <c r="Q1024" s="204"/>
      <c r="R1024" s="204"/>
      <c r="S1024" s="204"/>
      <c r="T1024" s="204"/>
      <c r="U1024" s="204"/>
      <c r="V1024" s="204"/>
      <c r="W1024" s="204"/>
      <c r="X1024" s="204"/>
      <c r="Y1024" s="204"/>
      <c r="Z1024" s="204"/>
      <c r="AA1024" s="204"/>
      <c r="AB1024" s="204"/>
      <c r="AC1024" s="204"/>
      <c r="AD1024" s="204"/>
      <c r="AE1024" s="204"/>
      <c r="AF1024" s="204"/>
      <c r="AG1024" s="204"/>
      <c r="AH1024" s="204"/>
      <c r="AI1024" s="209"/>
      <c r="AJ1024" s="209"/>
      <c r="AK1024" s="204"/>
      <c r="AL1024" s="204"/>
      <c r="AM1024" s="204"/>
    </row>
    <row r="1025">
      <c r="A1025" s="204"/>
      <c r="B1025" s="209"/>
      <c r="C1025" s="204"/>
      <c r="D1025" s="210"/>
      <c r="E1025" s="211"/>
      <c r="F1025" s="211"/>
      <c r="G1025" s="212"/>
      <c r="H1025" s="212"/>
      <c r="I1025" s="204"/>
      <c r="J1025" s="204"/>
      <c r="K1025" s="204"/>
      <c r="L1025" s="204"/>
      <c r="M1025" s="204"/>
      <c r="N1025" s="204"/>
      <c r="O1025" s="204"/>
      <c r="P1025" s="204"/>
      <c r="Q1025" s="204"/>
      <c r="R1025" s="204"/>
      <c r="S1025" s="204"/>
      <c r="T1025" s="204"/>
      <c r="U1025" s="204"/>
      <c r="V1025" s="204"/>
      <c r="W1025" s="204"/>
      <c r="X1025" s="204"/>
      <c r="Y1025" s="204"/>
      <c r="Z1025" s="204"/>
      <c r="AA1025" s="204"/>
      <c r="AB1025" s="204"/>
      <c r="AC1025" s="204"/>
      <c r="AD1025" s="204"/>
      <c r="AE1025" s="204"/>
      <c r="AF1025" s="204"/>
      <c r="AG1025" s="204"/>
      <c r="AH1025" s="204"/>
      <c r="AI1025" s="209"/>
      <c r="AJ1025" s="209"/>
      <c r="AK1025" s="204"/>
      <c r="AL1025" s="204"/>
      <c r="AM1025" s="204"/>
    </row>
    <row r="1026">
      <c r="A1026" s="204"/>
      <c r="B1026" s="209"/>
      <c r="C1026" s="204"/>
      <c r="D1026" s="210"/>
      <c r="E1026" s="211"/>
      <c r="F1026" s="211"/>
      <c r="G1026" s="212"/>
      <c r="H1026" s="212"/>
      <c r="I1026" s="204"/>
      <c r="J1026" s="204"/>
      <c r="K1026" s="204"/>
      <c r="L1026" s="204"/>
      <c r="M1026" s="204"/>
      <c r="N1026" s="204"/>
      <c r="O1026" s="204"/>
      <c r="P1026" s="204"/>
      <c r="Q1026" s="204"/>
      <c r="R1026" s="204"/>
      <c r="S1026" s="204"/>
      <c r="T1026" s="204"/>
      <c r="U1026" s="204"/>
      <c r="V1026" s="204"/>
      <c r="W1026" s="204"/>
      <c r="X1026" s="204"/>
      <c r="Y1026" s="204"/>
      <c r="Z1026" s="204"/>
      <c r="AA1026" s="204"/>
      <c r="AB1026" s="204"/>
      <c r="AC1026" s="204"/>
      <c r="AD1026" s="204"/>
      <c r="AE1026" s="204"/>
      <c r="AF1026" s="204"/>
      <c r="AG1026" s="204"/>
      <c r="AH1026" s="204"/>
      <c r="AI1026" s="209"/>
      <c r="AJ1026" s="209"/>
      <c r="AK1026" s="204"/>
      <c r="AL1026" s="204"/>
      <c r="AM1026" s="204"/>
    </row>
    <row r="1027">
      <c r="A1027" s="204"/>
      <c r="B1027" s="209"/>
      <c r="C1027" s="204"/>
      <c r="D1027" s="210"/>
      <c r="E1027" s="211"/>
      <c r="F1027" s="211"/>
      <c r="G1027" s="212"/>
      <c r="H1027" s="212"/>
      <c r="I1027" s="204"/>
      <c r="J1027" s="204"/>
      <c r="K1027" s="204"/>
      <c r="L1027" s="204"/>
      <c r="M1027" s="204"/>
      <c r="N1027" s="204"/>
      <c r="O1027" s="204"/>
      <c r="P1027" s="204"/>
      <c r="Q1027" s="204"/>
      <c r="R1027" s="204"/>
      <c r="S1027" s="204"/>
      <c r="T1027" s="204"/>
      <c r="U1027" s="204"/>
      <c r="V1027" s="204"/>
      <c r="W1027" s="204"/>
      <c r="X1027" s="204"/>
      <c r="Y1027" s="204"/>
      <c r="Z1027" s="204"/>
      <c r="AA1027" s="204"/>
      <c r="AB1027" s="204"/>
      <c r="AC1027" s="204"/>
      <c r="AD1027" s="204"/>
      <c r="AE1027" s="204"/>
      <c r="AF1027" s="204"/>
      <c r="AG1027" s="204"/>
      <c r="AH1027" s="204"/>
      <c r="AI1027" s="209"/>
      <c r="AJ1027" s="209"/>
      <c r="AK1027" s="204"/>
      <c r="AL1027" s="204"/>
      <c r="AM1027" s="204"/>
    </row>
    <row r="1028">
      <c r="A1028" s="204"/>
      <c r="B1028" s="209"/>
      <c r="C1028" s="204"/>
      <c r="D1028" s="210"/>
      <c r="E1028" s="211"/>
      <c r="F1028" s="211"/>
      <c r="G1028" s="212"/>
      <c r="H1028" s="212"/>
      <c r="I1028" s="204"/>
      <c r="J1028" s="204"/>
      <c r="K1028" s="204"/>
      <c r="L1028" s="204"/>
      <c r="M1028" s="204"/>
      <c r="N1028" s="204"/>
      <c r="O1028" s="204"/>
      <c r="P1028" s="204"/>
      <c r="Q1028" s="204"/>
      <c r="R1028" s="204"/>
      <c r="S1028" s="204"/>
      <c r="T1028" s="204"/>
      <c r="U1028" s="204"/>
      <c r="V1028" s="204"/>
      <c r="W1028" s="204"/>
      <c r="X1028" s="204"/>
      <c r="Y1028" s="204"/>
      <c r="Z1028" s="204"/>
      <c r="AA1028" s="204"/>
      <c r="AB1028" s="204"/>
      <c r="AC1028" s="204"/>
      <c r="AD1028" s="204"/>
      <c r="AE1028" s="204"/>
      <c r="AF1028" s="204"/>
      <c r="AG1028" s="204"/>
      <c r="AH1028" s="204"/>
      <c r="AI1028" s="209"/>
      <c r="AJ1028" s="209"/>
      <c r="AK1028" s="204"/>
      <c r="AL1028" s="204"/>
      <c r="AM1028" s="204"/>
    </row>
    <row r="1029">
      <c r="A1029" s="204"/>
      <c r="B1029" s="209"/>
      <c r="C1029" s="204"/>
      <c r="D1029" s="210"/>
      <c r="E1029" s="211"/>
      <c r="F1029" s="211"/>
      <c r="G1029" s="212"/>
      <c r="H1029" s="212"/>
      <c r="I1029" s="204"/>
      <c r="J1029" s="204"/>
      <c r="K1029" s="204"/>
      <c r="L1029" s="204"/>
      <c r="M1029" s="204"/>
      <c r="N1029" s="204"/>
      <c r="O1029" s="204"/>
      <c r="P1029" s="204"/>
      <c r="Q1029" s="204"/>
      <c r="R1029" s="204"/>
      <c r="S1029" s="204"/>
      <c r="T1029" s="204"/>
      <c r="U1029" s="204"/>
      <c r="V1029" s="204"/>
      <c r="W1029" s="204"/>
      <c r="X1029" s="204"/>
      <c r="Y1029" s="204"/>
      <c r="Z1029" s="204"/>
      <c r="AA1029" s="204"/>
      <c r="AB1029" s="204"/>
      <c r="AC1029" s="204"/>
      <c r="AD1029" s="204"/>
      <c r="AE1029" s="204"/>
      <c r="AF1029" s="204"/>
      <c r="AG1029" s="204"/>
      <c r="AH1029" s="204"/>
      <c r="AI1029" s="209"/>
      <c r="AJ1029" s="209"/>
      <c r="AK1029" s="204"/>
      <c r="AL1029" s="204"/>
      <c r="AM1029" s="204"/>
    </row>
    <row r="1030">
      <c r="A1030" s="204"/>
      <c r="B1030" s="209"/>
      <c r="C1030" s="204"/>
      <c r="D1030" s="210"/>
      <c r="E1030" s="211"/>
      <c r="F1030" s="211"/>
      <c r="G1030" s="212"/>
      <c r="H1030" s="212"/>
      <c r="I1030" s="204"/>
      <c r="J1030" s="204"/>
      <c r="K1030" s="204"/>
      <c r="L1030" s="204"/>
      <c r="M1030" s="204"/>
      <c r="N1030" s="204"/>
      <c r="O1030" s="204"/>
      <c r="P1030" s="204"/>
      <c r="Q1030" s="204"/>
      <c r="R1030" s="204"/>
      <c r="S1030" s="204"/>
      <c r="T1030" s="204"/>
      <c r="U1030" s="204"/>
      <c r="V1030" s="204"/>
      <c r="W1030" s="204"/>
      <c r="X1030" s="204"/>
      <c r="Y1030" s="204"/>
      <c r="Z1030" s="204"/>
      <c r="AA1030" s="204"/>
      <c r="AB1030" s="204"/>
      <c r="AC1030" s="204"/>
      <c r="AD1030" s="204"/>
      <c r="AE1030" s="204"/>
      <c r="AF1030" s="204"/>
      <c r="AG1030" s="204"/>
      <c r="AH1030" s="204"/>
      <c r="AI1030" s="209"/>
      <c r="AJ1030" s="209"/>
      <c r="AK1030" s="204"/>
      <c r="AL1030" s="204"/>
      <c r="AM1030" s="204"/>
    </row>
    <row r="1031">
      <c r="A1031" s="204"/>
      <c r="B1031" s="209"/>
      <c r="C1031" s="204"/>
      <c r="D1031" s="210"/>
      <c r="E1031" s="211"/>
      <c r="F1031" s="211"/>
      <c r="G1031" s="212"/>
      <c r="H1031" s="212"/>
      <c r="I1031" s="204"/>
      <c r="J1031" s="204"/>
      <c r="K1031" s="204"/>
      <c r="L1031" s="204"/>
      <c r="M1031" s="204"/>
      <c r="N1031" s="204"/>
      <c r="O1031" s="204"/>
      <c r="P1031" s="204"/>
      <c r="Q1031" s="204"/>
      <c r="R1031" s="204"/>
      <c r="S1031" s="204"/>
      <c r="T1031" s="204"/>
      <c r="U1031" s="204"/>
      <c r="V1031" s="204"/>
      <c r="W1031" s="204"/>
      <c r="X1031" s="204"/>
      <c r="Y1031" s="204"/>
      <c r="Z1031" s="204"/>
      <c r="AA1031" s="204"/>
      <c r="AB1031" s="204"/>
      <c r="AC1031" s="204"/>
      <c r="AD1031" s="204"/>
      <c r="AE1031" s="204"/>
      <c r="AF1031" s="204"/>
      <c r="AG1031" s="204"/>
      <c r="AH1031" s="204"/>
      <c r="AI1031" s="209"/>
      <c r="AJ1031" s="209"/>
      <c r="AK1031" s="204"/>
      <c r="AL1031" s="204"/>
      <c r="AM1031" s="204"/>
    </row>
    <row r="1032">
      <c r="A1032" s="204"/>
      <c r="B1032" s="209"/>
      <c r="C1032" s="204"/>
      <c r="D1032" s="210"/>
      <c r="E1032" s="211"/>
      <c r="F1032" s="211"/>
      <c r="G1032" s="212"/>
      <c r="H1032" s="212"/>
      <c r="I1032" s="204"/>
      <c r="J1032" s="204"/>
      <c r="K1032" s="204"/>
      <c r="L1032" s="204"/>
      <c r="M1032" s="204"/>
      <c r="N1032" s="204"/>
      <c r="O1032" s="204"/>
      <c r="P1032" s="204"/>
      <c r="Q1032" s="204"/>
      <c r="R1032" s="204"/>
      <c r="S1032" s="204"/>
      <c r="T1032" s="204"/>
      <c r="U1032" s="204"/>
      <c r="V1032" s="204"/>
      <c r="W1032" s="204"/>
      <c r="X1032" s="204"/>
      <c r="Y1032" s="204"/>
      <c r="Z1032" s="204"/>
      <c r="AA1032" s="204"/>
      <c r="AB1032" s="204"/>
      <c r="AC1032" s="204"/>
      <c r="AD1032" s="204"/>
      <c r="AE1032" s="204"/>
      <c r="AF1032" s="204"/>
      <c r="AG1032" s="204"/>
      <c r="AH1032" s="204"/>
      <c r="AI1032" s="209"/>
      <c r="AJ1032" s="209"/>
      <c r="AK1032" s="204"/>
      <c r="AL1032" s="204"/>
      <c r="AM1032" s="204"/>
    </row>
    <row r="1033">
      <c r="A1033" s="204"/>
      <c r="B1033" s="209"/>
      <c r="C1033" s="204"/>
      <c r="D1033" s="210"/>
      <c r="E1033" s="211"/>
      <c r="F1033" s="211"/>
      <c r="G1033" s="212"/>
      <c r="H1033" s="212"/>
      <c r="I1033" s="204"/>
      <c r="J1033" s="204"/>
      <c r="K1033" s="204"/>
      <c r="L1033" s="204"/>
      <c r="M1033" s="204"/>
      <c r="N1033" s="204"/>
      <c r="O1033" s="204"/>
      <c r="P1033" s="204"/>
      <c r="Q1033" s="204"/>
      <c r="R1033" s="204"/>
      <c r="S1033" s="204"/>
      <c r="T1033" s="204"/>
      <c r="U1033" s="204"/>
      <c r="V1033" s="204"/>
      <c r="W1033" s="204"/>
      <c r="X1033" s="204"/>
      <c r="Y1033" s="204"/>
      <c r="Z1033" s="204"/>
      <c r="AA1033" s="204"/>
      <c r="AB1033" s="204"/>
      <c r="AC1033" s="204"/>
      <c r="AD1033" s="204"/>
      <c r="AE1033" s="204"/>
      <c r="AF1033" s="204"/>
      <c r="AG1033" s="204"/>
      <c r="AH1033" s="204"/>
      <c r="AI1033" s="209"/>
      <c r="AJ1033" s="209"/>
      <c r="AK1033" s="204"/>
      <c r="AL1033" s="204"/>
      <c r="AM1033" s="204"/>
    </row>
    <row r="1034">
      <c r="A1034" s="204"/>
      <c r="B1034" s="209"/>
      <c r="C1034" s="204"/>
      <c r="D1034" s="210"/>
      <c r="E1034" s="211"/>
      <c r="F1034" s="211"/>
      <c r="G1034" s="212"/>
      <c r="H1034" s="212"/>
      <c r="I1034" s="204"/>
      <c r="J1034" s="204"/>
      <c r="K1034" s="204"/>
      <c r="L1034" s="204"/>
      <c r="M1034" s="204"/>
      <c r="N1034" s="204"/>
      <c r="O1034" s="204"/>
      <c r="P1034" s="204"/>
      <c r="Q1034" s="204"/>
      <c r="R1034" s="204"/>
      <c r="S1034" s="204"/>
      <c r="T1034" s="204"/>
      <c r="U1034" s="204"/>
      <c r="V1034" s="204"/>
      <c r="W1034" s="204"/>
      <c r="X1034" s="204"/>
      <c r="Y1034" s="204"/>
      <c r="Z1034" s="204"/>
      <c r="AA1034" s="204"/>
      <c r="AB1034" s="204"/>
      <c r="AC1034" s="204"/>
      <c r="AD1034" s="204"/>
      <c r="AE1034" s="204"/>
      <c r="AF1034" s="204"/>
      <c r="AG1034" s="204"/>
      <c r="AH1034" s="204"/>
      <c r="AI1034" s="209"/>
      <c r="AJ1034" s="209"/>
      <c r="AK1034" s="204"/>
      <c r="AL1034" s="204"/>
      <c r="AM1034" s="204"/>
    </row>
    <row r="1035">
      <c r="A1035" s="204"/>
      <c r="B1035" s="209"/>
      <c r="C1035" s="204"/>
      <c r="D1035" s="210"/>
      <c r="E1035" s="211"/>
      <c r="F1035" s="211"/>
      <c r="G1035" s="212"/>
      <c r="H1035" s="212"/>
      <c r="I1035" s="204"/>
      <c r="J1035" s="204"/>
      <c r="K1035" s="204"/>
      <c r="L1035" s="204"/>
      <c r="M1035" s="204"/>
      <c r="N1035" s="204"/>
      <c r="O1035" s="204"/>
      <c r="P1035" s="204"/>
      <c r="Q1035" s="204"/>
      <c r="R1035" s="204"/>
      <c r="S1035" s="204"/>
      <c r="T1035" s="204"/>
      <c r="U1035" s="204"/>
      <c r="V1035" s="204"/>
      <c r="W1035" s="204"/>
      <c r="X1035" s="204"/>
      <c r="Y1035" s="204"/>
      <c r="Z1035" s="204"/>
      <c r="AA1035" s="204"/>
      <c r="AB1035" s="204"/>
      <c r="AC1035" s="204"/>
      <c r="AD1035" s="204"/>
      <c r="AE1035" s="204"/>
      <c r="AF1035" s="204"/>
      <c r="AG1035" s="204"/>
      <c r="AH1035" s="204"/>
      <c r="AI1035" s="209"/>
      <c r="AJ1035" s="209"/>
      <c r="AK1035" s="204"/>
      <c r="AL1035" s="204"/>
      <c r="AM1035" s="204"/>
    </row>
    <row r="1036">
      <c r="A1036" s="204"/>
      <c r="B1036" s="209"/>
      <c r="C1036" s="204"/>
      <c r="D1036" s="210"/>
      <c r="E1036" s="211"/>
      <c r="F1036" s="211"/>
      <c r="G1036" s="212"/>
      <c r="H1036" s="212"/>
      <c r="I1036" s="204"/>
      <c r="J1036" s="204"/>
      <c r="K1036" s="204"/>
      <c r="L1036" s="204"/>
      <c r="M1036" s="204"/>
      <c r="N1036" s="204"/>
      <c r="O1036" s="204"/>
      <c r="P1036" s="204"/>
      <c r="Q1036" s="204"/>
      <c r="R1036" s="204"/>
      <c r="S1036" s="204"/>
      <c r="T1036" s="204"/>
      <c r="U1036" s="204"/>
      <c r="V1036" s="204"/>
      <c r="W1036" s="204"/>
      <c r="X1036" s="204"/>
      <c r="Y1036" s="204"/>
      <c r="Z1036" s="204"/>
      <c r="AA1036" s="204"/>
      <c r="AB1036" s="204"/>
      <c r="AC1036" s="204"/>
      <c r="AD1036" s="204"/>
      <c r="AE1036" s="204"/>
      <c r="AF1036" s="204"/>
      <c r="AG1036" s="204"/>
      <c r="AH1036" s="204"/>
      <c r="AI1036" s="209"/>
      <c r="AJ1036" s="209"/>
      <c r="AK1036" s="204"/>
      <c r="AL1036" s="204"/>
      <c r="AM1036" s="204"/>
    </row>
    <row r="1037">
      <c r="A1037" s="204"/>
      <c r="B1037" s="209"/>
      <c r="C1037" s="204"/>
      <c r="D1037" s="210"/>
      <c r="E1037" s="211"/>
      <c r="F1037" s="211"/>
      <c r="G1037" s="212"/>
      <c r="H1037" s="212"/>
      <c r="I1037" s="204"/>
      <c r="J1037" s="204"/>
      <c r="K1037" s="204"/>
      <c r="L1037" s="204"/>
      <c r="M1037" s="204"/>
      <c r="N1037" s="204"/>
      <c r="O1037" s="204"/>
      <c r="P1037" s="204"/>
      <c r="Q1037" s="204"/>
      <c r="R1037" s="204"/>
      <c r="S1037" s="204"/>
      <c r="T1037" s="204"/>
      <c r="U1037" s="204"/>
      <c r="V1037" s="204"/>
      <c r="W1037" s="204"/>
      <c r="X1037" s="204"/>
      <c r="Y1037" s="204"/>
      <c r="Z1037" s="204"/>
      <c r="AA1037" s="204"/>
      <c r="AB1037" s="204"/>
      <c r="AC1037" s="204"/>
      <c r="AD1037" s="204"/>
      <c r="AE1037" s="204"/>
      <c r="AF1037" s="204"/>
      <c r="AG1037" s="204"/>
      <c r="AH1037" s="204"/>
      <c r="AI1037" s="209"/>
      <c r="AJ1037" s="209"/>
      <c r="AK1037" s="204"/>
      <c r="AL1037" s="204"/>
      <c r="AM1037" s="204"/>
    </row>
    <row r="1038">
      <c r="A1038" s="204"/>
      <c r="B1038" s="209"/>
      <c r="C1038" s="204"/>
      <c r="D1038" s="210"/>
      <c r="E1038" s="211"/>
      <c r="F1038" s="211"/>
      <c r="G1038" s="212"/>
      <c r="H1038" s="212"/>
      <c r="I1038" s="204"/>
      <c r="J1038" s="204"/>
      <c r="K1038" s="204"/>
      <c r="L1038" s="204"/>
      <c r="M1038" s="204"/>
      <c r="N1038" s="204"/>
      <c r="O1038" s="204"/>
      <c r="P1038" s="204"/>
      <c r="Q1038" s="204"/>
      <c r="R1038" s="204"/>
      <c r="S1038" s="204"/>
      <c r="T1038" s="204"/>
      <c r="U1038" s="204"/>
      <c r="V1038" s="204"/>
      <c r="W1038" s="204"/>
      <c r="X1038" s="204"/>
      <c r="Y1038" s="204"/>
      <c r="Z1038" s="204"/>
      <c r="AA1038" s="204"/>
      <c r="AB1038" s="204"/>
      <c r="AC1038" s="204"/>
      <c r="AD1038" s="204"/>
      <c r="AE1038" s="204"/>
      <c r="AF1038" s="204"/>
      <c r="AG1038" s="204"/>
      <c r="AH1038" s="204"/>
      <c r="AI1038" s="209"/>
      <c r="AJ1038" s="209"/>
      <c r="AK1038" s="204"/>
      <c r="AL1038" s="204"/>
      <c r="AM1038" s="204"/>
    </row>
    <row r="1039">
      <c r="A1039" s="204"/>
      <c r="B1039" s="209"/>
      <c r="C1039" s="204"/>
      <c r="D1039" s="210"/>
      <c r="E1039" s="211"/>
      <c r="F1039" s="211"/>
      <c r="G1039" s="212"/>
      <c r="H1039" s="212"/>
      <c r="I1039" s="204"/>
      <c r="J1039" s="204"/>
      <c r="K1039" s="204"/>
      <c r="L1039" s="204"/>
      <c r="M1039" s="204"/>
      <c r="N1039" s="204"/>
      <c r="O1039" s="204"/>
      <c r="P1039" s="204"/>
      <c r="Q1039" s="204"/>
      <c r="R1039" s="204"/>
      <c r="S1039" s="204"/>
      <c r="T1039" s="204"/>
      <c r="U1039" s="204"/>
      <c r="V1039" s="204"/>
      <c r="W1039" s="204"/>
      <c r="X1039" s="204"/>
      <c r="Y1039" s="204"/>
      <c r="Z1039" s="204"/>
      <c r="AA1039" s="204"/>
      <c r="AB1039" s="204"/>
      <c r="AC1039" s="204"/>
      <c r="AD1039" s="204"/>
      <c r="AE1039" s="204"/>
      <c r="AF1039" s="204"/>
      <c r="AG1039" s="204"/>
      <c r="AH1039" s="204"/>
      <c r="AI1039" s="209"/>
      <c r="AJ1039" s="209"/>
      <c r="AK1039" s="204"/>
      <c r="AL1039" s="204"/>
      <c r="AM1039" s="204"/>
    </row>
    <row r="1040">
      <c r="A1040" s="204"/>
      <c r="B1040" s="209"/>
      <c r="C1040" s="204"/>
      <c r="D1040" s="210"/>
      <c r="E1040" s="211"/>
      <c r="F1040" s="211"/>
      <c r="G1040" s="212"/>
      <c r="H1040" s="212"/>
      <c r="I1040" s="204"/>
      <c r="J1040" s="204"/>
      <c r="K1040" s="204"/>
      <c r="L1040" s="204"/>
      <c r="M1040" s="204"/>
      <c r="N1040" s="204"/>
      <c r="O1040" s="204"/>
      <c r="P1040" s="204"/>
      <c r="Q1040" s="204"/>
      <c r="R1040" s="204"/>
      <c r="S1040" s="204"/>
      <c r="T1040" s="204"/>
      <c r="U1040" s="204"/>
      <c r="V1040" s="204"/>
      <c r="W1040" s="204"/>
      <c r="X1040" s="204"/>
      <c r="Y1040" s="204"/>
      <c r="Z1040" s="204"/>
      <c r="AA1040" s="204"/>
      <c r="AB1040" s="204"/>
      <c r="AC1040" s="204"/>
      <c r="AD1040" s="204"/>
      <c r="AE1040" s="204"/>
      <c r="AF1040" s="204"/>
      <c r="AG1040" s="204"/>
      <c r="AH1040" s="204"/>
      <c r="AI1040" s="209"/>
      <c r="AJ1040" s="209"/>
      <c r="AK1040" s="204"/>
      <c r="AL1040" s="204"/>
      <c r="AM1040" s="204"/>
    </row>
    <row r="1041">
      <c r="A1041" s="204"/>
      <c r="B1041" s="209"/>
      <c r="C1041" s="204"/>
      <c r="D1041" s="210"/>
      <c r="E1041" s="211"/>
      <c r="F1041" s="211"/>
      <c r="G1041" s="212"/>
      <c r="H1041" s="212"/>
      <c r="I1041" s="204"/>
      <c r="J1041" s="204"/>
      <c r="K1041" s="204"/>
      <c r="L1041" s="204"/>
      <c r="M1041" s="204"/>
      <c r="N1041" s="204"/>
      <c r="O1041" s="204"/>
      <c r="P1041" s="204"/>
      <c r="Q1041" s="204"/>
      <c r="R1041" s="204"/>
      <c r="S1041" s="204"/>
      <c r="T1041" s="204"/>
      <c r="U1041" s="204"/>
      <c r="V1041" s="204"/>
      <c r="W1041" s="204"/>
      <c r="X1041" s="204"/>
      <c r="Y1041" s="204"/>
      <c r="Z1041" s="204"/>
      <c r="AA1041" s="204"/>
      <c r="AB1041" s="204"/>
      <c r="AC1041" s="204"/>
      <c r="AD1041" s="204"/>
      <c r="AE1041" s="204"/>
      <c r="AF1041" s="204"/>
      <c r="AG1041" s="204"/>
      <c r="AH1041" s="204"/>
      <c r="AI1041" s="209"/>
      <c r="AJ1041" s="209"/>
      <c r="AK1041" s="204"/>
      <c r="AL1041" s="204"/>
      <c r="AM1041" s="204"/>
    </row>
    <row r="1042">
      <c r="A1042" s="204"/>
      <c r="B1042" s="209"/>
      <c r="C1042" s="204"/>
      <c r="D1042" s="210"/>
      <c r="E1042" s="211"/>
      <c r="F1042" s="211"/>
      <c r="G1042" s="212"/>
      <c r="H1042" s="212"/>
      <c r="I1042" s="204"/>
      <c r="J1042" s="204"/>
      <c r="K1042" s="204"/>
      <c r="L1042" s="204"/>
      <c r="M1042" s="204"/>
      <c r="N1042" s="204"/>
      <c r="O1042" s="204"/>
      <c r="P1042" s="204"/>
      <c r="Q1042" s="204"/>
      <c r="R1042" s="204"/>
      <c r="S1042" s="204"/>
      <c r="T1042" s="204"/>
      <c r="U1042" s="204"/>
      <c r="V1042" s="204"/>
      <c r="W1042" s="204"/>
      <c r="X1042" s="204"/>
      <c r="Y1042" s="204"/>
      <c r="Z1042" s="204"/>
      <c r="AA1042" s="204"/>
      <c r="AB1042" s="204"/>
      <c r="AC1042" s="204"/>
      <c r="AD1042" s="204"/>
      <c r="AE1042" s="204"/>
      <c r="AF1042" s="204"/>
      <c r="AG1042" s="204"/>
      <c r="AH1042" s="204"/>
      <c r="AI1042" s="209"/>
      <c r="AJ1042" s="209"/>
      <c r="AK1042" s="204"/>
      <c r="AL1042" s="204"/>
      <c r="AM1042" s="204"/>
    </row>
    <row r="1043">
      <c r="A1043" s="204"/>
      <c r="B1043" s="209"/>
      <c r="C1043" s="204"/>
      <c r="D1043" s="210"/>
      <c r="E1043" s="211"/>
      <c r="F1043" s="211"/>
      <c r="G1043" s="212"/>
      <c r="H1043" s="212"/>
      <c r="I1043" s="204"/>
      <c r="J1043" s="204"/>
      <c r="K1043" s="204"/>
      <c r="L1043" s="204"/>
      <c r="M1043" s="204"/>
      <c r="N1043" s="204"/>
      <c r="O1043" s="204"/>
      <c r="P1043" s="204"/>
      <c r="Q1043" s="204"/>
      <c r="R1043" s="204"/>
      <c r="S1043" s="204"/>
      <c r="T1043" s="204"/>
      <c r="U1043" s="204"/>
      <c r="V1043" s="204"/>
      <c r="W1043" s="204"/>
      <c r="X1043" s="204"/>
      <c r="Y1043" s="204"/>
      <c r="Z1043" s="204"/>
      <c r="AA1043" s="204"/>
      <c r="AB1043" s="204"/>
      <c r="AC1043" s="204"/>
      <c r="AD1043" s="204"/>
      <c r="AE1043" s="204"/>
      <c r="AF1043" s="204"/>
      <c r="AG1043" s="204"/>
      <c r="AH1043" s="204"/>
      <c r="AI1043" s="209"/>
      <c r="AJ1043" s="209"/>
      <c r="AK1043" s="204"/>
      <c r="AL1043" s="204"/>
      <c r="AM1043" s="204"/>
    </row>
    <row r="1044">
      <c r="A1044" s="204"/>
      <c r="B1044" s="209"/>
      <c r="C1044" s="204"/>
      <c r="D1044" s="210"/>
      <c r="E1044" s="211"/>
      <c r="F1044" s="211"/>
      <c r="G1044" s="212"/>
      <c r="H1044" s="212"/>
      <c r="I1044" s="204"/>
      <c r="J1044" s="204"/>
      <c r="K1044" s="204"/>
      <c r="L1044" s="204"/>
      <c r="M1044" s="204"/>
      <c r="N1044" s="204"/>
      <c r="O1044" s="204"/>
      <c r="P1044" s="204"/>
      <c r="Q1044" s="204"/>
      <c r="R1044" s="204"/>
      <c r="S1044" s="204"/>
      <c r="T1044" s="204"/>
      <c r="U1044" s="204"/>
      <c r="V1044" s="204"/>
      <c r="W1044" s="204"/>
      <c r="X1044" s="204"/>
      <c r="Y1044" s="204"/>
      <c r="Z1044" s="204"/>
      <c r="AA1044" s="204"/>
      <c r="AB1044" s="204"/>
      <c r="AC1044" s="204"/>
      <c r="AD1044" s="204"/>
      <c r="AE1044" s="204"/>
      <c r="AF1044" s="204"/>
      <c r="AG1044" s="204"/>
      <c r="AH1044" s="204"/>
      <c r="AI1044" s="209"/>
      <c r="AJ1044" s="209"/>
      <c r="AK1044" s="204"/>
      <c r="AL1044" s="204"/>
      <c r="AM1044" s="204"/>
    </row>
    <row r="1045">
      <c r="A1045" s="204"/>
      <c r="B1045" s="209"/>
      <c r="C1045" s="204"/>
      <c r="D1045" s="210"/>
      <c r="E1045" s="211"/>
      <c r="F1045" s="211"/>
      <c r="G1045" s="212"/>
      <c r="H1045" s="212"/>
      <c r="I1045" s="204"/>
      <c r="J1045" s="204"/>
      <c r="K1045" s="204"/>
      <c r="L1045" s="204"/>
      <c r="M1045" s="204"/>
      <c r="N1045" s="204"/>
      <c r="O1045" s="204"/>
      <c r="P1045" s="204"/>
      <c r="Q1045" s="204"/>
      <c r="R1045" s="204"/>
      <c r="S1045" s="204"/>
      <c r="T1045" s="204"/>
      <c r="U1045" s="204"/>
      <c r="V1045" s="204"/>
      <c r="W1045" s="204"/>
      <c r="X1045" s="204"/>
      <c r="Y1045" s="204"/>
      <c r="Z1045" s="204"/>
      <c r="AA1045" s="204"/>
      <c r="AB1045" s="204"/>
      <c r="AC1045" s="204"/>
      <c r="AD1045" s="204"/>
      <c r="AE1045" s="204"/>
      <c r="AF1045" s="204"/>
      <c r="AG1045" s="204"/>
      <c r="AH1045" s="204"/>
      <c r="AI1045" s="209"/>
      <c r="AJ1045" s="209"/>
      <c r="AK1045" s="204"/>
      <c r="AL1045" s="204"/>
      <c r="AM1045" s="204"/>
    </row>
    <row r="1046">
      <c r="A1046" s="204"/>
      <c r="B1046" s="209"/>
      <c r="C1046" s="204"/>
      <c r="D1046" s="210"/>
      <c r="E1046" s="211"/>
      <c r="F1046" s="211"/>
      <c r="G1046" s="212"/>
      <c r="H1046" s="212"/>
      <c r="I1046" s="204"/>
      <c r="J1046" s="204"/>
      <c r="K1046" s="204"/>
      <c r="L1046" s="204"/>
      <c r="M1046" s="204"/>
      <c r="N1046" s="204"/>
      <c r="O1046" s="204"/>
      <c r="P1046" s="204"/>
      <c r="Q1046" s="204"/>
      <c r="R1046" s="204"/>
      <c r="S1046" s="204"/>
      <c r="T1046" s="204"/>
      <c r="U1046" s="204"/>
      <c r="V1046" s="204"/>
      <c r="W1046" s="204"/>
      <c r="X1046" s="204"/>
      <c r="Y1046" s="204"/>
      <c r="Z1046" s="204"/>
      <c r="AA1046" s="204"/>
      <c r="AB1046" s="204"/>
      <c r="AC1046" s="204"/>
      <c r="AD1046" s="204"/>
      <c r="AE1046" s="204"/>
      <c r="AF1046" s="204"/>
      <c r="AG1046" s="204"/>
      <c r="AH1046" s="204"/>
      <c r="AI1046" s="209"/>
      <c r="AJ1046" s="209"/>
      <c r="AK1046" s="204"/>
      <c r="AL1046" s="204"/>
      <c r="AM1046" s="204"/>
    </row>
    <row r="1047">
      <c r="A1047" s="204"/>
      <c r="B1047" s="209"/>
      <c r="C1047" s="204"/>
      <c r="D1047" s="210"/>
      <c r="E1047" s="211"/>
      <c r="F1047" s="211"/>
      <c r="G1047" s="212"/>
      <c r="H1047" s="212"/>
      <c r="I1047" s="204"/>
      <c r="J1047" s="204"/>
      <c r="K1047" s="204"/>
      <c r="L1047" s="204"/>
      <c r="M1047" s="204"/>
      <c r="N1047" s="204"/>
      <c r="O1047" s="204"/>
      <c r="P1047" s="204"/>
      <c r="Q1047" s="204"/>
      <c r="R1047" s="204"/>
      <c r="S1047" s="204"/>
      <c r="T1047" s="204"/>
      <c r="U1047" s="204"/>
      <c r="V1047" s="204"/>
      <c r="W1047" s="204"/>
      <c r="X1047" s="204"/>
      <c r="Y1047" s="204"/>
      <c r="Z1047" s="204"/>
      <c r="AA1047" s="204"/>
      <c r="AB1047" s="204"/>
      <c r="AC1047" s="204"/>
      <c r="AD1047" s="204"/>
      <c r="AE1047" s="204"/>
      <c r="AF1047" s="204"/>
      <c r="AG1047" s="204"/>
      <c r="AH1047" s="204"/>
      <c r="AI1047" s="209"/>
      <c r="AJ1047" s="209"/>
      <c r="AK1047" s="204"/>
      <c r="AL1047" s="204"/>
      <c r="AM1047" s="204"/>
    </row>
    <row r="1048">
      <c r="A1048" s="204"/>
      <c r="B1048" s="209"/>
      <c r="C1048" s="204"/>
      <c r="D1048" s="210"/>
      <c r="E1048" s="211"/>
      <c r="F1048" s="211"/>
      <c r="G1048" s="212"/>
      <c r="H1048" s="212"/>
      <c r="I1048" s="204"/>
      <c r="J1048" s="204"/>
      <c r="K1048" s="204"/>
      <c r="L1048" s="204"/>
      <c r="M1048" s="204"/>
      <c r="N1048" s="204"/>
      <c r="O1048" s="204"/>
      <c r="P1048" s="204"/>
      <c r="Q1048" s="204"/>
      <c r="R1048" s="204"/>
      <c r="S1048" s="204"/>
      <c r="T1048" s="204"/>
      <c r="U1048" s="204"/>
      <c r="V1048" s="204"/>
      <c r="W1048" s="204"/>
      <c r="X1048" s="204"/>
      <c r="Y1048" s="204"/>
      <c r="Z1048" s="204"/>
      <c r="AA1048" s="204"/>
      <c r="AB1048" s="204"/>
      <c r="AC1048" s="204"/>
      <c r="AD1048" s="204"/>
      <c r="AE1048" s="204"/>
      <c r="AF1048" s="204"/>
      <c r="AG1048" s="204"/>
      <c r="AH1048" s="204"/>
      <c r="AI1048" s="209"/>
      <c r="AJ1048" s="209"/>
      <c r="AK1048" s="204"/>
      <c r="AL1048" s="204"/>
      <c r="AM1048" s="204"/>
    </row>
    <row r="1049">
      <c r="A1049" s="204"/>
      <c r="B1049" s="209"/>
      <c r="C1049" s="204"/>
      <c r="D1049" s="210"/>
      <c r="E1049" s="211"/>
      <c r="F1049" s="211"/>
      <c r="G1049" s="212"/>
      <c r="H1049" s="212"/>
      <c r="I1049" s="204"/>
      <c r="J1049" s="204"/>
      <c r="K1049" s="204"/>
      <c r="L1049" s="204"/>
      <c r="M1049" s="204"/>
      <c r="N1049" s="204"/>
      <c r="O1049" s="204"/>
      <c r="P1049" s="204"/>
      <c r="Q1049" s="204"/>
      <c r="R1049" s="204"/>
      <c r="S1049" s="204"/>
      <c r="T1049" s="204"/>
      <c r="U1049" s="204"/>
      <c r="V1049" s="204"/>
      <c r="W1049" s="204"/>
      <c r="X1049" s="204"/>
      <c r="Y1049" s="204"/>
      <c r="Z1049" s="204"/>
      <c r="AA1049" s="204"/>
      <c r="AB1049" s="204"/>
      <c r="AC1049" s="204"/>
      <c r="AD1049" s="204"/>
      <c r="AE1049" s="204"/>
      <c r="AF1049" s="204"/>
      <c r="AG1049" s="204"/>
      <c r="AH1049" s="204"/>
      <c r="AI1049" s="209"/>
      <c r="AJ1049" s="209"/>
      <c r="AK1049" s="204"/>
      <c r="AL1049" s="204"/>
      <c r="AM1049" s="204"/>
    </row>
    <row r="1050">
      <c r="A1050" s="204"/>
      <c r="B1050" s="209"/>
      <c r="C1050" s="204"/>
      <c r="D1050" s="210"/>
      <c r="E1050" s="211"/>
      <c r="F1050" s="211"/>
      <c r="G1050" s="212"/>
      <c r="H1050" s="212"/>
      <c r="I1050" s="204"/>
      <c r="J1050" s="204"/>
      <c r="K1050" s="204"/>
      <c r="L1050" s="204"/>
      <c r="M1050" s="204"/>
      <c r="N1050" s="204"/>
      <c r="O1050" s="204"/>
      <c r="P1050" s="204"/>
      <c r="Q1050" s="204"/>
      <c r="R1050" s="204"/>
      <c r="S1050" s="204"/>
      <c r="T1050" s="204"/>
      <c r="U1050" s="204"/>
      <c r="V1050" s="204"/>
      <c r="W1050" s="204"/>
      <c r="X1050" s="204"/>
      <c r="Y1050" s="204"/>
      <c r="Z1050" s="204"/>
      <c r="AA1050" s="204"/>
      <c r="AB1050" s="204"/>
      <c r="AC1050" s="204"/>
      <c r="AD1050" s="204"/>
      <c r="AE1050" s="204"/>
      <c r="AF1050" s="204"/>
      <c r="AG1050" s="204"/>
      <c r="AH1050" s="204"/>
      <c r="AI1050" s="209"/>
      <c r="AJ1050" s="209"/>
      <c r="AK1050" s="204"/>
      <c r="AL1050" s="204"/>
      <c r="AM1050" s="204"/>
    </row>
    <row r="1051">
      <c r="A1051" s="204"/>
      <c r="B1051" s="209"/>
      <c r="C1051" s="204"/>
      <c r="D1051" s="210"/>
      <c r="E1051" s="211"/>
      <c r="F1051" s="211"/>
      <c r="G1051" s="212"/>
      <c r="H1051" s="212"/>
      <c r="I1051" s="204"/>
      <c r="J1051" s="204"/>
      <c r="K1051" s="204"/>
      <c r="L1051" s="204"/>
      <c r="M1051" s="204"/>
      <c r="N1051" s="204"/>
      <c r="O1051" s="204"/>
      <c r="P1051" s="204"/>
      <c r="Q1051" s="204"/>
      <c r="R1051" s="204"/>
      <c r="S1051" s="204"/>
      <c r="T1051" s="204"/>
      <c r="U1051" s="204"/>
      <c r="V1051" s="204"/>
      <c r="W1051" s="204"/>
      <c r="X1051" s="204"/>
      <c r="Y1051" s="204"/>
      <c r="Z1051" s="204"/>
      <c r="AA1051" s="204"/>
      <c r="AB1051" s="204"/>
      <c r="AC1051" s="204"/>
      <c r="AD1051" s="204"/>
      <c r="AE1051" s="204"/>
      <c r="AF1051" s="204"/>
      <c r="AG1051" s="204"/>
      <c r="AH1051" s="204"/>
      <c r="AI1051" s="209"/>
      <c r="AJ1051" s="209"/>
      <c r="AK1051" s="204"/>
      <c r="AL1051" s="204"/>
      <c r="AM1051" s="204"/>
    </row>
    <row r="1052">
      <c r="A1052" s="204"/>
      <c r="B1052" s="209"/>
      <c r="C1052" s="204"/>
      <c r="D1052" s="210"/>
      <c r="E1052" s="211"/>
      <c r="F1052" s="211"/>
      <c r="G1052" s="212"/>
      <c r="H1052" s="212"/>
      <c r="I1052" s="204"/>
      <c r="J1052" s="204"/>
      <c r="K1052" s="204"/>
      <c r="L1052" s="204"/>
      <c r="M1052" s="204"/>
      <c r="N1052" s="204"/>
      <c r="O1052" s="204"/>
      <c r="P1052" s="204"/>
      <c r="Q1052" s="204"/>
      <c r="R1052" s="204"/>
      <c r="S1052" s="204"/>
      <c r="T1052" s="204"/>
      <c r="U1052" s="204"/>
      <c r="V1052" s="204"/>
      <c r="W1052" s="204"/>
      <c r="X1052" s="204"/>
      <c r="Y1052" s="204"/>
      <c r="Z1052" s="204"/>
      <c r="AA1052" s="204"/>
      <c r="AB1052" s="204"/>
      <c r="AC1052" s="204"/>
      <c r="AD1052" s="204"/>
      <c r="AE1052" s="204"/>
      <c r="AF1052" s="204"/>
      <c r="AG1052" s="204"/>
      <c r="AH1052" s="204"/>
      <c r="AI1052" s="209"/>
      <c r="AJ1052" s="209"/>
      <c r="AK1052" s="204"/>
      <c r="AL1052" s="204"/>
      <c r="AM1052" s="204"/>
    </row>
    <row r="1053">
      <c r="A1053" s="204"/>
      <c r="B1053" s="209"/>
      <c r="C1053" s="204"/>
      <c r="D1053" s="210"/>
      <c r="E1053" s="211"/>
      <c r="F1053" s="211"/>
      <c r="G1053" s="212"/>
      <c r="H1053" s="212"/>
      <c r="I1053" s="204"/>
      <c r="J1053" s="204"/>
      <c r="K1053" s="204"/>
      <c r="L1053" s="204"/>
      <c r="M1053" s="204"/>
      <c r="N1053" s="204"/>
      <c r="O1053" s="204"/>
      <c r="P1053" s="204"/>
      <c r="Q1053" s="204"/>
      <c r="R1053" s="204"/>
      <c r="S1053" s="204"/>
      <c r="T1053" s="204"/>
      <c r="U1053" s="204"/>
      <c r="V1053" s="204"/>
      <c r="W1053" s="204"/>
      <c r="X1053" s="204"/>
      <c r="Y1053" s="204"/>
      <c r="Z1053" s="204"/>
      <c r="AA1053" s="204"/>
      <c r="AB1053" s="204"/>
      <c r="AC1053" s="204"/>
      <c r="AD1053" s="204"/>
      <c r="AE1053" s="204"/>
      <c r="AF1053" s="204"/>
      <c r="AG1053" s="204"/>
      <c r="AH1053" s="204"/>
      <c r="AI1053" s="209"/>
      <c r="AJ1053" s="209"/>
      <c r="AK1053" s="204"/>
      <c r="AL1053" s="204"/>
      <c r="AM1053" s="204"/>
    </row>
    <row r="1054">
      <c r="A1054" s="204"/>
      <c r="B1054" s="209"/>
      <c r="C1054" s="204"/>
      <c r="D1054" s="210"/>
      <c r="E1054" s="211"/>
      <c r="F1054" s="211"/>
      <c r="G1054" s="212"/>
      <c r="H1054" s="212"/>
      <c r="I1054" s="204"/>
      <c r="J1054" s="204"/>
      <c r="K1054" s="204"/>
      <c r="L1054" s="204"/>
      <c r="M1054" s="204"/>
      <c r="N1054" s="204"/>
      <c r="O1054" s="204"/>
      <c r="P1054" s="204"/>
      <c r="Q1054" s="204"/>
      <c r="R1054" s="204"/>
      <c r="S1054" s="204"/>
      <c r="T1054" s="204"/>
      <c r="U1054" s="204"/>
      <c r="V1054" s="204"/>
      <c r="W1054" s="204"/>
      <c r="X1054" s="204"/>
      <c r="Y1054" s="204"/>
      <c r="Z1054" s="204"/>
      <c r="AA1054" s="204"/>
      <c r="AB1054" s="204"/>
      <c r="AC1054" s="204"/>
      <c r="AD1054" s="204"/>
      <c r="AE1054" s="204"/>
      <c r="AF1054" s="204"/>
      <c r="AG1054" s="204"/>
      <c r="AH1054" s="204"/>
      <c r="AI1054" s="209"/>
      <c r="AJ1054" s="209"/>
      <c r="AK1054" s="204"/>
      <c r="AL1054" s="204"/>
      <c r="AM1054" s="204"/>
    </row>
    <row r="1055">
      <c r="A1055" s="204"/>
      <c r="B1055" s="209"/>
      <c r="C1055" s="204"/>
      <c r="D1055" s="210"/>
      <c r="E1055" s="211"/>
      <c r="F1055" s="211"/>
      <c r="G1055" s="212"/>
      <c r="H1055" s="212"/>
      <c r="I1055" s="204"/>
      <c r="J1055" s="204"/>
      <c r="K1055" s="204"/>
      <c r="L1055" s="204"/>
      <c r="M1055" s="204"/>
      <c r="N1055" s="204"/>
      <c r="O1055" s="204"/>
      <c r="P1055" s="204"/>
      <c r="Q1055" s="204"/>
      <c r="R1055" s="204"/>
      <c r="S1055" s="204"/>
      <c r="T1055" s="204"/>
      <c r="U1055" s="204"/>
      <c r="V1055" s="204"/>
      <c r="W1055" s="204"/>
      <c r="X1055" s="204"/>
      <c r="Y1055" s="204"/>
      <c r="Z1055" s="204"/>
      <c r="AA1055" s="204"/>
      <c r="AB1055" s="204"/>
      <c r="AC1055" s="204"/>
      <c r="AD1055" s="204"/>
      <c r="AE1055" s="204"/>
      <c r="AF1055" s="204"/>
      <c r="AG1055" s="204"/>
      <c r="AH1055" s="204"/>
      <c r="AI1055" s="209"/>
      <c r="AJ1055" s="209"/>
      <c r="AK1055" s="204"/>
      <c r="AL1055" s="204"/>
      <c r="AM1055" s="204"/>
    </row>
    <row r="1056">
      <c r="A1056" s="204"/>
      <c r="B1056" s="209"/>
      <c r="C1056" s="204"/>
      <c r="D1056" s="210"/>
      <c r="E1056" s="211"/>
      <c r="F1056" s="211"/>
      <c r="G1056" s="212"/>
      <c r="H1056" s="212"/>
      <c r="I1056" s="204"/>
      <c r="J1056" s="204"/>
      <c r="K1056" s="204"/>
      <c r="L1056" s="204"/>
      <c r="M1056" s="204"/>
      <c r="N1056" s="204"/>
      <c r="O1056" s="204"/>
      <c r="P1056" s="204"/>
      <c r="Q1056" s="204"/>
      <c r="R1056" s="204"/>
      <c r="S1056" s="204"/>
      <c r="T1056" s="204"/>
      <c r="U1056" s="204"/>
      <c r="V1056" s="204"/>
      <c r="W1056" s="204"/>
      <c r="X1056" s="204"/>
      <c r="Y1056" s="204"/>
      <c r="Z1056" s="204"/>
      <c r="AA1056" s="204"/>
      <c r="AB1056" s="204"/>
      <c r="AC1056" s="204"/>
      <c r="AD1056" s="204"/>
      <c r="AE1056" s="204"/>
      <c r="AF1056" s="204"/>
      <c r="AG1056" s="204"/>
      <c r="AH1056" s="204"/>
      <c r="AI1056" s="209"/>
      <c r="AJ1056" s="209"/>
      <c r="AK1056" s="204"/>
      <c r="AL1056" s="204"/>
      <c r="AM1056" s="204"/>
    </row>
    <row r="1057">
      <c r="A1057" s="204"/>
      <c r="B1057" s="209"/>
      <c r="C1057" s="204"/>
      <c r="D1057" s="210"/>
      <c r="E1057" s="211"/>
      <c r="F1057" s="211"/>
      <c r="G1057" s="212"/>
      <c r="H1057" s="212"/>
      <c r="I1057" s="204"/>
      <c r="J1057" s="204"/>
      <c r="K1057" s="204"/>
      <c r="L1057" s="204"/>
      <c r="M1057" s="204"/>
      <c r="N1057" s="204"/>
      <c r="O1057" s="204"/>
      <c r="P1057" s="204"/>
      <c r="Q1057" s="204"/>
      <c r="R1057" s="204"/>
      <c r="S1057" s="204"/>
      <c r="T1057" s="204"/>
      <c r="U1057" s="204"/>
      <c r="V1057" s="204"/>
      <c r="W1057" s="204"/>
      <c r="X1057" s="204"/>
      <c r="Y1057" s="204"/>
      <c r="Z1057" s="204"/>
      <c r="AA1057" s="204"/>
      <c r="AB1057" s="204"/>
      <c r="AC1057" s="204"/>
      <c r="AD1057" s="204"/>
      <c r="AE1057" s="204"/>
      <c r="AF1057" s="204"/>
      <c r="AG1057" s="204"/>
      <c r="AH1057" s="204"/>
      <c r="AI1057" s="209"/>
      <c r="AJ1057" s="209"/>
      <c r="AK1057" s="204"/>
      <c r="AL1057" s="204"/>
      <c r="AM1057" s="204"/>
    </row>
    <row r="1058">
      <c r="A1058" s="204"/>
      <c r="B1058" s="209"/>
      <c r="C1058" s="204"/>
      <c r="D1058" s="210"/>
      <c r="E1058" s="211"/>
      <c r="F1058" s="211"/>
      <c r="G1058" s="212"/>
      <c r="H1058" s="212"/>
      <c r="I1058" s="204"/>
      <c r="J1058" s="204"/>
      <c r="K1058" s="204"/>
      <c r="L1058" s="204"/>
      <c r="M1058" s="204"/>
      <c r="N1058" s="204"/>
      <c r="O1058" s="204"/>
      <c r="P1058" s="204"/>
      <c r="Q1058" s="204"/>
      <c r="R1058" s="204"/>
      <c r="S1058" s="204"/>
      <c r="T1058" s="204"/>
      <c r="U1058" s="204"/>
      <c r="V1058" s="204"/>
      <c r="W1058" s="204"/>
      <c r="X1058" s="204"/>
      <c r="Y1058" s="204"/>
      <c r="Z1058" s="204"/>
      <c r="AA1058" s="204"/>
      <c r="AB1058" s="204"/>
      <c r="AC1058" s="204"/>
      <c r="AD1058" s="204"/>
      <c r="AE1058" s="204"/>
      <c r="AF1058" s="204"/>
      <c r="AG1058" s="204"/>
      <c r="AH1058" s="204"/>
      <c r="AI1058" s="209"/>
      <c r="AJ1058" s="209"/>
      <c r="AK1058" s="204"/>
      <c r="AL1058" s="204"/>
      <c r="AM1058" s="204"/>
    </row>
    <row r="1059">
      <c r="A1059" s="204"/>
      <c r="B1059" s="209"/>
      <c r="C1059" s="204"/>
      <c r="D1059" s="210"/>
      <c r="E1059" s="211"/>
      <c r="F1059" s="211"/>
      <c r="G1059" s="212"/>
      <c r="H1059" s="212"/>
      <c r="I1059" s="204"/>
      <c r="J1059" s="204"/>
      <c r="K1059" s="204"/>
      <c r="L1059" s="204"/>
      <c r="M1059" s="204"/>
      <c r="N1059" s="204"/>
      <c r="O1059" s="204"/>
      <c r="P1059" s="204"/>
      <c r="Q1059" s="204"/>
      <c r="R1059" s="204"/>
      <c r="S1059" s="204"/>
      <c r="T1059" s="204"/>
      <c r="U1059" s="204"/>
      <c r="V1059" s="204"/>
      <c r="W1059" s="204"/>
      <c r="X1059" s="204"/>
      <c r="Y1059" s="204"/>
      <c r="Z1059" s="204"/>
      <c r="AA1059" s="204"/>
      <c r="AB1059" s="204"/>
      <c r="AC1059" s="204"/>
      <c r="AD1059" s="204"/>
      <c r="AE1059" s="204"/>
      <c r="AF1059" s="204"/>
      <c r="AG1059" s="204"/>
      <c r="AH1059" s="204"/>
      <c r="AI1059" s="209"/>
      <c r="AJ1059" s="209"/>
      <c r="AK1059" s="204"/>
      <c r="AL1059" s="204"/>
      <c r="AM1059" s="204"/>
    </row>
    <row r="1060">
      <c r="A1060" s="204"/>
      <c r="B1060" s="209"/>
      <c r="C1060" s="204"/>
      <c r="D1060" s="210"/>
      <c r="E1060" s="211"/>
      <c r="F1060" s="211"/>
      <c r="G1060" s="212"/>
      <c r="H1060" s="212"/>
      <c r="I1060" s="204"/>
      <c r="J1060" s="204"/>
      <c r="K1060" s="204"/>
      <c r="L1060" s="204"/>
      <c r="M1060" s="204"/>
      <c r="N1060" s="204"/>
      <c r="O1060" s="204"/>
      <c r="P1060" s="204"/>
      <c r="Q1060" s="204"/>
      <c r="R1060" s="204"/>
      <c r="S1060" s="204"/>
      <c r="T1060" s="204"/>
      <c r="U1060" s="204"/>
      <c r="V1060" s="204"/>
      <c r="W1060" s="204"/>
      <c r="X1060" s="204"/>
      <c r="Y1060" s="204"/>
      <c r="Z1060" s="204"/>
      <c r="AA1060" s="204"/>
      <c r="AB1060" s="204"/>
      <c r="AC1060" s="204"/>
      <c r="AD1060" s="204"/>
      <c r="AE1060" s="204"/>
      <c r="AF1060" s="204"/>
      <c r="AG1060" s="204"/>
      <c r="AH1060" s="204"/>
      <c r="AI1060" s="209"/>
      <c r="AJ1060" s="209"/>
      <c r="AK1060" s="204"/>
      <c r="AL1060" s="204"/>
      <c r="AM1060" s="204"/>
    </row>
    <row r="1061">
      <c r="A1061" s="204"/>
      <c r="B1061" s="209"/>
      <c r="C1061" s="204"/>
      <c r="D1061" s="210"/>
      <c r="E1061" s="211"/>
      <c r="F1061" s="211"/>
      <c r="G1061" s="212"/>
      <c r="H1061" s="212"/>
      <c r="I1061" s="204"/>
      <c r="J1061" s="204"/>
      <c r="K1061" s="204"/>
      <c r="L1061" s="204"/>
      <c r="M1061" s="204"/>
      <c r="N1061" s="204"/>
      <c r="O1061" s="204"/>
      <c r="P1061" s="204"/>
      <c r="Q1061" s="204"/>
      <c r="R1061" s="204"/>
      <c r="S1061" s="204"/>
      <c r="T1061" s="204"/>
      <c r="U1061" s="204"/>
      <c r="V1061" s="204"/>
      <c r="W1061" s="204"/>
      <c r="X1061" s="204"/>
      <c r="Y1061" s="204"/>
      <c r="Z1061" s="204"/>
      <c r="AA1061" s="204"/>
      <c r="AB1061" s="204"/>
      <c r="AC1061" s="204"/>
      <c r="AD1061" s="204"/>
      <c r="AE1061" s="204"/>
      <c r="AF1061" s="204"/>
      <c r="AG1061" s="204"/>
      <c r="AH1061" s="204"/>
      <c r="AI1061" s="209"/>
      <c r="AJ1061" s="209"/>
      <c r="AK1061" s="204"/>
      <c r="AL1061" s="204"/>
      <c r="AM1061" s="204"/>
    </row>
    <row r="1062">
      <c r="A1062" s="204"/>
      <c r="B1062" s="209"/>
      <c r="C1062" s="204"/>
      <c r="D1062" s="210"/>
      <c r="E1062" s="211"/>
      <c r="F1062" s="211"/>
      <c r="G1062" s="212"/>
      <c r="H1062" s="212"/>
      <c r="I1062" s="204"/>
      <c r="J1062" s="204"/>
      <c r="K1062" s="204"/>
      <c r="L1062" s="204"/>
      <c r="M1062" s="204"/>
      <c r="N1062" s="204"/>
      <c r="O1062" s="204"/>
      <c r="P1062" s="204"/>
      <c r="Q1062" s="204"/>
      <c r="R1062" s="204"/>
      <c r="S1062" s="204"/>
      <c r="T1062" s="204"/>
      <c r="U1062" s="204"/>
      <c r="V1062" s="204"/>
      <c r="W1062" s="204"/>
      <c r="X1062" s="204"/>
      <c r="Y1062" s="204"/>
      <c r="Z1062" s="204"/>
      <c r="AA1062" s="204"/>
      <c r="AB1062" s="204"/>
      <c r="AC1062" s="204"/>
      <c r="AD1062" s="204"/>
      <c r="AE1062" s="204"/>
      <c r="AF1062" s="204"/>
      <c r="AG1062" s="204"/>
      <c r="AH1062" s="204"/>
      <c r="AI1062" s="209"/>
      <c r="AJ1062" s="209"/>
      <c r="AK1062" s="204"/>
      <c r="AL1062" s="204"/>
      <c r="AM1062" s="204"/>
    </row>
    <row r="1063">
      <c r="A1063" s="204"/>
      <c r="B1063" s="209"/>
      <c r="C1063" s="204"/>
      <c r="D1063" s="210"/>
      <c r="E1063" s="211"/>
      <c r="F1063" s="211"/>
      <c r="G1063" s="212"/>
      <c r="H1063" s="212"/>
      <c r="I1063" s="204"/>
      <c r="J1063" s="204"/>
      <c r="K1063" s="204"/>
      <c r="L1063" s="204"/>
      <c r="M1063" s="204"/>
      <c r="N1063" s="204"/>
      <c r="O1063" s="204"/>
      <c r="P1063" s="204"/>
      <c r="Q1063" s="204"/>
      <c r="R1063" s="204"/>
      <c r="S1063" s="204"/>
      <c r="T1063" s="204"/>
      <c r="U1063" s="204"/>
      <c r="V1063" s="204"/>
      <c r="W1063" s="204"/>
      <c r="X1063" s="204"/>
      <c r="Y1063" s="204"/>
      <c r="Z1063" s="204"/>
      <c r="AA1063" s="204"/>
      <c r="AB1063" s="204"/>
      <c r="AC1063" s="204"/>
      <c r="AD1063" s="204"/>
      <c r="AE1063" s="204"/>
      <c r="AF1063" s="204"/>
      <c r="AG1063" s="204"/>
      <c r="AH1063" s="204"/>
      <c r="AI1063" s="209"/>
      <c r="AJ1063" s="209"/>
      <c r="AK1063" s="204"/>
      <c r="AL1063" s="204"/>
      <c r="AM1063" s="204"/>
    </row>
    <row r="1064">
      <c r="A1064" s="204"/>
      <c r="B1064" s="209"/>
      <c r="C1064" s="204"/>
      <c r="D1064" s="210"/>
      <c r="E1064" s="211"/>
      <c r="F1064" s="211"/>
      <c r="G1064" s="212"/>
      <c r="H1064" s="212"/>
      <c r="I1064" s="204"/>
      <c r="J1064" s="204"/>
      <c r="K1064" s="204"/>
      <c r="L1064" s="204"/>
      <c r="M1064" s="204"/>
      <c r="N1064" s="204"/>
      <c r="O1064" s="204"/>
      <c r="P1064" s="204"/>
      <c r="Q1064" s="204"/>
      <c r="R1064" s="204"/>
      <c r="S1064" s="204"/>
      <c r="T1064" s="204"/>
      <c r="U1064" s="204"/>
      <c r="V1064" s="204"/>
      <c r="W1064" s="204"/>
      <c r="X1064" s="204"/>
      <c r="Y1064" s="204"/>
      <c r="Z1064" s="204"/>
      <c r="AA1064" s="204"/>
      <c r="AB1064" s="204"/>
      <c r="AC1064" s="204"/>
      <c r="AD1064" s="204"/>
      <c r="AE1064" s="204"/>
      <c r="AF1064" s="204"/>
      <c r="AG1064" s="204"/>
      <c r="AH1064" s="204"/>
      <c r="AI1064" s="209"/>
      <c r="AJ1064" s="209"/>
      <c r="AK1064" s="204"/>
      <c r="AL1064" s="204"/>
      <c r="AM1064" s="204"/>
    </row>
    <row r="1065">
      <c r="A1065" s="204"/>
      <c r="B1065" s="209"/>
      <c r="C1065" s="204"/>
      <c r="D1065" s="210"/>
      <c r="E1065" s="211"/>
      <c r="F1065" s="211"/>
      <c r="G1065" s="212"/>
      <c r="H1065" s="212"/>
      <c r="I1065" s="204"/>
      <c r="J1065" s="204"/>
      <c r="K1065" s="204"/>
      <c r="L1065" s="204"/>
      <c r="M1065" s="204"/>
      <c r="N1065" s="204"/>
      <c r="O1065" s="204"/>
      <c r="P1065" s="204"/>
      <c r="Q1065" s="204"/>
      <c r="R1065" s="204"/>
      <c r="S1065" s="204"/>
      <c r="T1065" s="204"/>
      <c r="U1065" s="204"/>
      <c r="V1065" s="204"/>
      <c r="W1065" s="204"/>
      <c r="X1065" s="204"/>
      <c r="Y1065" s="204"/>
      <c r="Z1065" s="204"/>
      <c r="AA1065" s="204"/>
      <c r="AB1065" s="204"/>
      <c r="AC1065" s="204"/>
      <c r="AD1065" s="204"/>
      <c r="AE1065" s="204"/>
      <c r="AF1065" s="204"/>
      <c r="AG1065" s="204"/>
      <c r="AH1065" s="204"/>
      <c r="AI1065" s="209"/>
      <c r="AJ1065" s="209"/>
      <c r="AK1065" s="204"/>
      <c r="AL1065" s="204"/>
      <c r="AM1065" s="204"/>
    </row>
    <row r="1066">
      <c r="A1066" s="204"/>
      <c r="B1066" s="209"/>
      <c r="C1066" s="204"/>
      <c r="D1066" s="210"/>
      <c r="E1066" s="211"/>
      <c r="F1066" s="211"/>
      <c r="G1066" s="212"/>
      <c r="H1066" s="212"/>
      <c r="I1066" s="204"/>
      <c r="J1066" s="204"/>
      <c r="K1066" s="204"/>
      <c r="L1066" s="204"/>
      <c r="M1066" s="204"/>
      <c r="N1066" s="204"/>
      <c r="O1066" s="204"/>
      <c r="P1066" s="204"/>
      <c r="Q1066" s="204"/>
      <c r="R1066" s="204"/>
      <c r="S1066" s="204"/>
      <c r="T1066" s="204"/>
      <c r="U1066" s="204"/>
      <c r="V1066" s="204"/>
      <c r="W1066" s="204"/>
      <c r="X1066" s="204"/>
      <c r="Y1066" s="204"/>
      <c r="Z1066" s="204"/>
      <c r="AA1066" s="204"/>
      <c r="AB1066" s="204"/>
      <c r="AC1066" s="204"/>
      <c r="AD1066" s="204"/>
      <c r="AE1066" s="204"/>
      <c r="AF1066" s="204"/>
      <c r="AG1066" s="204"/>
      <c r="AH1066" s="204"/>
      <c r="AI1066" s="209"/>
      <c r="AJ1066" s="209"/>
      <c r="AK1066" s="204"/>
      <c r="AL1066" s="204"/>
      <c r="AM1066" s="204"/>
    </row>
    <row r="1067">
      <c r="A1067" s="204"/>
      <c r="B1067" s="209"/>
      <c r="C1067" s="204"/>
      <c r="D1067" s="210"/>
      <c r="E1067" s="211"/>
      <c r="F1067" s="211"/>
      <c r="G1067" s="212"/>
      <c r="H1067" s="212"/>
      <c r="I1067" s="204"/>
      <c r="J1067" s="204"/>
      <c r="K1067" s="204"/>
      <c r="L1067" s="204"/>
      <c r="M1067" s="204"/>
      <c r="N1067" s="204"/>
      <c r="O1067" s="204"/>
      <c r="P1067" s="204"/>
      <c r="Q1067" s="204"/>
      <c r="R1067" s="204"/>
      <c r="S1067" s="204"/>
      <c r="T1067" s="204"/>
      <c r="U1067" s="204"/>
      <c r="V1067" s="204"/>
      <c r="W1067" s="204"/>
      <c r="X1067" s="204"/>
      <c r="Y1067" s="204"/>
      <c r="Z1067" s="204"/>
      <c r="AA1067" s="204"/>
      <c r="AB1067" s="204"/>
      <c r="AC1067" s="204"/>
      <c r="AD1067" s="204"/>
      <c r="AE1067" s="204"/>
      <c r="AF1067" s="204"/>
      <c r="AG1067" s="204"/>
      <c r="AH1067" s="204"/>
      <c r="AI1067" s="209"/>
      <c r="AJ1067" s="209"/>
      <c r="AK1067" s="204"/>
      <c r="AL1067" s="204"/>
      <c r="AM1067" s="204"/>
    </row>
    <row r="1068">
      <c r="A1068" s="204"/>
      <c r="B1068" s="209"/>
      <c r="C1068" s="204"/>
      <c r="D1068" s="210"/>
      <c r="E1068" s="211"/>
      <c r="F1068" s="211"/>
      <c r="G1068" s="212"/>
      <c r="H1068" s="212"/>
      <c r="I1068" s="204"/>
      <c r="J1068" s="204"/>
      <c r="K1068" s="204"/>
      <c r="L1068" s="204"/>
      <c r="M1068" s="204"/>
      <c r="N1068" s="204"/>
      <c r="O1068" s="204"/>
      <c r="P1068" s="204"/>
      <c r="Q1068" s="204"/>
      <c r="R1068" s="204"/>
      <c r="S1068" s="204"/>
      <c r="T1068" s="204"/>
      <c r="U1068" s="204"/>
      <c r="V1068" s="204"/>
      <c r="W1068" s="204"/>
      <c r="X1068" s="204"/>
      <c r="Y1068" s="204"/>
      <c r="Z1068" s="204"/>
      <c r="AA1068" s="204"/>
      <c r="AB1068" s="204"/>
      <c r="AC1068" s="204"/>
      <c r="AD1068" s="204"/>
      <c r="AE1068" s="204"/>
      <c r="AF1068" s="204"/>
      <c r="AG1068" s="204"/>
      <c r="AH1068" s="204"/>
      <c r="AI1068" s="209"/>
      <c r="AJ1068" s="209"/>
      <c r="AK1068" s="204"/>
      <c r="AL1068" s="204"/>
      <c r="AM1068" s="204"/>
    </row>
    <row r="1069">
      <c r="A1069" s="204"/>
      <c r="B1069" s="209"/>
      <c r="C1069" s="204"/>
      <c r="D1069" s="210"/>
      <c r="E1069" s="211"/>
      <c r="F1069" s="211"/>
      <c r="G1069" s="212"/>
      <c r="H1069" s="212"/>
      <c r="I1069" s="204"/>
      <c r="J1069" s="204"/>
      <c r="K1069" s="204"/>
      <c r="L1069" s="204"/>
      <c r="M1069" s="204"/>
      <c r="N1069" s="204"/>
      <c r="O1069" s="204"/>
      <c r="P1069" s="204"/>
      <c r="Q1069" s="204"/>
      <c r="R1069" s="204"/>
      <c r="S1069" s="204"/>
      <c r="T1069" s="204"/>
      <c r="U1069" s="204"/>
      <c r="V1069" s="204"/>
      <c r="W1069" s="204"/>
      <c r="X1069" s="204"/>
      <c r="Y1069" s="204"/>
      <c r="Z1069" s="204"/>
      <c r="AA1069" s="204"/>
      <c r="AB1069" s="204"/>
      <c r="AC1069" s="204"/>
      <c r="AD1069" s="204"/>
      <c r="AE1069" s="204"/>
      <c r="AF1069" s="204"/>
      <c r="AG1069" s="204"/>
      <c r="AH1069" s="204"/>
      <c r="AI1069" s="209"/>
      <c r="AJ1069" s="209"/>
      <c r="AK1069" s="204"/>
      <c r="AL1069" s="204"/>
      <c r="AM1069" s="204"/>
    </row>
    <row r="1070">
      <c r="A1070" s="204"/>
      <c r="B1070" s="209"/>
      <c r="C1070" s="204"/>
      <c r="D1070" s="210"/>
      <c r="E1070" s="211"/>
      <c r="F1070" s="211"/>
      <c r="G1070" s="212"/>
      <c r="H1070" s="212"/>
      <c r="I1070" s="204"/>
      <c r="J1070" s="204"/>
      <c r="K1070" s="204"/>
      <c r="L1070" s="204"/>
      <c r="M1070" s="204"/>
      <c r="N1070" s="204"/>
      <c r="O1070" s="204"/>
      <c r="P1070" s="204"/>
      <c r="Q1070" s="204"/>
      <c r="R1070" s="204"/>
      <c r="S1070" s="204"/>
      <c r="T1070" s="204"/>
      <c r="U1070" s="204"/>
      <c r="V1070" s="204"/>
      <c r="W1070" s="204"/>
      <c r="X1070" s="204"/>
      <c r="Y1070" s="204"/>
      <c r="Z1070" s="204"/>
      <c r="AA1070" s="204"/>
      <c r="AB1070" s="204"/>
      <c r="AC1070" s="204"/>
      <c r="AD1070" s="204"/>
      <c r="AE1070" s="204"/>
      <c r="AF1070" s="204"/>
      <c r="AG1070" s="204"/>
      <c r="AH1070" s="204"/>
      <c r="AI1070" s="209"/>
      <c r="AJ1070" s="209"/>
      <c r="AK1070" s="204"/>
      <c r="AL1070" s="204"/>
      <c r="AM1070" s="204"/>
    </row>
    <row r="1071">
      <c r="A1071" s="204"/>
      <c r="B1071" s="209"/>
      <c r="C1071" s="204"/>
      <c r="D1071" s="210"/>
      <c r="E1071" s="211"/>
      <c r="F1071" s="211"/>
      <c r="G1071" s="212"/>
      <c r="H1071" s="212"/>
      <c r="I1071" s="204"/>
      <c r="J1071" s="204"/>
      <c r="K1071" s="204"/>
      <c r="L1071" s="204"/>
      <c r="M1071" s="204"/>
      <c r="N1071" s="204"/>
      <c r="O1071" s="204"/>
      <c r="P1071" s="204"/>
      <c r="Q1071" s="204"/>
      <c r="R1071" s="204"/>
      <c r="S1071" s="204"/>
      <c r="T1071" s="204"/>
      <c r="U1071" s="204"/>
      <c r="V1071" s="204"/>
      <c r="W1071" s="204"/>
      <c r="X1071" s="204"/>
      <c r="Y1071" s="204"/>
      <c r="Z1071" s="204"/>
      <c r="AA1071" s="204"/>
      <c r="AB1071" s="204"/>
      <c r="AC1071" s="204"/>
      <c r="AD1071" s="204"/>
      <c r="AE1071" s="204"/>
      <c r="AF1071" s="204"/>
      <c r="AG1071" s="204"/>
      <c r="AH1071" s="204"/>
      <c r="AI1071" s="209"/>
      <c r="AJ1071" s="209"/>
      <c r="AK1071" s="204"/>
      <c r="AL1071" s="204"/>
      <c r="AM1071" s="204"/>
    </row>
    <row r="1072">
      <c r="A1072" s="204"/>
      <c r="B1072" s="209"/>
      <c r="C1072" s="204"/>
      <c r="D1072" s="210"/>
      <c r="E1072" s="211"/>
      <c r="F1072" s="211"/>
      <c r="G1072" s="212"/>
      <c r="H1072" s="212"/>
      <c r="I1072" s="204"/>
      <c r="J1072" s="204"/>
      <c r="K1072" s="204"/>
      <c r="L1072" s="204"/>
      <c r="M1072" s="204"/>
      <c r="N1072" s="204"/>
      <c r="O1072" s="204"/>
      <c r="P1072" s="204"/>
      <c r="Q1072" s="204"/>
      <c r="R1072" s="204"/>
      <c r="S1072" s="204"/>
      <c r="T1072" s="204"/>
      <c r="U1072" s="204"/>
      <c r="V1072" s="204"/>
      <c r="W1072" s="204"/>
      <c r="X1072" s="204"/>
      <c r="Y1072" s="204"/>
      <c r="Z1072" s="204"/>
      <c r="AA1072" s="204"/>
      <c r="AB1072" s="204"/>
      <c r="AC1072" s="204"/>
      <c r="AD1072" s="204"/>
      <c r="AE1072" s="204"/>
      <c r="AF1072" s="204"/>
      <c r="AG1072" s="204"/>
      <c r="AH1072" s="204"/>
      <c r="AI1072" s="209"/>
      <c r="AJ1072" s="209"/>
      <c r="AK1072" s="204"/>
      <c r="AL1072" s="204"/>
      <c r="AM1072" s="204"/>
    </row>
    <row r="1073">
      <c r="A1073" s="204"/>
      <c r="B1073" s="209"/>
      <c r="C1073" s="204"/>
      <c r="D1073" s="210"/>
      <c r="E1073" s="211"/>
      <c r="F1073" s="211"/>
      <c r="G1073" s="212"/>
      <c r="H1073" s="212"/>
      <c r="I1073" s="204"/>
      <c r="J1073" s="204"/>
      <c r="K1073" s="204"/>
      <c r="L1073" s="204"/>
      <c r="M1073" s="204"/>
      <c r="N1073" s="204"/>
      <c r="O1073" s="204"/>
      <c r="P1073" s="204"/>
      <c r="Q1073" s="204"/>
      <c r="R1073" s="204"/>
      <c r="S1073" s="204"/>
      <c r="T1073" s="204"/>
      <c r="U1073" s="204"/>
      <c r="V1073" s="204"/>
      <c r="W1073" s="204"/>
      <c r="X1073" s="204"/>
      <c r="Y1073" s="204"/>
      <c r="Z1073" s="204"/>
      <c r="AA1073" s="204"/>
      <c r="AB1073" s="204"/>
      <c r="AC1073" s="204"/>
      <c r="AD1073" s="204"/>
      <c r="AE1073" s="204"/>
      <c r="AF1073" s="204"/>
      <c r="AG1073" s="204"/>
      <c r="AH1073" s="204"/>
      <c r="AI1073" s="209"/>
      <c r="AJ1073" s="209"/>
      <c r="AK1073" s="204"/>
      <c r="AL1073" s="204"/>
      <c r="AM1073" s="204"/>
    </row>
    <row r="1074">
      <c r="A1074" s="204"/>
      <c r="B1074" s="209"/>
      <c r="C1074" s="204"/>
      <c r="D1074" s="210"/>
      <c r="E1074" s="211"/>
      <c r="F1074" s="211"/>
      <c r="G1074" s="212"/>
      <c r="H1074" s="212"/>
      <c r="I1074" s="204"/>
      <c r="J1074" s="204"/>
      <c r="K1074" s="204"/>
      <c r="L1074" s="204"/>
      <c r="M1074" s="204"/>
      <c r="N1074" s="204"/>
      <c r="O1074" s="204"/>
      <c r="P1074" s="204"/>
      <c r="Q1074" s="204"/>
      <c r="R1074" s="204"/>
      <c r="S1074" s="204"/>
      <c r="T1074" s="204"/>
      <c r="U1074" s="204"/>
      <c r="V1074" s="204"/>
      <c r="W1074" s="204"/>
      <c r="X1074" s="204"/>
      <c r="Y1074" s="204"/>
      <c r="Z1074" s="204"/>
      <c r="AA1074" s="204"/>
      <c r="AB1074" s="204"/>
      <c r="AC1074" s="204"/>
      <c r="AD1074" s="204"/>
      <c r="AE1074" s="204"/>
      <c r="AF1074" s="204"/>
      <c r="AG1074" s="204"/>
      <c r="AH1074" s="204"/>
      <c r="AI1074" s="209"/>
      <c r="AJ1074" s="209"/>
      <c r="AK1074" s="204"/>
      <c r="AL1074" s="204"/>
      <c r="AM1074" s="204"/>
    </row>
    <row r="1075">
      <c r="A1075" s="204"/>
      <c r="B1075" s="209"/>
      <c r="C1075" s="204"/>
      <c r="D1075" s="210"/>
      <c r="E1075" s="211"/>
      <c r="F1075" s="211"/>
      <c r="G1075" s="212"/>
      <c r="H1075" s="212"/>
      <c r="I1075" s="204"/>
      <c r="J1075" s="204"/>
      <c r="K1075" s="204"/>
      <c r="L1075" s="204"/>
      <c r="M1075" s="204"/>
      <c r="N1075" s="204"/>
      <c r="O1075" s="204"/>
      <c r="P1075" s="204"/>
      <c r="Q1075" s="204"/>
      <c r="R1075" s="204"/>
      <c r="S1075" s="204"/>
      <c r="T1075" s="204"/>
      <c r="U1075" s="204"/>
      <c r="V1075" s="204"/>
      <c r="W1075" s="204"/>
      <c r="X1075" s="204"/>
      <c r="Y1075" s="204"/>
      <c r="Z1075" s="204"/>
      <c r="AA1075" s="204"/>
      <c r="AB1075" s="204"/>
      <c r="AC1075" s="204"/>
      <c r="AD1075" s="204"/>
      <c r="AE1075" s="204"/>
      <c r="AF1075" s="204"/>
      <c r="AG1075" s="204"/>
      <c r="AH1075" s="204"/>
      <c r="AI1075" s="209"/>
      <c r="AJ1075" s="209"/>
      <c r="AK1075" s="204"/>
      <c r="AL1075" s="204"/>
      <c r="AM1075" s="204"/>
    </row>
    <row r="1076">
      <c r="A1076" s="204"/>
      <c r="B1076" s="209"/>
      <c r="C1076" s="204"/>
      <c r="D1076" s="210"/>
      <c r="E1076" s="211"/>
      <c r="F1076" s="211"/>
      <c r="G1076" s="212"/>
      <c r="H1076" s="212"/>
      <c r="I1076" s="204"/>
      <c r="J1076" s="204"/>
      <c r="K1076" s="204"/>
      <c r="L1076" s="204"/>
      <c r="M1076" s="204"/>
      <c r="N1076" s="204"/>
      <c r="O1076" s="204"/>
      <c r="P1076" s="204"/>
      <c r="Q1076" s="204"/>
      <c r="R1076" s="204"/>
      <c r="S1076" s="204"/>
      <c r="T1076" s="204"/>
      <c r="U1076" s="204"/>
      <c r="V1076" s="204"/>
      <c r="W1076" s="204"/>
      <c r="X1076" s="204"/>
      <c r="Y1076" s="204"/>
      <c r="Z1076" s="204"/>
      <c r="AA1076" s="204"/>
      <c r="AB1076" s="204"/>
      <c r="AC1076" s="204"/>
      <c r="AD1076" s="204"/>
      <c r="AE1076" s="204"/>
      <c r="AF1076" s="204"/>
      <c r="AG1076" s="204"/>
      <c r="AH1076" s="204"/>
      <c r="AI1076" s="209"/>
      <c r="AJ1076" s="209"/>
      <c r="AK1076" s="204"/>
      <c r="AL1076" s="204"/>
      <c r="AM1076" s="204"/>
    </row>
    <row r="1077">
      <c r="A1077" s="204"/>
      <c r="B1077" s="209"/>
      <c r="C1077" s="204"/>
      <c r="D1077" s="210"/>
      <c r="E1077" s="211"/>
      <c r="F1077" s="211"/>
      <c r="G1077" s="212"/>
      <c r="H1077" s="212"/>
      <c r="I1077" s="204"/>
      <c r="J1077" s="204"/>
      <c r="K1077" s="204"/>
      <c r="L1077" s="204"/>
      <c r="M1077" s="204"/>
      <c r="N1077" s="204"/>
      <c r="O1077" s="204"/>
      <c r="P1077" s="204"/>
      <c r="Q1077" s="204"/>
      <c r="R1077" s="204"/>
      <c r="S1077" s="204"/>
      <c r="T1077" s="204"/>
      <c r="U1077" s="204"/>
      <c r="V1077" s="204"/>
      <c r="W1077" s="204"/>
      <c r="X1077" s="204"/>
      <c r="Y1077" s="204"/>
      <c r="Z1077" s="204"/>
      <c r="AA1077" s="204"/>
      <c r="AB1077" s="204"/>
      <c r="AC1077" s="204"/>
      <c r="AD1077" s="204"/>
      <c r="AE1077" s="204"/>
      <c r="AF1077" s="204"/>
      <c r="AG1077" s="204"/>
      <c r="AH1077" s="204"/>
      <c r="AI1077" s="209"/>
      <c r="AJ1077" s="209"/>
      <c r="AK1077" s="204"/>
      <c r="AL1077" s="204"/>
      <c r="AM1077" s="204"/>
    </row>
    <row r="1078">
      <c r="A1078" s="204"/>
      <c r="B1078" s="209"/>
      <c r="C1078" s="204"/>
      <c r="D1078" s="210"/>
      <c r="E1078" s="211"/>
      <c r="F1078" s="211"/>
      <c r="G1078" s="212"/>
      <c r="H1078" s="212"/>
      <c r="I1078" s="204"/>
      <c r="J1078" s="204"/>
      <c r="K1078" s="204"/>
      <c r="L1078" s="204"/>
      <c r="M1078" s="204"/>
      <c r="N1078" s="204"/>
      <c r="O1078" s="204"/>
      <c r="P1078" s="204"/>
      <c r="Q1078" s="204"/>
      <c r="R1078" s="204"/>
      <c r="S1078" s="204"/>
      <c r="T1078" s="204"/>
      <c r="U1078" s="204"/>
      <c r="V1078" s="204"/>
      <c r="W1078" s="204"/>
      <c r="X1078" s="204"/>
      <c r="Y1078" s="204"/>
      <c r="Z1078" s="204"/>
      <c r="AA1078" s="204"/>
      <c r="AB1078" s="204"/>
      <c r="AC1078" s="204"/>
      <c r="AD1078" s="204"/>
      <c r="AE1078" s="204"/>
      <c r="AF1078" s="204"/>
      <c r="AG1078" s="204"/>
      <c r="AH1078" s="204"/>
      <c r="AI1078" s="209"/>
      <c r="AJ1078" s="209"/>
      <c r="AK1078" s="204"/>
      <c r="AL1078" s="204"/>
      <c r="AM1078" s="204"/>
    </row>
    <row r="1079">
      <c r="A1079" s="204"/>
      <c r="B1079" s="209"/>
      <c r="C1079" s="204"/>
      <c r="D1079" s="210"/>
      <c r="E1079" s="211"/>
      <c r="F1079" s="211"/>
      <c r="G1079" s="212"/>
      <c r="H1079" s="212"/>
      <c r="I1079" s="204"/>
      <c r="J1079" s="204"/>
      <c r="K1079" s="204"/>
      <c r="L1079" s="204"/>
      <c r="M1079" s="204"/>
      <c r="N1079" s="204"/>
      <c r="O1079" s="204"/>
      <c r="P1079" s="204"/>
      <c r="Q1079" s="204"/>
      <c r="R1079" s="204"/>
      <c r="S1079" s="204"/>
      <c r="T1079" s="204"/>
      <c r="U1079" s="204"/>
      <c r="V1079" s="204"/>
      <c r="W1079" s="204"/>
      <c r="X1079" s="204"/>
      <c r="Y1079" s="204"/>
      <c r="Z1079" s="204"/>
      <c r="AA1079" s="204"/>
      <c r="AB1079" s="204"/>
      <c r="AC1079" s="204"/>
      <c r="AD1079" s="204"/>
      <c r="AE1079" s="204"/>
      <c r="AF1079" s="204"/>
      <c r="AG1079" s="204"/>
      <c r="AH1079" s="204"/>
      <c r="AI1079" s="209"/>
      <c r="AJ1079" s="209"/>
      <c r="AK1079" s="204"/>
      <c r="AL1079" s="204"/>
      <c r="AM1079" s="204"/>
    </row>
    <row r="1080">
      <c r="A1080" s="204"/>
      <c r="B1080" s="209"/>
      <c r="C1080" s="204"/>
      <c r="D1080" s="210"/>
      <c r="E1080" s="211"/>
      <c r="F1080" s="211"/>
      <c r="G1080" s="212"/>
      <c r="H1080" s="212"/>
      <c r="I1080" s="204"/>
      <c r="J1080" s="204"/>
      <c r="K1080" s="204"/>
      <c r="L1080" s="204"/>
      <c r="M1080" s="204"/>
      <c r="N1080" s="204"/>
      <c r="O1080" s="204"/>
      <c r="P1080" s="204"/>
      <c r="Q1080" s="204"/>
      <c r="R1080" s="204"/>
      <c r="S1080" s="204"/>
      <c r="T1080" s="204"/>
      <c r="U1080" s="204"/>
      <c r="V1080" s="204"/>
      <c r="W1080" s="204"/>
      <c r="X1080" s="204"/>
      <c r="Y1080" s="204"/>
      <c r="Z1080" s="204"/>
      <c r="AA1080" s="204"/>
      <c r="AB1080" s="204"/>
      <c r="AC1080" s="204"/>
      <c r="AD1080" s="204"/>
      <c r="AE1080" s="204"/>
      <c r="AF1080" s="204"/>
      <c r="AG1080" s="204"/>
      <c r="AH1080" s="204"/>
      <c r="AI1080" s="209"/>
      <c r="AJ1080" s="209"/>
      <c r="AK1080" s="204"/>
      <c r="AL1080" s="204"/>
      <c r="AM1080" s="204"/>
    </row>
    <row r="1081">
      <c r="A1081" s="204"/>
      <c r="B1081" s="209"/>
      <c r="C1081" s="204"/>
      <c r="D1081" s="210"/>
      <c r="E1081" s="211"/>
      <c r="F1081" s="211"/>
      <c r="G1081" s="212"/>
      <c r="H1081" s="212"/>
      <c r="I1081" s="204"/>
      <c r="J1081" s="204"/>
      <c r="K1081" s="204"/>
      <c r="L1081" s="204"/>
      <c r="M1081" s="204"/>
      <c r="N1081" s="204"/>
      <c r="O1081" s="204"/>
      <c r="P1081" s="204"/>
      <c r="Q1081" s="204"/>
      <c r="R1081" s="204"/>
      <c r="S1081" s="204"/>
      <c r="T1081" s="204"/>
      <c r="U1081" s="204"/>
      <c r="V1081" s="204"/>
      <c r="W1081" s="204"/>
      <c r="X1081" s="204"/>
      <c r="Y1081" s="204"/>
      <c r="Z1081" s="204"/>
      <c r="AA1081" s="204"/>
      <c r="AB1081" s="204"/>
      <c r="AC1081" s="204"/>
      <c r="AD1081" s="204"/>
      <c r="AE1081" s="204"/>
      <c r="AF1081" s="204"/>
      <c r="AG1081" s="204"/>
      <c r="AH1081" s="204"/>
      <c r="AI1081" s="209"/>
      <c r="AJ1081" s="209"/>
      <c r="AK1081" s="204"/>
      <c r="AL1081" s="204"/>
      <c r="AM1081" s="204"/>
    </row>
    <row r="1082">
      <c r="A1082" s="204"/>
      <c r="B1082" s="209"/>
      <c r="C1082" s="204"/>
      <c r="D1082" s="210"/>
      <c r="E1082" s="211"/>
      <c r="F1082" s="211"/>
      <c r="G1082" s="212"/>
      <c r="H1082" s="212"/>
      <c r="I1082" s="204"/>
      <c r="J1082" s="204"/>
      <c r="K1082" s="204"/>
      <c r="L1082" s="204"/>
      <c r="M1082" s="204"/>
      <c r="N1082" s="204"/>
      <c r="O1082" s="204"/>
      <c r="P1082" s="204"/>
      <c r="Q1082" s="204"/>
      <c r="R1082" s="204"/>
      <c r="S1082" s="204"/>
      <c r="T1082" s="204"/>
      <c r="U1082" s="204"/>
      <c r="V1082" s="204"/>
      <c r="W1082" s="204"/>
      <c r="X1082" s="204"/>
      <c r="Y1082" s="204"/>
      <c r="Z1082" s="204"/>
      <c r="AA1082" s="204"/>
      <c r="AB1082" s="204"/>
      <c r="AC1082" s="204"/>
      <c r="AD1082" s="204"/>
      <c r="AE1082" s="204"/>
      <c r="AF1082" s="204"/>
      <c r="AG1082" s="204"/>
      <c r="AH1082" s="204"/>
      <c r="AI1082" s="209"/>
      <c r="AJ1082" s="209"/>
      <c r="AK1082" s="204"/>
      <c r="AL1082" s="204"/>
      <c r="AM1082" s="204"/>
    </row>
    <row r="1083">
      <c r="A1083" s="204"/>
      <c r="B1083" s="209"/>
      <c r="C1083" s="204"/>
      <c r="D1083" s="210"/>
      <c r="E1083" s="211"/>
      <c r="F1083" s="211"/>
      <c r="G1083" s="212"/>
      <c r="H1083" s="212"/>
      <c r="I1083" s="204"/>
      <c r="J1083" s="204"/>
      <c r="K1083" s="204"/>
      <c r="L1083" s="204"/>
      <c r="M1083" s="204"/>
      <c r="N1083" s="204"/>
      <c r="O1083" s="204"/>
      <c r="P1083" s="204"/>
      <c r="Q1083" s="204"/>
      <c r="R1083" s="204"/>
      <c r="S1083" s="204"/>
      <c r="T1083" s="204"/>
      <c r="U1083" s="204"/>
      <c r="V1083" s="204"/>
      <c r="W1083" s="204"/>
      <c r="X1083" s="204"/>
      <c r="Y1083" s="204"/>
      <c r="Z1083" s="204"/>
      <c r="AA1083" s="204"/>
      <c r="AB1083" s="204"/>
      <c r="AC1083" s="204"/>
      <c r="AD1083" s="204"/>
      <c r="AE1083" s="204"/>
      <c r="AF1083" s="204"/>
      <c r="AG1083" s="204"/>
      <c r="AH1083" s="204"/>
      <c r="AI1083" s="209"/>
      <c r="AJ1083" s="209"/>
      <c r="AK1083" s="204"/>
      <c r="AL1083" s="204"/>
      <c r="AM1083" s="204"/>
    </row>
    <row r="1084">
      <c r="A1084" s="204"/>
      <c r="B1084" s="209"/>
      <c r="C1084" s="204"/>
      <c r="D1084" s="210"/>
      <c r="E1084" s="211"/>
      <c r="F1084" s="211"/>
      <c r="G1084" s="212"/>
      <c r="H1084" s="212"/>
      <c r="I1084" s="204"/>
      <c r="J1084" s="204"/>
      <c r="K1084" s="204"/>
      <c r="L1084" s="204"/>
      <c r="M1084" s="204"/>
      <c r="N1084" s="204"/>
      <c r="O1084" s="204"/>
      <c r="P1084" s="204"/>
      <c r="Q1084" s="204"/>
      <c r="R1084" s="204"/>
      <c r="S1084" s="204"/>
      <c r="T1084" s="204"/>
      <c r="U1084" s="204"/>
      <c r="V1084" s="204"/>
      <c r="W1084" s="204"/>
      <c r="X1084" s="204"/>
      <c r="Y1084" s="204"/>
      <c r="Z1084" s="204"/>
      <c r="AA1084" s="204"/>
      <c r="AB1084" s="204"/>
      <c r="AC1084" s="204"/>
      <c r="AD1084" s="204"/>
      <c r="AE1084" s="204"/>
      <c r="AF1084" s="204"/>
      <c r="AG1084" s="204"/>
      <c r="AH1084" s="204"/>
      <c r="AI1084" s="209"/>
      <c r="AJ1084" s="209"/>
      <c r="AK1084" s="204"/>
      <c r="AL1084" s="204"/>
      <c r="AM1084" s="204"/>
    </row>
    <row r="1085">
      <c r="A1085" s="204"/>
      <c r="B1085" s="209"/>
      <c r="C1085" s="204"/>
      <c r="D1085" s="210"/>
      <c r="E1085" s="211"/>
      <c r="F1085" s="211"/>
      <c r="G1085" s="212"/>
      <c r="H1085" s="212"/>
      <c r="I1085" s="204"/>
      <c r="J1085" s="204"/>
      <c r="K1085" s="204"/>
      <c r="L1085" s="204"/>
      <c r="M1085" s="204"/>
      <c r="N1085" s="204"/>
      <c r="O1085" s="204"/>
      <c r="P1085" s="204"/>
      <c r="Q1085" s="204"/>
      <c r="R1085" s="204"/>
      <c r="S1085" s="204"/>
      <c r="T1085" s="204"/>
      <c r="U1085" s="204"/>
      <c r="V1085" s="204"/>
      <c r="W1085" s="204"/>
      <c r="X1085" s="204"/>
      <c r="Y1085" s="204"/>
      <c r="Z1085" s="204"/>
      <c r="AA1085" s="204"/>
      <c r="AB1085" s="204"/>
      <c r="AC1085" s="204"/>
      <c r="AD1085" s="204"/>
      <c r="AE1085" s="204"/>
      <c r="AF1085" s="204"/>
      <c r="AG1085" s="204"/>
      <c r="AH1085" s="204"/>
      <c r="AI1085" s="209"/>
      <c r="AJ1085" s="209"/>
      <c r="AK1085" s="204"/>
      <c r="AL1085" s="204"/>
      <c r="AM1085" s="204"/>
    </row>
    <row r="1086">
      <c r="A1086" s="204"/>
      <c r="B1086" s="209"/>
      <c r="C1086" s="204"/>
      <c r="D1086" s="210"/>
      <c r="E1086" s="211"/>
      <c r="F1086" s="211"/>
      <c r="G1086" s="212"/>
      <c r="H1086" s="212"/>
      <c r="I1086" s="204"/>
      <c r="J1086" s="204"/>
      <c r="K1086" s="204"/>
      <c r="L1086" s="204"/>
      <c r="M1086" s="204"/>
      <c r="N1086" s="204"/>
      <c r="O1086" s="204"/>
      <c r="P1086" s="204"/>
      <c r="Q1086" s="204"/>
      <c r="R1086" s="204"/>
      <c r="S1086" s="204"/>
      <c r="T1086" s="204"/>
      <c r="U1086" s="204"/>
      <c r="V1086" s="204"/>
      <c r="W1086" s="204"/>
      <c r="X1086" s="204"/>
      <c r="Y1086" s="204"/>
      <c r="Z1086" s="204"/>
      <c r="AA1086" s="204"/>
      <c r="AB1086" s="204"/>
      <c r="AC1086" s="204"/>
      <c r="AD1086" s="204"/>
      <c r="AE1086" s="204"/>
      <c r="AF1086" s="204"/>
      <c r="AG1086" s="204"/>
      <c r="AH1086" s="204"/>
      <c r="AI1086" s="209"/>
      <c r="AJ1086" s="209"/>
      <c r="AK1086" s="204"/>
      <c r="AL1086" s="204"/>
      <c r="AM1086" s="204"/>
    </row>
    <row r="1087">
      <c r="A1087" s="204"/>
      <c r="B1087" s="209"/>
      <c r="C1087" s="204"/>
      <c r="D1087" s="210"/>
      <c r="E1087" s="211"/>
      <c r="F1087" s="211"/>
      <c r="G1087" s="212"/>
      <c r="H1087" s="212"/>
      <c r="I1087" s="204"/>
      <c r="J1087" s="204"/>
      <c r="K1087" s="204"/>
      <c r="L1087" s="204"/>
      <c r="M1087" s="204"/>
      <c r="N1087" s="204"/>
      <c r="O1087" s="204"/>
      <c r="P1087" s="204"/>
      <c r="Q1087" s="204"/>
      <c r="R1087" s="204"/>
      <c r="S1087" s="204"/>
      <c r="T1087" s="204"/>
      <c r="U1087" s="204"/>
      <c r="V1087" s="204"/>
      <c r="W1087" s="204"/>
      <c r="X1087" s="204"/>
      <c r="Y1087" s="204"/>
      <c r="Z1087" s="204"/>
      <c r="AA1087" s="204"/>
      <c r="AB1087" s="204"/>
      <c r="AC1087" s="204"/>
      <c r="AD1087" s="204"/>
      <c r="AE1087" s="204"/>
      <c r="AF1087" s="204"/>
      <c r="AG1087" s="204"/>
      <c r="AH1087" s="204"/>
      <c r="AI1087" s="209"/>
      <c r="AJ1087" s="209"/>
      <c r="AK1087" s="204"/>
      <c r="AL1087" s="204"/>
      <c r="AM1087" s="204"/>
    </row>
    <row r="1088">
      <c r="A1088" s="204"/>
      <c r="B1088" s="209"/>
      <c r="C1088" s="204"/>
      <c r="D1088" s="210"/>
      <c r="E1088" s="211"/>
      <c r="F1088" s="211"/>
      <c r="G1088" s="212"/>
      <c r="H1088" s="212"/>
      <c r="I1088" s="204"/>
      <c r="J1088" s="204"/>
      <c r="K1088" s="204"/>
      <c r="L1088" s="204"/>
      <c r="M1088" s="204"/>
      <c r="N1088" s="204"/>
      <c r="O1088" s="204"/>
      <c r="P1088" s="204"/>
      <c r="Q1088" s="204"/>
      <c r="R1088" s="204"/>
      <c r="S1088" s="204"/>
      <c r="T1088" s="204"/>
      <c r="U1088" s="204"/>
      <c r="V1088" s="204"/>
      <c r="W1088" s="204"/>
      <c r="X1088" s="204"/>
      <c r="Y1088" s="204"/>
      <c r="Z1088" s="204"/>
      <c r="AA1088" s="204"/>
      <c r="AB1088" s="204"/>
      <c r="AC1088" s="204"/>
      <c r="AD1088" s="204"/>
      <c r="AE1088" s="204"/>
      <c r="AF1088" s="204"/>
      <c r="AG1088" s="204"/>
      <c r="AH1088" s="204"/>
      <c r="AI1088" s="209"/>
      <c r="AJ1088" s="209"/>
      <c r="AK1088" s="204"/>
      <c r="AL1088" s="204"/>
      <c r="AM1088" s="204"/>
    </row>
    <row r="1089">
      <c r="A1089" s="204"/>
      <c r="B1089" s="209"/>
      <c r="C1089" s="204"/>
      <c r="D1089" s="210"/>
      <c r="E1089" s="211"/>
      <c r="F1089" s="211"/>
      <c r="G1089" s="212"/>
      <c r="H1089" s="212"/>
      <c r="I1089" s="204"/>
      <c r="J1089" s="204"/>
      <c r="K1089" s="204"/>
      <c r="L1089" s="204"/>
      <c r="M1089" s="204"/>
      <c r="N1089" s="204"/>
      <c r="O1089" s="204"/>
      <c r="P1089" s="204"/>
      <c r="Q1089" s="204"/>
      <c r="R1089" s="204"/>
      <c r="S1089" s="204"/>
      <c r="T1089" s="204"/>
      <c r="U1089" s="204"/>
      <c r="V1089" s="204"/>
      <c r="W1089" s="204"/>
      <c r="X1089" s="204"/>
      <c r="Y1089" s="204"/>
      <c r="Z1089" s="204"/>
      <c r="AA1089" s="204"/>
      <c r="AB1089" s="204"/>
      <c r="AC1089" s="204"/>
      <c r="AD1089" s="204"/>
      <c r="AE1089" s="204"/>
      <c r="AF1089" s="204"/>
      <c r="AG1089" s="204"/>
      <c r="AH1089" s="204"/>
      <c r="AI1089" s="209"/>
      <c r="AJ1089" s="209"/>
      <c r="AK1089" s="204"/>
      <c r="AL1089" s="204"/>
      <c r="AM1089" s="204"/>
    </row>
    <row r="1090">
      <c r="A1090" s="204"/>
      <c r="B1090" s="209"/>
      <c r="C1090" s="204"/>
      <c r="D1090" s="210"/>
      <c r="E1090" s="211"/>
      <c r="F1090" s="211"/>
      <c r="G1090" s="212"/>
      <c r="H1090" s="212"/>
      <c r="I1090" s="204"/>
      <c r="J1090" s="204"/>
      <c r="K1090" s="204"/>
      <c r="L1090" s="204"/>
      <c r="M1090" s="204"/>
      <c r="N1090" s="204"/>
      <c r="O1090" s="204"/>
      <c r="P1090" s="204"/>
      <c r="Q1090" s="204"/>
      <c r="R1090" s="204"/>
      <c r="S1090" s="204"/>
      <c r="T1090" s="204"/>
      <c r="U1090" s="204"/>
      <c r="V1090" s="204"/>
      <c r="W1090" s="204"/>
      <c r="X1090" s="204"/>
      <c r="Y1090" s="204"/>
      <c r="Z1090" s="204"/>
      <c r="AA1090" s="204"/>
      <c r="AB1090" s="204"/>
      <c r="AC1090" s="204"/>
      <c r="AD1090" s="204"/>
      <c r="AE1090" s="204"/>
      <c r="AF1090" s="204"/>
      <c r="AG1090" s="204"/>
      <c r="AH1090" s="204"/>
      <c r="AI1090" s="209"/>
      <c r="AJ1090" s="209"/>
      <c r="AK1090" s="204"/>
      <c r="AL1090" s="204"/>
      <c r="AM1090" s="204"/>
    </row>
    <row r="1091">
      <c r="A1091" s="204"/>
      <c r="B1091" s="209"/>
      <c r="C1091" s="204"/>
      <c r="D1091" s="210"/>
      <c r="E1091" s="211"/>
      <c r="F1091" s="211"/>
      <c r="G1091" s="212"/>
      <c r="H1091" s="212"/>
      <c r="I1091" s="204"/>
      <c r="J1091" s="204"/>
      <c r="K1091" s="204"/>
      <c r="L1091" s="204"/>
      <c r="M1091" s="204"/>
      <c r="N1091" s="204"/>
      <c r="O1091" s="204"/>
      <c r="P1091" s="204"/>
      <c r="Q1091" s="204"/>
      <c r="R1091" s="204"/>
      <c r="S1091" s="204"/>
      <c r="T1091" s="204"/>
      <c r="U1091" s="204"/>
      <c r="V1091" s="204"/>
      <c r="W1091" s="204"/>
      <c r="X1091" s="204"/>
      <c r="Y1091" s="204"/>
      <c r="Z1091" s="204"/>
      <c r="AA1091" s="204"/>
      <c r="AB1091" s="204"/>
      <c r="AC1091" s="204"/>
      <c r="AD1091" s="204"/>
      <c r="AE1091" s="204"/>
      <c r="AF1091" s="204"/>
      <c r="AG1091" s="204"/>
      <c r="AH1091" s="204"/>
      <c r="AI1091" s="209"/>
      <c r="AJ1091" s="209"/>
      <c r="AK1091" s="204"/>
      <c r="AL1091" s="204"/>
      <c r="AM1091" s="204"/>
    </row>
    <row r="1092">
      <c r="A1092" s="204"/>
      <c r="B1092" s="209"/>
      <c r="C1092" s="204"/>
      <c r="D1092" s="210"/>
      <c r="E1092" s="211"/>
      <c r="F1092" s="211"/>
      <c r="G1092" s="212"/>
      <c r="H1092" s="212"/>
      <c r="I1092" s="204"/>
      <c r="J1092" s="204"/>
      <c r="K1092" s="204"/>
      <c r="L1092" s="204"/>
      <c r="M1092" s="204"/>
      <c r="N1092" s="204"/>
      <c r="O1092" s="204"/>
      <c r="P1092" s="204"/>
      <c r="Q1092" s="204"/>
      <c r="R1092" s="204"/>
      <c r="S1092" s="204"/>
      <c r="T1092" s="204"/>
      <c r="U1092" s="204"/>
      <c r="V1092" s="204"/>
      <c r="W1092" s="204"/>
      <c r="X1092" s="204"/>
      <c r="Y1092" s="204"/>
      <c r="Z1092" s="204"/>
      <c r="AA1092" s="204"/>
      <c r="AB1092" s="204"/>
      <c r="AC1092" s="204"/>
      <c r="AD1092" s="204"/>
      <c r="AE1092" s="204"/>
      <c r="AF1092" s="204"/>
      <c r="AG1092" s="204"/>
      <c r="AH1092" s="204"/>
      <c r="AI1092" s="209"/>
      <c r="AJ1092" s="209"/>
      <c r="AK1092" s="204"/>
      <c r="AL1092" s="204"/>
      <c r="AM1092" s="204"/>
    </row>
    <row r="1093">
      <c r="A1093" s="204"/>
      <c r="B1093" s="209"/>
      <c r="C1093" s="204"/>
      <c r="D1093" s="210"/>
      <c r="E1093" s="211"/>
      <c r="F1093" s="211"/>
      <c r="G1093" s="212"/>
      <c r="H1093" s="212"/>
      <c r="I1093" s="204"/>
      <c r="J1093" s="204"/>
      <c r="K1093" s="204"/>
      <c r="L1093" s="204"/>
      <c r="M1093" s="204"/>
      <c r="N1093" s="204"/>
      <c r="O1093" s="204"/>
      <c r="P1093" s="204"/>
      <c r="Q1093" s="204"/>
      <c r="R1093" s="204"/>
      <c r="S1093" s="204"/>
      <c r="T1093" s="204"/>
      <c r="U1093" s="204"/>
      <c r="V1093" s="204"/>
      <c r="W1093" s="204"/>
      <c r="X1093" s="204"/>
      <c r="Y1093" s="204"/>
      <c r="Z1093" s="204"/>
      <c r="AA1093" s="204"/>
      <c r="AB1093" s="204"/>
      <c r="AC1093" s="204"/>
      <c r="AD1093" s="204"/>
      <c r="AE1093" s="204"/>
      <c r="AF1093" s="204"/>
      <c r="AG1093" s="204"/>
      <c r="AH1093" s="204"/>
      <c r="AI1093" s="209"/>
      <c r="AJ1093" s="209"/>
      <c r="AK1093" s="204"/>
      <c r="AL1093" s="204"/>
      <c r="AM1093" s="204"/>
    </row>
    <row r="1094">
      <c r="A1094" s="204"/>
      <c r="B1094" s="209"/>
      <c r="C1094" s="204"/>
      <c r="D1094" s="210"/>
      <c r="E1094" s="211"/>
      <c r="F1094" s="211"/>
      <c r="G1094" s="212"/>
      <c r="H1094" s="212"/>
      <c r="I1094" s="204"/>
      <c r="J1094" s="204"/>
      <c r="K1094" s="204"/>
      <c r="L1094" s="204"/>
      <c r="M1094" s="204"/>
      <c r="N1094" s="204"/>
      <c r="O1094" s="204"/>
      <c r="P1094" s="204"/>
      <c r="Q1094" s="204"/>
      <c r="R1094" s="204"/>
      <c r="S1094" s="204"/>
      <c r="T1094" s="204"/>
      <c r="U1094" s="204"/>
      <c r="V1094" s="204"/>
      <c r="W1094" s="204"/>
      <c r="X1094" s="204"/>
      <c r="Y1094" s="204"/>
      <c r="Z1094" s="204"/>
      <c r="AA1094" s="204"/>
      <c r="AB1094" s="204"/>
      <c r="AC1094" s="204"/>
      <c r="AD1094" s="204"/>
      <c r="AE1094" s="204"/>
      <c r="AF1094" s="204"/>
      <c r="AG1094" s="204"/>
      <c r="AH1094" s="204"/>
      <c r="AI1094" s="209"/>
      <c r="AJ1094" s="209"/>
      <c r="AK1094" s="204"/>
      <c r="AL1094" s="204"/>
      <c r="AM1094" s="204"/>
    </row>
    <row r="1095">
      <c r="A1095" s="204"/>
      <c r="B1095" s="209"/>
      <c r="C1095" s="204"/>
      <c r="D1095" s="210"/>
      <c r="E1095" s="211"/>
      <c r="F1095" s="211"/>
      <c r="G1095" s="212"/>
      <c r="H1095" s="212"/>
      <c r="I1095" s="204"/>
      <c r="J1095" s="204"/>
      <c r="K1095" s="204"/>
      <c r="L1095" s="204"/>
      <c r="M1095" s="204"/>
      <c r="N1095" s="204"/>
      <c r="O1095" s="204"/>
      <c r="P1095" s="204"/>
      <c r="Q1095" s="204"/>
      <c r="R1095" s="204"/>
      <c r="S1095" s="204"/>
      <c r="T1095" s="204"/>
      <c r="U1095" s="204"/>
      <c r="V1095" s="204"/>
      <c r="W1095" s="204"/>
      <c r="X1095" s="204"/>
      <c r="Y1095" s="204"/>
      <c r="Z1095" s="204"/>
      <c r="AA1095" s="204"/>
      <c r="AB1095" s="204"/>
      <c r="AC1095" s="204"/>
      <c r="AD1095" s="204"/>
      <c r="AE1095" s="204"/>
      <c r="AF1095" s="204"/>
      <c r="AG1095" s="204"/>
      <c r="AH1095" s="204"/>
      <c r="AI1095" s="209"/>
      <c r="AJ1095" s="209"/>
      <c r="AK1095" s="204"/>
      <c r="AL1095" s="204"/>
      <c r="AM1095" s="204"/>
    </row>
    <row r="1096">
      <c r="A1096" s="204"/>
      <c r="B1096" s="209"/>
      <c r="C1096" s="204"/>
      <c r="D1096" s="210"/>
      <c r="E1096" s="211"/>
      <c r="F1096" s="211"/>
      <c r="G1096" s="212"/>
      <c r="H1096" s="212"/>
      <c r="I1096" s="204"/>
      <c r="J1096" s="204"/>
      <c r="K1096" s="204"/>
      <c r="L1096" s="204"/>
      <c r="M1096" s="204"/>
      <c r="N1096" s="204"/>
      <c r="O1096" s="204"/>
      <c r="P1096" s="204"/>
      <c r="Q1096" s="204"/>
      <c r="R1096" s="204"/>
      <c r="S1096" s="204"/>
      <c r="T1096" s="204"/>
      <c r="U1096" s="204"/>
      <c r="V1096" s="204"/>
      <c r="W1096" s="204"/>
      <c r="X1096" s="204"/>
      <c r="Y1096" s="204"/>
      <c r="Z1096" s="204"/>
      <c r="AA1096" s="204"/>
      <c r="AB1096" s="204"/>
      <c r="AC1096" s="204"/>
      <c r="AD1096" s="204"/>
      <c r="AE1096" s="204"/>
      <c r="AF1096" s="204"/>
      <c r="AG1096" s="204"/>
      <c r="AH1096" s="204"/>
      <c r="AI1096" s="209"/>
      <c r="AJ1096" s="209"/>
      <c r="AK1096" s="204"/>
      <c r="AL1096" s="204"/>
      <c r="AM1096" s="204"/>
    </row>
    <row r="1097">
      <c r="A1097" s="204"/>
      <c r="B1097" s="209"/>
      <c r="C1097" s="204"/>
      <c r="D1097" s="210"/>
      <c r="E1097" s="211"/>
      <c r="F1097" s="211"/>
      <c r="G1097" s="212"/>
      <c r="H1097" s="212"/>
      <c r="I1097" s="204"/>
      <c r="J1097" s="204"/>
      <c r="K1097" s="204"/>
      <c r="L1097" s="204"/>
      <c r="M1097" s="204"/>
      <c r="N1097" s="204"/>
      <c r="O1097" s="204"/>
      <c r="P1097" s="204"/>
      <c r="Q1097" s="204"/>
      <c r="R1097" s="204"/>
      <c r="S1097" s="204"/>
      <c r="T1097" s="204"/>
      <c r="U1097" s="204"/>
      <c r="V1097" s="204"/>
      <c r="W1097" s="204"/>
      <c r="X1097" s="204"/>
      <c r="Y1097" s="204"/>
      <c r="Z1097" s="204"/>
      <c r="AA1097" s="204"/>
      <c r="AB1097" s="204"/>
      <c r="AC1097" s="204"/>
      <c r="AD1097" s="204"/>
      <c r="AE1097" s="204"/>
      <c r="AF1097" s="204"/>
      <c r="AG1097" s="204"/>
      <c r="AH1097" s="204"/>
      <c r="AI1097" s="209"/>
      <c r="AJ1097" s="209"/>
      <c r="AK1097" s="204"/>
      <c r="AL1097" s="204"/>
      <c r="AM1097" s="204"/>
    </row>
    <row r="1098">
      <c r="A1098" s="204"/>
      <c r="B1098" s="209"/>
      <c r="C1098" s="204"/>
      <c r="D1098" s="210"/>
      <c r="E1098" s="211"/>
      <c r="F1098" s="211"/>
      <c r="G1098" s="212"/>
      <c r="H1098" s="212"/>
      <c r="I1098" s="204"/>
      <c r="J1098" s="204"/>
      <c r="K1098" s="204"/>
      <c r="L1098" s="204"/>
      <c r="M1098" s="204"/>
      <c r="N1098" s="204"/>
      <c r="O1098" s="204"/>
      <c r="P1098" s="204"/>
      <c r="Q1098" s="204"/>
      <c r="R1098" s="204"/>
      <c r="S1098" s="204"/>
      <c r="T1098" s="204"/>
      <c r="U1098" s="204"/>
      <c r="V1098" s="204"/>
      <c r="W1098" s="204"/>
      <c r="X1098" s="204"/>
      <c r="Y1098" s="204"/>
      <c r="Z1098" s="204"/>
      <c r="AA1098" s="204"/>
      <c r="AB1098" s="204"/>
      <c r="AC1098" s="204"/>
      <c r="AD1098" s="204"/>
      <c r="AE1098" s="204"/>
      <c r="AF1098" s="204"/>
      <c r="AG1098" s="204"/>
      <c r="AH1098" s="204"/>
      <c r="AI1098" s="209"/>
      <c r="AJ1098" s="209"/>
      <c r="AK1098" s="204"/>
      <c r="AL1098" s="204"/>
      <c r="AM1098" s="204"/>
    </row>
    <row r="1099">
      <c r="A1099" s="204"/>
      <c r="B1099" s="209"/>
      <c r="C1099" s="204"/>
      <c r="D1099" s="210"/>
      <c r="E1099" s="211"/>
      <c r="F1099" s="211"/>
      <c r="G1099" s="212"/>
      <c r="H1099" s="212"/>
      <c r="I1099" s="204"/>
      <c r="J1099" s="204"/>
      <c r="K1099" s="204"/>
      <c r="L1099" s="204"/>
      <c r="M1099" s="204"/>
      <c r="N1099" s="204"/>
      <c r="O1099" s="204"/>
      <c r="P1099" s="204"/>
      <c r="Q1099" s="204"/>
      <c r="R1099" s="204"/>
      <c r="S1099" s="204"/>
      <c r="T1099" s="204"/>
      <c r="U1099" s="204"/>
      <c r="V1099" s="204"/>
      <c r="W1099" s="204"/>
      <c r="X1099" s="204"/>
      <c r="Y1099" s="204"/>
      <c r="Z1099" s="204"/>
      <c r="AA1099" s="204"/>
      <c r="AB1099" s="204"/>
      <c r="AC1099" s="204"/>
      <c r="AD1099" s="204"/>
      <c r="AE1099" s="204"/>
      <c r="AF1099" s="204"/>
      <c r="AG1099" s="204"/>
      <c r="AH1099" s="204"/>
      <c r="AI1099" s="209"/>
      <c r="AJ1099" s="209"/>
      <c r="AK1099" s="204"/>
      <c r="AL1099" s="204"/>
      <c r="AM1099" s="204"/>
    </row>
    <row r="1100">
      <c r="A1100" s="204"/>
      <c r="B1100" s="209"/>
      <c r="C1100" s="204"/>
      <c r="D1100" s="210"/>
      <c r="E1100" s="211"/>
      <c r="F1100" s="211"/>
      <c r="G1100" s="212"/>
      <c r="H1100" s="212"/>
      <c r="I1100" s="204"/>
      <c r="J1100" s="204"/>
      <c r="K1100" s="204"/>
      <c r="L1100" s="204"/>
      <c r="M1100" s="204"/>
      <c r="N1100" s="204"/>
      <c r="O1100" s="204"/>
      <c r="P1100" s="204"/>
      <c r="Q1100" s="204"/>
      <c r="R1100" s="204"/>
      <c r="S1100" s="204"/>
      <c r="T1100" s="204"/>
      <c r="U1100" s="204"/>
      <c r="V1100" s="204"/>
      <c r="W1100" s="204"/>
      <c r="X1100" s="204"/>
      <c r="Y1100" s="204"/>
      <c r="Z1100" s="204"/>
      <c r="AA1100" s="204"/>
      <c r="AB1100" s="204"/>
      <c r="AC1100" s="204"/>
      <c r="AD1100" s="204"/>
      <c r="AE1100" s="204"/>
      <c r="AF1100" s="204"/>
      <c r="AG1100" s="204"/>
      <c r="AH1100" s="204"/>
      <c r="AI1100" s="209"/>
      <c r="AJ1100" s="209"/>
      <c r="AK1100" s="204"/>
      <c r="AL1100" s="204"/>
      <c r="AM1100" s="204"/>
    </row>
    <row r="1101">
      <c r="A1101" s="204"/>
      <c r="B1101" s="209"/>
      <c r="C1101" s="204"/>
      <c r="D1101" s="210"/>
      <c r="E1101" s="211"/>
      <c r="F1101" s="211"/>
      <c r="G1101" s="212"/>
      <c r="H1101" s="212"/>
      <c r="I1101" s="204"/>
      <c r="J1101" s="204"/>
      <c r="K1101" s="204"/>
      <c r="L1101" s="204"/>
      <c r="M1101" s="204"/>
      <c r="N1101" s="204"/>
      <c r="O1101" s="204"/>
      <c r="P1101" s="204"/>
      <c r="Q1101" s="204"/>
      <c r="R1101" s="204"/>
      <c r="S1101" s="204"/>
      <c r="T1101" s="204"/>
      <c r="U1101" s="204"/>
      <c r="V1101" s="204"/>
      <c r="W1101" s="204"/>
      <c r="X1101" s="204"/>
      <c r="Y1101" s="204"/>
      <c r="Z1101" s="204"/>
      <c r="AA1101" s="204"/>
      <c r="AB1101" s="204"/>
      <c r="AC1101" s="204"/>
      <c r="AD1101" s="204"/>
      <c r="AE1101" s="204"/>
      <c r="AF1101" s="204"/>
      <c r="AG1101" s="204"/>
      <c r="AH1101" s="204"/>
      <c r="AI1101" s="209"/>
      <c r="AJ1101" s="209"/>
      <c r="AK1101" s="204"/>
      <c r="AL1101" s="204"/>
      <c r="AM1101" s="204"/>
    </row>
    <row r="1102">
      <c r="A1102" s="204"/>
      <c r="B1102" s="209"/>
      <c r="C1102" s="204"/>
      <c r="D1102" s="210"/>
      <c r="E1102" s="211"/>
      <c r="F1102" s="211"/>
      <c r="G1102" s="212"/>
      <c r="H1102" s="212"/>
      <c r="I1102" s="204"/>
      <c r="J1102" s="204"/>
      <c r="K1102" s="204"/>
      <c r="L1102" s="204"/>
      <c r="M1102" s="204"/>
      <c r="N1102" s="204"/>
      <c r="O1102" s="204"/>
      <c r="P1102" s="204"/>
      <c r="Q1102" s="204"/>
      <c r="R1102" s="204"/>
      <c r="S1102" s="204"/>
      <c r="T1102" s="204"/>
      <c r="U1102" s="204"/>
      <c r="V1102" s="204"/>
      <c r="W1102" s="204"/>
      <c r="X1102" s="204"/>
      <c r="Y1102" s="204"/>
      <c r="Z1102" s="204"/>
      <c r="AA1102" s="204"/>
      <c r="AB1102" s="204"/>
      <c r="AC1102" s="204"/>
      <c r="AD1102" s="204"/>
      <c r="AE1102" s="204"/>
      <c r="AF1102" s="204"/>
      <c r="AG1102" s="204"/>
      <c r="AH1102" s="204"/>
      <c r="AI1102" s="209"/>
      <c r="AJ1102" s="209"/>
      <c r="AK1102" s="204"/>
      <c r="AL1102" s="204"/>
      <c r="AM1102" s="204"/>
    </row>
    <row r="1103">
      <c r="A1103" s="204"/>
      <c r="B1103" s="209"/>
      <c r="C1103" s="204"/>
      <c r="D1103" s="210"/>
      <c r="E1103" s="211"/>
      <c r="F1103" s="211"/>
      <c r="G1103" s="212"/>
      <c r="H1103" s="212"/>
      <c r="I1103" s="204"/>
      <c r="J1103" s="204"/>
      <c r="K1103" s="204"/>
      <c r="L1103" s="204"/>
      <c r="M1103" s="204"/>
      <c r="N1103" s="204"/>
      <c r="O1103" s="204"/>
      <c r="P1103" s="204"/>
      <c r="Q1103" s="204"/>
      <c r="R1103" s="204"/>
      <c r="S1103" s="204"/>
      <c r="T1103" s="204"/>
      <c r="U1103" s="204"/>
      <c r="V1103" s="204"/>
      <c r="W1103" s="204"/>
      <c r="X1103" s="204"/>
      <c r="Y1103" s="204"/>
      <c r="Z1103" s="204"/>
      <c r="AA1103" s="204"/>
      <c r="AB1103" s="204"/>
      <c r="AC1103" s="204"/>
      <c r="AD1103" s="204"/>
      <c r="AE1103" s="204"/>
      <c r="AF1103" s="204"/>
      <c r="AG1103" s="204"/>
      <c r="AH1103" s="204"/>
      <c r="AI1103" s="209"/>
      <c r="AJ1103" s="209"/>
      <c r="AK1103" s="204"/>
      <c r="AL1103" s="204"/>
      <c r="AM1103" s="204"/>
    </row>
    <row r="1104">
      <c r="A1104" s="204"/>
      <c r="B1104" s="209"/>
      <c r="C1104" s="204"/>
      <c r="D1104" s="210"/>
      <c r="E1104" s="211"/>
      <c r="F1104" s="211"/>
      <c r="G1104" s="212"/>
      <c r="H1104" s="212"/>
      <c r="I1104" s="204"/>
      <c r="J1104" s="204"/>
      <c r="K1104" s="204"/>
      <c r="L1104" s="204"/>
      <c r="M1104" s="204"/>
      <c r="N1104" s="204"/>
      <c r="O1104" s="204"/>
      <c r="P1104" s="204"/>
      <c r="Q1104" s="204"/>
      <c r="R1104" s="204"/>
      <c r="S1104" s="204"/>
      <c r="T1104" s="204"/>
      <c r="U1104" s="204"/>
      <c r="V1104" s="204"/>
      <c r="W1104" s="204"/>
      <c r="X1104" s="204"/>
      <c r="Y1104" s="204"/>
      <c r="Z1104" s="204"/>
      <c r="AA1104" s="204"/>
      <c r="AB1104" s="204"/>
      <c r="AC1104" s="204"/>
      <c r="AD1104" s="204"/>
      <c r="AE1104" s="204"/>
      <c r="AF1104" s="204"/>
      <c r="AG1104" s="204"/>
      <c r="AH1104" s="204"/>
      <c r="AI1104" s="209"/>
      <c r="AJ1104" s="209"/>
      <c r="AK1104" s="204"/>
      <c r="AL1104" s="204"/>
      <c r="AM1104" s="204"/>
    </row>
    <row r="1105">
      <c r="A1105" s="204"/>
      <c r="B1105" s="209"/>
      <c r="C1105" s="204"/>
      <c r="D1105" s="210"/>
      <c r="E1105" s="211"/>
      <c r="F1105" s="211"/>
      <c r="G1105" s="212"/>
      <c r="H1105" s="212"/>
      <c r="I1105" s="204"/>
      <c r="J1105" s="204"/>
      <c r="K1105" s="204"/>
      <c r="L1105" s="204"/>
      <c r="M1105" s="204"/>
      <c r="N1105" s="204"/>
      <c r="O1105" s="204"/>
      <c r="P1105" s="204"/>
      <c r="Q1105" s="204"/>
      <c r="R1105" s="204"/>
      <c r="S1105" s="204"/>
      <c r="T1105" s="204"/>
      <c r="U1105" s="204"/>
      <c r="V1105" s="204"/>
      <c r="W1105" s="204"/>
      <c r="X1105" s="204"/>
      <c r="Y1105" s="204"/>
      <c r="Z1105" s="204"/>
      <c r="AA1105" s="204"/>
      <c r="AB1105" s="204"/>
      <c r="AC1105" s="204"/>
      <c r="AD1105" s="204"/>
      <c r="AE1105" s="204"/>
      <c r="AF1105" s="204"/>
      <c r="AG1105" s="204"/>
      <c r="AH1105" s="204"/>
      <c r="AI1105" s="209"/>
      <c r="AJ1105" s="209"/>
      <c r="AK1105" s="204"/>
      <c r="AL1105" s="204"/>
      <c r="AM1105" s="204"/>
    </row>
    <row r="1106">
      <c r="A1106" s="204"/>
      <c r="B1106" s="209"/>
      <c r="C1106" s="204"/>
      <c r="D1106" s="210"/>
      <c r="E1106" s="211"/>
      <c r="F1106" s="211"/>
      <c r="G1106" s="212"/>
      <c r="H1106" s="212"/>
      <c r="I1106" s="204"/>
      <c r="J1106" s="204"/>
      <c r="K1106" s="204"/>
      <c r="L1106" s="204"/>
      <c r="M1106" s="204"/>
      <c r="N1106" s="204"/>
      <c r="O1106" s="204"/>
      <c r="P1106" s="204"/>
      <c r="Q1106" s="204"/>
      <c r="R1106" s="204"/>
      <c r="S1106" s="204"/>
      <c r="T1106" s="204"/>
      <c r="U1106" s="204"/>
      <c r="V1106" s="204"/>
      <c r="W1106" s="204"/>
      <c r="X1106" s="204"/>
      <c r="Y1106" s="204"/>
      <c r="Z1106" s="204"/>
      <c r="AA1106" s="204"/>
      <c r="AB1106" s="204"/>
      <c r="AC1106" s="204"/>
      <c r="AD1106" s="204"/>
      <c r="AE1106" s="204"/>
      <c r="AF1106" s="204"/>
      <c r="AG1106" s="204"/>
      <c r="AH1106" s="204"/>
      <c r="AI1106" s="209"/>
      <c r="AJ1106" s="209"/>
      <c r="AK1106" s="204"/>
      <c r="AL1106" s="204"/>
      <c r="AM1106" s="204"/>
    </row>
    <row r="1107">
      <c r="A1107" s="204"/>
      <c r="B1107" s="209"/>
      <c r="C1107" s="204"/>
      <c r="D1107" s="210"/>
      <c r="E1107" s="211"/>
      <c r="F1107" s="211"/>
      <c r="G1107" s="212"/>
      <c r="H1107" s="212"/>
      <c r="I1107" s="204"/>
      <c r="J1107" s="204"/>
      <c r="K1107" s="204"/>
      <c r="L1107" s="204"/>
      <c r="M1107" s="204"/>
      <c r="N1107" s="204"/>
      <c r="O1107" s="204"/>
      <c r="P1107" s="204"/>
      <c r="Q1107" s="204"/>
      <c r="R1107" s="204"/>
      <c r="S1107" s="204"/>
      <c r="T1107" s="204"/>
      <c r="U1107" s="204"/>
      <c r="V1107" s="204"/>
      <c r="W1107" s="204"/>
      <c r="X1107" s="204"/>
      <c r="Y1107" s="204"/>
      <c r="Z1107" s="204"/>
      <c r="AA1107" s="204"/>
      <c r="AB1107" s="204"/>
      <c r="AC1107" s="204"/>
      <c r="AD1107" s="204"/>
      <c r="AE1107" s="204"/>
      <c r="AF1107" s="204"/>
      <c r="AG1107" s="204"/>
      <c r="AH1107" s="204"/>
      <c r="AI1107" s="209"/>
      <c r="AJ1107" s="209"/>
      <c r="AK1107" s="204"/>
      <c r="AL1107" s="204"/>
      <c r="AM1107" s="204"/>
    </row>
    <row r="1108">
      <c r="A1108" s="204"/>
      <c r="B1108" s="209"/>
      <c r="C1108" s="204"/>
      <c r="D1108" s="210"/>
      <c r="E1108" s="211"/>
      <c r="F1108" s="211"/>
      <c r="G1108" s="212"/>
      <c r="H1108" s="212"/>
      <c r="I1108" s="204"/>
      <c r="J1108" s="204"/>
      <c r="K1108" s="204"/>
      <c r="L1108" s="204"/>
      <c r="M1108" s="204"/>
      <c r="N1108" s="204"/>
      <c r="O1108" s="204"/>
      <c r="P1108" s="204"/>
      <c r="Q1108" s="204"/>
      <c r="R1108" s="204"/>
      <c r="S1108" s="204"/>
      <c r="T1108" s="204"/>
      <c r="U1108" s="204"/>
      <c r="V1108" s="204"/>
      <c r="W1108" s="204"/>
      <c r="X1108" s="204"/>
      <c r="Y1108" s="204"/>
      <c r="Z1108" s="204"/>
      <c r="AA1108" s="204"/>
      <c r="AB1108" s="204"/>
      <c r="AC1108" s="204"/>
      <c r="AD1108" s="204"/>
      <c r="AE1108" s="204"/>
      <c r="AF1108" s="204"/>
      <c r="AG1108" s="204"/>
      <c r="AH1108" s="204"/>
      <c r="AI1108" s="209"/>
      <c r="AJ1108" s="209"/>
      <c r="AK1108" s="204"/>
      <c r="AL1108" s="204"/>
      <c r="AM1108" s="204"/>
    </row>
    <row r="1109">
      <c r="A1109" s="204"/>
      <c r="B1109" s="209"/>
      <c r="C1109" s="204"/>
      <c r="D1109" s="210"/>
      <c r="E1109" s="211"/>
      <c r="F1109" s="211"/>
      <c r="G1109" s="212"/>
      <c r="H1109" s="212"/>
      <c r="I1109" s="204"/>
      <c r="J1109" s="204"/>
      <c r="K1109" s="204"/>
      <c r="L1109" s="204"/>
      <c r="M1109" s="204"/>
      <c r="N1109" s="204"/>
      <c r="O1109" s="204"/>
      <c r="P1109" s="204"/>
      <c r="Q1109" s="204"/>
      <c r="R1109" s="204"/>
      <c r="S1109" s="204"/>
      <c r="T1109" s="204"/>
      <c r="U1109" s="204"/>
      <c r="V1109" s="204"/>
      <c r="W1109" s="204"/>
      <c r="X1109" s="204"/>
      <c r="Y1109" s="204"/>
      <c r="Z1109" s="204"/>
      <c r="AA1109" s="204"/>
      <c r="AB1109" s="204"/>
      <c r="AC1109" s="204"/>
      <c r="AD1109" s="204"/>
      <c r="AE1109" s="204"/>
      <c r="AF1109" s="204"/>
      <c r="AG1109" s="204"/>
      <c r="AH1109" s="204"/>
      <c r="AI1109" s="209"/>
      <c r="AJ1109" s="209"/>
      <c r="AK1109" s="204"/>
      <c r="AL1109" s="204"/>
      <c r="AM1109" s="204"/>
    </row>
    <row r="1110">
      <c r="A1110" s="204"/>
      <c r="B1110" s="209"/>
      <c r="C1110" s="204"/>
      <c r="D1110" s="210"/>
      <c r="E1110" s="211"/>
      <c r="F1110" s="211"/>
      <c r="G1110" s="212"/>
      <c r="H1110" s="212"/>
      <c r="I1110" s="204"/>
      <c r="J1110" s="204"/>
      <c r="K1110" s="204"/>
      <c r="L1110" s="204"/>
      <c r="M1110" s="204"/>
      <c r="N1110" s="204"/>
      <c r="O1110" s="204"/>
      <c r="P1110" s="204"/>
      <c r="Q1110" s="204"/>
      <c r="R1110" s="204"/>
      <c r="S1110" s="204"/>
      <c r="T1110" s="204"/>
      <c r="U1110" s="204"/>
      <c r="V1110" s="204"/>
      <c r="W1110" s="204"/>
      <c r="X1110" s="204"/>
      <c r="Y1110" s="204"/>
      <c r="Z1110" s="204"/>
      <c r="AA1110" s="204"/>
      <c r="AB1110" s="204"/>
      <c r="AC1110" s="204"/>
      <c r="AD1110" s="204"/>
      <c r="AE1110" s="204"/>
      <c r="AF1110" s="204"/>
      <c r="AG1110" s="204"/>
      <c r="AH1110" s="204"/>
      <c r="AI1110" s="209"/>
      <c r="AJ1110" s="209"/>
      <c r="AK1110" s="204"/>
      <c r="AL1110" s="204"/>
      <c r="AM1110" s="204"/>
    </row>
    <row r="1111">
      <c r="A1111" s="204"/>
      <c r="B1111" s="209"/>
      <c r="C1111" s="204"/>
      <c r="D1111" s="210"/>
      <c r="E1111" s="211"/>
      <c r="F1111" s="211"/>
      <c r="G1111" s="212"/>
      <c r="H1111" s="212"/>
      <c r="I1111" s="204"/>
      <c r="J1111" s="204"/>
      <c r="K1111" s="204"/>
      <c r="L1111" s="204"/>
      <c r="M1111" s="204"/>
      <c r="N1111" s="204"/>
      <c r="O1111" s="204"/>
      <c r="P1111" s="204"/>
      <c r="Q1111" s="204"/>
      <c r="R1111" s="204"/>
      <c r="S1111" s="204"/>
      <c r="T1111" s="204"/>
      <c r="U1111" s="204"/>
      <c r="V1111" s="204"/>
      <c r="W1111" s="204"/>
      <c r="X1111" s="204"/>
      <c r="Y1111" s="204"/>
      <c r="Z1111" s="204"/>
      <c r="AA1111" s="204"/>
      <c r="AB1111" s="204"/>
      <c r="AC1111" s="204"/>
      <c r="AD1111" s="204"/>
      <c r="AE1111" s="204"/>
      <c r="AF1111" s="204"/>
      <c r="AG1111" s="204"/>
      <c r="AH1111" s="204"/>
      <c r="AI1111" s="209"/>
      <c r="AJ1111" s="209"/>
      <c r="AK1111" s="204"/>
      <c r="AL1111" s="204"/>
      <c r="AM1111" s="204"/>
    </row>
    <row r="1112">
      <c r="A1112" s="204"/>
      <c r="B1112" s="209"/>
      <c r="C1112" s="204"/>
      <c r="D1112" s="210"/>
      <c r="E1112" s="211"/>
      <c r="F1112" s="211"/>
      <c r="G1112" s="212"/>
      <c r="H1112" s="212"/>
      <c r="I1112" s="204"/>
      <c r="J1112" s="204"/>
      <c r="K1112" s="204"/>
      <c r="L1112" s="204"/>
      <c r="M1112" s="204"/>
      <c r="N1112" s="204"/>
      <c r="O1112" s="204"/>
      <c r="P1112" s="204"/>
      <c r="Q1112" s="204"/>
      <c r="R1112" s="204"/>
      <c r="S1112" s="204"/>
      <c r="T1112" s="204"/>
      <c r="U1112" s="204"/>
      <c r="V1112" s="204"/>
      <c r="W1112" s="204"/>
      <c r="X1112" s="204"/>
      <c r="Y1112" s="204"/>
      <c r="Z1112" s="204"/>
      <c r="AA1112" s="204"/>
      <c r="AB1112" s="204"/>
      <c r="AC1112" s="204"/>
      <c r="AD1112" s="204"/>
      <c r="AE1112" s="204"/>
      <c r="AF1112" s="204"/>
      <c r="AG1112" s="204"/>
      <c r="AH1112" s="204"/>
      <c r="AI1112" s="209"/>
      <c r="AJ1112" s="209"/>
      <c r="AK1112" s="204"/>
      <c r="AL1112" s="204"/>
      <c r="AM1112" s="204"/>
    </row>
    <row r="1113">
      <c r="A1113" s="204"/>
      <c r="B1113" s="209"/>
      <c r="C1113" s="204"/>
      <c r="D1113" s="210"/>
      <c r="E1113" s="211"/>
      <c r="F1113" s="211"/>
      <c r="G1113" s="212"/>
      <c r="H1113" s="212"/>
      <c r="I1113" s="204"/>
      <c r="J1113" s="204"/>
      <c r="K1113" s="204"/>
      <c r="L1113" s="204"/>
      <c r="M1113" s="204"/>
      <c r="N1113" s="204"/>
      <c r="O1113" s="204"/>
      <c r="P1113" s="204"/>
      <c r="Q1113" s="204"/>
      <c r="R1113" s="204"/>
      <c r="S1113" s="204"/>
      <c r="T1113" s="204"/>
      <c r="U1113" s="204"/>
      <c r="V1113" s="204"/>
      <c r="W1113" s="204"/>
      <c r="X1113" s="204"/>
      <c r="Y1113" s="204"/>
      <c r="Z1113" s="204"/>
      <c r="AA1113" s="204"/>
      <c r="AB1113" s="204"/>
      <c r="AC1113" s="204"/>
      <c r="AD1113" s="204"/>
      <c r="AE1113" s="204"/>
      <c r="AF1113" s="204"/>
      <c r="AG1113" s="204"/>
      <c r="AH1113" s="204"/>
      <c r="AI1113" s="209"/>
      <c r="AJ1113" s="209"/>
      <c r="AK1113" s="204"/>
      <c r="AL1113" s="204"/>
      <c r="AM1113" s="204"/>
    </row>
    <row r="1114">
      <c r="A1114" s="204"/>
      <c r="B1114" s="209"/>
      <c r="C1114" s="204"/>
      <c r="D1114" s="210"/>
      <c r="E1114" s="211"/>
      <c r="F1114" s="211"/>
      <c r="G1114" s="212"/>
      <c r="H1114" s="212"/>
      <c r="I1114" s="204"/>
      <c r="J1114" s="204"/>
      <c r="K1114" s="204"/>
      <c r="L1114" s="204"/>
      <c r="M1114" s="204"/>
      <c r="N1114" s="204"/>
      <c r="O1114" s="204"/>
      <c r="P1114" s="204"/>
      <c r="Q1114" s="204"/>
      <c r="R1114" s="204"/>
      <c r="S1114" s="204"/>
      <c r="T1114" s="204"/>
      <c r="U1114" s="204"/>
      <c r="V1114" s="204"/>
      <c r="W1114" s="204"/>
      <c r="X1114" s="204"/>
      <c r="Y1114" s="204"/>
      <c r="Z1114" s="204"/>
      <c r="AA1114" s="204"/>
      <c r="AB1114" s="204"/>
      <c r="AC1114" s="204"/>
      <c r="AD1114" s="204"/>
      <c r="AE1114" s="204"/>
      <c r="AF1114" s="204"/>
      <c r="AG1114" s="204"/>
      <c r="AH1114" s="204"/>
      <c r="AI1114" s="209"/>
      <c r="AJ1114" s="209"/>
      <c r="AK1114" s="204"/>
      <c r="AL1114" s="204"/>
      <c r="AM1114" s="204"/>
    </row>
    <row r="1115">
      <c r="A1115" s="204"/>
      <c r="B1115" s="209"/>
      <c r="C1115" s="204"/>
      <c r="D1115" s="210"/>
      <c r="E1115" s="211"/>
      <c r="F1115" s="211"/>
      <c r="G1115" s="212"/>
      <c r="H1115" s="212"/>
      <c r="I1115" s="204"/>
      <c r="J1115" s="204"/>
      <c r="K1115" s="204"/>
      <c r="L1115" s="204"/>
      <c r="M1115" s="204"/>
      <c r="N1115" s="204"/>
      <c r="O1115" s="204"/>
      <c r="P1115" s="204"/>
      <c r="Q1115" s="204"/>
      <c r="R1115" s="204"/>
      <c r="S1115" s="204"/>
      <c r="T1115" s="204"/>
      <c r="U1115" s="204"/>
      <c r="V1115" s="204"/>
      <c r="W1115" s="204"/>
      <c r="X1115" s="204"/>
      <c r="Y1115" s="204"/>
      <c r="Z1115" s="204"/>
      <c r="AA1115" s="204"/>
      <c r="AB1115" s="204"/>
      <c r="AC1115" s="204"/>
      <c r="AD1115" s="204"/>
      <c r="AE1115" s="204"/>
      <c r="AF1115" s="204"/>
      <c r="AG1115" s="204"/>
      <c r="AH1115" s="204"/>
      <c r="AI1115" s="209"/>
      <c r="AJ1115" s="209"/>
      <c r="AK1115" s="204"/>
      <c r="AL1115" s="204"/>
      <c r="AM1115" s="204"/>
    </row>
    <row r="1116">
      <c r="A1116" s="204"/>
      <c r="B1116" s="209"/>
      <c r="C1116" s="204"/>
      <c r="D1116" s="210"/>
      <c r="E1116" s="211"/>
      <c r="F1116" s="211"/>
      <c r="G1116" s="212"/>
      <c r="H1116" s="212"/>
      <c r="I1116" s="204"/>
      <c r="J1116" s="204"/>
      <c r="K1116" s="204"/>
      <c r="L1116" s="204"/>
      <c r="M1116" s="204"/>
      <c r="N1116" s="204"/>
      <c r="O1116" s="204"/>
      <c r="P1116" s="204"/>
      <c r="Q1116" s="204"/>
      <c r="R1116" s="204"/>
      <c r="S1116" s="204"/>
      <c r="T1116" s="204"/>
      <c r="U1116" s="204"/>
      <c r="V1116" s="204"/>
      <c r="W1116" s="204"/>
      <c r="X1116" s="204"/>
      <c r="Y1116" s="204"/>
      <c r="Z1116" s="204"/>
      <c r="AA1116" s="204"/>
      <c r="AB1116" s="204"/>
      <c r="AC1116" s="204"/>
      <c r="AD1116" s="204"/>
      <c r="AE1116" s="204"/>
      <c r="AF1116" s="204"/>
      <c r="AG1116" s="204"/>
      <c r="AH1116" s="204"/>
      <c r="AI1116" s="209"/>
      <c r="AJ1116" s="209"/>
      <c r="AK1116" s="204"/>
      <c r="AL1116" s="204"/>
      <c r="AM1116" s="204"/>
    </row>
    <row r="1117">
      <c r="A1117" s="204"/>
      <c r="B1117" s="209"/>
      <c r="C1117" s="204"/>
      <c r="D1117" s="210"/>
      <c r="E1117" s="211"/>
      <c r="F1117" s="211"/>
      <c r="G1117" s="212"/>
      <c r="H1117" s="212"/>
      <c r="I1117" s="204"/>
      <c r="J1117" s="204"/>
      <c r="K1117" s="204"/>
      <c r="L1117" s="204"/>
      <c r="M1117" s="204"/>
      <c r="N1117" s="204"/>
      <c r="O1117" s="204"/>
      <c r="P1117" s="204"/>
      <c r="Q1117" s="204"/>
      <c r="R1117" s="204"/>
      <c r="S1117" s="204"/>
      <c r="T1117" s="204"/>
      <c r="U1117" s="204"/>
      <c r="V1117" s="204"/>
      <c r="W1117" s="204"/>
      <c r="X1117" s="204"/>
      <c r="Y1117" s="204"/>
      <c r="Z1117" s="204"/>
      <c r="AA1117" s="204"/>
      <c r="AB1117" s="204"/>
      <c r="AC1117" s="204"/>
      <c r="AD1117" s="204"/>
      <c r="AE1117" s="204"/>
      <c r="AF1117" s="204"/>
      <c r="AG1117" s="204"/>
      <c r="AH1117" s="204"/>
      <c r="AI1117" s="209"/>
      <c r="AJ1117" s="209"/>
      <c r="AK1117" s="204"/>
      <c r="AL1117" s="204"/>
      <c r="AM1117" s="204"/>
    </row>
    <row r="1118">
      <c r="A1118" s="204"/>
      <c r="B1118" s="209"/>
      <c r="C1118" s="204"/>
      <c r="D1118" s="210"/>
      <c r="E1118" s="211"/>
      <c r="F1118" s="211"/>
      <c r="G1118" s="212"/>
      <c r="H1118" s="212"/>
      <c r="I1118" s="204"/>
      <c r="J1118" s="204"/>
      <c r="K1118" s="204"/>
      <c r="L1118" s="204"/>
      <c r="M1118" s="204"/>
      <c r="N1118" s="204"/>
      <c r="O1118" s="204"/>
      <c r="P1118" s="204"/>
      <c r="Q1118" s="204"/>
      <c r="R1118" s="204"/>
      <c r="S1118" s="204"/>
      <c r="T1118" s="204"/>
      <c r="U1118" s="204"/>
      <c r="V1118" s="204"/>
      <c r="W1118" s="204"/>
      <c r="X1118" s="204"/>
      <c r="Y1118" s="204"/>
      <c r="Z1118" s="204"/>
      <c r="AA1118" s="204"/>
      <c r="AB1118" s="204"/>
      <c r="AC1118" s="204"/>
      <c r="AD1118" s="204"/>
      <c r="AE1118" s="204"/>
      <c r="AF1118" s="204"/>
      <c r="AG1118" s="204"/>
      <c r="AH1118" s="204"/>
      <c r="AI1118" s="209"/>
      <c r="AJ1118" s="209"/>
      <c r="AK1118" s="204"/>
      <c r="AL1118" s="204"/>
      <c r="AM1118" s="204"/>
    </row>
    <row r="1119">
      <c r="A1119" s="204"/>
      <c r="B1119" s="209"/>
      <c r="C1119" s="204"/>
      <c r="D1119" s="210"/>
      <c r="E1119" s="211"/>
      <c r="F1119" s="211"/>
      <c r="G1119" s="212"/>
      <c r="H1119" s="212"/>
      <c r="I1119" s="204"/>
      <c r="J1119" s="204"/>
      <c r="K1119" s="204"/>
      <c r="L1119" s="204"/>
      <c r="M1119" s="204"/>
      <c r="N1119" s="204"/>
      <c r="O1119" s="204"/>
      <c r="P1119" s="204"/>
      <c r="Q1119" s="204"/>
      <c r="R1119" s="204"/>
      <c r="S1119" s="204"/>
      <c r="T1119" s="204"/>
      <c r="U1119" s="204"/>
      <c r="V1119" s="204"/>
      <c r="W1119" s="204"/>
      <c r="X1119" s="204"/>
      <c r="Y1119" s="204"/>
      <c r="Z1119" s="204"/>
      <c r="AA1119" s="204"/>
      <c r="AB1119" s="204"/>
      <c r="AC1119" s="204"/>
      <c r="AD1119" s="204"/>
      <c r="AE1119" s="204"/>
      <c r="AF1119" s="204"/>
      <c r="AG1119" s="204"/>
      <c r="AH1119" s="204"/>
      <c r="AI1119" s="209"/>
      <c r="AJ1119" s="209"/>
      <c r="AK1119" s="204"/>
      <c r="AL1119" s="204"/>
      <c r="AM1119" s="204"/>
    </row>
    <row r="1120">
      <c r="A1120" s="204"/>
      <c r="B1120" s="209"/>
      <c r="C1120" s="204"/>
      <c r="D1120" s="210"/>
      <c r="E1120" s="211"/>
      <c r="F1120" s="211"/>
      <c r="G1120" s="212"/>
      <c r="H1120" s="212"/>
      <c r="I1120" s="204"/>
      <c r="J1120" s="204"/>
      <c r="K1120" s="204"/>
      <c r="L1120" s="204"/>
      <c r="M1120" s="204"/>
      <c r="N1120" s="204"/>
      <c r="O1120" s="204"/>
      <c r="P1120" s="204"/>
      <c r="Q1120" s="204"/>
      <c r="R1120" s="204"/>
      <c r="S1120" s="204"/>
      <c r="T1120" s="204"/>
      <c r="U1120" s="204"/>
      <c r="V1120" s="204"/>
      <c r="W1120" s="204"/>
      <c r="X1120" s="204"/>
      <c r="Y1120" s="204"/>
      <c r="Z1120" s="204"/>
      <c r="AA1120" s="204"/>
      <c r="AB1120" s="204"/>
      <c r="AC1120" s="204"/>
      <c r="AD1120" s="204"/>
      <c r="AE1120" s="204"/>
      <c r="AF1120" s="204"/>
      <c r="AG1120" s="204"/>
      <c r="AH1120" s="204"/>
      <c r="AI1120" s="209"/>
      <c r="AJ1120" s="209"/>
      <c r="AK1120" s="204"/>
      <c r="AL1120" s="204"/>
      <c r="AM1120" s="204"/>
    </row>
    <row r="1121">
      <c r="A1121" s="204"/>
      <c r="B1121" s="209"/>
      <c r="C1121" s="204"/>
      <c r="D1121" s="210"/>
      <c r="E1121" s="211"/>
      <c r="F1121" s="211"/>
      <c r="G1121" s="212"/>
      <c r="H1121" s="212"/>
      <c r="I1121" s="204"/>
      <c r="J1121" s="204"/>
      <c r="K1121" s="204"/>
      <c r="L1121" s="204"/>
      <c r="M1121" s="204"/>
      <c r="N1121" s="204"/>
      <c r="O1121" s="204"/>
      <c r="P1121" s="204"/>
      <c r="Q1121" s="204"/>
      <c r="R1121" s="204"/>
      <c r="S1121" s="204"/>
      <c r="T1121" s="204"/>
      <c r="U1121" s="204"/>
      <c r="V1121" s="204"/>
      <c r="W1121" s="204"/>
      <c r="X1121" s="204"/>
      <c r="Y1121" s="204"/>
      <c r="Z1121" s="204"/>
      <c r="AA1121" s="204"/>
      <c r="AB1121" s="204"/>
      <c r="AC1121" s="204"/>
      <c r="AD1121" s="204"/>
      <c r="AE1121" s="204"/>
      <c r="AF1121" s="204"/>
      <c r="AG1121" s="204"/>
      <c r="AH1121" s="204"/>
      <c r="AI1121" s="209"/>
      <c r="AJ1121" s="209"/>
      <c r="AK1121" s="204"/>
      <c r="AL1121" s="204"/>
      <c r="AM1121" s="204"/>
    </row>
    <row r="1122">
      <c r="A1122" s="204"/>
      <c r="B1122" s="209"/>
      <c r="C1122" s="204"/>
      <c r="D1122" s="210"/>
      <c r="E1122" s="211"/>
      <c r="F1122" s="211"/>
      <c r="G1122" s="212"/>
      <c r="H1122" s="212"/>
      <c r="I1122" s="204"/>
      <c r="J1122" s="204"/>
      <c r="K1122" s="204"/>
      <c r="L1122" s="204"/>
      <c r="M1122" s="204"/>
      <c r="N1122" s="204"/>
      <c r="O1122" s="204"/>
      <c r="P1122" s="204"/>
      <c r="Q1122" s="204"/>
      <c r="R1122" s="204"/>
      <c r="S1122" s="204"/>
      <c r="T1122" s="204"/>
      <c r="U1122" s="204"/>
      <c r="V1122" s="204"/>
      <c r="W1122" s="204"/>
      <c r="X1122" s="204"/>
      <c r="Y1122" s="204"/>
      <c r="Z1122" s="204"/>
      <c r="AA1122" s="204"/>
      <c r="AB1122" s="204"/>
      <c r="AC1122" s="204"/>
      <c r="AD1122" s="204"/>
      <c r="AE1122" s="204"/>
      <c r="AF1122" s="204"/>
      <c r="AG1122" s="204"/>
      <c r="AH1122" s="204"/>
      <c r="AI1122" s="209"/>
      <c r="AJ1122" s="209"/>
      <c r="AK1122" s="204"/>
      <c r="AL1122" s="204"/>
      <c r="AM1122" s="204"/>
    </row>
    <row r="1123">
      <c r="A1123" s="204"/>
      <c r="B1123" s="209"/>
      <c r="C1123" s="204"/>
      <c r="D1123" s="210"/>
      <c r="E1123" s="211"/>
      <c r="F1123" s="211"/>
      <c r="G1123" s="212"/>
      <c r="H1123" s="212"/>
      <c r="I1123" s="204"/>
      <c r="J1123" s="204"/>
      <c r="K1123" s="204"/>
      <c r="L1123" s="204"/>
      <c r="M1123" s="204"/>
      <c r="N1123" s="204"/>
      <c r="O1123" s="204"/>
      <c r="P1123" s="204"/>
      <c r="Q1123" s="204"/>
      <c r="R1123" s="204"/>
      <c r="S1123" s="204"/>
      <c r="T1123" s="204"/>
      <c r="U1123" s="204"/>
      <c r="V1123" s="204"/>
      <c r="W1123" s="204"/>
      <c r="X1123" s="204"/>
      <c r="Y1123" s="204"/>
      <c r="Z1123" s="204"/>
      <c r="AA1123" s="204"/>
      <c r="AB1123" s="204"/>
      <c r="AC1123" s="204"/>
      <c r="AD1123" s="204"/>
      <c r="AE1123" s="204"/>
      <c r="AF1123" s="204"/>
      <c r="AG1123" s="204"/>
      <c r="AH1123" s="204"/>
      <c r="AI1123" s="209"/>
      <c r="AJ1123" s="209"/>
      <c r="AK1123" s="204"/>
      <c r="AL1123" s="204"/>
      <c r="AM1123" s="204"/>
    </row>
    <row r="1124">
      <c r="A1124" s="204"/>
      <c r="B1124" s="209"/>
      <c r="C1124" s="204"/>
      <c r="D1124" s="210"/>
      <c r="E1124" s="211"/>
      <c r="F1124" s="211"/>
      <c r="G1124" s="212"/>
      <c r="H1124" s="212"/>
      <c r="I1124" s="204"/>
      <c r="J1124" s="204"/>
      <c r="K1124" s="204"/>
      <c r="L1124" s="204"/>
      <c r="M1124" s="204"/>
      <c r="N1124" s="204"/>
      <c r="O1124" s="204"/>
      <c r="P1124" s="204"/>
      <c r="Q1124" s="204"/>
      <c r="R1124" s="204"/>
      <c r="S1124" s="204"/>
      <c r="T1124" s="204"/>
      <c r="U1124" s="204"/>
      <c r="V1124" s="204"/>
      <c r="W1124" s="204"/>
      <c r="X1124" s="204"/>
      <c r="Y1124" s="204"/>
      <c r="Z1124" s="204"/>
      <c r="AA1124" s="204"/>
      <c r="AB1124" s="204"/>
      <c r="AC1124" s="204"/>
      <c r="AD1124" s="204"/>
      <c r="AE1124" s="204"/>
      <c r="AF1124" s="204"/>
      <c r="AG1124" s="204"/>
      <c r="AH1124" s="204"/>
      <c r="AI1124" s="209"/>
      <c r="AJ1124" s="209"/>
      <c r="AK1124" s="204"/>
      <c r="AL1124" s="204"/>
      <c r="AM1124" s="204"/>
    </row>
    <row r="1125">
      <c r="A1125" s="204"/>
      <c r="B1125" s="209"/>
      <c r="C1125" s="204"/>
      <c r="D1125" s="210"/>
      <c r="E1125" s="211"/>
      <c r="F1125" s="211"/>
      <c r="G1125" s="212"/>
      <c r="H1125" s="212"/>
      <c r="I1125" s="204"/>
      <c r="J1125" s="204"/>
      <c r="K1125" s="204"/>
      <c r="L1125" s="204"/>
      <c r="M1125" s="204"/>
      <c r="N1125" s="204"/>
      <c r="O1125" s="204"/>
      <c r="P1125" s="204"/>
      <c r="Q1125" s="204"/>
      <c r="R1125" s="204"/>
      <c r="S1125" s="204"/>
      <c r="T1125" s="204"/>
      <c r="U1125" s="204"/>
      <c r="V1125" s="204"/>
      <c r="W1125" s="204"/>
      <c r="X1125" s="204"/>
      <c r="Y1125" s="204"/>
      <c r="Z1125" s="204"/>
      <c r="AA1125" s="204"/>
      <c r="AB1125" s="204"/>
      <c r="AC1125" s="204"/>
      <c r="AD1125" s="204"/>
      <c r="AE1125" s="204"/>
      <c r="AF1125" s="204"/>
      <c r="AG1125" s="204"/>
      <c r="AH1125" s="204"/>
      <c r="AI1125" s="209"/>
      <c r="AJ1125" s="209"/>
      <c r="AK1125" s="204"/>
      <c r="AL1125" s="204"/>
      <c r="AM1125" s="204"/>
    </row>
    <row r="1126">
      <c r="A1126" s="204"/>
      <c r="B1126" s="209"/>
      <c r="C1126" s="204"/>
      <c r="D1126" s="210"/>
      <c r="E1126" s="211"/>
      <c r="F1126" s="211"/>
      <c r="G1126" s="212"/>
      <c r="H1126" s="212"/>
      <c r="I1126" s="204"/>
      <c r="J1126" s="204"/>
      <c r="K1126" s="204"/>
      <c r="L1126" s="204"/>
      <c r="M1126" s="204"/>
      <c r="N1126" s="204"/>
      <c r="O1126" s="204"/>
      <c r="P1126" s="204"/>
      <c r="Q1126" s="204"/>
      <c r="R1126" s="204"/>
      <c r="S1126" s="204"/>
      <c r="T1126" s="204"/>
      <c r="U1126" s="204"/>
      <c r="V1126" s="204"/>
      <c r="W1126" s="204"/>
      <c r="X1126" s="204"/>
      <c r="Y1126" s="204"/>
      <c r="Z1126" s="204"/>
      <c r="AA1126" s="204"/>
      <c r="AB1126" s="204"/>
      <c r="AC1126" s="204"/>
      <c r="AD1126" s="204"/>
      <c r="AE1126" s="204"/>
      <c r="AF1126" s="204"/>
      <c r="AG1126" s="204"/>
      <c r="AH1126" s="204"/>
      <c r="AI1126" s="209"/>
      <c r="AJ1126" s="209"/>
      <c r="AK1126" s="204"/>
      <c r="AL1126" s="204"/>
      <c r="AM1126" s="204"/>
    </row>
    <row r="1127">
      <c r="A1127" s="204"/>
      <c r="B1127" s="209"/>
      <c r="C1127" s="204"/>
      <c r="D1127" s="210"/>
      <c r="E1127" s="211"/>
      <c r="F1127" s="211"/>
      <c r="G1127" s="212"/>
      <c r="H1127" s="212"/>
      <c r="I1127" s="204"/>
      <c r="J1127" s="204"/>
      <c r="K1127" s="204"/>
      <c r="L1127" s="204"/>
      <c r="M1127" s="204"/>
      <c r="N1127" s="204"/>
      <c r="O1127" s="204"/>
      <c r="P1127" s="204"/>
      <c r="Q1127" s="204"/>
      <c r="R1127" s="204"/>
      <c r="S1127" s="204"/>
      <c r="T1127" s="204"/>
      <c r="U1127" s="204"/>
      <c r="V1127" s="204"/>
      <c r="W1127" s="204"/>
      <c r="X1127" s="204"/>
      <c r="Y1127" s="204"/>
      <c r="Z1127" s="204"/>
      <c r="AA1127" s="204"/>
      <c r="AB1127" s="204"/>
      <c r="AC1127" s="204"/>
      <c r="AD1127" s="204"/>
      <c r="AE1127" s="204"/>
      <c r="AF1127" s="204"/>
      <c r="AG1127" s="204"/>
      <c r="AH1127" s="204"/>
      <c r="AI1127" s="209"/>
      <c r="AJ1127" s="209"/>
      <c r="AK1127" s="204"/>
      <c r="AL1127" s="204"/>
      <c r="AM1127" s="204"/>
    </row>
    <row r="1128">
      <c r="A1128" s="204"/>
      <c r="B1128" s="209"/>
      <c r="C1128" s="204"/>
      <c r="D1128" s="210"/>
      <c r="E1128" s="211"/>
      <c r="F1128" s="211"/>
      <c r="G1128" s="212"/>
      <c r="H1128" s="212"/>
      <c r="I1128" s="204"/>
      <c r="J1128" s="204"/>
      <c r="K1128" s="204"/>
      <c r="L1128" s="204"/>
      <c r="M1128" s="204"/>
      <c r="N1128" s="204"/>
      <c r="O1128" s="204"/>
      <c r="P1128" s="204"/>
      <c r="Q1128" s="204"/>
      <c r="R1128" s="204"/>
      <c r="S1128" s="204"/>
      <c r="T1128" s="204"/>
      <c r="U1128" s="204"/>
      <c r="V1128" s="204"/>
      <c r="W1128" s="204"/>
      <c r="X1128" s="204"/>
      <c r="Y1128" s="204"/>
      <c r="Z1128" s="204"/>
      <c r="AA1128" s="204"/>
      <c r="AB1128" s="204"/>
      <c r="AC1128" s="204"/>
      <c r="AD1128" s="204"/>
      <c r="AE1128" s="204"/>
      <c r="AF1128" s="204"/>
      <c r="AG1128" s="204"/>
      <c r="AH1128" s="204"/>
      <c r="AI1128" s="209"/>
      <c r="AJ1128" s="209"/>
      <c r="AK1128" s="204"/>
      <c r="AL1128" s="204"/>
      <c r="AM1128" s="204"/>
    </row>
    <row r="1129">
      <c r="A1129" s="204"/>
      <c r="B1129" s="209"/>
      <c r="C1129" s="204"/>
      <c r="D1129" s="210"/>
      <c r="E1129" s="211"/>
      <c r="F1129" s="211"/>
      <c r="G1129" s="212"/>
      <c r="H1129" s="212"/>
      <c r="I1129" s="204"/>
      <c r="J1129" s="204"/>
      <c r="K1129" s="204"/>
      <c r="L1129" s="204"/>
      <c r="M1129" s="204"/>
      <c r="N1129" s="204"/>
      <c r="O1129" s="204"/>
      <c r="P1129" s="204"/>
      <c r="Q1129" s="204"/>
      <c r="R1129" s="204"/>
      <c r="S1129" s="204"/>
      <c r="T1129" s="204"/>
      <c r="U1129" s="204"/>
      <c r="V1129" s="204"/>
      <c r="W1129" s="204"/>
      <c r="X1129" s="204"/>
      <c r="Y1129" s="204"/>
      <c r="Z1129" s="204"/>
      <c r="AA1129" s="204"/>
      <c r="AB1129" s="204"/>
      <c r="AC1129" s="204"/>
      <c r="AD1129" s="204"/>
      <c r="AE1129" s="204"/>
      <c r="AF1129" s="204"/>
      <c r="AG1129" s="204"/>
      <c r="AH1129" s="204"/>
      <c r="AI1129" s="209"/>
      <c r="AJ1129" s="209"/>
      <c r="AK1129" s="204"/>
      <c r="AL1129" s="204"/>
      <c r="AM1129" s="204"/>
    </row>
    <row r="1130">
      <c r="A1130" s="204"/>
      <c r="B1130" s="209"/>
      <c r="C1130" s="204"/>
      <c r="D1130" s="210"/>
      <c r="E1130" s="211"/>
      <c r="F1130" s="211"/>
      <c r="G1130" s="212"/>
      <c r="H1130" s="212"/>
      <c r="I1130" s="204"/>
      <c r="J1130" s="204"/>
      <c r="K1130" s="204"/>
      <c r="L1130" s="204"/>
      <c r="M1130" s="204"/>
      <c r="N1130" s="204"/>
      <c r="O1130" s="204"/>
      <c r="P1130" s="204"/>
      <c r="Q1130" s="204"/>
      <c r="R1130" s="204"/>
      <c r="S1130" s="204"/>
      <c r="T1130" s="204"/>
      <c r="U1130" s="204"/>
      <c r="V1130" s="204"/>
      <c r="W1130" s="204"/>
      <c r="X1130" s="204"/>
      <c r="Y1130" s="204"/>
      <c r="Z1130" s="204"/>
      <c r="AA1130" s="204"/>
      <c r="AB1130" s="204"/>
      <c r="AC1130" s="204"/>
      <c r="AD1130" s="204"/>
      <c r="AE1130" s="204"/>
      <c r="AF1130" s="204"/>
      <c r="AG1130" s="204"/>
      <c r="AH1130" s="204"/>
      <c r="AI1130" s="209"/>
      <c r="AJ1130" s="209"/>
      <c r="AK1130" s="204"/>
      <c r="AL1130" s="204"/>
      <c r="AM1130" s="204"/>
    </row>
    <row r="1131">
      <c r="A1131" s="204"/>
      <c r="B1131" s="209"/>
      <c r="C1131" s="204"/>
      <c r="D1131" s="210"/>
      <c r="E1131" s="211"/>
      <c r="F1131" s="211"/>
      <c r="G1131" s="212"/>
      <c r="H1131" s="212"/>
      <c r="I1131" s="204"/>
      <c r="J1131" s="204"/>
      <c r="K1131" s="204"/>
      <c r="L1131" s="204"/>
      <c r="M1131" s="204"/>
      <c r="N1131" s="204"/>
      <c r="O1131" s="204"/>
      <c r="P1131" s="204"/>
      <c r="Q1131" s="204"/>
      <c r="R1131" s="204"/>
      <c r="S1131" s="204"/>
      <c r="T1131" s="204"/>
      <c r="U1131" s="204"/>
      <c r="V1131" s="204"/>
      <c r="W1131" s="204"/>
      <c r="X1131" s="204"/>
      <c r="Y1131" s="204"/>
      <c r="Z1131" s="204"/>
      <c r="AA1131" s="204"/>
      <c r="AB1131" s="204"/>
      <c r="AC1131" s="204"/>
      <c r="AD1131" s="204"/>
      <c r="AE1131" s="204"/>
      <c r="AF1131" s="204"/>
      <c r="AG1131" s="204"/>
      <c r="AH1131" s="204"/>
      <c r="AI1131" s="209"/>
      <c r="AJ1131" s="209"/>
      <c r="AK1131" s="204"/>
      <c r="AL1131" s="204"/>
      <c r="AM1131" s="204"/>
    </row>
    <row r="1132">
      <c r="A1132" s="204"/>
      <c r="B1132" s="209"/>
      <c r="C1132" s="204"/>
      <c r="D1132" s="210"/>
      <c r="E1132" s="211"/>
      <c r="F1132" s="211"/>
      <c r="G1132" s="212"/>
      <c r="H1132" s="212"/>
      <c r="I1132" s="204"/>
      <c r="J1132" s="204"/>
      <c r="K1132" s="204"/>
      <c r="L1132" s="204"/>
      <c r="M1132" s="204"/>
      <c r="N1132" s="204"/>
      <c r="O1132" s="204"/>
      <c r="P1132" s="204"/>
      <c r="Q1132" s="204"/>
      <c r="R1132" s="204"/>
      <c r="S1132" s="204"/>
      <c r="T1132" s="204"/>
      <c r="U1132" s="204"/>
      <c r="V1132" s="204"/>
      <c r="W1132" s="204"/>
      <c r="X1132" s="204"/>
      <c r="Y1132" s="204"/>
      <c r="Z1132" s="204"/>
      <c r="AA1132" s="204"/>
      <c r="AB1132" s="204"/>
      <c r="AC1132" s="204"/>
      <c r="AD1132" s="204"/>
      <c r="AE1132" s="204"/>
      <c r="AF1132" s="204"/>
      <c r="AG1132" s="204"/>
      <c r="AH1132" s="204"/>
      <c r="AI1132" s="209"/>
      <c r="AJ1132" s="209"/>
      <c r="AK1132" s="204"/>
      <c r="AL1132" s="204"/>
      <c r="AM1132" s="204"/>
    </row>
    <row r="1133">
      <c r="A1133" s="204"/>
      <c r="B1133" s="209"/>
      <c r="C1133" s="204"/>
      <c r="D1133" s="210"/>
      <c r="E1133" s="211"/>
      <c r="F1133" s="211"/>
      <c r="G1133" s="212"/>
      <c r="H1133" s="212"/>
      <c r="I1133" s="204"/>
      <c r="J1133" s="204"/>
      <c r="K1133" s="204"/>
      <c r="L1133" s="204"/>
      <c r="M1133" s="204"/>
      <c r="N1133" s="204"/>
      <c r="O1133" s="204"/>
      <c r="P1133" s="204"/>
      <c r="Q1133" s="204"/>
      <c r="R1133" s="204"/>
      <c r="S1133" s="204"/>
      <c r="T1133" s="204"/>
      <c r="U1133" s="204"/>
      <c r="V1133" s="204"/>
      <c r="W1133" s="204"/>
      <c r="X1133" s="204"/>
      <c r="Y1133" s="204"/>
      <c r="Z1133" s="204"/>
      <c r="AA1133" s="204"/>
      <c r="AB1133" s="204"/>
      <c r="AC1133" s="204"/>
      <c r="AD1133" s="204"/>
      <c r="AE1133" s="204"/>
      <c r="AF1133" s="204"/>
      <c r="AG1133" s="204"/>
      <c r="AH1133" s="204"/>
      <c r="AI1133" s="209"/>
      <c r="AJ1133" s="209"/>
      <c r="AK1133" s="204"/>
      <c r="AL1133" s="204"/>
      <c r="AM1133" s="204"/>
    </row>
    <row r="1134">
      <c r="A1134" s="204"/>
      <c r="B1134" s="209"/>
      <c r="C1134" s="204"/>
      <c r="D1134" s="210"/>
      <c r="E1134" s="211"/>
      <c r="F1134" s="211"/>
      <c r="G1134" s="212"/>
      <c r="H1134" s="212"/>
      <c r="I1134" s="204"/>
      <c r="J1134" s="204"/>
      <c r="K1134" s="204"/>
      <c r="L1134" s="204"/>
      <c r="M1134" s="204"/>
      <c r="N1134" s="204"/>
      <c r="O1134" s="204"/>
      <c r="P1134" s="204"/>
      <c r="Q1134" s="204"/>
      <c r="R1134" s="204"/>
      <c r="S1134" s="204"/>
      <c r="T1134" s="204"/>
      <c r="U1134" s="204"/>
      <c r="V1134" s="204"/>
      <c r="W1134" s="204"/>
      <c r="X1134" s="204"/>
      <c r="Y1134" s="204"/>
      <c r="Z1134" s="204"/>
      <c r="AA1134" s="204"/>
      <c r="AB1134" s="204"/>
      <c r="AC1134" s="204"/>
      <c r="AD1134" s="204"/>
      <c r="AE1134" s="204"/>
      <c r="AF1134" s="204"/>
      <c r="AG1134" s="204"/>
      <c r="AH1134" s="204"/>
      <c r="AI1134" s="209"/>
      <c r="AJ1134" s="209"/>
      <c r="AK1134" s="204"/>
      <c r="AL1134" s="204"/>
      <c r="AM1134" s="204"/>
    </row>
    <row r="1135">
      <c r="A1135" s="204"/>
      <c r="B1135" s="209"/>
      <c r="C1135" s="204"/>
      <c r="D1135" s="210"/>
      <c r="E1135" s="211"/>
      <c r="F1135" s="211"/>
      <c r="G1135" s="212"/>
      <c r="H1135" s="212"/>
      <c r="I1135" s="204"/>
      <c r="J1135" s="204"/>
      <c r="K1135" s="204"/>
      <c r="L1135" s="204"/>
      <c r="M1135" s="204"/>
      <c r="N1135" s="204"/>
      <c r="O1135" s="204"/>
      <c r="P1135" s="204"/>
      <c r="Q1135" s="204"/>
      <c r="R1135" s="204"/>
      <c r="S1135" s="204"/>
      <c r="T1135" s="204"/>
      <c r="U1135" s="204"/>
      <c r="V1135" s="204"/>
      <c r="W1135" s="204"/>
      <c r="X1135" s="204"/>
      <c r="Y1135" s="204"/>
      <c r="Z1135" s="204"/>
      <c r="AA1135" s="204"/>
      <c r="AB1135" s="204"/>
      <c r="AC1135" s="204"/>
      <c r="AD1135" s="204"/>
      <c r="AE1135" s="204"/>
      <c r="AF1135" s="204"/>
      <c r="AG1135" s="204"/>
      <c r="AH1135" s="204"/>
      <c r="AI1135" s="209"/>
      <c r="AJ1135" s="209"/>
      <c r="AK1135" s="204"/>
      <c r="AL1135" s="204"/>
      <c r="AM1135" s="204"/>
    </row>
    <row r="1136">
      <c r="A1136" s="204"/>
      <c r="B1136" s="209"/>
      <c r="C1136" s="204"/>
      <c r="D1136" s="210"/>
      <c r="E1136" s="211"/>
      <c r="F1136" s="211"/>
      <c r="G1136" s="212"/>
      <c r="H1136" s="212"/>
      <c r="I1136" s="204"/>
      <c r="J1136" s="204"/>
      <c r="K1136" s="204"/>
      <c r="L1136" s="204"/>
      <c r="M1136" s="204"/>
      <c r="N1136" s="204"/>
      <c r="O1136" s="204"/>
      <c r="P1136" s="204"/>
      <c r="Q1136" s="204"/>
      <c r="R1136" s="204"/>
      <c r="S1136" s="204"/>
      <c r="T1136" s="204"/>
      <c r="U1136" s="204"/>
      <c r="V1136" s="204"/>
      <c r="W1136" s="204"/>
      <c r="X1136" s="204"/>
      <c r="Y1136" s="204"/>
      <c r="Z1136" s="204"/>
      <c r="AA1136" s="204"/>
      <c r="AB1136" s="204"/>
      <c r="AC1136" s="204"/>
      <c r="AD1136" s="204"/>
      <c r="AE1136" s="204"/>
      <c r="AF1136" s="204"/>
      <c r="AG1136" s="204"/>
      <c r="AH1136" s="204"/>
      <c r="AI1136" s="209"/>
      <c r="AJ1136" s="209"/>
      <c r="AK1136" s="204"/>
      <c r="AL1136" s="204"/>
      <c r="AM1136" s="204"/>
    </row>
    <row r="1137">
      <c r="A1137" s="204"/>
      <c r="B1137" s="209"/>
      <c r="C1137" s="204"/>
      <c r="D1137" s="210"/>
      <c r="E1137" s="211"/>
      <c r="F1137" s="211"/>
      <c r="G1137" s="212"/>
      <c r="H1137" s="212"/>
      <c r="I1137" s="204"/>
      <c r="J1137" s="204"/>
      <c r="K1137" s="204"/>
      <c r="L1137" s="204"/>
      <c r="M1137" s="204"/>
      <c r="N1137" s="204"/>
      <c r="O1137" s="204"/>
      <c r="P1137" s="204"/>
      <c r="Q1137" s="204"/>
      <c r="R1137" s="204"/>
      <c r="S1137" s="204"/>
      <c r="T1137" s="204"/>
      <c r="U1137" s="204"/>
      <c r="V1137" s="204"/>
      <c r="W1137" s="204"/>
      <c r="X1137" s="204"/>
      <c r="Y1137" s="204"/>
      <c r="Z1137" s="204"/>
      <c r="AA1137" s="204"/>
      <c r="AB1137" s="204"/>
      <c r="AC1137" s="204"/>
      <c r="AD1137" s="204"/>
      <c r="AE1137" s="204"/>
      <c r="AF1137" s="204"/>
      <c r="AG1137" s="204"/>
      <c r="AH1137" s="204"/>
      <c r="AI1137" s="209"/>
      <c r="AJ1137" s="209"/>
      <c r="AK1137" s="204"/>
      <c r="AL1137" s="204"/>
      <c r="AM1137" s="204"/>
    </row>
    <row r="1138">
      <c r="A1138" s="204"/>
      <c r="B1138" s="209"/>
      <c r="C1138" s="204"/>
      <c r="D1138" s="210"/>
      <c r="E1138" s="211"/>
      <c r="F1138" s="211"/>
      <c r="G1138" s="212"/>
      <c r="H1138" s="212"/>
      <c r="I1138" s="204"/>
      <c r="J1138" s="204"/>
      <c r="K1138" s="204"/>
      <c r="L1138" s="204"/>
      <c r="M1138" s="204"/>
      <c r="N1138" s="204"/>
      <c r="O1138" s="204"/>
      <c r="P1138" s="204"/>
      <c r="Q1138" s="204"/>
      <c r="R1138" s="204"/>
      <c r="S1138" s="204"/>
      <c r="T1138" s="204"/>
      <c r="U1138" s="204"/>
      <c r="V1138" s="204"/>
      <c r="W1138" s="204"/>
      <c r="X1138" s="204"/>
      <c r="Y1138" s="204"/>
      <c r="Z1138" s="204"/>
      <c r="AA1138" s="204"/>
      <c r="AB1138" s="204"/>
      <c r="AC1138" s="204"/>
      <c r="AD1138" s="204"/>
      <c r="AE1138" s="204"/>
      <c r="AF1138" s="204"/>
      <c r="AG1138" s="204"/>
      <c r="AH1138" s="204"/>
      <c r="AI1138" s="209"/>
      <c r="AJ1138" s="209"/>
      <c r="AK1138" s="204"/>
      <c r="AL1138" s="204"/>
      <c r="AM1138" s="204"/>
    </row>
    <row r="1139">
      <c r="A1139" s="204"/>
      <c r="B1139" s="209"/>
      <c r="C1139" s="204"/>
      <c r="D1139" s="210"/>
      <c r="E1139" s="211"/>
      <c r="F1139" s="211"/>
      <c r="G1139" s="212"/>
      <c r="H1139" s="212"/>
      <c r="I1139" s="204"/>
      <c r="J1139" s="204"/>
      <c r="K1139" s="204"/>
      <c r="L1139" s="204"/>
      <c r="M1139" s="204"/>
      <c r="N1139" s="204"/>
      <c r="O1139" s="204"/>
      <c r="P1139" s="204"/>
      <c r="Q1139" s="204"/>
      <c r="R1139" s="204"/>
      <c r="S1139" s="204"/>
      <c r="T1139" s="204"/>
      <c r="U1139" s="204"/>
      <c r="V1139" s="204"/>
      <c r="W1139" s="204"/>
      <c r="X1139" s="204"/>
      <c r="Y1139" s="204"/>
      <c r="Z1139" s="204"/>
      <c r="AA1139" s="204"/>
      <c r="AB1139" s="204"/>
      <c r="AC1139" s="204"/>
      <c r="AD1139" s="204"/>
      <c r="AE1139" s="204"/>
      <c r="AF1139" s="204"/>
      <c r="AG1139" s="204"/>
      <c r="AH1139" s="204"/>
      <c r="AI1139" s="209"/>
      <c r="AJ1139" s="209"/>
      <c r="AK1139" s="204"/>
      <c r="AL1139" s="204"/>
      <c r="AM1139" s="204"/>
    </row>
    <row r="1140">
      <c r="A1140" s="204"/>
      <c r="B1140" s="209"/>
      <c r="C1140" s="204"/>
      <c r="D1140" s="210"/>
      <c r="E1140" s="211"/>
      <c r="F1140" s="211"/>
      <c r="G1140" s="212"/>
      <c r="H1140" s="212"/>
      <c r="I1140" s="204"/>
      <c r="J1140" s="204"/>
      <c r="K1140" s="204"/>
      <c r="L1140" s="204"/>
      <c r="M1140" s="204"/>
      <c r="N1140" s="204"/>
      <c r="O1140" s="204"/>
      <c r="P1140" s="204"/>
      <c r="Q1140" s="204"/>
      <c r="R1140" s="204"/>
      <c r="S1140" s="204"/>
      <c r="T1140" s="204"/>
      <c r="U1140" s="204"/>
      <c r="V1140" s="204"/>
      <c r="W1140" s="204"/>
      <c r="X1140" s="204"/>
      <c r="Y1140" s="204"/>
      <c r="Z1140" s="204"/>
      <c r="AA1140" s="204"/>
      <c r="AB1140" s="204"/>
      <c r="AC1140" s="204"/>
      <c r="AD1140" s="204"/>
      <c r="AE1140" s="204"/>
      <c r="AF1140" s="204"/>
      <c r="AG1140" s="204"/>
      <c r="AH1140" s="204"/>
      <c r="AI1140" s="209"/>
      <c r="AJ1140" s="209"/>
      <c r="AK1140" s="204"/>
      <c r="AL1140" s="204"/>
      <c r="AM1140" s="204"/>
    </row>
    <row r="1141">
      <c r="A1141" s="204"/>
      <c r="B1141" s="209"/>
      <c r="C1141" s="204"/>
      <c r="D1141" s="210"/>
      <c r="E1141" s="211"/>
      <c r="F1141" s="211"/>
      <c r="G1141" s="212"/>
      <c r="H1141" s="212"/>
      <c r="I1141" s="204"/>
      <c r="J1141" s="204"/>
      <c r="K1141" s="204"/>
      <c r="L1141" s="204"/>
      <c r="M1141" s="204"/>
      <c r="N1141" s="204"/>
      <c r="O1141" s="204"/>
      <c r="P1141" s="204"/>
      <c r="Q1141" s="204"/>
      <c r="R1141" s="204"/>
      <c r="S1141" s="204"/>
      <c r="T1141" s="204"/>
      <c r="U1141" s="204"/>
      <c r="V1141" s="204"/>
      <c r="W1141" s="204"/>
      <c r="X1141" s="204"/>
      <c r="Y1141" s="204"/>
      <c r="Z1141" s="204"/>
      <c r="AA1141" s="204"/>
      <c r="AB1141" s="204"/>
      <c r="AC1141" s="204"/>
      <c r="AD1141" s="204"/>
      <c r="AE1141" s="204"/>
      <c r="AF1141" s="204"/>
      <c r="AG1141" s="204"/>
      <c r="AH1141" s="204"/>
      <c r="AI1141" s="209"/>
      <c r="AJ1141" s="209"/>
      <c r="AK1141" s="204"/>
      <c r="AL1141" s="204"/>
      <c r="AM1141" s="204"/>
    </row>
    <row r="1142">
      <c r="A1142" s="204"/>
      <c r="B1142" s="209"/>
      <c r="C1142" s="204"/>
      <c r="D1142" s="210"/>
      <c r="E1142" s="211"/>
      <c r="F1142" s="211"/>
      <c r="G1142" s="212"/>
      <c r="H1142" s="212"/>
      <c r="I1142" s="204"/>
      <c r="J1142" s="204"/>
      <c r="K1142" s="204"/>
      <c r="L1142" s="204"/>
      <c r="M1142" s="204"/>
      <c r="N1142" s="204"/>
      <c r="O1142" s="204"/>
      <c r="P1142" s="204"/>
      <c r="Q1142" s="204"/>
      <c r="R1142" s="204"/>
      <c r="S1142" s="204"/>
      <c r="T1142" s="204"/>
      <c r="U1142" s="204"/>
      <c r="V1142" s="204"/>
      <c r="W1142" s="204"/>
      <c r="X1142" s="204"/>
      <c r="Y1142" s="204"/>
      <c r="Z1142" s="204"/>
      <c r="AA1142" s="204"/>
      <c r="AB1142" s="204"/>
      <c r="AC1142" s="204"/>
      <c r="AD1142" s="204"/>
      <c r="AE1142" s="204"/>
      <c r="AF1142" s="204"/>
      <c r="AG1142" s="204"/>
      <c r="AH1142" s="204"/>
      <c r="AI1142" s="209"/>
      <c r="AJ1142" s="209"/>
      <c r="AK1142" s="204"/>
      <c r="AL1142" s="204"/>
      <c r="AM1142" s="204"/>
    </row>
    <row r="1143">
      <c r="A1143" s="204"/>
      <c r="B1143" s="209"/>
      <c r="C1143" s="204"/>
      <c r="D1143" s="210"/>
      <c r="E1143" s="211"/>
      <c r="F1143" s="211"/>
      <c r="G1143" s="212"/>
      <c r="H1143" s="212"/>
      <c r="I1143" s="204"/>
      <c r="J1143" s="204"/>
      <c r="K1143" s="204"/>
      <c r="L1143" s="204"/>
      <c r="M1143" s="204"/>
      <c r="N1143" s="204"/>
      <c r="O1143" s="204"/>
      <c r="P1143" s="204"/>
      <c r="Q1143" s="204"/>
      <c r="R1143" s="204"/>
      <c r="S1143" s="204"/>
      <c r="T1143" s="204"/>
      <c r="U1143" s="204"/>
      <c r="V1143" s="204"/>
      <c r="W1143" s="204"/>
      <c r="X1143" s="204"/>
      <c r="Y1143" s="204"/>
      <c r="Z1143" s="204"/>
      <c r="AA1143" s="204"/>
      <c r="AB1143" s="204"/>
      <c r="AC1143" s="204"/>
      <c r="AD1143" s="204"/>
      <c r="AE1143" s="204"/>
      <c r="AF1143" s="204"/>
      <c r="AG1143" s="204"/>
      <c r="AH1143" s="204"/>
      <c r="AI1143" s="209"/>
      <c r="AJ1143" s="209"/>
      <c r="AK1143" s="204"/>
      <c r="AL1143" s="204"/>
      <c r="AM1143" s="204"/>
    </row>
    <row r="1144">
      <c r="A1144" s="204"/>
      <c r="B1144" s="209"/>
      <c r="C1144" s="204"/>
      <c r="D1144" s="210"/>
      <c r="E1144" s="211"/>
      <c r="F1144" s="211"/>
      <c r="G1144" s="212"/>
      <c r="H1144" s="212"/>
      <c r="I1144" s="204"/>
      <c r="J1144" s="204"/>
      <c r="K1144" s="204"/>
      <c r="L1144" s="204"/>
      <c r="M1144" s="204"/>
      <c r="N1144" s="204"/>
      <c r="O1144" s="204"/>
      <c r="P1144" s="204"/>
      <c r="Q1144" s="204"/>
      <c r="R1144" s="204"/>
      <c r="S1144" s="204"/>
      <c r="T1144" s="204"/>
      <c r="U1144" s="204"/>
      <c r="V1144" s="204"/>
      <c r="W1144" s="204"/>
      <c r="X1144" s="204"/>
      <c r="Y1144" s="204"/>
      <c r="Z1144" s="204"/>
      <c r="AA1144" s="204"/>
      <c r="AB1144" s="204"/>
      <c r="AC1144" s="204"/>
      <c r="AD1144" s="204"/>
      <c r="AE1144" s="204"/>
      <c r="AF1144" s="204"/>
      <c r="AG1144" s="204"/>
      <c r="AH1144" s="204"/>
      <c r="AI1144" s="209"/>
      <c r="AJ1144" s="209"/>
      <c r="AK1144" s="204"/>
      <c r="AL1144" s="204"/>
      <c r="AM1144" s="204"/>
    </row>
    <row r="1145">
      <c r="A1145" s="204"/>
      <c r="B1145" s="209"/>
      <c r="C1145" s="204"/>
      <c r="D1145" s="210"/>
      <c r="E1145" s="211"/>
      <c r="F1145" s="211"/>
      <c r="G1145" s="212"/>
      <c r="H1145" s="212"/>
      <c r="I1145" s="204"/>
      <c r="J1145" s="204"/>
      <c r="K1145" s="204"/>
      <c r="L1145" s="204"/>
      <c r="M1145" s="204"/>
      <c r="N1145" s="204"/>
      <c r="O1145" s="204"/>
      <c r="P1145" s="204"/>
      <c r="Q1145" s="204"/>
      <c r="R1145" s="204"/>
      <c r="S1145" s="204"/>
      <c r="T1145" s="204"/>
      <c r="U1145" s="204"/>
      <c r="V1145" s="204"/>
      <c r="W1145" s="204"/>
      <c r="X1145" s="204"/>
      <c r="Y1145" s="204"/>
      <c r="Z1145" s="204"/>
      <c r="AA1145" s="204"/>
      <c r="AB1145" s="204"/>
      <c r="AC1145" s="204"/>
      <c r="AD1145" s="204"/>
      <c r="AE1145" s="204"/>
      <c r="AF1145" s="204"/>
      <c r="AG1145" s="204"/>
      <c r="AH1145" s="204"/>
      <c r="AI1145" s="209"/>
      <c r="AJ1145" s="209"/>
      <c r="AK1145" s="204"/>
      <c r="AL1145" s="204"/>
      <c r="AM1145" s="204"/>
    </row>
    <row r="1146">
      <c r="A1146" s="204"/>
      <c r="B1146" s="209"/>
      <c r="C1146" s="204"/>
      <c r="D1146" s="210"/>
      <c r="E1146" s="211"/>
      <c r="F1146" s="211"/>
      <c r="G1146" s="212"/>
      <c r="H1146" s="212"/>
      <c r="I1146" s="204"/>
      <c r="J1146" s="204"/>
      <c r="K1146" s="204"/>
      <c r="L1146" s="204"/>
      <c r="M1146" s="204"/>
      <c r="N1146" s="204"/>
      <c r="O1146" s="204"/>
      <c r="P1146" s="204"/>
      <c r="Q1146" s="204"/>
      <c r="R1146" s="204"/>
      <c r="S1146" s="204"/>
      <c r="T1146" s="204"/>
      <c r="U1146" s="204"/>
      <c r="V1146" s="204"/>
      <c r="W1146" s="204"/>
      <c r="X1146" s="204"/>
      <c r="Y1146" s="204"/>
      <c r="Z1146" s="204"/>
      <c r="AA1146" s="204"/>
      <c r="AB1146" s="204"/>
      <c r="AC1146" s="204"/>
      <c r="AD1146" s="204"/>
      <c r="AE1146" s="204"/>
      <c r="AF1146" s="204"/>
      <c r="AG1146" s="204"/>
      <c r="AH1146" s="204"/>
      <c r="AI1146" s="209"/>
      <c r="AJ1146" s="209"/>
      <c r="AK1146" s="204"/>
      <c r="AL1146" s="204"/>
      <c r="AM1146" s="204"/>
    </row>
    <row r="1147">
      <c r="A1147" s="204"/>
      <c r="B1147" s="209"/>
      <c r="C1147" s="204"/>
      <c r="D1147" s="210"/>
      <c r="E1147" s="211"/>
      <c r="F1147" s="211"/>
      <c r="G1147" s="212"/>
      <c r="H1147" s="212"/>
      <c r="I1147" s="204"/>
      <c r="J1147" s="204"/>
      <c r="K1147" s="204"/>
      <c r="L1147" s="204"/>
      <c r="M1147" s="204"/>
      <c r="N1147" s="204"/>
      <c r="O1147" s="204"/>
      <c r="P1147" s="204"/>
      <c r="Q1147" s="204"/>
      <c r="R1147" s="204"/>
      <c r="S1147" s="204"/>
      <c r="T1147" s="204"/>
      <c r="U1147" s="204"/>
      <c r="V1147" s="204"/>
      <c r="W1147" s="204"/>
      <c r="X1147" s="204"/>
      <c r="Y1147" s="204"/>
      <c r="Z1147" s="204"/>
      <c r="AA1147" s="204"/>
      <c r="AB1147" s="204"/>
      <c r="AC1147" s="204"/>
      <c r="AD1147" s="204"/>
      <c r="AE1147" s="204"/>
      <c r="AF1147" s="204"/>
      <c r="AG1147" s="204"/>
      <c r="AH1147" s="204"/>
      <c r="AI1147" s="209"/>
      <c r="AJ1147" s="209"/>
      <c r="AK1147" s="204"/>
      <c r="AL1147" s="204"/>
      <c r="AM1147" s="204"/>
    </row>
    <row r="1148">
      <c r="A1148" s="204"/>
      <c r="B1148" s="209"/>
      <c r="C1148" s="204"/>
      <c r="D1148" s="210"/>
      <c r="E1148" s="211"/>
      <c r="F1148" s="211"/>
      <c r="G1148" s="212"/>
      <c r="H1148" s="212"/>
      <c r="I1148" s="204"/>
      <c r="J1148" s="204"/>
      <c r="K1148" s="204"/>
      <c r="L1148" s="204"/>
      <c r="M1148" s="204"/>
      <c r="N1148" s="204"/>
      <c r="O1148" s="204"/>
      <c r="P1148" s="204"/>
      <c r="Q1148" s="204"/>
      <c r="R1148" s="204"/>
      <c r="S1148" s="204"/>
      <c r="T1148" s="204"/>
      <c r="U1148" s="204"/>
      <c r="V1148" s="204"/>
      <c r="W1148" s="204"/>
      <c r="X1148" s="204"/>
      <c r="Y1148" s="204"/>
      <c r="Z1148" s="204"/>
      <c r="AA1148" s="204"/>
      <c r="AB1148" s="204"/>
      <c r="AC1148" s="204"/>
      <c r="AD1148" s="204"/>
      <c r="AE1148" s="204"/>
      <c r="AF1148" s="204"/>
      <c r="AG1148" s="204"/>
      <c r="AH1148" s="204"/>
      <c r="AI1148" s="209"/>
      <c r="AJ1148" s="209"/>
      <c r="AK1148" s="204"/>
      <c r="AL1148" s="204"/>
      <c r="AM1148" s="204"/>
    </row>
    <row r="1149">
      <c r="A1149" s="204"/>
      <c r="B1149" s="209"/>
      <c r="C1149" s="204"/>
      <c r="D1149" s="210"/>
      <c r="E1149" s="211"/>
      <c r="F1149" s="211"/>
      <c r="G1149" s="212"/>
      <c r="H1149" s="212"/>
      <c r="I1149" s="204"/>
      <c r="J1149" s="204"/>
      <c r="K1149" s="204"/>
      <c r="L1149" s="204"/>
      <c r="M1149" s="204"/>
      <c r="N1149" s="204"/>
      <c r="O1149" s="204"/>
      <c r="P1149" s="204"/>
      <c r="Q1149" s="204"/>
      <c r="R1149" s="204"/>
      <c r="S1149" s="204"/>
      <c r="T1149" s="204"/>
      <c r="U1149" s="204"/>
      <c r="V1149" s="204"/>
      <c r="W1149" s="204"/>
      <c r="X1149" s="204"/>
      <c r="Y1149" s="204"/>
      <c r="Z1149" s="204"/>
      <c r="AA1149" s="204"/>
      <c r="AB1149" s="204"/>
      <c r="AC1149" s="204"/>
      <c r="AD1149" s="204"/>
      <c r="AE1149" s="204"/>
      <c r="AF1149" s="204"/>
      <c r="AG1149" s="204"/>
      <c r="AH1149" s="204"/>
      <c r="AI1149" s="209"/>
      <c r="AJ1149" s="209"/>
      <c r="AK1149" s="204"/>
      <c r="AL1149" s="204"/>
      <c r="AM1149" s="204"/>
    </row>
    <row r="1150">
      <c r="A1150" s="204"/>
      <c r="B1150" s="209"/>
      <c r="C1150" s="204"/>
      <c r="D1150" s="210"/>
      <c r="E1150" s="211"/>
      <c r="F1150" s="211"/>
      <c r="G1150" s="212"/>
      <c r="H1150" s="212"/>
      <c r="I1150" s="204"/>
      <c r="J1150" s="204"/>
      <c r="K1150" s="204"/>
      <c r="L1150" s="204"/>
      <c r="M1150" s="204"/>
      <c r="N1150" s="204"/>
      <c r="O1150" s="204"/>
      <c r="P1150" s="204"/>
      <c r="Q1150" s="204"/>
      <c r="R1150" s="204"/>
      <c r="S1150" s="204"/>
      <c r="T1150" s="204"/>
      <c r="U1150" s="204"/>
      <c r="V1150" s="204"/>
      <c r="W1150" s="204"/>
      <c r="X1150" s="204"/>
      <c r="Y1150" s="204"/>
      <c r="Z1150" s="204"/>
      <c r="AA1150" s="204"/>
      <c r="AB1150" s="204"/>
      <c r="AC1150" s="204"/>
      <c r="AD1150" s="204"/>
      <c r="AE1150" s="204"/>
      <c r="AF1150" s="204"/>
      <c r="AG1150" s="204"/>
      <c r="AH1150" s="204"/>
      <c r="AI1150" s="209"/>
      <c r="AJ1150" s="209"/>
      <c r="AK1150" s="204"/>
      <c r="AL1150" s="204"/>
      <c r="AM1150" s="204"/>
    </row>
    <row r="1151">
      <c r="A1151" s="204"/>
      <c r="B1151" s="209"/>
      <c r="C1151" s="204"/>
      <c r="D1151" s="210"/>
      <c r="E1151" s="211"/>
      <c r="F1151" s="211"/>
      <c r="G1151" s="212"/>
      <c r="H1151" s="212"/>
      <c r="I1151" s="204"/>
      <c r="J1151" s="204"/>
      <c r="K1151" s="204"/>
      <c r="L1151" s="204"/>
      <c r="M1151" s="204"/>
      <c r="N1151" s="204"/>
      <c r="O1151" s="204"/>
      <c r="P1151" s="204"/>
      <c r="Q1151" s="204"/>
      <c r="R1151" s="204"/>
      <c r="S1151" s="204"/>
      <c r="T1151" s="204"/>
      <c r="U1151" s="204"/>
      <c r="V1151" s="204"/>
      <c r="W1151" s="204"/>
      <c r="X1151" s="204"/>
      <c r="Y1151" s="204"/>
      <c r="Z1151" s="204"/>
      <c r="AA1151" s="204"/>
      <c r="AB1151" s="204"/>
      <c r="AC1151" s="204"/>
      <c r="AD1151" s="204"/>
      <c r="AE1151" s="204"/>
      <c r="AF1151" s="204"/>
      <c r="AG1151" s="204"/>
      <c r="AH1151" s="204"/>
      <c r="AI1151" s="209"/>
      <c r="AJ1151" s="209"/>
      <c r="AK1151" s="204"/>
      <c r="AL1151" s="204"/>
      <c r="AM1151" s="204"/>
    </row>
    <row r="1152">
      <c r="A1152" s="204"/>
      <c r="B1152" s="209"/>
      <c r="C1152" s="204"/>
      <c r="D1152" s="210"/>
      <c r="E1152" s="211"/>
      <c r="F1152" s="211"/>
      <c r="G1152" s="212"/>
      <c r="H1152" s="212"/>
      <c r="I1152" s="204"/>
      <c r="J1152" s="204"/>
      <c r="K1152" s="204"/>
      <c r="L1152" s="204"/>
      <c r="M1152" s="204"/>
      <c r="N1152" s="204"/>
      <c r="O1152" s="204"/>
      <c r="P1152" s="204"/>
      <c r="Q1152" s="204"/>
      <c r="R1152" s="204"/>
      <c r="S1152" s="204"/>
      <c r="T1152" s="204"/>
      <c r="U1152" s="204"/>
      <c r="V1152" s="204"/>
      <c r="W1152" s="204"/>
      <c r="X1152" s="204"/>
      <c r="Y1152" s="204"/>
      <c r="Z1152" s="204"/>
      <c r="AA1152" s="204"/>
      <c r="AB1152" s="204"/>
      <c r="AC1152" s="204"/>
      <c r="AD1152" s="204"/>
      <c r="AE1152" s="204"/>
      <c r="AF1152" s="204"/>
      <c r="AG1152" s="204"/>
      <c r="AH1152" s="204"/>
      <c r="AI1152" s="209"/>
      <c r="AJ1152" s="209"/>
      <c r="AK1152" s="204"/>
      <c r="AL1152" s="204"/>
      <c r="AM1152" s="204"/>
    </row>
    <row r="1153">
      <c r="A1153" s="204"/>
      <c r="B1153" s="209"/>
      <c r="C1153" s="204"/>
      <c r="D1153" s="210"/>
      <c r="E1153" s="211"/>
      <c r="F1153" s="211"/>
      <c r="G1153" s="212"/>
      <c r="H1153" s="212"/>
      <c r="I1153" s="204"/>
      <c r="J1153" s="204"/>
      <c r="K1153" s="204"/>
      <c r="L1153" s="204"/>
      <c r="M1153" s="204"/>
      <c r="N1153" s="204"/>
      <c r="O1153" s="204"/>
      <c r="P1153" s="204"/>
      <c r="Q1153" s="204"/>
      <c r="R1153" s="204"/>
      <c r="S1153" s="204"/>
      <c r="T1153" s="204"/>
      <c r="U1153" s="204"/>
      <c r="V1153" s="204"/>
      <c r="W1153" s="204"/>
      <c r="X1153" s="204"/>
      <c r="Y1153" s="204"/>
      <c r="Z1153" s="204"/>
      <c r="AA1153" s="204"/>
      <c r="AB1153" s="204"/>
      <c r="AC1153" s="204"/>
      <c r="AD1153" s="204"/>
      <c r="AE1153" s="204"/>
      <c r="AF1153" s="204"/>
      <c r="AG1153" s="204"/>
      <c r="AH1153" s="204"/>
      <c r="AI1153" s="209"/>
      <c r="AJ1153" s="209"/>
      <c r="AK1153" s="204"/>
      <c r="AL1153" s="204"/>
      <c r="AM1153" s="204"/>
    </row>
    <row r="1154">
      <c r="A1154" s="204"/>
      <c r="B1154" s="209"/>
      <c r="C1154" s="204"/>
      <c r="D1154" s="210"/>
      <c r="E1154" s="211"/>
      <c r="F1154" s="211"/>
      <c r="G1154" s="212"/>
      <c r="H1154" s="212"/>
      <c r="I1154" s="204"/>
      <c r="J1154" s="204"/>
      <c r="K1154" s="204"/>
      <c r="L1154" s="204"/>
      <c r="M1154" s="204"/>
      <c r="N1154" s="204"/>
      <c r="O1154" s="204"/>
      <c r="P1154" s="204"/>
      <c r="Q1154" s="204"/>
      <c r="R1154" s="204"/>
      <c r="S1154" s="204"/>
      <c r="T1154" s="204"/>
      <c r="U1154" s="204"/>
      <c r="V1154" s="204"/>
      <c r="W1154" s="204"/>
      <c r="X1154" s="204"/>
      <c r="Y1154" s="204"/>
      <c r="Z1154" s="204"/>
      <c r="AA1154" s="204"/>
      <c r="AB1154" s="204"/>
      <c r="AC1154" s="204"/>
      <c r="AD1154" s="204"/>
      <c r="AE1154" s="204"/>
      <c r="AF1154" s="204"/>
      <c r="AG1154" s="204"/>
      <c r="AH1154" s="204"/>
      <c r="AI1154" s="209"/>
      <c r="AJ1154" s="209"/>
      <c r="AK1154" s="204"/>
      <c r="AL1154" s="204"/>
      <c r="AM1154" s="204"/>
    </row>
    <row r="1155">
      <c r="A1155" s="204"/>
      <c r="B1155" s="209"/>
      <c r="C1155" s="204"/>
      <c r="D1155" s="210"/>
      <c r="E1155" s="211"/>
      <c r="F1155" s="211"/>
      <c r="G1155" s="212"/>
      <c r="H1155" s="212"/>
      <c r="I1155" s="204"/>
      <c r="J1155" s="204"/>
      <c r="K1155" s="204"/>
      <c r="L1155" s="204"/>
      <c r="M1155" s="204"/>
      <c r="N1155" s="204"/>
      <c r="O1155" s="204"/>
      <c r="P1155" s="204"/>
      <c r="Q1155" s="204"/>
      <c r="R1155" s="204"/>
      <c r="S1155" s="204"/>
      <c r="T1155" s="204"/>
      <c r="U1155" s="204"/>
      <c r="V1155" s="204"/>
      <c r="W1155" s="204"/>
      <c r="X1155" s="204"/>
      <c r="Y1155" s="204"/>
      <c r="Z1155" s="204"/>
      <c r="AA1155" s="204"/>
      <c r="AB1155" s="204"/>
      <c r="AC1155" s="204"/>
      <c r="AD1155" s="204"/>
      <c r="AE1155" s="204"/>
      <c r="AF1155" s="204"/>
      <c r="AG1155" s="204"/>
      <c r="AH1155" s="204"/>
      <c r="AI1155" s="209"/>
      <c r="AJ1155" s="209"/>
      <c r="AK1155" s="204"/>
      <c r="AL1155" s="204"/>
      <c r="AM1155" s="204"/>
    </row>
    <row r="1156">
      <c r="A1156" s="204"/>
      <c r="B1156" s="209"/>
      <c r="C1156" s="204"/>
      <c r="D1156" s="210"/>
      <c r="E1156" s="211"/>
      <c r="F1156" s="211"/>
      <c r="G1156" s="212"/>
      <c r="H1156" s="212"/>
      <c r="I1156" s="204"/>
      <c r="J1156" s="204"/>
      <c r="K1156" s="204"/>
      <c r="L1156" s="204"/>
      <c r="M1156" s="204"/>
      <c r="N1156" s="204"/>
      <c r="O1156" s="204"/>
      <c r="P1156" s="204"/>
      <c r="Q1156" s="204"/>
      <c r="R1156" s="204"/>
      <c r="S1156" s="204"/>
      <c r="T1156" s="204"/>
      <c r="U1156" s="204"/>
      <c r="V1156" s="204"/>
      <c r="W1156" s="204"/>
      <c r="X1156" s="204"/>
      <c r="Y1156" s="204"/>
      <c r="Z1156" s="204"/>
      <c r="AA1156" s="204"/>
      <c r="AB1156" s="204"/>
      <c r="AC1156" s="204"/>
      <c r="AD1156" s="204"/>
      <c r="AE1156" s="204"/>
      <c r="AF1156" s="204"/>
      <c r="AG1156" s="204"/>
      <c r="AH1156" s="204"/>
      <c r="AI1156" s="209"/>
      <c r="AJ1156" s="209"/>
      <c r="AK1156" s="204"/>
      <c r="AL1156" s="204"/>
      <c r="AM1156" s="204"/>
    </row>
    <row r="1157">
      <c r="A1157" s="204"/>
      <c r="B1157" s="209"/>
      <c r="C1157" s="204"/>
      <c r="D1157" s="210"/>
      <c r="E1157" s="211"/>
      <c r="F1157" s="211"/>
      <c r="G1157" s="212"/>
      <c r="H1157" s="212"/>
      <c r="I1157" s="204"/>
      <c r="J1157" s="204"/>
      <c r="K1157" s="204"/>
      <c r="L1157" s="204"/>
      <c r="M1157" s="204"/>
      <c r="N1157" s="204"/>
      <c r="O1157" s="204"/>
      <c r="P1157" s="204"/>
      <c r="Q1157" s="204"/>
      <c r="R1157" s="204"/>
      <c r="S1157" s="204"/>
      <c r="T1157" s="204"/>
      <c r="U1157" s="204"/>
      <c r="V1157" s="204"/>
      <c r="W1157" s="204"/>
      <c r="X1157" s="204"/>
      <c r="Y1157" s="204"/>
      <c r="Z1157" s="204"/>
      <c r="AA1157" s="204"/>
      <c r="AB1157" s="204"/>
      <c r="AC1157" s="204"/>
      <c r="AD1157" s="204"/>
      <c r="AE1157" s="204"/>
      <c r="AF1157" s="204"/>
      <c r="AG1157" s="204"/>
      <c r="AH1157" s="204"/>
      <c r="AI1157" s="209"/>
      <c r="AJ1157" s="209"/>
      <c r="AK1157" s="204"/>
      <c r="AL1157" s="204"/>
      <c r="AM1157" s="204"/>
    </row>
    <row r="1158">
      <c r="A1158" s="204"/>
      <c r="B1158" s="209"/>
      <c r="C1158" s="204"/>
      <c r="D1158" s="210"/>
      <c r="E1158" s="211"/>
      <c r="F1158" s="211"/>
      <c r="G1158" s="212"/>
      <c r="H1158" s="212"/>
      <c r="I1158" s="204"/>
      <c r="J1158" s="204"/>
      <c r="K1158" s="204"/>
      <c r="L1158" s="204"/>
      <c r="M1158" s="204"/>
      <c r="N1158" s="204"/>
      <c r="O1158" s="204"/>
      <c r="P1158" s="204"/>
      <c r="Q1158" s="204"/>
      <c r="R1158" s="204"/>
      <c r="S1158" s="204"/>
      <c r="T1158" s="204"/>
      <c r="U1158" s="204"/>
      <c r="V1158" s="204"/>
      <c r="W1158" s="204"/>
      <c r="X1158" s="204"/>
      <c r="Y1158" s="204"/>
      <c r="Z1158" s="204"/>
      <c r="AA1158" s="204"/>
      <c r="AB1158" s="204"/>
      <c r="AC1158" s="204"/>
      <c r="AD1158" s="204"/>
      <c r="AE1158" s="204"/>
      <c r="AF1158" s="204"/>
      <c r="AG1158" s="204"/>
      <c r="AH1158" s="204"/>
      <c r="AI1158" s="209"/>
      <c r="AJ1158" s="209"/>
      <c r="AK1158" s="204"/>
      <c r="AL1158" s="204"/>
      <c r="AM1158" s="204"/>
    </row>
    <row r="1159">
      <c r="A1159" s="204"/>
      <c r="B1159" s="209"/>
      <c r="C1159" s="204"/>
      <c r="D1159" s="210"/>
      <c r="E1159" s="211"/>
      <c r="F1159" s="211"/>
      <c r="G1159" s="212"/>
      <c r="H1159" s="212"/>
      <c r="I1159" s="204"/>
      <c r="J1159" s="204"/>
      <c r="K1159" s="204"/>
      <c r="L1159" s="204"/>
      <c r="M1159" s="204"/>
      <c r="N1159" s="204"/>
      <c r="O1159" s="204"/>
      <c r="P1159" s="204"/>
      <c r="Q1159" s="204"/>
      <c r="R1159" s="204"/>
      <c r="S1159" s="204"/>
      <c r="T1159" s="204"/>
      <c r="U1159" s="204"/>
      <c r="V1159" s="204"/>
      <c r="W1159" s="204"/>
      <c r="X1159" s="204"/>
      <c r="Y1159" s="204"/>
      <c r="Z1159" s="204"/>
      <c r="AA1159" s="204"/>
      <c r="AB1159" s="204"/>
      <c r="AC1159" s="204"/>
      <c r="AD1159" s="204"/>
      <c r="AE1159" s="204"/>
      <c r="AF1159" s="204"/>
      <c r="AG1159" s="204"/>
      <c r="AH1159" s="204"/>
      <c r="AI1159" s="209"/>
      <c r="AJ1159" s="209"/>
      <c r="AK1159" s="204"/>
      <c r="AL1159" s="204"/>
      <c r="AM1159" s="204"/>
    </row>
    <row r="1160">
      <c r="A1160" s="204"/>
      <c r="B1160" s="209"/>
      <c r="C1160" s="204"/>
      <c r="D1160" s="210"/>
      <c r="E1160" s="211"/>
      <c r="F1160" s="211"/>
      <c r="G1160" s="212"/>
      <c r="H1160" s="212"/>
      <c r="I1160" s="204"/>
      <c r="J1160" s="204"/>
      <c r="K1160" s="204"/>
      <c r="L1160" s="204"/>
      <c r="M1160" s="204"/>
      <c r="N1160" s="204"/>
      <c r="O1160" s="204"/>
      <c r="P1160" s="204"/>
      <c r="Q1160" s="204"/>
      <c r="R1160" s="204"/>
      <c r="S1160" s="204"/>
      <c r="T1160" s="204"/>
      <c r="U1160" s="204"/>
      <c r="V1160" s="204"/>
      <c r="W1160" s="204"/>
      <c r="X1160" s="204"/>
      <c r="Y1160" s="204"/>
      <c r="Z1160" s="204"/>
      <c r="AA1160" s="204"/>
      <c r="AB1160" s="204"/>
      <c r="AC1160" s="204"/>
      <c r="AD1160" s="204"/>
      <c r="AE1160" s="204"/>
      <c r="AF1160" s="204"/>
      <c r="AG1160" s="204"/>
      <c r="AH1160" s="204"/>
      <c r="AI1160" s="209"/>
      <c r="AJ1160" s="209"/>
      <c r="AK1160" s="204"/>
      <c r="AL1160" s="204"/>
      <c r="AM1160" s="204"/>
    </row>
    <row r="1161">
      <c r="A1161" s="204"/>
      <c r="B1161" s="209"/>
      <c r="C1161" s="204"/>
      <c r="D1161" s="210"/>
      <c r="E1161" s="211"/>
      <c r="F1161" s="211"/>
      <c r="G1161" s="212"/>
      <c r="H1161" s="212"/>
      <c r="I1161" s="204"/>
      <c r="J1161" s="204"/>
      <c r="K1161" s="204"/>
      <c r="L1161" s="204"/>
      <c r="M1161" s="204"/>
      <c r="N1161" s="204"/>
      <c r="O1161" s="204"/>
      <c r="P1161" s="204"/>
      <c r="Q1161" s="204"/>
      <c r="R1161" s="204"/>
      <c r="S1161" s="204"/>
      <c r="T1161" s="204"/>
      <c r="U1161" s="204"/>
      <c r="V1161" s="204"/>
      <c r="W1161" s="204"/>
      <c r="X1161" s="204"/>
      <c r="Y1161" s="204"/>
      <c r="Z1161" s="204"/>
      <c r="AA1161" s="204"/>
      <c r="AB1161" s="204"/>
      <c r="AC1161" s="204"/>
      <c r="AD1161" s="204"/>
      <c r="AE1161" s="204"/>
      <c r="AF1161" s="204"/>
      <c r="AG1161" s="204"/>
      <c r="AH1161" s="204"/>
      <c r="AI1161" s="209"/>
      <c r="AJ1161" s="209"/>
      <c r="AK1161" s="204"/>
      <c r="AL1161" s="204"/>
      <c r="AM1161" s="204"/>
    </row>
    <row r="1162">
      <c r="A1162" s="204"/>
      <c r="B1162" s="209"/>
      <c r="C1162" s="204"/>
      <c r="D1162" s="210"/>
      <c r="E1162" s="211"/>
      <c r="F1162" s="211"/>
      <c r="G1162" s="212"/>
      <c r="H1162" s="212"/>
      <c r="I1162" s="204"/>
      <c r="J1162" s="204"/>
      <c r="K1162" s="204"/>
      <c r="L1162" s="204"/>
      <c r="M1162" s="204"/>
      <c r="N1162" s="204"/>
      <c r="O1162" s="204"/>
      <c r="P1162" s="204"/>
      <c r="Q1162" s="204"/>
      <c r="R1162" s="204"/>
      <c r="S1162" s="204"/>
      <c r="T1162" s="204"/>
      <c r="U1162" s="204"/>
      <c r="V1162" s="204"/>
      <c r="W1162" s="204"/>
      <c r="X1162" s="204"/>
      <c r="Y1162" s="204"/>
      <c r="Z1162" s="204"/>
      <c r="AA1162" s="204"/>
      <c r="AB1162" s="204"/>
      <c r="AC1162" s="204"/>
      <c r="AD1162" s="204"/>
      <c r="AE1162" s="204"/>
      <c r="AF1162" s="204"/>
      <c r="AG1162" s="204"/>
      <c r="AH1162" s="204"/>
      <c r="AI1162" s="209"/>
      <c r="AJ1162" s="209"/>
      <c r="AK1162" s="204"/>
      <c r="AL1162" s="204"/>
      <c r="AM1162" s="204"/>
    </row>
    <row r="1163">
      <c r="A1163" s="204"/>
      <c r="B1163" s="209"/>
      <c r="C1163" s="204"/>
      <c r="D1163" s="210"/>
      <c r="E1163" s="211"/>
      <c r="F1163" s="211"/>
      <c r="G1163" s="212"/>
      <c r="H1163" s="212"/>
      <c r="I1163" s="204"/>
      <c r="J1163" s="204"/>
      <c r="K1163" s="204"/>
      <c r="L1163" s="204"/>
      <c r="M1163" s="204"/>
      <c r="N1163" s="204"/>
      <c r="O1163" s="204"/>
      <c r="P1163" s="204"/>
      <c r="Q1163" s="204"/>
      <c r="R1163" s="204"/>
      <c r="S1163" s="204"/>
      <c r="T1163" s="204"/>
      <c r="U1163" s="204"/>
      <c r="V1163" s="204"/>
      <c r="W1163" s="204"/>
      <c r="X1163" s="204"/>
      <c r="Y1163" s="204"/>
      <c r="Z1163" s="204"/>
      <c r="AA1163" s="204"/>
      <c r="AB1163" s="204"/>
      <c r="AC1163" s="204"/>
      <c r="AD1163" s="204"/>
      <c r="AE1163" s="204"/>
      <c r="AF1163" s="204"/>
      <c r="AG1163" s="204"/>
      <c r="AH1163" s="204"/>
      <c r="AI1163" s="209"/>
      <c r="AJ1163" s="209"/>
      <c r="AK1163" s="204"/>
      <c r="AL1163" s="204"/>
      <c r="AM1163" s="204"/>
    </row>
    <row r="1164">
      <c r="A1164" s="204"/>
      <c r="B1164" s="209"/>
      <c r="C1164" s="204"/>
      <c r="D1164" s="210"/>
      <c r="E1164" s="211"/>
      <c r="F1164" s="211"/>
      <c r="G1164" s="212"/>
      <c r="H1164" s="212"/>
      <c r="I1164" s="204"/>
      <c r="J1164" s="204"/>
      <c r="K1164" s="204"/>
      <c r="L1164" s="204"/>
      <c r="M1164" s="204"/>
      <c r="N1164" s="204"/>
      <c r="O1164" s="204"/>
      <c r="P1164" s="204"/>
      <c r="Q1164" s="204"/>
      <c r="R1164" s="204"/>
      <c r="S1164" s="204"/>
      <c r="T1164" s="204"/>
      <c r="U1164" s="204"/>
      <c r="V1164" s="204"/>
      <c r="W1164" s="204"/>
      <c r="X1164" s="204"/>
      <c r="Y1164" s="204"/>
      <c r="Z1164" s="204"/>
      <c r="AA1164" s="204"/>
      <c r="AB1164" s="204"/>
      <c r="AC1164" s="204"/>
      <c r="AD1164" s="204"/>
      <c r="AE1164" s="204"/>
      <c r="AF1164" s="204"/>
      <c r="AG1164" s="204"/>
      <c r="AH1164" s="204"/>
      <c r="AI1164" s="209"/>
      <c r="AJ1164" s="209"/>
      <c r="AK1164" s="204"/>
      <c r="AL1164" s="204"/>
      <c r="AM1164" s="204"/>
    </row>
    <row r="1165">
      <c r="A1165" s="204"/>
      <c r="B1165" s="209"/>
      <c r="C1165" s="204"/>
      <c r="D1165" s="210"/>
      <c r="E1165" s="211"/>
      <c r="F1165" s="211"/>
      <c r="G1165" s="212"/>
      <c r="H1165" s="212"/>
      <c r="I1165" s="204"/>
      <c r="J1165" s="204"/>
      <c r="K1165" s="204"/>
      <c r="L1165" s="204"/>
      <c r="M1165" s="204"/>
      <c r="N1165" s="204"/>
      <c r="O1165" s="204"/>
      <c r="P1165" s="204"/>
      <c r="Q1165" s="204"/>
      <c r="R1165" s="204"/>
      <c r="S1165" s="204"/>
      <c r="T1165" s="204"/>
      <c r="U1165" s="204"/>
      <c r="V1165" s="204"/>
      <c r="W1165" s="204"/>
      <c r="X1165" s="204"/>
      <c r="Y1165" s="204"/>
      <c r="Z1165" s="204"/>
      <c r="AA1165" s="204"/>
      <c r="AB1165" s="204"/>
      <c r="AC1165" s="204"/>
      <c r="AD1165" s="204"/>
      <c r="AE1165" s="204"/>
      <c r="AF1165" s="204"/>
      <c r="AG1165" s="204"/>
      <c r="AH1165" s="204"/>
      <c r="AI1165" s="209"/>
      <c r="AJ1165" s="209"/>
      <c r="AK1165" s="204"/>
      <c r="AL1165" s="204"/>
      <c r="AM1165" s="204"/>
    </row>
    <row r="1166">
      <c r="A1166" s="204"/>
      <c r="B1166" s="209"/>
      <c r="C1166" s="204"/>
      <c r="D1166" s="210"/>
      <c r="E1166" s="211"/>
      <c r="F1166" s="211"/>
      <c r="G1166" s="212"/>
      <c r="H1166" s="212"/>
      <c r="I1166" s="204"/>
      <c r="J1166" s="204"/>
      <c r="K1166" s="204"/>
      <c r="L1166" s="204"/>
      <c r="M1166" s="204"/>
      <c r="N1166" s="204"/>
      <c r="O1166" s="204"/>
      <c r="P1166" s="204"/>
      <c r="Q1166" s="204"/>
      <c r="R1166" s="204"/>
      <c r="S1166" s="204"/>
      <c r="T1166" s="204"/>
      <c r="U1166" s="204"/>
      <c r="V1166" s="204"/>
      <c r="W1166" s="204"/>
      <c r="X1166" s="204"/>
      <c r="Y1166" s="204"/>
      <c r="Z1166" s="204"/>
      <c r="AA1166" s="204"/>
      <c r="AB1166" s="204"/>
      <c r="AC1166" s="204"/>
      <c r="AD1166" s="204"/>
      <c r="AE1166" s="204"/>
      <c r="AF1166" s="204"/>
      <c r="AG1166" s="204"/>
      <c r="AH1166" s="204"/>
      <c r="AI1166" s="209"/>
      <c r="AJ1166" s="209"/>
      <c r="AK1166" s="204"/>
      <c r="AL1166" s="204"/>
      <c r="AM1166" s="204"/>
    </row>
    <row r="1167">
      <c r="A1167" s="204"/>
      <c r="B1167" s="209"/>
      <c r="C1167" s="204"/>
      <c r="D1167" s="210"/>
      <c r="E1167" s="211"/>
      <c r="F1167" s="211"/>
      <c r="G1167" s="212"/>
      <c r="H1167" s="212"/>
      <c r="I1167" s="204"/>
      <c r="J1167" s="204"/>
      <c r="K1167" s="204"/>
      <c r="L1167" s="204"/>
      <c r="M1167" s="204"/>
      <c r="N1167" s="204"/>
      <c r="O1167" s="204"/>
      <c r="P1167" s="204"/>
      <c r="Q1167" s="204"/>
      <c r="R1167" s="204"/>
      <c r="S1167" s="204"/>
      <c r="T1167" s="204"/>
      <c r="U1167" s="204"/>
      <c r="V1167" s="204"/>
      <c r="W1167" s="204"/>
      <c r="X1167" s="204"/>
      <c r="Y1167" s="204"/>
      <c r="Z1167" s="204"/>
      <c r="AA1167" s="204"/>
      <c r="AB1167" s="204"/>
      <c r="AC1167" s="204"/>
      <c r="AD1167" s="204"/>
      <c r="AE1167" s="204"/>
      <c r="AF1167" s="204"/>
      <c r="AG1167" s="204"/>
      <c r="AH1167" s="204"/>
      <c r="AI1167" s="209"/>
      <c r="AJ1167" s="209"/>
      <c r="AK1167" s="204"/>
      <c r="AL1167" s="204"/>
      <c r="AM1167" s="204"/>
    </row>
    <row r="1168">
      <c r="A1168" s="204"/>
      <c r="B1168" s="209"/>
      <c r="C1168" s="204"/>
      <c r="D1168" s="210"/>
      <c r="E1168" s="211"/>
      <c r="F1168" s="211"/>
      <c r="G1168" s="212"/>
      <c r="H1168" s="212"/>
      <c r="I1168" s="204"/>
      <c r="J1168" s="204"/>
      <c r="K1168" s="204"/>
      <c r="L1168" s="204"/>
      <c r="M1168" s="204"/>
      <c r="N1168" s="204"/>
      <c r="O1168" s="204"/>
      <c r="P1168" s="204"/>
      <c r="Q1168" s="204"/>
      <c r="R1168" s="204"/>
      <c r="S1168" s="204"/>
      <c r="T1168" s="204"/>
      <c r="U1168" s="204"/>
      <c r="V1168" s="204"/>
      <c r="W1168" s="204"/>
      <c r="X1168" s="204"/>
      <c r="Y1168" s="204"/>
      <c r="Z1168" s="204"/>
      <c r="AA1168" s="204"/>
      <c r="AB1168" s="204"/>
      <c r="AC1168" s="204"/>
      <c r="AD1168" s="204"/>
      <c r="AE1168" s="204"/>
      <c r="AF1168" s="204"/>
      <c r="AG1168" s="204"/>
      <c r="AH1168" s="204"/>
      <c r="AI1168" s="209"/>
      <c r="AJ1168" s="209"/>
      <c r="AK1168" s="204"/>
      <c r="AL1168" s="204"/>
      <c r="AM1168" s="204"/>
    </row>
    <row r="1169">
      <c r="A1169" s="204"/>
      <c r="B1169" s="209"/>
      <c r="C1169" s="204"/>
      <c r="D1169" s="210"/>
      <c r="E1169" s="211"/>
      <c r="F1169" s="211"/>
      <c r="G1169" s="212"/>
      <c r="H1169" s="212"/>
      <c r="I1169" s="204"/>
      <c r="J1169" s="204"/>
      <c r="K1169" s="204"/>
      <c r="L1169" s="204"/>
      <c r="M1169" s="204"/>
      <c r="N1169" s="204"/>
      <c r="O1169" s="204"/>
      <c r="P1169" s="204"/>
      <c r="Q1169" s="204"/>
      <c r="R1169" s="204"/>
      <c r="S1169" s="204"/>
      <c r="T1169" s="204"/>
      <c r="U1169" s="204"/>
      <c r="V1169" s="204"/>
      <c r="W1169" s="204"/>
      <c r="X1169" s="204"/>
      <c r="Y1169" s="204"/>
      <c r="Z1169" s="204"/>
      <c r="AA1169" s="204"/>
      <c r="AB1169" s="204"/>
      <c r="AC1169" s="204"/>
      <c r="AD1169" s="204"/>
      <c r="AE1169" s="204"/>
      <c r="AF1169" s="204"/>
      <c r="AG1169" s="204"/>
      <c r="AH1169" s="204"/>
      <c r="AI1169" s="209"/>
      <c r="AJ1169" s="209"/>
      <c r="AK1169" s="204"/>
      <c r="AL1169" s="204"/>
      <c r="AM1169" s="204"/>
    </row>
    <row r="1170">
      <c r="A1170" s="204"/>
      <c r="B1170" s="209"/>
      <c r="C1170" s="204"/>
      <c r="D1170" s="210"/>
      <c r="E1170" s="211"/>
      <c r="F1170" s="211"/>
      <c r="G1170" s="212"/>
      <c r="H1170" s="212"/>
      <c r="I1170" s="204"/>
      <c r="J1170" s="204"/>
      <c r="K1170" s="204"/>
      <c r="L1170" s="204"/>
      <c r="M1170" s="204"/>
      <c r="N1170" s="204"/>
      <c r="O1170" s="204"/>
      <c r="P1170" s="204"/>
      <c r="Q1170" s="204"/>
      <c r="R1170" s="204"/>
      <c r="S1170" s="204"/>
      <c r="T1170" s="204"/>
      <c r="U1170" s="204"/>
      <c r="V1170" s="204"/>
      <c r="W1170" s="204"/>
      <c r="X1170" s="204"/>
      <c r="Y1170" s="204"/>
      <c r="Z1170" s="204"/>
      <c r="AA1170" s="204"/>
      <c r="AB1170" s="204"/>
      <c r="AC1170" s="204"/>
      <c r="AD1170" s="204"/>
      <c r="AE1170" s="204"/>
      <c r="AF1170" s="204"/>
      <c r="AG1170" s="204"/>
      <c r="AH1170" s="204"/>
      <c r="AI1170" s="209"/>
      <c r="AJ1170" s="209"/>
      <c r="AK1170" s="204"/>
      <c r="AL1170" s="204"/>
      <c r="AM1170" s="204"/>
    </row>
    <row r="1171">
      <c r="A1171" s="204"/>
      <c r="B1171" s="209"/>
      <c r="C1171" s="204"/>
      <c r="D1171" s="210"/>
      <c r="E1171" s="211"/>
      <c r="F1171" s="211"/>
      <c r="G1171" s="212"/>
      <c r="H1171" s="212"/>
      <c r="I1171" s="204"/>
      <c r="J1171" s="204"/>
      <c r="K1171" s="204"/>
      <c r="L1171" s="204"/>
      <c r="M1171" s="204"/>
      <c r="N1171" s="204"/>
      <c r="O1171" s="204"/>
      <c r="P1171" s="204"/>
      <c r="Q1171" s="204"/>
      <c r="R1171" s="204"/>
      <c r="S1171" s="204"/>
      <c r="T1171" s="204"/>
      <c r="U1171" s="204"/>
      <c r="V1171" s="204"/>
      <c r="W1171" s="204"/>
      <c r="X1171" s="204"/>
      <c r="Y1171" s="204"/>
      <c r="Z1171" s="204"/>
      <c r="AA1171" s="204"/>
      <c r="AB1171" s="204"/>
      <c r="AC1171" s="204"/>
      <c r="AD1171" s="204"/>
      <c r="AE1171" s="204"/>
      <c r="AF1171" s="204"/>
      <c r="AG1171" s="204"/>
      <c r="AH1171" s="204"/>
      <c r="AI1171" s="209"/>
      <c r="AJ1171" s="209"/>
      <c r="AK1171" s="204"/>
      <c r="AL1171" s="204"/>
      <c r="AM1171" s="204"/>
    </row>
    <row r="1172">
      <c r="A1172" s="204"/>
      <c r="B1172" s="209"/>
      <c r="C1172" s="204"/>
      <c r="D1172" s="210"/>
      <c r="E1172" s="211"/>
      <c r="F1172" s="211"/>
      <c r="G1172" s="212"/>
      <c r="H1172" s="212"/>
      <c r="I1172" s="204"/>
      <c r="J1172" s="204"/>
      <c r="K1172" s="204"/>
      <c r="L1172" s="204"/>
      <c r="M1172" s="204"/>
      <c r="N1172" s="204"/>
      <c r="O1172" s="204"/>
      <c r="P1172" s="204"/>
      <c r="Q1172" s="204"/>
      <c r="R1172" s="204"/>
      <c r="S1172" s="204"/>
      <c r="T1172" s="204"/>
      <c r="U1172" s="204"/>
      <c r="V1172" s="204"/>
      <c r="W1172" s="204"/>
      <c r="X1172" s="204"/>
      <c r="Y1172" s="204"/>
      <c r="Z1172" s="204"/>
      <c r="AA1172" s="204"/>
      <c r="AB1172" s="204"/>
      <c r="AC1172" s="204"/>
      <c r="AD1172" s="204"/>
      <c r="AE1172" s="204"/>
      <c r="AF1172" s="204"/>
      <c r="AG1172" s="204"/>
      <c r="AH1172" s="204"/>
      <c r="AI1172" s="209"/>
      <c r="AJ1172" s="209"/>
      <c r="AK1172" s="204"/>
      <c r="AL1172" s="204"/>
      <c r="AM1172" s="204"/>
    </row>
    <row r="1173">
      <c r="A1173" s="204"/>
      <c r="B1173" s="209"/>
      <c r="C1173" s="204"/>
      <c r="D1173" s="210"/>
      <c r="E1173" s="211"/>
      <c r="F1173" s="211"/>
      <c r="G1173" s="212"/>
      <c r="H1173" s="212"/>
      <c r="I1173" s="204"/>
      <c r="J1173" s="204"/>
      <c r="K1173" s="204"/>
      <c r="L1173" s="204"/>
      <c r="M1173" s="204"/>
      <c r="N1173" s="204"/>
      <c r="O1173" s="204"/>
      <c r="P1173" s="204"/>
      <c r="Q1173" s="204"/>
      <c r="R1173" s="204"/>
      <c r="S1173" s="204"/>
      <c r="T1173" s="204"/>
      <c r="U1173" s="204"/>
      <c r="V1173" s="204"/>
      <c r="W1173" s="204"/>
      <c r="X1173" s="204"/>
      <c r="Y1173" s="204"/>
      <c r="Z1173" s="204"/>
      <c r="AA1173" s="204"/>
      <c r="AB1173" s="204"/>
      <c r="AC1173" s="204"/>
      <c r="AD1173" s="204"/>
      <c r="AE1173" s="204"/>
      <c r="AF1173" s="204"/>
      <c r="AG1173" s="204"/>
      <c r="AH1173" s="204"/>
      <c r="AI1173" s="209"/>
      <c r="AJ1173" s="209"/>
      <c r="AK1173" s="204"/>
      <c r="AL1173" s="204"/>
      <c r="AM1173" s="204"/>
    </row>
    <row r="1174">
      <c r="A1174" s="204"/>
      <c r="B1174" s="209"/>
      <c r="C1174" s="204"/>
      <c r="D1174" s="210"/>
      <c r="E1174" s="211"/>
      <c r="F1174" s="211"/>
      <c r="G1174" s="212"/>
      <c r="H1174" s="212"/>
      <c r="I1174" s="204"/>
      <c r="J1174" s="204"/>
      <c r="K1174" s="204"/>
      <c r="L1174" s="204"/>
      <c r="M1174" s="204"/>
      <c r="N1174" s="204"/>
      <c r="O1174" s="204"/>
      <c r="P1174" s="204"/>
      <c r="Q1174" s="204"/>
      <c r="R1174" s="204"/>
      <c r="S1174" s="204"/>
      <c r="T1174" s="204"/>
      <c r="U1174" s="204"/>
      <c r="V1174" s="204"/>
      <c r="W1174" s="204"/>
      <c r="X1174" s="204"/>
      <c r="Y1174" s="204"/>
      <c r="Z1174" s="204"/>
      <c r="AA1174" s="204"/>
      <c r="AB1174" s="204"/>
      <c r="AC1174" s="204"/>
      <c r="AD1174" s="204"/>
      <c r="AE1174" s="204"/>
      <c r="AF1174" s="204"/>
      <c r="AG1174" s="204"/>
      <c r="AH1174" s="204"/>
      <c r="AI1174" s="209"/>
      <c r="AJ1174" s="209"/>
      <c r="AK1174" s="204"/>
      <c r="AL1174" s="204"/>
      <c r="AM1174" s="204"/>
    </row>
    <row r="1175">
      <c r="A1175" s="204"/>
      <c r="B1175" s="209"/>
      <c r="C1175" s="204"/>
      <c r="D1175" s="210"/>
      <c r="E1175" s="211"/>
      <c r="F1175" s="211"/>
      <c r="G1175" s="212"/>
      <c r="H1175" s="212"/>
      <c r="I1175" s="204"/>
      <c r="J1175" s="204"/>
      <c r="K1175" s="204"/>
      <c r="L1175" s="204"/>
      <c r="M1175" s="204"/>
      <c r="N1175" s="204"/>
      <c r="O1175" s="204"/>
      <c r="P1175" s="204"/>
      <c r="Q1175" s="204"/>
      <c r="R1175" s="204"/>
      <c r="S1175" s="204"/>
      <c r="T1175" s="204"/>
      <c r="U1175" s="204"/>
      <c r="V1175" s="204"/>
      <c r="W1175" s="204"/>
      <c r="X1175" s="204"/>
      <c r="Y1175" s="204"/>
      <c r="Z1175" s="204"/>
      <c r="AA1175" s="204"/>
      <c r="AB1175" s="204"/>
      <c r="AC1175" s="204"/>
      <c r="AD1175" s="204"/>
      <c r="AE1175" s="204"/>
      <c r="AF1175" s="204"/>
      <c r="AG1175" s="204"/>
      <c r="AH1175" s="204"/>
      <c r="AI1175" s="209"/>
      <c r="AJ1175" s="209"/>
      <c r="AK1175" s="204"/>
      <c r="AL1175" s="204"/>
      <c r="AM1175" s="204"/>
    </row>
    <row r="1176">
      <c r="A1176" s="204"/>
      <c r="B1176" s="209"/>
      <c r="C1176" s="204"/>
      <c r="D1176" s="210"/>
      <c r="E1176" s="211"/>
      <c r="F1176" s="211"/>
      <c r="G1176" s="212"/>
      <c r="H1176" s="212"/>
      <c r="I1176" s="204"/>
      <c r="J1176" s="204"/>
      <c r="K1176" s="204"/>
      <c r="L1176" s="204"/>
      <c r="M1176" s="204"/>
      <c r="N1176" s="204"/>
      <c r="O1176" s="204"/>
      <c r="P1176" s="204"/>
      <c r="Q1176" s="204"/>
      <c r="R1176" s="204"/>
      <c r="S1176" s="204"/>
      <c r="T1176" s="204"/>
      <c r="U1176" s="204"/>
      <c r="V1176" s="204"/>
      <c r="W1176" s="204"/>
      <c r="X1176" s="204"/>
      <c r="Y1176" s="204"/>
      <c r="Z1176" s="204"/>
      <c r="AA1176" s="204"/>
      <c r="AB1176" s="204"/>
      <c r="AC1176" s="204"/>
      <c r="AD1176" s="204"/>
      <c r="AE1176" s="204"/>
      <c r="AF1176" s="204"/>
      <c r="AG1176" s="204"/>
      <c r="AH1176" s="204"/>
      <c r="AI1176" s="209"/>
      <c r="AJ1176" s="209"/>
      <c r="AK1176" s="204"/>
      <c r="AL1176" s="204"/>
      <c r="AM1176" s="204"/>
    </row>
    <row r="1177">
      <c r="A1177" s="204"/>
      <c r="B1177" s="209"/>
      <c r="C1177" s="204"/>
      <c r="D1177" s="210"/>
      <c r="E1177" s="211"/>
      <c r="F1177" s="211"/>
      <c r="G1177" s="212"/>
      <c r="H1177" s="212"/>
      <c r="I1177" s="204"/>
      <c r="J1177" s="204"/>
      <c r="K1177" s="204"/>
      <c r="L1177" s="204"/>
      <c r="M1177" s="204"/>
      <c r="N1177" s="204"/>
      <c r="O1177" s="204"/>
      <c r="P1177" s="204"/>
      <c r="Q1177" s="204"/>
      <c r="R1177" s="204"/>
      <c r="S1177" s="204"/>
      <c r="T1177" s="204"/>
      <c r="U1177" s="204"/>
      <c r="V1177" s="204"/>
      <c r="W1177" s="204"/>
      <c r="X1177" s="204"/>
      <c r="Y1177" s="204"/>
      <c r="Z1177" s="204"/>
      <c r="AA1177" s="204"/>
      <c r="AB1177" s="204"/>
      <c r="AC1177" s="204"/>
      <c r="AD1177" s="204"/>
      <c r="AE1177" s="204"/>
      <c r="AF1177" s="204"/>
      <c r="AG1177" s="204"/>
      <c r="AH1177" s="204"/>
      <c r="AI1177" s="209"/>
      <c r="AJ1177" s="209"/>
      <c r="AK1177" s="204"/>
      <c r="AL1177" s="204"/>
      <c r="AM1177" s="204"/>
    </row>
    <row r="1178">
      <c r="A1178" s="204"/>
      <c r="B1178" s="209"/>
      <c r="C1178" s="204"/>
      <c r="D1178" s="210"/>
      <c r="E1178" s="211"/>
      <c r="F1178" s="211"/>
      <c r="G1178" s="212"/>
      <c r="H1178" s="212"/>
      <c r="I1178" s="204"/>
      <c r="J1178" s="204"/>
      <c r="K1178" s="204"/>
      <c r="L1178" s="204"/>
      <c r="M1178" s="204"/>
      <c r="N1178" s="204"/>
      <c r="O1178" s="204"/>
      <c r="P1178" s="204"/>
      <c r="Q1178" s="204"/>
      <c r="R1178" s="204"/>
      <c r="S1178" s="204"/>
      <c r="T1178" s="204"/>
      <c r="U1178" s="204"/>
      <c r="V1178" s="204"/>
      <c r="W1178" s="204"/>
      <c r="X1178" s="204"/>
      <c r="Y1178" s="204"/>
      <c r="Z1178" s="204"/>
      <c r="AA1178" s="204"/>
      <c r="AB1178" s="204"/>
      <c r="AC1178" s="204"/>
      <c r="AD1178" s="204"/>
      <c r="AE1178" s="204"/>
      <c r="AF1178" s="204"/>
      <c r="AG1178" s="204"/>
      <c r="AH1178" s="204"/>
      <c r="AI1178" s="209"/>
      <c r="AJ1178" s="209"/>
      <c r="AK1178" s="204"/>
      <c r="AL1178" s="204"/>
      <c r="AM1178" s="204"/>
    </row>
    <row r="1179">
      <c r="A1179" s="204"/>
      <c r="B1179" s="209"/>
      <c r="C1179" s="204"/>
      <c r="D1179" s="210"/>
      <c r="E1179" s="211"/>
      <c r="F1179" s="211"/>
      <c r="G1179" s="212"/>
      <c r="H1179" s="212"/>
      <c r="I1179" s="204"/>
      <c r="J1179" s="204"/>
      <c r="K1179" s="204"/>
      <c r="L1179" s="204"/>
      <c r="M1179" s="204"/>
      <c r="N1179" s="204"/>
      <c r="O1179" s="204"/>
      <c r="P1179" s="204"/>
      <c r="Q1179" s="204"/>
      <c r="R1179" s="204"/>
      <c r="S1179" s="204"/>
      <c r="T1179" s="204"/>
      <c r="U1179" s="204"/>
      <c r="V1179" s="204"/>
      <c r="W1179" s="204"/>
      <c r="X1179" s="204"/>
      <c r="Y1179" s="204"/>
      <c r="Z1179" s="204"/>
      <c r="AA1179" s="204"/>
      <c r="AB1179" s="204"/>
      <c r="AC1179" s="204"/>
      <c r="AD1179" s="204"/>
      <c r="AE1179" s="204"/>
      <c r="AF1179" s="204"/>
      <c r="AG1179" s="204"/>
      <c r="AH1179" s="204"/>
      <c r="AI1179" s="209"/>
      <c r="AJ1179" s="209"/>
      <c r="AK1179" s="204"/>
      <c r="AL1179" s="204"/>
      <c r="AM1179" s="204"/>
    </row>
    <row r="1180">
      <c r="A1180" s="204"/>
      <c r="B1180" s="209"/>
      <c r="C1180" s="204"/>
      <c r="D1180" s="210"/>
      <c r="E1180" s="211"/>
      <c r="F1180" s="211"/>
      <c r="G1180" s="212"/>
      <c r="H1180" s="212"/>
      <c r="I1180" s="204"/>
      <c r="J1180" s="204"/>
      <c r="K1180" s="204"/>
      <c r="L1180" s="204"/>
      <c r="M1180" s="204"/>
      <c r="N1180" s="204"/>
      <c r="O1180" s="204"/>
      <c r="P1180" s="204"/>
      <c r="Q1180" s="204"/>
      <c r="R1180" s="204"/>
      <c r="S1180" s="204"/>
      <c r="T1180" s="204"/>
      <c r="U1180" s="204"/>
      <c r="V1180" s="204"/>
      <c r="W1180" s="204"/>
      <c r="X1180" s="204"/>
      <c r="Y1180" s="204"/>
      <c r="Z1180" s="204"/>
      <c r="AA1180" s="204"/>
      <c r="AB1180" s="204"/>
      <c r="AC1180" s="204"/>
      <c r="AD1180" s="204"/>
      <c r="AE1180" s="204"/>
      <c r="AF1180" s="204"/>
      <c r="AG1180" s="204"/>
      <c r="AH1180" s="204"/>
      <c r="AI1180" s="209"/>
      <c r="AJ1180" s="209"/>
      <c r="AK1180" s="204"/>
      <c r="AL1180" s="204"/>
      <c r="AM1180" s="204"/>
    </row>
    <row r="1181">
      <c r="A1181" s="204"/>
      <c r="B1181" s="209"/>
      <c r="C1181" s="204"/>
      <c r="D1181" s="210"/>
      <c r="E1181" s="211"/>
      <c r="F1181" s="211"/>
      <c r="G1181" s="212"/>
      <c r="H1181" s="212"/>
      <c r="I1181" s="204"/>
      <c r="J1181" s="204"/>
      <c r="K1181" s="204"/>
      <c r="L1181" s="204"/>
      <c r="M1181" s="204"/>
      <c r="N1181" s="204"/>
      <c r="O1181" s="204"/>
      <c r="P1181" s="204"/>
      <c r="Q1181" s="204"/>
      <c r="R1181" s="204"/>
      <c r="S1181" s="204"/>
      <c r="T1181" s="204"/>
      <c r="U1181" s="204"/>
      <c r="V1181" s="204"/>
      <c r="W1181" s="204"/>
      <c r="X1181" s="204"/>
      <c r="Y1181" s="204"/>
      <c r="Z1181" s="204"/>
      <c r="AA1181" s="204"/>
      <c r="AB1181" s="204"/>
      <c r="AC1181" s="204"/>
      <c r="AD1181" s="204"/>
      <c r="AE1181" s="204"/>
      <c r="AF1181" s="204"/>
      <c r="AG1181" s="204"/>
      <c r="AH1181" s="204"/>
      <c r="AI1181" s="209"/>
      <c r="AJ1181" s="209"/>
      <c r="AK1181" s="204"/>
      <c r="AL1181" s="204"/>
      <c r="AM1181" s="204"/>
    </row>
    <row r="1182">
      <c r="A1182" s="204"/>
      <c r="B1182" s="209"/>
      <c r="C1182" s="204"/>
      <c r="D1182" s="210"/>
      <c r="E1182" s="211"/>
      <c r="F1182" s="211"/>
      <c r="G1182" s="212"/>
      <c r="H1182" s="212"/>
      <c r="I1182" s="204"/>
      <c r="J1182" s="204"/>
      <c r="K1182" s="204"/>
      <c r="L1182" s="204"/>
      <c r="M1182" s="204"/>
      <c r="N1182" s="204"/>
      <c r="O1182" s="204"/>
      <c r="P1182" s="204"/>
      <c r="Q1182" s="204"/>
      <c r="R1182" s="204"/>
      <c r="S1182" s="204"/>
      <c r="T1182" s="204"/>
      <c r="U1182" s="204"/>
      <c r="V1182" s="204"/>
      <c r="W1182" s="204"/>
      <c r="X1182" s="204"/>
      <c r="Y1182" s="204"/>
      <c r="Z1182" s="204"/>
      <c r="AA1182" s="204"/>
      <c r="AB1182" s="204"/>
      <c r="AC1182" s="204"/>
      <c r="AD1182" s="204"/>
      <c r="AE1182" s="204"/>
      <c r="AF1182" s="204"/>
      <c r="AG1182" s="204"/>
      <c r="AH1182" s="204"/>
      <c r="AI1182" s="209"/>
      <c r="AJ1182" s="209"/>
      <c r="AK1182" s="204"/>
      <c r="AL1182" s="204"/>
      <c r="AM1182" s="204"/>
    </row>
    <row r="1183">
      <c r="A1183" s="204"/>
      <c r="B1183" s="209"/>
      <c r="C1183" s="204"/>
      <c r="D1183" s="210"/>
      <c r="E1183" s="211"/>
      <c r="F1183" s="211"/>
      <c r="G1183" s="212"/>
      <c r="H1183" s="212"/>
      <c r="I1183" s="204"/>
      <c r="J1183" s="204"/>
      <c r="K1183" s="204"/>
      <c r="L1183" s="204"/>
      <c r="M1183" s="204"/>
      <c r="N1183" s="204"/>
      <c r="O1183" s="204"/>
      <c r="P1183" s="204"/>
      <c r="Q1183" s="204"/>
      <c r="R1183" s="204"/>
      <c r="S1183" s="204"/>
      <c r="T1183" s="204"/>
      <c r="U1183" s="204"/>
      <c r="V1183" s="204"/>
      <c r="W1183" s="204"/>
      <c r="X1183" s="204"/>
      <c r="Y1183" s="204"/>
      <c r="Z1183" s="204"/>
      <c r="AA1183" s="204"/>
      <c r="AB1183" s="204"/>
      <c r="AC1183" s="204"/>
      <c r="AD1183" s="204"/>
      <c r="AE1183" s="204"/>
      <c r="AF1183" s="204"/>
      <c r="AG1183" s="204"/>
      <c r="AH1183" s="204"/>
      <c r="AI1183" s="209"/>
      <c r="AJ1183" s="209"/>
      <c r="AK1183" s="204"/>
      <c r="AL1183" s="204"/>
      <c r="AM1183" s="204"/>
    </row>
    <row r="1184">
      <c r="A1184" s="204"/>
      <c r="B1184" s="209"/>
      <c r="C1184" s="204"/>
      <c r="D1184" s="210"/>
      <c r="E1184" s="211"/>
      <c r="F1184" s="211"/>
      <c r="G1184" s="212"/>
      <c r="H1184" s="212"/>
      <c r="I1184" s="204"/>
      <c r="J1184" s="204"/>
      <c r="K1184" s="204"/>
      <c r="L1184" s="204"/>
      <c r="M1184" s="204"/>
      <c r="N1184" s="204"/>
      <c r="O1184" s="204"/>
      <c r="P1184" s="204"/>
      <c r="Q1184" s="204"/>
      <c r="R1184" s="204"/>
      <c r="S1184" s="204"/>
      <c r="T1184" s="204"/>
      <c r="U1184" s="204"/>
      <c r="V1184" s="204"/>
      <c r="W1184" s="204"/>
      <c r="X1184" s="204"/>
      <c r="Y1184" s="204"/>
      <c r="Z1184" s="204"/>
      <c r="AA1184" s="204"/>
      <c r="AB1184" s="204"/>
      <c r="AC1184" s="204"/>
      <c r="AD1184" s="204"/>
      <c r="AE1184" s="204"/>
      <c r="AF1184" s="204"/>
      <c r="AG1184" s="204"/>
      <c r="AH1184" s="204"/>
      <c r="AI1184" s="209"/>
      <c r="AJ1184" s="209"/>
      <c r="AK1184" s="204"/>
      <c r="AL1184" s="204"/>
      <c r="AM1184" s="204"/>
    </row>
    <row r="1185">
      <c r="A1185" s="204"/>
      <c r="B1185" s="209"/>
      <c r="C1185" s="204"/>
      <c r="D1185" s="210"/>
      <c r="E1185" s="211"/>
      <c r="F1185" s="211"/>
      <c r="G1185" s="212"/>
      <c r="H1185" s="212"/>
      <c r="I1185" s="204"/>
      <c r="J1185" s="204"/>
      <c r="K1185" s="204"/>
      <c r="L1185" s="204"/>
      <c r="M1185" s="204"/>
      <c r="N1185" s="204"/>
      <c r="O1185" s="204"/>
      <c r="P1185" s="204"/>
      <c r="Q1185" s="204"/>
      <c r="R1185" s="204"/>
      <c r="S1185" s="204"/>
      <c r="T1185" s="204"/>
      <c r="U1185" s="204"/>
      <c r="V1185" s="204"/>
      <c r="W1185" s="204"/>
      <c r="X1185" s="204"/>
      <c r="Y1185" s="204"/>
      <c r="Z1185" s="204"/>
      <c r="AA1185" s="204"/>
      <c r="AB1185" s="204"/>
      <c r="AC1185" s="204"/>
      <c r="AD1185" s="204"/>
      <c r="AE1185" s="204"/>
      <c r="AF1185" s="204"/>
      <c r="AG1185" s="204"/>
      <c r="AH1185" s="204"/>
      <c r="AI1185" s="209"/>
      <c r="AJ1185" s="209"/>
      <c r="AK1185" s="204"/>
      <c r="AL1185" s="204"/>
      <c r="AM1185" s="204"/>
    </row>
    <row r="1186">
      <c r="A1186" s="204"/>
      <c r="B1186" s="209"/>
      <c r="C1186" s="204"/>
      <c r="D1186" s="210"/>
      <c r="E1186" s="211"/>
      <c r="F1186" s="211"/>
      <c r="G1186" s="212"/>
      <c r="H1186" s="212"/>
      <c r="I1186" s="204"/>
      <c r="J1186" s="204"/>
      <c r="K1186" s="204"/>
      <c r="L1186" s="204"/>
      <c r="M1186" s="204"/>
      <c r="N1186" s="204"/>
      <c r="O1186" s="204"/>
      <c r="P1186" s="204"/>
      <c r="Q1186" s="204"/>
      <c r="R1186" s="204"/>
      <c r="S1186" s="204"/>
      <c r="T1186" s="204"/>
      <c r="U1186" s="204"/>
      <c r="V1186" s="204"/>
      <c r="W1186" s="204"/>
      <c r="X1186" s="204"/>
      <c r="Y1186" s="204"/>
      <c r="Z1186" s="204"/>
      <c r="AA1186" s="204"/>
      <c r="AB1186" s="204"/>
      <c r="AC1186" s="204"/>
      <c r="AD1186" s="204"/>
      <c r="AE1186" s="204"/>
      <c r="AF1186" s="204"/>
      <c r="AG1186" s="204"/>
      <c r="AH1186" s="204"/>
      <c r="AI1186" s="209"/>
      <c r="AJ1186" s="209"/>
      <c r="AK1186" s="204"/>
      <c r="AL1186" s="204"/>
      <c r="AM1186" s="204"/>
    </row>
    <row r="1187">
      <c r="A1187" s="204"/>
      <c r="B1187" s="209"/>
      <c r="C1187" s="204"/>
      <c r="D1187" s="210"/>
      <c r="E1187" s="211"/>
      <c r="F1187" s="211"/>
      <c r="G1187" s="212"/>
      <c r="H1187" s="212"/>
      <c r="I1187" s="204"/>
      <c r="J1187" s="204"/>
      <c r="K1187" s="204"/>
      <c r="L1187" s="204"/>
      <c r="M1187" s="204"/>
      <c r="N1187" s="204"/>
      <c r="O1187" s="204"/>
      <c r="P1187" s="204"/>
      <c r="Q1187" s="204"/>
      <c r="R1187" s="204"/>
      <c r="S1187" s="204"/>
      <c r="T1187" s="204"/>
      <c r="U1187" s="204"/>
      <c r="V1187" s="204"/>
      <c r="W1187" s="204"/>
      <c r="X1187" s="204"/>
      <c r="Y1187" s="204"/>
      <c r="Z1187" s="204"/>
      <c r="AA1187" s="204"/>
      <c r="AB1187" s="204"/>
      <c r="AC1187" s="204"/>
      <c r="AD1187" s="204"/>
      <c r="AE1187" s="204"/>
      <c r="AF1187" s="204"/>
      <c r="AG1187" s="204"/>
      <c r="AH1187" s="204"/>
      <c r="AI1187" s="209"/>
      <c r="AJ1187" s="209"/>
      <c r="AK1187" s="204"/>
      <c r="AL1187" s="204"/>
      <c r="AM1187" s="204"/>
    </row>
    <row r="1188">
      <c r="A1188" s="204"/>
      <c r="B1188" s="209"/>
      <c r="C1188" s="204"/>
      <c r="D1188" s="210"/>
      <c r="E1188" s="211"/>
      <c r="F1188" s="211"/>
      <c r="G1188" s="212"/>
      <c r="H1188" s="212"/>
      <c r="I1188" s="204"/>
      <c r="J1188" s="204"/>
      <c r="K1188" s="204"/>
      <c r="L1188" s="204"/>
      <c r="M1188" s="204"/>
      <c r="N1188" s="204"/>
      <c r="O1188" s="204"/>
      <c r="P1188" s="204"/>
      <c r="Q1188" s="204"/>
      <c r="R1188" s="204"/>
      <c r="S1188" s="204"/>
      <c r="T1188" s="204"/>
      <c r="U1188" s="204"/>
      <c r="V1188" s="204"/>
      <c r="W1188" s="204"/>
      <c r="X1188" s="204"/>
      <c r="Y1188" s="204"/>
      <c r="Z1188" s="204"/>
      <c r="AA1188" s="204"/>
      <c r="AB1188" s="204"/>
      <c r="AC1188" s="204"/>
      <c r="AD1188" s="204"/>
      <c r="AE1188" s="204"/>
      <c r="AF1188" s="204"/>
      <c r="AG1188" s="204"/>
      <c r="AH1188" s="204"/>
      <c r="AI1188" s="209"/>
      <c r="AJ1188" s="209"/>
      <c r="AK1188" s="204"/>
      <c r="AL1188" s="204"/>
      <c r="AM1188" s="204"/>
    </row>
    <row r="1189">
      <c r="A1189" s="204"/>
      <c r="B1189" s="209"/>
      <c r="C1189" s="204"/>
      <c r="D1189" s="210"/>
      <c r="E1189" s="211"/>
      <c r="F1189" s="211"/>
      <c r="G1189" s="212"/>
      <c r="H1189" s="212"/>
      <c r="I1189" s="204"/>
      <c r="J1189" s="204"/>
      <c r="K1189" s="204"/>
      <c r="L1189" s="204"/>
      <c r="M1189" s="204"/>
      <c r="N1189" s="204"/>
      <c r="O1189" s="204"/>
      <c r="P1189" s="204"/>
      <c r="Q1189" s="204"/>
      <c r="R1189" s="204"/>
      <c r="S1189" s="204"/>
      <c r="T1189" s="204"/>
      <c r="U1189" s="204"/>
      <c r="V1189" s="204"/>
      <c r="W1189" s="204"/>
      <c r="X1189" s="204"/>
      <c r="Y1189" s="204"/>
      <c r="Z1189" s="204"/>
      <c r="AA1189" s="204"/>
      <c r="AB1189" s="204"/>
      <c r="AC1189" s="204"/>
      <c r="AD1189" s="204"/>
      <c r="AE1189" s="204"/>
      <c r="AF1189" s="204"/>
      <c r="AG1189" s="204"/>
      <c r="AH1189" s="204"/>
      <c r="AI1189" s="209"/>
      <c r="AJ1189" s="209"/>
      <c r="AK1189" s="204"/>
      <c r="AL1189" s="204"/>
      <c r="AM1189" s="204"/>
    </row>
    <row r="1190">
      <c r="A1190" s="204"/>
      <c r="B1190" s="209"/>
      <c r="C1190" s="204"/>
      <c r="D1190" s="210"/>
      <c r="E1190" s="211"/>
      <c r="F1190" s="211"/>
      <c r="G1190" s="212"/>
      <c r="H1190" s="212"/>
      <c r="I1190" s="204"/>
      <c r="J1190" s="204"/>
      <c r="K1190" s="204"/>
      <c r="L1190" s="204"/>
      <c r="M1190" s="204"/>
      <c r="N1190" s="204"/>
      <c r="O1190" s="204"/>
      <c r="P1190" s="204"/>
      <c r="Q1190" s="204"/>
      <c r="R1190" s="204"/>
      <c r="S1190" s="204"/>
      <c r="T1190" s="204"/>
      <c r="U1190" s="204"/>
      <c r="V1190" s="204"/>
      <c r="W1190" s="204"/>
      <c r="X1190" s="204"/>
      <c r="Y1190" s="204"/>
      <c r="Z1190" s="204"/>
      <c r="AA1190" s="204"/>
      <c r="AB1190" s="204"/>
      <c r="AC1190" s="204"/>
      <c r="AD1190" s="204"/>
      <c r="AE1190" s="204"/>
      <c r="AF1190" s="204"/>
      <c r="AG1190" s="204"/>
      <c r="AH1190" s="204"/>
      <c r="AI1190" s="209"/>
      <c r="AJ1190" s="209"/>
      <c r="AK1190" s="204"/>
      <c r="AL1190" s="204"/>
      <c r="AM1190" s="204"/>
    </row>
    <row r="1191">
      <c r="A1191" s="204"/>
      <c r="B1191" s="209"/>
      <c r="C1191" s="204"/>
      <c r="D1191" s="210"/>
      <c r="E1191" s="211"/>
      <c r="F1191" s="211"/>
      <c r="G1191" s="212"/>
      <c r="H1191" s="212"/>
      <c r="I1191" s="204"/>
      <c r="J1191" s="204"/>
      <c r="K1191" s="204"/>
      <c r="L1191" s="204"/>
      <c r="M1191" s="204"/>
      <c r="N1191" s="204"/>
      <c r="O1191" s="204"/>
      <c r="P1191" s="204"/>
      <c r="Q1191" s="204"/>
      <c r="R1191" s="204"/>
      <c r="S1191" s="204"/>
      <c r="T1191" s="204"/>
      <c r="U1191" s="204"/>
      <c r="V1191" s="204"/>
      <c r="W1191" s="204"/>
      <c r="X1191" s="204"/>
      <c r="Y1191" s="204"/>
      <c r="Z1191" s="204"/>
      <c r="AA1191" s="204"/>
      <c r="AB1191" s="204"/>
      <c r="AC1191" s="204"/>
      <c r="AD1191" s="204"/>
      <c r="AE1191" s="204"/>
      <c r="AF1191" s="204"/>
      <c r="AG1191" s="204"/>
      <c r="AH1191" s="204"/>
      <c r="AI1191" s="209"/>
      <c r="AJ1191" s="209"/>
      <c r="AK1191" s="204"/>
      <c r="AL1191" s="204"/>
      <c r="AM1191" s="204"/>
    </row>
    <row r="1192">
      <c r="A1192" s="204"/>
      <c r="B1192" s="209"/>
      <c r="C1192" s="204"/>
      <c r="D1192" s="210"/>
      <c r="E1192" s="211"/>
      <c r="F1192" s="211"/>
      <c r="G1192" s="212"/>
      <c r="H1192" s="212"/>
      <c r="I1192" s="204"/>
      <c r="J1192" s="204"/>
      <c r="K1192" s="204"/>
      <c r="L1192" s="204"/>
      <c r="M1192" s="204"/>
      <c r="N1192" s="204"/>
      <c r="O1192" s="204"/>
      <c r="P1192" s="204"/>
      <c r="Q1192" s="204"/>
      <c r="R1192" s="204"/>
      <c r="S1192" s="204"/>
      <c r="T1192" s="204"/>
      <c r="U1192" s="204"/>
      <c r="V1192" s="204"/>
      <c r="W1192" s="204"/>
      <c r="X1192" s="204"/>
      <c r="Y1192" s="204"/>
      <c r="Z1192" s="204"/>
      <c r="AA1192" s="204"/>
      <c r="AB1192" s="204"/>
      <c r="AC1192" s="204"/>
      <c r="AD1192" s="204"/>
      <c r="AE1192" s="204"/>
      <c r="AF1192" s="204"/>
      <c r="AG1192" s="204"/>
      <c r="AH1192" s="204"/>
      <c r="AI1192" s="209"/>
      <c r="AJ1192" s="209"/>
      <c r="AK1192" s="204"/>
      <c r="AL1192" s="204"/>
      <c r="AM1192" s="204"/>
    </row>
    <row r="1193">
      <c r="A1193" s="204"/>
      <c r="B1193" s="209"/>
      <c r="C1193" s="204"/>
      <c r="D1193" s="210"/>
      <c r="E1193" s="211"/>
      <c r="F1193" s="211"/>
      <c r="G1193" s="212"/>
      <c r="H1193" s="212"/>
      <c r="I1193" s="204"/>
      <c r="J1193" s="204"/>
      <c r="K1193" s="204"/>
      <c r="L1193" s="204"/>
      <c r="M1193" s="204"/>
      <c r="N1193" s="204"/>
      <c r="O1193" s="204"/>
      <c r="P1193" s="204"/>
      <c r="Q1193" s="204"/>
      <c r="R1193" s="204"/>
      <c r="S1193" s="204"/>
      <c r="T1193" s="204"/>
      <c r="U1193" s="204"/>
      <c r="V1193" s="204"/>
      <c r="W1193" s="204"/>
      <c r="X1193" s="204"/>
      <c r="Y1193" s="204"/>
      <c r="Z1193" s="204"/>
      <c r="AA1193" s="204"/>
      <c r="AB1193" s="204"/>
      <c r="AC1193" s="204"/>
      <c r="AD1193" s="204"/>
      <c r="AE1193" s="204"/>
      <c r="AF1193" s="204"/>
      <c r="AG1193" s="204"/>
      <c r="AH1193" s="204"/>
      <c r="AI1193" s="209"/>
      <c r="AJ1193" s="209"/>
      <c r="AK1193" s="204"/>
      <c r="AL1193" s="204"/>
      <c r="AM1193" s="204"/>
    </row>
    <row r="1194">
      <c r="A1194" s="204"/>
      <c r="B1194" s="209"/>
      <c r="C1194" s="204"/>
      <c r="D1194" s="210"/>
      <c r="E1194" s="211"/>
      <c r="F1194" s="211"/>
      <c r="G1194" s="212"/>
      <c r="H1194" s="212"/>
      <c r="I1194" s="204"/>
      <c r="J1194" s="204"/>
      <c r="K1194" s="204"/>
      <c r="L1194" s="204"/>
      <c r="M1194" s="204"/>
      <c r="N1194" s="204"/>
      <c r="O1194" s="204"/>
      <c r="P1194" s="204"/>
      <c r="Q1194" s="204"/>
      <c r="R1194" s="204"/>
      <c r="S1194" s="204"/>
      <c r="T1194" s="204"/>
      <c r="U1194" s="204"/>
      <c r="V1194" s="204"/>
      <c r="W1194" s="204"/>
      <c r="X1194" s="204"/>
      <c r="Y1194" s="204"/>
      <c r="Z1194" s="204"/>
      <c r="AA1194" s="204"/>
      <c r="AB1194" s="204"/>
      <c r="AC1194" s="204"/>
      <c r="AD1194" s="204"/>
      <c r="AE1194" s="204"/>
      <c r="AF1194" s="204"/>
      <c r="AG1194" s="204"/>
      <c r="AH1194" s="204"/>
      <c r="AI1194" s="209"/>
      <c r="AJ1194" s="209"/>
      <c r="AK1194" s="204"/>
      <c r="AL1194" s="204"/>
      <c r="AM1194" s="204"/>
    </row>
    <row r="1195">
      <c r="A1195" s="204"/>
      <c r="B1195" s="209"/>
      <c r="C1195" s="204"/>
      <c r="D1195" s="210"/>
      <c r="E1195" s="211"/>
      <c r="F1195" s="211"/>
      <c r="G1195" s="212"/>
      <c r="H1195" s="212"/>
      <c r="I1195" s="204"/>
      <c r="J1195" s="204"/>
      <c r="K1195" s="204"/>
      <c r="L1195" s="204"/>
      <c r="M1195" s="204"/>
      <c r="N1195" s="204"/>
      <c r="O1195" s="204"/>
      <c r="P1195" s="204"/>
      <c r="Q1195" s="204"/>
      <c r="R1195" s="204"/>
      <c r="S1195" s="204"/>
      <c r="T1195" s="204"/>
      <c r="U1195" s="204"/>
      <c r="V1195" s="204"/>
      <c r="W1195" s="204"/>
      <c r="X1195" s="204"/>
      <c r="Y1195" s="204"/>
      <c r="Z1195" s="204"/>
      <c r="AA1195" s="204"/>
      <c r="AB1195" s="204"/>
      <c r="AC1195" s="204"/>
      <c r="AD1195" s="204"/>
      <c r="AE1195" s="204"/>
      <c r="AF1195" s="204"/>
      <c r="AG1195" s="204"/>
      <c r="AH1195" s="204"/>
      <c r="AI1195" s="209"/>
      <c r="AJ1195" s="209"/>
      <c r="AK1195" s="204"/>
      <c r="AL1195" s="204"/>
      <c r="AM1195" s="204"/>
    </row>
    <row r="1196">
      <c r="A1196" s="204"/>
      <c r="B1196" s="209"/>
      <c r="C1196" s="204"/>
      <c r="D1196" s="210"/>
      <c r="E1196" s="211"/>
      <c r="F1196" s="211"/>
      <c r="G1196" s="212"/>
      <c r="H1196" s="212"/>
      <c r="I1196" s="204"/>
      <c r="J1196" s="204"/>
      <c r="K1196" s="204"/>
      <c r="L1196" s="204"/>
      <c r="M1196" s="204"/>
      <c r="N1196" s="204"/>
      <c r="O1196" s="204"/>
      <c r="P1196" s="204"/>
      <c r="Q1196" s="204"/>
      <c r="R1196" s="204"/>
      <c r="S1196" s="204"/>
      <c r="T1196" s="204"/>
      <c r="U1196" s="204"/>
      <c r="V1196" s="204"/>
      <c r="W1196" s="204"/>
      <c r="X1196" s="204"/>
      <c r="Y1196" s="204"/>
      <c r="Z1196" s="204"/>
      <c r="AA1196" s="204"/>
      <c r="AB1196" s="204"/>
      <c r="AC1196" s="204"/>
      <c r="AD1196" s="204"/>
      <c r="AE1196" s="204"/>
      <c r="AF1196" s="204"/>
      <c r="AG1196" s="204"/>
      <c r="AH1196" s="204"/>
      <c r="AI1196" s="209"/>
      <c r="AJ1196" s="209"/>
      <c r="AK1196" s="204"/>
      <c r="AL1196" s="204"/>
      <c r="AM1196" s="204"/>
    </row>
    <row r="1197">
      <c r="A1197" s="204"/>
      <c r="B1197" s="209"/>
      <c r="C1197" s="204"/>
      <c r="D1197" s="210"/>
      <c r="E1197" s="211"/>
      <c r="F1197" s="211"/>
      <c r="G1197" s="212"/>
      <c r="H1197" s="212"/>
      <c r="I1197" s="204"/>
      <c r="J1197" s="204"/>
      <c r="K1197" s="204"/>
      <c r="L1197" s="204"/>
      <c r="M1197" s="204"/>
      <c r="N1197" s="204"/>
      <c r="O1197" s="204"/>
      <c r="P1197" s="204"/>
      <c r="Q1197" s="204"/>
      <c r="R1197" s="204"/>
      <c r="S1197" s="204"/>
      <c r="T1197" s="204"/>
      <c r="U1197" s="204"/>
      <c r="V1197" s="204"/>
      <c r="W1197" s="204"/>
      <c r="X1197" s="204"/>
      <c r="Y1197" s="204"/>
      <c r="Z1197" s="204"/>
      <c r="AA1197" s="204"/>
      <c r="AB1197" s="204"/>
      <c r="AC1197" s="204"/>
      <c r="AD1197" s="204"/>
      <c r="AE1197" s="204"/>
      <c r="AF1197" s="204"/>
      <c r="AG1197" s="204"/>
      <c r="AH1197" s="204"/>
      <c r="AI1197" s="209"/>
      <c r="AJ1197" s="209"/>
      <c r="AK1197" s="204"/>
      <c r="AL1197" s="204"/>
      <c r="AM1197" s="204"/>
    </row>
    <row r="1198">
      <c r="A1198" s="204"/>
      <c r="B1198" s="209"/>
      <c r="C1198" s="204"/>
      <c r="D1198" s="210"/>
      <c r="E1198" s="211"/>
      <c r="F1198" s="211"/>
      <c r="G1198" s="212"/>
      <c r="H1198" s="212"/>
      <c r="I1198" s="204"/>
      <c r="J1198" s="204"/>
      <c r="K1198" s="204"/>
      <c r="L1198" s="204"/>
      <c r="M1198" s="204"/>
      <c r="N1198" s="204"/>
      <c r="O1198" s="204"/>
      <c r="P1198" s="204"/>
      <c r="Q1198" s="204"/>
      <c r="R1198" s="204"/>
      <c r="S1198" s="204"/>
      <c r="T1198" s="204"/>
      <c r="U1198" s="204"/>
      <c r="V1198" s="204"/>
      <c r="W1198" s="204"/>
      <c r="X1198" s="204"/>
      <c r="Y1198" s="204"/>
      <c r="Z1198" s="204"/>
      <c r="AA1198" s="204"/>
      <c r="AB1198" s="204"/>
      <c r="AC1198" s="204"/>
      <c r="AD1198" s="204"/>
      <c r="AE1198" s="204"/>
      <c r="AF1198" s="204"/>
      <c r="AG1198" s="204"/>
      <c r="AH1198" s="204"/>
      <c r="AI1198" s="209"/>
      <c r="AJ1198" s="209"/>
      <c r="AK1198" s="204"/>
      <c r="AL1198" s="204"/>
      <c r="AM1198" s="204"/>
    </row>
    <row r="1199">
      <c r="A1199" s="204"/>
      <c r="B1199" s="209"/>
      <c r="C1199" s="204"/>
      <c r="D1199" s="210"/>
      <c r="E1199" s="211"/>
      <c r="F1199" s="211"/>
      <c r="G1199" s="212"/>
      <c r="H1199" s="212"/>
      <c r="I1199" s="204"/>
      <c r="J1199" s="204"/>
      <c r="K1199" s="204"/>
      <c r="L1199" s="204"/>
      <c r="M1199" s="204"/>
      <c r="N1199" s="204"/>
      <c r="O1199" s="204"/>
      <c r="P1199" s="204"/>
      <c r="Q1199" s="204"/>
      <c r="R1199" s="204"/>
      <c r="S1199" s="204"/>
      <c r="T1199" s="204"/>
      <c r="U1199" s="204"/>
      <c r="V1199" s="204"/>
      <c r="W1199" s="204"/>
      <c r="X1199" s="204"/>
      <c r="Y1199" s="204"/>
      <c r="Z1199" s="204"/>
      <c r="AA1199" s="204"/>
      <c r="AB1199" s="204"/>
      <c r="AC1199" s="204"/>
      <c r="AD1199" s="204"/>
      <c r="AE1199" s="204"/>
      <c r="AF1199" s="204"/>
      <c r="AG1199" s="204"/>
      <c r="AH1199" s="204"/>
      <c r="AI1199" s="209"/>
      <c r="AJ1199" s="209"/>
      <c r="AK1199" s="204"/>
      <c r="AL1199" s="204"/>
      <c r="AM1199" s="204"/>
    </row>
    <row r="1200">
      <c r="A1200" s="204"/>
      <c r="B1200" s="209"/>
      <c r="C1200" s="204"/>
      <c r="D1200" s="210"/>
      <c r="E1200" s="211"/>
      <c r="F1200" s="211"/>
      <c r="G1200" s="212"/>
      <c r="H1200" s="212"/>
      <c r="I1200" s="204"/>
      <c r="J1200" s="204"/>
      <c r="K1200" s="204"/>
      <c r="L1200" s="204"/>
      <c r="M1200" s="204"/>
      <c r="N1200" s="204"/>
      <c r="O1200" s="204"/>
      <c r="P1200" s="204"/>
      <c r="Q1200" s="204"/>
      <c r="R1200" s="204"/>
      <c r="S1200" s="204"/>
      <c r="T1200" s="204"/>
      <c r="U1200" s="204"/>
      <c r="V1200" s="204"/>
      <c r="W1200" s="204"/>
      <c r="X1200" s="204"/>
      <c r="Y1200" s="204"/>
      <c r="Z1200" s="204"/>
      <c r="AA1200" s="204"/>
      <c r="AB1200" s="204"/>
      <c r="AC1200" s="204"/>
      <c r="AD1200" s="204"/>
      <c r="AE1200" s="204"/>
      <c r="AF1200" s="204"/>
      <c r="AG1200" s="204"/>
      <c r="AH1200" s="204"/>
      <c r="AI1200" s="209"/>
      <c r="AJ1200" s="209"/>
      <c r="AK1200" s="204"/>
      <c r="AL1200" s="204"/>
      <c r="AM1200" s="204"/>
    </row>
    <row r="1201">
      <c r="A1201" s="204"/>
      <c r="B1201" s="209"/>
      <c r="C1201" s="204"/>
      <c r="D1201" s="210"/>
      <c r="E1201" s="211"/>
      <c r="F1201" s="211"/>
      <c r="G1201" s="212"/>
      <c r="H1201" s="212"/>
      <c r="I1201" s="204"/>
      <c r="J1201" s="204"/>
      <c r="K1201" s="204"/>
      <c r="L1201" s="204"/>
      <c r="M1201" s="204"/>
      <c r="N1201" s="204"/>
      <c r="O1201" s="204"/>
      <c r="P1201" s="204"/>
      <c r="Q1201" s="204"/>
      <c r="R1201" s="204"/>
      <c r="S1201" s="204"/>
      <c r="T1201" s="204"/>
      <c r="U1201" s="204"/>
      <c r="V1201" s="204"/>
      <c r="W1201" s="204"/>
      <c r="X1201" s="204"/>
      <c r="Y1201" s="204"/>
      <c r="Z1201" s="204"/>
      <c r="AA1201" s="204"/>
      <c r="AB1201" s="204"/>
      <c r="AC1201" s="204"/>
      <c r="AD1201" s="204"/>
      <c r="AE1201" s="204"/>
      <c r="AF1201" s="204"/>
      <c r="AG1201" s="204"/>
      <c r="AH1201" s="204"/>
      <c r="AI1201" s="209"/>
      <c r="AJ1201" s="209"/>
      <c r="AK1201" s="204"/>
      <c r="AL1201" s="204"/>
      <c r="AM1201" s="204"/>
    </row>
    <row r="1202">
      <c r="A1202" s="204"/>
      <c r="B1202" s="209"/>
      <c r="C1202" s="204"/>
      <c r="D1202" s="210"/>
      <c r="E1202" s="211"/>
      <c r="F1202" s="211"/>
      <c r="G1202" s="212"/>
      <c r="H1202" s="212"/>
      <c r="I1202" s="204"/>
      <c r="J1202" s="204"/>
      <c r="K1202" s="204"/>
      <c r="L1202" s="204"/>
      <c r="M1202" s="204"/>
      <c r="N1202" s="204"/>
      <c r="O1202" s="204"/>
      <c r="P1202" s="204"/>
      <c r="Q1202" s="204"/>
      <c r="R1202" s="204"/>
      <c r="S1202" s="204"/>
      <c r="T1202" s="204"/>
      <c r="U1202" s="204"/>
      <c r="V1202" s="204"/>
      <c r="W1202" s="204"/>
      <c r="X1202" s="204"/>
      <c r="Y1202" s="204"/>
      <c r="Z1202" s="204"/>
      <c r="AA1202" s="204"/>
      <c r="AB1202" s="204"/>
      <c r="AC1202" s="204"/>
      <c r="AD1202" s="204"/>
      <c r="AE1202" s="204"/>
      <c r="AF1202" s="204"/>
      <c r="AG1202" s="204"/>
      <c r="AH1202" s="204"/>
      <c r="AI1202" s="209"/>
      <c r="AJ1202" s="209"/>
      <c r="AK1202" s="204"/>
      <c r="AL1202" s="204"/>
      <c r="AM1202" s="204"/>
    </row>
    <row r="1203">
      <c r="A1203" s="204"/>
      <c r="B1203" s="209"/>
      <c r="C1203" s="204"/>
      <c r="D1203" s="210"/>
      <c r="E1203" s="211"/>
      <c r="F1203" s="211"/>
      <c r="G1203" s="212"/>
      <c r="H1203" s="212"/>
      <c r="I1203" s="204"/>
      <c r="J1203" s="204"/>
      <c r="K1203" s="204"/>
      <c r="L1203" s="204"/>
      <c r="M1203" s="204"/>
      <c r="N1203" s="204"/>
      <c r="O1203" s="204"/>
      <c r="P1203" s="204"/>
      <c r="Q1203" s="204"/>
      <c r="R1203" s="204"/>
      <c r="S1203" s="204"/>
      <c r="T1203" s="204"/>
      <c r="U1203" s="204"/>
      <c r="V1203" s="204"/>
      <c r="W1203" s="204"/>
      <c r="X1203" s="204"/>
      <c r="Y1203" s="204"/>
      <c r="Z1203" s="204"/>
      <c r="AA1203" s="204"/>
      <c r="AB1203" s="204"/>
      <c r="AC1203" s="204"/>
      <c r="AD1203" s="204"/>
      <c r="AE1203" s="204"/>
      <c r="AF1203" s="204"/>
      <c r="AG1203" s="204"/>
      <c r="AH1203" s="204"/>
      <c r="AI1203" s="209"/>
      <c r="AJ1203" s="209"/>
      <c r="AK1203" s="204"/>
      <c r="AL1203" s="204"/>
      <c r="AM1203" s="204"/>
    </row>
    <row r="1204">
      <c r="A1204" s="204"/>
      <c r="B1204" s="209"/>
      <c r="C1204" s="204"/>
      <c r="D1204" s="210"/>
      <c r="E1204" s="211"/>
      <c r="F1204" s="211"/>
      <c r="G1204" s="212"/>
      <c r="H1204" s="212"/>
      <c r="I1204" s="204"/>
      <c r="J1204" s="204"/>
      <c r="K1204" s="204"/>
      <c r="L1204" s="204"/>
      <c r="M1204" s="204"/>
      <c r="N1204" s="204"/>
      <c r="O1204" s="204"/>
      <c r="P1204" s="204"/>
      <c r="Q1204" s="204"/>
      <c r="R1204" s="204"/>
      <c r="S1204" s="204"/>
      <c r="T1204" s="204"/>
      <c r="U1204" s="204"/>
      <c r="V1204" s="204"/>
      <c r="W1204" s="204"/>
      <c r="X1204" s="204"/>
      <c r="Y1204" s="204"/>
      <c r="Z1204" s="204"/>
      <c r="AA1204" s="204"/>
      <c r="AB1204" s="204"/>
      <c r="AC1204" s="204"/>
      <c r="AD1204" s="204"/>
      <c r="AE1204" s="204"/>
      <c r="AF1204" s="204"/>
      <c r="AG1204" s="204"/>
      <c r="AH1204" s="204"/>
      <c r="AI1204" s="209"/>
      <c r="AJ1204" s="209"/>
      <c r="AK1204" s="204"/>
      <c r="AL1204" s="204"/>
      <c r="AM1204" s="204"/>
    </row>
    <row r="1205">
      <c r="A1205" s="204"/>
      <c r="B1205" s="209"/>
      <c r="C1205" s="204"/>
      <c r="D1205" s="210"/>
      <c r="E1205" s="211"/>
      <c r="F1205" s="211"/>
      <c r="G1205" s="212"/>
      <c r="H1205" s="212"/>
      <c r="I1205" s="204"/>
      <c r="J1205" s="204"/>
      <c r="K1205" s="204"/>
      <c r="L1205" s="204"/>
      <c r="M1205" s="204"/>
      <c r="N1205" s="204"/>
      <c r="O1205" s="204"/>
      <c r="P1205" s="204"/>
      <c r="Q1205" s="204"/>
      <c r="R1205" s="204"/>
      <c r="S1205" s="204"/>
      <c r="T1205" s="204"/>
      <c r="U1205" s="204"/>
      <c r="V1205" s="204"/>
      <c r="W1205" s="204"/>
      <c r="X1205" s="204"/>
      <c r="Y1205" s="204"/>
      <c r="Z1205" s="204"/>
      <c r="AA1205" s="204"/>
      <c r="AB1205" s="204"/>
      <c r="AC1205" s="204"/>
      <c r="AD1205" s="204"/>
      <c r="AE1205" s="204"/>
      <c r="AF1205" s="204"/>
      <c r="AG1205" s="204"/>
      <c r="AH1205" s="204"/>
      <c r="AI1205" s="209"/>
      <c r="AJ1205" s="209"/>
      <c r="AK1205" s="204"/>
      <c r="AL1205" s="204"/>
      <c r="AM1205" s="204"/>
    </row>
    <row r="1206">
      <c r="A1206" s="204"/>
      <c r="B1206" s="209"/>
      <c r="C1206" s="204"/>
      <c r="D1206" s="210"/>
      <c r="E1206" s="211"/>
      <c r="F1206" s="211"/>
      <c r="G1206" s="212"/>
      <c r="H1206" s="212"/>
      <c r="I1206" s="204"/>
      <c r="J1206" s="204"/>
      <c r="K1206" s="204"/>
      <c r="L1206" s="204"/>
      <c r="M1206" s="204"/>
      <c r="N1206" s="204"/>
      <c r="O1206" s="204"/>
      <c r="P1206" s="204"/>
      <c r="Q1206" s="204"/>
      <c r="R1206" s="204"/>
      <c r="S1206" s="204"/>
      <c r="T1206" s="204"/>
      <c r="U1206" s="204"/>
      <c r="V1206" s="204"/>
      <c r="W1206" s="204"/>
      <c r="X1206" s="204"/>
      <c r="Y1206" s="204"/>
      <c r="Z1206" s="204"/>
      <c r="AA1206" s="204"/>
      <c r="AB1206" s="204"/>
      <c r="AC1206" s="204"/>
      <c r="AD1206" s="204"/>
      <c r="AE1206" s="204"/>
      <c r="AF1206" s="204"/>
      <c r="AG1206" s="204"/>
      <c r="AH1206" s="204"/>
      <c r="AI1206" s="209"/>
      <c r="AJ1206" s="209"/>
      <c r="AK1206" s="204"/>
      <c r="AL1206" s="204"/>
      <c r="AM1206" s="204"/>
    </row>
    <row r="1207">
      <c r="A1207" s="204"/>
      <c r="B1207" s="209"/>
      <c r="C1207" s="204"/>
      <c r="D1207" s="210"/>
      <c r="E1207" s="211"/>
      <c r="F1207" s="211"/>
      <c r="G1207" s="212"/>
      <c r="H1207" s="212"/>
      <c r="I1207" s="204"/>
      <c r="J1207" s="204"/>
      <c r="K1207" s="204"/>
      <c r="L1207" s="204"/>
      <c r="M1207" s="204"/>
      <c r="N1207" s="204"/>
      <c r="O1207" s="204"/>
      <c r="P1207" s="204"/>
      <c r="Q1207" s="204"/>
      <c r="R1207" s="204"/>
      <c r="S1207" s="204"/>
      <c r="T1207" s="204"/>
      <c r="U1207" s="204"/>
      <c r="V1207" s="204"/>
      <c r="W1207" s="204"/>
      <c r="X1207" s="204"/>
      <c r="Y1207" s="204"/>
      <c r="Z1207" s="204"/>
      <c r="AA1207" s="204"/>
      <c r="AB1207" s="204"/>
      <c r="AC1207" s="204"/>
      <c r="AD1207" s="204"/>
      <c r="AE1207" s="204"/>
      <c r="AF1207" s="204"/>
      <c r="AG1207" s="204"/>
      <c r="AH1207" s="204"/>
      <c r="AI1207" s="209"/>
      <c r="AJ1207" s="209"/>
      <c r="AK1207" s="204"/>
      <c r="AL1207" s="204"/>
      <c r="AM1207" s="204"/>
    </row>
    <row r="1208">
      <c r="A1208" s="204"/>
      <c r="B1208" s="209"/>
      <c r="C1208" s="204"/>
      <c r="D1208" s="210"/>
      <c r="E1208" s="211"/>
      <c r="F1208" s="211"/>
      <c r="G1208" s="212"/>
      <c r="H1208" s="212"/>
      <c r="I1208" s="204"/>
      <c r="J1208" s="204"/>
      <c r="K1208" s="204"/>
      <c r="L1208" s="204"/>
      <c r="M1208" s="204"/>
      <c r="N1208" s="204"/>
      <c r="O1208" s="204"/>
      <c r="P1208" s="204"/>
      <c r="Q1208" s="204"/>
      <c r="R1208" s="204"/>
      <c r="S1208" s="204"/>
      <c r="T1208" s="204"/>
      <c r="U1208" s="204"/>
      <c r="V1208" s="204"/>
      <c r="W1208" s="204"/>
      <c r="X1208" s="204"/>
      <c r="Y1208" s="204"/>
      <c r="Z1208" s="204"/>
      <c r="AA1208" s="204"/>
      <c r="AB1208" s="204"/>
      <c r="AC1208" s="204"/>
      <c r="AD1208" s="204"/>
      <c r="AE1208" s="204"/>
      <c r="AF1208" s="204"/>
      <c r="AG1208" s="204"/>
      <c r="AH1208" s="204"/>
      <c r="AI1208" s="209"/>
      <c r="AJ1208" s="209"/>
      <c r="AK1208" s="204"/>
      <c r="AL1208" s="204"/>
      <c r="AM1208" s="204"/>
    </row>
    <row r="1209">
      <c r="A1209" s="204"/>
      <c r="B1209" s="209"/>
      <c r="C1209" s="204"/>
      <c r="D1209" s="210"/>
      <c r="E1209" s="211"/>
      <c r="F1209" s="211"/>
      <c r="G1209" s="212"/>
      <c r="H1209" s="212"/>
      <c r="I1209" s="204"/>
      <c r="J1209" s="204"/>
      <c r="K1209" s="204"/>
      <c r="L1209" s="204"/>
      <c r="M1209" s="204"/>
      <c r="N1209" s="204"/>
      <c r="O1209" s="204"/>
      <c r="P1209" s="204"/>
      <c r="Q1209" s="204"/>
      <c r="R1209" s="204"/>
      <c r="S1209" s="204"/>
      <c r="T1209" s="204"/>
      <c r="U1209" s="204"/>
      <c r="V1209" s="204"/>
      <c r="W1209" s="204"/>
      <c r="X1209" s="204"/>
      <c r="Y1209" s="204"/>
      <c r="Z1209" s="204"/>
      <c r="AA1209" s="204"/>
      <c r="AB1209" s="204"/>
      <c r="AC1209" s="204"/>
      <c r="AD1209" s="204"/>
      <c r="AE1209" s="204"/>
      <c r="AF1209" s="204"/>
      <c r="AG1209" s="204"/>
      <c r="AH1209" s="204"/>
      <c r="AI1209" s="209"/>
      <c r="AJ1209" s="209"/>
      <c r="AK1209" s="204"/>
      <c r="AL1209" s="204"/>
      <c r="AM1209" s="204"/>
    </row>
    <row r="1210">
      <c r="A1210" s="204"/>
      <c r="B1210" s="209"/>
      <c r="C1210" s="204"/>
      <c r="D1210" s="210"/>
      <c r="E1210" s="211"/>
      <c r="F1210" s="211"/>
      <c r="G1210" s="212"/>
      <c r="H1210" s="212"/>
      <c r="I1210" s="204"/>
      <c r="J1210" s="204"/>
      <c r="K1210" s="204"/>
      <c r="L1210" s="204"/>
      <c r="M1210" s="204"/>
      <c r="N1210" s="204"/>
      <c r="O1210" s="204"/>
      <c r="P1210" s="204"/>
      <c r="Q1210" s="204"/>
      <c r="R1210" s="204"/>
      <c r="S1210" s="204"/>
      <c r="T1210" s="204"/>
      <c r="U1210" s="204"/>
      <c r="V1210" s="204"/>
      <c r="W1210" s="204"/>
      <c r="X1210" s="204"/>
      <c r="Y1210" s="204"/>
      <c r="Z1210" s="204"/>
      <c r="AA1210" s="204"/>
      <c r="AB1210" s="204"/>
      <c r="AC1210" s="204"/>
      <c r="AD1210" s="204"/>
      <c r="AE1210" s="204"/>
      <c r="AF1210" s="204"/>
      <c r="AG1210" s="204"/>
      <c r="AH1210" s="204"/>
      <c r="AI1210" s="209"/>
      <c r="AJ1210" s="209"/>
      <c r="AK1210" s="204"/>
      <c r="AL1210" s="204"/>
      <c r="AM1210" s="204"/>
    </row>
    <row r="1211">
      <c r="A1211" s="204"/>
      <c r="B1211" s="209"/>
      <c r="C1211" s="204"/>
      <c r="D1211" s="210"/>
      <c r="E1211" s="211"/>
      <c r="F1211" s="211"/>
      <c r="G1211" s="212"/>
      <c r="H1211" s="212"/>
      <c r="I1211" s="204"/>
      <c r="J1211" s="204"/>
      <c r="K1211" s="204"/>
      <c r="L1211" s="204"/>
      <c r="M1211" s="204"/>
      <c r="N1211" s="204"/>
      <c r="O1211" s="204"/>
      <c r="P1211" s="204"/>
      <c r="Q1211" s="204"/>
      <c r="R1211" s="204"/>
      <c r="S1211" s="204"/>
      <c r="T1211" s="204"/>
      <c r="U1211" s="204"/>
      <c r="V1211" s="204"/>
      <c r="W1211" s="204"/>
      <c r="X1211" s="204"/>
      <c r="Y1211" s="204"/>
      <c r="Z1211" s="204"/>
      <c r="AA1211" s="204"/>
      <c r="AB1211" s="204"/>
      <c r="AC1211" s="204"/>
      <c r="AD1211" s="204"/>
      <c r="AE1211" s="204"/>
      <c r="AF1211" s="204"/>
      <c r="AG1211" s="204"/>
      <c r="AH1211" s="204"/>
      <c r="AI1211" s="209"/>
      <c r="AJ1211" s="209"/>
      <c r="AK1211" s="204"/>
      <c r="AL1211" s="204"/>
      <c r="AM1211" s="204"/>
    </row>
    <row r="1212">
      <c r="A1212" s="204"/>
      <c r="B1212" s="209"/>
      <c r="C1212" s="204"/>
      <c r="D1212" s="210"/>
      <c r="E1212" s="211"/>
      <c r="F1212" s="211"/>
      <c r="G1212" s="212"/>
      <c r="H1212" s="212"/>
      <c r="I1212" s="204"/>
      <c r="J1212" s="204"/>
      <c r="K1212" s="204"/>
      <c r="L1212" s="204"/>
      <c r="M1212" s="204"/>
      <c r="N1212" s="204"/>
      <c r="O1212" s="204"/>
      <c r="P1212" s="204"/>
      <c r="Q1212" s="204"/>
      <c r="R1212" s="204"/>
      <c r="S1212" s="204"/>
      <c r="T1212" s="204"/>
      <c r="U1212" s="204"/>
      <c r="V1212" s="204"/>
      <c r="W1212" s="204"/>
      <c r="X1212" s="204"/>
      <c r="Y1212" s="204"/>
      <c r="Z1212" s="204"/>
      <c r="AA1212" s="204"/>
      <c r="AB1212" s="204"/>
      <c r="AC1212" s="204"/>
      <c r="AD1212" s="204"/>
      <c r="AE1212" s="204"/>
      <c r="AF1212" s="204"/>
      <c r="AG1212" s="204"/>
      <c r="AH1212" s="204"/>
      <c r="AI1212" s="209"/>
      <c r="AJ1212" s="209"/>
      <c r="AK1212" s="204"/>
      <c r="AL1212" s="204"/>
      <c r="AM1212" s="204"/>
    </row>
    <row r="1213">
      <c r="A1213" s="204"/>
      <c r="B1213" s="209"/>
      <c r="C1213" s="204"/>
      <c r="D1213" s="210"/>
      <c r="E1213" s="211"/>
      <c r="F1213" s="211"/>
      <c r="G1213" s="212"/>
      <c r="H1213" s="212"/>
      <c r="I1213" s="204"/>
      <c r="J1213" s="204"/>
      <c r="K1213" s="204"/>
      <c r="L1213" s="204"/>
      <c r="M1213" s="204"/>
      <c r="N1213" s="204"/>
      <c r="O1213" s="204"/>
      <c r="P1213" s="204"/>
      <c r="Q1213" s="204"/>
      <c r="R1213" s="204"/>
      <c r="S1213" s="204"/>
      <c r="T1213" s="204"/>
      <c r="U1213" s="204"/>
      <c r="V1213" s="204"/>
      <c r="W1213" s="204"/>
      <c r="X1213" s="204"/>
      <c r="Y1213" s="204"/>
      <c r="Z1213" s="204"/>
      <c r="AA1213" s="204"/>
      <c r="AB1213" s="204"/>
      <c r="AC1213" s="204"/>
      <c r="AD1213" s="204"/>
      <c r="AE1213" s="204"/>
      <c r="AF1213" s="204"/>
      <c r="AG1213" s="204"/>
      <c r="AH1213" s="204"/>
      <c r="AI1213" s="209"/>
      <c r="AJ1213" s="209"/>
      <c r="AK1213" s="204"/>
      <c r="AL1213" s="204"/>
      <c r="AM1213" s="204"/>
    </row>
    <row r="1214">
      <c r="A1214" s="204"/>
      <c r="B1214" s="209"/>
      <c r="C1214" s="204"/>
      <c r="D1214" s="210"/>
      <c r="E1214" s="211"/>
      <c r="F1214" s="211"/>
      <c r="G1214" s="212"/>
      <c r="H1214" s="212"/>
      <c r="I1214" s="204"/>
      <c r="J1214" s="204"/>
      <c r="K1214" s="204"/>
      <c r="L1214" s="204"/>
      <c r="M1214" s="204"/>
      <c r="N1214" s="204"/>
      <c r="O1214" s="204"/>
      <c r="P1214" s="204"/>
      <c r="Q1214" s="204"/>
      <c r="R1214" s="204"/>
      <c r="S1214" s="204"/>
      <c r="T1214" s="204"/>
      <c r="U1214" s="204"/>
      <c r="V1214" s="204"/>
      <c r="W1214" s="204"/>
      <c r="X1214" s="204"/>
      <c r="Y1214" s="204"/>
      <c r="Z1214" s="204"/>
      <c r="AA1214" s="204"/>
      <c r="AB1214" s="204"/>
      <c r="AC1214" s="204"/>
      <c r="AD1214" s="204"/>
      <c r="AE1214" s="204"/>
      <c r="AF1214" s="204"/>
      <c r="AG1214" s="204"/>
      <c r="AH1214" s="204"/>
      <c r="AI1214" s="209"/>
      <c r="AJ1214" s="209"/>
      <c r="AK1214" s="204"/>
      <c r="AL1214" s="204"/>
      <c r="AM1214" s="204"/>
    </row>
    <row r="1215">
      <c r="A1215" s="204"/>
      <c r="B1215" s="209"/>
      <c r="C1215" s="204"/>
      <c r="D1215" s="210"/>
      <c r="E1215" s="211"/>
      <c r="F1215" s="211"/>
      <c r="G1215" s="212"/>
      <c r="H1215" s="212"/>
      <c r="I1215" s="204"/>
      <c r="J1215" s="204"/>
      <c r="K1215" s="204"/>
      <c r="L1215" s="204"/>
      <c r="M1215" s="204"/>
      <c r="N1215" s="204"/>
      <c r="O1215" s="204"/>
      <c r="P1215" s="204"/>
      <c r="Q1215" s="204"/>
      <c r="R1215" s="204"/>
      <c r="S1215" s="204"/>
      <c r="T1215" s="204"/>
      <c r="U1215" s="204"/>
      <c r="V1215" s="204"/>
      <c r="W1215" s="204"/>
      <c r="X1215" s="204"/>
      <c r="Y1215" s="204"/>
      <c r="Z1215" s="204"/>
      <c r="AA1215" s="204"/>
      <c r="AB1215" s="204"/>
      <c r="AC1215" s="204"/>
      <c r="AD1215" s="204"/>
      <c r="AE1215" s="204"/>
      <c r="AF1215" s="204"/>
      <c r="AG1215" s="204"/>
      <c r="AH1215" s="204"/>
      <c r="AI1215" s="209"/>
      <c r="AJ1215" s="209"/>
      <c r="AK1215" s="204"/>
      <c r="AL1215" s="204"/>
      <c r="AM1215" s="204"/>
    </row>
    <row r="1216">
      <c r="A1216" s="204"/>
      <c r="B1216" s="209"/>
      <c r="C1216" s="204"/>
      <c r="D1216" s="210"/>
      <c r="E1216" s="211"/>
      <c r="F1216" s="211"/>
      <c r="G1216" s="212"/>
      <c r="H1216" s="212"/>
      <c r="I1216" s="204"/>
      <c r="J1216" s="204"/>
      <c r="K1216" s="204"/>
      <c r="L1216" s="204"/>
      <c r="M1216" s="204"/>
      <c r="N1216" s="204"/>
      <c r="O1216" s="204"/>
      <c r="P1216" s="204"/>
      <c r="Q1216" s="204"/>
      <c r="R1216" s="204"/>
      <c r="S1216" s="204"/>
      <c r="T1216" s="204"/>
      <c r="U1216" s="204"/>
      <c r="V1216" s="204"/>
      <c r="W1216" s="204"/>
      <c r="X1216" s="204"/>
      <c r="Y1216" s="204"/>
      <c r="Z1216" s="204"/>
      <c r="AA1216" s="204"/>
      <c r="AB1216" s="204"/>
      <c r="AC1216" s="204"/>
      <c r="AD1216" s="204"/>
      <c r="AE1216" s="204"/>
      <c r="AF1216" s="204"/>
      <c r="AG1216" s="204"/>
      <c r="AH1216" s="204"/>
      <c r="AI1216" s="209"/>
      <c r="AJ1216" s="209"/>
      <c r="AK1216" s="204"/>
      <c r="AL1216" s="204"/>
      <c r="AM1216" s="204"/>
    </row>
    <row r="1217">
      <c r="A1217" s="204"/>
      <c r="B1217" s="209"/>
      <c r="C1217" s="204"/>
      <c r="D1217" s="210"/>
      <c r="E1217" s="211"/>
      <c r="F1217" s="211"/>
      <c r="G1217" s="212"/>
      <c r="H1217" s="212"/>
      <c r="I1217" s="204"/>
      <c r="J1217" s="204"/>
      <c r="K1217" s="204"/>
      <c r="L1217" s="204"/>
      <c r="M1217" s="204"/>
      <c r="N1217" s="204"/>
      <c r="O1217" s="204"/>
      <c r="P1217" s="204"/>
      <c r="Q1217" s="204"/>
      <c r="R1217" s="204"/>
      <c r="S1217" s="204"/>
      <c r="T1217" s="204"/>
      <c r="U1217" s="204"/>
      <c r="V1217" s="204"/>
      <c r="W1217" s="204"/>
      <c r="X1217" s="204"/>
      <c r="Y1217" s="204"/>
      <c r="Z1217" s="204"/>
      <c r="AA1217" s="204"/>
      <c r="AB1217" s="204"/>
      <c r="AC1217" s="204"/>
      <c r="AD1217" s="204"/>
      <c r="AE1217" s="204"/>
      <c r="AF1217" s="204"/>
      <c r="AG1217" s="204"/>
      <c r="AH1217" s="204"/>
      <c r="AI1217" s="209"/>
      <c r="AJ1217" s="209"/>
      <c r="AK1217" s="204"/>
      <c r="AL1217" s="204"/>
      <c r="AM1217" s="204"/>
    </row>
    <row r="1218">
      <c r="A1218" s="204"/>
      <c r="B1218" s="209"/>
      <c r="C1218" s="204"/>
      <c r="D1218" s="210"/>
      <c r="E1218" s="211"/>
      <c r="F1218" s="211"/>
      <c r="G1218" s="212"/>
      <c r="H1218" s="212"/>
      <c r="I1218" s="204"/>
      <c r="J1218" s="204"/>
      <c r="K1218" s="204"/>
      <c r="L1218" s="204"/>
      <c r="M1218" s="204"/>
      <c r="N1218" s="204"/>
      <c r="O1218" s="204"/>
      <c r="P1218" s="204"/>
      <c r="Q1218" s="204"/>
      <c r="R1218" s="204"/>
      <c r="S1218" s="204"/>
      <c r="T1218" s="204"/>
      <c r="U1218" s="204"/>
      <c r="V1218" s="204"/>
      <c r="W1218" s="204"/>
      <c r="X1218" s="204"/>
      <c r="Y1218" s="204"/>
      <c r="Z1218" s="204"/>
      <c r="AA1218" s="204"/>
      <c r="AB1218" s="204"/>
      <c r="AC1218" s="204"/>
      <c r="AD1218" s="204"/>
      <c r="AE1218" s="204"/>
      <c r="AF1218" s="204"/>
      <c r="AG1218" s="204"/>
      <c r="AH1218" s="204"/>
      <c r="AI1218" s="209"/>
      <c r="AJ1218" s="209"/>
      <c r="AK1218" s="204"/>
      <c r="AL1218" s="204"/>
      <c r="AM1218" s="204"/>
    </row>
    <row r="1219">
      <c r="A1219" s="204"/>
      <c r="B1219" s="209"/>
      <c r="C1219" s="204"/>
      <c r="D1219" s="210"/>
      <c r="E1219" s="211"/>
      <c r="F1219" s="211"/>
      <c r="G1219" s="212"/>
      <c r="H1219" s="212"/>
      <c r="I1219" s="204"/>
      <c r="J1219" s="204"/>
      <c r="K1219" s="204"/>
      <c r="L1219" s="204"/>
      <c r="M1219" s="204"/>
      <c r="N1219" s="204"/>
      <c r="O1219" s="204"/>
      <c r="P1219" s="204"/>
      <c r="Q1219" s="204"/>
      <c r="R1219" s="204"/>
      <c r="S1219" s="204"/>
      <c r="T1219" s="204"/>
      <c r="U1219" s="204"/>
      <c r="V1219" s="204"/>
      <c r="W1219" s="204"/>
      <c r="X1219" s="204"/>
      <c r="Y1219" s="204"/>
      <c r="Z1219" s="204"/>
      <c r="AA1219" s="204"/>
      <c r="AB1219" s="204"/>
      <c r="AC1219" s="204"/>
      <c r="AD1219" s="204"/>
      <c r="AE1219" s="204"/>
      <c r="AF1219" s="204"/>
      <c r="AG1219" s="204"/>
      <c r="AH1219" s="204"/>
      <c r="AI1219" s="209"/>
      <c r="AJ1219" s="209"/>
      <c r="AK1219" s="204"/>
      <c r="AL1219" s="204"/>
      <c r="AM1219" s="204"/>
    </row>
    <row r="1220">
      <c r="A1220" s="204"/>
      <c r="B1220" s="209"/>
      <c r="C1220" s="204"/>
      <c r="D1220" s="210"/>
      <c r="E1220" s="211"/>
      <c r="F1220" s="211"/>
      <c r="G1220" s="212"/>
      <c r="H1220" s="212"/>
      <c r="I1220" s="204"/>
      <c r="J1220" s="204"/>
      <c r="K1220" s="204"/>
      <c r="L1220" s="204"/>
      <c r="M1220" s="204"/>
      <c r="N1220" s="204"/>
      <c r="O1220" s="204"/>
      <c r="P1220" s="204"/>
      <c r="Q1220" s="204"/>
      <c r="R1220" s="204"/>
      <c r="S1220" s="204"/>
      <c r="T1220" s="204"/>
      <c r="U1220" s="204"/>
      <c r="V1220" s="204"/>
      <c r="W1220" s="204"/>
      <c r="X1220" s="204"/>
      <c r="Y1220" s="204"/>
      <c r="Z1220" s="204"/>
      <c r="AA1220" s="204"/>
      <c r="AB1220" s="204"/>
      <c r="AC1220" s="204"/>
      <c r="AD1220" s="204"/>
      <c r="AE1220" s="204"/>
      <c r="AF1220" s="204"/>
      <c r="AG1220" s="204"/>
      <c r="AH1220" s="204"/>
      <c r="AI1220" s="209"/>
      <c r="AJ1220" s="209"/>
      <c r="AK1220" s="204"/>
      <c r="AL1220" s="204"/>
      <c r="AM1220" s="204"/>
    </row>
    <row r="1221">
      <c r="A1221" s="204"/>
      <c r="B1221" s="209"/>
      <c r="C1221" s="204"/>
      <c r="D1221" s="210"/>
      <c r="E1221" s="211"/>
      <c r="F1221" s="211"/>
      <c r="G1221" s="212"/>
      <c r="H1221" s="212"/>
      <c r="I1221" s="204"/>
      <c r="J1221" s="204"/>
      <c r="K1221" s="204"/>
      <c r="L1221" s="204"/>
      <c r="M1221" s="204"/>
      <c r="N1221" s="204"/>
      <c r="O1221" s="204"/>
      <c r="P1221" s="204"/>
      <c r="Q1221" s="204"/>
      <c r="R1221" s="204"/>
      <c r="S1221" s="204"/>
      <c r="T1221" s="204"/>
      <c r="U1221" s="204"/>
      <c r="V1221" s="204"/>
      <c r="W1221" s="204"/>
      <c r="X1221" s="204"/>
      <c r="Y1221" s="204"/>
      <c r="Z1221" s="204"/>
      <c r="AA1221" s="204"/>
      <c r="AB1221" s="204"/>
      <c r="AC1221" s="204"/>
      <c r="AD1221" s="204"/>
      <c r="AE1221" s="204"/>
      <c r="AF1221" s="204"/>
      <c r="AG1221" s="204"/>
      <c r="AH1221" s="204"/>
      <c r="AI1221" s="209"/>
      <c r="AJ1221" s="209"/>
      <c r="AK1221" s="204"/>
      <c r="AL1221" s="204"/>
      <c r="AM1221" s="204"/>
    </row>
    <row r="1222">
      <c r="A1222" s="204"/>
      <c r="B1222" s="209"/>
      <c r="C1222" s="204"/>
      <c r="D1222" s="210"/>
      <c r="E1222" s="211"/>
      <c r="F1222" s="211"/>
      <c r="G1222" s="212"/>
      <c r="H1222" s="212"/>
      <c r="I1222" s="204"/>
      <c r="J1222" s="204"/>
      <c r="K1222" s="204"/>
      <c r="L1222" s="204"/>
      <c r="M1222" s="204"/>
      <c r="N1222" s="204"/>
      <c r="O1222" s="204"/>
      <c r="P1222" s="204"/>
      <c r="Q1222" s="204"/>
      <c r="R1222" s="204"/>
      <c r="S1222" s="204"/>
      <c r="T1222" s="204"/>
      <c r="U1222" s="204"/>
      <c r="V1222" s="204"/>
      <c r="W1222" s="204"/>
      <c r="X1222" s="204"/>
      <c r="Y1222" s="204"/>
      <c r="Z1222" s="204"/>
      <c r="AA1222" s="204"/>
      <c r="AB1222" s="204"/>
      <c r="AC1222" s="204"/>
      <c r="AD1222" s="204"/>
      <c r="AE1222" s="204"/>
      <c r="AF1222" s="204"/>
      <c r="AG1222" s="204"/>
      <c r="AH1222" s="204"/>
      <c r="AI1222" s="209"/>
      <c r="AJ1222" s="209"/>
      <c r="AK1222" s="204"/>
      <c r="AL1222" s="204"/>
      <c r="AM1222" s="204"/>
    </row>
    <row r="1223">
      <c r="A1223" s="204"/>
      <c r="B1223" s="209"/>
      <c r="C1223" s="204"/>
      <c r="D1223" s="210"/>
      <c r="E1223" s="211"/>
      <c r="F1223" s="211"/>
      <c r="G1223" s="212"/>
      <c r="H1223" s="212"/>
      <c r="I1223" s="204"/>
      <c r="J1223" s="204"/>
      <c r="K1223" s="204"/>
      <c r="L1223" s="204"/>
      <c r="M1223" s="204"/>
      <c r="N1223" s="204"/>
      <c r="O1223" s="204"/>
      <c r="P1223" s="204"/>
      <c r="Q1223" s="204"/>
      <c r="R1223" s="204"/>
      <c r="S1223" s="204"/>
      <c r="T1223" s="204"/>
      <c r="U1223" s="204"/>
      <c r="V1223" s="204"/>
      <c r="W1223" s="204"/>
      <c r="X1223" s="204"/>
      <c r="Y1223" s="204"/>
      <c r="Z1223" s="204"/>
      <c r="AA1223" s="204"/>
      <c r="AB1223" s="204"/>
      <c r="AC1223" s="204"/>
      <c r="AD1223" s="204"/>
      <c r="AE1223" s="204"/>
      <c r="AF1223" s="204"/>
      <c r="AG1223" s="204"/>
      <c r="AH1223" s="204"/>
      <c r="AI1223" s="209"/>
      <c r="AJ1223" s="209"/>
      <c r="AK1223" s="204"/>
      <c r="AL1223" s="204"/>
      <c r="AM1223" s="204"/>
    </row>
    <row r="1224">
      <c r="A1224" s="204"/>
      <c r="B1224" s="209"/>
      <c r="C1224" s="204"/>
      <c r="D1224" s="210"/>
      <c r="E1224" s="211"/>
      <c r="F1224" s="211"/>
      <c r="G1224" s="212"/>
      <c r="H1224" s="212"/>
      <c r="I1224" s="204"/>
      <c r="J1224" s="204"/>
      <c r="K1224" s="204"/>
      <c r="L1224" s="204"/>
      <c r="M1224" s="204"/>
      <c r="N1224" s="204"/>
      <c r="O1224" s="204"/>
      <c r="P1224" s="204"/>
      <c r="Q1224" s="204"/>
      <c r="R1224" s="204"/>
      <c r="S1224" s="204"/>
      <c r="T1224" s="204"/>
      <c r="U1224" s="204"/>
      <c r="V1224" s="204"/>
      <c r="W1224" s="204"/>
      <c r="X1224" s="204"/>
      <c r="Y1224" s="204"/>
      <c r="Z1224" s="204"/>
      <c r="AA1224" s="204"/>
      <c r="AB1224" s="204"/>
      <c r="AC1224" s="204"/>
      <c r="AD1224" s="204"/>
      <c r="AE1224" s="204"/>
      <c r="AF1224" s="204"/>
      <c r="AG1224" s="204"/>
      <c r="AH1224" s="204"/>
      <c r="AI1224" s="209"/>
      <c r="AJ1224" s="209"/>
      <c r="AK1224" s="204"/>
      <c r="AL1224" s="204"/>
      <c r="AM1224" s="204"/>
    </row>
    <row r="1225">
      <c r="A1225" s="204"/>
      <c r="B1225" s="209"/>
      <c r="C1225" s="204"/>
      <c r="D1225" s="210"/>
      <c r="E1225" s="211"/>
      <c r="F1225" s="211"/>
      <c r="G1225" s="212"/>
      <c r="H1225" s="212"/>
      <c r="I1225" s="204"/>
      <c r="J1225" s="204"/>
      <c r="K1225" s="204"/>
      <c r="L1225" s="204"/>
      <c r="M1225" s="204"/>
      <c r="N1225" s="204"/>
      <c r="O1225" s="204"/>
      <c r="P1225" s="204"/>
      <c r="Q1225" s="204"/>
      <c r="R1225" s="204"/>
      <c r="S1225" s="204"/>
      <c r="T1225" s="204"/>
      <c r="U1225" s="204"/>
      <c r="V1225" s="204"/>
      <c r="W1225" s="204"/>
      <c r="X1225" s="204"/>
      <c r="Y1225" s="204"/>
      <c r="Z1225" s="204"/>
      <c r="AA1225" s="204"/>
      <c r="AB1225" s="204"/>
      <c r="AC1225" s="204"/>
      <c r="AD1225" s="204"/>
      <c r="AE1225" s="204"/>
      <c r="AF1225" s="204"/>
      <c r="AG1225" s="204"/>
      <c r="AH1225" s="204"/>
      <c r="AI1225" s="209"/>
      <c r="AJ1225" s="209"/>
      <c r="AK1225" s="204"/>
      <c r="AL1225" s="204"/>
      <c r="AM1225" s="204"/>
    </row>
    <row r="1226">
      <c r="A1226" s="204"/>
      <c r="B1226" s="209"/>
      <c r="C1226" s="204"/>
      <c r="D1226" s="210"/>
      <c r="E1226" s="211"/>
      <c r="F1226" s="211"/>
      <c r="G1226" s="212"/>
      <c r="H1226" s="212"/>
      <c r="I1226" s="204"/>
      <c r="J1226" s="204"/>
      <c r="K1226" s="204"/>
      <c r="L1226" s="204"/>
      <c r="M1226" s="204"/>
      <c r="N1226" s="204"/>
      <c r="O1226" s="204"/>
      <c r="P1226" s="204"/>
      <c r="Q1226" s="204"/>
      <c r="R1226" s="204"/>
      <c r="S1226" s="204"/>
      <c r="T1226" s="204"/>
      <c r="U1226" s="204"/>
      <c r="V1226" s="204"/>
      <c r="W1226" s="204"/>
      <c r="X1226" s="204"/>
      <c r="Y1226" s="204"/>
      <c r="Z1226" s="204"/>
      <c r="AA1226" s="204"/>
      <c r="AB1226" s="204"/>
      <c r="AC1226" s="204"/>
      <c r="AD1226" s="204"/>
      <c r="AE1226" s="204"/>
      <c r="AF1226" s="204"/>
      <c r="AG1226" s="204"/>
      <c r="AH1226" s="204"/>
      <c r="AI1226" s="209"/>
      <c r="AJ1226" s="209"/>
      <c r="AK1226" s="204"/>
      <c r="AL1226" s="204"/>
      <c r="AM1226" s="204"/>
    </row>
    <row r="1227">
      <c r="A1227" s="204"/>
      <c r="B1227" s="209"/>
      <c r="C1227" s="204"/>
      <c r="D1227" s="210"/>
      <c r="E1227" s="211"/>
      <c r="F1227" s="211"/>
      <c r="G1227" s="212"/>
      <c r="H1227" s="212"/>
      <c r="I1227" s="204"/>
      <c r="J1227" s="204"/>
      <c r="K1227" s="204"/>
      <c r="L1227" s="204"/>
      <c r="M1227" s="204"/>
      <c r="N1227" s="204"/>
      <c r="O1227" s="204"/>
      <c r="P1227" s="204"/>
      <c r="Q1227" s="204"/>
      <c r="R1227" s="204"/>
      <c r="S1227" s="204"/>
      <c r="T1227" s="204"/>
      <c r="U1227" s="204"/>
      <c r="V1227" s="204"/>
      <c r="W1227" s="204"/>
      <c r="X1227" s="204"/>
      <c r="Y1227" s="204"/>
      <c r="Z1227" s="204"/>
      <c r="AA1227" s="204"/>
      <c r="AB1227" s="204"/>
      <c r="AC1227" s="204"/>
      <c r="AD1227" s="204"/>
      <c r="AE1227" s="204"/>
      <c r="AF1227" s="204"/>
      <c r="AG1227" s="204"/>
      <c r="AH1227" s="204"/>
      <c r="AI1227" s="209"/>
      <c r="AJ1227" s="209"/>
      <c r="AK1227" s="204"/>
      <c r="AL1227" s="204"/>
      <c r="AM1227" s="204"/>
    </row>
    <row r="1228">
      <c r="A1228" s="204"/>
      <c r="B1228" s="209"/>
      <c r="C1228" s="204"/>
      <c r="D1228" s="210"/>
      <c r="E1228" s="211"/>
      <c r="F1228" s="211"/>
      <c r="G1228" s="212"/>
      <c r="H1228" s="212"/>
      <c r="I1228" s="204"/>
      <c r="J1228" s="204"/>
      <c r="K1228" s="204"/>
      <c r="L1228" s="204"/>
      <c r="M1228" s="204"/>
      <c r="N1228" s="204"/>
      <c r="O1228" s="204"/>
      <c r="P1228" s="204"/>
      <c r="Q1228" s="204"/>
      <c r="R1228" s="204"/>
      <c r="S1228" s="204"/>
      <c r="T1228" s="204"/>
      <c r="U1228" s="204"/>
      <c r="V1228" s="204"/>
      <c r="W1228" s="204"/>
      <c r="X1228" s="204"/>
      <c r="Y1228" s="204"/>
      <c r="Z1228" s="204"/>
      <c r="AA1228" s="204"/>
      <c r="AB1228" s="204"/>
      <c r="AC1228" s="204"/>
      <c r="AD1228" s="204"/>
      <c r="AE1228" s="204"/>
      <c r="AF1228" s="204"/>
      <c r="AG1228" s="204"/>
      <c r="AH1228" s="204"/>
      <c r="AI1228" s="209"/>
      <c r="AJ1228" s="209"/>
      <c r="AK1228" s="204"/>
      <c r="AL1228" s="204"/>
      <c r="AM1228" s="204"/>
    </row>
    <row r="1229">
      <c r="A1229" s="204"/>
      <c r="B1229" s="209"/>
      <c r="C1229" s="204"/>
      <c r="D1229" s="210"/>
      <c r="E1229" s="211"/>
      <c r="F1229" s="211"/>
      <c r="G1229" s="212"/>
      <c r="H1229" s="212"/>
      <c r="I1229" s="204"/>
      <c r="J1229" s="204"/>
      <c r="K1229" s="204"/>
      <c r="L1229" s="204"/>
      <c r="M1229" s="204"/>
      <c r="N1229" s="204"/>
      <c r="O1229" s="204"/>
      <c r="P1229" s="204"/>
      <c r="Q1229" s="204"/>
      <c r="R1229" s="204"/>
      <c r="S1229" s="204"/>
      <c r="T1229" s="204"/>
      <c r="U1229" s="204"/>
      <c r="V1229" s="204"/>
      <c r="W1229" s="204"/>
      <c r="X1229" s="204"/>
      <c r="Y1229" s="204"/>
      <c r="Z1229" s="204"/>
      <c r="AA1229" s="204"/>
      <c r="AB1229" s="204"/>
      <c r="AC1229" s="204"/>
      <c r="AD1229" s="204"/>
      <c r="AE1229" s="204"/>
      <c r="AF1229" s="204"/>
      <c r="AG1229" s="204"/>
      <c r="AH1229" s="204"/>
      <c r="AI1229" s="209"/>
      <c r="AJ1229" s="209"/>
      <c r="AK1229" s="204"/>
      <c r="AL1229" s="204"/>
      <c r="AM1229" s="204"/>
    </row>
    <row r="1230">
      <c r="A1230" s="204"/>
      <c r="B1230" s="209"/>
      <c r="C1230" s="204"/>
      <c r="D1230" s="210"/>
      <c r="E1230" s="211"/>
      <c r="F1230" s="211"/>
      <c r="G1230" s="212"/>
      <c r="H1230" s="212"/>
      <c r="I1230" s="204"/>
      <c r="J1230" s="204"/>
      <c r="K1230" s="204"/>
      <c r="L1230" s="204"/>
      <c r="M1230" s="204"/>
      <c r="N1230" s="204"/>
      <c r="O1230" s="204"/>
      <c r="P1230" s="204"/>
      <c r="Q1230" s="204"/>
      <c r="R1230" s="204"/>
      <c r="S1230" s="204"/>
      <c r="T1230" s="204"/>
      <c r="U1230" s="204"/>
      <c r="V1230" s="204"/>
      <c r="W1230" s="204"/>
      <c r="X1230" s="204"/>
      <c r="Y1230" s="204"/>
      <c r="Z1230" s="204"/>
      <c r="AA1230" s="204"/>
      <c r="AB1230" s="204"/>
      <c r="AC1230" s="204"/>
      <c r="AD1230" s="204"/>
      <c r="AE1230" s="204"/>
      <c r="AF1230" s="204"/>
      <c r="AG1230" s="204"/>
      <c r="AH1230" s="204"/>
      <c r="AI1230" s="209"/>
      <c r="AJ1230" s="209"/>
      <c r="AK1230" s="204"/>
      <c r="AL1230" s="204"/>
      <c r="AM1230" s="204"/>
    </row>
    <row r="1231">
      <c r="A1231" s="204"/>
      <c r="B1231" s="209"/>
      <c r="C1231" s="204"/>
      <c r="D1231" s="210"/>
      <c r="E1231" s="211"/>
      <c r="F1231" s="211"/>
      <c r="G1231" s="212"/>
      <c r="H1231" s="212"/>
      <c r="I1231" s="204"/>
      <c r="J1231" s="204"/>
      <c r="K1231" s="204"/>
      <c r="L1231" s="204"/>
      <c r="M1231" s="204"/>
      <c r="N1231" s="204"/>
      <c r="O1231" s="204"/>
      <c r="P1231" s="204"/>
      <c r="Q1231" s="204"/>
      <c r="R1231" s="204"/>
      <c r="S1231" s="204"/>
      <c r="T1231" s="204"/>
      <c r="U1231" s="204"/>
      <c r="V1231" s="204"/>
      <c r="W1231" s="204"/>
      <c r="X1231" s="204"/>
      <c r="Y1231" s="204"/>
      <c r="Z1231" s="204"/>
      <c r="AA1231" s="204"/>
      <c r="AB1231" s="204"/>
      <c r="AC1231" s="204"/>
      <c r="AD1231" s="204"/>
      <c r="AE1231" s="204"/>
      <c r="AF1231" s="204"/>
      <c r="AG1231" s="204"/>
      <c r="AH1231" s="204"/>
      <c r="AI1231" s="209"/>
      <c r="AJ1231" s="209"/>
      <c r="AK1231" s="204"/>
      <c r="AL1231" s="204"/>
      <c r="AM1231" s="204"/>
    </row>
    <row r="1232">
      <c r="A1232" s="204"/>
      <c r="B1232" s="209"/>
      <c r="C1232" s="204"/>
      <c r="D1232" s="210"/>
      <c r="E1232" s="211"/>
      <c r="F1232" s="211"/>
      <c r="G1232" s="212"/>
      <c r="H1232" s="212"/>
      <c r="I1232" s="204"/>
      <c r="J1232" s="204"/>
      <c r="K1232" s="204"/>
      <c r="L1232" s="204"/>
      <c r="M1232" s="204"/>
      <c r="N1232" s="204"/>
      <c r="O1232" s="204"/>
      <c r="P1232" s="204"/>
      <c r="Q1232" s="204"/>
      <c r="R1232" s="204"/>
      <c r="S1232" s="204"/>
      <c r="T1232" s="204"/>
      <c r="U1232" s="204"/>
      <c r="V1232" s="204"/>
      <c r="W1232" s="204"/>
      <c r="X1232" s="204"/>
      <c r="Y1232" s="204"/>
      <c r="Z1232" s="204"/>
      <c r="AA1232" s="204"/>
      <c r="AB1232" s="204"/>
      <c r="AC1232" s="204"/>
      <c r="AD1232" s="204"/>
      <c r="AE1232" s="204"/>
      <c r="AF1232" s="204"/>
      <c r="AG1232" s="204"/>
      <c r="AH1232" s="204"/>
      <c r="AI1232" s="209"/>
      <c r="AJ1232" s="209"/>
      <c r="AK1232" s="204"/>
      <c r="AL1232" s="204"/>
      <c r="AM1232" s="204"/>
    </row>
    <row r="1233">
      <c r="A1233" s="204"/>
      <c r="B1233" s="209"/>
      <c r="C1233" s="204"/>
      <c r="D1233" s="210"/>
      <c r="E1233" s="211"/>
      <c r="F1233" s="211"/>
      <c r="G1233" s="212"/>
      <c r="H1233" s="212"/>
      <c r="I1233" s="204"/>
      <c r="J1233" s="204"/>
      <c r="K1233" s="204"/>
      <c r="L1233" s="204"/>
      <c r="M1233" s="204"/>
      <c r="N1233" s="204"/>
      <c r="O1233" s="204"/>
      <c r="P1233" s="204"/>
      <c r="Q1233" s="204"/>
      <c r="R1233" s="204"/>
      <c r="S1233" s="204"/>
      <c r="T1233" s="204"/>
      <c r="U1233" s="204"/>
      <c r="V1233" s="204"/>
      <c r="W1233" s="204"/>
      <c r="X1233" s="204"/>
      <c r="Y1233" s="204"/>
      <c r="Z1233" s="204"/>
      <c r="AA1233" s="204"/>
      <c r="AB1233" s="204"/>
      <c r="AC1233" s="204"/>
      <c r="AD1233" s="204"/>
      <c r="AE1233" s="204"/>
      <c r="AF1233" s="204"/>
      <c r="AG1233" s="204"/>
      <c r="AH1233" s="204"/>
      <c r="AI1233" s="209"/>
      <c r="AJ1233" s="209"/>
      <c r="AK1233" s="204"/>
      <c r="AL1233" s="204"/>
      <c r="AM1233" s="204"/>
    </row>
    <row r="1234">
      <c r="A1234" s="204"/>
      <c r="B1234" s="209"/>
      <c r="C1234" s="204"/>
      <c r="D1234" s="210"/>
      <c r="E1234" s="211"/>
      <c r="F1234" s="211"/>
      <c r="G1234" s="212"/>
      <c r="H1234" s="212"/>
      <c r="I1234" s="204"/>
      <c r="J1234" s="204"/>
      <c r="K1234" s="204"/>
      <c r="L1234" s="204"/>
      <c r="M1234" s="204"/>
      <c r="N1234" s="204"/>
      <c r="O1234" s="204"/>
      <c r="P1234" s="204"/>
      <c r="Q1234" s="204"/>
      <c r="R1234" s="204"/>
      <c r="S1234" s="204"/>
      <c r="T1234" s="204"/>
      <c r="U1234" s="204"/>
      <c r="V1234" s="204"/>
      <c r="W1234" s="204"/>
      <c r="X1234" s="204"/>
      <c r="Y1234" s="204"/>
      <c r="Z1234" s="204"/>
      <c r="AA1234" s="204"/>
      <c r="AB1234" s="204"/>
      <c r="AC1234" s="204"/>
      <c r="AD1234" s="204"/>
      <c r="AE1234" s="204"/>
      <c r="AF1234" s="204"/>
      <c r="AG1234" s="204"/>
      <c r="AH1234" s="204"/>
      <c r="AI1234" s="209"/>
      <c r="AJ1234" s="209"/>
      <c r="AK1234" s="204"/>
      <c r="AL1234" s="204"/>
      <c r="AM1234" s="204"/>
    </row>
    <row r="1235">
      <c r="A1235" s="204"/>
      <c r="B1235" s="209"/>
      <c r="C1235" s="204"/>
      <c r="D1235" s="210"/>
      <c r="E1235" s="211"/>
      <c r="F1235" s="211"/>
      <c r="G1235" s="212"/>
      <c r="H1235" s="212"/>
      <c r="I1235" s="204"/>
      <c r="J1235" s="204"/>
      <c r="K1235" s="204"/>
      <c r="L1235" s="204"/>
      <c r="M1235" s="204"/>
      <c r="N1235" s="204"/>
      <c r="O1235" s="204"/>
      <c r="P1235" s="204"/>
      <c r="Q1235" s="204"/>
      <c r="R1235" s="204"/>
      <c r="S1235" s="204"/>
      <c r="T1235" s="204"/>
      <c r="U1235" s="204"/>
      <c r="V1235" s="204"/>
      <c r="W1235" s="204"/>
      <c r="X1235" s="204"/>
      <c r="Y1235" s="204"/>
      <c r="Z1235" s="204"/>
      <c r="AA1235" s="204"/>
      <c r="AB1235" s="204"/>
      <c r="AC1235" s="204"/>
      <c r="AD1235" s="204"/>
      <c r="AE1235" s="204"/>
      <c r="AF1235" s="204"/>
      <c r="AG1235" s="204"/>
      <c r="AH1235" s="204"/>
      <c r="AI1235" s="209"/>
      <c r="AJ1235" s="209"/>
      <c r="AK1235" s="204"/>
      <c r="AL1235" s="204"/>
      <c r="AM1235" s="204"/>
    </row>
    <row r="1236">
      <c r="A1236" s="204"/>
      <c r="B1236" s="209"/>
      <c r="C1236" s="204"/>
      <c r="D1236" s="210"/>
      <c r="E1236" s="211"/>
      <c r="F1236" s="211"/>
      <c r="G1236" s="212"/>
      <c r="H1236" s="212"/>
      <c r="I1236" s="204"/>
      <c r="J1236" s="204"/>
      <c r="K1236" s="204"/>
      <c r="L1236" s="204"/>
      <c r="M1236" s="204"/>
      <c r="N1236" s="204"/>
      <c r="O1236" s="204"/>
      <c r="P1236" s="204"/>
      <c r="Q1236" s="204"/>
      <c r="R1236" s="204"/>
      <c r="S1236" s="204"/>
      <c r="T1236" s="204"/>
      <c r="U1236" s="204"/>
      <c r="V1236" s="204"/>
      <c r="W1236" s="204"/>
      <c r="X1236" s="204"/>
      <c r="Y1236" s="204"/>
      <c r="Z1236" s="204"/>
      <c r="AA1236" s="204"/>
      <c r="AB1236" s="204"/>
      <c r="AC1236" s="204"/>
      <c r="AD1236" s="204"/>
      <c r="AE1236" s="204"/>
      <c r="AF1236" s="204"/>
      <c r="AG1236" s="204"/>
      <c r="AH1236" s="204"/>
      <c r="AI1236" s="209"/>
      <c r="AJ1236" s="209"/>
      <c r="AK1236" s="204"/>
      <c r="AL1236" s="204"/>
      <c r="AM1236" s="204"/>
    </row>
    <row r="1237">
      <c r="A1237" s="204"/>
      <c r="B1237" s="209"/>
      <c r="C1237" s="204"/>
      <c r="D1237" s="210"/>
      <c r="E1237" s="211"/>
      <c r="F1237" s="211"/>
      <c r="G1237" s="212"/>
      <c r="H1237" s="212"/>
      <c r="I1237" s="204"/>
      <c r="J1237" s="204"/>
      <c r="K1237" s="204"/>
      <c r="L1237" s="204"/>
      <c r="M1237" s="204"/>
      <c r="N1237" s="204"/>
      <c r="O1237" s="204"/>
      <c r="P1237" s="204"/>
      <c r="Q1237" s="204"/>
      <c r="R1237" s="204"/>
      <c r="S1237" s="204"/>
      <c r="T1237" s="204"/>
      <c r="U1237" s="204"/>
      <c r="V1237" s="204"/>
      <c r="W1237" s="204"/>
      <c r="X1237" s="204"/>
      <c r="Y1237" s="204"/>
      <c r="Z1237" s="204"/>
      <c r="AA1237" s="204"/>
      <c r="AB1237" s="204"/>
      <c r="AC1237" s="204"/>
      <c r="AD1237" s="204"/>
      <c r="AE1237" s="204"/>
      <c r="AF1237" s="204"/>
      <c r="AG1237" s="204"/>
      <c r="AH1237" s="204"/>
      <c r="AI1237" s="209"/>
      <c r="AJ1237" s="209"/>
      <c r="AK1237" s="204"/>
      <c r="AL1237" s="204"/>
      <c r="AM1237" s="204"/>
    </row>
    <row r="1238">
      <c r="A1238" s="204"/>
      <c r="B1238" s="209"/>
      <c r="C1238" s="204"/>
      <c r="D1238" s="210"/>
      <c r="E1238" s="211"/>
      <c r="F1238" s="211"/>
      <c r="G1238" s="212"/>
      <c r="H1238" s="212"/>
      <c r="I1238" s="204"/>
      <c r="J1238" s="204"/>
      <c r="K1238" s="204"/>
      <c r="L1238" s="204"/>
      <c r="M1238" s="204"/>
      <c r="N1238" s="204"/>
      <c r="O1238" s="204"/>
      <c r="P1238" s="204"/>
      <c r="Q1238" s="204"/>
      <c r="R1238" s="204"/>
      <c r="S1238" s="204"/>
      <c r="T1238" s="204"/>
      <c r="U1238" s="204"/>
      <c r="V1238" s="204"/>
      <c r="W1238" s="204"/>
      <c r="X1238" s="204"/>
      <c r="Y1238" s="204"/>
      <c r="Z1238" s="204"/>
      <c r="AA1238" s="204"/>
      <c r="AB1238" s="204"/>
      <c r="AC1238" s="204"/>
      <c r="AD1238" s="204"/>
      <c r="AE1238" s="204"/>
      <c r="AF1238" s="204"/>
      <c r="AG1238" s="204"/>
      <c r="AH1238" s="204"/>
      <c r="AI1238" s="209"/>
      <c r="AJ1238" s="209"/>
      <c r="AK1238" s="204"/>
      <c r="AL1238" s="204"/>
      <c r="AM1238" s="204"/>
    </row>
    <row r="1239">
      <c r="A1239" s="204"/>
      <c r="B1239" s="209"/>
      <c r="C1239" s="204"/>
      <c r="D1239" s="210"/>
      <c r="E1239" s="211"/>
      <c r="F1239" s="211"/>
      <c r="G1239" s="212"/>
      <c r="H1239" s="212"/>
      <c r="I1239" s="204"/>
      <c r="J1239" s="204"/>
      <c r="K1239" s="204"/>
      <c r="L1239" s="204"/>
      <c r="M1239" s="204"/>
      <c r="N1239" s="204"/>
      <c r="O1239" s="204"/>
      <c r="P1239" s="204"/>
      <c r="Q1239" s="204"/>
      <c r="R1239" s="204"/>
      <c r="S1239" s="204"/>
      <c r="T1239" s="204"/>
      <c r="U1239" s="204"/>
      <c r="V1239" s="204"/>
      <c r="W1239" s="204"/>
      <c r="X1239" s="204"/>
      <c r="Y1239" s="204"/>
      <c r="Z1239" s="204"/>
      <c r="AA1239" s="204"/>
      <c r="AB1239" s="204"/>
      <c r="AC1239" s="204"/>
      <c r="AD1239" s="204"/>
      <c r="AE1239" s="204"/>
      <c r="AF1239" s="204"/>
      <c r="AG1239" s="204"/>
      <c r="AH1239" s="204"/>
      <c r="AI1239" s="209"/>
      <c r="AJ1239" s="209"/>
      <c r="AK1239" s="204"/>
      <c r="AL1239" s="204"/>
      <c r="AM1239" s="204"/>
    </row>
    <row r="1240">
      <c r="A1240" s="204"/>
      <c r="B1240" s="209"/>
      <c r="C1240" s="204"/>
      <c r="D1240" s="210"/>
      <c r="E1240" s="211"/>
      <c r="F1240" s="211"/>
      <c r="G1240" s="212"/>
      <c r="H1240" s="212"/>
      <c r="I1240" s="204"/>
      <c r="J1240" s="204"/>
      <c r="K1240" s="204"/>
      <c r="L1240" s="204"/>
      <c r="M1240" s="204"/>
      <c r="N1240" s="204"/>
      <c r="O1240" s="204"/>
      <c r="P1240" s="204"/>
      <c r="Q1240" s="204"/>
      <c r="R1240" s="204"/>
      <c r="S1240" s="204"/>
      <c r="T1240" s="204"/>
      <c r="U1240" s="204"/>
      <c r="V1240" s="204"/>
      <c r="W1240" s="204"/>
      <c r="X1240" s="204"/>
      <c r="Y1240" s="204"/>
      <c r="Z1240" s="204"/>
      <c r="AA1240" s="204"/>
      <c r="AB1240" s="204"/>
      <c r="AC1240" s="204"/>
      <c r="AD1240" s="204"/>
      <c r="AE1240" s="204"/>
      <c r="AF1240" s="204"/>
      <c r="AG1240" s="204"/>
      <c r="AH1240" s="204"/>
      <c r="AI1240" s="209"/>
      <c r="AJ1240" s="209"/>
      <c r="AK1240" s="204"/>
      <c r="AL1240" s="204"/>
      <c r="AM1240" s="204"/>
    </row>
    <row r="1241">
      <c r="A1241" s="204"/>
      <c r="B1241" s="209"/>
      <c r="C1241" s="204"/>
      <c r="D1241" s="210"/>
      <c r="E1241" s="211"/>
      <c r="F1241" s="211"/>
      <c r="G1241" s="212"/>
      <c r="H1241" s="212"/>
      <c r="I1241" s="204"/>
      <c r="J1241" s="204"/>
      <c r="K1241" s="204"/>
      <c r="L1241" s="204"/>
      <c r="M1241" s="204"/>
      <c r="N1241" s="204"/>
      <c r="O1241" s="204"/>
      <c r="P1241" s="204"/>
      <c r="Q1241" s="204"/>
      <c r="R1241" s="204"/>
      <c r="S1241" s="204"/>
      <c r="T1241" s="204"/>
      <c r="U1241" s="204"/>
      <c r="V1241" s="204"/>
      <c r="W1241" s="204"/>
      <c r="X1241" s="204"/>
      <c r="Y1241" s="204"/>
      <c r="Z1241" s="204"/>
      <c r="AA1241" s="204"/>
      <c r="AB1241" s="204"/>
      <c r="AC1241" s="204"/>
      <c r="AD1241" s="204"/>
      <c r="AE1241" s="204"/>
      <c r="AF1241" s="204"/>
      <c r="AG1241" s="204"/>
      <c r="AH1241" s="204"/>
      <c r="AI1241" s="209"/>
      <c r="AJ1241" s="209"/>
      <c r="AK1241" s="204"/>
      <c r="AL1241" s="204"/>
      <c r="AM1241" s="204"/>
    </row>
    <row r="1242">
      <c r="A1242" s="204"/>
      <c r="B1242" s="209"/>
      <c r="C1242" s="204"/>
      <c r="D1242" s="210"/>
      <c r="E1242" s="211"/>
      <c r="F1242" s="211"/>
      <c r="G1242" s="212"/>
      <c r="H1242" s="212"/>
      <c r="I1242" s="204"/>
      <c r="J1242" s="204"/>
      <c r="K1242" s="204"/>
      <c r="L1242" s="204"/>
      <c r="M1242" s="204"/>
      <c r="N1242" s="204"/>
      <c r="O1242" s="204"/>
      <c r="P1242" s="204"/>
      <c r="Q1242" s="204"/>
      <c r="R1242" s="204"/>
      <c r="S1242" s="204"/>
      <c r="T1242" s="204"/>
      <c r="U1242" s="204"/>
      <c r="V1242" s="204"/>
      <c r="W1242" s="204"/>
      <c r="X1242" s="204"/>
      <c r="Y1242" s="204"/>
      <c r="Z1242" s="204"/>
      <c r="AA1242" s="204"/>
      <c r="AB1242" s="204"/>
      <c r="AC1242" s="204"/>
      <c r="AD1242" s="204"/>
      <c r="AE1242" s="204"/>
      <c r="AF1242" s="204"/>
      <c r="AG1242" s="204"/>
      <c r="AH1242" s="204"/>
      <c r="AI1242" s="209"/>
      <c r="AJ1242" s="209"/>
      <c r="AK1242" s="204"/>
      <c r="AL1242" s="204"/>
      <c r="AM1242" s="204"/>
    </row>
    <row r="1243">
      <c r="A1243" s="204"/>
      <c r="B1243" s="209"/>
      <c r="C1243" s="204"/>
      <c r="D1243" s="210"/>
      <c r="E1243" s="211"/>
      <c r="F1243" s="211"/>
      <c r="G1243" s="212"/>
      <c r="H1243" s="212"/>
      <c r="I1243" s="204"/>
      <c r="J1243" s="204"/>
      <c r="K1243" s="204"/>
      <c r="L1243" s="204"/>
      <c r="M1243" s="204"/>
      <c r="N1243" s="204"/>
      <c r="O1243" s="204"/>
      <c r="P1243" s="204"/>
      <c r="Q1243" s="204"/>
      <c r="R1243" s="204"/>
      <c r="S1243" s="204"/>
      <c r="T1243" s="204"/>
      <c r="U1243" s="204"/>
      <c r="V1243" s="204"/>
      <c r="W1243" s="204"/>
      <c r="X1243" s="204"/>
      <c r="Y1243" s="204"/>
      <c r="Z1243" s="204"/>
      <c r="AA1243" s="204"/>
      <c r="AB1243" s="204"/>
      <c r="AC1243" s="204"/>
      <c r="AD1243" s="204"/>
      <c r="AE1243" s="204"/>
      <c r="AF1243" s="204"/>
      <c r="AG1243" s="204"/>
      <c r="AH1243" s="204"/>
      <c r="AI1243" s="209"/>
      <c r="AJ1243" s="209"/>
      <c r="AK1243" s="204"/>
      <c r="AL1243" s="204"/>
      <c r="AM1243" s="204"/>
    </row>
    <row r="1244">
      <c r="A1244" s="204"/>
      <c r="B1244" s="209"/>
      <c r="C1244" s="204"/>
      <c r="D1244" s="210"/>
      <c r="E1244" s="211"/>
      <c r="F1244" s="211"/>
      <c r="G1244" s="212"/>
      <c r="H1244" s="212"/>
      <c r="I1244" s="204"/>
      <c r="J1244" s="204"/>
      <c r="K1244" s="204"/>
      <c r="L1244" s="204"/>
      <c r="M1244" s="204"/>
      <c r="N1244" s="204"/>
      <c r="O1244" s="204"/>
      <c r="P1244" s="204"/>
      <c r="Q1244" s="204"/>
      <c r="R1244" s="204"/>
      <c r="S1244" s="204"/>
      <c r="T1244" s="204"/>
      <c r="U1244" s="204"/>
      <c r="V1244" s="204"/>
      <c r="W1244" s="204"/>
      <c r="X1244" s="204"/>
      <c r="Y1244" s="204"/>
      <c r="Z1244" s="204"/>
      <c r="AA1244" s="204"/>
      <c r="AB1244" s="204"/>
      <c r="AC1244" s="204"/>
      <c r="AD1244" s="204"/>
      <c r="AE1244" s="204"/>
      <c r="AF1244" s="204"/>
      <c r="AG1244" s="204"/>
      <c r="AH1244" s="204"/>
      <c r="AI1244" s="209"/>
      <c r="AJ1244" s="209"/>
      <c r="AK1244" s="204"/>
      <c r="AL1244" s="204"/>
      <c r="AM1244" s="204"/>
    </row>
    <row r="1245">
      <c r="A1245" s="204"/>
      <c r="B1245" s="209"/>
      <c r="C1245" s="204"/>
      <c r="D1245" s="210"/>
      <c r="E1245" s="211"/>
      <c r="F1245" s="211"/>
      <c r="G1245" s="212"/>
      <c r="H1245" s="212"/>
      <c r="I1245" s="204"/>
      <c r="J1245" s="204"/>
      <c r="K1245" s="204"/>
      <c r="L1245" s="204"/>
      <c r="M1245" s="204"/>
      <c r="N1245" s="204"/>
      <c r="O1245" s="204"/>
      <c r="P1245" s="204"/>
      <c r="Q1245" s="204"/>
      <c r="R1245" s="204"/>
      <c r="S1245" s="204"/>
      <c r="T1245" s="204"/>
      <c r="U1245" s="204"/>
      <c r="V1245" s="204"/>
      <c r="W1245" s="204"/>
      <c r="X1245" s="204"/>
      <c r="Y1245" s="204"/>
      <c r="Z1245" s="204"/>
      <c r="AA1245" s="204"/>
      <c r="AB1245" s="204"/>
      <c r="AC1245" s="204"/>
      <c r="AD1245" s="204"/>
      <c r="AE1245" s="204"/>
      <c r="AF1245" s="204"/>
      <c r="AG1245" s="204"/>
      <c r="AH1245" s="204"/>
      <c r="AI1245" s="209"/>
      <c r="AJ1245" s="209"/>
      <c r="AK1245" s="204"/>
      <c r="AL1245" s="204"/>
      <c r="AM1245" s="204"/>
    </row>
    <row r="1246">
      <c r="A1246" s="204"/>
      <c r="B1246" s="209"/>
      <c r="C1246" s="204"/>
      <c r="D1246" s="210"/>
      <c r="E1246" s="211"/>
      <c r="F1246" s="211"/>
      <c r="G1246" s="212"/>
      <c r="H1246" s="212"/>
      <c r="I1246" s="204"/>
      <c r="J1246" s="204"/>
      <c r="K1246" s="204"/>
      <c r="L1246" s="204"/>
      <c r="M1246" s="204"/>
      <c r="N1246" s="204"/>
      <c r="O1246" s="204"/>
      <c r="P1246" s="204"/>
      <c r="Q1246" s="204"/>
      <c r="R1246" s="204"/>
      <c r="S1246" s="204"/>
      <c r="T1246" s="204"/>
      <c r="U1246" s="204"/>
      <c r="V1246" s="204"/>
      <c r="W1246" s="204"/>
      <c r="X1246" s="204"/>
      <c r="Y1246" s="204"/>
      <c r="Z1246" s="204"/>
      <c r="AA1246" s="204"/>
      <c r="AB1246" s="204"/>
      <c r="AC1246" s="204"/>
      <c r="AD1246" s="204"/>
      <c r="AE1246" s="204"/>
      <c r="AF1246" s="204"/>
      <c r="AG1246" s="204"/>
      <c r="AH1246" s="204"/>
      <c r="AI1246" s="209"/>
      <c r="AJ1246" s="209"/>
      <c r="AK1246" s="204"/>
      <c r="AL1246" s="204"/>
      <c r="AM1246" s="204"/>
    </row>
    <row r="1247">
      <c r="A1247" s="204"/>
      <c r="B1247" s="209"/>
      <c r="C1247" s="204"/>
      <c r="D1247" s="210"/>
      <c r="E1247" s="211"/>
      <c r="F1247" s="211"/>
      <c r="G1247" s="212"/>
      <c r="H1247" s="212"/>
      <c r="I1247" s="204"/>
      <c r="J1247" s="204"/>
      <c r="K1247" s="204"/>
      <c r="L1247" s="204"/>
      <c r="M1247" s="204"/>
      <c r="N1247" s="204"/>
      <c r="O1247" s="204"/>
      <c r="P1247" s="204"/>
      <c r="Q1247" s="204"/>
      <c r="R1247" s="204"/>
      <c r="S1247" s="204"/>
      <c r="T1247" s="204"/>
      <c r="U1247" s="204"/>
      <c r="V1247" s="204"/>
      <c r="W1247" s="204"/>
      <c r="X1247" s="204"/>
      <c r="Y1247" s="204"/>
      <c r="Z1247" s="204"/>
      <c r="AA1247" s="204"/>
      <c r="AB1247" s="204"/>
      <c r="AC1247" s="204"/>
      <c r="AD1247" s="204"/>
      <c r="AE1247" s="204"/>
      <c r="AF1247" s="204"/>
      <c r="AG1247" s="204"/>
      <c r="AH1247" s="204"/>
      <c r="AI1247" s="209"/>
      <c r="AJ1247" s="209"/>
      <c r="AK1247" s="204"/>
      <c r="AL1247" s="204"/>
      <c r="AM1247" s="204"/>
    </row>
    <row r="1248">
      <c r="A1248" s="204"/>
      <c r="B1248" s="209"/>
      <c r="C1248" s="204"/>
      <c r="D1248" s="210"/>
      <c r="E1248" s="211"/>
      <c r="F1248" s="211"/>
      <c r="G1248" s="212"/>
      <c r="H1248" s="212"/>
      <c r="I1248" s="204"/>
      <c r="J1248" s="204"/>
      <c r="K1248" s="204"/>
      <c r="L1248" s="204"/>
      <c r="M1248" s="204"/>
      <c r="N1248" s="204"/>
      <c r="O1248" s="204"/>
      <c r="P1248" s="204"/>
      <c r="Q1248" s="204"/>
      <c r="R1248" s="204"/>
      <c r="S1248" s="204"/>
      <c r="T1248" s="204"/>
      <c r="U1248" s="204"/>
      <c r="V1248" s="204"/>
      <c r="W1248" s="204"/>
      <c r="X1248" s="204"/>
      <c r="Y1248" s="204"/>
      <c r="Z1248" s="204"/>
      <c r="AA1248" s="204"/>
      <c r="AB1248" s="204"/>
      <c r="AC1248" s="204"/>
      <c r="AD1248" s="204"/>
      <c r="AE1248" s="204"/>
      <c r="AF1248" s="204"/>
      <c r="AG1248" s="204"/>
      <c r="AH1248" s="204"/>
      <c r="AI1248" s="209"/>
      <c r="AJ1248" s="209"/>
      <c r="AK1248" s="204"/>
      <c r="AL1248" s="204"/>
      <c r="AM1248" s="204"/>
    </row>
    <row r="1249">
      <c r="A1249" s="204"/>
      <c r="B1249" s="209"/>
      <c r="C1249" s="204"/>
      <c r="D1249" s="210"/>
      <c r="E1249" s="211"/>
      <c r="F1249" s="211"/>
      <c r="G1249" s="212"/>
      <c r="H1249" s="212"/>
      <c r="I1249" s="204"/>
      <c r="J1249" s="204"/>
      <c r="K1249" s="204"/>
      <c r="L1249" s="204"/>
      <c r="M1249" s="204"/>
      <c r="N1249" s="204"/>
      <c r="O1249" s="204"/>
      <c r="P1249" s="204"/>
      <c r="Q1249" s="204"/>
      <c r="R1249" s="204"/>
      <c r="S1249" s="204"/>
      <c r="T1249" s="204"/>
      <c r="U1249" s="204"/>
      <c r="V1249" s="204"/>
      <c r="W1249" s="204"/>
      <c r="X1249" s="204"/>
      <c r="Y1249" s="204"/>
      <c r="Z1249" s="204"/>
      <c r="AA1249" s="204"/>
      <c r="AB1249" s="204"/>
      <c r="AC1249" s="204"/>
      <c r="AD1249" s="204"/>
      <c r="AE1249" s="204"/>
      <c r="AF1249" s="204"/>
      <c r="AG1249" s="204"/>
      <c r="AH1249" s="204"/>
      <c r="AI1249" s="209"/>
      <c r="AJ1249" s="209"/>
      <c r="AK1249" s="204"/>
      <c r="AL1249" s="204"/>
      <c r="AM1249" s="204"/>
    </row>
    <row r="1250">
      <c r="A1250" s="204"/>
      <c r="B1250" s="209"/>
      <c r="C1250" s="204"/>
      <c r="D1250" s="210"/>
      <c r="E1250" s="211"/>
      <c r="F1250" s="211"/>
      <c r="G1250" s="212"/>
      <c r="H1250" s="212"/>
      <c r="I1250" s="204"/>
      <c r="J1250" s="204"/>
      <c r="K1250" s="204"/>
      <c r="L1250" s="204"/>
      <c r="M1250" s="204"/>
      <c r="N1250" s="204"/>
      <c r="O1250" s="204"/>
      <c r="P1250" s="204"/>
      <c r="Q1250" s="204"/>
      <c r="R1250" s="204"/>
      <c r="S1250" s="204"/>
      <c r="T1250" s="204"/>
      <c r="U1250" s="204"/>
      <c r="V1250" s="204"/>
      <c r="W1250" s="204"/>
      <c r="X1250" s="204"/>
      <c r="Y1250" s="204"/>
      <c r="Z1250" s="204"/>
      <c r="AA1250" s="204"/>
      <c r="AB1250" s="204"/>
      <c r="AC1250" s="204"/>
      <c r="AD1250" s="204"/>
      <c r="AE1250" s="204"/>
      <c r="AF1250" s="204"/>
      <c r="AG1250" s="204"/>
      <c r="AH1250" s="204"/>
      <c r="AI1250" s="209"/>
      <c r="AJ1250" s="209"/>
      <c r="AK1250" s="204"/>
      <c r="AL1250" s="204"/>
      <c r="AM1250" s="204"/>
    </row>
    <row r="1251">
      <c r="A1251" s="204"/>
      <c r="B1251" s="209"/>
      <c r="C1251" s="204"/>
      <c r="D1251" s="210"/>
      <c r="E1251" s="211"/>
      <c r="F1251" s="211"/>
      <c r="G1251" s="212"/>
      <c r="H1251" s="212"/>
      <c r="I1251" s="204"/>
      <c r="J1251" s="204"/>
      <c r="K1251" s="204"/>
      <c r="L1251" s="204"/>
      <c r="M1251" s="204"/>
      <c r="N1251" s="204"/>
      <c r="O1251" s="204"/>
      <c r="P1251" s="204"/>
      <c r="Q1251" s="204"/>
      <c r="R1251" s="204"/>
      <c r="S1251" s="204"/>
      <c r="T1251" s="204"/>
      <c r="U1251" s="204"/>
      <c r="V1251" s="204"/>
      <c r="W1251" s="204"/>
      <c r="X1251" s="204"/>
      <c r="Y1251" s="204"/>
      <c r="Z1251" s="204"/>
      <c r="AA1251" s="204"/>
      <c r="AB1251" s="204"/>
      <c r="AC1251" s="204"/>
      <c r="AD1251" s="204"/>
      <c r="AE1251" s="204"/>
      <c r="AF1251" s="204"/>
      <c r="AG1251" s="204"/>
      <c r="AH1251" s="204"/>
      <c r="AI1251" s="209"/>
      <c r="AJ1251" s="209"/>
      <c r="AK1251" s="204"/>
      <c r="AL1251" s="204"/>
      <c r="AM1251" s="204"/>
    </row>
    <row r="1252">
      <c r="A1252" s="204"/>
      <c r="B1252" s="209"/>
      <c r="C1252" s="204"/>
      <c r="D1252" s="210"/>
      <c r="E1252" s="211"/>
      <c r="F1252" s="211"/>
      <c r="G1252" s="212"/>
      <c r="H1252" s="212"/>
      <c r="I1252" s="204"/>
      <c r="J1252" s="204"/>
      <c r="K1252" s="204"/>
      <c r="L1252" s="204"/>
      <c r="M1252" s="204"/>
      <c r="N1252" s="204"/>
      <c r="O1252" s="204"/>
      <c r="P1252" s="204"/>
      <c r="Q1252" s="204"/>
      <c r="R1252" s="204"/>
      <c r="S1252" s="204"/>
      <c r="T1252" s="204"/>
      <c r="U1252" s="204"/>
      <c r="V1252" s="204"/>
      <c r="W1252" s="204"/>
      <c r="X1252" s="204"/>
      <c r="Y1252" s="204"/>
      <c r="Z1252" s="204"/>
      <c r="AA1252" s="204"/>
      <c r="AB1252" s="204"/>
      <c r="AC1252" s="204"/>
      <c r="AD1252" s="204"/>
      <c r="AE1252" s="204"/>
      <c r="AF1252" s="204"/>
      <c r="AG1252" s="204"/>
      <c r="AH1252" s="204"/>
      <c r="AI1252" s="209"/>
      <c r="AJ1252" s="209"/>
      <c r="AK1252" s="204"/>
      <c r="AL1252" s="204"/>
      <c r="AM1252" s="204"/>
    </row>
    <row r="1253">
      <c r="A1253" s="204"/>
      <c r="B1253" s="209"/>
      <c r="C1253" s="204"/>
      <c r="D1253" s="210"/>
      <c r="E1253" s="211"/>
      <c r="F1253" s="211"/>
      <c r="G1253" s="212"/>
      <c r="H1253" s="212"/>
      <c r="I1253" s="204"/>
      <c r="J1253" s="204"/>
      <c r="K1253" s="204"/>
      <c r="L1253" s="204"/>
      <c r="M1253" s="204"/>
      <c r="N1253" s="204"/>
      <c r="O1253" s="204"/>
      <c r="P1253" s="204"/>
      <c r="Q1253" s="204"/>
      <c r="R1253" s="204"/>
      <c r="S1253" s="204"/>
      <c r="T1253" s="204"/>
      <c r="U1253" s="204"/>
      <c r="V1253" s="204"/>
      <c r="W1253" s="204"/>
      <c r="X1253" s="204"/>
      <c r="Y1253" s="204"/>
      <c r="Z1253" s="204"/>
      <c r="AA1253" s="204"/>
      <c r="AB1253" s="204"/>
      <c r="AC1253" s="204"/>
      <c r="AD1253" s="204"/>
      <c r="AE1253" s="204"/>
      <c r="AF1253" s="204"/>
      <c r="AG1253" s="204"/>
      <c r="AH1253" s="204"/>
      <c r="AI1253" s="209"/>
      <c r="AJ1253" s="209"/>
      <c r="AK1253" s="204"/>
      <c r="AL1253" s="204"/>
      <c r="AM1253" s="204"/>
    </row>
    <row r="1254">
      <c r="A1254" s="204"/>
      <c r="B1254" s="209"/>
      <c r="C1254" s="204"/>
      <c r="D1254" s="210"/>
      <c r="E1254" s="211"/>
      <c r="F1254" s="211"/>
      <c r="G1254" s="212"/>
      <c r="H1254" s="212"/>
      <c r="I1254" s="204"/>
      <c r="J1254" s="204"/>
      <c r="K1254" s="204"/>
      <c r="L1254" s="204"/>
      <c r="M1254" s="204"/>
      <c r="N1254" s="204"/>
      <c r="O1254" s="204"/>
      <c r="P1254" s="204"/>
      <c r="Q1254" s="204"/>
      <c r="R1254" s="204"/>
      <c r="S1254" s="204"/>
      <c r="T1254" s="204"/>
      <c r="U1254" s="204"/>
      <c r="V1254" s="204"/>
      <c r="W1254" s="204"/>
      <c r="X1254" s="204"/>
      <c r="Y1254" s="204"/>
      <c r="Z1254" s="204"/>
      <c r="AA1254" s="204"/>
      <c r="AB1254" s="204"/>
      <c r="AC1254" s="204"/>
      <c r="AD1254" s="204"/>
      <c r="AE1254" s="204"/>
      <c r="AF1254" s="204"/>
      <c r="AG1254" s="204"/>
      <c r="AH1254" s="204"/>
      <c r="AI1254" s="209"/>
      <c r="AJ1254" s="209"/>
      <c r="AK1254" s="204"/>
      <c r="AL1254" s="204"/>
      <c r="AM1254" s="204"/>
    </row>
    <row r="1255">
      <c r="A1255" s="204"/>
      <c r="B1255" s="209"/>
      <c r="C1255" s="204"/>
      <c r="D1255" s="210"/>
      <c r="E1255" s="211"/>
      <c r="F1255" s="211"/>
      <c r="G1255" s="212"/>
      <c r="H1255" s="212"/>
      <c r="I1255" s="204"/>
      <c r="J1255" s="204"/>
      <c r="K1255" s="204"/>
      <c r="L1255" s="204"/>
      <c r="M1255" s="204"/>
      <c r="N1255" s="204"/>
      <c r="O1255" s="204"/>
      <c r="P1255" s="204"/>
      <c r="Q1255" s="204"/>
      <c r="R1255" s="204"/>
      <c r="S1255" s="204"/>
      <c r="T1255" s="204"/>
      <c r="U1255" s="204"/>
      <c r="V1255" s="204"/>
      <c r="W1255" s="204"/>
      <c r="X1255" s="204"/>
      <c r="Y1255" s="204"/>
      <c r="Z1255" s="204"/>
      <c r="AA1255" s="204"/>
      <c r="AB1255" s="204"/>
      <c r="AC1255" s="204"/>
      <c r="AD1255" s="204"/>
      <c r="AE1255" s="204"/>
      <c r="AF1255" s="204"/>
      <c r="AG1255" s="204"/>
      <c r="AH1255" s="204"/>
      <c r="AI1255" s="209"/>
      <c r="AJ1255" s="209"/>
      <c r="AK1255" s="204"/>
      <c r="AL1255" s="204"/>
      <c r="AM1255" s="204"/>
    </row>
    <row r="1256">
      <c r="A1256" s="204"/>
      <c r="B1256" s="209"/>
      <c r="C1256" s="204"/>
      <c r="D1256" s="210"/>
      <c r="E1256" s="211"/>
      <c r="F1256" s="211"/>
      <c r="G1256" s="212"/>
      <c r="H1256" s="212"/>
      <c r="I1256" s="204"/>
      <c r="J1256" s="204"/>
      <c r="K1256" s="204"/>
      <c r="L1256" s="204"/>
      <c r="M1256" s="204"/>
      <c r="N1256" s="204"/>
      <c r="O1256" s="204"/>
      <c r="P1256" s="204"/>
      <c r="Q1256" s="204"/>
      <c r="R1256" s="204"/>
      <c r="S1256" s="204"/>
      <c r="T1256" s="204"/>
      <c r="U1256" s="204"/>
      <c r="V1256" s="204"/>
      <c r="W1256" s="204"/>
      <c r="X1256" s="204"/>
      <c r="Y1256" s="204"/>
      <c r="Z1256" s="204"/>
      <c r="AA1256" s="204"/>
      <c r="AB1256" s="204"/>
      <c r="AC1256" s="204"/>
      <c r="AD1256" s="204"/>
      <c r="AE1256" s="204"/>
      <c r="AF1256" s="204"/>
      <c r="AG1256" s="204"/>
      <c r="AH1256" s="204"/>
      <c r="AI1256" s="209"/>
      <c r="AJ1256" s="209"/>
      <c r="AK1256" s="204"/>
      <c r="AL1256" s="204"/>
      <c r="AM1256" s="204"/>
    </row>
    <row r="1257">
      <c r="A1257" s="204"/>
      <c r="B1257" s="209"/>
      <c r="C1257" s="204"/>
      <c r="D1257" s="210"/>
      <c r="E1257" s="211"/>
      <c r="F1257" s="211"/>
      <c r="G1257" s="212"/>
      <c r="H1257" s="212"/>
      <c r="I1257" s="204"/>
      <c r="J1257" s="204"/>
      <c r="K1257" s="204"/>
      <c r="L1257" s="204"/>
      <c r="M1257" s="204"/>
      <c r="N1257" s="204"/>
      <c r="O1257" s="204"/>
      <c r="P1257" s="204"/>
      <c r="Q1257" s="204"/>
      <c r="R1257" s="204"/>
      <c r="S1257" s="204"/>
      <c r="T1257" s="204"/>
      <c r="U1257" s="204"/>
      <c r="V1257" s="204"/>
      <c r="W1257" s="204"/>
      <c r="X1257" s="204"/>
      <c r="Y1257" s="204"/>
      <c r="Z1257" s="204"/>
      <c r="AA1257" s="204"/>
      <c r="AB1257" s="204"/>
      <c r="AC1257" s="204"/>
      <c r="AD1257" s="204"/>
      <c r="AE1257" s="204"/>
      <c r="AF1257" s="204"/>
      <c r="AG1257" s="204"/>
      <c r="AH1257" s="204"/>
      <c r="AI1257" s="209"/>
      <c r="AJ1257" s="209"/>
      <c r="AK1257" s="204"/>
      <c r="AL1257" s="204"/>
      <c r="AM1257" s="204"/>
    </row>
    <row r="1258">
      <c r="A1258" s="204"/>
      <c r="B1258" s="209"/>
      <c r="C1258" s="204"/>
      <c r="D1258" s="210"/>
      <c r="E1258" s="211"/>
      <c r="F1258" s="211"/>
      <c r="G1258" s="212"/>
      <c r="H1258" s="212"/>
      <c r="I1258" s="204"/>
      <c r="J1258" s="204"/>
      <c r="K1258" s="204"/>
      <c r="L1258" s="204"/>
      <c r="M1258" s="204"/>
      <c r="N1258" s="204"/>
      <c r="O1258" s="204"/>
      <c r="P1258" s="204"/>
      <c r="Q1258" s="204"/>
      <c r="R1258" s="204"/>
      <c r="S1258" s="204"/>
      <c r="T1258" s="204"/>
      <c r="U1258" s="204"/>
      <c r="V1258" s="204"/>
      <c r="W1258" s="204"/>
      <c r="X1258" s="204"/>
      <c r="Y1258" s="204"/>
      <c r="Z1258" s="204"/>
      <c r="AA1258" s="204"/>
      <c r="AB1258" s="204"/>
      <c r="AC1258" s="204"/>
      <c r="AD1258" s="204"/>
      <c r="AE1258" s="204"/>
      <c r="AF1258" s="204"/>
      <c r="AG1258" s="204"/>
      <c r="AH1258" s="204"/>
      <c r="AI1258" s="209"/>
      <c r="AJ1258" s="209"/>
      <c r="AK1258" s="204"/>
      <c r="AL1258" s="204"/>
      <c r="AM1258" s="204"/>
    </row>
    <row r="1259">
      <c r="A1259" s="204"/>
      <c r="B1259" s="209"/>
      <c r="C1259" s="204"/>
      <c r="D1259" s="210"/>
      <c r="E1259" s="211"/>
      <c r="F1259" s="211"/>
      <c r="G1259" s="212"/>
      <c r="H1259" s="212"/>
      <c r="I1259" s="204"/>
      <c r="J1259" s="204"/>
      <c r="K1259" s="204"/>
      <c r="L1259" s="204"/>
      <c r="M1259" s="204"/>
      <c r="N1259" s="204"/>
      <c r="O1259" s="204"/>
      <c r="P1259" s="204"/>
      <c r="Q1259" s="204"/>
      <c r="R1259" s="204"/>
      <c r="S1259" s="204"/>
      <c r="T1259" s="204"/>
      <c r="U1259" s="204"/>
      <c r="V1259" s="204"/>
      <c r="W1259" s="204"/>
      <c r="X1259" s="204"/>
      <c r="Y1259" s="204"/>
      <c r="Z1259" s="204"/>
      <c r="AA1259" s="204"/>
      <c r="AB1259" s="204"/>
      <c r="AC1259" s="204"/>
      <c r="AD1259" s="204"/>
      <c r="AE1259" s="204"/>
      <c r="AF1259" s="204"/>
      <c r="AG1259" s="204"/>
      <c r="AH1259" s="204"/>
      <c r="AI1259" s="209"/>
      <c r="AJ1259" s="209"/>
      <c r="AK1259" s="204"/>
      <c r="AL1259" s="204"/>
      <c r="AM1259" s="204"/>
    </row>
    <row r="1260">
      <c r="A1260" s="204"/>
      <c r="B1260" s="209"/>
      <c r="C1260" s="204"/>
      <c r="D1260" s="210"/>
      <c r="E1260" s="211"/>
      <c r="F1260" s="211"/>
      <c r="G1260" s="212"/>
      <c r="H1260" s="212"/>
      <c r="I1260" s="204"/>
      <c r="J1260" s="204"/>
      <c r="K1260" s="204"/>
      <c r="L1260" s="204"/>
      <c r="M1260" s="204"/>
      <c r="N1260" s="204"/>
      <c r="O1260" s="204"/>
      <c r="P1260" s="204"/>
      <c r="Q1260" s="204"/>
      <c r="R1260" s="204"/>
      <c r="S1260" s="204"/>
      <c r="T1260" s="204"/>
      <c r="U1260" s="204"/>
      <c r="V1260" s="204"/>
      <c r="W1260" s="204"/>
      <c r="X1260" s="204"/>
      <c r="Y1260" s="204"/>
      <c r="Z1260" s="204"/>
      <c r="AA1260" s="204"/>
      <c r="AB1260" s="204"/>
      <c r="AC1260" s="204"/>
      <c r="AD1260" s="204"/>
      <c r="AE1260" s="204"/>
      <c r="AF1260" s="204"/>
      <c r="AG1260" s="204"/>
      <c r="AH1260" s="204"/>
      <c r="AI1260" s="209"/>
      <c r="AJ1260" s="209"/>
      <c r="AK1260" s="204"/>
      <c r="AL1260" s="204"/>
      <c r="AM1260" s="204"/>
    </row>
    <row r="1261">
      <c r="A1261" s="204"/>
      <c r="B1261" s="209"/>
      <c r="C1261" s="204"/>
      <c r="D1261" s="210"/>
      <c r="E1261" s="211"/>
      <c r="F1261" s="211"/>
      <c r="G1261" s="212"/>
      <c r="H1261" s="212"/>
      <c r="I1261" s="204"/>
      <c r="J1261" s="204"/>
      <c r="K1261" s="204"/>
      <c r="L1261" s="204"/>
      <c r="M1261" s="204"/>
      <c r="N1261" s="204"/>
      <c r="O1261" s="204"/>
      <c r="P1261" s="204"/>
      <c r="Q1261" s="204"/>
      <c r="R1261" s="204"/>
      <c r="S1261" s="204"/>
      <c r="T1261" s="204"/>
      <c r="U1261" s="204"/>
      <c r="V1261" s="204"/>
      <c r="W1261" s="204"/>
      <c r="X1261" s="204"/>
      <c r="Y1261" s="204"/>
      <c r="Z1261" s="204"/>
      <c r="AA1261" s="204"/>
      <c r="AB1261" s="204"/>
      <c r="AC1261" s="204"/>
      <c r="AD1261" s="204"/>
      <c r="AE1261" s="204"/>
      <c r="AF1261" s="204"/>
      <c r="AG1261" s="204"/>
      <c r="AH1261" s="204"/>
      <c r="AI1261" s="209"/>
      <c r="AJ1261" s="209"/>
      <c r="AK1261" s="204"/>
      <c r="AL1261" s="204"/>
      <c r="AM1261" s="204"/>
    </row>
    <row r="1262">
      <c r="A1262" s="204"/>
      <c r="B1262" s="209"/>
      <c r="C1262" s="204"/>
      <c r="D1262" s="210"/>
      <c r="E1262" s="211"/>
      <c r="F1262" s="211"/>
      <c r="G1262" s="212"/>
      <c r="H1262" s="212"/>
      <c r="I1262" s="204"/>
      <c r="J1262" s="204"/>
      <c r="K1262" s="204"/>
      <c r="L1262" s="204"/>
      <c r="M1262" s="204"/>
      <c r="N1262" s="204"/>
      <c r="O1262" s="204"/>
      <c r="P1262" s="204"/>
      <c r="Q1262" s="204"/>
      <c r="R1262" s="204"/>
      <c r="S1262" s="204"/>
      <c r="T1262" s="204"/>
      <c r="U1262" s="204"/>
      <c r="V1262" s="204"/>
      <c r="W1262" s="204"/>
      <c r="X1262" s="204"/>
      <c r="Y1262" s="204"/>
      <c r="Z1262" s="204"/>
      <c r="AA1262" s="204"/>
      <c r="AB1262" s="204"/>
      <c r="AC1262" s="204"/>
      <c r="AD1262" s="204"/>
      <c r="AE1262" s="204"/>
      <c r="AF1262" s="204"/>
      <c r="AG1262" s="204"/>
      <c r="AH1262" s="204"/>
      <c r="AI1262" s="209"/>
      <c r="AJ1262" s="209"/>
      <c r="AK1262" s="204"/>
      <c r="AL1262" s="204"/>
      <c r="AM1262" s="204"/>
    </row>
    <row r="1263">
      <c r="A1263" s="204"/>
      <c r="B1263" s="209"/>
      <c r="C1263" s="204"/>
      <c r="D1263" s="210"/>
      <c r="E1263" s="211"/>
      <c r="F1263" s="211"/>
      <c r="G1263" s="212"/>
      <c r="H1263" s="212"/>
      <c r="I1263" s="204"/>
      <c r="J1263" s="204"/>
      <c r="K1263" s="204"/>
      <c r="L1263" s="204"/>
      <c r="M1263" s="204"/>
      <c r="N1263" s="204"/>
      <c r="O1263" s="204"/>
      <c r="P1263" s="204"/>
      <c r="Q1263" s="204"/>
      <c r="R1263" s="204"/>
      <c r="S1263" s="204"/>
      <c r="T1263" s="204"/>
      <c r="U1263" s="204"/>
      <c r="V1263" s="204"/>
      <c r="W1263" s="204"/>
      <c r="X1263" s="204"/>
      <c r="Y1263" s="204"/>
      <c r="Z1263" s="204"/>
      <c r="AA1263" s="204"/>
      <c r="AB1263" s="204"/>
      <c r="AC1263" s="204"/>
      <c r="AD1263" s="204"/>
      <c r="AE1263" s="204"/>
      <c r="AF1263" s="204"/>
      <c r="AG1263" s="204"/>
      <c r="AH1263" s="204"/>
      <c r="AI1263" s="209"/>
      <c r="AJ1263" s="209"/>
      <c r="AK1263" s="204"/>
      <c r="AL1263" s="204"/>
      <c r="AM1263" s="204"/>
    </row>
    <row r="1264">
      <c r="A1264" s="204"/>
      <c r="B1264" s="209"/>
      <c r="C1264" s="204"/>
      <c r="D1264" s="210"/>
      <c r="E1264" s="211"/>
      <c r="F1264" s="211"/>
      <c r="G1264" s="212"/>
      <c r="H1264" s="212"/>
      <c r="I1264" s="204"/>
      <c r="J1264" s="204"/>
      <c r="K1264" s="204"/>
      <c r="L1264" s="204"/>
      <c r="M1264" s="204"/>
      <c r="N1264" s="204"/>
      <c r="O1264" s="204"/>
      <c r="P1264" s="204"/>
      <c r="Q1264" s="204"/>
      <c r="R1264" s="204"/>
      <c r="S1264" s="204"/>
      <c r="T1264" s="204"/>
      <c r="U1264" s="204"/>
      <c r="V1264" s="204"/>
      <c r="W1264" s="204"/>
      <c r="X1264" s="204"/>
      <c r="Y1264" s="204"/>
      <c r="Z1264" s="204"/>
      <c r="AA1264" s="204"/>
      <c r="AB1264" s="204"/>
      <c r="AC1264" s="204"/>
      <c r="AD1264" s="204"/>
      <c r="AE1264" s="204"/>
      <c r="AF1264" s="204"/>
      <c r="AG1264" s="204"/>
      <c r="AH1264" s="204"/>
      <c r="AI1264" s="209"/>
      <c r="AJ1264" s="209"/>
      <c r="AK1264" s="204"/>
      <c r="AL1264" s="204"/>
      <c r="AM1264" s="204"/>
    </row>
    <row r="1265">
      <c r="A1265" s="204"/>
      <c r="B1265" s="209"/>
      <c r="C1265" s="204"/>
      <c r="D1265" s="210"/>
      <c r="E1265" s="211"/>
      <c r="F1265" s="211"/>
      <c r="G1265" s="212"/>
      <c r="H1265" s="212"/>
      <c r="I1265" s="204"/>
      <c r="J1265" s="204"/>
      <c r="K1265" s="204"/>
      <c r="L1265" s="204"/>
      <c r="M1265" s="204"/>
      <c r="N1265" s="204"/>
      <c r="O1265" s="204"/>
      <c r="P1265" s="204"/>
      <c r="Q1265" s="204"/>
      <c r="R1265" s="204"/>
      <c r="S1265" s="204"/>
      <c r="T1265" s="204"/>
      <c r="U1265" s="204"/>
      <c r="V1265" s="204"/>
      <c r="W1265" s="204"/>
      <c r="X1265" s="204"/>
      <c r="Y1265" s="204"/>
      <c r="Z1265" s="204"/>
      <c r="AA1265" s="204"/>
      <c r="AB1265" s="204"/>
      <c r="AC1265" s="204"/>
      <c r="AD1265" s="204"/>
      <c r="AE1265" s="204"/>
      <c r="AF1265" s="204"/>
      <c r="AG1265" s="204"/>
      <c r="AH1265" s="204"/>
      <c r="AI1265" s="209"/>
      <c r="AJ1265" s="209"/>
      <c r="AK1265" s="204"/>
      <c r="AL1265" s="204"/>
      <c r="AM1265" s="204"/>
    </row>
    <row r="1266">
      <c r="A1266" s="204"/>
      <c r="B1266" s="209"/>
      <c r="C1266" s="204"/>
      <c r="D1266" s="210"/>
      <c r="E1266" s="211"/>
      <c r="F1266" s="211"/>
      <c r="G1266" s="212"/>
      <c r="H1266" s="212"/>
      <c r="I1266" s="204"/>
      <c r="J1266" s="204"/>
      <c r="K1266" s="204"/>
      <c r="L1266" s="204"/>
      <c r="M1266" s="204"/>
      <c r="N1266" s="204"/>
      <c r="O1266" s="204"/>
      <c r="P1266" s="204"/>
      <c r="Q1266" s="204"/>
      <c r="R1266" s="204"/>
      <c r="S1266" s="204"/>
      <c r="T1266" s="204"/>
      <c r="U1266" s="204"/>
      <c r="V1266" s="204"/>
      <c r="W1266" s="204"/>
      <c r="X1266" s="204"/>
      <c r="Y1266" s="204"/>
      <c r="Z1266" s="204"/>
      <c r="AA1266" s="204"/>
      <c r="AB1266" s="204"/>
      <c r="AC1266" s="204"/>
      <c r="AD1266" s="204"/>
      <c r="AE1266" s="204"/>
      <c r="AF1266" s="204"/>
      <c r="AG1266" s="204"/>
      <c r="AH1266" s="204"/>
      <c r="AI1266" s="209"/>
      <c r="AJ1266" s="209"/>
      <c r="AK1266" s="204"/>
      <c r="AL1266" s="204"/>
      <c r="AM1266" s="204"/>
    </row>
    <row r="1267">
      <c r="A1267" s="204"/>
      <c r="B1267" s="209"/>
      <c r="C1267" s="204"/>
      <c r="D1267" s="210"/>
      <c r="E1267" s="211"/>
      <c r="F1267" s="211"/>
      <c r="G1267" s="212"/>
      <c r="H1267" s="212"/>
      <c r="I1267" s="204"/>
      <c r="J1267" s="204"/>
      <c r="K1267" s="204"/>
      <c r="L1267" s="204"/>
      <c r="M1267" s="204"/>
      <c r="N1267" s="204"/>
      <c r="O1267" s="204"/>
      <c r="P1267" s="204"/>
      <c r="Q1267" s="204"/>
      <c r="R1267" s="204"/>
      <c r="S1267" s="204"/>
      <c r="T1267" s="204"/>
      <c r="U1267" s="204"/>
      <c r="V1267" s="204"/>
      <c r="W1267" s="204"/>
      <c r="X1267" s="204"/>
      <c r="Y1267" s="204"/>
      <c r="Z1267" s="204"/>
      <c r="AA1267" s="204"/>
      <c r="AB1267" s="204"/>
      <c r="AC1267" s="204"/>
      <c r="AD1267" s="204"/>
      <c r="AE1267" s="204"/>
      <c r="AF1267" s="204"/>
      <c r="AG1267" s="204"/>
      <c r="AH1267" s="204"/>
      <c r="AI1267" s="209"/>
      <c r="AJ1267" s="209"/>
      <c r="AK1267" s="204"/>
      <c r="AL1267" s="204"/>
      <c r="AM1267" s="204"/>
    </row>
    <row r="1268">
      <c r="A1268" s="204"/>
      <c r="B1268" s="209"/>
      <c r="C1268" s="204"/>
      <c r="D1268" s="210"/>
      <c r="E1268" s="211"/>
      <c r="F1268" s="211"/>
      <c r="G1268" s="212"/>
      <c r="H1268" s="212"/>
      <c r="I1268" s="204"/>
      <c r="J1268" s="204"/>
      <c r="K1268" s="204"/>
      <c r="L1268" s="204"/>
      <c r="M1268" s="204"/>
      <c r="N1268" s="204"/>
      <c r="O1268" s="204"/>
      <c r="P1268" s="204"/>
      <c r="Q1268" s="204"/>
      <c r="R1268" s="204"/>
      <c r="S1268" s="204"/>
      <c r="T1268" s="204"/>
      <c r="U1268" s="204"/>
      <c r="V1268" s="204"/>
      <c r="W1268" s="204"/>
      <c r="X1268" s="204"/>
      <c r="Y1268" s="204"/>
      <c r="Z1268" s="204"/>
      <c r="AA1268" s="204"/>
      <c r="AB1268" s="204"/>
      <c r="AC1268" s="204"/>
      <c r="AD1268" s="204"/>
      <c r="AE1268" s="204"/>
      <c r="AF1268" s="204"/>
      <c r="AG1268" s="204"/>
      <c r="AH1268" s="204"/>
      <c r="AI1268" s="209"/>
      <c r="AJ1268" s="209"/>
      <c r="AK1268" s="204"/>
      <c r="AL1268" s="204"/>
      <c r="AM1268" s="204"/>
    </row>
    <row r="1269">
      <c r="A1269" s="204"/>
      <c r="B1269" s="209"/>
      <c r="C1269" s="204"/>
      <c r="D1269" s="210"/>
      <c r="E1269" s="211"/>
      <c r="F1269" s="211"/>
      <c r="G1269" s="212"/>
      <c r="H1269" s="212"/>
      <c r="I1269" s="204"/>
      <c r="J1269" s="204"/>
      <c r="K1269" s="204"/>
      <c r="L1269" s="204"/>
      <c r="M1269" s="204"/>
      <c r="N1269" s="204"/>
      <c r="O1269" s="204"/>
      <c r="P1269" s="204"/>
      <c r="Q1269" s="204"/>
      <c r="R1269" s="204"/>
      <c r="S1269" s="204"/>
      <c r="T1269" s="204"/>
      <c r="U1269" s="204"/>
      <c r="V1269" s="204"/>
      <c r="W1269" s="204"/>
      <c r="X1269" s="204"/>
      <c r="Y1269" s="204"/>
      <c r="Z1269" s="204"/>
      <c r="AA1269" s="204"/>
      <c r="AB1269" s="204"/>
      <c r="AC1269" s="204"/>
      <c r="AD1269" s="204"/>
      <c r="AE1269" s="204"/>
      <c r="AF1269" s="204"/>
      <c r="AG1269" s="204"/>
      <c r="AH1269" s="204"/>
      <c r="AI1269" s="209"/>
      <c r="AJ1269" s="209"/>
      <c r="AK1269" s="204"/>
      <c r="AL1269" s="204"/>
      <c r="AM1269" s="204"/>
    </row>
    <row r="1270">
      <c r="A1270" s="204"/>
      <c r="B1270" s="209"/>
      <c r="C1270" s="204"/>
      <c r="D1270" s="210"/>
      <c r="E1270" s="211"/>
      <c r="F1270" s="211"/>
      <c r="G1270" s="212"/>
      <c r="H1270" s="212"/>
      <c r="I1270" s="204"/>
      <c r="J1270" s="204"/>
      <c r="K1270" s="204"/>
      <c r="L1270" s="204"/>
      <c r="M1270" s="204"/>
      <c r="N1270" s="204"/>
      <c r="O1270" s="204"/>
      <c r="P1270" s="204"/>
      <c r="Q1270" s="204"/>
      <c r="R1270" s="204"/>
      <c r="S1270" s="204"/>
      <c r="T1270" s="204"/>
      <c r="U1270" s="204"/>
      <c r="V1270" s="204"/>
      <c r="W1270" s="204"/>
      <c r="X1270" s="204"/>
      <c r="Y1270" s="204"/>
      <c r="Z1270" s="204"/>
      <c r="AA1270" s="204"/>
      <c r="AB1270" s="204"/>
      <c r="AC1270" s="204"/>
      <c r="AD1270" s="204"/>
      <c r="AE1270" s="204"/>
      <c r="AF1270" s="204"/>
      <c r="AG1270" s="204"/>
      <c r="AH1270" s="204"/>
      <c r="AI1270" s="209"/>
      <c r="AJ1270" s="209"/>
      <c r="AK1270" s="204"/>
      <c r="AL1270" s="204"/>
      <c r="AM1270" s="204"/>
    </row>
    <row r="1271">
      <c r="A1271" s="204"/>
      <c r="B1271" s="209"/>
      <c r="C1271" s="204"/>
      <c r="D1271" s="210"/>
      <c r="E1271" s="211"/>
      <c r="F1271" s="211"/>
      <c r="G1271" s="212"/>
      <c r="H1271" s="212"/>
      <c r="I1271" s="204"/>
      <c r="J1271" s="204"/>
      <c r="K1271" s="204"/>
      <c r="L1271" s="204"/>
      <c r="M1271" s="204"/>
      <c r="N1271" s="204"/>
      <c r="O1271" s="204"/>
      <c r="P1271" s="204"/>
      <c r="Q1271" s="204"/>
      <c r="R1271" s="204"/>
      <c r="S1271" s="204"/>
      <c r="T1271" s="204"/>
      <c r="U1271" s="204"/>
      <c r="V1271" s="204"/>
      <c r="W1271" s="204"/>
      <c r="X1271" s="204"/>
      <c r="Y1271" s="204"/>
      <c r="Z1271" s="204"/>
      <c r="AA1271" s="204"/>
      <c r="AB1271" s="204"/>
      <c r="AC1271" s="204"/>
      <c r="AD1271" s="204"/>
      <c r="AE1271" s="204"/>
      <c r="AF1271" s="204"/>
      <c r="AG1271" s="204"/>
      <c r="AH1271" s="204"/>
      <c r="AI1271" s="209"/>
      <c r="AJ1271" s="209"/>
      <c r="AK1271" s="204"/>
      <c r="AL1271" s="204"/>
      <c r="AM1271" s="204"/>
    </row>
    <row r="1272">
      <c r="A1272" s="204"/>
      <c r="B1272" s="209"/>
      <c r="C1272" s="204"/>
      <c r="D1272" s="210"/>
      <c r="E1272" s="211"/>
      <c r="F1272" s="211"/>
      <c r="G1272" s="212"/>
      <c r="H1272" s="212"/>
      <c r="I1272" s="204"/>
      <c r="J1272" s="204"/>
      <c r="K1272" s="204"/>
      <c r="L1272" s="204"/>
      <c r="M1272" s="204"/>
      <c r="N1272" s="204"/>
      <c r="O1272" s="204"/>
      <c r="P1272" s="204"/>
      <c r="Q1272" s="204"/>
      <c r="R1272" s="204"/>
      <c r="S1272" s="204"/>
      <c r="T1272" s="204"/>
      <c r="U1272" s="204"/>
      <c r="V1272" s="204"/>
      <c r="W1272" s="204"/>
      <c r="X1272" s="204"/>
      <c r="Y1272" s="204"/>
      <c r="Z1272" s="204"/>
      <c r="AA1272" s="204"/>
      <c r="AB1272" s="204"/>
      <c r="AC1272" s="204"/>
      <c r="AD1272" s="204"/>
      <c r="AE1272" s="204"/>
      <c r="AF1272" s="204"/>
      <c r="AG1272" s="204"/>
      <c r="AH1272" s="204"/>
      <c r="AI1272" s="209"/>
      <c r="AJ1272" s="209"/>
      <c r="AK1272" s="204"/>
      <c r="AL1272" s="204"/>
      <c r="AM1272" s="204"/>
    </row>
    <row r="1273">
      <c r="A1273" s="204"/>
      <c r="B1273" s="209"/>
      <c r="C1273" s="204"/>
      <c r="D1273" s="210"/>
      <c r="E1273" s="211"/>
      <c r="F1273" s="211"/>
      <c r="G1273" s="212"/>
      <c r="H1273" s="212"/>
      <c r="I1273" s="204"/>
      <c r="J1273" s="204"/>
      <c r="K1273" s="204"/>
      <c r="L1273" s="204"/>
      <c r="M1273" s="204"/>
      <c r="N1273" s="204"/>
      <c r="O1273" s="204"/>
      <c r="P1273" s="204"/>
      <c r="Q1273" s="204"/>
      <c r="R1273" s="204"/>
      <c r="S1273" s="204"/>
      <c r="T1273" s="204"/>
      <c r="U1273" s="204"/>
      <c r="V1273" s="204"/>
      <c r="W1273" s="204"/>
      <c r="X1273" s="204"/>
      <c r="Y1273" s="204"/>
      <c r="Z1273" s="204"/>
      <c r="AA1273" s="204"/>
      <c r="AB1273" s="204"/>
      <c r="AC1273" s="204"/>
      <c r="AD1273" s="204"/>
      <c r="AE1273" s="204"/>
      <c r="AF1273" s="204"/>
      <c r="AG1273" s="204"/>
      <c r="AH1273" s="204"/>
      <c r="AI1273" s="209"/>
      <c r="AJ1273" s="209"/>
      <c r="AK1273" s="204"/>
      <c r="AL1273" s="204"/>
      <c r="AM1273" s="204"/>
    </row>
    <row r="1274">
      <c r="A1274" s="204"/>
      <c r="B1274" s="209"/>
      <c r="C1274" s="204"/>
      <c r="D1274" s="210"/>
      <c r="E1274" s="211"/>
      <c r="F1274" s="211"/>
      <c r="G1274" s="212"/>
      <c r="H1274" s="212"/>
      <c r="I1274" s="204"/>
      <c r="J1274" s="204"/>
      <c r="K1274" s="204"/>
      <c r="L1274" s="204"/>
      <c r="M1274" s="204"/>
      <c r="N1274" s="204"/>
      <c r="O1274" s="204"/>
      <c r="P1274" s="204"/>
      <c r="Q1274" s="204"/>
      <c r="R1274" s="204"/>
      <c r="S1274" s="204"/>
      <c r="T1274" s="204"/>
      <c r="U1274" s="204"/>
      <c r="V1274" s="204"/>
      <c r="W1274" s="204"/>
      <c r="X1274" s="204"/>
      <c r="Y1274" s="204"/>
      <c r="Z1274" s="204"/>
      <c r="AA1274" s="204"/>
      <c r="AB1274" s="204"/>
      <c r="AC1274" s="204"/>
      <c r="AD1274" s="204"/>
      <c r="AE1274" s="204"/>
      <c r="AF1274" s="204"/>
      <c r="AG1274" s="204"/>
      <c r="AH1274" s="204"/>
      <c r="AI1274" s="209"/>
      <c r="AJ1274" s="209"/>
      <c r="AK1274" s="204"/>
      <c r="AL1274" s="204"/>
      <c r="AM1274" s="204"/>
    </row>
    <row r="1275">
      <c r="A1275" s="204"/>
      <c r="B1275" s="209"/>
      <c r="C1275" s="204"/>
      <c r="D1275" s="210"/>
      <c r="E1275" s="211"/>
      <c r="F1275" s="211"/>
      <c r="G1275" s="212"/>
      <c r="H1275" s="212"/>
      <c r="I1275" s="204"/>
      <c r="J1275" s="204"/>
      <c r="K1275" s="204"/>
      <c r="L1275" s="204"/>
      <c r="M1275" s="204"/>
      <c r="N1275" s="204"/>
      <c r="O1275" s="204"/>
      <c r="P1275" s="204"/>
      <c r="Q1275" s="204"/>
      <c r="R1275" s="204"/>
      <c r="S1275" s="204"/>
      <c r="T1275" s="204"/>
      <c r="U1275" s="204"/>
      <c r="V1275" s="204"/>
      <c r="W1275" s="204"/>
      <c r="X1275" s="204"/>
      <c r="Y1275" s="204"/>
      <c r="Z1275" s="204"/>
      <c r="AA1275" s="204"/>
      <c r="AB1275" s="204"/>
      <c r="AC1275" s="204"/>
      <c r="AD1275" s="204"/>
      <c r="AE1275" s="204"/>
      <c r="AF1275" s="204"/>
      <c r="AG1275" s="204"/>
      <c r="AH1275" s="204"/>
      <c r="AI1275" s="209"/>
      <c r="AJ1275" s="209"/>
      <c r="AK1275" s="204"/>
      <c r="AL1275" s="204"/>
      <c r="AM1275" s="204"/>
    </row>
    <row r="1276">
      <c r="A1276" s="204"/>
      <c r="B1276" s="209"/>
      <c r="C1276" s="204"/>
      <c r="D1276" s="210"/>
      <c r="E1276" s="211"/>
      <c r="F1276" s="211"/>
      <c r="G1276" s="212"/>
      <c r="H1276" s="212"/>
      <c r="I1276" s="204"/>
      <c r="J1276" s="204"/>
      <c r="K1276" s="204"/>
      <c r="L1276" s="204"/>
      <c r="M1276" s="204"/>
      <c r="N1276" s="204"/>
      <c r="O1276" s="204"/>
      <c r="P1276" s="204"/>
      <c r="Q1276" s="204"/>
      <c r="R1276" s="204"/>
      <c r="S1276" s="204"/>
      <c r="T1276" s="204"/>
      <c r="U1276" s="204"/>
      <c r="V1276" s="204"/>
      <c r="W1276" s="204"/>
      <c r="X1276" s="204"/>
      <c r="Y1276" s="204"/>
      <c r="Z1276" s="204"/>
      <c r="AA1276" s="204"/>
      <c r="AB1276" s="204"/>
      <c r="AC1276" s="204"/>
      <c r="AD1276" s="204"/>
      <c r="AE1276" s="204"/>
      <c r="AF1276" s="204"/>
      <c r="AG1276" s="204"/>
      <c r="AH1276" s="204"/>
      <c r="AI1276" s="209"/>
      <c r="AJ1276" s="209"/>
      <c r="AK1276" s="204"/>
      <c r="AL1276" s="204"/>
      <c r="AM1276" s="204"/>
    </row>
    <row r="1277">
      <c r="A1277" s="204"/>
      <c r="B1277" s="209"/>
      <c r="C1277" s="204"/>
      <c r="D1277" s="210"/>
      <c r="E1277" s="211"/>
      <c r="F1277" s="211"/>
      <c r="G1277" s="212"/>
      <c r="H1277" s="212"/>
      <c r="I1277" s="204"/>
      <c r="J1277" s="204"/>
      <c r="K1277" s="204"/>
      <c r="L1277" s="204"/>
      <c r="M1277" s="204"/>
      <c r="N1277" s="204"/>
      <c r="O1277" s="204"/>
      <c r="P1277" s="204"/>
      <c r="Q1277" s="204"/>
      <c r="R1277" s="204"/>
      <c r="S1277" s="204"/>
      <c r="T1277" s="204"/>
      <c r="U1277" s="204"/>
      <c r="V1277" s="204"/>
      <c r="W1277" s="204"/>
      <c r="X1277" s="204"/>
      <c r="Y1277" s="204"/>
      <c r="Z1277" s="204"/>
      <c r="AA1277" s="204"/>
      <c r="AB1277" s="204"/>
      <c r="AC1277" s="204"/>
      <c r="AD1277" s="204"/>
      <c r="AE1277" s="204"/>
      <c r="AF1277" s="204"/>
      <c r="AG1277" s="204"/>
      <c r="AH1277" s="204"/>
      <c r="AI1277" s="209"/>
      <c r="AJ1277" s="209"/>
      <c r="AK1277" s="204"/>
      <c r="AL1277" s="204"/>
      <c r="AM1277" s="204"/>
    </row>
    <row r="1278">
      <c r="A1278" s="204"/>
      <c r="B1278" s="209"/>
      <c r="C1278" s="204"/>
      <c r="D1278" s="210"/>
      <c r="E1278" s="211"/>
      <c r="F1278" s="211"/>
      <c r="G1278" s="212"/>
      <c r="H1278" s="212"/>
      <c r="I1278" s="204"/>
      <c r="J1278" s="204"/>
      <c r="K1278" s="204"/>
      <c r="L1278" s="204"/>
      <c r="M1278" s="204"/>
      <c r="N1278" s="204"/>
      <c r="O1278" s="204"/>
      <c r="P1278" s="204"/>
      <c r="Q1278" s="204"/>
      <c r="R1278" s="204"/>
      <c r="S1278" s="204"/>
      <c r="T1278" s="204"/>
      <c r="U1278" s="204"/>
      <c r="V1278" s="204"/>
      <c r="W1278" s="204"/>
      <c r="X1278" s="204"/>
      <c r="Y1278" s="204"/>
      <c r="Z1278" s="204"/>
      <c r="AA1278" s="204"/>
      <c r="AB1278" s="204"/>
      <c r="AC1278" s="204"/>
      <c r="AD1278" s="204"/>
      <c r="AE1278" s="204"/>
      <c r="AF1278" s="204"/>
      <c r="AG1278" s="204"/>
      <c r="AH1278" s="204"/>
      <c r="AI1278" s="209"/>
      <c r="AJ1278" s="209"/>
      <c r="AK1278" s="204"/>
      <c r="AL1278" s="204"/>
      <c r="AM1278" s="204"/>
    </row>
    <row r="1279">
      <c r="A1279" s="204"/>
      <c r="B1279" s="209"/>
      <c r="C1279" s="204"/>
      <c r="D1279" s="210"/>
      <c r="E1279" s="211"/>
      <c r="F1279" s="211"/>
      <c r="G1279" s="212"/>
      <c r="H1279" s="212"/>
      <c r="I1279" s="204"/>
      <c r="J1279" s="204"/>
      <c r="K1279" s="204"/>
      <c r="L1279" s="204"/>
      <c r="M1279" s="204"/>
      <c r="N1279" s="204"/>
      <c r="O1279" s="204"/>
      <c r="P1279" s="204"/>
      <c r="Q1279" s="204"/>
      <c r="R1279" s="204"/>
      <c r="S1279" s="204"/>
      <c r="T1279" s="204"/>
      <c r="U1279" s="204"/>
      <c r="V1279" s="204"/>
      <c r="W1279" s="204"/>
      <c r="X1279" s="204"/>
      <c r="Y1279" s="204"/>
      <c r="Z1279" s="204"/>
      <c r="AA1279" s="204"/>
      <c r="AB1279" s="204"/>
      <c r="AC1279" s="204"/>
      <c r="AD1279" s="204"/>
      <c r="AE1279" s="204"/>
      <c r="AF1279" s="204"/>
      <c r="AG1279" s="204"/>
      <c r="AH1279" s="204"/>
      <c r="AI1279" s="209"/>
      <c r="AJ1279" s="209"/>
      <c r="AK1279" s="204"/>
      <c r="AL1279" s="204"/>
      <c r="AM1279" s="204"/>
    </row>
    <row r="1280">
      <c r="A1280" s="204"/>
      <c r="B1280" s="209"/>
      <c r="C1280" s="204"/>
      <c r="D1280" s="210"/>
      <c r="E1280" s="211"/>
      <c r="F1280" s="211"/>
      <c r="G1280" s="212"/>
      <c r="H1280" s="212"/>
      <c r="I1280" s="204"/>
      <c r="J1280" s="204"/>
      <c r="K1280" s="204"/>
      <c r="L1280" s="204"/>
      <c r="M1280" s="204"/>
      <c r="N1280" s="204"/>
      <c r="O1280" s="204"/>
      <c r="P1280" s="204"/>
      <c r="Q1280" s="204"/>
      <c r="R1280" s="204"/>
      <c r="S1280" s="204"/>
      <c r="T1280" s="204"/>
      <c r="U1280" s="204"/>
      <c r="V1280" s="204"/>
      <c r="W1280" s="204"/>
      <c r="X1280" s="204"/>
      <c r="Y1280" s="204"/>
      <c r="Z1280" s="204"/>
      <c r="AA1280" s="204"/>
      <c r="AB1280" s="204"/>
      <c r="AC1280" s="204"/>
      <c r="AD1280" s="204"/>
      <c r="AE1280" s="204"/>
      <c r="AF1280" s="204"/>
      <c r="AG1280" s="204"/>
      <c r="AH1280" s="204"/>
      <c r="AI1280" s="209"/>
      <c r="AJ1280" s="209"/>
      <c r="AK1280" s="204"/>
      <c r="AL1280" s="204"/>
      <c r="AM1280" s="204"/>
    </row>
    <row r="1281">
      <c r="A1281" s="204"/>
      <c r="B1281" s="209"/>
      <c r="C1281" s="204"/>
      <c r="D1281" s="210"/>
      <c r="E1281" s="211"/>
      <c r="F1281" s="211"/>
      <c r="G1281" s="212"/>
      <c r="H1281" s="212"/>
      <c r="I1281" s="204"/>
      <c r="J1281" s="204"/>
      <c r="K1281" s="204"/>
      <c r="L1281" s="204"/>
      <c r="M1281" s="204"/>
      <c r="N1281" s="204"/>
      <c r="O1281" s="204"/>
      <c r="P1281" s="204"/>
      <c r="Q1281" s="204"/>
      <c r="R1281" s="204"/>
      <c r="S1281" s="204"/>
      <c r="T1281" s="204"/>
      <c r="U1281" s="204"/>
      <c r="V1281" s="204"/>
      <c r="W1281" s="204"/>
      <c r="X1281" s="204"/>
      <c r="Y1281" s="204"/>
      <c r="Z1281" s="204"/>
      <c r="AA1281" s="204"/>
      <c r="AB1281" s="204"/>
      <c r="AC1281" s="204"/>
      <c r="AD1281" s="204"/>
      <c r="AE1281" s="204"/>
      <c r="AF1281" s="204"/>
      <c r="AG1281" s="204"/>
      <c r="AH1281" s="204"/>
      <c r="AI1281" s="209"/>
      <c r="AJ1281" s="209"/>
      <c r="AK1281" s="204"/>
      <c r="AL1281" s="204"/>
      <c r="AM1281" s="204"/>
    </row>
    <row r="1282">
      <c r="A1282" s="204"/>
      <c r="B1282" s="209"/>
      <c r="C1282" s="204"/>
      <c r="D1282" s="210"/>
      <c r="E1282" s="211"/>
      <c r="F1282" s="211"/>
      <c r="G1282" s="212"/>
      <c r="H1282" s="212"/>
      <c r="I1282" s="204"/>
      <c r="J1282" s="204"/>
      <c r="K1282" s="204"/>
      <c r="L1282" s="204"/>
      <c r="M1282" s="204"/>
      <c r="N1282" s="204"/>
      <c r="O1282" s="204"/>
      <c r="P1282" s="204"/>
      <c r="Q1282" s="204"/>
      <c r="R1282" s="204"/>
      <c r="S1282" s="204"/>
      <c r="T1282" s="204"/>
      <c r="U1282" s="204"/>
      <c r="V1282" s="204"/>
      <c r="W1282" s="204"/>
      <c r="X1282" s="204"/>
      <c r="Y1282" s="204"/>
      <c r="Z1282" s="204"/>
      <c r="AA1282" s="204"/>
      <c r="AB1282" s="204"/>
      <c r="AC1282" s="204"/>
      <c r="AD1282" s="204"/>
      <c r="AE1282" s="204"/>
      <c r="AF1282" s="204"/>
      <c r="AG1282" s="204"/>
      <c r="AH1282" s="204"/>
      <c r="AI1282" s="209"/>
      <c r="AJ1282" s="209"/>
      <c r="AK1282" s="204"/>
      <c r="AL1282" s="204"/>
      <c r="AM1282" s="204"/>
    </row>
    <row r="1283">
      <c r="A1283" s="204"/>
      <c r="B1283" s="209"/>
      <c r="C1283" s="204"/>
      <c r="D1283" s="210"/>
      <c r="E1283" s="211"/>
      <c r="F1283" s="211"/>
      <c r="G1283" s="212"/>
      <c r="H1283" s="212"/>
      <c r="I1283" s="204"/>
      <c r="J1283" s="204"/>
      <c r="K1283" s="204"/>
      <c r="L1283" s="204"/>
      <c r="M1283" s="204"/>
      <c r="N1283" s="204"/>
      <c r="O1283" s="204"/>
      <c r="P1283" s="204"/>
      <c r="Q1283" s="204"/>
      <c r="R1283" s="204"/>
      <c r="S1283" s="204"/>
      <c r="T1283" s="204"/>
      <c r="U1283" s="204"/>
      <c r="V1283" s="204"/>
      <c r="W1283" s="204"/>
      <c r="X1283" s="204"/>
      <c r="Y1283" s="204"/>
      <c r="Z1283" s="204"/>
      <c r="AA1283" s="204"/>
      <c r="AB1283" s="204"/>
      <c r="AC1283" s="204"/>
      <c r="AD1283" s="204"/>
      <c r="AE1283" s="204"/>
      <c r="AF1283" s="204"/>
      <c r="AG1283" s="204"/>
      <c r="AH1283" s="204"/>
      <c r="AI1283" s="209"/>
      <c r="AJ1283" s="209"/>
      <c r="AK1283" s="204"/>
      <c r="AL1283" s="204"/>
      <c r="AM1283" s="204"/>
    </row>
    <row r="1284">
      <c r="A1284" s="204"/>
      <c r="B1284" s="209"/>
      <c r="C1284" s="204"/>
      <c r="D1284" s="210"/>
      <c r="E1284" s="211"/>
      <c r="F1284" s="211"/>
      <c r="G1284" s="212"/>
      <c r="H1284" s="212"/>
      <c r="I1284" s="204"/>
      <c r="J1284" s="204"/>
      <c r="K1284" s="204"/>
      <c r="L1284" s="204"/>
      <c r="M1284" s="204"/>
      <c r="N1284" s="204"/>
      <c r="O1284" s="204"/>
      <c r="P1284" s="204"/>
      <c r="Q1284" s="204"/>
      <c r="R1284" s="204"/>
      <c r="S1284" s="204"/>
      <c r="T1284" s="204"/>
      <c r="U1284" s="204"/>
      <c r="V1284" s="204"/>
      <c r="W1284" s="204"/>
      <c r="X1284" s="204"/>
      <c r="Y1284" s="204"/>
      <c r="Z1284" s="204"/>
      <c r="AA1284" s="204"/>
      <c r="AB1284" s="204"/>
      <c r="AC1284" s="204"/>
      <c r="AD1284" s="204"/>
      <c r="AE1284" s="204"/>
      <c r="AF1284" s="204"/>
      <c r="AG1284" s="204"/>
      <c r="AH1284" s="204"/>
      <c r="AI1284" s="209"/>
      <c r="AJ1284" s="209"/>
      <c r="AK1284" s="204"/>
      <c r="AL1284" s="204"/>
      <c r="AM1284" s="204"/>
    </row>
    <row r="1285">
      <c r="A1285" s="204"/>
      <c r="B1285" s="209"/>
      <c r="C1285" s="204"/>
      <c r="D1285" s="210"/>
      <c r="E1285" s="211"/>
      <c r="F1285" s="211"/>
      <c r="G1285" s="212"/>
      <c r="H1285" s="212"/>
      <c r="I1285" s="204"/>
      <c r="J1285" s="204"/>
      <c r="K1285" s="204"/>
      <c r="L1285" s="204"/>
      <c r="M1285" s="204"/>
      <c r="N1285" s="204"/>
      <c r="O1285" s="204"/>
      <c r="P1285" s="204"/>
      <c r="Q1285" s="204"/>
      <c r="R1285" s="204"/>
      <c r="S1285" s="204"/>
      <c r="T1285" s="204"/>
      <c r="U1285" s="204"/>
      <c r="V1285" s="204"/>
      <c r="W1285" s="204"/>
      <c r="X1285" s="204"/>
      <c r="Y1285" s="204"/>
      <c r="Z1285" s="204"/>
      <c r="AA1285" s="204"/>
      <c r="AB1285" s="204"/>
      <c r="AC1285" s="204"/>
      <c r="AD1285" s="204"/>
      <c r="AE1285" s="204"/>
      <c r="AF1285" s="204"/>
      <c r="AG1285" s="204"/>
      <c r="AH1285" s="204"/>
      <c r="AI1285" s="209"/>
      <c r="AJ1285" s="209"/>
      <c r="AK1285" s="204"/>
      <c r="AL1285" s="204"/>
      <c r="AM1285" s="204"/>
    </row>
    <row r="1286">
      <c r="A1286" s="204"/>
      <c r="B1286" s="209"/>
      <c r="C1286" s="204"/>
      <c r="D1286" s="210"/>
      <c r="E1286" s="211"/>
      <c r="F1286" s="211"/>
      <c r="G1286" s="212"/>
      <c r="H1286" s="212"/>
      <c r="I1286" s="204"/>
      <c r="J1286" s="204"/>
      <c r="K1286" s="204"/>
      <c r="L1286" s="204"/>
      <c r="M1286" s="204"/>
      <c r="N1286" s="204"/>
      <c r="O1286" s="204"/>
      <c r="P1286" s="204"/>
      <c r="Q1286" s="204"/>
      <c r="R1286" s="204"/>
      <c r="S1286" s="204"/>
      <c r="T1286" s="204"/>
      <c r="U1286" s="204"/>
      <c r="V1286" s="204"/>
      <c r="W1286" s="204"/>
      <c r="X1286" s="204"/>
      <c r="Y1286" s="204"/>
      <c r="Z1286" s="204"/>
      <c r="AA1286" s="204"/>
      <c r="AB1286" s="204"/>
      <c r="AC1286" s="204"/>
      <c r="AD1286" s="204"/>
      <c r="AE1286" s="204"/>
      <c r="AF1286" s="204"/>
      <c r="AG1286" s="204"/>
      <c r="AH1286" s="204"/>
      <c r="AI1286" s="209"/>
      <c r="AJ1286" s="209"/>
      <c r="AK1286" s="204"/>
      <c r="AL1286" s="204"/>
      <c r="AM1286" s="204"/>
    </row>
    <row r="1287">
      <c r="A1287" s="204"/>
      <c r="B1287" s="209"/>
      <c r="C1287" s="204"/>
      <c r="D1287" s="210"/>
      <c r="E1287" s="211"/>
      <c r="F1287" s="211"/>
      <c r="G1287" s="212"/>
      <c r="H1287" s="212"/>
      <c r="I1287" s="204"/>
      <c r="J1287" s="204"/>
      <c r="K1287" s="204"/>
      <c r="L1287" s="204"/>
      <c r="M1287" s="204"/>
      <c r="N1287" s="204"/>
      <c r="O1287" s="204"/>
      <c r="P1287" s="204"/>
      <c r="Q1287" s="204"/>
      <c r="R1287" s="204"/>
      <c r="S1287" s="204"/>
      <c r="T1287" s="204"/>
      <c r="U1287" s="204"/>
      <c r="V1287" s="204"/>
      <c r="W1287" s="204"/>
      <c r="X1287" s="204"/>
      <c r="Y1287" s="204"/>
      <c r="Z1287" s="204"/>
      <c r="AA1287" s="204"/>
      <c r="AB1287" s="204"/>
      <c r="AC1287" s="204"/>
      <c r="AD1287" s="204"/>
      <c r="AE1287" s="204"/>
      <c r="AF1287" s="204"/>
      <c r="AG1287" s="204"/>
      <c r="AH1287" s="204"/>
      <c r="AI1287" s="209"/>
      <c r="AJ1287" s="209"/>
      <c r="AK1287" s="204"/>
      <c r="AL1287" s="204"/>
      <c r="AM1287" s="204"/>
    </row>
    <row r="1288">
      <c r="A1288" s="204"/>
      <c r="B1288" s="209"/>
      <c r="C1288" s="204"/>
      <c r="D1288" s="210"/>
      <c r="E1288" s="211"/>
      <c r="F1288" s="211"/>
      <c r="G1288" s="212"/>
      <c r="H1288" s="212"/>
      <c r="I1288" s="204"/>
      <c r="J1288" s="204"/>
      <c r="K1288" s="204"/>
      <c r="L1288" s="204"/>
      <c r="M1288" s="204"/>
      <c r="N1288" s="204"/>
      <c r="O1288" s="204"/>
      <c r="P1288" s="204"/>
      <c r="Q1288" s="204"/>
      <c r="R1288" s="204"/>
      <c r="S1288" s="204"/>
      <c r="T1288" s="204"/>
      <c r="U1288" s="204"/>
      <c r="V1288" s="204"/>
      <c r="W1288" s="204"/>
      <c r="X1288" s="204"/>
      <c r="Y1288" s="204"/>
      <c r="Z1288" s="204"/>
      <c r="AA1288" s="204"/>
      <c r="AB1288" s="204"/>
      <c r="AC1288" s="204"/>
      <c r="AD1288" s="204"/>
      <c r="AE1288" s="204"/>
      <c r="AF1288" s="204"/>
      <c r="AG1288" s="204"/>
      <c r="AH1288" s="204"/>
      <c r="AI1288" s="209"/>
      <c r="AJ1288" s="209"/>
      <c r="AK1288" s="204"/>
      <c r="AL1288" s="204"/>
      <c r="AM1288" s="204"/>
    </row>
    <row r="1289">
      <c r="A1289" s="204"/>
      <c r="B1289" s="209"/>
      <c r="C1289" s="204"/>
      <c r="D1289" s="210"/>
      <c r="E1289" s="211"/>
      <c r="F1289" s="211"/>
      <c r="G1289" s="212"/>
      <c r="H1289" s="212"/>
      <c r="I1289" s="204"/>
      <c r="J1289" s="204"/>
      <c r="K1289" s="204"/>
      <c r="L1289" s="204"/>
      <c r="M1289" s="204"/>
      <c r="N1289" s="204"/>
      <c r="O1289" s="204"/>
      <c r="P1289" s="204"/>
      <c r="Q1289" s="204"/>
      <c r="R1289" s="204"/>
      <c r="S1289" s="204"/>
      <c r="T1289" s="204"/>
      <c r="U1289" s="204"/>
      <c r="V1289" s="204"/>
      <c r="W1289" s="204"/>
      <c r="X1289" s="204"/>
      <c r="Y1289" s="204"/>
      <c r="Z1289" s="204"/>
      <c r="AA1289" s="204"/>
      <c r="AB1289" s="204"/>
      <c r="AC1289" s="204"/>
      <c r="AD1289" s="204"/>
      <c r="AE1289" s="204"/>
      <c r="AF1289" s="204"/>
      <c r="AG1289" s="204"/>
      <c r="AH1289" s="204"/>
      <c r="AI1289" s="209"/>
      <c r="AJ1289" s="209"/>
      <c r="AK1289" s="204"/>
      <c r="AL1289" s="204"/>
      <c r="AM1289" s="204"/>
    </row>
    <row r="1290">
      <c r="A1290" s="204"/>
      <c r="B1290" s="209"/>
      <c r="C1290" s="204"/>
      <c r="D1290" s="210"/>
      <c r="E1290" s="211"/>
      <c r="F1290" s="211"/>
      <c r="G1290" s="212"/>
      <c r="H1290" s="212"/>
      <c r="I1290" s="204"/>
      <c r="J1290" s="204"/>
      <c r="K1290" s="204"/>
      <c r="L1290" s="204"/>
      <c r="M1290" s="204"/>
      <c r="N1290" s="204"/>
      <c r="O1290" s="204"/>
      <c r="P1290" s="204"/>
      <c r="Q1290" s="204"/>
      <c r="R1290" s="204"/>
      <c r="S1290" s="204"/>
      <c r="T1290" s="204"/>
      <c r="U1290" s="204"/>
      <c r="V1290" s="204"/>
      <c r="W1290" s="204"/>
      <c r="X1290" s="204"/>
      <c r="Y1290" s="204"/>
      <c r="Z1290" s="204"/>
      <c r="AA1290" s="204"/>
      <c r="AB1290" s="204"/>
      <c r="AC1290" s="204"/>
      <c r="AD1290" s="204"/>
      <c r="AE1290" s="204"/>
      <c r="AF1290" s="204"/>
      <c r="AG1290" s="204"/>
      <c r="AH1290" s="204"/>
      <c r="AI1290" s="209"/>
      <c r="AJ1290" s="209"/>
      <c r="AK1290" s="204"/>
      <c r="AL1290" s="204"/>
      <c r="AM1290" s="204"/>
    </row>
    <row r="1291">
      <c r="A1291" s="204"/>
      <c r="B1291" s="209"/>
      <c r="C1291" s="204"/>
      <c r="D1291" s="210"/>
      <c r="E1291" s="211"/>
      <c r="F1291" s="211"/>
      <c r="G1291" s="212"/>
      <c r="H1291" s="212"/>
      <c r="I1291" s="204"/>
      <c r="J1291" s="204"/>
      <c r="K1291" s="204"/>
      <c r="L1291" s="204"/>
      <c r="M1291" s="204"/>
      <c r="N1291" s="204"/>
      <c r="O1291" s="204"/>
      <c r="P1291" s="204"/>
      <c r="Q1291" s="204"/>
      <c r="R1291" s="204"/>
      <c r="S1291" s="204"/>
      <c r="T1291" s="204"/>
      <c r="U1291" s="204"/>
      <c r="V1291" s="204"/>
      <c r="W1291" s="204"/>
      <c r="X1291" s="204"/>
      <c r="Y1291" s="204"/>
      <c r="Z1291" s="204"/>
      <c r="AA1291" s="204"/>
      <c r="AB1291" s="204"/>
      <c r="AC1291" s="204"/>
      <c r="AD1291" s="204"/>
      <c r="AE1291" s="204"/>
      <c r="AF1291" s="204"/>
      <c r="AG1291" s="204"/>
      <c r="AH1291" s="204"/>
      <c r="AI1291" s="209"/>
      <c r="AJ1291" s="209"/>
      <c r="AK1291" s="204"/>
      <c r="AL1291" s="204"/>
      <c r="AM1291" s="204"/>
    </row>
    <row r="1292">
      <c r="A1292" s="204"/>
      <c r="B1292" s="209"/>
      <c r="C1292" s="204"/>
      <c r="D1292" s="210"/>
      <c r="E1292" s="211"/>
      <c r="F1292" s="211"/>
      <c r="G1292" s="212"/>
      <c r="H1292" s="212"/>
      <c r="I1292" s="204"/>
      <c r="J1292" s="204"/>
      <c r="K1292" s="204"/>
      <c r="L1292" s="204"/>
      <c r="M1292" s="204"/>
      <c r="N1292" s="204"/>
      <c r="O1292" s="204"/>
      <c r="P1292" s="204"/>
      <c r="Q1292" s="204"/>
      <c r="R1292" s="204"/>
      <c r="S1292" s="204"/>
      <c r="T1292" s="204"/>
      <c r="U1292" s="204"/>
      <c r="V1292" s="204"/>
      <c r="W1292" s="204"/>
      <c r="X1292" s="204"/>
      <c r="Y1292" s="204"/>
      <c r="Z1292" s="204"/>
      <c r="AA1292" s="204"/>
      <c r="AB1292" s="204"/>
      <c r="AC1292" s="204"/>
      <c r="AD1292" s="204"/>
      <c r="AE1292" s="204"/>
      <c r="AF1292" s="204"/>
      <c r="AG1292" s="204"/>
      <c r="AH1292" s="204"/>
      <c r="AI1292" s="209"/>
      <c r="AJ1292" s="209"/>
      <c r="AK1292" s="204"/>
      <c r="AL1292" s="204"/>
      <c r="AM1292" s="204"/>
    </row>
    <row r="1293">
      <c r="A1293" s="204"/>
      <c r="B1293" s="209"/>
      <c r="C1293" s="204"/>
      <c r="D1293" s="210"/>
      <c r="E1293" s="211"/>
      <c r="F1293" s="211"/>
      <c r="G1293" s="212"/>
      <c r="H1293" s="212"/>
      <c r="I1293" s="204"/>
      <c r="J1293" s="204"/>
      <c r="K1293" s="204"/>
      <c r="L1293" s="204"/>
      <c r="M1293" s="204"/>
      <c r="N1293" s="204"/>
      <c r="O1293" s="204"/>
      <c r="P1293" s="204"/>
      <c r="Q1293" s="204"/>
      <c r="R1293" s="204"/>
      <c r="S1293" s="204"/>
      <c r="T1293" s="204"/>
      <c r="U1293" s="204"/>
      <c r="V1293" s="204"/>
      <c r="W1293" s="204"/>
      <c r="X1293" s="204"/>
      <c r="Y1293" s="204"/>
      <c r="Z1293" s="204"/>
      <c r="AA1293" s="204"/>
      <c r="AB1293" s="204"/>
      <c r="AC1293" s="204"/>
      <c r="AD1293" s="204"/>
      <c r="AE1293" s="204"/>
      <c r="AF1293" s="204"/>
      <c r="AG1293" s="204"/>
      <c r="AH1293" s="204"/>
      <c r="AI1293" s="209"/>
      <c r="AJ1293" s="209"/>
      <c r="AK1293" s="204"/>
      <c r="AL1293" s="204"/>
      <c r="AM1293" s="204"/>
    </row>
    <row r="1294">
      <c r="A1294" s="204"/>
      <c r="B1294" s="209"/>
      <c r="C1294" s="204"/>
      <c r="D1294" s="210"/>
      <c r="E1294" s="211"/>
      <c r="F1294" s="211"/>
      <c r="G1294" s="212"/>
      <c r="H1294" s="212"/>
      <c r="I1294" s="204"/>
      <c r="J1294" s="204"/>
      <c r="K1294" s="204"/>
      <c r="L1294" s="204"/>
      <c r="M1294" s="204"/>
      <c r="N1294" s="204"/>
      <c r="O1294" s="204"/>
      <c r="P1294" s="204"/>
      <c r="Q1294" s="204"/>
      <c r="R1294" s="204"/>
      <c r="S1294" s="204"/>
      <c r="T1294" s="204"/>
      <c r="U1294" s="204"/>
      <c r="V1294" s="204"/>
      <c r="W1294" s="204"/>
      <c r="X1294" s="204"/>
      <c r="Y1294" s="204"/>
      <c r="Z1294" s="204"/>
      <c r="AA1294" s="204"/>
      <c r="AB1294" s="204"/>
      <c r="AC1294" s="204"/>
      <c r="AD1294" s="204"/>
      <c r="AE1294" s="204"/>
      <c r="AF1294" s="204"/>
      <c r="AG1294" s="204"/>
      <c r="AH1294" s="204"/>
      <c r="AI1294" s="209"/>
      <c r="AJ1294" s="209"/>
      <c r="AK1294" s="204"/>
      <c r="AL1294" s="204"/>
      <c r="AM1294" s="204"/>
    </row>
    <row r="1295">
      <c r="A1295" s="204"/>
      <c r="B1295" s="209"/>
      <c r="C1295" s="204"/>
      <c r="D1295" s="210"/>
      <c r="E1295" s="211"/>
      <c r="F1295" s="211"/>
      <c r="G1295" s="212"/>
      <c r="H1295" s="212"/>
      <c r="I1295" s="204"/>
      <c r="J1295" s="204"/>
      <c r="K1295" s="204"/>
      <c r="L1295" s="204"/>
      <c r="M1295" s="204"/>
      <c r="N1295" s="204"/>
      <c r="O1295" s="204"/>
      <c r="P1295" s="204"/>
      <c r="Q1295" s="204"/>
      <c r="R1295" s="204"/>
      <c r="S1295" s="204"/>
      <c r="T1295" s="204"/>
      <c r="U1295" s="204"/>
      <c r="V1295" s="204"/>
      <c r="W1295" s="204"/>
      <c r="X1295" s="204"/>
      <c r="Y1295" s="204"/>
      <c r="Z1295" s="204"/>
      <c r="AA1295" s="204"/>
      <c r="AB1295" s="204"/>
      <c r="AC1295" s="204"/>
      <c r="AD1295" s="204"/>
      <c r="AE1295" s="204"/>
      <c r="AF1295" s="204"/>
      <c r="AG1295" s="204"/>
      <c r="AH1295" s="204"/>
      <c r="AI1295" s="209"/>
      <c r="AJ1295" s="209"/>
      <c r="AK1295" s="204"/>
      <c r="AL1295" s="204"/>
      <c r="AM1295" s="204"/>
    </row>
    <row r="1296">
      <c r="A1296" s="204"/>
      <c r="B1296" s="209"/>
      <c r="C1296" s="204"/>
      <c r="D1296" s="210"/>
      <c r="E1296" s="211"/>
      <c r="F1296" s="211"/>
      <c r="G1296" s="212"/>
      <c r="H1296" s="212"/>
      <c r="I1296" s="204"/>
      <c r="J1296" s="204"/>
      <c r="K1296" s="204"/>
      <c r="L1296" s="204"/>
      <c r="M1296" s="204"/>
      <c r="N1296" s="204"/>
      <c r="O1296" s="204"/>
      <c r="P1296" s="204"/>
      <c r="Q1296" s="204"/>
      <c r="R1296" s="204"/>
      <c r="S1296" s="204"/>
      <c r="T1296" s="204"/>
      <c r="U1296" s="204"/>
      <c r="V1296" s="204"/>
      <c r="W1296" s="204"/>
      <c r="X1296" s="204"/>
      <c r="Y1296" s="204"/>
      <c r="Z1296" s="204"/>
      <c r="AA1296" s="204"/>
      <c r="AB1296" s="204"/>
      <c r="AC1296" s="204"/>
      <c r="AD1296" s="204"/>
      <c r="AE1296" s="204"/>
      <c r="AF1296" s="204"/>
      <c r="AG1296" s="204"/>
      <c r="AH1296" s="204"/>
      <c r="AI1296" s="209"/>
      <c r="AJ1296" s="209"/>
      <c r="AK1296" s="204"/>
      <c r="AL1296" s="204"/>
      <c r="AM1296" s="204"/>
    </row>
    <row r="1297">
      <c r="A1297" s="204"/>
      <c r="B1297" s="209"/>
      <c r="C1297" s="204"/>
      <c r="D1297" s="210"/>
      <c r="E1297" s="211"/>
      <c r="F1297" s="211"/>
      <c r="G1297" s="212"/>
      <c r="H1297" s="212"/>
      <c r="I1297" s="204"/>
      <c r="J1297" s="204"/>
      <c r="K1297" s="204"/>
      <c r="L1297" s="204"/>
      <c r="M1297" s="204"/>
      <c r="N1297" s="204"/>
      <c r="O1297" s="204"/>
      <c r="P1297" s="204"/>
      <c r="Q1297" s="204"/>
      <c r="R1297" s="204"/>
      <c r="S1297" s="204"/>
      <c r="T1297" s="204"/>
      <c r="U1297" s="204"/>
      <c r="V1297" s="204"/>
      <c r="W1297" s="204"/>
      <c r="X1297" s="204"/>
      <c r="Y1297" s="204"/>
      <c r="Z1297" s="204"/>
      <c r="AA1297" s="204"/>
      <c r="AB1297" s="204"/>
      <c r="AC1297" s="204"/>
      <c r="AD1297" s="204"/>
      <c r="AE1297" s="204"/>
      <c r="AF1297" s="204"/>
      <c r="AG1297" s="204"/>
      <c r="AH1297" s="204"/>
      <c r="AI1297" s="209"/>
      <c r="AJ1297" s="209"/>
      <c r="AK1297" s="204"/>
      <c r="AL1297" s="204"/>
      <c r="AM1297" s="204"/>
    </row>
    <row r="1298">
      <c r="A1298" s="204"/>
      <c r="B1298" s="209"/>
      <c r="C1298" s="204"/>
      <c r="D1298" s="210"/>
      <c r="E1298" s="211"/>
      <c r="F1298" s="211"/>
      <c r="G1298" s="212"/>
      <c r="H1298" s="212"/>
      <c r="I1298" s="204"/>
      <c r="J1298" s="204"/>
      <c r="K1298" s="204"/>
      <c r="L1298" s="204"/>
      <c r="M1298" s="204"/>
      <c r="N1298" s="204"/>
      <c r="O1298" s="204"/>
      <c r="P1298" s="204"/>
      <c r="Q1298" s="204"/>
      <c r="R1298" s="204"/>
      <c r="S1298" s="204"/>
      <c r="T1298" s="204"/>
      <c r="U1298" s="204"/>
      <c r="V1298" s="204"/>
      <c r="W1298" s="204"/>
      <c r="X1298" s="204"/>
      <c r="Y1298" s="204"/>
      <c r="Z1298" s="204"/>
      <c r="AA1298" s="204"/>
      <c r="AB1298" s="204"/>
      <c r="AC1298" s="204"/>
      <c r="AD1298" s="204"/>
      <c r="AE1298" s="204"/>
      <c r="AF1298" s="204"/>
      <c r="AG1298" s="204"/>
      <c r="AH1298" s="204"/>
      <c r="AI1298" s="209"/>
      <c r="AJ1298" s="209"/>
      <c r="AK1298" s="204"/>
      <c r="AL1298" s="204"/>
      <c r="AM1298" s="204"/>
    </row>
    <row r="1299">
      <c r="A1299" s="204"/>
      <c r="B1299" s="209"/>
      <c r="C1299" s="204"/>
      <c r="D1299" s="210"/>
      <c r="E1299" s="211"/>
      <c r="F1299" s="211"/>
      <c r="G1299" s="212"/>
      <c r="H1299" s="212"/>
      <c r="I1299" s="204"/>
      <c r="J1299" s="204"/>
      <c r="K1299" s="204"/>
      <c r="L1299" s="204"/>
      <c r="M1299" s="204"/>
      <c r="N1299" s="204"/>
      <c r="O1299" s="204"/>
      <c r="P1299" s="204"/>
      <c r="Q1299" s="204"/>
      <c r="R1299" s="204"/>
      <c r="S1299" s="204"/>
      <c r="T1299" s="204"/>
      <c r="U1299" s="204"/>
      <c r="V1299" s="204"/>
      <c r="W1299" s="204"/>
      <c r="X1299" s="204"/>
      <c r="Y1299" s="204"/>
      <c r="Z1299" s="204"/>
      <c r="AA1299" s="204"/>
      <c r="AB1299" s="204"/>
      <c r="AC1299" s="204"/>
      <c r="AD1299" s="204"/>
      <c r="AE1299" s="204"/>
      <c r="AF1299" s="204"/>
      <c r="AG1299" s="204"/>
      <c r="AH1299" s="204"/>
      <c r="AI1299" s="209"/>
      <c r="AJ1299" s="209"/>
      <c r="AK1299" s="204"/>
      <c r="AL1299" s="204"/>
      <c r="AM1299" s="204"/>
    </row>
    <row r="1300">
      <c r="A1300" s="204"/>
      <c r="B1300" s="209"/>
      <c r="C1300" s="204"/>
      <c r="D1300" s="210"/>
      <c r="E1300" s="211"/>
      <c r="F1300" s="211"/>
      <c r="G1300" s="212"/>
      <c r="H1300" s="212"/>
      <c r="I1300" s="204"/>
      <c r="J1300" s="204"/>
      <c r="K1300" s="204"/>
      <c r="L1300" s="204"/>
      <c r="M1300" s="204"/>
      <c r="N1300" s="204"/>
      <c r="O1300" s="204"/>
      <c r="P1300" s="204"/>
      <c r="Q1300" s="204"/>
      <c r="R1300" s="204"/>
      <c r="S1300" s="204"/>
      <c r="T1300" s="204"/>
      <c r="U1300" s="204"/>
      <c r="V1300" s="204"/>
      <c r="W1300" s="204"/>
      <c r="X1300" s="204"/>
      <c r="Y1300" s="204"/>
      <c r="Z1300" s="204"/>
      <c r="AA1300" s="204"/>
      <c r="AB1300" s="204"/>
      <c r="AC1300" s="204"/>
      <c r="AD1300" s="204"/>
      <c r="AE1300" s="204"/>
      <c r="AF1300" s="204"/>
      <c r="AG1300" s="204"/>
      <c r="AH1300" s="204"/>
      <c r="AI1300" s="209"/>
      <c r="AJ1300" s="209"/>
      <c r="AK1300" s="204"/>
      <c r="AL1300" s="204"/>
      <c r="AM1300" s="204"/>
    </row>
    <row r="1301">
      <c r="A1301" s="204"/>
      <c r="B1301" s="209"/>
      <c r="C1301" s="204"/>
      <c r="D1301" s="210"/>
      <c r="E1301" s="211"/>
      <c r="F1301" s="211"/>
      <c r="G1301" s="212"/>
      <c r="H1301" s="212"/>
      <c r="I1301" s="204"/>
      <c r="J1301" s="204"/>
      <c r="K1301" s="204"/>
      <c r="L1301" s="204"/>
      <c r="M1301" s="204"/>
      <c r="N1301" s="204"/>
      <c r="O1301" s="204"/>
      <c r="P1301" s="204"/>
      <c r="Q1301" s="204"/>
      <c r="R1301" s="204"/>
      <c r="S1301" s="204"/>
      <c r="T1301" s="204"/>
      <c r="U1301" s="204"/>
      <c r="V1301" s="204"/>
      <c r="W1301" s="204"/>
      <c r="X1301" s="204"/>
      <c r="Y1301" s="204"/>
      <c r="Z1301" s="204"/>
      <c r="AA1301" s="204"/>
      <c r="AB1301" s="204"/>
      <c r="AC1301" s="204"/>
      <c r="AD1301" s="204"/>
      <c r="AE1301" s="204"/>
      <c r="AF1301" s="204"/>
      <c r="AG1301" s="204"/>
      <c r="AH1301" s="204"/>
      <c r="AI1301" s="209"/>
      <c r="AJ1301" s="209"/>
      <c r="AK1301" s="204"/>
      <c r="AL1301" s="204"/>
      <c r="AM1301" s="204"/>
    </row>
    <row r="1302">
      <c r="A1302" s="204"/>
      <c r="B1302" s="209"/>
      <c r="C1302" s="204"/>
      <c r="D1302" s="210"/>
      <c r="E1302" s="211"/>
      <c r="F1302" s="211"/>
      <c r="G1302" s="212"/>
      <c r="H1302" s="212"/>
      <c r="I1302" s="204"/>
      <c r="J1302" s="204"/>
      <c r="K1302" s="204"/>
      <c r="L1302" s="204"/>
      <c r="M1302" s="204"/>
      <c r="N1302" s="204"/>
      <c r="O1302" s="204"/>
      <c r="P1302" s="204"/>
      <c r="Q1302" s="204"/>
      <c r="R1302" s="204"/>
      <c r="S1302" s="204"/>
      <c r="T1302" s="204"/>
      <c r="U1302" s="204"/>
      <c r="V1302" s="204"/>
      <c r="W1302" s="204"/>
      <c r="X1302" s="204"/>
      <c r="Y1302" s="204"/>
      <c r="Z1302" s="204"/>
      <c r="AA1302" s="204"/>
      <c r="AB1302" s="204"/>
      <c r="AC1302" s="204"/>
      <c r="AD1302" s="204"/>
      <c r="AE1302" s="204"/>
      <c r="AF1302" s="204"/>
      <c r="AG1302" s="204"/>
      <c r="AH1302" s="204"/>
      <c r="AI1302" s="209"/>
      <c r="AJ1302" s="209"/>
      <c r="AK1302" s="204"/>
      <c r="AL1302" s="204"/>
      <c r="AM1302" s="204"/>
    </row>
    <row r="1303">
      <c r="A1303" s="204"/>
      <c r="B1303" s="209"/>
      <c r="C1303" s="204"/>
      <c r="D1303" s="210"/>
      <c r="E1303" s="211"/>
      <c r="F1303" s="211"/>
      <c r="G1303" s="212"/>
      <c r="H1303" s="212"/>
      <c r="I1303" s="204"/>
      <c r="J1303" s="204"/>
      <c r="K1303" s="204"/>
      <c r="L1303" s="204"/>
      <c r="M1303" s="204"/>
      <c r="N1303" s="204"/>
      <c r="O1303" s="204"/>
      <c r="P1303" s="204"/>
      <c r="Q1303" s="204"/>
      <c r="R1303" s="204"/>
      <c r="S1303" s="204"/>
      <c r="T1303" s="204"/>
      <c r="U1303" s="204"/>
      <c r="V1303" s="204"/>
      <c r="W1303" s="204"/>
      <c r="X1303" s="204"/>
      <c r="Y1303" s="204"/>
      <c r="Z1303" s="204"/>
      <c r="AA1303" s="204"/>
      <c r="AB1303" s="204"/>
      <c r="AC1303" s="204"/>
      <c r="AD1303" s="204"/>
      <c r="AE1303" s="204"/>
      <c r="AF1303" s="204"/>
      <c r="AG1303" s="204"/>
      <c r="AH1303" s="204"/>
      <c r="AI1303" s="209"/>
      <c r="AJ1303" s="209"/>
      <c r="AK1303" s="204"/>
      <c r="AL1303" s="204"/>
      <c r="AM1303" s="204"/>
    </row>
    <row r="1304">
      <c r="A1304" s="204"/>
      <c r="B1304" s="209"/>
      <c r="C1304" s="204"/>
      <c r="D1304" s="210"/>
      <c r="E1304" s="211"/>
      <c r="F1304" s="211"/>
      <c r="G1304" s="212"/>
      <c r="H1304" s="212"/>
      <c r="I1304" s="204"/>
      <c r="J1304" s="204"/>
      <c r="K1304" s="204"/>
      <c r="L1304" s="204"/>
      <c r="M1304" s="204"/>
      <c r="N1304" s="204"/>
      <c r="O1304" s="204"/>
      <c r="P1304" s="204"/>
      <c r="Q1304" s="204"/>
      <c r="R1304" s="204"/>
      <c r="S1304" s="204"/>
      <c r="T1304" s="204"/>
      <c r="U1304" s="204"/>
      <c r="V1304" s="204"/>
      <c r="W1304" s="204"/>
      <c r="X1304" s="204"/>
      <c r="Y1304" s="204"/>
      <c r="Z1304" s="204"/>
      <c r="AA1304" s="204"/>
      <c r="AB1304" s="204"/>
      <c r="AC1304" s="204"/>
      <c r="AD1304" s="204"/>
      <c r="AE1304" s="204"/>
      <c r="AF1304" s="204"/>
      <c r="AG1304" s="204"/>
      <c r="AH1304" s="204"/>
      <c r="AI1304" s="209"/>
      <c r="AJ1304" s="209"/>
      <c r="AK1304" s="204"/>
      <c r="AL1304" s="204"/>
      <c r="AM1304" s="204"/>
    </row>
    <row r="1305">
      <c r="A1305" s="204"/>
      <c r="B1305" s="209"/>
      <c r="C1305" s="204"/>
      <c r="D1305" s="210"/>
      <c r="E1305" s="211"/>
      <c r="F1305" s="211"/>
      <c r="G1305" s="212"/>
      <c r="H1305" s="212"/>
      <c r="I1305" s="204"/>
      <c r="J1305" s="204"/>
      <c r="K1305" s="204"/>
      <c r="L1305" s="204"/>
      <c r="M1305" s="204"/>
      <c r="N1305" s="204"/>
      <c r="O1305" s="204"/>
      <c r="P1305" s="204"/>
      <c r="Q1305" s="204"/>
      <c r="R1305" s="204"/>
      <c r="S1305" s="204"/>
      <c r="T1305" s="204"/>
      <c r="U1305" s="204"/>
      <c r="V1305" s="204"/>
      <c r="W1305" s="204"/>
      <c r="X1305" s="204"/>
      <c r="Y1305" s="204"/>
      <c r="Z1305" s="204"/>
      <c r="AA1305" s="204"/>
      <c r="AB1305" s="204"/>
      <c r="AC1305" s="204"/>
      <c r="AD1305" s="204"/>
      <c r="AE1305" s="204"/>
      <c r="AF1305" s="204"/>
      <c r="AG1305" s="204"/>
      <c r="AH1305" s="204"/>
      <c r="AI1305" s="209"/>
      <c r="AJ1305" s="209"/>
      <c r="AK1305" s="204"/>
      <c r="AL1305" s="204"/>
      <c r="AM1305" s="204"/>
    </row>
    <row r="1306">
      <c r="A1306" s="204"/>
      <c r="B1306" s="209"/>
      <c r="C1306" s="204"/>
      <c r="D1306" s="210"/>
      <c r="E1306" s="211"/>
      <c r="F1306" s="211"/>
      <c r="G1306" s="212"/>
      <c r="H1306" s="212"/>
      <c r="I1306" s="204"/>
      <c r="J1306" s="204"/>
      <c r="K1306" s="204"/>
      <c r="L1306" s="204"/>
      <c r="M1306" s="204"/>
      <c r="N1306" s="204"/>
      <c r="O1306" s="204"/>
      <c r="P1306" s="204"/>
      <c r="Q1306" s="204"/>
      <c r="R1306" s="204"/>
      <c r="S1306" s="204"/>
      <c r="T1306" s="204"/>
      <c r="U1306" s="204"/>
      <c r="V1306" s="204"/>
      <c r="W1306" s="204"/>
      <c r="X1306" s="204"/>
      <c r="Y1306" s="204"/>
      <c r="Z1306" s="204"/>
      <c r="AA1306" s="204"/>
      <c r="AB1306" s="204"/>
      <c r="AC1306" s="204"/>
      <c r="AD1306" s="204"/>
      <c r="AE1306" s="204"/>
      <c r="AF1306" s="204"/>
      <c r="AG1306" s="204"/>
      <c r="AH1306" s="204"/>
      <c r="AI1306" s="209"/>
      <c r="AJ1306" s="209"/>
      <c r="AK1306" s="204"/>
      <c r="AL1306" s="204"/>
      <c r="AM1306" s="204"/>
    </row>
    <row r="1307">
      <c r="A1307" s="204"/>
      <c r="B1307" s="209"/>
      <c r="C1307" s="204"/>
      <c r="D1307" s="210"/>
      <c r="E1307" s="211"/>
      <c r="F1307" s="211"/>
      <c r="G1307" s="212"/>
      <c r="H1307" s="212"/>
      <c r="I1307" s="204"/>
      <c r="J1307" s="204"/>
      <c r="K1307" s="204"/>
      <c r="L1307" s="204"/>
      <c r="M1307" s="204"/>
      <c r="N1307" s="204"/>
      <c r="O1307" s="204"/>
      <c r="P1307" s="204"/>
      <c r="Q1307" s="204"/>
      <c r="R1307" s="204"/>
      <c r="S1307" s="204"/>
      <c r="T1307" s="204"/>
      <c r="U1307" s="204"/>
      <c r="V1307" s="204"/>
      <c r="W1307" s="204"/>
      <c r="X1307" s="204"/>
      <c r="Y1307" s="204"/>
      <c r="Z1307" s="204"/>
      <c r="AA1307" s="204"/>
      <c r="AB1307" s="204"/>
      <c r="AC1307" s="204"/>
      <c r="AD1307" s="204"/>
      <c r="AE1307" s="204"/>
      <c r="AF1307" s="204"/>
      <c r="AG1307" s="204"/>
      <c r="AH1307" s="204"/>
      <c r="AI1307" s="209"/>
      <c r="AJ1307" s="209"/>
      <c r="AK1307" s="204"/>
      <c r="AL1307" s="204"/>
      <c r="AM1307" s="204"/>
    </row>
    <row r="1308">
      <c r="A1308" s="204"/>
      <c r="B1308" s="209"/>
      <c r="C1308" s="204"/>
      <c r="D1308" s="210"/>
      <c r="E1308" s="211"/>
      <c r="F1308" s="211"/>
      <c r="G1308" s="212"/>
      <c r="H1308" s="212"/>
      <c r="I1308" s="204"/>
      <c r="J1308" s="204"/>
      <c r="K1308" s="204"/>
      <c r="L1308" s="204"/>
      <c r="M1308" s="204"/>
      <c r="N1308" s="204"/>
      <c r="O1308" s="204"/>
      <c r="P1308" s="204"/>
      <c r="Q1308" s="204"/>
      <c r="R1308" s="204"/>
      <c r="S1308" s="204"/>
      <c r="T1308" s="204"/>
      <c r="U1308" s="204"/>
      <c r="V1308" s="204"/>
      <c r="W1308" s="204"/>
      <c r="X1308" s="204"/>
      <c r="Y1308" s="204"/>
      <c r="Z1308" s="204"/>
      <c r="AA1308" s="204"/>
      <c r="AB1308" s="204"/>
      <c r="AC1308" s="204"/>
      <c r="AD1308" s="204"/>
      <c r="AE1308" s="204"/>
      <c r="AF1308" s="204"/>
      <c r="AG1308" s="204"/>
      <c r="AH1308" s="204"/>
      <c r="AI1308" s="209"/>
      <c r="AJ1308" s="209"/>
      <c r="AK1308" s="204"/>
      <c r="AL1308" s="204"/>
      <c r="AM1308" s="204"/>
    </row>
    <row r="1309">
      <c r="A1309" s="204"/>
      <c r="B1309" s="209"/>
      <c r="C1309" s="204"/>
      <c r="D1309" s="210"/>
      <c r="E1309" s="211"/>
      <c r="F1309" s="211"/>
      <c r="G1309" s="212"/>
      <c r="H1309" s="212"/>
      <c r="I1309" s="204"/>
      <c r="J1309" s="204"/>
      <c r="K1309" s="204"/>
      <c r="L1309" s="204"/>
      <c r="M1309" s="204"/>
      <c r="N1309" s="204"/>
      <c r="O1309" s="204"/>
      <c r="P1309" s="204"/>
      <c r="Q1309" s="204"/>
      <c r="R1309" s="204"/>
      <c r="S1309" s="204"/>
      <c r="T1309" s="204"/>
      <c r="U1309" s="204"/>
      <c r="V1309" s="204"/>
      <c r="W1309" s="204"/>
      <c r="X1309" s="204"/>
      <c r="Y1309" s="204"/>
      <c r="Z1309" s="204"/>
      <c r="AA1309" s="204"/>
      <c r="AB1309" s="204"/>
      <c r="AC1309" s="204"/>
      <c r="AD1309" s="204"/>
      <c r="AE1309" s="204"/>
      <c r="AF1309" s="204"/>
      <c r="AG1309" s="204"/>
      <c r="AH1309" s="204"/>
      <c r="AI1309" s="209"/>
      <c r="AJ1309" s="209"/>
      <c r="AK1309" s="204"/>
      <c r="AL1309" s="204"/>
      <c r="AM1309" s="204"/>
    </row>
    <row r="1310">
      <c r="A1310" s="204"/>
      <c r="B1310" s="209"/>
      <c r="C1310" s="204"/>
      <c r="D1310" s="210"/>
      <c r="E1310" s="211"/>
      <c r="F1310" s="211"/>
      <c r="G1310" s="212"/>
      <c r="H1310" s="212"/>
      <c r="I1310" s="204"/>
      <c r="J1310" s="204"/>
      <c r="K1310" s="204"/>
      <c r="L1310" s="204"/>
      <c r="M1310" s="204"/>
      <c r="N1310" s="204"/>
      <c r="O1310" s="204"/>
      <c r="P1310" s="204"/>
      <c r="Q1310" s="204"/>
      <c r="R1310" s="204"/>
      <c r="S1310" s="204"/>
      <c r="T1310" s="204"/>
      <c r="U1310" s="204"/>
      <c r="V1310" s="204"/>
      <c r="W1310" s="204"/>
      <c r="X1310" s="204"/>
      <c r="Y1310" s="204"/>
      <c r="Z1310" s="204"/>
      <c r="AA1310" s="204"/>
      <c r="AB1310" s="204"/>
      <c r="AC1310" s="204"/>
      <c r="AD1310" s="204"/>
      <c r="AE1310" s="204"/>
      <c r="AF1310" s="204"/>
      <c r="AG1310" s="204"/>
      <c r="AH1310" s="204"/>
      <c r="AI1310" s="209"/>
      <c r="AJ1310" s="209"/>
      <c r="AK1310" s="204"/>
      <c r="AL1310" s="204"/>
      <c r="AM1310" s="204"/>
    </row>
    <row r="1311">
      <c r="A1311" s="204"/>
      <c r="B1311" s="209"/>
      <c r="C1311" s="204"/>
      <c r="D1311" s="210"/>
      <c r="E1311" s="211"/>
      <c r="F1311" s="211"/>
      <c r="G1311" s="212"/>
      <c r="H1311" s="212"/>
      <c r="I1311" s="204"/>
      <c r="J1311" s="204"/>
      <c r="K1311" s="204"/>
      <c r="L1311" s="204"/>
      <c r="M1311" s="204"/>
      <c r="N1311" s="204"/>
      <c r="O1311" s="204"/>
      <c r="P1311" s="204"/>
      <c r="Q1311" s="204"/>
      <c r="R1311" s="204"/>
      <c r="S1311" s="204"/>
      <c r="T1311" s="204"/>
      <c r="U1311" s="204"/>
      <c r="V1311" s="204"/>
      <c r="W1311" s="204"/>
      <c r="X1311" s="204"/>
      <c r="Y1311" s="204"/>
      <c r="Z1311" s="204"/>
      <c r="AA1311" s="204"/>
      <c r="AB1311" s="204"/>
      <c r="AC1311" s="204"/>
      <c r="AD1311" s="204"/>
      <c r="AE1311" s="204"/>
      <c r="AF1311" s="204"/>
      <c r="AG1311" s="204"/>
      <c r="AH1311" s="204"/>
      <c r="AI1311" s="209"/>
      <c r="AJ1311" s="209"/>
      <c r="AK1311" s="204"/>
      <c r="AL1311" s="204"/>
      <c r="AM1311" s="204"/>
    </row>
    <row r="1312">
      <c r="A1312" s="204"/>
      <c r="B1312" s="209"/>
      <c r="C1312" s="204"/>
      <c r="D1312" s="210"/>
      <c r="E1312" s="211"/>
      <c r="F1312" s="211"/>
      <c r="G1312" s="212"/>
      <c r="H1312" s="212"/>
      <c r="I1312" s="204"/>
      <c r="J1312" s="204"/>
      <c r="K1312" s="204"/>
      <c r="L1312" s="204"/>
      <c r="M1312" s="204"/>
      <c r="N1312" s="204"/>
      <c r="O1312" s="204"/>
      <c r="P1312" s="204"/>
      <c r="Q1312" s="204"/>
      <c r="R1312" s="204"/>
      <c r="S1312" s="204"/>
      <c r="T1312" s="204"/>
      <c r="U1312" s="204"/>
      <c r="V1312" s="204"/>
      <c r="W1312" s="204"/>
      <c r="X1312" s="204"/>
      <c r="Y1312" s="204"/>
      <c r="Z1312" s="204"/>
      <c r="AA1312" s="204"/>
      <c r="AB1312" s="204"/>
      <c r="AC1312" s="204"/>
      <c r="AD1312" s="204"/>
      <c r="AE1312" s="204"/>
      <c r="AF1312" s="204"/>
      <c r="AG1312" s="204"/>
      <c r="AH1312" s="204"/>
      <c r="AI1312" s="209"/>
      <c r="AJ1312" s="209"/>
      <c r="AK1312" s="204"/>
      <c r="AL1312" s="204"/>
      <c r="AM1312" s="204"/>
    </row>
    <row r="1313">
      <c r="A1313" s="204"/>
      <c r="B1313" s="209"/>
      <c r="C1313" s="204"/>
      <c r="D1313" s="210"/>
      <c r="E1313" s="211"/>
      <c r="F1313" s="211"/>
      <c r="G1313" s="212"/>
      <c r="H1313" s="212"/>
      <c r="I1313" s="204"/>
      <c r="J1313" s="204"/>
      <c r="K1313" s="204"/>
      <c r="L1313" s="204"/>
      <c r="M1313" s="204"/>
      <c r="N1313" s="204"/>
      <c r="O1313" s="204"/>
      <c r="P1313" s="204"/>
      <c r="Q1313" s="204"/>
      <c r="R1313" s="204"/>
      <c r="S1313" s="204"/>
      <c r="T1313" s="204"/>
      <c r="U1313" s="204"/>
      <c r="V1313" s="204"/>
      <c r="W1313" s="204"/>
      <c r="X1313" s="204"/>
      <c r="Y1313" s="204"/>
      <c r="Z1313" s="204"/>
      <c r="AA1313" s="204"/>
      <c r="AB1313" s="204"/>
      <c r="AC1313" s="204"/>
      <c r="AD1313" s="204"/>
      <c r="AE1313" s="204"/>
      <c r="AF1313" s="204"/>
      <c r="AG1313" s="204"/>
      <c r="AH1313" s="204"/>
      <c r="AI1313" s="209"/>
      <c r="AJ1313" s="209"/>
      <c r="AK1313" s="204"/>
      <c r="AL1313" s="204"/>
      <c r="AM1313" s="204"/>
    </row>
    <row r="1314">
      <c r="A1314" s="204"/>
      <c r="B1314" s="209"/>
      <c r="C1314" s="204"/>
      <c r="D1314" s="210"/>
      <c r="E1314" s="211"/>
      <c r="F1314" s="211"/>
      <c r="G1314" s="212"/>
      <c r="H1314" s="212"/>
      <c r="I1314" s="204"/>
      <c r="J1314" s="204"/>
      <c r="K1314" s="204"/>
      <c r="L1314" s="204"/>
      <c r="M1314" s="204"/>
      <c r="N1314" s="204"/>
      <c r="O1314" s="204"/>
      <c r="P1314" s="204"/>
      <c r="Q1314" s="204"/>
      <c r="R1314" s="204"/>
      <c r="S1314" s="204"/>
      <c r="T1314" s="204"/>
      <c r="U1314" s="204"/>
      <c r="V1314" s="204"/>
      <c r="W1314" s="204"/>
      <c r="X1314" s="204"/>
      <c r="Y1314" s="204"/>
      <c r="Z1314" s="204"/>
      <c r="AA1314" s="204"/>
      <c r="AB1314" s="204"/>
      <c r="AC1314" s="204"/>
      <c r="AD1314" s="204"/>
      <c r="AE1314" s="204"/>
      <c r="AF1314" s="204"/>
      <c r="AG1314" s="204"/>
      <c r="AH1314" s="204"/>
      <c r="AI1314" s="209"/>
      <c r="AJ1314" s="209"/>
      <c r="AK1314" s="204"/>
      <c r="AL1314" s="204"/>
      <c r="AM1314" s="204"/>
    </row>
    <row r="1315">
      <c r="A1315" s="204"/>
      <c r="B1315" s="209"/>
      <c r="C1315" s="204"/>
      <c r="D1315" s="210"/>
      <c r="E1315" s="211"/>
      <c r="F1315" s="211"/>
      <c r="G1315" s="212"/>
      <c r="H1315" s="212"/>
      <c r="I1315" s="204"/>
      <c r="J1315" s="204"/>
      <c r="K1315" s="204"/>
      <c r="L1315" s="204"/>
      <c r="M1315" s="204"/>
      <c r="N1315" s="204"/>
      <c r="O1315" s="204"/>
      <c r="P1315" s="204"/>
      <c r="Q1315" s="204"/>
      <c r="R1315" s="204"/>
      <c r="S1315" s="204"/>
      <c r="T1315" s="204"/>
      <c r="U1315" s="204"/>
      <c r="V1315" s="204"/>
      <c r="W1315" s="204"/>
      <c r="X1315" s="204"/>
      <c r="Y1315" s="204"/>
      <c r="Z1315" s="204"/>
      <c r="AA1315" s="204"/>
      <c r="AB1315" s="204"/>
      <c r="AC1315" s="204"/>
      <c r="AD1315" s="204"/>
      <c r="AE1315" s="204"/>
      <c r="AF1315" s="204"/>
      <c r="AG1315" s="204"/>
      <c r="AH1315" s="204"/>
      <c r="AI1315" s="209"/>
      <c r="AJ1315" s="209"/>
      <c r="AK1315" s="204"/>
      <c r="AL1315" s="204"/>
      <c r="AM1315" s="204"/>
    </row>
    <row r="1316">
      <c r="A1316" s="204"/>
      <c r="B1316" s="209"/>
      <c r="C1316" s="204"/>
      <c r="D1316" s="210"/>
      <c r="E1316" s="211"/>
      <c r="F1316" s="211"/>
      <c r="G1316" s="212"/>
      <c r="H1316" s="212"/>
      <c r="I1316" s="204"/>
      <c r="J1316" s="204"/>
      <c r="K1316" s="204"/>
      <c r="L1316" s="204"/>
      <c r="M1316" s="204"/>
      <c r="N1316" s="204"/>
      <c r="O1316" s="204"/>
      <c r="P1316" s="204"/>
      <c r="Q1316" s="204"/>
      <c r="R1316" s="204"/>
      <c r="S1316" s="204"/>
      <c r="T1316" s="204"/>
      <c r="U1316" s="204"/>
      <c r="V1316" s="204"/>
      <c r="W1316" s="204"/>
      <c r="X1316" s="204"/>
      <c r="Y1316" s="204"/>
      <c r="Z1316" s="204"/>
      <c r="AA1316" s="204"/>
      <c r="AB1316" s="204"/>
      <c r="AC1316" s="204"/>
      <c r="AD1316" s="204"/>
      <c r="AE1316" s="204"/>
      <c r="AF1316" s="204"/>
      <c r="AG1316" s="204"/>
      <c r="AH1316" s="204"/>
      <c r="AI1316" s="209"/>
      <c r="AJ1316" s="209"/>
      <c r="AK1316" s="204"/>
      <c r="AL1316" s="204"/>
      <c r="AM1316" s="204"/>
    </row>
    <row r="1317">
      <c r="A1317" s="204"/>
      <c r="B1317" s="209"/>
      <c r="C1317" s="204"/>
      <c r="D1317" s="210"/>
      <c r="E1317" s="211"/>
      <c r="F1317" s="211"/>
      <c r="G1317" s="212"/>
      <c r="H1317" s="212"/>
      <c r="I1317" s="204"/>
      <c r="J1317" s="204"/>
      <c r="K1317" s="204"/>
      <c r="L1317" s="204"/>
      <c r="M1317" s="204"/>
      <c r="N1317" s="204"/>
      <c r="O1317" s="204"/>
      <c r="P1317" s="204"/>
      <c r="Q1317" s="204"/>
      <c r="R1317" s="204"/>
      <c r="S1317" s="204"/>
      <c r="T1317" s="204"/>
      <c r="U1317" s="204"/>
      <c r="V1317" s="204"/>
      <c r="W1317" s="204"/>
      <c r="X1317" s="204"/>
      <c r="Y1317" s="204"/>
      <c r="Z1317" s="204"/>
      <c r="AA1317" s="204"/>
      <c r="AB1317" s="204"/>
      <c r="AC1317" s="204"/>
      <c r="AD1317" s="204"/>
      <c r="AE1317" s="204"/>
      <c r="AF1317" s="204"/>
      <c r="AG1317" s="204"/>
      <c r="AH1317" s="204"/>
      <c r="AI1317" s="209"/>
      <c r="AJ1317" s="209"/>
      <c r="AK1317" s="204"/>
      <c r="AL1317" s="204"/>
      <c r="AM1317" s="204"/>
    </row>
    <row r="1318">
      <c r="A1318" s="204"/>
      <c r="B1318" s="209"/>
      <c r="C1318" s="204"/>
      <c r="D1318" s="210"/>
      <c r="E1318" s="211"/>
      <c r="F1318" s="211"/>
      <c r="G1318" s="212"/>
      <c r="H1318" s="212"/>
      <c r="I1318" s="204"/>
      <c r="J1318" s="204"/>
      <c r="K1318" s="204"/>
      <c r="L1318" s="204"/>
      <c r="M1318" s="204"/>
      <c r="N1318" s="204"/>
      <c r="O1318" s="204"/>
      <c r="P1318" s="204"/>
      <c r="Q1318" s="204"/>
      <c r="R1318" s="204"/>
      <c r="S1318" s="204"/>
      <c r="T1318" s="204"/>
      <c r="U1318" s="204"/>
      <c r="V1318" s="204"/>
      <c r="W1318" s="204"/>
      <c r="X1318" s="204"/>
      <c r="Y1318" s="204"/>
      <c r="Z1318" s="204"/>
      <c r="AA1318" s="204"/>
      <c r="AB1318" s="204"/>
      <c r="AC1318" s="204"/>
      <c r="AD1318" s="204"/>
      <c r="AE1318" s="204"/>
      <c r="AF1318" s="204"/>
      <c r="AG1318" s="204"/>
      <c r="AH1318" s="204"/>
      <c r="AI1318" s="209"/>
      <c r="AJ1318" s="209"/>
      <c r="AK1318" s="204"/>
      <c r="AL1318" s="204"/>
      <c r="AM1318" s="204"/>
    </row>
    <row r="1319">
      <c r="A1319" s="204"/>
      <c r="B1319" s="209"/>
      <c r="C1319" s="204"/>
      <c r="D1319" s="210"/>
      <c r="E1319" s="211"/>
      <c r="F1319" s="211"/>
      <c r="G1319" s="212"/>
      <c r="H1319" s="212"/>
      <c r="I1319" s="204"/>
      <c r="J1319" s="204"/>
      <c r="K1319" s="204"/>
      <c r="L1319" s="204"/>
      <c r="M1319" s="204"/>
      <c r="N1319" s="204"/>
      <c r="O1319" s="204"/>
      <c r="P1319" s="204"/>
      <c r="Q1319" s="204"/>
      <c r="R1319" s="204"/>
      <c r="S1319" s="204"/>
      <c r="T1319" s="204"/>
      <c r="U1319" s="204"/>
      <c r="V1319" s="204"/>
      <c r="W1319" s="204"/>
      <c r="X1319" s="204"/>
      <c r="Y1319" s="204"/>
      <c r="Z1319" s="204"/>
      <c r="AA1319" s="204"/>
      <c r="AB1319" s="204"/>
      <c r="AC1319" s="204"/>
      <c r="AD1319" s="204"/>
      <c r="AE1319" s="204"/>
      <c r="AF1319" s="204"/>
      <c r="AG1319" s="204"/>
      <c r="AH1319" s="204"/>
      <c r="AI1319" s="209"/>
      <c r="AJ1319" s="209"/>
      <c r="AK1319" s="204"/>
      <c r="AL1319" s="204"/>
      <c r="AM1319" s="204"/>
    </row>
    <row r="1320">
      <c r="A1320" s="204"/>
      <c r="B1320" s="209"/>
      <c r="C1320" s="204"/>
      <c r="D1320" s="210"/>
      <c r="E1320" s="211"/>
      <c r="F1320" s="211"/>
      <c r="G1320" s="212"/>
      <c r="H1320" s="212"/>
      <c r="I1320" s="204"/>
      <c r="J1320" s="204"/>
      <c r="K1320" s="204"/>
      <c r="L1320" s="204"/>
      <c r="M1320" s="204"/>
      <c r="N1320" s="204"/>
      <c r="O1320" s="204"/>
      <c r="P1320" s="204"/>
      <c r="Q1320" s="204"/>
      <c r="R1320" s="204"/>
      <c r="S1320" s="204"/>
      <c r="T1320" s="204"/>
      <c r="U1320" s="204"/>
      <c r="V1320" s="204"/>
      <c r="W1320" s="204"/>
      <c r="X1320" s="204"/>
      <c r="Y1320" s="204"/>
      <c r="Z1320" s="204"/>
      <c r="AA1320" s="204"/>
      <c r="AB1320" s="204"/>
      <c r="AC1320" s="204"/>
      <c r="AD1320" s="204"/>
      <c r="AE1320" s="204"/>
      <c r="AF1320" s="204"/>
      <c r="AG1320" s="204"/>
      <c r="AH1320" s="204"/>
      <c r="AI1320" s="209"/>
      <c r="AJ1320" s="209"/>
      <c r="AK1320" s="204"/>
      <c r="AL1320" s="204"/>
      <c r="AM1320" s="204"/>
    </row>
    <row r="1321">
      <c r="A1321" s="204"/>
      <c r="B1321" s="209"/>
      <c r="C1321" s="204"/>
      <c r="D1321" s="210"/>
      <c r="E1321" s="211"/>
      <c r="F1321" s="211"/>
      <c r="G1321" s="212"/>
      <c r="H1321" s="212"/>
      <c r="I1321" s="204"/>
      <c r="J1321" s="204"/>
      <c r="K1321" s="204"/>
      <c r="L1321" s="204"/>
      <c r="M1321" s="204"/>
      <c r="N1321" s="204"/>
      <c r="O1321" s="204"/>
      <c r="P1321" s="204"/>
      <c r="Q1321" s="204"/>
      <c r="R1321" s="204"/>
      <c r="S1321" s="204"/>
      <c r="T1321" s="204"/>
      <c r="U1321" s="204"/>
      <c r="V1321" s="204"/>
      <c r="W1321" s="204"/>
      <c r="X1321" s="204"/>
      <c r="Y1321" s="204"/>
      <c r="Z1321" s="204"/>
      <c r="AA1321" s="204"/>
      <c r="AB1321" s="204"/>
      <c r="AC1321" s="204"/>
      <c r="AD1321" s="204"/>
      <c r="AE1321" s="204"/>
      <c r="AF1321" s="204"/>
      <c r="AG1321" s="204"/>
      <c r="AH1321" s="204"/>
      <c r="AI1321" s="209"/>
      <c r="AJ1321" s="209"/>
      <c r="AK1321" s="204"/>
      <c r="AL1321" s="204"/>
      <c r="AM1321" s="204"/>
    </row>
    <row r="1322">
      <c r="A1322" s="204"/>
      <c r="B1322" s="209"/>
      <c r="C1322" s="204"/>
      <c r="D1322" s="210"/>
      <c r="E1322" s="211"/>
      <c r="F1322" s="211"/>
      <c r="G1322" s="212"/>
      <c r="H1322" s="212"/>
      <c r="I1322" s="204"/>
      <c r="J1322" s="204"/>
      <c r="K1322" s="204"/>
      <c r="L1322" s="204"/>
      <c r="M1322" s="204"/>
      <c r="N1322" s="204"/>
      <c r="O1322" s="204"/>
      <c r="P1322" s="204"/>
      <c r="Q1322" s="204"/>
      <c r="R1322" s="204"/>
      <c r="S1322" s="204"/>
      <c r="T1322" s="204"/>
      <c r="U1322" s="204"/>
      <c r="V1322" s="204"/>
      <c r="W1322" s="204"/>
      <c r="X1322" s="204"/>
      <c r="Y1322" s="204"/>
      <c r="Z1322" s="204"/>
      <c r="AA1322" s="204"/>
      <c r="AB1322" s="204"/>
      <c r="AC1322" s="204"/>
      <c r="AD1322" s="204"/>
      <c r="AE1322" s="204"/>
      <c r="AF1322" s="204"/>
      <c r="AG1322" s="204"/>
      <c r="AH1322" s="204"/>
      <c r="AI1322" s="209"/>
      <c r="AJ1322" s="209"/>
      <c r="AK1322" s="204"/>
      <c r="AL1322" s="204"/>
      <c r="AM1322" s="204"/>
    </row>
    <row r="1323">
      <c r="A1323" s="204"/>
      <c r="B1323" s="209"/>
      <c r="C1323" s="204"/>
      <c r="D1323" s="210"/>
      <c r="E1323" s="211"/>
      <c r="F1323" s="211"/>
      <c r="G1323" s="212"/>
      <c r="H1323" s="212"/>
      <c r="I1323" s="204"/>
      <c r="J1323" s="204"/>
      <c r="K1323" s="204"/>
      <c r="L1323" s="204"/>
      <c r="M1323" s="204"/>
      <c r="N1323" s="204"/>
      <c r="O1323" s="204"/>
      <c r="P1323" s="204"/>
      <c r="Q1323" s="204"/>
      <c r="R1323" s="204"/>
      <c r="S1323" s="204"/>
      <c r="T1323" s="204"/>
      <c r="U1323" s="204"/>
      <c r="V1323" s="204"/>
      <c r="W1323" s="204"/>
      <c r="X1323" s="204"/>
      <c r="Y1323" s="204"/>
      <c r="Z1323" s="204"/>
      <c r="AA1323" s="204"/>
      <c r="AB1323" s="204"/>
      <c r="AC1323" s="204"/>
      <c r="AD1323" s="204"/>
      <c r="AE1323" s="204"/>
      <c r="AF1323" s="204"/>
      <c r="AG1323" s="204"/>
      <c r="AH1323" s="204"/>
      <c r="AI1323" s="209"/>
      <c r="AJ1323" s="209"/>
      <c r="AK1323" s="204"/>
      <c r="AL1323" s="204"/>
      <c r="AM1323" s="204"/>
    </row>
    <row r="1324">
      <c r="A1324" s="204"/>
      <c r="B1324" s="209"/>
      <c r="C1324" s="204"/>
      <c r="D1324" s="210"/>
      <c r="E1324" s="211"/>
      <c r="F1324" s="211"/>
      <c r="G1324" s="212"/>
      <c r="H1324" s="212"/>
      <c r="I1324" s="204"/>
      <c r="J1324" s="204"/>
      <c r="K1324" s="204"/>
      <c r="L1324" s="204"/>
      <c r="M1324" s="204"/>
      <c r="N1324" s="204"/>
      <c r="O1324" s="204"/>
      <c r="P1324" s="204"/>
      <c r="Q1324" s="204"/>
      <c r="R1324" s="204"/>
      <c r="S1324" s="204"/>
      <c r="T1324" s="204"/>
      <c r="U1324" s="204"/>
      <c r="V1324" s="204"/>
      <c r="W1324" s="204"/>
      <c r="X1324" s="204"/>
      <c r="Y1324" s="204"/>
      <c r="Z1324" s="204"/>
      <c r="AA1324" s="204"/>
      <c r="AB1324" s="204"/>
      <c r="AC1324" s="204"/>
      <c r="AD1324" s="204"/>
      <c r="AE1324" s="204"/>
      <c r="AF1324" s="204"/>
      <c r="AG1324" s="204"/>
      <c r="AH1324" s="204"/>
      <c r="AI1324" s="209"/>
      <c r="AJ1324" s="209"/>
      <c r="AK1324" s="204"/>
      <c r="AL1324" s="204"/>
      <c r="AM1324" s="204"/>
    </row>
    <row r="1325">
      <c r="A1325" s="204"/>
      <c r="B1325" s="209"/>
      <c r="C1325" s="204"/>
      <c r="D1325" s="210"/>
      <c r="E1325" s="211"/>
      <c r="F1325" s="211"/>
      <c r="G1325" s="212"/>
      <c r="H1325" s="212"/>
      <c r="I1325" s="204"/>
      <c r="J1325" s="204"/>
      <c r="K1325" s="204"/>
      <c r="L1325" s="204"/>
      <c r="M1325" s="204"/>
      <c r="N1325" s="204"/>
      <c r="O1325" s="204"/>
      <c r="P1325" s="204"/>
      <c r="Q1325" s="204"/>
      <c r="R1325" s="204"/>
      <c r="S1325" s="204"/>
      <c r="T1325" s="204"/>
      <c r="U1325" s="204"/>
      <c r="V1325" s="204"/>
      <c r="W1325" s="204"/>
      <c r="X1325" s="204"/>
      <c r="Y1325" s="204"/>
      <c r="Z1325" s="204"/>
      <c r="AA1325" s="204"/>
      <c r="AB1325" s="204"/>
      <c r="AC1325" s="204"/>
      <c r="AD1325" s="204"/>
      <c r="AE1325" s="204"/>
      <c r="AF1325" s="204"/>
      <c r="AG1325" s="204"/>
      <c r="AH1325" s="204"/>
      <c r="AI1325" s="209"/>
      <c r="AJ1325" s="209"/>
      <c r="AK1325" s="204"/>
      <c r="AL1325" s="204"/>
      <c r="AM1325" s="204"/>
    </row>
    <row r="1326">
      <c r="A1326" s="204"/>
      <c r="B1326" s="209"/>
      <c r="C1326" s="204"/>
      <c r="D1326" s="210"/>
      <c r="E1326" s="211"/>
      <c r="F1326" s="211"/>
      <c r="G1326" s="212"/>
      <c r="H1326" s="212"/>
      <c r="I1326" s="204"/>
      <c r="J1326" s="204"/>
      <c r="K1326" s="204"/>
      <c r="L1326" s="204"/>
      <c r="M1326" s="204"/>
      <c r="N1326" s="204"/>
      <c r="O1326" s="204"/>
      <c r="P1326" s="204"/>
      <c r="Q1326" s="204"/>
      <c r="R1326" s="204"/>
      <c r="S1326" s="204"/>
      <c r="T1326" s="204"/>
      <c r="U1326" s="204"/>
      <c r="V1326" s="204"/>
      <c r="W1326" s="204"/>
      <c r="X1326" s="204"/>
      <c r="Y1326" s="204"/>
      <c r="Z1326" s="204"/>
      <c r="AA1326" s="204"/>
      <c r="AB1326" s="204"/>
      <c r="AC1326" s="204"/>
      <c r="AD1326" s="204"/>
      <c r="AE1326" s="204"/>
      <c r="AF1326" s="204"/>
      <c r="AG1326" s="204"/>
      <c r="AH1326" s="204"/>
      <c r="AI1326" s="209"/>
      <c r="AJ1326" s="209"/>
      <c r="AK1326" s="204"/>
      <c r="AL1326" s="204"/>
      <c r="AM1326" s="204"/>
    </row>
    <row r="1327">
      <c r="A1327" s="204"/>
      <c r="B1327" s="209"/>
      <c r="C1327" s="204"/>
      <c r="D1327" s="210"/>
      <c r="E1327" s="211"/>
      <c r="F1327" s="211"/>
      <c r="G1327" s="212"/>
      <c r="H1327" s="212"/>
      <c r="I1327" s="204"/>
      <c r="J1327" s="204"/>
      <c r="K1327" s="204"/>
      <c r="L1327" s="204"/>
      <c r="M1327" s="204"/>
      <c r="N1327" s="204"/>
      <c r="O1327" s="204"/>
      <c r="P1327" s="204"/>
      <c r="Q1327" s="204"/>
      <c r="R1327" s="204"/>
      <c r="S1327" s="204"/>
      <c r="T1327" s="204"/>
      <c r="U1327" s="204"/>
      <c r="V1327" s="204"/>
      <c r="W1327" s="204"/>
      <c r="X1327" s="204"/>
      <c r="Y1327" s="204"/>
      <c r="Z1327" s="204"/>
      <c r="AA1327" s="204"/>
      <c r="AB1327" s="204"/>
      <c r="AC1327" s="204"/>
      <c r="AD1327" s="204"/>
      <c r="AE1327" s="204"/>
      <c r="AF1327" s="204"/>
      <c r="AG1327" s="204"/>
      <c r="AH1327" s="204"/>
      <c r="AI1327" s="209"/>
      <c r="AJ1327" s="209"/>
      <c r="AK1327" s="204"/>
      <c r="AL1327" s="204"/>
      <c r="AM1327" s="204"/>
    </row>
    <row r="1328">
      <c r="A1328" s="204"/>
      <c r="B1328" s="209"/>
      <c r="C1328" s="204"/>
      <c r="D1328" s="210"/>
      <c r="E1328" s="211"/>
      <c r="F1328" s="211"/>
      <c r="G1328" s="212"/>
      <c r="H1328" s="212"/>
      <c r="I1328" s="204"/>
      <c r="J1328" s="204"/>
      <c r="K1328" s="204"/>
      <c r="L1328" s="204"/>
      <c r="M1328" s="204"/>
      <c r="N1328" s="204"/>
      <c r="O1328" s="204"/>
      <c r="P1328" s="204"/>
      <c r="Q1328" s="204"/>
      <c r="R1328" s="204"/>
      <c r="S1328" s="204"/>
      <c r="T1328" s="204"/>
      <c r="U1328" s="204"/>
      <c r="V1328" s="204"/>
      <c r="W1328" s="204"/>
      <c r="X1328" s="204"/>
      <c r="Y1328" s="204"/>
      <c r="Z1328" s="204"/>
      <c r="AA1328" s="204"/>
      <c r="AB1328" s="204"/>
      <c r="AC1328" s="204"/>
      <c r="AD1328" s="204"/>
      <c r="AE1328" s="204"/>
      <c r="AF1328" s="204"/>
      <c r="AG1328" s="204"/>
      <c r="AH1328" s="204"/>
      <c r="AI1328" s="209"/>
      <c r="AJ1328" s="209"/>
      <c r="AK1328" s="204"/>
      <c r="AL1328" s="204"/>
      <c r="AM1328" s="204"/>
    </row>
    <row r="1329">
      <c r="A1329" s="204"/>
      <c r="B1329" s="209"/>
      <c r="C1329" s="204"/>
      <c r="D1329" s="210"/>
      <c r="E1329" s="211"/>
      <c r="F1329" s="211"/>
      <c r="G1329" s="212"/>
      <c r="H1329" s="212"/>
      <c r="I1329" s="204"/>
      <c r="J1329" s="204"/>
      <c r="K1329" s="204"/>
      <c r="L1329" s="204"/>
      <c r="M1329" s="204"/>
      <c r="N1329" s="204"/>
      <c r="O1329" s="204"/>
      <c r="P1329" s="204"/>
      <c r="Q1329" s="204"/>
      <c r="R1329" s="204"/>
      <c r="S1329" s="204"/>
      <c r="T1329" s="204"/>
      <c r="U1329" s="204"/>
      <c r="V1329" s="204"/>
      <c r="W1329" s="204"/>
      <c r="X1329" s="204"/>
      <c r="Y1329" s="204"/>
      <c r="Z1329" s="204"/>
      <c r="AA1329" s="204"/>
      <c r="AB1329" s="204"/>
      <c r="AC1329" s="204"/>
      <c r="AD1329" s="204"/>
      <c r="AE1329" s="204"/>
      <c r="AF1329" s="204"/>
      <c r="AG1329" s="204"/>
      <c r="AH1329" s="204"/>
      <c r="AI1329" s="209"/>
      <c r="AJ1329" s="209"/>
      <c r="AK1329" s="204"/>
      <c r="AL1329" s="204"/>
      <c r="AM1329" s="204"/>
    </row>
    <row r="1330">
      <c r="A1330" s="204"/>
      <c r="B1330" s="209"/>
      <c r="C1330" s="204"/>
      <c r="D1330" s="210"/>
      <c r="E1330" s="211"/>
      <c r="F1330" s="211"/>
      <c r="G1330" s="212"/>
      <c r="H1330" s="212"/>
      <c r="I1330" s="204"/>
      <c r="J1330" s="204"/>
      <c r="K1330" s="204"/>
      <c r="L1330" s="204"/>
      <c r="M1330" s="204"/>
      <c r="N1330" s="204"/>
      <c r="O1330" s="204"/>
      <c r="P1330" s="204"/>
      <c r="Q1330" s="204"/>
      <c r="R1330" s="204"/>
      <c r="S1330" s="204"/>
      <c r="T1330" s="204"/>
      <c r="U1330" s="204"/>
      <c r="V1330" s="204"/>
      <c r="W1330" s="204"/>
      <c r="X1330" s="204"/>
      <c r="Y1330" s="204"/>
      <c r="Z1330" s="204"/>
      <c r="AA1330" s="204"/>
      <c r="AB1330" s="204"/>
      <c r="AC1330" s="204"/>
      <c r="AD1330" s="204"/>
      <c r="AE1330" s="204"/>
      <c r="AF1330" s="204"/>
      <c r="AG1330" s="204"/>
      <c r="AH1330" s="204"/>
      <c r="AI1330" s="209"/>
      <c r="AJ1330" s="209"/>
      <c r="AK1330" s="204"/>
      <c r="AL1330" s="204"/>
      <c r="AM1330" s="204"/>
    </row>
    <row r="1331">
      <c r="A1331" s="204"/>
      <c r="B1331" s="209"/>
      <c r="C1331" s="204"/>
      <c r="D1331" s="210"/>
      <c r="E1331" s="211"/>
      <c r="F1331" s="211"/>
      <c r="G1331" s="212"/>
      <c r="H1331" s="212"/>
      <c r="I1331" s="204"/>
      <c r="J1331" s="204"/>
      <c r="K1331" s="204"/>
      <c r="L1331" s="204"/>
      <c r="M1331" s="204"/>
      <c r="N1331" s="204"/>
      <c r="O1331" s="204"/>
      <c r="P1331" s="204"/>
      <c r="Q1331" s="204"/>
      <c r="R1331" s="204"/>
      <c r="S1331" s="204"/>
      <c r="T1331" s="204"/>
      <c r="U1331" s="204"/>
      <c r="V1331" s="204"/>
      <c r="W1331" s="204"/>
      <c r="X1331" s="204"/>
      <c r="Y1331" s="204"/>
      <c r="Z1331" s="204"/>
      <c r="AA1331" s="204"/>
      <c r="AB1331" s="204"/>
      <c r="AC1331" s="204"/>
      <c r="AD1331" s="204"/>
      <c r="AE1331" s="204"/>
      <c r="AF1331" s="204"/>
      <c r="AG1331" s="204"/>
      <c r="AH1331" s="204"/>
      <c r="AI1331" s="209"/>
      <c r="AJ1331" s="209"/>
      <c r="AK1331" s="204"/>
      <c r="AL1331" s="204"/>
      <c r="AM1331" s="204"/>
    </row>
    <row r="1332">
      <c r="A1332" s="204"/>
      <c r="B1332" s="209"/>
      <c r="C1332" s="204"/>
      <c r="D1332" s="210"/>
      <c r="E1332" s="211"/>
      <c r="F1332" s="211"/>
      <c r="G1332" s="212"/>
      <c r="H1332" s="212"/>
      <c r="I1332" s="204"/>
      <c r="J1332" s="204"/>
      <c r="K1332" s="204"/>
      <c r="L1332" s="204"/>
      <c r="M1332" s="204"/>
      <c r="N1332" s="204"/>
      <c r="O1332" s="204"/>
      <c r="P1332" s="204"/>
      <c r="Q1332" s="204"/>
      <c r="R1332" s="204"/>
      <c r="S1332" s="204"/>
      <c r="T1332" s="204"/>
      <c r="U1332" s="204"/>
      <c r="V1332" s="204"/>
      <c r="W1332" s="204"/>
      <c r="X1332" s="204"/>
      <c r="Y1332" s="204"/>
      <c r="Z1332" s="204"/>
      <c r="AA1332" s="204"/>
      <c r="AB1332" s="204"/>
      <c r="AC1332" s="204"/>
      <c r="AD1332" s="204"/>
      <c r="AE1332" s="204"/>
      <c r="AF1332" s="204"/>
      <c r="AG1332" s="204"/>
      <c r="AH1332" s="204"/>
      <c r="AI1332" s="209"/>
      <c r="AJ1332" s="209"/>
      <c r="AK1332" s="204"/>
      <c r="AL1332" s="204"/>
      <c r="AM1332" s="204"/>
    </row>
    <row r="1333">
      <c r="A1333" s="204"/>
      <c r="B1333" s="209"/>
      <c r="C1333" s="204"/>
      <c r="D1333" s="210"/>
      <c r="E1333" s="211"/>
      <c r="F1333" s="211"/>
      <c r="G1333" s="212"/>
      <c r="H1333" s="212"/>
      <c r="I1333" s="204"/>
      <c r="J1333" s="204"/>
      <c r="K1333" s="204"/>
      <c r="L1333" s="204"/>
      <c r="M1333" s="204"/>
      <c r="N1333" s="204"/>
      <c r="O1333" s="204"/>
      <c r="P1333" s="204"/>
      <c r="Q1333" s="204"/>
      <c r="R1333" s="204"/>
      <c r="S1333" s="204"/>
      <c r="T1333" s="204"/>
      <c r="U1333" s="204"/>
      <c r="V1333" s="204"/>
      <c r="W1333" s="204"/>
      <c r="X1333" s="204"/>
      <c r="Y1333" s="204"/>
      <c r="Z1333" s="204"/>
      <c r="AA1333" s="204"/>
      <c r="AB1333" s="204"/>
      <c r="AC1333" s="204"/>
      <c r="AD1333" s="204"/>
      <c r="AE1333" s="204"/>
      <c r="AF1333" s="204"/>
      <c r="AG1333" s="204"/>
      <c r="AH1333" s="204"/>
      <c r="AI1333" s="209"/>
      <c r="AJ1333" s="209"/>
      <c r="AK1333" s="204"/>
      <c r="AL1333" s="204"/>
      <c r="AM1333" s="204"/>
    </row>
    <row r="1334">
      <c r="A1334" s="204"/>
      <c r="B1334" s="209"/>
      <c r="C1334" s="204"/>
      <c r="D1334" s="210"/>
      <c r="E1334" s="211"/>
      <c r="F1334" s="211"/>
      <c r="G1334" s="212"/>
      <c r="H1334" s="212"/>
      <c r="I1334" s="204"/>
      <c r="J1334" s="204"/>
      <c r="K1334" s="204"/>
      <c r="L1334" s="204"/>
      <c r="M1334" s="204"/>
      <c r="N1334" s="204"/>
      <c r="O1334" s="204"/>
      <c r="P1334" s="204"/>
      <c r="Q1334" s="204"/>
      <c r="R1334" s="204"/>
      <c r="S1334" s="204"/>
      <c r="T1334" s="204"/>
      <c r="U1334" s="204"/>
      <c r="V1334" s="204"/>
      <c r="W1334" s="204"/>
      <c r="X1334" s="204"/>
      <c r="Y1334" s="204"/>
      <c r="Z1334" s="204"/>
      <c r="AA1334" s="204"/>
      <c r="AB1334" s="204"/>
      <c r="AC1334" s="204"/>
      <c r="AD1334" s="204"/>
      <c r="AE1334" s="204"/>
      <c r="AF1334" s="204"/>
      <c r="AG1334" s="204"/>
      <c r="AH1334" s="204"/>
      <c r="AI1334" s="209"/>
      <c r="AJ1334" s="209"/>
      <c r="AK1334" s="204"/>
      <c r="AL1334" s="204"/>
      <c r="AM1334" s="204"/>
    </row>
    <row r="1335">
      <c r="A1335" s="204"/>
      <c r="B1335" s="209"/>
      <c r="C1335" s="204"/>
      <c r="D1335" s="210"/>
      <c r="E1335" s="211"/>
      <c r="F1335" s="211"/>
      <c r="G1335" s="212"/>
      <c r="H1335" s="212"/>
      <c r="I1335" s="204"/>
      <c r="J1335" s="204"/>
      <c r="K1335" s="204"/>
      <c r="L1335" s="204"/>
      <c r="M1335" s="204"/>
      <c r="N1335" s="204"/>
      <c r="O1335" s="204"/>
      <c r="P1335" s="204"/>
      <c r="Q1335" s="204"/>
      <c r="R1335" s="204"/>
      <c r="S1335" s="204"/>
      <c r="T1335" s="204"/>
      <c r="U1335" s="204"/>
      <c r="V1335" s="204"/>
      <c r="W1335" s="204"/>
      <c r="X1335" s="204"/>
      <c r="Y1335" s="204"/>
      <c r="Z1335" s="204"/>
      <c r="AA1335" s="204"/>
      <c r="AB1335" s="204"/>
      <c r="AC1335" s="204"/>
      <c r="AD1335" s="204"/>
      <c r="AE1335" s="204"/>
      <c r="AF1335" s="204"/>
      <c r="AG1335" s="204"/>
      <c r="AH1335" s="204"/>
      <c r="AI1335" s="209"/>
      <c r="AJ1335" s="209"/>
      <c r="AK1335" s="204"/>
      <c r="AL1335" s="204"/>
      <c r="AM1335" s="204"/>
    </row>
    <row r="1336">
      <c r="A1336" s="204"/>
      <c r="B1336" s="209"/>
      <c r="C1336" s="204"/>
      <c r="D1336" s="210"/>
      <c r="E1336" s="211"/>
      <c r="F1336" s="211"/>
      <c r="G1336" s="212"/>
      <c r="H1336" s="212"/>
      <c r="I1336" s="204"/>
      <c r="J1336" s="204"/>
      <c r="K1336" s="204"/>
      <c r="L1336" s="204"/>
      <c r="M1336" s="204"/>
      <c r="N1336" s="204"/>
      <c r="O1336" s="204"/>
      <c r="P1336" s="204"/>
      <c r="Q1336" s="204"/>
      <c r="R1336" s="204"/>
      <c r="S1336" s="204"/>
      <c r="T1336" s="204"/>
      <c r="U1336" s="204"/>
      <c r="V1336" s="204"/>
      <c r="W1336" s="204"/>
      <c r="X1336" s="204"/>
      <c r="Y1336" s="204"/>
      <c r="Z1336" s="204"/>
      <c r="AA1336" s="204"/>
      <c r="AB1336" s="204"/>
      <c r="AC1336" s="204"/>
      <c r="AD1336" s="204"/>
      <c r="AE1336" s="204"/>
      <c r="AF1336" s="204"/>
      <c r="AG1336" s="204"/>
      <c r="AH1336" s="204"/>
      <c r="AI1336" s="209"/>
      <c r="AJ1336" s="209"/>
      <c r="AK1336" s="204"/>
      <c r="AL1336" s="204"/>
      <c r="AM1336" s="204"/>
    </row>
    <row r="1337">
      <c r="A1337" s="204"/>
      <c r="B1337" s="209"/>
      <c r="C1337" s="204"/>
      <c r="D1337" s="210"/>
      <c r="E1337" s="211"/>
      <c r="F1337" s="211"/>
      <c r="G1337" s="212"/>
      <c r="H1337" s="212"/>
      <c r="I1337" s="204"/>
      <c r="J1337" s="204"/>
      <c r="K1337" s="204"/>
      <c r="L1337" s="204"/>
      <c r="M1337" s="204"/>
      <c r="N1337" s="204"/>
      <c r="O1337" s="204"/>
      <c r="P1337" s="204"/>
      <c r="Q1337" s="204"/>
      <c r="R1337" s="204"/>
      <c r="S1337" s="204"/>
      <c r="T1337" s="204"/>
      <c r="U1337" s="204"/>
      <c r="V1337" s="204"/>
      <c r="W1337" s="204"/>
      <c r="X1337" s="204"/>
      <c r="Y1337" s="204"/>
      <c r="Z1337" s="204"/>
      <c r="AA1337" s="204"/>
      <c r="AB1337" s="204"/>
      <c r="AC1337" s="204"/>
      <c r="AD1337" s="204"/>
      <c r="AE1337" s="204"/>
      <c r="AF1337" s="204"/>
      <c r="AG1337" s="204"/>
      <c r="AH1337" s="204"/>
      <c r="AI1337" s="209"/>
      <c r="AJ1337" s="209"/>
      <c r="AK1337" s="204"/>
      <c r="AL1337" s="204"/>
      <c r="AM1337" s="204"/>
    </row>
    <row r="1338">
      <c r="A1338" s="204"/>
      <c r="B1338" s="209"/>
      <c r="C1338" s="204"/>
      <c r="D1338" s="210"/>
      <c r="E1338" s="211"/>
      <c r="F1338" s="211"/>
      <c r="G1338" s="212"/>
      <c r="H1338" s="212"/>
      <c r="I1338" s="204"/>
      <c r="J1338" s="204"/>
      <c r="K1338" s="204"/>
      <c r="L1338" s="204"/>
      <c r="M1338" s="204"/>
      <c r="N1338" s="204"/>
      <c r="O1338" s="204"/>
      <c r="P1338" s="204"/>
      <c r="Q1338" s="204"/>
      <c r="R1338" s="204"/>
      <c r="S1338" s="204"/>
      <c r="T1338" s="204"/>
      <c r="U1338" s="204"/>
      <c r="V1338" s="204"/>
      <c r="W1338" s="204"/>
      <c r="X1338" s="204"/>
      <c r="Y1338" s="204"/>
      <c r="Z1338" s="204"/>
      <c r="AA1338" s="204"/>
      <c r="AB1338" s="204"/>
      <c r="AC1338" s="204"/>
      <c r="AD1338" s="204"/>
      <c r="AE1338" s="204"/>
      <c r="AF1338" s="204"/>
      <c r="AG1338" s="204"/>
      <c r="AH1338" s="204"/>
      <c r="AI1338" s="209"/>
      <c r="AJ1338" s="209"/>
      <c r="AK1338" s="204"/>
      <c r="AL1338" s="204"/>
      <c r="AM1338" s="204"/>
    </row>
    <row r="1339">
      <c r="A1339" s="204"/>
      <c r="B1339" s="209"/>
      <c r="C1339" s="204"/>
      <c r="D1339" s="210"/>
      <c r="E1339" s="211"/>
      <c r="F1339" s="211"/>
      <c r="G1339" s="212"/>
      <c r="H1339" s="212"/>
      <c r="I1339" s="204"/>
      <c r="J1339" s="204"/>
      <c r="K1339" s="204"/>
      <c r="L1339" s="204"/>
      <c r="M1339" s="204"/>
      <c r="N1339" s="204"/>
      <c r="O1339" s="204"/>
      <c r="P1339" s="204"/>
      <c r="Q1339" s="204"/>
      <c r="R1339" s="204"/>
      <c r="S1339" s="204"/>
      <c r="T1339" s="204"/>
      <c r="U1339" s="204"/>
      <c r="V1339" s="204"/>
      <c r="W1339" s="204"/>
      <c r="X1339" s="204"/>
      <c r="Y1339" s="204"/>
      <c r="Z1339" s="204"/>
      <c r="AA1339" s="204"/>
      <c r="AB1339" s="204"/>
      <c r="AC1339" s="204"/>
      <c r="AD1339" s="204"/>
      <c r="AE1339" s="204"/>
      <c r="AF1339" s="204"/>
      <c r="AG1339" s="204"/>
      <c r="AH1339" s="204"/>
      <c r="AI1339" s="209"/>
      <c r="AJ1339" s="209"/>
      <c r="AK1339" s="204"/>
      <c r="AL1339" s="204"/>
      <c r="AM1339" s="204"/>
    </row>
    <row r="1340">
      <c r="A1340" s="204"/>
      <c r="B1340" s="209"/>
      <c r="C1340" s="204"/>
      <c r="D1340" s="210"/>
      <c r="E1340" s="211"/>
      <c r="F1340" s="211"/>
      <c r="G1340" s="212"/>
      <c r="H1340" s="212"/>
      <c r="I1340" s="204"/>
      <c r="J1340" s="204"/>
      <c r="K1340" s="204"/>
      <c r="L1340" s="204"/>
      <c r="M1340" s="204"/>
      <c r="N1340" s="204"/>
      <c r="O1340" s="204"/>
      <c r="P1340" s="204"/>
      <c r="Q1340" s="204"/>
      <c r="R1340" s="204"/>
      <c r="S1340" s="204"/>
      <c r="T1340" s="204"/>
      <c r="U1340" s="204"/>
      <c r="V1340" s="204"/>
      <c r="W1340" s="204"/>
      <c r="X1340" s="204"/>
      <c r="Y1340" s="204"/>
      <c r="Z1340" s="204"/>
      <c r="AA1340" s="204"/>
      <c r="AB1340" s="204"/>
      <c r="AC1340" s="204"/>
      <c r="AD1340" s="204"/>
      <c r="AE1340" s="204"/>
      <c r="AF1340" s="204"/>
      <c r="AG1340" s="204"/>
      <c r="AH1340" s="204"/>
      <c r="AI1340" s="209"/>
      <c r="AJ1340" s="209"/>
      <c r="AK1340" s="204"/>
      <c r="AL1340" s="204"/>
      <c r="AM1340" s="204"/>
    </row>
    <row r="1341">
      <c r="A1341" s="204"/>
      <c r="B1341" s="209"/>
      <c r="C1341" s="204"/>
      <c r="D1341" s="210"/>
      <c r="E1341" s="211"/>
      <c r="F1341" s="211"/>
      <c r="G1341" s="212"/>
      <c r="H1341" s="212"/>
      <c r="I1341" s="204"/>
      <c r="J1341" s="204"/>
      <c r="K1341" s="204"/>
      <c r="L1341" s="204"/>
      <c r="M1341" s="204"/>
      <c r="N1341" s="204"/>
      <c r="O1341" s="204"/>
      <c r="P1341" s="204"/>
      <c r="Q1341" s="204"/>
      <c r="R1341" s="204"/>
      <c r="S1341" s="204"/>
      <c r="T1341" s="204"/>
      <c r="U1341" s="204"/>
      <c r="V1341" s="204"/>
      <c r="W1341" s="204"/>
      <c r="X1341" s="204"/>
      <c r="Y1341" s="204"/>
      <c r="Z1341" s="204"/>
      <c r="AA1341" s="204"/>
      <c r="AB1341" s="204"/>
      <c r="AC1341" s="204"/>
      <c r="AD1341" s="204"/>
      <c r="AE1341" s="204"/>
      <c r="AF1341" s="204"/>
      <c r="AG1341" s="204"/>
      <c r="AH1341" s="204"/>
      <c r="AI1341" s="209"/>
      <c r="AJ1341" s="209"/>
      <c r="AK1341" s="204"/>
      <c r="AL1341" s="204"/>
      <c r="AM1341" s="204"/>
    </row>
    <row r="1342">
      <c r="A1342" s="204"/>
      <c r="B1342" s="209"/>
      <c r="C1342" s="204"/>
      <c r="D1342" s="210"/>
      <c r="E1342" s="211"/>
      <c r="F1342" s="211"/>
      <c r="G1342" s="212"/>
      <c r="H1342" s="212"/>
      <c r="I1342" s="204"/>
      <c r="J1342" s="204"/>
      <c r="K1342" s="204"/>
      <c r="L1342" s="204"/>
      <c r="M1342" s="204"/>
      <c r="N1342" s="204"/>
      <c r="O1342" s="204"/>
      <c r="P1342" s="204"/>
      <c r="Q1342" s="204"/>
      <c r="R1342" s="204"/>
      <c r="S1342" s="204"/>
      <c r="T1342" s="204"/>
      <c r="U1342" s="204"/>
      <c r="V1342" s="204"/>
      <c r="W1342" s="204"/>
      <c r="X1342" s="204"/>
      <c r="Y1342" s="204"/>
      <c r="Z1342" s="204"/>
      <c r="AA1342" s="204"/>
      <c r="AB1342" s="204"/>
      <c r="AC1342" s="204"/>
      <c r="AD1342" s="204"/>
      <c r="AE1342" s="204"/>
      <c r="AF1342" s="204"/>
      <c r="AG1342" s="204"/>
      <c r="AH1342" s="204"/>
      <c r="AI1342" s="209"/>
      <c r="AJ1342" s="209"/>
      <c r="AK1342" s="204"/>
      <c r="AL1342" s="204"/>
      <c r="AM1342" s="204"/>
    </row>
    <row r="1343">
      <c r="A1343" s="204"/>
      <c r="B1343" s="209"/>
      <c r="C1343" s="204"/>
      <c r="D1343" s="210"/>
      <c r="E1343" s="211"/>
      <c r="F1343" s="211"/>
      <c r="G1343" s="212"/>
      <c r="H1343" s="212"/>
      <c r="I1343" s="204"/>
      <c r="J1343" s="204"/>
      <c r="K1343" s="204"/>
      <c r="L1343" s="204"/>
      <c r="M1343" s="204"/>
      <c r="N1343" s="204"/>
      <c r="O1343" s="204"/>
      <c r="P1343" s="204"/>
      <c r="Q1343" s="204"/>
      <c r="R1343" s="204"/>
      <c r="S1343" s="204"/>
      <c r="T1343" s="204"/>
      <c r="U1343" s="204"/>
      <c r="V1343" s="204"/>
      <c r="W1343" s="204"/>
      <c r="X1343" s="204"/>
      <c r="Y1343" s="204"/>
      <c r="Z1343" s="204"/>
      <c r="AA1343" s="204"/>
      <c r="AB1343" s="204"/>
      <c r="AC1343" s="204"/>
      <c r="AD1343" s="204"/>
      <c r="AE1343" s="204"/>
      <c r="AF1343" s="204"/>
      <c r="AG1343" s="204"/>
      <c r="AH1343" s="204"/>
      <c r="AI1343" s="209"/>
      <c r="AJ1343" s="209"/>
      <c r="AK1343" s="204"/>
      <c r="AL1343" s="204"/>
      <c r="AM1343" s="204"/>
    </row>
    <row r="1344">
      <c r="A1344" s="204"/>
      <c r="B1344" s="209"/>
      <c r="C1344" s="204"/>
      <c r="D1344" s="210"/>
      <c r="E1344" s="211"/>
      <c r="F1344" s="211"/>
      <c r="G1344" s="212"/>
      <c r="H1344" s="212"/>
      <c r="I1344" s="204"/>
      <c r="J1344" s="204"/>
      <c r="K1344" s="204"/>
      <c r="L1344" s="204"/>
      <c r="M1344" s="204"/>
      <c r="N1344" s="204"/>
      <c r="O1344" s="204"/>
      <c r="P1344" s="204"/>
      <c r="Q1344" s="204"/>
      <c r="R1344" s="204"/>
      <c r="S1344" s="204"/>
      <c r="T1344" s="204"/>
      <c r="U1344" s="204"/>
      <c r="V1344" s="204"/>
      <c r="W1344" s="204"/>
      <c r="X1344" s="204"/>
      <c r="Y1344" s="204"/>
      <c r="Z1344" s="204"/>
      <c r="AA1344" s="204"/>
      <c r="AB1344" s="204"/>
      <c r="AC1344" s="204"/>
      <c r="AD1344" s="204"/>
      <c r="AE1344" s="204"/>
      <c r="AF1344" s="204"/>
      <c r="AG1344" s="204"/>
      <c r="AH1344" s="204"/>
      <c r="AI1344" s="209"/>
      <c r="AJ1344" s="209"/>
      <c r="AK1344" s="204"/>
      <c r="AL1344" s="204"/>
      <c r="AM1344" s="204"/>
    </row>
    <row r="1345">
      <c r="A1345" s="204"/>
      <c r="B1345" s="209"/>
      <c r="C1345" s="204"/>
      <c r="D1345" s="210"/>
      <c r="E1345" s="211"/>
      <c r="F1345" s="211"/>
      <c r="G1345" s="212"/>
      <c r="H1345" s="212"/>
      <c r="I1345" s="204"/>
      <c r="J1345" s="204"/>
      <c r="K1345" s="204"/>
      <c r="L1345" s="204"/>
      <c r="M1345" s="204"/>
      <c r="N1345" s="204"/>
      <c r="O1345" s="204"/>
      <c r="P1345" s="204"/>
      <c r="Q1345" s="204"/>
      <c r="R1345" s="204"/>
      <c r="S1345" s="204"/>
      <c r="T1345" s="204"/>
      <c r="U1345" s="204"/>
      <c r="V1345" s="204"/>
      <c r="W1345" s="204"/>
      <c r="X1345" s="204"/>
      <c r="Y1345" s="204"/>
      <c r="Z1345" s="204"/>
      <c r="AA1345" s="204"/>
      <c r="AB1345" s="204"/>
      <c r="AC1345" s="204"/>
      <c r="AD1345" s="204"/>
      <c r="AE1345" s="204"/>
      <c r="AF1345" s="204"/>
      <c r="AG1345" s="204"/>
      <c r="AH1345" s="204"/>
      <c r="AI1345" s="209"/>
      <c r="AJ1345" s="209"/>
      <c r="AK1345" s="204"/>
      <c r="AL1345" s="204"/>
      <c r="AM1345" s="204"/>
    </row>
    <row r="1346">
      <c r="A1346" s="204"/>
      <c r="B1346" s="209"/>
      <c r="C1346" s="204"/>
      <c r="D1346" s="210"/>
      <c r="E1346" s="211"/>
      <c r="F1346" s="211"/>
      <c r="G1346" s="212"/>
      <c r="H1346" s="212"/>
      <c r="I1346" s="204"/>
      <c r="J1346" s="204"/>
      <c r="K1346" s="204"/>
      <c r="L1346" s="204"/>
      <c r="M1346" s="204"/>
      <c r="N1346" s="204"/>
      <c r="O1346" s="204"/>
      <c r="P1346" s="204"/>
      <c r="Q1346" s="204"/>
      <c r="R1346" s="204"/>
      <c r="S1346" s="204"/>
      <c r="T1346" s="204"/>
      <c r="U1346" s="204"/>
      <c r="V1346" s="204"/>
      <c r="W1346" s="204"/>
      <c r="X1346" s="204"/>
      <c r="Y1346" s="204"/>
      <c r="Z1346" s="204"/>
      <c r="AA1346" s="204"/>
      <c r="AB1346" s="204"/>
      <c r="AC1346" s="204"/>
      <c r="AD1346" s="204"/>
      <c r="AE1346" s="204"/>
      <c r="AF1346" s="204"/>
      <c r="AG1346" s="204"/>
      <c r="AH1346" s="204"/>
      <c r="AI1346" s="209"/>
      <c r="AJ1346" s="209"/>
      <c r="AK1346" s="204"/>
      <c r="AL1346" s="204"/>
      <c r="AM1346" s="204"/>
    </row>
    <row r="1347">
      <c r="A1347" s="204"/>
      <c r="B1347" s="209"/>
      <c r="C1347" s="204"/>
      <c r="D1347" s="210"/>
      <c r="E1347" s="211"/>
      <c r="F1347" s="211"/>
      <c r="G1347" s="212"/>
      <c r="H1347" s="212"/>
      <c r="I1347" s="204"/>
      <c r="J1347" s="204"/>
      <c r="K1347" s="204"/>
      <c r="L1347" s="204"/>
      <c r="M1347" s="204"/>
      <c r="N1347" s="204"/>
      <c r="O1347" s="204"/>
      <c r="P1347" s="204"/>
      <c r="Q1347" s="204"/>
      <c r="R1347" s="204"/>
      <c r="S1347" s="204"/>
      <c r="T1347" s="204"/>
      <c r="U1347" s="204"/>
      <c r="V1347" s="204"/>
      <c r="W1347" s="204"/>
      <c r="X1347" s="204"/>
      <c r="Y1347" s="204"/>
      <c r="Z1347" s="204"/>
      <c r="AA1347" s="204"/>
      <c r="AB1347" s="204"/>
      <c r="AC1347" s="204"/>
      <c r="AD1347" s="204"/>
      <c r="AE1347" s="204"/>
      <c r="AF1347" s="204"/>
      <c r="AG1347" s="204"/>
      <c r="AH1347" s="204"/>
      <c r="AI1347" s="209"/>
      <c r="AJ1347" s="209"/>
      <c r="AK1347" s="204"/>
      <c r="AL1347" s="204"/>
      <c r="AM1347" s="204"/>
    </row>
    <row r="1348">
      <c r="A1348" s="204"/>
      <c r="B1348" s="209"/>
      <c r="C1348" s="204"/>
      <c r="D1348" s="210"/>
      <c r="E1348" s="211"/>
      <c r="F1348" s="211"/>
      <c r="G1348" s="212"/>
      <c r="H1348" s="212"/>
      <c r="I1348" s="204"/>
      <c r="J1348" s="204"/>
      <c r="K1348" s="204"/>
      <c r="L1348" s="204"/>
      <c r="M1348" s="204"/>
      <c r="N1348" s="204"/>
      <c r="O1348" s="204"/>
      <c r="P1348" s="204"/>
      <c r="Q1348" s="204"/>
      <c r="R1348" s="204"/>
      <c r="S1348" s="204"/>
      <c r="T1348" s="204"/>
      <c r="U1348" s="204"/>
      <c r="V1348" s="204"/>
      <c r="W1348" s="204"/>
      <c r="X1348" s="204"/>
      <c r="Y1348" s="204"/>
      <c r="Z1348" s="204"/>
      <c r="AA1348" s="204"/>
      <c r="AB1348" s="204"/>
      <c r="AC1348" s="204"/>
      <c r="AD1348" s="204"/>
      <c r="AE1348" s="204"/>
      <c r="AF1348" s="204"/>
      <c r="AG1348" s="204"/>
      <c r="AH1348" s="204"/>
      <c r="AI1348" s="209"/>
      <c r="AJ1348" s="209"/>
      <c r="AK1348" s="204"/>
      <c r="AL1348" s="204"/>
      <c r="AM1348" s="204"/>
    </row>
    <row r="1349">
      <c r="A1349" s="204"/>
      <c r="B1349" s="209"/>
      <c r="C1349" s="204"/>
      <c r="D1349" s="210"/>
      <c r="E1349" s="211"/>
      <c r="F1349" s="211"/>
      <c r="G1349" s="212"/>
      <c r="H1349" s="212"/>
      <c r="I1349" s="204"/>
      <c r="J1349" s="204"/>
      <c r="K1349" s="204"/>
      <c r="L1349" s="204"/>
      <c r="M1349" s="204"/>
      <c r="N1349" s="204"/>
      <c r="O1349" s="204"/>
      <c r="P1349" s="204"/>
      <c r="Q1349" s="204"/>
      <c r="R1349" s="204"/>
      <c r="S1349" s="204"/>
      <c r="T1349" s="204"/>
      <c r="U1349" s="204"/>
      <c r="V1349" s="204"/>
      <c r="W1349" s="204"/>
      <c r="X1349" s="204"/>
      <c r="Y1349" s="204"/>
      <c r="Z1349" s="204"/>
      <c r="AA1349" s="204"/>
      <c r="AB1349" s="204"/>
      <c r="AC1349" s="204"/>
      <c r="AD1349" s="204"/>
      <c r="AE1349" s="204"/>
      <c r="AF1349" s="204"/>
      <c r="AG1349" s="204"/>
      <c r="AH1349" s="204"/>
      <c r="AI1349" s="209"/>
      <c r="AJ1349" s="209"/>
      <c r="AK1349" s="204"/>
      <c r="AL1349" s="204"/>
      <c r="AM1349" s="204"/>
    </row>
    <row r="1350">
      <c r="A1350" s="204"/>
      <c r="B1350" s="209"/>
      <c r="C1350" s="204"/>
      <c r="D1350" s="210"/>
      <c r="E1350" s="211"/>
      <c r="F1350" s="211"/>
      <c r="G1350" s="212"/>
      <c r="H1350" s="212"/>
      <c r="I1350" s="204"/>
      <c r="J1350" s="204"/>
      <c r="K1350" s="204"/>
      <c r="L1350" s="204"/>
      <c r="M1350" s="204"/>
      <c r="N1350" s="204"/>
      <c r="O1350" s="204"/>
      <c r="P1350" s="204"/>
      <c r="Q1350" s="204"/>
      <c r="R1350" s="204"/>
      <c r="S1350" s="204"/>
      <c r="T1350" s="204"/>
      <c r="U1350" s="204"/>
      <c r="V1350" s="204"/>
      <c r="W1350" s="204"/>
      <c r="X1350" s="204"/>
      <c r="Y1350" s="204"/>
      <c r="Z1350" s="204"/>
      <c r="AA1350" s="204"/>
      <c r="AB1350" s="204"/>
      <c r="AC1350" s="204"/>
      <c r="AD1350" s="204"/>
      <c r="AE1350" s="204"/>
      <c r="AF1350" s="204"/>
      <c r="AG1350" s="204"/>
      <c r="AH1350" s="204"/>
      <c r="AI1350" s="209"/>
      <c r="AJ1350" s="209"/>
      <c r="AK1350" s="204"/>
      <c r="AL1350" s="204"/>
      <c r="AM1350" s="204"/>
    </row>
    <row r="1351">
      <c r="A1351" s="204"/>
      <c r="B1351" s="209"/>
      <c r="C1351" s="204"/>
      <c r="D1351" s="210"/>
      <c r="E1351" s="211"/>
      <c r="F1351" s="211"/>
      <c r="G1351" s="212"/>
      <c r="H1351" s="212"/>
      <c r="I1351" s="204"/>
      <c r="J1351" s="204"/>
      <c r="K1351" s="204"/>
      <c r="L1351" s="204"/>
      <c r="M1351" s="204"/>
      <c r="N1351" s="204"/>
      <c r="O1351" s="204"/>
      <c r="P1351" s="204"/>
      <c r="Q1351" s="204"/>
      <c r="R1351" s="204"/>
      <c r="S1351" s="204"/>
      <c r="T1351" s="204"/>
      <c r="U1351" s="204"/>
      <c r="V1351" s="204"/>
      <c r="W1351" s="204"/>
      <c r="X1351" s="204"/>
      <c r="Y1351" s="204"/>
      <c r="Z1351" s="204"/>
      <c r="AA1351" s="204"/>
      <c r="AB1351" s="204"/>
      <c r="AC1351" s="204"/>
      <c r="AD1351" s="204"/>
      <c r="AE1351" s="204"/>
      <c r="AF1351" s="204"/>
      <c r="AG1351" s="204"/>
      <c r="AH1351" s="204"/>
      <c r="AI1351" s="209"/>
      <c r="AJ1351" s="209"/>
      <c r="AK1351" s="204"/>
      <c r="AL1351" s="204"/>
      <c r="AM1351" s="204"/>
    </row>
    <row r="1352">
      <c r="A1352" s="204"/>
      <c r="B1352" s="209"/>
      <c r="C1352" s="204"/>
      <c r="D1352" s="210"/>
      <c r="E1352" s="211"/>
      <c r="F1352" s="211"/>
      <c r="G1352" s="212"/>
      <c r="H1352" s="212"/>
      <c r="I1352" s="204"/>
      <c r="J1352" s="204"/>
      <c r="K1352" s="204"/>
      <c r="L1352" s="204"/>
      <c r="M1352" s="204"/>
      <c r="N1352" s="204"/>
      <c r="O1352" s="204"/>
      <c r="P1352" s="204"/>
      <c r="Q1352" s="204"/>
      <c r="R1352" s="204"/>
      <c r="S1352" s="204"/>
      <c r="T1352" s="204"/>
      <c r="U1352" s="204"/>
      <c r="V1352" s="204"/>
      <c r="W1352" s="204"/>
      <c r="X1352" s="204"/>
      <c r="Y1352" s="204"/>
      <c r="Z1352" s="204"/>
      <c r="AA1352" s="204"/>
      <c r="AB1352" s="204"/>
      <c r="AC1352" s="204"/>
      <c r="AD1352" s="204"/>
      <c r="AE1352" s="204"/>
      <c r="AF1352" s="204"/>
      <c r="AG1352" s="204"/>
      <c r="AH1352" s="204"/>
      <c r="AI1352" s="209"/>
      <c r="AJ1352" s="209"/>
      <c r="AK1352" s="204"/>
      <c r="AL1352" s="204"/>
      <c r="AM1352" s="204"/>
    </row>
    <row r="1353">
      <c r="A1353" s="204"/>
      <c r="B1353" s="209"/>
      <c r="C1353" s="204"/>
      <c r="D1353" s="210"/>
      <c r="E1353" s="211"/>
      <c r="F1353" s="211"/>
      <c r="G1353" s="212"/>
      <c r="H1353" s="212"/>
      <c r="I1353" s="204"/>
      <c r="J1353" s="204"/>
      <c r="K1353" s="204"/>
      <c r="L1353" s="204"/>
      <c r="M1353" s="204"/>
      <c r="N1353" s="204"/>
      <c r="O1353" s="204"/>
      <c r="P1353" s="204"/>
      <c r="Q1353" s="204"/>
      <c r="R1353" s="204"/>
      <c r="S1353" s="204"/>
      <c r="T1353" s="204"/>
      <c r="U1353" s="204"/>
      <c r="V1353" s="204"/>
      <c r="W1353" s="204"/>
      <c r="X1353" s="204"/>
      <c r="Y1353" s="204"/>
      <c r="Z1353" s="204"/>
      <c r="AA1353" s="204"/>
      <c r="AB1353" s="204"/>
      <c r="AC1353" s="204"/>
      <c r="AD1353" s="204"/>
      <c r="AE1353" s="204"/>
      <c r="AF1353" s="204"/>
      <c r="AG1353" s="204"/>
      <c r="AH1353" s="204"/>
      <c r="AI1353" s="209"/>
      <c r="AJ1353" s="209"/>
      <c r="AK1353" s="204"/>
      <c r="AL1353" s="204"/>
      <c r="AM1353" s="204"/>
    </row>
    <row r="1354">
      <c r="A1354" s="204"/>
      <c r="B1354" s="209"/>
      <c r="C1354" s="204"/>
      <c r="D1354" s="210"/>
      <c r="E1354" s="211"/>
      <c r="F1354" s="211"/>
      <c r="G1354" s="212"/>
      <c r="H1354" s="212"/>
      <c r="I1354" s="204"/>
      <c r="J1354" s="204"/>
      <c r="K1354" s="204"/>
      <c r="L1354" s="204"/>
      <c r="M1354" s="204"/>
      <c r="N1354" s="204"/>
      <c r="O1354" s="204"/>
      <c r="P1354" s="204"/>
      <c r="Q1354" s="204"/>
      <c r="R1354" s="204"/>
      <c r="S1354" s="204"/>
      <c r="T1354" s="204"/>
      <c r="U1354" s="204"/>
      <c r="V1354" s="204"/>
      <c r="W1354" s="204"/>
      <c r="X1354" s="204"/>
      <c r="Y1354" s="204"/>
      <c r="Z1354" s="204"/>
      <c r="AA1354" s="204"/>
      <c r="AB1354" s="204"/>
      <c r="AC1354" s="204"/>
      <c r="AD1354" s="204"/>
      <c r="AE1354" s="204"/>
      <c r="AF1354" s="204"/>
      <c r="AG1354" s="204"/>
      <c r="AH1354" s="204"/>
      <c r="AI1354" s="209"/>
      <c r="AJ1354" s="209"/>
      <c r="AK1354" s="204"/>
      <c r="AL1354" s="204"/>
      <c r="AM1354" s="204"/>
    </row>
    <row r="1355">
      <c r="A1355" s="204"/>
      <c r="B1355" s="209"/>
      <c r="C1355" s="204"/>
      <c r="D1355" s="210"/>
      <c r="E1355" s="211"/>
      <c r="F1355" s="211"/>
      <c r="G1355" s="212"/>
      <c r="H1355" s="212"/>
      <c r="I1355" s="204"/>
      <c r="J1355" s="204"/>
      <c r="K1355" s="204"/>
      <c r="L1355" s="204"/>
      <c r="M1355" s="204"/>
      <c r="N1355" s="204"/>
      <c r="O1355" s="204"/>
      <c r="P1355" s="204"/>
      <c r="Q1355" s="204"/>
      <c r="R1355" s="204"/>
      <c r="S1355" s="204"/>
      <c r="T1355" s="204"/>
      <c r="U1355" s="204"/>
      <c r="V1355" s="204"/>
      <c r="W1355" s="204"/>
      <c r="X1355" s="204"/>
      <c r="Y1355" s="204"/>
      <c r="Z1355" s="204"/>
      <c r="AA1355" s="204"/>
      <c r="AB1355" s="204"/>
      <c r="AC1355" s="204"/>
      <c r="AD1355" s="204"/>
      <c r="AE1355" s="204"/>
      <c r="AF1355" s="204"/>
      <c r="AG1355" s="204"/>
      <c r="AH1355" s="204"/>
      <c r="AI1355" s="209"/>
      <c r="AJ1355" s="209"/>
      <c r="AK1355" s="204"/>
      <c r="AL1355" s="204"/>
      <c r="AM1355" s="204"/>
    </row>
    <row r="1356">
      <c r="A1356" s="204"/>
      <c r="B1356" s="209"/>
      <c r="C1356" s="204"/>
      <c r="D1356" s="210"/>
      <c r="E1356" s="211"/>
      <c r="F1356" s="211"/>
      <c r="G1356" s="212"/>
      <c r="H1356" s="212"/>
      <c r="I1356" s="204"/>
      <c r="J1356" s="204"/>
      <c r="K1356" s="204"/>
      <c r="L1356" s="204"/>
      <c r="M1356" s="204"/>
      <c r="N1356" s="204"/>
      <c r="O1356" s="204"/>
      <c r="P1356" s="204"/>
      <c r="Q1356" s="204"/>
      <c r="R1356" s="204"/>
      <c r="S1356" s="204"/>
      <c r="T1356" s="204"/>
      <c r="U1356" s="204"/>
      <c r="V1356" s="204"/>
      <c r="W1356" s="204"/>
      <c r="X1356" s="204"/>
      <c r="Y1356" s="204"/>
      <c r="Z1356" s="204"/>
      <c r="AA1356" s="204"/>
      <c r="AB1356" s="204"/>
      <c r="AC1356" s="204"/>
      <c r="AD1356" s="204"/>
      <c r="AE1356" s="204"/>
      <c r="AF1356" s="204"/>
      <c r="AG1356" s="204"/>
      <c r="AH1356" s="204"/>
      <c r="AI1356" s="209"/>
      <c r="AJ1356" s="209"/>
      <c r="AK1356" s="204"/>
      <c r="AL1356" s="204"/>
      <c r="AM1356" s="204"/>
    </row>
    <row r="1357">
      <c r="A1357" s="204"/>
      <c r="B1357" s="209"/>
      <c r="C1357" s="204"/>
      <c r="D1357" s="210"/>
      <c r="E1357" s="211"/>
      <c r="F1357" s="211"/>
      <c r="G1357" s="212"/>
      <c r="H1357" s="212"/>
      <c r="I1357" s="204"/>
      <c r="J1357" s="204"/>
      <c r="K1357" s="204"/>
      <c r="L1357" s="204"/>
      <c r="M1357" s="204"/>
      <c r="N1357" s="204"/>
      <c r="O1357" s="204"/>
      <c r="P1357" s="204"/>
      <c r="Q1357" s="204"/>
      <c r="R1357" s="204"/>
      <c r="S1357" s="204"/>
      <c r="T1357" s="204"/>
      <c r="U1357" s="204"/>
      <c r="V1357" s="204"/>
      <c r="W1357" s="204"/>
      <c r="X1357" s="204"/>
      <c r="Y1357" s="204"/>
      <c r="Z1357" s="204"/>
      <c r="AA1357" s="204"/>
      <c r="AB1357" s="204"/>
      <c r="AC1357" s="204"/>
      <c r="AD1357" s="204"/>
      <c r="AE1357" s="204"/>
      <c r="AF1357" s="204"/>
      <c r="AG1357" s="204"/>
      <c r="AH1357" s="204"/>
      <c r="AI1357" s="209"/>
      <c r="AJ1357" s="209"/>
      <c r="AK1357" s="204"/>
      <c r="AL1357" s="204"/>
      <c r="AM1357" s="204"/>
    </row>
    <row r="1358">
      <c r="A1358" s="204"/>
      <c r="B1358" s="209"/>
      <c r="C1358" s="204"/>
      <c r="D1358" s="210"/>
      <c r="E1358" s="211"/>
      <c r="F1358" s="211"/>
      <c r="G1358" s="212"/>
      <c r="H1358" s="212"/>
      <c r="I1358" s="204"/>
      <c r="J1358" s="204"/>
      <c r="K1358" s="204"/>
      <c r="L1358" s="204"/>
      <c r="M1358" s="204"/>
      <c r="N1358" s="204"/>
      <c r="O1358" s="204"/>
      <c r="P1358" s="204"/>
      <c r="Q1358" s="204"/>
      <c r="R1358" s="204"/>
      <c r="S1358" s="204"/>
      <c r="T1358" s="204"/>
      <c r="U1358" s="204"/>
      <c r="V1358" s="204"/>
      <c r="W1358" s="204"/>
      <c r="X1358" s="204"/>
      <c r="Y1358" s="204"/>
      <c r="Z1358" s="204"/>
      <c r="AA1358" s="204"/>
      <c r="AB1358" s="204"/>
      <c r="AC1358" s="204"/>
      <c r="AD1358" s="204"/>
      <c r="AE1358" s="204"/>
      <c r="AF1358" s="204"/>
      <c r="AG1358" s="204"/>
      <c r="AH1358" s="204"/>
      <c r="AI1358" s="209"/>
      <c r="AJ1358" s="209"/>
      <c r="AK1358" s="204"/>
      <c r="AL1358" s="204"/>
      <c r="AM1358" s="204"/>
    </row>
    <row r="1359">
      <c r="A1359" s="204"/>
      <c r="B1359" s="209"/>
      <c r="C1359" s="204"/>
      <c r="D1359" s="210"/>
      <c r="E1359" s="211"/>
      <c r="F1359" s="211"/>
      <c r="G1359" s="212"/>
      <c r="H1359" s="212"/>
      <c r="I1359" s="204"/>
      <c r="J1359" s="204"/>
      <c r="K1359" s="204"/>
      <c r="L1359" s="204"/>
      <c r="M1359" s="204"/>
      <c r="N1359" s="204"/>
      <c r="O1359" s="204"/>
      <c r="P1359" s="204"/>
      <c r="Q1359" s="204"/>
      <c r="R1359" s="204"/>
      <c r="S1359" s="204"/>
      <c r="T1359" s="204"/>
      <c r="U1359" s="204"/>
      <c r="V1359" s="204"/>
      <c r="W1359" s="204"/>
      <c r="X1359" s="204"/>
      <c r="Y1359" s="204"/>
      <c r="Z1359" s="204"/>
      <c r="AA1359" s="204"/>
      <c r="AB1359" s="204"/>
      <c r="AC1359" s="204"/>
      <c r="AD1359" s="204"/>
      <c r="AE1359" s="204"/>
      <c r="AF1359" s="204"/>
      <c r="AG1359" s="204"/>
      <c r="AH1359" s="204"/>
      <c r="AI1359" s="209"/>
      <c r="AJ1359" s="209"/>
      <c r="AK1359" s="204"/>
      <c r="AL1359" s="204"/>
      <c r="AM1359" s="204"/>
    </row>
    <row r="1360">
      <c r="A1360" s="204"/>
      <c r="B1360" s="209"/>
      <c r="C1360" s="204"/>
      <c r="D1360" s="210"/>
      <c r="E1360" s="211"/>
      <c r="F1360" s="211"/>
      <c r="G1360" s="212"/>
      <c r="H1360" s="212"/>
      <c r="I1360" s="204"/>
      <c r="J1360" s="204"/>
      <c r="K1360" s="204"/>
      <c r="L1360" s="204"/>
      <c r="M1360" s="204"/>
      <c r="N1360" s="204"/>
      <c r="O1360" s="204"/>
      <c r="P1360" s="204"/>
      <c r="Q1360" s="204"/>
      <c r="R1360" s="204"/>
      <c r="S1360" s="204"/>
      <c r="T1360" s="204"/>
      <c r="U1360" s="204"/>
      <c r="V1360" s="204"/>
      <c r="W1360" s="204"/>
      <c r="X1360" s="204"/>
      <c r="Y1360" s="204"/>
      <c r="Z1360" s="204"/>
      <c r="AA1360" s="204"/>
      <c r="AB1360" s="204"/>
      <c r="AC1360" s="204"/>
      <c r="AD1360" s="204"/>
      <c r="AE1360" s="204"/>
      <c r="AF1360" s="204"/>
      <c r="AG1360" s="204"/>
      <c r="AH1360" s="204"/>
      <c r="AI1360" s="209"/>
      <c r="AJ1360" s="209"/>
      <c r="AK1360" s="204"/>
      <c r="AL1360" s="204"/>
      <c r="AM1360" s="204"/>
    </row>
    <row r="1361">
      <c r="A1361" s="204"/>
      <c r="B1361" s="209"/>
      <c r="C1361" s="204"/>
      <c r="D1361" s="210"/>
      <c r="E1361" s="211"/>
      <c r="F1361" s="211"/>
      <c r="G1361" s="212"/>
      <c r="H1361" s="212"/>
      <c r="I1361" s="204"/>
      <c r="J1361" s="204"/>
      <c r="K1361" s="204"/>
      <c r="L1361" s="204"/>
      <c r="M1361" s="204"/>
      <c r="N1361" s="204"/>
      <c r="O1361" s="204"/>
      <c r="P1361" s="204"/>
      <c r="Q1361" s="204"/>
      <c r="R1361" s="204"/>
      <c r="S1361" s="204"/>
      <c r="T1361" s="204"/>
      <c r="U1361" s="204"/>
      <c r="V1361" s="204"/>
      <c r="W1361" s="204"/>
      <c r="X1361" s="204"/>
      <c r="Y1361" s="204"/>
      <c r="Z1361" s="204"/>
      <c r="AA1361" s="204"/>
      <c r="AB1361" s="204"/>
      <c r="AC1361" s="204"/>
      <c r="AD1361" s="204"/>
      <c r="AE1361" s="204"/>
      <c r="AF1361" s="204"/>
      <c r="AG1361" s="204"/>
      <c r="AH1361" s="204"/>
      <c r="AI1361" s="209"/>
      <c r="AJ1361" s="209"/>
      <c r="AK1361" s="204"/>
      <c r="AL1361" s="204"/>
      <c r="AM1361" s="204"/>
    </row>
    <row r="1362">
      <c r="A1362" s="204"/>
      <c r="B1362" s="209"/>
      <c r="C1362" s="204"/>
      <c r="D1362" s="210"/>
      <c r="E1362" s="211"/>
      <c r="F1362" s="211"/>
      <c r="G1362" s="212"/>
      <c r="H1362" s="212"/>
      <c r="I1362" s="204"/>
      <c r="J1362" s="204"/>
      <c r="K1362" s="204"/>
      <c r="L1362" s="204"/>
      <c r="M1362" s="204"/>
      <c r="N1362" s="204"/>
      <c r="O1362" s="204"/>
      <c r="P1362" s="204"/>
      <c r="Q1362" s="204"/>
      <c r="R1362" s="204"/>
      <c r="S1362" s="204"/>
      <c r="T1362" s="204"/>
      <c r="U1362" s="204"/>
      <c r="V1362" s="204"/>
      <c r="W1362" s="204"/>
      <c r="X1362" s="204"/>
      <c r="Y1362" s="204"/>
      <c r="Z1362" s="204"/>
      <c r="AA1362" s="204"/>
      <c r="AB1362" s="204"/>
      <c r="AC1362" s="204"/>
      <c r="AD1362" s="204"/>
      <c r="AE1362" s="204"/>
      <c r="AF1362" s="204"/>
      <c r="AG1362" s="204"/>
      <c r="AH1362" s="204"/>
      <c r="AI1362" s="209"/>
      <c r="AJ1362" s="209"/>
      <c r="AK1362" s="204"/>
      <c r="AL1362" s="204"/>
      <c r="AM1362" s="204"/>
    </row>
    <row r="1363">
      <c r="A1363" s="204"/>
      <c r="B1363" s="209"/>
      <c r="C1363" s="204"/>
      <c r="D1363" s="210"/>
      <c r="E1363" s="211"/>
      <c r="F1363" s="211"/>
      <c r="G1363" s="212"/>
      <c r="H1363" s="212"/>
      <c r="I1363" s="204"/>
      <c r="J1363" s="204"/>
      <c r="K1363" s="204"/>
      <c r="L1363" s="204"/>
      <c r="M1363" s="204"/>
      <c r="N1363" s="204"/>
      <c r="O1363" s="204"/>
      <c r="P1363" s="204"/>
      <c r="Q1363" s="204"/>
      <c r="R1363" s="204"/>
      <c r="S1363" s="204"/>
      <c r="T1363" s="204"/>
      <c r="U1363" s="204"/>
      <c r="V1363" s="204"/>
      <c r="W1363" s="204"/>
      <c r="X1363" s="204"/>
      <c r="Y1363" s="204"/>
      <c r="Z1363" s="204"/>
      <c r="AA1363" s="204"/>
      <c r="AB1363" s="204"/>
      <c r="AC1363" s="204"/>
      <c r="AD1363" s="204"/>
      <c r="AE1363" s="204"/>
      <c r="AF1363" s="204"/>
      <c r="AG1363" s="204"/>
      <c r="AH1363" s="204"/>
      <c r="AI1363" s="209"/>
      <c r="AJ1363" s="209"/>
      <c r="AK1363" s="204"/>
      <c r="AL1363" s="204"/>
      <c r="AM1363" s="204"/>
    </row>
    <row r="1364">
      <c r="A1364" s="204"/>
      <c r="B1364" s="209"/>
      <c r="C1364" s="204"/>
      <c r="D1364" s="210"/>
      <c r="E1364" s="211"/>
      <c r="F1364" s="211"/>
      <c r="G1364" s="212"/>
      <c r="H1364" s="212"/>
      <c r="I1364" s="204"/>
      <c r="J1364" s="204"/>
      <c r="K1364" s="204"/>
      <c r="L1364" s="204"/>
      <c r="M1364" s="204"/>
      <c r="N1364" s="204"/>
      <c r="O1364" s="204"/>
      <c r="P1364" s="204"/>
      <c r="Q1364" s="204"/>
      <c r="R1364" s="204"/>
      <c r="S1364" s="204"/>
      <c r="T1364" s="204"/>
      <c r="U1364" s="204"/>
      <c r="V1364" s="204"/>
      <c r="W1364" s="204"/>
      <c r="X1364" s="204"/>
      <c r="Y1364" s="204"/>
      <c r="Z1364" s="204"/>
      <c r="AA1364" s="204"/>
      <c r="AB1364" s="204"/>
      <c r="AC1364" s="204"/>
      <c r="AD1364" s="204"/>
      <c r="AE1364" s="204"/>
      <c r="AF1364" s="204"/>
      <c r="AG1364" s="204"/>
      <c r="AH1364" s="204"/>
      <c r="AI1364" s="209"/>
      <c r="AJ1364" s="209"/>
      <c r="AK1364" s="204"/>
      <c r="AL1364" s="204"/>
      <c r="AM1364" s="204"/>
    </row>
    <row r="1365">
      <c r="A1365" s="204"/>
      <c r="B1365" s="209"/>
      <c r="C1365" s="204"/>
      <c r="D1365" s="210"/>
      <c r="E1365" s="211"/>
      <c r="F1365" s="211"/>
      <c r="G1365" s="212"/>
      <c r="H1365" s="212"/>
      <c r="I1365" s="204"/>
      <c r="J1365" s="204"/>
      <c r="K1365" s="204"/>
      <c r="L1365" s="204"/>
      <c r="M1365" s="204"/>
      <c r="N1365" s="204"/>
      <c r="O1365" s="204"/>
      <c r="P1365" s="204"/>
      <c r="Q1365" s="204"/>
      <c r="R1365" s="204"/>
      <c r="S1365" s="204"/>
      <c r="T1365" s="204"/>
      <c r="U1365" s="204"/>
      <c r="V1365" s="204"/>
      <c r="W1365" s="204"/>
      <c r="X1365" s="204"/>
      <c r="Y1365" s="204"/>
      <c r="Z1365" s="204"/>
      <c r="AA1365" s="204"/>
      <c r="AB1365" s="204"/>
      <c r="AC1365" s="204"/>
      <c r="AD1365" s="204"/>
      <c r="AE1365" s="204"/>
      <c r="AF1365" s="204"/>
      <c r="AG1365" s="204"/>
      <c r="AH1365" s="204"/>
      <c r="AI1365" s="209"/>
      <c r="AJ1365" s="209"/>
      <c r="AK1365" s="204"/>
      <c r="AL1365" s="204"/>
      <c r="AM1365" s="204"/>
    </row>
    <row r="1366">
      <c r="A1366" s="204"/>
      <c r="B1366" s="209"/>
      <c r="C1366" s="204"/>
      <c r="D1366" s="210"/>
      <c r="E1366" s="211"/>
      <c r="F1366" s="211"/>
      <c r="G1366" s="212"/>
      <c r="H1366" s="212"/>
      <c r="I1366" s="204"/>
      <c r="J1366" s="204"/>
      <c r="K1366" s="204"/>
      <c r="L1366" s="204"/>
      <c r="M1366" s="204"/>
      <c r="N1366" s="204"/>
      <c r="O1366" s="204"/>
      <c r="P1366" s="204"/>
      <c r="Q1366" s="204"/>
      <c r="R1366" s="204"/>
      <c r="S1366" s="204"/>
      <c r="T1366" s="204"/>
      <c r="U1366" s="204"/>
      <c r="V1366" s="204"/>
      <c r="W1366" s="204"/>
      <c r="X1366" s="204"/>
      <c r="Y1366" s="204"/>
      <c r="Z1366" s="204"/>
      <c r="AA1366" s="204"/>
      <c r="AB1366" s="204"/>
      <c r="AC1366" s="204"/>
      <c r="AD1366" s="204"/>
      <c r="AE1366" s="204"/>
      <c r="AF1366" s="204"/>
      <c r="AG1366" s="204"/>
      <c r="AH1366" s="204"/>
      <c r="AI1366" s="209"/>
      <c r="AJ1366" s="209"/>
      <c r="AK1366" s="204"/>
      <c r="AL1366" s="204"/>
      <c r="AM1366" s="204"/>
    </row>
    <row r="1367">
      <c r="A1367" s="204"/>
      <c r="B1367" s="209"/>
      <c r="C1367" s="204"/>
      <c r="D1367" s="210"/>
      <c r="E1367" s="211"/>
      <c r="F1367" s="211"/>
      <c r="G1367" s="212"/>
      <c r="H1367" s="212"/>
      <c r="I1367" s="204"/>
      <c r="J1367" s="204"/>
      <c r="K1367" s="204"/>
      <c r="L1367" s="204"/>
      <c r="M1367" s="204"/>
      <c r="N1367" s="204"/>
      <c r="O1367" s="204"/>
      <c r="P1367" s="204"/>
      <c r="Q1367" s="204"/>
      <c r="R1367" s="204"/>
      <c r="S1367" s="204"/>
      <c r="T1367" s="204"/>
      <c r="U1367" s="204"/>
      <c r="V1367" s="204"/>
      <c r="W1367" s="204"/>
      <c r="X1367" s="204"/>
      <c r="Y1367" s="204"/>
      <c r="Z1367" s="204"/>
      <c r="AA1367" s="204"/>
      <c r="AB1367" s="204"/>
      <c r="AC1367" s="204"/>
      <c r="AD1367" s="204"/>
      <c r="AE1367" s="204"/>
      <c r="AF1367" s="204"/>
      <c r="AG1367" s="204"/>
      <c r="AH1367" s="204"/>
      <c r="AI1367" s="209"/>
      <c r="AJ1367" s="209"/>
      <c r="AK1367" s="204"/>
      <c r="AL1367" s="204"/>
      <c r="AM1367" s="204"/>
    </row>
    <row r="1368">
      <c r="A1368" s="204"/>
      <c r="B1368" s="209"/>
      <c r="C1368" s="204"/>
      <c r="D1368" s="210"/>
      <c r="E1368" s="211"/>
      <c r="F1368" s="211"/>
      <c r="G1368" s="212"/>
      <c r="H1368" s="212"/>
      <c r="I1368" s="204"/>
      <c r="J1368" s="204"/>
      <c r="K1368" s="204"/>
      <c r="L1368" s="204"/>
      <c r="M1368" s="204"/>
      <c r="N1368" s="204"/>
      <c r="O1368" s="204"/>
      <c r="P1368" s="204"/>
      <c r="Q1368" s="204"/>
      <c r="R1368" s="204"/>
      <c r="S1368" s="204"/>
      <c r="T1368" s="204"/>
      <c r="U1368" s="204"/>
      <c r="V1368" s="204"/>
      <c r="W1368" s="204"/>
      <c r="X1368" s="204"/>
      <c r="Y1368" s="204"/>
      <c r="Z1368" s="204"/>
      <c r="AA1368" s="204"/>
      <c r="AB1368" s="204"/>
      <c r="AC1368" s="204"/>
      <c r="AD1368" s="204"/>
      <c r="AE1368" s="204"/>
      <c r="AF1368" s="204"/>
      <c r="AG1368" s="204"/>
      <c r="AH1368" s="204"/>
      <c r="AI1368" s="209"/>
      <c r="AJ1368" s="209"/>
      <c r="AK1368" s="204"/>
      <c r="AL1368" s="204"/>
      <c r="AM1368" s="204"/>
    </row>
    <row r="1369">
      <c r="A1369" s="204"/>
      <c r="B1369" s="209"/>
      <c r="C1369" s="204"/>
      <c r="D1369" s="210"/>
      <c r="E1369" s="211"/>
      <c r="F1369" s="211"/>
      <c r="G1369" s="212"/>
      <c r="H1369" s="212"/>
      <c r="I1369" s="204"/>
      <c r="J1369" s="204"/>
      <c r="K1369" s="204"/>
      <c r="L1369" s="204"/>
      <c r="M1369" s="204"/>
      <c r="N1369" s="204"/>
      <c r="O1369" s="204"/>
      <c r="P1369" s="204"/>
      <c r="Q1369" s="204"/>
      <c r="R1369" s="204"/>
      <c r="S1369" s="204"/>
      <c r="T1369" s="204"/>
      <c r="U1369" s="204"/>
      <c r="V1369" s="204"/>
      <c r="W1369" s="204"/>
      <c r="X1369" s="204"/>
      <c r="Y1369" s="204"/>
      <c r="Z1369" s="204"/>
      <c r="AA1369" s="204"/>
      <c r="AB1369" s="204"/>
      <c r="AC1369" s="204"/>
      <c r="AD1369" s="204"/>
      <c r="AE1369" s="204"/>
      <c r="AF1369" s="204"/>
      <c r="AG1369" s="204"/>
      <c r="AH1369" s="204"/>
      <c r="AI1369" s="209"/>
      <c r="AJ1369" s="209"/>
      <c r="AK1369" s="204"/>
      <c r="AL1369" s="204"/>
      <c r="AM1369" s="204"/>
    </row>
    <row r="1370">
      <c r="A1370" s="204"/>
      <c r="B1370" s="209"/>
      <c r="C1370" s="204"/>
      <c r="D1370" s="210"/>
      <c r="E1370" s="211"/>
      <c r="F1370" s="211"/>
      <c r="G1370" s="212"/>
      <c r="H1370" s="212"/>
      <c r="I1370" s="204"/>
      <c r="J1370" s="204"/>
      <c r="K1370" s="204"/>
      <c r="L1370" s="204"/>
      <c r="M1370" s="204"/>
      <c r="N1370" s="204"/>
      <c r="O1370" s="204"/>
      <c r="P1370" s="204"/>
      <c r="Q1370" s="204"/>
      <c r="R1370" s="204"/>
      <c r="S1370" s="204"/>
      <c r="T1370" s="204"/>
      <c r="U1370" s="204"/>
      <c r="V1370" s="204"/>
      <c r="W1370" s="204"/>
      <c r="X1370" s="204"/>
      <c r="Y1370" s="204"/>
      <c r="Z1370" s="204"/>
      <c r="AA1370" s="204"/>
      <c r="AB1370" s="204"/>
      <c r="AC1370" s="204"/>
      <c r="AD1370" s="204"/>
      <c r="AE1370" s="204"/>
      <c r="AF1370" s="204"/>
      <c r="AG1370" s="204"/>
      <c r="AH1370" s="204"/>
      <c r="AI1370" s="209"/>
      <c r="AJ1370" s="209"/>
      <c r="AK1370" s="204"/>
      <c r="AL1370" s="204"/>
      <c r="AM1370" s="204"/>
    </row>
    <row r="1371">
      <c r="A1371" s="204"/>
      <c r="B1371" s="209"/>
      <c r="C1371" s="204"/>
      <c r="D1371" s="210"/>
      <c r="E1371" s="211"/>
      <c r="F1371" s="211"/>
      <c r="G1371" s="212"/>
      <c r="H1371" s="212"/>
      <c r="I1371" s="204"/>
      <c r="J1371" s="204"/>
      <c r="K1371" s="204"/>
      <c r="L1371" s="204"/>
      <c r="M1371" s="204"/>
      <c r="N1371" s="204"/>
      <c r="O1371" s="204"/>
      <c r="P1371" s="204"/>
      <c r="Q1371" s="204"/>
      <c r="R1371" s="204"/>
      <c r="S1371" s="204"/>
      <c r="T1371" s="204"/>
      <c r="U1371" s="204"/>
      <c r="V1371" s="204"/>
      <c r="W1371" s="204"/>
      <c r="X1371" s="204"/>
      <c r="Y1371" s="204"/>
      <c r="Z1371" s="204"/>
      <c r="AA1371" s="204"/>
      <c r="AB1371" s="204"/>
      <c r="AC1371" s="204"/>
      <c r="AD1371" s="204"/>
      <c r="AE1371" s="204"/>
      <c r="AF1371" s="204"/>
      <c r="AG1371" s="204"/>
      <c r="AH1371" s="204"/>
      <c r="AI1371" s="209"/>
      <c r="AJ1371" s="209"/>
      <c r="AK1371" s="204"/>
      <c r="AL1371" s="204"/>
      <c r="AM1371" s="204"/>
    </row>
    <row r="1372">
      <c r="A1372" s="204"/>
      <c r="B1372" s="209"/>
      <c r="C1372" s="204"/>
      <c r="D1372" s="210"/>
      <c r="E1372" s="211"/>
      <c r="F1372" s="211"/>
      <c r="G1372" s="212"/>
      <c r="H1372" s="212"/>
      <c r="I1372" s="204"/>
      <c r="J1372" s="204"/>
      <c r="K1372" s="204"/>
      <c r="L1372" s="204"/>
      <c r="M1372" s="204"/>
      <c r="N1372" s="204"/>
      <c r="O1372" s="204"/>
      <c r="P1372" s="204"/>
      <c r="Q1372" s="204"/>
      <c r="R1372" s="204"/>
      <c r="S1372" s="204"/>
      <c r="T1372" s="204"/>
      <c r="U1372" s="204"/>
      <c r="V1372" s="204"/>
      <c r="W1372" s="204"/>
      <c r="X1372" s="204"/>
      <c r="Y1372" s="204"/>
      <c r="Z1372" s="204"/>
      <c r="AA1372" s="204"/>
      <c r="AB1372" s="204"/>
      <c r="AC1372" s="204"/>
      <c r="AD1372" s="204"/>
      <c r="AE1372" s="204"/>
      <c r="AF1372" s="204"/>
      <c r="AG1372" s="204"/>
      <c r="AH1372" s="204"/>
      <c r="AI1372" s="209"/>
      <c r="AJ1372" s="209"/>
      <c r="AK1372" s="204"/>
      <c r="AL1372" s="204"/>
      <c r="AM1372" s="204"/>
    </row>
    <row r="1373">
      <c r="A1373" s="204"/>
      <c r="B1373" s="209"/>
      <c r="C1373" s="204"/>
      <c r="D1373" s="210"/>
      <c r="E1373" s="211"/>
      <c r="F1373" s="211"/>
      <c r="G1373" s="212"/>
      <c r="H1373" s="212"/>
      <c r="I1373" s="204"/>
      <c r="J1373" s="204"/>
      <c r="K1373" s="204"/>
      <c r="L1373" s="204"/>
      <c r="M1373" s="204"/>
      <c r="N1373" s="204"/>
      <c r="O1373" s="204"/>
      <c r="P1373" s="204"/>
      <c r="Q1373" s="204"/>
      <c r="R1373" s="204"/>
      <c r="S1373" s="204"/>
      <c r="T1373" s="204"/>
      <c r="U1373" s="204"/>
      <c r="V1373" s="204"/>
      <c r="W1373" s="204"/>
      <c r="X1373" s="204"/>
      <c r="Y1373" s="204"/>
      <c r="Z1373" s="204"/>
      <c r="AA1373" s="204"/>
      <c r="AB1373" s="204"/>
      <c r="AC1373" s="204"/>
      <c r="AD1373" s="204"/>
      <c r="AE1373" s="204"/>
      <c r="AF1373" s="204"/>
      <c r="AG1373" s="204"/>
      <c r="AH1373" s="204"/>
      <c r="AI1373" s="209"/>
      <c r="AJ1373" s="209"/>
      <c r="AK1373" s="204"/>
      <c r="AL1373" s="204"/>
      <c r="AM1373" s="204"/>
    </row>
    <row r="1374">
      <c r="A1374" s="204"/>
      <c r="B1374" s="209"/>
      <c r="C1374" s="204"/>
      <c r="D1374" s="210"/>
      <c r="E1374" s="211"/>
      <c r="F1374" s="211"/>
      <c r="G1374" s="212"/>
      <c r="H1374" s="212"/>
      <c r="I1374" s="204"/>
      <c r="J1374" s="204"/>
      <c r="K1374" s="204"/>
      <c r="L1374" s="204"/>
      <c r="M1374" s="204"/>
      <c r="N1374" s="204"/>
      <c r="O1374" s="204"/>
      <c r="P1374" s="204"/>
      <c r="Q1374" s="204"/>
      <c r="R1374" s="204"/>
      <c r="S1374" s="204"/>
      <c r="T1374" s="204"/>
      <c r="U1374" s="204"/>
      <c r="V1374" s="204"/>
      <c r="W1374" s="204"/>
      <c r="X1374" s="204"/>
      <c r="Y1374" s="204"/>
      <c r="Z1374" s="204"/>
      <c r="AA1374" s="204"/>
      <c r="AB1374" s="204"/>
      <c r="AC1374" s="204"/>
      <c r="AD1374" s="204"/>
      <c r="AE1374" s="204"/>
      <c r="AF1374" s="204"/>
      <c r="AG1374" s="204"/>
      <c r="AH1374" s="204"/>
      <c r="AI1374" s="209"/>
      <c r="AJ1374" s="209"/>
      <c r="AK1374" s="204"/>
      <c r="AL1374" s="204"/>
      <c r="AM1374" s="204"/>
    </row>
    <row r="1375">
      <c r="A1375" s="204"/>
      <c r="B1375" s="209"/>
      <c r="C1375" s="204"/>
      <c r="D1375" s="210"/>
      <c r="E1375" s="211"/>
      <c r="F1375" s="211"/>
      <c r="G1375" s="212"/>
      <c r="H1375" s="212"/>
      <c r="I1375" s="204"/>
      <c r="J1375" s="204"/>
      <c r="K1375" s="204"/>
      <c r="L1375" s="204"/>
      <c r="M1375" s="204"/>
      <c r="N1375" s="204"/>
      <c r="O1375" s="204"/>
      <c r="P1375" s="204"/>
      <c r="Q1375" s="204"/>
      <c r="R1375" s="204"/>
      <c r="S1375" s="204"/>
      <c r="T1375" s="204"/>
      <c r="U1375" s="204"/>
      <c r="V1375" s="204"/>
      <c r="W1375" s="204"/>
      <c r="X1375" s="204"/>
      <c r="Y1375" s="204"/>
      <c r="Z1375" s="204"/>
      <c r="AA1375" s="204"/>
      <c r="AB1375" s="204"/>
      <c r="AC1375" s="204"/>
      <c r="AD1375" s="204"/>
      <c r="AE1375" s="204"/>
      <c r="AF1375" s="204"/>
      <c r="AG1375" s="204"/>
      <c r="AH1375" s="204"/>
      <c r="AI1375" s="209"/>
      <c r="AJ1375" s="209"/>
      <c r="AK1375" s="204"/>
      <c r="AL1375" s="204"/>
      <c r="AM1375" s="204"/>
    </row>
    <row r="1376">
      <c r="A1376" s="204"/>
      <c r="B1376" s="209"/>
      <c r="C1376" s="204"/>
      <c r="D1376" s="210"/>
      <c r="E1376" s="211"/>
      <c r="F1376" s="211"/>
      <c r="G1376" s="212"/>
      <c r="H1376" s="212"/>
      <c r="I1376" s="204"/>
      <c r="J1376" s="204"/>
      <c r="K1376" s="204"/>
      <c r="L1376" s="204"/>
      <c r="M1376" s="204"/>
      <c r="N1376" s="204"/>
      <c r="O1376" s="204"/>
      <c r="P1376" s="204"/>
      <c r="Q1376" s="204"/>
      <c r="R1376" s="204"/>
      <c r="S1376" s="204"/>
      <c r="T1376" s="204"/>
      <c r="U1376" s="204"/>
      <c r="V1376" s="204"/>
      <c r="W1376" s="204"/>
      <c r="X1376" s="204"/>
      <c r="Y1376" s="204"/>
      <c r="Z1376" s="204"/>
      <c r="AA1376" s="204"/>
      <c r="AB1376" s="204"/>
      <c r="AC1376" s="204"/>
      <c r="AD1376" s="204"/>
      <c r="AE1376" s="204"/>
      <c r="AF1376" s="204"/>
      <c r="AG1376" s="204"/>
      <c r="AH1376" s="204"/>
      <c r="AI1376" s="209"/>
      <c r="AJ1376" s="209"/>
      <c r="AK1376" s="204"/>
      <c r="AL1376" s="204"/>
      <c r="AM1376" s="204"/>
    </row>
    <row r="1377">
      <c r="A1377" s="204"/>
      <c r="B1377" s="209"/>
      <c r="C1377" s="204"/>
      <c r="D1377" s="210"/>
      <c r="E1377" s="211"/>
      <c r="F1377" s="211"/>
      <c r="G1377" s="212"/>
      <c r="H1377" s="212"/>
      <c r="I1377" s="204"/>
      <c r="J1377" s="204"/>
      <c r="K1377" s="204"/>
      <c r="L1377" s="204"/>
      <c r="M1377" s="204"/>
      <c r="N1377" s="204"/>
      <c r="O1377" s="204"/>
      <c r="P1377" s="204"/>
      <c r="Q1377" s="204"/>
      <c r="R1377" s="204"/>
      <c r="S1377" s="204"/>
      <c r="T1377" s="204"/>
      <c r="U1377" s="204"/>
      <c r="V1377" s="204"/>
      <c r="W1377" s="204"/>
      <c r="X1377" s="204"/>
      <c r="Y1377" s="204"/>
      <c r="Z1377" s="204"/>
      <c r="AA1377" s="204"/>
      <c r="AB1377" s="204"/>
      <c r="AC1377" s="204"/>
      <c r="AD1377" s="204"/>
      <c r="AE1377" s="204"/>
      <c r="AF1377" s="204"/>
      <c r="AG1377" s="204"/>
      <c r="AH1377" s="204"/>
      <c r="AI1377" s="209"/>
      <c r="AJ1377" s="209"/>
      <c r="AK1377" s="204"/>
      <c r="AL1377" s="204"/>
      <c r="AM1377" s="204"/>
    </row>
    <row r="1378">
      <c r="A1378" s="204"/>
      <c r="B1378" s="209"/>
      <c r="C1378" s="204"/>
      <c r="D1378" s="210"/>
      <c r="E1378" s="211"/>
      <c r="F1378" s="211"/>
      <c r="G1378" s="212"/>
      <c r="H1378" s="212"/>
      <c r="I1378" s="204"/>
      <c r="J1378" s="204"/>
      <c r="K1378" s="204"/>
      <c r="L1378" s="204"/>
      <c r="M1378" s="204"/>
      <c r="N1378" s="204"/>
      <c r="O1378" s="204"/>
      <c r="P1378" s="204"/>
      <c r="Q1378" s="204"/>
      <c r="R1378" s="204"/>
      <c r="S1378" s="204"/>
      <c r="T1378" s="204"/>
      <c r="U1378" s="204"/>
      <c r="V1378" s="204"/>
      <c r="W1378" s="204"/>
      <c r="X1378" s="204"/>
      <c r="Y1378" s="204"/>
      <c r="Z1378" s="204"/>
      <c r="AA1378" s="204"/>
      <c r="AB1378" s="204"/>
      <c r="AC1378" s="204"/>
      <c r="AD1378" s="204"/>
      <c r="AE1378" s="204"/>
      <c r="AF1378" s="204"/>
      <c r="AG1378" s="204"/>
      <c r="AH1378" s="204"/>
      <c r="AI1378" s="209"/>
      <c r="AJ1378" s="209"/>
      <c r="AK1378" s="204"/>
      <c r="AL1378" s="204"/>
      <c r="AM1378" s="204"/>
    </row>
    <row r="1379">
      <c r="A1379" s="204"/>
      <c r="B1379" s="209"/>
      <c r="C1379" s="204"/>
      <c r="D1379" s="210"/>
      <c r="E1379" s="211"/>
      <c r="F1379" s="211"/>
      <c r="G1379" s="212"/>
      <c r="H1379" s="212"/>
      <c r="I1379" s="204"/>
      <c r="J1379" s="204"/>
      <c r="K1379" s="204"/>
      <c r="L1379" s="204"/>
      <c r="M1379" s="204"/>
      <c r="N1379" s="204"/>
      <c r="O1379" s="204"/>
      <c r="P1379" s="204"/>
      <c r="Q1379" s="204"/>
      <c r="R1379" s="204"/>
      <c r="S1379" s="204"/>
      <c r="T1379" s="204"/>
      <c r="U1379" s="204"/>
      <c r="V1379" s="204"/>
      <c r="W1379" s="204"/>
      <c r="X1379" s="204"/>
      <c r="Y1379" s="204"/>
      <c r="Z1379" s="204"/>
      <c r="AA1379" s="204"/>
      <c r="AB1379" s="204"/>
      <c r="AC1379" s="204"/>
      <c r="AD1379" s="204"/>
      <c r="AE1379" s="204"/>
      <c r="AF1379" s="204"/>
      <c r="AG1379" s="204"/>
      <c r="AH1379" s="204"/>
      <c r="AI1379" s="209"/>
      <c r="AJ1379" s="209"/>
      <c r="AK1379" s="204"/>
      <c r="AL1379" s="204"/>
      <c r="AM1379" s="204"/>
    </row>
    <row r="1380">
      <c r="A1380" s="204"/>
      <c r="B1380" s="209"/>
      <c r="C1380" s="204"/>
      <c r="D1380" s="210"/>
      <c r="E1380" s="211"/>
      <c r="F1380" s="211"/>
      <c r="G1380" s="212"/>
      <c r="H1380" s="212"/>
      <c r="I1380" s="204"/>
      <c r="J1380" s="204"/>
      <c r="K1380" s="204"/>
      <c r="L1380" s="204"/>
      <c r="M1380" s="204"/>
      <c r="N1380" s="204"/>
      <c r="O1380" s="204"/>
      <c r="P1380" s="204"/>
      <c r="Q1380" s="204"/>
      <c r="R1380" s="204"/>
      <c r="S1380" s="204"/>
      <c r="T1380" s="204"/>
      <c r="U1380" s="204"/>
      <c r="V1380" s="204"/>
      <c r="W1380" s="204"/>
      <c r="X1380" s="204"/>
      <c r="Y1380" s="204"/>
      <c r="Z1380" s="204"/>
      <c r="AA1380" s="204"/>
      <c r="AB1380" s="204"/>
      <c r="AC1380" s="204"/>
      <c r="AD1380" s="204"/>
      <c r="AE1380" s="204"/>
      <c r="AF1380" s="204"/>
      <c r="AG1380" s="204"/>
      <c r="AH1380" s="204"/>
      <c r="AI1380" s="209"/>
      <c r="AJ1380" s="209"/>
      <c r="AK1380" s="204"/>
      <c r="AL1380" s="204"/>
      <c r="AM1380" s="204"/>
    </row>
    <row r="1381">
      <c r="A1381" s="204"/>
      <c r="B1381" s="209"/>
      <c r="C1381" s="204"/>
      <c r="D1381" s="210"/>
      <c r="E1381" s="211"/>
      <c r="F1381" s="211"/>
      <c r="G1381" s="212"/>
      <c r="H1381" s="212"/>
      <c r="I1381" s="204"/>
      <c r="J1381" s="204"/>
      <c r="K1381" s="204"/>
      <c r="L1381" s="204"/>
      <c r="M1381" s="204"/>
      <c r="N1381" s="204"/>
      <c r="O1381" s="204"/>
      <c r="P1381" s="204"/>
      <c r="Q1381" s="204"/>
      <c r="R1381" s="204"/>
      <c r="S1381" s="204"/>
      <c r="T1381" s="204"/>
      <c r="U1381" s="204"/>
      <c r="V1381" s="204"/>
      <c r="W1381" s="204"/>
      <c r="X1381" s="204"/>
      <c r="Y1381" s="204"/>
      <c r="Z1381" s="204"/>
      <c r="AA1381" s="204"/>
      <c r="AB1381" s="204"/>
      <c r="AC1381" s="204"/>
      <c r="AD1381" s="204"/>
      <c r="AE1381" s="204"/>
      <c r="AF1381" s="204"/>
      <c r="AG1381" s="204"/>
      <c r="AH1381" s="204"/>
      <c r="AI1381" s="209"/>
      <c r="AJ1381" s="209"/>
      <c r="AK1381" s="204"/>
      <c r="AL1381" s="204"/>
      <c r="AM1381" s="204"/>
    </row>
    <row r="1382">
      <c r="A1382" s="204"/>
      <c r="B1382" s="209"/>
      <c r="C1382" s="204"/>
      <c r="D1382" s="210"/>
      <c r="E1382" s="211"/>
      <c r="F1382" s="211"/>
      <c r="G1382" s="212"/>
      <c r="H1382" s="212"/>
      <c r="I1382" s="204"/>
      <c r="J1382" s="204"/>
      <c r="K1382" s="204"/>
      <c r="L1382" s="204"/>
      <c r="M1382" s="204"/>
      <c r="N1382" s="204"/>
      <c r="O1382" s="204"/>
      <c r="P1382" s="204"/>
      <c r="Q1382" s="204"/>
      <c r="R1382" s="204"/>
      <c r="S1382" s="204"/>
      <c r="T1382" s="204"/>
      <c r="U1382" s="204"/>
      <c r="V1382" s="204"/>
      <c r="W1382" s="204"/>
      <c r="X1382" s="204"/>
      <c r="Y1382" s="204"/>
      <c r="Z1382" s="204"/>
      <c r="AA1382" s="204"/>
      <c r="AB1382" s="204"/>
      <c r="AC1382" s="204"/>
      <c r="AD1382" s="204"/>
      <c r="AE1382" s="204"/>
      <c r="AF1382" s="204"/>
      <c r="AG1382" s="204"/>
      <c r="AH1382" s="204"/>
      <c r="AI1382" s="209"/>
      <c r="AJ1382" s="209"/>
      <c r="AK1382" s="204"/>
      <c r="AL1382" s="204"/>
      <c r="AM1382" s="204"/>
    </row>
    <row r="1383">
      <c r="A1383" s="204"/>
      <c r="B1383" s="209"/>
      <c r="C1383" s="204"/>
      <c r="D1383" s="210"/>
      <c r="E1383" s="211"/>
      <c r="F1383" s="211"/>
      <c r="G1383" s="212"/>
      <c r="H1383" s="212"/>
      <c r="I1383" s="204"/>
      <c r="J1383" s="204"/>
      <c r="K1383" s="204"/>
      <c r="L1383" s="204"/>
      <c r="M1383" s="204"/>
      <c r="N1383" s="204"/>
      <c r="O1383" s="204"/>
      <c r="P1383" s="204"/>
      <c r="Q1383" s="204"/>
      <c r="R1383" s="204"/>
      <c r="S1383" s="204"/>
      <c r="T1383" s="204"/>
      <c r="U1383" s="204"/>
      <c r="V1383" s="204"/>
      <c r="W1383" s="204"/>
      <c r="X1383" s="204"/>
      <c r="Y1383" s="204"/>
      <c r="Z1383" s="204"/>
      <c r="AA1383" s="204"/>
      <c r="AB1383" s="204"/>
      <c r="AC1383" s="204"/>
      <c r="AD1383" s="204"/>
      <c r="AE1383" s="204"/>
      <c r="AF1383" s="204"/>
      <c r="AG1383" s="204"/>
      <c r="AH1383" s="204"/>
      <c r="AI1383" s="209"/>
      <c r="AJ1383" s="209"/>
      <c r="AK1383" s="204"/>
      <c r="AL1383" s="204"/>
      <c r="AM1383" s="204"/>
    </row>
    <row r="1384">
      <c r="A1384" s="204"/>
      <c r="B1384" s="209"/>
      <c r="C1384" s="204"/>
      <c r="D1384" s="210"/>
      <c r="E1384" s="211"/>
      <c r="F1384" s="211"/>
      <c r="G1384" s="212"/>
      <c r="H1384" s="212"/>
      <c r="I1384" s="204"/>
      <c r="J1384" s="204"/>
      <c r="K1384" s="204"/>
      <c r="L1384" s="204"/>
      <c r="M1384" s="204"/>
      <c r="N1384" s="204"/>
      <c r="O1384" s="204"/>
      <c r="P1384" s="204"/>
      <c r="Q1384" s="204"/>
      <c r="R1384" s="204"/>
      <c r="S1384" s="204"/>
      <c r="T1384" s="204"/>
      <c r="U1384" s="204"/>
      <c r="V1384" s="204"/>
      <c r="W1384" s="204"/>
      <c r="X1384" s="204"/>
      <c r="Y1384" s="204"/>
      <c r="Z1384" s="204"/>
      <c r="AA1384" s="204"/>
      <c r="AB1384" s="204"/>
      <c r="AC1384" s="204"/>
      <c r="AD1384" s="204"/>
      <c r="AE1384" s="204"/>
      <c r="AF1384" s="204"/>
      <c r="AG1384" s="204"/>
      <c r="AH1384" s="204"/>
      <c r="AI1384" s="209"/>
      <c r="AJ1384" s="209"/>
      <c r="AK1384" s="204"/>
      <c r="AL1384" s="204"/>
      <c r="AM1384" s="204"/>
    </row>
    <row r="1385">
      <c r="A1385" s="204"/>
      <c r="B1385" s="209"/>
      <c r="C1385" s="204"/>
      <c r="D1385" s="210"/>
      <c r="E1385" s="211"/>
      <c r="F1385" s="211"/>
      <c r="G1385" s="212"/>
      <c r="H1385" s="212"/>
      <c r="I1385" s="204"/>
      <c r="J1385" s="204"/>
      <c r="K1385" s="204"/>
      <c r="L1385" s="204"/>
      <c r="M1385" s="204"/>
      <c r="N1385" s="204"/>
      <c r="O1385" s="204"/>
      <c r="P1385" s="204"/>
      <c r="Q1385" s="204"/>
      <c r="R1385" s="204"/>
      <c r="S1385" s="204"/>
      <c r="T1385" s="204"/>
      <c r="U1385" s="204"/>
      <c r="V1385" s="204"/>
      <c r="W1385" s="204"/>
      <c r="X1385" s="204"/>
      <c r="Y1385" s="204"/>
      <c r="Z1385" s="204"/>
      <c r="AA1385" s="204"/>
      <c r="AB1385" s="204"/>
      <c r="AC1385" s="204"/>
      <c r="AD1385" s="204"/>
      <c r="AE1385" s="204"/>
      <c r="AF1385" s="204"/>
      <c r="AG1385" s="204"/>
      <c r="AH1385" s="204"/>
      <c r="AI1385" s="209"/>
      <c r="AJ1385" s="209"/>
      <c r="AK1385" s="204"/>
      <c r="AL1385" s="204"/>
      <c r="AM1385" s="204"/>
    </row>
    <row r="1386">
      <c r="A1386" s="204"/>
      <c r="B1386" s="209"/>
      <c r="C1386" s="204"/>
      <c r="D1386" s="210"/>
      <c r="E1386" s="211"/>
      <c r="F1386" s="211"/>
      <c r="G1386" s="212"/>
      <c r="H1386" s="212"/>
      <c r="I1386" s="204"/>
      <c r="J1386" s="204"/>
      <c r="K1386" s="204"/>
      <c r="L1386" s="204"/>
      <c r="M1386" s="204"/>
      <c r="N1386" s="204"/>
      <c r="O1386" s="204"/>
      <c r="P1386" s="204"/>
      <c r="Q1386" s="204"/>
      <c r="R1386" s="204"/>
      <c r="S1386" s="204"/>
      <c r="T1386" s="204"/>
      <c r="U1386" s="204"/>
      <c r="V1386" s="204"/>
      <c r="W1386" s="204"/>
      <c r="X1386" s="204"/>
      <c r="Y1386" s="204"/>
      <c r="Z1386" s="204"/>
      <c r="AA1386" s="204"/>
      <c r="AB1386" s="204"/>
      <c r="AC1386" s="204"/>
      <c r="AD1386" s="204"/>
      <c r="AE1386" s="204"/>
      <c r="AF1386" s="204"/>
      <c r="AG1386" s="204"/>
      <c r="AH1386" s="204"/>
      <c r="AI1386" s="209"/>
      <c r="AJ1386" s="209"/>
      <c r="AK1386" s="204"/>
      <c r="AL1386" s="204"/>
      <c r="AM1386" s="204"/>
    </row>
    <row r="1387">
      <c r="A1387" s="204"/>
      <c r="B1387" s="209"/>
      <c r="C1387" s="204"/>
      <c r="D1387" s="210"/>
      <c r="E1387" s="211"/>
      <c r="F1387" s="211"/>
      <c r="G1387" s="212"/>
      <c r="H1387" s="212"/>
      <c r="I1387" s="204"/>
      <c r="J1387" s="204"/>
      <c r="K1387" s="204"/>
      <c r="L1387" s="204"/>
      <c r="M1387" s="204"/>
      <c r="N1387" s="204"/>
      <c r="O1387" s="204"/>
      <c r="P1387" s="204"/>
      <c r="Q1387" s="204"/>
      <c r="R1387" s="204"/>
      <c r="S1387" s="204"/>
      <c r="T1387" s="204"/>
      <c r="U1387" s="204"/>
      <c r="V1387" s="204"/>
      <c r="W1387" s="204"/>
      <c r="X1387" s="204"/>
      <c r="Y1387" s="204"/>
      <c r="Z1387" s="204"/>
      <c r="AA1387" s="204"/>
      <c r="AB1387" s="204"/>
      <c r="AC1387" s="204"/>
      <c r="AD1387" s="204"/>
      <c r="AE1387" s="204"/>
      <c r="AF1387" s="204"/>
      <c r="AG1387" s="204"/>
      <c r="AH1387" s="204"/>
      <c r="AI1387" s="209"/>
      <c r="AJ1387" s="209"/>
      <c r="AK1387" s="204"/>
      <c r="AL1387" s="204"/>
      <c r="AM1387" s="204"/>
    </row>
    <row r="1388">
      <c r="A1388" s="204"/>
      <c r="B1388" s="209"/>
      <c r="C1388" s="204"/>
      <c r="D1388" s="210"/>
      <c r="E1388" s="211"/>
      <c r="F1388" s="211"/>
      <c r="G1388" s="212"/>
      <c r="H1388" s="212"/>
      <c r="I1388" s="204"/>
      <c r="J1388" s="204"/>
      <c r="K1388" s="204"/>
      <c r="L1388" s="204"/>
      <c r="M1388" s="204"/>
      <c r="N1388" s="204"/>
      <c r="O1388" s="204"/>
      <c r="P1388" s="204"/>
      <c r="Q1388" s="204"/>
      <c r="R1388" s="204"/>
      <c r="S1388" s="204"/>
      <c r="T1388" s="204"/>
      <c r="U1388" s="204"/>
      <c r="V1388" s="204"/>
      <c r="W1388" s="204"/>
      <c r="X1388" s="204"/>
      <c r="Y1388" s="204"/>
      <c r="Z1388" s="204"/>
      <c r="AA1388" s="204"/>
      <c r="AB1388" s="204"/>
      <c r="AC1388" s="204"/>
      <c r="AD1388" s="204"/>
      <c r="AE1388" s="204"/>
      <c r="AF1388" s="204"/>
      <c r="AG1388" s="204"/>
      <c r="AH1388" s="204"/>
      <c r="AI1388" s="209"/>
      <c r="AJ1388" s="209"/>
      <c r="AK1388" s="204"/>
      <c r="AL1388" s="204"/>
      <c r="AM1388" s="204"/>
    </row>
    <row r="1389">
      <c r="A1389" s="204"/>
      <c r="B1389" s="209"/>
      <c r="C1389" s="204"/>
      <c r="D1389" s="210"/>
      <c r="E1389" s="211"/>
      <c r="F1389" s="211"/>
      <c r="G1389" s="212"/>
      <c r="H1389" s="212"/>
      <c r="I1389" s="204"/>
      <c r="J1389" s="204"/>
      <c r="K1389" s="204"/>
      <c r="L1389" s="204"/>
      <c r="M1389" s="204"/>
      <c r="N1389" s="204"/>
      <c r="O1389" s="204"/>
      <c r="P1389" s="204"/>
      <c r="Q1389" s="204"/>
      <c r="R1389" s="204"/>
      <c r="S1389" s="204"/>
      <c r="T1389" s="204"/>
      <c r="U1389" s="204"/>
      <c r="V1389" s="204"/>
      <c r="W1389" s="204"/>
      <c r="X1389" s="204"/>
      <c r="Y1389" s="204"/>
      <c r="Z1389" s="204"/>
      <c r="AA1389" s="204"/>
      <c r="AB1389" s="204"/>
      <c r="AC1389" s="204"/>
      <c r="AD1389" s="204"/>
      <c r="AE1389" s="204"/>
      <c r="AF1389" s="204"/>
      <c r="AG1389" s="204"/>
      <c r="AH1389" s="204"/>
      <c r="AI1389" s="209"/>
      <c r="AJ1389" s="209"/>
      <c r="AK1389" s="204"/>
      <c r="AL1389" s="204"/>
      <c r="AM1389" s="204"/>
    </row>
    <row r="1390">
      <c r="A1390" s="204"/>
      <c r="B1390" s="209"/>
      <c r="C1390" s="204"/>
      <c r="D1390" s="210"/>
      <c r="E1390" s="211"/>
      <c r="F1390" s="211"/>
      <c r="G1390" s="212"/>
      <c r="H1390" s="212"/>
      <c r="I1390" s="204"/>
      <c r="J1390" s="204"/>
      <c r="K1390" s="204"/>
      <c r="L1390" s="204"/>
      <c r="M1390" s="204"/>
      <c r="N1390" s="204"/>
      <c r="O1390" s="204"/>
      <c r="P1390" s="204"/>
      <c r="Q1390" s="204"/>
      <c r="R1390" s="204"/>
      <c r="S1390" s="204"/>
      <c r="T1390" s="204"/>
      <c r="U1390" s="204"/>
      <c r="V1390" s="204"/>
      <c r="W1390" s="204"/>
      <c r="X1390" s="204"/>
      <c r="Y1390" s="204"/>
      <c r="Z1390" s="204"/>
      <c r="AA1390" s="204"/>
      <c r="AB1390" s="204"/>
      <c r="AC1390" s="204"/>
      <c r="AD1390" s="204"/>
      <c r="AE1390" s="204"/>
      <c r="AF1390" s="204"/>
      <c r="AG1390" s="204"/>
      <c r="AH1390" s="204"/>
      <c r="AI1390" s="209"/>
      <c r="AJ1390" s="209"/>
      <c r="AK1390" s="204"/>
      <c r="AL1390" s="204"/>
      <c r="AM1390" s="204"/>
    </row>
    <row r="1391">
      <c r="A1391" s="204"/>
      <c r="B1391" s="209"/>
      <c r="C1391" s="204"/>
      <c r="D1391" s="210"/>
      <c r="E1391" s="211"/>
      <c r="F1391" s="211"/>
      <c r="G1391" s="212"/>
      <c r="H1391" s="212"/>
      <c r="I1391" s="204"/>
      <c r="J1391" s="204"/>
      <c r="K1391" s="204"/>
      <c r="L1391" s="204"/>
      <c r="M1391" s="204"/>
      <c r="N1391" s="204"/>
      <c r="O1391" s="204"/>
      <c r="P1391" s="204"/>
      <c r="Q1391" s="204"/>
      <c r="R1391" s="204"/>
      <c r="S1391" s="204"/>
      <c r="T1391" s="204"/>
      <c r="U1391" s="204"/>
      <c r="V1391" s="204"/>
      <c r="W1391" s="204"/>
      <c r="X1391" s="204"/>
      <c r="Y1391" s="204"/>
      <c r="Z1391" s="204"/>
      <c r="AA1391" s="204"/>
      <c r="AB1391" s="204"/>
      <c r="AC1391" s="204"/>
      <c r="AD1391" s="204"/>
      <c r="AE1391" s="204"/>
      <c r="AF1391" s="204"/>
      <c r="AG1391" s="204"/>
      <c r="AH1391" s="204"/>
      <c r="AI1391" s="209"/>
      <c r="AJ1391" s="209"/>
      <c r="AK1391" s="204"/>
      <c r="AL1391" s="204"/>
      <c r="AM1391" s="204"/>
    </row>
    <row r="1392">
      <c r="A1392" s="204"/>
      <c r="B1392" s="209"/>
      <c r="C1392" s="204"/>
      <c r="D1392" s="210"/>
      <c r="E1392" s="211"/>
      <c r="F1392" s="211"/>
      <c r="G1392" s="212"/>
      <c r="H1392" s="212"/>
      <c r="I1392" s="204"/>
      <c r="J1392" s="204"/>
      <c r="K1392" s="204"/>
      <c r="L1392" s="204"/>
      <c r="M1392" s="204"/>
      <c r="N1392" s="204"/>
      <c r="O1392" s="204"/>
      <c r="P1392" s="204"/>
      <c r="Q1392" s="204"/>
      <c r="R1392" s="204"/>
      <c r="S1392" s="204"/>
      <c r="T1392" s="204"/>
      <c r="U1392" s="204"/>
      <c r="V1392" s="204"/>
      <c r="W1392" s="204"/>
      <c r="X1392" s="204"/>
      <c r="Y1392" s="204"/>
      <c r="Z1392" s="204"/>
      <c r="AA1392" s="204"/>
      <c r="AB1392" s="204"/>
      <c r="AC1392" s="204"/>
      <c r="AD1392" s="204"/>
      <c r="AE1392" s="204"/>
      <c r="AF1392" s="204"/>
      <c r="AG1392" s="204"/>
      <c r="AH1392" s="204"/>
      <c r="AI1392" s="209"/>
      <c r="AJ1392" s="209"/>
      <c r="AK1392" s="204"/>
      <c r="AL1392" s="204"/>
      <c r="AM1392" s="204"/>
    </row>
    <row r="1393">
      <c r="A1393" s="204"/>
      <c r="B1393" s="209"/>
      <c r="C1393" s="204"/>
      <c r="D1393" s="210"/>
      <c r="E1393" s="211"/>
      <c r="F1393" s="211"/>
      <c r="G1393" s="212"/>
      <c r="H1393" s="212"/>
      <c r="I1393" s="204"/>
      <c r="J1393" s="204"/>
      <c r="K1393" s="204"/>
      <c r="L1393" s="204"/>
      <c r="M1393" s="204"/>
      <c r="N1393" s="204"/>
      <c r="O1393" s="204"/>
      <c r="P1393" s="204"/>
      <c r="Q1393" s="204"/>
      <c r="R1393" s="204"/>
      <c r="S1393" s="204"/>
      <c r="T1393" s="204"/>
      <c r="U1393" s="204"/>
      <c r="V1393" s="204"/>
      <c r="W1393" s="204"/>
      <c r="X1393" s="204"/>
      <c r="Y1393" s="204"/>
      <c r="Z1393" s="204"/>
      <c r="AA1393" s="204"/>
      <c r="AB1393" s="204"/>
      <c r="AC1393" s="204"/>
      <c r="AD1393" s="204"/>
      <c r="AE1393" s="204"/>
      <c r="AF1393" s="204"/>
      <c r="AG1393" s="204"/>
      <c r="AH1393" s="204"/>
      <c r="AI1393" s="209"/>
      <c r="AJ1393" s="209"/>
      <c r="AK1393" s="204"/>
      <c r="AL1393" s="204"/>
      <c r="AM1393" s="204"/>
    </row>
    <row r="1394">
      <c r="A1394" s="204"/>
      <c r="B1394" s="209"/>
      <c r="C1394" s="204"/>
      <c r="D1394" s="210"/>
      <c r="E1394" s="211"/>
      <c r="F1394" s="211"/>
      <c r="G1394" s="212"/>
      <c r="H1394" s="212"/>
      <c r="I1394" s="204"/>
      <c r="J1394" s="204"/>
      <c r="K1394" s="204"/>
      <c r="L1394" s="204"/>
      <c r="M1394" s="204"/>
      <c r="N1394" s="204"/>
      <c r="O1394" s="204"/>
      <c r="P1394" s="204"/>
      <c r="Q1394" s="204"/>
      <c r="R1394" s="204"/>
      <c r="S1394" s="204"/>
      <c r="T1394" s="204"/>
      <c r="U1394" s="204"/>
      <c r="V1394" s="204"/>
      <c r="W1394" s="204"/>
      <c r="X1394" s="204"/>
      <c r="Y1394" s="204"/>
      <c r="Z1394" s="204"/>
      <c r="AA1394" s="204"/>
      <c r="AB1394" s="204"/>
      <c r="AC1394" s="204"/>
      <c r="AD1394" s="204"/>
      <c r="AE1394" s="204"/>
      <c r="AF1394" s="204"/>
      <c r="AG1394" s="204"/>
      <c r="AH1394" s="204"/>
      <c r="AI1394" s="209"/>
      <c r="AJ1394" s="209"/>
      <c r="AK1394" s="204"/>
      <c r="AL1394" s="204"/>
      <c r="AM1394" s="204"/>
    </row>
    <row r="1395">
      <c r="A1395" s="204"/>
      <c r="B1395" s="209"/>
      <c r="C1395" s="204"/>
      <c r="D1395" s="210"/>
      <c r="E1395" s="211"/>
      <c r="F1395" s="211"/>
      <c r="G1395" s="212"/>
      <c r="H1395" s="212"/>
      <c r="I1395" s="204"/>
      <c r="J1395" s="204"/>
      <c r="K1395" s="204"/>
      <c r="L1395" s="204"/>
      <c r="M1395" s="204"/>
      <c r="N1395" s="204"/>
      <c r="O1395" s="204"/>
      <c r="P1395" s="204"/>
      <c r="Q1395" s="204"/>
      <c r="R1395" s="204"/>
      <c r="S1395" s="204"/>
      <c r="T1395" s="204"/>
      <c r="U1395" s="204"/>
      <c r="V1395" s="204"/>
      <c r="W1395" s="204"/>
      <c r="X1395" s="204"/>
      <c r="Y1395" s="204"/>
      <c r="Z1395" s="204"/>
      <c r="AA1395" s="204"/>
      <c r="AB1395" s="204"/>
      <c r="AC1395" s="204"/>
      <c r="AD1395" s="204"/>
      <c r="AE1395" s="204"/>
      <c r="AF1395" s="204"/>
      <c r="AG1395" s="204"/>
      <c r="AH1395" s="204"/>
      <c r="AI1395" s="209"/>
      <c r="AJ1395" s="209"/>
      <c r="AK1395" s="204"/>
      <c r="AL1395" s="204"/>
      <c r="AM1395" s="204"/>
    </row>
    <row r="1396">
      <c r="A1396" s="204"/>
      <c r="B1396" s="209"/>
      <c r="C1396" s="204"/>
      <c r="D1396" s="210"/>
      <c r="E1396" s="211"/>
      <c r="F1396" s="211"/>
      <c r="G1396" s="212"/>
      <c r="H1396" s="212"/>
      <c r="I1396" s="204"/>
      <c r="J1396" s="204"/>
      <c r="K1396" s="204"/>
      <c r="L1396" s="204"/>
      <c r="M1396" s="204"/>
      <c r="N1396" s="204"/>
      <c r="O1396" s="204"/>
      <c r="P1396" s="204"/>
      <c r="Q1396" s="204"/>
      <c r="R1396" s="204"/>
      <c r="S1396" s="204"/>
      <c r="T1396" s="204"/>
      <c r="U1396" s="204"/>
      <c r="V1396" s="204"/>
      <c r="W1396" s="204"/>
      <c r="X1396" s="204"/>
      <c r="Y1396" s="204"/>
      <c r="Z1396" s="204"/>
      <c r="AA1396" s="204"/>
      <c r="AB1396" s="204"/>
      <c r="AC1396" s="204"/>
      <c r="AD1396" s="204"/>
      <c r="AE1396" s="204"/>
      <c r="AF1396" s="204"/>
      <c r="AG1396" s="204"/>
      <c r="AH1396" s="204"/>
      <c r="AI1396" s="209"/>
      <c r="AJ1396" s="209"/>
      <c r="AK1396" s="204"/>
      <c r="AL1396" s="204"/>
      <c r="AM1396" s="204"/>
    </row>
    <row r="1397">
      <c r="A1397" s="204"/>
      <c r="B1397" s="209"/>
      <c r="C1397" s="204"/>
      <c r="D1397" s="210"/>
      <c r="E1397" s="211"/>
      <c r="F1397" s="211"/>
      <c r="G1397" s="212"/>
      <c r="H1397" s="212"/>
      <c r="I1397" s="204"/>
      <c r="J1397" s="204"/>
      <c r="K1397" s="204"/>
      <c r="L1397" s="204"/>
      <c r="M1397" s="204"/>
      <c r="N1397" s="204"/>
      <c r="O1397" s="204"/>
      <c r="P1397" s="204"/>
      <c r="Q1397" s="204"/>
      <c r="R1397" s="204"/>
      <c r="S1397" s="204"/>
      <c r="T1397" s="204"/>
      <c r="U1397" s="204"/>
      <c r="V1397" s="204"/>
      <c r="W1397" s="204"/>
      <c r="X1397" s="204"/>
      <c r="Y1397" s="204"/>
      <c r="Z1397" s="204"/>
      <c r="AA1397" s="204"/>
      <c r="AB1397" s="204"/>
      <c r="AC1397" s="204"/>
      <c r="AD1397" s="204"/>
      <c r="AE1397" s="204"/>
      <c r="AF1397" s="204"/>
      <c r="AG1397" s="204"/>
      <c r="AH1397" s="204"/>
      <c r="AI1397" s="209"/>
      <c r="AJ1397" s="209"/>
      <c r="AK1397" s="204"/>
      <c r="AL1397" s="204"/>
      <c r="AM1397" s="204"/>
    </row>
    <row r="1398">
      <c r="A1398" s="204"/>
      <c r="B1398" s="209"/>
      <c r="C1398" s="204"/>
      <c r="D1398" s="210"/>
      <c r="E1398" s="211"/>
      <c r="F1398" s="211"/>
      <c r="G1398" s="212"/>
      <c r="H1398" s="212"/>
      <c r="I1398" s="204"/>
      <c r="J1398" s="204"/>
      <c r="K1398" s="204"/>
      <c r="L1398" s="204"/>
      <c r="M1398" s="204"/>
      <c r="N1398" s="204"/>
      <c r="O1398" s="204"/>
      <c r="P1398" s="204"/>
      <c r="Q1398" s="204"/>
      <c r="R1398" s="204"/>
      <c r="S1398" s="204"/>
      <c r="T1398" s="204"/>
      <c r="U1398" s="204"/>
      <c r="V1398" s="204"/>
      <c r="W1398" s="204"/>
      <c r="X1398" s="204"/>
      <c r="Y1398" s="204"/>
      <c r="Z1398" s="204"/>
      <c r="AA1398" s="204"/>
      <c r="AB1398" s="204"/>
      <c r="AC1398" s="204"/>
      <c r="AD1398" s="204"/>
      <c r="AE1398" s="204"/>
      <c r="AF1398" s="204"/>
      <c r="AG1398" s="204"/>
      <c r="AH1398" s="204"/>
      <c r="AI1398" s="209"/>
      <c r="AJ1398" s="209"/>
      <c r="AK1398" s="204"/>
      <c r="AL1398" s="204"/>
      <c r="AM1398" s="204"/>
    </row>
    <row r="1399">
      <c r="A1399" s="204"/>
      <c r="B1399" s="209"/>
      <c r="C1399" s="204"/>
      <c r="D1399" s="210"/>
      <c r="E1399" s="211"/>
      <c r="F1399" s="211"/>
      <c r="G1399" s="212"/>
      <c r="H1399" s="212"/>
      <c r="I1399" s="204"/>
      <c r="J1399" s="204"/>
      <c r="K1399" s="204"/>
      <c r="L1399" s="204"/>
      <c r="M1399" s="204"/>
      <c r="N1399" s="204"/>
      <c r="O1399" s="204"/>
      <c r="P1399" s="204"/>
      <c r="Q1399" s="204"/>
      <c r="R1399" s="204"/>
      <c r="S1399" s="204"/>
      <c r="T1399" s="204"/>
      <c r="U1399" s="204"/>
      <c r="V1399" s="204"/>
      <c r="W1399" s="204"/>
      <c r="X1399" s="204"/>
      <c r="Y1399" s="204"/>
      <c r="Z1399" s="204"/>
      <c r="AA1399" s="204"/>
      <c r="AB1399" s="204"/>
      <c r="AC1399" s="204"/>
      <c r="AD1399" s="204"/>
      <c r="AE1399" s="204"/>
      <c r="AF1399" s="204"/>
      <c r="AG1399" s="204"/>
      <c r="AH1399" s="204"/>
      <c r="AI1399" s="209"/>
      <c r="AJ1399" s="209"/>
      <c r="AK1399" s="204"/>
      <c r="AL1399" s="204"/>
      <c r="AM1399" s="204"/>
    </row>
    <row r="1400">
      <c r="A1400" s="204"/>
      <c r="B1400" s="209"/>
      <c r="C1400" s="204"/>
      <c r="D1400" s="210"/>
      <c r="E1400" s="211"/>
      <c r="F1400" s="211"/>
      <c r="G1400" s="212"/>
      <c r="H1400" s="212"/>
      <c r="I1400" s="204"/>
      <c r="J1400" s="204"/>
      <c r="K1400" s="204"/>
      <c r="L1400" s="204"/>
      <c r="M1400" s="204"/>
      <c r="N1400" s="204"/>
      <c r="O1400" s="204"/>
      <c r="P1400" s="204"/>
      <c r="Q1400" s="204"/>
      <c r="R1400" s="204"/>
      <c r="S1400" s="204"/>
      <c r="T1400" s="204"/>
      <c r="U1400" s="204"/>
      <c r="V1400" s="204"/>
      <c r="W1400" s="204"/>
      <c r="X1400" s="204"/>
      <c r="Y1400" s="204"/>
      <c r="Z1400" s="204"/>
      <c r="AA1400" s="204"/>
      <c r="AB1400" s="204"/>
      <c r="AC1400" s="204"/>
      <c r="AD1400" s="204"/>
      <c r="AE1400" s="204"/>
      <c r="AF1400" s="204"/>
      <c r="AG1400" s="204"/>
      <c r="AH1400" s="204"/>
      <c r="AI1400" s="209"/>
      <c r="AJ1400" s="209"/>
      <c r="AK1400" s="204"/>
      <c r="AL1400" s="204"/>
      <c r="AM1400" s="204"/>
    </row>
    <row r="1401">
      <c r="A1401" s="204"/>
      <c r="B1401" s="209"/>
      <c r="C1401" s="204"/>
      <c r="D1401" s="210"/>
      <c r="E1401" s="211"/>
      <c r="F1401" s="211"/>
      <c r="G1401" s="212"/>
      <c r="H1401" s="212"/>
      <c r="I1401" s="204"/>
      <c r="J1401" s="204"/>
      <c r="K1401" s="204"/>
      <c r="L1401" s="204"/>
      <c r="M1401" s="204"/>
      <c r="N1401" s="204"/>
      <c r="O1401" s="204"/>
      <c r="P1401" s="204"/>
      <c r="Q1401" s="204"/>
      <c r="R1401" s="204"/>
      <c r="S1401" s="204"/>
      <c r="T1401" s="204"/>
      <c r="U1401" s="204"/>
      <c r="V1401" s="204"/>
      <c r="W1401" s="204"/>
      <c r="X1401" s="204"/>
      <c r="Y1401" s="204"/>
      <c r="Z1401" s="204"/>
      <c r="AA1401" s="204"/>
      <c r="AB1401" s="204"/>
      <c r="AC1401" s="204"/>
      <c r="AD1401" s="204"/>
      <c r="AE1401" s="204"/>
      <c r="AF1401" s="204"/>
      <c r="AG1401" s="204"/>
      <c r="AH1401" s="204"/>
      <c r="AI1401" s="209"/>
      <c r="AJ1401" s="209"/>
      <c r="AK1401" s="204"/>
      <c r="AL1401" s="204"/>
      <c r="AM1401" s="204"/>
    </row>
    <row r="1402">
      <c r="A1402" s="204"/>
      <c r="B1402" s="209"/>
      <c r="C1402" s="204"/>
      <c r="D1402" s="210"/>
      <c r="E1402" s="211"/>
      <c r="F1402" s="211"/>
      <c r="G1402" s="212"/>
      <c r="H1402" s="212"/>
      <c r="I1402" s="204"/>
      <c r="J1402" s="204"/>
      <c r="K1402" s="204"/>
      <c r="L1402" s="204"/>
      <c r="M1402" s="204"/>
      <c r="N1402" s="204"/>
      <c r="O1402" s="204"/>
      <c r="P1402" s="204"/>
      <c r="Q1402" s="204"/>
      <c r="R1402" s="204"/>
      <c r="S1402" s="204"/>
      <c r="T1402" s="204"/>
      <c r="U1402" s="204"/>
      <c r="V1402" s="204"/>
      <c r="W1402" s="204"/>
      <c r="X1402" s="204"/>
      <c r="Y1402" s="204"/>
      <c r="Z1402" s="204"/>
      <c r="AA1402" s="204"/>
      <c r="AB1402" s="204"/>
      <c r="AC1402" s="204"/>
      <c r="AD1402" s="204"/>
      <c r="AE1402" s="204"/>
      <c r="AF1402" s="204"/>
      <c r="AG1402" s="204"/>
      <c r="AH1402" s="204"/>
      <c r="AI1402" s="209"/>
      <c r="AJ1402" s="209"/>
      <c r="AK1402" s="204"/>
      <c r="AL1402" s="204"/>
      <c r="AM1402" s="204"/>
    </row>
    <row r="1403">
      <c r="A1403" s="204"/>
      <c r="B1403" s="209"/>
      <c r="C1403" s="204"/>
      <c r="D1403" s="210"/>
      <c r="E1403" s="211"/>
      <c r="F1403" s="211"/>
      <c r="G1403" s="212"/>
      <c r="H1403" s="212"/>
      <c r="I1403" s="204"/>
      <c r="J1403" s="204"/>
      <c r="K1403" s="204"/>
      <c r="L1403" s="204"/>
      <c r="M1403" s="204"/>
      <c r="N1403" s="204"/>
      <c r="O1403" s="204"/>
      <c r="P1403" s="204"/>
      <c r="Q1403" s="204"/>
      <c r="R1403" s="204"/>
      <c r="S1403" s="204"/>
      <c r="T1403" s="204"/>
      <c r="U1403" s="204"/>
      <c r="V1403" s="204"/>
      <c r="W1403" s="204"/>
      <c r="X1403" s="204"/>
      <c r="Y1403" s="204"/>
      <c r="Z1403" s="204"/>
      <c r="AA1403" s="204"/>
      <c r="AB1403" s="204"/>
      <c r="AC1403" s="204"/>
      <c r="AD1403" s="204"/>
      <c r="AE1403" s="204"/>
      <c r="AF1403" s="204"/>
      <c r="AG1403" s="204"/>
      <c r="AH1403" s="204"/>
      <c r="AI1403" s="209"/>
      <c r="AJ1403" s="209"/>
      <c r="AK1403" s="204"/>
      <c r="AL1403" s="204"/>
      <c r="AM1403" s="204"/>
    </row>
    <row r="1404">
      <c r="A1404" s="204"/>
      <c r="B1404" s="209"/>
      <c r="C1404" s="204"/>
      <c r="D1404" s="210"/>
      <c r="E1404" s="211"/>
      <c r="F1404" s="211"/>
      <c r="G1404" s="212"/>
      <c r="H1404" s="212"/>
      <c r="I1404" s="204"/>
      <c r="J1404" s="204"/>
      <c r="K1404" s="204"/>
      <c r="L1404" s="204"/>
      <c r="M1404" s="204"/>
      <c r="N1404" s="204"/>
      <c r="O1404" s="204"/>
      <c r="P1404" s="204"/>
      <c r="Q1404" s="204"/>
      <c r="R1404" s="204"/>
      <c r="S1404" s="204"/>
      <c r="T1404" s="204"/>
      <c r="U1404" s="204"/>
      <c r="V1404" s="204"/>
      <c r="W1404" s="204"/>
      <c r="X1404" s="204"/>
      <c r="Y1404" s="204"/>
      <c r="Z1404" s="204"/>
      <c r="AA1404" s="204"/>
      <c r="AB1404" s="204"/>
      <c r="AC1404" s="204"/>
      <c r="AD1404" s="204"/>
      <c r="AE1404" s="204"/>
      <c r="AF1404" s="204"/>
      <c r="AG1404" s="204"/>
      <c r="AH1404" s="204"/>
      <c r="AI1404" s="209"/>
      <c r="AJ1404" s="209"/>
      <c r="AK1404" s="204"/>
      <c r="AL1404" s="204"/>
      <c r="AM1404" s="204"/>
    </row>
    <row r="1405">
      <c r="A1405" s="204"/>
      <c r="B1405" s="209"/>
      <c r="C1405" s="204"/>
      <c r="D1405" s="210"/>
      <c r="E1405" s="211"/>
      <c r="F1405" s="211"/>
      <c r="G1405" s="212"/>
      <c r="H1405" s="212"/>
      <c r="I1405" s="204"/>
      <c r="J1405" s="204"/>
      <c r="K1405" s="204"/>
      <c r="L1405" s="204"/>
      <c r="M1405" s="204"/>
      <c r="N1405" s="204"/>
      <c r="O1405" s="204"/>
      <c r="P1405" s="204"/>
      <c r="Q1405" s="204"/>
      <c r="R1405" s="204"/>
      <c r="S1405" s="204"/>
      <c r="T1405" s="204"/>
      <c r="U1405" s="204"/>
      <c r="V1405" s="204"/>
      <c r="W1405" s="204"/>
      <c r="X1405" s="204"/>
      <c r="Y1405" s="204"/>
      <c r="Z1405" s="204"/>
      <c r="AA1405" s="204"/>
      <c r="AB1405" s="204"/>
      <c r="AC1405" s="204"/>
      <c r="AD1405" s="204"/>
      <c r="AE1405" s="204"/>
      <c r="AF1405" s="204"/>
      <c r="AG1405" s="204"/>
      <c r="AH1405" s="204"/>
      <c r="AI1405" s="209"/>
      <c r="AJ1405" s="209"/>
      <c r="AK1405" s="204"/>
      <c r="AL1405" s="204"/>
      <c r="AM1405" s="204"/>
    </row>
    <row r="1406">
      <c r="A1406" s="204"/>
      <c r="B1406" s="209"/>
      <c r="C1406" s="204"/>
      <c r="D1406" s="210"/>
      <c r="E1406" s="211"/>
      <c r="F1406" s="211"/>
      <c r="G1406" s="212"/>
      <c r="H1406" s="212"/>
      <c r="I1406" s="204"/>
      <c r="J1406" s="204"/>
      <c r="K1406" s="204"/>
      <c r="L1406" s="204"/>
      <c r="M1406" s="204"/>
      <c r="N1406" s="204"/>
      <c r="O1406" s="204"/>
      <c r="P1406" s="204"/>
      <c r="Q1406" s="204"/>
      <c r="R1406" s="204"/>
      <c r="S1406" s="204"/>
      <c r="T1406" s="204"/>
      <c r="U1406" s="204"/>
      <c r="V1406" s="204"/>
      <c r="W1406" s="204"/>
      <c r="X1406" s="204"/>
      <c r="Y1406" s="204"/>
      <c r="Z1406" s="204"/>
      <c r="AA1406" s="204"/>
      <c r="AB1406" s="204"/>
      <c r="AC1406" s="204"/>
      <c r="AD1406" s="204"/>
      <c r="AE1406" s="204"/>
      <c r="AF1406" s="204"/>
      <c r="AG1406" s="204"/>
      <c r="AH1406" s="204"/>
      <c r="AI1406" s="209"/>
      <c r="AJ1406" s="209"/>
      <c r="AK1406" s="204"/>
      <c r="AL1406" s="204"/>
      <c r="AM1406" s="204"/>
    </row>
    <row r="1407">
      <c r="A1407" s="204"/>
      <c r="B1407" s="209"/>
      <c r="C1407" s="204"/>
      <c r="D1407" s="210"/>
      <c r="E1407" s="211"/>
      <c r="F1407" s="211"/>
      <c r="G1407" s="212"/>
      <c r="H1407" s="212"/>
      <c r="I1407" s="204"/>
      <c r="J1407" s="204"/>
      <c r="K1407" s="204"/>
      <c r="L1407" s="204"/>
      <c r="M1407" s="204"/>
      <c r="N1407" s="204"/>
      <c r="O1407" s="204"/>
      <c r="P1407" s="204"/>
      <c r="Q1407" s="204"/>
      <c r="R1407" s="204"/>
      <c r="S1407" s="204"/>
      <c r="T1407" s="204"/>
      <c r="U1407" s="204"/>
      <c r="V1407" s="204"/>
      <c r="W1407" s="204"/>
      <c r="X1407" s="204"/>
      <c r="Y1407" s="204"/>
      <c r="Z1407" s="204"/>
      <c r="AA1407" s="204"/>
      <c r="AB1407" s="204"/>
      <c r="AC1407" s="204"/>
      <c r="AD1407" s="204"/>
      <c r="AE1407" s="204"/>
      <c r="AF1407" s="204"/>
      <c r="AG1407" s="204"/>
      <c r="AH1407" s="204"/>
      <c r="AI1407" s="209"/>
      <c r="AJ1407" s="209"/>
      <c r="AK1407" s="204"/>
      <c r="AL1407" s="204"/>
      <c r="AM1407" s="204"/>
    </row>
    <row r="1408">
      <c r="A1408" s="204"/>
      <c r="B1408" s="209"/>
      <c r="C1408" s="204"/>
      <c r="D1408" s="210"/>
      <c r="E1408" s="211"/>
      <c r="F1408" s="211"/>
      <c r="G1408" s="212"/>
      <c r="H1408" s="212"/>
      <c r="I1408" s="204"/>
      <c r="J1408" s="204"/>
      <c r="K1408" s="204"/>
      <c r="L1408" s="204"/>
      <c r="M1408" s="204"/>
      <c r="N1408" s="204"/>
      <c r="O1408" s="204"/>
      <c r="P1408" s="204"/>
      <c r="Q1408" s="204"/>
      <c r="R1408" s="204"/>
      <c r="S1408" s="204"/>
      <c r="T1408" s="204"/>
      <c r="U1408" s="204"/>
      <c r="V1408" s="204"/>
      <c r="W1408" s="204"/>
      <c r="X1408" s="204"/>
      <c r="Y1408" s="204"/>
      <c r="Z1408" s="204"/>
      <c r="AA1408" s="204"/>
      <c r="AB1408" s="204"/>
      <c r="AC1408" s="204"/>
      <c r="AD1408" s="204"/>
      <c r="AE1408" s="204"/>
      <c r="AF1408" s="204"/>
      <c r="AG1408" s="204"/>
      <c r="AH1408" s="204"/>
      <c r="AI1408" s="209"/>
      <c r="AJ1408" s="209"/>
      <c r="AK1408" s="204"/>
      <c r="AL1408" s="204"/>
      <c r="AM1408" s="204"/>
    </row>
    <row r="1409">
      <c r="A1409" s="204"/>
      <c r="B1409" s="209"/>
      <c r="C1409" s="204"/>
      <c r="D1409" s="210"/>
      <c r="E1409" s="211"/>
      <c r="F1409" s="211"/>
      <c r="G1409" s="212"/>
      <c r="H1409" s="212"/>
      <c r="I1409" s="204"/>
      <c r="J1409" s="204"/>
      <c r="K1409" s="204"/>
      <c r="L1409" s="204"/>
      <c r="M1409" s="204"/>
      <c r="N1409" s="204"/>
      <c r="O1409" s="204"/>
      <c r="P1409" s="204"/>
      <c r="Q1409" s="204"/>
      <c r="R1409" s="204"/>
      <c r="S1409" s="204"/>
      <c r="T1409" s="204"/>
      <c r="U1409" s="204"/>
      <c r="V1409" s="204"/>
      <c r="W1409" s="204"/>
      <c r="X1409" s="204"/>
      <c r="Y1409" s="204"/>
      <c r="Z1409" s="204"/>
      <c r="AA1409" s="204"/>
      <c r="AB1409" s="204"/>
      <c r="AC1409" s="204"/>
      <c r="AD1409" s="204"/>
      <c r="AE1409" s="204"/>
      <c r="AF1409" s="204"/>
      <c r="AG1409" s="204"/>
      <c r="AH1409" s="204"/>
      <c r="AI1409" s="209"/>
      <c r="AJ1409" s="209"/>
      <c r="AK1409" s="204"/>
      <c r="AL1409" s="204"/>
      <c r="AM1409" s="204"/>
    </row>
    <row r="1410">
      <c r="A1410" s="204"/>
      <c r="B1410" s="209"/>
      <c r="C1410" s="204"/>
      <c r="D1410" s="210"/>
      <c r="E1410" s="211"/>
      <c r="F1410" s="211"/>
      <c r="G1410" s="212"/>
      <c r="H1410" s="212"/>
      <c r="I1410" s="204"/>
      <c r="J1410" s="204"/>
      <c r="K1410" s="204"/>
      <c r="L1410" s="204"/>
      <c r="M1410" s="204"/>
      <c r="N1410" s="204"/>
      <c r="O1410" s="204"/>
      <c r="P1410" s="204"/>
      <c r="Q1410" s="204"/>
      <c r="R1410" s="204"/>
      <c r="S1410" s="204"/>
      <c r="T1410" s="204"/>
      <c r="U1410" s="204"/>
      <c r="V1410" s="204"/>
      <c r="W1410" s="204"/>
      <c r="X1410" s="204"/>
      <c r="Y1410" s="204"/>
      <c r="Z1410" s="204"/>
      <c r="AA1410" s="204"/>
      <c r="AB1410" s="204"/>
      <c r="AC1410" s="204"/>
      <c r="AD1410" s="204"/>
      <c r="AE1410" s="204"/>
      <c r="AF1410" s="204"/>
      <c r="AG1410" s="204"/>
      <c r="AH1410" s="204"/>
      <c r="AI1410" s="209"/>
      <c r="AJ1410" s="209"/>
      <c r="AK1410" s="204"/>
      <c r="AL1410" s="204"/>
      <c r="AM1410" s="204"/>
    </row>
    <row r="1411">
      <c r="A1411" s="204"/>
      <c r="B1411" s="209"/>
      <c r="C1411" s="204"/>
      <c r="D1411" s="210"/>
      <c r="E1411" s="211"/>
      <c r="F1411" s="211"/>
      <c r="G1411" s="212"/>
      <c r="H1411" s="212"/>
      <c r="I1411" s="204"/>
      <c r="J1411" s="204"/>
      <c r="K1411" s="204"/>
      <c r="L1411" s="204"/>
      <c r="M1411" s="204"/>
      <c r="N1411" s="204"/>
      <c r="O1411" s="204"/>
      <c r="P1411" s="204"/>
      <c r="Q1411" s="204"/>
      <c r="R1411" s="204"/>
      <c r="S1411" s="204"/>
      <c r="T1411" s="204"/>
      <c r="U1411" s="204"/>
      <c r="V1411" s="204"/>
      <c r="W1411" s="204"/>
      <c r="X1411" s="204"/>
      <c r="Y1411" s="204"/>
      <c r="Z1411" s="204"/>
      <c r="AA1411" s="204"/>
      <c r="AB1411" s="204"/>
      <c r="AC1411" s="204"/>
      <c r="AD1411" s="204"/>
      <c r="AE1411" s="204"/>
      <c r="AF1411" s="204"/>
      <c r="AG1411" s="204"/>
      <c r="AH1411" s="204"/>
      <c r="AI1411" s="209"/>
      <c r="AJ1411" s="209"/>
      <c r="AK1411" s="204"/>
      <c r="AL1411" s="204"/>
      <c r="AM1411" s="204"/>
    </row>
    <row r="1412">
      <c r="A1412" s="204"/>
      <c r="B1412" s="209"/>
      <c r="C1412" s="204"/>
      <c r="D1412" s="210"/>
      <c r="E1412" s="211"/>
      <c r="F1412" s="211"/>
      <c r="G1412" s="212"/>
      <c r="H1412" s="212"/>
      <c r="I1412" s="204"/>
      <c r="J1412" s="204"/>
      <c r="K1412" s="204"/>
      <c r="L1412" s="204"/>
      <c r="M1412" s="204"/>
      <c r="N1412" s="204"/>
      <c r="O1412" s="204"/>
      <c r="P1412" s="204"/>
      <c r="Q1412" s="204"/>
      <c r="R1412" s="204"/>
      <c r="S1412" s="204"/>
      <c r="T1412" s="204"/>
      <c r="U1412" s="204"/>
      <c r="V1412" s="204"/>
      <c r="W1412" s="204"/>
      <c r="X1412" s="204"/>
      <c r="Y1412" s="204"/>
      <c r="Z1412" s="204"/>
      <c r="AA1412" s="204"/>
      <c r="AB1412" s="204"/>
      <c r="AC1412" s="204"/>
      <c r="AD1412" s="204"/>
      <c r="AE1412" s="204"/>
      <c r="AF1412" s="204"/>
      <c r="AG1412" s="204"/>
      <c r="AH1412" s="204"/>
      <c r="AI1412" s="209"/>
      <c r="AJ1412" s="209"/>
      <c r="AK1412" s="204"/>
      <c r="AL1412" s="204"/>
      <c r="AM1412" s="204"/>
    </row>
    <row r="1413">
      <c r="A1413" s="204"/>
      <c r="B1413" s="209"/>
      <c r="C1413" s="204"/>
      <c r="D1413" s="210"/>
      <c r="E1413" s="211"/>
      <c r="F1413" s="211"/>
      <c r="G1413" s="212"/>
      <c r="H1413" s="212"/>
      <c r="I1413" s="204"/>
      <c r="J1413" s="204"/>
      <c r="K1413" s="204"/>
      <c r="L1413" s="204"/>
      <c r="M1413" s="204"/>
      <c r="N1413" s="204"/>
      <c r="O1413" s="204"/>
      <c r="P1413" s="204"/>
      <c r="Q1413" s="204"/>
      <c r="R1413" s="204"/>
      <c r="S1413" s="204"/>
      <c r="T1413" s="204"/>
      <c r="U1413" s="204"/>
      <c r="V1413" s="204"/>
      <c r="W1413" s="204"/>
      <c r="X1413" s="204"/>
      <c r="Y1413" s="204"/>
      <c r="Z1413" s="204"/>
      <c r="AA1413" s="204"/>
      <c r="AB1413" s="204"/>
      <c r="AC1413" s="204"/>
      <c r="AD1413" s="204"/>
      <c r="AE1413" s="204"/>
      <c r="AF1413" s="204"/>
      <c r="AG1413" s="204"/>
      <c r="AH1413" s="204"/>
      <c r="AI1413" s="209"/>
      <c r="AJ1413" s="209"/>
      <c r="AK1413" s="204"/>
      <c r="AL1413" s="204"/>
      <c r="AM1413" s="204"/>
    </row>
    <row r="1414">
      <c r="A1414" s="204"/>
      <c r="B1414" s="209"/>
      <c r="C1414" s="204"/>
      <c r="D1414" s="210"/>
      <c r="E1414" s="211"/>
      <c r="F1414" s="211"/>
      <c r="G1414" s="212"/>
      <c r="H1414" s="212"/>
      <c r="I1414" s="204"/>
      <c r="J1414" s="204"/>
      <c r="K1414" s="204"/>
      <c r="L1414" s="204"/>
      <c r="M1414" s="204"/>
      <c r="N1414" s="204"/>
      <c r="O1414" s="204"/>
      <c r="P1414" s="204"/>
      <c r="Q1414" s="204"/>
      <c r="R1414" s="204"/>
      <c r="S1414" s="204"/>
      <c r="T1414" s="204"/>
      <c r="U1414" s="204"/>
      <c r="V1414" s="204"/>
      <c r="W1414" s="204"/>
      <c r="X1414" s="204"/>
      <c r="Y1414" s="204"/>
      <c r="Z1414" s="204"/>
      <c r="AA1414" s="204"/>
      <c r="AB1414" s="204"/>
      <c r="AC1414" s="204"/>
      <c r="AD1414" s="204"/>
      <c r="AE1414" s="204"/>
      <c r="AF1414" s="204"/>
      <c r="AG1414" s="204"/>
      <c r="AH1414" s="204"/>
      <c r="AI1414" s="209"/>
      <c r="AJ1414" s="209"/>
      <c r="AK1414" s="204"/>
      <c r="AL1414" s="204"/>
      <c r="AM1414" s="204"/>
    </row>
    <row r="1415">
      <c r="A1415" s="204"/>
      <c r="B1415" s="209"/>
      <c r="C1415" s="204"/>
      <c r="D1415" s="210"/>
      <c r="E1415" s="211"/>
      <c r="F1415" s="211"/>
      <c r="G1415" s="212"/>
      <c r="H1415" s="212"/>
      <c r="I1415" s="204"/>
      <c r="J1415" s="204"/>
      <c r="K1415" s="204"/>
      <c r="L1415" s="204"/>
      <c r="M1415" s="204"/>
      <c r="N1415" s="204"/>
      <c r="O1415" s="204"/>
      <c r="P1415" s="204"/>
      <c r="Q1415" s="204"/>
      <c r="R1415" s="204"/>
      <c r="S1415" s="204"/>
      <c r="T1415" s="204"/>
      <c r="U1415" s="204"/>
      <c r="V1415" s="204"/>
      <c r="W1415" s="204"/>
      <c r="X1415" s="204"/>
      <c r="Y1415" s="204"/>
      <c r="Z1415" s="204"/>
      <c r="AA1415" s="204"/>
      <c r="AB1415" s="204"/>
      <c r="AC1415" s="204"/>
      <c r="AD1415" s="204"/>
      <c r="AE1415" s="204"/>
      <c r="AF1415" s="204"/>
      <c r="AG1415" s="204"/>
      <c r="AH1415" s="204"/>
      <c r="AI1415" s="209"/>
      <c r="AJ1415" s="209"/>
      <c r="AK1415" s="204"/>
      <c r="AL1415" s="204"/>
      <c r="AM1415" s="204"/>
    </row>
    <row r="1416">
      <c r="A1416" s="204"/>
      <c r="B1416" s="209"/>
      <c r="C1416" s="204"/>
      <c r="D1416" s="210"/>
      <c r="E1416" s="211"/>
      <c r="F1416" s="211"/>
      <c r="G1416" s="212"/>
      <c r="H1416" s="212"/>
      <c r="I1416" s="204"/>
      <c r="J1416" s="204"/>
      <c r="K1416" s="204"/>
      <c r="L1416" s="204"/>
      <c r="M1416" s="204"/>
      <c r="N1416" s="204"/>
      <c r="O1416" s="204"/>
      <c r="P1416" s="204"/>
      <c r="Q1416" s="204"/>
      <c r="R1416" s="204"/>
      <c r="S1416" s="204"/>
      <c r="T1416" s="204"/>
      <c r="U1416" s="204"/>
      <c r="V1416" s="204"/>
      <c r="W1416" s="204"/>
      <c r="X1416" s="204"/>
      <c r="Y1416" s="204"/>
      <c r="Z1416" s="204"/>
      <c r="AA1416" s="204"/>
      <c r="AB1416" s="204"/>
      <c r="AC1416" s="204"/>
      <c r="AD1416" s="204"/>
      <c r="AE1416" s="204"/>
      <c r="AF1416" s="204"/>
      <c r="AG1416" s="204"/>
      <c r="AH1416" s="204"/>
      <c r="AI1416" s="209"/>
      <c r="AJ1416" s="209"/>
      <c r="AK1416" s="204"/>
      <c r="AL1416" s="204"/>
      <c r="AM1416" s="204"/>
    </row>
    <row r="1417">
      <c r="A1417" s="204"/>
      <c r="B1417" s="209"/>
      <c r="C1417" s="204"/>
      <c r="D1417" s="210"/>
      <c r="E1417" s="211"/>
      <c r="F1417" s="211"/>
      <c r="G1417" s="212"/>
      <c r="H1417" s="212"/>
      <c r="I1417" s="204"/>
      <c r="J1417" s="204"/>
      <c r="K1417" s="204"/>
      <c r="L1417" s="204"/>
      <c r="M1417" s="204"/>
      <c r="N1417" s="204"/>
      <c r="O1417" s="204"/>
      <c r="P1417" s="204"/>
      <c r="Q1417" s="204"/>
      <c r="R1417" s="204"/>
      <c r="S1417" s="204"/>
      <c r="T1417" s="204"/>
      <c r="U1417" s="204"/>
      <c r="V1417" s="204"/>
      <c r="W1417" s="204"/>
      <c r="X1417" s="204"/>
      <c r="Y1417" s="204"/>
      <c r="Z1417" s="204"/>
      <c r="AA1417" s="204"/>
      <c r="AB1417" s="204"/>
      <c r="AC1417" s="204"/>
      <c r="AD1417" s="204"/>
      <c r="AE1417" s="204"/>
      <c r="AF1417" s="204"/>
      <c r="AG1417" s="204"/>
      <c r="AH1417" s="204"/>
      <c r="AI1417" s="209"/>
      <c r="AJ1417" s="209"/>
      <c r="AK1417" s="204"/>
      <c r="AL1417" s="204"/>
      <c r="AM1417" s="204"/>
    </row>
    <row r="1418">
      <c r="A1418" s="204"/>
      <c r="B1418" s="209"/>
      <c r="C1418" s="204"/>
      <c r="D1418" s="210"/>
      <c r="E1418" s="211"/>
      <c r="F1418" s="211"/>
      <c r="G1418" s="212"/>
      <c r="H1418" s="212"/>
      <c r="I1418" s="204"/>
      <c r="J1418" s="204"/>
      <c r="K1418" s="204"/>
      <c r="L1418" s="204"/>
      <c r="M1418" s="204"/>
      <c r="N1418" s="204"/>
      <c r="O1418" s="204"/>
      <c r="P1418" s="204"/>
      <c r="Q1418" s="204"/>
      <c r="R1418" s="204"/>
      <c r="S1418" s="204"/>
      <c r="T1418" s="204"/>
      <c r="U1418" s="204"/>
      <c r="V1418" s="204"/>
      <c r="W1418" s="204"/>
      <c r="X1418" s="204"/>
      <c r="Y1418" s="204"/>
      <c r="Z1418" s="204"/>
      <c r="AA1418" s="204"/>
      <c r="AB1418" s="204"/>
      <c r="AC1418" s="204"/>
      <c r="AD1418" s="204"/>
      <c r="AE1418" s="204"/>
      <c r="AF1418" s="204"/>
      <c r="AG1418" s="204"/>
      <c r="AH1418" s="204"/>
      <c r="AI1418" s="209"/>
      <c r="AJ1418" s="209"/>
      <c r="AK1418" s="204"/>
      <c r="AL1418" s="204"/>
      <c r="AM1418" s="204"/>
    </row>
    <row r="1419">
      <c r="A1419" s="204"/>
      <c r="B1419" s="209"/>
      <c r="C1419" s="204"/>
      <c r="D1419" s="210"/>
      <c r="E1419" s="211"/>
      <c r="F1419" s="211"/>
      <c r="G1419" s="212"/>
      <c r="H1419" s="212"/>
      <c r="I1419" s="204"/>
      <c r="J1419" s="204"/>
      <c r="K1419" s="204"/>
      <c r="L1419" s="204"/>
      <c r="M1419" s="204"/>
      <c r="N1419" s="204"/>
      <c r="O1419" s="204"/>
      <c r="P1419" s="204"/>
      <c r="Q1419" s="204"/>
      <c r="R1419" s="204"/>
      <c r="S1419" s="204"/>
      <c r="T1419" s="204"/>
      <c r="U1419" s="204"/>
      <c r="V1419" s="204"/>
      <c r="W1419" s="204"/>
      <c r="X1419" s="204"/>
      <c r="Y1419" s="204"/>
      <c r="Z1419" s="204"/>
      <c r="AA1419" s="204"/>
      <c r="AB1419" s="204"/>
      <c r="AC1419" s="204"/>
      <c r="AD1419" s="204"/>
      <c r="AE1419" s="204"/>
      <c r="AF1419" s="204"/>
      <c r="AG1419" s="204"/>
      <c r="AH1419" s="204"/>
      <c r="AI1419" s="209"/>
      <c r="AJ1419" s="209"/>
      <c r="AK1419" s="204"/>
      <c r="AL1419" s="204"/>
      <c r="AM1419" s="204"/>
    </row>
    <row r="1420">
      <c r="A1420" s="204"/>
      <c r="B1420" s="209"/>
      <c r="C1420" s="204"/>
      <c r="D1420" s="210"/>
      <c r="E1420" s="211"/>
      <c r="F1420" s="211"/>
      <c r="G1420" s="212"/>
      <c r="H1420" s="212"/>
      <c r="I1420" s="204"/>
      <c r="J1420" s="204"/>
      <c r="K1420" s="204"/>
      <c r="L1420" s="204"/>
      <c r="M1420" s="204"/>
      <c r="N1420" s="204"/>
      <c r="O1420" s="204"/>
      <c r="P1420" s="204"/>
      <c r="Q1420" s="204"/>
      <c r="R1420" s="204"/>
      <c r="S1420" s="204"/>
      <c r="T1420" s="204"/>
      <c r="U1420" s="204"/>
      <c r="V1420" s="204"/>
      <c r="W1420" s="204"/>
      <c r="X1420" s="204"/>
      <c r="Y1420" s="204"/>
      <c r="Z1420" s="204"/>
      <c r="AA1420" s="204"/>
      <c r="AB1420" s="204"/>
      <c r="AC1420" s="204"/>
      <c r="AD1420" s="204"/>
      <c r="AE1420" s="204"/>
      <c r="AF1420" s="204"/>
      <c r="AG1420" s="204"/>
      <c r="AH1420" s="204"/>
      <c r="AI1420" s="209"/>
      <c r="AJ1420" s="209"/>
      <c r="AK1420" s="204"/>
      <c r="AL1420" s="204"/>
      <c r="AM1420" s="204"/>
    </row>
    <row r="1421">
      <c r="A1421" s="204"/>
      <c r="B1421" s="209"/>
      <c r="C1421" s="204"/>
      <c r="D1421" s="210"/>
      <c r="E1421" s="211"/>
      <c r="F1421" s="211"/>
      <c r="G1421" s="212"/>
      <c r="H1421" s="212"/>
      <c r="I1421" s="204"/>
      <c r="J1421" s="204"/>
      <c r="K1421" s="204"/>
      <c r="L1421" s="204"/>
      <c r="M1421" s="204"/>
      <c r="N1421" s="204"/>
      <c r="O1421" s="204"/>
      <c r="P1421" s="204"/>
      <c r="Q1421" s="204"/>
      <c r="R1421" s="204"/>
      <c r="S1421" s="204"/>
      <c r="T1421" s="204"/>
      <c r="U1421" s="204"/>
      <c r="V1421" s="204"/>
      <c r="W1421" s="204"/>
      <c r="X1421" s="204"/>
      <c r="Y1421" s="204"/>
      <c r="Z1421" s="204"/>
      <c r="AA1421" s="204"/>
      <c r="AB1421" s="204"/>
      <c r="AC1421" s="204"/>
      <c r="AD1421" s="204"/>
      <c r="AE1421" s="204"/>
      <c r="AF1421" s="204"/>
      <c r="AG1421" s="204"/>
      <c r="AH1421" s="204"/>
      <c r="AI1421" s="209"/>
      <c r="AJ1421" s="209"/>
      <c r="AK1421" s="204"/>
      <c r="AL1421" s="204"/>
      <c r="AM1421" s="204"/>
    </row>
    <row r="1422">
      <c r="A1422" s="204"/>
      <c r="B1422" s="209"/>
      <c r="C1422" s="204"/>
      <c r="D1422" s="210"/>
      <c r="E1422" s="211"/>
      <c r="F1422" s="211"/>
      <c r="G1422" s="212"/>
      <c r="H1422" s="212"/>
      <c r="I1422" s="204"/>
      <c r="J1422" s="204"/>
      <c r="K1422" s="204"/>
      <c r="L1422" s="204"/>
      <c r="M1422" s="204"/>
      <c r="N1422" s="204"/>
      <c r="O1422" s="204"/>
      <c r="P1422" s="204"/>
      <c r="Q1422" s="204"/>
      <c r="R1422" s="204"/>
      <c r="S1422" s="204"/>
      <c r="T1422" s="204"/>
      <c r="U1422" s="204"/>
      <c r="V1422" s="204"/>
      <c r="W1422" s="204"/>
      <c r="X1422" s="204"/>
      <c r="Y1422" s="204"/>
      <c r="Z1422" s="204"/>
      <c r="AA1422" s="204"/>
      <c r="AB1422" s="204"/>
      <c r="AC1422" s="204"/>
      <c r="AD1422" s="204"/>
      <c r="AE1422" s="204"/>
      <c r="AF1422" s="204"/>
      <c r="AG1422" s="204"/>
      <c r="AH1422" s="204"/>
      <c r="AI1422" s="209"/>
      <c r="AJ1422" s="209"/>
      <c r="AK1422" s="204"/>
      <c r="AL1422" s="204"/>
      <c r="AM1422" s="204"/>
    </row>
    <row r="1423">
      <c r="A1423" s="204"/>
      <c r="B1423" s="209"/>
      <c r="C1423" s="204"/>
      <c r="D1423" s="210"/>
      <c r="E1423" s="211"/>
      <c r="F1423" s="211"/>
      <c r="G1423" s="212"/>
      <c r="H1423" s="212"/>
      <c r="I1423" s="204"/>
      <c r="J1423" s="204"/>
      <c r="K1423" s="204"/>
      <c r="L1423" s="204"/>
      <c r="M1423" s="204"/>
      <c r="N1423" s="204"/>
      <c r="O1423" s="204"/>
      <c r="P1423" s="204"/>
      <c r="Q1423" s="204"/>
      <c r="R1423" s="204"/>
      <c r="S1423" s="204"/>
      <c r="T1423" s="204"/>
      <c r="U1423" s="204"/>
      <c r="V1423" s="204"/>
      <c r="W1423" s="204"/>
      <c r="X1423" s="204"/>
      <c r="Y1423" s="204"/>
      <c r="Z1423" s="204"/>
      <c r="AA1423" s="204"/>
      <c r="AB1423" s="204"/>
      <c r="AC1423" s="204"/>
      <c r="AD1423" s="204"/>
      <c r="AE1423" s="204"/>
      <c r="AF1423" s="204"/>
      <c r="AG1423" s="204"/>
      <c r="AH1423" s="204"/>
      <c r="AI1423" s="209"/>
      <c r="AJ1423" s="209"/>
      <c r="AK1423" s="204"/>
      <c r="AL1423" s="204"/>
      <c r="AM1423" s="204"/>
    </row>
    <row r="1424">
      <c r="A1424" s="204"/>
      <c r="B1424" s="209"/>
      <c r="C1424" s="204"/>
      <c r="D1424" s="210"/>
      <c r="E1424" s="211"/>
      <c r="F1424" s="211"/>
      <c r="G1424" s="212"/>
      <c r="H1424" s="212"/>
      <c r="I1424" s="204"/>
      <c r="J1424" s="204"/>
      <c r="K1424" s="204"/>
      <c r="L1424" s="204"/>
      <c r="M1424" s="204"/>
      <c r="N1424" s="204"/>
      <c r="O1424" s="204"/>
      <c r="P1424" s="204"/>
      <c r="Q1424" s="204"/>
      <c r="R1424" s="204"/>
      <c r="S1424" s="204"/>
      <c r="T1424" s="204"/>
      <c r="U1424" s="204"/>
      <c r="V1424" s="204"/>
      <c r="W1424" s="204"/>
      <c r="X1424" s="204"/>
      <c r="Y1424" s="204"/>
      <c r="Z1424" s="204"/>
      <c r="AA1424" s="204"/>
      <c r="AB1424" s="204"/>
      <c r="AC1424" s="204"/>
      <c r="AD1424" s="204"/>
      <c r="AE1424" s="204"/>
      <c r="AF1424" s="204"/>
      <c r="AG1424" s="204"/>
      <c r="AH1424" s="204"/>
      <c r="AI1424" s="209"/>
      <c r="AJ1424" s="209"/>
      <c r="AK1424" s="204"/>
      <c r="AL1424" s="204"/>
      <c r="AM1424" s="204"/>
    </row>
    <row r="1425">
      <c r="A1425" s="204"/>
      <c r="B1425" s="209"/>
      <c r="C1425" s="204"/>
      <c r="D1425" s="210"/>
      <c r="E1425" s="211"/>
      <c r="F1425" s="211"/>
      <c r="G1425" s="212"/>
      <c r="H1425" s="212"/>
      <c r="I1425" s="204"/>
      <c r="J1425" s="204"/>
      <c r="K1425" s="204"/>
      <c r="L1425" s="204"/>
      <c r="M1425" s="204"/>
      <c r="N1425" s="204"/>
      <c r="O1425" s="204"/>
      <c r="P1425" s="204"/>
      <c r="Q1425" s="204"/>
      <c r="R1425" s="204"/>
      <c r="S1425" s="204"/>
      <c r="T1425" s="204"/>
      <c r="U1425" s="204"/>
      <c r="V1425" s="204"/>
      <c r="W1425" s="204"/>
      <c r="X1425" s="204"/>
      <c r="Y1425" s="204"/>
      <c r="Z1425" s="204"/>
      <c r="AA1425" s="204"/>
      <c r="AB1425" s="204"/>
      <c r="AC1425" s="204"/>
      <c r="AD1425" s="204"/>
      <c r="AE1425" s="204"/>
      <c r="AF1425" s="204"/>
      <c r="AG1425" s="204"/>
      <c r="AH1425" s="204"/>
      <c r="AI1425" s="209"/>
      <c r="AJ1425" s="209"/>
      <c r="AK1425" s="204"/>
      <c r="AL1425" s="204"/>
      <c r="AM1425" s="204"/>
    </row>
    <row r="1426">
      <c r="A1426" s="204"/>
      <c r="B1426" s="209"/>
      <c r="C1426" s="204"/>
      <c r="D1426" s="210"/>
      <c r="E1426" s="211"/>
      <c r="F1426" s="211"/>
      <c r="G1426" s="212"/>
      <c r="H1426" s="212"/>
      <c r="I1426" s="204"/>
      <c r="J1426" s="204"/>
      <c r="K1426" s="204"/>
      <c r="L1426" s="204"/>
      <c r="M1426" s="204"/>
      <c r="N1426" s="204"/>
      <c r="O1426" s="204"/>
      <c r="P1426" s="204"/>
      <c r="Q1426" s="204"/>
      <c r="R1426" s="204"/>
      <c r="S1426" s="204"/>
      <c r="T1426" s="204"/>
      <c r="U1426" s="204"/>
      <c r="V1426" s="204"/>
      <c r="W1426" s="204"/>
      <c r="X1426" s="204"/>
      <c r="Y1426" s="204"/>
      <c r="Z1426" s="204"/>
      <c r="AA1426" s="204"/>
      <c r="AB1426" s="204"/>
      <c r="AC1426" s="204"/>
      <c r="AD1426" s="204"/>
      <c r="AE1426" s="204"/>
      <c r="AF1426" s="204"/>
      <c r="AG1426" s="204"/>
      <c r="AH1426" s="204"/>
      <c r="AI1426" s="209"/>
      <c r="AJ1426" s="209"/>
      <c r="AK1426" s="204"/>
      <c r="AL1426" s="204"/>
      <c r="AM1426" s="204"/>
    </row>
    <row r="1427">
      <c r="A1427" s="204"/>
      <c r="B1427" s="209"/>
      <c r="C1427" s="204"/>
      <c r="D1427" s="210"/>
      <c r="E1427" s="211"/>
      <c r="F1427" s="211"/>
      <c r="G1427" s="212"/>
      <c r="H1427" s="212"/>
      <c r="I1427" s="204"/>
      <c r="J1427" s="204"/>
      <c r="K1427" s="204"/>
      <c r="L1427" s="204"/>
      <c r="M1427" s="204"/>
      <c r="N1427" s="204"/>
      <c r="O1427" s="204"/>
      <c r="P1427" s="204"/>
      <c r="Q1427" s="204"/>
      <c r="R1427" s="204"/>
      <c r="S1427" s="204"/>
      <c r="T1427" s="204"/>
      <c r="U1427" s="204"/>
      <c r="V1427" s="204"/>
      <c r="W1427" s="204"/>
      <c r="X1427" s="204"/>
      <c r="Y1427" s="204"/>
      <c r="Z1427" s="204"/>
      <c r="AA1427" s="204"/>
      <c r="AB1427" s="204"/>
      <c r="AC1427" s="204"/>
      <c r="AD1427" s="204"/>
      <c r="AE1427" s="204"/>
      <c r="AF1427" s="204"/>
      <c r="AG1427" s="204"/>
      <c r="AH1427" s="204"/>
      <c r="AI1427" s="209"/>
      <c r="AJ1427" s="209"/>
      <c r="AK1427" s="204"/>
      <c r="AL1427" s="204"/>
      <c r="AM1427" s="204"/>
    </row>
    <row r="1428">
      <c r="A1428" s="204"/>
      <c r="B1428" s="209"/>
      <c r="C1428" s="204"/>
      <c r="D1428" s="210"/>
      <c r="E1428" s="211"/>
      <c r="F1428" s="211"/>
      <c r="G1428" s="212"/>
      <c r="H1428" s="212"/>
      <c r="I1428" s="204"/>
      <c r="J1428" s="204"/>
      <c r="K1428" s="204"/>
      <c r="L1428" s="204"/>
      <c r="M1428" s="204"/>
      <c r="N1428" s="204"/>
      <c r="O1428" s="204"/>
      <c r="P1428" s="204"/>
      <c r="Q1428" s="204"/>
      <c r="R1428" s="204"/>
      <c r="S1428" s="204"/>
      <c r="T1428" s="204"/>
      <c r="U1428" s="204"/>
      <c r="V1428" s="204"/>
      <c r="W1428" s="204"/>
      <c r="X1428" s="204"/>
      <c r="Y1428" s="204"/>
      <c r="Z1428" s="204"/>
      <c r="AA1428" s="204"/>
      <c r="AB1428" s="204"/>
      <c r="AC1428" s="204"/>
      <c r="AD1428" s="204"/>
      <c r="AE1428" s="204"/>
      <c r="AF1428" s="204"/>
      <c r="AG1428" s="204"/>
      <c r="AH1428" s="204"/>
      <c r="AI1428" s="209"/>
      <c r="AJ1428" s="209"/>
      <c r="AK1428" s="204"/>
      <c r="AL1428" s="204"/>
      <c r="AM1428" s="204"/>
    </row>
    <row r="1429">
      <c r="A1429" s="204"/>
      <c r="B1429" s="209"/>
      <c r="C1429" s="204"/>
      <c r="D1429" s="210"/>
      <c r="E1429" s="211"/>
      <c r="F1429" s="211"/>
      <c r="G1429" s="212"/>
      <c r="H1429" s="212"/>
      <c r="I1429" s="204"/>
      <c r="J1429" s="204"/>
      <c r="K1429" s="204"/>
      <c r="L1429" s="204"/>
      <c r="M1429" s="204"/>
      <c r="N1429" s="204"/>
      <c r="O1429" s="204"/>
      <c r="P1429" s="204"/>
      <c r="Q1429" s="204"/>
      <c r="R1429" s="204"/>
      <c r="S1429" s="204"/>
      <c r="T1429" s="204"/>
      <c r="U1429" s="204"/>
      <c r="V1429" s="204"/>
      <c r="W1429" s="204"/>
      <c r="X1429" s="204"/>
      <c r="Y1429" s="204"/>
      <c r="Z1429" s="204"/>
      <c r="AA1429" s="204"/>
      <c r="AB1429" s="204"/>
      <c r="AC1429" s="204"/>
      <c r="AD1429" s="204"/>
      <c r="AE1429" s="204"/>
      <c r="AF1429" s="204"/>
      <c r="AG1429" s="204"/>
      <c r="AH1429" s="204"/>
      <c r="AI1429" s="209"/>
      <c r="AJ1429" s="209"/>
      <c r="AK1429" s="204"/>
      <c r="AL1429" s="204"/>
      <c r="AM1429" s="204"/>
    </row>
    <row r="1430">
      <c r="A1430" s="204"/>
      <c r="B1430" s="209"/>
      <c r="C1430" s="204"/>
      <c r="D1430" s="210"/>
      <c r="E1430" s="211"/>
      <c r="F1430" s="211"/>
      <c r="G1430" s="212"/>
      <c r="H1430" s="212"/>
      <c r="I1430" s="204"/>
      <c r="J1430" s="204"/>
      <c r="K1430" s="204"/>
      <c r="L1430" s="204"/>
      <c r="M1430" s="204"/>
      <c r="N1430" s="204"/>
      <c r="O1430" s="204"/>
      <c r="P1430" s="204"/>
      <c r="Q1430" s="204"/>
      <c r="R1430" s="204"/>
      <c r="S1430" s="204"/>
      <c r="T1430" s="204"/>
      <c r="U1430" s="204"/>
      <c r="V1430" s="204"/>
      <c r="W1430" s="204"/>
      <c r="X1430" s="204"/>
      <c r="Y1430" s="204"/>
      <c r="Z1430" s="204"/>
      <c r="AA1430" s="204"/>
      <c r="AB1430" s="204"/>
      <c r="AC1430" s="204"/>
      <c r="AD1430" s="204"/>
      <c r="AE1430" s="204"/>
      <c r="AF1430" s="204"/>
      <c r="AG1430" s="204"/>
      <c r="AH1430" s="204"/>
      <c r="AI1430" s="209"/>
      <c r="AJ1430" s="209"/>
      <c r="AK1430" s="204"/>
      <c r="AL1430" s="204"/>
      <c r="AM1430" s="204"/>
    </row>
    <row r="1431">
      <c r="A1431" s="204"/>
      <c r="B1431" s="209"/>
      <c r="C1431" s="204"/>
      <c r="D1431" s="210"/>
      <c r="E1431" s="211"/>
      <c r="F1431" s="211"/>
      <c r="G1431" s="212"/>
      <c r="H1431" s="212"/>
      <c r="I1431" s="204"/>
      <c r="J1431" s="204"/>
      <c r="K1431" s="204"/>
      <c r="L1431" s="204"/>
      <c r="M1431" s="204"/>
      <c r="N1431" s="204"/>
      <c r="O1431" s="204"/>
      <c r="P1431" s="204"/>
      <c r="Q1431" s="204"/>
      <c r="R1431" s="204"/>
      <c r="S1431" s="204"/>
      <c r="T1431" s="204"/>
      <c r="U1431" s="204"/>
      <c r="V1431" s="204"/>
      <c r="W1431" s="204"/>
      <c r="X1431" s="204"/>
      <c r="Y1431" s="204"/>
      <c r="Z1431" s="204"/>
      <c r="AA1431" s="204"/>
      <c r="AB1431" s="204"/>
      <c r="AC1431" s="204"/>
      <c r="AD1431" s="204"/>
      <c r="AE1431" s="204"/>
      <c r="AF1431" s="204"/>
      <c r="AG1431" s="204"/>
      <c r="AH1431" s="204"/>
      <c r="AI1431" s="209"/>
      <c r="AJ1431" s="209"/>
      <c r="AK1431" s="204"/>
      <c r="AL1431" s="204"/>
      <c r="AM1431" s="204"/>
    </row>
    <row r="1432">
      <c r="A1432" s="204"/>
      <c r="B1432" s="209"/>
      <c r="C1432" s="204"/>
      <c r="D1432" s="210"/>
      <c r="E1432" s="211"/>
      <c r="F1432" s="211"/>
      <c r="G1432" s="212"/>
      <c r="H1432" s="212"/>
      <c r="I1432" s="204"/>
      <c r="J1432" s="204"/>
      <c r="K1432" s="204"/>
      <c r="L1432" s="204"/>
      <c r="M1432" s="204"/>
      <c r="N1432" s="204"/>
      <c r="O1432" s="204"/>
      <c r="P1432" s="204"/>
      <c r="Q1432" s="204"/>
      <c r="R1432" s="204"/>
      <c r="S1432" s="204"/>
      <c r="T1432" s="204"/>
      <c r="U1432" s="204"/>
      <c r="V1432" s="204"/>
      <c r="W1432" s="204"/>
      <c r="X1432" s="204"/>
      <c r="Y1432" s="204"/>
      <c r="Z1432" s="204"/>
      <c r="AA1432" s="204"/>
      <c r="AB1432" s="204"/>
      <c r="AC1432" s="204"/>
      <c r="AD1432" s="204"/>
      <c r="AE1432" s="204"/>
      <c r="AF1432" s="204"/>
      <c r="AG1432" s="204"/>
      <c r="AH1432" s="204"/>
      <c r="AI1432" s="209"/>
      <c r="AJ1432" s="209"/>
      <c r="AK1432" s="204"/>
      <c r="AL1432" s="204"/>
      <c r="AM1432" s="204"/>
    </row>
    <row r="1433">
      <c r="A1433" s="204"/>
      <c r="B1433" s="209"/>
      <c r="C1433" s="204"/>
      <c r="D1433" s="210"/>
      <c r="E1433" s="211"/>
      <c r="F1433" s="211"/>
      <c r="G1433" s="212"/>
      <c r="H1433" s="212"/>
      <c r="I1433" s="204"/>
      <c r="J1433" s="204"/>
      <c r="K1433" s="204"/>
      <c r="L1433" s="204"/>
      <c r="M1433" s="204"/>
      <c r="N1433" s="204"/>
      <c r="O1433" s="204"/>
      <c r="P1433" s="204"/>
      <c r="Q1433" s="204"/>
      <c r="R1433" s="204"/>
      <c r="S1433" s="204"/>
      <c r="T1433" s="204"/>
      <c r="U1433" s="204"/>
      <c r="V1433" s="204"/>
      <c r="W1433" s="204"/>
      <c r="X1433" s="204"/>
      <c r="Y1433" s="204"/>
      <c r="Z1433" s="204"/>
      <c r="AA1433" s="204"/>
      <c r="AB1433" s="204"/>
      <c r="AC1433" s="204"/>
      <c r="AD1433" s="204"/>
      <c r="AE1433" s="204"/>
      <c r="AF1433" s="204"/>
      <c r="AG1433" s="204"/>
      <c r="AH1433" s="204"/>
      <c r="AI1433" s="209"/>
      <c r="AJ1433" s="209"/>
      <c r="AK1433" s="204"/>
      <c r="AL1433" s="204"/>
      <c r="AM1433" s="204"/>
    </row>
    <row r="1434">
      <c r="A1434" s="204"/>
      <c r="B1434" s="209"/>
      <c r="C1434" s="204"/>
      <c r="D1434" s="210"/>
      <c r="E1434" s="211"/>
      <c r="F1434" s="211"/>
      <c r="G1434" s="212"/>
      <c r="H1434" s="212"/>
      <c r="I1434" s="204"/>
      <c r="J1434" s="204"/>
      <c r="K1434" s="204"/>
      <c r="L1434" s="204"/>
      <c r="M1434" s="204"/>
      <c r="N1434" s="204"/>
      <c r="O1434" s="204"/>
      <c r="P1434" s="204"/>
      <c r="Q1434" s="204"/>
      <c r="R1434" s="204"/>
      <c r="S1434" s="204"/>
      <c r="T1434" s="204"/>
      <c r="U1434" s="204"/>
      <c r="V1434" s="204"/>
      <c r="W1434" s="204"/>
      <c r="X1434" s="204"/>
      <c r="Y1434" s="204"/>
      <c r="Z1434" s="204"/>
      <c r="AA1434" s="204"/>
      <c r="AB1434" s="204"/>
      <c r="AC1434" s="204"/>
      <c r="AD1434" s="204"/>
      <c r="AE1434" s="204"/>
      <c r="AF1434" s="204"/>
      <c r="AG1434" s="204"/>
      <c r="AH1434" s="204"/>
      <c r="AI1434" s="209"/>
      <c r="AJ1434" s="209"/>
      <c r="AK1434" s="204"/>
      <c r="AL1434" s="204"/>
      <c r="AM1434" s="204"/>
    </row>
    <row r="1435">
      <c r="A1435" s="204"/>
      <c r="B1435" s="209"/>
      <c r="C1435" s="204"/>
      <c r="D1435" s="210"/>
      <c r="E1435" s="211"/>
      <c r="F1435" s="211"/>
      <c r="G1435" s="212"/>
      <c r="H1435" s="212"/>
      <c r="I1435" s="204"/>
      <c r="J1435" s="204"/>
      <c r="K1435" s="204"/>
      <c r="L1435" s="204"/>
      <c r="M1435" s="204"/>
      <c r="N1435" s="204"/>
      <c r="O1435" s="204"/>
      <c r="P1435" s="204"/>
      <c r="Q1435" s="204"/>
      <c r="R1435" s="204"/>
      <c r="S1435" s="204"/>
      <c r="T1435" s="204"/>
      <c r="U1435" s="204"/>
      <c r="V1435" s="204"/>
      <c r="W1435" s="204"/>
      <c r="X1435" s="204"/>
      <c r="Y1435" s="204"/>
      <c r="Z1435" s="204"/>
      <c r="AA1435" s="204"/>
      <c r="AB1435" s="204"/>
      <c r="AC1435" s="204"/>
      <c r="AD1435" s="204"/>
      <c r="AE1435" s="204"/>
      <c r="AF1435" s="204"/>
      <c r="AG1435" s="204"/>
      <c r="AH1435" s="204"/>
      <c r="AI1435" s="209"/>
      <c r="AJ1435" s="209"/>
      <c r="AK1435" s="204"/>
      <c r="AL1435" s="204"/>
      <c r="AM1435" s="204"/>
    </row>
    <row r="1436">
      <c r="A1436" s="204"/>
      <c r="B1436" s="209"/>
      <c r="C1436" s="204"/>
      <c r="D1436" s="210"/>
      <c r="E1436" s="211"/>
      <c r="F1436" s="211"/>
      <c r="G1436" s="212"/>
      <c r="H1436" s="212"/>
      <c r="I1436" s="204"/>
      <c r="J1436" s="204"/>
      <c r="K1436" s="204"/>
      <c r="L1436" s="204"/>
      <c r="M1436" s="204"/>
      <c r="N1436" s="204"/>
      <c r="O1436" s="204"/>
      <c r="P1436" s="204"/>
      <c r="Q1436" s="204"/>
      <c r="R1436" s="204"/>
      <c r="S1436" s="204"/>
      <c r="T1436" s="204"/>
      <c r="U1436" s="204"/>
      <c r="V1436" s="204"/>
      <c r="W1436" s="204"/>
      <c r="X1436" s="204"/>
      <c r="Y1436" s="204"/>
      <c r="Z1436" s="204"/>
      <c r="AA1436" s="204"/>
      <c r="AB1436" s="204"/>
      <c r="AC1436" s="204"/>
      <c r="AD1436" s="204"/>
      <c r="AE1436" s="204"/>
      <c r="AF1436" s="204"/>
      <c r="AG1436" s="204"/>
      <c r="AH1436" s="204"/>
      <c r="AI1436" s="209"/>
      <c r="AJ1436" s="209"/>
      <c r="AK1436" s="204"/>
      <c r="AL1436" s="204"/>
      <c r="AM1436" s="204"/>
    </row>
    <row r="1437">
      <c r="A1437" s="204"/>
      <c r="B1437" s="209"/>
      <c r="C1437" s="204"/>
      <c r="D1437" s="210"/>
      <c r="E1437" s="211"/>
      <c r="F1437" s="211"/>
      <c r="G1437" s="212"/>
      <c r="H1437" s="212"/>
      <c r="I1437" s="204"/>
      <c r="J1437" s="204"/>
      <c r="K1437" s="204"/>
      <c r="L1437" s="204"/>
      <c r="M1437" s="204"/>
      <c r="N1437" s="204"/>
      <c r="O1437" s="204"/>
      <c r="P1437" s="204"/>
      <c r="Q1437" s="204"/>
      <c r="R1437" s="204"/>
      <c r="S1437" s="204"/>
      <c r="T1437" s="204"/>
      <c r="U1437" s="204"/>
      <c r="V1437" s="204"/>
      <c r="W1437" s="204"/>
      <c r="X1437" s="204"/>
      <c r="Y1437" s="204"/>
      <c r="Z1437" s="204"/>
      <c r="AA1437" s="204"/>
      <c r="AB1437" s="204"/>
      <c r="AC1437" s="204"/>
      <c r="AD1437" s="204"/>
      <c r="AE1437" s="204"/>
      <c r="AF1437" s="204"/>
      <c r="AG1437" s="204"/>
      <c r="AH1437" s="204"/>
      <c r="AI1437" s="209"/>
      <c r="AJ1437" s="209"/>
      <c r="AK1437" s="204"/>
      <c r="AL1437" s="204"/>
      <c r="AM1437" s="204"/>
    </row>
    <row r="1438">
      <c r="A1438" s="204"/>
      <c r="B1438" s="209"/>
      <c r="C1438" s="204"/>
      <c r="D1438" s="210"/>
      <c r="E1438" s="211"/>
      <c r="F1438" s="211"/>
      <c r="G1438" s="212"/>
      <c r="H1438" s="212"/>
      <c r="I1438" s="204"/>
      <c r="J1438" s="204"/>
      <c r="K1438" s="204"/>
      <c r="L1438" s="204"/>
      <c r="M1438" s="204"/>
      <c r="N1438" s="204"/>
      <c r="O1438" s="204"/>
      <c r="P1438" s="204"/>
      <c r="Q1438" s="204"/>
      <c r="R1438" s="204"/>
      <c r="S1438" s="204"/>
      <c r="T1438" s="204"/>
      <c r="U1438" s="204"/>
      <c r="V1438" s="204"/>
      <c r="W1438" s="204"/>
      <c r="X1438" s="204"/>
      <c r="Y1438" s="204"/>
      <c r="Z1438" s="204"/>
      <c r="AA1438" s="204"/>
      <c r="AB1438" s="204"/>
      <c r="AC1438" s="204"/>
      <c r="AD1438" s="204"/>
      <c r="AE1438" s="204"/>
      <c r="AF1438" s="204"/>
      <c r="AG1438" s="204"/>
      <c r="AH1438" s="204"/>
      <c r="AI1438" s="209"/>
      <c r="AJ1438" s="209"/>
      <c r="AK1438" s="204"/>
      <c r="AL1438" s="204"/>
      <c r="AM1438" s="204"/>
    </row>
    <row r="1439">
      <c r="A1439" s="204"/>
      <c r="B1439" s="209"/>
      <c r="C1439" s="204"/>
      <c r="D1439" s="210"/>
      <c r="E1439" s="211"/>
      <c r="F1439" s="211"/>
      <c r="G1439" s="212"/>
      <c r="H1439" s="212"/>
      <c r="I1439" s="204"/>
      <c r="J1439" s="204"/>
      <c r="K1439" s="204"/>
      <c r="L1439" s="204"/>
      <c r="M1439" s="204"/>
      <c r="N1439" s="204"/>
      <c r="O1439" s="204"/>
      <c r="P1439" s="204"/>
      <c r="Q1439" s="204"/>
      <c r="R1439" s="204"/>
      <c r="S1439" s="204"/>
      <c r="T1439" s="204"/>
      <c r="U1439" s="204"/>
      <c r="V1439" s="204"/>
      <c r="W1439" s="204"/>
      <c r="X1439" s="204"/>
      <c r="Y1439" s="204"/>
      <c r="Z1439" s="204"/>
      <c r="AA1439" s="204"/>
      <c r="AB1439" s="204"/>
      <c r="AC1439" s="204"/>
      <c r="AD1439" s="204"/>
      <c r="AE1439" s="204"/>
      <c r="AF1439" s="204"/>
      <c r="AG1439" s="204"/>
      <c r="AH1439" s="204"/>
      <c r="AI1439" s="209"/>
      <c r="AJ1439" s="209"/>
      <c r="AK1439" s="204"/>
      <c r="AL1439" s="204"/>
      <c r="AM1439" s="204"/>
    </row>
    <row r="1440">
      <c r="A1440" s="204"/>
      <c r="B1440" s="209"/>
      <c r="C1440" s="204"/>
      <c r="D1440" s="210"/>
      <c r="E1440" s="211"/>
      <c r="F1440" s="211"/>
      <c r="G1440" s="212"/>
      <c r="H1440" s="212"/>
      <c r="I1440" s="204"/>
      <c r="J1440" s="204"/>
      <c r="K1440" s="204"/>
      <c r="L1440" s="204"/>
      <c r="M1440" s="204"/>
      <c r="N1440" s="204"/>
      <c r="O1440" s="204"/>
      <c r="P1440" s="204"/>
      <c r="Q1440" s="204"/>
      <c r="R1440" s="204"/>
      <c r="S1440" s="204"/>
      <c r="T1440" s="204"/>
      <c r="U1440" s="204"/>
      <c r="V1440" s="204"/>
      <c r="W1440" s="204"/>
      <c r="X1440" s="204"/>
      <c r="Y1440" s="204"/>
      <c r="Z1440" s="204"/>
      <c r="AA1440" s="204"/>
      <c r="AB1440" s="204"/>
      <c r="AC1440" s="204"/>
      <c r="AD1440" s="204"/>
      <c r="AE1440" s="204"/>
      <c r="AF1440" s="204"/>
      <c r="AG1440" s="204"/>
      <c r="AH1440" s="204"/>
      <c r="AI1440" s="209"/>
      <c r="AJ1440" s="209"/>
      <c r="AK1440" s="204"/>
      <c r="AL1440" s="204"/>
      <c r="AM1440" s="204"/>
    </row>
    <row r="1441">
      <c r="A1441" s="204"/>
      <c r="B1441" s="209"/>
      <c r="C1441" s="204"/>
      <c r="D1441" s="210"/>
      <c r="E1441" s="211"/>
      <c r="F1441" s="211"/>
      <c r="G1441" s="212"/>
      <c r="H1441" s="212"/>
      <c r="I1441" s="204"/>
      <c r="J1441" s="204"/>
      <c r="K1441" s="204"/>
      <c r="L1441" s="204"/>
      <c r="M1441" s="204"/>
      <c r="N1441" s="204"/>
      <c r="O1441" s="204"/>
      <c r="P1441" s="204"/>
      <c r="Q1441" s="204"/>
      <c r="R1441" s="204"/>
      <c r="S1441" s="204"/>
      <c r="T1441" s="204"/>
      <c r="U1441" s="204"/>
      <c r="V1441" s="204"/>
      <c r="W1441" s="204"/>
      <c r="X1441" s="204"/>
      <c r="Y1441" s="204"/>
      <c r="Z1441" s="204"/>
      <c r="AA1441" s="204"/>
      <c r="AB1441" s="204"/>
      <c r="AC1441" s="204"/>
      <c r="AD1441" s="204"/>
      <c r="AE1441" s="204"/>
      <c r="AF1441" s="204"/>
      <c r="AG1441" s="204"/>
      <c r="AH1441" s="204"/>
      <c r="AI1441" s="209"/>
      <c r="AJ1441" s="209"/>
      <c r="AK1441" s="204"/>
      <c r="AL1441" s="204"/>
      <c r="AM1441" s="204"/>
    </row>
    <row r="1442">
      <c r="A1442" s="204"/>
      <c r="B1442" s="209"/>
      <c r="C1442" s="204"/>
      <c r="D1442" s="210"/>
      <c r="E1442" s="211"/>
      <c r="F1442" s="211"/>
      <c r="G1442" s="212"/>
      <c r="H1442" s="212"/>
      <c r="I1442" s="204"/>
      <c r="J1442" s="204"/>
      <c r="K1442" s="204"/>
      <c r="L1442" s="204"/>
      <c r="M1442" s="204"/>
      <c r="N1442" s="204"/>
      <c r="O1442" s="204"/>
      <c r="P1442" s="204"/>
      <c r="Q1442" s="204"/>
      <c r="R1442" s="204"/>
      <c r="S1442" s="204"/>
      <c r="T1442" s="204"/>
      <c r="U1442" s="204"/>
      <c r="V1442" s="204"/>
      <c r="W1442" s="204"/>
      <c r="X1442" s="204"/>
      <c r="Y1442" s="204"/>
      <c r="Z1442" s="204"/>
      <c r="AA1442" s="204"/>
      <c r="AB1442" s="204"/>
      <c r="AC1442" s="204"/>
      <c r="AD1442" s="204"/>
      <c r="AE1442" s="204"/>
      <c r="AF1442" s="204"/>
      <c r="AG1442" s="204"/>
      <c r="AH1442" s="204"/>
      <c r="AI1442" s="209"/>
      <c r="AJ1442" s="209"/>
      <c r="AK1442" s="204"/>
      <c r="AL1442" s="204"/>
      <c r="AM1442" s="204"/>
    </row>
    <row r="1443">
      <c r="A1443" s="204"/>
      <c r="B1443" s="209"/>
      <c r="C1443" s="204"/>
      <c r="D1443" s="210"/>
      <c r="E1443" s="211"/>
      <c r="F1443" s="211"/>
      <c r="G1443" s="212"/>
      <c r="H1443" s="212"/>
      <c r="I1443" s="204"/>
      <c r="J1443" s="204"/>
      <c r="K1443" s="204"/>
      <c r="L1443" s="204"/>
      <c r="M1443" s="204"/>
      <c r="N1443" s="204"/>
      <c r="O1443" s="204"/>
      <c r="P1443" s="204"/>
      <c r="Q1443" s="204"/>
      <c r="R1443" s="204"/>
      <c r="S1443" s="204"/>
      <c r="T1443" s="204"/>
      <c r="U1443" s="204"/>
      <c r="V1443" s="204"/>
      <c r="W1443" s="204"/>
      <c r="X1443" s="204"/>
      <c r="Y1443" s="204"/>
      <c r="Z1443" s="204"/>
      <c r="AA1443" s="204"/>
      <c r="AB1443" s="204"/>
      <c r="AC1443" s="204"/>
      <c r="AD1443" s="204"/>
      <c r="AE1443" s="204"/>
      <c r="AF1443" s="204"/>
      <c r="AG1443" s="204"/>
      <c r="AH1443" s="204"/>
      <c r="AI1443" s="209"/>
      <c r="AJ1443" s="209"/>
      <c r="AK1443" s="204"/>
      <c r="AL1443" s="204"/>
      <c r="AM1443" s="204"/>
    </row>
    <row r="1444">
      <c r="A1444" s="204"/>
      <c r="B1444" s="209"/>
      <c r="C1444" s="204"/>
      <c r="D1444" s="210"/>
      <c r="E1444" s="211"/>
      <c r="F1444" s="211"/>
      <c r="G1444" s="212"/>
      <c r="H1444" s="212"/>
      <c r="I1444" s="204"/>
      <c r="J1444" s="204"/>
      <c r="K1444" s="204"/>
      <c r="L1444" s="204"/>
      <c r="M1444" s="204"/>
      <c r="N1444" s="204"/>
      <c r="O1444" s="204"/>
      <c r="P1444" s="204"/>
      <c r="Q1444" s="204"/>
      <c r="R1444" s="204"/>
      <c r="S1444" s="204"/>
      <c r="T1444" s="204"/>
      <c r="U1444" s="204"/>
      <c r="V1444" s="204"/>
      <c r="W1444" s="204"/>
      <c r="X1444" s="204"/>
      <c r="Y1444" s="204"/>
      <c r="Z1444" s="204"/>
      <c r="AA1444" s="204"/>
      <c r="AB1444" s="204"/>
      <c r="AC1444" s="204"/>
      <c r="AD1444" s="204"/>
      <c r="AE1444" s="204"/>
      <c r="AF1444" s="204"/>
      <c r="AG1444" s="204"/>
      <c r="AH1444" s="204"/>
      <c r="AI1444" s="209"/>
      <c r="AJ1444" s="209"/>
      <c r="AK1444" s="204"/>
      <c r="AL1444" s="204"/>
      <c r="AM1444" s="204"/>
    </row>
    <row r="1445">
      <c r="A1445" s="204"/>
      <c r="B1445" s="209"/>
      <c r="C1445" s="204"/>
      <c r="D1445" s="210"/>
      <c r="E1445" s="211"/>
      <c r="F1445" s="211"/>
      <c r="G1445" s="212"/>
      <c r="H1445" s="212"/>
      <c r="I1445" s="204"/>
      <c r="J1445" s="204"/>
      <c r="K1445" s="204"/>
      <c r="L1445" s="204"/>
      <c r="M1445" s="204"/>
      <c r="N1445" s="204"/>
      <c r="O1445" s="204"/>
      <c r="P1445" s="204"/>
      <c r="Q1445" s="204"/>
      <c r="R1445" s="204"/>
      <c r="S1445" s="204"/>
      <c r="T1445" s="204"/>
      <c r="U1445" s="204"/>
      <c r="V1445" s="204"/>
      <c r="W1445" s="204"/>
      <c r="X1445" s="204"/>
      <c r="Y1445" s="204"/>
      <c r="Z1445" s="204"/>
      <c r="AA1445" s="204"/>
      <c r="AB1445" s="204"/>
      <c r="AC1445" s="204"/>
      <c r="AD1445" s="204"/>
      <c r="AE1445" s="204"/>
      <c r="AF1445" s="204"/>
      <c r="AG1445" s="204"/>
      <c r="AH1445" s="204"/>
      <c r="AI1445" s="209"/>
      <c r="AJ1445" s="209"/>
      <c r="AK1445" s="204"/>
      <c r="AL1445" s="204"/>
      <c r="AM1445" s="204"/>
    </row>
    <row r="1446">
      <c r="A1446" s="204"/>
      <c r="B1446" s="209"/>
      <c r="C1446" s="204"/>
      <c r="D1446" s="210"/>
      <c r="E1446" s="211"/>
      <c r="F1446" s="211"/>
      <c r="G1446" s="212"/>
      <c r="H1446" s="212"/>
      <c r="I1446" s="204"/>
      <c r="J1446" s="204"/>
      <c r="K1446" s="204"/>
      <c r="L1446" s="204"/>
      <c r="M1446" s="204"/>
      <c r="N1446" s="204"/>
      <c r="O1446" s="204"/>
      <c r="P1446" s="204"/>
      <c r="Q1446" s="204"/>
      <c r="R1446" s="204"/>
      <c r="S1446" s="204"/>
      <c r="T1446" s="204"/>
      <c r="U1446" s="204"/>
      <c r="V1446" s="204"/>
      <c r="W1446" s="204"/>
      <c r="X1446" s="204"/>
      <c r="Y1446" s="204"/>
      <c r="Z1446" s="204"/>
      <c r="AA1446" s="204"/>
      <c r="AB1446" s="204"/>
      <c r="AC1446" s="204"/>
      <c r="AD1446" s="204"/>
      <c r="AE1446" s="204"/>
      <c r="AF1446" s="204"/>
      <c r="AG1446" s="204"/>
      <c r="AH1446" s="204"/>
      <c r="AI1446" s="209"/>
      <c r="AJ1446" s="209"/>
      <c r="AK1446" s="204"/>
      <c r="AL1446" s="204"/>
      <c r="AM1446" s="204"/>
    </row>
    <row r="1447">
      <c r="A1447" s="204"/>
      <c r="B1447" s="209"/>
      <c r="C1447" s="204"/>
      <c r="D1447" s="210"/>
      <c r="E1447" s="211"/>
      <c r="F1447" s="211"/>
      <c r="G1447" s="212"/>
      <c r="H1447" s="212"/>
      <c r="I1447" s="204"/>
      <c r="J1447" s="204"/>
      <c r="K1447" s="204"/>
      <c r="L1447" s="204"/>
      <c r="M1447" s="204"/>
      <c r="N1447" s="204"/>
      <c r="O1447" s="204"/>
      <c r="P1447" s="204"/>
      <c r="Q1447" s="204"/>
      <c r="R1447" s="204"/>
      <c r="S1447" s="204"/>
      <c r="T1447" s="204"/>
      <c r="U1447" s="204"/>
      <c r="V1447" s="204"/>
      <c r="W1447" s="204"/>
      <c r="X1447" s="204"/>
      <c r="Y1447" s="204"/>
      <c r="Z1447" s="204"/>
      <c r="AA1447" s="204"/>
      <c r="AB1447" s="204"/>
      <c r="AC1447" s="204"/>
      <c r="AD1447" s="204"/>
      <c r="AE1447" s="204"/>
      <c r="AF1447" s="204"/>
      <c r="AG1447" s="204"/>
      <c r="AH1447" s="204"/>
      <c r="AI1447" s="209"/>
      <c r="AJ1447" s="209"/>
      <c r="AK1447" s="204"/>
      <c r="AL1447" s="204"/>
      <c r="AM1447" s="204"/>
    </row>
    <row r="1448">
      <c r="A1448" s="204"/>
      <c r="B1448" s="209"/>
      <c r="C1448" s="204"/>
      <c r="D1448" s="210"/>
      <c r="E1448" s="211"/>
      <c r="F1448" s="211"/>
      <c r="G1448" s="212"/>
      <c r="H1448" s="212"/>
      <c r="I1448" s="204"/>
      <c r="J1448" s="204"/>
      <c r="K1448" s="204"/>
      <c r="L1448" s="204"/>
      <c r="M1448" s="204"/>
      <c r="N1448" s="204"/>
      <c r="O1448" s="204"/>
      <c r="P1448" s="204"/>
      <c r="Q1448" s="204"/>
      <c r="R1448" s="204"/>
      <c r="S1448" s="204"/>
      <c r="T1448" s="204"/>
      <c r="U1448" s="204"/>
      <c r="V1448" s="204"/>
      <c r="W1448" s="204"/>
      <c r="X1448" s="204"/>
      <c r="Y1448" s="204"/>
      <c r="Z1448" s="204"/>
      <c r="AA1448" s="204"/>
      <c r="AB1448" s="204"/>
      <c r="AC1448" s="204"/>
      <c r="AD1448" s="204"/>
      <c r="AE1448" s="204"/>
      <c r="AF1448" s="204"/>
      <c r="AG1448" s="204"/>
      <c r="AH1448" s="204"/>
      <c r="AI1448" s="209"/>
      <c r="AJ1448" s="209"/>
      <c r="AK1448" s="204"/>
      <c r="AL1448" s="204"/>
      <c r="AM1448" s="204"/>
    </row>
    <row r="1449">
      <c r="A1449" s="204"/>
      <c r="B1449" s="209"/>
      <c r="C1449" s="204"/>
      <c r="D1449" s="210"/>
      <c r="E1449" s="211"/>
      <c r="F1449" s="211"/>
      <c r="G1449" s="212"/>
      <c r="H1449" s="212"/>
      <c r="I1449" s="204"/>
      <c r="J1449" s="204"/>
      <c r="K1449" s="204"/>
      <c r="L1449" s="204"/>
      <c r="M1449" s="204"/>
      <c r="N1449" s="204"/>
      <c r="O1449" s="204"/>
      <c r="P1449" s="204"/>
      <c r="Q1449" s="204"/>
      <c r="R1449" s="204"/>
      <c r="S1449" s="204"/>
      <c r="T1449" s="204"/>
      <c r="U1449" s="204"/>
      <c r="V1449" s="204"/>
      <c r="W1449" s="204"/>
      <c r="X1449" s="204"/>
      <c r="Y1449" s="204"/>
      <c r="Z1449" s="204"/>
      <c r="AA1449" s="204"/>
      <c r="AB1449" s="204"/>
      <c r="AC1449" s="204"/>
      <c r="AD1449" s="204"/>
      <c r="AE1449" s="204"/>
      <c r="AF1449" s="204"/>
      <c r="AG1449" s="204"/>
      <c r="AH1449" s="204"/>
      <c r="AI1449" s="209"/>
      <c r="AJ1449" s="209"/>
      <c r="AK1449" s="204"/>
      <c r="AL1449" s="204"/>
      <c r="AM1449" s="204"/>
    </row>
    <row r="1450">
      <c r="A1450" s="204"/>
      <c r="B1450" s="209"/>
      <c r="C1450" s="204"/>
      <c r="D1450" s="210"/>
      <c r="E1450" s="211"/>
      <c r="F1450" s="211"/>
      <c r="G1450" s="212"/>
      <c r="H1450" s="212"/>
      <c r="I1450" s="204"/>
      <c r="J1450" s="204"/>
      <c r="K1450" s="204"/>
      <c r="L1450" s="204"/>
      <c r="M1450" s="204"/>
      <c r="N1450" s="204"/>
      <c r="O1450" s="204"/>
      <c r="P1450" s="204"/>
      <c r="Q1450" s="204"/>
      <c r="R1450" s="204"/>
      <c r="S1450" s="204"/>
      <c r="T1450" s="204"/>
      <c r="U1450" s="204"/>
      <c r="V1450" s="204"/>
      <c r="W1450" s="204"/>
      <c r="X1450" s="204"/>
      <c r="Y1450" s="204"/>
      <c r="Z1450" s="204"/>
      <c r="AA1450" s="204"/>
      <c r="AB1450" s="204"/>
      <c r="AC1450" s="204"/>
      <c r="AD1450" s="204"/>
      <c r="AE1450" s="204"/>
      <c r="AF1450" s="204"/>
      <c r="AG1450" s="204"/>
      <c r="AH1450" s="204"/>
      <c r="AI1450" s="209"/>
      <c r="AJ1450" s="209"/>
      <c r="AK1450" s="204"/>
      <c r="AL1450" s="204"/>
      <c r="AM1450" s="204"/>
    </row>
    <row r="1451">
      <c r="A1451" s="204"/>
      <c r="B1451" s="209"/>
      <c r="C1451" s="204"/>
      <c r="D1451" s="210"/>
      <c r="E1451" s="211"/>
      <c r="F1451" s="211"/>
      <c r="G1451" s="212"/>
      <c r="H1451" s="212"/>
      <c r="I1451" s="204"/>
      <c r="J1451" s="204"/>
      <c r="K1451" s="204"/>
      <c r="L1451" s="204"/>
      <c r="M1451" s="204"/>
      <c r="N1451" s="204"/>
      <c r="O1451" s="204"/>
      <c r="P1451" s="204"/>
      <c r="Q1451" s="204"/>
      <c r="R1451" s="204"/>
      <c r="S1451" s="204"/>
      <c r="T1451" s="204"/>
      <c r="U1451" s="204"/>
      <c r="V1451" s="204"/>
      <c r="W1451" s="204"/>
      <c r="X1451" s="204"/>
      <c r="Y1451" s="204"/>
      <c r="Z1451" s="204"/>
      <c r="AA1451" s="204"/>
      <c r="AB1451" s="204"/>
      <c r="AC1451" s="204"/>
      <c r="AD1451" s="204"/>
      <c r="AE1451" s="204"/>
      <c r="AF1451" s="204"/>
      <c r="AG1451" s="204"/>
      <c r="AH1451" s="204"/>
      <c r="AI1451" s="209"/>
      <c r="AJ1451" s="209"/>
      <c r="AK1451" s="204"/>
      <c r="AL1451" s="204"/>
      <c r="AM1451" s="204"/>
    </row>
    <row r="1452">
      <c r="A1452" s="204"/>
      <c r="B1452" s="209"/>
      <c r="C1452" s="204"/>
      <c r="D1452" s="210"/>
      <c r="E1452" s="211"/>
      <c r="F1452" s="211"/>
      <c r="G1452" s="212"/>
      <c r="H1452" s="212"/>
      <c r="I1452" s="204"/>
      <c r="J1452" s="204"/>
      <c r="K1452" s="204"/>
      <c r="L1452" s="204"/>
      <c r="M1452" s="204"/>
      <c r="N1452" s="204"/>
      <c r="O1452" s="204"/>
      <c r="P1452" s="204"/>
      <c r="Q1452" s="204"/>
      <c r="R1452" s="204"/>
      <c r="S1452" s="204"/>
      <c r="T1452" s="204"/>
      <c r="U1452" s="204"/>
      <c r="V1452" s="204"/>
      <c r="W1452" s="204"/>
      <c r="X1452" s="204"/>
      <c r="Y1452" s="204"/>
      <c r="Z1452" s="204"/>
      <c r="AA1452" s="204"/>
      <c r="AB1452" s="204"/>
      <c r="AC1452" s="204"/>
      <c r="AD1452" s="204"/>
      <c r="AE1452" s="204"/>
      <c r="AF1452" s="204"/>
      <c r="AG1452" s="204"/>
      <c r="AH1452" s="204"/>
      <c r="AI1452" s="209"/>
      <c r="AJ1452" s="209"/>
      <c r="AK1452" s="204"/>
      <c r="AL1452" s="204"/>
      <c r="AM1452" s="204"/>
    </row>
    <row r="1453">
      <c r="A1453" s="204"/>
      <c r="B1453" s="209"/>
      <c r="C1453" s="204"/>
      <c r="D1453" s="210"/>
      <c r="E1453" s="211"/>
      <c r="F1453" s="211"/>
      <c r="G1453" s="212"/>
      <c r="H1453" s="212"/>
      <c r="I1453" s="204"/>
      <c r="J1453" s="204"/>
      <c r="K1453" s="204"/>
      <c r="L1453" s="204"/>
      <c r="M1453" s="204"/>
      <c r="N1453" s="204"/>
      <c r="O1453" s="204"/>
      <c r="P1453" s="204"/>
      <c r="Q1453" s="204"/>
      <c r="R1453" s="204"/>
      <c r="S1453" s="204"/>
      <c r="T1453" s="204"/>
      <c r="U1453" s="204"/>
      <c r="V1453" s="204"/>
      <c r="W1453" s="204"/>
      <c r="X1453" s="204"/>
      <c r="Y1453" s="204"/>
      <c r="Z1453" s="204"/>
      <c r="AA1453" s="204"/>
      <c r="AB1453" s="204"/>
      <c r="AC1453" s="204"/>
      <c r="AD1453" s="204"/>
      <c r="AE1453" s="204"/>
      <c r="AF1453" s="204"/>
      <c r="AG1453" s="204"/>
      <c r="AH1453" s="204"/>
      <c r="AI1453" s="209"/>
      <c r="AJ1453" s="209"/>
      <c r="AK1453" s="204"/>
      <c r="AL1453" s="204"/>
      <c r="AM1453" s="204"/>
    </row>
    <row r="1454">
      <c r="A1454" s="204"/>
      <c r="B1454" s="209"/>
      <c r="C1454" s="204"/>
      <c r="D1454" s="210"/>
      <c r="E1454" s="211"/>
      <c r="F1454" s="211"/>
      <c r="G1454" s="212"/>
      <c r="H1454" s="212"/>
      <c r="I1454" s="204"/>
      <c r="J1454" s="204"/>
      <c r="K1454" s="204"/>
      <c r="L1454" s="204"/>
      <c r="M1454" s="204"/>
      <c r="N1454" s="204"/>
      <c r="O1454" s="204"/>
      <c r="P1454" s="204"/>
      <c r="Q1454" s="204"/>
      <c r="R1454" s="204"/>
      <c r="S1454" s="204"/>
      <c r="T1454" s="204"/>
      <c r="U1454" s="204"/>
      <c r="V1454" s="204"/>
      <c r="W1454" s="204"/>
      <c r="X1454" s="204"/>
      <c r="Y1454" s="204"/>
      <c r="Z1454" s="204"/>
      <c r="AA1454" s="204"/>
      <c r="AB1454" s="204"/>
      <c r="AC1454" s="204"/>
      <c r="AD1454" s="204"/>
      <c r="AE1454" s="204"/>
      <c r="AF1454" s="204"/>
      <c r="AG1454" s="204"/>
      <c r="AH1454" s="204"/>
      <c r="AI1454" s="209"/>
      <c r="AJ1454" s="209"/>
      <c r="AK1454" s="204"/>
      <c r="AL1454" s="204"/>
      <c r="AM1454" s="204"/>
    </row>
    <row r="1455">
      <c r="A1455" s="204"/>
      <c r="B1455" s="209"/>
      <c r="C1455" s="204"/>
      <c r="D1455" s="210"/>
      <c r="E1455" s="211"/>
      <c r="F1455" s="211"/>
      <c r="G1455" s="212"/>
      <c r="H1455" s="212"/>
      <c r="I1455" s="204"/>
      <c r="J1455" s="204"/>
      <c r="K1455" s="204"/>
      <c r="L1455" s="204"/>
      <c r="M1455" s="204"/>
      <c r="N1455" s="204"/>
      <c r="O1455" s="204"/>
      <c r="P1455" s="204"/>
      <c r="Q1455" s="204"/>
      <c r="R1455" s="204"/>
      <c r="S1455" s="204"/>
      <c r="T1455" s="204"/>
      <c r="U1455" s="204"/>
      <c r="V1455" s="204"/>
      <c r="W1455" s="204"/>
      <c r="X1455" s="204"/>
      <c r="Y1455" s="204"/>
      <c r="Z1455" s="204"/>
      <c r="AA1455" s="204"/>
      <c r="AB1455" s="204"/>
      <c r="AC1455" s="204"/>
      <c r="AD1455" s="204"/>
      <c r="AE1455" s="204"/>
      <c r="AF1455" s="204"/>
      <c r="AG1455" s="204"/>
      <c r="AH1455" s="204"/>
      <c r="AI1455" s="209"/>
      <c r="AJ1455" s="209"/>
      <c r="AK1455" s="204"/>
      <c r="AL1455" s="204"/>
      <c r="AM1455" s="204"/>
    </row>
    <row r="1456">
      <c r="A1456" s="204"/>
      <c r="B1456" s="209"/>
      <c r="C1456" s="204"/>
      <c r="D1456" s="210"/>
      <c r="E1456" s="211"/>
      <c r="F1456" s="211"/>
      <c r="G1456" s="212"/>
      <c r="H1456" s="212"/>
      <c r="I1456" s="204"/>
      <c r="J1456" s="204"/>
      <c r="K1456" s="204"/>
      <c r="L1456" s="204"/>
      <c r="M1456" s="204"/>
      <c r="N1456" s="204"/>
      <c r="O1456" s="204"/>
      <c r="P1456" s="204"/>
      <c r="Q1456" s="204"/>
      <c r="R1456" s="204"/>
      <c r="S1456" s="204"/>
      <c r="T1456" s="204"/>
      <c r="U1456" s="204"/>
      <c r="V1456" s="204"/>
      <c r="W1456" s="204"/>
      <c r="X1456" s="204"/>
      <c r="Y1456" s="204"/>
      <c r="Z1456" s="204"/>
      <c r="AA1456" s="204"/>
      <c r="AB1456" s="204"/>
      <c r="AC1456" s="204"/>
      <c r="AD1456" s="204"/>
      <c r="AE1456" s="204"/>
      <c r="AF1456" s="204"/>
      <c r="AG1456" s="204"/>
      <c r="AH1456" s="204"/>
      <c r="AI1456" s="209"/>
      <c r="AJ1456" s="209"/>
      <c r="AK1456" s="204"/>
      <c r="AL1456" s="204"/>
      <c r="AM1456" s="204"/>
    </row>
    <row r="1457">
      <c r="A1457" s="204"/>
      <c r="B1457" s="209"/>
      <c r="C1457" s="204"/>
      <c r="D1457" s="210"/>
      <c r="E1457" s="211"/>
      <c r="F1457" s="211"/>
      <c r="G1457" s="212"/>
      <c r="H1457" s="212"/>
      <c r="I1457" s="204"/>
      <c r="J1457" s="204"/>
      <c r="K1457" s="204"/>
      <c r="L1457" s="204"/>
      <c r="M1457" s="204"/>
      <c r="N1457" s="204"/>
      <c r="O1457" s="204"/>
      <c r="P1457" s="204"/>
      <c r="Q1457" s="204"/>
      <c r="R1457" s="204"/>
      <c r="S1457" s="204"/>
      <c r="T1457" s="204"/>
      <c r="U1457" s="204"/>
      <c r="V1457" s="204"/>
      <c r="W1457" s="204"/>
      <c r="X1457" s="204"/>
      <c r="Y1457" s="204"/>
      <c r="Z1457" s="204"/>
      <c r="AA1457" s="204"/>
      <c r="AB1457" s="204"/>
      <c r="AC1457" s="204"/>
      <c r="AD1457" s="204"/>
      <c r="AE1457" s="204"/>
      <c r="AF1457" s="204"/>
      <c r="AG1457" s="204"/>
      <c r="AH1457" s="204"/>
      <c r="AI1457" s="209"/>
      <c r="AJ1457" s="209"/>
      <c r="AK1457" s="204"/>
      <c r="AL1457" s="204"/>
      <c r="AM1457" s="204"/>
    </row>
    <row r="1458">
      <c r="A1458" s="204"/>
      <c r="B1458" s="209"/>
      <c r="C1458" s="204"/>
      <c r="D1458" s="210"/>
      <c r="E1458" s="211"/>
      <c r="F1458" s="211"/>
      <c r="G1458" s="212"/>
      <c r="H1458" s="212"/>
      <c r="I1458" s="204"/>
      <c r="J1458" s="204"/>
      <c r="K1458" s="204"/>
      <c r="L1458" s="204"/>
      <c r="M1458" s="204"/>
      <c r="N1458" s="204"/>
      <c r="O1458" s="204"/>
      <c r="P1458" s="204"/>
      <c r="Q1458" s="204"/>
      <c r="R1458" s="204"/>
      <c r="S1458" s="204"/>
      <c r="T1458" s="204"/>
      <c r="U1458" s="204"/>
      <c r="V1458" s="204"/>
      <c r="W1458" s="204"/>
      <c r="X1458" s="204"/>
      <c r="Y1458" s="204"/>
      <c r="Z1458" s="204"/>
      <c r="AA1458" s="204"/>
      <c r="AB1458" s="204"/>
      <c r="AC1458" s="204"/>
      <c r="AD1458" s="204"/>
      <c r="AE1458" s="204"/>
      <c r="AF1458" s="204"/>
      <c r="AG1458" s="204"/>
      <c r="AH1458" s="204"/>
      <c r="AI1458" s="209"/>
      <c r="AJ1458" s="209"/>
      <c r="AK1458" s="204"/>
      <c r="AL1458" s="204"/>
      <c r="AM1458" s="204"/>
    </row>
    <row r="1459">
      <c r="A1459" s="204"/>
      <c r="B1459" s="209"/>
      <c r="C1459" s="204"/>
      <c r="D1459" s="210"/>
      <c r="E1459" s="211"/>
      <c r="F1459" s="211"/>
      <c r="G1459" s="212"/>
      <c r="H1459" s="212"/>
      <c r="I1459" s="204"/>
      <c r="J1459" s="204"/>
      <c r="K1459" s="204"/>
      <c r="L1459" s="204"/>
      <c r="M1459" s="204"/>
      <c r="N1459" s="204"/>
      <c r="O1459" s="204"/>
      <c r="P1459" s="204"/>
      <c r="Q1459" s="204"/>
      <c r="R1459" s="204"/>
      <c r="S1459" s="204"/>
      <c r="T1459" s="204"/>
      <c r="U1459" s="204"/>
      <c r="V1459" s="204"/>
      <c r="W1459" s="204"/>
      <c r="X1459" s="204"/>
      <c r="Y1459" s="204"/>
      <c r="Z1459" s="204"/>
      <c r="AA1459" s="204"/>
      <c r="AB1459" s="204"/>
      <c r="AC1459" s="204"/>
      <c r="AD1459" s="204"/>
      <c r="AE1459" s="204"/>
      <c r="AF1459" s="204"/>
      <c r="AG1459" s="204"/>
      <c r="AH1459" s="204"/>
      <c r="AI1459" s="209"/>
      <c r="AJ1459" s="209"/>
      <c r="AK1459" s="204"/>
      <c r="AL1459" s="204"/>
      <c r="AM1459" s="204"/>
    </row>
    <row r="1460">
      <c r="A1460" s="204"/>
      <c r="B1460" s="209"/>
      <c r="C1460" s="204"/>
      <c r="D1460" s="210"/>
      <c r="E1460" s="211"/>
      <c r="F1460" s="211"/>
      <c r="G1460" s="212"/>
      <c r="H1460" s="212"/>
      <c r="I1460" s="204"/>
      <c r="J1460" s="204"/>
      <c r="K1460" s="204"/>
      <c r="L1460" s="204"/>
      <c r="M1460" s="204"/>
      <c r="N1460" s="204"/>
      <c r="O1460" s="204"/>
      <c r="P1460" s="204"/>
      <c r="Q1460" s="204"/>
      <c r="R1460" s="204"/>
      <c r="S1460" s="204"/>
      <c r="T1460" s="204"/>
      <c r="U1460" s="204"/>
      <c r="V1460" s="204"/>
      <c r="W1460" s="204"/>
      <c r="X1460" s="204"/>
      <c r="Y1460" s="204"/>
      <c r="Z1460" s="204"/>
      <c r="AA1460" s="204"/>
      <c r="AB1460" s="204"/>
      <c r="AC1460" s="204"/>
      <c r="AD1460" s="204"/>
      <c r="AE1460" s="204"/>
      <c r="AF1460" s="204"/>
      <c r="AG1460" s="204"/>
      <c r="AH1460" s="204"/>
      <c r="AI1460" s="209"/>
      <c r="AJ1460" s="209"/>
      <c r="AK1460" s="204"/>
      <c r="AL1460" s="204"/>
      <c r="AM1460" s="204"/>
    </row>
    <row r="1461">
      <c r="A1461" s="204"/>
      <c r="B1461" s="209"/>
      <c r="C1461" s="204"/>
      <c r="D1461" s="210"/>
      <c r="E1461" s="211"/>
      <c r="F1461" s="211"/>
      <c r="G1461" s="212"/>
      <c r="H1461" s="212"/>
      <c r="I1461" s="204"/>
      <c r="J1461" s="204"/>
      <c r="K1461" s="204"/>
      <c r="L1461" s="204"/>
      <c r="M1461" s="204"/>
      <c r="N1461" s="204"/>
      <c r="O1461" s="204"/>
      <c r="P1461" s="204"/>
      <c r="Q1461" s="204"/>
      <c r="R1461" s="204"/>
      <c r="S1461" s="204"/>
      <c r="T1461" s="204"/>
      <c r="U1461" s="204"/>
      <c r="V1461" s="204"/>
      <c r="W1461" s="204"/>
      <c r="X1461" s="204"/>
      <c r="Y1461" s="204"/>
      <c r="Z1461" s="204"/>
      <c r="AA1461" s="204"/>
      <c r="AB1461" s="204"/>
      <c r="AC1461" s="204"/>
      <c r="AD1461" s="204"/>
      <c r="AE1461" s="204"/>
      <c r="AF1461" s="204"/>
      <c r="AG1461" s="204"/>
      <c r="AH1461" s="204"/>
      <c r="AI1461" s="209"/>
      <c r="AJ1461" s="209"/>
      <c r="AK1461" s="204"/>
      <c r="AL1461" s="204"/>
      <c r="AM1461" s="204"/>
    </row>
    <row r="1462">
      <c r="A1462" s="204"/>
      <c r="B1462" s="209"/>
      <c r="C1462" s="204"/>
      <c r="D1462" s="210"/>
      <c r="E1462" s="211"/>
      <c r="F1462" s="211"/>
      <c r="G1462" s="212"/>
      <c r="H1462" s="212"/>
      <c r="I1462" s="204"/>
      <c r="J1462" s="204"/>
      <c r="K1462" s="204"/>
      <c r="L1462" s="204"/>
      <c r="M1462" s="204"/>
      <c r="N1462" s="204"/>
      <c r="O1462" s="204"/>
      <c r="P1462" s="204"/>
      <c r="Q1462" s="204"/>
      <c r="R1462" s="204"/>
      <c r="S1462" s="204"/>
      <c r="T1462" s="204"/>
      <c r="U1462" s="204"/>
      <c r="V1462" s="204"/>
      <c r="W1462" s="204"/>
      <c r="X1462" s="204"/>
      <c r="Y1462" s="204"/>
      <c r="Z1462" s="204"/>
      <c r="AA1462" s="204"/>
      <c r="AB1462" s="204"/>
      <c r="AC1462" s="204"/>
      <c r="AD1462" s="204"/>
      <c r="AE1462" s="204"/>
      <c r="AF1462" s="204"/>
      <c r="AG1462" s="204"/>
      <c r="AH1462" s="204"/>
      <c r="AI1462" s="209"/>
      <c r="AJ1462" s="209"/>
      <c r="AK1462" s="204"/>
      <c r="AL1462" s="204"/>
      <c r="AM1462" s="204"/>
    </row>
    <row r="1463">
      <c r="A1463" s="204"/>
      <c r="B1463" s="209"/>
      <c r="C1463" s="204"/>
      <c r="D1463" s="210"/>
      <c r="E1463" s="211"/>
      <c r="F1463" s="211"/>
      <c r="G1463" s="212"/>
      <c r="H1463" s="212"/>
      <c r="I1463" s="204"/>
      <c r="J1463" s="204"/>
      <c r="K1463" s="204"/>
      <c r="L1463" s="204"/>
      <c r="M1463" s="204"/>
      <c r="N1463" s="204"/>
      <c r="O1463" s="204"/>
      <c r="P1463" s="204"/>
      <c r="Q1463" s="204"/>
      <c r="R1463" s="204"/>
      <c r="S1463" s="204"/>
      <c r="T1463" s="204"/>
      <c r="U1463" s="204"/>
      <c r="V1463" s="204"/>
      <c r="W1463" s="204"/>
      <c r="X1463" s="204"/>
      <c r="Y1463" s="204"/>
      <c r="Z1463" s="204"/>
      <c r="AA1463" s="204"/>
      <c r="AB1463" s="204"/>
      <c r="AC1463" s="204"/>
      <c r="AD1463" s="204"/>
      <c r="AE1463" s="204"/>
      <c r="AF1463" s="204"/>
      <c r="AG1463" s="204"/>
      <c r="AH1463" s="204"/>
      <c r="AI1463" s="209"/>
      <c r="AJ1463" s="209"/>
      <c r="AK1463" s="204"/>
      <c r="AL1463" s="204"/>
      <c r="AM1463" s="204"/>
    </row>
    <row r="1464">
      <c r="A1464" s="204"/>
      <c r="B1464" s="209"/>
      <c r="C1464" s="204"/>
      <c r="D1464" s="210"/>
      <c r="E1464" s="211"/>
      <c r="F1464" s="211"/>
      <c r="G1464" s="212"/>
      <c r="H1464" s="212"/>
      <c r="I1464" s="204"/>
      <c r="J1464" s="204"/>
      <c r="K1464" s="204"/>
      <c r="L1464" s="204"/>
      <c r="M1464" s="204"/>
      <c r="N1464" s="204"/>
      <c r="O1464" s="204"/>
      <c r="P1464" s="204"/>
      <c r="Q1464" s="204"/>
      <c r="R1464" s="204"/>
      <c r="S1464" s="204"/>
      <c r="T1464" s="204"/>
      <c r="U1464" s="204"/>
      <c r="V1464" s="204"/>
      <c r="W1464" s="204"/>
      <c r="X1464" s="204"/>
      <c r="Y1464" s="204"/>
      <c r="Z1464" s="204"/>
      <c r="AA1464" s="204"/>
      <c r="AB1464" s="204"/>
      <c r="AC1464" s="204"/>
      <c r="AD1464" s="204"/>
      <c r="AE1464" s="204"/>
      <c r="AF1464" s="204"/>
      <c r="AG1464" s="204"/>
      <c r="AH1464" s="204"/>
      <c r="AI1464" s="209"/>
      <c r="AJ1464" s="209"/>
      <c r="AK1464" s="204"/>
      <c r="AL1464" s="204"/>
      <c r="AM1464" s="204"/>
    </row>
    <row r="1465">
      <c r="A1465" s="204"/>
      <c r="B1465" s="209"/>
      <c r="C1465" s="204"/>
      <c r="D1465" s="210"/>
      <c r="E1465" s="211"/>
      <c r="F1465" s="211"/>
      <c r="G1465" s="212"/>
      <c r="H1465" s="212"/>
      <c r="I1465" s="204"/>
      <c r="J1465" s="204"/>
      <c r="K1465" s="204"/>
      <c r="L1465" s="204"/>
      <c r="M1465" s="204"/>
      <c r="N1465" s="204"/>
      <c r="O1465" s="204"/>
      <c r="P1465" s="204"/>
      <c r="Q1465" s="204"/>
      <c r="R1465" s="204"/>
      <c r="S1465" s="204"/>
      <c r="T1465" s="204"/>
      <c r="U1465" s="204"/>
      <c r="V1465" s="204"/>
      <c r="W1465" s="204"/>
      <c r="X1465" s="204"/>
      <c r="Y1465" s="204"/>
      <c r="Z1465" s="204"/>
      <c r="AA1465" s="204"/>
      <c r="AB1465" s="204"/>
      <c r="AC1465" s="204"/>
      <c r="AD1465" s="204"/>
      <c r="AE1465" s="204"/>
      <c r="AF1465" s="204"/>
      <c r="AG1465" s="204"/>
      <c r="AH1465" s="204"/>
      <c r="AI1465" s="209"/>
      <c r="AJ1465" s="209"/>
      <c r="AK1465" s="204"/>
      <c r="AL1465" s="204"/>
      <c r="AM1465" s="204"/>
    </row>
    <row r="1466">
      <c r="A1466" s="204"/>
      <c r="B1466" s="209"/>
      <c r="C1466" s="204"/>
      <c r="D1466" s="210"/>
      <c r="E1466" s="211"/>
      <c r="F1466" s="211"/>
      <c r="G1466" s="212"/>
      <c r="H1466" s="212"/>
      <c r="I1466" s="204"/>
      <c r="J1466" s="204"/>
      <c r="K1466" s="204"/>
      <c r="L1466" s="204"/>
      <c r="M1466" s="204"/>
      <c r="N1466" s="204"/>
      <c r="O1466" s="204"/>
      <c r="P1466" s="204"/>
      <c r="Q1466" s="204"/>
      <c r="R1466" s="204"/>
      <c r="S1466" s="204"/>
      <c r="T1466" s="204"/>
      <c r="U1466" s="204"/>
      <c r="V1466" s="204"/>
      <c r="W1466" s="204"/>
      <c r="X1466" s="204"/>
      <c r="Y1466" s="204"/>
      <c r="Z1466" s="204"/>
      <c r="AA1466" s="204"/>
      <c r="AB1466" s="204"/>
      <c r="AC1466" s="204"/>
      <c r="AD1466" s="204"/>
      <c r="AE1466" s="204"/>
      <c r="AF1466" s="204"/>
      <c r="AG1466" s="204"/>
      <c r="AH1466" s="204"/>
      <c r="AI1466" s="209"/>
      <c r="AJ1466" s="209"/>
      <c r="AK1466" s="204"/>
      <c r="AL1466" s="204"/>
      <c r="AM1466" s="204"/>
    </row>
    <row r="1467">
      <c r="A1467" s="204"/>
      <c r="B1467" s="209"/>
      <c r="C1467" s="204"/>
      <c r="D1467" s="210"/>
      <c r="E1467" s="211"/>
      <c r="F1467" s="211"/>
      <c r="G1467" s="212"/>
      <c r="H1467" s="212"/>
      <c r="I1467" s="204"/>
      <c r="J1467" s="204"/>
      <c r="K1467" s="204"/>
      <c r="L1467" s="204"/>
      <c r="M1467" s="204"/>
      <c r="N1467" s="204"/>
      <c r="O1467" s="204"/>
      <c r="P1467" s="204"/>
      <c r="Q1467" s="204"/>
      <c r="R1467" s="204"/>
      <c r="S1467" s="204"/>
      <c r="T1467" s="204"/>
      <c r="U1467" s="204"/>
      <c r="V1467" s="204"/>
      <c r="W1467" s="204"/>
      <c r="X1467" s="204"/>
      <c r="Y1467" s="204"/>
      <c r="Z1467" s="204"/>
      <c r="AA1467" s="204"/>
      <c r="AB1467" s="204"/>
      <c r="AC1467" s="204"/>
      <c r="AD1467" s="204"/>
      <c r="AE1467" s="204"/>
      <c r="AF1467" s="204"/>
      <c r="AG1467" s="204"/>
      <c r="AH1467" s="204"/>
      <c r="AI1467" s="209"/>
      <c r="AJ1467" s="209"/>
      <c r="AK1467" s="204"/>
      <c r="AL1467" s="204"/>
      <c r="AM1467" s="204"/>
    </row>
    <row r="1468">
      <c r="A1468" s="204"/>
      <c r="B1468" s="209"/>
      <c r="C1468" s="204"/>
      <c r="D1468" s="210"/>
      <c r="E1468" s="211"/>
      <c r="F1468" s="211"/>
      <c r="G1468" s="212"/>
      <c r="H1468" s="212"/>
      <c r="I1468" s="204"/>
      <c r="J1468" s="204"/>
      <c r="K1468" s="204"/>
      <c r="L1468" s="204"/>
      <c r="M1468" s="204"/>
      <c r="N1468" s="204"/>
      <c r="O1468" s="204"/>
      <c r="P1468" s="204"/>
      <c r="Q1468" s="204"/>
      <c r="R1468" s="204"/>
      <c r="S1468" s="204"/>
      <c r="T1468" s="204"/>
      <c r="U1468" s="204"/>
      <c r="V1468" s="204"/>
      <c r="W1468" s="204"/>
      <c r="X1468" s="204"/>
      <c r="Y1468" s="204"/>
      <c r="Z1468" s="204"/>
      <c r="AA1468" s="204"/>
      <c r="AB1468" s="204"/>
      <c r="AC1468" s="204"/>
      <c r="AD1468" s="204"/>
      <c r="AE1468" s="204"/>
      <c r="AF1468" s="204"/>
      <c r="AG1468" s="204"/>
      <c r="AH1468" s="204"/>
      <c r="AI1468" s="209"/>
      <c r="AJ1468" s="209"/>
      <c r="AK1468" s="204"/>
      <c r="AL1468" s="204"/>
      <c r="AM1468" s="204"/>
    </row>
    <row r="1469">
      <c r="A1469" s="204"/>
      <c r="B1469" s="209"/>
      <c r="C1469" s="204"/>
      <c r="D1469" s="210"/>
      <c r="E1469" s="211"/>
      <c r="F1469" s="211"/>
      <c r="G1469" s="212"/>
      <c r="H1469" s="212"/>
      <c r="I1469" s="204"/>
      <c r="J1469" s="204"/>
      <c r="K1469" s="204"/>
      <c r="L1469" s="204"/>
      <c r="M1469" s="204"/>
      <c r="N1469" s="204"/>
      <c r="O1469" s="204"/>
      <c r="P1469" s="204"/>
      <c r="Q1469" s="204"/>
      <c r="R1469" s="204"/>
      <c r="S1469" s="204"/>
      <c r="T1469" s="204"/>
      <c r="U1469" s="204"/>
      <c r="V1469" s="204"/>
      <c r="W1469" s="204"/>
      <c r="X1469" s="204"/>
      <c r="Y1469" s="204"/>
      <c r="Z1469" s="204"/>
      <c r="AA1469" s="204"/>
      <c r="AB1469" s="204"/>
      <c r="AC1469" s="204"/>
      <c r="AD1469" s="204"/>
      <c r="AE1469" s="204"/>
      <c r="AF1469" s="204"/>
      <c r="AG1469" s="204"/>
      <c r="AH1469" s="204"/>
      <c r="AI1469" s="209"/>
      <c r="AJ1469" s="209"/>
      <c r="AK1469" s="204"/>
      <c r="AL1469" s="204"/>
      <c r="AM1469" s="204"/>
    </row>
    <row r="1470">
      <c r="A1470" s="204"/>
      <c r="B1470" s="209"/>
      <c r="C1470" s="204"/>
      <c r="D1470" s="210"/>
      <c r="E1470" s="211"/>
      <c r="F1470" s="211"/>
      <c r="G1470" s="212"/>
      <c r="H1470" s="212"/>
      <c r="I1470" s="204"/>
      <c r="J1470" s="204"/>
      <c r="K1470" s="204"/>
      <c r="L1470" s="204"/>
      <c r="M1470" s="204"/>
      <c r="N1470" s="204"/>
      <c r="O1470" s="204"/>
      <c r="P1470" s="204"/>
      <c r="Q1470" s="204"/>
      <c r="R1470" s="204"/>
      <c r="S1470" s="204"/>
      <c r="T1470" s="204"/>
      <c r="U1470" s="204"/>
      <c r="V1470" s="204"/>
      <c r="W1470" s="204"/>
      <c r="X1470" s="204"/>
      <c r="Y1470" s="204"/>
      <c r="Z1470" s="204"/>
      <c r="AA1470" s="204"/>
      <c r="AB1470" s="204"/>
      <c r="AC1470" s="204"/>
      <c r="AD1470" s="204"/>
      <c r="AE1470" s="204"/>
      <c r="AF1470" s="204"/>
      <c r="AG1470" s="204"/>
      <c r="AH1470" s="204"/>
      <c r="AI1470" s="209"/>
      <c r="AJ1470" s="209"/>
      <c r="AK1470" s="204"/>
      <c r="AL1470" s="204"/>
      <c r="AM1470" s="204"/>
    </row>
    <row r="1471">
      <c r="A1471" s="204"/>
      <c r="B1471" s="209"/>
      <c r="C1471" s="204"/>
      <c r="D1471" s="210"/>
      <c r="E1471" s="211"/>
      <c r="F1471" s="211"/>
      <c r="G1471" s="212"/>
      <c r="H1471" s="212"/>
      <c r="I1471" s="204"/>
      <c r="J1471" s="204"/>
      <c r="K1471" s="204"/>
      <c r="L1471" s="204"/>
      <c r="M1471" s="204"/>
      <c r="N1471" s="204"/>
      <c r="O1471" s="204"/>
      <c r="P1471" s="204"/>
      <c r="Q1471" s="204"/>
      <c r="R1471" s="204"/>
      <c r="S1471" s="204"/>
      <c r="T1471" s="204"/>
      <c r="U1471" s="204"/>
      <c r="V1471" s="204"/>
      <c r="W1471" s="204"/>
      <c r="X1471" s="204"/>
      <c r="Y1471" s="204"/>
      <c r="Z1471" s="204"/>
      <c r="AA1471" s="204"/>
      <c r="AB1471" s="204"/>
      <c r="AC1471" s="204"/>
      <c r="AD1471" s="204"/>
      <c r="AE1471" s="204"/>
      <c r="AF1471" s="204"/>
      <c r="AG1471" s="204"/>
      <c r="AH1471" s="204"/>
      <c r="AI1471" s="209"/>
      <c r="AJ1471" s="209"/>
      <c r="AK1471" s="204"/>
      <c r="AL1471" s="204"/>
      <c r="AM1471" s="204"/>
    </row>
    <row r="1472">
      <c r="A1472" s="204"/>
      <c r="B1472" s="209"/>
      <c r="C1472" s="204"/>
      <c r="D1472" s="210"/>
      <c r="E1472" s="211"/>
      <c r="F1472" s="211"/>
      <c r="G1472" s="212"/>
      <c r="H1472" s="212"/>
      <c r="I1472" s="204"/>
      <c r="J1472" s="204"/>
      <c r="K1472" s="204"/>
      <c r="L1472" s="204"/>
      <c r="M1472" s="204"/>
      <c r="N1472" s="204"/>
      <c r="O1472" s="204"/>
      <c r="P1472" s="204"/>
      <c r="Q1472" s="204"/>
      <c r="R1472" s="204"/>
      <c r="S1472" s="204"/>
      <c r="T1472" s="204"/>
      <c r="U1472" s="204"/>
      <c r="V1472" s="204"/>
      <c r="W1472" s="204"/>
      <c r="X1472" s="204"/>
      <c r="Y1472" s="204"/>
      <c r="Z1472" s="204"/>
      <c r="AA1472" s="204"/>
      <c r="AB1472" s="204"/>
      <c r="AC1472" s="204"/>
      <c r="AD1472" s="204"/>
      <c r="AE1472" s="204"/>
      <c r="AF1472" s="204"/>
      <c r="AG1472" s="204"/>
      <c r="AH1472" s="204"/>
      <c r="AI1472" s="209"/>
      <c r="AJ1472" s="209"/>
      <c r="AK1472" s="204"/>
      <c r="AL1472" s="204"/>
      <c r="AM1472" s="204"/>
    </row>
    <row r="1473">
      <c r="A1473" s="204"/>
      <c r="B1473" s="209"/>
      <c r="C1473" s="204"/>
      <c r="D1473" s="210"/>
      <c r="E1473" s="211"/>
      <c r="F1473" s="211"/>
      <c r="G1473" s="212"/>
      <c r="H1473" s="212"/>
      <c r="I1473" s="204"/>
      <c r="J1473" s="204"/>
      <c r="K1473" s="204"/>
      <c r="L1473" s="204"/>
      <c r="M1473" s="204"/>
      <c r="N1473" s="204"/>
      <c r="O1473" s="204"/>
      <c r="P1473" s="204"/>
      <c r="Q1473" s="204"/>
      <c r="R1473" s="204"/>
      <c r="S1473" s="204"/>
      <c r="T1473" s="204"/>
      <c r="U1473" s="204"/>
      <c r="V1473" s="204"/>
      <c r="W1473" s="204"/>
      <c r="X1473" s="204"/>
      <c r="Y1473" s="204"/>
      <c r="Z1473" s="204"/>
      <c r="AA1473" s="204"/>
      <c r="AB1473" s="204"/>
      <c r="AC1473" s="204"/>
      <c r="AD1473" s="204"/>
      <c r="AE1473" s="204"/>
      <c r="AF1473" s="204"/>
      <c r="AG1473" s="204"/>
      <c r="AH1473" s="204"/>
      <c r="AI1473" s="209"/>
      <c r="AJ1473" s="209"/>
      <c r="AK1473" s="204"/>
      <c r="AL1473" s="204"/>
      <c r="AM1473" s="204"/>
    </row>
    <row r="1474">
      <c r="A1474" s="204"/>
      <c r="B1474" s="209"/>
      <c r="C1474" s="204"/>
      <c r="D1474" s="210"/>
      <c r="E1474" s="211"/>
      <c r="F1474" s="211"/>
      <c r="G1474" s="212"/>
      <c r="H1474" s="212"/>
      <c r="I1474" s="204"/>
      <c r="J1474" s="204"/>
      <c r="K1474" s="204"/>
      <c r="L1474" s="204"/>
      <c r="M1474" s="204"/>
      <c r="N1474" s="204"/>
      <c r="O1474" s="204"/>
      <c r="P1474" s="204"/>
      <c r="Q1474" s="204"/>
      <c r="R1474" s="204"/>
      <c r="S1474" s="204"/>
      <c r="T1474" s="204"/>
      <c r="U1474" s="204"/>
      <c r="V1474" s="204"/>
      <c r="W1474" s="204"/>
      <c r="X1474" s="204"/>
      <c r="Y1474" s="204"/>
      <c r="Z1474" s="204"/>
      <c r="AA1474" s="204"/>
      <c r="AB1474" s="204"/>
      <c r="AC1474" s="204"/>
      <c r="AD1474" s="204"/>
      <c r="AE1474" s="204"/>
      <c r="AF1474" s="204"/>
      <c r="AG1474" s="204"/>
      <c r="AH1474" s="204"/>
      <c r="AI1474" s="209"/>
      <c r="AJ1474" s="209"/>
      <c r="AK1474" s="204"/>
      <c r="AL1474" s="204"/>
      <c r="AM1474" s="204"/>
    </row>
    <row r="1475">
      <c r="A1475" s="204"/>
      <c r="B1475" s="209"/>
      <c r="C1475" s="204"/>
      <c r="D1475" s="210"/>
      <c r="E1475" s="211"/>
      <c r="F1475" s="211"/>
      <c r="G1475" s="212"/>
      <c r="H1475" s="212"/>
      <c r="I1475" s="204"/>
      <c r="J1475" s="204"/>
      <c r="K1475" s="204"/>
      <c r="L1475" s="204"/>
      <c r="M1475" s="204"/>
      <c r="N1475" s="204"/>
      <c r="O1475" s="204"/>
      <c r="P1475" s="204"/>
      <c r="Q1475" s="204"/>
      <c r="R1475" s="204"/>
      <c r="S1475" s="204"/>
      <c r="T1475" s="204"/>
      <c r="U1475" s="204"/>
      <c r="V1475" s="204"/>
      <c r="W1475" s="204"/>
      <c r="X1475" s="204"/>
      <c r="Y1475" s="204"/>
      <c r="Z1475" s="204"/>
      <c r="AA1475" s="204"/>
      <c r="AB1475" s="204"/>
      <c r="AC1475" s="204"/>
      <c r="AD1475" s="204"/>
      <c r="AE1475" s="204"/>
      <c r="AF1475" s="204"/>
      <c r="AG1475" s="204"/>
      <c r="AH1475" s="204"/>
      <c r="AI1475" s="209"/>
      <c r="AJ1475" s="209"/>
      <c r="AK1475" s="204"/>
      <c r="AL1475" s="204"/>
      <c r="AM1475" s="204"/>
    </row>
    <row r="1476">
      <c r="A1476" s="204"/>
      <c r="B1476" s="209"/>
      <c r="C1476" s="204"/>
      <c r="D1476" s="210"/>
      <c r="E1476" s="211"/>
      <c r="F1476" s="211"/>
      <c r="G1476" s="212"/>
      <c r="H1476" s="212"/>
      <c r="I1476" s="204"/>
      <c r="J1476" s="204"/>
      <c r="K1476" s="204"/>
      <c r="L1476" s="204"/>
      <c r="M1476" s="204"/>
      <c r="N1476" s="204"/>
      <c r="O1476" s="204"/>
      <c r="P1476" s="204"/>
      <c r="Q1476" s="204"/>
      <c r="R1476" s="204"/>
      <c r="S1476" s="204"/>
      <c r="T1476" s="204"/>
      <c r="U1476" s="204"/>
      <c r="V1476" s="204"/>
      <c r="W1476" s="204"/>
      <c r="X1476" s="204"/>
      <c r="Y1476" s="204"/>
      <c r="Z1476" s="204"/>
      <c r="AA1476" s="204"/>
      <c r="AB1476" s="204"/>
      <c r="AC1476" s="204"/>
      <c r="AD1476" s="204"/>
      <c r="AE1476" s="204"/>
      <c r="AF1476" s="204"/>
      <c r="AG1476" s="204"/>
      <c r="AH1476" s="204"/>
      <c r="AI1476" s="209"/>
      <c r="AJ1476" s="209"/>
      <c r="AK1476" s="204"/>
      <c r="AL1476" s="204"/>
      <c r="AM1476" s="204"/>
    </row>
    <row r="1477">
      <c r="A1477" s="204"/>
      <c r="B1477" s="209"/>
      <c r="C1477" s="204"/>
      <c r="D1477" s="210"/>
      <c r="E1477" s="211"/>
      <c r="F1477" s="211"/>
      <c r="G1477" s="212"/>
      <c r="H1477" s="212"/>
      <c r="I1477" s="204"/>
      <c r="J1477" s="204"/>
      <c r="K1477" s="204"/>
      <c r="L1477" s="204"/>
      <c r="M1477" s="204"/>
      <c r="N1477" s="204"/>
      <c r="O1477" s="204"/>
      <c r="P1477" s="204"/>
      <c r="Q1477" s="204"/>
      <c r="R1477" s="204"/>
      <c r="S1477" s="204"/>
      <c r="T1477" s="204"/>
      <c r="U1477" s="204"/>
      <c r="V1477" s="204"/>
      <c r="W1477" s="204"/>
      <c r="X1477" s="204"/>
      <c r="Y1477" s="204"/>
      <c r="Z1477" s="204"/>
      <c r="AA1477" s="204"/>
      <c r="AB1477" s="204"/>
      <c r="AC1477" s="204"/>
      <c r="AD1477" s="204"/>
      <c r="AE1477" s="204"/>
      <c r="AF1477" s="204"/>
      <c r="AG1477" s="204"/>
      <c r="AH1477" s="204"/>
      <c r="AI1477" s="209"/>
      <c r="AJ1477" s="209"/>
      <c r="AK1477" s="204"/>
      <c r="AL1477" s="204"/>
      <c r="AM1477" s="204"/>
    </row>
    <row r="1478">
      <c r="A1478" s="204"/>
      <c r="B1478" s="209"/>
      <c r="C1478" s="204"/>
      <c r="D1478" s="210"/>
      <c r="E1478" s="211"/>
      <c r="F1478" s="211"/>
      <c r="G1478" s="212"/>
      <c r="H1478" s="212"/>
      <c r="I1478" s="204"/>
      <c r="J1478" s="204"/>
      <c r="K1478" s="204"/>
      <c r="L1478" s="204"/>
      <c r="M1478" s="204"/>
      <c r="N1478" s="204"/>
      <c r="O1478" s="204"/>
      <c r="P1478" s="204"/>
      <c r="Q1478" s="204"/>
      <c r="R1478" s="204"/>
      <c r="S1478" s="204"/>
      <c r="T1478" s="204"/>
      <c r="U1478" s="204"/>
      <c r="V1478" s="204"/>
      <c r="W1478" s="204"/>
      <c r="X1478" s="204"/>
      <c r="Y1478" s="204"/>
      <c r="Z1478" s="204"/>
      <c r="AA1478" s="204"/>
      <c r="AB1478" s="204"/>
      <c r="AC1478" s="204"/>
      <c r="AD1478" s="204"/>
      <c r="AE1478" s="204"/>
      <c r="AF1478" s="204"/>
      <c r="AG1478" s="204"/>
      <c r="AH1478" s="204"/>
      <c r="AI1478" s="209"/>
      <c r="AJ1478" s="209"/>
      <c r="AK1478" s="204"/>
      <c r="AL1478" s="204"/>
      <c r="AM1478" s="204"/>
    </row>
    <row r="1479">
      <c r="A1479" s="204"/>
      <c r="B1479" s="209"/>
      <c r="C1479" s="204"/>
      <c r="D1479" s="210"/>
      <c r="E1479" s="211"/>
      <c r="F1479" s="211"/>
      <c r="G1479" s="212"/>
      <c r="H1479" s="212"/>
      <c r="I1479" s="204"/>
      <c r="J1479" s="204"/>
      <c r="K1479" s="204"/>
      <c r="L1479" s="204"/>
      <c r="M1479" s="204"/>
      <c r="N1479" s="204"/>
      <c r="O1479" s="204"/>
      <c r="P1479" s="204"/>
      <c r="Q1479" s="204"/>
      <c r="R1479" s="204"/>
      <c r="S1479" s="204"/>
      <c r="T1479" s="204"/>
      <c r="U1479" s="204"/>
      <c r="V1479" s="204"/>
      <c r="W1479" s="204"/>
      <c r="X1479" s="204"/>
      <c r="Y1479" s="204"/>
      <c r="Z1479" s="204"/>
      <c r="AA1479" s="204"/>
      <c r="AB1479" s="204"/>
      <c r="AC1479" s="204"/>
      <c r="AD1479" s="204"/>
      <c r="AE1479" s="204"/>
      <c r="AF1479" s="204"/>
      <c r="AG1479" s="204"/>
      <c r="AH1479" s="204"/>
      <c r="AI1479" s="209"/>
      <c r="AJ1479" s="209"/>
      <c r="AK1479" s="204"/>
      <c r="AL1479" s="204"/>
      <c r="AM1479" s="204"/>
    </row>
    <row r="1480">
      <c r="A1480" s="204"/>
      <c r="B1480" s="209"/>
      <c r="C1480" s="204"/>
      <c r="D1480" s="210"/>
      <c r="E1480" s="211"/>
      <c r="F1480" s="211"/>
      <c r="G1480" s="212"/>
      <c r="H1480" s="212"/>
      <c r="I1480" s="204"/>
      <c r="J1480" s="204"/>
      <c r="K1480" s="204"/>
      <c r="L1480" s="204"/>
      <c r="M1480" s="204"/>
      <c r="N1480" s="204"/>
      <c r="O1480" s="204"/>
      <c r="P1480" s="204"/>
      <c r="Q1480" s="204"/>
      <c r="R1480" s="204"/>
      <c r="S1480" s="204"/>
      <c r="T1480" s="204"/>
      <c r="U1480" s="204"/>
      <c r="V1480" s="204"/>
      <c r="W1480" s="204"/>
      <c r="X1480" s="204"/>
      <c r="Y1480" s="204"/>
      <c r="Z1480" s="204"/>
      <c r="AA1480" s="204"/>
      <c r="AB1480" s="204"/>
      <c r="AC1480" s="204"/>
      <c r="AD1480" s="204"/>
      <c r="AE1480" s="204"/>
      <c r="AF1480" s="204"/>
      <c r="AG1480" s="204"/>
      <c r="AH1480" s="204"/>
      <c r="AI1480" s="209"/>
      <c r="AJ1480" s="209"/>
      <c r="AK1480" s="204"/>
      <c r="AL1480" s="204"/>
      <c r="AM1480" s="204"/>
    </row>
    <row r="1481">
      <c r="A1481" s="204"/>
      <c r="B1481" s="209"/>
      <c r="C1481" s="204"/>
      <c r="D1481" s="210"/>
      <c r="E1481" s="211"/>
      <c r="F1481" s="211"/>
      <c r="G1481" s="212"/>
      <c r="H1481" s="212"/>
      <c r="I1481" s="204"/>
      <c r="J1481" s="204"/>
      <c r="K1481" s="204"/>
      <c r="L1481" s="204"/>
      <c r="M1481" s="204"/>
      <c r="N1481" s="204"/>
      <c r="O1481" s="204"/>
      <c r="P1481" s="204"/>
      <c r="Q1481" s="204"/>
      <c r="R1481" s="204"/>
      <c r="S1481" s="204"/>
      <c r="T1481" s="204"/>
      <c r="U1481" s="204"/>
      <c r="V1481" s="204"/>
      <c r="W1481" s="204"/>
      <c r="X1481" s="204"/>
      <c r="Y1481" s="204"/>
      <c r="Z1481" s="204"/>
      <c r="AA1481" s="204"/>
      <c r="AB1481" s="204"/>
      <c r="AC1481" s="204"/>
      <c r="AD1481" s="204"/>
      <c r="AE1481" s="204"/>
      <c r="AF1481" s="204"/>
      <c r="AG1481" s="204"/>
      <c r="AH1481" s="204"/>
      <c r="AI1481" s="209"/>
      <c r="AJ1481" s="209"/>
      <c r="AK1481" s="204"/>
      <c r="AL1481" s="204"/>
      <c r="AM1481" s="204"/>
    </row>
    <row r="1482">
      <c r="A1482" s="204"/>
      <c r="B1482" s="209"/>
      <c r="C1482" s="204"/>
      <c r="D1482" s="210"/>
      <c r="E1482" s="211"/>
      <c r="F1482" s="211"/>
      <c r="G1482" s="212"/>
      <c r="H1482" s="212"/>
      <c r="I1482" s="204"/>
      <c r="J1482" s="204"/>
      <c r="K1482" s="204"/>
      <c r="L1482" s="204"/>
      <c r="M1482" s="204"/>
      <c r="N1482" s="204"/>
      <c r="O1482" s="204"/>
      <c r="P1482" s="204"/>
      <c r="Q1482" s="204"/>
      <c r="R1482" s="204"/>
      <c r="S1482" s="204"/>
      <c r="T1482" s="204"/>
      <c r="U1482" s="204"/>
      <c r="V1482" s="204"/>
      <c r="W1482" s="204"/>
      <c r="X1482" s="204"/>
      <c r="Y1482" s="204"/>
      <c r="Z1482" s="204"/>
      <c r="AA1482" s="204"/>
      <c r="AB1482" s="204"/>
      <c r="AC1482" s="204"/>
      <c r="AD1482" s="204"/>
      <c r="AE1482" s="204"/>
      <c r="AF1482" s="204"/>
      <c r="AG1482" s="204"/>
      <c r="AH1482" s="204"/>
      <c r="AI1482" s="209"/>
      <c r="AJ1482" s="209"/>
      <c r="AK1482" s="204"/>
      <c r="AL1482" s="204"/>
      <c r="AM1482" s="204"/>
    </row>
    <row r="1483">
      <c r="A1483" s="204"/>
      <c r="B1483" s="209"/>
      <c r="C1483" s="204"/>
      <c r="D1483" s="210"/>
      <c r="E1483" s="211"/>
      <c r="F1483" s="211"/>
      <c r="G1483" s="212"/>
      <c r="H1483" s="212"/>
      <c r="I1483" s="204"/>
      <c r="J1483" s="204"/>
      <c r="K1483" s="204"/>
      <c r="L1483" s="204"/>
      <c r="M1483" s="204"/>
      <c r="N1483" s="204"/>
      <c r="O1483" s="204"/>
      <c r="P1483" s="204"/>
      <c r="Q1483" s="204"/>
      <c r="R1483" s="204"/>
      <c r="S1483" s="204"/>
      <c r="T1483" s="204"/>
      <c r="U1483" s="204"/>
      <c r="V1483" s="204"/>
      <c r="W1483" s="204"/>
      <c r="X1483" s="204"/>
      <c r="Y1483" s="204"/>
      <c r="Z1483" s="204"/>
      <c r="AA1483" s="204"/>
      <c r="AB1483" s="204"/>
      <c r="AC1483" s="204"/>
      <c r="AD1483" s="204"/>
      <c r="AE1483" s="204"/>
      <c r="AF1483" s="204"/>
      <c r="AG1483" s="204"/>
      <c r="AH1483" s="204"/>
      <c r="AI1483" s="209"/>
      <c r="AJ1483" s="209"/>
      <c r="AK1483" s="204"/>
      <c r="AL1483" s="204"/>
      <c r="AM1483" s="204"/>
    </row>
    <row r="1484">
      <c r="A1484" s="204"/>
      <c r="B1484" s="209"/>
      <c r="C1484" s="204"/>
      <c r="D1484" s="210"/>
      <c r="E1484" s="211"/>
      <c r="F1484" s="211"/>
      <c r="G1484" s="212"/>
      <c r="H1484" s="212"/>
      <c r="I1484" s="204"/>
      <c r="J1484" s="204"/>
      <c r="K1484" s="204"/>
      <c r="L1484" s="204"/>
      <c r="M1484" s="204"/>
      <c r="N1484" s="204"/>
      <c r="O1484" s="204"/>
      <c r="P1484" s="204"/>
      <c r="Q1484" s="204"/>
      <c r="R1484" s="204"/>
      <c r="S1484" s="204"/>
      <c r="T1484" s="204"/>
      <c r="U1484" s="204"/>
      <c r="V1484" s="204"/>
      <c r="W1484" s="204"/>
      <c r="X1484" s="204"/>
      <c r="Y1484" s="204"/>
      <c r="Z1484" s="204"/>
      <c r="AA1484" s="204"/>
      <c r="AB1484" s="204"/>
      <c r="AC1484" s="204"/>
      <c r="AD1484" s="204"/>
      <c r="AE1484" s="204"/>
      <c r="AF1484" s="204"/>
      <c r="AG1484" s="204"/>
      <c r="AH1484" s="204"/>
      <c r="AI1484" s="209"/>
      <c r="AJ1484" s="209"/>
      <c r="AK1484" s="204"/>
      <c r="AL1484" s="204"/>
      <c r="AM1484" s="204"/>
    </row>
    <row r="1485">
      <c r="A1485" s="204"/>
      <c r="B1485" s="209"/>
      <c r="C1485" s="204"/>
      <c r="D1485" s="210"/>
      <c r="E1485" s="211"/>
      <c r="F1485" s="211"/>
      <c r="G1485" s="212"/>
      <c r="H1485" s="212"/>
      <c r="I1485" s="204"/>
      <c r="J1485" s="204"/>
      <c r="K1485" s="204"/>
      <c r="L1485" s="204"/>
      <c r="M1485" s="204"/>
      <c r="N1485" s="204"/>
      <c r="O1485" s="204"/>
      <c r="P1485" s="204"/>
      <c r="Q1485" s="204"/>
      <c r="R1485" s="204"/>
      <c r="S1485" s="204"/>
      <c r="T1485" s="204"/>
      <c r="U1485" s="204"/>
      <c r="V1485" s="204"/>
      <c r="W1485" s="204"/>
      <c r="X1485" s="204"/>
      <c r="Y1485" s="204"/>
      <c r="Z1485" s="204"/>
      <c r="AA1485" s="204"/>
      <c r="AB1485" s="204"/>
      <c r="AC1485" s="204"/>
      <c r="AD1485" s="204"/>
      <c r="AE1485" s="204"/>
      <c r="AF1485" s="204"/>
      <c r="AG1485" s="204"/>
      <c r="AH1485" s="204"/>
      <c r="AI1485" s="209"/>
      <c r="AJ1485" s="209"/>
      <c r="AK1485" s="204"/>
      <c r="AL1485" s="204"/>
      <c r="AM1485" s="204"/>
    </row>
    <row r="1486">
      <c r="A1486" s="204"/>
      <c r="B1486" s="209"/>
      <c r="C1486" s="204"/>
      <c r="D1486" s="210"/>
      <c r="E1486" s="211"/>
      <c r="F1486" s="211"/>
      <c r="G1486" s="212"/>
      <c r="H1486" s="212"/>
      <c r="I1486" s="204"/>
      <c r="J1486" s="204"/>
      <c r="K1486" s="204"/>
      <c r="L1486" s="204"/>
      <c r="M1486" s="204"/>
      <c r="N1486" s="204"/>
      <c r="O1486" s="204"/>
      <c r="P1486" s="204"/>
      <c r="Q1486" s="204"/>
      <c r="R1486" s="204"/>
      <c r="S1486" s="204"/>
      <c r="T1486" s="204"/>
      <c r="U1486" s="204"/>
      <c r="V1486" s="204"/>
      <c r="W1486" s="204"/>
      <c r="X1486" s="204"/>
      <c r="Y1486" s="204"/>
      <c r="Z1486" s="204"/>
      <c r="AA1486" s="204"/>
      <c r="AB1486" s="204"/>
      <c r="AC1486" s="204"/>
      <c r="AD1486" s="204"/>
      <c r="AE1486" s="204"/>
      <c r="AF1486" s="204"/>
      <c r="AG1486" s="204"/>
      <c r="AH1486" s="204"/>
      <c r="AI1486" s="209"/>
      <c r="AJ1486" s="209"/>
      <c r="AK1486" s="204"/>
      <c r="AL1486" s="204"/>
      <c r="AM1486" s="204"/>
    </row>
    <row r="1487">
      <c r="A1487" s="204"/>
      <c r="B1487" s="209"/>
      <c r="C1487" s="204"/>
      <c r="D1487" s="210"/>
      <c r="E1487" s="211"/>
      <c r="F1487" s="211"/>
      <c r="G1487" s="212"/>
      <c r="H1487" s="212"/>
      <c r="I1487" s="204"/>
      <c r="J1487" s="204"/>
      <c r="K1487" s="204"/>
      <c r="L1487" s="204"/>
      <c r="M1487" s="204"/>
      <c r="N1487" s="204"/>
      <c r="O1487" s="204"/>
      <c r="P1487" s="204"/>
      <c r="Q1487" s="204"/>
      <c r="R1487" s="204"/>
      <c r="S1487" s="204"/>
      <c r="T1487" s="204"/>
      <c r="U1487" s="204"/>
      <c r="V1487" s="204"/>
      <c r="W1487" s="204"/>
      <c r="X1487" s="204"/>
      <c r="Y1487" s="204"/>
      <c r="Z1487" s="204"/>
      <c r="AA1487" s="204"/>
      <c r="AB1487" s="204"/>
      <c r="AC1487" s="204"/>
      <c r="AD1487" s="204"/>
      <c r="AE1487" s="204"/>
      <c r="AF1487" s="204"/>
      <c r="AG1487" s="204"/>
      <c r="AH1487" s="204"/>
      <c r="AI1487" s="209"/>
      <c r="AJ1487" s="209"/>
      <c r="AK1487" s="204"/>
      <c r="AL1487" s="204"/>
      <c r="AM1487" s="204"/>
    </row>
    <row r="1488">
      <c r="A1488" s="204"/>
      <c r="B1488" s="209"/>
      <c r="C1488" s="204"/>
      <c r="D1488" s="210"/>
      <c r="E1488" s="211"/>
      <c r="F1488" s="211"/>
      <c r="G1488" s="212"/>
      <c r="H1488" s="212"/>
      <c r="I1488" s="204"/>
      <c r="J1488" s="204"/>
      <c r="K1488" s="204"/>
      <c r="L1488" s="204"/>
      <c r="M1488" s="204"/>
      <c r="N1488" s="204"/>
      <c r="O1488" s="204"/>
      <c r="P1488" s="204"/>
      <c r="Q1488" s="204"/>
      <c r="R1488" s="204"/>
      <c r="S1488" s="204"/>
      <c r="T1488" s="204"/>
      <c r="U1488" s="204"/>
      <c r="V1488" s="204"/>
      <c r="W1488" s="204"/>
      <c r="X1488" s="204"/>
      <c r="Y1488" s="204"/>
      <c r="Z1488" s="204"/>
      <c r="AA1488" s="204"/>
      <c r="AB1488" s="204"/>
      <c r="AC1488" s="204"/>
      <c r="AD1488" s="204"/>
      <c r="AE1488" s="204"/>
      <c r="AF1488" s="204"/>
      <c r="AG1488" s="204"/>
      <c r="AH1488" s="204"/>
      <c r="AI1488" s="209"/>
      <c r="AJ1488" s="209"/>
      <c r="AK1488" s="204"/>
      <c r="AL1488" s="204"/>
      <c r="AM1488" s="204"/>
    </row>
    <row r="1489">
      <c r="A1489" s="204"/>
      <c r="B1489" s="209"/>
      <c r="C1489" s="204"/>
      <c r="D1489" s="210"/>
      <c r="E1489" s="211"/>
      <c r="F1489" s="211"/>
      <c r="G1489" s="212"/>
      <c r="H1489" s="212"/>
      <c r="I1489" s="204"/>
      <c r="J1489" s="204"/>
      <c r="K1489" s="204"/>
      <c r="L1489" s="204"/>
      <c r="M1489" s="204"/>
      <c r="N1489" s="204"/>
      <c r="O1489" s="204"/>
      <c r="P1489" s="204"/>
      <c r="Q1489" s="204"/>
      <c r="R1489" s="204"/>
      <c r="S1489" s="204"/>
      <c r="T1489" s="204"/>
      <c r="U1489" s="204"/>
      <c r="V1489" s="204"/>
      <c r="W1489" s="204"/>
      <c r="X1489" s="204"/>
      <c r="Y1489" s="204"/>
      <c r="Z1489" s="204"/>
      <c r="AA1489" s="204"/>
      <c r="AB1489" s="204"/>
      <c r="AC1489" s="204"/>
      <c r="AD1489" s="204"/>
      <c r="AE1489" s="204"/>
      <c r="AF1489" s="204"/>
      <c r="AG1489" s="204"/>
      <c r="AH1489" s="204"/>
      <c r="AI1489" s="209"/>
      <c r="AJ1489" s="209"/>
      <c r="AK1489" s="204"/>
      <c r="AL1489" s="204"/>
      <c r="AM1489" s="204"/>
    </row>
    <row r="1490">
      <c r="A1490" s="204"/>
      <c r="B1490" s="209"/>
      <c r="C1490" s="204"/>
      <c r="D1490" s="210"/>
      <c r="E1490" s="211"/>
      <c r="F1490" s="211"/>
      <c r="G1490" s="212"/>
      <c r="H1490" s="212"/>
      <c r="I1490" s="204"/>
      <c r="J1490" s="204"/>
      <c r="K1490" s="204"/>
      <c r="L1490" s="204"/>
      <c r="M1490" s="204"/>
      <c r="N1490" s="204"/>
      <c r="O1490" s="204"/>
      <c r="P1490" s="204"/>
      <c r="Q1490" s="204"/>
      <c r="R1490" s="204"/>
      <c r="S1490" s="204"/>
      <c r="T1490" s="204"/>
      <c r="U1490" s="204"/>
      <c r="V1490" s="204"/>
      <c r="W1490" s="204"/>
      <c r="X1490" s="204"/>
      <c r="Y1490" s="204"/>
      <c r="Z1490" s="204"/>
      <c r="AA1490" s="204"/>
      <c r="AB1490" s="204"/>
      <c r="AC1490" s="204"/>
      <c r="AD1490" s="204"/>
      <c r="AE1490" s="204"/>
      <c r="AF1490" s="204"/>
      <c r="AG1490" s="204"/>
      <c r="AH1490" s="204"/>
      <c r="AI1490" s="209"/>
      <c r="AJ1490" s="209"/>
      <c r="AK1490" s="204"/>
      <c r="AL1490" s="204"/>
      <c r="AM1490" s="204"/>
    </row>
    <row r="1491">
      <c r="A1491" s="204"/>
      <c r="B1491" s="209"/>
      <c r="C1491" s="204"/>
      <c r="D1491" s="210"/>
      <c r="E1491" s="211"/>
      <c r="F1491" s="211"/>
      <c r="G1491" s="212"/>
      <c r="H1491" s="212"/>
      <c r="I1491" s="204"/>
      <c r="J1491" s="204"/>
      <c r="K1491" s="204"/>
      <c r="L1491" s="204"/>
      <c r="M1491" s="204"/>
      <c r="N1491" s="204"/>
      <c r="O1491" s="204"/>
      <c r="P1491" s="204"/>
      <c r="Q1491" s="204"/>
      <c r="R1491" s="204"/>
      <c r="S1491" s="204"/>
      <c r="T1491" s="204"/>
      <c r="U1491" s="204"/>
      <c r="V1491" s="204"/>
      <c r="W1491" s="204"/>
      <c r="X1491" s="204"/>
      <c r="Y1491" s="204"/>
      <c r="Z1491" s="204"/>
      <c r="AA1491" s="204"/>
      <c r="AB1491" s="204"/>
      <c r="AC1491" s="204"/>
      <c r="AD1491" s="204"/>
      <c r="AE1491" s="204"/>
      <c r="AF1491" s="204"/>
      <c r="AG1491" s="204"/>
      <c r="AH1491" s="204"/>
      <c r="AI1491" s="209"/>
      <c r="AJ1491" s="209"/>
      <c r="AK1491" s="204"/>
      <c r="AL1491" s="204"/>
      <c r="AM1491" s="204"/>
    </row>
    <row r="1492">
      <c r="A1492" s="204"/>
      <c r="B1492" s="209"/>
      <c r="C1492" s="204"/>
      <c r="D1492" s="210"/>
      <c r="E1492" s="211"/>
      <c r="F1492" s="211"/>
      <c r="G1492" s="212"/>
      <c r="H1492" s="212"/>
      <c r="I1492" s="204"/>
      <c r="J1492" s="204"/>
      <c r="K1492" s="204"/>
      <c r="L1492" s="204"/>
      <c r="M1492" s="204"/>
      <c r="N1492" s="204"/>
      <c r="O1492" s="204"/>
      <c r="P1492" s="204"/>
      <c r="Q1492" s="204"/>
      <c r="R1492" s="204"/>
      <c r="S1492" s="204"/>
      <c r="T1492" s="204"/>
      <c r="U1492" s="204"/>
      <c r="V1492" s="204"/>
      <c r="W1492" s="204"/>
      <c r="X1492" s="204"/>
      <c r="Y1492" s="204"/>
      <c r="Z1492" s="204"/>
      <c r="AA1492" s="204"/>
      <c r="AB1492" s="204"/>
      <c r="AC1492" s="204"/>
      <c r="AD1492" s="204"/>
      <c r="AE1492" s="204"/>
      <c r="AF1492" s="204"/>
      <c r="AG1492" s="204"/>
      <c r="AH1492" s="204"/>
      <c r="AI1492" s="209"/>
      <c r="AJ1492" s="209"/>
      <c r="AK1492" s="204"/>
      <c r="AL1492" s="204"/>
      <c r="AM1492" s="204"/>
    </row>
    <row r="1493">
      <c r="A1493" s="204"/>
      <c r="B1493" s="209"/>
      <c r="C1493" s="204"/>
      <c r="D1493" s="210"/>
      <c r="E1493" s="211"/>
      <c r="F1493" s="211"/>
      <c r="G1493" s="212"/>
      <c r="H1493" s="212"/>
      <c r="I1493" s="204"/>
      <c r="J1493" s="204"/>
      <c r="K1493" s="204"/>
      <c r="L1493" s="204"/>
      <c r="M1493" s="204"/>
      <c r="N1493" s="204"/>
      <c r="O1493" s="204"/>
      <c r="P1493" s="204"/>
      <c r="Q1493" s="204"/>
      <c r="R1493" s="204"/>
      <c r="S1493" s="204"/>
      <c r="T1493" s="204"/>
      <c r="U1493" s="204"/>
      <c r="V1493" s="204"/>
      <c r="W1493" s="204"/>
      <c r="X1493" s="204"/>
      <c r="Y1493" s="204"/>
      <c r="Z1493" s="204"/>
      <c r="AA1493" s="204"/>
      <c r="AB1493" s="204"/>
      <c r="AC1493" s="204"/>
      <c r="AD1493" s="204"/>
      <c r="AE1493" s="204"/>
      <c r="AF1493" s="204"/>
      <c r="AG1493" s="204"/>
      <c r="AH1493" s="204"/>
      <c r="AI1493" s="209"/>
      <c r="AJ1493" s="209"/>
      <c r="AK1493" s="204"/>
      <c r="AL1493" s="204"/>
      <c r="AM1493" s="204"/>
    </row>
    <row r="1494">
      <c r="A1494" s="204"/>
      <c r="B1494" s="209"/>
      <c r="C1494" s="204"/>
      <c r="D1494" s="210"/>
      <c r="E1494" s="211"/>
      <c r="F1494" s="211"/>
      <c r="G1494" s="212"/>
      <c r="H1494" s="212"/>
      <c r="I1494" s="204"/>
      <c r="J1494" s="204"/>
      <c r="K1494" s="204"/>
      <c r="L1494" s="204"/>
      <c r="M1494" s="204"/>
      <c r="N1494" s="204"/>
      <c r="O1494" s="204"/>
      <c r="P1494" s="204"/>
      <c r="Q1494" s="204"/>
      <c r="R1494" s="204"/>
      <c r="S1494" s="204"/>
      <c r="T1494" s="204"/>
      <c r="U1494" s="204"/>
      <c r="V1494" s="204"/>
      <c r="W1494" s="204"/>
      <c r="X1494" s="204"/>
      <c r="Y1494" s="204"/>
      <c r="Z1494" s="204"/>
      <c r="AA1494" s="204"/>
      <c r="AB1494" s="204"/>
      <c r="AC1494" s="204"/>
      <c r="AD1494" s="204"/>
      <c r="AE1494" s="204"/>
      <c r="AF1494" s="204"/>
      <c r="AG1494" s="204"/>
      <c r="AH1494" s="204"/>
      <c r="AI1494" s="209"/>
      <c r="AJ1494" s="209"/>
      <c r="AK1494" s="204"/>
      <c r="AL1494" s="204"/>
      <c r="AM1494" s="204"/>
    </row>
    <row r="1495">
      <c r="A1495" s="204"/>
      <c r="B1495" s="209"/>
      <c r="C1495" s="204"/>
      <c r="D1495" s="210"/>
      <c r="E1495" s="211"/>
      <c r="F1495" s="211"/>
      <c r="G1495" s="212"/>
      <c r="H1495" s="212"/>
      <c r="I1495" s="204"/>
      <c r="J1495" s="204"/>
      <c r="K1495" s="204"/>
      <c r="L1495" s="204"/>
      <c r="M1495" s="204"/>
      <c r="N1495" s="204"/>
      <c r="O1495" s="204"/>
      <c r="P1495" s="204"/>
      <c r="Q1495" s="204"/>
      <c r="R1495" s="204"/>
      <c r="S1495" s="204"/>
      <c r="T1495" s="204"/>
      <c r="U1495" s="204"/>
      <c r="V1495" s="204"/>
      <c r="W1495" s="204"/>
      <c r="X1495" s="204"/>
      <c r="Y1495" s="204"/>
      <c r="Z1495" s="204"/>
      <c r="AA1495" s="204"/>
      <c r="AB1495" s="204"/>
      <c r="AC1495" s="204"/>
      <c r="AD1495" s="204"/>
      <c r="AE1495" s="204"/>
      <c r="AF1495" s="204"/>
      <c r="AG1495" s="204"/>
      <c r="AH1495" s="204"/>
      <c r="AI1495" s="209"/>
      <c r="AJ1495" s="209"/>
      <c r="AK1495" s="204"/>
      <c r="AL1495" s="204"/>
      <c r="AM1495" s="204"/>
    </row>
    <row r="1496">
      <c r="A1496" s="204"/>
      <c r="B1496" s="209"/>
      <c r="C1496" s="204"/>
      <c r="D1496" s="210"/>
      <c r="E1496" s="211"/>
      <c r="F1496" s="211"/>
      <c r="G1496" s="212"/>
      <c r="H1496" s="212"/>
      <c r="I1496" s="204"/>
      <c r="J1496" s="204"/>
      <c r="K1496" s="204"/>
      <c r="L1496" s="204"/>
      <c r="M1496" s="204"/>
      <c r="N1496" s="204"/>
      <c r="O1496" s="204"/>
      <c r="P1496" s="204"/>
      <c r="Q1496" s="204"/>
      <c r="R1496" s="204"/>
      <c r="S1496" s="204"/>
      <c r="T1496" s="204"/>
      <c r="U1496" s="204"/>
      <c r="V1496" s="204"/>
      <c r="W1496" s="204"/>
      <c r="X1496" s="204"/>
      <c r="Y1496" s="204"/>
      <c r="Z1496" s="204"/>
      <c r="AA1496" s="204"/>
      <c r="AB1496" s="204"/>
      <c r="AC1496" s="204"/>
      <c r="AD1496" s="204"/>
      <c r="AE1496" s="204"/>
      <c r="AF1496" s="204"/>
      <c r="AG1496" s="204"/>
      <c r="AH1496" s="204"/>
      <c r="AI1496" s="209"/>
      <c r="AJ1496" s="209"/>
      <c r="AK1496" s="204"/>
      <c r="AL1496" s="204"/>
      <c r="AM1496" s="204"/>
    </row>
    <row r="1497">
      <c r="A1497" s="204"/>
      <c r="B1497" s="209"/>
      <c r="C1497" s="204"/>
      <c r="D1497" s="210"/>
      <c r="E1497" s="211"/>
      <c r="F1497" s="211"/>
      <c r="G1497" s="212"/>
      <c r="H1497" s="212"/>
      <c r="I1497" s="204"/>
      <c r="J1497" s="204"/>
      <c r="K1497" s="204"/>
      <c r="L1497" s="204"/>
      <c r="M1497" s="204"/>
      <c r="N1497" s="204"/>
      <c r="O1497" s="204"/>
      <c r="P1497" s="204"/>
      <c r="Q1497" s="204"/>
      <c r="R1497" s="204"/>
      <c r="S1497" s="204"/>
      <c r="T1497" s="204"/>
      <c r="U1497" s="204"/>
      <c r="V1497" s="204"/>
      <c r="W1497" s="204"/>
      <c r="X1497" s="204"/>
      <c r="Y1497" s="204"/>
      <c r="Z1497" s="204"/>
      <c r="AA1497" s="204"/>
      <c r="AB1497" s="204"/>
      <c r="AC1497" s="204"/>
      <c r="AD1497" s="204"/>
      <c r="AE1497" s="204"/>
      <c r="AF1497" s="204"/>
      <c r="AG1497" s="204"/>
      <c r="AH1497" s="204"/>
      <c r="AI1497" s="209"/>
      <c r="AJ1497" s="209"/>
      <c r="AK1497" s="204"/>
      <c r="AL1497" s="204"/>
      <c r="AM1497" s="204"/>
    </row>
    <row r="1498">
      <c r="A1498" s="204"/>
      <c r="B1498" s="209"/>
      <c r="C1498" s="204"/>
      <c r="D1498" s="210"/>
      <c r="E1498" s="211"/>
      <c r="F1498" s="211"/>
      <c r="G1498" s="212"/>
      <c r="H1498" s="212"/>
      <c r="I1498" s="204"/>
      <c r="J1498" s="204"/>
      <c r="K1498" s="204"/>
      <c r="L1498" s="204"/>
      <c r="M1498" s="204"/>
      <c r="N1498" s="204"/>
      <c r="O1498" s="204"/>
      <c r="P1498" s="204"/>
      <c r="Q1498" s="204"/>
      <c r="R1498" s="204"/>
      <c r="S1498" s="204"/>
      <c r="T1498" s="204"/>
      <c r="U1498" s="204"/>
      <c r="V1498" s="204"/>
      <c r="W1498" s="204"/>
      <c r="X1498" s="204"/>
      <c r="Y1498" s="204"/>
      <c r="Z1498" s="204"/>
      <c r="AA1498" s="204"/>
      <c r="AB1498" s="204"/>
      <c r="AC1498" s="204"/>
      <c r="AD1498" s="204"/>
      <c r="AE1498" s="204"/>
      <c r="AF1498" s="204"/>
      <c r="AG1498" s="204"/>
      <c r="AH1498" s="204"/>
      <c r="AI1498" s="209"/>
      <c r="AJ1498" s="209"/>
      <c r="AK1498" s="204"/>
      <c r="AL1498" s="204"/>
      <c r="AM1498" s="204"/>
    </row>
    <row r="1499">
      <c r="A1499" s="204"/>
      <c r="B1499" s="209"/>
      <c r="C1499" s="204"/>
      <c r="D1499" s="210"/>
      <c r="E1499" s="211"/>
      <c r="F1499" s="211"/>
      <c r="G1499" s="212"/>
      <c r="H1499" s="212"/>
      <c r="I1499" s="204"/>
      <c r="J1499" s="204"/>
      <c r="K1499" s="204"/>
      <c r="L1499" s="204"/>
      <c r="M1499" s="204"/>
      <c r="N1499" s="204"/>
      <c r="O1499" s="204"/>
      <c r="P1499" s="204"/>
      <c r="Q1499" s="204"/>
      <c r="R1499" s="204"/>
      <c r="S1499" s="204"/>
      <c r="T1499" s="204"/>
      <c r="U1499" s="204"/>
      <c r="V1499" s="204"/>
      <c r="W1499" s="204"/>
      <c r="X1499" s="204"/>
      <c r="Y1499" s="204"/>
      <c r="Z1499" s="204"/>
      <c r="AA1499" s="204"/>
      <c r="AB1499" s="204"/>
      <c r="AC1499" s="204"/>
      <c r="AD1499" s="204"/>
      <c r="AE1499" s="204"/>
      <c r="AF1499" s="204"/>
      <c r="AG1499" s="204"/>
      <c r="AH1499" s="204"/>
      <c r="AI1499" s="209"/>
      <c r="AJ1499" s="209"/>
      <c r="AK1499" s="204"/>
      <c r="AL1499" s="204"/>
      <c r="AM1499" s="204"/>
    </row>
    <row r="1500">
      <c r="A1500" s="204"/>
      <c r="B1500" s="209"/>
      <c r="C1500" s="204"/>
      <c r="D1500" s="210"/>
      <c r="E1500" s="211"/>
      <c r="F1500" s="211"/>
      <c r="G1500" s="212"/>
      <c r="H1500" s="212"/>
      <c r="I1500" s="204"/>
      <c r="J1500" s="204"/>
      <c r="K1500" s="204"/>
      <c r="L1500" s="204"/>
      <c r="M1500" s="204"/>
      <c r="N1500" s="204"/>
      <c r="O1500" s="204"/>
      <c r="P1500" s="204"/>
      <c r="Q1500" s="204"/>
      <c r="R1500" s="204"/>
      <c r="S1500" s="204"/>
      <c r="T1500" s="204"/>
      <c r="U1500" s="204"/>
      <c r="V1500" s="204"/>
      <c r="W1500" s="204"/>
      <c r="X1500" s="204"/>
      <c r="Y1500" s="204"/>
      <c r="Z1500" s="204"/>
      <c r="AA1500" s="204"/>
      <c r="AB1500" s="204"/>
      <c r="AC1500" s="204"/>
      <c r="AD1500" s="204"/>
      <c r="AE1500" s="204"/>
      <c r="AF1500" s="204"/>
      <c r="AG1500" s="204"/>
      <c r="AH1500" s="204"/>
      <c r="AI1500" s="209"/>
      <c r="AJ1500" s="209"/>
      <c r="AK1500" s="204"/>
      <c r="AL1500" s="204"/>
      <c r="AM1500" s="204"/>
    </row>
    <row r="1501">
      <c r="A1501" s="204"/>
      <c r="B1501" s="209"/>
      <c r="C1501" s="204"/>
      <c r="D1501" s="210"/>
      <c r="E1501" s="211"/>
      <c r="F1501" s="211"/>
      <c r="G1501" s="212"/>
      <c r="H1501" s="212"/>
      <c r="I1501" s="204"/>
      <c r="J1501" s="204"/>
      <c r="K1501" s="204"/>
      <c r="L1501" s="204"/>
      <c r="M1501" s="204"/>
      <c r="N1501" s="204"/>
      <c r="O1501" s="204"/>
      <c r="P1501" s="204"/>
      <c r="Q1501" s="204"/>
      <c r="R1501" s="204"/>
      <c r="S1501" s="204"/>
      <c r="T1501" s="204"/>
      <c r="U1501" s="204"/>
      <c r="V1501" s="204"/>
      <c r="W1501" s="204"/>
      <c r="X1501" s="204"/>
      <c r="Y1501" s="204"/>
      <c r="Z1501" s="204"/>
      <c r="AA1501" s="204"/>
      <c r="AB1501" s="204"/>
      <c r="AC1501" s="204"/>
      <c r="AD1501" s="204"/>
      <c r="AE1501" s="204"/>
      <c r="AF1501" s="204"/>
      <c r="AG1501" s="204"/>
      <c r="AH1501" s="204"/>
      <c r="AI1501" s="209"/>
      <c r="AJ1501" s="209"/>
      <c r="AK1501" s="204"/>
      <c r="AL1501" s="204"/>
      <c r="AM1501" s="204"/>
    </row>
    <row r="1502">
      <c r="A1502" s="204"/>
      <c r="B1502" s="209"/>
      <c r="C1502" s="204"/>
      <c r="D1502" s="210"/>
      <c r="E1502" s="211"/>
      <c r="F1502" s="211"/>
      <c r="G1502" s="212"/>
      <c r="H1502" s="212"/>
      <c r="I1502" s="204"/>
      <c r="J1502" s="204"/>
      <c r="K1502" s="204"/>
      <c r="L1502" s="204"/>
      <c r="M1502" s="204"/>
      <c r="N1502" s="204"/>
      <c r="O1502" s="204"/>
      <c r="P1502" s="204"/>
      <c r="Q1502" s="204"/>
      <c r="R1502" s="204"/>
      <c r="S1502" s="204"/>
      <c r="T1502" s="204"/>
      <c r="U1502" s="204"/>
      <c r="V1502" s="204"/>
      <c r="W1502" s="204"/>
      <c r="X1502" s="204"/>
      <c r="Y1502" s="204"/>
      <c r="Z1502" s="204"/>
      <c r="AA1502" s="204"/>
      <c r="AB1502" s="204"/>
      <c r="AC1502" s="204"/>
      <c r="AD1502" s="204"/>
      <c r="AE1502" s="204"/>
      <c r="AF1502" s="204"/>
      <c r="AG1502" s="204"/>
      <c r="AH1502" s="204"/>
      <c r="AI1502" s="209"/>
      <c r="AJ1502" s="209"/>
      <c r="AK1502" s="204"/>
      <c r="AL1502" s="204"/>
      <c r="AM1502" s="204"/>
    </row>
    <row r="1503">
      <c r="A1503" s="204"/>
      <c r="B1503" s="209"/>
      <c r="C1503" s="204"/>
      <c r="D1503" s="210"/>
      <c r="E1503" s="211"/>
      <c r="F1503" s="211"/>
      <c r="G1503" s="212"/>
      <c r="H1503" s="212"/>
      <c r="I1503" s="204"/>
      <c r="J1503" s="204"/>
      <c r="K1503" s="204"/>
      <c r="L1503" s="204"/>
      <c r="M1503" s="204"/>
      <c r="N1503" s="204"/>
      <c r="O1503" s="204"/>
      <c r="P1503" s="204"/>
      <c r="Q1503" s="204"/>
      <c r="R1503" s="204"/>
      <c r="S1503" s="204"/>
      <c r="T1503" s="204"/>
      <c r="U1503" s="204"/>
      <c r="V1503" s="204"/>
      <c r="W1503" s="204"/>
      <c r="X1503" s="204"/>
      <c r="Y1503" s="204"/>
      <c r="Z1503" s="204"/>
      <c r="AA1503" s="204"/>
      <c r="AB1503" s="204"/>
      <c r="AC1503" s="204"/>
      <c r="AD1503" s="204"/>
      <c r="AE1503" s="204"/>
      <c r="AF1503" s="204"/>
      <c r="AG1503" s="204"/>
      <c r="AH1503" s="204"/>
      <c r="AI1503" s="209"/>
      <c r="AJ1503" s="209"/>
      <c r="AK1503" s="204"/>
      <c r="AL1503" s="204"/>
      <c r="AM1503" s="204"/>
    </row>
    <row r="1504">
      <c r="A1504" s="204"/>
      <c r="B1504" s="209"/>
      <c r="C1504" s="204"/>
      <c r="D1504" s="210"/>
      <c r="E1504" s="211"/>
      <c r="F1504" s="211"/>
      <c r="G1504" s="212"/>
      <c r="H1504" s="212"/>
      <c r="I1504" s="204"/>
      <c r="J1504" s="204"/>
      <c r="K1504" s="204"/>
      <c r="L1504" s="204"/>
      <c r="M1504" s="204"/>
      <c r="N1504" s="204"/>
      <c r="O1504" s="204"/>
      <c r="P1504" s="204"/>
      <c r="Q1504" s="204"/>
      <c r="R1504" s="204"/>
      <c r="S1504" s="204"/>
      <c r="T1504" s="204"/>
      <c r="U1504" s="204"/>
      <c r="V1504" s="204"/>
      <c r="W1504" s="204"/>
      <c r="X1504" s="204"/>
      <c r="Y1504" s="204"/>
      <c r="Z1504" s="204"/>
      <c r="AA1504" s="204"/>
      <c r="AB1504" s="204"/>
      <c r="AC1504" s="204"/>
      <c r="AD1504" s="204"/>
      <c r="AE1504" s="204"/>
      <c r="AF1504" s="204"/>
      <c r="AG1504" s="204"/>
      <c r="AH1504" s="204"/>
      <c r="AI1504" s="209"/>
      <c r="AJ1504" s="209"/>
      <c r="AK1504" s="204"/>
      <c r="AL1504" s="204"/>
      <c r="AM1504" s="204"/>
    </row>
    <row r="1505">
      <c r="A1505" s="204"/>
      <c r="B1505" s="209"/>
      <c r="C1505" s="204"/>
      <c r="D1505" s="210"/>
      <c r="E1505" s="211"/>
      <c r="F1505" s="211"/>
      <c r="G1505" s="212"/>
      <c r="H1505" s="212"/>
      <c r="I1505" s="204"/>
      <c r="J1505" s="204"/>
      <c r="K1505" s="204"/>
      <c r="L1505" s="204"/>
      <c r="M1505" s="204"/>
      <c r="N1505" s="204"/>
      <c r="O1505" s="204"/>
      <c r="P1505" s="204"/>
      <c r="Q1505" s="204"/>
      <c r="R1505" s="204"/>
      <c r="S1505" s="204"/>
      <c r="T1505" s="204"/>
      <c r="U1505" s="204"/>
      <c r="V1505" s="204"/>
      <c r="W1505" s="204"/>
      <c r="X1505" s="204"/>
      <c r="Y1505" s="204"/>
      <c r="Z1505" s="204"/>
      <c r="AA1505" s="204"/>
      <c r="AB1505" s="204"/>
      <c r="AC1505" s="204"/>
      <c r="AD1505" s="204"/>
      <c r="AE1505" s="204"/>
      <c r="AF1505" s="204"/>
      <c r="AG1505" s="204"/>
      <c r="AH1505" s="204"/>
      <c r="AI1505" s="209"/>
      <c r="AJ1505" s="209"/>
      <c r="AK1505" s="204"/>
      <c r="AL1505" s="204"/>
      <c r="AM1505" s="204"/>
    </row>
    <row r="1506">
      <c r="A1506" s="204"/>
      <c r="B1506" s="209"/>
      <c r="C1506" s="204"/>
      <c r="D1506" s="210"/>
      <c r="E1506" s="211"/>
      <c r="F1506" s="211"/>
      <c r="G1506" s="212"/>
      <c r="H1506" s="212"/>
      <c r="I1506" s="204"/>
      <c r="J1506" s="204"/>
      <c r="K1506" s="204"/>
      <c r="L1506" s="204"/>
      <c r="M1506" s="204"/>
      <c r="N1506" s="204"/>
      <c r="O1506" s="204"/>
      <c r="P1506" s="204"/>
      <c r="Q1506" s="204"/>
      <c r="R1506" s="204"/>
      <c r="S1506" s="204"/>
      <c r="T1506" s="204"/>
      <c r="U1506" s="204"/>
      <c r="V1506" s="204"/>
      <c r="W1506" s="204"/>
      <c r="X1506" s="204"/>
      <c r="Y1506" s="204"/>
      <c r="Z1506" s="204"/>
      <c r="AA1506" s="204"/>
      <c r="AB1506" s="204"/>
      <c r="AC1506" s="204"/>
      <c r="AD1506" s="204"/>
      <c r="AE1506" s="204"/>
      <c r="AF1506" s="204"/>
      <c r="AG1506" s="204"/>
      <c r="AH1506" s="204"/>
      <c r="AI1506" s="209"/>
      <c r="AJ1506" s="209"/>
      <c r="AK1506" s="204"/>
      <c r="AL1506" s="204"/>
      <c r="AM1506" s="204"/>
    </row>
    <row r="1507">
      <c r="A1507" s="204"/>
      <c r="B1507" s="209"/>
      <c r="C1507" s="204"/>
      <c r="D1507" s="210"/>
      <c r="E1507" s="211"/>
      <c r="F1507" s="211"/>
      <c r="G1507" s="212"/>
      <c r="H1507" s="212"/>
      <c r="I1507" s="204"/>
      <c r="J1507" s="204"/>
      <c r="K1507" s="204"/>
      <c r="L1507" s="204"/>
      <c r="M1507" s="204"/>
      <c r="N1507" s="204"/>
      <c r="O1507" s="204"/>
      <c r="P1507" s="204"/>
      <c r="Q1507" s="204"/>
      <c r="R1507" s="204"/>
      <c r="S1507" s="204"/>
      <c r="T1507" s="204"/>
      <c r="U1507" s="204"/>
      <c r="V1507" s="204"/>
      <c r="W1507" s="204"/>
      <c r="X1507" s="204"/>
      <c r="Y1507" s="204"/>
      <c r="Z1507" s="204"/>
      <c r="AA1507" s="204"/>
      <c r="AB1507" s="204"/>
      <c r="AC1507" s="204"/>
      <c r="AD1507" s="204"/>
      <c r="AE1507" s="204"/>
      <c r="AF1507" s="204"/>
      <c r="AG1507" s="204"/>
      <c r="AH1507" s="204"/>
      <c r="AI1507" s="209"/>
      <c r="AJ1507" s="209"/>
      <c r="AK1507" s="204"/>
      <c r="AL1507" s="204"/>
      <c r="AM1507" s="204"/>
    </row>
    <row r="1508">
      <c r="A1508" s="204"/>
      <c r="B1508" s="209"/>
      <c r="C1508" s="204"/>
      <c r="D1508" s="210"/>
      <c r="E1508" s="211"/>
      <c r="F1508" s="211"/>
      <c r="G1508" s="212"/>
      <c r="H1508" s="212"/>
      <c r="I1508" s="204"/>
      <c r="J1508" s="204"/>
      <c r="K1508" s="204"/>
      <c r="L1508" s="204"/>
      <c r="M1508" s="204"/>
      <c r="N1508" s="204"/>
      <c r="O1508" s="204"/>
      <c r="P1508" s="204"/>
      <c r="Q1508" s="204"/>
      <c r="R1508" s="204"/>
      <c r="S1508" s="204"/>
      <c r="T1508" s="204"/>
      <c r="U1508" s="204"/>
      <c r="V1508" s="204"/>
      <c r="W1508" s="204"/>
      <c r="X1508" s="204"/>
      <c r="Y1508" s="204"/>
      <c r="Z1508" s="204"/>
      <c r="AA1508" s="204"/>
      <c r="AB1508" s="204"/>
      <c r="AC1508" s="204"/>
      <c r="AD1508" s="204"/>
      <c r="AE1508" s="204"/>
      <c r="AF1508" s="204"/>
      <c r="AG1508" s="204"/>
      <c r="AH1508" s="204"/>
      <c r="AI1508" s="209"/>
      <c r="AJ1508" s="209"/>
      <c r="AK1508" s="204"/>
      <c r="AL1508" s="204"/>
      <c r="AM1508" s="204"/>
    </row>
    <row r="1509">
      <c r="A1509" s="204"/>
      <c r="B1509" s="209"/>
      <c r="C1509" s="204"/>
      <c r="D1509" s="210"/>
      <c r="E1509" s="211"/>
      <c r="F1509" s="211"/>
      <c r="G1509" s="212"/>
      <c r="H1509" s="212"/>
      <c r="I1509" s="204"/>
      <c r="J1509" s="204"/>
      <c r="K1509" s="204"/>
      <c r="L1509" s="204"/>
      <c r="M1509" s="204"/>
      <c r="N1509" s="204"/>
      <c r="O1509" s="204"/>
      <c r="P1509" s="204"/>
      <c r="Q1509" s="204"/>
      <c r="R1509" s="204"/>
      <c r="S1509" s="204"/>
      <c r="T1509" s="204"/>
      <c r="U1509" s="204"/>
      <c r="V1509" s="204"/>
      <c r="W1509" s="204"/>
      <c r="X1509" s="204"/>
      <c r="Y1509" s="204"/>
      <c r="Z1509" s="204"/>
      <c r="AA1509" s="204"/>
      <c r="AB1509" s="204"/>
      <c r="AC1509" s="204"/>
      <c r="AD1509" s="204"/>
      <c r="AE1509" s="204"/>
      <c r="AF1509" s="204"/>
      <c r="AG1509" s="204"/>
      <c r="AH1509" s="204"/>
      <c r="AI1509" s="209"/>
      <c r="AJ1509" s="209"/>
      <c r="AK1509" s="204"/>
      <c r="AL1509" s="204"/>
      <c r="AM1509" s="204"/>
    </row>
    <row r="1510">
      <c r="A1510" s="204"/>
      <c r="B1510" s="209"/>
      <c r="C1510" s="204"/>
      <c r="D1510" s="210"/>
      <c r="E1510" s="211"/>
      <c r="F1510" s="211"/>
      <c r="G1510" s="212"/>
      <c r="H1510" s="212"/>
      <c r="I1510" s="204"/>
      <c r="J1510" s="204"/>
      <c r="K1510" s="204"/>
      <c r="L1510" s="204"/>
      <c r="M1510" s="204"/>
      <c r="N1510" s="204"/>
      <c r="O1510" s="204"/>
      <c r="P1510" s="204"/>
      <c r="Q1510" s="204"/>
      <c r="R1510" s="204"/>
      <c r="S1510" s="204"/>
      <c r="T1510" s="204"/>
      <c r="U1510" s="204"/>
      <c r="V1510" s="204"/>
      <c r="W1510" s="204"/>
      <c r="X1510" s="204"/>
      <c r="Y1510" s="204"/>
      <c r="Z1510" s="204"/>
      <c r="AA1510" s="204"/>
      <c r="AB1510" s="204"/>
      <c r="AC1510" s="204"/>
      <c r="AD1510" s="204"/>
      <c r="AE1510" s="204"/>
      <c r="AF1510" s="204"/>
      <c r="AG1510" s="204"/>
      <c r="AH1510" s="204"/>
      <c r="AI1510" s="209"/>
      <c r="AJ1510" s="209"/>
      <c r="AK1510" s="204"/>
      <c r="AL1510" s="204"/>
      <c r="AM1510" s="204"/>
    </row>
    <row r="1511">
      <c r="A1511" s="204"/>
      <c r="B1511" s="209"/>
      <c r="C1511" s="204"/>
      <c r="D1511" s="210"/>
      <c r="E1511" s="211"/>
      <c r="F1511" s="211"/>
      <c r="G1511" s="212"/>
      <c r="H1511" s="212"/>
      <c r="I1511" s="204"/>
      <c r="J1511" s="204"/>
      <c r="K1511" s="204"/>
      <c r="L1511" s="204"/>
      <c r="M1511" s="204"/>
      <c r="N1511" s="204"/>
      <c r="O1511" s="204"/>
      <c r="P1511" s="204"/>
      <c r="Q1511" s="204"/>
      <c r="R1511" s="204"/>
      <c r="S1511" s="204"/>
      <c r="T1511" s="204"/>
      <c r="U1511" s="204"/>
      <c r="V1511" s="204"/>
      <c r="W1511" s="204"/>
      <c r="X1511" s="204"/>
      <c r="Y1511" s="204"/>
      <c r="Z1511" s="204"/>
      <c r="AA1511" s="204"/>
      <c r="AB1511" s="204"/>
      <c r="AC1511" s="204"/>
      <c r="AD1511" s="204"/>
      <c r="AE1511" s="204"/>
      <c r="AF1511" s="204"/>
      <c r="AG1511" s="204"/>
      <c r="AH1511" s="204"/>
      <c r="AI1511" s="209"/>
      <c r="AJ1511" s="209"/>
      <c r="AK1511" s="204"/>
      <c r="AL1511" s="204"/>
      <c r="AM1511" s="204"/>
    </row>
    <row r="1512">
      <c r="A1512" s="204"/>
      <c r="B1512" s="209"/>
      <c r="C1512" s="204"/>
      <c r="D1512" s="210"/>
      <c r="E1512" s="211"/>
      <c r="F1512" s="211"/>
      <c r="G1512" s="212"/>
      <c r="H1512" s="212"/>
      <c r="I1512" s="204"/>
      <c r="J1512" s="204"/>
      <c r="K1512" s="204"/>
      <c r="L1512" s="204"/>
      <c r="M1512" s="204"/>
      <c r="N1512" s="204"/>
      <c r="O1512" s="204"/>
      <c r="P1512" s="204"/>
      <c r="Q1512" s="204"/>
      <c r="R1512" s="204"/>
      <c r="S1512" s="204"/>
      <c r="T1512" s="204"/>
      <c r="U1512" s="204"/>
      <c r="V1512" s="204"/>
      <c r="W1512" s="204"/>
      <c r="X1512" s="204"/>
      <c r="Y1512" s="204"/>
      <c r="Z1512" s="204"/>
      <c r="AA1512" s="204"/>
      <c r="AB1512" s="204"/>
      <c r="AC1512" s="204"/>
      <c r="AD1512" s="204"/>
      <c r="AE1512" s="204"/>
      <c r="AF1512" s="204"/>
      <c r="AG1512" s="204"/>
      <c r="AH1512" s="204"/>
      <c r="AI1512" s="209"/>
      <c r="AJ1512" s="209"/>
      <c r="AK1512" s="204"/>
      <c r="AL1512" s="204"/>
      <c r="AM1512" s="204"/>
    </row>
    <row r="1513">
      <c r="A1513" s="204"/>
      <c r="B1513" s="209"/>
      <c r="C1513" s="204"/>
      <c r="D1513" s="210"/>
      <c r="E1513" s="211"/>
      <c r="F1513" s="211"/>
      <c r="G1513" s="212"/>
      <c r="H1513" s="212"/>
      <c r="I1513" s="204"/>
      <c r="J1513" s="204"/>
      <c r="K1513" s="204"/>
      <c r="L1513" s="204"/>
      <c r="M1513" s="204"/>
      <c r="N1513" s="204"/>
      <c r="O1513" s="204"/>
      <c r="P1513" s="204"/>
      <c r="Q1513" s="204"/>
      <c r="R1513" s="204"/>
      <c r="S1513" s="204"/>
      <c r="T1513" s="204"/>
      <c r="U1513" s="204"/>
      <c r="V1513" s="204"/>
      <c r="W1513" s="204"/>
      <c r="X1513" s="204"/>
      <c r="Y1513" s="204"/>
      <c r="Z1513" s="204"/>
      <c r="AA1513" s="204"/>
      <c r="AB1513" s="204"/>
      <c r="AC1513" s="204"/>
      <c r="AD1513" s="204"/>
      <c r="AE1513" s="204"/>
      <c r="AF1513" s="204"/>
      <c r="AG1513" s="204"/>
      <c r="AH1513" s="204"/>
      <c r="AI1513" s="209"/>
      <c r="AJ1513" s="209"/>
      <c r="AK1513" s="204"/>
      <c r="AL1513" s="204"/>
      <c r="AM1513" s="204"/>
    </row>
    <row r="1514">
      <c r="A1514" s="204"/>
      <c r="B1514" s="209"/>
      <c r="C1514" s="204"/>
      <c r="D1514" s="210"/>
      <c r="E1514" s="211"/>
      <c r="F1514" s="211"/>
      <c r="G1514" s="212"/>
      <c r="H1514" s="212"/>
      <c r="I1514" s="204"/>
      <c r="J1514" s="204"/>
      <c r="K1514" s="204"/>
      <c r="L1514" s="204"/>
      <c r="M1514" s="204"/>
      <c r="N1514" s="204"/>
      <c r="O1514" s="204"/>
      <c r="P1514" s="204"/>
      <c r="Q1514" s="204"/>
      <c r="R1514" s="204"/>
      <c r="S1514" s="204"/>
      <c r="T1514" s="204"/>
      <c r="U1514" s="204"/>
      <c r="V1514" s="204"/>
      <c r="W1514" s="204"/>
      <c r="X1514" s="204"/>
      <c r="Y1514" s="204"/>
      <c r="Z1514" s="204"/>
      <c r="AA1514" s="204"/>
      <c r="AB1514" s="204"/>
      <c r="AC1514" s="204"/>
      <c r="AD1514" s="204"/>
      <c r="AE1514" s="204"/>
      <c r="AF1514" s="204"/>
      <c r="AG1514" s="204"/>
      <c r="AH1514" s="204"/>
      <c r="AI1514" s="209"/>
      <c r="AJ1514" s="209"/>
      <c r="AK1514" s="204"/>
      <c r="AL1514" s="204"/>
      <c r="AM1514" s="204"/>
    </row>
    <row r="1515">
      <c r="A1515" s="204"/>
      <c r="B1515" s="209"/>
      <c r="C1515" s="204"/>
      <c r="D1515" s="210"/>
      <c r="E1515" s="211"/>
      <c r="F1515" s="211"/>
      <c r="G1515" s="212"/>
      <c r="H1515" s="212"/>
      <c r="I1515" s="204"/>
      <c r="J1515" s="204"/>
      <c r="K1515" s="204"/>
      <c r="L1515" s="204"/>
      <c r="M1515" s="204"/>
      <c r="N1515" s="204"/>
      <c r="O1515" s="204"/>
      <c r="P1515" s="204"/>
      <c r="Q1515" s="204"/>
      <c r="R1515" s="204"/>
      <c r="S1515" s="204"/>
      <c r="T1515" s="204"/>
      <c r="U1515" s="204"/>
      <c r="V1515" s="204"/>
      <c r="W1515" s="204"/>
      <c r="X1515" s="204"/>
      <c r="Y1515" s="204"/>
      <c r="Z1515" s="204"/>
      <c r="AA1515" s="204"/>
      <c r="AB1515" s="204"/>
      <c r="AC1515" s="204"/>
      <c r="AD1515" s="204"/>
      <c r="AE1515" s="204"/>
      <c r="AF1515" s="204"/>
      <c r="AG1515" s="204"/>
      <c r="AH1515" s="204"/>
      <c r="AI1515" s="209"/>
      <c r="AJ1515" s="209"/>
      <c r="AK1515" s="204"/>
      <c r="AL1515" s="204"/>
      <c r="AM1515" s="204"/>
    </row>
    <row r="1516">
      <c r="A1516" s="204"/>
      <c r="B1516" s="209"/>
      <c r="C1516" s="204"/>
      <c r="D1516" s="210"/>
      <c r="E1516" s="211"/>
      <c r="F1516" s="211"/>
      <c r="G1516" s="212"/>
      <c r="H1516" s="212"/>
      <c r="I1516" s="204"/>
      <c r="J1516" s="204"/>
      <c r="K1516" s="204"/>
      <c r="L1516" s="204"/>
      <c r="M1516" s="204"/>
      <c r="N1516" s="204"/>
      <c r="O1516" s="204"/>
      <c r="P1516" s="204"/>
      <c r="Q1516" s="204"/>
      <c r="R1516" s="204"/>
      <c r="S1516" s="204"/>
      <c r="T1516" s="204"/>
      <c r="U1516" s="204"/>
      <c r="V1516" s="204"/>
      <c r="W1516" s="204"/>
      <c r="X1516" s="204"/>
      <c r="Y1516" s="204"/>
      <c r="Z1516" s="204"/>
      <c r="AA1516" s="204"/>
      <c r="AB1516" s="204"/>
      <c r="AC1516" s="204"/>
      <c r="AD1516" s="204"/>
      <c r="AE1516" s="204"/>
      <c r="AF1516" s="204"/>
      <c r="AG1516" s="204"/>
      <c r="AH1516" s="204"/>
      <c r="AI1516" s="209"/>
      <c r="AJ1516" s="209"/>
      <c r="AK1516" s="204"/>
      <c r="AL1516" s="204"/>
      <c r="AM1516" s="204"/>
    </row>
    <row r="1517">
      <c r="A1517" s="204"/>
      <c r="B1517" s="209"/>
      <c r="C1517" s="204"/>
      <c r="D1517" s="210"/>
      <c r="E1517" s="211"/>
      <c r="F1517" s="211"/>
      <c r="G1517" s="212"/>
      <c r="H1517" s="212"/>
      <c r="I1517" s="204"/>
      <c r="J1517" s="204"/>
      <c r="K1517" s="204"/>
      <c r="L1517" s="204"/>
      <c r="M1517" s="204"/>
      <c r="N1517" s="204"/>
      <c r="O1517" s="204"/>
      <c r="P1517" s="204"/>
      <c r="Q1517" s="204"/>
      <c r="R1517" s="204"/>
      <c r="S1517" s="204"/>
      <c r="T1517" s="204"/>
      <c r="U1517" s="204"/>
      <c r="V1517" s="204"/>
      <c r="W1517" s="204"/>
      <c r="X1517" s="204"/>
      <c r="Y1517" s="204"/>
      <c r="Z1517" s="204"/>
      <c r="AA1517" s="204"/>
      <c r="AB1517" s="204"/>
      <c r="AC1517" s="204"/>
      <c r="AD1517" s="204"/>
      <c r="AE1517" s="204"/>
      <c r="AF1517" s="204"/>
      <c r="AG1517" s="204"/>
      <c r="AH1517" s="204"/>
      <c r="AI1517" s="209"/>
      <c r="AJ1517" s="209"/>
      <c r="AK1517" s="204"/>
      <c r="AL1517" s="204"/>
      <c r="AM1517" s="204"/>
    </row>
    <row r="1518">
      <c r="A1518" s="204"/>
      <c r="B1518" s="209"/>
      <c r="C1518" s="204"/>
      <c r="D1518" s="210"/>
      <c r="E1518" s="211"/>
      <c r="F1518" s="211"/>
      <c r="G1518" s="212"/>
      <c r="H1518" s="212"/>
      <c r="I1518" s="204"/>
      <c r="J1518" s="204"/>
      <c r="K1518" s="204"/>
      <c r="L1518" s="204"/>
      <c r="M1518" s="204"/>
      <c r="N1518" s="204"/>
      <c r="O1518" s="204"/>
      <c r="P1518" s="204"/>
      <c r="Q1518" s="204"/>
      <c r="R1518" s="204"/>
      <c r="S1518" s="204"/>
      <c r="T1518" s="204"/>
      <c r="U1518" s="204"/>
      <c r="V1518" s="204"/>
      <c r="W1518" s="204"/>
      <c r="X1518" s="204"/>
      <c r="Y1518" s="204"/>
      <c r="Z1518" s="204"/>
      <c r="AA1518" s="204"/>
      <c r="AB1518" s="204"/>
      <c r="AC1518" s="204"/>
      <c r="AD1518" s="204"/>
      <c r="AE1518" s="204"/>
      <c r="AF1518" s="204"/>
      <c r="AG1518" s="204"/>
      <c r="AH1518" s="204"/>
      <c r="AI1518" s="209"/>
      <c r="AJ1518" s="209"/>
      <c r="AK1518" s="204"/>
      <c r="AL1518" s="204"/>
      <c r="AM1518" s="204"/>
    </row>
    <row r="1519">
      <c r="A1519" s="204"/>
      <c r="B1519" s="209"/>
      <c r="C1519" s="204"/>
      <c r="D1519" s="210"/>
      <c r="E1519" s="211"/>
      <c r="F1519" s="211"/>
      <c r="G1519" s="212"/>
      <c r="H1519" s="212"/>
      <c r="I1519" s="204"/>
      <c r="J1519" s="204"/>
      <c r="K1519" s="204"/>
      <c r="L1519" s="204"/>
      <c r="M1519" s="204"/>
      <c r="N1519" s="204"/>
      <c r="O1519" s="204"/>
      <c r="P1519" s="204"/>
      <c r="Q1519" s="204"/>
      <c r="R1519" s="204"/>
      <c r="S1519" s="204"/>
      <c r="T1519" s="204"/>
      <c r="U1519" s="204"/>
      <c r="V1519" s="204"/>
      <c r="W1519" s="204"/>
      <c r="X1519" s="204"/>
      <c r="Y1519" s="204"/>
      <c r="Z1519" s="204"/>
      <c r="AA1519" s="204"/>
      <c r="AB1519" s="204"/>
      <c r="AC1519" s="204"/>
      <c r="AD1519" s="204"/>
      <c r="AE1519" s="204"/>
      <c r="AF1519" s="204"/>
      <c r="AG1519" s="204"/>
      <c r="AH1519" s="204"/>
      <c r="AI1519" s="209"/>
      <c r="AJ1519" s="209"/>
      <c r="AK1519" s="204"/>
      <c r="AL1519" s="204"/>
      <c r="AM1519" s="204"/>
    </row>
    <row r="1520">
      <c r="A1520" s="204"/>
      <c r="B1520" s="209"/>
      <c r="C1520" s="204"/>
      <c r="D1520" s="210"/>
      <c r="E1520" s="211"/>
      <c r="F1520" s="211"/>
      <c r="G1520" s="212"/>
      <c r="H1520" s="212"/>
      <c r="I1520" s="204"/>
      <c r="J1520" s="204"/>
      <c r="K1520" s="204"/>
      <c r="L1520" s="204"/>
      <c r="M1520" s="204"/>
      <c r="N1520" s="204"/>
      <c r="O1520" s="204"/>
      <c r="P1520" s="204"/>
      <c r="Q1520" s="204"/>
      <c r="R1520" s="204"/>
      <c r="S1520" s="204"/>
      <c r="T1520" s="204"/>
      <c r="U1520" s="204"/>
      <c r="V1520" s="204"/>
      <c r="W1520" s="204"/>
      <c r="X1520" s="204"/>
      <c r="Y1520" s="204"/>
      <c r="Z1520" s="204"/>
      <c r="AA1520" s="204"/>
      <c r="AB1520" s="204"/>
      <c r="AC1520" s="204"/>
      <c r="AD1520" s="204"/>
      <c r="AE1520" s="204"/>
      <c r="AF1520" s="204"/>
      <c r="AG1520" s="204"/>
      <c r="AH1520" s="204"/>
      <c r="AI1520" s="209"/>
      <c r="AJ1520" s="209"/>
      <c r="AK1520" s="204"/>
      <c r="AL1520" s="204"/>
      <c r="AM1520" s="204"/>
    </row>
    <row r="1521">
      <c r="A1521" s="204"/>
      <c r="B1521" s="209"/>
      <c r="C1521" s="204"/>
      <c r="D1521" s="210"/>
      <c r="E1521" s="211"/>
      <c r="F1521" s="211"/>
      <c r="G1521" s="212"/>
      <c r="H1521" s="212"/>
      <c r="I1521" s="204"/>
      <c r="J1521" s="204"/>
      <c r="K1521" s="204"/>
      <c r="L1521" s="204"/>
      <c r="M1521" s="204"/>
      <c r="N1521" s="204"/>
      <c r="O1521" s="204"/>
      <c r="P1521" s="204"/>
      <c r="Q1521" s="204"/>
      <c r="R1521" s="204"/>
      <c r="S1521" s="204"/>
      <c r="T1521" s="204"/>
      <c r="U1521" s="204"/>
      <c r="V1521" s="204"/>
      <c r="W1521" s="204"/>
      <c r="X1521" s="204"/>
      <c r="Y1521" s="204"/>
      <c r="Z1521" s="204"/>
      <c r="AA1521" s="204"/>
      <c r="AB1521" s="204"/>
      <c r="AC1521" s="204"/>
      <c r="AD1521" s="204"/>
      <c r="AE1521" s="204"/>
      <c r="AF1521" s="204"/>
      <c r="AG1521" s="204"/>
      <c r="AH1521" s="204"/>
      <c r="AI1521" s="209"/>
      <c r="AJ1521" s="209"/>
      <c r="AK1521" s="204"/>
      <c r="AL1521" s="204"/>
      <c r="AM1521" s="204"/>
    </row>
    <row r="1522">
      <c r="A1522" s="204"/>
      <c r="B1522" s="209"/>
      <c r="C1522" s="204"/>
      <c r="D1522" s="210"/>
      <c r="E1522" s="211"/>
      <c r="F1522" s="211"/>
      <c r="G1522" s="212"/>
      <c r="H1522" s="212"/>
      <c r="I1522" s="204"/>
      <c r="J1522" s="204"/>
      <c r="K1522" s="204"/>
      <c r="L1522" s="204"/>
      <c r="M1522" s="204"/>
      <c r="N1522" s="204"/>
      <c r="O1522" s="204"/>
      <c r="P1522" s="204"/>
      <c r="Q1522" s="204"/>
      <c r="R1522" s="204"/>
      <c r="S1522" s="204"/>
      <c r="T1522" s="204"/>
      <c r="U1522" s="204"/>
      <c r="V1522" s="204"/>
      <c r="W1522" s="204"/>
      <c r="X1522" s="204"/>
      <c r="Y1522" s="204"/>
      <c r="Z1522" s="204"/>
      <c r="AA1522" s="204"/>
      <c r="AB1522" s="204"/>
      <c r="AC1522" s="204"/>
      <c r="AD1522" s="204"/>
      <c r="AE1522" s="204"/>
      <c r="AF1522" s="204"/>
      <c r="AG1522" s="204"/>
      <c r="AH1522" s="204"/>
      <c r="AI1522" s="209"/>
      <c r="AJ1522" s="209"/>
      <c r="AK1522" s="204"/>
      <c r="AL1522" s="204"/>
      <c r="AM1522" s="204"/>
    </row>
    <row r="1523">
      <c r="A1523" s="204"/>
      <c r="B1523" s="209"/>
      <c r="C1523" s="204"/>
      <c r="D1523" s="210"/>
      <c r="E1523" s="211"/>
      <c r="F1523" s="211"/>
      <c r="G1523" s="212"/>
      <c r="H1523" s="212"/>
      <c r="I1523" s="204"/>
      <c r="J1523" s="204"/>
      <c r="K1523" s="204"/>
      <c r="L1523" s="204"/>
      <c r="M1523" s="204"/>
      <c r="N1523" s="204"/>
      <c r="O1523" s="204"/>
      <c r="P1523" s="204"/>
      <c r="Q1523" s="204"/>
      <c r="R1523" s="204"/>
      <c r="S1523" s="204"/>
      <c r="T1523" s="204"/>
      <c r="U1523" s="204"/>
      <c r="V1523" s="204"/>
      <c r="W1523" s="204"/>
      <c r="X1523" s="204"/>
      <c r="Y1523" s="204"/>
      <c r="Z1523" s="204"/>
      <c r="AA1523" s="204"/>
      <c r="AB1523" s="204"/>
      <c r="AC1523" s="204"/>
      <c r="AD1523" s="204"/>
      <c r="AE1523" s="204"/>
      <c r="AF1523" s="204"/>
      <c r="AG1523" s="204"/>
      <c r="AH1523" s="204"/>
      <c r="AI1523" s="209"/>
      <c r="AJ1523" s="209"/>
      <c r="AK1523" s="204"/>
      <c r="AL1523" s="204"/>
      <c r="AM1523" s="204"/>
    </row>
    <row r="1524">
      <c r="A1524" s="204"/>
      <c r="B1524" s="209"/>
      <c r="C1524" s="204"/>
      <c r="D1524" s="210"/>
      <c r="E1524" s="211"/>
      <c r="F1524" s="211"/>
      <c r="G1524" s="212"/>
      <c r="H1524" s="212"/>
      <c r="I1524" s="204"/>
      <c r="J1524" s="204"/>
      <c r="K1524" s="204"/>
      <c r="L1524" s="204"/>
      <c r="M1524" s="204"/>
      <c r="N1524" s="204"/>
      <c r="O1524" s="204"/>
      <c r="P1524" s="204"/>
      <c r="Q1524" s="204"/>
      <c r="R1524" s="204"/>
      <c r="S1524" s="204"/>
      <c r="T1524" s="204"/>
      <c r="U1524" s="204"/>
      <c r="V1524" s="204"/>
      <c r="W1524" s="204"/>
      <c r="X1524" s="204"/>
      <c r="Y1524" s="204"/>
      <c r="Z1524" s="204"/>
      <c r="AA1524" s="204"/>
      <c r="AB1524" s="204"/>
      <c r="AC1524" s="204"/>
      <c r="AD1524" s="204"/>
      <c r="AE1524" s="204"/>
      <c r="AF1524" s="204"/>
      <c r="AG1524" s="204"/>
      <c r="AH1524" s="204"/>
      <c r="AI1524" s="209"/>
      <c r="AJ1524" s="209"/>
      <c r="AK1524" s="204"/>
      <c r="AL1524" s="204"/>
      <c r="AM1524" s="204"/>
    </row>
    <row r="1525">
      <c r="A1525" s="204"/>
      <c r="B1525" s="209"/>
      <c r="C1525" s="204"/>
      <c r="D1525" s="210"/>
      <c r="E1525" s="211"/>
      <c r="F1525" s="211"/>
      <c r="G1525" s="212"/>
      <c r="H1525" s="212"/>
      <c r="I1525" s="204"/>
      <c r="J1525" s="204"/>
      <c r="K1525" s="204"/>
      <c r="L1525" s="204"/>
      <c r="M1525" s="204"/>
      <c r="N1525" s="204"/>
      <c r="O1525" s="204"/>
      <c r="P1525" s="204"/>
      <c r="Q1525" s="204"/>
      <c r="R1525" s="204"/>
      <c r="S1525" s="204"/>
      <c r="T1525" s="204"/>
      <c r="U1525" s="204"/>
      <c r="V1525" s="204"/>
      <c r="W1525" s="204"/>
      <c r="X1525" s="204"/>
      <c r="Y1525" s="204"/>
      <c r="Z1525" s="204"/>
      <c r="AA1525" s="204"/>
      <c r="AB1525" s="204"/>
      <c r="AC1525" s="204"/>
      <c r="AD1525" s="204"/>
      <c r="AE1525" s="204"/>
      <c r="AF1525" s="204"/>
      <c r="AG1525" s="204"/>
      <c r="AH1525" s="204"/>
      <c r="AI1525" s="209"/>
      <c r="AJ1525" s="209"/>
      <c r="AK1525" s="204"/>
      <c r="AL1525" s="204"/>
      <c r="AM1525" s="204"/>
    </row>
    <row r="1526">
      <c r="A1526" s="204"/>
      <c r="B1526" s="209"/>
      <c r="C1526" s="204"/>
      <c r="D1526" s="210"/>
      <c r="E1526" s="211"/>
      <c r="F1526" s="211"/>
      <c r="G1526" s="212"/>
      <c r="H1526" s="212"/>
      <c r="I1526" s="204"/>
      <c r="J1526" s="204"/>
      <c r="K1526" s="204"/>
      <c r="L1526" s="204"/>
      <c r="M1526" s="204"/>
      <c r="N1526" s="204"/>
      <c r="O1526" s="204"/>
      <c r="P1526" s="204"/>
      <c r="Q1526" s="204"/>
      <c r="R1526" s="204"/>
      <c r="S1526" s="204"/>
      <c r="T1526" s="204"/>
      <c r="U1526" s="204"/>
      <c r="V1526" s="204"/>
      <c r="W1526" s="204"/>
      <c r="X1526" s="204"/>
      <c r="Y1526" s="204"/>
      <c r="Z1526" s="204"/>
      <c r="AA1526" s="204"/>
      <c r="AB1526" s="204"/>
      <c r="AC1526" s="204"/>
      <c r="AD1526" s="204"/>
      <c r="AE1526" s="204"/>
      <c r="AF1526" s="204"/>
      <c r="AG1526" s="204"/>
      <c r="AH1526" s="204"/>
      <c r="AI1526" s="209"/>
      <c r="AJ1526" s="209"/>
      <c r="AK1526" s="204"/>
      <c r="AL1526" s="204"/>
      <c r="AM1526" s="204"/>
    </row>
    <row r="1527">
      <c r="A1527" s="204"/>
      <c r="B1527" s="209"/>
      <c r="C1527" s="204"/>
      <c r="D1527" s="210"/>
      <c r="E1527" s="211"/>
      <c r="F1527" s="211"/>
      <c r="G1527" s="212"/>
      <c r="H1527" s="212"/>
      <c r="I1527" s="204"/>
      <c r="J1527" s="204"/>
      <c r="K1527" s="204"/>
      <c r="L1527" s="204"/>
      <c r="M1527" s="204"/>
      <c r="N1527" s="204"/>
      <c r="O1527" s="204"/>
      <c r="P1527" s="204"/>
      <c r="Q1527" s="204"/>
      <c r="R1527" s="204"/>
      <c r="S1527" s="204"/>
      <c r="T1527" s="204"/>
      <c r="U1527" s="204"/>
      <c r="V1527" s="204"/>
      <c r="W1527" s="204"/>
      <c r="X1527" s="204"/>
      <c r="Y1527" s="204"/>
      <c r="Z1527" s="204"/>
      <c r="AA1527" s="204"/>
      <c r="AB1527" s="204"/>
      <c r="AC1527" s="204"/>
      <c r="AD1527" s="204"/>
      <c r="AE1527" s="204"/>
      <c r="AF1527" s="204"/>
      <c r="AG1527" s="204"/>
      <c r="AH1527" s="204"/>
      <c r="AI1527" s="209"/>
      <c r="AJ1527" s="209"/>
      <c r="AK1527" s="204"/>
      <c r="AL1527" s="204"/>
      <c r="AM1527" s="204"/>
    </row>
    <row r="1528">
      <c r="A1528" s="204"/>
      <c r="B1528" s="209"/>
      <c r="C1528" s="204"/>
      <c r="D1528" s="210"/>
      <c r="E1528" s="211"/>
      <c r="F1528" s="211"/>
      <c r="G1528" s="212"/>
      <c r="H1528" s="212"/>
      <c r="I1528" s="204"/>
      <c r="J1528" s="204"/>
      <c r="K1528" s="204"/>
      <c r="L1528" s="204"/>
      <c r="M1528" s="204"/>
      <c r="N1528" s="204"/>
      <c r="O1528" s="204"/>
      <c r="P1528" s="204"/>
      <c r="Q1528" s="204"/>
      <c r="R1528" s="204"/>
      <c r="S1528" s="204"/>
      <c r="T1528" s="204"/>
      <c r="U1528" s="204"/>
      <c r="V1528" s="204"/>
      <c r="W1528" s="204"/>
      <c r="X1528" s="204"/>
      <c r="Y1528" s="204"/>
      <c r="Z1528" s="204"/>
      <c r="AA1528" s="204"/>
      <c r="AB1528" s="204"/>
      <c r="AC1528" s="204"/>
      <c r="AD1528" s="204"/>
      <c r="AE1528" s="204"/>
      <c r="AF1528" s="204"/>
      <c r="AG1528" s="204"/>
      <c r="AH1528" s="204"/>
      <c r="AI1528" s="209"/>
      <c r="AJ1528" s="209"/>
      <c r="AK1528" s="204"/>
      <c r="AL1528" s="204"/>
      <c r="AM1528" s="204"/>
    </row>
    <row r="1529">
      <c r="A1529" s="204"/>
      <c r="B1529" s="209"/>
      <c r="C1529" s="204"/>
      <c r="D1529" s="210"/>
      <c r="E1529" s="211"/>
      <c r="F1529" s="211"/>
      <c r="G1529" s="212"/>
      <c r="H1529" s="212"/>
      <c r="I1529" s="204"/>
      <c r="J1529" s="204"/>
      <c r="K1529" s="204"/>
      <c r="L1529" s="204"/>
      <c r="M1529" s="204"/>
      <c r="N1529" s="204"/>
      <c r="O1529" s="204"/>
      <c r="P1529" s="204"/>
      <c r="Q1529" s="204"/>
      <c r="R1529" s="204"/>
      <c r="S1529" s="204"/>
      <c r="T1529" s="204"/>
      <c r="U1529" s="204"/>
      <c r="V1529" s="204"/>
      <c r="W1529" s="204"/>
      <c r="X1529" s="204"/>
      <c r="Y1529" s="204"/>
      <c r="Z1529" s="204"/>
      <c r="AA1529" s="204"/>
      <c r="AB1529" s="204"/>
      <c r="AC1529" s="204"/>
      <c r="AD1529" s="204"/>
      <c r="AE1529" s="204"/>
      <c r="AF1529" s="204"/>
      <c r="AG1529" s="204"/>
      <c r="AH1529" s="204"/>
      <c r="AI1529" s="209"/>
      <c r="AJ1529" s="209"/>
      <c r="AK1529" s="204"/>
      <c r="AL1529" s="204"/>
      <c r="AM1529" s="204"/>
    </row>
    <row r="1530">
      <c r="A1530" s="204"/>
      <c r="B1530" s="209"/>
      <c r="C1530" s="204"/>
      <c r="D1530" s="210"/>
      <c r="E1530" s="211"/>
      <c r="F1530" s="211"/>
      <c r="G1530" s="212"/>
      <c r="H1530" s="212"/>
      <c r="I1530" s="204"/>
      <c r="J1530" s="204"/>
      <c r="K1530" s="204"/>
      <c r="L1530" s="204"/>
      <c r="M1530" s="204"/>
      <c r="N1530" s="204"/>
      <c r="O1530" s="204"/>
      <c r="P1530" s="204"/>
      <c r="Q1530" s="204"/>
      <c r="R1530" s="204"/>
      <c r="S1530" s="204"/>
      <c r="T1530" s="204"/>
      <c r="U1530" s="204"/>
      <c r="V1530" s="204"/>
      <c r="W1530" s="204"/>
      <c r="X1530" s="204"/>
      <c r="Y1530" s="204"/>
      <c r="Z1530" s="204"/>
      <c r="AA1530" s="204"/>
      <c r="AB1530" s="204"/>
      <c r="AC1530" s="204"/>
      <c r="AD1530" s="204"/>
      <c r="AE1530" s="204"/>
      <c r="AF1530" s="204"/>
      <c r="AG1530" s="204"/>
      <c r="AH1530" s="204"/>
      <c r="AI1530" s="209"/>
      <c r="AJ1530" s="209"/>
      <c r="AK1530" s="204"/>
      <c r="AL1530" s="204"/>
      <c r="AM1530" s="204"/>
    </row>
    <row r="1531">
      <c r="A1531" s="204"/>
      <c r="B1531" s="209"/>
      <c r="C1531" s="204"/>
      <c r="D1531" s="210"/>
      <c r="E1531" s="211"/>
      <c r="F1531" s="211"/>
      <c r="G1531" s="212"/>
      <c r="H1531" s="212"/>
      <c r="I1531" s="204"/>
      <c r="J1531" s="204"/>
      <c r="K1531" s="204"/>
      <c r="L1531" s="204"/>
      <c r="M1531" s="204"/>
      <c r="N1531" s="204"/>
      <c r="O1531" s="204"/>
      <c r="P1531" s="204"/>
      <c r="Q1531" s="204"/>
      <c r="R1531" s="204"/>
      <c r="S1531" s="204"/>
      <c r="T1531" s="204"/>
      <c r="U1531" s="204"/>
      <c r="V1531" s="204"/>
      <c r="W1531" s="204"/>
      <c r="X1531" s="204"/>
      <c r="Y1531" s="204"/>
      <c r="Z1531" s="204"/>
      <c r="AA1531" s="204"/>
      <c r="AB1531" s="204"/>
      <c r="AC1531" s="204"/>
      <c r="AD1531" s="204"/>
      <c r="AE1531" s="204"/>
      <c r="AF1531" s="204"/>
      <c r="AG1531" s="204"/>
      <c r="AH1531" s="204"/>
      <c r="AI1531" s="209"/>
      <c r="AJ1531" s="209"/>
      <c r="AK1531" s="204"/>
      <c r="AL1531" s="204"/>
      <c r="AM1531" s="204"/>
    </row>
    <row r="1532">
      <c r="A1532" s="204"/>
      <c r="B1532" s="209"/>
      <c r="C1532" s="204"/>
      <c r="D1532" s="210"/>
      <c r="E1532" s="211"/>
      <c r="F1532" s="211"/>
      <c r="G1532" s="212"/>
      <c r="H1532" s="212"/>
      <c r="I1532" s="204"/>
      <c r="J1532" s="204"/>
      <c r="K1532" s="204"/>
      <c r="L1532" s="204"/>
      <c r="M1532" s="204"/>
      <c r="N1532" s="204"/>
      <c r="O1532" s="204"/>
      <c r="P1532" s="204"/>
      <c r="Q1532" s="204"/>
      <c r="R1532" s="204"/>
      <c r="S1532" s="204"/>
      <c r="T1532" s="204"/>
      <c r="U1532" s="204"/>
      <c r="V1532" s="204"/>
      <c r="W1532" s="204"/>
      <c r="X1532" s="204"/>
      <c r="Y1532" s="204"/>
      <c r="Z1532" s="204"/>
      <c r="AA1532" s="204"/>
      <c r="AB1532" s="204"/>
      <c r="AC1532" s="204"/>
      <c r="AD1532" s="204"/>
      <c r="AE1532" s="204"/>
      <c r="AF1532" s="204"/>
      <c r="AG1532" s="204"/>
      <c r="AH1532" s="204"/>
      <c r="AI1532" s="209"/>
      <c r="AJ1532" s="209"/>
      <c r="AK1532" s="204"/>
      <c r="AL1532" s="204"/>
      <c r="AM1532" s="204"/>
    </row>
    <row r="1533">
      <c r="A1533" s="204"/>
      <c r="B1533" s="209"/>
      <c r="C1533" s="204"/>
      <c r="D1533" s="210"/>
      <c r="E1533" s="211"/>
      <c r="F1533" s="211"/>
      <c r="G1533" s="212"/>
      <c r="H1533" s="212"/>
      <c r="I1533" s="204"/>
      <c r="J1533" s="204"/>
      <c r="K1533" s="204"/>
      <c r="L1533" s="204"/>
      <c r="M1533" s="204"/>
      <c r="N1533" s="204"/>
      <c r="O1533" s="204"/>
      <c r="P1533" s="204"/>
      <c r="Q1533" s="204"/>
      <c r="R1533" s="204"/>
      <c r="S1533" s="204"/>
      <c r="T1533" s="204"/>
      <c r="U1533" s="204"/>
      <c r="V1533" s="204"/>
      <c r="W1533" s="204"/>
      <c r="X1533" s="204"/>
      <c r="Y1533" s="204"/>
      <c r="Z1533" s="204"/>
      <c r="AA1533" s="204"/>
      <c r="AB1533" s="204"/>
      <c r="AC1533" s="204"/>
      <c r="AD1533" s="204"/>
      <c r="AE1533" s="204"/>
      <c r="AF1533" s="204"/>
      <c r="AG1533" s="204"/>
      <c r="AH1533" s="204"/>
      <c r="AI1533" s="209"/>
      <c r="AJ1533" s="209"/>
      <c r="AK1533" s="204"/>
      <c r="AL1533" s="204"/>
      <c r="AM1533" s="204"/>
    </row>
    <row r="1534">
      <c r="A1534" s="204"/>
      <c r="B1534" s="209"/>
      <c r="C1534" s="204"/>
      <c r="D1534" s="210"/>
      <c r="E1534" s="211"/>
      <c r="F1534" s="211"/>
      <c r="G1534" s="212"/>
      <c r="H1534" s="212"/>
      <c r="I1534" s="204"/>
      <c r="J1534" s="204"/>
      <c r="K1534" s="204"/>
      <c r="L1534" s="204"/>
      <c r="M1534" s="204"/>
      <c r="N1534" s="204"/>
      <c r="O1534" s="204"/>
      <c r="P1534" s="204"/>
      <c r="Q1534" s="204"/>
      <c r="R1534" s="204"/>
      <c r="S1534" s="204"/>
      <c r="T1534" s="204"/>
      <c r="U1534" s="204"/>
      <c r="V1534" s="204"/>
      <c r="W1534" s="204"/>
      <c r="X1534" s="204"/>
      <c r="Y1534" s="204"/>
      <c r="Z1534" s="204"/>
      <c r="AA1534" s="204"/>
      <c r="AB1534" s="204"/>
      <c r="AC1534" s="204"/>
      <c r="AD1534" s="204"/>
      <c r="AE1534" s="204"/>
      <c r="AF1534" s="204"/>
      <c r="AG1534" s="204"/>
      <c r="AH1534" s="204"/>
      <c r="AI1534" s="209"/>
      <c r="AJ1534" s="209"/>
      <c r="AK1534" s="204"/>
      <c r="AL1534" s="204"/>
      <c r="AM1534" s="204"/>
    </row>
    <row r="1535">
      <c r="A1535" s="204"/>
      <c r="B1535" s="209"/>
      <c r="C1535" s="204"/>
      <c r="D1535" s="210"/>
      <c r="E1535" s="211"/>
      <c r="F1535" s="211"/>
      <c r="G1535" s="212"/>
      <c r="H1535" s="212"/>
      <c r="I1535" s="204"/>
      <c r="J1535" s="204"/>
      <c r="K1535" s="204"/>
      <c r="L1535" s="204"/>
      <c r="M1535" s="204"/>
      <c r="N1535" s="204"/>
      <c r="O1535" s="204"/>
      <c r="P1535" s="204"/>
      <c r="Q1535" s="204"/>
      <c r="R1535" s="204"/>
      <c r="S1535" s="204"/>
      <c r="T1535" s="204"/>
      <c r="U1535" s="204"/>
      <c r="V1535" s="204"/>
      <c r="W1535" s="204"/>
      <c r="X1535" s="204"/>
      <c r="Y1535" s="204"/>
      <c r="Z1535" s="204"/>
      <c r="AA1535" s="204"/>
      <c r="AB1535" s="204"/>
      <c r="AC1535" s="204"/>
      <c r="AD1535" s="204"/>
      <c r="AE1535" s="204"/>
      <c r="AF1535" s="204"/>
      <c r="AG1535" s="204"/>
      <c r="AH1535" s="204"/>
      <c r="AI1535" s="209"/>
      <c r="AJ1535" s="209"/>
      <c r="AK1535" s="204"/>
      <c r="AL1535" s="204"/>
      <c r="AM1535" s="204"/>
    </row>
    <row r="1536">
      <c r="A1536" s="204"/>
      <c r="B1536" s="209"/>
      <c r="C1536" s="204"/>
      <c r="D1536" s="210"/>
      <c r="E1536" s="211"/>
      <c r="F1536" s="211"/>
      <c r="G1536" s="212"/>
      <c r="H1536" s="212"/>
      <c r="I1536" s="204"/>
      <c r="J1536" s="204"/>
      <c r="K1536" s="204"/>
      <c r="L1536" s="204"/>
      <c r="M1536" s="204"/>
      <c r="N1536" s="204"/>
      <c r="O1536" s="204"/>
      <c r="P1536" s="204"/>
      <c r="Q1536" s="204"/>
      <c r="R1536" s="204"/>
      <c r="S1536" s="204"/>
      <c r="T1536" s="204"/>
      <c r="U1536" s="204"/>
      <c r="V1536" s="204"/>
      <c r="W1536" s="204"/>
      <c r="X1536" s="204"/>
      <c r="Y1536" s="204"/>
      <c r="Z1536" s="204"/>
      <c r="AA1536" s="204"/>
      <c r="AB1536" s="204"/>
      <c r="AC1536" s="204"/>
      <c r="AD1536" s="204"/>
      <c r="AE1536" s="204"/>
      <c r="AF1536" s="204"/>
      <c r="AG1536" s="204"/>
      <c r="AH1536" s="204"/>
      <c r="AI1536" s="209"/>
      <c r="AJ1536" s="209"/>
      <c r="AK1536" s="204"/>
      <c r="AL1536" s="204"/>
      <c r="AM1536" s="204"/>
    </row>
    <row r="1537">
      <c r="A1537" s="204"/>
      <c r="B1537" s="209"/>
      <c r="C1537" s="204"/>
      <c r="D1537" s="210"/>
      <c r="E1537" s="211"/>
      <c r="F1537" s="211"/>
      <c r="G1537" s="212"/>
      <c r="H1537" s="212"/>
      <c r="I1537" s="204"/>
      <c r="J1537" s="204"/>
      <c r="K1537" s="204"/>
      <c r="L1537" s="204"/>
      <c r="M1537" s="204"/>
      <c r="N1537" s="204"/>
      <c r="O1537" s="204"/>
      <c r="P1537" s="204"/>
      <c r="Q1537" s="204"/>
      <c r="R1537" s="204"/>
      <c r="S1537" s="204"/>
      <c r="T1537" s="204"/>
      <c r="U1537" s="204"/>
      <c r="V1537" s="204"/>
      <c r="W1537" s="204"/>
      <c r="X1537" s="204"/>
      <c r="Y1537" s="204"/>
      <c r="Z1537" s="204"/>
      <c r="AA1537" s="204"/>
      <c r="AB1537" s="204"/>
      <c r="AC1537" s="204"/>
      <c r="AD1537" s="204"/>
      <c r="AE1537" s="204"/>
      <c r="AF1537" s="204"/>
      <c r="AG1537" s="204"/>
      <c r="AH1537" s="204"/>
      <c r="AI1537" s="209"/>
      <c r="AJ1537" s="209"/>
      <c r="AK1537" s="204"/>
      <c r="AL1537" s="204"/>
      <c r="AM1537" s="204"/>
    </row>
    <row r="1538">
      <c r="A1538" s="204"/>
      <c r="B1538" s="209"/>
      <c r="C1538" s="204"/>
      <c r="D1538" s="210"/>
      <c r="E1538" s="211"/>
      <c r="F1538" s="211"/>
      <c r="G1538" s="212"/>
      <c r="H1538" s="212"/>
      <c r="I1538" s="204"/>
      <c r="J1538" s="204"/>
      <c r="K1538" s="204"/>
      <c r="L1538" s="204"/>
      <c r="M1538" s="204"/>
      <c r="N1538" s="204"/>
      <c r="O1538" s="204"/>
      <c r="P1538" s="204"/>
      <c r="Q1538" s="204"/>
      <c r="R1538" s="204"/>
      <c r="S1538" s="204"/>
      <c r="T1538" s="204"/>
      <c r="U1538" s="204"/>
      <c r="V1538" s="204"/>
      <c r="W1538" s="204"/>
      <c r="X1538" s="204"/>
      <c r="Y1538" s="204"/>
      <c r="Z1538" s="204"/>
      <c r="AA1538" s="204"/>
      <c r="AB1538" s="204"/>
      <c r="AC1538" s="204"/>
      <c r="AD1538" s="204"/>
      <c r="AE1538" s="204"/>
      <c r="AF1538" s="204"/>
      <c r="AG1538" s="204"/>
      <c r="AH1538" s="204"/>
      <c r="AI1538" s="209"/>
      <c r="AJ1538" s="209"/>
      <c r="AK1538" s="204"/>
      <c r="AL1538" s="204"/>
      <c r="AM1538" s="204"/>
    </row>
    <row r="1539">
      <c r="A1539" s="204"/>
      <c r="B1539" s="209"/>
      <c r="C1539" s="204"/>
      <c r="D1539" s="210"/>
      <c r="E1539" s="211"/>
      <c r="F1539" s="211"/>
      <c r="G1539" s="212"/>
      <c r="H1539" s="212"/>
      <c r="I1539" s="204"/>
      <c r="J1539" s="204"/>
      <c r="K1539" s="204"/>
      <c r="L1539" s="204"/>
      <c r="M1539" s="204"/>
      <c r="N1539" s="204"/>
      <c r="O1539" s="204"/>
      <c r="P1539" s="204"/>
      <c r="Q1539" s="204"/>
      <c r="R1539" s="204"/>
      <c r="S1539" s="204"/>
      <c r="T1539" s="204"/>
      <c r="U1539" s="204"/>
      <c r="V1539" s="204"/>
      <c r="W1539" s="204"/>
      <c r="X1539" s="204"/>
      <c r="Y1539" s="204"/>
      <c r="Z1539" s="204"/>
      <c r="AA1539" s="204"/>
      <c r="AB1539" s="204"/>
      <c r="AC1539" s="204"/>
      <c r="AD1539" s="204"/>
      <c r="AE1539" s="204"/>
      <c r="AF1539" s="204"/>
      <c r="AG1539" s="204"/>
      <c r="AH1539" s="204"/>
      <c r="AI1539" s="209"/>
      <c r="AJ1539" s="209"/>
      <c r="AK1539" s="204"/>
      <c r="AL1539" s="204"/>
      <c r="AM1539" s="204"/>
    </row>
    <row r="1540">
      <c r="A1540" s="204"/>
      <c r="B1540" s="209"/>
      <c r="C1540" s="204"/>
      <c r="D1540" s="210"/>
      <c r="E1540" s="211"/>
      <c r="F1540" s="211"/>
      <c r="G1540" s="212"/>
      <c r="H1540" s="212"/>
      <c r="I1540" s="204"/>
      <c r="J1540" s="204"/>
      <c r="K1540" s="204"/>
      <c r="L1540" s="204"/>
      <c r="M1540" s="204"/>
      <c r="N1540" s="204"/>
      <c r="O1540" s="204"/>
      <c r="P1540" s="204"/>
      <c r="Q1540" s="204"/>
      <c r="R1540" s="204"/>
      <c r="S1540" s="204"/>
      <c r="T1540" s="204"/>
      <c r="U1540" s="204"/>
      <c r="V1540" s="204"/>
      <c r="W1540" s="204"/>
      <c r="X1540" s="204"/>
      <c r="Y1540" s="204"/>
      <c r="Z1540" s="204"/>
      <c r="AA1540" s="204"/>
      <c r="AB1540" s="204"/>
      <c r="AC1540" s="204"/>
      <c r="AD1540" s="204"/>
      <c r="AE1540" s="204"/>
      <c r="AF1540" s="204"/>
      <c r="AG1540" s="204"/>
      <c r="AH1540" s="204"/>
      <c r="AI1540" s="209"/>
      <c r="AJ1540" s="209"/>
      <c r="AK1540" s="204"/>
      <c r="AL1540" s="204"/>
      <c r="AM1540" s="204"/>
    </row>
    <row r="1541">
      <c r="A1541" s="204"/>
      <c r="B1541" s="209"/>
      <c r="C1541" s="204"/>
      <c r="D1541" s="210"/>
      <c r="E1541" s="211"/>
      <c r="F1541" s="211"/>
      <c r="G1541" s="212"/>
      <c r="H1541" s="212"/>
      <c r="I1541" s="204"/>
      <c r="J1541" s="204"/>
      <c r="K1541" s="204"/>
      <c r="L1541" s="204"/>
      <c r="M1541" s="204"/>
      <c r="N1541" s="204"/>
      <c r="O1541" s="204"/>
      <c r="P1541" s="204"/>
      <c r="Q1541" s="204"/>
      <c r="R1541" s="204"/>
      <c r="S1541" s="204"/>
      <c r="T1541" s="204"/>
      <c r="U1541" s="204"/>
      <c r="V1541" s="204"/>
      <c r="W1541" s="204"/>
      <c r="X1541" s="204"/>
      <c r="Y1541" s="204"/>
      <c r="Z1541" s="204"/>
      <c r="AA1541" s="204"/>
      <c r="AB1541" s="204"/>
      <c r="AC1541" s="204"/>
      <c r="AD1541" s="204"/>
      <c r="AE1541" s="204"/>
      <c r="AF1541" s="204"/>
      <c r="AG1541" s="204"/>
      <c r="AH1541" s="204"/>
      <c r="AI1541" s="209"/>
      <c r="AJ1541" s="209"/>
      <c r="AK1541" s="204"/>
      <c r="AL1541" s="204"/>
      <c r="AM1541" s="204"/>
    </row>
    <row r="1542">
      <c r="A1542" s="204"/>
      <c r="B1542" s="209"/>
      <c r="C1542" s="204"/>
      <c r="D1542" s="210"/>
      <c r="E1542" s="211"/>
      <c r="F1542" s="211"/>
      <c r="G1542" s="212"/>
      <c r="H1542" s="212"/>
      <c r="I1542" s="204"/>
      <c r="J1542" s="204"/>
      <c r="K1542" s="204"/>
      <c r="L1542" s="204"/>
      <c r="M1542" s="204"/>
      <c r="N1542" s="204"/>
      <c r="O1542" s="204"/>
      <c r="P1542" s="204"/>
      <c r="Q1542" s="204"/>
      <c r="R1542" s="204"/>
      <c r="S1542" s="204"/>
      <c r="T1542" s="204"/>
      <c r="U1542" s="204"/>
      <c r="V1542" s="204"/>
      <c r="W1542" s="204"/>
      <c r="X1542" s="204"/>
      <c r="Y1542" s="204"/>
      <c r="Z1542" s="204"/>
      <c r="AA1542" s="204"/>
      <c r="AB1542" s="204"/>
      <c r="AC1542" s="204"/>
      <c r="AD1542" s="204"/>
      <c r="AE1542" s="204"/>
      <c r="AF1542" s="204"/>
      <c r="AG1542" s="204"/>
      <c r="AH1542" s="204"/>
      <c r="AI1542" s="209"/>
      <c r="AJ1542" s="209"/>
      <c r="AK1542" s="204"/>
      <c r="AL1542" s="204"/>
      <c r="AM1542" s="204"/>
    </row>
    <row r="1543">
      <c r="A1543" s="204"/>
      <c r="B1543" s="209"/>
      <c r="C1543" s="204"/>
      <c r="D1543" s="210"/>
      <c r="E1543" s="211"/>
      <c r="F1543" s="211"/>
      <c r="G1543" s="212"/>
      <c r="H1543" s="212"/>
      <c r="I1543" s="204"/>
      <c r="J1543" s="204"/>
      <c r="K1543" s="204"/>
      <c r="L1543" s="204"/>
      <c r="M1543" s="204"/>
      <c r="N1543" s="204"/>
      <c r="O1543" s="204"/>
      <c r="P1543" s="204"/>
      <c r="Q1543" s="204"/>
      <c r="R1543" s="204"/>
      <c r="S1543" s="204"/>
      <c r="T1543" s="204"/>
      <c r="U1543" s="204"/>
      <c r="V1543" s="204"/>
      <c r="W1543" s="204"/>
      <c r="X1543" s="204"/>
      <c r="Y1543" s="204"/>
      <c r="Z1543" s="204"/>
      <c r="AA1543" s="204"/>
      <c r="AB1543" s="204"/>
      <c r="AC1543" s="204"/>
      <c r="AD1543" s="204"/>
      <c r="AE1543" s="204"/>
      <c r="AF1543" s="204"/>
      <c r="AG1543" s="204"/>
      <c r="AH1543" s="204"/>
      <c r="AI1543" s="209"/>
      <c r="AJ1543" s="209"/>
      <c r="AK1543" s="204"/>
      <c r="AL1543" s="204"/>
      <c r="AM1543" s="204"/>
    </row>
    <row r="1544">
      <c r="A1544" s="204"/>
      <c r="B1544" s="209"/>
      <c r="C1544" s="204"/>
      <c r="D1544" s="210"/>
      <c r="E1544" s="211"/>
      <c r="F1544" s="211"/>
      <c r="G1544" s="212"/>
      <c r="H1544" s="212"/>
      <c r="I1544" s="204"/>
      <c r="J1544" s="204"/>
      <c r="K1544" s="204"/>
      <c r="L1544" s="204"/>
      <c r="M1544" s="204"/>
      <c r="N1544" s="204"/>
      <c r="O1544" s="204"/>
      <c r="P1544" s="204"/>
      <c r="Q1544" s="204"/>
      <c r="R1544" s="204"/>
      <c r="S1544" s="204"/>
      <c r="T1544" s="204"/>
      <c r="U1544" s="204"/>
      <c r="V1544" s="204"/>
      <c r="W1544" s="204"/>
      <c r="X1544" s="204"/>
      <c r="Y1544" s="204"/>
      <c r="Z1544" s="204"/>
      <c r="AA1544" s="204"/>
      <c r="AB1544" s="204"/>
      <c r="AC1544" s="204"/>
      <c r="AD1544" s="204"/>
      <c r="AE1544" s="204"/>
      <c r="AF1544" s="204"/>
      <c r="AG1544" s="204"/>
      <c r="AH1544" s="204"/>
      <c r="AI1544" s="209"/>
      <c r="AJ1544" s="209"/>
      <c r="AK1544" s="204"/>
      <c r="AL1544" s="204"/>
      <c r="AM1544" s="204"/>
    </row>
    <row r="1545">
      <c r="A1545" s="204"/>
      <c r="B1545" s="209"/>
      <c r="C1545" s="204"/>
      <c r="D1545" s="210"/>
      <c r="E1545" s="211"/>
      <c r="F1545" s="211"/>
      <c r="G1545" s="212"/>
      <c r="H1545" s="212"/>
      <c r="I1545" s="204"/>
      <c r="J1545" s="204"/>
      <c r="K1545" s="204"/>
      <c r="L1545" s="204"/>
      <c r="M1545" s="204"/>
      <c r="N1545" s="204"/>
      <c r="O1545" s="204"/>
      <c r="P1545" s="204"/>
      <c r="Q1545" s="204"/>
      <c r="R1545" s="204"/>
      <c r="S1545" s="204"/>
      <c r="T1545" s="204"/>
      <c r="U1545" s="204"/>
      <c r="V1545" s="204"/>
      <c r="W1545" s="204"/>
      <c r="X1545" s="204"/>
      <c r="Y1545" s="204"/>
      <c r="Z1545" s="204"/>
      <c r="AA1545" s="204"/>
      <c r="AB1545" s="204"/>
      <c r="AC1545" s="204"/>
      <c r="AD1545" s="204"/>
      <c r="AE1545" s="204"/>
      <c r="AF1545" s="204"/>
      <c r="AG1545" s="204"/>
      <c r="AH1545" s="204"/>
      <c r="AI1545" s="209"/>
      <c r="AJ1545" s="209"/>
      <c r="AK1545" s="204"/>
      <c r="AL1545" s="204"/>
      <c r="AM1545" s="204"/>
    </row>
    <row r="1546">
      <c r="A1546" s="204"/>
      <c r="B1546" s="209"/>
      <c r="C1546" s="204"/>
      <c r="D1546" s="210"/>
      <c r="E1546" s="211"/>
      <c r="F1546" s="211"/>
      <c r="G1546" s="212"/>
      <c r="H1546" s="212"/>
      <c r="I1546" s="204"/>
      <c r="J1546" s="204"/>
      <c r="K1546" s="204"/>
      <c r="L1546" s="204"/>
      <c r="M1546" s="204"/>
      <c r="N1546" s="204"/>
      <c r="O1546" s="204"/>
      <c r="P1546" s="204"/>
      <c r="Q1546" s="204"/>
      <c r="R1546" s="204"/>
      <c r="S1546" s="204"/>
      <c r="T1546" s="204"/>
      <c r="U1546" s="204"/>
      <c r="V1546" s="204"/>
      <c r="W1546" s="204"/>
      <c r="X1546" s="204"/>
      <c r="Y1546" s="204"/>
      <c r="Z1546" s="204"/>
      <c r="AA1546" s="204"/>
      <c r="AB1546" s="204"/>
      <c r="AC1546" s="204"/>
      <c r="AD1546" s="204"/>
      <c r="AE1546" s="204"/>
      <c r="AF1546" s="204"/>
      <c r="AG1546" s="204"/>
      <c r="AH1546" s="204"/>
      <c r="AI1546" s="209"/>
      <c r="AJ1546" s="209"/>
      <c r="AK1546" s="204"/>
      <c r="AL1546" s="204"/>
      <c r="AM1546" s="204"/>
    </row>
    <row r="1547">
      <c r="A1547" s="204"/>
      <c r="B1547" s="209"/>
      <c r="C1547" s="204"/>
      <c r="D1547" s="210"/>
      <c r="E1547" s="211"/>
      <c r="F1547" s="211"/>
      <c r="G1547" s="212"/>
      <c r="H1547" s="212"/>
      <c r="I1547" s="204"/>
      <c r="J1547" s="204"/>
      <c r="K1547" s="204"/>
      <c r="L1547" s="204"/>
      <c r="M1547" s="204"/>
      <c r="N1547" s="204"/>
      <c r="O1547" s="204"/>
      <c r="P1547" s="204"/>
      <c r="Q1547" s="204"/>
      <c r="R1547" s="204"/>
      <c r="S1547" s="204"/>
      <c r="T1547" s="204"/>
      <c r="U1547" s="204"/>
      <c r="V1547" s="204"/>
      <c r="W1547" s="204"/>
      <c r="X1547" s="204"/>
      <c r="Y1547" s="204"/>
      <c r="Z1547" s="204"/>
      <c r="AA1547" s="204"/>
      <c r="AB1547" s="204"/>
      <c r="AC1547" s="204"/>
      <c r="AD1547" s="204"/>
      <c r="AE1547" s="204"/>
      <c r="AF1547" s="204"/>
      <c r="AG1547" s="204"/>
      <c r="AH1547" s="204"/>
      <c r="AI1547" s="209"/>
      <c r="AJ1547" s="209"/>
      <c r="AK1547" s="204"/>
      <c r="AL1547" s="204"/>
      <c r="AM1547" s="204"/>
    </row>
    <row r="1548">
      <c r="A1548" s="204"/>
      <c r="B1548" s="209"/>
      <c r="C1548" s="204"/>
      <c r="D1548" s="210"/>
      <c r="E1548" s="211"/>
      <c r="F1548" s="211"/>
      <c r="G1548" s="212"/>
      <c r="H1548" s="212"/>
      <c r="I1548" s="204"/>
      <c r="J1548" s="204"/>
      <c r="K1548" s="204"/>
      <c r="L1548" s="204"/>
      <c r="M1548" s="204"/>
      <c r="N1548" s="204"/>
      <c r="O1548" s="204"/>
      <c r="P1548" s="204"/>
      <c r="Q1548" s="204"/>
      <c r="R1548" s="204"/>
      <c r="S1548" s="204"/>
      <c r="T1548" s="204"/>
      <c r="U1548" s="204"/>
      <c r="V1548" s="204"/>
      <c r="W1548" s="204"/>
      <c r="X1548" s="204"/>
      <c r="Y1548" s="204"/>
      <c r="Z1548" s="204"/>
      <c r="AA1548" s="204"/>
      <c r="AB1548" s="204"/>
      <c r="AC1548" s="204"/>
      <c r="AD1548" s="204"/>
      <c r="AE1548" s="204"/>
      <c r="AF1548" s="204"/>
      <c r="AG1548" s="204"/>
      <c r="AH1548" s="204"/>
      <c r="AI1548" s="209"/>
      <c r="AJ1548" s="209"/>
      <c r="AK1548" s="204"/>
      <c r="AL1548" s="204"/>
      <c r="AM1548" s="204"/>
    </row>
    <row r="1549">
      <c r="A1549" s="204"/>
      <c r="B1549" s="209"/>
      <c r="C1549" s="204"/>
      <c r="D1549" s="210"/>
      <c r="E1549" s="211"/>
      <c r="F1549" s="211"/>
      <c r="G1549" s="212"/>
      <c r="H1549" s="212"/>
      <c r="I1549" s="204"/>
      <c r="J1549" s="204"/>
      <c r="K1549" s="204"/>
      <c r="L1549" s="204"/>
      <c r="M1549" s="204"/>
      <c r="N1549" s="204"/>
      <c r="O1549" s="204"/>
      <c r="P1549" s="204"/>
      <c r="Q1549" s="204"/>
      <c r="R1549" s="204"/>
      <c r="S1549" s="204"/>
      <c r="T1549" s="204"/>
      <c r="U1549" s="204"/>
      <c r="V1549" s="204"/>
      <c r="W1549" s="204"/>
      <c r="X1549" s="204"/>
      <c r="Y1549" s="204"/>
      <c r="Z1549" s="204"/>
      <c r="AA1549" s="204"/>
      <c r="AB1549" s="204"/>
      <c r="AC1549" s="204"/>
      <c r="AD1549" s="204"/>
      <c r="AE1549" s="204"/>
      <c r="AF1549" s="204"/>
      <c r="AG1549" s="204"/>
      <c r="AH1549" s="204"/>
      <c r="AI1549" s="209"/>
      <c r="AJ1549" s="209"/>
      <c r="AK1549" s="204"/>
      <c r="AL1549" s="204"/>
      <c r="AM1549" s="204"/>
    </row>
    <row r="1550">
      <c r="A1550" s="204"/>
      <c r="B1550" s="209"/>
      <c r="C1550" s="204"/>
      <c r="D1550" s="210"/>
      <c r="E1550" s="211"/>
      <c r="F1550" s="211"/>
      <c r="G1550" s="212"/>
      <c r="H1550" s="212"/>
      <c r="I1550" s="204"/>
      <c r="J1550" s="204"/>
      <c r="K1550" s="204"/>
      <c r="L1550" s="204"/>
      <c r="M1550" s="204"/>
      <c r="N1550" s="204"/>
      <c r="O1550" s="204"/>
      <c r="P1550" s="204"/>
      <c r="Q1550" s="204"/>
      <c r="R1550" s="204"/>
      <c r="S1550" s="204"/>
      <c r="T1550" s="204"/>
      <c r="U1550" s="204"/>
      <c r="V1550" s="204"/>
      <c r="W1550" s="204"/>
      <c r="X1550" s="204"/>
      <c r="Y1550" s="204"/>
      <c r="Z1550" s="204"/>
      <c r="AA1550" s="204"/>
      <c r="AB1550" s="204"/>
      <c r="AC1550" s="204"/>
      <c r="AD1550" s="204"/>
      <c r="AE1550" s="204"/>
      <c r="AF1550" s="204"/>
      <c r="AG1550" s="204"/>
      <c r="AH1550" s="204"/>
      <c r="AI1550" s="209"/>
      <c r="AJ1550" s="209"/>
      <c r="AK1550" s="204"/>
      <c r="AL1550" s="204"/>
      <c r="AM1550" s="204"/>
    </row>
    <row r="1551">
      <c r="A1551" s="204"/>
      <c r="B1551" s="209"/>
      <c r="C1551" s="204"/>
      <c r="D1551" s="210"/>
      <c r="E1551" s="211"/>
      <c r="F1551" s="211"/>
      <c r="G1551" s="212"/>
      <c r="H1551" s="212"/>
      <c r="I1551" s="204"/>
      <c r="J1551" s="204"/>
      <c r="K1551" s="204"/>
      <c r="L1551" s="204"/>
      <c r="M1551" s="204"/>
      <c r="N1551" s="204"/>
      <c r="O1551" s="204"/>
      <c r="P1551" s="204"/>
      <c r="Q1551" s="204"/>
      <c r="R1551" s="204"/>
      <c r="S1551" s="204"/>
      <c r="T1551" s="204"/>
      <c r="U1551" s="204"/>
      <c r="V1551" s="204"/>
      <c r="W1551" s="204"/>
      <c r="X1551" s="204"/>
      <c r="Y1551" s="204"/>
      <c r="Z1551" s="204"/>
      <c r="AA1551" s="204"/>
      <c r="AB1551" s="204"/>
      <c r="AC1551" s="204"/>
      <c r="AD1551" s="204"/>
      <c r="AE1551" s="204"/>
      <c r="AF1551" s="204"/>
      <c r="AG1551" s="204"/>
      <c r="AH1551" s="204"/>
      <c r="AI1551" s="209"/>
      <c r="AJ1551" s="209"/>
      <c r="AK1551" s="204"/>
      <c r="AL1551" s="204"/>
      <c r="AM1551" s="204"/>
    </row>
    <row r="1552">
      <c r="A1552" s="204"/>
      <c r="B1552" s="209"/>
      <c r="C1552" s="204"/>
      <c r="D1552" s="210"/>
      <c r="E1552" s="211"/>
      <c r="F1552" s="211"/>
      <c r="G1552" s="212"/>
      <c r="H1552" s="212"/>
      <c r="I1552" s="204"/>
      <c r="J1552" s="204"/>
      <c r="K1552" s="204"/>
      <c r="L1552" s="204"/>
      <c r="M1552" s="204"/>
      <c r="N1552" s="204"/>
      <c r="O1552" s="204"/>
      <c r="P1552" s="204"/>
      <c r="Q1552" s="204"/>
      <c r="R1552" s="204"/>
      <c r="S1552" s="204"/>
      <c r="T1552" s="204"/>
      <c r="U1552" s="204"/>
      <c r="V1552" s="204"/>
      <c r="W1552" s="204"/>
      <c r="X1552" s="204"/>
      <c r="Y1552" s="204"/>
      <c r="Z1552" s="204"/>
      <c r="AA1552" s="204"/>
      <c r="AB1552" s="204"/>
      <c r="AC1552" s="204"/>
      <c r="AD1552" s="204"/>
      <c r="AE1552" s="204"/>
      <c r="AF1552" s="204"/>
      <c r="AG1552" s="204"/>
      <c r="AH1552" s="204"/>
      <c r="AI1552" s="209"/>
      <c r="AJ1552" s="209"/>
      <c r="AK1552" s="204"/>
      <c r="AL1552" s="204"/>
      <c r="AM1552" s="204"/>
    </row>
    <row r="1553">
      <c r="A1553" s="204"/>
      <c r="B1553" s="209"/>
      <c r="C1553" s="204"/>
      <c r="D1553" s="210"/>
      <c r="E1553" s="211"/>
      <c r="F1553" s="211"/>
      <c r="G1553" s="212"/>
      <c r="H1553" s="212"/>
      <c r="I1553" s="204"/>
      <c r="J1553" s="204"/>
      <c r="K1553" s="204"/>
      <c r="L1553" s="204"/>
      <c r="M1553" s="204"/>
      <c r="N1553" s="204"/>
      <c r="O1553" s="204"/>
      <c r="P1553" s="204"/>
      <c r="Q1553" s="204"/>
      <c r="R1553" s="204"/>
      <c r="S1553" s="204"/>
      <c r="T1553" s="204"/>
      <c r="U1553" s="204"/>
      <c r="V1553" s="204"/>
      <c r="W1553" s="204"/>
      <c r="X1553" s="204"/>
      <c r="Y1553" s="204"/>
      <c r="Z1553" s="204"/>
      <c r="AA1553" s="204"/>
      <c r="AB1553" s="204"/>
      <c r="AC1553" s="204"/>
      <c r="AD1553" s="204"/>
      <c r="AE1553" s="204"/>
      <c r="AF1553" s="204"/>
      <c r="AG1553" s="204"/>
      <c r="AH1553" s="204"/>
      <c r="AI1553" s="209"/>
      <c r="AJ1553" s="209"/>
      <c r="AK1553" s="204"/>
      <c r="AL1553" s="204"/>
      <c r="AM1553" s="204"/>
    </row>
    <row r="1554">
      <c r="A1554" s="204"/>
      <c r="B1554" s="209"/>
      <c r="C1554" s="204"/>
      <c r="D1554" s="210"/>
      <c r="E1554" s="211"/>
      <c r="F1554" s="211"/>
      <c r="G1554" s="212"/>
      <c r="H1554" s="212"/>
      <c r="I1554" s="204"/>
      <c r="J1554" s="204"/>
      <c r="K1554" s="204"/>
      <c r="L1554" s="204"/>
      <c r="M1554" s="204"/>
      <c r="N1554" s="204"/>
      <c r="O1554" s="204"/>
      <c r="P1554" s="204"/>
      <c r="Q1554" s="204"/>
      <c r="R1554" s="204"/>
      <c r="S1554" s="204"/>
      <c r="T1554" s="204"/>
      <c r="U1554" s="204"/>
      <c r="V1554" s="204"/>
      <c r="W1554" s="204"/>
      <c r="X1554" s="204"/>
      <c r="Y1554" s="204"/>
      <c r="Z1554" s="204"/>
      <c r="AA1554" s="204"/>
      <c r="AB1554" s="204"/>
      <c r="AC1554" s="204"/>
      <c r="AD1554" s="204"/>
      <c r="AE1554" s="204"/>
      <c r="AF1554" s="204"/>
      <c r="AG1554" s="204"/>
      <c r="AH1554" s="204"/>
      <c r="AI1554" s="209"/>
      <c r="AJ1554" s="209"/>
      <c r="AK1554" s="204"/>
      <c r="AL1554" s="204"/>
      <c r="AM1554" s="204"/>
    </row>
    <row r="1555">
      <c r="A1555" s="204"/>
      <c r="B1555" s="209"/>
      <c r="C1555" s="204"/>
      <c r="D1555" s="210"/>
      <c r="E1555" s="211"/>
      <c r="F1555" s="211"/>
      <c r="G1555" s="212"/>
      <c r="H1555" s="212"/>
      <c r="I1555" s="204"/>
      <c r="J1555" s="204"/>
      <c r="K1555" s="204"/>
      <c r="L1555" s="204"/>
      <c r="M1555" s="204"/>
      <c r="N1555" s="204"/>
      <c r="O1555" s="204"/>
      <c r="P1555" s="204"/>
      <c r="Q1555" s="204"/>
      <c r="R1555" s="204"/>
      <c r="S1555" s="204"/>
      <c r="T1555" s="204"/>
      <c r="U1555" s="204"/>
      <c r="V1555" s="204"/>
      <c r="W1555" s="204"/>
      <c r="X1555" s="204"/>
      <c r="Y1555" s="204"/>
      <c r="Z1555" s="204"/>
      <c r="AA1555" s="204"/>
      <c r="AB1555" s="204"/>
      <c r="AC1555" s="204"/>
      <c r="AD1555" s="204"/>
      <c r="AE1555" s="204"/>
      <c r="AF1555" s="204"/>
      <c r="AG1555" s="204"/>
      <c r="AH1555" s="204"/>
      <c r="AI1555" s="209"/>
      <c r="AJ1555" s="209"/>
      <c r="AK1555" s="204"/>
      <c r="AL1555" s="204"/>
      <c r="AM1555" s="204"/>
    </row>
    <row r="1556">
      <c r="A1556" s="204"/>
      <c r="B1556" s="209"/>
      <c r="C1556" s="204"/>
      <c r="D1556" s="210"/>
      <c r="E1556" s="211"/>
      <c r="F1556" s="211"/>
      <c r="G1556" s="212"/>
      <c r="H1556" s="212"/>
      <c r="I1556" s="204"/>
      <c r="J1556" s="204"/>
      <c r="K1556" s="204"/>
      <c r="L1556" s="204"/>
      <c r="M1556" s="204"/>
      <c r="N1556" s="204"/>
      <c r="O1556" s="204"/>
      <c r="P1556" s="204"/>
      <c r="Q1556" s="204"/>
      <c r="R1556" s="204"/>
      <c r="S1556" s="204"/>
      <c r="T1556" s="204"/>
      <c r="U1556" s="204"/>
      <c r="V1556" s="204"/>
      <c r="W1556" s="204"/>
      <c r="X1556" s="204"/>
      <c r="Y1556" s="204"/>
      <c r="Z1556" s="204"/>
      <c r="AA1556" s="204"/>
      <c r="AB1556" s="204"/>
      <c r="AC1556" s="204"/>
      <c r="AD1556" s="204"/>
      <c r="AE1556" s="204"/>
      <c r="AF1556" s="204"/>
      <c r="AG1556" s="204"/>
      <c r="AH1556" s="204"/>
      <c r="AI1556" s="209"/>
      <c r="AJ1556" s="209"/>
      <c r="AK1556" s="204"/>
      <c r="AL1556" s="204"/>
      <c r="AM1556" s="204"/>
    </row>
    <row r="1557">
      <c r="A1557" s="204"/>
      <c r="B1557" s="209"/>
      <c r="C1557" s="204"/>
      <c r="D1557" s="210"/>
      <c r="E1557" s="211"/>
      <c r="F1557" s="211"/>
      <c r="G1557" s="212"/>
      <c r="H1557" s="212"/>
      <c r="I1557" s="204"/>
      <c r="J1557" s="204"/>
      <c r="K1557" s="204"/>
      <c r="L1557" s="204"/>
      <c r="M1557" s="204"/>
      <c r="N1557" s="204"/>
      <c r="O1557" s="204"/>
      <c r="P1557" s="204"/>
      <c r="Q1557" s="204"/>
      <c r="R1557" s="204"/>
      <c r="S1557" s="204"/>
      <c r="T1557" s="204"/>
      <c r="U1557" s="204"/>
      <c r="V1557" s="204"/>
      <c r="W1557" s="204"/>
      <c r="X1557" s="204"/>
      <c r="Y1557" s="204"/>
      <c r="Z1557" s="204"/>
      <c r="AA1557" s="204"/>
      <c r="AB1557" s="204"/>
      <c r="AC1557" s="204"/>
      <c r="AD1557" s="204"/>
      <c r="AE1557" s="204"/>
      <c r="AF1557" s="204"/>
      <c r="AG1557" s="204"/>
      <c r="AH1557" s="204"/>
      <c r="AI1557" s="209"/>
      <c r="AJ1557" s="209"/>
      <c r="AK1557" s="204"/>
      <c r="AL1557" s="204"/>
      <c r="AM1557" s="204"/>
    </row>
    <row r="1558">
      <c r="A1558" s="204"/>
      <c r="B1558" s="209"/>
      <c r="C1558" s="204"/>
      <c r="D1558" s="210"/>
      <c r="E1558" s="211"/>
      <c r="F1558" s="211"/>
      <c r="G1558" s="212"/>
      <c r="H1558" s="212"/>
      <c r="I1558" s="204"/>
      <c r="J1558" s="204"/>
      <c r="K1558" s="204"/>
      <c r="L1558" s="204"/>
      <c r="M1558" s="204"/>
      <c r="N1558" s="204"/>
      <c r="O1558" s="204"/>
      <c r="P1558" s="204"/>
      <c r="Q1558" s="204"/>
      <c r="R1558" s="204"/>
      <c r="S1558" s="204"/>
      <c r="T1558" s="204"/>
      <c r="U1558" s="204"/>
      <c r="V1558" s="204"/>
      <c r="W1558" s="204"/>
      <c r="X1558" s="204"/>
      <c r="Y1558" s="204"/>
      <c r="Z1558" s="204"/>
      <c r="AA1558" s="204"/>
      <c r="AB1558" s="204"/>
      <c r="AC1558" s="204"/>
      <c r="AD1558" s="204"/>
      <c r="AE1558" s="204"/>
      <c r="AF1558" s="204"/>
      <c r="AG1558" s="204"/>
      <c r="AH1558" s="204"/>
      <c r="AI1558" s="209"/>
      <c r="AJ1558" s="209"/>
      <c r="AK1558" s="204"/>
      <c r="AL1558" s="204"/>
      <c r="AM1558" s="204"/>
    </row>
    <row r="1559">
      <c r="A1559" s="204"/>
      <c r="B1559" s="209"/>
      <c r="C1559" s="204"/>
      <c r="D1559" s="210"/>
      <c r="E1559" s="211"/>
      <c r="F1559" s="211"/>
      <c r="G1559" s="212"/>
      <c r="H1559" s="212"/>
      <c r="I1559" s="204"/>
      <c r="J1559" s="204"/>
      <c r="K1559" s="204"/>
      <c r="L1559" s="204"/>
      <c r="M1559" s="204"/>
      <c r="N1559" s="204"/>
      <c r="O1559" s="204"/>
      <c r="P1559" s="204"/>
      <c r="Q1559" s="204"/>
      <c r="R1559" s="204"/>
      <c r="S1559" s="204"/>
      <c r="T1559" s="204"/>
      <c r="U1559" s="204"/>
      <c r="V1559" s="204"/>
      <c r="W1559" s="204"/>
      <c r="X1559" s="204"/>
      <c r="Y1559" s="204"/>
      <c r="Z1559" s="204"/>
      <c r="AA1559" s="204"/>
      <c r="AB1559" s="204"/>
      <c r="AC1559" s="204"/>
      <c r="AD1559" s="204"/>
      <c r="AE1559" s="204"/>
      <c r="AF1559" s="204"/>
      <c r="AG1559" s="204"/>
      <c r="AH1559" s="204"/>
      <c r="AI1559" s="209"/>
      <c r="AJ1559" s="209"/>
      <c r="AK1559" s="204"/>
      <c r="AL1559" s="204"/>
      <c r="AM1559" s="204"/>
    </row>
    <row r="1560">
      <c r="A1560" s="204"/>
      <c r="B1560" s="209"/>
      <c r="C1560" s="204"/>
      <c r="D1560" s="210"/>
      <c r="E1560" s="211"/>
      <c r="F1560" s="211"/>
      <c r="G1560" s="212"/>
      <c r="H1560" s="212"/>
      <c r="I1560" s="204"/>
      <c r="J1560" s="204"/>
      <c r="K1560" s="204"/>
      <c r="L1560" s="204"/>
      <c r="M1560" s="204"/>
      <c r="N1560" s="204"/>
      <c r="O1560" s="204"/>
      <c r="P1560" s="204"/>
      <c r="Q1560" s="204"/>
      <c r="R1560" s="204"/>
      <c r="S1560" s="204"/>
      <c r="T1560" s="204"/>
      <c r="U1560" s="204"/>
      <c r="V1560" s="204"/>
      <c r="W1560" s="204"/>
      <c r="X1560" s="204"/>
      <c r="Y1560" s="204"/>
      <c r="Z1560" s="204"/>
      <c r="AA1560" s="204"/>
      <c r="AB1560" s="204"/>
      <c r="AC1560" s="204"/>
      <c r="AD1560" s="204"/>
      <c r="AE1560" s="204"/>
      <c r="AF1560" s="204"/>
      <c r="AG1560" s="204"/>
      <c r="AH1560" s="204"/>
      <c r="AI1560" s="209"/>
      <c r="AJ1560" s="209"/>
      <c r="AK1560" s="204"/>
      <c r="AL1560" s="204"/>
      <c r="AM1560" s="204"/>
    </row>
    <row r="1561">
      <c r="A1561" s="204"/>
      <c r="B1561" s="209"/>
      <c r="C1561" s="204"/>
      <c r="D1561" s="210"/>
      <c r="E1561" s="211"/>
      <c r="F1561" s="211"/>
      <c r="G1561" s="212"/>
      <c r="H1561" s="212"/>
      <c r="I1561" s="204"/>
      <c r="J1561" s="204"/>
      <c r="K1561" s="204"/>
      <c r="L1561" s="204"/>
      <c r="M1561" s="204"/>
      <c r="N1561" s="204"/>
      <c r="O1561" s="204"/>
      <c r="P1561" s="204"/>
      <c r="Q1561" s="204"/>
      <c r="R1561" s="204"/>
      <c r="S1561" s="204"/>
      <c r="T1561" s="204"/>
      <c r="U1561" s="204"/>
      <c r="V1561" s="204"/>
      <c r="W1561" s="204"/>
      <c r="X1561" s="204"/>
      <c r="Y1561" s="204"/>
      <c r="Z1561" s="204"/>
      <c r="AA1561" s="204"/>
      <c r="AB1561" s="204"/>
      <c r="AC1561" s="204"/>
      <c r="AD1561" s="204"/>
      <c r="AE1561" s="204"/>
      <c r="AF1561" s="204"/>
      <c r="AG1561" s="204"/>
      <c r="AH1561" s="204"/>
      <c r="AI1561" s="209"/>
      <c r="AJ1561" s="209"/>
      <c r="AK1561" s="204"/>
      <c r="AL1561" s="204"/>
      <c r="AM1561" s="204"/>
    </row>
    <row r="1562">
      <c r="A1562" s="204"/>
      <c r="B1562" s="209"/>
      <c r="C1562" s="204"/>
      <c r="D1562" s="210"/>
      <c r="E1562" s="211"/>
      <c r="F1562" s="211"/>
      <c r="G1562" s="212"/>
      <c r="H1562" s="212"/>
      <c r="I1562" s="204"/>
      <c r="J1562" s="204"/>
      <c r="K1562" s="204"/>
      <c r="L1562" s="204"/>
      <c r="M1562" s="204"/>
      <c r="N1562" s="204"/>
      <c r="O1562" s="204"/>
      <c r="P1562" s="204"/>
      <c r="Q1562" s="204"/>
      <c r="R1562" s="204"/>
      <c r="S1562" s="204"/>
      <c r="T1562" s="204"/>
      <c r="U1562" s="204"/>
      <c r="V1562" s="204"/>
      <c r="W1562" s="204"/>
      <c r="X1562" s="204"/>
      <c r="Y1562" s="204"/>
      <c r="Z1562" s="204"/>
      <c r="AA1562" s="204"/>
      <c r="AB1562" s="204"/>
      <c r="AC1562" s="204"/>
      <c r="AD1562" s="204"/>
      <c r="AE1562" s="204"/>
      <c r="AF1562" s="204"/>
      <c r="AG1562" s="204"/>
      <c r="AH1562" s="204"/>
      <c r="AI1562" s="209"/>
      <c r="AJ1562" s="209"/>
      <c r="AK1562" s="204"/>
      <c r="AL1562" s="204"/>
      <c r="AM1562" s="204"/>
    </row>
    <row r="1563">
      <c r="A1563" s="204"/>
      <c r="B1563" s="209"/>
      <c r="C1563" s="204"/>
      <c r="D1563" s="210"/>
      <c r="E1563" s="211"/>
      <c r="F1563" s="211"/>
      <c r="G1563" s="212"/>
      <c r="H1563" s="212"/>
      <c r="I1563" s="204"/>
      <c r="J1563" s="204"/>
      <c r="K1563" s="204"/>
      <c r="L1563" s="204"/>
      <c r="M1563" s="204"/>
      <c r="N1563" s="204"/>
      <c r="O1563" s="204"/>
      <c r="P1563" s="204"/>
      <c r="Q1563" s="204"/>
      <c r="R1563" s="204"/>
      <c r="S1563" s="204"/>
      <c r="T1563" s="204"/>
      <c r="U1563" s="204"/>
      <c r="V1563" s="204"/>
      <c r="W1563" s="204"/>
      <c r="X1563" s="204"/>
      <c r="Y1563" s="204"/>
      <c r="Z1563" s="204"/>
      <c r="AA1563" s="204"/>
      <c r="AB1563" s="204"/>
      <c r="AC1563" s="204"/>
      <c r="AD1563" s="204"/>
      <c r="AE1563" s="204"/>
      <c r="AF1563" s="204"/>
      <c r="AG1563" s="204"/>
      <c r="AH1563" s="204"/>
      <c r="AI1563" s="209"/>
      <c r="AJ1563" s="209"/>
      <c r="AK1563" s="204"/>
      <c r="AL1563" s="204"/>
      <c r="AM1563" s="204"/>
    </row>
    <row r="1564">
      <c r="A1564" s="204"/>
      <c r="B1564" s="209"/>
      <c r="C1564" s="204"/>
      <c r="D1564" s="210"/>
      <c r="E1564" s="211"/>
      <c r="F1564" s="211"/>
      <c r="G1564" s="212"/>
      <c r="H1564" s="212"/>
      <c r="I1564" s="204"/>
      <c r="J1564" s="204"/>
      <c r="K1564" s="204"/>
      <c r="L1564" s="204"/>
      <c r="M1564" s="204"/>
      <c r="N1564" s="204"/>
      <c r="O1564" s="204"/>
      <c r="P1564" s="204"/>
      <c r="Q1564" s="204"/>
      <c r="R1564" s="204"/>
      <c r="S1564" s="204"/>
      <c r="T1564" s="204"/>
      <c r="U1564" s="204"/>
      <c r="V1564" s="204"/>
      <c r="W1564" s="204"/>
      <c r="X1564" s="204"/>
      <c r="Y1564" s="204"/>
      <c r="Z1564" s="204"/>
      <c r="AA1564" s="204"/>
      <c r="AB1564" s="204"/>
      <c r="AC1564" s="204"/>
      <c r="AD1564" s="204"/>
      <c r="AE1564" s="204"/>
      <c r="AF1564" s="204"/>
      <c r="AG1564" s="204"/>
      <c r="AH1564" s="204"/>
      <c r="AI1564" s="209"/>
      <c r="AJ1564" s="209"/>
      <c r="AK1564" s="204"/>
      <c r="AL1564" s="204"/>
      <c r="AM1564" s="204"/>
    </row>
    <row r="1565">
      <c r="A1565" s="204"/>
      <c r="B1565" s="209"/>
      <c r="C1565" s="204"/>
      <c r="D1565" s="210"/>
      <c r="E1565" s="211"/>
      <c r="F1565" s="211"/>
      <c r="G1565" s="212"/>
      <c r="H1565" s="212"/>
      <c r="I1565" s="204"/>
      <c r="J1565" s="204"/>
      <c r="K1565" s="204"/>
      <c r="L1565" s="204"/>
      <c r="M1565" s="204"/>
      <c r="N1565" s="204"/>
      <c r="O1565" s="204"/>
      <c r="P1565" s="204"/>
      <c r="Q1565" s="204"/>
      <c r="R1565" s="204"/>
      <c r="S1565" s="204"/>
      <c r="T1565" s="204"/>
      <c r="U1565" s="204"/>
      <c r="V1565" s="204"/>
      <c r="W1565" s="204"/>
      <c r="X1565" s="204"/>
      <c r="Y1565" s="204"/>
      <c r="Z1565" s="204"/>
      <c r="AA1565" s="204"/>
      <c r="AB1565" s="204"/>
      <c r="AC1565" s="204"/>
      <c r="AD1565" s="204"/>
      <c r="AE1565" s="204"/>
      <c r="AF1565" s="204"/>
      <c r="AG1565" s="204"/>
      <c r="AH1565" s="204"/>
      <c r="AI1565" s="209"/>
      <c r="AJ1565" s="209"/>
      <c r="AK1565" s="204"/>
      <c r="AL1565" s="204"/>
      <c r="AM1565" s="204"/>
    </row>
    <row r="1566">
      <c r="A1566" s="204"/>
      <c r="B1566" s="209"/>
      <c r="C1566" s="204"/>
      <c r="D1566" s="210"/>
      <c r="E1566" s="211"/>
      <c r="F1566" s="211"/>
      <c r="G1566" s="212"/>
      <c r="H1566" s="212"/>
      <c r="I1566" s="204"/>
      <c r="J1566" s="204"/>
      <c r="K1566" s="204"/>
      <c r="L1566" s="204"/>
      <c r="M1566" s="204"/>
      <c r="N1566" s="204"/>
      <c r="O1566" s="204"/>
      <c r="P1566" s="204"/>
      <c r="Q1566" s="204"/>
      <c r="R1566" s="204"/>
      <c r="S1566" s="204"/>
      <c r="T1566" s="204"/>
      <c r="U1566" s="204"/>
      <c r="V1566" s="204"/>
      <c r="W1566" s="204"/>
      <c r="X1566" s="204"/>
      <c r="Y1566" s="204"/>
      <c r="Z1566" s="204"/>
      <c r="AA1566" s="204"/>
      <c r="AB1566" s="204"/>
      <c r="AC1566" s="204"/>
      <c r="AD1566" s="204"/>
      <c r="AE1566" s="204"/>
      <c r="AF1566" s="204"/>
      <c r="AG1566" s="204"/>
      <c r="AH1566" s="204"/>
      <c r="AI1566" s="209"/>
      <c r="AJ1566" s="209"/>
      <c r="AK1566" s="204"/>
      <c r="AL1566" s="204"/>
      <c r="AM1566" s="204"/>
    </row>
    <row r="1567">
      <c r="A1567" s="204"/>
      <c r="B1567" s="209"/>
      <c r="C1567" s="204"/>
      <c r="D1567" s="210"/>
      <c r="E1567" s="211"/>
      <c r="F1567" s="211"/>
      <c r="G1567" s="212"/>
      <c r="H1567" s="212"/>
      <c r="I1567" s="204"/>
      <c r="J1567" s="204"/>
      <c r="K1567" s="204"/>
      <c r="L1567" s="204"/>
      <c r="M1567" s="204"/>
      <c r="N1567" s="204"/>
      <c r="O1567" s="204"/>
      <c r="P1567" s="204"/>
      <c r="Q1567" s="204"/>
      <c r="R1567" s="204"/>
      <c r="S1567" s="204"/>
      <c r="T1567" s="204"/>
      <c r="U1567" s="204"/>
      <c r="V1567" s="204"/>
      <c r="W1567" s="204"/>
      <c r="X1567" s="204"/>
      <c r="Y1567" s="204"/>
      <c r="Z1567" s="204"/>
      <c r="AA1567" s="204"/>
      <c r="AB1567" s="204"/>
      <c r="AC1567" s="204"/>
      <c r="AD1567" s="204"/>
      <c r="AE1567" s="204"/>
      <c r="AF1567" s="204"/>
      <c r="AG1567" s="204"/>
      <c r="AH1567" s="204"/>
      <c r="AI1567" s="209"/>
      <c r="AJ1567" s="209"/>
      <c r="AK1567" s="204"/>
      <c r="AL1567" s="204"/>
      <c r="AM1567" s="204"/>
    </row>
    <row r="1568">
      <c r="A1568" s="204"/>
      <c r="B1568" s="209"/>
      <c r="C1568" s="204"/>
      <c r="D1568" s="210"/>
      <c r="E1568" s="211"/>
      <c r="F1568" s="211"/>
      <c r="G1568" s="212"/>
      <c r="H1568" s="212"/>
      <c r="I1568" s="204"/>
      <c r="J1568" s="204"/>
      <c r="K1568" s="204"/>
      <c r="L1568" s="204"/>
      <c r="M1568" s="204"/>
      <c r="N1568" s="204"/>
      <c r="O1568" s="204"/>
      <c r="P1568" s="204"/>
      <c r="Q1568" s="204"/>
      <c r="R1568" s="204"/>
      <c r="S1568" s="204"/>
      <c r="T1568" s="204"/>
      <c r="U1568" s="204"/>
      <c r="V1568" s="204"/>
      <c r="W1568" s="204"/>
      <c r="X1568" s="204"/>
      <c r="Y1568" s="204"/>
      <c r="Z1568" s="204"/>
      <c r="AA1568" s="204"/>
      <c r="AB1568" s="204"/>
      <c r="AC1568" s="204"/>
      <c r="AD1568" s="204"/>
      <c r="AE1568" s="204"/>
      <c r="AF1568" s="204"/>
      <c r="AG1568" s="204"/>
      <c r="AH1568" s="204"/>
      <c r="AI1568" s="209"/>
      <c r="AJ1568" s="209"/>
      <c r="AK1568" s="204"/>
      <c r="AL1568" s="204"/>
      <c r="AM1568" s="204"/>
    </row>
    <row r="1569">
      <c r="A1569" s="204"/>
      <c r="B1569" s="209"/>
      <c r="C1569" s="204"/>
      <c r="D1569" s="210"/>
      <c r="E1569" s="211"/>
      <c r="F1569" s="211"/>
      <c r="G1569" s="212"/>
      <c r="H1569" s="212"/>
      <c r="I1569" s="204"/>
      <c r="J1569" s="204"/>
      <c r="K1569" s="204"/>
      <c r="L1569" s="204"/>
      <c r="M1569" s="204"/>
      <c r="N1569" s="204"/>
      <c r="O1569" s="204"/>
      <c r="P1569" s="204"/>
      <c r="Q1569" s="204"/>
      <c r="R1569" s="204"/>
      <c r="S1569" s="204"/>
      <c r="T1569" s="204"/>
      <c r="U1569" s="204"/>
      <c r="V1569" s="204"/>
      <c r="W1569" s="204"/>
      <c r="X1569" s="204"/>
      <c r="Y1569" s="204"/>
      <c r="Z1569" s="204"/>
      <c r="AA1569" s="204"/>
      <c r="AB1569" s="204"/>
      <c r="AC1569" s="204"/>
      <c r="AD1569" s="204"/>
      <c r="AE1569" s="204"/>
      <c r="AF1569" s="204"/>
      <c r="AG1569" s="204"/>
      <c r="AH1569" s="204"/>
      <c r="AI1569" s="209"/>
      <c r="AJ1569" s="209"/>
      <c r="AK1569" s="204"/>
      <c r="AL1569" s="204"/>
      <c r="AM1569" s="204"/>
    </row>
    <row r="1570">
      <c r="A1570" s="204"/>
      <c r="B1570" s="209"/>
      <c r="C1570" s="204"/>
      <c r="D1570" s="210"/>
      <c r="E1570" s="211"/>
      <c r="F1570" s="211"/>
      <c r="G1570" s="212"/>
      <c r="H1570" s="212"/>
      <c r="I1570" s="204"/>
      <c r="J1570" s="204"/>
      <c r="K1570" s="204"/>
      <c r="L1570" s="204"/>
      <c r="M1570" s="204"/>
      <c r="N1570" s="204"/>
      <c r="O1570" s="204"/>
      <c r="P1570" s="204"/>
      <c r="Q1570" s="204"/>
      <c r="R1570" s="204"/>
      <c r="S1570" s="204"/>
      <c r="T1570" s="204"/>
      <c r="U1570" s="204"/>
      <c r="V1570" s="204"/>
      <c r="W1570" s="204"/>
      <c r="X1570" s="204"/>
      <c r="Y1570" s="204"/>
      <c r="Z1570" s="204"/>
      <c r="AA1570" s="204"/>
      <c r="AB1570" s="204"/>
      <c r="AC1570" s="204"/>
      <c r="AD1570" s="204"/>
      <c r="AE1570" s="204"/>
      <c r="AF1570" s="204"/>
      <c r="AG1570" s="204"/>
      <c r="AH1570" s="204"/>
      <c r="AI1570" s="209"/>
      <c r="AJ1570" s="209"/>
      <c r="AK1570" s="204"/>
      <c r="AL1570" s="204"/>
      <c r="AM1570" s="204"/>
    </row>
    <row r="1571">
      <c r="A1571" s="204"/>
      <c r="B1571" s="209"/>
      <c r="C1571" s="204"/>
      <c r="D1571" s="210"/>
      <c r="E1571" s="211"/>
      <c r="F1571" s="211"/>
      <c r="G1571" s="212"/>
      <c r="H1571" s="212"/>
      <c r="I1571" s="204"/>
      <c r="J1571" s="204"/>
      <c r="K1571" s="204"/>
      <c r="L1571" s="204"/>
      <c r="M1571" s="204"/>
      <c r="N1571" s="204"/>
      <c r="O1571" s="204"/>
      <c r="P1571" s="204"/>
      <c r="Q1571" s="204"/>
      <c r="R1571" s="204"/>
      <c r="S1571" s="204"/>
      <c r="T1571" s="204"/>
      <c r="U1571" s="204"/>
      <c r="V1571" s="204"/>
      <c r="W1571" s="204"/>
      <c r="X1571" s="204"/>
      <c r="Y1571" s="204"/>
      <c r="Z1571" s="204"/>
      <c r="AA1571" s="204"/>
      <c r="AB1571" s="204"/>
      <c r="AC1571" s="204"/>
      <c r="AD1571" s="204"/>
      <c r="AE1571" s="204"/>
      <c r="AF1571" s="204"/>
      <c r="AG1571" s="204"/>
      <c r="AH1571" s="204"/>
      <c r="AI1571" s="209"/>
      <c r="AJ1571" s="209"/>
      <c r="AK1571" s="204"/>
      <c r="AL1571" s="204"/>
      <c r="AM1571" s="204"/>
    </row>
    <row r="1572">
      <c r="A1572" s="204"/>
      <c r="B1572" s="209"/>
      <c r="C1572" s="204"/>
      <c r="D1572" s="210"/>
      <c r="E1572" s="211"/>
      <c r="F1572" s="211"/>
      <c r="G1572" s="212"/>
      <c r="H1572" s="212"/>
      <c r="I1572" s="204"/>
      <c r="J1572" s="204"/>
      <c r="K1572" s="204"/>
      <c r="L1572" s="204"/>
      <c r="M1572" s="204"/>
      <c r="N1572" s="204"/>
      <c r="O1572" s="204"/>
      <c r="P1572" s="204"/>
      <c r="Q1572" s="204"/>
      <c r="R1572" s="204"/>
      <c r="S1572" s="204"/>
      <c r="T1572" s="204"/>
      <c r="U1572" s="204"/>
      <c r="V1572" s="204"/>
      <c r="W1572" s="204"/>
      <c r="X1572" s="204"/>
      <c r="Y1572" s="204"/>
      <c r="Z1572" s="204"/>
      <c r="AA1572" s="204"/>
      <c r="AB1572" s="204"/>
      <c r="AC1572" s="204"/>
      <c r="AD1572" s="204"/>
      <c r="AE1572" s="204"/>
      <c r="AF1572" s="204"/>
      <c r="AG1572" s="204"/>
      <c r="AH1572" s="204"/>
      <c r="AI1572" s="209"/>
      <c r="AJ1572" s="209"/>
      <c r="AK1572" s="204"/>
      <c r="AL1572" s="204"/>
      <c r="AM1572" s="204"/>
    </row>
    <row r="1573">
      <c r="A1573" s="204"/>
      <c r="B1573" s="209"/>
      <c r="C1573" s="204"/>
      <c r="D1573" s="210"/>
      <c r="E1573" s="211"/>
      <c r="F1573" s="211"/>
      <c r="G1573" s="212"/>
      <c r="H1573" s="212"/>
      <c r="I1573" s="204"/>
      <c r="J1573" s="204"/>
      <c r="K1573" s="204"/>
      <c r="L1573" s="204"/>
      <c r="M1573" s="204"/>
      <c r="N1573" s="204"/>
      <c r="O1573" s="204"/>
      <c r="P1573" s="204"/>
      <c r="Q1573" s="204"/>
      <c r="R1573" s="204"/>
      <c r="S1573" s="204"/>
      <c r="T1573" s="204"/>
      <c r="U1573" s="204"/>
      <c r="V1573" s="204"/>
      <c r="W1573" s="204"/>
      <c r="X1573" s="204"/>
      <c r="Y1573" s="204"/>
      <c r="Z1573" s="204"/>
      <c r="AA1573" s="204"/>
      <c r="AB1573" s="204"/>
      <c r="AC1573" s="204"/>
      <c r="AD1573" s="204"/>
      <c r="AE1573" s="204"/>
      <c r="AF1573" s="204"/>
      <c r="AG1573" s="204"/>
      <c r="AH1573" s="204"/>
      <c r="AI1573" s="209"/>
      <c r="AJ1573" s="209"/>
      <c r="AK1573" s="204"/>
      <c r="AL1573" s="204"/>
      <c r="AM1573" s="204"/>
    </row>
    <row r="1574">
      <c r="A1574" s="204"/>
      <c r="B1574" s="209"/>
      <c r="C1574" s="204"/>
      <c r="D1574" s="210"/>
      <c r="E1574" s="211"/>
      <c r="F1574" s="211"/>
      <c r="G1574" s="212"/>
      <c r="H1574" s="212"/>
      <c r="I1574" s="204"/>
      <c r="J1574" s="204"/>
      <c r="K1574" s="204"/>
      <c r="L1574" s="204"/>
      <c r="M1574" s="204"/>
      <c r="N1574" s="204"/>
      <c r="O1574" s="204"/>
      <c r="P1574" s="204"/>
      <c r="Q1574" s="204"/>
      <c r="R1574" s="204"/>
      <c r="S1574" s="204"/>
      <c r="T1574" s="204"/>
      <c r="U1574" s="204"/>
      <c r="V1574" s="204"/>
      <c r="W1574" s="204"/>
      <c r="X1574" s="204"/>
      <c r="Y1574" s="204"/>
      <c r="Z1574" s="204"/>
      <c r="AA1574" s="204"/>
      <c r="AB1574" s="204"/>
      <c r="AC1574" s="204"/>
      <c r="AD1574" s="204"/>
      <c r="AE1574" s="204"/>
      <c r="AF1574" s="204"/>
      <c r="AG1574" s="204"/>
      <c r="AH1574" s="204"/>
      <c r="AI1574" s="209"/>
      <c r="AJ1574" s="209"/>
      <c r="AK1574" s="204"/>
      <c r="AL1574" s="204"/>
      <c r="AM1574" s="204"/>
    </row>
    <row r="1575">
      <c r="A1575" s="204"/>
      <c r="B1575" s="209"/>
      <c r="C1575" s="204"/>
      <c r="D1575" s="210"/>
      <c r="E1575" s="211"/>
      <c r="F1575" s="211"/>
      <c r="G1575" s="212"/>
      <c r="H1575" s="212"/>
      <c r="I1575" s="204"/>
      <c r="J1575" s="204"/>
      <c r="K1575" s="204"/>
      <c r="L1575" s="204"/>
      <c r="M1575" s="204"/>
      <c r="N1575" s="204"/>
      <c r="O1575" s="204"/>
      <c r="P1575" s="204"/>
      <c r="Q1575" s="204"/>
      <c r="R1575" s="204"/>
      <c r="S1575" s="204"/>
      <c r="T1575" s="204"/>
      <c r="U1575" s="204"/>
      <c r="V1575" s="204"/>
      <c r="W1575" s="204"/>
      <c r="X1575" s="204"/>
      <c r="Y1575" s="204"/>
      <c r="Z1575" s="204"/>
      <c r="AA1575" s="204"/>
      <c r="AB1575" s="204"/>
      <c r="AC1575" s="204"/>
      <c r="AD1575" s="204"/>
      <c r="AE1575" s="204"/>
      <c r="AF1575" s="204"/>
      <c r="AG1575" s="204"/>
      <c r="AH1575" s="204"/>
      <c r="AI1575" s="209"/>
      <c r="AJ1575" s="209"/>
      <c r="AK1575" s="204"/>
      <c r="AL1575" s="204"/>
      <c r="AM1575" s="204"/>
    </row>
    <row r="1576">
      <c r="A1576" s="204"/>
      <c r="B1576" s="209"/>
      <c r="C1576" s="204"/>
      <c r="D1576" s="210"/>
      <c r="E1576" s="211"/>
      <c r="F1576" s="211"/>
      <c r="G1576" s="212"/>
      <c r="H1576" s="212"/>
      <c r="I1576" s="204"/>
      <c r="J1576" s="204"/>
      <c r="K1576" s="204"/>
      <c r="L1576" s="204"/>
      <c r="M1576" s="204"/>
      <c r="N1576" s="204"/>
      <c r="O1576" s="204"/>
      <c r="P1576" s="204"/>
      <c r="Q1576" s="204"/>
      <c r="R1576" s="204"/>
      <c r="S1576" s="204"/>
      <c r="T1576" s="204"/>
      <c r="U1576" s="204"/>
      <c r="V1576" s="204"/>
      <c r="W1576" s="204"/>
      <c r="X1576" s="204"/>
      <c r="Y1576" s="204"/>
      <c r="Z1576" s="204"/>
      <c r="AA1576" s="204"/>
      <c r="AB1576" s="204"/>
      <c r="AC1576" s="204"/>
      <c r="AD1576" s="204"/>
      <c r="AE1576" s="204"/>
      <c r="AF1576" s="204"/>
      <c r="AG1576" s="204"/>
      <c r="AH1576" s="204"/>
      <c r="AI1576" s="209"/>
      <c r="AJ1576" s="209"/>
      <c r="AK1576" s="204"/>
      <c r="AL1576" s="204"/>
      <c r="AM1576" s="204"/>
    </row>
    <row r="1577">
      <c r="A1577" s="204"/>
      <c r="B1577" s="209"/>
      <c r="C1577" s="204"/>
      <c r="D1577" s="210"/>
      <c r="E1577" s="211"/>
      <c r="F1577" s="211"/>
      <c r="G1577" s="212"/>
      <c r="H1577" s="212"/>
      <c r="I1577" s="204"/>
      <c r="J1577" s="204"/>
      <c r="K1577" s="204"/>
      <c r="L1577" s="204"/>
      <c r="M1577" s="204"/>
      <c r="N1577" s="204"/>
      <c r="O1577" s="204"/>
      <c r="P1577" s="204"/>
      <c r="Q1577" s="204"/>
      <c r="R1577" s="204"/>
      <c r="S1577" s="204"/>
      <c r="T1577" s="204"/>
      <c r="U1577" s="204"/>
      <c r="V1577" s="204"/>
      <c r="W1577" s="204"/>
      <c r="X1577" s="204"/>
      <c r="Y1577" s="204"/>
      <c r="Z1577" s="204"/>
      <c r="AA1577" s="204"/>
      <c r="AB1577" s="204"/>
      <c r="AC1577" s="204"/>
      <c r="AD1577" s="204"/>
      <c r="AE1577" s="204"/>
      <c r="AF1577" s="204"/>
      <c r="AG1577" s="204"/>
      <c r="AH1577" s="204"/>
      <c r="AI1577" s="209"/>
      <c r="AJ1577" s="209"/>
      <c r="AK1577" s="204"/>
      <c r="AL1577" s="204"/>
      <c r="AM1577" s="204"/>
    </row>
    <row r="1578">
      <c r="A1578" s="204"/>
      <c r="B1578" s="209"/>
      <c r="C1578" s="204"/>
      <c r="D1578" s="210"/>
      <c r="E1578" s="211"/>
      <c r="F1578" s="211"/>
      <c r="G1578" s="212"/>
      <c r="H1578" s="212"/>
      <c r="I1578" s="204"/>
      <c r="J1578" s="204"/>
      <c r="K1578" s="204"/>
      <c r="L1578" s="204"/>
      <c r="M1578" s="204"/>
      <c r="N1578" s="204"/>
      <c r="O1578" s="204"/>
      <c r="P1578" s="204"/>
      <c r="Q1578" s="204"/>
      <c r="R1578" s="204"/>
      <c r="S1578" s="204"/>
      <c r="T1578" s="204"/>
      <c r="U1578" s="204"/>
      <c r="V1578" s="204"/>
      <c r="W1578" s="204"/>
      <c r="X1578" s="204"/>
      <c r="Y1578" s="204"/>
      <c r="Z1578" s="204"/>
      <c r="AA1578" s="204"/>
      <c r="AB1578" s="204"/>
      <c r="AC1578" s="204"/>
      <c r="AD1578" s="204"/>
      <c r="AE1578" s="204"/>
      <c r="AF1578" s="204"/>
      <c r="AG1578" s="204"/>
      <c r="AH1578" s="204"/>
      <c r="AI1578" s="209"/>
      <c r="AJ1578" s="209"/>
      <c r="AK1578" s="204"/>
      <c r="AL1578" s="204"/>
      <c r="AM1578" s="204"/>
    </row>
    <row r="1579">
      <c r="A1579" s="204"/>
      <c r="B1579" s="209"/>
      <c r="C1579" s="204"/>
      <c r="D1579" s="210"/>
      <c r="E1579" s="211"/>
      <c r="F1579" s="211"/>
      <c r="G1579" s="212"/>
      <c r="H1579" s="212"/>
      <c r="I1579" s="204"/>
      <c r="J1579" s="204"/>
      <c r="K1579" s="204"/>
      <c r="L1579" s="204"/>
      <c r="M1579" s="204"/>
      <c r="N1579" s="204"/>
      <c r="O1579" s="204"/>
      <c r="P1579" s="204"/>
      <c r="Q1579" s="204"/>
      <c r="R1579" s="204"/>
      <c r="S1579" s="204"/>
      <c r="T1579" s="204"/>
      <c r="U1579" s="204"/>
      <c r="V1579" s="204"/>
      <c r="W1579" s="204"/>
      <c r="X1579" s="204"/>
      <c r="Y1579" s="204"/>
      <c r="Z1579" s="204"/>
      <c r="AA1579" s="204"/>
      <c r="AB1579" s="204"/>
      <c r="AC1579" s="204"/>
      <c r="AD1579" s="204"/>
      <c r="AE1579" s="204"/>
      <c r="AF1579" s="204"/>
      <c r="AG1579" s="204"/>
      <c r="AH1579" s="204"/>
      <c r="AI1579" s="209"/>
      <c r="AJ1579" s="209"/>
      <c r="AK1579" s="204"/>
      <c r="AL1579" s="204"/>
      <c r="AM1579" s="204"/>
    </row>
    <row r="1580">
      <c r="A1580" s="204"/>
      <c r="B1580" s="209"/>
      <c r="C1580" s="204"/>
      <c r="D1580" s="210"/>
      <c r="E1580" s="211"/>
      <c r="F1580" s="211"/>
      <c r="G1580" s="212"/>
      <c r="H1580" s="212"/>
      <c r="I1580" s="204"/>
      <c r="J1580" s="204"/>
      <c r="K1580" s="204"/>
      <c r="L1580" s="204"/>
      <c r="M1580" s="204"/>
      <c r="N1580" s="204"/>
      <c r="O1580" s="204"/>
      <c r="P1580" s="204"/>
      <c r="Q1580" s="204"/>
      <c r="R1580" s="204"/>
      <c r="S1580" s="204"/>
      <c r="T1580" s="204"/>
      <c r="U1580" s="204"/>
      <c r="V1580" s="204"/>
      <c r="W1580" s="204"/>
      <c r="X1580" s="204"/>
      <c r="Y1580" s="204"/>
      <c r="Z1580" s="204"/>
      <c r="AA1580" s="204"/>
      <c r="AB1580" s="204"/>
      <c r="AC1580" s="204"/>
      <c r="AD1580" s="204"/>
      <c r="AE1580" s="204"/>
      <c r="AF1580" s="204"/>
      <c r="AG1580" s="204"/>
      <c r="AH1580" s="204"/>
      <c r="AI1580" s="209"/>
      <c r="AJ1580" s="209"/>
      <c r="AK1580" s="204"/>
      <c r="AL1580" s="204"/>
      <c r="AM1580" s="204"/>
    </row>
    <row r="1581">
      <c r="A1581" s="204"/>
      <c r="B1581" s="209"/>
      <c r="C1581" s="204"/>
      <c r="D1581" s="210"/>
      <c r="E1581" s="211"/>
      <c r="F1581" s="211"/>
      <c r="G1581" s="212"/>
      <c r="H1581" s="212"/>
      <c r="I1581" s="204"/>
      <c r="J1581" s="204"/>
      <c r="K1581" s="204"/>
      <c r="L1581" s="204"/>
      <c r="M1581" s="204"/>
      <c r="N1581" s="204"/>
      <c r="O1581" s="204"/>
      <c r="P1581" s="204"/>
      <c r="Q1581" s="204"/>
      <c r="R1581" s="204"/>
      <c r="S1581" s="204"/>
      <c r="T1581" s="204"/>
      <c r="U1581" s="204"/>
      <c r="V1581" s="204"/>
      <c r="W1581" s="204"/>
      <c r="X1581" s="204"/>
      <c r="Y1581" s="204"/>
      <c r="Z1581" s="204"/>
      <c r="AA1581" s="204"/>
      <c r="AB1581" s="204"/>
      <c r="AC1581" s="204"/>
      <c r="AD1581" s="204"/>
      <c r="AE1581" s="204"/>
      <c r="AF1581" s="204"/>
      <c r="AG1581" s="204"/>
      <c r="AH1581" s="204"/>
      <c r="AI1581" s="209"/>
      <c r="AJ1581" s="209"/>
      <c r="AK1581" s="204"/>
      <c r="AL1581" s="204"/>
      <c r="AM1581" s="204"/>
    </row>
    <row r="1582">
      <c r="A1582" s="204"/>
      <c r="B1582" s="209"/>
      <c r="C1582" s="204"/>
      <c r="D1582" s="210"/>
      <c r="E1582" s="211"/>
      <c r="F1582" s="211"/>
      <c r="G1582" s="212"/>
      <c r="H1582" s="212"/>
      <c r="I1582" s="204"/>
      <c r="J1582" s="204"/>
      <c r="K1582" s="204"/>
      <c r="L1582" s="204"/>
      <c r="M1582" s="204"/>
      <c r="N1582" s="204"/>
      <c r="O1582" s="204"/>
      <c r="P1582" s="204"/>
      <c r="Q1582" s="204"/>
      <c r="R1582" s="204"/>
      <c r="S1582" s="204"/>
      <c r="T1582" s="204"/>
      <c r="U1582" s="204"/>
      <c r="V1582" s="204"/>
      <c r="W1582" s="204"/>
      <c r="X1582" s="204"/>
      <c r="Y1582" s="204"/>
      <c r="Z1582" s="204"/>
      <c r="AA1582" s="204"/>
      <c r="AB1582" s="204"/>
      <c r="AC1582" s="204"/>
      <c r="AD1582" s="204"/>
      <c r="AE1582" s="204"/>
      <c r="AF1582" s="204"/>
      <c r="AG1582" s="204"/>
      <c r="AH1582" s="204"/>
      <c r="AI1582" s="209"/>
      <c r="AJ1582" s="209"/>
      <c r="AK1582" s="204"/>
      <c r="AL1582" s="204"/>
      <c r="AM1582" s="204"/>
    </row>
    <row r="1583">
      <c r="A1583" s="204"/>
      <c r="B1583" s="209"/>
      <c r="C1583" s="204"/>
      <c r="D1583" s="210"/>
      <c r="E1583" s="211"/>
      <c r="F1583" s="211"/>
      <c r="G1583" s="212"/>
      <c r="H1583" s="212"/>
      <c r="I1583" s="204"/>
      <c r="J1583" s="204"/>
      <c r="K1583" s="204"/>
      <c r="L1583" s="204"/>
      <c r="M1583" s="204"/>
      <c r="N1583" s="204"/>
      <c r="O1583" s="204"/>
      <c r="P1583" s="204"/>
      <c r="Q1583" s="204"/>
      <c r="R1583" s="204"/>
      <c r="S1583" s="204"/>
      <c r="T1583" s="204"/>
      <c r="U1583" s="204"/>
      <c r="V1583" s="204"/>
      <c r="W1583" s="204"/>
      <c r="X1583" s="204"/>
      <c r="Y1583" s="204"/>
      <c r="Z1583" s="204"/>
      <c r="AA1583" s="204"/>
      <c r="AB1583" s="204"/>
      <c r="AC1583" s="204"/>
      <c r="AD1583" s="204"/>
      <c r="AE1583" s="204"/>
      <c r="AF1583" s="204"/>
      <c r="AG1583" s="204"/>
      <c r="AH1583" s="204"/>
      <c r="AI1583" s="209"/>
      <c r="AJ1583" s="209"/>
      <c r="AK1583" s="204"/>
      <c r="AL1583" s="204"/>
      <c r="AM1583" s="204"/>
    </row>
    <row r="1584">
      <c r="A1584" s="204"/>
      <c r="B1584" s="209"/>
      <c r="C1584" s="204"/>
      <c r="D1584" s="210"/>
      <c r="E1584" s="211"/>
      <c r="F1584" s="211"/>
      <c r="G1584" s="212"/>
      <c r="H1584" s="212"/>
      <c r="I1584" s="204"/>
      <c r="J1584" s="204"/>
      <c r="K1584" s="204"/>
      <c r="L1584" s="204"/>
      <c r="M1584" s="204"/>
      <c r="N1584" s="204"/>
      <c r="O1584" s="204"/>
      <c r="P1584" s="204"/>
      <c r="Q1584" s="204"/>
      <c r="R1584" s="204"/>
      <c r="S1584" s="204"/>
      <c r="T1584" s="204"/>
      <c r="U1584" s="204"/>
      <c r="V1584" s="204"/>
      <c r="W1584" s="204"/>
      <c r="X1584" s="204"/>
      <c r="Y1584" s="204"/>
      <c r="Z1584" s="204"/>
      <c r="AA1584" s="204"/>
      <c r="AB1584" s="204"/>
      <c r="AC1584" s="204"/>
      <c r="AD1584" s="204"/>
      <c r="AE1584" s="204"/>
      <c r="AF1584" s="204"/>
      <c r="AG1584" s="204"/>
      <c r="AH1584" s="204"/>
      <c r="AI1584" s="209"/>
      <c r="AJ1584" s="209"/>
      <c r="AK1584" s="204"/>
      <c r="AL1584" s="204"/>
      <c r="AM1584" s="204"/>
    </row>
    <row r="1585">
      <c r="A1585" s="204"/>
      <c r="B1585" s="209"/>
      <c r="C1585" s="204"/>
      <c r="D1585" s="210"/>
      <c r="E1585" s="211"/>
      <c r="F1585" s="211"/>
      <c r="G1585" s="212"/>
      <c r="H1585" s="212"/>
      <c r="I1585" s="204"/>
      <c r="J1585" s="204"/>
      <c r="K1585" s="204"/>
      <c r="L1585" s="204"/>
      <c r="M1585" s="204"/>
      <c r="N1585" s="204"/>
      <c r="O1585" s="204"/>
      <c r="P1585" s="204"/>
      <c r="Q1585" s="204"/>
      <c r="R1585" s="204"/>
      <c r="S1585" s="204"/>
      <c r="T1585" s="204"/>
      <c r="U1585" s="204"/>
      <c r="V1585" s="204"/>
      <c r="W1585" s="204"/>
      <c r="X1585" s="204"/>
      <c r="Y1585" s="204"/>
      <c r="Z1585" s="204"/>
      <c r="AA1585" s="204"/>
      <c r="AB1585" s="204"/>
      <c r="AC1585" s="204"/>
      <c r="AD1585" s="204"/>
      <c r="AE1585" s="204"/>
      <c r="AF1585" s="204"/>
      <c r="AG1585" s="204"/>
      <c r="AH1585" s="204"/>
      <c r="AI1585" s="209"/>
      <c r="AJ1585" s="209"/>
      <c r="AK1585" s="204"/>
      <c r="AL1585" s="204"/>
      <c r="AM1585" s="204"/>
    </row>
    <row r="1586">
      <c r="A1586" s="204"/>
      <c r="B1586" s="209"/>
      <c r="C1586" s="204"/>
      <c r="D1586" s="210"/>
      <c r="E1586" s="211"/>
      <c r="F1586" s="211"/>
      <c r="G1586" s="212"/>
      <c r="H1586" s="212"/>
      <c r="I1586" s="204"/>
      <c r="J1586" s="204"/>
      <c r="K1586" s="204"/>
      <c r="L1586" s="204"/>
      <c r="M1586" s="204"/>
      <c r="N1586" s="204"/>
      <c r="O1586" s="204"/>
      <c r="P1586" s="204"/>
      <c r="Q1586" s="204"/>
      <c r="R1586" s="204"/>
      <c r="S1586" s="204"/>
      <c r="T1586" s="204"/>
      <c r="U1586" s="204"/>
      <c r="V1586" s="204"/>
      <c r="W1586" s="204"/>
      <c r="X1586" s="204"/>
      <c r="Y1586" s="204"/>
      <c r="Z1586" s="204"/>
      <c r="AA1586" s="204"/>
      <c r="AB1586" s="204"/>
      <c r="AC1586" s="204"/>
      <c r="AD1586" s="204"/>
      <c r="AE1586" s="204"/>
      <c r="AF1586" s="204"/>
      <c r="AG1586" s="204"/>
      <c r="AH1586" s="204"/>
      <c r="AI1586" s="209"/>
      <c r="AJ1586" s="209"/>
      <c r="AK1586" s="204"/>
      <c r="AL1586" s="204"/>
      <c r="AM1586" s="204"/>
    </row>
    <row r="1587">
      <c r="A1587" s="204"/>
      <c r="B1587" s="209"/>
      <c r="C1587" s="204"/>
      <c r="D1587" s="210"/>
      <c r="E1587" s="211"/>
      <c r="F1587" s="211"/>
      <c r="G1587" s="212"/>
      <c r="H1587" s="212"/>
      <c r="I1587" s="204"/>
      <c r="J1587" s="204"/>
      <c r="K1587" s="204"/>
      <c r="L1587" s="204"/>
      <c r="M1587" s="204"/>
      <c r="N1587" s="204"/>
      <c r="O1587" s="204"/>
      <c r="P1587" s="204"/>
      <c r="Q1587" s="204"/>
      <c r="R1587" s="204"/>
      <c r="S1587" s="204"/>
      <c r="T1587" s="204"/>
      <c r="U1587" s="204"/>
      <c r="V1587" s="204"/>
      <c r="W1587" s="204"/>
      <c r="X1587" s="204"/>
      <c r="Y1587" s="204"/>
      <c r="Z1587" s="204"/>
      <c r="AA1587" s="204"/>
      <c r="AB1587" s="204"/>
      <c r="AC1587" s="204"/>
      <c r="AD1587" s="204"/>
      <c r="AE1587" s="204"/>
      <c r="AF1587" s="204"/>
      <c r="AG1587" s="204"/>
      <c r="AH1587" s="204"/>
      <c r="AI1587" s="209"/>
      <c r="AJ1587" s="209"/>
      <c r="AK1587" s="204"/>
      <c r="AL1587" s="204"/>
      <c r="AM1587" s="204"/>
    </row>
    <row r="1588">
      <c r="A1588" s="204"/>
      <c r="B1588" s="209"/>
      <c r="C1588" s="204"/>
      <c r="D1588" s="210"/>
      <c r="E1588" s="211"/>
      <c r="F1588" s="211"/>
      <c r="G1588" s="212"/>
      <c r="H1588" s="212"/>
      <c r="I1588" s="204"/>
      <c r="J1588" s="204"/>
      <c r="K1588" s="204"/>
      <c r="L1588" s="204"/>
      <c r="M1588" s="204"/>
      <c r="N1588" s="204"/>
      <c r="O1588" s="204"/>
      <c r="P1588" s="204"/>
      <c r="Q1588" s="204"/>
      <c r="R1588" s="204"/>
      <c r="S1588" s="204"/>
      <c r="T1588" s="204"/>
      <c r="U1588" s="204"/>
      <c r="V1588" s="204"/>
      <c r="W1588" s="204"/>
      <c r="X1588" s="204"/>
      <c r="Y1588" s="204"/>
      <c r="Z1588" s="204"/>
      <c r="AA1588" s="204"/>
      <c r="AB1588" s="204"/>
      <c r="AC1588" s="204"/>
      <c r="AD1588" s="204"/>
      <c r="AE1588" s="204"/>
      <c r="AF1588" s="204"/>
      <c r="AG1588" s="204"/>
      <c r="AH1588" s="204"/>
      <c r="AI1588" s="209"/>
      <c r="AJ1588" s="209"/>
      <c r="AK1588" s="204"/>
      <c r="AL1588" s="204"/>
      <c r="AM1588" s="204"/>
    </row>
    <row r="1589">
      <c r="A1589" s="204"/>
      <c r="B1589" s="209"/>
      <c r="C1589" s="204"/>
      <c r="D1589" s="210"/>
      <c r="E1589" s="211"/>
      <c r="F1589" s="211"/>
      <c r="G1589" s="212"/>
      <c r="H1589" s="212"/>
      <c r="I1589" s="204"/>
      <c r="J1589" s="204"/>
      <c r="K1589" s="204"/>
      <c r="L1589" s="204"/>
      <c r="M1589" s="204"/>
      <c r="N1589" s="204"/>
      <c r="O1589" s="204"/>
      <c r="P1589" s="204"/>
      <c r="Q1589" s="204"/>
      <c r="R1589" s="204"/>
      <c r="S1589" s="204"/>
      <c r="T1589" s="204"/>
      <c r="U1589" s="204"/>
      <c r="V1589" s="204"/>
      <c r="W1589" s="204"/>
      <c r="X1589" s="204"/>
      <c r="Y1589" s="204"/>
      <c r="Z1589" s="204"/>
      <c r="AA1589" s="204"/>
      <c r="AB1589" s="204"/>
      <c r="AC1589" s="204"/>
      <c r="AD1589" s="204"/>
      <c r="AE1589" s="204"/>
      <c r="AF1589" s="204"/>
      <c r="AG1589" s="204"/>
      <c r="AH1589" s="204"/>
      <c r="AI1589" s="209"/>
      <c r="AJ1589" s="209"/>
      <c r="AK1589" s="204"/>
      <c r="AL1589" s="204"/>
      <c r="AM1589" s="204"/>
    </row>
    <row r="1590">
      <c r="A1590" s="204"/>
      <c r="B1590" s="209"/>
      <c r="C1590" s="204"/>
      <c r="D1590" s="210"/>
      <c r="E1590" s="211"/>
      <c r="F1590" s="211"/>
      <c r="G1590" s="212"/>
      <c r="H1590" s="212"/>
      <c r="I1590" s="204"/>
      <c r="J1590" s="204"/>
      <c r="K1590" s="204"/>
      <c r="L1590" s="204"/>
      <c r="M1590" s="204"/>
      <c r="N1590" s="204"/>
      <c r="O1590" s="204"/>
      <c r="P1590" s="204"/>
      <c r="Q1590" s="204"/>
      <c r="R1590" s="204"/>
      <c r="S1590" s="204"/>
      <c r="T1590" s="204"/>
      <c r="U1590" s="204"/>
      <c r="V1590" s="204"/>
      <c r="W1590" s="204"/>
      <c r="X1590" s="204"/>
      <c r="Y1590" s="204"/>
      <c r="Z1590" s="204"/>
      <c r="AA1590" s="204"/>
      <c r="AB1590" s="204"/>
      <c r="AC1590" s="204"/>
      <c r="AD1590" s="204"/>
      <c r="AE1590" s="204"/>
      <c r="AF1590" s="204"/>
      <c r="AG1590" s="204"/>
      <c r="AH1590" s="204"/>
      <c r="AI1590" s="209"/>
      <c r="AJ1590" s="209"/>
      <c r="AK1590" s="204"/>
      <c r="AL1590" s="204"/>
      <c r="AM1590" s="204"/>
    </row>
    <row r="1591">
      <c r="A1591" s="204"/>
      <c r="B1591" s="209"/>
      <c r="C1591" s="204"/>
      <c r="D1591" s="210"/>
      <c r="E1591" s="211"/>
      <c r="F1591" s="211"/>
      <c r="G1591" s="212"/>
      <c r="H1591" s="212"/>
      <c r="I1591" s="204"/>
      <c r="J1591" s="204"/>
      <c r="K1591" s="204"/>
      <c r="L1591" s="204"/>
      <c r="M1591" s="204"/>
      <c r="N1591" s="204"/>
      <c r="O1591" s="204"/>
      <c r="P1591" s="204"/>
      <c r="Q1591" s="204"/>
      <c r="R1591" s="204"/>
      <c r="S1591" s="204"/>
      <c r="T1591" s="204"/>
      <c r="U1591" s="204"/>
      <c r="V1591" s="204"/>
      <c r="W1591" s="204"/>
      <c r="X1591" s="204"/>
      <c r="Y1591" s="204"/>
      <c r="Z1591" s="204"/>
      <c r="AA1591" s="204"/>
      <c r="AB1591" s="204"/>
      <c r="AC1591" s="204"/>
      <c r="AD1591" s="204"/>
      <c r="AE1591" s="204"/>
      <c r="AF1591" s="204"/>
      <c r="AG1591" s="204"/>
      <c r="AH1591" s="204"/>
      <c r="AI1591" s="209"/>
      <c r="AJ1591" s="209"/>
      <c r="AK1591" s="204"/>
      <c r="AL1591" s="204"/>
      <c r="AM1591" s="204"/>
    </row>
    <row r="1592">
      <c r="A1592" s="204"/>
      <c r="B1592" s="209"/>
      <c r="C1592" s="204"/>
      <c r="D1592" s="210"/>
      <c r="E1592" s="211"/>
      <c r="F1592" s="211"/>
      <c r="G1592" s="212"/>
      <c r="H1592" s="212"/>
      <c r="I1592" s="204"/>
      <c r="J1592" s="204"/>
      <c r="K1592" s="204"/>
      <c r="L1592" s="204"/>
      <c r="M1592" s="204"/>
      <c r="N1592" s="204"/>
      <c r="O1592" s="204"/>
      <c r="P1592" s="204"/>
      <c r="Q1592" s="204"/>
      <c r="R1592" s="204"/>
      <c r="S1592" s="204"/>
      <c r="T1592" s="204"/>
      <c r="U1592" s="204"/>
      <c r="V1592" s="204"/>
      <c r="W1592" s="204"/>
      <c r="X1592" s="204"/>
      <c r="Y1592" s="204"/>
      <c r="Z1592" s="204"/>
      <c r="AA1592" s="204"/>
      <c r="AB1592" s="204"/>
      <c r="AC1592" s="204"/>
      <c r="AD1592" s="204"/>
      <c r="AE1592" s="204"/>
      <c r="AF1592" s="204"/>
      <c r="AG1592" s="204"/>
      <c r="AH1592" s="204"/>
      <c r="AI1592" s="209"/>
      <c r="AJ1592" s="209"/>
      <c r="AK1592" s="204"/>
      <c r="AL1592" s="204"/>
      <c r="AM1592" s="204"/>
    </row>
    <row r="1593">
      <c r="A1593" s="204"/>
      <c r="B1593" s="209"/>
      <c r="C1593" s="204"/>
      <c r="D1593" s="210"/>
      <c r="E1593" s="211"/>
      <c r="F1593" s="211"/>
      <c r="G1593" s="212"/>
      <c r="H1593" s="212"/>
      <c r="I1593" s="204"/>
      <c r="J1593" s="204"/>
      <c r="K1593" s="204"/>
      <c r="L1593" s="204"/>
      <c r="M1593" s="204"/>
      <c r="N1593" s="204"/>
      <c r="O1593" s="204"/>
      <c r="P1593" s="204"/>
      <c r="Q1593" s="204"/>
      <c r="R1593" s="204"/>
      <c r="S1593" s="204"/>
      <c r="T1593" s="204"/>
      <c r="U1593" s="204"/>
      <c r="V1593" s="204"/>
      <c r="W1593" s="204"/>
      <c r="X1593" s="204"/>
      <c r="Y1593" s="204"/>
      <c r="Z1593" s="204"/>
      <c r="AA1593" s="204"/>
      <c r="AB1593" s="204"/>
      <c r="AC1593" s="204"/>
      <c r="AD1593" s="204"/>
      <c r="AE1593" s="204"/>
      <c r="AF1593" s="204"/>
      <c r="AG1593" s="204"/>
      <c r="AH1593" s="204"/>
      <c r="AI1593" s="209"/>
      <c r="AJ1593" s="209"/>
      <c r="AK1593" s="204"/>
      <c r="AL1593" s="204"/>
      <c r="AM1593" s="204"/>
    </row>
    <row r="1594">
      <c r="A1594" s="204"/>
      <c r="B1594" s="209"/>
      <c r="C1594" s="204"/>
      <c r="D1594" s="210"/>
      <c r="E1594" s="211"/>
      <c r="F1594" s="211"/>
      <c r="G1594" s="212"/>
      <c r="H1594" s="212"/>
      <c r="I1594" s="204"/>
      <c r="J1594" s="204"/>
      <c r="K1594" s="204"/>
      <c r="L1594" s="204"/>
      <c r="M1594" s="204"/>
      <c r="N1594" s="204"/>
      <c r="O1594" s="204"/>
      <c r="P1594" s="204"/>
      <c r="Q1594" s="204"/>
      <c r="R1594" s="204"/>
      <c r="S1594" s="204"/>
      <c r="T1594" s="204"/>
      <c r="U1594" s="204"/>
      <c r="V1594" s="204"/>
      <c r="W1594" s="204"/>
      <c r="X1594" s="204"/>
      <c r="Y1594" s="204"/>
      <c r="Z1594" s="204"/>
      <c r="AA1594" s="204"/>
      <c r="AB1594" s="204"/>
      <c r="AC1594" s="204"/>
      <c r="AD1594" s="204"/>
      <c r="AE1594" s="204"/>
      <c r="AF1594" s="204"/>
      <c r="AG1594" s="204"/>
      <c r="AH1594" s="204"/>
      <c r="AI1594" s="209"/>
      <c r="AJ1594" s="209"/>
      <c r="AK1594" s="204"/>
      <c r="AL1594" s="204"/>
      <c r="AM1594" s="204"/>
    </row>
    <row r="1595">
      <c r="A1595" s="204"/>
      <c r="B1595" s="209"/>
      <c r="C1595" s="204"/>
      <c r="D1595" s="210"/>
      <c r="E1595" s="211"/>
      <c r="F1595" s="211"/>
      <c r="G1595" s="212"/>
      <c r="H1595" s="212"/>
      <c r="I1595" s="204"/>
      <c r="J1595" s="204"/>
      <c r="K1595" s="204"/>
      <c r="L1595" s="204"/>
      <c r="M1595" s="204"/>
      <c r="N1595" s="204"/>
      <c r="O1595" s="204"/>
      <c r="P1595" s="204"/>
      <c r="Q1595" s="204"/>
      <c r="R1595" s="204"/>
      <c r="S1595" s="204"/>
      <c r="T1595" s="204"/>
      <c r="U1595" s="204"/>
      <c r="V1595" s="204"/>
      <c r="W1595" s="204"/>
      <c r="X1595" s="204"/>
      <c r="Y1595" s="204"/>
      <c r="Z1595" s="204"/>
      <c r="AA1595" s="204"/>
      <c r="AB1595" s="204"/>
      <c r="AC1595" s="204"/>
      <c r="AD1595" s="204"/>
      <c r="AE1595" s="204"/>
      <c r="AF1595" s="204"/>
      <c r="AG1595" s="204"/>
      <c r="AH1595" s="204"/>
      <c r="AI1595" s="209"/>
      <c r="AJ1595" s="209"/>
      <c r="AK1595" s="204"/>
      <c r="AL1595" s="204"/>
      <c r="AM1595" s="204"/>
    </row>
    <row r="1596">
      <c r="A1596" s="204"/>
      <c r="B1596" s="209"/>
      <c r="C1596" s="204"/>
      <c r="D1596" s="210"/>
      <c r="E1596" s="211"/>
      <c r="F1596" s="211"/>
      <c r="G1596" s="212"/>
      <c r="H1596" s="212"/>
      <c r="I1596" s="204"/>
      <c r="J1596" s="204"/>
      <c r="K1596" s="204"/>
      <c r="L1596" s="204"/>
      <c r="M1596" s="204"/>
      <c r="N1596" s="204"/>
      <c r="O1596" s="204"/>
      <c r="P1596" s="204"/>
      <c r="Q1596" s="204"/>
      <c r="R1596" s="204"/>
      <c r="S1596" s="204"/>
      <c r="T1596" s="204"/>
      <c r="U1596" s="204"/>
      <c r="V1596" s="204"/>
      <c r="W1596" s="204"/>
      <c r="X1596" s="204"/>
      <c r="Y1596" s="204"/>
      <c r="Z1596" s="204"/>
      <c r="AA1596" s="204"/>
      <c r="AB1596" s="204"/>
      <c r="AC1596" s="204"/>
      <c r="AD1596" s="204"/>
      <c r="AE1596" s="204"/>
      <c r="AF1596" s="204"/>
      <c r="AG1596" s="204"/>
      <c r="AH1596" s="204"/>
      <c r="AI1596" s="209"/>
      <c r="AJ1596" s="209"/>
      <c r="AK1596" s="204"/>
      <c r="AL1596" s="204"/>
      <c r="AM1596" s="204"/>
    </row>
    <row r="1597">
      <c r="A1597" s="204"/>
      <c r="B1597" s="209"/>
      <c r="C1597" s="204"/>
      <c r="D1597" s="210"/>
      <c r="E1597" s="211"/>
      <c r="F1597" s="211"/>
      <c r="G1597" s="212"/>
      <c r="H1597" s="212"/>
      <c r="I1597" s="204"/>
      <c r="J1597" s="204"/>
      <c r="K1597" s="204"/>
      <c r="L1597" s="204"/>
      <c r="M1597" s="204"/>
      <c r="N1597" s="204"/>
      <c r="O1597" s="204"/>
      <c r="P1597" s="204"/>
      <c r="Q1597" s="204"/>
      <c r="R1597" s="204"/>
      <c r="S1597" s="204"/>
      <c r="T1597" s="204"/>
      <c r="U1597" s="204"/>
      <c r="V1597" s="204"/>
      <c r="W1597" s="204"/>
      <c r="X1597" s="204"/>
      <c r="Y1597" s="204"/>
      <c r="Z1597" s="204"/>
      <c r="AA1597" s="204"/>
      <c r="AB1597" s="204"/>
      <c r="AC1597" s="204"/>
      <c r="AD1597" s="204"/>
      <c r="AE1597" s="204"/>
      <c r="AF1597" s="204"/>
      <c r="AG1597" s="204"/>
      <c r="AH1597" s="204"/>
      <c r="AI1597" s="209"/>
      <c r="AJ1597" s="209"/>
      <c r="AK1597" s="204"/>
      <c r="AL1597" s="204"/>
      <c r="AM1597" s="204"/>
    </row>
    <row r="1598">
      <c r="A1598" s="204"/>
      <c r="B1598" s="209"/>
      <c r="C1598" s="204"/>
      <c r="D1598" s="210"/>
      <c r="E1598" s="211"/>
      <c r="F1598" s="211"/>
      <c r="G1598" s="212"/>
      <c r="H1598" s="212"/>
      <c r="I1598" s="204"/>
      <c r="J1598" s="204"/>
      <c r="K1598" s="204"/>
      <c r="L1598" s="204"/>
      <c r="M1598" s="204"/>
      <c r="N1598" s="204"/>
      <c r="O1598" s="204"/>
      <c r="P1598" s="204"/>
      <c r="Q1598" s="204"/>
      <c r="R1598" s="204"/>
      <c r="S1598" s="204"/>
      <c r="T1598" s="204"/>
      <c r="U1598" s="204"/>
      <c r="V1598" s="204"/>
      <c r="W1598" s="204"/>
      <c r="X1598" s="204"/>
      <c r="Y1598" s="204"/>
      <c r="Z1598" s="204"/>
      <c r="AA1598" s="204"/>
      <c r="AB1598" s="204"/>
      <c r="AC1598" s="204"/>
      <c r="AD1598" s="204"/>
      <c r="AE1598" s="204"/>
      <c r="AF1598" s="204"/>
      <c r="AG1598" s="204"/>
      <c r="AH1598" s="204"/>
      <c r="AI1598" s="209"/>
      <c r="AJ1598" s="209"/>
      <c r="AK1598" s="204"/>
      <c r="AL1598" s="204"/>
      <c r="AM1598" s="204"/>
    </row>
    <row r="1599">
      <c r="A1599" s="204"/>
      <c r="B1599" s="209"/>
      <c r="C1599" s="204"/>
      <c r="D1599" s="210"/>
      <c r="E1599" s="211"/>
      <c r="F1599" s="211"/>
      <c r="G1599" s="212"/>
      <c r="H1599" s="212"/>
      <c r="I1599" s="204"/>
      <c r="J1599" s="204"/>
      <c r="K1599" s="204"/>
      <c r="L1599" s="204"/>
      <c r="M1599" s="204"/>
      <c r="N1599" s="204"/>
      <c r="O1599" s="204"/>
      <c r="P1599" s="204"/>
      <c r="Q1599" s="204"/>
      <c r="R1599" s="204"/>
      <c r="S1599" s="204"/>
      <c r="T1599" s="204"/>
      <c r="U1599" s="204"/>
      <c r="V1599" s="204"/>
      <c r="W1599" s="204"/>
      <c r="X1599" s="204"/>
      <c r="Y1599" s="204"/>
      <c r="Z1599" s="204"/>
      <c r="AA1599" s="204"/>
      <c r="AB1599" s="204"/>
      <c r="AC1599" s="204"/>
      <c r="AD1599" s="204"/>
      <c r="AE1599" s="204"/>
      <c r="AF1599" s="204"/>
      <c r="AG1599" s="204"/>
      <c r="AH1599" s="204"/>
      <c r="AI1599" s="209"/>
      <c r="AJ1599" s="209"/>
      <c r="AK1599" s="204"/>
      <c r="AL1599" s="204"/>
      <c r="AM1599" s="204"/>
    </row>
    <row r="1600">
      <c r="A1600" s="204"/>
      <c r="B1600" s="209"/>
      <c r="C1600" s="204"/>
      <c r="D1600" s="210"/>
      <c r="E1600" s="211"/>
      <c r="F1600" s="211"/>
      <c r="G1600" s="212"/>
      <c r="H1600" s="212"/>
      <c r="I1600" s="204"/>
      <c r="J1600" s="204"/>
      <c r="K1600" s="204"/>
      <c r="L1600" s="204"/>
      <c r="M1600" s="204"/>
      <c r="N1600" s="204"/>
      <c r="O1600" s="204"/>
      <c r="P1600" s="204"/>
      <c r="Q1600" s="204"/>
      <c r="R1600" s="204"/>
      <c r="S1600" s="204"/>
      <c r="T1600" s="204"/>
      <c r="U1600" s="204"/>
      <c r="V1600" s="204"/>
      <c r="W1600" s="204"/>
      <c r="X1600" s="204"/>
      <c r="Y1600" s="204"/>
      <c r="Z1600" s="204"/>
      <c r="AA1600" s="204"/>
      <c r="AB1600" s="204"/>
      <c r="AC1600" s="204"/>
      <c r="AD1600" s="204"/>
      <c r="AE1600" s="204"/>
      <c r="AF1600" s="204"/>
      <c r="AG1600" s="204"/>
      <c r="AH1600" s="204"/>
      <c r="AI1600" s="209"/>
      <c r="AJ1600" s="209"/>
      <c r="AK1600" s="204"/>
      <c r="AL1600" s="204"/>
      <c r="AM1600" s="204"/>
    </row>
    <row r="1601">
      <c r="A1601" s="204"/>
      <c r="B1601" s="209"/>
      <c r="C1601" s="204"/>
      <c r="D1601" s="210"/>
      <c r="E1601" s="211"/>
      <c r="F1601" s="211"/>
      <c r="G1601" s="212"/>
      <c r="H1601" s="212"/>
      <c r="I1601" s="204"/>
      <c r="J1601" s="204"/>
      <c r="K1601" s="204"/>
      <c r="L1601" s="204"/>
      <c r="M1601" s="204"/>
      <c r="N1601" s="204"/>
      <c r="O1601" s="204"/>
      <c r="P1601" s="204"/>
      <c r="Q1601" s="204"/>
      <c r="R1601" s="204"/>
      <c r="S1601" s="204"/>
      <c r="T1601" s="204"/>
      <c r="U1601" s="204"/>
      <c r="V1601" s="204"/>
      <c r="W1601" s="204"/>
      <c r="X1601" s="204"/>
      <c r="Y1601" s="204"/>
      <c r="Z1601" s="204"/>
      <c r="AA1601" s="204"/>
      <c r="AB1601" s="204"/>
      <c r="AC1601" s="204"/>
      <c r="AD1601" s="204"/>
      <c r="AE1601" s="204"/>
      <c r="AF1601" s="204"/>
      <c r="AG1601" s="204"/>
      <c r="AH1601" s="204"/>
      <c r="AI1601" s="209"/>
      <c r="AJ1601" s="209"/>
      <c r="AK1601" s="204"/>
      <c r="AL1601" s="204"/>
      <c r="AM1601" s="204"/>
    </row>
    <row r="1602">
      <c r="A1602" s="204"/>
      <c r="B1602" s="209"/>
      <c r="C1602" s="204"/>
      <c r="D1602" s="210"/>
      <c r="E1602" s="211"/>
      <c r="F1602" s="211"/>
      <c r="G1602" s="212"/>
      <c r="H1602" s="212"/>
      <c r="I1602" s="204"/>
      <c r="J1602" s="204"/>
      <c r="K1602" s="204"/>
      <c r="L1602" s="204"/>
      <c r="M1602" s="204"/>
      <c r="N1602" s="204"/>
      <c r="O1602" s="204"/>
      <c r="P1602" s="204"/>
      <c r="Q1602" s="204"/>
      <c r="R1602" s="204"/>
      <c r="S1602" s="204"/>
      <c r="T1602" s="204"/>
      <c r="U1602" s="204"/>
      <c r="V1602" s="204"/>
      <c r="W1602" s="204"/>
      <c r="X1602" s="204"/>
      <c r="Y1602" s="204"/>
      <c r="Z1602" s="204"/>
      <c r="AA1602" s="204"/>
      <c r="AB1602" s="204"/>
      <c r="AC1602" s="204"/>
      <c r="AD1602" s="204"/>
      <c r="AE1602" s="204"/>
      <c r="AF1602" s="204"/>
      <c r="AG1602" s="204"/>
      <c r="AH1602" s="204"/>
      <c r="AI1602" s="209"/>
      <c r="AJ1602" s="209"/>
      <c r="AK1602" s="204"/>
      <c r="AL1602" s="204"/>
      <c r="AM1602" s="204"/>
    </row>
    <row r="1603">
      <c r="A1603" s="204"/>
      <c r="B1603" s="209"/>
      <c r="C1603" s="204"/>
      <c r="D1603" s="210"/>
      <c r="E1603" s="211"/>
      <c r="F1603" s="211"/>
      <c r="G1603" s="212"/>
      <c r="H1603" s="212"/>
      <c r="I1603" s="204"/>
      <c r="J1603" s="204"/>
      <c r="K1603" s="204"/>
      <c r="L1603" s="204"/>
      <c r="M1603" s="204"/>
      <c r="N1603" s="204"/>
      <c r="O1603" s="204"/>
      <c r="P1603" s="204"/>
      <c r="Q1603" s="204"/>
      <c r="R1603" s="204"/>
      <c r="S1603" s="204"/>
      <c r="T1603" s="204"/>
      <c r="U1603" s="204"/>
      <c r="V1603" s="204"/>
      <c r="W1603" s="204"/>
      <c r="X1603" s="204"/>
      <c r="Y1603" s="204"/>
      <c r="Z1603" s="204"/>
      <c r="AA1603" s="204"/>
      <c r="AB1603" s="204"/>
      <c r="AC1603" s="204"/>
      <c r="AD1603" s="204"/>
      <c r="AE1603" s="204"/>
      <c r="AF1603" s="204"/>
      <c r="AG1603" s="204"/>
      <c r="AH1603" s="204"/>
      <c r="AI1603" s="209"/>
      <c r="AJ1603" s="209"/>
      <c r="AK1603" s="204"/>
      <c r="AL1603" s="204"/>
      <c r="AM1603" s="204"/>
    </row>
    <row r="1604">
      <c r="A1604" s="204"/>
      <c r="B1604" s="209"/>
      <c r="C1604" s="204"/>
      <c r="D1604" s="210"/>
      <c r="E1604" s="211"/>
      <c r="F1604" s="211"/>
      <c r="G1604" s="212"/>
      <c r="H1604" s="212"/>
      <c r="I1604" s="204"/>
      <c r="J1604" s="204"/>
      <c r="K1604" s="204"/>
      <c r="L1604" s="204"/>
      <c r="M1604" s="204"/>
      <c r="N1604" s="204"/>
      <c r="O1604" s="204"/>
      <c r="P1604" s="204"/>
      <c r="Q1604" s="204"/>
      <c r="R1604" s="204"/>
      <c r="S1604" s="204"/>
      <c r="T1604" s="204"/>
      <c r="U1604" s="204"/>
      <c r="V1604" s="204"/>
      <c r="W1604" s="204"/>
      <c r="X1604" s="204"/>
      <c r="Y1604" s="204"/>
      <c r="Z1604" s="204"/>
      <c r="AA1604" s="204"/>
      <c r="AB1604" s="204"/>
      <c r="AC1604" s="204"/>
      <c r="AD1604" s="204"/>
      <c r="AE1604" s="204"/>
      <c r="AF1604" s="204"/>
      <c r="AG1604" s="204"/>
      <c r="AH1604" s="204"/>
      <c r="AI1604" s="209"/>
      <c r="AJ1604" s="209"/>
      <c r="AK1604" s="204"/>
      <c r="AL1604" s="204"/>
      <c r="AM1604" s="204"/>
    </row>
    <row r="1605">
      <c r="A1605" s="204"/>
      <c r="B1605" s="209"/>
      <c r="C1605" s="204"/>
      <c r="D1605" s="210"/>
      <c r="E1605" s="211"/>
      <c r="F1605" s="211"/>
      <c r="G1605" s="212"/>
      <c r="H1605" s="212"/>
      <c r="I1605" s="204"/>
      <c r="J1605" s="204"/>
      <c r="K1605" s="204"/>
      <c r="L1605" s="204"/>
      <c r="M1605" s="204"/>
      <c r="N1605" s="204"/>
      <c r="O1605" s="204"/>
      <c r="P1605" s="204"/>
      <c r="Q1605" s="204"/>
      <c r="R1605" s="204"/>
      <c r="S1605" s="204"/>
      <c r="T1605" s="204"/>
      <c r="U1605" s="204"/>
      <c r="V1605" s="204"/>
      <c r="W1605" s="204"/>
      <c r="X1605" s="204"/>
      <c r="Y1605" s="204"/>
      <c r="Z1605" s="204"/>
      <c r="AA1605" s="204"/>
      <c r="AB1605" s="204"/>
      <c r="AC1605" s="204"/>
      <c r="AD1605" s="204"/>
      <c r="AE1605" s="204"/>
      <c r="AF1605" s="204"/>
      <c r="AG1605" s="204"/>
      <c r="AH1605" s="204"/>
      <c r="AI1605" s="209"/>
      <c r="AJ1605" s="209"/>
      <c r="AK1605" s="204"/>
      <c r="AL1605" s="204"/>
      <c r="AM1605" s="204"/>
    </row>
    <row r="1606">
      <c r="A1606" s="204"/>
      <c r="B1606" s="209"/>
      <c r="C1606" s="204"/>
      <c r="D1606" s="210"/>
      <c r="E1606" s="211"/>
      <c r="F1606" s="211"/>
      <c r="G1606" s="212"/>
      <c r="H1606" s="212"/>
      <c r="I1606" s="204"/>
      <c r="J1606" s="204"/>
      <c r="K1606" s="204"/>
      <c r="L1606" s="204"/>
      <c r="M1606" s="204"/>
      <c r="N1606" s="204"/>
      <c r="O1606" s="204"/>
      <c r="P1606" s="204"/>
      <c r="Q1606" s="204"/>
      <c r="R1606" s="204"/>
      <c r="S1606" s="204"/>
      <c r="T1606" s="204"/>
      <c r="U1606" s="204"/>
      <c r="V1606" s="204"/>
      <c r="W1606" s="204"/>
      <c r="X1606" s="204"/>
      <c r="Y1606" s="204"/>
      <c r="Z1606" s="204"/>
      <c r="AA1606" s="204"/>
      <c r="AB1606" s="204"/>
      <c r="AC1606" s="204"/>
      <c r="AD1606" s="204"/>
      <c r="AE1606" s="204"/>
      <c r="AF1606" s="204"/>
      <c r="AG1606" s="204"/>
      <c r="AH1606" s="204"/>
      <c r="AI1606" s="209"/>
      <c r="AJ1606" s="209"/>
      <c r="AK1606" s="204"/>
      <c r="AL1606" s="204"/>
      <c r="AM1606" s="204"/>
    </row>
    <row r="1607">
      <c r="A1607" s="204"/>
      <c r="B1607" s="209"/>
      <c r="C1607" s="204"/>
      <c r="D1607" s="210"/>
      <c r="E1607" s="211"/>
      <c r="F1607" s="211"/>
      <c r="G1607" s="212"/>
      <c r="H1607" s="212"/>
      <c r="I1607" s="204"/>
      <c r="J1607" s="204"/>
      <c r="K1607" s="204"/>
      <c r="L1607" s="204"/>
      <c r="M1607" s="204"/>
      <c r="N1607" s="204"/>
      <c r="O1607" s="204"/>
      <c r="P1607" s="204"/>
      <c r="Q1607" s="204"/>
      <c r="R1607" s="204"/>
      <c r="S1607" s="204"/>
      <c r="T1607" s="204"/>
      <c r="U1607" s="204"/>
      <c r="V1607" s="204"/>
      <c r="W1607" s="204"/>
      <c r="X1607" s="204"/>
      <c r="Y1607" s="204"/>
      <c r="Z1607" s="204"/>
      <c r="AA1607" s="204"/>
      <c r="AB1607" s="204"/>
      <c r="AC1607" s="204"/>
      <c r="AD1607" s="204"/>
      <c r="AE1607" s="204"/>
      <c r="AF1607" s="204"/>
      <c r="AG1607" s="204"/>
      <c r="AH1607" s="204"/>
      <c r="AI1607" s="209"/>
      <c r="AJ1607" s="209"/>
      <c r="AK1607" s="204"/>
      <c r="AL1607" s="204"/>
      <c r="AM1607" s="204"/>
    </row>
    <row r="1608">
      <c r="A1608" s="204"/>
      <c r="B1608" s="209"/>
      <c r="C1608" s="204"/>
      <c r="D1608" s="210"/>
      <c r="E1608" s="211"/>
      <c r="F1608" s="211"/>
      <c r="G1608" s="212"/>
      <c r="H1608" s="212"/>
      <c r="I1608" s="204"/>
      <c r="J1608" s="204"/>
      <c r="K1608" s="204"/>
      <c r="L1608" s="204"/>
      <c r="M1608" s="204"/>
      <c r="N1608" s="204"/>
      <c r="O1608" s="204"/>
      <c r="P1608" s="204"/>
      <c r="Q1608" s="204"/>
      <c r="R1608" s="204"/>
      <c r="S1608" s="204"/>
      <c r="T1608" s="204"/>
      <c r="U1608" s="204"/>
      <c r="V1608" s="204"/>
      <c r="W1608" s="204"/>
      <c r="X1608" s="204"/>
      <c r="Y1608" s="204"/>
      <c r="Z1608" s="204"/>
      <c r="AA1608" s="204"/>
      <c r="AB1608" s="204"/>
      <c r="AC1608" s="204"/>
      <c r="AD1608" s="204"/>
      <c r="AE1608" s="204"/>
      <c r="AF1608" s="204"/>
      <c r="AG1608" s="204"/>
      <c r="AH1608" s="204"/>
      <c r="AI1608" s="209"/>
      <c r="AJ1608" s="209"/>
      <c r="AK1608" s="204"/>
      <c r="AL1608" s="204"/>
      <c r="AM1608" s="204"/>
    </row>
    <row r="1609">
      <c r="A1609" s="204"/>
      <c r="B1609" s="209"/>
      <c r="C1609" s="204"/>
      <c r="D1609" s="210"/>
      <c r="E1609" s="211"/>
      <c r="F1609" s="211"/>
      <c r="G1609" s="212"/>
      <c r="H1609" s="212"/>
      <c r="I1609" s="204"/>
      <c r="J1609" s="204"/>
      <c r="K1609" s="204"/>
      <c r="L1609" s="204"/>
      <c r="M1609" s="204"/>
      <c r="N1609" s="204"/>
      <c r="O1609" s="204"/>
      <c r="P1609" s="204"/>
      <c r="Q1609" s="204"/>
      <c r="R1609" s="204"/>
      <c r="S1609" s="204"/>
      <c r="T1609" s="204"/>
      <c r="U1609" s="204"/>
      <c r="V1609" s="204"/>
      <c r="W1609" s="204"/>
      <c r="X1609" s="204"/>
      <c r="Y1609" s="204"/>
      <c r="Z1609" s="204"/>
      <c r="AA1609" s="204"/>
      <c r="AB1609" s="204"/>
      <c r="AC1609" s="204"/>
      <c r="AD1609" s="204"/>
      <c r="AE1609" s="204"/>
      <c r="AF1609" s="204"/>
      <c r="AG1609" s="204"/>
      <c r="AH1609" s="204"/>
      <c r="AI1609" s="209"/>
      <c r="AJ1609" s="209"/>
      <c r="AK1609" s="204"/>
      <c r="AL1609" s="204"/>
      <c r="AM1609" s="204"/>
    </row>
    <row r="1610">
      <c r="A1610" s="204"/>
      <c r="B1610" s="209"/>
      <c r="C1610" s="204"/>
      <c r="D1610" s="210"/>
      <c r="E1610" s="211"/>
      <c r="F1610" s="211"/>
      <c r="G1610" s="212"/>
      <c r="H1610" s="212"/>
      <c r="I1610" s="204"/>
      <c r="J1610" s="204"/>
      <c r="K1610" s="204"/>
      <c r="L1610" s="204"/>
      <c r="M1610" s="204"/>
      <c r="N1610" s="204"/>
      <c r="O1610" s="204"/>
      <c r="P1610" s="204"/>
      <c r="Q1610" s="204"/>
      <c r="R1610" s="204"/>
      <c r="S1610" s="204"/>
      <c r="T1610" s="204"/>
      <c r="U1610" s="204"/>
      <c r="V1610" s="204"/>
      <c r="W1610" s="204"/>
      <c r="X1610" s="204"/>
      <c r="Y1610" s="204"/>
      <c r="Z1610" s="204"/>
      <c r="AA1610" s="204"/>
      <c r="AB1610" s="204"/>
      <c r="AC1610" s="204"/>
      <c r="AD1610" s="204"/>
      <c r="AE1610" s="204"/>
      <c r="AF1610" s="204"/>
      <c r="AG1610" s="204"/>
      <c r="AH1610" s="204"/>
      <c r="AI1610" s="209"/>
      <c r="AJ1610" s="209"/>
      <c r="AK1610" s="204"/>
      <c r="AL1610" s="204"/>
      <c r="AM1610" s="204"/>
    </row>
    <row r="1611">
      <c r="A1611" s="204"/>
      <c r="B1611" s="209"/>
      <c r="C1611" s="204"/>
      <c r="D1611" s="210"/>
      <c r="E1611" s="211"/>
      <c r="F1611" s="211"/>
      <c r="G1611" s="212"/>
      <c r="H1611" s="212"/>
      <c r="I1611" s="204"/>
      <c r="J1611" s="204"/>
      <c r="K1611" s="204"/>
      <c r="L1611" s="204"/>
      <c r="M1611" s="204"/>
      <c r="N1611" s="204"/>
      <c r="O1611" s="204"/>
      <c r="P1611" s="204"/>
      <c r="Q1611" s="204"/>
      <c r="R1611" s="204"/>
      <c r="S1611" s="204"/>
      <c r="T1611" s="204"/>
      <c r="U1611" s="204"/>
      <c r="V1611" s="204"/>
      <c r="W1611" s="204"/>
      <c r="X1611" s="204"/>
      <c r="Y1611" s="204"/>
      <c r="Z1611" s="204"/>
      <c r="AA1611" s="204"/>
      <c r="AB1611" s="204"/>
      <c r="AC1611" s="204"/>
      <c r="AD1611" s="204"/>
      <c r="AE1611" s="204"/>
      <c r="AF1611" s="204"/>
      <c r="AG1611" s="204"/>
      <c r="AH1611" s="204"/>
      <c r="AI1611" s="209"/>
      <c r="AJ1611" s="209"/>
      <c r="AK1611" s="204"/>
      <c r="AL1611" s="204"/>
      <c r="AM1611" s="204"/>
    </row>
    <row r="1612">
      <c r="A1612" s="204"/>
      <c r="B1612" s="209"/>
      <c r="C1612" s="204"/>
      <c r="D1612" s="210"/>
      <c r="E1612" s="211"/>
      <c r="F1612" s="211"/>
      <c r="G1612" s="212"/>
      <c r="H1612" s="212"/>
      <c r="I1612" s="204"/>
      <c r="J1612" s="204"/>
      <c r="K1612" s="204"/>
      <c r="L1612" s="204"/>
      <c r="M1612" s="204"/>
      <c r="N1612" s="204"/>
      <c r="O1612" s="204"/>
      <c r="P1612" s="204"/>
      <c r="Q1612" s="204"/>
      <c r="R1612" s="204"/>
      <c r="S1612" s="204"/>
      <c r="T1612" s="204"/>
      <c r="U1612" s="204"/>
      <c r="V1612" s="204"/>
      <c r="W1612" s="204"/>
      <c r="X1612" s="204"/>
      <c r="Y1612" s="204"/>
      <c r="Z1612" s="204"/>
      <c r="AA1612" s="204"/>
      <c r="AB1612" s="204"/>
      <c r="AC1612" s="204"/>
      <c r="AD1612" s="204"/>
      <c r="AE1612" s="204"/>
      <c r="AF1612" s="204"/>
      <c r="AG1612" s="204"/>
      <c r="AH1612" s="204"/>
      <c r="AI1612" s="209"/>
      <c r="AJ1612" s="209"/>
      <c r="AK1612" s="204"/>
      <c r="AL1612" s="204"/>
      <c r="AM1612" s="204"/>
    </row>
    <row r="1613">
      <c r="A1613" s="204"/>
      <c r="B1613" s="209"/>
      <c r="C1613" s="204"/>
      <c r="D1613" s="210"/>
      <c r="E1613" s="211"/>
      <c r="F1613" s="211"/>
      <c r="G1613" s="212"/>
      <c r="H1613" s="212"/>
      <c r="I1613" s="204"/>
      <c r="J1613" s="204"/>
      <c r="K1613" s="204"/>
      <c r="L1613" s="204"/>
      <c r="M1613" s="204"/>
      <c r="N1613" s="204"/>
      <c r="O1613" s="204"/>
      <c r="P1613" s="204"/>
      <c r="Q1613" s="204"/>
      <c r="R1613" s="204"/>
      <c r="S1613" s="204"/>
      <c r="T1613" s="204"/>
      <c r="U1613" s="204"/>
      <c r="V1613" s="204"/>
      <c r="W1613" s="204"/>
      <c r="X1613" s="204"/>
      <c r="Y1613" s="204"/>
      <c r="Z1613" s="204"/>
      <c r="AA1613" s="204"/>
      <c r="AB1613" s="204"/>
      <c r="AC1613" s="204"/>
      <c r="AD1613" s="204"/>
      <c r="AE1613" s="204"/>
      <c r="AF1613" s="204"/>
      <c r="AG1613" s="204"/>
      <c r="AH1613" s="204"/>
      <c r="AI1613" s="209"/>
      <c r="AJ1613" s="209"/>
      <c r="AK1613" s="204"/>
      <c r="AL1613" s="204"/>
      <c r="AM1613" s="204"/>
    </row>
    <row r="1614">
      <c r="A1614" s="204"/>
      <c r="B1614" s="209"/>
      <c r="C1614" s="204"/>
      <c r="D1614" s="210"/>
      <c r="E1614" s="211"/>
      <c r="F1614" s="211"/>
      <c r="G1614" s="212"/>
      <c r="H1614" s="212"/>
      <c r="I1614" s="204"/>
      <c r="J1614" s="204"/>
      <c r="K1614" s="204"/>
      <c r="L1614" s="204"/>
      <c r="M1614" s="204"/>
      <c r="N1614" s="204"/>
      <c r="O1614" s="204"/>
      <c r="P1614" s="204"/>
      <c r="Q1614" s="204"/>
      <c r="R1614" s="204"/>
      <c r="S1614" s="204"/>
      <c r="T1614" s="204"/>
      <c r="U1614" s="204"/>
      <c r="V1614" s="204"/>
      <c r="W1614" s="204"/>
      <c r="X1614" s="204"/>
      <c r="Y1614" s="204"/>
      <c r="Z1614" s="204"/>
      <c r="AA1614" s="204"/>
      <c r="AB1614" s="204"/>
      <c r="AC1614" s="204"/>
      <c r="AD1614" s="204"/>
      <c r="AE1614" s="204"/>
      <c r="AF1614" s="204"/>
      <c r="AG1614" s="204"/>
      <c r="AH1614" s="204"/>
      <c r="AI1614" s="209"/>
      <c r="AJ1614" s="209"/>
      <c r="AK1614" s="204"/>
      <c r="AL1614" s="204"/>
      <c r="AM1614" s="204"/>
    </row>
    <row r="1615">
      <c r="A1615" s="204"/>
      <c r="B1615" s="209"/>
      <c r="C1615" s="204"/>
      <c r="D1615" s="210"/>
      <c r="E1615" s="211"/>
      <c r="F1615" s="211"/>
      <c r="G1615" s="212"/>
      <c r="H1615" s="212"/>
      <c r="I1615" s="204"/>
      <c r="J1615" s="204"/>
      <c r="K1615" s="204"/>
      <c r="L1615" s="204"/>
      <c r="M1615" s="204"/>
      <c r="N1615" s="204"/>
      <c r="O1615" s="204"/>
      <c r="P1615" s="204"/>
      <c r="Q1615" s="204"/>
      <c r="R1615" s="204"/>
      <c r="S1615" s="204"/>
      <c r="T1615" s="204"/>
      <c r="U1615" s="204"/>
      <c r="V1615" s="204"/>
      <c r="W1615" s="204"/>
      <c r="X1615" s="204"/>
      <c r="Y1615" s="204"/>
      <c r="Z1615" s="204"/>
      <c r="AA1615" s="204"/>
      <c r="AB1615" s="204"/>
      <c r="AC1615" s="204"/>
      <c r="AD1615" s="204"/>
      <c r="AE1615" s="204"/>
      <c r="AF1615" s="204"/>
      <c r="AG1615" s="204"/>
      <c r="AH1615" s="204"/>
      <c r="AI1615" s="209"/>
      <c r="AJ1615" s="209"/>
      <c r="AK1615" s="204"/>
      <c r="AL1615" s="204"/>
      <c r="AM1615" s="204"/>
    </row>
    <row r="1616">
      <c r="A1616" s="204"/>
      <c r="B1616" s="209"/>
      <c r="C1616" s="204"/>
      <c r="D1616" s="210"/>
      <c r="E1616" s="211"/>
      <c r="F1616" s="211"/>
      <c r="G1616" s="212"/>
      <c r="H1616" s="212"/>
      <c r="I1616" s="204"/>
      <c r="J1616" s="204"/>
      <c r="K1616" s="204"/>
      <c r="L1616" s="204"/>
      <c r="M1616" s="204"/>
      <c r="N1616" s="204"/>
      <c r="O1616" s="204"/>
      <c r="P1616" s="204"/>
      <c r="Q1616" s="204"/>
      <c r="R1616" s="204"/>
      <c r="S1616" s="204"/>
      <c r="T1616" s="204"/>
      <c r="U1616" s="204"/>
      <c r="V1616" s="204"/>
      <c r="W1616" s="204"/>
      <c r="X1616" s="204"/>
      <c r="Y1616" s="204"/>
      <c r="Z1616" s="204"/>
      <c r="AA1616" s="204"/>
      <c r="AB1616" s="204"/>
      <c r="AC1616" s="204"/>
      <c r="AD1616" s="204"/>
      <c r="AE1616" s="204"/>
      <c r="AF1616" s="204"/>
      <c r="AG1616" s="204"/>
      <c r="AH1616" s="204"/>
      <c r="AI1616" s="209"/>
      <c r="AJ1616" s="209"/>
      <c r="AK1616" s="204"/>
      <c r="AL1616" s="204"/>
      <c r="AM1616" s="204"/>
    </row>
    <row r="1617">
      <c r="A1617" s="204"/>
      <c r="B1617" s="209"/>
      <c r="C1617" s="204"/>
      <c r="D1617" s="210"/>
      <c r="E1617" s="211"/>
      <c r="F1617" s="211"/>
      <c r="G1617" s="212"/>
      <c r="H1617" s="212"/>
      <c r="I1617" s="204"/>
      <c r="J1617" s="204"/>
      <c r="K1617" s="204"/>
      <c r="L1617" s="204"/>
      <c r="M1617" s="204"/>
      <c r="N1617" s="204"/>
      <c r="O1617" s="204"/>
      <c r="P1617" s="204"/>
      <c r="Q1617" s="204"/>
      <c r="R1617" s="204"/>
      <c r="S1617" s="204"/>
      <c r="T1617" s="204"/>
      <c r="U1617" s="204"/>
      <c r="V1617" s="204"/>
      <c r="W1617" s="204"/>
      <c r="X1617" s="204"/>
      <c r="Y1617" s="204"/>
      <c r="Z1617" s="204"/>
      <c r="AA1617" s="204"/>
      <c r="AB1617" s="204"/>
      <c r="AC1617" s="204"/>
      <c r="AD1617" s="204"/>
      <c r="AE1617" s="204"/>
      <c r="AF1617" s="204"/>
      <c r="AG1617" s="204"/>
      <c r="AH1617" s="204"/>
      <c r="AI1617" s="209"/>
      <c r="AJ1617" s="209"/>
      <c r="AK1617" s="204"/>
      <c r="AL1617" s="204"/>
      <c r="AM1617" s="204"/>
    </row>
    <row r="1618">
      <c r="A1618" s="204"/>
      <c r="B1618" s="209"/>
      <c r="C1618" s="204"/>
      <c r="D1618" s="210"/>
      <c r="E1618" s="211"/>
      <c r="F1618" s="211"/>
      <c r="G1618" s="212"/>
      <c r="H1618" s="212"/>
      <c r="I1618" s="204"/>
      <c r="J1618" s="204"/>
      <c r="K1618" s="204"/>
      <c r="L1618" s="204"/>
      <c r="M1618" s="204"/>
      <c r="N1618" s="204"/>
      <c r="O1618" s="204"/>
      <c r="P1618" s="204"/>
      <c r="Q1618" s="204"/>
      <c r="R1618" s="204"/>
      <c r="S1618" s="204"/>
      <c r="T1618" s="204"/>
      <c r="U1618" s="204"/>
      <c r="V1618" s="204"/>
      <c r="W1618" s="204"/>
      <c r="X1618" s="204"/>
      <c r="Y1618" s="204"/>
      <c r="Z1618" s="204"/>
      <c r="AA1618" s="204"/>
      <c r="AB1618" s="204"/>
      <c r="AC1618" s="204"/>
      <c r="AD1618" s="204"/>
      <c r="AE1618" s="204"/>
      <c r="AF1618" s="204"/>
      <c r="AG1618" s="204"/>
      <c r="AH1618" s="204"/>
      <c r="AI1618" s="209"/>
      <c r="AJ1618" s="209"/>
      <c r="AK1618" s="204"/>
      <c r="AL1618" s="204"/>
      <c r="AM1618" s="204"/>
    </row>
    <row r="1619">
      <c r="A1619" s="204"/>
      <c r="B1619" s="209"/>
      <c r="C1619" s="204"/>
      <c r="D1619" s="210"/>
      <c r="E1619" s="211"/>
      <c r="F1619" s="211"/>
      <c r="G1619" s="212"/>
      <c r="H1619" s="212"/>
      <c r="I1619" s="204"/>
      <c r="J1619" s="204"/>
      <c r="K1619" s="204"/>
      <c r="L1619" s="204"/>
      <c r="M1619" s="204"/>
      <c r="N1619" s="204"/>
      <c r="O1619" s="204"/>
      <c r="P1619" s="204"/>
      <c r="Q1619" s="204"/>
      <c r="R1619" s="204"/>
      <c r="S1619" s="204"/>
      <c r="T1619" s="204"/>
      <c r="U1619" s="204"/>
      <c r="V1619" s="204"/>
      <c r="W1619" s="204"/>
      <c r="X1619" s="204"/>
      <c r="Y1619" s="204"/>
      <c r="Z1619" s="204"/>
      <c r="AA1619" s="204"/>
      <c r="AB1619" s="204"/>
      <c r="AC1619" s="204"/>
      <c r="AD1619" s="204"/>
      <c r="AE1619" s="204"/>
      <c r="AF1619" s="204"/>
      <c r="AG1619" s="204"/>
      <c r="AH1619" s="204"/>
      <c r="AI1619" s="209"/>
      <c r="AJ1619" s="209"/>
      <c r="AK1619" s="204"/>
      <c r="AL1619" s="204"/>
      <c r="AM1619" s="204"/>
    </row>
    <row r="1620">
      <c r="A1620" s="204"/>
      <c r="B1620" s="209"/>
      <c r="C1620" s="204"/>
      <c r="D1620" s="210"/>
      <c r="E1620" s="211"/>
      <c r="F1620" s="211"/>
      <c r="G1620" s="212"/>
      <c r="H1620" s="212"/>
      <c r="I1620" s="204"/>
      <c r="J1620" s="204"/>
      <c r="K1620" s="204"/>
      <c r="L1620" s="204"/>
      <c r="M1620" s="204"/>
      <c r="N1620" s="204"/>
      <c r="O1620" s="204"/>
      <c r="P1620" s="204"/>
      <c r="Q1620" s="204"/>
      <c r="R1620" s="204"/>
      <c r="S1620" s="204"/>
      <c r="T1620" s="204"/>
      <c r="U1620" s="204"/>
      <c r="V1620" s="204"/>
      <c r="W1620" s="204"/>
      <c r="X1620" s="204"/>
      <c r="Y1620" s="204"/>
      <c r="Z1620" s="204"/>
      <c r="AA1620" s="204"/>
      <c r="AB1620" s="204"/>
      <c r="AC1620" s="204"/>
      <c r="AD1620" s="204"/>
      <c r="AE1620" s="204"/>
      <c r="AF1620" s="204"/>
      <c r="AG1620" s="204"/>
      <c r="AH1620" s="204"/>
      <c r="AI1620" s="209"/>
      <c r="AJ1620" s="209"/>
      <c r="AK1620" s="204"/>
      <c r="AL1620" s="204"/>
      <c r="AM1620" s="204"/>
    </row>
    <row r="1621">
      <c r="A1621" s="204"/>
      <c r="B1621" s="209"/>
      <c r="C1621" s="204"/>
      <c r="D1621" s="210"/>
      <c r="E1621" s="211"/>
      <c r="F1621" s="211"/>
      <c r="G1621" s="212"/>
      <c r="H1621" s="212"/>
      <c r="I1621" s="204"/>
      <c r="J1621" s="204"/>
      <c r="K1621" s="204"/>
      <c r="L1621" s="204"/>
      <c r="M1621" s="204"/>
      <c r="N1621" s="204"/>
      <c r="O1621" s="204"/>
      <c r="P1621" s="204"/>
      <c r="Q1621" s="204"/>
      <c r="R1621" s="204"/>
      <c r="S1621" s="204"/>
      <c r="T1621" s="204"/>
      <c r="U1621" s="204"/>
      <c r="V1621" s="204"/>
      <c r="W1621" s="204"/>
      <c r="X1621" s="204"/>
      <c r="Y1621" s="204"/>
      <c r="Z1621" s="204"/>
      <c r="AA1621" s="204"/>
      <c r="AB1621" s="204"/>
      <c r="AC1621" s="204"/>
      <c r="AD1621" s="204"/>
      <c r="AE1621" s="204"/>
      <c r="AF1621" s="204"/>
      <c r="AG1621" s="204"/>
      <c r="AH1621" s="204"/>
      <c r="AI1621" s="209"/>
      <c r="AJ1621" s="209"/>
      <c r="AK1621" s="204"/>
      <c r="AL1621" s="204"/>
      <c r="AM1621" s="204"/>
    </row>
    <row r="1622">
      <c r="A1622" s="204"/>
      <c r="B1622" s="209"/>
      <c r="C1622" s="204"/>
      <c r="D1622" s="210"/>
      <c r="E1622" s="211"/>
      <c r="F1622" s="211"/>
      <c r="G1622" s="212"/>
      <c r="H1622" s="212"/>
      <c r="I1622" s="204"/>
      <c r="J1622" s="204"/>
      <c r="K1622" s="204"/>
      <c r="L1622" s="204"/>
      <c r="M1622" s="204"/>
      <c r="N1622" s="204"/>
      <c r="O1622" s="204"/>
      <c r="P1622" s="204"/>
      <c r="Q1622" s="204"/>
      <c r="R1622" s="204"/>
      <c r="S1622" s="204"/>
      <c r="T1622" s="204"/>
      <c r="U1622" s="204"/>
      <c r="V1622" s="204"/>
      <c r="W1622" s="204"/>
      <c r="X1622" s="204"/>
      <c r="Y1622" s="204"/>
      <c r="Z1622" s="204"/>
      <c r="AA1622" s="204"/>
      <c r="AB1622" s="204"/>
      <c r="AC1622" s="204"/>
      <c r="AD1622" s="204"/>
      <c r="AE1622" s="204"/>
      <c r="AF1622" s="204"/>
      <c r="AG1622" s="204"/>
      <c r="AH1622" s="204"/>
      <c r="AI1622" s="209"/>
      <c r="AJ1622" s="209"/>
      <c r="AK1622" s="204"/>
      <c r="AL1622" s="204"/>
      <c r="AM1622" s="204"/>
    </row>
    <row r="1623">
      <c r="A1623" s="204"/>
      <c r="B1623" s="209"/>
      <c r="C1623" s="204"/>
      <c r="D1623" s="210"/>
      <c r="E1623" s="211"/>
      <c r="F1623" s="211"/>
      <c r="G1623" s="212"/>
      <c r="H1623" s="212"/>
      <c r="I1623" s="204"/>
      <c r="J1623" s="204"/>
      <c r="K1623" s="204"/>
      <c r="L1623" s="204"/>
      <c r="M1623" s="204"/>
      <c r="N1623" s="204"/>
      <c r="O1623" s="204"/>
      <c r="P1623" s="204"/>
      <c r="Q1623" s="204"/>
      <c r="R1623" s="204"/>
      <c r="S1623" s="204"/>
      <c r="T1623" s="204"/>
      <c r="U1623" s="204"/>
      <c r="V1623" s="204"/>
      <c r="W1623" s="204"/>
      <c r="X1623" s="204"/>
      <c r="Y1623" s="204"/>
      <c r="Z1623" s="204"/>
      <c r="AA1623" s="204"/>
      <c r="AB1623" s="204"/>
      <c r="AC1623" s="204"/>
      <c r="AD1623" s="204"/>
      <c r="AE1623" s="204"/>
      <c r="AF1623" s="204"/>
      <c r="AG1623" s="204"/>
      <c r="AH1623" s="204"/>
      <c r="AI1623" s="209"/>
      <c r="AJ1623" s="209"/>
      <c r="AK1623" s="204"/>
      <c r="AL1623" s="204"/>
      <c r="AM1623" s="204"/>
    </row>
    <row r="1624">
      <c r="A1624" s="204"/>
      <c r="B1624" s="209"/>
      <c r="C1624" s="204"/>
      <c r="D1624" s="210"/>
      <c r="E1624" s="211"/>
      <c r="F1624" s="211"/>
      <c r="G1624" s="212"/>
      <c r="H1624" s="212"/>
      <c r="I1624" s="204"/>
      <c r="J1624" s="204"/>
      <c r="K1624" s="204"/>
      <c r="L1624" s="204"/>
      <c r="M1624" s="204"/>
      <c r="N1624" s="204"/>
      <c r="O1624" s="204"/>
      <c r="P1624" s="204"/>
      <c r="Q1624" s="204"/>
      <c r="R1624" s="204"/>
      <c r="S1624" s="204"/>
      <c r="T1624" s="204"/>
      <c r="U1624" s="204"/>
      <c r="V1624" s="204"/>
      <c r="W1624" s="204"/>
      <c r="X1624" s="204"/>
      <c r="Y1624" s="204"/>
      <c r="Z1624" s="204"/>
      <c r="AA1624" s="204"/>
      <c r="AB1624" s="204"/>
      <c r="AC1624" s="204"/>
      <c r="AD1624" s="204"/>
      <c r="AE1624" s="204"/>
      <c r="AF1624" s="204"/>
      <c r="AG1624" s="204"/>
      <c r="AH1624" s="204"/>
      <c r="AI1624" s="209"/>
      <c r="AJ1624" s="209"/>
      <c r="AK1624" s="204"/>
      <c r="AL1624" s="204"/>
      <c r="AM1624" s="204"/>
    </row>
    <row r="1625">
      <c r="A1625" s="204"/>
      <c r="B1625" s="209"/>
      <c r="C1625" s="204"/>
      <c r="D1625" s="210"/>
      <c r="E1625" s="211"/>
      <c r="F1625" s="211"/>
      <c r="G1625" s="212"/>
      <c r="H1625" s="212"/>
      <c r="I1625" s="204"/>
      <c r="J1625" s="204"/>
      <c r="K1625" s="204"/>
      <c r="L1625" s="204"/>
      <c r="M1625" s="204"/>
      <c r="N1625" s="204"/>
      <c r="O1625" s="204"/>
      <c r="P1625" s="204"/>
      <c r="Q1625" s="204"/>
      <c r="R1625" s="204"/>
      <c r="S1625" s="204"/>
      <c r="T1625" s="204"/>
      <c r="U1625" s="204"/>
      <c r="V1625" s="204"/>
      <c r="W1625" s="204"/>
      <c r="X1625" s="204"/>
      <c r="Y1625" s="204"/>
      <c r="Z1625" s="204"/>
      <c r="AA1625" s="204"/>
      <c r="AB1625" s="204"/>
      <c r="AC1625" s="204"/>
      <c r="AD1625" s="204"/>
      <c r="AE1625" s="204"/>
      <c r="AF1625" s="204"/>
      <c r="AG1625" s="204"/>
      <c r="AH1625" s="204"/>
      <c r="AI1625" s="209"/>
      <c r="AJ1625" s="209"/>
      <c r="AK1625" s="204"/>
      <c r="AL1625" s="204"/>
      <c r="AM1625" s="204"/>
    </row>
    <row r="1626">
      <c r="A1626" s="204"/>
      <c r="B1626" s="209"/>
      <c r="C1626" s="204"/>
      <c r="D1626" s="210"/>
      <c r="E1626" s="211"/>
      <c r="F1626" s="211"/>
      <c r="G1626" s="212"/>
      <c r="H1626" s="212"/>
      <c r="I1626" s="204"/>
      <c r="J1626" s="204"/>
      <c r="K1626" s="204"/>
      <c r="L1626" s="204"/>
      <c r="M1626" s="204"/>
      <c r="N1626" s="204"/>
      <c r="O1626" s="204"/>
      <c r="P1626" s="204"/>
      <c r="Q1626" s="204"/>
      <c r="R1626" s="204"/>
      <c r="S1626" s="204"/>
      <c r="T1626" s="204"/>
      <c r="U1626" s="204"/>
      <c r="V1626" s="204"/>
      <c r="W1626" s="204"/>
      <c r="X1626" s="204"/>
      <c r="Y1626" s="204"/>
      <c r="Z1626" s="204"/>
      <c r="AA1626" s="204"/>
      <c r="AB1626" s="204"/>
      <c r="AC1626" s="204"/>
      <c r="AD1626" s="204"/>
      <c r="AE1626" s="204"/>
      <c r="AF1626" s="204"/>
      <c r="AG1626" s="204"/>
      <c r="AH1626" s="204"/>
      <c r="AI1626" s="209"/>
      <c r="AJ1626" s="209"/>
      <c r="AK1626" s="204"/>
      <c r="AL1626" s="204"/>
      <c r="AM1626" s="204"/>
    </row>
    <row r="1627">
      <c r="A1627" s="204"/>
      <c r="B1627" s="209"/>
      <c r="C1627" s="204"/>
      <c r="D1627" s="210"/>
      <c r="E1627" s="211"/>
      <c r="F1627" s="211"/>
      <c r="G1627" s="212"/>
      <c r="H1627" s="212"/>
      <c r="I1627" s="204"/>
      <c r="J1627" s="204"/>
      <c r="K1627" s="204"/>
      <c r="L1627" s="204"/>
      <c r="M1627" s="204"/>
      <c r="N1627" s="204"/>
      <c r="O1627" s="204"/>
      <c r="P1627" s="204"/>
      <c r="Q1627" s="204"/>
      <c r="R1627" s="204"/>
      <c r="S1627" s="204"/>
      <c r="T1627" s="204"/>
      <c r="U1627" s="204"/>
      <c r="V1627" s="204"/>
      <c r="W1627" s="204"/>
      <c r="X1627" s="204"/>
      <c r="Y1627" s="204"/>
      <c r="Z1627" s="204"/>
      <c r="AA1627" s="204"/>
      <c r="AB1627" s="204"/>
      <c r="AC1627" s="204"/>
      <c r="AD1627" s="204"/>
      <c r="AE1627" s="204"/>
      <c r="AF1627" s="204"/>
      <c r="AG1627" s="204"/>
      <c r="AH1627" s="204"/>
      <c r="AI1627" s="209"/>
      <c r="AJ1627" s="209"/>
      <c r="AK1627" s="204"/>
      <c r="AL1627" s="204"/>
      <c r="AM1627" s="204"/>
    </row>
    <row r="1628">
      <c r="A1628" s="204"/>
      <c r="B1628" s="209"/>
      <c r="C1628" s="204"/>
      <c r="D1628" s="210"/>
      <c r="E1628" s="211"/>
      <c r="F1628" s="211"/>
      <c r="G1628" s="212"/>
      <c r="H1628" s="212"/>
      <c r="I1628" s="204"/>
      <c r="J1628" s="204"/>
      <c r="K1628" s="204"/>
      <c r="L1628" s="204"/>
      <c r="M1628" s="204"/>
      <c r="N1628" s="204"/>
      <c r="O1628" s="204"/>
      <c r="P1628" s="204"/>
      <c r="Q1628" s="204"/>
      <c r="R1628" s="204"/>
      <c r="S1628" s="204"/>
      <c r="T1628" s="204"/>
      <c r="U1628" s="204"/>
      <c r="V1628" s="204"/>
      <c r="W1628" s="204"/>
      <c r="X1628" s="204"/>
      <c r="Y1628" s="204"/>
      <c r="Z1628" s="204"/>
      <c r="AA1628" s="204"/>
      <c r="AB1628" s="204"/>
      <c r="AC1628" s="204"/>
      <c r="AD1628" s="204"/>
      <c r="AE1628" s="204"/>
      <c r="AF1628" s="204"/>
      <c r="AG1628" s="204"/>
      <c r="AH1628" s="204"/>
      <c r="AI1628" s="209"/>
      <c r="AJ1628" s="209"/>
      <c r="AK1628" s="204"/>
      <c r="AL1628" s="204"/>
      <c r="AM1628" s="204"/>
    </row>
    <row r="1629">
      <c r="A1629" s="204"/>
      <c r="B1629" s="209"/>
      <c r="C1629" s="204"/>
      <c r="D1629" s="210"/>
      <c r="E1629" s="211"/>
      <c r="F1629" s="211"/>
      <c r="G1629" s="212"/>
      <c r="H1629" s="212"/>
      <c r="I1629" s="204"/>
      <c r="J1629" s="204"/>
      <c r="K1629" s="204"/>
      <c r="L1629" s="204"/>
      <c r="M1629" s="204"/>
      <c r="N1629" s="204"/>
      <c r="O1629" s="204"/>
      <c r="P1629" s="204"/>
      <c r="Q1629" s="204"/>
      <c r="R1629" s="204"/>
      <c r="S1629" s="204"/>
      <c r="T1629" s="204"/>
      <c r="U1629" s="204"/>
      <c r="V1629" s="204"/>
      <c r="W1629" s="204"/>
      <c r="X1629" s="204"/>
      <c r="Y1629" s="204"/>
      <c r="Z1629" s="204"/>
      <c r="AA1629" s="204"/>
      <c r="AB1629" s="204"/>
      <c r="AC1629" s="204"/>
      <c r="AD1629" s="204"/>
      <c r="AE1629" s="204"/>
      <c r="AF1629" s="204"/>
      <c r="AG1629" s="204"/>
      <c r="AH1629" s="204"/>
      <c r="AI1629" s="209"/>
      <c r="AJ1629" s="209"/>
      <c r="AK1629" s="204"/>
      <c r="AL1629" s="204"/>
      <c r="AM1629" s="204"/>
    </row>
    <row r="1630">
      <c r="A1630" s="204"/>
      <c r="B1630" s="209"/>
      <c r="C1630" s="204"/>
      <c r="D1630" s="210"/>
      <c r="E1630" s="211"/>
      <c r="F1630" s="211"/>
      <c r="G1630" s="212"/>
      <c r="H1630" s="212"/>
      <c r="I1630" s="204"/>
      <c r="J1630" s="204"/>
      <c r="K1630" s="204"/>
      <c r="L1630" s="204"/>
      <c r="M1630" s="204"/>
      <c r="N1630" s="204"/>
      <c r="O1630" s="204"/>
      <c r="P1630" s="204"/>
      <c r="Q1630" s="204"/>
      <c r="R1630" s="204"/>
      <c r="S1630" s="204"/>
      <c r="T1630" s="204"/>
      <c r="U1630" s="204"/>
      <c r="V1630" s="204"/>
      <c r="W1630" s="204"/>
      <c r="X1630" s="204"/>
      <c r="Y1630" s="204"/>
      <c r="Z1630" s="204"/>
      <c r="AA1630" s="204"/>
      <c r="AB1630" s="204"/>
      <c r="AC1630" s="204"/>
      <c r="AD1630" s="204"/>
      <c r="AE1630" s="204"/>
      <c r="AF1630" s="204"/>
      <c r="AG1630" s="204"/>
      <c r="AH1630" s="204"/>
      <c r="AI1630" s="209"/>
      <c r="AJ1630" s="209"/>
      <c r="AK1630" s="204"/>
      <c r="AL1630" s="204"/>
      <c r="AM1630" s="204"/>
    </row>
    <row r="1631">
      <c r="A1631" s="204"/>
      <c r="B1631" s="209"/>
      <c r="C1631" s="204"/>
      <c r="D1631" s="210"/>
      <c r="E1631" s="211"/>
      <c r="F1631" s="211"/>
      <c r="G1631" s="212"/>
      <c r="H1631" s="212"/>
      <c r="I1631" s="204"/>
      <c r="J1631" s="204"/>
      <c r="K1631" s="204"/>
      <c r="L1631" s="204"/>
      <c r="M1631" s="204"/>
      <c r="N1631" s="204"/>
      <c r="O1631" s="204"/>
      <c r="P1631" s="204"/>
      <c r="Q1631" s="204"/>
      <c r="R1631" s="204"/>
      <c r="S1631" s="204"/>
      <c r="T1631" s="204"/>
      <c r="U1631" s="204"/>
      <c r="V1631" s="204"/>
      <c r="W1631" s="204"/>
      <c r="X1631" s="204"/>
      <c r="Y1631" s="204"/>
      <c r="Z1631" s="204"/>
      <c r="AA1631" s="204"/>
      <c r="AB1631" s="204"/>
      <c r="AC1631" s="204"/>
      <c r="AD1631" s="204"/>
      <c r="AE1631" s="204"/>
      <c r="AF1631" s="204"/>
      <c r="AG1631" s="204"/>
      <c r="AH1631" s="204"/>
      <c r="AI1631" s="209"/>
      <c r="AJ1631" s="209"/>
      <c r="AK1631" s="204"/>
      <c r="AL1631" s="204"/>
      <c r="AM1631" s="204"/>
    </row>
    <row r="1632">
      <c r="A1632" s="204"/>
      <c r="B1632" s="209"/>
      <c r="C1632" s="204"/>
      <c r="D1632" s="210"/>
      <c r="E1632" s="211"/>
      <c r="F1632" s="211"/>
      <c r="G1632" s="212"/>
      <c r="H1632" s="212"/>
      <c r="I1632" s="204"/>
      <c r="J1632" s="204"/>
      <c r="K1632" s="204"/>
      <c r="L1632" s="204"/>
      <c r="M1632" s="204"/>
      <c r="N1632" s="204"/>
      <c r="O1632" s="204"/>
      <c r="P1632" s="204"/>
      <c r="Q1632" s="204"/>
      <c r="R1632" s="204"/>
      <c r="S1632" s="204"/>
      <c r="T1632" s="204"/>
      <c r="U1632" s="204"/>
      <c r="V1632" s="204"/>
      <c r="W1632" s="204"/>
      <c r="X1632" s="204"/>
      <c r="Y1632" s="204"/>
      <c r="Z1632" s="204"/>
      <c r="AA1632" s="204"/>
      <c r="AB1632" s="204"/>
      <c r="AC1632" s="204"/>
      <c r="AD1632" s="204"/>
      <c r="AE1632" s="204"/>
      <c r="AF1632" s="204"/>
      <c r="AG1632" s="204"/>
      <c r="AH1632" s="204"/>
      <c r="AI1632" s="209"/>
      <c r="AJ1632" s="209"/>
      <c r="AK1632" s="204"/>
      <c r="AL1632" s="204"/>
      <c r="AM1632" s="204"/>
    </row>
    <row r="1633">
      <c r="A1633" s="204"/>
      <c r="B1633" s="209"/>
      <c r="C1633" s="204"/>
      <c r="D1633" s="210"/>
      <c r="E1633" s="211"/>
      <c r="F1633" s="211"/>
      <c r="G1633" s="212"/>
      <c r="H1633" s="212"/>
      <c r="I1633" s="204"/>
      <c r="J1633" s="204"/>
      <c r="K1633" s="204"/>
      <c r="L1633" s="204"/>
      <c r="M1633" s="204"/>
      <c r="N1633" s="204"/>
      <c r="O1633" s="204"/>
      <c r="P1633" s="204"/>
      <c r="Q1633" s="204"/>
      <c r="R1633" s="204"/>
      <c r="S1633" s="204"/>
      <c r="T1633" s="204"/>
      <c r="U1633" s="204"/>
      <c r="V1633" s="204"/>
      <c r="W1633" s="204"/>
      <c r="X1633" s="204"/>
      <c r="Y1633" s="204"/>
      <c r="Z1633" s="204"/>
      <c r="AA1633" s="204"/>
      <c r="AB1633" s="204"/>
      <c r="AC1633" s="204"/>
      <c r="AD1633" s="204"/>
      <c r="AE1633" s="204"/>
      <c r="AF1633" s="204"/>
      <c r="AG1633" s="204"/>
      <c r="AH1633" s="204"/>
      <c r="AI1633" s="209"/>
      <c r="AJ1633" s="209"/>
      <c r="AK1633" s="204"/>
      <c r="AL1633" s="204"/>
      <c r="AM1633" s="204"/>
    </row>
    <row r="1634">
      <c r="A1634" s="204"/>
      <c r="B1634" s="209"/>
      <c r="C1634" s="204"/>
      <c r="D1634" s="210"/>
      <c r="E1634" s="211"/>
      <c r="F1634" s="211"/>
      <c r="G1634" s="212"/>
      <c r="H1634" s="212"/>
      <c r="I1634" s="204"/>
      <c r="J1634" s="204"/>
      <c r="K1634" s="204"/>
      <c r="L1634" s="204"/>
      <c r="M1634" s="204"/>
      <c r="N1634" s="204"/>
      <c r="O1634" s="204"/>
      <c r="P1634" s="204"/>
      <c r="Q1634" s="204"/>
      <c r="R1634" s="204"/>
      <c r="S1634" s="204"/>
      <c r="T1634" s="204"/>
      <c r="U1634" s="204"/>
      <c r="V1634" s="204"/>
      <c r="W1634" s="204"/>
      <c r="X1634" s="204"/>
      <c r="Y1634" s="204"/>
      <c r="Z1634" s="204"/>
      <c r="AA1634" s="204"/>
      <c r="AB1634" s="204"/>
      <c r="AC1634" s="204"/>
      <c r="AD1634" s="204"/>
      <c r="AE1634" s="204"/>
      <c r="AF1634" s="204"/>
      <c r="AG1634" s="204"/>
      <c r="AH1634" s="204"/>
      <c r="AI1634" s="209"/>
      <c r="AJ1634" s="209"/>
      <c r="AK1634" s="204"/>
      <c r="AL1634" s="204"/>
      <c r="AM1634" s="204"/>
    </row>
    <row r="1635">
      <c r="A1635" s="204"/>
      <c r="B1635" s="209"/>
      <c r="C1635" s="204"/>
      <c r="D1635" s="210"/>
      <c r="E1635" s="211"/>
      <c r="F1635" s="211"/>
      <c r="G1635" s="212"/>
      <c r="H1635" s="212"/>
      <c r="I1635" s="204"/>
      <c r="J1635" s="204"/>
      <c r="K1635" s="204"/>
      <c r="L1635" s="204"/>
      <c r="M1635" s="204"/>
      <c r="N1635" s="204"/>
      <c r="O1635" s="204"/>
      <c r="P1635" s="204"/>
      <c r="Q1635" s="204"/>
      <c r="R1635" s="204"/>
      <c r="S1635" s="204"/>
      <c r="T1635" s="204"/>
      <c r="U1635" s="204"/>
      <c r="V1635" s="204"/>
      <c r="W1635" s="204"/>
      <c r="X1635" s="204"/>
      <c r="Y1635" s="204"/>
      <c r="Z1635" s="204"/>
      <c r="AA1635" s="204"/>
      <c r="AB1635" s="204"/>
      <c r="AC1635" s="204"/>
      <c r="AD1635" s="204"/>
      <c r="AE1635" s="204"/>
      <c r="AF1635" s="204"/>
      <c r="AG1635" s="204"/>
      <c r="AH1635" s="204"/>
      <c r="AI1635" s="209"/>
      <c r="AJ1635" s="209"/>
      <c r="AK1635" s="204"/>
      <c r="AL1635" s="204"/>
      <c r="AM1635" s="204"/>
    </row>
    <row r="1636">
      <c r="A1636" s="204"/>
      <c r="B1636" s="209"/>
      <c r="C1636" s="204"/>
      <c r="D1636" s="210"/>
      <c r="E1636" s="211"/>
      <c r="F1636" s="211"/>
      <c r="G1636" s="212"/>
      <c r="H1636" s="212"/>
      <c r="I1636" s="204"/>
      <c r="J1636" s="204"/>
      <c r="K1636" s="204"/>
      <c r="L1636" s="204"/>
      <c r="M1636" s="204"/>
      <c r="N1636" s="204"/>
      <c r="O1636" s="204"/>
      <c r="P1636" s="204"/>
      <c r="Q1636" s="204"/>
      <c r="R1636" s="204"/>
      <c r="S1636" s="204"/>
      <c r="T1636" s="204"/>
      <c r="U1636" s="204"/>
      <c r="V1636" s="204"/>
      <c r="W1636" s="204"/>
      <c r="X1636" s="204"/>
      <c r="Y1636" s="204"/>
      <c r="Z1636" s="204"/>
      <c r="AA1636" s="204"/>
      <c r="AB1636" s="204"/>
      <c r="AC1636" s="204"/>
      <c r="AD1636" s="204"/>
      <c r="AE1636" s="204"/>
      <c r="AF1636" s="204"/>
      <c r="AG1636" s="204"/>
      <c r="AH1636" s="204"/>
      <c r="AI1636" s="209"/>
      <c r="AJ1636" s="209"/>
      <c r="AK1636" s="204"/>
      <c r="AL1636" s="204"/>
      <c r="AM1636" s="204"/>
    </row>
    <row r="1637">
      <c r="A1637" s="204"/>
      <c r="B1637" s="209"/>
      <c r="C1637" s="204"/>
      <c r="D1637" s="210"/>
      <c r="E1637" s="211"/>
      <c r="F1637" s="211"/>
      <c r="G1637" s="212"/>
      <c r="H1637" s="212"/>
      <c r="I1637" s="204"/>
      <c r="J1637" s="204"/>
      <c r="K1637" s="204"/>
      <c r="L1637" s="204"/>
      <c r="M1637" s="204"/>
      <c r="N1637" s="204"/>
      <c r="O1637" s="204"/>
      <c r="P1637" s="204"/>
      <c r="Q1637" s="204"/>
      <c r="R1637" s="204"/>
      <c r="S1637" s="204"/>
      <c r="T1637" s="204"/>
      <c r="U1637" s="204"/>
      <c r="V1637" s="204"/>
      <c r="W1637" s="204"/>
      <c r="X1637" s="204"/>
      <c r="Y1637" s="204"/>
      <c r="Z1637" s="204"/>
      <c r="AA1637" s="204"/>
      <c r="AB1637" s="204"/>
      <c r="AC1637" s="204"/>
      <c r="AD1637" s="204"/>
      <c r="AE1637" s="204"/>
      <c r="AF1637" s="204"/>
      <c r="AG1637" s="204"/>
      <c r="AH1637" s="204"/>
      <c r="AI1637" s="209"/>
      <c r="AJ1637" s="209"/>
      <c r="AK1637" s="204"/>
      <c r="AL1637" s="204"/>
      <c r="AM1637" s="204"/>
    </row>
    <row r="1638">
      <c r="A1638" s="204"/>
      <c r="B1638" s="209"/>
      <c r="C1638" s="204"/>
      <c r="D1638" s="210"/>
      <c r="E1638" s="211"/>
      <c r="F1638" s="211"/>
      <c r="G1638" s="212"/>
      <c r="H1638" s="212"/>
      <c r="I1638" s="204"/>
      <c r="J1638" s="204"/>
      <c r="K1638" s="204"/>
      <c r="L1638" s="204"/>
      <c r="M1638" s="204"/>
      <c r="N1638" s="204"/>
      <c r="O1638" s="204"/>
      <c r="P1638" s="204"/>
      <c r="Q1638" s="204"/>
      <c r="R1638" s="204"/>
      <c r="S1638" s="204"/>
      <c r="T1638" s="204"/>
      <c r="U1638" s="204"/>
      <c r="V1638" s="204"/>
      <c r="W1638" s="204"/>
      <c r="X1638" s="204"/>
      <c r="Y1638" s="204"/>
      <c r="Z1638" s="204"/>
      <c r="AA1638" s="204"/>
      <c r="AB1638" s="204"/>
      <c r="AC1638" s="204"/>
      <c r="AD1638" s="204"/>
      <c r="AE1638" s="204"/>
      <c r="AF1638" s="204"/>
      <c r="AG1638" s="204"/>
      <c r="AH1638" s="204"/>
      <c r="AI1638" s="209"/>
      <c r="AJ1638" s="209"/>
      <c r="AK1638" s="204"/>
      <c r="AL1638" s="204"/>
      <c r="AM1638" s="204"/>
    </row>
    <row r="1639">
      <c r="A1639" s="204"/>
      <c r="B1639" s="209"/>
      <c r="C1639" s="204"/>
      <c r="D1639" s="210"/>
      <c r="E1639" s="211"/>
      <c r="F1639" s="211"/>
      <c r="G1639" s="212"/>
      <c r="H1639" s="212"/>
      <c r="I1639" s="204"/>
      <c r="J1639" s="204"/>
      <c r="K1639" s="204"/>
      <c r="L1639" s="204"/>
      <c r="M1639" s="204"/>
      <c r="N1639" s="204"/>
      <c r="O1639" s="204"/>
      <c r="P1639" s="204"/>
      <c r="Q1639" s="204"/>
      <c r="R1639" s="204"/>
      <c r="S1639" s="204"/>
      <c r="T1639" s="204"/>
      <c r="U1639" s="204"/>
      <c r="V1639" s="204"/>
      <c r="W1639" s="204"/>
      <c r="X1639" s="204"/>
      <c r="Y1639" s="204"/>
      <c r="Z1639" s="204"/>
      <c r="AA1639" s="204"/>
      <c r="AB1639" s="204"/>
      <c r="AC1639" s="204"/>
      <c r="AD1639" s="204"/>
      <c r="AE1639" s="204"/>
      <c r="AF1639" s="204"/>
      <c r="AG1639" s="204"/>
      <c r="AH1639" s="204"/>
      <c r="AI1639" s="209"/>
      <c r="AJ1639" s="209"/>
      <c r="AK1639" s="204"/>
      <c r="AL1639" s="204"/>
      <c r="AM1639" s="204"/>
    </row>
    <row r="1640">
      <c r="A1640" s="204"/>
      <c r="B1640" s="209"/>
      <c r="C1640" s="204"/>
      <c r="D1640" s="210"/>
      <c r="E1640" s="211"/>
      <c r="F1640" s="211"/>
      <c r="G1640" s="212"/>
      <c r="H1640" s="212"/>
      <c r="I1640" s="204"/>
      <c r="J1640" s="204"/>
      <c r="K1640" s="204"/>
      <c r="L1640" s="204"/>
      <c r="M1640" s="204"/>
      <c r="N1640" s="204"/>
      <c r="O1640" s="204"/>
      <c r="P1640" s="204"/>
      <c r="Q1640" s="204"/>
      <c r="R1640" s="204"/>
      <c r="S1640" s="204"/>
      <c r="T1640" s="204"/>
      <c r="U1640" s="204"/>
      <c r="V1640" s="204"/>
      <c r="W1640" s="204"/>
      <c r="X1640" s="204"/>
      <c r="Y1640" s="204"/>
      <c r="Z1640" s="204"/>
      <c r="AA1640" s="204"/>
      <c r="AB1640" s="204"/>
      <c r="AC1640" s="204"/>
      <c r="AD1640" s="204"/>
      <c r="AE1640" s="204"/>
      <c r="AF1640" s="204"/>
      <c r="AG1640" s="204"/>
      <c r="AH1640" s="204"/>
      <c r="AI1640" s="209"/>
      <c r="AJ1640" s="209"/>
      <c r="AK1640" s="204"/>
      <c r="AL1640" s="204"/>
      <c r="AM1640" s="204"/>
    </row>
    <row r="1641">
      <c r="A1641" s="204"/>
      <c r="B1641" s="209"/>
      <c r="C1641" s="204"/>
      <c r="D1641" s="210"/>
      <c r="E1641" s="211"/>
      <c r="F1641" s="211"/>
      <c r="G1641" s="212"/>
      <c r="H1641" s="212"/>
      <c r="I1641" s="204"/>
      <c r="J1641" s="204"/>
      <c r="K1641" s="204"/>
      <c r="L1641" s="204"/>
      <c r="M1641" s="204"/>
      <c r="N1641" s="204"/>
      <c r="O1641" s="204"/>
      <c r="P1641" s="204"/>
      <c r="Q1641" s="204"/>
      <c r="R1641" s="204"/>
      <c r="S1641" s="204"/>
      <c r="T1641" s="204"/>
      <c r="U1641" s="204"/>
      <c r="V1641" s="204"/>
      <c r="W1641" s="204"/>
      <c r="X1641" s="204"/>
      <c r="Y1641" s="204"/>
      <c r="Z1641" s="204"/>
      <c r="AA1641" s="204"/>
      <c r="AB1641" s="204"/>
      <c r="AC1641" s="204"/>
      <c r="AD1641" s="204"/>
      <c r="AE1641" s="204"/>
      <c r="AF1641" s="204"/>
      <c r="AG1641" s="204"/>
      <c r="AH1641" s="204"/>
      <c r="AI1641" s="209"/>
      <c r="AJ1641" s="209"/>
      <c r="AK1641" s="204"/>
      <c r="AL1641" s="204"/>
      <c r="AM1641" s="204"/>
    </row>
    <row r="1642">
      <c r="A1642" s="204"/>
      <c r="B1642" s="209"/>
      <c r="C1642" s="204"/>
      <c r="D1642" s="210"/>
      <c r="E1642" s="211"/>
      <c r="F1642" s="211"/>
      <c r="G1642" s="212"/>
      <c r="H1642" s="212"/>
      <c r="I1642" s="204"/>
      <c r="J1642" s="204"/>
      <c r="K1642" s="204"/>
      <c r="L1642" s="204"/>
      <c r="M1642" s="204"/>
      <c r="N1642" s="204"/>
      <c r="O1642" s="204"/>
      <c r="P1642" s="204"/>
      <c r="Q1642" s="204"/>
      <c r="R1642" s="204"/>
      <c r="S1642" s="204"/>
      <c r="T1642" s="204"/>
      <c r="U1642" s="204"/>
      <c r="V1642" s="204"/>
      <c r="W1642" s="204"/>
      <c r="X1642" s="204"/>
      <c r="Y1642" s="204"/>
      <c r="Z1642" s="204"/>
      <c r="AA1642" s="204"/>
      <c r="AB1642" s="204"/>
      <c r="AC1642" s="204"/>
      <c r="AD1642" s="204"/>
      <c r="AE1642" s="204"/>
      <c r="AF1642" s="204"/>
      <c r="AG1642" s="204"/>
      <c r="AH1642" s="204"/>
      <c r="AI1642" s="209"/>
      <c r="AJ1642" s="209"/>
      <c r="AK1642" s="204"/>
      <c r="AL1642" s="204"/>
      <c r="AM1642" s="204"/>
    </row>
    <row r="1643">
      <c r="A1643" s="204"/>
      <c r="B1643" s="209"/>
      <c r="C1643" s="204"/>
      <c r="D1643" s="210"/>
      <c r="E1643" s="211"/>
      <c r="F1643" s="211"/>
      <c r="G1643" s="212"/>
      <c r="H1643" s="212"/>
      <c r="I1643" s="204"/>
      <c r="J1643" s="204"/>
      <c r="K1643" s="204"/>
      <c r="L1643" s="204"/>
      <c r="M1643" s="204"/>
      <c r="N1643" s="204"/>
      <c r="O1643" s="204"/>
      <c r="P1643" s="204"/>
      <c r="Q1643" s="204"/>
      <c r="R1643" s="204"/>
      <c r="S1643" s="204"/>
      <c r="T1643" s="204"/>
      <c r="U1643" s="204"/>
      <c r="V1643" s="204"/>
      <c r="W1643" s="204"/>
      <c r="X1643" s="204"/>
      <c r="Y1643" s="204"/>
      <c r="Z1643" s="204"/>
      <c r="AA1643" s="204"/>
      <c r="AB1643" s="204"/>
      <c r="AC1643" s="204"/>
      <c r="AD1643" s="204"/>
      <c r="AE1643" s="204"/>
      <c r="AF1643" s="204"/>
      <c r="AG1643" s="204"/>
      <c r="AH1643" s="204"/>
      <c r="AI1643" s="209"/>
      <c r="AJ1643" s="209"/>
      <c r="AK1643" s="204"/>
      <c r="AL1643" s="204"/>
      <c r="AM1643" s="204"/>
    </row>
    <row r="1644">
      <c r="A1644" s="204"/>
      <c r="B1644" s="209"/>
      <c r="C1644" s="204"/>
      <c r="D1644" s="210"/>
      <c r="E1644" s="211"/>
      <c r="F1644" s="211"/>
      <c r="G1644" s="212"/>
      <c r="H1644" s="212"/>
      <c r="I1644" s="204"/>
      <c r="J1644" s="204"/>
      <c r="K1644" s="204"/>
      <c r="L1644" s="204"/>
      <c r="M1644" s="204"/>
      <c r="N1644" s="204"/>
      <c r="O1644" s="204"/>
      <c r="P1644" s="204"/>
      <c r="Q1644" s="204"/>
      <c r="R1644" s="204"/>
      <c r="S1644" s="204"/>
      <c r="T1644" s="204"/>
      <c r="U1644" s="204"/>
      <c r="V1644" s="204"/>
      <c r="W1644" s="204"/>
      <c r="X1644" s="204"/>
      <c r="Y1644" s="204"/>
      <c r="Z1644" s="204"/>
      <c r="AA1644" s="204"/>
      <c r="AB1644" s="204"/>
      <c r="AC1644" s="204"/>
      <c r="AD1644" s="204"/>
      <c r="AE1644" s="204"/>
      <c r="AF1644" s="204"/>
      <c r="AG1644" s="204"/>
      <c r="AH1644" s="204"/>
      <c r="AI1644" s="209"/>
      <c r="AJ1644" s="209"/>
      <c r="AK1644" s="204"/>
      <c r="AL1644" s="204"/>
      <c r="AM1644" s="204"/>
    </row>
    <row r="1645">
      <c r="A1645" s="204"/>
      <c r="B1645" s="209"/>
      <c r="C1645" s="204"/>
      <c r="D1645" s="210"/>
      <c r="E1645" s="211"/>
      <c r="F1645" s="211"/>
      <c r="G1645" s="212"/>
      <c r="H1645" s="212"/>
      <c r="I1645" s="204"/>
      <c r="J1645" s="204"/>
      <c r="K1645" s="204"/>
      <c r="L1645" s="204"/>
      <c r="M1645" s="204"/>
      <c r="N1645" s="204"/>
      <c r="O1645" s="204"/>
      <c r="P1645" s="204"/>
      <c r="Q1645" s="204"/>
      <c r="R1645" s="204"/>
      <c r="S1645" s="204"/>
      <c r="T1645" s="204"/>
      <c r="U1645" s="204"/>
      <c r="V1645" s="204"/>
      <c r="W1645" s="204"/>
      <c r="X1645" s="204"/>
      <c r="Y1645" s="204"/>
      <c r="Z1645" s="204"/>
      <c r="AA1645" s="204"/>
      <c r="AB1645" s="204"/>
      <c r="AC1645" s="204"/>
      <c r="AD1645" s="204"/>
      <c r="AE1645" s="204"/>
      <c r="AF1645" s="204"/>
      <c r="AG1645" s="204"/>
      <c r="AH1645" s="204"/>
      <c r="AI1645" s="209"/>
      <c r="AJ1645" s="209"/>
      <c r="AK1645" s="204"/>
      <c r="AL1645" s="204"/>
      <c r="AM1645" s="204"/>
    </row>
    <row r="1646">
      <c r="A1646" s="204"/>
      <c r="B1646" s="209"/>
      <c r="C1646" s="204"/>
      <c r="D1646" s="210"/>
      <c r="E1646" s="211"/>
      <c r="F1646" s="211"/>
      <c r="G1646" s="212"/>
      <c r="H1646" s="212"/>
      <c r="I1646" s="204"/>
      <c r="J1646" s="204"/>
      <c r="K1646" s="204"/>
      <c r="L1646" s="204"/>
      <c r="M1646" s="204"/>
      <c r="N1646" s="204"/>
      <c r="O1646" s="204"/>
      <c r="P1646" s="204"/>
      <c r="Q1646" s="204"/>
      <c r="R1646" s="204"/>
      <c r="S1646" s="204"/>
      <c r="T1646" s="204"/>
      <c r="U1646" s="204"/>
      <c r="V1646" s="204"/>
      <c r="W1646" s="204"/>
      <c r="X1646" s="204"/>
      <c r="Y1646" s="204"/>
      <c r="Z1646" s="204"/>
      <c r="AA1646" s="204"/>
      <c r="AB1646" s="204"/>
      <c r="AC1646" s="204"/>
      <c r="AD1646" s="204"/>
      <c r="AE1646" s="204"/>
      <c r="AF1646" s="204"/>
      <c r="AG1646" s="204"/>
      <c r="AH1646" s="204"/>
      <c r="AI1646" s="209"/>
      <c r="AJ1646" s="209"/>
      <c r="AK1646" s="204"/>
      <c r="AL1646" s="204"/>
      <c r="AM1646" s="204"/>
    </row>
    <row r="1647">
      <c r="A1647" s="204"/>
      <c r="B1647" s="209"/>
      <c r="C1647" s="204"/>
      <c r="D1647" s="210"/>
      <c r="E1647" s="211"/>
      <c r="F1647" s="211"/>
      <c r="G1647" s="212"/>
      <c r="H1647" s="212"/>
      <c r="I1647" s="204"/>
      <c r="J1647" s="204"/>
      <c r="K1647" s="204"/>
      <c r="L1647" s="204"/>
      <c r="M1647" s="204"/>
      <c r="N1647" s="204"/>
      <c r="O1647" s="204"/>
      <c r="P1647" s="204"/>
      <c r="Q1647" s="204"/>
      <c r="R1647" s="204"/>
      <c r="S1647" s="204"/>
      <c r="T1647" s="204"/>
      <c r="U1647" s="204"/>
      <c r="V1647" s="204"/>
      <c r="W1647" s="204"/>
      <c r="X1647" s="204"/>
      <c r="Y1647" s="204"/>
      <c r="Z1647" s="204"/>
      <c r="AA1647" s="204"/>
      <c r="AB1647" s="204"/>
      <c r="AC1647" s="204"/>
      <c r="AD1647" s="204"/>
      <c r="AE1647" s="204"/>
      <c r="AF1647" s="204"/>
      <c r="AG1647" s="204"/>
      <c r="AH1647" s="204"/>
      <c r="AI1647" s="209"/>
      <c r="AJ1647" s="209"/>
      <c r="AK1647" s="204"/>
      <c r="AL1647" s="204"/>
      <c r="AM1647" s="204"/>
    </row>
    <row r="1648">
      <c r="A1648" s="204"/>
      <c r="B1648" s="209"/>
      <c r="C1648" s="204"/>
      <c r="D1648" s="210"/>
      <c r="E1648" s="211"/>
      <c r="F1648" s="211"/>
      <c r="G1648" s="212"/>
      <c r="H1648" s="212"/>
      <c r="I1648" s="204"/>
      <c r="J1648" s="204"/>
      <c r="K1648" s="204"/>
      <c r="L1648" s="204"/>
      <c r="M1648" s="204"/>
      <c r="N1648" s="204"/>
      <c r="O1648" s="204"/>
      <c r="P1648" s="204"/>
      <c r="Q1648" s="204"/>
      <c r="R1648" s="204"/>
      <c r="S1648" s="204"/>
      <c r="T1648" s="204"/>
      <c r="U1648" s="204"/>
      <c r="V1648" s="204"/>
      <c r="W1648" s="204"/>
      <c r="X1648" s="204"/>
      <c r="Y1648" s="204"/>
      <c r="Z1648" s="204"/>
      <c r="AA1648" s="204"/>
      <c r="AB1648" s="204"/>
      <c r="AC1648" s="204"/>
      <c r="AD1648" s="204"/>
      <c r="AE1648" s="204"/>
      <c r="AF1648" s="204"/>
      <c r="AG1648" s="204"/>
      <c r="AH1648" s="204"/>
      <c r="AI1648" s="209"/>
      <c r="AJ1648" s="209"/>
      <c r="AK1648" s="204"/>
      <c r="AL1648" s="204"/>
      <c r="AM1648" s="204"/>
    </row>
    <row r="1649">
      <c r="A1649" s="204"/>
      <c r="B1649" s="209"/>
      <c r="C1649" s="204"/>
      <c r="D1649" s="210"/>
      <c r="E1649" s="211"/>
      <c r="F1649" s="211"/>
      <c r="G1649" s="212"/>
      <c r="H1649" s="212"/>
      <c r="I1649" s="204"/>
      <c r="J1649" s="204"/>
      <c r="K1649" s="204"/>
      <c r="L1649" s="204"/>
      <c r="M1649" s="204"/>
      <c r="N1649" s="204"/>
      <c r="O1649" s="204"/>
      <c r="P1649" s="204"/>
      <c r="Q1649" s="204"/>
      <c r="R1649" s="204"/>
      <c r="S1649" s="204"/>
      <c r="T1649" s="204"/>
      <c r="U1649" s="204"/>
      <c r="V1649" s="204"/>
      <c r="W1649" s="204"/>
      <c r="X1649" s="204"/>
      <c r="Y1649" s="204"/>
      <c r="Z1649" s="204"/>
      <c r="AA1649" s="204"/>
      <c r="AB1649" s="204"/>
      <c r="AC1649" s="204"/>
      <c r="AD1649" s="204"/>
      <c r="AE1649" s="204"/>
      <c r="AF1649" s="204"/>
      <c r="AG1649" s="204"/>
      <c r="AH1649" s="204"/>
      <c r="AI1649" s="209"/>
      <c r="AJ1649" s="209"/>
      <c r="AK1649" s="204"/>
      <c r="AL1649" s="204"/>
      <c r="AM1649" s="204"/>
    </row>
    <row r="1650">
      <c r="A1650" s="204"/>
      <c r="B1650" s="209"/>
      <c r="C1650" s="204"/>
      <c r="D1650" s="210"/>
      <c r="E1650" s="211"/>
      <c r="F1650" s="211"/>
      <c r="G1650" s="212"/>
      <c r="H1650" s="212"/>
      <c r="I1650" s="204"/>
      <c r="J1650" s="204"/>
      <c r="K1650" s="204"/>
      <c r="L1650" s="204"/>
      <c r="M1650" s="204"/>
      <c r="N1650" s="204"/>
      <c r="O1650" s="204"/>
      <c r="P1650" s="204"/>
      <c r="Q1650" s="204"/>
      <c r="R1650" s="204"/>
      <c r="S1650" s="204"/>
      <c r="T1650" s="204"/>
      <c r="U1650" s="204"/>
      <c r="V1650" s="204"/>
      <c r="W1650" s="204"/>
      <c r="X1650" s="204"/>
      <c r="Y1650" s="204"/>
      <c r="Z1650" s="204"/>
      <c r="AA1650" s="204"/>
      <c r="AB1650" s="204"/>
      <c r="AC1650" s="204"/>
      <c r="AD1650" s="204"/>
      <c r="AE1650" s="204"/>
      <c r="AF1650" s="204"/>
      <c r="AG1650" s="204"/>
      <c r="AH1650" s="204"/>
      <c r="AI1650" s="209"/>
      <c r="AJ1650" s="209"/>
      <c r="AK1650" s="204"/>
      <c r="AL1650" s="204"/>
      <c r="AM1650" s="204"/>
    </row>
    <row r="1651">
      <c r="A1651" s="204"/>
      <c r="B1651" s="209"/>
      <c r="C1651" s="204"/>
      <c r="D1651" s="210"/>
      <c r="E1651" s="211"/>
      <c r="F1651" s="211"/>
      <c r="G1651" s="212"/>
      <c r="H1651" s="212"/>
      <c r="I1651" s="204"/>
      <c r="J1651" s="204"/>
      <c r="K1651" s="204"/>
      <c r="L1651" s="204"/>
      <c r="M1651" s="204"/>
      <c r="N1651" s="204"/>
      <c r="O1651" s="204"/>
      <c r="P1651" s="204"/>
      <c r="Q1651" s="204"/>
      <c r="R1651" s="204"/>
      <c r="S1651" s="204"/>
      <c r="T1651" s="204"/>
      <c r="U1651" s="204"/>
      <c r="V1651" s="204"/>
      <c r="W1651" s="204"/>
      <c r="X1651" s="204"/>
      <c r="Y1651" s="204"/>
      <c r="Z1651" s="204"/>
      <c r="AA1651" s="204"/>
      <c r="AB1651" s="204"/>
      <c r="AC1651" s="204"/>
      <c r="AD1651" s="204"/>
      <c r="AE1651" s="204"/>
      <c r="AF1651" s="204"/>
      <c r="AG1651" s="204"/>
      <c r="AH1651" s="204"/>
      <c r="AI1651" s="209"/>
      <c r="AJ1651" s="209"/>
      <c r="AK1651" s="204"/>
      <c r="AL1651" s="204"/>
      <c r="AM1651" s="204"/>
    </row>
    <row r="1652">
      <c r="A1652" s="204"/>
      <c r="B1652" s="209"/>
      <c r="C1652" s="204"/>
      <c r="D1652" s="210"/>
      <c r="E1652" s="211"/>
      <c r="F1652" s="211"/>
      <c r="G1652" s="212"/>
      <c r="H1652" s="212"/>
      <c r="I1652" s="204"/>
      <c r="J1652" s="204"/>
      <c r="K1652" s="204"/>
      <c r="L1652" s="204"/>
      <c r="M1652" s="204"/>
      <c r="N1652" s="204"/>
      <c r="O1652" s="204"/>
      <c r="P1652" s="204"/>
      <c r="Q1652" s="204"/>
      <c r="R1652" s="204"/>
      <c r="S1652" s="204"/>
      <c r="T1652" s="204"/>
      <c r="U1652" s="204"/>
      <c r="V1652" s="204"/>
      <c r="W1652" s="204"/>
      <c r="X1652" s="204"/>
      <c r="Y1652" s="204"/>
      <c r="Z1652" s="204"/>
      <c r="AA1652" s="204"/>
      <c r="AB1652" s="204"/>
      <c r="AC1652" s="204"/>
      <c r="AD1652" s="204"/>
      <c r="AE1652" s="204"/>
      <c r="AF1652" s="204"/>
      <c r="AG1652" s="204"/>
      <c r="AH1652" s="204"/>
      <c r="AI1652" s="209"/>
      <c r="AJ1652" s="209"/>
      <c r="AK1652" s="204"/>
      <c r="AL1652" s="204"/>
      <c r="AM1652" s="204"/>
    </row>
    <row r="1653">
      <c r="A1653" s="204"/>
      <c r="B1653" s="209"/>
      <c r="C1653" s="204"/>
      <c r="D1653" s="210"/>
      <c r="E1653" s="211"/>
      <c r="F1653" s="211"/>
      <c r="G1653" s="212"/>
      <c r="H1653" s="212"/>
      <c r="I1653" s="204"/>
      <c r="J1653" s="204"/>
      <c r="K1653" s="204"/>
      <c r="L1653" s="204"/>
      <c r="M1653" s="204"/>
      <c r="N1653" s="204"/>
      <c r="O1653" s="204"/>
      <c r="P1653" s="204"/>
      <c r="Q1653" s="204"/>
      <c r="R1653" s="204"/>
      <c r="S1653" s="204"/>
      <c r="T1653" s="204"/>
      <c r="U1653" s="204"/>
      <c r="V1653" s="204"/>
      <c r="W1653" s="204"/>
      <c r="X1653" s="204"/>
      <c r="Y1653" s="204"/>
      <c r="Z1653" s="204"/>
      <c r="AA1653" s="204"/>
      <c r="AB1653" s="204"/>
      <c r="AC1653" s="204"/>
      <c r="AD1653" s="204"/>
      <c r="AE1653" s="204"/>
      <c r="AF1653" s="204"/>
      <c r="AG1653" s="204"/>
      <c r="AH1653" s="204"/>
      <c r="AI1653" s="209"/>
      <c r="AJ1653" s="209"/>
      <c r="AK1653" s="204"/>
      <c r="AL1653" s="204"/>
      <c r="AM1653" s="204"/>
    </row>
    <row r="1654">
      <c r="A1654" s="204"/>
      <c r="B1654" s="209"/>
      <c r="C1654" s="204"/>
      <c r="D1654" s="210"/>
      <c r="E1654" s="211"/>
      <c r="F1654" s="211"/>
      <c r="G1654" s="212"/>
      <c r="H1654" s="212"/>
      <c r="I1654" s="204"/>
      <c r="J1654" s="204"/>
      <c r="K1654" s="204"/>
      <c r="L1654" s="204"/>
      <c r="M1654" s="204"/>
      <c r="N1654" s="204"/>
      <c r="O1654" s="204"/>
      <c r="P1654" s="204"/>
      <c r="Q1654" s="204"/>
      <c r="R1654" s="204"/>
      <c r="S1654" s="204"/>
      <c r="T1654" s="204"/>
      <c r="U1654" s="204"/>
      <c r="V1654" s="204"/>
      <c r="W1654" s="204"/>
      <c r="X1654" s="204"/>
      <c r="Y1654" s="204"/>
      <c r="Z1654" s="204"/>
      <c r="AA1654" s="204"/>
      <c r="AB1654" s="204"/>
      <c r="AC1654" s="204"/>
      <c r="AD1654" s="204"/>
      <c r="AE1654" s="204"/>
      <c r="AF1654" s="204"/>
      <c r="AG1654" s="204"/>
      <c r="AH1654" s="204"/>
      <c r="AI1654" s="209"/>
      <c r="AJ1654" s="209"/>
      <c r="AK1654" s="204"/>
      <c r="AL1654" s="204"/>
      <c r="AM1654" s="204"/>
    </row>
    <row r="1655">
      <c r="A1655" s="204"/>
      <c r="B1655" s="209"/>
      <c r="C1655" s="204"/>
      <c r="D1655" s="210"/>
      <c r="E1655" s="211"/>
      <c r="F1655" s="211"/>
      <c r="G1655" s="212"/>
      <c r="H1655" s="212"/>
      <c r="I1655" s="204"/>
      <c r="J1655" s="204"/>
      <c r="K1655" s="204"/>
      <c r="L1655" s="204"/>
      <c r="M1655" s="204"/>
      <c r="N1655" s="204"/>
      <c r="O1655" s="204"/>
      <c r="P1655" s="204"/>
      <c r="Q1655" s="204"/>
      <c r="R1655" s="204"/>
      <c r="S1655" s="204"/>
      <c r="T1655" s="204"/>
      <c r="U1655" s="204"/>
      <c r="V1655" s="204"/>
      <c r="W1655" s="204"/>
      <c r="X1655" s="204"/>
      <c r="Y1655" s="204"/>
      <c r="Z1655" s="204"/>
      <c r="AA1655" s="204"/>
      <c r="AB1655" s="204"/>
      <c r="AC1655" s="204"/>
      <c r="AD1655" s="204"/>
      <c r="AE1655" s="204"/>
      <c r="AF1655" s="204"/>
      <c r="AG1655" s="204"/>
      <c r="AH1655" s="204"/>
      <c r="AI1655" s="209"/>
      <c r="AJ1655" s="209"/>
      <c r="AK1655" s="204"/>
      <c r="AL1655" s="204"/>
      <c r="AM1655" s="204"/>
    </row>
    <row r="1656">
      <c r="A1656" s="204"/>
      <c r="B1656" s="209"/>
      <c r="C1656" s="204"/>
      <c r="D1656" s="210"/>
      <c r="E1656" s="211"/>
      <c r="F1656" s="211"/>
      <c r="G1656" s="212"/>
      <c r="H1656" s="212"/>
      <c r="I1656" s="204"/>
      <c r="J1656" s="204"/>
      <c r="K1656" s="204"/>
      <c r="L1656" s="204"/>
      <c r="M1656" s="204"/>
      <c r="N1656" s="204"/>
      <c r="O1656" s="204"/>
      <c r="P1656" s="204"/>
      <c r="Q1656" s="204"/>
      <c r="R1656" s="204"/>
      <c r="S1656" s="204"/>
      <c r="T1656" s="204"/>
      <c r="U1656" s="204"/>
      <c r="V1656" s="204"/>
      <c r="W1656" s="204"/>
      <c r="X1656" s="204"/>
      <c r="Y1656" s="204"/>
      <c r="Z1656" s="204"/>
      <c r="AA1656" s="204"/>
      <c r="AB1656" s="204"/>
      <c r="AC1656" s="204"/>
      <c r="AD1656" s="204"/>
      <c r="AE1656" s="204"/>
      <c r="AF1656" s="204"/>
      <c r="AG1656" s="204"/>
      <c r="AH1656" s="204"/>
      <c r="AI1656" s="209"/>
      <c r="AJ1656" s="209"/>
      <c r="AK1656" s="204"/>
      <c r="AL1656" s="204"/>
      <c r="AM1656" s="204"/>
    </row>
    <row r="1657">
      <c r="A1657" s="204"/>
      <c r="B1657" s="209"/>
      <c r="C1657" s="204"/>
      <c r="D1657" s="210"/>
      <c r="E1657" s="211"/>
      <c r="F1657" s="211"/>
      <c r="G1657" s="212"/>
      <c r="H1657" s="212"/>
      <c r="I1657" s="204"/>
      <c r="J1657" s="204"/>
      <c r="K1657" s="204"/>
      <c r="L1657" s="204"/>
      <c r="M1657" s="204"/>
      <c r="N1657" s="204"/>
      <c r="O1657" s="204"/>
      <c r="P1657" s="204"/>
      <c r="Q1657" s="204"/>
      <c r="R1657" s="204"/>
      <c r="S1657" s="204"/>
      <c r="T1657" s="204"/>
      <c r="U1657" s="204"/>
      <c r="V1657" s="204"/>
      <c r="W1657" s="204"/>
      <c r="X1657" s="204"/>
      <c r="Y1657" s="204"/>
      <c r="Z1657" s="204"/>
      <c r="AA1657" s="204"/>
      <c r="AB1657" s="204"/>
      <c r="AC1657" s="204"/>
      <c r="AD1657" s="204"/>
      <c r="AE1657" s="204"/>
      <c r="AF1657" s="204"/>
      <c r="AG1657" s="204"/>
      <c r="AH1657" s="204"/>
      <c r="AI1657" s="209"/>
      <c r="AJ1657" s="209"/>
      <c r="AK1657" s="204"/>
      <c r="AL1657" s="204"/>
      <c r="AM1657" s="204"/>
    </row>
    <row r="1658">
      <c r="A1658" s="204"/>
      <c r="B1658" s="209"/>
      <c r="C1658" s="204"/>
      <c r="D1658" s="210"/>
      <c r="E1658" s="211"/>
      <c r="F1658" s="211"/>
      <c r="G1658" s="212"/>
      <c r="H1658" s="212"/>
      <c r="I1658" s="204"/>
      <c r="J1658" s="204"/>
      <c r="K1658" s="204"/>
      <c r="L1658" s="204"/>
      <c r="M1658" s="204"/>
      <c r="N1658" s="204"/>
      <c r="O1658" s="204"/>
      <c r="P1658" s="204"/>
      <c r="Q1658" s="204"/>
      <c r="R1658" s="204"/>
      <c r="S1658" s="204"/>
      <c r="T1658" s="204"/>
      <c r="U1658" s="204"/>
      <c r="V1658" s="204"/>
      <c r="W1658" s="204"/>
      <c r="X1658" s="204"/>
      <c r="Y1658" s="204"/>
      <c r="Z1658" s="204"/>
      <c r="AA1658" s="204"/>
      <c r="AB1658" s="204"/>
      <c r="AC1658" s="204"/>
      <c r="AD1658" s="204"/>
      <c r="AE1658" s="204"/>
      <c r="AF1658" s="204"/>
      <c r="AG1658" s="204"/>
      <c r="AH1658" s="204"/>
      <c r="AI1658" s="209"/>
      <c r="AJ1658" s="209"/>
      <c r="AK1658" s="204"/>
      <c r="AL1658" s="204"/>
      <c r="AM1658" s="204"/>
    </row>
    <row r="1659">
      <c r="A1659" s="204"/>
      <c r="B1659" s="209"/>
      <c r="C1659" s="204"/>
      <c r="D1659" s="210"/>
      <c r="E1659" s="211"/>
      <c r="F1659" s="211"/>
      <c r="G1659" s="212"/>
      <c r="H1659" s="212"/>
      <c r="I1659" s="204"/>
      <c r="J1659" s="204"/>
      <c r="K1659" s="204"/>
      <c r="L1659" s="204"/>
      <c r="M1659" s="204"/>
      <c r="N1659" s="204"/>
      <c r="O1659" s="204"/>
      <c r="P1659" s="204"/>
      <c r="Q1659" s="204"/>
      <c r="R1659" s="204"/>
      <c r="S1659" s="204"/>
      <c r="T1659" s="204"/>
      <c r="U1659" s="204"/>
      <c r="V1659" s="204"/>
      <c r="W1659" s="204"/>
      <c r="X1659" s="204"/>
      <c r="Y1659" s="204"/>
      <c r="Z1659" s="204"/>
      <c r="AA1659" s="204"/>
      <c r="AB1659" s="204"/>
      <c r="AC1659" s="204"/>
      <c r="AD1659" s="204"/>
      <c r="AE1659" s="204"/>
      <c r="AF1659" s="204"/>
      <c r="AG1659" s="204"/>
      <c r="AH1659" s="204"/>
      <c r="AI1659" s="209"/>
      <c r="AJ1659" s="209"/>
      <c r="AK1659" s="204"/>
      <c r="AL1659" s="204"/>
      <c r="AM1659" s="204"/>
    </row>
    <row r="1660">
      <c r="A1660" s="204"/>
      <c r="B1660" s="209"/>
      <c r="C1660" s="204"/>
      <c r="D1660" s="210"/>
      <c r="E1660" s="211"/>
      <c r="F1660" s="211"/>
      <c r="G1660" s="212"/>
      <c r="H1660" s="212"/>
      <c r="I1660" s="204"/>
      <c r="J1660" s="204"/>
      <c r="K1660" s="204"/>
      <c r="L1660" s="204"/>
      <c r="M1660" s="204"/>
      <c r="N1660" s="204"/>
      <c r="O1660" s="204"/>
      <c r="P1660" s="204"/>
      <c r="Q1660" s="204"/>
      <c r="R1660" s="204"/>
      <c r="S1660" s="204"/>
      <c r="T1660" s="204"/>
      <c r="U1660" s="204"/>
      <c r="V1660" s="204"/>
      <c r="W1660" s="204"/>
      <c r="X1660" s="204"/>
      <c r="Y1660" s="204"/>
      <c r="Z1660" s="204"/>
      <c r="AA1660" s="204"/>
      <c r="AB1660" s="204"/>
      <c r="AC1660" s="204"/>
      <c r="AD1660" s="204"/>
      <c r="AE1660" s="204"/>
      <c r="AF1660" s="204"/>
      <c r="AG1660" s="204"/>
      <c r="AH1660" s="204"/>
      <c r="AI1660" s="209"/>
      <c r="AJ1660" s="209"/>
      <c r="AK1660" s="204"/>
      <c r="AL1660" s="204"/>
      <c r="AM1660" s="204"/>
    </row>
    <row r="1661">
      <c r="A1661" s="204"/>
      <c r="B1661" s="209"/>
      <c r="C1661" s="204"/>
      <c r="D1661" s="210"/>
      <c r="E1661" s="211"/>
      <c r="F1661" s="211"/>
      <c r="G1661" s="212"/>
      <c r="H1661" s="212"/>
      <c r="I1661" s="204"/>
      <c r="J1661" s="204"/>
      <c r="K1661" s="204"/>
      <c r="L1661" s="204"/>
      <c r="M1661" s="204"/>
      <c r="N1661" s="204"/>
      <c r="O1661" s="204"/>
      <c r="P1661" s="204"/>
      <c r="Q1661" s="204"/>
      <c r="R1661" s="204"/>
      <c r="S1661" s="204"/>
      <c r="T1661" s="204"/>
      <c r="U1661" s="204"/>
      <c r="V1661" s="204"/>
      <c r="W1661" s="204"/>
      <c r="X1661" s="204"/>
      <c r="Y1661" s="204"/>
      <c r="Z1661" s="204"/>
      <c r="AA1661" s="204"/>
      <c r="AB1661" s="204"/>
      <c r="AC1661" s="204"/>
      <c r="AD1661" s="204"/>
      <c r="AE1661" s="204"/>
      <c r="AF1661" s="204"/>
      <c r="AG1661" s="204"/>
      <c r="AH1661" s="204"/>
      <c r="AI1661" s="209"/>
      <c r="AJ1661" s="209"/>
      <c r="AK1661" s="204"/>
      <c r="AL1661" s="204"/>
      <c r="AM1661" s="204"/>
    </row>
    <row r="1662">
      <c r="A1662" s="204"/>
      <c r="B1662" s="209"/>
      <c r="C1662" s="204"/>
      <c r="D1662" s="210"/>
      <c r="E1662" s="211"/>
      <c r="F1662" s="211"/>
      <c r="G1662" s="212"/>
      <c r="H1662" s="212"/>
      <c r="I1662" s="204"/>
      <c r="J1662" s="204"/>
      <c r="K1662" s="204"/>
      <c r="L1662" s="204"/>
      <c r="M1662" s="204"/>
      <c r="N1662" s="204"/>
      <c r="O1662" s="204"/>
      <c r="P1662" s="204"/>
      <c r="Q1662" s="204"/>
      <c r="R1662" s="204"/>
      <c r="S1662" s="204"/>
      <c r="T1662" s="204"/>
      <c r="U1662" s="204"/>
      <c r="V1662" s="204"/>
      <c r="W1662" s="204"/>
      <c r="X1662" s="204"/>
      <c r="Y1662" s="204"/>
      <c r="Z1662" s="204"/>
      <c r="AA1662" s="204"/>
      <c r="AB1662" s="204"/>
      <c r="AC1662" s="204"/>
      <c r="AD1662" s="204"/>
      <c r="AE1662" s="204"/>
      <c r="AF1662" s="204"/>
      <c r="AG1662" s="204"/>
      <c r="AH1662" s="204"/>
      <c r="AI1662" s="209"/>
      <c r="AJ1662" s="209"/>
      <c r="AK1662" s="204"/>
      <c r="AL1662" s="204"/>
      <c r="AM1662" s="204"/>
    </row>
    <row r="1663">
      <c r="A1663" s="204"/>
      <c r="B1663" s="209"/>
      <c r="C1663" s="204"/>
      <c r="D1663" s="210"/>
      <c r="E1663" s="211"/>
      <c r="F1663" s="211"/>
      <c r="G1663" s="212"/>
      <c r="H1663" s="212"/>
      <c r="I1663" s="204"/>
      <c r="J1663" s="204"/>
      <c r="K1663" s="204"/>
      <c r="L1663" s="204"/>
      <c r="M1663" s="204"/>
      <c r="N1663" s="204"/>
      <c r="O1663" s="204"/>
      <c r="P1663" s="204"/>
      <c r="Q1663" s="204"/>
      <c r="R1663" s="204"/>
      <c r="S1663" s="204"/>
      <c r="T1663" s="204"/>
      <c r="U1663" s="204"/>
      <c r="V1663" s="204"/>
      <c r="W1663" s="204"/>
      <c r="X1663" s="204"/>
      <c r="Y1663" s="204"/>
      <c r="Z1663" s="204"/>
      <c r="AA1663" s="204"/>
      <c r="AB1663" s="204"/>
      <c r="AC1663" s="204"/>
      <c r="AD1663" s="204"/>
      <c r="AE1663" s="204"/>
      <c r="AF1663" s="204"/>
      <c r="AG1663" s="204"/>
      <c r="AH1663" s="204"/>
      <c r="AI1663" s="209"/>
      <c r="AJ1663" s="209"/>
      <c r="AK1663" s="204"/>
      <c r="AL1663" s="204"/>
      <c r="AM1663" s="204"/>
    </row>
    <row r="1664">
      <c r="A1664" s="204"/>
      <c r="B1664" s="209"/>
      <c r="C1664" s="204"/>
      <c r="D1664" s="210"/>
      <c r="E1664" s="211"/>
      <c r="F1664" s="211"/>
      <c r="G1664" s="212"/>
      <c r="H1664" s="212"/>
      <c r="I1664" s="204"/>
      <c r="J1664" s="204"/>
      <c r="K1664" s="204"/>
      <c r="L1664" s="204"/>
      <c r="M1664" s="204"/>
      <c r="N1664" s="204"/>
      <c r="O1664" s="204"/>
      <c r="P1664" s="204"/>
      <c r="Q1664" s="204"/>
      <c r="R1664" s="204"/>
      <c r="S1664" s="204"/>
      <c r="T1664" s="204"/>
      <c r="U1664" s="204"/>
      <c r="V1664" s="204"/>
      <c r="W1664" s="204"/>
      <c r="X1664" s="204"/>
      <c r="Y1664" s="204"/>
      <c r="Z1664" s="204"/>
      <c r="AA1664" s="204"/>
      <c r="AB1664" s="204"/>
      <c r="AC1664" s="204"/>
      <c r="AD1664" s="204"/>
      <c r="AE1664" s="204"/>
      <c r="AF1664" s="204"/>
      <c r="AG1664" s="204"/>
      <c r="AH1664" s="204"/>
      <c r="AI1664" s="209"/>
      <c r="AJ1664" s="209"/>
      <c r="AK1664" s="204"/>
      <c r="AL1664" s="204"/>
      <c r="AM1664" s="204"/>
    </row>
    <row r="1665">
      <c r="A1665" s="204"/>
      <c r="B1665" s="209"/>
      <c r="C1665" s="204"/>
      <c r="D1665" s="210"/>
      <c r="E1665" s="211"/>
      <c r="F1665" s="211"/>
      <c r="G1665" s="212"/>
      <c r="H1665" s="212"/>
      <c r="I1665" s="204"/>
      <c r="J1665" s="204"/>
      <c r="K1665" s="204"/>
      <c r="L1665" s="204"/>
      <c r="M1665" s="204"/>
      <c r="N1665" s="204"/>
      <c r="O1665" s="204"/>
      <c r="P1665" s="204"/>
      <c r="Q1665" s="204"/>
      <c r="R1665" s="204"/>
      <c r="S1665" s="204"/>
      <c r="T1665" s="204"/>
      <c r="U1665" s="204"/>
      <c r="V1665" s="204"/>
      <c r="W1665" s="204"/>
      <c r="X1665" s="204"/>
      <c r="Y1665" s="204"/>
      <c r="Z1665" s="204"/>
      <c r="AA1665" s="204"/>
      <c r="AB1665" s="204"/>
      <c r="AC1665" s="204"/>
      <c r="AD1665" s="204"/>
      <c r="AE1665" s="204"/>
      <c r="AF1665" s="204"/>
      <c r="AG1665" s="204"/>
      <c r="AH1665" s="204"/>
      <c r="AI1665" s="209"/>
      <c r="AJ1665" s="209"/>
      <c r="AK1665" s="204"/>
      <c r="AL1665" s="204"/>
      <c r="AM1665" s="204"/>
    </row>
    <row r="1666">
      <c r="A1666" s="204"/>
      <c r="B1666" s="209"/>
      <c r="C1666" s="204"/>
      <c r="D1666" s="210"/>
      <c r="E1666" s="211"/>
      <c r="F1666" s="211"/>
      <c r="G1666" s="212"/>
      <c r="H1666" s="212"/>
      <c r="I1666" s="204"/>
      <c r="J1666" s="204"/>
      <c r="K1666" s="204"/>
      <c r="L1666" s="204"/>
      <c r="M1666" s="204"/>
      <c r="N1666" s="204"/>
      <c r="O1666" s="204"/>
      <c r="P1666" s="204"/>
      <c r="Q1666" s="204"/>
      <c r="R1666" s="204"/>
      <c r="S1666" s="204"/>
      <c r="T1666" s="204"/>
      <c r="U1666" s="204"/>
      <c r="V1666" s="204"/>
      <c r="W1666" s="204"/>
      <c r="X1666" s="204"/>
      <c r="Y1666" s="204"/>
      <c r="Z1666" s="204"/>
      <c r="AA1666" s="204"/>
      <c r="AB1666" s="204"/>
      <c r="AC1666" s="204"/>
      <c r="AD1666" s="204"/>
      <c r="AE1666" s="204"/>
      <c r="AF1666" s="204"/>
      <c r="AG1666" s="204"/>
      <c r="AH1666" s="204"/>
      <c r="AI1666" s="209"/>
      <c r="AJ1666" s="209"/>
      <c r="AK1666" s="204"/>
      <c r="AL1666" s="204"/>
      <c r="AM1666" s="204"/>
    </row>
    <row r="1667">
      <c r="A1667" s="204"/>
      <c r="B1667" s="209"/>
      <c r="C1667" s="204"/>
      <c r="D1667" s="210"/>
      <c r="E1667" s="211"/>
      <c r="F1667" s="211"/>
      <c r="G1667" s="212"/>
      <c r="H1667" s="212"/>
      <c r="I1667" s="204"/>
      <c r="J1667" s="204"/>
      <c r="K1667" s="204"/>
      <c r="L1667" s="204"/>
      <c r="M1667" s="204"/>
      <c r="N1667" s="204"/>
      <c r="O1667" s="204"/>
      <c r="P1667" s="204"/>
      <c r="Q1667" s="204"/>
      <c r="R1667" s="204"/>
      <c r="S1667" s="204"/>
      <c r="T1667" s="204"/>
      <c r="U1667" s="204"/>
      <c r="V1667" s="204"/>
      <c r="W1667" s="204"/>
      <c r="X1667" s="204"/>
      <c r="Y1667" s="204"/>
      <c r="Z1667" s="204"/>
      <c r="AA1667" s="204"/>
      <c r="AB1667" s="204"/>
      <c r="AC1667" s="204"/>
      <c r="AD1667" s="204"/>
      <c r="AE1667" s="204"/>
      <c r="AF1667" s="204"/>
      <c r="AG1667" s="204"/>
      <c r="AH1667" s="204"/>
      <c r="AI1667" s="209"/>
      <c r="AJ1667" s="209"/>
      <c r="AK1667" s="204"/>
      <c r="AL1667" s="204"/>
      <c r="AM1667" s="204"/>
    </row>
    <row r="1668">
      <c r="A1668" s="204"/>
      <c r="B1668" s="209"/>
      <c r="C1668" s="204"/>
      <c r="D1668" s="210"/>
      <c r="E1668" s="211"/>
      <c r="F1668" s="211"/>
      <c r="G1668" s="212"/>
      <c r="H1668" s="212"/>
      <c r="I1668" s="204"/>
      <c r="J1668" s="204"/>
      <c r="K1668" s="204"/>
      <c r="L1668" s="204"/>
      <c r="M1668" s="204"/>
      <c r="N1668" s="204"/>
      <c r="O1668" s="204"/>
      <c r="P1668" s="204"/>
      <c r="Q1668" s="204"/>
      <c r="R1668" s="204"/>
      <c r="S1668" s="204"/>
      <c r="T1668" s="204"/>
      <c r="U1668" s="204"/>
      <c r="V1668" s="204"/>
      <c r="W1668" s="204"/>
      <c r="X1668" s="204"/>
      <c r="Y1668" s="204"/>
      <c r="Z1668" s="204"/>
      <c r="AA1668" s="204"/>
      <c r="AB1668" s="204"/>
      <c r="AC1668" s="204"/>
      <c r="AD1668" s="204"/>
      <c r="AE1668" s="204"/>
      <c r="AF1668" s="204"/>
      <c r="AG1668" s="204"/>
      <c r="AH1668" s="204"/>
      <c r="AI1668" s="209"/>
      <c r="AJ1668" s="209"/>
      <c r="AK1668" s="204"/>
      <c r="AL1668" s="204"/>
      <c r="AM1668" s="204"/>
    </row>
    <row r="1669">
      <c r="A1669" s="204"/>
      <c r="B1669" s="209"/>
      <c r="C1669" s="204"/>
      <c r="D1669" s="210"/>
      <c r="E1669" s="211"/>
      <c r="F1669" s="211"/>
      <c r="G1669" s="212"/>
      <c r="H1669" s="212"/>
      <c r="I1669" s="204"/>
      <c r="J1669" s="204"/>
      <c r="K1669" s="204"/>
      <c r="L1669" s="204"/>
      <c r="M1669" s="204"/>
      <c r="N1669" s="204"/>
      <c r="O1669" s="204"/>
      <c r="P1669" s="204"/>
      <c r="Q1669" s="204"/>
      <c r="R1669" s="204"/>
      <c r="S1669" s="204"/>
      <c r="T1669" s="204"/>
      <c r="U1669" s="204"/>
      <c r="V1669" s="204"/>
      <c r="W1669" s="204"/>
      <c r="X1669" s="204"/>
      <c r="Y1669" s="204"/>
      <c r="Z1669" s="204"/>
      <c r="AA1669" s="204"/>
      <c r="AB1669" s="204"/>
      <c r="AC1669" s="204"/>
      <c r="AD1669" s="204"/>
      <c r="AE1669" s="204"/>
      <c r="AF1669" s="204"/>
      <c r="AG1669" s="204"/>
      <c r="AH1669" s="204"/>
      <c r="AI1669" s="209"/>
      <c r="AJ1669" s="209"/>
      <c r="AK1669" s="204"/>
      <c r="AL1669" s="204"/>
      <c r="AM1669" s="204"/>
    </row>
    <row r="1670">
      <c r="A1670" s="204"/>
      <c r="B1670" s="209"/>
      <c r="C1670" s="204"/>
      <c r="D1670" s="210"/>
      <c r="E1670" s="211"/>
      <c r="F1670" s="211"/>
      <c r="G1670" s="212"/>
      <c r="H1670" s="212"/>
      <c r="I1670" s="204"/>
      <c r="J1670" s="204"/>
      <c r="K1670" s="204"/>
      <c r="L1670" s="204"/>
      <c r="M1670" s="204"/>
      <c r="N1670" s="204"/>
      <c r="O1670" s="204"/>
      <c r="P1670" s="204"/>
      <c r="Q1670" s="204"/>
      <c r="R1670" s="204"/>
      <c r="S1670" s="204"/>
      <c r="T1670" s="204"/>
      <c r="U1670" s="204"/>
      <c r="V1670" s="204"/>
      <c r="W1670" s="204"/>
      <c r="X1670" s="204"/>
      <c r="Y1670" s="204"/>
      <c r="Z1670" s="204"/>
      <c r="AA1670" s="204"/>
      <c r="AB1670" s="204"/>
      <c r="AC1670" s="204"/>
      <c r="AD1670" s="204"/>
      <c r="AE1670" s="204"/>
      <c r="AF1670" s="204"/>
      <c r="AG1670" s="204"/>
      <c r="AH1670" s="204"/>
      <c r="AI1670" s="209"/>
      <c r="AJ1670" s="209"/>
      <c r="AK1670" s="204"/>
      <c r="AL1670" s="204"/>
      <c r="AM1670" s="204"/>
    </row>
    <row r="1671">
      <c r="A1671" s="204"/>
      <c r="B1671" s="209"/>
      <c r="C1671" s="204"/>
      <c r="D1671" s="210"/>
      <c r="E1671" s="211"/>
      <c r="F1671" s="211"/>
      <c r="G1671" s="212"/>
      <c r="H1671" s="212"/>
      <c r="I1671" s="204"/>
      <c r="J1671" s="204"/>
      <c r="K1671" s="204"/>
      <c r="L1671" s="204"/>
      <c r="M1671" s="204"/>
      <c r="N1671" s="204"/>
      <c r="O1671" s="204"/>
      <c r="P1671" s="204"/>
      <c r="Q1671" s="204"/>
      <c r="R1671" s="204"/>
      <c r="S1671" s="204"/>
      <c r="T1671" s="204"/>
      <c r="U1671" s="204"/>
      <c r="V1671" s="204"/>
      <c r="W1671" s="204"/>
      <c r="X1671" s="204"/>
      <c r="Y1671" s="204"/>
      <c r="Z1671" s="204"/>
      <c r="AA1671" s="204"/>
      <c r="AB1671" s="204"/>
      <c r="AC1671" s="204"/>
      <c r="AD1671" s="204"/>
      <c r="AE1671" s="204"/>
      <c r="AF1671" s="204"/>
      <c r="AG1671" s="204"/>
      <c r="AH1671" s="204"/>
      <c r="AI1671" s="209"/>
      <c r="AJ1671" s="209"/>
      <c r="AK1671" s="204"/>
      <c r="AL1671" s="204"/>
      <c r="AM1671" s="204"/>
    </row>
    <row r="1672">
      <c r="A1672" s="204"/>
      <c r="B1672" s="209"/>
      <c r="C1672" s="204"/>
      <c r="D1672" s="210"/>
      <c r="E1672" s="211"/>
      <c r="F1672" s="211"/>
      <c r="G1672" s="212"/>
      <c r="H1672" s="212"/>
      <c r="I1672" s="204"/>
      <c r="J1672" s="204"/>
      <c r="K1672" s="204"/>
      <c r="L1672" s="204"/>
      <c r="M1672" s="204"/>
      <c r="N1672" s="204"/>
      <c r="O1672" s="204"/>
      <c r="P1672" s="204"/>
      <c r="Q1672" s="204"/>
      <c r="R1672" s="204"/>
      <c r="S1672" s="204"/>
      <c r="T1672" s="204"/>
      <c r="U1672" s="204"/>
      <c r="V1672" s="204"/>
      <c r="W1672" s="204"/>
      <c r="X1672" s="204"/>
      <c r="Y1672" s="204"/>
      <c r="Z1672" s="204"/>
      <c r="AA1672" s="204"/>
      <c r="AB1672" s="204"/>
      <c r="AC1672" s="204"/>
      <c r="AD1672" s="204"/>
      <c r="AE1672" s="204"/>
      <c r="AF1672" s="204"/>
      <c r="AG1672" s="204"/>
      <c r="AH1672" s="204"/>
      <c r="AI1672" s="209"/>
      <c r="AJ1672" s="209"/>
      <c r="AK1672" s="204"/>
      <c r="AL1672" s="204"/>
      <c r="AM1672" s="204"/>
    </row>
    <row r="1673">
      <c r="A1673" s="204"/>
      <c r="B1673" s="209"/>
      <c r="C1673" s="204"/>
      <c r="D1673" s="210"/>
      <c r="E1673" s="211"/>
      <c r="F1673" s="211"/>
      <c r="G1673" s="212"/>
      <c r="H1673" s="212"/>
      <c r="I1673" s="204"/>
      <c r="J1673" s="204"/>
      <c r="K1673" s="204"/>
      <c r="L1673" s="204"/>
      <c r="M1673" s="204"/>
      <c r="N1673" s="204"/>
      <c r="O1673" s="204"/>
      <c r="P1673" s="204"/>
      <c r="Q1673" s="204"/>
      <c r="R1673" s="204"/>
      <c r="S1673" s="204"/>
      <c r="T1673" s="204"/>
      <c r="U1673" s="204"/>
      <c r="V1673" s="204"/>
      <c r="W1673" s="204"/>
      <c r="X1673" s="204"/>
      <c r="Y1673" s="204"/>
      <c r="Z1673" s="204"/>
      <c r="AA1673" s="204"/>
      <c r="AB1673" s="204"/>
      <c r="AC1673" s="204"/>
      <c r="AD1673" s="204"/>
      <c r="AE1673" s="204"/>
      <c r="AF1673" s="204"/>
      <c r="AG1673" s="204"/>
      <c r="AH1673" s="204"/>
      <c r="AI1673" s="209"/>
      <c r="AJ1673" s="209"/>
      <c r="AK1673" s="204"/>
      <c r="AL1673" s="204"/>
      <c r="AM1673" s="204"/>
    </row>
    <row r="1674">
      <c r="A1674" s="204"/>
      <c r="B1674" s="209"/>
      <c r="C1674" s="204"/>
      <c r="D1674" s="210"/>
      <c r="E1674" s="211"/>
      <c r="F1674" s="211"/>
      <c r="G1674" s="212"/>
      <c r="H1674" s="212"/>
      <c r="I1674" s="204"/>
      <c r="J1674" s="204"/>
      <c r="K1674" s="204"/>
      <c r="L1674" s="204"/>
      <c r="M1674" s="204"/>
      <c r="N1674" s="204"/>
      <c r="O1674" s="204"/>
      <c r="P1674" s="204"/>
      <c r="Q1674" s="204"/>
      <c r="R1674" s="204"/>
      <c r="S1674" s="204"/>
      <c r="T1674" s="204"/>
      <c r="U1674" s="204"/>
      <c r="V1674" s="204"/>
      <c r="W1674" s="204"/>
      <c r="X1674" s="204"/>
      <c r="Y1674" s="204"/>
      <c r="Z1674" s="204"/>
      <c r="AA1674" s="204"/>
      <c r="AB1674" s="204"/>
      <c r="AC1674" s="204"/>
      <c r="AD1674" s="204"/>
      <c r="AE1674" s="204"/>
      <c r="AF1674" s="204"/>
      <c r="AG1674" s="204"/>
      <c r="AH1674" s="204"/>
      <c r="AI1674" s="209"/>
      <c r="AJ1674" s="209"/>
      <c r="AK1674" s="204"/>
      <c r="AL1674" s="204"/>
      <c r="AM1674" s="204"/>
    </row>
    <row r="1675">
      <c r="A1675" s="204"/>
      <c r="B1675" s="209"/>
      <c r="C1675" s="204"/>
      <c r="D1675" s="210"/>
      <c r="E1675" s="211"/>
      <c r="F1675" s="211"/>
      <c r="G1675" s="212"/>
      <c r="H1675" s="212"/>
      <c r="I1675" s="204"/>
      <c r="J1675" s="204"/>
      <c r="K1675" s="204"/>
      <c r="L1675" s="204"/>
      <c r="M1675" s="204"/>
      <c r="N1675" s="204"/>
      <c r="O1675" s="204"/>
      <c r="P1675" s="204"/>
      <c r="Q1675" s="204"/>
      <c r="R1675" s="204"/>
      <c r="S1675" s="204"/>
      <c r="T1675" s="204"/>
      <c r="U1675" s="204"/>
      <c r="V1675" s="204"/>
      <c r="W1675" s="204"/>
      <c r="X1675" s="204"/>
      <c r="Y1675" s="204"/>
      <c r="Z1675" s="204"/>
      <c r="AA1675" s="204"/>
      <c r="AB1675" s="204"/>
      <c r="AC1675" s="204"/>
      <c r="AD1675" s="204"/>
      <c r="AE1675" s="204"/>
      <c r="AF1675" s="204"/>
      <c r="AG1675" s="204"/>
      <c r="AH1675" s="204"/>
      <c r="AI1675" s="209"/>
      <c r="AJ1675" s="209"/>
      <c r="AK1675" s="204"/>
      <c r="AL1675" s="204"/>
      <c r="AM1675" s="204"/>
    </row>
    <row r="1676">
      <c r="A1676" s="204"/>
      <c r="B1676" s="209"/>
      <c r="C1676" s="204"/>
      <c r="D1676" s="210"/>
      <c r="E1676" s="211"/>
      <c r="F1676" s="211"/>
      <c r="G1676" s="212"/>
      <c r="H1676" s="212"/>
      <c r="I1676" s="204"/>
      <c r="J1676" s="204"/>
      <c r="K1676" s="204"/>
      <c r="L1676" s="204"/>
      <c r="M1676" s="204"/>
      <c r="N1676" s="204"/>
      <c r="O1676" s="204"/>
      <c r="P1676" s="204"/>
      <c r="Q1676" s="204"/>
      <c r="R1676" s="204"/>
      <c r="S1676" s="204"/>
      <c r="T1676" s="204"/>
      <c r="U1676" s="204"/>
      <c r="V1676" s="204"/>
      <c r="W1676" s="204"/>
      <c r="X1676" s="204"/>
      <c r="Y1676" s="204"/>
      <c r="Z1676" s="204"/>
      <c r="AA1676" s="204"/>
      <c r="AB1676" s="204"/>
      <c r="AC1676" s="204"/>
      <c r="AD1676" s="204"/>
      <c r="AE1676" s="204"/>
      <c r="AF1676" s="204"/>
      <c r="AG1676" s="204"/>
      <c r="AH1676" s="204"/>
      <c r="AI1676" s="209"/>
      <c r="AJ1676" s="209"/>
      <c r="AK1676" s="204"/>
      <c r="AL1676" s="204"/>
      <c r="AM1676" s="204"/>
    </row>
    <row r="1677">
      <c r="A1677" s="204"/>
      <c r="B1677" s="209"/>
      <c r="C1677" s="204"/>
      <c r="D1677" s="210"/>
      <c r="E1677" s="211"/>
      <c r="F1677" s="211"/>
      <c r="G1677" s="212"/>
      <c r="H1677" s="212"/>
      <c r="I1677" s="204"/>
      <c r="J1677" s="204"/>
      <c r="K1677" s="204"/>
      <c r="L1677" s="204"/>
      <c r="M1677" s="204"/>
      <c r="N1677" s="204"/>
      <c r="O1677" s="204"/>
      <c r="P1677" s="204"/>
      <c r="Q1677" s="204"/>
      <c r="R1677" s="204"/>
      <c r="S1677" s="204"/>
      <c r="T1677" s="204"/>
      <c r="U1677" s="204"/>
      <c r="V1677" s="204"/>
      <c r="W1677" s="204"/>
      <c r="X1677" s="204"/>
      <c r="Y1677" s="204"/>
      <c r="Z1677" s="204"/>
      <c r="AA1677" s="204"/>
      <c r="AB1677" s="204"/>
      <c r="AC1677" s="204"/>
      <c r="AD1677" s="204"/>
      <c r="AE1677" s="204"/>
      <c r="AF1677" s="204"/>
      <c r="AG1677" s="204"/>
      <c r="AH1677" s="204"/>
      <c r="AI1677" s="209"/>
      <c r="AJ1677" s="209"/>
      <c r="AK1677" s="204"/>
      <c r="AL1677" s="204"/>
      <c r="AM1677" s="204"/>
    </row>
    <row r="1678">
      <c r="A1678" s="204"/>
      <c r="B1678" s="209"/>
      <c r="C1678" s="204"/>
      <c r="D1678" s="210"/>
      <c r="E1678" s="211"/>
      <c r="F1678" s="211"/>
      <c r="G1678" s="212"/>
      <c r="H1678" s="212"/>
      <c r="I1678" s="204"/>
      <c r="J1678" s="204"/>
      <c r="K1678" s="204"/>
      <c r="L1678" s="204"/>
      <c r="M1678" s="204"/>
      <c r="N1678" s="204"/>
      <c r="O1678" s="204"/>
      <c r="P1678" s="204"/>
      <c r="Q1678" s="204"/>
      <c r="R1678" s="204"/>
      <c r="S1678" s="204"/>
      <c r="T1678" s="204"/>
      <c r="U1678" s="204"/>
      <c r="V1678" s="204"/>
      <c r="W1678" s="204"/>
      <c r="X1678" s="204"/>
      <c r="Y1678" s="204"/>
      <c r="Z1678" s="204"/>
      <c r="AA1678" s="204"/>
      <c r="AB1678" s="204"/>
      <c r="AC1678" s="204"/>
      <c r="AD1678" s="204"/>
      <c r="AE1678" s="204"/>
      <c r="AF1678" s="204"/>
      <c r="AG1678" s="204"/>
      <c r="AH1678" s="204"/>
      <c r="AI1678" s="209"/>
      <c r="AJ1678" s="209"/>
      <c r="AK1678" s="204"/>
      <c r="AL1678" s="204"/>
      <c r="AM1678" s="204"/>
    </row>
    <row r="1679">
      <c r="A1679" s="204"/>
      <c r="B1679" s="209"/>
      <c r="C1679" s="204"/>
      <c r="D1679" s="210"/>
      <c r="E1679" s="211"/>
      <c r="F1679" s="211"/>
      <c r="G1679" s="212"/>
      <c r="H1679" s="212"/>
      <c r="I1679" s="204"/>
      <c r="J1679" s="204"/>
      <c r="K1679" s="204"/>
      <c r="L1679" s="204"/>
      <c r="M1679" s="204"/>
      <c r="N1679" s="204"/>
      <c r="O1679" s="204"/>
      <c r="P1679" s="204"/>
      <c r="Q1679" s="204"/>
      <c r="R1679" s="204"/>
      <c r="S1679" s="204"/>
      <c r="T1679" s="204"/>
      <c r="U1679" s="204"/>
      <c r="V1679" s="204"/>
      <c r="W1679" s="204"/>
      <c r="X1679" s="204"/>
      <c r="Y1679" s="204"/>
      <c r="Z1679" s="204"/>
      <c r="AA1679" s="204"/>
      <c r="AB1679" s="204"/>
      <c r="AC1679" s="204"/>
      <c r="AD1679" s="204"/>
      <c r="AE1679" s="204"/>
      <c r="AF1679" s="204"/>
      <c r="AG1679" s="204"/>
      <c r="AH1679" s="204"/>
      <c r="AI1679" s="209"/>
      <c r="AJ1679" s="209"/>
      <c r="AK1679" s="204"/>
      <c r="AL1679" s="204"/>
      <c r="AM1679" s="204"/>
    </row>
    <row r="1680">
      <c r="A1680" s="204"/>
      <c r="B1680" s="209"/>
      <c r="C1680" s="204"/>
      <c r="D1680" s="210"/>
      <c r="E1680" s="211"/>
      <c r="F1680" s="211"/>
      <c r="G1680" s="212"/>
      <c r="H1680" s="212"/>
      <c r="I1680" s="204"/>
      <c r="J1680" s="204"/>
      <c r="K1680" s="204"/>
      <c r="L1680" s="204"/>
      <c r="M1680" s="204"/>
      <c r="N1680" s="204"/>
      <c r="O1680" s="204"/>
      <c r="P1680" s="204"/>
      <c r="Q1680" s="204"/>
      <c r="R1680" s="204"/>
      <c r="S1680" s="204"/>
      <c r="T1680" s="204"/>
      <c r="U1680" s="204"/>
      <c r="V1680" s="204"/>
      <c r="W1680" s="204"/>
      <c r="X1680" s="204"/>
      <c r="Y1680" s="204"/>
      <c r="Z1680" s="204"/>
      <c r="AA1680" s="204"/>
      <c r="AB1680" s="204"/>
      <c r="AC1680" s="204"/>
      <c r="AD1680" s="204"/>
      <c r="AE1680" s="204"/>
      <c r="AF1680" s="204"/>
      <c r="AG1680" s="204"/>
      <c r="AH1680" s="204"/>
      <c r="AI1680" s="209"/>
      <c r="AJ1680" s="209"/>
      <c r="AK1680" s="204"/>
      <c r="AL1680" s="204"/>
      <c r="AM1680" s="204"/>
    </row>
    <row r="1681">
      <c r="A1681" s="204"/>
      <c r="B1681" s="209"/>
      <c r="C1681" s="204"/>
      <c r="D1681" s="210"/>
      <c r="E1681" s="211"/>
      <c r="F1681" s="211"/>
      <c r="G1681" s="212"/>
      <c r="H1681" s="212"/>
      <c r="I1681" s="204"/>
      <c r="J1681" s="204"/>
      <c r="K1681" s="204"/>
      <c r="L1681" s="204"/>
      <c r="M1681" s="204"/>
      <c r="N1681" s="204"/>
      <c r="O1681" s="204"/>
      <c r="P1681" s="204"/>
      <c r="Q1681" s="204"/>
      <c r="R1681" s="204"/>
      <c r="S1681" s="204"/>
      <c r="T1681" s="204"/>
      <c r="U1681" s="204"/>
      <c r="V1681" s="204"/>
      <c r="W1681" s="204"/>
      <c r="X1681" s="204"/>
      <c r="Y1681" s="204"/>
      <c r="Z1681" s="204"/>
      <c r="AA1681" s="204"/>
      <c r="AB1681" s="204"/>
      <c r="AC1681" s="204"/>
      <c r="AD1681" s="204"/>
      <c r="AE1681" s="204"/>
      <c r="AF1681" s="204"/>
      <c r="AG1681" s="204"/>
      <c r="AH1681" s="204"/>
      <c r="AI1681" s="209"/>
      <c r="AJ1681" s="209"/>
      <c r="AK1681" s="204"/>
      <c r="AL1681" s="204"/>
      <c r="AM1681" s="204"/>
    </row>
    <row r="1682">
      <c r="A1682" s="204"/>
      <c r="B1682" s="209"/>
      <c r="C1682" s="204"/>
      <c r="D1682" s="210"/>
      <c r="E1682" s="211"/>
      <c r="F1682" s="211"/>
      <c r="G1682" s="212"/>
      <c r="H1682" s="212"/>
      <c r="I1682" s="204"/>
      <c r="J1682" s="204"/>
      <c r="K1682" s="204"/>
      <c r="L1682" s="204"/>
      <c r="M1682" s="204"/>
      <c r="N1682" s="204"/>
      <c r="O1682" s="204"/>
      <c r="P1682" s="204"/>
      <c r="Q1682" s="204"/>
      <c r="R1682" s="204"/>
      <c r="S1682" s="204"/>
      <c r="T1682" s="204"/>
      <c r="U1682" s="204"/>
      <c r="V1682" s="204"/>
      <c r="W1682" s="204"/>
      <c r="X1682" s="204"/>
      <c r="Y1682" s="204"/>
      <c r="Z1682" s="204"/>
      <c r="AA1682" s="204"/>
      <c r="AB1682" s="204"/>
      <c r="AC1682" s="204"/>
      <c r="AD1682" s="204"/>
      <c r="AE1682" s="204"/>
      <c r="AF1682" s="204"/>
      <c r="AG1682" s="204"/>
      <c r="AH1682" s="204"/>
      <c r="AI1682" s="209"/>
      <c r="AJ1682" s="209"/>
      <c r="AK1682" s="204"/>
      <c r="AL1682" s="204"/>
      <c r="AM1682" s="204"/>
    </row>
    <row r="1683">
      <c r="A1683" s="204"/>
      <c r="B1683" s="209"/>
      <c r="C1683" s="204"/>
      <c r="D1683" s="210"/>
      <c r="E1683" s="211"/>
      <c r="F1683" s="211"/>
      <c r="G1683" s="212"/>
      <c r="H1683" s="212"/>
      <c r="I1683" s="204"/>
      <c r="J1683" s="204"/>
      <c r="K1683" s="204"/>
      <c r="L1683" s="204"/>
      <c r="M1683" s="204"/>
      <c r="N1683" s="204"/>
      <c r="O1683" s="204"/>
      <c r="P1683" s="204"/>
      <c r="Q1683" s="204"/>
      <c r="R1683" s="204"/>
      <c r="S1683" s="204"/>
      <c r="T1683" s="204"/>
      <c r="U1683" s="204"/>
      <c r="V1683" s="204"/>
      <c r="W1683" s="204"/>
      <c r="X1683" s="204"/>
      <c r="Y1683" s="204"/>
      <c r="Z1683" s="204"/>
      <c r="AA1683" s="204"/>
      <c r="AB1683" s="204"/>
      <c r="AC1683" s="204"/>
      <c r="AD1683" s="204"/>
      <c r="AE1683" s="204"/>
      <c r="AF1683" s="204"/>
      <c r="AG1683" s="204"/>
      <c r="AH1683" s="204"/>
      <c r="AI1683" s="209"/>
      <c r="AJ1683" s="209"/>
      <c r="AK1683" s="204"/>
      <c r="AL1683" s="204"/>
      <c r="AM1683" s="204"/>
    </row>
    <row r="1684">
      <c r="A1684" s="204"/>
      <c r="B1684" s="209"/>
      <c r="C1684" s="204"/>
      <c r="D1684" s="210"/>
      <c r="E1684" s="211"/>
      <c r="F1684" s="211"/>
      <c r="G1684" s="212"/>
      <c r="H1684" s="212"/>
      <c r="I1684" s="204"/>
      <c r="J1684" s="204"/>
      <c r="K1684" s="204"/>
      <c r="L1684" s="204"/>
      <c r="M1684" s="204"/>
      <c r="N1684" s="204"/>
      <c r="O1684" s="204"/>
      <c r="P1684" s="204"/>
      <c r="Q1684" s="204"/>
      <c r="R1684" s="204"/>
      <c r="S1684" s="204"/>
      <c r="T1684" s="204"/>
      <c r="U1684" s="204"/>
      <c r="V1684" s="204"/>
      <c r="W1684" s="204"/>
      <c r="X1684" s="204"/>
      <c r="Y1684" s="204"/>
      <c r="Z1684" s="204"/>
      <c r="AA1684" s="204"/>
      <c r="AB1684" s="204"/>
      <c r="AC1684" s="204"/>
      <c r="AD1684" s="204"/>
      <c r="AE1684" s="204"/>
      <c r="AF1684" s="204"/>
      <c r="AG1684" s="204"/>
      <c r="AH1684" s="204"/>
      <c r="AI1684" s="209"/>
      <c r="AJ1684" s="209"/>
      <c r="AK1684" s="204"/>
      <c r="AL1684" s="204"/>
      <c r="AM1684" s="204"/>
    </row>
    <row r="1685">
      <c r="A1685" s="204"/>
      <c r="B1685" s="209"/>
      <c r="C1685" s="204"/>
      <c r="D1685" s="210"/>
      <c r="E1685" s="211"/>
      <c r="F1685" s="211"/>
      <c r="G1685" s="212"/>
      <c r="H1685" s="212"/>
      <c r="I1685" s="204"/>
      <c r="J1685" s="204"/>
      <c r="K1685" s="204"/>
      <c r="L1685" s="204"/>
      <c r="M1685" s="204"/>
      <c r="N1685" s="204"/>
      <c r="O1685" s="204"/>
      <c r="P1685" s="204"/>
      <c r="Q1685" s="204"/>
      <c r="R1685" s="204"/>
      <c r="S1685" s="204"/>
      <c r="T1685" s="204"/>
      <c r="U1685" s="204"/>
      <c r="V1685" s="204"/>
      <c r="W1685" s="204"/>
      <c r="X1685" s="204"/>
      <c r="Y1685" s="204"/>
      <c r="Z1685" s="204"/>
      <c r="AA1685" s="204"/>
      <c r="AB1685" s="204"/>
      <c r="AC1685" s="204"/>
      <c r="AD1685" s="204"/>
      <c r="AE1685" s="204"/>
      <c r="AF1685" s="204"/>
      <c r="AG1685" s="204"/>
      <c r="AH1685" s="204"/>
      <c r="AI1685" s="209"/>
      <c r="AJ1685" s="209"/>
      <c r="AK1685" s="204"/>
      <c r="AL1685" s="204"/>
      <c r="AM1685" s="204"/>
    </row>
    <row r="1686">
      <c r="A1686" s="204"/>
      <c r="B1686" s="209"/>
      <c r="C1686" s="204"/>
      <c r="D1686" s="210"/>
      <c r="E1686" s="211"/>
      <c r="F1686" s="211"/>
      <c r="G1686" s="212"/>
      <c r="H1686" s="212"/>
      <c r="I1686" s="204"/>
      <c r="J1686" s="204"/>
      <c r="K1686" s="204"/>
      <c r="L1686" s="204"/>
      <c r="M1686" s="204"/>
      <c r="N1686" s="204"/>
      <c r="O1686" s="204"/>
      <c r="P1686" s="204"/>
      <c r="Q1686" s="204"/>
      <c r="R1686" s="204"/>
      <c r="S1686" s="204"/>
      <c r="T1686" s="204"/>
      <c r="U1686" s="204"/>
      <c r="V1686" s="204"/>
      <c r="W1686" s="204"/>
      <c r="X1686" s="204"/>
      <c r="Y1686" s="204"/>
      <c r="Z1686" s="204"/>
      <c r="AA1686" s="204"/>
      <c r="AB1686" s="204"/>
      <c r="AC1686" s="204"/>
      <c r="AD1686" s="204"/>
      <c r="AE1686" s="204"/>
      <c r="AF1686" s="204"/>
      <c r="AG1686" s="204"/>
      <c r="AH1686" s="204"/>
      <c r="AI1686" s="209"/>
      <c r="AJ1686" s="209"/>
      <c r="AK1686" s="204"/>
      <c r="AL1686" s="204"/>
      <c r="AM1686" s="204"/>
    </row>
    <row r="1687">
      <c r="A1687" s="204"/>
      <c r="B1687" s="209"/>
      <c r="C1687" s="204"/>
      <c r="D1687" s="210"/>
      <c r="E1687" s="211"/>
      <c r="F1687" s="211"/>
      <c r="G1687" s="212"/>
      <c r="H1687" s="212"/>
      <c r="I1687" s="204"/>
      <c r="J1687" s="204"/>
      <c r="K1687" s="204"/>
      <c r="L1687" s="204"/>
      <c r="M1687" s="204"/>
      <c r="N1687" s="204"/>
      <c r="O1687" s="204"/>
      <c r="P1687" s="204"/>
      <c r="Q1687" s="204"/>
      <c r="R1687" s="204"/>
      <c r="S1687" s="204"/>
      <c r="T1687" s="204"/>
      <c r="U1687" s="204"/>
      <c r="V1687" s="204"/>
      <c r="W1687" s="204"/>
      <c r="X1687" s="204"/>
      <c r="Y1687" s="204"/>
      <c r="Z1687" s="204"/>
      <c r="AA1687" s="204"/>
      <c r="AB1687" s="204"/>
      <c r="AC1687" s="204"/>
      <c r="AD1687" s="204"/>
      <c r="AE1687" s="204"/>
      <c r="AF1687" s="204"/>
      <c r="AG1687" s="204"/>
      <c r="AH1687" s="204"/>
      <c r="AI1687" s="209"/>
      <c r="AJ1687" s="209"/>
      <c r="AK1687" s="204"/>
      <c r="AL1687" s="204"/>
      <c r="AM1687" s="204"/>
    </row>
    <row r="1688">
      <c r="A1688" s="204"/>
      <c r="B1688" s="209"/>
      <c r="C1688" s="204"/>
      <c r="D1688" s="210"/>
      <c r="E1688" s="211"/>
      <c r="F1688" s="211"/>
      <c r="G1688" s="212"/>
      <c r="H1688" s="212"/>
      <c r="I1688" s="204"/>
      <c r="J1688" s="204"/>
      <c r="K1688" s="204"/>
      <c r="L1688" s="204"/>
      <c r="M1688" s="204"/>
      <c r="N1688" s="204"/>
      <c r="O1688" s="204"/>
      <c r="P1688" s="204"/>
      <c r="Q1688" s="204"/>
      <c r="R1688" s="204"/>
      <c r="S1688" s="204"/>
      <c r="T1688" s="204"/>
      <c r="U1688" s="204"/>
      <c r="V1688" s="204"/>
      <c r="W1688" s="204"/>
      <c r="X1688" s="204"/>
      <c r="Y1688" s="204"/>
      <c r="Z1688" s="204"/>
      <c r="AA1688" s="204"/>
      <c r="AB1688" s="204"/>
      <c r="AC1688" s="204"/>
      <c r="AD1688" s="204"/>
      <c r="AE1688" s="204"/>
      <c r="AF1688" s="204"/>
      <c r="AG1688" s="204"/>
      <c r="AH1688" s="204"/>
      <c r="AI1688" s="209"/>
      <c r="AJ1688" s="209"/>
      <c r="AK1688" s="204"/>
      <c r="AL1688" s="204"/>
      <c r="AM1688" s="204"/>
    </row>
    <row r="1689">
      <c r="A1689" s="204"/>
      <c r="B1689" s="209"/>
      <c r="C1689" s="204"/>
      <c r="D1689" s="210"/>
      <c r="E1689" s="211"/>
      <c r="F1689" s="211"/>
      <c r="G1689" s="212"/>
      <c r="H1689" s="212"/>
      <c r="I1689" s="204"/>
      <c r="J1689" s="204"/>
      <c r="K1689" s="204"/>
      <c r="L1689" s="204"/>
      <c r="M1689" s="204"/>
      <c r="N1689" s="204"/>
      <c r="O1689" s="204"/>
      <c r="P1689" s="204"/>
      <c r="Q1689" s="204"/>
      <c r="R1689" s="204"/>
      <c r="S1689" s="204"/>
      <c r="T1689" s="204"/>
      <c r="U1689" s="204"/>
      <c r="V1689" s="204"/>
      <c r="W1689" s="204"/>
      <c r="X1689" s="204"/>
      <c r="Y1689" s="204"/>
      <c r="Z1689" s="204"/>
      <c r="AA1689" s="204"/>
      <c r="AB1689" s="204"/>
      <c r="AC1689" s="204"/>
      <c r="AD1689" s="204"/>
      <c r="AE1689" s="204"/>
      <c r="AF1689" s="204"/>
      <c r="AG1689" s="204"/>
      <c r="AH1689" s="204"/>
      <c r="AI1689" s="209"/>
      <c r="AJ1689" s="209"/>
      <c r="AK1689" s="204"/>
      <c r="AL1689" s="204"/>
      <c r="AM1689" s="204"/>
    </row>
    <row r="1690">
      <c r="A1690" s="204"/>
      <c r="B1690" s="209"/>
      <c r="C1690" s="204"/>
      <c r="D1690" s="210"/>
      <c r="E1690" s="211"/>
      <c r="F1690" s="211"/>
      <c r="G1690" s="212"/>
      <c r="H1690" s="212"/>
      <c r="I1690" s="204"/>
      <c r="J1690" s="204"/>
      <c r="K1690" s="204"/>
      <c r="L1690" s="204"/>
      <c r="M1690" s="204"/>
      <c r="N1690" s="204"/>
      <c r="O1690" s="204"/>
      <c r="P1690" s="204"/>
      <c r="Q1690" s="204"/>
      <c r="R1690" s="204"/>
      <c r="S1690" s="204"/>
      <c r="T1690" s="204"/>
      <c r="U1690" s="204"/>
      <c r="V1690" s="204"/>
      <c r="W1690" s="204"/>
      <c r="X1690" s="204"/>
      <c r="Y1690" s="204"/>
      <c r="Z1690" s="204"/>
      <c r="AA1690" s="204"/>
      <c r="AB1690" s="204"/>
      <c r="AC1690" s="204"/>
      <c r="AD1690" s="204"/>
      <c r="AE1690" s="204"/>
      <c r="AF1690" s="204"/>
      <c r="AG1690" s="204"/>
      <c r="AH1690" s="204"/>
      <c r="AI1690" s="209"/>
      <c r="AJ1690" s="209"/>
      <c r="AK1690" s="204"/>
      <c r="AL1690" s="204"/>
      <c r="AM1690" s="204"/>
    </row>
    <row r="1691">
      <c r="A1691" s="204"/>
      <c r="B1691" s="209"/>
      <c r="C1691" s="204"/>
      <c r="D1691" s="210"/>
      <c r="E1691" s="211"/>
      <c r="F1691" s="211"/>
      <c r="G1691" s="212"/>
      <c r="H1691" s="212"/>
      <c r="I1691" s="204"/>
      <c r="J1691" s="204"/>
      <c r="K1691" s="204"/>
      <c r="L1691" s="204"/>
      <c r="M1691" s="204"/>
      <c r="N1691" s="204"/>
      <c r="O1691" s="204"/>
      <c r="P1691" s="204"/>
      <c r="Q1691" s="204"/>
      <c r="R1691" s="204"/>
      <c r="S1691" s="204"/>
      <c r="T1691" s="204"/>
      <c r="U1691" s="204"/>
      <c r="V1691" s="204"/>
      <c r="W1691" s="204"/>
      <c r="X1691" s="204"/>
      <c r="Y1691" s="204"/>
      <c r="Z1691" s="204"/>
      <c r="AA1691" s="204"/>
      <c r="AB1691" s="204"/>
      <c r="AC1691" s="204"/>
      <c r="AD1691" s="204"/>
      <c r="AE1691" s="204"/>
      <c r="AF1691" s="204"/>
      <c r="AG1691" s="204"/>
      <c r="AH1691" s="204"/>
      <c r="AI1691" s="209"/>
      <c r="AJ1691" s="209"/>
      <c r="AK1691" s="204"/>
      <c r="AL1691" s="204"/>
      <c r="AM1691" s="204"/>
    </row>
    <row r="1692">
      <c r="A1692" s="204"/>
      <c r="B1692" s="209"/>
      <c r="C1692" s="204"/>
      <c r="D1692" s="210"/>
      <c r="E1692" s="211"/>
      <c r="F1692" s="211"/>
      <c r="G1692" s="212"/>
      <c r="H1692" s="212"/>
      <c r="I1692" s="204"/>
      <c r="J1692" s="204"/>
      <c r="K1692" s="204"/>
      <c r="L1692" s="204"/>
      <c r="M1692" s="204"/>
      <c r="N1692" s="204"/>
      <c r="O1692" s="204"/>
      <c r="P1692" s="204"/>
      <c r="Q1692" s="204"/>
      <c r="R1692" s="204"/>
      <c r="S1692" s="204"/>
      <c r="T1692" s="204"/>
      <c r="U1692" s="204"/>
      <c r="V1692" s="204"/>
      <c r="W1692" s="204"/>
      <c r="X1692" s="204"/>
      <c r="Y1692" s="204"/>
      <c r="Z1692" s="204"/>
      <c r="AA1692" s="204"/>
      <c r="AB1692" s="204"/>
      <c r="AC1692" s="204"/>
      <c r="AD1692" s="204"/>
      <c r="AE1692" s="204"/>
      <c r="AF1692" s="204"/>
      <c r="AG1692" s="204"/>
      <c r="AH1692" s="204"/>
      <c r="AI1692" s="209"/>
      <c r="AJ1692" s="209"/>
      <c r="AK1692" s="204"/>
      <c r="AL1692" s="204"/>
      <c r="AM1692" s="204"/>
    </row>
    <row r="1693">
      <c r="A1693" s="204"/>
      <c r="B1693" s="209"/>
      <c r="C1693" s="204"/>
      <c r="D1693" s="210"/>
      <c r="E1693" s="211"/>
      <c r="F1693" s="211"/>
      <c r="G1693" s="212"/>
      <c r="H1693" s="212"/>
      <c r="I1693" s="204"/>
      <c r="J1693" s="204"/>
      <c r="K1693" s="204"/>
      <c r="L1693" s="204"/>
      <c r="M1693" s="204"/>
      <c r="N1693" s="204"/>
      <c r="O1693" s="204"/>
      <c r="P1693" s="204"/>
      <c r="Q1693" s="204"/>
      <c r="R1693" s="204"/>
      <c r="S1693" s="204"/>
      <c r="T1693" s="204"/>
      <c r="U1693" s="204"/>
      <c r="V1693" s="204"/>
      <c r="W1693" s="204"/>
      <c r="X1693" s="204"/>
      <c r="Y1693" s="204"/>
      <c r="Z1693" s="204"/>
      <c r="AA1693" s="204"/>
      <c r="AB1693" s="204"/>
      <c r="AC1693" s="204"/>
      <c r="AD1693" s="204"/>
      <c r="AE1693" s="204"/>
      <c r="AF1693" s="204"/>
      <c r="AG1693" s="204"/>
      <c r="AH1693" s="204"/>
      <c r="AI1693" s="209"/>
      <c r="AJ1693" s="209"/>
      <c r="AK1693" s="204"/>
      <c r="AL1693" s="204"/>
      <c r="AM1693" s="204"/>
    </row>
    <row r="1694">
      <c r="A1694" s="204"/>
      <c r="B1694" s="209"/>
      <c r="C1694" s="204"/>
      <c r="D1694" s="210"/>
      <c r="E1694" s="211"/>
      <c r="F1694" s="211"/>
      <c r="G1694" s="212"/>
      <c r="H1694" s="212"/>
      <c r="I1694" s="204"/>
      <c r="J1694" s="204"/>
      <c r="K1694" s="204"/>
      <c r="L1694" s="204"/>
      <c r="M1694" s="204"/>
      <c r="N1694" s="204"/>
      <c r="O1694" s="204"/>
      <c r="P1694" s="204"/>
      <c r="Q1694" s="204"/>
      <c r="R1694" s="204"/>
      <c r="S1694" s="204"/>
      <c r="T1694" s="204"/>
      <c r="U1694" s="204"/>
      <c r="V1694" s="204"/>
      <c r="W1694" s="204"/>
      <c r="X1694" s="204"/>
      <c r="Y1694" s="204"/>
      <c r="Z1694" s="204"/>
      <c r="AA1694" s="204"/>
      <c r="AB1694" s="204"/>
      <c r="AC1694" s="204"/>
      <c r="AD1694" s="204"/>
      <c r="AE1694" s="204"/>
      <c r="AF1694" s="204"/>
      <c r="AG1694" s="204"/>
      <c r="AH1694" s="204"/>
      <c r="AI1694" s="209"/>
      <c r="AJ1694" s="209"/>
      <c r="AK1694" s="204"/>
      <c r="AL1694" s="204"/>
      <c r="AM1694" s="204"/>
    </row>
    <row r="1695">
      <c r="A1695" s="204"/>
      <c r="B1695" s="209"/>
      <c r="C1695" s="204"/>
      <c r="D1695" s="210"/>
      <c r="E1695" s="211"/>
      <c r="F1695" s="211"/>
      <c r="G1695" s="212"/>
      <c r="H1695" s="212"/>
      <c r="I1695" s="204"/>
      <c r="J1695" s="204"/>
      <c r="K1695" s="204"/>
      <c r="L1695" s="204"/>
      <c r="M1695" s="204"/>
      <c r="N1695" s="204"/>
      <c r="O1695" s="204"/>
      <c r="P1695" s="204"/>
      <c r="Q1695" s="204"/>
      <c r="R1695" s="204"/>
      <c r="S1695" s="204"/>
      <c r="T1695" s="204"/>
      <c r="U1695" s="204"/>
      <c r="V1695" s="204"/>
      <c r="W1695" s="204"/>
      <c r="X1695" s="204"/>
      <c r="Y1695" s="204"/>
      <c r="Z1695" s="204"/>
      <c r="AA1695" s="204"/>
      <c r="AB1695" s="204"/>
      <c r="AC1695" s="204"/>
      <c r="AD1695" s="204"/>
      <c r="AE1695" s="204"/>
      <c r="AF1695" s="204"/>
      <c r="AG1695" s="204"/>
      <c r="AH1695" s="204"/>
      <c r="AI1695" s="209"/>
      <c r="AJ1695" s="209"/>
      <c r="AK1695" s="204"/>
      <c r="AL1695" s="204"/>
      <c r="AM1695" s="204"/>
    </row>
    <row r="1696">
      <c r="A1696" s="204"/>
      <c r="B1696" s="209"/>
      <c r="C1696" s="204"/>
      <c r="D1696" s="210"/>
      <c r="E1696" s="211"/>
      <c r="F1696" s="211"/>
      <c r="G1696" s="212"/>
      <c r="H1696" s="212"/>
      <c r="I1696" s="204"/>
      <c r="J1696" s="204"/>
      <c r="K1696" s="204"/>
      <c r="L1696" s="204"/>
      <c r="M1696" s="204"/>
      <c r="N1696" s="204"/>
      <c r="O1696" s="204"/>
      <c r="P1696" s="204"/>
      <c r="Q1696" s="204"/>
      <c r="R1696" s="204"/>
      <c r="S1696" s="204"/>
      <c r="T1696" s="204"/>
      <c r="U1696" s="204"/>
      <c r="V1696" s="204"/>
      <c r="W1696" s="204"/>
      <c r="X1696" s="204"/>
      <c r="Y1696" s="204"/>
      <c r="Z1696" s="204"/>
      <c r="AA1696" s="204"/>
      <c r="AB1696" s="204"/>
      <c r="AC1696" s="204"/>
      <c r="AD1696" s="204"/>
      <c r="AE1696" s="204"/>
      <c r="AF1696" s="204"/>
      <c r="AG1696" s="204"/>
      <c r="AH1696" s="204"/>
      <c r="AI1696" s="209"/>
      <c r="AJ1696" s="209"/>
      <c r="AK1696" s="204"/>
      <c r="AL1696" s="204"/>
      <c r="AM1696" s="204"/>
    </row>
    <row r="1697">
      <c r="A1697" s="204"/>
      <c r="B1697" s="209"/>
      <c r="C1697" s="204"/>
      <c r="D1697" s="210"/>
      <c r="E1697" s="211"/>
      <c r="F1697" s="211"/>
      <c r="G1697" s="212"/>
      <c r="H1697" s="212"/>
      <c r="I1697" s="204"/>
      <c r="J1697" s="204"/>
      <c r="K1697" s="204"/>
      <c r="L1697" s="204"/>
      <c r="M1697" s="204"/>
      <c r="N1697" s="204"/>
      <c r="O1697" s="204"/>
      <c r="P1697" s="204"/>
      <c r="Q1697" s="204"/>
      <c r="R1697" s="204"/>
      <c r="S1697" s="204"/>
      <c r="T1697" s="204"/>
      <c r="U1697" s="204"/>
      <c r="V1697" s="204"/>
      <c r="W1697" s="204"/>
      <c r="X1697" s="204"/>
      <c r="Y1697" s="204"/>
      <c r="Z1697" s="204"/>
      <c r="AA1697" s="204"/>
      <c r="AB1697" s="204"/>
      <c r="AC1697" s="204"/>
      <c r="AD1697" s="204"/>
      <c r="AE1697" s="204"/>
      <c r="AF1697" s="204"/>
      <c r="AG1697" s="204"/>
      <c r="AH1697" s="204"/>
      <c r="AI1697" s="209"/>
      <c r="AJ1697" s="209"/>
      <c r="AK1697" s="204"/>
      <c r="AL1697" s="204"/>
      <c r="AM1697" s="204"/>
    </row>
    <row r="1698">
      <c r="A1698" s="204"/>
      <c r="B1698" s="209"/>
      <c r="C1698" s="204"/>
      <c r="D1698" s="210"/>
      <c r="E1698" s="211"/>
      <c r="F1698" s="211"/>
      <c r="G1698" s="212"/>
      <c r="H1698" s="212"/>
      <c r="I1698" s="204"/>
      <c r="J1698" s="204"/>
      <c r="K1698" s="204"/>
      <c r="L1698" s="204"/>
      <c r="M1698" s="204"/>
      <c r="N1698" s="204"/>
      <c r="O1698" s="204"/>
      <c r="P1698" s="204"/>
      <c r="Q1698" s="204"/>
      <c r="R1698" s="204"/>
      <c r="S1698" s="204"/>
      <c r="T1698" s="204"/>
      <c r="U1698" s="204"/>
      <c r="V1698" s="204"/>
      <c r="W1698" s="204"/>
      <c r="X1698" s="204"/>
      <c r="Y1698" s="204"/>
      <c r="Z1698" s="204"/>
      <c r="AA1698" s="204"/>
      <c r="AB1698" s="204"/>
      <c r="AC1698" s="204"/>
      <c r="AD1698" s="204"/>
      <c r="AE1698" s="204"/>
      <c r="AF1698" s="204"/>
      <c r="AG1698" s="204"/>
      <c r="AH1698" s="204"/>
      <c r="AI1698" s="209"/>
      <c r="AJ1698" s="209"/>
      <c r="AK1698" s="204"/>
      <c r="AL1698" s="204"/>
      <c r="AM1698" s="204"/>
    </row>
    <row r="1699">
      <c r="A1699" s="204"/>
      <c r="B1699" s="209"/>
      <c r="C1699" s="204"/>
      <c r="D1699" s="210"/>
      <c r="E1699" s="211"/>
      <c r="F1699" s="211"/>
      <c r="G1699" s="212"/>
      <c r="H1699" s="212"/>
      <c r="I1699" s="204"/>
      <c r="J1699" s="204"/>
      <c r="K1699" s="204"/>
      <c r="L1699" s="204"/>
      <c r="M1699" s="204"/>
      <c r="N1699" s="204"/>
      <c r="O1699" s="204"/>
      <c r="P1699" s="204"/>
      <c r="Q1699" s="204"/>
      <c r="R1699" s="204"/>
      <c r="S1699" s="204"/>
      <c r="T1699" s="204"/>
      <c r="U1699" s="204"/>
      <c r="V1699" s="204"/>
      <c r="W1699" s="204"/>
      <c r="X1699" s="204"/>
      <c r="Y1699" s="204"/>
      <c r="Z1699" s="204"/>
      <c r="AA1699" s="204"/>
      <c r="AB1699" s="204"/>
      <c r="AC1699" s="204"/>
      <c r="AD1699" s="204"/>
      <c r="AE1699" s="204"/>
      <c r="AF1699" s="204"/>
      <c r="AG1699" s="204"/>
      <c r="AH1699" s="204"/>
      <c r="AI1699" s="209"/>
      <c r="AJ1699" s="209"/>
      <c r="AK1699" s="204"/>
      <c r="AL1699" s="204"/>
      <c r="AM1699" s="204"/>
    </row>
    <row r="1700">
      <c r="A1700" s="204"/>
      <c r="B1700" s="209"/>
      <c r="C1700" s="204"/>
      <c r="D1700" s="210"/>
      <c r="E1700" s="211"/>
      <c r="F1700" s="211"/>
      <c r="G1700" s="212"/>
      <c r="H1700" s="212"/>
      <c r="I1700" s="204"/>
      <c r="J1700" s="204"/>
      <c r="K1700" s="204"/>
      <c r="L1700" s="204"/>
      <c r="M1700" s="204"/>
      <c r="N1700" s="204"/>
      <c r="O1700" s="204"/>
      <c r="P1700" s="204"/>
      <c r="Q1700" s="204"/>
      <c r="R1700" s="204"/>
      <c r="S1700" s="204"/>
      <c r="T1700" s="204"/>
      <c r="U1700" s="204"/>
      <c r="V1700" s="204"/>
      <c r="W1700" s="204"/>
      <c r="X1700" s="204"/>
      <c r="Y1700" s="204"/>
      <c r="Z1700" s="204"/>
      <c r="AA1700" s="204"/>
      <c r="AB1700" s="204"/>
      <c r="AC1700" s="204"/>
      <c r="AD1700" s="204"/>
      <c r="AE1700" s="204"/>
      <c r="AF1700" s="204"/>
      <c r="AG1700" s="204"/>
      <c r="AH1700" s="204"/>
      <c r="AI1700" s="209"/>
      <c r="AJ1700" s="209"/>
      <c r="AK1700" s="204"/>
      <c r="AL1700" s="204"/>
      <c r="AM1700" s="204"/>
    </row>
    <row r="1701">
      <c r="A1701" s="204"/>
      <c r="B1701" s="209"/>
      <c r="C1701" s="204"/>
      <c r="D1701" s="210"/>
      <c r="E1701" s="211"/>
      <c r="F1701" s="211"/>
      <c r="G1701" s="212"/>
      <c r="H1701" s="212"/>
      <c r="I1701" s="204"/>
      <c r="J1701" s="204"/>
      <c r="K1701" s="204"/>
      <c r="L1701" s="204"/>
      <c r="M1701" s="204"/>
      <c r="N1701" s="204"/>
      <c r="O1701" s="204"/>
      <c r="P1701" s="204"/>
      <c r="Q1701" s="204"/>
      <c r="R1701" s="204"/>
      <c r="S1701" s="204"/>
      <c r="T1701" s="204"/>
      <c r="U1701" s="204"/>
      <c r="V1701" s="204"/>
      <c r="W1701" s="204"/>
      <c r="X1701" s="204"/>
      <c r="Y1701" s="204"/>
      <c r="Z1701" s="204"/>
      <c r="AA1701" s="204"/>
      <c r="AB1701" s="204"/>
      <c r="AC1701" s="204"/>
      <c r="AD1701" s="204"/>
      <c r="AE1701" s="204"/>
      <c r="AF1701" s="204"/>
      <c r="AG1701" s="204"/>
      <c r="AH1701" s="204"/>
      <c r="AI1701" s="209"/>
      <c r="AJ1701" s="209"/>
      <c r="AK1701" s="204"/>
      <c r="AL1701" s="204"/>
      <c r="AM1701" s="204"/>
    </row>
    <row r="1702">
      <c r="A1702" s="204"/>
      <c r="B1702" s="209"/>
      <c r="C1702" s="204"/>
      <c r="D1702" s="210"/>
      <c r="E1702" s="211"/>
      <c r="F1702" s="211"/>
      <c r="G1702" s="212"/>
      <c r="H1702" s="212"/>
      <c r="I1702" s="204"/>
      <c r="J1702" s="204"/>
      <c r="K1702" s="204"/>
      <c r="L1702" s="204"/>
      <c r="M1702" s="204"/>
      <c r="N1702" s="204"/>
      <c r="O1702" s="204"/>
      <c r="P1702" s="204"/>
      <c r="Q1702" s="204"/>
      <c r="R1702" s="204"/>
      <c r="S1702" s="204"/>
      <c r="T1702" s="204"/>
      <c r="U1702" s="204"/>
      <c r="V1702" s="204"/>
      <c r="W1702" s="204"/>
      <c r="X1702" s="204"/>
      <c r="Y1702" s="204"/>
      <c r="Z1702" s="204"/>
      <c r="AA1702" s="204"/>
      <c r="AB1702" s="204"/>
      <c r="AC1702" s="204"/>
      <c r="AD1702" s="204"/>
      <c r="AE1702" s="204"/>
      <c r="AF1702" s="204"/>
      <c r="AG1702" s="204"/>
      <c r="AH1702" s="204"/>
      <c r="AI1702" s="209"/>
      <c r="AJ1702" s="209"/>
      <c r="AK1702" s="204"/>
      <c r="AL1702" s="204"/>
      <c r="AM1702" s="204"/>
    </row>
    <row r="1703">
      <c r="A1703" s="204"/>
      <c r="B1703" s="209"/>
      <c r="C1703" s="204"/>
      <c r="D1703" s="210"/>
      <c r="E1703" s="211"/>
      <c r="F1703" s="211"/>
      <c r="G1703" s="212"/>
      <c r="H1703" s="212"/>
      <c r="I1703" s="204"/>
      <c r="J1703" s="204"/>
      <c r="K1703" s="204"/>
      <c r="L1703" s="204"/>
      <c r="M1703" s="204"/>
      <c r="N1703" s="204"/>
      <c r="O1703" s="204"/>
      <c r="P1703" s="204"/>
      <c r="Q1703" s="204"/>
      <c r="R1703" s="204"/>
      <c r="S1703" s="204"/>
      <c r="T1703" s="204"/>
      <c r="U1703" s="204"/>
      <c r="V1703" s="204"/>
      <c r="W1703" s="204"/>
      <c r="X1703" s="204"/>
      <c r="Y1703" s="204"/>
      <c r="Z1703" s="204"/>
      <c r="AA1703" s="204"/>
      <c r="AB1703" s="204"/>
      <c r="AC1703" s="204"/>
      <c r="AD1703" s="204"/>
      <c r="AE1703" s="204"/>
      <c r="AF1703" s="204"/>
      <c r="AG1703" s="204"/>
      <c r="AH1703" s="204"/>
      <c r="AI1703" s="209"/>
      <c r="AJ1703" s="209"/>
      <c r="AK1703" s="204"/>
      <c r="AL1703" s="204"/>
      <c r="AM1703" s="204"/>
    </row>
    <row r="1704">
      <c r="A1704" s="204"/>
      <c r="B1704" s="209"/>
      <c r="C1704" s="204"/>
      <c r="D1704" s="210"/>
      <c r="E1704" s="211"/>
      <c r="F1704" s="211"/>
      <c r="G1704" s="212"/>
      <c r="H1704" s="212"/>
      <c r="I1704" s="204"/>
      <c r="J1704" s="204"/>
      <c r="K1704" s="204"/>
      <c r="L1704" s="204"/>
      <c r="M1704" s="204"/>
      <c r="N1704" s="204"/>
      <c r="O1704" s="204"/>
      <c r="P1704" s="204"/>
      <c r="Q1704" s="204"/>
      <c r="R1704" s="204"/>
      <c r="S1704" s="204"/>
      <c r="T1704" s="204"/>
      <c r="U1704" s="204"/>
      <c r="V1704" s="204"/>
      <c r="W1704" s="204"/>
      <c r="X1704" s="204"/>
      <c r="Y1704" s="204"/>
      <c r="Z1704" s="204"/>
      <c r="AA1704" s="204"/>
      <c r="AB1704" s="204"/>
      <c r="AC1704" s="204"/>
      <c r="AD1704" s="204"/>
      <c r="AE1704" s="204"/>
      <c r="AF1704" s="204"/>
      <c r="AG1704" s="204"/>
      <c r="AH1704" s="204"/>
      <c r="AI1704" s="209"/>
      <c r="AJ1704" s="209"/>
      <c r="AK1704" s="204"/>
      <c r="AL1704" s="204"/>
      <c r="AM1704" s="204"/>
    </row>
    <row r="1705">
      <c r="A1705" s="204"/>
      <c r="B1705" s="209"/>
      <c r="C1705" s="204"/>
      <c r="D1705" s="210"/>
      <c r="E1705" s="211"/>
      <c r="F1705" s="211"/>
      <c r="G1705" s="212"/>
      <c r="H1705" s="212"/>
      <c r="I1705" s="204"/>
      <c r="J1705" s="204"/>
      <c r="K1705" s="204"/>
      <c r="L1705" s="204"/>
      <c r="M1705" s="204"/>
      <c r="N1705" s="204"/>
      <c r="O1705" s="204"/>
      <c r="P1705" s="204"/>
      <c r="Q1705" s="204"/>
      <c r="R1705" s="204"/>
      <c r="S1705" s="204"/>
      <c r="T1705" s="204"/>
      <c r="U1705" s="204"/>
      <c r="V1705" s="204"/>
      <c r="W1705" s="204"/>
      <c r="X1705" s="204"/>
      <c r="Y1705" s="204"/>
      <c r="Z1705" s="204"/>
      <c r="AA1705" s="204"/>
      <c r="AB1705" s="204"/>
      <c r="AC1705" s="204"/>
      <c r="AD1705" s="204"/>
      <c r="AE1705" s="204"/>
      <c r="AF1705" s="204"/>
      <c r="AG1705" s="204"/>
      <c r="AH1705" s="204"/>
      <c r="AI1705" s="209"/>
      <c r="AJ1705" s="209"/>
      <c r="AK1705" s="204"/>
      <c r="AL1705" s="204"/>
      <c r="AM1705" s="204"/>
    </row>
    <row r="1706">
      <c r="A1706" s="204"/>
      <c r="B1706" s="209"/>
      <c r="C1706" s="204"/>
      <c r="D1706" s="210"/>
      <c r="E1706" s="211"/>
      <c r="F1706" s="211"/>
      <c r="G1706" s="212"/>
      <c r="H1706" s="212"/>
      <c r="I1706" s="204"/>
      <c r="J1706" s="204"/>
      <c r="K1706" s="204"/>
      <c r="L1706" s="204"/>
      <c r="M1706" s="204"/>
      <c r="N1706" s="204"/>
      <c r="O1706" s="204"/>
      <c r="P1706" s="204"/>
      <c r="Q1706" s="204"/>
      <c r="R1706" s="204"/>
      <c r="S1706" s="204"/>
      <c r="T1706" s="204"/>
      <c r="U1706" s="204"/>
      <c r="V1706" s="204"/>
      <c r="W1706" s="204"/>
      <c r="X1706" s="204"/>
      <c r="Y1706" s="204"/>
      <c r="Z1706" s="204"/>
      <c r="AA1706" s="204"/>
      <c r="AB1706" s="204"/>
      <c r="AC1706" s="204"/>
      <c r="AD1706" s="204"/>
      <c r="AE1706" s="204"/>
      <c r="AF1706" s="204"/>
      <c r="AG1706" s="204"/>
      <c r="AH1706" s="204"/>
      <c r="AI1706" s="209"/>
      <c r="AJ1706" s="209"/>
      <c r="AK1706" s="204"/>
      <c r="AL1706" s="204"/>
      <c r="AM1706" s="204"/>
    </row>
    <row r="1707">
      <c r="A1707" s="204"/>
      <c r="B1707" s="209"/>
      <c r="C1707" s="204"/>
      <c r="D1707" s="210"/>
      <c r="E1707" s="211"/>
      <c r="F1707" s="211"/>
      <c r="G1707" s="212"/>
      <c r="H1707" s="212"/>
      <c r="I1707" s="204"/>
      <c r="J1707" s="204"/>
      <c r="K1707" s="204"/>
      <c r="L1707" s="204"/>
      <c r="M1707" s="204"/>
      <c r="N1707" s="204"/>
      <c r="O1707" s="204"/>
      <c r="P1707" s="204"/>
      <c r="Q1707" s="204"/>
      <c r="R1707" s="204"/>
      <c r="S1707" s="204"/>
      <c r="T1707" s="204"/>
      <c r="U1707" s="204"/>
      <c r="V1707" s="204"/>
      <c r="W1707" s="204"/>
      <c r="X1707" s="204"/>
      <c r="Y1707" s="204"/>
      <c r="Z1707" s="204"/>
      <c r="AA1707" s="204"/>
      <c r="AB1707" s="204"/>
      <c r="AC1707" s="204"/>
      <c r="AD1707" s="204"/>
      <c r="AE1707" s="204"/>
      <c r="AF1707" s="204"/>
      <c r="AG1707" s="204"/>
      <c r="AH1707" s="204"/>
      <c r="AI1707" s="209"/>
      <c r="AJ1707" s="209"/>
      <c r="AK1707" s="204"/>
      <c r="AL1707" s="204"/>
      <c r="AM1707" s="204"/>
    </row>
    <row r="1708">
      <c r="A1708" s="204"/>
      <c r="B1708" s="209"/>
      <c r="C1708" s="204"/>
      <c r="D1708" s="210"/>
      <c r="E1708" s="211"/>
      <c r="F1708" s="211"/>
      <c r="G1708" s="212"/>
      <c r="H1708" s="212"/>
      <c r="I1708" s="204"/>
      <c r="J1708" s="204"/>
      <c r="K1708" s="204"/>
      <c r="L1708" s="204"/>
      <c r="M1708" s="204"/>
      <c r="N1708" s="204"/>
      <c r="O1708" s="204"/>
      <c r="P1708" s="204"/>
      <c r="Q1708" s="204"/>
      <c r="R1708" s="204"/>
      <c r="S1708" s="204"/>
      <c r="T1708" s="204"/>
      <c r="U1708" s="204"/>
      <c r="V1708" s="204"/>
      <c r="W1708" s="204"/>
      <c r="X1708" s="204"/>
      <c r="Y1708" s="204"/>
      <c r="Z1708" s="204"/>
      <c r="AA1708" s="204"/>
      <c r="AB1708" s="204"/>
      <c r="AC1708" s="204"/>
      <c r="AD1708" s="204"/>
      <c r="AE1708" s="204"/>
      <c r="AF1708" s="204"/>
      <c r="AG1708" s="204"/>
      <c r="AH1708" s="204"/>
      <c r="AI1708" s="209"/>
      <c r="AJ1708" s="209"/>
      <c r="AK1708" s="204"/>
      <c r="AL1708" s="204"/>
      <c r="AM1708" s="204"/>
    </row>
    <row r="1709">
      <c r="A1709" s="204"/>
      <c r="B1709" s="209"/>
      <c r="C1709" s="204"/>
      <c r="D1709" s="210"/>
      <c r="E1709" s="211"/>
      <c r="F1709" s="211"/>
      <c r="G1709" s="212"/>
      <c r="H1709" s="212"/>
      <c r="I1709" s="204"/>
      <c r="J1709" s="204"/>
      <c r="K1709" s="204"/>
      <c r="L1709" s="204"/>
      <c r="M1709" s="204"/>
      <c r="N1709" s="204"/>
      <c r="O1709" s="204"/>
      <c r="P1709" s="204"/>
      <c r="Q1709" s="204"/>
      <c r="R1709" s="204"/>
      <c r="S1709" s="204"/>
      <c r="T1709" s="204"/>
      <c r="U1709" s="204"/>
      <c r="V1709" s="204"/>
      <c r="W1709" s="204"/>
      <c r="X1709" s="204"/>
      <c r="Y1709" s="204"/>
      <c r="Z1709" s="204"/>
      <c r="AA1709" s="204"/>
      <c r="AB1709" s="204"/>
      <c r="AC1709" s="204"/>
      <c r="AD1709" s="204"/>
      <c r="AE1709" s="204"/>
      <c r="AF1709" s="204"/>
      <c r="AG1709" s="204"/>
      <c r="AH1709" s="204"/>
      <c r="AI1709" s="209"/>
      <c r="AJ1709" s="209"/>
      <c r="AK1709" s="204"/>
      <c r="AL1709" s="204"/>
      <c r="AM1709" s="204"/>
    </row>
    <row r="1710">
      <c r="A1710" s="204"/>
      <c r="B1710" s="209"/>
      <c r="C1710" s="204"/>
      <c r="D1710" s="210"/>
      <c r="E1710" s="211"/>
      <c r="F1710" s="211"/>
      <c r="G1710" s="212"/>
      <c r="H1710" s="212"/>
      <c r="I1710" s="204"/>
      <c r="J1710" s="204"/>
      <c r="K1710" s="204"/>
      <c r="L1710" s="204"/>
      <c r="M1710" s="204"/>
      <c r="N1710" s="204"/>
      <c r="O1710" s="204"/>
      <c r="P1710" s="204"/>
      <c r="Q1710" s="204"/>
      <c r="R1710" s="204"/>
      <c r="S1710" s="204"/>
      <c r="T1710" s="204"/>
      <c r="U1710" s="204"/>
      <c r="V1710" s="204"/>
      <c r="W1710" s="204"/>
      <c r="X1710" s="204"/>
      <c r="Y1710" s="204"/>
      <c r="Z1710" s="204"/>
      <c r="AA1710" s="204"/>
      <c r="AB1710" s="204"/>
      <c r="AC1710" s="204"/>
      <c r="AD1710" s="204"/>
      <c r="AE1710" s="204"/>
      <c r="AF1710" s="204"/>
      <c r="AG1710" s="204"/>
      <c r="AH1710" s="204"/>
      <c r="AI1710" s="209"/>
      <c r="AJ1710" s="209"/>
      <c r="AK1710" s="204"/>
      <c r="AL1710" s="204"/>
      <c r="AM1710" s="204"/>
    </row>
    <row r="1711">
      <c r="A1711" s="204"/>
      <c r="B1711" s="209"/>
      <c r="C1711" s="204"/>
      <c r="D1711" s="210"/>
      <c r="E1711" s="211"/>
      <c r="F1711" s="211"/>
      <c r="G1711" s="212"/>
      <c r="H1711" s="212"/>
      <c r="I1711" s="204"/>
      <c r="J1711" s="204"/>
      <c r="K1711" s="204"/>
      <c r="L1711" s="204"/>
      <c r="M1711" s="204"/>
      <c r="N1711" s="204"/>
      <c r="O1711" s="204"/>
      <c r="P1711" s="204"/>
      <c r="Q1711" s="204"/>
      <c r="R1711" s="204"/>
      <c r="S1711" s="204"/>
      <c r="T1711" s="204"/>
      <c r="U1711" s="204"/>
      <c r="V1711" s="204"/>
      <c r="W1711" s="204"/>
      <c r="X1711" s="204"/>
      <c r="Y1711" s="204"/>
      <c r="Z1711" s="204"/>
      <c r="AA1711" s="204"/>
      <c r="AB1711" s="204"/>
      <c r="AC1711" s="204"/>
      <c r="AD1711" s="204"/>
      <c r="AE1711" s="204"/>
      <c r="AF1711" s="204"/>
      <c r="AG1711" s="204"/>
      <c r="AH1711" s="204"/>
      <c r="AI1711" s="209"/>
      <c r="AJ1711" s="209"/>
      <c r="AK1711" s="204"/>
      <c r="AL1711" s="204"/>
      <c r="AM1711" s="204"/>
    </row>
    <row r="1712">
      <c r="A1712" s="204"/>
      <c r="B1712" s="209"/>
      <c r="C1712" s="204"/>
      <c r="D1712" s="210"/>
      <c r="E1712" s="211"/>
      <c r="F1712" s="211"/>
      <c r="G1712" s="212"/>
      <c r="H1712" s="212"/>
      <c r="I1712" s="204"/>
      <c r="J1712" s="204"/>
      <c r="K1712" s="204"/>
      <c r="L1712" s="204"/>
      <c r="M1712" s="204"/>
      <c r="N1712" s="204"/>
      <c r="O1712" s="204"/>
      <c r="P1712" s="204"/>
      <c r="Q1712" s="204"/>
      <c r="R1712" s="204"/>
      <c r="S1712" s="204"/>
      <c r="T1712" s="204"/>
      <c r="U1712" s="204"/>
      <c r="V1712" s="204"/>
      <c r="W1712" s="204"/>
      <c r="X1712" s="204"/>
      <c r="Y1712" s="204"/>
      <c r="Z1712" s="204"/>
      <c r="AA1712" s="204"/>
      <c r="AB1712" s="204"/>
      <c r="AC1712" s="204"/>
      <c r="AD1712" s="204"/>
      <c r="AE1712" s="204"/>
      <c r="AF1712" s="204"/>
      <c r="AG1712" s="204"/>
      <c r="AH1712" s="204"/>
      <c r="AI1712" s="209"/>
      <c r="AJ1712" s="209"/>
      <c r="AK1712" s="204"/>
      <c r="AL1712" s="204"/>
      <c r="AM1712" s="204"/>
    </row>
    <row r="1713">
      <c r="A1713" s="204"/>
      <c r="B1713" s="209"/>
      <c r="C1713" s="204"/>
      <c r="D1713" s="210"/>
      <c r="E1713" s="211"/>
      <c r="F1713" s="211"/>
      <c r="G1713" s="212"/>
      <c r="H1713" s="212"/>
      <c r="I1713" s="204"/>
      <c r="J1713" s="204"/>
      <c r="K1713" s="204"/>
      <c r="L1713" s="204"/>
      <c r="M1713" s="204"/>
      <c r="N1713" s="204"/>
      <c r="O1713" s="204"/>
      <c r="P1713" s="204"/>
      <c r="Q1713" s="204"/>
      <c r="R1713" s="204"/>
      <c r="S1713" s="204"/>
      <c r="T1713" s="204"/>
      <c r="U1713" s="204"/>
      <c r="V1713" s="204"/>
      <c r="W1713" s="204"/>
      <c r="X1713" s="204"/>
      <c r="Y1713" s="204"/>
      <c r="Z1713" s="204"/>
      <c r="AA1713" s="204"/>
      <c r="AB1713" s="204"/>
      <c r="AC1713" s="204"/>
      <c r="AD1713" s="204"/>
      <c r="AE1713" s="204"/>
      <c r="AF1713" s="204"/>
      <c r="AG1713" s="204"/>
      <c r="AH1713" s="204"/>
      <c r="AI1713" s="209"/>
      <c r="AJ1713" s="209"/>
      <c r="AK1713" s="204"/>
      <c r="AL1713" s="204"/>
      <c r="AM1713" s="204"/>
    </row>
    <row r="1714">
      <c r="A1714" s="204"/>
      <c r="B1714" s="209"/>
      <c r="C1714" s="204"/>
      <c r="D1714" s="210"/>
      <c r="E1714" s="211"/>
      <c r="F1714" s="211"/>
      <c r="G1714" s="212"/>
      <c r="H1714" s="212"/>
      <c r="I1714" s="204"/>
      <c r="J1714" s="204"/>
      <c r="K1714" s="204"/>
      <c r="L1714" s="204"/>
      <c r="M1714" s="204"/>
      <c r="N1714" s="204"/>
      <c r="O1714" s="204"/>
      <c r="P1714" s="204"/>
      <c r="Q1714" s="204"/>
      <c r="R1714" s="204"/>
      <c r="S1714" s="204"/>
      <c r="T1714" s="204"/>
      <c r="U1714" s="204"/>
      <c r="V1714" s="204"/>
      <c r="W1714" s="204"/>
      <c r="X1714" s="204"/>
      <c r="Y1714" s="204"/>
      <c r="Z1714" s="204"/>
      <c r="AA1714" s="204"/>
      <c r="AB1714" s="204"/>
      <c r="AC1714" s="204"/>
      <c r="AD1714" s="204"/>
      <c r="AE1714" s="204"/>
      <c r="AF1714" s="204"/>
      <c r="AG1714" s="204"/>
      <c r="AH1714" s="204"/>
      <c r="AI1714" s="209"/>
      <c r="AJ1714" s="209"/>
      <c r="AK1714" s="204"/>
      <c r="AL1714" s="204"/>
      <c r="AM1714" s="204"/>
    </row>
    <row r="1715">
      <c r="A1715" s="204"/>
      <c r="B1715" s="209"/>
      <c r="C1715" s="204"/>
      <c r="D1715" s="210"/>
      <c r="E1715" s="211"/>
      <c r="F1715" s="211"/>
      <c r="G1715" s="212"/>
      <c r="H1715" s="212"/>
      <c r="I1715" s="204"/>
      <c r="J1715" s="204"/>
      <c r="K1715" s="204"/>
      <c r="L1715" s="204"/>
      <c r="M1715" s="204"/>
      <c r="N1715" s="204"/>
      <c r="O1715" s="204"/>
      <c r="P1715" s="204"/>
      <c r="Q1715" s="204"/>
      <c r="R1715" s="204"/>
      <c r="S1715" s="204"/>
      <c r="T1715" s="204"/>
      <c r="U1715" s="204"/>
      <c r="V1715" s="204"/>
      <c r="W1715" s="204"/>
      <c r="X1715" s="204"/>
      <c r="Y1715" s="204"/>
      <c r="Z1715" s="204"/>
      <c r="AA1715" s="204"/>
      <c r="AB1715" s="204"/>
      <c r="AC1715" s="204"/>
      <c r="AD1715" s="204"/>
      <c r="AE1715" s="204"/>
      <c r="AF1715" s="204"/>
      <c r="AG1715" s="204"/>
      <c r="AH1715" s="204"/>
      <c r="AI1715" s="209"/>
      <c r="AJ1715" s="209"/>
      <c r="AK1715" s="204"/>
      <c r="AL1715" s="204"/>
      <c r="AM1715" s="204"/>
    </row>
    <row r="1716">
      <c r="A1716" s="204"/>
      <c r="B1716" s="209"/>
      <c r="C1716" s="204"/>
      <c r="D1716" s="210"/>
      <c r="E1716" s="211"/>
      <c r="F1716" s="211"/>
      <c r="G1716" s="212"/>
      <c r="H1716" s="212"/>
      <c r="I1716" s="204"/>
      <c r="J1716" s="204"/>
      <c r="K1716" s="204"/>
      <c r="L1716" s="204"/>
      <c r="M1716" s="204"/>
      <c r="N1716" s="204"/>
      <c r="O1716" s="204"/>
      <c r="P1716" s="204"/>
      <c r="Q1716" s="204"/>
      <c r="R1716" s="204"/>
      <c r="S1716" s="204"/>
      <c r="T1716" s="204"/>
      <c r="U1716" s="204"/>
      <c r="V1716" s="204"/>
      <c r="W1716" s="204"/>
      <c r="X1716" s="204"/>
      <c r="Y1716" s="204"/>
      <c r="Z1716" s="204"/>
      <c r="AA1716" s="204"/>
      <c r="AB1716" s="204"/>
      <c r="AC1716" s="204"/>
      <c r="AD1716" s="204"/>
      <c r="AE1716" s="204"/>
      <c r="AF1716" s="204"/>
      <c r="AG1716" s="204"/>
      <c r="AH1716" s="204"/>
      <c r="AI1716" s="209"/>
      <c r="AJ1716" s="209"/>
      <c r="AK1716" s="204"/>
      <c r="AL1716" s="204"/>
      <c r="AM1716" s="204"/>
    </row>
    <row r="1717">
      <c r="A1717" s="204"/>
      <c r="B1717" s="209"/>
      <c r="C1717" s="204"/>
      <c r="D1717" s="210"/>
      <c r="E1717" s="211"/>
      <c r="F1717" s="211"/>
      <c r="G1717" s="212"/>
      <c r="H1717" s="212"/>
      <c r="I1717" s="204"/>
      <c r="J1717" s="204"/>
      <c r="K1717" s="204"/>
      <c r="L1717" s="204"/>
      <c r="M1717" s="204"/>
      <c r="N1717" s="204"/>
      <c r="O1717" s="204"/>
      <c r="P1717" s="204"/>
      <c r="Q1717" s="204"/>
      <c r="R1717" s="204"/>
      <c r="S1717" s="204"/>
      <c r="T1717" s="204"/>
      <c r="U1717" s="204"/>
      <c r="V1717" s="204"/>
      <c r="W1717" s="204"/>
      <c r="X1717" s="204"/>
      <c r="Y1717" s="204"/>
      <c r="Z1717" s="204"/>
      <c r="AA1717" s="204"/>
      <c r="AB1717" s="204"/>
      <c r="AC1717" s="204"/>
      <c r="AD1717" s="204"/>
      <c r="AE1717" s="204"/>
      <c r="AF1717" s="204"/>
      <c r="AG1717" s="204"/>
      <c r="AH1717" s="204"/>
      <c r="AI1717" s="209"/>
      <c r="AJ1717" s="209"/>
      <c r="AK1717" s="204"/>
      <c r="AL1717" s="204"/>
      <c r="AM1717" s="204"/>
    </row>
    <row r="1718">
      <c r="A1718" s="204"/>
      <c r="B1718" s="209"/>
      <c r="C1718" s="204"/>
      <c r="D1718" s="210"/>
      <c r="E1718" s="211"/>
      <c r="F1718" s="211"/>
      <c r="G1718" s="212"/>
      <c r="H1718" s="212"/>
      <c r="I1718" s="204"/>
      <c r="J1718" s="204"/>
      <c r="K1718" s="204"/>
      <c r="L1718" s="204"/>
      <c r="M1718" s="204"/>
      <c r="N1718" s="204"/>
      <c r="O1718" s="204"/>
      <c r="P1718" s="204"/>
      <c r="Q1718" s="204"/>
      <c r="R1718" s="204"/>
      <c r="S1718" s="204"/>
      <c r="T1718" s="204"/>
      <c r="U1718" s="204"/>
      <c r="V1718" s="204"/>
      <c r="W1718" s="204"/>
      <c r="X1718" s="204"/>
      <c r="Y1718" s="204"/>
      <c r="Z1718" s="204"/>
      <c r="AA1718" s="204"/>
      <c r="AB1718" s="204"/>
      <c r="AC1718" s="204"/>
      <c r="AD1718" s="204"/>
      <c r="AE1718" s="204"/>
      <c r="AF1718" s="204"/>
      <c r="AG1718" s="204"/>
      <c r="AH1718" s="204"/>
      <c r="AI1718" s="209"/>
      <c r="AJ1718" s="209"/>
      <c r="AK1718" s="204"/>
      <c r="AL1718" s="204"/>
      <c r="AM1718" s="204"/>
    </row>
    <row r="1719">
      <c r="A1719" s="204"/>
      <c r="B1719" s="209"/>
      <c r="C1719" s="204"/>
      <c r="D1719" s="210"/>
      <c r="E1719" s="211"/>
      <c r="F1719" s="211"/>
      <c r="G1719" s="212"/>
      <c r="H1719" s="212"/>
      <c r="I1719" s="204"/>
      <c r="J1719" s="204"/>
      <c r="K1719" s="204"/>
      <c r="L1719" s="204"/>
      <c r="M1719" s="204"/>
      <c r="N1719" s="204"/>
      <c r="O1719" s="204"/>
      <c r="P1719" s="204"/>
      <c r="Q1719" s="204"/>
      <c r="R1719" s="204"/>
      <c r="S1719" s="204"/>
      <c r="T1719" s="204"/>
      <c r="U1719" s="204"/>
      <c r="V1719" s="204"/>
      <c r="W1719" s="204"/>
      <c r="X1719" s="204"/>
      <c r="Y1719" s="204"/>
      <c r="Z1719" s="204"/>
      <c r="AA1719" s="204"/>
      <c r="AB1719" s="204"/>
      <c r="AC1719" s="204"/>
      <c r="AD1719" s="204"/>
      <c r="AE1719" s="204"/>
      <c r="AF1719" s="204"/>
      <c r="AG1719" s="204"/>
      <c r="AH1719" s="204"/>
      <c r="AI1719" s="209"/>
      <c r="AJ1719" s="209"/>
      <c r="AK1719" s="204"/>
      <c r="AL1719" s="204"/>
      <c r="AM1719" s="204"/>
    </row>
    <row r="1720">
      <c r="A1720" s="204"/>
      <c r="B1720" s="209"/>
      <c r="C1720" s="204"/>
      <c r="D1720" s="210"/>
      <c r="E1720" s="211"/>
      <c r="F1720" s="211"/>
      <c r="G1720" s="212"/>
      <c r="H1720" s="212"/>
      <c r="I1720" s="204"/>
      <c r="J1720" s="204"/>
      <c r="K1720" s="204"/>
      <c r="L1720" s="204"/>
      <c r="M1720" s="204"/>
      <c r="N1720" s="204"/>
      <c r="O1720" s="204"/>
      <c r="P1720" s="204"/>
      <c r="Q1720" s="204"/>
      <c r="R1720" s="204"/>
      <c r="S1720" s="204"/>
      <c r="T1720" s="204"/>
      <c r="U1720" s="204"/>
      <c r="V1720" s="204"/>
      <c r="W1720" s="204"/>
      <c r="X1720" s="204"/>
      <c r="Y1720" s="204"/>
      <c r="Z1720" s="204"/>
      <c r="AA1720" s="204"/>
      <c r="AB1720" s="204"/>
      <c r="AC1720" s="204"/>
      <c r="AD1720" s="204"/>
      <c r="AE1720" s="204"/>
      <c r="AF1720" s="204"/>
      <c r="AG1720" s="204"/>
      <c r="AH1720" s="204"/>
      <c r="AI1720" s="209"/>
      <c r="AJ1720" s="209"/>
      <c r="AK1720" s="204"/>
      <c r="AL1720" s="204"/>
      <c r="AM1720" s="204"/>
    </row>
    <row r="1721">
      <c r="A1721" s="204"/>
      <c r="B1721" s="209"/>
      <c r="C1721" s="204"/>
      <c r="D1721" s="210"/>
      <c r="E1721" s="211"/>
      <c r="F1721" s="211"/>
      <c r="G1721" s="212"/>
      <c r="H1721" s="212"/>
      <c r="I1721" s="204"/>
      <c r="J1721" s="204"/>
      <c r="K1721" s="204"/>
      <c r="L1721" s="204"/>
      <c r="M1721" s="204"/>
      <c r="N1721" s="204"/>
      <c r="O1721" s="204"/>
      <c r="P1721" s="204"/>
      <c r="Q1721" s="204"/>
      <c r="R1721" s="204"/>
      <c r="S1721" s="204"/>
      <c r="T1721" s="204"/>
      <c r="U1721" s="204"/>
      <c r="V1721" s="204"/>
      <c r="W1721" s="204"/>
      <c r="X1721" s="204"/>
      <c r="Y1721" s="204"/>
      <c r="Z1721" s="204"/>
      <c r="AA1721" s="204"/>
      <c r="AB1721" s="204"/>
      <c r="AC1721" s="204"/>
      <c r="AD1721" s="204"/>
      <c r="AE1721" s="204"/>
      <c r="AF1721" s="204"/>
      <c r="AG1721" s="204"/>
      <c r="AH1721" s="204"/>
      <c r="AI1721" s="209"/>
      <c r="AJ1721" s="209"/>
      <c r="AK1721" s="204"/>
      <c r="AL1721" s="204"/>
      <c r="AM1721" s="204"/>
    </row>
    <row r="1722">
      <c r="A1722" s="204"/>
      <c r="B1722" s="209"/>
      <c r="C1722" s="204"/>
      <c r="D1722" s="210"/>
      <c r="E1722" s="211"/>
      <c r="F1722" s="211"/>
      <c r="G1722" s="212"/>
      <c r="H1722" s="212"/>
      <c r="I1722" s="204"/>
      <c r="J1722" s="204"/>
      <c r="K1722" s="204"/>
      <c r="L1722" s="204"/>
      <c r="M1722" s="204"/>
      <c r="N1722" s="204"/>
      <c r="O1722" s="204"/>
      <c r="P1722" s="204"/>
      <c r="Q1722" s="204"/>
      <c r="R1722" s="204"/>
      <c r="S1722" s="204"/>
      <c r="T1722" s="204"/>
      <c r="U1722" s="204"/>
      <c r="V1722" s="204"/>
      <c r="W1722" s="204"/>
      <c r="X1722" s="204"/>
      <c r="Y1722" s="204"/>
      <c r="Z1722" s="204"/>
      <c r="AA1722" s="204"/>
      <c r="AB1722" s="204"/>
      <c r="AC1722" s="204"/>
      <c r="AD1722" s="204"/>
      <c r="AE1722" s="204"/>
      <c r="AF1722" s="204"/>
      <c r="AG1722" s="204"/>
      <c r="AH1722" s="204"/>
      <c r="AI1722" s="209"/>
      <c r="AJ1722" s="209"/>
      <c r="AK1722" s="204"/>
      <c r="AL1722" s="204"/>
      <c r="AM1722" s="204"/>
    </row>
    <row r="1723">
      <c r="A1723" s="204"/>
      <c r="B1723" s="209"/>
      <c r="C1723" s="204"/>
      <c r="D1723" s="210"/>
      <c r="E1723" s="211"/>
      <c r="F1723" s="211"/>
      <c r="G1723" s="212"/>
      <c r="H1723" s="212"/>
      <c r="I1723" s="204"/>
      <c r="J1723" s="204"/>
      <c r="K1723" s="204"/>
      <c r="L1723" s="204"/>
      <c r="M1723" s="204"/>
      <c r="N1723" s="204"/>
      <c r="O1723" s="204"/>
      <c r="P1723" s="204"/>
      <c r="Q1723" s="204"/>
      <c r="R1723" s="204"/>
      <c r="S1723" s="204"/>
      <c r="T1723" s="204"/>
      <c r="U1723" s="204"/>
      <c r="V1723" s="204"/>
      <c r="W1723" s="204"/>
      <c r="X1723" s="204"/>
      <c r="Y1723" s="204"/>
      <c r="Z1723" s="204"/>
      <c r="AA1723" s="204"/>
      <c r="AB1723" s="204"/>
      <c r="AC1723" s="204"/>
      <c r="AD1723" s="204"/>
      <c r="AE1723" s="204"/>
      <c r="AF1723" s="204"/>
      <c r="AG1723" s="204"/>
      <c r="AH1723" s="204"/>
      <c r="AI1723" s="209"/>
      <c r="AJ1723" s="209"/>
      <c r="AK1723" s="204"/>
      <c r="AL1723" s="204"/>
      <c r="AM1723" s="204"/>
    </row>
    <row r="1724">
      <c r="A1724" s="204"/>
      <c r="B1724" s="209"/>
      <c r="C1724" s="204"/>
      <c r="D1724" s="210"/>
      <c r="E1724" s="211"/>
      <c r="F1724" s="211"/>
      <c r="G1724" s="212"/>
      <c r="H1724" s="212"/>
      <c r="I1724" s="204"/>
      <c r="J1724" s="204"/>
      <c r="K1724" s="204"/>
      <c r="L1724" s="204"/>
      <c r="M1724" s="204"/>
      <c r="N1724" s="204"/>
      <c r="O1724" s="204"/>
      <c r="P1724" s="204"/>
      <c r="Q1724" s="204"/>
      <c r="R1724" s="204"/>
      <c r="S1724" s="204"/>
      <c r="T1724" s="204"/>
      <c r="U1724" s="204"/>
      <c r="V1724" s="204"/>
      <c r="W1724" s="204"/>
      <c r="X1724" s="204"/>
      <c r="Y1724" s="204"/>
      <c r="Z1724" s="204"/>
      <c r="AA1724" s="204"/>
      <c r="AB1724" s="204"/>
      <c r="AC1724" s="204"/>
      <c r="AD1724" s="204"/>
      <c r="AE1724" s="204"/>
      <c r="AF1724" s="204"/>
      <c r="AG1724" s="204"/>
      <c r="AH1724" s="204"/>
      <c r="AI1724" s="209"/>
      <c r="AJ1724" s="209"/>
      <c r="AK1724" s="204"/>
      <c r="AL1724" s="204"/>
      <c r="AM1724" s="204"/>
    </row>
    <row r="1725">
      <c r="A1725" s="204"/>
      <c r="B1725" s="209"/>
      <c r="C1725" s="204"/>
      <c r="D1725" s="210"/>
      <c r="E1725" s="211"/>
      <c r="F1725" s="211"/>
      <c r="G1725" s="212"/>
      <c r="H1725" s="212"/>
      <c r="I1725" s="204"/>
      <c r="J1725" s="204"/>
      <c r="K1725" s="204"/>
      <c r="L1725" s="204"/>
      <c r="M1725" s="204"/>
      <c r="N1725" s="204"/>
      <c r="O1725" s="204"/>
      <c r="P1725" s="204"/>
      <c r="Q1725" s="204"/>
      <c r="R1725" s="204"/>
      <c r="S1725" s="204"/>
      <c r="T1725" s="204"/>
      <c r="U1725" s="204"/>
      <c r="V1725" s="204"/>
      <c r="W1725" s="204"/>
      <c r="X1725" s="204"/>
      <c r="Y1725" s="204"/>
      <c r="Z1725" s="204"/>
      <c r="AA1725" s="204"/>
      <c r="AB1725" s="204"/>
      <c r="AC1725" s="204"/>
      <c r="AD1725" s="204"/>
      <c r="AE1725" s="204"/>
      <c r="AF1725" s="204"/>
      <c r="AG1725" s="204"/>
      <c r="AH1725" s="204"/>
      <c r="AI1725" s="209"/>
      <c r="AJ1725" s="209"/>
      <c r="AK1725" s="204"/>
      <c r="AL1725" s="204"/>
      <c r="AM1725" s="204"/>
    </row>
    <row r="1726">
      <c r="A1726" s="204"/>
      <c r="B1726" s="209"/>
      <c r="C1726" s="204"/>
      <c r="D1726" s="210"/>
      <c r="E1726" s="211"/>
      <c r="F1726" s="211"/>
      <c r="G1726" s="212"/>
      <c r="H1726" s="212"/>
      <c r="I1726" s="204"/>
      <c r="J1726" s="204"/>
      <c r="K1726" s="204"/>
      <c r="L1726" s="204"/>
      <c r="M1726" s="204"/>
      <c r="N1726" s="204"/>
      <c r="O1726" s="204"/>
      <c r="P1726" s="204"/>
      <c r="Q1726" s="204"/>
      <c r="R1726" s="204"/>
      <c r="S1726" s="204"/>
      <c r="T1726" s="204"/>
      <c r="U1726" s="204"/>
      <c r="V1726" s="204"/>
      <c r="W1726" s="204"/>
      <c r="X1726" s="204"/>
      <c r="Y1726" s="204"/>
      <c r="Z1726" s="204"/>
      <c r="AA1726" s="204"/>
      <c r="AB1726" s="204"/>
      <c r="AC1726" s="204"/>
      <c r="AD1726" s="204"/>
      <c r="AE1726" s="204"/>
      <c r="AF1726" s="204"/>
      <c r="AG1726" s="204"/>
      <c r="AH1726" s="204"/>
      <c r="AI1726" s="209"/>
      <c r="AJ1726" s="209"/>
      <c r="AK1726" s="204"/>
      <c r="AL1726" s="204"/>
      <c r="AM1726" s="204"/>
    </row>
    <row r="1727">
      <c r="A1727" s="204"/>
      <c r="B1727" s="209"/>
      <c r="C1727" s="204"/>
      <c r="D1727" s="210"/>
      <c r="E1727" s="211"/>
      <c r="F1727" s="211"/>
      <c r="G1727" s="212"/>
      <c r="H1727" s="212"/>
      <c r="I1727" s="204"/>
      <c r="J1727" s="204"/>
      <c r="K1727" s="204"/>
      <c r="L1727" s="204"/>
      <c r="M1727" s="204"/>
      <c r="N1727" s="204"/>
      <c r="O1727" s="204"/>
      <c r="P1727" s="204"/>
      <c r="Q1727" s="204"/>
      <c r="R1727" s="204"/>
      <c r="S1727" s="204"/>
      <c r="T1727" s="204"/>
      <c r="U1727" s="204"/>
      <c r="V1727" s="204"/>
      <c r="W1727" s="204"/>
      <c r="X1727" s="204"/>
      <c r="Y1727" s="204"/>
      <c r="Z1727" s="204"/>
      <c r="AA1727" s="204"/>
      <c r="AB1727" s="204"/>
      <c r="AC1727" s="204"/>
      <c r="AD1727" s="204"/>
      <c r="AE1727" s="204"/>
      <c r="AF1727" s="204"/>
      <c r="AG1727" s="204"/>
      <c r="AH1727" s="204"/>
      <c r="AI1727" s="209"/>
      <c r="AJ1727" s="209"/>
      <c r="AK1727" s="204"/>
      <c r="AL1727" s="204"/>
      <c r="AM1727" s="204"/>
    </row>
    <row r="1728">
      <c r="A1728" s="204"/>
      <c r="B1728" s="209"/>
      <c r="C1728" s="204"/>
      <c r="D1728" s="210"/>
      <c r="E1728" s="211"/>
      <c r="F1728" s="211"/>
      <c r="G1728" s="212"/>
      <c r="H1728" s="212"/>
      <c r="I1728" s="204"/>
      <c r="J1728" s="204"/>
      <c r="K1728" s="204"/>
      <c r="L1728" s="204"/>
      <c r="M1728" s="204"/>
      <c r="N1728" s="204"/>
      <c r="O1728" s="204"/>
      <c r="P1728" s="204"/>
      <c r="Q1728" s="204"/>
      <c r="R1728" s="204"/>
      <c r="S1728" s="204"/>
      <c r="T1728" s="204"/>
      <c r="U1728" s="204"/>
      <c r="V1728" s="204"/>
      <c r="W1728" s="204"/>
      <c r="X1728" s="204"/>
      <c r="Y1728" s="204"/>
      <c r="Z1728" s="204"/>
      <c r="AA1728" s="204"/>
      <c r="AB1728" s="204"/>
      <c r="AC1728" s="204"/>
      <c r="AD1728" s="204"/>
      <c r="AE1728" s="204"/>
      <c r="AF1728" s="204"/>
      <c r="AG1728" s="204"/>
      <c r="AH1728" s="204"/>
      <c r="AI1728" s="209"/>
      <c r="AJ1728" s="209"/>
      <c r="AK1728" s="204"/>
      <c r="AL1728" s="204"/>
      <c r="AM1728" s="204"/>
    </row>
    <row r="1729">
      <c r="A1729" s="204"/>
      <c r="B1729" s="209"/>
      <c r="C1729" s="204"/>
      <c r="D1729" s="210"/>
      <c r="E1729" s="211"/>
      <c r="F1729" s="211"/>
      <c r="G1729" s="212"/>
      <c r="H1729" s="212"/>
      <c r="I1729" s="204"/>
      <c r="J1729" s="204"/>
      <c r="K1729" s="204"/>
      <c r="L1729" s="204"/>
      <c r="M1729" s="204"/>
      <c r="N1729" s="204"/>
      <c r="O1729" s="204"/>
      <c r="P1729" s="204"/>
      <c r="Q1729" s="204"/>
      <c r="R1729" s="204"/>
      <c r="S1729" s="204"/>
      <c r="T1729" s="204"/>
      <c r="U1729" s="204"/>
      <c r="V1729" s="204"/>
      <c r="W1729" s="204"/>
      <c r="X1729" s="204"/>
      <c r="Y1729" s="204"/>
      <c r="Z1729" s="204"/>
      <c r="AA1729" s="204"/>
      <c r="AB1729" s="204"/>
      <c r="AC1729" s="204"/>
      <c r="AD1729" s="204"/>
      <c r="AE1729" s="204"/>
      <c r="AF1729" s="204"/>
      <c r="AG1729" s="204"/>
      <c r="AH1729" s="204"/>
      <c r="AI1729" s="209"/>
      <c r="AJ1729" s="209"/>
      <c r="AK1729" s="204"/>
      <c r="AL1729" s="204"/>
      <c r="AM1729" s="204"/>
    </row>
    <row r="1730">
      <c r="A1730" s="204"/>
      <c r="B1730" s="209"/>
      <c r="C1730" s="204"/>
      <c r="D1730" s="210"/>
      <c r="E1730" s="211"/>
      <c r="F1730" s="211"/>
      <c r="G1730" s="212"/>
      <c r="H1730" s="212"/>
      <c r="I1730" s="204"/>
      <c r="J1730" s="204"/>
      <c r="K1730" s="204"/>
      <c r="L1730" s="204"/>
      <c r="M1730" s="204"/>
      <c r="N1730" s="204"/>
      <c r="O1730" s="204"/>
      <c r="P1730" s="204"/>
      <c r="Q1730" s="204"/>
      <c r="R1730" s="204"/>
      <c r="S1730" s="204"/>
      <c r="T1730" s="204"/>
      <c r="U1730" s="204"/>
      <c r="V1730" s="204"/>
      <c r="W1730" s="204"/>
      <c r="X1730" s="204"/>
      <c r="Y1730" s="204"/>
      <c r="Z1730" s="204"/>
      <c r="AA1730" s="204"/>
      <c r="AB1730" s="204"/>
      <c r="AC1730" s="204"/>
      <c r="AD1730" s="204"/>
      <c r="AE1730" s="204"/>
      <c r="AF1730" s="204"/>
      <c r="AG1730" s="204"/>
      <c r="AH1730" s="204"/>
      <c r="AI1730" s="209"/>
      <c r="AJ1730" s="209"/>
      <c r="AK1730" s="204"/>
      <c r="AL1730" s="204"/>
      <c r="AM1730" s="204"/>
    </row>
    <row r="1731">
      <c r="A1731" s="204"/>
      <c r="B1731" s="209"/>
      <c r="C1731" s="204"/>
      <c r="D1731" s="210"/>
      <c r="E1731" s="211"/>
      <c r="F1731" s="211"/>
      <c r="G1731" s="212"/>
      <c r="H1731" s="212"/>
      <c r="I1731" s="204"/>
      <c r="J1731" s="204"/>
      <c r="K1731" s="204"/>
      <c r="L1731" s="204"/>
      <c r="M1731" s="204"/>
      <c r="N1731" s="204"/>
      <c r="O1731" s="204"/>
      <c r="P1731" s="204"/>
      <c r="Q1731" s="204"/>
      <c r="R1731" s="204"/>
      <c r="S1731" s="204"/>
      <c r="T1731" s="204"/>
      <c r="U1731" s="204"/>
      <c r="V1731" s="204"/>
      <c r="W1731" s="204"/>
      <c r="X1731" s="204"/>
      <c r="Y1731" s="204"/>
      <c r="Z1731" s="204"/>
      <c r="AA1731" s="204"/>
      <c r="AB1731" s="204"/>
      <c r="AC1731" s="204"/>
      <c r="AD1731" s="204"/>
      <c r="AE1731" s="204"/>
      <c r="AF1731" s="204"/>
      <c r="AG1731" s="204"/>
      <c r="AH1731" s="204"/>
      <c r="AI1731" s="209"/>
      <c r="AJ1731" s="209"/>
      <c r="AK1731" s="204"/>
      <c r="AL1731" s="204"/>
      <c r="AM1731" s="204"/>
    </row>
    <row r="1732">
      <c r="A1732" s="204"/>
      <c r="B1732" s="209"/>
      <c r="C1732" s="204"/>
      <c r="D1732" s="210"/>
      <c r="E1732" s="211"/>
      <c r="F1732" s="211"/>
      <c r="G1732" s="212"/>
      <c r="H1732" s="212"/>
      <c r="I1732" s="204"/>
      <c r="J1732" s="204"/>
      <c r="K1732" s="204"/>
      <c r="L1732" s="204"/>
      <c r="M1732" s="204"/>
      <c r="N1732" s="204"/>
      <c r="O1732" s="204"/>
      <c r="P1732" s="204"/>
      <c r="Q1732" s="204"/>
      <c r="R1732" s="204"/>
      <c r="S1732" s="204"/>
      <c r="T1732" s="204"/>
      <c r="U1732" s="204"/>
      <c r="V1732" s="204"/>
      <c r="W1732" s="204"/>
      <c r="X1732" s="204"/>
      <c r="Y1732" s="204"/>
      <c r="Z1732" s="204"/>
      <c r="AA1732" s="204"/>
      <c r="AB1732" s="204"/>
      <c r="AC1732" s="204"/>
      <c r="AD1732" s="204"/>
      <c r="AE1732" s="204"/>
      <c r="AF1732" s="204"/>
      <c r="AG1732" s="204"/>
      <c r="AH1732" s="204"/>
      <c r="AI1732" s="209"/>
      <c r="AJ1732" s="209"/>
      <c r="AK1732" s="204"/>
      <c r="AL1732" s="204"/>
      <c r="AM1732" s="204"/>
    </row>
    <row r="1733">
      <c r="A1733" s="204"/>
      <c r="B1733" s="209"/>
      <c r="C1733" s="204"/>
      <c r="D1733" s="210"/>
      <c r="E1733" s="211"/>
      <c r="F1733" s="211"/>
      <c r="G1733" s="212"/>
      <c r="H1733" s="212"/>
      <c r="I1733" s="204"/>
      <c r="J1733" s="204"/>
      <c r="K1733" s="204"/>
      <c r="L1733" s="204"/>
      <c r="M1733" s="204"/>
      <c r="N1733" s="204"/>
      <c r="O1733" s="204"/>
      <c r="P1733" s="204"/>
      <c r="Q1733" s="204"/>
      <c r="R1733" s="204"/>
      <c r="S1733" s="204"/>
      <c r="T1733" s="204"/>
      <c r="U1733" s="204"/>
      <c r="V1733" s="204"/>
      <c r="W1733" s="204"/>
      <c r="X1733" s="204"/>
      <c r="Y1733" s="204"/>
      <c r="Z1733" s="204"/>
      <c r="AA1733" s="204"/>
      <c r="AB1733" s="204"/>
      <c r="AC1733" s="204"/>
      <c r="AD1733" s="204"/>
      <c r="AE1733" s="204"/>
      <c r="AF1733" s="204"/>
      <c r="AG1733" s="204"/>
      <c r="AH1733" s="204"/>
      <c r="AI1733" s="209"/>
      <c r="AJ1733" s="209"/>
      <c r="AK1733" s="204"/>
      <c r="AL1733" s="204"/>
      <c r="AM1733" s="204"/>
    </row>
    <row r="1734">
      <c r="A1734" s="204"/>
      <c r="B1734" s="209"/>
      <c r="C1734" s="204"/>
      <c r="D1734" s="210"/>
      <c r="E1734" s="211"/>
      <c r="F1734" s="211"/>
      <c r="G1734" s="212"/>
      <c r="H1734" s="212"/>
      <c r="I1734" s="204"/>
      <c r="J1734" s="204"/>
      <c r="K1734" s="204"/>
      <c r="L1734" s="204"/>
      <c r="M1734" s="204"/>
      <c r="N1734" s="204"/>
      <c r="O1734" s="204"/>
      <c r="P1734" s="204"/>
      <c r="Q1734" s="204"/>
      <c r="R1734" s="204"/>
      <c r="S1734" s="204"/>
      <c r="T1734" s="204"/>
      <c r="U1734" s="204"/>
      <c r="V1734" s="204"/>
      <c r="W1734" s="204"/>
      <c r="X1734" s="204"/>
      <c r="Y1734" s="204"/>
      <c r="Z1734" s="204"/>
      <c r="AA1734" s="204"/>
      <c r="AB1734" s="204"/>
      <c r="AC1734" s="204"/>
      <c r="AD1734" s="204"/>
      <c r="AE1734" s="204"/>
      <c r="AF1734" s="204"/>
      <c r="AG1734" s="204"/>
      <c r="AH1734" s="204"/>
      <c r="AI1734" s="209"/>
      <c r="AJ1734" s="209"/>
      <c r="AK1734" s="204"/>
      <c r="AL1734" s="204"/>
      <c r="AM1734" s="204"/>
    </row>
    <row r="1735">
      <c r="A1735" s="204"/>
      <c r="B1735" s="209"/>
      <c r="C1735" s="204"/>
      <c r="D1735" s="210"/>
      <c r="E1735" s="211"/>
      <c r="F1735" s="211"/>
      <c r="G1735" s="212"/>
      <c r="H1735" s="212"/>
      <c r="I1735" s="204"/>
      <c r="J1735" s="204"/>
      <c r="K1735" s="204"/>
      <c r="L1735" s="204"/>
      <c r="M1735" s="204"/>
      <c r="N1735" s="204"/>
      <c r="O1735" s="204"/>
      <c r="P1735" s="204"/>
      <c r="Q1735" s="204"/>
      <c r="R1735" s="204"/>
      <c r="S1735" s="204"/>
      <c r="T1735" s="204"/>
      <c r="U1735" s="204"/>
      <c r="V1735" s="204"/>
      <c r="W1735" s="204"/>
      <c r="X1735" s="204"/>
      <c r="Y1735" s="204"/>
      <c r="Z1735" s="204"/>
      <c r="AA1735" s="204"/>
      <c r="AB1735" s="204"/>
      <c r="AC1735" s="204"/>
      <c r="AD1735" s="204"/>
      <c r="AE1735" s="204"/>
      <c r="AF1735" s="204"/>
      <c r="AG1735" s="204"/>
      <c r="AH1735" s="204"/>
      <c r="AI1735" s="209"/>
      <c r="AJ1735" s="209"/>
      <c r="AK1735" s="204"/>
      <c r="AL1735" s="204"/>
      <c r="AM1735" s="204"/>
    </row>
    <row r="1736">
      <c r="A1736" s="204"/>
      <c r="B1736" s="209"/>
      <c r="C1736" s="204"/>
      <c r="D1736" s="210"/>
      <c r="E1736" s="211"/>
      <c r="F1736" s="211"/>
      <c r="G1736" s="212"/>
      <c r="H1736" s="212"/>
      <c r="I1736" s="204"/>
      <c r="J1736" s="204"/>
      <c r="K1736" s="204"/>
      <c r="L1736" s="204"/>
      <c r="M1736" s="204"/>
      <c r="N1736" s="204"/>
      <c r="O1736" s="204"/>
      <c r="P1736" s="204"/>
      <c r="Q1736" s="204"/>
      <c r="R1736" s="204"/>
      <c r="S1736" s="204"/>
      <c r="T1736" s="204"/>
      <c r="U1736" s="204"/>
      <c r="V1736" s="204"/>
      <c r="W1736" s="204"/>
      <c r="X1736" s="204"/>
      <c r="Y1736" s="204"/>
      <c r="Z1736" s="204"/>
      <c r="AA1736" s="204"/>
      <c r="AB1736" s="204"/>
      <c r="AC1736" s="204"/>
      <c r="AD1736" s="204"/>
      <c r="AE1736" s="204"/>
      <c r="AF1736" s="204"/>
      <c r="AG1736" s="204"/>
      <c r="AH1736" s="204"/>
      <c r="AI1736" s="209"/>
      <c r="AJ1736" s="209"/>
      <c r="AK1736" s="204"/>
      <c r="AL1736" s="204"/>
      <c r="AM1736" s="204"/>
    </row>
    <row r="1737">
      <c r="A1737" s="204"/>
      <c r="B1737" s="209"/>
      <c r="C1737" s="204"/>
      <c r="D1737" s="210"/>
      <c r="E1737" s="211"/>
      <c r="F1737" s="211"/>
      <c r="G1737" s="212"/>
      <c r="H1737" s="212"/>
      <c r="I1737" s="204"/>
      <c r="J1737" s="204"/>
      <c r="K1737" s="204"/>
      <c r="L1737" s="204"/>
      <c r="M1737" s="204"/>
      <c r="N1737" s="204"/>
      <c r="O1737" s="204"/>
      <c r="P1737" s="204"/>
      <c r="Q1737" s="204"/>
      <c r="R1737" s="204"/>
      <c r="S1737" s="204"/>
      <c r="T1737" s="204"/>
      <c r="U1737" s="204"/>
      <c r="V1737" s="204"/>
      <c r="W1737" s="204"/>
      <c r="X1737" s="204"/>
      <c r="Y1737" s="204"/>
      <c r="Z1737" s="204"/>
      <c r="AA1737" s="204"/>
      <c r="AB1737" s="204"/>
      <c r="AC1737" s="204"/>
      <c r="AD1737" s="204"/>
      <c r="AE1737" s="204"/>
      <c r="AF1737" s="204"/>
      <c r="AG1737" s="204"/>
      <c r="AH1737" s="204"/>
      <c r="AI1737" s="209"/>
      <c r="AJ1737" s="209"/>
      <c r="AK1737" s="204"/>
      <c r="AL1737" s="204"/>
      <c r="AM1737" s="204"/>
    </row>
    <row r="1738">
      <c r="A1738" s="204"/>
      <c r="B1738" s="209"/>
      <c r="C1738" s="204"/>
      <c r="D1738" s="210"/>
      <c r="E1738" s="211"/>
      <c r="F1738" s="211"/>
      <c r="G1738" s="212"/>
      <c r="H1738" s="212"/>
      <c r="I1738" s="204"/>
      <c r="J1738" s="204"/>
      <c r="K1738" s="204"/>
      <c r="L1738" s="204"/>
      <c r="M1738" s="204"/>
      <c r="N1738" s="204"/>
      <c r="O1738" s="204"/>
      <c r="P1738" s="204"/>
      <c r="Q1738" s="204"/>
      <c r="R1738" s="204"/>
      <c r="S1738" s="204"/>
      <c r="T1738" s="204"/>
      <c r="U1738" s="204"/>
      <c r="V1738" s="204"/>
      <c r="W1738" s="204"/>
      <c r="X1738" s="204"/>
      <c r="Y1738" s="204"/>
      <c r="Z1738" s="204"/>
      <c r="AA1738" s="204"/>
      <c r="AB1738" s="204"/>
      <c r="AC1738" s="204"/>
      <c r="AD1738" s="204"/>
      <c r="AE1738" s="204"/>
      <c r="AF1738" s="204"/>
      <c r="AG1738" s="204"/>
      <c r="AH1738" s="204"/>
      <c r="AI1738" s="209"/>
      <c r="AJ1738" s="209"/>
      <c r="AK1738" s="204"/>
      <c r="AL1738" s="204"/>
      <c r="AM1738" s="204"/>
    </row>
    <row r="1739">
      <c r="A1739" s="204"/>
      <c r="B1739" s="209"/>
      <c r="C1739" s="204"/>
      <c r="D1739" s="210"/>
      <c r="E1739" s="211"/>
      <c r="F1739" s="211"/>
      <c r="G1739" s="212"/>
      <c r="H1739" s="212"/>
      <c r="I1739" s="204"/>
      <c r="J1739" s="204"/>
      <c r="K1739" s="204"/>
      <c r="L1739" s="204"/>
      <c r="M1739" s="204"/>
      <c r="N1739" s="204"/>
      <c r="O1739" s="204"/>
      <c r="P1739" s="204"/>
      <c r="Q1739" s="204"/>
      <c r="R1739" s="204"/>
      <c r="S1739" s="204"/>
      <c r="T1739" s="204"/>
      <c r="U1739" s="204"/>
      <c r="V1739" s="204"/>
      <c r="W1739" s="204"/>
      <c r="X1739" s="204"/>
      <c r="Y1739" s="204"/>
      <c r="Z1739" s="204"/>
      <c r="AA1739" s="204"/>
      <c r="AB1739" s="204"/>
      <c r="AC1739" s="204"/>
      <c r="AD1739" s="204"/>
      <c r="AE1739" s="204"/>
      <c r="AF1739" s="204"/>
      <c r="AG1739" s="204"/>
      <c r="AH1739" s="204"/>
      <c r="AI1739" s="209"/>
      <c r="AJ1739" s="209"/>
      <c r="AK1739" s="204"/>
      <c r="AL1739" s="204"/>
      <c r="AM1739" s="204"/>
    </row>
    <row r="1740">
      <c r="A1740" s="204"/>
      <c r="B1740" s="209"/>
      <c r="C1740" s="204"/>
      <c r="D1740" s="210"/>
      <c r="E1740" s="211"/>
      <c r="F1740" s="211"/>
      <c r="G1740" s="212"/>
      <c r="H1740" s="212"/>
      <c r="I1740" s="204"/>
      <c r="J1740" s="204"/>
      <c r="K1740" s="204"/>
      <c r="L1740" s="204"/>
      <c r="M1740" s="204"/>
      <c r="N1740" s="204"/>
      <c r="O1740" s="204"/>
      <c r="P1740" s="204"/>
      <c r="Q1740" s="204"/>
      <c r="R1740" s="204"/>
      <c r="S1740" s="204"/>
      <c r="T1740" s="204"/>
      <c r="U1740" s="204"/>
      <c r="V1740" s="204"/>
      <c r="W1740" s="204"/>
      <c r="X1740" s="204"/>
      <c r="Y1740" s="204"/>
      <c r="Z1740" s="204"/>
      <c r="AA1740" s="204"/>
      <c r="AB1740" s="204"/>
      <c r="AC1740" s="204"/>
      <c r="AD1740" s="204"/>
      <c r="AE1740" s="204"/>
      <c r="AF1740" s="204"/>
      <c r="AG1740" s="204"/>
      <c r="AH1740" s="204"/>
      <c r="AI1740" s="209"/>
      <c r="AJ1740" s="209"/>
      <c r="AK1740" s="204"/>
      <c r="AL1740" s="204"/>
      <c r="AM1740" s="204"/>
    </row>
    <row r="1741">
      <c r="A1741" s="204"/>
      <c r="B1741" s="209"/>
      <c r="C1741" s="204"/>
      <c r="D1741" s="210"/>
      <c r="E1741" s="211"/>
      <c r="F1741" s="211"/>
      <c r="G1741" s="212"/>
      <c r="H1741" s="212"/>
      <c r="I1741" s="204"/>
      <c r="J1741" s="204"/>
      <c r="K1741" s="204"/>
      <c r="L1741" s="204"/>
      <c r="M1741" s="204"/>
      <c r="N1741" s="204"/>
      <c r="O1741" s="204"/>
      <c r="P1741" s="204"/>
      <c r="Q1741" s="204"/>
      <c r="R1741" s="204"/>
      <c r="S1741" s="204"/>
      <c r="T1741" s="204"/>
      <c r="U1741" s="204"/>
      <c r="V1741" s="204"/>
      <c r="W1741" s="204"/>
      <c r="X1741" s="204"/>
      <c r="Y1741" s="204"/>
      <c r="Z1741" s="204"/>
      <c r="AA1741" s="204"/>
      <c r="AB1741" s="204"/>
      <c r="AC1741" s="204"/>
      <c r="AD1741" s="204"/>
      <c r="AE1741" s="204"/>
      <c r="AF1741" s="204"/>
      <c r="AG1741" s="204"/>
      <c r="AH1741" s="204"/>
      <c r="AI1741" s="209"/>
      <c r="AJ1741" s="209"/>
      <c r="AK1741" s="204"/>
      <c r="AL1741" s="204"/>
      <c r="AM1741" s="204"/>
    </row>
    <row r="1742">
      <c r="A1742" s="204"/>
      <c r="B1742" s="209"/>
      <c r="C1742" s="204"/>
      <c r="D1742" s="210"/>
      <c r="E1742" s="211"/>
      <c r="F1742" s="211"/>
      <c r="G1742" s="212"/>
      <c r="H1742" s="212"/>
      <c r="I1742" s="204"/>
      <c r="J1742" s="204"/>
      <c r="K1742" s="204"/>
      <c r="L1742" s="204"/>
      <c r="M1742" s="204"/>
      <c r="N1742" s="204"/>
      <c r="O1742" s="204"/>
      <c r="P1742" s="204"/>
      <c r="Q1742" s="204"/>
      <c r="R1742" s="204"/>
      <c r="S1742" s="204"/>
      <c r="T1742" s="204"/>
      <c r="U1742" s="204"/>
      <c r="V1742" s="204"/>
      <c r="W1742" s="204"/>
      <c r="X1742" s="204"/>
      <c r="Y1742" s="204"/>
      <c r="Z1742" s="204"/>
      <c r="AA1742" s="204"/>
      <c r="AB1742" s="204"/>
      <c r="AC1742" s="204"/>
      <c r="AD1742" s="204"/>
      <c r="AE1742" s="204"/>
      <c r="AF1742" s="204"/>
      <c r="AG1742" s="204"/>
      <c r="AH1742" s="204"/>
      <c r="AI1742" s="209"/>
      <c r="AJ1742" s="209"/>
      <c r="AK1742" s="204"/>
      <c r="AL1742" s="204"/>
      <c r="AM1742" s="204"/>
    </row>
    <row r="1743">
      <c r="A1743" s="204"/>
      <c r="B1743" s="209"/>
      <c r="C1743" s="204"/>
      <c r="D1743" s="210"/>
      <c r="E1743" s="211"/>
      <c r="F1743" s="211"/>
      <c r="G1743" s="212"/>
      <c r="H1743" s="212"/>
      <c r="I1743" s="204"/>
      <c r="J1743" s="204"/>
      <c r="K1743" s="204"/>
      <c r="L1743" s="204"/>
      <c r="M1743" s="204"/>
      <c r="N1743" s="204"/>
      <c r="O1743" s="204"/>
      <c r="P1743" s="204"/>
      <c r="Q1743" s="204"/>
      <c r="R1743" s="204"/>
      <c r="S1743" s="204"/>
      <c r="T1743" s="204"/>
      <c r="U1743" s="204"/>
      <c r="V1743" s="204"/>
      <c r="W1743" s="204"/>
      <c r="X1743" s="204"/>
      <c r="Y1743" s="204"/>
      <c r="Z1743" s="204"/>
      <c r="AA1743" s="204"/>
      <c r="AB1743" s="204"/>
      <c r="AC1743" s="204"/>
      <c r="AD1743" s="204"/>
      <c r="AE1743" s="204"/>
      <c r="AF1743" s="204"/>
      <c r="AG1743" s="204"/>
      <c r="AH1743" s="204"/>
      <c r="AI1743" s="209"/>
      <c r="AJ1743" s="209"/>
      <c r="AK1743" s="204"/>
      <c r="AL1743" s="204"/>
      <c r="AM1743" s="204"/>
    </row>
    <row r="1744">
      <c r="A1744" s="204"/>
      <c r="B1744" s="209"/>
      <c r="C1744" s="204"/>
      <c r="D1744" s="210"/>
      <c r="E1744" s="211"/>
      <c r="F1744" s="211"/>
      <c r="G1744" s="212"/>
      <c r="H1744" s="212"/>
      <c r="I1744" s="204"/>
      <c r="J1744" s="204"/>
      <c r="K1744" s="204"/>
      <c r="L1744" s="204"/>
      <c r="M1744" s="204"/>
      <c r="N1744" s="204"/>
      <c r="O1744" s="204"/>
      <c r="P1744" s="204"/>
      <c r="Q1744" s="204"/>
      <c r="R1744" s="204"/>
      <c r="S1744" s="204"/>
      <c r="T1744" s="204"/>
      <c r="U1744" s="204"/>
      <c r="V1744" s="204"/>
      <c r="W1744" s="204"/>
      <c r="X1744" s="204"/>
      <c r="Y1744" s="204"/>
      <c r="Z1744" s="204"/>
      <c r="AA1744" s="204"/>
      <c r="AB1744" s="204"/>
      <c r="AC1744" s="204"/>
      <c r="AD1744" s="204"/>
      <c r="AE1744" s="204"/>
      <c r="AF1744" s="204"/>
      <c r="AG1744" s="204"/>
      <c r="AH1744" s="204"/>
      <c r="AI1744" s="209"/>
      <c r="AJ1744" s="209"/>
      <c r="AK1744" s="204"/>
      <c r="AL1744" s="204"/>
      <c r="AM1744" s="204"/>
    </row>
    <row r="1745">
      <c r="A1745" s="204"/>
      <c r="B1745" s="209"/>
      <c r="C1745" s="204"/>
      <c r="D1745" s="210"/>
      <c r="E1745" s="211"/>
      <c r="F1745" s="211"/>
      <c r="G1745" s="212"/>
      <c r="H1745" s="212"/>
      <c r="I1745" s="204"/>
      <c r="J1745" s="204"/>
      <c r="K1745" s="204"/>
      <c r="L1745" s="204"/>
      <c r="M1745" s="204"/>
      <c r="N1745" s="204"/>
      <c r="O1745" s="204"/>
      <c r="P1745" s="204"/>
      <c r="Q1745" s="204"/>
      <c r="R1745" s="204"/>
      <c r="S1745" s="204"/>
      <c r="T1745" s="204"/>
      <c r="U1745" s="204"/>
      <c r="V1745" s="204"/>
      <c r="W1745" s="204"/>
      <c r="X1745" s="204"/>
      <c r="Y1745" s="204"/>
      <c r="Z1745" s="204"/>
      <c r="AA1745" s="204"/>
      <c r="AB1745" s="204"/>
      <c r="AC1745" s="204"/>
      <c r="AD1745" s="204"/>
      <c r="AE1745" s="204"/>
      <c r="AF1745" s="204"/>
      <c r="AG1745" s="204"/>
      <c r="AH1745" s="204"/>
      <c r="AI1745" s="209"/>
      <c r="AJ1745" s="209"/>
      <c r="AK1745" s="204"/>
      <c r="AL1745" s="204"/>
      <c r="AM1745" s="204"/>
    </row>
    <row r="1746">
      <c r="A1746" s="204"/>
      <c r="B1746" s="209"/>
      <c r="C1746" s="204"/>
      <c r="D1746" s="210"/>
      <c r="E1746" s="211"/>
      <c r="F1746" s="211"/>
      <c r="G1746" s="212"/>
      <c r="H1746" s="212"/>
      <c r="I1746" s="204"/>
      <c r="J1746" s="204"/>
      <c r="K1746" s="204"/>
      <c r="L1746" s="204"/>
      <c r="M1746" s="204"/>
      <c r="N1746" s="204"/>
      <c r="O1746" s="204"/>
      <c r="P1746" s="204"/>
      <c r="Q1746" s="204"/>
      <c r="R1746" s="204"/>
      <c r="S1746" s="204"/>
      <c r="T1746" s="204"/>
      <c r="U1746" s="204"/>
      <c r="V1746" s="204"/>
      <c r="W1746" s="204"/>
      <c r="X1746" s="204"/>
      <c r="Y1746" s="204"/>
      <c r="Z1746" s="204"/>
      <c r="AA1746" s="204"/>
      <c r="AB1746" s="204"/>
      <c r="AC1746" s="204"/>
      <c r="AD1746" s="204"/>
      <c r="AE1746" s="204"/>
      <c r="AF1746" s="204"/>
      <c r="AG1746" s="204"/>
      <c r="AH1746" s="204"/>
      <c r="AI1746" s="209"/>
      <c r="AJ1746" s="209"/>
      <c r="AK1746" s="204"/>
      <c r="AL1746" s="204"/>
      <c r="AM1746" s="204"/>
    </row>
    <row r="1747">
      <c r="A1747" s="204"/>
      <c r="B1747" s="209"/>
      <c r="C1747" s="204"/>
      <c r="D1747" s="210"/>
      <c r="E1747" s="211"/>
      <c r="F1747" s="211"/>
      <c r="G1747" s="212"/>
      <c r="H1747" s="212"/>
      <c r="I1747" s="204"/>
      <c r="J1747" s="204"/>
      <c r="K1747" s="204"/>
      <c r="L1747" s="204"/>
      <c r="M1747" s="204"/>
      <c r="N1747" s="204"/>
      <c r="O1747" s="204"/>
      <c r="P1747" s="204"/>
      <c r="Q1747" s="204"/>
      <c r="R1747" s="204"/>
      <c r="S1747" s="204"/>
      <c r="T1747" s="204"/>
      <c r="U1747" s="204"/>
      <c r="V1747" s="204"/>
      <c r="W1747" s="204"/>
      <c r="X1747" s="204"/>
      <c r="Y1747" s="204"/>
      <c r="Z1747" s="204"/>
      <c r="AA1747" s="204"/>
      <c r="AB1747" s="204"/>
      <c r="AC1747" s="204"/>
      <c r="AD1747" s="204"/>
      <c r="AE1747" s="204"/>
      <c r="AF1747" s="204"/>
      <c r="AG1747" s="204"/>
      <c r="AH1747" s="204"/>
      <c r="AI1747" s="209"/>
      <c r="AJ1747" s="209"/>
      <c r="AK1747" s="204"/>
      <c r="AL1747" s="204"/>
      <c r="AM1747" s="204"/>
    </row>
    <row r="1748">
      <c r="A1748" s="204"/>
      <c r="B1748" s="209"/>
      <c r="C1748" s="204"/>
      <c r="D1748" s="210"/>
      <c r="E1748" s="211"/>
      <c r="F1748" s="211"/>
      <c r="G1748" s="212"/>
      <c r="H1748" s="212"/>
      <c r="I1748" s="204"/>
      <c r="J1748" s="204"/>
      <c r="K1748" s="204"/>
      <c r="L1748" s="204"/>
      <c r="M1748" s="204"/>
      <c r="N1748" s="204"/>
      <c r="O1748" s="204"/>
      <c r="P1748" s="204"/>
      <c r="Q1748" s="204"/>
      <c r="R1748" s="204"/>
      <c r="S1748" s="204"/>
      <c r="T1748" s="204"/>
      <c r="U1748" s="204"/>
      <c r="V1748" s="204"/>
      <c r="W1748" s="204"/>
      <c r="X1748" s="204"/>
      <c r="Y1748" s="204"/>
      <c r="Z1748" s="204"/>
      <c r="AA1748" s="204"/>
      <c r="AB1748" s="204"/>
      <c r="AC1748" s="204"/>
      <c r="AD1748" s="204"/>
      <c r="AE1748" s="204"/>
      <c r="AF1748" s="204"/>
      <c r="AG1748" s="204"/>
      <c r="AH1748" s="204"/>
      <c r="AI1748" s="209"/>
      <c r="AJ1748" s="209"/>
      <c r="AK1748" s="204"/>
      <c r="AL1748" s="204"/>
      <c r="AM1748" s="204"/>
    </row>
    <row r="1749">
      <c r="A1749" s="204"/>
      <c r="B1749" s="209"/>
      <c r="C1749" s="204"/>
      <c r="D1749" s="210"/>
      <c r="E1749" s="211"/>
      <c r="F1749" s="211"/>
      <c r="G1749" s="212"/>
      <c r="H1749" s="212"/>
      <c r="I1749" s="204"/>
      <c r="J1749" s="204"/>
      <c r="K1749" s="204"/>
      <c r="L1749" s="204"/>
      <c r="M1749" s="204"/>
      <c r="N1749" s="204"/>
      <c r="O1749" s="204"/>
      <c r="P1749" s="204"/>
      <c r="Q1749" s="204"/>
      <c r="R1749" s="204"/>
      <c r="S1749" s="204"/>
      <c r="T1749" s="204"/>
      <c r="U1749" s="204"/>
      <c r="V1749" s="204"/>
      <c r="W1749" s="204"/>
      <c r="X1749" s="204"/>
      <c r="Y1749" s="204"/>
      <c r="Z1749" s="204"/>
      <c r="AA1749" s="204"/>
      <c r="AB1749" s="204"/>
      <c r="AC1749" s="204"/>
      <c r="AD1749" s="204"/>
      <c r="AE1749" s="204"/>
      <c r="AF1749" s="204"/>
      <c r="AG1749" s="204"/>
      <c r="AH1749" s="204"/>
      <c r="AI1749" s="209"/>
      <c r="AJ1749" s="209"/>
      <c r="AK1749" s="204"/>
      <c r="AL1749" s="204"/>
      <c r="AM1749" s="204"/>
    </row>
    <row r="1750">
      <c r="A1750" s="204"/>
      <c r="B1750" s="209"/>
      <c r="C1750" s="204"/>
      <c r="D1750" s="210"/>
      <c r="E1750" s="211"/>
      <c r="F1750" s="211"/>
      <c r="G1750" s="212"/>
      <c r="H1750" s="212"/>
      <c r="I1750" s="204"/>
      <c r="J1750" s="204"/>
      <c r="K1750" s="204"/>
      <c r="L1750" s="204"/>
      <c r="M1750" s="204"/>
      <c r="N1750" s="204"/>
      <c r="O1750" s="204"/>
      <c r="P1750" s="204"/>
      <c r="Q1750" s="204"/>
      <c r="R1750" s="204"/>
      <c r="S1750" s="204"/>
      <c r="T1750" s="204"/>
      <c r="U1750" s="204"/>
      <c r="V1750" s="204"/>
      <c r="W1750" s="204"/>
      <c r="X1750" s="204"/>
      <c r="Y1750" s="204"/>
      <c r="Z1750" s="204"/>
      <c r="AA1750" s="204"/>
      <c r="AB1750" s="204"/>
      <c r="AC1750" s="204"/>
      <c r="AD1750" s="204"/>
      <c r="AE1750" s="204"/>
      <c r="AF1750" s="204"/>
      <c r="AG1750" s="204"/>
      <c r="AH1750" s="204"/>
      <c r="AI1750" s="209"/>
      <c r="AJ1750" s="209"/>
      <c r="AK1750" s="204"/>
      <c r="AL1750" s="204"/>
      <c r="AM1750" s="204"/>
    </row>
    <row r="1751">
      <c r="A1751" s="204"/>
      <c r="B1751" s="209"/>
      <c r="C1751" s="204"/>
      <c r="D1751" s="210"/>
      <c r="E1751" s="211"/>
      <c r="F1751" s="211"/>
      <c r="G1751" s="212"/>
      <c r="H1751" s="212"/>
      <c r="I1751" s="204"/>
      <c r="J1751" s="204"/>
      <c r="K1751" s="204"/>
      <c r="L1751" s="204"/>
      <c r="M1751" s="204"/>
      <c r="N1751" s="204"/>
      <c r="O1751" s="204"/>
      <c r="P1751" s="204"/>
      <c r="Q1751" s="204"/>
      <c r="R1751" s="204"/>
      <c r="S1751" s="204"/>
      <c r="T1751" s="204"/>
      <c r="U1751" s="204"/>
      <c r="V1751" s="204"/>
      <c r="W1751" s="204"/>
      <c r="X1751" s="204"/>
      <c r="Y1751" s="204"/>
      <c r="Z1751" s="204"/>
      <c r="AA1751" s="204"/>
      <c r="AB1751" s="204"/>
      <c r="AC1751" s="204"/>
      <c r="AD1751" s="204"/>
      <c r="AE1751" s="204"/>
      <c r="AF1751" s="204"/>
      <c r="AG1751" s="204"/>
      <c r="AH1751" s="204"/>
      <c r="AI1751" s="209"/>
      <c r="AJ1751" s="209"/>
      <c r="AK1751" s="204"/>
      <c r="AL1751" s="204"/>
      <c r="AM1751" s="204"/>
    </row>
    <row r="1752">
      <c r="A1752" s="204"/>
      <c r="B1752" s="209"/>
      <c r="C1752" s="204"/>
      <c r="D1752" s="210"/>
      <c r="E1752" s="211"/>
      <c r="F1752" s="211"/>
      <c r="G1752" s="212"/>
      <c r="H1752" s="212"/>
      <c r="I1752" s="204"/>
      <c r="J1752" s="204"/>
      <c r="K1752" s="204"/>
      <c r="L1752" s="204"/>
      <c r="M1752" s="204"/>
      <c r="N1752" s="204"/>
      <c r="O1752" s="204"/>
      <c r="P1752" s="204"/>
      <c r="Q1752" s="204"/>
      <c r="R1752" s="204"/>
      <c r="S1752" s="204"/>
      <c r="T1752" s="204"/>
      <c r="U1752" s="204"/>
      <c r="V1752" s="204"/>
      <c r="W1752" s="204"/>
      <c r="X1752" s="204"/>
      <c r="Y1752" s="204"/>
      <c r="Z1752" s="204"/>
      <c r="AA1752" s="204"/>
      <c r="AB1752" s="204"/>
      <c r="AC1752" s="204"/>
      <c r="AD1752" s="204"/>
      <c r="AE1752" s="204"/>
      <c r="AF1752" s="204"/>
      <c r="AG1752" s="204"/>
      <c r="AH1752" s="204"/>
      <c r="AI1752" s="209"/>
      <c r="AJ1752" s="209"/>
      <c r="AK1752" s="204"/>
      <c r="AL1752" s="204"/>
      <c r="AM1752" s="204"/>
    </row>
    <row r="1753">
      <c r="A1753" s="204"/>
      <c r="B1753" s="209"/>
      <c r="C1753" s="204"/>
      <c r="D1753" s="210"/>
      <c r="E1753" s="211"/>
      <c r="F1753" s="211"/>
      <c r="G1753" s="212"/>
      <c r="H1753" s="212"/>
      <c r="I1753" s="204"/>
      <c r="J1753" s="204"/>
      <c r="K1753" s="204"/>
      <c r="L1753" s="204"/>
      <c r="M1753" s="204"/>
      <c r="N1753" s="204"/>
      <c r="O1753" s="204"/>
      <c r="P1753" s="204"/>
      <c r="Q1753" s="204"/>
      <c r="R1753" s="204"/>
      <c r="S1753" s="204"/>
      <c r="T1753" s="204"/>
      <c r="U1753" s="204"/>
      <c r="V1753" s="204"/>
      <c r="W1753" s="204"/>
      <c r="X1753" s="204"/>
      <c r="Y1753" s="204"/>
      <c r="Z1753" s="204"/>
      <c r="AA1753" s="204"/>
      <c r="AB1753" s="204"/>
      <c r="AC1753" s="204"/>
      <c r="AD1753" s="204"/>
      <c r="AE1753" s="204"/>
      <c r="AF1753" s="204"/>
      <c r="AG1753" s="204"/>
      <c r="AH1753" s="204"/>
      <c r="AI1753" s="209"/>
      <c r="AJ1753" s="209"/>
      <c r="AK1753" s="204"/>
      <c r="AL1753" s="204"/>
      <c r="AM1753" s="204"/>
    </row>
    <row r="1754">
      <c r="A1754" s="204"/>
      <c r="B1754" s="209"/>
      <c r="C1754" s="204"/>
      <c r="D1754" s="210"/>
      <c r="E1754" s="211"/>
      <c r="F1754" s="211"/>
      <c r="G1754" s="212"/>
      <c r="H1754" s="212"/>
      <c r="I1754" s="204"/>
      <c r="J1754" s="204"/>
      <c r="K1754" s="204"/>
      <c r="L1754" s="204"/>
      <c r="M1754" s="204"/>
      <c r="N1754" s="204"/>
      <c r="O1754" s="204"/>
      <c r="P1754" s="204"/>
      <c r="Q1754" s="204"/>
      <c r="R1754" s="204"/>
      <c r="S1754" s="204"/>
      <c r="T1754" s="204"/>
      <c r="U1754" s="204"/>
      <c r="V1754" s="204"/>
      <c r="W1754" s="204"/>
      <c r="X1754" s="204"/>
      <c r="Y1754" s="204"/>
      <c r="Z1754" s="204"/>
      <c r="AA1754" s="204"/>
      <c r="AB1754" s="204"/>
      <c r="AC1754" s="204"/>
      <c r="AD1754" s="204"/>
      <c r="AE1754" s="204"/>
      <c r="AF1754" s="204"/>
      <c r="AG1754" s="204"/>
      <c r="AH1754" s="204"/>
      <c r="AI1754" s="209"/>
      <c r="AJ1754" s="209"/>
      <c r="AK1754" s="204"/>
      <c r="AL1754" s="204"/>
      <c r="AM1754" s="204"/>
    </row>
    <row r="1755">
      <c r="A1755" s="204"/>
      <c r="B1755" s="209"/>
      <c r="C1755" s="204"/>
      <c r="D1755" s="210"/>
      <c r="E1755" s="211"/>
      <c r="F1755" s="211"/>
      <c r="G1755" s="212"/>
      <c r="H1755" s="212"/>
      <c r="I1755" s="204"/>
      <c r="J1755" s="204"/>
      <c r="K1755" s="204"/>
      <c r="L1755" s="204"/>
      <c r="M1755" s="204"/>
      <c r="N1755" s="204"/>
      <c r="O1755" s="204"/>
      <c r="P1755" s="204"/>
      <c r="Q1755" s="204"/>
      <c r="R1755" s="204"/>
      <c r="S1755" s="204"/>
      <c r="T1755" s="204"/>
      <c r="U1755" s="204"/>
      <c r="V1755" s="204"/>
      <c r="W1755" s="204"/>
      <c r="X1755" s="204"/>
      <c r="Y1755" s="204"/>
      <c r="Z1755" s="204"/>
      <c r="AA1755" s="204"/>
      <c r="AB1755" s="204"/>
      <c r="AC1755" s="204"/>
      <c r="AD1755" s="204"/>
      <c r="AE1755" s="204"/>
      <c r="AF1755" s="204"/>
      <c r="AG1755" s="204"/>
      <c r="AH1755" s="204"/>
      <c r="AI1755" s="209"/>
      <c r="AJ1755" s="209"/>
      <c r="AK1755" s="204"/>
      <c r="AL1755" s="204"/>
      <c r="AM1755" s="204"/>
    </row>
    <row r="1756">
      <c r="A1756" s="204"/>
      <c r="B1756" s="209"/>
      <c r="C1756" s="204"/>
      <c r="D1756" s="210"/>
      <c r="E1756" s="211"/>
      <c r="F1756" s="211"/>
      <c r="G1756" s="212"/>
      <c r="H1756" s="212"/>
      <c r="I1756" s="204"/>
      <c r="J1756" s="204"/>
      <c r="K1756" s="204"/>
      <c r="L1756" s="204"/>
      <c r="M1756" s="204"/>
      <c r="N1756" s="204"/>
      <c r="O1756" s="204"/>
      <c r="P1756" s="204"/>
      <c r="Q1756" s="204"/>
      <c r="R1756" s="204"/>
      <c r="S1756" s="204"/>
      <c r="T1756" s="204"/>
      <c r="U1756" s="204"/>
      <c r="V1756" s="204"/>
      <c r="W1756" s="204"/>
      <c r="X1756" s="204"/>
      <c r="Y1756" s="204"/>
      <c r="Z1756" s="204"/>
      <c r="AA1756" s="204"/>
      <c r="AB1756" s="204"/>
      <c r="AC1756" s="204"/>
      <c r="AD1756" s="204"/>
      <c r="AE1756" s="204"/>
      <c r="AF1756" s="204"/>
      <c r="AG1756" s="204"/>
      <c r="AH1756" s="204"/>
      <c r="AI1756" s="209"/>
      <c r="AJ1756" s="209"/>
      <c r="AK1756" s="204"/>
      <c r="AL1756" s="204"/>
      <c r="AM1756" s="204"/>
    </row>
    <row r="1757">
      <c r="A1757" s="204"/>
      <c r="B1757" s="209"/>
      <c r="C1757" s="204"/>
      <c r="D1757" s="210"/>
      <c r="E1757" s="211"/>
      <c r="F1757" s="211"/>
      <c r="G1757" s="212"/>
      <c r="H1757" s="212"/>
      <c r="I1757" s="204"/>
      <c r="J1757" s="204"/>
      <c r="K1757" s="204"/>
      <c r="L1757" s="204"/>
      <c r="M1757" s="204"/>
      <c r="N1757" s="204"/>
      <c r="O1757" s="204"/>
      <c r="P1757" s="204"/>
      <c r="Q1757" s="204"/>
      <c r="R1757" s="204"/>
      <c r="S1757" s="204"/>
      <c r="T1757" s="204"/>
      <c r="U1757" s="204"/>
      <c r="V1757" s="204"/>
      <c r="W1757" s="204"/>
      <c r="X1757" s="204"/>
      <c r="Y1757" s="204"/>
      <c r="Z1757" s="204"/>
      <c r="AA1757" s="204"/>
      <c r="AB1757" s="204"/>
      <c r="AC1757" s="204"/>
      <c r="AD1757" s="204"/>
      <c r="AE1757" s="204"/>
      <c r="AF1757" s="204"/>
      <c r="AG1757" s="204"/>
      <c r="AH1757" s="204"/>
      <c r="AI1757" s="209"/>
      <c r="AJ1757" s="209"/>
      <c r="AK1757" s="204"/>
      <c r="AL1757" s="204"/>
      <c r="AM1757" s="204"/>
    </row>
    <row r="1758">
      <c r="A1758" s="204"/>
      <c r="B1758" s="209"/>
      <c r="C1758" s="204"/>
      <c r="D1758" s="210"/>
      <c r="E1758" s="211"/>
      <c r="F1758" s="211"/>
      <c r="G1758" s="212"/>
      <c r="H1758" s="212"/>
      <c r="I1758" s="204"/>
      <c r="J1758" s="204"/>
      <c r="K1758" s="204"/>
      <c r="L1758" s="204"/>
      <c r="M1758" s="204"/>
      <c r="N1758" s="204"/>
      <c r="O1758" s="204"/>
      <c r="P1758" s="204"/>
      <c r="Q1758" s="204"/>
      <c r="R1758" s="204"/>
      <c r="S1758" s="204"/>
      <c r="T1758" s="204"/>
      <c r="U1758" s="204"/>
      <c r="V1758" s="204"/>
      <c r="W1758" s="204"/>
      <c r="X1758" s="204"/>
      <c r="Y1758" s="204"/>
      <c r="Z1758" s="204"/>
      <c r="AA1758" s="204"/>
      <c r="AB1758" s="204"/>
      <c r="AC1758" s="204"/>
      <c r="AD1758" s="204"/>
      <c r="AE1758" s="204"/>
      <c r="AF1758" s="204"/>
      <c r="AG1758" s="204"/>
      <c r="AH1758" s="204"/>
      <c r="AI1758" s="209"/>
      <c r="AJ1758" s="209"/>
      <c r="AK1758" s="204"/>
      <c r="AL1758" s="204"/>
      <c r="AM1758" s="204"/>
    </row>
    <row r="1759">
      <c r="A1759" s="204"/>
      <c r="B1759" s="209"/>
      <c r="C1759" s="204"/>
      <c r="D1759" s="210"/>
      <c r="E1759" s="211"/>
      <c r="F1759" s="211"/>
      <c r="G1759" s="212"/>
      <c r="H1759" s="212"/>
      <c r="I1759" s="204"/>
      <c r="J1759" s="204"/>
      <c r="K1759" s="204"/>
      <c r="L1759" s="204"/>
      <c r="M1759" s="204"/>
      <c r="N1759" s="204"/>
      <c r="O1759" s="204"/>
      <c r="P1759" s="204"/>
      <c r="Q1759" s="204"/>
      <c r="R1759" s="204"/>
      <c r="S1759" s="204"/>
      <c r="T1759" s="204"/>
      <c r="U1759" s="204"/>
      <c r="V1759" s="204"/>
      <c r="W1759" s="204"/>
      <c r="X1759" s="204"/>
      <c r="Y1759" s="204"/>
      <c r="Z1759" s="204"/>
      <c r="AA1759" s="204"/>
      <c r="AB1759" s="204"/>
      <c r="AC1759" s="204"/>
      <c r="AD1759" s="204"/>
      <c r="AE1759" s="204"/>
      <c r="AF1759" s="204"/>
      <c r="AG1759" s="204"/>
      <c r="AH1759" s="204"/>
      <c r="AI1759" s="209"/>
      <c r="AJ1759" s="209"/>
      <c r="AK1759" s="204"/>
      <c r="AL1759" s="204"/>
      <c r="AM1759" s="204"/>
    </row>
    <row r="1760">
      <c r="A1760" s="204"/>
      <c r="B1760" s="209"/>
      <c r="C1760" s="204"/>
      <c r="D1760" s="210"/>
      <c r="E1760" s="211"/>
      <c r="F1760" s="211"/>
      <c r="G1760" s="212"/>
      <c r="H1760" s="212"/>
      <c r="I1760" s="204"/>
      <c r="J1760" s="204"/>
      <c r="K1760" s="204"/>
      <c r="L1760" s="204"/>
      <c r="M1760" s="204"/>
      <c r="N1760" s="204"/>
      <c r="O1760" s="204"/>
      <c r="P1760" s="204"/>
      <c r="Q1760" s="204"/>
      <c r="R1760" s="204"/>
      <c r="S1760" s="204"/>
      <c r="T1760" s="204"/>
      <c r="U1760" s="204"/>
      <c r="V1760" s="204"/>
      <c r="W1760" s="204"/>
      <c r="X1760" s="204"/>
      <c r="Y1760" s="204"/>
      <c r="Z1760" s="204"/>
      <c r="AA1760" s="204"/>
      <c r="AB1760" s="204"/>
      <c r="AC1760" s="204"/>
      <c r="AD1760" s="204"/>
      <c r="AE1760" s="204"/>
      <c r="AF1760" s="204"/>
      <c r="AG1760" s="204"/>
      <c r="AH1760" s="204"/>
      <c r="AI1760" s="209"/>
      <c r="AJ1760" s="209"/>
      <c r="AK1760" s="204"/>
      <c r="AL1760" s="204"/>
      <c r="AM1760" s="204"/>
    </row>
    <row r="1761">
      <c r="A1761" s="204"/>
      <c r="B1761" s="209"/>
      <c r="C1761" s="204"/>
      <c r="D1761" s="210"/>
      <c r="E1761" s="211"/>
      <c r="F1761" s="211"/>
      <c r="G1761" s="212"/>
      <c r="H1761" s="212"/>
      <c r="I1761" s="204"/>
      <c r="J1761" s="204"/>
      <c r="K1761" s="204"/>
      <c r="L1761" s="204"/>
      <c r="M1761" s="204"/>
      <c r="N1761" s="204"/>
      <c r="O1761" s="204"/>
      <c r="P1761" s="204"/>
      <c r="Q1761" s="204"/>
      <c r="R1761" s="204"/>
      <c r="S1761" s="204"/>
      <c r="T1761" s="204"/>
      <c r="U1761" s="204"/>
      <c r="V1761" s="204"/>
      <c r="W1761" s="204"/>
      <c r="X1761" s="204"/>
      <c r="Y1761" s="204"/>
      <c r="Z1761" s="204"/>
      <c r="AA1761" s="204"/>
      <c r="AB1761" s="204"/>
      <c r="AC1761" s="204"/>
      <c r="AD1761" s="204"/>
      <c r="AE1761" s="204"/>
      <c r="AF1761" s="204"/>
      <c r="AG1761" s="204"/>
      <c r="AH1761" s="204"/>
      <c r="AI1761" s="209"/>
      <c r="AJ1761" s="209"/>
      <c r="AK1761" s="204"/>
      <c r="AL1761" s="204"/>
      <c r="AM1761" s="204"/>
    </row>
    <row r="1762">
      <c r="A1762" s="204"/>
      <c r="B1762" s="209"/>
      <c r="C1762" s="204"/>
      <c r="D1762" s="210"/>
      <c r="E1762" s="211"/>
      <c r="F1762" s="211"/>
      <c r="G1762" s="212"/>
      <c r="H1762" s="212"/>
      <c r="I1762" s="204"/>
      <c r="J1762" s="204"/>
      <c r="K1762" s="204"/>
      <c r="L1762" s="204"/>
      <c r="M1762" s="204"/>
      <c r="N1762" s="204"/>
      <c r="O1762" s="204"/>
      <c r="P1762" s="204"/>
      <c r="Q1762" s="204"/>
      <c r="R1762" s="204"/>
      <c r="S1762" s="204"/>
      <c r="T1762" s="204"/>
      <c r="U1762" s="204"/>
      <c r="V1762" s="204"/>
      <c r="W1762" s="204"/>
      <c r="X1762" s="204"/>
      <c r="Y1762" s="204"/>
      <c r="Z1762" s="204"/>
      <c r="AA1762" s="204"/>
      <c r="AB1762" s="204"/>
      <c r="AC1762" s="204"/>
      <c r="AD1762" s="204"/>
      <c r="AE1762" s="204"/>
      <c r="AF1762" s="204"/>
      <c r="AG1762" s="204"/>
      <c r="AH1762" s="204"/>
      <c r="AI1762" s="209"/>
      <c r="AJ1762" s="209"/>
      <c r="AK1762" s="204"/>
      <c r="AL1762" s="204"/>
      <c r="AM1762" s="204"/>
    </row>
    <row r="1763">
      <c r="A1763" s="204"/>
      <c r="B1763" s="209"/>
      <c r="C1763" s="204"/>
      <c r="D1763" s="210"/>
      <c r="E1763" s="211"/>
      <c r="F1763" s="211"/>
      <c r="G1763" s="212"/>
      <c r="H1763" s="212"/>
      <c r="I1763" s="204"/>
      <c r="J1763" s="204"/>
      <c r="K1763" s="204"/>
      <c r="L1763" s="204"/>
      <c r="M1763" s="204"/>
      <c r="N1763" s="204"/>
      <c r="O1763" s="204"/>
      <c r="P1763" s="204"/>
      <c r="Q1763" s="204"/>
      <c r="R1763" s="204"/>
      <c r="S1763" s="204"/>
      <c r="T1763" s="204"/>
      <c r="U1763" s="204"/>
      <c r="V1763" s="204"/>
      <c r="W1763" s="204"/>
      <c r="X1763" s="204"/>
      <c r="Y1763" s="204"/>
      <c r="Z1763" s="204"/>
      <c r="AA1763" s="204"/>
      <c r="AB1763" s="204"/>
      <c r="AC1763" s="204"/>
      <c r="AD1763" s="204"/>
      <c r="AE1763" s="204"/>
      <c r="AF1763" s="204"/>
      <c r="AG1763" s="204"/>
      <c r="AH1763" s="204"/>
      <c r="AI1763" s="209"/>
      <c r="AJ1763" s="209"/>
      <c r="AK1763" s="204"/>
      <c r="AL1763" s="204"/>
      <c r="AM1763" s="204"/>
    </row>
    <row r="1764">
      <c r="A1764" s="204"/>
      <c r="B1764" s="209"/>
      <c r="C1764" s="204"/>
      <c r="D1764" s="210"/>
      <c r="E1764" s="211"/>
      <c r="F1764" s="211"/>
      <c r="G1764" s="212"/>
      <c r="H1764" s="212"/>
      <c r="I1764" s="204"/>
      <c r="J1764" s="204"/>
      <c r="K1764" s="204"/>
      <c r="L1764" s="204"/>
      <c r="M1764" s="204"/>
      <c r="N1764" s="204"/>
      <c r="O1764" s="204"/>
      <c r="P1764" s="204"/>
      <c r="Q1764" s="204"/>
      <c r="R1764" s="204"/>
      <c r="S1764" s="204"/>
      <c r="T1764" s="204"/>
      <c r="U1764" s="204"/>
      <c r="V1764" s="204"/>
      <c r="W1764" s="204"/>
      <c r="X1764" s="204"/>
      <c r="Y1764" s="204"/>
      <c r="Z1764" s="204"/>
      <c r="AA1764" s="204"/>
      <c r="AB1764" s="204"/>
      <c r="AC1764" s="204"/>
      <c r="AD1764" s="204"/>
      <c r="AE1764" s="204"/>
      <c r="AF1764" s="204"/>
      <c r="AG1764" s="204"/>
      <c r="AH1764" s="204"/>
      <c r="AI1764" s="209"/>
      <c r="AJ1764" s="209"/>
      <c r="AK1764" s="204"/>
      <c r="AL1764" s="204"/>
      <c r="AM1764" s="204"/>
    </row>
    <row r="1765">
      <c r="A1765" s="204"/>
      <c r="B1765" s="209"/>
      <c r="C1765" s="204"/>
      <c r="D1765" s="210"/>
      <c r="E1765" s="211"/>
      <c r="F1765" s="211"/>
      <c r="G1765" s="212"/>
      <c r="H1765" s="212"/>
      <c r="I1765" s="204"/>
      <c r="J1765" s="204"/>
      <c r="K1765" s="204"/>
      <c r="L1765" s="204"/>
      <c r="M1765" s="204"/>
      <c r="N1765" s="204"/>
      <c r="O1765" s="204"/>
      <c r="P1765" s="204"/>
      <c r="Q1765" s="204"/>
      <c r="R1765" s="204"/>
      <c r="S1765" s="204"/>
      <c r="T1765" s="204"/>
      <c r="U1765" s="204"/>
      <c r="V1765" s="204"/>
      <c r="W1765" s="204"/>
      <c r="X1765" s="204"/>
      <c r="Y1765" s="204"/>
      <c r="Z1765" s="204"/>
      <c r="AA1765" s="204"/>
      <c r="AB1765" s="204"/>
      <c r="AC1765" s="204"/>
      <c r="AD1765" s="204"/>
      <c r="AE1765" s="204"/>
      <c r="AF1765" s="204"/>
      <c r="AG1765" s="204"/>
      <c r="AH1765" s="204"/>
      <c r="AI1765" s="209"/>
      <c r="AJ1765" s="209"/>
      <c r="AK1765" s="204"/>
      <c r="AL1765" s="204"/>
      <c r="AM1765" s="204"/>
    </row>
    <row r="1766">
      <c r="A1766" s="204"/>
      <c r="B1766" s="209"/>
      <c r="C1766" s="204"/>
      <c r="D1766" s="210"/>
      <c r="E1766" s="211"/>
      <c r="F1766" s="211"/>
      <c r="G1766" s="212"/>
      <c r="H1766" s="212"/>
      <c r="I1766" s="204"/>
      <c r="J1766" s="204"/>
      <c r="K1766" s="204"/>
      <c r="L1766" s="204"/>
      <c r="M1766" s="204"/>
      <c r="N1766" s="204"/>
      <c r="O1766" s="204"/>
      <c r="P1766" s="204"/>
      <c r="Q1766" s="204"/>
      <c r="R1766" s="204"/>
      <c r="S1766" s="204"/>
      <c r="T1766" s="204"/>
      <c r="U1766" s="204"/>
      <c r="V1766" s="204"/>
      <c r="W1766" s="204"/>
      <c r="X1766" s="204"/>
      <c r="Y1766" s="204"/>
      <c r="Z1766" s="204"/>
      <c r="AA1766" s="204"/>
      <c r="AB1766" s="204"/>
      <c r="AC1766" s="204"/>
      <c r="AD1766" s="204"/>
      <c r="AE1766" s="204"/>
      <c r="AF1766" s="204"/>
      <c r="AG1766" s="204"/>
      <c r="AH1766" s="204"/>
      <c r="AI1766" s="209"/>
      <c r="AJ1766" s="209"/>
      <c r="AK1766" s="204"/>
      <c r="AL1766" s="204"/>
      <c r="AM1766" s="204"/>
    </row>
    <row r="1767">
      <c r="A1767" s="204"/>
      <c r="B1767" s="209"/>
      <c r="C1767" s="204"/>
      <c r="D1767" s="210"/>
      <c r="E1767" s="211"/>
      <c r="F1767" s="211"/>
      <c r="G1767" s="212"/>
      <c r="H1767" s="212"/>
      <c r="I1767" s="204"/>
      <c r="J1767" s="204"/>
      <c r="K1767" s="204"/>
      <c r="L1767" s="204"/>
      <c r="M1767" s="204"/>
      <c r="N1767" s="204"/>
      <c r="O1767" s="204"/>
      <c r="P1767" s="204"/>
      <c r="Q1767" s="204"/>
      <c r="R1767" s="204"/>
      <c r="S1767" s="204"/>
      <c r="T1767" s="204"/>
      <c r="U1767" s="204"/>
      <c r="V1767" s="204"/>
      <c r="W1767" s="204"/>
      <c r="X1767" s="204"/>
      <c r="Y1767" s="204"/>
      <c r="Z1767" s="204"/>
      <c r="AA1767" s="204"/>
      <c r="AB1767" s="204"/>
      <c r="AC1767" s="204"/>
      <c r="AD1767" s="204"/>
      <c r="AE1767" s="204"/>
      <c r="AF1767" s="204"/>
      <c r="AG1767" s="204"/>
      <c r="AH1767" s="204"/>
      <c r="AI1767" s="209"/>
      <c r="AJ1767" s="209"/>
      <c r="AK1767" s="204"/>
      <c r="AL1767" s="204"/>
      <c r="AM1767" s="204"/>
    </row>
    <row r="1768">
      <c r="A1768" s="204"/>
      <c r="B1768" s="209"/>
      <c r="C1768" s="204"/>
      <c r="D1768" s="210"/>
      <c r="E1768" s="211"/>
      <c r="F1768" s="211"/>
      <c r="G1768" s="212"/>
      <c r="H1768" s="212"/>
      <c r="I1768" s="204"/>
      <c r="J1768" s="204"/>
      <c r="K1768" s="204"/>
      <c r="L1768" s="204"/>
      <c r="M1768" s="204"/>
      <c r="N1768" s="204"/>
      <c r="O1768" s="204"/>
      <c r="P1768" s="204"/>
      <c r="Q1768" s="204"/>
      <c r="R1768" s="204"/>
      <c r="S1768" s="204"/>
      <c r="T1768" s="204"/>
      <c r="U1768" s="204"/>
      <c r="V1768" s="204"/>
      <c r="W1768" s="204"/>
      <c r="X1768" s="204"/>
      <c r="Y1768" s="204"/>
      <c r="Z1768" s="204"/>
      <c r="AA1768" s="204"/>
      <c r="AB1768" s="204"/>
      <c r="AC1768" s="204"/>
      <c r="AD1768" s="204"/>
      <c r="AE1768" s="204"/>
      <c r="AF1768" s="204"/>
      <c r="AG1768" s="204"/>
      <c r="AH1768" s="204"/>
      <c r="AI1768" s="209"/>
      <c r="AJ1768" s="209"/>
      <c r="AK1768" s="204"/>
      <c r="AL1768" s="204"/>
      <c r="AM1768" s="204"/>
    </row>
    <row r="1769">
      <c r="A1769" s="204"/>
      <c r="B1769" s="209"/>
      <c r="C1769" s="204"/>
      <c r="D1769" s="210"/>
      <c r="E1769" s="211"/>
      <c r="F1769" s="211"/>
      <c r="G1769" s="212"/>
      <c r="H1769" s="212"/>
      <c r="I1769" s="204"/>
      <c r="J1769" s="204"/>
      <c r="K1769" s="204"/>
      <c r="L1769" s="204"/>
      <c r="M1769" s="204"/>
      <c r="N1769" s="204"/>
      <c r="O1769" s="204"/>
      <c r="P1769" s="204"/>
      <c r="Q1769" s="204"/>
      <c r="R1769" s="204"/>
      <c r="S1769" s="204"/>
      <c r="T1769" s="204"/>
      <c r="U1769" s="204"/>
      <c r="V1769" s="204"/>
      <c r="W1769" s="204"/>
      <c r="X1769" s="204"/>
      <c r="Y1769" s="204"/>
      <c r="Z1769" s="204"/>
      <c r="AA1769" s="204"/>
      <c r="AB1769" s="204"/>
      <c r="AC1769" s="204"/>
      <c r="AD1769" s="204"/>
      <c r="AE1769" s="204"/>
      <c r="AF1769" s="204"/>
      <c r="AG1769" s="204"/>
      <c r="AH1769" s="204"/>
      <c r="AI1769" s="209"/>
      <c r="AJ1769" s="209"/>
      <c r="AK1769" s="204"/>
      <c r="AL1769" s="204"/>
      <c r="AM1769" s="204"/>
    </row>
    <row r="1770">
      <c r="A1770" s="204"/>
      <c r="B1770" s="209"/>
      <c r="C1770" s="204"/>
      <c r="D1770" s="210"/>
      <c r="E1770" s="211"/>
      <c r="F1770" s="211"/>
      <c r="G1770" s="212"/>
      <c r="H1770" s="212"/>
      <c r="I1770" s="204"/>
      <c r="J1770" s="204"/>
      <c r="K1770" s="204"/>
      <c r="L1770" s="204"/>
      <c r="M1770" s="204"/>
      <c r="N1770" s="204"/>
      <c r="O1770" s="204"/>
      <c r="P1770" s="204"/>
      <c r="Q1770" s="204"/>
      <c r="R1770" s="204"/>
      <c r="S1770" s="204"/>
      <c r="T1770" s="204"/>
      <c r="U1770" s="204"/>
      <c r="V1770" s="204"/>
      <c r="W1770" s="204"/>
      <c r="X1770" s="204"/>
      <c r="Y1770" s="204"/>
      <c r="Z1770" s="204"/>
      <c r="AA1770" s="204"/>
      <c r="AB1770" s="204"/>
      <c r="AC1770" s="204"/>
      <c r="AD1770" s="204"/>
      <c r="AE1770" s="204"/>
      <c r="AF1770" s="204"/>
      <c r="AG1770" s="204"/>
      <c r="AH1770" s="204"/>
      <c r="AI1770" s="209"/>
      <c r="AJ1770" s="209"/>
      <c r="AK1770" s="204"/>
      <c r="AL1770" s="204"/>
      <c r="AM1770" s="204"/>
    </row>
    <row r="1771">
      <c r="A1771" s="204"/>
      <c r="B1771" s="209"/>
      <c r="C1771" s="204"/>
      <c r="D1771" s="210"/>
      <c r="E1771" s="211"/>
      <c r="F1771" s="211"/>
      <c r="G1771" s="212"/>
      <c r="H1771" s="212"/>
      <c r="I1771" s="204"/>
      <c r="J1771" s="204"/>
      <c r="K1771" s="204"/>
      <c r="L1771" s="204"/>
      <c r="M1771" s="204"/>
      <c r="N1771" s="204"/>
      <c r="O1771" s="204"/>
      <c r="P1771" s="204"/>
      <c r="Q1771" s="204"/>
      <c r="R1771" s="204"/>
      <c r="S1771" s="204"/>
      <c r="T1771" s="204"/>
      <c r="U1771" s="204"/>
      <c r="V1771" s="204"/>
      <c r="W1771" s="204"/>
      <c r="X1771" s="204"/>
      <c r="Y1771" s="204"/>
      <c r="Z1771" s="204"/>
      <c r="AA1771" s="204"/>
      <c r="AB1771" s="204"/>
      <c r="AC1771" s="204"/>
      <c r="AD1771" s="204"/>
      <c r="AE1771" s="204"/>
      <c r="AF1771" s="204"/>
      <c r="AG1771" s="204"/>
      <c r="AH1771" s="204"/>
      <c r="AI1771" s="209"/>
      <c r="AJ1771" s="209"/>
      <c r="AK1771" s="204"/>
      <c r="AL1771" s="204"/>
      <c r="AM1771" s="204"/>
    </row>
    <row r="1772">
      <c r="A1772" s="204"/>
      <c r="B1772" s="209"/>
      <c r="C1772" s="204"/>
      <c r="D1772" s="210"/>
      <c r="E1772" s="211"/>
      <c r="F1772" s="211"/>
      <c r="G1772" s="212"/>
      <c r="H1772" s="212"/>
      <c r="I1772" s="204"/>
      <c r="J1772" s="204"/>
      <c r="K1772" s="204"/>
      <c r="L1772" s="204"/>
      <c r="M1772" s="204"/>
      <c r="N1772" s="204"/>
      <c r="O1772" s="204"/>
      <c r="P1772" s="204"/>
      <c r="Q1772" s="204"/>
      <c r="R1772" s="204"/>
      <c r="S1772" s="204"/>
      <c r="T1772" s="204"/>
      <c r="U1772" s="204"/>
      <c r="V1772" s="204"/>
      <c r="W1772" s="204"/>
      <c r="X1772" s="204"/>
      <c r="Y1772" s="204"/>
      <c r="Z1772" s="204"/>
      <c r="AA1772" s="204"/>
      <c r="AB1772" s="204"/>
      <c r="AC1772" s="204"/>
      <c r="AD1772" s="204"/>
      <c r="AE1772" s="204"/>
      <c r="AF1772" s="204"/>
      <c r="AG1772" s="204"/>
      <c r="AH1772" s="204"/>
      <c r="AI1772" s="209"/>
      <c r="AJ1772" s="209"/>
      <c r="AK1772" s="204"/>
      <c r="AL1772" s="204"/>
      <c r="AM1772" s="204"/>
    </row>
    <row r="1773">
      <c r="A1773" s="204"/>
      <c r="B1773" s="209"/>
      <c r="C1773" s="204"/>
      <c r="D1773" s="210"/>
      <c r="E1773" s="211"/>
      <c r="F1773" s="211"/>
      <c r="G1773" s="212"/>
      <c r="H1773" s="212"/>
      <c r="I1773" s="204"/>
      <c r="J1773" s="204"/>
      <c r="K1773" s="204"/>
      <c r="L1773" s="204"/>
      <c r="M1773" s="204"/>
      <c r="N1773" s="204"/>
      <c r="O1773" s="204"/>
      <c r="P1773" s="204"/>
      <c r="Q1773" s="204"/>
      <c r="R1773" s="204"/>
      <c r="S1773" s="204"/>
      <c r="T1773" s="204"/>
      <c r="U1773" s="204"/>
      <c r="V1773" s="204"/>
      <c r="W1773" s="204"/>
      <c r="X1773" s="204"/>
      <c r="Y1773" s="204"/>
      <c r="Z1773" s="204"/>
      <c r="AA1773" s="204"/>
      <c r="AB1773" s="204"/>
      <c r="AC1773" s="204"/>
      <c r="AD1773" s="204"/>
      <c r="AE1773" s="204"/>
      <c r="AF1773" s="204"/>
      <c r="AG1773" s="204"/>
      <c r="AH1773" s="204"/>
      <c r="AI1773" s="209"/>
      <c r="AJ1773" s="209"/>
      <c r="AK1773" s="204"/>
      <c r="AL1773" s="204"/>
      <c r="AM1773" s="204"/>
    </row>
    <row r="1774">
      <c r="A1774" s="204"/>
      <c r="B1774" s="209"/>
      <c r="C1774" s="204"/>
      <c r="D1774" s="210"/>
      <c r="E1774" s="211"/>
      <c r="F1774" s="211"/>
      <c r="G1774" s="212"/>
      <c r="H1774" s="212"/>
      <c r="I1774" s="204"/>
      <c r="J1774" s="204"/>
      <c r="K1774" s="204"/>
      <c r="L1774" s="204"/>
      <c r="M1774" s="204"/>
      <c r="N1774" s="204"/>
      <c r="O1774" s="204"/>
      <c r="P1774" s="204"/>
      <c r="Q1774" s="204"/>
      <c r="R1774" s="204"/>
      <c r="S1774" s="204"/>
      <c r="T1774" s="204"/>
      <c r="U1774" s="204"/>
      <c r="V1774" s="204"/>
      <c r="W1774" s="204"/>
      <c r="X1774" s="204"/>
      <c r="Y1774" s="204"/>
      <c r="Z1774" s="204"/>
      <c r="AA1774" s="204"/>
      <c r="AB1774" s="204"/>
      <c r="AC1774" s="204"/>
      <c r="AD1774" s="204"/>
      <c r="AE1774" s="204"/>
      <c r="AF1774" s="204"/>
      <c r="AG1774" s="204"/>
      <c r="AH1774" s="204"/>
      <c r="AI1774" s="209"/>
      <c r="AJ1774" s="209"/>
      <c r="AK1774" s="204"/>
      <c r="AL1774" s="204"/>
      <c r="AM1774" s="204"/>
    </row>
    <row r="1775">
      <c r="A1775" s="204"/>
      <c r="B1775" s="209"/>
      <c r="C1775" s="204"/>
      <c r="D1775" s="210"/>
      <c r="E1775" s="211"/>
      <c r="F1775" s="211"/>
      <c r="G1775" s="212"/>
      <c r="H1775" s="212"/>
      <c r="I1775" s="204"/>
      <c r="J1775" s="204"/>
      <c r="K1775" s="204"/>
      <c r="L1775" s="204"/>
      <c r="M1775" s="204"/>
      <c r="N1775" s="204"/>
      <c r="O1775" s="204"/>
      <c r="P1775" s="204"/>
      <c r="Q1775" s="204"/>
      <c r="R1775" s="204"/>
      <c r="S1775" s="204"/>
      <c r="T1775" s="204"/>
      <c r="U1775" s="204"/>
      <c r="V1775" s="204"/>
      <c r="W1775" s="204"/>
      <c r="X1775" s="204"/>
      <c r="Y1775" s="204"/>
      <c r="Z1775" s="204"/>
      <c r="AA1775" s="204"/>
      <c r="AB1775" s="204"/>
      <c r="AC1775" s="204"/>
      <c r="AD1775" s="204"/>
      <c r="AE1775" s="204"/>
      <c r="AF1775" s="204"/>
      <c r="AG1775" s="204"/>
      <c r="AH1775" s="204"/>
      <c r="AI1775" s="209"/>
      <c r="AJ1775" s="209"/>
      <c r="AK1775" s="204"/>
      <c r="AL1775" s="204"/>
      <c r="AM1775" s="204"/>
    </row>
    <row r="1776">
      <c r="A1776" s="204"/>
      <c r="B1776" s="209"/>
      <c r="C1776" s="204"/>
      <c r="D1776" s="210"/>
      <c r="E1776" s="211"/>
      <c r="F1776" s="211"/>
      <c r="G1776" s="212"/>
      <c r="H1776" s="212"/>
      <c r="I1776" s="204"/>
      <c r="J1776" s="204"/>
      <c r="K1776" s="204"/>
      <c r="L1776" s="204"/>
      <c r="M1776" s="204"/>
      <c r="N1776" s="204"/>
      <c r="O1776" s="204"/>
      <c r="P1776" s="204"/>
      <c r="Q1776" s="204"/>
      <c r="R1776" s="204"/>
      <c r="S1776" s="204"/>
      <c r="T1776" s="204"/>
      <c r="U1776" s="204"/>
      <c r="V1776" s="204"/>
      <c r="W1776" s="204"/>
      <c r="X1776" s="204"/>
      <c r="Y1776" s="204"/>
      <c r="Z1776" s="204"/>
      <c r="AA1776" s="204"/>
      <c r="AB1776" s="204"/>
      <c r="AC1776" s="204"/>
      <c r="AD1776" s="204"/>
      <c r="AE1776" s="204"/>
      <c r="AF1776" s="204"/>
      <c r="AG1776" s="204"/>
      <c r="AH1776" s="204"/>
      <c r="AI1776" s="209"/>
      <c r="AJ1776" s="209"/>
      <c r="AK1776" s="204"/>
      <c r="AL1776" s="204"/>
      <c r="AM1776" s="204"/>
    </row>
    <row r="1777">
      <c r="A1777" s="204"/>
      <c r="B1777" s="209"/>
      <c r="C1777" s="204"/>
      <c r="D1777" s="210"/>
      <c r="E1777" s="211"/>
      <c r="F1777" s="211"/>
      <c r="G1777" s="212"/>
      <c r="H1777" s="212"/>
      <c r="I1777" s="204"/>
      <c r="J1777" s="204"/>
      <c r="K1777" s="204"/>
      <c r="L1777" s="204"/>
      <c r="M1777" s="204"/>
      <c r="N1777" s="204"/>
      <c r="O1777" s="204"/>
      <c r="P1777" s="204"/>
      <c r="Q1777" s="204"/>
      <c r="R1777" s="204"/>
      <c r="S1777" s="204"/>
      <c r="T1777" s="204"/>
      <c r="U1777" s="204"/>
      <c r="V1777" s="204"/>
      <c r="W1777" s="204"/>
      <c r="X1777" s="204"/>
      <c r="Y1777" s="204"/>
      <c r="Z1777" s="204"/>
      <c r="AA1777" s="204"/>
      <c r="AB1777" s="204"/>
      <c r="AC1777" s="204"/>
      <c r="AD1777" s="204"/>
      <c r="AE1777" s="204"/>
      <c r="AF1777" s="204"/>
      <c r="AG1777" s="204"/>
      <c r="AH1777" s="204"/>
      <c r="AI1777" s="209"/>
      <c r="AJ1777" s="209"/>
      <c r="AK1777" s="204"/>
      <c r="AL1777" s="204"/>
      <c r="AM1777" s="204"/>
    </row>
    <row r="1778">
      <c r="A1778" s="204"/>
      <c r="B1778" s="209"/>
      <c r="C1778" s="204"/>
      <c r="D1778" s="210"/>
      <c r="E1778" s="211"/>
      <c r="F1778" s="211"/>
      <c r="G1778" s="212"/>
      <c r="H1778" s="212"/>
      <c r="I1778" s="204"/>
      <c r="J1778" s="204"/>
      <c r="K1778" s="204"/>
      <c r="L1778" s="204"/>
      <c r="M1778" s="204"/>
      <c r="N1778" s="204"/>
      <c r="O1778" s="204"/>
      <c r="P1778" s="204"/>
      <c r="Q1778" s="204"/>
      <c r="R1778" s="204"/>
      <c r="S1778" s="204"/>
      <c r="T1778" s="204"/>
      <c r="U1778" s="204"/>
      <c r="V1778" s="204"/>
      <c r="W1778" s="204"/>
      <c r="X1778" s="204"/>
      <c r="Y1778" s="204"/>
      <c r="Z1778" s="204"/>
      <c r="AA1778" s="204"/>
      <c r="AB1778" s="204"/>
      <c r="AC1778" s="204"/>
      <c r="AD1778" s="204"/>
      <c r="AE1778" s="204"/>
      <c r="AF1778" s="204"/>
      <c r="AG1778" s="204"/>
      <c r="AH1778" s="204"/>
      <c r="AI1778" s="209"/>
      <c r="AJ1778" s="209"/>
      <c r="AK1778" s="204"/>
      <c r="AL1778" s="204"/>
      <c r="AM1778" s="204"/>
    </row>
    <row r="1779">
      <c r="A1779" s="204"/>
      <c r="B1779" s="209"/>
      <c r="C1779" s="204"/>
      <c r="D1779" s="210"/>
      <c r="E1779" s="211"/>
      <c r="F1779" s="211"/>
      <c r="G1779" s="212"/>
      <c r="H1779" s="212"/>
      <c r="I1779" s="204"/>
      <c r="J1779" s="204"/>
      <c r="K1779" s="204"/>
      <c r="L1779" s="204"/>
      <c r="M1779" s="204"/>
      <c r="N1779" s="204"/>
      <c r="O1779" s="204"/>
      <c r="P1779" s="204"/>
      <c r="Q1779" s="204"/>
      <c r="R1779" s="204"/>
      <c r="S1779" s="204"/>
      <c r="T1779" s="204"/>
      <c r="U1779" s="204"/>
      <c r="V1779" s="204"/>
      <c r="W1779" s="204"/>
      <c r="X1779" s="204"/>
      <c r="Y1779" s="204"/>
      <c r="Z1779" s="204"/>
      <c r="AA1779" s="204"/>
      <c r="AB1779" s="204"/>
      <c r="AC1779" s="204"/>
      <c r="AD1779" s="204"/>
      <c r="AE1779" s="204"/>
      <c r="AF1779" s="204"/>
      <c r="AG1779" s="204"/>
      <c r="AH1779" s="204"/>
      <c r="AI1779" s="209"/>
      <c r="AJ1779" s="209"/>
      <c r="AK1779" s="204"/>
      <c r="AL1779" s="204"/>
      <c r="AM1779" s="204"/>
    </row>
    <row r="1780">
      <c r="A1780" s="204"/>
      <c r="B1780" s="209"/>
      <c r="C1780" s="204"/>
      <c r="D1780" s="210"/>
      <c r="E1780" s="211"/>
      <c r="F1780" s="211"/>
      <c r="G1780" s="212"/>
      <c r="H1780" s="212"/>
      <c r="I1780" s="204"/>
      <c r="J1780" s="204"/>
      <c r="K1780" s="204"/>
      <c r="L1780" s="204"/>
      <c r="M1780" s="204"/>
      <c r="N1780" s="204"/>
      <c r="O1780" s="204"/>
      <c r="P1780" s="204"/>
      <c r="Q1780" s="204"/>
      <c r="R1780" s="204"/>
      <c r="S1780" s="204"/>
      <c r="T1780" s="204"/>
      <c r="U1780" s="204"/>
      <c r="V1780" s="204"/>
      <c r="W1780" s="204"/>
      <c r="X1780" s="204"/>
      <c r="Y1780" s="204"/>
      <c r="Z1780" s="204"/>
      <c r="AA1780" s="204"/>
      <c r="AB1780" s="204"/>
      <c r="AC1780" s="204"/>
      <c r="AD1780" s="204"/>
      <c r="AE1780" s="204"/>
      <c r="AF1780" s="204"/>
      <c r="AG1780" s="204"/>
      <c r="AH1780" s="204"/>
      <c r="AI1780" s="209"/>
      <c r="AJ1780" s="209"/>
      <c r="AK1780" s="204"/>
      <c r="AL1780" s="204"/>
      <c r="AM1780" s="204"/>
    </row>
    <row r="1781">
      <c r="A1781" s="204"/>
      <c r="B1781" s="209"/>
      <c r="C1781" s="204"/>
      <c r="D1781" s="210"/>
      <c r="E1781" s="211"/>
      <c r="F1781" s="211"/>
      <c r="G1781" s="212"/>
      <c r="H1781" s="212"/>
      <c r="I1781" s="204"/>
      <c r="J1781" s="204"/>
      <c r="K1781" s="204"/>
      <c r="L1781" s="204"/>
      <c r="M1781" s="204"/>
      <c r="N1781" s="204"/>
      <c r="O1781" s="204"/>
      <c r="P1781" s="204"/>
      <c r="Q1781" s="204"/>
      <c r="R1781" s="204"/>
      <c r="S1781" s="204"/>
      <c r="T1781" s="204"/>
      <c r="U1781" s="204"/>
      <c r="V1781" s="204"/>
      <c r="W1781" s="204"/>
      <c r="X1781" s="204"/>
      <c r="Y1781" s="204"/>
      <c r="Z1781" s="204"/>
      <c r="AA1781" s="204"/>
      <c r="AB1781" s="204"/>
      <c r="AC1781" s="204"/>
      <c r="AD1781" s="204"/>
      <c r="AE1781" s="204"/>
      <c r="AF1781" s="204"/>
      <c r="AG1781" s="204"/>
      <c r="AH1781" s="204"/>
      <c r="AI1781" s="209"/>
      <c r="AJ1781" s="209"/>
      <c r="AK1781" s="204"/>
      <c r="AL1781" s="204"/>
      <c r="AM1781" s="204"/>
    </row>
    <row r="1782">
      <c r="A1782" s="204"/>
      <c r="B1782" s="209"/>
      <c r="C1782" s="204"/>
      <c r="D1782" s="210"/>
      <c r="E1782" s="211"/>
      <c r="F1782" s="211"/>
      <c r="G1782" s="212"/>
      <c r="H1782" s="212"/>
      <c r="I1782" s="204"/>
      <c r="J1782" s="204"/>
      <c r="K1782" s="204"/>
      <c r="L1782" s="204"/>
      <c r="M1782" s="204"/>
      <c r="N1782" s="204"/>
      <c r="O1782" s="204"/>
      <c r="P1782" s="204"/>
      <c r="Q1782" s="204"/>
      <c r="R1782" s="204"/>
      <c r="S1782" s="204"/>
      <c r="T1782" s="204"/>
      <c r="U1782" s="204"/>
      <c r="V1782" s="204"/>
      <c r="W1782" s="204"/>
      <c r="X1782" s="204"/>
      <c r="Y1782" s="204"/>
      <c r="Z1782" s="204"/>
      <c r="AA1782" s="204"/>
      <c r="AB1782" s="204"/>
      <c r="AC1782" s="204"/>
      <c r="AD1782" s="204"/>
      <c r="AE1782" s="204"/>
      <c r="AF1782" s="204"/>
      <c r="AG1782" s="204"/>
      <c r="AH1782" s="204"/>
      <c r="AI1782" s="209"/>
      <c r="AJ1782" s="209"/>
      <c r="AK1782" s="204"/>
      <c r="AL1782" s="204"/>
      <c r="AM1782" s="204"/>
    </row>
    <row r="1783">
      <c r="A1783" s="204"/>
      <c r="B1783" s="209"/>
      <c r="C1783" s="204"/>
      <c r="D1783" s="210"/>
      <c r="E1783" s="211"/>
      <c r="F1783" s="211"/>
      <c r="G1783" s="212"/>
      <c r="H1783" s="212"/>
      <c r="I1783" s="204"/>
      <c r="J1783" s="204"/>
      <c r="K1783" s="204"/>
      <c r="L1783" s="204"/>
      <c r="M1783" s="204"/>
      <c r="N1783" s="204"/>
      <c r="O1783" s="204"/>
      <c r="P1783" s="204"/>
      <c r="Q1783" s="204"/>
      <c r="R1783" s="204"/>
      <c r="S1783" s="204"/>
      <c r="T1783" s="204"/>
      <c r="U1783" s="204"/>
      <c r="V1783" s="204"/>
      <c r="W1783" s="204"/>
      <c r="X1783" s="204"/>
      <c r="Y1783" s="204"/>
      <c r="Z1783" s="204"/>
      <c r="AA1783" s="204"/>
      <c r="AB1783" s="204"/>
      <c r="AC1783" s="204"/>
      <c r="AD1783" s="204"/>
      <c r="AE1783" s="204"/>
      <c r="AF1783" s="204"/>
      <c r="AG1783" s="204"/>
      <c r="AH1783" s="204"/>
      <c r="AI1783" s="209"/>
      <c r="AJ1783" s="209"/>
      <c r="AK1783" s="204"/>
      <c r="AL1783" s="204"/>
      <c r="AM1783" s="204"/>
    </row>
    <row r="1784">
      <c r="A1784" s="204"/>
      <c r="B1784" s="209"/>
      <c r="C1784" s="204"/>
      <c r="D1784" s="210"/>
      <c r="E1784" s="211"/>
      <c r="F1784" s="211"/>
      <c r="G1784" s="212"/>
      <c r="H1784" s="212"/>
      <c r="I1784" s="204"/>
      <c r="J1784" s="204"/>
      <c r="K1784" s="204"/>
      <c r="L1784" s="204"/>
      <c r="M1784" s="204"/>
      <c r="N1784" s="204"/>
      <c r="O1784" s="204"/>
      <c r="P1784" s="204"/>
      <c r="Q1784" s="204"/>
      <c r="R1784" s="204"/>
      <c r="S1784" s="204"/>
      <c r="T1784" s="204"/>
      <c r="U1784" s="204"/>
      <c r="V1784" s="204"/>
      <c r="W1784" s="204"/>
      <c r="X1784" s="204"/>
      <c r="Y1784" s="204"/>
      <c r="Z1784" s="204"/>
      <c r="AA1784" s="204"/>
      <c r="AB1784" s="204"/>
      <c r="AC1784" s="204"/>
      <c r="AD1784" s="204"/>
      <c r="AE1784" s="204"/>
      <c r="AF1784" s="204"/>
      <c r="AG1784" s="204"/>
      <c r="AH1784" s="204"/>
      <c r="AI1784" s="209"/>
      <c r="AJ1784" s="209"/>
      <c r="AK1784" s="204"/>
      <c r="AL1784" s="204"/>
      <c r="AM1784" s="204"/>
    </row>
    <row r="1785">
      <c r="A1785" s="204"/>
      <c r="B1785" s="209"/>
      <c r="C1785" s="204"/>
      <c r="D1785" s="210"/>
      <c r="E1785" s="211"/>
      <c r="F1785" s="211"/>
      <c r="G1785" s="212"/>
      <c r="H1785" s="212"/>
      <c r="I1785" s="204"/>
      <c r="J1785" s="204"/>
      <c r="K1785" s="204"/>
      <c r="L1785" s="204"/>
      <c r="M1785" s="204"/>
      <c r="N1785" s="204"/>
      <c r="O1785" s="204"/>
      <c r="P1785" s="204"/>
      <c r="Q1785" s="204"/>
      <c r="R1785" s="204"/>
      <c r="S1785" s="204"/>
      <c r="T1785" s="204"/>
      <c r="U1785" s="204"/>
      <c r="V1785" s="204"/>
      <c r="W1785" s="204"/>
      <c r="X1785" s="204"/>
      <c r="Y1785" s="204"/>
      <c r="Z1785" s="204"/>
      <c r="AA1785" s="204"/>
      <c r="AB1785" s="204"/>
      <c r="AC1785" s="204"/>
      <c r="AD1785" s="204"/>
      <c r="AE1785" s="204"/>
      <c r="AF1785" s="204"/>
      <c r="AG1785" s="204"/>
      <c r="AH1785" s="204"/>
      <c r="AI1785" s="209"/>
      <c r="AJ1785" s="209"/>
      <c r="AK1785" s="204"/>
      <c r="AL1785" s="204"/>
      <c r="AM1785" s="204"/>
    </row>
    <row r="1786">
      <c r="A1786" s="204"/>
      <c r="B1786" s="209"/>
      <c r="C1786" s="204"/>
      <c r="D1786" s="210"/>
      <c r="E1786" s="211"/>
      <c r="F1786" s="211"/>
      <c r="G1786" s="212"/>
      <c r="H1786" s="212"/>
      <c r="I1786" s="204"/>
      <c r="J1786" s="204"/>
      <c r="K1786" s="204"/>
      <c r="L1786" s="204"/>
      <c r="M1786" s="204"/>
      <c r="N1786" s="204"/>
      <c r="O1786" s="204"/>
      <c r="P1786" s="204"/>
      <c r="Q1786" s="204"/>
      <c r="R1786" s="204"/>
      <c r="S1786" s="204"/>
      <c r="T1786" s="204"/>
      <c r="U1786" s="204"/>
      <c r="V1786" s="204"/>
      <c r="W1786" s="204"/>
      <c r="X1786" s="204"/>
      <c r="Y1786" s="204"/>
      <c r="Z1786" s="204"/>
      <c r="AA1786" s="204"/>
      <c r="AB1786" s="204"/>
      <c r="AC1786" s="204"/>
      <c r="AD1786" s="204"/>
      <c r="AE1786" s="204"/>
      <c r="AF1786" s="204"/>
      <c r="AG1786" s="204"/>
      <c r="AH1786" s="204"/>
      <c r="AI1786" s="209"/>
      <c r="AJ1786" s="209"/>
      <c r="AK1786" s="204"/>
      <c r="AL1786" s="204"/>
      <c r="AM1786" s="204"/>
    </row>
    <row r="1787">
      <c r="A1787" s="204"/>
      <c r="B1787" s="209"/>
      <c r="C1787" s="204"/>
      <c r="D1787" s="210"/>
      <c r="E1787" s="211"/>
      <c r="F1787" s="211"/>
      <c r="G1787" s="212"/>
      <c r="H1787" s="212"/>
      <c r="I1787" s="204"/>
      <c r="J1787" s="204"/>
      <c r="K1787" s="204"/>
      <c r="L1787" s="204"/>
      <c r="M1787" s="204"/>
      <c r="N1787" s="204"/>
      <c r="O1787" s="204"/>
      <c r="P1787" s="204"/>
      <c r="Q1787" s="204"/>
      <c r="R1787" s="204"/>
      <c r="S1787" s="204"/>
      <c r="T1787" s="204"/>
      <c r="U1787" s="204"/>
      <c r="V1787" s="204"/>
      <c r="W1787" s="204"/>
      <c r="X1787" s="204"/>
      <c r="Y1787" s="204"/>
      <c r="Z1787" s="204"/>
      <c r="AA1787" s="204"/>
      <c r="AB1787" s="204"/>
      <c r="AC1787" s="204"/>
      <c r="AD1787" s="204"/>
      <c r="AE1787" s="204"/>
      <c r="AF1787" s="204"/>
      <c r="AG1787" s="204"/>
      <c r="AH1787" s="204"/>
      <c r="AI1787" s="209"/>
      <c r="AJ1787" s="209"/>
      <c r="AK1787" s="204"/>
      <c r="AL1787" s="204"/>
      <c r="AM1787" s="204"/>
    </row>
    <row r="1788">
      <c r="A1788" s="204"/>
      <c r="B1788" s="209"/>
      <c r="C1788" s="204"/>
      <c r="D1788" s="210"/>
      <c r="E1788" s="211"/>
      <c r="F1788" s="211"/>
      <c r="G1788" s="212"/>
      <c r="H1788" s="212"/>
      <c r="I1788" s="204"/>
      <c r="J1788" s="204"/>
      <c r="K1788" s="204"/>
      <c r="L1788" s="204"/>
      <c r="M1788" s="204"/>
      <c r="N1788" s="204"/>
      <c r="O1788" s="204"/>
      <c r="P1788" s="204"/>
      <c r="Q1788" s="204"/>
      <c r="R1788" s="204"/>
      <c r="S1788" s="204"/>
      <c r="T1788" s="204"/>
      <c r="U1788" s="204"/>
      <c r="V1788" s="204"/>
      <c r="W1788" s="204"/>
      <c r="X1788" s="204"/>
      <c r="Y1788" s="204"/>
      <c r="Z1788" s="204"/>
      <c r="AA1788" s="204"/>
      <c r="AB1788" s="204"/>
      <c r="AC1788" s="204"/>
      <c r="AD1788" s="204"/>
      <c r="AE1788" s="204"/>
      <c r="AF1788" s="204"/>
      <c r="AG1788" s="204"/>
      <c r="AH1788" s="204"/>
      <c r="AI1788" s="209"/>
      <c r="AJ1788" s="209"/>
      <c r="AK1788" s="204"/>
      <c r="AL1788" s="204"/>
      <c r="AM1788" s="204"/>
    </row>
    <row r="1789">
      <c r="A1789" s="204"/>
      <c r="B1789" s="209"/>
      <c r="C1789" s="204"/>
      <c r="D1789" s="210"/>
      <c r="E1789" s="211"/>
      <c r="F1789" s="211"/>
      <c r="G1789" s="212"/>
      <c r="H1789" s="212"/>
      <c r="I1789" s="204"/>
      <c r="J1789" s="204"/>
      <c r="K1789" s="204"/>
      <c r="L1789" s="204"/>
      <c r="M1789" s="204"/>
      <c r="N1789" s="204"/>
      <c r="O1789" s="204"/>
      <c r="P1789" s="204"/>
      <c r="Q1789" s="204"/>
      <c r="R1789" s="204"/>
      <c r="S1789" s="204"/>
      <c r="T1789" s="204"/>
      <c r="U1789" s="204"/>
      <c r="V1789" s="204"/>
      <c r="W1789" s="204"/>
      <c r="X1789" s="204"/>
      <c r="Y1789" s="204"/>
      <c r="Z1789" s="204"/>
      <c r="AA1789" s="204"/>
      <c r="AB1789" s="204"/>
      <c r="AC1789" s="204"/>
      <c r="AD1789" s="204"/>
      <c r="AE1789" s="204"/>
      <c r="AF1789" s="204"/>
      <c r="AG1789" s="204"/>
      <c r="AH1789" s="204"/>
      <c r="AI1789" s="209"/>
      <c r="AJ1789" s="209"/>
      <c r="AK1789" s="204"/>
      <c r="AL1789" s="204"/>
      <c r="AM1789" s="204"/>
    </row>
    <row r="1790">
      <c r="A1790" s="204"/>
      <c r="B1790" s="209"/>
      <c r="C1790" s="204"/>
      <c r="D1790" s="210"/>
      <c r="E1790" s="211"/>
      <c r="F1790" s="211"/>
      <c r="G1790" s="212"/>
      <c r="H1790" s="212"/>
      <c r="I1790" s="204"/>
      <c r="J1790" s="204"/>
      <c r="K1790" s="204"/>
      <c r="L1790" s="204"/>
      <c r="M1790" s="204"/>
      <c r="N1790" s="204"/>
      <c r="O1790" s="204"/>
      <c r="P1790" s="204"/>
      <c r="Q1790" s="204"/>
      <c r="R1790" s="204"/>
      <c r="S1790" s="204"/>
      <c r="T1790" s="204"/>
      <c r="U1790" s="204"/>
      <c r="V1790" s="204"/>
      <c r="W1790" s="204"/>
      <c r="X1790" s="204"/>
      <c r="Y1790" s="204"/>
      <c r="Z1790" s="204"/>
      <c r="AA1790" s="204"/>
      <c r="AB1790" s="204"/>
      <c r="AC1790" s="204"/>
      <c r="AD1790" s="204"/>
      <c r="AE1790" s="204"/>
      <c r="AF1790" s="204"/>
      <c r="AG1790" s="204"/>
      <c r="AH1790" s="204"/>
      <c r="AI1790" s="209"/>
      <c r="AJ1790" s="209"/>
      <c r="AK1790" s="204"/>
      <c r="AL1790" s="204"/>
      <c r="AM1790" s="204"/>
    </row>
    <row r="1791">
      <c r="A1791" s="204"/>
      <c r="B1791" s="209"/>
      <c r="C1791" s="204"/>
      <c r="D1791" s="210"/>
      <c r="E1791" s="211"/>
      <c r="F1791" s="211"/>
      <c r="G1791" s="212"/>
      <c r="H1791" s="212"/>
      <c r="I1791" s="204"/>
      <c r="J1791" s="204"/>
      <c r="K1791" s="204"/>
      <c r="L1791" s="204"/>
      <c r="M1791" s="204"/>
      <c r="N1791" s="204"/>
      <c r="O1791" s="204"/>
      <c r="P1791" s="204"/>
      <c r="Q1791" s="204"/>
      <c r="R1791" s="204"/>
      <c r="S1791" s="204"/>
      <c r="T1791" s="204"/>
      <c r="U1791" s="204"/>
      <c r="V1791" s="204"/>
      <c r="W1791" s="204"/>
      <c r="X1791" s="204"/>
      <c r="Y1791" s="204"/>
      <c r="Z1791" s="204"/>
      <c r="AA1791" s="204"/>
      <c r="AB1791" s="204"/>
      <c r="AC1791" s="204"/>
      <c r="AD1791" s="204"/>
      <c r="AE1791" s="204"/>
      <c r="AF1791" s="204"/>
      <c r="AG1791" s="204"/>
      <c r="AH1791" s="204"/>
      <c r="AI1791" s="209"/>
      <c r="AJ1791" s="209"/>
      <c r="AK1791" s="204"/>
      <c r="AL1791" s="204"/>
      <c r="AM1791" s="204"/>
    </row>
    <row r="1792">
      <c r="A1792" s="204"/>
      <c r="B1792" s="209"/>
      <c r="C1792" s="204"/>
      <c r="D1792" s="210"/>
      <c r="E1792" s="211"/>
      <c r="F1792" s="211"/>
      <c r="G1792" s="212"/>
      <c r="H1792" s="212"/>
      <c r="I1792" s="204"/>
      <c r="J1792" s="204"/>
      <c r="K1792" s="204"/>
      <c r="L1792" s="204"/>
      <c r="M1792" s="204"/>
      <c r="N1792" s="204"/>
      <c r="O1792" s="204"/>
      <c r="P1792" s="204"/>
      <c r="Q1792" s="204"/>
      <c r="R1792" s="204"/>
      <c r="S1792" s="204"/>
      <c r="T1792" s="204"/>
      <c r="U1792" s="204"/>
      <c r="V1792" s="204"/>
      <c r="W1792" s="204"/>
      <c r="X1792" s="204"/>
      <c r="Y1792" s="204"/>
      <c r="Z1792" s="204"/>
      <c r="AA1792" s="204"/>
      <c r="AB1792" s="204"/>
      <c r="AC1792" s="204"/>
      <c r="AD1792" s="204"/>
      <c r="AE1792" s="204"/>
      <c r="AF1792" s="204"/>
      <c r="AG1792" s="204"/>
      <c r="AH1792" s="204"/>
      <c r="AI1792" s="209"/>
      <c r="AJ1792" s="209"/>
      <c r="AK1792" s="204"/>
      <c r="AL1792" s="204"/>
      <c r="AM1792" s="204"/>
    </row>
    <row r="1793">
      <c r="A1793" s="204"/>
      <c r="B1793" s="209"/>
      <c r="C1793" s="204"/>
      <c r="D1793" s="210"/>
      <c r="E1793" s="211"/>
      <c r="F1793" s="211"/>
      <c r="G1793" s="212"/>
      <c r="H1793" s="212"/>
      <c r="I1793" s="204"/>
      <c r="J1793" s="204"/>
      <c r="K1793" s="204"/>
      <c r="L1793" s="204"/>
      <c r="M1793" s="204"/>
      <c r="N1793" s="204"/>
      <c r="O1793" s="204"/>
      <c r="P1793" s="204"/>
      <c r="Q1793" s="204"/>
      <c r="R1793" s="204"/>
      <c r="S1793" s="204"/>
      <c r="T1793" s="204"/>
      <c r="U1793" s="204"/>
      <c r="V1793" s="204"/>
      <c r="W1793" s="204"/>
      <c r="X1793" s="204"/>
      <c r="Y1793" s="204"/>
      <c r="Z1793" s="204"/>
      <c r="AA1793" s="204"/>
      <c r="AB1793" s="204"/>
      <c r="AC1793" s="204"/>
      <c r="AD1793" s="204"/>
      <c r="AE1793" s="204"/>
      <c r="AF1793" s="204"/>
      <c r="AG1793" s="204"/>
      <c r="AH1793" s="204"/>
      <c r="AI1793" s="209"/>
      <c r="AJ1793" s="209"/>
      <c r="AK1793" s="204"/>
      <c r="AL1793" s="204"/>
      <c r="AM1793" s="204"/>
    </row>
    <row r="1794">
      <c r="A1794" s="204"/>
      <c r="B1794" s="209"/>
      <c r="C1794" s="204"/>
      <c r="D1794" s="210"/>
      <c r="E1794" s="211"/>
      <c r="F1794" s="211"/>
      <c r="G1794" s="212"/>
      <c r="H1794" s="212"/>
      <c r="I1794" s="204"/>
      <c r="J1794" s="204"/>
      <c r="K1794" s="204"/>
      <c r="L1794" s="204"/>
      <c r="M1794" s="204"/>
      <c r="N1794" s="204"/>
      <c r="O1794" s="204"/>
      <c r="P1794" s="204"/>
      <c r="Q1794" s="204"/>
      <c r="R1794" s="204"/>
      <c r="S1794" s="204"/>
      <c r="T1794" s="204"/>
      <c r="U1794" s="204"/>
      <c r="V1794" s="204"/>
      <c r="W1794" s="204"/>
      <c r="X1794" s="204"/>
      <c r="Y1794" s="204"/>
      <c r="Z1794" s="204"/>
      <c r="AA1794" s="204"/>
      <c r="AB1794" s="204"/>
      <c r="AC1794" s="204"/>
      <c r="AD1794" s="204"/>
      <c r="AE1794" s="204"/>
      <c r="AF1794" s="204"/>
      <c r="AG1794" s="204"/>
      <c r="AH1794" s="204"/>
      <c r="AI1794" s="209"/>
      <c r="AJ1794" s="209"/>
      <c r="AK1794" s="204"/>
      <c r="AL1794" s="204"/>
      <c r="AM1794" s="204"/>
    </row>
    <row r="1795">
      <c r="A1795" s="204"/>
      <c r="B1795" s="209"/>
      <c r="C1795" s="204"/>
      <c r="D1795" s="210"/>
      <c r="E1795" s="211"/>
      <c r="F1795" s="211"/>
      <c r="G1795" s="212"/>
      <c r="H1795" s="212"/>
      <c r="I1795" s="204"/>
      <c r="J1795" s="204"/>
      <c r="K1795" s="204"/>
      <c r="L1795" s="204"/>
      <c r="M1795" s="204"/>
      <c r="N1795" s="204"/>
      <c r="O1795" s="204"/>
      <c r="P1795" s="204"/>
      <c r="Q1795" s="204"/>
      <c r="R1795" s="204"/>
      <c r="S1795" s="204"/>
      <c r="T1795" s="204"/>
      <c r="U1795" s="204"/>
      <c r="V1795" s="204"/>
      <c r="W1795" s="204"/>
      <c r="X1795" s="204"/>
      <c r="Y1795" s="204"/>
      <c r="Z1795" s="204"/>
      <c r="AA1795" s="204"/>
      <c r="AB1795" s="204"/>
      <c r="AC1795" s="204"/>
      <c r="AD1795" s="204"/>
      <c r="AE1795" s="204"/>
      <c r="AF1795" s="204"/>
      <c r="AG1795" s="204"/>
      <c r="AH1795" s="204"/>
      <c r="AI1795" s="209"/>
      <c r="AJ1795" s="209"/>
      <c r="AK1795" s="204"/>
      <c r="AL1795" s="204"/>
      <c r="AM1795" s="204"/>
    </row>
    <row r="1796">
      <c r="A1796" s="204"/>
      <c r="B1796" s="209"/>
      <c r="C1796" s="204"/>
      <c r="D1796" s="210"/>
      <c r="E1796" s="211"/>
      <c r="F1796" s="211"/>
      <c r="G1796" s="212"/>
      <c r="H1796" s="212"/>
      <c r="I1796" s="204"/>
      <c r="J1796" s="204"/>
      <c r="K1796" s="204"/>
      <c r="L1796" s="204"/>
      <c r="M1796" s="204"/>
      <c r="N1796" s="204"/>
      <c r="O1796" s="204"/>
      <c r="P1796" s="204"/>
      <c r="Q1796" s="204"/>
      <c r="R1796" s="204"/>
      <c r="S1796" s="204"/>
      <c r="T1796" s="204"/>
      <c r="U1796" s="204"/>
      <c r="V1796" s="204"/>
      <c r="W1796" s="204"/>
      <c r="X1796" s="204"/>
      <c r="Y1796" s="204"/>
      <c r="Z1796" s="204"/>
      <c r="AA1796" s="204"/>
      <c r="AB1796" s="204"/>
      <c r="AC1796" s="204"/>
      <c r="AD1796" s="204"/>
      <c r="AE1796" s="204"/>
      <c r="AF1796" s="204"/>
      <c r="AG1796" s="204"/>
      <c r="AH1796" s="204"/>
      <c r="AI1796" s="209"/>
      <c r="AJ1796" s="209"/>
      <c r="AK1796" s="204"/>
      <c r="AL1796" s="204"/>
      <c r="AM1796" s="204"/>
    </row>
    <row r="1797">
      <c r="A1797" s="204"/>
      <c r="B1797" s="209"/>
      <c r="C1797" s="204"/>
      <c r="D1797" s="210"/>
      <c r="E1797" s="211"/>
      <c r="F1797" s="211"/>
      <c r="G1797" s="212"/>
      <c r="H1797" s="212"/>
      <c r="I1797" s="204"/>
      <c r="J1797" s="204"/>
      <c r="K1797" s="204"/>
      <c r="L1797" s="204"/>
      <c r="M1797" s="204"/>
      <c r="N1797" s="204"/>
      <c r="O1797" s="204"/>
      <c r="P1797" s="204"/>
      <c r="Q1797" s="204"/>
      <c r="R1797" s="204"/>
      <c r="S1797" s="204"/>
      <c r="T1797" s="204"/>
      <c r="U1797" s="204"/>
      <c r="V1797" s="204"/>
      <c r="W1797" s="204"/>
      <c r="X1797" s="204"/>
      <c r="Y1797" s="204"/>
      <c r="Z1797" s="204"/>
      <c r="AA1797" s="204"/>
      <c r="AB1797" s="204"/>
      <c r="AC1797" s="204"/>
      <c r="AD1797" s="204"/>
      <c r="AE1797" s="204"/>
      <c r="AF1797" s="204"/>
      <c r="AG1797" s="204"/>
      <c r="AH1797" s="204"/>
      <c r="AI1797" s="209"/>
      <c r="AJ1797" s="209"/>
      <c r="AK1797" s="204"/>
      <c r="AL1797" s="204"/>
      <c r="AM1797" s="204"/>
    </row>
    <row r="1798">
      <c r="A1798" s="204"/>
      <c r="B1798" s="209"/>
      <c r="C1798" s="204"/>
      <c r="D1798" s="210"/>
      <c r="E1798" s="211"/>
      <c r="F1798" s="211"/>
      <c r="G1798" s="212"/>
      <c r="H1798" s="212"/>
      <c r="I1798" s="204"/>
      <c r="J1798" s="204"/>
      <c r="K1798" s="204"/>
      <c r="L1798" s="204"/>
      <c r="M1798" s="204"/>
      <c r="N1798" s="204"/>
      <c r="O1798" s="204"/>
      <c r="P1798" s="204"/>
      <c r="Q1798" s="204"/>
      <c r="R1798" s="204"/>
      <c r="S1798" s="204"/>
      <c r="T1798" s="204"/>
      <c r="U1798" s="204"/>
      <c r="V1798" s="204"/>
      <c r="W1798" s="204"/>
      <c r="X1798" s="204"/>
      <c r="Y1798" s="204"/>
      <c r="Z1798" s="204"/>
      <c r="AA1798" s="204"/>
      <c r="AB1798" s="204"/>
      <c r="AC1798" s="204"/>
      <c r="AD1798" s="204"/>
      <c r="AE1798" s="204"/>
      <c r="AF1798" s="204"/>
      <c r="AG1798" s="204"/>
      <c r="AH1798" s="204"/>
      <c r="AI1798" s="209"/>
      <c r="AJ1798" s="209"/>
      <c r="AK1798" s="204"/>
      <c r="AL1798" s="204"/>
      <c r="AM1798" s="204"/>
    </row>
    <row r="1799">
      <c r="A1799" s="204"/>
      <c r="B1799" s="209"/>
      <c r="C1799" s="204"/>
      <c r="D1799" s="210"/>
      <c r="E1799" s="211"/>
      <c r="F1799" s="211"/>
      <c r="G1799" s="212"/>
      <c r="H1799" s="212"/>
      <c r="I1799" s="204"/>
      <c r="J1799" s="204"/>
      <c r="K1799" s="204"/>
      <c r="L1799" s="204"/>
      <c r="M1799" s="204"/>
      <c r="N1799" s="204"/>
      <c r="O1799" s="204"/>
      <c r="P1799" s="204"/>
      <c r="Q1799" s="204"/>
      <c r="R1799" s="204"/>
      <c r="S1799" s="204"/>
      <c r="T1799" s="204"/>
      <c r="U1799" s="204"/>
      <c r="V1799" s="204"/>
      <c r="W1799" s="204"/>
      <c r="X1799" s="204"/>
      <c r="Y1799" s="204"/>
      <c r="Z1799" s="204"/>
      <c r="AA1799" s="204"/>
      <c r="AB1799" s="204"/>
      <c r="AC1799" s="204"/>
      <c r="AD1799" s="204"/>
      <c r="AE1799" s="204"/>
      <c r="AF1799" s="204"/>
      <c r="AG1799" s="204"/>
      <c r="AH1799" s="204"/>
      <c r="AI1799" s="209"/>
      <c r="AJ1799" s="209"/>
      <c r="AK1799" s="204"/>
      <c r="AL1799" s="204"/>
      <c r="AM1799" s="204"/>
    </row>
    <row r="1800">
      <c r="A1800" s="204"/>
      <c r="B1800" s="209"/>
      <c r="C1800" s="204"/>
      <c r="D1800" s="210"/>
      <c r="E1800" s="211"/>
      <c r="F1800" s="211"/>
      <c r="G1800" s="212"/>
      <c r="H1800" s="212"/>
      <c r="I1800" s="204"/>
      <c r="J1800" s="204"/>
      <c r="K1800" s="204"/>
      <c r="L1800" s="204"/>
      <c r="M1800" s="204"/>
      <c r="N1800" s="204"/>
      <c r="O1800" s="204"/>
      <c r="P1800" s="204"/>
      <c r="Q1800" s="204"/>
      <c r="R1800" s="204"/>
      <c r="S1800" s="204"/>
      <c r="T1800" s="204"/>
      <c r="U1800" s="204"/>
      <c r="V1800" s="204"/>
      <c r="W1800" s="204"/>
      <c r="X1800" s="204"/>
      <c r="Y1800" s="204"/>
      <c r="Z1800" s="204"/>
      <c r="AA1800" s="204"/>
      <c r="AB1800" s="204"/>
      <c r="AC1800" s="204"/>
      <c r="AD1800" s="204"/>
      <c r="AE1800" s="204"/>
      <c r="AF1800" s="204"/>
      <c r="AG1800" s="204"/>
      <c r="AH1800" s="204"/>
      <c r="AI1800" s="209"/>
      <c r="AJ1800" s="209"/>
      <c r="AK1800" s="204"/>
      <c r="AL1800" s="204"/>
      <c r="AM1800" s="204"/>
    </row>
    <row r="1801">
      <c r="A1801" s="204"/>
      <c r="B1801" s="209"/>
      <c r="C1801" s="204"/>
      <c r="D1801" s="210"/>
      <c r="E1801" s="211"/>
      <c r="F1801" s="211"/>
      <c r="G1801" s="212"/>
      <c r="H1801" s="212"/>
      <c r="I1801" s="204"/>
      <c r="J1801" s="204"/>
      <c r="K1801" s="204"/>
      <c r="L1801" s="204"/>
      <c r="M1801" s="204"/>
      <c r="N1801" s="204"/>
      <c r="O1801" s="204"/>
      <c r="P1801" s="204"/>
      <c r="Q1801" s="204"/>
      <c r="R1801" s="204"/>
      <c r="S1801" s="204"/>
      <c r="T1801" s="204"/>
      <c r="U1801" s="204"/>
      <c r="V1801" s="204"/>
      <c r="W1801" s="204"/>
      <c r="X1801" s="204"/>
      <c r="Y1801" s="204"/>
      <c r="Z1801" s="204"/>
      <c r="AA1801" s="204"/>
      <c r="AB1801" s="204"/>
      <c r="AC1801" s="204"/>
      <c r="AD1801" s="204"/>
      <c r="AE1801" s="204"/>
      <c r="AF1801" s="204"/>
      <c r="AG1801" s="204"/>
      <c r="AH1801" s="204"/>
      <c r="AI1801" s="209"/>
      <c r="AJ1801" s="209"/>
      <c r="AK1801" s="204"/>
      <c r="AL1801" s="204"/>
      <c r="AM1801" s="204"/>
    </row>
    <row r="1802">
      <c r="A1802" s="204"/>
      <c r="B1802" s="209"/>
      <c r="C1802" s="204"/>
      <c r="D1802" s="210"/>
      <c r="E1802" s="211"/>
      <c r="F1802" s="211"/>
      <c r="G1802" s="212"/>
      <c r="H1802" s="212"/>
      <c r="I1802" s="204"/>
      <c r="J1802" s="204"/>
      <c r="K1802" s="204"/>
      <c r="L1802" s="204"/>
      <c r="M1802" s="204"/>
      <c r="N1802" s="204"/>
      <c r="O1802" s="204"/>
      <c r="P1802" s="204"/>
      <c r="Q1802" s="204"/>
      <c r="R1802" s="204"/>
      <c r="S1802" s="204"/>
      <c r="T1802" s="204"/>
      <c r="U1802" s="204"/>
      <c r="V1802" s="204"/>
      <c r="W1802" s="204"/>
      <c r="X1802" s="204"/>
      <c r="Y1802" s="204"/>
      <c r="Z1802" s="204"/>
      <c r="AA1802" s="204"/>
      <c r="AB1802" s="204"/>
      <c r="AC1802" s="204"/>
      <c r="AD1802" s="204"/>
      <c r="AE1802" s="204"/>
      <c r="AF1802" s="204"/>
      <c r="AG1802" s="204"/>
      <c r="AH1802" s="204"/>
      <c r="AI1802" s="209"/>
      <c r="AJ1802" s="209"/>
      <c r="AK1802" s="204"/>
      <c r="AL1802" s="204"/>
      <c r="AM1802" s="204"/>
    </row>
    <row r="1803">
      <c r="A1803" s="204"/>
      <c r="B1803" s="209"/>
      <c r="C1803" s="204"/>
      <c r="D1803" s="210"/>
      <c r="E1803" s="211"/>
      <c r="F1803" s="211"/>
      <c r="G1803" s="212"/>
      <c r="H1803" s="212"/>
      <c r="I1803" s="204"/>
      <c r="J1803" s="204"/>
      <c r="K1803" s="204"/>
      <c r="L1803" s="204"/>
      <c r="M1803" s="204"/>
      <c r="N1803" s="204"/>
      <c r="O1803" s="204"/>
      <c r="P1803" s="204"/>
      <c r="Q1803" s="204"/>
      <c r="R1803" s="204"/>
      <c r="S1803" s="204"/>
      <c r="T1803" s="204"/>
      <c r="U1803" s="204"/>
      <c r="V1803" s="204"/>
      <c r="W1803" s="204"/>
      <c r="X1803" s="204"/>
      <c r="Y1803" s="204"/>
      <c r="Z1803" s="204"/>
      <c r="AA1803" s="204"/>
      <c r="AB1803" s="204"/>
      <c r="AC1803" s="204"/>
      <c r="AD1803" s="204"/>
      <c r="AE1803" s="204"/>
      <c r="AF1803" s="204"/>
      <c r="AG1803" s="204"/>
      <c r="AH1803" s="204"/>
      <c r="AI1803" s="209"/>
      <c r="AJ1803" s="209"/>
      <c r="AK1803" s="204"/>
      <c r="AL1803" s="204"/>
      <c r="AM1803" s="204"/>
    </row>
    <row r="1804">
      <c r="A1804" s="204"/>
      <c r="B1804" s="209"/>
      <c r="C1804" s="204"/>
      <c r="D1804" s="210"/>
      <c r="E1804" s="211"/>
      <c r="F1804" s="211"/>
      <c r="G1804" s="212"/>
      <c r="H1804" s="212"/>
      <c r="I1804" s="204"/>
      <c r="J1804" s="204"/>
      <c r="K1804" s="204"/>
      <c r="L1804" s="204"/>
      <c r="M1804" s="204"/>
      <c r="N1804" s="204"/>
      <c r="O1804" s="204"/>
      <c r="P1804" s="204"/>
      <c r="Q1804" s="204"/>
      <c r="R1804" s="204"/>
      <c r="S1804" s="204"/>
      <c r="T1804" s="204"/>
      <c r="U1804" s="204"/>
      <c r="V1804" s="204"/>
      <c r="W1804" s="204"/>
      <c r="X1804" s="204"/>
      <c r="Y1804" s="204"/>
      <c r="Z1804" s="204"/>
      <c r="AA1804" s="204"/>
      <c r="AB1804" s="204"/>
      <c r="AC1804" s="204"/>
      <c r="AD1804" s="204"/>
      <c r="AE1804" s="204"/>
      <c r="AF1804" s="204"/>
      <c r="AG1804" s="204"/>
      <c r="AH1804" s="204"/>
      <c r="AI1804" s="209"/>
      <c r="AJ1804" s="209"/>
      <c r="AK1804" s="204"/>
      <c r="AL1804" s="204"/>
      <c r="AM1804" s="204"/>
    </row>
    <row r="1805">
      <c r="A1805" s="204"/>
      <c r="B1805" s="209"/>
      <c r="C1805" s="204"/>
      <c r="D1805" s="210"/>
      <c r="E1805" s="211"/>
      <c r="F1805" s="211"/>
      <c r="G1805" s="212"/>
      <c r="H1805" s="212"/>
      <c r="I1805" s="204"/>
      <c r="J1805" s="204"/>
      <c r="K1805" s="204"/>
      <c r="L1805" s="204"/>
      <c r="M1805" s="204"/>
      <c r="N1805" s="204"/>
      <c r="O1805" s="204"/>
      <c r="P1805" s="204"/>
      <c r="Q1805" s="204"/>
      <c r="R1805" s="204"/>
      <c r="S1805" s="204"/>
      <c r="T1805" s="204"/>
      <c r="U1805" s="204"/>
      <c r="V1805" s="204"/>
      <c r="W1805" s="204"/>
      <c r="X1805" s="204"/>
      <c r="Y1805" s="204"/>
      <c r="Z1805" s="204"/>
      <c r="AA1805" s="204"/>
      <c r="AB1805" s="204"/>
      <c r="AC1805" s="204"/>
      <c r="AD1805" s="204"/>
      <c r="AE1805" s="204"/>
      <c r="AF1805" s="204"/>
      <c r="AG1805" s="204"/>
      <c r="AH1805" s="204"/>
      <c r="AI1805" s="209"/>
      <c r="AJ1805" s="209"/>
      <c r="AK1805" s="204"/>
      <c r="AL1805" s="204"/>
      <c r="AM1805" s="204"/>
    </row>
    <row r="1806">
      <c r="A1806" s="204"/>
      <c r="B1806" s="209"/>
      <c r="C1806" s="204"/>
      <c r="D1806" s="210"/>
      <c r="E1806" s="211"/>
      <c r="F1806" s="211"/>
      <c r="G1806" s="212"/>
      <c r="H1806" s="212"/>
      <c r="I1806" s="204"/>
      <c r="J1806" s="204"/>
      <c r="K1806" s="204"/>
      <c r="L1806" s="204"/>
      <c r="M1806" s="204"/>
      <c r="N1806" s="204"/>
      <c r="O1806" s="204"/>
      <c r="P1806" s="204"/>
      <c r="Q1806" s="204"/>
      <c r="R1806" s="204"/>
      <c r="S1806" s="204"/>
      <c r="T1806" s="204"/>
      <c r="U1806" s="204"/>
      <c r="V1806" s="204"/>
      <c r="W1806" s="204"/>
      <c r="X1806" s="204"/>
      <c r="Y1806" s="204"/>
      <c r="Z1806" s="204"/>
      <c r="AA1806" s="204"/>
      <c r="AB1806" s="204"/>
      <c r="AC1806" s="204"/>
      <c r="AD1806" s="204"/>
      <c r="AE1806" s="204"/>
      <c r="AF1806" s="204"/>
      <c r="AG1806" s="204"/>
      <c r="AH1806" s="204"/>
      <c r="AI1806" s="209"/>
      <c r="AJ1806" s="209"/>
      <c r="AK1806" s="204"/>
      <c r="AL1806" s="204"/>
      <c r="AM1806" s="204"/>
    </row>
    <row r="1807">
      <c r="A1807" s="204"/>
      <c r="B1807" s="209"/>
      <c r="C1807" s="204"/>
      <c r="D1807" s="210"/>
      <c r="E1807" s="211"/>
      <c r="F1807" s="211"/>
      <c r="G1807" s="212"/>
      <c r="H1807" s="212"/>
      <c r="I1807" s="204"/>
      <c r="J1807" s="204"/>
      <c r="K1807" s="204"/>
      <c r="L1807" s="204"/>
      <c r="M1807" s="204"/>
      <c r="N1807" s="204"/>
      <c r="O1807" s="204"/>
      <c r="P1807" s="204"/>
      <c r="Q1807" s="204"/>
      <c r="R1807" s="204"/>
      <c r="S1807" s="204"/>
      <c r="T1807" s="204"/>
      <c r="U1807" s="204"/>
      <c r="V1807" s="204"/>
      <c r="W1807" s="204"/>
      <c r="X1807" s="204"/>
      <c r="Y1807" s="204"/>
      <c r="Z1807" s="204"/>
      <c r="AA1807" s="204"/>
      <c r="AB1807" s="204"/>
      <c r="AC1807" s="204"/>
      <c r="AD1807" s="204"/>
      <c r="AE1807" s="204"/>
      <c r="AF1807" s="204"/>
      <c r="AG1807" s="204"/>
      <c r="AH1807" s="204"/>
      <c r="AI1807" s="209"/>
      <c r="AJ1807" s="209"/>
      <c r="AK1807" s="204"/>
      <c r="AL1807" s="204"/>
      <c r="AM1807" s="204"/>
    </row>
    <row r="1808">
      <c r="A1808" s="204"/>
      <c r="B1808" s="209"/>
      <c r="C1808" s="204"/>
      <c r="D1808" s="210"/>
      <c r="E1808" s="211"/>
      <c r="F1808" s="211"/>
      <c r="G1808" s="212"/>
      <c r="H1808" s="212"/>
      <c r="I1808" s="204"/>
      <c r="J1808" s="204"/>
      <c r="K1808" s="204"/>
      <c r="L1808" s="204"/>
      <c r="M1808" s="204"/>
      <c r="N1808" s="204"/>
      <c r="O1808" s="204"/>
      <c r="P1808" s="204"/>
      <c r="Q1808" s="204"/>
      <c r="R1808" s="204"/>
      <c r="S1808" s="204"/>
      <c r="T1808" s="204"/>
      <c r="U1808" s="204"/>
      <c r="V1808" s="204"/>
      <c r="W1808" s="204"/>
      <c r="X1808" s="204"/>
      <c r="Y1808" s="204"/>
      <c r="Z1808" s="204"/>
      <c r="AA1808" s="204"/>
      <c r="AB1808" s="204"/>
      <c r="AC1808" s="204"/>
      <c r="AD1808" s="204"/>
      <c r="AE1808" s="204"/>
      <c r="AF1808" s="204"/>
      <c r="AG1808" s="204"/>
      <c r="AH1808" s="204"/>
      <c r="AI1808" s="209"/>
      <c r="AJ1808" s="209"/>
      <c r="AK1808" s="204"/>
      <c r="AL1808" s="204"/>
      <c r="AM1808" s="204"/>
    </row>
    <row r="1809">
      <c r="A1809" s="204"/>
      <c r="B1809" s="209"/>
      <c r="C1809" s="204"/>
      <c r="D1809" s="210"/>
      <c r="E1809" s="211"/>
      <c r="F1809" s="211"/>
      <c r="G1809" s="212"/>
      <c r="H1809" s="212"/>
      <c r="I1809" s="204"/>
      <c r="J1809" s="204"/>
      <c r="K1809" s="204"/>
      <c r="L1809" s="204"/>
      <c r="M1809" s="204"/>
      <c r="N1809" s="204"/>
      <c r="O1809" s="204"/>
      <c r="P1809" s="204"/>
      <c r="Q1809" s="204"/>
      <c r="R1809" s="204"/>
      <c r="S1809" s="204"/>
      <c r="T1809" s="204"/>
      <c r="U1809" s="204"/>
      <c r="V1809" s="204"/>
      <c r="W1809" s="204"/>
      <c r="X1809" s="204"/>
      <c r="Y1809" s="204"/>
      <c r="Z1809" s="204"/>
      <c r="AA1809" s="204"/>
      <c r="AB1809" s="204"/>
      <c r="AC1809" s="204"/>
      <c r="AD1809" s="204"/>
      <c r="AE1809" s="204"/>
      <c r="AF1809" s="204"/>
      <c r="AG1809" s="204"/>
      <c r="AH1809" s="204"/>
      <c r="AI1809" s="209"/>
      <c r="AJ1809" s="209"/>
      <c r="AK1809" s="204"/>
      <c r="AL1809" s="204"/>
      <c r="AM1809" s="204"/>
    </row>
    <row r="1810">
      <c r="A1810" s="204"/>
      <c r="B1810" s="209"/>
      <c r="C1810" s="204"/>
      <c r="D1810" s="210"/>
      <c r="E1810" s="211"/>
      <c r="F1810" s="211"/>
      <c r="G1810" s="212"/>
      <c r="H1810" s="212"/>
      <c r="I1810" s="204"/>
      <c r="J1810" s="204"/>
      <c r="K1810" s="204"/>
      <c r="L1810" s="204"/>
      <c r="M1810" s="204"/>
      <c r="N1810" s="204"/>
      <c r="O1810" s="204"/>
      <c r="P1810" s="204"/>
      <c r="Q1810" s="204"/>
      <c r="R1810" s="204"/>
      <c r="S1810" s="204"/>
      <c r="T1810" s="204"/>
      <c r="U1810" s="204"/>
      <c r="V1810" s="204"/>
      <c r="W1810" s="204"/>
      <c r="X1810" s="204"/>
      <c r="Y1810" s="204"/>
      <c r="Z1810" s="204"/>
      <c r="AA1810" s="204"/>
      <c r="AB1810" s="204"/>
      <c r="AC1810" s="204"/>
      <c r="AD1810" s="204"/>
      <c r="AE1810" s="204"/>
      <c r="AF1810" s="204"/>
      <c r="AG1810" s="204"/>
      <c r="AH1810" s="204"/>
      <c r="AI1810" s="209"/>
      <c r="AJ1810" s="209"/>
      <c r="AK1810" s="204"/>
      <c r="AL1810" s="204"/>
      <c r="AM1810" s="204"/>
    </row>
    <row r="1811">
      <c r="A1811" s="204"/>
      <c r="B1811" s="209"/>
      <c r="C1811" s="204"/>
      <c r="D1811" s="210"/>
      <c r="E1811" s="211"/>
      <c r="F1811" s="211"/>
      <c r="G1811" s="212"/>
      <c r="H1811" s="212"/>
      <c r="I1811" s="204"/>
      <c r="J1811" s="204"/>
      <c r="K1811" s="204"/>
      <c r="L1811" s="204"/>
      <c r="M1811" s="204"/>
      <c r="N1811" s="204"/>
      <c r="O1811" s="204"/>
      <c r="P1811" s="204"/>
      <c r="Q1811" s="204"/>
      <c r="R1811" s="204"/>
      <c r="S1811" s="204"/>
      <c r="T1811" s="204"/>
      <c r="U1811" s="204"/>
      <c r="V1811" s="204"/>
      <c r="W1811" s="204"/>
      <c r="X1811" s="204"/>
      <c r="Y1811" s="204"/>
      <c r="Z1811" s="204"/>
      <c r="AA1811" s="204"/>
      <c r="AB1811" s="204"/>
      <c r="AC1811" s="204"/>
      <c r="AD1811" s="204"/>
      <c r="AE1811" s="204"/>
      <c r="AF1811" s="204"/>
      <c r="AG1811" s="204"/>
      <c r="AH1811" s="204"/>
      <c r="AI1811" s="209"/>
      <c r="AJ1811" s="209"/>
      <c r="AK1811" s="204"/>
      <c r="AL1811" s="204"/>
      <c r="AM1811" s="204"/>
    </row>
    <row r="1812">
      <c r="A1812" s="204"/>
      <c r="B1812" s="209"/>
      <c r="C1812" s="204"/>
      <c r="D1812" s="210"/>
      <c r="E1812" s="211"/>
      <c r="F1812" s="211"/>
      <c r="G1812" s="212"/>
      <c r="H1812" s="212"/>
      <c r="I1812" s="204"/>
      <c r="J1812" s="204"/>
      <c r="K1812" s="204"/>
      <c r="L1812" s="204"/>
      <c r="M1812" s="204"/>
      <c r="N1812" s="204"/>
      <c r="O1812" s="204"/>
      <c r="P1812" s="204"/>
      <c r="Q1812" s="204"/>
      <c r="R1812" s="204"/>
      <c r="S1812" s="204"/>
      <c r="T1812" s="204"/>
      <c r="U1812" s="204"/>
      <c r="V1812" s="204"/>
      <c r="W1812" s="204"/>
      <c r="X1812" s="204"/>
      <c r="Y1812" s="204"/>
      <c r="Z1812" s="204"/>
      <c r="AA1812" s="204"/>
      <c r="AB1812" s="204"/>
      <c r="AC1812" s="204"/>
      <c r="AD1812" s="204"/>
      <c r="AE1812" s="204"/>
      <c r="AF1812" s="204"/>
      <c r="AG1812" s="204"/>
      <c r="AH1812" s="204"/>
      <c r="AI1812" s="209"/>
      <c r="AJ1812" s="209"/>
      <c r="AK1812" s="204"/>
      <c r="AL1812" s="204"/>
      <c r="AM1812" s="204"/>
    </row>
    <row r="1813">
      <c r="A1813" s="204"/>
      <c r="B1813" s="209"/>
      <c r="C1813" s="204"/>
      <c r="D1813" s="210"/>
      <c r="E1813" s="211"/>
      <c r="F1813" s="211"/>
      <c r="G1813" s="212"/>
      <c r="H1813" s="212"/>
      <c r="I1813" s="204"/>
      <c r="J1813" s="204"/>
      <c r="K1813" s="204"/>
      <c r="L1813" s="204"/>
      <c r="M1813" s="204"/>
      <c r="N1813" s="204"/>
      <c r="O1813" s="204"/>
      <c r="P1813" s="204"/>
      <c r="Q1813" s="204"/>
      <c r="R1813" s="204"/>
      <c r="S1813" s="204"/>
      <c r="T1813" s="204"/>
      <c r="U1813" s="204"/>
      <c r="V1813" s="204"/>
      <c r="W1813" s="204"/>
      <c r="X1813" s="204"/>
      <c r="Y1813" s="204"/>
      <c r="Z1813" s="204"/>
      <c r="AA1813" s="204"/>
      <c r="AB1813" s="204"/>
      <c r="AC1813" s="204"/>
      <c r="AD1813" s="204"/>
      <c r="AE1813" s="204"/>
      <c r="AF1813" s="204"/>
      <c r="AG1813" s="204"/>
      <c r="AH1813" s="204"/>
      <c r="AI1813" s="209"/>
      <c r="AJ1813" s="209"/>
      <c r="AK1813" s="204"/>
      <c r="AL1813" s="204"/>
      <c r="AM1813" s="204"/>
    </row>
    <row r="1814">
      <c r="A1814" s="204"/>
      <c r="B1814" s="209"/>
      <c r="C1814" s="204"/>
      <c r="D1814" s="210"/>
      <c r="E1814" s="211"/>
      <c r="F1814" s="211"/>
      <c r="G1814" s="212"/>
      <c r="H1814" s="212"/>
      <c r="I1814" s="204"/>
      <c r="J1814" s="204"/>
      <c r="K1814" s="204"/>
      <c r="L1814" s="204"/>
      <c r="M1814" s="204"/>
      <c r="N1814" s="204"/>
      <c r="O1814" s="204"/>
      <c r="P1814" s="204"/>
      <c r="Q1814" s="204"/>
      <c r="R1814" s="204"/>
      <c r="S1814" s="204"/>
      <c r="T1814" s="204"/>
      <c r="U1814" s="204"/>
      <c r="V1814" s="204"/>
      <c r="W1814" s="204"/>
      <c r="X1814" s="204"/>
      <c r="Y1814" s="204"/>
      <c r="Z1814" s="204"/>
      <c r="AA1814" s="204"/>
      <c r="AB1814" s="204"/>
      <c r="AC1814" s="204"/>
      <c r="AD1814" s="204"/>
      <c r="AE1814" s="204"/>
      <c r="AF1814" s="204"/>
      <c r="AG1814" s="204"/>
      <c r="AH1814" s="204"/>
      <c r="AI1814" s="209"/>
      <c r="AJ1814" s="209"/>
      <c r="AK1814" s="204"/>
      <c r="AL1814" s="204"/>
      <c r="AM1814" s="204"/>
    </row>
    <row r="1815">
      <c r="A1815" s="204"/>
      <c r="B1815" s="209"/>
      <c r="C1815" s="204"/>
      <c r="D1815" s="210"/>
      <c r="E1815" s="211"/>
      <c r="F1815" s="211"/>
      <c r="G1815" s="212"/>
      <c r="H1815" s="212"/>
      <c r="I1815" s="204"/>
      <c r="J1815" s="204"/>
      <c r="K1815" s="204"/>
      <c r="L1815" s="204"/>
      <c r="M1815" s="204"/>
      <c r="N1815" s="204"/>
      <c r="O1815" s="204"/>
      <c r="P1815" s="204"/>
      <c r="Q1815" s="204"/>
      <c r="R1815" s="204"/>
      <c r="S1815" s="204"/>
      <c r="T1815" s="204"/>
      <c r="U1815" s="204"/>
      <c r="V1815" s="204"/>
      <c r="W1815" s="204"/>
      <c r="X1815" s="204"/>
      <c r="Y1815" s="204"/>
      <c r="Z1815" s="204"/>
      <c r="AA1815" s="204"/>
      <c r="AB1815" s="204"/>
      <c r="AC1815" s="204"/>
      <c r="AD1815" s="204"/>
      <c r="AE1815" s="204"/>
      <c r="AF1815" s="204"/>
      <c r="AG1815" s="204"/>
      <c r="AH1815" s="204"/>
      <c r="AI1815" s="209"/>
      <c r="AJ1815" s="209"/>
      <c r="AK1815" s="204"/>
      <c r="AL1815" s="204"/>
      <c r="AM1815" s="204"/>
    </row>
    <row r="1816">
      <c r="A1816" s="204"/>
      <c r="B1816" s="209"/>
      <c r="C1816" s="204"/>
      <c r="D1816" s="210"/>
      <c r="E1816" s="211"/>
      <c r="F1816" s="211"/>
      <c r="G1816" s="212"/>
      <c r="H1816" s="212"/>
      <c r="I1816" s="204"/>
      <c r="J1816" s="204"/>
      <c r="K1816" s="204"/>
      <c r="L1816" s="204"/>
      <c r="M1816" s="204"/>
      <c r="N1816" s="204"/>
      <c r="O1816" s="204"/>
      <c r="P1816" s="204"/>
      <c r="Q1816" s="204"/>
      <c r="R1816" s="204"/>
      <c r="S1816" s="204"/>
      <c r="T1816" s="204"/>
      <c r="U1816" s="204"/>
      <c r="V1816" s="204"/>
      <c r="W1816" s="204"/>
      <c r="X1816" s="204"/>
      <c r="Y1816" s="204"/>
      <c r="Z1816" s="204"/>
      <c r="AA1816" s="204"/>
      <c r="AB1816" s="204"/>
      <c r="AC1816" s="204"/>
      <c r="AD1816" s="204"/>
      <c r="AE1816" s="204"/>
      <c r="AF1816" s="204"/>
      <c r="AG1816" s="204"/>
      <c r="AH1816" s="204"/>
      <c r="AI1816" s="209"/>
      <c r="AJ1816" s="209"/>
      <c r="AK1816" s="204"/>
      <c r="AL1816" s="204"/>
      <c r="AM1816" s="204"/>
    </row>
    <row r="1817">
      <c r="A1817" s="204"/>
      <c r="B1817" s="209"/>
      <c r="C1817" s="204"/>
      <c r="D1817" s="210"/>
      <c r="E1817" s="211"/>
      <c r="F1817" s="211"/>
      <c r="G1817" s="212"/>
      <c r="H1817" s="212"/>
      <c r="I1817" s="204"/>
      <c r="J1817" s="204"/>
      <c r="K1817" s="204"/>
      <c r="L1817" s="204"/>
      <c r="M1817" s="204"/>
      <c r="N1817" s="204"/>
      <c r="O1817" s="204"/>
      <c r="P1817" s="204"/>
      <c r="Q1817" s="204"/>
      <c r="R1817" s="204"/>
      <c r="S1817" s="204"/>
      <c r="T1817" s="204"/>
      <c r="U1817" s="204"/>
      <c r="V1817" s="204"/>
      <c r="W1817" s="204"/>
      <c r="X1817" s="204"/>
      <c r="Y1817" s="204"/>
      <c r="Z1817" s="204"/>
      <c r="AA1817" s="204"/>
      <c r="AB1817" s="204"/>
      <c r="AC1817" s="204"/>
      <c r="AD1817" s="204"/>
      <c r="AE1817" s="204"/>
      <c r="AF1817" s="204"/>
      <c r="AG1817" s="204"/>
      <c r="AH1817" s="204"/>
      <c r="AI1817" s="209"/>
      <c r="AJ1817" s="209"/>
      <c r="AK1817" s="204"/>
      <c r="AL1817" s="204"/>
      <c r="AM1817" s="204"/>
    </row>
    <row r="1818">
      <c r="A1818" s="204"/>
      <c r="B1818" s="209"/>
      <c r="C1818" s="204"/>
      <c r="D1818" s="210"/>
      <c r="E1818" s="211"/>
      <c r="F1818" s="211"/>
      <c r="G1818" s="212"/>
      <c r="H1818" s="212"/>
      <c r="I1818" s="204"/>
      <c r="J1818" s="204"/>
      <c r="K1818" s="204"/>
      <c r="L1818" s="204"/>
      <c r="M1818" s="204"/>
      <c r="N1818" s="204"/>
      <c r="O1818" s="204"/>
      <c r="P1818" s="204"/>
      <c r="Q1818" s="204"/>
      <c r="R1818" s="204"/>
      <c r="S1818" s="204"/>
      <c r="T1818" s="204"/>
      <c r="U1818" s="204"/>
      <c r="V1818" s="204"/>
      <c r="W1818" s="204"/>
      <c r="X1818" s="204"/>
      <c r="Y1818" s="204"/>
      <c r="Z1818" s="204"/>
      <c r="AA1818" s="204"/>
      <c r="AB1818" s="204"/>
      <c r="AC1818" s="204"/>
      <c r="AD1818" s="204"/>
      <c r="AE1818" s="204"/>
      <c r="AF1818" s="204"/>
      <c r="AG1818" s="204"/>
      <c r="AH1818" s="204"/>
      <c r="AI1818" s="209"/>
      <c r="AJ1818" s="209"/>
      <c r="AK1818" s="204"/>
      <c r="AL1818" s="204"/>
      <c r="AM1818" s="204"/>
    </row>
    <row r="1819">
      <c r="A1819" s="204"/>
      <c r="B1819" s="209"/>
      <c r="C1819" s="204"/>
      <c r="D1819" s="210"/>
      <c r="E1819" s="211"/>
      <c r="F1819" s="211"/>
      <c r="G1819" s="212"/>
      <c r="H1819" s="212"/>
      <c r="I1819" s="204"/>
      <c r="J1819" s="204"/>
      <c r="K1819" s="204"/>
      <c r="L1819" s="204"/>
      <c r="M1819" s="204"/>
      <c r="N1819" s="204"/>
      <c r="O1819" s="204"/>
      <c r="P1819" s="204"/>
      <c r="Q1819" s="204"/>
      <c r="R1819" s="204"/>
      <c r="S1819" s="204"/>
      <c r="T1819" s="204"/>
      <c r="U1819" s="204"/>
      <c r="V1819" s="204"/>
      <c r="W1819" s="204"/>
      <c r="X1819" s="204"/>
      <c r="Y1819" s="204"/>
      <c r="Z1819" s="204"/>
      <c r="AA1819" s="204"/>
      <c r="AB1819" s="204"/>
      <c r="AC1819" s="204"/>
      <c r="AD1819" s="204"/>
      <c r="AE1819" s="204"/>
      <c r="AF1819" s="204"/>
      <c r="AG1819" s="204"/>
      <c r="AH1819" s="204"/>
      <c r="AI1819" s="209"/>
      <c r="AJ1819" s="209"/>
      <c r="AK1819" s="204"/>
      <c r="AL1819" s="204"/>
      <c r="AM1819" s="204"/>
    </row>
    <row r="1820">
      <c r="A1820" s="204"/>
      <c r="B1820" s="209"/>
      <c r="C1820" s="204"/>
      <c r="D1820" s="210"/>
      <c r="E1820" s="211"/>
      <c r="F1820" s="211"/>
      <c r="G1820" s="212"/>
      <c r="H1820" s="212"/>
      <c r="I1820" s="204"/>
      <c r="J1820" s="204"/>
      <c r="K1820" s="204"/>
      <c r="L1820" s="204"/>
      <c r="M1820" s="204"/>
      <c r="N1820" s="204"/>
      <c r="O1820" s="204"/>
      <c r="P1820" s="204"/>
      <c r="Q1820" s="204"/>
      <c r="R1820" s="204"/>
      <c r="S1820" s="204"/>
      <c r="T1820" s="204"/>
      <c r="U1820" s="204"/>
      <c r="V1820" s="204"/>
      <c r="W1820" s="204"/>
      <c r="X1820" s="204"/>
      <c r="Y1820" s="204"/>
      <c r="Z1820" s="204"/>
      <c r="AA1820" s="204"/>
      <c r="AB1820" s="204"/>
      <c r="AC1820" s="204"/>
      <c r="AD1820" s="204"/>
      <c r="AE1820" s="204"/>
      <c r="AF1820" s="204"/>
      <c r="AG1820" s="204"/>
      <c r="AH1820" s="204"/>
      <c r="AI1820" s="209"/>
      <c r="AJ1820" s="209"/>
      <c r="AK1820" s="204"/>
      <c r="AL1820" s="204"/>
      <c r="AM1820" s="204"/>
    </row>
    <row r="1821">
      <c r="A1821" s="204"/>
      <c r="B1821" s="209"/>
      <c r="C1821" s="204"/>
      <c r="D1821" s="210"/>
      <c r="E1821" s="211"/>
      <c r="F1821" s="211"/>
      <c r="G1821" s="212"/>
      <c r="H1821" s="212"/>
      <c r="I1821" s="204"/>
      <c r="J1821" s="204"/>
      <c r="K1821" s="204"/>
      <c r="L1821" s="204"/>
      <c r="M1821" s="204"/>
      <c r="N1821" s="204"/>
      <c r="O1821" s="204"/>
      <c r="P1821" s="204"/>
      <c r="Q1821" s="204"/>
      <c r="R1821" s="204"/>
      <c r="S1821" s="204"/>
      <c r="T1821" s="204"/>
      <c r="U1821" s="204"/>
      <c r="V1821" s="204"/>
      <c r="W1821" s="204"/>
      <c r="X1821" s="204"/>
      <c r="Y1821" s="204"/>
      <c r="Z1821" s="204"/>
      <c r="AA1821" s="204"/>
      <c r="AB1821" s="204"/>
      <c r="AC1821" s="204"/>
      <c r="AD1821" s="204"/>
      <c r="AE1821" s="204"/>
      <c r="AF1821" s="204"/>
      <c r="AG1821" s="204"/>
      <c r="AH1821" s="204"/>
      <c r="AI1821" s="209"/>
      <c r="AJ1821" s="209"/>
      <c r="AK1821" s="204"/>
      <c r="AL1821" s="204"/>
      <c r="AM1821" s="204"/>
    </row>
    <row r="1822">
      <c r="A1822" s="204"/>
      <c r="B1822" s="209"/>
      <c r="C1822" s="204"/>
      <c r="D1822" s="210"/>
      <c r="E1822" s="211"/>
      <c r="F1822" s="211"/>
      <c r="G1822" s="212"/>
      <c r="H1822" s="212"/>
      <c r="I1822" s="204"/>
      <c r="J1822" s="204"/>
      <c r="K1822" s="204"/>
      <c r="L1822" s="204"/>
      <c r="M1822" s="204"/>
      <c r="N1822" s="204"/>
      <c r="O1822" s="204"/>
      <c r="P1822" s="204"/>
      <c r="Q1822" s="204"/>
      <c r="R1822" s="204"/>
      <c r="S1822" s="204"/>
      <c r="T1822" s="204"/>
      <c r="U1822" s="204"/>
      <c r="V1822" s="204"/>
      <c r="W1822" s="204"/>
      <c r="X1822" s="204"/>
      <c r="Y1822" s="204"/>
      <c r="Z1822" s="204"/>
      <c r="AA1822" s="204"/>
      <c r="AB1822" s="204"/>
      <c r="AC1822" s="204"/>
      <c r="AD1822" s="204"/>
      <c r="AE1822" s="204"/>
      <c r="AF1822" s="204"/>
      <c r="AG1822" s="204"/>
      <c r="AH1822" s="204"/>
      <c r="AI1822" s="209"/>
      <c r="AJ1822" s="209"/>
      <c r="AK1822" s="204"/>
      <c r="AL1822" s="204"/>
      <c r="AM1822" s="204"/>
    </row>
    <row r="1823">
      <c r="A1823" s="204"/>
      <c r="B1823" s="209"/>
      <c r="C1823" s="204"/>
      <c r="D1823" s="210"/>
      <c r="E1823" s="211"/>
      <c r="F1823" s="211"/>
      <c r="G1823" s="212"/>
      <c r="H1823" s="212"/>
      <c r="I1823" s="204"/>
      <c r="J1823" s="204"/>
      <c r="K1823" s="204"/>
      <c r="L1823" s="204"/>
      <c r="M1823" s="204"/>
      <c r="N1823" s="204"/>
      <c r="O1823" s="204"/>
      <c r="P1823" s="204"/>
      <c r="Q1823" s="204"/>
      <c r="R1823" s="204"/>
      <c r="S1823" s="204"/>
      <c r="T1823" s="204"/>
      <c r="U1823" s="204"/>
      <c r="V1823" s="204"/>
      <c r="W1823" s="204"/>
      <c r="X1823" s="204"/>
      <c r="Y1823" s="204"/>
      <c r="Z1823" s="204"/>
      <c r="AA1823" s="204"/>
      <c r="AB1823" s="204"/>
      <c r="AC1823" s="204"/>
      <c r="AD1823" s="204"/>
      <c r="AE1823" s="204"/>
      <c r="AF1823" s="204"/>
      <c r="AG1823" s="204"/>
      <c r="AH1823" s="204"/>
      <c r="AI1823" s="209"/>
      <c r="AJ1823" s="209"/>
      <c r="AK1823" s="204"/>
      <c r="AL1823" s="204"/>
      <c r="AM1823" s="204"/>
    </row>
    <row r="1824">
      <c r="A1824" s="204"/>
      <c r="B1824" s="209"/>
      <c r="C1824" s="204"/>
      <c r="D1824" s="210"/>
      <c r="E1824" s="211"/>
      <c r="F1824" s="211"/>
      <c r="G1824" s="212"/>
      <c r="H1824" s="212"/>
      <c r="I1824" s="204"/>
      <c r="J1824" s="204"/>
      <c r="K1824" s="204"/>
      <c r="L1824" s="204"/>
      <c r="M1824" s="204"/>
      <c r="N1824" s="204"/>
      <c r="O1824" s="204"/>
      <c r="P1824" s="204"/>
      <c r="Q1824" s="204"/>
      <c r="R1824" s="204"/>
      <c r="S1824" s="204"/>
      <c r="T1824" s="204"/>
      <c r="U1824" s="204"/>
      <c r="V1824" s="204"/>
      <c r="W1824" s="204"/>
      <c r="X1824" s="204"/>
      <c r="Y1824" s="204"/>
      <c r="Z1824" s="204"/>
      <c r="AA1824" s="204"/>
      <c r="AB1824" s="204"/>
      <c r="AC1824" s="204"/>
      <c r="AD1824" s="204"/>
      <c r="AE1824" s="204"/>
      <c r="AF1824" s="204"/>
      <c r="AG1824" s="204"/>
      <c r="AH1824" s="204"/>
      <c r="AI1824" s="209"/>
      <c r="AJ1824" s="209"/>
      <c r="AK1824" s="204"/>
      <c r="AL1824" s="204"/>
      <c r="AM1824" s="204"/>
    </row>
    <row r="1825">
      <c r="A1825" s="204"/>
      <c r="B1825" s="209"/>
      <c r="C1825" s="204"/>
      <c r="D1825" s="210"/>
      <c r="E1825" s="211"/>
      <c r="F1825" s="211"/>
      <c r="G1825" s="212"/>
      <c r="H1825" s="212"/>
      <c r="I1825" s="204"/>
      <c r="J1825" s="204"/>
      <c r="K1825" s="204"/>
      <c r="L1825" s="204"/>
      <c r="M1825" s="204"/>
      <c r="N1825" s="204"/>
      <c r="O1825" s="204"/>
      <c r="P1825" s="204"/>
      <c r="Q1825" s="204"/>
      <c r="R1825" s="204"/>
      <c r="S1825" s="204"/>
      <c r="T1825" s="204"/>
      <c r="U1825" s="204"/>
      <c r="V1825" s="204"/>
      <c r="W1825" s="204"/>
      <c r="X1825" s="204"/>
      <c r="Y1825" s="204"/>
      <c r="Z1825" s="204"/>
      <c r="AA1825" s="204"/>
      <c r="AB1825" s="204"/>
      <c r="AC1825" s="204"/>
      <c r="AD1825" s="204"/>
      <c r="AE1825" s="204"/>
      <c r="AF1825" s="204"/>
      <c r="AG1825" s="204"/>
      <c r="AH1825" s="204"/>
      <c r="AI1825" s="209"/>
      <c r="AJ1825" s="209"/>
      <c r="AK1825" s="204"/>
      <c r="AL1825" s="204"/>
      <c r="AM1825" s="204"/>
    </row>
    <row r="1826">
      <c r="A1826" s="204"/>
      <c r="B1826" s="209"/>
      <c r="C1826" s="204"/>
      <c r="D1826" s="210"/>
      <c r="E1826" s="211"/>
      <c r="F1826" s="211"/>
      <c r="G1826" s="212"/>
      <c r="H1826" s="212"/>
      <c r="I1826" s="204"/>
      <c r="J1826" s="204"/>
      <c r="K1826" s="204"/>
      <c r="L1826" s="204"/>
      <c r="M1826" s="204"/>
      <c r="N1826" s="204"/>
      <c r="O1826" s="204"/>
      <c r="P1826" s="204"/>
      <c r="Q1826" s="204"/>
      <c r="R1826" s="204"/>
      <c r="S1826" s="204"/>
      <c r="T1826" s="204"/>
      <c r="U1826" s="204"/>
      <c r="V1826" s="204"/>
      <c r="W1826" s="204"/>
      <c r="X1826" s="204"/>
      <c r="Y1826" s="204"/>
      <c r="Z1826" s="204"/>
      <c r="AA1826" s="204"/>
      <c r="AB1826" s="204"/>
      <c r="AC1826" s="204"/>
      <c r="AD1826" s="204"/>
      <c r="AE1826" s="204"/>
      <c r="AF1826" s="204"/>
      <c r="AG1826" s="204"/>
      <c r="AH1826" s="204"/>
      <c r="AI1826" s="209"/>
      <c r="AJ1826" s="209"/>
      <c r="AK1826" s="204"/>
      <c r="AL1826" s="204"/>
      <c r="AM1826" s="204"/>
    </row>
    <row r="1827">
      <c r="A1827" s="204"/>
      <c r="B1827" s="209"/>
      <c r="C1827" s="204"/>
      <c r="D1827" s="210"/>
      <c r="E1827" s="211"/>
      <c r="F1827" s="211"/>
      <c r="G1827" s="212"/>
      <c r="H1827" s="212"/>
      <c r="I1827" s="204"/>
      <c r="J1827" s="204"/>
      <c r="K1827" s="204"/>
      <c r="L1827" s="204"/>
      <c r="M1827" s="204"/>
      <c r="N1827" s="204"/>
      <c r="O1827" s="204"/>
      <c r="P1827" s="204"/>
      <c r="Q1827" s="204"/>
      <c r="R1827" s="204"/>
      <c r="S1827" s="204"/>
      <c r="T1827" s="204"/>
      <c r="U1827" s="204"/>
      <c r="V1827" s="204"/>
      <c r="W1827" s="204"/>
      <c r="X1827" s="204"/>
      <c r="Y1827" s="204"/>
      <c r="Z1827" s="204"/>
      <c r="AA1827" s="204"/>
      <c r="AB1827" s="204"/>
      <c r="AC1827" s="204"/>
      <c r="AD1827" s="204"/>
      <c r="AE1827" s="204"/>
      <c r="AF1827" s="204"/>
      <c r="AG1827" s="204"/>
      <c r="AH1827" s="204"/>
      <c r="AI1827" s="209"/>
      <c r="AJ1827" s="209"/>
      <c r="AK1827" s="204"/>
      <c r="AL1827" s="204"/>
      <c r="AM1827" s="204"/>
    </row>
    <row r="1828">
      <c r="A1828" s="204"/>
      <c r="B1828" s="209"/>
      <c r="C1828" s="204"/>
      <c r="D1828" s="210"/>
      <c r="E1828" s="211"/>
      <c r="F1828" s="211"/>
      <c r="G1828" s="212"/>
      <c r="H1828" s="212"/>
      <c r="I1828" s="204"/>
      <c r="J1828" s="204"/>
      <c r="K1828" s="204"/>
      <c r="L1828" s="204"/>
      <c r="M1828" s="204"/>
      <c r="N1828" s="204"/>
      <c r="O1828" s="204"/>
      <c r="P1828" s="204"/>
      <c r="Q1828" s="204"/>
      <c r="R1828" s="204"/>
      <c r="S1828" s="204"/>
      <c r="T1828" s="204"/>
      <c r="U1828" s="204"/>
      <c r="V1828" s="204"/>
      <c r="W1828" s="204"/>
      <c r="X1828" s="204"/>
      <c r="Y1828" s="204"/>
      <c r="Z1828" s="204"/>
      <c r="AA1828" s="204"/>
      <c r="AB1828" s="204"/>
      <c r="AC1828" s="204"/>
      <c r="AD1828" s="204"/>
      <c r="AE1828" s="204"/>
      <c r="AF1828" s="204"/>
      <c r="AG1828" s="204"/>
      <c r="AH1828" s="204"/>
      <c r="AI1828" s="209"/>
      <c r="AJ1828" s="209"/>
      <c r="AK1828" s="204"/>
      <c r="AL1828" s="204"/>
      <c r="AM1828" s="204"/>
    </row>
    <row r="1829">
      <c r="A1829" s="204"/>
      <c r="B1829" s="209"/>
      <c r="C1829" s="204"/>
      <c r="D1829" s="210"/>
      <c r="E1829" s="211"/>
      <c r="F1829" s="211"/>
      <c r="G1829" s="212"/>
      <c r="H1829" s="212"/>
      <c r="I1829" s="204"/>
      <c r="J1829" s="204"/>
      <c r="K1829" s="204"/>
      <c r="L1829" s="204"/>
      <c r="M1829" s="204"/>
      <c r="N1829" s="204"/>
      <c r="O1829" s="204"/>
      <c r="P1829" s="204"/>
      <c r="Q1829" s="204"/>
      <c r="R1829" s="204"/>
      <c r="S1829" s="204"/>
      <c r="T1829" s="204"/>
      <c r="U1829" s="204"/>
      <c r="V1829" s="204"/>
      <c r="W1829" s="204"/>
      <c r="X1829" s="204"/>
      <c r="Y1829" s="204"/>
      <c r="Z1829" s="204"/>
      <c r="AA1829" s="204"/>
      <c r="AB1829" s="204"/>
      <c r="AC1829" s="204"/>
      <c r="AD1829" s="204"/>
      <c r="AE1829" s="204"/>
      <c r="AF1829" s="204"/>
      <c r="AG1829" s="204"/>
      <c r="AH1829" s="204"/>
      <c r="AI1829" s="209"/>
      <c r="AJ1829" s="209"/>
      <c r="AK1829" s="204"/>
      <c r="AL1829" s="204"/>
      <c r="AM1829" s="204"/>
    </row>
    <row r="1830">
      <c r="A1830" s="204"/>
      <c r="B1830" s="209"/>
      <c r="C1830" s="204"/>
      <c r="D1830" s="210"/>
      <c r="E1830" s="211"/>
      <c r="F1830" s="211"/>
      <c r="G1830" s="212"/>
      <c r="H1830" s="212"/>
      <c r="I1830" s="204"/>
      <c r="J1830" s="204"/>
      <c r="K1830" s="204"/>
      <c r="L1830" s="204"/>
      <c r="M1830" s="204"/>
      <c r="N1830" s="204"/>
      <c r="O1830" s="204"/>
      <c r="P1830" s="204"/>
      <c r="Q1830" s="204"/>
      <c r="R1830" s="204"/>
      <c r="S1830" s="204"/>
      <c r="T1830" s="204"/>
      <c r="U1830" s="204"/>
      <c r="V1830" s="204"/>
      <c r="W1830" s="204"/>
      <c r="X1830" s="204"/>
      <c r="Y1830" s="204"/>
      <c r="Z1830" s="204"/>
      <c r="AA1830" s="204"/>
      <c r="AB1830" s="204"/>
      <c r="AC1830" s="204"/>
      <c r="AD1830" s="204"/>
      <c r="AE1830" s="204"/>
      <c r="AF1830" s="204"/>
      <c r="AG1830" s="204"/>
      <c r="AH1830" s="204"/>
      <c r="AI1830" s="209"/>
      <c r="AJ1830" s="209"/>
      <c r="AK1830" s="204"/>
      <c r="AL1830" s="204"/>
      <c r="AM1830" s="204"/>
    </row>
    <row r="1831">
      <c r="A1831" s="204"/>
      <c r="B1831" s="209"/>
      <c r="C1831" s="204"/>
      <c r="D1831" s="210"/>
      <c r="E1831" s="211"/>
      <c r="F1831" s="211"/>
      <c r="G1831" s="212"/>
      <c r="H1831" s="212"/>
      <c r="I1831" s="204"/>
      <c r="J1831" s="204"/>
      <c r="K1831" s="204"/>
      <c r="L1831" s="204"/>
      <c r="M1831" s="204"/>
      <c r="N1831" s="204"/>
      <c r="O1831" s="204"/>
      <c r="P1831" s="204"/>
      <c r="Q1831" s="204"/>
      <c r="R1831" s="204"/>
      <c r="S1831" s="204"/>
      <c r="T1831" s="204"/>
      <c r="U1831" s="204"/>
      <c r="V1831" s="204"/>
      <c r="W1831" s="204"/>
      <c r="X1831" s="204"/>
      <c r="Y1831" s="204"/>
      <c r="Z1831" s="204"/>
      <c r="AA1831" s="204"/>
      <c r="AB1831" s="204"/>
      <c r="AC1831" s="204"/>
      <c r="AD1831" s="204"/>
      <c r="AE1831" s="204"/>
      <c r="AF1831" s="204"/>
      <c r="AG1831" s="204"/>
      <c r="AH1831" s="204"/>
      <c r="AI1831" s="209"/>
      <c r="AJ1831" s="209"/>
      <c r="AK1831" s="204"/>
      <c r="AL1831" s="204"/>
      <c r="AM1831" s="204"/>
    </row>
    <row r="1832">
      <c r="A1832" s="204"/>
      <c r="B1832" s="209"/>
      <c r="C1832" s="204"/>
      <c r="D1832" s="210"/>
      <c r="E1832" s="211"/>
      <c r="F1832" s="211"/>
      <c r="G1832" s="212"/>
      <c r="H1832" s="212"/>
      <c r="I1832" s="204"/>
      <c r="J1832" s="204"/>
      <c r="K1832" s="204"/>
      <c r="L1832" s="204"/>
      <c r="M1832" s="204"/>
      <c r="N1832" s="204"/>
      <c r="O1832" s="204"/>
      <c r="P1832" s="204"/>
      <c r="Q1832" s="204"/>
      <c r="R1832" s="204"/>
      <c r="S1832" s="204"/>
      <c r="T1832" s="204"/>
      <c r="U1832" s="204"/>
      <c r="V1832" s="204"/>
      <c r="W1832" s="204"/>
      <c r="X1832" s="204"/>
      <c r="Y1832" s="204"/>
      <c r="Z1832" s="204"/>
      <c r="AA1832" s="204"/>
      <c r="AB1832" s="204"/>
      <c r="AC1832" s="204"/>
      <c r="AD1832" s="204"/>
      <c r="AE1832" s="204"/>
      <c r="AF1832" s="204"/>
      <c r="AG1832" s="204"/>
      <c r="AH1832" s="204"/>
      <c r="AI1832" s="209"/>
      <c r="AJ1832" s="209"/>
      <c r="AK1832" s="204"/>
      <c r="AL1832" s="204"/>
      <c r="AM1832" s="204"/>
    </row>
    <row r="1833">
      <c r="A1833" s="204"/>
      <c r="B1833" s="209"/>
      <c r="C1833" s="204"/>
      <c r="D1833" s="210"/>
      <c r="E1833" s="211"/>
      <c r="F1833" s="211"/>
      <c r="G1833" s="212"/>
      <c r="H1833" s="212"/>
      <c r="I1833" s="204"/>
      <c r="J1833" s="204"/>
      <c r="K1833" s="204"/>
      <c r="L1833" s="204"/>
      <c r="M1833" s="204"/>
      <c r="N1833" s="204"/>
      <c r="O1833" s="204"/>
      <c r="P1833" s="204"/>
      <c r="Q1833" s="204"/>
      <c r="R1833" s="204"/>
      <c r="S1833" s="204"/>
      <c r="T1833" s="204"/>
      <c r="U1833" s="204"/>
      <c r="V1833" s="204"/>
      <c r="W1833" s="204"/>
      <c r="X1833" s="204"/>
      <c r="Y1833" s="204"/>
      <c r="Z1833" s="204"/>
      <c r="AA1833" s="204"/>
      <c r="AB1833" s="204"/>
      <c r="AC1833" s="204"/>
      <c r="AD1833" s="204"/>
      <c r="AE1833" s="204"/>
      <c r="AF1833" s="204"/>
      <c r="AG1833" s="204"/>
      <c r="AH1833" s="204"/>
      <c r="AI1833" s="209"/>
      <c r="AJ1833" s="209"/>
      <c r="AK1833" s="204"/>
      <c r="AL1833" s="204"/>
      <c r="AM1833" s="204"/>
    </row>
    <row r="1834">
      <c r="A1834" s="204"/>
      <c r="B1834" s="209"/>
      <c r="C1834" s="204"/>
      <c r="D1834" s="210"/>
      <c r="E1834" s="211"/>
      <c r="F1834" s="211"/>
      <c r="G1834" s="212"/>
      <c r="H1834" s="212"/>
      <c r="I1834" s="204"/>
      <c r="J1834" s="204"/>
      <c r="K1834" s="204"/>
      <c r="L1834" s="204"/>
      <c r="M1834" s="204"/>
      <c r="N1834" s="204"/>
      <c r="O1834" s="204"/>
      <c r="P1834" s="204"/>
      <c r="Q1834" s="204"/>
      <c r="R1834" s="204"/>
      <c r="S1834" s="204"/>
      <c r="T1834" s="204"/>
      <c r="U1834" s="204"/>
      <c r="V1834" s="204"/>
      <c r="W1834" s="204"/>
      <c r="X1834" s="204"/>
      <c r="Y1834" s="204"/>
      <c r="Z1834" s="204"/>
      <c r="AA1834" s="204"/>
      <c r="AB1834" s="204"/>
      <c r="AC1834" s="204"/>
      <c r="AD1834" s="204"/>
      <c r="AE1834" s="204"/>
      <c r="AF1834" s="204"/>
      <c r="AG1834" s="204"/>
      <c r="AH1834" s="204"/>
      <c r="AI1834" s="209"/>
      <c r="AJ1834" s="209"/>
      <c r="AK1834" s="204"/>
      <c r="AL1834" s="204"/>
      <c r="AM1834" s="204"/>
    </row>
    <row r="1835">
      <c r="A1835" s="204"/>
      <c r="B1835" s="209"/>
      <c r="C1835" s="204"/>
      <c r="D1835" s="210"/>
      <c r="E1835" s="211"/>
      <c r="F1835" s="211"/>
      <c r="G1835" s="212"/>
      <c r="H1835" s="212"/>
      <c r="I1835" s="204"/>
      <c r="J1835" s="204"/>
      <c r="K1835" s="204"/>
      <c r="L1835" s="204"/>
      <c r="M1835" s="204"/>
      <c r="N1835" s="204"/>
      <c r="O1835" s="204"/>
      <c r="P1835" s="204"/>
      <c r="Q1835" s="204"/>
      <c r="R1835" s="204"/>
      <c r="S1835" s="204"/>
      <c r="T1835" s="204"/>
      <c r="U1835" s="204"/>
      <c r="V1835" s="204"/>
      <c r="W1835" s="204"/>
      <c r="X1835" s="204"/>
      <c r="Y1835" s="204"/>
      <c r="Z1835" s="204"/>
      <c r="AA1835" s="204"/>
      <c r="AB1835" s="204"/>
      <c r="AC1835" s="204"/>
      <c r="AD1835" s="204"/>
      <c r="AE1835" s="204"/>
      <c r="AF1835" s="204"/>
      <c r="AG1835" s="204"/>
      <c r="AH1835" s="204"/>
      <c r="AI1835" s="209"/>
      <c r="AJ1835" s="209"/>
      <c r="AK1835" s="204"/>
      <c r="AL1835" s="204"/>
      <c r="AM1835" s="204"/>
    </row>
    <row r="1836">
      <c r="A1836" s="204"/>
      <c r="B1836" s="209"/>
      <c r="C1836" s="204"/>
      <c r="D1836" s="210"/>
      <c r="E1836" s="211"/>
      <c r="F1836" s="211"/>
      <c r="G1836" s="212"/>
      <c r="H1836" s="212"/>
      <c r="I1836" s="204"/>
      <c r="J1836" s="204"/>
      <c r="K1836" s="204"/>
      <c r="L1836" s="204"/>
      <c r="M1836" s="204"/>
      <c r="N1836" s="204"/>
      <c r="O1836" s="204"/>
      <c r="P1836" s="204"/>
      <c r="Q1836" s="204"/>
      <c r="R1836" s="204"/>
      <c r="S1836" s="204"/>
      <c r="T1836" s="204"/>
      <c r="U1836" s="204"/>
      <c r="V1836" s="204"/>
      <c r="W1836" s="204"/>
      <c r="X1836" s="204"/>
      <c r="Y1836" s="204"/>
      <c r="Z1836" s="204"/>
      <c r="AA1836" s="204"/>
      <c r="AB1836" s="204"/>
      <c r="AC1836" s="204"/>
      <c r="AD1836" s="204"/>
      <c r="AE1836" s="204"/>
      <c r="AF1836" s="204"/>
      <c r="AG1836" s="204"/>
      <c r="AH1836" s="204"/>
      <c r="AI1836" s="209"/>
      <c r="AJ1836" s="209"/>
      <c r="AK1836" s="204"/>
      <c r="AL1836" s="204"/>
      <c r="AM1836" s="204"/>
    </row>
    <row r="1837">
      <c r="A1837" s="204"/>
      <c r="B1837" s="209"/>
      <c r="C1837" s="204"/>
      <c r="D1837" s="210"/>
      <c r="E1837" s="211"/>
      <c r="F1837" s="211"/>
      <c r="G1837" s="212"/>
      <c r="H1837" s="212"/>
      <c r="I1837" s="204"/>
      <c r="J1837" s="204"/>
      <c r="K1837" s="204"/>
      <c r="L1837" s="204"/>
      <c r="M1837" s="204"/>
      <c r="N1837" s="204"/>
      <c r="O1837" s="204"/>
      <c r="P1837" s="204"/>
      <c r="Q1837" s="204"/>
      <c r="R1837" s="204"/>
      <c r="S1837" s="204"/>
      <c r="T1837" s="204"/>
      <c r="U1837" s="204"/>
      <c r="V1837" s="204"/>
      <c r="W1837" s="204"/>
      <c r="X1837" s="204"/>
      <c r="Y1837" s="204"/>
      <c r="Z1837" s="204"/>
      <c r="AA1837" s="204"/>
      <c r="AB1837" s="204"/>
      <c r="AC1837" s="204"/>
      <c r="AD1837" s="204"/>
      <c r="AE1837" s="204"/>
      <c r="AF1837" s="204"/>
      <c r="AG1837" s="204"/>
      <c r="AH1837" s="204"/>
      <c r="AI1837" s="209"/>
      <c r="AJ1837" s="209"/>
      <c r="AK1837" s="204"/>
      <c r="AL1837" s="204"/>
      <c r="AM1837" s="204"/>
    </row>
    <row r="1838">
      <c r="A1838" s="204"/>
      <c r="B1838" s="209"/>
      <c r="C1838" s="204"/>
      <c r="D1838" s="210"/>
      <c r="E1838" s="211"/>
      <c r="F1838" s="211"/>
      <c r="G1838" s="212"/>
      <c r="H1838" s="212"/>
      <c r="I1838" s="204"/>
      <c r="J1838" s="204"/>
      <c r="K1838" s="204"/>
      <c r="L1838" s="204"/>
      <c r="M1838" s="204"/>
      <c r="N1838" s="204"/>
      <c r="O1838" s="204"/>
      <c r="P1838" s="204"/>
      <c r="Q1838" s="204"/>
      <c r="R1838" s="204"/>
      <c r="S1838" s="204"/>
      <c r="T1838" s="204"/>
      <c r="U1838" s="204"/>
      <c r="V1838" s="204"/>
      <c r="W1838" s="204"/>
      <c r="X1838" s="204"/>
      <c r="Y1838" s="204"/>
      <c r="Z1838" s="204"/>
      <c r="AA1838" s="204"/>
      <c r="AB1838" s="204"/>
      <c r="AC1838" s="204"/>
      <c r="AD1838" s="204"/>
      <c r="AE1838" s="204"/>
      <c r="AF1838" s="204"/>
      <c r="AG1838" s="204"/>
      <c r="AH1838" s="204"/>
      <c r="AI1838" s="209"/>
      <c r="AJ1838" s="209"/>
      <c r="AK1838" s="204"/>
      <c r="AL1838" s="204"/>
      <c r="AM1838" s="204"/>
    </row>
    <row r="1839">
      <c r="A1839" s="204"/>
      <c r="B1839" s="209"/>
      <c r="C1839" s="204"/>
      <c r="D1839" s="210"/>
      <c r="E1839" s="211"/>
      <c r="F1839" s="211"/>
      <c r="G1839" s="212"/>
      <c r="H1839" s="212"/>
      <c r="I1839" s="204"/>
      <c r="J1839" s="204"/>
      <c r="K1839" s="204"/>
      <c r="L1839" s="204"/>
      <c r="M1839" s="204"/>
      <c r="N1839" s="204"/>
      <c r="O1839" s="204"/>
      <c r="P1839" s="204"/>
      <c r="Q1839" s="204"/>
      <c r="R1839" s="204"/>
      <c r="S1839" s="204"/>
      <c r="T1839" s="204"/>
      <c r="U1839" s="204"/>
      <c r="V1839" s="204"/>
      <c r="W1839" s="204"/>
      <c r="X1839" s="204"/>
      <c r="Y1839" s="204"/>
      <c r="Z1839" s="204"/>
      <c r="AA1839" s="204"/>
      <c r="AB1839" s="204"/>
      <c r="AC1839" s="204"/>
      <c r="AD1839" s="204"/>
      <c r="AE1839" s="204"/>
      <c r="AF1839" s="204"/>
      <c r="AG1839" s="204"/>
      <c r="AH1839" s="204"/>
      <c r="AI1839" s="209"/>
      <c r="AJ1839" s="209"/>
      <c r="AK1839" s="204"/>
      <c r="AL1839" s="204"/>
      <c r="AM1839" s="204"/>
    </row>
    <row r="1840">
      <c r="A1840" s="204"/>
      <c r="B1840" s="209"/>
      <c r="C1840" s="204"/>
      <c r="D1840" s="210"/>
      <c r="E1840" s="211"/>
      <c r="F1840" s="211"/>
      <c r="G1840" s="212"/>
      <c r="H1840" s="212"/>
      <c r="I1840" s="204"/>
      <c r="J1840" s="204"/>
      <c r="K1840" s="204"/>
      <c r="L1840" s="204"/>
      <c r="M1840" s="204"/>
      <c r="N1840" s="204"/>
      <c r="O1840" s="204"/>
      <c r="P1840" s="204"/>
      <c r="Q1840" s="204"/>
      <c r="R1840" s="204"/>
      <c r="S1840" s="204"/>
      <c r="T1840" s="204"/>
      <c r="U1840" s="204"/>
      <c r="V1840" s="204"/>
      <c r="W1840" s="204"/>
      <c r="X1840" s="204"/>
      <c r="Y1840" s="204"/>
      <c r="Z1840" s="204"/>
      <c r="AA1840" s="204"/>
      <c r="AB1840" s="204"/>
      <c r="AC1840" s="204"/>
      <c r="AD1840" s="204"/>
      <c r="AE1840" s="204"/>
      <c r="AF1840" s="204"/>
      <c r="AG1840" s="204"/>
      <c r="AH1840" s="204"/>
      <c r="AI1840" s="209"/>
      <c r="AJ1840" s="209"/>
      <c r="AK1840" s="204"/>
      <c r="AL1840" s="204"/>
      <c r="AM1840" s="204"/>
    </row>
    <row r="1841">
      <c r="A1841" s="204"/>
      <c r="B1841" s="209"/>
      <c r="C1841" s="204"/>
      <c r="D1841" s="210"/>
      <c r="E1841" s="211"/>
      <c r="F1841" s="211"/>
      <c r="G1841" s="212"/>
      <c r="H1841" s="212"/>
      <c r="I1841" s="204"/>
      <c r="J1841" s="204"/>
      <c r="K1841" s="204"/>
      <c r="L1841" s="204"/>
      <c r="M1841" s="204"/>
      <c r="N1841" s="204"/>
      <c r="O1841" s="204"/>
      <c r="P1841" s="204"/>
      <c r="Q1841" s="204"/>
      <c r="R1841" s="204"/>
      <c r="S1841" s="204"/>
      <c r="T1841" s="204"/>
      <c r="U1841" s="204"/>
      <c r="V1841" s="204"/>
      <c r="W1841" s="204"/>
      <c r="X1841" s="204"/>
      <c r="Y1841" s="204"/>
      <c r="Z1841" s="204"/>
      <c r="AA1841" s="204"/>
      <c r="AB1841" s="204"/>
      <c r="AC1841" s="204"/>
      <c r="AD1841" s="204"/>
      <c r="AE1841" s="204"/>
      <c r="AF1841" s="204"/>
      <c r="AG1841" s="204"/>
      <c r="AH1841" s="204"/>
      <c r="AI1841" s="209"/>
      <c r="AJ1841" s="209"/>
      <c r="AK1841" s="204"/>
      <c r="AL1841" s="204"/>
      <c r="AM1841" s="204"/>
    </row>
    <row r="1842">
      <c r="A1842" s="204"/>
      <c r="B1842" s="209"/>
      <c r="C1842" s="204"/>
      <c r="D1842" s="210"/>
      <c r="E1842" s="211"/>
      <c r="F1842" s="211"/>
      <c r="G1842" s="212"/>
      <c r="H1842" s="212"/>
      <c r="I1842" s="204"/>
      <c r="J1842" s="204"/>
      <c r="K1842" s="204"/>
      <c r="L1842" s="204"/>
      <c r="M1842" s="204"/>
      <c r="N1842" s="204"/>
      <c r="O1842" s="204"/>
      <c r="P1842" s="204"/>
      <c r="Q1842" s="204"/>
      <c r="R1842" s="204"/>
      <c r="S1842" s="204"/>
      <c r="T1842" s="204"/>
      <c r="U1842" s="204"/>
      <c r="V1842" s="204"/>
      <c r="W1842" s="204"/>
      <c r="X1842" s="204"/>
      <c r="Y1842" s="204"/>
      <c r="Z1842" s="204"/>
      <c r="AA1842" s="204"/>
      <c r="AB1842" s="204"/>
      <c r="AC1842" s="204"/>
      <c r="AD1842" s="204"/>
      <c r="AE1842" s="204"/>
      <c r="AF1842" s="204"/>
      <c r="AG1842" s="204"/>
      <c r="AH1842" s="204"/>
      <c r="AI1842" s="209"/>
      <c r="AJ1842" s="209"/>
      <c r="AK1842" s="204"/>
      <c r="AL1842" s="204"/>
      <c r="AM1842" s="204"/>
    </row>
    <row r="1843">
      <c r="A1843" s="204"/>
      <c r="B1843" s="209"/>
      <c r="C1843" s="204"/>
      <c r="D1843" s="210"/>
      <c r="E1843" s="211"/>
      <c r="F1843" s="211"/>
      <c r="G1843" s="212"/>
      <c r="H1843" s="212"/>
      <c r="I1843" s="204"/>
      <c r="J1843" s="204"/>
      <c r="K1843" s="204"/>
      <c r="L1843" s="204"/>
      <c r="M1843" s="204"/>
      <c r="N1843" s="204"/>
      <c r="O1843" s="204"/>
      <c r="P1843" s="204"/>
      <c r="Q1843" s="204"/>
      <c r="R1843" s="204"/>
      <c r="S1843" s="204"/>
      <c r="T1843" s="204"/>
      <c r="U1843" s="204"/>
      <c r="V1843" s="204"/>
      <c r="W1843" s="204"/>
      <c r="X1843" s="204"/>
      <c r="Y1843" s="204"/>
      <c r="Z1843" s="204"/>
      <c r="AA1843" s="204"/>
      <c r="AB1843" s="204"/>
      <c r="AC1843" s="204"/>
      <c r="AD1843" s="204"/>
      <c r="AE1843" s="204"/>
      <c r="AF1843" s="204"/>
      <c r="AG1843" s="204"/>
      <c r="AH1843" s="204"/>
      <c r="AI1843" s="209"/>
      <c r="AJ1843" s="209"/>
      <c r="AK1843" s="204"/>
      <c r="AL1843" s="204"/>
      <c r="AM1843" s="204"/>
    </row>
    <row r="1844">
      <c r="A1844" s="204"/>
      <c r="B1844" s="209"/>
      <c r="C1844" s="204"/>
      <c r="D1844" s="210"/>
      <c r="E1844" s="211"/>
      <c r="F1844" s="211"/>
      <c r="G1844" s="212"/>
      <c r="H1844" s="212"/>
      <c r="I1844" s="204"/>
      <c r="J1844" s="204"/>
      <c r="K1844" s="204"/>
      <c r="L1844" s="204"/>
      <c r="M1844" s="204"/>
      <c r="N1844" s="204"/>
      <c r="O1844" s="204"/>
      <c r="P1844" s="204"/>
      <c r="Q1844" s="204"/>
      <c r="R1844" s="204"/>
      <c r="S1844" s="204"/>
      <c r="T1844" s="204"/>
      <c r="U1844" s="204"/>
      <c r="V1844" s="204"/>
      <c r="W1844" s="204"/>
      <c r="X1844" s="204"/>
      <c r="Y1844" s="204"/>
      <c r="Z1844" s="204"/>
      <c r="AA1844" s="204"/>
      <c r="AB1844" s="204"/>
      <c r="AC1844" s="204"/>
      <c r="AD1844" s="204"/>
      <c r="AE1844" s="204"/>
      <c r="AF1844" s="204"/>
      <c r="AG1844" s="204"/>
      <c r="AH1844" s="204"/>
      <c r="AI1844" s="209"/>
      <c r="AJ1844" s="209"/>
      <c r="AK1844" s="204"/>
      <c r="AL1844" s="204"/>
      <c r="AM1844" s="204"/>
    </row>
    <row r="1845">
      <c r="A1845" s="204"/>
      <c r="B1845" s="209"/>
      <c r="C1845" s="204"/>
      <c r="D1845" s="210"/>
      <c r="E1845" s="211"/>
      <c r="F1845" s="211"/>
      <c r="G1845" s="212"/>
      <c r="H1845" s="212"/>
      <c r="I1845" s="204"/>
      <c r="J1845" s="204"/>
      <c r="K1845" s="204"/>
      <c r="L1845" s="204"/>
      <c r="M1845" s="204"/>
      <c r="N1845" s="204"/>
      <c r="O1845" s="204"/>
      <c r="P1845" s="204"/>
      <c r="Q1845" s="204"/>
      <c r="R1845" s="204"/>
      <c r="S1845" s="204"/>
      <c r="T1845" s="204"/>
      <c r="U1845" s="204"/>
      <c r="V1845" s="204"/>
      <c r="W1845" s="204"/>
      <c r="X1845" s="204"/>
      <c r="Y1845" s="204"/>
      <c r="Z1845" s="204"/>
      <c r="AA1845" s="204"/>
      <c r="AB1845" s="204"/>
      <c r="AC1845" s="204"/>
      <c r="AD1845" s="204"/>
      <c r="AE1845" s="204"/>
      <c r="AF1845" s="204"/>
      <c r="AG1845" s="204"/>
      <c r="AH1845" s="204"/>
      <c r="AI1845" s="209"/>
      <c r="AJ1845" s="209"/>
      <c r="AK1845" s="204"/>
      <c r="AL1845" s="204"/>
      <c r="AM1845" s="204"/>
    </row>
    <row r="1846">
      <c r="A1846" s="204"/>
      <c r="B1846" s="209"/>
      <c r="C1846" s="204"/>
      <c r="D1846" s="210"/>
      <c r="E1846" s="211"/>
      <c r="F1846" s="211"/>
      <c r="G1846" s="212"/>
      <c r="H1846" s="212"/>
      <c r="I1846" s="204"/>
      <c r="J1846" s="204"/>
      <c r="K1846" s="204"/>
      <c r="L1846" s="204"/>
      <c r="M1846" s="204"/>
      <c r="N1846" s="204"/>
      <c r="O1846" s="204"/>
      <c r="P1846" s="204"/>
      <c r="Q1846" s="204"/>
      <c r="R1846" s="204"/>
      <c r="S1846" s="204"/>
      <c r="T1846" s="204"/>
      <c r="U1846" s="204"/>
      <c r="V1846" s="204"/>
      <c r="W1846" s="204"/>
      <c r="X1846" s="204"/>
      <c r="Y1846" s="204"/>
      <c r="Z1846" s="204"/>
      <c r="AA1846" s="204"/>
      <c r="AB1846" s="204"/>
      <c r="AC1846" s="204"/>
      <c r="AD1846" s="204"/>
      <c r="AE1846" s="204"/>
      <c r="AF1846" s="204"/>
      <c r="AG1846" s="204"/>
      <c r="AH1846" s="204"/>
      <c r="AI1846" s="209"/>
      <c r="AJ1846" s="209"/>
      <c r="AK1846" s="204"/>
      <c r="AL1846" s="204"/>
      <c r="AM1846" s="204"/>
    </row>
    <row r="1847">
      <c r="A1847" s="204"/>
      <c r="B1847" s="209"/>
      <c r="C1847" s="204"/>
      <c r="D1847" s="210"/>
      <c r="E1847" s="211"/>
      <c r="F1847" s="211"/>
      <c r="G1847" s="212"/>
      <c r="H1847" s="212"/>
      <c r="I1847" s="204"/>
      <c r="J1847" s="204"/>
      <c r="K1847" s="204"/>
      <c r="L1847" s="204"/>
      <c r="M1847" s="204"/>
      <c r="N1847" s="204"/>
      <c r="O1847" s="204"/>
      <c r="P1847" s="204"/>
      <c r="Q1847" s="204"/>
      <c r="R1847" s="204"/>
      <c r="S1847" s="204"/>
      <c r="T1847" s="204"/>
      <c r="U1847" s="204"/>
      <c r="V1847" s="204"/>
      <c r="W1847" s="204"/>
      <c r="X1847" s="204"/>
      <c r="Y1847" s="204"/>
      <c r="Z1847" s="204"/>
      <c r="AA1847" s="204"/>
      <c r="AB1847" s="204"/>
      <c r="AC1847" s="204"/>
      <c r="AD1847" s="204"/>
      <c r="AE1847" s="204"/>
      <c r="AF1847" s="204"/>
      <c r="AG1847" s="204"/>
      <c r="AH1847" s="204"/>
      <c r="AI1847" s="209"/>
      <c r="AJ1847" s="209"/>
      <c r="AK1847" s="204"/>
      <c r="AL1847" s="204"/>
      <c r="AM1847" s="204"/>
    </row>
    <row r="1848">
      <c r="A1848" s="204"/>
      <c r="B1848" s="209"/>
      <c r="C1848" s="204"/>
      <c r="D1848" s="210"/>
      <c r="E1848" s="211"/>
      <c r="F1848" s="211"/>
      <c r="G1848" s="212"/>
      <c r="H1848" s="212"/>
      <c r="I1848" s="204"/>
      <c r="J1848" s="204"/>
      <c r="K1848" s="204"/>
      <c r="L1848" s="204"/>
      <c r="M1848" s="204"/>
      <c r="N1848" s="204"/>
      <c r="O1848" s="204"/>
      <c r="P1848" s="204"/>
      <c r="Q1848" s="204"/>
      <c r="R1848" s="204"/>
      <c r="S1848" s="204"/>
      <c r="T1848" s="204"/>
      <c r="U1848" s="204"/>
      <c r="V1848" s="204"/>
      <c r="W1848" s="204"/>
      <c r="X1848" s="204"/>
      <c r="Y1848" s="204"/>
      <c r="Z1848" s="204"/>
      <c r="AA1848" s="204"/>
      <c r="AB1848" s="204"/>
      <c r="AC1848" s="204"/>
      <c r="AD1848" s="204"/>
      <c r="AE1848" s="204"/>
      <c r="AF1848" s="204"/>
      <c r="AG1848" s="204"/>
      <c r="AH1848" s="204"/>
      <c r="AI1848" s="209"/>
      <c r="AJ1848" s="209"/>
      <c r="AK1848" s="204"/>
      <c r="AL1848" s="204"/>
      <c r="AM1848" s="204"/>
    </row>
    <row r="1849">
      <c r="A1849" s="204"/>
      <c r="B1849" s="209"/>
      <c r="C1849" s="204"/>
      <c r="D1849" s="210"/>
      <c r="E1849" s="211"/>
      <c r="F1849" s="211"/>
      <c r="G1849" s="212"/>
      <c r="H1849" s="212"/>
      <c r="I1849" s="204"/>
      <c r="J1849" s="204"/>
      <c r="K1849" s="204"/>
      <c r="L1849" s="204"/>
      <c r="M1849" s="204"/>
      <c r="N1849" s="204"/>
      <c r="O1849" s="204"/>
      <c r="P1849" s="204"/>
      <c r="Q1849" s="204"/>
      <c r="R1849" s="204"/>
      <c r="S1849" s="204"/>
      <c r="T1849" s="204"/>
      <c r="U1849" s="204"/>
      <c r="V1849" s="204"/>
      <c r="W1849" s="204"/>
      <c r="X1849" s="204"/>
      <c r="Y1849" s="204"/>
      <c r="Z1849" s="204"/>
      <c r="AA1849" s="204"/>
      <c r="AB1849" s="204"/>
      <c r="AC1849" s="204"/>
      <c r="AD1849" s="204"/>
      <c r="AE1849" s="204"/>
      <c r="AF1849" s="204"/>
      <c r="AG1849" s="204"/>
      <c r="AH1849" s="204"/>
      <c r="AI1849" s="209"/>
      <c r="AJ1849" s="209"/>
      <c r="AK1849" s="204"/>
      <c r="AL1849" s="204"/>
      <c r="AM1849" s="204"/>
    </row>
    <row r="1850">
      <c r="A1850" s="204"/>
      <c r="B1850" s="209"/>
      <c r="C1850" s="204"/>
      <c r="D1850" s="210"/>
      <c r="E1850" s="211"/>
      <c r="F1850" s="211"/>
      <c r="G1850" s="212"/>
      <c r="H1850" s="212"/>
      <c r="I1850" s="204"/>
      <c r="J1850" s="204"/>
      <c r="K1850" s="204"/>
      <c r="L1850" s="204"/>
      <c r="M1850" s="204"/>
      <c r="N1850" s="204"/>
      <c r="O1850" s="204"/>
      <c r="P1850" s="204"/>
      <c r="Q1850" s="204"/>
      <c r="R1850" s="204"/>
      <c r="S1850" s="204"/>
      <c r="T1850" s="204"/>
      <c r="U1850" s="204"/>
      <c r="V1850" s="204"/>
      <c r="W1850" s="204"/>
      <c r="X1850" s="204"/>
      <c r="Y1850" s="204"/>
      <c r="Z1850" s="204"/>
      <c r="AA1850" s="204"/>
      <c r="AB1850" s="204"/>
      <c r="AC1850" s="204"/>
      <c r="AD1850" s="204"/>
      <c r="AE1850" s="204"/>
      <c r="AF1850" s="204"/>
      <c r="AG1850" s="204"/>
      <c r="AH1850" s="204"/>
      <c r="AI1850" s="209"/>
      <c r="AJ1850" s="209"/>
      <c r="AK1850" s="204"/>
      <c r="AL1850" s="204"/>
      <c r="AM1850" s="204"/>
    </row>
    <row r="1851">
      <c r="A1851" s="204"/>
      <c r="B1851" s="209"/>
      <c r="C1851" s="204"/>
      <c r="D1851" s="210"/>
      <c r="E1851" s="211"/>
      <c r="F1851" s="211"/>
      <c r="G1851" s="212"/>
      <c r="H1851" s="212"/>
      <c r="I1851" s="204"/>
      <c r="J1851" s="204"/>
      <c r="K1851" s="204"/>
      <c r="L1851" s="204"/>
      <c r="M1851" s="204"/>
      <c r="N1851" s="204"/>
      <c r="O1851" s="204"/>
      <c r="P1851" s="204"/>
      <c r="Q1851" s="204"/>
      <c r="R1851" s="204"/>
      <c r="S1851" s="204"/>
      <c r="T1851" s="204"/>
      <c r="U1851" s="204"/>
      <c r="V1851" s="204"/>
      <c r="W1851" s="204"/>
      <c r="X1851" s="204"/>
      <c r="Y1851" s="204"/>
      <c r="Z1851" s="204"/>
      <c r="AA1851" s="204"/>
      <c r="AB1851" s="204"/>
      <c r="AC1851" s="204"/>
      <c r="AD1851" s="204"/>
      <c r="AE1851" s="204"/>
      <c r="AF1851" s="204"/>
      <c r="AG1851" s="204"/>
      <c r="AH1851" s="204"/>
      <c r="AI1851" s="209"/>
      <c r="AJ1851" s="209"/>
      <c r="AK1851" s="204"/>
      <c r="AL1851" s="204"/>
      <c r="AM1851" s="204"/>
    </row>
    <row r="1852">
      <c r="A1852" s="204"/>
      <c r="B1852" s="209"/>
      <c r="C1852" s="204"/>
      <c r="D1852" s="210"/>
      <c r="E1852" s="211"/>
      <c r="F1852" s="211"/>
      <c r="G1852" s="212"/>
      <c r="H1852" s="212"/>
      <c r="I1852" s="204"/>
      <c r="J1852" s="204"/>
      <c r="K1852" s="204"/>
      <c r="L1852" s="204"/>
      <c r="M1852" s="204"/>
      <c r="N1852" s="204"/>
      <c r="O1852" s="204"/>
      <c r="P1852" s="204"/>
      <c r="Q1852" s="204"/>
      <c r="R1852" s="204"/>
      <c r="S1852" s="204"/>
      <c r="T1852" s="204"/>
      <c r="U1852" s="204"/>
      <c r="V1852" s="204"/>
      <c r="W1852" s="204"/>
      <c r="X1852" s="204"/>
      <c r="Y1852" s="204"/>
      <c r="Z1852" s="204"/>
      <c r="AA1852" s="204"/>
      <c r="AB1852" s="204"/>
      <c r="AC1852" s="204"/>
      <c r="AD1852" s="204"/>
      <c r="AE1852" s="204"/>
      <c r="AF1852" s="204"/>
      <c r="AG1852" s="204"/>
      <c r="AH1852" s="204"/>
      <c r="AI1852" s="209"/>
      <c r="AJ1852" s="209"/>
      <c r="AK1852" s="204"/>
      <c r="AL1852" s="204"/>
      <c r="AM1852" s="204"/>
    </row>
    <row r="1853">
      <c r="A1853" s="204"/>
      <c r="B1853" s="209"/>
      <c r="C1853" s="204"/>
      <c r="D1853" s="210"/>
      <c r="E1853" s="211"/>
      <c r="F1853" s="211"/>
      <c r="G1853" s="212"/>
      <c r="H1853" s="212"/>
      <c r="I1853" s="204"/>
      <c r="J1853" s="204"/>
      <c r="K1853" s="204"/>
      <c r="L1853" s="204"/>
      <c r="M1853" s="204"/>
      <c r="N1853" s="204"/>
      <c r="O1853" s="204"/>
      <c r="P1853" s="204"/>
      <c r="Q1853" s="204"/>
      <c r="R1853" s="204"/>
      <c r="S1853" s="204"/>
      <c r="T1853" s="204"/>
      <c r="U1853" s="204"/>
      <c r="V1853" s="204"/>
      <c r="W1853" s="204"/>
      <c r="X1853" s="204"/>
      <c r="Y1853" s="204"/>
      <c r="Z1853" s="204"/>
      <c r="AA1853" s="204"/>
      <c r="AB1853" s="204"/>
      <c r="AC1853" s="204"/>
      <c r="AD1853" s="204"/>
      <c r="AE1853" s="204"/>
      <c r="AF1853" s="204"/>
      <c r="AG1853" s="204"/>
      <c r="AH1853" s="204"/>
      <c r="AI1853" s="209"/>
      <c r="AJ1853" s="209"/>
      <c r="AK1853" s="204"/>
      <c r="AL1853" s="204"/>
      <c r="AM1853" s="204"/>
    </row>
    <row r="1854">
      <c r="A1854" s="204"/>
      <c r="B1854" s="209"/>
      <c r="C1854" s="204"/>
      <c r="D1854" s="210"/>
      <c r="E1854" s="211"/>
      <c r="F1854" s="211"/>
      <c r="G1854" s="212"/>
      <c r="H1854" s="212"/>
      <c r="I1854" s="204"/>
      <c r="J1854" s="204"/>
      <c r="K1854" s="204"/>
      <c r="L1854" s="204"/>
      <c r="M1854" s="204"/>
      <c r="N1854" s="204"/>
      <c r="O1854" s="204"/>
      <c r="P1854" s="204"/>
      <c r="Q1854" s="204"/>
      <c r="R1854" s="204"/>
      <c r="S1854" s="204"/>
      <c r="T1854" s="204"/>
      <c r="U1854" s="204"/>
      <c r="V1854" s="204"/>
      <c r="W1854" s="204"/>
      <c r="X1854" s="204"/>
      <c r="Y1854" s="204"/>
      <c r="Z1854" s="204"/>
      <c r="AA1854" s="204"/>
      <c r="AB1854" s="204"/>
      <c r="AC1854" s="204"/>
      <c r="AD1854" s="204"/>
      <c r="AE1854" s="204"/>
      <c r="AF1854" s="204"/>
      <c r="AG1854" s="204"/>
      <c r="AH1854" s="204"/>
      <c r="AI1854" s="209"/>
      <c r="AJ1854" s="209"/>
      <c r="AK1854" s="204"/>
      <c r="AL1854" s="204"/>
      <c r="AM1854" s="204"/>
    </row>
    <row r="1855">
      <c r="A1855" s="204"/>
      <c r="B1855" s="209"/>
      <c r="C1855" s="204"/>
      <c r="D1855" s="210"/>
      <c r="E1855" s="211"/>
      <c r="F1855" s="211"/>
      <c r="G1855" s="212"/>
      <c r="H1855" s="212"/>
      <c r="I1855" s="204"/>
      <c r="J1855" s="204"/>
      <c r="K1855" s="204"/>
      <c r="L1855" s="204"/>
      <c r="M1855" s="204"/>
      <c r="N1855" s="204"/>
      <c r="O1855" s="204"/>
      <c r="P1855" s="204"/>
      <c r="Q1855" s="204"/>
      <c r="R1855" s="204"/>
      <c r="S1855" s="204"/>
      <c r="T1855" s="204"/>
      <c r="U1855" s="204"/>
      <c r="V1855" s="204"/>
      <c r="W1855" s="204"/>
      <c r="X1855" s="204"/>
      <c r="Y1855" s="204"/>
      <c r="Z1855" s="204"/>
      <c r="AA1855" s="204"/>
      <c r="AB1855" s="204"/>
      <c r="AC1855" s="204"/>
      <c r="AD1855" s="204"/>
      <c r="AE1855" s="204"/>
      <c r="AF1855" s="204"/>
      <c r="AG1855" s="204"/>
      <c r="AH1855" s="204"/>
      <c r="AI1855" s="209"/>
      <c r="AJ1855" s="209"/>
      <c r="AK1855" s="204"/>
      <c r="AL1855" s="204"/>
      <c r="AM1855" s="204"/>
    </row>
    <row r="1856">
      <c r="A1856" s="204"/>
      <c r="B1856" s="209"/>
      <c r="C1856" s="204"/>
      <c r="D1856" s="210"/>
      <c r="E1856" s="211"/>
      <c r="F1856" s="211"/>
      <c r="G1856" s="212"/>
      <c r="H1856" s="212"/>
      <c r="I1856" s="204"/>
      <c r="J1856" s="204"/>
      <c r="K1856" s="204"/>
      <c r="L1856" s="204"/>
      <c r="M1856" s="204"/>
      <c r="N1856" s="204"/>
      <c r="O1856" s="204"/>
      <c r="P1856" s="204"/>
      <c r="Q1856" s="204"/>
      <c r="R1856" s="204"/>
      <c r="S1856" s="204"/>
      <c r="T1856" s="204"/>
      <c r="U1856" s="204"/>
      <c r="V1856" s="204"/>
      <c r="W1856" s="204"/>
      <c r="X1856" s="204"/>
      <c r="Y1856" s="204"/>
      <c r="Z1856" s="204"/>
      <c r="AA1856" s="204"/>
      <c r="AB1856" s="204"/>
      <c r="AC1856" s="204"/>
      <c r="AD1856" s="204"/>
      <c r="AE1856" s="204"/>
      <c r="AF1856" s="204"/>
      <c r="AG1856" s="204"/>
      <c r="AH1856" s="204"/>
      <c r="AI1856" s="209"/>
      <c r="AJ1856" s="209"/>
      <c r="AK1856" s="204"/>
      <c r="AL1856" s="204"/>
      <c r="AM1856" s="204"/>
    </row>
    <row r="1857">
      <c r="A1857" s="204"/>
      <c r="B1857" s="209"/>
      <c r="C1857" s="204"/>
      <c r="D1857" s="210"/>
      <c r="E1857" s="211"/>
      <c r="F1857" s="211"/>
      <c r="G1857" s="212"/>
      <c r="H1857" s="212"/>
      <c r="I1857" s="204"/>
      <c r="J1857" s="204"/>
      <c r="K1857" s="204"/>
      <c r="L1857" s="204"/>
      <c r="M1857" s="204"/>
      <c r="N1857" s="204"/>
      <c r="O1857" s="204"/>
      <c r="P1857" s="204"/>
      <c r="Q1857" s="204"/>
      <c r="R1857" s="204"/>
      <c r="S1857" s="204"/>
      <c r="T1857" s="204"/>
      <c r="U1857" s="204"/>
      <c r="V1857" s="204"/>
      <c r="W1857" s="204"/>
      <c r="X1857" s="204"/>
      <c r="Y1857" s="204"/>
      <c r="Z1857" s="204"/>
      <c r="AA1857" s="204"/>
      <c r="AB1857" s="204"/>
      <c r="AC1857" s="204"/>
      <c r="AD1857" s="204"/>
      <c r="AE1857" s="204"/>
      <c r="AF1857" s="204"/>
      <c r="AG1857" s="204"/>
      <c r="AH1857" s="204"/>
      <c r="AI1857" s="209"/>
      <c r="AJ1857" s="209"/>
      <c r="AK1857" s="204"/>
      <c r="AL1857" s="204"/>
      <c r="AM1857" s="204"/>
    </row>
    <row r="1858">
      <c r="A1858" s="204"/>
      <c r="B1858" s="209"/>
      <c r="C1858" s="204"/>
      <c r="D1858" s="210"/>
      <c r="E1858" s="211"/>
      <c r="F1858" s="211"/>
      <c r="G1858" s="212"/>
      <c r="H1858" s="212"/>
      <c r="I1858" s="204"/>
      <c r="J1858" s="204"/>
      <c r="K1858" s="204"/>
      <c r="L1858" s="204"/>
      <c r="M1858" s="204"/>
      <c r="N1858" s="204"/>
      <c r="O1858" s="204"/>
      <c r="P1858" s="204"/>
      <c r="Q1858" s="204"/>
      <c r="R1858" s="204"/>
      <c r="S1858" s="204"/>
      <c r="T1858" s="204"/>
      <c r="U1858" s="204"/>
      <c r="V1858" s="204"/>
      <c r="W1858" s="204"/>
      <c r="X1858" s="204"/>
      <c r="Y1858" s="204"/>
      <c r="Z1858" s="204"/>
      <c r="AA1858" s="204"/>
      <c r="AB1858" s="204"/>
      <c r="AC1858" s="204"/>
      <c r="AD1858" s="204"/>
      <c r="AE1858" s="204"/>
      <c r="AF1858" s="204"/>
      <c r="AG1858" s="204"/>
      <c r="AH1858" s="204"/>
      <c r="AI1858" s="209"/>
      <c r="AJ1858" s="209"/>
      <c r="AK1858" s="204"/>
      <c r="AL1858" s="204"/>
      <c r="AM1858" s="204"/>
    </row>
    <row r="1859">
      <c r="A1859" s="204"/>
      <c r="B1859" s="209"/>
      <c r="C1859" s="204"/>
      <c r="D1859" s="210"/>
      <c r="E1859" s="211"/>
      <c r="F1859" s="211"/>
      <c r="G1859" s="212"/>
      <c r="H1859" s="212"/>
      <c r="I1859" s="204"/>
      <c r="J1859" s="204"/>
      <c r="K1859" s="204"/>
      <c r="L1859" s="204"/>
      <c r="M1859" s="204"/>
      <c r="N1859" s="204"/>
      <c r="O1859" s="204"/>
      <c r="P1859" s="204"/>
      <c r="Q1859" s="204"/>
      <c r="R1859" s="204"/>
      <c r="S1859" s="204"/>
      <c r="T1859" s="204"/>
      <c r="U1859" s="204"/>
      <c r="V1859" s="204"/>
      <c r="W1859" s="204"/>
      <c r="X1859" s="204"/>
      <c r="Y1859" s="204"/>
      <c r="Z1859" s="204"/>
      <c r="AA1859" s="204"/>
      <c r="AB1859" s="204"/>
      <c r="AC1859" s="204"/>
      <c r="AD1859" s="204"/>
      <c r="AE1859" s="204"/>
      <c r="AF1859" s="204"/>
      <c r="AG1859" s="204"/>
      <c r="AH1859" s="204"/>
      <c r="AI1859" s="209"/>
      <c r="AJ1859" s="209"/>
      <c r="AK1859" s="204"/>
      <c r="AL1859" s="204"/>
      <c r="AM1859" s="204"/>
    </row>
    <row r="1860">
      <c r="A1860" s="204"/>
      <c r="B1860" s="209"/>
      <c r="C1860" s="204"/>
      <c r="D1860" s="210"/>
      <c r="E1860" s="211"/>
      <c r="F1860" s="211"/>
      <c r="G1860" s="212"/>
      <c r="H1860" s="212"/>
      <c r="I1860" s="204"/>
      <c r="J1860" s="204"/>
      <c r="K1860" s="204"/>
      <c r="L1860" s="204"/>
      <c r="M1860" s="204"/>
      <c r="N1860" s="204"/>
      <c r="O1860" s="204"/>
      <c r="P1860" s="204"/>
      <c r="Q1860" s="204"/>
      <c r="R1860" s="204"/>
      <c r="S1860" s="204"/>
      <c r="T1860" s="204"/>
      <c r="U1860" s="204"/>
      <c r="V1860" s="204"/>
      <c r="W1860" s="204"/>
      <c r="X1860" s="204"/>
      <c r="Y1860" s="204"/>
      <c r="Z1860" s="204"/>
      <c r="AA1860" s="204"/>
      <c r="AB1860" s="204"/>
      <c r="AC1860" s="204"/>
      <c r="AD1860" s="204"/>
      <c r="AE1860" s="204"/>
      <c r="AF1860" s="204"/>
      <c r="AG1860" s="204"/>
      <c r="AH1860" s="204"/>
      <c r="AI1860" s="209"/>
      <c r="AJ1860" s="209"/>
      <c r="AK1860" s="204"/>
      <c r="AL1860" s="204"/>
      <c r="AM1860" s="204"/>
    </row>
    <row r="1861">
      <c r="A1861" s="204"/>
      <c r="B1861" s="209"/>
      <c r="C1861" s="204"/>
      <c r="D1861" s="210"/>
      <c r="E1861" s="211"/>
      <c r="F1861" s="211"/>
      <c r="G1861" s="212"/>
      <c r="H1861" s="212"/>
      <c r="I1861" s="204"/>
      <c r="J1861" s="204"/>
      <c r="K1861" s="204"/>
      <c r="L1861" s="204"/>
      <c r="M1861" s="204"/>
      <c r="N1861" s="204"/>
      <c r="O1861" s="204"/>
      <c r="P1861" s="204"/>
      <c r="Q1861" s="204"/>
      <c r="R1861" s="204"/>
      <c r="S1861" s="204"/>
      <c r="T1861" s="204"/>
      <c r="U1861" s="204"/>
      <c r="V1861" s="204"/>
      <c r="W1861" s="204"/>
      <c r="X1861" s="204"/>
      <c r="Y1861" s="204"/>
      <c r="Z1861" s="204"/>
      <c r="AA1861" s="204"/>
      <c r="AB1861" s="204"/>
      <c r="AC1861" s="204"/>
      <c r="AD1861" s="204"/>
      <c r="AE1861" s="204"/>
      <c r="AF1861" s="204"/>
      <c r="AG1861" s="204"/>
      <c r="AH1861" s="204"/>
      <c r="AI1861" s="209"/>
      <c r="AJ1861" s="209"/>
      <c r="AK1861" s="204"/>
      <c r="AL1861" s="204"/>
      <c r="AM1861" s="204"/>
    </row>
    <row r="1862">
      <c r="A1862" s="204"/>
      <c r="B1862" s="209"/>
      <c r="C1862" s="204"/>
      <c r="D1862" s="210"/>
      <c r="E1862" s="211"/>
      <c r="F1862" s="211"/>
      <c r="G1862" s="212"/>
      <c r="H1862" s="212"/>
      <c r="I1862" s="204"/>
      <c r="J1862" s="204"/>
      <c r="K1862" s="204"/>
      <c r="L1862" s="204"/>
      <c r="M1862" s="204"/>
      <c r="N1862" s="204"/>
      <c r="O1862" s="204"/>
      <c r="P1862" s="204"/>
      <c r="Q1862" s="204"/>
      <c r="R1862" s="204"/>
      <c r="S1862" s="204"/>
      <c r="T1862" s="204"/>
      <c r="U1862" s="204"/>
      <c r="V1862" s="204"/>
      <c r="W1862" s="204"/>
      <c r="X1862" s="204"/>
      <c r="Y1862" s="204"/>
      <c r="Z1862" s="204"/>
      <c r="AA1862" s="204"/>
      <c r="AB1862" s="204"/>
      <c r="AC1862" s="204"/>
      <c r="AD1862" s="204"/>
      <c r="AE1862" s="204"/>
      <c r="AF1862" s="204"/>
      <c r="AG1862" s="204"/>
      <c r="AH1862" s="204"/>
      <c r="AI1862" s="209"/>
      <c r="AJ1862" s="209"/>
      <c r="AK1862" s="204"/>
      <c r="AL1862" s="204"/>
      <c r="AM1862" s="204"/>
    </row>
    <row r="1863">
      <c r="A1863" s="204"/>
      <c r="B1863" s="209"/>
      <c r="C1863" s="204"/>
      <c r="D1863" s="210"/>
      <c r="E1863" s="211"/>
      <c r="F1863" s="211"/>
      <c r="G1863" s="212"/>
      <c r="H1863" s="212"/>
      <c r="I1863" s="204"/>
      <c r="J1863" s="204"/>
      <c r="K1863" s="204"/>
      <c r="L1863" s="204"/>
      <c r="M1863" s="204"/>
      <c r="N1863" s="204"/>
      <c r="O1863" s="204"/>
      <c r="P1863" s="204"/>
      <c r="Q1863" s="204"/>
      <c r="R1863" s="204"/>
      <c r="S1863" s="204"/>
      <c r="T1863" s="204"/>
      <c r="U1863" s="204"/>
      <c r="V1863" s="204"/>
      <c r="W1863" s="204"/>
      <c r="X1863" s="204"/>
      <c r="Y1863" s="204"/>
      <c r="Z1863" s="204"/>
      <c r="AA1863" s="204"/>
      <c r="AB1863" s="204"/>
      <c r="AC1863" s="204"/>
      <c r="AD1863" s="204"/>
      <c r="AE1863" s="204"/>
      <c r="AF1863" s="204"/>
      <c r="AG1863" s="204"/>
      <c r="AH1863" s="204"/>
      <c r="AI1863" s="209"/>
      <c r="AJ1863" s="209"/>
      <c r="AK1863" s="204"/>
      <c r="AL1863" s="204"/>
      <c r="AM1863" s="204"/>
    </row>
    <row r="1864">
      <c r="A1864" s="204"/>
      <c r="B1864" s="209"/>
      <c r="C1864" s="204"/>
      <c r="D1864" s="210"/>
      <c r="E1864" s="211"/>
      <c r="F1864" s="211"/>
      <c r="G1864" s="212"/>
      <c r="H1864" s="212"/>
      <c r="I1864" s="204"/>
      <c r="J1864" s="204"/>
      <c r="K1864" s="204"/>
      <c r="L1864" s="204"/>
      <c r="M1864" s="204"/>
      <c r="N1864" s="204"/>
      <c r="O1864" s="204"/>
      <c r="P1864" s="204"/>
      <c r="Q1864" s="204"/>
      <c r="R1864" s="204"/>
      <c r="S1864" s="204"/>
      <c r="T1864" s="204"/>
      <c r="U1864" s="204"/>
      <c r="V1864" s="204"/>
      <c r="W1864" s="204"/>
      <c r="X1864" s="204"/>
      <c r="Y1864" s="204"/>
      <c r="Z1864" s="204"/>
      <c r="AA1864" s="204"/>
      <c r="AB1864" s="204"/>
      <c r="AC1864" s="204"/>
      <c r="AD1864" s="204"/>
      <c r="AE1864" s="204"/>
      <c r="AF1864" s="204"/>
      <c r="AG1864" s="204"/>
      <c r="AH1864" s="204"/>
      <c r="AI1864" s="209"/>
      <c r="AJ1864" s="209"/>
      <c r="AK1864" s="204"/>
      <c r="AL1864" s="204"/>
      <c r="AM1864" s="204"/>
    </row>
    <row r="1865">
      <c r="A1865" s="204"/>
      <c r="B1865" s="209"/>
      <c r="C1865" s="204"/>
      <c r="D1865" s="210"/>
      <c r="E1865" s="211"/>
      <c r="F1865" s="211"/>
      <c r="G1865" s="212"/>
      <c r="H1865" s="212"/>
      <c r="I1865" s="204"/>
      <c r="J1865" s="204"/>
      <c r="K1865" s="204"/>
      <c r="L1865" s="204"/>
      <c r="M1865" s="204"/>
      <c r="N1865" s="204"/>
      <c r="O1865" s="204"/>
      <c r="P1865" s="204"/>
      <c r="Q1865" s="204"/>
      <c r="R1865" s="204"/>
      <c r="S1865" s="204"/>
      <c r="T1865" s="204"/>
      <c r="U1865" s="204"/>
      <c r="V1865" s="204"/>
      <c r="W1865" s="204"/>
      <c r="X1865" s="204"/>
      <c r="Y1865" s="204"/>
      <c r="Z1865" s="204"/>
      <c r="AA1865" s="204"/>
      <c r="AB1865" s="204"/>
      <c r="AC1865" s="204"/>
      <c r="AD1865" s="204"/>
      <c r="AE1865" s="204"/>
      <c r="AF1865" s="204"/>
      <c r="AG1865" s="204"/>
      <c r="AH1865" s="204"/>
      <c r="AI1865" s="209"/>
      <c r="AJ1865" s="209"/>
      <c r="AK1865" s="204"/>
      <c r="AL1865" s="204"/>
      <c r="AM1865" s="204"/>
    </row>
    <row r="1866">
      <c r="A1866" s="204"/>
      <c r="B1866" s="209"/>
      <c r="C1866" s="204"/>
      <c r="D1866" s="210"/>
      <c r="E1866" s="211"/>
      <c r="F1866" s="211"/>
      <c r="G1866" s="212"/>
      <c r="H1866" s="212"/>
      <c r="I1866" s="204"/>
      <c r="J1866" s="204"/>
      <c r="K1866" s="204"/>
      <c r="L1866" s="204"/>
      <c r="M1866" s="204"/>
      <c r="N1866" s="204"/>
      <c r="O1866" s="204"/>
      <c r="P1866" s="204"/>
      <c r="Q1866" s="204"/>
      <c r="R1866" s="204"/>
      <c r="S1866" s="204"/>
      <c r="T1866" s="204"/>
      <c r="U1866" s="204"/>
      <c r="V1866" s="204"/>
      <c r="W1866" s="204"/>
      <c r="X1866" s="204"/>
      <c r="Y1866" s="204"/>
      <c r="Z1866" s="204"/>
      <c r="AA1866" s="204"/>
      <c r="AB1866" s="204"/>
      <c r="AC1866" s="204"/>
      <c r="AD1866" s="204"/>
      <c r="AE1866" s="204"/>
      <c r="AF1866" s="204"/>
      <c r="AG1866" s="204"/>
      <c r="AH1866" s="204"/>
      <c r="AI1866" s="209"/>
      <c r="AJ1866" s="209"/>
      <c r="AK1866" s="204"/>
      <c r="AL1866" s="204"/>
      <c r="AM1866" s="204"/>
    </row>
    <row r="1867">
      <c r="A1867" s="204"/>
      <c r="B1867" s="209"/>
      <c r="C1867" s="204"/>
      <c r="D1867" s="210"/>
      <c r="E1867" s="211"/>
      <c r="F1867" s="211"/>
      <c r="G1867" s="212"/>
      <c r="H1867" s="212"/>
      <c r="I1867" s="204"/>
      <c r="J1867" s="204"/>
      <c r="K1867" s="204"/>
      <c r="L1867" s="204"/>
      <c r="M1867" s="204"/>
      <c r="N1867" s="204"/>
      <c r="O1867" s="204"/>
      <c r="P1867" s="204"/>
      <c r="Q1867" s="204"/>
      <c r="R1867" s="204"/>
      <c r="S1867" s="204"/>
      <c r="T1867" s="204"/>
      <c r="U1867" s="204"/>
      <c r="V1867" s="204"/>
      <c r="W1867" s="204"/>
      <c r="X1867" s="204"/>
      <c r="Y1867" s="204"/>
      <c r="Z1867" s="204"/>
      <c r="AA1867" s="204"/>
      <c r="AB1867" s="204"/>
      <c r="AC1867" s="204"/>
      <c r="AD1867" s="204"/>
      <c r="AE1867" s="204"/>
      <c r="AF1867" s="204"/>
      <c r="AG1867" s="204"/>
      <c r="AH1867" s="204"/>
      <c r="AI1867" s="209"/>
      <c r="AJ1867" s="209"/>
      <c r="AK1867" s="204"/>
      <c r="AL1867" s="204"/>
      <c r="AM1867" s="204"/>
    </row>
    <row r="1868">
      <c r="A1868" s="204"/>
      <c r="B1868" s="209"/>
      <c r="C1868" s="204"/>
      <c r="D1868" s="210"/>
      <c r="E1868" s="211"/>
      <c r="F1868" s="211"/>
      <c r="G1868" s="212"/>
      <c r="H1868" s="212"/>
      <c r="I1868" s="204"/>
      <c r="J1868" s="204"/>
      <c r="K1868" s="204"/>
      <c r="L1868" s="204"/>
      <c r="M1868" s="204"/>
      <c r="N1868" s="204"/>
      <c r="O1868" s="204"/>
      <c r="P1868" s="204"/>
      <c r="Q1868" s="204"/>
      <c r="R1868" s="204"/>
      <c r="S1868" s="204"/>
      <c r="T1868" s="204"/>
      <c r="U1868" s="204"/>
      <c r="V1868" s="204"/>
      <c r="W1868" s="204"/>
      <c r="X1868" s="204"/>
      <c r="Y1868" s="204"/>
      <c r="Z1868" s="204"/>
      <c r="AA1868" s="204"/>
      <c r="AB1868" s="204"/>
      <c r="AC1868" s="204"/>
      <c r="AD1868" s="204"/>
      <c r="AE1868" s="204"/>
      <c r="AF1868" s="204"/>
      <c r="AG1868" s="204"/>
      <c r="AH1868" s="204"/>
      <c r="AI1868" s="209"/>
      <c r="AJ1868" s="209"/>
      <c r="AK1868" s="204"/>
      <c r="AL1868" s="204"/>
      <c r="AM1868" s="204"/>
    </row>
    <row r="1869">
      <c r="A1869" s="204"/>
      <c r="B1869" s="209"/>
      <c r="C1869" s="204"/>
      <c r="D1869" s="210"/>
      <c r="E1869" s="211"/>
      <c r="F1869" s="211"/>
      <c r="G1869" s="212"/>
      <c r="H1869" s="212"/>
      <c r="I1869" s="204"/>
      <c r="J1869" s="204"/>
      <c r="K1869" s="204"/>
      <c r="L1869" s="204"/>
      <c r="M1869" s="204"/>
      <c r="N1869" s="204"/>
      <c r="O1869" s="204"/>
      <c r="P1869" s="204"/>
      <c r="Q1869" s="204"/>
      <c r="R1869" s="204"/>
      <c r="S1869" s="204"/>
      <c r="T1869" s="204"/>
      <c r="U1869" s="204"/>
      <c r="V1869" s="204"/>
      <c r="W1869" s="204"/>
      <c r="X1869" s="204"/>
      <c r="Y1869" s="204"/>
      <c r="Z1869" s="204"/>
      <c r="AA1869" s="204"/>
      <c r="AB1869" s="204"/>
      <c r="AC1869" s="204"/>
      <c r="AD1869" s="204"/>
      <c r="AE1869" s="204"/>
      <c r="AF1869" s="204"/>
      <c r="AG1869" s="204"/>
      <c r="AH1869" s="204"/>
      <c r="AI1869" s="209"/>
      <c r="AJ1869" s="209"/>
      <c r="AK1869" s="204"/>
      <c r="AL1869" s="204"/>
      <c r="AM1869" s="204"/>
    </row>
    <row r="1870">
      <c r="A1870" s="204"/>
      <c r="B1870" s="209"/>
      <c r="C1870" s="204"/>
      <c r="D1870" s="210"/>
      <c r="E1870" s="211"/>
      <c r="F1870" s="211"/>
      <c r="G1870" s="212"/>
      <c r="H1870" s="212"/>
      <c r="I1870" s="204"/>
      <c r="J1870" s="204"/>
      <c r="K1870" s="204"/>
      <c r="L1870" s="204"/>
      <c r="M1870" s="204"/>
      <c r="N1870" s="204"/>
      <c r="O1870" s="204"/>
      <c r="P1870" s="204"/>
      <c r="Q1870" s="204"/>
      <c r="R1870" s="204"/>
      <c r="S1870" s="204"/>
      <c r="T1870" s="204"/>
      <c r="U1870" s="204"/>
      <c r="V1870" s="204"/>
      <c r="W1870" s="204"/>
      <c r="X1870" s="204"/>
      <c r="Y1870" s="204"/>
      <c r="Z1870" s="204"/>
      <c r="AA1870" s="204"/>
      <c r="AB1870" s="204"/>
      <c r="AC1870" s="204"/>
      <c r="AD1870" s="204"/>
      <c r="AE1870" s="204"/>
      <c r="AF1870" s="204"/>
      <c r="AG1870" s="204"/>
      <c r="AH1870" s="204"/>
      <c r="AI1870" s="209"/>
      <c r="AJ1870" s="209"/>
      <c r="AK1870" s="204"/>
      <c r="AL1870" s="204"/>
      <c r="AM1870" s="204"/>
    </row>
    <row r="1871">
      <c r="A1871" s="204"/>
      <c r="B1871" s="209"/>
      <c r="C1871" s="204"/>
      <c r="D1871" s="210"/>
      <c r="E1871" s="211"/>
      <c r="F1871" s="211"/>
      <c r="G1871" s="212"/>
      <c r="H1871" s="212"/>
      <c r="I1871" s="204"/>
      <c r="J1871" s="204"/>
      <c r="K1871" s="204"/>
      <c r="L1871" s="204"/>
      <c r="M1871" s="204"/>
      <c r="N1871" s="204"/>
      <c r="O1871" s="204"/>
      <c r="P1871" s="204"/>
      <c r="Q1871" s="204"/>
      <c r="R1871" s="204"/>
      <c r="S1871" s="204"/>
      <c r="T1871" s="204"/>
      <c r="U1871" s="204"/>
      <c r="V1871" s="204"/>
      <c r="W1871" s="204"/>
      <c r="X1871" s="204"/>
      <c r="Y1871" s="204"/>
      <c r="Z1871" s="204"/>
      <c r="AA1871" s="204"/>
      <c r="AB1871" s="204"/>
      <c r="AC1871" s="204"/>
      <c r="AD1871" s="204"/>
      <c r="AE1871" s="204"/>
      <c r="AF1871" s="204"/>
      <c r="AG1871" s="204"/>
      <c r="AH1871" s="204"/>
      <c r="AI1871" s="209"/>
      <c r="AJ1871" s="209"/>
      <c r="AK1871" s="204"/>
      <c r="AL1871" s="204"/>
      <c r="AM1871" s="204"/>
    </row>
    <row r="1872">
      <c r="A1872" s="204"/>
      <c r="B1872" s="209"/>
      <c r="C1872" s="204"/>
      <c r="D1872" s="210"/>
      <c r="E1872" s="211"/>
      <c r="F1872" s="211"/>
      <c r="G1872" s="212"/>
      <c r="H1872" s="212"/>
      <c r="I1872" s="204"/>
      <c r="J1872" s="204"/>
      <c r="K1872" s="204"/>
      <c r="L1872" s="204"/>
      <c r="M1872" s="204"/>
      <c r="N1872" s="204"/>
      <c r="O1872" s="204"/>
      <c r="P1872" s="204"/>
      <c r="Q1872" s="204"/>
      <c r="R1872" s="204"/>
      <c r="S1872" s="204"/>
      <c r="T1872" s="204"/>
      <c r="U1872" s="204"/>
      <c r="V1872" s="204"/>
      <c r="W1872" s="204"/>
      <c r="X1872" s="204"/>
      <c r="Y1872" s="204"/>
      <c r="Z1872" s="204"/>
      <c r="AA1872" s="204"/>
      <c r="AB1872" s="204"/>
      <c r="AC1872" s="204"/>
      <c r="AD1872" s="204"/>
      <c r="AE1872" s="204"/>
      <c r="AF1872" s="204"/>
      <c r="AG1872" s="204"/>
      <c r="AH1872" s="204"/>
      <c r="AI1872" s="209"/>
      <c r="AJ1872" s="209"/>
      <c r="AK1872" s="204"/>
      <c r="AL1872" s="204"/>
      <c r="AM1872" s="204"/>
    </row>
    <row r="1873">
      <c r="A1873" s="204"/>
      <c r="B1873" s="209"/>
      <c r="C1873" s="204"/>
      <c r="D1873" s="210"/>
      <c r="E1873" s="211"/>
      <c r="F1873" s="211"/>
      <c r="G1873" s="212"/>
      <c r="H1873" s="212"/>
      <c r="I1873" s="204"/>
      <c r="J1873" s="204"/>
      <c r="K1873" s="204"/>
      <c r="L1873" s="204"/>
      <c r="M1873" s="204"/>
      <c r="N1873" s="204"/>
      <c r="O1873" s="204"/>
      <c r="P1873" s="204"/>
      <c r="Q1873" s="204"/>
      <c r="R1873" s="204"/>
      <c r="S1873" s="204"/>
      <c r="T1873" s="204"/>
      <c r="U1873" s="204"/>
      <c r="V1873" s="204"/>
      <c r="W1873" s="204"/>
      <c r="X1873" s="204"/>
      <c r="Y1873" s="204"/>
      <c r="Z1873" s="204"/>
      <c r="AA1873" s="204"/>
      <c r="AB1873" s="204"/>
      <c r="AC1873" s="204"/>
      <c r="AD1873" s="204"/>
      <c r="AE1873" s="204"/>
      <c r="AF1873" s="204"/>
      <c r="AG1873" s="204"/>
      <c r="AH1873" s="204"/>
      <c r="AI1873" s="209"/>
      <c r="AJ1873" s="209"/>
      <c r="AK1873" s="204"/>
      <c r="AL1873" s="204"/>
      <c r="AM1873" s="204"/>
    </row>
    <row r="1874">
      <c r="A1874" s="204"/>
      <c r="B1874" s="209"/>
      <c r="C1874" s="204"/>
      <c r="D1874" s="210"/>
      <c r="E1874" s="211"/>
      <c r="F1874" s="211"/>
      <c r="G1874" s="212"/>
      <c r="H1874" s="212"/>
      <c r="I1874" s="204"/>
      <c r="J1874" s="204"/>
      <c r="K1874" s="204"/>
      <c r="L1874" s="204"/>
      <c r="M1874" s="204"/>
      <c r="N1874" s="204"/>
      <c r="O1874" s="204"/>
      <c r="P1874" s="204"/>
      <c r="Q1874" s="204"/>
      <c r="R1874" s="204"/>
      <c r="S1874" s="204"/>
      <c r="T1874" s="204"/>
      <c r="U1874" s="204"/>
      <c r="V1874" s="204"/>
      <c r="W1874" s="204"/>
      <c r="X1874" s="204"/>
      <c r="Y1874" s="204"/>
      <c r="Z1874" s="204"/>
      <c r="AA1874" s="204"/>
      <c r="AB1874" s="204"/>
      <c r="AC1874" s="204"/>
      <c r="AD1874" s="204"/>
      <c r="AE1874" s="204"/>
      <c r="AF1874" s="204"/>
      <c r="AG1874" s="204"/>
      <c r="AH1874" s="204"/>
      <c r="AI1874" s="209"/>
      <c r="AJ1874" s="209"/>
      <c r="AK1874" s="204"/>
      <c r="AL1874" s="204"/>
      <c r="AM1874" s="204"/>
    </row>
    <row r="1875">
      <c r="A1875" s="204"/>
      <c r="B1875" s="209"/>
      <c r="C1875" s="204"/>
      <c r="D1875" s="210"/>
      <c r="E1875" s="211"/>
      <c r="F1875" s="211"/>
      <c r="G1875" s="212"/>
      <c r="H1875" s="212"/>
      <c r="I1875" s="204"/>
      <c r="J1875" s="204"/>
      <c r="K1875" s="204"/>
      <c r="L1875" s="204"/>
      <c r="M1875" s="204"/>
      <c r="N1875" s="204"/>
      <c r="O1875" s="204"/>
      <c r="P1875" s="204"/>
      <c r="Q1875" s="204"/>
      <c r="R1875" s="204"/>
      <c r="S1875" s="204"/>
      <c r="T1875" s="204"/>
      <c r="U1875" s="204"/>
      <c r="V1875" s="204"/>
      <c r="W1875" s="204"/>
      <c r="X1875" s="204"/>
      <c r="Y1875" s="204"/>
      <c r="Z1875" s="204"/>
      <c r="AA1875" s="204"/>
      <c r="AB1875" s="204"/>
      <c r="AC1875" s="204"/>
      <c r="AD1875" s="204"/>
      <c r="AE1875" s="204"/>
      <c r="AF1875" s="204"/>
      <c r="AG1875" s="204"/>
      <c r="AH1875" s="204"/>
      <c r="AI1875" s="209"/>
      <c r="AJ1875" s="209"/>
      <c r="AK1875" s="204"/>
      <c r="AL1875" s="204"/>
      <c r="AM1875" s="204"/>
    </row>
    <row r="1876">
      <c r="A1876" s="204"/>
      <c r="B1876" s="209"/>
      <c r="C1876" s="204"/>
      <c r="D1876" s="210"/>
      <c r="E1876" s="211"/>
      <c r="F1876" s="211"/>
      <c r="G1876" s="212"/>
      <c r="H1876" s="212"/>
      <c r="I1876" s="204"/>
      <c r="J1876" s="204"/>
      <c r="K1876" s="204"/>
      <c r="L1876" s="204"/>
      <c r="M1876" s="204"/>
      <c r="N1876" s="204"/>
      <c r="O1876" s="204"/>
      <c r="P1876" s="204"/>
      <c r="Q1876" s="204"/>
      <c r="R1876" s="204"/>
      <c r="S1876" s="204"/>
      <c r="T1876" s="204"/>
      <c r="U1876" s="204"/>
      <c r="V1876" s="204"/>
      <c r="W1876" s="204"/>
      <c r="X1876" s="204"/>
      <c r="Y1876" s="204"/>
      <c r="Z1876" s="204"/>
      <c r="AA1876" s="204"/>
      <c r="AB1876" s="204"/>
      <c r="AC1876" s="204"/>
      <c r="AD1876" s="204"/>
      <c r="AE1876" s="204"/>
      <c r="AF1876" s="204"/>
      <c r="AG1876" s="204"/>
      <c r="AH1876" s="204"/>
      <c r="AI1876" s="209"/>
      <c r="AJ1876" s="209"/>
      <c r="AK1876" s="204"/>
      <c r="AL1876" s="204"/>
      <c r="AM1876" s="204"/>
    </row>
    <row r="1877">
      <c r="A1877" s="204"/>
      <c r="B1877" s="209"/>
      <c r="C1877" s="204"/>
      <c r="D1877" s="210"/>
      <c r="E1877" s="211"/>
      <c r="F1877" s="211"/>
      <c r="G1877" s="212"/>
      <c r="H1877" s="212"/>
      <c r="I1877" s="204"/>
      <c r="J1877" s="204"/>
      <c r="K1877" s="204"/>
      <c r="L1877" s="204"/>
      <c r="M1877" s="204"/>
      <c r="N1877" s="204"/>
      <c r="O1877" s="204"/>
      <c r="P1877" s="204"/>
      <c r="Q1877" s="204"/>
      <c r="R1877" s="204"/>
      <c r="S1877" s="204"/>
      <c r="T1877" s="204"/>
      <c r="U1877" s="204"/>
      <c r="V1877" s="204"/>
      <c r="W1877" s="204"/>
      <c r="X1877" s="204"/>
      <c r="Y1877" s="204"/>
      <c r="Z1877" s="204"/>
      <c r="AA1877" s="204"/>
      <c r="AB1877" s="204"/>
      <c r="AC1877" s="204"/>
      <c r="AD1877" s="204"/>
      <c r="AE1877" s="204"/>
      <c r="AF1877" s="204"/>
      <c r="AG1877" s="204"/>
      <c r="AH1877" s="204"/>
      <c r="AI1877" s="209"/>
      <c r="AJ1877" s="209"/>
      <c r="AK1877" s="204"/>
      <c r="AL1877" s="204"/>
      <c r="AM1877" s="204"/>
    </row>
    <row r="1878">
      <c r="A1878" s="204"/>
      <c r="B1878" s="209"/>
      <c r="C1878" s="204"/>
      <c r="D1878" s="210"/>
      <c r="E1878" s="211"/>
      <c r="F1878" s="211"/>
      <c r="G1878" s="212"/>
      <c r="H1878" s="212"/>
      <c r="I1878" s="204"/>
      <c r="J1878" s="204"/>
      <c r="K1878" s="204"/>
      <c r="L1878" s="204"/>
      <c r="M1878" s="204"/>
      <c r="N1878" s="204"/>
      <c r="O1878" s="204"/>
      <c r="P1878" s="204"/>
      <c r="Q1878" s="204"/>
      <c r="R1878" s="204"/>
      <c r="S1878" s="204"/>
      <c r="T1878" s="204"/>
      <c r="U1878" s="204"/>
      <c r="V1878" s="204"/>
      <c r="W1878" s="204"/>
      <c r="X1878" s="204"/>
      <c r="Y1878" s="204"/>
      <c r="Z1878" s="204"/>
      <c r="AA1878" s="204"/>
      <c r="AB1878" s="204"/>
      <c r="AC1878" s="204"/>
      <c r="AD1878" s="204"/>
      <c r="AE1878" s="204"/>
      <c r="AF1878" s="204"/>
      <c r="AG1878" s="204"/>
      <c r="AH1878" s="204"/>
      <c r="AI1878" s="209"/>
      <c r="AJ1878" s="209"/>
      <c r="AK1878" s="204"/>
      <c r="AL1878" s="204"/>
      <c r="AM1878" s="204"/>
    </row>
    <row r="1879">
      <c r="A1879" s="204"/>
      <c r="B1879" s="209"/>
      <c r="C1879" s="204"/>
      <c r="D1879" s="210"/>
      <c r="E1879" s="211"/>
      <c r="F1879" s="211"/>
      <c r="G1879" s="212"/>
      <c r="H1879" s="212"/>
      <c r="I1879" s="204"/>
      <c r="J1879" s="204"/>
      <c r="K1879" s="204"/>
      <c r="L1879" s="204"/>
      <c r="M1879" s="204"/>
      <c r="N1879" s="204"/>
      <c r="O1879" s="204"/>
      <c r="P1879" s="204"/>
      <c r="Q1879" s="204"/>
      <c r="R1879" s="204"/>
      <c r="S1879" s="204"/>
      <c r="T1879" s="204"/>
      <c r="U1879" s="204"/>
      <c r="V1879" s="204"/>
      <c r="W1879" s="204"/>
      <c r="X1879" s="204"/>
      <c r="Y1879" s="204"/>
      <c r="Z1879" s="204"/>
      <c r="AA1879" s="204"/>
      <c r="AB1879" s="204"/>
      <c r="AC1879" s="204"/>
      <c r="AD1879" s="204"/>
      <c r="AE1879" s="204"/>
      <c r="AF1879" s="204"/>
      <c r="AG1879" s="204"/>
      <c r="AH1879" s="204"/>
      <c r="AI1879" s="209"/>
      <c r="AJ1879" s="209"/>
      <c r="AK1879" s="204"/>
      <c r="AL1879" s="204"/>
      <c r="AM1879" s="204"/>
    </row>
    <row r="1880">
      <c r="A1880" s="204"/>
      <c r="B1880" s="209"/>
      <c r="C1880" s="204"/>
      <c r="D1880" s="210"/>
      <c r="E1880" s="211"/>
      <c r="F1880" s="211"/>
      <c r="G1880" s="212"/>
      <c r="H1880" s="212"/>
      <c r="I1880" s="204"/>
      <c r="J1880" s="204"/>
      <c r="K1880" s="204"/>
      <c r="L1880" s="204"/>
      <c r="M1880" s="204"/>
      <c r="N1880" s="204"/>
      <c r="O1880" s="204"/>
      <c r="P1880" s="204"/>
      <c r="Q1880" s="204"/>
      <c r="R1880" s="204"/>
      <c r="S1880" s="204"/>
      <c r="T1880" s="204"/>
      <c r="U1880" s="204"/>
      <c r="V1880" s="204"/>
      <c r="W1880" s="204"/>
      <c r="X1880" s="204"/>
      <c r="Y1880" s="204"/>
      <c r="Z1880" s="204"/>
      <c r="AA1880" s="204"/>
      <c r="AB1880" s="204"/>
      <c r="AC1880" s="204"/>
      <c r="AD1880" s="204"/>
      <c r="AE1880" s="204"/>
      <c r="AF1880" s="204"/>
      <c r="AG1880" s="204"/>
      <c r="AH1880" s="204"/>
      <c r="AI1880" s="209"/>
      <c r="AJ1880" s="209"/>
      <c r="AK1880" s="204"/>
      <c r="AL1880" s="204"/>
      <c r="AM1880" s="204"/>
    </row>
    <row r="1881">
      <c r="A1881" s="204"/>
      <c r="B1881" s="209"/>
      <c r="C1881" s="204"/>
      <c r="D1881" s="210"/>
      <c r="E1881" s="211"/>
      <c r="F1881" s="211"/>
      <c r="G1881" s="212"/>
      <c r="H1881" s="212"/>
      <c r="I1881" s="204"/>
      <c r="J1881" s="204"/>
      <c r="K1881" s="204"/>
      <c r="L1881" s="204"/>
      <c r="M1881" s="204"/>
      <c r="N1881" s="204"/>
      <c r="O1881" s="204"/>
      <c r="P1881" s="204"/>
      <c r="Q1881" s="204"/>
      <c r="R1881" s="204"/>
      <c r="S1881" s="204"/>
      <c r="T1881" s="204"/>
      <c r="U1881" s="204"/>
      <c r="V1881" s="204"/>
      <c r="W1881" s="204"/>
      <c r="X1881" s="204"/>
      <c r="Y1881" s="204"/>
      <c r="Z1881" s="204"/>
      <c r="AA1881" s="204"/>
      <c r="AB1881" s="204"/>
      <c r="AC1881" s="204"/>
      <c r="AD1881" s="204"/>
      <c r="AE1881" s="204"/>
      <c r="AF1881" s="204"/>
      <c r="AG1881" s="204"/>
      <c r="AH1881" s="204"/>
      <c r="AI1881" s="209"/>
      <c r="AJ1881" s="209"/>
      <c r="AK1881" s="204"/>
      <c r="AL1881" s="204"/>
      <c r="AM1881" s="204"/>
    </row>
    <row r="1882">
      <c r="A1882" s="204"/>
      <c r="B1882" s="209"/>
      <c r="C1882" s="204"/>
      <c r="D1882" s="210"/>
      <c r="E1882" s="211"/>
      <c r="F1882" s="211"/>
      <c r="G1882" s="212"/>
      <c r="H1882" s="212"/>
      <c r="I1882" s="204"/>
      <c r="J1882" s="204"/>
      <c r="K1882" s="204"/>
      <c r="L1882" s="204"/>
      <c r="M1882" s="204"/>
      <c r="N1882" s="204"/>
      <c r="O1882" s="204"/>
      <c r="P1882" s="204"/>
      <c r="Q1882" s="204"/>
      <c r="R1882" s="204"/>
      <c r="S1882" s="204"/>
      <c r="T1882" s="204"/>
      <c r="U1882" s="204"/>
      <c r="V1882" s="204"/>
      <c r="W1882" s="204"/>
      <c r="X1882" s="204"/>
      <c r="Y1882" s="204"/>
      <c r="Z1882" s="204"/>
      <c r="AA1882" s="204"/>
      <c r="AB1882" s="204"/>
      <c r="AC1882" s="204"/>
      <c r="AD1882" s="204"/>
      <c r="AE1882" s="204"/>
      <c r="AF1882" s="204"/>
      <c r="AG1882" s="204"/>
      <c r="AH1882" s="204"/>
      <c r="AI1882" s="209"/>
      <c r="AJ1882" s="209"/>
      <c r="AK1882" s="204"/>
      <c r="AL1882" s="204"/>
      <c r="AM1882" s="204"/>
    </row>
    <row r="1883">
      <c r="A1883" s="204"/>
      <c r="B1883" s="209"/>
      <c r="C1883" s="204"/>
      <c r="D1883" s="210"/>
      <c r="E1883" s="211"/>
      <c r="F1883" s="211"/>
      <c r="G1883" s="212"/>
      <c r="H1883" s="212"/>
      <c r="I1883" s="204"/>
      <c r="J1883" s="204"/>
      <c r="K1883" s="204"/>
      <c r="L1883" s="204"/>
      <c r="M1883" s="204"/>
      <c r="N1883" s="204"/>
      <c r="O1883" s="204"/>
      <c r="P1883" s="204"/>
      <c r="Q1883" s="204"/>
      <c r="R1883" s="204"/>
      <c r="S1883" s="204"/>
      <c r="T1883" s="204"/>
      <c r="U1883" s="204"/>
      <c r="V1883" s="204"/>
      <c r="W1883" s="204"/>
      <c r="X1883" s="204"/>
      <c r="Y1883" s="204"/>
      <c r="Z1883" s="204"/>
      <c r="AA1883" s="204"/>
      <c r="AB1883" s="204"/>
      <c r="AC1883" s="204"/>
      <c r="AD1883" s="204"/>
      <c r="AE1883" s="204"/>
      <c r="AF1883" s="204"/>
      <c r="AG1883" s="204"/>
      <c r="AH1883" s="204"/>
      <c r="AI1883" s="209"/>
      <c r="AJ1883" s="209"/>
      <c r="AK1883" s="204"/>
      <c r="AL1883" s="204"/>
      <c r="AM1883" s="204"/>
    </row>
    <row r="1884">
      <c r="A1884" s="204"/>
      <c r="B1884" s="209"/>
      <c r="C1884" s="204"/>
      <c r="D1884" s="210"/>
      <c r="E1884" s="211"/>
      <c r="F1884" s="211"/>
      <c r="G1884" s="212"/>
      <c r="H1884" s="212"/>
      <c r="I1884" s="204"/>
      <c r="J1884" s="204"/>
      <c r="K1884" s="204"/>
      <c r="L1884" s="204"/>
      <c r="M1884" s="204"/>
      <c r="N1884" s="204"/>
      <c r="O1884" s="204"/>
      <c r="P1884" s="204"/>
      <c r="Q1884" s="204"/>
      <c r="R1884" s="204"/>
      <c r="S1884" s="204"/>
      <c r="T1884" s="204"/>
      <c r="U1884" s="204"/>
      <c r="V1884" s="204"/>
      <c r="W1884" s="204"/>
      <c r="X1884" s="204"/>
      <c r="Y1884" s="204"/>
      <c r="Z1884" s="204"/>
      <c r="AA1884" s="204"/>
      <c r="AB1884" s="204"/>
      <c r="AC1884" s="204"/>
      <c r="AD1884" s="204"/>
      <c r="AE1884" s="204"/>
      <c r="AF1884" s="204"/>
      <c r="AG1884" s="204"/>
      <c r="AH1884" s="204"/>
      <c r="AI1884" s="209"/>
      <c r="AJ1884" s="209"/>
      <c r="AK1884" s="204"/>
      <c r="AL1884" s="204"/>
      <c r="AM1884" s="204"/>
    </row>
    <row r="1885">
      <c r="A1885" s="204"/>
      <c r="B1885" s="209"/>
      <c r="C1885" s="204"/>
      <c r="D1885" s="210"/>
      <c r="E1885" s="211"/>
      <c r="F1885" s="211"/>
      <c r="G1885" s="212"/>
      <c r="H1885" s="212"/>
      <c r="I1885" s="204"/>
      <c r="J1885" s="204"/>
      <c r="K1885" s="204"/>
      <c r="L1885" s="204"/>
      <c r="M1885" s="204"/>
      <c r="N1885" s="204"/>
      <c r="O1885" s="204"/>
      <c r="P1885" s="204"/>
      <c r="Q1885" s="204"/>
      <c r="R1885" s="204"/>
      <c r="S1885" s="204"/>
      <c r="T1885" s="204"/>
      <c r="U1885" s="204"/>
      <c r="V1885" s="204"/>
      <c r="W1885" s="204"/>
      <c r="X1885" s="204"/>
      <c r="Y1885" s="204"/>
      <c r="Z1885" s="204"/>
      <c r="AA1885" s="204"/>
      <c r="AB1885" s="204"/>
      <c r="AC1885" s="204"/>
      <c r="AD1885" s="204"/>
      <c r="AE1885" s="204"/>
      <c r="AF1885" s="204"/>
      <c r="AG1885" s="204"/>
      <c r="AH1885" s="204"/>
      <c r="AI1885" s="209"/>
      <c r="AJ1885" s="209"/>
      <c r="AK1885" s="204"/>
      <c r="AL1885" s="204"/>
      <c r="AM1885" s="204"/>
    </row>
    <row r="1886">
      <c r="A1886" s="204"/>
      <c r="B1886" s="209"/>
      <c r="C1886" s="204"/>
      <c r="D1886" s="210"/>
      <c r="E1886" s="211"/>
      <c r="F1886" s="211"/>
      <c r="G1886" s="212"/>
      <c r="H1886" s="212"/>
      <c r="I1886" s="204"/>
      <c r="J1886" s="204"/>
      <c r="K1886" s="204"/>
      <c r="L1886" s="204"/>
      <c r="M1886" s="204"/>
      <c r="N1886" s="204"/>
      <c r="O1886" s="204"/>
      <c r="P1886" s="204"/>
      <c r="Q1886" s="204"/>
      <c r="R1886" s="204"/>
      <c r="S1886" s="204"/>
      <c r="T1886" s="204"/>
      <c r="U1886" s="204"/>
      <c r="V1886" s="204"/>
      <c r="W1886" s="204"/>
      <c r="X1886" s="204"/>
      <c r="Y1886" s="204"/>
      <c r="Z1886" s="204"/>
      <c r="AA1886" s="204"/>
      <c r="AB1886" s="204"/>
      <c r="AC1886" s="204"/>
      <c r="AD1886" s="204"/>
      <c r="AE1886" s="204"/>
      <c r="AF1886" s="204"/>
      <c r="AG1886" s="204"/>
      <c r="AH1886" s="204"/>
      <c r="AI1886" s="209"/>
      <c r="AJ1886" s="209"/>
      <c r="AK1886" s="204"/>
      <c r="AL1886" s="204"/>
      <c r="AM1886" s="204"/>
    </row>
    <row r="1887">
      <c r="A1887" s="204"/>
      <c r="B1887" s="209"/>
      <c r="C1887" s="204"/>
      <c r="D1887" s="210"/>
      <c r="E1887" s="211"/>
      <c r="F1887" s="211"/>
      <c r="G1887" s="212"/>
      <c r="H1887" s="212"/>
      <c r="I1887" s="204"/>
      <c r="J1887" s="204"/>
      <c r="K1887" s="204"/>
      <c r="L1887" s="204"/>
      <c r="M1887" s="204"/>
      <c r="N1887" s="204"/>
      <c r="O1887" s="204"/>
      <c r="P1887" s="204"/>
      <c r="Q1887" s="204"/>
      <c r="R1887" s="204"/>
      <c r="S1887" s="204"/>
      <c r="T1887" s="204"/>
      <c r="U1887" s="204"/>
      <c r="V1887" s="204"/>
      <c r="W1887" s="204"/>
      <c r="X1887" s="204"/>
      <c r="Y1887" s="204"/>
      <c r="Z1887" s="204"/>
      <c r="AA1887" s="204"/>
      <c r="AB1887" s="204"/>
      <c r="AC1887" s="204"/>
      <c r="AD1887" s="204"/>
      <c r="AE1887" s="204"/>
      <c r="AF1887" s="204"/>
      <c r="AG1887" s="204"/>
      <c r="AH1887" s="204"/>
      <c r="AI1887" s="209"/>
      <c r="AJ1887" s="209"/>
      <c r="AK1887" s="204"/>
      <c r="AL1887" s="204"/>
      <c r="AM1887" s="204"/>
    </row>
    <row r="1888">
      <c r="A1888" s="204"/>
      <c r="B1888" s="209"/>
      <c r="C1888" s="204"/>
      <c r="D1888" s="210"/>
      <c r="E1888" s="211"/>
      <c r="F1888" s="211"/>
      <c r="G1888" s="212"/>
      <c r="H1888" s="212"/>
      <c r="I1888" s="204"/>
      <c r="J1888" s="204"/>
      <c r="K1888" s="204"/>
      <c r="L1888" s="204"/>
      <c r="M1888" s="204"/>
      <c r="N1888" s="204"/>
      <c r="O1888" s="204"/>
      <c r="P1888" s="204"/>
      <c r="Q1888" s="204"/>
      <c r="R1888" s="204"/>
      <c r="S1888" s="204"/>
      <c r="T1888" s="204"/>
      <c r="U1888" s="204"/>
      <c r="V1888" s="204"/>
      <c r="W1888" s="204"/>
      <c r="X1888" s="204"/>
      <c r="Y1888" s="204"/>
      <c r="Z1888" s="204"/>
      <c r="AA1888" s="204"/>
      <c r="AB1888" s="204"/>
      <c r="AC1888" s="204"/>
      <c r="AD1888" s="204"/>
      <c r="AE1888" s="204"/>
      <c r="AF1888" s="204"/>
      <c r="AG1888" s="204"/>
      <c r="AH1888" s="204"/>
      <c r="AI1888" s="209"/>
      <c r="AJ1888" s="209"/>
      <c r="AK1888" s="204"/>
      <c r="AL1888" s="204"/>
      <c r="AM1888" s="204"/>
    </row>
    <row r="1889">
      <c r="A1889" s="204"/>
      <c r="B1889" s="209"/>
      <c r="C1889" s="204"/>
      <c r="D1889" s="210"/>
      <c r="E1889" s="211"/>
      <c r="F1889" s="211"/>
      <c r="G1889" s="212"/>
      <c r="H1889" s="212"/>
      <c r="I1889" s="204"/>
      <c r="J1889" s="204"/>
      <c r="K1889" s="204"/>
      <c r="L1889" s="204"/>
      <c r="M1889" s="204"/>
      <c r="N1889" s="204"/>
      <c r="O1889" s="204"/>
      <c r="P1889" s="204"/>
      <c r="Q1889" s="204"/>
      <c r="R1889" s="204"/>
      <c r="S1889" s="204"/>
      <c r="T1889" s="204"/>
      <c r="U1889" s="204"/>
      <c r="V1889" s="204"/>
      <c r="W1889" s="204"/>
      <c r="X1889" s="204"/>
      <c r="Y1889" s="204"/>
      <c r="Z1889" s="204"/>
      <c r="AA1889" s="204"/>
      <c r="AB1889" s="204"/>
      <c r="AC1889" s="204"/>
      <c r="AD1889" s="204"/>
      <c r="AE1889" s="204"/>
      <c r="AF1889" s="204"/>
      <c r="AG1889" s="204"/>
      <c r="AH1889" s="204"/>
      <c r="AI1889" s="209"/>
      <c r="AJ1889" s="209"/>
      <c r="AK1889" s="204"/>
      <c r="AL1889" s="204"/>
      <c r="AM1889" s="204"/>
    </row>
    <row r="1890">
      <c r="A1890" s="204"/>
      <c r="B1890" s="209"/>
      <c r="C1890" s="204"/>
      <c r="D1890" s="210"/>
      <c r="E1890" s="211"/>
      <c r="F1890" s="211"/>
      <c r="G1890" s="212"/>
      <c r="H1890" s="212"/>
      <c r="I1890" s="204"/>
      <c r="J1890" s="204"/>
      <c r="K1890" s="204"/>
      <c r="L1890" s="204"/>
      <c r="M1890" s="204"/>
      <c r="N1890" s="204"/>
      <c r="O1890" s="204"/>
      <c r="P1890" s="204"/>
      <c r="Q1890" s="204"/>
      <c r="R1890" s="204"/>
      <c r="S1890" s="204"/>
      <c r="T1890" s="204"/>
      <c r="U1890" s="204"/>
      <c r="V1890" s="204"/>
      <c r="W1890" s="204"/>
      <c r="X1890" s="204"/>
      <c r="Y1890" s="204"/>
      <c r="Z1890" s="204"/>
      <c r="AA1890" s="204"/>
      <c r="AB1890" s="204"/>
      <c r="AC1890" s="204"/>
      <c r="AD1890" s="204"/>
      <c r="AE1890" s="204"/>
      <c r="AF1890" s="204"/>
      <c r="AG1890" s="204"/>
      <c r="AH1890" s="204"/>
      <c r="AI1890" s="209"/>
      <c r="AJ1890" s="209"/>
      <c r="AK1890" s="204"/>
      <c r="AL1890" s="204"/>
      <c r="AM1890" s="204"/>
    </row>
    <row r="1891">
      <c r="A1891" s="204"/>
      <c r="B1891" s="209"/>
      <c r="C1891" s="204"/>
      <c r="D1891" s="210"/>
      <c r="E1891" s="211"/>
      <c r="F1891" s="211"/>
      <c r="G1891" s="212"/>
      <c r="H1891" s="212"/>
      <c r="I1891" s="204"/>
      <c r="J1891" s="204"/>
      <c r="K1891" s="204"/>
      <c r="L1891" s="204"/>
      <c r="M1891" s="204"/>
      <c r="N1891" s="204"/>
      <c r="O1891" s="204"/>
      <c r="P1891" s="204"/>
      <c r="Q1891" s="204"/>
      <c r="R1891" s="204"/>
      <c r="S1891" s="204"/>
      <c r="T1891" s="204"/>
      <c r="U1891" s="204"/>
      <c r="V1891" s="204"/>
      <c r="W1891" s="204"/>
      <c r="X1891" s="204"/>
      <c r="Y1891" s="204"/>
      <c r="Z1891" s="204"/>
      <c r="AA1891" s="204"/>
      <c r="AB1891" s="204"/>
      <c r="AC1891" s="204"/>
      <c r="AD1891" s="204"/>
      <c r="AE1891" s="204"/>
      <c r="AF1891" s="204"/>
      <c r="AG1891" s="204"/>
      <c r="AH1891" s="204"/>
      <c r="AI1891" s="209"/>
      <c r="AJ1891" s="209"/>
      <c r="AK1891" s="204"/>
      <c r="AL1891" s="204"/>
      <c r="AM1891" s="204"/>
    </row>
    <row r="1892">
      <c r="A1892" s="204"/>
      <c r="B1892" s="209"/>
      <c r="C1892" s="204"/>
      <c r="D1892" s="210"/>
      <c r="E1892" s="211"/>
      <c r="F1892" s="211"/>
      <c r="G1892" s="212"/>
      <c r="H1892" s="212"/>
      <c r="I1892" s="204"/>
      <c r="J1892" s="204"/>
      <c r="K1892" s="204"/>
      <c r="L1892" s="204"/>
      <c r="M1892" s="204"/>
      <c r="N1892" s="204"/>
      <c r="O1892" s="204"/>
      <c r="P1892" s="204"/>
      <c r="Q1892" s="204"/>
      <c r="R1892" s="204"/>
      <c r="S1892" s="204"/>
      <c r="T1892" s="204"/>
      <c r="U1892" s="204"/>
      <c r="V1892" s="204"/>
      <c r="W1892" s="204"/>
      <c r="X1892" s="204"/>
      <c r="Y1892" s="204"/>
      <c r="Z1892" s="204"/>
      <c r="AA1892" s="204"/>
      <c r="AB1892" s="204"/>
      <c r="AC1892" s="204"/>
      <c r="AD1892" s="204"/>
      <c r="AE1892" s="204"/>
      <c r="AF1892" s="204"/>
      <c r="AG1892" s="204"/>
      <c r="AH1892" s="204"/>
      <c r="AI1892" s="209"/>
      <c r="AJ1892" s="209"/>
      <c r="AK1892" s="204"/>
      <c r="AL1892" s="204"/>
      <c r="AM1892" s="204"/>
    </row>
    <row r="1893">
      <c r="A1893" s="204"/>
      <c r="B1893" s="209"/>
      <c r="C1893" s="204"/>
      <c r="D1893" s="210"/>
      <c r="E1893" s="211"/>
      <c r="F1893" s="211"/>
      <c r="G1893" s="212"/>
      <c r="H1893" s="212"/>
      <c r="I1893" s="204"/>
      <c r="J1893" s="204"/>
      <c r="K1893" s="204"/>
      <c r="L1893" s="204"/>
      <c r="M1893" s="204"/>
      <c r="N1893" s="204"/>
      <c r="O1893" s="204"/>
      <c r="P1893" s="204"/>
      <c r="Q1893" s="204"/>
      <c r="R1893" s="204"/>
      <c r="S1893" s="204"/>
      <c r="T1893" s="204"/>
      <c r="U1893" s="204"/>
      <c r="V1893" s="204"/>
      <c r="W1893" s="204"/>
      <c r="X1893" s="204"/>
      <c r="Y1893" s="204"/>
      <c r="Z1893" s="204"/>
      <c r="AA1893" s="204"/>
      <c r="AB1893" s="204"/>
      <c r="AC1893" s="204"/>
      <c r="AD1893" s="204"/>
      <c r="AE1893" s="204"/>
      <c r="AF1893" s="204"/>
      <c r="AG1893" s="204"/>
      <c r="AH1893" s="204"/>
      <c r="AI1893" s="209"/>
      <c r="AJ1893" s="209"/>
      <c r="AK1893" s="204"/>
      <c r="AL1893" s="204"/>
      <c r="AM1893" s="204"/>
    </row>
    <row r="1894">
      <c r="A1894" s="204"/>
      <c r="B1894" s="209"/>
      <c r="C1894" s="204"/>
      <c r="D1894" s="210"/>
      <c r="E1894" s="211"/>
      <c r="F1894" s="211"/>
      <c r="G1894" s="212"/>
      <c r="H1894" s="212"/>
      <c r="I1894" s="204"/>
      <c r="J1894" s="204"/>
      <c r="K1894" s="204"/>
      <c r="L1894" s="204"/>
      <c r="M1894" s="204"/>
      <c r="N1894" s="204"/>
      <c r="O1894" s="204"/>
      <c r="P1894" s="204"/>
      <c r="Q1894" s="204"/>
      <c r="R1894" s="204"/>
      <c r="S1894" s="204"/>
      <c r="T1894" s="204"/>
      <c r="U1894" s="204"/>
      <c r="V1894" s="204"/>
      <c r="W1894" s="204"/>
      <c r="X1894" s="204"/>
      <c r="Y1894" s="204"/>
      <c r="Z1894" s="204"/>
      <c r="AA1894" s="204"/>
      <c r="AB1894" s="204"/>
      <c r="AC1894" s="204"/>
      <c r="AD1894" s="204"/>
      <c r="AE1894" s="204"/>
      <c r="AF1894" s="204"/>
      <c r="AG1894" s="204"/>
      <c r="AH1894" s="204"/>
      <c r="AI1894" s="209"/>
      <c r="AJ1894" s="209"/>
      <c r="AK1894" s="204"/>
      <c r="AL1894" s="204"/>
      <c r="AM1894" s="204"/>
    </row>
    <row r="1895">
      <c r="A1895" s="204"/>
      <c r="B1895" s="209"/>
      <c r="C1895" s="204"/>
      <c r="D1895" s="210"/>
      <c r="E1895" s="211"/>
      <c r="F1895" s="211"/>
      <c r="G1895" s="212"/>
      <c r="H1895" s="212"/>
      <c r="I1895" s="204"/>
      <c r="J1895" s="204"/>
      <c r="K1895" s="204"/>
      <c r="L1895" s="204"/>
      <c r="M1895" s="204"/>
      <c r="N1895" s="204"/>
      <c r="O1895" s="204"/>
      <c r="P1895" s="204"/>
      <c r="Q1895" s="204"/>
      <c r="R1895" s="204"/>
      <c r="S1895" s="204"/>
      <c r="T1895" s="204"/>
      <c r="U1895" s="204"/>
      <c r="V1895" s="204"/>
      <c r="W1895" s="204"/>
      <c r="X1895" s="204"/>
      <c r="Y1895" s="204"/>
      <c r="Z1895" s="204"/>
      <c r="AA1895" s="204"/>
      <c r="AB1895" s="204"/>
      <c r="AC1895" s="204"/>
      <c r="AD1895" s="204"/>
      <c r="AE1895" s="204"/>
      <c r="AF1895" s="204"/>
      <c r="AG1895" s="204"/>
      <c r="AH1895" s="204"/>
      <c r="AI1895" s="209"/>
      <c r="AJ1895" s="209"/>
      <c r="AK1895" s="204"/>
      <c r="AL1895" s="204"/>
      <c r="AM1895" s="204"/>
    </row>
    <row r="1896">
      <c r="A1896" s="204"/>
      <c r="B1896" s="209"/>
      <c r="C1896" s="204"/>
      <c r="D1896" s="210"/>
      <c r="E1896" s="211"/>
      <c r="F1896" s="211"/>
      <c r="G1896" s="212"/>
      <c r="H1896" s="212"/>
      <c r="I1896" s="204"/>
      <c r="J1896" s="204"/>
      <c r="K1896" s="204"/>
      <c r="L1896" s="204"/>
      <c r="M1896" s="204"/>
      <c r="N1896" s="204"/>
      <c r="O1896" s="204"/>
      <c r="P1896" s="204"/>
      <c r="Q1896" s="204"/>
      <c r="R1896" s="204"/>
      <c r="S1896" s="204"/>
      <c r="T1896" s="204"/>
      <c r="U1896" s="204"/>
      <c r="V1896" s="204"/>
      <c r="W1896" s="204"/>
      <c r="X1896" s="204"/>
      <c r="Y1896" s="204"/>
      <c r="Z1896" s="204"/>
      <c r="AA1896" s="204"/>
      <c r="AB1896" s="204"/>
      <c r="AC1896" s="204"/>
      <c r="AD1896" s="204"/>
      <c r="AE1896" s="204"/>
      <c r="AF1896" s="204"/>
      <c r="AG1896" s="204"/>
      <c r="AH1896" s="204"/>
      <c r="AI1896" s="209"/>
      <c r="AJ1896" s="209"/>
      <c r="AK1896" s="204"/>
      <c r="AL1896" s="204"/>
      <c r="AM1896" s="204"/>
    </row>
    <row r="1897">
      <c r="A1897" s="204"/>
      <c r="B1897" s="209"/>
      <c r="C1897" s="204"/>
      <c r="D1897" s="210"/>
      <c r="E1897" s="211"/>
      <c r="F1897" s="211"/>
      <c r="G1897" s="212"/>
      <c r="H1897" s="212"/>
      <c r="I1897" s="204"/>
      <c r="J1897" s="204"/>
      <c r="K1897" s="204"/>
      <c r="L1897" s="204"/>
      <c r="M1897" s="204"/>
      <c r="N1897" s="204"/>
      <c r="O1897" s="204"/>
      <c r="P1897" s="204"/>
      <c r="Q1897" s="204"/>
      <c r="R1897" s="204"/>
      <c r="S1897" s="204"/>
      <c r="T1897" s="204"/>
      <c r="U1897" s="204"/>
      <c r="V1897" s="204"/>
      <c r="W1897" s="204"/>
      <c r="X1897" s="204"/>
      <c r="Y1897" s="204"/>
      <c r="Z1897" s="204"/>
      <c r="AA1897" s="204"/>
      <c r="AB1897" s="204"/>
      <c r="AC1897" s="204"/>
      <c r="AD1897" s="204"/>
      <c r="AE1897" s="204"/>
      <c r="AF1897" s="204"/>
      <c r="AG1897" s="204"/>
      <c r="AH1897" s="204"/>
      <c r="AI1897" s="209"/>
      <c r="AJ1897" s="209"/>
      <c r="AK1897" s="204"/>
      <c r="AL1897" s="204"/>
      <c r="AM1897" s="204"/>
    </row>
    <row r="1898">
      <c r="A1898" s="204"/>
      <c r="B1898" s="209"/>
      <c r="C1898" s="204"/>
      <c r="D1898" s="210"/>
      <c r="E1898" s="211"/>
      <c r="F1898" s="211"/>
      <c r="G1898" s="212"/>
      <c r="H1898" s="212"/>
      <c r="I1898" s="204"/>
      <c r="J1898" s="204"/>
      <c r="K1898" s="204"/>
      <c r="L1898" s="204"/>
      <c r="M1898" s="204"/>
      <c r="N1898" s="204"/>
      <c r="O1898" s="204"/>
      <c r="P1898" s="204"/>
      <c r="Q1898" s="204"/>
      <c r="R1898" s="204"/>
      <c r="S1898" s="204"/>
      <c r="T1898" s="204"/>
      <c r="U1898" s="204"/>
      <c r="V1898" s="204"/>
      <c r="W1898" s="204"/>
      <c r="X1898" s="204"/>
      <c r="Y1898" s="204"/>
      <c r="Z1898" s="204"/>
      <c r="AA1898" s="204"/>
      <c r="AB1898" s="204"/>
      <c r="AC1898" s="204"/>
      <c r="AD1898" s="204"/>
      <c r="AE1898" s="204"/>
      <c r="AF1898" s="204"/>
      <c r="AG1898" s="204"/>
      <c r="AH1898" s="204"/>
      <c r="AI1898" s="209"/>
      <c r="AJ1898" s="209"/>
      <c r="AK1898" s="204"/>
      <c r="AL1898" s="204"/>
      <c r="AM1898" s="204"/>
    </row>
    <row r="1899">
      <c r="A1899" s="204"/>
      <c r="B1899" s="209"/>
      <c r="C1899" s="204"/>
      <c r="D1899" s="210"/>
      <c r="E1899" s="211"/>
      <c r="F1899" s="211"/>
      <c r="G1899" s="212"/>
      <c r="H1899" s="212"/>
      <c r="I1899" s="204"/>
      <c r="J1899" s="204"/>
      <c r="K1899" s="204"/>
      <c r="L1899" s="204"/>
      <c r="M1899" s="204"/>
      <c r="N1899" s="204"/>
      <c r="O1899" s="204"/>
      <c r="P1899" s="204"/>
      <c r="Q1899" s="204"/>
      <c r="R1899" s="204"/>
      <c r="S1899" s="204"/>
      <c r="T1899" s="204"/>
      <c r="U1899" s="204"/>
      <c r="V1899" s="204"/>
      <c r="W1899" s="204"/>
      <c r="X1899" s="204"/>
      <c r="Y1899" s="204"/>
      <c r="Z1899" s="204"/>
      <c r="AA1899" s="204"/>
      <c r="AB1899" s="204"/>
      <c r="AC1899" s="204"/>
      <c r="AD1899" s="204"/>
      <c r="AE1899" s="204"/>
      <c r="AF1899" s="204"/>
      <c r="AG1899" s="204"/>
      <c r="AH1899" s="204"/>
      <c r="AI1899" s="209"/>
      <c r="AJ1899" s="209"/>
      <c r="AK1899" s="204"/>
      <c r="AL1899" s="204"/>
      <c r="AM1899" s="204"/>
    </row>
    <row r="1900">
      <c r="A1900" s="204"/>
      <c r="B1900" s="209"/>
      <c r="C1900" s="204"/>
      <c r="D1900" s="210"/>
      <c r="E1900" s="211"/>
      <c r="F1900" s="211"/>
      <c r="G1900" s="212"/>
      <c r="H1900" s="212"/>
      <c r="I1900" s="204"/>
      <c r="J1900" s="204"/>
      <c r="K1900" s="204"/>
      <c r="L1900" s="204"/>
      <c r="M1900" s="204"/>
      <c r="N1900" s="204"/>
      <c r="O1900" s="204"/>
      <c r="P1900" s="204"/>
      <c r="Q1900" s="204"/>
      <c r="R1900" s="204"/>
      <c r="S1900" s="204"/>
      <c r="T1900" s="204"/>
      <c r="U1900" s="204"/>
      <c r="V1900" s="204"/>
      <c r="W1900" s="204"/>
      <c r="X1900" s="204"/>
      <c r="Y1900" s="204"/>
      <c r="Z1900" s="204"/>
      <c r="AA1900" s="204"/>
      <c r="AB1900" s="204"/>
      <c r="AC1900" s="204"/>
      <c r="AD1900" s="204"/>
      <c r="AE1900" s="204"/>
      <c r="AF1900" s="204"/>
      <c r="AG1900" s="204"/>
      <c r="AH1900" s="204"/>
      <c r="AI1900" s="209"/>
      <c r="AJ1900" s="209"/>
      <c r="AK1900" s="204"/>
      <c r="AL1900" s="204"/>
      <c r="AM1900" s="204"/>
    </row>
    <row r="1901">
      <c r="A1901" s="204"/>
      <c r="B1901" s="209"/>
      <c r="C1901" s="204"/>
      <c r="D1901" s="210"/>
      <c r="E1901" s="211"/>
      <c r="F1901" s="211"/>
      <c r="G1901" s="212"/>
      <c r="H1901" s="212"/>
      <c r="I1901" s="204"/>
      <c r="J1901" s="204"/>
      <c r="K1901" s="204"/>
      <c r="L1901" s="204"/>
      <c r="M1901" s="204"/>
      <c r="N1901" s="204"/>
      <c r="O1901" s="204"/>
      <c r="P1901" s="204"/>
      <c r="Q1901" s="204"/>
      <c r="R1901" s="204"/>
      <c r="S1901" s="204"/>
      <c r="T1901" s="204"/>
      <c r="U1901" s="204"/>
      <c r="V1901" s="204"/>
      <c r="W1901" s="204"/>
      <c r="X1901" s="204"/>
      <c r="Y1901" s="204"/>
      <c r="Z1901" s="204"/>
      <c r="AA1901" s="204"/>
      <c r="AB1901" s="204"/>
      <c r="AC1901" s="204"/>
      <c r="AD1901" s="204"/>
      <c r="AE1901" s="204"/>
      <c r="AF1901" s="204"/>
      <c r="AG1901" s="204"/>
      <c r="AH1901" s="204"/>
      <c r="AI1901" s="209"/>
      <c r="AJ1901" s="209"/>
      <c r="AK1901" s="204"/>
      <c r="AL1901" s="204"/>
      <c r="AM1901" s="204"/>
    </row>
    <row r="1902">
      <c r="A1902" s="204"/>
      <c r="B1902" s="209"/>
      <c r="C1902" s="204"/>
      <c r="D1902" s="210"/>
      <c r="E1902" s="211"/>
      <c r="F1902" s="211"/>
      <c r="G1902" s="212"/>
      <c r="H1902" s="212"/>
      <c r="I1902" s="204"/>
      <c r="J1902" s="204"/>
      <c r="K1902" s="204"/>
      <c r="L1902" s="204"/>
      <c r="M1902" s="204"/>
      <c r="N1902" s="204"/>
      <c r="O1902" s="204"/>
      <c r="P1902" s="204"/>
      <c r="Q1902" s="204"/>
      <c r="R1902" s="204"/>
      <c r="S1902" s="204"/>
      <c r="T1902" s="204"/>
      <c r="U1902" s="204"/>
      <c r="V1902" s="204"/>
      <c r="W1902" s="204"/>
      <c r="X1902" s="204"/>
      <c r="Y1902" s="204"/>
      <c r="Z1902" s="204"/>
      <c r="AA1902" s="204"/>
      <c r="AB1902" s="204"/>
      <c r="AC1902" s="204"/>
      <c r="AD1902" s="204"/>
      <c r="AE1902" s="204"/>
      <c r="AF1902" s="204"/>
      <c r="AG1902" s="204"/>
      <c r="AH1902" s="204"/>
      <c r="AI1902" s="209"/>
      <c r="AJ1902" s="209"/>
      <c r="AK1902" s="204"/>
      <c r="AL1902" s="204"/>
      <c r="AM1902" s="204"/>
    </row>
    <row r="1903">
      <c r="A1903" s="204"/>
      <c r="B1903" s="209"/>
      <c r="C1903" s="204"/>
      <c r="D1903" s="210"/>
      <c r="E1903" s="211"/>
      <c r="F1903" s="211"/>
      <c r="G1903" s="212"/>
      <c r="H1903" s="212"/>
      <c r="I1903" s="204"/>
      <c r="J1903" s="204"/>
      <c r="K1903" s="204"/>
      <c r="L1903" s="204"/>
      <c r="M1903" s="204"/>
      <c r="N1903" s="204"/>
      <c r="O1903" s="204"/>
      <c r="P1903" s="204"/>
      <c r="Q1903" s="204"/>
      <c r="R1903" s="204"/>
      <c r="S1903" s="204"/>
      <c r="T1903" s="204"/>
      <c r="U1903" s="204"/>
      <c r="V1903" s="204"/>
      <c r="W1903" s="204"/>
      <c r="X1903" s="204"/>
      <c r="Y1903" s="204"/>
      <c r="Z1903" s="204"/>
      <c r="AA1903" s="204"/>
      <c r="AB1903" s="204"/>
      <c r="AC1903" s="204"/>
      <c r="AD1903" s="204"/>
      <c r="AE1903" s="204"/>
      <c r="AF1903" s="204"/>
      <c r="AG1903" s="204"/>
      <c r="AH1903" s="204"/>
      <c r="AI1903" s="209"/>
      <c r="AJ1903" s="209"/>
      <c r="AK1903" s="204"/>
      <c r="AL1903" s="204"/>
      <c r="AM1903" s="204"/>
    </row>
    <row r="1904">
      <c r="A1904" s="204"/>
      <c r="B1904" s="209"/>
      <c r="C1904" s="204"/>
      <c r="D1904" s="210"/>
      <c r="E1904" s="211"/>
      <c r="F1904" s="211"/>
      <c r="G1904" s="212"/>
      <c r="H1904" s="212"/>
      <c r="I1904" s="204"/>
      <c r="J1904" s="204"/>
      <c r="K1904" s="204"/>
      <c r="L1904" s="204"/>
      <c r="M1904" s="204"/>
      <c r="N1904" s="204"/>
      <c r="O1904" s="204"/>
      <c r="P1904" s="204"/>
      <c r="Q1904" s="204"/>
      <c r="R1904" s="204"/>
      <c r="S1904" s="204"/>
      <c r="T1904" s="204"/>
      <c r="U1904" s="204"/>
      <c r="V1904" s="204"/>
      <c r="W1904" s="204"/>
      <c r="X1904" s="204"/>
      <c r="Y1904" s="204"/>
      <c r="Z1904" s="204"/>
      <c r="AA1904" s="204"/>
      <c r="AB1904" s="204"/>
      <c r="AC1904" s="204"/>
      <c r="AD1904" s="204"/>
      <c r="AE1904" s="204"/>
      <c r="AF1904" s="204"/>
      <c r="AG1904" s="204"/>
      <c r="AH1904" s="204"/>
      <c r="AI1904" s="209"/>
      <c r="AJ1904" s="209"/>
      <c r="AK1904" s="204"/>
      <c r="AL1904" s="204"/>
      <c r="AM1904" s="204"/>
    </row>
    <row r="1905">
      <c r="A1905" s="204"/>
      <c r="B1905" s="209"/>
      <c r="C1905" s="204"/>
      <c r="D1905" s="210"/>
      <c r="E1905" s="211"/>
      <c r="F1905" s="211"/>
      <c r="G1905" s="212"/>
      <c r="H1905" s="212"/>
      <c r="I1905" s="204"/>
      <c r="J1905" s="204"/>
      <c r="K1905" s="204"/>
      <c r="L1905" s="204"/>
      <c r="M1905" s="204"/>
      <c r="N1905" s="204"/>
      <c r="O1905" s="204"/>
      <c r="P1905" s="204"/>
      <c r="Q1905" s="204"/>
      <c r="R1905" s="204"/>
      <c r="S1905" s="204"/>
      <c r="T1905" s="204"/>
      <c r="U1905" s="204"/>
      <c r="V1905" s="204"/>
      <c r="W1905" s="204"/>
      <c r="X1905" s="204"/>
      <c r="Y1905" s="204"/>
      <c r="Z1905" s="204"/>
      <c r="AA1905" s="204"/>
      <c r="AB1905" s="204"/>
      <c r="AC1905" s="204"/>
      <c r="AD1905" s="204"/>
      <c r="AE1905" s="204"/>
      <c r="AF1905" s="204"/>
      <c r="AG1905" s="204"/>
      <c r="AH1905" s="204"/>
      <c r="AI1905" s="209"/>
      <c r="AJ1905" s="209"/>
      <c r="AK1905" s="204"/>
      <c r="AL1905" s="204"/>
      <c r="AM1905" s="204"/>
    </row>
    <row r="1906">
      <c r="A1906" s="204"/>
      <c r="B1906" s="209"/>
      <c r="C1906" s="204"/>
      <c r="D1906" s="210"/>
      <c r="E1906" s="211"/>
      <c r="F1906" s="211"/>
      <c r="G1906" s="212"/>
      <c r="H1906" s="212"/>
      <c r="I1906" s="204"/>
      <c r="J1906" s="204"/>
      <c r="K1906" s="204"/>
      <c r="L1906" s="204"/>
      <c r="M1906" s="204"/>
      <c r="N1906" s="204"/>
      <c r="O1906" s="204"/>
      <c r="P1906" s="204"/>
      <c r="Q1906" s="204"/>
      <c r="R1906" s="204"/>
      <c r="S1906" s="204"/>
      <c r="T1906" s="204"/>
      <c r="U1906" s="204"/>
      <c r="V1906" s="204"/>
      <c r="W1906" s="204"/>
      <c r="X1906" s="204"/>
      <c r="Y1906" s="204"/>
      <c r="Z1906" s="204"/>
      <c r="AA1906" s="204"/>
      <c r="AB1906" s="204"/>
      <c r="AC1906" s="204"/>
      <c r="AD1906" s="204"/>
      <c r="AE1906" s="204"/>
      <c r="AF1906" s="204"/>
      <c r="AG1906" s="204"/>
      <c r="AH1906" s="204"/>
      <c r="AI1906" s="209"/>
      <c r="AJ1906" s="209"/>
      <c r="AK1906" s="204"/>
      <c r="AL1906" s="204"/>
      <c r="AM1906" s="204"/>
    </row>
    <row r="1907">
      <c r="A1907" s="204"/>
      <c r="B1907" s="209"/>
      <c r="C1907" s="204"/>
      <c r="D1907" s="210"/>
      <c r="E1907" s="211"/>
      <c r="F1907" s="211"/>
      <c r="G1907" s="212"/>
      <c r="H1907" s="212"/>
      <c r="I1907" s="204"/>
      <c r="J1907" s="204"/>
      <c r="K1907" s="204"/>
      <c r="L1907" s="204"/>
      <c r="M1907" s="204"/>
      <c r="N1907" s="204"/>
      <c r="O1907" s="204"/>
      <c r="P1907" s="204"/>
      <c r="Q1907" s="204"/>
      <c r="R1907" s="204"/>
      <c r="S1907" s="204"/>
      <c r="T1907" s="204"/>
      <c r="U1907" s="204"/>
      <c r="V1907" s="204"/>
      <c r="W1907" s="204"/>
      <c r="X1907" s="204"/>
      <c r="Y1907" s="204"/>
      <c r="Z1907" s="204"/>
      <c r="AA1907" s="204"/>
      <c r="AB1907" s="204"/>
      <c r="AC1907" s="204"/>
      <c r="AD1907" s="204"/>
      <c r="AE1907" s="204"/>
      <c r="AF1907" s="204"/>
      <c r="AG1907" s="204"/>
      <c r="AH1907" s="204"/>
      <c r="AI1907" s="209"/>
      <c r="AJ1907" s="209"/>
      <c r="AK1907" s="204"/>
      <c r="AL1907" s="204"/>
      <c r="AM1907" s="204"/>
    </row>
    <row r="1908">
      <c r="A1908" s="204"/>
      <c r="B1908" s="209"/>
      <c r="C1908" s="204"/>
      <c r="D1908" s="210"/>
      <c r="E1908" s="211"/>
      <c r="F1908" s="211"/>
      <c r="G1908" s="212"/>
      <c r="H1908" s="212"/>
      <c r="I1908" s="204"/>
      <c r="J1908" s="204"/>
      <c r="K1908" s="204"/>
      <c r="L1908" s="204"/>
      <c r="M1908" s="204"/>
      <c r="N1908" s="204"/>
      <c r="O1908" s="204"/>
      <c r="P1908" s="204"/>
      <c r="Q1908" s="204"/>
      <c r="R1908" s="204"/>
      <c r="S1908" s="204"/>
      <c r="T1908" s="204"/>
      <c r="U1908" s="204"/>
      <c r="V1908" s="204"/>
      <c r="W1908" s="204"/>
      <c r="X1908" s="204"/>
      <c r="Y1908" s="204"/>
      <c r="Z1908" s="204"/>
      <c r="AA1908" s="204"/>
      <c r="AB1908" s="204"/>
      <c r="AC1908" s="204"/>
      <c r="AD1908" s="204"/>
      <c r="AE1908" s="204"/>
      <c r="AF1908" s="204"/>
      <c r="AG1908" s="204"/>
      <c r="AH1908" s="204"/>
      <c r="AI1908" s="209"/>
      <c r="AJ1908" s="209"/>
      <c r="AK1908" s="204"/>
      <c r="AL1908" s="204"/>
      <c r="AM1908" s="204"/>
    </row>
    <row r="1909">
      <c r="A1909" s="204"/>
      <c r="B1909" s="209"/>
      <c r="C1909" s="204"/>
      <c r="D1909" s="210"/>
      <c r="E1909" s="211"/>
      <c r="F1909" s="211"/>
      <c r="G1909" s="212"/>
      <c r="H1909" s="212"/>
      <c r="I1909" s="204"/>
      <c r="J1909" s="204"/>
      <c r="K1909" s="204"/>
      <c r="L1909" s="204"/>
      <c r="M1909" s="204"/>
      <c r="N1909" s="204"/>
      <c r="O1909" s="204"/>
      <c r="P1909" s="204"/>
      <c r="Q1909" s="204"/>
      <c r="R1909" s="204"/>
      <c r="S1909" s="204"/>
      <c r="T1909" s="204"/>
      <c r="U1909" s="204"/>
      <c r="V1909" s="204"/>
      <c r="W1909" s="204"/>
      <c r="X1909" s="204"/>
      <c r="Y1909" s="204"/>
      <c r="Z1909" s="204"/>
      <c r="AA1909" s="204"/>
      <c r="AB1909" s="204"/>
      <c r="AC1909" s="204"/>
      <c r="AD1909" s="204"/>
      <c r="AE1909" s="204"/>
      <c r="AF1909" s="204"/>
      <c r="AG1909" s="204"/>
      <c r="AH1909" s="204"/>
      <c r="AI1909" s="209"/>
      <c r="AJ1909" s="209"/>
      <c r="AK1909" s="204"/>
      <c r="AL1909" s="204"/>
      <c r="AM1909" s="204"/>
    </row>
    <row r="1910">
      <c r="A1910" s="204"/>
      <c r="B1910" s="209"/>
      <c r="C1910" s="204"/>
      <c r="D1910" s="210"/>
      <c r="E1910" s="211"/>
      <c r="F1910" s="211"/>
      <c r="G1910" s="212"/>
      <c r="H1910" s="212"/>
      <c r="I1910" s="204"/>
      <c r="J1910" s="204"/>
      <c r="K1910" s="204"/>
      <c r="L1910" s="204"/>
      <c r="M1910" s="204"/>
      <c r="N1910" s="204"/>
      <c r="O1910" s="204"/>
      <c r="P1910" s="204"/>
      <c r="Q1910" s="204"/>
      <c r="R1910" s="204"/>
      <c r="S1910" s="204"/>
      <c r="T1910" s="204"/>
      <c r="U1910" s="204"/>
      <c r="V1910" s="204"/>
      <c r="W1910" s="204"/>
      <c r="X1910" s="204"/>
      <c r="Y1910" s="204"/>
      <c r="Z1910" s="204"/>
      <c r="AA1910" s="204"/>
      <c r="AB1910" s="204"/>
      <c r="AC1910" s="204"/>
      <c r="AD1910" s="204"/>
      <c r="AE1910" s="204"/>
      <c r="AF1910" s="204"/>
      <c r="AG1910" s="204"/>
      <c r="AH1910" s="204"/>
      <c r="AI1910" s="209"/>
      <c r="AJ1910" s="209"/>
      <c r="AK1910" s="204"/>
      <c r="AL1910" s="204"/>
      <c r="AM1910" s="204"/>
    </row>
    <row r="1911">
      <c r="A1911" s="204"/>
      <c r="B1911" s="209"/>
      <c r="C1911" s="204"/>
      <c r="D1911" s="210"/>
      <c r="E1911" s="211"/>
      <c r="F1911" s="211"/>
      <c r="G1911" s="212"/>
      <c r="H1911" s="212"/>
      <c r="I1911" s="204"/>
      <c r="J1911" s="204"/>
      <c r="K1911" s="204"/>
      <c r="L1911" s="204"/>
      <c r="M1911" s="204"/>
      <c r="N1911" s="204"/>
      <c r="O1911" s="204"/>
      <c r="P1911" s="204"/>
      <c r="Q1911" s="204"/>
      <c r="R1911" s="204"/>
      <c r="S1911" s="204"/>
      <c r="T1911" s="204"/>
      <c r="U1911" s="204"/>
      <c r="V1911" s="204"/>
      <c r="W1911" s="204"/>
      <c r="X1911" s="204"/>
      <c r="Y1911" s="204"/>
      <c r="Z1911" s="204"/>
      <c r="AA1911" s="204"/>
      <c r="AB1911" s="204"/>
      <c r="AC1911" s="204"/>
      <c r="AD1911" s="204"/>
      <c r="AE1911" s="204"/>
      <c r="AF1911" s="204"/>
      <c r="AG1911" s="204"/>
      <c r="AH1911" s="204"/>
      <c r="AI1911" s="209"/>
      <c r="AJ1911" s="209"/>
      <c r="AK1911" s="204"/>
      <c r="AL1911" s="204"/>
      <c r="AM1911" s="204"/>
    </row>
    <row r="1912">
      <c r="A1912" s="204"/>
      <c r="B1912" s="209"/>
      <c r="C1912" s="204"/>
      <c r="D1912" s="210"/>
      <c r="E1912" s="211"/>
      <c r="F1912" s="211"/>
      <c r="G1912" s="212"/>
      <c r="H1912" s="212"/>
      <c r="I1912" s="204"/>
      <c r="J1912" s="204"/>
      <c r="K1912" s="204"/>
      <c r="L1912" s="204"/>
      <c r="M1912" s="204"/>
      <c r="N1912" s="204"/>
      <c r="O1912" s="204"/>
      <c r="P1912" s="204"/>
      <c r="Q1912" s="204"/>
      <c r="R1912" s="204"/>
      <c r="S1912" s="204"/>
      <c r="T1912" s="204"/>
      <c r="U1912" s="204"/>
      <c r="V1912" s="204"/>
      <c r="W1912" s="204"/>
      <c r="X1912" s="204"/>
      <c r="Y1912" s="204"/>
      <c r="Z1912" s="204"/>
      <c r="AA1912" s="204"/>
      <c r="AB1912" s="204"/>
      <c r="AC1912" s="204"/>
      <c r="AD1912" s="204"/>
      <c r="AE1912" s="204"/>
      <c r="AF1912" s="204"/>
      <c r="AG1912" s="204"/>
      <c r="AH1912" s="204"/>
      <c r="AI1912" s="209"/>
      <c r="AJ1912" s="209"/>
      <c r="AK1912" s="204"/>
      <c r="AL1912" s="204"/>
      <c r="AM1912" s="204"/>
    </row>
    <row r="1913">
      <c r="A1913" s="204"/>
      <c r="B1913" s="209"/>
      <c r="C1913" s="204"/>
      <c r="D1913" s="210"/>
      <c r="E1913" s="211"/>
      <c r="F1913" s="211"/>
      <c r="G1913" s="212"/>
      <c r="H1913" s="212"/>
      <c r="I1913" s="204"/>
      <c r="J1913" s="204"/>
      <c r="K1913" s="204"/>
      <c r="L1913" s="204"/>
      <c r="M1913" s="204"/>
      <c r="N1913" s="204"/>
      <c r="O1913" s="204"/>
      <c r="P1913" s="204"/>
      <c r="Q1913" s="204"/>
      <c r="R1913" s="204"/>
      <c r="S1913" s="204"/>
      <c r="T1913" s="204"/>
      <c r="U1913" s="204"/>
      <c r="V1913" s="204"/>
      <c r="W1913" s="204"/>
      <c r="X1913" s="204"/>
      <c r="Y1913" s="204"/>
      <c r="Z1913" s="204"/>
      <c r="AA1913" s="204"/>
      <c r="AB1913" s="204"/>
      <c r="AC1913" s="204"/>
      <c r="AD1913" s="204"/>
      <c r="AE1913" s="204"/>
      <c r="AF1913" s="204"/>
      <c r="AG1913" s="204"/>
      <c r="AH1913" s="204"/>
      <c r="AI1913" s="209"/>
      <c r="AJ1913" s="209"/>
      <c r="AK1913" s="204"/>
      <c r="AL1913" s="204"/>
      <c r="AM1913" s="204"/>
    </row>
    <row r="1914">
      <c r="A1914" s="204"/>
      <c r="B1914" s="209"/>
      <c r="C1914" s="204"/>
      <c r="D1914" s="210"/>
      <c r="E1914" s="211"/>
      <c r="F1914" s="211"/>
      <c r="G1914" s="212"/>
      <c r="H1914" s="212"/>
      <c r="I1914" s="204"/>
      <c r="J1914" s="204"/>
      <c r="K1914" s="204"/>
      <c r="L1914" s="204"/>
      <c r="M1914" s="204"/>
      <c r="N1914" s="204"/>
      <c r="O1914" s="204"/>
      <c r="P1914" s="204"/>
      <c r="Q1914" s="204"/>
      <c r="R1914" s="204"/>
      <c r="S1914" s="204"/>
      <c r="T1914" s="204"/>
      <c r="U1914" s="204"/>
      <c r="V1914" s="204"/>
      <c r="W1914" s="204"/>
      <c r="X1914" s="204"/>
      <c r="Y1914" s="204"/>
      <c r="Z1914" s="204"/>
      <c r="AA1914" s="204"/>
      <c r="AB1914" s="204"/>
      <c r="AC1914" s="204"/>
      <c r="AD1914" s="204"/>
      <c r="AE1914" s="204"/>
      <c r="AF1914" s="204"/>
      <c r="AG1914" s="204"/>
      <c r="AH1914" s="204"/>
      <c r="AI1914" s="209"/>
      <c r="AJ1914" s="209"/>
      <c r="AK1914" s="204"/>
      <c r="AL1914" s="204"/>
      <c r="AM1914" s="204"/>
    </row>
    <row r="1915">
      <c r="A1915" s="204"/>
      <c r="B1915" s="209"/>
      <c r="C1915" s="204"/>
      <c r="D1915" s="210"/>
      <c r="E1915" s="211"/>
      <c r="F1915" s="211"/>
      <c r="G1915" s="212"/>
      <c r="H1915" s="212"/>
      <c r="I1915" s="204"/>
      <c r="J1915" s="204"/>
      <c r="K1915" s="204"/>
      <c r="L1915" s="204"/>
      <c r="M1915" s="204"/>
      <c r="N1915" s="204"/>
      <c r="O1915" s="204"/>
      <c r="P1915" s="204"/>
      <c r="Q1915" s="204"/>
      <c r="R1915" s="204"/>
      <c r="S1915" s="204"/>
      <c r="T1915" s="204"/>
      <c r="U1915" s="204"/>
      <c r="V1915" s="204"/>
      <c r="W1915" s="204"/>
      <c r="X1915" s="204"/>
      <c r="Y1915" s="204"/>
      <c r="Z1915" s="204"/>
      <c r="AA1915" s="204"/>
      <c r="AB1915" s="204"/>
      <c r="AC1915" s="204"/>
      <c r="AD1915" s="204"/>
      <c r="AE1915" s="204"/>
      <c r="AF1915" s="204"/>
      <c r="AG1915" s="204"/>
      <c r="AH1915" s="204"/>
      <c r="AI1915" s="209"/>
      <c r="AJ1915" s="209"/>
      <c r="AK1915" s="204"/>
      <c r="AL1915" s="204"/>
      <c r="AM1915" s="204"/>
    </row>
    <row r="1916">
      <c r="A1916" s="204"/>
      <c r="B1916" s="209"/>
      <c r="C1916" s="204"/>
      <c r="D1916" s="210"/>
      <c r="E1916" s="211"/>
      <c r="F1916" s="211"/>
      <c r="G1916" s="212"/>
      <c r="H1916" s="212"/>
      <c r="I1916" s="204"/>
      <c r="J1916" s="204"/>
      <c r="K1916" s="204"/>
      <c r="L1916" s="204"/>
      <c r="M1916" s="204"/>
      <c r="N1916" s="204"/>
      <c r="O1916" s="204"/>
      <c r="P1916" s="204"/>
      <c r="Q1916" s="204"/>
      <c r="R1916" s="204"/>
      <c r="S1916" s="204"/>
      <c r="T1916" s="204"/>
      <c r="U1916" s="204"/>
      <c r="V1916" s="204"/>
      <c r="W1916" s="204"/>
      <c r="X1916" s="204"/>
      <c r="Y1916" s="204"/>
      <c r="Z1916" s="204"/>
      <c r="AA1916" s="204"/>
      <c r="AB1916" s="204"/>
      <c r="AC1916" s="204"/>
      <c r="AD1916" s="204"/>
      <c r="AE1916" s="204"/>
      <c r="AF1916" s="204"/>
      <c r="AG1916" s="204"/>
      <c r="AH1916" s="204"/>
      <c r="AI1916" s="209"/>
      <c r="AJ1916" s="209"/>
      <c r="AK1916" s="204"/>
      <c r="AL1916" s="204"/>
      <c r="AM1916" s="204"/>
    </row>
    <row r="1917">
      <c r="A1917" s="204"/>
      <c r="B1917" s="209"/>
      <c r="C1917" s="204"/>
      <c r="D1917" s="210"/>
      <c r="E1917" s="211"/>
      <c r="F1917" s="211"/>
      <c r="G1917" s="212"/>
      <c r="H1917" s="212"/>
      <c r="I1917" s="204"/>
      <c r="J1917" s="204"/>
      <c r="K1917" s="204"/>
      <c r="L1917" s="204"/>
      <c r="M1917" s="204"/>
      <c r="N1917" s="204"/>
      <c r="O1917" s="204"/>
      <c r="P1917" s="204"/>
      <c r="Q1917" s="204"/>
      <c r="R1917" s="204"/>
      <c r="S1917" s="204"/>
      <c r="T1917" s="204"/>
      <c r="U1917" s="204"/>
      <c r="V1917" s="204"/>
      <c r="W1917" s="204"/>
      <c r="X1917" s="204"/>
      <c r="Y1917" s="204"/>
      <c r="Z1917" s="204"/>
      <c r="AA1917" s="204"/>
      <c r="AB1917" s="204"/>
      <c r="AC1917" s="204"/>
      <c r="AD1917" s="204"/>
      <c r="AE1917" s="204"/>
      <c r="AF1917" s="204"/>
      <c r="AG1917" s="204"/>
      <c r="AH1917" s="204"/>
      <c r="AI1917" s="209"/>
      <c r="AJ1917" s="209"/>
      <c r="AK1917" s="204"/>
      <c r="AL1917" s="204"/>
      <c r="AM1917" s="204"/>
    </row>
    <row r="1918">
      <c r="A1918" s="204"/>
      <c r="B1918" s="209"/>
      <c r="C1918" s="204"/>
      <c r="D1918" s="210"/>
      <c r="E1918" s="211"/>
      <c r="F1918" s="211"/>
      <c r="G1918" s="212"/>
      <c r="H1918" s="212"/>
      <c r="I1918" s="204"/>
      <c r="J1918" s="204"/>
      <c r="K1918" s="204"/>
      <c r="L1918" s="204"/>
      <c r="M1918" s="204"/>
      <c r="N1918" s="204"/>
      <c r="O1918" s="204"/>
      <c r="P1918" s="204"/>
      <c r="Q1918" s="204"/>
      <c r="R1918" s="204"/>
      <c r="S1918" s="204"/>
      <c r="T1918" s="204"/>
      <c r="U1918" s="204"/>
      <c r="V1918" s="204"/>
      <c r="W1918" s="204"/>
      <c r="X1918" s="204"/>
      <c r="Y1918" s="204"/>
      <c r="Z1918" s="204"/>
      <c r="AA1918" s="204"/>
      <c r="AB1918" s="204"/>
      <c r="AC1918" s="204"/>
      <c r="AD1918" s="204"/>
      <c r="AE1918" s="204"/>
      <c r="AF1918" s="204"/>
      <c r="AG1918" s="204"/>
      <c r="AH1918" s="204"/>
      <c r="AI1918" s="209"/>
      <c r="AJ1918" s="209"/>
      <c r="AK1918" s="204"/>
      <c r="AL1918" s="204"/>
      <c r="AM1918" s="204"/>
    </row>
    <row r="1919">
      <c r="A1919" s="204"/>
      <c r="B1919" s="209"/>
      <c r="C1919" s="204"/>
      <c r="D1919" s="210"/>
      <c r="E1919" s="211"/>
      <c r="F1919" s="211"/>
      <c r="G1919" s="212"/>
      <c r="H1919" s="212"/>
      <c r="I1919" s="204"/>
      <c r="J1919" s="204"/>
      <c r="K1919" s="204"/>
      <c r="L1919" s="204"/>
      <c r="M1919" s="204"/>
      <c r="N1919" s="204"/>
      <c r="O1919" s="204"/>
      <c r="P1919" s="204"/>
      <c r="Q1919" s="204"/>
      <c r="R1919" s="204"/>
      <c r="S1919" s="204"/>
      <c r="T1919" s="204"/>
      <c r="U1919" s="204"/>
      <c r="V1919" s="204"/>
      <c r="W1919" s="204"/>
      <c r="X1919" s="204"/>
      <c r="Y1919" s="204"/>
      <c r="Z1919" s="204"/>
      <c r="AA1919" s="204"/>
      <c r="AB1919" s="204"/>
      <c r="AC1919" s="204"/>
      <c r="AD1919" s="204"/>
      <c r="AE1919" s="204"/>
      <c r="AF1919" s="204"/>
      <c r="AG1919" s="204"/>
      <c r="AH1919" s="204"/>
      <c r="AI1919" s="209"/>
      <c r="AJ1919" s="209"/>
      <c r="AK1919" s="204"/>
      <c r="AL1919" s="204"/>
      <c r="AM1919" s="204"/>
    </row>
    <row r="1920">
      <c r="A1920" s="204"/>
      <c r="B1920" s="209"/>
      <c r="C1920" s="204"/>
      <c r="D1920" s="210"/>
      <c r="E1920" s="211"/>
      <c r="F1920" s="211"/>
      <c r="G1920" s="212"/>
      <c r="H1920" s="212"/>
      <c r="I1920" s="204"/>
      <c r="J1920" s="204"/>
      <c r="K1920" s="204"/>
      <c r="L1920" s="204"/>
      <c r="M1920" s="204"/>
      <c r="N1920" s="204"/>
      <c r="O1920" s="204"/>
      <c r="P1920" s="204"/>
      <c r="Q1920" s="204"/>
      <c r="R1920" s="204"/>
      <c r="S1920" s="204"/>
      <c r="T1920" s="204"/>
      <c r="U1920" s="204"/>
      <c r="V1920" s="204"/>
      <c r="W1920" s="204"/>
      <c r="X1920" s="204"/>
      <c r="Y1920" s="204"/>
      <c r="Z1920" s="204"/>
      <c r="AA1920" s="204"/>
      <c r="AB1920" s="204"/>
      <c r="AC1920" s="204"/>
      <c r="AD1920" s="204"/>
      <c r="AE1920" s="204"/>
      <c r="AF1920" s="204"/>
      <c r="AG1920" s="204"/>
      <c r="AH1920" s="204"/>
      <c r="AI1920" s="209"/>
      <c r="AJ1920" s="209"/>
      <c r="AK1920" s="204"/>
      <c r="AL1920" s="204"/>
      <c r="AM1920" s="204"/>
    </row>
    <row r="1921">
      <c r="A1921" s="204"/>
      <c r="B1921" s="209"/>
      <c r="C1921" s="204"/>
      <c r="D1921" s="210"/>
      <c r="E1921" s="211"/>
      <c r="F1921" s="211"/>
      <c r="G1921" s="212"/>
      <c r="H1921" s="212"/>
      <c r="I1921" s="204"/>
      <c r="J1921" s="204"/>
      <c r="K1921" s="204"/>
      <c r="L1921" s="204"/>
      <c r="M1921" s="204"/>
      <c r="N1921" s="204"/>
      <c r="O1921" s="204"/>
      <c r="P1921" s="204"/>
      <c r="Q1921" s="204"/>
      <c r="R1921" s="204"/>
      <c r="S1921" s="204"/>
      <c r="T1921" s="204"/>
      <c r="U1921" s="204"/>
      <c r="V1921" s="204"/>
      <c r="W1921" s="204"/>
      <c r="X1921" s="204"/>
      <c r="Y1921" s="204"/>
      <c r="Z1921" s="204"/>
      <c r="AA1921" s="204"/>
      <c r="AB1921" s="204"/>
      <c r="AC1921" s="204"/>
      <c r="AD1921" s="204"/>
      <c r="AE1921" s="204"/>
      <c r="AF1921" s="204"/>
      <c r="AG1921" s="204"/>
      <c r="AH1921" s="204"/>
      <c r="AI1921" s="209"/>
      <c r="AJ1921" s="209"/>
      <c r="AK1921" s="204"/>
      <c r="AL1921" s="204"/>
      <c r="AM1921" s="204"/>
    </row>
    <row r="1922">
      <c r="A1922" s="204"/>
      <c r="B1922" s="209"/>
      <c r="C1922" s="204"/>
      <c r="D1922" s="210"/>
      <c r="E1922" s="211"/>
      <c r="F1922" s="211"/>
      <c r="G1922" s="212"/>
      <c r="H1922" s="212"/>
      <c r="I1922" s="204"/>
      <c r="J1922" s="204"/>
      <c r="K1922" s="204"/>
      <c r="L1922" s="204"/>
      <c r="M1922" s="204"/>
      <c r="N1922" s="204"/>
      <c r="O1922" s="204"/>
      <c r="P1922" s="204"/>
      <c r="Q1922" s="204"/>
      <c r="R1922" s="204"/>
      <c r="S1922" s="204"/>
      <c r="T1922" s="204"/>
      <c r="U1922" s="204"/>
      <c r="V1922" s="204"/>
      <c r="W1922" s="204"/>
      <c r="X1922" s="204"/>
      <c r="Y1922" s="204"/>
      <c r="Z1922" s="204"/>
      <c r="AA1922" s="204"/>
      <c r="AB1922" s="204"/>
      <c r="AC1922" s="204"/>
      <c r="AD1922" s="204"/>
      <c r="AE1922" s="204"/>
      <c r="AF1922" s="204"/>
      <c r="AG1922" s="204"/>
      <c r="AH1922" s="204"/>
      <c r="AI1922" s="209"/>
      <c r="AJ1922" s="209"/>
      <c r="AK1922" s="204"/>
      <c r="AL1922" s="204"/>
      <c r="AM1922" s="204"/>
    </row>
    <row r="1923">
      <c r="A1923" s="204"/>
      <c r="B1923" s="209"/>
      <c r="C1923" s="204"/>
      <c r="D1923" s="210"/>
      <c r="E1923" s="211"/>
      <c r="F1923" s="211"/>
      <c r="G1923" s="212"/>
      <c r="H1923" s="212"/>
      <c r="I1923" s="204"/>
      <c r="J1923" s="204"/>
      <c r="K1923" s="204"/>
      <c r="L1923" s="204"/>
      <c r="M1923" s="204"/>
      <c r="N1923" s="204"/>
      <c r="O1923" s="204"/>
      <c r="P1923" s="204"/>
      <c r="Q1923" s="204"/>
      <c r="R1923" s="204"/>
      <c r="S1923" s="204"/>
      <c r="T1923" s="204"/>
      <c r="U1923" s="204"/>
      <c r="V1923" s="204"/>
      <c r="W1923" s="204"/>
      <c r="X1923" s="204"/>
      <c r="Y1923" s="204"/>
      <c r="Z1923" s="204"/>
      <c r="AA1923" s="204"/>
      <c r="AB1923" s="204"/>
      <c r="AC1923" s="204"/>
      <c r="AD1923" s="204"/>
      <c r="AE1923" s="204"/>
      <c r="AF1923" s="204"/>
      <c r="AG1923" s="204"/>
      <c r="AH1923" s="204"/>
      <c r="AI1923" s="209"/>
      <c r="AJ1923" s="209"/>
      <c r="AK1923" s="204"/>
      <c r="AL1923" s="204"/>
      <c r="AM1923" s="204"/>
    </row>
    <row r="1924">
      <c r="A1924" s="204"/>
      <c r="B1924" s="209"/>
      <c r="C1924" s="204"/>
      <c r="D1924" s="210"/>
      <c r="E1924" s="211"/>
      <c r="F1924" s="211"/>
      <c r="G1924" s="212"/>
      <c r="H1924" s="212"/>
      <c r="I1924" s="204"/>
      <c r="J1924" s="204"/>
      <c r="K1924" s="204"/>
      <c r="L1924" s="204"/>
      <c r="M1924" s="204"/>
      <c r="N1924" s="204"/>
      <c r="O1924" s="204"/>
      <c r="P1924" s="204"/>
      <c r="Q1924" s="204"/>
      <c r="R1924" s="204"/>
      <c r="S1924" s="204"/>
      <c r="T1924" s="204"/>
      <c r="U1924" s="204"/>
      <c r="V1924" s="204"/>
      <c r="W1924" s="204"/>
      <c r="X1924" s="204"/>
      <c r="Y1924" s="204"/>
      <c r="Z1924" s="204"/>
      <c r="AA1924" s="204"/>
      <c r="AB1924" s="204"/>
      <c r="AC1924" s="204"/>
      <c r="AD1924" s="204"/>
      <c r="AE1924" s="204"/>
      <c r="AF1924" s="204"/>
      <c r="AG1924" s="204"/>
      <c r="AH1924" s="204"/>
      <c r="AI1924" s="209"/>
      <c r="AJ1924" s="209"/>
      <c r="AK1924" s="204"/>
      <c r="AL1924" s="204"/>
      <c r="AM1924" s="204"/>
    </row>
    <row r="1925">
      <c r="A1925" s="204"/>
      <c r="B1925" s="209"/>
      <c r="C1925" s="204"/>
      <c r="D1925" s="210"/>
      <c r="E1925" s="211"/>
      <c r="F1925" s="211"/>
      <c r="G1925" s="212"/>
      <c r="H1925" s="212"/>
      <c r="I1925" s="204"/>
      <c r="J1925" s="204"/>
      <c r="K1925" s="204"/>
      <c r="L1925" s="204"/>
      <c r="M1925" s="204"/>
      <c r="N1925" s="204"/>
      <c r="O1925" s="204"/>
      <c r="P1925" s="204"/>
      <c r="Q1925" s="204"/>
      <c r="R1925" s="204"/>
      <c r="S1925" s="204"/>
      <c r="T1925" s="204"/>
      <c r="U1925" s="204"/>
      <c r="V1925" s="204"/>
      <c r="W1925" s="204"/>
      <c r="X1925" s="204"/>
      <c r="Y1925" s="204"/>
      <c r="Z1925" s="204"/>
      <c r="AA1925" s="204"/>
      <c r="AB1925" s="204"/>
      <c r="AC1925" s="204"/>
      <c r="AD1925" s="204"/>
      <c r="AE1925" s="204"/>
      <c r="AF1925" s="204"/>
      <c r="AG1925" s="204"/>
      <c r="AH1925" s="204"/>
      <c r="AI1925" s="209"/>
      <c r="AJ1925" s="209"/>
      <c r="AK1925" s="204"/>
      <c r="AL1925" s="204"/>
      <c r="AM1925" s="204"/>
    </row>
    <row r="1926">
      <c r="A1926" s="204"/>
      <c r="B1926" s="209"/>
      <c r="C1926" s="204"/>
      <c r="D1926" s="210"/>
      <c r="E1926" s="211"/>
      <c r="F1926" s="211"/>
      <c r="G1926" s="212"/>
      <c r="H1926" s="212"/>
      <c r="I1926" s="204"/>
      <c r="J1926" s="204"/>
      <c r="K1926" s="204"/>
      <c r="L1926" s="204"/>
      <c r="M1926" s="204"/>
      <c r="N1926" s="204"/>
      <c r="O1926" s="204"/>
      <c r="P1926" s="204"/>
      <c r="Q1926" s="204"/>
      <c r="R1926" s="204"/>
      <c r="S1926" s="204"/>
      <c r="T1926" s="204"/>
      <c r="U1926" s="204"/>
      <c r="V1926" s="204"/>
      <c r="W1926" s="204"/>
      <c r="X1926" s="204"/>
      <c r="Y1926" s="204"/>
      <c r="Z1926" s="204"/>
      <c r="AA1926" s="204"/>
      <c r="AB1926" s="204"/>
      <c r="AC1926" s="204"/>
      <c r="AD1926" s="204"/>
      <c r="AE1926" s="204"/>
      <c r="AF1926" s="204"/>
      <c r="AG1926" s="204"/>
      <c r="AH1926" s="204"/>
      <c r="AI1926" s="209"/>
      <c r="AJ1926" s="209"/>
      <c r="AK1926" s="204"/>
      <c r="AL1926" s="204"/>
      <c r="AM1926" s="204"/>
    </row>
    <row r="1927">
      <c r="A1927" s="204"/>
      <c r="B1927" s="209"/>
      <c r="C1927" s="204"/>
      <c r="D1927" s="210"/>
      <c r="E1927" s="211"/>
      <c r="F1927" s="211"/>
      <c r="G1927" s="212"/>
      <c r="H1927" s="212"/>
      <c r="I1927" s="204"/>
      <c r="J1927" s="204"/>
      <c r="K1927" s="204"/>
      <c r="L1927" s="204"/>
      <c r="M1927" s="204"/>
      <c r="N1927" s="204"/>
      <c r="O1927" s="204"/>
      <c r="P1927" s="204"/>
      <c r="Q1927" s="204"/>
      <c r="R1927" s="204"/>
      <c r="S1927" s="204"/>
      <c r="T1927" s="204"/>
      <c r="U1927" s="204"/>
      <c r="V1927" s="204"/>
      <c r="W1927" s="204"/>
      <c r="X1927" s="204"/>
      <c r="Y1927" s="204"/>
      <c r="Z1927" s="204"/>
      <c r="AA1927" s="204"/>
      <c r="AB1927" s="204"/>
      <c r="AC1927" s="204"/>
      <c r="AD1927" s="204"/>
      <c r="AE1927" s="204"/>
      <c r="AF1927" s="204"/>
      <c r="AG1927" s="204"/>
      <c r="AH1927" s="204"/>
      <c r="AI1927" s="209"/>
      <c r="AJ1927" s="209"/>
      <c r="AK1927" s="204"/>
      <c r="AL1927" s="204"/>
      <c r="AM1927" s="204"/>
    </row>
    <row r="1928">
      <c r="A1928" s="204"/>
      <c r="B1928" s="209"/>
      <c r="C1928" s="204"/>
      <c r="D1928" s="210"/>
      <c r="E1928" s="211"/>
      <c r="F1928" s="211"/>
      <c r="G1928" s="212"/>
      <c r="H1928" s="212"/>
      <c r="I1928" s="204"/>
      <c r="J1928" s="204"/>
      <c r="K1928" s="204"/>
      <c r="L1928" s="204"/>
      <c r="M1928" s="204"/>
      <c r="N1928" s="204"/>
      <c r="O1928" s="204"/>
      <c r="P1928" s="204"/>
      <c r="Q1928" s="204"/>
      <c r="R1928" s="204"/>
      <c r="S1928" s="204"/>
      <c r="T1928" s="204"/>
      <c r="U1928" s="204"/>
      <c r="V1928" s="204"/>
      <c r="W1928" s="204"/>
      <c r="X1928" s="204"/>
      <c r="Y1928" s="204"/>
      <c r="Z1928" s="204"/>
      <c r="AA1928" s="204"/>
      <c r="AB1928" s="204"/>
      <c r="AC1928" s="204"/>
      <c r="AD1928" s="204"/>
      <c r="AE1928" s="204"/>
      <c r="AF1928" s="204"/>
      <c r="AG1928" s="204"/>
      <c r="AH1928" s="204"/>
      <c r="AI1928" s="209"/>
      <c r="AJ1928" s="209"/>
      <c r="AK1928" s="204"/>
      <c r="AL1928" s="204"/>
      <c r="AM1928" s="204"/>
    </row>
    <row r="1929">
      <c r="A1929" s="204"/>
      <c r="B1929" s="209"/>
      <c r="C1929" s="204"/>
      <c r="D1929" s="210"/>
      <c r="E1929" s="211"/>
      <c r="F1929" s="211"/>
      <c r="G1929" s="212"/>
      <c r="H1929" s="212"/>
      <c r="I1929" s="204"/>
      <c r="J1929" s="204"/>
      <c r="K1929" s="204"/>
      <c r="L1929" s="204"/>
      <c r="M1929" s="204"/>
      <c r="N1929" s="204"/>
      <c r="O1929" s="204"/>
      <c r="P1929" s="204"/>
      <c r="Q1929" s="204"/>
      <c r="R1929" s="204"/>
      <c r="S1929" s="204"/>
      <c r="T1929" s="204"/>
      <c r="U1929" s="204"/>
      <c r="V1929" s="204"/>
      <c r="W1929" s="204"/>
      <c r="X1929" s="204"/>
      <c r="Y1929" s="204"/>
      <c r="Z1929" s="204"/>
      <c r="AA1929" s="204"/>
      <c r="AB1929" s="204"/>
      <c r="AC1929" s="204"/>
      <c r="AD1929" s="204"/>
      <c r="AE1929" s="204"/>
      <c r="AF1929" s="204"/>
      <c r="AG1929" s="204"/>
      <c r="AH1929" s="204"/>
      <c r="AI1929" s="209"/>
      <c r="AJ1929" s="209"/>
      <c r="AK1929" s="204"/>
      <c r="AL1929" s="204"/>
      <c r="AM1929" s="204"/>
    </row>
    <row r="1930">
      <c r="A1930" s="204"/>
      <c r="B1930" s="209"/>
      <c r="C1930" s="204"/>
      <c r="D1930" s="210"/>
      <c r="E1930" s="211"/>
      <c r="F1930" s="211"/>
      <c r="G1930" s="212"/>
      <c r="H1930" s="212"/>
      <c r="I1930" s="204"/>
      <c r="J1930" s="204"/>
      <c r="K1930" s="204"/>
      <c r="L1930" s="204"/>
      <c r="M1930" s="204"/>
      <c r="N1930" s="204"/>
      <c r="O1930" s="204"/>
      <c r="P1930" s="204"/>
      <c r="Q1930" s="204"/>
      <c r="R1930" s="204"/>
      <c r="S1930" s="204"/>
      <c r="T1930" s="204"/>
      <c r="U1930" s="204"/>
      <c r="V1930" s="204"/>
      <c r="W1930" s="204"/>
      <c r="X1930" s="204"/>
      <c r="Y1930" s="204"/>
      <c r="Z1930" s="204"/>
      <c r="AA1930" s="204"/>
      <c r="AB1930" s="204"/>
      <c r="AC1930" s="204"/>
      <c r="AD1930" s="204"/>
      <c r="AE1930" s="204"/>
      <c r="AF1930" s="204"/>
      <c r="AG1930" s="204"/>
      <c r="AH1930" s="204"/>
      <c r="AI1930" s="209"/>
      <c r="AJ1930" s="209"/>
      <c r="AK1930" s="204"/>
      <c r="AL1930" s="204"/>
      <c r="AM1930" s="204"/>
    </row>
    <row r="1931">
      <c r="A1931" s="204"/>
      <c r="B1931" s="209"/>
      <c r="C1931" s="204"/>
      <c r="D1931" s="210"/>
      <c r="E1931" s="211"/>
      <c r="F1931" s="211"/>
      <c r="G1931" s="212"/>
      <c r="H1931" s="212"/>
      <c r="I1931" s="204"/>
      <c r="J1931" s="204"/>
      <c r="K1931" s="204"/>
      <c r="L1931" s="204"/>
      <c r="M1931" s="204"/>
      <c r="N1931" s="204"/>
      <c r="O1931" s="204"/>
      <c r="P1931" s="204"/>
      <c r="Q1931" s="204"/>
      <c r="R1931" s="204"/>
      <c r="S1931" s="204"/>
      <c r="T1931" s="204"/>
      <c r="U1931" s="204"/>
      <c r="V1931" s="204"/>
      <c r="W1931" s="204"/>
      <c r="X1931" s="204"/>
      <c r="Y1931" s="204"/>
      <c r="Z1931" s="204"/>
      <c r="AA1931" s="204"/>
      <c r="AB1931" s="204"/>
      <c r="AC1931" s="204"/>
      <c r="AD1931" s="204"/>
      <c r="AE1931" s="204"/>
      <c r="AF1931" s="204"/>
      <c r="AG1931" s="204"/>
      <c r="AH1931" s="204"/>
      <c r="AI1931" s="209"/>
      <c r="AJ1931" s="209"/>
      <c r="AK1931" s="204"/>
      <c r="AL1931" s="204"/>
      <c r="AM1931" s="204"/>
    </row>
    <row r="1932">
      <c r="A1932" s="204"/>
      <c r="B1932" s="209"/>
      <c r="C1932" s="204"/>
      <c r="D1932" s="210"/>
      <c r="E1932" s="211"/>
      <c r="F1932" s="211"/>
      <c r="G1932" s="212"/>
      <c r="H1932" s="212"/>
      <c r="I1932" s="204"/>
      <c r="J1932" s="204"/>
      <c r="K1932" s="204"/>
      <c r="L1932" s="204"/>
      <c r="M1932" s="204"/>
      <c r="N1932" s="204"/>
      <c r="O1932" s="204"/>
      <c r="P1932" s="204"/>
      <c r="Q1932" s="204"/>
      <c r="R1932" s="204"/>
      <c r="S1932" s="204"/>
      <c r="T1932" s="204"/>
      <c r="U1932" s="204"/>
      <c r="V1932" s="204"/>
      <c r="W1932" s="204"/>
      <c r="X1932" s="204"/>
      <c r="Y1932" s="204"/>
      <c r="Z1932" s="204"/>
      <c r="AA1932" s="204"/>
      <c r="AB1932" s="204"/>
      <c r="AC1932" s="204"/>
      <c r="AD1932" s="204"/>
      <c r="AE1932" s="204"/>
      <c r="AF1932" s="204"/>
      <c r="AG1932" s="204"/>
      <c r="AH1932" s="204"/>
      <c r="AI1932" s="209"/>
      <c r="AJ1932" s="209"/>
      <c r="AK1932" s="204"/>
      <c r="AL1932" s="204"/>
      <c r="AM1932" s="204"/>
    </row>
    <row r="1933">
      <c r="A1933" s="204"/>
      <c r="B1933" s="209"/>
      <c r="C1933" s="204"/>
      <c r="D1933" s="210"/>
      <c r="E1933" s="211"/>
      <c r="F1933" s="211"/>
      <c r="G1933" s="212"/>
      <c r="H1933" s="212"/>
      <c r="I1933" s="204"/>
      <c r="J1933" s="204"/>
      <c r="K1933" s="204"/>
      <c r="L1933" s="204"/>
      <c r="M1933" s="204"/>
      <c r="N1933" s="204"/>
      <c r="O1933" s="204"/>
      <c r="P1933" s="204"/>
      <c r="Q1933" s="204"/>
      <c r="R1933" s="204"/>
      <c r="S1933" s="204"/>
      <c r="T1933" s="204"/>
      <c r="U1933" s="204"/>
      <c r="V1933" s="204"/>
      <c r="W1933" s="204"/>
      <c r="X1933" s="204"/>
      <c r="Y1933" s="204"/>
      <c r="Z1933" s="204"/>
      <c r="AA1933" s="204"/>
      <c r="AB1933" s="204"/>
      <c r="AC1933" s="204"/>
      <c r="AD1933" s="204"/>
      <c r="AE1933" s="204"/>
      <c r="AF1933" s="204"/>
      <c r="AG1933" s="204"/>
      <c r="AH1933" s="204"/>
      <c r="AI1933" s="209"/>
      <c r="AJ1933" s="209"/>
      <c r="AK1933" s="204"/>
      <c r="AL1933" s="204"/>
      <c r="AM1933" s="204"/>
    </row>
    <row r="1934">
      <c r="A1934" s="204"/>
      <c r="B1934" s="209"/>
      <c r="C1934" s="204"/>
      <c r="D1934" s="210"/>
      <c r="E1934" s="211"/>
      <c r="F1934" s="211"/>
      <c r="G1934" s="212"/>
      <c r="H1934" s="212"/>
      <c r="I1934" s="204"/>
      <c r="J1934" s="204"/>
      <c r="K1934" s="204"/>
      <c r="L1934" s="204"/>
      <c r="M1934" s="204"/>
      <c r="N1934" s="204"/>
      <c r="O1934" s="204"/>
      <c r="P1934" s="204"/>
      <c r="Q1934" s="204"/>
      <c r="R1934" s="204"/>
      <c r="S1934" s="204"/>
      <c r="T1934" s="204"/>
      <c r="U1934" s="204"/>
      <c r="V1934" s="204"/>
      <c r="W1934" s="204"/>
      <c r="X1934" s="204"/>
      <c r="Y1934" s="204"/>
      <c r="Z1934" s="204"/>
      <c r="AA1934" s="204"/>
      <c r="AB1934" s="204"/>
      <c r="AC1934" s="204"/>
      <c r="AD1934" s="204"/>
      <c r="AE1934" s="204"/>
      <c r="AF1934" s="204"/>
      <c r="AG1934" s="204"/>
      <c r="AH1934" s="204"/>
      <c r="AI1934" s="209"/>
      <c r="AJ1934" s="209"/>
      <c r="AK1934" s="204"/>
      <c r="AL1934" s="204"/>
      <c r="AM1934" s="204"/>
    </row>
    <row r="1935">
      <c r="A1935" s="204"/>
      <c r="B1935" s="209"/>
      <c r="C1935" s="204"/>
      <c r="D1935" s="210"/>
      <c r="E1935" s="211"/>
      <c r="F1935" s="211"/>
      <c r="G1935" s="212"/>
      <c r="H1935" s="212"/>
      <c r="I1935" s="204"/>
      <c r="J1935" s="204"/>
      <c r="K1935" s="204"/>
      <c r="L1935" s="204"/>
      <c r="M1935" s="204"/>
      <c r="N1935" s="204"/>
      <c r="O1935" s="204"/>
      <c r="P1935" s="204"/>
      <c r="Q1935" s="204"/>
      <c r="R1935" s="204"/>
      <c r="S1935" s="204"/>
      <c r="T1935" s="204"/>
      <c r="U1935" s="204"/>
      <c r="V1935" s="204"/>
      <c r="W1935" s="204"/>
      <c r="X1935" s="204"/>
      <c r="Y1935" s="204"/>
      <c r="Z1935" s="204"/>
      <c r="AA1935" s="204"/>
      <c r="AB1935" s="204"/>
      <c r="AC1935" s="204"/>
      <c r="AD1935" s="204"/>
      <c r="AE1935" s="204"/>
      <c r="AF1935" s="204"/>
      <c r="AG1935" s="204"/>
      <c r="AH1935" s="204"/>
      <c r="AI1935" s="209"/>
      <c r="AJ1935" s="209"/>
      <c r="AK1935" s="204"/>
      <c r="AL1935" s="204"/>
      <c r="AM1935" s="204"/>
    </row>
    <row r="1936">
      <c r="A1936" s="204"/>
      <c r="B1936" s="209"/>
      <c r="C1936" s="204"/>
      <c r="D1936" s="210"/>
      <c r="E1936" s="211"/>
      <c r="F1936" s="211"/>
      <c r="G1936" s="212"/>
      <c r="H1936" s="212"/>
      <c r="I1936" s="204"/>
      <c r="J1936" s="204"/>
      <c r="K1936" s="204"/>
      <c r="L1936" s="204"/>
      <c r="M1936" s="204"/>
      <c r="N1936" s="204"/>
      <c r="O1936" s="204"/>
      <c r="P1936" s="204"/>
      <c r="Q1936" s="204"/>
      <c r="R1936" s="204"/>
      <c r="S1936" s="204"/>
      <c r="T1936" s="204"/>
      <c r="U1936" s="204"/>
      <c r="V1936" s="204"/>
      <c r="W1936" s="204"/>
      <c r="X1936" s="204"/>
      <c r="Y1936" s="204"/>
      <c r="Z1936" s="204"/>
      <c r="AA1936" s="204"/>
      <c r="AB1936" s="204"/>
      <c r="AC1936" s="204"/>
      <c r="AD1936" s="204"/>
      <c r="AE1936" s="204"/>
      <c r="AF1936" s="204"/>
      <c r="AG1936" s="204"/>
      <c r="AH1936" s="204"/>
      <c r="AI1936" s="209"/>
      <c r="AJ1936" s="209"/>
      <c r="AK1936" s="204"/>
      <c r="AL1936" s="204"/>
      <c r="AM1936" s="204"/>
    </row>
    <row r="1937">
      <c r="A1937" s="204"/>
      <c r="B1937" s="209"/>
      <c r="C1937" s="204"/>
      <c r="D1937" s="210"/>
      <c r="E1937" s="211"/>
      <c r="F1937" s="211"/>
      <c r="G1937" s="212"/>
      <c r="H1937" s="212"/>
      <c r="I1937" s="204"/>
      <c r="J1937" s="204"/>
      <c r="K1937" s="204"/>
      <c r="L1937" s="204"/>
      <c r="M1937" s="204"/>
      <c r="N1937" s="204"/>
      <c r="O1937" s="204"/>
      <c r="P1937" s="204"/>
      <c r="Q1937" s="204"/>
      <c r="R1937" s="204"/>
      <c r="S1937" s="204"/>
      <c r="T1937" s="204"/>
      <c r="U1937" s="204"/>
      <c r="V1937" s="204"/>
      <c r="W1937" s="204"/>
      <c r="X1937" s="204"/>
      <c r="Y1937" s="204"/>
      <c r="Z1937" s="204"/>
      <c r="AA1937" s="204"/>
      <c r="AB1937" s="204"/>
      <c r="AC1937" s="204"/>
      <c r="AD1937" s="204"/>
      <c r="AE1937" s="204"/>
      <c r="AF1937" s="204"/>
      <c r="AG1937" s="204"/>
      <c r="AH1937" s="204"/>
      <c r="AI1937" s="209"/>
      <c r="AJ1937" s="209"/>
      <c r="AK1937" s="204"/>
      <c r="AL1937" s="204"/>
      <c r="AM1937" s="204"/>
    </row>
    <row r="1938">
      <c r="A1938" s="204"/>
      <c r="B1938" s="209"/>
      <c r="C1938" s="204"/>
      <c r="D1938" s="210"/>
      <c r="E1938" s="211"/>
      <c r="F1938" s="211"/>
      <c r="G1938" s="212"/>
      <c r="H1938" s="212"/>
      <c r="I1938" s="204"/>
      <c r="J1938" s="204"/>
      <c r="K1938" s="204"/>
      <c r="L1938" s="204"/>
      <c r="M1938" s="204"/>
      <c r="N1938" s="204"/>
      <c r="O1938" s="204"/>
      <c r="P1938" s="204"/>
      <c r="Q1938" s="204"/>
      <c r="R1938" s="204"/>
      <c r="S1938" s="204"/>
      <c r="T1938" s="204"/>
      <c r="U1938" s="204"/>
      <c r="V1938" s="204"/>
      <c r="W1938" s="204"/>
      <c r="X1938" s="204"/>
      <c r="Y1938" s="204"/>
      <c r="Z1938" s="204"/>
      <c r="AA1938" s="204"/>
      <c r="AB1938" s="204"/>
      <c r="AC1938" s="204"/>
      <c r="AD1938" s="204"/>
      <c r="AE1938" s="204"/>
      <c r="AF1938" s="204"/>
      <c r="AG1938" s="204"/>
      <c r="AH1938" s="204"/>
      <c r="AI1938" s="209"/>
      <c r="AJ1938" s="209"/>
      <c r="AK1938" s="204"/>
      <c r="AL1938" s="204"/>
      <c r="AM1938" s="204"/>
    </row>
    <row r="1939">
      <c r="A1939" s="204"/>
      <c r="B1939" s="209"/>
      <c r="C1939" s="204"/>
      <c r="D1939" s="210"/>
      <c r="E1939" s="211"/>
      <c r="F1939" s="211"/>
      <c r="G1939" s="212"/>
      <c r="H1939" s="212"/>
      <c r="I1939" s="204"/>
      <c r="J1939" s="204"/>
      <c r="K1939" s="204"/>
      <c r="L1939" s="204"/>
      <c r="M1939" s="204"/>
      <c r="N1939" s="204"/>
      <c r="O1939" s="204"/>
      <c r="P1939" s="204"/>
      <c r="Q1939" s="204"/>
      <c r="R1939" s="204"/>
      <c r="S1939" s="204"/>
      <c r="T1939" s="204"/>
      <c r="U1939" s="204"/>
      <c r="V1939" s="204"/>
      <c r="W1939" s="204"/>
      <c r="X1939" s="204"/>
      <c r="Y1939" s="204"/>
      <c r="Z1939" s="204"/>
      <c r="AA1939" s="204"/>
      <c r="AB1939" s="204"/>
      <c r="AC1939" s="204"/>
      <c r="AD1939" s="204"/>
      <c r="AE1939" s="204"/>
      <c r="AF1939" s="204"/>
      <c r="AG1939" s="204"/>
      <c r="AH1939" s="204"/>
      <c r="AI1939" s="209"/>
      <c r="AJ1939" s="209"/>
      <c r="AK1939" s="204"/>
      <c r="AL1939" s="204"/>
      <c r="AM1939" s="204"/>
    </row>
    <row r="1940">
      <c r="A1940" s="204"/>
      <c r="B1940" s="209"/>
      <c r="C1940" s="204"/>
      <c r="D1940" s="210"/>
      <c r="E1940" s="211"/>
      <c r="F1940" s="211"/>
      <c r="G1940" s="212"/>
      <c r="H1940" s="212"/>
      <c r="I1940" s="204"/>
      <c r="J1940" s="204"/>
      <c r="K1940" s="204"/>
      <c r="L1940" s="204"/>
      <c r="M1940" s="204"/>
      <c r="N1940" s="204"/>
      <c r="O1940" s="204"/>
      <c r="P1940" s="204"/>
      <c r="Q1940" s="204"/>
      <c r="R1940" s="204"/>
      <c r="S1940" s="204"/>
      <c r="T1940" s="204"/>
      <c r="U1940" s="204"/>
      <c r="V1940" s="204"/>
      <c r="W1940" s="204"/>
      <c r="X1940" s="204"/>
      <c r="Y1940" s="204"/>
      <c r="Z1940" s="204"/>
      <c r="AA1940" s="204"/>
      <c r="AB1940" s="204"/>
      <c r="AC1940" s="204"/>
      <c r="AD1940" s="204"/>
      <c r="AE1940" s="204"/>
      <c r="AF1940" s="204"/>
      <c r="AG1940" s="204"/>
      <c r="AH1940" s="204"/>
      <c r="AI1940" s="209"/>
      <c r="AJ1940" s="209"/>
      <c r="AK1940" s="204"/>
      <c r="AL1940" s="204"/>
      <c r="AM1940" s="204"/>
    </row>
    <row r="1941">
      <c r="A1941" s="204"/>
      <c r="B1941" s="209"/>
      <c r="C1941" s="204"/>
      <c r="D1941" s="210"/>
      <c r="E1941" s="211"/>
      <c r="F1941" s="211"/>
      <c r="G1941" s="212"/>
      <c r="H1941" s="212"/>
      <c r="I1941" s="204"/>
      <c r="J1941" s="204"/>
      <c r="K1941" s="204"/>
      <c r="L1941" s="204"/>
      <c r="M1941" s="204"/>
      <c r="N1941" s="204"/>
      <c r="O1941" s="204"/>
      <c r="P1941" s="204"/>
      <c r="Q1941" s="204"/>
      <c r="R1941" s="204"/>
      <c r="S1941" s="204"/>
      <c r="T1941" s="204"/>
      <c r="U1941" s="204"/>
      <c r="V1941" s="204"/>
      <c r="W1941" s="204"/>
      <c r="X1941" s="204"/>
      <c r="Y1941" s="204"/>
      <c r="Z1941" s="204"/>
      <c r="AA1941" s="204"/>
      <c r="AB1941" s="204"/>
      <c r="AC1941" s="204"/>
      <c r="AD1941" s="204"/>
      <c r="AE1941" s="204"/>
      <c r="AF1941" s="204"/>
      <c r="AG1941" s="204"/>
      <c r="AH1941" s="204"/>
      <c r="AI1941" s="209"/>
      <c r="AJ1941" s="209"/>
      <c r="AK1941" s="204"/>
      <c r="AL1941" s="204"/>
      <c r="AM1941" s="204"/>
    </row>
    <row r="1942">
      <c r="A1942" s="204"/>
      <c r="B1942" s="209"/>
      <c r="C1942" s="204"/>
      <c r="D1942" s="210"/>
      <c r="E1942" s="211"/>
      <c r="F1942" s="211"/>
      <c r="G1942" s="212"/>
      <c r="H1942" s="212"/>
      <c r="I1942" s="204"/>
      <c r="J1942" s="204"/>
      <c r="K1942" s="204"/>
      <c r="L1942" s="204"/>
      <c r="M1942" s="204"/>
      <c r="N1942" s="204"/>
      <c r="O1942" s="204"/>
      <c r="P1942" s="204"/>
      <c r="Q1942" s="204"/>
      <c r="R1942" s="204"/>
      <c r="S1942" s="204"/>
      <c r="T1942" s="204"/>
      <c r="U1942" s="204"/>
      <c r="V1942" s="204"/>
      <c r="W1942" s="204"/>
      <c r="X1942" s="204"/>
      <c r="Y1942" s="204"/>
      <c r="Z1942" s="204"/>
      <c r="AA1942" s="204"/>
      <c r="AB1942" s="204"/>
      <c r="AC1942" s="204"/>
      <c r="AD1942" s="204"/>
      <c r="AE1942" s="204"/>
      <c r="AF1942" s="204"/>
      <c r="AG1942" s="204"/>
      <c r="AH1942" s="204"/>
      <c r="AI1942" s="209"/>
      <c r="AJ1942" s="209"/>
      <c r="AK1942" s="204"/>
      <c r="AL1942" s="204"/>
      <c r="AM1942" s="204"/>
    </row>
    <row r="1943">
      <c r="A1943" s="204"/>
      <c r="B1943" s="209"/>
      <c r="C1943" s="204"/>
      <c r="D1943" s="210"/>
      <c r="E1943" s="211"/>
      <c r="F1943" s="211"/>
      <c r="G1943" s="212"/>
      <c r="H1943" s="212"/>
      <c r="I1943" s="204"/>
      <c r="J1943" s="204"/>
      <c r="K1943" s="204"/>
      <c r="L1943" s="204"/>
      <c r="M1943" s="204"/>
      <c r="N1943" s="204"/>
      <c r="O1943" s="204"/>
      <c r="P1943" s="204"/>
      <c r="Q1943" s="204"/>
      <c r="R1943" s="204"/>
      <c r="S1943" s="204"/>
      <c r="T1943" s="204"/>
      <c r="U1943" s="204"/>
      <c r="V1943" s="204"/>
      <c r="W1943" s="204"/>
      <c r="X1943" s="204"/>
      <c r="Y1943" s="204"/>
      <c r="Z1943" s="204"/>
      <c r="AA1943" s="204"/>
      <c r="AB1943" s="204"/>
      <c r="AC1943" s="204"/>
      <c r="AD1943" s="204"/>
      <c r="AE1943" s="204"/>
      <c r="AF1943" s="204"/>
      <c r="AG1943" s="204"/>
      <c r="AH1943" s="204"/>
      <c r="AI1943" s="209"/>
      <c r="AJ1943" s="209"/>
      <c r="AK1943" s="204"/>
      <c r="AL1943" s="204"/>
      <c r="AM1943" s="204"/>
    </row>
    <row r="1944">
      <c r="A1944" s="204"/>
      <c r="B1944" s="209"/>
      <c r="C1944" s="204"/>
      <c r="D1944" s="210"/>
      <c r="E1944" s="211"/>
      <c r="F1944" s="211"/>
      <c r="G1944" s="212"/>
      <c r="H1944" s="212"/>
      <c r="I1944" s="204"/>
      <c r="J1944" s="204"/>
      <c r="K1944" s="204"/>
      <c r="L1944" s="204"/>
      <c r="M1944" s="204"/>
      <c r="N1944" s="204"/>
      <c r="O1944" s="204"/>
      <c r="P1944" s="204"/>
      <c r="Q1944" s="204"/>
      <c r="R1944" s="204"/>
      <c r="S1944" s="204"/>
      <c r="T1944" s="204"/>
      <c r="U1944" s="204"/>
      <c r="V1944" s="204"/>
      <c r="W1944" s="204"/>
      <c r="X1944" s="204"/>
      <c r="Y1944" s="204"/>
      <c r="Z1944" s="204"/>
      <c r="AA1944" s="204"/>
      <c r="AB1944" s="204"/>
      <c r="AC1944" s="204"/>
      <c r="AD1944" s="204"/>
      <c r="AE1944" s="204"/>
      <c r="AF1944" s="204"/>
      <c r="AG1944" s="204"/>
      <c r="AH1944" s="204"/>
      <c r="AI1944" s="209"/>
      <c r="AJ1944" s="209"/>
      <c r="AK1944" s="204"/>
      <c r="AL1944" s="204"/>
      <c r="AM1944" s="204"/>
    </row>
    <row r="1945">
      <c r="A1945" s="204"/>
      <c r="B1945" s="209"/>
      <c r="C1945" s="204"/>
      <c r="D1945" s="210"/>
      <c r="E1945" s="211"/>
      <c r="F1945" s="211"/>
      <c r="G1945" s="212"/>
      <c r="H1945" s="212"/>
      <c r="I1945" s="204"/>
      <c r="J1945" s="204"/>
      <c r="K1945" s="204"/>
      <c r="L1945" s="204"/>
      <c r="M1945" s="204"/>
      <c r="N1945" s="204"/>
      <c r="O1945" s="204"/>
      <c r="P1945" s="204"/>
      <c r="Q1945" s="204"/>
      <c r="R1945" s="204"/>
      <c r="S1945" s="204"/>
      <c r="T1945" s="204"/>
      <c r="U1945" s="204"/>
      <c r="V1945" s="204"/>
      <c r="W1945" s="204"/>
      <c r="X1945" s="204"/>
      <c r="Y1945" s="204"/>
      <c r="Z1945" s="204"/>
      <c r="AA1945" s="204"/>
      <c r="AB1945" s="204"/>
      <c r="AC1945" s="204"/>
      <c r="AD1945" s="204"/>
      <c r="AE1945" s="204"/>
      <c r="AF1945" s="204"/>
      <c r="AG1945" s="204"/>
      <c r="AH1945" s="204"/>
      <c r="AI1945" s="209"/>
      <c r="AJ1945" s="209"/>
      <c r="AK1945" s="204"/>
      <c r="AL1945" s="204"/>
      <c r="AM1945" s="204"/>
    </row>
    <row r="1946">
      <c r="A1946" s="204"/>
      <c r="B1946" s="209"/>
      <c r="C1946" s="204"/>
      <c r="D1946" s="210"/>
      <c r="E1946" s="211"/>
      <c r="F1946" s="211"/>
      <c r="G1946" s="212"/>
      <c r="H1946" s="212"/>
      <c r="I1946" s="204"/>
      <c r="J1946" s="204"/>
      <c r="K1946" s="204"/>
      <c r="L1946" s="204"/>
      <c r="M1946" s="204"/>
      <c r="N1946" s="204"/>
      <c r="O1946" s="204"/>
      <c r="P1946" s="204"/>
      <c r="Q1946" s="204"/>
      <c r="R1946" s="204"/>
      <c r="S1946" s="204"/>
      <c r="T1946" s="204"/>
      <c r="U1946" s="204"/>
      <c r="V1946" s="204"/>
      <c r="W1946" s="204"/>
      <c r="X1946" s="204"/>
      <c r="Y1946" s="204"/>
      <c r="Z1946" s="204"/>
      <c r="AA1946" s="204"/>
      <c r="AB1946" s="204"/>
      <c r="AC1946" s="204"/>
      <c r="AD1946" s="204"/>
      <c r="AE1946" s="204"/>
      <c r="AF1946" s="204"/>
      <c r="AG1946" s="204"/>
      <c r="AH1946" s="204"/>
      <c r="AI1946" s="209"/>
      <c r="AJ1946" s="209"/>
      <c r="AK1946" s="204"/>
      <c r="AL1946" s="204"/>
      <c r="AM1946" s="204"/>
    </row>
    <row r="1947">
      <c r="A1947" s="204"/>
      <c r="B1947" s="209"/>
      <c r="C1947" s="204"/>
      <c r="D1947" s="210"/>
      <c r="E1947" s="211"/>
      <c r="F1947" s="211"/>
      <c r="G1947" s="212"/>
      <c r="H1947" s="212"/>
      <c r="I1947" s="204"/>
      <c r="J1947" s="204"/>
      <c r="K1947" s="204"/>
      <c r="L1947" s="204"/>
      <c r="M1947" s="204"/>
      <c r="N1947" s="204"/>
      <c r="O1947" s="204"/>
      <c r="P1947" s="204"/>
      <c r="Q1947" s="204"/>
      <c r="R1947" s="204"/>
      <c r="S1947" s="204"/>
      <c r="T1947" s="204"/>
      <c r="U1947" s="204"/>
      <c r="V1947" s="204"/>
      <c r="W1947" s="204"/>
      <c r="X1947" s="204"/>
      <c r="Y1947" s="204"/>
      <c r="Z1947" s="204"/>
      <c r="AA1947" s="204"/>
      <c r="AB1947" s="204"/>
      <c r="AC1947" s="204"/>
      <c r="AD1947" s="204"/>
      <c r="AE1947" s="204"/>
      <c r="AF1947" s="204"/>
      <c r="AG1947" s="204"/>
      <c r="AH1947" s="204"/>
      <c r="AI1947" s="209"/>
      <c r="AJ1947" s="209"/>
      <c r="AK1947" s="204"/>
      <c r="AL1947" s="204"/>
      <c r="AM1947" s="204"/>
    </row>
    <row r="1948">
      <c r="A1948" s="204"/>
      <c r="B1948" s="209"/>
      <c r="C1948" s="204"/>
      <c r="D1948" s="210"/>
      <c r="E1948" s="211"/>
      <c r="F1948" s="211"/>
      <c r="G1948" s="212"/>
      <c r="H1948" s="212"/>
      <c r="I1948" s="204"/>
      <c r="J1948" s="204"/>
      <c r="K1948" s="204"/>
      <c r="L1948" s="204"/>
      <c r="M1948" s="204"/>
      <c r="N1948" s="204"/>
      <c r="O1948" s="204"/>
      <c r="P1948" s="204"/>
      <c r="Q1948" s="204"/>
      <c r="R1948" s="204"/>
      <c r="S1948" s="204"/>
      <c r="T1948" s="204"/>
      <c r="U1948" s="204"/>
      <c r="V1948" s="204"/>
      <c r="W1948" s="204"/>
      <c r="X1948" s="204"/>
      <c r="Y1948" s="204"/>
      <c r="Z1948" s="204"/>
      <c r="AA1948" s="204"/>
      <c r="AB1948" s="204"/>
      <c r="AC1948" s="204"/>
      <c r="AD1948" s="204"/>
      <c r="AE1948" s="204"/>
      <c r="AF1948" s="204"/>
      <c r="AG1948" s="204"/>
      <c r="AH1948" s="204"/>
      <c r="AI1948" s="209"/>
      <c r="AJ1948" s="209"/>
      <c r="AK1948" s="204"/>
      <c r="AL1948" s="204"/>
      <c r="AM1948" s="204"/>
    </row>
    <row r="1949">
      <c r="A1949" s="204"/>
      <c r="B1949" s="209"/>
      <c r="C1949" s="204"/>
      <c r="D1949" s="210"/>
      <c r="E1949" s="211"/>
      <c r="F1949" s="211"/>
      <c r="G1949" s="212"/>
      <c r="H1949" s="212"/>
      <c r="I1949" s="204"/>
      <c r="J1949" s="204"/>
      <c r="K1949" s="204"/>
      <c r="L1949" s="204"/>
      <c r="M1949" s="204"/>
      <c r="N1949" s="204"/>
      <c r="O1949" s="204"/>
      <c r="P1949" s="204"/>
      <c r="Q1949" s="204"/>
      <c r="R1949" s="204"/>
      <c r="S1949" s="204"/>
      <c r="T1949" s="204"/>
      <c r="U1949" s="204"/>
      <c r="V1949" s="204"/>
      <c r="W1949" s="204"/>
      <c r="X1949" s="204"/>
      <c r="Y1949" s="204"/>
      <c r="Z1949" s="204"/>
      <c r="AA1949" s="204"/>
      <c r="AB1949" s="204"/>
      <c r="AC1949" s="204"/>
      <c r="AD1949" s="204"/>
      <c r="AE1949" s="204"/>
      <c r="AF1949" s="204"/>
      <c r="AG1949" s="204"/>
      <c r="AH1949" s="204"/>
      <c r="AI1949" s="209"/>
      <c r="AJ1949" s="209"/>
      <c r="AK1949" s="204"/>
      <c r="AL1949" s="204"/>
      <c r="AM1949" s="204"/>
    </row>
    <row r="1950">
      <c r="A1950" s="204"/>
      <c r="B1950" s="209"/>
      <c r="C1950" s="204"/>
      <c r="D1950" s="210"/>
      <c r="E1950" s="211"/>
      <c r="F1950" s="211"/>
      <c r="G1950" s="212"/>
      <c r="H1950" s="212"/>
      <c r="I1950" s="204"/>
      <c r="J1950" s="204"/>
      <c r="K1950" s="204"/>
      <c r="L1950" s="204"/>
      <c r="M1950" s="204"/>
      <c r="N1950" s="204"/>
      <c r="O1950" s="204"/>
      <c r="P1950" s="204"/>
      <c r="Q1950" s="204"/>
      <c r="R1950" s="204"/>
      <c r="S1950" s="204"/>
      <c r="T1950" s="204"/>
      <c r="U1950" s="204"/>
      <c r="V1950" s="204"/>
      <c r="W1950" s="204"/>
      <c r="X1950" s="204"/>
      <c r="Y1950" s="204"/>
      <c r="Z1950" s="204"/>
      <c r="AA1950" s="204"/>
      <c r="AB1950" s="204"/>
      <c r="AC1950" s="204"/>
      <c r="AD1950" s="204"/>
      <c r="AE1950" s="204"/>
      <c r="AF1950" s="204"/>
      <c r="AG1950" s="204"/>
      <c r="AH1950" s="204"/>
      <c r="AI1950" s="209"/>
      <c r="AJ1950" s="209"/>
      <c r="AK1950" s="204"/>
      <c r="AL1950" s="204"/>
      <c r="AM1950" s="204"/>
    </row>
    <row r="1951">
      <c r="A1951" s="204"/>
      <c r="B1951" s="209"/>
      <c r="C1951" s="204"/>
      <c r="D1951" s="210"/>
      <c r="E1951" s="211"/>
      <c r="F1951" s="211"/>
      <c r="G1951" s="212"/>
      <c r="H1951" s="212"/>
      <c r="I1951" s="204"/>
      <c r="J1951" s="204"/>
      <c r="K1951" s="204"/>
      <c r="L1951" s="204"/>
      <c r="M1951" s="204"/>
      <c r="N1951" s="204"/>
      <c r="O1951" s="204"/>
      <c r="P1951" s="204"/>
      <c r="Q1951" s="204"/>
      <c r="R1951" s="204"/>
      <c r="S1951" s="204"/>
      <c r="T1951" s="204"/>
      <c r="U1951" s="204"/>
      <c r="V1951" s="204"/>
      <c r="W1951" s="204"/>
      <c r="X1951" s="204"/>
      <c r="Y1951" s="204"/>
      <c r="Z1951" s="204"/>
      <c r="AA1951" s="204"/>
      <c r="AB1951" s="204"/>
      <c r="AC1951" s="204"/>
      <c r="AD1951" s="204"/>
      <c r="AE1951" s="204"/>
      <c r="AF1951" s="204"/>
      <c r="AG1951" s="204"/>
      <c r="AH1951" s="204"/>
      <c r="AI1951" s="209"/>
      <c r="AJ1951" s="209"/>
      <c r="AK1951" s="204"/>
      <c r="AL1951" s="204"/>
      <c r="AM1951" s="204"/>
    </row>
    <row r="1952">
      <c r="A1952" s="204"/>
      <c r="B1952" s="209"/>
      <c r="C1952" s="204"/>
      <c r="D1952" s="210"/>
      <c r="E1952" s="211"/>
      <c r="F1952" s="211"/>
      <c r="G1952" s="212"/>
      <c r="H1952" s="212"/>
      <c r="I1952" s="204"/>
      <c r="J1952" s="204"/>
      <c r="K1952" s="204"/>
      <c r="L1952" s="204"/>
      <c r="M1952" s="204"/>
      <c r="N1952" s="204"/>
      <c r="O1952" s="204"/>
      <c r="P1952" s="204"/>
      <c r="Q1952" s="204"/>
      <c r="R1952" s="204"/>
      <c r="S1952" s="204"/>
      <c r="T1952" s="204"/>
      <c r="U1952" s="204"/>
      <c r="V1952" s="204"/>
      <c r="W1952" s="204"/>
      <c r="X1952" s="204"/>
      <c r="Y1952" s="204"/>
      <c r="Z1952" s="204"/>
      <c r="AA1952" s="204"/>
      <c r="AB1952" s="204"/>
      <c r="AC1952" s="204"/>
      <c r="AD1952" s="204"/>
      <c r="AE1952" s="204"/>
      <c r="AF1952" s="204"/>
      <c r="AG1952" s="204"/>
      <c r="AH1952" s="204"/>
      <c r="AI1952" s="209"/>
      <c r="AJ1952" s="209"/>
      <c r="AK1952" s="204"/>
      <c r="AL1952" s="204"/>
      <c r="AM1952" s="204"/>
    </row>
    <row r="1953">
      <c r="A1953" s="204"/>
      <c r="B1953" s="209"/>
      <c r="C1953" s="204"/>
      <c r="D1953" s="210"/>
      <c r="E1953" s="211"/>
      <c r="F1953" s="211"/>
      <c r="G1953" s="212"/>
      <c r="H1953" s="212"/>
      <c r="I1953" s="204"/>
      <c r="J1953" s="204"/>
      <c r="K1953" s="204"/>
      <c r="L1953" s="204"/>
      <c r="M1953" s="204"/>
      <c r="N1953" s="204"/>
      <c r="O1953" s="204"/>
      <c r="P1953" s="204"/>
      <c r="Q1953" s="204"/>
      <c r="R1953" s="204"/>
      <c r="S1953" s="204"/>
      <c r="T1953" s="204"/>
      <c r="U1953" s="204"/>
      <c r="V1953" s="204"/>
      <c r="W1953" s="204"/>
      <c r="X1953" s="204"/>
      <c r="Y1953" s="204"/>
      <c r="Z1953" s="204"/>
      <c r="AA1953" s="204"/>
      <c r="AB1953" s="204"/>
      <c r="AC1953" s="204"/>
      <c r="AD1953" s="204"/>
      <c r="AE1953" s="204"/>
      <c r="AF1953" s="204"/>
      <c r="AG1953" s="204"/>
      <c r="AH1953" s="204"/>
      <c r="AI1953" s="209"/>
      <c r="AJ1953" s="209"/>
      <c r="AK1953" s="204"/>
      <c r="AL1953" s="204"/>
      <c r="AM1953" s="204"/>
    </row>
    <row r="1954">
      <c r="A1954" s="204"/>
      <c r="B1954" s="209"/>
      <c r="C1954" s="204"/>
      <c r="D1954" s="210"/>
      <c r="E1954" s="211"/>
      <c r="F1954" s="211"/>
      <c r="G1954" s="212"/>
      <c r="H1954" s="212"/>
      <c r="I1954" s="204"/>
      <c r="J1954" s="204"/>
      <c r="K1954" s="204"/>
      <c r="L1954" s="204"/>
      <c r="M1954" s="204"/>
      <c r="N1954" s="204"/>
      <c r="O1954" s="204"/>
      <c r="P1954" s="204"/>
      <c r="Q1954" s="204"/>
      <c r="R1954" s="204"/>
      <c r="S1954" s="204"/>
      <c r="T1954" s="204"/>
      <c r="U1954" s="204"/>
      <c r="V1954" s="204"/>
      <c r="W1954" s="204"/>
      <c r="X1954" s="204"/>
      <c r="Y1954" s="204"/>
      <c r="Z1954" s="204"/>
      <c r="AA1954" s="204"/>
      <c r="AB1954" s="204"/>
      <c r="AC1954" s="204"/>
      <c r="AD1954" s="204"/>
      <c r="AE1954" s="204"/>
      <c r="AF1954" s="204"/>
      <c r="AG1954" s="204"/>
      <c r="AH1954" s="204"/>
      <c r="AI1954" s="209"/>
      <c r="AJ1954" s="209"/>
      <c r="AK1954" s="204"/>
      <c r="AL1954" s="204"/>
      <c r="AM1954" s="204"/>
    </row>
    <row r="1955">
      <c r="A1955" s="204"/>
      <c r="B1955" s="209"/>
      <c r="C1955" s="204"/>
      <c r="D1955" s="210"/>
      <c r="E1955" s="211"/>
      <c r="F1955" s="211"/>
      <c r="G1955" s="212"/>
      <c r="H1955" s="212"/>
      <c r="I1955" s="204"/>
      <c r="J1955" s="204"/>
      <c r="K1955" s="204"/>
      <c r="L1955" s="204"/>
      <c r="M1955" s="204"/>
      <c r="N1955" s="204"/>
      <c r="O1955" s="204"/>
      <c r="P1955" s="204"/>
      <c r="Q1955" s="204"/>
      <c r="R1955" s="204"/>
      <c r="S1955" s="204"/>
      <c r="T1955" s="204"/>
      <c r="U1955" s="204"/>
      <c r="V1955" s="204"/>
      <c r="W1955" s="204"/>
      <c r="X1955" s="204"/>
      <c r="Y1955" s="204"/>
      <c r="Z1955" s="204"/>
      <c r="AA1955" s="204"/>
      <c r="AB1955" s="204"/>
      <c r="AC1955" s="204"/>
      <c r="AD1955" s="204"/>
      <c r="AE1955" s="204"/>
      <c r="AF1955" s="204"/>
      <c r="AG1955" s="204"/>
      <c r="AH1955" s="204"/>
      <c r="AI1955" s="209"/>
      <c r="AJ1955" s="209"/>
      <c r="AK1955" s="204"/>
      <c r="AL1955" s="204"/>
      <c r="AM1955" s="204"/>
    </row>
    <row r="1956">
      <c r="A1956" s="204"/>
      <c r="B1956" s="209"/>
      <c r="C1956" s="204"/>
      <c r="D1956" s="210"/>
      <c r="E1956" s="211"/>
      <c r="F1956" s="211"/>
      <c r="G1956" s="212"/>
      <c r="H1956" s="212"/>
      <c r="I1956" s="204"/>
      <c r="J1956" s="204"/>
      <c r="K1956" s="204"/>
      <c r="L1956" s="204"/>
      <c r="M1956" s="204"/>
      <c r="N1956" s="204"/>
      <c r="O1956" s="204"/>
      <c r="P1956" s="204"/>
      <c r="Q1956" s="204"/>
      <c r="R1956" s="204"/>
      <c r="S1956" s="204"/>
      <c r="T1956" s="204"/>
      <c r="U1956" s="204"/>
      <c r="V1956" s="204"/>
      <c r="W1956" s="204"/>
      <c r="X1956" s="204"/>
      <c r="Y1956" s="204"/>
      <c r="Z1956" s="204"/>
      <c r="AA1956" s="204"/>
      <c r="AB1956" s="204"/>
      <c r="AC1956" s="204"/>
      <c r="AD1956" s="204"/>
      <c r="AE1956" s="204"/>
      <c r="AF1956" s="204"/>
      <c r="AG1956" s="204"/>
      <c r="AH1956" s="204"/>
      <c r="AI1956" s="209"/>
      <c r="AJ1956" s="209"/>
      <c r="AK1956" s="204"/>
      <c r="AL1956" s="204"/>
      <c r="AM1956" s="204"/>
    </row>
    <row r="1957">
      <c r="A1957" s="204"/>
      <c r="B1957" s="209"/>
      <c r="C1957" s="204"/>
      <c r="D1957" s="210"/>
      <c r="E1957" s="211"/>
      <c r="F1957" s="211"/>
      <c r="G1957" s="212"/>
      <c r="H1957" s="212"/>
      <c r="I1957" s="204"/>
      <c r="J1957" s="204"/>
      <c r="K1957" s="204"/>
      <c r="L1957" s="204"/>
      <c r="M1957" s="204"/>
      <c r="N1957" s="204"/>
      <c r="O1957" s="204"/>
      <c r="P1957" s="204"/>
      <c r="Q1957" s="204"/>
      <c r="R1957" s="204"/>
      <c r="S1957" s="204"/>
      <c r="T1957" s="204"/>
      <c r="U1957" s="204"/>
      <c r="V1957" s="204"/>
      <c r="W1957" s="204"/>
      <c r="X1957" s="204"/>
      <c r="Y1957" s="204"/>
      <c r="Z1957" s="204"/>
      <c r="AA1957" s="204"/>
      <c r="AB1957" s="204"/>
      <c r="AC1957" s="204"/>
      <c r="AD1957" s="204"/>
      <c r="AE1957" s="204"/>
      <c r="AF1957" s="204"/>
      <c r="AG1957" s="204"/>
      <c r="AH1957" s="204"/>
      <c r="AI1957" s="209"/>
      <c r="AJ1957" s="209"/>
      <c r="AK1957" s="204"/>
      <c r="AL1957" s="204"/>
      <c r="AM1957" s="204"/>
    </row>
    <row r="1958">
      <c r="A1958" s="204"/>
      <c r="B1958" s="209"/>
      <c r="C1958" s="204"/>
      <c r="D1958" s="210"/>
      <c r="E1958" s="211"/>
      <c r="F1958" s="211"/>
      <c r="G1958" s="212"/>
      <c r="H1958" s="212"/>
      <c r="I1958" s="204"/>
      <c r="J1958" s="204"/>
      <c r="K1958" s="204"/>
      <c r="L1958" s="204"/>
      <c r="M1958" s="204"/>
      <c r="N1958" s="204"/>
      <c r="O1958" s="204"/>
      <c r="P1958" s="204"/>
      <c r="Q1958" s="204"/>
      <c r="R1958" s="204"/>
      <c r="S1958" s="204"/>
      <c r="T1958" s="204"/>
      <c r="U1958" s="204"/>
      <c r="V1958" s="204"/>
      <c r="W1958" s="204"/>
      <c r="X1958" s="204"/>
      <c r="Y1958" s="204"/>
      <c r="Z1958" s="204"/>
      <c r="AA1958" s="204"/>
      <c r="AB1958" s="204"/>
      <c r="AC1958" s="204"/>
      <c r="AD1958" s="204"/>
      <c r="AE1958" s="204"/>
      <c r="AF1958" s="204"/>
      <c r="AG1958" s="204"/>
      <c r="AH1958" s="204"/>
      <c r="AI1958" s="209"/>
      <c r="AJ1958" s="209"/>
      <c r="AK1958" s="204"/>
      <c r="AL1958" s="204"/>
      <c r="AM1958" s="204"/>
    </row>
    <row r="1959">
      <c r="A1959" s="204"/>
      <c r="B1959" s="209"/>
      <c r="C1959" s="204"/>
      <c r="D1959" s="210"/>
      <c r="E1959" s="211"/>
      <c r="F1959" s="211"/>
      <c r="G1959" s="212"/>
      <c r="H1959" s="212"/>
      <c r="I1959" s="204"/>
      <c r="J1959" s="204"/>
      <c r="K1959" s="204"/>
      <c r="L1959" s="204"/>
      <c r="M1959" s="204"/>
      <c r="N1959" s="204"/>
      <c r="O1959" s="204"/>
      <c r="P1959" s="204"/>
      <c r="Q1959" s="204"/>
      <c r="R1959" s="204"/>
      <c r="S1959" s="204"/>
      <c r="T1959" s="204"/>
      <c r="U1959" s="204"/>
      <c r="V1959" s="204"/>
      <c r="W1959" s="204"/>
      <c r="X1959" s="204"/>
      <c r="Y1959" s="204"/>
      <c r="Z1959" s="204"/>
      <c r="AA1959" s="204"/>
      <c r="AB1959" s="204"/>
      <c r="AC1959" s="204"/>
      <c r="AD1959" s="204"/>
      <c r="AE1959" s="204"/>
      <c r="AF1959" s="204"/>
      <c r="AG1959" s="204"/>
      <c r="AH1959" s="204"/>
      <c r="AI1959" s="209"/>
      <c r="AJ1959" s="209"/>
      <c r="AK1959" s="204"/>
      <c r="AL1959" s="204"/>
      <c r="AM1959" s="204"/>
    </row>
    <row r="1960">
      <c r="A1960" s="204"/>
      <c r="B1960" s="209"/>
      <c r="C1960" s="204"/>
      <c r="D1960" s="210"/>
      <c r="E1960" s="211"/>
      <c r="F1960" s="211"/>
      <c r="G1960" s="212"/>
      <c r="H1960" s="212"/>
      <c r="I1960" s="204"/>
      <c r="J1960" s="204"/>
      <c r="K1960" s="204"/>
      <c r="L1960" s="204"/>
      <c r="M1960" s="204"/>
      <c r="N1960" s="204"/>
      <c r="O1960" s="204"/>
      <c r="P1960" s="204"/>
      <c r="Q1960" s="204"/>
      <c r="R1960" s="204"/>
      <c r="S1960" s="204"/>
      <c r="T1960" s="204"/>
      <c r="U1960" s="204"/>
      <c r="V1960" s="204"/>
      <c r="W1960" s="204"/>
      <c r="X1960" s="204"/>
      <c r="Y1960" s="204"/>
      <c r="Z1960" s="204"/>
      <c r="AA1960" s="204"/>
      <c r="AB1960" s="204"/>
      <c r="AC1960" s="204"/>
      <c r="AD1960" s="204"/>
      <c r="AE1960" s="204"/>
      <c r="AF1960" s="204"/>
      <c r="AG1960" s="204"/>
      <c r="AH1960" s="204"/>
      <c r="AI1960" s="209"/>
      <c r="AJ1960" s="209"/>
      <c r="AK1960" s="204"/>
      <c r="AL1960" s="204"/>
      <c r="AM1960" s="204"/>
    </row>
    <row r="1961">
      <c r="A1961" s="204"/>
      <c r="B1961" s="209"/>
      <c r="C1961" s="204"/>
      <c r="D1961" s="210"/>
      <c r="E1961" s="211"/>
      <c r="F1961" s="211"/>
      <c r="G1961" s="212"/>
      <c r="H1961" s="212"/>
      <c r="I1961" s="204"/>
      <c r="J1961" s="204"/>
      <c r="K1961" s="204"/>
      <c r="L1961" s="204"/>
      <c r="M1961" s="204"/>
      <c r="N1961" s="204"/>
      <c r="O1961" s="204"/>
      <c r="P1961" s="204"/>
      <c r="Q1961" s="204"/>
      <c r="R1961" s="204"/>
      <c r="S1961" s="204"/>
      <c r="T1961" s="204"/>
      <c r="U1961" s="204"/>
      <c r="V1961" s="204"/>
      <c r="W1961" s="204"/>
      <c r="X1961" s="204"/>
      <c r="Y1961" s="204"/>
      <c r="Z1961" s="204"/>
      <c r="AA1961" s="204"/>
      <c r="AB1961" s="204"/>
      <c r="AC1961" s="204"/>
      <c r="AD1961" s="204"/>
      <c r="AE1961" s="204"/>
      <c r="AF1961" s="204"/>
      <c r="AG1961" s="204"/>
      <c r="AH1961" s="204"/>
      <c r="AI1961" s="209"/>
      <c r="AJ1961" s="209"/>
      <c r="AK1961" s="204"/>
      <c r="AL1961" s="204"/>
      <c r="AM1961" s="204"/>
    </row>
    <row r="1962">
      <c r="A1962" s="204"/>
      <c r="B1962" s="209"/>
      <c r="C1962" s="204"/>
      <c r="D1962" s="210"/>
      <c r="E1962" s="211"/>
      <c r="F1962" s="211"/>
      <c r="G1962" s="212"/>
      <c r="H1962" s="212"/>
      <c r="I1962" s="204"/>
      <c r="J1962" s="204"/>
      <c r="K1962" s="204"/>
      <c r="L1962" s="204"/>
      <c r="M1962" s="204"/>
      <c r="N1962" s="204"/>
      <c r="O1962" s="204"/>
      <c r="P1962" s="204"/>
      <c r="Q1962" s="204"/>
      <c r="R1962" s="204"/>
      <c r="S1962" s="204"/>
      <c r="T1962" s="204"/>
      <c r="U1962" s="204"/>
      <c r="V1962" s="204"/>
      <c r="W1962" s="204"/>
      <c r="X1962" s="204"/>
      <c r="Y1962" s="204"/>
      <c r="Z1962" s="204"/>
      <c r="AA1962" s="204"/>
      <c r="AB1962" s="204"/>
      <c r="AC1962" s="204"/>
      <c r="AD1962" s="204"/>
      <c r="AE1962" s="204"/>
      <c r="AF1962" s="204"/>
      <c r="AG1962" s="204"/>
      <c r="AH1962" s="204"/>
      <c r="AI1962" s="209"/>
      <c r="AJ1962" s="209"/>
      <c r="AK1962" s="204"/>
      <c r="AL1962" s="204"/>
      <c r="AM1962" s="204"/>
    </row>
    <row r="1963">
      <c r="A1963" s="204"/>
      <c r="B1963" s="209"/>
      <c r="C1963" s="204"/>
      <c r="D1963" s="210"/>
      <c r="E1963" s="211"/>
      <c r="F1963" s="211"/>
      <c r="G1963" s="212"/>
      <c r="H1963" s="212"/>
      <c r="I1963" s="204"/>
      <c r="J1963" s="204"/>
      <c r="K1963" s="204"/>
      <c r="L1963" s="204"/>
      <c r="M1963" s="204"/>
      <c r="N1963" s="204"/>
      <c r="O1963" s="204"/>
      <c r="P1963" s="204"/>
      <c r="Q1963" s="204"/>
      <c r="R1963" s="204"/>
      <c r="S1963" s="204"/>
      <c r="T1963" s="204"/>
      <c r="U1963" s="204"/>
      <c r="V1963" s="204"/>
      <c r="W1963" s="204"/>
      <c r="X1963" s="204"/>
      <c r="Y1963" s="204"/>
      <c r="Z1963" s="204"/>
      <c r="AA1963" s="204"/>
      <c r="AB1963" s="204"/>
      <c r="AC1963" s="204"/>
      <c r="AD1963" s="204"/>
      <c r="AE1963" s="204"/>
      <c r="AF1963" s="204"/>
      <c r="AG1963" s="204"/>
      <c r="AH1963" s="204"/>
      <c r="AI1963" s="209"/>
      <c r="AJ1963" s="209"/>
      <c r="AK1963" s="204"/>
      <c r="AL1963" s="204"/>
      <c r="AM1963" s="204"/>
    </row>
    <row r="1964">
      <c r="A1964" s="204"/>
      <c r="B1964" s="209"/>
      <c r="C1964" s="204"/>
      <c r="D1964" s="210"/>
      <c r="E1964" s="211"/>
      <c r="F1964" s="211"/>
      <c r="G1964" s="212"/>
      <c r="H1964" s="212"/>
      <c r="I1964" s="204"/>
      <c r="J1964" s="204"/>
      <c r="K1964" s="204"/>
      <c r="L1964" s="204"/>
      <c r="M1964" s="204"/>
      <c r="N1964" s="204"/>
      <c r="O1964" s="204"/>
      <c r="P1964" s="204"/>
      <c r="Q1964" s="204"/>
      <c r="R1964" s="204"/>
      <c r="S1964" s="204"/>
      <c r="T1964" s="204"/>
      <c r="U1964" s="204"/>
      <c r="V1964" s="204"/>
      <c r="W1964" s="204"/>
      <c r="X1964" s="204"/>
      <c r="Y1964" s="204"/>
      <c r="Z1964" s="204"/>
      <c r="AA1964" s="204"/>
      <c r="AB1964" s="204"/>
      <c r="AC1964" s="204"/>
      <c r="AD1964" s="204"/>
      <c r="AE1964" s="204"/>
      <c r="AF1964" s="204"/>
      <c r="AG1964" s="204"/>
      <c r="AH1964" s="204"/>
      <c r="AI1964" s="209"/>
      <c r="AJ1964" s="209"/>
      <c r="AK1964" s="204"/>
      <c r="AL1964" s="204"/>
      <c r="AM1964" s="204"/>
    </row>
    <row r="1965">
      <c r="A1965" s="204"/>
      <c r="B1965" s="209"/>
      <c r="C1965" s="204"/>
      <c r="D1965" s="210"/>
      <c r="E1965" s="211"/>
      <c r="F1965" s="211"/>
      <c r="G1965" s="212"/>
      <c r="H1965" s="212"/>
      <c r="I1965" s="204"/>
      <c r="J1965" s="204"/>
      <c r="K1965" s="204"/>
      <c r="L1965" s="204"/>
      <c r="M1965" s="204"/>
      <c r="N1965" s="204"/>
      <c r="O1965" s="204"/>
      <c r="P1965" s="204"/>
      <c r="Q1965" s="204"/>
      <c r="R1965" s="204"/>
      <c r="S1965" s="204"/>
      <c r="T1965" s="204"/>
      <c r="U1965" s="204"/>
      <c r="V1965" s="204"/>
      <c r="W1965" s="204"/>
      <c r="X1965" s="204"/>
      <c r="Y1965" s="204"/>
      <c r="Z1965" s="204"/>
      <c r="AA1965" s="204"/>
      <c r="AB1965" s="204"/>
      <c r="AC1965" s="204"/>
      <c r="AD1965" s="204"/>
      <c r="AE1965" s="204"/>
      <c r="AF1965" s="204"/>
      <c r="AG1965" s="204"/>
      <c r="AH1965" s="204"/>
      <c r="AI1965" s="209"/>
      <c r="AJ1965" s="209"/>
      <c r="AK1965" s="204"/>
      <c r="AL1965" s="204"/>
      <c r="AM1965" s="204"/>
    </row>
    <row r="1966">
      <c r="A1966" s="204"/>
      <c r="B1966" s="209"/>
      <c r="C1966" s="204"/>
      <c r="D1966" s="210"/>
      <c r="E1966" s="211"/>
      <c r="F1966" s="211"/>
      <c r="G1966" s="212"/>
      <c r="H1966" s="212"/>
      <c r="I1966" s="204"/>
      <c r="J1966" s="204"/>
      <c r="K1966" s="204"/>
      <c r="L1966" s="204"/>
      <c r="M1966" s="204"/>
      <c r="N1966" s="204"/>
      <c r="O1966" s="204"/>
      <c r="P1966" s="204"/>
      <c r="Q1966" s="204"/>
      <c r="R1966" s="204"/>
      <c r="S1966" s="204"/>
      <c r="T1966" s="204"/>
      <c r="U1966" s="204"/>
      <c r="V1966" s="204"/>
      <c r="W1966" s="204"/>
      <c r="X1966" s="204"/>
      <c r="Y1966" s="204"/>
      <c r="Z1966" s="204"/>
      <c r="AA1966" s="204"/>
      <c r="AB1966" s="204"/>
      <c r="AC1966" s="204"/>
      <c r="AD1966" s="204"/>
      <c r="AE1966" s="204"/>
      <c r="AF1966" s="204"/>
      <c r="AG1966" s="204"/>
      <c r="AH1966" s="204"/>
      <c r="AI1966" s="209"/>
      <c r="AJ1966" s="209"/>
      <c r="AK1966" s="204"/>
      <c r="AL1966" s="204"/>
      <c r="AM1966" s="204"/>
    </row>
    <row r="1967">
      <c r="A1967" s="204"/>
      <c r="B1967" s="209"/>
      <c r="C1967" s="204"/>
      <c r="D1967" s="210"/>
      <c r="E1967" s="211"/>
      <c r="F1967" s="211"/>
      <c r="G1967" s="212"/>
      <c r="H1967" s="212"/>
      <c r="I1967" s="204"/>
      <c r="J1967" s="204"/>
      <c r="K1967" s="204"/>
      <c r="L1967" s="204"/>
      <c r="M1967" s="204"/>
      <c r="N1967" s="204"/>
      <c r="O1967" s="204"/>
      <c r="P1967" s="204"/>
      <c r="Q1967" s="204"/>
      <c r="R1967" s="204"/>
      <c r="S1967" s="204"/>
      <c r="T1967" s="204"/>
      <c r="U1967" s="204"/>
      <c r="V1967" s="204"/>
      <c r="W1967" s="204"/>
      <c r="X1967" s="204"/>
      <c r="Y1967" s="204"/>
      <c r="Z1967" s="204"/>
      <c r="AA1967" s="204"/>
      <c r="AB1967" s="204"/>
      <c r="AC1967" s="204"/>
      <c r="AD1967" s="204"/>
      <c r="AE1967" s="204"/>
      <c r="AF1967" s="204"/>
      <c r="AG1967" s="204"/>
      <c r="AH1967" s="204"/>
      <c r="AI1967" s="209"/>
      <c r="AJ1967" s="209"/>
      <c r="AK1967" s="204"/>
      <c r="AL1967" s="204"/>
      <c r="AM1967" s="204"/>
    </row>
    <row r="1968">
      <c r="A1968" s="204"/>
      <c r="B1968" s="209"/>
      <c r="C1968" s="204"/>
      <c r="D1968" s="210"/>
      <c r="E1968" s="211"/>
      <c r="F1968" s="211"/>
      <c r="G1968" s="212"/>
      <c r="H1968" s="212"/>
      <c r="I1968" s="204"/>
      <c r="J1968" s="204"/>
      <c r="K1968" s="204"/>
      <c r="L1968" s="204"/>
      <c r="M1968" s="204"/>
      <c r="N1968" s="204"/>
      <c r="O1968" s="204"/>
      <c r="P1968" s="204"/>
      <c r="Q1968" s="204"/>
      <c r="R1968" s="204"/>
      <c r="S1968" s="204"/>
      <c r="T1968" s="204"/>
      <c r="U1968" s="204"/>
      <c r="V1968" s="204"/>
      <c r="W1968" s="204"/>
      <c r="X1968" s="204"/>
      <c r="Y1968" s="204"/>
      <c r="Z1968" s="204"/>
      <c r="AA1968" s="204"/>
      <c r="AB1968" s="204"/>
      <c r="AC1968" s="204"/>
      <c r="AD1968" s="204"/>
      <c r="AE1968" s="204"/>
      <c r="AF1968" s="204"/>
      <c r="AG1968" s="204"/>
      <c r="AH1968" s="204"/>
      <c r="AI1968" s="209"/>
      <c r="AJ1968" s="209"/>
      <c r="AK1968" s="204"/>
      <c r="AL1968" s="204"/>
      <c r="AM1968" s="204"/>
    </row>
    <row r="1969">
      <c r="A1969" s="204"/>
      <c r="B1969" s="209"/>
      <c r="C1969" s="204"/>
      <c r="D1969" s="210"/>
      <c r="E1969" s="211"/>
      <c r="F1969" s="211"/>
      <c r="G1969" s="212"/>
      <c r="H1969" s="212"/>
      <c r="I1969" s="204"/>
      <c r="J1969" s="204"/>
      <c r="K1969" s="204"/>
      <c r="L1969" s="204"/>
      <c r="M1969" s="204"/>
      <c r="N1969" s="204"/>
      <c r="O1969" s="204"/>
      <c r="P1969" s="204"/>
      <c r="Q1969" s="204"/>
      <c r="R1969" s="204"/>
      <c r="S1969" s="204"/>
      <c r="T1969" s="204"/>
      <c r="U1969" s="204"/>
      <c r="V1969" s="204"/>
      <c r="W1969" s="204"/>
      <c r="X1969" s="204"/>
      <c r="Y1969" s="204"/>
      <c r="Z1969" s="204"/>
      <c r="AA1969" s="204"/>
      <c r="AB1969" s="204"/>
      <c r="AC1969" s="204"/>
      <c r="AD1969" s="204"/>
      <c r="AE1969" s="204"/>
      <c r="AF1969" s="204"/>
      <c r="AG1969" s="204"/>
      <c r="AH1969" s="204"/>
      <c r="AI1969" s="209"/>
      <c r="AJ1969" s="209"/>
      <c r="AK1969" s="204"/>
      <c r="AL1969" s="204"/>
      <c r="AM1969" s="204"/>
    </row>
    <row r="1970">
      <c r="A1970" s="204"/>
      <c r="B1970" s="209"/>
      <c r="C1970" s="204"/>
      <c r="D1970" s="210"/>
      <c r="E1970" s="211"/>
      <c r="F1970" s="211"/>
      <c r="G1970" s="212"/>
      <c r="H1970" s="212"/>
      <c r="I1970" s="204"/>
      <c r="J1970" s="204"/>
      <c r="K1970" s="204"/>
      <c r="L1970" s="204"/>
      <c r="M1970" s="204"/>
      <c r="N1970" s="204"/>
      <c r="O1970" s="204"/>
      <c r="P1970" s="204"/>
      <c r="Q1970" s="204"/>
      <c r="R1970" s="204"/>
      <c r="S1970" s="204"/>
      <c r="T1970" s="204"/>
      <c r="U1970" s="204"/>
      <c r="V1970" s="204"/>
      <c r="W1970" s="204"/>
      <c r="X1970" s="204"/>
      <c r="Y1970" s="204"/>
      <c r="Z1970" s="204"/>
      <c r="AA1970" s="204"/>
      <c r="AB1970" s="204"/>
      <c r="AC1970" s="204"/>
      <c r="AD1970" s="204"/>
      <c r="AE1970" s="204"/>
      <c r="AF1970" s="204"/>
      <c r="AG1970" s="204"/>
      <c r="AH1970" s="204"/>
      <c r="AI1970" s="209"/>
      <c r="AJ1970" s="209"/>
      <c r="AK1970" s="204"/>
      <c r="AL1970" s="204"/>
      <c r="AM1970" s="204"/>
    </row>
    <row r="1971">
      <c r="A1971" s="204"/>
      <c r="B1971" s="209"/>
      <c r="C1971" s="204"/>
      <c r="D1971" s="210"/>
      <c r="E1971" s="211"/>
      <c r="F1971" s="211"/>
      <c r="G1971" s="212"/>
      <c r="H1971" s="212"/>
      <c r="I1971" s="204"/>
      <c r="J1971" s="204"/>
      <c r="K1971" s="204"/>
      <c r="L1971" s="204"/>
      <c r="M1971" s="204"/>
      <c r="N1971" s="204"/>
      <c r="O1971" s="204"/>
      <c r="P1971" s="204"/>
      <c r="Q1971" s="204"/>
      <c r="R1971" s="204"/>
      <c r="S1971" s="204"/>
      <c r="T1971" s="204"/>
      <c r="U1971" s="204"/>
      <c r="V1971" s="204"/>
      <c r="W1971" s="204"/>
      <c r="X1971" s="204"/>
      <c r="Y1971" s="204"/>
      <c r="Z1971" s="204"/>
      <c r="AA1971" s="204"/>
      <c r="AB1971" s="204"/>
      <c r="AC1971" s="204"/>
      <c r="AD1971" s="204"/>
      <c r="AE1971" s="204"/>
      <c r="AF1971" s="204"/>
      <c r="AG1971" s="204"/>
      <c r="AH1971" s="204"/>
      <c r="AI1971" s="209"/>
      <c r="AJ1971" s="209"/>
      <c r="AK1971" s="204"/>
      <c r="AL1971" s="204"/>
      <c r="AM1971" s="204"/>
    </row>
    <row r="1972">
      <c r="A1972" s="204"/>
      <c r="B1972" s="209"/>
      <c r="C1972" s="204"/>
      <c r="D1972" s="210"/>
      <c r="E1972" s="211"/>
      <c r="F1972" s="211"/>
      <c r="G1972" s="212"/>
      <c r="H1972" s="212"/>
      <c r="I1972" s="204"/>
      <c r="J1972" s="204"/>
      <c r="K1972" s="204"/>
      <c r="L1972" s="204"/>
      <c r="M1972" s="204"/>
      <c r="N1972" s="204"/>
      <c r="O1972" s="204"/>
      <c r="P1972" s="204"/>
      <c r="Q1972" s="204"/>
      <c r="R1972" s="204"/>
      <c r="S1972" s="204"/>
      <c r="T1972" s="204"/>
      <c r="U1972" s="204"/>
      <c r="V1972" s="204"/>
      <c r="W1972" s="204"/>
      <c r="X1972" s="204"/>
      <c r="Y1972" s="204"/>
      <c r="Z1972" s="204"/>
      <c r="AA1972" s="204"/>
      <c r="AB1972" s="204"/>
      <c r="AC1972" s="204"/>
      <c r="AD1972" s="204"/>
      <c r="AE1972" s="204"/>
      <c r="AF1972" s="204"/>
      <c r="AG1972" s="204"/>
      <c r="AH1972" s="204"/>
      <c r="AI1972" s="209"/>
      <c r="AJ1972" s="209"/>
      <c r="AK1972" s="204"/>
      <c r="AL1972" s="204"/>
      <c r="AM1972" s="204"/>
    </row>
    <row r="1973">
      <c r="A1973" s="204"/>
      <c r="B1973" s="209"/>
      <c r="C1973" s="204"/>
      <c r="D1973" s="210"/>
      <c r="E1973" s="211"/>
      <c r="F1973" s="211"/>
      <c r="G1973" s="212"/>
      <c r="H1973" s="212"/>
      <c r="I1973" s="204"/>
      <c r="J1973" s="204"/>
      <c r="K1973" s="204"/>
      <c r="L1973" s="204"/>
      <c r="M1973" s="204"/>
      <c r="N1973" s="204"/>
      <c r="O1973" s="204"/>
      <c r="P1973" s="204"/>
      <c r="Q1973" s="204"/>
      <c r="R1973" s="204"/>
      <c r="S1973" s="204"/>
      <c r="T1973" s="204"/>
      <c r="U1973" s="204"/>
      <c r="V1973" s="204"/>
      <c r="W1973" s="204"/>
      <c r="X1973" s="204"/>
      <c r="Y1973" s="204"/>
      <c r="Z1973" s="204"/>
      <c r="AA1973" s="204"/>
      <c r="AB1973" s="204"/>
      <c r="AC1973" s="204"/>
      <c r="AD1973" s="204"/>
      <c r="AE1973" s="204"/>
      <c r="AF1973" s="204"/>
      <c r="AG1973" s="204"/>
      <c r="AH1973" s="204"/>
      <c r="AI1973" s="209"/>
      <c r="AJ1973" s="209"/>
      <c r="AK1973" s="204"/>
      <c r="AL1973" s="204"/>
      <c r="AM1973" s="204"/>
    </row>
    <row r="1974">
      <c r="A1974" s="204"/>
      <c r="B1974" s="209"/>
      <c r="C1974" s="204"/>
      <c r="D1974" s="210"/>
      <c r="E1974" s="211"/>
      <c r="F1974" s="211"/>
      <c r="G1974" s="212"/>
      <c r="H1974" s="212"/>
      <c r="I1974" s="204"/>
      <c r="J1974" s="204"/>
      <c r="K1974" s="204"/>
      <c r="L1974" s="204"/>
      <c r="M1974" s="204"/>
      <c r="N1974" s="204"/>
      <c r="O1974" s="204"/>
      <c r="P1974" s="204"/>
      <c r="Q1974" s="204"/>
      <c r="R1974" s="204"/>
      <c r="S1974" s="204"/>
      <c r="T1974" s="204"/>
      <c r="U1974" s="204"/>
      <c r="V1974" s="204"/>
      <c r="W1974" s="204"/>
      <c r="X1974" s="204"/>
      <c r="Y1974" s="204"/>
      <c r="Z1974" s="204"/>
      <c r="AA1974" s="204"/>
      <c r="AB1974" s="204"/>
      <c r="AC1974" s="204"/>
      <c r="AD1974" s="204"/>
      <c r="AE1974" s="204"/>
      <c r="AF1974" s="204"/>
      <c r="AG1974" s="204"/>
      <c r="AH1974" s="204"/>
      <c r="AI1974" s="209"/>
      <c r="AJ1974" s="209"/>
      <c r="AK1974" s="204"/>
      <c r="AL1974" s="204"/>
      <c r="AM1974" s="204"/>
    </row>
    <row r="1975">
      <c r="A1975" s="204"/>
      <c r="B1975" s="209"/>
      <c r="C1975" s="204"/>
      <c r="D1975" s="210"/>
      <c r="E1975" s="211"/>
      <c r="F1975" s="211"/>
      <c r="G1975" s="212"/>
      <c r="H1975" s="212"/>
      <c r="I1975" s="204"/>
      <c r="J1975" s="204"/>
      <c r="K1975" s="204"/>
      <c r="L1975" s="204"/>
      <c r="M1975" s="204"/>
      <c r="N1975" s="204"/>
      <c r="O1975" s="204"/>
      <c r="P1975" s="204"/>
      <c r="Q1975" s="204"/>
      <c r="R1975" s="204"/>
      <c r="S1975" s="204"/>
      <c r="T1975" s="204"/>
      <c r="U1975" s="204"/>
      <c r="V1975" s="204"/>
      <c r="W1975" s="204"/>
      <c r="X1975" s="204"/>
      <c r="Y1975" s="204"/>
      <c r="Z1975" s="204"/>
      <c r="AA1975" s="204"/>
      <c r="AB1975" s="204"/>
      <c r="AC1975" s="204"/>
      <c r="AD1975" s="204"/>
      <c r="AE1975" s="204"/>
      <c r="AF1975" s="204"/>
      <c r="AG1975" s="204"/>
      <c r="AH1975" s="204"/>
      <c r="AI1975" s="209"/>
      <c r="AJ1975" s="209"/>
      <c r="AK1975" s="204"/>
      <c r="AL1975" s="204"/>
      <c r="AM1975" s="204"/>
    </row>
    <row r="1976">
      <c r="A1976" s="204"/>
      <c r="B1976" s="209"/>
      <c r="C1976" s="204"/>
      <c r="D1976" s="210"/>
      <c r="E1976" s="211"/>
      <c r="F1976" s="211"/>
      <c r="G1976" s="212"/>
      <c r="H1976" s="212"/>
      <c r="I1976" s="204"/>
      <c r="J1976" s="204"/>
      <c r="K1976" s="204"/>
      <c r="L1976" s="204"/>
      <c r="M1976" s="204"/>
      <c r="N1976" s="204"/>
      <c r="O1976" s="204"/>
      <c r="P1976" s="204"/>
      <c r="Q1976" s="204"/>
      <c r="R1976" s="204"/>
      <c r="S1976" s="204"/>
      <c r="T1976" s="204"/>
      <c r="U1976" s="204"/>
      <c r="V1976" s="204"/>
      <c r="W1976" s="204"/>
      <c r="X1976" s="204"/>
      <c r="Y1976" s="204"/>
      <c r="Z1976" s="204"/>
      <c r="AA1976" s="204"/>
      <c r="AB1976" s="204"/>
      <c r="AC1976" s="204"/>
      <c r="AD1976" s="204"/>
      <c r="AE1976" s="204"/>
      <c r="AF1976" s="204"/>
      <c r="AG1976" s="204"/>
      <c r="AH1976" s="204"/>
      <c r="AI1976" s="209"/>
      <c r="AJ1976" s="209"/>
      <c r="AK1976" s="204"/>
      <c r="AL1976" s="204"/>
      <c r="AM1976" s="204"/>
    </row>
    <row r="1977">
      <c r="A1977" s="204"/>
      <c r="B1977" s="209"/>
      <c r="C1977" s="204"/>
      <c r="D1977" s="210"/>
      <c r="E1977" s="211"/>
      <c r="F1977" s="211"/>
      <c r="G1977" s="212"/>
      <c r="H1977" s="212"/>
      <c r="I1977" s="204"/>
      <c r="J1977" s="204"/>
      <c r="K1977" s="204"/>
      <c r="L1977" s="204"/>
      <c r="M1977" s="204"/>
      <c r="N1977" s="204"/>
      <c r="O1977" s="204"/>
      <c r="P1977" s="204"/>
      <c r="Q1977" s="204"/>
      <c r="R1977" s="204"/>
      <c r="S1977" s="204"/>
      <c r="T1977" s="204"/>
      <c r="U1977" s="204"/>
      <c r="V1977" s="204"/>
      <c r="W1977" s="204"/>
      <c r="X1977" s="204"/>
      <c r="Y1977" s="204"/>
      <c r="Z1977" s="204"/>
      <c r="AA1977" s="204"/>
      <c r="AB1977" s="204"/>
      <c r="AC1977" s="204"/>
      <c r="AD1977" s="204"/>
      <c r="AE1977" s="204"/>
      <c r="AF1977" s="204"/>
      <c r="AG1977" s="204"/>
      <c r="AH1977" s="204"/>
      <c r="AI1977" s="209"/>
      <c r="AJ1977" s="209"/>
      <c r="AK1977" s="204"/>
      <c r="AL1977" s="204"/>
      <c r="AM1977" s="204"/>
    </row>
    <row r="1978">
      <c r="A1978" s="204"/>
      <c r="B1978" s="209"/>
      <c r="C1978" s="204"/>
      <c r="D1978" s="210"/>
      <c r="E1978" s="211"/>
      <c r="F1978" s="211"/>
      <c r="G1978" s="212"/>
      <c r="H1978" s="212"/>
      <c r="I1978" s="204"/>
      <c r="J1978" s="204"/>
      <c r="K1978" s="204"/>
      <c r="L1978" s="204"/>
      <c r="M1978" s="204"/>
      <c r="N1978" s="204"/>
      <c r="O1978" s="204"/>
      <c r="P1978" s="204"/>
      <c r="Q1978" s="204"/>
      <c r="R1978" s="204"/>
      <c r="S1978" s="204"/>
      <c r="T1978" s="204"/>
      <c r="U1978" s="204"/>
      <c r="V1978" s="204"/>
      <c r="W1978" s="204"/>
      <c r="X1978" s="204"/>
      <c r="Y1978" s="204"/>
      <c r="Z1978" s="204"/>
      <c r="AA1978" s="204"/>
      <c r="AB1978" s="204"/>
      <c r="AC1978" s="204"/>
      <c r="AD1978" s="204"/>
      <c r="AE1978" s="204"/>
      <c r="AF1978" s="204"/>
      <c r="AG1978" s="204"/>
      <c r="AH1978" s="204"/>
      <c r="AI1978" s="209"/>
      <c r="AJ1978" s="209"/>
      <c r="AK1978" s="204"/>
      <c r="AL1978" s="204"/>
      <c r="AM1978" s="204"/>
    </row>
    <row r="1979">
      <c r="A1979" s="204"/>
      <c r="B1979" s="209"/>
      <c r="C1979" s="204"/>
      <c r="D1979" s="210"/>
      <c r="E1979" s="211"/>
      <c r="F1979" s="211"/>
      <c r="G1979" s="212"/>
      <c r="H1979" s="212"/>
      <c r="I1979" s="204"/>
      <c r="J1979" s="204"/>
      <c r="K1979" s="204"/>
      <c r="L1979" s="204"/>
      <c r="M1979" s="204"/>
      <c r="N1979" s="204"/>
      <c r="O1979" s="204"/>
      <c r="P1979" s="204"/>
      <c r="Q1979" s="204"/>
      <c r="R1979" s="204"/>
      <c r="S1979" s="204"/>
      <c r="T1979" s="204"/>
      <c r="U1979" s="204"/>
      <c r="V1979" s="204"/>
      <c r="W1979" s="204"/>
      <c r="X1979" s="204"/>
      <c r="Y1979" s="204"/>
      <c r="Z1979" s="204"/>
      <c r="AA1979" s="204"/>
      <c r="AB1979" s="204"/>
      <c r="AC1979" s="204"/>
      <c r="AD1979" s="204"/>
      <c r="AE1979" s="204"/>
      <c r="AF1979" s="204"/>
      <c r="AG1979" s="204"/>
      <c r="AH1979" s="204"/>
      <c r="AI1979" s="209"/>
      <c r="AJ1979" s="209"/>
      <c r="AK1979" s="204"/>
      <c r="AL1979" s="204"/>
      <c r="AM1979" s="204"/>
    </row>
    <row r="1980">
      <c r="A1980" s="204"/>
      <c r="B1980" s="209"/>
      <c r="C1980" s="204"/>
      <c r="D1980" s="210"/>
      <c r="E1980" s="211"/>
      <c r="F1980" s="211"/>
      <c r="G1980" s="212"/>
      <c r="H1980" s="212"/>
      <c r="I1980" s="204"/>
      <c r="J1980" s="204"/>
      <c r="K1980" s="204"/>
      <c r="L1980" s="204"/>
      <c r="M1980" s="204"/>
      <c r="N1980" s="204"/>
      <c r="O1980" s="204"/>
      <c r="P1980" s="204"/>
      <c r="Q1980" s="204"/>
      <c r="R1980" s="204"/>
      <c r="S1980" s="204"/>
      <c r="T1980" s="204"/>
      <c r="U1980" s="204"/>
      <c r="V1980" s="204"/>
      <c r="W1980" s="204"/>
      <c r="X1980" s="204"/>
      <c r="Y1980" s="204"/>
      <c r="Z1980" s="204"/>
      <c r="AA1980" s="204"/>
      <c r="AB1980" s="204"/>
      <c r="AC1980" s="204"/>
      <c r="AD1980" s="204"/>
      <c r="AE1980" s="204"/>
      <c r="AF1980" s="204"/>
      <c r="AG1980" s="204"/>
      <c r="AH1980" s="204"/>
      <c r="AI1980" s="209"/>
      <c r="AJ1980" s="209"/>
      <c r="AK1980" s="204"/>
      <c r="AL1980" s="204"/>
      <c r="AM1980" s="204"/>
    </row>
    <row r="1981">
      <c r="A1981" s="204"/>
      <c r="B1981" s="209"/>
      <c r="C1981" s="204"/>
      <c r="D1981" s="210"/>
      <c r="E1981" s="211"/>
      <c r="F1981" s="211"/>
      <c r="G1981" s="212"/>
      <c r="H1981" s="212"/>
      <c r="I1981" s="204"/>
      <c r="J1981" s="204"/>
      <c r="K1981" s="204"/>
      <c r="L1981" s="204"/>
      <c r="M1981" s="204"/>
      <c r="N1981" s="204"/>
      <c r="O1981" s="204"/>
      <c r="P1981" s="204"/>
      <c r="Q1981" s="204"/>
      <c r="R1981" s="204"/>
      <c r="S1981" s="204"/>
      <c r="T1981" s="204"/>
      <c r="U1981" s="204"/>
      <c r="V1981" s="204"/>
      <c r="W1981" s="204"/>
      <c r="X1981" s="204"/>
      <c r="Y1981" s="204"/>
      <c r="Z1981" s="204"/>
      <c r="AA1981" s="204"/>
      <c r="AB1981" s="204"/>
      <c r="AC1981" s="204"/>
      <c r="AD1981" s="204"/>
      <c r="AE1981" s="204"/>
      <c r="AF1981" s="204"/>
      <c r="AG1981" s="204"/>
      <c r="AH1981" s="204"/>
      <c r="AI1981" s="209"/>
      <c r="AJ1981" s="209"/>
      <c r="AK1981" s="204"/>
      <c r="AL1981" s="204"/>
      <c r="AM1981" s="204"/>
    </row>
    <row r="1982">
      <c r="A1982" s="204"/>
      <c r="B1982" s="209"/>
      <c r="C1982" s="204"/>
      <c r="D1982" s="210"/>
      <c r="E1982" s="211"/>
      <c r="F1982" s="211"/>
      <c r="G1982" s="212"/>
      <c r="H1982" s="212"/>
      <c r="I1982" s="204"/>
      <c r="J1982" s="204"/>
      <c r="K1982" s="204"/>
      <c r="L1982" s="204"/>
      <c r="M1982" s="204"/>
      <c r="N1982" s="204"/>
      <c r="O1982" s="204"/>
      <c r="P1982" s="204"/>
      <c r="Q1982" s="204"/>
      <c r="R1982" s="204"/>
      <c r="S1982" s="204"/>
      <c r="T1982" s="204"/>
      <c r="U1982" s="204"/>
      <c r="V1982" s="204"/>
      <c r="W1982" s="204"/>
      <c r="X1982" s="204"/>
      <c r="Y1982" s="204"/>
      <c r="Z1982" s="204"/>
      <c r="AA1982" s="204"/>
      <c r="AB1982" s="204"/>
      <c r="AC1982" s="204"/>
      <c r="AD1982" s="204"/>
      <c r="AE1982" s="204"/>
      <c r="AF1982" s="204"/>
      <c r="AG1982" s="204"/>
      <c r="AH1982" s="204"/>
      <c r="AI1982" s="209"/>
      <c r="AJ1982" s="209"/>
      <c r="AK1982" s="204"/>
      <c r="AL1982" s="204"/>
      <c r="AM1982" s="204"/>
    </row>
    <row r="1983">
      <c r="A1983" s="204"/>
      <c r="B1983" s="209"/>
      <c r="C1983" s="204"/>
      <c r="D1983" s="210"/>
      <c r="E1983" s="211"/>
      <c r="F1983" s="211"/>
      <c r="G1983" s="212"/>
      <c r="H1983" s="212"/>
      <c r="I1983" s="204"/>
      <c r="J1983" s="204"/>
      <c r="K1983" s="204"/>
      <c r="L1983" s="204"/>
      <c r="M1983" s="204"/>
      <c r="N1983" s="204"/>
      <c r="O1983" s="204"/>
      <c r="P1983" s="204"/>
      <c r="Q1983" s="204"/>
      <c r="R1983" s="204"/>
      <c r="S1983" s="204"/>
      <c r="T1983" s="204"/>
      <c r="U1983" s="204"/>
      <c r="V1983" s="204"/>
      <c r="W1983" s="204"/>
      <c r="X1983" s="204"/>
      <c r="Y1983" s="204"/>
      <c r="Z1983" s="204"/>
      <c r="AA1983" s="204"/>
      <c r="AB1983" s="204"/>
      <c r="AC1983" s="204"/>
      <c r="AD1983" s="204"/>
      <c r="AE1983" s="204"/>
      <c r="AF1983" s="204"/>
      <c r="AG1983" s="204"/>
      <c r="AH1983" s="204"/>
      <c r="AI1983" s="209"/>
      <c r="AJ1983" s="209"/>
      <c r="AK1983" s="204"/>
      <c r="AL1983" s="204"/>
      <c r="AM1983" s="204"/>
    </row>
    <row r="1984">
      <c r="A1984" s="204"/>
      <c r="B1984" s="209"/>
      <c r="C1984" s="204"/>
      <c r="D1984" s="210"/>
      <c r="E1984" s="211"/>
      <c r="F1984" s="211"/>
      <c r="G1984" s="212"/>
      <c r="H1984" s="212"/>
      <c r="I1984" s="204"/>
      <c r="J1984" s="204"/>
      <c r="K1984" s="204"/>
      <c r="L1984" s="204"/>
      <c r="M1984" s="204"/>
      <c r="N1984" s="204"/>
      <c r="O1984" s="204"/>
      <c r="P1984" s="204"/>
      <c r="Q1984" s="204"/>
      <c r="R1984" s="204"/>
      <c r="S1984" s="204"/>
      <c r="T1984" s="204"/>
      <c r="U1984" s="204"/>
      <c r="V1984" s="204"/>
      <c r="W1984" s="204"/>
      <c r="X1984" s="204"/>
      <c r="Y1984" s="204"/>
      <c r="Z1984" s="204"/>
      <c r="AA1984" s="204"/>
      <c r="AB1984" s="204"/>
      <c r="AC1984" s="204"/>
      <c r="AD1984" s="204"/>
      <c r="AE1984" s="204"/>
      <c r="AF1984" s="204"/>
      <c r="AG1984" s="204"/>
      <c r="AH1984" s="204"/>
      <c r="AI1984" s="209"/>
      <c r="AJ1984" s="209"/>
      <c r="AK1984" s="204"/>
      <c r="AL1984" s="204"/>
      <c r="AM1984" s="204"/>
    </row>
    <row r="1985">
      <c r="A1985" s="204"/>
      <c r="B1985" s="209"/>
      <c r="C1985" s="204"/>
      <c r="D1985" s="210"/>
      <c r="E1985" s="211"/>
      <c r="F1985" s="211"/>
      <c r="G1985" s="212"/>
      <c r="H1985" s="212"/>
      <c r="I1985" s="204"/>
      <c r="J1985" s="204"/>
      <c r="K1985" s="204"/>
      <c r="L1985" s="204"/>
      <c r="M1985" s="204"/>
      <c r="N1985" s="204"/>
      <c r="O1985" s="204"/>
      <c r="P1985" s="204"/>
      <c r="Q1985" s="204"/>
      <c r="R1985" s="204"/>
      <c r="S1985" s="204"/>
      <c r="T1985" s="204"/>
      <c r="U1985" s="204"/>
      <c r="V1985" s="204"/>
      <c r="W1985" s="204"/>
      <c r="X1985" s="204"/>
      <c r="Y1985" s="204"/>
      <c r="Z1985" s="204"/>
      <c r="AA1985" s="204"/>
      <c r="AB1985" s="204"/>
      <c r="AC1985" s="204"/>
      <c r="AD1985" s="204"/>
      <c r="AE1985" s="204"/>
      <c r="AF1985" s="204"/>
      <c r="AG1985" s="204"/>
      <c r="AH1985" s="204"/>
      <c r="AI1985" s="209"/>
      <c r="AJ1985" s="209"/>
      <c r="AK1985" s="204"/>
      <c r="AL1985" s="204"/>
      <c r="AM1985" s="204"/>
    </row>
    <row r="1986">
      <c r="A1986" s="204"/>
      <c r="B1986" s="209"/>
      <c r="C1986" s="204"/>
      <c r="D1986" s="210"/>
      <c r="E1986" s="211"/>
      <c r="F1986" s="211"/>
      <c r="G1986" s="212"/>
      <c r="H1986" s="212"/>
      <c r="I1986" s="204"/>
      <c r="J1986" s="204"/>
      <c r="K1986" s="204"/>
      <c r="L1986" s="204"/>
      <c r="M1986" s="204"/>
      <c r="N1986" s="204"/>
      <c r="O1986" s="204"/>
      <c r="P1986" s="204"/>
      <c r="Q1986" s="204"/>
      <c r="R1986" s="204"/>
      <c r="S1986" s="204"/>
      <c r="T1986" s="204"/>
      <c r="U1986" s="204"/>
      <c r="V1986" s="204"/>
      <c r="W1986" s="204"/>
      <c r="X1986" s="204"/>
      <c r="Y1986" s="204"/>
      <c r="Z1986" s="204"/>
      <c r="AA1986" s="204"/>
      <c r="AB1986" s="204"/>
      <c r="AC1986" s="204"/>
      <c r="AD1986" s="204"/>
      <c r="AE1986" s="204"/>
      <c r="AF1986" s="204"/>
      <c r="AG1986" s="204"/>
      <c r="AH1986" s="204"/>
      <c r="AI1986" s="209"/>
      <c r="AJ1986" s="209"/>
      <c r="AK1986" s="204"/>
      <c r="AL1986" s="204"/>
      <c r="AM1986" s="204"/>
    </row>
    <row r="1987">
      <c r="A1987" s="204"/>
      <c r="B1987" s="209"/>
      <c r="C1987" s="204"/>
      <c r="D1987" s="210"/>
      <c r="E1987" s="211"/>
      <c r="F1987" s="211"/>
      <c r="G1987" s="212"/>
      <c r="H1987" s="212"/>
      <c r="I1987" s="204"/>
      <c r="J1987" s="204"/>
      <c r="K1987" s="204"/>
      <c r="L1987" s="204"/>
      <c r="M1987" s="204"/>
      <c r="N1987" s="204"/>
      <c r="O1987" s="204"/>
      <c r="P1987" s="204"/>
      <c r="Q1987" s="204"/>
      <c r="R1987" s="204"/>
      <c r="S1987" s="204"/>
      <c r="T1987" s="204"/>
      <c r="U1987" s="204"/>
      <c r="V1987" s="204"/>
      <c r="W1987" s="204"/>
      <c r="X1987" s="204"/>
      <c r="Y1987" s="204"/>
      <c r="Z1987" s="204"/>
      <c r="AA1987" s="204"/>
      <c r="AB1987" s="204"/>
      <c r="AC1987" s="204"/>
      <c r="AD1987" s="204"/>
      <c r="AE1987" s="204"/>
      <c r="AF1987" s="204"/>
      <c r="AG1987" s="204"/>
      <c r="AH1987" s="204"/>
      <c r="AI1987" s="209"/>
      <c r="AJ1987" s="209"/>
      <c r="AK1987" s="204"/>
      <c r="AL1987" s="204"/>
      <c r="AM1987" s="204"/>
    </row>
    <row r="1988">
      <c r="A1988" s="204"/>
      <c r="B1988" s="209"/>
      <c r="C1988" s="204"/>
      <c r="D1988" s="210"/>
      <c r="E1988" s="211"/>
      <c r="F1988" s="211"/>
      <c r="G1988" s="212"/>
      <c r="H1988" s="212"/>
      <c r="I1988" s="204"/>
      <c r="J1988" s="204"/>
      <c r="K1988" s="204"/>
      <c r="L1988" s="204"/>
      <c r="M1988" s="204"/>
      <c r="N1988" s="204"/>
      <c r="O1988" s="204"/>
      <c r="P1988" s="204"/>
      <c r="Q1988" s="204"/>
      <c r="R1988" s="204"/>
      <c r="S1988" s="204"/>
      <c r="T1988" s="204"/>
      <c r="U1988" s="204"/>
      <c r="V1988" s="204"/>
      <c r="W1988" s="204"/>
      <c r="X1988" s="204"/>
      <c r="Y1988" s="204"/>
      <c r="Z1988" s="204"/>
      <c r="AA1988" s="204"/>
      <c r="AB1988" s="204"/>
      <c r="AC1988" s="204"/>
      <c r="AD1988" s="204"/>
      <c r="AE1988" s="204"/>
      <c r="AF1988" s="204"/>
      <c r="AG1988" s="204"/>
      <c r="AH1988" s="204"/>
      <c r="AI1988" s="209"/>
      <c r="AJ1988" s="209"/>
      <c r="AK1988" s="204"/>
      <c r="AL1988" s="204"/>
      <c r="AM1988" s="204"/>
    </row>
    <row r="1989">
      <c r="A1989" s="204"/>
      <c r="B1989" s="209"/>
      <c r="C1989" s="204"/>
      <c r="D1989" s="210"/>
      <c r="E1989" s="211"/>
      <c r="F1989" s="211"/>
      <c r="G1989" s="212"/>
      <c r="H1989" s="212"/>
      <c r="I1989" s="204"/>
      <c r="J1989" s="204"/>
      <c r="K1989" s="204"/>
      <c r="L1989" s="204"/>
      <c r="M1989" s="204"/>
      <c r="N1989" s="204"/>
      <c r="O1989" s="204"/>
      <c r="P1989" s="204"/>
      <c r="Q1989" s="204"/>
      <c r="R1989" s="204"/>
      <c r="S1989" s="204"/>
      <c r="T1989" s="204"/>
      <c r="U1989" s="204"/>
      <c r="V1989" s="204"/>
      <c r="W1989" s="204"/>
      <c r="X1989" s="204"/>
      <c r="Y1989" s="204"/>
      <c r="Z1989" s="204"/>
      <c r="AA1989" s="204"/>
      <c r="AB1989" s="204"/>
      <c r="AC1989" s="204"/>
      <c r="AD1989" s="204"/>
      <c r="AE1989" s="204"/>
      <c r="AF1989" s="204"/>
      <c r="AG1989" s="204"/>
      <c r="AH1989" s="204"/>
      <c r="AI1989" s="209"/>
      <c r="AJ1989" s="209"/>
      <c r="AK1989" s="204"/>
      <c r="AL1989" s="204"/>
      <c r="AM1989" s="204"/>
    </row>
    <row r="1990">
      <c r="A1990" s="204"/>
      <c r="B1990" s="209"/>
      <c r="C1990" s="204"/>
      <c r="D1990" s="210"/>
      <c r="E1990" s="211"/>
      <c r="F1990" s="211"/>
      <c r="G1990" s="212"/>
      <c r="H1990" s="212"/>
      <c r="I1990" s="204"/>
      <c r="J1990" s="204"/>
      <c r="K1990" s="204"/>
      <c r="L1990" s="204"/>
      <c r="M1990" s="204"/>
      <c r="N1990" s="204"/>
      <c r="O1990" s="204"/>
      <c r="P1990" s="204"/>
      <c r="Q1990" s="204"/>
      <c r="R1990" s="204"/>
      <c r="S1990" s="204"/>
      <c r="T1990" s="204"/>
      <c r="U1990" s="204"/>
      <c r="V1990" s="204"/>
      <c r="W1990" s="204"/>
      <c r="X1990" s="204"/>
      <c r="Y1990" s="204"/>
      <c r="Z1990" s="204"/>
      <c r="AA1990" s="204"/>
      <c r="AB1990" s="204"/>
      <c r="AC1990" s="204"/>
      <c r="AD1990" s="204"/>
      <c r="AE1990" s="204"/>
      <c r="AF1990" s="204"/>
      <c r="AG1990" s="204"/>
      <c r="AH1990" s="204"/>
      <c r="AI1990" s="209"/>
      <c r="AJ1990" s="209"/>
      <c r="AK1990" s="204"/>
      <c r="AL1990" s="204"/>
      <c r="AM1990" s="204"/>
    </row>
    <row r="1991">
      <c r="A1991" s="204"/>
      <c r="B1991" s="209"/>
      <c r="C1991" s="204"/>
      <c r="D1991" s="210"/>
      <c r="E1991" s="211"/>
      <c r="F1991" s="211"/>
      <c r="G1991" s="212"/>
      <c r="H1991" s="212"/>
      <c r="I1991" s="204"/>
      <c r="J1991" s="204"/>
      <c r="K1991" s="204"/>
      <c r="L1991" s="204"/>
      <c r="M1991" s="204"/>
      <c r="N1991" s="204"/>
      <c r="O1991" s="204"/>
      <c r="P1991" s="204"/>
      <c r="Q1991" s="204"/>
      <c r="R1991" s="204"/>
      <c r="S1991" s="204"/>
      <c r="T1991" s="204"/>
      <c r="U1991" s="204"/>
      <c r="V1991" s="204"/>
      <c r="W1991" s="204"/>
      <c r="X1991" s="204"/>
      <c r="Y1991" s="204"/>
      <c r="Z1991" s="204"/>
      <c r="AA1991" s="204"/>
      <c r="AB1991" s="204"/>
      <c r="AC1991" s="204"/>
      <c r="AD1991" s="204"/>
      <c r="AE1991" s="204"/>
      <c r="AF1991" s="204"/>
      <c r="AG1991" s="204"/>
      <c r="AH1991" s="204"/>
      <c r="AI1991" s="209"/>
      <c r="AJ1991" s="209"/>
      <c r="AK1991" s="204"/>
      <c r="AL1991" s="204"/>
      <c r="AM1991" s="204"/>
    </row>
    <row r="1992">
      <c r="A1992" s="204"/>
      <c r="B1992" s="209"/>
      <c r="C1992" s="204"/>
      <c r="D1992" s="210"/>
      <c r="E1992" s="211"/>
      <c r="F1992" s="211"/>
      <c r="G1992" s="212"/>
      <c r="H1992" s="212"/>
      <c r="I1992" s="204"/>
      <c r="J1992" s="204"/>
      <c r="K1992" s="204"/>
      <c r="L1992" s="204"/>
      <c r="M1992" s="204"/>
      <c r="N1992" s="204"/>
      <c r="O1992" s="204"/>
      <c r="P1992" s="204"/>
      <c r="Q1992" s="204"/>
      <c r="R1992" s="204"/>
      <c r="S1992" s="204"/>
      <c r="T1992" s="204"/>
      <c r="U1992" s="204"/>
      <c r="V1992" s="204"/>
      <c r="W1992" s="204"/>
      <c r="X1992" s="204"/>
      <c r="Y1992" s="204"/>
      <c r="Z1992" s="204"/>
      <c r="AA1992" s="204"/>
      <c r="AB1992" s="204"/>
      <c r="AC1992" s="204"/>
      <c r="AD1992" s="204"/>
      <c r="AE1992" s="204"/>
      <c r="AF1992" s="204"/>
      <c r="AG1992" s="204"/>
      <c r="AH1992" s="204"/>
      <c r="AI1992" s="209"/>
      <c r="AJ1992" s="209"/>
      <c r="AK1992" s="204"/>
      <c r="AL1992" s="204"/>
      <c r="AM1992" s="204"/>
    </row>
    <row r="1993">
      <c r="A1993" s="204"/>
      <c r="B1993" s="209"/>
      <c r="C1993" s="204"/>
      <c r="D1993" s="210"/>
      <c r="E1993" s="211"/>
      <c r="F1993" s="211"/>
      <c r="G1993" s="212"/>
      <c r="H1993" s="212"/>
      <c r="I1993" s="204"/>
      <c r="J1993" s="204"/>
      <c r="K1993" s="204"/>
      <c r="L1993" s="204"/>
      <c r="M1993" s="204"/>
      <c r="N1993" s="204"/>
      <c r="O1993" s="204"/>
      <c r="P1993" s="204"/>
      <c r="Q1993" s="204"/>
      <c r="R1993" s="204"/>
      <c r="S1993" s="204"/>
      <c r="T1993" s="204"/>
      <c r="U1993" s="204"/>
      <c r="V1993" s="204"/>
      <c r="W1993" s="204"/>
      <c r="X1993" s="204"/>
      <c r="Y1993" s="204"/>
      <c r="Z1993" s="204"/>
      <c r="AA1993" s="204"/>
      <c r="AB1993" s="204"/>
      <c r="AC1993" s="204"/>
      <c r="AD1993" s="204"/>
      <c r="AE1993" s="204"/>
      <c r="AF1993" s="204"/>
      <c r="AG1993" s="204"/>
      <c r="AH1993" s="204"/>
      <c r="AI1993" s="209"/>
      <c r="AJ1993" s="209"/>
      <c r="AK1993" s="204"/>
      <c r="AL1993" s="204"/>
      <c r="AM1993" s="204"/>
    </row>
    <row r="1994">
      <c r="A1994" s="204"/>
      <c r="B1994" s="209"/>
      <c r="C1994" s="204"/>
      <c r="D1994" s="210"/>
      <c r="E1994" s="211"/>
      <c r="F1994" s="211"/>
      <c r="G1994" s="212"/>
      <c r="H1994" s="212"/>
      <c r="I1994" s="204"/>
      <c r="J1994" s="204"/>
      <c r="K1994" s="204"/>
      <c r="L1994" s="204"/>
      <c r="M1994" s="204"/>
      <c r="N1994" s="204"/>
      <c r="O1994" s="204"/>
      <c r="P1994" s="204"/>
      <c r="Q1994" s="204"/>
      <c r="R1994" s="204"/>
      <c r="S1994" s="204"/>
      <c r="T1994" s="204"/>
      <c r="U1994" s="204"/>
      <c r="V1994" s="204"/>
      <c r="W1994" s="204"/>
      <c r="X1994" s="204"/>
      <c r="Y1994" s="204"/>
      <c r="Z1994" s="204"/>
      <c r="AA1994" s="204"/>
      <c r="AB1994" s="204"/>
      <c r="AC1994" s="204"/>
      <c r="AD1994" s="204"/>
      <c r="AE1994" s="204"/>
      <c r="AF1994" s="204"/>
      <c r="AG1994" s="204"/>
      <c r="AH1994" s="204"/>
      <c r="AI1994" s="209"/>
      <c r="AJ1994" s="209"/>
      <c r="AK1994" s="204"/>
      <c r="AL1994" s="204"/>
      <c r="AM1994" s="204"/>
    </row>
    <row r="1995">
      <c r="A1995" s="204"/>
      <c r="B1995" s="209"/>
      <c r="C1995" s="204"/>
      <c r="D1995" s="210"/>
      <c r="E1995" s="211"/>
      <c r="F1995" s="211"/>
      <c r="G1995" s="212"/>
      <c r="H1995" s="212"/>
      <c r="I1995" s="204"/>
      <c r="J1995" s="204"/>
      <c r="K1995" s="204"/>
      <c r="L1995" s="204"/>
      <c r="M1995" s="204"/>
      <c r="N1995" s="204"/>
      <c r="O1995" s="204"/>
      <c r="P1995" s="204"/>
      <c r="Q1995" s="204"/>
      <c r="R1995" s="204"/>
      <c r="S1995" s="204"/>
      <c r="T1995" s="204"/>
      <c r="U1995" s="204"/>
      <c r="V1995" s="204"/>
      <c r="W1995" s="204"/>
      <c r="X1995" s="204"/>
      <c r="Y1995" s="204"/>
      <c r="Z1995" s="204"/>
      <c r="AA1995" s="204"/>
      <c r="AB1995" s="204"/>
      <c r="AC1995" s="204"/>
      <c r="AD1995" s="204"/>
      <c r="AE1995" s="204"/>
      <c r="AF1995" s="204"/>
      <c r="AG1995" s="204"/>
      <c r="AH1995" s="204"/>
      <c r="AI1995" s="209"/>
      <c r="AJ1995" s="209"/>
      <c r="AK1995" s="204"/>
      <c r="AL1995" s="204"/>
      <c r="AM1995" s="204"/>
    </row>
    <row r="1996">
      <c r="A1996" s="204"/>
      <c r="B1996" s="209"/>
      <c r="C1996" s="204"/>
      <c r="D1996" s="210"/>
      <c r="E1996" s="211"/>
      <c r="F1996" s="211"/>
      <c r="G1996" s="212"/>
      <c r="H1996" s="212"/>
      <c r="I1996" s="204"/>
      <c r="J1996" s="204"/>
      <c r="K1996" s="204"/>
      <c r="L1996" s="204"/>
      <c r="M1996" s="204"/>
      <c r="N1996" s="204"/>
      <c r="O1996" s="204"/>
      <c r="P1996" s="204"/>
      <c r="Q1996" s="204"/>
      <c r="R1996" s="204"/>
      <c r="S1996" s="204"/>
      <c r="T1996" s="204"/>
      <c r="U1996" s="204"/>
      <c r="V1996" s="204"/>
      <c r="W1996" s="204"/>
      <c r="X1996" s="204"/>
      <c r="Y1996" s="204"/>
      <c r="Z1996" s="204"/>
      <c r="AA1996" s="204"/>
      <c r="AB1996" s="204"/>
      <c r="AC1996" s="204"/>
      <c r="AD1996" s="204"/>
      <c r="AE1996" s="204"/>
      <c r="AF1996" s="204"/>
      <c r="AG1996" s="204"/>
      <c r="AH1996" s="204"/>
      <c r="AI1996" s="209"/>
      <c r="AJ1996" s="209"/>
      <c r="AK1996" s="204"/>
      <c r="AL1996" s="204"/>
      <c r="AM1996" s="204"/>
    </row>
    <row r="1997">
      <c r="A1997" s="204"/>
      <c r="B1997" s="209"/>
      <c r="C1997" s="204"/>
      <c r="D1997" s="210"/>
      <c r="E1997" s="211"/>
      <c r="F1997" s="211"/>
      <c r="G1997" s="212"/>
      <c r="H1997" s="212"/>
      <c r="I1997" s="204"/>
      <c r="J1997" s="204"/>
      <c r="K1997" s="204"/>
      <c r="L1997" s="204"/>
      <c r="M1997" s="204"/>
      <c r="N1997" s="204"/>
      <c r="O1997" s="204"/>
      <c r="P1997" s="204"/>
      <c r="Q1997" s="204"/>
      <c r="R1997" s="204"/>
      <c r="S1997" s="204"/>
      <c r="T1997" s="204"/>
      <c r="U1997" s="204"/>
      <c r="V1997" s="204"/>
      <c r="W1997" s="204"/>
      <c r="X1997" s="204"/>
      <c r="Y1997" s="204"/>
      <c r="Z1997" s="204"/>
      <c r="AA1997" s="204"/>
      <c r="AB1997" s="204"/>
      <c r="AC1997" s="204"/>
      <c r="AD1997" s="204"/>
      <c r="AE1997" s="204"/>
      <c r="AF1997" s="204"/>
      <c r="AG1997" s="204"/>
      <c r="AH1997" s="204"/>
      <c r="AI1997" s="209"/>
      <c r="AJ1997" s="209"/>
      <c r="AK1997" s="204"/>
      <c r="AL1997" s="204"/>
      <c r="AM1997" s="204"/>
    </row>
    <row r="1998">
      <c r="A1998" s="204"/>
      <c r="B1998" s="209"/>
      <c r="C1998" s="204"/>
      <c r="D1998" s="210"/>
      <c r="E1998" s="211"/>
      <c r="F1998" s="211"/>
      <c r="G1998" s="212"/>
      <c r="H1998" s="212"/>
      <c r="I1998" s="204"/>
      <c r="J1998" s="204"/>
      <c r="K1998" s="204"/>
      <c r="L1998" s="204"/>
      <c r="M1998" s="204"/>
      <c r="N1998" s="204"/>
      <c r="O1998" s="204"/>
      <c r="P1998" s="204"/>
      <c r="Q1998" s="204"/>
      <c r="R1998" s="204"/>
      <c r="S1998" s="204"/>
      <c r="T1998" s="204"/>
      <c r="U1998" s="204"/>
      <c r="V1998" s="204"/>
      <c r="W1998" s="204"/>
      <c r="X1998" s="204"/>
      <c r="Y1998" s="204"/>
      <c r="Z1998" s="204"/>
      <c r="AA1998" s="204"/>
      <c r="AB1998" s="204"/>
      <c r="AC1998" s="204"/>
      <c r="AD1998" s="204"/>
      <c r="AE1998" s="204"/>
      <c r="AF1998" s="204"/>
      <c r="AG1998" s="204"/>
      <c r="AH1998" s="204"/>
      <c r="AI1998" s="209"/>
      <c r="AJ1998" s="209"/>
      <c r="AK1998" s="204"/>
      <c r="AL1998" s="204"/>
      <c r="AM1998" s="204"/>
    </row>
    <row r="1999">
      <c r="A1999" s="204"/>
      <c r="B1999" s="209"/>
      <c r="C1999" s="204"/>
      <c r="D1999" s="210"/>
      <c r="E1999" s="211"/>
      <c r="F1999" s="211"/>
      <c r="G1999" s="212"/>
      <c r="H1999" s="212"/>
      <c r="I1999" s="204"/>
      <c r="J1999" s="204"/>
      <c r="K1999" s="204"/>
      <c r="L1999" s="204"/>
      <c r="M1999" s="204"/>
      <c r="N1999" s="204"/>
      <c r="O1999" s="204"/>
      <c r="P1999" s="204"/>
      <c r="Q1999" s="204"/>
      <c r="R1999" s="204"/>
      <c r="S1999" s="204"/>
      <c r="T1999" s="204"/>
      <c r="U1999" s="204"/>
      <c r="V1999" s="204"/>
      <c r="W1999" s="204"/>
      <c r="X1999" s="204"/>
      <c r="Y1999" s="204"/>
      <c r="Z1999" s="204"/>
      <c r="AA1999" s="204"/>
      <c r="AB1999" s="204"/>
      <c r="AC1999" s="204"/>
      <c r="AD1999" s="204"/>
      <c r="AE1999" s="204"/>
      <c r="AF1999" s="204"/>
      <c r="AG1999" s="204"/>
      <c r="AH1999" s="204"/>
      <c r="AI1999" s="209"/>
      <c r="AJ1999" s="209"/>
      <c r="AK1999" s="204"/>
      <c r="AL1999" s="204"/>
      <c r="AM1999" s="204"/>
    </row>
    <row r="2000">
      <c r="A2000" s="204"/>
      <c r="B2000" s="209"/>
      <c r="C2000" s="204"/>
      <c r="D2000" s="210"/>
      <c r="E2000" s="211"/>
      <c r="F2000" s="211"/>
      <c r="G2000" s="212"/>
      <c r="H2000" s="212"/>
      <c r="I2000" s="204"/>
      <c r="J2000" s="204"/>
      <c r="K2000" s="204"/>
      <c r="L2000" s="204"/>
      <c r="M2000" s="204"/>
      <c r="N2000" s="204"/>
      <c r="O2000" s="204"/>
      <c r="P2000" s="204"/>
      <c r="Q2000" s="204"/>
      <c r="R2000" s="204"/>
      <c r="S2000" s="204"/>
      <c r="T2000" s="204"/>
      <c r="U2000" s="204"/>
      <c r="V2000" s="204"/>
      <c r="W2000" s="204"/>
      <c r="X2000" s="204"/>
      <c r="Y2000" s="204"/>
      <c r="Z2000" s="204"/>
      <c r="AA2000" s="204"/>
      <c r="AB2000" s="204"/>
      <c r="AC2000" s="204"/>
      <c r="AD2000" s="204"/>
      <c r="AE2000" s="204"/>
      <c r="AF2000" s="204"/>
      <c r="AG2000" s="204"/>
      <c r="AH2000" s="204"/>
      <c r="AI2000" s="209"/>
      <c r="AJ2000" s="209"/>
      <c r="AK2000" s="204"/>
      <c r="AL2000" s="204"/>
      <c r="AM2000" s="204"/>
    </row>
    <row r="2001">
      <c r="A2001" s="204"/>
      <c r="B2001" s="209"/>
      <c r="C2001" s="204"/>
      <c r="D2001" s="210"/>
      <c r="E2001" s="211"/>
      <c r="F2001" s="211"/>
      <c r="G2001" s="212"/>
      <c r="H2001" s="212"/>
      <c r="I2001" s="204"/>
      <c r="J2001" s="204"/>
      <c r="K2001" s="204"/>
      <c r="L2001" s="204"/>
      <c r="M2001" s="204"/>
      <c r="N2001" s="204"/>
      <c r="O2001" s="204"/>
      <c r="P2001" s="204"/>
      <c r="Q2001" s="204"/>
      <c r="R2001" s="204"/>
      <c r="S2001" s="204"/>
      <c r="T2001" s="204"/>
      <c r="U2001" s="204"/>
      <c r="V2001" s="204"/>
      <c r="W2001" s="204"/>
      <c r="X2001" s="204"/>
      <c r="Y2001" s="204"/>
      <c r="Z2001" s="204"/>
      <c r="AA2001" s="204"/>
      <c r="AB2001" s="204"/>
      <c r="AC2001" s="204"/>
      <c r="AD2001" s="204"/>
      <c r="AE2001" s="204"/>
      <c r="AF2001" s="204"/>
      <c r="AG2001" s="204"/>
      <c r="AH2001" s="204"/>
      <c r="AI2001" s="209"/>
      <c r="AJ2001" s="209"/>
      <c r="AK2001" s="204"/>
      <c r="AL2001" s="204"/>
      <c r="AM2001" s="204"/>
    </row>
    <row r="2002">
      <c r="A2002" s="204"/>
      <c r="B2002" s="209"/>
      <c r="C2002" s="204"/>
      <c r="D2002" s="210"/>
      <c r="E2002" s="211"/>
      <c r="F2002" s="211"/>
      <c r="G2002" s="212"/>
      <c r="H2002" s="212"/>
      <c r="I2002" s="204"/>
      <c r="J2002" s="204"/>
      <c r="K2002" s="204"/>
      <c r="L2002" s="204"/>
      <c r="M2002" s="204"/>
      <c r="N2002" s="204"/>
      <c r="O2002" s="204"/>
      <c r="P2002" s="204"/>
      <c r="Q2002" s="204"/>
      <c r="R2002" s="204"/>
      <c r="S2002" s="204"/>
      <c r="T2002" s="204"/>
      <c r="U2002" s="204"/>
      <c r="V2002" s="204"/>
      <c r="W2002" s="204"/>
      <c r="X2002" s="204"/>
      <c r="Y2002" s="204"/>
      <c r="Z2002" s="204"/>
      <c r="AA2002" s="204"/>
      <c r="AB2002" s="204"/>
      <c r="AC2002" s="204"/>
      <c r="AD2002" s="204"/>
      <c r="AE2002" s="204"/>
      <c r="AF2002" s="204"/>
      <c r="AG2002" s="204"/>
      <c r="AH2002" s="204"/>
      <c r="AI2002" s="209"/>
      <c r="AJ2002" s="209"/>
      <c r="AK2002" s="204"/>
      <c r="AL2002" s="204"/>
      <c r="AM2002" s="204"/>
    </row>
    <row r="2003">
      <c r="A2003" s="204"/>
      <c r="B2003" s="209"/>
      <c r="C2003" s="204"/>
      <c r="D2003" s="210"/>
      <c r="E2003" s="211"/>
      <c r="F2003" s="211"/>
      <c r="G2003" s="212"/>
      <c r="H2003" s="212"/>
      <c r="I2003" s="204"/>
      <c r="J2003" s="204"/>
      <c r="K2003" s="204"/>
      <c r="L2003" s="204"/>
      <c r="M2003" s="204"/>
      <c r="N2003" s="204"/>
      <c r="O2003" s="204"/>
      <c r="P2003" s="204"/>
      <c r="Q2003" s="204"/>
      <c r="R2003" s="204"/>
      <c r="S2003" s="204"/>
      <c r="T2003" s="204"/>
      <c r="U2003" s="204"/>
      <c r="V2003" s="204"/>
      <c r="W2003" s="204"/>
      <c r="X2003" s="204"/>
      <c r="Y2003" s="204"/>
      <c r="Z2003" s="204"/>
      <c r="AA2003" s="204"/>
      <c r="AB2003" s="204"/>
      <c r="AC2003" s="204"/>
      <c r="AD2003" s="204"/>
      <c r="AE2003" s="204"/>
      <c r="AF2003" s="204"/>
      <c r="AG2003" s="204"/>
      <c r="AH2003" s="204"/>
      <c r="AI2003" s="209"/>
      <c r="AJ2003" s="209"/>
      <c r="AK2003" s="204"/>
      <c r="AL2003" s="204"/>
      <c r="AM2003" s="204"/>
    </row>
    <row r="2004">
      <c r="A2004" s="204"/>
      <c r="B2004" s="209"/>
      <c r="C2004" s="204"/>
      <c r="D2004" s="210"/>
      <c r="E2004" s="211"/>
      <c r="F2004" s="211"/>
      <c r="G2004" s="212"/>
      <c r="H2004" s="212"/>
      <c r="I2004" s="204"/>
      <c r="J2004" s="204"/>
      <c r="K2004" s="204"/>
      <c r="L2004" s="204"/>
      <c r="M2004" s="204"/>
      <c r="N2004" s="204"/>
      <c r="O2004" s="204"/>
      <c r="P2004" s="204"/>
      <c r="Q2004" s="204"/>
      <c r="R2004" s="204"/>
      <c r="S2004" s="204"/>
      <c r="T2004" s="204"/>
      <c r="U2004" s="204"/>
      <c r="V2004" s="204"/>
      <c r="W2004" s="204"/>
      <c r="X2004" s="204"/>
      <c r="Y2004" s="204"/>
      <c r="Z2004" s="204"/>
      <c r="AA2004" s="204"/>
      <c r="AB2004" s="204"/>
      <c r="AC2004" s="204"/>
      <c r="AD2004" s="204"/>
      <c r="AE2004" s="204"/>
      <c r="AF2004" s="204"/>
      <c r="AG2004" s="204"/>
      <c r="AH2004" s="204"/>
      <c r="AI2004" s="209"/>
      <c r="AJ2004" s="209"/>
      <c r="AK2004" s="204"/>
      <c r="AL2004" s="204"/>
      <c r="AM2004" s="204"/>
    </row>
    <row r="2005">
      <c r="A2005" s="204"/>
      <c r="B2005" s="209"/>
      <c r="C2005" s="204"/>
      <c r="D2005" s="210"/>
      <c r="E2005" s="211"/>
      <c r="F2005" s="211"/>
      <c r="G2005" s="212"/>
      <c r="H2005" s="212"/>
      <c r="I2005" s="204"/>
      <c r="J2005" s="204"/>
      <c r="K2005" s="204"/>
      <c r="L2005" s="204"/>
      <c r="M2005" s="204"/>
      <c r="N2005" s="204"/>
      <c r="O2005" s="204"/>
      <c r="P2005" s="204"/>
      <c r="Q2005" s="204"/>
      <c r="R2005" s="204"/>
      <c r="S2005" s="204"/>
      <c r="T2005" s="204"/>
      <c r="U2005" s="204"/>
      <c r="V2005" s="204"/>
      <c r="W2005" s="204"/>
      <c r="X2005" s="204"/>
      <c r="Y2005" s="204"/>
      <c r="Z2005" s="204"/>
      <c r="AA2005" s="204"/>
      <c r="AB2005" s="204"/>
      <c r="AC2005" s="204"/>
      <c r="AD2005" s="204"/>
      <c r="AE2005" s="204"/>
      <c r="AF2005" s="204"/>
      <c r="AG2005" s="204"/>
      <c r="AH2005" s="204"/>
      <c r="AI2005" s="209"/>
      <c r="AJ2005" s="209"/>
      <c r="AK2005" s="204"/>
      <c r="AL2005" s="204"/>
      <c r="AM2005" s="204"/>
    </row>
    <row r="2006">
      <c r="A2006" s="204"/>
      <c r="B2006" s="209"/>
      <c r="C2006" s="204"/>
      <c r="D2006" s="210"/>
      <c r="E2006" s="211"/>
      <c r="F2006" s="211"/>
      <c r="G2006" s="212"/>
      <c r="H2006" s="212"/>
      <c r="I2006" s="204"/>
      <c r="J2006" s="204"/>
      <c r="K2006" s="204"/>
      <c r="L2006" s="204"/>
      <c r="M2006" s="204"/>
      <c r="N2006" s="204"/>
      <c r="O2006" s="204"/>
      <c r="P2006" s="204"/>
      <c r="Q2006" s="204"/>
      <c r="R2006" s="204"/>
      <c r="S2006" s="204"/>
      <c r="T2006" s="204"/>
      <c r="U2006" s="204"/>
      <c r="V2006" s="204"/>
      <c r="W2006" s="204"/>
      <c r="X2006" s="204"/>
      <c r="Y2006" s="204"/>
      <c r="Z2006" s="204"/>
      <c r="AA2006" s="204"/>
      <c r="AB2006" s="204"/>
      <c r="AC2006" s="204"/>
      <c r="AD2006" s="204"/>
      <c r="AE2006" s="204"/>
      <c r="AF2006" s="204"/>
      <c r="AG2006" s="204"/>
      <c r="AH2006" s="204"/>
      <c r="AI2006" s="209"/>
      <c r="AJ2006" s="209"/>
      <c r="AK2006" s="204"/>
      <c r="AL2006" s="204"/>
      <c r="AM2006" s="204"/>
    </row>
    <row r="2007">
      <c r="A2007" s="204"/>
      <c r="B2007" s="209"/>
      <c r="C2007" s="204"/>
      <c r="D2007" s="210"/>
      <c r="E2007" s="211"/>
      <c r="F2007" s="211"/>
      <c r="G2007" s="212"/>
      <c r="H2007" s="212"/>
      <c r="I2007" s="204"/>
      <c r="J2007" s="204"/>
      <c r="K2007" s="204"/>
      <c r="L2007" s="204"/>
      <c r="M2007" s="204"/>
      <c r="N2007" s="204"/>
      <c r="O2007" s="204"/>
      <c r="P2007" s="204"/>
      <c r="Q2007" s="204"/>
      <c r="R2007" s="204"/>
      <c r="S2007" s="204"/>
      <c r="T2007" s="204"/>
      <c r="U2007" s="204"/>
      <c r="V2007" s="204"/>
      <c r="W2007" s="204"/>
      <c r="X2007" s="204"/>
      <c r="Y2007" s="204"/>
      <c r="Z2007" s="204"/>
      <c r="AA2007" s="204"/>
      <c r="AB2007" s="204"/>
      <c r="AC2007" s="204"/>
      <c r="AD2007" s="204"/>
      <c r="AE2007" s="204"/>
      <c r="AF2007" s="204"/>
      <c r="AG2007" s="204"/>
      <c r="AH2007" s="204"/>
      <c r="AI2007" s="209"/>
      <c r="AJ2007" s="209"/>
      <c r="AK2007" s="204"/>
      <c r="AL2007" s="204"/>
      <c r="AM2007" s="204"/>
    </row>
    <row r="2008">
      <c r="A2008" s="204"/>
      <c r="B2008" s="209"/>
      <c r="C2008" s="204"/>
      <c r="D2008" s="210"/>
      <c r="E2008" s="211"/>
      <c r="F2008" s="211"/>
      <c r="G2008" s="212"/>
      <c r="H2008" s="212"/>
      <c r="I2008" s="204"/>
      <c r="J2008" s="204"/>
      <c r="K2008" s="204"/>
      <c r="L2008" s="204"/>
      <c r="M2008" s="204"/>
      <c r="N2008" s="204"/>
      <c r="O2008" s="204"/>
      <c r="P2008" s="204"/>
      <c r="Q2008" s="204"/>
      <c r="R2008" s="204"/>
      <c r="S2008" s="204"/>
      <c r="T2008" s="204"/>
      <c r="U2008" s="204"/>
      <c r="V2008" s="204"/>
      <c r="W2008" s="204"/>
      <c r="X2008" s="204"/>
      <c r="Y2008" s="204"/>
      <c r="Z2008" s="204"/>
      <c r="AA2008" s="204"/>
      <c r="AB2008" s="204"/>
      <c r="AC2008" s="204"/>
      <c r="AD2008" s="204"/>
      <c r="AE2008" s="204"/>
      <c r="AF2008" s="204"/>
      <c r="AG2008" s="204"/>
      <c r="AH2008" s="204"/>
      <c r="AI2008" s="209"/>
      <c r="AJ2008" s="209"/>
      <c r="AK2008" s="204"/>
      <c r="AL2008" s="204"/>
      <c r="AM2008" s="204"/>
    </row>
    <row r="2009">
      <c r="A2009" s="204"/>
      <c r="B2009" s="209"/>
      <c r="C2009" s="204"/>
      <c r="D2009" s="210"/>
      <c r="E2009" s="211"/>
      <c r="F2009" s="211"/>
      <c r="G2009" s="212"/>
      <c r="H2009" s="212"/>
      <c r="I2009" s="204"/>
      <c r="J2009" s="204"/>
      <c r="K2009" s="204"/>
      <c r="L2009" s="204"/>
      <c r="M2009" s="204"/>
      <c r="N2009" s="204"/>
      <c r="O2009" s="204"/>
      <c r="P2009" s="204"/>
      <c r="Q2009" s="204"/>
      <c r="R2009" s="204"/>
      <c r="S2009" s="204"/>
      <c r="T2009" s="204"/>
      <c r="U2009" s="204"/>
      <c r="V2009" s="204"/>
      <c r="W2009" s="204"/>
      <c r="X2009" s="204"/>
      <c r="Y2009" s="204"/>
      <c r="Z2009" s="204"/>
      <c r="AA2009" s="204"/>
      <c r="AB2009" s="204"/>
      <c r="AC2009" s="204"/>
      <c r="AD2009" s="204"/>
      <c r="AE2009" s="204"/>
      <c r="AF2009" s="204"/>
      <c r="AG2009" s="204"/>
      <c r="AH2009" s="204"/>
      <c r="AI2009" s="209"/>
      <c r="AJ2009" s="209"/>
      <c r="AK2009" s="204"/>
      <c r="AL2009" s="204"/>
      <c r="AM2009" s="204"/>
    </row>
    <row r="2010">
      <c r="A2010" s="204"/>
      <c r="B2010" s="209"/>
      <c r="C2010" s="204"/>
      <c r="D2010" s="210"/>
      <c r="E2010" s="211"/>
      <c r="F2010" s="211"/>
      <c r="G2010" s="212"/>
      <c r="H2010" s="212"/>
      <c r="I2010" s="204"/>
      <c r="J2010" s="204"/>
      <c r="K2010" s="204"/>
      <c r="L2010" s="204"/>
      <c r="M2010" s="204"/>
      <c r="N2010" s="204"/>
      <c r="O2010" s="204"/>
      <c r="P2010" s="204"/>
      <c r="Q2010" s="204"/>
      <c r="R2010" s="204"/>
      <c r="S2010" s="204"/>
      <c r="T2010" s="204"/>
      <c r="U2010" s="204"/>
      <c r="V2010" s="204"/>
      <c r="W2010" s="204"/>
      <c r="X2010" s="204"/>
      <c r="Y2010" s="204"/>
      <c r="Z2010" s="204"/>
      <c r="AA2010" s="204"/>
      <c r="AB2010" s="204"/>
      <c r="AC2010" s="204"/>
      <c r="AD2010" s="204"/>
      <c r="AE2010" s="204"/>
      <c r="AF2010" s="204"/>
      <c r="AG2010" s="204"/>
      <c r="AH2010" s="204"/>
      <c r="AI2010" s="209"/>
      <c r="AJ2010" s="209"/>
      <c r="AK2010" s="204"/>
      <c r="AL2010" s="204"/>
      <c r="AM2010" s="204"/>
    </row>
    <row r="2011">
      <c r="A2011" s="204"/>
      <c r="B2011" s="209"/>
      <c r="C2011" s="204"/>
      <c r="D2011" s="210"/>
      <c r="E2011" s="211"/>
      <c r="F2011" s="211"/>
      <c r="G2011" s="212"/>
      <c r="H2011" s="212"/>
      <c r="I2011" s="204"/>
      <c r="J2011" s="204"/>
      <c r="K2011" s="204"/>
      <c r="L2011" s="204"/>
      <c r="M2011" s="204"/>
      <c r="N2011" s="204"/>
      <c r="O2011" s="204"/>
      <c r="P2011" s="204"/>
      <c r="Q2011" s="204"/>
      <c r="R2011" s="204"/>
      <c r="S2011" s="204"/>
      <c r="T2011" s="204"/>
      <c r="U2011" s="204"/>
      <c r="V2011" s="204"/>
      <c r="W2011" s="204"/>
      <c r="X2011" s="204"/>
      <c r="Y2011" s="204"/>
      <c r="Z2011" s="204"/>
      <c r="AA2011" s="204"/>
      <c r="AB2011" s="204"/>
      <c r="AC2011" s="204"/>
      <c r="AD2011" s="204"/>
      <c r="AE2011" s="204"/>
      <c r="AF2011" s="204"/>
      <c r="AG2011" s="204"/>
      <c r="AH2011" s="204"/>
      <c r="AI2011" s="209"/>
      <c r="AJ2011" s="209"/>
      <c r="AK2011" s="204"/>
      <c r="AL2011" s="204"/>
      <c r="AM2011" s="204"/>
    </row>
    <row r="2012">
      <c r="A2012" s="204"/>
      <c r="B2012" s="209"/>
      <c r="C2012" s="204"/>
      <c r="D2012" s="210"/>
      <c r="E2012" s="211"/>
      <c r="F2012" s="211"/>
      <c r="G2012" s="212"/>
      <c r="H2012" s="212"/>
      <c r="I2012" s="204"/>
      <c r="J2012" s="204"/>
      <c r="K2012" s="204"/>
      <c r="L2012" s="204"/>
      <c r="M2012" s="204"/>
      <c r="N2012" s="204"/>
      <c r="O2012" s="204"/>
      <c r="P2012" s="204"/>
      <c r="Q2012" s="204"/>
      <c r="R2012" s="204"/>
      <c r="S2012" s="204"/>
      <c r="T2012" s="204"/>
      <c r="U2012" s="204"/>
      <c r="V2012" s="204"/>
      <c r="W2012" s="204"/>
      <c r="X2012" s="204"/>
      <c r="Y2012" s="204"/>
      <c r="Z2012" s="204"/>
      <c r="AA2012" s="204"/>
      <c r="AB2012" s="204"/>
      <c r="AC2012" s="204"/>
      <c r="AD2012" s="204"/>
      <c r="AE2012" s="204"/>
      <c r="AF2012" s="204"/>
      <c r="AG2012" s="204"/>
      <c r="AH2012" s="204"/>
      <c r="AI2012" s="209"/>
      <c r="AJ2012" s="209"/>
      <c r="AK2012" s="204"/>
      <c r="AL2012" s="204"/>
      <c r="AM2012" s="204"/>
    </row>
    <row r="2013">
      <c r="A2013" s="204"/>
      <c r="B2013" s="209"/>
      <c r="C2013" s="204"/>
      <c r="D2013" s="210"/>
      <c r="E2013" s="211"/>
      <c r="F2013" s="211"/>
      <c r="G2013" s="212"/>
      <c r="H2013" s="212"/>
      <c r="I2013" s="204"/>
      <c r="J2013" s="204"/>
      <c r="K2013" s="204"/>
      <c r="L2013" s="204"/>
      <c r="M2013" s="204"/>
      <c r="N2013" s="204"/>
      <c r="O2013" s="204"/>
      <c r="P2013" s="204"/>
      <c r="Q2013" s="204"/>
      <c r="R2013" s="204"/>
      <c r="S2013" s="204"/>
      <c r="T2013" s="204"/>
      <c r="U2013" s="204"/>
      <c r="V2013" s="204"/>
      <c r="W2013" s="204"/>
      <c r="X2013" s="204"/>
      <c r="Y2013" s="204"/>
      <c r="Z2013" s="204"/>
      <c r="AA2013" s="204"/>
      <c r="AB2013" s="204"/>
      <c r="AC2013" s="204"/>
      <c r="AD2013" s="204"/>
      <c r="AE2013" s="204"/>
      <c r="AF2013" s="204"/>
      <c r="AG2013" s="204"/>
      <c r="AH2013" s="204"/>
      <c r="AI2013" s="209"/>
      <c r="AJ2013" s="209"/>
      <c r="AK2013" s="204"/>
      <c r="AL2013" s="204"/>
      <c r="AM2013" s="204"/>
    </row>
    <row r="2014">
      <c r="A2014" s="204"/>
      <c r="B2014" s="209"/>
      <c r="C2014" s="204"/>
      <c r="D2014" s="210"/>
      <c r="E2014" s="211"/>
      <c r="F2014" s="211"/>
      <c r="G2014" s="212"/>
      <c r="H2014" s="212"/>
      <c r="I2014" s="204"/>
      <c r="J2014" s="204"/>
      <c r="K2014" s="204"/>
      <c r="L2014" s="204"/>
      <c r="M2014" s="204"/>
      <c r="N2014" s="204"/>
      <c r="O2014" s="204"/>
      <c r="P2014" s="204"/>
      <c r="Q2014" s="204"/>
      <c r="R2014" s="204"/>
      <c r="S2014" s="204"/>
      <c r="T2014" s="204"/>
      <c r="U2014" s="204"/>
      <c r="V2014" s="204"/>
      <c r="W2014" s="204"/>
      <c r="X2014" s="204"/>
      <c r="Y2014" s="204"/>
      <c r="Z2014" s="204"/>
      <c r="AA2014" s="204"/>
      <c r="AB2014" s="204"/>
      <c r="AC2014" s="204"/>
      <c r="AD2014" s="204"/>
      <c r="AE2014" s="204"/>
      <c r="AF2014" s="204"/>
      <c r="AG2014" s="204"/>
      <c r="AH2014" s="204"/>
      <c r="AI2014" s="209"/>
      <c r="AJ2014" s="209"/>
      <c r="AK2014" s="204"/>
      <c r="AL2014" s="204"/>
      <c r="AM2014" s="204"/>
    </row>
    <row r="2015">
      <c r="A2015" s="204"/>
      <c r="B2015" s="209"/>
      <c r="C2015" s="204"/>
      <c r="D2015" s="210"/>
      <c r="E2015" s="211"/>
      <c r="F2015" s="211"/>
      <c r="G2015" s="212"/>
      <c r="H2015" s="212"/>
      <c r="I2015" s="204"/>
      <c r="J2015" s="204"/>
      <c r="K2015" s="204"/>
      <c r="L2015" s="204"/>
      <c r="M2015" s="204"/>
      <c r="N2015" s="204"/>
      <c r="O2015" s="204"/>
      <c r="P2015" s="204"/>
      <c r="Q2015" s="204"/>
      <c r="R2015" s="204"/>
      <c r="S2015" s="204"/>
      <c r="T2015" s="204"/>
      <c r="U2015" s="204"/>
      <c r="V2015" s="204"/>
      <c r="W2015" s="204"/>
      <c r="X2015" s="204"/>
      <c r="Y2015" s="204"/>
      <c r="Z2015" s="204"/>
      <c r="AA2015" s="204"/>
      <c r="AB2015" s="204"/>
      <c r="AC2015" s="204"/>
      <c r="AD2015" s="204"/>
      <c r="AE2015" s="204"/>
      <c r="AF2015" s="204"/>
      <c r="AG2015" s="204"/>
      <c r="AH2015" s="204"/>
      <c r="AI2015" s="209"/>
      <c r="AJ2015" s="209"/>
      <c r="AK2015" s="204"/>
      <c r="AL2015" s="204"/>
      <c r="AM2015" s="204"/>
    </row>
    <row r="2016">
      <c r="A2016" s="204"/>
      <c r="B2016" s="209"/>
      <c r="C2016" s="204"/>
      <c r="D2016" s="210"/>
      <c r="E2016" s="211"/>
      <c r="F2016" s="211"/>
      <c r="G2016" s="212"/>
      <c r="H2016" s="212"/>
      <c r="I2016" s="204"/>
      <c r="J2016" s="204"/>
      <c r="K2016" s="204"/>
      <c r="L2016" s="204"/>
      <c r="M2016" s="204"/>
      <c r="N2016" s="204"/>
      <c r="O2016" s="204"/>
      <c r="P2016" s="204"/>
      <c r="Q2016" s="204"/>
      <c r="R2016" s="204"/>
      <c r="S2016" s="204"/>
      <c r="T2016" s="204"/>
      <c r="U2016" s="204"/>
      <c r="V2016" s="204"/>
      <c r="W2016" s="204"/>
      <c r="X2016" s="204"/>
      <c r="Y2016" s="204"/>
      <c r="Z2016" s="204"/>
      <c r="AA2016" s="204"/>
      <c r="AB2016" s="204"/>
      <c r="AC2016" s="204"/>
      <c r="AD2016" s="204"/>
      <c r="AE2016" s="204"/>
      <c r="AF2016" s="204"/>
      <c r="AG2016" s="204"/>
      <c r="AH2016" s="204"/>
      <c r="AI2016" s="209"/>
      <c r="AJ2016" s="209"/>
      <c r="AK2016" s="204"/>
      <c r="AL2016" s="204"/>
      <c r="AM2016" s="204"/>
    </row>
    <row r="2017">
      <c r="A2017" s="204"/>
      <c r="B2017" s="209"/>
      <c r="C2017" s="204"/>
      <c r="D2017" s="210"/>
      <c r="E2017" s="211"/>
      <c r="F2017" s="211"/>
      <c r="G2017" s="212"/>
      <c r="H2017" s="212"/>
      <c r="I2017" s="204"/>
      <c r="J2017" s="204"/>
      <c r="K2017" s="204"/>
      <c r="L2017" s="204"/>
      <c r="M2017" s="204"/>
      <c r="N2017" s="204"/>
      <c r="O2017" s="204"/>
      <c r="P2017" s="204"/>
      <c r="Q2017" s="204"/>
      <c r="R2017" s="204"/>
      <c r="S2017" s="204"/>
      <c r="T2017" s="204"/>
      <c r="U2017" s="204"/>
      <c r="V2017" s="204"/>
      <c r="W2017" s="204"/>
      <c r="X2017" s="204"/>
      <c r="Y2017" s="204"/>
      <c r="Z2017" s="204"/>
      <c r="AA2017" s="204"/>
      <c r="AB2017" s="204"/>
      <c r="AC2017" s="204"/>
      <c r="AD2017" s="204"/>
      <c r="AE2017" s="204"/>
      <c r="AF2017" s="204"/>
      <c r="AG2017" s="204"/>
      <c r="AH2017" s="204"/>
      <c r="AI2017" s="209"/>
      <c r="AJ2017" s="209"/>
      <c r="AK2017" s="204"/>
      <c r="AL2017" s="204"/>
      <c r="AM2017" s="204"/>
    </row>
    <row r="2018">
      <c r="A2018" s="204"/>
      <c r="B2018" s="209"/>
      <c r="C2018" s="204"/>
      <c r="D2018" s="210"/>
      <c r="E2018" s="211"/>
      <c r="F2018" s="211"/>
      <c r="G2018" s="212"/>
      <c r="H2018" s="212"/>
      <c r="I2018" s="204"/>
      <c r="J2018" s="204"/>
      <c r="K2018" s="204"/>
      <c r="L2018" s="204"/>
      <c r="M2018" s="204"/>
      <c r="N2018" s="204"/>
      <c r="O2018" s="204"/>
      <c r="P2018" s="204"/>
      <c r="Q2018" s="204"/>
      <c r="R2018" s="204"/>
      <c r="S2018" s="204"/>
      <c r="T2018" s="204"/>
      <c r="U2018" s="204"/>
      <c r="V2018" s="204"/>
      <c r="W2018" s="204"/>
      <c r="X2018" s="204"/>
      <c r="Y2018" s="204"/>
      <c r="Z2018" s="204"/>
      <c r="AA2018" s="204"/>
      <c r="AB2018" s="204"/>
      <c r="AC2018" s="204"/>
      <c r="AD2018" s="204"/>
      <c r="AE2018" s="204"/>
      <c r="AF2018" s="204"/>
      <c r="AG2018" s="204"/>
      <c r="AH2018" s="204"/>
      <c r="AI2018" s="209"/>
      <c r="AJ2018" s="209"/>
      <c r="AK2018" s="204"/>
      <c r="AL2018" s="204"/>
      <c r="AM2018" s="204"/>
    </row>
    <row r="2019">
      <c r="A2019" s="204"/>
      <c r="B2019" s="209"/>
      <c r="C2019" s="204"/>
      <c r="D2019" s="210"/>
      <c r="E2019" s="211"/>
      <c r="F2019" s="211"/>
      <c r="G2019" s="212"/>
      <c r="H2019" s="212"/>
      <c r="I2019" s="204"/>
      <c r="J2019" s="204"/>
      <c r="K2019" s="204"/>
      <c r="L2019" s="204"/>
      <c r="M2019" s="204"/>
      <c r="N2019" s="204"/>
      <c r="O2019" s="204"/>
      <c r="P2019" s="204"/>
      <c r="Q2019" s="204"/>
      <c r="R2019" s="204"/>
      <c r="S2019" s="204"/>
      <c r="T2019" s="204"/>
      <c r="U2019" s="204"/>
      <c r="V2019" s="204"/>
      <c r="W2019" s="204"/>
      <c r="X2019" s="204"/>
      <c r="Y2019" s="204"/>
      <c r="Z2019" s="204"/>
      <c r="AA2019" s="204"/>
      <c r="AB2019" s="204"/>
      <c r="AC2019" s="204"/>
      <c r="AD2019" s="204"/>
      <c r="AE2019" s="204"/>
      <c r="AF2019" s="204"/>
      <c r="AG2019" s="204"/>
      <c r="AH2019" s="204"/>
      <c r="AI2019" s="209"/>
      <c r="AJ2019" s="209"/>
      <c r="AK2019" s="204"/>
      <c r="AL2019" s="204"/>
      <c r="AM2019" s="204"/>
    </row>
    <row r="2020">
      <c r="A2020" s="204"/>
      <c r="B2020" s="209"/>
      <c r="C2020" s="204"/>
      <c r="D2020" s="210"/>
      <c r="E2020" s="211"/>
      <c r="F2020" s="211"/>
      <c r="G2020" s="212"/>
      <c r="H2020" s="212"/>
      <c r="I2020" s="204"/>
      <c r="J2020" s="204"/>
      <c r="K2020" s="204"/>
      <c r="L2020" s="204"/>
      <c r="M2020" s="204"/>
      <c r="N2020" s="204"/>
      <c r="O2020" s="204"/>
      <c r="P2020" s="204"/>
      <c r="Q2020" s="204"/>
      <c r="R2020" s="204"/>
      <c r="S2020" s="204"/>
      <c r="T2020" s="204"/>
      <c r="U2020" s="204"/>
      <c r="V2020" s="204"/>
      <c r="W2020" s="204"/>
      <c r="X2020" s="204"/>
      <c r="Y2020" s="204"/>
      <c r="Z2020" s="204"/>
      <c r="AA2020" s="204"/>
      <c r="AB2020" s="204"/>
      <c r="AC2020" s="204"/>
      <c r="AD2020" s="204"/>
      <c r="AE2020" s="204"/>
      <c r="AF2020" s="204"/>
      <c r="AG2020" s="204"/>
      <c r="AH2020" s="204"/>
      <c r="AI2020" s="209"/>
      <c r="AJ2020" s="209"/>
      <c r="AK2020" s="204"/>
      <c r="AL2020" s="204"/>
      <c r="AM2020" s="204"/>
    </row>
    <row r="2021">
      <c r="A2021" s="204"/>
      <c r="B2021" s="209"/>
      <c r="C2021" s="204"/>
      <c r="D2021" s="210"/>
      <c r="E2021" s="211"/>
      <c r="F2021" s="211"/>
      <c r="G2021" s="212"/>
      <c r="H2021" s="212"/>
      <c r="I2021" s="204"/>
      <c r="J2021" s="204"/>
      <c r="K2021" s="204"/>
      <c r="L2021" s="204"/>
      <c r="M2021" s="204"/>
      <c r="N2021" s="204"/>
      <c r="O2021" s="204"/>
      <c r="P2021" s="204"/>
      <c r="Q2021" s="204"/>
      <c r="R2021" s="204"/>
      <c r="S2021" s="204"/>
      <c r="T2021" s="204"/>
      <c r="U2021" s="204"/>
      <c r="V2021" s="204"/>
      <c r="W2021" s="204"/>
      <c r="X2021" s="204"/>
      <c r="Y2021" s="204"/>
      <c r="Z2021" s="204"/>
      <c r="AA2021" s="204"/>
      <c r="AB2021" s="204"/>
      <c r="AC2021" s="204"/>
      <c r="AD2021" s="204"/>
      <c r="AE2021" s="204"/>
      <c r="AF2021" s="204"/>
      <c r="AG2021" s="204"/>
      <c r="AH2021" s="204"/>
      <c r="AI2021" s="209"/>
      <c r="AJ2021" s="209"/>
      <c r="AK2021" s="204"/>
      <c r="AL2021" s="204"/>
      <c r="AM2021" s="204"/>
    </row>
    <row r="2022">
      <c r="A2022" s="204"/>
      <c r="B2022" s="209"/>
      <c r="C2022" s="204"/>
      <c r="D2022" s="210"/>
      <c r="E2022" s="211"/>
      <c r="F2022" s="211"/>
      <c r="G2022" s="212"/>
      <c r="H2022" s="212"/>
      <c r="I2022" s="204"/>
      <c r="J2022" s="204"/>
      <c r="K2022" s="204"/>
      <c r="L2022" s="204"/>
      <c r="M2022" s="204"/>
      <c r="N2022" s="204"/>
      <c r="O2022" s="204"/>
      <c r="P2022" s="204"/>
      <c r="Q2022" s="204"/>
      <c r="R2022" s="204"/>
      <c r="S2022" s="204"/>
      <c r="T2022" s="204"/>
      <c r="U2022" s="204"/>
      <c r="V2022" s="204"/>
      <c r="W2022" s="204"/>
      <c r="X2022" s="204"/>
      <c r="Y2022" s="204"/>
      <c r="Z2022" s="204"/>
      <c r="AA2022" s="204"/>
      <c r="AB2022" s="204"/>
      <c r="AC2022" s="204"/>
      <c r="AD2022" s="204"/>
      <c r="AE2022" s="204"/>
      <c r="AF2022" s="204"/>
      <c r="AG2022" s="204"/>
      <c r="AH2022" s="204"/>
      <c r="AI2022" s="209"/>
      <c r="AJ2022" s="209"/>
      <c r="AK2022" s="204"/>
      <c r="AL2022" s="204"/>
      <c r="AM2022" s="204"/>
    </row>
    <row r="2023">
      <c r="A2023" s="204"/>
      <c r="B2023" s="209"/>
      <c r="C2023" s="204"/>
      <c r="D2023" s="210"/>
      <c r="E2023" s="211"/>
      <c r="F2023" s="211"/>
      <c r="G2023" s="212"/>
      <c r="H2023" s="212"/>
      <c r="I2023" s="204"/>
      <c r="J2023" s="204"/>
      <c r="K2023" s="204"/>
      <c r="L2023" s="204"/>
      <c r="M2023" s="204"/>
      <c r="N2023" s="204"/>
      <c r="O2023" s="204"/>
      <c r="P2023" s="204"/>
      <c r="Q2023" s="204"/>
      <c r="R2023" s="204"/>
      <c r="S2023" s="204"/>
      <c r="T2023" s="204"/>
      <c r="U2023" s="204"/>
      <c r="V2023" s="204"/>
      <c r="W2023" s="204"/>
      <c r="X2023" s="204"/>
      <c r="Y2023" s="204"/>
      <c r="Z2023" s="204"/>
      <c r="AA2023" s="204"/>
      <c r="AB2023" s="204"/>
      <c r="AC2023" s="204"/>
      <c r="AD2023" s="204"/>
      <c r="AE2023" s="204"/>
      <c r="AF2023" s="204"/>
      <c r="AG2023" s="204"/>
      <c r="AH2023" s="204"/>
      <c r="AI2023" s="209"/>
      <c r="AJ2023" s="209"/>
      <c r="AK2023" s="204"/>
      <c r="AL2023" s="204"/>
      <c r="AM2023" s="204"/>
    </row>
    <row r="2024">
      <c r="A2024" s="204"/>
      <c r="B2024" s="209"/>
      <c r="C2024" s="204"/>
      <c r="D2024" s="210"/>
      <c r="E2024" s="211"/>
      <c r="F2024" s="211"/>
      <c r="G2024" s="212"/>
      <c r="H2024" s="212"/>
      <c r="I2024" s="204"/>
      <c r="J2024" s="204"/>
      <c r="K2024" s="204"/>
      <c r="L2024" s="204"/>
      <c r="M2024" s="204"/>
      <c r="N2024" s="204"/>
      <c r="O2024" s="204"/>
      <c r="P2024" s="204"/>
      <c r="Q2024" s="204"/>
      <c r="R2024" s="204"/>
      <c r="S2024" s="204"/>
      <c r="T2024" s="204"/>
      <c r="U2024" s="204"/>
      <c r="V2024" s="204"/>
      <c r="W2024" s="204"/>
      <c r="X2024" s="204"/>
      <c r="Y2024" s="204"/>
      <c r="Z2024" s="204"/>
      <c r="AA2024" s="204"/>
      <c r="AB2024" s="204"/>
      <c r="AC2024" s="204"/>
      <c r="AD2024" s="204"/>
      <c r="AE2024" s="204"/>
      <c r="AF2024" s="204"/>
      <c r="AG2024" s="204"/>
      <c r="AH2024" s="204"/>
      <c r="AI2024" s="209"/>
      <c r="AJ2024" s="209"/>
      <c r="AK2024" s="204"/>
      <c r="AL2024" s="204"/>
      <c r="AM2024" s="204"/>
    </row>
    <row r="2025">
      <c r="A2025" s="204"/>
      <c r="B2025" s="209"/>
      <c r="C2025" s="204"/>
      <c r="D2025" s="210"/>
      <c r="E2025" s="211"/>
      <c r="F2025" s="211"/>
      <c r="G2025" s="212"/>
      <c r="H2025" s="212"/>
      <c r="I2025" s="204"/>
      <c r="J2025" s="204"/>
      <c r="K2025" s="204"/>
      <c r="L2025" s="204"/>
      <c r="M2025" s="204"/>
      <c r="N2025" s="204"/>
      <c r="O2025" s="204"/>
      <c r="P2025" s="204"/>
      <c r="Q2025" s="204"/>
      <c r="R2025" s="204"/>
      <c r="S2025" s="204"/>
      <c r="T2025" s="204"/>
      <c r="U2025" s="204"/>
      <c r="V2025" s="204"/>
      <c r="W2025" s="204"/>
      <c r="X2025" s="204"/>
      <c r="Y2025" s="204"/>
      <c r="Z2025" s="204"/>
      <c r="AA2025" s="204"/>
      <c r="AB2025" s="204"/>
      <c r="AC2025" s="204"/>
      <c r="AD2025" s="204"/>
      <c r="AE2025" s="204"/>
      <c r="AF2025" s="204"/>
      <c r="AG2025" s="204"/>
      <c r="AH2025" s="204"/>
      <c r="AI2025" s="209"/>
      <c r="AJ2025" s="209"/>
      <c r="AK2025" s="204"/>
      <c r="AL2025" s="204"/>
      <c r="AM2025" s="204"/>
    </row>
    <row r="2026">
      <c r="A2026" s="204"/>
      <c r="B2026" s="209"/>
      <c r="C2026" s="204"/>
      <c r="D2026" s="210"/>
      <c r="E2026" s="211"/>
      <c r="F2026" s="211"/>
      <c r="G2026" s="212"/>
      <c r="H2026" s="212"/>
      <c r="I2026" s="204"/>
      <c r="J2026" s="204"/>
      <c r="K2026" s="204"/>
      <c r="L2026" s="204"/>
      <c r="M2026" s="204"/>
      <c r="N2026" s="204"/>
      <c r="O2026" s="204"/>
      <c r="P2026" s="204"/>
      <c r="Q2026" s="204"/>
      <c r="R2026" s="204"/>
      <c r="S2026" s="204"/>
      <c r="T2026" s="204"/>
      <c r="U2026" s="204"/>
      <c r="V2026" s="204"/>
      <c r="W2026" s="204"/>
      <c r="X2026" s="204"/>
      <c r="Y2026" s="204"/>
      <c r="Z2026" s="204"/>
      <c r="AA2026" s="204"/>
      <c r="AB2026" s="204"/>
      <c r="AC2026" s="204"/>
      <c r="AD2026" s="204"/>
      <c r="AE2026" s="204"/>
      <c r="AF2026" s="204"/>
      <c r="AG2026" s="204"/>
      <c r="AH2026" s="204"/>
      <c r="AI2026" s="209"/>
      <c r="AJ2026" s="209"/>
      <c r="AK2026" s="204"/>
      <c r="AL2026" s="204"/>
      <c r="AM2026" s="204"/>
    </row>
    <row r="2027">
      <c r="A2027" s="204"/>
      <c r="B2027" s="209"/>
      <c r="C2027" s="204"/>
      <c r="D2027" s="210"/>
      <c r="E2027" s="211"/>
      <c r="F2027" s="211"/>
      <c r="G2027" s="212"/>
      <c r="H2027" s="212"/>
      <c r="I2027" s="204"/>
      <c r="J2027" s="204"/>
      <c r="K2027" s="204"/>
      <c r="L2027" s="204"/>
      <c r="M2027" s="204"/>
      <c r="N2027" s="204"/>
      <c r="O2027" s="204"/>
      <c r="P2027" s="204"/>
      <c r="Q2027" s="204"/>
      <c r="R2027" s="204"/>
      <c r="S2027" s="204"/>
      <c r="T2027" s="204"/>
      <c r="U2027" s="204"/>
      <c r="V2027" s="204"/>
      <c r="W2027" s="204"/>
      <c r="X2027" s="204"/>
      <c r="Y2027" s="204"/>
      <c r="Z2027" s="204"/>
      <c r="AA2027" s="204"/>
      <c r="AB2027" s="204"/>
      <c r="AC2027" s="204"/>
      <c r="AD2027" s="204"/>
      <c r="AE2027" s="204"/>
      <c r="AF2027" s="204"/>
      <c r="AG2027" s="204"/>
      <c r="AH2027" s="204"/>
      <c r="AI2027" s="209"/>
      <c r="AJ2027" s="209"/>
      <c r="AK2027" s="204"/>
      <c r="AL2027" s="204"/>
      <c r="AM2027" s="204"/>
    </row>
    <row r="2028">
      <c r="A2028" s="204"/>
      <c r="B2028" s="209"/>
      <c r="C2028" s="204"/>
      <c r="D2028" s="210"/>
      <c r="E2028" s="211"/>
      <c r="F2028" s="211"/>
      <c r="G2028" s="212"/>
      <c r="H2028" s="212"/>
      <c r="I2028" s="204"/>
      <c r="J2028" s="204"/>
      <c r="K2028" s="204"/>
      <c r="L2028" s="204"/>
      <c r="M2028" s="204"/>
      <c r="N2028" s="204"/>
      <c r="O2028" s="204"/>
      <c r="P2028" s="204"/>
      <c r="Q2028" s="204"/>
      <c r="R2028" s="204"/>
      <c r="S2028" s="204"/>
      <c r="T2028" s="204"/>
      <c r="U2028" s="204"/>
      <c r="V2028" s="204"/>
      <c r="W2028" s="204"/>
      <c r="X2028" s="204"/>
      <c r="Y2028" s="204"/>
      <c r="Z2028" s="204"/>
      <c r="AA2028" s="204"/>
      <c r="AB2028" s="204"/>
      <c r="AC2028" s="204"/>
      <c r="AD2028" s="204"/>
      <c r="AE2028" s="204"/>
      <c r="AF2028" s="204"/>
      <c r="AG2028" s="204"/>
      <c r="AH2028" s="204"/>
      <c r="AI2028" s="209"/>
      <c r="AJ2028" s="209"/>
      <c r="AK2028" s="204"/>
      <c r="AL2028" s="204"/>
      <c r="AM2028" s="204"/>
    </row>
    <row r="2029">
      <c r="A2029" s="204"/>
      <c r="B2029" s="209"/>
      <c r="C2029" s="204"/>
      <c r="D2029" s="210"/>
      <c r="E2029" s="211"/>
      <c r="F2029" s="211"/>
      <c r="G2029" s="212"/>
      <c r="H2029" s="212"/>
      <c r="I2029" s="204"/>
      <c r="J2029" s="204"/>
      <c r="K2029" s="204"/>
      <c r="L2029" s="204"/>
      <c r="M2029" s="204"/>
      <c r="N2029" s="204"/>
      <c r="O2029" s="204"/>
      <c r="P2029" s="204"/>
      <c r="Q2029" s="204"/>
      <c r="R2029" s="204"/>
      <c r="S2029" s="204"/>
      <c r="T2029" s="204"/>
      <c r="U2029" s="204"/>
      <c r="V2029" s="204"/>
      <c r="W2029" s="204"/>
      <c r="X2029" s="204"/>
      <c r="Y2029" s="204"/>
      <c r="Z2029" s="204"/>
      <c r="AA2029" s="204"/>
      <c r="AB2029" s="204"/>
      <c r="AC2029" s="204"/>
      <c r="AD2029" s="204"/>
      <c r="AE2029" s="204"/>
      <c r="AF2029" s="204"/>
      <c r="AG2029" s="204"/>
      <c r="AH2029" s="204"/>
      <c r="AI2029" s="209"/>
      <c r="AJ2029" s="209"/>
      <c r="AK2029" s="204"/>
      <c r="AL2029" s="204"/>
      <c r="AM2029" s="204"/>
    </row>
    <row r="2030">
      <c r="A2030" s="204"/>
      <c r="B2030" s="209"/>
      <c r="C2030" s="204"/>
      <c r="D2030" s="210"/>
      <c r="E2030" s="211"/>
      <c r="F2030" s="211"/>
      <c r="G2030" s="212"/>
      <c r="H2030" s="212"/>
      <c r="I2030" s="204"/>
      <c r="J2030" s="204"/>
      <c r="K2030" s="204"/>
      <c r="L2030" s="204"/>
      <c r="M2030" s="204"/>
      <c r="N2030" s="204"/>
      <c r="O2030" s="204"/>
      <c r="P2030" s="204"/>
      <c r="Q2030" s="204"/>
      <c r="R2030" s="204"/>
      <c r="S2030" s="204"/>
      <c r="T2030" s="204"/>
      <c r="U2030" s="204"/>
      <c r="V2030" s="204"/>
      <c r="W2030" s="204"/>
      <c r="X2030" s="204"/>
      <c r="Y2030" s="204"/>
      <c r="Z2030" s="204"/>
      <c r="AA2030" s="204"/>
      <c r="AB2030" s="204"/>
      <c r="AC2030" s="204"/>
      <c r="AD2030" s="204"/>
      <c r="AE2030" s="204"/>
      <c r="AF2030" s="204"/>
      <c r="AG2030" s="204"/>
      <c r="AH2030" s="204"/>
      <c r="AI2030" s="209"/>
      <c r="AJ2030" s="209"/>
      <c r="AK2030" s="204"/>
      <c r="AL2030" s="204"/>
      <c r="AM2030" s="204"/>
    </row>
    <row r="2031">
      <c r="A2031" s="204"/>
      <c r="B2031" s="209"/>
      <c r="C2031" s="204"/>
      <c r="D2031" s="210"/>
      <c r="E2031" s="211"/>
      <c r="F2031" s="211"/>
      <c r="G2031" s="212"/>
      <c r="H2031" s="212"/>
      <c r="I2031" s="204"/>
      <c r="J2031" s="204"/>
      <c r="K2031" s="204"/>
      <c r="L2031" s="204"/>
      <c r="M2031" s="204"/>
      <c r="N2031" s="204"/>
      <c r="O2031" s="204"/>
      <c r="P2031" s="204"/>
      <c r="Q2031" s="204"/>
      <c r="R2031" s="204"/>
      <c r="S2031" s="204"/>
      <c r="T2031" s="204"/>
      <c r="U2031" s="204"/>
      <c r="V2031" s="204"/>
      <c r="W2031" s="204"/>
      <c r="X2031" s="204"/>
      <c r="Y2031" s="204"/>
      <c r="Z2031" s="204"/>
      <c r="AA2031" s="204"/>
      <c r="AB2031" s="204"/>
      <c r="AC2031" s="204"/>
      <c r="AD2031" s="204"/>
      <c r="AE2031" s="204"/>
      <c r="AF2031" s="204"/>
      <c r="AG2031" s="204"/>
      <c r="AH2031" s="204"/>
      <c r="AI2031" s="209"/>
      <c r="AJ2031" s="209"/>
      <c r="AK2031" s="204"/>
      <c r="AL2031" s="204"/>
      <c r="AM2031" s="204"/>
    </row>
    <row r="2032">
      <c r="A2032" s="204"/>
      <c r="B2032" s="209"/>
      <c r="C2032" s="204"/>
      <c r="D2032" s="210"/>
      <c r="E2032" s="211"/>
      <c r="F2032" s="211"/>
      <c r="G2032" s="212"/>
      <c r="H2032" s="212"/>
      <c r="I2032" s="204"/>
      <c r="J2032" s="204"/>
      <c r="K2032" s="204"/>
      <c r="L2032" s="204"/>
      <c r="M2032" s="204"/>
      <c r="N2032" s="204"/>
      <c r="O2032" s="204"/>
      <c r="P2032" s="204"/>
      <c r="Q2032" s="204"/>
      <c r="R2032" s="204"/>
      <c r="S2032" s="204"/>
      <c r="T2032" s="204"/>
      <c r="U2032" s="204"/>
      <c r="V2032" s="204"/>
      <c r="W2032" s="204"/>
      <c r="X2032" s="204"/>
      <c r="Y2032" s="204"/>
      <c r="Z2032" s="204"/>
      <c r="AA2032" s="204"/>
      <c r="AB2032" s="204"/>
      <c r="AC2032" s="204"/>
      <c r="AD2032" s="204"/>
      <c r="AE2032" s="204"/>
      <c r="AF2032" s="204"/>
      <c r="AG2032" s="204"/>
      <c r="AH2032" s="204"/>
      <c r="AI2032" s="209"/>
      <c r="AJ2032" s="209"/>
      <c r="AK2032" s="204"/>
      <c r="AL2032" s="204"/>
      <c r="AM2032" s="204"/>
    </row>
    <row r="2033">
      <c r="A2033" s="204"/>
      <c r="B2033" s="209"/>
      <c r="C2033" s="204"/>
      <c r="D2033" s="210"/>
      <c r="E2033" s="211"/>
      <c r="F2033" s="211"/>
      <c r="G2033" s="212"/>
      <c r="H2033" s="212"/>
      <c r="I2033" s="204"/>
      <c r="J2033" s="204"/>
      <c r="K2033" s="204"/>
      <c r="L2033" s="204"/>
      <c r="M2033" s="204"/>
      <c r="N2033" s="204"/>
      <c r="O2033" s="204"/>
      <c r="P2033" s="204"/>
      <c r="Q2033" s="204"/>
      <c r="R2033" s="204"/>
      <c r="S2033" s="204"/>
      <c r="T2033" s="204"/>
      <c r="U2033" s="204"/>
      <c r="V2033" s="204"/>
      <c r="W2033" s="204"/>
      <c r="X2033" s="204"/>
      <c r="Y2033" s="204"/>
      <c r="Z2033" s="204"/>
      <c r="AA2033" s="204"/>
      <c r="AB2033" s="204"/>
      <c r="AC2033" s="204"/>
      <c r="AD2033" s="204"/>
      <c r="AE2033" s="204"/>
      <c r="AF2033" s="204"/>
      <c r="AG2033" s="204"/>
      <c r="AH2033" s="204"/>
      <c r="AI2033" s="209"/>
      <c r="AJ2033" s="209"/>
      <c r="AK2033" s="204"/>
      <c r="AL2033" s="204"/>
      <c r="AM2033" s="204"/>
    </row>
    <row r="2034">
      <c r="A2034" s="204"/>
      <c r="B2034" s="209"/>
      <c r="C2034" s="204"/>
      <c r="D2034" s="210"/>
      <c r="E2034" s="211"/>
      <c r="F2034" s="211"/>
      <c r="G2034" s="212"/>
      <c r="H2034" s="212"/>
      <c r="I2034" s="204"/>
      <c r="J2034" s="204"/>
      <c r="K2034" s="204"/>
      <c r="L2034" s="204"/>
      <c r="M2034" s="204"/>
      <c r="N2034" s="204"/>
      <c r="O2034" s="204"/>
      <c r="P2034" s="204"/>
      <c r="Q2034" s="204"/>
      <c r="R2034" s="204"/>
      <c r="S2034" s="204"/>
      <c r="T2034" s="204"/>
      <c r="U2034" s="204"/>
      <c r="V2034" s="204"/>
      <c r="W2034" s="204"/>
      <c r="X2034" s="204"/>
      <c r="Y2034" s="204"/>
      <c r="Z2034" s="204"/>
      <c r="AA2034" s="204"/>
      <c r="AB2034" s="204"/>
      <c r="AC2034" s="204"/>
      <c r="AD2034" s="204"/>
      <c r="AE2034" s="204"/>
      <c r="AF2034" s="204"/>
      <c r="AG2034" s="204"/>
      <c r="AH2034" s="204"/>
      <c r="AI2034" s="209"/>
      <c r="AJ2034" s="209"/>
      <c r="AK2034" s="204"/>
      <c r="AL2034" s="204"/>
      <c r="AM2034" s="204"/>
    </row>
    <row r="2035">
      <c r="A2035" s="204"/>
      <c r="B2035" s="209"/>
      <c r="C2035" s="204"/>
      <c r="D2035" s="210"/>
      <c r="E2035" s="211"/>
      <c r="F2035" s="211"/>
      <c r="G2035" s="212"/>
      <c r="H2035" s="212"/>
      <c r="I2035" s="204"/>
      <c r="J2035" s="204"/>
      <c r="K2035" s="204"/>
      <c r="L2035" s="204"/>
      <c r="M2035" s="204"/>
      <c r="N2035" s="204"/>
      <c r="O2035" s="204"/>
      <c r="P2035" s="204"/>
      <c r="Q2035" s="204"/>
      <c r="R2035" s="204"/>
      <c r="S2035" s="204"/>
      <c r="T2035" s="204"/>
      <c r="U2035" s="204"/>
      <c r="V2035" s="204"/>
      <c r="W2035" s="204"/>
      <c r="X2035" s="204"/>
      <c r="Y2035" s="204"/>
      <c r="Z2035" s="204"/>
      <c r="AA2035" s="204"/>
      <c r="AB2035" s="204"/>
      <c r="AC2035" s="204"/>
      <c r="AD2035" s="204"/>
      <c r="AE2035" s="204"/>
      <c r="AF2035" s="204"/>
      <c r="AG2035" s="204"/>
      <c r="AH2035" s="204"/>
      <c r="AI2035" s="209"/>
      <c r="AJ2035" s="209"/>
      <c r="AK2035" s="204"/>
      <c r="AL2035" s="204"/>
      <c r="AM2035" s="204"/>
    </row>
    <row r="2036">
      <c r="A2036" s="204"/>
      <c r="B2036" s="209"/>
      <c r="C2036" s="204"/>
      <c r="D2036" s="210"/>
      <c r="E2036" s="211"/>
      <c r="F2036" s="211"/>
      <c r="G2036" s="212"/>
      <c r="H2036" s="212"/>
      <c r="I2036" s="204"/>
      <c r="J2036" s="204"/>
      <c r="K2036" s="204"/>
      <c r="L2036" s="204"/>
      <c r="M2036" s="204"/>
      <c r="N2036" s="204"/>
      <c r="O2036" s="204"/>
      <c r="P2036" s="204"/>
      <c r="Q2036" s="204"/>
      <c r="R2036" s="204"/>
      <c r="S2036" s="204"/>
      <c r="T2036" s="204"/>
      <c r="U2036" s="204"/>
      <c r="V2036" s="204"/>
      <c r="W2036" s="204"/>
      <c r="X2036" s="204"/>
      <c r="Y2036" s="204"/>
      <c r="Z2036" s="204"/>
      <c r="AA2036" s="204"/>
      <c r="AB2036" s="204"/>
      <c r="AC2036" s="204"/>
      <c r="AD2036" s="204"/>
      <c r="AE2036" s="204"/>
      <c r="AF2036" s="204"/>
      <c r="AG2036" s="204"/>
      <c r="AH2036" s="204"/>
      <c r="AI2036" s="209"/>
      <c r="AJ2036" s="209"/>
      <c r="AK2036" s="204"/>
      <c r="AL2036" s="204"/>
      <c r="AM2036" s="204"/>
    </row>
    <row r="2037">
      <c r="A2037" s="204"/>
      <c r="B2037" s="209"/>
      <c r="C2037" s="204"/>
      <c r="D2037" s="210"/>
      <c r="E2037" s="211"/>
      <c r="F2037" s="211"/>
      <c r="G2037" s="212"/>
      <c r="H2037" s="212"/>
      <c r="I2037" s="204"/>
      <c r="J2037" s="204"/>
      <c r="K2037" s="204"/>
      <c r="L2037" s="204"/>
      <c r="M2037" s="204"/>
      <c r="N2037" s="204"/>
      <c r="O2037" s="204"/>
      <c r="P2037" s="204"/>
      <c r="Q2037" s="204"/>
      <c r="R2037" s="204"/>
      <c r="S2037" s="204"/>
      <c r="T2037" s="204"/>
      <c r="U2037" s="204"/>
      <c r="V2037" s="204"/>
      <c r="W2037" s="204"/>
      <c r="X2037" s="204"/>
      <c r="Y2037" s="204"/>
      <c r="Z2037" s="204"/>
      <c r="AA2037" s="204"/>
      <c r="AB2037" s="204"/>
      <c r="AC2037" s="204"/>
      <c r="AD2037" s="204"/>
      <c r="AE2037" s="204"/>
      <c r="AF2037" s="204"/>
      <c r="AG2037" s="204"/>
      <c r="AH2037" s="204"/>
      <c r="AI2037" s="209"/>
      <c r="AJ2037" s="209"/>
      <c r="AK2037" s="204"/>
      <c r="AL2037" s="204"/>
      <c r="AM2037" s="204"/>
    </row>
    <row r="2038">
      <c r="A2038" s="204"/>
      <c r="B2038" s="209"/>
      <c r="C2038" s="204"/>
      <c r="D2038" s="210"/>
      <c r="E2038" s="211"/>
      <c r="F2038" s="211"/>
      <c r="G2038" s="212"/>
      <c r="H2038" s="212"/>
      <c r="I2038" s="204"/>
      <c r="J2038" s="204"/>
      <c r="K2038" s="204"/>
      <c r="L2038" s="204"/>
      <c r="M2038" s="204"/>
      <c r="N2038" s="204"/>
      <c r="O2038" s="204"/>
      <c r="P2038" s="204"/>
      <c r="Q2038" s="204"/>
      <c r="R2038" s="204"/>
      <c r="S2038" s="204"/>
      <c r="T2038" s="204"/>
      <c r="U2038" s="204"/>
      <c r="V2038" s="204"/>
      <c r="W2038" s="204"/>
      <c r="X2038" s="204"/>
      <c r="Y2038" s="204"/>
      <c r="Z2038" s="204"/>
      <c r="AA2038" s="204"/>
      <c r="AB2038" s="204"/>
      <c r="AC2038" s="204"/>
      <c r="AD2038" s="204"/>
      <c r="AE2038" s="204"/>
      <c r="AF2038" s="204"/>
      <c r="AG2038" s="204"/>
      <c r="AH2038" s="204"/>
      <c r="AI2038" s="209"/>
      <c r="AJ2038" s="209"/>
      <c r="AK2038" s="204"/>
      <c r="AL2038" s="204"/>
      <c r="AM2038" s="204"/>
    </row>
    <row r="2039">
      <c r="A2039" s="204"/>
      <c r="B2039" s="209"/>
      <c r="C2039" s="204"/>
      <c r="D2039" s="210"/>
      <c r="E2039" s="211"/>
      <c r="F2039" s="211"/>
      <c r="G2039" s="212"/>
      <c r="H2039" s="212"/>
      <c r="I2039" s="204"/>
      <c r="J2039" s="204"/>
      <c r="K2039" s="204"/>
      <c r="L2039" s="204"/>
      <c r="M2039" s="204"/>
      <c r="N2039" s="204"/>
      <c r="O2039" s="204"/>
      <c r="P2039" s="204"/>
      <c r="Q2039" s="204"/>
      <c r="R2039" s="204"/>
      <c r="S2039" s="204"/>
      <c r="T2039" s="204"/>
      <c r="U2039" s="204"/>
      <c r="V2039" s="204"/>
      <c r="W2039" s="204"/>
      <c r="X2039" s="204"/>
      <c r="Y2039" s="204"/>
      <c r="Z2039" s="204"/>
      <c r="AA2039" s="204"/>
      <c r="AB2039" s="204"/>
      <c r="AC2039" s="204"/>
      <c r="AD2039" s="204"/>
      <c r="AE2039" s="204"/>
      <c r="AF2039" s="204"/>
      <c r="AG2039" s="204"/>
      <c r="AH2039" s="204"/>
      <c r="AI2039" s="209"/>
      <c r="AJ2039" s="209"/>
      <c r="AK2039" s="204"/>
      <c r="AL2039" s="204"/>
      <c r="AM2039" s="204"/>
    </row>
    <row r="2040">
      <c r="A2040" s="204"/>
      <c r="B2040" s="209"/>
      <c r="C2040" s="204"/>
      <c r="D2040" s="210"/>
      <c r="E2040" s="211"/>
      <c r="F2040" s="211"/>
      <c r="G2040" s="212"/>
      <c r="H2040" s="212"/>
      <c r="I2040" s="204"/>
      <c r="J2040" s="204"/>
      <c r="K2040" s="204"/>
      <c r="L2040" s="204"/>
      <c r="M2040" s="204"/>
      <c r="N2040" s="204"/>
      <c r="O2040" s="204"/>
      <c r="P2040" s="204"/>
      <c r="Q2040" s="204"/>
      <c r="R2040" s="204"/>
      <c r="S2040" s="204"/>
      <c r="T2040" s="204"/>
      <c r="U2040" s="204"/>
      <c r="V2040" s="204"/>
      <c r="W2040" s="204"/>
      <c r="X2040" s="204"/>
      <c r="Y2040" s="204"/>
      <c r="Z2040" s="204"/>
      <c r="AA2040" s="204"/>
      <c r="AB2040" s="204"/>
      <c r="AC2040" s="204"/>
      <c r="AD2040" s="204"/>
      <c r="AE2040" s="204"/>
      <c r="AF2040" s="204"/>
      <c r="AG2040" s="204"/>
      <c r="AH2040" s="204"/>
      <c r="AI2040" s="209"/>
      <c r="AJ2040" s="209"/>
      <c r="AK2040" s="204"/>
      <c r="AL2040" s="204"/>
      <c r="AM2040" s="204"/>
    </row>
    <row r="2041">
      <c r="A2041" s="204"/>
      <c r="B2041" s="209"/>
      <c r="C2041" s="204"/>
      <c r="D2041" s="210"/>
      <c r="E2041" s="211"/>
      <c r="F2041" s="211"/>
      <c r="G2041" s="212"/>
      <c r="H2041" s="212"/>
      <c r="I2041" s="204"/>
      <c r="J2041" s="204"/>
      <c r="K2041" s="204"/>
      <c r="L2041" s="204"/>
      <c r="M2041" s="204"/>
      <c r="N2041" s="204"/>
      <c r="O2041" s="204"/>
      <c r="P2041" s="204"/>
      <c r="Q2041" s="204"/>
      <c r="R2041" s="204"/>
      <c r="S2041" s="204"/>
      <c r="T2041" s="204"/>
      <c r="U2041" s="204"/>
      <c r="V2041" s="204"/>
      <c r="W2041" s="204"/>
      <c r="X2041" s="204"/>
      <c r="Y2041" s="204"/>
      <c r="Z2041" s="204"/>
      <c r="AA2041" s="204"/>
      <c r="AB2041" s="204"/>
      <c r="AC2041" s="204"/>
      <c r="AD2041" s="204"/>
      <c r="AE2041" s="204"/>
      <c r="AF2041" s="204"/>
      <c r="AG2041" s="204"/>
      <c r="AH2041" s="204"/>
      <c r="AI2041" s="209"/>
      <c r="AJ2041" s="209"/>
      <c r="AK2041" s="204"/>
      <c r="AL2041" s="204"/>
      <c r="AM2041" s="204"/>
    </row>
    <row r="2042">
      <c r="A2042" s="204"/>
      <c r="B2042" s="209"/>
      <c r="C2042" s="204"/>
      <c r="D2042" s="210"/>
      <c r="E2042" s="211"/>
      <c r="F2042" s="211"/>
      <c r="G2042" s="212"/>
      <c r="H2042" s="212"/>
      <c r="I2042" s="204"/>
      <c r="J2042" s="204"/>
      <c r="K2042" s="204"/>
      <c r="L2042" s="204"/>
      <c r="M2042" s="204"/>
      <c r="N2042" s="204"/>
      <c r="O2042" s="204"/>
      <c r="P2042" s="204"/>
      <c r="Q2042" s="204"/>
      <c r="R2042" s="204"/>
      <c r="S2042" s="204"/>
      <c r="T2042" s="204"/>
      <c r="U2042" s="204"/>
      <c r="V2042" s="204"/>
      <c r="W2042" s="204"/>
      <c r="X2042" s="204"/>
      <c r="Y2042" s="204"/>
      <c r="Z2042" s="204"/>
      <c r="AA2042" s="204"/>
      <c r="AB2042" s="204"/>
      <c r="AC2042" s="204"/>
      <c r="AD2042" s="204"/>
      <c r="AE2042" s="204"/>
      <c r="AF2042" s="204"/>
      <c r="AG2042" s="204"/>
      <c r="AH2042" s="204"/>
      <c r="AI2042" s="209"/>
      <c r="AJ2042" s="209"/>
      <c r="AK2042" s="204"/>
      <c r="AL2042" s="204"/>
      <c r="AM2042" s="204"/>
    </row>
    <row r="2043">
      <c r="A2043" s="204"/>
      <c r="B2043" s="209"/>
      <c r="C2043" s="204"/>
      <c r="D2043" s="210"/>
      <c r="E2043" s="211"/>
      <c r="F2043" s="211"/>
      <c r="G2043" s="212"/>
      <c r="H2043" s="212"/>
      <c r="I2043" s="204"/>
      <c r="J2043" s="204"/>
      <c r="K2043" s="204"/>
      <c r="L2043" s="204"/>
      <c r="M2043" s="204"/>
      <c r="N2043" s="204"/>
      <c r="O2043" s="204"/>
      <c r="P2043" s="204"/>
      <c r="Q2043" s="204"/>
      <c r="R2043" s="204"/>
      <c r="S2043" s="204"/>
      <c r="T2043" s="204"/>
      <c r="U2043" s="204"/>
      <c r="V2043" s="204"/>
      <c r="W2043" s="204"/>
      <c r="X2043" s="204"/>
      <c r="Y2043" s="204"/>
      <c r="Z2043" s="204"/>
      <c r="AA2043" s="204"/>
      <c r="AB2043" s="204"/>
      <c r="AC2043" s="204"/>
      <c r="AD2043" s="204"/>
      <c r="AE2043" s="204"/>
      <c r="AF2043" s="204"/>
      <c r="AG2043" s="204"/>
      <c r="AH2043" s="204"/>
      <c r="AI2043" s="209"/>
      <c r="AJ2043" s="209"/>
      <c r="AK2043" s="204"/>
      <c r="AL2043" s="204"/>
      <c r="AM2043" s="204"/>
    </row>
    <row r="2044">
      <c r="A2044" s="204"/>
      <c r="B2044" s="209"/>
      <c r="C2044" s="204"/>
      <c r="D2044" s="210"/>
      <c r="E2044" s="211"/>
      <c r="F2044" s="211"/>
      <c r="G2044" s="212"/>
      <c r="H2044" s="212"/>
      <c r="I2044" s="204"/>
      <c r="J2044" s="204"/>
      <c r="K2044" s="204"/>
      <c r="L2044" s="204"/>
      <c r="M2044" s="204"/>
      <c r="N2044" s="204"/>
      <c r="O2044" s="204"/>
      <c r="P2044" s="204"/>
      <c r="Q2044" s="204"/>
      <c r="R2044" s="204"/>
      <c r="S2044" s="204"/>
      <c r="T2044" s="204"/>
      <c r="U2044" s="204"/>
      <c r="V2044" s="204"/>
      <c r="W2044" s="204"/>
      <c r="X2044" s="204"/>
      <c r="Y2044" s="204"/>
      <c r="Z2044" s="204"/>
      <c r="AA2044" s="204"/>
      <c r="AB2044" s="204"/>
      <c r="AC2044" s="204"/>
      <c r="AD2044" s="204"/>
      <c r="AE2044" s="204"/>
      <c r="AF2044" s="204"/>
      <c r="AG2044" s="204"/>
      <c r="AH2044" s="204"/>
      <c r="AI2044" s="209"/>
      <c r="AJ2044" s="209"/>
      <c r="AK2044" s="204"/>
      <c r="AL2044" s="204"/>
      <c r="AM2044" s="204"/>
    </row>
    <row r="2045">
      <c r="A2045" s="204"/>
      <c r="B2045" s="209"/>
      <c r="C2045" s="204"/>
      <c r="D2045" s="210"/>
      <c r="E2045" s="211"/>
      <c r="F2045" s="211"/>
      <c r="G2045" s="212"/>
      <c r="H2045" s="212"/>
      <c r="I2045" s="204"/>
      <c r="J2045" s="204"/>
      <c r="K2045" s="204"/>
      <c r="L2045" s="204"/>
      <c r="M2045" s="204"/>
      <c r="N2045" s="204"/>
      <c r="O2045" s="204"/>
      <c r="P2045" s="204"/>
      <c r="Q2045" s="204"/>
      <c r="R2045" s="204"/>
      <c r="S2045" s="204"/>
      <c r="T2045" s="204"/>
      <c r="U2045" s="204"/>
      <c r="V2045" s="204"/>
      <c r="W2045" s="204"/>
      <c r="X2045" s="204"/>
      <c r="Y2045" s="204"/>
      <c r="Z2045" s="204"/>
      <c r="AA2045" s="204"/>
      <c r="AB2045" s="204"/>
      <c r="AC2045" s="204"/>
      <c r="AD2045" s="204"/>
      <c r="AE2045" s="204"/>
      <c r="AF2045" s="204"/>
      <c r="AG2045" s="204"/>
      <c r="AH2045" s="204"/>
      <c r="AI2045" s="209"/>
      <c r="AJ2045" s="209"/>
      <c r="AK2045" s="204"/>
      <c r="AL2045" s="204"/>
      <c r="AM2045" s="204"/>
    </row>
    <row r="2046">
      <c r="A2046" s="204"/>
      <c r="B2046" s="209"/>
      <c r="C2046" s="204"/>
      <c r="D2046" s="210"/>
      <c r="E2046" s="211"/>
      <c r="F2046" s="211"/>
      <c r="G2046" s="212"/>
      <c r="H2046" s="212"/>
      <c r="I2046" s="204"/>
      <c r="J2046" s="204"/>
      <c r="K2046" s="204"/>
      <c r="L2046" s="204"/>
      <c r="M2046" s="204"/>
      <c r="N2046" s="204"/>
      <c r="O2046" s="204"/>
      <c r="P2046" s="204"/>
      <c r="Q2046" s="204"/>
      <c r="R2046" s="204"/>
      <c r="S2046" s="204"/>
      <c r="T2046" s="204"/>
      <c r="U2046" s="204"/>
      <c r="V2046" s="204"/>
      <c r="W2046" s="204"/>
      <c r="X2046" s="204"/>
      <c r="Y2046" s="204"/>
      <c r="Z2046" s="204"/>
      <c r="AA2046" s="204"/>
      <c r="AB2046" s="204"/>
      <c r="AC2046" s="204"/>
      <c r="AD2046" s="204"/>
      <c r="AE2046" s="204"/>
      <c r="AF2046" s="204"/>
      <c r="AG2046" s="204"/>
      <c r="AH2046" s="204"/>
      <c r="AI2046" s="209"/>
      <c r="AJ2046" s="209"/>
      <c r="AK2046" s="204"/>
      <c r="AL2046" s="204"/>
      <c r="AM2046" s="204"/>
    </row>
    <row r="2047">
      <c r="A2047" s="204"/>
      <c r="B2047" s="209"/>
      <c r="C2047" s="204"/>
      <c r="D2047" s="210"/>
      <c r="E2047" s="211"/>
      <c r="F2047" s="211"/>
      <c r="G2047" s="212"/>
      <c r="H2047" s="212"/>
      <c r="I2047" s="204"/>
      <c r="J2047" s="204"/>
      <c r="K2047" s="204"/>
      <c r="L2047" s="204"/>
      <c r="M2047" s="204"/>
      <c r="N2047" s="204"/>
      <c r="O2047" s="204"/>
      <c r="P2047" s="204"/>
      <c r="Q2047" s="204"/>
      <c r="R2047" s="204"/>
      <c r="S2047" s="204"/>
      <c r="T2047" s="204"/>
      <c r="U2047" s="204"/>
      <c r="V2047" s="204"/>
      <c r="W2047" s="204"/>
      <c r="X2047" s="204"/>
      <c r="Y2047" s="204"/>
      <c r="Z2047" s="204"/>
      <c r="AA2047" s="204"/>
      <c r="AB2047" s="204"/>
      <c r="AC2047" s="204"/>
      <c r="AD2047" s="204"/>
      <c r="AE2047" s="204"/>
      <c r="AF2047" s="204"/>
      <c r="AG2047" s="204"/>
      <c r="AH2047" s="204"/>
      <c r="AI2047" s="209"/>
      <c r="AJ2047" s="209"/>
      <c r="AK2047" s="204"/>
      <c r="AL2047" s="204"/>
      <c r="AM2047" s="204"/>
    </row>
    <row r="2048">
      <c r="A2048" s="204"/>
      <c r="B2048" s="209"/>
      <c r="C2048" s="204"/>
      <c r="D2048" s="210"/>
      <c r="E2048" s="211"/>
      <c r="F2048" s="211"/>
      <c r="G2048" s="212"/>
      <c r="H2048" s="212"/>
      <c r="I2048" s="204"/>
      <c r="J2048" s="204"/>
      <c r="K2048" s="204"/>
      <c r="L2048" s="204"/>
      <c r="M2048" s="204"/>
      <c r="N2048" s="204"/>
      <c r="O2048" s="204"/>
      <c r="P2048" s="204"/>
      <c r="Q2048" s="204"/>
      <c r="R2048" s="204"/>
      <c r="S2048" s="204"/>
      <c r="T2048" s="204"/>
      <c r="U2048" s="204"/>
      <c r="V2048" s="204"/>
      <c r="W2048" s="204"/>
      <c r="X2048" s="204"/>
      <c r="Y2048" s="204"/>
      <c r="Z2048" s="204"/>
      <c r="AA2048" s="204"/>
      <c r="AB2048" s="204"/>
      <c r="AC2048" s="204"/>
      <c r="AD2048" s="204"/>
      <c r="AE2048" s="204"/>
      <c r="AF2048" s="204"/>
      <c r="AG2048" s="204"/>
      <c r="AH2048" s="204"/>
      <c r="AI2048" s="209"/>
      <c r="AJ2048" s="209"/>
      <c r="AK2048" s="204"/>
      <c r="AL2048" s="204"/>
      <c r="AM2048" s="204"/>
    </row>
    <row r="2049">
      <c r="A2049" s="204"/>
      <c r="B2049" s="209"/>
      <c r="C2049" s="204"/>
      <c r="D2049" s="210"/>
      <c r="E2049" s="211"/>
      <c r="F2049" s="211"/>
      <c r="G2049" s="212"/>
      <c r="H2049" s="212"/>
      <c r="I2049" s="204"/>
      <c r="J2049" s="204"/>
      <c r="K2049" s="204"/>
      <c r="L2049" s="204"/>
      <c r="M2049" s="204"/>
      <c r="N2049" s="204"/>
      <c r="O2049" s="204"/>
      <c r="P2049" s="204"/>
      <c r="Q2049" s="204"/>
      <c r="R2049" s="204"/>
      <c r="S2049" s="204"/>
      <c r="T2049" s="204"/>
      <c r="U2049" s="204"/>
      <c r="V2049" s="204"/>
      <c r="W2049" s="204"/>
      <c r="X2049" s="204"/>
      <c r="Y2049" s="204"/>
      <c r="Z2049" s="204"/>
      <c r="AA2049" s="204"/>
      <c r="AB2049" s="204"/>
      <c r="AC2049" s="204"/>
      <c r="AD2049" s="204"/>
      <c r="AE2049" s="204"/>
      <c r="AF2049" s="204"/>
      <c r="AG2049" s="204"/>
      <c r="AH2049" s="204"/>
      <c r="AI2049" s="209"/>
      <c r="AJ2049" s="209"/>
      <c r="AK2049" s="204"/>
      <c r="AL2049" s="204"/>
      <c r="AM2049" s="204"/>
    </row>
    <row r="2050">
      <c r="A2050" s="204"/>
      <c r="B2050" s="209"/>
      <c r="C2050" s="204"/>
      <c r="D2050" s="210"/>
      <c r="E2050" s="211"/>
      <c r="F2050" s="211"/>
      <c r="G2050" s="212"/>
      <c r="H2050" s="212"/>
      <c r="I2050" s="204"/>
      <c r="J2050" s="204"/>
      <c r="K2050" s="204"/>
      <c r="L2050" s="204"/>
      <c r="M2050" s="204"/>
      <c r="N2050" s="204"/>
      <c r="O2050" s="204"/>
      <c r="P2050" s="204"/>
      <c r="Q2050" s="204"/>
      <c r="R2050" s="204"/>
      <c r="S2050" s="204"/>
      <c r="T2050" s="204"/>
      <c r="U2050" s="204"/>
      <c r="V2050" s="204"/>
      <c r="W2050" s="204"/>
      <c r="X2050" s="204"/>
      <c r="Y2050" s="204"/>
      <c r="Z2050" s="204"/>
      <c r="AA2050" s="204"/>
      <c r="AB2050" s="204"/>
      <c r="AC2050" s="204"/>
      <c r="AD2050" s="204"/>
      <c r="AE2050" s="204"/>
      <c r="AF2050" s="204"/>
      <c r="AG2050" s="204"/>
      <c r="AH2050" s="204"/>
      <c r="AI2050" s="209"/>
      <c r="AJ2050" s="209"/>
      <c r="AK2050" s="204"/>
      <c r="AL2050" s="204"/>
      <c r="AM2050" s="204"/>
    </row>
    <row r="2051">
      <c r="A2051" s="204"/>
      <c r="B2051" s="209"/>
      <c r="C2051" s="204"/>
      <c r="D2051" s="210"/>
      <c r="E2051" s="211"/>
      <c r="F2051" s="211"/>
      <c r="G2051" s="212"/>
      <c r="H2051" s="212"/>
      <c r="I2051" s="204"/>
      <c r="J2051" s="204"/>
      <c r="K2051" s="204"/>
      <c r="L2051" s="204"/>
      <c r="M2051" s="204"/>
      <c r="N2051" s="204"/>
      <c r="O2051" s="204"/>
      <c r="P2051" s="204"/>
      <c r="Q2051" s="204"/>
      <c r="R2051" s="204"/>
      <c r="S2051" s="204"/>
      <c r="T2051" s="204"/>
      <c r="U2051" s="204"/>
      <c r="V2051" s="204"/>
      <c r="W2051" s="204"/>
      <c r="X2051" s="204"/>
      <c r="Y2051" s="204"/>
      <c r="Z2051" s="204"/>
      <c r="AA2051" s="204"/>
      <c r="AB2051" s="204"/>
      <c r="AC2051" s="204"/>
      <c r="AD2051" s="204"/>
      <c r="AE2051" s="204"/>
      <c r="AF2051" s="204"/>
      <c r="AG2051" s="204"/>
      <c r="AH2051" s="204"/>
      <c r="AI2051" s="209"/>
      <c r="AJ2051" s="209"/>
      <c r="AK2051" s="204"/>
      <c r="AL2051" s="204"/>
      <c r="AM2051" s="204"/>
    </row>
    <row r="2052">
      <c r="A2052" s="204"/>
      <c r="B2052" s="209"/>
      <c r="C2052" s="204"/>
      <c r="D2052" s="210"/>
      <c r="E2052" s="211"/>
      <c r="F2052" s="211"/>
      <c r="G2052" s="212"/>
      <c r="H2052" s="212"/>
      <c r="I2052" s="204"/>
      <c r="J2052" s="204"/>
      <c r="K2052" s="204"/>
      <c r="L2052" s="204"/>
      <c r="M2052" s="204"/>
      <c r="N2052" s="204"/>
      <c r="O2052" s="204"/>
      <c r="P2052" s="204"/>
      <c r="Q2052" s="204"/>
      <c r="R2052" s="204"/>
      <c r="S2052" s="204"/>
      <c r="T2052" s="204"/>
      <c r="U2052" s="204"/>
      <c r="V2052" s="204"/>
      <c r="W2052" s="204"/>
      <c r="X2052" s="204"/>
      <c r="Y2052" s="204"/>
      <c r="Z2052" s="204"/>
      <c r="AA2052" s="204"/>
      <c r="AB2052" s="204"/>
      <c r="AC2052" s="204"/>
      <c r="AD2052" s="204"/>
      <c r="AE2052" s="204"/>
      <c r="AF2052" s="204"/>
      <c r="AG2052" s="204"/>
      <c r="AH2052" s="204"/>
      <c r="AI2052" s="209"/>
      <c r="AJ2052" s="209"/>
      <c r="AK2052" s="204"/>
      <c r="AL2052" s="204"/>
      <c r="AM2052" s="204"/>
    </row>
    <row r="2053">
      <c r="A2053" s="204"/>
      <c r="B2053" s="209"/>
      <c r="C2053" s="204"/>
      <c r="D2053" s="210"/>
      <c r="E2053" s="211"/>
      <c r="F2053" s="211"/>
      <c r="G2053" s="212"/>
      <c r="H2053" s="212"/>
      <c r="I2053" s="204"/>
      <c r="J2053" s="204"/>
      <c r="K2053" s="204"/>
      <c r="L2053" s="204"/>
      <c r="M2053" s="204"/>
      <c r="N2053" s="204"/>
      <c r="O2053" s="204"/>
      <c r="P2053" s="204"/>
      <c r="Q2053" s="204"/>
      <c r="R2053" s="204"/>
      <c r="S2053" s="204"/>
      <c r="T2053" s="204"/>
      <c r="U2053" s="204"/>
      <c r="V2053" s="204"/>
      <c r="W2053" s="204"/>
      <c r="X2053" s="204"/>
      <c r="Y2053" s="204"/>
      <c r="Z2053" s="204"/>
      <c r="AA2053" s="204"/>
      <c r="AB2053" s="204"/>
      <c r="AC2053" s="204"/>
      <c r="AD2053" s="204"/>
      <c r="AE2053" s="204"/>
      <c r="AF2053" s="204"/>
      <c r="AG2053" s="204"/>
      <c r="AH2053" s="204"/>
      <c r="AI2053" s="209"/>
      <c r="AJ2053" s="209"/>
      <c r="AK2053" s="204"/>
      <c r="AL2053" s="204"/>
      <c r="AM2053" s="204"/>
    </row>
    <row r="2054">
      <c r="A2054" s="204"/>
      <c r="B2054" s="209"/>
      <c r="C2054" s="204"/>
      <c r="D2054" s="210"/>
      <c r="E2054" s="211"/>
      <c r="F2054" s="211"/>
      <c r="G2054" s="212"/>
      <c r="H2054" s="212"/>
      <c r="I2054" s="204"/>
      <c r="J2054" s="204"/>
      <c r="K2054" s="204"/>
      <c r="L2054" s="204"/>
      <c r="M2054" s="204"/>
      <c r="N2054" s="204"/>
      <c r="O2054" s="204"/>
      <c r="P2054" s="204"/>
      <c r="Q2054" s="204"/>
      <c r="R2054" s="204"/>
      <c r="S2054" s="204"/>
      <c r="T2054" s="204"/>
      <c r="U2054" s="204"/>
      <c r="V2054" s="204"/>
      <c r="W2054" s="204"/>
      <c r="X2054" s="204"/>
      <c r="Y2054" s="204"/>
      <c r="Z2054" s="204"/>
      <c r="AA2054" s="204"/>
      <c r="AB2054" s="204"/>
      <c r="AC2054" s="204"/>
      <c r="AD2054" s="204"/>
      <c r="AE2054" s="204"/>
      <c r="AF2054" s="204"/>
      <c r="AG2054" s="204"/>
      <c r="AH2054" s="204"/>
      <c r="AI2054" s="209"/>
      <c r="AJ2054" s="209"/>
      <c r="AK2054" s="204"/>
      <c r="AL2054" s="204"/>
      <c r="AM2054" s="204"/>
    </row>
    <row r="2055">
      <c r="A2055" s="204"/>
      <c r="B2055" s="209"/>
      <c r="C2055" s="204"/>
      <c r="D2055" s="210"/>
      <c r="E2055" s="211"/>
      <c r="F2055" s="211"/>
      <c r="G2055" s="212"/>
      <c r="H2055" s="212"/>
      <c r="I2055" s="204"/>
      <c r="J2055" s="204"/>
      <c r="K2055" s="204"/>
      <c r="L2055" s="204"/>
      <c r="M2055" s="204"/>
      <c r="N2055" s="204"/>
      <c r="O2055" s="204"/>
      <c r="P2055" s="204"/>
      <c r="Q2055" s="204"/>
      <c r="R2055" s="204"/>
      <c r="S2055" s="204"/>
      <c r="T2055" s="204"/>
      <c r="U2055" s="204"/>
      <c r="V2055" s="204"/>
      <c r="W2055" s="204"/>
      <c r="X2055" s="204"/>
      <c r="Y2055" s="204"/>
      <c r="Z2055" s="204"/>
      <c r="AA2055" s="204"/>
      <c r="AB2055" s="204"/>
      <c r="AC2055" s="204"/>
      <c r="AD2055" s="204"/>
      <c r="AE2055" s="204"/>
      <c r="AF2055" s="204"/>
      <c r="AG2055" s="204"/>
      <c r="AH2055" s="204"/>
      <c r="AI2055" s="209"/>
      <c r="AJ2055" s="209"/>
      <c r="AK2055" s="204"/>
      <c r="AL2055" s="204"/>
      <c r="AM2055" s="204"/>
    </row>
    <row r="2056">
      <c r="A2056" s="204"/>
      <c r="B2056" s="209"/>
      <c r="C2056" s="204"/>
      <c r="D2056" s="210"/>
      <c r="E2056" s="211"/>
      <c r="F2056" s="211"/>
      <c r="G2056" s="212"/>
      <c r="H2056" s="212"/>
      <c r="I2056" s="204"/>
      <c r="J2056" s="204"/>
      <c r="K2056" s="204"/>
      <c r="L2056" s="204"/>
      <c r="M2056" s="204"/>
      <c r="N2056" s="204"/>
      <c r="O2056" s="204"/>
      <c r="P2056" s="204"/>
      <c r="Q2056" s="204"/>
      <c r="R2056" s="204"/>
      <c r="S2056" s="204"/>
      <c r="T2056" s="204"/>
      <c r="U2056" s="204"/>
      <c r="V2056" s="204"/>
      <c r="W2056" s="204"/>
      <c r="X2056" s="204"/>
      <c r="Y2056" s="204"/>
      <c r="Z2056" s="204"/>
      <c r="AA2056" s="204"/>
      <c r="AB2056" s="204"/>
      <c r="AC2056" s="204"/>
      <c r="AD2056" s="204"/>
      <c r="AE2056" s="204"/>
      <c r="AF2056" s="204"/>
      <c r="AG2056" s="204"/>
      <c r="AH2056" s="204"/>
      <c r="AI2056" s="209"/>
      <c r="AJ2056" s="209"/>
      <c r="AK2056" s="204"/>
      <c r="AL2056" s="204"/>
      <c r="AM2056" s="204"/>
    </row>
    <row r="2057">
      <c r="A2057" s="204"/>
      <c r="B2057" s="209"/>
      <c r="C2057" s="204"/>
      <c r="D2057" s="210"/>
      <c r="E2057" s="211"/>
      <c r="F2057" s="211"/>
      <c r="G2057" s="212"/>
      <c r="H2057" s="212"/>
      <c r="I2057" s="204"/>
      <c r="J2057" s="204"/>
      <c r="K2057" s="204"/>
      <c r="L2057" s="204"/>
      <c r="M2057" s="204"/>
      <c r="N2057" s="204"/>
      <c r="O2057" s="204"/>
      <c r="P2057" s="204"/>
      <c r="Q2057" s="204"/>
      <c r="R2057" s="204"/>
      <c r="S2057" s="204"/>
      <c r="T2057" s="204"/>
      <c r="U2057" s="204"/>
      <c r="V2057" s="204"/>
      <c r="W2057" s="204"/>
      <c r="X2057" s="204"/>
      <c r="Y2057" s="204"/>
      <c r="Z2057" s="204"/>
      <c r="AA2057" s="204"/>
      <c r="AB2057" s="204"/>
      <c r="AC2057" s="204"/>
      <c r="AD2057" s="204"/>
      <c r="AE2057" s="204"/>
      <c r="AF2057" s="204"/>
      <c r="AG2057" s="204"/>
      <c r="AH2057" s="204"/>
      <c r="AI2057" s="209"/>
      <c r="AJ2057" s="209"/>
      <c r="AK2057" s="204"/>
      <c r="AL2057" s="204"/>
      <c r="AM2057" s="204"/>
    </row>
    <row r="2058">
      <c r="A2058" s="204"/>
      <c r="B2058" s="209"/>
      <c r="C2058" s="204"/>
      <c r="D2058" s="210"/>
      <c r="E2058" s="211"/>
      <c r="F2058" s="211"/>
      <c r="G2058" s="212"/>
      <c r="H2058" s="212"/>
      <c r="I2058" s="204"/>
      <c r="J2058" s="204"/>
      <c r="K2058" s="204"/>
      <c r="L2058" s="204"/>
      <c r="M2058" s="204"/>
      <c r="N2058" s="204"/>
      <c r="O2058" s="204"/>
      <c r="P2058" s="204"/>
      <c r="Q2058" s="204"/>
      <c r="R2058" s="204"/>
      <c r="S2058" s="204"/>
      <c r="T2058" s="204"/>
      <c r="U2058" s="204"/>
      <c r="V2058" s="204"/>
      <c r="W2058" s="204"/>
      <c r="X2058" s="204"/>
      <c r="Y2058" s="204"/>
      <c r="Z2058" s="204"/>
      <c r="AA2058" s="204"/>
      <c r="AB2058" s="204"/>
      <c r="AC2058" s="204"/>
      <c r="AD2058" s="204"/>
      <c r="AE2058" s="204"/>
      <c r="AF2058" s="204"/>
      <c r="AG2058" s="204"/>
      <c r="AH2058" s="204"/>
      <c r="AI2058" s="209"/>
      <c r="AJ2058" s="209"/>
      <c r="AK2058" s="204"/>
      <c r="AL2058" s="204"/>
      <c r="AM2058" s="204"/>
    </row>
    <row r="2059">
      <c r="A2059" s="204"/>
      <c r="B2059" s="209"/>
      <c r="C2059" s="204"/>
      <c r="D2059" s="210"/>
      <c r="E2059" s="211"/>
      <c r="F2059" s="211"/>
      <c r="G2059" s="212"/>
      <c r="H2059" s="212"/>
      <c r="I2059" s="204"/>
      <c r="J2059" s="204"/>
      <c r="K2059" s="204"/>
      <c r="L2059" s="204"/>
      <c r="M2059" s="204"/>
      <c r="N2059" s="204"/>
      <c r="O2059" s="204"/>
      <c r="P2059" s="204"/>
      <c r="Q2059" s="204"/>
      <c r="R2059" s="204"/>
      <c r="S2059" s="204"/>
      <c r="T2059" s="204"/>
      <c r="U2059" s="204"/>
      <c r="V2059" s="204"/>
      <c r="W2059" s="204"/>
      <c r="X2059" s="204"/>
      <c r="Y2059" s="204"/>
      <c r="Z2059" s="204"/>
      <c r="AA2059" s="204"/>
      <c r="AB2059" s="204"/>
      <c r="AC2059" s="204"/>
      <c r="AD2059" s="204"/>
      <c r="AE2059" s="204"/>
      <c r="AF2059" s="204"/>
      <c r="AG2059" s="204"/>
      <c r="AH2059" s="204"/>
      <c r="AI2059" s="209"/>
      <c r="AJ2059" s="209"/>
      <c r="AK2059" s="204"/>
      <c r="AL2059" s="204"/>
      <c r="AM2059" s="204"/>
    </row>
    <row r="2060">
      <c r="A2060" s="204"/>
      <c r="B2060" s="209"/>
      <c r="C2060" s="204"/>
      <c r="D2060" s="210"/>
      <c r="E2060" s="211"/>
      <c r="F2060" s="211"/>
      <c r="G2060" s="212"/>
      <c r="H2060" s="212"/>
      <c r="I2060" s="204"/>
      <c r="J2060" s="204"/>
      <c r="K2060" s="204"/>
      <c r="L2060" s="204"/>
      <c r="M2060" s="204"/>
      <c r="N2060" s="204"/>
      <c r="O2060" s="204"/>
      <c r="P2060" s="204"/>
      <c r="Q2060" s="204"/>
      <c r="R2060" s="204"/>
      <c r="S2060" s="204"/>
      <c r="T2060" s="204"/>
      <c r="U2060" s="204"/>
      <c r="V2060" s="204"/>
      <c r="W2060" s="204"/>
      <c r="X2060" s="204"/>
      <c r="Y2060" s="204"/>
      <c r="Z2060" s="204"/>
      <c r="AA2060" s="204"/>
      <c r="AB2060" s="204"/>
      <c r="AC2060" s="204"/>
      <c r="AD2060" s="204"/>
      <c r="AE2060" s="204"/>
      <c r="AF2060" s="204"/>
      <c r="AG2060" s="204"/>
      <c r="AH2060" s="204"/>
      <c r="AI2060" s="209"/>
      <c r="AJ2060" s="209"/>
      <c r="AK2060" s="204"/>
      <c r="AL2060" s="204"/>
      <c r="AM2060" s="204"/>
    </row>
    <row r="2061">
      <c r="A2061" s="204"/>
      <c r="B2061" s="209"/>
      <c r="C2061" s="204"/>
      <c r="D2061" s="210"/>
      <c r="E2061" s="211"/>
      <c r="F2061" s="211"/>
      <c r="G2061" s="212"/>
      <c r="H2061" s="212"/>
      <c r="I2061" s="204"/>
      <c r="J2061" s="204"/>
      <c r="K2061" s="204"/>
      <c r="L2061" s="204"/>
      <c r="M2061" s="204"/>
      <c r="N2061" s="204"/>
      <c r="O2061" s="204"/>
      <c r="P2061" s="204"/>
      <c r="Q2061" s="204"/>
      <c r="R2061" s="204"/>
      <c r="S2061" s="204"/>
      <c r="T2061" s="204"/>
      <c r="U2061" s="204"/>
      <c r="V2061" s="204"/>
      <c r="W2061" s="204"/>
      <c r="X2061" s="204"/>
      <c r="Y2061" s="204"/>
      <c r="Z2061" s="204"/>
      <c r="AA2061" s="204"/>
      <c r="AB2061" s="204"/>
      <c r="AC2061" s="204"/>
      <c r="AD2061" s="204"/>
      <c r="AE2061" s="204"/>
      <c r="AF2061" s="204"/>
      <c r="AG2061" s="204"/>
      <c r="AH2061" s="204"/>
      <c r="AI2061" s="209"/>
      <c r="AJ2061" s="209"/>
      <c r="AK2061" s="204"/>
      <c r="AL2061" s="204"/>
      <c r="AM2061" s="204"/>
    </row>
    <row r="2062">
      <c r="A2062" s="204"/>
      <c r="B2062" s="209"/>
      <c r="C2062" s="204"/>
      <c r="D2062" s="210"/>
      <c r="E2062" s="211"/>
      <c r="F2062" s="211"/>
      <c r="G2062" s="212"/>
      <c r="H2062" s="212"/>
      <c r="I2062" s="204"/>
      <c r="J2062" s="204"/>
      <c r="K2062" s="204"/>
      <c r="L2062" s="204"/>
      <c r="M2062" s="204"/>
      <c r="N2062" s="204"/>
      <c r="O2062" s="204"/>
      <c r="P2062" s="204"/>
      <c r="Q2062" s="204"/>
      <c r="R2062" s="204"/>
      <c r="S2062" s="204"/>
      <c r="T2062" s="204"/>
      <c r="U2062" s="204"/>
      <c r="V2062" s="204"/>
      <c r="W2062" s="204"/>
      <c r="X2062" s="204"/>
      <c r="Y2062" s="204"/>
      <c r="Z2062" s="204"/>
      <c r="AA2062" s="204"/>
      <c r="AB2062" s="204"/>
      <c r="AC2062" s="204"/>
      <c r="AD2062" s="204"/>
      <c r="AE2062" s="204"/>
      <c r="AF2062" s="204"/>
      <c r="AG2062" s="204"/>
      <c r="AH2062" s="204"/>
      <c r="AI2062" s="209"/>
      <c r="AJ2062" s="209"/>
      <c r="AK2062" s="204"/>
      <c r="AL2062" s="204"/>
      <c r="AM2062" s="204"/>
    </row>
    <row r="2063">
      <c r="A2063" s="204"/>
      <c r="B2063" s="209"/>
      <c r="C2063" s="204"/>
      <c r="D2063" s="210"/>
      <c r="E2063" s="211"/>
      <c r="F2063" s="211"/>
      <c r="G2063" s="212"/>
      <c r="H2063" s="212"/>
      <c r="I2063" s="204"/>
      <c r="J2063" s="204"/>
      <c r="K2063" s="204"/>
      <c r="L2063" s="204"/>
      <c r="M2063" s="204"/>
      <c r="N2063" s="204"/>
      <c r="O2063" s="204"/>
      <c r="P2063" s="204"/>
      <c r="Q2063" s="204"/>
      <c r="R2063" s="204"/>
      <c r="S2063" s="204"/>
      <c r="T2063" s="204"/>
      <c r="U2063" s="204"/>
      <c r="V2063" s="204"/>
      <c r="W2063" s="204"/>
      <c r="X2063" s="204"/>
      <c r="Y2063" s="204"/>
      <c r="Z2063" s="204"/>
      <c r="AA2063" s="204"/>
      <c r="AB2063" s="204"/>
      <c r="AC2063" s="204"/>
      <c r="AD2063" s="204"/>
      <c r="AE2063" s="204"/>
      <c r="AF2063" s="204"/>
      <c r="AG2063" s="204"/>
      <c r="AH2063" s="204"/>
      <c r="AI2063" s="209"/>
      <c r="AJ2063" s="209"/>
      <c r="AK2063" s="204"/>
      <c r="AL2063" s="204"/>
      <c r="AM2063" s="204"/>
    </row>
    <row r="2064">
      <c r="A2064" s="204"/>
      <c r="B2064" s="209"/>
      <c r="C2064" s="204"/>
      <c r="D2064" s="210"/>
      <c r="E2064" s="211"/>
      <c r="F2064" s="211"/>
      <c r="G2064" s="212"/>
      <c r="H2064" s="212"/>
      <c r="I2064" s="204"/>
      <c r="J2064" s="204"/>
      <c r="K2064" s="204"/>
      <c r="L2064" s="204"/>
      <c r="M2064" s="204"/>
      <c r="N2064" s="204"/>
      <c r="O2064" s="204"/>
      <c r="P2064" s="204"/>
      <c r="Q2064" s="204"/>
      <c r="R2064" s="204"/>
      <c r="S2064" s="204"/>
      <c r="T2064" s="204"/>
      <c r="U2064" s="204"/>
      <c r="V2064" s="204"/>
      <c r="W2064" s="204"/>
      <c r="X2064" s="204"/>
      <c r="Y2064" s="204"/>
      <c r="Z2064" s="204"/>
      <c r="AA2064" s="204"/>
      <c r="AB2064" s="204"/>
      <c r="AC2064" s="204"/>
      <c r="AD2064" s="204"/>
      <c r="AE2064" s="204"/>
      <c r="AF2064" s="204"/>
      <c r="AG2064" s="204"/>
      <c r="AH2064" s="204"/>
      <c r="AI2064" s="209"/>
      <c r="AJ2064" s="209"/>
      <c r="AK2064" s="204"/>
      <c r="AL2064" s="204"/>
      <c r="AM2064" s="204"/>
    </row>
    <row r="2065">
      <c r="A2065" s="204"/>
      <c r="B2065" s="209"/>
      <c r="C2065" s="204"/>
      <c r="D2065" s="210"/>
      <c r="E2065" s="211"/>
      <c r="F2065" s="211"/>
      <c r="G2065" s="212"/>
      <c r="H2065" s="212"/>
      <c r="I2065" s="204"/>
      <c r="J2065" s="204"/>
      <c r="K2065" s="204"/>
      <c r="L2065" s="204"/>
      <c r="M2065" s="204"/>
      <c r="N2065" s="204"/>
      <c r="O2065" s="204"/>
      <c r="P2065" s="204"/>
      <c r="Q2065" s="204"/>
      <c r="R2065" s="204"/>
      <c r="S2065" s="204"/>
      <c r="T2065" s="204"/>
      <c r="U2065" s="204"/>
      <c r="V2065" s="204"/>
      <c r="W2065" s="204"/>
      <c r="X2065" s="204"/>
      <c r="Y2065" s="204"/>
      <c r="Z2065" s="204"/>
      <c r="AA2065" s="204"/>
      <c r="AB2065" s="204"/>
      <c r="AC2065" s="204"/>
      <c r="AD2065" s="204"/>
      <c r="AE2065" s="204"/>
      <c r="AF2065" s="204"/>
      <c r="AG2065" s="204"/>
      <c r="AH2065" s="204"/>
      <c r="AI2065" s="209"/>
      <c r="AJ2065" s="209"/>
      <c r="AK2065" s="204"/>
      <c r="AL2065" s="204"/>
      <c r="AM2065" s="204"/>
    </row>
    <row r="2066">
      <c r="A2066" s="204"/>
      <c r="B2066" s="209"/>
      <c r="C2066" s="204"/>
      <c r="D2066" s="210"/>
      <c r="E2066" s="211"/>
      <c r="F2066" s="211"/>
      <c r="G2066" s="212"/>
      <c r="H2066" s="212"/>
      <c r="I2066" s="204"/>
      <c r="J2066" s="204"/>
      <c r="K2066" s="204"/>
      <c r="L2066" s="204"/>
      <c r="M2066" s="204"/>
      <c r="N2066" s="204"/>
      <c r="O2066" s="204"/>
      <c r="P2066" s="204"/>
      <c r="Q2066" s="204"/>
      <c r="R2066" s="204"/>
      <c r="S2066" s="204"/>
      <c r="T2066" s="204"/>
      <c r="U2066" s="204"/>
      <c r="V2066" s="204"/>
      <c r="W2066" s="204"/>
      <c r="X2066" s="204"/>
      <c r="Y2066" s="204"/>
      <c r="Z2066" s="204"/>
      <c r="AA2066" s="204"/>
      <c r="AB2066" s="204"/>
      <c r="AC2066" s="204"/>
      <c r="AD2066" s="204"/>
      <c r="AE2066" s="204"/>
      <c r="AF2066" s="204"/>
      <c r="AG2066" s="204"/>
      <c r="AH2066" s="204"/>
      <c r="AI2066" s="209"/>
      <c r="AJ2066" s="209"/>
      <c r="AK2066" s="204"/>
      <c r="AL2066" s="204"/>
      <c r="AM2066" s="204"/>
    </row>
    <row r="2067">
      <c r="A2067" s="204"/>
      <c r="B2067" s="209"/>
      <c r="C2067" s="204"/>
      <c r="D2067" s="210"/>
      <c r="E2067" s="211"/>
      <c r="F2067" s="211"/>
      <c r="G2067" s="212"/>
      <c r="H2067" s="212"/>
      <c r="I2067" s="204"/>
      <c r="J2067" s="204"/>
      <c r="K2067" s="204"/>
      <c r="L2067" s="204"/>
      <c r="M2067" s="204"/>
      <c r="N2067" s="204"/>
      <c r="O2067" s="204"/>
      <c r="P2067" s="204"/>
      <c r="Q2067" s="204"/>
      <c r="R2067" s="204"/>
      <c r="S2067" s="204"/>
      <c r="T2067" s="204"/>
      <c r="U2067" s="204"/>
      <c r="V2067" s="204"/>
      <c r="W2067" s="204"/>
      <c r="X2067" s="204"/>
      <c r="Y2067" s="204"/>
      <c r="Z2067" s="204"/>
      <c r="AA2067" s="204"/>
      <c r="AB2067" s="204"/>
      <c r="AC2067" s="204"/>
      <c r="AD2067" s="204"/>
      <c r="AE2067" s="204"/>
      <c r="AF2067" s="204"/>
      <c r="AG2067" s="204"/>
      <c r="AH2067" s="204"/>
      <c r="AI2067" s="209"/>
      <c r="AJ2067" s="209"/>
      <c r="AK2067" s="204"/>
      <c r="AL2067" s="204"/>
      <c r="AM2067" s="204"/>
    </row>
    <row r="2068">
      <c r="A2068" s="204"/>
      <c r="B2068" s="209"/>
      <c r="C2068" s="204"/>
      <c r="D2068" s="210"/>
      <c r="E2068" s="211"/>
      <c r="F2068" s="211"/>
      <c r="G2068" s="212"/>
      <c r="H2068" s="212"/>
      <c r="I2068" s="204"/>
      <c r="J2068" s="204"/>
      <c r="K2068" s="204"/>
      <c r="L2068" s="204"/>
      <c r="M2068" s="204"/>
      <c r="N2068" s="204"/>
      <c r="O2068" s="204"/>
      <c r="P2068" s="204"/>
      <c r="Q2068" s="204"/>
      <c r="R2068" s="204"/>
      <c r="S2068" s="204"/>
      <c r="T2068" s="204"/>
      <c r="U2068" s="204"/>
      <c r="V2068" s="204"/>
      <c r="W2068" s="204"/>
      <c r="X2068" s="204"/>
      <c r="Y2068" s="204"/>
      <c r="Z2068" s="204"/>
      <c r="AA2068" s="204"/>
      <c r="AB2068" s="204"/>
      <c r="AC2068" s="204"/>
      <c r="AD2068" s="204"/>
      <c r="AE2068" s="204"/>
      <c r="AF2068" s="204"/>
      <c r="AG2068" s="204"/>
      <c r="AH2068" s="204"/>
      <c r="AI2068" s="209"/>
      <c r="AJ2068" s="209"/>
      <c r="AK2068" s="204"/>
      <c r="AL2068" s="204"/>
      <c r="AM2068" s="204"/>
    </row>
    <row r="2069">
      <c r="A2069" s="204"/>
      <c r="B2069" s="209"/>
      <c r="C2069" s="204"/>
      <c r="D2069" s="210"/>
      <c r="E2069" s="211"/>
      <c r="F2069" s="211"/>
      <c r="G2069" s="212"/>
      <c r="H2069" s="212"/>
      <c r="I2069" s="204"/>
      <c r="J2069" s="204"/>
      <c r="K2069" s="204"/>
      <c r="L2069" s="204"/>
      <c r="M2069" s="204"/>
      <c r="N2069" s="204"/>
      <c r="O2069" s="204"/>
      <c r="P2069" s="204"/>
      <c r="Q2069" s="204"/>
      <c r="R2069" s="204"/>
      <c r="S2069" s="204"/>
      <c r="T2069" s="204"/>
      <c r="U2069" s="204"/>
      <c r="V2069" s="204"/>
      <c r="W2069" s="204"/>
      <c r="X2069" s="204"/>
      <c r="Y2069" s="204"/>
      <c r="Z2069" s="204"/>
      <c r="AA2069" s="204"/>
      <c r="AB2069" s="204"/>
      <c r="AC2069" s="204"/>
      <c r="AD2069" s="204"/>
      <c r="AE2069" s="204"/>
      <c r="AF2069" s="204"/>
      <c r="AG2069" s="204"/>
      <c r="AH2069" s="204"/>
      <c r="AI2069" s="209"/>
      <c r="AJ2069" s="209"/>
      <c r="AK2069" s="204"/>
      <c r="AL2069" s="204"/>
      <c r="AM2069" s="204"/>
    </row>
    <row r="2070">
      <c r="A2070" s="204"/>
      <c r="B2070" s="209"/>
      <c r="C2070" s="204"/>
      <c r="D2070" s="210"/>
      <c r="E2070" s="211"/>
      <c r="F2070" s="211"/>
      <c r="G2070" s="212"/>
      <c r="H2070" s="212"/>
      <c r="I2070" s="204"/>
      <c r="J2070" s="204"/>
      <c r="K2070" s="204"/>
      <c r="L2070" s="204"/>
      <c r="M2070" s="204"/>
      <c r="N2070" s="204"/>
      <c r="O2070" s="204"/>
      <c r="P2070" s="204"/>
      <c r="Q2070" s="204"/>
      <c r="R2070" s="204"/>
      <c r="S2070" s="204"/>
      <c r="T2070" s="204"/>
      <c r="U2070" s="204"/>
      <c r="V2070" s="204"/>
      <c r="W2070" s="204"/>
      <c r="X2070" s="204"/>
      <c r="Y2070" s="204"/>
      <c r="Z2070" s="204"/>
      <c r="AA2070" s="204"/>
      <c r="AB2070" s="204"/>
      <c r="AC2070" s="204"/>
      <c r="AD2070" s="204"/>
      <c r="AE2070" s="204"/>
      <c r="AF2070" s="204"/>
      <c r="AG2070" s="204"/>
      <c r="AH2070" s="204"/>
      <c r="AI2070" s="209"/>
      <c r="AJ2070" s="209"/>
      <c r="AK2070" s="204"/>
      <c r="AL2070" s="204"/>
      <c r="AM2070" s="204"/>
    </row>
    <row r="2071">
      <c r="A2071" s="204"/>
      <c r="B2071" s="209"/>
      <c r="C2071" s="204"/>
      <c r="D2071" s="210"/>
      <c r="E2071" s="211"/>
      <c r="F2071" s="211"/>
      <c r="G2071" s="212"/>
      <c r="H2071" s="212"/>
      <c r="I2071" s="204"/>
      <c r="J2071" s="204"/>
      <c r="K2071" s="204"/>
      <c r="L2071" s="204"/>
      <c r="M2071" s="204"/>
      <c r="N2071" s="204"/>
      <c r="O2071" s="204"/>
      <c r="P2071" s="204"/>
      <c r="Q2071" s="204"/>
      <c r="R2071" s="204"/>
      <c r="S2071" s="204"/>
      <c r="T2071" s="204"/>
      <c r="U2071" s="204"/>
      <c r="V2071" s="204"/>
      <c r="W2071" s="204"/>
      <c r="X2071" s="204"/>
      <c r="Y2071" s="204"/>
      <c r="Z2071" s="204"/>
      <c r="AA2071" s="204"/>
      <c r="AB2071" s="204"/>
      <c r="AC2071" s="204"/>
      <c r="AD2071" s="204"/>
      <c r="AE2071" s="204"/>
      <c r="AF2071" s="204"/>
      <c r="AG2071" s="204"/>
      <c r="AH2071" s="204"/>
      <c r="AI2071" s="209"/>
      <c r="AJ2071" s="209"/>
      <c r="AK2071" s="204"/>
      <c r="AL2071" s="204"/>
      <c r="AM2071" s="204"/>
    </row>
    <row r="2072">
      <c r="A2072" s="204"/>
      <c r="B2072" s="209"/>
      <c r="C2072" s="204"/>
      <c r="D2072" s="210"/>
      <c r="E2072" s="211"/>
      <c r="F2072" s="211"/>
      <c r="G2072" s="212"/>
      <c r="H2072" s="212"/>
      <c r="I2072" s="204"/>
      <c r="J2072" s="204"/>
      <c r="K2072" s="204"/>
      <c r="L2072" s="204"/>
      <c r="M2072" s="204"/>
      <c r="N2072" s="204"/>
      <c r="O2072" s="204"/>
      <c r="P2072" s="204"/>
      <c r="Q2072" s="204"/>
      <c r="R2072" s="204"/>
      <c r="S2072" s="204"/>
      <c r="T2072" s="204"/>
      <c r="U2072" s="204"/>
      <c r="V2072" s="204"/>
      <c r="W2072" s="204"/>
      <c r="X2072" s="204"/>
      <c r="Y2072" s="204"/>
      <c r="Z2072" s="204"/>
      <c r="AA2072" s="204"/>
      <c r="AB2072" s="204"/>
      <c r="AC2072" s="204"/>
      <c r="AD2072" s="204"/>
      <c r="AE2072" s="204"/>
      <c r="AF2072" s="204"/>
      <c r="AG2072" s="204"/>
      <c r="AH2072" s="204"/>
      <c r="AI2072" s="209"/>
      <c r="AJ2072" s="209"/>
      <c r="AK2072" s="204"/>
      <c r="AL2072" s="204"/>
      <c r="AM2072" s="204"/>
    </row>
    <row r="2073">
      <c r="A2073" s="204"/>
      <c r="B2073" s="209"/>
      <c r="C2073" s="204"/>
      <c r="D2073" s="210"/>
      <c r="E2073" s="211"/>
      <c r="F2073" s="211"/>
      <c r="G2073" s="212"/>
      <c r="H2073" s="212"/>
      <c r="I2073" s="204"/>
      <c r="J2073" s="204"/>
      <c r="K2073" s="204"/>
      <c r="L2073" s="204"/>
      <c r="M2073" s="204"/>
      <c r="N2073" s="204"/>
      <c r="O2073" s="204"/>
      <c r="P2073" s="204"/>
      <c r="Q2073" s="204"/>
      <c r="R2073" s="204"/>
      <c r="S2073" s="204"/>
      <c r="T2073" s="204"/>
      <c r="U2073" s="204"/>
      <c r="V2073" s="204"/>
      <c r="W2073" s="204"/>
      <c r="X2073" s="204"/>
      <c r="Y2073" s="204"/>
      <c r="Z2073" s="204"/>
      <c r="AA2073" s="204"/>
      <c r="AB2073" s="204"/>
      <c r="AC2073" s="204"/>
      <c r="AD2073" s="204"/>
      <c r="AE2073" s="204"/>
      <c r="AF2073" s="204"/>
      <c r="AG2073" s="204"/>
      <c r="AH2073" s="204"/>
      <c r="AI2073" s="209"/>
      <c r="AJ2073" s="209"/>
      <c r="AK2073" s="204"/>
      <c r="AL2073" s="204"/>
      <c r="AM2073" s="204"/>
    </row>
    <row r="2074">
      <c r="A2074" s="204"/>
      <c r="B2074" s="209"/>
      <c r="C2074" s="204"/>
      <c r="D2074" s="210"/>
      <c r="E2074" s="211"/>
      <c r="F2074" s="211"/>
      <c r="G2074" s="212"/>
      <c r="H2074" s="212"/>
      <c r="I2074" s="204"/>
      <c r="J2074" s="204"/>
      <c r="K2074" s="204"/>
      <c r="L2074" s="204"/>
      <c r="M2074" s="204"/>
      <c r="N2074" s="204"/>
      <c r="O2074" s="204"/>
      <c r="P2074" s="204"/>
      <c r="Q2074" s="204"/>
      <c r="R2074" s="204"/>
      <c r="S2074" s="204"/>
      <c r="T2074" s="204"/>
      <c r="U2074" s="204"/>
      <c r="V2074" s="204"/>
      <c r="W2074" s="204"/>
      <c r="X2074" s="204"/>
      <c r="Y2074" s="204"/>
      <c r="Z2074" s="204"/>
      <c r="AA2074" s="204"/>
      <c r="AB2074" s="204"/>
      <c r="AC2074" s="204"/>
      <c r="AD2074" s="204"/>
      <c r="AE2074" s="204"/>
      <c r="AF2074" s="204"/>
      <c r="AG2074" s="204"/>
      <c r="AH2074" s="204"/>
      <c r="AI2074" s="209"/>
      <c r="AJ2074" s="209"/>
      <c r="AK2074" s="204"/>
      <c r="AL2074" s="204"/>
      <c r="AM2074" s="204"/>
    </row>
    <row r="2075">
      <c r="A2075" s="204"/>
      <c r="B2075" s="209"/>
      <c r="C2075" s="204"/>
      <c r="D2075" s="210"/>
      <c r="E2075" s="211"/>
      <c r="F2075" s="211"/>
      <c r="G2075" s="212"/>
      <c r="H2075" s="212"/>
      <c r="I2075" s="204"/>
      <c r="J2075" s="204"/>
      <c r="K2075" s="204"/>
      <c r="L2075" s="204"/>
      <c r="M2075" s="204"/>
      <c r="N2075" s="204"/>
      <c r="O2075" s="204"/>
      <c r="P2075" s="204"/>
      <c r="Q2075" s="204"/>
      <c r="R2075" s="204"/>
      <c r="S2075" s="204"/>
      <c r="T2075" s="204"/>
      <c r="U2075" s="204"/>
      <c r="V2075" s="204"/>
      <c r="W2075" s="204"/>
      <c r="X2075" s="204"/>
      <c r="Y2075" s="204"/>
      <c r="Z2075" s="204"/>
      <c r="AA2075" s="204"/>
      <c r="AB2075" s="204"/>
      <c r="AC2075" s="204"/>
      <c r="AD2075" s="204"/>
      <c r="AE2075" s="204"/>
      <c r="AF2075" s="204"/>
      <c r="AG2075" s="204"/>
      <c r="AH2075" s="204"/>
      <c r="AI2075" s="209"/>
      <c r="AJ2075" s="209"/>
      <c r="AK2075" s="204"/>
      <c r="AL2075" s="204"/>
      <c r="AM2075" s="204"/>
    </row>
    <row r="2076">
      <c r="A2076" s="204"/>
      <c r="B2076" s="209"/>
      <c r="C2076" s="204"/>
      <c r="D2076" s="210"/>
      <c r="E2076" s="211"/>
      <c r="F2076" s="211"/>
      <c r="G2076" s="212"/>
      <c r="H2076" s="212"/>
      <c r="I2076" s="204"/>
      <c r="J2076" s="204"/>
      <c r="K2076" s="204"/>
      <c r="L2076" s="204"/>
      <c r="M2076" s="204"/>
      <c r="N2076" s="204"/>
      <c r="O2076" s="204"/>
      <c r="P2076" s="204"/>
      <c r="Q2076" s="204"/>
      <c r="R2076" s="204"/>
      <c r="S2076" s="204"/>
      <c r="T2076" s="204"/>
      <c r="U2076" s="204"/>
      <c r="V2076" s="204"/>
      <c r="W2076" s="204"/>
      <c r="X2076" s="204"/>
      <c r="Y2076" s="204"/>
      <c r="Z2076" s="204"/>
      <c r="AA2076" s="204"/>
      <c r="AB2076" s="204"/>
      <c r="AC2076" s="204"/>
      <c r="AD2076" s="204"/>
      <c r="AE2076" s="204"/>
      <c r="AF2076" s="204"/>
      <c r="AG2076" s="204"/>
      <c r="AH2076" s="204"/>
      <c r="AI2076" s="209"/>
      <c r="AJ2076" s="209"/>
      <c r="AK2076" s="204"/>
      <c r="AL2076" s="204"/>
      <c r="AM2076" s="204"/>
    </row>
    <row r="2077">
      <c r="A2077" s="204"/>
      <c r="B2077" s="209"/>
      <c r="C2077" s="204"/>
      <c r="D2077" s="210"/>
      <c r="E2077" s="211"/>
      <c r="F2077" s="211"/>
      <c r="G2077" s="212"/>
      <c r="H2077" s="212"/>
      <c r="I2077" s="204"/>
      <c r="J2077" s="204"/>
      <c r="K2077" s="204"/>
      <c r="L2077" s="204"/>
      <c r="M2077" s="204"/>
      <c r="N2077" s="204"/>
      <c r="O2077" s="204"/>
      <c r="P2077" s="204"/>
      <c r="Q2077" s="204"/>
      <c r="R2077" s="204"/>
      <c r="S2077" s="204"/>
      <c r="T2077" s="204"/>
      <c r="U2077" s="204"/>
      <c r="V2077" s="204"/>
      <c r="W2077" s="204"/>
      <c r="X2077" s="204"/>
      <c r="Y2077" s="204"/>
      <c r="Z2077" s="204"/>
      <c r="AA2077" s="204"/>
      <c r="AB2077" s="204"/>
      <c r="AC2077" s="204"/>
      <c r="AD2077" s="204"/>
      <c r="AE2077" s="204"/>
      <c r="AF2077" s="204"/>
      <c r="AG2077" s="204"/>
      <c r="AH2077" s="204"/>
      <c r="AI2077" s="209"/>
      <c r="AJ2077" s="209"/>
      <c r="AK2077" s="204"/>
      <c r="AL2077" s="204"/>
      <c r="AM2077" s="204"/>
    </row>
    <row r="2078">
      <c r="A2078" s="204"/>
      <c r="B2078" s="209"/>
      <c r="C2078" s="204"/>
      <c r="D2078" s="210"/>
      <c r="E2078" s="211"/>
      <c r="F2078" s="211"/>
      <c r="G2078" s="212"/>
      <c r="H2078" s="212"/>
      <c r="I2078" s="204"/>
      <c r="J2078" s="204"/>
      <c r="K2078" s="204"/>
      <c r="L2078" s="204"/>
      <c r="M2078" s="204"/>
      <c r="N2078" s="204"/>
      <c r="O2078" s="204"/>
      <c r="P2078" s="204"/>
      <c r="Q2078" s="204"/>
      <c r="R2078" s="204"/>
      <c r="S2078" s="204"/>
      <c r="T2078" s="204"/>
      <c r="U2078" s="204"/>
      <c r="V2078" s="204"/>
      <c r="W2078" s="204"/>
      <c r="X2078" s="204"/>
      <c r="Y2078" s="204"/>
      <c r="Z2078" s="204"/>
      <c r="AA2078" s="204"/>
      <c r="AB2078" s="204"/>
      <c r="AC2078" s="204"/>
      <c r="AD2078" s="204"/>
      <c r="AE2078" s="204"/>
      <c r="AF2078" s="204"/>
      <c r="AG2078" s="204"/>
      <c r="AH2078" s="204"/>
      <c r="AI2078" s="209"/>
      <c r="AJ2078" s="209"/>
      <c r="AK2078" s="204"/>
      <c r="AL2078" s="204"/>
      <c r="AM2078" s="204"/>
    </row>
    <row r="2079">
      <c r="A2079" s="204"/>
      <c r="B2079" s="209"/>
      <c r="C2079" s="204"/>
      <c r="D2079" s="210"/>
      <c r="E2079" s="211"/>
      <c r="F2079" s="211"/>
      <c r="G2079" s="212"/>
      <c r="H2079" s="212"/>
      <c r="I2079" s="204"/>
      <c r="J2079" s="204"/>
      <c r="K2079" s="204"/>
      <c r="L2079" s="204"/>
      <c r="M2079" s="204"/>
      <c r="N2079" s="204"/>
      <c r="O2079" s="204"/>
      <c r="P2079" s="204"/>
      <c r="Q2079" s="204"/>
      <c r="R2079" s="204"/>
      <c r="S2079" s="204"/>
      <c r="T2079" s="204"/>
      <c r="U2079" s="204"/>
      <c r="V2079" s="204"/>
      <c r="W2079" s="204"/>
      <c r="X2079" s="204"/>
      <c r="Y2079" s="204"/>
      <c r="Z2079" s="204"/>
      <c r="AA2079" s="204"/>
      <c r="AB2079" s="204"/>
      <c r="AC2079" s="204"/>
      <c r="AD2079" s="204"/>
      <c r="AE2079" s="204"/>
      <c r="AF2079" s="204"/>
      <c r="AG2079" s="204"/>
      <c r="AH2079" s="204"/>
      <c r="AI2079" s="209"/>
      <c r="AJ2079" s="209"/>
      <c r="AK2079" s="204"/>
      <c r="AL2079" s="204"/>
      <c r="AM2079" s="204"/>
    </row>
    <row r="2080">
      <c r="A2080" s="204"/>
      <c r="B2080" s="209"/>
      <c r="C2080" s="204"/>
      <c r="D2080" s="210"/>
      <c r="E2080" s="211"/>
      <c r="F2080" s="211"/>
      <c r="G2080" s="212"/>
      <c r="H2080" s="212"/>
      <c r="I2080" s="204"/>
      <c r="J2080" s="204"/>
      <c r="K2080" s="204"/>
      <c r="L2080" s="204"/>
      <c r="M2080" s="204"/>
      <c r="N2080" s="204"/>
      <c r="O2080" s="204"/>
      <c r="P2080" s="204"/>
      <c r="Q2080" s="204"/>
      <c r="R2080" s="204"/>
      <c r="S2080" s="204"/>
      <c r="T2080" s="204"/>
      <c r="U2080" s="204"/>
      <c r="V2080" s="204"/>
      <c r="W2080" s="204"/>
      <c r="X2080" s="204"/>
      <c r="Y2080" s="204"/>
      <c r="Z2080" s="204"/>
      <c r="AA2080" s="204"/>
      <c r="AB2080" s="204"/>
      <c r="AC2080" s="204"/>
      <c r="AD2080" s="204"/>
      <c r="AE2080" s="204"/>
      <c r="AF2080" s="204"/>
      <c r="AG2080" s="204"/>
      <c r="AH2080" s="204"/>
      <c r="AI2080" s="209"/>
      <c r="AJ2080" s="209"/>
      <c r="AK2080" s="204"/>
      <c r="AL2080" s="204"/>
      <c r="AM2080" s="204"/>
    </row>
    <row r="2081">
      <c r="A2081" s="204"/>
      <c r="B2081" s="209"/>
      <c r="C2081" s="204"/>
      <c r="D2081" s="210"/>
      <c r="E2081" s="211"/>
      <c r="F2081" s="211"/>
      <c r="G2081" s="212"/>
      <c r="H2081" s="212"/>
      <c r="I2081" s="204"/>
      <c r="J2081" s="204"/>
      <c r="K2081" s="204"/>
      <c r="L2081" s="204"/>
      <c r="M2081" s="204"/>
      <c r="N2081" s="204"/>
      <c r="O2081" s="204"/>
      <c r="P2081" s="204"/>
      <c r="Q2081" s="204"/>
      <c r="R2081" s="204"/>
      <c r="S2081" s="204"/>
      <c r="T2081" s="204"/>
      <c r="U2081" s="204"/>
      <c r="V2081" s="204"/>
      <c r="W2081" s="204"/>
      <c r="X2081" s="204"/>
      <c r="Y2081" s="204"/>
      <c r="Z2081" s="204"/>
      <c r="AA2081" s="204"/>
      <c r="AB2081" s="204"/>
      <c r="AC2081" s="204"/>
      <c r="AD2081" s="204"/>
      <c r="AE2081" s="204"/>
      <c r="AF2081" s="204"/>
      <c r="AG2081" s="204"/>
      <c r="AH2081" s="204"/>
      <c r="AI2081" s="209"/>
      <c r="AJ2081" s="209"/>
      <c r="AK2081" s="204"/>
      <c r="AL2081" s="204"/>
      <c r="AM2081" s="204"/>
    </row>
    <row r="2082">
      <c r="A2082" s="204"/>
      <c r="B2082" s="209"/>
      <c r="C2082" s="204"/>
      <c r="D2082" s="210"/>
      <c r="E2082" s="211"/>
      <c r="F2082" s="211"/>
      <c r="G2082" s="212"/>
      <c r="H2082" s="212"/>
      <c r="I2082" s="204"/>
      <c r="J2082" s="204"/>
      <c r="K2082" s="204"/>
      <c r="L2082" s="204"/>
      <c r="M2082" s="204"/>
      <c r="N2082" s="204"/>
      <c r="O2082" s="204"/>
      <c r="P2082" s="204"/>
      <c r="Q2082" s="204"/>
      <c r="R2082" s="204"/>
      <c r="S2082" s="204"/>
      <c r="T2082" s="204"/>
      <c r="U2082" s="204"/>
      <c r="V2082" s="204"/>
      <c r="W2082" s="204"/>
      <c r="X2082" s="204"/>
      <c r="Y2082" s="204"/>
      <c r="Z2082" s="204"/>
      <c r="AA2082" s="204"/>
      <c r="AB2082" s="204"/>
      <c r="AC2082" s="204"/>
      <c r="AD2082" s="204"/>
      <c r="AE2082" s="204"/>
      <c r="AF2082" s="204"/>
      <c r="AG2082" s="204"/>
      <c r="AH2082" s="204"/>
      <c r="AI2082" s="209"/>
      <c r="AJ2082" s="209"/>
      <c r="AK2082" s="204"/>
      <c r="AL2082" s="204"/>
      <c r="AM2082" s="204"/>
    </row>
    <row r="2083">
      <c r="A2083" s="204"/>
      <c r="B2083" s="209"/>
      <c r="C2083" s="204"/>
      <c r="D2083" s="210"/>
      <c r="E2083" s="211"/>
      <c r="F2083" s="211"/>
      <c r="G2083" s="212"/>
      <c r="H2083" s="212"/>
      <c r="I2083" s="204"/>
      <c r="J2083" s="204"/>
      <c r="K2083" s="204"/>
      <c r="L2083" s="204"/>
      <c r="M2083" s="204"/>
      <c r="N2083" s="204"/>
      <c r="O2083" s="204"/>
      <c r="P2083" s="204"/>
      <c r="Q2083" s="204"/>
      <c r="R2083" s="204"/>
      <c r="S2083" s="204"/>
      <c r="T2083" s="204"/>
      <c r="U2083" s="204"/>
      <c r="V2083" s="204"/>
      <c r="W2083" s="204"/>
      <c r="X2083" s="204"/>
      <c r="Y2083" s="204"/>
      <c r="Z2083" s="204"/>
      <c r="AA2083" s="204"/>
      <c r="AB2083" s="204"/>
      <c r="AC2083" s="204"/>
      <c r="AD2083" s="204"/>
      <c r="AE2083" s="204"/>
      <c r="AF2083" s="204"/>
      <c r="AG2083" s="204"/>
      <c r="AH2083" s="204"/>
      <c r="AI2083" s="209"/>
      <c r="AJ2083" s="209"/>
      <c r="AK2083" s="204"/>
      <c r="AL2083" s="204"/>
      <c r="AM2083" s="204"/>
    </row>
    <row r="2084">
      <c r="A2084" s="204"/>
      <c r="B2084" s="209"/>
      <c r="C2084" s="204"/>
      <c r="D2084" s="210"/>
      <c r="E2084" s="211"/>
      <c r="F2084" s="211"/>
      <c r="G2084" s="212"/>
      <c r="H2084" s="212"/>
      <c r="I2084" s="204"/>
      <c r="J2084" s="204"/>
      <c r="K2084" s="204"/>
      <c r="L2084" s="204"/>
      <c r="M2084" s="204"/>
      <c r="N2084" s="204"/>
      <c r="O2084" s="204"/>
      <c r="P2084" s="204"/>
      <c r="Q2084" s="204"/>
      <c r="R2084" s="204"/>
      <c r="S2084" s="204"/>
      <c r="T2084" s="204"/>
      <c r="U2084" s="204"/>
      <c r="V2084" s="204"/>
      <c r="W2084" s="204"/>
      <c r="X2084" s="204"/>
      <c r="Y2084" s="204"/>
      <c r="Z2084" s="204"/>
      <c r="AA2084" s="204"/>
      <c r="AB2084" s="204"/>
      <c r="AC2084" s="204"/>
      <c r="AD2084" s="204"/>
      <c r="AE2084" s="204"/>
      <c r="AF2084" s="204"/>
      <c r="AG2084" s="204"/>
      <c r="AH2084" s="204"/>
      <c r="AI2084" s="209"/>
      <c r="AJ2084" s="209"/>
      <c r="AK2084" s="204"/>
      <c r="AL2084" s="204"/>
      <c r="AM2084" s="204"/>
    </row>
    <row r="2085">
      <c r="A2085" s="204"/>
      <c r="B2085" s="209"/>
      <c r="C2085" s="204"/>
      <c r="D2085" s="210"/>
      <c r="E2085" s="211"/>
      <c r="F2085" s="211"/>
      <c r="G2085" s="212"/>
      <c r="H2085" s="212"/>
      <c r="I2085" s="204"/>
      <c r="J2085" s="204"/>
      <c r="K2085" s="204"/>
      <c r="L2085" s="204"/>
      <c r="M2085" s="204"/>
      <c r="N2085" s="204"/>
      <c r="O2085" s="204"/>
      <c r="P2085" s="204"/>
      <c r="Q2085" s="204"/>
      <c r="R2085" s="204"/>
      <c r="S2085" s="204"/>
      <c r="T2085" s="204"/>
      <c r="U2085" s="204"/>
      <c r="V2085" s="204"/>
      <c r="W2085" s="204"/>
      <c r="X2085" s="204"/>
      <c r="Y2085" s="204"/>
      <c r="Z2085" s="204"/>
      <c r="AA2085" s="204"/>
      <c r="AB2085" s="204"/>
      <c r="AC2085" s="204"/>
      <c r="AD2085" s="204"/>
      <c r="AE2085" s="204"/>
      <c r="AF2085" s="204"/>
      <c r="AG2085" s="204"/>
      <c r="AH2085" s="204"/>
      <c r="AI2085" s="209"/>
      <c r="AJ2085" s="209"/>
      <c r="AK2085" s="204"/>
      <c r="AL2085" s="204"/>
      <c r="AM2085" s="204"/>
    </row>
    <row r="2086">
      <c r="A2086" s="204"/>
      <c r="B2086" s="209"/>
      <c r="C2086" s="204"/>
      <c r="D2086" s="210"/>
      <c r="E2086" s="211"/>
      <c r="F2086" s="211"/>
      <c r="G2086" s="212"/>
      <c r="H2086" s="212"/>
      <c r="I2086" s="204"/>
      <c r="J2086" s="204"/>
      <c r="K2086" s="204"/>
      <c r="L2086" s="204"/>
      <c r="M2086" s="204"/>
      <c r="N2086" s="204"/>
      <c r="O2086" s="204"/>
      <c r="P2086" s="204"/>
      <c r="Q2086" s="204"/>
      <c r="R2086" s="204"/>
      <c r="S2086" s="204"/>
      <c r="T2086" s="204"/>
      <c r="U2086" s="204"/>
      <c r="V2086" s="204"/>
      <c r="W2086" s="204"/>
      <c r="X2086" s="204"/>
      <c r="Y2086" s="204"/>
      <c r="Z2086" s="204"/>
      <c r="AA2086" s="204"/>
      <c r="AB2086" s="204"/>
      <c r="AC2086" s="204"/>
      <c r="AD2086" s="204"/>
      <c r="AE2086" s="204"/>
      <c r="AF2086" s="204"/>
      <c r="AG2086" s="204"/>
      <c r="AH2086" s="204"/>
      <c r="AI2086" s="209"/>
      <c r="AJ2086" s="209"/>
      <c r="AK2086" s="204"/>
      <c r="AL2086" s="204"/>
      <c r="AM2086" s="204"/>
    </row>
    <row r="2087">
      <c r="A2087" s="204"/>
      <c r="B2087" s="209"/>
      <c r="C2087" s="204"/>
      <c r="D2087" s="210"/>
      <c r="E2087" s="211"/>
      <c r="F2087" s="211"/>
      <c r="G2087" s="212"/>
      <c r="H2087" s="212"/>
      <c r="I2087" s="204"/>
      <c r="J2087" s="204"/>
      <c r="K2087" s="204"/>
      <c r="L2087" s="204"/>
      <c r="M2087" s="204"/>
      <c r="N2087" s="204"/>
      <c r="O2087" s="204"/>
      <c r="P2087" s="204"/>
      <c r="Q2087" s="204"/>
      <c r="R2087" s="204"/>
      <c r="S2087" s="204"/>
      <c r="T2087" s="204"/>
      <c r="U2087" s="204"/>
      <c r="V2087" s="204"/>
      <c r="W2087" s="204"/>
      <c r="X2087" s="204"/>
      <c r="Y2087" s="204"/>
      <c r="Z2087" s="204"/>
      <c r="AA2087" s="204"/>
      <c r="AB2087" s="204"/>
      <c r="AC2087" s="204"/>
      <c r="AD2087" s="204"/>
      <c r="AE2087" s="204"/>
      <c r="AF2087" s="204"/>
      <c r="AG2087" s="204"/>
      <c r="AH2087" s="204"/>
      <c r="AI2087" s="209"/>
      <c r="AJ2087" s="209"/>
      <c r="AK2087" s="204"/>
      <c r="AL2087" s="204"/>
      <c r="AM2087" s="204"/>
    </row>
    <row r="2088">
      <c r="A2088" s="204"/>
      <c r="B2088" s="209"/>
      <c r="C2088" s="204"/>
      <c r="D2088" s="210"/>
      <c r="E2088" s="211"/>
      <c r="F2088" s="211"/>
      <c r="G2088" s="212"/>
      <c r="H2088" s="212"/>
      <c r="I2088" s="204"/>
      <c r="J2088" s="204"/>
      <c r="K2088" s="204"/>
      <c r="L2088" s="204"/>
      <c r="M2088" s="204"/>
      <c r="N2088" s="204"/>
      <c r="O2088" s="204"/>
      <c r="P2088" s="204"/>
      <c r="Q2088" s="204"/>
      <c r="R2088" s="204"/>
      <c r="S2088" s="204"/>
      <c r="T2088" s="204"/>
      <c r="U2088" s="204"/>
      <c r="V2088" s="204"/>
      <c r="W2088" s="204"/>
      <c r="X2088" s="204"/>
      <c r="Y2088" s="204"/>
      <c r="Z2088" s="204"/>
      <c r="AA2088" s="204"/>
      <c r="AB2088" s="204"/>
      <c r="AC2088" s="204"/>
      <c r="AD2088" s="204"/>
      <c r="AE2088" s="204"/>
      <c r="AF2088" s="204"/>
      <c r="AG2088" s="204"/>
      <c r="AH2088" s="204"/>
      <c r="AI2088" s="209"/>
      <c r="AJ2088" s="209"/>
      <c r="AK2088" s="204"/>
      <c r="AL2088" s="204"/>
      <c r="AM2088" s="204"/>
    </row>
    <row r="2089">
      <c r="A2089" s="204"/>
      <c r="B2089" s="209"/>
      <c r="C2089" s="204"/>
      <c r="D2089" s="210"/>
      <c r="E2089" s="211"/>
      <c r="F2089" s="211"/>
      <c r="G2089" s="212"/>
      <c r="H2089" s="212"/>
      <c r="I2089" s="204"/>
      <c r="J2089" s="204"/>
      <c r="K2089" s="204"/>
      <c r="L2089" s="204"/>
      <c r="M2089" s="204"/>
      <c r="N2089" s="204"/>
      <c r="O2089" s="204"/>
      <c r="P2089" s="204"/>
      <c r="Q2089" s="204"/>
      <c r="R2089" s="204"/>
      <c r="S2089" s="204"/>
      <c r="T2089" s="204"/>
      <c r="U2089" s="204"/>
      <c r="V2089" s="204"/>
      <c r="W2089" s="204"/>
      <c r="X2089" s="204"/>
      <c r="Y2089" s="204"/>
      <c r="Z2089" s="204"/>
      <c r="AA2089" s="204"/>
      <c r="AB2089" s="204"/>
      <c r="AC2089" s="204"/>
      <c r="AD2089" s="204"/>
      <c r="AE2089" s="204"/>
      <c r="AF2089" s="204"/>
      <c r="AG2089" s="204"/>
      <c r="AH2089" s="204"/>
      <c r="AI2089" s="209"/>
      <c r="AJ2089" s="209"/>
      <c r="AK2089" s="204"/>
      <c r="AL2089" s="204"/>
      <c r="AM2089" s="204"/>
    </row>
    <row r="2090">
      <c r="A2090" s="204"/>
      <c r="B2090" s="209"/>
      <c r="C2090" s="204"/>
      <c r="D2090" s="210"/>
      <c r="E2090" s="211"/>
      <c r="F2090" s="211"/>
      <c r="G2090" s="212"/>
      <c r="H2090" s="212"/>
      <c r="I2090" s="204"/>
      <c r="J2090" s="204"/>
      <c r="K2090" s="204"/>
      <c r="L2090" s="204"/>
      <c r="M2090" s="204"/>
      <c r="N2090" s="204"/>
      <c r="O2090" s="204"/>
      <c r="P2090" s="204"/>
      <c r="Q2090" s="204"/>
      <c r="R2090" s="204"/>
      <c r="S2090" s="204"/>
      <c r="T2090" s="204"/>
      <c r="U2090" s="204"/>
      <c r="V2090" s="204"/>
      <c r="W2090" s="204"/>
      <c r="X2090" s="204"/>
      <c r="Y2090" s="204"/>
      <c r="Z2090" s="204"/>
      <c r="AA2090" s="204"/>
      <c r="AB2090" s="204"/>
      <c r="AC2090" s="204"/>
      <c r="AD2090" s="204"/>
      <c r="AE2090" s="204"/>
      <c r="AF2090" s="204"/>
      <c r="AG2090" s="204"/>
      <c r="AH2090" s="204"/>
      <c r="AI2090" s="209"/>
      <c r="AJ2090" s="209"/>
      <c r="AK2090" s="204"/>
      <c r="AL2090" s="204"/>
      <c r="AM2090" s="204"/>
    </row>
    <row r="2091">
      <c r="A2091" s="204"/>
      <c r="B2091" s="209"/>
      <c r="C2091" s="204"/>
      <c r="D2091" s="210"/>
      <c r="E2091" s="211"/>
      <c r="F2091" s="211"/>
      <c r="G2091" s="212"/>
      <c r="H2091" s="212"/>
      <c r="I2091" s="204"/>
      <c r="J2091" s="204"/>
      <c r="K2091" s="204"/>
      <c r="L2091" s="204"/>
      <c r="M2091" s="204"/>
      <c r="N2091" s="204"/>
      <c r="O2091" s="204"/>
      <c r="P2091" s="204"/>
      <c r="Q2091" s="204"/>
      <c r="R2091" s="204"/>
      <c r="S2091" s="204"/>
      <c r="T2091" s="204"/>
      <c r="U2091" s="204"/>
      <c r="V2091" s="204"/>
      <c r="W2091" s="204"/>
      <c r="X2091" s="204"/>
      <c r="Y2091" s="204"/>
      <c r="Z2091" s="204"/>
      <c r="AA2091" s="204"/>
      <c r="AB2091" s="204"/>
      <c r="AC2091" s="204"/>
      <c r="AD2091" s="204"/>
      <c r="AE2091" s="204"/>
      <c r="AF2091" s="204"/>
      <c r="AG2091" s="204"/>
      <c r="AH2091" s="204"/>
      <c r="AI2091" s="209"/>
      <c r="AJ2091" s="209"/>
      <c r="AK2091" s="204"/>
      <c r="AL2091" s="204"/>
      <c r="AM2091" s="204"/>
    </row>
    <row r="2092">
      <c r="A2092" s="204"/>
      <c r="B2092" s="209"/>
      <c r="C2092" s="204"/>
      <c r="D2092" s="210"/>
      <c r="E2092" s="211"/>
      <c r="F2092" s="211"/>
      <c r="G2092" s="212"/>
      <c r="H2092" s="212"/>
      <c r="I2092" s="204"/>
      <c r="J2092" s="204"/>
      <c r="K2092" s="204"/>
      <c r="L2092" s="204"/>
      <c r="M2092" s="204"/>
      <c r="N2092" s="204"/>
      <c r="O2092" s="204"/>
      <c r="P2092" s="204"/>
      <c r="Q2092" s="204"/>
      <c r="R2092" s="204"/>
      <c r="S2092" s="204"/>
      <c r="T2092" s="204"/>
      <c r="U2092" s="204"/>
      <c r="V2092" s="204"/>
      <c r="W2092" s="204"/>
      <c r="X2092" s="204"/>
      <c r="Y2092" s="204"/>
      <c r="Z2092" s="204"/>
      <c r="AA2092" s="204"/>
      <c r="AB2092" s="204"/>
      <c r="AC2092" s="204"/>
      <c r="AD2092" s="204"/>
      <c r="AE2092" s="204"/>
      <c r="AF2092" s="204"/>
      <c r="AG2092" s="204"/>
      <c r="AH2092" s="204"/>
      <c r="AI2092" s="209"/>
      <c r="AJ2092" s="209"/>
      <c r="AK2092" s="204"/>
      <c r="AL2092" s="204"/>
      <c r="AM2092" s="204"/>
    </row>
    <row r="2093">
      <c r="A2093" s="204"/>
      <c r="B2093" s="209"/>
      <c r="C2093" s="204"/>
      <c r="D2093" s="210"/>
      <c r="E2093" s="211"/>
      <c r="F2093" s="211"/>
      <c r="G2093" s="212"/>
      <c r="H2093" s="212"/>
      <c r="I2093" s="204"/>
      <c r="J2093" s="204"/>
      <c r="K2093" s="204"/>
      <c r="L2093" s="204"/>
      <c r="M2093" s="204"/>
      <c r="N2093" s="204"/>
      <c r="O2093" s="204"/>
      <c r="P2093" s="204"/>
      <c r="Q2093" s="204"/>
      <c r="R2093" s="204"/>
      <c r="S2093" s="204"/>
      <c r="T2093" s="204"/>
      <c r="U2093" s="204"/>
      <c r="V2093" s="204"/>
      <c r="W2093" s="204"/>
      <c r="X2093" s="204"/>
      <c r="Y2093" s="204"/>
      <c r="Z2093" s="204"/>
      <c r="AA2093" s="204"/>
      <c r="AB2093" s="204"/>
      <c r="AC2093" s="204"/>
      <c r="AD2093" s="204"/>
      <c r="AE2093" s="204"/>
      <c r="AF2093" s="204"/>
      <c r="AG2093" s="204"/>
      <c r="AH2093" s="204"/>
      <c r="AI2093" s="209"/>
      <c r="AJ2093" s="209"/>
      <c r="AK2093" s="204"/>
      <c r="AL2093" s="204"/>
      <c r="AM2093" s="204"/>
    </row>
    <row r="2094">
      <c r="A2094" s="204"/>
      <c r="B2094" s="209"/>
      <c r="C2094" s="204"/>
      <c r="D2094" s="210"/>
      <c r="E2094" s="211"/>
      <c r="F2094" s="211"/>
      <c r="G2094" s="212"/>
      <c r="H2094" s="212"/>
      <c r="I2094" s="204"/>
      <c r="J2094" s="204"/>
      <c r="K2094" s="204"/>
      <c r="L2094" s="204"/>
      <c r="M2094" s="204"/>
      <c r="N2094" s="204"/>
      <c r="O2094" s="204"/>
      <c r="P2094" s="204"/>
      <c r="Q2094" s="204"/>
      <c r="R2094" s="204"/>
      <c r="S2094" s="204"/>
      <c r="T2094" s="204"/>
      <c r="U2094" s="204"/>
      <c r="V2094" s="204"/>
      <c r="W2094" s="204"/>
      <c r="X2094" s="204"/>
      <c r="Y2094" s="204"/>
      <c r="Z2094" s="204"/>
      <c r="AA2094" s="204"/>
      <c r="AB2094" s="204"/>
      <c r="AC2094" s="204"/>
      <c r="AD2094" s="204"/>
      <c r="AE2094" s="204"/>
      <c r="AF2094" s="204"/>
      <c r="AG2094" s="204"/>
      <c r="AH2094" s="204"/>
      <c r="AI2094" s="209"/>
      <c r="AJ2094" s="209"/>
      <c r="AK2094" s="204"/>
      <c r="AL2094" s="204"/>
      <c r="AM2094" s="204"/>
    </row>
    <row r="2095">
      <c r="A2095" s="204"/>
      <c r="B2095" s="209"/>
      <c r="C2095" s="204"/>
      <c r="D2095" s="210"/>
      <c r="E2095" s="211"/>
      <c r="F2095" s="211"/>
      <c r="G2095" s="212"/>
      <c r="H2095" s="212"/>
      <c r="I2095" s="204"/>
      <c r="J2095" s="204"/>
      <c r="K2095" s="204"/>
      <c r="L2095" s="204"/>
      <c r="M2095" s="204"/>
      <c r="N2095" s="204"/>
      <c r="O2095" s="204"/>
      <c r="P2095" s="204"/>
      <c r="Q2095" s="204"/>
      <c r="R2095" s="204"/>
      <c r="S2095" s="204"/>
      <c r="T2095" s="204"/>
      <c r="U2095" s="204"/>
      <c r="V2095" s="204"/>
      <c r="W2095" s="204"/>
      <c r="X2095" s="204"/>
      <c r="Y2095" s="204"/>
      <c r="Z2095" s="204"/>
      <c r="AA2095" s="204"/>
      <c r="AB2095" s="204"/>
      <c r="AC2095" s="204"/>
      <c r="AD2095" s="204"/>
      <c r="AE2095" s="204"/>
      <c r="AF2095" s="204"/>
      <c r="AG2095" s="204"/>
      <c r="AH2095" s="204"/>
      <c r="AI2095" s="209"/>
      <c r="AJ2095" s="209"/>
      <c r="AK2095" s="204"/>
      <c r="AL2095" s="204"/>
      <c r="AM2095" s="204"/>
    </row>
    <row r="2096">
      <c r="A2096" s="204"/>
      <c r="B2096" s="209"/>
      <c r="C2096" s="204"/>
      <c r="D2096" s="210"/>
      <c r="E2096" s="211"/>
      <c r="F2096" s="211"/>
      <c r="G2096" s="212"/>
      <c r="H2096" s="212"/>
      <c r="I2096" s="204"/>
      <c r="J2096" s="204"/>
      <c r="K2096" s="204"/>
      <c r="L2096" s="204"/>
      <c r="M2096" s="204"/>
      <c r="N2096" s="204"/>
      <c r="O2096" s="204"/>
      <c r="P2096" s="204"/>
      <c r="Q2096" s="204"/>
      <c r="R2096" s="204"/>
      <c r="S2096" s="204"/>
      <c r="T2096" s="204"/>
      <c r="U2096" s="204"/>
      <c r="V2096" s="204"/>
      <c r="W2096" s="204"/>
      <c r="X2096" s="204"/>
      <c r="Y2096" s="204"/>
      <c r="Z2096" s="204"/>
      <c r="AA2096" s="204"/>
      <c r="AB2096" s="204"/>
      <c r="AC2096" s="204"/>
      <c r="AD2096" s="204"/>
      <c r="AE2096" s="204"/>
      <c r="AF2096" s="204"/>
      <c r="AG2096" s="204"/>
      <c r="AH2096" s="204"/>
      <c r="AI2096" s="209"/>
      <c r="AJ2096" s="209"/>
      <c r="AK2096" s="204"/>
      <c r="AL2096" s="204"/>
      <c r="AM2096" s="204"/>
    </row>
    <row r="2097">
      <c r="A2097" s="204"/>
      <c r="B2097" s="209"/>
      <c r="C2097" s="204"/>
      <c r="D2097" s="210"/>
      <c r="E2097" s="211"/>
      <c r="F2097" s="211"/>
      <c r="G2097" s="212"/>
      <c r="H2097" s="212"/>
      <c r="I2097" s="204"/>
      <c r="J2097" s="204"/>
      <c r="K2097" s="204"/>
      <c r="L2097" s="204"/>
      <c r="M2097" s="204"/>
      <c r="N2097" s="204"/>
      <c r="O2097" s="204"/>
      <c r="P2097" s="204"/>
      <c r="Q2097" s="204"/>
      <c r="R2097" s="204"/>
      <c r="S2097" s="204"/>
      <c r="T2097" s="204"/>
      <c r="U2097" s="204"/>
      <c r="V2097" s="204"/>
      <c r="W2097" s="204"/>
      <c r="X2097" s="204"/>
      <c r="Y2097" s="204"/>
      <c r="Z2097" s="204"/>
      <c r="AA2097" s="204"/>
      <c r="AB2097" s="204"/>
      <c r="AC2097" s="204"/>
      <c r="AD2097" s="204"/>
      <c r="AE2097" s="204"/>
      <c r="AF2097" s="204"/>
      <c r="AG2097" s="204"/>
      <c r="AH2097" s="204"/>
      <c r="AI2097" s="209"/>
      <c r="AJ2097" s="209"/>
      <c r="AK2097" s="204"/>
      <c r="AL2097" s="204"/>
      <c r="AM2097" s="204"/>
    </row>
    <row r="2098">
      <c r="A2098" s="204"/>
      <c r="B2098" s="209"/>
      <c r="C2098" s="204"/>
      <c r="D2098" s="210"/>
      <c r="E2098" s="211"/>
      <c r="F2098" s="211"/>
      <c r="G2098" s="212"/>
      <c r="H2098" s="212"/>
      <c r="I2098" s="204"/>
      <c r="J2098" s="204"/>
      <c r="K2098" s="204"/>
      <c r="L2098" s="204"/>
      <c r="M2098" s="204"/>
      <c r="N2098" s="204"/>
      <c r="O2098" s="204"/>
      <c r="P2098" s="204"/>
      <c r="Q2098" s="204"/>
      <c r="R2098" s="204"/>
      <c r="S2098" s="204"/>
      <c r="T2098" s="204"/>
      <c r="U2098" s="204"/>
      <c r="V2098" s="204"/>
      <c r="W2098" s="204"/>
      <c r="X2098" s="204"/>
      <c r="Y2098" s="204"/>
      <c r="Z2098" s="204"/>
      <c r="AA2098" s="204"/>
      <c r="AB2098" s="204"/>
      <c r="AC2098" s="204"/>
      <c r="AD2098" s="204"/>
      <c r="AE2098" s="204"/>
      <c r="AF2098" s="204"/>
      <c r="AG2098" s="204"/>
      <c r="AH2098" s="204"/>
      <c r="AI2098" s="209"/>
      <c r="AJ2098" s="209"/>
      <c r="AK2098" s="204"/>
      <c r="AL2098" s="204"/>
      <c r="AM2098" s="204"/>
    </row>
    <row r="2099">
      <c r="A2099" s="204"/>
      <c r="B2099" s="209"/>
      <c r="C2099" s="204"/>
      <c r="D2099" s="210"/>
      <c r="E2099" s="211"/>
      <c r="F2099" s="211"/>
      <c r="G2099" s="212"/>
      <c r="H2099" s="212"/>
      <c r="I2099" s="204"/>
      <c r="J2099" s="204"/>
      <c r="K2099" s="204"/>
      <c r="L2099" s="204"/>
      <c r="M2099" s="204"/>
      <c r="N2099" s="204"/>
      <c r="O2099" s="204"/>
      <c r="P2099" s="204"/>
      <c r="Q2099" s="204"/>
      <c r="R2099" s="204"/>
      <c r="S2099" s="204"/>
      <c r="T2099" s="204"/>
      <c r="U2099" s="204"/>
      <c r="V2099" s="204"/>
      <c r="W2099" s="204"/>
      <c r="X2099" s="204"/>
      <c r="Y2099" s="204"/>
      <c r="Z2099" s="204"/>
      <c r="AA2099" s="204"/>
      <c r="AB2099" s="204"/>
      <c r="AC2099" s="204"/>
      <c r="AD2099" s="204"/>
      <c r="AE2099" s="204"/>
      <c r="AF2099" s="204"/>
      <c r="AG2099" s="204"/>
      <c r="AH2099" s="204"/>
      <c r="AI2099" s="209"/>
      <c r="AJ2099" s="209"/>
      <c r="AK2099" s="204"/>
      <c r="AL2099" s="204"/>
      <c r="AM2099" s="204"/>
    </row>
    <row r="2100">
      <c r="A2100" s="204"/>
      <c r="B2100" s="209"/>
      <c r="C2100" s="204"/>
      <c r="D2100" s="210"/>
      <c r="E2100" s="211"/>
      <c r="F2100" s="211"/>
      <c r="G2100" s="212"/>
      <c r="H2100" s="212"/>
      <c r="I2100" s="204"/>
      <c r="J2100" s="204"/>
      <c r="K2100" s="204"/>
      <c r="L2100" s="204"/>
      <c r="M2100" s="204"/>
      <c r="N2100" s="204"/>
      <c r="O2100" s="204"/>
      <c r="P2100" s="204"/>
      <c r="Q2100" s="204"/>
      <c r="R2100" s="204"/>
      <c r="S2100" s="204"/>
      <c r="T2100" s="204"/>
      <c r="U2100" s="204"/>
      <c r="V2100" s="204"/>
      <c r="W2100" s="204"/>
      <c r="X2100" s="204"/>
      <c r="Y2100" s="204"/>
      <c r="Z2100" s="204"/>
      <c r="AA2100" s="204"/>
      <c r="AB2100" s="204"/>
      <c r="AC2100" s="204"/>
      <c r="AD2100" s="204"/>
      <c r="AE2100" s="204"/>
      <c r="AF2100" s="204"/>
      <c r="AG2100" s="204"/>
      <c r="AH2100" s="204"/>
      <c r="AI2100" s="209"/>
      <c r="AJ2100" s="209"/>
      <c r="AK2100" s="204"/>
      <c r="AL2100" s="204"/>
      <c r="AM2100" s="204"/>
    </row>
    <row r="2101">
      <c r="A2101" s="204"/>
      <c r="B2101" s="209"/>
      <c r="C2101" s="204"/>
      <c r="D2101" s="210"/>
      <c r="E2101" s="211"/>
      <c r="F2101" s="211"/>
      <c r="G2101" s="212"/>
      <c r="H2101" s="212"/>
      <c r="I2101" s="204"/>
      <c r="J2101" s="204"/>
      <c r="K2101" s="204"/>
      <c r="L2101" s="204"/>
      <c r="M2101" s="204"/>
      <c r="N2101" s="204"/>
      <c r="O2101" s="204"/>
      <c r="P2101" s="204"/>
      <c r="Q2101" s="204"/>
      <c r="R2101" s="204"/>
      <c r="S2101" s="204"/>
      <c r="T2101" s="204"/>
      <c r="U2101" s="204"/>
      <c r="V2101" s="204"/>
      <c r="W2101" s="204"/>
      <c r="X2101" s="204"/>
      <c r="Y2101" s="204"/>
      <c r="Z2101" s="204"/>
      <c r="AA2101" s="204"/>
      <c r="AB2101" s="204"/>
      <c r="AC2101" s="204"/>
      <c r="AD2101" s="204"/>
      <c r="AE2101" s="204"/>
      <c r="AF2101" s="204"/>
      <c r="AG2101" s="204"/>
      <c r="AH2101" s="204"/>
      <c r="AI2101" s="209"/>
      <c r="AJ2101" s="209"/>
      <c r="AK2101" s="204"/>
      <c r="AL2101" s="204"/>
      <c r="AM2101" s="204"/>
    </row>
    <row r="2102">
      <c r="A2102" s="204"/>
      <c r="B2102" s="209"/>
      <c r="C2102" s="204"/>
      <c r="D2102" s="210"/>
      <c r="E2102" s="211"/>
      <c r="F2102" s="211"/>
      <c r="G2102" s="212"/>
      <c r="H2102" s="212"/>
      <c r="I2102" s="204"/>
      <c r="J2102" s="204"/>
      <c r="K2102" s="204"/>
      <c r="L2102" s="204"/>
      <c r="M2102" s="204"/>
      <c r="N2102" s="204"/>
      <c r="O2102" s="204"/>
      <c r="P2102" s="204"/>
      <c r="Q2102" s="204"/>
      <c r="R2102" s="204"/>
      <c r="S2102" s="204"/>
      <c r="T2102" s="204"/>
      <c r="U2102" s="204"/>
      <c r="V2102" s="204"/>
      <c r="W2102" s="204"/>
      <c r="X2102" s="204"/>
      <c r="Y2102" s="204"/>
      <c r="Z2102" s="204"/>
      <c r="AA2102" s="204"/>
      <c r="AB2102" s="204"/>
      <c r="AC2102" s="204"/>
      <c r="AD2102" s="204"/>
      <c r="AE2102" s="204"/>
      <c r="AF2102" s="204"/>
      <c r="AG2102" s="204"/>
      <c r="AH2102" s="204"/>
      <c r="AI2102" s="209"/>
      <c r="AJ2102" s="209"/>
      <c r="AK2102" s="204"/>
      <c r="AL2102" s="204"/>
      <c r="AM2102" s="204"/>
    </row>
    <row r="2103">
      <c r="A2103" s="204"/>
      <c r="B2103" s="209"/>
      <c r="C2103" s="204"/>
      <c r="D2103" s="210"/>
      <c r="E2103" s="211"/>
      <c r="F2103" s="211"/>
      <c r="G2103" s="212"/>
      <c r="H2103" s="212"/>
      <c r="I2103" s="204"/>
      <c r="J2103" s="204"/>
      <c r="K2103" s="204"/>
      <c r="L2103" s="204"/>
      <c r="M2103" s="204"/>
      <c r="N2103" s="204"/>
      <c r="O2103" s="204"/>
      <c r="P2103" s="204"/>
      <c r="Q2103" s="204"/>
      <c r="R2103" s="204"/>
      <c r="S2103" s="204"/>
      <c r="T2103" s="204"/>
      <c r="U2103" s="204"/>
      <c r="V2103" s="204"/>
      <c r="W2103" s="204"/>
      <c r="X2103" s="204"/>
      <c r="Y2103" s="204"/>
      <c r="Z2103" s="204"/>
      <c r="AA2103" s="204"/>
      <c r="AB2103" s="204"/>
      <c r="AC2103" s="204"/>
      <c r="AD2103" s="204"/>
      <c r="AE2103" s="204"/>
      <c r="AF2103" s="204"/>
      <c r="AG2103" s="204"/>
      <c r="AH2103" s="204"/>
      <c r="AI2103" s="209"/>
      <c r="AJ2103" s="209"/>
      <c r="AK2103" s="204"/>
      <c r="AL2103" s="204"/>
      <c r="AM2103" s="204"/>
    </row>
    <row r="2104">
      <c r="A2104" s="204"/>
      <c r="B2104" s="209"/>
      <c r="C2104" s="204"/>
      <c r="D2104" s="210"/>
      <c r="E2104" s="211"/>
      <c r="F2104" s="211"/>
      <c r="G2104" s="212"/>
      <c r="H2104" s="212"/>
      <c r="I2104" s="204"/>
      <c r="J2104" s="204"/>
      <c r="K2104" s="204"/>
      <c r="L2104" s="204"/>
      <c r="M2104" s="204"/>
      <c r="N2104" s="204"/>
      <c r="O2104" s="204"/>
      <c r="P2104" s="204"/>
      <c r="Q2104" s="204"/>
      <c r="R2104" s="204"/>
      <c r="S2104" s="204"/>
      <c r="T2104" s="204"/>
      <c r="U2104" s="204"/>
      <c r="V2104" s="204"/>
      <c r="W2104" s="204"/>
      <c r="X2104" s="204"/>
      <c r="Y2104" s="204"/>
      <c r="Z2104" s="204"/>
      <c r="AA2104" s="204"/>
      <c r="AB2104" s="204"/>
      <c r="AC2104" s="204"/>
      <c r="AD2104" s="204"/>
      <c r="AE2104" s="204"/>
      <c r="AF2104" s="204"/>
      <c r="AG2104" s="204"/>
      <c r="AH2104" s="204"/>
      <c r="AI2104" s="209"/>
      <c r="AJ2104" s="209"/>
      <c r="AK2104" s="204"/>
      <c r="AL2104" s="204"/>
      <c r="AM2104" s="204"/>
    </row>
    <row r="2105">
      <c r="A2105" s="204"/>
      <c r="B2105" s="209"/>
      <c r="C2105" s="204"/>
      <c r="D2105" s="210"/>
      <c r="E2105" s="211"/>
      <c r="F2105" s="211"/>
      <c r="G2105" s="212"/>
      <c r="H2105" s="212"/>
      <c r="I2105" s="204"/>
      <c r="J2105" s="204"/>
      <c r="K2105" s="204"/>
      <c r="L2105" s="204"/>
      <c r="M2105" s="204"/>
      <c r="N2105" s="204"/>
      <c r="O2105" s="204"/>
      <c r="P2105" s="204"/>
      <c r="Q2105" s="204"/>
      <c r="R2105" s="204"/>
      <c r="S2105" s="204"/>
      <c r="T2105" s="204"/>
      <c r="U2105" s="204"/>
      <c r="V2105" s="204"/>
      <c r="W2105" s="204"/>
      <c r="X2105" s="204"/>
      <c r="Y2105" s="204"/>
      <c r="Z2105" s="204"/>
      <c r="AA2105" s="204"/>
      <c r="AB2105" s="204"/>
      <c r="AC2105" s="204"/>
      <c r="AD2105" s="204"/>
      <c r="AE2105" s="204"/>
      <c r="AF2105" s="204"/>
      <c r="AG2105" s="204"/>
      <c r="AH2105" s="204"/>
      <c r="AI2105" s="209"/>
      <c r="AJ2105" s="209"/>
      <c r="AK2105" s="204"/>
      <c r="AL2105" s="204"/>
      <c r="AM2105" s="204"/>
    </row>
    <row r="2106">
      <c r="A2106" s="204"/>
      <c r="B2106" s="209"/>
      <c r="C2106" s="204"/>
      <c r="D2106" s="210"/>
      <c r="E2106" s="211"/>
      <c r="F2106" s="211"/>
      <c r="G2106" s="212"/>
      <c r="H2106" s="212"/>
      <c r="I2106" s="204"/>
      <c r="J2106" s="204"/>
      <c r="K2106" s="204"/>
      <c r="L2106" s="204"/>
      <c r="M2106" s="204"/>
      <c r="N2106" s="204"/>
      <c r="O2106" s="204"/>
      <c r="P2106" s="204"/>
      <c r="Q2106" s="204"/>
      <c r="R2106" s="204"/>
      <c r="S2106" s="204"/>
      <c r="T2106" s="204"/>
      <c r="U2106" s="204"/>
      <c r="V2106" s="204"/>
      <c r="W2106" s="204"/>
      <c r="X2106" s="204"/>
      <c r="Y2106" s="204"/>
      <c r="Z2106" s="204"/>
      <c r="AA2106" s="204"/>
      <c r="AB2106" s="204"/>
      <c r="AC2106" s="204"/>
      <c r="AD2106" s="204"/>
      <c r="AE2106" s="204"/>
      <c r="AF2106" s="204"/>
      <c r="AG2106" s="204"/>
      <c r="AH2106" s="204"/>
      <c r="AI2106" s="209"/>
      <c r="AJ2106" s="209"/>
      <c r="AK2106" s="204"/>
      <c r="AL2106" s="204"/>
      <c r="AM2106" s="204"/>
    </row>
    <row r="2107">
      <c r="A2107" s="204"/>
      <c r="B2107" s="209"/>
      <c r="C2107" s="204"/>
      <c r="D2107" s="210"/>
      <c r="E2107" s="211"/>
      <c r="F2107" s="211"/>
      <c r="G2107" s="212"/>
      <c r="H2107" s="212"/>
      <c r="I2107" s="204"/>
      <c r="J2107" s="204"/>
      <c r="K2107" s="204"/>
      <c r="L2107" s="204"/>
      <c r="M2107" s="204"/>
      <c r="N2107" s="204"/>
      <c r="O2107" s="204"/>
      <c r="P2107" s="204"/>
      <c r="Q2107" s="204"/>
      <c r="R2107" s="204"/>
      <c r="S2107" s="204"/>
      <c r="T2107" s="204"/>
      <c r="U2107" s="204"/>
      <c r="V2107" s="204"/>
      <c r="W2107" s="204"/>
      <c r="X2107" s="204"/>
      <c r="Y2107" s="204"/>
      <c r="Z2107" s="204"/>
      <c r="AA2107" s="204"/>
      <c r="AB2107" s="204"/>
      <c r="AC2107" s="204"/>
      <c r="AD2107" s="204"/>
      <c r="AE2107" s="204"/>
      <c r="AF2107" s="204"/>
      <c r="AG2107" s="204"/>
      <c r="AH2107" s="204"/>
      <c r="AI2107" s="209"/>
      <c r="AJ2107" s="209"/>
      <c r="AK2107" s="204"/>
      <c r="AL2107" s="204"/>
      <c r="AM2107" s="204"/>
    </row>
    <row r="2108">
      <c r="A2108" s="204"/>
      <c r="B2108" s="209"/>
      <c r="C2108" s="204"/>
      <c r="D2108" s="210"/>
      <c r="E2108" s="211"/>
      <c r="F2108" s="211"/>
      <c r="G2108" s="212"/>
      <c r="H2108" s="212"/>
      <c r="I2108" s="204"/>
      <c r="J2108" s="204"/>
      <c r="K2108" s="204"/>
      <c r="L2108" s="204"/>
      <c r="M2108" s="204"/>
      <c r="N2108" s="204"/>
      <c r="O2108" s="204"/>
      <c r="P2108" s="204"/>
      <c r="Q2108" s="204"/>
      <c r="R2108" s="204"/>
      <c r="S2108" s="204"/>
      <c r="T2108" s="204"/>
      <c r="U2108" s="204"/>
      <c r="V2108" s="204"/>
      <c r="W2108" s="204"/>
      <c r="X2108" s="204"/>
      <c r="Y2108" s="204"/>
      <c r="Z2108" s="204"/>
      <c r="AA2108" s="204"/>
      <c r="AB2108" s="204"/>
      <c r="AC2108" s="204"/>
      <c r="AD2108" s="204"/>
      <c r="AE2108" s="204"/>
      <c r="AF2108" s="204"/>
      <c r="AG2108" s="204"/>
      <c r="AH2108" s="204"/>
      <c r="AI2108" s="209"/>
      <c r="AJ2108" s="209"/>
      <c r="AK2108" s="204"/>
      <c r="AL2108" s="204"/>
      <c r="AM2108" s="204"/>
    </row>
    <row r="2109">
      <c r="A2109" s="204"/>
      <c r="B2109" s="209"/>
      <c r="C2109" s="204"/>
      <c r="D2109" s="210"/>
      <c r="E2109" s="211"/>
      <c r="F2109" s="211"/>
      <c r="G2109" s="212"/>
      <c r="H2109" s="212"/>
      <c r="I2109" s="204"/>
      <c r="J2109" s="204"/>
      <c r="K2109" s="204"/>
      <c r="L2109" s="204"/>
      <c r="M2109" s="204"/>
      <c r="N2109" s="204"/>
      <c r="O2109" s="204"/>
      <c r="P2109" s="204"/>
      <c r="Q2109" s="204"/>
      <c r="R2109" s="204"/>
      <c r="S2109" s="204"/>
      <c r="T2109" s="204"/>
      <c r="U2109" s="204"/>
      <c r="V2109" s="204"/>
      <c r="W2109" s="204"/>
      <c r="X2109" s="204"/>
      <c r="Y2109" s="204"/>
      <c r="Z2109" s="204"/>
      <c r="AA2109" s="204"/>
      <c r="AB2109" s="204"/>
      <c r="AC2109" s="204"/>
      <c r="AD2109" s="204"/>
      <c r="AE2109" s="204"/>
      <c r="AF2109" s="204"/>
      <c r="AG2109" s="204"/>
      <c r="AH2109" s="204"/>
      <c r="AI2109" s="209"/>
      <c r="AJ2109" s="209"/>
      <c r="AK2109" s="204"/>
      <c r="AL2109" s="204"/>
      <c r="AM2109" s="204"/>
    </row>
    <row r="2110">
      <c r="A2110" s="204"/>
      <c r="B2110" s="209"/>
      <c r="C2110" s="204"/>
      <c r="D2110" s="210"/>
      <c r="E2110" s="211"/>
      <c r="F2110" s="211"/>
      <c r="G2110" s="212"/>
      <c r="H2110" s="212"/>
      <c r="I2110" s="204"/>
      <c r="J2110" s="204"/>
      <c r="K2110" s="204"/>
      <c r="L2110" s="204"/>
      <c r="M2110" s="204"/>
      <c r="N2110" s="204"/>
      <c r="O2110" s="204"/>
      <c r="P2110" s="204"/>
      <c r="Q2110" s="204"/>
      <c r="R2110" s="204"/>
      <c r="S2110" s="204"/>
      <c r="T2110" s="204"/>
      <c r="U2110" s="204"/>
      <c r="V2110" s="204"/>
      <c r="W2110" s="204"/>
      <c r="X2110" s="204"/>
      <c r="Y2110" s="204"/>
      <c r="Z2110" s="204"/>
      <c r="AA2110" s="204"/>
      <c r="AB2110" s="204"/>
      <c r="AC2110" s="204"/>
      <c r="AD2110" s="204"/>
      <c r="AE2110" s="204"/>
      <c r="AF2110" s="204"/>
      <c r="AG2110" s="204"/>
      <c r="AH2110" s="204"/>
      <c r="AI2110" s="209"/>
      <c r="AJ2110" s="209"/>
      <c r="AK2110" s="204"/>
      <c r="AL2110" s="204"/>
      <c r="AM2110" s="204"/>
    </row>
    <row r="2111">
      <c r="A2111" s="204"/>
      <c r="B2111" s="209"/>
      <c r="C2111" s="204"/>
      <c r="D2111" s="210"/>
      <c r="E2111" s="211"/>
      <c r="F2111" s="211"/>
      <c r="G2111" s="212"/>
      <c r="H2111" s="212"/>
      <c r="I2111" s="204"/>
      <c r="J2111" s="204"/>
      <c r="K2111" s="204"/>
      <c r="L2111" s="204"/>
      <c r="M2111" s="204"/>
      <c r="N2111" s="204"/>
      <c r="O2111" s="204"/>
      <c r="P2111" s="204"/>
      <c r="Q2111" s="204"/>
      <c r="R2111" s="204"/>
      <c r="S2111" s="204"/>
      <c r="T2111" s="204"/>
      <c r="U2111" s="204"/>
      <c r="V2111" s="204"/>
      <c r="W2111" s="204"/>
      <c r="X2111" s="204"/>
      <c r="Y2111" s="204"/>
      <c r="Z2111" s="204"/>
      <c r="AA2111" s="204"/>
      <c r="AB2111" s="204"/>
      <c r="AC2111" s="204"/>
      <c r="AD2111" s="204"/>
      <c r="AE2111" s="204"/>
      <c r="AF2111" s="204"/>
      <c r="AG2111" s="204"/>
      <c r="AH2111" s="204"/>
      <c r="AI2111" s="209"/>
      <c r="AJ2111" s="209"/>
      <c r="AK2111" s="204"/>
      <c r="AL2111" s="204"/>
      <c r="AM2111" s="204"/>
    </row>
    <row r="2112">
      <c r="A2112" s="204"/>
      <c r="B2112" s="209"/>
      <c r="C2112" s="204"/>
      <c r="D2112" s="210"/>
      <c r="E2112" s="211"/>
      <c r="F2112" s="211"/>
      <c r="G2112" s="212"/>
      <c r="H2112" s="212"/>
      <c r="I2112" s="204"/>
      <c r="J2112" s="204"/>
      <c r="K2112" s="204"/>
      <c r="L2112" s="204"/>
      <c r="M2112" s="204"/>
      <c r="N2112" s="204"/>
      <c r="O2112" s="204"/>
      <c r="P2112" s="204"/>
      <c r="Q2112" s="204"/>
      <c r="R2112" s="204"/>
      <c r="S2112" s="204"/>
      <c r="T2112" s="204"/>
      <c r="U2112" s="204"/>
      <c r="V2112" s="204"/>
      <c r="W2112" s="204"/>
      <c r="X2112" s="204"/>
      <c r="Y2112" s="204"/>
      <c r="Z2112" s="204"/>
      <c r="AA2112" s="204"/>
      <c r="AB2112" s="204"/>
      <c r="AC2112" s="204"/>
      <c r="AD2112" s="204"/>
      <c r="AE2112" s="204"/>
      <c r="AF2112" s="204"/>
      <c r="AG2112" s="204"/>
      <c r="AH2112" s="204"/>
      <c r="AI2112" s="209"/>
      <c r="AJ2112" s="209"/>
      <c r="AK2112" s="204"/>
      <c r="AL2112" s="204"/>
      <c r="AM2112" s="204"/>
    </row>
    <row r="2113">
      <c r="A2113" s="204"/>
      <c r="B2113" s="209"/>
      <c r="C2113" s="204"/>
      <c r="D2113" s="210"/>
      <c r="E2113" s="211"/>
      <c r="F2113" s="211"/>
      <c r="G2113" s="212"/>
      <c r="H2113" s="212"/>
      <c r="I2113" s="204"/>
      <c r="J2113" s="204"/>
      <c r="K2113" s="204"/>
      <c r="L2113" s="204"/>
      <c r="M2113" s="204"/>
      <c r="N2113" s="204"/>
      <c r="O2113" s="204"/>
      <c r="P2113" s="204"/>
      <c r="Q2113" s="204"/>
      <c r="R2113" s="204"/>
      <c r="S2113" s="204"/>
      <c r="T2113" s="204"/>
      <c r="U2113" s="204"/>
      <c r="V2113" s="204"/>
      <c r="W2113" s="204"/>
      <c r="X2113" s="204"/>
      <c r="Y2113" s="204"/>
      <c r="Z2113" s="204"/>
      <c r="AA2113" s="204"/>
      <c r="AB2113" s="204"/>
      <c r="AC2113" s="204"/>
      <c r="AD2113" s="204"/>
      <c r="AE2113" s="204"/>
      <c r="AF2113" s="204"/>
      <c r="AG2113" s="204"/>
      <c r="AH2113" s="204"/>
      <c r="AI2113" s="209"/>
      <c r="AJ2113" s="209"/>
      <c r="AK2113" s="204"/>
      <c r="AL2113" s="204"/>
      <c r="AM2113" s="204"/>
    </row>
    <row r="2114">
      <c r="A2114" s="204"/>
      <c r="B2114" s="209"/>
      <c r="C2114" s="204"/>
      <c r="D2114" s="210"/>
      <c r="E2114" s="211"/>
      <c r="F2114" s="211"/>
      <c r="G2114" s="212"/>
      <c r="H2114" s="212"/>
      <c r="I2114" s="204"/>
      <c r="J2114" s="204"/>
      <c r="K2114" s="204"/>
      <c r="L2114" s="204"/>
      <c r="M2114" s="204"/>
      <c r="N2114" s="204"/>
      <c r="O2114" s="204"/>
      <c r="P2114" s="204"/>
      <c r="Q2114" s="204"/>
      <c r="R2114" s="204"/>
      <c r="S2114" s="204"/>
      <c r="T2114" s="204"/>
      <c r="U2114" s="204"/>
      <c r="V2114" s="204"/>
      <c r="W2114" s="204"/>
      <c r="X2114" s="204"/>
      <c r="Y2114" s="204"/>
      <c r="Z2114" s="204"/>
      <c r="AA2114" s="204"/>
      <c r="AB2114" s="204"/>
      <c r="AC2114" s="204"/>
      <c r="AD2114" s="204"/>
      <c r="AE2114" s="204"/>
      <c r="AF2114" s="204"/>
      <c r="AG2114" s="204"/>
      <c r="AH2114" s="204"/>
      <c r="AI2114" s="209"/>
      <c r="AJ2114" s="209"/>
      <c r="AK2114" s="204"/>
      <c r="AL2114" s="204"/>
      <c r="AM2114" s="204"/>
    </row>
    <row r="2115">
      <c r="A2115" s="204"/>
      <c r="B2115" s="209"/>
      <c r="C2115" s="204"/>
      <c r="D2115" s="210"/>
      <c r="E2115" s="211"/>
      <c r="F2115" s="211"/>
      <c r="G2115" s="212"/>
      <c r="H2115" s="212"/>
      <c r="I2115" s="204"/>
      <c r="J2115" s="204"/>
      <c r="K2115" s="204"/>
      <c r="L2115" s="204"/>
      <c r="M2115" s="204"/>
      <c r="N2115" s="204"/>
      <c r="O2115" s="204"/>
      <c r="P2115" s="204"/>
      <c r="Q2115" s="204"/>
      <c r="R2115" s="204"/>
      <c r="S2115" s="204"/>
      <c r="T2115" s="204"/>
      <c r="U2115" s="204"/>
      <c r="V2115" s="204"/>
      <c r="W2115" s="204"/>
      <c r="X2115" s="204"/>
      <c r="Y2115" s="204"/>
      <c r="Z2115" s="204"/>
      <c r="AA2115" s="204"/>
      <c r="AB2115" s="204"/>
      <c r="AC2115" s="204"/>
      <c r="AD2115" s="204"/>
      <c r="AE2115" s="204"/>
      <c r="AF2115" s="204"/>
      <c r="AG2115" s="204"/>
      <c r="AH2115" s="204"/>
      <c r="AI2115" s="209"/>
      <c r="AJ2115" s="209"/>
      <c r="AK2115" s="204"/>
      <c r="AL2115" s="204"/>
      <c r="AM2115" s="204"/>
    </row>
    <row r="2116">
      <c r="A2116" s="204"/>
      <c r="B2116" s="209"/>
      <c r="C2116" s="204"/>
      <c r="D2116" s="210"/>
      <c r="E2116" s="211"/>
      <c r="F2116" s="211"/>
      <c r="G2116" s="212"/>
      <c r="H2116" s="212"/>
      <c r="I2116" s="204"/>
      <c r="J2116" s="204"/>
      <c r="K2116" s="204"/>
      <c r="L2116" s="204"/>
      <c r="M2116" s="204"/>
      <c r="N2116" s="204"/>
      <c r="O2116" s="204"/>
      <c r="P2116" s="204"/>
      <c r="Q2116" s="204"/>
      <c r="R2116" s="204"/>
      <c r="S2116" s="204"/>
      <c r="T2116" s="204"/>
      <c r="U2116" s="204"/>
      <c r="V2116" s="204"/>
      <c r="W2116" s="204"/>
      <c r="X2116" s="204"/>
      <c r="Y2116" s="204"/>
      <c r="Z2116" s="204"/>
      <c r="AA2116" s="204"/>
      <c r="AB2116" s="204"/>
      <c r="AC2116" s="204"/>
      <c r="AD2116" s="204"/>
      <c r="AE2116" s="204"/>
      <c r="AF2116" s="204"/>
      <c r="AG2116" s="204"/>
      <c r="AH2116" s="204"/>
      <c r="AI2116" s="209"/>
      <c r="AJ2116" s="209"/>
      <c r="AK2116" s="204"/>
      <c r="AL2116" s="204"/>
      <c r="AM2116" s="204"/>
    </row>
    <row r="2117">
      <c r="A2117" s="204"/>
      <c r="B2117" s="209"/>
      <c r="C2117" s="204"/>
      <c r="D2117" s="210"/>
      <c r="E2117" s="211"/>
      <c r="F2117" s="211"/>
      <c r="G2117" s="212"/>
      <c r="H2117" s="212"/>
      <c r="I2117" s="204"/>
      <c r="J2117" s="204"/>
      <c r="K2117" s="204"/>
      <c r="L2117" s="204"/>
      <c r="M2117" s="204"/>
      <c r="N2117" s="204"/>
      <c r="O2117" s="204"/>
      <c r="P2117" s="204"/>
      <c r="Q2117" s="204"/>
      <c r="R2117" s="204"/>
      <c r="S2117" s="204"/>
      <c r="T2117" s="204"/>
      <c r="U2117" s="204"/>
      <c r="V2117" s="204"/>
      <c r="W2117" s="204"/>
      <c r="X2117" s="204"/>
      <c r="Y2117" s="204"/>
      <c r="Z2117" s="204"/>
      <c r="AA2117" s="204"/>
      <c r="AB2117" s="204"/>
      <c r="AC2117" s="204"/>
      <c r="AD2117" s="204"/>
      <c r="AE2117" s="204"/>
      <c r="AF2117" s="204"/>
      <c r="AG2117" s="204"/>
      <c r="AH2117" s="204"/>
      <c r="AI2117" s="209"/>
      <c r="AJ2117" s="209"/>
      <c r="AK2117" s="204"/>
      <c r="AL2117" s="204"/>
      <c r="AM2117" s="204"/>
    </row>
    <row r="2118">
      <c r="A2118" s="204"/>
      <c r="B2118" s="209"/>
      <c r="C2118" s="204"/>
      <c r="D2118" s="210"/>
      <c r="E2118" s="211"/>
      <c r="F2118" s="211"/>
      <c r="G2118" s="212"/>
      <c r="H2118" s="212"/>
      <c r="I2118" s="204"/>
      <c r="J2118" s="204"/>
      <c r="K2118" s="204"/>
      <c r="L2118" s="204"/>
      <c r="M2118" s="204"/>
      <c r="N2118" s="204"/>
      <c r="O2118" s="204"/>
      <c r="P2118" s="204"/>
      <c r="Q2118" s="204"/>
      <c r="R2118" s="204"/>
      <c r="S2118" s="204"/>
      <c r="T2118" s="204"/>
      <c r="U2118" s="204"/>
      <c r="V2118" s="204"/>
      <c r="W2118" s="204"/>
      <c r="X2118" s="204"/>
      <c r="Y2118" s="204"/>
      <c r="Z2118" s="204"/>
      <c r="AA2118" s="204"/>
      <c r="AB2118" s="204"/>
      <c r="AC2118" s="204"/>
      <c r="AD2118" s="204"/>
      <c r="AE2118" s="204"/>
      <c r="AF2118" s="204"/>
      <c r="AG2118" s="204"/>
      <c r="AH2118" s="204"/>
      <c r="AI2118" s="209"/>
      <c r="AJ2118" s="209"/>
      <c r="AK2118" s="204"/>
      <c r="AL2118" s="204"/>
      <c r="AM2118" s="204"/>
    </row>
    <row r="2119">
      <c r="A2119" s="204"/>
      <c r="B2119" s="209"/>
      <c r="C2119" s="204"/>
      <c r="D2119" s="210"/>
      <c r="E2119" s="211"/>
      <c r="F2119" s="211"/>
      <c r="G2119" s="212"/>
      <c r="H2119" s="212"/>
      <c r="I2119" s="204"/>
      <c r="J2119" s="204"/>
      <c r="K2119" s="204"/>
      <c r="L2119" s="204"/>
      <c r="M2119" s="204"/>
      <c r="N2119" s="204"/>
      <c r="O2119" s="204"/>
      <c r="P2119" s="204"/>
      <c r="Q2119" s="204"/>
      <c r="R2119" s="204"/>
      <c r="S2119" s="204"/>
      <c r="T2119" s="204"/>
      <c r="U2119" s="204"/>
      <c r="V2119" s="204"/>
      <c r="W2119" s="204"/>
      <c r="X2119" s="204"/>
      <c r="Y2119" s="204"/>
      <c r="Z2119" s="204"/>
      <c r="AA2119" s="204"/>
      <c r="AB2119" s="204"/>
      <c r="AC2119" s="204"/>
      <c r="AD2119" s="204"/>
      <c r="AE2119" s="204"/>
      <c r="AF2119" s="204"/>
      <c r="AG2119" s="204"/>
      <c r="AH2119" s="204"/>
      <c r="AI2119" s="209"/>
      <c r="AJ2119" s="209"/>
      <c r="AK2119" s="204"/>
      <c r="AL2119" s="204"/>
      <c r="AM2119" s="204"/>
    </row>
    <row r="2120">
      <c r="A2120" s="204"/>
      <c r="B2120" s="209"/>
      <c r="C2120" s="204"/>
      <c r="D2120" s="210"/>
      <c r="E2120" s="211"/>
      <c r="F2120" s="211"/>
      <c r="G2120" s="212"/>
      <c r="H2120" s="212"/>
      <c r="I2120" s="204"/>
      <c r="J2120" s="204"/>
      <c r="K2120" s="204"/>
      <c r="L2120" s="204"/>
      <c r="M2120" s="204"/>
      <c r="N2120" s="204"/>
      <c r="O2120" s="204"/>
      <c r="P2120" s="204"/>
      <c r="Q2120" s="204"/>
      <c r="R2120" s="204"/>
      <c r="S2120" s="204"/>
      <c r="T2120" s="204"/>
      <c r="U2120" s="204"/>
      <c r="V2120" s="204"/>
      <c r="W2120" s="204"/>
      <c r="X2120" s="204"/>
      <c r="Y2120" s="204"/>
      <c r="Z2120" s="204"/>
      <c r="AA2120" s="204"/>
      <c r="AB2120" s="204"/>
      <c r="AC2120" s="204"/>
      <c r="AD2120" s="204"/>
      <c r="AE2120" s="204"/>
      <c r="AF2120" s="204"/>
      <c r="AG2120" s="204"/>
      <c r="AH2120" s="204"/>
      <c r="AI2120" s="209"/>
      <c r="AJ2120" s="209"/>
      <c r="AK2120" s="204"/>
      <c r="AL2120" s="204"/>
      <c r="AM2120" s="204"/>
    </row>
    <row r="2121">
      <c r="A2121" s="204"/>
      <c r="B2121" s="209"/>
      <c r="C2121" s="204"/>
      <c r="D2121" s="210"/>
      <c r="E2121" s="211"/>
      <c r="F2121" s="211"/>
      <c r="G2121" s="212"/>
      <c r="H2121" s="212"/>
      <c r="I2121" s="204"/>
      <c r="J2121" s="204"/>
      <c r="K2121" s="204"/>
      <c r="L2121" s="204"/>
      <c r="M2121" s="204"/>
      <c r="N2121" s="204"/>
      <c r="O2121" s="204"/>
      <c r="P2121" s="204"/>
      <c r="Q2121" s="204"/>
      <c r="R2121" s="204"/>
      <c r="S2121" s="204"/>
      <c r="T2121" s="204"/>
      <c r="U2121" s="204"/>
      <c r="V2121" s="204"/>
      <c r="W2121" s="204"/>
      <c r="X2121" s="204"/>
      <c r="Y2121" s="204"/>
      <c r="Z2121" s="204"/>
      <c r="AA2121" s="204"/>
      <c r="AB2121" s="204"/>
      <c r="AC2121" s="204"/>
      <c r="AD2121" s="204"/>
      <c r="AE2121" s="204"/>
      <c r="AF2121" s="204"/>
      <c r="AG2121" s="204"/>
      <c r="AH2121" s="204"/>
      <c r="AI2121" s="209"/>
      <c r="AJ2121" s="209"/>
      <c r="AK2121" s="204"/>
      <c r="AL2121" s="204"/>
      <c r="AM2121" s="204"/>
    </row>
    <row r="2122">
      <c r="A2122" s="204"/>
      <c r="B2122" s="209"/>
      <c r="C2122" s="204"/>
      <c r="D2122" s="210"/>
      <c r="E2122" s="211"/>
      <c r="F2122" s="211"/>
      <c r="G2122" s="212"/>
      <c r="H2122" s="212"/>
      <c r="I2122" s="204"/>
      <c r="J2122" s="204"/>
      <c r="K2122" s="204"/>
      <c r="L2122" s="204"/>
      <c r="M2122" s="204"/>
      <c r="N2122" s="204"/>
      <c r="O2122" s="204"/>
      <c r="P2122" s="204"/>
      <c r="Q2122" s="204"/>
      <c r="R2122" s="204"/>
      <c r="S2122" s="204"/>
      <c r="T2122" s="204"/>
      <c r="U2122" s="204"/>
      <c r="V2122" s="204"/>
      <c r="W2122" s="204"/>
      <c r="X2122" s="204"/>
      <c r="Y2122" s="204"/>
      <c r="Z2122" s="204"/>
      <c r="AA2122" s="204"/>
      <c r="AB2122" s="204"/>
      <c r="AC2122" s="204"/>
      <c r="AD2122" s="204"/>
      <c r="AE2122" s="204"/>
      <c r="AF2122" s="204"/>
      <c r="AG2122" s="204"/>
      <c r="AH2122" s="204"/>
      <c r="AI2122" s="209"/>
      <c r="AJ2122" s="209"/>
      <c r="AK2122" s="204"/>
      <c r="AL2122" s="204"/>
      <c r="AM2122" s="204"/>
    </row>
    <row r="2123">
      <c r="A2123" s="204"/>
      <c r="B2123" s="209"/>
      <c r="C2123" s="204"/>
      <c r="D2123" s="210"/>
      <c r="E2123" s="211"/>
      <c r="F2123" s="211"/>
      <c r="G2123" s="212"/>
      <c r="H2123" s="212"/>
      <c r="I2123" s="204"/>
      <c r="J2123" s="204"/>
      <c r="K2123" s="204"/>
      <c r="L2123" s="204"/>
      <c r="M2123" s="204"/>
      <c r="N2123" s="204"/>
      <c r="O2123" s="204"/>
      <c r="P2123" s="204"/>
      <c r="Q2123" s="204"/>
      <c r="R2123" s="204"/>
      <c r="S2123" s="204"/>
      <c r="T2123" s="204"/>
      <c r="U2123" s="204"/>
      <c r="V2123" s="204"/>
      <c r="W2123" s="204"/>
      <c r="X2123" s="204"/>
      <c r="Y2123" s="204"/>
      <c r="Z2123" s="204"/>
      <c r="AA2123" s="204"/>
      <c r="AB2123" s="204"/>
      <c r="AC2123" s="204"/>
      <c r="AD2123" s="204"/>
      <c r="AE2123" s="204"/>
      <c r="AF2123" s="204"/>
      <c r="AG2123" s="204"/>
      <c r="AH2123" s="204"/>
      <c r="AI2123" s="209"/>
      <c r="AJ2123" s="209"/>
      <c r="AK2123" s="204"/>
      <c r="AL2123" s="204"/>
      <c r="AM2123" s="204"/>
    </row>
    <row r="2124">
      <c r="A2124" s="204"/>
      <c r="B2124" s="209"/>
      <c r="C2124" s="204"/>
      <c r="D2124" s="210"/>
      <c r="E2124" s="211"/>
      <c r="F2124" s="211"/>
      <c r="G2124" s="212"/>
      <c r="H2124" s="212"/>
      <c r="I2124" s="204"/>
      <c r="J2124" s="204"/>
      <c r="K2124" s="204"/>
      <c r="L2124" s="204"/>
      <c r="M2124" s="204"/>
      <c r="N2124" s="204"/>
      <c r="O2124" s="204"/>
      <c r="P2124" s="204"/>
      <c r="Q2124" s="204"/>
      <c r="R2124" s="204"/>
      <c r="S2124" s="204"/>
      <c r="T2124" s="204"/>
      <c r="U2124" s="204"/>
      <c r="V2124" s="204"/>
      <c r="W2124" s="204"/>
      <c r="X2124" s="204"/>
      <c r="Y2124" s="204"/>
      <c r="Z2124" s="204"/>
      <c r="AA2124" s="204"/>
      <c r="AB2124" s="204"/>
      <c r="AC2124" s="204"/>
      <c r="AD2124" s="204"/>
      <c r="AE2124" s="204"/>
      <c r="AF2124" s="204"/>
      <c r="AG2124" s="204"/>
      <c r="AH2124" s="204"/>
      <c r="AI2124" s="209"/>
      <c r="AJ2124" s="209"/>
      <c r="AK2124" s="204"/>
      <c r="AL2124" s="204"/>
      <c r="AM2124" s="204"/>
    </row>
    <row r="2125">
      <c r="A2125" s="204"/>
      <c r="B2125" s="209"/>
      <c r="C2125" s="204"/>
      <c r="D2125" s="210"/>
      <c r="E2125" s="211"/>
      <c r="F2125" s="211"/>
      <c r="G2125" s="212"/>
      <c r="H2125" s="212"/>
      <c r="I2125" s="204"/>
      <c r="J2125" s="204"/>
      <c r="K2125" s="204"/>
      <c r="L2125" s="204"/>
      <c r="M2125" s="204"/>
      <c r="N2125" s="204"/>
      <c r="O2125" s="204"/>
      <c r="P2125" s="204"/>
      <c r="Q2125" s="204"/>
      <c r="R2125" s="204"/>
      <c r="S2125" s="204"/>
      <c r="T2125" s="204"/>
      <c r="U2125" s="204"/>
      <c r="V2125" s="204"/>
      <c r="W2125" s="204"/>
      <c r="X2125" s="204"/>
      <c r="Y2125" s="204"/>
      <c r="Z2125" s="204"/>
      <c r="AA2125" s="204"/>
      <c r="AB2125" s="204"/>
      <c r="AC2125" s="204"/>
      <c r="AD2125" s="204"/>
      <c r="AE2125" s="204"/>
      <c r="AF2125" s="204"/>
      <c r="AG2125" s="204"/>
      <c r="AH2125" s="204"/>
      <c r="AI2125" s="209"/>
      <c r="AJ2125" s="209"/>
      <c r="AK2125" s="204"/>
      <c r="AL2125" s="204"/>
      <c r="AM2125" s="204"/>
    </row>
    <row r="2126">
      <c r="A2126" s="204"/>
      <c r="B2126" s="209"/>
      <c r="C2126" s="204"/>
      <c r="D2126" s="210"/>
      <c r="E2126" s="211"/>
      <c r="F2126" s="211"/>
      <c r="G2126" s="212"/>
      <c r="H2126" s="212"/>
      <c r="I2126" s="204"/>
      <c r="J2126" s="204"/>
      <c r="K2126" s="204"/>
      <c r="L2126" s="204"/>
      <c r="M2126" s="204"/>
      <c r="N2126" s="204"/>
      <c r="O2126" s="204"/>
      <c r="P2126" s="204"/>
      <c r="Q2126" s="204"/>
      <c r="R2126" s="204"/>
      <c r="S2126" s="204"/>
      <c r="T2126" s="204"/>
      <c r="U2126" s="204"/>
      <c r="V2126" s="204"/>
      <c r="W2126" s="204"/>
      <c r="X2126" s="204"/>
      <c r="Y2126" s="204"/>
      <c r="Z2126" s="204"/>
      <c r="AA2126" s="204"/>
      <c r="AB2126" s="204"/>
      <c r="AC2126" s="204"/>
      <c r="AD2126" s="204"/>
      <c r="AE2126" s="204"/>
      <c r="AF2126" s="204"/>
      <c r="AG2126" s="204"/>
      <c r="AH2126" s="204"/>
      <c r="AI2126" s="209"/>
      <c r="AJ2126" s="209"/>
      <c r="AK2126" s="204"/>
      <c r="AL2126" s="204"/>
      <c r="AM2126" s="204"/>
    </row>
    <row r="2127">
      <c r="A2127" s="204"/>
      <c r="B2127" s="209"/>
      <c r="C2127" s="204"/>
      <c r="D2127" s="210"/>
      <c r="E2127" s="211"/>
      <c r="F2127" s="211"/>
      <c r="G2127" s="212"/>
      <c r="H2127" s="212"/>
      <c r="I2127" s="204"/>
      <c r="J2127" s="204"/>
      <c r="K2127" s="204"/>
      <c r="L2127" s="204"/>
      <c r="M2127" s="204"/>
      <c r="N2127" s="204"/>
      <c r="O2127" s="204"/>
      <c r="P2127" s="204"/>
      <c r="Q2127" s="204"/>
      <c r="R2127" s="204"/>
      <c r="S2127" s="204"/>
      <c r="T2127" s="204"/>
      <c r="U2127" s="204"/>
      <c r="V2127" s="204"/>
      <c r="W2127" s="204"/>
      <c r="X2127" s="204"/>
      <c r="Y2127" s="204"/>
      <c r="Z2127" s="204"/>
      <c r="AA2127" s="204"/>
      <c r="AB2127" s="204"/>
      <c r="AC2127" s="204"/>
      <c r="AD2127" s="204"/>
      <c r="AE2127" s="204"/>
      <c r="AF2127" s="204"/>
      <c r="AG2127" s="204"/>
      <c r="AH2127" s="204"/>
      <c r="AI2127" s="209"/>
      <c r="AJ2127" s="209"/>
      <c r="AK2127" s="204"/>
      <c r="AL2127" s="204"/>
      <c r="AM2127" s="204"/>
    </row>
    <row r="2128">
      <c r="A2128" s="204"/>
      <c r="B2128" s="209"/>
      <c r="C2128" s="204"/>
      <c r="D2128" s="210"/>
      <c r="E2128" s="211"/>
      <c r="F2128" s="211"/>
      <c r="G2128" s="212"/>
      <c r="H2128" s="212"/>
      <c r="I2128" s="204"/>
      <c r="J2128" s="204"/>
      <c r="K2128" s="204"/>
      <c r="L2128" s="204"/>
      <c r="M2128" s="204"/>
      <c r="N2128" s="204"/>
      <c r="O2128" s="204"/>
      <c r="P2128" s="204"/>
      <c r="Q2128" s="204"/>
      <c r="R2128" s="204"/>
      <c r="S2128" s="204"/>
      <c r="T2128" s="204"/>
      <c r="U2128" s="204"/>
      <c r="V2128" s="204"/>
      <c r="W2128" s="204"/>
      <c r="X2128" s="204"/>
      <c r="Y2128" s="204"/>
      <c r="Z2128" s="204"/>
      <c r="AA2128" s="204"/>
      <c r="AB2128" s="204"/>
      <c r="AC2128" s="204"/>
      <c r="AD2128" s="204"/>
      <c r="AE2128" s="204"/>
      <c r="AF2128" s="204"/>
      <c r="AG2128" s="204"/>
      <c r="AH2128" s="204"/>
      <c r="AI2128" s="209"/>
      <c r="AJ2128" s="209"/>
      <c r="AK2128" s="204"/>
      <c r="AL2128" s="204"/>
      <c r="AM2128" s="204"/>
    </row>
    <row r="2129">
      <c r="A2129" s="204"/>
      <c r="B2129" s="209"/>
      <c r="C2129" s="204"/>
      <c r="D2129" s="210"/>
      <c r="E2129" s="211"/>
      <c r="F2129" s="211"/>
      <c r="G2129" s="212"/>
      <c r="H2129" s="212"/>
      <c r="I2129" s="204"/>
      <c r="J2129" s="204"/>
      <c r="K2129" s="204"/>
      <c r="L2129" s="204"/>
      <c r="M2129" s="204"/>
      <c r="N2129" s="204"/>
      <c r="O2129" s="204"/>
      <c r="P2129" s="204"/>
      <c r="Q2129" s="204"/>
      <c r="R2129" s="204"/>
      <c r="S2129" s="204"/>
      <c r="T2129" s="204"/>
      <c r="U2129" s="204"/>
      <c r="V2129" s="204"/>
      <c r="W2129" s="204"/>
      <c r="X2129" s="204"/>
      <c r="Y2129" s="204"/>
      <c r="Z2129" s="204"/>
      <c r="AA2129" s="204"/>
      <c r="AB2129" s="204"/>
      <c r="AC2129" s="204"/>
      <c r="AD2129" s="204"/>
      <c r="AE2129" s="204"/>
      <c r="AF2129" s="204"/>
      <c r="AG2129" s="204"/>
      <c r="AH2129" s="204"/>
      <c r="AI2129" s="209"/>
      <c r="AJ2129" s="209"/>
      <c r="AK2129" s="204"/>
      <c r="AL2129" s="204"/>
      <c r="AM2129" s="204"/>
    </row>
    <row r="2130">
      <c r="A2130" s="204"/>
      <c r="B2130" s="209"/>
      <c r="C2130" s="204"/>
      <c r="D2130" s="210"/>
      <c r="E2130" s="211"/>
      <c r="F2130" s="211"/>
      <c r="G2130" s="212"/>
      <c r="H2130" s="212"/>
      <c r="I2130" s="204"/>
      <c r="J2130" s="204"/>
      <c r="K2130" s="204"/>
      <c r="L2130" s="204"/>
      <c r="M2130" s="204"/>
      <c r="N2130" s="204"/>
      <c r="O2130" s="204"/>
      <c r="P2130" s="204"/>
      <c r="Q2130" s="204"/>
      <c r="R2130" s="204"/>
      <c r="S2130" s="204"/>
      <c r="T2130" s="204"/>
      <c r="U2130" s="204"/>
      <c r="V2130" s="204"/>
      <c r="W2130" s="204"/>
      <c r="X2130" s="204"/>
      <c r="Y2130" s="204"/>
      <c r="Z2130" s="204"/>
      <c r="AA2130" s="204"/>
      <c r="AB2130" s="204"/>
      <c r="AC2130" s="204"/>
      <c r="AD2130" s="204"/>
      <c r="AE2130" s="204"/>
      <c r="AF2130" s="204"/>
      <c r="AG2130" s="204"/>
      <c r="AH2130" s="204"/>
      <c r="AI2130" s="209"/>
      <c r="AJ2130" s="209"/>
      <c r="AK2130" s="204"/>
      <c r="AL2130" s="204"/>
      <c r="AM2130" s="204"/>
    </row>
    <row r="2131">
      <c r="A2131" s="204"/>
      <c r="B2131" s="209"/>
      <c r="C2131" s="204"/>
      <c r="D2131" s="210"/>
      <c r="E2131" s="211"/>
      <c r="F2131" s="211"/>
      <c r="G2131" s="212"/>
      <c r="H2131" s="212"/>
      <c r="I2131" s="204"/>
      <c r="J2131" s="204"/>
      <c r="K2131" s="204"/>
      <c r="L2131" s="204"/>
      <c r="M2131" s="204"/>
      <c r="N2131" s="204"/>
      <c r="O2131" s="204"/>
      <c r="P2131" s="204"/>
      <c r="Q2131" s="204"/>
      <c r="R2131" s="204"/>
      <c r="S2131" s="204"/>
      <c r="T2131" s="204"/>
      <c r="U2131" s="204"/>
      <c r="V2131" s="204"/>
      <c r="W2131" s="204"/>
      <c r="X2131" s="204"/>
      <c r="Y2131" s="204"/>
      <c r="Z2131" s="204"/>
      <c r="AA2131" s="204"/>
      <c r="AB2131" s="204"/>
      <c r="AC2131" s="204"/>
      <c r="AD2131" s="204"/>
      <c r="AE2131" s="204"/>
      <c r="AF2131" s="204"/>
      <c r="AG2131" s="204"/>
      <c r="AH2131" s="204"/>
      <c r="AI2131" s="209"/>
      <c r="AJ2131" s="209"/>
      <c r="AK2131" s="204"/>
      <c r="AL2131" s="204"/>
      <c r="AM2131" s="204"/>
    </row>
    <row r="2132">
      <c r="A2132" s="204"/>
      <c r="B2132" s="209"/>
      <c r="C2132" s="204"/>
      <c r="D2132" s="210"/>
      <c r="E2132" s="211"/>
      <c r="F2132" s="211"/>
      <c r="G2132" s="212"/>
      <c r="H2132" s="212"/>
      <c r="I2132" s="204"/>
      <c r="J2132" s="204"/>
      <c r="K2132" s="204"/>
      <c r="L2132" s="204"/>
      <c r="M2132" s="204"/>
      <c r="N2132" s="204"/>
      <c r="O2132" s="204"/>
      <c r="P2132" s="204"/>
      <c r="Q2132" s="204"/>
      <c r="R2132" s="204"/>
      <c r="S2132" s="204"/>
      <c r="T2132" s="204"/>
      <c r="U2132" s="204"/>
      <c r="V2132" s="204"/>
      <c r="W2132" s="204"/>
      <c r="X2132" s="204"/>
      <c r="Y2132" s="204"/>
      <c r="Z2132" s="204"/>
      <c r="AA2132" s="204"/>
      <c r="AB2132" s="204"/>
      <c r="AC2132" s="204"/>
      <c r="AD2132" s="204"/>
      <c r="AE2132" s="204"/>
      <c r="AF2132" s="204"/>
      <c r="AG2132" s="204"/>
      <c r="AH2132" s="204"/>
      <c r="AI2132" s="209"/>
      <c r="AJ2132" s="209"/>
      <c r="AK2132" s="204"/>
      <c r="AL2132" s="204"/>
      <c r="AM2132" s="204"/>
    </row>
    <row r="2133">
      <c r="A2133" s="204"/>
      <c r="B2133" s="209"/>
      <c r="C2133" s="204"/>
      <c r="D2133" s="210"/>
      <c r="E2133" s="211"/>
      <c r="F2133" s="211"/>
      <c r="G2133" s="212"/>
      <c r="H2133" s="212"/>
      <c r="I2133" s="204"/>
      <c r="J2133" s="204"/>
      <c r="K2133" s="204"/>
      <c r="L2133" s="204"/>
      <c r="M2133" s="204"/>
      <c r="N2133" s="204"/>
      <c r="O2133" s="204"/>
      <c r="P2133" s="204"/>
      <c r="Q2133" s="204"/>
      <c r="R2133" s="204"/>
      <c r="S2133" s="204"/>
      <c r="T2133" s="204"/>
      <c r="U2133" s="204"/>
      <c r="V2133" s="204"/>
      <c r="W2133" s="204"/>
      <c r="X2133" s="204"/>
      <c r="Y2133" s="204"/>
      <c r="Z2133" s="204"/>
      <c r="AA2133" s="204"/>
      <c r="AB2133" s="204"/>
      <c r="AC2133" s="204"/>
      <c r="AD2133" s="204"/>
      <c r="AE2133" s="204"/>
      <c r="AF2133" s="204"/>
      <c r="AG2133" s="204"/>
      <c r="AH2133" s="204"/>
      <c r="AI2133" s="209"/>
      <c r="AJ2133" s="209"/>
      <c r="AK2133" s="204"/>
      <c r="AL2133" s="204"/>
      <c r="AM2133" s="204"/>
    </row>
    <row r="2134">
      <c r="A2134" s="204"/>
      <c r="B2134" s="209"/>
      <c r="C2134" s="204"/>
      <c r="D2134" s="210"/>
      <c r="E2134" s="211"/>
      <c r="F2134" s="211"/>
      <c r="G2134" s="212"/>
      <c r="H2134" s="212"/>
      <c r="I2134" s="204"/>
      <c r="J2134" s="204"/>
      <c r="K2134" s="204"/>
      <c r="L2134" s="204"/>
      <c r="M2134" s="204"/>
      <c r="N2134" s="204"/>
      <c r="O2134" s="204"/>
      <c r="P2134" s="204"/>
      <c r="Q2134" s="204"/>
      <c r="R2134" s="204"/>
      <c r="S2134" s="204"/>
      <c r="T2134" s="204"/>
      <c r="U2134" s="204"/>
      <c r="V2134" s="204"/>
      <c r="W2134" s="204"/>
      <c r="X2134" s="204"/>
      <c r="Y2134" s="204"/>
      <c r="Z2134" s="204"/>
      <c r="AA2134" s="204"/>
      <c r="AB2134" s="204"/>
      <c r="AC2134" s="204"/>
      <c r="AD2134" s="204"/>
      <c r="AE2134" s="204"/>
      <c r="AF2134" s="204"/>
      <c r="AG2134" s="204"/>
      <c r="AH2134" s="204"/>
      <c r="AI2134" s="209"/>
      <c r="AJ2134" s="209"/>
      <c r="AK2134" s="204"/>
      <c r="AL2134" s="204"/>
      <c r="AM2134" s="204"/>
    </row>
    <row r="2135">
      <c r="A2135" s="204"/>
      <c r="B2135" s="209"/>
      <c r="C2135" s="204"/>
      <c r="D2135" s="210"/>
      <c r="E2135" s="211"/>
      <c r="F2135" s="211"/>
      <c r="G2135" s="212"/>
      <c r="H2135" s="212"/>
      <c r="I2135" s="204"/>
      <c r="J2135" s="204"/>
      <c r="K2135" s="204"/>
      <c r="L2135" s="204"/>
      <c r="M2135" s="204"/>
      <c r="N2135" s="204"/>
      <c r="O2135" s="204"/>
      <c r="P2135" s="204"/>
      <c r="Q2135" s="204"/>
      <c r="R2135" s="204"/>
      <c r="S2135" s="204"/>
      <c r="T2135" s="204"/>
      <c r="U2135" s="204"/>
      <c r="V2135" s="204"/>
      <c r="W2135" s="204"/>
      <c r="X2135" s="204"/>
      <c r="Y2135" s="204"/>
      <c r="Z2135" s="204"/>
      <c r="AA2135" s="204"/>
      <c r="AB2135" s="204"/>
      <c r="AC2135" s="204"/>
      <c r="AD2135" s="204"/>
      <c r="AE2135" s="204"/>
      <c r="AF2135" s="204"/>
      <c r="AG2135" s="204"/>
      <c r="AH2135" s="204"/>
      <c r="AI2135" s="209"/>
      <c r="AJ2135" s="209"/>
      <c r="AK2135" s="204"/>
      <c r="AL2135" s="204"/>
      <c r="AM2135" s="204"/>
    </row>
    <row r="2136">
      <c r="A2136" s="204"/>
      <c r="B2136" s="209"/>
      <c r="C2136" s="204"/>
      <c r="D2136" s="210"/>
      <c r="E2136" s="211"/>
      <c r="F2136" s="211"/>
      <c r="G2136" s="212"/>
      <c r="H2136" s="212"/>
      <c r="I2136" s="204"/>
      <c r="J2136" s="204"/>
      <c r="K2136" s="204"/>
      <c r="L2136" s="204"/>
      <c r="M2136" s="204"/>
      <c r="N2136" s="204"/>
      <c r="O2136" s="204"/>
      <c r="P2136" s="204"/>
      <c r="Q2136" s="204"/>
      <c r="R2136" s="204"/>
      <c r="S2136" s="204"/>
      <c r="T2136" s="204"/>
      <c r="U2136" s="204"/>
      <c r="V2136" s="204"/>
      <c r="W2136" s="204"/>
      <c r="X2136" s="204"/>
      <c r="Y2136" s="204"/>
      <c r="Z2136" s="204"/>
      <c r="AA2136" s="204"/>
      <c r="AB2136" s="204"/>
      <c r="AC2136" s="204"/>
      <c r="AD2136" s="204"/>
      <c r="AE2136" s="204"/>
      <c r="AF2136" s="204"/>
      <c r="AG2136" s="204"/>
      <c r="AH2136" s="204"/>
      <c r="AI2136" s="209"/>
      <c r="AJ2136" s="209"/>
      <c r="AK2136" s="204"/>
      <c r="AL2136" s="204"/>
      <c r="AM2136" s="204"/>
    </row>
    <row r="2137">
      <c r="A2137" s="204"/>
      <c r="B2137" s="209"/>
      <c r="C2137" s="204"/>
      <c r="D2137" s="210"/>
      <c r="E2137" s="211"/>
      <c r="F2137" s="211"/>
      <c r="G2137" s="212"/>
      <c r="H2137" s="212"/>
      <c r="I2137" s="204"/>
      <c r="J2137" s="204"/>
      <c r="K2137" s="204"/>
      <c r="L2137" s="204"/>
      <c r="M2137" s="204"/>
      <c r="N2137" s="204"/>
      <c r="O2137" s="204"/>
      <c r="P2137" s="204"/>
      <c r="Q2137" s="204"/>
      <c r="R2137" s="204"/>
      <c r="S2137" s="204"/>
      <c r="T2137" s="204"/>
      <c r="U2137" s="204"/>
      <c r="V2137" s="204"/>
      <c r="W2137" s="204"/>
      <c r="X2137" s="204"/>
      <c r="Y2137" s="204"/>
      <c r="Z2137" s="204"/>
      <c r="AA2137" s="204"/>
      <c r="AB2137" s="204"/>
      <c r="AC2137" s="204"/>
      <c r="AD2137" s="204"/>
      <c r="AE2137" s="204"/>
      <c r="AF2137" s="204"/>
      <c r="AG2137" s="204"/>
      <c r="AH2137" s="204"/>
      <c r="AI2137" s="209"/>
      <c r="AJ2137" s="209"/>
      <c r="AK2137" s="204"/>
      <c r="AL2137" s="204"/>
      <c r="AM2137" s="204"/>
    </row>
    <row r="2138">
      <c r="A2138" s="204"/>
      <c r="B2138" s="209"/>
      <c r="C2138" s="204"/>
      <c r="D2138" s="210"/>
      <c r="E2138" s="211"/>
      <c r="F2138" s="211"/>
      <c r="G2138" s="212"/>
      <c r="H2138" s="212"/>
      <c r="I2138" s="204"/>
      <c r="J2138" s="204"/>
      <c r="K2138" s="204"/>
      <c r="L2138" s="204"/>
      <c r="M2138" s="204"/>
      <c r="N2138" s="204"/>
      <c r="O2138" s="204"/>
      <c r="P2138" s="204"/>
      <c r="Q2138" s="204"/>
      <c r="R2138" s="204"/>
      <c r="S2138" s="204"/>
      <c r="T2138" s="204"/>
      <c r="U2138" s="204"/>
      <c r="V2138" s="204"/>
      <c r="W2138" s="204"/>
      <c r="X2138" s="204"/>
      <c r="Y2138" s="204"/>
      <c r="Z2138" s="204"/>
      <c r="AA2138" s="204"/>
      <c r="AB2138" s="204"/>
      <c r="AC2138" s="204"/>
      <c r="AD2138" s="204"/>
      <c r="AE2138" s="204"/>
      <c r="AF2138" s="204"/>
      <c r="AG2138" s="204"/>
      <c r="AH2138" s="204"/>
      <c r="AI2138" s="209"/>
      <c r="AJ2138" s="209"/>
      <c r="AK2138" s="204"/>
      <c r="AL2138" s="204"/>
      <c r="AM2138" s="204"/>
    </row>
    <row r="2139">
      <c r="A2139" s="204"/>
      <c r="B2139" s="209"/>
      <c r="C2139" s="204"/>
      <c r="D2139" s="210"/>
      <c r="E2139" s="211"/>
      <c r="F2139" s="211"/>
      <c r="G2139" s="212"/>
      <c r="H2139" s="212"/>
      <c r="I2139" s="204"/>
      <c r="J2139" s="204"/>
      <c r="K2139" s="204"/>
      <c r="L2139" s="204"/>
      <c r="M2139" s="204"/>
      <c r="N2139" s="204"/>
      <c r="O2139" s="204"/>
      <c r="P2139" s="204"/>
      <c r="Q2139" s="204"/>
      <c r="R2139" s="204"/>
      <c r="S2139" s="204"/>
      <c r="T2139" s="204"/>
      <c r="U2139" s="204"/>
      <c r="V2139" s="204"/>
      <c r="W2139" s="204"/>
      <c r="X2139" s="204"/>
      <c r="Y2139" s="204"/>
      <c r="Z2139" s="204"/>
      <c r="AA2139" s="204"/>
      <c r="AB2139" s="204"/>
      <c r="AC2139" s="204"/>
      <c r="AD2139" s="204"/>
      <c r="AE2139" s="204"/>
      <c r="AF2139" s="204"/>
      <c r="AG2139" s="204"/>
      <c r="AH2139" s="204"/>
      <c r="AI2139" s="209"/>
      <c r="AJ2139" s="209"/>
      <c r="AK2139" s="204"/>
      <c r="AL2139" s="204"/>
      <c r="AM2139" s="204"/>
    </row>
    <row r="2140">
      <c r="A2140" s="204"/>
      <c r="B2140" s="209"/>
      <c r="C2140" s="204"/>
      <c r="D2140" s="210"/>
      <c r="E2140" s="211"/>
      <c r="F2140" s="211"/>
      <c r="G2140" s="212"/>
      <c r="H2140" s="212"/>
      <c r="I2140" s="204"/>
      <c r="J2140" s="204"/>
      <c r="K2140" s="204"/>
      <c r="L2140" s="204"/>
      <c r="M2140" s="204"/>
      <c r="N2140" s="204"/>
      <c r="O2140" s="204"/>
      <c r="P2140" s="204"/>
      <c r="Q2140" s="204"/>
      <c r="R2140" s="204"/>
      <c r="S2140" s="204"/>
      <c r="T2140" s="204"/>
      <c r="U2140" s="204"/>
      <c r="V2140" s="204"/>
      <c r="W2140" s="204"/>
      <c r="X2140" s="204"/>
      <c r="Y2140" s="204"/>
      <c r="Z2140" s="204"/>
      <c r="AA2140" s="204"/>
      <c r="AB2140" s="204"/>
      <c r="AC2140" s="204"/>
      <c r="AD2140" s="204"/>
      <c r="AE2140" s="204"/>
      <c r="AF2140" s="204"/>
      <c r="AG2140" s="204"/>
      <c r="AH2140" s="204"/>
      <c r="AI2140" s="209"/>
      <c r="AJ2140" s="209"/>
      <c r="AK2140" s="204"/>
      <c r="AL2140" s="204"/>
      <c r="AM2140" s="204"/>
    </row>
    <row r="2141">
      <c r="A2141" s="204"/>
      <c r="B2141" s="209"/>
      <c r="C2141" s="204"/>
      <c r="D2141" s="210"/>
      <c r="E2141" s="211"/>
      <c r="F2141" s="211"/>
      <c r="G2141" s="212"/>
      <c r="H2141" s="212"/>
      <c r="I2141" s="204"/>
      <c r="J2141" s="204"/>
      <c r="K2141" s="204"/>
      <c r="L2141" s="204"/>
      <c r="M2141" s="204"/>
      <c r="N2141" s="204"/>
      <c r="O2141" s="204"/>
      <c r="P2141" s="204"/>
      <c r="Q2141" s="204"/>
      <c r="R2141" s="204"/>
      <c r="S2141" s="204"/>
      <c r="T2141" s="204"/>
      <c r="U2141" s="204"/>
      <c r="V2141" s="204"/>
      <c r="W2141" s="204"/>
      <c r="X2141" s="204"/>
      <c r="Y2141" s="204"/>
      <c r="Z2141" s="204"/>
      <c r="AA2141" s="204"/>
      <c r="AB2141" s="204"/>
      <c r="AC2141" s="204"/>
      <c r="AD2141" s="204"/>
      <c r="AE2141" s="204"/>
      <c r="AF2141" s="204"/>
      <c r="AG2141" s="204"/>
      <c r="AH2141" s="204"/>
      <c r="AI2141" s="209"/>
      <c r="AJ2141" s="209"/>
      <c r="AK2141" s="204"/>
      <c r="AL2141" s="204"/>
      <c r="AM2141" s="204"/>
    </row>
    <row r="2142">
      <c r="A2142" s="204"/>
      <c r="B2142" s="209"/>
      <c r="C2142" s="204"/>
      <c r="D2142" s="210"/>
      <c r="E2142" s="211"/>
      <c r="F2142" s="211"/>
      <c r="G2142" s="212"/>
      <c r="H2142" s="212"/>
      <c r="I2142" s="204"/>
      <c r="J2142" s="204"/>
      <c r="K2142" s="204"/>
      <c r="L2142" s="204"/>
      <c r="M2142" s="204"/>
      <c r="N2142" s="204"/>
      <c r="O2142" s="204"/>
      <c r="P2142" s="204"/>
      <c r="Q2142" s="204"/>
      <c r="R2142" s="204"/>
      <c r="S2142" s="204"/>
      <c r="T2142" s="204"/>
      <c r="U2142" s="204"/>
      <c r="V2142" s="204"/>
      <c r="W2142" s="204"/>
      <c r="X2142" s="204"/>
      <c r="Y2142" s="204"/>
      <c r="Z2142" s="204"/>
      <c r="AA2142" s="204"/>
      <c r="AB2142" s="204"/>
      <c r="AC2142" s="204"/>
      <c r="AD2142" s="204"/>
      <c r="AE2142" s="204"/>
      <c r="AF2142" s="204"/>
      <c r="AG2142" s="204"/>
      <c r="AH2142" s="204"/>
      <c r="AI2142" s="209"/>
      <c r="AJ2142" s="209"/>
      <c r="AK2142" s="204"/>
      <c r="AL2142" s="204"/>
      <c r="AM2142" s="204"/>
    </row>
    <row r="2143">
      <c r="A2143" s="204"/>
      <c r="B2143" s="209"/>
      <c r="C2143" s="204"/>
      <c r="D2143" s="210"/>
      <c r="E2143" s="211"/>
      <c r="F2143" s="211"/>
      <c r="G2143" s="212"/>
      <c r="H2143" s="212"/>
      <c r="I2143" s="204"/>
      <c r="J2143" s="204"/>
      <c r="K2143" s="204"/>
      <c r="L2143" s="204"/>
      <c r="M2143" s="204"/>
      <c r="N2143" s="204"/>
      <c r="O2143" s="204"/>
      <c r="P2143" s="204"/>
      <c r="Q2143" s="204"/>
      <c r="R2143" s="204"/>
      <c r="S2143" s="204"/>
      <c r="T2143" s="204"/>
      <c r="U2143" s="204"/>
      <c r="V2143" s="204"/>
      <c r="W2143" s="204"/>
      <c r="X2143" s="204"/>
      <c r="Y2143" s="204"/>
      <c r="Z2143" s="204"/>
      <c r="AA2143" s="204"/>
      <c r="AB2143" s="204"/>
      <c r="AC2143" s="204"/>
      <c r="AD2143" s="204"/>
      <c r="AE2143" s="204"/>
      <c r="AF2143" s="204"/>
      <c r="AG2143" s="204"/>
      <c r="AH2143" s="204"/>
      <c r="AI2143" s="209"/>
      <c r="AJ2143" s="209"/>
      <c r="AK2143" s="204"/>
      <c r="AL2143" s="204"/>
      <c r="AM2143" s="204"/>
    </row>
    <row r="2144">
      <c r="A2144" s="204"/>
      <c r="B2144" s="209"/>
      <c r="C2144" s="204"/>
      <c r="D2144" s="210"/>
      <c r="E2144" s="211"/>
      <c r="F2144" s="211"/>
      <c r="G2144" s="212"/>
      <c r="H2144" s="212"/>
      <c r="I2144" s="204"/>
      <c r="J2144" s="204"/>
      <c r="K2144" s="204"/>
      <c r="L2144" s="204"/>
      <c r="M2144" s="204"/>
      <c r="N2144" s="204"/>
      <c r="O2144" s="204"/>
      <c r="P2144" s="204"/>
      <c r="Q2144" s="204"/>
      <c r="R2144" s="204"/>
      <c r="S2144" s="204"/>
      <c r="T2144" s="204"/>
      <c r="U2144" s="204"/>
      <c r="V2144" s="204"/>
      <c r="W2144" s="204"/>
      <c r="X2144" s="204"/>
      <c r="Y2144" s="204"/>
      <c r="Z2144" s="204"/>
      <c r="AA2144" s="204"/>
      <c r="AB2144" s="204"/>
      <c r="AC2144" s="204"/>
      <c r="AD2144" s="204"/>
      <c r="AE2144" s="204"/>
      <c r="AF2144" s="204"/>
      <c r="AG2144" s="204"/>
      <c r="AH2144" s="204"/>
      <c r="AI2144" s="209"/>
      <c r="AJ2144" s="209"/>
      <c r="AK2144" s="204"/>
      <c r="AL2144" s="204"/>
      <c r="AM2144" s="204"/>
    </row>
    <row r="2145">
      <c r="A2145" s="204"/>
      <c r="B2145" s="209"/>
      <c r="C2145" s="204"/>
      <c r="D2145" s="210"/>
      <c r="E2145" s="211"/>
      <c r="F2145" s="211"/>
      <c r="G2145" s="212"/>
      <c r="H2145" s="212"/>
      <c r="I2145" s="204"/>
      <c r="J2145" s="204"/>
      <c r="K2145" s="204"/>
      <c r="L2145" s="204"/>
      <c r="M2145" s="204"/>
      <c r="N2145" s="204"/>
      <c r="O2145" s="204"/>
      <c r="P2145" s="204"/>
      <c r="Q2145" s="204"/>
      <c r="R2145" s="204"/>
      <c r="S2145" s="204"/>
      <c r="T2145" s="204"/>
      <c r="U2145" s="204"/>
      <c r="V2145" s="204"/>
      <c r="W2145" s="204"/>
      <c r="X2145" s="204"/>
      <c r="Y2145" s="204"/>
      <c r="Z2145" s="204"/>
      <c r="AA2145" s="204"/>
      <c r="AB2145" s="204"/>
      <c r="AC2145" s="204"/>
      <c r="AD2145" s="204"/>
      <c r="AE2145" s="204"/>
      <c r="AF2145" s="204"/>
      <c r="AG2145" s="204"/>
      <c r="AH2145" s="204"/>
      <c r="AI2145" s="209"/>
      <c r="AJ2145" s="209"/>
      <c r="AK2145" s="204"/>
      <c r="AL2145" s="204"/>
      <c r="AM2145" s="204"/>
    </row>
    <row r="2146">
      <c r="A2146" s="204"/>
      <c r="B2146" s="209"/>
      <c r="C2146" s="204"/>
      <c r="D2146" s="210"/>
      <c r="E2146" s="211"/>
      <c r="F2146" s="211"/>
      <c r="G2146" s="212"/>
      <c r="H2146" s="212"/>
      <c r="I2146" s="204"/>
      <c r="J2146" s="204"/>
      <c r="K2146" s="204"/>
      <c r="L2146" s="204"/>
      <c r="M2146" s="204"/>
      <c r="N2146" s="204"/>
      <c r="O2146" s="204"/>
      <c r="P2146" s="204"/>
      <c r="Q2146" s="204"/>
      <c r="R2146" s="204"/>
      <c r="S2146" s="204"/>
      <c r="T2146" s="204"/>
      <c r="U2146" s="204"/>
      <c r="V2146" s="204"/>
      <c r="W2146" s="204"/>
      <c r="X2146" s="204"/>
      <c r="Y2146" s="204"/>
      <c r="Z2146" s="204"/>
      <c r="AA2146" s="204"/>
      <c r="AB2146" s="204"/>
      <c r="AC2146" s="204"/>
      <c r="AD2146" s="204"/>
      <c r="AE2146" s="204"/>
      <c r="AF2146" s="204"/>
      <c r="AG2146" s="204"/>
      <c r="AH2146" s="204"/>
      <c r="AI2146" s="209"/>
      <c r="AJ2146" s="209"/>
      <c r="AK2146" s="204"/>
      <c r="AL2146" s="204"/>
      <c r="AM2146" s="204"/>
    </row>
    <row r="2147">
      <c r="A2147" s="204"/>
      <c r="B2147" s="209"/>
      <c r="C2147" s="204"/>
      <c r="D2147" s="210"/>
      <c r="E2147" s="211"/>
      <c r="F2147" s="211"/>
      <c r="G2147" s="212"/>
      <c r="H2147" s="212"/>
      <c r="I2147" s="204"/>
      <c r="J2147" s="204"/>
      <c r="K2147" s="204"/>
      <c r="L2147" s="204"/>
      <c r="M2147" s="204"/>
      <c r="N2147" s="204"/>
      <c r="O2147" s="204"/>
      <c r="P2147" s="204"/>
      <c r="Q2147" s="204"/>
      <c r="R2147" s="204"/>
      <c r="S2147" s="204"/>
      <c r="T2147" s="204"/>
      <c r="U2147" s="204"/>
      <c r="V2147" s="204"/>
      <c r="W2147" s="204"/>
      <c r="X2147" s="204"/>
      <c r="Y2147" s="204"/>
      <c r="Z2147" s="204"/>
      <c r="AA2147" s="204"/>
      <c r="AB2147" s="204"/>
      <c r="AC2147" s="204"/>
      <c r="AD2147" s="204"/>
      <c r="AE2147" s="204"/>
      <c r="AF2147" s="204"/>
      <c r="AG2147" s="204"/>
      <c r="AH2147" s="204"/>
      <c r="AI2147" s="209"/>
      <c r="AJ2147" s="209"/>
      <c r="AK2147" s="204"/>
      <c r="AL2147" s="204"/>
      <c r="AM2147" s="204"/>
    </row>
    <row r="2148">
      <c r="A2148" s="204"/>
      <c r="B2148" s="209"/>
      <c r="C2148" s="204"/>
      <c r="D2148" s="210"/>
      <c r="E2148" s="211"/>
      <c r="F2148" s="211"/>
      <c r="G2148" s="212"/>
      <c r="H2148" s="212"/>
      <c r="I2148" s="204"/>
      <c r="J2148" s="204"/>
      <c r="K2148" s="204"/>
      <c r="L2148" s="204"/>
      <c r="M2148" s="204"/>
      <c r="N2148" s="204"/>
      <c r="O2148" s="204"/>
      <c r="P2148" s="204"/>
      <c r="Q2148" s="204"/>
      <c r="R2148" s="204"/>
      <c r="S2148" s="204"/>
      <c r="T2148" s="204"/>
      <c r="U2148" s="204"/>
      <c r="V2148" s="204"/>
      <c r="W2148" s="204"/>
      <c r="X2148" s="204"/>
      <c r="Y2148" s="204"/>
      <c r="Z2148" s="204"/>
      <c r="AA2148" s="204"/>
      <c r="AB2148" s="204"/>
      <c r="AC2148" s="204"/>
      <c r="AD2148" s="204"/>
      <c r="AE2148" s="204"/>
      <c r="AF2148" s="204"/>
      <c r="AG2148" s="204"/>
      <c r="AH2148" s="204"/>
      <c r="AI2148" s="209"/>
      <c r="AJ2148" s="209"/>
      <c r="AK2148" s="204"/>
      <c r="AL2148" s="204"/>
      <c r="AM2148" s="204"/>
    </row>
    <row r="2149">
      <c r="A2149" s="204"/>
      <c r="B2149" s="209"/>
      <c r="C2149" s="204"/>
      <c r="D2149" s="210"/>
      <c r="E2149" s="211"/>
      <c r="F2149" s="211"/>
      <c r="G2149" s="212"/>
      <c r="H2149" s="212"/>
      <c r="I2149" s="204"/>
      <c r="J2149" s="204"/>
      <c r="K2149" s="204"/>
      <c r="L2149" s="204"/>
      <c r="M2149" s="204"/>
      <c r="N2149" s="204"/>
      <c r="O2149" s="204"/>
      <c r="P2149" s="204"/>
      <c r="Q2149" s="204"/>
      <c r="R2149" s="204"/>
      <c r="S2149" s="204"/>
      <c r="T2149" s="204"/>
      <c r="U2149" s="204"/>
      <c r="V2149" s="204"/>
      <c r="W2149" s="204"/>
      <c r="X2149" s="204"/>
      <c r="Y2149" s="204"/>
      <c r="Z2149" s="204"/>
      <c r="AA2149" s="204"/>
      <c r="AB2149" s="204"/>
      <c r="AC2149" s="204"/>
      <c r="AD2149" s="204"/>
      <c r="AE2149" s="204"/>
      <c r="AF2149" s="204"/>
      <c r="AG2149" s="204"/>
      <c r="AH2149" s="204"/>
      <c r="AI2149" s="209"/>
      <c r="AJ2149" s="209"/>
      <c r="AK2149" s="204"/>
      <c r="AL2149" s="204"/>
      <c r="AM2149" s="204"/>
    </row>
    <row r="2150">
      <c r="A2150" s="204"/>
      <c r="B2150" s="209"/>
      <c r="C2150" s="204"/>
      <c r="D2150" s="210"/>
      <c r="E2150" s="211"/>
      <c r="F2150" s="211"/>
      <c r="G2150" s="212"/>
      <c r="H2150" s="212"/>
      <c r="I2150" s="204"/>
      <c r="J2150" s="204"/>
      <c r="K2150" s="204"/>
      <c r="L2150" s="204"/>
      <c r="M2150" s="204"/>
      <c r="N2150" s="204"/>
      <c r="O2150" s="204"/>
      <c r="P2150" s="204"/>
      <c r="Q2150" s="204"/>
      <c r="R2150" s="204"/>
      <c r="S2150" s="204"/>
      <c r="T2150" s="204"/>
      <c r="U2150" s="204"/>
      <c r="V2150" s="204"/>
      <c r="W2150" s="204"/>
      <c r="X2150" s="204"/>
      <c r="Y2150" s="204"/>
      <c r="Z2150" s="204"/>
      <c r="AA2150" s="204"/>
      <c r="AB2150" s="204"/>
      <c r="AC2150" s="204"/>
      <c r="AD2150" s="204"/>
      <c r="AE2150" s="204"/>
      <c r="AF2150" s="204"/>
      <c r="AG2150" s="204"/>
      <c r="AH2150" s="204"/>
      <c r="AI2150" s="209"/>
      <c r="AJ2150" s="209"/>
      <c r="AK2150" s="204"/>
      <c r="AL2150" s="204"/>
      <c r="AM2150" s="204"/>
    </row>
    <row r="2151">
      <c r="A2151" s="204"/>
      <c r="B2151" s="209"/>
      <c r="C2151" s="204"/>
      <c r="D2151" s="210"/>
      <c r="E2151" s="211"/>
      <c r="F2151" s="211"/>
      <c r="G2151" s="212"/>
      <c r="H2151" s="212"/>
      <c r="I2151" s="204"/>
      <c r="J2151" s="204"/>
      <c r="K2151" s="204"/>
      <c r="L2151" s="204"/>
      <c r="M2151" s="204"/>
      <c r="N2151" s="204"/>
      <c r="O2151" s="204"/>
      <c r="P2151" s="204"/>
      <c r="Q2151" s="204"/>
      <c r="R2151" s="204"/>
      <c r="S2151" s="204"/>
      <c r="T2151" s="204"/>
      <c r="U2151" s="204"/>
      <c r="V2151" s="204"/>
      <c r="W2151" s="204"/>
      <c r="X2151" s="204"/>
      <c r="Y2151" s="204"/>
      <c r="Z2151" s="204"/>
      <c r="AA2151" s="204"/>
      <c r="AB2151" s="204"/>
      <c r="AC2151" s="204"/>
      <c r="AD2151" s="204"/>
      <c r="AE2151" s="204"/>
      <c r="AF2151" s="204"/>
      <c r="AG2151" s="204"/>
      <c r="AH2151" s="204"/>
      <c r="AI2151" s="209"/>
      <c r="AJ2151" s="209"/>
      <c r="AK2151" s="204"/>
      <c r="AL2151" s="204"/>
      <c r="AM2151" s="204"/>
    </row>
    <row r="2152">
      <c r="A2152" s="204"/>
      <c r="B2152" s="209"/>
      <c r="C2152" s="204"/>
      <c r="D2152" s="210"/>
      <c r="E2152" s="211"/>
      <c r="F2152" s="211"/>
      <c r="G2152" s="212"/>
      <c r="H2152" s="212"/>
      <c r="I2152" s="204"/>
      <c r="J2152" s="204"/>
      <c r="K2152" s="204"/>
      <c r="L2152" s="204"/>
      <c r="M2152" s="204"/>
      <c r="N2152" s="204"/>
      <c r="O2152" s="204"/>
      <c r="P2152" s="204"/>
      <c r="Q2152" s="204"/>
      <c r="R2152" s="204"/>
      <c r="S2152" s="204"/>
      <c r="T2152" s="204"/>
      <c r="U2152" s="204"/>
      <c r="V2152" s="204"/>
      <c r="W2152" s="204"/>
      <c r="X2152" s="204"/>
      <c r="Y2152" s="204"/>
      <c r="Z2152" s="204"/>
      <c r="AA2152" s="204"/>
      <c r="AB2152" s="204"/>
      <c r="AC2152" s="204"/>
      <c r="AD2152" s="204"/>
      <c r="AE2152" s="204"/>
      <c r="AF2152" s="204"/>
      <c r="AG2152" s="204"/>
      <c r="AH2152" s="204"/>
      <c r="AI2152" s="209"/>
      <c r="AJ2152" s="209"/>
      <c r="AK2152" s="204"/>
      <c r="AL2152" s="204"/>
      <c r="AM2152" s="204"/>
    </row>
    <row r="2153">
      <c r="A2153" s="204"/>
      <c r="B2153" s="209"/>
      <c r="C2153" s="204"/>
      <c r="D2153" s="210"/>
      <c r="E2153" s="211"/>
      <c r="F2153" s="211"/>
      <c r="G2153" s="212"/>
      <c r="H2153" s="212"/>
      <c r="I2153" s="204"/>
      <c r="J2153" s="204"/>
      <c r="K2153" s="204"/>
      <c r="L2153" s="204"/>
      <c r="M2153" s="204"/>
      <c r="N2153" s="204"/>
      <c r="O2153" s="204"/>
      <c r="P2153" s="204"/>
      <c r="Q2153" s="204"/>
      <c r="R2153" s="204"/>
      <c r="S2153" s="204"/>
      <c r="T2153" s="204"/>
      <c r="U2153" s="204"/>
      <c r="V2153" s="204"/>
      <c r="W2153" s="204"/>
      <c r="X2153" s="204"/>
      <c r="Y2153" s="204"/>
      <c r="Z2153" s="204"/>
      <c r="AA2153" s="204"/>
      <c r="AB2153" s="204"/>
      <c r="AC2153" s="204"/>
      <c r="AD2153" s="204"/>
      <c r="AE2153" s="204"/>
      <c r="AF2153" s="204"/>
      <c r="AG2153" s="204"/>
      <c r="AH2153" s="204"/>
      <c r="AI2153" s="209"/>
      <c r="AJ2153" s="209"/>
      <c r="AK2153" s="204"/>
      <c r="AL2153" s="204"/>
      <c r="AM2153" s="204"/>
    </row>
    <row r="2154">
      <c r="A2154" s="204"/>
      <c r="B2154" s="209"/>
      <c r="C2154" s="204"/>
      <c r="D2154" s="210"/>
      <c r="E2154" s="211"/>
      <c r="F2154" s="211"/>
      <c r="G2154" s="212"/>
      <c r="H2154" s="212"/>
      <c r="I2154" s="204"/>
      <c r="J2154" s="204"/>
      <c r="K2154" s="204"/>
      <c r="L2154" s="204"/>
      <c r="M2154" s="204"/>
      <c r="N2154" s="204"/>
      <c r="O2154" s="204"/>
      <c r="P2154" s="204"/>
      <c r="Q2154" s="204"/>
      <c r="R2154" s="204"/>
      <c r="S2154" s="204"/>
      <c r="T2154" s="204"/>
      <c r="U2154" s="204"/>
      <c r="V2154" s="204"/>
      <c r="W2154" s="204"/>
      <c r="X2154" s="204"/>
      <c r="Y2154" s="204"/>
      <c r="Z2154" s="204"/>
      <c r="AA2154" s="204"/>
      <c r="AB2154" s="204"/>
      <c r="AC2154" s="204"/>
      <c r="AD2154" s="204"/>
      <c r="AE2154" s="204"/>
      <c r="AF2154" s="204"/>
      <c r="AG2154" s="204"/>
      <c r="AH2154" s="204"/>
      <c r="AI2154" s="209"/>
      <c r="AJ2154" s="209"/>
      <c r="AK2154" s="204"/>
      <c r="AL2154" s="204"/>
      <c r="AM2154" s="204"/>
    </row>
    <row r="2155">
      <c r="A2155" s="204"/>
      <c r="B2155" s="209"/>
      <c r="C2155" s="204"/>
      <c r="D2155" s="210"/>
      <c r="E2155" s="211"/>
      <c r="F2155" s="211"/>
      <c r="G2155" s="212"/>
      <c r="H2155" s="212"/>
      <c r="I2155" s="204"/>
      <c r="J2155" s="204"/>
      <c r="K2155" s="204"/>
      <c r="L2155" s="204"/>
      <c r="M2155" s="204"/>
      <c r="N2155" s="204"/>
      <c r="O2155" s="204"/>
      <c r="P2155" s="204"/>
      <c r="Q2155" s="204"/>
      <c r="R2155" s="204"/>
      <c r="S2155" s="204"/>
      <c r="T2155" s="204"/>
      <c r="U2155" s="204"/>
      <c r="V2155" s="204"/>
      <c r="W2155" s="204"/>
      <c r="X2155" s="204"/>
      <c r="Y2155" s="204"/>
      <c r="Z2155" s="204"/>
      <c r="AA2155" s="204"/>
      <c r="AB2155" s="204"/>
      <c r="AC2155" s="204"/>
      <c r="AD2155" s="204"/>
      <c r="AE2155" s="204"/>
      <c r="AF2155" s="204"/>
      <c r="AG2155" s="204"/>
      <c r="AH2155" s="204"/>
      <c r="AI2155" s="209"/>
      <c r="AJ2155" s="209"/>
      <c r="AK2155" s="204"/>
      <c r="AL2155" s="204"/>
      <c r="AM2155" s="204"/>
    </row>
    <row r="2156">
      <c r="A2156" s="204"/>
      <c r="B2156" s="209"/>
      <c r="C2156" s="204"/>
      <c r="D2156" s="210"/>
      <c r="E2156" s="211"/>
      <c r="F2156" s="211"/>
      <c r="G2156" s="212"/>
      <c r="H2156" s="212"/>
      <c r="I2156" s="204"/>
      <c r="J2156" s="204"/>
      <c r="K2156" s="204"/>
      <c r="L2156" s="204"/>
      <c r="M2156" s="204"/>
      <c r="N2156" s="204"/>
      <c r="O2156" s="204"/>
      <c r="P2156" s="204"/>
      <c r="Q2156" s="204"/>
      <c r="R2156" s="204"/>
      <c r="S2156" s="204"/>
      <c r="T2156" s="204"/>
      <c r="U2156" s="204"/>
      <c r="V2156" s="204"/>
      <c r="W2156" s="204"/>
      <c r="X2156" s="204"/>
      <c r="Y2156" s="204"/>
      <c r="Z2156" s="204"/>
      <c r="AA2156" s="204"/>
      <c r="AB2156" s="204"/>
      <c r="AC2156" s="204"/>
      <c r="AD2156" s="204"/>
      <c r="AE2156" s="204"/>
      <c r="AF2156" s="204"/>
      <c r="AG2156" s="204"/>
      <c r="AH2156" s="204"/>
      <c r="AI2156" s="209"/>
      <c r="AJ2156" s="209"/>
      <c r="AK2156" s="204"/>
      <c r="AL2156" s="204"/>
      <c r="AM2156" s="204"/>
    </row>
    <row r="2157">
      <c r="A2157" s="204"/>
      <c r="B2157" s="209"/>
      <c r="C2157" s="204"/>
      <c r="D2157" s="210"/>
      <c r="E2157" s="211"/>
      <c r="F2157" s="211"/>
      <c r="G2157" s="212"/>
      <c r="H2157" s="212"/>
      <c r="I2157" s="204"/>
      <c r="J2157" s="204"/>
      <c r="K2157" s="204"/>
      <c r="L2157" s="204"/>
      <c r="M2157" s="204"/>
      <c r="N2157" s="204"/>
      <c r="O2157" s="204"/>
      <c r="P2157" s="204"/>
      <c r="Q2157" s="204"/>
      <c r="R2157" s="204"/>
      <c r="S2157" s="204"/>
      <c r="T2157" s="204"/>
      <c r="U2157" s="204"/>
      <c r="V2157" s="204"/>
      <c r="W2157" s="204"/>
      <c r="X2157" s="204"/>
      <c r="Y2157" s="204"/>
      <c r="Z2157" s="204"/>
      <c r="AA2157" s="204"/>
      <c r="AB2157" s="204"/>
      <c r="AC2157" s="204"/>
      <c r="AD2157" s="204"/>
      <c r="AE2157" s="204"/>
      <c r="AF2157" s="204"/>
      <c r="AG2157" s="204"/>
      <c r="AH2157" s="204"/>
      <c r="AI2157" s="209"/>
      <c r="AJ2157" s="209"/>
      <c r="AK2157" s="204"/>
      <c r="AL2157" s="204"/>
      <c r="AM2157" s="204"/>
    </row>
    <row r="2158">
      <c r="A2158" s="204"/>
      <c r="B2158" s="209"/>
      <c r="C2158" s="204"/>
      <c r="D2158" s="210"/>
      <c r="E2158" s="211"/>
      <c r="F2158" s="211"/>
      <c r="G2158" s="212"/>
      <c r="H2158" s="212"/>
      <c r="I2158" s="204"/>
      <c r="J2158" s="204"/>
      <c r="K2158" s="204"/>
      <c r="L2158" s="204"/>
      <c r="M2158" s="204"/>
      <c r="N2158" s="204"/>
      <c r="O2158" s="204"/>
      <c r="P2158" s="204"/>
      <c r="Q2158" s="204"/>
      <c r="R2158" s="204"/>
      <c r="S2158" s="204"/>
      <c r="T2158" s="204"/>
      <c r="U2158" s="204"/>
      <c r="V2158" s="204"/>
      <c r="W2158" s="204"/>
      <c r="X2158" s="204"/>
      <c r="Y2158" s="204"/>
      <c r="Z2158" s="204"/>
      <c r="AA2158" s="204"/>
      <c r="AB2158" s="204"/>
      <c r="AC2158" s="204"/>
      <c r="AD2158" s="204"/>
      <c r="AE2158" s="204"/>
      <c r="AF2158" s="204"/>
      <c r="AG2158" s="204"/>
      <c r="AH2158" s="204"/>
      <c r="AI2158" s="209"/>
      <c r="AJ2158" s="209"/>
      <c r="AK2158" s="204"/>
      <c r="AL2158" s="204"/>
      <c r="AM2158" s="204"/>
    </row>
    <row r="2159">
      <c r="A2159" s="204"/>
      <c r="B2159" s="209"/>
      <c r="C2159" s="204"/>
      <c r="D2159" s="210"/>
      <c r="E2159" s="211"/>
      <c r="F2159" s="211"/>
      <c r="G2159" s="212"/>
      <c r="H2159" s="212"/>
      <c r="I2159" s="204"/>
      <c r="J2159" s="204"/>
      <c r="K2159" s="204"/>
      <c r="L2159" s="204"/>
      <c r="M2159" s="204"/>
      <c r="N2159" s="204"/>
      <c r="O2159" s="204"/>
      <c r="P2159" s="204"/>
      <c r="Q2159" s="204"/>
      <c r="R2159" s="204"/>
      <c r="S2159" s="204"/>
      <c r="T2159" s="204"/>
      <c r="U2159" s="204"/>
      <c r="V2159" s="204"/>
      <c r="W2159" s="204"/>
      <c r="X2159" s="204"/>
      <c r="Y2159" s="204"/>
      <c r="Z2159" s="204"/>
      <c r="AA2159" s="204"/>
      <c r="AB2159" s="204"/>
      <c r="AC2159" s="204"/>
      <c r="AD2159" s="204"/>
      <c r="AE2159" s="204"/>
      <c r="AF2159" s="204"/>
      <c r="AG2159" s="204"/>
      <c r="AH2159" s="204"/>
      <c r="AI2159" s="209"/>
      <c r="AJ2159" s="209"/>
      <c r="AK2159" s="204"/>
      <c r="AL2159" s="204"/>
      <c r="AM2159" s="204"/>
    </row>
    <row r="2160">
      <c r="A2160" s="204"/>
      <c r="B2160" s="209"/>
      <c r="C2160" s="204"/>
      <c r="D2160" s="210"/>
      <c r="E2160" s="211"/>
      <c r="F2160" s="211"/>
      <c r="G2160" s="212"/>
      <c r="H2160" s="212"/>
      <c r="I2160" s="204"/>
      <c r="J2160" s="204"/>
      <c r="K2160" s="204"/>
      <c r="L2160" s="204"/>
      <c r="M2160" s="204"/>
      <c r="N2160" s="204"/>
      <c r="O2160" s="204"/>
      <c r="P2160" s="204"/>
      <c r="Q2160" s="204"/>
      <c r="R2160" s="204"/>
      <c r="S2160" s="204"/>
      <c r="T2160" s="204"/>
      <c r="U2160" s="204"/>
      <c r="V2160" s="204"/>
      <c r="W2160" s="204"/>
      <c r="X2160" s="204"/>
      <c r="Y2160" s="204"/>
      <c r="Z2160" s="204"/>
      <c r="AA2160" s="204"/>
      <c r="AB2160" s="204"/>
      <c r="AC2160" s="204"/>
      <c r="AD2160" s="204"/>
      <c r="AE2160" s="204"/>
      <c r="AF2160" s="204"/>
      <c r="AG2160" s="204"/>
      <c r="AH2160" s="204"/>
      <c r="AI2160" s="209"/>
      <c r="AJ2160" s="209"/>
      <c r="AK2160" s="204"/>
      <c r="AL2160" s="204"/>
      <c r="AM2160" s="204"/>
    </row>
    <row r="2161">
      <c r="A2161" s="204"/>
      <c r="B2161" s="209"/>
      <c r="C2161" s="204"/>
      <c r="D2161" s="210"/>
      <c r="E2161" s="211"/>
      <c r="F2161" s="211"/>
      <c r="G2161" s="212"/>
      <c r="H2161" s="212"/>
      <c r="I2161" s="204"/>
      <c r="J2161" s="204"/>
      <c r="K2161" s="204"/>
      <c r="L2161" s="204"/>
      <c r="M2161" s="204"/>
      <c r="N2161" s="204"/>
      <c r="O2161" s="204"/>
      <c r="P2161" s="204"/>
      <c r="Q2161" s="204"/>
      <c r="R2161" s="204"/>
      <c r="S2161" s="204"/>
      <c r="T2161" s="204"/>
      <c r="U2161" s="204"/>
      <c r="V2161" s="204"/>
      <c r="W2161" s="204"/>
      <c r="X2161" s="204"/>
      <c r="Y2161" s="204"/>
      <c r="Z2161" s="204"/>
      <c r="AA2161" s="204"/>
      <c r="AB2161" s="204"/>
      <c r="AC2161" s="204"/>
      <c r="AD2161" s="204"/>
      <c r="AE2161" s="204"/>
      <c r="AF2161" s="204"/>
      <c r="AG2161" s="204"/>
      <c r="AH2161" s="204"/>
      <c r="AI2161" s="209"/>
      <c r="AJ2161" s="209"/>
      <c r="AK2161" s="204"/>
      <c r="AL2161" s="204"/>
      <c r="AM2161" s="204"/>
    </row>
    <row r="2162">
      <c r="A2162" s="204"/>
      <c r="B2162" s="209"/>
      <c r="C2162" s="204"/>
      <c r="D2162" s="210"/>
      <c r="E2162" s="211"/>
      <c r="F2162" s="211"/>
      <c r="G2162" s="212"/>
      <c r="H2162" s="212"/>
      <c r="I2162" s="204"/>
      <c r="J2162" s="204"/>
      <c r="K2162" s="204"/>
      <c r="L2162" s="204"/>
      <c r="M2162" s="204"/>
      <c r="N2162" s="204"/>
      <c r="O2162" s="204"/>
      <c r="P2162" s="204"/>
      <c r="Q2162" s="204"/>
      <c r="R2162" s="204"/>
      <c r="S2162" s="204"/>
      <c r="T2162" s="204"/>
      <c r="U2162" s="204"/>
      <c r="V2162" s="204"/>
      <c r="W2162" s="204"/>
      <c r="X2162" s="204"/>
      <c r="Y2162" s="204"/>
      <c r="Z2162" s="204"/>
      <c r="AA2162" s="204"/>
      <c r="AB2162" s="204"/>
      <c r="AC2162" s="204"/>
      <c r="AD2162" s="204"/>
      <c r="AE2162" s="204"/>
      <c r="AF2162" s="204"/>
      <c r="AG2162" s="204"/>
      <c r="AH2162" s="204"/>
      <c r="AI2162" s="209"/>
      <c r="AJ2162" s="209"/>
      <c r="AK2162" s="204"/>
      <c r="AL2162" s="204"/>
      <c r="AM2162" s="204"/>
    </row>
    <row r="2163">
      <c r="A2163" s="204"/>
      <c r="B2163" s="209"/>
      <c r="C2163" s="204"/>
      <c r="D2163" s="210"/>
      <c r="E2163" s="211"/>
      <c r="F2163" s="211"/>
      <c r="G2163" s="212"/>
      <c r="H2163" s="212"/>
      <c r="I2163" s="204"/>
      <c r="J2163" s="204"/>
      <c r="K2163" s="204"/>
      <c r="L2163" s="204"/>
      <c r="M2163" s="204"/>
      <c r="N2163" s="204"/>
      <c r="O2163" s="204"/>
      <c r="P2163" s="204"/>
      <c r="Q2163" s="204"/>
      <c r="R2163" s="204"/>
      <c r="S2163" s="204"/>
      <c r="T2163" s="204"/>
      <c r="U2163" s="204"/>
      <c r="V2163" s="204"/>
      <c r="W2163" s="204"/>
      <c r="X2163" s="204"/>
      <c r="Y2163" s="204"/>
      <c r="Z2163" s="204"/>
      <c r="AA2163" s="204"/>
      <c r="AB2163" s="204"/>
      <c r="AC2163" s="204"/>
      <c r="AD2163" s="204"/>
      <c r="AE2163" s="204"/>
      <c r="AF2163" s="204"/>
      <c r="AG2163" s="204"/>
      <c r="AH2163" s="204"/>
      <c r="AI2163" s="209"/>
      <c r="AJ2163" s="209"/>
      <c r="AK2163" s="204"/>
      <c r="AL2163" s="204"/>
      <c r="AM2163" s="204"/>
    </row>
    <row r="2164">
      <c r="A2164" s="204"/>
      <c r="B2164" s="209"/>
      <c r="C2164" s="204"/>
      <c r="D2164" s="210"/>
      <c r="E2164" s="211"/>
      <c r="F2164" s="211"/>
      <c r="G2164" s="212"/>
      <c r="H2164" s="212"/>
      <c r="I2164" s="204"/>
      <c r="J2164" s="204"/>
      <c r="K2164" s="204"/>
      <c r="L2164" s="204"/>
      <c r="M2164" s="204"/>
      <c r="N2164" s="204"/>
      <c r="O2164" s="204"/>
      <c r="P2164" s="204"/>
      <c r="Q2164" s="204"/>
      <c r="R2164" s="204"/>
      <c r="S2164" s="204"/>
      <c r="T2164" s="204"/>
      <c r="U2164" s="204"/>
      <c r="V2164" s="204"/>
      <c r="W2164" s="204"/>
      <c r="X2164" s="204"/>
      <c r="Y2164" s="204"/>
      <c r="Z2164" s="204"/>
      <c r="AA2164" s="204"/>
      <c r="AB2164" s="204"/>
      <c r="AC2164" s="204"/>
      <c r="AD2164" s="204"/>
      <c r="AE2164" s="204"/>
      <c r="AF2164" s="204"/>
      <c r="AG2164" s="204"/>
      <c r="AH2164" s="204"/>
      <c r="AI2164" s="209"/>
      <c r="AJ2164" s="209"/>
      <c r="AK2164" s="204"/>
      <c r="AL2164" s="204"/>
      <c r="AM2164" s="204"/>
    </row>
    <row r="2165">
      <c r="A2165" s="204"/>
      <c r="B2165" s="209"/>
      <c r="C2165" s="204"/>
      <c r="D2165" s="210"/>
      <c r="E2165" s="211"/>
      <c r="F2165" s="211"/>
      <c r="G2165" s="212"/>
      <c r="H2165" s="212"/>
      <c r="I2165" s="204"/>
      <c r="J2165" s="204"/>
      <c r="K2165" s="204"/>
      <c r="L2165" s="204"/>
      <c r="M2165" s="204"/>
      <c r="N2165" s="204"/>
      <c r="O2165" s="204"/>
      <c r="P2165" s="204"/>
      <c r="Q2165" s="204"/>
      <c r="R2165" s="204"/>
      <c r="S2165" s="204"/>
      <c r="T2165" s="204"/>
      <c r="U2165" s="204"/>
      <c r="V2165" s="204"/>
      <c r="W2165" s="204"/>
      <c r="X2165" s="204"/>
      <c r="Y2165" s="204"/>
      <c r="Z2165" s="204"/>
      <c r="AA2165" s="204"/>
      <c r="AB2165" s="204"/>
      <c r="AC2165" s="204"/>
      <c r="AD2165" s="204"/>
      <c r="AE2165" s="204"/>
      <c r="AF2165" s="204"/>
      <c r="AG2165" s="204"/>
      <c r="AH2165" s="204"/>
      <c r="AI2165" s="209"/>
      <c r="AJ2165" s="209"/>
      <c r="AK2165" s="204"/>
      <c r="AL2165" s="204"/>
      <c r="AM2165" s="204"/>
    </row>
    <row r="2166">
      <c r="A2166" s="204"/>
      <c r="B2166" s="209"/>
      <c r="C2166" s="204"/>
      <c r="D2166" s="210"/>
      <c r="E2166" s="211"/>
      <c r="F2166" s="211"/>
      <c r="G2166" s="212"/>
      <c r="H2166" s="212"/>
      <c r="I2166" s="204"/>
      <c r="J2166" s="204"/>
      <c r="K2166" s="204"/>
      <c r="L2166" s="204"/>
      <c r="M2166" s="204"/>
      <c r="N2166" s="204"/>
      <c r="O2166" s="204"/>
      <c r="P2166" s="204"/>
      <c r="Q2166" s="204"/>
      <c r="R2166" s="204"/>
      <c r="S2166" s="204"/>
      <c r="T2166" s="204"/>
      <c r="U2166" s="204"/>
      <c r="V2166" s="204"/>
      <c r="W2166" s="204"/>
      <c r="X2166" s="204"/>
      <c r="Y2166" s="204"/>
      <c r="Z2166" s="204"/>
      <c r="AA2166" s="204"/>
      <c r="AB2166" s="204"/>
      <c r="AC2166" s="204"/>
      <c r="AD2166" s="204"/>
      <c r="AE2166" s="204"/>
      <c r="AF2166" s="204"/>
      <c r="AG2166" s="204"/>
      <c r="AH2166" s="204"/>
      <c r="AI2166" s="209"/>
      <c r="AJ2166" s="209"/>
      <c r="AK2166" s="204"/>
      <c r="AL2166" s="204"/>
      <c r="AM2166" s="204"/>
    </row>
    <row r="2167">
      <c r="A2167" s="204"/>
      <c r="B2167" s="209"/>
      <c r="C2167" s="204"/>
      <c r="D2167" s="210"/>
      <c r="E2167" s="211"/>
      <c r="F2167" s="211"/>
      <c r="G2167" s="212"/>
      <c r="H2167" s="212"/>
      <c r="I2167" s="204"/>
      <c r="J2167" s="204"/>
      <c r="K2167" s="204"/>
      <c r="L2167" s="204"/>
      <c r="M2167" s="204"/>
      <c r="N2167" s="204"/>
      <c r="O2167" s="204"/>
      <c r="P2167" s="204"/>
      <c r="Q2167" s="204"/>
      <c r="R2167" s="204"/>
      <c r="S2167" s="204"/>
      <c r="T2167" s="204"/>
      <c r="U2167" s="204"/>
      <c r="V2167" s="204"/>
      <c r="W2167" s="204"/>
      <c r="X2167" s="204"/>
      <c r="Y2167" s="204"/>
      <c r="Z2167" s="204"/>
      <c r="AA2167" s="204"/>
      <c r="AB2167" s="204"/>
      <c r="AC2167" s="204"/>
      <c r="AD2167" s="204"/>
      <c r="AE2167" s="204"/>
      <c r="AF2167" s="204"/>
      <c r="AG2167" s="204"/>
      <c r="AH2167" s="204"/>
      <c r="AI2167" s="209"/>
      <c r="AJ2167" s="209"/>
      <c r="AK2167" s="204"/>
      <c r="AL2167" s="204"/>
      <c r="AM2167" s="204"/>
    </row>
    <row r="2168">
      <c r="A2168" s="204"/>
      <c r="B2168" s="209"/>
      <c r="C2168" s="204"/>
      <c r="D2168" s="210"/>
      <c r="E2168" s="211"/>
      <c r="F2168" s="211"/>
      <c r="G2168" s="212"/>
      <c r="H2168" s="212"/>
      <c r="I2168" s="204"/>
      <c r="J2168" s="204"/>
      <c r="K2168" s="204"/>
      <c r="L2168" s="204"/>
      <c r="M2168" s="204"/>
      <c r="N2168" s="204"/>
      <c r="O2168" s="204"/>
      <c r="P2168" s="204"/>
      <c r="Q2168" s="204"/>
      <c r="R2168" s="204"/>
      <c r="S2168" s="204"/>
      <c r="T2168" s="204"/>
      <c r="U2168" s="204"/>
      <c r="V2168" s="204"/>
      <c r="W2168" s="204"/>
      <c r="X2168" s="204"/>
      <c r="Y2168" s="204"/>
      <c r="Z2168" s="204"/>
      <c r="AA2168" s="204"/>
      <c r="AB2168" s="204"/>
      <c r="AC2168" s="204"/>
      <c r="AD2168" s="204"/>
      <c r="AE2168" s="204"/>
      <c r="AF2168" s="204"/>
      <c r="AG2168" s="204"/>
      <c r="AH2168" s="204"/>
      <c r="AI2168" s="209"/>
      <c r="AJ2168" s="209"/>
      <c r="AK2168" s="204"/>
      <c r="AL2168" s="204"/>
      <c r="AM2168" s="204"/>
    </row>
    <row r="2169">
      <c r="A2169" s="204"/>
      <c r="B2169" s="209"/>
      <c r="C2169" s="204"/>
      <c r="D2169" s="210"/>
      <c r="E2169" s="211"/>
      <c r="F2169" s="211"/>
      <c r="G2169" s="212"/>
      <c r="H2169" s="212"/>
      <c r="I2169" s="204"/>
      <c r="J2169" s="204"/>
      <c r="K2169" s="204"/>
      <c r="L2169" s="204"/>
      <c r="M2169" s="204"/>
      <c r="N2169" s="204"/>
      <c r="O2169" s="204"/>
      <c r="P2169" s="204"/>
      <c r="Q2169" s="204"/>
      <c r="R2169" s="204"/>
      <c r="S2169" s="204"/>
      <c r="T2169" s="204"/>
      <c r="U2169" s="204"/>
      <c r="V2169" s="204"/>
      <c r="W2169" s="204"/>
      <c r="X2169" s="204"/>
      <c r="Y2169" s="204"/>
      <c r="Z2169" s="204"/>
      <c r="AA2169" s="204"/>
      <c r="AB2169" s="204"/>
      <c r="AC2169" s="204"/>
      <c r="AD2169" s="204"/>
      <c r="AE2169" s="204"/>
      <c r="AF2169" s="204"/>
      <c r="AG2169" s="204"/>
      <c r="AH2169" s="204"/>
      <c r="AI2169" s="209"/>
      <c r="AJ2169" s="209"/>
      <c r="AK2169" s="204"/>
      <c r="AL2169" s="204"/>
      <c r="AM2169" s="204"/>
    </row>
    <row r="2170">
      <c r="A2170" s="204"/>
      <c r="B2170" s="209"/>
      <c r="C2170" s="204"/>
      <c r="D2170" s="210"/>
      <c r="E2170" s="211"/>
      <c r="F2170" s="211"/>
      <c r="G2170" s="212"/>
      <c r="H2170" s="212"/>
      <c r="I2170" s="204"/>
      <c r="J2170" s="204"/>
      <c r="K2170" s="204"/>
      <c r="L2170" s="204"/>
      <c r="M2170" s="204"/>
      <c r="N2170" s="204"/>
      <c r="O2170" s="204"/>
      <c r="P2170" s="204"/>
      <c r="Q2170" s="204"/>
      <c r="R2170" s="204"/>
      <c r="S2170" s="204"/>
      <c r="T2170" s="204"/>
      <c r="U2170" s="204"/>
      <c r="V2170" s="204"/>
      <c r="W2170" s="204"/>
      <c r="X2170" s="204"/>
      <c r="Y2170" s="204"/>
      <c r="Z2170" s="204"/>
      <c r="AA2170" s="204"/>
      <c r="AB2170" s="204"/>
      <c r="AC2170" s="204"/>
      <c r="AD2170" s="204"/>
      <c r="AE2170" s="204"/>
      <c r="AF2170" s="204"/>
      <c r="AG2170" s="204"/>
      <c r="AH2170" s="204"/>
      <c r="AI2170" s="209"/>
      <c r="AJ2170" s="209"/>
      <c r="AK2170" s="204"/>
      <c r="AL2170" s="204"/>
      <c r="AM2170" s="204"/>
    </row>
    <row r="2171">
      <c r="A2171" s="204"/>
      <c r="B2171" s="209"/>
      <c r="C2171" s="204"/>
      <c r="D2171" s="210"/>
      <c r="E2171" s="211"/>
      <c r="F2171" s="211"/>
      <c r="G2171" s="212"/>
      <c r="H2171" s="212"/>
      <c r="I2171" s="204"/>
      <c r="J2171" s="204"/>
      <c r="K2171" s="204"/>
      <c r="L2171" s="204"/>
      <c r="M2171" s="204"/>
      <c r="N2171" s="204"/>
      <c r="O2171" s="204"/>
      <c r="P2171" s="204"/>
      <c r="Q2171" s="204"/>
      <c r="R2171" s="204"/>
      <c r="S2171" s="204"/>
      <c r="T2171" s="204"/>
      <c r="U2171" s="204"/>
      <c r="V2171" s="204"/>
      <c r="W2171" s="204"/>
      <c r="X2171" s="204"/>
      <c r="Y2171" s="204"/>
      <c r="Z2171" s="204"/>
      <c r="AA2171" s="204"/>
      <c r="AB2171" s="204"/>
      <c r="AC2171" s="204"/>
      <c r="AD2171" s="204"/>
      <c r="AE2171" s="204"/>
      <c r="AF2171" s="204"/>
      <c r="AG2171" s="204"/>
      <c r="AH2171" s="204"/>
      <c r="AI2171" s="209"/>
      <c r="AJ2171" s="209"/>
      <c r="AK2171" s="204"/>
      <c r="AL2171" s="204"/>
      <c r="AM2171" s="204"/>
    </row>
    <row r="2172">
      <c r="A2172" s="204"/>
      <c r="B2172" s="209"/>
      <c r="C2172" s="204"/>
      <c r="D2172" s="210"/>
      <c r="E2172" s="211"/>
      <c r="F2172" s="211"/>
      <c r="G2172" s="212"/>
      <c r="H2172" s="212"/>
      <c r="I2172" s="204"/>
      <c r="J2172" s="204"/>
      <c r="K2172" s="204"/>
      <c r="L2172" s="204"/>
      <c r="M2172" s="204"/>
      <c r="N2172" s="204"/>
      <c r="O2172" s="204"/>
      <c r="P2172" s="204"/>
      <c r="Q2172" s="204"/>
      <c r="R2172" s="204"/>
      <c r="S2172" s="204"/>
      <c r="T2172" s="204"/>
      <c r="U2172" s="204"/>
      <c r="V2172" s="204"/>
      <c r="W2172" s="204"/>
      <c r="X2172" s="204"/>
      <c r="Y2172" s="204"/>
      <c r="Z2172" s="204"/>
      <c r="AA2172" s="204"/>
      <c r="AB2172" s="204"/>
      <c r="AC2172" s="204"/>
      <c r="AD2172" s="204"/>
      <c r="AE2172" s="204"/>
      <c r="AF2172" s="204"/>
      <c r="AG2172" s="204"/>
      <c r="AH2172" s="204"/>
      <c r="AI2172" s="209"/>
      <c r="AJ2172" s="209"/>
      <c r="AK2172" s="204"/>
      <c r="AL2172" s="204"/>
      <c r="AM2172" s="204"/>
    </row>
    <row r="2173">
      <c r="A2173" s="204"/>
      <c r="B2173" s="209"/>
      <c r="C2173" s="204"/>
      <c r="D2173" s="210"/>
      <c r="E2173" s="211"/>
      <c r="F2173" s="211"/>
      <c r="G2173" s="212"/>
      <c r="H2173" s="212"/>
      <c r="I2173" s="204"/>
      <c r="J2173" s="204"/>
      <c r="K2173" s="204"/>
      <c r="L2173" s="204"/>
      <c r="M2173" s="204"/>
      <c r="N2173" s="204"/>
      <c r="O2173" s="204"/>
      <c r="P2173" s="204"/>
      <c r="Q2173" s="204"/>
      <c r="R2173" s="204"/>
      <c r="S2173" s="204"/>
      <c r="T2173" s="204"/>
      <c r="U2173" s="204"/>
      <c r="V2173" s="204"/>
      <c r="W2173" s="204"/>
      <c r="X2173" s="204"/>
      <c r="Y2173" s="204"/>
      <c r="Z2173" s="204"/>
      <c r="AA2173" s="204"/>
      <c r="AB2173" s="204"/>
      <c r="AC2173" s="204"/>
      <c r="AD2173" s="204"/>
      <c r="AE2173" s="204"/>
      <c r="AF2173" s="204"/>
      <c r="AG2173" s="204"/>
      <c r="AH2173" s="204"/>
      <c r="AI2173" s="209"/>
      <c r="AJ2173" s="209"/>
      <c r="AK2173" s="204"/>
      <c r="AL2173" s="204"/>
      <c r="AM2173" s="204"/>
    </row>
    <row r="2174">
      <c r="A2174" s="204"/>
      <c r="B2174" s="209"/>
      <c r="C2174" s="204"/>
      <c r="D2174" s="210"/>
      <c r="E2174" s="211"/>
      <c r="F2174" s="211"/>
      <c r="G2174" s="212"/>
      <c r="H2174" s="212"/>
      <c r="I2174" s="204"/>
      <c r="J2174" s="204"/>
      <c r="K2174" s="204"/>
      <c r="L2174" s="204"/>
      <c r="M2174" s="204"/>
      <c r="N2174" s="204"/>
      <c r="O2174" s="204"/>
      <c r="P2174" s="204"/>
      <c r="Q2174" s="204"/>
      <c r="R2174" s="204"/>
      <c r="S2174" s="204"/>
      <c r="T2174" s="204"/>
      <c r="U2174" s="204"/>
      <c r="V2174" s="204"/>
      <c r="W2174" s="204"/>
      <c r="X2174" s="204"/>
      <c r="Y2174" s="204"/>
      <c r="Z2174" s="204"/>
      <c r="AA2174" s="204"/>
      <c r="AB2174" s="204"/>
      <c r="AC2174" s="204"/>
      <c r="AD2174" s="204"/>
      <c r="AE2174" s="204"/>
      <c r="AF2174" s="204"/>
      <c r="AG2174" s="204"/>
      <c r="AH2174" s="204"/>
      <c r="AI2174" s="209"/>
      <c r="AJ2174" s="209"/>
      <c r="AK2174" s="204"/>
      <c r="AL2174" s="204"/>
      <c r="AM2174" s="204"/>
    </row>
    <row r="2175">
      <c r="A2175" s="204"/>
      <c r="B2175" s="209"/>
      <c r="C2175" s="204"/>
      <c r="D2175" s="210"/>
      <c r="E2175" s="211"/>
      <c r="F2175" s="211"/>
      <c r="G2175" s="212"/>
      <c r="H2175" s="212"/>
      <c r="I2175" s="204"/>
      <c r="J2175" s="204"/>
      <c r="K2175" s="204"/>
      <c r="L2175" s="204"/>
      <c r="M2175" s="204"/>
      <c r="N2175" s="204"/>
      <c r="O2175" s="204"/>
      <c r="P2175" s="204"/>
      <c r="Q2175" s="204"/>
      <c r="R2175" s="204"/>
      <c r="S2175" s="204"/>
      <c r="T2175" s="204"/>
      <c r="U2175" s="204"/>
      <c r="V2175" s="204"/>
      <c r="W2175" s="204"/>
      <c r="X2175" s="204"/>
      <c r="Y2175" s="204"/>
      <c r="Z2175" s="204"/>
      <c r="AA2175" s="204"/>
      <c r="AB2175" s="204"/>
      <c r="AC2175" s="204"/>
      <c r="AD2175" s="204"/>
      <c r="AE2175" s="204"/>
      <c r="AF2175" s="204"/>
      <c r="AG2175" s="204"/>
      <c r="AH2175" s="204"/>
      <c r="AI2175" s="209"/>
      <c r="AJ2175" s="209"/>
      <c r="AK2175" s="204"/>
      <c r="AL2175" s="204"/>
      <c r="AM2175" s="204"/>
    </row>
    <row r="2176">
      <c r="A2176" s="204"/>
      <c r="B2176" s="209"/>
      <c r="C2176" s="204"/>
      <c r="D2176" s="210"/>
      <c r="E2176" s="211"/>
      <c r="F2176" s="211"/>
      <c r="G2176" s="212"/>
      <c r="H2176" s="212"/>
      <c r="I2176" s="204"/>
      <c r="J2176" s="204"/>
      <c r="K2176" s="204"/>
      <c r="L2176" s="204"/>
      <c r="M2176" s="204"/>
      <c r="N2176" s="204"/>
      <c r="O2176" s="204"/>
      <c r="P2176" s="204"/>
      <c r="Q2176" s="204"/>
      <c r="R2176" s="204"/>
      <c r="S2176" s="204"/>
      <c r="T2176" s="204"/>
      <c r="U2176" s="204"/>
      <c r="V2176" s="204"/>
      <c r="W2176" s="204"/>
      <c r="X2176" s="204"/>
      <c r="Y2176" s="204"/>
      <c r="Z2176" s="204"/>
      <c r="AA2176" s="204"/>
      <c r="AB2176" s="204"/>
      <c r="AC2176" s="204"/>
      <c r="AD2176" s="204"/>
      <c r="AE2176" s="204"/>
      <c r="AF2176" s="204"/>
      <c r="AG2176" s="204"/>
      <c r="AH2176" s="204"/>
      <c r="AI2176" s="209"/>
      <c r="AJ2176" s="209"/>
      <c r="AK2176" s="204"/>
      <c r="AL2176" s="204"/>
      <c r="AM2176" s="204"/>
    </row>
    <row r="2177">
      <c r="A2177" s="204"/>
      <c r="B2177" s="209"/>
      <c r="C2177" s="204"/>
      <c r="D2177" s="210"/>
      <c r="E2177" s="211"/>
      <c r="F2177" s="211"/>
      <c r="G2177" s="212"/>
      <c r="H2177" s="212"/>
      <c r="I2177" s="204"/>
      <c r="J2177" s="204"/>
      <c r="K2177" s="204"/>
      <c r="L2177" s="204"/>
      <c r="M2177" s="204"/>
      <c r="N2177" s="204"/>
      <c r="O2177" s="204"/>
      <c r="P2177" s="204"/>
      <c r="Q2177" s="204"/>
      <c r="R2177" s="204"/>
      <c r="S2177" s="204"/>
      <c r="T2177" s="204"/>
      <c r="U2177" s="204"/>
      <c r="V2177" s="204"/>
      <c r="W2177" s="204"/>
      <c r="X2177" s="204"/>
      <c r="Y2177" s="204"/>
      <c r="Z2177" s="204"/>
      <c r="AA2177" s="204"/>
      <c r="AB2177" s="204"/>
      <c r="AC2177" s="204"/>
      <c r="AD2177" s="204"/>
      <c r="AE2177" s="204"/>
      <c r="AF2177" s="204"/>
      <c r="AG2177" s="204"/>
      <c r="AH2177" s="204"/>
      <c r="AI2177" s="209"/>
      <c r="AJ2177" s="209"/>
      <c r="AK2177" s="204"/>
      <c r="AL2177" s="204"/>
      <c r="AM2177" s="204"/>
    </row>
    <row r="2178">
      <c r="A2178" s="204"/>
      <c r="B2178" s="209"/>
      <c r="C2178" s="204"/>
      <c r="D2178" s="210"/>
      <c r="E2178" s="211"/>
      <c r="F2178" s="211"/>
      <c r="G2178" s="212"/>
      <c r="H2178" s="212"/>
      <c r="I2178" s="204"/>
      <c r="J2178" s="204"/>
      <c r="K2178" s="204"/>
      <c r="L2178" s="204"/>
      <c r="M2178" s="204"/>
      <c r="N2178" s="204"/>
      <c r="O2178" s="204"/>
      <c r="P2178" s="204"/>
      <c r="Q2178" s="204"/>
      <c r="R2178" s="204"/>
      <c r="S2178" s="204"/>
      <c r="T2178" s="204"/>
      <c r="U2178" s="204"/>
      <c r="V2178" s="204"/>
      <c r="W2178" s="204"/>
      <c r="X2178" s="204"/>
      <c r="Y2178" s="204"/>
      <c r="Z2178" s="204"/>
      <c r="AA2178" s="204"/>
      <c r="AB2178" s="204"/>
      <c r="AC2178" s="204"/>
      <c r="AD2178" s="204"/>
      <c r="AE2178" s="204"/>
      <c r="AF2178" s="204"/>
      <c r="AG2178" s="204"/>
      <c r="AH2178" s="204"/>
      <c r="AI2178" s="209"/>
      <c r="AJ2178" s="209"/>
      <c r="AK2178" s="204"/>
      <c r="AL2178" s="204"/>
      <c r="AM2178" s="204"/>
    </row>
    <row r="2179">
      <c r="A2179" s="204"/>
      <c r="B2179" s="209"/>
      <c r="C2179" s="204"/>
      <c r="D2179" s="210"/>
      <c r="E2179" s="211"/>
      <c r="F2179" s="211"/>
      <c r="G2179" s="212"/>
      <c r="H2179" s="212"/>
      <c r="I2179" s="204"/>
      <c r="J2179" s="204"/>
      <c r="K2179" s="204"/>
      <c r="L2179" s="204"/>
      <c r="M2179" s="204"/>
      <c r="N2179" s="204"/>
      <c r="O2179" s="204"/>
      <c r="P2179" s="204"/>
      <c r="Q2179" s="204"/>
      <c r="R2179" s="204"/>
      <c r="S2179" s="204"/>
      <c r="T2179" s="204"/>
      <c r="U2179" s="204"/>
      <c r="V2179" s="204"/>
      <c r="W2179" s="204"/>
      <c r="X2179" s="204"/>
      <c r="Y2179" s="204"/>
      <c r="Z2179" s="204"/>
      <c r="AA2179" s="204"/>
      <c r="AB2179" s="204"/>
      <c r="AC2179" s="204"/>
      <c r="AD2179" s="204"/>
      <c r="AE2179" s="204"/>
      <c r="AF2179" s="204"/>
      <c r="AG2179" s="204"/>
      <c r="AH2179" s="204"/>
      <c r="AI2179" s="209"/>
      <c r="AJ2179" s="209"/>
      <c r="AK2179" s="204"/>
      <c r="AL2179" s="204"/>
      <c r="AM2179" s="204"/>
    </row>
    <row r="2180">
      <c r="A2180" s="204"/>
      <c r="B2180" s="209"/>
      <c r="C2180" s="204"/>
      <c r="D2180" s="210"/>
      <c r="E2180" s="211"/>
      <c r="F2180" s="211"/>
      <c r="G2180" s="212"/>
      <c r="H2180" s="212"/>
      <c r="I2180" s="204"/>
      <c r="J2180" s="204"/>
      <c r="K2180" s="204"/>
      <c r="L2180" s="204"/>
      <c r="M2180" s="204"/>
      <c r="N2180" s="204"/>
      <c r="O2180" s="204"/>
      <c r="P2180" s="204"/>
      <c r="Q2180" s="204"/>
      <c r="R2180" s="204"/>
      <c r="S2180" s="204"/>
      <c r="T2180" s="204"/>
      <c r="U2180" s="204"/>
      <c r="V2180" s="204"/>
      <c r="W2180" s="204"/>
      <c r="X2180" s="204"/>
      <c r="Y2180" s="204"/>
      <c r="Z2180" s="204"/>
      <c r="AA2180" s="204"/>
      <c r="AB2180" s="204"/>
      <c r="AC2180" s="204"/>
      <c r="AD2180" s="204"/>
      <c r="AE2180" s="204"/>
      <c r="AF2180" s="204"/>
      <c r="AG2180" s="204"/>
      <c r="AH2180" s="204"/>
      <c r="AI2180" s="209"/>
      <c r="AJ2180" s="209"/>
      <c r="AK2180" s="204"/>
      <c r="AL2180" s="204"/>
      <c r="AM2180" s="204"/>
    </row>
    <row r="2181">
      <c r="A2181" s="204"/>
      <c r="B2181" s="209"/>
      <c r="C2181" s="204"/>
      <c r="D2181" s="210"/>
      <c r="E2181" s="211"/>
      <c r="F2181" s="211"/>
      <c r="G2181" s="212"/>
      <c r="H2181" s="212"/>
      <c r="I2181" s="204"/>
      <c r="J2181" s="204"/>
      <c r="K2181" s="204"/>
      <c r="L2181" s="204"/>
      <c r="M2181" s="204"/>
      <c r="N2181" s="204"/>
      <c r="O2181" s="204"/>
      <c r="P2181" s="204"/>
      <c r="Q2181" s="204"/>
      <c r="R2181" s="204"/>
      <c r="S2181" s="204"/>
      <c r="T2181" s="204"/>
      <c r="U2181" s="204"/>
      <c r="V2181" s="204"/>
      <c r="W2181" s="204"/>
      <c r="X2181" s="204"/>
      <c r="Y2181" s="204"/>
      <c r="Z2181" s="204"/>
      <c r="AA2181" s="204"/>
      <c r="AB2181" s="204"/>
      <c r="AC2181" s="204"/>
      <c r="AD2181" s="204"/>
      <c r="AE2181" s="204"/>
      <c r="AF2181" s="204"/>
      <c r="AG2181" s="204"/>
      <c r="AH2181" s="204"/>
      <c r="AI2181" s="209"/>
      <c r="AJ2181" s="209"/>
      <c r="AK2181" s="204"/>
      <c r="AL2181" s="204"/>
      <c r="AM2181" s="204"/>
    </row>
    <row r="2182">
      <c r="A2182" s="204"/>
      <c r="B2182" s="209"/>
      <c r="C2182" s="204"/>
      <c r="D2182" s="210"/>
      <c r="E2182" s="211"/>
      <c r="F2182" s="211"/>
      <c r="G2182" s="212"/>
      <c r="H2182" s="212"/>
      <c r="I2182" s="204"/>
      <c r="J2182" s="204"/>
      <c r="K2182" s="204"/>
      <c r="L2182" s="204"/>
      <c r="M2182" s="204"/>
      <c r="N2182" s="204"/>
      <c r="O2182" s="204"/>
      <c r="P2182" s="204"/>
      <c r="Q2182" s="204"/>
      <c r="R2182" s="204"/>
      <c r="S2182" s="204"/>
      <c r="T2182" s="204"/>
      <c r="U2182" s="204"/>
      <c r="V2182" s="204"/>
      <c r="W2182" s="204"/>
      <c r="X2182" s="204"/>
      <c r="Y2182" s="204"/>
      <c r="Z2182" s="204"/>
      <c r="AA2182" s="204"/>
      <c r="AB2182" s="204"/>
      <c r="AC2182" s="204"/>
      <c r="AD2182" s="204"/>
      <c r="AE2182" s="204"/>
      <c r="AF2182" s="204"/>
      <c r="AG2182" s="204"/>
      <c r="AH2182" s="204"/>
      <c r="AI2182" s="209"/>
      <c r="AJ2182" s="209"/>
      <c r="AK2182" s="204"/>
      <c r="AL2182" s="204"/>
      <c r="AM2182" s="204"/>
    </row>
    <row r="2183">
      <c r="A2183" s="204"/>
      <c r="B2183" s="209"/>
      <c r="C2183" s="204"/>
      <c r="D2183" s="210"/>
      <c r="E2183" s="211"/>
      <c r="F2183" s="211"/>
      <c r="G2183" s="212"/>
      <c r="H2183" s="212"/>
      <c r="I2183" s="204"/>
      <c r="J2183" s="204"/>
      <c r="K2183" s="204"/>
      <c r="L2183" s="204"/>
      <c r="M2183" s="204"/>
      <c r="N2183" s="204"/>
      <c r="O2183" s="204"/>
      <c r="P2183" s="204"/>
      <c r="Q2183" s="204"/>
      <c r="R2183" s="204"/>
      <c r="S2183" s="204"/>
      <c r="T2183" s="204"/>
      <c r="U2183" s="204"/>
      <c r="V2183" s="204"/>
      <c r="W2183" s="204"/>
      <c r="X2183" s="204"/>
      <c r="Y2183" s="204"/>
      <c r="Z2183" s="204"/>
      <c r="AA2183" s="204"/>
      <c r="AB2183" s="204"/>
      <c r="AC2183" s="204"/>
      <c r="AD2183" s="204"/>
      <c r="AE2183" s="204"/>
      <c r="AF2183" s="204"/>
      <c r="AG2183" s="204"/>
      <c r="AH2183" s="204"/>
      <c r="AI2183" s="209"/>
      <c r="AJ2183" s="209"/>
      <c r="AK2183" s="204"/>
      <c r="AL2183" s="204"/>
      <c r="AM2183" s="204"/>
    </row>
    <row r="2184">
      <c r="A2184" s="204"/>
      <c r="B2184" s="209"/>
      <c r="C2184" s="204"/>
      <c r="D2184" s="210"/>
      <c r="E2184" s="211"/>
      <c r="F2184" s="211"/>
      <c r="G2184" s="212"/>
      <c r="H2184" s="212"/>
      <c r="I2184" s="204"/>
      <c r="J2184" s="204"/>
      <c r="K2184" s="204"/>
      <c r="L2184" s="204"/>
      <c r="M2184" s="204"/>
      <c r="N2184" s="204"/>
      <c r="O2184" s="204"/>
      <c r="P2184" s="204"/>
      <c r="Q2184" s="204"/>
      <c r="R2184" s="204"/>
      <c r="S2184" s="204"/>
      <c r="T2184" s="204"/>
      <c r="U2184" s="204"/>
      <c r="V2184" s="204"/>
      <c r="W2184" s="204"/>
      <c r="X2184" s="204"/>
      <c r="Y2184" s="204"/>
      <c r="Z2184" s="204"/>
      <c r="AA2184" s="204"/>
      <c r="AB2184" s="204"/>
      <c r="AC2184" s="204"/>
      <c r="AD2184" s="204"/>
      <c r="AE2184" s="204"/>
      <c r="AF2184" s="204"/>
      <c r="AG2184" s="204"/>
      <c r="AH2184" s="204"/>
      <c r="AI2184" s="209"/>
      <c r="AJ2184" s="209"/>
      <c r="AK2184" s="204"/>
      <c r="AL2184" s="204"/>
      <c r="AM2184" s="204"/>
    </row>
    <row r="2185">
      <c r="A2185" s="204"/>
      <c r="B2185" s="209"/>
      <c r="C2185" s="204"/>
      <c r="D2185" s="210"/>
      <c r="E2185" s="211"/>
      <c r="F2185" s="211"/>
      <c r="G2185" s="212"/>
      <c r="H2185" s="212"/>
      <c r="I2185" s="204"/>
      <c r="J2185" s="204"/>
      <c r="K2185" s="204"/>
      <c r="L2185" s="204"/>
      <c r="M2185" s="204"/>
      <c r="N2185" s="204"/>
      <c r="O2185" s="204"/>
      <c r="P2185" s="204"/>
      <c r="Q2185" s="204"/>
      <c r="R2185" s="204"/>
      <c r="S2185" s="204"/>
      <c r="T2185" s="204"/>
      <c r="U2185" s="204"/>
      <c r="V2185" s="204"/>
      <c r="W2185" s="204"/>
      <c r="X2185" s="204"/>
      <c r="Y2185" s="204"/>
      <c r="Z2185" s="204"/>
      <c r="AA2185" s="204"/>
      <c r="AB2185" s="204"/>
      <c r="AC2185" s="204"/>
      <c r="AD2185" s="204"/>
      <c r="AE2185" s="204"/>
      <c r="AF2185" s="204"/>
      <c r="AG2185" s="204"/>
      <c r="AH2185" s="204"/>
      <c r="AI2185" s="209"/>
      <c r="AJ2185" s="209"/>
      <c r="AK2185" s="204"/>
      <c r="AL2185" s="204"/>
      <c r="AM2185" s="204"/>
    </row>
    <row r="2186">
      <c r="A2186" s="204"/>
      <c r="B2186" s="209"/>
      <c r="C2186" s="204"/>
      <c r="D2186" s="210"/>
      <c r="E2186" s="211"/>
      <c r="F2186" s="211"/>
      <c r="G2186" s="212"/>
      <c r="H2186" s="212"/>
      <c r="I2186" s="204"/>
      <c r="J2186" s="204"/>
      <c r="K2186" s="204"/>
      <c r="L2186" s="204"/>
      <c r="M2186" s="204"/>
      <c r="N2186" s="204"/>
      <c r="O2186" s="204"/>
      <c r="P2186" s="204"/>
      <c r="Q2186" s="204"/>
      <c r="R2186" s="204"/>
      <c r="S2186" s="204"/>
      <c r="T2186" s="204"/>
      <c r="U2186" s="204"/>
      <c r="V2186" s="204"/>
      <c r="W2186" s="204"/>
      <c r="X2186" s="204"/>
      <c r="Y2186" s="204"/>
      <c r="Z2186" s="204"/>
      <c r="AA2186" s="204"/>
      <c r="AB2186" s="204"/>
      <c r="AC2186" s="204"/>
      <c r="AD2186" s="204"/>
      <c r="AE2186" s="204"/>
      <c r="AF2186" s="204"/>
      <c r="AG2186" s="204"/>
      <c r="AH2186" s="204"/>
      <c r="AI2186" s="209"/>
      <c r="AJ2186" s="209"/>
      <c r="AK2186" s="204"/>
      <c r="AL2186" s="204"/>
      <c r="AM2186" s="204"/>
    </row>
    <row r="2187">
      <c r="A2187" s="204"/>
      <c r="B2187" s="209"/>
      <c r="C2187" s="204"/>
      <c r="D2187" s="210"/>
      <c r="E2187" s="211"/>
      <c r="F2187" s="211"/>
      <c r="G2187" s="212"/>
      <c r="H2187" s="212"/>
      <c r="I2187" s="204"/>
      <c r="J2187" s="204"/>
      <c r="K2187" s="204"/>
      <c r="L2187" s="204"/>
      <c r="M2187" s="204"/>
      <c r="N2187" s="204"/>
      <c r="O2187" s="204"/>
      <c r="P2187" s="204"/>
      <c r="Q2187" s="204"/>
      <c r="R2187" s="204"/>
      <c r="S2187" s="204"/>
      <c r="T2187" s="204"/>
      <c r="U2187" s="204"/>
      <c r="V2187" s="204"/>
      <c r="W2187" s="204"/>
      <c r="X2187" s="204"/>
      <c r="Y2187" s="204"/>
      <c r="Z2187" s="204"/>
      <c r="AA2187" s="204"/>
      <c r="AB2187" s="204"/>
      <c r="AC2187" s="204"/>
      <c r="AD2187" s="204"/>
      <c r="AE2187" s="204"/>
      <c r="AF2187" s="204"/>
      <c r="AG2187" s="204"/>
      <c r="AH2187" s="204"/>
      <c r="AI2187" s="209"/>
      <c r="AJ2187" s="209"/>
      <c r="AK2187" s="204"/>
      <c r="AL2187" s="204"/>
      <c r="AM2187" s="204"/>
    </row>
    <row r="2188">
      <c r="A2188" s="204"/>
      <c r="B2188" s="209"/>
      <c r="C2188" s="204"/>
      <c r="D2188" s="210"/>
      <c r="E2188" s="211"/>
      <c r="F2188" s="211"/>
      <c r="G2188" s="212"/>
      <c r="H2188" s="212"/>
      <c r="I2188" s="204"/>
      <c r="J2188" s="204"/>
      <c r="K2188" s="204"/>
      <c r="L2188" s="204"/>
      <c r="M2188" s="204"/>
      <c r="N2188" s="204"/>
      <c r="O2188" s="204"/>
      <c r="P2188" s="204"/>
      <c r="Q2188" s="204"/>
      <c r="R2188" s="204"/>
      <c r="S2188" s="204"/>
      <c r="T2188" s="204"/>
      <c r="U2188" s="204"/>
      <c r="V2188" s="204"/>
      <c r="W2188" s="204"/>
      <c r="X2188" s="204"/>
      <c r="Y2188" s="204"/>
      <c r="Z2188" s="204"/>
      <c r="AA2188" s="204"/>
      <c r="AB2188" s="204"/>
      <c r="AC2188" s="204"/>
      <c r="AD2188" s="204"/>
      <c r="AE2188" s="204"/>
      <c r="AF2188" s="204"/>
      <c r="AG2188" s="204"/>
      <c r="AH2188" s="204"/>
      <c r="AI2188" s="209"/>
      <c r="AJ2188" s="209"/>
      <c r="AK2188" s="204"/>
      <c r="AL2188" s="204"/>
      <c r="AM2188" s="204"/>
    </row>
    <row r="2189">
      <c r="A2189" s="204"/>
      <c r="B2189" s="209"/>
      <c r="C2189" s="204"/>
      <c r="D2189" s="210"/>
      <c r="E2189" s="211"/>
      <c r="F2189" s="211"/>
      <c r="G2189" s="212"/>
      <c r="H2189" s="212"/>
      <c r="I2189" s="204"/>
      <c r="J2189" s="204"/>
      <c r="K2189" s="204"/>
      <c r="L2189" s="204"/>
      <c r="M2189" s="204"/>
      <c r="N2189" s="204"/>
      <c r="O2189" s="204"/>
      <c r="P2189" s="204"/>
      <c r="Q2189" s="204"/>
      <c r="R2189" s="204"/>
      <c r="S2189" s="204"/>
      <c r="T2189" s="204"/>
      <c r="U2189" s="204"/>
      <c r="V2189" s="204"/>
      <c r="W2189" s="204"/>
      <c r="X2189" s="204"/>
      <c r="Y2189" s="204"/>
      <c r="Z2189" s="204"/>
      <c r="AA2189" s="204"/>
      <c r="AB2189" s="204"/>
      <c r="AC2189" s="204"/>
      <c r="AD2189" s="204"/>
      <c r="AE2189" s="204"/>
      <c r="AF2189" s="204"/>
      <c r="AG2189" s="204"/>
      <c r="AH2189" s="204"/>
      <c r="AI2189" s="209"/>
      <c r="AJ2189" s="209"/>
      <c r="AK2189" s="204"/>
      <c r="AL2189" s="204"/>
      <c r="AM2189" s="204"/>
    </row>
    <row r="2190">
      <c r="A2190" s="204"/>
      <c r="B2190" s="209"/>
      <c r="C2190" s="204"/>
      <c r="D2190" s="210"/>
      <c r="E2190" s="211"/>
      <c r="F2190" s="211"/>
      <c r="G2190" s="212"/>
      <c r="H2190" s="212"/>
      <c r="I2190" s="204"/>
      <c r="J2190" s="204"/>
      <c r="K2190" s="204"/>
      <c r="L2190" s="204"/>
      <c r="M2190" s="204"/>
      <c r="N2190" s="204"/>
      <c r="O2190" s="204"/>
      <c r="P2190" s="204"/>
      <c r="Q2190" s="204"/>
      <c r="R2190" s="204"/>
      <c r="S2190" s="204"/>
      <c r="T2190" s="204"/>
      <c r="U2190" s="204"/>
      <c r="V2190" s="204"/>
      <c r="W2190" s="204"/>
      <c r="X2190" s="204"/>
      <c r="Y2190" s="204"/>
      <c r="Z2190" s="204"/>
      <c r="AA2190" s="204"/>
      <c r="AB2190" s="204"/>
      <c r="AC2190" s="204"/>
      <c r="AD2190" s="204"/>
      <c r="AE2190" s="204"/>
      <c r="AF2190" s="204"/>
      <c r="AG2190" s="204"/>
      <c r="AH2190" s="204"/>
      <c r="AI2190" s="209"/>
      <c r="AJ2190" s="209"/>
      <c r="AK2190" s="204"/>
      <c r="AL2190" s="204"/>
      <c r="AM2190" s="204"/>
    </row>
    <row r="2191">
      <c r="A2191" s="204"/>
      <c r="B2191" s="209"/>
      <c r="C2191" s="204"/>
      <c r="D2191" s="210"/>
      <c r="E2191" s="211"/>
      <c r="F2191" s="211"/>
      <c r="G2191" s="212"/>
      <c r="H2191" s="212"/>
      <c r="I2191" s="204"/>
      <c r="J2191" s="204"/>
      <c r="K2191" s="204"/>
      <c r="L2191" s="204"/>
      <c r="M2191" s="204"/>
      <c r="N2191" s="204"/>
      <c r="O2191" s="204"/>
      <c r="P2191" s="204"/>
      <c r="Q2191" s="204"/>
      <c r="R2191" s="204"/>
      <c r="S2191" s="204"/>
      <c r="T2191" s="204"/>
      <c r="U2191" s="204"/>
      <c r="V2191" s="204"/>
      <c r="W2191" s="204"/>
      <c r="X2191" s="204"/>
      <c r="Y2191" s="204"/>
      <c r="Z2191" s="204"/>
      <c r="AA2191" s="204"/>
      <c r="AB2191" s="204"/>
      <c r="AC2191" s="204"/>
      <c r="AD2191" s="204"/>
      <c r="AE2191" s="204"/>
      <c r="AF2191" s="204"/>
      <c r="AG2191" s="204"/>
      <c r="AH2191" s="204"/>
      <c r="AI2191" s="209"/>
      <c r="AJ2191" s="209"/>
      <c r="AK2191" s="204"/>
      <c r="AL2191" s="204"/>
      <c r="AM2191" s="204"/>
    </row>
    <row r="2192">
      <c r="A2192" s="204"/>
      <c r="B2192" s="209"/>
      <c r="C2192" s="204"/>
      <c r="D2192" s="210"/>
      <c r="E2192" s="211"/>
      <c r="F2192" s="211"/>
      <c r="G2192" s="212"/>
      <c r="H2192" s="212"/>
      <c r="I2192" s="204"/>
      <c r="J2192" s="204"/>
      <c r="K2192" s="204"/>
      <c r="L2192" s="204"/>
      <c r="M2192" s="204"/>
      <c r="N2192" s="204"/>
      <c r="O2192" s="204"/>
      <c r="P2192" s="204"/>
      <c r="Q2192" s="204"/>
      <c r="R2192" s="204"/>
      <c r="S2192" s="204"/>
      <c r="T2192" s="204"/>
      <c r="U2192" s="204"/>
      <c r="V2192" s="204"/>
      <c r="W2192" s="204"/>
      <c r="X2192" s="204"/>
      <c r="Y2192" s="204"/>
      <c r="Z2192" s="204"/>
      <c r="AA2192" s="204"/>
      <c r="AB2192" s="204"/>
      <c r="AC2192" s="204"/>
      <c r="AD2192" s="204"/>
      <c r="AE2192" s="204"/>
      <c r="AF2192" s="204"/>
      <c r="AG2192" s="204"/>
      <c r="AH2192" s="204"/>
      <c r="AI2192" s="209"/>
      <c r="AJ2192" s="209"/>
      <c r="AK2192" s="204"/>
      <c r="AL2192" s="204"/>
      <c r="AM2192" s="204"/>
    </row>
    <row r="2193">
      <c r="A2193" s="204"/>
      <c r="B2193" s="209"/>
      <c r="C2193" s="204"/>
      <c r="D2193" s="210"/>
      <c r="E2193" s="211"/>
      <c r="F2193" s="211"/>
      <c r="G2193" s="212"/>
      <c r="H2193" s="212"/>
      <c r="I2193" s="204"/>
      <c r="J2193" s="204"/>
      <c r="K2193" s="204"/>
      <c r="L2193" s="204"/>
      <c r="M2193" s="204"/>
      <c r="N2193" s="204"/>
      <c r="O2193" s="204"/>
      <c r="P2193" s="204"/>
      <c r="Q2193" s="204"/>
      <c r="R2193" s="204"/>
      <c r="S2193" s="204"/>
      <c r="T2193" s="204"/>
      <c r="U2193" s="204"/>
      <c r="V2193" s="204"/>
      <c r="W2193" s="204"/>
      <c r="X2193" s="204"/>
      <c r="Y2193" s="204"/>
      <c r="Z2193" s="204"/>
      <c r="AA2193" s="204"/>
      <c r="AB2193" s="204"/>
      <c r="AC2193" s="204"/>
      <c r="AD2193" s="204"/>
      <c r="AE2193" s="204"/>
      <c r="AF2193" s="204"/>
      <c r="AG2193" s="204"/>
      <c r="AH2193" s="204"/>
      <c r="AI2193" s="209"/>
      <c r="AJ2193" s="209"/>
      <c r="AK2193" s="204"/>
      <c r="AL2193" s="204"/>
      <c r="AM2193" s="204"/>
    </row>
    <row r="2194">
      <c r="A2194" s="204"/>
      <c r="B2194" s="209"/>
      <c r="C2194" s="204"/>
      <c r="D2194" s="210"/>
      <c r="E2194" s="211"/>
      <c r="F2194" s="211"/>
      <c r="G2194" s="212"/>
      <c r="H2194" s="212"/>
      <c r="I2194" s="204"/>
      <c r="J2194" s="204"/>
      <c r="K2194" s="204"/>
      <c r="L2194" s="204"/>
      <c r="M2194" s="204"/>
      <c r="N2194" s="204"/>
      <c r="O2194" s="204"/>
      <c r="P2194" s="204"/>
      <c r="Q2194" s="204"/>
      <c r="R2194" s="204"/>
      <c r="S2194" s="204"/>
      <c r="T2194" s="204"/>
      <c r="U2194" s="204"/>
      <c r="V2194" s="204"/>
      <c r="W2194" s="204"/>
      <c r="X2194" s="204"/>
      <c r="Y2194" s="204"/>
      <c r="Z2194" s="204"/>
      <c r="AA2194" s="204"/>
      <c r="AB2194" s="204"/>
      <c r="AC2194" s="204"/>
      <c r="AD2194" s="204"/>
      <c r="AE2194" s="204"/>
      <c r="AF2194" s="204"/>
      <c r="AG2194" s="204"/>
      <c r="AH2194" s="204"/>
      <c r="AI2194" s="209"/>
      <c r="AJ2194" s="209"/>
      <c r="AK2194" s="204"/>
      <c r="AL2194" s="204"/>
      <c r="AM2194" s="204"/>
    </row>
    <row r="2195">
      <c r="A2195" s="204"/>
      <c r="B2195" s="209"/>
      <c r="C2195" s="204"/>
      <c r="D2195" s="210"/>
      <c r="E2195" s="211"/>
      <c r="F2195" s="211"/>
      <c r="G2195" s="212"/>
      <c r="H2195" s="212"/>
      <c r="I2195" s="204"/>
      <c r="J2195" s="204"/>
      <c r="K2195" s="204"/>
      <c r="L2195" s="204"/>
      <c r="M2195" s="204"/>
      <c r="N2195" s="204"/>
      <c r="O2195" s="204"/>
      <c r="P2195" s="204"/>
      <c r="Q2195" s="204"/>
      <c r="R2195" s="204"/>
      <c r="S2195" s="204"/>
      <c r="T2195" s="204"/>
      <c r="U2195" s="204"/>
      <c r="V2195" s="204"/>
      <c r="W2195" s="204"/>
      <c r="X2195" s="204"/>
      <c r="Y2195" s="204"/>
      <c r="Z2195" s="204"/>
      <c r="AA2195" s="204"/>
      <c r="AB2195" s="204"/>
      <c r="AC2195" s="204"/>
      <c r="AD2195" s="204"/>
      <c r="AE2195" s="204"/>
      <c r="AF2195" s="204"/>
      <c r="AG2195" s="204"/>
      <c r="AH2195" s="204"/>
      <c r="AI2195" s="209"/>
      <c r="AJ2195" s="209"/>
      <c r="AK2195" s="204"/>
      <c r="AL2195" s="204"/>
      <c r="AM2195" s="204"/>
    </row>
    <row r="2196">
      <c r="A2196" s="204"/>
      <c r="B2196" s="209"/>
      <c r="C2196" s="204"/>
      <c r="D2196" s="210"/>
      <c r="E2196" s="211"/>
      <c r="F2196" s="211"/>
      <c r="G2196" s="212"/>
      <c r="H2196" s="212"/>
      <c r="I2196" s="204"/>
      <c r="J2196" s="204"/>
      <c r="K2196" s="204"/>
      <c r="L2196" s="204"/>
      <c r="M2196" s="204"/>
      <c r="N2196" s="204"/>
      <c r="O2196" s="204"/>
      <c r="P2196" s="204"/>
      <c r="Q2196" s="204"/>
      <c r="R2196" s="204"/>
      <c r="S2196" s="204"/>
      <c r="T2196" s="204"/>
      <c r="U2196" s="204"/>
      <c r="V2196" s="204"/>
      <c r="W2196" s="204"/>
      <c r="X2196" s="204"/>
      <c r="Y2196" s="204"/>
      <c r="Z2196" s="204"/>
      <c r="AA2196" s="204"/>
      <c r="AB2196" s="204"/>
      <c r="AC2196" s="204"/>
      <c r="AD2196" s="204"/>
      <c r="AE2196" s="204"/>
      <c r="AF2196" s="204"/>
      <c r="AG2196" s="204"/>
      <c r="AH2196" s="204"/>
      <c r="AI2196" s="209"/>
      <c r="AJ2196" s="209"/>
      <c r="AK2196" s="204"/>
      <c r="AL2196" s="204"/>
      <c r="AM2196" s="204"/>
    </row>
    <row r="2197">
      <c r="A2197" s="204"/>
      <c r="B2197" s="209"/>
      <c r="C2197" s="204"/>
      <c r="D2197" s="210"/>
      <c r="E2197" s="211"/>
      <c r="F2197" s="211"/>
      <c r="G2197" s="212"/>
      <c r="H2197" s="212"/>
      <c r="I2197" s="204"/>
      <c r="J2197" s="204"/>
      <c r="K2197" s="204"/>
      <c r="L2197" s="204"/>
      <c r="M2197" s="204"/>
      <c r="N2197" s="204"/>
      <c r="O2197" s="204"/>
      <c r="P2197" s="204"/>
      <c r="Q2197" s="204"/>
      <c r="R2197" s="204"/>
      <c r="S2197" s="204"/>
      <c r="T2197" s="204"/>
      <c r="U2197" s="204"/>
      <c r="V2197" s="204"/>
      <c r="W2197" s="204"/>
      <c r="X2197" s="204"/>
      <c r="Y2197" s="204"/>
      <c r="Z2197" s="204"/>
      <c r="AA2197" s="204"/>
      <c r="AB2197" s="204"/>
      <c r="AC2197" s="204"/>
      <c r="AD2197" s="204"/>
      <c r="AE2197" s="204"/>
      <c r="AF2197" s="204"/>
      <c r="AG2197" s="204"/>
      <c r="AH2197" s="204"/>
      <c r="AI2197" s="209"/>
      <c r="AJ2197" s="209"/>
      <c r="AK2197" s="204"/>
      <c r="AL2197" s="204"/>
      <c r="AM2197" s="204"/>
    </row>
    <row r="2198">
      <c r="A2198" s="204"/>
      <c r="B2198" s="209"/>
      <c r="C2198" s="204"/>
      <c r="D2198" s="210"/>
      <c r="E2198" s="211"/>
      <c r="F2198" s="211"/>
      <c r="G2198" s="212"/>
      <c r="H2198" s="212"/>
      <c r="I2198" s="204"/>
      <c r="J2198" s="204"/>
      <c r="K2198" s="204"/>
      <c r="L2198" s="204"/>
      <c r="M2198" s="204"/>
      <c r="N2198" s="204"/>
      <c r="O2198" s="204"/>
      <c r="P2198" s="204"/>
      <c r="Q2198" s="204"/>
      <c r="R2198" s="204"/>
      <c r="S2198" s="204"/>
      <c r="T2198" s="204"/>
      <c r="U2198" s="204"/>
      <c r="V2198" s="204"/>
      <c r="W2198" s="204"/>
      <c r="X2198" s="204"/>
      <c r="Y2198" s="204"/>
      <c r="Z2198" s="204"/>
      <c r="AA2198" s="204"/>
      <c r="AB2198" s="204"/>
      <c r="AC2198" s="204"/>
      <c r="AD2198" s="204"/>
      <c r="AE2198" s="204"/>
      <c r="AF2198" s="204"/>
      <c r="AG2198" s="204"/>
      <c r="AH2198" s="204"/>
      <c r="AI2198" s="209"/>
      <c r="AJ2198" s="209"/>
      <c r="AK2198" s="204"/>
      <c r="AL2198" s="204"/>
      <c r="AM2198" s="204"/>
    </row>
    <row r="2199">
      <c r="A2199" s="204"/>
      <c r="B2199" s="209"/>
      <c r="C2199" s="204"/>
      <c r="D2199" s="210"/>
      <c r="E2199" s="211"/>
      <c r="F2199" s="211"/>
      <c r="G2199" s="212"/>
      <c r="H2199" s="212"/>
      <c r="I2199" s="204"/>
      <c r="J2199" s="204"/>
      <c r="K2199" s="204"/>
      <c r="L2199" s="204"/>
      <c r="M2199" s="204"/>
      <c r="N2199" s="204"/>
      <c r="O2199" s="204"/>
      <c r="P2199" s="204"/>
      <c r="Q2199" s="204"/>
      <c r="R2199" s="204"/>
      <c r="S2199" s="204"/>
      <c r="T2199" s="204"/>
      <c r="U2199" s="204"/>
      <c r="V2199" s="204"/>
      <c r="W2199" s="204"/>
      <c r="X2199" s="204"/>
      <c r="Y2199" s="204"/>
      <c r="Z2199" s="204"/>
      <c r="AA2199" s="204"/>
      <c r="AB2199" s="204"/>
      <c r="AC2199" s="204"/>
      <c r="AD2199" s="204"/>
      <c r="AE2199" s="204"/>
      <c r="AF2199" s="204"/>
      <c r="AG2199" s="204"/>
      <c r="AH2199" s="204"/>
      <c r="AI2199" s="209"/>
      <c r="AJ2199" s="209"/>
      <c r="AK2199" s="204"/>
      <c r="AL2199" s="204"/>
      <c r="AM2199" s="204"/>
    </row>
    <row r="2200">
      <c r="A2200" s="204"/>
      <c r="B2200" s="209"/>
      <c r="C2200" s="204"/>
      <c r="D2200" s="210"/>
      <c r="E2200" s="211"/>
      <c r="F2200" s="211"/>
      <c r="G2200" s="212"/>
      <c r="H2200" s="212"/>
      <c r="I2200" s="204"/>
      <c r="J2200" s="204"/>
      <c r="K2200" s="204"/>
      <c r="L2200" s="204"/>
      <c r="M2200" s="204"/>
      <c r="N2200" s="204"/>
      <c r="O2200" s="204"/>
      <c r="P2200" s="204"/>
      <c r="Q2200" s="204"/>
      <c r="R2200" s="204"/>
      <c r="S2200" s="204"/>
      <c r="T2200" s="204"/>
      <c r="U2200" s="204"/>
      <c r="V2200" s="204"/>
      <c r="W2200" s="204"/>
      <c r="X2200" s="204"/>
      <c r="Y2200" s="204"/>
      <c r="Z2200" s="204"/>
      <c r="AA2200" s="204"/>
      <c r="AB2200" s="204"/>
      <c r="AC2200" s="204"/>
      <c r="AD2200" s="204"/>
      <c r="AE2200" s="204"/>
      <c r="AF2200" s="204"/>
      <c r="AG2200" s="204"/>
      <c r="AH2200" s="204"/>
      <c r="AI2200" s="209"/>
      <c r="AJ2200" s="209"/>
      <c r="AK2200" s="204"/>
      <c r="AL2200" s="204"/>
      <c r="AM2200" s="204"/>
    </row>
    <row r="2201">
      <c r="A2201" s="204"/>
      <c r="B2201" s="209"/>
      <c r="C2201" s="204"/>
      <c r="D2201" s="210"/>
      <c r="E2201" s="211"/>
      <c r="F2201" s="211"/>
      <c r="G2201" s="212"/>
      <c r="H2201" s="212"/>
      <c r="I2201" s="204"/>
      <c r="J2201" s="204"/>
      <c r="K2201" s="204"/>
      <c r="L2201" s="204"/>
      <c r="M2201" s="204"/>
      <c r="N2201" s="204"/>
      <c r="O2201" s="204"/>
      <c r="P2201" s="204"/>
      <c r="Q2201" s="204"/>
      <c r="R2201" s="204"/>
      <c r="S2201" s="204"/>
      <c r="T2201" s="204"/>
      <c r="U2201" s="204"/>
      <c r="V2201" s="204"/>
      <c r="W2201" s="204"/>
      <c r="X2201" s="204"/>
      <c r="Y2201" s="204"/>
      <c r="Z2201" s="204"/>
      <c r="AA2201" s="204"/>
      <c r="AB2201" s="204"/>
      <c r="AC2201" s="204"/>
      <c r="AD2201" s="204"/>
      <c r="AE2201" s="204"/>
      <c r="AF2201" s="204"/>
      <c r="AG2201" s="204"/>
      <c r="AH2201" s="204"/>
      <c r="AI2201" s="209"/>
      <c r="AJ2201" s="209"/>
      <c r="AK2201" s="204"/>
      <c r="AL2201" s="204"/>
      <c r="AM2201" s="204"/>
    </row>
    <row r="2202">
      <c r="A2202" s="204"/>
      <c r="B2202" s="209"/>
      <c r="C2202" s="204"/>
      <c r="D2202" s="210"/>
      <c r="E2202" s="211"/>
      <c r="F2202" s="211"/>
      <c r="G2202" s="212"/>
      <c r="H2202" s="212"/>
      <c r="I2202" s="204"/>
      <c r="J2202" s="204"/>
      <c r="K2202" s="204"/>
      <c r="L2202" s="204"/>
      <c r="M2202" s="204"/>
      <c r="N2202" s="204"/>
      <c r="O2202" s="204"/>
      <c r="P2202" s="204"/>
      <c r="Q2202" s="204"/>
      <c r="R2202" s="204"/>
      <c r="S2202" s="204"/>
      <c r="T2202" s="204"/>
      <c r="U2202" s="204"/>
      <c r="V2202" s="204"/>
      <c r="W2202" s="204"/>
      <c r="X2202" s="204"/>
      <c r="Y2202" s="204"/>
      <c r="Z2202" s="204"/>
      <c r="AA2202" s="204"/>
      <c r="AB2202" s="204"/>
      <c r="AC2202" s="204"/>
      <c r="AD2202" s="204"/>
      <c r="AE2202" s="204"/>
      <c r="AF2202" s="204"/>
      <c r="AG2202" s="204"/>
      <c r="AH2202" s="204"/>
      <c r="AI2202" s="209"/>
      <c r="AJ2202" s="209"/>
      <c r="AK2202" s="204"/>
      <c r="AL2202" s="204"/>
      <c r="AM2202" s="204"/>
    </row>
    <row r="2203">
      <c r="A2203" s="204"/>
      <c r="B2203" s="209"/>
      <c r="C2203" s="204"/>
      <c r="D2203" s="210"/>
      <c r="E2203" s="211"/>
      <c r="F2203" s="211"/>
      <c r="G2203" s="212"/>
      <c r="H2203" s="212"/>
      <c r="I2203" s="204"/>
      <c r="J2203" s="204"/>
      <c r="K2203" s="204"/>
      <c r="L2203" s="204"/>
      <c r="M2203" s="204"/>
      <c r="N2203" s="204"/>
      <c r="O2203" s="204"/>
      <c r="P2203" s="204"/>
      <c r="Q2203" s="204"/>
      <c r="R2203" s="204"/>
      <c r="S2203" s="204"/>
      <c r="T2203" s="204"/>
      <c r="U2203" s="204"/>
      <c r="V2203" s="204"/>
      <c r="W2203" s="204"/>
      <c r="X2203" s="204"/>
      <c r="Y2203" s="204"/>
      <c r="Z2203" s="204"/>
      <c r="AA2203" s="204"/>
      <c r="AB2203" s="204"/>
      <c r="AC2203" s="204"/>
      <c r="AD2203" s="204"/>
      <c r="AE2203" s="204"/>
      <c r="AF2203" s="204"/>
      <c r="AG2203" s="204"/>
      <c r="AH2203" s="204"/>
      <c r="AI2203" s="209"/>
      <c r="AJ2203" s="209"/>
      <c r="AK2203" s="204"/>
      <c r="AL2203" s="204"/>
      <c r="AM2203" s="204"/>
    </row>
    <row r="2204">
      <c r="A2204" s="204"/>
      <c r="B2204" s="209"/>
      <c r="C2204" s="204"/>
      <c r="D2204" s="210"/>
      <c r="E2204" s="211"/>
      <c r="F2204" s="211"/>
      <c r="G2204" s="212"/>
      <c r="H2204" s="212"/>
      <c r="I2204" s="204"/>
      <c r="J2204" s="204"/>
      <c r="K2204" s="204"/>
      <c r="L2204" s="204"/>
      <c r="M2204" s="204"/>
      <c r="N2204" s="204"/>
      <c r="O2204" s="204"/>
      <c r="P2204" s="204"/>
      <c r="Q2204" s="204"/>
      <c r="R2204" s="204"/>
      <c r="S2204" s="204"/>
      <c r="T2204" s="204"/>
      <c r="U2204" s="204"/>
      <c r="V2204" s="204"/>
      <c r="W2204" s="204"/>
      <c r="X2204" s="204"/>
      <c r="Y2204" s="204"/>
      <c r="Z2204" s="204"/>
      <c r="AA2204" s="204"/>
      <c r="AB2204" s="204"/>
      <c r="AC2204" s="204"/>
      <c r="AD2204" s="204"/>
      <c r="AE2204" s="204"/>
      <c r="AF2204" s="204"/>
      <c r="AG2204" s="204"/>
      <c r="AH2204" s="204"/>
      <c r="AI2204" s="209"/>
      <c r="AJ2204" s="209"/>
      <c r="AK2204" s="204"/>
      <c r="AL2204" s="204"/>
      <c r="AM2204" s="204"/>
    </row>
    <row r="2205">
      <c r="A2205" s="204"/>
      <c r="B2205" s="209"/>
      <c r="C2205" s="204"/>
      <c r="D2205" s="210"/>
      <c r="E2205" s="211"/>
      <c r="F2205" s="211"/>
      <c r="G2205" s="212"/>
      <c r="H2205" s="212"/>
      <c r="I2205" s="204"/>
      <c r="J2205" s="204"/>
      <c r="K2205" s="204"/>
      <c r="L2205" s="204"/>
      <c r="M2205" s="204"/>
      <c r="N2205" s="204"/>
      <c r="O2205" s="204"/>
      <c r="P2205" s="204"/>
      <c r="Q2205" s="204"/>
      <c r="R2205" s="204"/>
      <c r="S2205" s="204"/>
      <c r="T2205" s="204"/>
      <c r="U2205" s="204"/>
      <c r="V2205" s="204"/>
      <c r="W2205" s="204"/>
      <c r="X2205" s="204"/>
      <c r="Y2205" s="204"/>
      <c r="Z2205" s="204"/>
      <c r="AA2205" s="204"/>
      <c r="AB2205" s="204"/>
      <c r="AC2205" s="204"/>
      <c r="AD2205" s="204"/>
      <c r="AE2205" s="204"/>
      <c r="AF2205" s="204"/>
      <c r="AG2205" s="204"/>
      <c r="AH2205" s="204"/>
      <c r="AI2205" s="209"/>
      <c r="AJ2205" s="209"/>
      <c r="AK2205" s="204"/>
      <c r="AL2205" s="204"/>
      <c r="AM2205" s="204"/>
    </row>
    <row r="2206">
      <c r="A2206" s="204"/>
      <c r="B2206" s="209"/>
      <c r="C2206" s="204"/>
      <c r="D2206" s="210"/>
      <c r="E2206" s="211"/>
      <c r="F2206" s="211"/>
      <c r="G2206" s="212"/>
      <c r="H2206" s="212"/>
      <c r="I2206" s="204"/>
      <c r="J2206" s="204"/>
      <c r="K2206" s="204"/>
      <c r="L2206" s="204"/>
      <c r="M2206" s="204"/>
      <c r="N2206" s="204"/>
      <c r="O2206" s="204"/>
      <c r="P2206" s="204"/>
      <c r="Q2206" s="204"/>
      <c r="R2206" s="204"/>
      <c r="S2206" s="204"/>
      <c r="T2206" s="204"/>
      <c r="U2206" s="204"/>
      <c r="V2206" s="204"/>
      <c r="W2206" s="204"/>
      <c r="X2206" s="204"/>
      <c r="Y2206" s="204"/>
      <c r="Z2206" s="204"/>
      <c r="AA2206" s="204"/>
      <c r="AB2206" s="204"/>
      <c r="AC2206" s="204"/>
      <c r="AD2206" s="204"/>
      <c r="AE2206" s="204"/>
      <c r="AF2206" s="204"/>
      <c r="AG2206" s="204"/>
      <c r="AH2206" s="204"/>
      <c r="AI2206" s="209"/>
      <c r="AJ2206" s="209"/>
      <c r="AK2206" s="204"/>
      <c r="AL2206" s="204"/>
      <c r="AM2206" s="204"/>
    </row>
    <row r="2207">
      <c r="A2207" s="204"/>
      <c r="B2207" s="209"/>
      <c r="C2207" s="204"/>
      <c r="D2207" s="210"/>
      <c r="E2207" s="211"/>
      <c r="F2207" s="211"/>
      <c r="G2207" s="212"/>
      <c r="H2207" s="212"/>
      <c r="I2207" s="204"/>
      <c r="J2207" s="204"/>
      <c r="K2207" s="204"/>
      <c r="L2207" s="204"/>
      <c r="M2207" s="204"/>
      <c r="N2207" s="204"/>
      <c r="O2207" s="204"/>
      <c r="P2207" s="204"/>
      <c r="Q2207" s="204"/>
      <c r="R2207" s="204"/>
      <c r="S2207" s="204"/>
      <c r="T2207" s="204"/>
      <c r="U2207" s="204"/>
      <c r="V2207" s="204"/>
      <c r="W2207" s="204"/>
      <c r="X2207" s="204"/>
      <c r="Y2207" s="204"/>
      <c r="Z2207" s="204"/>
      <c r="AA2207" s="204"/>
      <c r="AB2207" s="204"/>
      <c r="AC2207" s="204"/>
      <c r="AD2207" s="204"/>
      <c r="AE2207" s="204"/>
      <c r="AF2207" s="204"/>
      <c r="AG2207" s="204"/>
      <c r="AH2207" s="204"/>
      <c r="AI2207" s="209"/>
      <c r="AJ2207" s="209"/>
      <c r="AK2207" s="204"/>
      <c r="AL2207" s="204"/>
      <c r="AM2207" s="204"/>
    </row>
    <row r="2208">
      <c r="A2208" s="204"/>
      <c r="B2208" s="209"/>
      <c r="C2208" s="204"/>
      <c r="D2208" s="210"/>
      <c r="E2208" s="211"/>
      <c r="F2208" s="211"/>
      <c r="G2208" s="212"/>
      <c r="H2208" s="212"/>
      <c r="I2208" s="204"/>
      <c r="J2208" s="204"/>
      <c r="K2208" s="204"/>
      <c r="L2208" s="204"/>
      <c r="M2208" s="204"/>
      <c r="N2208" s="204"/>
      <c r="O2208" s="204"/>
      <c r="P2208" s="204"/>
      <c r="Q2208" s="204"/>
      <c r="R2208" s="204"/>
      <c r="S2208" s="204"/>
      <c r="T2208" s="204"/>
      <c r="U2208" s="204"/>
      <c r="V2208" s="204"/>
      <c r="W2208" s="204"/>
      <c r="X2208" s="204"/>
      <c r="Y2208" s="204"/>
      <c r="Z2208" s="204"/>
      <c r="AA2208" s="204"/>
      <c r="AB2208" s="204"/>
      <c r="AC2208" s="204"/>
      <c r="AD2208" s="204"/>
      <c r="AE2208" s="204"/>
      <c r="AF2208" s="204"/>
      <c r="AG2208" s="204"/>
      <c r="AH2208" s="204"/>
      <c r="AI2208" s="209"/>
      <c r="AJ2208" s="209"/>
      <c r="AK2208" s="204"/>
      <c r="AL2208" s="204"/>
      <c r="AM2208" s="204"/>
    </row>
    <row r="2209">
      <c r="A2209" s="204"/>
      <c r="B2209" s="209"/>
      <c r="C2209" s="204"/>
      <c r="D2209" s="210"/>
      <c r="E2209" s="211"/>
      <c r="F2209" s="211"/>
      <c r="G2209" s="212"/>
      <c r="H2209" s="212"/>
      <c r="I2209" s="204"/>
      <c r="J2209" s="204"/>
      <c r="K2209" s="204"/>
      <c r="L2209" s="204"/>
      <c r="M2209" s="204"/>
      <c r="N2209" s="204"/>
      <c r="O2209" s="204"/>
      <c r="P2209" s="204"/>
      <c r="Q2209" s="204"/>
      <c r="R2209" s="204"/>
      <c r="S2209" s="204"/>
      <c r="T2209" s="204"/>
      <c r="U2209" s="204"/>
      <c r="V2209" s="204"/>
      <c r="W2209" s="204"/>
      <c r="X2209" s="204"/>
      <c r="Y2209" s="204"/>
      <c r="Z2209" s="204"/>
      <c r="AA2209" s="204"/>
      <c r="AB2209" s="204"/>
      <c r="AC2209" s="204"/>
      <c r="AD2209" s="204"/>
      <c r="AE2209" s="204"/>
      <c r="AF2209" s="204"/>
      <c r="AG2209" s="204"/>
      <c r="AH2209" s="204"/>
      <c r="AI2209" s="209"/>
      <c r="AJ2209" s="209"/>
      <c r="AK2209" s="204"/>
      <c r="AL2209" s="204"/>
      <c r="AM2209" s="204"/>
    </row>
    <row r="2210">
      <c r="A2210" s="204"/>
      <c r="B2210" s="209"/>
      <c r="C2210" s="204"/>
      <c r="D2210" s="210"/>
      <c r="E2210" s="211"/>
      <c r="F2210" s="211"/>
      <c r="G2210" s="212"/>
      <c r="H2210" s="212"/>
      <c r="I2210" s="204"/>
      <c r="J2210" s="204"/>
      <c r="K2210" s="204"/>
      <c r="L2210" s="204"/>
      <c r="M2210" s="204"/>
      <c r="N2210" s="204"/>
      <c r="O2210" s="204"/>
      <c r="P2210" s="204"/>
      <c r="Q2210" s="204"/>
      <c r="R2210" s="204"/>
      <c r="S2210" s="204"/>
      <c r="T2210" s="204"/>
      <c r="U2210" s="204"/>
      <c r="V2210" s="204"/>
      <c r="W2210" s="204"/>
      <c r="X2210" s="204"/>
      <c r="Y2210" s="204"/>
      <c r="Z2210" s="204"/>
      <c r="AA2210" s="204"/>
      <c r="AB2210" s="204"/>
      <c r="AC2210" s="204"/>
      <c r="AD2210" s="204"/>
      <c r="AE2210" s="204"/>
      <c r="AF2210" s="204"/>
      <c r="AG2210" s="204"/>
      <c r="AH2210" s="204"/>
      <c r="AI2210" s="209"/>
      <c r="AJ2210" s="209"/>
      <c r="AK2210" s="204"/>
      <c r="AL2210" s="204"/>
      <c r="AM2210" s="204"/>
    </row>
    <row r="2211">
      <c r="A2211" s="204"/>
      <c r="B2211" s="209"/>
      <c r="C2211" s="204"/>
      <c r="D2211" s="210"/>
      <c r="E2211" s="211"/>
      <c r="F2211" s="211"/>
      <c r="G2211" s="212"/>
      <c r="H2211" s="212"/>
      <c r="I2211" s="204"/>
      <c r="J2211" s="204"/>
      <c r="K2211" s="204"/>
      <c r="L2211" s="204"/>
      <c r="M2211" s="204"/>
      <c r="N2211" s="204"/>
      <c r="O2211" s="204"/>
      <c r="P2211" s="204"/>
      <c r="Q2211" s="204"/>
      <c r="R2211" s="204"/>
      <c r="S2211" s="204"/>
      <c r="T2211" s="204"/>
      <c r="U2211" s="204"/>
      <c r="V2211" s="204"/>
      <c r="W2211" s="204"/>
      <c r="X2211" s="204"/>
      <c r="Y2211" s="204"/>
      <c r="Z2211" s="204"/>
      <c r="AA2211" s="204"/>
      <c r="AB2211" s="204"/>
      <c r="AC2211" s="204"/>
      <c r="AD2211" s="204"/>
      <c r="AE2211" s="204"/>
      <c r="AF2211" s="204"/>
      <c r="AG2211" s="204"/>
      <c r="AH2211" s="204"/>
      <c r="AI2211" s="209"/>
      <c r="AJ2211" s="209"/>
      <c r="AK2211" s="204"/>
      <c r="AL2211" s="204"/>
      <c r="AM2211" s="204"/>
    </row>
    <row r="2212">
      <c r="A2212" s="204"/>
      <c r="B2212" s="209"/>
      <c r="C2212" s="204"/>
      <c r="D2212" s="210"/>
      <c r="E2212" s="211"/>
      <c r="F2212" s="211"/>
      <c r="G2212" s="212"/>
      <c r="H2212" s="212"/>
      <c r="I2212" s="204"/>
      <c r="J2212" s="204"/>
      <c r="K2212" s="204"/>
      <c r="L2212" s="204"/>
      <c r="M2212" s="204"/>
      <c r="N2212" s="204"/>
      <c r="O2212" s="204"/>
      <c r="P2212" s="204"/>
      <c r="Q2212" s="204"/>
      <c r="R2212" s="204"/>
      <c r="S2212" s="204"/>
      <c r="T2212" s="204"/>
      <c r="U2212" s="204"/>
      <c r="V2212" s="204"/>
      <c r="W2212" s="204"/>
      <c r="X2212" s="204"/>
      <c r="Y2212" s="204"/>
      <c r="Z2212" s="204"/>
      <c r="AA2212" s="204"/>
      <c r="AB2212" s="204"/>
      <c r="AC2212" s="204"/>
      <c r="AD2212" s="204"/>
      <c r="AE2212" s="204"/>
      <c r="AF2212" s="204"/>
      <c r="AG2212" s="204"/>
      <c r="AH2212" s="204"/>
      <c r="AI2212" s="209"/>
      <c r="AJ2212" s="209"/>
      <c r="AK2212" s="204"/>
      <c r="AL2212" s="204"/>
      <c r="AM2212" s="204"/>
    </row>
    <row r="2213">
      <c r="A2213" s="204"/>
      <c r="B2213" s="209"/>
      <c r="C2213" s="204"/>
      <c r="D2213" s="210"/>
      <c r="E2213" s="211"/>
      <c r="F2213" s="211"/>
      <c r="G2213" s="212"/>
      <c r="H2213" s="212"/>
      <c r="I2213" s="204"/>
      <c r="J2213" s="204"/>
      <c r="K2213" s="204"/>
      <c r="L2213" s="204"/>
      <c r="M2213" s="204"/>
      <c r="N2213" s="204"/>
      <c r="O2213" s="204"/>
      <c r="P2213" s="204"/>
      <c r="Q2213" s="204"/>
      <c r="R2213" s="204"/>
      <c r="S2213" s="204"/>
      <c r="T2213" s="204"/>
      <c r="U2213" s="204"/>
      <c r="V2213" s="204"/>
      <c r="W2213" s="204"/>
      <c r="X2213" s="204"/>
      <c r="Y2213" s="204"/>
      <c r="Z2213" s="204"/>
      <c r="AA2213" s="204"/>
      <c r="AB2213" s="204"/>
      <c r="AC2213" s="204"/>
      <c r="AD2213" s="204"/>
      <c r="AE2213" s="204"/>
      <c r="AF2213" s="204"/>
      <c r="AG2213" s="204"/>
      <c r="AH2213" s="204"/>
      <c r="AI2213" s="209"/>
      <c r="AJ2213" s="209"/>
      <c r="AK2213" s="204"/>
      <c r="AL2213" s="204"/>
      <c r="AM2213" s="204"/>
    </row>
    <row r="2214">
      <c r="A2214" s="204"/>
      <c r="B2214" s="209"/>
      <c r="C2214" s="204"/>
      <c r="D2214" s="210"/>
      <c r="E2214" s="211"/>
      <c r="F2214" s="211"/>
      <c r="G2214" s="212"/>
      <c r="H2214" s="212"/>
      <c r="I2214" s="204"/>
      <c r="J2214" s="204"/>
      <c r="K2214" s="204"/>
      <c r="L2214" s="204"/>
      <c r="M2214" s="204"/>
      <c r="N2214" s="204"/>
      <c r="O2214" s="204"/>
      <c r="P2214" s="204"/>
      <c r="Q2214" s="204"/>
      <c r="R2214" s="204"/>
      <c r="S2214" s="204"/>
      <c r="T2214" s="204"/>
      <c r="U2214" s="204"/>
      <c r="V2214" s="204"/>
      <c r="W2214" s="204"/>
      <c r="X2214" s="204"/>
      <c r="Y2214" s="204"/>
      <c r="Z2214" s="204"/>
      <c r="AA2214" s="204"/>
      <c r="AB2214" s="204"/>
      <c r="AC2214" s="204"/>
      <c r="AD2214" s="204"/>
      <c r="AE2214" s="204"/>
      <c r="AF2214" s="204"/>
      <c r="AG2214" s="204"/>
      <c r="AH2214" s="204"/>
      <c r="AI2214" s="209"/>
      <c r="AJ2214" s="209"/>
      <c r="AK2214" s="204"/>
      <c r="AL2214" s="204"/>
      <c r="AM2214" s="204"/>
    </row>
    <row r="2215">
      <c r="A2215" s="204"/>
      <c r="B2215" s="209"/>
      <c r="C2215" s="204"/>
      <c r="D2215" s="210"/>
      <c r="E2215" s="211"/>
      <c r="F2215" s="211"/>
      <c r="G2215" s="212"/>
      <c r="H2215" s="212"/>
      <c r="I2215" s="204"/>
      <c r="J2215" s="204"/>
      <c r="K2215" s="204"/>
      <c r="L2215" s="204"/>
      <c r="M2215" s="204"/>
      <c r="N2215" s="204"/>
      <c r="O2215" s="204"/>
      <c r="P2215" s="204"/>
      <c r="Q2215" s="204"/>
      <c r="R2215" s="204"/>
      <c r="S2215" s="204"/>
      <c r="T2215" s="204"/>
      <c r="U2215" s="204"/>
      <c r="V2215" s="204"/>
      <c r="W2215" s="204"/>
      <c r="X2215" s="204"/>
      <c r="Y2215" s="204"/>
      <c r="Z2215" s="204"/>
      <c r="AA2215" s="204"/>
      <c r="AB2215" s="204"/>
      <c r="AC2215" s="204"/>
      <c r="AD2215" s="204"/>
      <c r="AE2215" s="204"/>
      <c r="AF2215" s="204"/>
      <c r="AG2215" s="204"/>
      <c r="AH2215" s="204"/>
      <c r="AI2215" s="209"/>
      <c r="AJ2215" s="209"/>
      <c r="AK2215" s="204"/>
      <c r="AL2215" s="204"/>
      <c r="AM2215" s="204"/>
    </row>
    <row r="2216">
      <c r="A2216" s="204"/>
      <c r="B2216" s="209"/>
      <c r="C2216" s="204"/>
      <c r="D2216" s="210"/>
      <c r="E2216" s="211"/>
      <c r="F2216" s="211"/>
      <c r="G2216" s="212"/>
      <c r="H2216" s="212"/>
      <c r="I2216" s="204"/>
      <c r="J2216" s="204"/>
      <c r="K2216" s="204"/>
      <c r="L2216" s="204"/>
      <c r="M2216" s="204"/>
      <c r="N2216" s="204"/>
      <c r="O2216" s="204"/>
      <c r="P2216" s="204"/>
      <c r="Q2216" s="204"/>
      <c r="R2216" s="204"/>
      <c r="S2216" s="204"/>
      <c r="T2216" s="204"/>
      <c r="U2216" s="204"/>
      <c r="V2216" s="204"/>
      <c r="W2216" s="204"/>
      <c r="X2216" s="204"/>
      <c r="Y2216" s="204"/>
      <c r="Z2216" s="204"/>
      <c r="AA2216" s="204"/>
      <c r="AB2216" s="204"/>
      <c r="AC2216" s="204"/>
      <c r="AD2216" s="204"/>
      <c r="AE2216" s="204"/>
      <c r="AF2216" s="204"/>
      <c r="AG2216" s="204"/>
      <c r="AH2216" s="204"/>
      <c r="AI2216" s="209"/>
      <c r="AJ2216" s="209"/>
      <c r="AK2216" s="204"/>
      <c r="AL2216" s="204"/>
      <c r="AM2216" s="204"/>
    </row>
    <row r="2217">
      <c r="A2217" s="204"/>
      <c r="B2217" s="209"/>
      <c r="C2217" s="204"/>
      <c r="D2217" s="210"/>
      <c r="E2217" s="211"/>
      <c r="F2217" s="211"/>
      <c r="G2217" s="212"/>
      <c r="H2217" s="212"/>
      <c r="I2217" s="204"/>
      <c r="J2217" s="204"/>
      <c r="K2217" s="204"/>
      <c r="L2217" s="204"/>
      <c r="M2217" s="204"/>
      <c r="N2217" s="204"/>
      <c r="O2217" s="204"/>
      <c r="P2217" s="204"/>
      <c r="Q2217" s="204"/>
      <c r="R2217" s="204"/>
      <c r="S2217" s="204"/>
      <c r="T2217" s="204"/>
      <c r="U2217" s="204"/>
      <c r="V2217" s="204"/>
      <c r="W2217" s="204"/>
      <c r="X2217" s="204"/>
      <c r="Y2217" s="204"/>
      <c r="Z2217" s="204"/>
      <c r="AA2217" s="204"/>
      <c r="AB2217" s="204"/>
      <c r="AC2217" s="204"/>
      <c r="AD2217" s="204"/>
      <c r="AE2217" s="204"/>
      <c r="AF2217" s="204"/>
      <c r="AG2217" s="204"/>
      <c r="AH2217" s="204"/>
      <c r="AI2217" s="209"/>
      <c r="AJ2217" s="209"/>
      <c r="AK2217" s="204"/>
      <c r="AL2217" s="204"/>
      <c r="AM2217" s="204"/>
    </row>
    <row r="2218">
      <c r="A2218" s="204"/>
      <c r="B2218" s="209"/>
      <c r="C2218" s="204"/>
      <c r="D2218" s="210"/>
      <c r="E2218" s="211"/>
      <c r="F2218" s="211"/>
      <c r="G2218" s="212"/>
      <c r="H2218" s="212"/>
      <c r="I2218" s="204"/>
      <c r="J2218" s="204"/>
      <c r="K2218" s="204"/>
      <c r="L2218" s="204"/>
      <c r="M2218" s="204"/>
      <c r="N2218" s="204"/>
      <c r="O2218" s="204"/>
      <c r="P2218" s="204"/>
      <c r="Q2218" s="204"/>
      <c r="R2218" s="204"/>
      <c r="S2218" s="204"/>
      <c r="T2218" s="204"/>
      <c r="U2218" s="204"/>
      <c r="V2218" s="204"/>
      <c r="W2218" s="204"/>
      <c r="X2218" s="204"/>
      <c r="Y2218" s="204"/>
      <c r="Z2218" s="204"/>
      <c r="AA2218" s="204"/>
      <c r="AB2218" s="204"/>
      <c r="AC2218" s="204"/>
      <c r="AD2218" s="204"/>
      <c r="AE2218" s="204"/>
      <c r="AF2218" s="204"/>
      <c r="AG2218" s="204"/>
      <c r="AH2218" s="204"/>
      <c r="AI2218" s="209"/>
      <c r="AJ2218" s="209"/>
      <c r="AK2218" s="204"/>
      <c r="AL2218" s="204"/>
      <c r="AM2218" s="204"/>
    </row>
    <row r="2219">
      <c r="A2219" s="204"/>
      <c r="B2219" s="209"/>
      <c r="C2219" s="204"/>
      <c r="D2219" s="210"/>
      <c r="E2219" s="211"/>
      <c r="F2219" s="211"/>
      <c r="G2219" s="212"/>
      <c r="H2219" s="212"/>
      <c r="I2219" s="204"/>
      <c r="J2219" s="204"/>
      <c r="K2219" s="204"/>
      <c r="L2219" s="204"/>
      <c r="M2219" s="204"/>
      <c r="N2219" s="204"/>
      <c r="O2219" s="204"/>
      <c r="P2219" s="204"/>
      <c r="Q2219" s="204"/>
      <c r="R2219" s="204"/>
      <c r="S2219" s="204"/>
      <c r="T2219" s="204"/>
      <c r="U2219" s="204"/>
      <c r="V2219" s="204"/>
      <c r="W2219" s="204"/>
      <c r="X2219" s="204"/>
      <c r="Y2219" s="204"/>
      <c r="Z2219" s="204"/>
      <c r="AA2219" s="204"/>
      <c r="AB2219" s="204"/>
      <c r="AC2219" s="204"/>
      <c r="AD2219" s="204"/>
      <c r="AE2219" s="204"/>
      <c r="AF2219" s="204"/>
      <c r="AG2219" s="204"/>
      <c r="AH2219" s="204"/>
      <c r="AI2219" s="209"/>
      <c r="AJ2219" s="209"/>
      <c r="AK2219" s="204"/>
      <c r="AL2219" s="204"/>
      <c r="AM2219" s="204"/>
    </row>
    <row r="2220">
      <c r="A2220" s="204"/>
      <c r="B2220" s="209"/>
      <c r="C2220" s="204"/>
      <c r="D2220" s="210"/>
      <c r="E2220" s="211"/>
      <c r="F2220" s="211"/>
      <c r="G2220" s="212"/>
      <c r="H2220" s="212"/>
      <c r="I2220" s="204"/>
      <c r="J2220" s="204"/>
      <c r="K2220" s="204"/>
      <c r="L2220" s="204"/>
      <c r="M2220" s="204"/>
      <c r="N2220" s="204"/>
      <c r="O2220" s="204"/>
      <c r="P2220" s="204"/>
      <c r="Q2220" s="204"/>
      <c r="R2220" s="204"/>
      <c r="S2220" s="204"/>
      <c r="T2220" s="204"/>
      <c r="U2220" s="204"/>
      <c r="V2220" s="204"/>
      <c r="W2220" s="204"/>
      <c r="X2220" s="204"/>
      <c r="Y2220" s="204"/>
      <c r="Z2220" s="204"/>
      <c r="AA2220" s="204"/>
      <c r="AB2220" s="204"/>
      <c r="AC2220" s="204"/>
      <c r="AD2220" s="204"/>
      <c r="AE2220" s="204"/>
      <c r="AF2220" s="204"/>
      <c r="AG2220" s="204"/>
      <c r="AH2220" s="204"/>
      <c r="AI2220" s="209"/>
      <c r="AJ2220" s="209"/>
      <c r="AK2220" s="204"/>
      <c r="AL2220" s="204"/>
      <c r="AM2220" s="204"/>
    </row>
    <row r="2221">
      <c r="A2221" s="204"/>
      <c r="B2221" s="209"/>
      <c r="C2221" s="204"/>
      <c r="D2221" s="210"/>
      <c r="E2221" s="211"/>
      <c r="F2221" s="211"/>
      <c r="G2221" s="212"/>
      <c r="H2221" s="212"/>
      <c r="I2221" s="204"/>
      <c r="J2221" s="204"/>
      <c r="K2221" s="204"/>
      <c r="L2221" s="204"/>
      <c r="M2221" s="204"/>
      <c r="N2221" s="204"/>
      <c r="O2221" s="204"/>
      <c r="P2221" s="204"/>
      <c r="Q2221" s="204"/>
      <c r="R2221" s="204"/>
      <c r="S2221" s="204"/>
      <c r="T2221" s="204"/>
      <c r="U2221" s="204"/>
      <c r="V2221" s="204"/>
      <c r="W2221" s="204"/>
      <c r="X2221" s="204"/>
      <c r="Y2221" s="204"/>
      <c r="Z2221" s="204"/>
      <c r="AA2221" s="204"/>
      <c r="AB2221" s="204"/>
      <c r="AC2221" s="204"/>
      <c r="AD2221" s="204"/>
      <c r="AE2221" s="204"/>
      <c r="AF2221" s="204"/>
      <c r="AG2221" s="204"/>
      <c r="AH2221" s="204"/>
      <c r="AI2221" s="209"/>
      <c r="AJ2221" s="209"/>
      <c r="AK2221" s="204"/>
      <c r="AL2221" s="204"/>
      <c r="AM2221" s="204"/>
    </row>
    <row r="2222">
      <c r="A2222" s="204"/>
      <c r="B2222" s="209"/>
      <c r="C2222" s="204"/>
      <c r="D2222" s="210"/>
      <c r="E2222" s="211"/>
      <c r="F2222" s="211"/>
      <c r="G2222" s="212"/>
      <c r="H2222" s="212"/>
      <c r="I2222" s="204"/>
      <c r="J2222" s="204"/>
      <c r="K2222" s="204"/>
      <c r="L2222" s="204"/>
      <c r="M2222" s="204"/>
      <c r="N2222" s="204"/>
      <c r="O2222" s="204"/>
      <c r="P2222" s="204"/>
      <c r="Q2222" s="204"/>
      <c r="R2222" s="204"/>
      <c r="S2222" s="204"/>
      <c r="T2222" s="204"/>
      <c r="U2222" s="204"/>
      <c r="V2222" s="204"/>
      <c r="W2222" s="204"/>
      <c r="X2222" s="204"/>
      <c r="Y2222" s="204"/>
      <c r="Z2222" s="204"/>
      <c r="AA2222" s="204"/>
      <c r="AB2222" s="204"/>
      <c r="AC2222" s="204"/>
      <c r="AD2222" s="204"/>
      <c r="AE2222" s="204"/>
      <c r="AF2222" s="204"/>
      <c r="AG2222" s="204"/>
      <c r="AH2222" s="204"/>
      <c r="AI2222" s="209"/>
      <c r="AJ2222" s="209"/>
      <c r="AK2222" s="204"/>
      <c r="AL2222" s="204"/>
      <c r="AM2222" s="204"/>
    </row>
    <row r="2223">
      <c r="A2223" s="204"/>
      <c r="B2223" s="209"/>
      <c r="C2223" s="204"/>
      <c r="D2223" s="210"/>
      <c r="E2223" s="211"/>
      <c r="F2223" s="211"/>
      <c r="G2223" s="212"/>
      <c r="H2223" s="212"/>
      <c r="I2223" s="204"/>
      <c r="J2223" s="204"/>
      <c r="K2223" s="204"/>
      <c r="L2223" s="204"/>
      <c r="M2223" s="204"/>
      <c r="N2223" s="204"/>
      <c r="O2223" s="204"/>
      <c r="P2223" s="204"/>
      <c r="Q2223" s="204"/>
      <c r="R2223" s="204"/>
      <c r="S2223" s="204"/>
      <c r="T2223" s="204"/>
      <c r="U2223" s="204"/>
      <c r="V2223" s="204"/>
      <c r="W2223" s="204"/>
      <c r="X2223" s="204"/>
      <c r="Y2223" s="204"/>
      <c r="Z2223" s="204"/>
      <c r="AA2223" s="204"/>
      <c r="AB2223" s="204"/>
      <c r="AC2223" s="204"/>
      <c r="AD2223" s="204"/>
      <c r="AE2223" s="204"/>
      <c r="AF2223" s="204"/>
      <c r="AG2223" s="204"/>
      <c r="AH2223" s="204"/>
      <c r="AI2223" s="209"/>
      <c r="AJ2223" s="209"/>
      <c r="AK2223" s="204"/>
      <c r="AL2223" s="204"/>
      <c r="AM2223" s="204"/>
    </row>
    <row r="2224">
      <c r="A2224" s="204"/>
      <c r="B2224" s="209"/>
      <c r="C2224" s="204"/>
      <c r="D2224" s="210"/>
      <c r="E2224" s="211"/>
      <c r="F2224" s="211"/>
      <c r="G2224" s="212"/>
      <c r="H2224" s="212"/>
      <c r="I2224" s="204"/>
      <c r="J2224" s="204"/>
      <c r="K2224" s="204"/>
      <c r="L2224" s="204"/>
      <c r="M2224" s="204"/>
      <c r="N2224" s="204"/>
      <c r="O2224" s="204"/>
      <c r="P2224" s="204"/>
      <c r="Q2224" s="204"/>
      <c r="R2224" s="204"/>
      <c r="S2224" s="204"/>
      <c r="T2224" s="204"/>
      <c r="U2224" s="204"/>
      <c r="V2224" s="204"/>
      <c r="W2224" s="204"/>
      <c r="X2224" s="204"/>
      <c r="Y2224" s="204"/>
      <c r="Z2224" s="204"/>
      <c r="AA2224" s="204"/>
      <c r="AB2224" s="204"/>
      <c r="AC2224" s="204"/>
      <c r="AD2224" s="204"/>
      <c r="AE2224" s="204"/>
      <c r="AF2224" s="204"/>
      <c r="AG2224" s="204"/>
      <c r="AH2224" s="204"/>
      <c r="AI2224" s="209"/>
      <c r="AJ2224" s="209"/>
      <c r="AK2224" s="204"/>
      <c r="AL2224" s="204"/>
      <c r="AM2224" s="204"/>
    </row>
    <row r="2225">
      <c r="A2225" s="204"/>
      <c r="B2225" s="209"/>
      <c r="C2225" s="204"/>
      <c r="D2225" s="210"/>
      <c r="E2225" s="211"/>
      <c r="F2225" s="211"/>
      <c r="G2225" s="212"/>
      <c r="H2225" s="212"/>
      <c r="I2225" s="204"/>
      <c r="J2225" s="204"/>
      <c r="K2225" s="204"/>
      <c r="L2225" s="204"/>
      <c r="M2225" s="204"/>
      <c r="N2225" s="204"/>
      <c r="O2225" s="204"/>
      <c r="P2225" s="204"/>
      <c r="Q2225" s="204"/>
      <c r="R2225" s="204"/>
      <c r="S2225" s="204"/>
      <c r="T2225" s="204"/>
      <c r="U2225" s="204"/>
      <c r="V2225" s="204"/>
      <c r="W2225" s="204"/>
      <c r="X2225" s="204"/>
      <c r="Y2225" s="204"/>
      <c r="Z2225" s="204"/>
      <c r="AA2225" s="204"/>
      <c r="AB2225" s="204"/>
      <c r="AC2225" s="204"/>
      <c r="AD2225" s="204"/>
      <c r="AE2225" s="204"/>
      <c r="AF2225" s="204"/>
      <c r="AG2225" s="204"/>
      <c r="AH2225" s="204"/>
      <c r="AI2225" s="209"/>
      <c r="AJ2225" s="209"/>
      <c r="AK2225" s="204"/>
      <c r="AL2225" s="204"/>
      <c r="AM2225" s="204"/>
    </row>
    <row r="2226">
      <c r="A2226" s="204"/>
      <c r="B2226" s="209"/>
      <c r="C2226" s="204"/>
      <c r="D2226" s="210"/>
      <c r="E2226" s="211"/>
      <c r="F2226" s="211"/>
      <c r="G2226" s="212"/>
      <c r="H2226" s="212"/>
      <c r="I2226" s="204"/>
      <c r="J2226" s="204"/>
      <c r="K2226" s="204"/>
      <c r="L2226" s="204"/>
      <c r="M2226" s="204"/>
      <c r="N2226" s="204"/>
      <c r="O2226" s="204"/>
      <c r="P2226" s="204"/>
      <c r="Q2226" s="204"/>
      <c r="R2226" s="204"/>
      <c r="S2226" s="204"/>
      <c r="T2226" s="204"/>
      <c r="U2226" s="204"/>
      <c r="V2226" s="204"/>
      <c r="W2226" s="204"/>
      <c r="X2226" s="204"/>
      <c r="Y2226" s="204"/>
      <c r="Z2226" s="204"/>
      <c r="AA2226" s="204"/>
      <c r="AB2226" s="204"/>
      <c r="AC2226" s="204"/>
      <c r="AD2226" s="204"/>
      <c r="AE2226" s="204"/>
      <c r="AF2226" s="204"/>
      <c r="AG2226" s="204"/>
      <c r="AH2226" s="204"/>
      <c r="AI2226" s="209"/>
      <c r="AJ2226" s="209"/>
      <c r="AK2226" s="204"/>
      <c r="AL2226" s="204"/>
      <c r="AM2226" s="204"/>
    </row>
    <row r="2227">
      <c r="A2227" s="204"/>
      <c r="B2227" s="209"/>
      <c r="C2227" s="204"/>
      <c r="D2227" s="210"/>
      <c r="E2227" s="211"/>
      <c r="F2227" s="211"/>
      <c r="G2227" s="212"/>
      <c r="H2227" s="212"/>
      <c r="I2227" s="204"/>
      <c r="J2227" s="204"/>
      <c r="K2227" s="204"/>
      <c r="L2227" s="204"/>
      <c r="M2227" s="204"/>
      <c r="N2227" s="204"/>
      <c r="O2227" s="204"/>
      <c r="P2227" s="204"/>
      <c r="Q2227" s="204"/>
      <c r="R2227" s="204"/>
      <c r="S2227" s="204"/>
      <c r="T2227" s="204"/>
      <c r="U2227" s="204"/>
      <c r="V2227" s="204"/>
      <c r="W2227" s="204"/>
      <c r="X2227" s="204"/>
      <c r="Y2227" s="204"/>
      <c r="Z2227" s="204"/>
      <c r="AA2227" s="204"/>
      <c r="AB2227" s="204"/>
      <c r="AC2227" s="204"/>
      <c r="AD2227" s="204"/>
      <c r="AE2227" s="204"/>
      <c r="AF2227" s="204"/>
      <c r="AG2227" s="204"/>
      <c r="AH2227" s="204"/>
      <c r="AI2227" s="209"/>
      <c r="AJ2227" s="209"/>
      <c r="AK2227" s="204"/>
      <c r="AL2227" s="204"/>
      <c r="AM2227" s="204"/>
    </row>
    <row r="2228">
      <c r="A2228" s="204"/>
      <c r="B2228" s="209"/>
      <c r="C2228" s="204"/>
      <c r="D2228" s="210"/>
      <c r="E2228" s="211"/>
      <c r="F2228" s="211"/>
      <c r="G2228" s="212"/>
      <c r="H2228" s="212"/>
      <c r="I2228" s="204"/>
      <c r="J2228" s="204"/>
      <c r="K2228" s="204"/>
      <c r="L2228" s="204"/>
      <c r="M2228" s="204"/>
      <c r="N2228" s="204"/>
      <c r="O2228" s="204"/>
      <c r="P2228" s="204"/>
      <c r="Q2228" s="204"/>
      <c r="R2228" s="204"/>
      <c r="S2228" s="204"/>
      <c r="T2228" s="204"/>
      <c r="U2228" s="204"/>
      <c r="V2228" s="204"/>
      <c r="W2228" s="204"/>
      <c r="X2228" s="204"/>
      <c r="Y2228" s="204"/>
      <c r="Z2228" s="204"/>
      <c r="AA2228" s="204"/>
      <c r="AB2228" s="204"/>
      <c r="AC2228" s="204"/>
      <c r="AD2228" s="204"/>
      <c r="AE2228" s="204"/>
      <c r="AF2228" s="204"/>
      <c r="AG2228" s="204"/>
      <c r="AH2228" s="204"/>
      <c r="AI2228" s="209"/>
      <c r="AJ2228" s="209"/>
      <c r="AK2228" s="204"/>
      <c r="AL2228" s="204"/>
      <c r="AM2228" s="204"/>
    </row>
    <row r="2229">
      <c r="A2229" s="204"/>
      <c r="B2229" s="209"/>
      <c r="C2229" s="204"/>
      <c r="D2229" s="210"/>
      <c r="E2229" s="211"/>
      <c r="F2229" s="211"/>
      <c r="G2229" s="212"/>
      <c r="H2229" s="212"/>
      <c r="I2229" s="204"/>
      <c r="J2229" s="204"/>
      <c r="K2229" s="204"/>
      <c r="L2229" s="204"/>
      <c r="M2229" s="204"/>
      <c r="N2229" s="204"/>
      <c r="O2229" s="204"/>
      <c r="P2229" s="204"/>
      <c r="Q2229" s="204"/>
      <c r="R2229" s="204"/>
      <c r="S2229" s="204"/>
      <c r="T2229" s="204"/>
      <c r="U2229" s="204"/>
      <c r="V2229" s="204"/>
      <c r="W2229" s="204"/>
      <c r="X2229" s="204"/>
      <c r="Y2229" s="204"/>
      <c r="Z2229" s="204"/>
      <c r="AA2229" s="204"/>
      <c r="AB2229" s="204"/>
      <c r="AC2229" s="204"/>
      <c r="AD2229" s="204"/>
      <c r="AE2229" s="204"/>
      <c r="AF2229" s="204"/>
      <c r="AG2229" s="204"/>
      <c r="AH2229" s="204"/>
      <c r="AI2229" s="209"/>
      <c r="AJ2229" s="209"/>
      <c r="AK2229" s="204"/>
      <c r="AL2229" s="204"/>
      <c r="AM2229" s="204"/>
    </row>
    <row r="2230">
      <c r="A2230" s="204"/>
      <c r="B2230" s="209"/>
      <c r="C2230" s="204"/>
      <c r="D2230" s="210"/>
      <c r="E2230" s="211"/>
      <c r="F2230" s="211"/>
      <c r="G2230" s="212"/>
      <c r="H2230" s="212"/>
      <c r="I2230" s="204"/>
      <c r="J2230" s="204"/>
      <c r="K2230" s="204"/>
      <c r="L2230" s="204"/>
      <c r="M2230" s="204"/>
      <c r="N2230" s="204"/>
      <c r="O2230" s="204"/>
      <c r="P2230" s="204"/>
      <c r="Q2230" s="204"/>
      <c r="R2230" s="204"/>
      <c r="S2230" s="204"/>
      <c r="T2230" s="204"/>
      <c r="U2230" s="204"/>
      <c r="V2230" s="204"/>
      <c r="W2230" s="204"/>
      <c r="X2230" s="204"/>
      <c r="Y2230" s="204"/>
      <c r="Z2230" s="204"/>
      <c r="AA2230" s="204"/>
      <c r="AB2230" s="204"/>
      <c r="AC2230" s="204"/>
      <c r="AD2230" s="204"/>
      <c r="AE2230" s="204"/>
      <c r="AF2230" s="204"/>
      <c r="AG2230" s="204"/>
      <c r="AH2230" s="204"/>
      <c r="AI2230" s="209"/>
      <c r="AJ2230" s="209"/>
      <c r="AK2230" s="204"/>
      <c r="AL2230" s="204"/>
      <c r="AM2230" s="204"/>
    </row>
    <row r="2231">
      <c r="A2231" s="204"/>
      <c r="B2231" s="209"/>
      <c r="C2231" s="204"/>
      <c r="D2231" s="210"/>
      <c r="E2231" s="211"/>
      <c r="F2231" s="211"/>
      <c r="G2231" s="212"/>
      <c r="H2231" s="212"/>
      <c r="I2231" s="204"/>
      <c r="J2231" s="204"/>
      <c r="K2231" s="204"/>
      <c r="L2231" s="204"/>
      <c r="M2231" s="204"/>
      <c r="N2231" s="204"/>
      <c r="O2231" s="204"/>
      <c r="P2231" s="204"/>
      <c r="Q2231" s="204"/>
      <c r="R2231" s="204"/>
      <c r="S2231" s="204"/>
      <c r="T2231" s="204"/>
      <c r="U2231" s="204"/>
      <c r="V2231" s="204"/>
      <c r="W2231" s="204"/>
      <c r="X2231" s="204"/>
      <c r="Y2231" s="204"/>
      <c r="Z2231" s="204"/>
      <c r="AA2231" s="204"/>
      <c r="AB2231" s="204"/>
      <c r="AC2231" s="204"/>
      <c r="AD2231" s="204"/>
      <c r="AE2231" s="204"/>
      <c r="AF2231" s="204"/>
      <c r="AG2231" s="204"/>
      <c r="AH2231" s="204"/>
      <c r="AI2231" s="209"/>
      <c r="AJ2231" s="209"/>
      <c r="AK2231" s="204"/>
      <c r="AL2231" s="204"/>
      <c r="AM2231" s="204"/>
    </row>
    <row r="2232">
      <c r="A2232" s="204"/>
      <c r="B2232" s="209"/>
      <c r="C2232" s="204"/>
      <c r="D2232" s="210"/>
      <c r="E2232" s="211"/>
      <c r="F2232" s="211"/>
      <c r="G2232" s="212"/>
      <c r="H2232" s="212"/>
      <c r="I2232" s="204"/>
      <c r="J2232" s="204"/>
      <c r="K2232" s="204"/>
      <c r="L2232" s="204"/>
      <c r="M2232" s="204"/>
      <c r="N2232" s="204"/>
      <c r="O2232" s="204"/>
      <c r="P2232" s="204"/>
      <c r="Q2232" s="204"/>
      <c r="R2232" s="204"/>
      <c r="S2232" s="204"/>
      <c r="T2232" s="204"/>
      <c r="U2232" s="204"/>
      <c r="V2232" s="204"/>
      <c r="W2232" s="204"/>
      <c r="X2232" s="204"/>
      <c r="Y2232" s="204"/>
      <c r="Z2232" s="204"/>
      <c r="AA2232" s="204"/>
      <c r="AB2232" s="204"/>
      <c r="AC2232" s="204"/>
      <c r="AD2232" s="204"/>
      <c r="AE2232" s="204"/>
      <c r="AF2232" s="204"/>
      <c r="AG2232" s="204"/>
      <c r="AH2232" s="204"/>
      <c r="AI2232" s="209"/>
      <c r="AJ2232" s="209"/>
      <c r="AK2232" s="204"/>
      <c r="AL2232" s="204"/>
      <c r="AM2232" s="204"/>
    </row>
    <row r="2233">
      <c r="A2233" s="204"/>
      <c r="B2233" s="209"/>
      <c r="C2233" s="204"/>
      <c r="D2233" s="210"/>
      <c r="E2233" s="211"/>
      <c r="F2233" s="211"/>
      <c r="G2233" s="212"/>
      <c r="H2233" s="212"/>
      <c r="I2233" s="204"/>
      <c r="J2233" s="204"/>
      <c r="K2233" s="204"/>
      <c r="L2233" s="204"/>
      <c r="M2233" s="204"/>
      <c r="N2233" s="204"/>
      <c r="O2233" s="204"/>
      <c r="P2233" s="204"/>
      <c r="Q2233" s="204"/>
      <c r="R2233" s="204"/>
      <c r="S2233" s="204"/>
      <c r="T2233" s="204"/>
      <c r="U2233" s="204"/>
      <c r="V2233" s="204"/>
      <c r="W2233" s="204"/>
      <c r="X2233" s="204"/>
      <c r="Y2233" s="204"/>
      <c r="Z2233" s="204"/>
      <c r="AA2233" s="204"/>
      <c r="AB2233" s="204"/>
      <c r="AC2233" s="204"/>
      <c r="AD2233" s="204"/>
      <c r="AE2233" s="204"/>
      <c r="AF2233" s="204"/>
      <c r="AG2233" s="204"/>
      <c r="AH2233" s="204"/>
      <c r="AI2233" s="209"/>
      <c r="AJ2233" s="209"/>
      <c r="AK2233" s="204"/>
      <c r="AL2233" s="204"/>
      <c r="AM2233" s="204"/>
    </row>
    <row r="2234">
      <c r="A2234" s="204"/>
      <c r="B2234" s="209"/>
      <c r="C2234" s="204"/>
      <c r="D2234" s="210"/>
      <c r="E2234" s="211"/>
      <c r="F2234" s="211"/>
      <c r="G2234" s="212"/>
      <c r="H2234" s="212"/>
      <c r="I2234" s="204"/>
      <c r="J2234" s="204"/>
      <c r="K2234" s="204"/>
      <c r="L2234" s="204"/>
      <c r="M2234" s="204"/>
      <c r="N2234" s="204"/>
      <c r="O2234" s="204"/>
      <c r="P2234" s="204"/>
      <c r="Q2234" s="204"/>
      <c r="R2234" s="204"/>
      <c r="S2234" s="204"/>
      <c r="T2234" s="204"/>
      <c r="U2234" s="204"/>
      <c r="V2234" s="204"/>
      <c r="W2234" s="204"/>
      <c r="X2234" s="204"/>
      <c r="Y2234" s="204"/>
      <c r="Z2234" s="204"/>
      <c r="AA2234" s="204"/>
      <c r="AB2234" s="204"/>
      <c r="AC2234" s="204"/>
      <c r="AD2234" s="204"/>
      <c r="AE2234" s="204"/>
      <c r="AF2234" s="204"/>
      <c r="AG2234" s="204"/>
      <c r="AH2234" s="204"/>
      <c r="AI2234" s="209"/>
      <c r="AJ2234" s="209"/>
      <c r="AK2234" s="204"/>
      <c r="AL2234" s="204"/>
      <c r="AM2234" s="204"/>
    </row>
    <row r="2235">
      <c r="A2235" s="204"/>
      <c r="B2235" s="209"/>
      <c r="C2235" s="204"/>
      <c r="D2235" s="210"/>
      <c r="E2235" s="211"/>
      <c r="F2235" s="211"/>
      <c r="G2235" s="212"/>
      <c r="H2235" s="212"/>
      <c r="I2235" s="204"/>
      <c r="J2235" s="204"/>
      <c r="K2235" s="204"/>
      <c r="L2235" s="204"/>
      <c r="M2235" s="204"/>
      <c r="N2235" s="204"/>
      <c r="O2235" s="204"/>
      <c r="P2235" s="204"/>
      <c r="Q2235" s="204"/>
      <c r="R2235" s="204"/>
      <c r="S2235" s="204"/>
      <c r="T2235" s="204"/>
      <c r="U2235" s="204"/>
      <c r="V2235" s="204"/>
      <c r="W2235" s="204"/>
      <c r="X2235" s="204"/>
      <c r="Y2235" s="204"/>
      <c r="Z2235" s="204"/>
      <c r="AA2235" s="204"/>
      <c r="AB2235" s="204"/>
      <c r="AC2235" s="204"/>
      <c r="AD2235" s="204"/>
      <c r="AE2235" s="204"/>
      <c r="AF2235" s="204"/>
      <c r="AG2235" s="204"/>
      <c r="AH2235" s="204"/>
      <c r="AI2235" s="209"/>
      <c r="AJ2235" s="209"/>
      <c r="AK2235" s="204"/>
      <c r="AL2235" s="204"/>
      <c r="AM2235" s="204"/>
    </row>
    <row r="2236">
      <c r="A2236" s="204"/>
      <c r="B2236" s="209"/>
      <c r="C2236" s="204"/>
      <c r="D2236" s="210"/>
      <c r="E2236" s="211"/>
      <c r="F2236" s="211"/>
      <c r="G2236" s="212"/>
      <c r="H2236" s="212"/>
      <c r="I2236" s="204"/>
      <c r="J2236" s="204"/>
      <c r="K2236" s="204"/>
      <c r="L2236" s="204"/>
      <c r="M2236" s="204"/>
      <c r="N2236" s="204"/>
      <c r="O2236" s="204"/>
      <c r="P2236" s="204"/>
      <c r="Q2236" s="204"/>
      <c r="R2236" s="204"/>
      <c r="S2236" s="204"/>
      <c r="T2236" s="204"/>
      <c r="U2236" s="204"/>
      <c r="V2236" s="204"/>
      <c r="W2236" s="204"/>
      <c r="X2236" s="204"/>
      <c r="Y2236" s="204"/>
      <c r="Z2236" s="204"/>
      <c r="AA2236" s="204"/>
      <c r="AB2236" s="204"/>
      <c r="AC2236" s="204"/>
      <c r="AD2236" s="204"/>
      <c r="AE2236" s="204"/>
      <c r="AF2236" s="204"/>
      <c r="AG2236" s="204"/>
      <c r="AH2236" s="204"/>
      <c r="AI2236" s="209"/>
      <c r="AJ2236" s="209"/>
      <c r="AK2236" s="204"/>
      <c r="AL2236" s="204"/>
      <c r="AM2236" s="204"/>
    </row>
    <row r="2237">
      <c r="A2237" s="204"/>
      <c r="B2237" s="209"/>
      <c r="C2237" s="204"/>
      <c r="D2237" s="210"/>
      <c r="E2237" s="211"/>
      <c r="F2237" s="211"/>
      <c r="G2237" s="212"/>
      <c r="H2237" s="212"/>
      <c r="I2237" s="204"/>
      <c r="J2237" s="204"/>
      <c r="K2237" s="204"/>
      <c r="L2237" s="204"/>
      <c r="M2237" s="204"/>
      <c r="N2237" s="204"/>
      <c r="O2237" s="204"/>
      <c r="P2237" s="204"/>
      <c r="Q2237" s="204"/>
      <c r="R2237" s="204"/>
      <c r="S2237" s="204"/>
      <c r="T2237" s="204"/>
      <c r="U2237" s="204"/>
      <c r="V2237" s="204"/>
      <c r="W2237" s="204"/>
      <c r="X2237" s="204"/>
      <c r="Y2237" s="204"/>
      <c r="Z2237" s="204"/>
      <c r="AA2237" s="204"/>
      <c r="AB2237" s="204"/>
      <c r="AC2237" s="204"/>
      <c r="AD2237" s="204"/>
      <c r="AE2237" s="204"/>
      <c r="AF2237" s="204"/>
      <c r="AG2237" s="204"/>
      <c r="AH2237" s="204"/>
      <c r="AI2237" s="209"/>
      <c r="AJ2237" s="209"/>
      <c r="AK2237" s="204"/>
      <c r="AL2237" s="204"/>
      <c r="AM2237" s="204"/>
    </row>
    <row r="2238">
      <c r="A2238" s="204"/>
      <c r="B2238" s="209"/>
      <c r="C2238" s="204"/>
      <c r="D2238" s="210"/>
      <c r="E2238" s="211"/>
      <c r="F2238" s="211"/>
      <c r="G2238" s="212"/>
      <c r="H2238" s="212"/>
      <c r="I2238" s="204"/>
      <c r="J2238" s="204"/>
      <c r="K2238" s="204"/>
      <c r="L2238" s="204"/>
      <c r="M2238" s="204"/>
      <c r="N2238" s="204"/>
      <c r="O2238" s="204"/>
      <c r="P2238" s="204"/>
      <c r="Q2238" s="204"/>
      <c r="R2238" s="204"/>
      <c r="S2238" s="204"/>
      <c r="T2238" s="204"/>
      <c r="U2238" s="204"/>
      <c r="V2238" s="204"/>
      <c r="W2238" s="204"/>
      <c r="X2238" s="204"/>
      <c r="Y2238" s="204"/>
      <c r="Z2238" s="204"/>
      <c r="AA2238" s="204"/>
      <c r="AB2238" s="204"/>
      <c r="AC2238" s="204"/>
      <c r="AD2238" s="204"/>
      <c r="AE2238" s="204"/>
      <c r="AF2238" s="204"/>
      <c r="AG2238" s="204"/>
      <c r="AH2238" s="204"/>
      <c r="AI2238" s="209"/>
      <c r="AJ2238" s="209"/>
      <c r="AK2238" s="204"/>
      <c r="AL2238" s="204"/>
      <c r="AM2238" s="204"/>
    </row>
    <row r="2239">
      <c r="A2239" s="204"/>
      <c r="B2239" s="209"/>
      <c r="C2239" s="204"/>
      <c r="D2239" s="210"/>
      <c r="E2239" s="211"/>
      <c r="F2239" s="211"/>
      <c r="G2239" s="212"/>
      <c r="H2239" s="212"/>
      <c r="I2239" s="204"/>
      <c r="J2239" s="204"/>
      <c r="K2239" s="204"/>
      <c r="L2239" s="204"/>
      <c r="M2239" s="204"/>
      <c r="N2239" s="204"/>
      <c r="O2239" s="204"/>
      <c r="P2239" s="204"/>
      <c r="Q2239" s="204"/>
      <c r="R2239" s="204"/>
      <c r="S2239" s="204"/>
      <c r="T2239" s="204"/>
      <c r="U2239" s="204"/>
      <c r="V2239" s="204"/>
      <c r="W2239" s="204"/>
      <c r="X2239" s="204"/>
      <c r="Y2239" s="204"/>
      <c r="Z2239" s="204"/>
      <c r="AA2239" s="204"/>
      <c r="AB2239" s="204"/>
      <c r="AC2239" s="204"/>
      <c r="AD2239" s="204"/>
      <c r="AE2239" s="204"/>
      <c r="AF2239" s="204"/>
      <c r="AG2239" s="204"/>
      <c r="AH2239" s="204"/>
      <c r="AI2239" s="209"/>
      <c r="AJ2239" s="209"/>
      <c r="AK2239" s="204"/>
      <c r="AL2239" s="204"/>
      <c r="AM2239" s="204"/>
    </row>
    <row r="2240">
      <c r="A2240" s="204"/>
      <c r="B2240" s="209"/>
      <c r="C2240" s="204"/>
      <c r="D2240" s="210"/>
      <c r="E2240" s="211"/>
      <c r="F2240" s="211"/>
      <c r="G2240" s="212"/>
      <c r="H2240" s="212"/>
      <c r="I2240" s="204"/>
      <c r="J2240" s="204"/>
      <c r="K2240" s="204"/>
      <c r="L2240" s="204"/>
      <c r="M2240" s="204"/>
      <c r="N2240" s="204"/>
      <c r="O2240" s="204"/>
      <c r="P2240" s="204"/>
      <c r="Q2240" s="204"/>
      <c r="R2240" s="204"/>
      <c r="S2240" s="204"/>
      <c r="T2240" s="204"/>
      <c r="U2240" s="204"/>
      <c r="V2240" s="204"/>
      <c r="W2240" s="204"/>
      <c r="X2240" s="204"/>
      <c r="Y2240" s="204"/>
      <c r="Z2240" s="204"/>
      <c r="AA2240" s="204"/>
      <c r="AB2240" s="204"/>
      <c r="AC2240" s="204"/>
      <c r="AD2240" s="204"/>
      <c r="AE2240" s="204"/>
      <c r="AF2240" s="204"/>
      <c r="AG2240" s="204"/>
      <c r="AH2240" s="204"/>
      <c r="AI2240" s="209"/>
      <c r="AJ2240" s="209"/>
      <c r="AK2240" s="204"/>
      <c r="AL2240" s="204"/>
      <c r="AM2240" s="204"/>
    </row>
    <row r="2241">
      <c r="A2241" s="204"/>
      <c r="B2241" s="209"/>
      <c r="C2241" s="204"/>
      <c r="D2241" s="210"/>
      <c r="E2241" s="211"/>
      <c r="F2241" s="211"/>
      <c r="G2241" s="212"/>
      <c r="H2241" s="212"/>
      <c r="I2241" s="204"/>
      <c r="J2241" s="204"/>
      <c r="K2241" s="204"/>
      <c r="L2241" s="204"/>
      <c r="M2241" s="204"/>
      <c r="N2241" s="204"/>
      <c r="O2241" s="204"/>
      <c r="P2241" s="204"/>
      <c r="Q2241" s="204"/>
      <c r="R2241" s="204"/>
      <c r="S2241" s="204"/>
      <c r="T2241" s="204"/>
      <c r="U2241" s="204"/>
      <c r="V2241" s="204"/>
      <c r="W2241" s="204"/>
      <c r="X2241" s="204"/>
      <c r="Y2241" s="204"/>
      <c r="Z2241" s="204"/>
      <c r="AA2241" s="204"/>
      <c r="AB2241" s="204"/>
      <c r="AC2241" s="204"/>
      <c r="AD2241" s="204"/>
      <c r="AE2241" s="204"/>
      <c r="AF2241" s="204"/>
      <c r="AG2241" s="204"/>
      <c r="AH2241" s="204"/>
      <c r="AI2241" s="209"/>
      <c r="AJ2241" s="209"/>
      <c r="AK2241" s="204"/>
      <c r="AL2241" s="204"/>
      <c r="AM2241" s="204"/>
    </row>
    <row r="2242">
      <c r="A2242" s="204"/>
      <c r="B2242" s="209"/>
      <c r="C2242" s="204"/>
      <c r="D2242" s="210"/>
      <c r="E2242" s="211"/>
      <c r="F2242" s="211"/>
      <c r="G2242" s="212"/>
      <c r="H2242" s="212"/>
      <c r="I2242" s="204"/>
      <c r="J2242" s="204"/>
      <c r="K2242" s="204"/>
      <c r="L2242" s="204"/>
      <c r="M2242" s="204"/>
      <c r="N2242" s="204"/>
      <c r="O2242" s="204"/>
      <c r="P2242" s="204"/>
      <c r="Q2242" s="204"/>
      <c r="R2242" s="204"/>
      <c r="S2242" s="204"/>
      <c r="T2242" s="204"/>
      <c r="U2242" s="204"/>
      <c r="V2242" s="204"/>
      <c r="W2242" s="204"/>
      <c r="X2242" s="204"/>
      <c r="Y2242" s="204"/>
      <c r="Z2242" s="204"/>
      <c r="AA2242" s="204"/>
      <c r="AB2242" s="204"/>
      <c r="AC2242" s="204"/>
      <c r="AD2242" s="204"/>
      <c r="AE2242" s="204"/>
      <c r="AF2242" s="204"/>
      <c r="AG2242" s="204"/>
      <c r="AH2242" s="204"/>
      <c r="AI2242" s="209"/>
      <c r="AJ2242" s="209"/>
      <c r="AK2242" s="204"/>
      <c r="AL2242" s="204"/>
      <c r="AM2242" s="204"/>
    </row>
    <row r="2243">
      <c r="A2243" s="204"/>
      <c r="B2243" s="209"/>
      <c r="C2243" s="204"/>
      <c r="D2243" s="210"/>
      <c r="E2243" s="211"/>
      <c r="F2243" s="211"/>
      <c r="G2243" s="212"/>
      <c r="H2243" s="212"/>
      <c r="I2243" s="204"/>
      <c r="J2243" s="204"/>
      <c r="K2243" s="204"/>
      <c r="L2243" s="204"/>
      <c r="M2243" s="204"/>
      <c r="N2243" s="204"/>
      <c r="O2243" s="204"/>
      <c r="P2243" s="204"/>
      <c r="Q2243" s="204"/>
      <c r="R2243" s="204"/>
      <c r="S2243" s="204"/>
      <c r="T2243" s="204"/>
      <c r="U2243" s="204"/>
      <c r="V2243" s="204"/>
      <c r="W2243" s="204"/>
      <c r="X2243" s="204"/>
      <c r="Y2243" s="204"/>
      <c r="Z2243" s="204"/>
      <c r="AA2243" s="204"/>
      <c r="AB2243" s="204"/>
      <c r="AC2243" s="204"/>
      <c r="AD2243" s="204"/>
      <c r="AE2243" s="204"/>
      <c r="AF2243" s="204"/>
      <c r="AG2243" s="204"/>
      <c r="AH2243" s="204"/>
      <c r="AI2243" s="209"/>
      <c r="AJ2243" s="209"/>
      <c r="AK2243" s="204"/>
      <c r="AL2243" s="204"/>
      <c r="AM2243" s="204"/>
    </row>
    <row r="2244">
      <c r="A2244" s="204"/>
      <c r="B2244" s="209"/>
      <c r="C2244" s="204"/>
      <c r="D2244" s="210"/>
      <c r="E2244" s="211"/>
      <c r="F2244" s="211"/>
      <c r="G2244" s="212"/>
      <c r="H2244" s="212"/>
      <c r="I2244" s="204"/>
      <c r="J2244" s="204"/>
      <c r="K2244" s="204"/>
      <c r="L2244" s="204"/>
      <c r="M2244" s="204"/>
      <c r="N2244" s="204"/>
      <c r="O2244" s="204"/>
      <c r="P2244" s="204"/>
      <c r="Q2244" s="204"/>
      <c r="R2244" s="204"/>
      <c r="S2244" s="204"/>
      <c r="T2244" s="204"/>
      <c r="U2244" s="204"/>
      <c r="V2244" s="204"/>
      <c r="W2244" s="204"/>
      <c r="X2244" s="204"/>
      <c r="Y2244" s="204"/>
      <c r="Z2244" s="204"/>
      <c r="AA2244" s="204"/>
      <c r="AB2244" s="204"/>
      <c r="AC2244" s="204"/>
      <c r="AD2244" s="204"/>
      <c r="AE2244" s="204"/>
      <c r="AF2244" s="204"/>
      <c r="AG2244" s="204"/>
      <c r="AH2244" s="204"/>
      <c r="AI2244" s="209"/>
      <c r="AJ2244" s="209"/>
      <c r="AK2244" s="204"/>
      <c r="AL2244" s="204"/>
      <c r="AM2244" s="204"/>
    </row>
    <row r="2245">
      <c r="A2245" s="204"/>
      <c r="B2245" s="209"/>
      <c r="C2245" s="204"/>
      <c r="D2245" s="210"/>
      <c r="E2245" s="211"/>
      <c r="F2245" s="211"/>
      <c r="G2245" s="212"/>
      <c r="H2245" s="212"/>
      <c r="I2245" s="204"/>
      <c r="J2245" s="204"/>
      <c r="K2245" s="204"/>
      <c r="L2245" s="204"/>
      <c r="M2245" s="204"/>
      <c r="N2245" s="204"/>
      <c r="O2245" s="204"/>
      <c r="P2245" s="204"/>
      <c r="Q2245" s="204"/>
      <c r="R2245" s="204"/>
      <c r="S2245" s="204"/>
      <c r="T2245" s="204"/>
      <c r="U2245" s="204"/>
      <c r="V2245" s="204"/>
      <c r="W2245" s="204"/>
      <c r="X2245" s="204"/>
      <c r="Y2245" s="204"/>
      <c r="Z2245" s="204"/>
      <c r="AA2245" s="204"/>
      <c r="AB2245" s="204"/>
      <c r="AC2245" s="204"/>
      <c r="AD2245" s="204"/>
      <c r="AE2245" s="204"/>
      <c r="AF2245" s="204"/>
      <c r="AG2245" s="204"/>
      <c r="AH2245" s="204"/>
      <c r="AI2245" s="209"/>
      <c r="AJ2245" s="209"/>
      <c r="AK2245" s="204"/>
      <c r="AL2245" s="204"/>
      <c r="AM2245" s="204"/>
    </row>
    <row r="2246">
      <c r="A2246" s="204"/>
      <c r="B2246" s="209"/>
      <c r="C2246" s="204"/>
      <c r="D2246" s="210"/>
      <c r="E2246" s="211"/>
      <c r="F2246" s="211"/>
      <c r="G2246" s="212"/>
      <c r="H2246" s="212"/>
      <c r="I2246" s="204"/>
      <c r="J2246" s="204"/>
      <c r="K2246" s="204"/>
      <c r="L2246" s="204"/>
      <c r="M2246" s="204"/>
      <c r="N2246" s="204"/>
      <c r="O2246" s="204"/>
      <c r="P2246" s="204"/>
      <c r="Q2246" s="204"/>
      <c r="R2246" s="204"/>
      <c r="S2246" s="204"/>
      <c r="T2246" s="204"/>
      <c r="U2246" s="204"/>
      <c r="V2246" s="204"/>
      <c r="W2246" s="204"/>
      <c r="X2246" s="204"/>
      <c r="Y2246" s="204"/>
      <c r="Z2246" s="204"/>
      <c r="AA2246" s="204"/>
      <c r="AB2246" s="204"/>
      <c r="AC2246" s="204"/>
      <c r="AD2246" s="204"/>
      <c r="AE2246" s="204"/>
      <c r="AF2246" s="204"/>
      <c r="AG2246" s="204"/>
      <c r="AH2246" s="204"/>
      <c r="AI2246" s="209"/>
      <c r="AJ2246" s="209"/>
      <c r="AK2246" s="204"/>
      <c r="AL2246" s="204"/>
      <c r="AM2246" s="204"/>
    </row>
    <row r="2247">
      <c r="A2247" s="204"/>
      <c r="B2247" s="209"/>
      <c r="C2247" s="204"/>
      <c r="D2247" s="210"/>
      <c r="E2247" s="211"/>
      <c r="F2247" s="211"/>
      <c r="G2247" s="212"/>
      <c r="H2247" s="212"/>
      <c r="I2247" s="204"/>
      <c r="J2247" s="204"/>
      <c r="K2247" s="204"/>
      <c r="L2247" s="204"/>
      <c r="M2247" s="204"/>
      <c r="N2247" s="204"/>
      <c r="O2247" s="204"/>
      <c r="P2247" s="204"/>
      <c r="Q2247" s="204"/>
      <c r="R2247" s="204"/>
      <c r="S2247" s="204"/>
      <c r="T2247" s="204"/>
      <c r="U2247" s="204"/>
      <c r="V2247" s="204"/>
      <c r="W2247" s="204"/>
      <c r="X2247" s="204"/>
      <c r="Y2247" s="204"/>
      <c r="Z2247" s="204"/>
      <c r="AA2247" s="204"/>
      <c r="AB2247" s="204"/>
      <c r="AC2247" s="204"/>
      <c r="AD2247" s="204"/>
      <c r="AE2247" s="204"/>
      <c r="AF2247" s="204"/>
      <c r="AG2247" s="204"/>
      <c r="AH2247" s="204"/>
      <c r="AI2247" s="209"/>
      <c r="AJ2247" s="209"/>
      <c r="AK2247" s="204"/>
      <c r="AL2247" s="204"/>
      <c r="AM2247" s="204"/>
    </row>
    <row r="2248">
      <c r="A2248" s="204"/>
      <c r="B2248" s="209"/>
      <c r="C2248" s="204"/>
      <c r="D2248" s="210"/>
      <c r="E2248" s="211"/>
      <c r="F2248" s="211"/>
      <c r="G2248" s="212"/>
      <c r="H2248" s="212"/>
      <c r="I2248" s="204"/>
      <c r="J2248" s="204"/>
      <c r="K2248" s="204"/>
      <c r="L2248" s="204"/>
      <c r="M2248" s="204"/>
      <c r="N2248" s="204"/>
      <c r="O2248" s="204"/>
      <c r="P2248" s="204"/>
      <c r="Q2248" s="204"/>
      <c r="R2248" s="204"/>
      <c r="S2248" s="204"/>
      <c r="T2248" s="204"/>
      <c r="U2248" s="204"/>
      <c r="V2248" s="204"/>
      <c r="W2248" s="204"/>
      <c r="X2248" s="204"/>
      <c r="Y2248" s="204"/>
      <c r="Z2248" s="204"/>
      <c r="AA2248" s="204"/>
      <c r="AB2248" s="204"/>
      <c r="AC2248" s="204"/>
      <c r="AD2248" s="204"/>
      <c r="AE2248" s="204"/>
      <c r="AF2248" s="204"/>
      <c r="AG2248" s="204"/>
      <c r="AH2248" s="204"/>
      <c r="AI2248" s="209"/>
      <c r="AJ2248" s="209"/>
      <c r="AK2248" s="204"/>
      <c r="AL2248" s="204"/>
      <c r="AM2248" s="204"/>
    </row>
    <row r="2249">
      <c r="A2249" s="204"/>
      <c r="B2249" s="209"/>
      <c r="C2249" s="204"/>
      <c r="D2249" s="210"/>
      <c r="E2249" s="211"/>
      <c r="F2249" s="211"/>
      <c r="G2249" s="212"/>
      <c r="H2249" s="212"/>
      <c r="I2249" s="204"/>
      <c r="J2249" s="204"/>
      <c r="K2249" s="204"/>
      <c r="L2249" s="204"/>
      <c r="M2249" s="204"/>
      <c r="N2249" s="204"/>
      <c r="O2249" s="204"/>
      <c r="P2249" s="204"/>
      <c r="Q2249" s="204"/>
      <c r="R2249" s="204"/>
      <c r="S2249" s="204"/>
      <c r="T2249" s="204"/>
      <c r="U2249" s="204"/>
      <c r="V2249" s="204"/>
      <c r="W2249" s="204"/>
      <c r="X2249" s="204"/>
      <c r="Y2249" s="204"/>
      <c r="Z2249" s="204"/>
      <c r="AA2249" s="204"/>
      <c r="AB2249" s="204"/>
      <c r="AC2249" s="204"/>
      <c r="AD2249" s="204"/>
      <c r="AE2249" s="204"/>
      <c r="AF2249" s="204"/>
      <c r="AG2249" s="204"/>
      <c r="AH2249" s="204"/>
      <c r="AI2249" s="209"/>
      <c r="AJ2249" s="209"/>
      <c r="AK2249" s="204"/>
      <c r="AL2249" s="204"/>
      <c r="AM2249" s="204"/>
    </row>
    <row r="2250">
      <c r="A2250" s="204"/>
      <c r="B2250" s="209"/>
      <c r="C2250" s="204"/>
      <c r="D2250" s="210"/>
      <c r="E2250" s="211"/>
      <c r="F2250" s="211"/>
      <c r="G2250" s="212"/>
      <c r="H2250" s="212"/>
      <c r="I2250" s="204"/>
      <c r="J2250" s="204"/>
      <c r="K2250" s="204"/>
      <c r="L2250" s="204"/>
      <c r="M2250" s="204"/>
      <c r="N2250" s="204"/>
      <c r="O2250" s="204"/>
      <c r="P2250" s="204"/>
      <c r="Q2250" s="204"/>
      <c r="R2250" s="204"/>
      <c r="S2250" s="204"/>
      <c r="T2250" s="204"/>
      <c r="U2250" s="204"/>
      <c r="V2250" s="204"/>
      <c r="W2250" s="204"/>
      <c r="X2250" s="204"/>
      <c r="Y2250" s="204"/>
      <c r="Z2250" s="204"/>
      <c r="AA2250" s="204"/>
      <c r="AB2250" s="204"/>
      <c r="AC2250" s="204"/>
      <c r="AD2250" s="204"/>
      <c r="AE2250" s="204"/>
      <c r="AF2250" s="204"/>
      <c r="AG2250" s="204"/>
      <c r="AH2250" s="204"/>
      <c r="AI2250" s="209"/>
      <c r="AJ2250" s="209"/>
      <c r="AK2250" s="204"/>
      <c r="AL2250" s="204"/>
      <c r="AM2250" s="204"/>
    </row>
    <row r="2251">
      <c r="A2251" s="204"/>
      <c r="B2251" s="209"/>
      <c r="C2251" s="204"/>
      <c r="D2251" s="210"/>
      <c r="E2251" s="211"/>
      <c r="F2251" s="211"/>
      <c r="G2251" s="212"/>
      <c r="H2251" s="212"/>
      <c r="I2251" s="204"/>
      <c r="J2251" s="204"/>
      <c r="K2251" s="204"/>
      <c r="L2251" s="204"/>
      <c r="M2251" s="204"/>
      <c r="N2251" s="204"/>
      <c r="O2251" s="204"/>
      <c r="P2251" s="204"/>
      <c r="Q2251" s="204"/>
      <c r="R2251" s="204"/>
      <c r="S2251" s="204"/>
      <c r="T2251" s="204"/>
      <c r="U2251" s="204"/>
      <c r="V2251" s="204"/>
      <c r="W2251" s="204"/>
      <c r="X2251" s="204"/>
      <c r="Y2251" s="204"/>
      <c r="Z2251" s="204"/>
      <c r="AA2251" s="204"/>
      <c r="AB2251" s="204"/>
      <c r="AC2251" s="204"/>
      <c r="AD2251" s="204"/>
      <c r="AE2251" s="204"/>
      <c r="AF2251" s="204"/>
      <c r="AG2251" s="204"/>
      <c r="AH2251" s="204"/>
      <c r="AI2251" s="209"/>
      <c r="AJ2251" s="209"/>
      <c r="AK2251" s="204"/>
      <c r="AL2251" s="204"/>
      <c r="AM2251" s="204"/>
    </row>
    <row r="2252">
      <c r="A2252" s="204"/>
      <c r="B2252" s="209"/>
      <c r="C2252" s="204"/>
      <c r="D2252" s="210"/>
      <c r="E2252" s="211"/>
      <c r="F2252" s="211"/>
      <c r="G2252" s="212"/>
      <c r="H2252" s="212"/>
      <c r="I2252" s="204"/>
      <c r="J2252" s="204"/>
      <c r="K2252" s="204"/>
      <c r="L2252" s="204"/>
      <c r="M2252" s="204"/>
      <c r="N2252" s="204"/>
      <c r="O2252" s="204"/>
      <c r="P2252" s="204"/>
      <c r="Q2252" s="204"/>
      <c r="R2252" s="204"/>
      <c r="S2252" s="204"/>
      <c r="T2252" s="204"/>
      <c r="U2252" s="204"/>
      <c r="V2252" s="204"/>
      <c r="W2252" s="204"/>
      <c r="X2252" s="204"/>
      <c r="Y2252" s="204"/>
      <c r="Z2252" s="204"/>
      <c r="AA2252" s="204"/>
      <c r="AB2252" s="204"/>
      <c r="AC2252" s="204"/>
      <c r="AD2252" s="204"/>
      <c r="AE2252" s="204"/>
      <c r="AF2252" s="204"/>
      <c r="AG2252" s="204"/>
      <c r="AH2252" s="204"/>
      <c r="AI2252" s="209"/>
      <c r="AJ2252" s="209"/>
      <c r="AK2252" s="204"/>
      <c r="AL2252" s="204"/>
      <c r="AM2252" s="204"/>
    </row>
    <row r="2253">
      <c r="A2253" s="204"/>
      <c r="B2253" s="209"/>
      <c r="C2253" s="204"/>
      <c r="D2253" s="210"/>
      <c r="E2253" s="211"/>
      <c r="F2253" s="211"/>
      <c r="G2253" s="212"/>
      <c r="H2253" s="212"/>
      <c r="I2253" s="204"/>
      <c r="J2253" s="204"/>
      <c r="K2253" s="204"/>
      <c r="L2253" s="204"/>
      <c r="M2253" s="204"/>
      <c r="N2253" s="204"/>
      <c r="O2253" s="204"/>
      <c r="P2253" s="204"/>
      <c r="Q2253" s="204"/>
      <c r="R2253" s="204"/>
      <c r="S2253" s="204"/>
      <c r="T2253" s="204"/>
      <c r="U2253" s="204"/>
      <c r="V2253" s="204"/>
      <c r="W2253" s="204"/>
      <c r="X2253" s="204"/>
      <c r="Y2253" s="204"/>
      <c r="Z2253" s="204"/>
      <c r="AA2253" s="204"/>
      <c r="AB2253" s="204"/>
      <c r="AC2253" s="204"/>
      <c r="AD2253" s="204"/>
      <c r="AE2253" s="204"/>
      <c r="AF2253" s="204"/>
      <c r="AG2253" s="204"/>
      <c r="AH2253" s="204"/>
      <c r="AI2253" s="209"/>
      <c r="AJ2253" s="209"/>
      <c r="AK2253" s="204"/>
      <c r="AL2253" s="204"/>
      <c r="AM2253" s="204"/>
    </row>
    <row r="2254">
      <c r="A2254" s="204"/>
      <c r="B2254" s="209"/>
      <c r="C2254" s="204"/>
      <c r="D2254" s="210"/>
      <c r="E2254" s="211"/>
      <c r="F2254" s="211"/>
      <c r="G2254" s="212"/>
      <c r="H2254" s="212"/>
      <c r="I2254" s="204"/>
      <c r="J2254" s="204"/>
      <c r="K2254" s="204"/>
      <c r="L2254" s="204"/>
      <c r="M2254" s="204"/>
      <c r="N2254" s="204"/>
      <c r="O2254" s="204"/>
      <c r="P2254" s="204"/>
      <c r="Q2254" s="204"/>
      <c r="R2254" s="204"/>
      <c r="S2254" s="204"/>
      <c r="T2254" s="204"/>
      <c r="U2254" s="204"/>
      <c r="V2254" s="204"/>
      <c r="W2254" s="204"/>
      <c r="X2254" s="204"/>
      <c r="Y2254" s="204"/>
      <c r="Z2254" s="204"/>
      <c r="AA2254" s="204"/>
      <c r="AB2254" s="204"/>
      <c r="AC2254" s="204"/>
      <c r="AD2254" s="204"/>
      <c r="AE2254" s="204"/>
      <c r="AF2254" s="204"/>
      <c r="AG2254" s="204"/>
      <c r="AH2254" s="204"/>
      <c r="AI2254" s="209"/>
      <c r="AJ2254" s="209"/>
      <c r="AK2254" s="204"/>
      <c r="AL2254" s="204"/>
      <c r="AM2254" s="204"/>
    </row>
    <row r="2255">
      <c r="A2255" s="204"/>
      <c r="B2255" s="209"/>
      <c r="C2255" s="204"/>
      <c r="D2255" s="210"/>
      <c r="E2255" s="211"/>
      <c r="F2255" s="211"/>
      <c r="G2255" s="212"/>
      <c r="H2255" s="212"/>
      <c r="I2255" s="204"/>
      <c r="J2255" s="204"/>
      <c r="K2255" s="204"/>
      <c r="L2255" s="204"/>
      <c r="M2255" s="204"/>
      <c r="N2255" s="204"/>
      <c r="O2255" s="204"/>
      <c r="P2255" s="204"/>
      <c r="Q2255" s="204"/>
      <c r="R2255" s="204"/>
      <c r="S2255" s="204"/>
      <c r="T2255" s="204"/>
      <c r="U2255" s="204"/>
      <c r="V2255" s="204"/>
      <c r="W2255" s="204"/>
      <c r="X2255" s="204"/>
      <c r="Y2255" s="204"/>
      <c r="Z2255" s="204"/>
      <c r="AA2255" s="204"/>
      <c r="AB2255" s="204"/>
      <c r="AC2255" s="204"/>
      <c r="AD2255" s="204"/>
      <c r="AE2255" s="204"/>
      <c r="AF2255" s="204"/>
      <c r="AG2255" s="204"/>
      <c r="AH2255" s="204"/>
      <c r="AI2255" s="209"/>
      <c r="AJ2255" s="209"/>
      <c r="AK2255" s="204"/>
      <c r="AL2255" s="204"/>
      <c r="AM2255" s="204"/>
    </row>
    <row r="2256">
      <c r="A2256" s="204"/>
      <c r="B2256" s="209"/>
      <c r="C2256" s="204"/>
      <c r="D2256" s="210"/>
      <c r="E2256" s="211"/>
      <c r="F2256" s="211"/>
      <c r="G2256" s="212"/>
      <c r="H2256" s="212"/>
      <c r="I2256" s="204"/>
      <c r="J2256" s="204"/>
      <c r="K2256" s="204"/>
      <c r="L2256" s="204"/>
      <c r="M2256" s="204"/>
      <c r="N2256" s="204"/>
      <c r="O2256" s="204"/>
      <c r="P2256" s="204"/>
      <c r="Q2256" s="204"/>
      <c r="R2256" s="204"/>
      <c r="S2256" s="204"/>
      <c r="T2256" s="204"/>
      <c r="U2256" s="204"/>
      <c r="V2256" s="204"/>
      <c r="W2256" s="204"/>
      <c r="X2256" s="204"/>
      <c r="Y2256" s="204"/>
      <c r="Z2256" s="204"/>
      <c r="AA2256" s="204"/>
      <c r="AB2256" s="204"/>
      <c r="AC2256" s="204"/>
      <c r="AD2256" s="204"/>
      <c r="AE2256" s="204"/>
      <c r="AF2256" s="204"/>
      <c r="AG2256" s="204"/>
      <c r="AH2256" s="204"/>
      <c r="AI2256" s="209"/>
      <c r="AJ2256" s="209"/>
      <c r="AK2256" s="204"/>
      <c r="AL2256" s="204"/>
      <c r="AM2256" s="204"/>
    </row>
    <row r="2257">
      <c r="A2257" s="204"/>
      <c r="B2257" s="209"/>
      <c r="C2257" s="204"/>
      <c r="D2257" s="210"/>
      <c r="E2257" s="211"/>
      <c r="F2257" s="211"/>
      <c r="G2257" s="212"/>
      <c r="H2257" s="212"/>
      <c r="I2257" s="204"/>
      <c r="J2257" s="204"/>
      <c r="K2257" s="204"/>
      <c r="L2257" s="204"/>
      <c r="M2257" s="204"/>
      <c r="N2257" s="204"/>
      <c r="O2257" s="204"/>
      <c r="P2257" s="204"/>
      <c r="Q2257" s="204"/>
      <c r="R2257" s="204"/>
      <c r="S2257" s="204"/>
      <c r="T2257" s="204"/>
      <c r="U2257" s="204"/>
      <c r="V2257" s="204"/>
      <c r="W2257" s="204"/>
      <c r="X2257" s="204"/>
      <c r="Y2257" s="204"/>
      <c r="Z2257" s="204"/>
      <c r="AA2257" s="204"/>
      <c r="AB2257" s="204"/>
      <c r="AC2257" s="204"/>
      <c r="AD2257" s="204"/>
      <c r="AE2257" s="204"/>
      <c r="AF2257" s="204"/>
      <c r="AG2257" s="204"/>
      <c r="AH2257" s="204"/>
      <c r="AI2257" s="209"/>
      <c r="AJ2257" s="209"/>
      <c r="AK2257" s="204"/>
      <c r="AL2257" s="204"/>
      <c r="AM2257" s="204"/>
    </row>
    <row r="2258">
      <c r="A2258" s="204"/>
      <c r="B2258" s="209"/>
      <c r="C2258" s="204"/>
      <c r="D2258" s="210"/>
      <c r="E2258" s="211"/>
      <c r="F2258" s="211"/>
      <c r="G2258" s="212"/>
      <c r="H2258" s="212"/>
      <c r="I2258" s="204"/>
      <c r="J2258" s="204"/>
      <c r="K2258" s="204"/>
      <c r="L2258" s="204"/>
      <c r="M2258" s="204"/>
      <c r="N2258" s="204"/>
      <c r="O2258" s="204"/>
      <c r="P2258" s="204"/>
      <c r="Q2258" s="204"/>
      <c r="R2258" s="204"/>
      <c r="S2258" s="204"/>
      <c r="T2258" s="204"/>
      <c r="U2258" s="204"/>
      <c r="V2258" s="204"/>
      <c r="W2258" s="204"/>
      <c r="X2258" s="204"/>
      <c r="Y2258" s="204"/>
      <c r="Z2258" s="204"/>
      <c r="AA2258" s="204"/>
      <c r="AB2258" s="204"/>
      <c r="AC2258" s="204"/>
      <c r="AD2258" s="204"/>
      <c r="AE2258" s="204"/>
      <c r="AF2258" s="204"/>
      <c r="AG2258" s="204"/>
      <c r="AH2258" s="204"/>
      <c r="AI2258" s="209"/>
      <c r="AJ2258" s="209"/>
      <c r="AK2258" s="204"/>
      <c r="AL2258" s="204"/>
      <c r="AM2258" s="204"/>
    </row>
    <row r="2259">
      <c r="A2259" s="204"/>
      <c r="B2259" s="209"/>
      <c r="C2259" s="204"/>
      <c r="D2259" s="210"/>
      <c r="E2259" s="211"/>
      <c r="F2259" s="211"/>
      <c r="G2259" s="212"/>
      <c r="H2259" s="212"/>
      <c r="I2259" s="204"/>
      <c r="J2259" s="204"/>
      <c r="K2259" s="204"/>
      <c r="L2259" s="204"/>
      <c r="M2259" s="204"/>
      <c r="N2259" s="204"/>
      <c r="O2259" s="204"/>
      <c r="P2259" s="204"/>
      <c r="Q2259" s="204"/>
      <c r="R2259" s="204"/>
      <c r="S2259" s="204"/>
      <c r="T2259" s="204"/>
      <c r="U2259" s="204"/>
      <c r="V2259" s="204"/>
      <c r="W2259" s="204"/>
      <c r="X2259" s="204"/>
      <c r="Y2259" s="204"/>
      <c r="Z2259" s="204"/>
      <c r="AA2259" s="204"/>
      <c r="AB2259" s="204"/>
      <c r="AC2259" s="204"/>
      <c r="AD2259" s="204"/>
      <c r="AE2259" s="204"/>
      <c r="AF2259" s="204"/>
      <c r="AG2259" s="204"/>
      <c r="AH2259" s="204"/>
      <c r="AI2259" s="209"/>
      <c r="AJ2259" s="209"/>
      <c r="AK2259" s="204"/>
      <c r="AL2259" s="204"/>
      <c r="AM2259" s="204"/>
    </row>
    <row r="2260">
      <c r="A2260" s="204"/>
      <c r="B2260" s="209"/>
      <c r="C2260" s="204"/>
      <c r="D2260" s="210"/>
      <c r="E2260" s="211"/>
      <c r="F2260" s="211"/>
      <c r="G2260" s="212"/>
      <c r="H2260" s="212"/>
      <c r="I2260" s="204"/>
      <c r="J2260" s="204"/>
      <c r="K2260" s="204"/>
      <c r="L2260" s="204"/>
      <c r="M2260" s="204"/>
      <c r="N2260" s="204"/>
      <c r="O2260" s="204"/>
      <c r="P2260" s="204"/>
      <c r="Q2260" s="204"/>
      <c r="R2260" s="204"/>
      <c r="S2260" s="204"/>
      <c r="T2260" s="204"/>
      <c r="U2260" s="204"/>
      <c r="V2260" s="204"/>
      <c r="W2260" s="204"/>
      <c r="X2260" s="204"/>
      <c r="Y2260" s="204"/>
      <c r="Z2260" s="204"/>
      <c r="AA2260" s="204"/>
      <c r="AB2260" s="204"/>
      <c r="AC2260" s="204"/>
      <c r="AD2260" s="204"/>
      <c r="AE2260" s="204"/>
      <c r="AF2260" s="204"/>
      <c r="AG2260" s="204"/>
      <c r="AH2260" s="204"/>
      <c r="AI2260" s="209"/>
      <c r="AJ2260" s="209"/>
      <c r="AK2260" s="204"/>
      <c r="AL2260" s="204"/>
      <c r="AM2260" s="204"/>
    </row>
    <row r="2261">
      <c r="A2261" s="204"/>
      <c r="B2261" s="209"/>
      <c r="C2261" s="204"/>
      <c r="D2261" s="210"/>
      <c r="E2261" s="211"/>
      <c r="F2261" s="211"/>
      <c r="G2261" s="212"/>
      <c r="H2261" s="212"/>
      <c r="I2261" s="204"/>
      <c r="J2261" s="204"/>
      <c r="K2261" s="204"/>
      <c r="L2261" s="204"/>
      <c r="M2261" s="204"/>
      <c r="N2261" s="204"/>
      <c r="O2261" s="204"/>
      <c r="P2261" s="204"/>
      <c r="Q2261" s="204"/>
      <c r="R2261" s="204"/>
      <c r="S2261" s="204"/>
      <c r="T2261" s="204"/>
      <c r="U2261" s="204"/>
      <c r="V2261" s="204"/>
      <c r="W2261" s="204"/>
      <c r="X2261" s="204"/>
      <c r="Y2261" s="204"/>
      <c r="Z2261" s="204"/>
      <c r="AA2261" s="204"/>
      <c r="AB2261" s="204"/>
      <c r="AC2261" s="204"/>
      <c r="AD2261" s="204"/>
      <c r="AE2261" s="204"/>
      <c r="AF2261" s="204"/>
      <c r="AG2261" s="204"/>
      <c r="AH2261" s="204"/>
      <c r="AI2261" s="209"/>
      <c r="AJ2261" s="209"/>
      <c r="AK2261" s="204"/>
      <c r="AL2261" s="204"/>
      <c r="AM2261" s="204"/>
    </row>
    <row r="2262">
      <c r="A2262" s="204"/>
      <c r="B2262" s="209"/>
      <c r="C2262" s="204"/>
      <c r="D2262" s="210"/>
      <c r="E2262" s="211"/>
      <c r="F2262" s="211"/>
      <c r="G2262" s="212"/>
      <c r="H2262" s="212"/>
      <c r="I2262" s="204"/>
      <c r="J2262" s="204"/>
      <c r="K2262" s="204"/>
      <c r="L2262" s="204"/>
      <c r="M2262" s="204"/>
      <c r="N2262" s="204"/>
      <c r="O2262" s="204"/>
      <c r="P2262" s="204"/>
      <c r="Q2262" s="204"/>
      <c r="R2262" s="204"/>
      <c r="S2262" s="204"/>
      <c r="T2262" s="204"/>
      <c r="U2262" s="204"/>
      <c r="V2262" s="204"/>
      <c r="W2262" s="204"/>
      <c r="X2262" s="204"/>
      <c r="Y2262" s="204"/>
      <c r="Z2262" s="204"/>
      <c r="AA2262" s="204"/>
      <c r="AB2262" s="204"/>
      <c r="AC2262" s="204"/>
      <c r="AD2262" s="204"/>
      <c r="AE2262" s="204"/>
      <c r="AF2262" s="204"/>
      <c r="AG2262" s="204"/>
      <c r="AH2262" s="204"/>
      <c r="AI2262" s="209"/>
      <c r="AJ2262" s="209"/>
      <c r="AK2262" s="204"/>
      <c r="AL2262" s="204"/>
      <c r="AM2262" s="204"/>
    </row>
    <row r="2263">
      <c r="A2263" s="204"/>
      <c r="B2263" s="209"/>
      <c r="C2263" s="204"/>
      <c r="D2263" s="210"/>
      <c r="E2263" s="211"/>
      <c r="F2263" s="211"/>
      <c r="G2263" s="212"/>
      <c r="H2263" s="212"/>
      <c r="I2263" s="204"/>
      <c r="J2263" s="204"/>
      <c r="K2263" s="204"/>
      <c r="L2263" s="204"/>
      <c r="M2263" s="204"/>
      <c r="N2263" s="204"/>
      <c r="O2263" s="204"/>
      <c r="P2263" s="204"/>
      <c r="Q2263" s="204"/>
      <c r="R2263" s="204"/>
      <c r="S2263" s="204"/>
      <c r="T2263" s="204"/>
      <c r="U2263" s="204"/>
      <c r="V2263" s="204"/>
      <c r="W2263" s="204"/>
      <c r="X2263" s="204"/>
      <c r="Y2263" s="204"/>
      <c r="Z2263" s="204"/>
      <c r="AA2263" s="204"/>
      <c r="AB2263" s="204"/>
      <c r="AC2263" s="204"/>
      <c r="AD2263" s="204"/>
      <c r="AE2263" s="204"/>
      <c r="AF2263" s="204"/>
      <c r="AG2263" s="204"/>
      <c r="AH2263" s="204"/>
      <c r="AI2263" s="209"/>
      <c r="AJ2263" s="209"/>
      <c r="AK2263" s="204"/>
      <c r="AL2263" s="204"/>
      <c r="AM2263" s="204"/>
    </row>
    <row r="2264">
      <c r="A2264" s="204"/>
      <c r="B2264" s="209"/>
      <c r="C2264" s="204"/>
      <c r="D2264" s="210"/>
      <c r="E2264" s="211"/>
      <c r="F2264" s="211"/>
      <c r="G2264" s="212"/>
      <c r="H2264" s="212"/>
      <c r="I2264" s="204"/>
      <c r="J2264" s="204"/>
      <c r="K2264" s="204"/>
      <c r="L2264" s="204"/>
      <c r="M2264" s="204"/>
      <c r="N2264" s="204"/>
      <c r="O2264" s="204"/>
      <c r="P2264" s="204"/>
      <c r="Q2264" s="204"/>
      <c r="R2264" s="204"/>
      <c r="S2264" s="204"/>
      <c r="T2264" s="204"/>
      <c r="U2264" s="204"/>
      <c r="V2264" s="204"/>
      <c r="W2264" s="204"/>
      <c r="X2264" s="204"/>
      <c r="Y2264" s="204"/>
      <c r="Z2264" s="204"/>
      <c r="AA2264" s="204"/>
      <c r="AB2264" s="204"/>
      <c r="AC2264" s="204"/>
      <c r="AD2264" s="204"/>
      <c r="AE2264" s="204"/>
      <c r="AF2264" s="204"/>
      <c r="AG2264" s="204"/>
      <c r="AH2264" s="204"/>
      <c r="AI2264" s="209"/>
      <c r="AJ2264" s="209"/>
      <c r="AK2264" s="204"/>
      <c r="AL2264" s="204"/>
      <c r="AM2264" s="204"/>
    </row>
    <row r="2265">
      <c r="A2265" s="204"/>
      <c r="B2265" s="209"/>
      <c r="C2265" s="204"/>
      <c r="D2265" s="210"/>
      <c r="E2265" s="211"/>
      <c r="F2265" s="211"/>
      <c r="G2265" s="212"/>
      <c r="H2265" s="212"/>
      <c r="I2265" s="204"/>
      <c r="J2265" s="204"/>
      <c r="K2265" s="204"/>
      <c r="L2265" s="204"/>
      <c r="M2265" s="204"/>
      <c r="N2265" s="204"/>
      <c r="O2265" s="204"/>
      <c r="P2265" s="204"/>
      <c r="Q2265" s="204"/>
      <c r="R2265" s="204"/>
      <c r="S2265" s="204"/>
      <c r="T2265" s="204"/>
      <c r="U2265" s="204"/>
      <c r="V2265" s="204"/>
      <c r="W2265" s="204"/>
      <c r="X2265" s="204"/>
      <c r="Y2265" s="204"/>
      <c r="Z2265" s="204"/>
      <c r="AA2265" s="204"/>
      <c r="AB2265" s="204"/>
      <c r="AC2265" s="204"/>
      <c r="AD2265" s="204"/>
      <c r="AE2265" s="204"/>
      <c r="AF2265" s="204"/>
      <c r="AG2265" s="204"/>
      <c r="AH2265" s="204"/>
      <c r="AI2265" s="209"/>
      <c r="AJ2265" s="209"/>
      <c r="AK2265" s="204"/>
      <c r="AL2265" s="204"/>
      <c r="AM2265" s="204"/>
    </row>
    <row r="2266">
      <c r="A2266" s="204"/>
      <c r="B2266" s="209"/>
      <c r="C2266" s="204"/>
      <c r="D2266" s="210"/>
      <c r="E2266" s="211"/>
      <c r="F2266" s="211"/>
      <c r="G2266" s="212"/>
      <c r="H2266" s="212"/>
      <c r="I2266" s="204"/>
      <c r="J2266" s="204"/>
      <c r="K2266" s="204"/>
      <c r="L2266" s="204"/>
      <c r="M2266" s="204"/>
      <c r="N2266" s="204"/>
      <c r="O2266" s="204"/>
      <c r="P2266" s="204"/>
      <c r="Q2266" s="204"/>
      <c r="R2266" s="204"/>
      <c r="S2266" s="204"/>
      <c r="T2266" s="204"/>
      <c r="U2266" s="204"/>
      <c r="V2266" s="204"/>
      <c r="W2266" s="204"/>
      <c r="X2266" s="204"/>
      <c r="Y2266" s="204"/>
      <c r="Z2266" s="204"/>
      <c r="AA2266" s="204"/>
      <c r="AB2266" s="204"/>
      <c r="AC2266" s="204"/>
      <c r="AD2266" s="204"/>
      <c r="AE2266" s="204"/>
      <c r="AF2266" s="204"/>
      <c r="AG2266" s="204"/>
      <c r="AH2266" s="204"/>
      <c r="AI2266" s="209"/>
      <c r="AJ2266" s="209"/>
      <c r="AK2266" s="204"/>
      <c r="AL2266" s="204"/>
      <c r="AM2266" s="204"/>
    </row>
    <row r="2267">
      <c r="A2267" s="204"/>
      <c r="B2267" s="209"/>
      <c r="C2267" s="204"/>
      <c r="D2267" s="210"/>
      <c r="E2267" s="211"/>
      <c r="F2267" s="211"/>
      <c r="G2267" s="212"/>
      <c r="H2267" s="212"/>
      <c r="I2267" s="204"/>
      <c r="J2267" s="204"/>
      <c r="K2267" s="204"/>
      <c r="L2267" s="204"/>
      <c r="M2267" s="204"/>
      <c r="N2267" s="204"/>
      <c r="O2267" s="204"/>
      <c r="P2267" s="204"/>
      <c r="Q2267" s="204"/>
      <c r="R2267" s="204"/>
      <c r="S2267" s="204"/>
      <c r="T2267" s="204"/>
      <c r="U2267" s="204"/>
      <c r="V2267" s="204"/>
      <c r="W2267" s="204"/>
      <c r="X2267" s="204"/>
      <c r="Y2267" s="204"/>
      <c r="Z2267" s="204"/>
      <c r="AA2267" s="204"/>
      <c r="AB2267" s="204"/>
      <c r="AC2267" s="204"/>
      <c r="AD2267" s="204"/>
      <c r="AE2267" s="204"/>
      <c r="AF2267" s="204"/>
      <c r="AG2267" s="204"/>
      <c r="AH2267" s="204"/>
      <c r="AI2267" s="209"/>
      <c r="AJ2267" s="209"/>
      <c r="AK2267" s="204"/>
      <c r="AL2267" s="204"/>
      <c r="AM2267" s="204"/>
    </row>
    <row r="2268">
      <c r="A2268" s="204"/>
      <c r="B2268" s="209"/>
      <c r="C2268" s="204"/>
      <c r="D2268" s="210"/>
      <c r="E2268" s="211"/>
      <c r="F2268" s="211"/>
      <c r="G2268" s="212"/>
      <c r="H2268" s="212"/>
      <c r="I2268" s="204"/>
      <c r="J2268" s="204"/>
      <c r="K2268" s="204"/>
      <c r="L2268" s="204"/>
      <c r="M2268" s="204"/>
      <c r="N2268" s="204"/>
      <c r="O2268" s="204"/>
      <c r="P2268" s="204"/>
      <c r="Q2268" s="204"/>
      <c r="R2268" s="204"/>
      <c r="S2268" s="204"/>
      <c r="T2268" s="204"/>
      <c r="U2268" s="204"/>
      <c r="V2268" s="204"/>
      <c r="W2268" s="204"/>
      <c r="X2268" s="204"/>
      <c r="Y2268" s="204"/>
      <c r="Z2268" s="204"/>
      <c r="AA2268" s="204"/>
      <c r="AB2268" s="204"/>
      <c r="AC2268" s="204"/>
      <c r="AD2268" s="204"/>
      <c r="AE2268" s="204"/>
      <c r="AF2268" s="204"/>
      <c r="AG2268" s="204"/>
      <c r="AH2268" s="204"/>
      <c r="AI2268" s="209"/>
      <c r="AJ2268" s="209"/>
      <c r="AK2268" s="204"/>
      <c r="AL2268" s="204"/>
      <c r="AM2268" s="204"/>
    </row>
    <row r="2269">
      <c r="A2269" s="204"/>
      <c r="B2269" s="209"/>
      <c r="C2269" s="204"/>
      <c r="D2269" s="210"/>
      <c r="E2269" s="211"/>
      <c r="F2269" s="211"/>
      <c r="G2269" s="212"/>
      <c r="H2269" s="212"/>
      <c r="I2269" s="204"/>
      <c r="J2269" s="204"/>
      <c r="K2269" s="204"/>
      <c r="L2269" s="204"/>
      <c r="M2269" s="204"/>
      <c r="N2269" s="204"/>
      <c r="O2269" s="204"/>
      <c r="P2269" s="204"/>
      <c r="Q2269" s="204"/>
      <c r="R2269" s="204"/>
      <c r="S2269" s="204"/>
      <c r="T2269" s="204"/>
      <c r="U2269" s="204"/>
      <c r="V2269" s="204"/>
      <c r="W2269" s="204"/>
      <c r="X2269" s="204"/>
      <c r="Y2269" s="204"/>
      <c r="Z2269" s="204"/>
      <c r="AA2269" s="204"/>
      <c r="AB2269" s="204"/>
      <c r="AC2269" s="204"/>
      <c r="AD2269" s="204"/>
      <c r="AE2269" s="204"/>
      <c r="AF2269" s="204"/>
      <c r="AG2269" s="204"/>
      <c r="AH2269" s="204"/>
      <c r="AI2269" s="209"/>
      <c r="AJ2269" s="209"/>
      <c r="AK2269" s="204"/>
      <c r="AL2269" s="204"/>
      <c r="AM2269" s="204"/>
    </row>
    <row r="2270">
      <c r="A2270" s="204"/>
      <c r="B2270" s="209"/>
      <c r="C2270" s="204"/>
      <c r="D2270" s="210"/>
      <c r="E2270" s="211"/>
      <c r="F2270" s="211"/>
      <c r="G2270" s="212"/>
      <c r="H2270" s="212"/>
      <c r="I2270" s="204"/>
      <c r="J2270" s="204"/>
      <c r="K2270" s="204"/>
      <c r="L2270" s="204"/>
      <c r="M2270" s="204"/>
      <c r="N2270" s="204"/>
      <c r="O2270" s="204"/>
      <c r="P2270" s="204"/>
      <c r="Q2270" s="204"/>
      <c r="R2270" s="204"/>
      <c r="S2270" s="204"/>
      <c r="T2270" s="204"/>
      <c r="U2270" s="204"/>
      <c r="V2270" s="204"/>
      <c r="W2270" s="204"/>
      <c r="X2270" s="204"/>
      <c r="Y2270" s="204"/>
      <c r="Z2270" s="204"/>
      <c r="AA2270" s="204"/>
      <c r="AB2270" s="204"/>
      <c r="AC2270" s="204"/>
      <c r="AD2270" s="204"/>
      <c r="AE2270" s="204"/>
      <c r="AF2270" s="204"/>
      <c r="AG2270" s="204"/>
      <c r="AH2270" s="204"/>
      <c r="AI2270" s="209"/>
      <c r="AJ2270" s="209"/>
      <c r="AK2270" s="204"/>
      <c r="AL2270" s="204"/>
      <c r="AM2270" s="204"/>
    </row>
    <row r="2271">
      <c r="A2271" s="204"/>
      <c r="B2271" s="209"/>
      <c r="C2271" s="204"/>
      <c r="D2271" s="210"/>
      <c r="E2271" s="211"/>
      <c r="F2271" s="211"/>
      <c r="G2271" s="212"/>
      <c r="H2271" s="212"/>
      <c r="I2271" s="204"/>
      <c r="J2271" s="204"/>
      <c r="K2271" s="204"/>
      <c r="L2271" s="204"/>
      <c r="M2271" s="204"/>
      <c r="N2271" s="204"/>
      <c r="O2271" s="204"/>
      <c r="P2271" s="204"/>
      <c r="Q2271" s="204"/>
      <c r="R2271" s="204"/>
      <c r="S2271" s="204"/>
      <c r="T2271" s="204"/>
      <c r="U2271" s="204"/>
      <c r="V2271" s="204"/>
      <c r="W2271" s="204"/>
      <c r="X2271" s="204"/>
      <c r="Y2271" s="204"/>
      <c r="Z2271" s="204"/>
      <c r="AA2271" s="204"/>
      <c r="AB2271" s="204"/>
      <c r="AC2271" s="204"/>
      <c r="AD2271" s="204"/>
      <c r="AE2271" s="204"/>
      <c r="AF2271" s="204"/>
      <c r="AG2271" s="204"/>
      <c r="AH2271" s="204"/>
      <c r="AI2271" s="209"/>
      <c r="AJ2271" s="209"/>
      <c r="AK2271" s="204"/>
      <c r="AL2271" s="204"/>
      <c r="AM2271" s="204"/>
    </row>
    <row r="2272">
      <c r="A2272" s="204"/>
      <c r="B2272" s="209"/>
      <c r="C2272" s="204"/>
      <c r="D2272" s="210"/>
      <c r="E2272" s="211"/>
      <c r="F2272" s="211"/>
      <c r="G2272" s="212"/>
      <c r="H2272" s="212"/>
      <c r="I2272" s="204"/>
      <c r="J2272" s="204"/>
      <c r="K2272" s="204"/>
      <c r="L2272" s="204"/>
      <c r="M2272" s="204"/>
      <c r="N2272" s="204"/>
      <c r="O2272" s="204"/>
      <c r="P2272" s="204"/>
      <c r="Q2272" s="204"/>
      <c r="R2272" s="204"/>
      <c r="S2272" s="204"/>
      <c r="T2272" s="204"/>
      <c r="U2272" s="204"/>
      <c r="V2272" s="204"/>
      <c r="W2272" s="204"/>
      <c r="X2272" s="204"/>
      <c r="Y2272" s="204"/>
      <c r="Z2272" s="204"/>
      <c r="AA2272" s="204"/>
      <c r="AB2272" s="204"/>
      <c r="AC2272" s="204"/>
      <c r="AD2272" s="204"/>
      <c r="AE2272" s="204"/>
      <c r="AF2272" s="204"/>
      <c r="AG2272" s="204"/>
      <c r="AH2272" s="204"/>
      <c r="AI2272" s="209"/>
      <c r="AJ2272" s="209"/>
      <c r="AK2272" s="204"/>
      <c r="AL2272" s="204"/>
      <c r="AM2272" s="204"/>
    </row>
    <row r="2273">
      <c r="A2273" s="204"/>
      <c r="B2273" s="209"/>
      <c r="C2273" s="204"/>
      <c r="D2273" s="210"/>
      <c r="E2273" s="211"/>
      <c r="F2273" s="211"/>
      <c r="G2273" s="212"/>
      <c r="H2273" s="212"/>
      <c r="I2273" s="204"/>
      <c r="J2273" s="204"/>
      <c r="K2273" s="204"/>
      <c r="L2273" s="204"/>
      <c r="M2273" s="204"/>
      <c r="N2273" s="204"/>
      <c r="O2273" s="204"/>
      <c r="P2273" s="204"/>
      <c r="Q2273" s="204"/>
      <c r="R2273" s="204"/>
      <c r="S2273" s="204"/>
      <c r="T2273" s="204"/>
      <c r="U2273" s="204"/>
      <c r="V2273" s="204"/>
      <c r="W2273" s="204"/>
      <c r="X2273" s="204"/>
      <c r="Y2273" s="204"/>
      <c r="Z2273" s="204"/>
      <c r="AA2273" s="204"/>
      <c r="AB2273" s="204"/>
      <c r="AC2273" s="204"/>
      <c r="AD2273" s="204"/>
      <c r="AE2273" s="204"/>
      <c r="AF2273" s="204"/>
      <c r="AG2273" s="204"/>
      <c r="AH2273" s="204"/>
      <c r="AI2273" s="209"/>
      <c r="AJ2273" s="209"/>
      <c r="AK2273" s="204"/>
      <c r="AL2273" s="204"/>
      <c r="AM2273" s="204"/>
    </row>
    <row r="2274">
      <c r="A2274" s="204"/>
      <c r="B2274" s="209"/>
      <c r="C2274" s="204"/>
      <c r="D2274" s="210"/>
      <c r="E2274" s="211"/>
      <c r="F2274" s="211"/>
      <c r="G2274" s="212"/>
      <c r="H2274" s="212"/>
      <c r="I2274" s="204"/>
      <c r="J2274" s="204"/>
      <c r="K2274" s="204"/>
      <c r="L2274" s="204"/>
      <c r="M2274" s="204"/>
      <c r="N2274" s="204"/>
      <c r="O2274" s="204"/>
      <c r="P2274" s="204"/>
      <c r="Q2274" s="204"/>
      <c r="R2274" s="204"/>
      <c r="S2274" s="204"/>
      <c r="T2274" s="204"/>
      <c r="U2274" s="204"/>
      <c r="V2274" s="204"/>
      <c r="W2274" s="204"/>
      <c r="X2274" s="204"/>
      <c r="Y2274" s="204"/>
      <c r="Z2274" s="204"/>
      <c r="AA2274" s="204"/>
      <c r="AB2274" s="204"/>
      <c r="AC2274" s="204"/>
      <c r="AD2274" s="204"/>
      <c r="AE2274" s="204"/>
      <c r="AF2274" s="204"/>
      <c r="AG2274" s="204"/>
      <c r="AH2274" s="204"/>
      <c r="AI2274" s="209"/>
      <c r="AJ2274" s="209"/>
      <c r="AK2274" s="204"/>
      <c r="AL2274" s="204"/>
      <c r="AM2274" s="204"/>
    </row>
    <row r="2275">
      <c r="A2275" s="204"/>
      <c r="B2275" s="209"/>
      <c r="C2275" s="204"/>
      <c r="D2275" s="210"/>
      <c r="E2275" s="211"/>
      <c r="F2275" s="211"/>
      <c r="G2275" s="212"/>
      <c r="H2275" s="212"/>
      <c r="I2275" s="204"/>
      <c r="J2275" s="204"/>
      <c r="K2275" s="204"/>
      <c r="L2275" s="204"/>
      <c r="M2275" s="204"/>
      <c r="N2275" s="204"/>
      <c r="O2275" s="204"/>
      <c r="P2275" s="204"/>
      <c r="Q2275" s="204"/>
      <c r="R2275" s="204"/>
      <c r="S2275" s="204"/>
      <c r="T2275" s="204"/>
      <c r="U2275" s="204"/>
      <c r="V2275" s="204"/>
      <c r="W2275" s="204"/>
      <c r="X2275" s="204"/>
      <c r="Y2275" s="204"/>
      <c r="Z2275" s="204"/>
      <c r="AA2275" s="204"/>
      <c r="AB2275" s="204"/>
      <c r="AC2275" s="204"/>
      <c r="AD2275" s="204"/>
      <c r="AE2275" s="204"/>
      <c r="AF2275" s="204"/>
      <c r="AG2275" s="204"/>
      <c r="AH2275" s="204"/>
      <c r="AI2275" s="209"/>
      <c r="AJ2275" s="209"/>
      <c r="AK2275" s="204"/>
      <c r="AL2275" s="204"/>
      <c r="AM2275" s="204"/>
    </row>
    <row r="2276">
      <c r="A2276" s="204"/>
      <c r="B2276" s="209"/>
      <c r="C2276" s="204"/>
      <c r="D2276" s="210"/>
      <c r="E2276" s="211"/>
      <c r="F2276" s="211"/>
      <c r="G2276" s="212"/>
      <c r="H2276" s="212"/>
      <c r="I2276" s="204"/>
      <c r="J2276" s="204"/>
      <c r="K2276" s="204"/>
      <c r="L2276" s="204"/>
      <c r="M2276" s="204"/>
      <c r="N2276" s="204"/>
      <c r="O2276" s="204"/>
      <c r="P2276" s="204"/>
      <c r="Q2276" s="204"/>
      <c r="R2276" s="204"/>
      <c r="S2276" s="204"/>
      <c r="T2276" s="204"/>
      <c r="U2276" s="204"/>
      <c r="V2276" s="204"/>
      <c r="W2276" s="204"/>
      <c r="X2276" s="204"/>
      <c r="Y2276" s="204"/>
      <c r="Z2276" s="204"/>
      <c r="AA2276" s="204"/>
      <c r="AB2276" s="204"/>
      <c r="AC2276" s="204"/>
      <c r="AD2276" s="204"/>
      <c r="AE2276" s="204"/>
      <c r="AF2276" s="204"/>
      <c r="AG2276" s="204"/>
      <c r="AH2276" s="204"/>
      <c r="AI2276" s="209"/>
      <c r="AJ2276" s="209"/>
      <c r="AK2276" s="204"/>
      <c r="AL2276" s="204"/>
      <c r="AM2276" s="204"/>
    </row>
    <row r="2277">
      <c r="A2277" s="204"/>
      <c r="B2277" s="209"/>
      <c r="C2277" s="204"/>
      <c r="D2277" s="210"/>
      <c r="E2277" s="211"/>
      <c r="F2277" s="211"/>
      <c r="G2277" s="212"/>
      <c r="H2277" s="212"/>
      <c r="I2277" s="204"/>
      <c r="J2277" s="204"/>
      <c r="K2277" s="204"/>
      <c r="L2277" s="204"/>
      <c r="M2277" s="204"/>
      <c r="N2277" s="204"/>
      <c r="O2277" s="204"/>
      <c r="P2277" s="204"/>
      <c r="Q2277" s="204"/>
      <c r="R2277" s="204"/>
      <c r="S2277" s="204"/>
      <c r="T2277" s="204"/>
      <c r="U2277" s="204"/>
      <c r="V2277" s="204"/>
      <c r="W2277" s="204"/>
      <c r="X2277" s="204"/>
      <c r="Y2277" s="204"/>
      <c r="Z2277" s="204"/>
      <c r="AA2277" s="204"/>
      <c r="AB2277" s="204"/>
      <c r="AC2277" s="204"/>
      <c r="AD2277" s="204"/>
      <c r="AE2277" s="204"/>
      <c r="AF2277" s="204"/>
      <c r="AG2277" s="204"/>
      <c r="AH2277" s="204"/>
      <c r="AI2277" s="209"/>
      <c r="AJ2277" s="209"/>
      <c r="AK2277" s="204"/>
      <c r="AL2277" s="204"/>
      <c r="AM2277" s="204"/>
    </row>
    <row r="2278">
      <c r="A2278" s="204"/>
      <c r="B2278" s="209"/>
      <c r="C2278" s="204"/>
      <c r="D2278" s="210"/>
      <c r="E2278" s="211"/>
      <c r="F2278" s="211"/>
      <c r="G2278" s="212"/>
      <c r="H2278" s="212"/>
      <c r="I2278" s="204"/>
      <c r="J2278" s="204"/>
      <c r="K2278" s="204"/>
      <c r="L2278" s="204"/>
      <c r="M2278" s="204"/>
      <c r="N2278" s="204"/>
      <c r="O2278" s="204"/>
      <c r="P2278" s="204"/>
      <c r="Q2278" s="204"/>
      <c r="R2278" s="204"/>
      <c r="S2278" s="204"/>
      <c r="T2278" s="204"/>
      <c r="U2278" s="204"/>
      <c r="V2278" s="204"/>
      <c r="W2278" s="204"/>
      <c r="X2278" s="204"/>
      <c r="Y2278" s="204"/>
      <c r="Z2278" s="204"/>
      <c r="AA2278" s="204"/>
      <c r="AB2278" s="204"/>
      <c r="AC2278" s="204"/>
      <c r="AD2278" s="204"/>
      <c r="AE2278" s="204"/>
      <c r="AF2278" s="204"/>
      <c r="AG2278" s="204"/>
      <c r="AH2278" s="204"/>
      <c r="AI2278" s="209"/>
      <c r="AJ2278" s="209"/>
      <c r="AK2278" s="204"/>
      <c r="AL2278" s="204"/>
      <c r="AM2278" s="204"/>
    </row>
    <row r="2279">
      <c r="A2279" s="204"/>
      <c r="B2279" s="209"/>
      <c r="C2279" s="204"/>
      <c r="D2279" s="210"/>
      <c r="E2279" s="211"/>
      <c r="F2279" s="211"/>
      <c r="G2279" s="212"/>
      <c r="H2279" s="212"/>
      <c r="I2279" s="204"/>
      <c r="J2279" s="204"/>
      <c r="K2279" s="204"/>
      <c r="L2279" s="204"/>
      <c r="M2279" s="204"/>
      <c r="N2279" s="204"/>
      <c r="O2279" s="204"/>
      <c r="P2279" s="204"/>
      <c r="Q2279" s="204"/>
      <c r="R2279" s="204"/>
      <c r="S2279" s="204"/>
      <c r="T2279" s="204"/>
      <c r="U2279" s="204"/>
      <c r="V2279" s="204"/>
      <c r="W2279" s="204"/>
      <c r="X2279" s="204"/>
      <c r="Y2279" s="204"/>
      <c r="Z2279" s="204"/>
      <c r="AA2279" s="204"/>
      <c r="AB2279" s="204"/>
      <c r="AC2279" s="204"/>
      <c r="AD2279" s="204"/>
      <c r="AE2279" s="204"/>
      <c r="AF2279" s="204"/>
      <c r="AG2279" s="204"/>
      <c r="AH2279" s="204"/>
      <c r="AI2279" s="209"/>
      <c r="AJ2279" s="209"/>
      <c r="AK2279" s="204"/>
      <c r="AL2279" s="204"/>
      <c r="AM2279" s="204"/>
    </row>
    <row r="2280">
      <c r="A2280" s="204"/>
      <c r="B2280" s="209"/>
      <c r="C2280" s="204"/>
      <c r="D2280" s="210"/>
      <c r="E2280" s="211"/>
      <c r="F2280" s="211"/>
      <c r="G2280" s="212"/>
      <c r="H2280" s="212"/>
      <c r="I2280" s="204"/>
      <c r="J2280" s="204"/>
      <c r="K2280" s="204"/>
      <c r="L2280" s="204"/>
      <c r="M2280" s="204"/>
      <c r="N2280" s="204"/>
      <c r="O2280" s="204"/>
      <c r="P2280" s="204"/>
      <c r="Q2280" s="204"/>
      <c r="R2280" s="204"/>
      <c r="S2280" s="204"/>
      <c r="T2280" s="204"/>
      <c r="U2280" s="204"/>
      <c r="V2280" s="204"/>
      <c r="W2280" s="204"/>
      <c r="X2280" s="204"/>
      <c r="Y2280" s="204"/>
      <c r="Z2280" s="204"/>
      <c r="AA2280" s="204"/>
      <c r="AB2280" s="204"/>
      <c r="AC2280" s="204"/>
      <c r="AD2280" s="204"/>
      <c r="AE2280" s="204"/>
      <c r="AF2280" s="204"/>
      <c r="AG2280" s="204"/>
      <c r="AH2280" s="204"/>
      <c r="AI2280" s="209"/>
      <c r="AJ2280" s="209"/>
      <c r="AK2280" s="204"/>
      <c r="AL2280" s="204"/>
      <c r="AM2280" s="204"/>
    </row>
    <row r="2281">
      <c r="A2281" s="204"/>
      <c r="B2281" s="209"/>
      <c r="C2281" s="204"/>
      <c r="D2281" s="210"/>
      <c r="E2281" s="211"/>
      <c r="F2281" s="211"/>
      <c r="G2281" s="212"/>
      <c r="H2281" s="212"/>
      <c r="I2281" s="204"/>
      <c r="J2281" s="204"/>
      <c r="K2281" s="204"/>
      <c r="L2281" s="204"/>
      <c r="M2281" s="204"/>
      <c r="N2281" s="204"/>
      <c r="O2281" s="204"/>
      <c r="P2281" s="204"/>
      <c r="Q2281" s="204"/>
      <c r="R2281" s="204"/>
      <c r="S2281" s="204"/>
      <c r="T2281" s="204"/>
      <c r="U2281" s="204"/>
      <c r="V2281" s="204"/>
      <c r="W2281" s="204"/>
      <c r="X2281" s="204"/>
      <c r="Y2281" s="204"/>
      <c r="Z2281" s="204"/>
      <c r="AA2281" s="204"/>
      <c r="AB2281" s="204"/>
      <c r="AC2281" s="204"/>
      <c r="AD2281" s="204"/>
      <c r="AE2281" s="204"/>
      <c r="AF2281" s="204"/>
      <c r="AG2281" s="204"/>
      <c r="AH2281" s="204"/>
      <c r="AI2281" s="209"/>
      <c r="AJ2281" s="209"/>
      <c r="AK2281" s="204"/>
      <c r="AL2281" s="204"/>
      <c r="AM2281" s="204"/>
    </row>
    <row r="2282">
      <c r="A2282" s="204"/>
      <c r="B2282" s="209"/>
      <c r="C2282" s="204"/>
      <c r="D2282" s="210"/>
      <c r="E2282" s="211"/>
      <c r="F2282" s="211"/>
      <c r="G2282" s="212"/>
      <c r="H2282" s="212"/>
      <c r="I2282" s="204"/>
      <c r="J2282" s="204"/>
      <c r="K2282" s="204"/>
      <c r="L2282" s="204"/>
      <c r="M2282" s="204"/>
      <c r="N2282" s="204"/>
      <c r="O2282" s="204"/>
      <c r="P2282" s="204"/>
      <c r="Q2282" s="204"/>
      <c r="R2282" s="204"/>
      <c r="S2282" s="204"/>
      <c r="T2282" s="204"/>
      <c r="U2282" s="204"/>
      <c r="V2282" s="204"/>
      <c r="W2282" s="204"/>
      <c r="X2282" s="204"/>
      <c r="Y2282" s="204"/>
      <c r="Z2282" s="204"/>
      <c r="AA2282" s="204"/>
      <c r="AB2282" s="204"/>
      <c r="AC2282" s="204"/>
      <c r="AD2282" s="204"/>
      <c r="AE2282" s="204"/>
      <c r="AF2282" s="204"/>
      <c r="AG2282" s="204"/>
      <c r="AH2282" s="204"/>
      <c r="AI2282" s="209"/>
      <c r="AJ2282" s="209"/>
      <c r="AK2282" s="204"/>
      <c r="AL2282" s="204"/>
      <c r="AM2282" s="204"/>
    </row>
    <row r="2283">
      <c r="A2283" s="204"/>
      <c r="B2283" s="209"/>
      <c r="C2283" s="204"/>
      <c r="D2283" s="210"/>
      <c r="E2283" s="211"/>
      <c r="F2283" s="211"/>
      <c r="G2283" s="212"/>
      <c r="H2283" s="212"/>
      <c r="I2283" s="204"/>
      <c r="J2283" s="204"/>
      <c r="K2283" s="204"/>
      <c r="L2283" s="204"/>
      <c r="M2283" s="204"/>
      <c r="N2283" s="204"/>
      <c r="O2283" s="204"/>
      <c r="P2283" s="204"/>
      <c r="Q2283" s="204"/>
      <c r="R2283" s="204"/>
      <c r="S2283" s="204"/>
      <c r="T2283" s="204"/>
      <c r="U2283" s="204"/>
      <c r="V2283" s="204"/>
      <c r="W2283" s="204"/>
      <c r="X2283" s="204"/>
      <c r="Y2283" s="204"/>
      <c r="Z2283" s="204"/>
      <c r="AA2283" s="204"/>
      <c r="AB2283" s="204"/>
      <c r="AC2283" s="204"/>
      <c r="AD2283" s="204"/>
      <c r="AE2283" s="204"/>
      <c r="AF2283" s="204"/>
      <c r="AG2283" s="204"/>
      <c r="AH2283" s="204"/>
      <c r="AI2283" s="209"/>
      <c r="AJ2283" s="209"/>
      <c r="AK2283" s="204"/>
      <c r="AL2283" s="204"/>
      <c r="AM2283" s="204"/>
    </row>
    <row r="2284">
      <c r="A2284" s="204"/>
      <c r="B2284" s="209"/>
      <c r="C2284" s="204"/>
      <c r="D2284" s="210"/>
      <c r="E2284" s="211"/>
      <c r="F2284" s="211"/>
      <c r="G2284" s="212"/>
      <c r="H2284" s="212"/>
      <c r="I2284" s="204"/>
      <c r="J2284" s="204"/>
      <c r="K2284" s="204"/>
      <c r="L2284" s="204"/>
      <c r="M2284" s="204"/>
      <c r="N2284" s="204"/>
      <c r="O2284" s="204"/>
      <c r="P2284" s="204"/>
      <c r="Q2284" s="204"/>
      <c r="R2284" s="204"/>
      <c r="S2284" s="204"/>
      <c r="T2284" s="204"/>
      <c r="U2284" s="204"/>
      <c r="V2284" s="204"/>
      <c r="W2284" s="204"/>
      <c r="X2284" s="204"/>
      <c r="Y2284" s="204"/>
      <c r="Z2284" s="204"/>
      <c r="AA2284" s="204"/>
      <c r="AB2284" s="204"/>
      <c r="AC2284" s="204"/>
      <c r="AD2284" s="204"/>
      <c r="AE2284" s="204"/>
      <c r="AF2284" s="204"/>
      <c r="AG2284" s="204"/>
      <c r="AH2284" s="204"/>
      <c r="AI2284" s="209"/>
      <c r="AJ2284" s="209"/>
      <c r="AK2284" s="204"/>
      <c r="AL2284" s="204"/>
      <c r="AM2284" s="204"/>
    </row>
    <row r="2285">
      <c r="A2285" s="204"/>
      <c r="B2285" s="209"/>
      <c r="C2285" s="204"/>
      <c r="D2285" s="210"/>
      <c r="E2285" s="211"/>
      <c r="F2285" s="211"/>
      <c r="G2285" s="212"/>
      <c r="H2285" s="212"/>
      <c r="I2285" s="204"/>
      <c r="J2285" s="204"/>
      <c r="K2285" s="204"/>
      <c r="L2285" s="204"/>
      <c r="M2285" s="204"/>
      <c r="N2285" s="204"/>
      <c r="O2285" s="204"/>
      <c r="P2285" s="204"/>
      <c r="Q2285" s="204"/>
      <c r="R2285" s="204"/>
      <c r="S2285" s="204"/>
      <c r="T2285" s="204"/>
      <c r="U2285" s="204"/>
      <c r="V2285" s="204"/>
      <c r="W2285" s="204"/>
      <c r="X2285" s="204"/>
      <c r="Y2285" s="204"/>
      <c r="Z2285" s="204"/>
      <c r="AA2285" s="204"/>
      <c r="AB2285" s="204"/>
      <c r="AC2285" s="204"/>
      <c r="AD2285" s="204"/>
      <c r="AE2285" s="204"/>
      <c r="AF2285" s="204"/>
      <c r="AG2285" s="204"/>
      <c r="AH2285" s="204"/>
      <c r="AI2285" s="209"/>
      <c r="AJ2285" s="209"/>
      <c r="AK2285" s="204"/>
      <c r="AL2285" s="204"/>
      <c r="AM2285" s="204"/>
    </row>
    <row r="2286">
      <c r="A2286" s="204"/>
      <c r="B2286" s="209"/>
      <c r="C2286" s="204"/>
      <c r="D2286" s="210"/>
      <c r="E2286" s="211"/>
      <c r="F2286" s="211"/>
      <c r="G2286" s="212"/>
      <c r="H2286" s="212"/>
      <c r="I2286" s="204"/>
      <c r="J2286" s="204"/>
      <c r="K2286" s="204"/>
      <c r="L2286" s="204"/>
      <c r="M2286" s="204"/>
      <c r="N2286" s="204"/>
      <c r="O2286" s="204"/>
      <c r="P2286" s="204"/>
      <c r="Q2286" s="204"/>
      <c r="R2286" s="204"/>
      <c r="S2286" s="204"/>
      <c r="T2286" s="204"/>
      <c r="U2286" s="204"/>
      <c r="V2286" s="204"/>
      <c r="W2286" s="204"/>
      <c r="X2286" s="204"/>
      <c r="Y2286" s="204"/>
      <c r="Z2286" s="204"/>
      <c r="AA2286" s="204"/>
      <c r="AB2286" s="204"/>
      <c r="AC2286" s="204"/>
      <c r="AD2286" s="204"/>
      <c r="AE2286" s="204"/>
      <c r="AF2286" s="204"/>
      <c r="AG2286" s="204"/>
      <c r="AH2286" s="204"/>
      <c r="AI2286" s="209"/>
      <c r="AJ2286" s="209"/>
      <c r="AK2286" s="204"/>
      <c r="AL2286" s="204"/>
      <c r="AM2286" s="204"/>
    </row>
    <row r="2287">
      <c r="A2287" s="204"/>
      <c r="B2287" s="209"/>
      <c r="C2287" s="204"/>
      <c r="D2287" s="210"/>
      <c r="E2287" s="211"/>
      <c r="F2287" s="211"/>
      <c r="G2287" s="212"/>
      <c r="H2287" s="212"/>
      <c r="I2287" s="204"/>
      <c r="J2287" s="204"/>
      <c r="K2287" s="204"/>
      <c r="L2287" s="204"/>
      <c r="M2287" s="204"/>
      <c r="N2287" s="204"/>
      <c r="O2287" s="204"/>
      <c r="P2287" s="204"/>
      <c r="Q2287" s="204"/>
      <c r="R2287" s="204"/>
      <c r="S2287" s="204"/>
      <c r="T2287" s="204"/>
      <c r="U2287" s="204"/>
      <c r="V2287" s="204"/>
      <c r="W2287" s="204"/>
      <c r="X2287" s="204"/>
      <c r="Y2287" s="204"/>
      <c r="Z2287" s="204"/>
      <c r="AA2287" s="204"/>
      <c r="AB2287" s="204"/>
      <c r="AC2287" s="204"/>
      <c r="AD2287" s="204"/>
      <c r="AE2287" s="204"/>
      <c r="AF2287" s="204"/>
      <c r="AG2287" s="204"/>
      <c r="AH2287" s="204"/>
      <c r="AI2287" s="209"/>
      <c r="AJ2287" s="209"/>
      <c r="AK2287" s="204"/>
      <c r="AL2287" s="204"/>
      <c r="AM2287" s="204"/>
    </row>
    <row r="2288">
      <c r="A2288" s="204"/>
      <c r="B2288" s="209"/>
      <c r="C2288" s="204"/>
      <c r="D2288" s="210"/>
      <c r="E2288" s="211"/>
      <c r="F2288" s="211"/>
      <c r="G2288" s="212"/>
      <c r="H2288" s="212"/>
      <c r="I2288" s="204"/>
      <c r="J2288" s="204"/>
      <c r="K2288" s="204"/>
      <c r="L2288" s="204"/>
      <c r="M2288" s="204"/>
      <c r="N2288" s="204"/>
      <c r="O2288" s="204"/>
      <c r="P2288" s="204"/>
      <c r="Q2288" s="204"/>
      <c r="R2288" s="204"/>
      <c r="S2288" s="204"/>
      <c r="T2288" s="204"/>
      <c r="U2288" s="204"/>
      <c r="V2288" s="204"/>
      <c r="W2288" s="204"/>
      <c r="X2288" s="204"/>
      <c r="Y2288" s="204"/>
      <c r="Z2288" s="204"/>
      <c r="AA2288" s="204"/>
      <c r="AB2288" s="204"/>
      <c r="AC2288" s="204"/>
      <c r="AD2288" s="204"/>
      <c r="AE2288" s="204"/>
      <c r="AF2288" s="204"/>
      <c r="AG2288" s="204"/>
      <c r="AH2288" s="204"/>
      <c r="AI2288" s="209"/>
      <c r="AJ2288" s="209"/>
      <c r="AK2288" s="204"/>
      <c r="AL2288" s="204"/>
      <c r="AM2288" s="204"/>
    </row>
    <row r="2289">
      <c r="A2289" s="204"/>
      <c r="B2289" s="209"/>
      <c r="C2289" s="204"/>
      <c r="D2289" s="210"/>
      <c r="E2289" s="211"/>
      <c r="F2289" s="211"/>
      <c r="G2289" s="212"/>
      <c r="H2289" s="212"/>
      <c r="I2289" s="204"/>
      <c r="J2289" s="204"/>
      <c r="K2289" s="204"/>
      <c r="L2289" s="204"/>
      <c r="M2289" s="204"/>
      <c r="N2289" s="204"/>
      <c r="O2289" s="204"/>
      <c r="P2289" s="204"/>
      <c r="Q2289" s="204"/>
      <c r="R2289" s="204"/>
      <c r="S2289" s="204"/>
      <c r="T2289" s="204"/>
      <c r="U2289" s="204"/>
      <c r="V2289" s="204"/>
      <c r="W2289" s="204"/>
      <c r="X2289" s="204"/>
      <c r="Y2289" s="204"/>
      <c r="Z2289" s="204"/>
      <c r="AA2289" s="204"/>
      <c r="AB2289" s="204"/>
      <c r="AC2289" s="204"/>
      <c r="AD2289" s="204"/>
      <c r="AE2289" s="204"/>
      <c r="AF2289" s="204"/>
      <c r="AG2289" s="204"/>
      <c r="AH2289" s="204"/>
      <c r="AI2289" s="209"/>
      <c r="AJ2289" s="209"/>
      <c r="AK2289" s="204"/>
      <c r="AL2289" s="204"/>
      <c r="AM2289" s="204"/>
    </row>
    <row r="2290">
      <c r="A2290" s="204"/>
      <c r="B2290" s="209"/>
      <c r="C2290" s="204"/>
      <c r="D2290" s="210"/>
      <c r="E2290" s="211"/>
      <c r="F2290" s="211"/>
      <c r="G2290" s="212"/>
      <c r="H2290" s="212"/>
      <c r="I2290" s="204"/>
      <c r="J2290" s="204"/>
      <c r="K2290" s="204"/>
      <c r="L2290" s="204"/>
      <c r="M2290" s="204"/>
      <c r="N2290" s="204"/>
      <c r="O2290" s="204"/>
      <c r="P2290" s="204"/>
      <c r="Q2290" s="204"/>
      <c r="R2290" s="204"/>
      <c r="S2290" s="204"/>
      <c r="T2290" s="204"/>
      <c r="U2290" s="204"/>
      <c r="V2290" s="204"/>
      <c r="W2290" s="204"/>
      <c r="X2290" s="204"/>
      <c r="Y2290" s="204"/>
      <c r="Z2290" s="204"/>
      <c r="AA2290" s="204"/>
      <c r="AB2290" s="204"/>
      <c r="AC2290" s="204"/>
      <c r="AD2290" s="204"/>
      <c r="AE2290" s="204"/>
      <c r="AF2290" s="204"/>
      <c r="AG2290" s="204"/>
      <c r="AH2290" s="204"/>
      <c r="AI2290" s="209"/>
      <c r="AJ2290" s="209"/>
      <c r="AK2290" s="204"/>
      <c r="AL2290" s="204"/>
      <c r="AM2290" s="204"/>
    </row>
    <row r="2291">
      <c r="A2291" s="204"/>
      <c r="B2291" s="209"/>
      <c r="C2291" s="204"/>
      <c r="D2291" s="210"/>
      <c r="E2291" s="211"/>
      <c r="F2291" s="211"/>
      <c r="G2291" s="212"/>
      <c r="H2291" s="212"/>
      <c r="I2291" s="204"/>
      <c r="J2291" s="204"/>
      <c r="K2291" s="204"/>
      <c r="L2291" s="204"/>
      <c r="M2291" s="204"/>
      <c r="N2291" s="204"/>
      <c r="O2291" s="204"/>
      <c r="P2291" s="204"/>
      <c r="Q2291" s="204"/>
      <c r="R2291" s="204"/>
      <c r="S2291" s="204"/>
      <c r="T2291" s="204"/>
      <c r="U2291" s="204"/>
      <c r="V2291" s="204"/>
      <c r="W2291" s="204"/>
      <c r="X2291" s="204"/>
      <c r="Y2291" s="204"/>
      <c r="Z2291" s="204"/>
      <c r="AA2291" s="204"/>
      <c r="AB2291" s="204"/>
      <c r="AC2291" s="204"/>
      <c r="AD2291" s="204"/>
      <c r="AE2291" s="204"/>
      <c r="AF2291" s="204"/>
      <c r="AG2291" s="204"/>
      <c r="AH2291" s="204"/>
      <c r="AI2291" s="209"/>
      <c r="AJ2291" s="209"/>
      <c r="AK2291" s="204"/>
      <c r="AL2291" s="204"/>
      <c r="AM2291" s="204"/>
    </row>
    <row r="2292">
      <c r="A2292" s="204"/>
      <c r="B2292" s="209"/>
      <c r="C2292" s="204"/>
      <c r="D2292" s="210"/>
      <c r="E2292" s="211"/>
      <c r="F2292" s="211"/>
      <c r="G2292" s="212"/>
      <c r="H2292" s="212"/>
      <c r="I2292" s="204"/>
      <c r="J2292" s="204"/>
      <c r="K2292" s="204"/>
      <c r="L2292" s="204"/>
      <c r="M2292" s="204"/>
      <c r="N2292" s="204"/>
      <c r="O2292" s="204"/>
      <c r="P2292" s="204"/>
      <c r="Q2292" s="204"/>
      <c r="R2292" s="204"/>
      <c r="S2292" s="204"/>
      <c r="T2292" s="204"/>
      <c r="U2292" s="204"/>
      <c r="V2292" s="204"/>
      <c r="W2292" s="204"/>
      <c r="X2292" s="204"/>
      <c r="Y2292" s="204"/>
      <c r="Z2292" s="204"/>
      <c r="AA2292" s="204"/>
      <c r="AB2292" s="204"/>
      <c r="AC2292" s="204"/>
      <c r="AD2292" s="204"/>
      <c r="AE2292" s="204"/>
      <c r="AF2292" s="204"/>
      <c r="AG2292" s="204"/>
      <c r="AH2292" s="204"/>
      <c r="AI2292" s="209"/>
      <c r="AJ2292" s="209"/>
      <c r="AK2292" s="204"/>
      <c r="AL2292" s="204"/>
      <c r="AM2292" s="204"/>
    </row>
    <row r="2293">
      <c r="A2293" s="204"/>
      <c r="B2293" s="209"/>
      <c r="C2293" s="204"/>
      <c r="D2293" s="210"/>
      <c r="E2293" s="211"/>
      <c r="F2293" s="211"/>
      <c r="G2293" s="212"/>
      <c r="H2293" s="212"/>
      <c r="I2293" s="204"/>
      <c r="J2293" s="204"/>
      <c r="K2293" s="204"/>
      <c r="L2293" s="204"/>
      <c r="M2293" s="204"/>
      <c r="N2293" s="204"/>
      <c r="O2293" s="204"/>
      <c r="P2293" s="204"/>
      <c r="Q2293" s="204"/>
      <c r="R2293" s="204"/>
      <c r="S2293" s="204"/>
      <c r="T2293" s="204"/>
      <c r="U2293" s="204"/>
      <c r="V2293" s="204"/>
      <c r="W2293" s="204"/>
      <c r="X2293" s="204"/>
      <c r="Y2293" s="204"/>
      <c r="Z2293" s="204"/>
      <c r="AA2293" s="204"/>
      <c r="AB2293" s="204"/>
      <c r="AC2293" s="204"/>
      <c r="AD2293" s="204"/>
      <c r="AE2293" s="204"/>
      <c r="AF2293" s="204"/>
      <c r="AG2293" s="204"/>
      <c r="AH2293" s="204"/>
      <c r="AI2293" s="209"/>
      <c r="AJ2293" s="209"/>
      <c r="AK2293" s="204"/>
      <c r="AL2293" s="204"/>
      <c r="AM2293" s="204"/>
    </row>
    <row r="2294">
      <c r="A2294" s="204"/>
      <c r="B2294" s="209"/>
      <c r="C2294" s="204"/>
      <c r="D2294" s="210"/>
      <c r="E2294" s="211"/>
      <c r="F2294" s="211"/>
      <c r="G2294" s="212"/>
      <c r="H2294" s="212"/>
      <c r="I2294" s="204"/>
      <c r="J2294" s="204"/>
      <c r="K2294" s="204"/>
      <c r="L2294" s="204"/>
      <c r="M2294" s="204"/>
      <c r="N2294" s="204"/>
      <c r="O2294" s="204"/>
      <c r="P2294" s="204"/>
      <c r="Q2294" s="204"/>
      <c r="R2294" s="204"/>
      <c r="S2294" s="204"/>
      <c r="T2294" s="204"/>
      <c r="U2294" s="204"/>
      <c r="V2294" s="204"/>
      <c r="W2294" s="204"/>
      <c r="X2294" s="204"/>
      <c r="Y2294" s="204"/>
      <c r="Z2294" s="204"/>
      <c r="AA2294" s="204"/>
      <c r="AB2294" s="204"/>
      <c r="AC2294" s="204"/>
      <c r="AD2294" s="204"/>
      <c r="AE2294" s="204"/>
      <c r="AF2294" s="204"/>
      <c r="AG2294" s="204"/>
      <c r="AH2294" s="204"/>
      <c r="AI2294" s="209"/>
      <c r="AJ2294" s="209"/>
      <c r="AK2294" s="204"/>
      <c r="AL2294" s="204"/>
      <c r="AM2294" s="204"/>
    </row>
    <row r="2295">
      <c r="A2295" s="204"/>
      <c r="B2295" s="209"/>
      <c r="C2295" s="204"/>
      <c r="D2295" s="210"/>
      <c r="E2295" s="211"/>
      <c r="F2295" s="211"/>
      <c r="G2295" s="212"/>
      <c r="H2295" s="212"/>
      <c r="I2295" s="204"/>
      <c r="J2295" s="204"/>
      <c r="K2295" s="204"/>
      <c r="L2295" s="204"/>
      <c r="M2295" s="204"/>
      <c r="N2295" s="204"/>
      <c r="O2295" s="204"/>
      <c r="P2295" s="204"/>
      <c r="Q2295" s="204"/>
      <c r="R2295" s="204"/>
      <c r="S2295" s="204"/>
      <c r="T2295" s="204"/>
      <c r="U2295" s="204"/>
      <c r="V2295" s="204"/>
      <c r="W2295" s="204"/>
      <c r="X2295" s="204"/>
      <c r="Y2295" s="204"/>
      <c r="Z2295" s="204"/>
      <c r="AA2295" s="204"/>
      <c r="AB2295" s="204"/>
      <c r="AC2295" s="204"/>
      <c r="AD2295" s="204"/>
      <c r="AE2295" s="204"/>
      <c r="AF2295" s="204"/>
      <c r="AG2295" s="204"/>
      <c r="AH2295" s="204"/>
      <c r="AI2295" s="209"/>
      <c r="AJ2295" s="209"/>
      <c r="AK2295" s="204"/>
      <c r="AL2295" s="204"/>
      <c r="AM2295" s="204"/>
    </row>
    <row r="2296">
      <c r="A2296" s="204"/>
      <c r="B2296" s="209"/>
      <c r="C2296" s="204"/>
      <c r="D2296" s="210"/>
      <c r="E2296" s="211"/>
      <c r="F2296" s="211"/>
      <c r="G2296" s="212"/>
      <c r="H2296" s="212"/>
      <c r="I2296" s="204"/>
      <c r="J2296" s="204"/>
      <c r="K2296" s="204"/>
      <c r="L2296" s="204"/>
      <c r="M2296" s="204"/>
      <c r="N2296" s="204"/>
      <c r="O2296" s="204"/>
      <c r="P2296" s="204"/>
      <c r="Q2296" s="204"/>
      <c r="R2296" s="204"/>
      <c r="S2296" s="204"/>
      <c r="T2296" s="204"/>
      <c r="U2296" s="204"/>
      <c r="V2296" s="204"/>
      <c r="W2296" s="204"/>
      <c r="X2296" s="204"/>
      <c r="Y2296" s="204"/>
      <c r="Z2296" s="204"/>
      <c r="AA2296" s="204"/>
      <c r="AB2296" s="204"/>
      <c r="AC2296" s="204"/>
      <c r="AD2296" s="204"/>
      <c r="AE2296" s="204"/>
      <c r="AF2296" s="204"/>
      <c r="AG2296" s="204"/>
      <c r="AH2296" s="204"/>
      <c r="AI2296" s="209"/>
      <c r="AJ2296" s="209"/>
      <c r="AK2296" s="204"/>
      <c r="AL2296" s="204"/>
      <c r="AM2296" s="204"/>
    </row>
    <row r="2297">
      <c r="A2297" s="204"/>
      <c r="B2297" s="209"/>
      <c r="C2297" s="204"/>
      <c r="D2297" s="210"/>
      <c r="E2297" s="211"/>
      <c r="F2297" s="211"/>
      <c r="G2297" s="212"/>
      <c r="H2297" s="212"/>
      <c r="I2297" s="204"/>
      <c r="J2297" s="204"/>
      <c r="K2297" s="204"/>
      <c r="L2297" s="204"/>
      <c r="M2297" s="204"/>
      <c r="N2297" s="204"/>
      <c r="O2297" s="204"/>
      <c r="P2297" s="204"/>
      <c r="Q2297" s="204"/>
      <c r="R2297" s="204"/>
      <c r="S2297" s="204"/>
      <c r="T2297" s="204"/>
      <c r="U2297" s="204"/>
      <c r="V2297" s="204"/>
      <c r="W2297" s="204"/>
      <c r="X2297" s="204"/>
      <c r="Y2297" s="204"/>
      <c r="Z2297" s="204"/>
      <c r="AA2297" s="204"/>
      <c r="AB2297" s="204"/>
      <c r="AC2297" s="204"/>
      <c r="AD2297" s="204"/>
      <c r="AE2297" s="204"/>
      <c r="AF2297" s="204"/>
      <c r="AG2297" s="204"/>
      <c r="AH2297" s="204"/>
      <c r="AI2297" s="209"/>
      <c r="AJ2297" s="209"/>
      <c r="AK2297" s="204"/>
      <c r="AL2297" s="204"/>
      <c r="AM2297" s="204"/>
    </row>
    <row r="2298">
      <c r="A2298" s="204"/>
      <c r="B2298" s="209"/>
      <c r="C2298" s="204"/>
      <c r="D2298" s="210"/>
      <c r="E2298" s="211"/>
      <c r="F2298" s="211"/>
      <c r="G2298" s="212"/>
      <c r="H2298" s="212"/>
      <c r="I2298" s="204"/>
      <c r="J2298" s="204"/>
      <c r="K2298" s="204"/>
      <c r="L2298" s="204"/>
      <c r="M2298" s="204"/>
      <c r="N2298" s="204"/>
      <c r="O2298" s="204"/>
      <c r="P2298" s="204"/>
      <c r="Q2298" s="204"/>
      <c r="R2298" s="204"/>
      <c r="S2298" s="204"/>
      <c r="T2298" s="204"/>
      <c r="U2298" s="204"/>
      <c r="V2298" s="204"/>
      <c r="W2298" s="204"/>
      <c r="X2298" s="204"/>
      <c r="Y2298" s="204"/>
      <c r="Z2298" s="204"/>
      <c r="AA2298" s="204"/>
      <c r="AB2298" s="204"/>
      <c r="AC2298" s="204"/>
      <c r="AD2298" s="204"/>
      <c r="AE2298" s="204"/>
      <c r="AF2298" s="204"/>
      <c r="AG2298" s="204"/>
      <c r="AH2298" s="204"/>
      <c r="AI2298" s="209"/>
      <c r="AJ2298" s="209"/>
      <c r="AK2298" s="204"/>
      <c r="AL2298" s="204"/>
      <c r="AM2298" s="204"/>
    </row>
    <row r="2299">
      <c r="A2299" s="204"/>
      <c r="B2299" s="209"/>
      <c r="C2299" s="204"/>
      <c r="D2299" s="210"/>
      <c r="E2299" s="211"/>
      <c r="F2299" s="211"/>
      <c r="G2299" s="212"/>
      <c r="H2299" s="212"/>
      <c r="I2299" s="204"/>
      <c r="J2299" s="204"/>
      <c r="K2299" s="204"/>
      <c r="L2299" s="204"/>
      <c r="M2299" s="204"/>
      <c r="N2299" s="204"/>
      <c r="O2299" s="204"/>
      <c r="P2299" s="204"/>
      <c r="Q2299" s="204"/>
      <c r="R2299" s="204"/>
      <c r="S2299" s="204"/>
      <c r="T2299" s="204"/>
      <c r="U2299" s="204"/>
      <c r="V2299" s="204"/>
      <c r="W2299" s="204"/>
      <c r="X2299" s="204"/>
      <c r="Y2299" s="204"/>
      <c r="Z2299" s="204"/>
      <c r="AA2299" s="204"/>
      <c r="AB2299" s="204"/>
      <c r="AC2299" s="204"/>
      <c r="AD2299" s="204"/>
      <c r="AE2299" s="204"/>
      <c r="AF2299" s="204"/>
      <c r="AG2299" s="204"/>
      <c r="AH2299" s="204"/>
      <c r="AI2299" s="209"/>
      <c r="AJ2299" s="209"/>
      <c r="AK2299" s="204"/>
      <c r="AL2299" s="204"/>
      <c r="AM2299" s="204"/>
    </row>
    <row r="2300">
      <c r="A2300" s="204"/>
      <c r="B2300" s="209"/>
      <c r="C2300" s="204"/>
      <c r="D2300" s="210"/>
      <c r="E2300" s="211"/>
      <c r="F2300" s="211"/>
      <c r="G2300" s="212"/>
      <c r="H2300" s="212"/>
      <c r="I2300" s="204"/>
      <c r="J2300" s="204"/>
      <c r="K2300" s="204"/>
      <c r="L2300" s="204"/>
      <c r="M2300" s="204"/>
      <c r="N2300" s="204"/>
      <c r="O2300" s="204"/>
      <c r="P2300" s="204"/>
      <c r="Q2300" s="204"/>
      <c r="R2300" s="204"/>
      <c r="S2300" s="204"/>
      <c r="T2300" s="204"/>
      <c r="U2300" s="204"/>
      <c r="V2300" s="204"/>
      <c r="W2300" s="204"/>
      <c r="X2300" s="204"/>
      <c r="Y2300" s="204"/>
      <c r="Z2300" s="204"/>
      <c r="AA2300" s="204"/>
      <c r="AB2300" s="204"/>
      <c r="AC2300" s="204"/>
      <c r="AD2300" s="204"/>
      <c r="AE2300" s="204"/>
      <c r="AF2300" s="204"/>
      <c r="AG2300" s="204"/>
      <c r="AH2300" s="204"/>
      <c r="AI2300" s="209"/>
      <c r="AJ2300" s="209"/>
      <c r="AK2300" s="204"/>
      <c r="AL2300" s="204"/>
      <c r="AM2300" s="204"/>
    </row>
    <row r="2301">
      <c r="A2301" s="204"/>
      <c r="B2301" s="209"/>
      <c r="C2301" s="204"/>
      <c r="D2301" s="210"/>
      <c r="E2301" s="211"/>
      <c r="F2301" s="211"/>
      <c r="G2301" s="212"/>
      <c r="H2301" s="212"/>
      <c r="I2301" s="204"/>
      <c r="J2301" s="204"/>
      <c r="K2301" s="204"/>
      <c r="L2301" s="204"/>
      <c r="M2301" s="204"/>
      <c r="N2301" s="204"/>
      <c r="O2301" s="204"/>
      <c r="P2301" s="204"/>
      <c r="Q2301" s="204"/>
      <c r="R2301" s="204"/>
      <c r="S2301" s="204"/>
      <c r="T2301" s="204"/>
      <c r="U2301" s="204"/>
      <c r="V2301" s="204"/>
      <c r="W2301" s="204"/>
      <c r="X2301" s="204"/>
      <c r="Y2301" s="204"/>
      <c r="Z2301" s="204"/>
      <c r="AA2301" s="204"/>
      <c r="AB2301" s="204"/>
      <c r="AC2301" s="204"/>
      <c r="AD2301" s="204"/>
      <c r="AE2301" s="204"/>
      <c r="AF2301" s="204"/>
      <c r="AG2301" s="204"/>
      <c r="AH2301" s="204"/>
      <c r="AI2301" s="209"/>
      <c r="AJ2301" s="209"/>
      <c r="AK2301" s="204"/>
      <c r="AL2301" s="204"/>
      <c r="AM2301" s="204"/>
    </row>
    <row r="2302">
      <c r="A2302" s="204"/>
      <c r="B2302" s="209"/>
      <c r="C2302" s="204"/>
      <c r="D2302" s="210"/>
      <c r="E2302" s="211"/>
      <c r="F2302" s="211"/>
      <c r="G2302" s="212"/>
      <c r="H2302" s="212"/>
      <c r="I2302" s="204"/>
      <c r="J2302" s="204"/>
      <c r="K2302" s="204"/>
      <c r="L2302" s="204"/>
      <c r="M2302" s="204"/>
      <c r="N2302" s="204"/>
      <c r="O2302" s="204"/>
      <c r="P2302" s="204"/>
      <c r="Q2302" s="204"/>
      <c r="R2302" s="204"/>
      <c r="S2302" s="204"/>
      <c r="T2302" s="204"/>
      <c r="U2302" s="204"/>
      <c r="V2302" s="204"/>
      <c r="W2302" s="204"/>
      <c r="X2302" s="204"/>
      <c r="Y2302" s="204"/>
      <c r="Z2302" s="204"/>
      <c r="AA2302" s="204"/>
      <c r="AB2302" s="204"/>
      <c r="AC2302" s="204"/>
      <c r="AD2302" s="204"/>
      <c r="AE2302" s="204"/>
      <c r="AF2302" s="204"/>
      <c r="AG2302" s="204"/>
      <c r="AH2302" s="204"/>
      <c r="AI2302" s="209"/>
      <c r="AJ2302" s="209"/>
      <c r="AK2302" s="204"/>
      <c r="AL2302" s="204"/>
      <c r="AM2302" s="204"/>
    </row>
    <row r="2303">
      <c r="A2303" s="204"/>
      <c r="B2303" s="209"/>
      <c r="C2303" s="204"/>
      <c r="D2303" s="210"/>
      <c r="E2303" s="211"/>
      <c r="F2303" s="211"/>
      <c r="G2303" s="212"/>
      <c r="H2303" s="212"/>
      <c r="I2303" s="204"/>
      <c r="J2303" s="204"/>
      <c r="K2303" s="204"/>
      <c r="L2303" s="204"/>
      <c r="M2303" s="204"/>
      <c r="N2303" s="204"/>
      <c r="O2303" s="204"/>
      <c r="P2303" s="204"/>
      <c r="Q2303" s="204"/>
      <c r="R2303" s="204"/>
      <c r="S2303" s="204"/>
      <c r="T2303" s="204"/>
      <c r="U2303" s="204"/>
      <c r="V2303" s="204"/>
      <c r="W2303" s="204"/>
      <c r="X2303" s="204"/>
      <c r="Y2303" s="204"/>
      <c r="Z2303" s="204"/>
      <c r="AA2303" s="204"/>
      <c r="AB2303" s="204"/>
      <c r="AC2303" s="204"/>
      <c r="AD2303" s="204"/>
      <c r="AE2303" s="204"/>
      <c r="AF2303" s="204"/>
      <c r="AG2303" s="204"/>
      <c r="AH2303" s="204"/>
      <c r="AI2303" s="209"/>
      <c r="AJ2303" s="209"/>
      <c r="AK2303" s="204"/>
      <c r="AL2303" s="204"/>
      <c r="AM2303" s="204"/>
    </row>
    <row r="2304">
      <c r="A2304" s="204"/>
      <c r="B2304" s="209"/>
      <c r="C2304" s="204"/>
      <c r="D2304" s="210"/>
      <c r="E2304" s="211"/>
      <c r="F2304" s="211"/>
      <c r="G2304" s="212"/>
      <c r="H2304" s="212"/>
      <c r="I2304" s="204"/>
      <c r="J2304" s="204"/>
      <c r="K2304" s="204"/>
      <c r="L2304" s="204"/>
      <c r="M2304" s="204"/>
      <c r="N2304" s="204"/>
      <c r="O2304" s="204"/>
      <c r="P2304" s="204"/>
      <c r="Q2304" s="204"/>
      <c r="R2304" s="204"/>
      <c r="S2304" s="204"/>
      <c r="T2304" s="204"/>
      <c r="U2304" s="204"/>
      <c r="V2304" s="204"/>
      <c r="W2304" s="204"/>
      <c r="X2304" s="204"/>
      <c r="Y2304" s="204"/>
      <c r="Z2304" s="204"/>
      <c r="AA2304" s="204"/>
      <c r="AB2304" s="204"/>
      <c r="AC2304" s="204"/>
      <c r="AD2304" s="204"/>
      <c r="AE2304" s="204"/>
      <c r="AF2304" s="204"/>
      <c r="AG2304" s="204"/>
      <c r="AH2304" s="204"/>
      <c r="AI2304" s="209"/>
      <c r="AJ2304" s="209"/>
      <c r="AK2304" s="204"/>
      <c r="AL2304" s="204"/>
      <c r="AM2304" s="204"/>
    </row>
    <row r="2305">
      <c r="A2305" s="204"/>
      <c r="B2305" s="209"/>
      <c r="C2305" s="204"/>
      <c r="D2305" s="210"/>
      <c r="E2305" s="211"/>
      <c r="F2305" s="211"/>
      <c r="G2305" s="212"/>
      <c r="H2305" s="212"/>
      <c r="I2305" s="204"/>
      <c r="J2305" s="204"/>
      <c r="K2305" s="204"/>
      <c r="L2305" s="204"/>
      <c r="M2305" s="204"/>
      <c r="N2305" s="204"/>
      <c r="O2305" s="204"/>
      <c r="P2305" s="204"/>
      <c r="Q2305" s="204"/>
      <c r="R2305" s="204"/>
      <c r="S2305" s="204"/>
      <c r="T2305" s="204"/>
      <c r="U2305" s="204"/>
      <c r="V2305" s="204"/>
      <c r="W2305" s="204"/>
      <c r="X2305" s="204"/>
      <c r="Y2305" s="204"/>
      <c r="Z2305" s="204"/>
      <c r="AA2305" s="204"/>
      <c r="AB2305" s="204"/>
      <c r="AC2305" s="204"/>
      <c r="AD2305" s="204"/>
      <c r="AE2305" s="204"/>
      <c r="AF2305" s="204"/>
      <c r="AG2305" s="204"/>
      <c r="AH2305" s="204"/>
      <c r="AI2305" s="209"/>
      <c r="AJ2305" s="209"/>
      <c r="AK2305" s="204"/>
      <c r="AL2305" s="204"/>
      <c r="AM2305" s="204"/>
    </row>
    <row r="2306">
      <c r="A2306" s="204"/>
      <c r="B2306" s="209"/>
      <c r="C2306" s="204"/>
      <c r="D2306" s="210"/>
      <c r="E2306" s="211"/>
      <c r="F2306" s="211"/>
      <c r="G2306" s="212"/>
      <c r="H2306" s="212"/>
      <c r="I2306" s="204"/>
      <c r="J2306" s="204"/>
      <c r="K2306" s="204"/>
      <c r="L2306" s="204"/>
      <c r="M2306" s="204"/>
      <c r="N2306" s="204"/>
      <c r="O2306" s="204"/>
      <c r="P2306" s="204"/>
      <c r="Q2306" s="204"/>
      <c r="R2306" s="204"/>
      <c r="S2306" s="204"/>
      <c r="T2306" s="204"/>
      <c r="U2306" s="204"/>
      <c r="V2306" s="204"/>
      <c r="W2306" s="204"/>
      <c r="X2306" s="204"/>
      <c r="Y2306" s="204"/>
      <c r="Z2306" s="204"/>
      <c r="AA2306" s="204"/>
      <c r="AB2306" s="204"/>
      <c r="AC2306" s="204"/>
      <c r="AD2306" s="204"/>
      <c r="AE2306" s="204"/>
      <c r="AF2306" s="204"/>
      <c r="AG2306" s="204"/>
      <c r="AH2306" s="204"/>
      <c r="AI2306" s="209"/>
      <c r="AJ2306" s="209"/>
      <c r="AK2306" s="204"/>
      <c r="AL2306" s="204"/>
      <c r="AM2306" s="204"/>
    </row>
    <row r="2307">
      <c r="A2307" s="204"/>
      <c r="B2307" s="209"/>
      <c r="C2307" s="204"/>
      <c r="D2307" s="210"/>
      <c r="E2307" s="211"/>
      <c r="F2307" s="211"/>
      <c r="G2307" s="212"/>
      <c r="H2307" s="212"/>
      <c r="I2307" s="204"/>
      <c r="J2307" s="204"/>
      <c r="K2307" s="204"/>
      <c r="L2307" s="204"/>
      <c r="M2307" s="204"/>
      <c r="N2307" s="204"/>
      <c r="O2307" s="204"/>
      <c r="P2307" s="204"/>
      <c r="Q2307" s="204"/>
      <c r="R2307" s="204"/>
      <c r="S2307" s="204"/>
      <c r="T2307" s="204"/>
      <c r="U2307" s="204"/>
      <c r="V2307" s="204"/>
      <c r="W2307" s="204"/>
      <c r="X2307" s="204"/>
      <c r="Y2307" s="204"/>
      <c r="Z2307" s="204"/>
      <c r="AA2307" s="204"/>
      <c r="AB2307" s="204"/>
      <c r="AC2307" s="204"/>
      <c r="AD2307" s="204"/>
      <c r="AE2307" s="204"/>
      <c r="AF2307" s="204"/>
      <c r="AG2307" s="204"/>
      <c r="AH2307" s="204"/>
      <c r="AI2307" s="209"/>
      <c r="AJ2307" s="209"/>
      <c r="AK2307" s="204"/>
      <c r="AL2307" s="204"/>
      <c r="AM2307" s="204"/>
    </row>
    <row r="2308">
      <c r="A2308" s="204"/>
      <c r="B2308" s="209"/>
      <c r="C2308" s="204"/>
      <c r="D2308" s="210"/>
      <c r="E2308" s="211"/>
      <c r="F2308" s="211"/>
      <c r="G2308" s="212"/>
      <c r="H2308" s="212"/>
      <c r="I2308" s="204"/>
      <c r="J2308" s="204"/>
      <c r="K2308" s="204"/>
      <c r="L2308" s="204"/>
      <c r="M2308" s="204"/>
      <c r="N2308" s="204"/>
      <c r="O2308" s="204"/>
      <c r="P2308" s="204"/>
      <c r="Q2308" s="204"/>
      <c r="R2308" s="204"/>
      <c r="S2308" s="204"/>
      <c r="T2308" s="204"/>
      <c r="U2308" s="204"/>
      <c r="V2308" s="204"/>
      <c r="W2308" s="204"/>
      <c r="X2308" s="204"/>
      <c r="Y2308" s="204"/>
      <c r="Z2308" s="204"/>
      <c r="AA2308" s="204"/>
      <c r="AB2308" s="204"/>
      <c r="AC2308" s="204"/>
      <c r="AD2308" s="204"/>
      <c r="AE2308" s="204"/>
      <c r="AF2308" s="204"/>
      <c r="AG2308" s="204"/>
      <c r="AH2308" s="204"/>
      <c r="AI2308" s="209"/>
      <c r="AJ2308" s="209"/>
      <c r="AK2308" s="204"/>
      <c r="AL2308" s="204"/>
      <c r="AM2308" s="204"/>
    </row>
    <row r="2309">
      <c r="A2309" s="204"/>
      <c r="B2309" s="209"/>
      <c r="C2309" s="204"/>
      <c r="D2309" s="210"/>
      <c r="E2309" s="211"/>
      <c r="F2309" s="211"/>
      <c r="G2309" s="212"/>
      <c r="H2309" s="212"/>
      <c r="I2309" s="204"/>
      <c r="J2309" s="204"/>
      <c r="K2309" s="204"/>
      <c r="L2309" s="204"/>
      <c r="M2309" s="204"/>
      <c r="N2309" s="204"/>
      <c r="O2309" s="204"/>
      <c r="P2309" s="204"/>
      <c r="Q2309" s="204"/>
      <c r="R2309" s="204"/>
      <c r="S2309" s="204"/>
      <c r="T2309" s="204"/>
      <c r="U2309" s="204"/>
      <c r="V2309" s="204"/>
      <c r="W2309" s="204"/>
      <c r="X2309" s="204"/>
      <c r="Y2309" s="204"/>
      <c r="Z2309" s="204"/>
      <c r="AA2309" s="204"/>
      <c r="AB2309" s="204"/>
      <c r="AC2309" s="204"/>
      <c r="AD2309" s="204"/>
      <c r="AE2309" s="204"/>
      <c r="AF2309" s="204"/>
      <c r="AG2309" s="204"/>
      <c r="AH2309" s="204"/>
      <c r="AI2309" s="209"/>
      <c r="AJ2309" s="209"/>
      <c r="AK2309" s="204"/>
      <c r="AL2309" s="204"/>
      <c r="AM2309" s="204"/>
    </row>
    <row r="2310">
      <c r="A2310" s="204"/>
      <c r="B2310" s="209"/>
      <c r="C2310" s="204"/>
      <c r="D2310" s="210"/>
      <c r="E2310" s="211"/>
      <c r="F2310" s="211"/>
      <c r="G2310" s="212"/>
      <c r="H2310" s="212"/>
      <c r="I2310" s="204"/>
      <c r="J2310" s="204"/>
      <c r="K2310" s="204"/>
      <c r="L2310" s="204"/>
      <c r="M2310" s="204"/>
      <c r="N2310" s="204"/>
      <c r="O2310" s="204"/>
      <c r="P2310" s="204"/>
      <c r="Q2310" s="204"/>
      <c r="R2310" s="204"/>
      <c r="S2310" s="204"/>
      <c r="T2310" s="204"/>
      <c r="U2310" s="204"/>
      <c r="V2310" s="204"/>
      <c r="W2310" s="204"/>
      <c r="X2310" s="204"/>
      <c r="Y2310" s="204"/>
      <c r="Z2310" s="204"/>
      <c r="AA2310" s="204"/>
      <c r="AB2310" s="204"/>
      <c r="AC2310" s="204"/>
      <c r="AD2310" s="204"/>
      <c r="AE2310" s="204"/>
      <c r="AF2310" s="204"/>
      <c r="AG2310" s="204"/>
      <c r="AH2310" s="204"/>
      <c r="AI2310" s="209"/>
      <c r="AJ2310" s="209"/>
      <c r="AK2310" s="204"/>
      <c r="AL2310" s="204"/>
      <c r="AM2310" s="204"/>
    </row>
    <row r="2311">
      <c r="A2311" s="204"/>
      <c r="B2311" s="209"/>
      <c r="C2311" s="204"/>
      <c r="D2311" s="210"/>
      <c r="E2311" s="211"/>
      <c r="F2311" s="211"/>
      <c r="G2311" s="212"/>
      <c r="H2311" s="212"/>
      <c r="I2311" s="204"/>
      <c r="J2311" s="204"/>
      <c r="K2311" s="204"/>
      <c r="L2311" s="204"/>
      <c r="M2311" s="204"/>
      <c r="N2311" s="204"/>
      <c r="O2311" s="204"/>
      <c r="P2311" s="204"/>
      <c r="Q2311" s="204"/>
      <c r="R2311" s="204"/>
      <c r="S2311" s="204"/>
      <c r="T2311" s="204"/>
      <c r="U2311" s="204"/>
      <c r="V2311" s="204"/>
      <c r="W2311" s="204"/>
      <c r="X2311" s="204"/>
      <c r="Y2311" s="204"/>
      <c r="Z2311" s="204"/>
      <c r="AA2311" s="204"/>
      <c r="AB2311" s="204"/>
      <c r="AC2311" s="204"/>
      <c r="AD2311" s="204"/>
      <c r="AE2311" s="204"/>
      <c r="AF2311" s="204"/>
      <c r="AG2311" s="204"/>
      <c r="AH2311" s="204"/>
      <c r="AI2311" s="209"/>
      <c r="AJ2311" s="209"/>
      <c r="AK2311" s="204"/>
      <c r="AL2311" s="204"/>
      <c r="AM2311" s="204"/>
    </row>
    <row r="2312">
      <c r="A2312" s="204"/>
      <c r="B2312" s="209"/>
      <c r="C2312" s="204"/>
      <c r="D2312" s="210"/>
      <c r="E2312" s="211"/>
      <c r="F2312" s="211"/>
      <c r="G2312" s="212"/>
      <c r="H2312" s="212"/>
      <c r="I2312" s="204"/>
      <c r="J2312" s="204"/>
      <c r="K2312" s="204"/>
      <c r="L2312" s="204"/>
      <c r="M2312" s="204"/>
      <c r="N2312" s="204"/>
      <c r="O2312" s="204"/>
      <c r="P2312" s="204"/>
      <c r="Q2312" s="204"/>
      <c r="R2312" s="204"/>
      <c r="S2312" s="204"/>
      <c r="T2312" s="204"/>
      <c r="U2312" s="204"/>
      <c r="V2312" s="204"/>
      <c r="W2312" s="204"/>
      <c r="X2312" s="204"/>
      <c r="Y2312" s="204"/>
      <c r="Z2312" s="204"/>
      <c r="AA2312" s="204"/>
      <c r="AB2312" s="204"/>
      <c r="AC2312" s="204"/>
      <c r="AD2312" s="204"/>
      <c r="AE2312" s="204"/>
      <c r="AF2312" s="204"/>
      <c r="AG2312" s="204"/>
      <c r="AH2312" s="204"/>
      <c r="AI2312" s="209"/>
      <c r="AJ2312" s="209"/>
      <c r="AK2312" s="204"/>
      <c r="AL2312" s="204"/>
      <c r="AM2312" s="204"/>
    </row>
    <row r="2313">
      <c r="A2313" s="204"/>
      <c r="B2313" s="209"/>
      <c r="C2313" s="204"/>
      <c r="D2313" s="210"/>
      <c r="E2313" s="211"/>
      <c r="F2313" s="211"/>
      <c r="G2313" s="212"/>
      <c r="H2313" s="212"/>
      <c r="I2313" s="204"/>
      <c r="J2313" s="204"/>
      <c r="K2313" s="204"/>
      <c r="L2313" s="204"/>
      <c r="M2313" s="204"/>
      <c r="N2313" s="204"/>
      <c r="O2313" s="204"/>
      <c r="P2313" s="204"/>
      <c r="Q2313" s="204"/>
      <c r="R2313" s="204"/>
      <c r="S2313" s="204"/>
      <c r="T2313" s="204"/>
      <c r="U2313" s="204"/>
      <c r="V2313" s="204"/>
      <c r="W2313" s="204"/>
      <c r="X2313" s="204"/>
      <c r="Y2313" s="204"/>
      <c r="Z2313" s="204"/>
      <c r="AA2313" s="204"/>
      <c r="AB2313" s="204"/>
      <c r="AC2313" s="204"/>
      <c r="AD2313" s="204"/>
      <c r="AE2313" s="204"/>
      <c r="AF2313" s="204"/>
      <c r="AG2313" s="204"/>
      <c r="AH2313" s="204"/>
      <c r="AI2313" s="209"/>
      <c r="AJ2313" s="209"/>
      <c r="AK2313" s="204"/>
      <c r="AL2313" s="204"/>
      <c r="AM2313" s="204"/>
    </row>
    <row r="2314">
      <c r="A2314" s="204"/>
      <c r="B2314" s="209"/>
      <c r="C2314" s="204"/>
      <c r="D2314" s="210"/>
      <c r="E2314" s="211"/>
      <c r="F2314" s="211"/>
      <c r="G2314" s="212"/>
      <c r="H2314" s="212"/>
      <c r="I2314" s="204"/>
      <c r="J2314" s="204"/>
      <c r="K2314" s="204"/>
      <c r="L2314" s="204"/>
      <c r="M2314" s="204"/>
      <c r="N2314" s="204"/>
      <c r="O2314" s="204"/>
      <c r="P2314" s="204"/>
      <c r="Q2314" s="204"/>
      <c r="R2314" s="204"/>
      <c r="S2314" s="204"/>
      <c r="T2314" s="204"/>
      <c r="U2314" s="204"/>
      <c r="V2314" s="204"/>
      <c r="W2314" s="204"/>
      <c r="X2314" s="204"/>
      <c r="Y2314" s="204"/>
      <c r="Z2314" s="204"/>
      <c r="AA2314" s="204"/>
      <c r="AB2314" s="204"/>
      <c r="AC2314" s="204"/>
      <c r="AD2314" s="204"/>
      <c r="AE2314" s="204"/>
      <c r="AF2314" s="204"/>
      <c r="AG2314" s="204"/>
      <c r="AH2314" s="204"/>
      <c r="AI2314" s="209"/>
      <c r="AJ2314" s="209"/>
      <c r="AK2314" s="204"/>
      <c r="AL2314" s="204"/>
      <c r="AM2314" s="204"/>
    </row>
    <row r="2315">
      <c r="A2315" s="204"/>
      <c r="B2315" s="209"/>
      <c r="C2315" s="204"/>
      <c r="D2315" s="210"/>
      <c r="E2315" s="211"/>
      <c r="F2315" s="211"/>
      <c r="G2315" s="212"/>
      <c r="H2315" s="212"/>
      <c r="I2315" s="204"/>
      <c r="J2315" s="204"/>
      <c r="K2315" s="204"/>
      <c r="L2315" s="204"/>
      <c r="M2315" s="204"/>
      <c r="N2315" s="204"/>
      <c r="O2315" s="204"/>
      <c r="P2315" s="204"/>
      <c r="Q2315" s="204"/>
      <c r="R2315" s="204"/>
      <c r="S2315" s="204"/>
      <c r="T2315" s="204"/>
      <c r="U2315" s="204"/>
      <c r="V2315" s="204"/>
      <c r="W2315" s="204"/>
      <c r="X2315" s="204"/>
      <c r="Y2315" s="204"/>
      <c r="Z2315" s="204"/>
      <c r="AA2315" s="204"/>
      <c r="AB2315" s="204"/>
      <c r="AC2315" s="204"/>
      <c r="AD2315" s="204"/>
      <c r="AE2315" s="204"/>
      <c r="AF2315" s="204"/>
      <c r="AG2315" s="204"/>
      <c r="AH2315" s="204"/>
      <c r="AI2315" s="209"/>
      <c r="AJ2315" s="209"/>
      <c r="AK2315" s="204"/>
      <c r="AL2315" s="204"/>
      <c r="AM2315" s="204"/>
    </row>
    <row r="2316">
      <c r="A2316" s="204"/>
      <c r="B2316" s="209"/>
      <c r="C2316" s="204"/>
      <c r="D2316" s="210"/>
      <c r="E2316" s="211"/>
      <c r="F2316" s="211"/>
      <c r="G2316" s="212"/>
      <c r="H2316" s="212"/>
      <c r="I2316" s="204"/>
      <c r="J2316" s="204"/>
      <c r="K2316" s="204"/>
      <c r="L2316" s="204"/>
      <c r="M2316" s="204"/>
      <c r="N2316" s="204"/>
      <c r="O2316" s="204"/>
      <c r="P2316" s="204"/>
      <c r="Q2316" s="204"/>
      <c r="R2316" s="204"/>
      <c r="S2316" s="204"/>
      <c r="T2316" s="204"/>
      <c r="U2316" s="204"/>
      <c r="V2316" s="204"/>
      <c r="W2316" s="204"/>
      <c r="X2316" s="204"/>
      <c r="Y2316" s="204"/>
      <c r="Z2316" s="204"/>
      <c r="AA2316" s="204"/>
      <c r="AB2316" s="204"/>
      <c r="AC2316" s="204"/>
      <c r="AD2316" s="204"/>
      <c r="AE2316" s="204"/>
      <c r="AF2316" s="204"/>
      <c r="AG2316" s="204"/>
      <c r="AH2316" s="204"/>
      <c r="AI2316" s="209"/>
      <c r="AJ2316" s="209"/>
      <c r="AK2316" s="204"/>
      <c r="AL2316" s="204"/>
      <c r="AM2316" s="204"/>
    </row>
    <row r="2317">
      <c r="A2317" s="204"/>
      <c r="B2317" s="209"/>
      <c r="C2317" s="204"/>
      <c r="D2317" s="210"/>
      <c r="E2317" s="211"/>
      <c r="F2317" s="211"/>
      <c r="G2317" s="212"/>
      <c r="H2317" s="212"/>
      <c r="I2317" s="204"/>
      <c r="J2317" s="204"/>
      <c r="K2317" s="204"/>
      <c r="L2317" s="204"/>
      <c r="M2317" s="204"/>
      <c r="N2317" s="204"/>
      <c r="O2317" s="204"/>
      <c r="P2317" s="204"/>
      <c r="Q2317" s="204"/>
      <c r="R2317" s="204"/>
      <c r="S2317" s="204"/>
      <c r="T2317" s="204"/>
      <c r="U2317" s="204"/>
      <c r="V2317" s="204"/>
      <c r="W2317" s="204"/>
      <c r="X2317" s="204"/>
      <c r="Y2317" s="204"/>
      <c r="Z2317" s="204"/>
      <c r="AA2317" s="204"/>
      <c r="AB2317" s="204"/>
      <c r="AC2317" s="204"/>
      <c r="AD2317" s="204"/>
      <c r="AE2317" s="204"/>
      <c r="AF2317" s="204"/>
      <c r="AG2317" s="204"/>
      <c r="AH2317" s="204"/>
      <c r="AI2317" s="209"/>
      <c r="AJ2317" s="209"/>
      <c r="AK2317" s="204"/>
      <c r="AL2317" s="204"/>
      <c r="AM2317" s="204"/>
    </row>
    <row r="2318">
      <c r="A2318" s="204"/>
      <c r="B2318" s="209"/>
      <c r="C2318" s="204"/>
      <c r="D2318" s="210"/>
      <c r="E2318" s="211"/>
      <c r="F2318" s="211"/>
      <c r="G2318" s="212"/>
      <c r="H2318" s="212"/>
      <c r="I2318" s="204"/>
      <c r="J2318" s="204"/>
      <c r="K2318" s="204"/>
      <c r="L2318" s="204"/>
      <c r="M2318" s="204"/>
      <c r="N2318" s="204"/>
      <c r="O2318" s="204"/>
      <c r="P2318" s="204"/>
      <c r="Q2318" s="204"/>
      <c r="R2318" s="204"/>
      <c r="S2318" s="204"/>
      <c r="T2318" s="204"/>
      <c r="U2318" s="204"/>
      <c r="V2318" s="204"/>
      <c r="W2318" s="204"/>
      <c r="X2318" s="204"/>
      <c r="Y2318" s="204"/>
      <c r="Z2318" s="204"/>
      <c r="AA2318" s="204"/>
      <c r="AB2318" s="204"/>
      <c r="AC2318" s="204"/>
      <c r="AD2318" s="204"/>
      <c r="AE2318" s="204"/>
      <c r="AF2318" s="204"/>
      <c r="AG2318" s="204"/>
      <c r="AH2318" s="204"/>
      <c r="AI2318" s="209"/>
      <c r="AJ2318" s="209"/>
      <c r="AK2318" s="204"/>
      <c r="AL2318" s="204"/>
      <c r="AM2318" s="204"/>
    </row>
    <row r="2319">
      <c r="A2319" s="204"/>
      <c r="B2319" s="209"/>
      <c r="C2319" s="204"/>
      <c r="D2319" s="210"/>
      <c r="E2319" s="211"/>
      <c r="F2319" s="211"/>
      <c r="G2319" s="212"/>
      <c r="H2319" s="212"/>
      <c r="I2319" s="204"/>
      <c r="J2319" s="204"/>
      <c r="K2319" s="204"/>
      <c r="L2319" s="204"/>
      <c r="M2319" s="204"/>
      <c r="N2319" s="204"/>
      <c r="O2319" s="204"/>
      <c r="P2319" s="204"/>
      <c r="Q2319" s="204"/>
      <c r="R2319" s="204"/>
      <c r="S2319" s="204"/>
      <c r="T2319" s="204"/>
      <c r="U2319" s="204"/>
      <c r="V2319" s="204"/>
      <c r="W2319" s="204"/>
      <c r="X2319" s="204"/>
      <c r="Y2319" s="204"/>
      <c r="Z2319" s="204"/>
      <c r="AA2319" s="204"/>
      <c r="AB2319" s="204"/>
      <c r="AC2319" s="204"/>
      <c r="AD2319" s="204"/>
      <c r="AE2319" s="204"/>
      <c r="AF2319" s="204"/>
      <c r="AG2319" s="204"/>
      <c r="AH2319" s="204"/>
      <c r="AI2319" s="209"/>
      <c r="AJ2319" s="209"/>
      <c r="AK2319" s="204"/>
      <c r="AL2319" s="204"/>
      <c r="AM2319" s="204"/>
    </row>
    <row r="2320">
      <c r="A2320" s="204"/>
      <c r="B2320" s="209"/>
      <c r="C2320" s="204"/>
      <c r="D2320" s="210"/>
      <c r="E2320" s="211"/>
      <c r="F2320" s="211"/>
      <c r="G2320" s="212"/>
      <c r="H2320" s="212"/>
      <c r="I2320" s="204"/>
      <c r="J2320" s="204"/>
      <c r="K2320" s="204"/>
      <c r="L2320" s="204"/>
      <c r="M2320" s="204"/>
      <c r="N2320" s="204"/>
      <c r="O2320" s="204"/>
      <c r="P2320" s="204"/>
      <c r="Q2320" s="204"/>
      <c r="R2320" s="204"/>
      <c r="S2320" s="204"/>
      <c r="T2320" s="204"/>
      <c r="U2320" s="204"/>
      <c r="V2320" s="204"/>
      <c r="W2320" s="204"/>
      <c r="X2320" s="204"/>
      <c r="Y2320" s="204"/>
      <c r="Z2320" s="204"/>
      <c r="AA2320" s="204"/>
      <c r="AB2320" s="204"/>
      <c r="AC2320" s="204"/>
      <c r="AD2320" s="204"/>
      <c r="AE2320" s="204"/>
      <c r="AF2320" s="204"/>
      <c r="AG2320" s="204"/>
      <c r="AH2320" s="204"/>
      <c r="AI2320" s="209"/>
      <c r="AJ2320" s="209"/>
      <c r="AK2320" s="204"/>
      <c r="AL2320" s="204"/>
      <c r="AM2320" s="204"/>
    </row>
    <row r="2321">
      <c r="A2321" s="204"/>
      <c r="B2321" s="209"/>
      <c r="C2321" s="204"/>
      <c r="D2321" s="210"/>
      <c r="E2321" s="211"/>
      <c r="F2321" s="211"/>
      <c r="G2321" s="212"/>
      <c r="H2321" s="212"/>
      <c r="I2321" s="204"/>
      <c r="J2321" s="204"/>
      <c r="K2321" s="204"/>
      <c r="L2321" s="204"/>
      <c r="M2321" s="204"/>
      <c r="N2321" s="204"/>
      <c r="O2321" s="204"/>
      <c r="P2321" s="204"/>
      <c r="Q2321" s="204"/>
      <c r="R2321" s="204"/>
      <c r="S2321" s="204"/>
      <c r="T2321" s="204"/>
      <c r="U2321" s="204"/>
      <c r="V2321" s="204"/>
      <c r="W2321" s="204"/>
      <c r="X2321" s="204"/>
      <c r="Y2321" s="204"/>
      <c r="Z2321" s="204"/>
      <c r="AA2321" s="204"/>
      <c r="AB2321" s="204"/>
      <c r="AC2321" s="204"/>
      <c r="AD2321" s="204"/>
      <c r="AE2321" s="204"/>
      <c r="AF2321" s="204"/>
      <c r="AG2321" s="204"/>
      <c r="AH2321" s="204"/>
      <c r="AI2321" s="209"/>
      <c r="AJ2321" s="209"/>
      <c r="AK2321" s="204"/>
      <c r="AL2321" s="204"/>
      <c r="AM2321" s="204"/>
    </row>
    <row r="2322">
      <c r="A2322" s="204"/>
      <c r="B2322" s="209"/>
      <c r="C2322" s="204"/>
      <c r="D2322" s="210"/>
      <c r="E2322" s="211"/>
      <c r="F2322" s="211"/>
      <c r="G2322" s="212"/>
      <c r="H2322" s="212"/>
      <c r="I2322" s="204"/>
      <c r="J2322" s="204"/>
      <c r="K2322" s="204"/>
      <c r="L2322" s="204"/>
      <c r="M2322" s="204"/>
      <c r="N2322" s="204"/>
      <c r="O2322" s="204"/>
      <c r="P2322" s="204"/>
      <c r="Q2322" s="204"/>
      <c r="R2322" s="204"/>
      <c r="S2322" s="204"/>
      <c r="T2322" s="204"/>
      <c r="U2322" s="204"/>
      <c r="V2322" s="204"/>
      <c r="W2322" s="204"/>
      <c r="X2322" s="204"/>
      <c r="Y2322" s="204"/>
      <c r="Z2322" s="204"/>
      <c r="AA2322" s="204"/>
      <c r="AB2322" s="204"/>
      <c r="AC2322" s="204"/>
      <c r="AD2322" s="204"/>
      <c r="AE2322" s="204"/>
      <c r="AF2322" s="204"/>
      <c r="AG2322" s="204"/>
      <c r="AH2322" s="204"/>
      <c r="AI2322" s="209"/>
      <c r="AJ2322" s="209"/>
      <c r="AK2322" s="204"/>
      <c r="AL2322" s="204"/>
      <c r="AM2322" s="204"/>
    </row>
    <row r="2323">
      <c r="A2323" s="204"/>
      <c r="B2323" s="209"/>
      <c r="C2323" s="204"/>
      <c r="D2323" s="210"/>
      <c r="E2323" s="211"/>
      <c r="F2323" s="211"/>
      <c r="G2323" s="212"/>
      <c r="H2323" s="212"/>
      <c r="I2323" s="204"/>
      <c r="J2323" s="204"/>
      <c r="K2323" s="204"/>
      <c r="L2323" s="204"/>
      <c r="M2323" s="204"/>
      <c r="N2323" s="204"/>
      <c r="O2323" s="204"/>
      <c r="P2323" s="204"/>
      <c r="Q2323" s="204"/>
      <c r="R2323" s="204"/>
      <c r="S2323" s="204"/>
      <c r="T2323" s="204"/>
      <c r="U2323" s="204"/>
      <c r="V2323" s="204"/>
      <c r="W2323" s="204"/>
      <c r="X2323" s="204"/>
      <c r="Y2323" s="204"/>
      <c r="Z2323" s="204"/>
      <c r="AA2323" s="204"/>
      <c r="AB2323" s="204"/>
      <c r="AC2323" s="204"/>
      <c r="AD2323" s="204"/>
      <c r="AE2323" s="204"/>
      <c r="AF2323" s="204"/>
      <c r="AG2323" s="204"/>
      <c r="AH2323" s="204"/>
      <c r="AI2323" s="209"/>
      <c r="AJ2323" s="209"/>
      <c r="AK2323" s="204"/>
      <c r="AL2323" s="204"/>
      <c r="AM2323" s="204"/>
    </row>
    <row r="2324">
      <c r="A2324" s="204"/>
      <c r="B2324" s="209"/>
      <c r="C2324" s="204"/>
      <c r="D2324" s="210"/>
      <c r="E2324" s="211"/>
      <c r="F2324" s="211"/>
      <c r="G2324" s="212"/>
      <c r="H2324" s="212"/>
      <c r="I2324" s="204"/>
      <c r="J2324" s="204"/>
      <c r="K2324" s="204"/>
      <c r="L2324" s="204"/>
      <c r="M2324" s="204"/>
      <c r="N2324" s="204"/>
      <c r="O2324" s="204"/>
      <c r="P2324" s="204"/>
      <c r="Q2324" s="204"/>
      <c r="R2324" s="204"/>
      <c r="S2324" s="204"/>
      <c r="T2324" s="204"/>
      <c r="U2324" s="204"/>
      <c r="V2324" s="204"/>
      <c r="W2324" s="204"/>
      <c r="X2324" s="204"/>
      <c r="Y2324" s="204"/>
      <c r="Z2324" s="204"/>
      <c r="AA2324" s="204"/>
      <c r="AB2324" s="204"/>
      <c r="AC2324" s="204"/>
      <c r="AD2324" s="204"/>
      <c r="AE2324" s="204"/>
      <c r="AF2324" s="204"/>
      <c r="AG2324" s="204"/>
      <c r="AH2324" s="204"/>
      <c r="AI2324" s="209"/>
      <c r="AJ2324" s="209"/>
      <c r="AK2324" s="204"/>
      <c r="AL2324" s="204"/>
      <c r="AM2324" s="204"/>
    </row>
    <row r="2325">
      <c r="A2325" s="204"/>
      <c r="B2325" s="209"/>
      <c r="C2325" s="204"/>
      <c r="D2325" s="210"/>
      <c r="E2325" s="211"/>
      <c r="F2325" s="211"/>
      <c r="G2325" s="212"/>
      <c r="H2325" s="212"/>
      <c r="I2325" s="204"/>
      <c r="J2325" s="204"/>
      <c r="K2325" s="204"/>
      <c r="L2325" s="204"/>
      <c r="M2325" s="204"/>
      <c r="N2325" s="204"/>
      <c r="O2325" s="204"/>
      <c r="P2325" s="204"/>
      <c r="Q2325" s="204"/>
      <c r="R2325" s="204"/>
      <c r="S2325" s="204"/>
      <c r="T2325" s="204"/>
      <c r="U2325" s="204"/>
      <c r="V2325" s="204"/>
      <c r="W2325" s="204"/>
      <c r="X2325" s="204"/>
      <c r="Y2325" s="204"/>
      <c r="Z2325" s="204"/>
      <c r="AA2325" s="204"/>
      <c r="AB2325" s="204"/>
      <c r="AC2325" s="204"/>
      <c r="AD2325" s="204"/>
      <c r="AE2325" s="204"/>
      <c r="AF2325" s="204"/>
      <c r="AG2325" s="204"/>
      <c r="AH2325" s="204"/>
      <c r="AI2325" s="209"/>
      <c r="AJ2325" s="209"/>
      <c r="AK2325" s="204"/>
      <c r="AL2325" s="204"/>
      <c r="AM2325" s="204"/>
    </row>
    <row r="2326">
      <c r="A2326" s="204"/>
      <c r="B2326" s="209"/>
      <c r="C2326" s="204"/>
      <c r="D2326" s="210"/>
      <c r="E2326" s="211"/>
      <c r="F2326" s="211"/>
      <c r="G2326" s="212"/>
      <c r="H2326" s="212"/>
      <c r="I2326" s="204"/>
      <c r="J2326" s="204"/>
      <c r="K2326" s="204"/>
      <c r="L2326" s="204"/>
      <c r="M2326" s="204"/>
      <c r="N2326" s="204"/>
      <c r="O2326" s="204"/>
      <c r="P2326" s="204"/>
      <c r="Q2326" s="204"/>
      <c r="R2326" s="204"/>
      <c r="S2326" s="204"/>
      <c r="T2326" s="204"/>
      <c r="U2326" s="204"/>
      <c r="V2326" s="204"/>
      <c r="W2326" s="204"/>
      <c r="X2326" s="204"/>
      <c r="Y2326" s="204"/>
      <c r="Z2326" s="204"/>
      <c r="AA2326" s="204"/>
      <c r="AB2326" s="204"/>
      <c r="AC2326" s="204"/>
      <c r="AD2326" s="204"/>
      <c r="AE2326" s="204"/>
      <c r="AF2326" s="204"/>
      <c r="AG2326" s="204"/>
      <c r="AH2326" s="204"/>
      <c r="AI2326" s="209"/>
      <c r="AJ2326" s="209"/>
      <c r="AK2326" s="204"/>
      <c r="AL2326" s="204"/>
      <c r="AM2326" s="204"/>
    </row>
    <row r="2327">
      <c r="A2327" s="204"/>
      <c r="B2327" s="209"/>
      <c r="C2327" s="204"/>
      <c r="D2327" s="210"/>
      <c r="E2327" s="211"/>
      <c r="F2327" s="211"/>
      <c r="G2327" s="212"/>
      <c r="H2327" s="212"/>
      <c r="I2327" s="204"/>
      <c r="J2327" s="204"/>
      <c r="K2327" s="204"/>
      <c r="L2327" s="204"/>
      <c r="M2327" s="204"/>
      <c r="N2327" s="204"/>
      <c r="O2327" s="204"/>
      <c r="P2327" s="204"/>
      <c r="Q2327" s="204"/>
      <c r="R2327" s="204"/>
      <c r="S2327" s="204"/>
      <c r="T2327" s="204"/>
      <c r="U2327" s="204"/>
      <c r="V2327" s="204"/>
      <c r="W2327" s="204"/>
      <c r="X2327" s="204"/>
      <c r="Y2327" s="204"/>
      <c r="Z2327" s="204"/>
      <c r="AA2327" s="204"/>
      <c r="AB2327" s="204"/>
      <c r="AC2327" s="204"/>
      <c r="AD2327" s="204"/>
      <c r="AE2327" s="204"/>
      <c r="AF2327" s="204"/>
      <c r="AG2327" s="204"/>
      <c r="AH2327" s="204"/>
      <c r="AI2327" s="209"/>
      <c r="AJ2327" s="209"/>
      <c r="AK2327" s="204"/>
      <c r="AL2327" s="204"/>
      <c r="AM2327" s="204"/>
    </row>
    <row r="2328">
      <c r="A2328" s="204"/>
      <c r="B2328" s="209"/>
      <c r="C2328" s="204"/>
      <c r="D2328" s="210"/>
      <c r="E2328" s="211"/>
      <c r="F2328" s="211"/>
      <c r="G2328" s="212"/>
      <c r="H2328" s="212"/>
      <c r="I2328" s="204"/>
      <c r="J2328" s="204"/>
      <c r="K2328" s="204"/>
      <c r="L2328" s="204"/>
      <c r="M2328" s="204"/>
      <c r="N2328" s="204"/>
      <c r="O2328" s="204"/>
      <c r="P2328" s="204"/>
      <c r="Q2328" s="204"/>
      <c r="R2328" s="204"/>
      <c r="S2328" s="204"/>
      <c r="T2328" s="204"/>
      <c r="U2328" s="204"/>
      <c r="V2328" s="204"/>
      <c r="W2328" s="204"/>
      <c r="X2328" s="204"/>
      <c r="Y2328" s="204"/>
      <c r="Z2328" s="204"/>
      <c r="AA2328" s="204"/>
      <c r="AB2328" s="204"/>
      <c r="AC2328" s="204"/>
      <c r="AD2328" s="204"/>
      <c r="AE2328" s="204"/>
      <c r="AF2328" s="204"/>
      <c r="AG2328" s="204"/>
      <c r="AH2328" s="204"/>
      <c r="AI2328" s="209"/>
      <c r="AJ2328" s="209"/>
      <c r="AK2328" s="204"/>
      <c r="AL2328" s="204"/>
      <c r="AM2328" s="204"/>
    </row>
    <row r="2329">
      <c r="A2329" s="204"/>
      <c r="B2329" s="209"/>
      <c r="C2329" s="204"/>
      <c r="D2329" s="210"/>
      <c r="E2329" s="211"/>
      <c r="F2329" s="211"/>
      <c r="G2329" s="212"/>
      <c r="H2329" s="212"/>
      <c r="I2329" s="204"/>
      <c r="J2329" s="204"/>
      <c r="K2329" s="204"/>
      <c r="L2329" s="204"/>
      <c r="M2329" s="204"/>
      <c r="N2329" s="204"/>
      <c r="O2329" s="204"/>
      <c r="P2329" s="204"/>
      <c r="Q2329" s="204"/>
      <c r="R2329" s="204"/>
      <c r="S2329" s="204"/>
      <c r="T2329" s="204"/>
      <c r="U2329" s="204"/>
      <c r="V2329" s="204"/>
      <c r="W2329" s="204"/>
      <c r="X2329" s="204"/>
      <c r="Y2329" s="204"/>
      <c r="Z2329" s="204"/>
      <c r="AA2329" s="204"/>
      <c r="AB2329" s="204"/>
      <c r="AC2329" s="204"/>
      <c r="AD2329" s="204"/>
      <c r="AE2329" s="204"/>
      <c r="AF2329" s="204"/>
      <c r="AG2329" s="204"/>
      <c r="AH2329" s="204"/>
      <c r="AI2329" s="209"/>
      <c r="AJ2329" s="209"/>
      <c r="AK2329" s="204"/>
      <c r="AL2329" s="204"/>
      <c r="AM2329" s="204"/>
    </row>
    <row r="2330">
      <c r="A2330" s="204"/>
      <c r="B2330" s="209"/>
      <c r="C2330" s="204"/>
      <c r="D2330" s="210"/>
      <c r="E2330" s="211"/>
      <c r="F2330" s="211"/>
      <c r="G2330" s="212"/>
      <c r="H2330" s="212"/>
      <c r="I2330" s="204"/>
      <c r="J2330" s="204"/>
      <c r="K2330" s="204"/>
      <c r="L2330" s="204"/>
      <c r="M2330" s="204"/>
      <c r="N2330" s="204"/>
      <c r="O2330" s="204"/>
      <c r="P2330" s="204"/>
      <c r="Q2330" s="204"/>
      <c r="R2330" s="204"/>
      <c r="S2330" s="204"/>
      <c r="T2330" s="204"/>
      <c r="U2330" s="204"/>
      <c r="V2330" s="204"/>
      <c r="W2330" s="204"/>
      <c r="X2330" s="204"/>
      <c r="Y2330" s="204"/>
      <c r="Z2330" s="204"/>
      <c r="AA2330" s="204"/>
      <c r="AB2330" s="204"/>
      <c r="AC2330" s="204"/>
      <c r="AD2330" s="204"/>
      <c r="AE2330" s="204"/>
      <c r="AF2330" s="204"/>
      <c r="AG2330" s="204"/>
      <c r="AH2330" s="204"/>
      <c r="AI2330" s="209"/>
      <c r="AJ2330" s="209"/>
      <c r="AK2330" s="204"/>
      <c r="AL2330" s="204"/>
      <c r="AM2330" s="204"/>
    </row>
    <row r="2331">
      <c r="A2331" s="204"/>
      <c r="B2331" s="209"/>
      <c r="C2331" s="204"/>
      <c r="D2331" s="210"/>
      <c r="E2331" s="211"/>
      <c r="F2331" s="211"/>
      <c r="G2331" s="212"/>
      <c r="H2331" s="212"/>
      <c r="I2331" s="204"/>
      <c r="J2331" s="204"/>
      <c r="K2331" s="204"/>
      <c r="L2331" s="204"/>
      <c r="M2331" s="204"/>
      <c r="N2331" s="204"/>
      <c r="O2331" s="204"/>
      <c r="P2331" s="204"/>
      <c r="Q2331" s="204"/>
      <c r="R2331" s="204"/>
      <c r="S2331" s="204"/>
      <c r="T2331" s="204"/>
      <c r="U2331" s="204"/>
      <c r="V2331" s="204"/>
      <c r="W2331" s="204"/>
      <c r="X2331" s="204"/>
      <c r="Y2331" s="204"/>
      <c r="Z2331" s="204"/>
      <c r="AA2331" s="204"/>
      <c r="AB2331" s="204"/>
      <c r="AC2331" s="204"/>
      <c r="AD2331" s="204"/>
      <c r="AE2331" s="204"/>
      <c r="AF2331" s="204"/>
      <c r="AG2331" s="204"/>
      <c r="AH2331" s="204"/>
      <c r="AI2331" s="209"/>
      <c r="AJ2331" s="209"/>
      <c r="AK2331" s="204"/>
      <c r="AL2331" s="204"/>
      <c r="AM2331" s="204"/>
    </row>
    <row r="2332">
      <c r="A2332" s="204"/>
      <c r="B2332" s="209"/>
      <c r="C2332" s="204"/>
      <c r="D2332" s="210"/>
      <c r="E2332" s="211"/>
      <c r="F2332" s="211"/>
      <c r="G2332" s="212"/>
      <c r="H2332" s="212"/>
      <c r="I2332" s="204"/>
      <c r="J2332" s="204"/>
      <c r="K2332" s="204"/>
      <c r="L2332" s="204"/>
      <c r="M2332" s="204"/>
      <c r="N2332" s="204"/>
      <c r="O2332" s="204"/>
      <c r="P2332" s="204"/>
      <c r="Q2332" s="204"/>
      <c r="R2332" s="204"/>
      <c r="S2332" s="204"/>
      <c r="T2332" s="204"/>
      <c r="U2332" s="204"/>
      <c r="V2332" s="204"/>
      <c r="W2332" s="204"/>
      <c r="X2332" s="204"/>
      <c r="Y2332" s="204"/>
      <c r="Z2332" s="204"/>
      <c r="AA2332" s="204"/>
      <c r="AB2332" s="204"/>
      <c r="AC2332" s="204"/>
      <c r="AD2332" s="204"/>
      <c r="AE2332" s="204"/>
      <c r="AF2332" s="204"/>
      <c r="AG2332" s="204"/>
      <c r="AH2332" s="204"/>
      <c r="AI2332" s="209"/>
      <c r="AJ2332" s="209"/>
      <c r="AK2332" s="204"/>
      <c r="AL2332" s="204"/>
      <c r="AM2332" s="204"/>
    </row>
    <row r="2333">
      <c r="A2333" s="204"/>
      <c r="B2333" s="209"/>
      <c r="C2333" s="204"/>
      <c r="D2333" s="210"/>
      <c r="E2333" s="211"/>
      <c r="F2333" s="211"/>
      <c r="G2333" s="212"/>
      <c r="H2333" s="212"/>
      <c r="I2333" s="204"/>
      <c r="J2333" s="204"/>
      <c r="K2333" s="204"/>
      <c r="L2333" s="204"/>
      <c r="M2333" s="204"/>
      <c r="N2333" s="204"/>
      <c r="O2333" s="204"/>
      <c r="P2333" s="204"/>
      <c r="Q2333" s="204"/>
      <c r="R2333" s="204"/>
      <c r="S2333" s="204"/>
      <c r="T2333" s="204"/>
      <c r="U2333" s="204"/>
      <c r="V2333" s="204"/>
      <c r="W2333" s="204"/>
      <c r="X2333" s="204"/>
      <c r="Y2333" s="204"/>
      <c r="Z2333" s="204"/>
      <c r="AA2333" s="204"/>
      <c r="AB2333" s="204"/>
      <c r="AC2333" s="204"/>
      <c r="AD2333" s="204"/>
      <c r="AE2333" s="204"/>
      <c r="AF2333" s="204"/>
      <c r="AG2333" s="204"/>
      <c r="AH2333" s="204"/>
      <c r="AI2333" s="209"/>
      <c r="AJ2333" s="209"/>
      <c r="AK2333" s="204"/>
      <c r="AL2333" s="204"/>
      <c r="AM2333" s="204"/>
    </row>
    <row r="2334">
      <c r="A2334" s="204"/>
      <c r="B2334" s="209"/>
      <c r="C2334" s="204"/>
      <c r="D2334" s="210"/>
      <c r="E2334" s="211"/>
      <c r="F2334" s="211"/>
      <c r="G2334" s="212"/>
      <c r="H2334" s="212"/>
      <c r="I2334" s="204"/>
      <c r="J2334" s="204"/>
      <c r="K2334" s="204"/>
      <c r="L2334" s="204"/>
      <c r="M2334" s="204"/>
      <c r="N2334" s="204"/>
      <c r="O2334" s="204"/>
      <c r="P2334" s="204"/>
      <c r="Q2334" s="204"/>
      <c r="R2334" s="204"/>
      <c r="S2334" s="204"/>
      <c r="T2334" s="204"/>
      <c r="U2334" s="204"/>
      <c r="V2334" s="204"/>
      <c r="W2334" s="204"/>
      <c r="X2334" s="204"/>
      <c r="Y2334" s="204"/>
      <c r="Z2334" s="204"/>
      <c r="AA2334" s="204"/>
      <c r="AB2334" s="204"/>
      <c r="AC2334" s="204"/>
      <c r="AD2334" s="204"/>
      <c r="AE2334" s="204"/>
      <c r="AF2334" s="204"/>
      <c r="AG2334" s="204"/>
      <c r="AH2334" s="204"/>
      <c r="AI2334" s="209"/>
      <c r="AJ2334" s="209"/>
      <c r="AK2334" s="204"/>
      <c r="AL2334" s="204"/>
      <c r="AM2334" s="204"/>
    </row>
    <row r="2335">
      <c r="A2335" s="204"/>
      <c r="B2335" s="209"/>
      <c r="C2335" s="204"/>
      <c r="D2335" s="210"/>
      <c r="E2335" s="211"/>
      <c r="F2335" s="211"/>
      <c r="G2335" s="212"/>
      <c r="H2335" s="212"/>
      <c r="I2335" s="204"/>
      <c r="J2335" s="204"/>
      <c r="K2335" s="204"/>
      <c r="L2335" s="204"/>
      <c r="M2335" s="204"/>
      <c r="N2335" s="204"/>
      <c r="O2335" s="204"/>
      <c r="P2335" s="204"/>
      <c r="Q2335" s="204"/>
      <c r="R2335" s="204"/>
      <c r="S2335" s="204"/>
      <c r="T2335" s="204"/>
      <c r="U2335" s="204"/>
      <c r="V2335" s="204"/>
      <c r="W2335" s="204"/>
      <c r="X2335" s="204"/>
      <c r="Y2335" s="204"/>
      <c r="Z2335" s="204"/>
      <c r="AA2335" s="204"/>
      <c r="AB2335" s="204"/>
      <c r="AC2335" s="204"/>
      <c r="AD2335" s="204"/>
      <c r="AE2335" s="204"/>
      <c r="AF2335" s="204"/>
      <c r="AG2335" s="204"/>
      <c r="AH2335" s="204"/>
      <c r="AI2335" s="209"/>
      <c r="AJ2335" s="209"/>
      <c r="AK2335" s="204"/>
      <c r="AL2335" s="204"/>
      <c r="AM2335" s="204"/>
    </row>
    <row r="2336">
      <c r="A2336" s="204"/>
      <c r="B2336" s="209"/>
      <c r="C2336" s="204"/>
      <c r="D2336" s="210"/>
      <c r="E2336" s="211"/>
      <c r="F2336" s="211"/>
      <c r="G2336" s="212"/>
      <c r="H2336" s="212"/>
      <c r="I2336" s="204"/>
      <c r="J2336" s="204"/>
      <c r="K2336" s="204"/>
      <c r="L2336" s="204"/>
      <c r="M2336" s="204"/>
      <c r="N2336" s="204"/>
      <c r="O2336" s="204"/>
      <c r="P2336" s="204"/>
      <c r="Q2336" s="204"/>
      <c r="R2336" s="204"/>
      <c r="S2336" s="204"/>
      <c r="T2336" s="204"/>
      <c r="U2336" s="204"/>
      <c r="V2336" s="204"/>
      <c r="W2336" s="204"/>
      <c r="X2336" s="204"/>
      <c r="Y2336" s="204"/>
      <c r="Z2336" s="204"/>
      <c r="AA2336" s="204"/>
      <c r="AB2336" s="204"/>
      <c r="AC2336" s="204"/>
      <c r="AD2336" s="204"/>
      <c r="AE2336" s="204"/>
      <c r="AF2336" s="204"/>
      <c r="AG2336" s="204"/>
      <c r="AH2336" s="204"/>
      <c r="AI2336" s="209"/>
      <c r="AJ2336" s="209"/>
      <c r="AK2336" s="204"/>
      <c r="AL2336" s="204"/>
      <c r="AM2336" s="204"/>
    </row>
    <row r="2337">
      <c r="A2337" s="204"/>
      <c r="B2337" s="209"/>
      <c r="C2337" s="204"/>
      <c r="D2337" s="210"/>
      <c r="E2337" s="211"/>
      <c r="F2337" s="211"/>
      <c r="G2337" s="212"/>
      <c r="H2337" s="212"/>
      <c r="I2337" s="204"/>
      <c r="J2337" s="204"/>
      <c r="K2337" s="204"/>
      <c r="L2337" s="204"/>
      <c r="M2337" s="204"/>
      <c r="N2337" s="204"/>
      <c r="O2337" s="204"/>
      <c r="P2337" s="204"/>
      <c r="Q2337" s="204"/>
      <c r="R2337" s="204"/>
      <c r="S2337" s="204"/>
      <c r="T2337" s="204"/>
      <c r="U2337" s="204"/>
      <c r="V2337" s="204"/>
      <c r="W2337" s="204"/>
      <c r="X2337" s="204"/>
      <c r="Y2337" s="204"/>
      <c r="Z2337" s="204"/>
      <c r="AA2337" s="204"/>
      <c r="AB2337" s="204"/>
      <c r="AC2337" s="204"/>
      <c r="AD2337" s="204"/>
      <c r="AE2337" s="204"/>
      <c r="AF2337" s="204"/>
      <c r="AG2337" s="204"/>
      <c r="AH2337" s="204"/>
      <c r="AI2337" s="209"/>
      <c r="AJ2337" s="209"/>
      <c r="AK2337" s="204"/>
      <c r="AL2337" s="204"/>
      <c r="AM2337" s="204"/>
    </row>
    <row r="2338">
      <c r="A2338" s="204"/>
      <c r="B2338" s="209"/>
      <c r="C2338" s="204"/>
      <c r="D2338" s="210"/>
      <c r="E2338" s="211"/>
      <c r="F2338" s="211"/>
      <c r="G2338" s="212"/>
      <c r="H2338" s="212"/>
      <c r="I2338" s="204"/>
      <c r="J2338" s="204"/>
      <c r="K2338" s="204"/>
      <c r="L2338" s="204"/>
      <c r="M2338" s="204"/>
      <c r="N2338" s="204"/>
      <c r="O2338" s="204"/>
      <c r="P2338" s="204"/>
      <c r="Q2338" s="204"/>
      <c r="R2338" s="204"/>
      <c r="S2338" s="204"/>
      <c r="T2338" s="204"/>
      <c r="U2338" s="204"/>
      <c r="V2338" s="204"/>
      <c r="W2338" s="204"/>
      <c r="X2338" s="204"/>
      <c r="Y2338" s="204"/>
      <c r="Z2338" s="204"/>
      <c r="AA2338" s="204"/>
      <c r="AB2338" s="204"/>
      <c r="AC2338" s="204"/>
      <c r="AD2338" s="204"/>
      <c r="AE2338" s="204"/>
      <c r="AF2338" s="204"/>
      <c r="AG2338" s="204"/>
      <c r="AH2338" s="204"/>
      <c r="AI2338" s="209"/>
      <c r="AJ2338" s="209"/>
      <c r="AK2338" s="204"/>
      <c r="AL2338" s="204"/>
      <c r="AM2338" s="204"/>
    </row>
    <row r="2339">
      <c r="A2339" s="204"/>
      <c r="B2339" s="209"/>
      <c r="C2339" s="204"/>
      <c r="D2339" s="210"/>
      <c r="E2339" s="211"/>
      <c r="F2339" s="211"/>
      <c r="G2339" s="212"/>
      <c r="H2339" s="212"/>
      <c r="I2339" s="204"/>
      <c r="J2339" s="204"/>
      <c r="K2339" s="204"/>
      <c r="L2339" s="204"/>
      <c r="M2339" s="204"/>
      <c r="N2339" s="204"/>
      <c r="O2339" s="204"/>
      <c r="P2339" s="204"/>
      <c r="Q2339" s="204"/>
      <c r="R2339" s="204"/>
      <c r="S2339" s="204"/>
      <c r="T2339" s="204"/>
      <c r="U2339" s="204"/>
      <c r="V2339" s="204"/>
      <c r="W2339" s="204"/>
      <c r="X2339" s="204"/>
      <c r="Y2339" s="204"/>
      <c r="Z2339" s="204"/>
      <c r="AA2339" s="204"/>
      <c r="AB2339" s="204"/>
      <c r="AC2339" s="204"/>
      <c r="AD2339" s="204"/>
      <c r="AE2339" s="204"/>
      <c r="AF2339" s="204"/>
      <c r="AG2339" s="204"/>
      <c r="AH2339" s="204"/>
      <c r="AI2339" s="209"/>
      <c r="AJ2339" s="209"/>
      <c r="AK2339" s="204"/>
      <c r="AL2339" s="204"/>
      <c r="AM2339" s="204"/>
    </row>
    <row r="2340">
      <c r="A2340" s="204"/>
      <c r="B2340" s="209"/>
      <c r="C2340" s="204"/>
      <c r="D2340" s="210"/>
      <c r="E2340" s="211"/>
      <c r="F2340" s="211"/>
      <c r="G2340" s="212"/>
      <c r="H2340" s="212"/>
      <c r="I2340" s="204"/>
      <c r="J2340" s="204"/>
      <c r="K2340" s="204"/>
      <c r="L2340" s="204"/>
      <c r="M2340" s="204"/>
      <c r="N2340" s="204"/>
      <c r="O2340" s="204"/>
      <c r="P2340" s="204"/>
      <c r="Q2340" s="204"/>
      <c r="R2340" s="204"/>
      <c r="S2340" s="204"/>
      <c r="T2340" s="204"/>
      <c r="U2340" s="204"/>
      <c r="V2340" s="204"/>
      <c r="W2340" s="204"/>
      <c r="X2340" s="204"/>
      <c r="Y2340" s="204"/>
      <c r="Z2340" s="204"/>
      <c r="AA2340" s="204"/>
      <c r="AB2340" s="204"/>
      <c r="AC2340" s="204"/>
      <c r="AD2340" s="204"/>
      <c r="AE2340" s="204"/>
      <c r="AF2340" s="204"/>
      <c r="AG2340" s="204"/>
      <c r="AH2340" s="204"/>
      <c r="AI2340" s="209"/>
      <c r="AJ2340" s="209"/>
      <c r="AK2340" s="204"/>
      <c r="AL2340" s="204"/>
      <c r="AM2340" s="204"/>
    </row>
    <row r="2341">
      <c r="A2341" s="204"/>
      <c r="B2341" s="209"/>
      <c r="C2341" s="204"/>
      <c r="D2341" s="210"/>
      <c r="E2341" s="211"/>
      <c r="F2341" s="211"/>
      <c r="G2341" s="212"/>
      <c r="H2341" s="212"/>
      <c r="I2341" s="204"/>
      <c r="J2341" s="204"/>
      <c r="K2341" s="204"/>
      <c r="L2341" s="204"/>
      <c r="M2341" s="204"/>
      <c r="N2341" s="204"/>
      <c r="O2341" s="204"/>
      <c r="P2341" s="204"/>
      <c r="Q2341" s="204"/>
      <c r="R2341" s="204"/>
      <c r="S2341" s="204"/>
      <c r="T2341" s="204"/>
      <c r="U2341" s="204"/>
      <c r="V2341" s="204"/>
      <c r="W2341" s="204"/>
      <c r="X2341" s="204"/>
      <c r="Y2341" s="204"/>
      <c r="Z2341" s="204"/>
      <c r="AA2341" s="204"/>
      <c r="AB2341" s="204"/>
      <c r="AC2341" s="204"/>
      <c r="AD2341" s="204"/>
      <c r="AE2341" s="204"/>
      <c r="AF2341" s="204"/>
      <c r="AG2341" s="204"/>
      <c r="AH2341" s="204"/>
      <c r="AI2341" s="209"/>
      <c r="AJ2341" s="209"/>
      <c r="AK2341" s="204"/>
      <c r="AL2341" s="204"/>
      <c r="AM2341" s="204"/>
    </row>
    <row r="2342">
      <c r="A2342" s="204"/>
      <c r="B2342" s="209"/>
      <c r="C2342" s="204"/>
      <c r="D2342" s="210"/>
      <c r="E2342" s="211"/>
      <c r="F2342" s="211"/>
      <c r="G2342" s="212"/>
      <c r="H2342" s="212"/>
      <c r="I2342" s="204"/>
      <c r="J2342" s="204"/>
      <c r="K2342" s="204"/>
      <c r="L2342" s="204"/>
      <c r="M2342" s="204"/>
      <c r="N2342" s="204"/>
      <c r="O2342" s="204"/>
      <c r="P2342" s="204"/>
      <c r="Q2342" s="204"/>
      <c r="R2342" s="204"/>
      <c r="S2342" s="204"/>
      <c r="T2342" s="204"/>
      <c r="U2342" s="204"/>
      <c r="V2342" s="204"/>
      <c r="W2342" s="204"/>
      <c r="X2342" s="204"/>
      <c r="Y2342" s="204"/>
      <c r="Z2342" s="204"/>
      <c r="AA2342" s="204"/>
      <c r="AB2342" s="204"/>
      <c r="AC2342" s="204"/>
      <c r="AD2342" s="204"/>
      <c r="AE2342" s="204"/>
      <c r="AF2342" s="204"/>
      <c r="AG2342" s="204"/>
      <c r="AH2342" s="204"/>
      <c r="AI2342" s="209"/>
      <c r="AJ2342" s="209"/>
      <c r="AK2342" s="204"/>
      <c r="AL2342" s="204"/>
      <c r="AM2342" s="204"/>
    </row>
    <row r="2343">
      <c r="A2343" s="204"/>
      <c r="B2343" s="209"/>
      <c r="C2343" s="204"/>
      <c r="D2343" s="210"/>
      <c r="E2343" s="211"/>
      <c r="F2343" s="211"/>
      <c r="G2343" s="212"/>
      <c r="H2343" s="212"/>
      <c r="I2343" s="204"/>
      <c r="J2343" s="204"/>
      <c r="K2343" s="204"/>
      <c r="L2343" s="204"/>
      <c r="M2343" s="204"/>
      <c r="N2343" s="204"/>
      <c r="O2343" s="204"/>
      <c r="P2343" s="204"/>
      <c r="Q2343" s="204"/>
      <c r="R2343" s="204"/>
      <c r="S2343" s="204"/>
      <c r="T2343" s="204"/>
      <c r="U2343" s="204"/>
      <c r="V2343" s="204"/>
      <c r="W2343" s="204"/>
      <c r="X2343" s="204"/>
      <c r="Y2343" s="204"/>
      <c r="Z2343" s="204"/>
      <c r="AA2343" s="204"/>
      <c r="AB2343" s="204"/>
      <c r="AC2343" s="204"/>
      <c r="AD2343" s="204"/>
      <c r="AE2343" s="204"/>
      <c r="AF2343" s="204"/>
      <c r="AG2343" s="204"/>
      <c r="AH2343" s="204"/>
      <c r="AI2343" s="209"/>
      <c r="AJ2343" s="209"/>
      <c r="AK2343" s="204"/>
      <c r="AL2343" s="204"/>
      <c r="AM2343" s="204"/>
    </row>
    <row r="2344">
      <c r="A2344" s="204"/>
      <c r="B2344" s="209"/>
      <c r="C2344" s="204"/>
      <c r="D2344" s="210"/>
      <c r="E2344" s="211"/>
      <c r="F2344" s="211"/>
      <c r="G2344" s="212"/>
      <c r="H2344" s="212"/>
      <c r="I2344" s="204"/>
      <c r="J2344" s="204"/>
      <c r="K2344" s="204"/>
      <c r="L2344" s="204"/>
      <c r="M2344" s="204"/>
      <c r="N2344" s="204"/>
      <c r="O2344" s="204"/>
      <c r="P2344" s="204"/>
      <c r="Q2344" s="204"/>
      <c r="R2344" s="204"/>
      <c r="S2344" s="204"/>
      <c r="T2344" s="204"/>
      <c r="U2344" s="204"/>
      <c r="V2344" s="204"/>
      <c r="W2344" s="204"/>
      <c r="X2344" s="204"/>
      <c r="Y2344" s="204"/>
      <c r="Z2344" s="204"/>
      <c r="AA2344" s="204"/>
      <c r="AB2344" s="204"/>
      <c r="AC2344" s="204"/>
      <c r="AD2344" s="204"/>
      <c r="AE2344" s="204"/>
      <c r="AF2344" s="204"/>
      <c r="AG2344" s="204"/>
      <c r="AH2344" s="204"/>
      <c r="AI2344" s="209"/>
      <c r="AJ2344" s="209"/>
      <c r="AK2344" s="204"/>
      <c r="AL2344" s="204"/>
      <c r="AM2344" s="204"/>
    </row>
    <row r="2345">
      <c r="A2345" s="204"/>
      <c r="B2345" s="209"/>
      <c r="C2345" s="204"/>
      <c r="D2345" s="210"/>
      <c r="E2345" s="211"/>
      <c r="F2345" s="211"/>
      <c r="G2345" s="212"/>
      <c r="H2345" s="212"/>
      <c r="I2345" s="204"/>
      <c r="J2345" s="204"/>
      <c r="K2345" s="204"/>
      <c r="L2345" s="204"/>
      <c r="M2345" s="204"/>
      <c r="N2345" s="204"/>
      <c r="O2345" s="204"/>
      <c r="P2345" s="204"/>
      <c r="Q2345" s="204"/>
      <c r="R2345" s="204"/>
      <c r="S2345" s="204"/>
      <c r="T2345" s="204"/>
      <c r="U2345" s="204"/>
      <c r="V2345" s="204"/>
      <c r="W2345" s="204"/>
      <c r="X2345" s="204"/>
      <c r="Y2345" s="204"/>
      <c r="Z2345" s="204"/>
      <c r="AA2345" s="204"/>
      <c r="AB2345" s="204"/>
      <c r="AC2345" s="204"/>
      <c r="AD2345" s="204"/>
      <c r="AE2345" s="204"/>
      <c r="AF2345" s="204"/>
      <c r="AG2345" s="204"/>
      <c r="AH2345" s="204"/>
      <c r="AI2345" s="209"/>
      <c r="AJ2345" s="209"/>
      <c r="AK2345" s="204"/>
      <c r="AL2345" s="204"/>
      <c r="AM2345" s="204"/>
    </row>
    <row r="2346">
      <c r="A2346" s="204"/>
      <c r="B2346" s="209"/>
      <c r="C2346" s="204"/>
      <c r="D2346" s="210"/>
      <c r="E2346" s="211"/>
      <c r="F2346" s="211"/>
      <c r="G2346" s="212"/>
      <c r="H2346" s="212"/>
      <c r="I2346" s="204"/>
      <c r="J2346" s="204"/>
      <c r="K2346" s="204"/>
      <c r="L2346" s="204"/>
      <c r="M2346" s="204"/>
      <c r="N2346" s="204"/>
      <c r="O2346" s="204"/>
      <c r="P2346" s="204"/>
      <c r="Q2346" s="204"/>
      <c r="R2346" s="204"/>
      <c r="S2346" s="204"/>
      <c r="T2346" s="204"/>
      <c r="U2346" s="204"/>
      <c r="V2346" s="204"/>
      <c r="W2346" s="204"/>
      <c r="X2346" s="204"/>
      <c r="Y2346" s="204"/>
      <c r="Z2346" s="204"/>
      <c r="AA2346" s="204"/>
      <c r="AB2346" s="204"/>
      <c r="AC2346" s="204"/>
      <c r="AD2346" s="204"/>
      <c r="AE2346" s="204"/>
      <c r="AF2346" s="204"/>
      <c r="AG2346" s="204"/>
      <c r="AH2346" s="204"/>
      <c r="AI2346" s="209"/>
      <c r="AJ2346" s="209"/>
      <c r="AK2346" s="204"/>
      <c r="AL2346" s="204"/>
      <c r="AM2346" s="204"/>
    </row>
    <row r="2347">
      <c r="A2347" s="204"/>
      <c r="B2347" s="209"/>
      <c r="C2347" s="204"/>
      <c r="D2347" s="210"/>
      <c r="E2347" s="211"/>
      <c r="F2347" s="211"/>
      <c r="G2347" s="212"/>
      <c r="H2347" s="212"/>
      <c r="I2347" s="204"/>
      <c r="J2347" s="204"/>
      <c r="K2347" s="204"/>
      <c r="L2347" s="204"/>
      <c r="M2347" s="204"/>
      <c r="N2347" s="204"/>
      <c r="O2347" s="204"/>
      <c r="P2347" s="204"/>
      <c r="Q2347" s="204"/>
      <c r="R2347" s="204"/>
      <c r="S2347" s="204"/>
      <c r="T2347" s="204"/>
      <c r="U2347" s="204"/>
      <c r="V2347" s="204"/>
      <c r="W2347" s="204"/>
      <c r="X2347" s="204"/>
      <c r="Y2347" s="204"/>
      <c r="Z2347" s="204"/>
      <c r="AA2347" s="204"/>
      <c r="AB2347" s="204"/>
      <c r="AC2347" s="204"/>
      <c r="AD2347" s="204"/>
      <c r="AE2347" s="204"/>
      <c r="AF2347" s="204"/>
      <c r="AG2347" s="204"/>
      <c r="AH2347" s="204"/>
      <c r="AI2347" s="209"/>
      <c r="AJ2347" s="209"/>
      <c r="AK2347" s="204"/>
      <c r="AL2347" s="204"/>
      <c r="AM2347" s="204"/>
    </row>
    <row r="2348">
      <c r="A2348" s="204"/>
      <c r="B2348" s="209"/>
      <c r="C2348" s="204"/>
      <c r="D2348" s="210"/>
      <c r="E2348" s="211"/>
      <c r="F2348" s="211"/>
      <c r="G2348" s="212"/>
      <c r="H2348" s="212"/>
      <c r="I2348" s="204"/>
      <c r="J2348" s="204"/>
      <c r="K2348" s="204"/>
      <c r="L2348" s="204"/>
      <c r="M2348" s="204"/>
      <c r="N2348" s="204"/>
      <c r="O2348" s="204"/>
      <c r="P2348" s="204"/>
      <c r="Q2348" s="204"/>
      <c r="R2348" s="204"/>
      <c r="S2348" s="204"/>
      <c r="T2348" s="204"/>
      <c r="U2348" s="204"/>
      <c r="V2348" s="204"/>
      <c r="W2348" s="204"/>
      <c r="X2348" s="204"/>
      <c r="Y2348" s="204"/>
      <c r="Z2348" s="204"/>
      <c r="AA2348" s="204"/>
      <c r="AB2348" s="204"/>
      <c r="AC2348" s="204"/>
      <c r="AD2348" s="204"/>
      <c r="AE2348" s="204"/>
      <c r="AF2348" s="204"/>
      <c r="AG2348" s="204"/>
      <c r="AH2348" s="204"/>
      <c r="AI2348" s="209"/>
      <c r="AJ2348" s="209"/>
      <c r="AK2348" s="204"/>
      <c r="AL2348" s="204"/>
      <c r="AM2348" s="204"/>
    </row>
    <row r="2349">
      <c r="A2349" s="204"/>
      <c r="B2349" s="209"/>
      <c r="C2349" s="204"/>
      <c r="D2349" s="210"/>
      <c r="E2349" s="211"/>
      <c r="F2349" s="211"/>
      <c r="G2349" s="212"/>
      <c r="H2349" s="212"/>
      <c r="I2349" s="204"/>
      <c r="J2349" s="204"/>
      <c r="K2349" s="204"/>
      <c r="L2349" s="204"/>
      <c r="M2349" s="204"/>
      <c r="N2349" s="204"/>
      <c r="O2349" s="204"/>
      <c r="P2349" s="204"/>
      <c r="Q2349" s="204"/>
      <c r="R2349" s="204"/>
      <c r="S2349" s="204"/>
      <c r="T2349" s="204"/>
      <c r="U2349" s="204"/>
      <c r="V2349" s="204"/>
      <c r="W2349" s="204"/>
      <c r="X2349" s="204"/>
      <c r="Y2349" s="204"/>
      <c r="Z2349" s="204"/>
      <c r="AA2349" s="204"/>
      <c r="AB2349" s="204"/>
      <c r="AC2349" s="204"/>
      <c r="AD2349" s="204"/>
      <c r="AE2349" s="204"/>
      <c r="AF2349" s="204"/>
      <c r="AG2349" s="204"/>
      <c r="AH2349" s="204"/>
      <c r="AI2349" s="209"/>
      <c r="AJ2349" s="209"/>
      <c r="AK2349" s="204"/>
      <c r="AL2349" s="204"/>
      <c r="AM2349" s="204"/>
    </row>
    <row r="2350">
      <c r="A2350" s="204"/>
      <c r="B2350" s="209"/>
      <c r="C2350" s="204"/>
      <c r="D2350" s="210"/>
      <c r="E2350" s="211"/>
      <c r="F2350" s="211"/>
      <c r="G2350" s="212"/>
      <c r="H2350" s="212"/>
      <c r="I2350" s="204"/>
      <c r="J2350" s="204"/>
      <c r="K2350" s="204"/>
      <c r="L2350" s="204"/>
      <c r="M2350" s="204"/>
      <c r="N2350" s="204"/>
      <c r="O2350" s="204"/>
      <c r="P2350" s="204"/>
      <c r="Q2350" s="204"/>
      <c r="R2350" s="204"/>
      <c r="S2350" s="204"/>
      <c r="T2350" s="204"/>
      <c r="U2350" s="204"/>
      <c r="V2350" s="204"/>
      <c r="W2350" s="204"/>
      <c r="X2350" s="204"/>
      <c r="Y2350" s="204"/>
      <c r="Z2350" s="204"/>
      <c r="AA2350" s="204"/>
      <c r="AB2350" s="204"/>
      <c r="AC2350" s="204"/>
      <c r="AD2350" s="204"/>
      <c r="AE2350" s="204"/>
      <c r="AF2350" s="204"/>
      <c r="AG2350" s="204"/>
      <c r="AH2350" s="204"/>
      <c r="AI2350" s="209"/>
      <c r="AJ2350" s="209"/>
      <c r="AK2350" s="204"/>
      <c r="AL2350" s="204"/>
      <c r="AM2350" s="204"/>
    </row>
    <row r="2351">
      <c r="A2351" s="204"/>
      <c r="B2351" s="209"/>
      <c r="C2351" s="204"/>
      <c r="D2351" s="210"/>
      <c r="E2351" s="211"/>
      <c r="F2351" s="211"/>
      <c r="G2351" s="212"/>
      <c r="H2351" s="212"/>
      <c r="I2351" s="204"/>
      <c r="J2351" s="204"/>
      <c r="K2351" s="204"/>
      <c r="L2351" s="204"/>
      <c r="M2351" s="204"/>
      <c r="N2351" s="204"/>
      <c r="O2351" s="204"/>
      <c r="P2351" s="204"/>
      <c r="Q2351" s="204"/>
      <c r="R2351" s="204"/>
      <c r="S2351" s="204"/>
      <c r="T2351" s="204"/>
      <c r="U2351" s="204"/>
      <c r="V2351" s="204"/>
      <c r="W2351" s="204"/>
      <c r="X2351" s="204"/>
      <c r="Y2351" s="204"/>
      <c r="Z2351" s="204"/>
      <c r="AA2351" s="204"/>
      <c r="AB2351" s="204"/>
      <c r="AC2351" s="204"/>
      <c r="AD2351" s="204"/>
      <c r="AE2351" s="204"/>
      <c r="AF2351" s="204"/>
      <c r="AG2351" s="204"/>
      <c r="AH2351" s="204"/>
      <c r="AI2351" s="209"/>
      <c r="AJ2351" s="209"/>
      <c r="AK2351" s="204"/>
      <c r="AL2351" s="204"/>
      <c r="AM2351" s="204"/>
    </row>
    <row r="2352">
      <c r="A2352" s="204"/>
      <c r="B2352" s="209"/>
      <c r="C2352" s="204"/>
      <c r="D2352" s="210"/>
      <c r="E2352" s="211"/>
      <c r="F2352" s="211"/>
      <c r="G2352" s="212"/>
      <c r="H2352" s="212"/>
      <c r="I2352" s="204"/>
      <c r="J2352" s="204"/>
      <c r="K2352" s="204"/>
      <c r="L2352" s="204"/>
      <c r="M2352" s="204"/>
      <c r="N2352" s="204"/>
      <c r="O2352" s="204"/>
      <c r="P2352" s="204"/>
      <c r="Q2352" s="204"/>
      <c r="R2352" s="204"/>
      <c r="S2352" s="204"/>
      <c r="T2352" s="204"/>
      <c r="U2352" s="204"/>
      <c r="V2352" s="204"/>
      <c r="W2352" s="204"/>
      <c r="X2352" s="204"/>
      <c r="Y2352" s="204"/>
      <c r="Z2352" s="204"/>
      <c r="AA2352" s="204"/>
      <c r="AB2352" s="204"/>
      <c r="AC2352" s="204"/>
      <c r="AD2352" s="204"/>
      <c r="AE2352" s="204"/>
      <c r="AF2352" s="204"/>
      <c r="AG2352" s="204"/>
      <c r="AH2352" s="204"/>
      <c r="AI2352" s="209"/>
      <c r="AJ2352" s="209"/>
      <c r="AK2352" s="204"/>
      <c r="AL2352" s="204"/>
      <c r="AM2352" s="204"/>
    </row>
    <row r="2353">
      <c r="A2353" s="204"/>
      <c r="B2353" s="209"/>
      <c r="C2353" s="204"/>
      <c r="D2353" s="210"/>
      <c r="E2353" s="211"/>
      <c r="F2353" s="211"/>
      <c r="G2353" s="212"/>
      <c r="H2353" s="212"/>
      <c r="I2353" s="204"/>
      <c r="J2353" s="204"/>
      <c r="K2353" s="204"/>
      <c r="L2353" s="204"/>
      <c r="M2353" s="204"/>
      <c r="N2353" s="204"/>
      <c r="O2353" s="204"/>
      <c r="P2353" s="204"/>
      <c r="Q2353" s="204"/>
      <c r="R2353" s="204"/>
      <c r="S2353" s="204"/>
      <c r="T2353" s="204"/>
      <c r="U2353" s="204"/>
      <c r="V2353" s="204"/>
      <c r="W2353" s="204"/>
      <c r="X2353" s="204"/>
      <c r="Y2353" s="204"/>
      <c r="Z2353" s="204"/>
      <c r="AA2353" s="204"/>
      <c r="AB2353" s="204"/>
      <c r="AC2353" s="204"/>
      <c r="AD2353" s="204"/>
      <c r="AE2353" s="204"/>
      <c r="AF2353" s="204"/>
      <c r="AG2353" s="204"/>
      <c r="AH2353" s="204"/>
      <c r="AI2353" s="209"/>
      <c r="AJ2353" s="209"/>
      <c r="AK2353" s="204"/>
      <c r="AL2353" s="204"/>
      <c r="AM2353" s="204"/>
    </row>
    <row r="2354">
      <c r="A2354" s="204"/>
      <c r="B2354" s="209"/>
      <c r="C2354" s="204"/>
      <c r="D2354" s="210"/>
      <c r="E2354" s="211"/>
      <c r="F2354" s="211"/>
      <c r="G2354" s="212"/>
      <c r="H2354" s="212"/>
      <c r="I2354" s="204"/>
      <c r="J2354" s="204"/>
      <c r="K2354" s="204"/>
      <c r="L2354" s="204"/>
      <c r="M2354" s="204"/>
      <c r="N2354" s="204"/>
      <c r="O2354" s="204"/>
      <c r="P2354" s="204"/>
      <c r="Q2354" s="204"/>
      <c r="R2354" s="204"/>
      <c r="S2354" s="204"/>
      <c r="T2354" s="204"/>
      <c r="U2354" s="204"/>
      <c r="V2354" s="204"/>
      <c r="W2354" s="204"/>
      <c r="X2354" s="204"/>
      <c r="Y2354" s="204"/>
      <c r="Z2354" s="204"/>
      <c r="AA2354" s="204"/>
      <c r="AB2354" s="204"/>
      <c r="AC2354" s="204"/>
      <c r="AD2354" s="204"/>
      <c r="AE2354" s="204"/>
      <c r="AF2354" s="204"/>
      <c r="AG2354" s="204"/>
      <c r="AH2354" s="204"/>
      <c r="AI2354" s="209"/>
      <c r="AJ2354" s="209"/>
      <c r="AK2354" s="204"/>
      <c r="AL2354" s="204"/>
      <c r="AM2354" s="204"/>
    </row>
    <row r="2355">
      <c r="A2355" s="204"/>
      <c r="B2355" s="209"/>
      <c r="C2355" s="204"/>
      <c r="D2355" s="210"/>
      <c r="E2355" s="211"/>
      <c r="F2355" s="211"/>
      <c r="G2355" s="212"/>
      <c r="H2355" s="212"/>
      <c r="I2355" s="204"/>
      <c r="J2355" s="204"/>
      <c r="K2355" s="204"/>
      <c r="L2355" s="204"/>
      <c r="M2355" s="204"/>
      <c r="N2355" s="204"/>
      <c r="O2355" s="204"/>
      <c r="P2355" s="204"/>
      <c r="Q2355" s="204"/>
      <c r="R2355" s="204"/>
      <c r="S2355" s="204"/>
      <c r="T2355" s="204"/>
      <c r="U2355" s="204"/>
      <c r="V2355" s="204"/>
      <c r="W2355" s="204"/>
      <c r="X2355" s="204"/>
      <c r="Y2355" s="204"/>
      <c r="Z2355" s="204"/>
      <c r="AA2355" s="204"/>
      <c r="AB2355" s="204"/>
      <c r="AC2355" s="204"/>
      <c r="AD2355" s="204"/>
      <c r="AE2355" s="204"/>
      <c r="AF2355" s="204"/>
      <c r="AG2355" s="204"/>
      <c r="AH2355" s="204"/>
      <c r="AI2355" s="209"/>
      <c r="AJ2355" s="209"/>
      <c r="AK2355" s="204"/>
      <c r="AL2355" s="204"/>
      <c r="AM2355" s="204"/>
    </row>
    <row r="2356">
      <c r="A2356" s="204"/>
      <c r="B2356" s="209"/>
      <c r="C2356" s="204"/>
      <c r="D2356" s="210"/>
      <c r="E2356" s="211"/>
      <c r="F2356" s="211"/>
      <c r="G2356" s="212"/>
      <c r="H2356" s="212"/>
      <c r="I2356" s="204"/>
      <c r="J2356" s="204"/>
      <c r="K2356" s="204"/>
      <c r="L2356" s="204"/>
      <c r="M2356" s="204"/>
      <c r="N2356" s="204"/>
      <c r="O2356" s="204"/>
      <c r="P2356" s="204"/>
      <c r="Q2356" s="204"/>
      <c r="R2356" s="204"/>
      <c r="S2356" s="204"/>
      <c r="T2356" s="204"/>
      <c r="U2356" s="204"/>
      <c r="V2356" s="204"/>
      <c r="W2356" s="204"/>
      <c r="X2356" s="204"/>
      <c r="Y2356" s="204"/>
      <c r="Z2356" s="204"/>
      <c r="AA2356" s="204"/>
      <c r="AB2356" s="204"/>
      <c r="AC2356" s="204"/>
      <c r="AD2356" s="204"/>
      <c r="AE2356" s="204"/>
      <c r="AF2356" s="204"/>
      <c r="AG2356" s="204"/>
      <c r="AH2356" s="204"/>
      <c r="AI2356" s="209"/>
      <c r="AJ2356" s="209"/>
      <c r="AK2356" s="204"/>
      <c r="AL2356" s="204"/>
      <c r="AM2356" s="204"/>
    </row>
    <row r="2357">
      <c r="A2357" s="204"/>
      <c r="B2357" s="209"/>
      <c r="C2357" s="204"/>
      <c r="D2357" s="210"/>
      <c r="E2357" s="211"/>
      <c r="F2357" s="211"/>
      <c r="G2357" s="212"/>
      <c r="H2357" s="212"/>
      <c r="I2357" s="204"/>
      <c r="J2357" s="204"/>
      <c r="K2357" s="204"/>
      <c r="L2357" s="204"/>
      <c r="M2357" s="204"/>
      <c r="N2357" s="204"/>
      <c r="O2357" s="204"/>
      <c r="P2357" s="204"/>
      <c r="Q2357" s="204"/>
      <c r="R2357" s="204"/>
      <c r="S2357" s="204"/>
      <c r="T2357" s="204"/>
      <c r="U2357" s="204"/>
      <c r="V2357" s="204"/>
      <c r="W2357" s="204"/>
      <c r="X2357" s="204"/>
      <c r="Y2357" s="204"/>
      <c r="Z2357" s="204"/>
      <c r="AA2357" s="204"/>
      <c r="AB2357" s="204"/>
      <c r="AC2357" s="204"/>
      <c r="AD2357" s="204"/>
      <c r="AE2357" s="204"/>
      <c r="AF2357" s="204"/>
      <c r="AG2357" s="204"/>
      <c r="AH2357" s="204"/>
      <c r="AI2357" s="209"/>
      <c r="AJ2357" s="209"/>
      <c r="AK2357" s="204"/>
      <c r="AL2357" s="204"/>
      <c r="AM2357" s="204"/>
    </row>
    <row r="2358">
      <c r="A2358" s="204"/>
      <c r="B2358" s="209"/>
      <c r="C2358" s="204"/>
      <c r="D2358" s="210"/>
      <c r="E2358" s="211"/>
      <c r="F2358" s="211"/>
      <c r="G2358" s="212"/>
      <c r="H2358" s="212"/>
      <c r="I2358" s="204"/>
      <c r="J2358" s="204"/>
      <c r="K2358" s="204"/>
      <c r="L2358" s="204"/>
      <c r="M2358" s="204"/>
      <c r="N2358" s="204"/>
      <c r="O2358" s="204"/>
      <c r="P2358" s="204"/>
      <c r="Q2358" s="204"/>
      <c r="R2358" s="204"/>
      <c r="S2358" s="204"/>
      <c r="T2358" s="204"/>
      <c r="U2358" s="204"/>
      <c r="V2358" s="204"/>
      <c r="W2358" s="204"/>
      <c r="X2358" s="204"/>
      <c r="Y2358" s="204"/>
      <c r="Z2358" s="204"/>
      <c r="AA2358" s="204"/>
      <c r="AB2358" s="204"/>
      <c r="AC2358" s="204"/>
      <c r="AD2358" s="204"/>
      <c r="AE2358" s="204"/>
      <c r="AF2358" s="204"/>
      <c r="AG2358" s="204"/>
      <c r="AH2358" s="204"/>
      <c r="AI2358" s="209"/>
      <c r="AJ2358" s="209"/>
      <c r="AK2358" s="204"/>
      <c r="AL2358" s="204"/>
      <c r="AM2358" s="204"/>
    </row>
    <row r="2359">
      <c r="A2359" s="204"/>
      <c r="B2359" s="209"/>
      <c r="C2359" s="204"/>
      <c r="D2359" s="210"/>
      <c r="E2359" s="211"/>
      <c r="F2359" s="211"/>
      <c r="G2359" s="212"/>
      <c r="H2359" s="212"/>
      <c r="I2359" s="204"/>
      <c r="J2359" s="204"/>
      <c r="K2359" s="204"/>
      <c r="L2359" s="204"/>
      <c r="M2359" s="204"/>
      <c r="N2359" s="204"/>
      <c r="O2359" s="204"/>
      <c r="P2359" s="204"/>
      <c r="Q2359" s="204"/>
      <c r="R2359" s="204"/>
      <c r="S2359" s="204"/>
      <c r="T2359" s="204"/>
      <c r="U2359" s="204"/>
      <c r="V2359" s="204"/>
      <c r="W2359" s="204"/>
      <c r="X2359" s="204"/>
      <c r="Y2359" s="204"/>
      <c r="Z2359" s="204"/>
      <c r="AA2359" s="204"/>
      <c r="AB2359" s="204"/>
      <c r="AC2359" s="204"/>
      <c r="AD2359" s="204"/>
      <c r="AE2359" s="204"/>
      <c r="AF2359" s="204"/>
      <c r="AG2359" s="204"/>
      <c r="AH2359" s="204"/>
      <c r="AI2359" s="209"/>
      <c r="AJ2359" s="209"/>
      <c r="AK2359" s="204"/>
      <c r="AL2359" s="204"/>
      <c r="AM2359" s="204"/>
    </row>
    <row r="2360">
      <c r="A2360" s="204"/>
      <c r="B2360" s="209"/>
      <c r="C2360" s="204"/>
      <c r="D2360" s="210"/>
      <c r="E2360" s="211"/>
      <c r="F2360" s="211"/>
      <c r="G2360" s="212"/>
      <c r="H2360" s="212"/>
      <c r="I2360" s="204"/>
      <c r="J2360" s="204"/>
      <c r="K2360" s="204"/>
      <c r="L2360" s="204"/>
      <c r="M2360" s="204"/>
      <c r="N2360" s="204"/>
      <c r="O2360" s="204"/>
      <c r="P2360" s="204"/>
      <c r="Q2360" s="204"/>
      <c r="R2360" s="204"/>
      <c r="S2360" s="204"/>
      <c r="T2360" s="204"/>
      <c r="U2360" s="204"/>
      <c r="V2360" s="204"/>
      <c r="W2360" s="204"/>
      <c r="X2360" s="204"/>
      <c r="Y2360" s="204"/>
      <c r="Z2360" s="204"/>
      <c r="AA2360" s="204"/>
      <c r="AB2360" s="204"/>
      <c r="AC2360" s="204"/>
      <c r="AD2360" s="204"/>
      <c r="AE2360" s="204"/>
      <c r="AF2360" s="204"/>
      <c r="AG2360" s="204"/>
      <c r="AH2360" s="204"/>
      <c r="AI2360" s="209"/>
      <c r="AJ2360" s="209"/>
      <c r="AK2360" s="204"/>
      <c r="AL2360" s="204"/>
      <c r="AM2360" s="204"/>
    </row>
    <row r="2361">
      <c r="A2361" s="204"/>
      <c r="B2361" s="209"/>
      <c r="C2361" s="204"/>
      <c r="D2361" s="210"/>
      <c r="E2361" s="211"/>
      <c r="F2361" s="211"/>
      <c r="G2361" s="212"/>
      <c r="H2361" s="212"/>
      <c r="I2361" s="204"/>
      <c r="J2361" s="204"/>
      <c r="K2361" s="204"/>
      <c r="L2361" s="204"/>
      <c r="M2361" s="204"/>
      <c r="N2361" s="204"/>
      <c r="O2361" s="204"/>
      <c r="P2361" s="204"/>
      <c r="Q2361" s="204"/>
      <c r="R2361" s="204"/>
      <c r="S2361" s="204"/>
      <c r="T2361" s="204"/>
      <c r="U2361" s="204"/>
      <c r="V2361" s="204"/>
      <c r="W2361" s="204"/>
      <c r="X2361" s="204"/>
      <c r="Y2361" s="204"/>
      <c r="Z2361" s="204"/>
      <c r="AA2361" s="204"/>
      <c r="AB2361" s="204"/>
      <c r="AC2361" s="204"/>
      <c r="AD2361" s="204"/>
      <c r="AE2361" s="204"/>
      <c r="AF2361" s="204"/>
      <c r="AG2361" s="204"/>
      <c r="AH2361" s="204"/>
      <c r="AI2361" s="209"/>
      <c r="AJ2361" s="209"/>
      <c r="AK2361" s="204"/>
      <c r="AL2361" s="204"/>
      <c r="AM2361" s="204"/>
    </row>
    <row r="2362">
      <c r="A2362" s="204"/>
      <c r="B2362" s="209"/>
      <c r="C2362" s="204"/>
      <c r="D2362" s="210"/>
      <c r="E2362" s="211"/>
      <c r="F2362" s="211"/>
      <c r="G2362" s="212"/>
      <c r="H2362" s="212"/>
      <c r="I2362" s="204"/>
      <c r="J2362" s="204"/>
      <c r="K2362" s="204"/>
      <c r="L2362" s="204"/>
      <c r="M2362" s="204"/>
      <c r="N2362" s="204"/>
      <c r="O2362" s="204"/>
      <c r="P2362" s="204"/>
      <c r="Q2362" s="204"/>
      <c r="R2362" s="204"/>
      <c r="S2362" s="204"/>
      <c r="T2362" s="204"/>
      <c r="U2362" s="204"/>
      <c r="V2362" s="204"/>
      <c r="W2362" s="204"/>
      <c r="X2362" s="204"/>
      <c r="Y2362" s="204"/>
      <c r="Z2362" s="204"/>
      <c r="AA2362" s="204"/>
      <c r="AB2362" s="204"/>
      <c r="AC2362" s="204"/>
      <c r="AD2362" s="204"/>
      <c r="AE2362" s="204"/>
      <c r="AF2362" s="204"/>
      <c r="AG2362" s="204"/>
      <c r="AH2362" s="204"/>
      <c r="AI2362" s="209"/>
      <c r="AJ2362" s="209"/>
      <c r="AK2362" s="204"/>
      <c r="AL2362" s="204"/>
      <c r="AM2362" s="204"/>
    </row>
    <row r="2363">
      <c r="A2363" s="204"/>
      <c r="B2363" s="209"/>
      <c r="C2363" s="204"/>
      <c r="D2363" s="210"/>
      <c r="E2363" s="211"/>
      <c r="F2363" s="211"/>
      <c r="G2363" s="212"/>
      <c r="H2363" s="212"/>
      <c r="I2363" s="204"/>
      <c r="J2363" s="204"/>
      <c r="K2363" s="204"/>
      <c r="L2363" s="204"/>
      <c r="M2363" s="204"/>
      <c r="N2363" s="204"/>
      <c r="O2363" s="204"/>
      <c r="P2363" s="204"/>
      <c r="Q2363" s="204"/>
      <c r="R2363" s="204"/>
      <c r="S2363" s="204"/>
      <c r="T2363" s="204"/>
      <c r="U2363" s="204"/>
      <c r="V2363" s="204"/>
      <c r="W2363" s="204"/>
      <c r="X2363" s="204"/>
      <c r="Y2363" s="204"/>
      <c r="Z2363" s="204"/>
      <c r="AA2363" s="204"/>
      <c r="AB2363" s="204"/>
      <c r="AC2363" s="204"/>
      <c r="AD2363" s="204"/>
      <c r="AE2363" s="204"/>
      <c r="AF2363" s="204"/>
      <c r="AG2363" s="204"/>
      <c r="AH2363" s="204"/>
      <c r="AI2363" s="209"/>
      <c r="AJ2363" s="209"/>
      <c r="AK2363" s="204"/>
      <c r="AL2363" s="204"/>
      <c r="AM2363" s="204"/>
    </row>
    <row r="2364">
      <c r="A2364" s="204"/>
      <c r="B2364" s="209"/>
      <c r="C2364" s="204"/>
      <c r="D2364" s="210"/>
      <c r="E2364" s="211"/>
      <c r="F2364" s="211"/>
      <c r="G2364" s="212"/>
      <c r="H2364" s="212"/>
      <c r="I2364" s="204"/>
      <c r="J2364" s="204"/>
      <c r="K2364" s="204"/>
      <c r="L2364" s="204"/>
      <c r="M2364" s="204"/>
      <c r="N2364" s="204"/>
      <c r="O2364" s="204"/>
      <c r="P2364" s="204"/>
      <c r="Q2364" s="204"/>
      <c r="R2364" s="204"/>
      <c r="S2364" s="204"/>
      <c r="T2364" s="204"/>
      <c r="U2364" s="204"/>
      <c r="V2364" s="204"/>
      <c r="W2364" s="204"/>
      <c r="X2364" s="204"/>
      <c r="Y2364" s="204"/>
      <c r="Z2364" s="204"/>
      <c r="AA2364" s="204"/>
      <c r="AB2364" s="204"/>
      <c r="AC2364" s="204"/>
      <c r="AD2364" s="204"/>
      <c r="AE2364" s="204"/>
      <c r="AF2364" s="204"/>
      <c r="AG2364" s="204"/>
      <c r="AH2364" s="204"/>
      <c r="AI2364" s="209"/>
      <c r="AJ2364" s="209"/>
      <c r="AK2364" s="204"/>
      <c r="AL2364" s="204"/>
      <c r="AM2364" s="204"/>
    </row>
    <row r="2365">
      <c r="A2365" s="204"/>
      <c r="B2365" s="209"/>
      <c r="C2365" s="204"/>
      <c r="D2365" s="210"/>
      <c r="E2365" s="211"/>
      <c r="F2365" s="211"/>
      <c r="G2365" s="212"/>
      <c r="H2365" s="212"/>
      <c r="I2365" s="204"/>
      <c r="J2365" s="204"/>
      <c r="K2365" s="204"/>
      <c r="L2365" s="204"/>
      <c r="M2365" s="204"/>
      <c r="N2365" s="204"/>
      <c r="O2365" s="204"/>
      <c r="P2365" s="204"/>
      <c r="Q2365" s="204"/>
      <c r="R2365" s="204"/>
      <c r="S2365" s="204"/>
      <c r="T2365" s="204"/>
      <c r="U2365" s="204"/>
      <c r="V2365" s="204"/>
      <c r="W2365" s="204"/>
      <c r="X2365" s="204"/>
      <c r="Y2365" s="204"/>
      <c r="Z2365" s="204"/>
      <c r="AA2365" s="204"/>
      <c r="AB2365" s="204"/>
      <c r="AC2365" s="204"/>
      <c r="AD2365" s="204"/>
      <c r="AE2365" s="204"/>
      <c r="AF2365" s="204"/>
      <c r="AG2365" s="204"/>
      <c r="AH2365" s="204"/>
      <c r="AI2365" s="209"/>
      <c r="AJ2365" s="209"/>
      <c r="AK2365" s="204"/>
      <c r="AL2365" s="204"/>
      <c r="AM2365" s="204"/>
    </row>
    <row r="2366">
      <c r="A2366" s="204"/>
      <c r="B2366" s="209"/>
      <c r="C2366" s="204"/>
      <c r="D2366" s="210"/>
      <c r="E2366" s="211"/>
      <c r="F2366" s="211"/>
      <c r="G2366" s="212"/>
      <c r="H2366" s="212"/>
      <c r="I2366" s="204"/>
      <c r="J2366" s="204"/>
      <c r="K2366" s="204"/>
      <c r="L2366" s="204"/>
      <c r="M2366" s="204"/>
      <c r="N2366" s="204"/>
      <c r="O2366" s="204"/>
      <c r="P2366" s="204"/>
      <c r="Q2366" s="204"/>
      <c r="R2366" s="204"/>
      <c r="S2366" s="204"/>
      <c r="T2366" s="204"/>
      <c r="U2366" s="204"/>
      <c r="V2366" s="204"/>
      <c r="W2366" s="204"/>
      <c r="X2366" s="204"/>
      <c r="Y2366" s="204"/>
      <c r="Z2366" s="204"/>
      <c r="AA2366" s="204"/>
      <c r="AB2366" s="204"/>
      <c r="AC2366" s="204"/>
      <c r="AD2366" s="204"/>
      <c r="AE2366" s="204"/>
      <c r="AF2366" s="204"/>
      <c r="AG2366" s="204"/>
      <c r="AH2366" s="204"/>
      <c r="AI2366" s="209"/>
      <c r="AJ2366" s="209"/>
      <c r="AK2366" s="204"/>
      <c r="AL2366" s="204"/>
      <c r="AM2366" s="204"/>
    </row>
    <row r="2367">
      <c r="A2367" s="204"/>
      <c r="B2367" s="209"/>
      <c r="C2367" s="204"/>
      <c r="D2367" s="210"/>
      <c r="E2367" s="211"/>
      <c r="F2367" s="211"/>
      <c r="G2367" s="212"/>
      <c r="H2367" s="212"/>
      <c r="I2367" s="204"/>
      <c r="J2367" s="204"/>
      <c r="K2367" s="204"/>
      <c r="L2367" s="204"/>
      <c r="M2367" s="204"/>
      <c r="N2367" s="204"/>
      <c r="O2367" s="204"/>
      <c r="P2367" s="204"/>
      <c r="Q2367" s="204"/>
      <c r="R2367" s="204"/>
      <c r="S2367" s="204"/>
      <c r="T2367" s="204"/>
      <c r="U2367" s="204"/>
      <c r="V2367" s="204"/>
      <c r="W2367" s="204"/>
      <c r="X2367" s="204"/>
      <c r="Y2367" s="204"/>
      <c r="Z2367" s="204"/>
      <c r="AA2367" s="204"/>
      <c r="AB2367" s="204"/>
      <c r="AC2367" s="204"/>
      <c r="AD2367" s="204"/>
      <c r="AE2367" s="204"/>
      <c r="AF2367" s="204"/>
      <c r="AG2367" s="204"/>
      <c r="AH2367" s="204"/>
      <c r="AI2367" s="209"/>
      <c r="AJ2367" s="209"/>
      <c r="AK2367" s="204"/>
      <c r="AL2367" s="204"/>
      <c r="AM2367" s="204"/>
    </row>
    <row r="2368">
      <c r="A2368" s="204"/>
      <c r="B2368" s="209"/>
      <c r="C2368" s="204"/>
      <c r="D2368" s="210"/>
      <c r="E2368" s="211"/>
      <c r="F2368" s="211"/>
      <c r="G2368" s="212"/>
      <c r="H2368" s="212"/>
      <c r="I2368" s="204"/>
      <c r="J2368" s="204"/>
      <c r="K2368" s="204"/>
      <c r="L2368" s="204"/>
      <c r="M2368" s="204"/>
      <c r="N2368" s="204"/>
      <c r="O2368" s="204"/>
      <c r="P2368" s="204"/>
      <c r="Q2368" s="204"/>
      <c r="R2368" s="204"/>
      <c r="S2368" s="204"/>
      <c r="T2368" s="204"/>
      <c r="U2368" s="204"/>
      <c r="V2368" s="204"/>
      <c r="W2368" s="204"/>
      <c r="X2368" s="204"/>
      <c r="Y2368" s="204"/>
      <c r="Z2368" s="204"/>
      <c r="AA2368" s="204"/>
      <c r="AB2368" s="204"/>
      <c r="AC2368" s="204"/>
      <c r="AD2368" s="204"/>
      <c r="AE2368" s="204"/>
      <c r="AF2368" s="204"/>
      <c r="AG2368" s="204"/>
      <c r="AH2368" s="204"/>
      <c r="AI2368" s="209"/>
      <c r="AJ2368" s="209"/>
      <c r="AK2368" s="204"/>
      <c r="AL2368" s="204"/>
      <c r="AM2368" s="204"/>
    </row>
    <row r="2369">
      <c r="A2369" s="204"/>
      <c r="B2369" s="209"/>
      <c r="C2369" s="204"/>
      <c r="D2369" s="210"/>
      <c r="E2369" s="211"/>
      <c r="F2369" s="211"/>
      <c r="G2369" s="212"/>
      <c r="H2369" s="212"/>
      <c r="I2369" s="204"/>
      <c r="J2369" s="204"/>
      <c r="K2369" s="204"/>
      <c r="L2369" s="204"/>
      <c r="M2369" s="204"/>
      <c r="N2369" s="204"/>
      <c r="O2369" s="204"/>
      <c r="P2369" s="204"/>
      <c r="Q2369" s="204"/>
      <c r="R2369" s="204"/>
      <c r="S2369" s="204"/>
      <c r="T2369" s="204"/>
      <c r="U2369" s="204"/>
      <c r="V2369" s="204"/>
      <c r="W2369" s="204"/>
      <c r="X2369" s="204"/>
      <c r="Y2369" s="204"/>
      <c r="Z2369" s="204"/>
      <c r="AA2369" s="204"/>
      <c r="AB2369" s="204"/>
      <c r="AC2369" s="204"/>
      <c r="AD2369" s="204"/>
      <c r="AE2369" s="204"/>
      <c r="AF2369" s="204"/>
      <c r="AG2369" s="204"/>
      <c r="AH2369" s="204"/>
      <c r="AI2369" s="209"/>
      <c r="AJ2369" s="209"/>
      <c r="AK2369" s="204"/>
      <c r="AL2369" s="204"/>
      <c r="AM2369" s="204"/>
    </row>
    <row r="2370">
      <c r="A2370" s="204"/>
      <c r="B2370" s="209"/>
      <c r="C2370" s="204"/>
      <c r="D2370" s="210"/>
      <c r="E2370" s="211"/>
      <c r="F2370" s="211"/>
      <c r="G2370" s="212"/>
      <c r="H2370" s="212"/>
      <c r="I2370" s="204"/>
      <c r="J2370" s="204"/>
      <c r="K2370" s="204"/>
      <c r="L2370" s="204"/>
      <c r="M2370" s="204"/>
      <c r="N2370" s="204"/>
      <c r="O2370" s="204"/>
      <c r="P2370" s="204"/>
      <c r="Q2370" s="204"/>
      <c r="R2370" s="204"/>
      <c r="S2370" s="204"/>
      <c r="T2370" s="204"/>
      <c r="U2370" s="204"/>
      <c r="V2370" s="204"/>
      <c r="W2370" s="204"/>
      <c r="X2370" s="204"/>
      <c r="Y2370" s="204"/>
      <c r="Z2370" s="204"/>
      <c r="AA2370" s="204"/>
      <c r="AB2370" s="204"/>
      <c r="AC2370" s="204"/>
      <c r="AD2370" s="204"/>
      <c r="AE2370" s="204"/>
      <c r="AF2370" s="204"/>
      <c r="AG2370" s="204"/>
      <c r="AH2370" s="204"/>
      <c r="AI2370" s="209"/>
      <c r="AJ2370" s="209"/>
      <c r="AK2370" s="204"/>
      <c r="AL2370" s="204"/>
      <c r="AM2370" s="204"/>
    </row>
    <row r="2371">
      <c r="A2371" s="204"/>
      <c r="B2371" s="209"/>
      <c r="C2371" s="204"/>
      <c r="D2371" s="210"/>
      <c r="E2371" s="211"/>
      <c r="F2371" s="211"/>
      <c r="G2371" s="212"/>
      <c r="H2371" s="212"/>
      <c r="I2371" s="204"/>
      <c r="J2371" s="204"/>
      <c r="K2371" s="204"/>
      <c r="L2371" s="204"/>
      <c r="M2371" s="204"/>
      <c r="N2371" s="204"/>
      <c r="O2371" s="204"/>
      <c r="P2371" s="204"/>
      <c r="Q2371" s="204"/>
      <c r="R2371" s="204"/>
      <c r="S2371" s="204"/>
      <c r="T2371" s="204"/>
      <c r="U2371" s="204"/>
      <c r="V2371" s="204"/>
      <c r="W2371" s="204"/>
      <c r="X2371" s="204"/>
      <c r="Y2371" s="204"/>
      <c r="Z2371" s="204"/>
      <c r="AA2371" s="204"/>
      <c r="AB2371" s="204"/>
      <c r="AC2371" s="204"/>
      <c r="AD2371" s="204"/>
      <c r="AE2371" s="204"/>
      <c r="AF2371" s="204"/>
      <c r="AG2371" s="204"/>
      <c r="AH2371" s="204"/>
      <c r="AI2371" s="209"/>
      <c r="AJ2371" s="209"/>
      <c r="AK2371" s="204"/>
      <c r="AL2371" s="204"/>
      <c r="AM2371" s="204"/>
    </row>
    <row r="2372">
      <c r="A2372" s="204"/>
      <c r="B2372" s="209"/>
      <c r="C2372" s="204"/>
      <c r="D2372" s="210"/>
      <c r="E2372" s="211"/>
      <c r="F2372" s="211"/>
      <c r="G2372" s="212"/>
      <c r="H2372" s="212"/>
      <c r="I2372" s="204"/>
      <c r="J2372" s="204"/>
      <c r="K2372" s="204"/>
      <c r="L2372" s="204"/>
      <c r="M2372" s="204"/>
      <c r="N2372" s="204"/>
      <c r="O2372" s="204"/>
      <c r="P2372" s="204"/>
      <c r="Q2372" s="204"/>
      <c r="R2372" s="204"/>
      <c r="S2372" s="204"/>
      <c r="T2372" s="204"/>
      <c r="U2372" s="204"/>
      <c r="V2372" s="204"/>
      <c r="W2372" s="204"/>
      <c r="X2372" s="204"/>
      <c r="Y2372" s="204"/>
      <c r="Z2372" s="204"/>
      <c r="AA2372" s="204"/>
      <c r="AB2372" s="204"/>
      <c r="AC2372" s="204"/>
      <c r="AD2372" s="204"/>
      <c r="AE2372" s="204"/>
      <c r="AF2372" s="204"/>
      <c r="AG2372" s="204"/>
      <c r="AH2372" s="204"/>
      <c r="AI2372" s="209"/>
      <c r="AJ2372" s="209"/>
      <c r="AK2372" s="204"/>
      <c r="AL2372" s="204"/>
      <c r="AM2372" s="204"/>
    </row>
    <row r="2373">
      <c r="A2373" s="204"/>
      <c r="B2373" s="209"/>
      <c r="C2373" s="204"/>
      <c r="D2373" s="210"/>
      <c r="E2373" s="211"/>
      <c r="F2373" s="211"/>
      <c r="G2373" s="212"/>
      <c r="H2373" s="212"/>
      <c r="I2373" s="204"/>
      <c r="J2373" s="204"/>
      <c r="K2373" s="204"/>
      <c r="L2373" s="204"/>
      <c r="M2373" s="204"/>
      <c r="N2373" s="204"/>
      <c r="O2373" s="204"/>
      <c r="P2373" s="204"/>
      <c r="Q2373" s="204"/>
      <c r="R2373" s="204"/>
      <c r="S2373" s="204"/>
      <c r="T2373" s="204"/>
      <c r="U2373" s="204"/>
      <c r="V2373" s="204"/>
      <c r="W2373" s="204"/>
      <c r="X2373" s="204"/>
      <c r="Y2373" s="204"/>
      <c r="Z2373" s="204"/>
      <c r="AA2373" s="204"/>
      <c r="AB2373" s="204"/>
      <c r="AC2373" s="204"/>
      <c r="AD2373" s="204"/>
      <c r="AE2373" s="204"/>
      <c r="AF2373" s="204"/>
      <c r="AG2373" s="204"/>
      <c r="AH2373" s="204"/>
      <c r="AI2373" s="209"/>
      <c r="AJ2373" s="209"/>
      <c r="AK2373" s="204"/>
      <c r="AL2373" s="204"/>
      <c r="AM2373" s="204"/>
    </row>
    <row r="2374">
      <c r="A2374" s="204"/>
      <c r="B2374" s="209"/>
      <c r="C2374" s="204"/>
      <c r="D2374" s="210"/>
      <c r="E2374" s="211"/>
      <c r="F2374" s="211"/>
      <c r="G2374" s="212"/>
      <c r="H2374" s="212"/>
      <c r="I2374" s="204"/>
      <c r="J2374" s="204"/>
      <c r="K2374" s="204"/>
      <c r="L2374" s="204"/>
      <c r="M2374" s="204"/>
      <c r="N2374" s="204"/>
      <c r="O2374" s="204"/>
      <c r="P2374" s="204"/>
      <c r="Q2374" s="204"/>
      <c r="R2374" s="204"/>
      <c r="S2374" s="204"/>
      <c r="T2374" s="204"/>
      <c r="U2374" s="204"/>
      <c r="V2374" s="204"/>
      <c r="W2374" s="204"/>
      <c r="X2374" s="204"/>
      <c r="Y2374" s="204"/>
      <c r="Z2374" s="204"/>
      <c r="AA2374" s="204"/>
      <c r="AB2374" s="204"/>
      <c r="AC2374" s="204"/>
      <c r="AD2374" s="204"/>
      <c r="AE2374" s="204"/>
      <c r="AF2374" s="204"/>
      <c r="AG2374" s="204"/>
      <c r="AH2374" s="204"/>
      <c r="AI2374" s="209"/>
      <c r="AJ2374" s="209"/>
      <c r="AK2374" s="204"/>
      <c r="AL2374" s="204"/>
      <c r="AM2374" s="204"/>
    </row>
    <row r="2375">
      <c r="A2375" s="204"/>
      <c r="B2375" s="209"/>
      <c r="C2375" s="204"/>
      <c r="D2375" s="210"/>
      <c r="E2375" s="211"/>
      <c r="F2375" s="211"/>
      <c r="G2375" s="212"/>
      <c r="H2375" s="212"/>
      <c r="I2375" s="204"/>
      <c r="J2375" s="204"/>
      <c r="K2375" s="204"/>
      <c r="L2375" s="204"/>
      <c r="M2375" s="204"/>
      <c r="N2375" s="204"/>
      <c r="O2375" s="204"/>
      <c r="P2375" s="204"/>
      <c r="Q2375" s="204"/>
      <c r="R2375" s="204"/>
      <c r="S2375" s="204"/>
      <c r="T2375" s="204"/>
      <c r="U2375" s="204"/>
      <c r="V2375" s="204"/>
      <c r="W2375" s="204"/>
      <c r="X2375" s="204"/>
      <c r="Y2375" s="204"/>
      <c r="Z2375" s="204"/>
      <c r="AA2375" s="204"/>
      <c r="AB2375" s="204"/>
      <c r="AC2375" s="204"/>
      <c r="AD2375" s="204"/>
      <c r="AE2375" s="204"/>
      <c r="AF2375" s="204"/>
      <c r="AG2375" s="204"/>
      <c r="AH2375" s="204"/>
      <c r="AI2375" s="209"/>
      <c r="AJ2375" s="209"/>
      <c r="AK2375" s="204"/>
      <c r="AL2375" s="204"/>
      <c r="AM2375" s="204"/>
    </row>
    <row r="2376">
      <c r="A2376" s="204"/>
      <c r="B2376" s="209"/>
      <c r="C2376" s="204"/>
      <c r="D2376" s="210"/>
      <c r="E2376" s="211"/>
      <c r="F2376" s="211"/>
      <c r="G2376" s="212"/>
      <c r="H2376" s="212"/>
      <c r="I2376" s="204"/>
      <c r="J2376" s="204"/>
      <c r="K2376" s="204"/>
      <c r="L2376" s="204"/>
      <c r="M2376" s="204"/>
      <c r="N2376" s="204"/>
      <c r="O2376" s="204"/>
      <c r="P2376" s="204"/>
      <c r="Q2376" s="204"/>
      <c r="R2376" s="204"/>
      <c r="S2376" s="204"/>
      <c r="T2376" s="204"/>
      <c r="U2376" s="204"/>
      <c r="V2376" s="204"/>
      <c r="W2376" s="204"/>
      <c r="X2376" s="204"/>
      <c r="Y2376" s="204"/>
      <c r="Z2376" s="204"/>
      <c r="AA2376" s="204"/>
      <c r="AB2376" s="204"/>
      <c r="AC2376" s="204"/>
      <c r="AD2376" s="204"/>
      <c r="AE2376" s="204"/>
      <c r="AF2376" s="204"/>
      <c r="AG2376" s="204"/>
      <c r="AH2376" s="204"/>
      <c r="AI2376" s="209"/>
      <c r="AJ2376" s="209"/>
      <c r="AK2376" s="204"/>
      <c r="AL2376" s="204"/>
      <c r="AM2376" s="204"/>
    </row>
    <row r="2377">
      <c r="A2377" s="204"/>
      <c r="B2377" s="209"/>
      <c r="C2377" s="204"/>
      <c r="D2377" s="210"/>
      <c r="E2377" s="211"/>
      <c r="F2377" s="211"/>
      <c r="G2377" s="212"/>
      <c r="H2377" s="212"/>
      <c r="I2377" s="204"/>
      <c r="J2377" s="204"/>
      <c r="K2377" s="204"/>
      <c r="L2377" s="204"/>
      <c r="M2377" s="204"/>
      <c r="N2377" s="204"/>
      <c r="O2377" s="204"/>
      <c r="P2377" s="204"/>
      <c r="Q2377" s="204"/>
      <c r="R2377" s="204"/>
      <c r="S2377" s="204"/>
      <c r="T2377" s="204"/>
      <c r="U2377" s="204"/>
      <c r="V2377" s="204"/>
      <c r="W2377" s="204"/>
      <c r="X2377" s="204"/>
      <c r="Y2377" s="204"/>
      <c r="Z2377" s="204"/>
      <c r="AA2377" s="204"/>
      <c r="AB2377" s="204"/>
      <c r="AC2377" s="204"/>
      <c r="AD2377" s="204"/>
      <c r="AE2377" s="204"/>
      <c r="AF2377" s="204"/>
      <c r="AG2377" s="204"/>
      <c r="AH2377" s="204"/>
      <c r="AI2377" s="209"/>
      <c r="AJ2377" s="209"/>
      <c r="AK2377" s="204"/>
      <c r="AL2377" s="204"/>
      <c r="AM2377" s="204"/>
    </row>
    <row r="2378">
      <c r="A2378" s="204"/>
      <c r="B2378" s="209"/>
      <c r="C2378" s="204"/>
      <c r="D2378" s="210"/>
      <c r="E2378" s="211"/>
      <c r="F2378" s="211"/>
      <c r="G2378" s="212"/>
      <c r="H2378" s="212"/>
      <c r="I2378" s="204"/>
      <c r="J2378" s="204"/>
      <c r="K2378" s="204"/>
      <c r="L2378" s="204"/>
      <c r="M2378" s="204"/>
      <c r="N2378" s="204"/>
      <c r="O2378" s="204"/>
      <c r="P2378" s="204"/>
      <c r="Q2378" s="204"/>
      <c r="R2378" s="204"/>
      <c r="S2378" s="204"/>
      <c r="T2378" s="204"/>
      <c r="U2378" s="204"/>
      <c r="V2378" s="204"/>
      <c r="W2378" s="204"/>
      <c r="X2378" s="204"/>
      <c r="Y2378" s="204"/>
      <c r="Z2378" s="204"/>
      <c r="AA2378" s="204"/>
      <c r="AB2378" s="204"/>
      <c r="AC2378" s="204"/>
      <c r="AD2378" s="204"/>
      <c r="AE2378" s="204"/>
      <c r="AF2378" s="204"/>
      <c r="AG2378" s="204"/>
      <c r="AH2378" s="204"/>
      <c r="AI2378" s="209"/>
      <c r="AJ2378" s="209"/>
      <c r="AK2378" s="204"/>
      <c r="AL2378" s="204"/>
      <c r="AM2378" s="204"/>
    </row>
    <row r="2379">
      <c r="A2379" s="204"/>
      <c r="B2379" s="209"/>
      <c r="C2379" s="204"/>
      <c r="D2379" s="210"/>
      <c r="E2379" s="211"/>
      <c r="F2379" s="211"/>
      <c r="G2379" s="212"/>
      <c r="H2379" s="212"/>
      <c r="I2379" s="204"/>
      <c r="J2379" s="204"/>
      <c r="K2379" s="204"/>
      <c r="L2379" s="204"/>
      <c r="M2379" s="204"/>
      <c r="N2379" s="204"/>
      <c r="O2379" s="204"/>
      <c r="P2379" s="204"/>
      <c r="Q2379" s="204"/>
      <c r="R2379" s="204"/>
      <c r="S2379" s="204"/>
      <c r="T2379" s="204"/>
      <c r="U2379" s="204"/>
      <c r="V2379" s="204"/>
      <c r="W2379" s="204"/>
      <c r="X2379" s="204"/>
      <c r="Y2379" s="204"/>
      <c r="Z2379" s="204"/>
      <c r="AA2379" s="204"/>
      <c r="AB2379" s="204"/>
      <c r="AC2379" s="204"/>
      <c r="AD2379" s="204"/>
      <c r="AE2379" s="204"/>
      <c r="AF2379" s="204"/>
      <c r="AG2379" s="204"/>
      <c r="AH2379" s="204"/>
      <c r="AI2379" s="209"/>
      <c r="AJ2379" s="209"/>
      <c r="AK2379" s="204"/>
      <c r="AL2379" s="204"/>
      <c r="AM2379" s="204"/>
    </row>
    <row r="2380">
      <c r="A2380" s="204"/>
      <c r="B2380" s="209"/>
      <c r="C2380" s="204"/>
      <c r="D2380" s="210"/>
      <c r="E2380" s="211"/>
      <c r="F2380" s="211"/>
      <c r="G2380" s="212"/>
      <c r="H2380" s="212"/>
      <c r="I2380" s="204"/>
      <c r="J2380" s="204"/>
      <c r="K2380" s="204"/>
      <c r="L2380" s="204"/>
      <c r="M2380" s="204"/>
      <c r="N2380" s="204"/>
      <c r="O2380" s="204"/>
      <c r="P2380" s="204"/>
      <c r="Q2380" s="204"/>
      <c r="R2380" s="204"/>
      <c r="S2380" s="204"/>
      <c r="T2380" s="204"/>
      <c r="U2380" s="204"/>
      <c r="V2380" s="204"/>
      <c r="W2380" s="204"/>
      <c r="X2380" s="204"/>
      <c r="Y2380" s="204"/>
      <c r="Z2380" s="204"/>
      <c r="AA2380" s="204"/>
      <c r="AB2380" s="204"/>
      <c r="AC2380" s="204"/>
      <c r="AD2380" s="204"/>
      <c r="AE2380" s="204"/>
      <c r="AF2380" s="204"/>
      <c r="AG2380" s="204"/>
      <c r="AH2380" s="204"/>
      <c r="AI2380" s="209"/>
      <c r="AJ2380" s="209"/>
      <c r="AK2380" s="204"/>
      <c r="AL2380" s="204"/>
      <c r="AM2380" s="204"/>
    </row>
    <row r="2381">
      <c r="A2381" s="204"/>
      <c r="B2381" s="209"/>
      <c r="C2381" s="204"/>
      <c r="D2381" s="210"/>
      <c r="E2381" s="211"/>
      <c r="F2381" s="211"/>
      <c r="G2381" s="212"/>
      <c r="H2381" s="212"/>
      <c r="I2381" s="204"/>
      <c r="J2381" s="204"/>
      <c r="K2381" s="204"/>
      <c r="L2381" s="204"/>
      <c r="M2381" s="204"/>
      <c r="N2381" s="204"/>
      <c r="O2381" s="204"/>
      <c r="P2381" s="204"/>
      <c r="Q2381" s="204"/>
      <c r="R2381" s="204"/>
      <c r="S2381" s="204"/>
      <c r="T2381" s="204"/>
      <c r="U2381" s="204"/>
      <c r="V2381" s="204"/>
      <c r="W2381" s="204"/>
      <c r="X2381" s="204"/>
      <c r="Y2381" s="204"/>
      <c r="Z2381" s="204"/>
      <c r="AA2381" s="204"/>
      <c r="AB2381" s="204"/>
      <c r="AC2381" s="204"/>
      <c r="AD2381" s="204"/>
      <c r="AE2381" s="204"/>
      <c r="AF2381" s="204"/>
      <c r="AG2381" s="204"/>
      <c r="AH2381" s="204"/>
      <c r="AI2381" s="209"/>
      <c r="AJ2381" s="209"/>
      <c r="AK2381" s="204"/>
      <c r="AL2381" s="204"/>
      <c r="AM2381" s="204"/>
    </row>
    <row r="2382">
      <c r="A2382" s="204"/>
      <c r="B2382" s="209"/>
      <c r="C2382" s="204"/>
      <c r="D2382" s="210"/>
      <c r="E2382" s="211"/>
      <c r="F2382" s="211"/>
      <c r="G2382" s="212"/>
      <c r="H2382" s="212"/>
      <c r="I2382" s="204"/>
      <c r="J2382" s="204"/>
      <c r="K2382" s="204"/>
      <c r="L2382" s="204"/>
      <c r="M2382" s="204"/>
      <c r="N2382" s="204"/>
      <c r="O2382" s="204"/>
      <c r="P2382" s="204"/>
      <c r="Q2382" s="204"/>
      <c r="R2382" s="204"/>
      <c r="S2382" s="204"/>
      <c r="T2382" s="204"/>
      <c r="U2382" s="204"/>
      <c r="V2382" s="204"/>
      <c r="W2382" s="204"/>
      <c r="X2382" s="204"/>
      <c r="Y2382" s="204"/>
      <c r="Z2382" s="204"/>
      <c r="AA2382" s="204"/>
      <c r="AB2382" s="204"/>
      <c r="AC2382" s="204"/>
      <c r="AD2382" s="204"/>
      <c r="AE2382" s="204"/>
      <c r="AF2382" s="204"/>
      <c r="AG2382" s="204"/>
      <c r="AH2382" s="204"/>
      <c r="AI2382" s="209"/>
      <c r="AJ2382" s="209"/>
      <c r="AK2382" s="204"/>
      <c r="AL2382" s="204"/>
      <c r="AM2382" s="204"/>
    </row>
    <row r="2383">
      <c r="A2383" s="204"/>
      <c r="B2383" s="209"/>
      <c r="C2383" s="204"/>
      <c r="D2383" s="210"/>
      <c r="E2383" s="211"/>
      <c r="F2383" s="211"/>
      <c r="G2383" s="212"/>
      <c r="H2383" s="212"/>
      <c r="I2383" s="204"/>
      <c r="J2383" s="204"/>
      <c r="K2383" s="204"/>
      <c r="L2383" s="204"/>
      <c r="M2383" s="204"/>
      <c r="N2383" s="204"/>
      <c r="O2383" s="204"/>
      <c r="P2383" s="204"/>
      <c r="Q2383" s="204"/>
      <c r="R2383" s="204"/>
      <c r="S2383" s="204"/>
      <c r="T2383" s="204"/>
      <c r="U2383" s="204"/>
      <c r="V2383" s="204"/>
      <c r="W2383" s="204"/>
      <c r="X2383" s="204"/>
      <c r="Y2383" s="204"/>
      <c r="Z2383" s="204"/>
      <c r="AA2383" s="204"/>
      <c r="AB2383" s="204"/>
      <c r="AC2383" s="204"/>
      <c r="AD2383" s="204"/>
      <c r="AE2383" s="204"/>
      <c r="AF2383" s="204"/>
      <c r="AG2383" s="204"/>
      <c r="AH2383" s="204"/>
      <c r="AI2383" s="209"/>
      <c r="AJ2383" s="209"/>
      <c r="AK2383" s="204"/>
      <c r="AL2383" s="204"/>
      <c r="AM2383" s="204"/>
    </row>
    <row r="2384">
      <c r="A2384" s="204"/>
      <c r="B2384" s="209"/>
      <c r="C2384" s="204"/>
      <c r="D2384" s="210"/>
      <c r="E2384" s="211"/>
      <c r="F2384" s="211"/>
      <c r="G2384" s="212"/>
      <c r="H2384" s="212"/>
      <c r="I2384" s="204"/>
      <c r="J2384" s="204"/>
      <c r="K2384" s="204"/>
      <c r="L2384" s="204"/>
      <c r="M2384" s="204"/>
      <c r="N2384" s="204"/>
      <c r="O2384" s="204"/>
      <c r="P2384" s="204"/>
      <c r="Q2384" s="204"/>
      <c r="R2384" s="204"/>
      <c r="S2384" s="204"/>
      <c r="T2384" s="204"/>
      <c r="U2384" s="204"/>
      <c r="V2384" s="204"/>
      <c r="W2384" s="204"/>
      <c r="X2384" s="204"/>
      <c r="Y2384" s="204"/>
      <c r="Z2384" s="204"/>
      <c r="AA2384" s="204"/>
      <c r="AB2384" s="204"/>
      <c r="AC2384" s="204"/>
      <c r="AD2384" s="204"/>
      <c r="AE2384" s="204"/>
      <c r="AF2384" s="204"/>
      <c r="AG2384" s="204"/>
      <c r="AH2384" s="204"/>
      <c r="AI2384" s="209"/>
      <c r="AJ2384" s="209"/>
      <c r="AK2384" s="204"/>
      <c r="AL2384" s="204"/>
      <c r="AM2384" s="204"/>
    </row>
    <row r="2385">
      <c r="A2385" s="204"/>
      <c r="B2385" s="209"/>
      <c r="C2385" s="204"/>
      <c r="D2385" s="210"/>
      <c r="E2385" s="211"/>
      <c r="F2385" s="211"/>
      <c r="G2385" s="212"/>
      <c r="H2385" s="212"/>
      <c r="I2385" s="204"/>
      <c r="J2385" s="204"/>
      <c r="K2385" s="204"/>
      <c r="L2385" s="204"/>
      <c r="M2385" s="204"/>
      <c r="N2385" s="204"/>
      <c r="O2385" s="204"/>
      <c r="P2385" s="204"/>
      <c r="Q2385" s="204"/>
      <c r="R2385" s="204"/>
      <c r="S2385" s="204"/>
      <c r="T2385" s="204"/>
      <c r="U2385" s="204"/>
      <c r="V2385" s="204"/>
      <c r="W2385" s="204"/>
      <c r="X2385" s="204"/>
      <c r="Y2385" s="204"/>
      <c r="Z2385" s="204"/>
      <c r="AA2385" s="204"/>
      <c r="AB2385" s="204"/>
      <c r="AC2385" s="204"/>
      <c r="AD2385" s="204"/>
      <c r="AE2385" s="204"/>
      <c r="AF2385" s="204"/>
      <c r="AG2385" s="204"/>
      <c r="AH2385" s="204"/>
      <c r="AI2385" s="209"/>
      <c r="AJ2385" s="209"/>
      <c r="AK2385" s="204"/>
      <c r="AL2385" s="204"/>
      <c r="AM2385" s="204"/>
    </row>
    <row r="2386">
      <c r="A2386" s="204"/>
      <c r="B2386" s="209"/>
      <c r="C2386" s="204"/>
      <c r="D2386" s="210"/>
      <c r="E2386" s="211"/>
      <c r="F2386" s="211"/>
      <c r="G2386" s="212"/>
      <c r="H2386" s="212"/>
      <c r="I2386" s="204"/>
      <c r="J2386" s="204"/>
      <c r="K2386" s="204"/>
      <c r="L2386" s="204"/>
      <c r="M2386" s="204"/>
      <c r="N2386" s="204"/>
      <c r="O2386" s="204"/>
      <c r="P2386" s="204"/>
      <c r="Q2386" s="204"/>
      <c r="R2386" s="204"/>
      <c r="S2386" s="204"/>
      <c r="T2386" s="204"/>
      <c r="U2386" s="204"/>
      <c r="V2386" s="204"/>
      <c r="W2386" s="204"/>
      <c r="X2386" s="204"/>
      <c r="Y2386" s="204"/>
      <c r="Z2386" s="204"/>
      <c r="AA2386" s="204"/>
      <c r="AB2386" s="204"/>
      <c r="AC2386" s="204"/>
      <c r="AD2386" s="204"/>
      <c r="AE2386" s="204"/>
      <c r="AF2386" s="204"/>
      <c r="AG2386" s="204"/>
      <c r="AH2386" s="204"/>
      <c r="AI2386" s="209"/>
      <c r="AJ2386" s="209"/>
      <c r="AK2386" s="204"/>
      <c r="AL2386" s="204"/>
      <c r="AM2386" s="204"/>
    </row>
    <row r="2387">
      <c r="A2387" s="204"/>
      <c r="B2387" s="209"/>
      <c r="C2387" s="204"/>
      <c r="D2387" s="210"/>
      <c r="E2387" s="211"/>
      <c r="F2387" s="211"/>
      <c r="G2387" s="212"/>
      <c r="H2387" s="212"/>
      <c r="I2387" s="204"/>
      <c r="J2387" s="204"/>
      <c r="K2387" s="204"/>
      <c r="L2387" s="204"/>
      <c r="M2387" s="204"/>
      <c r="N2387" s="204"/>
      <c r="O2387" s="204"/>
      <c r="P2387" s="204"/>
      <c r="Q2387" s="204"/>
      <c r="R2387" s="204"/>
      <c r="S2387" s="204"/>
      <c r="T2387" s="204"/>
      <c r="U2387" s="204"/>
      <c r="V2387" s="204"/>
      <c r="W2387" s="204"/>
      <c r="X2387" s="204"/>
      <c r="Y2387" s="204"/>
      <c r="Z2387" s="204"/>
      <c r="AA2387" s="204"/>
      <c r="AB2387" s="204"/>
      <c r="AC2387" s="204"/>
      <c r="AD2387" s="204"/>
      <c r="AE2387" s="204"/>
      <c r="AF2387" s="204"/>
      <c r="AG2387" s="204"/>
      <c r="AH2387" s="204"/>
      <c r="AI2387" s="209"/>
      <c r="AJ2387" s="209"/>
      <c r="AK2387" s="204"/>
      <c r="AL2387" s="204"/>
      <c r="AM2387" s="204"/>
    </row>
    <row r="2388">
      <c r="A2388" s="204"/>
      <c r="B2388" s="209"/>
      <c r="C2388" s="204"/>
      <c r="D2388" s="210"/>
      <c r="E2388" s="211"/>
      <c r="F2388" s="211"/>
      <c r="G2388" s="212"/>
      <c r="H2388" s="212"/>
      <c r="I2388" s="204"/>
      <c r="J2388" s="204"/>
      <c r="K2388" s="204"/>
      <c r="L2388" s="204"/>
      <c r="M2388" s="204"/>
      <c r="N2388" s="204"/>
      <c r="O2388" s="204"/>
      <c r="P2388" s="204"/>
      <c r="Q2388" s="204"/>
      <c r="R2388" s="204"/>
      <c r="S2388" s="204"/>
      <c r="T2388" s="204"/>
      <c r="U2388" s="204"/>
      <c r="V2388" s="204"/>
      <c r="W2388" s="204"/>
      <c r="X2388" s="204"/>
      <c r="Y2388" s="204"/>
      <c r="Z2388" s="204"/>
      <c r="AA2388" s="204"/>
      <c r="AB2388" s="204"/>
      <c r="AC2388" s="204"/>
      <c r="AD2388" s="204"/>
      <c r="AE2388" s="204"/>
      <c r="AF2388" s="204"/>
      <c r="AG2388" s="204"/>
      <c r="AH2388" s="204"/>
      <c r="AI2388" s="209"/>
      <c r="AJ2388" s="209"/>
      <c r="AK2388" s="204"/>
      <c r="AL2388" s="204"/>
      <c r="AM2388" s="204"/>
    </row>
    <row r="2389">
      <c r="A2389" s="204"/>
      <c r="B2389" s="209"/>
      <c r="C2389" s="204"/>
      <c r="D2389" s="210"/>
      <c r="E2389" s="211"/>
      <c r="F2389" s="211"/>
      <c r="G2389" s="212"/>
      <c r="H2389" s="212"/>
      <c r="I2389" s="204"/>
      <c r="J2389" s="204"/>
      <c r="K2389" s="204"/>
      <c r="L2389" s="204"/>
      <c r="M2389" s="204"/>
      <c r="N2389" s="204"/>
      <c r="O2389" s="204"/>
      <c r="P2389" s="204"/>
      <c r="Q2389" s="204"/>
      <c r="R2389" s="204"/>
      <c r="S2389" s="204"/>
      <c r="T2389" s="204"/>
      <c r="U2389" s="204"/>
      <c r="V2389" s="204"/>
      <c r="W2389" s="204"/>
      <c r="X2389" s="204"/>
      <c r="Y2389" s="204"/>
      <c r="Z2389" s="204"/>
      <c r="AA2389" s="204"/>
      <c r="AB2389" s="204"/>
      <c r="AC2389" s="204"/>
      <c r="AD2389" s="204"/>
      <c r="AE2389" s="204"/>
      <c r="AF2389" s="204"/>
      <c r="AG2389" s="204"/>
      <c r="AH2389" s="204"/>
      <c r="AI2389" s="209"/>
      <c r="AJ2389" s="209"/>
      <c r="AK2389" s="204"/>
      <c r="AL2389" s="204"/>
      <c r="AM2389" s="204"/>
    </row>
    <row r="2390">
      <c r="A2390" s="204"/>
      <c r="B2390" s="209"/>
      <c r="C2390" s="204"/>
      <c r="D2390" s="210"/>
      <c r="E2390" s="211"/>
      <c r="F2390" s="211"/>
      <c r="G2390" s="212"/>
      <c r="H2390" s="212"/>
      <c r="I2390" s="204"/>
      <c r="J2390" s="204"/>
      <c r="K2390" s="204"/>
      <c r="L2390" s="204"/>
      <c r="M2390" s="204"/>
      <c r="N2390" s="204"/>
      <c r="O2390" s="204"/>
      <c r="P2390" s="204"/>
      <c r="Q2390" s="204"/>
      <c r="R2390" s="204"/>
      <c r="S2390" s="204"/>
      <c r="T2390" s="204"/>
      <c r="U2390" s="204"/>
      <c r="V2390" s="204"/>
      <c r="W2390" s="204"/>
      <c r="X2390" s="204"/>
      <c r="Y2390" s="204"/>
      <c r="Z2390" s="204"/>
      <c r="AA2390" s="204"/>
      <c r="AB2390" s="204"/>
      <c r="AC2390" s="204"/>
      <c r="AD2390" s="204"/>
      <c r="AE2390" s="204"/>
      <c r="AF2390" s="204"/>
      <c r="AG2390" s="204"/>
      <c r="AH2390" s="204"/>
      <c r="AI2390" s="209"/>
      <c r="AJ2390" s="209"/>
      <c r="AK2390" s="204"/>
      <c r="AL2390" s="204"/>
      <c r="AM2390" s="204"/>
    </row>
    <row r="2391">
      <c r="A2391" s="204"/>
      <c r="B2391" s="209"/>
      <c r="C2391" s="204"/>
      <c r="D2391" s="210"/>
      <c r="E2391" s="211"/>
      <c r="F2391" s="211"/>
      <c r="G2391" s="212"/>
      <c r="H2391" s="212"/>
      <c r="I2391" s="204"/>
      <c r="J2391" s="204"/>
      <c r="K2391" s="204"/>
      <c r="L2391" s="204"/>
      <c r="M2391" s="204"/>
      <c r="N2391" s="204"/>
      <c r="O2391" s="204"/>
      <c r="P2391" s="204"/>
      <c r="Q2391" s="204"/>
      <c r="R2391" s="204"/>
      <c r="S2391" s="204"/>
      <c r="T2391" s="204"/>
      <c r="U2391" s="204"/>
      <c r="V2391" s="204"/>
      <c r="W2391" s="204"/>
      <c r="X2391" s="204"/>
      <c r="Y2391" s="204"/>
      <c r="Z2391" s="204"/>
      <c r="AA2391" s="204"/>
      <c r="AB2391" s="204"/>
      <c r="AC2391" s="204"/>
      <c r="AD2391" s="204"/>
      <c r="AE2391" s="204"/>
      <c r="AF2391" s="204"/>
      <c r="AG2391" s="204"/>
      <c r="AH2391" s="204"/>
      <c r="AI2391" s="209"/>
      <c r="AJ2391" s="209"/>
      <c r="AK2391" s="204"/>
      <c r="AL2391" s="204"/>
      <c r="AM2391" s="204"/>
    </row>
    <row r="2392">
      <c r="A2392" s="204"/>
      <c r="B2392" s="209"/>
      <c r="C2392" s="204"/>
      <c r="D2392" s="210"/>
      <c r="E2392" s="211"/>
      <c r="F2392" s="211"/>
      <c r="G2392" s="212"/>
      <c r="H2392" s="212"/>
      <c r="I2392" s="204"/>
      <c r="J2392" s="204"/>
      <c r="K2392" s="204"/>
      <c r="L2392" s="204"/>
      <c r="M2392" s="204"/>
      <c r="N2392" s="204"/>
      <c r="O2392" s="204"/>
      <c r="P2392" s="204"/>
      <c r="Q2392" s="204"/>
      <c r="R2392" s="204"/>
      <c r="S2392" s="204"/>
      <c r="T2392" s="204"/>
      <c r="U2392" s="204"/>
      <c r="V2392" s="204"/>
      <c r="W2392" s="204"/>
      <c r="X2392" s="204"/>
      <c r="Y2392" s="204"/>
      <c r="Z2392" s="204"/>
      <c r="AA2392" s="204"/>
      <c r="AB2392" s="204"/>
      <c r="AC2392" s="204"/>
      <c r="AD2392" s="204"/>
      <c r="AE2392" s="204"/>
      <c r="AF2392" s="204"/>
      <c r="AG2392" s="204"/>
      <c r="AH2392" s="204"/>
      <c r="AI2392" s="209"/>
      <c r="AJ2392" s="209"/>
      <c r="AK2392" s="204"/>
      <c r="AL2392" s="204"/>
      <c r="AM2392" s="204"/>
    </row>
    <row r="2393">
      <c r="A2393" s="204"/>
      <c r="B2393" s="209"/>
      <c r="C2393" s="204"/>
      <c r="D2393" s="210"/>
      <c r="E2393" s="211"/>
      <c r="F2393" s="211"/>
      <c r="G2393" s="212"/>
      <c r="H2393" s="212"/>
      <c r="I2393" s="204"/>
      <c r="J2393" s="204"/>
      <c r="K2393" s="204"/>
      <c r="L2393" s="204"/>
      <c r="M2393" s="204"/>
      <c r="N2393" s="204"/>
      <c r="O2393" s="204"/>
      <c r="P2393" s="204"/>
      <c r="Q2393" s="204"/>
      <c r="R2393" s="204"/>
      <c r="S2393" s="204"/>
      <c r="T2393" s="204"/>
      <c r="U2393" s="204"/>
      <c r="V2393" s="204"/>
      <c r="W2393" s="204"/>
      <c r="X2393" s="204"/>
      <c r="Y2393" s="204"/>
      <c r="Z2393" s="204"/>
      <c r="AA2393" s="204"/>
      <c r="AB2393" s="204"/>
      <c r="AC2393" s="204"/>
      <c r="AD2393" s="204"/>
      <c r="AE2393" s="204"/>
      <c r="AF2393" s="204"/>
      <c r="AG2393" s="204"/>
      <c r="AH2393" s="204"/>
      <c r="AI2393" s="209"/>
      <c r="AJ2393" s="209"/>
      <c r="AK2393" s="204"/>
      <c r="AL2393" s="204"/>
      <c r="AM2393" s="204"/>
    </row>
    <row r="2394">
      <c r="A2394" s="204"/>
      <c r="B2394" s="209"/>
      <c r="C2394" s="204"/>
      <c r="D2394" s="210"/>
      <c r="E2394" s="211"/>
      <c r="F2394" s="211"/>
      <c r="G2394" s="212"/>
      <c r="H2394" s="212"/>
      <c r="I2394" s="204"/>
      <c r="J2394" s="204"/>
      <c r="K2394" s="204"/>
      <c r="L2394" s="204"/>
      <c r="M2394" s="204"/>
      <c r="N2394" s="204"/>
      <c r="O2394" s="204"/>
      <c r="P2394" s="204"/>
      <c r="Q2394" s="204"/>
      <c r="R2394" s="204"/>
      <c r="S2394" s="204"/>
      <c r="T2394" s="204"/>
      <c r="U2394" s="204"/>
      <c r="V2394" s="204"/>
      <c r="W2394" s="204"/>
      <c r="X2394" s="204"/>
      <c r="Y2394" s="204"/>
      <c r="Z2394" s="204"/>
      <c r="AA2394" s="204"/>
      <c r="AB2394" s="204"/>
      <c r="AC2394" s="204"/>
      <c r="AD2394" s="204"/>
      <c r="AE2394" s="204"/>
      <c r="AF2394" s="204"/>
      <c r="AG2394" s="204"/>
      <c r="AH2394" s="204"/>
      <c r="AI2394" s="209"/>
      <c r="AJ2394" s="209"/>
      <c r="AK2394" s="204"/>
      <c r="AL2394" s="204"/>
      <c r="AM2394" s="204"/>
    </row>
    <row r="2395">
      <c r="A2395" s="204"/>
      <c r="B2395" s="209"/>
      <c r="C2395" s="204"/>
      <c r="D2395" s="210"/>
      <c r="E2395" s="211"/>
      <c r="F2395" s="211"/>
      <c r="G2395" s="212"/>
      <c r="H2395" s="212"/>
      <c r="I2395" s="204"/>
      <c r="J2395" s="204"/>
      <c r="K2395" s="204"/>
      <c r="L2395" s="204"/>
      <c r="M2395" s="204"/>
      <c r="N2395" s="204"/>
      <c r="O2395" s="204"/>
      <c r="P2395" s="204"/>
      <c r="Q2395" s="204"/>
      <c r="R2395" s="204"/>
      <c r="S2395" s="204"/>
      <c r="T2395" s="204"/>
      <c r="U2395" s="204"/>
      <c r="V2395" s="204"/>
      <c r="W2395" s="204"/>
      <c r="X2395" s="204"/>
      <c r="Y2395" s="204"/>
      <c r="Z2395" s="204"/>
      <c r="AA2395" s="204"/>
      <c r="AB2395" s="204"/>
      <c r="AC2395" s="204"/>
      <c r="AD2395" s="204"/>
      <c r="AE2395" s="204"/>
      <c r="AF2395" s="204"/>
      <c r="AG2395" s="204"/>
      <c r="AH2395" s="204"/>
      <c r="AI2395" s="209"/>
      <c r="AJ2395" s="209"/>
      <c r="AK2395" s="204"/>
      <c r="AL2395" s="204"/>
      <c r="AM2395" s="204"/>
    </row>
    <row r="2396">
      <c r="A2396" s="204"/>
      <c r="B2396" s="209"/>
      <c r="C2396" s="204"/>
      <c r="D2396" s="210"/>
      <c r="E2396" s="211"/>
      <c r="F2396" s="211"/>
      <c r="G2396" s="212"/>
      <c r="H2396" s="212"/>
      <c r="I2396" s="204"/>
      <c r="J2396" s="204"/>
      <c r="K2396" s="204"/>
      <c r="L2396" s="204"/>
      <c r="M2396" s="204"/>
      <c r="N2396" s="204"/>
      <c r="O2396" s="204"/>
      <c r="P2396" s="204"/>
      <c r="Q2396" s="204"/>
      <c r="R2396" s="204"/>
      <c r="S2396" s="204"/>
      <c r="T2396" s="204"/>
      <c r="U2396" s="204"/>
      <c r="V2396" s="204"/>
      <c r="W2396" s="204"/>
      <c r="X2396" s="204"/>
      <c r="Y2396" s="204"/>
      <c r="Z2396" s="204"/>
      <c r="AA2396" s="204"/>
      <c r="AB2396" s="204"/>
      <c r="AC2396" s="204"/>
      <c r="AD2396" s="204"/>
      <c r="AE2396" s="204"/>
      <c r="AF2396" s="204"/>
      <c r="AG2396" s="204"/>
      <c r="AH2396" s="204"/>
      <c r="AI2396" s="209"/>
      <c r="AJ2396" s="209"/>
      <c r="AK2396" s="204"/>
      <c r="AL2396" s="204"/>
      <c r="AM2396" s="204"/>
    </row>
    <row r="2397">
      <c r="A2397" s="204"/>
      <c r="B2397" s="209"/>
      <c r="C2397" s="204"/>
      <c r="D2397" s="210"/>
      <c r="E2397" s="211"/>
      <c r="F2397" s="211"/>
      <c r="G2397" s="212"/>
      <c r="H2397" s="212"/>
      <c r="I2397" s="204"/>
      <c r="J2397" s="204"/>
      <c r="K2397" s="204"/>
      <c r="L2397" s="204"/>
      <c r="M2397" s="204"/>
      <c r="N2397" s="204"/>
      <c r="O2397" s="204"/>
      <c r="P2397" s="204"/>
      <c r="Q2397" s="204"/>
      <c r="R2397" s="204"/>
      <c r="S2397" s="204"/>
      <c r="T2397" s="204"/>
      <c r="U2397" s="204"/>
      <c r="V2397" s="204"/>
      <c r="W2397" s="204"/>
      <c r="X2397" s="204"/>
      <c r="Y2397" s="204"/>
      <c r="Z2397" s="204"/>
      <c r="AA2397" s="204"/>
      <c r="AB2397" s="204"/>
      <c r="AC2397" s="204"/>
      <c r="AD2397" s="204"/>
      <c r="AE2397" s="204"/>
      <c r="AF2397" s="204"/>
      <c r="AG2397" s="204"/>
      <c r="AH2397" s="204"/>
      <c r="AI2397" s="209"/>
      <c r="AJ2397" s="209"/>
      <c r="AK2397" s="204"/>
      <c r="AL2397" s="204"/>
      <c r="AM2397" s="204"/>
    </row>
    <row r="2398">
      <c r="A2398" s="204"/>
      <c r="B2398" s="209"/>
      <c r="C2398" s="204"/>
      <c r="D2398" s="210"/>
      <c r="E2398" s="211"/>
      <c r="F2398" s="211"/>
      <c r="G2398" s="212"/>
      <c r="H2398" s="212"/>
      <c r="I2398" s="204"/>
      <c r="J2398" s="204"/>
      <c r="K2398" s="204"/>
      <c r="L2398" s="204"/>
      <c r="M2398" s="204"/>
      <c r="N2398" s="204"/>
      <c r="O2398" s="204"/>
      <c r="P2398" s="204"/>
      <c r="Q2398" s="204"/>
      <c r="R2398" s="204"/>
      <c r="S2398" s="204"/>
      <c r="T2398" s="204"/>
      <c r="U2398" s="204"/>
      <c r="V2398" s="204"/>
      <c r="W2398" s="204"/>
      <c r="X2398" s="204"/>
      <c r="Y2398" s="204"/>
      <c r="Z2398" s="204"/>
      <c r="AA2398" s="204"/>
      <c r="AB2398" s="204"/>
      <c r="AC2398" s="204"/>
      <c r="AD2398" s="204"/>
      <c r="AE2398" s="204"/>
      <c r="AF2398" s="204"/>
      <c r="AG2398" s="204"/>
      <c r="AH2398" s="204"/>
      <c r="AI2398" s="209"/>
      <c r="AJ2398" s="209"/>
      <c r="AK2398" s="204"/>
      <c r="AL2398" s="204"/>
      <c r="AM2398" s="204"/>
    </row>
    <row r="2399">
      <c r="A2399" s="204"/>
      <c r="B2399" s="209"/>
      <c r="C2399" s="204"/>
      <c r="D2399" s="210"/>
      <c r="E2399" s="211"/>
      <c r="F2399" s="211"/>
      <c r="G2399" s="212"/>
      <c r="H2399" s="212"/>
      <c r="I2399" s="204"/>
      <c r="J2399" s="204"/>
      <c r="K2399" s="204"/>
      <c r="L2399" s="204"/>
      <c r="M2399" s="204"/>
      <c r="N2399" s="204"/>
      <c r="O2399" s="204"/>
      <c r="P2399" s="204"/>
      <c r="Q2399" s="204"/>
      <c r="R2399" s="204"/>
      <c r="S2399" s="204"/>
      <c r="T2399" s="204"/>
      <c r="U2399" s="204"/>
      <c r="V2399" s="204"/>
      <c r="W2399" s="204"/>
      <c r="X2399" s="204"/>
      <c r="Y2399" s="204"/>
      <c r="Z2399" s="204"/>
      <c r="AA2399" s="204"/>
      <c r="AB2399" s="204"/>
      <c r="AC2399" s="204"/>
      <c r="AD2399" s="204"/>
      <c r="AE2399" s="204"/>
      <c r="AF2399" s="204"/>
      <c r="AG2399" s="204"/>
      <c r="AH2399" s="204"/>
      <c r="AI2399" s="209"/>
      <c r="AJ2399" s="209"/>
      <c r="AK2399" s="204"/>
      <c r="AL2399" s="204"/>
      <c r="AM2399" s="204"/>
    </row>
    <row r="2400">
      <c r="A2400" s="204"/>
      <c r="B2400" s="209"/>
      <c r="C2400" s="204"/>
      <c r="D2400" s="210"/>
      <c r="E2400" s="211"/>
      <c r="F2400" s="211"/>
      <c r="G2400" s="212"/>
      <c r="H2400" s="212"/>
      <c r="I2400" s="204"/>
      <c r="J2400" s="204"/>
      <c r="K2400" s="204"/>
      <c r="L2400" s="204"/>
      <c r="M2400" s="204"/>
      <c r="N2400" s="204"/>
      <c r="O2400" s="204"/>
      <c r="P2400" s="204"/>
      <c r="Q2400" s="204"/>
      <c r="R2400" s="204"/>
      <c r="S2400" s="204"/>
      <c r="T2400" s="204"/>
      <c r="U2400" s="204"/>
      <c r="V2400" s="204"/>
      <c r="W2400" s="204"/>
      <c r="X2400" s="204"/>
      <c r="Y2400" s="204"/>
      <c r="Z2400" s="204"/>
      <c r="AA2400" s="204"/>
      <c r="AB2400" s="204"/>
      <c r="AC2400" s="204"/>
      <c r="AD2400" s="204"/>
      <c r="AE2400" s="204"/>
      <c r="AF2400" s="204"/>
      <c r="AG2400" s="204"/>
      <c r="AH2400" s="204"/>
      <c r="AI2400" s="209"/>
      <c r="AJ2400" s="209"/>
      <c r="AK2400" s="204"/>
      <c r="AL2400" s="204"/>
      <c r="AM2400" s="204"/>
    </row>
    <row r="2401">
      <c r="A2401" s="204"/>
      <c r="B2401" s="209"/>
      <c r="C2401" s="204"/>
      <c r="D2401" s="210"/>
      <c r="E2401" s="211"/>
      <c r="F2401" s="211"/>
      <c r="G2401" s="212"/>
      <c r="H2401" s="212"/>
      <c r="I2401" s="204"/>
      <c r="J2401" s="204"/>
      <c r="K2401" s="204"/>
      <c r="L2401" s="204"/>
      <c r="M2401" s="204"/>
      <c r="N2401" s="204"/>
      <c r="O2401" s="204"/>
      <c r="P2401" s="204"/>
      <c r="Q2401" s="204"/>
      <c r="R2401" s="204"/>
      <c r="S2401" s="204"/>
      <c r="T2401" s="204"/>
      <c r="U2401" s="204"/>
      <c r="V2401" s="204"/>
      <c r="W2401" s="204"/>
      <c r="X2401" s="204"/>
      <c r="Y2401" s="204"/>
      <c r="Z2401" s="204"/>
      <c r="AA2401" s="204"/>
      <c r="AB2401" s="204"/>
      <c r="AC2401" s="204"/>
      <c r="AD2401" s="204"/>
      <c r="AE2401" s="204"/>
      <c r="AF2401" s="204"/>
      <c r="AG2401" s="204"/>
      <c r="AH2401" s="204"/>
      <c r="AI2401" s="209"/>
      <c r="AJ2401" s="209"/>
      <c r="AK2401" s="204"/>
      <c r="AL2401" s="204"/>
      <c r="AM2401" s="204"/>
    </row>
    <row r="2402">
      <c r="A2402" s="204"/>
      <c r="B2402" s="209"/>
      <c r="C2402" s="204"/>
      <c r="D2402" s="210"/>
      <c r="E2402" s="211"/>
      <c r="F2402" s="211"/>
      <c r="G2402" s="212"/>
      <c r="H2402" s="212"/>
      <c r="I2402" s="204"/>
      <c r="J2402" s="204"/>
      <c r="K2402" s="204"/>
      <c r="L2402" s="204"/>
      <c r="M2402" s="204"/>
      <c r="N2402" s="204"/>
      <c r="O2402" s="204"/>
      <c r="P2402" s="204"/>
      <c r="Q2402" s="204"/>
      <c r="R2402" s="204"/>
      <c r="S2402" s="204"/>
      <c r="T2402" s="204"/>
      <c r="U2402" s="204"/>
      <c r="V2402" s="204"/>
      <c r="W2402" s="204"/>
      <c r="X2402" s="204"/>
      <c r="Y2402" s="204"/>
      <c r="Z2402" s="204"/>
      <c r="AA2402" s="204"/>
      <c r="AB2402" s="204"/>
      <c r="AC2402" s="204"/>
      <c r="AD2402" s="204"/>
      <c r="AE2402" s="204"/>
      <c r="AF2402" s="204"/>
      <c r="AG2402" s="204"/>
      <c r="AH2402" s="204"/>
      <c r="AI2402" s="209"/>
      <c r="AJ2402" s="209"/>
      <c r="AK2402" s="204"/>
      <c r="AL2402" s="204"/>
      <c r="AM2402" s="204"/>
    </row>
    <row r="2403">
      <c r="A2403" s="204"/>
      <c r="B2403" s="209"/>
      <c r="C2403" s="204"/>
      <c r="D2403" s="210"/>
      <c r="E2403" s="211"/>
      <c r="F2403" s="211"/>
      <c r="G2403" s="212"/>
      <c r="H2403" s="212"/>
      <c r="I2403" s="204"/>
      <c r="J2403" s="204"/>
      <c r="K2403" s="204"/>
      <c r="L2403" s="204"/>
      <c r="M2403" s="204"/>
      <c r="N2403" s="204"/>
      <c r="O2403" s="204"/>
      <c r="P2403" s="204"/>
      <c r="Q2403" s="204"/>
      <c r="R2403" s="204"/>
      <c r="S2403" s="204"/>
      <c r="T2403" s="204"/>
      <c r="U2403" s="204"/>
      <c r="V2403" s="204"/>
      <c r="W2403" s="204"/>
      <c r="X2403" s="204"/>
      <c r="Y2403" s="204"/>
      <c r="Z2403" s="204"/>
      <c r="AA2403" s="204"/>
      <c r="AB2403" s="204"/>
      <c r="AC2403" s="204"/>
      <c r="AD2403" s="204"/>
      <c r="AE2403" s="204"/>
      <c r="AF2403" s="204"/>
      <c r="AG2403" s="204"/>
      <c r="AH2403" s="204"/>
      <c r="AI2403" s="209"/>
      <c r="AJ2403" s="209"/>
      <c r="AK2403" s="204"/>
      <c r="AL2403" s="204"/>
      <c r="AM2403" s="204"/>
    </row>
    <row r="2404">
      <c r="A2404" s="204"/>
      <c r="B2404" s="209"/>
      <c r="C2404" s="204"/>
      <c r="D2404" s="210"/>
      <c r="E2404" s="211"/>
      <c r="F2404" s="211"/>
      <c r="G2404" s="212"/>
      <c r="H2404" s="212"/>
      <c r="I2404" s="204"/>
      <c r="J2404" s="204"/>
      <c r="K2404" s="204"/>
      <c r="L2404" s="204"/>
      <c r="M2404" s="204"/>
      <c r="N2404" s="204"/>
      <c r="O2404" s="204"/>
      <c r="P2404" s="204"/>
      <c r="Q2404" s="204"/>
      <c r="R2404" s="204"/>
      <c r="S2404" s="204"/>
      <c r="T2404" s="204"/>
      <c r="U2404" s="204"/>
      <c r="V2404" s="204"/>
      <c r="W2404" s="204"/>
      <c r="X2404" s="204"/>
      <c r="Y2404" s="204"/>
      <c r="Z2404" s="204"/>
      <c r="AA2404" s="204"/>
      <c r="AB2404" s="204"/>
      <c r="AC2404" s="204"/>
      <c r="AD2404" s="204"/>
      <c r="AE2404" s="204"/>
      <c r="AF2404" s="204"/>
      <c r="AG2404" s="204"/>
      <c r="AH2404" s="204"/>
      <c r="AI2404" s="209"/>
      <c r="AJ2404" s="209"/>
      <c r="AK2404" s="204"/>
      <c r="AL2404" s="204"/>
      <c r="AM2404" s="204"/>
    </row>
    <row r="2405">
      <c r="A2405" s="204"/>
      <c r="B2405" s="209"/>
      <c r="C2405" s="204"/>
      <c r="D2405" s="210"/>
      <c r="E2405" s="211"/>
      <c r="F2405" s="211"/>
      <c r="G2405" s="212"/>
      <c r="H2405" s="212"/>
      <c r="I2405" s="204"/>
      <c r="J2405" s="204"/>
      <c r="K2405" s="204"/>
      <c r="L2405" s="204"/>
      <c r="M2405" s="204"/>
      <c r="N2405" s="204"/>
      <c r="O2405" s="204"/>
      <c r="P2405" s="204"/>
      <c r="Q2405" s="204"/>
      <c r="R2405" s="204"/>
      <c r="S2405" s="204"/>
      <c r="T2405" s="204"/>
      <c r="U2405" s="204"/>
      <c r="V2405" s="204"/>
      <c r="W2405" s="204"/>
      <c r="X2405" s="204"/>
      <c r="Y2405" s="204"/>
      <c r="Z2405" s="204"/>
      <c r="AA2405" s="204"/>
      <c r="AB2405" s="204"/>
      <c r="AC2405" s="204"/>
      <c r="AD2405" s="204"/>
      <c r="AE2405" s="204"/>
      <c r="AF2405" s="204"/>
      <c r="AG2405" s="204"/>
      <c r="AH2405" s="204"/>
      <c r="AI2405" s="209"/>
      <c r="AJ2405" s="209"/>
      <c r="AK2405" s="204"/>
      <c r="AL2405" s="204"/>
      <c r="AM2405" s="204"/>
    </row>
    <row r="2406">
      <c r="A2406" s="204"/>
      <c r="B2406" s="209"/>
      <c r="C2406" s="204"/>
      <c r="D2406" s="210"/>
      <c r="E2406" s="211"/>
      <c r="F2406" s="211"/>
      <c r="G2406" s="212"/>
      <c r="H2406" s="212"/>
      <c r="I2406" s="204"/>
      <c r="J2406" s="204"/>
      <c r="K2406" s="204"/>
      <c r="L2406" s="204"/>
      <c r="M2406" s="204"/>
      <c r="N2406" s="204"/>
      <c r="O2406" s="204"/>
      <c r="P2406" s="204"/>
      <c r="Q2406" s="204"/>
      <c r="R2406" s="204"/>
      <c r="S2406" s="204"/>
      <c r="T2406" s="204"/>
      <c r="U2406" s="204"/>
      <c r="V2406" s="204"/>
      <c r="W2406" s="204"/>
      <c r="X2406" s="204"/>
      <c r="Y2406" s="204"/>
      <c r="Z2406" s="204"/>
      <c r="AA2406" s="204"/>
      <c r="AB2406" s="204"/>
      <c r="AC2406" s="204"/>
      <c r="AD2406" s="204"/>
      <c r="AE2406" s="204"/>
      <c r="AF2406" s="204"/>
      <c r="AG2406" s="204"/>
      <c r="AH2406" s="204"/>
      <c r="AI2406" s="209"/>
      <c r="AJ2406" s="209"/>
      <c r="AK2406" s="204"/>
      <c r="AL2406" s="204"/>
      <c r="AM2406" s="204"/>
    </row>
    <row r="2407">
      <c r="A2407" s="204"/>
      <c r="B2407" s="209"/>
      <c r="C2407" s="204"/>
      <c r="D2407" s="210"/>
      <c r="E2407" s="211"/>
      <c r="F2407" s="211"/>
      <c r="G2407" s="212"/>
      <c r="H2407" s="212"/>
      <c r="I2407" s="204"/>
      <c r="J2407" s="204"/>
      <c r="K2407" s="204"/>
      <c r="L2407" s="204"/>
      <c r="M2407" s="204"/>
      <c r="N2407" s="204"/>
      <c r="O2407" s="204"/>
      <c r="P2407" s="204"/>
      <c r="Q2407" s="204"/>
      <c r="R2407" s="204"/>
      <c r="S2407" s="204"/>
      <c r="T2407" s="204"/>
      <c r="U2407" s="204"/>
      <c r="V2407" s="204"/>
      <c r="W2407" s="204"/>
      <c r="X2407" s="204"/>
      <c r="Y2407" s="204"/>
      <c r="Z2407" s="204"/>
      <c r="AA2407" s="204"/>
      <c r="AB2407" s="204"/>
      <c r="AC2407" s="204"/>
      <c r="AD2407" s="204"/>
      <c r="AE2407" s="204"/>
      <c r="AF2407" s="204"/>
      <c r="AG2407" s="204"/>
      <c r="AH2407" s="204"/>
      <c r="AI2407" s="209"/>
      <c r="AJ2407" s="209"/>
      <c r="AK2407" s="204"/>
      <c r="AL2407" s="204"/>
      <c r="AM2407" s="204"/>
    </row>
    <row r="2408">
      <c r="A2408" s="204"/>
      <c r="B2408" s="209"/>
      <c r="C2408" s="204"/>
      <c r="D2408" s="210"/>
      <c r="E2408" s="211"/>
      <c r="F2408" s="211"/>
      <c r="G2408" s="212"/>
      <c r="H2408" s="212"/>
      <c r="I2408" s="204"/>
      <c r="J2408" s="204"/>
      <c r="K2408" s="204"/>
      <c r="L2408" s="204"/>
      <c r="M2408" s="204"/>
      <c r="N2408" s="204"/>
      <c r="O2408" s="204"/>
      <c r="P2408" s="204"/>
      <c r="Q2408" s="204"/>
      <c r="R2408" s="204"/>
      <c r="S2408" s="204"/>
      <c r="T2408" s="204"/>
      <c r="U2408" s="204"/>
      <c r="V2408" s="204"/>
      <c r="W2408" s="204"/>
      <c r="X2408" s="204"/>
      <c r="Y2408" s="204"/>
      <c r="Z2408" s="204"/>
      <c r="AA2408" s="204"/>
      <c r="AB2408" s="204"/>
      <c r="AC2408" s="204"/>
      <c r="AD2408" s="204"/>
      <c r="AE2408" s="204"/>
      <c r="AF2408" s="204"/>
      <c r="AG2408" s="204"/>
      <c r="AH2408" s="204"/>
      <c r="AI2408" s="209"/>
      <c r="AJ2408" s="209"/>
      <c r="AK2408" s="204"/>
      <c r="AL2408" s="204"/>
      <c r="AM2408" s="204"/>
    </row>
    <row r="2409">
      <c r="A2409" s="204"/>
      <c r="B2409" s="209"/>
      <c r="C2409" s="204"/>
      <c r="D2409" s="210"/>
      <c r="E2409" s="211"/>
      <c r="F2409" s="211"/>
      <c r="G2409" s="212"/>
      <c r="H2409" s="212"/>
      <c r="I2409" s="204"/>
      <c r="J2409" s="204"/>
      <c r="K2409" s="204"/>
      <c r="L2409" s="204"/>
      <c r="M2409" s="204"/>
      <c r="N2409" s="204"/>
      <c r="O2409" s="204"/>
      <c r="P2409" s="204"/>
      <c r="Q2409" s="204"/>
      <c r="R2409" s="204"/>
      <c r="S2409" s="204"/>
      <c r="T2409" s="204"/>
      <c r="U2409" s="204"/>
      <c r="V2409" s="204"/>
      <c r="W2409" s="204"/>
      <c r="X2409" s="204"/>
      <c r="Y2409" s="204"/>
      <c r="Z2409" s="204"/>
      <c r="AA2409" s="204"/>
      <c r="AB2409" s="204"/>
      <c r="AC2409" s="204"/>
      <c r="AD2409" s="204"/>
      <c r="AE2409" s="204"/>
      <c r="AF2409" s="204"/>
      <c r="AG2409" s="204"/>
      <c r="AH2409" s="204"/>
      <c r="AI2409" s="209"/>
      <c r="AJ2409" s="209"/>
      <c r="AK2409" s="204"/>
      <c r="AL2409" s="204"/>
      <c r="AM2409" s="204"/>
    </row>
    <row r="2410">
      <c r="A2410" s="204"/>
      <c r="B2410" s="209"/>
      <c r="C2410" s="204"/>
      <c r="D2410" s="210"/>
      <c r="E2410" s="211"/>
      <c r="F2410" s="211"/>
      <c r="G2410" s="212"/>
      <c r="H2410" s="212"/>
      <c r="I2410" s="204"/>
      <c r="J2410" s="204"/>
      <c r="K2410" s="204"/>
      <c r="L2410" s="204"/>
      <c r="M2410" s="204"/>
      <c r="N2410" s="204"/>
      <c r="O2410" s="204"/>
      <c r="P2410" s="204"/>
      <c r="Q2410" s="204"/>
      <c r="R2410" s="204"/>
      <c r="S2410" s="204"/>
      <c r="T2410" s="204"/>
      <c r="U2410" s="204"/>
      <c r="V2410" s="204"/>
      <c r="W2410" s="204"/>
      <c r="X2410" s="204"/>
      <c r="Y2410" s="204"/>
      <c r="Z2410" s="204"/>
      <c r="AA2410" s="204"/>
      <c r="AB2410" s="204"/>
      <c r="AC2410" s="204"/>
      <c r="AD2410" s="204"/>
      <c r="AE2410" s="204"/>
      <c r="AF2410" s="204"/>
      <c r="AG2410" s="204"/>
      <c r="AH2410" s="204"/>
      <c r="AI2410" s="209"/>
      <c r="AJ2410" s="209"/>
      <c r="AK2410" s="204"/>
      <c r="AL2410" s="204"/>
      <c r="AM2410" s="204"/>
    </row>
    <row r="2411">
      <c r="A2411" s="204"/>
      <c r="B2411" s="209"/>
      <c r="C2411" s="204"/>
      <c r="D2411" s="210"/>
      <c r="E2411" s="211"/>
      <c r="F2411" s="211"/>
      <c r="G2411" s="212"/>
      <c r="H2411" s="212"/>
      <c r="I2411" s="204"/>
      <c r="J2411" s="204"/>
      <c r="K2411" s="204"/>
      <c r="L2411" s="204"/>
      <c r="M2411" s="204"/>
      <c r="N2411" s="204"/>
      <c r="O2411" s="204"/>
      <c r="P2411" s="204"/>
      <c r="Q2411" s="204"/>
      <c r="R2411" s="204"/>
      <c r="S2411" s="204"/>
      <c r="T2411" s="204"/>
      <c r="U2411" s="204"/>
      <c r="V2411" s="204"/>
      <c r="W2411" s="204"/>
      <c r="X2411" s="204"/>
      <c r="Y2411" s="204"/>
      <c r="Z2411" s="204"/>
      <c r="AA2411" s="204"/>
      <c r="AB2411" s="204"/>
      <c r="AC2411" s="204"/>
      <c r="AD2411" s="204"/>
      <c r="AE2411" s="204"/>
      <c r="AF2411" s="204"/>
      <c r="AG2411" s="204"/>
      <c r="AH2411" s="204"/>
      <c r="AI2411" s="209"/>
      <c r="AJ2411" s="209"/>
      <c r="AK2411" s="204"/>
      <c r="AL2411" s="204"/>
      <c r="AM2411" s="204"/>
    </row>
    <row r="2412">
      <c r="A2412" s="204"/>
      <c r="B2412" s="209"/>
      <c r="C2412" s="204"/>
      <c r="D2412" s="210"/>
      <c r="E2412" s="211"/>
      <c r="F2412" s="211"/>
      <c r="G2412" s="212"/>
      <c r="H2412" s="212"/>
      <c r="I2412" s="204"/>
      <c r="J2412" s="204"/>
      <c r="K2412" s="204"/>
      <c r="L2412" s="204"/>
      <c r="M2412" s="204"/>
      <c r="N2412" s="204"/>
      <c r="O2412" s="204"/>
      <c r="P2412" s="204"/>
      <c r="Q2412" s="204"/>
      <c r="R2412" s="204"/>
      <c r="S2412" s="204"/>
      <c r="T2412" s="204"/>
      <c r="U2412" s="204"/>
      <c r="V2412" s="204"/>
      <c r="W2412" s="204"/>
      <c r="X2412" s="204"/>
      <c r="Y2412" s="204"/>
      <c r="Z2412" s="204"/>
      <c r="AA2412" s="204"/>
      <c r="AB2412" s="204"/>
      <c r="AC2412" s="204"/>
      <c r="AD2412" s="204"/>
      <c r="AE2412" s="204"/>
      <c r="AF2412" s="204"/>
      <c r="AG2412" s="204"/>
      <c r="AH2412" s="204"/>
      <c r="AI2412" s="209"/>
      <c r="AJ2412" s="209"/>
      <c r="AK2412" s="204"/>
      <c r="AL2412" s="204"/>
      <c r="AM2412" s="204"/>
    </row>
    <row r="2413">
      <c r="A2413" s="204"/>
      <c r="B2413" s="209"/>
      <c r="C2413" s="204"/>
      <c r="D2413" s="210"/>
      <c r="E2413" s="211"/>
      <c r="F2413" s="211"/>
      <c r="G2413" s="212"/>
      <c r="H2413" s="212"/>
      <c r="I2413" s="204"/>
      <c r="J2413" s="204"/>
      <c r="K2413" s="204"/>
      <c r="L2413" s="204"/>
      <c r="M2413" s="204"/>
      <c r="N2413" s="204"/>
      <c r="O2413" s="204"/>
      <c r="P2413" s="204"/>
      <c r="Q2413" s="204"/>
      <c r="R2413" s="204"/>
      <c r="S2413" s="204"/>
      <c r="T2413" s="204"/>
      <c r="U2413" s="204"/>
      <c r="V2413" s="204"/>
      <c r="W2413" s="204"/>
      <c r="X2413" s="204"/>
      <c r="Y2413" s="204"/>
      <c r="Z2413" s="204"/>
      <c r="AA2413" s="204"/>
      <c r="AB2413" s="204"/>
      <c r="AC2413" s="204"/>
      <c r="AD2413" s="204"/>
      <c r="AE2413" s="204"/>
      <c r="AF2413" s="204"/>
      <c r="AG2413" s="204"/>
      <c r="AH2413" s="204"/>
      <c r="AI2413" s="209"/>
      <c r="AJ2413" s="209"/>
      <c r="AK2413" s="204"/>
      <c r="AL2413" s="204"/>
      <c r="AM2413" s="204"/>
    </row>
    <row r="2414">
      <c r="A2414" s="204"/>
      <c r="B2414" s="209"/>
      <c r="C2414" s="204"/>
      <c r="D2414" s="210"/>
      <c r="E2414" s="211"/>
      <c r="F2414" s="211"/>
      <c r="G2414" s="212"/>
      <c r="H2414" s="212"/>
      <c r="I2414" s="204"/>
      <c r="J2414" s="204"/>
      <c r="K2414" s="204"/>
      <c r="L2414" s="204"/>
      <c r="M2414" s="204"/>
      <c r="N2414" s="204"/>
      <c r="O2414" s="204"/>
      <c r="P2414" s="204"/>
      <c r="Q2414" s="204"/>
      <c r="R2414" s="204"/>
      <c r="S2414" s="204"/>
      <c r="T2414" s="204"/>
      <c r="U2414" s="204"/>
      <c r="V2414" s="204"/>
      <c r="W2414" s="204"/>
      <c r="X2414" s="204"/>
      <c r="Y2414" s="204"/>
      <c r="Z2414" s="204"/>
      <c r="AA2414" s="204"/>
      <c r="AB2414" s="204"/>
      <c r="AC2414" s="204"/>
      <c r="AD2414" s="204"/>
      <c r="AE2414" s="204"/>
      <c r="AF2414" s="204"/>
      <c r="AG2414" s="204"/>
      <c r="AH2414" s="204"/>
      <c r="AI2414" s="209"/>
      <c r="AJ2414" s="209"/>
      <c r="AK2414" s="204"/>
      <c r="AL2414" s="204"/>
      <c r="AM2414" s="204"/>
    </row>
    <row r="2415">
      <c r="A2415" s="204"/>
      <c r="B2415" s="209"/>
      <c r="C2415" s="204"/>
      <c r="D2415" s="210"/>
      <c r="E2415" s="211"/>
      <c r="F2415" s="211"/>
      <c r="G2415" s="212"/>
      <c r="H2415" s="212"/>
      <c r="I2415" s="204"/>
      <c r="J2415" s="204"/>
      <c r="K2415" s="204"/>
      <c r="L2415" s="204"/>
      <c r="M2415" s="204"/>
      <c r="N2415" s="204"/>
      <c r="O2415" s="204"/>
      <c r="P2415" s="204"/>
      <c r="Q2415" s="204"/>
      <c r="R2415" s="204"/>
      <c r="S2415" s="204"/>
      <c r="T2415" s="204"/>
      <c r="U2415" s="204"/>
      <c r="V2415" s="204"/>
      <c r="W2415" s="204"/>
      <c r="X2415" s="204"/>
      <c r="Y2415" s="204"/>
      <c r="Z2415" s="204"/>
      <c r="AA2415" s="204"/>
      <c r="AB2415" s="204"/>
      <c r="AC2415" s="204"/>
      <c r="AD2415" s="204"/>
      <c r="AE2415" s="204"/>
      <c r="AF2415" s="204"/>
      <c r="AG2415" s="204"/>
      <c r="AH2415" s="204"/>
      <c r="AI2415" s="209"/>
      <c r="AJ2415" s="209"/>
      <c r="AK2415" s="204"/>
      <c r="AL2415" s="204"/>
      <c r="AM2415" s="204"/>
    </row>
    <row r="2416">
      <c r="A2416" s="204"/>
      <c r="B2416" s="209"/>
      <c r="C2416" s="204"/>
      <c r="D2416" s="210"/>
      <c r="E2416" s="211"/>
      <c r="F2416" s="211"/>
      <c r="G2416" s="212"/>
      <c r="H2416" s="212"/>
      <c r="I2416" s="204"/>
      <c r="J2416" s="204"/>
      <c r="K2416" s="204"/>
      <c r="L2416" s="204"/>
      <c r="M2416" s="204"/>
      <c r="N2416" s="204"/>
      <c r="O2416" s="204"/>
      <c r="P2416" s="204"/>
      <c r="Q2416" s="204"/>
      <c r="R2416" s="204"/>
      <c r="S2416" s="204"/>
      <c r="T2416" s="204"/>
      <c r="U2416" s="204"/>
      <c r="V2416" s="204"/>
      <c r="W2416" s="204"/>
      <c r="X2416" s="204"/>
      <c r="Y2416" s="204"/>
      <c r="Z2416" s="204"/>
      <c r="AA2416" s="204"/>
      <c r="AB2416" s="204"/>
      <c r="AC2416" s="204"/>
      <c r="AD2416" s="204"/>
      <c r="AE2416" s="204"/>
      <c r="AF2416" s="204"/>
      <c r="AG2416" s="204"/>
      <c r="AH2416" s="204"/>
      <c r="AI2416" s="209"/>
      <c r="AJ2416" s="209"/>
      <c r="AK2416" s="204"/>
      <c r="AL2416" s="204"/>
      <c r="AM2416" s="204"/>
    </row>
    <row r="2417">
      <c r="A2417" s="204"/>
      <c r="B2417" s="209"/>
      <c r="C2417" s="204"/>
      <c r="D2417" s="210"/>
      <c r="E2417" s="211"/>
      <c r="F2417" s="211"/>
      <c r="G2417" s="212"/>
      <c r="H2417" s="212"/>
      <c r="I2417" s="204"/>
      <c r="J2417" s="204"/>
      <c r="K2417" s="204"/>
      <c r="L2417" s="204"/>
      <c r="M2417" s="204"/>
      <c r="N2417" s="204"/>
      <c r="O2417" s="204"/>
      <c r="P2417" s="204"/>
      <c r="Q2417" s="204"/>
      <c r="R2417" s="204"/>
      <c r="S2417" s="204"/>
      <c r="T2417" s="204"/>
      <c r="U2417" s="204"/>
      <c r="V2417" s="204"/>
      <c r="W2417" s="204"/>
      <c r="X2417" s="204"/>
      <c r="Y2417" s="204"/>
      <c r="Z2417" s="204"/>
      <c r="AA2417" s="204"/>
      <c r="AB2417" s="204"/>
      <c r="AC2417" s="204"/>
      <c r="AD2417" s="204"/>
      <c r="AE2417" s="204"/>
      <c r="AF2417" s="204"/>
      <c r="AG2417" s="204"/>
      <c r="AH2417" s="204"/>
      <c r="AI2417" s="209"/>
      <c r="AJ2417" s="209"/>
      <c r="AK2417" s="204"/>
      <c r="AL2417" s="204"/>
      <c r="AM2417" s="204"/>
    </row>
    <row r="2418">
      <c r="A2418" s="204"/>
      <c r="B2418" s="209"/>
      <c r="C2418" s="204"/>
      <c r="D2418" s="210"/>
      <c r="E2418" s="211"/>
      <c r="F2418" s="211"/>
      <c r="G2418" s="212"/>
      <c r="H2418" s="212"/>
      <c r="I2418" s="204"/>
      <c r="J2418" s="204"/>
      <c r="K2418" s="204"/>
      <c r="L2418" s="204"/>
      <c r="M2418" s="204"/>
      <c r="N2418" s="204"/>
      <c r="O2418" s="204"/>
      <c r="P2418" s="204"/>
      <c r="Q2418" s="204"/>
      <c r="R2418" s="204"/>
      <c r="S2418" s="204"/>
      <c r="T2418" s="204"/>
      <c r="U2418" s="204"/>
      <c r="V2418" s="204"/>
      <c r="W2418" s="204"/>
      <c r="X2418" s="204"/>
      <c r="Y2418" s="204"/>
      <c r="Z2418" s="204"/>
      <c r="AA2418" s="204"/>
      <c r="AB2418" s="204"/>
      <c r="AC2418" s="204"/>
      <c r="AD2418" s="204"/>
      <c r="AE2418" s="204"/>
      <c r="AF2418" s="204"/>
      <c r="AG2418" s="204"/>
      <c r="AH2418" s="204"/>
      <c r="AI2418" s="209"/>
      <c r="AJ2418" s="209"/>
      <c r="AK2418" s="204"/>
      <c r="AL2418" s="204"/>
      <c r="AM2418" s="204"/>
    </row>
    <row r="2419">
      <c r="A2419" s="204"/>
      <c r="B2419" s="209"/>
      <c r="C2419" s="204"/>
      <c r="D2419" s="210"/>
      <c r="E2419" s="211"/>
      <c r="F2419" s="211"/>
      <c r="G2419" s="212"/>
      <c r="H2419" s="212"/>
      <c r="I2419" s="204"/>
      <c r="J2419" s="204"/>
      <c r="K2419" s="204"/>
      <c r="L2419" s="204"/>
      <c r="M2419" s="204"/>
      <c r="N2419" s="204"/>
      <c r="O2419" s="204"/>
      <c r="P2419" s="204"/>
      <c r="Q2419" s="204"/>
      <c r="R2419" s="204"/>
      <c r="S2419" s="204"/>
      <c r="T2419" s="204"/>
      <c r="U2419" s="204"/>
      <c r="V2419" s="204"/>
      <c r="W2419" s="204"/>
      <c r="X2419" s="204"/>
      <c r="Y2419" s="204"/>
      <c r="Z2419" s="204"/>
      <c r="AA2419" s="204"/>
      <c r="AB2419" s="204"/>
      <c r="AC2419" s="204"/>
      <c r="AD2419" s="204"/>
      <c r="AE2419" s="204"/>
      <c r="AF2419" s="204"/>
      <c r="AG2419" s="204"/>
      <c r="AH2419" s="204"/>
      <c r="AI2419" s="209"/>
      <c r="AJ2419" s="209"/>
      <c r="AK2419" s="204"/>
      <c r="AL2419" s="204"/>
      <c r="AM2419" s="204"/>
    </row>
    <row r="2420">
      <c r="A2420" s="204"/>
      <c r="B2420" s="209"/>
      <c r="C2420" s="204"/>
      <c r="D2420" s="210"/>
      <c r="E2420" s="211"/>
      <c r="F2420" s="211"/>
      <c r="G2420" s="212"/>
      <c r="H2420" s="212"/>
      <c r="I2420" s="204"/>
      <c r="J2420" s="204"/>
      <c r="K2420" s="204"/>
      <c r="L2420" s="204"/>
      <c r="M2420" s="204"/>
      <c r="N2420" s="204"/>
      <c r="O2420" s="204"/>
      <c r="P2420" s="204"/>
      <c r="Q2420" s="204"/>
      <c r="R2420" s="204"/>
      <c r="S2420" s="204"/>
      <c r="T2420" s="204"/>
      <c r="U2420" s="204"/>
      <c r="V2420" s="204"/>
      <c r="W2420" s="204"/>
      <c r="X2420" s="204"/>
      <c r="Y2420" s="204"/>
      <c r="Z2420" s="204"/>
      <c r="AA2420" s="204"/>
      <c r="AB2420" s="204"/>
      <c r="AC2420" s="204"/>
      <c r="AD2420" s="204"/>
      <c r="AE2420" s="204"/>
      <c r="AF2420" s="204"/>
      <c r="AG2420" s="204"/>
      <c r="AH2420" s="204"/>
      <c r="AI2420" s="209"/>
      <c r="AJ2420" s="209"/>
      <c r="AK2420" s="204"/>
      <c r="AL2420" s="204"/>
      <c r="AM2420" s="204"/>
    </row>
    <row r="2421">
      <c r="A2421" s="204"/>
      <c r="B2421" s="209"/>
      <c r="C2421" s="204"/>
      <c r="D2421" s="210"/>
      <c r="E2421" s="211"/>
      <c r="F2421" s="211"/>
      <c r="G2421" s="212"/>
      <c r="H2421" s="212"/>
      <c r="I2421" s="204"/>
      <c r="J2421" s="204"/>
      <c r="K2421" s="204"/>
      <c r="L2421" s="204"/>
      <c r="M2421" s="204"/>
      <c r="N2421" s="204"/>
      <c r="O2421" s="204"/>
      <c r="P2421" s="204"/>
      <c r="Q2421" s="204"/>
      <c r="R2421" s="204"/>
      <c r="S2421" s="204"/>
      <c r="T2421" s="204"/>
      <c r="U2421" s="204"/>
      <c r="V2421" s="204"/>
      <c r="W2421" s="204"/>
      <c r="X2421" s="204"/>
      <c r="Y2421" s="204"/>
      <c r="Z2421" s="204"/>
      <c r="AA2421" s="204"/>
      <c r="AB2421" s="204"/>
      <c r="AC2421" s="204"/>
      <c r="AD2421" s="204"/>
      <c r="AE2421" s="204"/>
      <c r="AF2421" s="204"/>
      <c r="AG2421" s="204"/>
      <c r="AH2421" s="204"/>
      <c r="AI2421" s="209"/>
      <c r="AJ2421" s="209"/>
      <c r="AK2421" s="204"/>
      <c r="AL2421" s="204"/>
      <c r="AM2421" s="204"/>
    </row>
    <row r="2422">
      <c r="A2422" s="204"/>
      <c r="B2422" s="209"/>
      <c r="C2422" s="204"/>
      <c r="D2422" s="210"/>
      <c r="E2422" s="211"/>
      <c r="F2422" s="211"/>
      <c r="G2422" s="212"/>
      <c r="H2422" s="212"/>
      <c r="I2422" s="204"/>
      <c r="J2422" s="204"/>
      <c r="K2422" s="204"/>
      <c r="L2422" s="204"/>
      <c r="M2422" s="204"/>
      <c r="N2422" s="204"/>
      <c r="O2422" s="204"/>
      <c r="P2422" s="204"/>
      <c r="Q2422" s="204"/>
      <c r="R2422" s="204"/>
      <c r="S2422" s="204"/>
      <c r="T2422" s="204"/>
      <c r="U2422" s="204"/>
      <c r="V2422" s="204"/>
      <c r="W2422" s="204"/>
      <c r="X2422" s="204"/>
      <c r="Y2422" s="204"/>
      <c r="Z2422" s="204"/>
      <c r="AA2422" s="204"/>
      <c r="AB2422" s="204"/>
      <c r="AC2422" s="204"/>
      <c r="AD2422" s="204"/>
      <c r="AE2422" s="204"/>
      <c r="AF2422" s="204"/>
      <c r="AG2422" s="204"/>
      <c r="AH2422" s="204"/>
      <c r="AI2422" s="209"/>
      <c r="AJ2422" s="209"/>
      <c r="AK2422" s="204"/>
      <c r="AL2422" s="204"/>
      <c r="AM2422" s="204"/>
    </row>
    <row r="2423">
      <c r="A2423" s="204"/>
      <c r="B2423" s="209"/>
      <c r="C2423" s="204"/>
      <c r="D2423" s="210"/>
      <c r="E2423" s="211"/>
      <c r="F2423" s="211"/>
      <c r="G2423" s="212"/>
      <c r="H2423" s="212"/>
      <c r="I2423" s="204"/>
      <c r="J2423" s="204"/>
      <c r="K2423" s="204"/>
      <c r="L2423" s="204"/>
      <c r="M2423" s="204"/>
      <c r="N2423" s="204"/>
      <c r="O2423" s="204"/>
      <c r="P2423" s="204"/>
      <c r="Q2423" s="204"/>
      <c r="R2423" s="204"/>
      <c r="S2423" s="204"/>
      <c r="T2423" s="204"/>
      <c r="U2423" s="204"/>
      <c r="V2423" s="204"/>
      <c r="W2423" s="204"/>
      <c r="X2423" s="204"/>
      <c r="Y2423" s="204"/>
      <c r="Z2423" s="204"/>
      <c r="AA2423" s="204"/>
      <c r="AB2423" s="204"/>
      <c r="AC2423" s="204"/>
      <c r="AD2423" s="204"/>
      <c r="AE2423" s="204"/>
      <c r="AF2423" s="204"/>
      <c r="AG2423" s="204"/>
      <c r="AH2423" s="204"/>
      <c r="AI2423" s="209"/>
      <c r="AJ2423" s="209"/>
      <c r="AK2423" s="204"/>
      <c r="AL2423" s="204"/>
      <c r="AM2423" s="204"/>
    </row>
    <row r="2424">
      <c r="A2424" s="204"/>
      <c r="B2424" s="209"/>
      <c r="C2424" s="204"/>
      <c r="D2424" s="210"/>
      <c r="E2424" s="211"/>
      <c r="F2424" s="211"/>
      <c r="G2424" s="212"/>
      <c r="H2424" s="212"/>
      <c r="I2424" s="204"/>
      <c r="J2424" s="204"/>
      <c r="K2424" s="204"/>
      <c r="L2424" s="204"/>
      <c r="M2424" s="204"/>
      <c r="N2424" s="204"/>
      <c r="O2424" s="204"/>
      <c r="P2424" s="204"/>
      <c r="Q2424" s="204"/>
      <c r="R2424" s="204"/>
      <c r="S2424" s="204"/>
      <c r="T2424" s="204"/>
      <c r="U2424" s="204"/>
      <c r="V2424" s="204"/>
      <c r="W2424" s="204"/>
      <c r="X2424" s="204"/>
      <c r="Y2424" s="204"/>
      <c r="Z2424" s="204"/>
      <c r="AA2424" s="204"/>
      <c r="AB2424" s="204"/>
      <c r="AC2424" s="204"/>
      <c r="AD2424" s="204"/>
      <c r="AE2424" s="204"/>
      <c r="AF2424" s="204"/>
      <c r="AG2424" s="204"/>
      <c r="AH2424" s="204"/>
      <c r="AI2424" s="209"/>
      <c r="AJ2424" s="209"/>
      <c r="AK2424" s="204"/>
      <c r="AL2424" s="204"/>
      <c r="AM2424" s="204"/>
    </row>
    <row r="2425">
      <c r="A2425" s="204"/>
      <c r="B2425" s="209"/>
      <c r="C2425" s="204"/>
      <c r="D2425" s="210"/>
      <c r="E2425" s="211"/>
      <c r="F2425" s="211"/>
      <c r="G2425" s="212"/>
      <c r="H2425" s="212"/>
      <c r="I2425" s="204"/>
      <c r="J2425" s="204"/>
      <c r="K2425" s="204"/>
      <c r="L2425" s="204"/>
      <c r="M2425" s="204"/>
      <c r="N2425" s="204"/>
      <c r="O2425" s="204"/>
      <c r="P2425" s="204"/>
      <c r="Q2425" s="204"/>
      <c r="R2425" s="204"/>
      <c r="S2425" s="204"/>
      <c r="T2425" s="204"/>
      <c r="U2425" s="204"/>
      <c r="V2425" s="204"/>
      <c r="W2425" s="204"/>
      <c r="X2425" s="204"/>
      <c r="Y2425" s="204"/>
      <c r="Z2425" s="204"/>
      <c r="AA2425" s="204"/>
      <c r="AB2425" s="204"/>
      <c r="AC2425" s="204"/>
      <c r="AD2425" s="204"/>
      <c r="AE2425" s="204"/>
      <c r="AF2425" s="204"/>
      <c r="AG2425" s="204"/>
      <c r="AH2425" s="204"/>
      <c r="AI2425" s="209"/>
      <c r="AJ2425" s="209"/>
      <c r="AK2425" s="204"/>
      <c r="AL2425" s="204"/>
      <c r="AM2425" s="204"/>
    </row>
    <row r="2426">
      <c r="A2426" s="204"/>
      <c r="B2426" s="209"/>
      <c r="C2426" s="204"/>
      <c r="D2426" s="210"/>
      <c r="E2426" s="211"/>
      <c r="F2426" s="211"/>
      <c r="G2426" s="212"/>
      <c r="H2426" s="212"/>
      <c r="I2426" s="204"/>
      <c r="J2426" s="204"/>
      <c r="K2426" s="204"/>
      <c r="L2426" s="204"/>
      <c r="M2426" s="204"/>
      <c r="N2426" s="204"/>
      <c r="O2426" s="204"/>
      <c r="P2426" s="204"/>
      <c r="Q2426" s="204"/>
      <c r="R2426" s="204"/>
      <c r="S2426" s="204"/>
      <c r="T2426" s="204"/>
      <c r="U2426" s="204"/>
      <c r="V2426" s="204"/>
      <c r="W2426" s="204"/>
      <c r="X2426" s="204"/>
      <c r="Y2426" s="204"/>
      <c r="Z2426" s="204"/>
      <c r="AA2426" s="204"/>
      <c r="AB2426" s="204"/>
      <c r="AC2426" s="204"/>
      <c r="AD2426" s="204"/>
      <c r="AE2426" s="204"/>
      <c r="AF2426" s="204"/>
      <c r="AG2426" s="204"/>
      <c r="AH2426" s="204"/>
      <c r="AI2426" s="209"/>
      <c r="AJ2426" s="209"/>
      <c r="AK2426" s="204"/>
      <c r="AL2426" s="204"/>
      <c r="AM2426" s="204"/>
    </row>
    <row r="2427">
      <c r="A2427" s="204"/>
      <c r="B2427" s="209"/>
      <c r="C2427" s="204"/>
      <c r="D2427" s="210"/>
      <c r="E2427" s="211"/>
      <c r="F2427" s="211"/>
      <c r="G2427" s="212"/>
      <c r="H2427" s="212"/>
      <c r="I2427" s="204"/>
      <c r="J2427" s="204"/>
      <c r="K2427" s="204"/>
      <c r="L2427" s="204"/>
      <c r="M2427" s="204"/>
      <c r="N2427" s="204"/>
      <c r="O2427" s="204"/>
      <c r="P2427" s="204"/>
      <c r="Q2427" s="204"/>
      <c r="R2427" s="204"/>
      <c r="S2427" s="204"/>
      <c r="T2427" s="204"/>
      <c r="U2427" s="204"/>
      <c r="V2427" s="204"/>
      <c r="W2427" s="204"/>
      <c r="X2427" s="204"/>
      <c r="Y2427" s="204"/>
      <c r="Z2427" s="204"/>
      <c r="AA2427" s="204"/>
      <c r="AB2427" s="204"/>
      <c r="AC2427" s="204"/>
      <c r="AD2427" s="204"/>
      <c r="AE2427" s="204"/>
      <c r="AF2427" s="204"/>
      <c r="AG2427" s="204"/>
      <c r="AH2427" s="204"/>
      <c r="AI2427" s="209"/>
      <c r="AJ2427" s="209"/>
      <c r="AK2427" s="204"/>
      <c r="AL2427" s="204"/>
      <c r="AM2427" s="204"/>
    </row>
    <row r="2428">
      <c r="A2428" s="204"/>
      <c r="B2428" s="209"/>
      <c r="C2428" s="204"/>
      <c r="D2428" s="210"/>
      <c r="E2428" s="211"/>
      <c r="F2428" s="211"/>
      <c r="G2428" s="212"/>
      <c r="H2428" s="212"/>
      <c r="I2428" s="204"/>
      <c r="J2428" s="204"/>
      <c r="K2428" s="204"/>
      <c r="L2428" s="204"/>
      <c r="M2428" s="204"/>
      <c r="N2428" s="204"/>
      <c r="O2428" s="204"/>
      <c r="P2428" s="204"/>
      <c r="Q2428" s="204"/>
      <c r="R2428" s="204"/>
      <c r="S2428" s="204"/>
      <c r="T2428" s="204"/>
      <c r="U2428" s="204"/>
      <c r="V2428" s="204"/>
      <c r="W2428" s="204"/>
      <c r="X2428" s="204"/>
      <c r="Y2428" s="204"/>
      <c r="Z2428" s="204"/>
      <c r="AA2428" s="204"/>
      <c r="AB2428" s="204"/>
      <c r="AC2428" s="204"/>
      <c r="AD2428" s="204"/>
      <c r="AE2428" s="204"/>
      <c r="AF2428" s="204"/>
      <c r="AG2428" s="204"/>
      <c r="AH2428" s="204"/>
      <c r="AI2428" s="209"/>
      <c r="AJ2428" s="209"/>
      <c r="AK2428" s="204"/>
      <c r="AL2428" s="204"/>
      <c r="AM2428" s="204"/>
    </row>
    <row r="2429">
      <c r="A2429" s="204"/>
      <c r="B2429" s="209"/>
      <c r="C2429" s="204"/>
      <c r="D2429" s="210"/>
      <c r="E2429" s="211"/>
      <c r="F2429" s="211"/>
      <c r="G2429" s="212"/>
      <c r="H2429" s="212"/>
      <c r="I2429" s="204"/>
      <c r="J2429" s="204"/>
      <c r="K2429" s="204"/>
      <c r="L2429" s="204"/>
      <c r="M2429" s="204"/>
      <c r="N2429" s="204"/>
      <c r="O2429" s="204"/>
      <c r="P2429" s="204"/>
      <c r="Q2429" s="204"/>
      <c r="R2429" s="204"/>
      <c r="S2429" s="204"/>
      <c r="T2429" s="204"/>
      <c r="U2429" s="204"/>
      <c r="V2429" s="204"/>
      <c r="W2429" s="204"/>
      <c r="X2429" s="204"/>
      <c r="Y2429" s="204"/>
      <c r="Z2429" s="204"/>
      <c r="AA2429" s="204"/>
      <c r="AB2429" s="204"/>
      <c r="AC2429" s="204"/>
      <c r="AD2429" s="204"/>
      <c r="AE2429" s="204"/>
      <c r="AF2429" s="204"/>
      <c r="AG2429" s="204"/>
      <c r="AH2429" s="204"/>
      <c r="AI2429" s="209"/>
      <c r="AJ2429" s="209"/>
      <c r="AK2429" s="204"/>
      <c r="AL2429" s="204"/>
      <c r="AM2429" s="204"/>
    </row>
    <row r="2430">
      <c r="A2430" s="204"/>
      <c r="B2430" s="209"/>
      <c r="C2430" s="204"/>
      <c r="D2430" s="210"/>
      <c r="E2430" s="211"/>
      <c r="F2430" s="211"/>
      <c r="G2430" s="212"/>
      <c r="H2430" s="212"/>
      <c r="I2430" s="204"/>
      <c r="J2430" s="204"/>
      <c r="K2430" s="204"/>
      <c r="L2430" s="204"/>
      <c r="M2430" s="204"/>
      <c r="N2430" s="204"/>
      <c r="O2430" s="204"/>
      <c r="P2430" s="204"/>
      <c r="Q2430" s="204"/>
      <c r="R2430" s="204"/>
      <c r="S2430" s="204"/>
      <c r="T2430" s="204"/>
      <c r="U2430" s="204"/>
      <c r="V2430" s="204"/>
      <c r="W2430" s="204"/>
      <c r="X2430" s="204"/>
      <c r="Y2430" s="204"/>
      <c r="Z2430" s="204"/>
      <c r="AA2430" s="204"/>
      <c r="AB2430" s="204"/>
      <c r="AC2430" s="204"/>
      <c r="AD2430" s="204"/>
      <c r="AE2430" s="204"/>
      <c r="AF2430" s="204"/>
      <c r="AG2430" s="204"/>
      <c r="AH2430" s="204"/>
      <c r="AI2430" s="209"/>
      <c r="AJ2430" s="209"/>
      <c r="AK2430" s="204"/>
      <c r="AL2430" s="204"/>
      <c r="AM2430" s="204"/>
    </row>
    <row r="2431">
      <c r="A2431" s="204"/>
      <c r="B2431" s="209"/>
      <c r="C2431" s="204"/>
      <c r="D2431" s="210"/>
      <c r="E2431" s="211"/>
      <c r="F2431" s="211"/>
      <c r="G2431" s="212"/>
      <c r="H2431" s="212"/>
      <c r="I2431" s="204"/>
      <c r="J2431" s="204"/>
      <c r="K2431" s="204"/>
      <c r="L2431" s="204"/>
      <c r="M2431" s="204"/>
      <c r="N2431" s="204"/>
      <c r="O2431" s="204"/>
      <c r="P2431" s="204"/>
      <c r="Q2431" s="204"/>
      <c r="R2431" s="204"/>
      <c r="S2431" s="204"/>
      <c r="T2431" s="204"/>
      <c r="U2431" s="204"/>
      <c r="V2431" s="204"/>
      <c r="W2431" s="204"/>
      <c r="X2431" s="204"/>
      <c r="Y2431" s="204"/>
      <c r="Z2431" s="204"/>
      <c r="AA2431" s="204"/>
      <c r="AB2431" s="204"/>
      <c r="AC2431" s="204"/>
      <c r="AD2431" s="204"/>
      <c r="AE2431" s="204"/>
      <c r="AF2431" s="204"/>
      <c r="AG2431" s="204"/>
      <c r="AH2431" s="204"/>
      <c r="AI2431" s="209"/>
      <c r="AJ2431" s="209"/>
      <c r="AK2431" s="204"/>
      <c r="AL2431" s="204"/>
      <c r="AM2431" s="204"/>
    </row>
    <row r="2432">
      <c r="A2432" s="204"/>
      <c r="B2432" s="209"/>
      <c r="C2432" s="204"/>
      <c r="D2432" s="210"/>
      <c r="E2432" s="211"/>
      <c r="F2432" s="211"/>
      <c r="G2432" s="212"/>
      <c r="H2432" s="212"/>
      <c r="I2432" s="204"/>
      <c r="J2432" s="204"/>
      <c r="K2432" s="204"/>
      <c r="L2432" s="204"/>
      <c r="M2432" s="204"/>
      <c r="N2432" s="204"/>
      <c r="O2432" s="204"/>
      <c r="P2432" s="204"/>
      <c r="Q2432" s="204"/>
      <c r="R2432" s="204"/>
      <c r="S2432" s="204"/>
      <c r="T2432" s="204"/>
      <c r="U2432" s="204"/>
      <c r="V2432" s="204"/>
      <c r="W2432" s="204"/>
      <c r="X2432" s="204"/>
      <c r="Y2432" s="204"/>
      <c r="Z2432" s="204"/>
      <c r="AA2432" s="204"/>
      <c r="AB2432" s="204"/>
      <c r="AC2432" s="204"/>
      <c r="AD2432" s="204"/>
      <c r="AE2432" s="204"/>
      <c r="AF2432" s="204"/>
      <c r="AG2432" s="204"/>
      <c r="AH2432" s="204"/>
      <c r="AI2432" s="209"/>
      <c r="AJ2432" s="209"/>
      <c r="AK2432" s="204"/>
      <c r="AL2432" s="204"/>
      <c r="AM2432" s="204"/>
    </row>
    <row r="2433">
      <c r="A2433" s="204"/>
      <c r="B2433" s="209"/>
      <c r="C2433" s="204"/>
      <c r="D2433" s="210"/>
      <c r="E2433" s="211"/>
      <c r="F2433" s="211"/>
      <c r="G2433" s="212"/>
      <c r="H2433" s="212"/>
      <c r="I2433" s="204"/>
      <c r="J2433" s="204"/>
      <c r="K2433" s="204"/>
      <c r="L2433" s="204"/>
      <c r="M2433" s="204"/>
      <c r="N2433" s="204"/>
      <c r="O2433" s="204"/>
      <c r="P2433" s="204"/>
      <c r="Q2433" s="204"/>
      <c r="R2433" s="204"/>
      <c r="S2433" s="204"/>
      <c r="T2433" s="204"/>
      <c r="U2433" s="204"/>
      <c r="V2433" s="204"/>
      <c r="W2433" s="204"/>
      <c r="X2433" s="204"/>
      <c r="Y2433" s="204"/>
      <c r="Z2433" s="204"/>
      <c r="AA2433" s="204"/>
      <c r="AB2433" s="204"/>
      <c r="AC2433" s="204"/>
      <c r="AD2433" s="204"/>
      <c r="AE2433" s="204"/>
      <c r="AF2433" s="204"/>
      <c r="AG2433" s="204"/>
      <c r="AH2433" s="204"/>
      <c r="AI2433" s="209"/>
      <c r="AJ2433" s="209"/>
      <c r="AK2433" s="204"/>
      <c r="AL2433" s="204"/>
      <c r="AM2433" s="204"/>
    </row>
    <row r="2434">
      <c r="A2434" s="204"/>
      <c r="B2434" s="209"/>
      <c r="C2434" s="204"/>
      <c r="D2434" s="210"/>
      <c r="E2434" s="211"/>
      <c r="F2434" s="211"/>
      <c r="G2434" s="212"/>
      <c r="H2434" s="212"/>
      <c r="I2434" s="204"/>
      <c r="J2434" s="204"/>
      <c r="K2434" s="204"/>
      <c r="L2434" s="204"/>
      <c r="M2434" s="204"/>
      <c r="N2434" s="204"/>
      <c r="O2434" s="204"/>
      <c r="P2434" s="204"/>
      <c r="Q2434" s="204"/>
      <c r="R2434" s="204"/>
      <c r="S2434" s="204"/>
      <c r="T2434" s="204"/>
      <c r="U2434" s="204"/>
      <c r="V2434" s="204"/>
      <c r="W2434" s="204"/>
      <c r="X2434" s="204"/>
      <c r="Y2434" s="204"/>
      <c r="Z2434" s="204"/>
      <c r="AA2434" s="204"/>
      <c r="AB2434" s="204"/>
      <c r="AC2434" s="204"/>
      <c r="AD2434" s="204"/>
      <c r="AE2434" s="204"/>
      <c r="AF2434" s="204"/>
      <c r="AG2434" s="204"/>
      <c r="AH2434" s="204"/>
      <c r="AI2434" s="209"/>
      <c r="AJ2434" s="209"/>
      <c r="AK2434" s="204"/>
      <c r="AL2434" s="204"/>
      <c r="AM2434" s="204"/>
    </row>
    <row r="2435">
      <c r="A2435" s="204"/>
      <c r="B2435" s="209"/>
      <c r="C2435" s="204"/>
      <c r="D2435" s="210"/>
      <c r="E2435" s="211"/>
      <c r="F2435" s="211"/>
      <c r="G2435" s="212"/>
      <c r="H2435" s="212"/>
      <c r="I2435" s="204"/>
      <c r="J2435" s="204"/>
      <c r="K2435" s="204"/>
      <c r="L2435" s="204"/>
      <c r="M2435" s="204"/>
      <c r="N2435" s="204"/>
      <c r="O2435" s="204"/>
      <c r="P2435" s="204"/>
      <c r="Q2435" s="204"/>
      <c r="R2435" s="204"/>
      <c r="S2435" s="204"/>
      <c r="T2435" s="204"/>
      <c r="U2435" s="204"/>
      <c r="V2435" s="204"/>
      <c r="W2435" s="204"/>
      <c r="X2435" s="204"/>
      <c r="Y2435" s="204"/>
      <c r="Z2435" s="204"/>
      <c r="AA2435" s="204"/>
      <c r="AB2435" s="204"/>
      <c r="AC2435" s="204"/>
      <c r="AD2435" s="204"/>
      <c r="AE2435" s="204"/>
      <c r="AF2435" s="204"/>
      <c r="AG2435" s="204"/>
      <c r="AH2435" s="204"/>
      <c r="AI2435" s="209"/>
      <c r="AJ2435" s="209"/>
      <c r="AK2435" s="204"/>
      <c r="AL2435" s="204"/>
      <c r="AM2435" s="204"/>
    </row>
    <row r="2436">
      <c r="A2436" s="204"/>
      <c r="B2436" s="209"/>
      <c r="C2436" s="204"/>
      <c r="D2436" s="210"/>
      <c r="E2436" s="211"/>
      <c r="F2436" s="211"/>
      <c r="G2436" s="212"/>
      <c r="H2436" s="212"/>
      <c r="I2436" s="204"/>
      <c r="J2436" s="204"/>
      <c r="K2436" s="204"/>
      <c r="L2436" s="204"/>
      <c r="M2436" s="204"/>
      <c r="N2436" s="204"/>
      <c r="O2436" s="204"/>
      <c r="P2436" s="204"/>
      <c r="Q2436" s="204"/>
      <c r="R2436" s="204"/>
      <c r="S2436" s="204"/>
      <c r="T2436" s="204"/>
      <c r="U2436" s="204"/>
      <c r="V2436" s="204"/>
      <c r="W2436" s="204"/>
      <c r="X2436" s="204"/>
      <c r="Y2436" s="204"/>
      <c r="Z2436" s="204"/>
      <c r="AA2436" s="204"/>
      <c r="AB2436" s="204"/>
      <c r="AC2436" s="204"/>
      <c r="AD2436" s="204"/>
      <c r="AE2436" s="204"/>
      <c r="AF2436" s="204"/>
      <c r="AG2436" s="204"/>
      <c r="AH2436" s="204"/>
      <c r="AI2436" s="209"/>
      <c r="AJ2436" s="209"/>
      <c r="AK2436" s="204"/>
      <c r="AL2436" s="204"/>
      <c r="AM2436" s="204"/>
    </row>
    <row r="2437">
      <c r="A2437" s="204"/>
      <c r="B2437" s="209"/>
      <c r="C2437" s="204"/>
      <c r="D2437" s="210"/>
      <c r="E2437" s="211"/>
      <c r="F2437" s="211"/>
      <c r="G2437" s="212"/>
      <c r="H2437" s="212"/>
      <c r="I2437" s="204"/>
      <c r="J2437" s="204"/>
      <c r="K2437" s="204"/>
      <c r="L2437" s="204"/>
      <c r="M2437" s="204"/>
      <c r="N2437" s="204"/>
      <c r="O2437" s="204"/>
      <c r="P2437" s="204"/>
      <c r="Q2437" s="204"/>
      <c r="R2437" s="204"/>
      <c r="S2437" s="204"/>
      <c r="T2437" s="204"/>
      <c r="U2437" s="204"/>
      <c r="V2437" s="204"/>
      <c r="W2437" s="204"/>
      <c r="X2437" s="204"/>
      <c r="Y2437" s="204"/>
      <c r="Z2437" s="204"/>
      <c r="AA2437" s="204"/>
      <c r="AB2437" s="204"/>
      <c r="AC2437" s="204"/>
      <c r="AD2437" s="204"/>
      <c r="AE2437" s="204"/>
      <c r="AF2437" s="204"/>
      <c r="AG2437" s="204"/>
      <c r="AH2437" s="204"/>
      <c r="AI2437" s="209"/>
      <c r="AJ2437" s="209"/>
      <c r="AK2437" s="204"/>
      <c r="AL2437" s="204"/>
      <c r="AM2437" s="204"/>
    </row>
    <row r="2438">
      <c r="A2438" s="204"/>
      <c r="B2438" s="209"/>
      <c r="C2438" s="204"/>
      <c r="D2438" s="210"/>
      <c r="E2438" s="211"/>
      <c r="F2438" s="211"/>
      <c r="G2438" s="212"/>
      <c r="H2438" s="212"/>
      <c r="I2438" s="204"/>
      <c r="J2438" s="204"/>
      <c r="K2438" s="204"/>
      <c r="L2438" s="204"/>
      <c r="M2438" s="204"/>
      <c r="N2438" s="204"/>
      <c r="O2438" s="204"/>
      <c r="P2438" s="204"/>
      <c r="Q2438" s="204"/>
      <c r="R2438" s="204"/>
      <c r="S2438" s="204"/>
      <c r="T2438" s="204"/>
      <c r="U2438" s="204"/>
      <c r="V2438" s="204"/>
      <c r="W2438" s="204"/>
      <c r="X2438" s="204"/>
      <c r="Y2438" s="204"/>
      <c r="Z2438" s="204"/>
      <c r="AA2438" s="204"/>
      <c r="AB2438" s="204"/>
      <c r="AC2438" s="204"/>
      <c r="AD2438" s="204"/>
      <c r="AE2438" s="204"/>
      <c r="AF2438" s="204"/>
      <c r="AG2438" s="204"/>
      <c r="AH2438" s="204"/>
      <c r="AI2438" s="209"/>
      <c r="AJ2438" s="209"/>
      <c r="AK2438" s="204"/>
      <c r="AL2438" s="204"/>
      <c r="AM2438" s="204"/>
    </row>
    <row r="2439">
      <c r="A2439" s="204"/>
      <c r="B2439" s="209"/>
      <c r="C2439" s="204"/>
      <c r="D2439" s="210"/>
      <c r="E2439" s="211"/>
      <c r="F2439" s="211"/>
      <c r="G2439" s="212"/>
      <c r="H2439" s="212"/>
      <c r="I2439" s="204"/>
      <c r="J2439" s="204"/>
      <c r="K2439" s="204"/>
      <c r="L2439" s="204"/>
      <c r="M2439" s="204"/>
      <c r="N2439" s="204"/>
      <c r="O2439" s="204"/>
      <c r="P2439" s="204"/>
      <c r="Q2439" s="204"/>
      <c r="R2439" s="204"/>
      <c r="S2439" s="204"/>
      <c r="T2439" s="204"/>
      <c r="U2439" s="204"/>
      <c r="V2439" s="204"/>
      <c r="W2439" s="204"/>
      <c r="X2439" s="204"/>
      <c r="Y2439" s="204"/>
      <c r="Z2439" s="204"/>
      <c r="AA2439" s="204"/>
      <c r="AB2439" s="204"/>
      <c r="AC2439" s="204"/>
      <c r="AD2439" s="204"/>
      <c r="AE2439" s="204"/>
      <c r="AF2439" s="204"/>
      <c r="AG2439" s="204"/>
      <c r="AH2439" s="204"/>
      <c r="AI2439" s="209"/>
      <c r="AJ2439" s="209"/>
      <c r="AK2439" s="204"/>
      <c r="AL2439" s="204"/>
      <c r="AM2439" s="204"/>
    </row>
    <row r="2440">
      <c r="A2440" s="204"/>
      <c r="B2440" s="209"/>
      <c r="C2440" s="204"/>
      <c r="D2440" s="210"/>
      <c r="E2440" s="211"/>
      <c r="F2440" s="211"/>
      <c r="G2440" s="212"/>
      <c r="H2440" s="212"/>
      <c r="I2440" s="204"/>
      <c r="J2440" s="204"/>
      <c r="K2440" s="204"/>
      <c r="L2440" s="204"/>
      <c r="M2440" s="204"/>
      <c r="N2440" s="204"/>
      <c r="O2440" s="204"/>
      <c r="P2440" s="204"/>
      <c r="Q2440" s="204"/>
      <c r="R2440" s="204"/>
      <c r="S2440" s="204"/>
      <c r="T2440" s="204"/>
      <c r="U2440" s="204"/>
      <c r="V2440" s="204"/>
      <c r="W2440" s="204"/>
      <c r="X2440" s="204"/>
      <c r="Y2440" s="204"/>
      <c r="Z2440" s="204"/>
      <c r="AA2440" s="204"/>
      <c r="AB2440" s="204"/>
      <c r="AC2440" s="204"/>
      <c r="AD2440" s="204"/>
      <c r="AE2440" s="204"/>
      <c r="AF2440" s="204"/>
      <c r="AG2440" s="204"/>
      <c r="AH2440" s="204"/>
      <c r="AI2440" s="209"/>
      <c r="AJ2440" s="209"/>
      <c r="AK2440" s="204"/>
      <c r="AL2440" s="204"/>
      <c r="AM2440" s="204"/>
    </row>
    <row r="2441">
      <c r="A2441" s="204"/>
      <c r="B2441" s="209"/>
      <c r="C2441" s="204"/>
      <c r="D2441" s="210"/>
      <c r="E2441" s="211"/>
      <c r="F2441" s="211"/>
      <c r="G2441" s="212"/>
      <c r="H2441" s="212"/>
      <c r="I2441" s="204"/>
      <c r="J2441" s="204"/>
      <c r="K2441" s="204"/>
      <c r="L2441" s="204"/>
      <c r="M2441" s="204"/>
      <c r="N2441" s="204"/>
      <c r="O2441" s="204"/>
      <c r="P2441" s="204"/>
      <c r="Q2441" s="204"/>
      <c r="R2441" s="204"/>
      <c r="S2441" s="204"/>
      <c r="T2441" s="204"/>
      <c r="U2441" s="204"/>
      <c r="V2441" s="204"/>
      <c r="W2441" s="204"/>
      <c r="X2441" s="204"/>
      <c r="Y2441" s="204"/>
      <c r="Z2441" s="204"/>
      <c r="AA2441" s="204"/>
      <c r="AB2441" s="204"/>
      <c r="AC2441" s="204"/>
      <c r="AD2441" s="204"/>
      <c r="AE2441" s="204"/>
      <c r="AF2441" s="204"/>
      <c r="AG2441" s="204"/>
      <c r="AH2441" s="204"/>
      <c r="AI2441" s="209"/>
      <c r="AJ2441" s="209"/>
      <c r="AK2441" s="204"/>
      <c r="AL2441" s="204"/>
      <c r="AM2441" s="204"/>
    </row>
    <row r="2442">
      <c r="A2442" s="204"/>
      <c r="B2442" s="209"/>
      <c r="C2442" s="204"/>
      <c r="D2442" s="210"/>
      <c r="E2442" s="211"/>
      <c r="F2442" s="211"/>
      <c r="G2442" s="212"/>
      <c r="H2442" s="212"/>
      <c r="I2442" s="204"/>
      <c r="J2442" s="204"/>
      <c r="K2442" s="204"/>
      <c r="L2442" s="204"/>
      <c r="M2442" s="204"/>
      <c r="N2442" s="204"/>
      <c r="O2442" s="204"/>
      <c r="P2442" s="204"/>
      <c r="Q2442" s="204"/>
      <c r="R2442" s="204"/>
      <c r="S2442" s="204"/>
      <c r="T2442" s="204"/>
      <c r="U2442" s="204"/>
      <c r="V2442" s="204"/>
      <c r="W2442" s="204"/>
      <c r="X2442" s="204"/>
      <c r="Y2442" s="204"/>
      <c r="Z2442" s="204"/>
      <c r="AA2442" s="204"/>
      <c r="AB2442" s="204"/>
      <c r="AC2442" s="204"/>
      <c r="AD2442" s="204"/>
      <c r="AE2442" s="204"/>
      <c r="AF2442" s="204"/>
      <c r="AG2442" s="204"/>
      <c r="AH2442" s="204"/>
      <c r="AI2442" s="209"/>
      <c r="AJ2442" s="209"/>
      <c r="AK2442" s="204"/>
      <c r="AL2442" s="204"/>
      <c r="AM2442" s="204"/>
    </row>
    <row r="2443">
      <c r="A2443" s="204"/>
      <c r="B2443" s="209"/>
      <c r="C2443" s="204"/>
      <c r="D2443" s="210"/>
      <c r="E2443" s="211"/>
      <c r="F2443" s="211"/>
      <c r="G2443" s="212"/>
      <c r="H2443" s="212"/>
      <c r="I2443" s="204"/>
      <c r="J2443" s="204"/>
      <c r="K2443" s="204"/>
      <c r="L2443" s="204"/>
      <c r="M2443" s="204"/>
      <c r="N2443" s="204"/>
      <c r="O2443" s="204"/>
      <c r="P2443" s="204"/>
      <c r="Q2443" s="204"/>
      <c r="R2443" s="204"/>
      <c r="S2443" s="204"/>
      <c r="T2443" s="204"/>
      <c r="U2443" s="204"/>
      <c r="V2443" s="204"/>
      <c r="W2443" s="204"/>
      <c r="X2443" s="204"/>
      <c r="Y2443" s="204"/>
      <c r="Z2443" s="204"/>
      <c r="AA2443" s="204"/>
      <c r="AB2443" s="204"/>
      <c r="AC2443" s="204"/>
      <c r="AD2443" s="204"/>
      <c r="AE2443" s="204"/>
      <c r="AF2443" s="204"/>
      <c r="AG2443" s="204"/>
      <c r="AH2443" s="204"/>
      <c r="AI2443" s="209"/>
      <c r="AJ2443" s="209"/>
      <c r="AK2443" s="204"/>
      <c r="AL2443" s="204"/>
      <c r="AM2443" s="204"/>
    </row>
    <row r="2444">
      <c r="A2444" s="204"/>
      <c r="B2444" s="209"/>
      <c r="C2444" s="204"/>
      <c r="D2444" s="210"/>
      <c r="E2444" s="211"/>
      <c r="F2444" s="211"/>
      <c r="G2444" s="212"/>
      <c r="H2444" s="212"/>
      <c r="I2444" s="204"/>
      <c r="J2444" s="204"/>
      <c r="K2444" s="204"/>
      <c r="L2444" s="204"/>
      <c r="M2444" s="204"/>
      <c r="N2444" s="204"/>
      <c r="O2444" s="204"/>
      <c r="P2444" s="204"/>
      <c r="Q2444" s="204"/>
      <c r="R2444" s="204"/>
      <c r="S2444" s="204"/>
      <c r="T2444" s="204"/>
      <c r="U2444" s="204"/>
      <c r="V2444" s="204"/>
      <c r="W2444" s="204"/>
      <c r="X2444" s="204"/>
      <c r="Y2444" s="204"/>
      <c r="Z2444" s="204"/>
      <c r="AA2444" s="204"/>
      <c r="AB2444" s="204"/>
      <c r="AC2444" s="204"/>
      <c r="AD2444" s="204"/>
      <c r="AE2444" s="204"/>
      <c r="AF2444" s="204"/>
      <c r="AG2444" s="204"/>
      <c r="AH2444" s="204"/>
      <c r="AI2444" s="209"/>
      <c r="AJ2444" s="209"/>
      <c r="AK2444" s="204"/>
      <c r="AL2444" s="204"/>
      <c r="AM2444" s="204"/>
    </row>
    <row r="2445">
      <c r="A2445" s="204"/>
      <c r="B2445" s="209"/>
      <c r="C2445" s="204"/>
      <c r="D2445" s="210"/>
      <c r="E2445" s="211"/>
      <c r="F2445" s="211"/>
      <c r="G2445" s="212"/>
      <c r="H2445" s="212"/>
      <c r="I2445" s="204"/>
      <c r="J2445" s="204"/>
      <c r="K2445" s="204"/>
      <c r="L2445" s="204"/>
      <c r="M2445" s="204"/>
      <c r="N2445" s="204"/>
      <c r="O2445" s="204"/>
      <c r="P2445" s="204"/>
      <c r="Q2445" s="204"/>
      <c r="R2445" s="204"/>
      <c r="S2445" s="204"/>
      <c r="T2445" s="204"/>
      <c r="U2445" s="204"/>
      <c r="V2445" s="204"/>
      <c r="W2445" s="204"/>
      <c r="X2445" s="204"/>
      <c r="Y2445" s="204"/>
      <c r="Z2445" s="204"/>
      <c r="AA2445" s="204"/>
      <c r="AB2445" s="204"/>
      <c r="AC2445" s="204"/>
      <c r="AD2445" s="204"/>
      <c r="AE2445" s="204"/>
      <c r="AF2445" s="204"/>
      <c r="AG2445" s="204"/>
      <c r="AH2445" s="204"/>
      <c r="AI2445" s="209"/>
      <c r="AJ2445" s="209"/>
      <c r="AK2445" s="204"/>
      <c r="AL2445" s="204"/>
      <c r="AM2445" s="204"/>
    </row>
    <row r="2446">
      <c r="A2446" s="204"/>
      <c r="B2446" s="209"/>
      <c r="C2446" s="204"/>
      <c r="D2446" s="210"/>
      <c r="E2446" s="211"/>
      <c r="F2446" s="211"/>
      <c r="G2446" s="212"/>
      <c r="H2446" s="212"/>
      <c r="I2446" s="204"/>
      <c r="J2446" s="204"/>
      <c r="K2446" s="204"/>
      <c r="L2446" s="204"/>
      <c r="M2446" s="204"/>
      <c r="N2446" s="204"/>
      <c r="O2446" s="204"/>
      <c r="P2446" s="204"/>
      <c r="Q2446" s="204"/>
      <c r="R2446" s="204"/>
      <c r="S2446" s="204"/>
      <c r="T2446" s="204"/>
      <c r="U2446" s="204"/>
      <c r="V2446" s="204"/>
      <c r="W2446" s="204"/>
      <c r="X2446" s="204"/>
      <c r="Y2446" s="204"/>
      <c r="Z2446" s="204"/>
      <c r="AA2446" s="204"/>
      <c r="AB2446" s="204"/>
      <c r="AC2446" s="204"/>
      <c r="AD2446" s="204"/>
      <c r="AE2446" s="204"/>
      <c r="AF2446" s="204"/>
      <c r="AG2446" s="204"/>
      <c r="AH2446" s="204"/>
      <c r="AI2446" s="209"/>
      <c r="AJ2446" s="209"/>
      <c r="AK2446" s="204"/>
      <c r="AL2446" s="204"/>
      <c r="AM2446" s="204"/>
    </row>
    <row r="2447">
      <c r="A2447" s="204"/>
      <c r="B2447" s="209"/>
      <c r="C2447" s="204"/>
      <c r="D2447" s="210"/>
      <c r="E2447" s="211"/>
      <c r="F2447" s="211"/>
      <c r="G2447" s="212"/>
      <c r="H2447" s="212"/>
      <c r="I2447" s="204"/>
      <c r="J2447" s="204"/>
      <c r="K2447" s="204"/>
      <c r="L2447" s="204"/>
      <c r="M2447" s="204"/>
      <c r="N2447" s="204"/>
      <c r="O2447" s="204"/>
      <c r="P2447" s="204"/>
      <c r="Q2447" s="204"/>
      <c r="R2447" s="204"/>
      <c r="S2447" s="204"/>
      <c r="T2447" s="204"/>
      <c r="U2447" s="204"/>
      <c r="V2447" s="204"/>
      <c r="W2447" s="204"/>
      <c r="X2447" s="204"/>
      <c r="Y2447" s="204"/>
      <c r="Z2447" s="204"/>
      <c r="AA2447" s="204"/>
      <c r="AB2447" s="204"/>
      <c r="AC2447" s="204"/>
      <c r="AD2447" s="204"/>
      <c r="AE2447" s="204"/>
      <c r="AF2447" s="204"/>
      <c r="AG2447" s="204"/>
      <c r="AH2447" s="204"/>
      <c r="AI2447" s="209"/>
      <c r="AJ2447" s="209"/>
      <c r="AK2447" s="204"/>
      <c r="AL2447" s="204"/>
      <c r="AM2447" s="204"/>
    </row>
    <row r="2448">
      <c r="A2448" s="204"/>
      <c r="B2448" s="209"/>
      <c r="C2448" s="204"/>
      <c r="D2448" s="210"/>
      <c r="E2448" s="211"/>
      <c r="F2448" s="211"/>
      <c r="G2448" s="212"/>
      <c r="H2448" s="212"/>
      <c r="I2448" s="204"/>
      <c r="J2448" s="204"/>
      <c r="K2448" s="204"/>
      <c r="L2448" s="204"/>
      <c r="M2448" s="204"/>
      <c r="N2448" s="204"/>
      <c r="O2448" s="204"/>
      <c r="P2448" s="204"/>
      <c r="Q2448" s="204"/>
      <c r="R2448" s="204"/>
      <c r="S2448" s="204"/>
      <c r="T2448" s="204"/>
      <c r="U2448" s="204"/>
      <c r="V2448" s="204"/>
      <c r="W2448" s="204"/>
      <c r="X2448" s="204"/>
      <c r="Y2448" s="204"/>
      <c r="Z2448" s="204"/>
      <c r="AA2448" s="204"/>
      <c r="AB2448" s="204"/>
      <c r="AC2448" s="204"/>
      <c r="AD2448" s="204"/>
      <c r="AE2448" s="204"/>
      <c r="AF2448" s="204"/>
      <c r="AG2448" s="204"/>
      <c r="AH2448" s="204"/>
      <c r="AI2448" s="209"/>
      <c r="AJ2448" s="209"/>
      <c r="AK2448" s="204"/>
      <c r="AL2448" s="204"/>
      <c r="AM2448" s="204"/>
    </row>
    <row r="2449">
      <c r="A2449" s="204"/>
      <c r="B2449" s="209"/>
      <c r="C2449" s="204"/>
      <c r="D2449" s="210"/>
      <c r="E2449" s="211"/>
      <c r="F2449" s="211"/>
      <c r="G2449" s="212"/>
      <c r="H2449" s="212"/>
      <c r="I2449" s="204"/>
      <c r="J2449" s="204"/>
      <c r="K2449" s="204"/>
      <c r="L2449" s="204"/>
      <c r="M2449" s="204"/>
      <c r="N2449" s="204"/>
      <c r="O2449" s="204"/>
      <c r="P2449" s="204"/>
      <c r="Q2449" s="204"/>
      <c r="R2449" s="204"/>
      <c r="S2449" s="204"/>
      <c r="T2449" s="204"/>
      <c r="U2449" s="204"/>
      <c r="V2449" s="204"/>
      <c r="W2449" s="204"/>
      <c r="X2449" s="204"/>
      <c r="Y2449" s="204"/>
      <c r="Z2449" s="204"/>
      <c r="AA2449" s="204"/>
      <c r="AB2449" s="204"/>
      <c r="AC2449" s="204"/>
      <c r="AD2449" s="204"/>
      <c r="AE2449" s="204"/>
      <c r="AF2449" s="204"/>
      <c r="AG2449" s="204"/>
      <c r="AH2449" s="204"/>
      <c r="AI2449" s="209"/>
      <c r="AJ2449" s="209"/>
      <c r="AK2449" s="204"/>
      <c r="AL2449" s="204"/>
      <c r="AM2449" s="204"/>
    </row>
    <row r="2450">
      <c r="A2450" s="204"/>
      <c r="B2450" s="209"/>
      <c r="C2450" s="204"/>
      <c r="D2450" s="210"/>
      <c r="E2450" s="211"/>
      <c r="F2450" s="211"/>
      <c r="G2450" s="212"/>
      <c r="H2450" s="212"/>
      <c r="I2450" s="204"/>
      <c r="J2450" s="204"/>
      <c r="K2450" s="204"/>
      <c r="L2450" s="204"/>
      <c r="M2450" s="204"/>
      <c r="N2450" s="204"/>
      <c r="O2450" s="204"/>
      <c r="P2450" s="204"/>
      <c r="Q2450" s="204"/>
      <c r="R2450" s="204"/>
      <c r="S2450" s="204"/>
      <c r="T2450" s="204"/>
      <c r="U2450" s="204"/>
      <c r="V2450" s="204"/>
      <c r="W2450" s="204"/>
      <c r="X2450" s="204"/>
      <c r="Y2450" s="204"/>
      <c r="Z2450" s="204"/>
      <c r="AA2450" s="204"/>
      <c r="AB2450" s="204"/>
      <c r="AC2450" s="204"/>
      <c r="AD2450" s="204"/>
      <c r="AE2450" s="204"/>
      <c r="AF2450" s="204"/>
      <c r="AG2450" s="204"/>
      <c r="AH2450" s="204"/>
      <c r="AI2450" s="209"/>
      <c r="AJ2450" s="209"/>
      <c r="AK2450" s="204"/>
      <c r="AL2450" s="204"/>
      <c r="AM2450" s="204"/>
    </row>
    <row r="2451">
      <c r="A2451" s="204"/>
      <c r="B2451" s="209"/>
      <c r="C2451" s="204"/>
      <c r="D2451" s="210"/>
      <c r="E2451" s="211"/>
      <c r="F2451" s="211"/>
      <c r="G2451" s="212"/>
      <c r="H2451" s="212"/>
      <c r="I2451" s="204"/>
      <c r="J2451" s="204"/>
      <c r="K2451" s="204"/>
      <c r="L2451" s="204"/>
      <c r="M2451" s="204"/>
      <c r="N2451" s="204"/>
      <c r="O2451" s="204"/>
      <c r="P2451" s="204"/>
      <c r="Q2451" s="204"/>
      <c r="R2451" s="204"/>
      <c r="S2451" s="204"/>
      <c r="T2451" s="204"/>
      <c r="U2451" s="204"/>
      <c r="V2451" s="204"/>
      <c r="W2451" s="204"/>
      <c r="X2451" s="204"/>
      <c r="Y2451" s="204"/>
      <c r="Z2451" s="204"/>
      <c r="AA2451" s="204"/>
      <c r="AB2451" s="204"/>
      <c r="AC2451" s="204"/>
      <c r="AD2451" s="204"/>
      <c r="AE2451" s="204"/>
      <c r="AF2451" s="204"/>
      <c r="AG2451" s="204"/>
      <c r="AH2451" s="204"/>
      <c r="AI2451" s="209"/>
      <c r="AJ2451" s="209"/>
      <c r="AK2451" s="204"/>
      <c r="AL2451" s="204"/>
      <c r="AM2451" s="204"/>
    </row>
    <row r="2452">
      <c r="A2452" s="204"/>
      <c r="B2452" s="209"/>
      <c r="C2452" s="204"/>
      <c r="D2452" s="210"/>
      <c r="E2452" s="211"/>
      <c r="F2452" s="211"/>
      <c r="G2452" s="212"/>
      <c r="H2452" s="212"/>
      <c r="I2452" s="204"/>
      <c r="J2452" s="204"/>
      <c r="K2452" s="204"/>
      <c r="L2452" s="204"/>
      <c r="M2452" s="204"/>
      <c r="N2452" s="204"/>
      <c r="O2452" s="204"/>
      <c r="P2452" s="204"/>
      <c r="Q2452" s="204"/>
      <c r="R2452" s="204"/>
      <c r="S2452" s="204"/>
      <c r="T2452" s="204"/>
      <c r="U2452" s="204"/>
      <c r="V2452" s="204"/>
      <c r="W2452" s="204"/>
      <c r="X2452" s="204"/>
      <c r="Y2452" s="204"/>
      <c r="Z2452" s="204"/>
      <c r="AA2452" s="204"/>
      <c r="AB2452" s="204"/>
      <c r="AC2452" s="204"/>
      <c r="AD2452" s="204"/>
      <c r="AE2452" s="204"/>
      <c r="AF2452" s="204"/>
      <c r="AG2452" s="204"/>
      <c r="AH2452" s="204"/>
      <c r="AI2452" s="209"/>
      <c r="AJ2452" s="209"/>
      <c r="AK2452" s="204"/>
      <c r="AL2452" s="204"/>
      <c r="AM2452" s="204"/>
    </row>
    <row r="2453">
      <c r="A2453" s="204"/>
      <c r="B2453" s="209"/>
      <c r="C2453" s="204"/>
      <c r="D2453" s="210"/>
      <c r="E2453" s="211"/>
      <c r="F2453" s="211"/>
      <c r="G2453" s="212"/>
      <c r="H2453" s="212"/>
      <c r="I2453" s="204"/>
      <c r="J2453" s="204"/>
      <c r="K2453" s="204"/>
      <c r="L2453" s="204"/>
      <c r="M2453" s="204"/>
      <c r="N2453" s="204"/>
      <c r="O2453" s="204"/>
      <c r="P2453" s="204"/>
      <c r="Q2453" s="204"/>
      <c r="R2453" s="204"/>
      <c r="S2453" s="204"/>
      <c r="T2453" s="204"/>
      <c r="U2453" s="204"/>
      <c r="V2453" s="204"/>
      <c r="W2453" s="204"/>
      <c r="X2453" s="204"/>
      <c r="Y2453" s="204"/>
      <c r="Z2453" s="204"/>
      <c r="AA2453" s="204"/>
      <c r="AB2453" s="204"/>
      <c r="AC2453" s="204"/>
      <c r="AD2453" s="204"/>
      <c r="AE2453" s="204"/>
      <c r="AF2453" s="204"/>
      <c r="AG2453" s="204"/>
      <c r="AH2453" s="204"/>
      <c r="AI2453" s="209"/>
      <c r="AJ2453" s="209"/>
      <c r="AK2453" s="204"/>
      <c r="AL2453" s="204"/>
      <c r="AM2453" s="204"/>
    </row>
    <row r="2454">
      <c r="A2454" s="204"/>
      <c r="B2454" s="209"/>
      <c r="C2454" s="204"/>
      <c r="D2454" s="210"/>
      <c r="E2454" s="211"/>
      <c r="F2454" s="211"/>
      <c r="G2454" s="212"/>
      <c r="H2454" s="212"/>
      <c r="I2454" s="204"/>
      <c r="J2454" s="204"/>
      <c r="K2454" s="204"/>
      <c r="L2454" s="204"/>
      <c r="M2454" s="204"/>
      <c r="N2454" s="204"/>
      <c r="O2454" s="204"/>
      <c r="P2454" s="204"/>
      <c r="Q2454" s="204"/>
      <c r="R2454" s="204"/>
      <c r="S2454" s="204"/>
      <c r="T2454" s="204"/>
      <c r="U2454" s="204"/>
      <c r="V2454" s="204"/>
      <c r="W2454" s="204"/>
      <c r="X2454" s="204"/>
      <c r="Y2454" s="204"/>
      <c r="Z2454" s="204"/>
      <c r="AA2454" s="204"/>
      <c r="AB2454" s="204"/>
      <c r="AC2454" s="204"/>
      <c r="AD2454" s="204"/>
      <c r="AE2454" s="204"/>
      <c r="AF2454" s="204"/>
      <c r="AG2454" s="204"/>
      <c r="AH2454" s="204"/>
      <c r="AI2454" s="209"/>
      <c r="AJ2454" s="209"/>
      <c r="AK2454" s="204"/>
      <c r="AL2454" s="204"/>
      <c r="AM2454" s="204"/>
    </row>
    <row r="2455">
      <c r="A2455" s="204"/>
      <c r="B2455" s="209"/>
      <c r="C2455" s="204"/>
      <c r="D2455" s="210"/>
      <c r="E2455" s="211"/>
      <c r="F2455" s="211"/>
      <c r="G2455" s="212"/>
      <c r="H2455" s="212"/>
      <c r="I2455" s="204"/>
      <c r="J2455" s="204"/>
      <c r="K2455" s="204"/>
      <c r="L2455" s="204"/>
      <c r="M2455" s="204"/>
      <c r="N2455" s="204"/>
      <c r="O2455" s="204"/>
      <c r="P2455" s="204"/>
      <c r="Q2455" s="204"/>
      <c r="R2455" s="204"/>
      <c r="S2455" s="204"/>
      <c r="T2455" s="204"/>
      <c r="U2455" s="204"/>
      <c r="V2455" s="204"/>
      <c r="W2455" s="204"/>
      <c r="X2455" s="204"/>
      <c r="Y2455" s="204"/>
      <c r="Z2455" s="204"/>
      <c r="AA2455" s="204"/>
      <c r="AB2455" s="204"/>
      <c r="AC2455" s="204"/>
      <c r="AD2455" s="204"/>
      <c r="AE2455" s="204"/>
      <c r="AF2455" s="204"/>
      <c r="AG2455" s="204"/>
      <c r="AH2455" s="204"/>
      <c r="AI2455" s="209"/>
      <c r="AJ2455" s="209"/>
      <c r="AK2455" s="204"/>
      <c r="AL2455" s="204"/>
      <c r="AM2455" s="204"/>
    </row>
    <row r="2456">
      <c r="A2456" s="204"/>
      <c r="B2456" s="209"/>
      <c r="C2456" s="204"/>
      <c r="D2456" s="210"/>
      <c r="E2456" s="211"/>
      <c r="F2456" s="211"/>
      <c r="G2456" s="212"/>
      <c r="H2456" s="212"/>
      <c r="I2456" s="204"/>
      <c r="J2456" s="204"/>
      <c r="K2456" s="204"/>
      <c r="L2456" s="204"/>
      <c r="M2456" s="204"/>
      <c r="N2456" s="204"/>
      <c r="O2456" s="204"/>
      <c r="P2456" s="204"/>
      <c r="Q2456" s="204"/>
      <c r="R2456" s="204"/>
      <c r="S2456" s="204"/>
      <c r="T2456" s="204"/>
      <c r="U2456" s="204"/>
      <c r="V2456" s="204"/>
      <c r="W2456" s="204"/>
      <c r="X2456" s="204"/>
      <c r="Y2456" s="204"/>
      <c r="Z2456" s="204"/>
      <c r="AA2456" s="204"/>
      <c r="AB2456" s="204"/>
      <c r="AC2456" s="204"/>
      <c r="AD2456" s="204"/>
      <c r="AE2456" s="204"/>
      <c r="AF2456" s="204"/>
      <c r="AG2456" s="204"/>
      <c r="AH2456" s="204"/>
      <c r="AI2456" s="209"/>
      <c r="AJ2456" s="209"/>
      <c r="AK2456" s="204"/>
      <c r="AL2456" s="204"/>
      <c r="AM2456" s="204"/>
    </row>
    <row r="2457">
      <c r="A2457" s="204"/>
      <c r="B2457" s="209"/>
      <c r="C2457" s="204"/>
      <c r="D2457" s="210"/>
      <c r="E2457" s="211"/>
      <c r="F2457" s="211"/>
      <c r="G2457" s="212"/>
      <c r="H2457" s="212"/>
      <c r="I2457" s="204"/>
      <c r="J2457" s="204"/>
      <c r="K2457" s="204"/>
      <c r="L2457" s="204"/>
      <c r="M2457" s="204"/>
      <c r="N2457" s="204"/>
      <c r="O2457" s="204"/>
      <c r="P2457" s="204"/>
      <c r="Q2457" s="204"/>
      <c r="R2457" s="204"/>
      <c r="S2457" s="204"/>
      <c r="T2457" s="204"/>
      <c r="U2457" s="204"/>
      <c r="V2457" s="204"/>
      <c r="W2457" s="204"/>
      <c r="X2457" s="204"/>
      <c r="Y2457" s="204"/>
      <c r="Z2457" s="204"/>
      <c r="AA2457" s="204"/>
      <c r="AB2457" s="204"/>
      <c r="AC2457" s="204"/>
      <c r="AD2457" s="204"/>
      <c r="AE2457" s="204"/>
      <c r="AF2457" s="204"/>
      <c r="AG2457" s="204"/>
      <c r="AH2457" s="204"/>
      <c r="AI2457" s="209"/>
      <c r="AJ2457" s="209"/>
      <c r="AK2457" s="204"/>
      <c r="AL2457" s="204"/>
      <c r="AM2457" s="204"/>
    </row>
    <row r="2458">
      <c r="A2458" s="204"/>
      <c r="B2458" s="209"/>
      <c r="C2458" s="204"/>
      <c r="D2458" s="210"/>
      <c r="E2458" s="211"/>
      <c r="F2458" s="211"/>
      <c r="G2458" s="212"/>
      <c r="H2458" s="212"/>
      <c r="I2458" s="204"/>
      <c r="J2458" s="204"/>
      <c r="K2458" s="204"/>
      <c r="L2458" s="204"/>
      <c r="M2458" s="204"/>
      <c r="N2458" s="204"/>
      <c r="O2458" s="204"/>
      <c r="P2458" s="204"/>
      <c r="Q2458" s="204"/>
      <c r="R2458" s="204"/>
      <c r="S2458" s="204"/>
      <c r="T2458" s="204"/>
      <c r="U2458" s="204"/>
      <c r="V2458" s="204"/>
      <c r="W2458" s="204"/>
      <c r="X2458" s="204"/>
      <c r="Y2458" s="204"/>
      <c r="Z2458" s="204"/>
      <c r="AA2458" s="204"/>
      <c r="AB2458" s="204"/>
      <c r="AC2458" s="204"/>
      <c r="AD2458" s="204"/>
      <c r="AE2458" s="204"/>
      <c r="AF2458" s="204"/>
      <c r="AG2458" s="204"/>
      <c r="AH2458" s="204"/>
      <c r="AI2458" s="209"/>
      <c r="AJ2458" s="209"/>
      <c r="AK2458" s="204"/>
      <c r="AL2458" s="204"/>
      <c r="AM2458" s="204"/>
    </row>
    <row r="2459">
      <c r="A2459" s="204"/>
      <c r="B2459" s="209"/>
      <c r="C2459" s="204"/>
      <c r="D2459" s="210"/>
      <c r="E2459" s="211"/>
      <c r="F2459" s="211"/>
      <c r="G2459" s="212"/>
      <c r="H2459" s="212"/>
      <c r="I2459" s="204"/>
      <c r="J2459" s="204"/>
      <c r="K2459" s="204"/>
      <c r="L2459" s="204"/>
      <c r="M2459" s="204"/>
      <c r="N2459" s="204"/>
      <c r="O2459" s="204"/>
      <c r="P2459" s="204"/>
      <c r="Q2459" s="204"/>
      <c r="R2459" s="204"/>
      <c r="S2459" s="204"/>
      <c r="T2459" s="204"/>
      <c r="U2459" s="204"/>
      <c r="V2459" s="204"/>
      <c r="W2459" s="204"/>
      <c r="X2459" s="204"/>
      <c r="Y2459" s="204"/>
      <c r="Z2459" s="204"/>
      <c r="AA2459" s="204"/>
      <c r="AB2459" s="204"/>
      <c r="AC2459" s="204"/>
      <c r="AD2459" s="204"/>
      <c r="AE2459" s="204"/>
      <c r="AF2459" s="204"/>
      <c r="AG2459" s="204"/>
      <c r="AH2459" s="204"/>
      <c r="AI2459" s="209"/>
      <c r="AJ2459" s="209"/>
      <c r="AK2459" s="204"/>
      <c r="AL2459" s="204"/>
      <c r="AM2459" s="204"/>
    </row>
    <row r="2460">
      <c r="A2460" s="204"/>
      <c r="B2460" s="209"/>
      <c r="C2460" s="204"/>
      <c r="D2460" s="210"/>
      <c r="E2460" s="211"/>
      <c r="F2460" s="211"/>
      <c r="G2460" s="212"/>
      <c r="H2460" s="212"/>
      <c r="I2460" s="204"/>
      <c r="J2460" s="204"/>
      <c r="K2460" s="204"/>
      <c r="L2460" s="204"/>
      <c r="M2460" s="204"/>
      <c r="N2460" s="204"/>
      <c r="O2460" s="204"/>
      <c r="P2460" s="204"/>
      <c r="Q2460" s="204"/>
      <c r="R2460" s="204"/>
      <c r="S2460" s="204"/>
      <c r="T2460" s="204"/>
      <c r="U2460" s="204"/>
      <c r="V2460" s="204"/>
      <c r="W2460" s="204"/>
      <c r="X2460" s="204"/>
      <c r="Y2460" s="204"/>
      <c r="Z2460" s="204"/>
      <c r="AA2460" s="204"/>
      <c r="AB2460" s="204"/>
      <c r="AC2460" s="204"/>
      <c r="AD2460" s="204"/>
      <c r="AE2460" s="204"/>
      <c r="AF2460" s="204"/>
      <c r="AG2460" s="204"/>
      <c r="AH2460" s="204"/>
      <c r="AI2460" s="209"/>
      <c r="AJ2460" s="209"/>
      <c r="AK2460" s="204"/>
      <c r="AL2460" s="204"/>
      <c r="AM2460" s="204"/>
    </row>
    <row r="2461">
      <c r="A2461" s="204"/>
      <c r="B2461" s="209"/>
      <c r="C2461" s="204"/>
      <c r="D2461" s="210"/>
      <c r="E2461" s="211"/>
      <c r="F2461" s="211"/>
      <c r="G2461" s="212"/>
      <c r="H2461" s="212"/>
      <c r="I2461" s="204"/>
      <c r="J2461" s="204"/>
      <c r="K2461" s="204"/>
      <c r="L2461" s="204"/>
      <c r="M2461" s="204"/>
      <c r="N2461" s="204"/>
      <c r="O2461" s="204"/>
      <c r="P2461" s="204"/>
      <c r="Q2461" s="204"/>
      <c r="R2461" s="204"/>
      <c r="S2461" s="204"/>
      <c r="T2461" s="204"/>
      <c r="U2461" s="204"/>
      <c r="V2461" s="204"/>
      <c r="W2461" s="204"/>
      <c r="X2461" s="204"/>
      <c r="Y2461" s="204"/>
      <c r="Z2461" s="204"/>
      <c r="AA2461" s="204"/>
      <c r="AB2461" s="204"/>
      <c r="AC2461" s="204"/>
      <c r="AD2461" s="204"/>
      <c r="AE2461" s="204"/>
      <c r="AF2461" s="204"/>
      <c r="AG2461" s="204"/>
      <c r="AH2461" s="204"/>
      <c r="AI2461" s="209"/>
      <c r="AJ2461" s="209"/>
      <c r="AK2461" s="204"/>
      <c r="AL2461" s="204"/>
      <c r="AM2461" s="204"/>
    </row>
    <row r="2462">
      <c r="A2462" s="204"/>
      <c r="B2462" s="209"/>
      <c r="C2462" s="204"/>
      <c r="D2462" s="210"/>
      <c r="E2462" s="211"/>
      <c r="F2462" s="211"/>
      <c r="G2462" s="212"/>
      <c r="H2462" s="212"/>
      <c r="I2462" s="204"/>
      <c r="J2462" s="204"/>
      <c r="K2462" s="204"/>
      <c r="L2462" s="204"/>
      <c r="M2462" s="204"/>
      <c r="N2462" s="204"/>
      <c r="O2462" s="204"/>
      <c r="P2462" s="204"/>
      <c r="Q2462" s="204"/>
      <c r="R2462" s="204"/>
      <c r="S2462" s="204"/>
      <c r="T2462" s="204"/>
      <c r="U2462" s="204"/>
      <c r="V2462" s="204"/>
      <c r="W2462" s="204"/>
      <c r="X2462" s="204"/>
      <c r="Y2462" s="204"/>
      <c r="Z2462" s="204"/>
      <c r="AA2462" s="204"/>
      <c r="AB2462" s="204"/>
      <c r="AC2462" s="204"/>
      <c r="AD2462" s="204"/>
      <c r="AE2462" s="204"/>
      <c r="AF2462" s="204"/>
      <c r="AG2462" s="204"/>
      <c r="AH2462" s="204"/>
      <c r="AI2462" s="209"/>
      <c r="AJ2462" s="209"/>
      <c r="AK2462" s="204"/>
      <c r="AL2462" s="204"/>
      <c r="AM2462" s="204"/>
    </row>
    <row r="2463">
      <c r="A2463" s="204"/>
      <c r="B2463" s="209"/>
      <c r="C2463" s="204"/>
      <c r="D2463" s="210"/>
      <c r="E2463" s="211"/>
      <c r="F2463" s="211"/>
      <c r="G2463" s="212"/>
      <c r="H2463" s="212"/>
      <c r="I2463" s="204"/>
      <c r="J2463" s="204"/>
      <c r="K2463" s="204"/>
      <c r="L2463" s="204"/>
      <c r="M2463" s="204"/>
      <c r="N2463" s="204"/>
      <c r="O2463" s="204"/>
      <c r="P2463" s="204"/>
      <c r="Q2463" s="204"/>
      <c r="R2463" s="204"/>
      <c r="S2463" s="204"/>
      <c r="T2463" s="204"/>
      <c r="U2463" s="204"/>
      <c r="V2463" s="204"/>
      <c r="W2463" s="204"/>
      <c r="X2463" s="204"/>
      <c r="Y2463" s="204"/>
      <c r="Z2463" s="204"/>
      <c r="AA2463" s="204"/>
      <c r="AB2463" s="204"/>
      <c r="AC2463" s="204"/>
      <c r="AD2463" s="204"/>
      <c r="AE2463" s="204"/>
      <c r="AF2463" s="204"/>
      <c r="AG2463" s="204"/>
      <c r="AH2463" s="204"/>
      <c r="AI2463" s="209"/>
      <c r="AJ2463" s="209"/>
      <c r="AK2463" s="204"/>
      <c r="AL2463" s="204"/>
      <c r="AM2463" s="204"/>
    </row>
    <row r="2464">
      <c r="A2464" s="204"/>
      <c r="B2464" s="209"/>
      <c r="C2464" s="204"/>
      <c r="D2464" s="210"/>
      <c r="E2464" s="211"/>
      <c r="F2464" s="211"/>
      <c r="G2464" s="212"/>
      <c r="H2464" s="212"/>
      <c r="I2464" s="204"/>
      <c r="J2464" s="204"/>
      <c r="K2464" s="204"/>
      <c r="L2464" s="204"/>
      <c r="M2464" s="204"/>
      <c r="N2464" s="204"/>
      <c r="O2464" s="204"/>
      <c r="P2464" s="204"/>
      <c r="Q2464" s="204"/>
      <c r="R2464" s="204"/>
      <c r="S2464" s="204"/>
      <c r="T2464" s="204"/>
      <c r="U2464" s="204"/>
      <c r="V2464" s="204"/>
      <c r="W2464" s="204"/>
      <c r="X2464" s="204"/>
      <c r="Y2464" s="204"/>
      <c r="Z2464" s="204"/>
      <c r="AA2464" s="204"/>
      <c r="AB2464" s="204"/>
      <c r="AC2464" s="204"/>
      <c r="AD2464" s="204"/>
      <c r="AE2464" s="204"/>
      <c r="AF2464" s="204"/>
      <c r="AG2464" s="204"/>
      <c r="AH2464" s="204"/>
      <c r="AI2464" s="209"/>
      <c r="AJ2464" s="209"/>
      <c r="AK2464" s="204"/>
      <c r="AL2464" s="204"/>
      <c r="AM2464" s="204"/>
    </row>
    <row r="2465">
      <c r="A2465" s="204"/>
      <c r="B2465" s="209"/>
      <c r="C2465" s="204"/>
      <c r="D2465" s="210"/>
      <c r="E2465" s="211"/>
      <c r="F2465" s="211"/>
      <c r="G2465" s="212"/>
      <c r="H2465" s="212"/>
      <c r="I2465" s="204"/>
      <c r="J2465" s="204"/>
      <c r="K2465" s="204"/>
      <c r="L2465" s="204"/>
      <c r="M2465" s="204"/>
      <c r="N2465" s="204"/>
      <c r="O2465" s="204"/>
      <c r="P2465" s="204"/>
      <c r="Q2465" s="204"/>
      <c r="R2465" s="204"/>
      <c r="S2465" s="204"/>
      <c r="T2465" s="204"/>
      <c r="U2465" s="204"/>
      <c r="V2465" s="204"/>
      <c r="W2465" s="204"/>
      <c r="X2465" s="204"/>
      <c r="Y2465" s="204"/>
      <c r="Z2465" s="204"/>
      <c r="AA2465" s="204"/>
      <c r="AB2465" s="204"/>
      <c r="AC2465" s="204"/>
      <c r="AD2465" s="204"/>
      <c r="AE2465" s="204"/>
      <c r="AF2465" s="204"/>
      <c r="AG2465" s="204"/>
      <c r="AH2465" s="204"/>
      <c r="AI2465" s="209"/>
      <c r="AJ2465" s="209"/>
      <c r="AK2465" s="204"/>
      <c r="AL2465" s="204"/>
      <c r="AM2465" s="204"/>
    </row>
    <row r="2466">
      <c r="A2466" s="204"/>
      <c r="B2466" s="209"/>
      <c r="C2466" s="204"/>
      <c r="D2466" s="210"/>
      <c r="E2466" s="211"/>
      <c r="F2466" s="211"/>
      <c r="G2466" s="212"/>
      <c r="H2466" s="212"/>
      <c r="I2466" s="204"/>
      <c r="J2466" s="204"/>
      <c r="K2466" s="204"/>
      <c r="L2466" s="204"/>
      <c r="M2466" s="204"/>
      <c r="N2466" s="204"/>
      <c r="O2466" s="204"/>
      <c r="P2466" s="204"/>
      <c r="Q2466" s="204"/>
      <c r="R2466" s="204"/>
      <c r="S2466" s="204"/>
      <c r="T2466" s="204"/>
      <c r="U2466" s="204"/>
      <c r="V2466" s="204"/>
      <c r="W2466" s="204"/>
      <c r="X2466" s="204"/>
      <c r="Y2466" s="204"/>
      <c r="Z2466" s="204"/>
      <c r="AA2466" s="204"/>
      <c r="AB2466" s="204"/>
      <c r="AC2466" s="204"/>
      <c r="AD2466" s="204"/>
      <c r="AE2466" s="204"/>
      <c r="AF2466" s="204"/>
      <c r="AG2466" s="204"/>
      <c r="AH2466" s="204"/>
      <c r="AI2466" s="209"/>
      <c r="AJ2466" s="209"/>
      <c r="AK2466" s="204"/>
      <c r="AL2466" s="204"/>
      <c r="AM2466" s="204"/>
    </row>
    <row r="2467">
      <c r="A2467" s="204"/>
      <c r="B2467" s="209"/>
      <c r="C2467" s="204"/>
      <c r="D2467" s="210"/>
      <c r="E2467" s="211"/>
      <c r="F2467" s="211"/>
      <c r="G2467" s="212"/>
      <c r="H2467" s="212"/>
      <c r="I2467" s="204"/>
      <c r="J2467" s="204"/>
      <c r="K2467" s="204"/>
      <c r="L2467" s="204"/>
      <c r="M2467" s="204"/>
      <c r="N2467" s="204"/>
      <c r="O2467" s="204"/>
      <c r="P2467" s="204"/>
      <c r="Q2467" s="204"/>
      <c r="R2467" s="204"/>
      <c r="S2467" s="204"/>
      <c r="T2467" s="204"/>
      <c r="U2467" s="204"/>
      <c r="V2467" s="204"/>
      <c r="W2467" s="204"/>
      <c r="X2467" s="204"/>
      <c r="Y2467" s="204"/>
      <c r="Z2467" s="204"/>
      <c r="AA2467" s="204"/>
      <c r="AB2467" s="204"/>
      <c r="AC2467" s="204"/>
      <c r="AD2467" s="204"/>
      <c r="AE2467" s="204"/>
      <c r="AF2467" s="204"/>
      <c r="AG2467" s="204"/>
      <c r="AH2467" s="204"/>
      <c r="AI2467" s="209"/>
      <c r="AJ2467" s="209"/>
      <c r="AK2467" s="204"/>
      <c r="AL2467" s="204"/>
      <c r="AM2467" s="204"/>
    </row>
    <row r="2468">
      <c r="A2468" s="204"/>
      <c r="B2468" s="209"/>
      <c r="C2468" s="204"/>
      <c r="D2468" s="210"/>
      <c r="E2468" s="211"/>
      <c r="F2468" s="211"/>
      <c r="G2468" s="212"/>
      <c r="H2468" s="212"/>
      <c r="I2468" s="204"/>
      <c r="J2468" s="204"/>
      <c r="K2468" s="204"/>
      <c r="L2468" s="204"/>
      <c r="M2468" s="204"/>
      <c r="N2468" s="204"/>
      <c r="O2468" s="204"/>
      <c r="P2468" s="204"/>
      <c r="Q2468" s="204"/>
      <c r="R2468" s="204"/>
      <c r="S2468" s="204"/>
      <c r="T2468" s="204"/>
      <c r="U2468" s="204"/>
      <c r="V2468" s="204"/>
      <c r="W2468" s="204"/>
      <c r="X2468" s="204"/>
      <c r="Y2468" s="204"/>
      <c r="Z2468" s="204"/>
      <c r="AA2468" s="204"/>
      <c r="AB2468" s="204"/>
      <c r="AC2468" s="204"/>
      <c r="AD2468" s="204"/>
      <c r="AE2468" s="204"/>
      <c r="AF2468" s="204"/>
      <c r="AG2468" s="204"/>
      <c r="AH2468" s="204"/>
      <c r="AI2468" s="209"/>
      <c r="AJ2468" s="209"/>
      <c r="AK2468" s="204"/>
      <c r="AL2468" s="204"/>
      <c r="AM2468" s="204"/>
    </row>
    <row r="2469">
      <c r="A2469" s="204"/>
      <c r="B2469" s="209"/>
      <c r="C2469" s="204"/>
      <c r="D2469" s="210"/>
      <c r="E2469" s="211"/>
      <c r="F2469" s="211"/>
      <c r="G2469" s="212"/>
      <c r="H2469" s="212"/>
      <c r="I2469" s="204"/>
      <c r="J2469" s="204"/>
      <c r="K2469" s="204"/>
      <c r="L2469" s="204"/>
      <c r="M2469" s="204"/>
      <c r="N2469" s="204"/>
      <c r="O2469" s="204"/>
      <c r="P2469" s="204"/>
      <c r="Q2469" s="204"/>
      <c r="R2469" s="204"/>
      <c r="S2469" s="204"/>
      <c r="T2469" s="204"/>
      <c r="U2469" s="204"/>
      <c r="V2469" s="204"/>
      <c r="W2469" s="204"/>
      <c r="X2469" s="204"/>
      <c r="Y2469" s="204"/>
      <c r="Z2469" s="204"/>
      <c r="AA2469" s="204"/>
      <c r="AB2469" s="204"/>
      <c r="AC2469" s="204"/>
      <c r="AD2469" s="204"/>
      <c r="AE2469" s="204"/>
      <c r="AF2469" s="204"/>
      <c r="AG2469" s="204"/>
      <c r="AH2469" s="204"/>
      <c r="AI2469" s="209"/>
      <c r="AJ2469" s="209"/>
      <c r="AK2469" s="204"/>
      <c r="AL2469" s="204"/>
      <c r="AM2469" s="204"/>
    </row>
    <row r="2470">
      <c r="A2470" s="204"/>
      <c r="B2470" s="209"/>
      <c r="C2470" s="204"/>
      <c r="D2470" s="210"/>
      <c r="E2470" s="211"/>
      <c r="F2470" s="211"/>
      <c r="G2470" s="212"/>
      <c r="H2470" s="212"/>
      <c r="I2470" s="204"/>
      <c r="J2470" s="204"/>
      <c r="K2470" s="204"/>
      <c r="L2470" s="204"/>
      <c r="M2470" s="204"/>
      <c r="N2470" s="204"/>
      <c r="O2470" s="204"/>
      <c r="P2470" s="204"/>
      <c r="Q2470" s="204"/>
      <c r="R2470" s="204"/>
      <c r="S2470" s="204"/>
      <c r="T2470" s="204"/>
      <c r="U2470" s="204"/>
      <c r="V2470" s="204"/>
      <c r="W2470" s="204"/>
      <c r="X2470" s="204"/>
      <c r="Y2470" s="204"/>
      <c r="Z2470" s="204"/>
      <c r="AA2470" s="204"/>
      <c r="AB2470" s="204"/>
      <c r="AC2470" s="204"/>
      <c r="AD2470" s="204"/>
      <c r="AE2470" s="204"/>
      <c r="AF2470" s="204"/>
      <c r="AG2470" s="204"/>
      <c r="AH2470" s="204"/>
      <c r="AI2470" s="209"/>
      <c r="AJ2470" s="209"/>
      <c r="AK2470" s="204"/>
      <c r="AL2470" s="204"/>
      <c r="AM2470" s="204"/>
    </row>
    <row r="2471">
      <c r="A2471" s="204"/>
      <c r="B2471" s="209"/>
      <c r="C2471" s="204"/>
      <c r="D2471" s="210"/>
      <c r="E2471" s="211"/>
      <c r="F2471" s="211"/>
      <c r="G2471" s="212"/>
      <c r="H2471" s="212"/>
      <c r="I2471" s="204"/>
      <c r="J2471" s="204"/>
      <c r="K2471" s="204"/>
      <c r="L2471" s="204"/>
      <c r="M2471" s="204"/>
      <c r="N2471" s="204"/>
      <c r="O2471" s="204"/>
      <c r="P2471" s="204"/>
      <c r="Q2471" s="204"/>
      <c r="R2471" s="204"/>
      <c r="S2471" s="204"/>
      <c r="T2471" s="204"/>
      <c r="U2471" s="204"/>
      <c r="V2471" s="204"/>
      <c r="W2471" s="204"/>
      <c r="X2471" s="204"/>
      <c r="Y2471" s="204"/>
      <c r="Z2471" s="204"/>
      <c r="AA2471" s="204"/>
      <c r="AB2471" s="204"/>
      <c r="AC2471" s="204"/>
      <c r="AD2471" s="204"/>
      <c r="AE2471" s="204"/>
      <c r="AF2471" s="204"/>
      <c r="AG2471" s="204"/>
      <c r="AH2471" s="204"/>
      <c r="AI2471" s="209"/>
      <c r="AJ2471" s="209"/>
      <c r="AK2471" s="204"/>
      <c r="AL2471" s="204"/>
      <c r="AM2471" s="204"/>
    </row>
    <row r="2472">
      <c r="A2472" s="204"/>
      <c r="B2472" s="209"/>
      <c r="C2472" s="204"/>
      <c r="D2472" s="210"/>
      <c r="E2472" s="211"/>
      <c r="F2472" s="211"/>
      <c r="G2472" s="212"/>
      <c r="H2472" s="212"/>
      <c r="I2472" s="204"/>
      <c r="J2472" s="204"/>
      <c r="K2472" s="204"/>
      <c r="L2472" s="204"/>
      <c r="M2472" s="204"/>
      <c r="N2472" s="204"/>
      <c r="O2472" s="204"/>
      <c r="P2472" s="204"/>
      <c r="Q2472" s="204"/>
      <c r="R2472" s="204"/>
      <c r="S2472" s="204"/>
      <c r="T2472" s="204"/>
      <c r="U2472" s="204"/>
      <c r="V2472" s="204"/>
      <c r="W2472" s="204"/>
      <c r="X2472" s="204"/>
      <c r="Y2472" s="204"/>
      <c r="Z2472" s="204"/>
      <c r="AA2472" s="204"/>
      <c r="AB2472" s="204"/>
      <c r="AC2472" s="204"/>
      <c r="AD2472" s="204"/>
      <c r="AE2472" s="204"/>
      <c r="AF2472" s="204"/>
      <c r="AG2472" s="204"/>
      <c r="AH2472" s="204"/>
      <c r="AI2472" s="209"/>
      <c r="AJ2472" s="209"/>
      <c r="AK2472" s="204"/>
      <c r="AL2472" s="204"/>
      <c r="AM2472" s="204"/>
    </row>
    <row r="2473">
      <c r="A2473" s="204"/>
      <c r="B2473" s="209"/>
      <c r="C2473" s="204"/>
      <c r="D2473" s="210"/>
      <c r="E2473" s="211"/>
      <c r="F2473" s="211"/>
      <c r="G2473" s="212"/>
      <c r="H2473" s="212"/>
      <c r="I2473" s="204"/>
      <c r="J2473" s="204"/>
      <c r="K2473" s="204"/>
      <c r="L2473" s="204"/>
      <c r="M2473" s="204"/>
      <c r="N2473" s="204"/>
      <c r="O2473" s="204"/>
      <c r="P2473" s="204"/>
      <c r="Q2473" s="204"/>
      <c r="R2473" s="204"/>
      <c r="S2473" s="204"/>
      <c r="T2473" s="204"/>
      <c r="U2473" s="204"/>
      <c r="V2473" s="204"/>
      <c r="W2473" s="204"/>
      <c r="X2473" s="204"/>
      <c r="Y2473" s="204"/>
      <c r="Z2473" s="204"/>
      <c r="AA2473" s="204"/>
      <c r="AB2473" s="204"/>
      <c r="AC2473" s="204"/>
      <c r="AD2473" s="204"/>
      <c r="AE2473" s="204"/>
      <c r="AF2473" s="204"/>
      <c r="AG2473" s="204"/>
      <c r="AH2473" s="204"/>
      <c r="AI2473" s="209"/>
      <c r="AJ2473" s="209"/>
      <c r="AK2473" s="204"/>
      <c r="AL2473" s="204"/>
      <c r="AM2473" s="204"/>
    </row>
    <row r="2474">
      <c r="A2474" s="204"/>
      <c r="B2474" s="209"/>
      <c r="C2474" s="204"/>
      <c r="D2474" s="210"/>
      <c r="E2474" s="211"/>
      <c r="F2474" s="211"/>
      <c r="G2474" s="212"/>
      <c r="H2474" s="212"/>
      <c r="I2474" s="204"/>
      <c r="J2474" s="204"/>
      <c r="K2474" s="204"/>
      <c r="L2474" s="204"/>
      <c r="M2474" s="204"/>
      <c r="N2474" s="204"/>
      <c r="O2474" s="204"/>
      <c r="P2474" s="204"/>
      <c r="Q2474" s="204"/>
      <c r="R2474" s="204"/>
      <c r="S2474" s="204"/>
      <c r="T2474" s="204"/>
      <c r="U2474" s="204"/>
      <c r="V2474" s="204"/>
      <c r="W2474" s="204"/>
      <c r="X2474" s="204"/>
      <c r="Y2474" s="204"/>
      <c r="Z2474" s="204"/>
      <c r="AA2474" s="204"/>
      <c r="AB2474" s="204"/>
      <c r="AC2474" s="204"/>
      <c r="AD2474" s="204"/>
      <c r="AE2474" s="204"/>
      <c r="AF2474" s="204"/>
      <c r="AG2474" s="204"/>
      <c r="AH2474" s="204"/>
      <c r="AI2474" s="209"/>
      <c r="AJ2474" s="209"/>
      <c r="AK2474" s="204"/>
      <c r="AL2474" s="204"/>
      <c r="AM2474" s="204"/>
    </row>
    <row r="2475">
      <c r="A2475" s="204"/>
      <c r="B2475" s="209"/>
      <c r="C2475" s="204"/>
      <c r="D2475" s="210"/>
      <c r="E2475" s="211"/>
      <c r="F2475" s="211"/>
      <c r="G2475" s="212"/>
      <c r="H2475" s="212"/>
      <c r="I2475" s="204"/>
      <c r="J2475" s="204"/>
      <c r="K2475" s="204"/>
      <c r="L2475" s="204"/>
      <c r="M2475" s="204"/>
      <c r="N2475" s="204"/>
      <c r="O2475" s="204"/>
      <c r="P2475" s="204"/>
      <c r="Q2475" s="204"/>
      <c r="R2475" s="204"/>
      <c r="S2475" s="204"/>
      <c r="T2475" s="204"/>
      <c r="U2475" s="204"/>
      <c r="V2475" s="204"/>
      <c r="W2475" s="204"/>
      <c r="X2475" s="204"/>
      <c r="Y2475" s="204"/>
      <c r="Z2475" s="204"/>
      <c r="AA2475" s="204"/>
      <c r="AB2475" s="204"/>
      <c r="AC2475" s="204"/>
      <c r="AD2475" s="204"/>
      <c r="AE2475" s="204"/>
      <c r="AF2475" s="204"/>
      <c r="AG2475" s="204"/>
      <c r="AH2475" s="204"/>
      <c r="AI2475" s="209"/>
      <c r="AJ2475" s="209"/>
      <c r="AK2475" s="204"/>
      <c r="AL2475" s="204"/>
      <c r="AM2475" s="204"/>
    </row>
    <row r="2476">
      <c r="A2476" s="204"/>
      <c r="B2476" s="209"/>
      <c r="C2476" s="204"/>
      <c r="D2476" s="210"/>
      <c r="E2476" s="211"/>
      <c r="F2476" s="211"/>
      <c r="G2476" s="212"/>
      <c r="H2476" s="212"/>
      <c r="I2476" s="204"/>
      <c r="J2476" s="204"/>
      <c r="K2476" s="204"/>
      <c r="L2476" s="204"/>
      <c r="M2476" s="204"/>
      <c r="N2476" s="204"/>
      <c r="O2476" s="204"/>
      <c r="P2476" s="204"/>
      <c r="Q2476" s="204"/>
      <c r="R2476" s="204"/>
      <c r="S2476" s="204"/>
      <c r="T2476" s="204"/>
      <c r="U2476" s="204"/>
      <c r="V2476" s="204"/>
      <c r="W2476" s="204"/>
      <c r="X2476" s="204"/>
      <c r="Y2476" s="204"/>
      <c r="Z2476" s="204"/>
      <c r="AA2476" s="204"/>
      <c r="AB2476" s="204"/>
      <c r="AC2476" s="204"/>
      <c r="AD2476" s="204"/>
      <c r="AE2476" s="204"/>
      <c r="AF2476" s="204"/>
      <c r="AG2476" s="204"/>
      <c r="AH2476" s="204"/>
      <c r="AI2476" s="209"/>
      <c r="AJ2476" s="209"/>
      <c r="AK2476" s="204"/>
      <c r="AL2476" s="204"/>
      <c r="AM2476" s="204"/>
    </row>
    <row r="2477">
      <c r="A2477" s="204"/>
      <c r="B2477" s="209"/>
      <c r="C2477" s="204"/>
      <c r="D2477" s="210"/>
      <c r="E2477" s="211"/>
      <c r="F2477" s="211"/>
      <c r="G2477" s="212"/>
      <c r="H2477" s="212"/>
      <c r="I2477" s="204"/>
      <c r="J2477" s="204"/>
      <c r="K2477" s="204"/>
      <c r="L2477" s="204"/>
      <c r="M2477" s="204"/>
      <c r="N2477" s="204"/>
      <c r="O2477" s="204"/>
      <c r="P2477" s="204"/>
      <c r="Q2477" s="204"/>
      <c r="R2477" s="204"/>
      <c r="S2477" s="204"/>
      <c r="T2477" s="204"/>
      <c r="U2477" s="204"/>
      <c r="V2477" s="204"/>
      <c r="W2477" s="204"/>
      <c r="X2477" s="204"/>
      <c r="Y2477" s="204"/>
      <c r="Z2477" s="204"/>
      <c r="AA2477" s="204"/>
      <c r="AB2477" s="204"/>
      <c r="AC2477" s="204"/>
      <c r="AD2477" s="204"/>
      <c r="AE2477" s="204"/>
      <c r="AF2477" s="204"/>
      <c r="AG2477" s="204"/>
      <c r="AH2477" s="204"/>
      <c r="AI2477" s="209"/>
      <c r="AJ2477" s="209"/>
      <c r="AK2477" s="204"/>
      <c r="AL2477" s="204"/>
      <c r="AM2477" s="204"/>
    </row>
    <row r="2478">
      <c r="A2478" s="204"/>
      <c r="B2478" s="209"/>
      <c r="C2478" s="204"/>
      <c r="D2478" s="210"/>
      <c r="E2478" s="211"/>
      <c r="F2478" s="211"/>
      <c r="G2478" s="212"/>
      <c r="H2478" s="212"/>
      <c r="I2478" s="204"/>
      <c r="J2478" s="204"/>
      <c r="K2478" s="204"/>
      <c r="L2478" s="204"/>
      <c r="M2478" s="204"/>
      <c r="N2478" s="204"/>
      <c r="O2478" s="204"/>
      <c r="P2478" s="204"/>
      <c r="Q2478" s="204"/>
      <c r="R2478" s="204"/>
      <c r="S2478" s="204"/>
      <c r="T2478" s="204"/>
      <c r="U2478" s="204"/>
      <c r="V2478" s="204"/>
      <c r="W2478" s="204"/>
      <c r="X2478" s="204"/>
      <c r="Y2478" s="204"/>
      <c r="Z2478" s="204"/>
      <c r="AA2478" s="204"/>
      <c r="AB2478" s="204"/>
      <c r="AC2478" s="204"/>
      <c r="AD2478" s="204"/>
      <c r="AE2478" s="204"/>
      <c r="AF2478" s="204"/>
      <c r="AG2478" s="204"/>
      <c r="AH2478" s="204"/>
      <c r="AI2478" s="209"/>
      <c r="AJ2478" s="209"/>
      <c r="AK2478" s="204"/>
      <c r="AL2478" s="204"/>
      <c r="AM2478" s="204"/>
    </row>
    <row r="2479">
      <c r="A2479" s="204"/>
      <c r="B2479" s="209"/>
      <c r="C2479" s="204"/>
      <c r="D2479" s="210"/>
      <c r="E2479" s="211"/>
      <c r="F2479" s="211"/>
      <c r="G2479" s="212"/>
      <c r="H2479" s="212"/>
      <c r="I2479" s="204"/>
      <c r="J2479" s="204"/>
      <c r="K2479" s="204"/>
      <c r="L2479" s="204"/>
      <c r="M2479" s="204"/>
      <c r="N2479" s="204"/>
      <c r="O2479" s="204"/>
      <c r="P2479" s="204"/>
      <c r="Q2479" s="204"/>
      <c r="R2479" s="204"/>
      <c r="S2479" s="204"/>
      <c r="T2479" s="204"/>
      <c r="U2479" s="204"/>
      <c r="V2479" s="204"/>
      <c r="W2479" s="204"/>
      <c r="X2479" s="204"/>
      <c r="Y2479" s="204"/>
      <c r="Z2479" s="204"/>
      <c r="AA2479" s="204"/>
      <c r="AB2479" s="204"/>
      <c r="AC2479" s="204"/>
      <c r="AD2479" s="204"/>
      <c r="AE2479" s="204"/>
      <c r="AF2479" s="204"/>
      <c r="AG2479" s="204"/>
      <c r="AH2479" s="204"/>
      <c r="AI2479" s="209"/>
      <c r="AJ2479" s="209"/>
      <c r="AK2479" s="204"/>
      <c r="AL2479" s="204"/>
      <c r="AM2479" s="204"/>
    </row>
    <row r="2480">
      <c r="A2480" s="204"/>
      <c r="B2480" s="209"/>
      <c r="C2480" s="204"/>
      <c r="D2480" s="210"/>
      <c r="E2480" s="211"/>
      <c r="F2480" s="211"/>
      <c r="G2480" s="212"/>
      <c r="H2480" s="212"/>
      <c r="I2480" s="204"/>
      <c r="J2480" s="204"/>
      <c r="K2480" s="204"/>
      <c r="L2480" s="204"/>
      <c r="M2480" s="204"/>
      <c r="N2480" s="204"/>
      <c r="O2480" s="204"/>
      <c r="P2480" s="204"/>
      <c r="Q2480" s="204"/>
      <c r="R2480" s="204"/>
      <c r="S2480" s="204"/>
      <c r="T2480" s="204"/>
      <c r="U2480" s="204"/>
      <c r="V2480" s="204"/>
      <c r="W2480" s="204"/>
      <c r="X2480" s="204"/>
      <c r="Y2480" s="204"/>
      <c r="Z2480" s="204"/>
      <c r="AA2480" s="204"/>
      <c r="AB2480" s="204"/>
      <c r="AC2480" s="204"/>
      <c r="AD2480" s="204"/>
      <c r="AE2480" s="204"/>
      <c r="AF2480" s="204"/>
      <c r="AG2480" s="204"/>
      <c r="AH2480" s="204"/>
      <c r="AI2480" s="209"/>
      <c r="AJ2480" s="209"/>
      <c r="AK2480" s="204"/>
      <c r="AL2480" s="204"/>
      <c r="AM2480" s="204"/>
    </row>
    <row r="2481">
      <c r="A2481" s="204"/>
      <c r="B2481" s="209"/>
      <c r="C2481" s="204"/>
      <c r="D2481" s="210"/>
      <c r="E2481" s="211"/>
      <c r="F2481" s="211"/>
      <c r="G2481" s="212"/>
      <c r="H2481" s="212"/>
      <c r="I2481" s="204"/>
      <c r="J2481" s="204"/>
      <c r="K2481" s="204"/>
      <c r="L2481" s="204"/>
      <c r="M2481" s="204"/>
      <c r="N2481" s="204"/>
      <c r="O2481" s="204"/>
      <c r="P2481" s="204"/>
      <c r="Q2481" s="204"/>
      <c r="R2481" s="204"/>
      <c r="S2481" s="204"/>
      <c r="T2481" s="204"/>
      <c r="U2481" s="204"/>
      <c r="V2481" s="204"/>
      <c r="W2481" s="204"/>
      <c r="X2481" s="204"/>
      <c r="Y2481" s="204"/>
      <c r="Z2481" s="204"/>
      <c r="AA2481" s="204"/>
      <c r="AB2481" s="204"/>
      <c r="AC2481" s="204"/>
      <c r="AD2481" s="204"/>
      <c r="AE2481" s="204"/>
      <c r="AF2481" s="204"/>
      <c r="AG2481" s="204"/>
      <c r="AH2481" s="204"/>
      <c r="AI2481" s="209"/>
      <c r="AJ2481" s="209"/>
      <c r="AK2481" s="204"/>
      <c r="AL2481" s="204"/>
      <c r="AM2481" s="204"/>
    </row>
    <row r="2482">
      <c r="A2482" s="204"/>
      <c r="B2482" s="209"/>
      <c r="C2482" s="204"/>
      <c r="D2482" s="210"/>
      <c r="E2482" s="211"/>
      <c r="F2482" s="211"/>
      <c r="G2482" s="212"/>
      <c r="H2482" s="212"/>
      <c r="I2482" s="204"/>
      <c r="J2482" s="204"/>
      <c r="K2482" s="204"/>
      <c r="L2482" s="204"/>
      <c r="M2482" s="204"/>
      <c r="N2482" s="204"/>
      <c r="O2482" s="204"/>
      <c r="P2482" s="204"/>
      <c r="Q2482" s="204"/>
      <c r="R2482" s="204"/>
      <c r="S2482" s="204"/>
      <c r="T2482" s="204"/>
      <c r="U2482" s="204"/>
      <c r="V2482" s="204"/>
      <c r="W2482" s="204"/>
      <c r="X2482" s="204"/>
      <c r="Y2482" s="204"/>
      <c r="Z2482" s="204"/>
      <c r="AA2482" s="204"/>
      <c r="AB2482" s="204"/>
      <c r="AC2482" s="204"/>
      <c r="AD2482" s="204"/>
      <c r="AE2482" s="204"/>
      <c r="AF2482" s="204"/>
      <c r="AG2482" s="204"/>
      <c r="AH2482" s="204"/>
      <c r="AI2482" s="209"/>
      <c r="AJ2482" s="209"/>
      <c r="AK2482" s="204"/>
      <c r="AL2482" s="204"/>
      <c r="AM2482" s="204"/>
    </row>
    <row r="2483">
      <c r="A2483" s="204"/>
      <c r="B2483" s="209"/>
      <c r="C2483" s="204"/>
      <c r="D2483" s="210"/>
      <c r="E2483" s="211"/>
      <c r="F2483" s="211"/>
      <c r="G2483" s="212"/>
      <c r="H2483" s="212"/>
      <c r="I2483" s="204"/>
      <c r="J2483" s="204"/>
      <c r="K2483" s="204"/>
      <c r="L2483" s="204"/>
      <c r="M2483" s="204"/>
      <c r="N2483" s="204"/>
      <c r="O2483" s="204"/>
      <c r="P2483" s="204"/>
      <c r="Q2483" s="204"/>
      <c r="R2483" s="204"/>
      <c r="S2483" s="204"/>
      <c r="T2483" s="204"/>
      <c r="U2483" s="204"/>
      <c r="V2483" s="204"/>
      <c r="W2483" s="204"/>
      <c r="X2483" s="204"/>
      <c r="Y2483" s="204"/>
      <c r="Z2483" s="204"/>
      <c r="AA2483" s="204"/>
      <c r="AB2483" s="204"/>
      <c r="AC2483" s="204"/>
      <c r="AD2483" s="204"/>
      <c r="AE2483" s="204"/>
      <c r="AF2483" s="204"/>
      <c r="AG2483" s="204"/>
      <c r="AH2483" s="204"/>
      <c r="AI2483" s="209"/>
      <c r="AJ2483" s="209"/>
      <c r="AK2483" s="204"/>
      <c r="AL2483" s="204"/>
      <c r="AM2483" s="204"/>
    </row>
    <row r="2484">
      <c r="A2484" s="204"/>
      <c r="B2484" s="209"/>
      <c r="C2484" s="204"/>
      <c r="D2484" s="210"/>
      <c r="E2484" s="211"/>
      <c r="F2484" s="211"/>
      <c r="G2484" s="212"/>
      <c r="H2484" s="212"/>
      <c r="I2484" s="204"/>
      <c r="J2484" s="204"/>
      <c r="K2484" s="204"/>
      <c r="L2484" s="204"/>
      <c r="M2484" s="204"/>
      <c r="N2484" s="204"/>
      <c r="O2484" s="204"/>
      <c r="P2484" s="204"/>
      <c r="Q2484" s="204"/>
      <c r="R2484" s="204"/>
      <c r="S2484" s="204"/>
      <c r="T2484" s="204"/>
      <c r="U2484" s="204"/>
      <c r="V2484" s="204"/>
      <c r="W2484" s="204"/>
      <c r="X2484" s="204"/>
      <c r="Y2484" s="204"/>
      <c r="Z2484" s="204"/>
      <c r="AA2484" s="204"/>
      <c r="AB2484" s="204"/>
      <c r="AC2484" s="204"/>
      <c r="AD2484" s="204"/>
      <c r="AE2484" s="204"/>
      <c r="AF2484" s="204"/>
      <c r="AG2484" s="204"/>
      <c r="AH2484" s="204"/>
      <c r="AI2484" s="209"/>
      <c r="AJ2484" s="209"/>
      <c r="AK2484" s="204"/>
      <c r="AL2484" s="204"/>
      <c r="AM2484" s="204"/>
    </row>
    <row r="2485">
      <c r="A2485" s="204"/>
      <c r="B2485" s="209"/>
      <c r="C2485" s="204"/>
      <c r="D2485" s="210"/>
      <c r="E2485" s="211"/>
      <c r="F2485" s="211"/>
      <c r="G2485" s="212"/>
      <c r="H2485" s="212"/>
      <c r="I2485" s="204"/>
      <c r="J2485" s="204"/>
      <c r="K2485" s="204"/>
      <c r="L2485" s="204"/>
      <c r="M2485" s="204"/>
      <c r="N2485" s="204"/>
      <c r="O2485" s="204"/>
      <c r="P2485" s="204"/>
      <c r="Q2485" s="204"/>
      <c r="R2485" s="204"/>
      <c r="S2485" s="204"/>
      <c r="T2485" s="204"/>
      <c r="U2485" s="204"/>
      <c r="V2485" s="204"/>
      <c r="W2485" s="204"/>
      <c r="X2485" s="204"/>
      <c r="Y2485" s="204"/>
      <c r="Z2485" s="204"/>
      <c r="AA2485" s="204"/>
      <c r="AB2485" s="204"/>
      <c r="AC2485" s="204"/>
      <c r="AD2485" s="204"/>
      <c r="AE2485" s="204"/>
      <c r="AF2485" s="204"/>
      <c r="AG2485" s="204"/>
      <c r="AH2485" s="204"/>
      <c r="AI2485" s="209"/>
      <c r="AJ2485" s="209"/>
      <c r="AK2485" s="204"/>
      <c r="AL2485" s="204"/>
      <c r="AM2485" s="204"/>
    </row>
    <row r="2486">
      <c r="A2486" s="204"/>
      <c r="B2486" s="209"/>
      <c r="C2486" s="204"/>
      <c r="D2486" s="210"/>
      <c r="E2486" s="211"/>
      <c r="F2486" s="211"/>
      <c r="G2486" s="212"/>
      <c r="H2486" s="212"/>
      <c r="I2486" s="204"/>
      <c r="J2486" s="204"/>
      <c r="K2486" s="204"/>
      <c r="L2486" s="204"/>
      <c r="M2486" s="204"/>
      <c r="N2486" s="204"/>
      <c r="O2486" s="204"/>
      <c r="P2486" s="204"/>
      <c r="Q2486" s="204"/>
      <c r="R2486" s="204"/>
      <c r="S2486" s="204"/>
      <c r="T2486" s="204"/>
      <c r="U2486" s="204"/>
      <c r="V2486" s="204"/>
      <c r="W2486" s="204"/>
      <c r="X2486" s="204"/>
      <c r="Y2486" s="204"/>
      <c r="Z2486" s="204"/>
      <c r="AA2486" s="204"/>
      <c r="AB2486" s="204"/>
      <c r="AC2486" s="204"/>
      <c r="AD2486" s="204"/>
      <c r="AE2486" s="204"/>
      <c r="AF2486" s="204"/>
      <c r="AG2486" s="204"/>
      <c r="AH2486" s="204"/>
      <c r="AI2486" s="209"/>
      <c r="AJ2486" s="209"/>
      <c r="AK2486" s="204"/>
      <c r="AL2486" s="204"/>
      <c r="AM2486" s="204"/>
    </row>
    <row r="2487">
      <c r="A2487" s="204"/>
      <c r="B2487" s="209"/>
      <c r="C2487" s="204"/>
      <c r="D2487" s="210"/>
      <c r="E2487" s="211"/>
      <c r="F2487" s="211"/>
      <c r="G2487" s="212"/>
      <c r="H2487" s="212"/>
      <c r="I2487" s="204"/>
      <c r="J2487" s="204"/>
      <c r="K2487" s="204"/>
      <c r="L2487" s="204"/>
      <c r="M2487" s="204"/>
      <c r="N2487" s="204"/>
      <c r="O2487" s="204"/>
      <c r="P2487" s="204"/>
      <c r="Q2487" s="204"/>
      <c r="R2487" s="204"/>
      <c r="S2487" s="204"/>
      <c r="T2487" s="204"/>
      <c r="U2487" s="204"/>
      <c r="V2487" s="204"/>
      <c r="W2487" s="204"/>
      <c r="X2487" s="204"/>
      <c r="Y2487" s="204"/>
      <c r="Z2487" s="204"/>
      <c r="AA2487" s="204"/>
      <c r="AB2487" s="204"/>
      <c r="AC2487" s="204"/>
      <c r="AD2487" s="204"/>
      <c r="AE2487" s="204"/>
      <c r="AF2487" s="204"/>
      <c r="AG2487" s="204"/>
      <c r="AH2487" s="204"/>
      <c r="AI2487" s="209"/>
      <c r="AJ2487" s="209"/>
      <c r="AK2487" s="204"/>
      <c r="AL2487" s="204"/>
      <c r="AM2487" s="204"/>
    </row>
    <row r="2488">
      <c r="A2488" s="204"/>
      <c r="B2488" s="209"/>
      <c r="C2488" s="204"/>
      <c r="D2488" s="210"/>
      <c r="E2488" s="211"/>
      <c r="F2488" s="211"/>
      <c r="G2488" s="212"/>
      <c r="H2488" s="212"/>
      <c r="I2488" s="204"/>
      <c r="J2488" s="204"/>
      <c r="K2488" s="204"/>
      <c r="L2488" s="204"/>
      <c r="M2488" s="204"/>
      <c r="N2488" s="204"/>
      <c r="O2488" s="204"/>
      <c r="P2488" s="204"/>
      <c r="Q2488" s="204"/>
      <c r="R2488" s="204"/>
      <c r="S2488" s="204"/>
      <c r="T2488" s="204"/>
      <c r="U2488" s="204"/>
      <c r="V2488" s="204"/>
      <c r="W2488" s="204"/>
      <c r="X2488" s="204"/>
      <c r="Y2488" s="204"/>
      <c r="Z2488" s="204"/>
      <c r="AA2488" s="204"/>
      <c r="AB2488" s="204"/>
      <c r="AC2488" s="204"/>
      <c r="AD2488" s="204"/>
      <c r="AE2488" s="204"/>
      <c r="AF2488" s="204"/>
      <c r="AG2488" s="204"/>
      <c r="AH2488" s="204"/>
      <c r="AI2488" s="209"/>
      <c r="AJ2488" s="209"/>
      <c r="AK2488" s="204"/>
      <c r="AL2488" s="204"/>
      <c r="AM2488" s="204"/>
    </row>
    <row r="2489">
      <c r="A2489" s="204"/>
      <c r="B2489" s="209"/>
      <c r="C2489" s="204"/>
      <c r="D2489" s="210"/>
      <c r="E2489" s="211"/>
      <c r="F2489" s="211"/>
      <c r="G2489" s="212"/>
      <c r="H2489" s="212"/>
      <c r="I2489" s="204"/>
      <c r="J2489" s="204"/>
      <c r="K2489" s="204"/>
      <c r="L2489" s="204"/>
      <c r="M2489" s="204"/>
      <c r="N2489" s="204"/>
      <c r="O2489" s="204"/>
      <c r="P2489" s="204"/>
      <c r="Q2489" s="204"/>
      <c r="R2489" s="204"/>
      <c r="S2489" s="204"/>
      <c r="T2489" s="204"/>
      <c r="U2489" s="204"/>
      <c r="V2489" s="204"/>
      <c r="W2489" s="204"/>
      <c r="X2489" s="204"/>
      <c r="Y2489" s="204"/>
      <c r="Z2489" s="204"/>
      <c r="AA2489" s="204"/>
      <c r="AB2489" s="204"/>
      <c r="AC2489" s="204"/>
      <c r="AD2489" s="204"/>
      <c r="AE2489" s="204"/>
      <c r="AF2489" s="204"/>
      <c r="AG2489" s="204"/>
      <c r="AH2489" s="204"/>
      <c r="AI2489" s="209"/>
      <c r="AJ2489" s="209"/>
      <c r="AK2489" s="204"/>
      <c r="AL2489" s="204"/>
      <c r="AM2489" s="204"/>
    </row>
    <row r="2490">
      <c r="A2490" s="204"/>
      <c r="B2490" s="209"/>
      <c r="C2490" s="204"/>
      <c r="D2490" s="210"/>
      <c r="E2490" s="211"/>
      <c r="F2490" s="211"/>
      <c r="G2490" s="212"/>
      <c r="H2490" s="212"/>
      <c r="I2490" s="204"/>
      <c r="J2490" s="204"/>
      <c r="K2490" s="204"/>
      <c r="L2490" s="204"/>
      <c r="M2490" s="204"/>
      <c r="N2490" s="204"/>
      <c r="O2490" s="204"/>
      <c r="P2490" s="204"/>
      <c r="Q2490" s="204"/>
      <c r="R2490" s="204"/>
      <c r="S2490" s="204"/>
      <c r="T2490" s="204"/>
      <c r="U2490" s="204"/>
      <c r="V2490" s="204"/>
      <c r="W2490" s="204"/>
      <c r="X2490" s="204"/>
      <c r="Y2490" s="204"/>
      <c r="Z2490" s="204"/>
      <c r="AA2490" s="204"/>
      <c r="AB2490" s="204"/>
      <c r="AC2490" s="204"/>
      <c r="AD2490" s="204"/>
      <c r="AE2490" s="204"/>
      <c r="AF2490" s="204"/>
      <c r="AG2490" s="204"/>
      <c r="AH2490" s="204"/>
      <c r="AI2490" s="209"/>
      <c r="AJ2490" s="209"/>
      <c r="AK2490" s="204"/>
      <c r="AL2490" s="204"/>
      <c r="AM2490" s="204"/>
    </row>
    <row r="2491">
      <c r="A2491" s="204"/>
      <c r="B2491" s="209"/>
      <c r="C2491" s="204"/>
      <c r="D2491" s="210"/>
      <c r="E2491" s="211"/>
      <c r="F2491" s="211"/>
      <c r="G2491" s="212"/>
      <c r="H2491" s="212"/>
      <c r="I2491" s="204"/>
      <c r="J2491" s="204"/>
      <c r="K2491" s="204"/>
      <c r="L2491" s="204"/>
      <c r="M2491" s="204"/>
      <c r="N2491" s="204"/>
      <c r="O2491" s="204"/>
      <c r="P2491" s="204"/>
      <c r="Q2491" s="204"/>
      <c r="R2491" s="204"/>
      <c r="S2491" s="204"/>
      <c r="T2491" s="204"/>
      <c r="U2491" s="204"/>
      <c r="V2491" s="204"/>
      <c r="W2491" s="204"/>
      <c r="X2491" s="204"/>
      <c r="Y2491" s="204"/>
      <c r="Z2491" s="204"/>
      <c r="AA2491" s="204"/>
      <c r="AB2491" s="204"/>
      <c r="AC2491" s="204"/>
      <c r="AD2491" s="204"/>
      <c r="AE2491" s="204"/>
      <c r="AF2491" s="204"/>
      <c r="AG2491" s="204"/>
      <c r="AH2491" s="204"/>
      <c r="AI2491" s="209"/>
      <c r="AJ2491" s="209"/>
      <c r="AK2491" s="204"/>
      <c r="AL2491" s="204"/>
      <c r="AM2491" s="204"/>
    </row>
    <row r="2492">
      <c r="A2492" s="204"/>
      <c r="B2492" s="209"/>
      <c r="C2492" s="204"/>
      <c r="D2492" s="210"/>
      <c r="E2492" s="211"/>
      <c r="F2492" s="211"/>
      <c r="G2492" s="212"/>
      <c r="H2492" s="212"/>
      <c r="I2492" s="204"/>
      <c r="J2492" s="204"/>
      <c r="K2492" s="204"/>
      <c r="L2492" s="204"/>
      <c r="M2492" s="204"/>
      <c r="N2492" s="204"/>
      <c r="O2492" s="204"/>
      <c r="P2492" s="204"/>
      <c r="Q2492" s="204"/>
      <c r="R2492" s="204"/>
      <c r="S2492" s="204"/>
      <c r="T2492" s="204"/>
      <c r="U2492" s="204"/>
      <c r="V2492" s="204"/>
      <c r="W2492" s="204"/>
      <c r="X2492" s="204"/>
      <c r="Y2492" s="204"/>
      <c r="Z2492" s="204"/>
      <c r="AA2492" s="204"/>
      <c r="AB2492" s="204"/>
      <c r="AC2492" s="204"/>
      <c r="AD2492" s="204"/>
      <c r="AE2492" s="204"/>
      <c r="AF2492" s="204"/>
      <c r="AG2492" s="204"/>
      <c r="AH2492" s="204"/>
      <c r="AI2492" s="209"/>
      <c r="AJ2492" s="209"/>
      <c r="AK2492" s="204"/>
      <c r="AL2492" s="204"/>
      <c r="AM2492" s="204"/>
    </row>
    <row r="2493">
      <c r="A2493" s="204"/>
      <c r="B2493" s="209"/>
      <c r="C2493" s="204"/>
      <c r="D2493" s="210"/>
      <c r="E2493" s="211"/>
      <c r="F2493" s="211"/>
      <c r="G2493" s="212"/>
      <c r="H2493" s="212"/>
      <c r="I2493" s="204"/>
      <c r="J2493" s="204"/>
      <c r="K2493" s="204"/>
      <c r="L2493" s="204"/>
      <c r="M2493" s="204"/>
      <c r="N2493" s="204"/>
      <c r="O2493" s="204"/>
      <c r="P2493" s="204"/>
      <c r="Q2493" s="204"/>
      <c r="R2493" s="204"/>
      <c r="S2493" s="204"/>
      <c r="T2493" s="204"/>
      <c r="U2493" s="204"/>
      <c r="V2493" s="204"/>
      <c r="W2493" s="204"/>
      <c r="X2493" s="204"/>
      <c r="Y2493" s="204"/>
      <c r="Z2493" s="204"/>
      <c r="AA2493" s="204"/>
      <c r="AB2493" s="204"/>
      <c r="AC2493" s="204"/>
      <c r="AD2493" s="204"/>
      <c r="AE2493" s="204"/>
      <c r="AF2493" s="204"/>
      <c r="AG2493" s="204"/>
      <c r="AH2493" s="204"/>
      <c r="AI2493" s="209"/>
      <c r="AJ2493" s="209"/>
      <c r="AK2493" s="204"/>
      <c r="AL2493" s="204"/>
      <c r="AM2493" s="204"/>
    </row>
    <row r="2494">
      <c r="A2494" s="204"/>
      <c r="B2494" s="209"/>
      <c r="C2494" s="204"/>
      <c r="D2494" s="210"/>
      <c r="E2494" s="211"/>
      <c r="F2494" s="211"/>
      <c r="G2494" s="212"/>
      <c r="H2494" s="212"/>
      <c r="I2494" s="204"/>
      <c r="J2494" s="204"/>
      <c r="K2494" s="204"/>
      <c r="L2494" s="204"/>
      <c r="M2494" s="204"/>
      <c r="N2494" s="204"/>
      <c r="O2494" s="204"/>
      <c r="P2494" s="204"/>
      <c r="Q2494" s="204"/>
      <c r="R2494" s="204"/>
      <c r="S2494" s="204"/>
      <c r="T2494" s="204"/>
      <c r="U2494" s="204"/>
      <c r="V2494" s="204"/>
      <c r="W2494" s="204"/>
      <c r="X2494" s="204"/>
      <c r="Y2494" s="204"/>
      <c r="Z2494" s="204"/>
      <c r="AA2494" s="204"/>
      <c r="AB2494" s="204"/>
      <c r="AC2494" s="204"/>
      <c r="AD2494" s="204"/>
      <c r="AE2494" s="204"/>
      <c r="AF2494" s="204"/>
      <c r="AG2494" s="204"/>
      <c r="AH2494" s="204"/>
      <c r="AI2494" s="209"/>
      <c r="AJ2494" s="209"/>
      <c r="AK2494" s="204"/>
      <c r="AL2494" s="204"/>
      <c r="AM2494" s="204"/>
    </row>
    <row r="2495">
      <c r="A2495" s="204"/>
      <c r="B2495" s="209"/>
      <c r="C2495" s="204"/>
      <c r="D2495" s="210"/>
      <c r="E2495" s="211"/>
      <c r="F2495" s="211"/>
      <c r="G2495" s="212"/>
      <c r="H2495" s="212"/>
      <c r="I2495" s="204"/>
      <c r="J2495" s="204"/>
      <c r="K2495" s="204"/>
      <c r="L2495" s="204"/>
      <c r="M2495" s="204"/>
      <c r="N2495" s="204"/>
      <c r="O2495" s="204"/>
      <c r="P2495" s="204"/>
      <c r="Q2495" s="204"/>
      <c r="R2495" s="204"/>
      <c r="S2495" s="204"/>
      <c r="T2495" s="204"/>
      <c r="U2495" s="204"/>
      <c r="V2495" s="204"/>
      <c r="W2495" s="204"/>
      <c r="X2495" s="204"/>
      <c r="Y2495" s="204"/>
      <c r="Z2495" s="204"/>
      <c r="AA2495" s="204"/>
      <c r="AB2495" s="204"/>
      <c r="AC2495" s="204"/>
      <c r="AD2495" s="204"/>
      <c r="AE2495" s="204"/>
      <c r="AF2495" s="204"/>
      <c r="AG2495" s="204"/>
      <c r="AH2495" s="204"/>
      <c r="AI2495" s="209"/>
      <c r="AJ2495" s="209"/>
      <c r="AK2495" s="204"/>
      <c r="AL2495" s="204"/>
      <c r="AM2495" s="204"/>
    </row>
    <row r="2496">
      <c r="A2496" s="204"/>
      <c r="B2496" s="209"/>
      <c r="C2496" s="204"/>
      <c r="D2496" s="210"/>
      <c r="E2496" s="211"/>
      <c r="F2496" s="211"/>
      <c r="G2496" s="212"/>
      <c r="H2496" s="212"/>
      <c r="I2496" s="204"/>
      <c r="J2496" s="204"/>
      <c r="K2496" s="204"/>
      <c r="L2496" s="204"/>
      <c r="M2496" s="204"/>
      <c r="N2496" s="204"/>
      <c r="O2496" s="204"/>
      <c r="P2496" s="204"/>
      <c r="Q2496" s="204"/>
      <c r="R2496" s="204"/>
      <c r="S2496" s="204"/>
      <c r="T2496" s="204"/>
      <c r="U2496" s="204"/>
      <c r="V2496" s="204"/>
      <c r="W2496" s="204"/>
      <c r="X2496" s="204"/>
      <c r="Y2496" s="204"/>
      <c r="Z2496" s="204"/>
      <c r="AA2496" s="204"/>
      <c r="AB2496" s="204"/>
      <c r="AC2496" s="204"/>
      <c r="AD2496" s="204"/>
      <c r="AE2496" s="204"/>
      <c r="AF2496" s="204"/>
      <c r="AG2496" s="204"/>
      <c r="AH2496" s="204"/>
      <c r="AI2496" s="209"/>
      <c r="AJ2496" s="209"/>
      <c r="AK2496" s="204"/>
      <c r="AL2496" s="204"/>
      <c r="AM2496" s="204"/>
    </row>
    <row r="2497">
      <c r="A2497" s="204"/>
      <c r="B2497" s="209"/>
      <c r="C2497" s="204"/>
      <c r="D2497" s="210"/>
      <c r="E2497" s="211"/>
      <c r="F2497" s="211"/>
      <c r="G2497" s="212"/>
      <c r="H2497" s="212"/>
      <c r="I2497" s="204"/>
      <c r="J2497" s="204"/>
      <c r="K2497" s="204"/>
      <c r="L2497" s="204"/>
      <c r="M2497" s="204"/>
      <c r="N2497" s="204"/>
      <c r="O2497" s="204"/>
      <c r="P2497" s="204"/>
      <c r="Q2497" s="204"/>
      <c r="R2497" s="204"/>
      <c r="S2497" s="204"/>
      <c r="T2497" s="204"/>
      <c r="U2497" s="204"/>
      <c r="V2497" s="204"/>
      <c r="W2497" s="204"/>
      <c r="X2497" s="204"/>
      <c r="Y2497" s="204"/>
      <c r="Z2497" s="204"/>
      <c r="AA2497" s="204"/>
      <c r="AB2497" s="204"/>
      <c r="AC2497" s="204"/>
      <c r="AD2497" s="204"/>
      <c r="AE2497" s="204"/>
      <c r="AF2497" s="204"/>
      <c r="AG2497" s="204"/>
      <c r="AH2497" s="204"/>
      <c r="AI2497" s="209"/>
      <c r="AJ2497" s="209"/>
      <c r="AK2497" s="204"/>
      <c r="AL2497" s="204"/>
      <c r="AM2497" s="204"/>
    </row>
    <row r="2498">
      <c r="A2498" s="204"/>
      <c r="B2498" s="209"/>
      <c r="C2498" s="204"/>
      <c r="D2498" s="210"/>
      <c r="E2498" s="211"/>
      <c r="F2498" s="211"/>
      <c r="G2498" s="212"/>
      <c r="H2498" s="212"/>
      <c r="I2498" s="204"/>
      <c r="J2498" s="204"/>
      <c r="K2498" s="204"/>
      <c r="L2498" s="204"/>
      <c r="M2498" s="204"/>
      <c r="N2498" s="204"/>
      <c r="O2498" s="204"/>
      <c r="P2498" s="204"/>
      <c r="Q2498" s="204"/>
      <c r="R2498" s="204"/>
      <c r="S2498" s="204"/>
      <c r="T2498" s="204"/>
      <c r="U2498" s="204"/>
      <c r="V2498" s="204"/>
      <c r="W2498" s="204"/>
      <c r="X2498" s="204"/>
      <c r="Y2498" s="204"/>
      <c r="Z2498" s="204"/>
      <c r="AA2498" s="204"/>
      <c r="AB2498" s="204"/>
      <c r="AC2498" s="204"/>
      <c r="AD2498" s="204"/>
      <c r="AE2498" s="204"/>
      <c r="AF2498" s="204"/>
      <c r="AG2498" s="204"/>
      <c r="AH2498" s="204"/>
      <c r="AI2498" s="209"/>
      <c r="AJ2498" s="209"/>
      <c r="AK2498" s="204"/>
      <c r="AL2498" s="204"/>
      <c r="AM2498" s="204"/>
    </row>
    <row r="2499">
      <c r="A2499" s="204"/>
      <c r="B2499" s="209"/>
      <c r="C2499" s="204"/>
      <c r="D2499" s="210"/>
      <c r="E2499" s="211"/>
      <c r="F2499" s="211"/>
      <c r="G2499" s="212"/>
      <c r="H2499" s="212"/>
      <c r="I2499" s="204"/>
      <c r="J2499" s="204"/>
      <c r="K2499" s="204"/>
      <c r="L2499" s="204"/>
      <c r="M2499" s="204"/>
      <c r="N2499" s="204"/>
      <c r="O2499" s="204"/>
      <c r="P2499" s="204"/>
      <c r="Q2499" s="204"/>
      <c r="R2499" s="204"/>
      <c r="S2499" s="204"/>
      <c r="T2499" s="204"/>
      <c r="U2499" s="204"/>
      <c r="V2499" s="204"/>
      <c r="W2499" s="204"/>
      <c r="X2499" s="204"/>
      <c r="Y2499" s="204"/>
      <c r="Z2499" s="204"/>
      <c r="AA2499" s="204"/>
      <c r="AB2499" s="204"/>
      <c r="AC2499" s="204"/>
      <c r="AD2499" s="204"/>
      <c r="AE2499" s="204"/>
      <c r="AF2499" s="204"/>
      <c r="AG2499" s="204"/>
      <c r="AH2499" s="204"/>
      <c r="AI2499" s="209"/>
      <c r="AJ2499" s="209"/>
      <c r="AK2499" s="204"/>
      <c r="AL2499" s="204"/>
      <c r="AM2499" s="204"/>
    </row>
    <row r="2500">
      <c r="A2500" s="204"/>
      <c r="B2500" s="209"/>
      <c r="C2500" s="204"/>
      <c r="D2500" s="210"/>
      <c r="E2500" s="211"/>
      <c r="F2500" s="211"/>
      <c r="G2500" s="212"/>
      <c r="H2500" s="212"/>
      <c r="I2500" s="204"/>
      <c r="J2500" s="204"/>
      <c r="K2500" s="204"/>
      <c r="L2500" s="204"/>
      <c r="M2500" s="204"/>
      <c r="N2500" s="204"/>
      <c r="O2500" s="204"/>
      <c r="P2500" s="204"/>
      <c r="Q2500" s="204"/>
      <c r="R2500" s="204"/>
      <c r="S2500" s="204"/>
      <c r="T2500" s="204"/>
      <c r="U2500" s="204"/>
      <c r="V2500" s="204"/>
      <c r="W2500" s="204"/>
      <c r="X2500" s="204"/>
      <c r="Y2500" s="204"/>
      <c r="Z2500" s="204"/>
      <c r="AA2500" s="204"/>
      <c r="AB2500" s="204"/>
      <c r="AC2500" s="204"/>
      <c r="AD2500" s="204"/>
      <c r="AE2500" s="204"/>
      <c r="AF2500" s="204"/>
      <c r="AG2500" s="204"/>
      <c r="AH2500" s="204"/>
      <c r="AI2500" s="209"/>
      <c r="AJ2500" s="209"/>
      <c r="AK2500" s="204"/>
      <c r="AL2500" s="204"/>
      <c r="AM2500" s="204"/>
    </row>
    <row r="2501">
      <c r="A2501" s="204"/>
      <c r="B2501" s="209"/>
      <c r="C2501" s="204"/>
      <c r="D2501" s="210"/>
      <c r="E2501" s="211"/>
      <c r="F2501" s="211"/>
      <c r="G2501" s="212"/>
      <c r="H2501" s="212"/>
      <c r="I2501" s="204"/>
      <c r="J2501" s="204"/>
      <c r="K2501" s="204"/>
      <c r="L2501" s="204"/>
      <c r="M2501" s="204"/>
      <c r="N2501" s="204"/>
      <c r="O2501" s="204"/>
      <c r="P2501" s="204"/>
      <c r="Q2501" s="204"/>
      <c r="R2501" s="204"/>
      <c r="S2501" s="204"/>
      <c r="T2501" s="204"/>
      <c r="U2501" s="204"/>
      <c r="V2501" s="204"/>
      <c r="W2501" s="204"/>
      <c r="X2501" s="204"/>
      <c r="Y2501" s="204"/>
      <c r="Z2501" s="204"/>
      <c r="AA2501" s="204"/>
      <c r="AB2501" s="204"/>
      <c r="AC2501" s="204"/>
      <c r="AD2501" s="204"/>
      <c r="AE2501" s="204"/>
      <c r="AF2501" s="204"/>
      <c r="AG2501" s="204"/>
      <c r="AH2501" s="204"/>
      <c r="AI2501" s="209"/>
      <c r="AJ2501" s="209"/>
      <c r="AK2501" s="204"/>
      <c r="AL2501" s="204"/>
      <c r="AM2501" s="204"/>
    </row>
    <row r="2502">
      <c r="A2502" s="204"/>
      <c r="B2502" s="209"/>
      <c r="C2502" s="204"/>
      <c r="D2502" s="210"/>
      <c r="E2502" s="211"/>
      <c r="F2502" s="211"/>
      <c r="G2502" s="212"/>
      <c r="H2502" s="212"/>
      <c r="I2502" s="204"/>
      <c r="J2502" s="204"/>
      <c r="K2502" s="204"/>
      <c r="L2502" s="204"/>
      <c r="M2502" s="204"/>
      <c r="N2502" s="204"/>
      <c r="O2502" s="204"/>
      <c r="P2502" s="204"/>
      <c r="Q2502" s="204"/>
      <c r="R2502" s="204"/>
      <c r="S2502" s="204"/>
      <c r="T2502" s="204"/>
      <c r="U2502" s="204"/>
      <c r="V2502" s="204"/>
      <c r="W2502" s="204"/>
      <c r="X2502" s="204"/>
      <c r="Y2502" s="204"/>
      <c r="Z2502" s="204"/>
      <c r="AA2502" s="204"/>
      <c r="AB2502" s="204"/>
      <c r="AC2502" s="204"/>
      <c r="AD2502" s="204"/>
      <c r="AE2502" s="204"/>
      <c r="AF2502" s="204"/>
      <c r="AG2502" s="204"/>
      <c r="AH2502" s="204"/>
      <c r="AI2502" s="209"/>
      <c r="AJ2502" s="209"/>
      <c r="AK2502" s="204"/>
      <c r="AL2502" s="204"/>
      <c r="AM2502" s="204"/>
    </row>
    <row r="2503">
      <c r="A2503" s="204"/>
      <c r="B2503" s="209"/>
      <c r="C2503" s="204"/>
      <c r="D2503" s="210"/>
      <c r="E2503" s="211"/>
      <c r="F2503" s="211"/>
      <c r="G2503" s="212"/>
      <c r="H2503" s="212"/>
      <c r="I2503" s="204"/>
      <c r="J2503" s="204"/>
      <c r="K2503" s="204"/>
      <c r="L2503" s="204"/>
      <c r="M2503" s="204"/>
      <c r="N2503" s="204"/>
      <c r="O2503" s="204"/>
      <c r="P2503" s="204"/>
      <c r="Q2503" s="204"/>
      <c r="R2503" s="204"/>
      <c r="S2503" s="204"/>
      <c r="T2503" s="204"/>
      <c r="U2503" s="204"/>
      <c r="V2503" s="204"/>
      <c r="W2503" s="204"/>
      <c r="X2503" s="204"/>
      <c r="Y2503" s="204"/>
      <c r="Z2503" s="204"/>
      <c r="AA2503" s="204"/>
      <c r="AB2503" s="204"/>
      <c r="AC2503" s="204"/>
      <c r="AD2503" s="204"/>
      <c r="AE2503" s="204"/>
      <c r="AF2503" s="204"/>
      <c r="AG2503" s="204"/>
      <c r="AH2503" s="204"/>
      <c r="AI2503" s="209"/>
      <c r="AJ2503" s="209"/>
      <c r="AK2503" s="204"/>
      <c r="AL2503" s="204"/>
      <c r="AM2503" s="204"/>
    </row>
    <row r="2504">
      <c r="A2504" s="204"/>
      <c r="B2504" s="209"/>
      <c r="C2504" s="204"/>
      <c r="D2504" s="210"/>
      <c r="E2504" s="211"/>
      <c r="F2504" s="211"/>
      <c r="G2504" s="212"/>
      <c r="H2504" s="212"/>
      <c r="I2504" s="204"/>
      <c r="J2504" s="204"/>
      <c r="K2504" s="204"/>
      <c r="L2504" s="204"/>
      <c r="M2504" s="204"/>
      <c r="N2504" s="204"/>
      <c r="O2504" s="204"/>
      <c r="P2504" s="204"/>
      <c r="Q2504" s="204"/>
      <c r="R2504" s="204"/>
      <c r="S2504" s="204"/>
      <c r="T2504" s="204"/>
      <c r="U2504" s="204"/>
      <c r="V2504" s="204"/>
      <c r="W2504" s="204"/>
      <c r="X2504" s="204"/>
      <c r="Y2504" s="204"/>
      <c r="Z2504" s="204"/>
      <c r="AA2504" s="204"/>
      <c r="AB2504" s="204"/>
      <c r="AC2504" s="204"/>
      <c r="AD2504" s="204"/>
      <c r="AE2504" s="204"/>
      <c r="AF2504" s="204"/>
      <c r="AG2504" s="204"/>
      <c r="AH2504" s="204"/>
      <c r="AI2504" s="209"/>
      <c r="AJ2504" s="209"/>
      <c r="AK2504" s="204"/>
      <c r="AL2504" s="204"/>
      <c r="AM2504" s="204"/>
    </row>
    <row r="2505">
      <c r="A2505" s="204"/>
      <c r="B2505" s="209"/>
      <c r="C2505" s="204"/>
      <c r="D2505" s="210"/>
      <c r="E2505" s="211"/>
      <c r="F2505" s="211"/>
      <c r="G2505" s="212"/>
      <c r="H2505" s="212"/>
      <c r="I2505" s="204"/>
      <c r="J2505" s="204"/>
      <c r="K2505" s="204"/>
      <c r="L2505" s="204"/>
      <c r="M2505" s="204"/>
      <c r="N2505" s="204"/>
      <c r="O2505" s="204"/>
      <c r="P2505" s="204"/>
      <c r="Q2505" s="204"/>
      <c r="R2505" s="204"/>
      <c r="S2505" s="204"/>
      <c r="T2505" s="204"/>
      <c r="U2505" s="204"/>
      <c r="V2505" s="204"/>
      <c r="W2505" s="204"/>
      <c r="X2505" s="204"/>
      <c r="Y2505" s="204"/>
      <c r="Z2505" s="204"/>
      <c r="AA2505" s="204"/>
      <c r="AB2505" s="204"/>
      <c r="AC2505" s="204"/>
      <c r="AD2505" s="204"/>
      <c r="AE2505" s="204"/>
      <c r="AF2505" s="204"/>
      <c r="AG2505" s="204"/>
      <c r="AH2505" s="204"/>
      <c r="AI2505" s="209"/>
      <c r="AJ2505" s="209"/>
      <c r="AK2505" s="204"/>
      <c r="AL2505" s="204"/>
      <c r="AM2505" s="204"/>
    </row>
    <row r="2506">
      <c r="A2506" s="204"/>
      <c r="B2506" s="209"/>
      <c r="C2506" s="204"/>
      <c r="D2506" s="210"/>
      <c r="E2506" s="211"/>
      <c r="F2506" s="211"/>
      <c r="G2506" s="212"/>
      <c r="H2506" s="212"/>
      <c r="I2506" s="204"/>
      <c r="J2506" s="204"/>
      <c r="K2506" s="204"/>
      <c r="L2506" s="204"/>
      <c r="M2506" s="204"/>
      <c r="N2506" s="204"/>
      <c r="O2506" s="204"/>
      <c r="P2506" s="204"/>
      <c r="Q2506" s="204"/>
      <c r="R2506" s="204"/>
      <c r="S2506" s="204"/>
      <c r="T2506" s="204"/>
      <c r="U2506" s="204"/>
      <c r="V2506" s="204"/>
      <c r="W2506" s="204"/>
      <c r="X2506" s="204"/>
      <c r="Y2506" s="204"/>
      <c r="Z2506" s="204"/>
      <c r="AA2506" s="204"/>
      <c r="AB2506" s="204"/>
      <c r="AC2506" s="204"/>
      <c r="AD2506" s="204"/>
      <c r="AE2506" s="204"/>
      <c r="AF2506" s="204"/>
      <c r="AG2506" s="204"/>
      <c r="AH2506" s="204"/>
      <c r="AI2506" s="209"/>
      <c r="AJ2506" s="209"/>
      <c r="AK2506" s="204"/>
      <c r="AL2506" s="204"/>
      <c r="AM2506" s="204"/>
    </row>
    <row r="2507">
      <c r="A2507" s="204"/>
      <c r="B2507" s="209"/>
      <c r="C2507" s="204"/>
      <c r="D2507" s="210"/>
      <c r="E2507" s="211"/>
      <c r="F2507" s="211"/>
      <c r="G2507" s="212"/>
      <c r="H2507" s="212"/>
      <c r="I2507" s="204"/>
      <c r="J2507" s="204"/>
      <c r="K2507" s="204"/>
      <c r="L2507" s="204"/>
      <c r="M2507" s="204"/>
      <c r="N2507" s="204"/>
      <c r="O2507" s="204"/>
      <c r="P2507" s="204"/>
      <c r="Q2507" s="204"/>
      <c r="R2507" s="204"/>
      <c r="S2507" s="204"/>
      <c r="T2507" s="204"/>
      <c r="U2507" s="204"/>
      <c r="V2507" s="204"/>
      <c r="W2507" s="204"/>
      <c r="X2507" s="204"/>
      <c r="Y2507" s="204"/>
      <c r="Z2507" s="204"/>
      <c r="AA2507" s="204"/>
      <c r="AB2507" s="204"/>
      <c r="AC2507" s="204"/>
      <c r="AD2507" s="204"/>
      <c r="AE2507" s="204"/>
      <c r="AF2507" s="204"/>
      <c r="AG2507" s="204"/>
      <c r="AH2507" s="204"/>
      <c r="AI2507" s="209"/>
      <c r="AJ2507" s="209"/>
      <c r="AK2507" s="204"/>
      <c r="AL2507" s="204"/>
      <c r="AM2507" s="204"/>
    </row>
    <row r="2508">
      <c r="A2508" s="204"/>
      <c r="B2508" s="209"/>
      <c r="C2508" s="204"/>
      <c r="D2508" s="210"/>
      <c r="E2508" s="211"/>
      <c r="F2508" s="211"/>
      <c r="G2508" s="212"/>
      <c r="H2508" s="212"/>
      <c r="I2508" s="204"/>
      <c r="J2508" s="204"/>
      <c r="K2508" s="204"/>
      <c r="L2508" s="204"/>
      <c r="M2508" s="204"/>
      <c r="N2508" s="204"/>
      <c r="O2508" s="204"/>
      <c r="P2508" s="204"/>
      <c r="Q2508" s="204"/>
      <c r="R2508" s="204"/>
      <c r="S2508" s="204"/>
      <c r="T2508" s="204"/>
      <c r="U2508" s="204"/>
      <c r="V2508" s="204"/>
      <c r="W2508" s="204"/>
      <c r="X2508" s="204"/>
      <c r="Y2508" s="204"/>
      <c r="Z2508" s="204"/>
      <c r="AA2508" s="204"/>
      <c r="AB2508" s="204"/>
      <c r="AC2508" s="204"/>
      <c r="AD2508" s="204"/>
      <c r="AE2508" s="204"/>
      <c r="AF2508" s="204"/>
      <c r="AG2508" s="204"/>
      <c r="AH2508" s="204"/>
      <c r="AI2508" s="209"/>
      <c r="AJ2508" s="209"/>
      <c r="AK2508" s="204"/>
      <c r="AL2508" s="204"/>
      <c r="AM2508" s="204"/>
    </row>
    <row r="2509">
      <c r="A2509" s="204"/>
      <c r="B2509" s="209"/>
      <c r="C2509" s="204"/>
      <c r="D2509" s="210"/>
      <c r="E2509" s="211"/>
      <c r="F2509" s="211"/>
      <c r="G2509" s="212"/>
      <c r="H2509" s="212"/>
      <c r="I2509" s="204"/>
      <c r="J2509" s="204"/>
      <c r="K2509" s="204"/>
      <c r="L2509" s="204"/>
      <c r="M2509" s="204"/>
      <c r="N2509" s="204"/>
      <c r="O2509" s="204"/>
      <c r="P2509" s="204"/>
      <c r="Q2509" s="204"/>
      <c r="R2509" s="204"/>
      <c r="S2509" s="204"/>
      <c r="T2509" s="204"/>
      <c r="U2509" s="204"/>
      <c r="V2509" s="204"/>
      <c r="W2509" s="204"/>
      <c r="X2509" s="204"/>
      <c r="Y2509" s="204"/>
      <c r="Z2509" s="204"/>
      <c r="AA2509" s="204"/>
      <c r="AB2509" s="204"/>
      <c r="AC2509" s="204"/>
      <c r="AD2509" s="204"/>
      <c r="AE2509" s="204"/>
      <c r="AF2509" s="204"/>
      <c r="AG2509" s="204"/>
      <c r="AH2509" s="204"/>
      <c r="AI2509" s="209"/>
      <c r="AJ2509" s="209"/>
      <c r="AK2509" s="204"/>
      <c r="AL2509" s="204"/>
      <c r="AM2509" s="204"/>
    </row>
    <row r="2510">
      <c r="A2510" s="204"/>
      <c r="B2510" s="209"/>
      <c r="C2510" s="204"/>
      <c r="D2510" s="210"/>
      <c r="E2510" s="211"/>
      <c r="F2510" s="211"/>
      <c r="G2510" s="212"/>
      <c r="H2510" s="212"/>
      <c r="I2510" s="204"/>
      <c r="J2510" s="204"/>
      <c r="K2510" s="204"/>
      <c r="L2510" s="204"/>
      <c r="M2510" s="204"/>
      <c r="N2510" s="204"/>
      <c r="O2510" s="204"/>
      <c r="P2510" s="204"/>
      <c r="Q2510" s="204"/>
      <c r="R2510" s="204"/>
      <c r="S2510" s="204"/>
      <c r="T2510" s="204"/>
      <c r="U2510" s="204"/>
      <c r="V2510" s="204"/>
      <c r="W2510" s="204"/>
      <c r="X2510" s="204"/>
      <c r="Y2510" s="204"/>
      <c r="Z2510" s="204"/>
      <c r="AA2510" s="204"/>
      <c r="AB2510" s="204"/>
      <c r="AC2510" s="204"/>
      <c r="AD2510" s="204"/>
      <c r="AE2510" s="204"/>
      <c r="AF2510" s="204"/>
      <c r="AG2510" s="204"/>
      <c r="AH2510" s="204"/>
      <c r="AI2510" s="209"/>
      <c r="AJ2510" s="209"/>
      <c r="AK2510" s="204"/>
      <c r="AL2510" s="204"/>
      <c r="AM2510" s="204"/>
    </row>
    <row r="2511">
      <c r="A2511" s="204"/>
      <c r="B2511" s="209"/>
      <c r="C2511" s="204"/>
      <c r="D2511" s="210"/>
      <c r="E2511" s="211"/>
      <c r="F2511" s="211"/>
      <c r="G2511" s="212"/>
      <c r="H2511" s="212"/>
      <c r="I2511" s="204"/>
      <c r="J2511" s="204"/>
      <c r="K2511" s="204"/>
      <c r="L2511" s="204"/>
      <c r="M2511" s="204"/>
      <c r="N2511" s="204"/>
      <c r="O2511" s="204"/>
      <c r="P2511" s="204"/>
      <c r="Q2511" s="204"/>
      <c r="R2511" s="204"/>
      <c r="S2511" s="204"/>
      <c r="T2511" s="204"/>
      <c r="U2511" s="204"/>
      <c r="V2511" s="204"/>
      <c r="W2511" s="204"/>
      <c r="X2511" s="204"/>
      <c r="Y2511" s="204"/>
      <c r="Z2511" s="204"/>
      <c r="AA2511" s="204"/>
      <c r="AB2511" s="204"/>
      <c r="AC2511" s="204"/>
      <c r="AD2511" s="204"/>
      <c r="AE2511" s="204"/>
      <c r="AF2511" s="204"/>
      <c r="AG2511" s="204"/>
      <c r="AH2511" s="204"/>
      <c r="AI2511" s="209"/>
      <c r="AJ2511" s="209"/>
      <c r="AK2511" s="204"/>
      <c r="AL2511" s="204"/>
      <c r="AM2511" s="204"/>
    </row>
    <row r="2512">
      <c r="A2512" s="204"/>
      <c r="B2512" s="209"/>
      <c r="C2512" s="204"/>
      <c r="D2512" s="210"/>
      <c r="E2512" s="211"/>
      <c r="F2512" s="211"/>
      <c r="G2512" s="212"/>
      <c r="H2512" s="212"/>
      <c r="I2512" s="204"/>
      <c r="J2512" s="204"/>
      <c r="K2512" s="204"/>
      <c r="L2512" s="204"/>
      <c r="M2512" s="204"/>
      <c r="N2512" s="204"/>
      <c r="O2512" s="204"/>
      <c r="P2512" s="204"/>
      <c r="Q2512" s="204"/>
      <c r="R2512" s="204"/>
      <c r="S2512" s="204"/>
      <c r="T2512" s="204"/>
      <c r="U2512" s="204"/>
      <c r="V2512" s="204"/>
      <c r="W2512" s="204"/>
      <c r="X2512" s="204"/>
      <c r="Y2512" s="204"/>
      <c r="Z2512" s="204"/>
      <c r="AA2512" s="204"/>
      <c r="AB2512" s="204"/>
      <c r="AC2512" s="204"/>
      <c r="AD2512" s="204"/>
      <c r="AE2512" s="204"/>
      <c r="AF2512" s="204"/>
      <c r="AG2512" s="204"/>
      <c r="AH2512" s="204"/>
      <c r="AI2512" s="209"/>
      <c r="AJ2512" s="209"/>
      <c r="AK2512" s="204"/>
      <c r="AL2512" s="204"/>
      <c r="AM2512" s="204"/>
    </row>
    <row r="2513">
      <c r="A2513" s="204"/>
      <c r="B2513" s="209"/>
      <c r="C2513" s="204"/>
      <c r="D2513" s="210"/>
      <c r="E2513" s="211"/>
      <c r="F2513" s="211"/>
      <c r="G2513" s="212"/>
      <c r="H2513" s="212"/>
      <c r="I2513" s="204"/>
      <c r="J2513" s="204"/>
      <c r="K2513" s="204"/>
      <c r="L2513" s="204"/>
      <c r="M2513" s="204"/>
      <c r="N2513" s="204"/>
      <c r="O2513" s="204"/>
      <c r="P2513" s="204"/>
      <c r="Q2513" s="204"/>
      <c r="R2513" s="204"/>
      <c r="S2513" s="204"/>
      <c r="T2513" s="204"/>
      <c r="U2513" s="204"/>
      <c r="V2513" s="204"/>
      <c r="W2513" s="204"/>
      <c r="X2513" s="204"/>
      <c r="Y2513" s="204"/>
      <c r="Z2513" s="204"/>
      <c r="AA2513" s="204"/>
      <c r="AB2513" s="204"/>
      <c r="AC2513" s="204"/>
      <c r="AD2513" s="204"/>
      <c r="AE2513" s="204"/>
      <c r="AF2513" s="204"/>
      <c r="AG2513" s="204"/>
      <c r="AH2513" s="204"/>
      <c r="AI2513" s="209"/>
      <c r="AJ2513" s="209"/>
      <c r="AK2513" s="204"/>
      <c r="AL2513" s="204"/>
      <c r="AM2513" s="204"/>
    </row>
    <row r="2514">
      <c r="A2514" s="204"/>
      <c r="B2514" s="209"/>
      <c r="C2514" s="204"/>
      <c r="D2514" s="210"/>
      <c r="E2514" s="211"/>
      <c r="F2514" s="211"/>
      <c r="G2514" s="212"/>
      <c r="H2514" s="212"/>
      <c r="I2514" s="204"/>
      <c r="J2514" s="204"/>
      <c r="K2514" s="204"/>
      <c r="L2514" s="204"/>
      <c r="M2514" s="204"/>
      <c r="N2514" s="204"/>
      <c r="O2514" s="204"/>
      <c r="P2514" s="204"/>
      <c r="Q2514" s="204"/>
      <c r="R2514" s="204"/>
      <c r="S2514" s="204"/>
      <c r="T2514" s="204"/>
      <c r="U2514" s="204"/>
      <c r="V2514" s="204"/>
      <c r="W2514" s="204"/>
      <c r="X2514" s="204"/>
      <c r="Y2514" s="204"/>
      <c r="Z2514" s="204"/>
      <c r="AA2514" s="204"/>
      <c r="AB2514" s="204"/>
      <c r="AC2514" s="204"/>
      <c r="AD2514" s="204"/>
      <c r="AE2514" s="204"/>
      <c r="AF2514" s="204"/>
      <c r="AG2514" s="204"/>
      <c r="AH2514" s="204"/>
      <c r="AI2514" s="209"/>
      <c r="AJ2514" s="209"/>
      <c r="AK2514" s="204"/>
      <c r="AL2514" s="204"/>
      <c r="AM2514" s="204"/>
    </row>
    <row r="2515">
      <c r="A2515" s="204"/>
      <c r="B2515" s="209"/>
      <c r="C2515" s="204"/>
      <c r="D2515" s="210"/>
      <c r="E2515" s="211"/>
      <c r="F2515" s="211"/>
      <c r="G2515" s="212"/>
      <c r="H2515" s="212"/>
      <c r="I2515" s="204"/>
      <c r="J2515" s="204"/>
      <c r="K2515" s="204"/>
      <c r="L2515" s="204"/>
      <c r="M2515" s="204"/>
      <c r="N2515" s="204"/>
      <c r="O2515" s="204"/>
      <c r="P2515" s="204"/>
      <c r="Q2515" s="204"/>
      <c r="R2515" s="204"/>
      <c r="S2515" s="204"/>
      <c r="T2515" s="204"/>
      <c r="U2515" s="204"/>
      <c r="V2515" s="204"/>
      <c r="W2515" s="204"/>
      <c r="X2515" s="204"/>
      <c r="Y2515" s="204"/>
      <c r="Z2515" s="204"/>
      <c r="AA2515" s="204"/>
      <c r="AB2515" s="204"/>
      <c r="AC2515" s="204"/>
      <c r="AD2515" s="204"/>
      <c r="AE2515" s="204"/>
      <c r="AF2515" s="204"/>
      <c r="AG2515" s="204"/>
      <c r="AH2515" s="204"/>
      <c r="AI2515" s="209"/>
      <c r="AJ2515" s="209"/>
      <c r="AK2515" s="204"/>
      <c r="AL2515" s="204"/>
      <c r="AM2515" s="204"/>
    </row>
    <row r="2516">
      <c r="A2516" s="204"/>
      <c r="B2516" s="209"/>
      <c r="C2516" s="204"/>
      <c r="D2516" s="210"/>
      <c r="E2516" s="211"/>
      <c r="F2516" s="211"/>
      <c r="G2516" s="212"/>
      <c r="H2516" s="212"/>
      <c r="I2516" s="204"/>
      <c r="J2516" s="204"/>
      <c r="K2516" s="204"/>
      <c r="L2516" s="204"/>
      <c r="M2516" s="204"/>
      <c r="N2516" s="204"/>
      <c r="O2516" s="204"/>
      <c r="P2516" s="204"/>
      <c r="Q2516" s="204"/>
      <c r="R2516" s="204"/>
      <c r="S2516" s="204"/>
      <c r="T2516" s="204"/>
      <c r="U2516" s="204"/>
      <c r="V2516" s="204"/>
      <c r="W2516" s="204"/>
      <c r="X2516" s="204"/>
      <c r="Y2516" s="204"/>
      <c r="Z2516" s="204"/>
      <c r="AA2516" s="204"/>
      <c r="AB2516" s="204"/>
      <c r="AC2516" s="204"/>
      <c r="AD2516" s="204"/>
      <c r="AE2516" s="204"/>
      <c r="AF2516" s="204"/>
      <c r="AG2516" s="204"/>
      <c r="AH2516" s="204"/>
      <c r="AI2516" s="209"/>
      <c r="AJ2516" s="209"/>
      <c r="AK2516" s="204"/>
      <c r="AL2516" s="204"/>
      <c r="AM2516" s="204"/>
    </row>
    <row r="2517">
      <c r="A2517" s="204"/>
      <c r="B2517" s="209"/>
      <c r="C2517" s="204"/>
      <c r="D2517" s="210"/>
      <c r="E2517" s="211"/>
      <c r="F2517" s="211"/>
      <c r="G2517" s="212"/>
      <c r="H2517" s="212"/>
      <c r="I2517" s="204"/>
      <c r="J2517" s="204"/>
      <c r="K2517" s="204"/>
      <c r="L2517" s="204"/>
      <c r="M2517" s="204"/>
      <c r="N2517" s="204"/>
      <c r="O2517" s="204"/>
      <c r="P2517" s="204"/>
      <c r="Q2517" s="204"/>
      <c r="R2517" s="204"/>
      <c r="S2517" s="204"/>
      <c r="T2517" s="204"/>
      <c r="U2517" s="204"/>
      <c r="V2517" s="204"/>
      <c r="W2517" s="204"/>
      <c r="X2517" s="204"/>
      <c r="Y2517" s="204"/>
      <c r="Z2517" s="204"/>
      <c r="AA2517" s="204"/>
      <c r="AB2517" s="204"/>
      <c r="AC2517" s="204"/>
      <c r="AD2517" s="204"/>
      <c r="AE2517" s="204"/>
      <c r="AF2517" s="204"/>
      <c r="AG2517" s="204"/>
      <c r="AH2517" s="204"/>
      <c r="AI2517" s="209"/>
      <c r="AJ2517" s="209"/>
      <c r="AK2517" s="204"/>
      <c r="AL2517" s="204"/>
      <c r="AM2517" s="204"/>
    </row>
    <row r="2518">
      <c r="A2518" s="204"/>
      <c r="B2518" s="209"/>
      <c r="C2518" s="204"/>
      <c r="D2518" s="210"/>
      <c r="E2518" s="211"/>
      <c r="F2518" s="211"/>
      <c r="G2518" s="212"/>
      <c r="H2518" s="212"/>
      <c r="I2518" s="204"/>
      <c r="J2518" s="204"/>
      <c r="K2518" s="204"/>
      <c r="L2518" s="204"/>
      <c r="M2518" s="204"/>
      <c r="N2518" s="204"/>
      <c r="O2518" s="204"/>
      <c r="P2518" s="204"/>
      <c r="Q2518" s="204"/>
      <c r="R2518" s="204"/>
      <c r="S2518" s="204"/>
      <c r="T2518" s="204"/>
      <c r="U2518" s="204"/>
      <c r="V2518" s="204"/>
      <c r="W2518" s="204"/>
      <c r="X2518" s="204"/>
      <c r="Y2518" s="204"/>
      <c r="Z2518" s="204"/>
      <c r="AA2518" s="204"/>
      <c r="AB2518" s="204"/>
      <c r="AC2518" s="204"/>
      <c r="AD2518" s="204"/>
      <c r="AE2518" s="204"/>
      <c r="AF2518" s="204"/>
      <c r="AG2518" s="204"/>
      <c r="AH2518" s="204"/>
      <c r="AI2518" s="209"/>
      <c r="AJ2518" s="209"/>
      <c r="AK2518" s="204"/>
      <c r="AL2518" s="204"/>
      <c r="AM2518" s="204"/>
    </row>
    <row r="2519">
      <c r="A2519" s="204"/>
      <c r="B2519" s="209"/>
      <c r="C2519" s="204"/>
      <c r="D2519" s="210"/>
      <c r="E2519" s="211"/>
      <c r="F2519" s="211"/>
      <c r="G2519" s="212"/>
      <c r="H2519" s="212"/>
      <c r="I2519" s="204"/>
      <c r="J2519" s="204"/>
      <c r="K2519" s="204"/>
      <c r="L2519" s="204"/>
      <c r="M2519" s="204"/>
      <c r="N2519" s="204"/>
      <c r="O2519" s="204"/>
      <c r="P2519" s="204"/>
      <c r="Q2519" s="204"/>
      <c r="R2519" s="204"/>
      <c r="S2519" s="204"/>
      <c r="T2519" s="204"/>
      <c r="U2519" s="204"/>
      <c r="V2519" s="204"/>
      <c r="W2519" s="204"/>
      <c r="X2519" s="204"/>
      <c r="Y2519" s="204"/>
      <c r="Z2519" s="204"/>
      <c r="AA2519" s="204"/>
      <c r="AB2519" s="204"/>
      <c r="AC2519" s="204"/>
      <c r="AD2519" s="204"/>
      <c r="AE2519" s="204"/>
      <c r="AF2519" s="204"/>
      <c r="AG2519" s="204"/>
      <c r="AH2519" s="204"/>
      <c r="AI2519" s="209"/>
      <c r="AJ2519" s="209"/>
      <c r="AK2519" s="204"/>
      <c r="AL2519" s="204"/>
      <c r="AM2519" s="204"/>
    </row>
    <row r="2520">
      <c r="A2520" s="204"/>
      <c r="B2520" s="209"/>
      <c r="C2520" s="204"/>
      <c r="D2520" s="210"/>
      <c r="E2520" s="211"/>
      <c r="F2520" s="211"/>
      <c r="G2520" s="212"/>
      <c r="H2520" s="212"/>
      <c r="I2520" s="204"/>
      <c r="J2520" s="204"/>
      <c r="K2520" s="204"/>
      <c r="L2520" s="204"/>
      <c r="M2520" s="204"/>
      <c r="N2520" s="204"/>
      <c r="O2520" s="204"/>
      <c r="P2520" s="204"/>
      <c r="Q2520" s="204"/>
      <c r="R2520" s="204"/>
      <c r="S2520" s="204"/>
      <c r="T2520" s="204"/>
      <c r="U2520" s="204"/>
      <c r="V2520" s="204"/>
      <c r="W2520" s="204"/>
      <c r="X2520" s="204"/>
      <c r="Y2520" s="204"/>
      <c r="Z2520" s="204"/>
      <c r="AA2520" s="204"/>
      <c r="AB2520" s="204"/>
      <c r="AC2520" s="204"/>
      <c r="AD2520" s="204"/>
      <c r="AE2520" s="204"/>
      <c r="AF2520" s="204"/>
      <c r="AG2520" s="204"/>
      <c r="AH2520" s="204"/>
      <c r="AI2520" s="209"/>
      <c r="AJ2520" s="209"/>
      <c r="AK2520" s="204"/>
      <c r="AL2520" s="204"/>
      <c r="AM2520" s="204"/>
    </row>
    <row r="2521">
      <c r="A2521" s="204"/>
      <c r="B2521" s="209"/>
      <c r="C2521" s="204"/>
      <c r="D2521" s="210"/>
      <c r="E2521" s="211"/>
      <c r="F2521" s="211"/>
      <c r="G2521" s="212"/>
      <c r="H2521" s="212"/>
      <c r="I2521" s="204"/>
      <c r="J2521" s="204"/>
      <c r="K2521" s="204"/>
      <c r="L2521" s="204"/>
      <c r="M2521" s="204"/>
      <c r="N2521" s="204"/>
      <c r="O2521" s="204"/>
      <c r="P2521" s="204"/>
      <c r="Q2521" s="204"/>
      <c r="R2521" s="204"/>
      <c r="S2521" s="204"/>
      <c r="T2521" s="204"/>
      <c r="U2521" s="204"/>
      <c r="V2521" s="204"/>
      <c r="W2521" s="204"/>
      <c r="X2521" s="204"/>
      <c r="Y2521" s="204"/>
      <c r="Z2521" s="204"/>
      <c r="AA2521" s="204"/>
      <c r="AB2521" s="204"/>
      <c r="AC2521" s="204"/>
      <c r="AD2521" s="204"/>
      <c r="AE2521" s="204"/>
      <c r="AF2521" s="204"/>
      <c r="AG2521" s="204"/>
      <c r="AH2521" s="204"/>
      <c r="AI2521" s="209"/>
      <c r="AJ2521" s="209"/>
      <c r="AK2521" s="204"/>
      <c r="AL2521" s="204"/>
      <c r="AM2521" s="204"/>
    </row>
    <row r="2522">
      <c r="A2522" s="204"/>
      <c r="B2522" s="209"/>
      <c r="C2522" s="204"/>
      <c r="D2522" s="210"/>
      <c r="E2522" s="211"/>
      <c r="F2522" s="211"/>
      <c r="G2522" s="212"/>
      <c r="H2522" s="212"/>
      <c r="I2522" s="204"/>
      <c r="J2522" s="204"/>
      <c r="K2522" s="204"/>
      <c r="L2522" s="204"/>
      <c r="M2522" s="204"/>
      <c r="N2522" s="204"/>
      <c r="O2522" s="204"/>
      <c r="P2522" s="204"/>
      <c r="Q2522" s="204"/>
      <c r="R2522" s="204"/>
      <c r="S2522" s="204"/>
      <c r="T2522" s="204"/>
      <c r="U2522" s="204"/>
      <c r="V2522" s="204"/>
      <c r="W2522" s="204"/>
      <c r="X2522" s="204"/>
      <c r="Y2522" s="204"/>
      <c r="Z2522" s="204"/>
      <c r="AA2522" s="204"/>
      <c r="AB2522" s="204"/>
      <c r="AC2522" s="204"/>
      <c r="AD2522" s="204"/>
      <c r="AE2522" s="204"/>
      <c r="AF2522" s="204"/>
      <c r="AG2522" s="204"/>
      <c r="AH2522" s="204"/>
      <c r="AI2522" s="209"/>
      <c r="AJ2522" s="209"/>
      <c r="AK2522" s="204"/>
      <c r="AL2522" s="204"/>
      <c r="AM2522" s="204"/>
    </row>
    <row r="2523">
      <c r="A2523" s="204"/>
      <c r="B2523" s="209"/>
      <c r="C2523" s="204"/>
      <c r="D2523" s="210"/>
      <c r="E2523" s="211"/>
      <c r="F2523" s="211"/>
      <c r="G2523" s="212"/>
      <c r="H2523" s="212"/>
      <c r="I2523" s="204"/>
      <c r="J2523" s="204"/>
      <c r="K2523" s="204"/>
      <c r="L2523" s="204"/>
      <c r="M2523" s="204"/>
      <c r="N2523" s="204"/>
      <c r="O2523" s="204"/>
      <c r="P2523" s="204"/>
      <c r="Q2523" s="204"/>
      <c r="R2523" s="204"/>
      <c r="S2523" s="204"/>
      <c r="T2523" s="204"/>
      <c r="U2523" s="204"/>
      <c r="V2523" s="204"/>
      <c r="W2523" s="204"/>
      <c r="X2523" s="204"/>
      <c r="Y2523" s="204"/>
      <c r="Z2523" s="204"/>
      <c r="AA2523" s="204"/>
      <c r="AB2523" s="204"/>
      <c r="AC2523" s="204"/>
      <c r="AD2523" s="204"/>
      <c r="AE2523" s="204"/>
      <c r="AF2523" s="204"/>
      <c r="AG2523" s="204"/>
      <c r="AH2523" s="204"/>
      <c r="AI2523" s="209"/>
      <c r="AJ2523" s="209"/>
      <c r="AK2523" s="204"/>
      <c r="AL2523" s="204"/>
      <c r="AM2523" s="204"/>
    </row>
    <row r="2524">
      <c r="A2524" s="204"/>
      <c r="B2524" s="209"/>
      <c r="C2524" s="204"/>
      <c r="D2524" s="210"/>
      <c r="E2524" s="211"/>
      <c r="F2524" s="211"/>
      <c r="G2524" s="212"/>
      <c r="H2524" s="212"/>
      <c r="I2524" s="204"/>
      <c r="J2524" s="204"/>
      <c r="K2524" s="204"/>
      <c r="L2524" s="204"/>
      <c r="M2524" s="204"/>
      <c r="N2524" s="204"/>
      <c r="O2524" s="204"/>
      <c r="P2524" s="204"/>
      <c r="Q2524" s="204"/>
      <c r="R2524" s="204"/>
      <c r="S2524" s="204"/>
      <c r="T2524" s="204"/>
      <c r="U2524" s="204"/>
      <c r="V2524" s="204"/>
      <c r="W2524" s="204"/>
      <c r="X2524" s="204"/>
      <c r="Y2524" s="204"/>
      <c r="Z2524" s="204"/>
      <c r="AA2524" s="204"/>
      <c r="AB2524" s="204"/>
      <c r="AC2524" s="204"/>
      <c r="AD2524" s="204"/>
      <c r="AE2524" s="204"/>
      <c r="AF2524" s="204"/>
      <c r="AG2524" s="204"/>
      <c r="AH2524" s="204"/>
      <c r="AI2524" s="209"/>
      <c r="AJ2524" s="209"/>
      <c r="AK2524" s="204"/>
      <c r="AL2524" s="204"/>
      <c r="AM2524" s="204"/>
    </row>
    <row r="2525">
      <c r="A2525" s="204"/>
      <c r="B2525" s="209"/>
      <c r="C2525" s="204"/>
      <c r="D2525" s="210"/>
      <c r="E2525" s="211"/>
      <c r="F2525" s="211"/>
      <c r="G2525" s="212"/>
      <c r="H2525" s="212"/>
      <c r="I2525" s="204"/>
      <c r="J2525" s="204"/>
      <c r="K2525" s="204"/>
      <c r="L2525" s="204"/>
      <c r="M2525" s="204"/>
      <c r="N2525" s="204"/>
      <c r="O2525" s="204"/>
      <c r="P2525" s="204"/>
      <c r="Q2525" s="204"/>
      <c r="R2525" s="204"/>
      <c r="S2525" s="204"/>
      <c r="T2525" s="204"/>
      <c r="U2525" s="204"/>
      <c r="V2525" s="204"/>
      <c r="W2525" s="204"/>
      <c r="X2525" s="204"/>
      <c r="Y2525" s="204"/>
      <c r="Z2525" s="204"/>
      <c r="AA2525" s="204"/>
      <c r="AB2525" s="204"/>
      <c r="AC2525" s="204"/>
      <c r="AD2525" s="204"/>
      <c r="AE2525" s="204"/>
      <c r="AF2525" s="204"/>
      <c r="AG2525" s="204"/>
      <c r="AH2525" s="204"/>
      <c r="AI2525" s="209"/>
      <c r="AJ2525" s="209"/>
      <c r="AK2525" s="204"/>
      <c r="AL2525" s="204"/>
      <c r="AM2525" s="204"/>
    </row>
    <row r="2526">
      <c r="A2526" s="204"/>
      <c r="B2526" s="209"/>
      <c r="C2526" s="204"/>
      <c r="D2526" s="210"/>
      <c r="E2526" s="211"/>
      <c r="F2526" s="211"/>
      <c r="G2526" s="212"/>
      <c r="H2526" s="212"/>
      <c r="I2526" s="204"/>
      <c r="J2526" s="204"/>
      <c r="K2526" s="204"/>
      <c r="L2526" s="204"/>
      <c r="M2526" s="204"/>
      <c r="N2526" s="204"/>
      <c r="O2526" s="204"/>
      <c r="P2526" s="204"/>
      <c r="Q2526" s="204"/>
      <c r="R2526" s="204"/>
      <c r="S2526" s="204"/>
      <c r="T2526" s="204"/>
      <c r="U2526" s="204"/>
      <c r="V2526" s="204"/>
      <c r="W2526" s="204"/>
      <c r="X2526" s="204"/>
      <c r="Y2526" s="204"/>
      <c r="Z2526" s="204"/>
      <c r="AA2526" s="204"/>
      <c r="AB2526" s="204"/>
      <c r="AC2526" s="204"/>
      <c r="AD2526" s="204"/>
      <c r="AE2526" s="204"/>
      <c r="AF2526" s="204"/>
      <c r="AG2526" s="204"/>
      <c r="AH2526" s="204"/>
      <c r="AI2526" s="209"/>
      <c r="AJ2526" s="209"/>
      <c r="AK2526" s="204"/>
      <c r="AL2526" s="204"/>
      <c r="AM2526" s="204"/>
    </row>
    <row r="2527">
      <c r="A2527" s="204"/>
      <c r="B2527" s="209"/>
      <c r="C2527" s="204"/>
      <c r="D2527" s="210"/>
      <c r="E2527" s="211"/>
      <c r="F2527" s="211"/>
      <c r="G2527" s="212"/>
      <c r="H2527" s="212"/>
      <c r="I2527" s="204"/>
      <c r="J2527" s="204"/>
      <c r="K2527" s="204"/>
      <c r="L2527" s="204"/>
      <c r="M2527" s="204"/>
      <c r="N2527" s="204"/>
      <c r="O2527" s="204"/>
      <c r="P2527" s="204"/>
      <c r="Q2527" s="204"/>
      <c r="R2527" s="204"/>
      <c r="S2527" s="204"/>
      <c r="T2527" s="204"/>
      <c r="U2527" s="204"/>
      <c r="V2527" s="204"/>
      <c r="W2527" s="204"/>
      <c r="X2527" s="204"/>
      <c r="Y2527" s="204"/>
      <c r="Z2527" s="204"/>
      <c r="AA2527" s="204"/>
      <c r="AB2527" s="204"/>
      <c r="AC2527" s="204"/>
      <c r="AD2527" s="204"/>
      <c r="AE2527" s="204"/>
      <c r="AF2527" s="204"/>
      <c r="AG2527" s="204"/>
      <c r="AH2527" s="204"/>
      <c r="AI2527" s="209"/>
      <c r="AJ2527" s="209"/>
      <c r="AK2527" s="204"/>
      <c r="AL2527" s="204"/>
      <c r="AM2527" s="204"/>
    </row>
    <row r="2528">
      <c r="A2528" s="204"/>
      <c r="B2528" s="209"/>
      <c r="C2528" s="204"/>
      <c r="D2528" s="210"/>
      <c r="E2528" s="211"/>
      <c r="F2528" s="211"/>
      <c r="G2528" s="212"/>
      <c r="H2528" s="212"/>
      <c r="I2528" s="204"/>
      <c r="J2528" s="204"/>
      <c r="K2528" s="204"/>
      <c r="L2528" s="204"/>
      <c r="M2528" s="204"/>
      <c r="N2528" s="204"/>
      <c r="O2528" s="204"/>
      <c r="P2528" s="204"/>
      <c r="Q2528" s="204"/>
      <c r="R2528" s="204"/>
      <c r="S2528" s="204"/>
      <c r="T2528" s="204"/>
      <c r="U2528" s="204"/>
      <c r="V2528" s="204"/>
      <c r="W2528" s="204"/>
      <c r="X2528" s="204"/>
      <c r="Y2528" s="204"/>
      <c r="Z2528" s="204"/>
      <c r="AA2528" s="204"/>
      <c r="AB2528" s="204"/>
      <c r="AC2528" s="204"/>
      <c r="AD2528" s="204"/>
      <c r="AE2528" s="204"/>
      <c r="AF2528" s="204"/>
      <c r="AG2528" s="204"/>
      <c r="AH2528" s="204"/>
      <c r="AI2528" s="209"/>
      <c r="AJ2528" s="209"/>
      <c r="AK2528" s="204"/>
      <c r="AL2528" s="204"/>
      <c r="AM2528" s="204"/>
    </row>
    <row r="2529">
      <c r="A2529" s="204"/>
      <c r="B2529" s="209"/>
      <c r="C2529" s="204"/>
      <c r="D2529" s="210"/>
      <c r="E2529" s="211"/>
      <c r="F2529" s="211"/>
      <c r="G2529" s="212"/>
      <c r="H2529" s="212"/>
      <c r="I2529" s="204"/>
      <c r="J2529" s="204"/>
      <c r="K2529" s="204"/>
      <c r="L2529" s="204"/>
      <c r="M2529" s="204"/>
      <c r="N2529" s="204"/>
      <c r="O2529" s="204"/>
      <c r="P2529" s="204"/>
      <c r="Q2529" s="204"/>
      <c r="R2529" s="204"/>
      <c r="S2529" s="204"/>
      <c r="T2529" s="204"/>
      <c r="U2529" s="204"/>
      <c r="V2529" s="204"/>
      <c r="W2529" s="204"/>
      <c r="X2529" s="204"/>
      <c r="Y2529" s="204"/>
      <c r="Z2529" s="204"/>
      <c r="AA2529" s="204"/>
      <c r="AB2529" s="204"/>
      <c r="AC2529" s="204"/>
      <c r="AD2529" s="204"/>
      <c r="AE2529" s="204"/>
      <c r="AF2529" s="204"/>
      <c r="AG2529" s="204"/>
      <c r="AH2529" s="204"/>
      <c r="AI2529" s="209"/>
      <c r="AJ2529" s="209"/>
      <c r="AK2529" s="204"/>
      <c r="AL2529" s="204"/>
      <c r="AM2529" s="204"/>
    </row>
    <row r="2530">
      <c r="A2530" s="204"/>
      <c r="B2530" s="209"/>
      <c r="C2530" s="204"/>
      <c r="D2530" s="210"/>
      <c r="E2530" s="211"/>
      <c r="F2530" s="211"/>
      <c r="G2530" s="212"/>
      <c r="H2530" s="212"/>
      <c r="I2530" s="204"/>
      <c r="J2530" s="204"/>
      <c r="K2530" s="204"/>
      <c r="L2530" s="204"/>
      <c r="M2530" s="204"/>
      <c r="N2530" s="204"/>
      <c r="O2530" s="204"/>
      <c r="P2530" s="204"/>
      <c r="Q2530" s="204"/>
      <c r="R2530" s="204"/>
      <c r="S2530" s="204"/>
      <c r="T2530" s="204"/>
      <c r="U2530" s="204"/>
      <c r="V2530" s="204"/>
      <c r="W2530" s="204"/>
      <c r="X2530" s="204"/>
      <c r="Y2530" s="204"/>
      <c r="Z2530" s="204"/>
      <c r="AA2530" s="204"/>
      <c r="AB2530" s="204"/>
      <c r="AC2530" s="204"/>
      <c r="AD2530" s="204"/>
      <c r="AE2530" s="204"/>
      <c r="AF2530" s="204"/>
      <c r="AG2530" s="204"/>
      <c r="AH2530" s="204"/>
      <c r="AI2530" s="209"/>
      <c r="AJ2530" s="209"/>
      <c r="AK2530" s="204"/>
      <c r="AL2530" s="204"/>
      <c r="AM2530" s="204"/>
    </row>
    <row r="2531">
      <c r="A2531" s="204"/>
      <c r="B2531" s="209"/>
      <c r="C2531" s="204"/>
      <c r="D2531" s="210"/>
      <c r="E2531" s="211"/>
      <c r="F2531" s="211"/>
      <c r="G2531" s="212"/>
      <c r="H2531" s="212"/>
      <c r="I2531" s="204"/>
      <c r="J2531" s="204"/>
      <c r="K2531" s="204"/>
      <c r="L2531" s="204"/>
      <c r="M2531" s="204"/>
      <c r="N2531" s="204"/>
      <c r="O2531" s="204"/>
      <c r="P2531" s="204"/>
      <c r="Q2531" s="204"/>
      <c r="R2531" s="204"/>
      <c r="S2531" s="204"/>
      <c r="T2531" s="204"/>
      <c r="U2531" s="204"/>
      <c r="V2531" s="204"/>
      <c r="W2531" s="204"/>
      <c r="X2531" s="204"/>
      <c r="Y2531" s="204"/>
      <c r="Z2531" s="204"/>
      <c r="AA2531" s="204"/>
      <c r="AB2531" s="204"/>
      <c r="AC2531" s="204"/>
      <c r="AD2531" s="204"/>
      <c r="AE2531" s="204"/>
      <c r="AF2531" s="204"/>
      <c r="AG2531" s="204"/>
      <c r="AH2531" s="204"/>
      <c r="AI2531" s="209"/>
      <c r="AJ2531" s="209"/>
      <c r="AK2531" s="204"/>
      <c r="AL2531" s="204"/>
      <c r="AM2531" s="204"/>
    </row>
    <row r="2532">
      <c r="A2532" s="204"/>
      <c r="B2532" s="209"/>
      <c r="C2532" s="204"/>
      <c r="D2532" s="210"/>
      <c r="E2532" s="211"/>
      <c r="F2532" s="211"/>
      <c r="G2532" s="212"/>
      <c r="H2532" s="212"/>
      <c r="I2532" s="204"/>
      <c r="J2532" s="204"/>
      <c r="K2532" s="204"/>
      <c r="L2532" s="204"/>
      <c r="M2532" s="204"/>
      <c r="N2532" s="204"/>
      <c r="O2532" s="204"/>
      <c r="P2532" s="204"/>
      <c r="Q2532" s="204"/>
      <c r="R2532" s="204"/>
      <c r="S2532" s="204"/>
      <c r="T2532" s="204"/>
      <c r="U2532" s="204"/>
      <c r="V2532" s="204"/>
      <c r="W2532" s="204"/>
      <c r="X2532" s="204"/>
      <c r="Y2532" s="204"/>
      <c r="Z2532" s="204"/>
      <c r="AA2532" s="204"/>
      <c r="AB2532" s="204"/>
      <c r="AC2532" s="204"/>
      <c r="AD2532" s="204"/>
      <c r="AE2532" s="204"/>
      <c r="AF2532" s="204"/>
      <c r="AG2532" s="204"/>
      <c r="AH2532" s="204"/>
      <c r="AI2532" s="209"/>
      <c r="AJ2532" s="209"/>
      <c r="AK2532" s="204"/>
      <c r="AL2532" s="204"/>
      <c r="AM2532" s="204"/>
    </row>
    <row r="2533">
      <c r="A2533" s="204"/>
      <c r="B2533" s="209"/>
      <c r="C2533" s="204"/>
      <c r="D2533" s="210"/>
      <c r="E2533" s="211"/>
      <c r="F2533" s="211"/>
      <c r="G2533" s="212"/>
      <c r="H2533" s="212"/>
      <c r="I2533" s="204"/>
      <c r="J2533" s="204"/>
      <c r="K2533" s="204"/>
      <c r="L2533" s="204"/>
      <c r="M2533" s="204"/>
      <c r="N2533" s="204"/>
      <c r="O2533" s="204"/>
      <c r="P2533" s="204"/>
      <c r="Q2533" s="204"/>
      <c r="R2533" s="204"/>
      <c r="S2533" s="204"/>
      <c r="T2533" s="204"/>
      <c r="U2533" s="204"/>
      <c r="V2533" s="204"/>
      <c r="W2533" s="204"/>
      <c r="X2533" s="204"/>
      <c r="Y2533" s="204"/>
      <c r="Z2533" s="204"/>
      <c r="AA2533" s="204"/>
      <c r="AB2533" s="204"/>
      <c r="AC2533" s="204"/>
      <c r="AD2533" s="204"/>
      <c r="AE2533" s="204"/>
      <c r="AF2533" s="204"/>
      <c r="AG2533" s="204"/>
      <c r="AH2533" s="204"/>
      <c r="AI2533" s="209"/>
      <c r="AJ2533" s="209"/>
      <c r="AK2533" s="204"/>
      <c r="AL2533" s="204"/>
      <c r="AM2533" s="204"/>
    </row>
    <row r="2534">
      <c r="A2534" s="204"/>
      <c r="B2534" s="209"/>
      <c r="C2534" s="204"/>
      <c r="D2534" s="210"/>
      <c r="E2534" s="211"/>
      <c r="F2534" s="211"/>
      <c r="G2534" s="212"/>
      <c r="H2534" s="212"/>
      <c r="I2534" s="204"/>
      <c r="J2534" s="204"/>
      <c r="K2534" s="204"/>
      <c r="L2534" s="204"/>
      <c r="M2534" s="204"/>
      <c r="N2534" s="204"/>
      <c r="O2534" s="204"/>
      <c r="P2534" s="204"/>
      <c r="Q2534" s="204"/>
      <c r="R2534" s="204"/>
      <c r="S2534" s="204"/>
      <c r="T2534" s="204"/>
      <c r="U2534" s="204"/>
      <c r="V2534" s="204"/>
      <c r="W2534" s="204"/>
      <c r="X2534" s="204"/>
      <c r="Y2534" s="204"/>
      <c r="Z2534" s="204"/>
      <c r="AA2534" s="204"/>
      <c r="AB2534" s="204"/>
      <c r="AC2534" s="204"/>
      <c r="AD2534" s="204"/>
      <c r="AE2534" s="204"/>
      <c r="AF2534" s="204"/>
      <c r="AG2534" s="204"/>
      <c r="AH2534" s="204"/>
      <c r="AI2534" s="209"/>
      <c r="AJ2534" s="209"/>
      <c r="AK2534" s="204"/>
      <c r="AL2534" s="204"/>
      <c r="AM2534" s="204"/>
    </row>
    <row r="2535">
      <c r="A2535" s="204"/>
      <c r="B2535" s="209"/>
      <c r="C2535" s="204"/>
      <c r="D2535" s="210"/>
      <c r="E2535" s="211"/>
      <c r="F2535" s="211"/>
      <c r="G2535" s="212"/>
      <c r="H2535" s="212"/>
      <c r="I2535" s="204"/>
      <c r="J2535" s="204"/>
      <c r="K2535" s="204"/>
      <c r="L2535" s="204"/>
      <c r="M2535" s="204"/>
      <c r="N2535" s="204"/>
      <c r="O2535" s="204"/>
      <c r="P2535" s="204"/>
      <c r="Q2535" s="204"/>
      <c r="R2535" s="204"/>
      <c r="S2535" s="204"/>
      <c r="T2535" s="204"/>
      <c r="U2535" s="204"/>
      <c r="V2535" s="204"/>
      <c r="W2535" s="204"/>
      <c r="X2535" s="204"/>
      <c r="Y2535" s="204"/>
      <c r="Z2535" s="204"/>
      <c r="AA2535" s="204"/>
      <c r="AB2535" s="204"/>
      <c r="AC2535" s="204"/>
      <c r="AD2535" s="204"/>
      <c r="AE2535" s="204"/>
      <c r="AF2535" s="204"/>
      <c r="AG2535" s="204"/>
      <c r="AH2535" s="204"/>
      <c r="AI2535" s="209"/>
      <c r="AJ2535" s="209"/>
      <c r="AK2535" s="204"/>
      <c r="AL2535" s="204"/>
      <c r="AM2535" s="204"/>
    </row>
    <row r="2536">
      <c r="A2536" s="204"/>
      <c r="B2536" s="209"/>
      <c r="C2536" s="204"/>
      <c r="D2536" s="210"/>
      <c r="E2536" s="211"/>
      <c r="F2536" s="211"/>
      <c r="G2536" s="212"/>
      <c r="H2536" s="212"/>
      <c r="I2536" s="204"/>
      <c r="J2536" s="204"/>
      <c r="K2536" s="204"/>
      <c r="L2536" s="204"/>
      <c r="M2536" s="204"/>
      <c r="N2536" s="204"/>
      <c r="O2536" s="204"/>
      <c r="P2536" s="204"/>
      <c r="Q2536" s="204"/>
      <c r="R2536" s="204"/>
      <c r="S2536" s="204"/>
      <c r="T2536" s="204"/>
      <c r="U2536" s="204"/>
      <c r="V2536" s="204"/>
      <c r="W2536" s="204"/>
      <c r="X2536" s="204"/>
      <c r="Y2536" s="204"/>
      <c r="Z2536" s="204"/>
      <c r="AA2536" s="204"/>
      <c r="AB2536" s="204"/>
      <c r="AC2536" s="204"/>
      <c r="AD2536" s="204"/>
      <c r="AE2536" s="204"/>
      <c r="AF2536" s="204"/>
      <c r="AG2536" s="204"/>
      <c r="AH2536" s="204"/>
      <c r="AI2536" s="209"/>
      <c r="AJ2536" s="209"/>
      <c r="AK2536" s="204"/>
      <c r="AL2536" s="204"/>
      <c r="AM2536" s="204"/>
    </row>
    <row r="2537">
      <c r="A2537" s="204"/>
      <c r="B2537" s="209"/>
      <c r="C2537" s="204"/>
      <c r="D2537" s="210"/>
      <c r="E2537" s="211"/>
      <c r="F2537" s="211"/>
      <c r="G2537" s="212"/>
      <c r="H2537" s="212"/>
      <c r="I2537" s="204"/>
      <c r="J2537" s="204"/>
      <c r="K2537" s="204"/>
      <c r="L2537" s="204"/>
      <c r="M2537" s="204"/>
      <c r="N2537" s="204"/>
      <c r="O2537" s="204"/>
      <c r="P2537" s="204"/>
      <c r="Q2537" s="204"/>
      <c r="R2537" s="204"/>
      <c r="S2537" s="204"/>
      <c r="T2537" s="204"/>
      <c r="U2537" s="204"/>
      <c r="V2537" s="204"/>
      <c r="W2537" s="204"/>
      <c r="X2537" s="204"/>
      <c r="Y2537" s="204"/>
      <c r="Z2537" s="204"/>
      <c r="AA2537" s="204"/>
      <c r="AB2537" s="204"/>
      <c r="AC2537" s="204"/>
      <c r="AD2537" s="204"/>
      <c r="AE2537" s="204"/>
      <c r="AF2537" s="204"/>
      <c r="AG2537" s="204"/>
      <c r="AH2537" s="204"/>
      <c r="AI2537" s="209"/>
      <c r="AJ2537" s="209"/>
      <c r="AK2537" s="204"/>
      <c r="AL2537" s="204"/>
      <c r="AM2537" s="204"/>
    </row>
    <row r="2538">
      <c r="A2538" s="204"/>
      <c r="B2538" s="209"/>
      <c r="C2538" s="204"/>
      <c r="D2538" s="210"/>
      <c r="E2538" s="211"/>
      <c r="F2538" s="211"/>
      <c r="G2538" s="212"/>
      <c r="H2538" s="212"/>
      <c r="I2538" s="204"/>
      <c r="J2538" s="204"/>
      <c r="K2538" s="204"/>
      <c r="L2538" s="204"/>
      <c r="M2538" s="204"/>
      <c r="N2538" s="204"/>
      <c r="O2538" s="204"/>
      <c r="P2538" s="204"/>
      <c r="Q2538" s="204"/>
      <c r="R2538" s="204"/>
      <c r="S2538" s="204"/>
      <c r="T2538" s="204"/>
      <c r="U2538" s="204"/>
      <c r="V2538" s="204"/>
      <c r="W2538" s="204"/>
      <c r="X2538" s="204"/>
      <c r="Y2538" s="204"/>
      <c r="Z2538" s="204"/>
      <c r="AA2538" s="204"/>
      <c r="AB2538" s="204"/>
      <c r="AC2538" s="204"/>
      <c r="AD2538" s="204"/>
      <c r="AE2538" s="204"/>
      <c r="AF2538" s="204"/>
      <c r="AG2538" s="204"/>
      <c r="AH2538" s="204"/>
      <c r="AI2538" s="209"/>
      <c r="AJ2538" s="209"/>
      <c r="AK2538" s="204"/>
      <c r="AL2538" s="204"/>
      <c r="AM2538" s="204"/>
    </row>
    <row r="2539">
      <c r="A2539" s="204"/>
      <c r="B2539" s="209"/>
      <c r="C2539" s="204"/>
      <c r="D2539" s="210"/>
      <c r="E2539" s="211"/>
      <c r="F2539" s="211"/>
      <c r="G2539" s="212"/>
      <c r="H2539" s="212"/>
      <c r="I2539" s="204"/>
      <c r="J2539" s="204"/>
      <c r="K2539" s="204"/>
      <c r="L2539" s="204"/>
      <c r="M2539" s="204"/>
      <c r="N2539" s="204"/>
      <c r="O2539" s="204"/>
      <c r="P2539" s="204"/>
      <c r="Q2539" s="204"/>
      <c r="R2539" s="204"/>
      <c r="S2539" s="204"/>
      <c r="T2539" s="204"/>
      <c r="U2539" s="204"/>
      <c r="V2539" s="204"/>
      <c r="W2539" s="204"/>
      <c r="X2539" s="204"/>
      <c r="Y2539" s="204"/>
      <c r="Z2539" s="204"/>
      <c r="AA2539" s="204"/>
      <c r="AB2539" s="204"/>
      <c r="AC2539" s="204"/>
      <c r="AD2539" s="204"/>
      <c r="AE2539" s="204"/>
      <c r="AF2539" s="204"/>
      <c r="AG2539" s="204"/>
      <c r="AH2539" s="204"/>
      <c r="AI2539" s="209"/>
      <c r="AJ2539" s="209"/>
      <c r="AK2539" s="204"/>
      <c r="AL2539" s="204"/>
      <c r="AM2539" s="204"/>
    </row>
    <row r="2540">
      <c r="A2540" s="204"/>
      <c r="B2540" s="209"/>
      <c r="C2540" s="204"/>
      <c r="D2540" s="210"/>
      <c r="E2540" s="211"/>
      <c r="F2540" s="211"/>
      <c r="G2540" s="212"/>
      <c r="H2540" s="212"/>
      <c r="I2540" s="204"/>
      <c r="J2540" s="204"/>
      <c r="K2540" s="204"/>
      <c r="L2540" s="204"/>
      <c r="M2540" s="204"/>
      <c r="N2540" s="204"/>
      <c r="O2540" s="204"/>
      <c r="P2540" s="204"/>
      <c r="Q2540" s="204"/>
      <c r="R2540" s="204"/>
      <c r="S2540" s="204"/>
      <c r="T2540" s="204"/>
      <c r="U2540" s="204"/>
      <c r="V2540" s="204"/>
      <c r="W2540" s="204"/>
      <c r="X2540" s="204"/>
      <c r="Y2540" s="204"/>
      <c r="Z2540" s="204"/>
      <c r="AA2540" s="204"/>
      <c r="AB2540" s="204"/>
      <c r="AC2540" s="204"/>
      <c r="AD2540" s="204"/>
      <c r="AE2540" s="204"/>
      <c r="AF2540" s="204"/>
      <c r="AG2540" s="204"/>
      <c r="AH2540" s="204"/>
      <c r="AI2540" s="209"/>
      <c r="AJ2540" s="209"/>
      <c r="AK2540" s="204"/>
      <c r="AL2540" s="204"/>
      <c r="AM2540" s="204"/>
    </row>
    <row r="2541">
      <c r="A2541" s="204"/>
      <c r="B2541" s="209"/>
      <c r="C2541" s="204"/>
      <c r="D2541" s="210"/>
      <c r="E2541" s="211"/>
      <c r="F2541" s="211"/>
      <c r="G2541" s="212"/>
      <c r="H2541" s="212"/>
      <c r="I2541" s="204"/>
      <c r="J2541" s="204"/>
      <c r="K2541" s="204"/>
      <c r="L2541" s="204"/>
      <c r="M2541" s="204"/>
      <c r="N2541" s="204"/>
      <c r="O2541" s="204"/>
      <c r="P2541" s="204"/>
      <c r="Q2541" s="204"/>
      <c r="R2541" s="204"/>
      <c r="S2541" s="204"/>
      <c r="T2541" s="204"/>
      <c r="U2541" s="204"/>
      <c r="V2541" s="204"/>
      <c r="W2541" s="204"/>
      <c r="X2541" s="204"/>
      <c r="Y2541" s="204"/>
      <c r="Z2541" s="204"/>
      <c r="AA2541" s="204"/>
      <c r="AB2541" s="204"/>
      <c r="AC2541" s="204"/>
      <c r="AD2541" s="204"/>
      <c r="AE2541" s="204"/>
      <c r="AF2541" s="204"/>
      <c r="AG2541" s="204"/>
      <c r="AH2541" s="204"/>
      <c r="AI2541" s="209"/>
      <c r="AJ2541" s="209"/>
      <c r="AK2541" s="204"/>
      <c r="AL2541" s="204"/>
      <c r="AM2541" s="204"/>
    </row>
    <row r="2542">
      <c r="A2542" s="204"/>
      <c r="B2542" s="209"/>
      <c r="C2542" s="204"/>
      <c r="D2542" s="210"/>
      <c r="E2542" s="211"/>
      <c r="F2542" s="211"/>
      <c r="G2542" s="212"/>
      <c r="H2542" s="212"/>
      <c r="I2542" s="204"/>
      <c r="J2542" s="204"/>
      <c r="K2542" s="204"/>
      <c r="L2542" s="204"/>
      <c r="M2542" s="204"/>
      <c r="N2542" s="204"/>
      <c r="O2542" s="204"/>
      <c r="P2542" s="204"/>
      <c r="Q2542" s="204"/>
      <c r="R2542" s="204"/>
      <c r="S2542" s="204"/>
      <c r="T2542" s="204"/>
      <c r="U2542" s="204"/>
      <c r="V2542" s="204"/>
      <c r="W2542" s="204"/>
      <c r="X2542" s="204"/>
      <c r="Y2542" s="204"/>
      <c r="Z2542" s="204"/>
      <c r="AA2542" s="204"/>
      <c r="AB2542" s="204"/>
      <c r="AC2542" s="204"/>
      <c r="AD2542" s="204"/>
      <c r="AE2542" s="204"/>
      <c r="AF2542" s="204"/>
      <c r="AG2542" s="204"/>
      <c r="AH2542" s="204"/>
      <c r="AI2542" s="209"/>
      <c r="AJ2542" s="209"/>
      <c r="AK2542" s="204"/>
      <c r="AL2542" s="204"/>
      <c r="AM2542" s="204"/>
    </row>
    <row r="2543">
      <c r="A2543" s="204"/>
      <c r="B2543" s="209"/>
      <c r="C2543" s="204"/>
      <c r="D2543" s="210"/>
      <c r="E2543" s="211"/>
      <c r="F2543" s="211"/>
      <c r="G2543" s="212"/>
      <c r="H2543" s="212"/>
      <c r="I2543" s="204"/>
      <c r="J2543" s="204"/>
      <c r="K2543" s="204"/>
      <c r="L2543" s="204"/>
      <c r="M2543" s="204"/>
      <c r="N2543" s="204"/>
      <c r="O2543" s="204"/>
      <c r="P2543" s="204"/>
      <c r="Q2543" s="204"/>
      <c r="R2543" s="204"/>
      <c r="S2543" s="204"/>
      <c r="T2543" s="204"/>
      <c r="U2543" s="204"/>
      <c r="V2543" s="204"/>
      <c r="W2543" s="204"/>
      <c r="X2543" s="204"/>
      <c r="Y2543" s="204"/>
      <c r="Z2543" s="204"/>
      <c r="AA2543" s="204"/>
      <c r="AB2543" s="204"/>
      <c r="AC2543" s="204"/>
      <c r="AD2543" s="204"/>
      <c r="AE2543" s="204"/>
      <c r="AF2543" s="204"/>
      <c r="AG2543" s="204"/>
      <c r="AH2543" s="204"/>
      <c r="AI2543" s="209"/>
      <c r="AJ2543" s="209"/>
      <c r="AK2543" s="204"/>
      <c r="AL2543" s="204"/>
      <c r="AM2543" s="204"/>
    </row>
    <row r="2544">
      <c r="A2544" s="204"/>
      <c r="B2544" s="209"/>
      <c r="C2544" s="204"/>
      <c r="D2544" s="210"/>
      <c r="E2544" s="211"/>
      <c r="F2544" s="211"/>
      <c r="G2544" s="212"/>
      <c r="H2544" s="212"/>
      <c r="I2544" s="204"/>
      <c r="J2544" s="204"/>
      <c r="K2544" s="204"/>
      <c r="L2544" s="204"/>
      <c r="M2544" s="204"/>
      <c r="N2544" s="204"/>
      <c r="O2544" s="204"/>
      <c r="P2544" s="204"/>
      <c r="Q2544" s="204"/>
      <c r="R2544" s="204"/>
      <c r="S2544" s="204"/>
      <c r="T2544" s="204"/>
      <c r="U2544" s="204"/>
      <c r="V2544" s="204"/>
      <c r="W2544" s="204"/>
      <c r="X2544" s="204"/>
      <c r="Y2544" s="204"/>
      <c r="Z2544" s="204"/>
      <c r="AA2544" s="204"/>
      <c r="AB2544" s="204"/>
      <c r="AC2544" s="204"/>
      <c r="AD2544" s="204"/>
      <c r="AE2544" s="204"/>
      <c r="AF2544" s="204"/>
      <c r="AG2544" s="204"/>
      <c r="AH2544" s="204"/>
      <c r="AI2544" s="209"/>
      <c r="AJ2544" s="209"/>
      <c r="AK2544" s="204"/>
      <c r="AL2544" s="204"/>
      <c r="AM2544" s="204"/>
    </row>
    <row r="2545">
      <c r="A2545" s="204"/>
      <c r="B2545" s="209"/>
      <c r="C2545" s="204"/>
      <c r="D2545" s="210"/>
      <c r="E2545" s="211"/>
      <c r="F2545" s="211"/>
      <c r="G2545" s="212"/>
      <c r="H2545" s="212"/>
      <c r="I2545" s="204"/>
      <c r="J2545" s="204"/>
      <c r="K2545" s="204"/>
      <c r="L2545" s="204"/>
      <c r="M2545" s="204"/>
      <c r="N2545" s="204"/>
      <c r="O2545" s="204"/>
      <c r="P2545" s="204"/>
      <c r="Q2545" s="204"/>
      <c r="R2545" s="204"/>
      <c r="S2545" s="204"/>
      <c r="T2545" s="204"/>
      <c r="U2545" s="204"/>
      <c r="V2545" s="204"/>
      <c r="W2545" s="204"/>
      <c r="X2545" s="204"/>
      <c r="Y2545" s="204"/>
      <c r="Z2545" s="204"/>
      <c r="AA2545" s="204"/>
      <c r="AB2545" s="204"/>
      <c r="AC2545" s="204"/>
      <c r="AD2545" s="204"/>
      <c r="AE2545" s="204"/>
      <c r="AF2545" s="204"/>
      <c r="AG2545" s="204"/>
      <c r="AH2545" s="204"/>
      <c r="AI2545" s="209"/>
      <c r="AJ2545" s="209"/>
      <c r="AK2545" s="204"/>
      <c r="AL2545" s="204"/>
      <c r="AM2545" s="204"/>
    </row>
    <row r="2546">
      <c r="A2546" s="204"/>
      <c r="B2546" s="209"/>
      <c r="C2546" s="204"/>
      <c r="D2546" s="210"/>
      <c r="E2546" s="211"/>
      <c r="F2546" s="211"/>
      <c r="G2546" s="212"/>
      <c r="H2546" s="212"/>
      <c r="I2546" s="204"/>
      <c r="J2546" s="204"/>
      <c r="K2546" s="204"/>
      <c r="L2546" s="204"/>
      <c r="M2546" s="204"/>
      <c r="N2546" s="204"/>
      <c r="O2546" s="204"/>
      <c r="P2546" s="204"/>
      <c r="Q2546" s="204"/>
      <c r="R2546" s="204"/>
      <c r="S2546" s="204"/>
      <c r="T2546" s="204"/>
      <c r="U2546" s="204"/>
      <c r="V2546" s="204"/>
      <c r="W2546" s="204"/>
      <c r="X2546" s="204"/>
      <c r="Y2546" s="204"/>
      <c r="Z2546" s="204"/>
      <c r="AA2546" s="204"/>
      <c r="AB2546" s="204"/>
      <c r="AC2546" s="204"/>
      <c r="AD2546" s="204"/>
      <c r="AE2546" s="204"/>
      <c r="AF2546" s="204"/>
      <c r="AG2546" s="204"/>
      <c r="AH2546" s="204"/>
      <c r="AI2546" s="209"/>
      <c r="AJ2546" s="209"/>
      <c r="AK2546" s="204"/>
      <c r="AL2546" s="204"/>
      <c r="AM2546" s="204"/>
    </row>
    <row r="2547">
      <c r="A2547" s="204"/>
      <c r="B2547" s="209"/>
      <c r="C2547" s="204"/>
      <c r="D2547" s="210"/>
      <c r="E2547" s="211"/>
      <c r="F2547" s="211"/>
      <c r="G2547" s="212"/>
      <c r="H2547" s="212"/>
      <c r="I2547" s="204"/>
      <c r="J2547" s="204"/>
      <c r="K2547" s="204"/>
      <c r="L2547" s="204"/>
      <c r="M2547" s="204"/>
      <c r="N2547" s="204"/>
      <c r="O2547" s="204"/>
      <c r="P2547" s="204"/>
      <c r="Q2547" s="204"/>
      <c r="R2547" s="204"/>
      <c r="S2547" s="204"/>
      <c r="T2547" s="204"/>
      <c r="U2547" s="204"/>
      <c r="V2547" s="204"/>
      <c r="W2547" s="204"/>
      <c r="X2547" s="204"/>
      <c r="Y2547" s="204"/>
      <c r="Z2547" s="204"/>
      <c r="AA2547" s="204"/>
      <c r="AB2547" s="204"/>
      <c r="AC2547" s="204"/>
      <c r="AD2547" s="204"/>
      <c r="AE2547" s="204"/>
      <c r="AF2547" s="204"/>
      <c r="AG2547" s="204"/>
      <c r="AH2547" s="204"/>
      <c r="AI2547" s="209"/>
      <c r="AJ2547" s="209"/>
      <c r="AK2547" s="204"/>
      <c r="AL2547" s="204"/>
      <c r="AM2547" s="204"/>
    </row>
    <row r="2548">
      <c r="A2548" s="204"/>
      <c r="B2548" s="209"/>
      <c r="C2548" s="204"/>
      <c r="D2548" s="210"/>
      <c r="E2548" s="211"/>
      <c r="F2548" s="211"/>
      <c r="G2548" s="212"/>
      <c r="H2548" s="212"/>
      <c r="I2548" s="204"/>
      <c r="J2548" s="204"/>
      <c r="K2548" s="204"/>
      <c r="L2548" s="204"/>
      <c r="M2548" s="204"/>
      <c r="N2548" s="204"/>
      <c r="O2548" s="204"/>
      <c r="P2548" s="204"/>
      <c r="Q2548" s="204"/>
      <c r="R2548" s="204"/>
      <c r="S2548" s="204"/>
      <c r="T2548" s="204"/>
      <c r="U2548" s="204"/>
      <c r="V2548" s="204"/>
      <c r="W2548" s="204"/>
      <c r="X2548" s="204"/>
      <c r="Y2548" s="204"/>
      <c r="Z2548" s="204"/>
      <c r="AA2548" s="204"/>
      <c r="AB2548" s="204"/>
      <c r="AC2548" s="204"/>
      <c r="AD2548" s="204"/>
      <c r="AE2548" s="204"/>
      <c r="AF2548" s="204"/>
      <c r="AG2548" s="204"/>
      <c r="AH2548" s="204"/>
      <c r="AI2548" s="209"/>
      <c r="AJ2548" s="209"/>
      <c r="AK2548" s="204"/>
      <c r="AL2548" s="204"/>
      <c r="AM2548" s="204"/>
    </row>
    <row r="2549">
      <c r="A2549" s="204"/>
      <c r="B2549" s="209"/>
      <c r="C2549" s="204"/>
      <c r="D2549" s="210"/>
      <c r="E2549" s="211"/>
      <c r="F2549" s="211"/>
      <c r="G2549" s="212"/>
      <c r="H2549" s="212"/>
      <c r="I2549" s="204"/>
      <c r="J2549" s="204"/>
      <c r="K2549" s="204"/>
      <c r="L2549" s="204"/>
      <c r="M2549" s="204"/>
      <c r="N2549" s="204"/>
      <c r="O2549" s="204"/>
      <c r="P2549" s="204"/>
      <c r="Q2549" s="204"/>
      <c r="R2549" s="204"/>
      <c r="S2549" s="204"/>
      <c r="T2549" s="204"/>
      <c r="U2549" s="204"/>
      <c r="V2549" s="204"/>
      <c r="W2549" s="204"/>
      <c r="X2549" s="204"/>
      <c r="Y2549" s="204"/>
      <c r="Z2549" s="204"/>
      <c r="AA2549" s="204"/>
      <c r="AB2549" s="204"/>
      <c r="AC2549" s="204"/>
      <c r="AD2549" s="204"/>
      <c r="AE2549" s="204"/>
      <c r="AF2549" s="204"/>
      <c r="AG2549" s="204"/>
      <c r="AH2549" s="204"/>
      <c r="AI2549" s="209"/>
      <c r="AJ2549" s="209"/>
      <c r="AK2549" s="204"/>
      <c r="AL2549" s="204"/>
      <c r="AM2549" s="204"/>
    </row>
    <row r="2550">
      <c r="A2550" s="204"/>
      <c r="B2550" s="209"/>
      <c r="C2550" s="204"/>
      <c r="D2550" s="210"/>
      <c r="E2550" s="211"/>
      <c r="F2550" s="211"/>
      <c r="G2550" s="212"/>
      <c r="H2550" s="212"/>
      <c r="I2550" s="204"/>
      <c r="J2550" s="204"/>
      <c r="K2550" s="204"/>
      <c r="L2550" s="204"/>
      <c r="M2550" s="204"/>
      <c r="N2550" s="204"/>
      <c r="O2550" s="204"/>
      <c r="P2550" s="204"/>
      <c r="Q2550" s="204"/>
      <c r="R2550" s="204"/>
      <c r="S2550" s="204"/>
      <c r="T2550" s="204"/>
      <c r="U2550" s="204"/>
      <c r="V2550" s="204"/>
      <c r="W2550" s="204"/>
      <c r="X2550" s="204"/>
      <c r="Y2550" s="204"/>
      <c r="Z2550" s="204"/>
      <c r="AA2550" s="204"/>
      <c r="AB2550" s="204"/>
      <c r="AC2550" s="204"/>
      <c r="AD2550" s="204"/>
      <c r="AE2550" s="204"/>
      <c r="AF2550" s="204"/>
      <c r="AG2550" s="204"/>
      <c r="AH2550" s="204"/>
      <c r="AI2550" s="209"/>
      <c r="AJ2550" s="209"/>
      <c r="AK2550" s="204"/>
      <c r="AL2550" s="204"/>
      <c r="AM2550" s="204"/>
    </row>
    <row r="2551">
      <c r="A2551" s="204"/>
      <c r="B2551" s="209"/>
      <c r="C2551" s="204"/>
      <c r="D2551" s="210"/>
      <c r="E2551" s="211"/>
      <c r="F2551" s="211"/>
      <c r="G2551" s="212"/>
      <c r="H2551" s="212"/>
      <c r="I2551" s="204"/>
      <c r="J2551" s="204"/>
      <c r="K2551" s="204"/>
      <c r="L2551" s="204"/>
      <c r="M2551" s="204"/>
      <c r="N2551" s="204"/>
      <c r="O2551" s="204"/>
      <c r="P2551" s="204"/>
      <c r="Q2551" s="204"/>
      <c r="R2551" s="204"/>
      <c r="S2551" s="204"/>
      <c r="T2551" s="204"/>
      <c r="U2551" s="204"/>
      <c r="V2551" s="204"/>
      <c r="W2551" s="204"/>
      <c r="X2551" s="204"/>
      <c r="Y2551" s="204"/>
      <c r="Z2551" s="204"/>
      <c r="AA2551" s="204"/>
      <c r="AB2551" s="204"/>
      <c r="AC2551" s="204"/>
      <c r="AD2551" s="204"/>
      <c r="AE2551" s="204"/>
      <c r="AF2551" s="204"/>
      <c r="AG2551" s="204"/>
      <c r="AH2551" s="204"/>
      <c r="AI2551" s="209"/>
      <c r="AJ2551" s="209"/>
      <c r="AK2551" s="204"/>
      <c r="AL2551" s="204"/>
      <c r="AM2551" s="204"/>
    </row>
    <row r="2552">
      <c r="A2552" s="204"/>
      <c r="B2552" s="209"/>
      <c r="C2552" s="204"/>
      <c r="D2552" s="210"/>
      <c r="E2552" s="211"/>
      <c r="F2552" s="211"/>
      <c r="G2552" s="212"/>
      <c r="H2552" s="212"/>
      <c r="I2552" s="204"/>
      <c r="J2552" s="204"/>
      <c r="K2552" s="204"/>
      <c r="L2552" s="204"/>
      <c r="M2552" s="204"/>
      <c r="N2552" s="204"/>
      <c r="O2552" s="204"/>
      <c r="P2552" s="204"/>
      <c r="Q2552" s="204"/>
      <c r="R2552" s="204"/>
      <c r="S2552" s="204"/>
      <c r="T2552" s="204"/>
      <c r="U2552" s="204"/>
      <c r="V2552" s="204"/>
      <c r="W2552" s="204"/>
      <c r="X2552" s="204"/>
      <c r="Y2552" s="204"/>
      <c r="Z2552" s="204"/>
      <c r="AA2552" s="204"/>
      <c r="AB2552" s="204"/>
      <c r="AC2552" s="204"/>
      <c r="AD2552" s="204"/>
      <c r="AE2552" s="204"/>
      <c r="AF2552" s="204"/>
      <c r="AG2552" s="204"/>
      <c r="AH2552" s="204"/>
      <c r="AI2552" s="209"/>
      <c r="AJ2552" s="209"/>
      <c r="AK2552" s="204"/>
      <c r="AL2552" s="204"/>
      <c r="AM2552" s="204"/>
    </row>
    <row r="2553">
      <c r="A2553" s="204"/>
      <c r="B2553" s="209"/>
      <c r="C2553" s="204"/>
      <c r="D2553" s="210"/>
      <c r="E2553" s="211"/>
      <c r="F2553" s="211"/>
      <c r="G2553" s="212"/>
      <c r="H2553" s="212"/>
      <c r="I2553" s="204"/>
      <c r="J2553" s="204"/>
      <c r="K2553" s="204"/>
      <c r="L2553" s="204"/>
      <c r="M2553" s="204"/>
      <c r="N2553" s="204"/>
      <c r="O2553" s="204"/>
      <c r="P2553" s="204"/>
      <c r="Q2553" s="204"/>
      <c r="R2553" s="204"/>
      <c r="S2553" s="204"/>
      <c r="T2553" s="204"/>
      <c r="U2553" s="204"/>
      <c r="V2553" s="204"/>
      <c r="W2553" s="204"/>
      <c r="X2553" s="204"/>
      <c r="Y2553" s="204"/>
      <c r="Z2553" s="204"/>
      <c r="AA2553" s="204"/>
      <c r="AB2553" s="204"/>
      <c r="AC2553" s="204"/>
      <c r="AD2553" s="204"/>
      <c r="AE2553" s="204"/>
      <c r="AF2553" s="204"/>
      <c r="AG2553" s="204"/>
      <c r="AH2553" s="204"/>
      <c r="AI2553" s="209"/>
      <c r="AJ2553" s="209"/>
      <c r="AK2553" s="204"/>
      <c r="AL2553" s="204"/>
      <c r="AM2553" s="204"/>
    </row>
    <row r="2554">
      <c r="A2554" s="204"/>
      <c r="B2554" s="209"/>
      <c r="C2554" s="204"/>
      <c r="D2554" s="210"/>
      <c r="E2554" s="211"/>
      <c r="F2554" s="211"/>
      <c r="G2554" s="212"/>
      <c r="H2554" s="212"/>
      <c r="I2554" s="204"/>
      <c r="J2554" s="204"/>
      <c r="K2554" s="204"/>
      <c r="L2554" s="204"/>
      <c r="M2554" s="204"/>
      <c r="N2554" s="204"/>
      <c r="O2554" s="204"/>
      <c r="P2554" s="204"/>
      <c r="Q2554" s="204"/>
      <c r="R2554" s="204"/>
      <c r="S2554" s="204"/>
      <c r="T2554" s="204"/>
      <c r="U2554" s="204"/>
      <c r="V2554" s="204"/>
      <c r="W2554" s="204"/>
      <c r="X2554" s="204"/>
      <c r="Y2554" s="204"/>
      <c r="Z2554" s="204"/>
      <c r="AA2554" s="204"/>
      <c r="AB2554" s="204"/>
      <c r="AC2554" s="204"/>
      <c r="AD2554" s="204"/>
      <c r="AE2554" s="204"/>
      <c r="AF2554" s="204"/>
      <c r="AG2554" s="204"/>
      <c r="AH2554" s="204"/>
      <c r="AI2554" s="209"/>
      <c r="AJ2554" s="209"/>
      <c r="AK2554" s="204"/>
      <c r="AL2554" s="204"/>
      <c r="AM2554" s="204"/>
    </row>
    <row r="2555">
      <c r="A2555" s="204"/>
      <c r="B2555" s="209"/>
      <c r="C2555" s="204"/>
      <c r="D2555" s="210"/>
      <c r="E2555" s="211"/>
      <c r="F2555" s="211"/>
      <c r="G2555" s="212"/>
      <c r="H2555" s="212"/>
      <c r="I2555" s="204"/>
      <c r="J2555" s="204"/>
      <c r="K2555" s="204"/>
      <c r="L2555" s="204"/>
      <c r="M2555" s="204"/>
      <c r="N2555" s="204"/>
      <c r="O2555" s="204"/>
      <c r="P2555" s="204"/>
      <c r="Q2555" s="204"/>
      <c r="R2555" s="204"/>
      <c r="S2555" s="204"/>
      <c r="T2555" s="204"/>
      <c r="U2555" s="204"/>
      <c r="V2555" s="204"/>
      <c r="W2555" s="204"/>
      <c r="X2555" s="204"/>
      <c r="Y2555" s="204"/>
      <c r="Z2555" s="204"/>
      <c r="AA2555" s="204"/>
      <c r="AB2555" s="204"/>
      <c r="AC2555" s="204"/>
      <c r="AD2555" s="204"/>
      <c r="AE2555" s="204"/>
      <c r="AF2555" s="204"/>
      <c r="AG2555" s="204"/>
      <c r="AH2555" s="204"/>
      <c r="AI2555" s="209"/>
      <c r="AJ2555" s="209"/>
      <c r="AK2555" s="204"/>
      <c r="AL2555" s="204"/>
      <c r="AM2555" s="204"/>
    </row>
    <row r="2556">
      <c r="A2556" s="204"/>
      <c r="B2556" s="209"/>
      <c r="C2556" s="204"/>
      <c r="D2556" s="210"/>
      <c r="E2556" s="211"/>
      <c r="F2556" s="211"/>
      <c r="G2556" s="212"/>
      <c r="H2556" s="212"/>
      <c r="I2556" s="204"/>
      <c r="J2556" s="204"/>
      <c r="K2556" s="204"/>
      <c r="L2556" s="204"/>
      <c r="M2556" s="204"/>
      <c r="N2556" s="204"/>
      <c r="O2556" s="204"/>
      <c r="P2556" s="204"/>
      <c r="Q2556" s="204"/>
      <c r="R2556" s="204"/>
      <c r="S2556" s="204"/>
      <c r="T2556" s="204"/>
      <c r="U2556" s="204"/>
      <c r="V2556" s="204"/>
      <c r="W2556" s="204"/>
      <c r="X2556" s="204"/>
      <c r="Y2556" s="204"/>
      <c r="Z2556" s="204"/>
      <c r="AA2556" s="204"/>
      <c r="AB2556" s="204"/>
      <c r="AC2556" s="204"/>
      <c r="AD2556" s="204"/>
      <c r="AE2556" s="204"/>
      <c r="AF2556" s="204"/>
      <c r="AG2556" s="204"/>
      <c r="AH2556" s="204"/>
      <c r="AI2556" s="209"/>
      <c r="AJ2556" s="209"/>
      <c r="AK2556" s="204"/>
      <c r="AL2556" s="204"/>
      <c r="AM2556" s="204"/>
    </row>
    <row r="2557">
      <c r="A2557" s="204"/>
      <c r="B2557" s="209"/>
      <c r="C2557" s="204"/>
      <c r="D2557" s="210"/>
      <c r="E2557" s="211"/>
      <c r="F2557" s="211"/>
      <c r="G2557" s="212"/>
      <c r="H2557" s="212"/>
      <c r="I2557" s="204"/>
      <c r="J2557" s="204"/>
      <c r="K2557" s="204"/>
      <c r="L2557" s="204"/>
      <c r="M2557" s="204"/>
      <c r="N2557" s="204"/>
      <c r="O2557" s="204"/>
      <c r="P2557" s="204"/>
      <c r="Q2557" s="204"/>
      <c r="R2557" s="204"/>
      <c r="S2557" s="204"/>
      <c r="T2557" s="204"/>
      <c r="U2557" s="204"/>
      <c r="V2557" s="204"/>
      <c r="W2557" s="204"/>
      <c r="X2557" s="204"/>
      <c r="Y2557" s="204"/>
      <c r="Z2557" s="204"/>
      <c r="AA2557" s="204"/>
      <c r="AB2557" s="204"/>
      <c r="AC2557" s="204"/>
      <c r="AD2557" s="204"/>
      <c r="AE2557" s="204"/>
      <c r="AF2557" s="204"/>
      <c r="AG2557" s="204"/>
      <c r="AH2557" s="204"/>
      <c r="AI2557" s="209"/>
      <c r="AJ2557" s="209"/>
      <c r="AK2557" s="204"/>
      <c r="AL2557" s="204"/>
      <c r="AM2557" s="204"/>
    </row>
    <row r="2558">
      <c r="A2558" s="204"/>
      <c r="B2558" s="209"/>
      <c r="C2558" s="204"/>
      <c r="D2558" s="210"/>
      <c r="E2558" s="211"/>
      <c r="F2558" s="211"/>
      <c r="G2558" s="212"/>
      <c r="H2558" s="212"/>
      <c r="I2558" s="204"/>
      <c r="J2558" s="204"/>
      <c r="K2558" s="204"/>
      <c r="L2558" s="204"/>
      <c r="M2558" s="204"/>
      <c r="N2558" s="204"/>
      <c r="O2558" s="204"/>
      <c r="P2558" s="204"/>
      <c r="Q2558" s="204"/>
      <c r="R2558" s="204"/>
      <c r="S2558" s="204"/>
      <c r="T2558" s="204"/>
      <c r="U2558" s="204"/>
      <c r="V2558" s="204"/>
      <c r="W2558" s="204"/>
      <c r="X2558" s="204"/>
      <c r="Y2558" s="204"/>
      <c r="Z2558" s="204"/>
      <c r="AA2558" s="204"/>
      <c r="AB2558" s="204"/>
      <c r="AC2558" s="204"/>
      <c r="AD2558" s="204"/>
      <c r="AE2558" s="204"/>
      <c r="AF2558" s="204"/>
      <c r="AG2558" s="204"/>
      <c r="AH2558" s="204"/>
      <c r="AI2558" s="209"/>
      <c r="AJ2558" s="209"/>
      <c r="AK2558" s="204"/>
      <c r="AL2558" s="204"/>
      <c r="AM2558" s="204"/>
    </row>
    <row r="2559">
      <c r="A2559" s="204"/>
      <c r="B2559" s="209"/>
      <c r="C2559" s="204"/>
      <c r="D2559" s="210"/>
      <c r="E2559" s="211"/>
      <c r="F2559" s="211"/>
      <c r="G2559" s="212"/>
      <c r="H2559" s="212"/>
      <c r="I2559" s="204"/>
      <c r="J2559" s="204"/>
      <c r="K2559" s="204"/>
      <c r="L2559" s="204"/>
      <c r="M2559" s="204"/>
      <c r="N2559" s="204"/>
      <c r="O2559" s="204"/>
      <c r="P2559" s="204"/>
      <c r="Q2559" s="204"/>
      <c r="R2559" s="204"/>
      <c r="S2559" s="204"/>
      <c r="T2559" s="204"/>
      <c r="U2559" s="204"/>
      <c r="V2559" s="204"/>
      <c r="W2559" s="204"/>
      <c r="X2559" s="204"/>
      <c r="Y2559" s="204"/>
      <c r="Z2559" s="204"/>
      <c r="AA2559" s="204"/>
      <c r="AB2559" s="204"/>
      <c r="AC2559" s="204"/>
      <c r="AD2559" s="204"/>
      <c r="AE2559" s="204"/>
      <c r="AF2559" s="204"/>
      <c r="AG2559" s="204"/>
      <c r="AH2559" s="204"/>
      <c r="AI2559" s="209"/>
      <c r="AJ2559" s="209"/>
      <c r="AK2559" s="204"/>
      <c r="AL2559" s="204"/>
      <c r="AM2559" s="204"/>
    </row>
    <row r="2560">
      <c r="A2560" s="204"/>
      <c r="B2560" s="209"/>
      <c r="C2560" s="204"/>
      <c r="D2560" s="210"/>
      <c r="E2560" s="211"/>
      <c r="F2560" s="211"/>
      <c r="G2560" s="212"/>
      <c r="H2560" s="212"/>
      <c r="I2560" s="204"/>
      <c r="J2560" s="204"/>
      <c r="K2560" s="204"/>
      <c r="L2560" s="204"/>
      <c r="M2560" s="204"/>
      <c r="N2560" s="204"/>
      <c r="O2560" s="204"/>
      <c r="P2560" s="204"/>
      <c r="Q2560" s="204"/>
      <c r="R2560" s="204"/>
      <c r="S2560" s="204"/>
      <c r="T2560" s="204"/>
      <c r="U2560" s="204"/>
      <c r="V2560" s="204"/>
      <c r="W2560" s="204"/>
      <c r="X2560" s="204"/>
      <c r="Y2560" s="204"/>
      <c r="Z2560" s="204"/>
      <c r="AA2560" s="204"/>
      <c r="AB2560" s="204"/>
      <c r="AC2560" s="204"/>
      <c r="AD2560" s="204"/>
      <c r="AE2560" s="204"/>
      <c r="AF2560" s="204"/>
      <c r="AG2560" s="204"/>
      <c r="AH2560" s="204"/>
      <c r="AI2560" s="209"/>
      <c r="AJ2560" s="209"/>
      <c r="AK2560" s="204"/>
      <c r="AL2560" s="204"/>
      <c r="AM2560" s="204"/>
    </row>
    <row r="2561">
      <c r="A2561" s="204"/>
      <c r="B2561" s="209"/>
      <c r="C2561" s="204"/>
      <c r="D2561" s="210"/>
      <c r="E2561" s="211"/>
      <c r="F2561" s="211"/>
      <c r="G2561" s="212"/>
      <c r="H2561" s="212"/>
      <c r="I2561" s="204"/>
      <c r="J2561" s="204"/>
      <c r="K2561" s="204"/>
      <c r="L2561" s="204"/>
      <c r="M2561" s="204"/>
      <c r="N2561" s="204"/>
      <c r="O2561" s="204"/>
      <c r="P2561" s="204"/>
      <c r="Q2561" s="204"/>
      <c r="R2561" s="204"/>
      <c r="S2561" s="204"/>
      <c r="T2561" s="204"/>
      <c r="U2561" s="204"/>
      <c r="V2561" s="204"/>
      <c r="W2561" s="204"/>
      <c r="X2561" s="204"/>
      <c r="Y2561" s="204"/>
      <c r="Z2561" s="204"/>
      <c r="AA2561" s="204"/>
      <c r="AB2561" s="204"/>
      <c r="AC2561" s="204"/>
      <c r="AD2561" s="204"/>
      <c r="AE2561" s="204"/>
      <c r="AF2561" s="204"/>
      <c r="AG2561" s="204"/>
      <c r="AH2561" s="204"/>
      <c r="AI2561" s="209"/>
      <c r="AJ2561" s="209"/>
      <c r="AK2561" s="204"/>
      <c r="AL2561" s="204"/>
      <c r="AM2561" s="204"/>
    </row>
    <row r="2562">
      <c r="A2562" s="204"/>
      <c r="B2562" s="209"/>
      <c r="C2562" s="204"/>
      <c r="D2562" s="210"/>
      <c r="E2562" s="211"/>
      <c r="F2562" s="211"/>
      <c r="G2562" s="212"/>
      <c r="H2562" s="212"/>
      <c r="I2562" s="204"/>
      <c r="J2562" s="204"/>
      <c r="K2562" s="204"/>
      <c r="L2562" s="204"/>
      <c r="M2562" s="204"/>
      <c r="N2562" s="204"/>
      <c r="O2562" s="204"/>
      <c r="P2562" s="204"/>
      <c r="Q2562" s="204"/>
      <c r="R2562" s="204"/>
      <c r="S2562" s="204"/>
      <c r="T2562" s="204"/>
      <c r="U2562" s="204"/>
      <c r="V2562" s="204"/>
      <c r="W2562" s="204"/>
      <c r="X2562" s="204"/>
      <c r="Y2562" s="204"/>
      <c r="Z2562" s="204"/>
      <c r="AA2562" s="204"/>
      <c r="AB2562" s="204"/>
      <c r="AC2562" s="204"/>
      <c r="AD2562" s="204"/>
      <c r="AE2562" s="204"/>
      <c r="AF2562" s="204"/>
      <c r="AG2562" s="204"/>
      <c r="AH2562" s="204"/>
      <c r="AI2562" s="209"/>
      <c r="AJ2562" s="209"/>
      <c r="AK2562" s="204"/>
      <c r="AL2562" s="204"/>
      <c r="AM2562" s="204"/>
    </row>
    <row r="2563">
      <c r="A2563" s="204"/>
      <c r="B2563" s="209"/>
      <c r="C2563" s="204"/>
      <c r="D2563" s="210"/>
      <c r="E2563" s="211"/>
      <c r="F2563" s="211"/>
      <c r="G2563" s="212"/>
      <c r="H2563" s="212"/>
      <c r="I2563" s="204"/>
      <c r="J2563" s="204"/>
      <c r="K2563" s="204"/>
      <c r="L2563" s="204"/>
      <c r="M2563" s="204"/>
      <c r="N2563" s="204"/>
      <c r="O2563" s="204"/>
      <c r="P2563" s="204"/>
      <c r="Q2563" s="204"/>
      <c r="R2563" s="204"/>
      <c r="S2563" s="204"/>
      <c r="T2563" s="204"/>
      <c r="U2563" s="204"/>
      <c r="V2563" s="204"/>
      <c r="W2563" s="204"/>
      <c r="X2563" s="204"/>
      <c r="Y2563" s="204"/>
      <c r="Z2563" s="204"/>
      <c r="AA2563" s="204"/>
      <c r="AB2563" s="204"/>
      <c r="AC2563" s="204"/>
      <c r="AD2563" s="204"/>
      <c r="AE2563" s="204"/>
      <c r="AF2563" s="204"/>
      <c r="AG2563" s="204"/>
      <c r="AH2563" s="204"/>
      <c r="AI2563" s="209"/>
      <c r="AJ2563" s="209"/>
      <c r="AK2563" s="204"/>
      <c r="AL2563" s="204"/>
      <c r="AM2563" s="204"/>
    </row>
    <row r="2564">
      <c r="A2564" s="204"/>
      <c r="B2564" s="209"/>
      <c r="C2564" s="204"/>
      <c r="D2564" s="210"/>
      <c r="E2564" s="211"/>
      <c r="F2564" s="211"/>
      <c r="G2564" s="212"/>
      <c r="H2564" s="212"/>
      <c r="I2564" s="204"/>
      <c r="J2564" s="204"/>
      <c r="K2564" s="204"/>
      <c r="L2564" s="204"/>
      <c r="M2564" s="204"/>
      <c r="N2564" s="204"/>
      <c r="O2564" s="204"/>
      <c r="P2564" s="204"/>
      <c r="Q2564" s="204"/>
      <c r="R2564" s="204"/>
      <c r="S2564" s="204"/>
      <c r="T2564" s="204"/>
      <c r="U2564" s="204"/>
      <c r="V2564" s="204"/>
      <c r="W2564" s="204"/>
      <c r="X2564" s="204"/>
      <c r="Y2564" s="204"/>
      <c r="Z2564" s="204"/>
      <c r="AA2564" s="204"/>
      <c r="AB2564" s="204"/>
      <c r="AC2564" s="204"/>
      <c r="AD2564" s="204"/>
      <c r="AE2564" s="204"/>
      <c r="AF2564" s="204"/>
      <c r="AG2564" s="204"/>
      <c r="AH2564" s="204"/>
      <c r="AI2564" s="209"/>
      <c r="AJ2564" s="209"/>
      <c r="AK2564" s="204"/>
      <c r="AL2564" s="204"/>
      <c r="AM2564" s="204"/>
    </row>
    <row r="2565">
      <c r="A2565" s="204"/>
      <c r="B2565" s="209"/>
      <c r="C2565" s="204"/>
      <c r="D2565" s="210"/>
      <c r="E2565" s="211"/>
      <c r="F2565" s="211"/>
      <c r="G2565" s="212"/>
      <c r="H2565" s="212"/>
      <c r="I2565" s="204"/>
      <c r="J2565" s="204"/>
      <c r="K2565" s="204"/>
      <c r="L2565" s="204"/>
      <c r="M2565" s="204"/>
      <c r="N2565" s="204"/>
      <c r="O2565" s="204"/>
      <c r="P2565" s="204"/>
      <c r="Q2565" s="204"/>
      <c r="R2565" s="204"/>
      <c r="S2565" s="204"/>
      <c r="T2565" s="204"/>
      <c r="U2565" s="204"/>
      <c r="V2565" s="204"/>
      <c r="W2565" s="204"/>
      <c r="X2565" s="204"/>
      <c r="Y2565" s="204"/>
      <c r="Z2565" s="204"/>
      <c r="AA2565" s="204"/>
      <c r="AB2565" s="204"/>
      <c r="AC2565" s="204"/>
      <c r="AD2565" s="204"/>
      <c r="AE2565" s="204"/>
      <c r="AF2565" s="204"/>
      <c r="AG2565" s="204"/>
      <c r="AH2565" s="204"/>
      <c r="AI2565" s="209"/>
      <c r="AJ2565" s="209"/>
      <c r="AK2565" s="204"/>
      <c r="AL2565" s="204"/>
      <c r="AM2565" s="204"/>
    </row>
    <row r="2566">
      <c r="A2566" s="204"/>
      <c r="B2566" s="209"/>
      <c r="C2566" s="204"/>
      <c r="D2566" s="210"/>
      <c r="E2566" s="211"/>
      <c r="F2566" s="211"/>
      <c r="G2566" s="212"/>
      <c r="H2566" s="212"/>
      <c r="I2566" s="204"/>
      <c r="J2566" s="204"/>
      <c r="K2566" s="204"/>
      <c r="L2566" s="204"/>
      <c r="M2566" s="204"/>
      <c r="N2566" s="204"/>
      <c r="O2566" s="204"/>
      <c r="P2566" s="204"/>
      <c r="Q2566" s="204"/>
      <c r="R2566" s="204"/>
      <c r="S2566" s="204"/>
      <c r="T2566" s="204"/>
      <c r="U2566" s="204"/>
      <c r="V2566" s="204"/>
      <c r="W2566" s="204"/>
      <c r="X2566" s="204"/>
      <c r="Y2566" s="204"/>
      <c r="Z2566" s="204"/>
      <c r="AA2566" s="204"/>
      <c r="AB2566" s="204"/>
      <c r="AC2566" s="204"/>
      <c r="AD2566" s="204"/>
      <c r="AE2566" s="204"/>
      <c r="AF2566" s="204"/>
      <c r="AG2566" s="204"/>
      <c r="AH2566" s="204"/>
      <c r="AI2566" s="209"/>
      <c r="AJ2566" s="209"/>
      <c r="AK2566" s="204"/>
      <c r="AL2566" s="204"/>
      <c r="AM2566" s="204"/>
    </row>
    <row r="2567">
      <c r="A2567" s="204"/>
      <c r="B2567" s="209"/>
      <c r="C2567" s="204"/>
      <c r="D2567" s="210"/>
      <c r="E2567" s="211"/>
      <c r="F2567" s="211"/>
      <c r="G2567" s="212"/>
      <c r="H2567" s="212"/>
      <c r="I2567" s="204"/>
      <c r="J2567" s="204"/>
      <c r="K2567" s="204"/>
      <c r="L2567" s="204"/>
      <c r="M2567" s="204"/>
      <c r="N2567" s="204"/>
      <c r="O2567" s="204"/>
      <c r="P2567" s="204"/>
      <c r="Q2567" s="204"/>
      <c r="R2567" s="204"/>
      <c r="S2567" s="204"/>
      <c r="T2567" s="204"/>
      <c r="U2567" s="204"/>
      <c r="V2567" s="204"/>
      <c r="W2567" s="204"/>
      <c r="X2567" s="204"/>
      <c r="Y2567" s="204"/>
      <c r="Z2567" s="204"/>
      <c r="AA2567" s="204"/>
      <c r="AB2567" s="204"/>
      <c r="AC2567" s="204"/>
      <c r="AD2567" s="204"/>
      <c r="AE2567" s="204"/>
      <c r="AF2567" s="204"/>
      <c r="AG2567" s="204"/>
      <c r="AH2567" s="204"/>
      <c r="AI2567" s="209"/>
      <c r="AJ2567" s="209"/>
      <c r="AK2567" s="204"/>
      <c r="AL2567" s="204"/>
      <c r="AM2567" s="204"/>
    </row>
    <row r="2568">
      <c r="A2568" s="204"/>
      <c r="B2568" s="209"/>
      <c r="C2568" s="204"/>
      <c r="D2568" s="210"/>
      <c r="E2568" s="211"/>
      <c r="F2568" s="211"/>
      <c r="G2568" s="212"/>
      <c r="H2568" s="212"/>
      <c r="I2568" s="204"/>
      <c r="J2568" s="204"/>
      <c r="K2568" s="204"/>
      <c r="L2568" s="204"/>
      <c r="M2568" s="204"/>
      <c r="N2568" s="204"/>
      <c r="O2568" s="204"/>
      <c r="P2568" s="204"/>
      <c r="Q2568" s="204"/>
      <c r="R2568" s="204"/>
      <c r="S2568" s="204"/>
      <c r="T2568" s="204"/>
      <c r="U2568" s="204"/>
      <c r="V2568" s="204"/>
      <c r="W2568" s="204"/>
      <c r="X2568" s="204"/>
      <c r="Y2568" s="204"/>
      <c r="Z2568" s="204"/>
      <c r="AA2568" s="204"/>
      <c r="AB2568" s="204"/>
      <c r="AC2568" s="204"/>
      <c r="AD2568" s="204"/>
      <c r="AE2568" s="204"/>
      <c r="AF2568" s="204"/>
      <c r="AG2568" s="204"/>
      <c r="AH2568" s="204"/>
      <c r="AI2568" s="209"/>
      <c r="AJ2568" s="209"/>
      <c r="AK2568" s="204"/>
      <c r="AL2568" s="204"/>
      <c r="AM2568" s="204"/>
    </row>
    <row r="2569">
      <c r="A2569" s="204"/>
      <c r="B2569" s="209"/>
      <c r="C2569" s="204"/>
      <c r="D2569" s="210"/>
      <c r="E2569" s="211"/>
      <c r="F2569" s="211"/>
      <c r="G2569" s="212"/>
      <c r="H2569" s="212"/>
      <c r="I2569" s="204"/>
      <c r="J2569" s="204"/>
      <c r="K2569" s="204"/>
      <c r="L2569" s="204"/>
      <c r="M2569" s="204"/>
      <c r="N2569" s="204"/>
      <c r="O2569" s="204"/>
      <c r="P2569" s="204"/>
      <c r="Q2569" s="204"/>
      <c r="R2569" s="204"/>
      <c r="S2569" s="204"/>
      <c r="T2569" s="204"/>
      <c r="U2569" s="204"/>
      <c r="V2569" s="204"/>
      <c r="W2569" s="204"/>
      <c r="X2569" s="204"/>
      <c r="Y2569" s="204"/>
      <c r="Z2569" s="204"/>
      <c r="AA2569" s="204"/>
      <c r="AB2569" s="204"/>
      <c r="AC2569" s="204"/>
      <c r="AD2569" s="204"/>
      <c r="AE2569" s="204"/>
      <c r="AF2569" s="204"/>
      <c r="AG2569" s="204"/>
      <c r="AH2569" s="204"/>
      <c r="AI2569" s="209"/>
      <c r="AJ2569" s="209"/>
      <c r="AK2569" s="204"/>
      <c r="AL2569" s="204"/>
      <c r="AM2569" s="204"/>
    </row>
    <row r="2570">
      <c r="A2570" s="204"/>
      <c r="B2570" s="209"/>
      <c r="C2570" s="204"/>
      <c r="D2570" s="210"/>
      <c r="E2570" s="211"/>
      <c r="F2570" s="211"/>
      <c r="G2570" s="212"/>
      <c r="H2570" s="212"/>
      <c r="I2570" s="204"/>
      <c r="J2570" s="204"/>
      <c r="K2570" s="204"/>
      <c r="L2570" s="204"/>
      <c r="M2570" s="204"/>
      <c r="N2570" s="204"/>
      <c r="O2570" s="204"/>
      <c r="P2570" s="204"/>
      <c r="Q2570" s="204"/>
      <c r="R2570" s="204"/>
      <c r="S2570" s="204"/>
      <c r="T2570" s="204"/>
      <c r="U2570" s="204"/>
      <c r="V2570" s="204"/>
      <c r="W2570" s="204"/>
      <c r="X2570" s="204"/>
      <c r="Y2570" s="204"/>
      <c r="Z2570" s="204"/>
      <c r="AA2570" s="204"/>
      <c r="AB2570" s="204"/>
      <c r="AC2570" s="204"/>
      <c r="AD2570" s="204"/>
      <c r="AE2570" s="204"/>
      <c r="AF2570" s="204"/>
      <c r="AG2570" s="204"/>
      <c r="AH2570" s="204"/>
      <c r="AI2570" s="209"/>
      <c r="AJ2570" s="209"/>
      <c r="AK2570" s="204"/>
      <c r="AL2570" s="204"/>
      <c r="AM2570" s="204"/>
    </row>
    <row r="2571">
      <c r="A2571" s="204"/>
      <c r="B2571" s="209"/>
      <c r="C2571" s="204"/>
      <c r="D2571" s="210"/>
      <c r="E2571" s="211"/>
      <c r="F2571" s="211"/>
      <c r="G2571" s="212"/>
      <c r="H2571" s="212"/>
      <c r="I2571" s="204"/>
      <c r="J2571" s="204"/>
      <c r="K2571" s="204"/>
      <c r="L2571" s="204"/>
      <c r="M2571" s="204"/>
      <c r="N2571" s="204"/>
      <c r="O2571" s="204"/>
      <c r="P2571" s="204"/>
      <c r="Q2571" s="204"/>
      <c r="R2571" s="204"/>
      <c r="S2571" s="204"/>
      <c r="T2571" s="204"/>
      <c r="U2571" s="204"/>
      <c r="V2571" s="204"/>
      <c r="W2571" s="204"/>
      <c r="X2571" s="204"/>
      <c r="Y2571" s="204"/>
      <c r="Z2571" s="204"/>
      <c r="AA2571" s="204"/>
      <c r="AB2571" s="204"/>
      <c r="AC2571" s="204"/>
      <c r="AD2571" s="204"/>
      <c r="AE2571" s="204"/>
      <c r="AF2571" s="204"/>
      <c r="AG2571" s="204"/>
      <c r="AH2571" s="204"/>
      <c r="AI2571" s="209"/>
      <c r="AJ2571" s="209"/>
      <c r="AK2571" s="204"/>
      <c r="AL2571" s="204"/>
      <c r="AM2571" s="204"/>
    </row>
    <row r="2572">
      <c r="A2572" s="204"/>
      <c r="B2572" s="209"/>
      <c r="C2572" s="204"/>
      <c r="D2572" s="210"/>
      <c r="E2572" s="211"/>
      <c r="F2572" s="211"/>
      <c r="G2572" s="212"/>
      <c r="H2572" s="212"/>
      <c r="I2572" s="204"/>
      <c r="J2572" s="204"/>
      <c r="K2572" s="204"/>
      <c r="L2572" s="204"/>
      <c r="M2572" s="204"/>
      <c r="N2572" s="204"/>
      <c r="O2572" s="204"/>
      <c r="P2572" s="204"/>
      <c r="Q2572" s="204"/>
      <c r="R2572" s="204"/>
      <c r="S2572" s="204"/>
      <c r="T2572" s="204"/>
      <c r="U2572" s="204"/>
      <c r="V2572" s="204"/>
      <c r="W2572" s="204"/>
      <c r="X2572" s="204"/>
      <c r="Y2572" s="204"/>
      <c r="Z2572" s="204"/>
      <c r="AA2572" s="204"/>
      <c r="AB2572" s="204"/>
      <c r="AC2572" s="204"/>
      <c r="AD2572" s="204"/>
      <c r="AE2572" s="204"/>
      <c r="AF2572" s="204"/>
      <c r="AG2572" s="204"/>
      <c r="AH2572" s="204"/>
      <c r="AI2572" s="209"/>
      <c r="AJ2572" s="209"/>
      <c r="AK2572" s="204"/>
      <c r="AL2572" s="204"/>
      <c r="AM2572" s="204"/>
    </row>
    <row r="2573">
      <c r="A2573" s="204"/>
      <c r="B2573" s="209"/>
      <c r="C2573" s="204"/>
      <c r="D2573" s="210"/>
      <c r="E2573" s="211"/>
      <c r="F2573" s="211"/>
      <c r="G2573" s="212"/>
      <c r="H2573" s="212"/>
      <c r="I2573" s="204"/>
      <c r="J2573" s="204"/>
      <c r="K2573" s="204"/>
      <c r="L2573" s="204"/>
      <c r="M2573" s="204"/>
      <c r="N2573" s="204"/>
      <c r="O2573" s="204"/>
      <c r="P2573" s="204"/>
      <c r="Q2573" s="204"/>
      <c r="R2573" s="204"/>
      <c r="S2573" s="204"/>
      <c r="T2573" s="204"/>
      <c r="U2573" s="204"/>
      <c r="V2573" s="204"/>
      <c r="W2573" s="204"/>
      <c r="X2573" s="204"/>
      <c r="Y2573" s="204"/>
      <c r="Z2573" s="204"/>
      <c r="AA2573" s="204"/>
      <c r="AB2573" s="204"/>
      <c r="AC2573" s="204"/>
      <c r="AD2573" s="204"/>
      <c r="AE2573" s="204"/>
      <c r="AF2573" s="204"/>
      <c r="AG2573" s="204"/>
      <c r="AH2573" s="204"/>
      <c r="AI2573" s="209"/>
      <c r="AJ2573" s="209"/>
      <c r="AK2573" s="204"/>
      <c r="AL2573" s="204"/>
      <c r="AM2573" s="204"/>
    </row>
    <row r="2574">
      <c r="A2574" s="204"/>
      <c r="B2574" s="209"/>
      <c r="C2574" s="204"/>
      <c r="D2574" s="210"/>
      <c r="E2574" s="211"/>
      <c r="F2574" s="211"/>
      <c r="G2574" s="212"/>
      <c r="H2574" s="212"/>
      <c r="I2574" s="204"/>
      <c r="J2574" s="204"/>
      <c r="K2574" s="204"/>
      <c r="L2574" s="204"/>
      <c r="M2574" s="204"/>
      <c r="N2574" s="204"/>
      <c r="O2574" s="204"/>
      <c r="P2574" s="204"/>
      <c r="Q2574" s="204"/>
      <c r="R2574" s="204"/>
      <c r="S2574" s="204"/>
      <c r="T2574" s="204"/>
      <c r="U2574" s="204"/>
      <c r="V2574" s="204"/>
      <c r="W2574" s="204"/>
      <c r="X2574" s="204"/>
      <c r="Y2574" s="204"/>
      <c r="Z2574" s="204"/>
      <c r="AA2574" s="204"/>
      <c r="AB2574" s="204"/>
      <c r="AC2574" s="204"/>
      <c r="AD2574" s="204"/>
      <c r="AE2574" s="204"/>
      <c r="AF2574" s="204"/>
      <c r="AG2574" s="204"/>
      <c r="AH2574" s="204"/>
      <c r="AI2574" s="209"/>
      <c r="AJ2574" s="209"/>
      <c r="AK2574" s="204"/>
      <c r="AL2574" s="204"/>
      <c r="AM2574" s="204"/>
    </row>
    <row r="2575">
      <c r="A2575" s="204"/>
      <c r="B2575" s="209"/>
      <c r="C2575" s="204"/>
      <c r="D2575" s="210"/>
      <c r="E2575" s="211"/>
      <c r="F2575" s="211"/>
      <c r="G2575" s="212"/>
      <c r="H2575" s="212"/>
      <c r="I2575" s="204"/>
      <c r="J2575" s="204"/>
      <c r="K2575" s="204"/>
      <c r="L2575" s="204"/>
      <c r="M2575" s="204"/>
      <c r="N2575" s="204"/>
      <c r="O2575" s="204"/>
      <c r="P2575" s="204"/>
      <c r="Q2575" s="204"/>
      <c r="R2575" s="204"/>
      <c r="S2575" s="204"/>
      <c r="T2575" s="204"/>
      <c r="U2575" s="204"/>
      <c r="V2575" s="204"/>
      <c r="W2575" s="204"/>
      <c r="X2575" s="204"/>
      <c r="Y2575" s="204"/>
      <c r="Z2575" s="204"/>
      <c r="AA2575" s="204"/>
      <c r="AB2575" s="204"/>
      <c r="AC2575" s="204"/>
      <c r="AD2575" s="204"/>
      <c r="AE2575" s="204"/>
      <c r="AF2575" s="204"/>
      <c r="AG2575" s="204"/>
      <c r="AH2575" s="204"/>
      <c r="AI2575" s="209"/>
      <c r="AJ2575" s="209"/>
      <c r="AK2575" s="204"/>
      <c r="AL2575" s="204"/>
      <c r="AM2575" s="204"/>
    </row>
    <row r="2576">
      <c r="A2576" s="204"/>
      <c r="B2576" s="209"/>
      <c r="C2576" s="204"/>
      <c r="D2576" s="210"/>
      <c r="E2576" s="211"/>
      <c r="F2576" s="211"/>
      <c r="G2576" s="212"/>
      <c r="H2576" s="212"/>
      <c r="I2576" s="204"/>
      <c r="J2576" s="204"/>
      <c r="K2576" s="204"/>
      <c r="L2576" s="204"/>
      <c r="M2576" s="204"/>
      <c r="N2576" s="204"/>
      <c r="O2576" s="204"/>
      <c r="P2576" s="204"/>
      <c r="Q2576" s="204"/>
      <c r="R2576" s="204"/>
      <c r="S2576" s="204"/>
      <c r="T2576" s="204"/>
      <c r="U2576" s="204"/>
      <c r="V2576" s="204"/>
      <c r="W2576" s="204"/>
      <c r="X2576" s="204"/>
      <c r="Y2576" s="204"/>
      <c r="Z2576" s="204"/>
      <c r="AA2576" s="204"/>
      <c r="AB2576" s="204"/>
      <c r="AC2576" s="204"/>
      <c r="AD2576" s="204"/>
      <c r="AE2576" s="204"/>
      <c r="AF2576" s="204"/>
      <c r="AG2576" s="204"/>
      <c r="AH2576" s="204"/>
      <c r="AI2576" s="209"/>
      <c r="AJ2576" s="209"/>
      <c r="AK2576" s="204"/>
      <c r="AL2576" s="204"/>
      <c r="AM2576" s="204"/>
    </row>
    <row r="2577">
      <c r="A2577" s="204"/>
      <c r="B2577" s="209"/>
      <c r="C2577" s="204"/>
      <c r="D2577" s="210"/>
      <c r="E2577" s="211"/>
      <c r="F2577" s="211"/>
      <c r="G2577" s="212"/>
      <c r="H2577" s="212"/>
      <c r="I2577" s="204"/>
      <c r="J2577" s="204"/>
      <c r="K2577" s="204"/>
      <c r="L2577" s="204"/>
      <c r="M2577" s="204"/>
      <c r="N2577" s="204"/>
      <c r="O2577" s="204"/>
      <c r="P2577" s="204"/>
      <c r="Q2577" s="204"/>
      <c r="R2577" s="204"/>
      <c r="S2577" s="204"/>
      <c r="T2577" s="204"/>
      <c r="U2577" s="204"/>
      <c r="V2577" s="204"/>
      <c r="W2577" s="204"/>
      <c r="X2577" s="204"/>
      <c r="Y2577" s="204"/>
      <c r="Z2577" s="204"/>
      <c r="AA2577" s="204"/>
      <c r="AB2577" s="204"/>
      <c r="AC2577" s="204"/>
      <c r="AD2577" s="204"/>
      <c r="AE2577" s="204"/>
      <c r="AF2577" s="204"/>
      <c r="AG2577" s="204"/>
      <c r="AH2577" s="204"/>
      <c r="AI2577" s="209"/>
      <c r="AJ2577" s="209"/>
      <c r="AK2577" s="204"/>
      <c r="AL2577" s="204"/>
      <c r="AM2577" s="204"/>
    </row>
    <row r="2578">
      <c r="A2578" s="204"/>
      <c r="B2578" s="209"/>
      <c r="C2578" s="204"/>
      <c r="D2578" s="210"/>
      <c r="E2578" s="211"/>
      <c r="F2578" s="211"/>
      <c r="G2578" s="212"/>
      <c r="H2578" s="212"/>
      <c r="I2578" s="204"/>
      <c r="J2578" s="204"/>
      <c r="K2578" s="204"/>
      <c r="L2578" s="204"/>
      <c r="M2578" s="204"/>
      <c r="N2578" s="204"/>
      <c r="O2578" s="204"/>
      <c r="P2578" s="204"/>
      <c r="Q2578" s="204"/>
      <c r="R2578" s="204"/>
      <c r="S2578" s="204"/>
      <c r="T2578" s="204"/>
      <c r="U2578" s="204"/>
      <c r="V2578" s="204"/>
      <c r="W2578" s="204"/>
      <c r="X2578" s="204"/>
      <c r="Y2578" s="204"/>
      <c r="Z2578" s="204"/>
      <c r="AA2578" s="204"/>
      <c r="AB2578" s="204"/>
      <c r="AC2578" s="204"/>
      <c r="AD2578" s="204"/>
      <c r="AE2578" s="204"/>
      <c r="AF2578" s="204"/>
      <c r="AG2578" s="204"/>
      <c r="AH2578" s="204"/>
      <c r="AI2578" s="209"/>
      <c r="AJ2578" s="209"/>
      <c r="AK2578" s="204"/>
      <c r="AL2578" s="204"/>
      <c r="AM2578" s="204"/>
    </row>
    <row r="2579">
      <c r="A2579" s="204"/>
      <c r="B2579" s="209"/>
      <c r="C2579" s="204"/>
      <c r="D2579" s="210"/>
      <c r="E2579" s="211"/>
      <c r="F2579" s="211"/>
      <c r="G2579" s="212"/>
      <c r="H2579" s="212"/>
      <c r="I2579" s="204"/>
      <c r="J2579" s="204"/>
      <c r="K2579" s="204"/>
      <c r="L2579" s="204"/>
      <c r="M2579" s="204"/>
      <c r="N2579" s="204"/>
      <c r="O2579" s="204"/>
      <c r="P2579" s="204"/>
      <c r="Q2579" s="204"/>
      <c r="R2579" s="204"/>
      <c r="S2579" s="204"/>
      <c r="T2579" s="204"/>
      <c r="U2579" s="204"/>
      <c r="V2579" s="204"/>
      <c r="W2579" s="204"/>
      <c r="X2579" s="204"/>
      <c r="Y2579" s="204"/>
      <c r="Z2579" s="204"/>
      <c r="AA2579" s="204"/>
      <c r="AB2579" s="204"/>
      <c r="AC2579" s="204"/>
      <c r="AD2579" s="204"/>
      <c r="AE2579" s="204"/>
      <c r="AF2579" s="204"/>
      <c r="AG2579" s="204"/>
      <c r="AH2579" s="204"/>
      <c r="AI2579" s="209"/>
      <c r="AJ2579" s="209"/>
      <c r="AK2579" s="204"/>
      <c r="AL2579" s="204"/>
      <c r="AM2579" s="204"/>
    </row>
    <row r="2580">
      <c r="A2580" s="204"/>
      <c r="B2580" s="209"/>
      <c r="C2580" s="204"/>
      <c r="D2580" s="210"/>
      <c r="E2580" s="211"/>
      <c r="F2580" s="211"/>
      <c r="G2580" s="212"/>
      <c r="H2580" s="212"/>
      <c r="I2580" s="204"/>
      <c r="J2580" s="204"/>
      <c r="K2580" s="204"/>
      <c r="L2580" s="204"/>
      <c r="M2580" s="204"/>
      <c r="N2580" s="204"/>
      <c r="O2580" s="204"/>
      <c r="P2580" s="204"/>
      <c r="Q2580" s="204"/>
      <c r="R2580" s="204"/>
      <c r="S2580" s="204"/>
      <c r="T2580" s="204"/>
      <c r="U2580" s="204"/>
      <c r="V2580" s="204"/>
      <c r="W2580" s="204"/>
      <c r="X2580" s="204"/>
      <c r="Y2580" s="204"/>
      <c r="Z2580" s="204"/>
      <c r="AA2580" s="204"/>
      <c r="AB2580" s="204"/>
      <c r="AC2580" s="204"/>
      <c r="AD2580" s="204"/>
      <c r="AE2580" s="204"/>
      <c r="AF2580" s="204"/>
      <c r="AG2580" s="204"/>
      <c r="AH2580" s="204"/>
      <c r="AI2580" s="209"/>
      <c r="AJ2580" s="209"/>
      <c r="AK2580" s="204"/>
      <c r="AL2580" s="204"/>
      <c r="AM2580" s="204"/>
    </row>
    <row r="2581">
      <c r="A2581" s="204"/>
      <c r="B2581" s="209"/>
      <c r="C2581" s="204"/>
      <c r="D2581" s="210"/>
      <c r="E2581" s="211"/>
      <c r="F2581" s="211"/>
      <c r="G2581" s="212"/>
      <c r="H2581" s="212"/>
      <c r="I2581" s="204"/>
      <c r="J2581" s="204"/>
      <c r="K2581" s="204"/>
      <c r="L2581" s="204"/>
      <c r="M2581" s="204"/>
      <c r="N2581" s="204"/>
      <c r="O2581" s="204"/>
      <c r="P2581" s="204"/>
      <c r="Q2581" s="204"/>
      <c r="R2581" s="204"/>
      <c r="S2581" s="204"/>
      <c r="T2581" s="204"/>
      <c r="U2581" s="204"/>
      <c r="V2581" s="204"/>
      <c r="W2581" s="204"/>
      <c r="X2581" s="204"/>
      <c r="Y2581" s="204"/>
      <c r="Z2581" s="204"/>
      <c r="AA2581" s="204"/>
      <c r="AB2581" s="204"/>
      <c r="AC2581" s="204"/>
      <c r="AD2581" s="204"/>
      <c r="AE2581" s="204"/>
      <c r="AF2581" s="204"/>
      <c r="AG2581" s="204"/>
      <c r="AH2581" s="204"/>
      <c r="AI2581" s="209"/>
      <c r="AJ2581" s="209"/>
      <c r="AK2581" s="204"/>
      <c r="AL2581" s="204"/>
      <c r="AM2581" s="204"/>
    </row>
    <row r="2582">
      <c r="A2582" s="204"/>
      <c r="B2582" s="209"/>
      <c r="C2582" s="204"/>
      <c r="D2582" s="210"/>
      <c r="E2582" s="211"/>
      <c r="F2582" s="211"/>
      <c r="G2582" s="212"/>
      <c r="H2582" s="212"/>
      <c r="I2582" s="204"/>
      <c r="J2582" s="204"/>
      <c r="K2582" s="204"/>
      <c r="L2582" s="204"/>
      <c r="M2582" s="204"/>
      <c r="N2582" s="204"/>
      <c r="O2582" s="204"/>
      <c r="P2582" s="204"/>
      <c r="Q2582" s="204"/>
      <c r="R2582" s="204"/>
      <c r="S2582" s="204"/>
      <c r="T2582" s="204"/>
      <c r="U2582" s="204"/>
      <c r="V2582" s="204"/>
      <c r="W2582" s="204"/>
      <c r="X2582" s="204"/>
      <c r="Y2582" s="204"/>
      <c r="Z2582" s="204"/>
      <c r="AA2582" s="204"/>
      <c r="AB2582" s="204"/>
      <c r="AC2582" s="204"/>
      <c r="AD2582" s="204"/>
      <c r="AE2582" s="204"/>
      <c r="AF2582" s="204"/>
      <c r="AG2582" s="204"/>
      <c r="AH2582" s="204"/>
      <c r="AI2582" s="209"/>
      <c r="AJ2582" s="209"/>
      <c r="AK2582" s="204"/>
      <c r="AL2582" s="204"/>
      <c r="AM2582" s="204"/>
    </row>
    <row r="2583">
      <c r="A2583" s="204"/>
      <c r="B2583" s="209"/>
      <c r="C2583" s="204"/>
      <c r="D2583" s="210"/>
      <c r="E2583" s="211"/>
      <c r="F2583" s="211"/>
      <c r="G2583" s="212"/>
      <c r="H2583" s="212"/>
      <c r="I2583" s="204"/>
      <c r="J2583" s="204"/>
      <c r="K2583" s="204"/>
      <c r="L2583" s="204"/>
      <c r="M2583" s="204"/>
      <c r="N2583" s="204"/>
      <c r="O2583" s="204"/>
      <c r="P2583" s="204"/>
      <c r="Q2583" s="204"/>
      <c r="R2583" s="204"/>
      <c r="S2583" s="204"/>
      <c r="T2583" s="204"/>
      <c r="U2583" s="204"/>
      <c r="V2583" s="204"/>
      <c r="W2583" s="204"/>
      <c r="X2583" s="204"/>
      <c r="Y2583" s="204"/>
      <c r="Z2583" s="204"/>
      <c r="AA2583" s="204"/>
      <c r="AB2583" s="204"/>
      <c r="AC2583" s="204"/>
      <c r="AD2583" s="204"/>
      <c r="AE2583" s="204"/>
      <c r="AF2583" s="204"/>
      <c r="AG2583" s="204"/>
      <c r="AH2583" s="204"/>
      <c r="AI2583" s="209"/>
      <c r="AJ2583" s="209"/>
      <c r="AK2583" s="204"/>
      <c r="AL2583" s="204"/>
      <c r="AM2583" s="204"/>
    </row>
    <row r="2584">
      <c r="A2584" s="204"/>
      <c r="B2584" s="209"/>
      <c r="C2584" s="204"/>
      <c r="D2584" s="210"/>
      <c r="E2584" s="211"/>
      <c r="F2584" s="211"/>
      <c r="G2584" s="212"/>
      <c r="H2584" s="212"/>
      <c r="I2584" s="204"/>
      <c r="J2584" s="204"/>
      <c r="K2584" s="204"/>
      <c r="L2584" s="204"/>
      <c r="M2584" s="204"/>
      <c r="N2584" s="204"/>
      <c r="O2584" s="204"/>
      <c r="P2584" s="204"/>
      <c r="Q2584" s="204"/>
      <c r="R2584" s="204"/>
      <c r="S2584" s="204"/>
      <c r="T2584" s="204"/>
      <c r="U2584" s="204"/>
      <c r="V2584" s="204"/>
      <c r="W2584" s="204"/>
      <c r="X2584" s="204"/>
      <c r="Y2584" s="204"/>
      <c r="Z2584" s="204"/>
      <c r="AA2584" s="204"/>
      <c r="AB2584" s="204"/>
      <c r="AC2584" s="204"/>
      <c r="AD2584" s="204"/>
      <c r="AE2584" s="204"/>
      <c r="AF2584" s="204"/>
      <c r="AG2584" s="204"/>
      <c r="AH2584" s="204"/>
      <c r="AI2584" s="209"/>
      <c r="AJ2584" s="209"/>
      <c r="AK2584" s="204"/>
      <c r="AL2584" s="204"/>
      <c r="AM2584" s="204"/>
    </row>
    <row r="2585">
      <c r="A2585" s="204"/>
      <c r="B2585" s="209"/>
      <c r="C2585" s="204"/>
      <c r="D2585" s="210"/>
      <c r="E2585" s="211"/>
      <c r="F2585" s="211"/>
      <c r="G2585" s="212"/>
      <c r="H2585" s="212"/>
      <c r="I2585" s="204"/>
      <c r="J2585" s="204"/>
      <c r="K2585" s="204"/>
      <c r="L2585" s="204"/>
      <c r="M2585" s="204"/>
      <c r="N2585" s="204"/>
      <c r="O2585" s="204"/>
      <c r="P2585" s="204"/>
      <c r="Q2585" s="204"/>
      <c r="R2585" s="204"/>
      <c r="S2585" s="204"/>
      <c r="T2585" s="204"/>
      <c r="U2585" s="204"/>
      <c r="V2585" s="204"/>
      <c r="W2585" s="204"/>
      <c r="X2585" s="204"/>
      <c r="Y2585" s="204"/>
      <c r="Z2585" s="204"/>
      <c r="AA2585" s="204"/>
      <c r="AB2585" s="204"/>
      <c r="AC2585" s="204"/>
      <c r="AD2585" s="204"/>
      <c r="AE2585" s="204"/>
      <c r="AF2585" s="204"/>
      <c r="AG2585" s="204"/>
      <c r="AH2585" s="204"/>
      <c r="AI2585" s="209"/>
      <c r="AJ2585" s="209"/>
      <c r="AK2585" s="204"/>
      <c r="AL2585" s="204"/>
      <c r="AM2585" s="204"/>
    </row>
    <row r="2586">
      <c r="A2586" s="204"/>
      <c r="B2586" s="209"/>
      <c r="C2586" s="204"/>
      <c r="D2586" s="210"/>
      <c r="E2586" s="211"/>
      <c r="F2586" s="211"/>
      <c r="G2586" s="212"/>
      <c r="H2586" s="212"/>
      <c r="I2586" s="204"/>
      <c r="J2586" s="204"/>
      <c r="K2586" s="204"/>
      <c r="L2586" s="204"/>
      <c r="M2586" s="204"/>
      <c r="N2586" s="204"/>
      <c r="O2586" s="204"/>
      <c r="P2586" s="204"/>
      <c r="Q2586" s="204"/>
      <c r="R2586" s="204"/>
      <c r="S2586" s="204"/>
      <c r="T2586" s="204"/>
      <c r="U2586" s="204"/>
      <c r="V2586" s="204"/>
      <c r="W2586" s="204"/>
      <c r="X2586" s="204"/>
      <c r="Y2586" s="204"/>
      <c r="Z2586" s="204"/>
      <c r="AA2586" s="204"/>
      <c r="AB2586" s="204"/>
      <c r="AC2586" s="204"/>
      <c r="AD2586" s="204"/>
      <c r="AE2586" s="204"/>
      <c r="AF2586" s="204"/>
      <c r="AG2586" s="204"/>
      <c r="AH2586" s="204"/>
      <c r="AI2586" s="209"/>
      <c r="AJ2586" s="209"/>
      <c r="AK2586" s="204"/>
      <c r="AL2586" s="204"/>
      <c r="AM2586" s="204"/>
    </row>
    <row r="2587">
      <c r="A2587" s="204"/>
      <c r="B2587" s="209"/>
      <c r="C2587" s="204"/>
      <c r="D2587" s="210"/>
      <c r="E2587" s="211"/>
      <c r="F2587" s="211"/>
      <c r="G2587" s="212"/>
      <c r="H2587" s="212"/>
      <c r="I2587" s="204"/>
      <c r="J2587" s="204"/>
      <c r="K2587" s="204"/>
      <c r="L2587" s="204"/>
      <c r="M2587" s="204"/>
      <c r="N2587" s="204"/>
      <c r="O2587" s="204"/>
      <c r="P2587" s="204"/>
      <c r="Q2587" s="204"/>
      <c r="R2587" s="204"/>
      <c r="S2587" s="204"/>
      <c r="T2587" s="204"/>
      <c r="U2587" s="204"/>
      <c r="V2587" s="204"/>
      <c r="W2587" s="204"/>
      <c r="X2587" s="204"/>
      <c r="Y2587" s="204"/>
      <c r="Z2587" s="204"/>
      <c r="AA2587" s="204"/>
      <c r="AB2587" s="204"/>
      <c r="AC2587" s="204"/>
      <c r="AD2587" s="204"/>
      <c r="AE2587" s="204"/>
      <c r="AF2587" s="204"/>
      <c r="AG2587" s="204"/>
      <c r="AH2587" s="204"/>
      <c r="AI2587" s="209"/>
      <c r="AJ2587" s="209"/>
      <c r="AK2587" s="204"/>
      <c r="AL2587" s="204"/>
      <c r="AM2587" s="204"/>
    </row>
    <row r="2588">
      <c r="A2588" s="204"/>
      <c r="B2588" s="209"/>
      <c r="C2588" s="204"/>
      <c r="D2588" s="210"/>
      <c r="E2588" s="211"/>
      <c r="F2588" s="211"/>
      <c r="G2588" s="212"/>
      <c r="H2588" s="212"/>
      <c r="I2588" s="204"/>
      <c r="J2588" s="204"/>
      <c r="K2588" s="204"/>
      <c r="L2588" s="204"/>
      <c r="M2588" s="204"/>
      <c r="N2588" s="204"/>
      <c r="O2588" s="204"/>
      <c r="P2588" s="204"/>
      <c r="Q2588" s="204"/>
      <c r="R2588" s="204"/>
      <c r="S2588" s="204"/>
      <c r="T2588" s="204"/>
      <c r="U2588" s="204"/>
      <c r="V2588" s="204"/>
      <c r="W2588" s="204"/>
      <c r="X2588" s="204"/>
      <c r="Y2588" s="204"/>
      <c r="Z2588" s="204"/>
      <c r="AA2588" s="204"/>
      <c r="AB2588" s="204"/>
      <c r="AC2588" s="204"/>
      <c r="AD2588" s="204"/>
      <c r="AE2588" s="204"/>
      <c r="AF2588" s="204"/>
      <c r="AG2588" s="204"/>
      <c r="AH2588" s="204"/>
      <c r="AI2588" s="209"/>
      <c r="AJ2588" s="209"/>
      <c r="AK2588" s="204"/>
      <c r="AL2588" s="204"/>
      <c r="AM2588" s="204"/>
    </row>
    <row r="2589">
      <c r="A2589" s="204"/>
      <c r="B2589" s="209"/>
      <c r="C2589" s="204"/>
      <c r="D2589" s="210"/>
      <c r="E2589" s="211"/>
      <c r="F2589" s="211"/>
      <c r="G2589" s="212"/>
      <c r="H2589" s="212"/>
      <c r="I2589" s="204"/>
      <c r="J2589" s="204"/>
      <c r="K2589" s="204"/>
      <c r="L2589" s="204"/>
      <c r="M2589" s="204"/>
      <c r="N2589" s="204"/>
      <c r="O2589" s="204"/>
      <c r="P2589" s="204"/>
      <c r="Q2589" s="204"/>
      <c r="R2589" s="204"/>
      <c r="S2589" s="204"/>
      <c r="T2589" s="204"/>
      <c r="U2589" s="204"/>
      <c r="V2589" s="204"/>
      <c r="W2589" s="204"/>
      <c r="X2589" s="204"/>
      <c r="Y2589" s="204"/>
      <c r="Z2589" s="204"/>
      <c r="AA2589" s="204"/>
      <c r="AB2589" s="204"/>
      <c r="AC2589" s="204"/>
      <c r="AD2589" s="204"/>
      <c r="AE2589" s="204"/>
      <c r="AF2589" s="204"/>
      <c r="AG2589" s="204"/>
      <c r="AH2589" s="204"/>
      <c r="AI2589" s="209"/>
      <c r="AJ2589" s="209"/>
      <c r="AK2589" s="204"/>
      <c r="AL2589" s="204"/>
      <c r="AM2589" s="204"/>
    </row>
    <row r="2590">
      <c r="A2590" s="204"/>
      <c r="B2590" s="209"/>
      <c r="C2590" s="204"/>
      <c r="D2590" s="210"/>
      <c r="E2590" s="211"/>
      <c r="F2590" s="211"/>
      <c r="G2590" s="212"/>
      <c r="H2590" s="212"/>
      <c r="I2590" s="204"/>
      <c r="J2590" s="204"/>
      <c r="K2590" s="204"/>
      <c r="L2590" s="204"/>
      <c r="M2590" s="204"/>
      <c r="N2590" s="204"/>
      <c r="O2590" s="204"/>
      <c r="P2590" s="204"/>
      <c r="Q2590" s="204"/>
      <c r="R2590" s="204"/>
      <c r="S2590" s="204"/>
      <c r="T2590" s="204"/>
      <c r="U2590" s="204"/>
      <c r="V2590" s="204"/>
      <c r="W2590" s="204"/>
      <c r="X2590" s="204"/>
      <c r="Y2590" s="204"/>
      <c r="Z2590" s="204"/>
      <c r="AA2590" s="204"/>
      <c r="AB2590" s="204"/>
      <c r="AC2590" s="204"/>
      <c r="AD2590" s="204"/>
      <c r="AE2590" s="204"/>
      <c r="AF2590" s="204"/>
      <c r="AG2590" s="204"/>
      <c r="AH2590" s="204"/>
      <c r="AI2590" s="209"/>
      <c r="AJ2590" s="209"/>
      <c r="AK2590" s="204"/>
      <c r="AL2590" s="204"/>
      <c r="AM2590" s="204"/>
    </row>
    <row r="2591">
      <c r="A2591" s="204"/>
      <c r="B2591" s="209"/>
      <c r="C2591" s="204"/>
      <c r="D2591" s="210"/>
      <c r="E2591" s="211"/>
      <c r="F2591" s="211"/>
      <c r="G2591" s="212"/>
      <c r="H2591" s="212"/>
      <c r="I2591" s="204"/>
      <c r="J2591" s="204"/>
      <c r="K2591" s="204"/>
      <c r="L2591" s="204"/>
      <c r="M2591" s="204"/>
      <c r="N2591" s="204"/>
      <c r="O2591" s="204"/>
      <c r="P2591" s="204"/>
      <c r="Q2591" s="204"/>
      <c r="R2591" s="204"/>
      <c r="S2591" s="204"/>
      <c r="T2591" s="204"/>
      <c r="U2591" s="204"/>
      <c r="V2591" s="204"/>
      <c r="W2591" s="204"/>
      <c r="X2591" s="204"/>
      <c r="Y2591" s="204"/>
      <c r="Z2591" s="204"/>
      <c r="AA2591" s="204"/>
      <c r="AB2591" s="204"/>
      <c r="AC2591" s="204"/>
      <c r="AD2591" s="204"/>
      <c r="AE2591" s="204"/>
      <c r="AF2591" s="204"/>
      <c r="AG2591" s="204"/>
      <c r="AH2591" s="204"/>
      <c r="AI2591" s="209"/>
      <c r="AJ2591" s="209"/>
      <c r="AK2591" s="204"/>
      <c r="AL2591" s="204"/>
      <c r="AM2591" s="204"/>
    </row>
    <row r="2592">
      <c r="A2592" s="204"/>
      <c r="B2592" s="209"/>
      <c r="C2592" s="204"/>
      <c r="D2592" s="210"/>
      <c r="E2592" s="211"/>
      <c r="F2592" s="211"/>
      <c r="G2592" s="212"/>
      <c r="H2592" s="212"/>
      <c r="I2592" s="204"/>
      <c r="J2592" s="204"/>
      <c r="K2592" s="204"/>
      <c r="L2592" s="204"/>
      <c r="M2592" s="204"/>
      <c r="N2592" s="204"/>
      <c r="O2592" s="204"/>
      <c r="P2592" s="204"/>
      <c r="Q2592" s="204"/>
      <c r="R2592" s="204"/>
      <c r="S2592" s="204"/>
      <c r="T2592" s="204"/>
      <c r="U2592" s="204"/>
      <c r="V2592" s="204"/>
      <c r="W2592" s="204"/>
      <c r="X2592" s="204"/>
      <c r="Y2592" s="204"/>
      <c r="Z2592" s="204"/>
      <c r="AA2592" s="204"/>
      <c r="AB2592" s="204"/>
      <c r="AC2592" s="204"/>
      <c r="AD2592" s="204"/>
      <c r="AE2592" s="204"/>
      <c r="AF2592" s="204"/>
      <c r="AG2592" s="204"/>
      <c r="AH2592" s="204"/>
      <c r="AI2592" s="209"/>
      <c r="AJ2592" s="209"/>
      <c r="AK2592" s="204"/>
      <c r="AL2592" s="204"/>
      <c r="AM2592" s="204"/>
    </row>
    <row r="2593">
      <c r="A2593" s="204"/>
      <c r="B2593" s="209"/>
      <c r="C2593" s="204"/>
      <c r="D2593" s="210"/>
      <c r="E2593" s="211"/>
      <c r="F2593" s="211"/>
      <c r="G2593" s="212"/>
      <c r="H2593" s="212"/>
      <c r="I2593" s="204"/>
      <c r="J2593" s="204"/>
      <c r="K2593" s="204"/>
      <c r="L2593" s="204"/>
      <c r="M2593" s="204"/>
      <c r="N2593" s="204"/>
      <c r="O2593" s="204"/>
      <c r="P2593" s="204"/>
      <c r="Q2593" s="204"/>
      <c r="R2593" s="204"/>
      <c r="S2593" s="204"/>
      <c r="T2593" s="204"/>
      <c r="U2593" s="204"/>
      <c r="V2593" s="204"/>
      <c r="W2593" s="204"/>
      <c r="X2593" s="204"/>
      <c r="Y2593" s="204"/>
      <c r="Z2593" s="204"/>
      <c r="AA2593" s="204"/>
      <c r="AB2593" s="204"/>
      <c r="AC2593" s="204"/>
      <c r="AD2593" s="204"/>
      <c r="AE2593" s="204"/>
      <c r="AF2593" s="204"/>
      <c r="AG2593" s="204"/>
      <c r="AH2593" s="204"/>
      <c r="AI2593" s="209"/>
      <c r="AJ2593" s="209"/>
      <c r="AK2593" s="204"/>
      <c r="AL2593" s="204"/>
      <c r="AM2593" s="204"/>
    </row>
    <row r="2594">
      <c r="A2594" s="204"/>
      <c r="B2594" s="209"/>
      <c r="C2594" s="204"/>
      <c r="D2594" s="210"/>
      <c r="E2594" s="211"/>
      <c r="F2594" s="211"/>
      <c r="G2594" s="212"/>
      <c r="H2594" s="212"/>
      <c r="I2594" s="204"/>
      <c r="J2594" s="204"/>
      <c r="K2594" s="204"/>
      <c r="L2594" s="204"/>
      <c r="M2594" s="204"/>
      <c r="N2594" s="204"/>
      <c r="O2594" s="204"/>
      <c r="P2594" s="204"/>
      <c r="Q2594" s="204"/>
      <c r="R2594" s="204"/>
      <c r="S2594" s="204"/>
      <c r="T2594" s="204"/>
      <c r="U2594" s="204"/>
      <c r="V2594" s="204"/>
      <c r="W2594" s="204"/>
      <c r="X2594" s="204"/>
      <c r="Y2594" s="204"/>
      <c r="Z2594" s="204"/>
      <c r="AA2594" s="204"/>
      <c r="AB2594" s="204"/>
      <c r="AC2594" s="204"/>
      <c r="AD2594" s="204"/>
      <c r="AE2594" s="204"/>
      <c r="AF2594" s="204"/>
      <c r="AG2594" s="204"/>
      <c r="AH2594" s="204"/>
      <c r="AI2594" s="209"/>
      <c r="AJ2594" s="209"/>
      <c r="AK2594" s="204"/>
      <c r="AL2594" s="204"/>
      <c r="AM2594" s="204"/>
    </row>
    <row r="2595">
      <c r="A2595" s="204"/>
      <c r="B2595" s="209"/>
      <c r="C2595" s="204"/>
      <c r="D2595" s="210"/>
      <c r="E2595" s="211"/>
      <c r="F2595" s="211"/>
      <c r="G2595" s="212"/>
      <c r="H2595" s="212"/>
      <c r="I2595" s="204"/>
      <c r="J2595" s="204"/>
      <c r="K2595" s="204"/>
      <c r="L2595" s="204"/>
      <c r="M2595" s="204"/>
      <c r="N2595" s="204"/>
      <c r="O2595" s="204"/>
      <c r="P2595" s="204"/>
      <c r="Q2595" s="204"/>
      <c r="R2595" s="204"/>
      <c r="S2595" s="204"/>
      <c r="T2595" s="204"/>
      <c r="U2595" s="204"/>
      <c r="V2595" s="204"/>
      <c r="W2595" s="204"/>
      <c r="X2595" s="204"/>
      <c r="Y2595" s="204"/>
      <c r="Z2595" s="204"/>
      <c r="AA2595" s="204"/>
      <c r="AB2595" s="204"/>
      <c r="AC2595" s="204"/>
      <c r="AD2595" s="204"/>
      <c r="AE2595" s="204"/>
      <c r="AF2595" s="204"/>
      <c r="AG2595" s="204"/>
      <c r="AH2595" s="204"/>
      <c r="AI2595" s="209"/>
      <c r="AJ2595" s="209"/>
      <c r="AK2595" s="204"/>
      <c r="AL2595" s="204"/>
      <c r="AM2595" s="204"/>
    </row>
    <row r="2596">
      <c r="A2596" s="204"/>
      <c r="B2596" s="209"/>
      <c r="C2596" s="204"/>
      <c r="D2596" s="210"/>
      <c r="E2596" s="211"/>
      <c r="F2596" s="211"/>
      <c r="G2596" s="212"/>
      <c r="H2596" s="212"/>
      <c r="I2596" s="204"/>
      <c r="J2596" s="204"/>
      <c r="K2596" s="204"/>
      <c r="L2596" s="204"/>
      <c r="M2596" s="204"/>
      <c r="N2596" s="204"/>
      <c r="O2596" s="204"/>
      <c r="P2596" s="204"/>
      <c r="Q2596" s="204"/>
      <c r="R2596" s="204"/>
      <c r="S2596" s="204"/>
      <c r="T2596" s="204"/>
      <c r="U2596" s="204"/>
      <c r="V2596" s="204"/>
      <c r="W2596" s="204"/>
      <c r="X2596" s="204"/>
      <c r="Y2596" s="204"/>
      <c r="Z2596" s="204"/>
      <c r="AA2596" s="204"/>
      <c r="AB2596" s="204"/>
      <c r="AC2596" s="204"/>
      <c r="AD2596" s="204"/>
      <c r="AE2596" s="204"/>
      <c r="AF2596" s="204"/>
      <c r="AG2596" s="204"/>
      <c r="AH2596" s="204"/>
      <c r="AI2596" s="209"/>
      <c r="AJ2596" s="209"/>
      <c r="AK2596" s="204"/>
      <c r="AL2596" s="204"/>
      <c r="AM2596" s="204"/>
    </row>
    <row r="2597">
      <c r="A2597" s="204"/>
      <c r="B2597" s="209"/>
      <c r="C2597" s="204"/>
      <c r="D2597" s="210"/>
      <c r="E2597" s="211"/>
      <c r="F2597" s="211"/>
      <c r="G2597" s="212"/>
      <c r="H2597" s="212"/>
      <c r="I2597" s="204"/>
      <c r="J2597" s="204"/>
      <c r="K2597" s="204"/>
      <c r="L2597" s="204"/>
      <c r="M2597" s="204"/>
      <c r="N2597" s="204"/>
      <c r="O2597" s="204"/>
      <c r="P2597" s="204"/>
      <c r="Q2597" s="204"/>
      <c r="R2597" s="204"/>
      <c r="S2597" s="204"/>
      <c r="T2597" s="204"/>
      <c r="U2597" s="204"/>
      <c r="V2597" s="204"/>
      <c r="W2597" s="204"/>
      <c r="X2597" s="204"/>
      <c r="Y2597" s="204"/>
      <c r="Z2597" s="204"/>
      <c r="AA2597" s="204"/>
      <c r="AB2597" s="204"/>
      <c r="AC2597" s="204"/>
      <c r="AD2597" s="204"/>
      <c r="AE2597" s="204"/>
      <c r="AF2597" s="204"/>
      <c r="AG2597" s="204"/>
      <c r="AH2597" s="204"/>
      <c r="AI2597" s="209"/>
      <c r="AJ2597" s="209"/>
      <c r="AK2597" s="204"/>
      <c r="AL2597" s="204"/>
      <c r="AM2597" s="204"/>
    </row>
    <row r="2598">
      <c r="A2598" s="204"/>
      <c r="B2598" s="209"/>
      <c r="C2598" s="204"/>
      <c r="D2598" s="210"/>
      <c r="E2598" s="211"/>
      <c r="F2598" s="211"/>
      <c r="G2598" s="212"/>
      <c r="H2598" s="212"/>
      <c r="I2598" s="204"/>
      <c r="J2598" s="204"/>
      <c r="K2598" s="204"/>
      <c r="L2598" s="204"/>
      <c r="M2598" s="204"/>
      <c r="N2598" s="204"/>
      <c r="O2598" s="204"/>
      <c r="P2598" s="204"/>
      <c r="Q2598" s="204"/>
      <c r="R2598" s="204"/>
      <c r="S2598" s="204"/>
      <c r="T2598" s="204"/>
      <c r="U2598" s="204"/>
      <c r="V2598" s="204"/>
      <c r="W2598" s="204"/>
      <c r="X2598" s="204"/>
      <c r="Y2598" s="204"/>
      <c r="Z2598" s="204"/>
      <c r="AA2598" s="204"/>
      <c r="AB2598" s="204"/>
      <c r="AC2598" s="204"/>
      <c r="AD2598" s="204"/>
      <c r="AE2598" s="204"/>
      <c r="AF2598" s="204"/>
      <c r="AG2598" s="204"/>
      <c r="AH2598" s="204"/>
      <c r="AI2598" s="209"/>
      <c r="AJ2598" s="209"/>
      <c r="AK2598" s="204"/>
      <c r="AL2598" s="204"/>
      <c r="AM2598" s="204"/>
    </row>
    <row r="2599">
      <c r="A2599" s="204"/>
      <c r="B2599" s="209"/>
      <c r="C2599" s="204"/>
      <c r="D2599" s="210"/>
      <c r="E2599" s="211"/>
      <c r="F2599" s="211"/>
      <c r="G2599" s="212"/>
      <c r="H2599" s="212"/>
      <c r="I2599" s="204"/>
      <c r="J2599" s="204"/>
      <c r="K2599" s="204"/>
      <c r="L2599" s="204"/>
      <c r="M2599" s="204"/>
      <c r="N2599" s="204"/>
      <c r="O2599" s="204"/>
      <c r="P2599" s="204"/>
      <c r="Q2599" s="204"/>
      <c r="R2599" s="204"/>
      <c r="S2599" s="204"/>
      <c r="T2599" s="204"/>
      <c r="U2599" s="204"/>
      <c r="V2599" s="204"/>
      <c r="W2599" s="204"/>
      <c r="X2599" s="204"/>
      <c r="Y2599" s="204"/>
      <c r="Z2599" s="204"/>
      <c r="AA2599" s="204"/>
      <c r="AB2599" s="204"/>
      <c r="AC2599" s="204"/>
      <c r="AD2599" s="204"/>
      <c r="AE2599" s="204"/>
      <c r="AF2599" s="204"/>
      <c r="AG2599" s="204"/>
      <c r="AH2599" s="204"/>
      <c r="AI2599" s="209"/>
      <c r="AJ2599" s="209"/>
      <c r="AK2599" s="204"/>
      <c r="AL2599" s="204"/>
      <c r="AM2599" s="204"/>
    </row>
    <row r="2600">
      <c r="A2600" s="204"/>
      <c r="B2600" s="209"/>
      <c r="C2600" s="204"/>
      <c r="D2600" s="210"/>
      <c r="E2600" s="211"/>
      <c r="F2600" s="211"/>
      <c r="G2600" s="212"/>
      <c r="H2600" s="212"/>
      <c r="I2600" s="204"/>
      <c r="J2600" s="204"/>
      <c r="K2600" s="204"/>
      <c r="L2600" s="204"/>
      <c r="M2600" s="204"/>
      <c r="N2600" s="204"/>
      <c r="O2600" s="204"/>
      <c r="P2600" s="204"/>
      <c r="Q2600" s="204"/>
      <c r="R2600" s="204"/>
      <c r="S2600" s="204"/>
      <c r="T2600" s="204"/>
      <c r="U2600" s="204"/>
      <c r="V2600" s="204"/>
      <c r="W2600" s="204"/>
      <c r="X2600" s="204"/>
      <c r="Y2600" s="204"/>
      <c r="Z2600" s="204"/>
      <c r="AA2600" s="204"/>
      <c r="AB2600" s="204"/>
      <c r="AC2600" s="204"/>
      <c r="AD2600" s="204"/>
      <c r="AE2600" s="204"/>
      <c r="AF2600" s="204"/>
      <c r="AG2600" s="204"/>
      <c r="AH2600" s="204"/>
      <c r="AI2600" s="209"/>
      <c r="AJ2600" s="209"/>
      <c r="AK2600" s="204"/>
      <c r="AL2600" s="204"/>
      <c r="AM2600" s="204"/>
    </row>
    <row r="2601">
      <c r="A2601" s="204"/>
      <c r="B2601" s="209"/>
      <c r="C2601" s="204"/>
      <c r="D2601" s="210"/>
      <c r="E2601" s="211"/>
      <c r="F2601" s="211"/>
      <c r="G2601" s="212"/>
      <c r="H2601" s="212"/>
      <c r="I2601" s="204"/>
      <c r="J2601" s="204"/>
      <c r="K2601" s="204"/>
      <c r="L2601" s="204"/>
      <c r="M2601" s="204"/>
      <c r="N2601" s="204"/>
      <c r="O2601" s="204"/>
      <c r="P2601" s="204"/>
      <c r="Q2601" s="204"/>
      <c r="R2601" s="204"/>
      <c r="S2601" s="204"/>
      <c r="T2601" s="204"/>
      <c r="U2601" s="204"/>
      <c r="V2601" s="204"/>
      <c r="W2601" s="204"/>
      <c r="X2601" s="204"/>
      <c r="Y2601" s="204"/>
      <c r="Z2601" s="204"/>
      <c r="AA2601" s="204"/>
      <c r="AB2601" s="204"/>
      <c r="AC2601" s="204"/>
      <c r="AD2601" s="204"/>
      <c r="AE2601" s="204"/>
      <c r="AF2601" s="204"/>
      <c r="AG2601" s="204"/>
      <c r="AH2601" s="204"/>
      <c r="AI2601" s="209"/>
      <c r="AJ2601" s="209"/>
      <c r="AK2601" s="204"/>
      <c r="AL2601" s="204"/>
      <c r="AM2601" s="204"/>
    </row>
    <row r="2602">
      <c r="A2602" s="204"/>
      <c r="B2602" s="209"/>
      <c r="C2602" s="204"/>
      <c r="D2602" s="210"/>
      <c r="E2602" s="211"/>
      <c r="F2602" s="211"/>
      <c r="G2602" s="212"/>
      <c r="H2602" s="212"/>
      <c r="I2602" s="204"/>
      <c r="J2602" s="204"/>
      <c r="K2602" s="204"/>
      <c r="L2602" s="204"/>
      <c r="M2602" s="204"/>
      <c r="N2602" s="204"/>
      <c r="O2602" s="204"/>
      <c r="P2602" s="204"/>
      <c r="Q2602" s="204"/>
      <c r="R2602" s="204"/>
      <c r="S2602" s="204"/>
      <c r="T2602" s="204"/>
      <c r="U2602" s="204"/>
      <c r="V2602" s="204"/>
      <c r="W2602" s="204"/>
      <c r="X2602" s="204"/>
      <c r="Y2602" s="204"/>
      <c r="Z2602" s="204"/>
      <c r="AA2602" s="204"/>
      <c r="AB2602" s="204"/>
      <c r="AC2602" s="204"/>
      <c r="AD2602" s="204"/>
      <c r="AE2602" s="204"/>
      <c r="AF2602" s="204"/>
      <c r="AG2602" s="204"/>
      <c r="AH2602" s="204"/>
      <c r="AI2602" s="209"/>
      <c r="AJ2602" s="209"/>
      <c r="AK2602" s="204"/>
      <c r="AL2602" s="204"/>
      <c r="AM2602" s="204"/>
    </row>
    <row r="2603">
      <c r="A2603" s="204"/>
      <c r="B2603" s="209"/>
      <c r="C2603" s="204"/>
      <c r="D2603" s="210"/>
      <c r="E2603" s="211"/>
      <c r="F2603" s="211"/>
      <c r="G2603" s="212"/>
      <c r="H2603" s="212"/>
      <c r="I2603" s="204"/>
      <c r="J2603" s="204"/>
      <c r="K2603" s="204"/>
      <c r="L2603" s="204"/>
      <c r="M2603" s="204"/>
      <c r="N2603" s="204"/>
      <c r="O2603" s="204"/>
      <c r="P2603" s="204"/>
      <c r="Q2603" s="204"/>
      <c r="R2603" s="204"/>
      <c r="S2603" s="204"/>
      <c r="T2603" s="204"/>
      <c r="U2603" s="204"/>
      <c r="V2603" s="204"/>
      <c r="W2603" s="204"/>
      <c r="X2603" s="204"/>
      <c r="Y2603" s="204"/>
      <c r="Z2603" s="204"/>
      <c r="AA2603" s="204"/>
      <c r="AB2603" s="204"/>
      <c r="AC2603" s="204"/>
      <c r="AD2603" s="204"/>
      <c r="AE2603" s="204"/>
      <c r="AF2603" s="204"/>
      <c r="AG2603" s="204"/>
      <c r="AH2603" s="204"/>
      <c r="AI2603" s="209"/>
      <c r="AJ2603" s="209"/>
      <c r="AK2603" s="204"/>
      <c r="AL2603" s="204"/>
      <c r="AM2603" s="204"/>
    </row>
    <row r="2604">
      <c r="A2604" s="204"/>
      <c r="B2604" s="209"/>
      <c r="C2604" s="204"/>
      <c r="D2604" s="210"/>
      <c r="E2604" s="211"/>
      <c r="F2604" s="211"/>
      <c r="G2604" s="212"/>
      <c r="H2604" s="212"/>
      <c r="I2604" s="204"/>
      <c r="J2604" s="204"/>
      <c r="K2604" s="204"/>
      <c r="L2604" s="204"/>
      <c r="M2604" s="204"/>
      <c r="N2604" s="204"/>
      <c r="O2604" s="204"/>
      <c r="P2604" s="204"/>
      <c r="Q2604" s="204"/>
      <c r="R2604" s="204"/>
      <c r="S2604" s="204"/>
      <c r="T2604" s="204"/>
      <c r="U2604" s="204"/>
      <c r="V2604" s="204"/>
      <c r="W2604" s="204"/>
      <c r="X2604" s="204"/>
      <c r="Y2604" s="204"/>
      <c r="Z2604" s="204"/>
      <c r="AA2604" s="204"/>
      <c r="AB2604" s="204"/>
      <c r="AC2604" s="204"/>
      <c r="AD2604" s="204"/>
      <c r="AE2604" s="204"/>
      <c r="AF2604" s="204"/>
      <c r="AG2604" s="204"/>
      <c r="AH2604" s="204"/>
      <c r="AI2604" s="209"/>
      <c r="AJ2604" s="209"/>
      <c r="AK2604" s="204"/>
      <c r="AL2604" s="204"/>
      <c r="AM2604" s="204"/>
    </row>
    <row r="2605">
      <c r="A2605" s="204"/>
      <c r="B2605" s="209"/>
      <c r="C2605" s="204"/>
      <c r="D2605" s="210"/>
      <c r="E2605" s="211"/>
      <c r="F2605" s="211"/>
      <c r="G2605" s="212"/>
      <c r="H2605" s="212"/>
      <c r="I2605" s="204"/>
      <c r="J2605" s="204"/>
      <c r="K2605" s="204"/>
      <c r="L2605" s="204"/>
      <c r="M2605" s="204"/>
      <c r="N2605" s="204"/>
      <c r="O2605" s="204"/>
      <c r="P2605" s="204"/>
      <c r="Q2605" s="204"/>
      <c r="R2605" s="204"/>
      <c r="S2605" s="204"/>
      <c r="T2605" s="204"/>
      <c r="U2605" s="204"/>
      <c r="V2605" s="204"/>
      <c r="W2605" s="204"/>
      <c r="X2605" s="204"/>
      <c r="Y2605" s="204"/>
      <c r="Z2605" s="204"/>
      <c r="AA2605" s="204"/>
      <c r="AB2605" s="204"/>
      <c r="AC2605" s="204"/>
      <c r="AD2605" s="204"/>
      <c r="AE2605" s="204"/>
      <c r="AF2605" s="204"/>
      <c r="AG2605" s="204"/>
      <c r="AH2605" s="204"/>
      <c r="AI2605" s="209"/>
      <c r="AJ2605" s="209"/>
      <c r="AK2605" s="204"/>
      <c r="AL2605" s="204"/>
      <c r="AM2605" s="204"/>
    </row>
    <row r="2606">
      <c r="A2606" s="204"/>
      <c r="B2606" s="209"/>
      <c r="C2606" s="204"/>
      <c r="D2606" s="210"/>
      <c r="E2606" s="211"/>
      <c r="F2606" s="211"/>
      <c r="G2606" s="212"/>
      <c r="H2606" s="212"/>
      <c r="I2606" s="204"/>
      <c r="J2606" s="204"/>
      <c r="K2606" s="204"/>
      <c r="L2606" s="204"/>
      <c r="M2606" s="204"/>
      <c r="N2606" s="204"/>
      <c r="O2606" s="204"/>
      <c r="P2606" s="204"/>
      <c r="Q2606" s="204"/>
      <c r="R2606" s="204"/>
      <c r="S2606" s="204"/>
      <c r="T2606" s="204"/>
      <c r="U2606" s="204"/>
      <c r="V2606" s="204"/>
      <c r="W2606" s="204"/>
      <c r="X2606" s="204"/>
      <c r="Y2606" s="204"/>
      <c r="Z2606" s="204"/>
      <c r="AA2606" s="204"/>
      <c r="AB2606" s="204"/>
      <c r="AC2606" s="204"/>
      <c r="AD2606" s="204"/>
      <c r="AE2606" s="204"/>
      <c r="AF2606" s="204"/>
      <c r="AG2606" s="204"/>
      <c r="AH2606" s="204"/>
      <c r="AI2606" s="209"/>
      <c r="AJ2606" s="209"/>
      <c r="AK2606" s="204"/>
      <c r="AL2606" s="204"/>
      <c r="AM2606" s="204"/>
    </row>
    <row r="2607">
      <c r="A2607" s="204"/>
      <c r="B2607" s="209"/>
      <c r="C2607" s="204"/>
      <c r="D2607" s="210"/>
      <c r="E2607" s="211"/>
      <c r="F2607" s="211"/>
      <c r="G2607" s="212"/>
      <c r="H2607" s="212"/>
      <c r="I2607" s="204"/>
      <c r="J2607" s="204"/>
      <c r="K2607" s="204"/>
      <c r="L2607" s="204"/>
      <c r="M2607" s="204"/>
      <c r="N2607" s="204"/>
      <c r="O2607" s="204"/>
      <c r="P2607" s="204"/>
      <c r="Q2607" s="204"/>
      <c r="R2607" s="204"/>
      <c r="S2607" s="204"/>
      <c r="T2607" s="204"/>
      <c r="U2607" s="204"/>
      <c r="V2607" s="204"/>
      <c r="W2607" s="204"/>
      <c r="X2607" s="204"/>
      <c r="Y2607" s="204"/>
      <c r="Z2607" s="204"/>
      <c r="AA2607" s="204"/>
      <c r="AB2607" s="204"/>
      <c r="AC2607" s="204"/>
      <c r="AD2607" s="204"/>
      <c r="AE2607" s="204"/>
      <c r="AF2607" s="204"/>
      <c r="AG2607" s="204"/>
      <c r="AH2607" s="204"/>
      <c r="AI2607" s="209"/>
      <c r="AJ2607" s="209"/>
      <c r="AK2607" s="204"/>
      <c r="AL2607" s="204"/>
      <c r="AM2607" s="204"/>
    </row>
    <row r="2608">
      <c r="A2608" s="204"/>
      <c r="B2608" s="209"/>
      <c r="C2608" s="204"/>
      <c r="D2608" s="210"/>
      <c r="E2608" s="211"/>
      <c r="F2608" s="211"/>
      <c r="G2608" s="212"/>
      <c r="H2608" s="212"/>
      <c r="I2608" s="204"/>
      <c r="J2608" s="204"/>
      <c r="K2608" s="204"/>
      <c r="L2608" s="204"/>
      <c r="M2608" s="204"/>
      <c r="N2608" s="204"/>
      <c r="O2608" s="204"/>
      <c r="P2608" s="204"/>
      <c r="Q2608" s="204"/>
      <c r="R2608" s="204"/>
      <c r="S2608" s="204"/>
      <c r="T2608" s="204"/>
      <c r="U2608" s="204"/>
      <c r="V2608" s="204"/>
      <c r="W2608" s="204"/>
      <c r="X2608" s="204"/>
      <c r="Y2608" s="204"/>
      <c r="Z2608" s="204"/>
      <c r="AA2608" s="204"/>
      <c r="AB2608" s="204"/>
      <c r="AC2608" s="204"/>
      <c r="AD2608" s="204"/>
      <c r="AE2608" s="204"/>
      <c r="AF2608" s="204"/>
      <c r="AG2608" s="204"/>
      <c r="AH2608" s="204"/>
      <c r="AI2608" s="209"/>
      <c r="AJ2608" s="209"/>
      <c r="AK2608" s="204"/>
      <c r="AL2608" s="204"/>
      <c r="AM2608" s="204"/>
    </row>
    <row r="2609">
      <c r="A2609" s="204"/>
      <c r="B2609" s="209"/>
      <c r="C2609" s="204"/>
      <c r="D2609" s="210"/>
      <c r="E2609" s="211"/>
      <c r="F2609" s="211"/>
      <c r="G2609" s="212"/>
      <c r="H2609" s="212"/>
      <c r="I2609" s="204"/>
      <c r="J2609" s="204"/>
      <c r="K2609" s="204"/>
      <c r="L2609" s="204"/>
      <c r="M2609" s="204"/>
      <c r="N2609" s="204"/>
      <c r="O2609" s="204"/>
      <c r="P2609" s="204"/>
      <c r="Q2609" s="204"/>
      <c r="R2609" s="204"/>
      <c r="S2609" s="204"/>
      <c r="T2609" s="204"/>
      <c r="U2609" s="204"/>
      <c r="V2609" s="204"/>
      <c r="W2609" s="204"/>
      <c r="X2609" s="204"/>
      <c r="Y2609" s="204"/>
      <c r="Z2609" s="204"/>
      <c r="AA2609" s="204"/>
      <c r="AB2609" s="204"/>
      <c r="AC2609" s="204"/>
      <c r="AD2609" s="204"/>
      <c r="AE2609" s="204"/>
      <c r="AF2609" s="204"/>
      <c r="AG2609" s="204"/>
      <c r="AH2609" s="204"/>
      <c r="AI2609" s="209"/>
      <c r="AJ2609" s="209"/>
      <c r="AK2609" s="204"/>
      <c r="AL2609" s="204"/>
      <c r="AM2609" s="204"/>
    </row>
    <row r="2610">
      <c r="A2610" s="204"/>
      <c r="B2610" s="209"/>
      <c r="C2610" s="204"/>
      <c r="D2610" s="210"/>
      <c r="E2610" s="211"/>
      <c r="F2610" s="211"/>
      <c r="G2610" s="212"/>
      <c r="H2610" s="212"/>
      <c r="I2610" s="204"/>
      <c r="J2610" s="204"/>
      <c r="K2610" s="204"/>
      <c r="L2610" s="204"/>
      <c r="M2610" s="204"/>
      <c r="N2610" s="204"/>
      <c r="O2610" s="204"/>
      <c r="P2610" s="204"/>
      <c r="Q2610" s="204"/>
      <c r="R2610" s="204"/>
      <c r="S2610" s="204"/>
      <c r="T2610" s="204"/>
      <c r="U2610" s="204"/>
      <c r="V2610" s="204"/>
      <c r="W2610" s="204"/>
      <c r="X2610" s="204"/>
      <c r="Y2610" s="204"/>
      <c r="Z2610" s="204"/>
      <c r="AA2610" s="204"/>
      <c r="AB2610" s="204"/>
      <c r="AC2610" s="204"/>
      <c r="AD2610" s="204"/>
      <c r="AE2610" s="204"/>
      <c r="AF2610" s="204"/>
      <c r="AG2610" s="204"/>
      <c r="AH2610" s="204"/>
      <c r="AI2610" s="209"/>
      <c r="AJ2610" s="209"/>
      <c r="AK2610" s="204"/>
      <c r="AL2610" s="204"/>
      <c r="AM2610" s="204"/>
    </row>
    <row r="2611">
      <c r="A2611" s="204"/>
      <c r="B2611" s="209"/>
      <c r="C2611" s="204"/>
      <c r="D2611" s="210"/>
      <c r="E2611" s="211"/>
      <c r="F2611" s="211"/>
      <c r="G2611" s="212"/>
      <c r="H2611" s="212"/>
      <c r="I2611" s="204"/>
      <c r="J2611" s="204"/>
      <c r="K2611" s="204"/>
      <c r="L2611" s="204"/>
      <c r="M2611" s="204"/>
      <c r="N2611" s="204"/>
      <c r="O2611" s="204"/>
      <c r="P2611" s="204"/>
      <c r="Q2611" s="204"/>
      <c r="R2611" s="204"/>
      <c r="S2611" s="204"/>
      <c r="T2611" s="204"/>
      <c r="U2611" s="204"/>
      <c r="V2611" s="204"/>
      <c r="W2611" s="204"/>
      <c r="X2611" s="204"/>
      <c r="Y2611" s="204"/>
      <c r="Z2611" s="204"/>
      <c r="AA2611" s="204"/>
      <c r="AB2611" s="204"/>
      <c r="AC2611" s="204"/>
      <c r="AD2611" s="204"/>
      <c r="AE2611" s="204"/>
      <c r="AF2611" s="204"/>
      <c r="AG2611" s="204"/>
      <c r="AH2611" s="204"/>
      <c r="AI2611" s="209"/>
      <c r="AJ2611" s="209"/>
      <c r="AK2611" s="204"/>
      <c r="AL2611" s="204"/>
      <c r="AM2611" s="204"/>
    </row>
    <row r="2612">
      <c r="A2612" s="204"/>
      <c r="B2612" s="209"/>
      <c r="C2612" s="204"/>
      <c r="D2612" s="210"/>
      <c r="E2612" s="211"/>
      <c r="F2612" s="211"/>
      <c r="G2612" s="212"/>
      <c r="H2612" s="212"/>
      <c r="I2612" s="204"/>
      <c r="J2612" s="204"/>
      <c r="K2612" s="204"/>
      <c r="L2612" s="204"/>
      <c r="M2612" s="204"/>
      <c r="N2612" s="204"/>
      <c r="O2612" s="204"/>
      <c r="P2612" s="204"/>
      <c r="Q2612" s="204"/>
      <c r="R2612" s="204"/>
      <c r="S2612" s="204"/>
      <c r="T2612" s="204"/>
      <c r="U2612" s="204"/>
      <c r="V2612" s="204"/>
      <c r="W2612" s="204"/>
      <c r="X2612" s="204"/>
      <c r="Y2612" s="204"/>
      <c r="Z2612" s="204"/>
      <c r="AA2612" s="204"/>
      <c r="AB2612" s="204"/>
      <c r="AC2612" s="204"/>
      <c r="AD2612" s="204"/>
      <c r="AE2612" s="204"/>
      <c r="AF2612" s="204"/>
      <c r="AG2612" s="204"/>
      <c r="AH2612" s="204"/>
      <c r="AI2612" s="209"/>
      <c r="AJ2612" s="209"/>
      <c r="AK2612" s="204"/>
      <c r="AL2612" s="204"/>
      <c r="AM2612" s="204"/>
    </row>
    <row r="2613">
      <c r="A2613" s="204"/>
      <c r="B2613" s="209"/>
      <c r="C2613" s="204"/>
      <c r="D2613" s="210"/>
      <c r="E2613" s="211"/>
      <c r="F2613" s="211"/>
      <c r="G2613" s="212"/>
      <c r="H2613" s="212"/>
      <c r="I2613" s="204"/>
      <c r="J2613" s="204"/>
      <c r="K2613" s="204"/>
      <c r="L2613" s="204"/>
      <c r="M2613" s="204"/>
      <c r="N2613" s="204"/>
      <c r="O2613" s="204"/>
      <c r="P2613" s="204"/>
      <c r="Q2613" s="204"/>
      <c r="R2613" s="204"/>
      <c r="S2613" s="204"/>
      <c r="T2613" s="204"/>
      <c r="U2613" s="204"/>
      <c r="V2613" s="204"/>
      <c r="W2613" s="204"/>
      <c r="X2613" s="204"/>
      <c r="Y2613" s="204"/>
      <c r="Z2613" s="204"/>
      <c r="AA2613" s="204"/>
      <c r="AB2613" s="204"/>
      <c r="AC2613" s="204"/>
      <c r="AD2613" s="204"/>
      <c r="AE2613" s="204"/>
      <c r="AF2613" s="204"/>
      <c r="AG2613" s="204"/>
      <c r="AH2613" s="204"/>
      <c r="AI2613" s="209"/>
      <c r="AJ2613" s="209"/>
      <c r="AK2613" s="204"/>
      <c r="AL2613" s="204"/>
      <c r="AM2613" s="204"/>
    </row>
    <row r="2614">
      <c r="A2614" s="204"/>
      <c r="B2614" s="209"/>
      <c r="C2614" s="204"/>
      <c r="D2614" s="210"/>
      <c r="E2614" s="211"/>
      <c r="F2614" s="211"/>
      <c r="G2614" s="212"/>
      <c r="H2614" s="212"/>
      <c r="I2614" s="204"/>
      <c r="J2614" s="204"/>
      <c r="K2614" s="204"/>
      <c r="L2614" s="204"/>
      <c r="M2614" s="204"/>
      <c r="N2614" s="204"/>
      <c r="O2614" s="204"/>
      <c r="P2614" s="204"/>
      <c r="Q2614" s="204"/>
      <c r="R2614" s="204"/>
      <c r="S2614" s="204"/>
      <c r="T2614" s="204"/>
      <c r="U2614" s="204"/>
      <c r="V2614" s="204"/>
      <c r="W2614" s="204"/>
      <c r="X2614" s="204"/>
      <c r="Y2614" s="204"/>
      <c r="Z2614" s="204"/>
      <c r="AA2614" s="204"/>
      <c r="AB2614" s="204"/>
      <c r="AC2614" s="204"/>
      <c r="AD2614" s="204"/>
      <c r="AE2614" s="204"/>
      <c r="AF2614" s="204"/>
      <c r="AG2614" s="204"/>
      <c r="AH2614" s="204"/>
      <c r="AI2614" s="209"/>
      <c r="AJ2614" s="209"/>
      <c r="AK2614" s="204"/>
      <c r="AL2614" s="204"/>
      <c r="AM2614" s="204"/>
    </row>
    <row r="2615">
      <c r="A2615" s="204"/>
      <c r="B2615" s="209"/>
      <c r="C2615" s="204"/>
      <c r="D2615" s="210"/>
      <c r="E2615" s="211"/>
      <c r="F2615" s="211"/>
      <c r="G2615" s="212"/>
      <c r="H2615" s="212"/>
      <c r="I2615" s="204"/>
      <c r="J2615" s="204"/>
      <c r="K2615" s="204"/>
      <c r="L2615" s="204"/>
      <c r="M2615" s="204"/>
      <c r="N2615" s="204"/>
      <c r="O2615" s="204"/>
      <c r="P2615" s="204"/>
      <c r="Q2615" s="204"/>
      <c r="R2615" s="204"/>
      <c r="S2615" s="204"/>
      <c r="T2615" s="204"/>
      <c r="U2615" s="204"/>
      <c r="V2615" s="204"/>
      <c r="W2615" s="204"/>
      <c r="X2615" s="204"/>
      <c r="Y2615" s="204"/>
      <c r="Z2615" s="204"/>
      <c r="AA2615" s="204"/>
      <c r="AB2615" s="204"/>
      <c r="AC2615" s="204"/>
      <c r="AD2615" s="204"/>
      <c r="AE2615" s="204"/>
      <c r="AF2615" s="204"/>
      <c r="AG2615" s="204"/>
      <c r="AH2615" s="204"/>
      <c r="AI2615" s="209"/>
      <c r="AJ2615" s="209"/>
      <c r="AK2615" s="204"/>
      <c r="AL2615" s="204"/>
      <c r="AM2615" s="204"/>
    </row>
    <row r="2616">
      <c r="A2616" s="204"/>
      <c r="B2616" s="209"/>
      <c r="C2616" s="204"/>
      <c r="D2616" s="210"/>
      <c r="E2616" s="211"/>
      <c r="F2616" s="211"/>
      <c r="G2616" s="212"/>
      <c r="H2616" s="212"/>
      <c r="I2616" s="204"/>
      <c r="J2616" s="204"/>
      <c r="K2616" s="204"/>
      <c r="L2616" s="204"/>
      <c r="M2616" s="204"/>
      <c r="N2616" s="204"/>
      <c r="O2616" s="204"/>
      <c r="P2616" s="204"/>
      <c r="Q2616" s="204"/>
      <c r="R2616" s="204"/>
      <c r="S2616" s="204"/>
      <c r="T2616" s="204"/>
      <c r="U2616" s="204"/>
      <c r="V2616" s="204"/>
      <c r="W2616" s="204"/>
      <c r="X2616" s="204"/>
      <c r="Y2616" s="204"/>
      <c r="Z2616" s="204"/>
      <c r="AA2616" s="204"/>
      <c r="AB2616" s="204"/>
      <c r="AC2616" s="204"/>
      <c r="AD2616" s="204"/>
      <c r="AE2616" s="204"/>
      <c r="AF2616" s="204"/>
      <c r="AG2616" s="204"/>
      <c r="AH2616" s="204"/>
      <c r="AI2616" s="209"/>
      <c r="AJ2616" s="209"/>
      <c r="AK2616" s="204"/>
      <c r="AL2616" s="204"/>
      <c r="AM2616" s="204"/>
    </row>
    <row r="2617">
      <c r="A2617" s="204"/>
      <c r="B2617" s="209"/>
      <c r="C2617" s="204"/>
      <c r="D2617" s="210"/>
      <c r="E2617" s="211"/>
      <c r="F2617" s="211"/>
      <c r="G2617" s="212"/>
      <c r="H2617" s="212"/>
      <c r="I2617" s="204"/>
      <c r="J2617" s="204"/>
      <c r="K2617" s="204"/>
      <c r="L2617" s="204"/>
      <c r="M2617" s="204"/>
      <c r="N2617" s="204"/>
      <c r="O2617" s="204"/>
      <c r="P2617" s="204"/>
      <c r="Q2617" s="204"/>
      <c r="R2617" s="204"/>
      <c r="S2617" s="204"/>
      <c r="T2617" s="204"/>
      <c r="U2617" s="204"/>
      <c r="V2617" s="204"/>
      <c r="W2617" s="204"/>
      <c r="X2617" s="204"/>
      <c r="Y2617" s="204"/>
      <c r="Z2617" s="204"/>
      <c r="AA2617" s="204"/>
      <c r="AB2617" s="204"/>
      <c r="AC2617" s="204"/>
      <c r="AD2617" s="204"/>
      <c r="AE2617" s="204"/>
      <c r="AF2617" s="204"/>
      <c r="AG2617" s="204"/>
      <c r="AH2617" s="204"/>
      <c r="AI2617" s="209"/>
      <c r="AJ2617" s="209"/>
      <c r="AK2617" s="204"/>
      <c r="AL2617" s="204"/>
      <c r="AM2617" s="204"/>
    </row>
    <row r="2618">
      <c r="A2618" s="204"/>
      <c r="B2618" s="209"/>
      <c r="C2618" s="204"/>
      <c r="D2618" s="210"/>
      <c r="E2618" s="211"/>
      <c r="F2618" s="211"/>
      <c r="G2618" s="212"/>
      <c r="H2618" s="212"/>
      <c r="I2618" s="204"/>
      <c r="J2618" s="204"/>
      <c r="K2618" s="204"/>
      <c r="L2618" s="204"/>
      <c r="M2618" s="204"/>
      <c r="N2618" s="204"/>
      <c r="O2618" s="204"/>
      <c r="P2618" s="204"/>
      <c r="Q2618" s="204"/>
      <c r="R2618" s="204"/>
      <c r="S2618" s="204"/>
      <c r="T2618" s="204"/>
      <c r="U2618" s="204"/>
      <c r="V2618" s="204"/>
      <c r="W2618" s="204"/>
      <c r="X2618" s="204"/>
      <c r="Y2618" s="204"/>
      <c r="Z2618" s="204"/>
      <c r="AA2618" s="204"/>
      <c r="AB2618" s="204"/>
      <c r="AC2618" s="204"/>
      <c r="AD2618" s="204"/>
      <c r="AE2618" s="204"/>
      <c r="AF2618" s="204"/>
      <c r="AG2618" s="204"/>
      <c r="AH2618" s="204"/>
      <c r="AI2618" s="209"/>
      <c r="AJ2618" s="209"/>
      <c r="AK2618" s="204"/>
      <c r="AL2618" s="204"/>
      <c r="AM2618" s="204"/>
    </row>
    <row r="2619">
      <c r="A2619" s="204"/>
      <c r="B2619" s="209"/>
      <c r="C2619" s="204"/>
      <c r="D2619" s="210"/>
      <c r="E2619" s="211"/>
      <c r="F2619" s="211"/>
      <c r="G2619" s="212"/>
      <c r="H2619" s="212"/>
      <c r="I2619" s="204"/>
      <c r="J2619" s="204"/>
      <c r="K2619" s="204"/>
      <c r="L2619" s="204"/>
      <c r="M2619" s="204"/>
      <c r="N2619" s="204"/>
      <c r="O2619" s="204"/>
      <c r="P2619" s="204"/>
      <c r="Q2619" s="204"/>
      <c r="R2619" s="204"/>
      <c r="S2619" s="204"/>
      <c r="T2619" s="204"/>
      <c r="U2619" s="204"/>
      <c r="V2619" s="204"/>
      <c r="W2619" s="204"/>
      <c r="X2619" s="204"/>
      <c r="Y2619" s="204"/>
      <c r="Z2619" s="204"/>
      <c r="AA2619" s="204"/>
      <c r="AB2619" s="204"/>
      <c r="AC2619" s="204"/>
      <c r="AD2619" s="204"/>
      <c r="AE2619" s="204"/>
      <c r="AF2619" s="204"/>
      <c r="AG2619" s="204"/>
      <c r="AH2619" s="204"/>
      <c r="AI2619" s="209"/>
      <c r="AJ2619" s="209"/>
      <c r="AK2619" s="204"/>
      <c r="AL2619" s="204"/>
      <c r="AM2619" s="204"/>
    </row>
    <row r="2620">
      <c r="A2620" s="204"/>
      <c r="B2620" s="209"/>
      <c r="C2620" s="204"/>
      <c r="D2620" s="210"/>
      <c r="E2620" s="211"/>
      <c r="F2620" s="211"/>
      <c r="G2620" s="212"/>
      <c r="H2620" s="212"/>
      <c r="I2620" s="204"/>
      <c r="J2620" s="204"/>
      <c r="K2620" s="204"/>
      <c r="L2620" s="204"/>
      <c r="M2620" s="204"/>
      <c r="N2620" s="204"/>
      <c r="O2620" s="204"/>
      <c r="P2620" s="204"/>
      <c r="Q2620" s="204"/>
      <c r="R2620" s="204"/>
      <c r="S2620" s="204"/>
      <c r="T2620" s="204"/>
      <c r="U2620" s="204"/>
      <c r="V2620" s="204"/>
      <c r="W2620" s="204"/>
      <c r="X2620" s="204"/>
      <c r="Y2620" s="204"/>
      <c r="Z2620" s="204"/>
      <c r="AA2620" s="204"/>
      <c r="AB2620" s="204"/>
      <c r="AC2620" s="204"/>
      <c r="AD2620" s="204"/>
      <c r="AE2620" s="204"/>
      <c r="AF2620" s="204"/>
      <c r="AG2620" s="204"/>
      <c r="AH2620" s="204"/>
      <c r="AI2620" s="209"/>
      <c r="AJ2620" s="209"/>
      <c r="AK2620" s="204"/>
      <c r="AL2620" s="204"/>
      <c r="AM2620" s="204"/>
    </row>
    <row r="2621">
      <c r="A2621" s="204"/>
      <c r="B2621" s="209"/>
      <c r="C2621" s="204"/>
      <c r="D2621" s="210"/>
      <c r="E2621" s="211"/>
      <c r="F2621" s="211"/>
      <c r="G2621" s="212"/>
      <c r="H2621" s="212"/>
      <c r="I2621" s="204"/>
      <c r="J2621" s="204"/>
      <c r="K2621" s="204"/>
      <c r="L2621" s="204"/>
      <c r="M2621" s="204"/>
      <c r="N2621" s="204"/>
      <c r="O2621" s="204"/>
      <c r="P2621" s="204"/>
      <c r="Q2621" s="204"/>
      <c r="R2621" s="204"/>
      <c r="S2621" s="204"/>
      <c r="T2621" s="204"/>
      <c r="U2621" s="204"/>
      <c r="V2621" s="204"/>
      <c r="W2621" s="204"/>
      <c r="X2621" s="204"/>
      <c r="Y2621" s="204"/>
      <c r="Z2621" s="204"/>
      <c r="AA2621" s="204"/>
      <c r="AB2621" s="204"/>
      <c r="AC2621" s="204"/>
      <c r="AD2621" s="204"/>
      <c r="AE2621" s="204"/>
      <c r="AF2621" s="204"/>
      <c r="AG2621" s="204"/>
      <c r="AH2621" s="204"/>
      <c r="AI2621" s="209"/>
      <c r="AJ2621" s="209"/>
      <c r="AK2621" s="204"/>
      <c r="AL2621" s="204"/>
      <c r="AM2621" s="204"/>
    </row>
    <row r="2622">
      <c r="A2622" s="204"/>
      <c r="B2622" s="209"/>
      <c r="C2622" s="204"/>
      <c r="D2622" s="210"/>
      <c r="E2622" s="211"/>
      <c r="F2622" s="211"/>
      <c r="G2622" s="212"/>
      <c r="H2622" s="212"/>
      <c r="I2622" s="204"/>
      <c r="J2622" s="204"/>
      <c r="K2622" s="204"/>
      <c r="L2622" s="204"/>
      <c r="M2622" s="204"/>
      <c r="N2622" s="204"/>
      <c r="O2622" s="204"/>
      <c r="P2622" s="204"/>
      <c r="Q2622" s="204"/>
      <c r="R2622" s="204"/>
      <c r="S2622" s="204"/>
      <c r="T2622" s="204"/>
      <c r="U2622" s="204"/>
      <c r="V2622" s="204"/>
      <c r="W2622" s="204"/>
      <c r="X2622" s="204"/>
      <c r="Y2622" s="204"/>
      <c r="Z2622" s="204"/>
      <c r="AA2622" s="204"/>
      <c r="AB2622" s="204"/>
      <c r="AC2622" s="204"/>
      <c r="AD2622" s="204"/>
      <c r="AE2622" s="204"/>
      <c r="AF2622" s="204"/>
      <c r="AG2622" s="204"/>
      <c r="AH2622" s="204"/>
      <c r="AI2622" s="209"/>
      <c r="AJ2622" s="209"/>
      <c r="AK2622" s="204"/>
      <c r="AL2622" s="204"/>
      <c r="AM2622" s="204"/>
    </row>
    <row r="2623">
      <c r="A2623" s="204"/>
      <c r="B2623" s="209"/>
      <c r="C2623" s="204"/>
      <c r="D2623" s="210"/>
      <c r="E2623" s="211"/>
      <c r="F2623" s="211"/>
      <c r="G2623" s="212"/>
      <c r="H2623" s="212"/>
      <c r="I2623" s="204"/>
      <c r="J2623" s="204"/>
      <c r="K2623" s="204"/>
      <c r="L2623" s="204"/>
      <c r="M2623" s="204"/>
      <c r="N2623" s="204"/>
      <c r="O2623" s="204"/>
      <c r="P2623" s="204"/>
      <c r="Q2623" s="204"/>
      <c r="R2623" s="204"/>
      <c r="S2623" s="204"/>
      <c r="T2623" s="204"/>
      <c r="U2623" s="204"/>
      <c r="V2623" s="204"/>
      <c r="W2623" s="204"/>
      <c r="X2623" s="204"/>
      <c r="Y2623" s="204"/>
      <c r="Z2623" s="204"/>
      <c r="AA2623" s="204"/>
      <c r="AB2623" s="204"/>
      <c r="AC2623" s="204"/>
      <c r="AD2623" s="204"/>
      <c r="AE2623" s="204"/>
      <c r="AF2623" s="204"/>
      <c r="AG2623" s="204"/>
      <c r="AH2623" s="204"/>
      <c r="AI2623" s="209"/>
      <c r="AJ2623" s="209"/>
      <c r="AK2623" s="204"/>
      <c r="AL2623" s="204"/>
      <c r="AM2623" s="204"/>
    </row>
    <row r="2624">
      <c r="A2624" s="204"/>
      <c r="B2624" s="209"/>
      <c r="C2624" s="204"/>
      <c r="D2624" s="210"/>
      <c r="E2624" s="211"/>
      <c r="F2624" s="211"/>
      <c r="G2624" s="212"/>
      <c r="H2624" s="212"/>
      <c r="I2624" s="204"/>
      <c r="J2624" s="204"/>
      <c r="K2624" s="204"/>
      <c r="L2624" s="204"/>
      <c r="M2624" s="204"/>
      <c r="N2624" s="204"/>
      <c r="O2624" s="204"/>
      <c r="P2624" s="204"/>
      <c r="Q2624" s="204"/>
      <c r="R2624" s="204"/>
      <c r="S2624" s="204"/>
      <c r="T2624" s="204"/>
      <c r="U2624" s="204"/>
      <c r="V2624" s="204"/>
      <c r="W2624" s="204"/>
      <c r="X2624" s="204"/>
      <c r="Y2624" s="204"/>
      <c r="Z2624" s="204"/>
      <c r="AA2624" s="204"/>
      <c r="AB2624" s="204"/>
      <c r="AC2624" s="204"/>
      <c r="AD2624" s="204"/>
      <c r="AE2624" s="204"/>
      <c r="AF2624" s="204"/>
      <c r="AG2624" s="204"/>
      <c r="AH2624" s="204"/>
      <c r="AI2624" s="209"/>
      <c r="AJ2624" s="209"/>
      <c r="AK2624" s="204"/>
      <c r="AL2624" s="204"/>
      <c r="AM2624" s="204"/>
    </row>
    <row r="2625">
      <c r="A2625" s="204"/>
      <c r="B2625" s="209"/>
      <c r="C2625" s="204"/>
      <c r="D2625" s="210"/>
      <c r="E2625" s="211"/>
      <c r="F2625" s="211"/>
      <c r="G2625" s="212"/>
      <c r="H2625" s="212"/>
      <c r="I2625" s="204"/>
      <c r="J2625" s="204"/>
      <c r="K2625" s="204"/>
      <c r="L2625" s="204"/>
      <c r="M2625" s="204"/>
      <c r="N2625" s="204"/>
      <c r="O2625" s="204"/>
      <c r="P2625" s="204"/>
      <c r="Q2625" s="204"/>
      <c r="R2625" s="204"/>
      <c r="S2625" s="204"/>
      <c r="T2625" s="204"/>
      <c r="U2625" s="204"/>
      <c r="V2625" s="204"/>
      <c r="W2625" s="204"/>
      <c r="X2625" s="204"/>
      <c r="Y2625" s="204"/>
      <c r="Z2625" s="204"/>
      <c r="AA2625" s="204"/>
      <c r="AB2625" s="204"/>
      <c r="AC2625" s="204"/>
      <c r="AD2625" s="204"/>
      <c r="AE2625" s="204"/>
      <c r="AF2625" s="204"/>
      <c r="AG2625" s="204"/>
      <c r="AH2625" s="204"/>
      <c r="AI2625" s="209"/>
      <c r="AJ2625" s="209"/>
      <c r="AK2625" s="204"/>
      <c r="AL2625" s="204"/>
      <c r="AM2625" s="204"/>
    </row>
    <row r="2626">
      <c r="A2626" s="204"/>
      <c r="B2626" s="209"/>
      <c r="C2626" s="204"/>
      <c r="D2626" s="210"/>
      <c r="E2626" s="211"/>
      <c r="F2626" s="211"/>
      <c r="G2626" s="212"/>
      <c r="H2626" s="212"/>
      <c r="I2626" s="204"/>
      <c r="J2626" s="204"/>
      <c r="K2626" s="204"/>
      <c r="L2626" s="204"/>
      <c r="M2626" s="204"/>
      <c r="N2626" s="204"/>
      <c r="O2626" s="204"/>
      <c r="P2626" s="204"/>
      <c r="Q2626" s="204"/>
      <c r="R2626" s="204"/>
      <c r="S2626" s="204"/>
      <c r="T2626" s="204"/>
      <c r="U2626" s="204"/>
      <c r="V2626" s="204"/>
      <c r="W2626" s="204"/>
      <c r="X2626" s="204"/>
      <c r="Y2626" s="204"/>
      <c r="Z2626" s="204"/>
      <c r="AA2626" s="204"/>
      <c r="AB2626" s="204"/>
      <c r="AC2626" s="204"/>
      <c r="AD2626" s="204"/>
      <c r="AE2626" s="204"/>
      <c r="AF2626" s="204"/>
      <c r="AG2626" s="204"/>
      <c r="AH2626" s="204"/>
      <c r="AI2626" s="209"/>
      <c r="AJ2626" s="209"/>
      <c r="AK2626" s="204"/>
      <c r="AL2626" s="204"/>
      <c r="AM2626" s="204"/>
    </row>
    <row r="2627">
      <c r="A2627" s="204"/>
      <c r="B2627" s="209"/>
      <c r="C2627" s="204"/>
      <c r="D2627" s="210"/>
      <c r="E2627" s="211"/>
      <c r="F2627" s="211"/>
      <c r="G2627" s="212"/>
      <c r="H2627" s="212"/>
      <c r="I2627" s="204"/>
      <c r="J2627" s="204"/>
      <c r="K2627" s="204"/>
      <c r="L2627" s="204"/>
      <c r="M2627" s="204"/>
      <c r="N2627" s="204"/>
      <c r="O2627" s="204"/>
      <c r="P2627" s="204"/>
      <c r="Q2627" s="204"/>
      <c r="R2627" s="204"/>
      <c r="S2627" s="204"/>
      <c r="T2627" s="204"/>
      <c r="U2627" s="204"/>
      <c r="V2627" s="204"/>
      <c r="W2627" s="204"/>
      <c r="X2627" s="204"/>
      <c r="Y2627" s="204"/>
      <c r="Z2627" s="204"/>
      <c r="AA2627" s="204"/>
      <c r="AB2627" s="204"/>
      <c r="AC2627" s="204"/>
      <c r="AD2627" s="204"/>
      <c r="AE2627" s="204"/>
      <c r="AF2627" s="204"/>
      <c r="AG2627" s="204"/>
      <c r="AH2627" s="204"/>
      <c r="AI2627" s="209"/>
      <c r="AJ2627" s="209"/>
      <c r="AK2627" s="204"/>
      <c r="AL2627" s="204"/>
      <c r="AM2627" s="204"/>
    </row>
    <row r="2628">
      <c r="A2628" s="204"/>
      <c r="B2628" s="209"/>
      <c r="C2628" s="204"/>
      <c r="D2628" s="210"/>
      <c r="E2628" s="211"/>
      <c r="F2628" s="211"/>
      <c r="G2628" s="212"/>
      <c r="H2628" s="212"/>
      <c r="I2628" s="204"/>
      <c r="J2628" s="204"/>
      <c r="K2628" s="204"/>
      <c r="L2628" s="204"/>
      <c r="M2628" s="204"/>
      <c r="N2628" s="204"/>
      <c r="O2628" s="204"/>
      <c r="P2628" s="204"/>
      <c r="Q2628" s="204"/>
      <c r="R2628" s="204"/>
      <c r="S2628" s="204"/>
      <c r="T2628" s="204"/>
      <c r="U2628" s="204"/>
      <c r="V2628" s="204"/>
      <c r="W2628" s="204"/>
      <c r="X2628" s="204"/>
      <c r="Y2628" s="204"/>
      <c r="Z2628" s="204"/>
      <c r="AA2628" s="204"/>
      <c r="AB2628" s="204"/>
      <c r="AC2628" s="204"/>
      <c r="AD2628" s="204"/>
      <c r="AE2628" s="204"/>
      <c r="AF2628" s="204"/>
      <c r="AG2628" s="204"/>
      <c r="AH2628" s="204"/>
      <c r="AI2628" s="209"/>
      <c r="AJ2628" s="209"/>
      <c r="AK2628" s="204"/>
      <c r="AL2628" s="204"/>
      <c r="AM2628" s="204"/>
    </row>
    <row r="2629">
      <c r="A2629" s="204"/>
      <c r="B2629" s="209"/>
      <c r="C2629" s="204"/>
      <c r="D2629" s="210"/>
      <c r="E2629" s="211"/>
      <c r="F2629" s="211"/>
      <c r="G2629" s="212"/>
      <c r="H2629" s="212"/>
      <c r="I2629" s="204"/>
      <c r="J2629" s="204"/>
      <c r="K2629" s="204"/>
      <c r="L2629" s="204"/>
      <c r="M2629" s="204"/>
      <c r="N2629" s="204"/>
      <c r="O2629" s="204"/>
      <c r="P2629" s="204"/>
      <c r="Q2629" s="204"/>
      <c r="R2629" s="204"/>
      <c r="S2629" s="204"/>
      <c r="T2629" s="204"/>
      <c r="U2629" s="204"/>
      <c r="V2629" s="204"/>
      <c r="W2629" s="204"/>
      <c r="X2629" s="204"/>
      <c r="Y2629" s="204"/>
      <c r="Z2629" s="204"/>
      <c r="AA2629" s="204"/>
      <c r="AB2629" s="204"/>
      <c r="AC2629" s="204"/>
      <c r="AD2629" s="204"/>
      <c r="AE2629" s="204"/>
      <c r="AF2629" s="204"/>
      <c r="AG2629" s="204"/>
      <c r="AH2629" s="204"/>
      <c r="AI2629" s="209"/>
      <c r="AJ2629" s="209"/>
      <c r="AK2629" s="204"/>
      <c r="AL2629" s="204"/>
      <c r="AM2629" s="204"/>
    </row>
    <row r="2630">
      <c r="A2630" s="204"/>
      <c r="B2630" s="209"/>
      <c r="C2630" s="204"/>
      <c r="D2630" s="210"/>
      <c r="E2630" s="211"/>
      <c r="F2630" s="211"/>
      <c r="G2630" s="212"/>
      <c r="H2630" s="212"/>
      <c r="I2630" s="204"/>
      <c r="J2630" s="204"/>
      <c r="K2630" s="204"/>
      <c r="L2630" s="204"/>
      <c r="M2630" s="204"/>
      <c r="N2630" s="204"/>
      <c r="O2630" s="204"/>
      <c r="P2630" s="204"/>
      <c r="Q2630" s="204"/>
      <c r="R2630" s="204"/>
      <c r="S2630" s="204"/>
      <c r="T2630" s="204"/>
      <c r="U2630" s="204"/>
      <c r="V2630" s="204"/>
      <c r="W2630" s="204"/>
      <c r="X2630" s="204"/>
      <c r="Y2630" s="204"/>
      <c r="Z2630" s="204"/>
      <c r="AA2630" s="204"/>
      <c r="AB2630" s="204"/>
      <c r="AC2630" s="204"/>
      <c r="AD2630" s="204"/>
      <c r="AE2630" s="204"/>
      <c r="AF2630" s="204"/>
      <c r="AG2630" s="204"/>
      <c r="AH2630" s="204"/>
      <c r="AI2630" s="209"/>
      <c r="AJ2630" s="209"/>
      <c r="AK2630" s="204"/>
      <c r="AL2630" s="204"/>
      <c r="AM2630" s="204"/>
    </row>
    <row r="2631">
      <c r="A2631" s="204"/>
      <c r="B2631" s="209"/>
      <c r="C2631" s="204"/>
      <c r="D2631" s="210"/>
      <c r="E2631" s="211"/>
      <c r="F2631" s="211"/>
      <c r="G2631" s="212"/>
      <c r="H2631" s="212"/>
      <c r="I2631" s="204"/>
      <c r="J2631" s="204"/>
      <c r="K2631" s="204"/>
      <c r="L2631" s="204"/>
      <c r="M2631" s="204"/>
      <c r="N2631" s="204"/>
      <c r="O2631" s="204"/>
      <c r="P2631" s="204"/>
      <c r="Q2631" s="204"/>
      <c r="R2631" s="204"/>
      <c r="S2631" s="204"/>
      <c r="T2631" s="204"/>
      <c r="U2631" s="204"/>
      <c r="V2631" s="204"/>
      <c r="W2631" s="204"/>
      <c r="X2631" s="204"/>
      <c r="Y2631" s="204"/>
      <c r="Z2631" s="204"/>
      <c r="AA2631" s="204"/>
      <c r="AB2631" s="204"/>
      <c r="AC2631" s="204"/>
      <c r="AD2631" s="204"/>
      <c r="AE2631" s="204"/>
      <c r="AF2631" s="204"/>
      <c r="AG2631" s="204"/>
      <c r="AH2631" s="204"/>
      <c r="AI2631" s="209"/>
      <c r="AJ2631" s="209"/>
      <c r="AK2631" s="204"/>
      <c r="AL2631" s="204"/>
      <c r="AM2631" s="204"/>
    </row>
    <row r="2632">
      <c r="A2632" s="204"/>
      <c r="B2632" s="209"/>
      <c r="C2632" s="204"/>
      <c r="D2632" s="210"/>
      <c r="E2632" s="211"/>
      <c r="F2632" s="211"/>
      <c r="G2632" s="212"/>
      <c r="H2632" s="212"/>
      <c r="I2632" s="204"/>
      <c r="J2632" s="204"/>
      <c r="K2632" s="204"/>
      <c r="L2632" s="204"/>
      <c r="M2632" s="204"/>
      <c r="N2632" s="204"/>
      <c r="O2632" s="204"/>
      <c r="P2632" s="204"/>
      <c r="Q2632" s="204"/>
      <c r="R2632" s="204"/>
      <c r="S2632" s="204"/>
      <c r="T2632" s="204"/>
      <c r="U2632" s="204"/>
      <c r="V2632" s="204"/>
      <c r="W2632" s="204"/>
      <c r="X2632" s="204"/>
      <c r="Y2632" s="204"/>
      <c r="Z2632" s="204"/>
      <c r="AA2632" s="204"/>
      <c r="AB2632" s="204"/>
      <c r="AC2632" s="204"/>
      <c r="AD2632" s="204"/>
      <c r="AE2632" s="204"/>
      <c r="AF2632" s="204"/>
      <c r="AG2632" s="204"/>
      <c r="AH2632" s="204"/>
      <c r="AI2632" s="209"/>
      <c r="AJ2632" s="209"/>
      <c r="AK2632" s="204"/>
      <c r="AL2632" s="204"/>
      <c r="AM2632" s="204"/>
    </row>
    <row r="2633">
      <c r="A2633" s="204"/>
      <c r="B2633" s="209"/>
      <c r="C2633" s="204"/>
      <c r="D2633" s="210"/>
      <c r="E2633" s="211"/>
      <c r="F2633" s="211"/>
      <c r="G2633" s="212"/>
      <c r="H2633" s="212"/>
      <c r="I2633" s="204"/>
      <c r="J2633" s="204"/>
      <c r="K2633" s="204"/>
      <c r="L2633" s="204"/>
      <c r="M2633" s="204"/>
      <c r="N2633" s="204"/>
      <c r="O2633" s="204"/>
      <c r="P2633" s="204"/>
      <c r="Q2633" s="204"/>
      <c r="R2633" s="204"/>
      <c r="S2633" s="204"/>
      <c r="T2633" s="204"/>
      <c r="U2633" s="204"/>
      <c r="V2633" s="204"/>
      <c r="W2633" s="204"/>
      <c r="X2633" s="204"/>
      <c r="Y2633" s="204"/>
      <c r="Z2633" s="204"/>
      <c r="AA2633" s="204"/>
      <c r="AB2633" s="204"/>
      <c r="AC2633" s="204"/>
      <c r="AD2633" s="204"/>
      <c r="AE2633" s="204"/>
      <c r="AF2633" s="204"/>
      <c r="AG2633" s="204"/>
      <c r="AH2633" s="204"/>
      <c r="AI2633" s="209"/>
      <c r="AJ2633" s="209"/>
      <c r="AK2633" s="204"/>
      <c r="AL2633" s="204"/>
      <c r="AM2633" s="204"/>
    </row>
    <row r="2634">
      <c r="A2634" s="204"/>
      <c r="B2634" s="209"/>
      <c r="C2634" s="204"/>
      <c r="D2634" s="210"/>
      <c r="E2634" s="211"/>
      <c r="F2634" s="211"/>
      <c r="G2634" s="212"/>
      <c r="H2634" s="212"/>
      <c r="I2634" s="204"/>
      <c r="J2634" s="204"/>
      <c r="K2634" s="204"/>
      <c r="L2634" s="204"/>
      <c r="M2634" s="204"/>
      <c r="N2634" s="204"/>
      <c r="O2634" s="204"/>
      <c r="P2634" s="204"/>
      <c r="Q2634" s="204"/>
      <c r="R2634" s="204"/>
      <c r="S2634" s="204"/>
      <c r="T2634" s="204"/>
      <c r="U2634" s="204"/>
      <c r="V2634" s="204"/>
      <c r="W2634" s="204"/>
      <c r="X2634" s="204"/>
      <c r="Y2634" s="204"/>
      <c r="Z2634" s="204"/>
      <c r="AA2634" s="204"/>
      <c r="AB2634" s="204"/>
      <c r="AC2634" s="204"/>
      <c r="AD2634" s="204"/>
      <c r="AE2634" s="204"/>
      <c r="AF2634" s="204"/>
      <c r="AG2634" s="204"/>
      <c r="AH2634" s="204"/>
      <c r="AI2634" s="209"/>
      <c r="AJ2634" s="209"/>
      <c r="AK2634" s="204"/>
      <c r="AL2634" s="204"/>
      <c r="AM2634" s="204"/>
    </row>
    <row r="2635">
      <c r="A2635" s="204"/>
      <c r="B2635" s="209"/>
      <c r="C2635" s="204"/>
      <c r="D2635" s="210"/>
      <c r="E2635" s="211"/>
      <c r="F2635" s="211"/>
      <c r="G2635" s="212"/>
      <c r="H2635" s="212"/>
      <c r="I2635" s="204"/>
      <c r="J2635" s="204"/>
      <c r="K2635" s="204"/>
      <c r="L2635" s="204"/>
      <c r="M2635" s="204"/>
      <c r="N2635" s="204"/>
      <c r="O2635" s="204"/>
      <c r="P2635" s="204"/>
      <c r="Q2635" s="204"/>
      <c r="R2635" s="204"/>
      <c r="S2635" s="204"/>
      <c r="T2635" s="204"/>
      <c r="U2635" s="204"/>
      <c r="V2635" s="204"/>
      <c r="W2635" s="204"/>
      <c r="X2635" s="204"/>
      <c r="Y2635" s="204"/>
      <c r="Z2635" s="204"/>
      <c r="AA2635" s="204"/>
      <c r="AB2635" s="204"/>
      <c r="AC2635" s="204"/>
      <c r="AD2635" s="204"/>
      <c r="AE2635" s="204"/>
      <c r="AF2635" s="204"/>
      <c r="AG2635" s="204"/>
      <c r="AH2635" s="204"/>
      <c r="AI2635" s="209"/>
      <c r="AJ2635" s="209"/>
      <c r="AK2635" s="204"/>
      <c r="AL2635" s="204"/>
      <c r="AM2635" s="204"/>
    </row>
    <row r="2636">
      <c r="A2636" s="204"/>
      <c r="B2636" s="209"/>
      <c r="C2636" s="204"/>
      <c r="D2636" s="210"/>
      <c r="E2636" s="211"/>
      <c r="F2636" s="211"/>
      <c r="G2636" s="212"/>
      <c r="H2636" s="212"/>
      <c r="I2636" s="204"/>
      <c r="J2636" s="204"/>
      <c r="K2636" s="204"/>
      <c r="L2636" s="204"/>
      <c r="M2636" s="204"/>
      <c r="N2636" s="204"/>
      <c r="O2636" s="204"/>
      <c r="P2636" s="204"/>
      <c r="Q2636" s="204"/>
      <c r="R2636" s="204"/>
      <c r="S2636" s="204"/>
      <c r="T2636" s="204"/>
      <c r="U2636" s="204"/>
      <c r="V2636" s="204"/>
      <c r="W2636" s="204"/>
      <c r="X2636" s="204"/>
      <c r="Y2636" s="204"/>
      <c r="Z2636" s="204"/>
      <c r="AA2636" s="204"/>
      <c r="AB2636" s="204"/>
      <c r="AC2636" s="204"/>
      <c r="AD2636" s="204"/>
      <c r="AE2636" s="204"/>
      <c r="AF2636" s="204"/>
      <c r="AG2636" s="204"/>
      <c r="AH2636" s="204"/>
      <c r="AI2636" s="209"/>
      <c r="AJ2636" s="209"/>
      <c r="AK2636" s="204"/>
      <c r="AL2636" s="204"/>
      <c r="AM2636" s="204"/>
    </row>
    <row r="2637">
      <c r="A2637" s="204"/>
      <c r="B2637" s="209"/>
      <c r="C2637" s="204"/>
      <c r="D2637" s="210"/>
      <c r="E2637" s="211"/>
      <c r="F2637" s="211"/>
      <c r="G2637" s="212"/>
      <c r="H2637" s="212"/>
      <c r="I2637" s="204"/>
      <c r="J2637" s="204"/>
      <c r="K2637" s="204"/>
      <c r="L2637" s="204"/>
      <c r="M2637" s="204"/>
      <c r="N2637" s="204"/>
      <c r="O2637" s="204"/>
      <c r="P2637" s="204"/>
      <c r="Q2637" s="204"/>
      <c r="R2637" s="204"/>
      <c r="S2637" s="204"/>
      <c r="T2637" s="204"/>
      <c r="U2637" s="204"/>
      <c r="V2637" s="204"/>
      <c r="W2637" s="204"/>
      <c r="X2637" s="204"/>
      <c r="Y2637" s="204"/>
      <c r="Z2637" s="204"/>
      <c r="AA2637" s="204"/>
      <c r="AB2637" s="204"/>
      <c r="AC2637" s="204"/>
      <c r="AD2637" s="204"/>
      <c r="AE2637" s="204"/>
      <c r="AF2637" s="204"/>
      <c r="AG2637" s="204"/>
      <c r="AH2637" s="204"/>
      <c r="AI2637" s="209"/>
      <c r="AJ2637" s="209"/>
      <c r="AK2637" s="204"/>
      <c r="AL2637" s="204"/>
      <c r="AM2637" s="204"/>
    </row>
    <row r="2638">
      <c r="A2638" s="204"/>
      <c r="B2638" s="209"/>
      <c r="C2638" s="204"/>
      <c r="D2638" s="210"/>
      <c r="E2638" s="211"/>
      <c r="F2638" s="211"/>
      <c r="G2638" s="212"/>
      <c r="H2638" s="212"/>
      <c r="I2638" s="204"/>
      <c r="J2638" s="204"/>
      <c r="K2638" s="204"/>
      <c r="L2638" s="204"/>
      <c r="M2638" s="204"/>
      <c r="N2638" s="204"/>
      <c r="O2638" s="204"/>
      <c r="P2638" s="204"/>
      <c r="Q2638" s="204"/>
      <c r="R2638" s="204"/>
      <c r="S2638" s="204"/>
      <c r="T2638" s="204"/>
      <c r="U2638" s="204"/>
      <c r="V2638" s="204"/>
      <c r="W2638" s="204"/>
      <c r="X2638" s="204"/>
      <c r="Y2638" s="204"/>
      <c r="Z2638" s="204"/>
      <c r="AA2638" s="204"/>
      <c r="AB2638" s="204"/>
      <c r="AC2638" s="204"/>
      <c r="AD2638" s="204"/>
      <c r="AE2638" s="204"/>
      <c r="AF2638" s="204"/>
      <c r="AG2638" s="204"/>
      <c r="AH2638" s="204"/>
      <c r="AI2638" s="209"/>
      <c r="AJ2638" s="209"/>
      <c r="AK2638" s="204"/>
      <c r="AL2638" s="204"/>
      <c r="AM2638" s="204"/>
    </row>
    <row r="2639">
      <c r="A2639" s="204"/>
      <c r="B2639" s="209"/>
      <c r="C2639" s="204"/>
      <c r="D2639" s="210"/>
      <c r="E2639" s="211"/>
      <c r="F2639" s="211"/>
      <c r="G2639" s="212"/>
      <c r="H2639" s="212"/>
      <c r="I2639" s="204"/>
      <c r="J2639" s="204"/>
      <c r="K2639" s="204"/>
      <c r="L2639" s="204"/>
      <c r="M2639" s="204"/>
      <c r="N2639" s="204"/>
      <c r="O2639" s="204"/>
      <c r="P2639" s="204"/>
      <c r="Q2639" s="204"/>
      <c r="R2639" s="204"/>
      <c r="S2639" s="204"/>
      <c r="T2639" s="204"/>
      <c r="U2639" s="204"/>
      <c r="V2639" s="204"/>
      <c r="W2639" s="204"/>
      <c r="X2639" s="204"/>
      <c r="Y2639" s="204"/>
      <c r="Z2639" s="204"/>
      <c r="AA2639" s="204"/>
      <c r="AB2639" s="204"/>
      <c r="AC2639" s="204"/>
      <c r="AD2639" s="204"/>
      <c r="AE2639" s="204"/>
      <c r="AF2639" s="204"/>
      <c r="AG2639" s="204"/>
      <c r="AH2639" s="204"/>
      <c r="AI2639" s="209"/>
      <c r="AJ2639" s="209"/>
      <c r="AK2639" s="204"/>
      <c r="AL2639" s="204"/>
      <c r="AM2639" s="204"/>
    </row>
    <row r="2640">
      <c r="A2640" s="204"/>
      <c r="B2640" s="209"/>
      <c r="C2640" s="204"/>
      <c r="D2640" s="210"/>
      <c r="E2640" s="211"/>
      <c r="F2640" s="211"/>
      <c r="G2640" s="212"/>
      <c r="H2640" s="212"/>
      <c r="I2640" s="204"/>
      <c r="J2640" s="204"/>
      <c r="K2640" s="204"/>
      <c r="L2640" s="204"/>
      <c r="M2640" s="204"/>
      <c r="N2640" s="204"/>
      <c r="O2640" s="204"/>
      <c r="P2640" s="204"/>
      <c r="Q2640" s="204"/>
      <c r="R2640" s="204"/>
      <c r="S2640" s="204"/>
      <c r="T2640" s="204"/>
      <c r="U2640" s="204"/>
      <c r="V2640" s="204"/>
      <c r="W2640" s="204"/>
      <c r="X2640" s="204"/>
      <c r="Y2640" s="204"/>
      <c r="Z2640" s="204"/>
      <c r="AA2640" s="204"/>
      <c r="AB2640" s="204"/>
      <c r="AC2640" s="204"/>
      <c r="AD2640" s="204"/>
      <c r="AE2640" s="204"/>
      <c r="AF2640" s="204"/>
      <c r="AG2640" s="204"/>
      <c r="AH2640" s="204"/>
      <c r="AI2640" s="209"/>
      <c r="AJ2640" s="209"/>
      <c r="AK2640" s="204"/>
      <c r="AL2640" s="204"/>
      <c r="AM2640" s="204"/>
    </row>
    <row r="2641">
      <c r="A2641" s="204"/>
      <c r="B2641" s="209"/>
      <c r="C2641" s="204"/>
      <c r="D2641" s="210"/>
      <c r="E2641" s="211"/>
      <c r="F2641" s="211"/>
      <c r="G2641" s="212"/>
      <c r="H2641" s="212"/>
      <c r="I2641" s="204"/>
      <c r="J2641" s="204"/>
      <c r="K2641" s="204"/>
      <c r="L2641" s="204"/>
      <c r="M2641" s="204"/>
      <c r="N2641" s="204"/>
      <c r="O2641" s="204"/>
      <c r="P2641" s="204"/>
      <c r="Q2641" s="204"/>
      <c r="R2641" s="204"/>
      <c r="S2641" s="204"/>
      <c r="T2641" s="204"/>
      <c r="U2641" s="204"/>
      <c r="V2641" s="204"/>
      <c r="W2641" s="204"/>
      <c r="X2641" s="204"/>
      <c r="Y2641" s="204"/>
      <c r="Z2641" s="204"/>
      <c r="AA2641" s="204"/>
      <c r="AB2641" s="204"/>
      <c r="AC2641" s="204"/>
      <c r="AD2641" s="204"/>
      <c r="AE2641" s="204"/>
      <c r="AF2641" s="204"/>
      <c r="AG2641" s="204"/>
      <c r="AH2641" s="204"/>
      <c r="AI2641" s="209"/>
      <c r="AJ2641" s="209"/>
      <c r="AK2641" s="204"/>
      <c r="AL2641" s="204"/>
      <c r="AM2641" s="204"/>
    </row>
    <row r="2642">
      <c r="A2642" s="204"/>
      <c r="B2642" s="209"/>
      <c r="C2642" s="204"/>
      <c r="D2642" s="210"/>
      <c r="E2642" s="211"/>
      <c r="F2642" s="211"/>
      <c r="G2642" s="212"/>
      <c r="H2642" s="212"/>
      <c r="I2642" s="204"/>
      <c r="J2642" s="204"/>
      <c r="K2642" s="204"/>
      <c r="L2642" s="204"/>
      <c r="M2642" s="204"/>
      <c r="N2642" s="204"/>
      <c r="O2642" s="204"/>
      <c r="P2642" s="204"/>
      <c r="Q2642" s="204"/>
      <c r="R2642" s="204"/>
      <c r="S2642" s="204"/>
      <c r="T2642" s="204"/>
      <c r="U2642" s="204"/>
      <c r="V2642" s="204"/>
      <c r="W2642" s="204"/>
      <c r="X2642" s="204"/>
      <c r="Y2642" s="204"/>
      <c r="Z2642" s="204"/>
      <c r="AA2642" s="204"/>
      <c r="AB2642" s="204"/>
      <c r="AC2642" s="204"/>
      <c r="AD2642" s="204"/>
      <c r="AE2642" s="204"/>
      <c r="AF2642" s="204"/>
      <c r="AG2642" s="204"/>
      <c r="AH2642" s="204"/>
      <c r="AI2642" s="209"/>
      <c r="AJ2642" s="209"/>
      <c r="AK2642" s="204"/>
      <c r="AL2642" s="204"/>
      <c r="AM2642" s="204"/>
    </row>
  </sheetData>
  <autoFilter ref="$A$5:$AM$744">
    <filterColumn colId="0">
      <filters>
        <filter val="111.AF040 (L)"/>
      </filters>
    </filterColumn>
  </autoFilter>
  <mergeCells count="10">
    <mergeCell ref="Z4:AB4"/>
    <mergeCell ref="AC4:AH4"/>
    <mergeCell ref="A1:AJ1"/>
    <mergeCell ref="A2:AJ2"/>
    <mergeCell ref="A3:L3"/>
    <mergeCell ref="A4:B4"/>
    <mergeCell ref="C4:E4"/>
    <mergeCell ref="F4:P4"/>
    <mergeCell ref="Q4:Y4"/>
    <mergeCell ref="AI4:AJ4"/>
  </mergeCells>
  <dataValidations>
    <dataValidation type="list" allowBlank="1" sqref="A6:A2642">
      <formula1>'Equipment Registry'!$A$3:$A$156</formula1>
    </dataValidation>
    <dataValidation type="list" allowBlank="1" sqref="E6:H2642">
      <formula1>"Normal,Caution,Alert"</formula1>
    </dataValidation>
  </dataValidation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fitToPage="1"/>
  </sheetPr>
  <sheetViews>
    <sheetView workbookViewId="0">
      <pane ySplit="5.0" topLeftCell="A6" activePane="bottomLeft" state="frozen"/>
      <selection activeCell="B7" sqref="B7" pane="bottomLeft"/>
    </sheetView>
  </sheetViews>
  <sheetFormatPr customHeight="1" defaultColWidth="14.43" defaultRowHeight="15.0"/>
  <cols>
    <col customWidth="1" min="1" max="1" width="20.14"/>
    <col customWidth="1" min="2" max="2" width="23.71"/>
    <col customWidth="1" min="3" max="3" width="14.43"/>
    <col customWidth="1" min="4" max="4" width="16.14"/>
    <col customWidth="1" min="5" max="5" width="12.43"/>
    <col customWidth="1" min="6" max="6" width="16.0"/>
    <col customWidth="1" min="7" max="7" width="15.86"/>
    <col customWidth="1" min="8" max="10" width="17.71"/>
    <col customWidth="1" min="11" max="11" width="18.71"/>
    <col customWidth="1" min="12" max="12" width="8.57"/>
    <col customWidth="1" min="13" max="13" width="13.71"/>
    <col customWidth="1" min="14" max="15" width="15.86"/>
    <col customWidth="1" min="16" max="16" width="11.57"/>
    <col customWidth="1" min="17" max="17" width="9.71"/>
    <col customWidth="1" min="18" max="19" width="13.71"/>
    <col customWidth="1" min="20" max="20" width="12.71"/>
    <col customWidth="1" min="21" max="21" width="9.0"/>
    <col customWidth="1" min="22" max="22" width="15.86"/>
    <col customWidth="1" min="23" max="23" width="10.29"/>
    <col customWidth="1" min="24" max="24" width="9.0"/>
    <col customWidth="1" min="25" max="25" width="8.29"/>
    <col customWidth="1" min="26" max="26" width="14.43"/>
    <col customWidth="1" min="27" max="27" width="11.29"/>
    <col customWidth="1" min="28" max="28" width="11.43"/>
    <col customWidth="1" min="29" max="29" width="10.43"/>
    <col customWidth="1" min="30" max="30" width="12.71"/>
    <col customWidth="1" min="31" max="31" width="13.0"/>
    <col customWidth="1" min="32" max="32" width="14.71"/>
    <col customWidth="1" min="33" max="33" width="15.71"/>
    <col customWidth="1" min="34" max="34" width="9.57"/>
    <col customWidth="1" min="35" max="35" width="19.0"/>
    <col customWidth="1" min="36" max="37" width="39.29"/>
    <col customWidth="1" min="38" max="39" width="39.14"/>
  </cols>
  <sheetData>
    <row r="1">
      <c r="A1" s="186" t="s">
        <v>491</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3"/>
      <c r="AL1" s="58"/>
      <c r="AM1" s="58"/>
    </row>
    <row r="2">
      <c r="A2" s="187" t="s">
        <v>492</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3"/>
      <c r="AL2" s="58"/>
      <c r="AM2" s="58"/>
    </row>
    <row r="3">
      <c r="A3" s="188" t="s">
        <v>493</v>
      </c>
      <c r="B3" s="31"/>
      <c r="C3" s="31"/>
      <c r="D3" s="31"/>
      <c r="E3" s="31"/>
      <c r="F3" s="31"/>
      <c r="G3" s="31"/>
      <c r="H3" s="31"/>
      <c r="I3" s="31"/>
      <c r="J3" s="31"/>
      <c r="K3" s="31"/>
      <c r="L3" s="32"/>
      <c r="M3" s="189"/>
      <c r="N3" s="189"/>
      <c r="O3" s="189"/>
      <c r="P3" s="189"/>
      <c r="Q3" s="189"/>
      <c r="R3" s="189"/>
      <c r="S3" s="189"/>
      <c r="T3" s="189"/>
      <c r="U3" s="189"/>
      <c r="V3" s="189"/>
      <c r="W3" s="189"/>
      <c r="X3" s="189"/>
      <c r="Y3" s="189"/>
      <c r="Z3" s="189"/>
      <c r="AA3" s="189"/>
      <c r="AB3" s="189"/>
      <c r="AC3" s="189"/>
      <c r="AD3" s="189"/>
      <c r="AE3" s="189"/>
      <c r="AF3" s="189"/>
      <c r="AG3" s="189"/>
      <c r="AH3" s="189"/>
      <c r="AI3" s="190"/>
      <c r="AJ3" s="190"/>
      <c r="AK3" s="190"/>
      <c r="AL3" s="58"/>
      <c r="AM3" s="58"/>
    </row>
    <row r="4">
      <c r="A4" s="191" t="s">
        <v>494</v>
      </c>
      <c r="B4" s="192"/>
      <c r="C4" s="191" t="s">
        <v>495</v>
      </c>
      <c r="D4" s="193"/>
      <c r="E4" s="192"/>
      <c r="F4" s="191" t="s">
        <v>39</v>
      </c>
      <c r="G4" s="193"/>
      <c r="H4" s="193"/>
      <c r="I4" s="193"/>
      <c r="J4" s="193"/>
      <c r="K4" s="193"/>
      <c r="L4" s="193"/>
      <c r="M4" s="193"/>
      <c r="N4" s="193"/>
      <c r="O4" s="193"/>
      <c r="P4" s="192"/>
      <c r="Q4" s="191" t="s">
        <v>42</v>
      </c>
      <c r="R4" s="193"/>
      <c r="S4" s="193"/>
      <c r="T4" s="193"/>
      <c r="U4" s="193"/>
      <c r="V4" s="193"/>
      <c r="W4" s="193"/>
      <c r="X4" s="193"/>
      <c r="Y4" s="192"/>
      <c r="Z4" s="191" t="s">
        <v>496</v>
      </c>
      <c r="AA4" s="193"/>
      <c r="AB4" s="192"/>
      <c r="AC4" s="194" t="s">
        <v>497</v>
      </c>
      <c r="AD4" s="193"/>
      <c r="AE4" s="193"/>
      <c r="AF4" s="193"/>
      <c r="AG4" s="193"/>
      <c r="AH4" s="192"/>
      <c r="AI4" s="213" t="s">
        <v>526</v>
      </c>
      <c r="AJ4" s="192"/>
      <c r="AL4" s="196"/>
      <c r="AM4" s="196"/>
    </row>
    <row r="5">
      <c r="A5" s="197" t="s">
        <v>499</v>
      </c>
      <c r="B5" s="197" t="s">
        <v>500</v>
      </c>
      <c r="C5" s="197" t="s">
        <v>501</v>
      </c>
      <c r="D5" s="197" t="s">
        <v>20</v>
      </c>
      <c r="E5" s="197" t="s">
        <v>40</v>
      </c>
      <c r="F5" s="197" t="s">
        <v>502</v>
      </c>
      <c r="G5" s="197" t="s">
        <v>503</v>
      </c>
      <c r="H5" s="198" t="s">
        <v>504</v>
      </c>
      <c r="I5" s="197" t="s">
        <v>505</v>
      </c>
      <c r="J5" s="197" t="s">
        <v>506</v>
      </c>
      <c r="K5" s="197" t="s">
        <v>507</v>
      </c>
      <c r="L5" s="197" t="s">
        <v>508</v>
      </c>
      <c r="M5" s="197" t="s">
        <v>509</v>
      </c>
      <c r="N5" s="198" t="s">
        <v>510</v>
      </c>
      <c r="O5" s="197" t="s">
        <v>511</v>
      </c>
      <c r="P5" s="197" t="s">
        <v>16</v>
      </c>
      <c r="Q5" s="197" t="s">
        <v>512</v>
      </c>
      <c r="R5" s="197" t="s">
        <v>44</v>
      </c>
      <c r="S5" s="197" t="s">
        <v>513</v>
      </c>
      <c r="T5" s="197" t="s">
        <v>45</v>
      </c>
      <c r="U5" s="197" t="s">
        <v>43</v>
      </c>
      <c r="V5" s="197" t="s">
        <v>514</v>
      </c>
      <c r="W5" s="197" t="s">
        <v>515</v>
      </c>
      <c r="X5" s="197" t="s">
        <v>516</v>
      </c>
      <c r="Y5" s="197" t="s">
        <v>517</v>
      </c>
      <c r="Z5" s="198" t="s">
        <v>518</v>
      </c>
      <c r="AA5" s="197" t="s">
        <v>49</v>
      </c>
      <c r="AB5" s="197" t="s">
        <v>519</v>
      </c>
      <c r="AC5" s="197" t="s">
        <v>520</v>
      </c>
      <c r="AD5" s="197" t="s">
        <v>521</v>
      </c>
      <c r="AE5" s="197" t="s">
        <v>522</v>
      </c>
      <c r="AF5" s="197" t="s">
        <v>523</v>
      </c>
      <c r="AG5" s="197" t="s">
        <v>524</v>
      </c>
      <c r="AH5" s="197" t="s">
        <v>525</v>
      </c>
      <c r="AI5" s="197" t="s">
        <v>87</v>
      </c>
      <c r="AJ5" s="198" t="s">
        <v>526</v>
      </c>
      <c r="AK5" s="198" t="s">
        <v>326</v>
      </c>
      <c r="AL5" s="58"/>
      <c r="AM5" s="58"/>
    </row>
    <row r="6">
      <c r="A6" s="199" t="s">
        <v>103</v>
      </c>
      <c r="B6" s="200" t="s">
        <v>332</v>
      </c>
      <c r="C6" s="199">
        <v>2.4268239202E10</v>
      </c>
      <c r="D6" s="201">
        <v>45545.0</v>
      </c>
      <c r="E6" s="202" t="s">
        <v>102</v>
      </c>
      <c r="F6" s="202" t="s">
        <v>102</v>
      </c>
      <c r="G6" s="203" t="s">
        <v>100</v>
      </c>
      <c r="H6" s="203" t="s">
        <v>100</v>
      </c>
      <c r="I6" s="199"/>
      <c r="J6" s="199"/>
      <c r="K6" s="199"/>
      <c r="L6" s="199">
        <v>5.0</v>
      </c>
      <c r="M6" s="199">
        <v>200.7</v>
      </c>
      <c r="N6" s="37"/>
      <c r="O6" s="37"/>
      <c r="P6" s="199">
        <v>0.01</v>
      </c>
      <c r="Q6" s="199">
        <v>0.0</v>
      </c>
      <c r="R6" s="199">
        <v>5.0</v>
      </c>
      <c r="S6" s="199">
        <v>1.0</v>
      </c>
      <c r="T6" s="199">
        <v>0.0</v>
      </c>
      <c r="U6" s="199">
        <v>32.0</v>
      </c>
      <c r="V6" s="199">
        <v>0.0</v>
      </c>
      <c r="W6" s="199">
        <v>0.0</v>
      </c>
      <c r="X6" s="199">
        <v>0.0</v>
      </c>
      <c r="Y6" s="199">
        <v>0.0</v>
      </c>
      <c r="Z6" s="199">
        <v>0.0</v>
      </c>
      <c r="AA6" s="199">
        <v>0.0</v>
      </c>
      <c r="AB6" s="199">
        <v>29.0</v>
      </c>
      <c r="AC6" s="199">
        <v>2.0</v>
      </c>
      <c r="AD6" s="199">
        <v>0.0</v>
      </c>
      <c r="AE6" s="199">
        <v>12.0</v>
      </c>
      <c r="AF6" s="199">
        <v>0.0</v>
      </c>
      <c r="AG6" s="199">
        <v>449.0</v>
      </c>
      <c r="AH6" s="199">
        <v>8.0</v>
      </c>
      <c r="AI6" s="200" t="s">
        <v>527</v>
      </c>
      <c r="AJ6" s="200" t="s">
        <v>528</v>
      </c>
      <c r="AK6" s="200"/>
      <c r="AL6" s="204"/>
      <c r="AM6" s="204"/>
    </row>
    <row r="7">
      <c r="A7" s="199" t="s">
        <v>103</v>
      </c>
      <c r="B7" s="200" t="s">
        <v>332</v>
      </c>
      <c r="C7" s="199">
        <v>2.612335023E10</v>
      </c>
      <c r="D7" s="201">
        <v>46138.0</v>
      </c>
      <c r="E7" s="202" t="s">
        <v>101</v>
      </c>
      <c r="F7" s="202" t="s">
        <v>101</v>
      </c>
      <c r="G7" s="203" t="s">
        <v>100</v>
      </c>
      <c r="H7" s="203" t="s">
        <v>101</v>
      </c>
      <c r="I7" s="37"/>
      <c r="J7" s="37"/>
      <c r="K7" s="37"/>
      <c r="L7" s="199">
        <v>50.0</v>
      </c>
      <c r="M7" s="199">
        <v>269.9</v>
      </c>
      <c r="N7" s="37"/>
      <c r="O7" s="37"/>
      <c r="P7" s="199">
        <v>0.2</v>
      </c>
      <c r="Q7" s="199">
        <v>0.0</v>
      </c>
      <c r="R7" s="199">
        <v>2.0</v>
      </c>
      <c r="S7" s="199">
        <v>0.0</v>
      </c>
      <c r="T7" s="199">
        <v>0.0</v>
      </c>
      <c r="U7" s="199">
        <v>66.0</v>
      </c>
      <c r="V7" s="199">
        <v>0.0</v>
      </c>
      <c r="W7" s="199">
        <v>0.0</v>
      </c>
      <c r="X7" s="199">
        <v>0.0</v>
      </c>
      <c r="Y7" s="199">
        <v>0.0</v>
      </c>
      <c r="Z7" s="199">
        <v>0.0</v>
      </c>
      <c r="AA7" s="199">
        <v>0.0</v>
      </c>
      <c r="AB7" s="199">
        <v>11.0</v>
      </c>
      <c r="AC7" s="199">
        <v>26.0</v>
      </c>
      <c r="AD7" s="199">
        <v>0.0</v>
      </c>
      <c r="AE7" s="199">
        <v>49.0</v>
      </c>
      <c r="AF7" s="199">
        <v>2.0</v>
      </c>
      <c r="AG7" s="199">
        <v>701.0</v>
      </c>
      <c r="AH7" s="199">
        <v>39.0</v>
      </c>
      <c r="AI7" s="200" t="s">
        <v>529</v>
      </c>
      <c r="AJ7" s="200" t="s">
        <v>530</v>
      </c>
      <c r="AK7" s="200"/>
      <c r="AL7" s="204"/>
      <c r="AM7" s="204"/>
    </row>
    <row r="8">
      <c r="A8" s="199" t="s">
        <v>130</v>
      </c>
      <c r="B8" s="200" t="s">
        <v>364</v>
      </c>
      <c r="C8" s="199">
        <v>2.6124405238E10</v>
      </c>
      <c r="D8" s="201">
        <v>46138.0</v>
      </c>
      <c r="E8" s="202" t="s">
        <v>101</v>
      </c>
      <c r="F8" s="202" t="s">
        <v>101</v>
      </c>
      <c r="G8" s="203" t="s">
        <v>101</v>
      </c>
      <c r="H8" s="203" t="s">
        <v>101</v>
      </c>
      <c r="I8" s="37"/>
      <c r="J8" s="37"/>
      <c r="K8" s="37"/>
      <c r="L8" s="199">
        <v>48.0</v>
      </c>
      <c r="M8" s="199">
        <v>215.5</v>
      </c>
      <c r="N8" s="199"/>
      <c r="O8" s="199">
        <v>13.0</v>
      </c>
      <c r="P8" s="199">
        <v>0.1</v>
      </c>
      <c r="Q8" s="199">
        <v>0.0</v>
      </c>
      <c r="R8" s="199">
        <v>0.0</v>
      </c>
      <c r="S8" s="199">
        <v>0.0</v>
      </c>
      <c r="T8" s="199">
        <v>0.0</v>
      </c>
      <c r="U8" s="199">
        <v>75.0</v>
      </c>
      <c r="V8" s="199">
        <v>0.0</v>
      </c>
      <c r="W8" s="199">
        <v>0.0</v>
      </c>
      <c r="X8" s="199">
        <v>0.0</v>
      </c>
      <c r="Y8" s="199">
        <v>0.0</v>
      </c>
      <c r="Z8" s="199">
        <v>0.0</v>
      </c>
      <c r="AA8" s="199">
        <v>0.0</v>
      </c>
      <c r="AB8" s="199">
        <v>11.0</v>
      </c>
      <c r="AC8" s="199">
        <v>12.0</v>
      </c>
      <c r="AD8" s="199">
        <v>0.0</v>
      </c>
      <c r="AE8" s="199">
        <v>42.0</v>
      </c>
      <c r="AF8" s="199">
        <v>2.0</v>
      </c>
      <c r="AG8" s="199">
        <v>545.0</v>
      </c>
      <c r="AH8" s="199">
        <v>19.0</v>
      </c>
      <c r="AI8" s="200" t="s">
        <v>531</v>
      </c>
      <c r="AJ8" s="200" t="s">
        <v>532</v>
      </c>
      <c r="AK8" s="200"/>
      <c r="AL8" s="204"/>
      <c r="AM8" s="204"/>
    </row>
    <row r="9">
      <c r="A9" s="199" t="s">
        <v>133</v>
      </c>
      <c r="B9" s="200" t="s">
        <v>368</v>
      </c>
      <c r="C9" s="199">
        <v>2.4303290256E10</v>
      </c>
      <c r="D9" s="201">
        <v>45589.0</v>
      </c>
      <c r="E9" s="202" t="s">
        <v>101</v>
      </c>
      <c r="F9" s="202" t="s">
        <v>101</v>
      </c>
      <c r="G9" s="203" t="s">
        <v>101</v>
      </c>
      <c r="H9" s="203" t="s">
        <v>100</v>
      </c>
      <c r="I9" s="37"/>
      <c r="J9" s="37"/>
      <c r="K9" s="37"/>
      <c r="L9" s="199">
        <v>30.0</v>
      </c>
      <c r="M9" s="199">
        <v>65.9</v>
      </c>
      <c r="N9" s="199"/>
      <c r="O9" s="199">
        <v>0.0</v>
      </c>
      <c r="P9" s="199">
        <v>0.1</v>
      </c>
      <c r="Q9" s="199">
        <v>0.0</v>
      </c>
      <c r="R9" s="199">
        <v>10.0</v>
      </c>
      <c r="S9" s="199">
        <v>0.0</v>
      </c>
      <c r="T9" s="199">
        <v>3.0</v>
      </c>
      <c r="U9" s="199">
        <v>52.0</v>
      </c>
      <c r="V9" s="199">
        <v>0.0</v>
      </c>
      <c r="W9" s="199">
        <v>0.0</v>
      </c>
      <c r="X9" s="199">
        <v>1.0</v>
      </c>
      <c r="Y9" s="199">
        <v>0.0</v>
      </c>
      <c r="Z9" s="199">
        <v>0.0</v>
      </c>
      <c r="AA9" s="199">
        <v>0.0</v>
      </c>
      <c r="AB9" s="199">
        <v>2.0</v>
      </c>
      <c r="AC9" s="199">
        <v>0.0</v>
      </c>
      <c r="AD9" s="199">
        <v>0.0</v>
      </c>
      <c r="AE9" s="199">
        <v>52.0</v>
      </c>
      <c r="AF9" s="199">
        <v>3.0</v>
      </c>
      <c r="AG9" s="199">
        <v>28.0</v>
      </c>
      <c r="AH9" s="199">
        <v>33.0</v>
      </c>
      <c r="AI9" s="200" t="s">
        <v>533</v>
      </c>
      <c r="AJ9" s="200" t="s">
        <v>534</v>
      </c>
      <c r="AK9" s="200"/>
      <c r="AL9" s="204"/>
      <c r="AM9" s="204"/>
    </row>
    <row r="10">
      <c r="A10" s="199" t="s">
        <v>133</v>
      </c>
      <c r="B10" s="200" t="s">
        <v>368</v>
      </c>
      <c r="C10" s="199">
        <v>2.5110204258E10</v>
      </c>
      <c r="D10" s="201">
        <v>45756.0</v>
      </c>
      <c r="E10" s="202" t="s">
        <v>100</v>
      </c>
      <c r="F10" s="202" t="s">
        <v>100</v>
      </c>
      <c r="G10" s="203" t="s">
        <v>100</v>
      </c>
      <c r="H10" s="203" t="s">
        <v>100</v>
      </c>
      <c r="I10" s="199">
        <v>3542.0</v>
      </c>
      <c r="J10" s="199">
        <v>2098.0</v>
      </c>
      <c r="K10" s="199">
        <v>978.0</v>
      </c>
      <c r="L10" s="199">
        <v>11.0</v>
      </c>
      <c r="M10" s="199">
        <v>70.9</v>
      </c>
      <c r="N10" s="199"/>
      <c r="O10" s="199">
        <v>0.0</v>
      </c>
      <c r="P10" s="199">
        <v>0.01</v>
      </c>
      <c r="Q10" s="199">
        <v>0.0</v>
      </c>
      <c r="R10" s="199">
        <v>2.0</v>
      </c>
      <c r="S10" s="199">
        <v>0.0</v>
      </c>
      <c r="T10" s="199">
        <v>0.0</v>
      </c>
      <c r="U10" s="199">
        <v>3.0</v>
      </c>
      <c r="V10" s="199">
        <v>0.0</v>
      </c>
      <c r="W10" s="199">
        <v>0.0</v>
      </c>
      <c r="X10" s="199">
        <v>0.0</v>
      </c>
      <c r="Y10" s="199">
        <v>0.0</v>
      </c>
      <c r="Z10" s="199">
        <v>0.0</v>
      </c>
      <c r="AA10" s="199">
        <v>1.0</v>
      </c>
      <c r="AB10" s="199">
        <v>0.0</v>
      </c>
      <c r="AC10" s="199">
        <v>17.0</v>
      </c>
      <c r="AD10" s="199">
        <v>0.0</v>
      </c>
      <c r="AE10" s="199">
        <v>20.0</v>
      </c>
      <c r="AF10" s="199">
        <v>0.0</v>
      </c>
      <c r="AG10" s="199">
        <v>31.0</v>
      </c>
      <c r="AH10" s="199">
        <v>51.0</v>
      </c>
      <c r="AI10" s="200" t="s">
        <v>100</v>
      </c>
      <c r="AJ10" s="200" t="s">
        <v>535</v>
      </c>
      <c r="AK10" s="200"/>
      <c r="AL10" s="204"/>
      <c r="AM10" s="204"/>
    </row>
    <row r="11">
      <c r="A11" s="199" t="s">
        <v>133</v>
      </c>
      <c r="B11" s="200" t="s">
        <v>368</v>
      </c>
      <c r="C11" s="199">
        <v>2.5294210209E10</v>
      </c>
      <c r="D11" s="201">
        <v>45946.0</v>
      </c>
      <c r="E11" s="202" t="s">
        <v>101</v>
      </c>
      <c r="F11" s="202" t="s">
        <v>101</v>
      </c>
      <c r="G11" s="203" t="s">
        <v>100</v>
      </c>
      <c r="H11" s="203" t="s">
        <v>100</v>
      </c>
      <c r="I11" s="199">
        <v>8809.0</v>
      </c>
      <c r="J11" s="199">
        <v>4300.0</v>
      </c>
      <c r="K11" s="199">
        <v>1151.0</v>
      </c>
      <c r="L11" s="199">
        <v>17.0</v>
      </c>
      <c r="M11" s="199">
        <v>60.6</v>
      </c>
      <c r="N11" s="199"/>
      <c r="O11" s="199">
        <v>0.0</v>
      </c>
      <c r="P11" s="199">
        <v>0.02</v>
      </c>
      <c r="Q11" s="199">
        <v>0.0</v>
      </c>
      <c r="R11" s="199">
        <v>5.0</v>
      </c>
      <c r="S11" s="199">
        <v>0.0</v>
      </c>
      <c r="T11" s="199">
        <v>3.0</v>
      </c>
      <c r="U11" s="199">
        <v>5.0</v>
      </c>
      <c r="V11" s="199">
        <v>0.0</v>
      </c>
      <c r="W11" s="199">
        <v>0.0</v>
      </c>
      <c r="X11" s="199">
        <v>0.0</v>
      </c>
      <c r="Y11" s="199">
        <v>0.0</v>
      </c>
      <c r="Z11" s="199">
        <v>0.0</v>
      </c>
      <c r="AA11" s="199">
        <v>0.0</v>
      </c>
      <c r="AB11" s="199">
        <v>22.0</v>
      </c>
      <c r="AC11" s="199">
        <v>0.0</v>
      </c>
      <c r="AD11" s="199">
        <v>0.0</v>
      </c>
      <c r="AE11" s="199">
        <v>13.0</v>
      </c>
      <c r="AF11" s="199">
        <v>0.0</v>
      </c>
      <c r="AG11" s="199">
        <v>145.0</v>
      </c>
      <c r="AH11" s="199">
        <v>41.0</v>
      </c>
      <c r="AI11" s="200" t="s">
        <v>536</v>
      </c>
      <c r="AJ11" s="200" t="s">
        <v>537</v>
      </c>
      <c r="AK11" s="200"/>
      <c r="AL11" s="204"/>
      <c r="AM11" s="204"/>
    </row>
    <row r="12">
      <c r="A12" s="199" t="s">
        <v>133</v>
      </c>
      <c r="B12" s="200" t="s">
        <v>368</v>
      </c>
      <c r="C12" s="199">
        <v>2.609031321E10</v>
      </c>
      <c r="D12" s="201">
        <v>46099.0</v>
      </c>
      <c r="E12" s="202" t="s">
        <v>101</v>
      </c>
      <c r="F12" s="202" t="s">
        <v>100</v>
      </c>
      <c r="G12" s="203" t="s">
        <v>100</v>
      </c>
      <c r="H12" s="203" t="s">
        <v>101</v>
      </c>
      <c r="I12" s="199">
        <v>8809.0</v>
      </c>
      <c r="J12" s="199">
        <v>4300.0</v>
      </c>
      <c r="K12" s="199">
        <v>1151.0</v>
      </c>
      <c r="L12" s="199">
        <v>4.0</v>
      </c>
      <c r="M12" s="199">
        <v>46.7</v>
      </c>
      <c r="N12" s="199"/>
      <c r="O12" s="199">
        <v>0.0</v>
      </c>
      <c r="P12" s="199">
        <v>0.003</v>
      </c>
      <c r="Q12" s="199">
        <v>0.0</v>
      </c>
      <c r="R12" s="199">
        <v>0.0</v>
      </c>
      <c r="S12" s="199">
        <v>0.0</v>
      </c>
      <c r="T12" s="199">
        <v>4.0</v>
      </c>
      <c r="U12" s="199">
        <v>2.0</v>
      </c>
      <c r="V12" s="199">
        <v>0.0</v>
      </c>
      <c r="W12" s="199">
        <v>0.0</v>
      </c>
      <c r="X12" s="199">
        <v>0.0</v>
      </c>
      <c r="Y12" s="199">
        <v>0.0</v>
      </c>
      <c r="Z12" s="199">
        <v>0.0</v>
      </c>
      <c r="AA12" s="199">
        <v>0.0</v>
      </c>
      <c r="AB12" s="199">
        <v>5.0</v>
      </c>
      <c r="AC12" s="199">
        <v>1.0</v>
      </c>
      <c r="AD12" s="199">
        <v>0.0</v>
      </c>
      <c r="AE12" s="199">
        <v>120.0</v>
      </c>
      <c r="AF12" s="199">
        <v>0.0</v>
      </c>
      <c r="AG12" s="199">
        <v>378.0</v>
      </c>
      <c r="AH12" s="199">
        <v>399.0</v>
      </c>
      <c r="AI12" s="200" t="s">
        <v>538</v>
      </c>
      <c r="AJ12" s="200" t="s">
        <v>539</v>
      </c>
      <c r="AK12" s="200"/>
      <c r="AL12" s="204"/>
      <c r="AM12" s="204"/>
    </row>
    <row r="13">
      <c r="A13" s="199" t="s">
        <v>134</v>
      </c>
      <c r="B13" s="200" t="s">
        <v>371</v>
      </c>
      <c r="C13" s="199">
        <v>2.3275210233E10</v>
      </c>
      <c r="D13" s="201">
        <v>45196.0</v>
      </c>
      <c r="E13" s="202" t="s">
        <v>101</v>
      </c>
      <c r="F13" s="202" t="s">
        <v>100</v>
      </c>
      <c r="G13" s="203" t="s">
        <v>100</v>
      </c>
      <c r="H13" s="203" t="s">
        <v>101</v>
      </c>
      <c r="I13" s="199">
        <v>21361.0</v>
      </c>
      <c r="J13" s="199">
        <v>18170.0</v>
      </c>
      <c r="K13" s="199">
        <v>121.0</v>
      </c>
      <c r="L13" s="199">
        <v>4.0</v>
      </c>
      <c r="M13" s="199">
        <v>49.8</v>
      </c>
      <c r="N13" s="199"/>
      <c r="O13" s="199">
        <v>0.0</v>
      </c>
      <c r="P13" s="199">
        <v>0.003</v>
      </c>
      <c r="Q13" s="199">
        <v>0.0</v>
      </c>
      <c r="R13" s="199">
        <v>4.0</v>
      </c>
      <c r="S13" s="199">
        <v>0.0</v>
      </c>
      <c r="T13" s="199">
        <v>0.0</v>
      </c>
      <c r="U13" s="199">
        <v>6.0</v>
      </c>
      <c r="V13" s="199">
        <v>0.0</v>
      </c>
      <c r="W13" s="199">
        <v>0.0</v>
      </c>
      <c r="X13" s="199">
        <v>0.0</v>
      </c>
      <c r="Y13" s="199">
        <v>0.0</v>
      </c>
      <c r="Z13" s="199">
        <v>0.0</v>
      </c>
      <c r="AA13" s="199">
        <v>0.0</v>
      </c>
      <c r="AB13" s="199">
        <v>1.0</v>
      </c>
      <c r="AC13" s="199">
        <v>0.0</v>
      </c>
      <c r="AD13" s="199">
        <v>0.0</v>
      </c>
      <c r="AE13" s="199">
        <v>112.0</v>
      </c>
      <c r="AF13" s="199">
        <v>0.0</v>
      </c>
      <c r="AG13" s="199">
        <v>481.0</v>
      </c>
      <c r="AH13" s="199">
        <v>427.0</v>
      </c>
      <c r="AI13" s="200" t="s">
        <v>538</v>
      </c>
      <c r="AJ13" s="200" t="s">
        <v>540</v>
      </c>
      <c r="AK13" s="200"/>
      <c r="AL13" s="204"/>
      <c r="AM13" s="204"/>
    </row>
    <row r="14">
      <c r="A14" s="199" t="s">
        <v>158</v>
      </c>
      <c r="B14" s="200" t="s">
        <v>404</v>
      </c>
      <c r="C14" s="199">
        <v>2.4303290247E10</v>
      </c>
      <c r="D14" s="201">
        <v>45589.0</v>
      </c>
      <c r="E14" s="202" t="s">
        <v>101</v>
      </c>
      <c r="F14" s="202" t="s">
        <v>101</v>
      </c>
      <c r="G14" s="203" t="s">
        <v>100</v>
      </c>
      <c r="H14" s="203" t="s">
        <v>100</v>
      </c>
      <c r="I14" s="199">
        <v>2654.0</v>
      </c>
      <c r="J14" s="199">
        <v>1524.0</v>
      </c>
      <c r="K14" s="199">
        <v>1011.0</v>
      </c>
      <c r="L14" s="199">
        <v>18.0</v>
      </c>
      <c r="M14" s="199">
        <v>63.7</v>
      </c>
      <c r="N14" s="199"/>
      <c r="O14" s="199">
        <v>0.0</v>
      </c>
      <c r="P14" s="199">
        <v>0.1</v>
      </c>
      <c r="Q14" s="199">
        <v>0.0</v>
      </c>
      <c r="R14" s="199">
        <v>4.0</v>
      </c>
      <c r="S14" s="199">
        <v>2.0</v>
      </c>
      <c r="T14" s="199">
        <v>0.0</v>
      </c>
      <c r="U14" s="199">
        <v>28.0</v>
      </c>
      <c r="V14" s="199">
        <v>0.0</v>
      </c>
      <c r="W14" s="199">
        <v>0.0</v>
      </c>
      <c r="X14" s="199">
        <v>13.0</v>
      </c>
      <c r="Y14" s="199">
        <v>0.0</v>
      </c>
      <c r="Z14" s="199">
        <v>1.0</v>
      </c>
      <c r="AA14" s="199">
        <v>0.0</v>
      </c>
      <c r="AB14" s="199">
        <v>17.0</v>
      </c>
      <c r="AC14" s="199">
        <v>11.0</v>
      </c>
      <c r="AD14" s="199">
        <v>0.0</v>
      </c>
      <c r="AE14" s="199">
        <v>92.0</v>
      </c>
      <c r="AF14" s="199">
        <v>2.0</v>
      </c>
      <c r="AG14" s="199">
        <v>76.0</v>
      </c>
      <c r="AH14" s="199">
        <v>49.0</v>
      </c>
      <c r="AI14" s="200" t="s">
        <v>541</v>
      </c>
      <c r="AJ14" s="200" t="s">
        <v>542</v>
      </c>
      <c r="AK14" s="200"/>
      <c r="AL14" s="204"/>
      <c r="AM14" s="204"/>
    </row>
    <row r="15">
      <c r="A15" s="199" t="s">
        <v>134</v>
      </c>
      <c r="B15" s="200" t="s">
        <v>371</v>
      </c>
      <c r="C15" s="199">
        <v>2.5112224243E10</v>
      </c>
      <c r="D15" s="201">
        <v>45756.0</v>
      </c>
      <c r="E15" s="202" t="s">
        <v>100</v>
      </c>
      <c r="F15" s="202" t="s">
        <v>100</v>
      </c>
      <c r="G15" s="203" t="s">
        <v>100</v>
      </c>
      <c r="H15" s="203" t="s">
        <v>100</v>
      </c>
      <c r="I15" s="199">
        <v>8914.0</v>
      </c>
      <c r="J15" s="199">
        <v>2160.0</v>
      </c>
      <c r="K15" s="199">
        <v>894.0</v>
      </c>
      <c r="L15" s="199">
        <v>8.0</v>
      </c>
      <c r="M15" s="199">
        <v>69.9</v>
      </c>
      <c r="N15" s="199"/>
      <c r="O15" s="199">
        <v>0.0</v>
      </c>
      <c r="P15" s="199">
        <v>0.01</v>
      </c>
      <c r="Q15" s="199">
        <v>0.0</v>
      </c>
      <c r="R15" s="199">
        <v>0.0</v>
      </c>
      <c r="S15" s="199">
        <v>0.0</v>
      </c>
      <c r="T15" s="199">
        <v>1.0</v>
      </c>
      <c r="U15" s="199">
        <v>1.0</v>
      </c>
      <c r="V15" s="199">
        <v>0.0</v>
      </c>
      <c r="W15" s="199">
        <v>0.0</v>
      </c>
      <c r="X15" s="199">
        <v>0.0</v>
      </c>
      <c r="Y15" s="199">
        <v>0.0</v>
      </c>
      <c r="Z15" s="199">
        <v>2.0</v>
      </c>
      <c r="AA15" s="199">
        <v>0.0</v>
      </c>
      <c r="AB15" s="199">
        <v>0.0</v>
      </c>
      <c r="AC15" s="199">
        <v>7.0</v>
      </c>
      <c r="AD15" s="199">
        <v>0.0</v>
      </c>
      <c r="AE15" s="199">
        <v>93.0</v>
      </c>
      <c r="AF15" s="199">
        <v>1.0</v>
      </c>
      <c r="AG15" s="199">
        <v>429.0</v>
      </c>
      <c r="AH15" s="199">
        <v>645.0</v>
      </c>
      <c r="AI15" s="200" t="s">
        <v>100</v>
      </c>
      <c r="AJ15" s="200" t="s">
        <v>535</v>
      </c>
      <c r="AK15" s="200"/>
      <c r="AL15" s="204"/>
      <c r="AM15" s="204"/>
    </row>
    <row r="16">
      <c r="A16" s="199" t="s">
        <v>134</v>
      </c>
      <c r="B16" s="200" t="s">
        <v>371</v>
      </c>
      <c r="C16" s="199">
        <v>2.5295220202E10</v>
      </c>
      <c r="D16" s="201">
        <v>45946.0</v>
      </c>
      <c r="E16" s="202" t="s">
        <v>102</v>
      </c>
      <c r="F16" s="202" t="s">
        <v>102</v>
      </c>
      <c r="G16" s="203" t="s">
        <v>100</v>
      </c>
      <c r="H16" s="203" t="s">
        <v>100</v>
      </c>
      <c r="I16" s="37"/>
      <c r="J16" s="37"/>
      <c r="K16" s="37"/>
      <c r="L16" s="199">
        <v>20.0</v>
      </c>
      <c r="M16" s="199">
        <v>61.2</v>
      </c>
      <c r="N16" s="199"/>
      <c r="O16" s="199">
        <v>0.0</v>
      </c>
      <c r="P16" s="199">
        <v>0.02</v>
      </c>
      <c r="Q16" s="199">
        <v>0.0</v>
      </c>
      <c r="R16" s="199">
        <v>0.0</v>
      </c>
      <c r="S16" s="199">
        <v>0.0</v>
      </c>
      <c r="T16" s="199">
        <v>0.0</v>
      </c>
      <c r="U16" s="199">
        <v>0.0</v>
      </c>
      <c r="V16" s="199">
        <v>0.0</v>
      </c>
      <c r="W16" s="199">
        <v>0.0</v>
      </c>
      <c r="X16" s="199">
        <v>0.0</v>
      </c>
      <c r="Y16" s="199">
        <v>0.0</v>
      </c>
      <c r="Z16" s="199">
        <v>0.0</v>
      </c>
      <c r="AA16" s="199">
        <v>0.0</v>
      </c>
      <c r="AB16" s="199">
        <v>0.0</v>
      </c>
      <c r="AC16" s="199">
        <v>2.0</v>
      </c>
      <c r="AD16" s="199">
        <v>0.0</v>
      </c>
      <c r="AE16" s="199">
        <v>0.0</v>
      </c>
      <c r="AF16" s="199">
        <v>0.0</v>
      </c>
      <c r="AG16" s="199">
        <v>153.0</v>
      </c>
      <c r="AH16" s="199">
        <v>39.0</v>
      </c>
      <c r="AI16" s="200" t="s">
        <v>543</v>
      </c>
      <c r="AJ16" s="200" t="s">
        <v>544</v>
      </c>
      <c r="AK16" s="200"/>
      <c r="AL16" s="204"/>
      <c r="AM16" s="204"/>
    </row>
    <row r="17">
      <c r="A17" s="199" t="s">
        <v>134</v>
      </c>
      <c r="B17" s="200" t="s">
        <v>371</v>
      </c>
      <c r="C17" s="199">
        <v>2.6123350232E10</v>
      </c>
      <c r="D17" s="201">
        <v>46138.0</v>
      </c>
      <c r="E17" s="202" t="s">
        <v>101</v>
      </c>
      <c r="F17" s="202" t="s">
        <v>100</v>
      </c>
      <c r="G17" s="203" t="s">
        <v>100</v>
      </c>
      <c r="H17" s="203" t="s">
        <v>101</v>
      </c>
      <c r="I17" s="199">
        <v>8914.0</v>
      </c>
      <c r="J17" s="199">
        <v>2160.0</v>
      </c>
      <c r="K17" s="199">
        <v>894.0</v>
      </c>
      <c r="L17" s="199">
        <v>4.0</v>
      </c>
      <c r="M17" s="199">
        <v>45.7</v>
      </c>
      <c r="N17" s="199"/>
      <c r="O17" s="199">
        <v>0.0</v>
      </c>
      <c r="P17" s="199">
        <v>0.003</v>
      </c>
      <c r="Q17" s="199">
        <v>0.0</v>
      </c>
      <c r="R17" s="199">
        <v>0.0</v>
      </c>
      <c r="S17" s="199">
        <v>0.0</v>
      </c>
      <c r="T17" s="199">
        <v>4.0</v>
      </c>
      <c r="U17" s="199">
        <v>3.0</v>
      </c>
      <c r="V17" s="199">
        <v>0.0</v>
      </c>
      <c r="W17" s="199">
        <v>0.0</v>
      </c>
      <c r="X17" s="199">
        <v>0.0</v>
      </c>
      <c r="Y17" s="199">
        <v>0.0</v>
      </c>
      <c r="Z17" s="199">
        <v>0.0</v>
      </c>
      <c r="AA17" s="199">
        <v>0.0</v>
      </c>
      <c r="AB17" s="199">
        <v>0.0</v>
      </c>
      <c r="AC17" s="199">
        <v>10.0</v>
      </c>
      <c r="AD17" s="199">
        <v>0.0</v>
      </c>
      <c r="AE17" s="199">
        <v>133.0</v>
      </c>
      <c r="AF17" s="199">
        <v>0.0</v>
      </c>
      <c r="AG17" s="199">
        <v>415.0</v>
      </c>
      <c r="AH17" s="199">
        <v>652.0</v>
      </c>
      <c r="AI17" s="200" t="s">
        <v>545</v>
      </c>
      <c r="AJ17" s="200" t="s">
        <v>546</v>
      </c>
      <c r="AK17" s="200"/>
      <c r="AL17" s="204"/>
      <c r="AM17" s="204"/>
    </row>
    <row r="18">
      <c r="A18" s="199" t="s">
        <v>141</v>
      </c>
      <c r="B18" s="200" t="s">
        <v>383</v>
      </c>
      <c r="C18" s="199">
        <v>2.6090313214E10</v>
      </c>
      <c r="D18" s="201">
        <v>46093.0</v>
      </c>
      <c r="E18" s="202" t="s">
        <v>101</v>
      </c>
      <c r="F18" s="202" t="s">
        <v>101</v>
      </c>
      <c r="G18" s="203" t="s">
        <v>100</v>
      </c>
      <c r="H18" s="203" t="s">
        <v>100</v>
      </c>
      <c r="I18" s="37"/>
      <c r="J18" s="37"/>
      <c r="K18" s="37"/>
      <c r="L18" s="199">
        <v>19.0</v>
      </c>
      <c r="M18" s="199">
        <v>310.7</v>
      </c>
      <c r="N18" s="199"/>
      <c r="O18" s="199">
        <v>3.0</v>
      </c>
      <c r="P18" s="199">
        <v>0.5</v>
      </c>
      <c r="Q18" s="199">
        <v>0.0</v>
      </c>
      <c r="R18" s="199">
        <v>7.0</v>
      </c>
      <c r="S18" s="199">
        <v>0.0</v>
      </c>
      <c r="T18" s="199">
        <v>5.0</v>
      </c>
      <c r="U18" s="199">
        <v>27.0</v>
      </c>
      <c r="V18" s="199">
        <v>2.0</v>
      </c>
      <c r="W18" s="199">
        <v>0.0</v>
      </c>
      <c r="X18" s="199">
        <v>0.0</v>
      </c>
      <c r="Y18" s="199">
        <v>0.0</v>
      </c>
      <c r="Z18" s="199">
        <v>2.0</v>
      </c>
      <c r="AA18" s="199">
        <v>0.0</v>
      </c>
      <c r="AB18" s="199">
        <v>4.0</v>
      </c>
      <c r="AC18" s="199">
        <v>10.0</v>
      </c>
      <c r="AD18" s="199">
        <v>0.0</v>
      </c>
      <c r="AE18" s="199">
        <v>124.0</v>
      </c>
      <c r="AF18" s="199">
        <v>5.0</v>
      </c>
      <c r="AG18" s="199">
        <v>491.0</v>
      </c>
      <c r="AH18" s="199">
        <v>16.0</v>
      </c>
      <c r="AI18" s="200" t="s">
        <v>547</v>
      </c>
      <c r="AJ18" s="200" t="s">
        <v>548</v>
      </c>
      <c r="AK18" s="200"/>
      <c r="AL18" s="204"/>
      <c r="AM18" s="204"/>
    </row>
    <row r="19">
      <c r="A19" s="199" t="s">
        <v>158</v>
      </c>
      <c r="B19" s="200" t="s">
        <v>404</v>
      </c>
      <c r="C19" s="199">
        <v>2.5258159214E10</v>
      </c>
      <c r="D19" s="201">
        <v>45909.0</v>
      </c>
      <c r="E19" s="202" t="s">
        <v>102</v>
      </c>
      <c r="F19" s="202" t="s">
        <v>102</v>
      </c>
      <c r="G19" s="203" t="s">
        <v>100</v>
      </c>
      <c r="H19" s="203" t="s">
        <v>100</v>
      </c>
      <c r="I19" s="37"/>
      <c r="J19" s="37"/>
      <c r="K19" s="37"/>
      <c r="L19" s="199">
        <v>21.0</v>
      </c>
      <c r="M19" s="199">
        <v>61.8</v>
      </c>
      <c r="N19" s="199"/>
      <c r="O19" s="199">
        <v>0.0</v>
      </c>
      <c r="P19" s="199">
        <v>0.05</v>
      </c>
      <c r="Q19" s="199">
        <v>0.0</v>
      </c>
      <c r="R19" s="199">
        <v>12.0</v>
      </c>
      <c r="S19" s="199">
        <v>1.0</v>
      </c>
      <c r="T19" s="199">
        <v>3.0</v>
      </c>
      <c r="U19" s="199">
        <v>23.0</v>
      </c>
      <c r="V19" s="199">
        <v>0.0</v>
      </c>
      <c r="W19" s="199">
        <v>0.0</v>
      </c>
      <c r="X19" s="199">
        <v>1.0</v>
      </c>
      <c r="Y19" s="199">
        <v>0.0</v>
      </c>
      <c r="Z19" s="199">
        <v>0.0</v>
      </c>
      <c r="AA19" s="199">
        <v>0.0</v>
      </c>
      <c r="AB19" s="199">
        <v>0.0</v>
      </c>
      <c r="AC19" s="199">
        <v>0.0</v>
      </c>
      <c r="AD19" s="199">
        <v>0.0</v>
      </c>
      <c r="AE19" s="199">
        <v>70.0</v>
      </c>
      <c r="AF19" s="199">
        <v>0.0</v>
      </c>
      <c r="AG19" s="199">
        <v>258.0</v>
      </c>
      <c r="AH19" s="199">
        <v>86.0</v>
      </c>
      <c r="AI19" s="200" t="s">
        <v>549</v>
      </c>
      <c r="AJ19" s="200" t="s">
        <v>550</v>
      </c>
      <c r="AK19" s="200"/>
      <c r="AL19" s="204"/>
      <c r="AM19" s="204"/>
    </row>
    <row r="20">
      <c r="A20" s="199" t="s">
        <v>158</v>
      </c>
      <c r="B20" s="200" t="s">
        <v>404</v>
      </c>
      <c r="C20" s="199">
        <v>2.6090313216E10</v>
      </c>
      <c r="D20" s="201">
        <v>46093.0</v>
      </c>
      <c r="E20" s="202" t="s">
        <v>101</v>
      </c>
      <c r="F20" s="202" t="s">
        <v>100</v>
      </c>
      <c r="G20" s="203" t="s">
        <v>100</v>
      </c>
      <c r="H20" s="203" t="s">
        <v>101</v>
      </c>
      <c r="I20" s="199">
        <v>6199.0</v>
      </c>
      <c r="J20" s="199">
        <v>2394.0</v>
      </c>
      <c r="K20" s="199">
        <v>619.0</v>
      </c>
      <c r="L20" s="199">
        <v>5.0</v>
      </c>
      <c r="M20" s="199">
        <v>46.6</v>
      </c>
      <c r="N20" s="199"/>
      <c r="O20" s="199">
        <v>0.0</v>
      </c>
      <c r="P20" s="199">
        <v>0.003</v>
      </c>
      <c r="Q20" s="199">
        <v>0.0</v>
      </c>
      <c r="R20" s="199">
        <v>1.0</v>
      </c>
      <c r="S20" s="199">
        <v>0.0</v>
      </c>
      <c r="T20" s="199">
        <v>4.0</v>
      </c>
      <c r="U20" s="199">
        <v>0.0</v>
      </c>
      <c r="V20" s="199">
        <v>0.0</v>
      </c>
      <c r="W20" s="199">
        <v>0.0</v>
      </c>
      <c r="X20" s="199">
        <v>0.0</v>
      </c>
      <c r="Y20" s="199">
        <v>0.0</v>
      </c>
      <c r="Z20" s="199">
        <v>0.0</v>
      </c>
      <c r="AA20" s="199">
        <v>0.0</v>
      </c>
      <c r="AB20" s="199">
        <v>1.0</v>
      </c>
      <c r="AC20" s="199">
        <v>2.0</v>
      </c>
      <c r="AD20" s="199">
        <v>0.0</v>
      </c>
      <c r="AE20" s="199">
        <v>104.0</v>
      </c>
      <c r="AF20" s="199">
        <v>0.0</v>
      </c>
      <c r="AG20" s="199">
        <v>429.0</v>
      </c>
      <c r="AH20" s="199">
        <v>459.0</v>
      </c>
      <c r="AI20" s="200" t="s">
        <v>538</v>
      </c>
      <c r="AJ20" s="200" t="s">
        <v>551</v>
      </c>
      <c r="AK20" s="200"/>
      <c r="AL20" s="204"/>
      <c r="AM20" s="204"/>
    </row>
    <row r="21">
      <c r="A21" s="199" t="s">
        <v>146</v>
      </c>
      <c r="B21" s="200" t="s">
        <v>552</v>
      </c>
      <c r="C21" s="199">
        <v>2.5294210205E10</v>
      </c>
      <c r="D21" s="201">
        <v>45946.0</v>
      </c>
      <c r="E21" s="202" t="s">
        <v>101</v>
      </c>
      <c r="F21" s="202" t="s">
        <v>100</v>
      </c>
      <c r="G21" s="203" t="s">
        <v>100</v>
      </c>
      <c r="H21" s="203" t="s">
        <v>101</v>
      </c>
      <c r="I21" s="199">
        <v>8189.0</v>
      </c>
      <c r="J21" s="199">
        <v>2110.0</v>
      </c>
      <c r="K21" s="199">
        <v>818.0</v>
      </c>
      <c r="L21" s="199">
        <v>5.0</v>
      </c>
      <c r="M21" s="199">
        <v>44.5</v>
      </c>
      <c r="N21" s="199"/>
      <c r="O21" s="199">
        <v>1.0</v>
      </c>
      <c r="P21" s="199">
        <v>0.003</v>
      </c>
      <c r="Q21" s="199">
        <v>0.0</v>
      </c>
      <c r="R21" s="199">
        <v>3.0</v>
      </c>
      <c r="S21" s="199">
        <v>0.0</v>
      </c>
      <c r="T21" s="199">
        <v>3.0</v>
      </c>
      <c r="U21" s="199">
        <v>1.0</v>
      </c>
      <c r="V21" s="199">
        <v>0.0</v>
      </c>
      <c r="W21" s="199">
        <v>0.0</v>
      </c>
      <c r="X21" s="199">
        <v>0.0</v>
      </c>
      <c r="Y21" s="199">
        <v>0.0</v>
      </c>
      <c r="Z21" s="199">
        <v>0.0</v>
      </c>
      <c r="AA21" s="199">
        <v>0.0</v>
      </c>
      <c r="AB21" s="199">
        <v>4.0</v>
      </c>
      <c r="AC21" s="199">
        <v>0.0</v>
      </c>
      <c r="AD21" s="199">
        <v>0.0</v>
      </c>
      <c r="AE21" s="199">
        <v>57.0</v>
      </c>
      <c r="AF21" s="199">
        <v>0.0</v>
      </c>
      <c r="AG21" s="199">
        <v>361.0</v>
      </c>
      <c r="AH21" s="199">
        <v>384.0</v>
      </c>
      <c r="AI21" s="200" t="s">
        <v>538</v>
      </c>
      <c r="AJ21" s="200" t="s">
        <v>553</v>
      </c>
      <c r="AK21" s="200"/>
      <c r="AL21" s="204"/>
      <c r="AM21" s="204"/>
    </row>
    <row r="22">
      <c r="A22" s="199" t="s">
        <v>146</v>
      </c>
      <c r="B22" s="200" t="s">
        <v>552</v>
      </c>
      <c r="C22" s="199">
        <v>2.6124405202E10</v>
      </c>
      <c r="D22" s="201">
        <v>46138.0</v>
      </c>
      <c r="E22" s="202" t="s">
        <v>101</v>
      </c>
      <c r="F22" s="202" t="s">
        <v>100</v>
      </c>
      <c r="G22" s="203" t="s">
        <v>100</v>
      </c>
      <c r="H22" s="203" t="s">
        <v>101</v>
      </c>
      <c r="I22" s="199">
        <v>8914.0</v>
      </c>
      <c r="J22" s="199">
        <v>3607.0</v>
      </c>
      <c r="K22" s="199">
        <v>912.0</v>
      </c>
      <c r="L22" s="199">
        <v>9.0</v>
      </c>
      <c r="M22" s="199">
        <v>45.2</v>
      </c>
      <c r="N22" s="199"/>
      <c r="O22" s="199">
        <v>2.0</v>
      </c>
      <c r="P22" s="199">
        <v>0.003</v>
      </c>
      <c r="Q22" s="199">
        <v>0.0</v>
      </c>
      <c r="R22" s="199">
        <v>0.0</v>
      </c>
      <c r="S22" s="199">
        <v>0.0</v>
      </c>
      <c r="T22" s="199">
        <v>0.0</v>
      </c>
      <c r="U22" s="199">
        <v>4.0</v>
      </c>
      <c r="V22" s="199">
        <v>0.0</v>
      </c>
      <c r="W22" s="199">
        <v>0.0</v>
      </c>
      <c r="X22" s="199">
        <v>0.0</v>
      </c>
      <c r="Y22" s="199">
        <v>0.0</v>
      </c>
      <c r="Z22" s="199">
        <v>0.0</v>
      </c>
      <c r="AA22" s="199">
        <v>0.0</v>
      </c>
      <c r="AB22" s="199">
        <v>0.0</v>
      </c>
      <c r="AC22" s="199">
        <v>10.0</v>
      </c>
      <c r="AD22" s="199">
        <v>0.0</v>
      </c>
      <c r="AE22" s="199">
        <v>118.0</v>
      </c>
      <c r="AF22" s="199">
        <v>0.0</v>
      </c>
      <c r="AG22" s="199">
        <v>451.0</v>
      </c>
      <c r="AH22" s="199">
        <v>638.0</v>
      </c>
      <c r="AI22" s="200" t="s">
        <v>554</v>
      </c>
      <c r="AJ22" s="200" t="s">
        <v>555</v>
      </c>
      <c r="AK22" s="200"/>
      <c r="AL22" s="204"/>
      <c r="AM22" s="204"/>
    </row>
    <row r="23">
      <c r="A23" s="199" t="s">
        <v>147</v>
      </c>
      <c r="B23" s="200" t="s">
        <v>556</v>
      </c>
      <c r="C23" s="199">
        <v>2.5294210204E10</v>
      </c>
      <c r="D23" s="201">
        <v>45946.0</v>
      </c>
      <c r="E23" s="202" t="s">
        <v>101</v>
      </c>
      <c r="F23" s="202" t="s">
        <v>100</v>
      </c>
      <c r="G23" s="203" t="s">
        <v>100</v>
      </c>
      <c r="H23" s="203" t="s">
        <v>101</v>
      </c>
      <c r="I23" s="199">
        <v>7825.0</v>
      </c>
      <c r="J23" s="199">
        <v>2140.0</v>
      </c>
      <c r="K23" s="199">
        <v>818.0</v>
      </c>
      <c r="L23" s="199">
        <v>4.0</v>
      </c>
      <c r="M23" s="199">
        <v>44.5</v>
      </c>
      <c r="N23" s="199"/>
      <c r="O23" s="199">
        <v>1.0</v>
      </c>
      <c r="P23" s="199">
        <v>0.003</v>
      </c>
      <c r="Q23" s="199">
        <v>0.0</v>
      </c>
      <c r="R23" s="199">
        <v>3.0</v>
      </c>
      <c r="S23" s="199">
        <v>0.0</v>
      </c>
      <c r="T23" s="199">
        <v>3.0</v>
      </c>
      <c r="U23" s="199">
        <v>2.0</v>
      </c>
      <c r="V23" s="199">
        <v>0.0</v>
      </c>
      <c r="W23" s="199">
        <v>0.0</v>
      </c>
      <c r="X23" s="199">
        <v>0.0</v>
      </c>
      <c r="Y23" s="199">
        <v>0.0</v>
      </c>
      <c r="Z23" s="199">
        <v>0.0</v>
      </c>
      <c r="AA23" s="199">
        <v>0.0</v>
      </c>
      <c r="AB23" s="199">
        <v>1.0</v>
      </c>
      <c r="AC23" s="199">
        <v>0.0</v>
      </c>
      <c r="AD23" s="199">
        <v>0.0</v>
      </c>
      <c r="AE23" s="199">
        <v>61.0</v>
      </c>
      <c r="AF23" s="199">
        <v>0.0</v>
      </c>
      <c r="AG23" s="199">
        <v>393.0</v>
      </c>
      <c r="AH23" s="199">
        <v>416.0</v>
      </c>
      <c r="AI23" s="200" t="s">
        <v>538</v>
      </c>
      <c r="AJ23" s="200" t="s">
        <v>557</v>
      </c>
      <c r="AK23" s="200"/>
      <c r="AL23" s="204"/>
      <c r="AM23" s="204"/>
    </row>
    <row r="24">
      <c r="A24" s="199" t="s">
        <v>147</v>
      </c>
      <c r="B24" s="200" t="s">
        <v>556</v>
      </c>
      <c r="C24" s="199">
        <v>2.6060130245E10</v>
      </c>
      <c r="D24" s="201">
        <v>46054.0</v>
      </c>
      <c r="E24" s="202" t="s">
        <v>100</v>
      </c>
      <c r="F24" s="202" t="s">
        <v>100</v>
      </c>
      <c r="G24" s="203" t="s">
        <v>100</v>
      </c>
      <c r="H24" s="203" t="s">
        <v>100</v>
      </c>
      <c r="I24" s="199">
        <v>12981.0</v>
      </c>
      <c r="J24" s="199">
        <v>5117.0</v>
      </c>
      <c r="K24" s="199">
        <v>2319.0</v>
      </c>
      <c r="L24" s="199">
        <v>5.0</v>
      </c>
      <c r="M24" s="199">
        <v>63.7</v>
      </c>
      <c r="N24" s="199"/>
      <c r="O24" s="199">
        <v>0.0</v>
      </c>
      <c r="P24" s="199">
        <v>0.01</v>
      </c>
      <c r="Q24" s="199">
        <v>0.0</v>
      </c>
      <c r="R24" s="199">
        <v>0.0</v>
      </c>
      <c r="S24" s="199">
        <v>0.0</v>
      </c>
      <c r="T24" s="199">
        <v>0.0</v>
      </c>
      <c r="U24" s="199">
        <v>0.0</v>
      </c>
      <c r="V24" s="199">
        <v>0.0</v>
      </c>
      <c r="W24" s="199">
        <v>0.0</v>
      </c>
      <c r="X24" s="199">
        <v>0.0</v>
      </c>
      <c r="Y24" s="199">
        <v>0.0</v>
      </c>
      <c r="Z24" s="199">
        <v>0.0</v>
      </c>
      <c r="AA24" s="199">
        <v>0.0</v>
      </c>
      <c r="AB24" s="199">
        <v>0.0</v>
      </c>
      <c r="AC24" s="199">
        <v>1.0</v>
      </c>
      <c r="AD24" s="199">
        <v>0.0</v>
      </c>
      <c r="AE24" s="199">
        <v>23.0</v>
      </c>
      <c r="AF24" s="199">
        <v>0.0</v>
      </c>
      <c r="AG24" s="199">
        <v>117.0</v>
      </c>
      <c r="AH24" s="199">
        <v>70.0</v>
      </c>
      <c r="AI24" s="200" t="s">
        <v>100</v>
      </c>
      <c r="AJ24" s="200" t="s">
        <v>558</v>
      </c>
      <c r="AK24" s="200"/>
      <c r="AL24" s="204"/>
      <c r="AM24" s="204"/>
    </row>
    <row r="25">
      <c r="A25" s="199" t="s">
        <v>170</v>
      </c>
      <c r="B25" s="200" t="s">
        <v>412</v>
      </c>
      <c r="C25" s="199">
        <v>2.507920322E10</v>
      </c>
      <c r="D25" s="201">
        <v>45725.0</v>
      </c>
      <c r="E25" s="202" t="s">
        <v>101</v>
      </c>
      <c r="F25" s="202" t="s">
        <v>101</v>
      </c>
      <c r="G25" s="203" t="s">
        <v>100</v>
      </c>
      <c r="H25" s="203" t="s">
        <v>100</v>
      </c>
      <c r="I25" s="199">
        <v>35421.0</v>
      </c>
      <c r="J25" s="199">
        <v>3542.0</v>
      </c>
      <c r="K25" s="199">
        <v>2140.0</v>
      </c>
      <c r="L25" s="199">
        <v>14.0</v>
      </c>
      <c r="M25" s="199">
        <v>322.1</v>
      </c>
      <c r="N25" s="37"/>
      <c r="O25" s="37"/>
      <c r="P25" s="199">
        <v>0.11</v>
      </c>
      <c r="Q25" s="199">
        <v>0.0</v>
      </c>
      <c r="R25" s="199">
        <v>9.0</v>
      </c>
      <c r="S25" s="199">
        <v>2.0</v>
      </c>
      <c r="T25" s="199">
        <v>3.0</v>
      </c>
      <c r="U25" s="199">
        <v>22.0</v>
      </c>
      <c r="V25" s="199">
        <v>0.0</v>
      </c>
      <c r="W25" s="199">
        <v>0.0</v>
      </c>
      <c r="X25" s="199">
        <v>0.0</v>
      </c>
      <c r="Y25" s="199">
        <v>0.0</v>
      </c>
      <c r="Z25" s="199">
        <v>0.0</v>
      </c>
      <c r="AA25" s="199">
        <v>0.0</v>
      </c>
      <c r="AB25" s="199">
        <v>19.0</v>
      </c>
      <c r="AC25" s="199">
        <v>10.0</v>
      </c>
      <c r="AD25" s="199">
        <v>0.0</v>
      </c>
      <c r="AE25" s="199">
        <v>31.0</v>
      </c>
      <c r="AF25" s="199">
        <v>0.0</v>
      </c>
      <c r="AG25" s="199">
        <v>465.0</v>
      </c>
      <c r="AH25" s="199">
        <v>30.0</v>
      </c>
      <c r="AI25" s="200" t="s">
        <v>559</v>
      </c>
      <c r="AJ25" s="200" t="s">
        <v>560</v>
      </c>
      <c r="AK25" s="200"/>
      <c r="AL25" s="204"/>
      <c r="AM25" s="204"/>
    </row>
    <row r="26">
      <c r="A26" s="199" t="s">
        <v>170</v>
      </c>
      <c r="B26" s="200" t="s">
        <v>412</v>
      </c>
      <c r="C26" s="199">
        <v>2.5110204213E10</v>
      </c>
      <c r="D26" s="201">
        <v>45757.0</v>
      </c>
      <c r="E26" s="202" t="s">
        <v>100</v>
      </c>
      <c r="F26" s="202" t="s">
        <v>100</v>
      </c>
      <c r="G26" s="203" t="s">
        <v>100</v>
      </c>
      <c r="H26" s="203" t="s">
        <v>100</v>
      </c>
      <c r="I26" s="199">
        <v>22190.0</v>
      </c>
      <c r="J26" s="199">
        <v>3542.0</v>
      </c>
      <c r="K26" s="199">
        <v>2140.0</v>
      </c>
      <c r="L26" s="199">
        <v>8.0</v>
      </c>
      <c r="M26" s="199">
        <v>318.0</v>
      </c>
      <c r="N26" s="37"/>
      <c r="O26" s="37"/>
      <c r="P26" s="199">
        <v>0.03</v>
      </c>
      <c r="Q26" s="199">
        <v>0.0</v>
      </c>
      <c r="R26" s="199">
        <v>0.0</v>
      </c>
      <c r="S26" s="199">
        <v>0.0</v>
      </c>
      <c r="T26" s="199">
        <v>0.0</v>
      </c>
      <c r="U26" s="199">
        <v>0.0</v>
      </c>
      <c r="V26" s="199">
        <v>0.0</v>
      </c>
      <c r="W26" s="199">
        <v>0.0</v>
      </c>
      <c r="X26" s="199">
        <v>0.0</v>
      </c>
      <c r="Y26" s="199">
        <v>0.0</v>
      </c>
      <c r="Z26" s="199">
        <v>0.0</v>
      </c>
      <c r="AA26" s="199">
        <v>0.0</v>
      </c>
      <c r="AB26" s="199">
        <v>0.0</v>
      </c>
      <c r="AC26" s="199">
        <v>22.0</v>
      </c>
      <c r="AD26" s="199">
        <v>0.0</v>
      </c>
      <c r="AE26" s="199">
        <v>5.0</v>
      </c>
      <c r="AF26" s="199">
        <v>0.0</v>
      </c>
      <c r="AG26" s="199">
        <v>358.0</v>
      </c>
      <c r="AH26" s="199">
        <v>63.0</v>
      </c>
      <c r="AI26" s="200" t="s">
        <v>100</v>
      </c>
      <c r="AJ26" s="200" t="s">
        <v>561</v>
      </c>
      <c r="AK26" s="200"/>
      <c r="AL26" s="204"/>
      <c r="AM26" s="204"/>
    </row>
    <row r="27">
      <c r="A27" s="199" t="s">
        <v>170</v>
      </c>
      <c r="B27" s="200" t="s">
        <v>412</v>
      </c>
      <c r="C27" s="199">
        <v>2.5180296221E10</v>
      </c>
      <c r="D27" s="201">
        <v>45826.0</v>
      </c>
      <c r="E27" s="202" t="s">
        <v>102</v>
      </c>
      <c r="F27" s="202" t="s">
        <v>102</v>
      </c>
      <c r="G27" s="203" t="s">
        <v>100</v>
      </c>
      <c r="H27" s="203" t="s">
        <v>102</v>
      </c>
      <c r="I27" s="37"/>
      <c r="J27" s="37"/>
      <c r="K27" s="37"/>
      <c r="L27" s="199">
        <v>18.0</v>
      </c>
      <c r="M27" s="199">
        <v>312.8</v>
      </c>
      <c r="N27" s="37"/>
      <c r="O27" s="37"/>
      <c r="P27" s="199">
        <v>0.03</v>
      </c>
      <c r="Q27" s="199">
        <v>0.0</v>
      </c>
      <c r="R27" s="199">
        <v>0.0</v>
      </c>
      <c r="S27" s="199">
        <v>0.0</v>
      </c>
      <c r="T27" s="199">
        <v>0.0</v>
      </c>
      <c r="U27" s="199">
        <v>28.0</v>
      </c>
      <c r="V27" s="199">
        <v>0.0</v>
      </c>
      <c r="W27" s="199">
        <v>0.0</v>
      </c>
      <c r="X27" s="199">
        <v>1.0</v>
      </c>
      <c r="Y27" s="199">
        <v>0.0</v>
      </c>
      <c r="Z27" s="199">
        <v>0.0</v>
      </c>
      <c r="AA27" s="199">
        <v>0.0</v>
      </c>
      <c r="AB27" s="199">
        <v>23.0</v>
      </c>
      <c r="AC27" s="199">
        <v>26.0</v>
      </c>
      <c r="AD27" s="199">
        <v>0.0</v>
      </c>
      <c r="AE27" s="199">
        <v>32.0</v>
      </c>
      <c r="AF27" s="199">
        <v>0.0</v>
      </c>
      <c r="AG27" s="199">
        <v>392.0</v>
      </c>
      <c r="AH27" s="199">
        <v>30.0</v>
      </c>
      <c r="AI27" s="200" t="s">
        <v>562</v>
      </c>
      <c r="AJ27" s="200" t="s">
        <v>563</v>
      </c>
      <c r="AK27" s="200"/>
      <c r="AL27" s="204"/>
      <c r="AM27" s="204"/>
    </row>
    <row r="28">
      <c r="A28" s="199" t="s">
        <v>170</v>
      </c>
      <c r="B28" s="200" t="s">
        <v>412</v>
      </c>
      <c r="C28" s="199">
        <v>2.5295220233E10</v>
      </c>
      <c r="D28" s="201">
        <v>45946.0</v>
      </c>
      <c r="E28" s="202" t="s">
        <v>102</v>
      </c>
      <c r="F28" s="202" t="s">
        <v>102</v>
      </c>
      <c r="G28" s="203" t="s">
        <v>100</v>
      </c>
      <c r="H28" s="203" t="s">
        <v>102</v>
      </c>
      <c r="I28" s="37"/>
      <c r="J28" s="37"/>
      <c r="K28" s="37"/>
      <c r="L28" s="199">
        <v>16.0</v>
      </c>
      <c r="M28" s="199">
        <v>284.8</v>
      </c>
      <c r="N28" s="37"/>
      <c r="O28" s="37"/>
      <c r="P28" s="199">
        <v>0.01</v>
      </c>
      <c r="Q28" s="199">
        <v>0.0</v>
      </c>
      <c r="R28" s="199">
        <v>0.0</v>
      </c>
      <c r="S28" s="199">
        <v>0.0</v>
      </c>
      <c r="T28" s="199">
        <v>0.0</v>
      </c>
      <c r="U28" s="199">
        <v>12.0</v>
      </c>
      <c r="V28" s="199">
        <v>0.0</v>
      </c>
      <c r="W28" s="199">
        <v>0.0</v>
      </c>
      <c r="X28" s="199">
        <v>0.0</v>
      </c>
      <c r="Y28" s="199">
        <v>0.0</v>
      </c>
      <c r="Z28" s="199">
        <v>0.0</v>
      </c>
      <c r="AA28" s="199">
        <v>0.0</v>
      </c>
      <c r="AB28" s="199">
        <v>0.0</v>
      </c>
      <c r="AC28" s="199">
        <v>12.0</v>
      </c>
      <c r="AD28" s="199">
        <v>0.0</v>
      </c>
      <c r="AE28" s="199">
        <v>8.0</v>
      </c>
      <c r="AF28" s="199">
        <v>0.0</v>
      </c>
      <c r="AG28" s="199">
        <v>602.0</v>
      </c>
      <c r="AH28" s="199">
        <v>49.0</v>
      </c>
      <c r="AI28" s="200" t="s">
        <v>564</v>
      </c>
      <c r="AJ28" s="200" t="s">
        <v>565</v>
      </c>
      <c r="AK28" s="200"/>
      <c r="AL28" s="204"/>
      <c r="AM28" s="204"/>
    </row>
    <row r="29">
      <c r="A29" s="199" t="s">
        <v>170</v>
      </c>
      <c r="B29" s="200" t="s">
        <v>412</v>
      </c>
      <c r="C29" s="199">
        <v>2.6124405247E10</v>
      </c>
      <c r="D29" s="201">
        <v>46138.0</v>
      </c>
      <c r="E29" s="202" t="s">
        <v>101</v>
      </c>
      <c r="F29" s="202" t="s">
        <v>101</v>
      </c>
      <c r="G29" s="203" t="s">
        <v>100</v>
      </c>
      <c r="H29" s="203" t="s">
        <v>102</v>
      </c>
      <c r="I29" s="37"/>
      <c r="J29" s="37"/>
      <c r="K29" s="37"/>
      <c r="L29" s="199">
        <v>20.0</v>
      </c>
      <c r="M29" s="199">
        <v>313.9</v>
      </c>
      <c r="N29" s="37"/>
      <c r="O29" s="37"/>
      <c r="P29" s="199">
        <v>0.2</v>
      </c>
      <c r="Q29" s="199">
        <v>0.0</v>
      </c>
      <c r="R29" s="199">
        <v>0.0</v>
      </c>
      <c r="S29" s="199">
        <v>0.0</v>
      </c>
      <c r="T29" s="199">
        <v>0.0</v>
      </c>
      <c r="U29" s="199">
        <v>77.0</v>
      </c>
      <c r="V29" s="199">
        <v>0.0</v>
      </c>
      <c r="W29" s="199">
        <v>0.0</v>
      </c>
      <c r="X29" s="199">
        <v>0.0</v>
      </c>
      <c r="Y29" s="199">
        <v>0.0</v>
      </c>
      <c r="Z29" s="199">
        <v>0.0</v>
      </c>
      <c r="AA29" s="199">
        <v>0.0</v>
      </c>
      <c r="AB29" s="199">
        <v>47.0</v>
      </c>
      <c r="AC29" s="199">
        <v>12.0</v>
      </c>
      <c r="AD29" s="199">
        <v>0.0</v>
      </c>
      <c r="AE29" s="199">
        <v>21.0</v>
      </c>
      <c r="AF29" s="199">
        <v>0.0</v>
      </c>
      <c r="AG29" s="199">
        <v>359.0</v>
      </c>
      <c r="AH29" s="199">
        <v>26.0</v>
      </c>
      <c r="AI29" s="200" t="s">
        <v>566</v>
      </c>
      <c r="AJ29" s="200" t="s">
        <v>567</v>
      </c>
      <c r="AK29" s="200"/>
      <c r="AL29" s="204"/>
      <c r="AM29" s="204"/>
    </row>
    <row r="30">
      <c r="A30" s="199" t="s">
        <v>214</v>
      </c>
      <c r="B30" s="200" t="s">
        <v>568</v>
      </c>
      <c r="C30" s="199">
        <v>2.5330281218E10</v>
      </c>
      <c r="D30" s="201">
        <v>45977.0</v>
      </c>
      <c r="E30" s="202" t="s">
        <v>101</v>
      </c>
      <c r="F30" s="202" t="s">
        <v>101</v>
      </c>
      <c r="G30" s="203" t="s">
        <v>100</v>
      </c>
      <c r="H30" s="203" t="s">
        <v>101</v>
      </c>
      <c r="I30" s="37"/>
      <c r="J30" s="37"/>
      <c r="K30" s="37"/>
      <c r="L30" s="199">
        <v>40.0</v>
      </c>
      <c r="M30" s="199">
        <v>42.9</v>
      </c>
      <c r="N30" s="37"/>
      <c r="O30" s="37"/>
      <c r="P30" s="199">
        <v>0.3</v>
      </c>
      <c r="Q30" s="199">
        <v>0.0</v>
      </c>
      <c r="R30" s="199">
        <v>5.0</v>
      </c>
      <c r="S30" s="199">
        <v>0.0</v>
      </c>
      <c r="T30" s="199">
        <v>8.0</v>
      </c>
      <c r="U30" s="199">
        <v>47.0</v>
      </c>
      <c r="V30" s="199">
        <v>3.0</v>
      </c>
      <c r="W30" s="199">
        <v>0.0</v>
      </c>
      <c r="X30" s="199">
        <v>1.0</v>
      </c>
      <c r="Y30" s="199">
        <v>0.0</v>
      </c>
      <c r="Z30" s="199">
        <v>6.0</v>
      </c>
      <c r="AA30" s="199">
        <v>0.0</v>
      </c>
      <c r="AB30" s="199">
        <v>39.0</v>
      </c>
      <c r="AC30" s="199">
        <v>37.0</v>
      </c>
      <c r="AD30" s="199">
        <v>0.0</v>
      </c>
      <c r="AE30" s="199">
        <v>25.0</v>
      </c>
      <c r="AF30" s="199">
        <v>5.0</v>
      </c>
      <c r="AG30" s="199">
        <v>305.0</v>
      </c>
      <c r="AH30" s="199">
        <v>9.0</v>
      </c>
      <c r="AI30" s="200" t="s">
        <v>569</v>
      </c>
      <c r="AJ30" s="200" t="s">
        <v>570</v>
      </c>
      <c r="AK30" s="200"/>
      <c r="AL30" s="204"/>
      <c r="AM30" s="204"/>
    </row>
    <row r="31">
      <c r="A31" s="199" t="s">
        <v>214</v>
      </c>
      <c r="B31" s="200" t="s">
        <v>568</v>
      </c>
      <c r="C31" s="199">
        <v>2.6005501208E10</v>
      </c>
      <c r="D31" s="201">
        <v>46007.0</v>
      </c>
      <c r="E31" s="202" t="s">
        <v>101</v>
      </c>
      <c r="F31" s="202" t="s">
        <v>101</v>
      </c>
      <c r="G31" s="203" t="s">
        <v>101</v>
      </c>
      <c r="H31" s="203" t="s">
        <v>101</v>
      </c>
      <c r="I31" s="37"/>
      <c r="J31" s="37"/>
      <c r="K31" s="37"/>
      <c r="L31" s="199">
        <v>62.0</v>
      </c>
      <c r="M31" s="199">
        <v>46.2</v>
      </c>
      <c r="N31" s="37"/>
      <c r="O31" s="37"/>
      <c r="P31" s="199">
        <v>0.3</v>
      </c>
      <c r="Q31" s="199">
        <v>0.0</v>
      </c>
      <c r="R31" s="199">
        <v>5.0</v>
      </c>
      <c r="S31" s="199">
        <v>0.0</v>
      </c>
      <c r="T31" s="199">
        <v>7.0</v>
      </c>
      <c r="U31" s="199">
        <v>84.0</v>
      </c>
      <c r="V31" s="199">
        <v>0.0</v>
      </c>
      <c r="W31" s="199">
        <v>0.0</v>
      </c>
      <c r="X31" s="199">
        <v>6.0</v>
      </c>
      <c r="Y31" s="199">
        <v>0.0</v>
      </c>
      <c r="Z31" s="199">
        <v>0.0</v>
      </c>
      <c r="AA31" s="199">
        <v>0.0</v>
      </c>
      <c r="AB31" s="199">
        <v>56.0</v>
      </c>
      <c r="AC31" s="199">
        <v>16.0</v>
      </c>
      <c r="AD31" s="199">
        <v>0.0</v>
      </c>
      <c r="AE31" s="199">
        <v>51.0</v>
      </c>
      <c r="AF31" s="199">
        <v>2.0</v>
      </c>
      <c r="AG31" s="199">
        <v>496.0</v>
      </c>
      <c r="AH31" s="199">
        <v>29.0</v>
      </c>
      <c r="AI31" s="200" t="s">
        <v>571</v>
      </c>
      <c r="AJ31" s="200" t="s">
        <v>572</v>
      </c>
      <c r="AK31" s="200"/>
      <c r="AL31" s="204"/>
      <c r="AM31" s="204"/>
    </row>
    <row r="32">
      <c r="A32" s="199" t="s">
        <v>221</v>
      </c>
      <c r="B32" s="200" t="s">
        <v>573</v>
      </c>
      <c r="C32" s="199">
        <v>2.5294210225E10</v>
      </c>
      <c r="D32" s="201">
        <v>45946.0</v>
      </c>
      <c r="E32" s="202" t="s">
        <v>100</v>
      </c>
      <c r="F32" s="202" t="s">
        <v>100</v>
      </c>
      <c r="G32" s="203" t="s">
        <v>100</v>
      </c>
      <c r="H32" s="203" t="s">
        <v>100</v>
      </c>
      <c r="I32" s="37"/>
      <c r="J32" s="37"/>
      <c r="K32" s="37"/>
      <c r="L32" s="199">
        <v>5.0</v>
      </c>
      <c r="M32" s="199">
        <v>89.9</v>
      </c>
      <c r="N32" s="37"/>
      <c r="O32" s="37"/>
      <c r="P32" s="199">
        <v>0.003</v>
      </c>
      <c r="Q32" s="199">
        <v>0.0</v>
      </c>
      <c r="R32" s="199">
        <v>3.0</v>
      </c>
      <c r="S32" s="199">
        <v>0.0</v>
      </c>
      <c r="T32" s="199">
        <v>2.0</v>
      </c>
      <c r="U32" s="199">
        <v>2.0</v>
      </c>
      <c r="V32" s="199">
        <v>0.0</v>
      </c>
      <c r="W32" s="199">
        <v>0.0</v>
      </c>
      <c r="X32" s="199">
        <v>0.0</v>
      </c>
      <c r="Y32" s="199">
        <v>0.0</v>
      </c>
      <c r="Z32" s="199">
        <v>0.0</v>
      </c>
      <c r="AA32" s="199">
        <v>0.0</v>
      </c>
      <c r="AB32" s="199">
        <v>24.0</v>
      </c>
      <c r="AC32" s="199">
        <v>0.0</v>
      </c>
      <c r="AD32" s="199">
        <v>0.0</v>
      </c>
      <c r="AE32" s="199">
        <v>6.0</v>
      </c>
      <c r="AF32" s="199">
        <v>0.0</v>
      </c>
      <c r="AG32" s="199">
        <v>509.0</v>
      </c>
      <c r="AH32" s="199">
        <v>0.0</v>
      </c>
      <c r="AI32" s="200" t="s">
        <v>100</v>
      </c>
      <c r="AJ32" s="200" t="s">
        <v>574</v>
      </c>
      <c r="AK32" s="200"/>
      <c r="AL32" s="204"/>
      <c r="AM32" s="204"/>
    </row>
    <row r="33">
      <c r="A33" s="199" t="s">
        <v>221</v>
      </c>
      <c r="B33" s="200" t="s">
        <v>573</v>
      </c>
      <c r="C33" s="199">
        <v>2.5330261225E10</v>
      </c>
      <c r="D33" s="201">
        <v>45977.0</v>
      </c>
      <c r="E33" s="202" t="s">
        <v>100</v>
      </c>
      <c r="F33" s="202" t="s">
        <v>100</v>
      </c>
      <c r="G33" s="203" t="s">
        <v>100</v>
      </c>
      <c r="H33" s="203" t="s">
        <v>100</v>
      </c>
      <c r="I33" s="37"/>
      <c r="J33" s="37"/>
      <c r="K33" s="37"/>
      <c r="L33" s="199">
        <v>8.0</v>
      </c>
      <c r="M33" s="199">
        <v>85.7</v>
      </c>
      <c r="N33" s="37"/>
      <c r="O33" s="37"/>
      <c r="P33" s="199">
        <v>0.04</v>
      </c>
      <c r="Q33" s="199">
        <v>0.0</v>
      </c>
      <c r="R33" s="199">
        <v>0.0</v>
      </c>
      <c r="S33" s="199">
        <v>0.0</v>
      </c>
      <c r="T33" s="199">
        <v>0.0</v>
      </c>
      <c r="U33" s="199">
        <v>1.0</v>
      </c>
      <c r="V33" s="199">
        <v>0.0</v>
      </c>
      <c r="W33" s="199">
        <v>0.0</v>
      </c>
      <c r="X33" s="199">
        <v>0.0</v>
      </c>
      <c r="Y33" s="199">
        <v>0.0</v>
      </c>
      <c r="Z33" s="199">
        <v>0.0</v>
      </c>
      <c r="AA33" s="199">
        <v>0.0</v>
      </c>
      <c r="AB33" s="199">
        <v>16.0</v>
      </c>
      <c r="AC33" s="199">
        <v>12.0</v>
      </c>
      <c r="AD33" s="199">
        <v>0.0</v>
      </c>
      <c r="AE33" s="199">
        <v>42.0</v>
      </c>
      <c r="AF33" s="199">
        <v>0.0</v>
      </c>
      <c r="AG33" s="199">
        <v>615.0</v>
      </c>
      <c r="AH33" s="199">
        <v>45.0</v>
      </c>
      <c r="AI33" s="200" t="s">
        <v>575</v>
      </c>
      <c r="AJ33" s="200" t="s">
        <v>576</v>
      </c>
      <c r="AK33" s="200"/>
      <c r="AL33" s="204"/>
      <c r="AM33" s="204"/>
    </row>
    <row r="34">
      <c r="A34" s="199" t="s">
        <v>221</v>
      </c>
      <c r="B34" s="200" t="s">
        <v>573</v>
      </c>
      <c r="C34" s="199">
        <v>2.6005501207E10</v>
      </c>
      <c r="D34" s="201">
        <v>46007.0</v>
      </c>
      <c r="E34" s="202" t="s">
        <v>100</v>
      </c>
      <c r="F34" s="202" t="s">
        <v>100</v>
      </c>
      <c r="G34" s="203" t="s">
        <v>100</v>
      </c>
      <c r="H34" s="203" t="s">
        <v>100</v>
      </c>
      <c r="I34" s="37"/>
      <c r="J34" s="37"/>
      <c r="K34" s="37"/>
      <c r="L34" s="199">
        <v>15.0</v>
      </c>
      <c r="M34" s="199">
        <v>83.1</v>
      </c>
      <c r="N34" s="37"/>
      <c r="O34" s="37"/>
      <c r="P34" s="199">
        <v>0.04</v>
      </c>
      <c r="Q34" s="199">
        <v>0.0</v>
      </c>
      <c r="R34" s="199">
        <v>0.0</v>
      </c>
      <c r="S34" s="199">
        <v>0.0</v>
      </c>
      <c r="T34" s="199">
        <v>0.0</v>
      </c>
      <c r="U34" s="199">
        <v>1.0</v>
      </c>
      <c r="V34" s="199">
        <v>0.0</v>
      </c>
      <c r="W34" s="199">
        <v>0.0</v>
      </c>
      <c r="X34" s="199">
        <v>0.0</v>
      </c>
      <c r="Y34" s="199">
        <v>0.0</v>
      </c>
      <c r="Z34" s="199">
        <v>0.0</v>
      </c>
      <c r="AA34" s="199">
        <v>0.0</v>
      </c>
      <c r="AB34" s="199">
        <v>24.0</v>
      </c>
      <c r="AC34" s="199">
        <v>21.0</v>
      </c>
      <c r="AD34" s="199">
        <v>0.0</v>
      </c>
      <c r="AE34" s="199">
        <v>53.0</v>
      </c>
      <c r="AF34" s="199">
        <v>2.0</v>
      </c>
      <c r="AG34" s="199">
        <v>839.0</v>
      </c>
      <c r="AH34" s="199">
        <v>14.0</v>
      </c>
      <c r="AI34" s="200" t="s">
        <v>575</v>
      </c>
      <c r="AJ34" s="200" t="s">
        <v>577</v>
      </c>
      <c r="AK34" s="200"/>
      <c r="AL34" s="204"/>
      <c r="AM34" s="204"/>
    </row>
    <row r="35">
      <c r="A35" s="199" t="s">
        <v>223</v>
      </c>
      <c r="B35" s="200" t="s">
        <v>578</v>
      </c>
      <c r="C35" s="199">
        <v>2.4211297248E10</v>
      </c>
      <c r="D35" s="201">
        <v>45497.0</v>
      </c>
      <c r="E35" s="202" t="s">
        <v>101</v>
      </c>
      <c r="F35" s="202" t="s">
        <v>101</v>
      </c>
      <c r="G35" s="203" t="s">
        <v>102</v>
      </c>
      <c r="H35" s="203" t="s">
        <v>102</v>
      </c>
      <c r="I35" s="37"/>
      <c r="J35" s="37"/>
      <c r="K35" s="37"/>
      <c r="L35" s="199">
        <v>15.0</v>
      </c>
      <c r="M35" s="199">
        <v>313.2</v>
      </c>
      <c r="N35" s="37"/>
      <c r="O35" s="37"/>
      <c r="P35" s="199">
        <v>0.1</v>
      </c>
      <c r="Q35" s="199">
        <v>0.0</v>
      </c>
      <c r="R35" s="199">
        <v>6.0</v>
      </c>
      <c r="S35" s="199">
        <v>5.0</v>
      </c>
      <c r="T35" s="199">
        <v>4.0</v>
      </c>
      <c r="U35" s="199">
        <v>30.0</v>
      </c>
      <c r="V35" s="199">
        <v>0.0</v>
      </c>
      <c r="W35" s="199">
        <v>0.0</v>
      </c>
      <c r="X35" s="199">
        <v>4.0</v>
      </c>
      <c r="Y35" s="199">
        <v>0.0</v>
      </c>
      <c r="Z35" s="199">
        <v>1.0</v>
      </c>
      <c r="AA35" s="199">
        <v>0.0</v>
      </c>
      <c r="AB35" s="199">
        <v>106.0</v>
      </c>
      <c r="AC35" s="199">
        <v>14.0</v>
      </c>
      <c r="AD35" s="199">
        <v>0.0</v>
      </c>
      <c r="AE35" s="199">
        <v>38.0</v>
      </c>
      <c r="AF35" s="199">
        <v>2.0</v>
      </c>
      <c r="AG35" s="199">
        <v>272.0</v>
      </c>
      <c r="AH35" s="199">
        <v>31.0</v>
      </c>
      <c r="AI35" s="200" t="s">
        <v>579</v>
      </c>
      <c r="AJ35" s="200" t="s">
        <v>580</v>
      </c>
      <c r="AK35" s="200"/>
      <c r="AL35" s="204"/>
      <c r="AM35" s="204"/>
    </row>
    <row r="36">
      <c r="A36" s="199" t="s">
        <v>223</v>
      </c>
      <c r="B36" s="200" t="s">
        <v>578</v>
      </c>
      <c r="C36" s="199">
        <v>2.5049182249E10</v>
      </c>
      <c r="D36" s="201">
        <v>45701.0</v>
      </c>
      <c r="E36" s="202" t="s">
        <v>101</v>
      </c>
      <c r="F36" s="202" t="s">
        <v>101</v>
      </c>
      <c r="G36" s="203" t="s">
        <v>101</v>
      </c>
      <c r="H36" s="203" t="s">
        <v>102</v>
      </c>
      <c r="I36" s="37"/>
      <c r="J36" s="37"/>
      <c r="K36" s="37"/>
      <c r="L36" s="199">
        <v>20.0</v>
      </c>
      <c r="M36" s="199">
        <v>305.6</v>
      </c>
      <c r="N36" s="37"/>
      <c r="O36" s="37"/>
      <c r="P36" s="199">
        <v>0.2</v>
      </c>
      <c r="Q36" s="199">
        <v>0.0</v>
      </c>
      <c r="R36" s="199">
        <v>9.0</v>
      </c>
      <c r="S36" s="199">
        <v>2.0</v>
      </c>
      <c r="T36" s="199">
        <v>4.0</v>
      </c>
      <c r="U36" s="199">
        <v>77.0</v>
      </c>
      <c r="V36" s="199">
        <v>0.0</v>
      </c>
      <c r="W36" s="199">
        <v>0.0</v>
      </c>
      <c r="X36" s="199">
        <v>3.0</v>
      </c>
      <c r="Y36" s="199">
        <v>2.0</v>
      </c>
      <c r="Z36" s="199">
        <v>2.0</v>
      </c>
      <c r="AA36" s="199">
        <v>0.0</v>
      </c>
      <c r="AB36" s="199">
        <v>118.0</v>
      </c>
      <c r="AC36" s="199">
        <v>16.0</v>
      </c>
      <c r="AD36" s="199">
        <v>0.0</v>
      </c>
      <c r="AE36" s="199">
        <v>44.0</v>
      </c>
      <c r="AF36" s="199">
        <v>5.0</v>
      </c>
      <c r="AG36" s="199">
        <v>369.0</v>
      </c>
      <c r="AH36" s="199">
        <v>70.0</v>
      </c>
      <c r="AI36" s="200" t="s">
        <v>581</v>
      </c>
      <c r="AJ36" s="200" t="s">
        <v>582</v>
      </c>
      <c r="AK36" s="200"/>
      <c r="AL36" s="204"/>
      <c r="AM36" s="204"/>
    </row>
    <row r="37">
      <c r="A37" s="199" t="s">
        <v>223</v>
      </c>
      <c r="B37" s="200" t="s">
        <v>578</v>
      </c>
      <c r="C37" s="199">
        <v>2.5258159239E10</v>
      </c>
      <c r="D37" s="201">
        <v>45909.0</v>
      </c>
      <c r="E37" s="202" t="s">
        <v>101</v>
      </c>
      <c r="F37" s="202" t="s">
        <v>101</v>
      </c>
      <c r="G37" s="203" t="s">
        <v>101</v>
      </c>
      <c r="H37" s="203" t="s">
        <v>100</v>
      </c>
      <c r="I37" s="37"/>
      <c r="J37" s="37"/>
      <c r="K37" s="37"/>
      <c r="L37" s="199">
        <v>22.0</v>
      </c>
      <c r="M37" s="199">
        <v>295.2</v>
      </c>
      <c r="N37" s="37"/>
      <c r="O37" s="37"/>
      <c r="P37" s="199">
        <v>0.04</v>
      </c>
      <c r="Q37" s="199">
        <v>0.0</v>
      </c>
      <c r="R37" s="199">
        <v>21.0</v>
      </c>
      <c r="S37" s="199">
        <v>1.0</v>
      </c>
      <c r="T37" s="199">
        <v>4.0</v>
      </c>
      <c r="U37" s="199">
        <v>108.0</v>
      </c>
      <c r="V37" s="199">
        <v>0.0</v>
      </c>
      <c r="W37" s="199">
        <v>0.0</v>
      </c>
      <c r="X37" s="199">
        <v>3.0</v>
      </c>
      <c r="Y37" s="199">
        <v>0.0</v>
      </c>
      <c r="Z37" s="199">
        <v>5.0</v>
      </c>
      <c r="AA37" s="199">
        <v>0.0</v>
      </c>
      <c r="AB37" s="199">
        <v>70.0</v>
      </c>
      <c r="AC37" s="199">
        <v>49.0</v>
      </c>
      <c r="AD37" s="199">
        <v>2.0</v>
      </c>
      <c r="AE37" s="199">
        <v>59.0</v>
      </c>
      <c r="AF37" s="199">
        <v>3.0</v>
      </c>
      <c r="AG37" s="199">
        <v>281.0</v>
      </c>
      <c r="AH37" s="199">
        <v>44.0</v>
      </c>
      <c r="AI37" s="200" t="s">
        <v>583</v>
      </c>
      <c r="AJ37" s="200" t="s">
        <v>584</v>
      </c>
      <c r="AK37" s="200"/>
      <c r="AL37" s="204"/>
      <c r="AM37" s="204"/>
    </row>
    <row r="38">
      <c r="A38" s="199" t="s">
        <v>223</v>
      </c>
      <c r="B38" s="200" t="s">
        <v>578</v>
      </c>
      <c r="C38" s="199">
        <v>2.6061630208E10</v>
      </c>
      <c r="D38" s="201">
        <v>46054.0</v>
      </c>
      <c r="E38" s="202" t="s">
        <v>101</v>
      </c>
      <c r="F38" s="202" t="s">
        <v>101</v>
      </c>
      <c r="G38" s="203" t="s">
        <v>100</v>
      </c>
      <c r="H38" s="203" t="s">
        <v>102</v>
      </c>
      <c r="I38" s="37"/>
      <c r="J38" s="37"/>
      <c r="K38" s="37"/>
      <c r="L38" s="199">
        <v>20.0</v>
      </c>
      <c r="M38" s="199">
        <v>307.9</v>
      </c>
      <c r="N38" s="37"/>
      <c r="O38" s="37"/>
      <c r="P38" s="199">
        <v>0.05</v>
      </c>
      <c r="Q38" s="199">
        <v>0.0</v>
      </c>
      <c r="R38" s="199">
        <v>0.0</v>
      </c>
      <c r="S38" s="199">
        <v>0.0</v>
      </c>
      <c r="T38" s="199">
        <v>0.0</v>
      </c>
      <c r="U38" s="199">
        <v>21.0</v>
      </c>
      <c r="V38" s="199">
        <v>0.0</v>
      </c>
      <c r="W38" s="199">
        <v>0.0</v>
      </c>
      <c r="X38" s="199">
        <v>0.0</v>
      </c>
      <c r="Y38" s="199">
        <v>0.0</v>
      </c>
      <c r="Z38" s="199">
        <v>0.0</v>
      </c>
      <c r="AA38" s="199">
        <v>0.0</v>
      </c>
      <c r="AB38" s="199">
        <v>51.0</v>
      </c>
      <c r="AC38" s="199">
        <v>19.0</v>
      </c>
      <c r="AD38" s="199">
        <v>0.0</v>
      </c>
      <c r="AE38" s="199">
        <v>31.0</v>
      </c>
      <c r="AF38" s="199">
        <v>0.0</v>
      </c>
      <c r="AG38" s="199">
        <v>348.0</v>
      </c>
      <c r="AH38" s="199">
        <v>11.0</v>
      </c>
      <c r="AI38" s="200" t="s">
        <v>585</v>
      </c>
      <c r="AJ38" s="200" t="s">
        <v>586</v>
      </c>
      <c r="AK38" s="200"/>
      <c r="AL38" s="204"/>
      <c r="AM38" s="204"/>
    </row>
    <row r="39">
      <c r="A39" s="199" t="s">
        <v>64</v>
      </c>
      <c r="B39" s="200" t="s">
        <v>587</v>
      </c>
      <c r="C39" s="199">
        <v>2.4268239205E10</v>
      </c>
      <c r="D39" s="201">
        <v>45545.0</v>
      </c>
      <c r="E39" s="202" t="s">
        <v>100</v>
      </c>
      <c r="F39" s="202" t="s">
        <v>100</v>
      </c>
      <c r="G39" s="203" t="s">
        <v>100</v>
      </c>
      <c r="H39" s="203" t="s">
        <v>100</v>
      </c>
      <c r="I39" s="199">
        <v>13956.0</v>
      </c>
      <c r="J39" s="199">
        <v>7828.0</v>
      </c>
      <c r="K39" s="199">
        <v>1003.0</v>
      </c>
      <c r="L39" s="199">
        <v>7.0</v>
      </c>
      <c r="M39" s="199">
        <v>208.6</v>
      </c>
      <c r="N39" s="199">
        <v>1.12</v>
      </c>
      <c r="O39" s="37"/>
      <c r="P39" s="199">
        <v>0.01</v>
      </c>
      <c r="Q39" s="199">
        <v>0.0</v>
      </c>
      <c r="R39" s="199">
        <v>4.0</v>
      </c>
      <c r="S39" s="199">
        <v>1.0</v>
      </c>
      <c r="T39" s="199">
        <v>0.0</v>
      </c>
      <c r="U39" s="199">
        <v>29.0</v>
      </c>
      <c r="V39" s="199">
        <v>0.0</v>
      </c>
      <c r="W39" s="199">
        <v>0.0</v>
      </c>
      <c r="X39" s="199">
        <v>0.0</v>
      </c>
      <c r="Y39" s="199">
        <v>0.0</v>
      </c>
      <c r="Z39" s="199">
        <v>0.0</v>
      </c>
      <c r="AA39" s="199">
        <v>0.0</v>
      </c>
      <c r="AB39" s="199">
        <v>23.0</v>
      </c>
      <c r="AC39" s="199">
        <v>3.0</v>
      </c>
      <c r="AD39" s="199">
        <v>0.0</v>
      </c>
      <c r="AE39" s="199">
        <v>1.0</v>
      </c>
      <c r="AF39" s="199">
        <v>0.0</v>
      </c>
      <c r="AG39" s="199">
        <v>408.0</v>
      </c>
      <c r="AH39" s="199">
        <v>5.0</v>
      </c>
      <c r="AI39" s="200" t="s">
        <v>100</v>
      </c>
      <c r="AJ39" s="200" t="s">
        <v>588</v>
      </c>
      <c r="AK39" s="200"/>
      <c r="AL39" s="204"/>
      <c r="AM39" s="204"/>
    </row>
    <row r="40">
      <c r="A40" s="199" t="s">
        <v>64</v>
      </c>
      <c r="B40" s="200" t="s">
        <v>587</v>
      </c>
      <c r="C40" s="199">
        <v>2.5079203252E10</v>
      </c>
      <c r="D40" s="201">
        <v>45726.0</v>
      </c>
      <c r="E40" s="202" t="s">
        <v>101</v>
      </c>
      <c r="F40" s="202" t="s">
        <v>101</v>
      </c>
      <c r="G40" s="203" t="s">
        <v>101</v>
      </c>
      <c r="H40" s="203" t="s">
        <v>101</v>
      </c>
      <c r="I40" s="37"/>
      <c r="J40" s="37"/>
      <c r="K40" s="37"/>
      <c r="L40" s="199">
        <v>1150.0</v>
      </c>
      <c r="M40" s="199">
        <v>216.9</v>
      </c>
      <c r="N40" s="199">
        <v>2.1</v>
      </c>
      <c r="O40" s="37"/>
      <c r="P40" s="199">
        <v>0.2</v>
      </c>
      <c r="Q40" s="199">
        <v>0.0</v>
      </c>
      <c r="R40" s="199">
        <v>14.0</v>
      </c>
      <c r="S40" s="199">
        <v>3.0</v>
      </c>
      <c r="T40" s="199">
        <v>3.0</v>
      </c>
      <c r="U40" s="199">
        <v>99.0</v>
      </c>
      <c r="V40" s="199">
        <v>0.0</v>
      </c>
      <c r="W40" s="199">
        <v>0.0</v>
      </c>
      <c r="X40" s="199">
        <v>0.0</v>
      </c>
      <c r="Y40" s="199">
        <v>0.0</v>
      </c>
      <c r="Z40" s="199">
        <v>2.0</v>
      </c>
      <c r="AA40" s="199">
        <v>0.0</v>
      </c>
      <c r="AB40" s="199">
        <v>17.0</v>
      </c>
      <c r="AC40" s="199">
        <v>2.0</v>
      </c>
      <c r="AD40" s="199">
        <v>0.0</v>
      </c>
      <c r="AE40" s="199">
        <v>71.0</v>
      </c>
      <c r="AF40" s="199">
        <v>10.0</v>
      </c>
      <c r="AG40" s="199">
        <v>411.0</v>
      </c>
      <c r="AH40" s="199">
        <v>52.0</v>
      </c>
      <c r="AI40" s="200" t="s">
        <v>589</v>
      </c>
      <c r="AJ40" s="200" t="s">
        <v>590</v>
      </c>
      <c r="AK40" s="200"/>
      <c r="AL40" s="204"/>
      <c r="AM40" s="204"/>
    </row>
    <row r="41">
      <c r="A41" s="199" t="s">
        <v>64</v>
      </c>
      <c r="B41" s="200" t="s">
        <v>587</v>
      </c>
      <c r="C41" s="199">
        <v>2.5258159251E10</v>
      </c>
      <c r="D41" s="201">
        <v>45909.0</v>
      </c>
      <c r="E41" s="202" t="s">
        <v>101</v>
      </c>
      <c r="F41" s="202" t="s">
        <v>101</v>
      </c>
      <c r="G41" s="203" t="s">
        <v>101</v>
      </c>
      <c r="H41" s="203" t="s">
        <v>102</v>
      </c>
      <c r="I41" s="199"/>
      <c r="J41" s="199"/>
      <c r="K41" s="199"/>
      <c r="L41" s="199">
        <v>262.0</v>
      </c>
      <c r="M41" s="199">
        <v>199.2</v>
      </c>
      <c r="N41" s="199">
        <v>1.5</v>
      </c>
      <c r="O41" s="37"/>
      <c r="P41" s="199">
        <v>0.2</v>
      </c>
      <c r="Q41" s="199">
        <v>0.0</v>
      </c>
      <c r="R41" s="199">
        <v>20.0</v>
      </c>
      <c r="S41" s="199">
        <v>6.0</v>
      </c>
      <c r="T41" s="199">
        <v>5.0</v>
      </c>
      <c r="U41" s="199">
        <v>314.0</v>
      </c>
      <c r="V41" s="199">
        <v>0.0</v>
      </c>
      <c r="W41" s="199">
        <v>0.0</v>
      </c>
      <c r="X41" s="199">
        <v>0.0</v>
      </c>
      <c r="Y41" s="199">
        <v>0.0</v>
      </c>
      <c r="Z41" s="199">
        <v>2.0</v>
      </c>
      <c r="AA41" s="199">
        <v>10.0</v>
      </c>
      <c r="AB41" s="199">
        <v>28.0</v>
      </c>
      <c r="AC41" s="199">
        <v>26.0</v>
      </c>
      <c r="AD41" s="199">
        <v>0.0</v>
      </c>
      <c r="AE41" s="199">
        <v>110.0</v>
      </c>
      <c r="AF41" s="199">
        <v>3.0</v>
      </c>
      <c r="AG41" s="199">
        <v>383.0</v>
      </c>
      <c r="AH41" s="199">
        <v>2.0</v>
      </c>
      <c r="AI41" s="200" t="s">
        <v>591</v>
      </c>
      <c r="AJ41" s="200" t="s">
        <v>592</v>
      </c>
      <c r="AK41" s="200"/>
      <c r="AL41" s="204"/>
      <c r="AM41" s="204"/>
    </row>
    <row r="42">
      <c r="A42" s="199" t="s">
        <v>64</v>
      </c>
      <c r="B42" s="200" t="s">
        <v>587</v>
      </c>
      <c r="C42" s="199">
        <v>2.5294210214E10</v>
      </c>
      <c r="D42" s="201">
        <v>45946.0</v>
      </c>
      <c r="E42" s="202" t="s">
        <v>102</v>
      </c>
      <c r="F42" s="202" t="s">
        <v>100</v>
      </c>
      <c r="G42" s="203" t="s">
        <v>100</v>
      </c>
      <c r="H42" s="203" t="s">
        <v>102</v>
      </c>
      <c r="I42" s="199">
        <v>23161.0</v>
      </c>
      <c r="J42" s="199">
        <v>10076.0</v>
      </c>
      <c r="K42" s="199">
        <v>5161.0</v>
      </c>
      <c r="L42" s="199">
        <v>5.0</v>
      </c>
      <c r="M42" s="199">
        <v>249.7</v>
      </c>
      <c r="N42" s="199">
        <v>0.89</v>
      </c>
      <c r="O42" s="37"/>
      <c r="P42" s="199">
        <v>0.003</v>
      </c>
      <c r="Q42" s="199">
        <v>0.0</v>
      </c>
      <c r="R42" s="199">
        <v>3.0</v>
      </c>
      <c r="S42" s="199">
        <v>0.0</v>
      </c>
      <c r="T42" s="199">
        <v>2.0</v>
      </c>
      <c r="U42" s="199">
        <v>0.0</v>
      </c>
      <c r="V42" s="199">
        <v>0.0</v>
      </c>
      <c r="W42" s="199">
        <v>0.0</v>
      </c>
      <c r="X42" s="199">
        <v>0.0</v>
      </c>
      <c r="Y42" s="199">
        <v>0.0</v>
      </c>
      <c r="Z42" s="199">
        <v>0.0</v>
      </c>
      <c r="AA42" s="199">
        <v>0.0</v>
      </c>
      <c r="AB42" s="199">
        <v>3.0</v>
      </c>
      <c r="AC42" s="199">
        <v>0.0</v>
      </c>
      <c r="AD42" s="199">
        <v>0.0</v>
      </c>
      <c r="AE42" s="199">
        <v>8.0</v>
      </c>
      <c r="AF42" s="199">
        <v>0.0</v>
      </c>
      <c r="AG42" s="199">
        <v>436.0</v>
      </c>
      <c r="AH42" s="199">
        <v>20.0</v>
      </c>
      <c r="AI42" s="200" t="s">
        <v>593</v>
      </c>
      <c r="AJ42" s="200" t="s">
        <v>594</v>
      </c>
      <c r="AK42" s="200"/>
      <c r="AL42" s="204"/>
      <c r="AM42" s="204"/>
    </row>
    <row r="43">
      <c r="A43" s="199" t="s">
        <v>64</v>
      </c>
      <c r="B43" s="200" t="s">
        <v>587</v>
      </c>
      <c r="C43" s="199">
        <v>2.6124405207E10</v>
      </c>
      <c r="D43" s="201">
        <v>46138.0</v>
      </c>
      <c r="E43" s="202" t="s">
        <v>102</v>
      </c>
      <c r="F43" s="202" t="s">
        <v>102</v>
      </c>
      <c r="G43" s="203" t="s">
        <v>100</v>
      </c>
      <c r="H43" s="203" t="s">
        <v>100</v>
      </c>
      <c r="I43" s="199">
        <v>31900.0</v>
      </c>
      <c r="J43" s="199">
        <v>19089.0</v>
      </c>
      <c r="K43" s="199">
        <v>6160.0</v>
      </c>
      <c r="L43" s="199">
        <v>6.0</v>
      </c>
      <c r="M43" s="199">
        <v>222.3</v>
      </c>
      <c r="N43" s="199">
        <v>1.26</v>
      </c>
      <c r="O43" s="37"/>
      <c r="P43" s="199">
        <v>0.01</v>
      </c>
      <c r="Q43" s="199">
        <v>0.0</v>
      </c>
      <c r="R43" s="199">
        <v>0.0</v>
      </c>
      <c r="S43" s="199">
        <v>0.0</v>
      </c>
      <c r="T43" s="199">
        <v>0.0</v>
      </c>
      <c r="U43" s="199">
        <v>15.0</v>
      </c>
      <c r="V43" s="199">
        <v>0.0</v>
      </c>
      <c r="W43" s="199">
        <v>0.0</v>
      </c>
      <c r="X43" s="199">
        <v>0.0</v>
      </c>
      <c r="Y43" s="199">
        <v>0.0</v>
      </c>
      <c r="Z43" s="199">
        <v>0.0</v>
      </c>
      <c r="AA43" s="199">
        <v>0.0</v>
      </c>
      <c r="AB43" s="199">
        <v>35.0</v>
      </c>
      <c r="AC43" s="199">
        <v>17.0</v>
      </c>
      <c r="AD43" s="199">
        <v>0.0</v>
      </c>
      <c r="AE43" s="199">
        <v>16.0</v>
      </c>
      <c r="AF43" s="199">
        <v>0.0</v>
      </c>
      <c r="AG43" s="199">
        <v>471.0</v>
      </c>
      <c r="AH43" s="199">
        <v>11.0</v>
      </c>
      <c r="AI43" s="200" t="s">
        <v>595</v>
      </c>
      <c r="AJ43" s="200" t="s">
        <v>596</v>
      </c>
      <c r="AK43" s="200"/>
      <c r="AL43" s="204"/>
      <c r="AM43" s="204"/>
    </row>
    <row r="44">
      <c r="A44" s="199" t="s">
        <v>108</v>
      </c>
      <c r="B44" s="200" t="s">
        <v>338</v>
      </c>
      <c r="C44" s="199">
        <v>2.4269259222E10</v>
      </c>
      <c r="D44" s="201">
        <v>45545.0</v>
      </c>
      <c r="E44" s="202" t="s">
        <v>102</v>
      </c>
      <c r="F44" s="202" t="s">
        <v>102</v>
      </c>
      <c r="G44" s="203" t="s">
        <v>100</v>
      </c>
      <c r="H44" s="203" t="s">
        <v>100</v>
      </c>
      <c r="I44" s="199">
        <v>30291.0</v>
      </c>
      <c r="J44" s="199">
        <v>20046.0</v>
      </c>
      <c r="K44" s="199">
        <v>9121.0</v>
      </c>
      <c r="L44" s="199">
        <v>6.0</v>
      </c>
      <c r="M44" s="199">
        <v>221.8</v>
      </c>
      <c r="N44" s="37"/>
      <c r="O44" s="37"/>
      <c r="P44" s="199">
        <v>0.01</v>
      </c>
      <c r="Q44" s="199">
        <v>0.0</v>
      </c>
      <c r="R44" s="199">
        <v>4.0</v>
      </c>
      <c r="S44" s="199">
        <v>1.0</v>
      </c>
      <c r="T44" s="199">
        <v>0.0</v>
      </c>
      <c r="U44" s="199">
        <v>8.0</v>
      </c>
      <c r="V44" s="199">
        <v>2.0</v>
      </c>
      <c r="W44" s="199">
        <v>0.0</v>
      </c>
      <c r="X44" s="199">
        <v>0.0</v>
      </c>
      <c r="Y44" s="199">
        <v>0.0</v>
      </c>
      <c r="Z44" s="199">
        <v>0.0</v>
      </c>
      <c r="AA44" s="199">
        <v>0.0</v>
      </c>
      <c r="AB44" s="199">
        <v>33.0</v>
      </c>
      <c r="AC44" s="199">
        <v>16.0</v>
      </c>
      <c r="AD44" s="199">
        <v>0.0</v>
      </c>
      <c r="AE44" s="199">
        <v>4.0</v>
      </c>
      <c r="AF44" s="199">
        <v>2.0</v>
      </c>
      <c r="AG44" s="199">
        <v>563.0</v>
      </c>
      <c r="AH44" s="199">
        <v>24.0</v>
      </c>
      <c r="AI44" s="200" t="s">
        <v>597</v>
      </c>
      <c r="AJ44" s="200" t="s">
        <v>598</v>
      </c>
      <c r="AK44" s="200"/>
      <c r="AL44" s="204"/>
      <c r="AM44" s="204"/>
    </row>
    <row r="45">
      <c r="A45" s="199" t="s">
        <v>108</v>
      </c>
      <c r="B45" s="200" t="s">
        <v>338</v>
      </c>
      <c r="C45" s="199">
        <v>2.4343812227E10</v>
      </c>
      <c r="D45" s="201">
        <v>45624.0</v>
      </c>
      <c r="E45" s="202" t="s">
        <v>102</v>
      </c>
      <c r="F45" s="202" t="s">
        <v>102</v>
      </c>
      <c r="G45" s="203" t="s">
        <v>100</v>
      </c>
      <c r="H45" s="203" t="s">
        <v>100</v>
      </c>
      <c r="I45" s="199">
        <v>30291.0</v>
      </c>
      <c r="J45" s="199">
        <v>20046.0</v>
      </c>
      <c r="K45" s="199">
        <v>9121.0</v>
      </c>
      <c r="L45" s="199">
        <v>9.0</v>
      </c>
      <c r="M45" s="199">
        <v>221.6</v>
      </c>
      <c r="N45" s="37"/>
      <c r="O45" s="37"/>
      <c r="P45" s="199">
        <v>0.02</v>
      </c>
      <c r="Q45" s="199">
        <v>0.0</v>
      </c>
      <c r="R45" s="199">
        <v>0.0</v>
      </c>
      <c r="S45" s="199">
        <v>0.0</v>
      </c>
      <c r="T45" s="199">
        <v>0.0</v>
      </c>
      <c r="U45" s="199">
        <v>13.0</v>
      </c>
      <c r="V45" s="199">
        <v>0.0</v>
      </c>
      <c r="W45" s="199">
        <v>0.0</v>
      </c>
      <c r="X45" s="199">
        <v>0.0</v>
      </c>
      <c r="Y45" s="199">
        <v>0.0</v>
      </c>
      <c r="Z45" s="199">
        <v>0.0</v>
      </c>
      <c r="AA45" s="199">
        <v>0.0</v>
      </c>
      <c r="AB45" s="199">
        <v>22.0</v>
      </c>
      <c r="AC45" s="199">
        <v>4.0</v>
      </c>
      <c r="AD45" s="199">
        <v>0.0</v>
      </c>
      <c r="AE45" s="199">
        <v>21.0</v>
      </c>
      <c r="AF45" s="199">
        <v>0.0</v>
      </c>
      <c r="AG45" s="199">
        <v>421.0</v>
      </c>
      <c r="AH45" s="199">
        <v>5.0</v>
      </c>
      <c r="AI45" s="200" t="s">
        <v>599</v>
      </c>
      <c r="AJ45" s="200" t="s">
        <v>600</v>
      </c>
      <c r="AK45" s="200"/>
      <c r="AL45" s="204"/>
      <c r="AM45" s="204"/>
    </row>
    <row r="46">
      <c r="A46" s="199" t="s">
        <v>108</v>
      </c>
      <c r="B46" s="200" t="s">
        <v>338</v>
      </c>
      <c r="C46" s="199">
        <v>2.5180296261E10</v>
      </c>
      <c r="D46" s="201">
        <v>45826.0</v>
      </c>
      <c r="E46" s="202" t="s">
        <v>100</v>
      </c>
      <c r="F46" s="202" t="s">
        <v>100</v>
      </c>
      <c r="G46" s="203" t="s">
        <v>100</v>
      </c>
      <c r="H46" s="203" t="s">
        <v>100</v>
      </c>
      <c r="I46" s="199">
        <v>31082.0</v>
      </c>
      <c r="J46" s="199">
        <v>12107.0</v>
      </c>
      <c r="K46" s="199">
        <v>6112.0</v>
      </c>
      <c r="L46" s="199">
        <v>9.0</v>
      </c>
      <c r="M46" s="199">
        <v>226.2</v>
      </c>
      <c r="N46" s="37"/>
      <c r="O46" s="37"/>
      <c r="P46" s="199">
        <v>0.01</v>
      </c>
      <c r="Q46" s="199">
        <v>0.0</v>
      </c>
      <c r="R46" s="199">
        <v>1.0</v>
      </c>
      <c r="S46" s="199">
        <v>0.0</v>
      </c>
      <c r="T46" s="199">
        <v>0.0</v>
      </c>
      <c r="U46" s="199">
        <v>7.0</v>
      </c>
      <c r="V46" s="199">
        <v>0.0</v>
      </c>
      <c r="W46" s="199">
        <v>0.0</v>
      </c>
      <c r="X46" s="199">
        <v>2.0</v>
      </c>
      <c r="Y46" s="199">
        <v>0.0</v>
      </c>
      <c r="Z46" s="199">
        <v>1.0</v>
      </c>
      <c r="AA46" s="199">
        <v>0.0</v>
      </c>
      <c r="AB46" s="199">
        <v>8.0</v>
      </c>
      <c r="AC46" s="199">
        <v>8.0</v>
      </c>
      <c r="AD46" s="199">
        <v>0.0</v>
      </c>
      <c r="AE46" s="199">
        <v>46.0</v>
      </c>
      <c r="AF46" s="199">
        <v>2.0</v>
      </c>
      <c r="AG46" s="199">
        <v>517.0</v>
      </c>
      <c r="AH46" s="199">
        <v>28.0</v>
      </c>
      <c r="AI46" s="200" t="s">
        <v>100</v>
      </c>
      <c r="AJ46" s="200" t="s">
        <v>601</v>
      </c>
      <c r="AK46" s="200"/>
      <c r="AL46" s="204"/>
      <c r="AM46" s="204"/>
    </row>
    <row r="47">
      <c r="A47" s="199" t="s">
        <v>108</v>
      </c>
      <c r="B47" s="200" t="s">
        <v>338</v>
      </c>
      <c r="C47" s="199">
        <v>2.5330261229E10</v>
      </c>
      <c r="D47" s="201">
        <v>45978.0</v>
      </c>
      <c r="E47" s="202" t="s">
        <v>102</v>
      </c>
      <c r="F47" s="202" t="s">
        <v>102</v>
      </c>
      <c r="G47" s="203" t="s">
        <v>100</v>
      </c>
      <c r="H47" s="203" t="s">
        <v>100</v>
      </c>
      <c r="I47" s="199">
        <v>30291.0</v>
      </c>
      <c r="J47" s="199">
        <v>20046.0</v>
      </c>
      <c r="K47" s="199">
        <v>9121.0</v>
      </c>
      <c r="L47" s="199">
        <v>10.0</v>
      </c>
      <c r="M47" s="199">
        <v>220.9</v>
      </c>
      <c r="N47" s="37"/>
      <c r="O47" s="37"/>
      <c r="P47" s="199">
        <v>0.04</v>
      </c>
      <c r="Q47" s="199">
        <v>0.0</v>
      </c>
      <c r="R47" s="199">
        <v>0.0</v>
      </c>
      <c r="S47" s="199">
        <v>0.0</v>
      </c>
      <c r="T47" s="199">
        <v>0.0</v>
      </c>
      <c r="U47" s="199">
        <v>9.0</v>
      </c>
      <c r="V47" s="199">
        <v>0.0</v>
      </c>
      <c r="W47" s="199">
        <v>0.0</v>
      </c>
      <c r="X47" s="199">
        <v>0.0</v>
      </c>
      <c r="Y47" s="199">
        <v>0.0</v>
      </c>
      <c r="Z47" s="199">
        <v>0.0</v>
      </c>
      <c r="AA47" s="199">
        <v>0.0</v>
      </c>
      <c r="AB47" s="199">
        <v>42.0</v>
      </c>
      <c r="AC47" s="199">
        <v>30.0</v>
      </c>
      <c r="AD47" s="199">
        <v>0.0</v>
      </c>
      <c r="AE47" s="199">
        <v>37.0</v>
      </c>
      <c r="AF47" s="199">
        <v>2.0</v>
      </c>
      <c r="AG47" s="199">
        <v>630.0</v>
      </c>
      <c r="AH47" s="199">
        <v>13.0</v>
      </c>
      <c r="AI47" s="200" t="s">
        <v>602</v>
      </c>
      <c r="AJ47" s="200" t="s">
        <v>603</v>
      </c>
      <c r="AK47" s="200"/>
      <c r="AL47" s="204"/>
      <c r="AM47" s="204"/>
    </row>
    <row r="48">
      <c r="A48" s="199" t="s">
        <v>108</v>
      </c>
      <c r="B48" s="200" t="s">
        <v>338</v>
      </c>
      <c r="C48" s="199">
        <v>2.6123350234E10</v>
      </c>
      <c r="D48" s="201">
        <v>46138.0</v>
      </c>
      <c r="E48" s="202" t="s">
        <v>102</v>
      </c>
      <c r="F48" s="202" t="s">
        <v>102</v>
      </c>
      <c r="G48" s="203" t="s">
        <v>100</v>
      </c>
      <c r="H48" s="203" t="s">
        <v>100</v>
      </c>
      <c r="I48" s="199">
        <v>31082.0</v>
      </c>
      <c r="J48" s="199">
        <v>12107.0</v>
      </c>
      <c r="K48" s="199">
        <v>6112.0</v>
      </c>
      <c r="L48" s="199">
        <v>10.0</v>
      </c>
      <c r="M48" s="199">
        <v>221.7</v>
      </c>
      <c r="N48" s="37"/>
      <c r="O48" s="37"/>
      <c r="P48" s="199">
        <v>0.04</v>
      </c>
      <c r="Q48" s="199">
        <v>0.0</v>
      </c>
      <c r="R48" s="199">
        <v>0.0</v>
      </c>
      <c r="S48" s="199">
        <v>0.0</v>
      </c>
      <c r="T48" s="199">
        <v>0.0</v>
      </c>
      <c r="U48" s="199">
        <v>1.0</v>
      </c>
      <c r="V48" s="199">
        <v>0.0</v>
      </c>
      <c r="W48" s="199">
        <v>0.0</v>
      </c>
      <c r="X48" s="199">
        <v>0.0</v>
      </c>
      <c r="Y48" s="199">
        <v>0.0</v>
      </c>
      <c r="Z48" s="199">
        <v>0.0</v>
      </c>
      <c r="AA48" s="199">
        <v>0.0</v>
      </c>
      <c r="AB48" s="199">
        <v>13.0</v>
      </c>
      <c r="AC48" s="199">
        <v>18.0</v>
      </c>
      <c r="AD48" s="199">
        <v>0.0</v>
      </c>
      <c r="AE48" s="199">
        <v>5.0</v>
      </c>
      <c r="AF48" s="199">
        <v>2.0</v>
      </c>
      <c r="AG48" s="199">
        <v>496.0</v>
      </c>
      <c r="AH48" s="199">
        <v>5.0</v>
      </c>
      <c r="AI48" s="200" t="s">
        <v>604</v>
      </c>
      <c r="AJ48" s="200" t="s">
        <v>605</v>
      </c>
      <c r="AK48" s="200"/>
      <c r="AL48" s="204"/>
      <c r="AM48" s="204"/>
    </row>
    <row r="49">
      <c r="A49" s="199" t="s">
        <v>135</v>
      </c>
      <c r="B49" s="200" t="s">
        <v>373</v>
      </c>
      <c r="C49" s="199">
        <v>2.5294210217E10</v>
      </c>
      <c r="D49" s="201">
        <v>45946.0</v>
      </c>
      <c r="E49" s="202" t="s">
        <v>102</v>
      </c>
      <c r="F49" s="202" t="s">
        <v>102</v>
      </c>
      <c r="G49" s="203" t="s">
        <v>100</v>
      </c>
      <c r="H49" s="203" t="s">
        <v>100</v>
      </c>
      <c r="I49" s="37"/>
      <c r="J49" s="37"/>
      <c r="K49" s="37"/>
      <c r="L49" s="199">
        <v>15.0</v>
      </c>
      <c r="M49" s="199">
        <v>44.7</v>
      </c>
      <c r="N49" s="199"/>
      <c r="O49" s="199">
        <v>1.0</v>
      </c>
      <c r="P49" s="199">
        <v>0.04</v>
      </c>
      <c r="Q49" s="199">
        <v>0.0</v>
      </c>
      <c r="R49" s="199">
        <v>5.0</v>
      </c>
      <c r="S49" s="199">
        <v>2.0</v>
      </c>
      <c r="T49" s="199">
        <v>12.0</v>
      </c>
      <c r="U49" s="199">
        <v>26.0</v>
      </c>
      <c r="V49" s="199">
        <v>0.0</v>
      </c>
      <c r="W49" s="199">
        <v>0.0</v>
      </c>
      <c r="X49" s="199">
        <v>0.0</v>
      </c>
      <c r="Y49" s="199">
        <v>0.0</v>
      </c>
      <c r="Z49" s="199">
        <v>0.0</v>
      </c>
      <c r="AA49" s="199">
        <v>0.0</v>
      </c>
      <c r="AB49" s="199">
        <v>4.0</v>
      </c>
      <c r="AC49" s="199">
        <v>0.0</v>
      </c>
      <c r="AD49" s="199">
        <v>0.0</v>
      </c>
      <c r="AE49" s="199">
        <v>68.0</v>
      </c>
      <c r="AF49" s="199">
        <v>2.0</v>
      </c>
      <c r="AG49" s="199">
        <v>401.0</v>
      </c>
      <c r="AH49" s="199">
        <v>442.0</v>
      </c>
      <c r="AI49" s="200" t="s">
        <v>606</v>
      </c>
      <c r="AJ49" s="200" t="s">
        <v>607</v>
      </c>
      <c r="AK49" s="200"/>
      <c r="AL49" s="204"/>
      <c r="AM49" s="204"/>
    </row>
    <row r="50">
      <c r="A50" s="199" t="s">
        <v>135</v>
      </c>
      <c r="B50" s="200" t="s">
        <v>373</v>
      </c>
      <c r="C50" s="199">
        <v>2.5330261216E10</v>
      </c>
      <c r="D50" s="201">
        <v>45977.0</v>
      </c>
      <c r="E50" s="202" t="s">
        <v>102</v>
      </c>
      <c r="F50" s="202" t="s">
        <v>102</v>
      </c>
      <c r="G50" s="203" t="s">
        <v>100</v>
      </c>
      <c r="H50" s="203" t="s">
        <v>100</v>
      </c>
      <c r="I50" s="37"/>
      <c r="J50" s="37"/>
      <c r="K50" s="37"/>
      <c r="L50" s="199">
        <v>18.0</v>
      </c>
      <c r="M50" s="199">
        <v>44.0</v>
      </c>
      <c r="N50" s="199"/>
      <c r="O50" s="199">
        <v>1.0</v>
      </c>
      <c r="P50" s="199">
        <v>0.04</v>
      </c>
      <c r="Q50" s="199">
        <v>0.0</v>
      </c>
      <c r="R50" s="199">
        <v>0.0</v>
      </c>
      <c r="S50" s="199">
        <v>0.0</v>
      </c>
      <c r="T50" s="199">
        <v>4.0</v>
      </c>
      <c r="U50" s="199">
        <v>19.0</v>
      </c>
      <c r="V50" s="199">
        <v>0.0</v>
      </c>
      <c r="W50" s="199">
        <v>0.0</v>
      </c>
      <c r="X50" s="199">
        <v>0.0</v>
      </c>
      <c r="Y50" s="199">
        <v>0.0</v>
      </c>
      <c r="Z50" s="199">
        <v>0.0</v>
      </c>
      <c r="AA50" s="199">
        <v>0.0</v>
      </c>
      <c r="AB50" s="199">
        <v>5.0</v>
      </c>
      <c r="AC50" s="199">
        <v>3.0</v>
      </c>
      <c r="AD50" s="199">
        <v>0.0</v>
      </c>
      <c r="AE50" s="199">
        <v>83.0</v>
      </c>
      <c r="AF50" s="199">
        <v>2.0</v>
      </c>
      <c r="AG50" s="199">
        <v>444.0</v>
      </c>
      <c r="AH50" s="199">
        <v>459.0</v>
      </c>
      <c r="AI50" s="200" t="s">
        <v>608</v>
      </c>
      <c r="AJ50" s="200" t="s">
        <v>609</v>
      </c>
      <c r="AK50" s="200"/>
      <c r="AL50" s="204"/>
      <c r="AM50" s="204"/>
    </row>
    <row r="51">
      <c r="A51" s="199" t="s">
        <v>135</v>
      </c>
      <c r="B51" s="200" t="s">
        <v>373</v>
      </c>
      <c r="C51" s="199">
        <v>2.600440125E10</v>
      </c>
      <c r="D51" s="201">
        <v>46007.0</v>
      </c>
      <c r="E51" s="202" t="s">
        <v>100</v>
      </c>
      <c r="F51" s="202" t="s">
        <v>100</v>
      </c>
      <c r="G51" s="203" t="s">
        <v>100</v>
      </c>
      <c r="H51" s="203" t="s">
        <v>100</v>
      </c>
      <c r="I51" s="199">
        <v>7891.0</v>
      </c>
      <c r="J51" s="199">
        <v>2311.0</v>
      </c>
      <c r="K51" s="199">
        <v>494.0</v>
      </c>
      <c r="L51" s="199">
        <v>6.0</v>
      </c>
      <c r="M51" s="199">
        <v>45.1</v>
      </c>
      <c r="N51" s="199"/>
      <c r="O51" s="199">
        <v>0.0</v>
      </c>
      <c r="P51" s="199">
        <v>0.003</v>
      </c>
      <c r="Q51" s="199">
        <v>0.0</v>
      </c>
      <c r="R51" s="199">
        <v>0.0</v>
      </c>
      <c r="S51" s="199">
        <v>0.0</v>
      </c>
      <c r="T51" s="199">
        <v>0.0</v>
      </c>
      <c r="U51" s="199">
        <v>10.0</v>
      </c>
      <c r="V51" s="199">
        <v>0.0</v>
      </c>
      <c r="W51" s="199">
        <v>0.0</v>
      </c>
      <c r="X51" s="199">
        <v>0.0</v>
      </c>
      <c r="Y51" s="199">
        <v>0.0</v>
      </c>
      <c r="Z51" s="199">
        <v>0.0</v>
      </c>
      <c r="AA51" s="199">
        <v>0.0</v>
      </c>
      <c r="AB51" s="199">
        <v>0.0</v>
      </c>
      <c r="AC51" s="199">
        <v>1.0</v>
      </c>
      <c r="AD51" s="199">
        <v>0.0</v>
      </c>
      <c r="AE51" s="199">
        <v>125.0</v>
      </c>
      <c r="AF51" s="199">
        <v>2.0</v>
      </c>
      <c r="AG51" s="199">
        <v>457.0</v>
      </c>
      <c r="AH51" s="199">
        <v>586.0</v>
      </c>
      <c r="AI51" s="200" t="s">
        <v>100</v>
      </c>
      <c r="AJ51" s="200" t="s">
        <v>610</v>
      </c>
      <c r="AK51" s="200"/>
      <c r="AL51" s="204"/>
      <c r="AM51" s="204"/>
    </row>
    <row r="52">
      <c r="A52" s="199" t="s">
        <v>140</v>
      </c>
      <c r="B52" s="200" t="s">
        <v>381</v>
      </c>
      <c r="C52" s="199">
        <v>2.5330261235E10</v>
      </c>
      <c r="D52" s="201">
        <v>45977.0</v>
      </c>
      <c r="E52" s="202" t="s">
        <v>102</v>
      </c>
      <c r="F52" s="202" t="s">
        <v>100</v>
      </c>
      <c r="G52" s="203" t="s">
        <v>100</v>
      </c>
      <c r="H52" s="203" t="s">
        <v>102</v>
      </c>
      <c r="I52" s="37"/>
      <c r="J52" s="37"/>
      <c r="K52" s="37"/>
      <c r="L52" s="199">
        <v>20.0</v>
      </c>
      <c r="M52" s="199">
        <v>82.9</v>
      </c>
      <c r="N52" s="37"/>
      <c r="O52" s="37"/>
      <c r="P52" s="199">
        <v>0.04</v>
      </c>
      <c r="Q52" s="199">
        <v>0.0</v>
      </c>
      <c r="R52" s="199">
        <v>0.0</v>
      </c>
      <c r="S52" s="199">
        <v>0.0</v>
      </c>
      <c r="T52" s="199">
        <v>0.0</v>
      </c>
      <c r="U52" s="199">
        <v>13.0</v>
      </c>
      <c r="V52" s="199">
        <v>0.0</v>
      </c>
      <c r="W52" s="199">
        <v>0.0</v>
      </c>
      <c r="X52" s="199">
        <v>0.0</v>
      </c>
      <c r="Y52" s="199">
        <v>0.0</v>
      </c>
      <c r="Z52" s="199">
        <v>2.0</v>
      </c>
      <c r="AA52" s="199">
        <v>0.0</v>
      </c>
      <c r="AB52" s="199">
        <v>2.0</v>
      </c>
      <c r="AC52" s="199">
        <v>23.0</v>
      </c>
      <c r="AD52" s="199">
        <v>0.0</v>
      </c>
      <c r="AE52" s="199">
        <v>23.0</v>
      </c>
      <c r="AF52" s="199">
        <v>5.0</v>
      </c>
      <c r="AG52" s="199">
        <v>483.0</v>
      </c>
      <c r="AH52" s="199">
        <v>23.0</v>
      </c>
      <c r="AI52" s="200" t="s">
        <v>611</v>
      </c>
      <c r="AJ52" s="200" t="s">
        <v>612</v>
      </c>
      <c r="AK52" s="200"/>
      <c r="AL52" s="204"/>
      <c r="AM52" s="204"/>
    </row>
    <row r="53">
      <c r="A53" s="199" t="s">
        <v>140</v>
      </c>
      <c r="B53" s="200" t="s">
        <v>381</v>
      </c>
      <c r="C53" s="199">
        <v>2.6005501225E10</v>
      </c>
      <c r="D53" s="201">
        <v>46007.0</v>
      </c>
      <c r="E53" s="202" t="s">
        <v>102</v>
      </c>
      <c r="F53" s="202" t="s">
        <v>102</v>
      </c>
      <c r="G53" s="203" t="s">
        <v>102</v>
      </c>
      <c r="H53" s="203" t="s">
        <v>102</v>
      </c>
      <c r="I53" s="37"/>
      <c r="J53" s="37"/>
      <c r="K53" s="37"/>
      <c r="L53" s="199">
        <v>63.0</v>
      </c>
      <c r="M53" s="199">
        <v>81.5</v>
      </c>
      <c r="N53" s="37"/>
      <c r="O53" s="37"/>
      <c r="P53" s="199">
        <v>0.06</v>
      </c>
      <c r="Q53" s="199">
        <v>0.0</v>
      </c>
      <c r="R53" s="199">
        <v>0.0</v>
      </c>
      <c r="S53" s="199">
        <v>0.0</v>
      </c>
      <c r="T53" s="199">
        <v>0.0</v>
      </c>
      <c r="U53" s="199">
        <v>17.0</v>
      </c>
      <c r="V53" s="199">
        <v>0.0</v>
      </c>
      <c r="W53" s="199">
        <v>0.0</v>
      </c>
      <c r="X53" s="199">
        <v>0.0</v>
      </c>
      <c r="Y53" s="199">
        <v>0.0</v>
      </c>
      <c r="Z53" s="199">
        <v>0.0</v>
      </c>
      <c r="AA53" s="199">
        <v>0.0</v>
      </c>
      <c r="AB53" s="199">
        <v>0.0</v>
      </c>
      <c r="AC53" s="199">
        <v>21.0</v>
      </c>
      <c r="AD53" s="199">
        <v>0.0</v>
      </c>
      <c r="AE53" s="199">
        <v>22.0</v>
      </c>
      <c r="AF53" s="199">
        <v>0.0</v>
      </c>
      <c r="AG53" s="199">
        <v>650.0</v>
      </c>
      <c r="AH53" s="199">
        <v>15.0</v>
      </c>
      <c r="AI53" s="200" t="s">
        <v>613</v>
      </c>
      <c r="AJ53" s="200" t="s">
        <v>614</v>
      </c>
      <c r="AK53" s="200"/>
      <c r="AL53" s="204"/>
      <c r="AM53" s="204"/>
    </row>
    <row r="54">
      <c r="A54" s="199" t="s">
        <v>166</v>
      </c>
      <c r="B54" s="200" t="s">
        <v>412</v>
      </c>
      <c r="C54" s="199">
        <v>2.5107174214E10</v>
      </c>
      <c r="D54" s="201">
        <v>45757.0</v>
      </c>
      <c r="E54" s="202" t="s">
        <v>101</v>
      </c>
      <c r="F54" s="202" t="s">
        <v>101</v>
      </c>
      <c r="G54" s="203" t="s">
        <v>102</v>
      </c>
      <c r="H54" s="203" t="s">
        <v>102</v>
      </c>
      <c r="I54" s="37"/>
      <c r="J54" s="37"/>
      <c r="K54" s="37"/>
      <c r="L54" s="199">
        <v>49.0</v>
      </c>
      <c r="M54" s="199">
        <v>316.0</v>
      </c>
      <c r="N54" s="37"/>
      <c r="O54" s="37"/>
      <c r="P54" s="199">
        <v>0.6</v>
      </c>
      <c r="Q54" s="199">
        <v>0.0</v>
      </c>
      <c r="R54" s="199">
        <v>1.0</v>
      </c>
      <c r="S54" s="199">
        <v>0.0</v>
      </c>
      <c r="T54" s="199">
        <v>0.0</v>
      </c>
      <c r="U54" s="199">
        <v>222.0</v>
      </c>
      <c r="V54" s="199">
        <v>0.0</v>
      </c>
      <c r="W54" s="199">
        <v>0.0</v>
      </c>
      <c r="X54" s="199">
        <v>0.0</v>
      </c>
      <c r="Y54" s="199">
        <v>0.0</v>
      </c>
      <c r="Z54" s="199">
        <v>0.0</v>
      </c>
      <c r="AA54" s="199">
        <v>0.0</v>
      </c>
      <c r="AB54" s="199">
        <v>17.0</v>
      </c>
      <c r="AC54" s="199">
        <v>0.0</v>
      </c>
      <c r="AD54" s="199">
        <v>0.0</v>
      </c>
      <c r="AE54" s="199">
        <v>49.0</v>
      </c>
      <c r="AF54" s="199">
        <v>7.0</v>
      </c>
      <c r="AG54" s="199">
        <v>379.0</v>
      </c>
      <c r="AH54" s="199">
        <v>99.0</v>
      </c>
      <c r="AI54" s="200" t="s">
        <v>615</v>
      </c>
      <c r="AJ54" s="200" t="s">
        <v>616</v>
      </c>
      <c r="AK54" s="200"/>
      <c r="AL54" s="204"/>
      <c r="AM54" s="204"/>
    </row>
    <row r="55">
      <c r="A55" s="199" t="s">
        <v>166</v>
      </c>
      <c r="B55" s="200" t="s">
        <v>412</v>
      </c>
      <c r="C55" s="199">
        <v>2.5180296225E10</v>
      </c>
      <c r="D55" s="201">
        <v>45826.0</v>
      </c>
      <c r="E55" s="202" t="s">
        <v>101</v>
      </c>
      <c r="F55" s="202" t="s">
        <v>101</v>
      </c>
      <c r="G55" s="203" t="s">
        <v>102</v>
      </c>
      <c r="H55" s="203" t="s">
        <v>102</v>
      </c>
      <c r="I55" s="37"/>
      <c r="J55" s="37"/>
      <c r="K55" s="37"/>
      <c r="L55" s="199">
        <v>83.0</v>
      </c>
      <c r="M55" s="199">
        <v>318.7</v>
      </c>
      <c r="N55" s="37"/>
      <c r="O55" s="37"/>
      <c r="P55" s="199">
        <v>0.5</v>
      </c>
      <c r="Q55" s="199">
        <v>0.0</v>
      </c>
      <c r="R55" s="199">
        <v>1.0</v>
      </c>
      <c r="S55" s="199">
        <v>0.0</v>
      </c>
      <c r="T55" s="199">
        <v>0.0</v>
      </c>
      <c r="U55" s="199">
        <v>206.0</v>
      </c>
      <c r="V55" s="199">
        <v>2.0</v>
      </c>
      <c r="W55" s="199">
        <v>0.0</v>
      </c>
      <c r="X55" s="199">
        <v>1.0</v>
      </c>
      <c r="Y55" s="199">
        <v>0.0</v>
      </c>
      <c r="Z55" s="199">
        <v>0.0</v>
      </c>
      <c r="AA55" s="199">
        <v>2.0</v>
      </c>
      <c r="AB55" s="199">
        <v>7.0</v>
      </c>
      <c r="AC55" s="199">
        <v>41.0</v>
      </c>
      <c r="AD55" s="199">
        <v>0.0</v>
      </c>
      <c r="AE55" s="199">
        <v>62.0</v>
      </c>
      <c r="AF55" s="199">
        <v>7.0</v>
      </c>
      <c r="AG55" s="199">
        <v>380.0</v>
      </c>
      <c r="AH55" s="199">
        <v>90.0</v>
      </c>
      <c r="AI55" s="200" t="s">
        <v>617</v>
      </c>
      <c r="AJ55" s="200" t="s">
        <v>618</v>
      </c>
      <c r="AK55" s="200"/>
      <c r="AL55" s="204"/>
      <c r="AM55" s="204"/>
    </row>
    <row r="56">
      <c r="A56" s="199" t="s">
        <v>166</v>
      </c>
      <c r="B56" s="200" t="s">
        <v>412</v>
      </c>
      <c r="C56" s="199">
        <v>2.5258159233E10</v>
      </c>
      <c r="D56" s="201">
        <v>45909.0</v>
      </c>
      <c r="E56" s="202" t="s">
        <v>102</v>
      </c>
      <c r="F56" s="202" t="s">
        <v>102</v>
      </c>
      <c r="G56" s="203" t="s">
        <v>100</v>
      </c>
      <c r="H56" s="203" t="s">
        <v>102</v>
      </c>
      <c r="I56" s="37"/>
      <c r="J56" s="37"/>
      <c r="K56" s="37"/>
      <c r="L56" s="199">
        <v>16.0</v>
      </c>
      <c r="M56" s="199">
        <v>282.6</v>
      </c>
      <c r="N56" s="37"/>
      <c r="O56" s="37"/>
      <c r="P56" s="199">
        <v>0.05</v>
      </c>
      <c r="Q56" s="199">
        <v>0.0</v>
      </c>
      <c r="R56" s="199">
        <v>13.0</v>
      </c>
      <c r="S56" s="199">
        <v>1.0</v>
      </c>
      <c r="T56" s="199">
        <v>2.0</v>
      </c>
      <c r="U56" s="199">
        <v>39.0</v>
      </c>
      <c r="V56" s="199">
        <v>0.0</v>
      </c>
      <c r="W56" s="199">
        <v>0.0</v>
      </c>
      <c r="X56" s="199">
        <v>1.0</v>
      </c>
      <c r="Y56" s="199">
        <v>0.0</v>
      </c>
      <c r="Z56" s="199">
        <v>2.0</v>
      </c>
      <c r="AA56" s="199">
        <v>0.0</v>
      </c>
      <c r="AB56" s="199">
        <v>2.0</v>
      </c>
      <c r="AC56" s="199">
        <v>14.0</v>
      </c>
      <c r="AD56" s="199">
        <v>0.0</v>
      </c>
      <c r="AE56" s="199">
        <v>48.0</v>
      </c>
      <c r="AF56" s="199">
        <v>5.0</v>
      </c>
      <c r="AG56" s="199">
        <v>454.0</v>
      </c>
      <c r="AH56" s="199">
        <v>34.0</v>
      </c>
      <c r="AI56" s="200" t="s">
        <v>619</v>
      </c>
      <c r="AJ56" s="200" t="s">
        <v>620</v>
      </c>
      <c r="AK56" s="200"/>
      <c r="AL56" s="204"/>
      <c r="AM56" s="204"/>
    </row>
    <row r="57">
      <c r="A57" s="199" t="s">
        <v>166</v>
      </c>
      <c r="B57" s="200" t="s">
        <v>412</v>
      </c>
      <c r="C57" s="199">
        <v>2.5295220231E10</v>
      </c>
      <c r="D57" s="201">
        <v>45946.0</v>
      </c>
      <c r="E57" s="202" t="s">
        <v>102</v>
      </c>
      <c r="F57" s="202" t="s">
        <v>102</v>
      </c>
      <c r="G57" s="203" t="s">
        <v>100</v>
      </c>
      <c r="H57" s="203" t="s">
        <v>102</v>
      </c>
      <c r="I57" s="37"/>
      <c r="J57" s="37"/>
      <c r="K57" s="37"/>
      <c r="L57" s="199">
        <v>18.0</v>
      </c>
      <c r="M57" s="199">
        <v>289.5</v>
      </c>
      <c r="N57" s="37"/>
      <c r="O57" s="37"/>
      <c r="P57" s="199">
        <v>0.08</v>
      </c>
      <c r="Q57" s="199">
        <v>0.0</v>
      </c>
      <c r="R57" s="199">
        <v>0.0</v>
      </c>
      <c r="S57" s="199">
        <v>0.0</v>
      </c>
      <c r="T57" s="199">
        <v>0.0</v>
      </c>
      <c r="U57" s="199">
        <v>4.0</v>
      </c>
      <c r="V57" s="199">
        <v>0.0</v>
      </c>
      <c r="W57" s="199">
        <v>0.0</v>
      </c>
      <c r="X57" s="199">
        <v>0.0</v>
      </c>
      <c r="Y57" s="199">
        <v>0.0</v>
      </c>
      <c r="Z57" s="199">
        <v>0.0</v>
      </c>
      <c r="AA57" s="199">
        <v>0.0</v>
      </c>
      <c r="AB57" s="199">
        <v>0.0</v>
      </c>
      <c r="AC57" s="199">
        <v>14.0</v>
      </c>
      <c r="AD57" s="199">
        <v>0.0</v>
      </c>
      <c r="AE57" s="199">
        <v>2.0</v>
      </c>
      <c r="AF57" s="199">
        <v>2.0</v>
      </c>
      <c r="AG57" s="199">
        <v>525.0</v>
      </c>
      <c r="AH57" s="199">
        <v>46.0</v>
      </c>
      <c r="AI57" s="200" t="s">
        <v>621</v>
      </c>
      <c r="AJ57" s="200" t="s">
        <v>622</v>
      </c>
      <c r="AK57" s="200"/>
      <c r="AL57" s="204"/>
      <c r="AM57" s="204"/>
    </row>
    <row r="58">
      <c r="A58" s="199" t="s">
        <v>166</v>
      </c>
      <c r="B58" s="200" t="s">
        <v>412</v>
      </c>
      <c r="C58" s="199">
        <v>2.6124405276E10</v>
      </c>
      <c r="D58" s="201">
        <v>46138.0</v>
      </c>
      <c r="E58" s="202" t="s">
        <v>102</v>
      </c>
      <c r="F58" s="202" t="s">
        <v>102</v>
      </c>
      <c r="G58" s="203" t="s">
        <v>100</v>
      </c>
      <c r="H58" s="203" t="s">
        <v>102</v>
      </c>
      <c r="I58" s="37"/>
      <c r="J58" s="37"/>
      <c r="K58" s="37"/>
      <c r="L58" s="199">
        <v>20.0</v>
      </c>
      <c r="M58" s="199">
        <v>287.7</v>
      </c>
      <c r="N58" s="37"/>
      <c r="O58" s="37"/>
      <c r="P58" s="199">
        <v>0.05</v>
      </c>
      <c r="Q58" s="199">
        <v>0.0</v>
      </c>
      <c r="R58" s="199">
        <v>0.0</v>
      </c>
      <c r="S58" s="199">
        <v>0.0</v>
      </c>
      <c r="T58" s="199">
        <v>0.0</v>
      </c>
      <c r="U58" s="199">
        <v>10.0</v>
      </c>
      <c r="V58" s="199">
        <v>0.0</v>
      </c>
      <c r="W58" s="199">
        <v>0.0</v>
      </c>
      <c r="X58" s="199">
        <v>0.0</v>
      </c>
      <c r="Y58" s="199">
        <v>0.0</v>
      </c>
      <c r="Z58" s="199">
        <v>0.0</v>
      </c>
      <c r="AA58" s="199">
        <v>0.0</v>
      </c>
      <c r="AB58" s="199">
        <v>0.0</v>
      </c>
      <c r="AC58" s="199">
        <v>27.0</v>
      </c>
      <c r="AD58" s="199">
        <v>0.0</v>
      </c>
      <c r="AE58" s="199">
        <v>38.0</v>
      </c>
      <c r="AF58" s="199">
        <v>0.0</v>
      </c>
      <c r="AG58" s="199">
        <v>443.0</v>
      </c>
      <c r="AH58" s="199">
        <v>69.0</v>
      </c>
      <c r="AI58" s="200" t="s">
        <v>623</v>
      </c>
      <c r="AJ58" s="200" t="s">
        <v>624</v>
      </c>
      <c r="AK58" s="200"/>
      <c r="AL58" s="204"/>
      <c r="AM58" s="204"/>
    </row>
    <row r="59">
      <c r="A59" s="199" t="s">
        <v>167</v>
      </c>
      <c r="B59" s="200" t="s">
        <v>410</v>
      </c>
      <c r="C59" s="199">
        <v>2.3276310208E10</v>
      </c>
      <c r="D59" s="201">
        <v>45196.0</v>
      </c>
      <c r="E59" s="202" t="s">
        <v>100</v>
      </c>
      <c r="F59" s="202" t="s">
        <v>100</v>
      </c>
      <c r="G59" s="203" t="s">
        <v>100</v>
      </c>
      <c r="H59" s="203" t="s">
        <v>100</v>
      </c>
      <c r="I59" s="199">
        <v>21852.0</v>
      </c>
      <c r="J59" s="199">
        <v>20611.0</v>
      </c>
      <c r="K59" s="199">
        <v>14078.0</v>
      </c>
      <c r="L59" s="199">
        <v>6.0</v>
      </c>
      <c r="M59" s="199">
        <v>268.8</v>
      </c>
      <c r="N59" s="37"/>
      <c r="O59" s="37"/>
      <c r="P59" s="199">
        <v>0.01</v>
      </c>
      <c r="Q59" s="199">
        <v>2.0</v>
      </c>
      <c r="R59" s="199">
        <v>3.0</v>
      </c>
      <c r="S59" s="199">
        <v>0.0</v>
      </c>
      <c r="T59" s="199">
        <v>0.0</v>
      </c>
      <c r="U59" s="199">
        <v>16.0</v>
      </c>
      <c r="V59" s="199">
        <v>0.0</v>
      </c>
      <c r="W59" s="199">
        <v>0.0</v>
      </c>
      <c r="X59" s="199">
        <v>0.0</v>
      </c>
      <c r="Y59" s="199">
        <v>1.0</v>
      </c>
      <c r="Z59" s="199">
        <v>2.0</v>
      </c>
      <c r="AA59" s="199">
        <v>2.0</v>
      </c>
      <c r="AB59" s="199">
        <v>8.0</v>
      </c>
      <c r="AC59" s="199">
        <v>35.0</v>
      </c>
      <c r="AD59" s="199">
        <v>0.0</v>
      </c>
      <c r="AE59" s="199">
        <v>8.0</v>
      </c>
      <c r="AF59" s="199">
        <v>0.0</v>
      </c>
      <c r="AG59" s="199">
        <v>327.0</v>
      </c>
      <c r="AH59" s="199">
        <v>28.0</v>
      </c>
      <c r="AI59" s="200" t="s">
        <v>100</v>
      </c>
      <c r="AJ59" s="200" t="s">
        <v>625</v>
      </c>
      <c r="AK59" s="200"/>
      <c r="AL59" s="204"/>
      <c r="AM59" s="204"/>
    </row>
    <row r="60">
      <c r="A60" s="199" t="s">
        <v>167</v>
      </c>
      <c r="B60" s="200" t="s">
        <v>410</v>
      </c>
      <c r="C60" s="199">
        <v>2.4303290244E10</v>
      </c>
      <c r="D60" s="201">
        <v>45589.0</v>
      </c>
      <c r="E60" s="202" t="s">
        <v>102</v>
      </c>
      <c r="F60" s="202" t="s">
        <v>102</v>
      </c>
      <c r="G60" s="203" t="s">
        <v>100</v>
      </c>
      <c r="H60" s="203" t="s">
        <v>100</v>
      </c>
      <c r="I60" s="199">
        <v>13565.0</v>
      </c>
      <c r="J60" s="199">
        <v>6523.0</v>
      </c>
      <c r="K60" s="199">
        <v>2541.0</v>
      </c>
      <c r="L60" s="199">
        <v>12.0</v>
      </c>
      <c r="M60" s="199">
        <v>302.0</v>
      </c>
      <c r="N60" s="37"/>
      <c r="O60" s="37"/>
      <c r="P60" s="199">
        <v>0.03</v>
      </c>
      <c r="Q60" s="199">
        <v>0.0</v>
      </c>
      <c r="R60" s="199">
        <v>6.0</v>
      </c>
      <c r="S60" s="199">
        <v>1.0</v>
      </c>
      <c r="T60" s="199">
        <v>2.0</v>
      </c>
      <c r="U60" s="199">
        <v>48.0</v>
      </c>
      <c r="V60" s="199">
        <v>0.0</v>
      </c>
      <c r="W60" s="199">
        <v>0.0</v>
      </c>
      <c r="X60" s="199">
        <v>2.0</v>
      </c>
      <c r="Y60" s="199">
        <v>0.0</v>
      </c>
      <c r="Z60" s="199">
        <v>2.0</v>
      </c>
      <c r="AA60" s="199">
        <v>0.0</v>
      </c>
      <c r="AB60" s="199">
        <v>3.0</v>
      </c>
      <c r="AC60" s="199">
        <v>2.0</v>
      </c>
      <c r="AD60" s="199">
        <v>0.0</v>
      </c>
      <c r="AE60" s="199">
        <v>15.0</v>
      </c>
      <c r="AF60" s="199">
        <v>5.0</v>
      </c>
      <c r="AG60" s="199">
        <v>313.0</v>
      </c>
      <c r="AH60" s="199">
        <v>47.0</v>
      </c>
      <c r="AI60" s="200" t="s">
        <v>626</v>
      </c>
      <c r="AJ60" s="200" t="s">
        <v>627</v>
      </c>
      <c r="AK60" s="200"/>
      <c r="AL60" s="204"/>
      <c r="AM60" s="204"/>
    </row>
    <row r="61">
      <c r="A61" s="199" t="s">
        <v>167</v>
      </c>
      <c r="B61" s="200" t="s">
        <v>410</v>
      </c>
      <c r="C61" s="199">
        <v>2.5112224208E10</v>
      </c>
      <c r="D61" s="201">
        <v>45757.0</v>
      </c>
      <c r="E61" s="202" t="s">
        <v>100</v>
      </c>
      <c r="F61" s="202" t="s">
        <v>100</v>
      </c>
      <c r="G61" s="203" t="s">
        <v>100</v>
      </c>
      <c r="H61" s="203" t="s">
        <v>100</v>
      </c>
      <c r="I61" s="199">
        <v>13292.0</v>
      </c>
      <c r="J61" s="199">
        <v>4299.0</v>
      </c>
      <c r="K61" s="199">
        <v>1616.0</v>
      </c>
      <c r="L61" s="199">
        <v>13.0</v>
      </c>
      <c r="M61" s="199">
        <v>295.1</v>
      </c>
      <c r="N61" s="37"/>
      <c r="O61" s="37"/>
      <c r="P61" s="199">
        <v>0.02</v>
      </c>
      <c r="Q61" s="199">
        <v>0.0</v>
      </c>
      <c r="R61" s="199">
        <v>0.0</v>
      </c>
      <c r="S61" s="199">
        <v>0.0</v>
      </c>
      <c r="T61" s="199">
        <v>0.0</v>
      </c>
      <c r="U61" s="199">
        <v>45.0</v>
      </c>
      <c r="V61" s="199">
        <v>0.0</v>
      </c>
      <c r="W61" s="199">
        <v>0.0</v>
      </c>
      <c r="X61" s="199">
        <v>0.0</v>
      </c>
      <c r="Y61" s="199">
        <v>0.0</v>
      </c>
      <c r="Z61" s="199">
        <v>0.0</v>
      </c>
      <c r="AA61" s="199">
        <v>3.0</v>
      </c>
      <c r="AB61" s="199">
        <v>26.0</v>
      </c>
      <c r="AC61" s="199">
        <v>30.0</v>
      </c>
      <c r="AD61" s="199">
        <v>0.0</v>
      </c>
      <c r="AE61" s="199">
        <v>96.0</v>
      </c>
      <c r="AF61" s="199">
        <v>0.0</v>
      </c>
      <c r="AG61" s="199">
        <v>367.0</v>
      </c>
      <c r="AH61" s="199">
        <v>63.0</v>
      </c>
      <c r="AI61" s="200" t="s">
        <v>100</v>
      </c>
      <c r="AJ61" s="200" t="s">
        <v>628</v>
      </c>
      <c r="AK61" s="200"/>
      <c r="AL61" s="204"/>
      <c r="AM61" s="204"/>
    </row>
    <row r="62">
      <c r="A62" s="199" t="s">
        <v>167</v>
      </c>
      <c r="B62" s="200" t="s">
        <v>410</v>
      </c>
      <c r="C62" s="199">
        <v>2.5295220219E10</v>
      </c>
      <c r="D62" s="201">
        <v>45946.0</v>
      </c>
      <c r="E62" s="202" t="s">
        <v>100</v>
      </c>
      <c r="F62" s="202" t="s">
        <v>100</v>
      </c>
      <c r="G62" s="203" t="s">
        <v>100</v>
      </c>
      <c r="H62" s="203" t="s">
        <v>100</v>
      </c>
      <c r="I62" s="199">
        <v>13292.0</v>
      </c>
      <c r="J62" s="199">
        <v>4299.0</v>
      </c>
      <c r="K62" s="199">
        <v>1616.0</v>
      </c>
      <c r="L62" s="199">
        <v>9.0</v>
      </c>
      <c r="M62" s="199">
        <v>289.2</v>
      </c>
      <c r="N62" s="37"/>
      <c r="O62" s="37"/>
      <c r="P62" s="199">
        <v>0.01</v>
      </c>
      <c r="Q62" s="199">
        <v>0.0</v>
      </c>
      <c r="R62" s="199">
        <v>0.0</v>
      </c>
      <c r="S62" s="199">
        <v>0.0</v>
      </c>
      <c r="T62" s="199">
        <v>0.0</v>
      </c>
      <c r="U62" s="199">
        <v>43.0</v>
      </c>
      <c r="V62" s="199">
        <v>0.0</v>
      </c>
      <c r="W62" s="199">
        <v>0.0</v>
      </c>
      <c r="X62" s="199">
        <v>0.0</v>
      </c>
      <c r="Y62" s="199">
        <v>0.0</v>
      </c>
      <c r="Z62" s="199">
        <v>0.0</v>
      </c>
      <c r="AA62" s="199">
        <v>0.0</v>
      </c>
      <c r="AB62" s="199">
        <v>20.0</v>
      </c>
      <c r="AC62" s="199">
        <v>16.0</v>
      </c>
      <c r="AD62" s="199">
        <v>0.0</v>
      </c>
      <c r="AE62" s="199">
        <v>38.0</v>
      </c>
      <c r="AF62" s="199">
        <v>2.0</v>
      </c>
      <c r="AG62" s="199">
        <v>374.0</v>
      </c>
      <c r="AH62" s="199">
        <v>28.0</v>
      </c>
      <c r="AI62" s="200" t="s">
        <v>100</v>
      </c>
      <c r="AJ62" s="200" t="s">
        <v>629</v>
      </c>
      <c r="AK62" s="200"/>
      <c r="AL62" s="204"/>
      <c r="AM62" s="204"/>
    </row>
    <row r="63">
      <c r="A63" s="199" t="s">
        <v>167</v>
      </c>
      <c r="B63" s="200" t="s">
        <v>410</v>
      </c>
      <c r="C63" s="199">
        <v>2.6123350238E10</v>
      </c>
      <c r="D63" s="201">
        <v>46138.0</v>
      </c>
      <c r="E63" s="202" t="s">
        <v>102</v>
      </c>
      <c r="F63" s="202" t="s">
        <v>102</v>
      </c>
      <c r="G63" s="203" t="s">
        <v>100</v>
      </c>
      <c r="H63" s="203" t="s">
        <v>100</v>
      </c>
      <c r="I63" s="37"/>
      <c r="J63" s="37"/>
      <c r="K63" s="37"/>
      <c r="L63" s="199">
        <v>14.0</v>
      </c>
      <c r="M63" s="199">
        <v>310.8</v>
      </c>
      <c r="N63" s="37"/>
      <c r="O63" s="37"/>
      <c r="P63" s="199">
        <v>0.01</v>
      </c>
      <c r="Q63" s="199">
        <v>0.0</v>
      </c>
      <c r="R63" s="199">
        <v>1.0</v>
      </c>
      <c r="S63" s="199">
        <v>0.0</v>
      </c>
      <c r="T63" s="199">
        <v>0.0</v>
      </c>
      <c r="U63" s="199">
        <v>37.0</v>
      </c>
      <c r="V63" s="199">
        <v>0.0</v>
      </c>
      <c r="W63" s="199">
        <v>0.0</v>
      </c>
      <c r="X63" s="199">
        <v>0.0</v>
      </c>
      <c r="Y63" s="199">
        <v>0.0</v>
      </c>
      <c r="Z63" s="199">
        <v>0.0</v>
      </c>
      <c r="AA63" s="199">
        <v>0.0</v>
      </c>
      <c r="AB63" s="199">
        <v>22.0</v>
      </c>
      <c r="AC63" s="199">
        <v>12.0</v>
      </c>
      <c r="AD63" s="199">
        <v>0.0</v>
      </c>
      <c r="AE63" s="199">
        <v>65.0</v>
      </c>
      <c r="AF63" s="199">
        <v>0.0</v>
      </c>
      <c r="AG63" s="199">
        <v>488.0</v>
      </c>
      <c r="AH63" s="199">
        <v>18.0</v>
      </c>
      <c r="AI63" s="200" t="s">
        <v>630</v>
      </c>
      <c r="AJ63" s="200" t="s">
        <v>631</v>
      </c>
      <c r="AK63" s="200"/>
      <c r="AL63" s="204"/>
      <c r="AM63" s="204"/>
    </row>
    <row r="64">
      <c r="A64" s="199" t="s">
        <v>175</v>
      </c>
      <c r="B64" s="200" t="s">
        <v>423</v>
      </c>
      <c r="C64" s="199">
        <v>2.5180296254E10</v>
      </c>
      <c r="D64" s="201">
        <v>45826.0</v>
      </c>
      <c r="E64" s="202" t="s">
        <v>101</v>
      </c>
      <c r="F64" s="202" t="s">
        <v>101</v>
      </c>
      <c r="G64" s="203" t="s">
        <v>100</v>
      </c>
      <c r="H64" s="203" t="s">
        <v>102</v>
      </c>
      <c r="I64" s="37"/>
      <c r="J64" s="37"/>
      <c r="K64" s="37"/>
      <c r="L64" s="199">
        <v>20.0</v>
      </c>
      <c r="M64" s="199">
        <v>76.0</v>
      </c>
      <c r="N64" s="37"/>
      <c r="O64" s="37"/>
      <c r="P64" s="199">
        <v>0.1</v>
      </c>
      <c r="Q64" s="199">
        <v>0.0</v>
      </c>
      <c r="R64" s="199">
        <v>5.0</v>
      </c>
      <c r="S64" s="199">
        <v>2.0</v>
      </c>
      <c r="T64" s="199">
        <v>1.0</v>
      </c>
      <c r="U64" s="199">
        <v>30.0</v>
      </c>
      <c r="V64" s="199">
        <v>2.0</v>
      </c>
      <c r="W64" s="199">
        <v>0.0</v>
      </c>
      <c r="X64" s="199">
        <v>2.0</v>
      </c>
      <c r="Y64" s="199">
        <v>0.0</v>
      </c>
      <c r="Z64" s="199">
        <v>1.0</v>
      </c>
      <c r="AA64" s="199">
        <v>0.0</v>
      </c>
      <c r="AB64" s="199">
        <v>6.0</v>
      </c>
      <c r="AC64" s="199">
        <v>2.0</v>
      </c>
      <c r="AD64" s="199">
        <v>0.0</v>
      </c>
      <c r="AE64" s="199">
        <v>11.0</v>
      </c>
      <c r="AF64" s="199">
        <v>1.0</v>
      </c>
      <c r="AG64" s="199">
        <v>532.0</v>
      </c>
      <c r="AH64" s="199">
        <v>590.0</v>
      </c>
      <c r="AI64" s="200" t="s">
        <v>632</v>
      </c>
      <c r="AJ64" s="200" t="s">
        <v>633</v>
      </c>
      <c r="AK64" s="200"/>
      <c r="AL64" s="204"/>
      <c r="AM64" s="204"/>
    </row>
    <row r="65">
      <c r="A65" s="199" t="s">
        <v>175</v>
      </c>
      <c r="B65" s="200" t="s">
        <v>423</v>
      </c>
      <c r="C65" s="199">
        <v>2.5258159253E10</v>
      </c>
      <c r="D65" s="201">
        <v>45909.0</v>
      </c>
      <c r="E65" s="202" t="s">
        <v>102</v>
      </c>
      <c r="F65" s="202" t="s">
        <v>102</v>
      </c>
      <c r="G65" s="203" t="s">
        <v>102</v>
      </c>
      <c r="H65" s="203" t="s">
        <v>100</v>
      </c>
      <c r="I65" s="37"/>
      <c r="J65" s="37"/>
      <c r="K65" s="37"/>
      <c r="L65" s="199">
        <v>15.0</v>
      </c>
      <c r="M65" s="199">
        <v>75.1</v>
      </c>
      <c r="N65" s="37"/>
      <c r="O65" s="37"/>
      <c r="P65" s="199">
        <v>0.05</v>
      </c>
      <c r="Q65" s="199">
        <v>0.0</v>
      </c>
      <c r="R65" s="199">
        <v>12.0</v>
      </c>
      <c r="S65" s="199">
        <v>1.0</v>
      </c>
      <c r="T65" s="199">
        <v>3.0</v>
      </c>
      <c r="U65" s="199">
        <v>72.0</v>
      </c>
      <c r="V65" s="199">
        <v>0.0</v>
      </c>
      <c r="W65" s="199">
        <v>0.0</v>
      </c>
      <c r="X65" s="199">
        <v>2.0</v>
      </c>
      <c r="Y65" s="199">
        <v>0.0</v>
      </c>
      <c r="Z65" s="199">
        <v>2.0</v>
      </c>
      <c r="AA65" s="199">
        <v>0.0</v>
      </c>
      <c r="AB65" s="199">
        <v>0.0</v>
      </c>
      <c r="AC65" s="199">
        <v>30.0</v>
      </c>
      <c r="AD65" s="199">
        <v>0.0</v>
      </c>
      <c r="AE65" s="199">
        <v>29.0</v>
      </c>
      <c r="AF65" s="199">
        <v>3.0</v>
      </c>
      <c r="AG65" s="199">
        <v>326.0</v>
      </c>
      <c r="AH65" s="199">
        <v>49.0</v>
      </c>
      <c r="AI65" s="200" t="s">
        <v>634</v>
      </c>
      <c r="AJ65" s="200" t="s">
        <v>635</v>
      </c>
      <c r="AK65" s="200"/>
      <c r="AL65" s="204"/>
      <c r="AM65" s="204"/>
    </row>
    <row r="66">
      <c r="A66" s="199" t="s">
        <v>175</v>
      </c>
      <c r="B66" s="200" t="s">
        <v>423</v>
      </c>
      <c r="C66" s="199">
        <v>2.5294210233E10</v>
      </c>
      <c r="D66" s="201">
        <v>45946.0</v>
      </c>
      <c r="E66" s="202" t="s">
        <v>100</v>
      </c>
      <c r="F66" s="202" t="s">
        <v>100</v>
      </c>
      <c r="G66" s="203" t="s">
        <v>100</v>
      </c>
      <c r="H66" s="203" t="s">
        <v>100</v>
      </c>
      <c r="I66" s="37"/>
      <c r="J66" s="37"/>
      <c r="K66" s="37"/>
      <c r="L66" s="199">
        <v>13.0</v>
      </c>
      <c r="M66" s="199">
        <v>71.1</v>
      </c>
      <c r="N66" s="37"/>
      <c r="O66" s="37"/>
      <c r="P66" s="199">
        <v>0.01</v>
      </c>
      <c r="Q66" s="199">
        <v>0.0</v>
      </c>
      <c r="R66" s="199">
        <v>4.0</v>
      </c>
      <c r="S66" s="199">
        <v>0.0</v>
      </c>
      <c r="T66" s="199">
        <v>2.0</v>
      </c>
      <c r="U66" s="199">
        <v>34.0</v>
      </c>
      <c r="V66" s="199">
        <v>0.0</v>
      </c>
      <c r="W66" s="199">
        <v>0.0</v>
      </c>
      <c r="X66" s="199">
        <v>0.0</v>
      </c>
      <c r="Y66" s="199">
        <v>0.0</v>
      </c>
      <c r="Z66" s="199">
        <v>0.0</v>
      </c>
      <c r="AA66" s="199">
        <v>0.0</v>
      </c>
      <c r="AB66" s="199">
        <v>12.0</v>
      </c>
      <c r="AC66" s="199">
        <v>0.0</v>
      </c>
      <c r="AD66" s="199">
        <v>0.0</v>
      </c>
      <c r="AE66" s="199">
        <v>14.0</v>
      </c>
      <c r="AF66" s="199">
        <v>2.0</v>
      </c>
      <c r="AG66" s="199">
        <v>378.0</v>
      </c>
      <c r="AH66" s="199">
        <v>38.0</v>
      </c>
      <c r="AI66" s="200" t="s">
        <v>100</v>
      </c>
      <c r="AJ66" s="200" t="s">
        <v>636</v>
      </c>
      <c r="AK66" s="200"/>
      <c r="AL66" s="204"/>
      <c r="AM66" s="204"/>
    </row>
    <row r="67">
      <c r="A67" s="199" t="s">
        <v>175</v>
      </c>
      <c r="B67" s="200" t="s">
        <v>423</v>
      </c>
      <c r="C67" s="199">
        <v>2.6061630213E10</v>
      </c>
      <c r="D67" s="201">
        <v>46054.0</v>
      </c>
      <c r="E67" s="202" t="s">
        <v>102</v>
      </c>
      <c r="F67" s="202" t="s">
        <v>100</v>
      </c>
      <c r="G67" s="203" t="s">
        <v>100</v>
      </c>
      <c r="H67" s="203" t="s">
        <v>102</v>
      </c>
      <c r="I67" s="37"/>
      <c r="J67" s="37"/>
      <c r="K67" s="37"/>
      <c r="L67" s="199">
        <v>22.0</v>
      </c>
      <c r="M67" s="199">
        <v>75.5</v>
      </c>
      <c r="N67" s="37"/>
      <c r="O67" s="37"/>
      <c r="P67" s="199">
        <v>0.03</v>
      </c>
      <c r="Q67" s="199">
        <v>0.0</v>
      </c>
      <c r="R67" s="199">
        <v>0.0</v>
      </c>
      <c r="S67" s="199">
        <v>0.0</v>
      </c>
      <c r="T67" s="199">
        <v>0.0</v>
      </c>
      <c r="U67" s="199">
        <v>42.0</v>
      </c>
      <c r="V67" s="199">
        <v>0.0</v>
      </c>
      <c r="W67" s="199">
        <v>0.0</v>
      </c>
      <c r="X67" s="199">
        <v>0.0</v>
      </c>
      <c r="Y67" s="199">
        <v>0.0</v>
      </c>
      <c r="Z67" s="199">
        <v>0.0</v>
      </c>
      <c r="AA67" s="199">
        <v>0.0</v>
      </c>
      <c r="AB67" s="199">
        <v>4.0</v>
      </c>
      <c r="AC67" s="199">
        <v>9.0</v>
      </c>
      <c r="AD67" s="199">
        <v>0.0</v>
      </c>
      <c r="AE67" s="199">
        <v>20.0</v>
      </c>
      <c r="AF67" s="199">
        <v>2.0</v>
      </c>
      <c r="AG67" s="199">
        <v>539.0</v>
      </c>
      <c r="AH67" s="199">
        <v>71.0</v>
      </c>
      <c r="AI67" s="200" t="s">
        <v>611</v>
      </c>
      <c r="AJ67" s="200" t="s">
        <v>637</v>
      </c>
      <c r="AK67" s="200"/>
      <c r="AL67" s="204"/>
      <c r="AM67" s="204"/>
    </row>
    <row r="68">
      <c r="A68" s="199" t="s">
        <v>206</v>
      </c>
      <c r="B68" s="200" t="s">
        <v>437</v>
      </c>
      <c r="C68" s="199">
        <v>2.420624725E10</v>
      </c>
      <c r="D68" s="201">
        <v>45488.0</v>
      </c>
      <c r="E68" s="202" t="s">
        <v>102</v>
      </c>
      <c r="F68" s="202" t="s">
        <v>102</v>
      </c>
      <c r="G68" s="203" t="s">
        <v>100</v>
      </c>
      <c r="H68" s="203" t="s">
        <v>100</v>
      </c>
      <c r="I68" s="199">
        <v>23972.0</v>
      </c>
      <c r="J68" s="199">
        <v>14322.0</v>
      </c>
      <c r="K68" s="199">
        <v>4817.0</v>
      </c>
      <c r="L68" s="199">
        <v>11.0</v>
      </c>
      <c r="M68" s="199">
        <v>340.0</v>
      </c>
      <c r="N68" s="37"/>
      <c r="O68" s="37"/>
      <c r="P68" s="199">
        <v>0.003</v>
      </c>
      <c r="Q68" s="199">
        <v>0.0</v>
      </c>
      <c r="R68" s="199">
        <v>0.0</v>
      </c>
      <c r="S68" s="199">
        <v>0.0</v>
      </c>
      <c r="T68" s="199">
        <v>0.0</v>
      </c>
      <c r="U68" s="199">
        <v>0.0</v>
      </c>
      <c r="V68" s="199">
        <v>0.0</v>
      </c>
      <c r="W68" s="199">
        <v>0.0</v>
      </c>
      <c r="X68" s="199">
        <v>0.0</v>
      </c>
      <c r="Y68" s="199">
        <v>0.0</v>
      </c>
      <c r="Z68" s="199">
        <v>0.0</v>
      </c>
      <c r="AA68" s="199">
        <v>0.0</v>
      </c>
      <c r="AB68" s="199">
        <v>18.0</v>
      </c>
      <c r="AC68" s="199">
        <v>16.0</v>
      </c>
      <c r="AD68" s="199">
        <v>0.0</v>
      </c>
      <c r="AE68" s="199">
        <v>2.0</v>
      </c>
      <c r="AF68" s="199">
        <v>0.0</v>
      </c>
      <c r="AG68" s="199">
        <v>367.0</v>
      </c>
      <c r="AH68" s="199">
        <v>13.0</v>
      </c>
      <c r="AI68" s="200" t="s">
        <v>638</v>
      </c>
      <c r="AJ68" s="200" t="s">
        <v>639</v>
      </c>
      <c r="AK68" s="200"/>
      <c r="AL68" s="204"/>
      <c r="AM68" s="204"/>
    </row>
    <row r="69">
      <c r="A69" s="199" t="s">
        <v>206</v>
      </c>
      <c r="B69" s="200" t="s">
        <v>437</v>
      </c>
      <c r="C69" s="199">
        <v>2.5049182244E10</v>
      </c>
      <c r="D69" s="201">
        <v>45701.0</v>
      </c>
      <c r="E69" s="202" t="s">
        <v>102</v>
      </c>
      <c r="F69" s="202" t="s">
        <v>102</v>
      </c>
      <c r="G69" s="203" t="s">
        <v>100</v>
      </c>
      <c r="H69" s="203" t="s">
        <v>100</v>
      </c>
      <c r="I69" s="199">
        <v>23972.0</v>
      </c>
      <c r="J69" s="199">
        <v>14322.0</v>
      </c>
      <c r="K69" s="199">
        <v>4817.0</v>
      </c>
      <c r="L69" s="199">
        <v>7.0</v>
      </c>
      <c r="M69" s="199">
        <v>295.0</v>
      </c>
      <c r="N69" s="37"/>
      <c r="O69" s="37"/>
      <c r="P69" s="199">
        <v>0.05</v>
      </c>
      <c r="Q69" s="199">
        <v>0.0</v>
      </c>
      <c r="R69" s="199">
        <v>4.0</v>
      </c>
      <c r="S69" s="199">
        <v>1.0</v>
      </c>
      <c r="T69" s="199">
        <v>3.0</v>
      </c>
      <c r="U69" s="199">
        <v>5.0</v>
      </c>
      <c r="V69" s="199">
        <v>0.0</v>
      </c>
      <c r="W69" s="199">
        <v>0.0</v>
      </c>
      <c r="X69" s="199">
        <v>2.0</v>
      </c>
      <c r="Y69" s="199">
        <v>0.0</v>
      </c>
      <c r="Z69" s="199">
        <v>0.0</v>
      </c>
      <c r="AA69" s="199">
        <v>0.0</v>
      </c>
      <c r="AB69" s="199">
        <v>21.0</v>
      </c>
      <c r="AC69" s="199">
        <v>8.0</v>
      </c>
      <c r="AD69" s="199">
        <v>0.0</v>
      </c>
      <c r="AE69" s="199">
        <v>8.0</v>
      </c>
      <c r="AF69" s="199">
        <v>2.0</v>
      </c>
      <c r="AG69" s="199">
        <v>562.0</v>
      </c>
      <c r="AH69" s="199">
        <v>14.0</v>
      </c>
      <c r="AI69" s="200" t="s">
        <v>640</v>
      </c>
      <c r="AJ69" s="200" t="s">
        <v>641</v>
      </c>
      <c r="AK69" s="200"/>
      <c r="AL69" s="204"/>
      <c r="AM69" s="204"/>
    </row>
    <row r="70">
      <c r="A70" s="199" t="s">
        <v>206</v>
      </c>
      <c r="B70" s="200" t="s">
        <v>437</v>
      </c>
      <c r="C70" s="199">
        <v>2.5258159255E10</v>
      </c>
      <c r="D70" s="201">
        <v>45909.0</v>
      </c>
      <c r="E70" s="202" t="s">
        <v>102</v>
      </c>
      <c r="F70" s="202" t="s">
        <v>102</v>
      </c>
      <c r="G70" s="203" t="s">
        <v>100</v>
      </c>
      <c r="H70" s="203" t="s">
        <v>100</v>
      </c>
      <c r="I70" s="37"/>
      <c r="J70" s="37"/>
      <c r="K70" s="37"/>
      <c r="L70" s="199">
        <v>20.0</v>
      </c>
      <c r="M70" s="199">
        <v>330.7</v>
      </c>
      <c r="N70" s="37"/>
      <c r="O70" s="37"/>
      <c r="P70" s="199">
        <v>0.02</v>
      </c>
      <c r="Q70" s="199">
        <v>0.0</v>
      </c>
      <c r="R70" s="199">
        <v>13.0</v>
      </c>
      <c r="S70" s="199">
        <v>1.0</v>
      </c>
      <c r="T70" s="199">
        <v>3.0</v>
      </c>
      <c r="U70" s="199">
        <v>7.0</v>
      </c>
      <c r="V70" s="199">
        <v>0.0</v>
      </c>
      <c r="W70" s="199">
        <v>0.0</v>
      </c>
      <c r="X70" s="199">
        <v>0.0</v>
      </c>
      <c r="Y70" s="199">
        <v>0.0</v>
      </c>
      <c r="Z70" s="199">
        <v>0.0</v>
      </c>
      <c r="AA70" s="199">
        <v>0.0</v>
      </c>
      <c r="AB70" s="199">
        <v>9.0</v>
      </c>
      <c r="AC70" s="199">
        <v>21.0</v>
      </c>
      <c r="AD70" s="199">
        <v>0.0</v>
      </c>
      <c r="AE70" s="199">
        <v>35.0</v>
      </c>
      <c r="AF70" s="199">
        <v>2.0</v>
      </c>
      <c r="AG70" s="199">
        <v>324.0</v>
      </c>
      <c r="AH70" s="199">
        <v>14.0</v>
      </c>
      <c r="AI70" s="200" t="s">
        <v>642</v>
      </c>
      <c r="AJ70" s="200" t="s">
        <v>643</v>
      </c>
      <c r="AK70" s="200"/>
      <c r="AL70" s="204"/>
      <c r="AM70" s="204"/>
    </row>
    <row r="71">
      <c r="A71" s="199" t="s">
        <v>206</v>
      </c>
      <c r="B71" s="200" t="s">
        <v>437</v>
      </c>
      <c r="C71" s="199">
        <v>2.5294210244E10</v>
      </c>
      <c r="D71" s="201">
        <v>45946.0</v>
      </c>
      <c r="E71" s="202" t="s">
        <v>102</v>
      </c>
      <c r="F71" s="202" t="s">
        <v>102</v>
      </c>
      <c r="G71" s="203" t="s">
        <v>100</v>
      </c>
      <c r="H71" s="203" t="s">
        <v>100</v>
      </c>
      <c r="I71" s="37"/>
      <c r="J71" s="37"/>
      <c r="K71" s="37"/>
      <c r="L71" s="199">
        <v>10.0</v>
      </c>
      <c r="M71" s="199">
        <v>317.6</v>
      </c>
      <c r="N71" s="37"/>
      <c r="O71" s="37"/>
      <c r="P71" s="199">
        <v>0.003</v>
      </c>
      <c r="Q71" s="199">
        <v>0.0</v>
      </c>
      <c r="R71" s="199">
        <v>4.0</v>
      </c>
      <c r="S71" s="199">
        <v>0.0</v>
      </c>
      <c r="T71" s="199">
        <v>2.0</v>
      </c>
      <c r="U71" s="199">
        <v>1.0</v>
      </c>
      <c r="V71" s="199">
        <v>0.0</v>
      </c>
      <c r="W71" s="199">
        <v>0.0</v>
      </c>
      <c r="X71" s="199">
        <v>0.0</v>
      </c>
      <c r="Y71" s="199">
        <v>0.0</v>
      </c>
      <c r="Z71" s="199">
        <v>0.0</v>
      </c>
      <c r="AA71" s="199">
        <v>0.0</v>
      </c>
      <c r="AB71" s="199">
        <v>36.0</v>
      </c>
      <c r="AC71" s="199">
        <v>0.0</v>
      </c>
      <c r="AD71" s="199">
        <v>0.0</v>
      </c>
      <c r="AE71" s="199">
        <v>8.0</v>
      </c>
      <c r="AF71" s="199">
        <v>0.0</v>
      </c>
      <c r="AG71" s="199">
        <v>482.0</v>
      </c>
      <c r="AH71" s="199">
        <v>3.0</v>
      </c>
      <c r="AI71" s="200" t="s">
        <v>644</v>
      </c>
      <c r="AJ71" s="200" t="s">
        <v>645</v>
      </c>
      <c r="AK71" s="200"/>
      <c r="AL71" s="204"/>
      <c r="AM71" s="204"/>
    </row>
    <row r="72">
      <c r="A72" s="199" t="s">
        <v>206</v>
      </c>
      <c r="B72" s="200" t="s">
        <v>437</v>
      </c>
      <c r="C72" s="199">
        <v>2.6124405236E10</v>
      </c>
      <c r="D72" s="201">
        <v>46138.0</v>
      </c>
      <c r="E72" s="202" t="s">
        <v>102</v>
      </c>
      <c r="F72" s="202" t="s">
        <v>102</v>
      </c>
      <c r="G72" s="203" t="s">
        <v>100</v>
      </c>
      <c r="H72" s="203" t="s">
        <v>100</v>
      </c>
      <c r="I72" s="37"/>
      <c r="J72" s="37"/>
      <c r="K72" s="37"/>
      <c r="L72" s="199">
        <v>22.0</v>
      </c>
      <c r="M72" s="199">
        <v>333.6</v>
      </c>
      <c r="N72" s="37"/>
      <c r="O72" s="37"/>
      <c r="P72" s="199">
        <v>0.04</v>
      </c>
      <c r="Q72" s="199">
        <v>0.0</v>
      </c>
      <c r="R72" s="199">
        <v>0.0</v>
      </c>
      <c r="S72" s="199">
        <v>0.0</v>
      </c>
      <c r="T72" s="199">
        <v>0.0</v>
      </c>
      <c r="U72" s="199">
        <v>1.0</v>
      </c>
      <c r="V72" s="199">
        <v>0.0</v>
      </c>
      <c r="W72" s="199">
        <v>0.0</v>
      </c>
      <c r="X72" s="199">
        <v>0.0</v>
      </c>
      <c r="Y72" s="199">
        <v>0.0</v>
      </c>
      <c r="Z72" s="199">
        <v>0.0</v>
      </c>
      <c r="AA72" s="199">
        <v>0.0</v>
      </c>
      <c r="AB72" s="199">
        <v>15.0</v>
      </c>
      <c r="AC72" s="199">
        <v>12.0</v>
      </c>
      <c r="AD72" s="199">
        <v>0.0</v>
      </c>
      <c r="AE72" s="199">
        <v>0.0</v>
      </c>
      <c r="AF72" s="199">
        <v>15.0</v>
      </c>
      <c r="AG72" s="199">
        <v>433.0</v>
      </c>
      <c r="AH72" s="199">
        <v>9.0</v>
      </c>
      <c r="AI72" s="200" t="s">
        <v>646</v>
      </c>
      <c r="AJ72" s="200" t="s">
        <v>647</v>
      </c>
      <c r="AK72" s="200"/>
      <c r="AL72" s="204"/>
      <c r="AM72" s="204"/>
    </row>
    <row r="73">
      <c r="A73" s="199" t="s">
        <v>213</v>
      </c>
      <c r="B73" s="200" t="s">
        <v>443</v>
      </c>
      <c r="C73" s="199">
        <v>2.5294210215E10</v>
      </c>
      <c r="D73" s="201">
        <v>45946.0</v>
      </c>
      <c r="E73" s="202" t="s">
        <v>102</v>
      </c>
      <c r="F73" s="202" t="s">
        <v>102</v>
      </c>
      <c r="G73" s="203" t="s">
        <v>100</v>
      </c>
      <c r="H73" s="203" t="s">
        <v>100</v>
      </c>
      <c r="I73" s="199">
        <v>9712.0</v>
      </c>
      <c r="J73" s="199">
        <v>4602.0</v>
      </c>
      <c r="K73" s="199">
        <v>898.0</v>
      </c>
      <c r="L73" s="199">
        <v>8.0</v>
      </c>
      <c r="M73" s="199">
        <v>46.8</v>
      </c>
      <c r="N73" s="199"/>
      <c r="O73" s="199">
        <v>1.0</v>
      </c>
      <c r="P73" s="199">
        <v>0.003</v>
      </c>
      <c r="Q73" s="199">
        <v>0.0</v>
      </c>
      <c r="R73" s="199">
        <v>4.0</v>
      </c>
      <c r="S73" s="199">
        <v>1.0</v>
      </c>
      <c r="T73" s="199">
        <v>7.0</v>
      </c>
      <c r="U73" s="199">
        <v>19.0</v>
      </c>
      <c r="V73" s="199">
        <v>0.0</v>
      </c>
      <c r="W73" s="199">
        <v>0.0</v>
      </c>
      <c r="X73" s="199">
        <v>0.0</v>
      </c>
      <c r="Y73" s="199">
        <v>0.0</v>
      </c>
      <c r="Z73" s="199">
        <v>0.0</v>
      </c>
      <c r="AA73" s="199">
        <v>0.0</v>
      </c>
      <c r="AB73" s="199">
        <v>4.0</v>
      </c>
      <c r="AC73" s="199">
        <v>0.0</v>
      </c>
      <c r="AD73" s="199">
        <v>0.0</v>
      </c>
      <c r="AE73" s="199">
        <v>71.0</v>
      </c>
      <c r="AF73" s="199">
        <v>1.0</v>
      </c>
      <c r="AG73" s="199">
        <v>410.0</v>
      </c>
      <c r="AH73" s="199">
        <v>406.0</v>
      </c>
      <c r="AI73" s="200" t="s">
        <v>648</v>
      </c>
      <c r="AJ73" s="200" t="s">
        <v>649</v>
      </c>
      <c r="AK73" s="200"/>
      <c r="AL73" s="204"/>
      <c r="AM73" s="204"/>
    </row>
    <row r="74">
      <c r="A74" s="199" t="s">
        <v>213</v>
      </c>
      <c r="B74" s="200" t="s">
        <v>443</v>
      </c>
      <c r="C74" s="199">
        <v>2.5330261222E10</v>
      </c>
      <c r="D74" s="201">
        <v>45977.0</v>
      </c>
      <c r="E74" s="202" t="s">
        <v>102</v>
      </c>
      <c r="F74" s="202" t="s">
        <v>102</v>
      </c>
      <c r="G74" s="203" t="s">
        <v>100</v>
      </c>
      <c r="H74" s="203" t="s">
        <v>100</v>
      </c>
      <c r="I74" s="37"/>
      <c r="J74" s="37"/>
      <c r="K74" s="37"/>
      <c r="L74" s="199">
        <v>16.0</v>
      </c>
      <c r="M74" s="199">
        <v>44.6</v>
      </c>
      <c r="N74" s="199"/>
      <c r="O74" s="199">
        <v>1.0</v>
      </c>
      <c r="P74" s="199">
        <v>0.01</v>
      </c>
      <c r="Q74" s="199">
        <v>0.0</v>
      </c>
      <c r="R74" s="199">
        <v>0.0</v>
      </c>
      <c r="S74" s="199">
        <v>0.0</v>
      </c>
      <c r="T74" s="199">
        <v>3.0</v>
      </c>
      <c r="U74" s="199">
        <v>21.0</v>
      </c>
      <c r="V74" s="199">
        <v>0.0</v>
      </c>
      <c r="W74" s="199">
        <v>0.0</v>
      </c>
      <c r="X74" s="199">
        <v>0.0</v>
      </c>
      <c r="Y74" s="199">
        <v>0.0</v>
      </c>
      <c r="Z74" s="199">
        <v>0.0</v>
      </c>
      <c r="AA74" s="199">
        <v>0.0</v>
      </c>
      <c r="AB74" s="199">
        <v>7.0</v>
      </c>
      <c r="AC74" s="199">
        <v>3.0</v>
      </c>
      <c r="AD74" s="199">
        <v>0.0</v>
      </c>
      <c r="AE74" s="199">
        <v>102.0</v>
      </c>
      <c r="AF74" s="199">
        <v>2.0</v>
      </c>
      <c r="AG74" s="199">
        <v>450.0</v>
      </c>
      <c r="AH74" s="199">
        <v>497.0</v>
      </c>
      <c r="AI74" s="200" t="s">
        <v>650</v>
      </c>
      <c r="AJ74" s="200" t="s">
        <v>651</v>
      </c>
      <c r="AK74" s="200"/>
      <c r="AL74" s="204"/>
      <c r="AM74" s="204"/>
    </row>
    <row r="75">
      <c r="A75" s="199" t="s">
        <v>213</v>
      </c>
      <c r="B75" s="200" t="s">
        <v>443</v>
      </c>
      <c r="C75" s="199">
        <v>2.6060130243E10</v>
      </c>
      <c r="D75" s="201">
        <v>46054.0</v>
      </c>
      <c r="E75" s="202" t="s">
        <v>102</v>
      </c>
      <c r="F75" s="202" t="s">
        <v>102</v>
      </c>
      <c r="G75" s="203" t="s">
        <v>100</v>
      </c>
      <c r="H75" s="203" t="s">
        <v>100</v>
      </c>
      <c r="I75" s="37"/>
      <c r="J75" s="37"/>
      <c r="K75" s="37"/>
      <c r="L75" s="199">
        <v>17.0</v>
      </c>
      <c r="M75" s="199">
        <v>47.1</v>
      </c>
      <c r="N75" s="199"/>
      <c r="O75" s="199">
        <v>0.0</v>
      </c>
      <c r="P75" s="199">
        <v>0.02</v>
      </c>
      <c r="Q75" s="199">
        <v>0.0</v>
      </c>
      <c r="R75" s="199">
        <v>0.0</v>
      </c>
      <c r="S75" s="199">
        <v>0.0</v>
      </c>
      <c r="T75" s="199">
        <v>6.0</v>
      </c>
      <c r="U75" s="199">
        <v>18.0</v>
      </c>
      <c r="V75" s="199">
        <v>0.0</v>
      </c>
      <c r="W75" s="199">
        <v>0.0</v>
      </c>
      <c r="X75" s="199">
        <v>0.0</v>
      </c>
      <c r="Y75" s="199">
        <v>0.0</v>
      </c>
      <c r="Z75" s="199">
        <v>0.0</v>
      </c>
      <c r="AA75" s="199">
        <v>0.0</v>
      </c>
      <c r="AB75" s="199">
        <v>0.0</v>
      </c>
      <c r="AC75" s="199">
        <v>0.0</v>
      </c>
      <c r="AD75" s="199">
        <v>0.0</v>
      </c>
      <c r="AE75" s="199">
        <v>130.0</v>
      </c>
      <c r="AF75" s="199">
        <v>2.0</v>
      </c>
      <c r="AG75" s="199">
        <v>415.0</v>
      </c>
      <c r="AH75" s="199">
        <v>652.0</v>
      </c>
      <c r="AI75" s="200" t="s">
        <v>650</v>
      </c>
      <c r="AJ75" s="200" t="s">
        <v>652</v>
      </c>
      <c r="AK75" s="200"/>
      <c r="AL75" s="204"/>
      <c r="AM75" s="204"/>
    </row>
    <row r="76">
      <c r="A76" s="199" t="s">
        <v>148</v>
      </c>
      <c r="B76" s="200" t="s">
        <v>394</v>
      </c>
      <c r="C76" s="199">
        <v>2.5295220208E10</v>
      </c>
      <c r="D76" s="201">
        <v>45946.0</v>
      </c>
      <c r="E76" s="202" t="s">
        <v>102</v>
      </c>
      <c r="F76" s="202" t="s">
        <v>102</v>
      </c>
      <c r="G76" s="203" t="s">
        <v>100</v>
      </c>
      <c r="H76" s="203" t="s">
        <v>100</v>
      </c>
      <c r="I76" s="199">
        <v>9912.0</v>
      </c>
      <c r="J76" s="199">
        <v>4340.0</v>
      </c>
      <c r="K76" s="199">
        <v>1090.0</v>
      </c>
      <c r="L76" s="199">
        <v>10.0</v>
      </c>
      <c r="M76" s="199">
        <v>45.7</v>
      </c>
      <c r="N76" s="199"/>
      <c r="O76" s="199">
        <v>1.0</v>
      </c>
      <c r="P76" s="199">
        <v>0.01</v>
      </c>
      <c r="Q76" s="199">
        <v>0.0</v>
      </c>
      <c r="R76" s="199">
        <v>0.0</v>
      </c>
      <c r="S76" s="199">
        <v>0.0</v>
      </c>
      <c r="T76" s="199">
        <v>3.0</v>
      </c>
      <c r="U76" s="199">
        <v>20.0</v>
      </c>
      <c r="V76" s="199">
        <v>0.0</v>
      </c>
      <c r="W76" s="199">
        <v>0.0</v>
      </c>
      <c r="X76" s="199">
        <v>0.0</v>
      </c>
      <c r="Y76" s="199">
        <v>0.0</v>
      </c>
      <c r="Z76" s="199">
        <v>0.0</v>
      </c>
      <c r="AA76" s="199">
        <v>0.0</v>
      </c>
      <c r="AB76" s="199">
        <v>0.0</v>
      </c>
      <c r="AC76" s="199">
        <v>5.0</v>
      </c>
      <c r="AD76" s="199">
        <v>0.0</v>
      </c>
      <c r="AE76" s="199">
        <v>79.0</v>
      </c>
      <c r="AF76" s="199">
        <v>2.0</v>
      </c>
      <c r="AG76" s="199">
        <v>422.0</v>
      </c>
      <c r="AH76" s="199">
        <v>630.0</v>
      </c>
      <c r="AI76" s="200" t="s">
        <v>653</v>
      </c>
      <c r="AJ76" s="200" t="s">
        <v>654</v>
      </c>
      <c r="AK76" s="200"/>
      <c r="AL76" s="204"/>
      <c r="AM76" s="204"/>
    </row>
    <row r="77">
      <c r="A77" s="199" t="s">
        <v>148</v>
      </c>
      <c r="B77" s="200" t="s">
        <v>394</v>
      </c>
      <c r="C77" s="199">
        <v>2.5330261212E10</v>
      </c>
      <c r="D77" s="201">
        <v>45977.0</v>
      </c>
      <c r="E77" s="202" t="s">
        <v>100</v>
      </c>
      <c r="F77" s="202" t="s">
        <v>100</v>
      </c>
      <c r="G77" s="203" t="s">
        <v>100</v>
      </c>
      <c r="H77" s="203" t="s">
        <v>100</v>
      </c>
      <c r="I77" s="199">
        <v>9912.0</v>
      </c>
      <c r="J77" s="199">
        <v>4340.0</v>
      </c>
      <c r="K77" s="199">
        <v>1090.0</v>
      </c>
      <c r="L77" s="199">
        <v>6.0</v>
      </c>
      <c r="M77" s="199">
        <v>43.8</v>
      </c>
      <c r="N77" s="199"/>
      <c r="O77" s="199">
        <v>0.0</v>
      </c>
      <c r="P77" s="199">
        <v>0.01</v>
      </c>
      <c r="Q77" s="199">
        <v>0.0</v>
      </c>
      <c r="R77" s="199">
        <v>0.0</v>
      </c>
      <c r="S77" s="199">
        <v>0.0</v>
      </c>
      <c r="T77" s="199">
        <v>3.0</v>
      </c>
      <c r="U77" s="199">
        <v>19.0</v>
      </c>
      <c r="V77" s="199">
        <v>2.0</v>
      </c>
      <c r="W77" s="199">
        <v>0.0</v>
      </c>
      <c r="X77" s="199">
        <v>0.0</v>
      </c>
      <c r="Y77" s="199">
        <v>0.0</v>
      </c>
      <c r="Z77" s="199">
        <v>0.0</v>
      </c>
      <c r="AA77" s="199">
        <v>0.0</v>
      </c>
      <c r="AB77" s="199">
        <v>2.0</v>
      </c>
      <c r="AC77" s="199">
        <v>6.0</v>
      </c>
      <c r="AD77" s="199">
        <v>0.0</v>
      </c>
      <c r="AE77" s="199">
        <v>73.0</v>
      </c>
      <c r="AF77" s="199">
        <v>5.0</v>
      </c>
      <c r="AG77" s="199">
        <v>386.0</v>
      </c>
      <c r="AH77" s="199">
        <v>446.0</v>
      </c>
      <c r="AI77" s="200" t="s">
        <v>655</v>
      </c>
      <c r="AJ77" s="200" t="s">
        <v>656</v>
      </c>
      <c r="AK77" s="200"/>
      <c r="AL77" s="204"/>
      <c r="AM77" s="204"/>
    </row>
    <row r="78">
      <c r="A78" s="199" t="s">
        <v>148</v>
      </c>
      <c r="B78" s="200" t="s">
        <v>394</v>
      </c>
      <c r="C78" s="199">
        <v>2.6061230215E10</v>
      </c>
      <c r="D78" s="201">
        <v>46054.0</v>
      </c>
      <c r="E78" s="202" t="s">
        <v>102</v>
      </c>
      <c r="F78" s="202" t="s">
        <v>102</v>
      </c>
      <c r="G78" s="203" t="s">
        <v>100</v>
      </c>
      <c r="H78" s="203" t="s">
        <v>100</v>
      </c>
      <c r="I78" s="37"/>
      <c r="J78" s="37"/>
      <c r="K78" s="37"/>
      <c r="L78" s="199">
        <v>10.0</v>
      </c>
      <c r="M78" s="199">
        <v>45.9</v>
      </c>
      <c r="N78" s="199"/>
      <c r="O78" s="199">
        <v>0.0</v>
      </c>
      <c r="P78" s="199">
        <v>0.01</v>
      </c>
      <c r="Q78" s="199">
        <v>0.0</v>
      </c>
      <c r="R78" s="199">
        <v>0.0</v>
      </c>
      <c r="S78" s="199">
        <v>0.0</v>
      </c>
      <c r="T78" s="199">
        <v>2.0</v>
      </c>
      <c r="U78" s="199">
        <v>15.0</v>
      </c>
      <c r="V78" s="199">
        <v>0.0</v>
      </c>
      <c r="W78" s="199">
        <v>0.0</v>
      </c>
      <c r="X78" s="199">
        <v>0.0</v>
      </c>
      <c r="Y78" s="199">
        <v>0.0</v>
      </c>
      <c r="Z78" s="199">
        <v>0.0</v>
      </c>
      <c r="AA78" s="199">
        <v>0.0</v>
      </c>
      <c r="AB78" s="199">
        <v>2.0</v>
      </c>
      <c r="AC78" s="199">
        <v>0.0</v>
      </c>
      <c r="AD78" s="199">
        <v>0.0</v>
      </c>
      <c r="AE78" s="199">
        <v>74.0</v>
      </c>
      <c r="AF78" s="199">
        <v>0.0</v>
      </c>
      <c r="AG78" s="199">
        <v>387.0</v>
      </c>
      <c r="AH78" s="199">
        <v>564.0</v>
      </c>
      <c r="AI78" s="200" t="s">
        <v>653</v>
      </c>
      <c r="AJ78" s="200" t="s">
        <v>654</v>
      </c>
      <c r="AK78" s="200"/>
      <c r="AL78" s="204"/>
      <c r="AM78" s="204"/>
    </row>
    <row r="79">
      <c r="A79" s="199" t="s">
        <v>152</v>
      </c>
      <c r="B79" s="200" t="s">
        <v>381</v>
      </c>
      <c r="C79" s="199">
        <v>2.5295220232E10</v>
      </c>
      <c r="D79" s="201">
        <v>45946.0</v>
      </c>
      <c r="E79" s="202" t="s">
        <v>102</v>
      </c>
      <c r="F79" s="202" t="s">
        <v>102</v>
      </c>
      <c r="G79" s="203" t="s">
        <v>100</v>
      </c>
      <c r="H79" s="203" t="s">
        <v>102</v>
      </c>
      <c r="I79" s="37"/>
      <c r="J79" s="37"/>
      <c r="K79" s="37"/>
      <c r="L79" s="199">
        <v>18.0</v>
      </c>
      <c r="M79" s="199">
        <v>84.9</v>
      </c>
      <c r="N79" s="37"/>
      <c r="O79" s="37"/>
      <c r="P79" s="199">
        <v>0.06</v>
      </c>
      <c r="Q79" s="199">
        <v>0.0</v>
      </c>
      <c r="R79" s="199">
        <v>0.0</v>
      </c>
      <c r="S79" s="199">
        <v>0.0</v>
      </c>
      <c r="T79" s="199">
        <v>0.0</v>
      </c>
      <c r="U79" s="199">
        <v>0.0</v>
      </c>
      <c r="V79" s="199">
        <v>0.0</v>
      </c>
      <c r="W79" s="199">
        <v>0.0</v>
      </c>
      <c r="X79" s="199">
        <v>0.0</v>
      </c>
      <c r="Y79" s="199">
        <v>0.0</v>
      </c>
      <c r="Z79" s="199">
        <v>2.0</v>
      </c>
      <c r="AA79" s="199">
        <v>0.0</v>
      </c>
      <c r="AB79" s="199">
        <v>1.0</v>
      </c>
      <c r="AC79" s="199">
        <v>0.0</v>
      </c>
      <c r="AD79" s="199">
        <v>1.0</v>
      </c>
      <c r="AE79" s="199">
        <v>0.0</v>
      </c>
      <c r="AF79" s="199">
        <v>0.0</v>
      </c>
      <c r="AG79" s="199">
        <v>443.0</v>
      </c>
      <c r="AH79" s="199">
        <v>0.0</v>
      </c>
      <c r="AI79" s="200" t="s">
        <v>657</v>
      </c>
      <c r="AJ79" s="200" t="s">
        <v>658</v>
      </c>
      <c r="AK79" s="200"/>
      <c r="AL79" s="204"/>
      <c r="AM79" s="204"/>
    </row>
    <row r="80">
      <c r="A80" s="199" t="s">
        <v>152</v>
      </c>
      <c r="B80" s="200" t="s">
        <v>381</v>
      </c>
      <c r="C80" s="199">
        <v>2.5330281209E10</v>
      </c>
      <c r="D80" s="201">
        <v>45977.0</v>
      </c>
      <c r="E80" s="202" t="s">
        <v>102</v>
      </c>
      <c r="F80" s="202" t="s">
        <v>102</v>
      </c>
      <c r="G80" s="203" t="s">
        <v>100</v>
      </c>
      <c r="H80" s="203" t="s">
        <v>102</v>
      </c>
      <c r="I80" s="37"/>
      <c r="J80" s="37"/>
      <c r="K80" s="37"/>
      <c r="L80" s="199">
        <v>15.0</v>
      </c>
      <c r="M80" s="199">
        <v>68.6</v>
      </c>
      <c r="N80" s="37"/>
      <c r="O80" s="37"/>
      <c r="P80" s="199">
        <v>0.05</v>
      </c>
      <c r="Q80" s="199">
        <v>0.0</v>
      </c>
      <c r="R80" s="199">
        <v>0.0</v>
      </c>
      <c r="S80" s="199">
        <v>0.0</v>
      </c>
      <c r="T80" s="199">
        <v>7.0</v>
      </c>
      <c r="U80" s="199">
        <v>7.0</v>
      </c>
      <c r="V80" s="199">
        <v>0.0</v>
      </c>
      <c r="W80" s="199">
        <v>0.0</v>
      </c>
      <c r="X80" s="199">
        <v>0.0</v>
      </c>
      <c r="Y80" s="199">
        <v>0.0</v>
      </c>
      <c r="Z80" s="199">
        <v>2.0</v>
      </c>
      <c r="AA80" s="199">
        <v>0.0</v>
      </c>
      <c r="AB80" s="199">
        <v>45.0</v>
      </c>
      <c r="AC80" s="199">
        <v>41.0</v>
      </c>
      <c r="AD80" s="199">
        <v>0.0</v>
      </c>
      <c r="AE80" s="199">
        <v>25.0</v>
      </c>
      <c r="AF80" s="199">
        <v>6.0</v>
      </c>
      <c r="AG80" s="199">
        <v>456.0</v>
      </c>
      <c r="AH80" s="199">
        <v>16.0</v>
      </c>
      <c r="AI80" s="200" t="s">
        <v>659</v>
      </c>
      <c r="AJ80" s="200" t="s">
        <v>660</v>
      </c>
      <c r="AK80" s="200"/>
      <c r="AL80" s="204"/>
      <c r="AM80" s="204"/>
    </row>
    <row r="81">
      <c r="A81" s="199" t="s">
        <v>152</v>
      </c>
      <c r="B81" s="200" t="s">
        <v>381</v>
      </c>
      <c r="C81" s="199">
        <v>2.6004401263E10</v>
      </c>
      <c r="D81" s="201">
        <v>46007.0</v>
      </c>
      <c r="E81" s="202" t="s">
        <v>101</v>
      </c>
      <c r="F81" s="202" t="s">
        <v>100</v>
      </c>
      <c r="G81" s="203" t="s">
        <v>100</v>
      </c>
      <c r="H81" s="203" t="s">
        <v>101</v>
      </c>
      <c r="I81" s="37"/>
      <c r="J81" s="37"/>
      <c r="K81" s="37"/>
      <c r="L81" s="199">
        <v>23.0</v>
      </c>
      <c r="M81" s="199">
        <v>57.5</v>
      </c>
      <c r="N81" s="37"/>
      <c r="O81" s="37"/>
      <c r="P81" s="199">
        <v>0.04</v>
      </c>
      <c r="Q81" s="199">
        <v>0.0</v>
      </c>
      <c r="R81" s="199">
        <v>0.0</v>
      </c>
      <c r="S81" s="199">
        <v>0.0</v>
      </c>
      <c r="T81" s="199">
        <v>0.0</v>
      </c>
      <c r="U81" s="199">
        <v>6.0</v>
      </c>
      <c r="V81" s="199">
        <v>0.0</v>
      </c>
      <c r="W81" s="199">
        <v>0.0</v>
      </c>
      <c r="X81" s="199">
        <v>0.0</v>
      </c>
      <c r="Y81" s="199">
        <v>0.0</v>
      </c>
      <c r="Z81" s="199">
        <v>0.0</v>
      </c>
      <c r="AA81" s="199">
        <v>0.0</v>
      </c>
      <c r="AB81" s="199">
        <v>11.0</v>
      </c>
      <c r="AC81" s="199">
        <v>22.0</v>
      </c>
      <c r="AD81" s="199">
        <v>0.0</v>
      </c>
      <c r="AE81" s="199">
        <v>23.0</v>
      </c>
      <c r="AF81" s="199">
        <v>2.0</v>
      </c>
      <c r="AG81" s="199">
        <v>306.0</v>
      </c>
      <c r="AH81" s="199">
        <v>0.0</v>
      </c>
      <c r="AI81" s="200" t="s">
        <v>661</v>
      </c>
      <c r="AJ81" s="200" t="s">
        <v>662</v>
      </c>
      <c r="AK81" s="200"/>
      <c r="AL81" s="204"/>
      <c r="AM81" s="204"/>
    </row>
    <row r="82">
      <c r="A82" s="199" t="s">
        <v>153</v>
      </c>
      <c r="B82" s="200" t="s">
        <v>663</v>
      </c>
      <c r="C82" s="199">
        <v>2.1285485216E10</v>
      </c>
      <c r="D82" s="201">
        <v>44476.0</v>
      </c>
      <c r="E82" s="202" t="s">
        <v>102</v>
      </c>
      <c r="F82" s="202" t="s">
        <v>100</v>
      </c>
      <c r="G82" s="203" t="s">
        <v>102</v>
      </c>
      <c r="H82" s="203" t="s">
        <v>100</v>
      </c>
      <c r="I82" s="199">
        <v>33058.0</v>
      </c>
      <c r="J82" s="199">
        <v>8169.0</v>
      </c>
      <c r="K82" s="199">
        <v>397.0</v>
      </c>
      <c r="L82" s="199">
        <v>18.0</v>
      </c>
      <c r="M82" s="199">
        <v>328.4</v>
      </c>
      <c r="N82" s="199"/>
      <c r="O82" s="199">
        <v>2.0</v>
      </c>
      <c r="P82" s="199">
        <v>0.03</v>
      </c>
      <c r="Q82" s="199">
        <v>0.0</v>
      </c>
      <c r="R82" s="199">
        <v>0.0</v>
      </c>
      <c r="S82" s="199">
        <v>2.0</v>
      </c>
      <c r="T82" s="199">
        <v>4.0</v>
      </c>
      <c r="U82" s="199">
        <v>42.0</v>
      </c>
      <c r="V82" s="199">
        <v>0.0</v>
      </c>
      <c r="W82" s="199">
        <v>0.0</v>
      </c>
      <c r="X82" s="199">
        <v>0.0</v>
      </c>
      <c r="Y82" s="199">
        <v>0.0</v>
      </c>
      <c r="Z82" s="199">
        <v>0.0</v>
      </c>
      <c r="AA82" s="199">
        <v>0.0</v>
      </c>
      <c r="AB82" s="199">
        <v>0.0</v>
      </c>
      <c r="AC82" s="199">
        <v>14.0</v>
      </c>
      <c r="AD82" s="199">
        <v>0.0</v>
      </c>
      <c r="AE82" s="199">
        <v>3.0</v>
      </c>
      <c r="AF82" s="199">
        <v>0.0</v>
      </c>
      <c r="AG82" s="199">
        <v>309.0</v>
      </c>
      <c r="AH82" s="199">
        <v>22.0</v>
      </c>
      <c r="AI82" s="200" t="s">
        <v>664</v>
      </c>
      <c r="AJ82" s="200" t="s">
        <v>665</v>
      </c>
      <c r="AK82" s="200"/>
      <c r="AL82" s="204"/>
      <c r="AM82" s="204"/>
    </row>
    <row r="83">
      <c r="A83" s="199" t="s">
        <v>153</v>
      </c>
      <c r="B83" s="200" t="s">
        <v>663</v>
      </c>
      <c r="C83" s="199">
        <v>2.2022220228E10</v>
      </c>
      <c r="D83" s="201">
        <v>44578.0</v>
      </c>
      <c r="E83" s="202" t="s">
        <v>102</v>
      </c>
      <c r="F83" s="202" t="s">
        <v>100</v>
      </c>
      <c r="G83" s="203" t="s">
        <v>100</v>
      </c>
      <c r="H83" s="203" t="s">
        <v>102</v>
      </c>
      <c r="I83" s="199">
        <v>63852.0</v>
      </c>
      <c r="J83" s="199">
        <v>12552.0</v>
      </c>
      <c r="K83" s="199">
        <v>885.0</v>
      </c>
      <c r="L83" s="199">
        <v>18.0</v>
      </c>
      <c r="M83" s="199">
        <v>332.2</v>
      </c>
      <c r="N83" s="199"/>
      <c r="O83" s="199">
        <v>6.0</v>
      </c>
      <c r="P83" s="199">
        <v>0.04</v>
      </c>
      <c r="Q83" s="199">
        <v>0.0</v>
      </c>
      <c r="R83" s="199">
        <v>6.0</v>
      </c>
      <c r="S83" s="199">
        <v>3.0</v>
      </c>
      <c r="T83" s="199">
        <v>8.0</v>
      </c>
      <c r="U83" s="199">
        <v>26.0</v>
      </c>
      <c r="V83" s="199">
        <v>0.0</v>
      </c>
      <c r="W83" s="199">
        <v>0.0</v>
      </c>
      <c r="X83" s="199">
        <v>5.0</v>
      </c>
      <c r="Y83" s="199">
        <v>0.0</v>
      </c>
      <c r="Z83" s="199">
        <v>2.0</v>
      </c>
      <c r="AA83" s="199">
        <v>0.0</v>
      </c>
      <c r="AB83" s="199">
        <v>14.0</v>
      </c>
      <c r="AC83" s="199">
        <v>24.0</v>
      </c>
      <c r="AD83" s="199">
        <v>0.0</v>
      </c>
      <c r="AE83" s="199">
        <v>15.0</v>
      </c>
      <c r="AF83" s="199">
        <v>0.0</v>
      </c>
      <c r="AG83" s="199">
        <v>368.0</v>
      </c>
      <c r="AH83" s="199">
        <v>12.0</v>
      </c>
      <c r="AI83" s="200" t="s">
        <v>666</v>
      </c>
      <c r="AJ83" s="200" t="s">
        <v>667</v>
      </c>
      <c r="AK83" s="200"/>
      <c r="AL83" s="204"/>
      <c r="AM83" s="204"/>
    </row>
    <row r="84">
      <c r="A84" s="199" t="s">
        <v>153</v>
      </c>
      <c r="B84" s="200" t="s">
        <v>663</v>
      </c>
      <c r="C84" s="199">
        <v>2.2116260209E10</v>
      </c>
      <c r="D84" s="201">
        <v>44671.0</v>
      </c>
      <c r="E84" s="202" t="s">
        <v>101</v>
      </c>
      <c r="F84" s="202" t="s">
        <v>102</v>
      </c>
      <c r="G84" s="203" t="s">
        <v>101</v>
      </c>
      <c r="H84" s="203" t="s">
        <v>100</v>
      </c>
      <c r="I84" s="199">
        <v>51134.0</v>
      </c>
      <c r="J84" s="199">
        <v>13264.0</v>
      </c>
      <c r="K84" s="199">
        <v>263.0</v>
      </c>
      <c r="L84" s="199">
        <v>18.0</v>
      </c>
      <c r="M84" s="199">
        <v>321.9</v>
      </c>
      <c r="N84" s="199"/>
      <c r="O84" s="199">
        <v>3.0</v>
      </c>
      <c r="P84" s="199">
        <v>0.03</v>
      </c>
      <c r="Q84" s="199">
        <v>0.0</v>
      </c>
      <c r="R84" s="199">
        <v>2.0</v>
      </c>
      <c r="S84" s="199">
        <v>0.0</v>
      </c>
      <c r="T84" s="199">
        <v>2.0</v>
      </c>
      <c r="U84" s="199">
        <v>57.0</v>
      </c>
      <c r="V84" s="199">
        <v>0.0</v>
      </c>
      <c r="W84" s="199">
        <v>0.0</v>
      </c>
      <c r="X84" s="199">
        <v>0.0</v>
      </c>
      <c r="Y84" s="199">
        <v>0.0</v>
      </c>
      <c r="Z84" s="199">
        <v>0.0</v>
      </c>
      <c r="AA84" s="199">
        <v>0.0</v>
      </c>
      <c r="AB84" s="199">
        <v>2.0</v>
      </c>
      <c r="AC84" s="199">
        <v>10.0</v>
      </c>
      <c r="AD84" s="199">
        <v>0.0</v>
      </c>
      <c r="AE84" s="199">
        <v>1.0</v>
      </c>
      <c r="AF84" s="199">
        <v>0.0</v>
      </c>
      <c r="AG84" s="199">
        <v>434.0</v>
      </c>
      <c r="AH84" s="199">
        <v>32.0</v>
      </c>
      <c r="AI84" s="200" t="s">
        <v>668</v>
      </c>
      <c r="AJ84" s="200" t="s">
        <v>669</v>
      </c>
      <c r="AK84" s="200"/>
      <c r="AL84" s="204"/>
      <c r="AM84" s="204"/>
    </row>
    <row r="85">
      <c r="A85" s="199" t="s">
        <v>153</v>
      </c>
      <c r="B85" s="200" t="s">
        <v>663</v>
      </c>
      <c r="C85" s="199">
        <v>2.6124405214E10</v>
      </c>
      <c r="D85" s="201">
        <v>46138.0</v>
      </c>
      <c r="E85" s="202" t="s">
        <v>102</v>
      </c>
      <c r="F85" s="202" t="s">
        <v>102</v>
      </c>
      <c r="G85" s="203" t="s">
        <v>100</v>
      </c>
      <c r="H85" s="203" t="s">
        <v>100</v>
      </c>
      <c r="I85" s="37"/>
      <c r="J85" s="37"/>
      <c r="K85" s="37"/>
      <c r="L85" s="199">
        <v>36.0</v>
      </c>
      <c r="M85" s="199">
        <v>308.6</v>
      </c>
      <c r="N85" s="199"/>
      <c r="O85" s="199">
        <v>1.0</v>
      </c>
      <c r="P85" s="199">
        <v>0.04</v>
      </c>
      <c r="Q85" s="199">
        <v>0.0</v>
      </c>
      <c r="R85" s="199">
        <v>0.0</v>
      </c>
      <c r="S85" s="199">
        <v>0.0</v>
      </c>
      <c r="T85" s="199">
        <v>0.0</v>
      </c>
      <c r="U85" s="199">
        <v>26.0</v>
      </c>
      <c r="V85" s="199">
        <v>0.0</v>
      </c>
      <c r="W85" s="199">
        <v>0.0</v>
      </c>
      <c r="X85" s="199">
        <v>0.0</v>
      </c>
      <c r="Y85" s="199">
        <v>0.0</v>
      </c>
      <c r="Z85" s="199">
        <v>0.0</v>
      </c>
      <c r="AA85" s="199">
        <v>0.0</v>
      </c>
      <c r="AB85" s="199">
        <v>0.0</v>
      </c>
      <c r="AC85" s="199">
        <v>13.0</v>
      </c>
      <c r="AD85" s="199">
        <v>0.0</v>
      </c>
      <c r="AE85" s="199">
        <v>9.0</v>
      </c>
      <c r="AF85" s="199">
        <v>2.0</v>
      </c>
      <c r="AG85" s="199">
        <v>386.0</v>
      </c>
      <c r="AH85" s="199">
        <v>1.0</v>
      </c>
      <c r="AI85" s="200" t="s">
        <v>670</v>
      </c>
      <c r="AJ85" s="200" t="s">
        <v>671</v>
      </c>
      <c r="AK85" s="200"/>
      <c r="AL85" s="204"/>
      <c r="AM85" s="204"/>
    </row>
    <row r="86">
      <c r="A86" s="199" t="s">
        <v>156</v>
      </c>
      <c r="B86" s="200" t="s">
        <v>388</v>
      </c>
      <c r="C86" s="199">
        <v>2.5079203253E10</v>
      </c>
      <c r="D86" s="201">
        <v>45725.0</v>
      </c>
      <c r="E86" s="202" t="s">
        <v>101</v>
      </c>
      <c r="F86" s="202" t="s">
        <v>101</v>
      </c>
      <c r="G86" s="203" t="s">
        <v>101</v>
      </c>
      <c r="H86" s="203" t="s">
        <v>100</v>
      </c>
      <c r="I86" s="37"/>
      <c r="J86" s="37"/>
      <c r="K86" s="37"/>
      <c r="L86" s="199">
        <v>125.0</v>
      </c>
      <c r="M86" s="199">
        <v>99.4</v>
      </c>
      <c r="N86" s="37"/>
      <c r="O86" s="37"/>
      <c r="P86" s="199">
        <v>0.15</v>
      </c>
      <c r="Q86" s="199">
        <v>0.0</v>
      </c>
      <c r="R86" s="199">
        <v>39.0</v>
      </c>
      <c r="S86" s="199">
        <v>2.0</v>
      </c>
      <c r="T86" s="199">
        <v>11.0</v>
      </c>
      <c r="U86" s="199">
        <v>56.0</v>
      </c>
      <c r="V86" s="199">
        <v>2.0</v>
      </c>
      <c r="W86" s="199">
        <v>0.0</v>
      </c>
      <c r="X86" s="199">
        <v>0.0</v>
      </c>
      <c r="Y86" s="199">
        <v>0.0</v>
      </c>
      <c r="Z86" s="199">
        <v>0.0</v>
      </c>
      <c r="AA86" s="199">
        <v>0.0</v>
      </c>
      <c r="AB86" s="199">
        <v>57.0</v>
      </c>
      <c r="AC86" s="199">
        <v>41.0</v>
      </c>
      <c r="AD86" s="199">
        <v>0.0</v>
      </c>
      <c r="AE86" s="199">
        <v>413.0</v>
      </c>
      <c r="AF86" s="199">
        <v>5.0</v>
      </c>
      <c r="AG86" s="199">
        <v>449.0</v>
      </c>
      <c r="AH86" s="199">
        <v>7.0</v>
      </c>
      <c r="AI86" s="200" t="s">
        <v>672</v>
      </c>
      <c r="AJ86" s="200" t="s">
        <v>673</v>
      </c>
      <c r="AK86" s="200"/>
      <c r="AL86" s="204"/>
      <c r="AM86" s="204"/>
    </row>
    <row r="87">
      <c r="A87" s="199" t="s">
        <v>156</v>
      </c>
      <c r="B87" s="200" t="s">
        <v>388</v>
      </c>
      <c r="C87" s="199">
        <v>2.5112224249E10</v>
      </c>
      <c r="D87" s="201">
        <v>45756.0</v>
      </c>
      <c r="E87" s="202" t="s">
        <v>101</v>
      </c>
      <c r="F87" s="202" t="s">
        <v>101</v>
      </c>
      <c r="G87" s="203" t="s">
        <v>102</v>
      </c>
      <c r="H87" s="203" t="s">
        <v>100</v>
      </c>
      <c r="I87" s="37"/>
      <c r="J87" s="37"/>
      <c r="K87" s="37"/>
      <c r="L87" s="199">
        <v>63.0</v>
      </c>
      <c r="M87" s="199">
        <v>97.3</v>
      </c>
      <c r="N87" s="37"/>
      <c r="O87" s="37"/>
      <c r="P87" s="199">
        <v>0.02</v>
      </c>
      <c r="Q87" s="199">
        <v>0.0</v>
      </c>
      <c r="R87" s="199">
        <v>7.0</v>
      </c>
      <c r="S87" s="199">
        <v>0.0</v>
      </c>
      <c r="T87" s="199">
        <v>8.0</v>
      </c>
      <c r="U87" s="199">
        <v>68.0</v>
      </c>
      <c r="V87" s="199">
        <v>0.0</v>
      </c>
      <c r="W87" s="199">
        <v>0.0</v>
      </c>
      <c r="X87" s="199">
        <v>3.0</v>
      </c>
      <c r="Y87" s="199">
        <v>11.0</v>
      </c>
      <c r="Z87" s="199">
        <v>3.0</v>
      </c>
      <c r="AA87" s="199">
        <v>0.0</v>
      </c>
      <c r="AB87" s="199">
        <v>48.0</v>
      </c>
      <c r="AC87" s="199">
        <v>17.0</v>
      </c>
      <c r="AD87" s="199">
        <v>0.0</v>
      </c>
      <c r="AE87" s="199">
        <v>418.0</v>
      </c>
      <c r="AF87" s="199">
        <v>14.0</v>
      </c>
      <c r="AG87" s="199">
        <v>584.0</v>
      </c>
      <c r="AH87" s="199">
        <v>3.0</v>
      </c>
      <c r="AI87" s="200" t="s">
        <v>674</v>
      </c>
      <c r="AJ87" s="200" t="s">
        <v>675</v>
      </c>
      <c r="AK87" s="200"/>
      <c r="AL87" s="204"/>
      <c r="AM87" s="204"/>
    </row>
    <row r="88">
      <c r="A88" s="199" t="s">
        <v>156</v>
      </c>
      <c r="B88" s="200" t="s">
        <v>388</v>
      </c>
      <c r="C88" s="199">
        <v>2.5258159219E10</v>
      </c>
      <c r="D88" s="201">
        <v>45910.0</v>
      </c>
      <c r="E88" s="202" t="s">
        <v>101</v>
      </c>
      <c r="F88" s="202" t="s">
        <v>100</v>
      </c>
      <c r="G88" s="203" t="s">
        <v>100</v>
      </c>
      <c r="H88" s="203" t="s">
        <v>101</v>
      </c>
      <c r="I88" s="37"/>
      <c r="J88" s="37"/>
      <c r="K88" s="37"/>
      <c r="L88" s="199">
        <v>6.0</v>
      </c>
      <c r="M88" s="199">
        <v>30.2</v>
      </c>
      <c r="N88" s="37"/>
      <c r="O88" s="37"/>
      <c r="P88" s="199">
        <v>0.01</v>
      </c>
      <c r="Q88" s="199">
        <v>0.0</v>
      </c>
      <c r="R88" s="199">
        <v>6.0</v>
      </c>
      <c r="S88" s="199">
        <v>1.0</v>
      </c>
      <c r="T88" s="199">
        <v>2.0</v>
      </c>
      <c r="U88" s="199">
        <v>3.0</v>
      </c>
      <c r="V88" s="199">
        <v>0.0</v>
      </c>
      <c r="W88" s="199">
        <v>0.0</v>
      </c>
      <c r="X88" s="199">
        <v>0.0</v>
      </c>
      <c r="Y88" s="199">
        <v>0.0</v>
      </c>
      <c r="Z88" s="199">
        <v>0.0</v>
      </c>
      <c r="AA88" s="199">
        <v>0.0</v>
      </c>
      <c r="AB88" s="199">
        <v>14.0</v>
      </c>
      <c r="AC88" s="199">
        <v>10.0</v>
      </c>
      <c r="AD88" s="199">
        <v>0.0</v>
      </c>
      <c r="AE88" s="199">
        <v>21.0</v>
      </c>
      <c r="AF88" s="199">
        <v>2.0</v>
      </c>
      <c r="AG88" s="199">
        <v>741.0</v>
      </c>
      <c r="AH88" s="199">
        <v>0.0</v>
      </c>
      <c r="AI88" s="200" t="s">
        <v>676</v>
      </c>
      <c r="AJ88" s="200" t="s">
        <v>677</v>
      </c>
      <c r="AK88" s="200"/>
      <c r="AL88" s="204"/>
      <c r="AM88" s="204"/>
    </row>
    <row r="89">
      <c r="A89" s="199" t="s">
        <v>156</v>
      </c>
      <c r="B89" s="200" t="s">
        <v>388</v>
      </c>
      <c r="C89" s="199">
        <v>2.5294210228E10</v>
      </c>
      <c r="D89" s="201">
        <v>45946.0</v>
      </c>
      <c r="E89" s="202" t="s">
        <v>101</v>
      </c>
      <c r="F89" s="202" t="s">
        <v>101</v>
      </c>
      <c r="G89" s="203" t="s">
        <v>100</v>
      </c>
      <c r="H89" s="203" t="s">
        <v>101</v>
      </c>
      <c r="I89" s="37"/>
      <c r="J89" s="37"/>
      <c r="K89" s="37"/>
      <c r="L89" s="199">
        <v>5.0</v>
      </c>
      <c r="M89" s="199">
        <v>29.5</v>
      </c>
      <c r="N89" s="37"/>
      <c r="O89" s="37"/>
      <c r="P89" s="199">
        <v>0.01</v>
      </c>
      <c r="Q89" s="199">
        <v>0.0</v>
      </c>
      <c r="R89" s="199">
        <v>4.0</v>
      </c>
      <c r="S89" s="199">
        <v>0.0</v>
      </c>
      <c r="T89" s="199">
        <v>2.0</v>
      </c>
      <c r="U89" s="199">
        <v>1.0</v>
      </c>
      <c r="V89" s="199">
        <v>0.0</v>
      </c>
      <c r="W89" s="199">
        <v>0.0</v>
      </c>
      <c r="X89" s="199">
        <v>0.0</v>
      </c>
      <c r="Y89" s="199">
        <v>0.0</v>
      </c>
      <c r="Z89" s="199">
        <v>0.0</v>
      </c>
      <c r="AA89" s="199">
        <v>0.0</v>
      </c>
      <c r="AB89" s="199">
        <v>53.0</v>
      </c>
      <c r="AC89" s="199">
        <v>0.0</v>
      </c>
      <c r="AD89" s="199">
        <v>0.0</v>
      </c>
      <c r="AE89" s="199">
        <v>3.0</v>
      </c>
      <c r="AF89" s="199">
        <v>0.0</v>
      </c>
      <c r="AG89" s="199">
        <v>541.0</v>
      </c>
      <c r="AH89" s="199">
        <v>0.0</v>
      </c>
      <c r="AI89" s="200" t="s">
        <v>678</v>
      </c>
      <c r="AJ89" s="200" t="s">
        <v>679</v>
      </c>
      <c r="AK89" s="200"/>
      <c r="AL89" s="204"/>
      <c r="AM89" s="204"/>
    </row>
    <row r="90">
      <c r="A90" s="199" t="s">
        <v>156</v>
      </c>
      <c r="B90" s="200" t="s">
        <v>388</v>
      </c>
      <c r="C90" s="199">
        <v>2.6123350236E10</v>
      </c>
      <c r="D90" s="201">
        <v>46138.0</v>
      </c>
      <c r="E90" s="202" t="s">
        <v>102</v>
      </c>
      <c r="F90" s="202" t="s">
        <v>100</v>
      </c>
      <c r="G90" s="203" t="s">
        <v>100</v>
      </c>
      <c r="H90" s="203" t="s">
        <v>102</v>
      </c>
      <c r="I90" s="37"/>
      <c r="J90" s="37"/>
      <c r="K90" s="37"/>
      <c r="L90" s="199">
        <v>12.0</v>
      </c>
      <c r="M90" s="199">
        <v>69.4</v>
      </c>
      <c r="N90" s="37"/>
      <c r="O90" s="37"/>
      <c r="P90" s="199">
        <v>0.01</v>
      </c>
      <c r="Q90" s="199">
        <v>0.0</v>
      </c>
      <c r="R90" s="199">
        <v>0.0</v>
      </c>
      <c r="S90" s="199">
        <v>0.0</v>
      </c>
      <c r="T90" s="199">
        <v>3.0</v>
      </c>
      <c r="U90" s="199">
        <v>11.0</v>
      </c>
      <c r="V90" s="199">
        <v>0.0</v>
      </c>
      <c r="W90" s="199">
        <v>0.0</v>
      </c>
      <c r="X90" s="199">
        <v>0.0</v>
      </c>
      <c r="Y90" s="199">
        <v>0.0</v>
      </c>
      <c r="Z90" s="199">
        <v>0.0</v>
      </c>
      <c r="AA90" s="199">
        <v>0.0</v>
      </c>
      <c r="AB90" s="199">
        <v>6.0</v>
      </c>
      <c r="AC90" s="199">
        <v>0.0</v>
      </c>
      <c r="AD90" s="199">
        <v>0.0</v>
      </c>
      <c r="AE90" s="199">
        <v>18.0</v>
      </c>
      <c r="AF90" s="199">
        <v>2.0</v>
      </c>
      <c r="AG90" s="199">
        <v>662.0</v>
      </c>
      <c r="AH90" s="199">
        <v>19.0</v>
      </c>
      <c r="AI90" s="200" t="s">
        <v>680</v>
      </c>
      <c r="AJ90" s="200" t="s">
        <v>681</v>
      </c>
      <c r="AK90" s="200"/>
      <c r="AL90" s="204"/>
      <c r="AM90" s="204"/>
    </row>
    <row r="91">
      <c r="A91" s="199" t="s">
        <v>205</v>
      </c>
      <c r="B91" s="200" t="s">
        <v>435</v>
      </c>
      <c r="C91" s="199">
        <v>2.5259169223E10</v>
      </c>
      <c r="D91" s="201">
        <v>45910.0</v>
      </c>
      <c r="E91" s="202" t="s">
        <v>101</v>
      </c>
      <c r="F91" s="202" t="s">
        <v>101</v>
      </c>
      <c r="G91" s="203" t="s">
        <v>101</v>
      </c>
      <c r="H91" s="203" t="s">
        <v>100</v>
      </c>
      <c r="I91" s="37"/>
      <c r="J91" s="37"/>
      <c r="K91" s="37"/>
      <c r="L91" s="199">
        <v>25.0</v>
      </c>
      <c r="M91" s="199">
        <v>428.4</v>
      </c>
      <c r="N91" s="199"/>
      <c r="O91" s="199">
        <v>2.0</v>
      </c>
      <c r="P91" s="199">
        <v>0.22</v>
      </c>
      <c r="Q91" s="199">
        <v>0.0</v>
      </c>
      <c r="R91" s="199">
        <v>38.0</v>
      </c>
      <c r="S91" s="199">
        <v>1.0</v>
      </c>
      <c r="T91" s="199">
        <v>7.0</v>
      </c>
      <c r="U91" s="199">
        <v>41.0</v>
      </c>
      <c r="V91" s="199">
        <v>2.0</v>
      </c>
      <c r="W91" s="199">
        <v>0.0</v>
      </c>
      <c r="X91" s="199">
        <v>0.0</v>
      </c>
      <c r="Y91" s="199">
        <v>0.0</v>
      </c>
      <c r="Z91" s="199">
        <v>0.0</v>
      </c>
      <c r="AA91" s="199">
        <v>0.0</v>
      </c>
      <c r="AB91" s="199">
        <v>21.0</v>
      </c>
      <c r="AC91" s="199">
        <v>12.0</v>
      </c>
      <c r="AD91" s="199">
        <v>0.0</v>
      </c>
      <c r="AE91" s="199">
        <v>224.0</v>
      </c>
      <c r="AF91" s="199">
        <v>2.0</v>
      </c>
      <c r="AG91" s="199">
        <v>317.0</v>
      </c>
      <c r="AH91" s="199">
        <v>48.0</v>
      </c>
      <c r="AI91" s="200" t="s">
        <v>682</v>
      </c>
      <c r="AJ91" s="200" t="s">
        <v>683</v>
      </c>
      <c r="AK91" s="200"/>
      <c r="AL91" s="204"/>
      <c r="AM91" s="204"/>
    </row>
    <row r="92">
      <c r="A92" s="199" t="s">
        <v>205</v>
      </c>
      <c r="B92" s="200" t="s">
        <v>435</v>
      </c>
      <c r="C92" s="199">
        <v>2.6004401264E10</v>
      </c>
      <c r="D92" s="201">
        <v>46007.0</v>
      </c>
      <c r="E92" s="202" t="s">
        <v>101</v>
      </c>
      <c r="F92" s="202" t="s">
        <v>101</v>
      </c>
      <c r="G92" s="203" t="s">
        <v>100</v>
      </c>
      <c r="H92" s="203" t="s">
        <v>100</v>
      </c>
      <c r="I92" s="37"/>
      <c r="J92" s="37"/>
      <c r="K92" s="37"/>
      <c r="L92" s="199">
        <v>52.0</v>
      </c>
      <c r="M92" s="199">
        <v>410.1</v>
      </c>
      <c r="N92" s="199"/>
      <c r="O92" s="199">
        <v>1.0</v>
      </c>
      <c r="P92" s="199">
        <v>0.3</v>
      </c>
      <c r="Q92" s="199">
        <v>0.0</v>
      </c>
      <c r="R92" s="199">
        <v>5.0</v>
      </c>
      <c r="S92" s="199">
        <v>0.0</v>
      </c>
      <c r="T92" s="199">
        <v>0.0</v>
      </c>
      <c r="U92" s="199">
        <v>43.0</v>
      </c>
      <c r="V92" s="199">
        <v>2.0</v>
      </c>
      <c r="W92" s="199">
        <v>0.0</v>
      </c>
      <c r="X92" s="199">
        <v>0.0</v>
      </c>
      <c r="Y92" s="199">
        <v>0.0</v>
      </c>
      <c r="Z92" s="199">
        <v>0.0</v>
      </c>
      <c r="AA92" s="199">
        <v>0.0</v>
      </c>
      <c r="AB92" s="199">
        <v>17.0</v>
      </c>
      <c r="AC92" s="199">
        <v>32.0</v>
      </c>
      <c r="AD92" s="199">
        <v>0.0</v>
      </c>
      <c r="AE92" s="199">
        <v>188.0</v>
      </c>
      <c r="AF92" s="199">
        <v>5.0</v>
      </c>
      <c r="AG92" s="199">
        <v>399.0</v>
      </c>
      <c r="AH92" s="199">
        <v>22.0</v>
      </c>
      <c r="AI92" s="200" t="s">
        <v>684</v>
      </c>
      <c r="AJ92" s="200" t="s">
        <v>685</v>
      </c>
      <c r="AK92" s="200"/>
      <c r="AL92" s="204"/>
      <c r="AM92" s="204"/>
    </row>
    <row r="93">
      <c r="A93" s="199" t="s">
        <v>226</v>
      </c>
      <c r="B93" s="200" t="s">
        <v>458</v>
      </c>
      <c r="C93" s="199">
        <v>2.511222421E10</v>
      </c>
      <c r="D93" s="201">
        <v>45757.0</v>
      </c>
      <c r="E93" s="202" t="s">
        <v>100</v>
      </c>
      <c r="F93" s="202" t="s">
        <v>100</v>
      </c>
      <c r="G93" s="203" t="s">
        <v>100</v>
      </c>
      <c r="H93" s="203" t="s">
        <v>100</v>
      </c>
      <c r="I93" s="199">
        <v>26251.0</v>
      </c>
      <c r="J93" s="199">
        <v>5621.0</v>
      </c>
      <c r="K93" s="199">
        <v>1251.0</v>
      </c>
      <c r="L93" s="199">
        <v>20.0</v>
      </c>
      <c r="M93" s="199">
        <v>214.8</v>
      </c>
      <c r="N93" s="37"/>
      <c r="O93" s="37"/>
      <c r="P93" s="199">
        <v>0.02</v>
      </c>
      <c r="Q93" s="199">
        <v>0.0</v>
      </c>
      <c r="R93" s="199">
        <v>0.0</v>
      </c>
      <c r="S93" s="199">
        <v>1.0</v>
      </c>
      <c r="T93" s="199">
        <v>0.0</v>
      </c>
      <c r="U93" s="199">
        <v>25.0</v>
      </c>
      <c r="V93" s="199">
        <v>0.0</v>
      </c>
      <c r="W93" s="199">
        <v>0.0</v>
      </c>
      <c r="X93" s="199">
        <v>0.0</v>
      </c>
      <c r="Y93" s="199">
        <v>0.0</v>
      </c>
      <c r="Z93" s="199">
        <v>0.0</v>
      </c>
      <c r="AA93" s="199">
        <v>1.0</v>
      </c>
      <c r="AB93" s="199">
        <v>2.0</v>
      </c>
      <c r="AC93" s="199">
        <v>30.0</v>
      </c>
      <c r="AD93" s="199">
        <v>0.0</v>
      </c>
      <c r="AE93" s="199">
        <v>44.0</v>
      </c>
      <c r="AF93" s="199">
        <v>0.0</v>
      </c>
      <c r="AG93" s="199">
        <v>533.0</v>
      </c>
      <c r="AH93" s="199">
        <v>52.0</v>
      </c>
      <c r="AI93" s="200" t="s">
        <v>655</v>
      </c>
      <c r="AJ93" s="200" t="s">
        <v>656</v>
      </c>
      <c r="AK93" s="200"/>
      <c r="AL93" s="204"/>
      <c r="AM93" s="204"/>
    </row>
    <row r="94">
      <c r="A94" s="199" t="s">
        <v>226</v>
      </c>
      <c r="B94" s="200" t="s">
        <v>458</v>
      </c>
      <c r="C94" s="199">
        <v>2.5175246225E10</v>
      </c>
      <c r="D94" s="201">
        <v>45826.0</v>
      </c>
      <c r="E94" s="202" t="s">
        <v>100</v>
      </c>
      <c r="F94" s="202" t="s">
        <v>100</v>
      </c>
      <c r="G94" s="203" t="s">
        <v>100</v>
      </c>
      <c r="H94" s="203" t="s">
        <v>100</v>
      </c>
      <c r="I94" s="199">
        <v>11307.0</v>
      </c>
      <c r="J94" s="199">
        <v>6165.0</v>
      </c>
      <c r="K94" s="199">
        <v>1169.0</v>
      </c>
      <c r="L94" s="199">
        <v>5.0</v>
      </c>
      <c r="M94" s="199">
        <v>203.6</v>
      </c>
      <c r="N94" s="37"/>
      <c r="O94" s="37"/>
      <c r="P94" s="199">
        <v>0.01</v>
      </c>
      <c r="Q94" s="199">
        <v>0.0</v>
      </c>
      <c r="R94" s="199">
        <v>4.0</v>
      </c>
      <c r="S94" s="199">
        <v>2.0</v>
      </c>
      <c r="T94" s="199">
        <v>3.0</v>
      </c>
      <c r="U94" s="199">
        <v>26.0</v>
      </c>
      <c r="V94" s="199">
        <v>0.0</v>
      </c>
      <c r="W94" s="199">
        <v>0.0</v>
      </c>
      <c r="X94" s="199">
        <v>0.0</v>
      </c>
      <c r="Y94" s="199">
        <v>0.0</v>
      </c>
      <c r="Z94" s="199">
        <v>0.0</v>
      </c>
      <c r="AA94" s="199">
        <v>0.0</v>
      </c>
      <c r="AB94" s="199">
        <v>5.0</v>
      </c>
      <c r="AC94" s="199">
        <v>11.0</v>
      </c>
      <c r="AD94" s="199">
        <v>0.0</v>
      </c>
      <c r="AE94" s="199">
        <v>118.0</v>
      </c>
      <c r="AF94" s="199">
        <v>2.0</v>
      </c>
      <c r="AG94" s="199">
        <v>564.0</v>
      </c>
      <c r="AH94" s="199">
        <v>21.0</v>
      </c>
      <c r="AI94" s="200" t="s">
        <v>655</v>
      </c>
      <c r="AJ94" s="200" t="s">
        <v>656</v>
      </c>
      <c r="AK94" s="200"/>
      <c r="AL94" s="204"/>
      <c r="AM94" s="204"/>
    </row>
    <row r="95">
      <c r="A95" s="199" t="s">
        <v>226</v>
      </c>
      <c r="B95" s="200" t="s">
        <v>458</v>
      </c>
      <c r="C95" s="199">
        <v>2.6004401252E10</v>
      </c>
      <c r="D95" s="201">
        <v>46021.0</v>
      </c>
      <c r="E95" s="202" t="s">
        <v>102</v>
      </c>
      <c r="F95" s="202" t="s">
        <v>102</v>
      </c>
      <c r="G95" s="203" t="s">
        <v>100</v>
      </c>
      <c r="H95" s="203" t="s">
        <v>100</v>
      </c>
      <c r="I95" s="37"/>
      <c r="J95" s="37"/>
      <c r="K95" s="37"/>
      <c r="L95" s="199">
        <v>18.0</v>
      </c>
      <c r="M95" s="199">
        <v>219.5</v>
      </c>
      <c r="N95" s="37"/>
      <c r="O95" s="37"/>
      <c r="P95" s="199">
        <v>0.06</v>
      </c>
      <c r="Q95" s="199">
        <v>0.0</v>
      </c>
      <c r="R95" s="199">
        <v>3.0</v>
      </c>
      <c r="S95" s="199">
        <v>0.0</v>
      </c>
      <c r="T95" s="199">
        <v>0.0</v>
      </c>
      <c r="U95" s="199">
        <v>66.0</v>
      </c>
      <c r="V95" s="199">
        <v>0.0</v>
      </c>
      <c r="W95" s="199">
        <v>0.0</v>
      </c>
      <c r="X95" s="199">
        <v>0.0</v>
      </c>
      <c r="Y95" s="199">
        <v>0.0</v>
      </c>
      <c r="Z95" s="199">
        <v>0.0</v>
      </c>
      <c r="AA95" s="199">
        <v>0.0</v>
      </c>
      <c r="AB95" s="199">
        <v>4.0</v>
      </c>
      <c r="AC95" s="199">
        <v>0.0</v>
      </c>
      <c r="AD95" s="199">
        <v>0.0</v>
      </c>
      <c r="AE95" s="199">
        <v>19.0</v>
      </c>
      <c r="AF95" s="199">
        <v>2.0</v>
      </c>
      <c r="AG95" s="199">
        <v>330.0</v>
      </c>
      <c r="AH95" s="199">
        <v>34.0</v>
      </c>
      <c r="AI95" s="200" t="s">
        <v>686</v>
      </c>
      <c r="AJ95" s="200" t="s">
        <v>687</v>
      </c>
      <c r="AK95" s="200"/>
      <c r="AL95" s="204"/>
      <c r="AM95" s="204"/>
    </row>
    <row r="96">
      <c r="A96" s="199" t="s">
        <v>104</v>
      </c>
      <c r="B96" s="200" t="s">
        <v>333</v>
      </c>
      <c r="C96" s="199">
        <v>2.4268239262E10</v>
      </c>
      <c r="D96" s="201">
        <v>45545.0</v>
      </c>
      <c r="E96" s="202" t="s">
        <v>102</v>
      </c>
      <c r="F96" s="202" t="s">
        <v>102</v>
      </c>
      <c r="G96" s="203" t="s">
        <v>100</v>
      </c>
      <c r="H96" s="203" t="s">
        <v>100</v>
      </c>
      <c r="I96" s="199">
        <v>19752.0</v>
      </c>
      <c r="J96" s="199">
        <v>10391.0</v>
      </c>
      <c r="K96" s="199">
        <v>5151.0</v>
      </c>
      <c r="L96" s="199">
        <v>9.0</v>
      </c>
      <c r="M96" s="199">
        <v>209.2</v>
      </c>
      <c r="N96" s="37"/>
      <c r="O96" s="37"/>
      <c r="P96" s="199">
        <v>0.003</v>
      </c>
      <c r="Q96" s="199">
        <v>0.0</v>
      </c>
      <c r="R96" s="199">
        <v>4.0</v>
      </c>
      <c r="S96" s="199">
        <v>1.0</v>
      </c>
      <c r="T96" s="199">
        <v>0.0</v>
      </c>
      <c r="U96" s="199">
        <v>26.0</v>
      </c>
      <c r="V96" s="199">
        <v>0.0</v>
      </c>
      <c r="W96" s="199">
        <v>0.0</v>
      </c>
      <c r="X96" s="199">
        <v>0.0</v>
      </c>
      <c r="Y96" s="199">
        <v>0.0</v>
      </c>
      <c r="Z96" s="199">
        <v>2.0</v>
      </c>
      <c r="AA96" s="199">
        <v>0.0</v>
      </c>
      <c r="AB96" s="199">
        <v>39.0</v>
      </c>
      <c r="AC96" s="199">
        <v>26.0</v>
      </c>
      <c r="AD96" s="199">
        <v>0.0</v>
      </c>
      <c r="AE96" s="199">
        <v>2.0</v>
      </c>
      <c r="AF96" s="199">
        <v>3.0</v>
      </c>
      <c r="AG96" s="199">
        <v>461.0</v>
      </c>
      <c r="AH96" s="199">
        <v>2.0</v>
      </c>
      <c r="AI96" s="200" t="s">
        <v>644</v>
      </c>
      <c r="AJ96" s="200" t="s">
        <v>688</v>
      </c>
      <c r="AK96" s="200"/>
      <c r="AL96" s="204"/>
      <c r="AM96" s="204"/>
    </row>
    <row r="97">
      <c r="A97" s="199" t="s">
        <v>104</v>
      </c>
      <c r="B97" s="200" t="s">
        <v>333</v>
      </c>
      <c r="C97" s="199">
        <v>2.4307211227E10</v>
      </c>
      <c r="D97" s="201">
        <v>45589.0</v>
      </c>
      <c r="E97" s="202" t="s">
        <v>102</v>
      </c>
      <c r="F97" s="202" t="s">
        <v>102</v>
      </c>
      <c r="G97" s="203" t="s">
        <v>100</v>
      </c>
      <c r="H97" s="203" t="s">
        <v>100</v>
      </c>
      <c r="I97" s="199">
        <v>13521.0</v>
      </c>
      <c r="J97" s="199">
        <v>7451.0</v>
      </c>
      <c r="K97" s="199">
        <v>3211.0</v>
      </c>
      <c r="L97" s="199">
        <v>15.0</v>
      </c>
      <c r="M97" s="199">
        <v>201.5</v>
      </c>
      <c r="N97" s="37"/>
      <c r="O97" s="37"/>
      <c r="P97" s="199">
        <v>0.005</v>
      </c>
      <c r="Q97" s="199">
        <v>0.0</v>
      </c>
      <c r="R97" s="199">
        <v>1.0</v>
      </c>
      <c r="S97" s="199">
        <v>9.0</v>
      </c>
      <c r="T97" s="199">
        <v>1.0</v>
      </c>
      <c r="U97" s="199">
        <v>15.0</v>
      </c>
      <c r="V97" s="199">
        <v>2.0</v>
      </c>
      <c r="W97" s="199">
        <v>0.0</v>
      </c>
      <c r="X97" s="199">
        <v>0.0</v>
      </c>
      <c r="Y97" s="199">
        <v>0.0</v>
      </c>
      <c r="Z97" s="199">
        <v>0.0</v>
      </c>
      <c r="AA97" s="199">
        <v>3.0</v>
      </c>
      <c r="AB97" s="199">
        <v>40.0</v>
      </c>
      <c r="AC97" s="199">
        <v>10.0</v>
      </c>
      <c r="AD97" s="199">
        <v>0.0</v>
      </c>
      <c r="AE97" s="199">
        <v>0.0</v>
      </c>
      <c r="AF97" s="199">
        <v>2.0</v>
      </c>
      <c r="AG97" s="199">
        <v>632.0</v>
      </c>
      <c r="AH97" s="199">
        <v>11.0</v>
      </c>
      <c r="AI97" s="200" t="s">
        <v>689</v>
      </c>
      <c r="AJ97" s="200" t="s">
        <v>690</v>
      </c>
      <c r="AK97" s="200"/>
      <c r="AL97" s="204"/>
      <c r="AM97" s="204"/>
    </row>
    <row r="98">
      <c r="A98" s="199" t="s">
        <v>104</v>
      </c>
      <c r="B98" s="200" t="s">
        <v>333</v>
      </c>
      <c r="C98" s="199">
        <v>2.5112224214E10</v>
      </c>
      <c r="D98" s="201">
        <v>45757.0</v>
      </c>
      <c r="E98" s="202" t="s">
        <v>100</v>
      </c>
      <c r="F98" s="202" t="s">
        <v>100</v>
      </c>
      <c r="G98" s="203" t="s">
        <v>100</v>
      </c>
      <c r="H98" s="203" t="s">
        <v>100</v>
      </c>
      <c r="I98" s="199">
        <v>23140.0</v>
      </c>
      <c r="J98" s="199">
        <v>10046.0</v>
      </c>
      <c r="K98" s="199">
        <v>4651.0</v>
      </c>
      <c r="L98" s="199">
        <v>12.0</v>
      </c>
      <c r="M98" s="199">
        <v>202.2</v>
      </c>
      <c r="N98" s="37"/>
      <c r="O98" s="37"/>
      <c r="P98" s="199">
        <v>0.03</v>
      </c>
      <c r="Q98" s="199">
        <v>0.0</v>
      </c>
      <c r="R98" s="199">
        <v>0.0</v>
      </c>
      <c r="S98" s="199">
        <v>0.0</v>
      </c>
      <c r="T98" s="199">
        <v>0.0</v>
      </c>
      <c r="U98" s="199">
        <v>9.0</v>
      </c>
      <c r="V98" s="199">
        <v>0.0</v>
      </c>
      <c r="W98" s="199">
        <v>0.0</v>
      </c>
      <c r="X98" s="199">
        <v>0.0</v>
      </c>
      <c r="Y98" s="199">
        <v>0.0</v>
      </c>
      <c r="Z98" s="199">
        <v>0.0</v>
      </c>
      <c r="AA98" s="199">
        <v>0.0</v>
      </c>
      <c r="AB98" s="199">
        <v>20.0</v>
      </c>
      <c r="AC98" s="199">
        <v>3.0</v>
      </c>
      <c r="AD98" s="199">
        <v>0.0</v>
      </c>
      <c r="AE98" s="199">
        <v>22.0</v>
      </c>
      <c r="AF98" s="199">
        <v>0.0</v>
      </c>
      <c r="AG98" s="199">
        <v>412.0</v>
      </c>
      <c r="AH98" s="199">
        <v>12.0</v>
      </c>
      <c r="AI98" s="200" t="s">
        <v>100</v>
      </c>
      <c r="AJ98" s="200" t="s">
        <v>691</v>
      </c>
      <c r="AK98" s="200"/>
      <c r="AL98" s="204"/>
      <c r="AM98" s="204"/>
    </row>
    <row r="99">
      <c r="A99" s="199" t="s">
        <v>104</v>
      </c>
      <c r="B99" s="200" t="s">
        <v>333</v>
      </c>
      <c r="C99" s="199">
        <v>2.5294210227E10</v>
      </c>
      <c r="D99" s="201">
        <v>45946.0</v>
      </c>
      <c r="E99" s="202" t="s">
        <v>102</v>
      </c>
      <c r="F99" s="202" t="s">
        <v>102</v>
      </c>
      <c r="G99" s="203" t="s">
        <v>100</v>
      </c>
      <c r="H99" s="203" t="s">
        <v>100</v>
      </c>
      <c r="I99" s="199">
        <v>23071.0</v>
      </c>
      <c r="J99" s="199">
        <v>10058.0</v>
      </c>
      <c r="K99" s="199">
        <v>5109.0</v>
      </c>
      <c r="L99" s="199">
        <v>5.0</v>
      </c>
      <c r="M99" s="199">
        <v>221.0</v>
      </c>
      <c r="N99" s="37"/>
      <c r="O99" s="37"/>
      <c r="P99" s="199">
        <v>0.003</v>
      </c>
      <c r="Q99" s="199">
        <v>0.0</v>
      </c>
      <c r="R99" s="199">
        <v>4.0</v>
      </c>
      <c r="S99" s="199">
        <v>0.0</v>
      </c>
      <c r="T99" s="199">
        <v>2.0</v>
      </c>
      <c r="U99" s="199">
        <v>25.0</v>
      </c>
      <c r="V99" s="199">
        <v>0.0</v>
      </c>
      <c r="W99" s="199">
        <v>0.0</v>
      </c>
      <c r="X99" s="199">
        <v>0.0</v>
      </c>
      <c r="Y99" s="199">
        <v>0.0</v>
      </c>
      <c r="Z99" s="199">
        <v>0.0</v>
      </c>
      <c r="AA99" s="199">
        <v>0.0</v>
      </c>
      <c r="AB99" s="199">
        <v>45.0</v>
      </c>
      <c r="AC99" s="199">
        <v>0.0</v>
      </c>
      <c r="AD99" s="199">
        <v>0.0</v>
      </c>
      <c r="AE99" s="199">
        <v>6.0</v>
      </c>
      <c r="AF99" s="199">
        <v>3.0</v>
      </c>
      <c r="AG99" s="199">
        <v>563.0</v>
      </c>
      <c r="AH99" s="199">
        <v>0.0</v>
      </c>
      <c r="AI99" s="200" t="s">
        <v>644</v>
      </c>
      <c r="AJ99" s="200" t="s">
        <v>692</v>
      </c>
      <c r="AK99" s="200"/>
      <c r="AL99" s="204"/>
      <c r="AM99" s="204"/>
    </row>
    <row r="100">
      <c r="A100" s="199" t="s">
        <v>104</v>
      </c>
      <c r="B100" s="200" t="s">
        <v>333</v>
      </c>
      <c r="C100" s="199">
        <v>2.6124405209E10</v>
      </c>
      <c r="D100" s="201">
        <v>46138.0</v>
      </c>
      <c r="E100" s="202" t="s">
        <v>100</v>
      </c>
      <c r="F100" s="202" t="s">
        <v>100</v>
      </c>
      <c r="G100" s="203" t="s">
        <v>100</v>
      </c>
      <c r="H100" s="203" t="s">
        <v>100</v>
      </c>
      <c r="I100" s="37"/>
      <c r="J100" s="37"/>
      <c r="K100" s="37"/>
      <c r="L100" s="199">
        <v>5.0</v>
      </c>
      <c r="M100" s="199">
        <v>221.3</v>
      </c>
      <c r="N100" s="37"/>
      <c r="O100" s="37"/>
      <c r="P100" s="199">
        <v>0.003</v>
      </c>
      <c r="Q100" s="199">
        <v>0.0</v>
      </c>
      <c r="R100" s="199">
        <v>0.0</v>
      </c>
      <c r="S100" s="199">
        <v>0.0</v>
      </c>
      <c r="T100" s="199">
        <v>0.0</v>
      </c>
      <c r="U100" s="199">
        <v>16.0</v>
      </c>
      <c r="V100" s="199">
        <v>0.0</v>
      </c>
      <c r="W100" s="199">
        <v>0.0</v>
      </c>
      <c r="X100" s="199">
        <v>0.0</v>
      </c>
      <c r="Y100" s="199">
        <v>0.0</v>
      </c>
      <c r="Z100" s="199">
        <v>0.0</v>
      </c>
      <c r="AA100" s="199">
        <v>0.0</v>
      </c>
      <c r="AB100" s="199">
        <v>16.0</v>
      </c>
      <c r="AC100" s="199">
        <v>12.0</v>
      </c>
      <c r="AD100" s="199">
        <v>0.0</v>
      </c>
      <c r="AE100" s="199">
        <v>79.0</v>
      </c>
      <c r="AF100" s="199">
        <v>2.0</v>
      </c>
      <c r="AG100" s="199">
        <v>547.0</v>
      </c>
      <c r="AH100" s="199">
        <v>48.0</v>
      </c>
      <c r="AI100" s="200" t="s">
        <v>100</v>
      </c>
      <c r="AJ100" s="200" t="s">
        <v>693</v>
      </c>
      <c r="AK100" s="200"/>
      <c r="AL100" s="204"/>
      <c r="AM100" s="204"/>
    </row>
    <row r="101">
      <c r="A101" s="199" t="s">
        <v>112</v>
      </c>
      <c r="B101" s="200" t="s">
        <v>341</v>
      </c>
      <c r="C101" s="199">
        <v>2.4269259214E10</v>
      </c>
      <c r="D101" s="201">
        <v>45545.0</v>
      </c>
      <c r="E101" s="202" t="s">
        <v>102</v>
      </c>
      <c r="F101" s="202" t="s">
        <v>102</v>
      </c>
      <c r="G101" s="203" t="s">
        <v>100</v>
      </c>
      <c r="H101" s="203" t="s">
        <v>100</v>
      </c>
      <c r="I101" s="199">
        <v>32917.0</v>
      </c>
      <c r="J101" s="199">
        <v>20713.0</v>
      </c>
      <c r="K101" s="199">
        <v>9261.0</v>
      </c>
      <c r="L101" s="199">
        <v>6.0</v>
      </c>
      <c r="M101" s="199">
        <v>230.6</v>
      </c>
      <c r="N101" s="37"/>
      <c r="O101" s="37"/>
      <c r="P101" s="199">
        <v>0.01</v>
      </c>
      <c r="Q101" s="199">
        <v>0.0</v>
      </c>
      <c r="R101" s="199">
        <v>3.0</v>
      </c>
      <c r="S101" s="199">
        <v>0.0</v>
      </c>
      <c r="T101" s="199">
        <v>0.0</v>
      </c>
      <c r="U101" s="199">
        <v>4.0</v>
      </c>
      <c r="V101" s="199">
        <v>0.0</v>
      </c>
      <c r="W101" s="199">
        <v>0.0</v>
      </c>
      <c r="X101" s="199">
        <v>0.0</v>
      </c>
      <c r="Y101" s="199">
        <v>0.0</v>
      </c>
      <c r="Z101" s="199">
        <v>1.0</v>
      </c>
      <c r="AA101" s="199">
        <v>0.0</v>
      </c>
      <c r="AB101" s="199">
        <v>3.0</v>
      </c>
      <c r="AC101" s="199">
        <v>3.0</v>
      </c>
      <c r="AD101" s="199">
        <v>0.0</v>
      </c>
      <c r="AE101" s="199">
        <v>0.0</v>
      </c>
      <c r="AF101" s="199">
        <v>3.0</v>
      </c>
      <c r="AG101" s="199">
        <v>273.0</v>
      </c>
      <c r="AH101" s="199">
        <v>30.0</v>
      </c>
      <c r="AI101" s="200" t="s">
        <v>694</v>
      </c>
      <c r="AJ101" s="200" t="s">
        <v>695</v>
      </c>
      <c r="AK101" s="200"/>
      <c r="AL101" s="204"/>
      <c r="AM101" s="204"/>
    </row>
    <row r="102">
      <c r="A102" s="199" t="s">
        <v>112</v>
      </c>
      <c r="B102" s="200" t="s">
        <v>341</v>
      </c>
      <c r="C102" s="199">
        <v>2.4343812228E10</v>
      </c>
      <c r="D102" s="201">
        <v>45624.0</v>
      </c>
      <c r="E102" s="202" t="s">
        <v>102</v>
      </c>
      <c r="F102" s="202" t="s">
        <v>102</v>
      </c>
      <c r="G102" s="203" t="s">
        <v>100</v>
      </c>
      <c r="H102" s="203" t="s">
        <v>102</v>
      </c>
      <c r="I102" s="199">
        <v>21768.0</v>
      </c>
      <c r="J102" s="199">
        <v>16024.0</v>
      </c>
      <c r="K102" s="199">
        <v>5618.0</v>
      </c>
      <c r="L102" s="199">
        <v>8.0</v>
      </c>
      <c r="M102" s="199">
        <v>189.7</v>
      </c>
      <c r="N102" s="37"/>
      <c r="O102" s="37"/>
      <c r="P102" s="199">
        <v>0.02</v>
      </c>
      <c r="Q102" s="199">
        <v>0.0</v>
      </c>
      <c r="R102" s="199">
        <v>0.0</v>
      </c>
      <c r="S102" s="199">
        <v>0.0</v>
      </c>
      <c r="T102" s="199">
        <v>0.0</v>
      </c>
      <c r="U102" s="199">
        <v>9.0</v>
      </c>
      <c r="V102" s="199">
        <v>0.0</v>
      </c>
      <c r="W102" s="199">
        <v>0.0</v>
      </c>
      <c r="X102" s="199">
        <v>1.0</v>
      </c>
      <c r="Y102" s="199">
        <v>0.0</v>
      </c>
      <c r="Z102" s="199">
        <v>0.0</v>
      </c>
      <c r="AA102" s="199">
        <v>0.0</v>
      </c>
      <c r="AB102" s="199">
        <v>23.0</v>
      </c>
      <c r="AC102" s="199">
        <v>3.0</v>
      </c>
      <c r="AD102" s="199">
        <v>0.0</v>
      </c>
      <c r="AE102" s="199">
        <v>9.0</v>
      </c>
      <c r="AF102" s="199">
        <v>5.0</v>
      </c>
      <c r="AG102" s="199">
        <v>428.0</v>
      </c>
      <c r="AH102" s="199">
        <v>42.0</v>
      </c>
      <c r="AI102" s="200" t="s">
        <v>696</v>
      </c>
      <c r="AJ102" s="200" t="s">
        <v>697</v>
      </c>
      <c r="AK102" s="200"/>
      <c r="AL102" s="204"/>
      <c r="AM102" s="204"/>
    </row>
    <row r="103">
      <c r="A103" s="199" t="s">
        <v>112</v>
      </c>
      <c r="B103" s="200" t="s">
        <v>341</v>
      </c>
      <c r="C103" s="199">
        <v>2.518029625E10</v>
      </c>
      <c r="D103" s="201">
        <v>45826.0</v>
      </c>
      <c r="E103" s="202" t="s">
        <v>102</v>
      </c>
      <c r="F103" s="202" t="s">
        <v>102</v>
      </c>
      <c r="G103" s="203" t="s">
        <v>100</v>
      </c>
      <c r="H103" s="203" t="s">
        <v>102</v>
      </c>
      <c r="I103" s="199">
        <v>32917.0</v>
      </c>
      <c r="J103" s="199">
        <v>20713.0</v>
      </c>
      <c r="K103" s="199">
        <v>5618.0</v>
      </c>
      <c r="L103" s="199">
        <v>12.0</v>
      </c>
      <c r="M103" s="199">
        <v>222.1</v>
      </c>
      <c r="N103" s="37"/>
      <c r="O103" s="37"/>
      <c r="P103" s="199">
        <v>0.06</v>
      </c>
      <c r="Q103" s="199">
        <v>0.0</v>
      </c>
      <c r="R103" s="199">
        <v>0.0</v>
      </c>
      <c r="S103" s="199">
        <v>0.0</v>
      </c>
      <c r="T103" s="199">
        <v>0.0</v>
      </c>
      <c r="U103" s="199">
        <v>4.0</v>
      </c>
      <c r="V103" s="199">
        <v>0.0</v>
      </c>
      <c r="W103" s="199">
        <v>0.0</v>
      </c>
      <c r="X103" s="199">
        <v>1.0</v>
      </c>
      <c r="Y103" s="199">
        <v>0.0</v>
      </c>
      <c r="Z103" s="199">
        <v>2.0</v>
      </c>
      <c r="AA103" s="199">
        <v>0.0</v>
      </c>
      <c r="AB103" s="199">
        <v>5.0</v>
      </c>
      <c r="AC103" s="199">
        <v>7.0</v>
      </c>
      <c r="AD103" s="199">
        <v>0.0</v>
      </c>
      <c r="AE103" s="199">
        <v>19.0</v>
      </c>
      <c r="AF103" s="199">
        <v>5.0</v>
      </c>
      <c r="AG103" s="199">
        <v>428.0</v>
      </c>
      <c r="AH103" s="199">
        <v>10.0</v>
      </c>
      <c r="AI103" s="200" t="s">
        <v>698</v>
      </c>
      <c r="AJ103" s="200" t="s">
        <v>699</v>
      </c>
      <c r="AK103" s="200"/>
      <c r="AL103" s="204"/>
      <c r="AM103" s="204"/>
    </row>
    <row r="104">
      <c r="A104" s="199" t="s">
        <v>112</v>
      </c>
      <c r="B104" s="200" t="s">
        <v>341</v>
      </c>
      <c r="C104" s="199">
        <v>2.5330261218E10</v>
      </c>
      <c r="D104" s="201">
        <v>45978.0</v>
      </c>
      <c r="E104" s="202" t="s">
        <v>102</v>
      </c>
      <c r="F104" s="202" t="s">
        <v>102</v>
      </c>
      <c r="G104" s="203" t="s">
        <v>100</v>
      </c>
      <c r="H104" s="203" t="s">
        <v>100</v>
      </c>
      <c r="I104" s="199">
        <v>21768.0</v>
      </c>
      <c r="J104" s="199">
        <v>16024.0</v>
      </c>
      <c r="K104" s="199">
        <v>5618.0</v>
      </c>
      <c r="L104" s="199">
        <v>6.0</v>
      </c>
      <c r="M104" s="199">
        <v>213.2</v>
      </c>
      <c r="N104" s="37"/>
      <c r="O104" s="37"/>
      <c r="P104" s="199">
        <v>0.01</v>
      </c>
      <c r="Q104" s="199">
        <v>0.0</v>
      </c>
      <c r="R104" s="199">
        <v>0.0</v>
      </c>
      <c r="S104" s="199">
        <v>0.0</v>
      </c>
      <c r="T104" s="199">
        <v>0.0</v>
      </c>
      <c r="U104" s="199">
        <v>6.0</v>
      </c>
      <c r="V104" s="199">
        <v>0.0</v>
      </c>
      <c r="W104" s="199">
        <v>0.0</v>
      </c>
      <c r="X104" s="199">
        <v>0.0</v>
      </c>
      <c r="Y104" s="199">
        <v>0.0</v>
      </c>
      <c r="Z104" s="199">
        <v>0.0</v>
      </c>
      <c r="AA104" s="199">
        <v>0.0</v>
      </c>
      <c r="AB104" s="199">
        <v>39.0</v>
      </c>
      <c r="AC104" s="199">
        <v>26.0</v>
      </c>
      <c r="AD104" s="199">
        <v>0.0</v>
      </c>
      <c r="AE104" s="199">
        <v>33.0</v>
      </c>
      <c r="AF104" s="199">
        <v>2.0</v>
      </c>
      <c r="AG104" s="199">
        <v>664.0</v>
      </c>
      <c r="AH104" s="199">
        <v>11.0</v>
      </c>
      <c r="AI104" s="200" t="s">
        <v>700</v>
      </c>
      <c r="AJ104" s="200" t="s">
        <v>701</v>
      </c>
      <c r="AK104" s="200"/>
      <c r="AL104" s="204"/>
      <c r="AM104" s="204"/>
    </row>
    <row r="105">
      <c r="A105" s="199" t="s">
        <v>112</v>
      </c>
      <c r="B105" s="200" t="s">
        <v>341</v>
      </c>
      <c r="C105" s="199">
        <v>2.612440521E10</v>
      </c>
      <c r="D105" s="201">
        <v>46138.0</v>
      </c>
      <c r="E105" s="202" t="s">
        <v>100</v>
      </c>
      <c r="F105" s="202" t="s">
        <v>100</v>
      </c>
      <c r="G105" s="203" t="s">
        <v>100</v>
      </c>
      <c r="H105" s="203" t="s">
        <v>100</v>
      </c>
      <c r="I105" s="199">
        <v>30748.0</v>
      </c>
      <c r="J105" s="199">
        <v>15899.0</v>
      </c>
      <c r="K105" s="199">
        <v>5168.0</v>
      </c>
      <c r="L105" s="199">
        <v>12.0</v>
      </c>
      <c r="M105" s="199">
        <v>223.7</v>
      </c>
      <c r="N105" s="37"/>
      <c r="O105" s="37"/>
      <c r="P105" s="199">
        <v>0.01</v>
      </c>
      <c r="Q105" s="199">
        <v>0.0</v>
      </c>
      <c r="R105" s="199">
        <v>0.0</v>
      </c>
      <c r="S105" s="199">
        <v>0.0</v>
      </c>
      <c r="T105" s="199">
        <v>0.0</v>
      </c>
      <c r="U105" s="199">
        <v>12.0</v>
      </c>
      <c r="V105" s="199">
        <v>0.0</v>
      </c>
      <c r="W105" s="199">
        <v>0.0</v>
      </c>
      <c r="X105" s="199">
        <v>0.0</v>
      </c>
      <c r="Y105" s="199">
        <v>0.0</v>
      </c>
      <c r="Z105" s="199">
        <v>0.0</v>
      </c>
      <c r="AA105" s="199">
        <v>0.0</v>
      </c>
      <c r="AB105" s="199">
        <v>14.0</v>
      </c>
      <c r="AC105" s="199">
        <v>10.0</v>
      </c>
      <c r="AD105" s="199">
        <v>0.0</v>
      </c>
      <c r="AE105" s="199">
        <v>20.0</v>
      </c>
      <c r="AF105" s="199">
        <v>0.0</v>
      </c>
      <c r="AG105" s="199">
        <v>650.0</v>
      </c>
      <c r="AH105" s="199">
        <v>12.0</v>
      </c>
      <c r="AI105" s="200" t="s">
        <v>100</v>
      </c>
      <c r="AJ105" s="200" t="s">
        <v>702</v>
      </c>
      <c r="AK105" s="200"/>
      <c r="AL105" s="204"/>
      <c r="AM105" s="204"/>
    </row>
    <row r="106">
      <c r="A106" s="199" t="s">
        <v>142</v>
      </c>
      <c r="B106" s="200" t="s">
        <v>384</v>
      </c>
      <c r="C106" s="199">
        <v>2.5112224265E10</v>
      </c>
      <c r="D106" s="201">
        <v>45756.0</v>
      </c>
      <c r="E106" s="202" t="s">
        <v>101</v>
      </c>
      <c r="F106" s="202" t="s">
        <v>102</v>
      </c>
      <c r="G106" s="203" t="s">
        <v>101</v>
      </c>
      <c r="H106" s="203" t="s">
        <v>100</v>
      </c>
      <c r="I106" s="37"/>
      <c r="J106" s="37"/>
      <c r="K106" s="37"/>
      <c r="L106" s="199">
        <v>13.0</v>
      </c>
      <c r="M106" s="199">
        <v>306.7</v>
      </c>
      <c r="N106" s="199"/>
      <c r="O106" s="199">
        <v>3.0</v>
      </c>
      <c r="P106" s="199">
        <v>0.03</v>
      </c>
      <c r="Q106" s="199">
        <v>0.0</v>
      </c>
      <c r="R106" s="199">
        <v>5.0</v>
      </c>
      <c r="S106" s="199">
        <v>0.0</v>
      </c>
      <c r="T106" s="199">
        <v>1.0</v>
      </c>
      <c r="U106" s="199">
        <v>64.0</v>
      </c>
      <c r="V106" s="199">
        <v>0.0</v>
      </c>
      <c r="W106" s="199">
        <v>0.0</v>
      </c>
      <c r="X106" s="199">
        <v>0.0</v>
      </c>
      <c r="Y106" s="199">
        <v>2.0</v>
      </c>
      <c r="Z106" s="199">
        <v>0.0</v>
      </c>
      <c r="AA106" s="199">
        <v>3.0</v>
      </c>
      <c r="AB106" s="199">
        <v>5.0</v>
      </c>
      <c r="AC106" s="199">
        <v>17.0</v>
      </c>
      <c r="AD106" s="199">
        <v>0.0</v>
      </c>
      <c r="AE106" s="199">
        <v>34.0</v>
      </c>
      <c r="AF106" s="199">
        <v>0.0</v>
      </c>
      <c r="AG106" s="199">
        <v>387.0</v>
      </c>
      <c r="AH106" s="199">
        <v>58.0</v>
      </c>
      <c r="AI106" s="200" t="s">
        <v>703</v>
      </c>
      <c r="AJ106" s="200" t="s">
        <v>704</v>
      </c>
      <c r="AK106" s="200"/>
      <c r="AL106" s="204"/>
      <c r="AM106" s="204"/>
    </row>
    <row r="107">
      <c r="A107" s="199" t="s">
        <v>142</v>
      </c>
      <c r="B107" s="200" t="s">
        <v>384</v>
      </c>
      <c r="C107" s="199">
        <v>2.5180296231E10</v>
      </c>
      <c r="D107" s="201">
        <v>45826.0</v>
      </c>
      <c r="E107" s="202" t="s">
        <v>101</v>
      </c>
      <c r="F107" s="202" t="s">
        <v>102</v>
      </c>
      <c r="G107" s="203" t="s">
        <v>101</v>
      </c>
      <c r="H107" s="203" t="s">
        <v>100</v>
      </c>
      <c r="I107" s="37"/>
      <c r="J107" s="37"/>
      <c r="K107" s="37"/>
      <c r="L107" s="199">
        <v>20.0</v>
      </c>
      <c r="M107" s="199">
        <v>325.7</v>
      </c>
      <c r="N107" s="199"/>
      <c r="O107" s="199">
        <v>3.0</v>
      </c>
      <c r="P107" s="199">
        <v>0.04</v>
      </c>
      <c r="Q107" s="199">
        <v>0.0</v>
      </c>
      <c r="R107" s="199">
        <v>4.0</v>
      </c>
      <c r="S107" s="199">
        <v>0.0</v>
      </c>
      <c r="T107" s="199">
        <v>1.0</v>
      </c>
      <c r="U107" s="199">
        <v>73.0</v>
      </c>
      <c r="V107" s="199">
        <v>0.0</v>
      </c>
      <c r="W107" s="199">
        <v>0.0</v>
      </c>
      <c r="X107" s="199">
        <v>1.0</v>
      </c>
      <c r="Y107" s="199">
        <v>0.0</v>
      </c>
      <c r="Z107" s="199">
        <v>0.0</v>
      </c>
      <c r="AA107" s="199">
        <v>0.0</v>
      </c>
      <c r="AB107" s="199">
        <v>2.0</v>
      </c>
      <c r="AC107" s="199">
        <v>29.0</v>
      </c>
      <c r="AD107" s="199">
        <v>0.0</v>
      </c>
      <c r="AE107" s="199">
        <v>38.0</v>
      </c>
      <c r="AF107" s="199">
        <v>9.0</v>
      </c>
      <c r="AG107" s="199">
        <v>326.0</v>
      </c>
      <c r="AH107" s="199">
        <v>53.0</v>
      </c>
      <c r="AI107" s="200" t="s">
        <v>668</v>
      </c>
      <c r="AJ107" s="200" t="s">
        <v>705</v>
      </c>
      <c r="AK107" s="200"/>
      <c r="AL107" s="204"/>
      <c r="AM107" s="204"/>
    </row>
    <row r="108">
      <c r="A108" s="199" t="s">
        <v>142</v>
      </c>
      <c r="B108" s="200" t="s">
        <v>384</v>
      </c>
      <c r="C108" s="199">
        <v>2.5294210224E10</v>
      </c>
      <c r="D108" s="201">
        <v>45946.0</v>
      </c>
      <c r="E108" s="202" t="s">
        <v>100</v>
      </c>
      <c r="F108" s="202" t="s">
        <v>100</v>
      </c>
      <c r="G108" s="203" t="s">
        <v>100</v>
      </c>
      <c r="H108" s="203" t="s">
        <v>100</v>
      </c>
      <c r="I108" s="199">
        <v>30674.0</v>
      </c>
      <c r="J108" s="199">
        <v>11568.0</v>
      </c>
      <c r="K108" s="199">
        <v>5100.0</v>
      </c>
      <c r="L108" s="199">
        <v>8.0</v>
      </c>
      <c r="M108" s="199">
        <v>291.5</v>
      </c>
      <c r="N108" s="199"/>
      <c r="O108" s="199">
        <v>1.0</v>
      </c>
      <c r="P108" s="199">
        <v>0.01</v>
      </c>
      <c r="Q108" s="199">
        <v>0.0</v>
      </c>
      <c r="R108" s="199">
        <v>6.0</v>
      </c>
      <c r="S108" s="199">
        <v>0.0</v>
      </c>
      <c r="T108" s="199">
        <v>3.0</v>
      </c>
      <c r="U108" s="199">
        <v>13.0</v>
      </c>
      <c r="V108" s="199">
        <v>0.0</v>
      </c>
      <c r="W108" s="199">
        <v>0.0</v>
      </c>
      <c r="X108" s="199">
        <v>0.0</v>
      </c>
      <c r="Y108" s="199">
        <v>0.0</v>
      </c>
      <c r="Z108" s="199">
        <v>0.0</v>
      </c>
      <c r="AA108" s="199">
        <v>0.0</v>
      </c>
      <c r="AB108" s="199">
        <v>7.0</v>
      </c>
      <c r="AC108" s="199">
        <v>0.0</v>
      </c>
      <c r="AD108" s="199">
        <v>0.0</v>
      </c>
      <c r="AE108" s="199">
        <v>15.0</v>
      </c>
      <c r="AF108" s="199">
        <v>2.0</v>
      </c>
      <c r="AG108" s="199">
        <v>379.0</v>
      </c>
      <c r="AH108" s="199">
        <v>11.0</v>
      </c>
      <c r="AI108" s="200" t="s">
        <v>100</v>
      </c>
      <c r="AJ108" s="200" t="s">
        <v>706</v>
      </c>
      <c r="AK108" s="200"/>
      <c r="AL108" s="204"/>
      <c r="AM108" s="204"/>
    </row>
    <row r="109">
      <c r="A109" s="199" t="s">
        <v>142</v>
      </c>
      <c r="B109" s="200" t="s">
        <v>384</v>
      </c>
      <c r="C109" s="199">
        <v>2.6005501227E10</v>
      </c>
      <c r="D109" s="201">
        <v>46007.0</v>
      </c>
      <c r="E109" s="202" t="s">
        <v>101</v>
      </c>
      <c r="F109" s="202" t="s">
        <v>101</v>
      </c>
      <c r="G109" s="203" t="s">
        <v>100</v>
      </c>
      <c r="H109" s="203" t="s">
        <v>100</v>
      </c>
      <c r="I109" s="199">
        <v>35671.0</v>
      </c>
      <c r="J109" s="199">
        <v>19807.0</v>
      </c>
      <c r="K109" s="199">
        <v>6149.0</v>
      </c>
      <c r="L109" s="199">
        <v>22.0</v>
      </c>
      <c r="M109" s="199">
        <v>313.7</v>
      </c>
      <c r="N109" s="199"/>
      <c r="O109" s="199">
        <v>2.0</v>
      </c>
      <c r="P109" s="199">
        <v>0.5</v>
      </c>
      <c r="Q109" s="199">
        <v>0.0</v>
      </c>
      <c r="R109" s="199">
        <v>2.0</v>
      </c>
      <c r="S109" s="199">
        <v>0.0</v>
      </c>
      <c r="T109" s="199">
        <v>0.0</v>
      </c>
      <c r="U109" s="199">
        <v>35.0</v>
      </c>
      <c r="V109" s="199">
        <v>0.0</v>
      </c>
      <c r="W109" s="199">
        <v>0.0</v>
      </c>
      <c r="X109" s="199">
        <v>0.0</v>
      </c>
      <c r="Y109" s="199">
        <v>0.0</v>
      </c>
      <c r="Z109" s="199">
        <v>0.0</v>
      </c>
      <c r="AA109" s="199">
        <v>0.0</v>
      </c>
      <c r="AB109" s="199">
        <v>0.0</v>
      </c>
      <c r="AC109" s="199">
        <v>15.0</v>
      </c>
      <c r="AD109" s="199">
        <v>0.0</v>
      </c>
      <c r="AE109" s="199">
        <v>64.0</v>
      </c>
      <c r="AF109" s="199">
        <v>5.0</v>
      </c>
      <c r="AG109" s="199">
        <v>682.0</v>
      </c>
      <c r="AH109" s="199">
        <v>60.0</v>
      </c>
      <c r="AI109" s="200" t="s">
        <v>707</v>
      </c>
      <c r="AJ109" s="200" t="s">
        <v>708</v>
      </c>
      <c r="AK109" s="200"/>
      <c r="AL109" s="204"/>
      <c r="AM109" s="204"/>
    </row>
    <row r="110">
      <c r="A110" s="199" t="s">
        <v>163</v>
      </c>
      <c r="B110" s="200" t="s">
        <v>410</v>
      </c>
      <c r="C110" s="199">
        <v>2.3276310209E10</v>
      </c>
      <c r="D110" s="201">
        <v>45196.0</v>
      </c>
      <c r="E110" s="202" t="s">
        <v>100</v>
      </c>
      <c r="F110" s="202" t="s">
        <v>100</v>
      </c>
      <c r="G110" s="203" t="s">
        <v>100</v>
      </c>
      <c r="H110" s="203" t="s">
        <v>100</v>
      </c>
      <c r="I110" s="199">
        <v>5529.0</v>
      </c>
      <c r="J110" s="199">
        <v>3762.0</v>
      </c>
      <c r="K110" s="199">
        <v>746.0</v>
      </c>
      <c r="L110" s="199">
        <v>8.0</v>
      </c>
      <c r="M110" s="199">
        <v>313.8</v>
      </c>
      <c r="N110" s="37"/>
      <c r="O110" s="37"/>
      <c r="P110" s="199">
        <v>0.02</v>
      </c>
      <c r="Q110" s="199">
        <v>0.0</v>
      </c>
      <c r="R110" s="199">
        <v>2.0</v>
      </c>
      <c r="S110" s="199">
        <v>0.0</v>
      </c>
      <c r="T110" s="199">
        <v>0.0</v>
      </c>
      <c r="U110" s="199">
        <v>37.0</v>
      </c>
      <c r="V110" s="199">
        <v>0.0</v>
      </c>
      <c r="W110" s="199">
        <v>0.0</v>
      </c>
      <c r="X110" s="199">
        <v>0.0</v>
      </c>
      <c r="Y110" s="199">
        <v>1.0</v>
      </c>
      <c r="Z110" s="199">
        <v>2.0</v>
      </c>
      <c r="AA110" s="199">
        <v>8.0</v>
      </c>
      <c r="AB110" s="199">
        <v>4.0</v>
      </c>
      <c r="AC110" s="199">
        <v>45.0</v>
      </c>
      <c r="AD110" s="199">
        <v>0.0</v>
      </c>
      <c r="AE110" s="199">
        <v>16.0</v>
      </c>
      <c r="AF110" s="199">
        <v>0.0</v>
      </c>
      <c r="AG110" s="199">
        <v>378.0</v>
      </c>
      <c r="AH110" s="199">
        <v>77.0</v>
      </c>
      <c r="AI110" s="200" t="s">
        <v>100</v>
      </c>
      <c r="AJ110" s="200" t="s">
        <v>709</v>
      </c>
      <c r="AK110" s="200"/>
      <c r="AL110" s="204"/>
      <c r="AM110" s="204"/>
    </row>
    <row r="111">
      <c r="A111" s="199" t="s">
        <v>163</v>
      </c>
      <c r="B111" s="200" t="s">
        <v>410</v>
      </c>
      <c r="C111" s="199">
        <v>2.430329026E10</v>
      </c>
      <c r="D111" s="201">
        <v>45589.0</v>
      </c>
      <c r="E111" s="202" t="s">
        <v>100</v>
      </c>
      <c r="F111" s="202" t="s">
        <v>100</v>
      </c>
      <c r="G111" s="203" t="s">
        <v>100</v>
      </c>
      <c r="H111" s="203" t="s">
        <v>100</v>
      </c>
      <c r="I111" s="199">
        <v>9251.0</v>
      </c>
      <c r="J111" s="199">
        <v>3621.0</v>
      </c>
      <c r="K111" s="199">
        <v>1513.0</v>
      </c>
      <c r="L111" s="199">
        <v>7.0</v>
      </c>
      <c r="M111" s="199">
        <v>324.9</v>
      </c>
      <c r="N111" s="37"/>
      <c r="O111" s="37"/>
      <c r="P111" s="199">
        <v>0.02</v>
      </c>
      <c r="Q111" s="199">
        <v>0.0</v>
      </c>
      <c r="R111" s="199">
        <v>3.0</v>
      </c>
      <c r="S111" s="199">
        <v>0.0</v>
      </c>
      <c r="T111" s="199">
        <v>0.0</v>
      </c>
      <c r="U111" s="199">
        <v>34.0</v>
      </c>
      <c r="V111" s="199">
        <v>0.0</v>
      </c>
      <c r="W111" s="199">
        <v>0.0</v>
      </c>
      <c r="X111" s="199">
        <v>1.0</v>
      </c>
      <c r="Y111" s="199">
        <v>0.0</v>
      </c>
      <c r="Z111" s="199">
        <v>0.0</v>
      </c>
      <c r="AA111" s="199">
        <v>0.0</v>
      </c>
      <c r="AB111" s="199">
        <v>7.0</v>
      </c>
      <c r="AC111" s="199">
        <v>11.0</v>
      </c>
      <c r="AD111" s="199">
        <v>0.0</v>
      </c>
      <c r="AE111" s="199">
        <v>10.0</v>
      </c>
      <c r="AF111" s="199">
        <v>2.0</v>
      </c>
      <c r="AG111" s="199">
        <v>319.0</v>
      </c>
      <c r="AH111" s="199">
        <v>64.0</v>
      </c>
      <c r="AI111" s="200" t="s">
        <v>100</v>
      </c>
      <c r="AJ111" s="200" t="s">
        <v>710</v>
      </c>
      <c r="AK111" s="200"/>
      <c r="AL111" s="204"/>
      <c r="AM111" s="204"/>
    </row>
    <row r="112">
      <c r="A112" s="199" t="s">
        <v>163</v>
      </c>
      <c r="B112" s="200" t="s">
        <v>410</v>
      </c>
      <c r="C112" s="199">
        <v>2.5112224216E10</v>
      </c>
      <c r="D112" s="201">
        <v>45757.0</v>
      </c>
      <c r="E112" s="202" t="s">
        <v>100</v>
      </c>
      <c r="F112" s="202" t="s">
        <v>100</v>
      </c>
      <c r="G112" s="203" t="s">
        <v>100</v>
      </c>
      <c r="H112" s="203" t="s">
        <v>100</v>
      </c>
      <c r="I112" s="199">
        <v>25412.0</v>
      </c>
      <c r="J112" s="199">
        <v>2352.0</v>
      </c>
      <c r="K112" s="199">
        <v>1222.0</v>
      </c>
      <c r="L112" s="199">
        <v>16.0</v>
      </c>
      <c r="M112" s="199">
        <v>313.7</v>
      </c>
      <c r="N112" s="37"/>
      <c r="O112" s="37"/>
      <c r="P112" s="199">
        <v>0.02</v>
      </c>
      <c r="Q112" s="199">
        <v>0.0</v>
      </c>
      <c r="R112" s="199">
        <v>0.0</v>
      </c>
      <c r="S112" s="199">
        <v>0.0</v>
      </c>
      <c r="T112" s="199">
        <v>0.0</v>
      </c>
      <c r="U112" s="199">
        <v>32.0</v>
      </c>
      <c r="V112" s="199">
        <v>0.0</v>
      </c>
      <c r="W112" s="199">
        <v>0.0</v>
      </c>
      <c r="X112" s="199">
        <v>0.0</v>
      </c>
      <c r="Y112" s="199">
        <v>0.0</v>
      </c>
      <c r="Z112" s="199">
        <v>0.0</v>
      </c>
      <c r="AA112" s="199">
        <v>1.0</v>
      </c>
      <c r="AB112" s="199">
        <v>4.0</v>
      </c>
      <c r="AC112" s="199">
        <v>34.0</v>
      </c>
      <c r="AD112" s="199">
        <v>0.0</v>
      </c>
      <c r="AE112" s="199">
        <v>43.0</v>
      </c>
      <c r="AF112" s="199">
        <v>3.0</v>
      </c>
      <c r="AG112" s="199">
        <v>379.0</v>
      </c>
      <c r="AH112" s="199">
        <v>88.0</v>
      </c>
      <c r="AI112" s="200" t="s">
        <v>100</v>
      </c>
      <c r="AJ112" s="200" t="s">
        <v>711</v>
      </c>
      <c r="AK112" s="200"/>
      <c r="AL112" s="204"/>
      <c r="AM112" s="204"/>
    </row>
    <row r="113">
      <c r="A113" s="199" t="s">
        <v>163</v>
      </c>
      <c r="B113" s="200" t="s">
        <v>410</v>
      </c>
      <c r="C113" s="199">
        <v>2.5294210226E10</v>
      </c>
      <c r="D113" s="201">
        <v>45946.0</v>
      </c>
      <c r="E113" s="202" t="s">
        <v>100</v>
      </c>
      <c r="F113" s="202" t="s">
        <v>100</v>
      </c>
      <c r="G113" s="203" t="s">
        <v>100</v>
      </c>
      <c r="H113" s="203" t="s">
        <v>100</v>
      </c>
      <c r="I113" s="199">
        <v>24814.0</v>
      </c>
      <c r="J113" s="199">
        <v>11008.0</v>
      </c>
      <c r="K113" s="199">
        <v>6681.0</v>
      </c>
      <c r="L113" s="199">
        <v>9.0</v>
      </c>
      <c r="M113" s="199">
        <v>325.9</v>
      </c>
      <c r="N113" s="37"/>
      <c r="O113" s="37"/>
      <c r="P113" s="199">
        <v>0.01</v>
      </c>
      <c r="Q113" s="199">
        <v>0.0</v>
      </c>
      <c r="R113" s="199">
        <v>4.0</v>
      </c>
      <c r="S113" s="199">
        <v>0.0</v>
      </c>
      <c r="T113" s="199">
        <v>2.0</v>
      </c>
      <c r="U113" s="199">
        <v>41.0</v>
      </c>
      <c r="V113" s="199">
        <v>0.0</v>
      </c>
      <c r="W113" s="199">
        <v>0.0</v>
      </c>
      <c r="X113" s="199">
        <v>0.0</v>
      </c>
      <c r="Y113" s="199">
        <v>0.0</v>
      </c>
      <c r="Z113" s="199">
        <v>0.0</v>
      </c>
      <c r="AA113" s="199">
        <v>0.0</v>
      </c>
      <c r="AB113" s="199">
        <v>12.0</v>
      </c>
      <c r="AC113" s="199">
        <v>0.0</v>
      </c>
      <c r="AD113" s="199">
        <v>0.0</v>
      </c>
      <c r="AE113" s="199">
        <v>9.0</v>
      </c>
      <c r="AF113" s="199">
        <v>3.0</v>
      </c>
      <c r="AG113" s="199">
        <v>307.0</v>
      </c>
      <c r="AH113" s="199">
        <v>55.0</v>
      </c>
      <c r="AI113" s="200" t="s">
        <v>100</v>
      </c>
      <c r="AJ113" s="200" t="s">
        <v>712</v>
      </c>
      <c r="AK113" s="200"/>
      <c r="AL113" s="204"/>
      <c r="AM113" s="204"/>
    </row>
    <row r="114">
      <c r="A114" s="199" t="s">
        <v>163</v>
      </c>
      <c r="B114" s="200" t="s">
        <v>410</v>
      </c>
      <c r="C114" s="199">
        <v>2.6123350239E10</v>
      </c>
      <c r="D114" s="201">
        <v>46138.0</v>
      </c>
      <c r="E114" s="202" t="s">
        <v>100</v>
      </c>
      <c r="F114" s="202" t="s">
        <v>100</v>
      </c>
      <c r="G114" s="203" t="s">
        <v>100</v>
      </c>
      <c r="H114" s="203" t="s">
        <v>100</v>
      </c>
      <c r="I114" s="199">
        <v>19932.0</v>
      </c>
      <c r="J114" s="199">
        <v>5169.0</v>
      </c>
      <c r="K114" s="199">
        <v>1131.0</v>
      </c>
      <c r="L114" s="199">
        <v>10.0</v>
      </c>
      <c r="M114" s="199">
        <v>323.9</v>
      </c>
      <c r="N114" s="37"/>
      <c r="O114" s="37"/>
      <c r="P114" s="199">
        <v>0.01</v>
      </c>
      <c r="Q114" s="199">
        <v>0.0</v>
      </c>
      <c r="R114" s="199">
        <v>0.0</v>
      </c>
      <c r="S114" s="199">
        <v>0.0</v>
      </c>
      <c r="T114" s="199">
        <v>0.0</v>
      </c>
      <c r="U114" s="199">
        <v>24.0</v>
      </c>
      <c r="V114" s="199">
        <v>0.0</v>
      </c>
      <c r="W114" s="199">
        <v>0.0</v>
      </c>
      <c r="X114" s="199">
        <v>0.0</v>
      </c>
      <c r="Y114" s="199">
        <v>0.0</v>
      </c>
      <c r="Z114" s="199">
        <v>0.0</v>
      </c>
      <c r="AA114" s="199">
        <v>0.0</v>
      </c>
      <c r="AB114" s="199">
        <v>2.0</v>
      </c>
      <c r="AC114" s="199">
        <v>11.0</v>
      </c>
      <c r="AD114" s="199">
        <v>0.0</v>
      </c>
      <c r="AE114" s="199">
        <v>21.0</v>
      </c>
      <c r="AF114" s="199">
        <v>2.0</v>
      </c>
      <c r="AG114" s="199">
        <v>467.0</v>
      </c>
      <c r="AH114" s="199">
        <v>105.0</v>
      </c>
      <c r="AI114" s="200" t="s">
        <v>100</v>
      </c>
      <c r="AJ114" s="200" t="s">
        <v>713</v>
      </c>
      <c r="AK114" s="200"/>
      <c r="AL114" s="204"/>
      <c r="AM114" s="204"/>
    </row>
    <row r="115">
      <c r="A115" s="199" t="s">
        <v>226</v>
      </c>
      <c r="B115" s="200" t="s">
        <v>458</v>
      </c>
      <c r="C115" s="199">
        <v>2.5049182207E10</v>
      </c>
      <c r="D115" s="201">
        <v>45701.0</v>
      </c>
      <c r="E115" s="202" t="s">
        <v>102</v>
      </c>
      <c r="F115" s="202" t="s">
        <v>102</v>
      </c>
      <c r="G115" s="203" t="s">
        <v>100</v>
      </c>
      <c r="H115" s="203" t="s">
        <v>100</v>
      </c>
      <c r="I115" s="37"/>
      <c r="J115" s="37"/>
      <c r="K115" s="37"/>
      <c r="L115" s="199">
        <v>6.0</v>
      </c>
      <c r="M115" s="199">
        <v>219.2</v>
      </c>
      <c r="N115" s="37"/>
      <c r="O115" s="37"/>
      <c r="P115" s="199">
        <v>0.02</v>
      </c>
      <c r="Q115" s="199">
        <v>0.0</v>
      </c>
      <c r="R115" s="199">
        <v>4.0</v>
      </c>
      <c r="S115" s="199">
        <v>1.0</v>
      </c>
      <c r="T115" s="199">
        <v>2.0</v>
      </c>
      <c r="U115" s="199">
        <v>35.0</v>
      </c>
      <c r="V115" s="199">
        <v>0.0</v>
      </c>
      <c r="W115" s="199">
        <v>0.0</v>
      </c>
      <c r="X115" s="199">
        <v>1.0</v>
      </c>
      <c r="Y115" s="199">
        <v>0.0</v>
      </c>
      <c r="Z115" s="199">
        <v>0.0</v>
      </c>
      <c r="AA115" s="199">
        <v>0.0</v>
      </c>
      <c r="AB115" s="199">
        <v>4.0</v>
      </c>
      <c r="AC115" s="199">
        <v>16.0</v>
      </c>
      <c r="AD115" s="199">
        <v>0.0</v>
      </c>
      <c r="AE115" s="199">
        <v>26.0</v>
      </c>
      <c r="AF115" s="199">
        <v>2.0</v>
      </c>
      <c r="AG115" s="199">
        <v>591.0</v>
      </c>
      <c r="AH115" s="199">
        <v>25.0</v>
      </c>
      <c r="AI115" s="200" t="s">
        <v>653</v>
      </c>
      <c r="AJ115" s="200" t="s">
        <v>654</v>
      </c>
      <c r="AK115" s="200"/>
      <c r="AL115" s="204"/>
      <c r="AM115" s="204"/>
    </row>
    <row r="116">
      <c r="A116" s="199" t="s">
        <v>172</v>
      </c>
      <c r="B116" s="200" t="s">
        <v>420</v>
      </c>
      <c r="C116" s="199">
        <v>2.518029621E10</v>
      </c>
      <c r="D116" s="201">
        <v>45826.0</v>
      </c>
      <c r="E116" s="202" t="s">
        <v>100</v>
      </c>
      <c r="F116" s="202" t="s">
        <v>100</v>
      </c>
      <c r="G116" s="203" t="s">
        <v>100</v>
      </c>
      <c r="H116" s="203" t="s">
        <v>100</v>
      </c>
      <c r="I116" s="199">
        <v>23290.0</v>
      </c>
      <c r="J116" s="199">
        <v>11087.0</v>
      </c>
      <c r="K116" s="199">
        <v>4890.0</v>
      </c>
      <c r="L116" s="199">
        <v>7.0</v>
      </c>
      <c r="M116" s="199">
        <v>218.7</v>
      </c>
      <c r="N116" s="37"/>
      <c r="O116" s="37"/>
      <c r="P116" s="199">
        <v>0.003</v>
      </c>
      <c r="Q116" s="199">
        <v>0.0</v>
      </c>
      <c r="R116" s="199">
        <v>2.0</v>
      </c>
      <c r="S116" s="199">
        <v>0.0</v>
      </c>
      <c r="T116" s="199">
        <v>0.0</v>
      </c>
      <c r="U116" s="199">
        <v>10.0</v>
      </c>
      <c r="V116" s="199">
        <v>0.0</v>
      </c>
      <c r="W116" s="199">
        <v>0.0</v>
      </c>
      <c r="X116" s="199">
        <v>1.0</v>
      </c>
      <c r="Y116" s="199">
        <v>0.0</v>
      </c>
      <c r="Z116" s="199">
        <v>0.0</v>
      </c>
      <c r="AA116" s="199">
        <v>0.0</v>
      </c>
      <c r="AB116" s="199">
        <v>2.0</v>
      </c>
      <c r="AC116" s="199">
        <v>24.0</v>
      </c>
      <c r="AD116" s="199">
        <v>0.0</v>
      </c>
      <c r="AE116" s="199">
        <v>45.0</v>
      </c>
      <c r="AF116" s="199">
        <v>2.0</v>
      </c>
      <c r="AG116" s="199">
        <v>422.0</v>
      </c>
      <c r="AH116" s="199">
        <v>9.0</v>
      </c>
      <c r="AI116" s="200" t="s">
        <v>100</v>
      </c>
      <c r="AJ116" s="200" t="s">
        <v>691</v>
      </c>
      <c r="AK116" s="200"/>
      <c r="AL116" s="204"/>
      <c r="AM116" s="204"/>
    </row>
    <row r="117">
      <c r="A117" s="199" t="s">
        <v>172</v>
      </c>
      <c r="B117" s="200" t="s">
        <v>420</v>
      </c>
      <c r="C117" s="199">
        <v>2.5258159208E10</v>
      </c>
      <c r="D117" s="201">
        <v>45909.0</v>
      </c>
      <c r="E117" s="202" t="s">
        <v>100</v>
      </c>
      <c r="F117" s="202" t="s">
        <v>100</v>
      </c>
      <c r="G117" s="203" t="s">
        <v>100</v>
      </c>
      <c r="H117" s="203" t="s">
        <v>100</v>
      </c>
      <c r="I117" s="199">
        <v>31568.0</v>
      </c>
      <c r="J117" s="199">
        <v>11294.0</v>
      </c>
      <c r="K117" s="199">
        <v>4169.0</v>
      </c>
      <c r="L117" s="199">
        <v>5.0</v>
      </c>
      <c r="M117" s="199">
        <v>213.4</v>
      </c>
      <c r="N117" s="37"/>
      <c r="O117" s="37"/>
      <c r="P117" s="199">
        <v>0.02</v>
      </c>
      <c r="Q117" s="199">
        <v>0.0</v>
      </c>
      <c r="R117" s="199">
        <v>6.0</v>
      </c>
      <c r="S117" s="199">
        <v>1.0</v>
      </c>
      <c r="T117" s="199">
        <v>2.0</v>
      </c>
      <c r="U117" s="199">
        <v>8.0</v>
      </c>
      <c r="V117" s="199">
        <v>0.0</v>
      </c>
      <c r="W117" s="199">
        <v>0.0</v>
      </c>
      <c r="X117" s="199">
        <v>0.0</v>
      </c>
      <c r="Y117" s="199">
        <v>0.0</v>
      </c>
      <c r="Z117" s="199">
        <v>0.0</v>
      </c>
      <c r="AA117" s="199">
        <v>0.0</v>
      </c>
      <c r="AB117" s="199">
        <v>0.0</v>
      </c>
      <c r="AC117" s="199">
        <v>25.0</v>
      </c>
      <c r="AD117" s="199">
        <v>0.0</v>
      </c>
      <c r="AE117" s="199">
        <v>60.0</v>
      </c>
      <c r="AF117" s="199">
        <v>2.0</v>
      </c>
      <c r="AG117" s="199">
        <v>696.0</v>
      </c>
      <c r="AH117" s="199">
        <v>5.0</v>
      </c>
      <c r="AI117" s="200" t="s">
        <v>100</v>
      </c>
      <c r="AJ117" s="200" t="s">
        <v>691</v>
      </c>
      <c r="AK117" s="200"/>
      <c r="AL117" s="204"/>
      <c r="AM117" s="204"/>
    </row>
    <row r="118">
      <c r="A118" s="199" t="s">
        <v>172</v>
      </c>
      <c r="B118" s="200" t="s">
        <v>420</v>
      </c>
      <c r="C118" s="199">
        <v>2.6004401249E10</v>
      </c>
      <c r="D118" s="201">
        <v>46007.0</v>
      </c>
      <c r="E118" s="202" t="s">
        <v>100</v>
      </c>
      <c r="F118" s="202" t="s">
        <v>100</v>
      </c>
      <c r="G118" s="203" t="s">
        <v>100</v>
      </c>
      <c r="H118" s="203" t="s">
        <v>100</v>
      </c>
      <c r="I118" s="199">
        <v>11085.0</v>
      </c>
      <c r="J118" s="199">
        <v>6148.0</v>
      </c>
      <c r="K118" s="199">
        <v>2411.0</v>
      </c>
      <c r="L118" s="199">
        <v>6.0</v>
      </c>
      <c r="M118" s="199">
        <v>224.7</v>
      </c>
      <c r="N118" s="37"/>
      <c r="O118" s="37"/>
      <c r="P118" s="199">
        <v>0.003</v>
      </c>
      <c r="Q118" s="199">
        <v>0.0</v>
      </c>
      <c r="R118" s="199">
        <v>1.0</v>
      </c>
      <c r="S118" s="199">
        <v>0.0</v>
      </c>
      <c r="T118" s="199">
        <v>0.0</v>
      </c>
      <c r="U118" s="199">
        <v>11.0</v>
      </c>
      <c r="V118" s="199">
        <v>0.0</v>
      </c>
      <c r="W118" s="199">
        <v>0.0</v>
      </c>
      <c r="X118" s="199">
        <v>0.0</v>
      </c>
      <c r="Y118" s="199">
        <v>0.0</v>
      </c>
      <c r="Z118" s="199">
        <v>0.0</v>
      </c>
      <c r="AA118" s="199">
        <v>0.0</v>
      </c>
      <c r="AB118" s="199">
        <v>0.0</v>
      </c>
      <c r="AC118" s="199">
        <v>26.0</v>
      </c>
      <c r="AD118" s="199">
        <v>0.0</v>
      </c>
      <c r="AE118" s="199">
        <v>26.0</v>
      </c>
      <c r="AF118" s="199">
        <v>2.0</v>
      </c>
      <c r="AG118" s="199">
        <v>540.0</v>
      </c>
      <c r="AH118" s="199">
        <v>8.0</v>
      </c>
      <c r="AI118" s="200" t="s">
        <v>100</v>
      </c>
      <c r="AJ118" s="200" t="s">
        <v>714</v>
      </c>
      <c r="AK118" s="200"/>
      <c r="AL118" s="204"/>
      <c r="AM118" s="204"/>
    </row>
    <row r="119">
      <c r="A119" s="199" t="s">
        <v>189</v>
      </c>
      <c r="B119" s="200" t="s">
        <v>430</v>
      </c>
      <c r="C119" s="199">
        <v>2.504918223E10</v>
      </c>
      <c r="D119" s="201">
        <v>45701.0</v>
      </c>
      <c r="E119" s="202" t="s">
        <v>102</v>
      </c>
      <c r="F119" s="202" t="s">
        <v>102</v>
      </c>
      <c r="G119" s="203" t="s">
        <v>100</v>
      </c>
      <c r="H119" s="203" t="s">
        <v>100</v>
      </c>
      <c r="I119" s="199">
        <v>39625.0</v>
      </c>
      <c r="J119" s="199">
        <v>29071.0</v>
      </c>
      <c r="K119" s="199">
        <v>10032.0</v>
      </c>
      <c r="L119" s="199">
        <v>25.0</v>
      </c>
      <c r="M119" s="199">
        <v>308.8</v>
      </c>
      <c r="N119" s="199"/>
      <c r="O119" s="199">
        <v>1.0</v>
      </c>
      <c r="P119" s="199">
        <v>0.05</v>
      </c>
      <c r="Q119" s="199">
        <v>0.0</v>
      </c>
      <c r="R119" s="199">
        <v>0.0</v>
      </c>
      <c r="S119" s="199">
        <v>1.0</v>
      </c>
      <c r="T119" s="199">
        <v>3.0</v>
      </c>
      <c r="U119" s="199">
        <v>30.0</v>
      </c>
      <c r="V119" s="199">
        <v>1.0</v>
      </c>
      <c r="W119" s="199">
        <v>0.0</v>
      </c>
      <c r="X119" s="199">
        <v>2.0</v>
      </c>
      <c r="Y119" s="199">
        <v>0.0</v>
      </c>
      <c r="Z119" s="199">
        <v>0.0</v>
      </c>
      <c r="AA119" s="199">
        <v>0.0</v>
      </c>
      <c r="AB119" s="199">
        <v>8.0</v>
      </c>
      <c r="AC119" s="199">
        <v>26.0</v>
      </c>
      <c r="AD119" s="199">
        <v>0.0</v>
      </c>
      <c r="AE119" s="199">
        <v>35.0</v>
      </c>
      <c r="AF119" s="199">
        <v>5.0</v>
      </c>
      <c r="AG119" s="199">
        <v>461.0</v>
      </c>
      <c r="AH119" s="199">
        <v>39.0</v>
      </c>
      <c r="AI119" s="200" t="s">
        <v>715</v>
      </c>
      <c r="AJ119" s="200" t="s">
        <v>716</v>
      </c>
      <c r="AK119" s="200"/>
      <c r="AL119" s="204"/>
      <c r="AM119" s="204"/>
    </row>
    <row r="120">
      <c r="A120" s="199" t="s">
        <v>189</v>
      </c>
      <c r="B120" s="200" t="s">
        <v>430</v>
      </c>
      <c r="C120" s="199">
        <v>2.5180296251E10</v>
      </c>
      <c r="D120" s="201">
        <v>45826.0</v>
      </c>
      <c r="E120" s="202" t="s">
        <v>100</v>
      </c>
      <c r="F120" s="202" t="s">
        <v>100</v>
      </c>
      <c r="G120" s="203" t="s">
        <v>100</v>
      </c>
      <c r="H120" s="203" t="s">
        <v>100</v>
      </c>
      <c r="I120" s="199">
        <v>39625.0</v>
      </c>
      <c r="J120" s="199">
        <v>29071.0</v>
      </c>
      <c r="K120" s="199">
        <v>10032.0</v>
      </c>
      <c r="L120" s="199">
        <v>12.0</v>
      </c>
      <c r="M120" s="199">
        <v>298.4</v>
      </c>
      <c r="N120" s="199"/>
      <c r="O120" s="199">
        <v>1.0</v>
      </c>
      <c r="P120" s="199">
        <v>0.04</v>
      </c>
      <c r="Q120" s="199">
        <v>0.0</v>
      </c>
      <c r="R120" s="199">
        <v>0.0</v>
      </c>
      <c r="S120" s="199">
        <v>0.0</v>
      </c>
      <c r="T120" s="199">
        <v>0.0</v>
      </c>
      <c r="U120" s="199">
        <v>13.0</v>
      </c>
      <c r="V120" s="199">
        <v>0.0</v>
      </c>
      <c r="W120" s="199">
        <v>0.0</v>
      </c>
      <c r="X120" s="199">
        <v>1.0</v>
      </c>
      <c r="Y120" s="199">
        <v>0.0</v>
      </c>
      <c r="Z120" s="199">
        <v>0.0</v>
      </c>
      <c r="AA120" s="199">
        <v>0.0</v>
      </c>
      <c r="AB120" s="199">
        <v>2.0</v>
      </c>
      <c r="AC120" s="199">
        <v>25.0</v>
      </c>
      <c r="AD120" s="199">
        <v>0.0</v>
      </c>
      <c r="AE120" s="199">
        <v>19.0</v>
      </c>
      <c r="AF120" s="199">
        <v>2.0</v>
      </c>
      <c r="AG120" s="199">
        <v>352.0</v>
      </c>
      <c r="AH120" s="199">
        <v>21.0</v>
      </c>
      <c r="AI120" s="200" t="s">
        <v>100</v>
      </c>
      <c r="AJ120" s="200" t="s">
        <v>717</v>
      </c>
      <c r="AK120" s="200"/>
      <c r="AL120" s="204"/>
      <c r="AM120" s="204"/>
    </row>
    <row r="121">
      <c r="A121" s="199" t="s">
        <v>189</v>
      </c>
      <c r="B121" s="200" t="s">
        <v>430</v>
      </c>
      <c r="C121" s="199">
        <v>2.5295220225E10</v>
      </c>
      <c r="D121" s="201">
        <v>45946.0</v>
      </c>
      <c r="E121" s="202" t="s">
        <v>100</v>
      </c>
      <c r="F121" s="202" t="s">
        <v>100</v>
      </c>
      <c r="G121" s="203" t="s">
        <v>100</v>
      </c>
      <c r="H121" s="203" t="s">
        <v>100</v>
      </c>
      <c r="I121" s="199">
        <v>39261.0</v>
      </c>
      <c r="J121" s="199">
        <v>19107.0</v>
      </c>
      <c r="K121" s="199">
        <v>6518.0</v>
      </c>
      <c r="L121" s="199">
        <v>14.0</v>
      </c>
      <c r="M121" s="199">
        <v>295.7</v>
      </c>
      <c r="N121" s="199"/>
      <c r="O121" s="199">
        <v>2.0</v>
      </c>
      <c r="P121" s="199">
        <v>0.04</v>
      </c>
      <c r="Q121" s="199">
        <v>0.0</v>
      </c>
      <c r="R121" s="199">
        <v>0.0</v>
      </c>
      <c r="S121" s="199">
        <v>0.0</v>
      </c>
      <c r="T121" s="199">
        <v>0.0</v>
      </c>
      <c r="U121" s="199">
        <v>7.0</v>
      </c>
      <c r="V121" s="199">
        <v>0.0</v>
      </c>
      <c r="W121" s="199">
        <v>0.0</v>
      </c>
      <c r="X121" s="199">
        <v>0.0</v>
      </c>
      <c r="Y121" s="199">
        <v>0.0</v>
      </c>
      <c r="Z121" s="199">
        <v>0.0</v>
      </c>
      <c r="AA121" s="199">
        <v>0.0</v>
      </c>
      <c r="AB121" s="199">
        <v>2.0</v>
      </c>
      <c r="AC121" s="199">
        <v>26.0</v>
      </c>
      <c r="AD121" s="199">
        <v>0.0</v>
      </c>
      <c r="AE121" s="199">
        <v>13.0</v>
      </c>
      <c r="AF121" s="199">
        <v>2.0</v>
      </c>
      <c r="AG121" s="199">
        <v>373.0</v>
      </c>
      <c r="AH121" s="199">
        <v>4.0</v>
      </c>
      <c r="AI121" s="200" t="s">
        <v>100</v>
      </c>
      <c r="AJ121" s="200" t="s">
        <v>718</v>
      </c>
      <c r="AK121" s="200"/>
      <c r="AL121" s="204"/>
      <c r="AM121" s="204"/>
    </row>
    <row r="122">
      <c r="A122" s="199" t="s">
        <v>189</v>
      </c>
      <c r="B122" s="200" t="s">
        <v>430</v>
      </c>
      <c r="C122" s="199">
        <v>2.6090313208E10</v>
      </c>
      <c r="D122" s="201">
        <v>46093.0</v>
      </c>
      <c r="E122" s="202" t="s">
        <v>102</v>
      </c>
      <c r="F122" s="202" t="s">
        <v>102</v>
      </c>
      <c r="G122" s="203" t="s">
        <v>100</v>
      </c>
      <c r="H122" s="203" t="s">
        <v>100</v>
      </c>
      <c r="I122" s="37"/>
      <c r="J122" s="37"/>
      <c r="K122" s="37"/>
      <c r="L122" s="199">
        <v>16.0</v>
      </c>
      <c r="M122" s="199">
        <v>328.7</v>
      </c>
      <c r="N122" s="199"/>
      <c r="O122" s="199">
        <v>0.0</v>
      </c>
      <c r="P122" s="199">
        <v>0.04</v>
      </c>
      <c r="Q122" s="199">
        <v>0.0</v>
      </c>
      <c r="R122" s="199">
        <v>0.0</v>
      </c>
      <c r="S122" s="199">
        <v>0.0</v>
      </c>
      <c r="T122" s="199">
        <v>2.0</v>
      </c>
      <c r="U122" s="199">
        <v>2.0</v>
      </c>
      <c r="V122" s="199">
        <v>0.0</v>
      </c>
      <c r="W122" s="199">
        <v>0.0</v>
      </c>
      <c r="X122" s="199">
        <v>0.0</v>
      </c>
      <c r="Y122" s="199">
        <v>0.0</v>
      </c>
      <c r="Z122" s="199">
        <v>0.0</v>
      </c>
      <c r="AA122" s="199">
        <v>0.0</v>
      </c>
      <c r="AB122" s="199">
        <v>0.0</v>
      </c>
      <c r="AC122" s="199">
        <v>14.0</v>
      </c>
      <c r="AD122" s="199">
        <v>0.0</v>
      </c>
      <c r="AE122" s="199">
        <v>0.0</v>
      </c>
      <c r="AF122" s="199">
        <v>0.0</v>
      </c>
      <c r="AG122" s="199">
        <v>320.0</v>
      </c>
      <c r="AH122" s="199">
        <v>16.0</v>
      </c>
      <c r="AI122" s="200" t="s">
        <v>593</v>
      </c>
      <c r="AJ122" s="200" t="s">
        <v>719</v>
      </c>
      <c r="AK122" s="200"/>
      <c r="AL122" s="204"/>
      <c r="AM122" s="204"/>
    </row>
    <row r="123">
      <c r="A123" s="199" t="s">
        <v>190</v>
      </c>
      <c r="B123" s="200" t="s">
        <v>431</v>
      </c>
      <c r="C123" s="199">
        <v>2.5175246228E10</v>
      </c>
      <c r="D123" s="201">
        <v>45826.0</v>
      </c>
      <c r="E123" s="202" t="s">
        <v>102</v>
      </c>
      <c r="F123" s="202" t="s">
        <v>102</v>
      </c>
      <c r="G123" s="203" t="s">
        <v>100</v>
      </c>
      <c r="H123" s="203" t="s">
        <v>100</v>
      </c>
      <c r="I123" s="37"/>
      <c r="J123" s="37"/>
      <c r="K123" s="37"/>
      <c r="L123" s="199">
        <v>19.0</v>
      </c>
      <c r="M123" s="199">
        <v>313.9</v>
      </c>
      <c r="N123" s="199"/>
      <c r="O123" s="199">
        <v>1.0</v>
      </c>
      <c r="P123" s="199">
        <v>0.05</v>
      </c>
      <c r="Q123" s="199">
        <v>0.0</v>
      </c>
      <c r="R123" s="199">
        <v>4.0</v>
      </c>
      <c r="S123" s="199">
        <v>2.0</v>
      </c>
      <c r="T123" s="199">
        <v>1.0</v>
      </c>
      <c r="U123" s="199">
        <v>20.0</v>
      </c>
      <c r="V123" s="199">
        <v>0.0</v>
      </c>
      <c r="W123" s="199">
        <v>0.0</v>
      </c>
      <c r="X123" s="199">
        <v>0.0</v>
      </c>
      <c r="Y123" s="199">
        <v>0.0</v>
      </c>
      <c r="Z123" s="199">
        <v>2.0</v>
      </c>
      <c r="AA123" s="199">
        <v>0.0</v>
      </c>
      <c r="AB123" s="199">
        <v>9.0</v>
      </c>
      <c r="AC123" s="199">
        <v>21.0</v>
      </c>
      <c r="AD123" s="199">
        <v>0.0</v>
      </c>
      <c r="AE123" s="199">
        <v>23.0</v>
      </c>
      <c r="AF123" s="199">
        <v>3.0</v>
      </c>
      <c r="AG123" s="199">
        <v>459.0</v>
      </c>
      <c r="AH123" s="199">
        <v>0.0</v>
      </c>
      <c r="AI123" s="200" t="s">
        <v>720</v>
      </c>
      <c r="AJ123" s="200" t="s">
        <v>721</v>
      </c>
      <c r="AK123" s="200"/>
      <c r="AL123" s="204"/>
      <c r="AM123" s="204"/>
    </row>
    <row r="124">
      <c r="A124" s="199" t="s">
        <v>190</v>
      </c>
      <c r="B124" s="200" t="s">
        <v>431</v>
      </c>
      <c r="C124" s="199">
        <v>2.5295220216E10</v>
      </c>
      <c r="D124" s="201">
        <v>45946.0</v>
      </c>
      <c r="E124" s="202" t="s">
        <v>102</v>
      </c>
      <c r="F124" s="202" t="s">
        <v>102</v>
      </c>
      <c r="G124" s="203" t="s">
        <v>100</v>
      </c>
      <c r="H124" s="203" t="s">
        <v>100</v>
      </c>
      <c r="I124" s="37"/>
      <c r="J124" s="37"/>
      <c r="K124" s="37"/>
      <c r="L124" s="199">
        <v>20.0</v>
      </c>
      <c r="M124" s="199">
        <v>298.6</v>
      </c>
      <c r="N124" s="199"/>
      <c r="O124" s="199">
        <v>1.0</v>
      </c>
      <c r="P124" s="199">
        <v>0.05</v>
      </c>
      <c r="Q124" s="199">
        <v>0.0</v>
      </c>
      <c r="R124" s="199">
        <v>0.0</v>
      </c>
      <c r="S124" s="199">
        <v>0.0</v>
      </c>
      <c r="T124" s="199">
        <v>0.0</v>
      </c>
      <c r="U124" s="199">
        <v>9.0</v>
      </c>
      <c r="V124" s="199">
        <v>0.0</v>
      </c>
      <c r="W124" s="199">
        <v>0.0</v>
      </c>
      <c r="X124" s="199">
        <v>0.0</v>
      </c>
      <c r="Y124" s="199">
        <v>0.0</v>
      </c>
      <c r="Z124" s="199">
        <v>2.0</v>
      </c>
      <c r="AA124" s="199">
        <v>0.0</v>
      </c>
      <c r="AB124" s="199">
        <v>2.0</v>
      </c>
      <c r="AC124" s="199">
        <v>12.0</v>
      </c>
      <c r="AD124" s="199">
        <v>0.0</v>
      </c>
      <c r="AE124" s="199">
        <v>10.0</v>
      </c>
      <c r="AF124" s="199">
        <v>0.0</v>
      </c>
      <c r="AG124" s="199">
        <v>431.0</v>
      </c>
      <c r="AH124" s="199">
        <v>0.0</v>
      </c>
      <c r="AI124" s="200" t="s">
        <v>626</v>
      </c>
      <c r="AJ124" s="200" t="s">
        <v>722</v>
      </c>
      <c r="AK124" s="200"/>
      <c r="AL124" s="204"/>
      <c r="AM124" s="204"/>
    </row>
    <row r="125">
      <c r="A125" s="199" t="s">
        <v>190</v>
      </c>
      <c r="B125" s="200" t="s">
        <v>431</v>
      </c>
      <c r="C125" s="199">
        <v>2.6090313207E10</v>
      </c>
      <c r="D125" s="201">
        <v>46093.0</v>
      </c>
      <c r="E125" s="202" t="s">
        <v>101</v>
      </c>
      <c r="F125" s="202" t="s">
        <v>102</v>
      </c>
      <c r="G125" s="203" t="s">
        <v>100</v>
      </c>
      <c r="H125" s="203" t="s">
        <v>101</v>
      </c>
      <c r="I125" s="37"/>
      <c r="J125" s="37"/>
      <c r="K125" s="37"/>
      <c r="L125" s="199">
        <v>12.0</v>
      </c>
      <c r="M125" s="199">
        <v>418.4</v>
      </c>
      <c r="N125" s="199"/>
      <c r="O125" s="199">
        <v>0.0</v>
      </c>
      <c r="P125" s="199">
        <v>0.05</v>
      </c>
      <c r="Q125" s="199">
        <v>0.0</v>
      </c>
      <c r="R125" s="199">
        <v>0.0</v>
      </c>
      <c r="S125" s="199">
        <v>0.0</v>
      </c>
      <c r="T125" s="199">
        <v>2.0</v>
      </c>
      <c r="U125" s="199">
        <v>1.0</v>
      </c>
      <c r="V125" s="199">
        <v>0.0</v>
      </c>
      <c r="W125" s="199">
        <v>0.0</v>
      </c>
      <c r="X125" s="199">
        <v>0.0</v>
      </c>
      <c r="Y125" s="199">
        <v>0.0</v>
      </c>
      <c r="Z125" s="199">
        <v>0.0</v>
      </c>
      <c r="AA125" s="199">
        <v>0.0</v>
      </c>
      <c r="AB125" s="199">
        <v>28.0</v>
      </c>
      <c r="AC125" s="199">
        <v>3.0</v>
      </c>
      <c r="AD125" s="199">
        <v>0.0</v>
      </c>
      <c r="AE125" s="199">
        <v>3.0</v>
      </c>
      <c r="AF125" s="199">
        <v>0.0</v>
      </c>
      <c r="AG125" s="199">
        <v>591.0</v>
      </c>
      <c r="AH125" s="199">
        <v>12.0</v>
      </c>
      <c r="AI125" s="200" t="s">
        <v>723</v>
      </c>
      <c r="AJ125" s="200" t="s">
        <v>724</v>
      </c>
      <c r="AK125" s="200"/>
      <c r="AL125" s="204"/>
      <c r="AM125" s="204"/>
    </row>
    <row r="126">
      <c r="A126" s="199" t="s">
        <v>210</v>
      </c>
      <c r="B126" s="200" t="s">
        <v>442</v>
      </c>
      <c r="C126" s="199">
        <v>2.4021211227E10</v>
      </c>
      <c r="D126" s="201">
        <v>45309.0</v>
      </c>
      <c r="E126" s="202" t="s">
        <v>100</v>
      </c>
      <c r="F126" s="202" t="s">
        <v>100</v>
      </c>
      <c r="G126" s="203" t="s">
        <v>100</v>
      </c>
      <c r="H126" s="203" t="s">
        <v>100</v>
      </c>
      <c r="I126" s="199">
        <v>19281.0</v>
      </c>
      <c r="J126" s="199">
        <v>7231.0</v>
      </c>
      <c r="K126" s="199">
        <v>951.0</v>
      </c>
      <c r="L126" s="199">
        <v>7.0</v>
      </c>
      <c r="M126" s="199">
        <v>65.9</v>
      </c>
      <c r="N126" s="37"/>
      <c r="O126" s="37"/>
      <c r="P126" s="199">
        <v>0.01</v>
      </c>
      <c r="Q126" s="199">
        <v>0.0</v>
      </c>
      <c r="R126" s="199">
        <v>4.0</v>
      </c>
      <c r="S126" s="199">
        <v>0.0</v>
      </c>
      <c r="T126" s="199">
        <v>0.0</v>
      </c>
      <c r="U126" s="199">
        <v>0.0</v>
      </c>
      <c r="V126" s="199">
        <v>0.0</v>
      </c>
      <c r="W126" s="199">
        <v>0.0</v>
      </c>
      <c r="X126" s="199">
        <v>0.0</v>
      </c>
      <c r="Y126" s="199">
        <v>0.0</v>
      </c>
      <c r="Z126" s="199">
        <v>0.0</v>
      </c>
      <c r="AA126" s="199">
        <v>0.0</v>
      </c>
      <c r="AB126" s="199">
        <v>0.0</v>
      </c>
      <c r="AC126" s="199">
        <v>11.0</v>
      </c>
      <c r="AD126" s="199">
        <v>0.0</v>
      </c>
      <c r="AE126" s="199">
        <v>1.0</v>
      </c>
      <c r="AF126" s="199">
        <v>0.0</v>
      </c>
      <c r="AG126" s="199">
        <v>542.0</v>
      </c>
      <c r="AH126" s="199">
        <v>2.0</v>
      </c>
      <c r="AI126" s="200" t="s">
        <v>100</v>
      </c>
      <c r="AJ126" s="200" t="s">
        <v>725</v>
      </c>
      <c r="AK126" s="200"/>
      <c r="AL126" s="204"/>
      <c r="AM126" s="204"/>
    </row>
    <row r="127">
      <c r="A127" s="199" t="s">
        <v>210</v>
      </c>
      <c r="B127" s="200" t="s">
        <v>442</v>
      </c>
      <c r="C127" s="199">
        <v>2.4307211223E10</v>
      </c>
      <c r="D127" s="201">
        <v>45589.0</v>
      </c>
      <c r="E127" s="202" t="s">
        <v>100</v>
      </c>
      <c r="F127" s="202" t="s">
        <v>100</v>
      </c>
      <c r="G127" s="203" t="s">
        <v>100</v>
      </c>
      <c r="H127" s="203" t="s">
        <v>100</v>
      </c>
      <c r="I127" s="199">
        <v>9681.0</v>
      </c>
      <c r="J127" s="199">
        <v>4615.0</v>
      </c>
      <c r="K127" s="199">
        <v>1135.0</v>
      </c>
      <c r="L127" s="199">
        <v>3.0</v>
      </c>
      <c r="M127" s="199">
        <v>66.1</v>
      </c>
      <c r="N127" s="37"/>
      <c r="O127" s="37"/>
      <c r="P127" s="199">
        <v>0.003</v>
      </c>
      <c r="Q127" s="199">
        <v>0.0</v>
      </c>
      <c r="R127" s="199">
        <v>2.0</v>
      </c>
      <c r="S127" s="199">
        <v>1.0</v>
      </c>
      <c r="T127" s="199">
        <v>0.0</v>
      </c>
      <c r="U127" s="199">
        <v>6.0</v>
      </c>
      <c r="V127" s="199">
        <v>2.0</v>
      </c>
      <c r="W127" s="199">
        <v>0.0</v>
      </c>
      <c r="X127" s="199">
        <v>0.0</v>
      </c>
      <c r="Y127" s="199">
        <v>0.0</v>
      </c>
      <c r="Z127" s="199">
        <v>2.0</v>
      </c>
      <c r="AA127" s="199">
        <v>0.0</v>
      </c>
      <c r="AB127" s="199">
        <v>6.0</v>
      </c>
      <c r="AC127" s="199">
        <v>11.0</v>
      </c>
      <c r="AD127" s="199">
        <v>0.0</v>
      </c>
      <c r="AE127" s="199">
        <v>16.0</v>
      </c>
      <c r="AF127" s="199">
        <v>0.0</v>
      </c>
      <c r="AG127" s="199">
        <v>1146.0</v>
      </c>
      <c r="AH127" s="199">
        <v>10.0</v>
      </c>
      <c r="AI127" s="200" t="s">
        <v>100</v>
      </c>
      <c r="AJ127" s="200" t="s">
        <v>709</v>
      </c>
      <c r="AK127" s="200"/>
      <c r="AL127" s="204"/>
      <c r="AM127" s="204"/>
    </row>
    <row r="128">
      <c r="A128" s="199" t="s">
        <v>210</v>
      </c>
      <c r="B128" s="200" t="s">
        <v>442</v>
      </c>
      <c r="C128" s="199">
        <v>2.529522021E10</v>
      </c>
      <c r="D128" s="201">
        <v>45946.0</v>
      </c>
      <c r="E128" s="202" t="s">
        <v>100</v>
      </c>
      <c r="F128" s="202" t="s">
        <v>100</v>
      </c>
      <c r="G128" s="203" t="s">
        <v>100</v>
      </c>
      <c r="H128" s="203" t="s">
        <v>100</v>
      </c>
      <c r="I128" s="199">
        <v>9631.0</v>
      </c>
      <c r="J128" s="199">
        <v>3402.0</v>
      </c>
      <c r="K128" s="199">
        <v>919.0</v>
      </c>
      <c r="L128" s="199">
        <v>6.0</v>
      </c>
      <c r="M128" s="199">
        <v>63.8</v>
      </c>
      <c r="N128" s="37"/>
      <c r="O128" s="37"/>
      <c r="P128" s="199">
        <v>0.01</v>
      </c>
      <c r="Q128" s="199">
        <v>0.0</v>
      </c>
      <c r="R128" s="199">
        <v>0.0</v>
      </c>
      <c r="S128" s="199">
        <v>0.0</v>
      </c>
      <c r="T128" s="199">
        <v>0.0</v>
      </c>
      <c r="U128" s="199">
        <v>0.0</v>
      </c>
      <c r="V128" s="199">
        <v>0.0</v>
      </c>
      <c r="W128" s="199">
        <v>0.0</v>
      </c>
      <c r="X128" s="199">
        <v>0.0</v>
      </c>
      <c r="Y128" s="199">
        <v>0.0</v>
      </c>
      <c r="Z128" s="199">
        <v>2.0</v>
      </c>
      <c r="AA128" s="199">
        <v>0.0</v>
      </c>
      <c r="AB128" s="199">
        <v>0.0</v>
      </c>
      <c r="AC128" s="199">
        <v>0.0</v>
      </c>
      <c r="AD128" s="199">
        <v>0.0</v>
      </c>
      <c r="AE128" s="199">
        <v>0.0</v>
      </c>
      <c r="AF128" s="199">
        <v>0.0</v>
      </c>
      <c r="AG128" s="199">
        <v>547.0</v>
      </c>
      <c r="AH128" s="199">
        <v>0.0</v>
      </c>
      <c r="AI128" s="200" t="s">
        <v>100</v>
      </c>
      <c r="AJ128" s="200" t="s">
        <v>709</v>
      </c>
      <c r="AK128" s="200"/>
      <c r="AL128" s="204"/>
      <c r="AM128" s="204"/>
    </row>
    <row r="129">
      <c r="A129" s="199" t="s">
        <v>210</v>
      </c>
      <c r="B129" s="200" t="s">
        <v>442</v>
      </c>
      <c r="C129" s="199">
        <v>2.6061630203E10</v>
      </c>
      <c r="D129" s="201">
        <v>46064.0</v>
      </c>
      <c r="E129" s="202" t="s">
        <v>100</v>
      </c>
      <c r="F129" s="202" t="s">
        <v>100</v>
      </c>
      <c r="G129" s="203" t="s">
        <v>100</v>
      </c>
      <c r="H129" s="203" t="s">
        <v>100</v>
      </c>
      <c r="I129" s="199">
        <v>9891.0</v>
      </c>
      <c r="J129" s="199">
        <v>4789.0</v>
      </c>
      <c r="K129" s="199">
        <v>1287.0</v>
      </c>
      <c r="L129" s="199">
        <v>5.0</v>
      </c>
      <c r="M129" s="199">
        <v>68.6</v>
      </c>
      <c r="N129" s="37"/>
      <c r="O129" s="37"/>
      <c r="P129" s="199">
        <v>0.003</v>
      </c>
      <c r="Q129" s="199">
        <v>0.0</v>
      </c>
      <c r="R129" s="199">
        <v>0.0</v>
      </c>
      <c r="S129" s="199">
        <v>0.0</v>
      </c>
      <c r="T129" s="199">
        <v>0.0</v>
      </c>
      <c r="U129" s="199">
        <v>0.0</v>
      </c>
      <c r="V129" s="199">
        <v>0.0</v>
      </c>
      <c r="W129" s="199">
        <v>0.0</v>
      </c>
      <c r="X129" s="199">
        <v>0.0</v>
      </c>
      <c r="Y129" s="199">
        <v>0.0</v>
      </c>
      <c r="Z129" s="199">
        <v>0.0</v>
      </c>
      <c r="AA129" s="199">
        <v>0.0</v>
      </c>
      <c r="AB129" s="199">
        <v>0.0</v>
      </c>
      <c r="AC129" s="199">
        <v>0.0</v>
      </c>
      <c r="AD129" s="199">
        <v>0.0</v>
      </c>
      <c r="AE129" s="199">
        <v>0.0</v>
      </c>
      <c r="AF129" s="199">
        <v>0.0</v>
      </c>
      <c r="AG129" s="199">
        <v>558.0</v>
      </c>
      <c r="AH129" s="199">
        <v>0.0</v>
      </c>
      <c r="AI129" s="200" t="s">
        <v>100</v>
      </c>
      <c r="AJ129" s="200" t="s">
        <v>709</v>
      </c>
      <c r="AK129" s="200"/>
      <c r="AL129" s="204"/>
      <c r="AM129" s="204"/>
    </row>
    <row r="130">
      <c r="A130" s="199" t="s">
        <v>215</v>
      </c>
      <c r="B130" s="200" t="s">
        <v>447</v>
      </c>
      <c r="C130" s="199">
        <v>2.5259169214E10</v>
      </c>
      <c r="D130" s="201">
        <v>45909.0</v>
      </c>
      <c r="E130" s="202" t="s">
        <v>100</v>
      </c>
      <c r="F130" s="202" t="s">
        <v>100</v>
      </c>
      <c r="G130" s="203" t="s">
        <v>100</v>
      </c>
      <c r="H130" s="203" t="s">
        <v>100</v>
      </c>
      <c r="I130" s="199">
        <v>38351.0</v>
      </c>
      <c r="J130" s="199">
        <v>21681.0</v>
      </c>
      <c r="K130" s="199">
        <v>9474.0</v>
      </c>
      <c r="L130" s="199">
        <v>10.0</v>
      </c>
      <c r="M130" s="199">
        <v>306.7</v>
      </c>
      <c r="N130" s="199"/>
      <c r="O130" s="199">
        <v>1.0</v>
      </c>
      <c r="P130" s="199">
        <v>0.04</v>
      </c>
      <c r="Q130" s="199">
        <v>0.0</v>
      </c>
      <c r="R130" s="199">
        <v>3.0</v>
      </c>
      <c r="S130" s="199">
        <v>1.0</v>
      </c>
      <c r="T130" s="199">
        <v>5.0</v>
      </c>
      <c r="U130" s="199">
        <v>10.0</v>
      </c>
      <c r="V130" s="199">
        <v>0.0</v>
      </c>
      <c r="W130" s="199">
        <v>0.0</v>
      </c>
      <c r="X130" s="199">
        <v>0.0</v>
      </c>
      <c r="Y130" s="199">
        <v>0.0</v>
      </c>
      <c r="Z130" s="199">
        <v>2.0</v>
      </c>
      <c r="AA130" s="199">
        <v>0.0</v>
      </c>
      <c r="AB130" s="199">
        <v>6.0</v>
      </c>
      <c r="AC130" s="199">
        <v>2.0</v>
      </c>
      <c r="AD130" s="199">
        <v>0.0</v>
      </c>
      <c r="AE130" s="199">
        <v>19.0</v>
      </c>
      <c r="AF130" s="199">
        <v>0.0</v>
      </c>
      <c r="AG130" s="199">
        <v>370.0</v>
      </c>
      <c r="AH130" s="199">
        <v>5.0</v>
      </c>
      <c r="AI130" s="200" t="s">
        <v>100</v>
      </c>
      <c r="AJ130" s="200" t="s">
        <v>726</v>
      </c>
      <c r="AK130" s="200"/>
      <c r="AL130" s="204"/>
      <c r="AM130" s="204"/>
    </row>
    <row r="131">
      <c r="A131" s="199" t="s">
        <v>215</v>
      </c>
      <c r="B131" s="200" t="s">
        <v>447</v>
      </c>
      <c r="C131" s="199">
        <v>2.5330281217E10</v>
      </c>
      <c r="D131" s="201">
        <v>45977.0</v>
      </c>
      <c r="E131" s="202" t="s">
        <v>101</v>
      </c>
      <c r="F131" s="202" t="s">
        <v>101</v>
      </c>
      <c r="G131" s="203" t="s">
        <v>100</v>
      </c>
      <c r="H131" s="203" t="s">
        <v>100</v>
      </c>
      <c r="I131" s="199">
        <v>43921.0</v>
      </c>
      <c r="J131" s="199">
        <v>28089.0</v>
      </c>
      <c r="K131" s="199">
        <v>10911.0</v>
      </c>
      <c r="L131" s="199">
        <v>15.0</v>
      </c>
      <c r="M131" s="199">
        <v>306.7</v>
      </c>
      <c r="N131" s="199"/>
      <c r="O131" s="199">
        <v>2.0</v>
      </c>
      <c r="P131" s="199">
        <v>0.01</v>
      </c>
      <c r="Q131" s="199">
        <v>0.0</v>
      </c>
      <c r="R131" s="199">
        <v>0.0</v>
      </c>
      <c r="S131" s="199">
        <v>0.0</v>
      </c>
      <c r="T131" s="199">
        <v>0.0</v>
      </c>
      <c r="U131" s="199">
        <v>14.0</v>
      </c>
      <c r="V131" s="199">
        <v>5.0</v>
      </c>
      <c r="W131" s="199">
        <v>0.0</v>
      </c>
      <c r="X131" s="199">
        <v>0.0</v>
      </c>
      <c r="Y131" s="199">
        <v>0.0</v>
      </c>
      <c r="Z131" s="199">
        <v>2.0</v>
      </c>
      <c r="AA131" s="199">
        <v>0.0</v>
      </c>
      <c r="AB131" s="199">
        <v>30.0</v>
      </c>
      <c r="AC131" s="199">
        <v>25.0</v>
      </c>
      <c r="AD131" s="199">
        <v>0.0</v>
      </c>
      <c r="AE131" s="199">
        <v>38.0</v>
      </c>
      <c r="AF131" s="199">
        <v>6.0</v>
      </c>
      <c r="AG131" s="199">
        <v>360.0</v>
      </c>
      <c r="AH131" s="199">
        <v>7.0</v>
      </c>
      <c r="AI131" s="200" t="s">
        <v>727</v>
      </c>
      <c r="AJ131" s="200" t="s">
        <v>728</v>
      </c>
      <c r="AK131" s="200"/>
      <c r="AL131" s="204"/>
      <c r="AM131" s="204"/>
    </row>
    <row r="132">
      <c r="A132" s="199" t="s">
        <v>215</v>
      </c>
      <c r="B132" s="200" t="s">
        <v>447</v>
      </c>
      <c r="C132" s="199">
        <v>2.6005501203E10</v>
      </c>
      <c r="D132" s="201">
        <v>46007.0</v>
      </c>
      <c r="E132" s="202" t="s">
        <v>100</v>
      </c>
      <c r="F132" s="202" t="s">
        <v>100</v>
      </c>
      <c r="G132" s="203" t="s">
        <v>100</v>
      </c>
      <c r="H132" s="203" t="s">
        <v>100</v>
      </c>
      <c r="I132" s="199">
        <v>33514.0</v>
      </c>
      <c r="J132" s="199">
        <v>19210.0</v>
      </c>
      <c r="K132" s="199">
        <v>9184.0</v>
      </c>
      <c r="L132" s="199">
        <v>10.0</v>
      </c>
      <c r="M132" s="199">
        <v>305.3</v>
      </c>
      <c r="N132" s="199"/>
      <c r="O132" s="199">
        <v>1.0</v>
      </c>
      <c r="P132" s="199">
        <v>0.01</v>
      </c>
      <c r="Q132" s="199">
        <v>0.0</v>
      </c>
      <c r="R132" s="199">
        <v>0.0</v>
      </c>
      <c r="S132" s="199">
        <v>0.0</v>
      </c>
      <c r="T132" s="199">
        <v>0.0</v>
      </c>
      <c r="U132" s="199">
        <v>8.0</v>
      </c>
      <c r="V132" s="199">
        <v>0.0</v>
      </c>
      <c r="W132" s="199">
        <v>0.0</v>
      </c>
      <c r="X132" s="199">
        <v>0.0</v>
      </c>
      <c r="Y132" s="199">
        <v>0.0</v>
      </c>
      <c r="Z132" s="199">
        <v>0.0</v>
      </c>
      <c r="AA132" s="199">
        <v>0.0</v>
      </c>
      <c r="AB132" s="199">
        <v>0.0</v>
      </c>
      <c r="AC132" s="199">
        <v>12.0</v>
      </c>
      <c r="AD132" s="199">
        <v>0.0</v>
      </c>
      <c r="AE132" s="199">
        <v>12.0</v>
      </c>
      <c r="AF132" s="199">
        <v>2.0</v>
      </c>
      <c r="AG132" s="199">
        <v>568.0</v>
      </c>
      <c r="AH132" s="199">
        <v>54.0</v>
      </c>
      <c r="AI132" s="200" t="s">
        <v>100</v>
      </c>
      <c r="AJ132" s="200" t="s">
        <v>729</v>
      </c>
      <c r="AK132" s="200"/>
      <c r="AL132" s="204"/>
      <c r="AM132" s="204"/>
    </row>
    <row r="133">
      <c r="A133" s="199" t="s">
        <v>220</v>
      </c>
      <c r="B133" s="200" t="s">
        <v>449</v>
      </c>
      <c r="C133" s="199">
        <v>2.5294210203E10</v>
      </c>
      <c r="D133" s="201">
        <v>45946.0</v>
      </c>
      <c r="E133" s="202" t="s">
        <v>100</v>
      </c>
      <c r="F133" s="202" t="s">
        <v>100</v>
      </c>
      <c r="G133" s="203" t="s">
        <v>100</v>
      </c>
      <c r="H133" s="203" t="s">
        <v>100</v>
      </c>
      <c r="I133" s="199">
        <v>9370.0</v>
      </c>
      <c r="J133" s="199">
        <v>3168.0</v>
      </c>
      <c r="K133" s="199">
        <v>999.0</v>
      </c>
      <c r="L133" s="199">
        <v>6.0</v>
      </c>
      <c r="M133" s="199">
        <v>45.5</v>
      </c>
      <c r="N133" s="199"/>
      <c r="O133" s="199">
        <v>0.0</v>
      </c>
      <c r="P133" s="199">
        <v>0.01</v>
      </c>
      <c r="Q133" s="199">
        <v>0.0</v>
      </c>
      <c r="R133" s="199">
        <v>3.0</v>
      </c>
      <c r="S133" s="199">
        <v>0.0</v>
      </c>
      <c r="T133" s="199">
        <v>3.0</v>
      </c>
      <c r="U133" s="199">
        <v>3.0</v>
      </c>
      <c r="V133" s="199">
        <v>0.0</v>
      </c>
      <c r="W133" s="199">
        <v>0.0</v>
      </c>
      <c r="X133" s="199">
        <v>0.0</v>
      </c>
      <c r="Y133" s="199">
        <v>0.0</v>
      </c>
      <c r="Z133" s="199">
        <v>0.0</v>
      </c>
      <c r="AA133" s="199">
        <v>0.0</v>
      </c>
      <c r="AB133" s="199">
        <v>3.0</v>
      </c>
      <c r="AC133" s="199">
        <v>0.0</v>
      </c>
      <c r="AD133" s="199">
        <v>0.0</v>
      </c>
      <c r="AE133" s="199">
        <v>41.0</v>
      </c>
      <c r="AF133" s="199">
        <v>0.0</v>
      </c>
      <c r="AG133" s="199">
        <v>284.0</v>
      </c>
      <c r="AH133" s="199">
        <v>255.0</v>
      </c>
      <c r="AI133" s="200" t="s">
        <v>100</v>
      </c>
      <c r="AJ133" s="200" t="s">
        <v>709</v>
      </c>
      <c r="AK133" s="200"/>
      <c r="AL133" s="204"/>
      <c r="AM133" s="204"/>
    </row>
    <row r="134">
      <c r="A134" s="199" t="s">
        <v>220</v>
      </c>
      <c r="B134" s="200" t="s">
        <v>449</v>
      </c>
      <c r="C134" s="199">
        <v>2.5330261213E10</v>
      </c>
      <c r="D134" s="201">
        <v>45977.0</v>
      </c>
      <c r="E134" s="202" t="s">
        <v>100</v>
      </c>
      <c r="F134" s="202" t="s">
        <v>100</v>
      </c>
      <c r="G134" s="203" t="s">
        <v>100</v>
      </c>
      <c r="H134" s="203" t="s">
        <v>100</v>
      </c>
      <c r="I134" s="199">
        <v>10919.0</v>
      </c>
      <c r="J134" s="199">
        <v>6142.0</v>
      </c>
      <c r="K134" s="199">
        <v>3188.0</v>
      </c>
      <c r="L134" s="199">
        <v>8.0</v>
      </c>
      <c r="M134" s="199">
        <v>45.8</v>
      </c>
      <c r="N134" s="199"/>
      <c r="O134" s="199">
        <v>0.0</v>
      </c>
      <c r="P134" s="199">
        <v>0.01</v>
      </c>
      <c r="Q134" s="199">
        <v>0.0</v>
      </c>
      <c r="R134" s="199">
        <v>0.0</v>
      </c>
      <c r="S134" s="199">
        <v>0.0</v>
      </c>
      <c r="T134" s="199">
        <v>0.0</v>
      </c>
      <c r="U134" s="199">
        <v>2.0</v>
      </c>
      <c r="V134" s="199">
        <v>0.0</v>
      </c>
      <c r="W134" s="199">
        <v>0.0</v>
      </c>
      <c r="X134" s="199">
        <v>0.0</v>
      </c>
      <c r="Y134" s="199">
        <v>0.0</v>
      </c>
      <c r="Z134" s="199">
        <v>0.0</v>
      </c>
      <c r="AA134" s="199">
        <v>0.0</v>
      </c>
      <c r="AB134" s="199">
        <v>0.0</v>
      </c>
      <c r="AC134" s="199">
        <v>2.0</v>
      </c>
      <c r="AD134" s="199">
        <v>0.0</v>
      </c>
      <c r="AE134" s="199">
        <v>80.0</v>
      </c>
      <c r="AF134" s="199">
        <v>0.0</v>
      </c>
      <c r="AG134" s="199">
        <v>421.0</v>
      </c>
      <c r="AH134" s="199">
        <v>397.0</v>
      </c>
      <c r="AI134" s="200" t="s">
        <v>100</v>
      </c>
      <c r="AJ134" s="200" t="s">
        <v>730</v>
      </c>
      <c r="AK134" s="200"/>
      <c r="AL134" s="204"/>
      <c r="AM134" s="204"/>
    </row>
    <row r="135">
      <c r="A135" s="199" t="s">
        <v>220</v>
      </c>
      <c r="B135" s="200" t="s">
        <v>449</v>
      </c>
      <c r="C135" s="199">
        <v>2.6061230214E10</v>
      </c>
      <c r="D135" s="201">
        <v>46054.0</v>
      </c>
      <c r="E135" s="202" t="s">
        <v>102</v>
      </c>
      <c r="F135" s="202" t="s">
        <v>102</v>
      </c>
      <c r="G135" s="203" t="s">
        <v>100</v>
      </c>
      <c r="H135" s="203" t="s">
        <v>100</v>
      </c>
      <c r="I135" s="37"/>
      <c r="J135" s="37"/>
      <c r="K135" s="37"/>
      <c r="L135" s="199">
        <v>12.0</v>
      </c>
      <c r="M135" s="199">
        <v>46.7</v>
      </c>
      <c r="N135" s="199"/>
      <c r="O135" s="199">
        <v>0.0</v>
      </c>
      <c r="P135" s="199">
        <v>0.02</v>
      </c>
      <c r="Q135" s="199">
        <v>0.0</v>
      </c>
      <c r="R135" s="199">
        <v>0.0</v>
      </c>
      <c r="S135" s="199">
        <v>0.0</v>
      </c>
      <c r="T135" s="199">
        <v>0.0</v>
      </c>
      <c r="U135" s="199">
        <v>2.0</v>
      </c>
      <c r="V135" s="199">
        <v>0.0</v>
      </c>
      <c r="W135" s="199">
        <v>0.0</v>
      </c>
      <c r="X135" s="199">
        <v>0.0</v>
      </c>
      <c r="Y135" s="199">
        <v>0.0</v>
      </c>
      <c r="Z135" s="199">
        <v>0.0</v>
      </c>
      <c r="AA135" s="199">
        <v>0.0</v>
      </c>
      <c r="AB135" s="199">
        <v>0.0</v>
      </c>
      <c r="AC135" s="199">
        <v>0.0</v>
      </c>
      <c r="AD135" s="199">
        <v>0.0</v>
      </c>
      <c r="AE135" s="199">
        <v>62.0</v>
      </c>
      <c r="AF135" s="199">
        <v>2.0</v>
      </c>
      <c r="AG135" s="199">
        <v>356.0</v>
      </c>
      <c r="AH135" s="199">
        <v>456.0</v>
      </c>
      <c r="AI135" s="200" t="s">
        <v>731</v>
      </c>
      <c r="AJ135" s="200" t="s">
        <v>732</v>
      </c>
      <c r="AK135" s="200"/>
      <c r="AL135" s="204"/>
      <c r="AM135" s="204"/>
    </row>
    <row r="136">
      <c r="A136" s="199" t="s">
        <v>222</v>
      </c>
      <c r="B136" s="200" t="s">
        <v>733</v>
      </c>
      <c r="C136" s="199">
        <v>2.5258159242E10</v>
      </c>
      <c r="D136" s="201">
        <v>45909.0</v>
      </c>
      <c r="E136" s="202" t="s">
        <v>100</v>
      </c>
      <c r="F136" s="202" t="s">
        <v>100</v>
      </c>
      <c r="G136" s="203" t="s">
        <v>100</v>
      </c>
      <c r="H136" s="203" t="s">
        <v>100</v>
      </c>
      <c r="I136" s="199">
        <v>23929.0</v>
      </c>
      <c r="J136" s="199">
        <v>13007.0</v>
      </c>
      <c r="K136" s="199">
        <v>6511.0</v>
      </c>
      <c r="L136" s="199">
        <v>13.0</v>
      </c>
      <c r="M136" s="199">
        <v>287.3</v>
      </c>
      <c r="N136" s="199"/>
      <c r="O136" s="199">
        <v>1.0</v>
      </c>
      <c r="P136" s="199">
        <v>0.01</v>
      </c>
      <c r="Q136" s="199">
        <v>0.0</v>
      </c>
      <c r="R136" s="199">
        <v>11.0</v>
      </c>
      <c r="S136" s="199">
        <v>1.0</v>
      </c>
      <c r="T136" s="199">
        <v>3.0</v>
      </c>
      <c r="U136" s="199">
        <v>13.0</v>
      </c>
      <c r="V136" s="199">
        <v>0.0</v>
      </c>
      <c r="W136" s="199">
        <v>0.0</v>
      </c>
      <c r="X136" s="199">
        <v>0.0</v>
      </c>
      <c r="Y136" s="199">
        <v>0.0</v>
      </c>
      <c r="Z136" s="199">
        <v>0.0</v>
      </c>
      <c r="AA136" s="199">
        <v>0.0</v>
      </c>
      <c r="AB136" s="199">
        <v>0.0</v>
      </c>
      <c r="AC136" s="199">
        <v>27.0</v>
      </c>
      <c r="AD136" s="199">
        <v>0.0</v>
      </c>
      <c r="AE136" s="199">
        <v>26.0</v>
      </c>
      <c r="AF136" s="199">
        <v>5.0</v>
      </c>
      <c r="AG136" s="199">
        <v>288.0</v>
      </c>
      <c r="AH136" s="199">
        <v>3.0</v>
      </c>
      <c r="AI136" s="200" t="s">
        <v>100</v>
      </c>
      <c r="AJ136" s="200" t="s">
        <v>734</v>
      </c>
      <c r="AK136" s="200"/>
      <c r="AL136" s="204"/>
      <c r="AM136" s="204"/>
    </row>
    <row r="137">
      <c r="A137" s="199" t="s">
        <v>222</v>
      </c>
      <c r="B137" s="200" t="s">
        <v>733</v>
      </c>
      <c r="C137" s="199">
        <v>2.5330261214E10</v>
      </c>
      <c r="D137" s="201">
        <v>45977.0</v>
      </c>
      <c r="E137" s="202" t="s">
        <v>100</v>
      </c>
      <c r="F137" s="202" t="s">
        <v>100</v>
      </c>
      <c r="G137" s="203" t="s">
        <v>100</v>
      </c>
      <c r="H137" s="203" t="s">
        <v>100</v>
      </c>
      <c r="I137" s="199">
        <v>39117.0</v>
      </c>
      <c r="J137" s="199">
        <v>21188.0</v>
      </c>
      <c r="K137" s="199">
        <v>10071.0</v>
      </c>
      <c r="L137" s="199">
        <v>12.0</v>
      </c>
      <c r="M137" s="199">
        <v>284.3</v>
      </c>
      <c r="N137" s="199"/>
      <c r="O137" s="199">
        <v>2.0</v>
      </c>
      <c r="P137" s="199">
        <v>0.01</v>
      </c>
      <c r="Q137" s="199">
        <v>0.0</v>
      </c>
      <c r="R137" s="199">
        <v>0.0</v>
      </c>
      <c r="S137" s="199">
        <v>0.0</v>
      </c>
      <c r="T137" s="199">
        <v>0.0</v>
      </c>
      <c r="U137" s="199">
        <v>3.0</v>
      </c>
      <c r="V137" s="199">
        <v>0.0</v>
      </c>
      <c r="W137" s="199">
        <v>0.0</v>
      </c>
      <c r="X137" s="199">
        <v>0.0</v>
      </c>
      <c r="Y137" s="199">
        <v>0.0</v>
      </c>
      <c r="Z137" s="199">
        <v>2.0</v>
      </c>
      <c r="AA137" s="199">
        <v>0.0</v>
      </c>
      <c r="AB137" s="199">
        <v>0.0</v>
      </c>
      <c r="AC137" s="199">
        <v>23.0</v>
      </c>
      <c r="AD137" s="199">
        <v>0.0</v>
      </c>
      <c r="AE137" s="199">
        <v>29.0</v>
      </c>
      <c r="AF137" s="199">
        <v>0.0</v>
      </c>
      <c r="AG137" s="199">
        <v>461.0</v>
      </c>
      <c r="AH137" s="199">
        <v>39.0</v>
      </c>
      <c r="AI137" s="200" t="s">
        <v>100</v>
      </c>
      <c r="AJ137" s="200" t="s">
        <v>735</v>
      </c>
      <c r="AK137" s="200"/>
      <c r="AL137" s="204"/>
      <c r="AM137" s="204"/>
    </row>
    <row r="138">
      <c r="A138" s="199" t="s">
        <v>222</v>
      </c>
      <c r="B138" s="200" t="s">
        <v>733</v>
      </c>
      <c r="C138" s="199">
        <v>2.6061630211E10</v>
      </c>
      <c r="D138" s="201">
        <v>46065.0</v>
      </c>
      <c r="E138" s="202" t="s">
        <v>101</v>
      </c>
      <c r="F138" s="202" t="s">
        <v>102</v>
      </c>
      <c r="G138" s="203" t="s">
        <v>100</v>
      </c>
      <c r="H138" s="203" t="s">
        <v>101</v>
      </c>
      <c r="I138" s="37"/>
      <c r="J138" s="37"/>
      <c r="K138" s="37"/>
      <c r="L138" s="199">
        <v>13.0</v>
      </c>
      <c r="M138" s="199">
        <v>862.0</v>
      </c>
      <c r="N138" s="199"/>
      <c r="O138" s="199">
        <v>0.0</v>
      </c>
      <c r="P138" s="199">
        <v>0.03</v>
      </c>
      <c r="Q138" s="199">
        <v>0.0</v>
      </c>
      <c r="R138" s="199">
        <v>0.0</v>
      </c>
      <c r="S138" s="199">
        <v>0.0</v>
      </c>
      <c r="T138" s="199">
        <v>0.0</v>
      </c>
      <c r="U138" s="199">
        <v>0.0</v>
      </c>
      <c r="V138" s="199">
        <v>0.0</v>
      </c>
      <c r="W138" s="199">
        <v>0.0</v>
      </c>
      <c r="X138" s="199">
        <v>0.0</v>
      </c>
      <c r="Y138" s="199">
        <v>0.0</v>
      </c>
      <c r="Z138" s="199">
        <v>2.0</v>
      </c>
      <c r="AA138" s="199">
        <v>0.0</v>
      </c>
      <c r="AB138" s="199">
        <v>16.0</v>
      </c>
      <c r="AC138" s="199">
        <v>1.0</v>
      </c>
      <c r="AD138" s="199">
        <v>0.0</v>
      </c>
      <c r="AE138" s="199">
        <v>11.0</v>
      </c>
      <c r="AF138" s="199">
        <v>0.0</v>
      </c>
      <c r="AG138" s="199">
        <v>457.0</v>
      </c>
      <c r="AH138" s="199">
        <v>3.0</v>
      </c>
      <c r="AI138" s="200" t="s">
        <v>736</v>
      </c>
      <c r="AJ138" s="200" t="s">
        <v>737</v>
      </c>
      <c r="AK138" s="200"/>
      <c r="AL138" s="204"/>
      <c r="AM138" s="204"/>
    </row>
    <row r="139">
      <c r="A139" s="199" t="s">
        <v>154</v>
      </c>
      <c r="B139" s="200" t="s">
        <v>398</v>
      </c>
      <c r="C139" s="199">
        <v>2.5180296217E10</v>
      </c>
      <c r="D139" s="201">
        <v>45826.0</v>
      </c>
      <c r="E139" s="202" t="s">
        <v>100</v>
      </c>
      <c r="F139" s="202" t="s">
        <v>100</v>
      </c>
      <c r="G139" s="203" t="s">
        <v>100</v>
      </c>
      <c r="H139" s="203" t="s">
        <v>100</v>
      </c>
      <c r="I139" s="199">
        <v>29321.0</v>
      </c>
      <c r="J139" s="199">
        <v>21007.0</v>
      </c>
      <c r="K139" s="199">
        <v>9610.0</v>
      </c>
      <c r="L139" s="199">
        <v>10.0</v>
      </c>
      <c r="M139" s="199">
        <v>280.6</v>
      </c>
      <c r="N139" s="199"/>
      <c r="O139" s="199">
        <v>0.0</v>
      </c>
      <c r="P139" s="199">
        <v>0.03</v>
      </c>
      <c r="Q139" s="199">
        <v>0.0</v>
      </c>
      <c r="R139" s="199">
        <v>3.0</v>
      </c>
      <c r="S139" s="199">
        <v>1.0</v>
      </c>
      <c r="T139" s="199">
        <v>3.0</v>
      </c>
      <c r="U139" s="199">
        <v>10.0</v>
      </c>
      <c r="V139" s="199">
        <v>0.0</v>
      </c>
      <c r="W139" s="199">
        <v>0.0</v>
      </c>
      <c r="X139" s="199">
        <v>1.0</v>
      </c>
      <c r="Y139" s="199">
        <v>0.0</v>
      </c>
      <c r="Z139" s="199">
        <v>0.0</v>
      </c>
      <c r="AA139" s="199">
        <v>3.0</v>
      </c>
      <c r="AB139" s="199">
        <v>1.0</v>
      </c>
      <c r="AC139" s="199">
        <v>14.0</v>
      </c>
      <c r="AD139" s="199">
        <v>0.0</v>
      </c>
      <c r="AE139" s="199">
        <v>59.0</v>
      </c>
      <c r="AF139" s="199">
        <v>2.0</v>
      </c>
      <c r="AG139" s="199">
        <v>386.0</v>
      </c>
      <c r="AH139" s="199">
        <v>61.0</v>
      </c>
      <c r="AI139" s="200" t="s">
        <v>655</v>
      </c>
      <c r="AJ139" s="200" t="s">
        <v>656</v>
      </c>
      <c r="AK139" s="200"/>
      <c r="AL139" s="204"/>
      <c r="AM139" s="204"/>
    </row>
    <row r="140">
      <c r="A140" s="199" t="s">
        <v>154</v>
      </c>
      <c r="B140" s="200" t="s">
        <v>398</v>
      </c>
      <c r="C140" s="199">
        <v>2.525916921E10</v>
      </c>
      <c r="D140" s="201">
        <v>45910.0</v>
      </c>
      <c r="E140" s="202" t="s">
        <v>100</v>
      </c>
      <c r="F140" s="202" t="s">
        <v>100</v>
      </c>
      <c r="G140" s="203" t="s">
        <v>100</v>
      </c>
      <c r="H140" s="203" t="s">
        <v>100</v>
      </c>
      <c r="I140" s="199">
        <v>32192.0</v>
      </c>
      <c r="J140" s="199">
        <v>11474.0</v>
      </c>
      <c r="K140" s="199">
        <v>5480.0</v>
      </c>
      <c r="L140" s="199">
        <v>6.0</v>
      </c>
      <c r="M140" s="199">
        <v>281.4</v>
      </c>
      <c r="N140" s="199"/>
      <c r="O140" s="199">
        <v>0.0</v>
      </c>
      <c r="P140" s="199">
        <v>0.02</v>
      </c>
      <c r="Q140" s="199">
        <v>0.0</v>
      </c>
      <c r="R140" s="199">
        <v>3.0</v>
      </c>
      <c r="S140" s="199">
        <v>1.0</v>
      </c>
      <c r="T140" s="199">
        <v>3.0</v>
      </c>
      <c r="U140" s="199">
        <v>8.0</v>
      </c>
      <c r="V140" s="199">
        <v>0.0</v>
      </c>
      <c r="W140" s="199">
        <v>0.0</v>
      </c>
      <c r="X140" s="199">
        <v>0.0</v>
      </c>
      <c r="Y140" s="199">
        <v>0.0</v>
      </c>
      <c r="Z140" s="199">
        <v>2.0</v>
      </c>
      <c r="AA140" s="199">
        <v>0.0</v>
      </c>
      <c r="AB140" s="199">
        <v>2.0</v>
      </c>
      <c r="AC140" s="199">
        <v>22.0</v>
      </c>
      <c r="AD140" s="199">
        <v>0.0</v>
      </c>
      <c r="AE140" s="199">
        <v>17.0</v>
      </c>
      <c r="AF140" s="199">
        <v>2.0</v>
      </c>
      <c r="AG140" s="199">
        <v>288.0</v>
      </c>
      <c r="AH140" s="199">
        <v>2.0</v>
      </c>
      <c r="AI140" s="200" t="s">
        <v>655</v>
      </c>
      <c r="AJ140" s="200" t="s">
        <v>656</v>
      </c>
      <c r="AK140" s="200"/>
      <c r="AL140" s="204"/>
      <c r="AM140" s="204"/>
    </row>
    <row r="141">
      <c r="A141" s="199" t="s">
        <v>154</v>
      </c>
      <c r="B141" s="200" t="s">
        <v>398</v>
      </c>
      <c r="C141" s="199">
        <v>2.5330261211E10</v>
      </c>
      <c r="D141" s="201">
        <v>45977.0</v>
      </c>
      <c r="E141" s="202" t="s">
        <v>100</v>
      </c>
      <c r="F141" s="202" t="s">
        <v>100</v>
      </c>
      <c r="G141" s="203" t="s">
        <v>100</v>
      </c>
      <c r="H141" s="203" t="s">
        <v>100</v>
      </c>
      <c r="I141" s="199">
        <v>40291.0</v>
      </c>
      <c r="J141" s="199">
        <v>24732.0</v>
      </c>
      <c r="K141" s="199">
        <v>14007.0</v>
      </c>
      <c r="L141" s="199">
        <v>8.0</v>
      </c>
      <c r="M141" s="199">
        <v>295.5</v>
      </c>
      <c r="N141" s="199"/>
      <c r="O141" s="199">
        <v>1.0</v>
      </c>
      <c r="P141" s="199">
        <v>0.01</v>
      </c>
      <c r="Q141" s="199">
        <v>0.0</v>
      </c>
      <c r="R141" s="199">
        <v>0.0</v>
      </c>
      <c r="S141" s="199">
        <v>1.0</v>
      </c>
      <c r="T141" s="199">
        <v>3.0</v>
      </c>
      <c r="U141" s="199">
        <v>11.0</v>
      </c>
      <c r="V141" s="199">
        <v>0.0</v>
      </c>
      <c r="W141" s="199">
        <v>0.0</v>
      </c>
      <c r="X141" s="199">
        <v>0.0</v>
      </c>
      <c r="Y141" s="199">
        <v>0.0</v>
      </c>
      <c r="Z141" s="199">
        <v>0.0</v>
      </c>
      <c r="AA141" s="199">
        <v>0.0</v>
      </c>
      <c r="AB141" s="199">
        <v>4.0</v>
      </c>
      <c r="AC141" s="199">
        <v>22.0</v>
      </c>
      <c r="AD141" s="199">
        <v>0.0</v>
      </c>
      <c r="AE141" s="199">
        <v>43.0</v>
      </c>
      <c r="AF141" s="199">
        <v>2.0</v>
      </c>
      <c r="AG141" s="199">
        <v>528.0</v>
      </c>
      <c r="AH141" s="199">
        <v>14.0</v>
      </c>
      <c r="AI141" s="200" t="s">
        <v>655</v>
      </c>
      <c r="AJ141" s="200" t="s">
        <v>656</v>
      </c>
      <c r="AK141" s="200"/>
      <c r="AL141" s="204"/>
      <c r="AM141" s="204"/>
    </row>
    <row r="142">
      <c r="A142" s="199" t="s">
        <v>154</v>
      </c>
      <c r="B142" s="200" t="s">
        <v>398</v>
      </c>
      <c r="C142" s="199">
        <v>2.6090313244E10</v>
      </c>
      <c r="D142" s="201">
        <v>46099.0</v>
      </c>
      <c r="E142" s="202" t="s">
        <v>101</v>
      </c>
      <c r="F142" s="202" t="s">
        <v>102</v>
      </c>
      <c r="G142" s="203" t="s">
        <v>100</v>
      </c>
      <c r="H142" s="203" t="s">
        <v>101</v>
      </c>
      <c r="I142" s="37"/>
      <c r="J142" s="37"/>
      <c r="K142" s="37"/>
      <c r="L142" s="199">
        <v>20.0</v>
      </c>
      <c r="M142" s="199">
        <v>797.8</v>
      </c>
      <c r="N142" s="199"/>
      <c r="O142" s="199">
        <v>3.0</v>
      </c>
      <c r="P142" s="199">
        <v>0.04</v>
      </c>
      <c r="Q142" s="199">
        <v>0.0</v>
      </c>
      <c r="R142" s="199">
        <v>0.0</v>
      </c>
      <c r="S142" s="199">
        <v>0.0</v>
      </c>
      <c r="T142" s="199">
        <v>0.0</v>
      </c>
      <c r="U142" s="199">
        <v>2.0</v>
      </c>
      <c r="V142" s="199">
        <v>0.0</v>
      </c>
      <c r="W142" s="199">
        <v>0.0</v>
      </c>
      <c r="X142" s="199">
        <v>0.0</v>
      </c>
      <c r="Y142" s="199">
        <v>0.0</v>
      </c>
      <c r="Z142" s="199">
        <v>0.0</v>
      </c>
      <c r="AA142" s="199">
        <v>0.0</v>
      </c>
      <c r="AB142" s="199">
        <v>0.0</v>
      </c>
      <c r="AC142" s="199">
        <v>32.0</v>
      </c>
      <c r="AD142" s="199">
        <v>0.0</v>
      </c>
      <c r="AE142" s="199">
        <v>32.0</v>
      </c>
      <c r="AF142" s="199">
        <v>0.0</v>
      </c>
      <c r="AG142" s="199">
        <v>606.0</v>
      </c>
      <c r="AH142" s="199">
        <v>3.0</v>
      </c>
      <c r="AI142" s="200" t="s">
        <v>661</v>
      </c>
      <c r="AJ142" s="200" t="s">
        <v>738</v>
      </c>
      <c r="AK142" s="200"/>
      <c r="AL142" s="204"/>
      <c r="AM142" s="204"/>
    </row>
    <row r="143">
      <c r="A143" s="199" t="s">
        <v>113</v>
      </c>
      <c r="B143" s="200" t="s">
        <v>343</v>
      </c>
      <c r="C143" s="199">
        <v>2.4211297227E10</v>
      </c>
      <c r="D143" s="201">
        <v>45497.0</v>
      </c>
      <c r="E143" s="202" t="s">
        <v>100</v>
      </c>
      <c r="F143" s="202" t="s">
        <v>100</v>
      </c>
      <c r="G143" s="203" t="s">
        <v>100</v>
      </c>
      <c r="H143" s="203" t="s">
        <v>100</v>
      </c>
      <c r="I143" s="199">
        <v>6135.0</v>
      </c>
      <c r="J143" s="199">
        <v>1207.0</v>
      </c>
      <c r="K143" s="199">
        <v>935.0</v>
      </c>
      <c r="L143" s="199">
        <v>3.0</v>
      </c>
      <c r="M143" s="199">
        <v>45.8</v>
      </c>
      <c r="N143" s="199"/>
      <c r="O143" s="199">
        <v>0.0</v>
      </c>
      <c r="P143" s="199">
        <v>0.003</v>
      </c>
      <c r="Q143" s="199">
        <v>0.0</v>
      </c>
      <c r="R143" s="199">
        <v>3.0</v>
      </c>
      <c r="S143" s="199">
        <v>4.0</v>
      </c>
      <c r="T143" s="199">
        <v>3.0</v>
      </c>
      <c r="U143" s="199">
        <v>3.0</v>
      </c>
      <c r="V143" s="199">
        <v>0.0</v>
      </c>
      <c r="W143" s="199">
        <v>0.0</v>
      </c>
      <c r="X143" s="199">
        <v>3.0</v>
      </c>
      <c r="Y143" s="199">
        <v>0.0</v>
      </c>
      <c r="Z143" s="199">
        <v>0.0</v>
      </c>
      <c r="AA143" s="199">
        <v>0.0</v>
      </c>
      <c r="AB143" s="199">
        <v>4.0</v>
      </c>
      <c r="AC143" s="199">
        <v>0.0</v>
      </c>
      <c r="AD143" s="199">
        <v>0.0</v>
      </c>
      <c r="AE143" s="199">
        <v>66.0</v>
      </c>
      <c r="AF143" s="199">
        <v>2.0</v>
      </c>
      <c r="AG143" s="199">
        <v>344.0</v>
      </c>
      <c r="AH143" s="199">
        <v>519.0</v>
      </c>
      <c r="AI143" s="200" t="s">
        <v>100</v>
      </c>
      <c r="AJ143" s="200" t="s">
        <v>739</v>
      </c>
      <c r="AK143" s="200"/>
      <c r="AL143" s="204"/>
      <c r="AM143" s="204"/>
    </row>
    <row r="144">
      <c r="A144" s="199" t="s">
        <v>208</v>
      </c>
      <c r="B144" s="200" t="s">
        <v>740</v>
      </c>
      <c r="C144" s="199">
        <v>2.5049182221E10</v>
      </c>
      <c r="D144" s="201">
        <v>45701.0</v>
      </c>
      <c r="E144" s="202" t="s">
        <v>102</v>
      </c>
      <c r="F144" s="202" t="s">
        <v>102</v>
      </c>
      <c r="G144" s="203" t="s">
        <v>100</v>
      </c>
      <c r="H144" s="203" t="s">
        <v>102</v>
      </c>
      <c r="I144" s="199">
        <v>31975.0</v>
      </c>
      <c r="J144" s="199">
        <v>21100.0</v>
      </c>
      <c r="K144" s="199">
        <v>9609.0</v>
      </c>
      <c r="L144" s="199">
        <v>11.0</v>
      </c>
      <c r="M144" s="199">
        <v>281.0</v>
      </c>
      <c r="N144" s="199"/>
      <c r="O144" s="199">
        <v>0.0</v>
      </c>
      <c r="P144" s="199">
        <v>0.05</v>
      </c>
      <c r="Q144" s="199">
        <v>0.0</v>
      </c>
      <c r="R144" s="199">
        <v>11.0</v>
      </c>
      <c r="S144" s="199">
        <v>1.0</v>
      </c>
      <c r="T144" s="199">
        <v>3.0</v>
      </c>
      <c r="U144" s="199">
        <v>4.0</v>
      </c>
      <c r="V144" s="199">
        <v>0.0</v>
      </c>
      <c r="W144" s="199">
        <v>0.0</v>
      </c>
      <c r="X144" s="199">
        <v>1.0</v>
      </c>
      <c r="Y144" s="199">
        <v>0.0</v>
      </c>
      <c r="Z144" s="199">
        <v>0.0</v>
      </c>
      <c r="AA144" s="199">
        <v>0.0</v>
      </c>
      <c r="AB144" s="199">
        <v>21.0</v>
      </c>
      <c r="AC144" s="199">
        <v>7.0</v>
      </c>
      <c r="AD144" s="199">
        <v>0.0</v>
      </c>
      <c r="AE144" s="199">
        <v>14.0</v>
      </c>
      <c r="AF144" s="199">
        <v>2.0</v>
      </c>
      <c r="AG144" s="199">
        <v>509.0</v>
      </c>
      <c r="AH144" s="199">
        <v>12.0</v>
      </c>
      <c r="AI144" s="200" t="s">
        <v>741</v>
      </c>
      <c r="AJ144" s="200" t="s">
        <v>742</v>
      </c>
      <c r="AK144" s="200"/>
      <c r="AL144" s="204"/>
      <c r="AM144" s="204"/>
    </row>
    <row r="145">
      <c r="A145" s="199" t="s">
        <v>113</v>
      </c>
      <c r="B145" s="200" t="s">
        <v>343</v>
      </c>
      <c r="C145" s="199">
        <v>2.5079203202E10</v>
      </c>
      <c r="D145" s="201">
        <v>45726.0</v>
      </c>
      <c r="E145" s="202" t="s">
        <v>100</v>
      </c>
      <c r="F145" s="202" t="s">
        <v>100</v>
      </c>
      <c r="G145" s="203" t="s">
        <v>100</v>
      </c>
      <c r="H145" s="203" t="s">
        <v>100</v>
      </c>
      <c r="I145" s="199">
        <v>6192.0</v>
      </c>
      <c r="J145" s="199">
        <v>3408.0</v>
      </c>
      <c r="K145" s="199">
        <v>1100.0</v>
      </c>
      <c r="L145" s="199">
        <v>4.0</v>
      </c>
      <c r="M145" s="199">
        <v>45.4</v>
      </c>
      <c r="N145" s="199"/>
      <c r="O145" s="199">
        <v>0.0</v>
      </c>
      <c r="P145" s="199">
        <v>0.003</v>
      </c>
      <c r="Q145" s="199">
        <v>0.0</v>
      </c>
      <c r="R145" s="199">
        <v>8.0</v>
      </c>
      <c r="S145" s="199">
        <v>1.0</v>
      </c>
      <c r="T145" s="199">
        <v>3.0</v>
      </c>
      <c r="U145" s="199">
        <v>0.0</v>
      </c>
      <c r="V145" s="199">
        <v>0.0</v>
      </c>
      <c r="W145" s="199">
        <v>0.0</v>
      </c>
      <c r="X145" s="199">
        <v>0.0</v>
      </c>
      <c r="Y145" s="199">
        <v>0.0</v>
      </c>
      <c r="Z145" s="199">
        <v>2.0</v>
      </c>
      <c r="AA145" s="199">
        <v>0.0</v>
      </c>
      <c r="AB145" s="199">
        <v>0.0</v>
      </c>
      <c r="AC145" s="199">
        <v>0.0</v>
      </c>
      <c r="AD145" s="199">
        <v>0.0</v>
      </c>
      <c r="AE145" s="199">
        <v>125.0</v>
      </c>
      <c r="AF145" s="199">
        <v>0.0</v>
      </c>
      <c r="AG145" s="199">
        <v>351.0</v>
      </c>
      <c r="AH145" s="199">
        <v>635.0</v>
      </c>
      <c r="AI145" s="200" t="s">
        <v>100</v>
      </c>
      <c r="AJ145" s="200" t="s">
        <v>743</v>
      </c>
      <c r="AK145" s="200"/>
      <c r="AL145" s="204"/>
      <c r="AM145" s="204"/>
    </row>
    <row r="146">
      <c r="A146" s="199" t="s">
        <v>113</v>
      </c>
      <c r="B146" s="200" t="s">
        <v>343</v>
      </c>
      <c r="C146" s="199">
        <v>2.5258159209E10</v>
      </c>
      <c r="D146" s="201">
        <v>45909.0</v>
      </c>
      <c r="E146" s="202" t="s">
        <v>100</v>
      </c>
      <c r="F146" s="202" t="s">
        <v>100</v>
      </c>
      <c r="G146" s="203" t="s">
        <v>100</v>
      </c>
      <c r="H146" s="203" t="s">
        <v>100</v>
      </c>
      <c r="I146" s="199">
        <v>17307.0</v>
      </c>
      <c r="J146" s="199">
        <v>9394.0</v>
      </c>
      <c r="K146" s="199">
        <v>4890.0</v>
      </c>
      <c r="L146" s="199">
        <v>8.0</v>
      </c>
      <c r="M146" s="199">
        <v>51.0</v>
      </c>
      <c r="N146" s="199"/>
      <c r="O146" s="199">
        <v>1.0</v>
      </c>
      <c r="P146" s="199">
        <v>0.003</v>
      </c>
      <c r="Q146" s="199">
        <v>0.0</v>
      </c>
      <c r="R146" s="199">
        <v>8.0</v>
      </c>
      <c r="S146" s="199">
        <v>1.0</v>
      </c>
      <c r="T146" s="199">
        <v>4.0</v>
      </c>
      <c r="U146" s="199">
        <v>7.0</v>
      </c>
      <c r="V146" s="199">
        <v>0.0</v>
      </c>
      <c r="W146" s="199">
        <v>0.0</v>
      </c>
      <c r="X146" s="199">
        <v>0.0</v>
      </c>
      <c r="Y146" s="199">
        <v>0.0</v>
      </c>
      <c r="Z146" s="199">
        <v>0.0</v>
      </c>
      <c r="AA146" s="199">
        <v>0.0</v>
      </c>
      <c r="AB146" s="199">
        <v>0.0</v>
      </c>
      <c r="AC146" s="199">
        <v>24.0</v>
      </c>
      <c r="AD146" s="199">
        <v>0.0</v>
      </c>
      <c r="AE146" s="199">
        <v>108.0</v>
      </c>
      <c r="AF146" s="199">
        <v>1.0</v>
      </c>
      <c r="AG146" s="199">
        <v>531.0</v>
      </c>
      <c r="AH146" s="199">
        <v>646.0</v>
      </c>
      <c r="AI146" s="200" t="s">
        <v>100</v>
      </c>
      <c r="AJ146" s="200" t="s">
        <v>744</v>
      </c>
      <c r="AK146" s="200"/>
      <c r="AL146" s="204"/>
      <c r="AM146" s="204"/>
    </row>
    <row r="147">
      <c r="A147" s="199" t="s">
        <v>113</v>
      </c>
      <c r="B147" s="200" t="s">
        <v>343</v>
      </c>
      <c r="C147" s="199">
        <v>2.6060130242E10</v>
      </c>
      <c r="D147" s="201">
        <v>46054.0</v>
      </c>
      <c r="E147" s="202" t="s">
        <v>100</v>
      </c>
      <c r="F147" s="202" t="s">
        <v>100</v>
      </c>
      <c r="G147" s="203" t="s">
        <v>100</v>
      </c>
      <c r="H147" s="203" t="s">
        <v>100</v>
      </c>
      <c r="I147" s="199">
        <v>9107.0</v>
      </c>
      <c r="J147" s="199">
        <v>4178.0</v>
      </c>
      <c r="K147" s="199">
        <v>1151.0</v>
      </c>
      <c r="L147" s="199">
        <v>7.0</v>
      </c>
      <c r="M147" s="199">
        <v>52.2</v>
      </c>
      <c r="N147" s="199"/>
      <c r="O147" s="199">
        <v>0.0</v>
      </c>
      <c r="P147" s="199">
        <v>0.003</v>
      </c>
      <c r="Q147" s="199">
        <v>0.0</v>
      </c>
      <c r="R147" s="199">
        <v>0.0</v>
      </c>
      <c r="S147" s="199">
        <v>0.0</v>
      </c>
      <c r="T147" s="199">
        <v>0.0</v>
      </c>
      <c r="U147" s="199">
        <v>1.0</v>
      </c>
      <c r="V147" s="199">
        <v>0.0</v>
      </c>
      <c r="W147" s="199">
        <v>0.0</v>
      </c>
      <c r="X147" s="199">
        <v>0.0</v>
      </c>
      <c r="Y147" s="199">
        <v>0.0</v>
      </c>
      <c r="Z147" s="199">
        <v>0.0</v>
      </c>
      <c r="AA147" s="199">
        <v>0.0</v>
      </c>
      <c r="AB147" s="199">
        <v>2.0</v>
      </c>
      <c r="AC147" s="199">
        <v>2.0</v>
      </c>
      <c r="AD147" s="199">
        <v>0.0</v>
      </c>
      <c r="AE147" s="199">
        <v>106.0</v>
      </c>
      <c r="AF147" s="199">
        <v>2.0</v>
      </c>
      <c r="AG147" s="199">
        <v>434.0</v>
      </c>
      <c r="AH147" s="199">
        <v>533.0</v>
      </c>
      <c r="AI147" s="200" t="s">
        <v>100</v>
      </c>
      <c r="AJ147" s="200" t="s">
        <v>745</v>
      </c>
      <c r="AK147" s="200"/>
      <c r="AL147" s="204"/>
      <c r="AM147" s="204"/>
    </row>
    <row r="148">
      <c r="A148" s="199" t="s">
        <v>190</v>
      </c>
      <c r="B148" s="200" t="s">
        <v>431</v>
      </c>
      <c r="C148" s="199">
        <v>2.5049182223E10</v>
      </c>
      <c r="D148" s="201">
        <v>45701.0</v>
      </c>
      <c r="E148" s="202" t="s">
        <v>102</v>
      </c>
      <c r="F148" s="202" t="s">
        <v>102</v>
      </c>
      <c r="G148" s="203" t="s">
        <v>100</v>
      </c>
      <c r="H148" s="203" t="s">
        <v>100</v>
      </c>
      <c r="I148" s="37"/>
      <c r="J148" s="37"/>
      <c r="K148" s="37"/>
      <c r="L148" s="199">
        <v>25.0</v>
      </c>
      <c r="M148" s="199">
        <v>306.8</v>
      </c>
      <c r="N148" s="199"/>
      <c r="O148" s="199">
        <v>1.0</v>
      </c>
      <c r="P148" s="199">
        <v>0.04</v>
      </c>
      <c r="Q148" s="199">
        <v>0.0</v>
      </c>
      <c r="R148" s="199">
        <v>0.0</v>
      </c>
      <c r="S148" s="199">
        <v>2.0</v>
      </c>
      <c r="T148" s="199">
        <v>6.0</v>
      </c>
      <c r="U148" s="199">
        <v>85.0</v>
      </c>
      <c r="V148" s="199">
        <v>5.0</v>
      </c>
      <c r="W148" s="199">
        <v>0.0</v>
      </c>
      <c r="X148" s="199">
        <v>2.0</v>
      </c>
      <c r="Y148" s="199">
        <v>1.0</v>
      </c>
      <c r="Z148" s="199">
        <v>2.0</v>
      </c>
      <c r="AA148" s="199">
        <v>0.0</v>
      </c>
      <c r="AB148" s="199">
        <v>54.0</v>
      </c>
      <c r="AC148" s="199">
        <v>14.0</v>
      </c>
      <c r="AD148" s="199">
        <v>0.0</v>
      </c>
      <c r="AE148" s="199">
        <v>146.0</v>
      </c>
      <c r="AF148" s="199">
        <v>3.0</v>
      </c>
      <c r="AG148" s="199">
        <v>461.0</v>
      </c>
      <c r="AH148" s="199">
        <v>18.0</v>
      </c>
      <c r="AI148" s="200" t="s">
        <v>746</v>
      </c>
      <c r="AJ148" s="200" t="s">
        <v>747</v>
      </c>
      <c r="AK148" s="200"/>
      <c r="AL148" s="204"/>
      <c r="AM148" s="204"/>
    </row>
    <row r="149">
      <c r="A149" s="199" t="s">
        <v>110</v>
      </c>
      <c r="B149" s="200" t="s">
        <v>339</v>
      </c>
      <c r="C149" s="199">
        <v>2.4211297243E10</v>
      </c>
      <c r="D149" s="201">
        <v>45497.0</v>
      </c>
      <c r="E149" s="202" t="s">
        <v>102</v>
      </c>
      <c r="F149" s="202" t="s">
        <v>102</v>
      </c>
      <c r="G149" s="203" t="s">
        <v>100</v>
      </c>
      <c r="H149" s="203" t="s">
        <v>100</v>
      </c>
      <c r="I149" s="37"/>
      <c r="J149" s="37"/>
      <c r="K149" s="37"/>
      <c r="L149" s="199">
        <v>8.0</v>
      </c>
      <c r="M149" s="199">
        <v>228.5</v>
      </c>
      <c r="N149" s="37"/>
      <c r="O149" s="37"/>
      <c r="P149" s="199">
        <v>0.05</v>
      </c>
      <c r="Q149" s="199">
        <v>0.0</v>
      </c>
      <c r="R149" s="199">
        <v>5.0</v>
      </c>
      <c r="S149" s="199">
        <v>4.0</v>
      </c>
      <c r="T149" s="199">
        <v>3.0</v>
      </c>
      <c r="U149" s="199">
        <v>10.0</v>
      </c>
      <c r="V149" s="199">
        <v>0.0</v>
      </c>
      <c r="W149" s="199">
        <v>0.0</v>
      </c>
      <c r="X149" s="199">
        <v>3.0</v>
      </c>
      <c r="Y149" s="199">
        <v>0.0</v>
      </c>
      <c r="Z149" s="199">
        <v>2.0</v>
      </c>
      <c r="AA149" s="199">
        <v>0.0</v>
      </c>
      <c r="AB149" s="199">
        <v>33.0</v>
      </c>
      <c r="AC149" s="199">
        <v>3.0</v>
      </c>
      <c r="AD149" s="199">
        <v>0.0</v>
      </c>
      <c r="AE149" s="199">
        <v>17.0</v>
      </c>
      <c r="AF149" s="199">
        <v>0.0</v>
      </c>
      <c r="AG149" s="199">
        <v>511.0</v>
      </c>
      <c r="AH149" s="199">
        <v>5.0</v>
      </c>
      <c r="AI149" s="200" t="s">
        <v>748</v>
      </c>
      <c r="AJ149" s="200" t="s">
        <v>749</v>
      </c>
      <c r="AK149" s="200"/>
      <c r="AL149" s="204"/>
      <c r="AM149" s="204"/>
    </row>
    <row r="150">
      <c r="A150" s="199" t="s">
        <v>110</v>
      </c>
      <c r="B150" s="200" t="s">
        <v>339</v>
      </c>
      <c r="C150" s="199">
        <v>2.426925922E10</v>
      </c>
      <c r="D150" s="201">
        <v>45545.0</v>
      </c>
      <c r="E150" s="202" t="s">
        <v>102</v>
      </c>
      <c r="F150" s="202" t="s">
        <v>102</v>
      </c>
      <c r="G150" s="203" t="s">
        <v>100</v>
      </c>
      <c r="H150" s="203" t="s">
        <v>100</v>
      </c>
      <c r="I150" s="37"/>
      <c r="J150" s="37"/>
      <c r="K150" s="37"/>
      <c r="L150" s="199">
        <v>7.0</v>
      </c>
      <c r="M150" s="199">
        <v>223.7</v>
      </c>
      <c r="N150" s="37"/>
      <c r="O150" s="37"/>
      <c r="P150" s="199">
        <v>0.01</v>
      </c>
      <c r="Q150" s="199">
        <v>0.0</v>
      </c>
      <c r="R150" s="199">
        <v>4.0</v>
      </c>
      <c r="S150" s="199">
        <v>1.0</v>
      </c>
      <c r="T150" s="199">
        <v>0.0</v>
      </c>
      <c r="U150" s="199">
        <v>5.0</v>
      </c>
      <c r="V150" s="199">
        <v>0.0</v>
      </c>
      <c r="W150" s="199">
        <v>0.0</v>
      </c>
      <c r="X150" s="199">
        <v>0.0</v>
      </c>
      <c r="Y150" s="199">
        <v>0.0</v>
      </c>
      <c r="Z150" s="199">
        <v>0.0</v>
      </c>
      <c r="AA150" s="199">
        <v>0.0</v>
      </c>
      <c r="AB150" s="199">
        <v>23.0</v>
      </c>
      <c r="AC150" s="199">
        <v>16.0</v>
      </c>
      <c r="AD150" s="199">
        <v>0.0</v>
      </c>
      <c r="AE150" s="199">
        <v>6.0</v>
      </c>
      <c r="AF150" s="199">
        <v>0.0</v>
      </c>
      <c r="AG150" s="199">
        <v>503.0</v>
      </c>
      <c r="AH150" s="199">
        <v>15.0</v>
      </c>
      <c r="AI150" s="200" t="s">
        <v>750</v>
      </c>
      <c r="AJ150" s="200" t="s">
        <v>751</v>
      </c>
      <c r="AK150" s="200"/>
      <c r="AL150" s="204"/>
      <c r="AM150" s="204"/>
    </row>
    <row r="151">
      <c r="A151" s="199" t="s">
        <v>111</v>
      </c>
      <c r="B151" s="200" t="s">
        <v>340</v>
      </c>
      <c r="C151" s="199">
        <v>2.4269259221E10</v>
      </c>
      <c r="D151" s="201">
        <v>45545.0</v>
      </c>
      <c r="E151" s="202" t="s">
        <v>102</v>
      </c>
      <c r="F151" s="202" t="s">
        <v>102</v>
      </c>
      <c r="G151" s="203" t="s">
        <v>100</v>
      </c>
      <c r="H151" s="203" t="s">
        <v>100</v>
      </c>
      <c r="I151" s="37"/>
      <c r="J151" s="37"/>
      <c r="K151" s="37"/>
      <c r="L151" s="199">
        <v>10.0</v>
      </c>
      <c r="M151" s="199">
        <v>213.8</v>
      </c>
      <c r="N151" s="37"/>
      <c r="O151" s="37"/>
      <c r="P151" s="199">
        <v>0.01</v>
      </c>
      <c r="Q151" s="199">
        <v>0.0</v>
      </c>
      <c r="R151" s="199">
        <v>4.0</v>
      </c>
      <c r="S151" s="199">
        <v>1.0</v>
      </c>
      <c r="T151" s="199">
        <v>0.0</v>
      </c>
      <c r="U151" s="199">
        <v>9.0</v>
      </c>
      <c r="V151" s="199">
        <v>0.0</v>
      </c>
      <c r="W151" s="199">
        <v>0.0</v>
      </c>
      <c r="X151" s="199">
        <v>0.0</v>
      </c>
      <c r="Y151" s="199">
        <v>0.0</v>
      </c>
      <c r="Z151" s="199">
        <v>0.0</v>
      </c>
      <c r="AA151" s="199">
        <v>0.0</v>
      </c>
      <c r="AB151" s="199">
        <v>32.0</v>
      </c>
      <c r="AC151" s="199">
        <v>15.0</v>
      </c>
      <c r="AD151" s="199">
        <v>0.0</v>
      </c>
      <c r="AE151" s="199">
        <v>14.0</v>
      </c>
      <c r="AF151" s="199">
        <v>2.0</v>
      </c>
      <c r="AG151" s="199">
        <v>549.0</v>
      </c>
      <c r="AH151" s="199">
        <v>16.0</v>
      </c>
      <c r="AI151" s="200" t="s">
        <v>644</v>
      </c>
      <c r="AJ151" s="200" t="s">
        <v>752</v>
      </c>
      <c r="AK151" s="200"/>
      <c r="AL151" s="204"/>
      <c r="AM151" s="204"/>
    </row>
    <row r="152">
      <c r="A152" s="199" t="s">
        <v>111</v>
      </c>
      <c r="B152" s="200" t="s">
        <v>340</v>
      </c>
      <c r="C152" s="199">
        <v>2.4343812233E10</v>
      </c>
      <c r="D152" s="201">
        <v>45624.0</v>
      </c>
      <c r="E152" s="202" t="s">
        <v>100</v>
      </c>
      <c r="F152" s="202" t="s">
        <v>100</v>
      </c>
      <c r="G152" s="203" t="s">
        <v>100</v>
      </c>
      <c r="H152" s="203" t="s">
        <v>100</v>
      </c>
      <c r="I152" s="199">
        <v>19356.0</v>
      </c>
      <c r="J152" s="199">
        <v>11944.0</v>
      </c>
      <c r="K152" s="199">
        <v>6130.0</v>
      </c>
      <c r="L152" s="199">
        <v>9.0</v>
      </c>
      <c r="M152" s="199">
        <v>223.6</v>
      </c>
      <c r="N152" s="37"/>
      <c r="O152" s="37"/>
      <c r="P152" s="199">
        <v>0.01</v>
      </c>
      <c r="Q152" s="199">
        <v>0.0</v>
      </c>
      <c r="R152" s="199">
        <v>0.0</v>
      </c>
      <c r="S152" s="199">
        <v>0.0</v>
      </c>
      <c r="T152" s="199">
        <v>0.0</v>
      </c>
      <c r="U152" s="199">
        <v>1.0</v>
      </c>
      <c r="V152" s="199">
        <v>0.0</v>
      </c>
      <c r="W152" s="199">
        <v>0.0</v>
      </c>
      <c r="X152" s="199">
        <v>0.0</v>
      </c>
      <c r="Y152" s="199">
        <v>0.0</v>
      </c>
      <c r="Z152" s="199">
        <v>0.0</v>
      </c>
      <c r="AA152" s="199">
        <v>0.0</v>
      </c>
      <c r="AB152" s="199">
        <v>10.0</v>
      </c>
      <c r="AC152" s="199">
        <v>4.0</v>
      </c>
      <c r="AD152" s="199">
        <v>0.0</v>
      </c>
      <c r="AE152" s="199">
        <v>1.0</v>
      </c>
      <c r="AF152" s="199">
        <v>0.0</v>
      </c>
      <c r="AG152" s="199">
        <v>470.0</v>
      </c>
      <c r="AH152" s="199">
        <v>4.0</v>
      </c>
      <c r="AI152" s="200" t="s">
        <v>100</v>
      </c>
      <c r="AJ152" s="200" t="s">
        <v>753</v>
      </c>
      <c r="AK152" s="200"/>
      <c r="AL152" s="204"/>
      <c r="AM152" s="204"/>
    </row>
    <row r="153">
      <c r="A153" s="199" t="s">
        <v>111</v>
      </c>
      <c r="B153" s="200" t="s">
        <v>340</v>
      </c>
      <c r="C153" s="199">
        <v>2.518029623E10</v>
      </c>
      <c r="D153" s="201">
        <v>45826.0</v>
      </c>
      <c r="E153" s="202" t="s">
        <v>102</v>
      </c>
      <c r="F153" s="202" t="s">
        <v>102</v>
      </c>
      <c r="G153" s="203" t="s">
        <v>100</v>
      </c>
      <c r="H153" s="203" t="s">
        <v>102</v>
      </c>
      <c r="I153" s="37"/>
      <c r="J153" s="37"/>
      <c r="K153" s="37"/>
      <c r="L153" s="199">
        <v>12.0</v>
      </c>
      <c r="M153" s="199">
        <v>225.7</v>
      </c>
      <c r="N153" s="37"/>
      <c r="O153" s="37"/>
      <c r="P153" s="199">
        <v>0.05</v>
      </c>
      <c r="Q153" s="199">
        <v>0.0</v>
      </c>
      <c r="R153" s="199">
        <v>0.0</v>
      </c>
      <c r="S153" s="199">
        <v>0.0</v>
      </c>
      <c r="T153" s="199">
        <v>0.0</v>
      </c>
      <c r="U153" s="199">
        <v>3.0</v>
      </c>
      <c r="V153" s="199">
        <v>0.0</v>
      </c>
      <c r="W153" s="199">
        <v>0.0</v>
      </c>
      <c r="X153" s="199">
        <v>1.0</v>
      </c>
      <c r="Y153" s="199">
        <v>0.0</v>
      </c>
      <c r="Z153" s="199">
        <v>0.0</v>
      </c>
      <c r="AA153" s="199">
        <v>0.0</v>
      </c>
      <c r="AB153" s="199">
        <v>5.0</v>
      </c>
      <c r="AC153" s="199">
        <v>9.0</v>
      </c>
      <c r="AD153" s="199">
        <v>0.0</v>
      </c>
      <c r="AE153" s="199">
        <v>29.0</v>
      </c>
      <c r="AF153" s="199">
        <v>2.0</v>
      </c>
      <c r="AG153" s="199">
        <v>469.0</v>
      </c>
      <c r="AH153" s="199">
        <v>4.0</v>
      </c>
      <c r="AI153" s="200" t="s">
        <v>754</v>
      </c>
      <c r="AJ153" s="200" t="s">
        <v>755</v>
      </c>
      <c r="AK153" s="200"/>
      <c r="AL153" s="204"/>
      <c r="AM153" s="204"/>
    </row>
    <row r="154">
      <c r="A154" s="199" t="s">
        <v>111</v>
      </c>
      <c r="B154" s="200" t="s">
        <v>340</v>
      </c>
      <c r="C154" s="199">
        <v>2.5330261215E10</v>
      </c>
      <c r="D154" s="201">
        <v>45978.0</v>
      </c>
      <c r="E154" s="202" t="s">
        <v>101</v>
      </c>
      <c r="F154" s="202" t="s">
        <v>101</v>
      </c>
      <c r="G154" s="203" t="s">
        <v>100</v>
      </c>
      <c r="H154" s="203" t="s">
        <v>100</v>
      </c>
      <c r="I154" s="199">
        <v>29917.0</v>
      </c>
      <c r="J154" s="199">
        <v>10618.0</v>
      </c>
      <c r="K154" s="199">
        <v>5100.0</v>
      </c>
      <c r="L154" s="199">
        <v>10.0</v>
      </c>
      <c r="M154" s="199">
        <v>219.5</v>
      </c>
      <c r="N154" s="37"/>
      <c r="O154" s="37"/>
      <c r="P154" s="199">
        <v>0.01</v>
      </c>
      <c r="Q154" s="199">
        <v>0.0</v>
      </c>
      <c r="R154" s="199">
        <v>0.0</v>
      </c>
      <c r="S154" s="199">
        <v>0.0</v>
      </c>
      <c r="T154" s="199">
        <v>0.0</v>
      </c>
      <c r="U154" s="199">
        <v>4.0</v>
      </c>
      <c r="V154" s="199">
        <v>0.0</v>
      </c>
      <c r="W154" s="199">
        <v>0.0</v>
      </c>
      <c r="X154" s="199">
        <v>0.0</v>
      </c>
      <c r="Y154" s="199">
        <v>0.0</v>
      </c>
      <c r="Z154" s="199">
        <v>0.0</v>
      </c>
      <c r="AA154" s="199">
        <v>0.0</v>
      </c>
      <c r="AB154" s="199">
        <v>59.0</v>
      </c>
      <c r="AC154" s="199">
        <v>12.0</v>
      </c>
      <c r="AD154" s="199">
        <v>0.0</v>
      </c>
      <c r="AE154" s="199">
        <v>36.0</v>
      </c>
      <c r="AF154" s="199">
        <v>0.0</v>
      </c>
      <c r="AG154" s="199">
        <v>636.0</v>
      </c>
      <c r="AH154" s="199">
        <v>92.0</v>
      </c>
      <c r="AI154" s="200" t="s">
        <v>756</v>
      </c>
      <c r="AJ154" s="200" t="s">
        <v>757</v>
      </c>
      <c r="AK154" s="200"/>
      <c r="AL154" s="204"/>
      <c r="AM154" s="204"/>
    </row>
    <row r="155">
      <c r="A155" s="199" t="s">
        <v>111</v>
      </c>
      <c r="B155" s="200" t="s">
        <v>340</v>
      </c>
      <c r="C155" s="199">
        <v>2.6005501204E10</v>
      </c>
      <c r="D155" s="201">
        <v>46007.0</v>
      </c>
      <c r="E155" s="202" t="s">
        <v>100</v>
      </c>
      <c r="F155" s="202" t="s">
        <v>100</v>
      </c>
      <c r="G155" s="203" t="s">
        <v>100</v>
      </c>
      <c r="H155" s="203" t="s">
        <v>100</v>
      </c>
      <c r="I155" s="199">
        <v>29147.0</v>
      </c>
      <c r="J155" s="199">
        <v>11288.0</v>
      </c>
      <c r="K155" s="199">
        <v>6606.0</v>
      </c>
      <c r="L155" s="199">
        <v>10.0</v>
      </c>
      <c r="M155" s="199">
        <v>220.4</v>
      </c>
      <c r="N155" s="37"/>
      <c r="O155" s="37"/>
      <c r="P155" s="199">
        <v>0.01</v>
      </c>
      <c r="Q155" s="199">
        <v>0.0</v>
      </c>
      <c r="R155" s="199">
        <v>0.0</v>
      </c>
      <c r="S155" s="199">
        <v>0.0</v>
      </c>
      <c r="T155" s="199">
        <v>0.0</v>
      </c>
      <c r="U155" s="199">
        <v>0.0</v>
      </c>
      <c r="V155" s="199">
        <v>0.0</v>
      </c>
      <c r="W155" s="199">
        <v>0.0</v>
      </c>
      <c r="X155" s="199">
        <v>0.0</v>
      </c>
      <c r="Y155" s="199">
        <v>0.0</v>
      </c>
      <c r="Z155" s="199">
        <v>0.0</v>
      </c>
      <c r="AA155" s="199">
        <v>0.0</v>
      </c>
      <c r="AB155" s="199">
        <v>4.0</v>
      </c>
      <c r="AC155" s="199">
        <v>16.0</v>
      </c>
      <c r="AD155" s="199">
        <v>0.0</v>
      </c>
      <c r="AE155" s="199">
        <v>16.0</v>
      </c>
      <c r="AF155" s="199">
        <v>0.0</v>
      </c>
      <c r="AG155" s="199">
        <v>599.0</v>
      </c>
      <c r="AH155" s="199">
        <v>46.0</v>
      </c>
      <c r="AI155" s="200" t="s">
        <v>100</v>
      </c>
      <c r="AJ155" s="200" t="s">
        <v>758</v>
      </c>
      <c r="AK155" s="200"/>
      <c r="AL155" s="204"/>
      <c r="AM155" s="204"/>
    </row>
    <row r="156">
      <c r="A156" s="199" t="s">
        <v>116</v>
      </c>
      <c r="B156" s="200" t="s">
        <v>349</v>
      </c>
      <c r="C156" s="199">
        <v>2.3234228224E10</v>
      </c>
      <c r="D156" s="201">
        <v>45154.0</v>
      </c>
      <c r="E156" s="202" t="s">
        <v>102</v>
      </c>
      <c r="F156" s="202" t="s">
        <v>102</v>
      </c>
      <c r="G156" s="203" t="s">
        <v>100</v>
      </c>
      <c r="H156" s="203" t="s">
        <v>100</v>
      </c>
      <c r="I156" s="37"/>
      <c r="J156" s="37"/>
      <c r="K156" s="37"/>
      <c r="L156" s="199">
        <v>5.0</v>
      </c>
      <c r="M156" s="199">
        <v>223.4</v>
      </c>
      <c r="N156" s="37"/>
      <c r="O156" s="37"/>
      <c r="P156" s="199">
        <v>0.05</v>
      </c>
      <c r="Q156" s="199">
        <v>0.0</v>
      </c>
      <c r="R156" s="199">
        <v>0.0</v>
      </c>
      <c r="S156" s="199">
        <v>0.0</v>
      </c>
      <c r="T156" s="199">
        <v>0.0</v>
      </c>
      <c r="U156" s="199">
        <v>8.0</v>
      </c>
      <c r="V156" s="199">
        <v>0.0</v>
      </c>
      <c r="W156" s="199">
        <v>0.0</v>
      </c>
      <c r="X156" s="199">
        <v>0.0</v>
      </c>
      <c r="Y156" s="199">
        <v>0.0</v>
      </c>
      <c r="Z156" s="199">
        <v>0.0</v>
      </c>
      <c r="AA156" s="199">
        <v>0.0</v>
      </c>
      <c r="AB156" s="199">
        <v>12.0</v>
      </c>
      <c r="AC156" s="199">
        <v>10.0</v>
      </c>
      <c r="AD156" s="199">
        <v>0.0</v>
      </c>
      <c r="AE156" s="199">
        <v>4.0</v>
      </c>
      <c r="AF156" s="199">
        <v>0.0</v>
      </c>
      <c r="AG156" s="199">
        <v>473.0</v>
      </c>
      <c r="AH156" s="199">
        <v>0.0</v>
      </c>
      <c r="AI156" s="200" t="s">
        <v>759</v>
      </c>
      <c r="AJ156" s="200" t="s">
        <v>760</v>
      </c>
      <c r="AK156" s="200"/>
      <c r="AL156" s="204"/>
      <c r="AM156" s="204"/>
    </row>
    <row r="157">
      <c r="A157" s="199" t="s">
        <v>116</v>
      </c>
      <c r="B157" s="200" t="s">
        <v>349</v>
      </c>
      <c r="C157" s="199">
        <v>2.4162106231E10</v>
      </c>
      <c r="D157" s="201">
        <v>45447.0</v>
      </c>
      <c r="E157" s="202" t="s">
        <v>100</v>
      </c>
      <c r="F157" s="202" t="s">
        <v>100</v>
      </c>
      <c r="G157" s="203" t="s">
        <v>100</v>
      </c>
      <c r="H157" s="203" t="s">
        <v>100</v>
      </c>
      <c r="I157" s="199">
        <v>28171.0</v>
      </c>
      <c r="J157" s="199">
        <v>10364.0</v>
      </c>
      <c r="K157" s="199">
        <v>2501.0</v>
      </c>
      <c r="L157" s="199">
        <v>3.0</v>
      </c>
      <c r="M157" s="199">
        <v>236.9</v>
      </c>
      <c r="N157" s="37"/>
      <c r="O157" s="37"/>
      <c r="P157" s="199">
        <v>0.04</v>
      </c>
      <c r="Q157" s="199">
        <v>0.0</v>
      </c>
      <c r="R157" s="199">
        <v>0.0</v>
      </c>
      <c r="S157" s="199">
        <v>1.0</v>
      </c>
      <c r="T157" s="199">
        <v>0.0</v>
      </c>
      <c r="U157" s="199">
        <v>6.0</v>
      </c>
      <c r="V157" s="199">
        <v>0.0</v>
      </c>
      <c r="W157" s="199">
        <v>0.0</v>
      </c>
      <c r="X157" s="199">
        <v>0.0</v>
      </c>
      <c r="Y157" s="199">
        <v>0.0</v>
      </c>
      <c r="Z157" s="199">
        <v>0.0</v>
      </c>
      <c r="AA157" s="199">
        <v>0.0</v>
      </c>
      <c r="AB157" s="199">
        <v>27.0</v>
      </c>
      <c r="AC157" s="199">
        <v>2.0</v>
      </c>
      <c r="AD157" s="199">
        <v>0.0</v>
      </c>
      <c r="AE157" s="199">
        <v>2.0</v>
      </c>
      <c r="AF157" s="199">
        <v>2.0</v>
      </c>
      <c r="AG157" s="199">
        <v>383.0</v>
      </c>
      <c r="AH157" s="199">
        <v>7.0</v>
      </c>
      <c r="AI157" s="200" t="s">
        <v>100</v>
      </c>
      <c r="AJ157" s="200" t="s">
        <v>691</v>
      </c>
      <c r="AK157" s="200"/>
      <c r="AL157" s="204"/>
      <c r="AM157" s="204"/>
    </row>
    <row r="158">
      <c r="A158" s="199" t="s">
        <v>116</v>
      </c>
      <c r="B158" s="200" t="s">
        <v>349</v>
      </c>
      <c r="C158" s="199">
        <v>2.5049182226E10</v>
      </c>
      <c r="D158" s="201">
        <v>45701.0</v>
      </c>
      <c r="E158" s="202" t="s">
        <v>100</v>
      </c>
      <c r="F158" s="202" t="s">
        <v>100</v>
      </c>
      <c r="G158" s="203" t="s">
        <v>100</v>
      </c>
      <c r="H158" s="203" t="s">
        <v>100</v>
      </c>
      <c r="I158" s="199">
        <v>32699.0</v>
      </c>
      <c r="J158" s="199">
        <v>20610.0</v>
      </c>
      <c r="K158" s="199">
        <v>9110.0</v>
      </c>
      <c r="L158" s="199">
        <v>10.0</v>
      </c>
      <c r="M158" s="199">
        <v>236.7</v>
      </c>
      <c r="N158" s="37"/>
      <c r="O158" s="37"/>
      <c r="P158" s="199">
        <v>0.02</v>
      </c>
      <c r="Q158" s="199">
        <v>0.0</v>
      </c>
      <c r="R158" s="199">
        <v>4.0</v>
      </c>
      <c r="S158" s="199">
        <v>1.0</v>
      </c>
      <c r="T158" s="199">
        <v>2.0</v>
      </c>
      <c r="U158" s="199">
        <v>9.0</v>
      </c>
      <c r="V158" s="199">
        <v>0.0</v>
      </c>
      <c r="W158" s="199">
        <v>0.0</v>
      </c>
      <c r="X158" s="199">
        <v>2.0</v>
      </c>
      <c r="Y158" s="199">
        <v>0.0</v>
      </c>
      <c r="Z158" s="199">
        <v>0.0</v>
      </c>
      <c r="AA158" s="199">
        <v>0.0</v>
      </c>
      <c r="AB158" s="199">
        <v>12.0</v>
      </c>
      <c r="AC158" s="199">
        <v>8.0</v>
      </c>
      <c r="AD158" s="199">
        <v>0.0</v>
      </c>
      <c r="AE158" s="199">
        <v>8.0</v>
      </c>
      <c r="AF158" s="199">
        <v>0.0</v>
      </c>
      <c r="AG158" s="199">
        <v>368.0</v>
      </c>
      <c r="AH158" s="199">
        <v>16.0</v>
      </c>
      <c r="AI158" s="200" t="s">
        <v>100</v>
      </c>
      <c r="AJ158" s="200" t="s">
        <v>761</v>
      </c>
      <c r="AK158" s="200"/>
      <c r="AL158" s="204"/>
      <c r="AM158" s="204"/>
    </row>
    <row r="159">
      <c r="A159" s="199" t="s">
        <v>116</v>
      </c>
      <c r="B159" s="200" t="s">
        <v>349</v>
      </c>
      <c r="C159" s="199">
        <v>2.5175246241E10</v>
      </c>
      <c r="D159" s="201">
        <v>45826.0</v>
      </c>
      <c r="E159" s="202" t="s">
        <v>100</v>
      </c>
      <c r="F159" s="202" t="s">
        <v>100</v>
      </c>
      <c r="G159" s="203" t="s">
        <v>100</v>
      </c>
      <c r="H159" s="203" t="s">
        <v>100</v>
      </c>
      <c r="I159" s="199">
        <v>32681.0</v>
      </c>
      <c r="J159" s="199">
        <v>23007.0</v>
      </c>
      <c r="K159" s="199">
        <v>5166.0</v>
      </c>
      <c r="L159" s="199">
        <v>5.0</v>
      </c>
      <c r="M159" s="199">
        <v>227.3</v>
      </c>
      <c r="N159" s="37"/>
      <c r="O159" s="37"/>
      <c r="P159" s="199">
        <v>0.01</v>
      </c>
      <c r="Q159" s="199">
        <v>0.0</v>
      </c>
      <c r="R159" s="199">
        <v>5.0</v>
      </c>
      <c r="S159" s="199">
        <v>2.0</v>
      </c>
      <c r="T159" s="199">
        <v>0.0</v>
      </c>
      <c r="U159" s="199">
        <v>6.0</v>
      </c>
      <c r="V159" s="199">
        <v>0.0</v>
      </c>
      <c r="W159" s="199">
        <v>0.0</v>
      </c>
      <c r="X159" s="199">
        <v>0.0</v>
      </c>
      <c r="Y159" s="199">
        <v>0.0</v>
      </c>
      <c r="Z159" s="199">
        <v>0.0</v>
      </c>
      <c r="AA159" s="199">
        <v>0.0</v>
      </c>
      <c r="AB159" s="199">
        <v>28.0</v>
      </c>
      <c r="AC159" s="199">
        <v>12.0</v>
      </c>
      <c r="AD159" s="199">
        <v>0.0</v>
      </c>
      <c r="AE159" s="199">
        <v>13.0</v>
      </c>
      <c r="AF159" s="199">
        <v>2.0</v>
      </c>
      <c r="AG159" s="199">
        <v>307.0</v>
      </c>
      <c r="AH159" s="199">
        <v>2.0</v>
      </c>
      <c r="AI159" s="200" t="s">
        <v>100</v>
      </c>
      <c r="AJ159" s="200" t="s">
        <v>762</v>
      </c>
      <c r="AK159" s="200"/>
      <c r="AL159" s="204"/>
      <c r="AM159" s="204"/>
    </row>
    <row r="160">
      <c r="A160" s="199" t="s">
        <v>116</v>
      </c>
      <c r="B160" s="200" t="s">
        <v>349</v>
      </c>
      <c r="C160" s="199">
        <v>2.6005501228E10</v>
      </c>
      <c r="D160" s="201">
        <v>46007.0</v>
      </c>
      <c r="E160" s="202" t="s">
        <v>100</v>
      </c>
      <c r="F160" s="202" t="s">
        <v>100</v>
      </c>
      <c r="G160" s="203" t="s">
        <v>100</v>
      </c>
      <c r="H160" s="203" t="s">
        <v>100</v>
      </c>
      <c r="I160" s="199">
        <v>24185.0</v>
      </c>
      <c r="J160" s="199">
        <v>11107.0</v>
      </c>
      <c r="K160" s="199">
        <v>5152.0</v>
      </c>
      <c r="L160" s="199">
        <v>5.0</v>
      </c>
      <c r="M160" s="199">
        <v>229.0</v>
      </c>
      <c r="N160" s="37"/>
      <c r="O160" s="37"/>
      <c r="P160" s="199">
        <v>0.003</v>
      </c>
      <c r="Q160" s="199">
        <v>0.0</v>
      </c>
      <c r="R160" s="199">
        <v>0.0</v>
      </c>
      <c r="S160" s="199">
        <v>0.0</v>
      </c>
      <c r="T160" s="199">
        <v>0.0</v>
      </c>
      <c r="U160" s="199">
        <v>5.0</v>
      </c>
      <c r="V160" s="199">
        <v>0.0</v>
      </c>
      <c r="W160" s="199">
        <v>0.0</v>
      </c>
      <c r="X160" s="199">
        <v>0.0</v>
      </c>
      <c r="Y160" s="199">
        <v>0.0</v>
      </c>
      <c r="Z160" s="199">
        <v>0.0</v>
      </c>
      <c r="AA160" s="199">
        <v>0.0</v>
      </c>
      <c r="AB160" s="199">
        <v>16.0</v>
      </c>
      <c r="AC160" s="199">
        <v>17.0</v>
      </c>
      <c r="AD160" s="199">
        <v>0.0</v>
      </c>
      <c r="AE160" s="199">
        <v>4.0</v>
      </c>
      <c r="AF160" s="199">
        <v>2.0</v>
      </c>
      <c r="AG160" s="199">
        <v>354.0</v>
      </c>
      <c r="AH160" s="199">
        <v>16.0</v>
      </c>
      <c r="AI160" s="200" t="s">
        <v>100</v>
      </c>
      <c r="AJ160" s="200" t="s">
        <v>763</v>
      </c>
      <c r="AK160" s="200"/>
      <c r="AL160" s="204"/>
      <c r="AM160" s="204"/>
    </row>
    <row r="161">
      <c r="A161" s="199" t="s">
        <v>237</v>
      </c>
      <c r="B161" s="200" t="s">
        <v>474</v>
      </c>
      <c r="C161" s="199">
        <v>2.5049182224E10</v>
      </c>
      <c r="D161" s="201">
        <v>45701.0</v>
      </c>
      <c r="E161" s="202" t="s">
        <v>102</v>
      </c>
      <c r="F161" s="202" t="s">
        <v>102</v>
      </c>
      <c r="G161" s="203" t="s">
        <v>100</v>
      </c>
      <c r="H161" s="203" t="s">
        <v>100</v>
      </c>
      <c r="I161" s="37"/>
      <c r="J161" s="37"/>
      <c r="K161" s="37"/>
      <c r="L161" s="199">
        <v>18.0</v>
      </c>
      <c r="M161" s="199">
        <v>286.9</v>
      </c>
      <c r="N161" s="199"/>
      <c r="O161" s="199">
        <v>2.0</v>
      </c>
      <c r="P161" s="199">
        <v>0.02</v>
      </c>
      <c r="Q161" s="199">
        <v>0.0</v>
      </c>
      <c r="R161" s="199">
        <v>10.0</v>
      </c>
      <c r="S161" s="199">
        <v>1.0</v>
      </c>
      <c r="T161" s="199">
        <v>2.0</v>
      </c>
      <c r="U161" s="199">
        <v>40.0</v>
      </c>
      <c r="V161" s="199">
        <v>0.0</v>
      </c>
      <c r="W161" s="199">
        <v>0.0</v>
      </c>
      <c r="X161" s="199">
        <v>1.0</v>
      </c>
      <c r="Y161" s="199">
        <v>0.0</v>
      </c>
      <c r="Z161" s="199">
        <v>2.0</v>
      </c>
      <c r="AA161" s="199">
        <v>0.0</v>
      </c>
      <c r="AB161" s="199">
        <v>16.0</v>
      </c>
      <c r="AC161" s="199">
        <v>25.0</v>
      </c>
      <c r="AD161" s="199">
        <v>0.0</v>
      </c>
      <c r="AE161" s="199">
        <v>76.0</v>
      </c>
      <c r="AF161" s="199">
        <v>2.0</v>
      </c>
      <c r="AG161" s="199">
        <v>372.0</v>
      </c>
      <c r="AH161" s="199">
        <v>37.0</v>
      </c>
      <c r="AI161" s="200" t="s">
        <v>764</v>
      </c>
      <c r="AJ161" s="200" t="s">
        <v>765</v>
      </c>
      <c r="AK161" s="200"/>
      <c r="AL161" s="204"/>
      <c r="AM161" s="204"/>
    </row>
    <row r="162">
      <c r="A162" s="199" t="s">
        <v>117</v>
      </c>
      <c r="B162" s="200" t="s">
        <v>350</v>
      </c>
      <c r="C162" s="199">
        <v>2.5079203207E10</v>
      </c>
      <c r="D162" s="201">
        <v>45726.0</v>
      </c>
      <c r="E162" s="202" t="s">
        <v>102</v>
      </c>
      <c r="F162" s="202" t="s">
        <v>102</v>
      </c>
      <c r="G162" s="203" t="s">
        <v>100</v>
      </c>
      <c r="H162" s="203" t="s">
        <v>100</v>
      </c>
      <c r="I162" s="37"/>
      <c r="J162" s="37"/>
      <c r="K162" s="37"/>
      <c r="L162" s="199">
        <v>8.0</v>
      </c>
      <c r="M162" s="199">
        <v>212.8</v>
      </c>
      <c r="N162" s="37"/>
      <c r="O162" s="37"/>
      <c r="P162" s="199">
        <v>0.01</v>
      </c>
      <c r="Q162" s="199">
        <v>0.0</v>
      </c>
      <c r="R162" s="199">
        <v>9.0</v>
      </c>
      <c r="S162" s="199">
        <v>1.0</v>
      </c>
      <c r="T162" s="199">
        <v>3.0</v>
      </c>
      <c r="U162" s="199">
        <v>14.0</v>
      </c>
      <c r="V162" s="199">
        <v>0.0</v>
      </c>
      <c r="W162" s="199">
        <v>0.0</v>
      </c>
      <c r="X162" s="199">
        <v>0.0</v>
      </c>
      <c r="Y162" s="199">
        <v>0.0</v>
      </c>
      <c r="Z162" s="199">
        <v>0.0</v>
      </c>
      <c r="AA162" s="199">
        <v>0.0</v>
      </c>
      <c r="AB162" s="199">
        <v>20.0</v>
      </c>
      <c r="AC162" s="199">
        <v>6.0</v>
      </c>
      <c r="AD162" s="199">
        <v>0.0</v>
      </c>
      <c r="AE162" s="199">
        <v>45.0</v>
      </c>
      <c r="AF162" s="199">
        <v>2.0</v>
      </c>
      <c r="AG162" s="199">
        <v>552.0</v>
      </c>
      <c r="AH162" s="199">
        <v>14.0</v>
      </c>
      <c r="AI162" s="200" t="s">
        <v>766</v>
      </c>
      <c r="AJ162" s="200" t="s">
        <v>767</v>
      </c>
      <c r="AK162" s="200"/>
      <c r="AL162" s="204"/>
      <c r="AM162" s="204"/>
    </row>
    <row r="163">
      <c r="A163" s="199" t="s">
        <v>117</v>
      </c>
      <c r="B163" s="200" t="s">
        <v>350</v>
      </c>
      <c r="C163" s="199">
        <v>2.5258159222E10</v>
      </c>
      <c r="D163" s="201">
        <v>45908.0</v>
      </c>
      <c r="E163" s="202" t="s">
        <v>102</v>
      </c>
      <c r="F163" s="202" t="s">
        <v>102</v>
      </c>
      <c r="G163" s="203" t="s">
        <v>100</v>
      </c>
      <c r="H163" s="203" t="s">
        <v>100</v>
      </c>
      <c r="I163" s="37"/>
      <c r="J163" s="37"/>
      <c r="K163" s="37"/>
      <c r="L163" s="199">
        <v>8.0</v>
      </c>
      <c r="M163" s="199">
        <v>213.2</v>
      </c>
      <c r="N163" s="37"/>
      <c r="O163" s="37"/>
      <c r="P163" s="199">
        <v>0.04</v>
      </c>
      <c r="Q163" s="199">
        <v>0.0</v>
      </c>
      <c r="R163" s="199">
        <v>10.0</v>
      </c>
      <c r="S163" s="199">
        <v>0.0</v>
      </c>
      <c r="T163" s="199">
        <v>2.0</v>
      </c>
      <c r="U163" s="199">
        <v>44.0</v>
      </c>
      <c r="V163" s="199">
        <v>0.0</v>
      </c>
      <c r="W163" s="199">
        <v>0.0</v>
      </c>
      <c r="X163" s="199">
        <v>0.0</v>
      </c>
      <c r="Y163" s="199">
        <v>0.0</v>
      </c>
      <c r="Z163" s="199">
        <v>0.0</v>
      </c>
      <c r="AA163" s="199">
        <v>0.0</v>
      </c>
      <c r="AB163" s="199">
        <v>2.0</v>
      </c>
      <c r="AC163" s="199">
        <v>0.0</v>
      </c>
      <c r="AD163" s="199">
        <v>0.0</v>
      </c>
      <c r="AE163" s="199">
        <v>10.0</v>
      </c>
      <c r="AF163" s="199">
        <v>2.0</v>
      </c>
      <c r="AG163" s="199">
        <v>380.0</v>
      </c>
      <c r="AH163" s="199">
        <v>0.0</v>
      </c>
      <c r="AI163" s="200" t="s">
        <v>608</v>
      </c>
      <c r="AJ163" s="200" t="s">
        <v>768</v>
      </c>
      <c r="AK163" s="200"/>
      <c r="AL163" s="204"/>
      <c r="AM163" s="204"/>
    </row>
    <row r="164">
      <c r="A164" s="199" t="s">
        <v>117</v>
      </c>
      <c r="B164" s="200" t="s">
        <v>350</v>
      </c>
      <c r="C164" s="199">
        <v>2.529421022E10</v>
      </c>
      <c r="D164" s="201">
        <v>45946.0</v>
      </c>
      <c r="E164" s="202" t="s">
        <v>101</v>
      </c>
      <c r="F164" s="202" t="s">
        <v>100</v>
      </c>
      <c r="G164" s="203" t="s">
        <v>100</v>
      </c>
      <c r="H164" s="203" t="s">
        <v>101</v>
      </c>
      <c r="I164" s="199">
        <v>19867.0</v>
      </c>
      <c r="J164" s="199">
        <v>10081.0</v>
      </c>
      <c r="K164" s="199">
        <v>5161.0</v>
      </c>
      <c r="L164" s="199">
        <v>5.0</v>
      </c>
      <c r="M164" s="199">
        <v>116.1</v>
      </c>
      <c r="N164" s="37"/>
      <c r="O164" s="37"/>
      <c r="P164" s="199">
        <v>0.01</v>
      </c>
      <c r="Q164" s="199">
        <v>0.0</v>
      </c>
      <c r="R164" s="199">
        <v>7.0</v>
      </c>
      <c r="S164" s="199">
        <v>0.0</v>
      </c>
      <c r="T164" s="199">
        <v>2.0</v>
      </c>
      <c r="U164" s="199">
        <v>29.0</v>
      </c>
      <c r="V164" s="199">
        <v>2.0</v>
      </c>
      <c r="W164" s="199">
        <v>0.0</v>
      </c>
      <c r="X164" s="199">
        <v>0.0</v>
      </c>
      <c r="Y164" s="199">
        <v>0.0</v>
      </c>
      <c r="Z164" s="199">
        <v>0.0</v>
      </c>
      <c r="AA164" s="199">
        <v>0.0</v>
      </c>
      <c r="AB164" s="199">
        <v>21.0</v>
      </c>
      <c r="AC164" s="199">
        <v>0.0</v>
      </c>
      <c r="AD164" s="199">
        <v>0.0</v>
      </c>
      <c r="AE164" s="199">
        <v>62.0</v>
      </c>
      <c r="AF164" s="199">
        <v>3.0</v>
      </c>
      <c r="AG164" s="199">
        <v>451.0</v>
      </c>
      <c r="AH164" s="199">
        <v>159.0</v>
      </c>
      <c r="AI164" s="200" t="s">
        <v>769</v>
      </c>
      <c r="AJ164" s="200" t="s">
        <v>770</v>
      </c>
      <c r="AK164" s="200"/>
      <c r="AL164" s="204"/>
      <c r="AM164" s="204"/>
    </row>
    <row r="165">
      <c r="A165" s="199" t="s">
        <v>117</v>
      </c>
      <c r="B165" s="200" t="s">
        <v>350</v>
      </c>
      <c r="C165" s="199">
        <v>2.6090313223E10</v>
      </c>
      <c r="D165" s="201">
        <v>46093.0</v>
      </c>
      <c r="E165" s="202" t="s">
        <v>102</v>
      </c>
      <c r="F165" s="202" t="s">
        <v>102</v>
      </c>
      <c r="G165" s="203" t="s">
        <v>100</v>
      </c>
      <c r="H165" s="203" t="s">
        <v>100</v>
      </c>
      <c r="I165" s="37"/>
      <c r="J165" s="37"/>
      <c r="K165" s="37"/>
      <c r="L165" s="199">
        <v>9.0</v>
      </c>
      <c r="M165" s="199">
        <v>222.6</v>
      </c>
      <c r="N165" s="37"/>
      <c r="O165" s="37"/>
      <c r="P165" s="199">
        <v>0.003</v>
      </c>
      <c r="Q165" s="199">
        <v>0.0</v>
      </c>
      <c r="R165" s="199">
        <v>0.0</v>
      </c>
      <c r="S165" s="199">
        <v>0.0</v>
      </c>
      <c r="T165" s="199">
        <v>0.0</v>
      </c>
      <c r="U165" s="199">
        <v>14.0</v>
      </c>
      <c r="V165" s="199">
        <v>0.0</v>
      </c>
      <c r="W165" s="199">
        <v>0.0</v>
      </c>
      <c r="X165" s="199">
        <v>0.0</v>
      </c>
      <c r="Y165" s="199">
        <v>0.0</v>
      </c>
      <c r="Z165" s="199">
        <v>0.0</v>
      </c>
      <c r="AA165" s="199">
        <v>0.0</v>
      </c>
      <c r="AB165" s="199">
        <v>5.0</v>
      </c>
      <c r="AC165" s="199">
        <v>0.0</v>
      </c>
      <c r="AD165" s="199">
        <v>0.0</v>
      </c>
      <c r="AE165" s="199">
        <v>25.0</v>
      </c>
      <c r="AF165" s="199">
        <v>2.0</v>
      </c>
      <c r="AG165" s="199">
        <v>477.0</v>
      </c>
      <c r="AH165" s="199">
        <v>36.0</v>
      </c>
      <c r="AI165" s="200" t="s">
        <v>771</v>
      </c>
      <c r="AJ165" s="200" t="s">
        <v>772</v>
      </c>
      <c r="AK165" s="200"/>
      <c r="AL165" s="204"/>
      <c r="AM165" s="204"/>
    </row>
    <row r="166">
      <c r="A166" s="199" t="s">
        <v>103</v>
      </c>
      <c r="B166" s="200" t="s">
        <v>332</v>
      </c>
      <c r="C166" s="199">
        <v>2.4303290264E10</v>
      </c>
      <c r="D166" s="201">
        <v>45589.0</v>
      </c>
      <c r="E166" s="202" t="s">
        <v>100</v>
      </c>
      <c r="F166" s="202" t="s">
        <v>100</v>
      </c>
      <c r="G166" s="203" t="s">
        <v>100</v>
      </c>
      <c r="H166" s="203" t="s">
        <v>100</v>
      </c>
      <c r="I166" s="199">
        <v>16790.0</v>
      </c>
      <c r="J166" s="199">
        <v>9102.0</v>
      </c>
      <c r="K166" s="199">
        <v>1144.0</v>
      </c>
      <c r="L166" s="199">
        <v>5.0</v>
      </c>
      <c r="M166" s="199">
        <v>203.6</v>
      </c>
      <c r="N166" s="37"/>
      <c r="O166" s="37"/>
      <c r="P166" s="199">
        <v>0.01</v>
      </c>
      <c r="Q166" s="199">
        <v>0.0</v>
      </c>
      <c r="R166" s="199">
        <v>2.0</v>
      </c>
      <c r="S166" s="199">
        <v>0.0</v>
      </c>
      <c r="T166" s="199">
        <v>1.0</v>
      </c>
      <c r="U166" s="199">
        <v>3.0</v>
      </c>
      <c r="V166" s="199">
        <v>0.0</v>
      </c>
      <c r="W166" s="199">
        <v>0.0</v>
      </c>
      <c r="X166" s="199">
        <v>2.0</v>
      </c>
      <c r="Y166" s="199">
        <v>0.0</v>
      </c>
      <c r="Z166" s="199">
        <v>0.0</v>
      </c>
      <c r="AA166" s="199">
        <v>0.0</v>
      </c>
      <c r="AB166" s="199">
        <v>9.0</v>
      </c>
      <c r="AC166" s="199">
        <v>10.0</v>
      </c>
      <c r="AD166" s="199">
        <v>0.0</v>
      </c>
      <c r="AE166" s="199">
        <v>30.0</v>
      </c>
      <c r="AF166" s="199">
        <v>2.0</v>
      </c>
      <c r="AG166" s="199">
        <v>362.0</v>
      </c>
      <c r="AH166" s="199">
        <v>9.0</v>
      </c>
      <c r="AI166" s="200" t="s">
        <v>655</v>
      </c>
      <c r="AJ166" s="200" t="s">
        <v>656</v>
      </c>
      <c r="AK166" s="200"/>
      <c r="AL166" s="204"/>
      <c r="AM166" s="204"/>
    </row>
    <row r="167">
      <c r="A167" s="199" t="s">
        <v>103</v>
      </c>
      <c r="B167" s="200" t="s">
        <v>332</v>
      </c>
      <c r="C167" s="199">
        <v>2.5112224218E10</v>
      </c>
      <c r="D167" s="201">
        <v>45757.0</v>
      </c>
      <c r="E167" s="202" t="s">
        <v>100</v>
      </c>
      <c r="F167" s="202" t="s">
        <v>100</v>
      </c>
      <c r="G167" s="203" t="s">
        <v>100</v>
      </c>
      <c r="H167" s="203" t="s">
        <v>100</v>
      </c>
      <c r="I167" s="199">
        <v>16511.0</v>
      </c>
      <c r="J167" s="199">
        <v>6542.0</v>
      </c>
      <c r="K167" s="199">
        <v>3521.0</v>
      </c>
      <c r="L167" s="199">
        <v>13.0</v>
      </c>
      <c r="M167" s="199">
        <v>195.0</v>
      </c>
      <c r="N167" s="37"/>
      <c r="O167" s="37"/>
      <c r="P167" s="199">
        <v>0.03</v>
      </c>
      <c r="Q167" s="199">
        <v>0.0</v>
      </c>
      <c r="R167" s="199">
        <v>0.0</v>
      </c>
      <c r="S167" s="199">
        <v>0.0</v>
      </c>
      <c r="T167" s="199">
        <v>0.0</v>
      </c>
      <c r="U167" s="199">
        <v>10.0</v>
      </c>
      <c r="V167" s="199">
        <v>0.0</v>
      </c>
      <c r="W167" s="199">
        <v>0.0</v>
      </c>
      <c r="X167" s="199">
        <v>0.0</v>
      </c>
      <c r="Y167" s="199">
        <v>0.0</v>
      </c>
      <c r="Z167" s="199">
        <v>0.0</v>
      </c>
      <c r="AA167" s="199">
        <v>0.0</v>
      </c>
      <c r="AB167" s="199">
        <v>20.0</v>
      </c>
      <c r="AC167" s="199">
        <v>4.0</v>
      </c>
      <c r="AD167" s="199">
        <v>0.0</v>
      </c>
      <c r="AE167" s="199">
        <v>20.0</v>
      </c>
      <c r="AF167" s="199">
        <v>0.0</v>
      </c>
      <c r="AG167" s="199">
        <v>436.0</v>
      </c>
      <c r="AH167" s="199">
        <v>5.0</v>
      </c>
      <c r="AI167" s="200" t="s">
        <v>655</v>
      </c>
      <c r="AJ167" s="200" t="s">
        <v>656</v>
      </c>
      <c r="AK167" s="200"/>
      <c r="AL167" s="204"/>
      <c r="AM167" s="204"/>
    </row>
    <row r="168">
      <c r="A168" s="199" t="s">
        <v>103</v>
      </c>
      <c r="B168" s="200" t="s">
        <v>332</v>
      </c>
      <c r="C168" s="199">
        <v>2.5295220217E10</v>
      </c>
      <c r="D168" s="201">
        <v>45946.0</v>
      </c>
      <c r="E168" s="202" t="s">
        <v>100</v>
      </c>
      <c r="F168" s="202" t="s">
        <v>100</v>
      </c>
      <c r="G168" s="203" t="s">
        <v>100</v>
      </c>
      <c r="H168" s="203" t="s">
        <v>100</v>
      </c>
      <c r="I168" s="199">
        <v>10319.0</v>
      </c>
      <c r="J168" s="199">
        <v>5168.0</v>
      </c>
      <c r="K168" s="199">
        <v>1182.0</v>
      </c>
      <c r="L168" s="199">
        <v>5.0</v>
      </c>
      <c r="M168" s="199">
        <v>203.5</v>
      </c>
      <c r="N168" s="37"/>
      <c r="O168" s="37"/>
      <c r="P168" s="199">
        <v>0.01</v>
      </c>
      <c r="Q168" s="199">
        <v>0.0</v>
      </c>
      <c r="R168" s="199">
        <v>0.0</v>
      </c>
      <c r="S168" s="199">
        <v>0.0</v>
      </c>
      <c r="T168" s="199">
        <v>0.0</v>
      </c>
      <c r="U168" s="199">
        <v>9.0</v>
      </c>
      <c r="V168" s="199">
        <v>0.0</v>
      </c>
      <c r="W168" s="199">
        <v>0.0</v>
      </c>
      <c r="X168" s="199">
        <v>0.0</v>
      </c>
      <c r="Y168" s="199">
        <v>0.0</v>
      </c>
      <c r="Z168" s="199">
        <v>0.0</v>
      </c>
      <c r="AA168" s="199">
        <v>0.0</v>
      </c>
      <c r="AB168" s="199">
        <v>18.0</v>
      </c>
      <c r="AC168" s="199">
        <v>12.0</v>
      </c>
      <c r="AD168" s="199">
        <v>0.0</v>
      </c>
      <c r="AE168" s="199">
        <v>0.0</v>
      </c>
      <c r="AF168" s="199">
        <v>2.0</v>
      </c>
      <c r="AG168" s="199">
        <v>560.0</v>
      </c>
      <c r="AH168" s="199">
        <v>0.0</v>
      </c>
      <c r="AI168" s="200" t="s">
        <v>655</v>
      </c>
      <c r="AJ168" s="200" t="s">
        <v>656</v>
      </c>
      <c r="AK168" s="200"/>
      <c r="AL168" s="204"/>
      <c r="AM168" s="204"/>
    </row>
    <row r="169">
      <c r="A169" s="199" t="s">
        <v>130</v>
      </c>
      <c r="B169" s="200" t="s">
        <v>364</v>
      </c>
      <c r="C169" s="199">
        <v>2.1004861217E10</v>
      </c>
      <c r="D169" s="201">
        <v>44196.0</v>
      </c>
      <c r="E169" s="202" t="s">
        <v>101</v>
      </c>
      <c r="F169" s="202" t="s">
        <v>101</v>
      </c>
      <c r="G169" s="203" t="s">
        <v>100</v>
      </c>
      <c r="H169" s="203" t="s">
        <v>100</v>
      </c>
      <c r="I169" s="37"/>
      <c r="J169" s="37"/>
      <c r="K169" s="37"/>
      <c r="L169" s="199">
        <v>9.0</v>
      </c>
      <c r="M169" s="199">
        <v>41.3</v>
      </c>
      <c r="N169" s="199"/>
      <c r="O169" s="199">
        <v>0.0</v>
      </c>
      <c r="P169" s="199">
        <v>0.2</v>
      </c>
      <c r="Q169" s="199">
        <v>0.0</v>
      </c>
      <c r="R169" s="199">
        <v>2.0</v>
      </c>
      <c r="S169" s="199">
        <v>6.0</v>
      </c>
      <c r="T169" s="199">
        <v>8.0</v>
      </c>
      <c r="U169" s="199">
        <v>4.0</v>
      </c>
      <c r="V169" s="199">
        <v>13.0</v>
      </c>
      <c r="W169" s="199">
        <v>6.0</v>
      </c>
      <c r="X169" s="199">
        <v>0.0</v>
      </c>
      <c r="Y169" s="199">
        <v>0.0</v>
      </c>
      <c r="Z169" s="199">
        <v>4.0</v>
      </c>
      <c r="AA169" s="199">
        <v>1.0</v>
      </c>
      <c r="AB169" s="199">
        <v>4.0</v>
      </c>
      <c r="AC169" s="199">
        <v>5.0</v>
      </c>
      <c r="AD169" s="199">
        <v>0.0</v>
      </c>
      <c r="AE169" s="199">
        <v>60.0</v>
      </c>
      <c r="AF169" s="199">
        <v>0.0</v>
      </c>
      <c r="AG169" s="199">
        <v>475.0</v>
      </c>
      <c r="AH169" s="199">
        <v>467.0</v>
      </c>
      <c r="AI169" s="200" t="s">
        <v>684</v>
      </c>
      <c r="AJ169" s="200" t="s">
        <v>773</v>
      </c>
      <c r="AK169" s="200"/>
      <c r="AL169" s="204"/>
      <c r="AM169" s="204"/>
    </row>
    <row r="170">
      <c r="A170" s="199" t="s">
        <v>130</v>
      </c>
      <c r="B170" s="200" t="s">
        <v>364</v>
      </c>
      <c r="C170" s="199">
        <v>2.4093402236E10</v>
      </c>
      <c r="D170" s="201">
        <v>45370.0</v>
      </c>
      <c r="E170" s="202" t="s">
        <v>102</v>
      </c>
      <c r="F170" s="202" t="s">
        <v>102</v>
      </c>
      <c r="G170" s="203" t="s">
        <v>102</v>
      </c>
      <c r="H170" s="203" t="s">
        <v>100</v>
      </c>
      <c r="I170" s="37"/>
      <c r="J170" s="37"/>
      <c r="K170" s="37"/>
      <c r="L170" s="199">
        <v>7.0</v>
      </c>
      <c r="M170" s="199">
        <v>45.7</v>
      </c>
      <c r="N170" s="199"/>
      <c r="O170" s="199">
        <v>0.0</v>
      </c>
      <c r="P170" s="199">
        <v>0.03</v>
      </c>
      <c r="Q170" s="199">
        <v>0.0</v>
      </c>
      <c r="R170" s="199">
        <v>3.0</v>
      </c>
      <c r="S170" s="199">
        <v>8.0</v>
      </c>
      <c r="T170" s="199">
        <v>1.0</v>
      </c>
      <c r="U170" s="199">
        <v>21.0</v>
      </c>
      <c r="V170" s="199">
        <v>0.0</v>
      </c>
      <c r="W170" s="199">
        <v>0.0</v>
      </c>
      <c r="X170" s="199">
        <v>0.0</v>
      </c>
      <c r="Y170" s="199">
        <v>0.0</v>
      </c>
      <c r="Z170" s="199">
        <v>0.0</v>
      </c>
      <c r="AA170" s="199">
        <v>0.0</v>
      </c>
      <c r="AB170" s="199">
        <v>1.0</v>
      </c>
      <c r="AC170" s="199">
        <v>5.0</v>
      </c>
      <c r="AD170" s="199">
        <v>0.0</v>
      </c>
      <c r="AE170" s="199">
        <v>88.0</v>
      </c>
      <c r="AF170" s="199">
        <v>2.0</v>
      </c>
      <c r="AG170" s="199">
        <v>353.0</v>
      </c>
      <c r="AH170" s="199">
        <v>421.0</v>
      </c>
      <c r="AI170" s="200" t="s">
        <v>774</v>
      </c>
      <c r="AJ170" s="200" t="s">
        <v>775</v>
      </c>
      <c r="AK170" s="200"/>
      <c r="AL170" s="204"/>
      <c r="AM170" s="204"/>
    </row>
    <row r="171">
      <c r="A171" s="199" t="s">
        <v>130</v>
      </c>
      <c r="B171" s="200" t="s">
        <v>364</v>
      </c>
      <c r="C171" s="199">
        <v>2.4343812222E10</v>
      </c>
      <c r="D171" s="201">
        <v>45623.0</v>
      </c>
      <c r="E171" s="202" t="s">
        <v>101</v>
      </c>
      <c r="F171" s="202" t="s">
        <v>102</v>
      </c>
      <c r="G171" s="203" t="s">
        <v>100</v>
      </c>
      <c r="H171" s="203" t="s">
        <v>101</v>
      </c>
      <c r="I171" s="37"/>
      <c r="J171" s="37"/>
      <c r="K171" s="37"/>
      <c r="L171" s="199">
        <v>15.0</v>
      </c>
      <c r="M171" s="199">
        <v>77.2</v>
      </c>
      <c r="N171" s="199"/>
      <c r="O171" s="199">
        <v>0.0</v>
      </c>
      <c r="P171" s="199">
        <v>0.02</v>
      </c>
      <c r="Q171" s="199">
        <v>0.0</v>
      </c>
      <c r="R171" s="199">
        <v>0.0</v>
      </c>
      <c r="S171" s="199">
        <v>2.0</v>
      </c>
      <c r="T171" s="199">
        <v>0.0</v>
      </c>
      <c r="U171" s="199">
        <v>16.0</v>
      </c>
      <c r="V171" s="199">
        <v>0.0</v>
      </c>
      <c r="W171" s="199">
        <v>0.0</v>
      </c>
      <c r="X171" s="199">
        <v>0.0</v>
      </c>
      <c r="Y171" s="199">
        <v>0.0</v>
      </c>
      <c r="Z171" s="199">
        <v>0.0</v>
      </c>
      <c r="AA171" s="199">
        <v>0.0</v>
      </c>
      <c r="AB171" s="199">
        <v>0.0</v>
      </c>
      <c r="AC171" s="199">
        <v>1.0</v>
      </c>
      <c r="AD171" s="199">
        <v>0.0</v>
      </c>
      <c r="AE171" s="199">
        <v>69.0</v>
      </c>
      <c r="AF171" s="199">
        <v>2.0</v>
      </c>
      <c r="AG171" s="199">
        <v>339.0</v>
      </c>
      <c r="AH171" s="199">
        <v>568.0</v>
      </c>
      <c r="AI171" s="200" t="s">
        <v>776</v>
      </c>
      <c r="AJ171" s="200" t="s">
        <v>777</v>
      </c>
      <c r="AK171" s="200"/>
      <c r="AL171" s="204"/>
      <c r="AM171" s="204"/>
    </row>
    <row r="172">
      <c r="A172" s="199" t="s">
        <v>153</v>
      </c>
      <c r="B172" s="200" t="s">
        <v>663</v>
      </c>
      <c r="C172" s="199">
        <v>2.2210297228E10</v>
      </c>
      <c r="D172" s="201">
        <v>44762.0</v>
      </c>
      <c r="E172" s="202" t="s">
        <v>102</v>
      </c>
      <c r="F172" s="202" t="s">
        <v>102</v>
      </c>
      <c r="G172" s="203" t="s">
        <v>100</v>
      </c>
      <c r="H172" s="203" t="s">
        <v>100</v>
      </c>
      <c r="I172" s="37"/>
      <c r="J172" s="37"/>
      <c r="K172" s="37"/>
      <c r="L172" s="199">
        <v>6.0</v>
      </c>
      <c r="M172" s="199">
        <v>297.6</v>
      </c>
      <c r="N172" s="199"/>
      <c r="O172" s="199">
        <v>2.0</v>
      </c>
      <c r="P172" s="199">
        <v>0.05</v>
      </c>
      <c r="Q172" s="199">
        <v>0.0</v>
      </c>
      <c r="R172" s="199">
        <v>0.0</v>
      </c>
      <c r="S172" s="199">
        <v>0.0</v>
      </c>
      <c r="T172" s="199">
        <v>0.0</v>
      </c>
      <c r="U172" s="199">
        <v>30.0</v>
      </c>
      <c r="V172" s="199">
        <v>0.0</v>
      </c>
      <c r="W172" s="199">
        <v>0.0</v>
      </c>
      <c r="X172" s="199">
        <v>0.0</v>
      </c>
      <c r="Y172" s="199">
        <v>0.0</v>
      </c>
      <c r="Z172" s="199">
        <v>0.0</v>
      </c>
      <c r="AA172" s="199">
        <v>0.0</v>
      </c>
      <c r="AB172" s="199">
        <v>4.0</v>
      </c>
      <c r="AC172" s="199">
        <v>0.0</v>
      </c>
      <c r="AD172" s="199">
        <v>0.0</v>
      </c>
      <c r="AE172" s="199">
        <v>0.0</v>
      </c>
      <c r="AF172" s="199">
        <v>2.0</v>
      </c>
      <c r="AG172" s="199">
        <v>304.0</v>
      </c>
      <c r="AH172" s="199">
        <v>26.0</v>
      </c>
      <c r="AI172" s="200" t="s">
        <v>653</v>
      </c>
      <c r="AJ172" s="200" t="s">
        <v>778</v>
      </c>
      <c r="AK172" s="200"/>
      <c r="AL172" s="204"/>
      <c r="AM172" s="204"/>
    </row>
    <row r="173">
      <c r="A173" s="199" t="s">
        <v>105</v>
      </c>
      <c r="B173" s="200" t="s">
        <v>779</v>
      </c>
      <c r="C173" s="199">
        <v>2.3235238209E10</v>
      </c>
      <c r="D173" s="201">
        <v>45154.0</v>
      </c>
      <c r="E173" s="202" t="s">
        <v>100</v>
      </c>
      <c r="F173" s="202" t="s">
        <v>100</v>
      </c>
      <c r="G173" s="203" t="s">
        <v>100</v>
      </c>
      <c r="H173" s="203" t="s">
        <v>100</v>
      </c>
      <c r="I173" s="199">
        <v>5279.0</v>
      </c>
      <c r="J173" s="199">
        <v>2227.0</v>
      </c>
      <c r="K173" s="199">
        <v>546.0</v>
      </c>
      <c r="L173" s="199">
        <v>6.0</v>
      </c>
      <c r="M173" s="199">
        <v>207.7</v>
      </c>
      <c r="N173" s="37"/>
      <c r="O173" s="37"/>
      <c r="P173" s="199">
        <v>0.02</v>
      </c>
      <c r="Q173" s="199">
        <v>0.0</v>
      </c>
      <c r="R173" s="199">
        <v>0.0</v>
      </c>
      <c r="S173" s="199">
        <v>0.0</v>
      </c>
      <c r="T173" s="199">
        <v>0.0</v>
      </c>
      <c r="U173" s="199">
        <v>31.0</v>
      </c>
      <c r="V173" s="199">
        <v>0.0</v>
      </c>
      <c r="W173" s="199">
        <v>0.0</v>
      </c>
      <c r="X173" s="199">
        <v>0.0</v>
      </c>
      <c r="Y173" s="199">
        <v>0.0</v>
      </c>
      <c r="Z173" s="199">
        <v>0.0</v>
      </c>
      <c r="AA173" s="199">
        <v>0.0</v>
      </c>
      <c r="AB173" s="199">
        <v>8.0</v>
      </c>
      <c r="AC173" s="199">
        <v>7.0</v>
      </c>
      <c r="AD173" s="199">
        <v>0.0</v>
      </c>
      <c r="AE173" s="199">
        <v>3.0</v>
      </c>
      <c r="AF173" s="199">
        <v>0.0</v>
      </c>
      <c r="AG173" s="199">
        <v>321.0</v>
      </c>
      <c r="AH173" s="199">
        <v>3.0</v>
      </c>
      <c r="AI173" s="200" t="s">
        <v>655</v>
      </c>
      <c r="AJ173" s="200" t="s">
        <v>656</v>
      </c>
      <c r="AK173" s="200"/>
      <c r="AL173" s="204"/>
      <c r="AM173" s="204"/>
    </row>
    <row r="174">
      <c r="A174" s="199" t="s">
        <v>105</v>
      </c>
      <c r="B174" s="200" t="s">
        <v>779</v>
      </c>
      <c r="C174" s="199">
        <v>2.4269259215E10</v>
      </c>
      <c r="D174" s="201">
        <v>45545.0</v>
      </c>
      <c r="E174" s="202" t="s">
        <v>100</v>
      </c>
      <c r="F174" s="202" t="s">
        <v>100</v>
      </c>
      <c r="G174" s="203" t="s">
        <v>100</v>
      </c>
      <c r="H174" s="203" t="s">
        <v>100</v>
      </c>
      <c r="I174" s="199">
        <v>21951.0</v>
      </c>
      <c r="J174" s="199">
        <v>10326.0</v>
      </c>
      <c r="K174" s="199">
        <v>5174.0</v>
      </c>
      <c r="L174" s="199">
        <v>5.0</v>
      </c>
      <c r="M174" s="199">
        <v>199.9</v>
      </c>
      <c r="N174" s="37"/>
      <c r="O174" s="37"/>
      <c r="P174" s="199">
        <v>0.01</v>
      </c>
      <c r="Q174" s="199">
        <v>0.0</v>
      </c>
      <c r="R174" s="199">
        <v>3.0</v>
      </c>
      <c r="S174" s="199">
        <v>0.0</v>
      </c>
      <c r="T174" s="199">
        <v>0.0</v>
      </c>
      <c r="U174" s="199">
        <v>2.0</v>
      </c>
      <c r="V174" s="199">
        <v>0.0</v>
      </c>
      <c r="W174" s="199">
        <v>0.0</v>
      </c>
      <c r="X174" s="199">
        <v>1.0</v>
      </c>
      <c r="Y174" s="199">
        <v>0.0</v>
      </c>
      <c r="Z174" s="199">
        <v>0.0</v>
      </c>
      <c r="AA174" s="199">
        <v>0.0</v>
      </c>
      <c r="AB174" s="199">
        <v>3.0</v>
      </c>
      <c r="AC174" s="199">
        <v>21.0</v>
      </c>
      <c r="AD174" s="199">
        <v>0.0</v>
      </c>
      <c r="AE174" s="199">
        <v>0.0</v>
      </c>
      <c r="AF174" s="199">
        <v>2.0</v>
      </c>
      <c r="AG174" s="199">
        <v>266.0</v>
      </c>
      <c r="AH174" s="199">
        <v>29.0</v>
      </c>
      <c r="AI174" s="200" t="s">
        <v>655</v>
      </c>
      <c r="AJ174" s="200" t="s">
        <v>656</v>
      </c>
      <c r="AK174" s="200"/>
      <c r="AL174" s="204"/>
      <c r="AM174" s="204"/>
    </row>
    <row r="175">
      <c r="A175" s="199" t="s">
        <v>105</v>
      </c>
      <c r="B175" s="200" t="s">
        <v>779</v>
      </c>
      <c r="C175" s="199">
        <v>2.5079203205E10</v>
      </c>
      <c r="D175" s="201">
        <v>45726.0</v>
      </c>
      <c r="E175" s="202" t="s">
        <v>100</v>
      </c>
      <c r="F175" s="202" t="s">
        <v>100</v>
      </c>
      <c r="G175" s="203" t="s">
        <v>100</v>
      </c>
      <c r="H175" s="203" t="s">
        <v>100</v>
      </c>
      <c r="I175" s="199">
        <v>29301.0</v>
      </c>
      <c r="J175" s="199">
        <v>21605.0</v>
      </c>
      <c r="K175" s="199">
        <v>11688.0</v>
      </c>
      <c r="L175" s="199">
        <v>13.0</v>
      </c>
      <c r="M175" s="199">
        <v>202.0</v>
      </c>
      <c r="N175" s="37"/>
      <c r="O175" s="37"/>
      <c r="P175" s="199">
        <v>0.03</v>
      </c>
      <c r="Q175" s="199">
        <v>0.0</v>
      </c>
      <c r="R175" s="199">
        <v>8.0</v>
      </c>
      <c r="S175" s="199">
        <v>1.0</v>
      </c>
      <c r="T175" s="199">
        <v>3.0</v>
      </c>
      <c r="U175" s="199">
        <v>6.0</v>
      </c>
      <c r="V175" s="199">
        <v>0.0</v>
      </c>
      <c r="W175" s="199">
        <v>0.0</v>
      </c>
      <c r="X175" s="199">
        <v>0.0</v>
      </c>
      <c r="Y175" s="199">
        <v>0.0</v>
      </c>
      <c r="Z175" s="199">
        <v>0.0</v>
      </c>
      <c r="AA175" s="199">
        <v>0.0</v>
      </c>
      <c r="AB175" s="199">
        <v>17.0</v>
      </c>
      <c r="AC175" s="199">
        <v>9.0</v>
      </c>
      <c r="AD175" s="199">
        <v>0.0</v>
      </c>
      <c r="AE175" s="199">
        <v>49.0</v>
      </c>
      <c r="AF175" s="199">
        <v>0.0</v>
      </c>
      <c r="AG175" s="199">
        <v>419.0</v>
      </c>
      <c r="AH175" s="199">
        <v>33.0</v>
      </c>
      <c r="AI175" s="200" t="s">
        <v>655</v>
      </c>
      <c r="AJ175" s="200" t="s">
        <v>656</v>
      </c>
      <c r="AK175" s="200"/>
      <c r="AL175" s="204"/>
      <c r="AM175" s="204"/>
    </row>
    <row r="176">
      <c r="A176" s="199" t="s">
        <v>105</v>
      </c>
      <c r="B176" s="200" t="s">
        <v>779</v>
      </c>
      <c r="C176" s="199">
        <v>2.5259169215E10</v>
      </c>
      <c r="D176" s="201">
        <v>45909.0</v>
      </c>
      <c r="E176" s="202" t="s">
        <v>100</v>
      </c>
      <c r="F176" s="202" t="s">
        <v>100</v>
      </c>
      <c r="G176" s="203" t="s">
        <v>100</v>
      </c>
      <c r="H176" s="203" t="s">
        <v>100</v>
      </c>
      <c r="I176" s="199">
        <v>31325.0</v>
      </c>
      <c r="J176" s="199">
        <v>18074.0</v>
      </c>
      <c r="K176" s="199">
        <v>7899.0</v>
      </c>
      <c r="L176" s="199">
        <v>7.0</v>
      </c>
      <c r="M176" s="199">
        <v>200.7</v>
      </c>
      <c r="N176" s="37"/>
      <c r="O176" s="37"/>
      <c r="P176" s="199">
        <v>0.003</v>
      </c>
      <c r="Q176" s="199">
        <v>0.0</v>
      </c>
      <c r="R176" s="199">
        <v>3.0</v>
      </c>
      <c r="S176" s="199">
        <v>2.0</v>
      </c>
      <c r="T176" s="199">
        <v>3.0</v>
      </c>
      <c r="U176" s="199">
        <v>12.0</v>
      </c>
      <c r="V176" s="199">
        <v>0.0</v>
      </c>
      <c r="W176" s="199">
        <v>0.0</v>
      </c>
      <c r="X176" s="199">
        <v>0.0</v>
      </c>
      <c r="Y176" s="199">
        <v>0.0</v>
      </c>
      <c r="Z176" s="199">
        <v>0.0</v>
      </c>
      <c r="AA176" s="199">
        <v>0.0</v>
      </c>
      <c r="AB176" s="199">
        <v>21.0</v>
      </c>
      <c r="AC176" s="199">
        <v>11.0</v>
      </c>
      <c r="AD176" s="199">
        <v>0.0</v>
      </c>
      <c r="AE176" s="199">
        <v>14.0</v>
      </c>
      <c r="AF176" s="199">
        <v>2.0</v>
      </c>
      <c r="AG176" s="199">
        <v>351.0</v>
      </c>
      <c r="AH176" s="199">
        <v>2.0</v>
      </c>
      <c r="AI176" s="200" t="s">
        <v>655</v>
      </c>
      <c r="AJ176" s="200" t="s">
        <v>656</v>
      </c>
      <c r="AK176" s="200"/>
      <c r="AL176" s="204"/>
      <c r="AM176" s="204"/>
    </row>
    <row r="177">
      <c r="A177" s="199" t="s">
        <v>105</v>
      </c>
      <c r="B177" s="200" t="s">
        <v>779</v>
      </c>
      <c r="C177" s="199">
        <v>2.6061630207E10</v>
      </c>
      <c r="D177" s="201">
        <v>46054.0</v>
      </c>
      <c r="E177" s="202" t="s">
        <v>102</v>
      </c>
      <c r="F177" s="202" t="s">
        <v>102</v>
      </c>
      <c r="G177" s="203" t="s">
        <v>100</v>
      </c>
      <c r="H177" s="203" t="s">
        <v>100</v>
      </c>
      <c r="I177" s="37"/>
      <c r="J177" s="37"/>
      <c r="K177" s="37"/>
      <c r="L177" s="199">
        <v>19.0</v>
      </c>
      <c r="M177" s="199">
        <v>206.3</v>
      </c>
      <c r="N177" s="37"/>
      <c r="O177" s="37"/>
      <c r="P177" s="199">
        <v>0.01</v>
      </c>
      <c r="Q177" s="199">
        <v>0.0</v>
      </c>
      <c r="R177" s="199">
        <v>0.0</v>
      </c>
      <c r="S177" s="199">
        <v>0.0</v>
      </c>
      <c r="T177" s="199">
        <v>0.0</v>
      </c>
      <c r="U177" s="199">
        <v>14.0</v>
      </c>
      <c r="V177" s="199">
        <v>0.0</v>
      </c>
      <c r="W177" s="199">
        <v>0.0</v>
      </c>
      <c r="X177" s="199">
        <v>0.0</v>
      </c>
      <c r="Y177" s="199">
        <v>0.0</v>
      </c>
      <c r="Z177" s="199">
        <v>0.0</v>
      </c>
      <c r="AA177" s="199">
        <v>0.0</v>
      </c>
      <c r="AB177" s="199">
        <v>25.0</v>
      </c>
      <c r="AC177" s="199">
        <v>0.0</v>
      </c>
      <c r="AD177" s="199">
        <v>0.0</v>
      </c>
      <c r="AE177" s="199">
        <v>0.0</v>
      </c>
      <c r="AF177" s="199">
        <v>0.0</v>
      </c>
      <c r="AG177" s="199">
        <v>430.0</v>
      </c>
      <c r="AH177" s="199">
        <v>0.0</v>
      </c>
      <c r="AI177" s="200" t="s">
        <v>741</v>
      </c>
      <c r="AJ177" s="200" t="s">
        <v>780</v>
      </c>
      <c r="AK177" s="200"/>
      <c r="AL177" s="204"/>
      <c r="AM177" s="204"/>
    </row>
    <row r="178">
      <c r="A178" s="199" t="s">
        <v>107</v>
      </c>
      <c r="B178" s="200" t="s">
        <v>349</v>
      </c>
      <c r="C178" s="199">
        <v>2.4269259223E10</v>
      </c>
      <c r="D178" s="201">
        <v>45545.0</v>
      </c>
      <c r="E178" s="202" t="s">
        <v>101</v>
      </c>
      <c r="F178" s="202" t="s">
        <v>101</v>
      </c>
      <c r="G178" s="203" t="s">
        <v>100</v>
      </c>
      <c r="H178" s="203" t="s">
        <v>100</v>
      </c>
      <c r="I178" s="37"/>
      <c r="J178" s="37"/>
      <c r="K178" s="37"/>
      <c r="L178" s="199">
        <v>19.0</v>
      </c>
      <c r="M178" s="199">
        <v>293.8</v>
      </c>
      <c r="N178" s="37"/>
      <c r="O178" s="37"/>
      <c r="P178" s="199">
        <v>0.2</v>
      </c>
      <c r="Q178" s="199">
        <v>0.0</v>
      </c>
      <c r="R178" s="199">
        <v>9.0</v>
      </c>
      <c r="S178" s="199">
        <v>1.0</v>
      </c>
      <c r="T178" s="199">
        <v>0.0</v>
      </c>
      <c r="U178" s="199">
        <v>31.0</v>
      </c>
      <c r="V178" s="199">
        <v>0.0</v>
      </c>
      <c r="W178" s="199">
        <v>0.0</v>
      </c>
      <c r="X178" s="199">
        <v>0.0</v>
      </c>
      <c r="Y178" s="199">
        <v>0.0</v>
      </c>
      <c r="Z178" s="199">
        <v>0.0</v>
      </c>
      <c r="AA178" s="199">
        <v>0.0</v>
      </c>
      <c r="AB178" s="199">
        <v>52.0</v>
      </c>
      <c r="AC178" s="199">
        <v>14.0</v>
      </c>
      <c r="AD178" s="199">
        <v>0.0</v>
      </c>
      <c r="AE178" s="199">
        <v>17.0</v>
      </c>
      <c r="AF178" s="199">
        <v>2.0</v>
      </c>
      <c r="AG178" s="199">
        <v>412.0</v>
      </c>
      <c r="AH178" s="199">
        <v>48.0</v>
      </c>
      <c r="AI178" s="200" t="s">
        <v>781</v>
      </c>
      <c r="AJ178" s="200" t="s">
        <v>782</v>
      </c>
      <c r="AK178" s="200"/>
      <c r="AL178" s="204"/>
      <c r="AM178" s="204"/>
    </row>
    <row r="179">
      <c r="A179" s="199" t="s">
        <v>107</v>
      </c>
      <c r="B179" s="200" t="s">
        <v>349</v>
      </c>
      <c r="C179" s="199">
        <v>2.5079203208E10</v>
      </c>
      <c r="D179" s="201">
        <v>45726.0</v>
      </c>
      <c r="E179" s="202" t="s">
        <v>102</v>
      </c>
      <c r="F179" s="202" t="s">
        <v>102</v>
      </c>
      <c r="G179" s="203" t="s">
        <v>102</v>
      </c>
      <c r="H179" s="203" t="s">
        <v>102</v>
      </c>
      <c r="I179" s="37"/>
      <c r="J179" s="37"/>
      <c r="K179" s="37"/>
      <c r="L179" s="199">
        <v>35.0</v>
      </c>
      <c r="M179" s="199">
        <v>254.9</v>
      </c>
      <c r="N179" s="37"/>
      <c r="O179" s="37"/>
      <c r="P179" s="199">
        <v>0.04</v>
      </c>
      <c r="Q179" s="199">
        <v>0.0</v>
      </c>
      <c r="R179" s="199">
        <v>26.0</v>
      </c>
      <c r="S179" s="199">
        <v>2.0</v>
      </c>
      <c r="T179" s="199">
        <v>3.0</v>
      </c>
      <c r="U179" s="199">
        <v>40.0</v>
      </c>
      <c r="V179" s="199">
        <v>0.0</v>
      </c>
      <c r="W179" s="199">
        <v>0.0</v>
      </c>
      <c r="X179" s="199">
        <v>0.0</v>
      </c>
      <c r="Y179" s="199">
        <v>0.0</v>
      </c>
      <c r="Z179" s="199">
        <v>0.0</v>
      </c>
      <c r="AA179" s="199">
        <v>0.0</v>
      </c>
      <c r="AB179" s="199">
        <v>42.0</v>
      </c>
      <c r="AC179" s="199">
        <v>39.0</v>
      </c>
      <c r="AD179" s="199">
        <v>0.0</v>
      </c>
      <c r="AE179" s="199">
        <v>15.0</v>
      </c>
      <c r="AF179" s="199">
        <v>2.0</v>
      </c>
      <c r="AG179" s="199">
        <v>482.0</v>
      </c>
      <c r="AH179" s="199">
        <v>92.0</v>
      </c>
      <c r="AI179" s="200" t="s">
        <v>783</v>
      </c>
      <c r="AJ179" s="200" t="s">
        <v>784</v>
      </c>
      <c r="AK179" s="200"/>
      <c r="AL179" s="204"/>
      <c r="AM179" s="204"/>
    </row>
    <row r="180">
      <c r="A180" s="199" t="s">
        <v>107</v>
      </c>
      <c r="B180" s="200" t="s">
        <v>349</v>
      </c>
      <c r="C180" s="199">
        <v>2.5112224201E10</v>
      </c>
      <c r="D180" s="201">
        <v>45757.0</v>
      </c>
      <c r="E180" s="202" t="s">
        <v>101</v>
      </c>
      <c r="F180" s="202" t="s">
        <v>101</v>
      </c>
      <c r="G180" s="203" t="s">
        <v>100</v>
      </c>
      <c r="H180" s="203" t="s">
        <v>102</v>
      </c>
      <c r="I180" s="37"/>
      <c r="J180" s="37"/>
      <c r="K180" s="37"/>
      <c r="L180" s="199">
        <v>36.0</v>
      </c>
      <c r="M180" s="199">
        <v>246.4</v>
      </c>
      <c r="N180" s="37"/>
      <c r="O180" s="37"/>
      <c r="P180" s="199">
        <v>0.02</v>
      </c>
      <c r="Q180" s="199">
        <v>0.0</v>
      </c>
      <c r="R180" s="199">
        <v>7.0</v>
      </c>
      <c r="S180" s="199">
        <v>0.0</v>
      </c>
      <c r="T180" s="199">
        <v>0.0</v>
      </c>
      <c r="U180" s="199">
        <v>79.0</v>
      </c>
      <c r="V180" s="199">
        <v>0.0</v>
      </c>
      <c r="W180" s="199">
        <v>0.0</v>
      </c>
      <c r="X180" s="199">
        <v>0.0</v>
      </c>
      <c r="Y180" s="199">
        <v>0.0</v>
      </c>
      <c r="Z180" s="199">
        <v>1.0</v>
      </c>
      <c r="AA180" s="199">
        <v>2.0</v>
      </c>
      <c r="AB180" s="199">
        <v>56.0</v>
      </c>
      <c r="AC180" s="199">
        <v>23.0</v>
      </c>
      <c r="AD180" s="199">
        <v>0.0</v>
      </c>
      <c r="AE180" s="199">
        <v>0.0</v>
      </c>
      <c r="AF180" s="199">
        <v>8.0</v>
      </c>
      <c r="AG180" s="199">
        <v>438.0</v>
      </c>
      <c r="AH180" s="199">
        <v>69.0</v>
      </c>
      <c r="AI180" s="200" t="s">
        <v>785</v>
      </c>
      <c r="AJ180" s="200" t="s">
        <v>786</v>
      </c>
      <c r="AK180" s="200"/>
      <c r="AL180" s="204"/>
      <c r="AM180" s="204"/>
    </row>
    <row r="181">
      <c r="A181" s="199" t="s">
        <v>107</v>
      </c>
      <c r="B181" s="200" t="s">
        <v>349</v>
      </c>
      <c r="C181" s="199">
        <v>2.5258159238E10</v>
      </c>
      <c r="D181" s="201">
        <v>45909.0</v>
      </c>
      <c r="E181" s="202" t="s">
        <v>101</v>
      </c>
      <c r="F181" s="202" t="s">
        <v>102</v>
      </c>
      <c r="G181" s="203" t="s">
        <v>101</v>
      </c>
      <c r="H181" s="203" t="s">
        <v>102</v>
      </c>
      <c r="I181" s="37"/>
      <c r="J181" s="37"/>
      <c r="K181" s="37"/>
      <c r="L181" s="199">
        <v>30.0</v>
      </c>
      <c r="M181" s="199">
        <v>255.1</v>
      </c>
      <c r="N181" s="37"/>
      <c r="O181" s="37"/>
      <c r="P181" s="199">
        <v>0.01</v>
      </c>
      <c r="Q181" s="199">
        <v>12.0</v>
      </c>
      <c r="R181" s="199">
        <v>268.0</v>
      </c>
      <c r="S181" s="199">
        <v>1.0</v>
      </c>
      <c r="T181" s="199">
        <v>15.0</v>
      </c>
      <c r="U181" s="199">
        <v>178.0</v>
      </c>
      <c r="V181" s="199">
        <v>2.0</v>
      </c>
      <c r="W181" s="199">
        <v>0.0</v>
      </c>
      <c r="X181" s="199">
        <v>1.0</v>
      </c>
      <c r="Y181" s="199">
        <v>2.0</v>
      </c>
      <c r="Z181" s="199">
        <v>5.0</v>
      </c>
      <c r="AA181" s="199">
        <v>2.0</v>
      </c>
      <c r="AB181" s="199">
        <v>38.0</v>
      </c>
      <c r="AC181" s="199">
        <v>41.0</v>
      </c>
      <c r="AD181" s="199">
        <v>0.0</v>
      </c>
      <c r="AE181" s="199">
        <v>401.0</v>
      </c>
      <c r="AF181" s="199">
        <v>6.0</v>
      </c>
      <c r="AG181" s="199">
        <v>405.0</v>
      </c>
      <c r="AH181" s="199">
        <v>227.0</v>
      </c>
      <c r="AI181" s="200" t="s">
        <v>787</v>
      </c>
      <c r="AJ181" s="200" t="s">
        <v>788</v>
      </c>
      <c r="AK181" s="200"/>
      <c r="AL181" s="204"/>
      <c r="AM181" s="204"/>
    </row>
    <row r="182">
      <c r="A182" s="199" t="s">
        <v>107</v>
      </c>
      <c r="B182" s="200" t="s">
        <v>349</v>
      </c>
      <c r="C182" s="199">
        <v>2.6090313225E10</v>
      </c>
      <c r="D182" s="201">
        <v>46093.0</v>
      </c>
      <c r="E182" s="202" t="s">
        <v>101</v>
      </c>
      <c r="F182" s="202" t="s">
        <v>102</v>
      </c>
      <c r="G182" s="203" t="s">
        <v>100</v>
      </c>
      <c r="H182" s="203" t="s">
        <v>101</v>
      </c>
      <c r="I182" s="37"/>
      <c r="J182" s="37"/>
      <c r="K182" s="37"/>
      <c r="L182" s="199">
        <v>16.0</v>
      </c>
      <c r="M182" s="199">
        <v>219.3</v>
      </c>
      <c r="N182" s="37"/>
      <c r="O182" s="37"/>
      <c r="P182" s="199">
        <v>0.04</v>
      </c>
      <c r="Q182" s="199">
        <v>0.0</v>
      </c>
      <c r="R182" s="199">
        <v>0.0</v>
      </c>
      <c r="S182" s="199">
        <v>0.0</v>
      </c>
      <c r="T182" s="199">
        <v>0.0</v>
      </c>
      <c r="U182" s="199">
        <v>17.0</v>
      </c>
      <c r="V182" s="199">
        <v>0.0</v>
      </c>
      <c r="W182" s="199">
        <v>0.0</v>
      </c>
      <c r="X182" s="199">
        <v>0.0</v>
      </c>
      <c r="Y182" s="199">
        <v>0.0</v>
      </c>
      <c r="Z182" s="199">
        <v>0.0</v>
      </c>
      <c r="AA182" s="199">
        <v>0.0</v>
      </c>
      <c r="AB182" s="199">
        <v>6.0</v>
      </c>
      <c r="AC182" s="199">
        <v>12.0</v>
      </c>
      <c r="AD182" s="199">
        <v>0.0</v>
      </c>
      <c r="AE182" s="199">
        <v>26.0</v>
      </c>
      <c r="AF182" s="199">
        <v>2.0</v>
      </c>
      <c r="AG182" s="199">
        <v>487.0</v>
      </c>
      <c r="AH182" s="199">
        <v>16.0</v>
      </c>
      <c r="AI182" s="200" t="s">
        <v>776</v>
      </c>
      <c r="AJ182" s="200" t="s">
        <v>777</v>
      </c>
      <c r="AK182" s="200"/>
      <c r="AL182" s="204"/>
      <c r="AM182" s="204"/>
    </row>
    <row r="183">
      <c r="A183" s="199" t="s">
        <v>118</v>
      </c>
      <c r="B183" s="200" t="s">
        <v>350</v>
      </c>
      <c r="C183" s="199">
        <v>2.3234228223E10</v>
      </c>
      <c r="D183" s="201">
        <v>45154.0</v>
      </c>
      <c r="E183" s="202" t="s">
        <v>100</v>
      </c>
      <c r="F183" s="202" t="s">
        <v>100</v>
      </c>
      <c r="G183" s="203" t="s">
        <v>100</v>
      </c>
      <c r="H183" s="203" t="s">
        <v>100</v>
      </c>
      <c r="I183" s="199">
        <v>19663.0</v>
      </c>
      <c r="J183" s="199">
        <v>1065.0</v>
      </c>
      <c r="K183" s="199">
        <v>321.0</v>
      </c>
      <c r="L183" s="199">
        <v>5.0</v>
      </c>
      <c r="M183" s="199">
        <v>220.3</v>
      </c>
      <c r="N183" s="37"/>
      <c r="O183" s="37"/>
      <c r="P183" s="199">
        <v>0.04</v>
      </c>
      <c r="Q183" s="199">
        <v>0.0</v>
      </c>
      <c r="R183" s="199">
        <v>0.0</v>
      </c>
      <c r="S183" s="199">
        <v>0.0</v>
      </c>
      <c r="T183" s="199">
        <v>0.0</v>
      </c>
      <c r="U183" s="199">
        <v>12.0</v>
      </c>
      <c r="V183" s="199">
        <v>0.0</v>
      </c>
      <c r="W183" s="199">
        <v>0.0</v>
      </c>
      <c r="X183" s="199">
        <v>0.0</v>
      </c>
      <c r="Y183" s="199">
        <v>0.0</v>
      </c>
      <c r="Z183" s="199">
        <v>0.0</v>
      </c>
      <c r="AA183" s="199">
        <v>0.0</v>
      </c>
      <c r="AB183" s="199">
        <v>14.0</v>
      </c>
      <c r="AC183" s="199">
        <v>10.0</v>
      </c>
      <c r="AD183" s="199">
        <v>0.0</v>
      </c>
      <c r="AE183" s="199">
        <v>14.0</v>
      </c>
      <c r="AF183" s="199">
        <v>0.0</v>
      </c>
      <c r="AG183" s="199">
        <v>475.0</v>
      </c>
      <c r="AH183" s="199">
        <v>2.0</v>
      </c>
      <c r="AI183" s="200" t="s">
        <v>655</v>
      </c>
      <c r="AJ183" s="200" t="s">
        <v>656</v>
      </c>
      <c r="AK183" s="200"/>
      <c r="AL183" s="204"/>
      <c r="AM183" s="204"/>
    </row>
    <row r="184">
      <c r="A184" s="199" t="s">
        <v>118</v>
      </c>
      <c r="B184" s="200" t="s">
        <v>350</v>
      </c>
      <c r="C184" s="199">
        <v>2.4162106226E10</v>
      </c>
      <c r="D184" s="201">
        <v>45447.0</v>
      </c>
      <c r="E184" s="202" t="s">
        <v>100</v>
      </c>
      <c r="F184" s="202" t="s">
        <v>100</v>
      </c>
      <c r="G184" s="203" t="s">
        <v>100</v>
      </c>
      <c r="H184" s="203" t="s">
        <v>100</v>
      </c>
      <c r="I184" s="199">
        <v>7821.0</v>
      </c>
      <c r="J184" s="199">
        <v>4032.0</v>
      </c>
      <c r="K184" s="199">
        <v>1002.0</v>
      </c>
      <c r="L184" s="199">
        <v>4.0</v>
      </c>
      <c r="M184" s="199">
        <v>220.4</v>
      </c>
      <c r="N184" s="37"/>
      <c r="O184" s="37"/>
      <c r="P184" s="199">
        <v>0.01</v>
      </c>
      <c r="Q184" s="199">
        <v>0.0</v>
      </c>
      <c r="R184" s="199">
        <v>0.0</v>
      </c>
      <c r="S184" s="199">
        <v>0.0</v>
      </c>
      <c r="T184" s="199">
        <v>0.0</v>
      </c>
      <c r="U184" s="199">
        <v>1.0</v>
      </c>
      <c r="V184" s="199">
        <v>0.0</v>
      </c>
      <c r="W184" s="199">
        <v>0.0</v>
      </c>
      <c r="X184" s="199">
        <v>1.0</v>
      </c>
      <c r="Y184" s="199">
        <v>0.0</v>
      </c>
      <c r="Z184" s="199">
        <v>0.0</v>
      </c>
      <c r="AA184" s="199">
        <v>0.0</v>
      </c>
      <c r="AB184" s="199">
        <v>0.0</v>
      </c>
      <c r="AC184" s="199">
        <v>0.0</v>
      </c>
      <c r="AD184" s="199">
        <v>0.0</v>
      </c>
      <c r="AE184" s="199">
        <v>9.0</v>
      </c>
      <c r="AF184" s="199">
        <v>2.0</v>
      </c>
      <c r="AG184" s="199">
        <v>499.0</v>
      </c>
      <c r="AH184" s="199">
        <v>15.0</v>
      </c>
      <c r="AI184" s="200" t="s">
        <v>655</v>
      </c>
      <c r="AJ184" s="200" t="s">
        <v>656</v>
      </c>
      <c r="AK184" s="200"/>
      <c r="AL184" s="204"/>
      <c r="AM184" s="204"/>
    </row>
    <row r="185">
      <c r="A185" s="199" t="s">
        <v>118</v>
      </c>
      <c r="B185" s="200" t="s">
        <v>350</v>
      </c>
      <c r="C185" s="199">
        <v>2.5049182228E10</v>
      </c>
      <c r="D185" s="201">
        <v>45701.0</v>
      </c>
      <c r="E185" s="202" t="s">
        <v>102</v>
      </c>
      <c r="F185" s="202" t="s">
        <v>102</v>
      </c>
      <c r="G185" s="203" t="s">
        <v>100</v>
      </c>
      <c r="H185" s="203" t="s">
        <v>100</v>
      </c>
      <c r="I185" s="37"/>
      <c r="J185" s="37"/>
      <c r="K185" s="37"/>
      <c r="L185" s="199">
        <v>15.0</v>
      </c>
      <c r="M185" s="199">
        <v>233.5</v>
      </c>
      <c r="N185" s="37"/>
      <c r="O185" s="37"/>
      <c r="P185" s="199">
        <v>0.05</v>
      </c>
      <c r="Q185" s="199">
        <v>0.0</v>
      </c>
      <c r="R185" s="199">
        <v>5.0</v>
      </c>
      <c r="S185" s="199">
        <v>1.0</v>
      </c>
      <c r="T185" s="199">
        <v>3.0</v>
      </c>
      <c r="U185" s="199">
        <v>17.0</v>
      </c>
      <c r="V185" s="199">
        <v>0.0</v>
      </c>
      <c r="W185" s="199">
        <v>0.0</v>
      </c>
      <c r="X185" s="199">
        <v>1.0</v>
      </c>
      <c r="Y185" s="199">
        <v>0.0</v>
      </c>
      <c r="Z185" s="199">
        <v>0.0</v>
      </c>
      <c r="AA185" s="199">
        <v>0.0</v>
      </c>
      <c r="AB185" s="199">
        <v>13.0</v>
      </c>
      <c r="AC185" s="199">
        <v>16.0</v>
      </c>
      <c r="AD185" s="199">
        <v>0.0</v>
      </c>
      <c r="AE185" s="199">
        <v>18.0</v>
      </c>
      <c r="AF185" s="199">
        <v>2.0</v>
      </c>
      <c r="AG185" s="199">
        <v>458.0</v>
      </c>
      <c r="AH185" s="199">
        <v>19.0</v>
      </c>
      <c r="AI185" s="200" t="s">
        <v>653</v>
      </c>
      <c r="AJ185" s="200" t="s">
        <v>654</v>
      </c>
      <c r="AK185" s="200"/>
      <c r="AL185" s="204"/>
      <c r="AM185" s="204"/>
    </row>
    <row r="186">
      <c r="A186" s="199" t="s">
        <v>118</v>
      </c>
      <c r="B186" s="200" t="s">
        <v>350</v>
      </c>
      <c r="C186" s="199">
        <v>2.5180296215E10</v>
      </c>
      <c r="D186" s="201">
        <v>45826.0</v>
      </c>
      <c r="E186" s="202" t="s">
        <v>100</v>
      </c>
      <c r="F186" s="202" t="s">
        <v>100</v>
      </c>
      <c r="G186" s="203" t="s">
        <v>100</v>
      </c>
      <c r="H186" s="203" t="s">
        <v>100</v>
      </c>
      <c r="I186" s="199">
        <v>32976.0</v>
      </c>
      <c r="J186" s="199">
        <v>21733.0</v>
      </c>
      <c r="K186" s="199">
        <v>9610.0</v>
      </c>
      <c r="L186" s="199">
        <v>12.0</v>
      </c>
      <c r="M186" s="199">
        <v>193.1</v>
      </c>
      <c r="N186" s="37"/>
      <c r="O186" s="37"/>
      <c r="P186" s="199">
        <v>0.02</v>
      </c>
      <c r="Q186" s="199">
        <v>0.0</v>
      </c>
      <c r="R186" s="199">
        <v>1.0</v>
      </c>
      <c r="S186" s="199">
        <v>0.0</v>
      </c>
      <c r="T186" s="199">
        <v>0.0</v>
      </c>
      <c r="U186" s="199">
        <v>18.0</v>
      </c>
      <c r="V186" s="199">
        <v>0.0</v>
      </c>
      <c r="W186" s="199">
        <v>0.0</v>
      </c>
      <c r="X186" s="199">
        <v>1.0</v>
      </c>
      <c r="Y186" s="199">
        <v>0.0</v>
      </c>
      <c r="Z186" s="199">
        <v>0.0</v>
      </c>
      <c r="AA186" s="199">
        <v>0.0</v>
      </c>
      <c r="AB186" s="199">
        <v>5.0</v>
      </c>
      <c r="AC186" s="199">
        <v>35.0</v>
      </c>
      <c r="AD186" s="199">
        <v>0.0</v>
      </c>
      <c r="AE186" s="199">
        <v>58.0</v>
      </c>
      <c r="AF186" s="199">
        <v>2.0</v>
      </c>
      <c r="AG186" s="199">
        <v>436.0</v>
      </c>
      <c r="AH186" s="199">
        <v>17.0</v>
      </c>
      <c r="AI186" s="200" t="s">
        <v>655</v>
      </c>
      <c r="AJ186" s="200" t="s">
        <v>656</v>
      </c>
      <c r="AK186" s="200"/>
      <c r="AL186" s="204"/>
      <c r="AM186" s="204"/>
    </row>
    <row r="187">
      <c r="A187" s="199" t="s">
        <v>118</v>
      </c>
      <c r="B187" s="200" t="s">
        <v>350</v>
      </c>
      <c r="C187" s="199">
        <v>2.6004401255E10</v>
      </c>
      <c r="D187" s="201">
        <v>46007.0</v>
      </c>
      <c r="E187" s="202" t="s">
        <v>100</v>
      </c>
      <c r="F187" s="202" t="s">
        <v>100</v>
      </c>
      <c r="G187" s="203" t="s">
        <v>100</v>
      </c>
      <c r="H187" s="203" t="s">
        <v>100</v>
      </c>
      <c r="I187" s="199">
        <v>31918.0</v>
      </c>
      <c r="J187" s="199">
        <v>9474.0</v>
      </c>
      <c r="K187" s="199">
        <v>2188.0</v>
      </c>
      <c r="L187" s="199">
        <v>6.0</v>
      </c>
      <c r="M187" s="199">
        <v>217.6</v>
      </c>
      <c r="N187" s="37"/>
      <c r="O187" s="37"/>
      <c r="P187" s="199">
        <v>0.01</v>
      </c>
      <c r="Q187" s="199">
        <v>0.0</v>
      </c>
      <c r="R187" s="199">
        <v>1.0</v>
      </c>
      <c r="S187" s="199">
        <v>0.0</v>
      </c>
      <c r="T187" s="199">
        <v>0.0</v>
      </c>
      <c r="U187" s="199">
        <v>27.0</v>
      </c>
      <c r="V187" s="199">
        <v>0.0</v>
      </c>
      <c r="W187" s="199">
        <v>0.0</v>
      </c>
      <c r="X187" s="199">
        <v>0.0</v>
      </c>
      <c r="Y187" s="199">
        <v>0.0</v>
      </c>
      <c r="Z187" s="199">
        <v>0.0</v>
      </c>
      <c r="AA187" s="199">
        <v>0.0</v>
      </c>
      <c r="AB187" s="199">
        <v>11.0</v>
      </c>
      <c r="AC187" s="199">
        <v>21.0</v>
      </c>
      <c r="AD187" s="199">
        <v>0.0</v>
      </c>
      <c r="AE187" s="199">
        <v>32.0</v>
      </c>
      <c r="AF187" s="199">
        <v>2.0</v>
      </c>
      <c r="AG187" s="199">
        <v>349.0</v>
      </c>
      <c r="AH187" s="199">
        <v>15.0</v>
      </c>
      <c r="AI187" s="200" t="s">
        <v>655</v>
      </c>
      <c r="AJ187" s="200" t="s">
        <v>656</v>
      </c>
      <c r="AK187" s="200"/>
      <c r="AL187" s="204"/>
      <c r="AM187" s="204"/>
    </row>
    <row r="188">
      <c r="A188" s="199" t="s">
        <v>119</v>
      </c>
      <c r="B188" s="200" t="s">
        <v>350</v>
      </c>
      <c r="C188" s="199">
        <v>2.5079203223E10</v>
      </c>
      <c r="D188" s="201">
        <v>45726.0</v>
      </c>
      <c r="E188" s="202" t="s">
        <v>101</v>
      </c>
      <c r="F188" s="202" t="s">
        <v>101</v>
      </c>
      <c r="G188" s="203" t="s">
        <v>100</v>
      </c>
      <c r="H188" s="203" t="s">
        <v>100</v>
      </c>
      <c r="I188" s="37"/>
      <c r="J188" s="37"/>
      <c r="K188" s="37"/>
      <c r="L188" s="199">
        <v>23.0</v>
      </c>
      <c r="M188" s="199">
        <v>221.7</v>
      </c>
      <c r="N188" s="37"/>
      <c r="O188" s="37"/>
      <c r="P188" s="199">
        <v>0.11</v>
      </c>
      <c r="Q188" s="199">
        <v>0.0</v>
      </c>
      <c r="R188" s="199">
        <v>11.0</v>
      </c>
      <c r="S188" s="199">
        <v>1.0</v>
      </c>
      <c r="T188" s="199">
        <v>4.0</v>
      </c>
      <c r="U188" s="199">
        <v>7.0</v>
      </c>
      <c r="V188" s="199">
        <v>0.0</v>
      </c>
      <c r="W188" s="199">
        <v>0.0</v>
      </c>
      <c r="X188" s="199">
        <v>0.0</v>
      </c>
      <c r="Y188" s="199">
        <v>0.0</v>
      </c>
      <c r="Z188" s="199">
        <v>0.0</v>
      </c>
      <c r="AA188" s="199">
        <v>1.0</v>
      </c>
      <c r="AB188" s="199">
        <v>13.0</v>
      </c>
      <c r="AC188" s="199">
        <v>13.0</v>
      </c>
      <c r="AD188" s="199">
        <v>0.0</v>
      </c>
      <c r="AE188" s="199">
        <v>36.0</v>
      </c>
      <c r="AF188" s="199">
        <v>2.0</v>
      </c>
      <c r="AG188" s="199">
        <v>410.0</v>
      </c>
      <c r="AH188" s="199">
        <v>27.0</v>
      </c>
      <c r="AI188" s="200" t="s">
        <v>684</v>
      </c>
      <c r="AJ188" s="200" t="s">
        <v>773</v>
      </c>
      <c r="AK188" s="200"/>
      <c r="AL188" s="204"/>
      <c r="AM188" s="204"/>
    </row>
    <row r="189">
      <c r="A189" s="199" t="s">
        <v>119</v>
      </c>
      <c r="B189" s="200" t="s">
        <v>350</v>
      </c>
      <c r="C189" s="199">
        <v>2.5112224215E10</v>
      </c>
      <c r="D189" s="201">
        <v>45756.0</v>
      </c>
      <c r="E189" s="202" t="s">
        <v>100</v>
      </c>
      <c r="F189" s="202" t="s">
        <v>100</v>
      </c>
      <c r="G189" s="203" t="s">
        <v>100</v>
      </c>
      <c r="H189" s="203" t="s">
        <v>100</v>
      </c>
      <c r="I189" s="199">
        <v>22365.0</v>
      </c>
      <c r="J189" s="199">
        <v>4251.0</v>
      </c>
      <c r="K189" s="199">
        <v>2032.0</v>
      </c>
      <c r="L189" s="199">
        <v>15.0</v>
      </c>
      <c r="M189" s="199">
        <v>221.0</v>
      </c>
      <c r="N189" s="37"/>
      <c r="O189" s="37"/>
      <c r="P189" s="199">
        <v>0.02</v>
      </c>
      <c r="Q189" s="199">
        <v>0.0</v>
      </c>
      <c r="R189" s="199">
        <v>0.0</v>
      </c>
      <c r="S189" s="199">
        <v>0.0</v>
      </c>
      <c r="T189" s="199">
        <v>0.0</v>
      </c>
      <c r="U189" s="199">
        <v>12.0</v>
      </c>
      <c r="V189" s="199">
        <v>0.0</v>
      </c>
      <c r="W189" s="199">
        <v>0.0</v>
      </c>
      <c r="X189" s="199">
        <v>0.0</v>
      </c>
      <c r="Y189" s="199">
        <v>0.0</v>
      </c>
      <c r="Z189" s="199">
        <v>0.0</v>
      </c>
      <c r="AA189" s="199">
        <v>0.0</v>
      </c>
      <c r="AB189" s="199">
        <v>17.0</v>
      </c>
      <c r="AC189" s="199">
        <v>5.0</v>
      </c>
      <c r="AD189" s="199">
        <v>0.0</v>
      </c>
      <c r="AE189" s="199">
        <v>56.0</v>
      </c>
      <c r="AF189" s="199">
        <v>0.0</v>
      </c>
      <c r="AG189" s="199">
        <v>596.0</v>
      </c>
      <c r="AH189" s="199">
        <v>21.0</v>
      </c>
      <c r="AI189" s="200" t="s">
        <v>655</v>
      </c>
      <c r="AJ189" s="200" t="s">
        <v>656</v>
      </c>
      <c r="AK189" s="200"/>
      <c r="AL189" s="204"/>
      <c r="AM189" s="204"/>
    </row>
    <row r="190">
      <c r="A190" s="199" t="s">
        <v>119</v>
      </c>
      <c r="B190" s="200" t="s">
        <v>350</v>
      </c>
      <c r="C190" s="199">
        <v>2.5258159246E10</v>
      </c>
      <c r="D190" s="201">
        <v>45908.0</v>
      </c>
      <c r="E190" s="202" t="s">
        <v>101</v>
      </c>
      <c r="F190" s="202" t="s">
        <v>101</v>
      </c>
      <c r="G190" s="203" t="s">
        <v>100</v>
      </c>
      <c r="H190" s="203" t="s">
        <v>102</v>
      </c>
      <c r="I190" s="37"/>
      <c r="J190" s="37"/>
      <c r="K190" s="37"/>
      <c r="L190" s="199">
        <v>21.0</v>
      </c>
      <c r="M190" s="199">
        <v>215.5</v>
      </c>
      <c r="N190" s="37"/>
      <c r="O190" s="37"/>
      <c r="P190" s="199">
        <v>0.1</v>
      </c>
      <c r="Q190" s="199">
        <v>0.0</v>
      </c>
      <c r="R190" s="199">
        <v>12.0</v>
      </c>
      <c r="S190" s="199">
        <v>1.0</v>
      </c>
      <c r="T190" s="199">
        <v>4.0</v>
      </c>
      <c r="U190" s="199">
        <v>24.0</v>
      </c>
      <c r="V190" s="199">
        <v>0.0</v>
      </c>
      <c r="W190" s="199">
        <v>0.0</v>
      </c>
      <c r="X190" s="199">
        <v>0.0</v>
      </c>
      <c r="Y190" s="199">
        <v>0.0</v>
      </c>
      <c r="Z190" s="199">
        <v>0.0</v>
      </c>
      <c r="AA190" s="199">
        <v>0.0</v>
      </c>
      <c r="AB190" s="199">
        <v>4.0</v>
      </c>
      <c r="AC190" s="199">
        <v>22.0</v>
      </c>
      <c r="AD190" s="199">
        <v>0.0</v>
      </c>
      <c r="AE190" s="199">
        <v>25.0</v>
      </c>
      <c r="AF190" s="199">
        <v>2.0</v>
      </c>
      <c r="AG190" s="199">
        <v>556.0</v>
      </c>
      <c r="AH190" s="199">
        <v>0.0</v>
      </c>
      <c r="AI190" s="200" t="s">
        <v>776</v>
      </c>
      <c r="AJ190" s="200" t="s">
        <v>777</v>
      </c>
      <c r="AK190" s="200"/>
      <c r="AL190" s="204"/>
      <c r="AM190" s="204"/>
    </row>
    <row r="191">
      <c r="A191" s="199" t="s">
        <v>119</v>
      </c>
      <c r="B191" s="200" t="s">
        <v>350</v>
      </c>
      <c r="C191" s="199">
        <v>2.529421023E10</v>
      </c>
      <c r="D191" s="201">
        <v>45946.0</v>
      </c>
      <c r="E191" s="202" t="s">
        <v>102</v>
      </c>
      <c r="F191" s="202" t="s">
        <v>102</v>
      </c>
      <c r="G191" s="203" t="s">
        <v>100</v>
      </c>
      <c r="H191" s="203" t="s">
        <v>100</v>
      </c>
      <c r="I191" s="37"/>
      <c r="J191" s="37"/>
      <c r="K191" s="37"/>
      <c r="L191" s="199">
        <v>16.0</v>
      </c>
      <c r="M191" s="199">
        <v>215.3</v>
      </c>
      <c r="N191" s="37"/>
      <c r="O191" s="37"/>
      <c r="P191" s="199">
        <v>0.05</v>
      </c>
      <c r="Q191" s="199">
        <v>0.0</v>
      </c>
      <c r="R191" s="199">
        <v>4.0</v>
      </c>
      <c r="S191" s="199">
        <v>0.0</v>
      </c>
      <c r="T191" s="199">
        <v>2.0</v>
      </c>
      <c r="U191" s="199">
        <v>12.0</v>
      </c>
      <c r="V191" s="199">
        <v>0.0</v>
      </c>
      <c r="W191" s="199">
        <v>0.0</v>
      </c>
      <c r="X191" s="199">
        <v>0.0</v>
      </c>
      <c r="Y191" s="199">
        <v>0.0</v>
      </c>
      <c r="Z191" s="199">
        <v>0.0</v>
      </c>
      <c r="AA191" s="199">
        <v>0.0</v>
      </c>
      <c r="AB191" s="199">
        <v>27.0</v>
      </c>
      <c r="AC191" s="199">
        <v>0.0</v>
      </c>
      <c r="AD191" s="199">
        <v>0.0</v>
      </c>
      <c r="AE191" s="199">
        <v>15.0</v>
      </c>
      <c r="AF191" s="199">
        <v>2.0</v>
      </c>
      <c r="AG191" s="199">
        <v>647.0</v>
      </c>
      <c r="AH191" s="199">
        <v>6.0</v>
      </c>
      <c r="AI191" s="200" t="s">
        <v>741</v>
      </c>
      <c r="AJ191" s="200" t="s">
        <v>780</v>
      </c>
      <c r="AK191" s="200"/>
      <c r="AL191" s="204"/>
      <c r="AM191" s="204"/>
    </row>
    <row r="192">
      <c r="A192" s="199" t="s">
        <v>119</v>
      </c>
      <c r="B192" s="200" t="s">
        <v>350</v>
      </c>
      <c r="C192" s="199">
        <v>2.6090313235E10</v>
      </c>
      <c r="D192" s="201">
        <v>46097.0</v>
      </c>
      <c r="E192" s="202" t="s">
        <v>101</v>
      </c>
      <c r="F192" s="202" t="s">
        <v>102</v>
      </c>
      <c r="G192" s="203" t="s">
        <v>100</v>
      </c>
      <c r="H192" s="203" t="s">
        <v>101</v>
      </c>
      <c r="I192" s="37"/>
      <c r="J192" s="37"/>
      <c r="K192" s="37"/>
      <c r="L192" s="199">
        <v>10.0</v>
      </c>
      <c r="M192" s="199">
        <v>311.0</v>
      </c>
      <c r="N192" s="37"/>
      <c r="O192" s="37"/>
      <c r="P192" s="199">
        <v>0.05</v>
      </c>
      <c r="Q192" s="199">
        <v>0.0</v>
      </c>
      <c r="R192" s="199">
        <v>0.0</v>
      </c>
      <c r="S192" s="199">
        <v>0.0</v>
      </c>
      <c r="T192" s="199">
        <v>0.0</v>
      </c>
      <c r="U192" s="199">
        <v>2.0</v>
      </c>
      <c r="V192" s="199">
        <v>0.0</v>
      </c>
      <c r="W192" s="199">
        <v>0.0</v>
      </c>
      <c r="X192" s="199">
        <v>0.0</v>
      </c>
      <c r="Y192" s="199">
        <v>0.0</v>
      </c>
      <c r="Z192" s="199">
        <v>0.0</v>
      </c>
      <c r="AA192" s="199">
        <v>0.0</v>
      </c>
      <c r="AB192" s="199">
        <v>27.0</v>
      </c>
      <c r="AC192" s="199">
        <v>12.0</v>
      </c>
      <c r="AD192" s="199">
        <v>0.0</v>
      </c>
      <c r="AE192" s="199">
        <v>17.0</v>
      </c>
      <c r="AF192" s="199">
        <v>2.0</v>
      </c>
      <c r="AG192" s="199">
        <v>465.0</v>
      </c>
      <c r="AH192" s="199">
        <v>16.0</v>
      </c>
      <c r="AI192" s="200" t="s">
        <v>776</v>
      </c>
      <c r="AJ192" s="200" t="s">
        <v>777</v>
      </c>
      <c r="AK192" s="200"/>
      <c r="AL192" s="204"/>
      <c r="AM192" s="204"/>
    </row>
    <row r="193">
      <c r="A193" s="199" t="s">
        <v>120</v>
      </c>
      <c r="B193" s="200" t="s">
        <v>350</v>
      </c>
      <c r="C193" s="199">
        <v>2.5079203224E10</v>
      </c>
      <c r="D193" s="201">
        <v>45726.0</v>
      </c>
      <c r="E193" s="202" t="s">
        <v>102</v>
      </c>
      <c r="F193" s="202" t="s">
        <v>102</v>
      </c>
      <c r="G193" s="203" t="s">
        <v>100</v>
      </c>
      <c r="H193" s="203" t="s">
        <v>102</v>
      </c>
      <c r="I193" s="37"/>
      <c r="J193" s="37"/>
      <c r="K193" s="37"/>
      <c r="L193" s="199">
        <v>21.0</v>
      </c>
      <c r="M193" s="199">
        <v>238.5</v>
      </c>
      <c r="N193" s="37"/>
      <c r="O193" s="37"/>
      <c r="P193" s="199">
        <v>0.02</v>
      </c>
      <c r="Q193" s="199">
        <v>0.0</v>
      </c>
      <c r="R193" s="199">
        <v>9.0</v>
      </c>
      <c r="S193" s="199">
        <v>1.0</v>
      </c>
      <c r="T193" s="199">
        <v>3.0</v>
      </c>
      <c r="U193" s="199">
        <v>6.0</v>
      </c>
      <c r="V193" s="199">
        <v>0.0</v>
      </c>
      <c r="W193" s="199">
        <v>0.0</v>
      </c>
      <c r="X193" s="199">
        <v>0.0</v>
      </c>
      <c r="Y193" s="199">
        <v>0.0</v>
      </c>
      <c r="Z193" s="199">
        <v>2.0</v>
      </c>
      <c r="AA193" s="199">
        <v>0.0</v>
      </c>
      <c r="AB193" s="199">
        <v>13.0</v>
      </c>
      <c r="AC193" s="199">
        <v>10.0</v>
      </c>
      <c r="AD193" s="199">
        <v>0.0</v>
      </c>
      <c r="AE193" s="199">
        <v>33.0</v>
      </c>
      <c r="AF193" s="199">
        <v>0.0</v>
      </c>
      <c r="AG193" s="199">
        <v>650.0</v>
      </c>
      <c r="AH193" s="199">
        <v>17.0</v>
      </c>
      <c r="AI193" s="200" t="s">
        <v>653</v>
      </c>
      <c r="AJ193" s="200" t="s">
        <v>789</v>
      </c>
      <c r="AK193" s="200"/>
      <c r="AL193" s="204"/>
      <c r="AM193" s="204"/>
    </row>
    <row r="194">
      <c r="A194" s="199" t="s">
        <v>120</v>
      </c>
      <c r="B194" s="200" t="s">
        <v>350</v>
      </c>
      <c r="C194" s="199">
        <v>2.5112224212E10</v>
      </c>
      <c r="D194" s="201">
        <v>45756.0</v>
      </c>
      <c r="E194" s="202" t="s">
        <v>100</v>
      </c>
      <c r="F194" s="202" t="s">
        <v>100</v>
      </c>
      <c r="G194" s="203" t="s">
        <v>100</v>
      </c>
      <c r="H194" s="203" t="s">
        <v>100</v>
      </c>
      <c r="I194" s="199">
        <v>29451.0</v>
      </c>
      <c r="J194" s="199">
        <v>5214.0</v>
      </c>
      <c r="K194" s="199">
        <v>2301.0</v>
      </c>
      <c r="L194" s="199">
        <v>20.0</v>
      </c>
      <c r="M194" s="199">
        <v>222.0</v>
      </c>
      <c r="N194" s="37"/>
      <c r="O194" s="37"/>
      <c r="P194" s="199">
        <v>0.02</v>
      </c>
      <c r="Q194" s="199">
        <v>0.0</v>
      </c>
      <c r="R194" s="199">
        <v>0.0</v>
      </c>
      <c r="S194" s="199">
        <v>0.0</v>
      </c>
      <c r="T194" s="199">
        <v>0.0</v>
      </c>
      <c r="U194" s="199">
        <v>10.0</v>
      </c>
      <c r="V194" s="199">
        <v>0.0</v>
      </c>
      <c r="W194" s="199">
        <v>0.0</v>
      </c>
      <c r="X194" s="199">
        <v>0.0</v>
      </c>
      <c r="Y194" s="199">
        <v>0.0</v>
      </c>
      <c r="Z194" s="199">
        <v>0.0</v>
      </c>
      <c r="AA194" s="199">
        <v>0.0</v>
      </c>
      <c r="AB194" s="199">
        <v>15.0</v>
      </c>
      <c r="AC194" s="199">
        <v>4.0</v>
      </c>
      <c r="AD194" s="199">
        <v>0.0</v>
      </c>
      <c r="AE194" s="199">
        <v>42.0</v>
      </c>
      <c r="AF194" s="199">
        <v>0.0</v>
      </c>
      <c r="AG194" s="199">
        <v>662.0</v>
      </c>
      <c r="AH194" s="199">
        <v>10.0</v>
      </c>
      <c r="AI194" s="200" t="s">
        <v>655</v>
      </c>
      <c r="AJ194" s="200" t="s">
        <v>656</v>
      </c>
      <c r="AK194" s="200"/>
      <c r="AL194" s="204"/>
      <c r="AM194" s="204"/>
    </row>
    <row r="195">
      <c r="A195" s="199" t="s">
        <v>120</v>
      </c>
      <c r="B195" s="200" t="s">
        <v>350</v>
      </c>
      <c r="C195" s="199">
        <v>2.5259169211E10</v>
      </c>
      <c r="D195" s="201">
        <v>45908.0</v>
      </c>
      <c r="E195" s="202" t="s">
        <v>102</v>
      </c>
      <c r="F195" s="202" t="s">
        <v>102</v>
      </c>
      <c r="G195" s="203" t="s">
        <v>100</v>
      </c>
      <c r="H195" s="203" t="s">
        <v>100</v>
      </c>
      <c r="I195" s="37"/>
      <c r="J195" s="37"/>
      <c r="K195" s="37"/>
      <c r="L195" s="199">
        <v>20.0</v>
      </c>
      <c r="M195" s="199">
        <v>210.5</v>
      </c>
      <c r="N195" s="37"/>
      <c r="O195" s="37"/>
      <c r="P195" s="199">
        <v>0.05</v>
      </c>
      <c r="Q195" s="199">
        <v>0.0</v>
      </c>
      <c r="R195" s="199">
        <v>3.0</v>
      </c>
      <c r="S195" s="199">
        <v>1.0</v>
      </c>
      <c r="T195" s="199">
        <v>2.0</v>
      </c>
      <c r="U195" s="199">
        <v>7.0</v>
      </c>
      <c r="V195" s="199">
        <v>0.0</v>
      </c>
      <c r="W195" s="199">
        <v>0.0</v>
      </c>
      <c r="X195" s="199">
        <v>0.0</v>
      </c>
      <c r="Y195" s="199">
        <v>0.0</v>
      </c>
      <c r="Z195" s="199">
        <v>0.0</v>
      </c>
      <c r="AA195" s="199">
        <v>0.0</v>
      </c>
      <c r="AB195" s="199">
        <v>12.0</v>
      </c>
      <c r="AC195" s="199">
        <v>13.0</v>
      </c>
      <c r="AD195" s="199">
        <v>0.0</v>
      </c>
      <c r="AE195" s="199">
        <v>20.0</v>
      </c>
      <c r="AF195" s="199">
        <v>0.0</v>
      </c>
      <c r="AG195" s="199">
        <v>520.0</v>
      </c>
      <c r="AH195" s="199">
        <v>2.0</v>
      </c>
      <c r="AI195" s="200" t="s">
        <v>653</v>
      </c>
      <c r="AJ195" s="200" t="s">
        <v>654</v>
      </c>
      <c r="AK195" s="200"/>
      <c r="AL195" s="204"/>
      <c r="AM195" s="204"/>
    </row>
    <row r="196">
      <c r="A196" s="199" t="s">
        <v>120</v>
      </c>
      <c r="B196" s="200" t="s">
        <v>350</v>
      </c>
      <c r="C196" s="199">
        <v>2.5295220221E10</v>
      </c>
      <c r="D196" s="201">
        <v>45946.0</v>
      </c>
      <c r="E196" s="202" t="s">
        <v>102</v>
      </c>
      <c r="F196" s="202" t="s">
        <v>102</v>
      </c>
      <c r="G196" s="203" t="s">
        <v>100</v>
      </c>
      <c r="H196" s="203" t="s">
        <v>102</v>
      </c>
      <c r="I196" s="37"/>
      <c r="J196" s="37"/>
      <c r="K196" s="37"/>
      <c r="L196" s="199">
        <v>19.0</v>
      </c>
      <c r="M196" s="199">
        <v>222.3</v>
      </c>
      <c r="N196" s="37"/>
      <c r="O196" s="37"/>
      <c r="P196" s="199">
        <v>0.05</v>
      </c>
      <c r="Q196" s="199">
        <v>0.0</v>
      </c>
      <c r="R196" s="199">
        <v>0.0</v>
      </c>
      <c r="S196" s="199">
        <v>0.0</v>
      </c>
      <c r="T196" s="199">
        <v>0.0</v>
      </c>
      <c r="U196" s="199">
        <v>0.0</v>
      </c>
      <c r="V196" s="199">
        <v>0.0</v>
      </c>
      <c r="W196" s="199">
        <v>0.0</v>
      </c>
      <c r="X196" s="199">
        <v>0.0</v>
      </c>
      <c r="Y196" s="199">
        <v>0.0</v>
      </c>
      <c r="Z196" s="199">
        <v>0.0</v>
      </c>
      <c r="AA196" s="199">
        <v>0.0</v>
      </c>
      <c r="AB196" s="199">
        <v>4.0</v>
      </c>
      <c r="AC196" s="199">
        <v>6.0</v>
      </c>
      <c r="AD196" s="199">
        <v>0.0</v>
      </c>
      <c r="AE196" s="199">
        <v>14.0</v>
      </c>
      <c r="AF196" s="199">
        <v>0.0</v>
      </c>
      <c r="AG196" s="199">
        <v>733.0</v>
      </c>
      <c r="AH196" s="199">
        <v>0.0</v>
      </c>
      <c r="AI196" s="200" t="s">
        <v>653</v>
      </c>
      <c r="AJ196" s="200" t="s">
        <v>789</v>
      </c>
      <c r="AK196" s="200"/>
      <c r="AL196" s="204"/>
      <c r="AM196" s="204"/>
    </row>
    <row r="197">
      <c r="A197" s="199" t="s">
        <v>120</v>
      </c>
      <c r="B197" s="200" t="s">
        <v>350</v>
      </c>
      <c r="C197" s="199">
        <v>2.609031322E10</v>
      </c>
      <c r="D197" s="201">
        <v>46097.0</v>
      </c>
      <c r="E197" s="202" t="s">
        <v>102</v>
      </c>
      <c r="F197" s="202" t="s">
        <v>102</v>
      </c>
      <c r="G197" s="203" t="s">
        <v>100</v>
      </c>
      <c r="H197" s="203" t="s">
        <v>100</v>
      </c>
      <c r="I197" s="37"/>
      <c r="J197" s="37"/>
      <c r="K197" s="37"/>
      <c r="L197" s="199">
        <v>10.0</v>
      </c>
      <c r="M197" s="199">
        <v>239.8</v>
      </c>
      <c r="N197" s="37"/>
      <c r="O197" s="37"/>
      <c r="P197" s="199">
        <v>0.02</v>
      </c>
      <c r="Q197" s="199">
        <v>0.0</v>
      </c>
      <c r="R197" s="199">
        <v>0.0</v>
      </c>
      <c r="S197" s="199">
        <v>8.0</v>
      </c>
      <c r="T197" s="199">
        <v>0.0</v>
      </c>
      <c r="U197" s="199">
        <v>3.0</v>
      </c>
      <c r="V197" s="199">
        <v>0.0</v>
      </c>
      <c r="W197" s="199">
        <v>0.0</v>
      </c>
      <c r="X197" s="199">
        <v>0.0</v>
      </c>
      <c r="Y197" s="199">
        <v>0.0</v>
      </c>
      <c r="Z197" s="199">
        <v>0.0</v>
      </c>
      <c r="AA197" s="199">
        <v>0.0</v>
      </c>
      <c r="AB197" s="199">
        <v>22.0</v>
      </c>
      <c r="AC197" s="199">
        <v>10.0</v>
      </c>
      <c r="AD197" s="199">
        <v>0.0</v>
      </c>
      <c r="AE197" s="199">
        <v>34.0</v>
      </c>
      <c r="AF197" s="199">
        <v>0.0</v>
      </c>
      <c r="AG197" s="199">
        <v>518.0</v>
      </c>
      <c r="AH197" s="199">
        <v>17.0</v>
      </c>
      <c r="AI197" s="200" t="s">
        <v>741</v>
      </c>
      <c r="AJ197" s="200" t="s">
        <v>780</v>
      </c>
      <c r="AK197" s="200"/>
      <c r="AL197" s="204"/>
      <c r="AM197" s="204"/>
    </row>
    <row r="198">
      <c r="A198" s="199" t="s">
        <v>124</v>
      </c>
      <c r="B198" s="200" t="s">
        <v>790</v>
      </c>
      <c r="C198" s="199">
        <v>2.5112224245E10</v>
      </c>
      <c r="D198" s="201">
        <v>45756.0</v>
      </c>
      <c r="E198" s="202" t="s">
        <v>100</v>
      </c>
      <c r="F198" s="202" t="s">
        <v>100</v>
      </c>
      <c r="G198" s="203" t="s">
        <v>100</v>
      </c>
      <c r="H198" s="203" t="s">
        <v>100</v>
      </c>
      <c r="I198" s="199">
        <v>2998.0</v>
      </c>
      <c r="J198" s="199">
        <v>1563.0</v>
      </c>
      <c r="K198" s="199">
        <v>1210.0</v>
      </c>
      <c r="L198" s="199">
        <v>12.0</v>
      </c>
      <c r="M198" s="199">
        <v>45.8</v>
      </c>
      <c r="N198" s="199"/>
      <c r="O198" s="199">
        <v>0.0</v>
      </c>
      <c r="P198" s="199">
        <v>0.01</v>
      </c>
      <c r="Q198" s="199">
        <v>0.0</v>
      </c>
      <c r="R198" s="199">
        <v>0.0</v>
      </c>
      <c r="S198" s="199">
        <v>0.0</v>
      </c>
      <c r="T198" s="199">
        <v>1.0</v>
      </c>
      <c r="U198" s="199">
        <v>0.0</v>
      </c>
      <c r="V198" s="199">
        <v>0.0</v>
      </c>
      <c r="W198" s="199">
        <v>0.0</v>
      </c>
      <c r="X198" s="199">
        <v>0.0</v>
      </c>
      <c r="Y198" s="199">
        <v>0.0</v>
      </c>
      <c r="Z198" s="199">
        <v>2.0</v>
      </c>
      <c r="AA198" s="199">
        <v>0.0</v>
      </c>
      <c r="AB198" s="199">
        <v>0.0</v>
      </c>
      <c r="AC198" s="199">
        <v>3.0</v>
      </c>
      <c r="AD198" s="199">
        <v>0.0</v>
      </c>
      <c r="AE198" s="199">
        <v>91.0</v>
      </c>
      <c r="AF198" s="199">
        <v>1.0</v>
      </c>
      <c r="AG198" s="199">
        <v>424.0</v>
      </c>
      <c r="AH198" s="199">
        <v>637.0</v>
      </c>
      <c r="AI198" s="200" t="s">
        <v>655</v>
      </c>
      <c r="AJ198" s="200" t="s">
        <v>656</v>
      </c>
      <c r="AK198" s="200"/>
      <c r="AL198" s="204"/>
      <c r="AM198" s="204"/>
    </row>
    <row r="199">
      <c r="A199" s="199" t="s">
        <v>124</v>
      </c>
      <c r="B199" s="200" t="s">
        <v>790</v>
      </c>
      <c r="C199" s="199">
        <v>2.5180296202E10</v>
      </c>
      <c r="D199" s="201">
        <v>45826.0</v>
      </c>
      <c r="E199" s="202" t="s">
        <v>102</v>
      </c>
      <c r="F199" s="202" t="s">
        <v>102</v>
      </c>
      <c r="G199" s="203" t="s">
        <v>100</v>
      </c>
      <c r="H199" s="203" t="s">
        <v>100</v>
      </c>
      <c r="I199" s="37"/>
      <c r="J199" s="37"/>
      <c r="K199" s="37"/>
      <c r="L199" s="199">
        <v>14.0</v>
      </c>
      <c r="M199" s="199">
        <v>47.1</v>
      </c>
      <c r="N199" s="199"/>
      <c r="O199" s="199">
        <v>0.0</v>
      </c>
      <c r="P199" s="199">
        <v>0.02</v>
      </c>
      <c r="Q199" s="199">
        <v>0.0</v>
      </c>
      <c r="R199" s="199">
        <v>1.0</v>
      </c>
      <c r="S199" s="199">
        <v>0.0</v>
      </c>
      <c r="T199" s="199">
        <v>0.0</v>
      </c>
      <c r="U199" s="199">
        <v>7.0</v>
      </c>
      <c r="V199" s="199">
        <v>0.0</v>
      </c>
      <c r="W199" s="199">
        <v>0.0</v>
      </c>
      <c r="X199" s="199">
        <v>1.0</v>
      </c>
      <c r="Y199" s="199">
        <v>0.0</v>
      </c>
      <c r="Z199" s="199">
        <v>0.0</v>
      </c>
      <c r="AA199" s="199">
        <v>0.0</v>
      </c>
      <c r="AB199" s="199">
        <v>2.0</v>
      </c>
      <c r="AC199" s="199">
        <v>5.0</v>
      </c>
      <c r="AD199" s="199">
        <v>0.0</v>
      </c>
      <c r="AE199" s="199">
        <v>127.0</v>
      </c>
      <c r="AF199" s="199">
        <v>2.0</v>
      </c>
      <c r="AG199" s="199">
        <v>301.0</v>
      </c>
      <c r="AH199" s="199">
        <v>382.0</v>
      </c>
      <c r="AI199" s="200" t="s">
        <v>653</v>
      </c>
      <c r="AJ199" s="200" t="s">
        <v>654</v>
      </c>
      <c r="AK199" s="200"/>
      <c r="AL199" s="204"/>
      <c r="AM199" s="204"/>
    </row>
    <row r="200">
      <c r="A200" s="199" t="s">
        <v>124</v>
      </c>
      <c r="B200" s="200" t="s">
        <v>790</v>
      </c>
      <c r="C200" s="199">
        <v>2.5330261231E10</v>
      </c>
      <c r="D200" s="201">
        <v>45978.0</v>
      </c>
      <c r="E200" s="202" t="s">
        <v>101</v>
      </c>
      <c r="F200" s="202" t="s">
        <v>102</v>
      </c>
      <c r="G200" s="203" t="s">
        <v>101</v>
      </c>
      <c r="H200" s="203" t="s">
        <v>100</v>
      </c>
      <c r="I200" s="37"/>
      <c r="J200" s="37"/>
      <c r="K200" s="37"/>
      <c r="L200" s="199">
        <v>20.0</v>
      </c>
      <c r="M200" s="199">
        <v>45.6</v>
      </c>
      <c r="N200" s="199"/>
      <c r="O200" s="199">
        <v>1.0</v>
      </c>
      <c r="P200" s="199">
        <v>0.01</v>
      </c>
      <c r="Q200" s="199">
        <v>0.0</v>
      </c>
      <c r="R200" s="199">
        <v>0.0</v>
      </c>
      <c r="S200" s="199">
        <v>1.0</v>
      </c>
      <c r="T200" s="199">
        <v>4.0</v>
      </c>
      <c r="U200" s="199">
        <v>55.0</v>
      </c>
      <c r="V200" s="199">
        <v>0.0</v>
      </c>
      <c r="W200" s="199">
        <v>0.0</v>
      </c>
      <c r="X200" s="199">
        <v>0.0</v>
      </c>
      <c r="Y200" s="199">
        <v>0.0</v>
      </c>
      <c r="Z200" s="199">
        <v>2.0</v>
      </c>
      <c r="AA200" s="199">
        <v>0.0</v>
      </c>
      <c r="AB200" s="199">
        <v>18.0</v>
      </c>
      <c r="AC200" s="199">
        <v>12.0</v>
      </c>
      <c r="AD200" s="199">
        <v>0.0</v>
      </c>
      <c r="AE200" s="199">
        <v>125.0</v>
      </c>
      <c r="AF200" s="199">
        <v>3.0</v>
      </c>
      <c r="AG200" s="199">
        <v>436.0</v>
      </c>
      <c r="AH200" s="199">
        <v>376.0</v>
      </c>
      <c r="AI200" s="200" t="s">
        <v>787</v>
      </c>
      <c r="AJ200" s="200" t="s">
        <v>791</v>
      </c>
      <c r="AK200" s="200"/>
      <c r="AL200" s="204"/>
      <c r="AM200" s="204"/>
    </row>
    <row r="201">
      <c r="A201" s="199" t="s">
        <v>124</v>
      </c>
      <c r="B201" s="200" t="s">
        <v>790</v>
      </c>
      <c r="C201" s="199">
        <v>2.6004401254E10</v>
      </c>
      <c r="D201" s="201">
        <v>46007.0</v>
      </c>
      <c r="E201" s="202" t="s">
        <v>102</v>
      </c>
      <c r="F201" s="202" t="s">
        <v>102</v>
      </c>
      <c r="G201" s="203" t="s">
        <v>100</v>
      </c>
      <c r="H201" s="203" t="s">
        <v>102</v>
      </c>
      <c r="I201" s="37"/>
      <c r="J201" s="37"/>
      <c r="K201" s="37"/>
      <c r="L201" s="199">
        <v>7.0</v>
      </c>
      <c r="M201" s="199">
        <v>54.1</v>
      </c>
      <c r="N201" s="199"/>
      <c r="O201" s="199">
        <v>0.0</v>
      </c>
      <c r="P201" s="199">
        <v>0.003</v>
      </c>
      <c r="Q201" s="199">
        <v>0.0</v>
      </c>
      <c r="R201" s="199">
        <v>0.0</v>
      </c>
      <c r="S201" s="199">
        <v>0.0</v>
      </c>
      <c r="T201" s="199">
        <v>0.0</v>
      </c>
      <c r="U201" s="199">
        <v>0.0</v>
      </c>
      <c r="V201" s="199">
        <v>0.0</v>
      </c>
      <c r="W201" s="199">
        <v>0.0</v>
      </c>
      <c r="X201" s="199">
        <v>0.0</v>
      </c>
      <c r="Y201" s="199">
        <v>0.0</v>
      </c>
      <c r="Z201" s="199">
        <v>0.0</v>
      </c>
      <c r="AA201" s="199">
        <v>0.0</v>
      </c>
      <c r="AB201" s="199">
        <v>0.0</v>
      </c>
      <c r="AC201" s="199">
        <v>16.0</v>
      </c>
      <c r="AD201" s="199">
        <v>0.0</v>
      </c>
      <c r="AE201" s="199">
        <v>45.0</v>
      </c>
      <c r="AF201" s="199">
        <v>0.0</v>
      </c>
      <c r="AG201" s="199">
        <v>385.0</v>
      </c>
      <c r="AH201" s="199">
        <v>540.0</v>
      </c>
      <c r="AI201" s="200" t="s">
        <v>792</v>
      </c>
      <c r="AJ201" s="200" t="s">
        <v>789</v>
      </c>
      <c r="AK201" s="200"/>
      <c r="AL201" s="204"/>
      <c r="AM201" s="204"/>
    </row>
    <row r="202">
      <c r="A202" s="199" t="s">
        <v>129</v>
      </c>
      <c r="B202" s="200" t="s">
        <v>362</v>
      </c>
      <c r="C202" s="199">
        <v>2.5180296214E10</v>
      </c>
      <c r="D202" s="201">
        <v>45826.0</v>
      </c>
      <c r="E202" s="202" t="s">
        <v>101</v>
      </c>
      <c r="F202" s="202" t="s">
        <v>101</v>
      </c>
      <c r="G202" s="203" t="s">
        <v>100</v>
      </c>
      <c r="H202" s="203" t="s">
        <v>100</v>
      </c>
      <c r="I202" s="37"/>
      <c r="J202" s="37"/>
      <c r="K202" s="37"/>
      <c r="L202" s="199">
        <v>25.0</v>
      </c>
      <c r="M202" s="199">
        <v>45.3</v>
      </c>
      <c r="N202" s="199"/>
      <c r="O202" s="199">
        <v>0.0</v>
      </c>
      <c r="P202" s="199">
        <v>0.3</v>
      </c>
      <c r="Q202" s="199">
        <v>0.0</v>
      </c>
      <c r="R202" s="199">
        <v>6.0</v>
      </c>
      <c r="S202" s="199">
        <v>0.0</v>
      </c>
      <c r="T202" s="199">
        <v>10.0</v>
      </c>
      <c r="U202" s="199">
        <v>26.0</v>
      </c>
      <c r="V202" s="199">
        <v>0.0</v>
      </c>
      <c r="W202" s="199">
        <v>0.0</v>
      </c>
      <c r="X202" s="199">
        <v>1.0</v>
      </c>
      <c r="Y202" s="199">
        <v>0.0</v>
      </c>
      <c r="Z202" s="199">
        <v>0.0</v>
      </c>
      <c r="AA202" s="199">
        <v>0.0</v>
      </c>
      <c r="AB202" s="199">
        <v>3.0</v>
      </c>
      <c r="AC202" s="199">
        <v>5.0</v>
      </c>
      <c r="AD202" s="199">
        <v>0.0</v>
      </c>
      <c r="AE202" s="199">
        <v>87.0</v>
      </c>
      <c r="AF202" s="199">
        <v>2.0</v>
      </c>
      <c r="AG202" s="199">
        <v>301.0</v>
      </c>
      <c r="AH202" s="199">
        <v>475.0</v>
      </c>
      <c r="AI202" s="200" t="s">
        <v>684</v>
      </c>
      <c r="AJ202" s="200" t="s">
        <v>793</v>
      </c>
      <c r="AK202" s="200"/>
      <c r="AL202" s="204"/>
      <c r="AM202" s="204"/>
    </row>
    <row r="203">
      <c r="A203" s="199" t="s">
        <v>129</v>
      </c>
      <c r="B203" s="200" t="s">
        <v>362</v>
      </c>
      <c r="C203" s="199">
        <v>2.5258159203E10</v>
      </c>
      <c r="D203" s="201">
        <v>45909.0</v>
      </c>
      <c r="E203" s="202" t="s">
        <v>100</v>
      </c>
      <c r="F203" s="202" t="s">
        <v>100</v>
      </c>
      <c r="G203" s="203" t="s">
        <v>100</v>
      </c>
      <c r="H203" s="203" t="s">
        <v>100</v>
      </c>
      <c r="I203" s="199">
        <v>7279.0</v>
      </c>
      <c r="J203" s="199">
        <v>3125.0</v>
      </c>
      <c r="K203" s="199">
        <v>1100.0</v>
      </c>
      <c r="L203" s="199">
        <v>3.0</v>
      </c>
      <c r="M203" s="199">
        <v>48.6</v>
      </c>
      <c r="N203" s="199"/>
      <c r="O203" s="199">
        <v>0.0</v>
      </c>
      <c r="P203" s="199">
        <v>0.003</v>
      </c>
      <c r="Q203" s="199">
        <v>0.0</v>
      </c>
      <c r="R203" s="199">
        <v>5.0</v>
      </c>
      <c r="S203" s="199">
        <v>1.0</v>
      </c>
      <c r="T203" s="199">
        <v>2.0</v>
      </c>
      <c r="U203" s="199">
        <v>4.0</v>
      </c>
      <c r="V203" s="199">
        <v>0.0</v>
      </c>
      <c r="W203" s="199">
        <v>0.0</v>
      </c>
      <c r="X203" s="199">
        <v>0.0</v>
      </c>
      <c r="Y203" s="199">
        <v>0.0</v>
      </c>
      <c r="Z203" s="199">
        <v>0.0</v>
      </c>
      <c r="AA203" s="199">
        <v>0.0</v>
      </c>
      <c r="AB203" s="199">
        <v>0.0</v>
      </c>
      <c r="AC203" s="199">
        <v>10.0</v>
      </c>
      <c r="AD203" s="199">
        <v>0.0</v>
      </c>
      <c r="AE203" s="199">
        <v>110.0</v>
      </c>
      <c r="AF203" s="199">
        <v>0.0</v>
      </c>
      <c r="AG203" s="199">
        <v>521.0</v>
      </c>
      <c r="AH203" s="199">
        <v>509.0</v>
      </c>
      <c r="AI203" s="200" t="s">
        <v>655</v>
      </c>
      <c r="AJ203" s="200" t="s">
        <v>656</v>
      </c>
      <c r="AK203" s="200"/>
      <c r="AL203" s="204"/>
      <c r="AM203" s="204"/>
    </row>
    <row r="204">
      <c r="A204" s="199" t="s">
        <v>129</v>
      </c>
      <c r="B204" s="200" t="s">
        <v>362</v>
      </c>
      <c r="C204" s="199">
        <v>2.5294210216E10</v>
      </c>
      <c r="D204" s="201">
        <v>45946.0</v>
      </c>
      <c r="E204" s="202" t="s">
        <v>101</v>
      </c>
      <c r="F204" s="202" t="s">
        <v>101</v>
      </c>
      <c r="G204" s="203" t="s">
        <v>100</v>
      </c>
      <c r="H204" s="203" t="s">
        <v>100</v>
      </c>
      <c r="I204" s="37"/>
      <c r="J204" s="37"/>
      <c r="K204" s="37"/>
      <c r="L204" s="199">
        <v>25.0</v>
      </c>
      <c r="M204" s="199">
        <v>43.5</v>
      </c>
      <c r="N204" s="199"/>
      <c r="O204" s="199">
        <v>0.0</v>
      </c>
      <c r="P204" s="199">
        <v>0.1</v>
      </c>
      <c r="Q204" s="199">
        <v>0.0</v>
      </c>
      <c r="R204" s="199">
        <v>8.0</v>
      </c>
      <c r="S204" s="199">
        <v>0.0</v>
      </c>
      <c r="T204" s="199">
        <v>18.0</v>
      </c>
      <c r="U204" s="199">
        <v>33.0</v>
      </c>
      <c r="V204" s="199">
        <v>0.0</v>
      </c>
      <c r="W204" s="199">
        <v>0.0</v>
      </c>
      <c r="X204" s="199">
        <v>0.0</v>
      </c>
      <c r="Y204" s="199">
        <v>0.0</v>
      </c>
      <c r="Z204" s="199">
        <v>0.0</v>
      </c>
      <c r="AA204" s="199">
        <v>0.0</v>
      </c>
      <c r="AB204" s="199">
        <v>23.0</v>
      </c>
      <c r="AC204" s="199">
        <v>0.0</v>
      </c>
      <c r="AD204" s="199">
        <v>0.0</v>
      </c>
      <c r="AE204" s="199">
        <v>63.0</v>
      </c>
      <c r="AF204" s="199">
        <v>2.0</v>
      </c>
      <c r="AG204" s="199">
        <v>346.0</v>
      </c>
      <c r="AH204" s="199">
        <v>363.0</v>
      </c>
      <c r="AI204" s="200" t="s">
        <v>776</v>
      </c>
      <c r="AJ204" s="200" t="s">
        <v>777</v>
      </c>
      <c r="AK204" s="200"/>
      <c r="AL204" s="204"/>
      <c r="AM204" s="204"/>
    </row>
    <row r="205">
      <c r="A205" s="199" t="s">
        <v>129</v>
      </c>
      <c r="B205" s="200" t="s">
        <v>362</v>
      </c>
      <c r="C205" s="199">
        <v>2.5330261221E10</v>
      </c>
      <c r="D205" s="201">
        <v>45977.0</v>
      </c>
      <c r="E205" s="202" t="s">
        <v>101</v>
      </c>
      <c r="F205" s="202" t="s">
        <v>101</v>
      </c>
      <c r="G205" s="203" t="s">
        <v>101</v>
      </c>
      <c r="H205" s="203" t="s">
        <v>100</v>
      </c>
      <c r="I205" s="37"/>
      <c r="J205" s="37"/>
      <c r="K205" s="37"/>
      <c r="L205" s="199">
        <v>49.0</v>
      </c>
      <c r="M205" s="199">
        <v>43.8</v>
      </c>
      <c r="N205" s="199"/>
      <c r="O205" s="199">
        <v>1.0</v>
      </c>
      <c r="P205" s="199">
        <v>0.4</v>
      </c>
      <c r="Q205" s="199">
        <v>0.0</v>
      </c>
      <c r="R205" s="199">
        <v>0.0</v>
      </c>
      <c r="S205" s="199">
        <v>0.0</v>
      </c>
      <c r="T205" s="199">
        <v>24.0</v>
      </c>
      <c r="U205" s="199">
        <v>55.0</v>
      </c>
      <c r="V205" s="199">
        <v>0.0</v>
      </c>
      <c r="W205" s="199">
        <v>0.0</v>
      </c>
      <c r="X205" s="199">
        <v>0.0</v>
      </c>
      <c r="Y205" s="199">
        <v>0.0</v>
      </c>
      <c r="Z205" s="199">
        <v>0.0</v>
      </c>
      <c r="AA205" s="199">
        <v>0.0</v>
      </c>
      <c r="AB205" s="199">
        <v>29.0</v>
      </c>
      <c r="AC205" s="199">
        <v>3.0</v>
      </c>
      <c r="AD205" s="199">
        <v>0.0</v>
      </c>
      <c r="AE205" s="199">
        <v>108.0</v>
      </c>
      <c r="AF205" s="199">
        <v>2.0</v>
      </c>
      <c r="AG205" s="199">
        <v>423.0</v>
      </c>
      <c r="AH205" s="199">
        <v>429.0</v>
      </c>
      <c r="AI205" s="200" t="s">
        <v>682</v>
      </c>
      <c r="AJ205" s="200" t="s">
        <v>794</v>
      </c>
      <c r="AK205" s="200"/>
      <c r="AL205" s="204"/>
      <c r="AM205" s="204"/>
    </row>
    <row r="206">
      <c r="A206" s="199" t="s">
        <v>129</v>
      </c>
      <c r="B206" s="200" t="s">
        <v>362</v>
      </c>
      <c r="C206" s="199">
        <v>2.6090313215E10</v>
      </c>
      <c r="D206" s="201">
        <v>46099.0</v>
      </c>
      <c r="E206" s="202" t="s">
        <v>100</v>
      </c>
      <c r="F206" s="202" t="s">
        <v>100</v>
      </c>
      <c r="G206" s="203" t="s">
        <v>100</v>
      </c>
      <c r="H206" s="203" t="s">
        <v>100</v>
      </c>
      <c r="I206" s="199">
        <v>10974.0</v>
      </c>
      <c r="J206" s="199">
        <v>6149.0</v>
      </c>
      <c r="K206" s="199">
        <v>2311.0</v>
      </c>
      <c r="L206" s="199">
        <v>5.0</v>
      </c>
      <c r="M206" s="199">
        <v>49.0</v>
      </c>
      <c r="N206" s="199"/>
      <c r="O206" s="199">
        <v>0.0</v>
      </c>
      <c r="P206" s="199">
        <v>0.003</v>
      </c>
      <c r="Q206" s="199">
        <v>0.0</v>
      </c>
      <c r="R206" s="199">
        <v>1.0</v>
      </c>
      <c r="S206" s="199">
        <v>0.0</v>
      </c>
      <c r="T206" s="199">
        <v>6.0</v>
      </c>
      <c r="U206" s="199">
        <v>3.0</v>
      </c>
      <c r="V206" s="199">
        <v>0.0</v>
      </c>
      <c r="W206" s="199">
        <v>0.0</v>
      </c>
      <c r="X206" s="199">
        <v>0.0</v>
      </c>
      <c r="Y206" s="199">
        <v>0.0</v>
      </c>
      <c r="Z206" s="199">
        <v>0.0</v>
      </c>
      <c r="AA206" s="199">
        <v>0.0</v>
      </c>
      <c r="AB206" s="199">
        <v>2.0</v>
      </c>
      <c r="AC206" s="199">
        <v>2.0</v>
      </c>
      <c r="AD206" s="199">
        <v>0.0</v>
      </c>
      <c r="AE206" s="199">
        <v>104.0</v>
      </c>
      <c r="AF206" s="199">
        <v>2.0</v>
      </c>
      <c r="AG206" s="199">
        <v>389.0</v>
      </c>
      <c r="AH206" s="199">
        <v>408.0</v>
      </c>
      <c r="AI206" s="200" t="s">
        <v>655</v>
      </c>
      <c r="AJ206" s="200" t="s">
        <v>656</v>
      </c>
      <c r="AK206" s="200"/>
      <c r="AL206" s="204"/>
      <c r="AM206" s="204"/>
    </row>
    <row r="207">
      <c r="A207" s="199" t="s">
        <v>133</v>
      </c>
      <c r="B207" s="200" t="s">
        <v>368</v>
      </c>
      <c r="C207" s="199">
        <v>2.3275210232E10</v>
      </c>
      <c r="D207" s="201">
        <v>45196.0</v>
      </c>
      <c r="E207" s="202" t="s">
        <v>100</v>
      </c>
      <c r="F207" s="202" t="s">
        <v>100</v>
      </c>
      <c r="G207" s="203" t="s">
        <v>100</v>
      </c>
      <c r="H207" s="203" t="s">
        <v>100</v>
      </c>
      <c r="I207" s="199">
        <v>6532.0</v>
      </c>
      <c r="J207" s="199">
        <v>1885.0</v>
      </c>
      <c r="K207" s="199">
        <v>321.0</v>
      </c>
      <c r="L207" s="199">
        <v>4.0</v>
      </c>
      <c r="M207" s="199">
        <v>62.2</v>
      </c>
      <c r="N207" s="199"/>
      <c r="O207" s="199">
        <v>0.0</v>
      </c>
      <c r="P207" s="199">
        <v>0.04</v>
      </c>
      <c r="Q207" s="199">
        <v>0.0</v>
      </c>
      <c r="R207" s="199">
        <v>7.0</v>
      </c>
      <c r="S207" s="199">
        <v>1.0</v>
      </c>
      <c r="T207" s="199">
        <v>0.0</v>
      </c>
      <c r="U207" s="199">
        <v>14.0</v>
      </c>
      <c r="V207" s="199">
        <v>2.0</v>
      </c>
      <c r="W207" s="199">
        <v>0.0</v>
      </c>
      <c r="X207" s="199">
        <v>3.0</v>
      </c>
      <c r="Y207" s="199">
        <v>0.0</v>
      </c>
      <c r="Z207" s="199">
        <v>0.0</v>
      </c>
      <c r="AA207" s="199">
        <v>0.0</v>
      </c>
      <c r="AB207" s="199">
        <v>5.0</v>
      </c>
      <c r="AC207" s="199">
        <v>0.0</v>
      </c>
      <c r="AD207" s="199">
        <v>0.0</v>
      </c>
      <c r="AE207" s="199">
        <v>47.0</v>
      </c>
      <c r="AF207" s="199">
        <v>4.0</v>
      </c>
      <c r="AG207" s="199">
        <v>168.0</v>
      </c>
      <c r="AH207" s="199">
        <v>93.0</v>
      </c>
      <c r="AI207" s="200" t="s">
        <v>655</v>
      </c>
      <c r="AJ207" s="200" t="s">
        <v>656</v>
      </c>
      <c r="AK207" s="200"/>
      <c r="AL207" s="204"/>
      <c r="AM207" s="204"/>
    </row>
    <row r="208">
      <c r="A208" s="199" t="s">
        <v>135</v>
      </c>
      <c r="B208" s="200" t="s">
        <v>373</v>
      </c>
      <c r="C208" s="199">
        <v>2.5180296216E10</v>
      </c>
      <c r="D208" s="201">
        <v>45826.0</v>
      </c>
      <c r="E208" s="202" t="s">
        <v>102</v>
      </c>
      <c r="F208" s="202" t="s">
        <v>102</v>
      </c>
      <c r="G208" s="203" t="s">
        <v>102</v>
      </c>
      <c r="H208" s="203" t="s">
        <v>100</v>
      </c>
      <c r="I208" s="37"/>
      <c r="J208" s="37"/>
      <c r="K208" s="37"/>
      <c r="L208" s="199">
        <v>34.0</v>
      </c>
      <c r="M208" s="199">
        <v>47.7</v>
      </c>
      <c r="N208" s="199"/>
      <c r="O208" s="199">
        <v>0.0</v>
      </c>
      <c r="P208" s="199">
        <v>0.05</v>
      </c>
      <c r="Q208" s="199">
        <v>0.0</v>
      </c>
      <c r="R208" s="199">
        <v>0.0</v>
      </c>
      <c r="S208" s="199">
        <v>2.0</v>
      </c>
      <c r="T208" s="199">
        <v>6.0</v>
      </c>
      <c r="U208" s="199">
        <v>26.0</v>
      </c>
      <c r="V208" s="199">
        <v>0.0</v>
      </c>
      <c r="W208" s="199">
        <v>0.0</v>
      </c>
      <c r="X208" s="199">
        <v>1.0</v>
      </c>
      <c r="Y208" s="199">
        <v>0.0</v>
      </c>
      <c r="Z208" s="199">
        <v>0.0</v>
      </c>
      <c r="AA208" s="199">
        <v>0.0</v>
      </c>
      <c r="AB208" s="199">
        <v>3.0</v>
      </c>
      <c r="AC208" s="199">
        <v>5.0</v>
      </c>
      <c r="AD208" s="199">
        <v>0.0</v>
      </c>
      <c r="AE208" s="199">
        <v>106.0</v>
      </c>
      <c r="AF208" s="199">
        <v>2.0</v>
      </c>
      <c r="AG208" s="199">
        <v>344.0</v>
      </c>
      <c r="AH208" s="199">
        <v>541.0</v>
      </c>
      <c r="AI208" s="200" t="s">
        <v>774</v>
      </c>
      <c r="AJ208" s="200" t="s">
        <v>775</v>
      </c>
      <c r="AK208" s="200"/>
      <c r="AL208" s="204"/>
      <c r="AM208" s="204"/>
    </row>
    <row r="209">
      <c r="A209" s="199" t="s">
        <v>139</v>
      </c>
      <c r="B209" s="200" t="s">
        <v>379</v>
      </c>
      <c r="C209" s="199">
        <v>2.1108184254E10</v>
      </c>
      <c r="D209" s="201">
        <v>44294.0</v>
      </c>
      <c r="E209" s="202" t="s">
        <v>100</v>
      </c>
      <c r="F209" s="202" t="s">
        <v>100</v>
      </c>
      <c r="G209" s="203" t="s">
        <v>100</v>
      </c>
      <c r="H209" s="203" t="s">
        <v>100</v>
      </c>
      <c r="I209" s="37"/>
      <c r="J209" s="37"/>
      <c r="K209" s="37"/>
      <c r="L209" s="199">
        <v>8.0</v>
      </c>
      <c r="M209" s="199">
        <v>76.2</v>
      </c>
      <c r="N209" s="37"/>
      <c r="O209" s="37"/>
      <c r="P209" s="199">
        <v>0.04</v>
      </c>
      <c r="Q209" s="199">
        <v>0.0</v>
      </c>
      <c r="R209" s="199">
        <v>0.0</v>
      </c>
      <c r="S209" s="199">
        <v>0.0</v>
      </c>
      <c r="T209" s="199">
        <v>10.0</v>
      </c>
      <c r="U209" s="199">
        <v>34.0</v>
      </c>
      <c r="V209" s="199">
        <v>0.0</v>
      </c>
      <c r="W209" s="199">
        <v>3.0</v>
      </c>
      <c r="X209" s="199">
        <v>3.0</v>
      </c>
      <c r="Y209" s="199">
        <v>5.0</v>
      </c>
      <c r="Z209" s="199">
        <v>0.0</v>
      </c>
      <c r="AA209" s="199">
        <v>0.0</v>
      </c>
      <c r="AB209" s="199">
        <v>5.0</v>
      </c>
      <c r="AC209" s="199">
        <v>41.0</v>
      </c>
      <c r="AD209" s="199">
        <v>6.0</v>
      </c>
      <c r="AE209" s="199">
        <v>28.0</v>
      </c>
      <c r="AF209" s="199">
        <v>0.0</v>
      </c>
      <c r="AG209" s="199">
        <v>432.0</v>
      </c>
      <c r="AH209" s="199">
        <v>10.0</v>
      </c>
      <c r="AI209" s="200" t="s">
        <v>655</v>
      </c>
      <c r="AJ209" s="200" t="s">
        <v>656</v>
      </c>
      <c r="AK209" s="200"/>
      <c r="AL209" s="204"/>
      <c r="AM209" s="204"/>
    </row>
    <row r="210">
      <c r="A210" s="199" t="s">
        <v>139</v>
      </c>
      <c r="B210" s="200" t="s">
        <v>379</v>
      </c>
      <c r="C210" s="199">
        <v>2.4212062572E10</v>
      </c>
      <c r="D210" s="201">
        <v>44383.0</v>
      </c>
      <c r="E210" s="202" t="s">
        <v>100</v>
      </c>
      <c r="F210" s="202" t="s">
        <v>100</v>
      </c>
      <c r="G210" s="203" t="s">
        <v>100</v>
      </c>
      <c r="H210" s="203" t="s">
        <v>100</v>
      </c>
      <c r="I210" s="37"/>
      <c r="J210" s="37"/>
      <c r="K210" s="37"/>
      <c r="L210" s="199">
        <v>9.0</v>
      </c>
      <c r="M210" s="199">
        <v>76.9</v>
      </c>
      <c r="N210" s="37"/>
      <c r="O210" s="37"/>
      <c r="P210" s="199">
        <v>0.03</v>
      </c>
      <c r="Q210" s="199">
        <v>0.0</v>
      </c>
      <c r="R210" s="199">
        <v>2.0</v>
      </c>
      <c r="S210" s="199">
        <v>0.0</v>
      </c>
      <c r="T210" s="199">
        <v>10.0</v>
      </c>
      <c r="U210" s="199">
        <v>36.0</v>
      </c>
      <c r="V210" s="199">
        <v>0.0</v>
      </c>
      <c r="W210" s="199">
        <v>0.0</v>
      </c>
      <c r="X210" s="199">
        <v>0.0</v>
      </c>
      <c r="Y210" s="199">
        <v>0.0</v>
      </c>
      <c r="Z210" s="199">
        <v>5.0</v>
      </c>
      <c r="AA210" s="199">
        <v>13.0</v>
      </c>
      <c r="AB210" s="199">
        <v>0.0</v>
      </c>
      <c r="AC210" s="199">
        <v>1.0</v>
      </c>
      <c r="AD210" s="199">
        <v>0.0</v>
      </c>
      <c r="AE210" s="199">
        <v>19.0</v>
      </c>
      <c r="AF210" s="199">
        <v>2.0</v>
      </c>
      <c r="AG210" s="199">
        <v>396.0</v>
      </c>
      <c r="AH210" s="199">
        <v>80.0</v>
      </c>
      <c r="AI210" s="200" t="s">
        <v>655</v>
      </c>
      <c r="AJ210" s="200" t="s">
        <v>656</v>
      </c>
      <c r="AK210" s="200"/>
      <c r="AL210" s="204"/>
      <c r="AM210" s="204"/>
    </row>
    <row r="211">
      <c r="A211" s="199" t="s">
        <v>139</v>
      </c>
      <c r="B211" s="200" t="s">
        <v>379</v>
      </c>
      <c r="C211" s="199">
        <v>2.3351170204E10</v>
      </c>
      <c r="D211" s="201">
        <v>45266.0</v>
      </c>
      <c r="E211" s="202" t="s">
        <v>100</v>
      </c>
      <c r="F211" s="202" t="s">
        <v>100</v>
      </c>
      <c r="G211" s="203" t="s">
        <v>100</v>
      </c>
      <c r="H211" s="203" t="s">
        <v>100</v>
      </c>
      <c r="I211" s="37"/>
      <c r="J211" s="37"/>
      <c r="K211" s="37"/>
      <c r="L211" s="199">
        <v>38.0</v>
      </c>
      <c r="M211" s="199">
        <v>75.7</v>
      </c>
      <c r="N211" s="37"/>
      <c r="O211" s="37"/>
      <c r="P211" s="199">
        <v>0.03</v>
      </c>
      <c r="Q211" s="199">
        <v>0.0</v>
      </c>
      <c r="R211" s="199">
        <v>0.0</v>
      </c>
      <c r="S211" s="199">
        <v>2.0</v>
      </c>
      <c r="T211" s="199">
        <v>4.0</v>
      </c>
      <c r="U211" s="199">
        <v>42.0</v>
      </c>
      <c r="V211" s="199">
        <v>2.0</v>
      </c>
      <c r="W211" s="199">
        <v>0.0</v>
      </c>
      <c r="X211" s="199">
        <v>2.0</v>
      </c>
      <c r="Y211" s="199">
        <v>0.0</v>
      </c>
      <c r="Z211" s="199">
        <v>0.0</v>
      </c>
      <c r="AA211" s="199">
        <v>0.0</v>
      </c>
      <c r="AB211" s="199">
        <v>7.0</v>
      </c>
      <c r="AC211" s="199">
        <v>10.0</v>
      </c>
      <c r="AD211" s="199">
        <v>0.0</v>
      </c>
      <c r="AE211" s="199">
        <v>19.0</v>
      </c>
      <c r="AF211" s="199">
        <v>3.0</v>
      </c>
      <c r="AG211" s="199">
        <v>411.0</v>
      </c>
      <c r="AH211" s="199">
        <v>35.0</v>
      </c>
      <c r="AI211" s="200" t="s">
        <v>655</v>
      </c>
      <c r="AJ211" s="200" t="s">
        <v>656</v>
      </c>
      <c r="AK211" s="200"/>
      <c r="AL211" s="204"/>
      <c r="AM211" s="204"/>
    </row>
    <row r="212">
      <c r="A212" s="199" t="s">
        <v>139</v>
      </c>
      <c r="B212" s="200" t="s">
        <v>379</v>
      </c>
      <c r="C212" s="199">
        <v>2.409340225E10</v>
      </c>
      <c r="D212" s="201">
        <v>45370.0</v>
      </c>
      <c r="E212" s="202" t="s">
        <v>100</v>
      </c>
      <c r="F212" s="202" t="s">
        <v>100</v>
      </c>
      <c r="G212" s="203" t="s">
        <v>100</v>
      </c>
      <c r="H212" s="203" t="s">
        <v>100</v>
      </c>
      <c r="I212" s="37"/>
      <c r="J212" s="37"/>
      <c r="K212" s="37"/>
      <c r="L212" s="199">
        <v>36.0</v>
      </c>
      <c r="M212" s="199">
        <v>85.0</v>
      </c>
      <c r="N212" s="37"/>
      <c r="O212" s="37"/>
      <c r="P212" s="199">
        <v>0.02</v>
      </c>
      <c r="Q212" s="199">
        <v>0.0</v>
      </c>
      <c r="R212" s="199">
        <v>1.0</v>
      </c>
      <c r="S212" s="199">
        <v>0.0</v>
      </c>
      <c r="T212" s="199">
        <v>1.0</v>
      </c>
      <c r="U212" s="199">
        <v>45.0</v>
      </c>
      <c r="V212" s="199">
        <v>0.0</v>
      </c>
      <c r="W212" s="199">
        <v>0.0</v>
      </c>
      <c r="X212" s="199">
        <v>0.0</v>
      </c>
      <c r="Y212" s="199">
        <v>0.0</v>
      </c>
      <c r="Z212" s="199">
        <v>0.0</v>
      </c>
      <c r="AA212" s="199">
        <v>0.0</v>
      </c>
      <c r="AB212" s="199">
        <v>16.0</v>
      </c>
      <c r="AC212" s="199">
        <v>11.0</v>
      </c>
      <c r="AD212" s="199">
        <v>0.0</v>
      </c>
      <c r="AE212" s="199">
        <v>21.0</v>
      </c>
      <c r="AF212" s="199">
        <v>0.0</v>
      </c>
      <c r="AG212" s="199">
        <v>532.0</v>
      </c>
      <c r="AH212" s="199">
        <v>13.0</v>
      </c>
      <c r="AI212" s="200" t="s">
        <v>655</v>
      </c>
      <c r="AJ212" s="200" t="s">
        <v>656</v>
      </c>
      <c r="AK212" s="200"/>
      <c r="AL212" s="204"/>
      <c r="AM212" s="204"/>
    </row>
    <row r="213">
      <c r="A213" s="199" t="s">
        <v>139</v>
      </c>
      <c r="B213" s="200" t="s">
        <v>379</v>
      </c>
      <c r="C213" s="199">
        <v>2.6090313217E10</v>
      </c>
      <c r="D213" s="201">
        <v>46099.0</v>
      </c>
      <c r="E213" s="202" t="s">
        <v>100</v>
      </c>
      <c r="F213" s="202" t="s">
        <v>100</v>
      </c>
      <c r="G213" s="203" t="s">
        <v>100</v>
      </c>
      <c r="H213" s="203" t="s">
        <v>100</v>
      </c>
      <c r="I213" s="37"/>
      <c r="J213" s="37"/>
      <c r="K213" s="37"/>
      <c r="L213" s="199">
        <v>7.0</v>
      </c>
      <c r="M213" s="199">
        <v>90.9</v>
      </c>
      <c r="N213" s="37"/>
      <c r="O213" s="37"/>
      <c r="P213" s="199">
        <v>0.003</v>
      </c>
      <c r="Q213" s="199">
        <v>0.0</v>
      </c>
      <c r="R213" s="199">
        <v>0.0</v>
      </c>
      <c r="S213" s="199">
        <v>0.0</v>
      </c>
      <c r="T213" s="199">
        <v>2.0</v>
      </c>
      <c r="U213" s="199">
        <v>2.0</v>
      </c>
      <c r="V213" s="199">
        <v>0.0</v>
      </c>
      <c r="W213" s="199">
        <v>0.0</v>
      </c>
      <c r="X213" s="199">
        <v>0.0</v>
      </c>
      <c r="Y213" s="199">
        <v>0.0</v>
      </c>
      <c r="Z213" s="199">
        <v>0.0</v>
      </c>
      <c r="AA213" s="199">
        <v>0.0</v>
      </c>
      <c r="AB213" s="199">
        <v>26.0</v>
      </c>
      <c r="AC213" s="199">
        <v>12.0</v>
      </c>
      <c r="AD213" s="199">
        <v>0.0</v>
      </c>
      <c r="AE213" s="199">
        <v>28.0</v>
      </c>
      <c r="AF213" s="199">
        <v>0.0</v>
      </c>
      <c r="AG213" s="199">
        <v>518.0</v>
      </c>
      <c r="AH213" s="199">
        <v>29.0</v>
      </c>
      <c r="AI213" s="200" t="s">
        <v>655</v>
      </c>
      <c r="AJ213" s="200" t="s">
        <v>656</v>
      </c>
      <c r="AK213" s="200"/>
      <c r="AL213" s="204"/>
      <c r="AM213" s="204"/>
    </row>
    <row r="214">
      <c r="A214" s="199" t="s">
        <v>140</v>
      </c>
      <c r="B214" s="200" t="s">
        <v>381</v>
      </c>
      <c r="C214" s="199">
        <v>2.511222422E10</v>
      </c>
      <c r="D214" s="201">
        <v>45756.0</v>
      </c>
      <c r="E214" s="202" t="s">
        <v>101</v>
      </c>
      <c r="F214" s="202" t="s">
        <v>100</v>
      </c>
      <c r="G214" s="203" t="s">
        <v>101</v>
      </c>
      <c r="H214" s="203" t="s">
        <v>100</v>
      </c>
      <c r="I214" s="37"/>
      <c r="J214" s="37"/>
      <c r="K214" s="37"/>
      <c r="L214" s="199">
        <v>68.0</v>
      </c>
      <c r="M214" s="199">
        <v>91.2</v>
      </c>
      <c r="N214" s="37"/>
      <c r="O214" s="37"/>
      <c r="P214" s="199">
        <v>0.02</v>
      </c>
      <c r="Q214" s="199">
        <v>0.0</v>
      </c>
      <c r="R214" s="199">
        <v>0.0</v>
      </c>
      <c r="S214" s="199">
        <v>0.0</v>
      </c>
      <c r="T214" s="199">
        <v>81.0</v>
      </c>
      <c r="U214" s="199">
        <v>6.0</v>
      </c>
      <c r="V214" s="199">
        <v>0.0</v>
      </c>
      <c r="W214" s="199">
        <v>0.0</v>
      </c>
      <c r="X214" s="199">
        <v>0.0</v>
      </c>
      <c r="Y214" s="199">
        <v>4.0</v>
      </c>
      <c r="Z214" s="199">
        <v>0.0</v>
      </c>
      <c r="AA214" s="199">
        <v>0.0</v>
      </c>
      <c r="AB214" s="199">
        <v>5.0</v>
      </c>
      <c r="AC214" s="199">
        <v>4.0</v>
      </c>
      <c r="AD214" s="199">
        <v>1.0</v>
      </c>
      <c r="AE214" s="199">
        <v>22.0</v>
      </c>
      <c r="AF214" s="199">
        <v>0.0</v>
      </c>
      <c r="AG214" s="199">
        <v>299.0</v>
      </c>
      <c r="AH214" s="199">
        <v>3.0</v>
      </c>
      <c r="AI214" s="200" t="s">
        <v>787</v>
      </c>
      <c r="AJ214" s="200" t="s">
        <v>791</v>
      </c>
      <c r="AK214" s="200"/>
      <c r="AL214" s="204"/>
      <c r="AM214" s="204"/>
    </row>
    <row r="215">
      <c r="A215" s="199" t="s">
        <v>140</v>
      </c>
      <c r="B215" s="200" t="s">
        <v>381</v>
      </c>
      <c r="C215" s="199">
        <v>2.5180296222E10</v>
      </c>
      <c r="D215" s="201">
        <v>45826.0</v>
      </c>
      <c r="E215" s="202" t="s">
        <v>100</v>
      </c>
      <c r="F215" s="202" t="s">
        <v>100</v>
      </c>
      <c r="G215" s="203" t="s">
        <v>100</v>
      </c>
      <c r="H215" s="203" t="s">
        <v>100</v>
      </c>
      <c r="I215" s="37"/>
      <c r="J215" s="37"/>
      <c r="K215" s="37"/>
      <c r="L215" s="199">
        <v>10.0</v>
      </c>
      <c r="M215" s="199">
        <v>94.7</v>
      </c>
      <c r="N215" s="37"/>
      <c r="O215" s="37"/>
      <c r="P215" s="199">
        <v>0.003</v>
      </c>
      <c r="Q215" s="199">
        <v>0.0</v>
      </c>
      <c r="R215" s="199">
        <v>0.0</v>
      </c>
      <c r="S215" s="199">
        <v>0.0</v>
      </c>
      <c r="T215" s="199">
        <v>0.0</v>
      </c>
      <c r="U215" s="199">
        <v>19.0</v>
      </c>
      <c r="V215" s="199">
        <v>0.0</v>
      </c>
      <c r="W215" s="199">
        <v>0.0</v>
      </c>
      <c r="X215" s="199">
        <v>1.0</v>
      </c>
      <c r="Y215" s="199">
        <v>0.0</v>
      </c>
      <c r="Z215" s="199">
        <v>0.0</v>
      </c>
      <c r="AA215" s="199">
        <v>0.0</v>
      </c>
      <c r="AB215" s="199">
        <v>8.0</v>
      </c>
      <c r="AC215" s="199">
        <v>11.0</v>
      </c>
      <c r="AD215" s="199">
        <v>0.0</v>
      </c>
      <c r="AE215" s="199">
        <v>11.0</v>
      </c>
      <c r="AF215" s="199">
        <v>2.0</v>
      </c>
      <c r="AG215" s="199">
        <v>376.0</v>
      </c>
      <c r="AH215" s="199">
        <v>7.0</v>
      </c>
      <c r="AI215" s="200" t="s">
        <v>655</v>
      </c>
      <c r="AJ215" s="200" t="s">
        <v>656</v>
      </c>
      <c r="AK215" s="200"/>
      <c r="AL215" s="204"/>
      <c r="AM215" s="204"/>
    </row>
    <row r="216">
      <c r="A216" s="199" t="s">
        <v>140</v>
      </c>
      <c r="B216" s="200" t="s">
        <v>381</v>
      </c>
      <c r="C216" s="199">
        <v>2.525815924E10</v>
      </c>
      <c r="D216" s="201">
        <v>45909.0</v>
      </c>
      <c r="E216" s="202" t="s">
        <v>100</v>
      </c>
      <c r="F216" s="202" t="s">
        <v>100</v>
      </c>
      <c r="G216" s="203" t="s">
        <v>100</v>
      </c>
      <c r="H216" s="203" t="s">
        <v>100</v>
      </c>
      <c r="I216" s="37"/>
      <c r="J216" s="37"/>
      <c r="K216" s="37"/>
      <c r="L216" s="199">
        <v>21.0</v>
      </c>
      <c r="M216" s="199">
        <v>90.1</v>
      </c>
      <c r="N216" s="37"/>
      <c r="O216" s="37"/>
      <c r="P216" s="199">
        <v>0.003</v>
      </c>
      <c r="Q216" s="199">
        <v>0.0</v>
      </c>
      <c r="R216" s="199">
        <v>12.0</v>
      </c>
      <c r="S216" s="199">
        <v>1.0</v>
      </c>
      <c r="T216" s="199">
        <v>4.0</v>
      </c>
      <c r="U216" s="199">
        <v>29.0</v>
      </c>
      <c r="V216" s="199">
        <v>0.0</v>
      </c>
      <c r="W216" s="199">
        <v>0.0</v>
      </c>
      <c r="X216" s="199">
        <v>0.0</v>
      </c>
      <c r="Y216" s="199">
        <v>0.0</v>
      </c>
      <c r="Z216" s="199">
        <v>2.0</v>
      </c>
      <c r="AA216" s="199">
        <v>0.0</v>
      </c>
      <c r="AB216" s="199">
        <v>15.0</v>
      </c>
      <c r="AC216" s="199">
        <v>25.0</v>
      </c>
      <c r="AD216" s="199">
        <v>0.0</v>
      </c>
      <c r="AE216" s="199">
        <v>24.0</v>
      </c>
      <c r="AF216" s="199">
        <v>5.0</v>
      </c>
      <c r="AG216" s="199">
        <v>396.0</v>
      </c>
      <c r="AH216" s="199">
        <v>0.0</v>
      </c>
      <c r="AI216" s="200" t="s">
        <v>655</v>
      </c>
      <c r="AJ216" s="200" t="s">
        <v>656</v>
      </c>
      <c r="AK216" s="200"/>
      <c r="AL216" s="204"/>
      <c r="AM216" s="204"/>
    </row>
    <row r="217">
      <c r="A217" s="199" t="s">
        <v>142</v>
      </c>
      <c r="B217" s="200" t="s">
        <v>384</v>
      </c>
      <c r="C217" s="199">
        <v>2.5049182231E10</v>
      </c>
      <c r="D217" s="201">
        <v>45701.0</v>
      </c>
      <c r="E217" s="202" t="s">
        <v>101</v>
      </c>
      <c r="F217" s="202" t="s">
        <v>102</v>
      </c>
      <c r="G217" s="203" t="s">
        <v>101</v>
      </c>
      <c r="H217" s="203" t="s">
        <v>100</v>
      </c>
      <c r="I217" s="37"/>
      <c r="J217" s="37"/>
      <c r="K217" s="37"/>
      <c r="L217" s="199">
        <v>28.0</v>
      </c>
      <c r="M217" s="199">
        <v>309.4</v>
      </c>
      <c r="N217" s="199"/>
      <c r="O217" s="199">
        <v>2.0</v>
      </c>
      <c r="P217" s="199">
        <v>0.07</v>
      </c>
      <c r="Q217" s="199">
        <v>0.0</v>
      </c>
      <c r="R217" s="199">
        <v>13.0</v>
      </c>
      <c r="S217" s="199">
        <v>2.0</v>
      </c>
      <c r="T217" s="199">
        <v>5.0</v>
      </c>
      <c r="U217" s="199">
        <v>101.0</v>
      </c>
      <c r="V217" s="199">
        <v>2.0</v>
      </c>
      <c r="W217" s="199">
        <v>0.0</v>
      </c>
      <c r="X217" s="199">
        <v>2.0</v>
      </c>
      <c r="Y217" s="199">
        <v>0.0</v>
      </c>
      <c r="Z217" s="199">
        <v>2.0</v>
      </c>
      <c r="AA217" s="199">
        <v>0.0</v>
      </c>
      <c r="AB217" s="199">
        <v>5.0</v>
      </c>
      <c r="AC217" s="199">
        <v>28.0</v>
      </c>
      <c r="AD217" s="199">
        <v>0.0</v>
      </c>
      <c r="AE217" s="199">
        <v>20.0</v>
      </c>
      <c r="AF217" s="199">
        <v>3.0</v>
      </c>
      <c r="AG217" s="199">
        <v>450.0</v>
      </c>
      <c r="AH217" s="199">
        <v>91.0</v>
      </c>
      <c r="AI217" s="200" t="s">
        <v>787</v>
      </c>
      <c r="AJ217" s="200" t="s">
        <v>795</v>
      </c>
      <c r="AK217" s="200"/>
      <c r="AL217" s="204"/>
      <c r="AM217" s="204"/>
    </row>
    <row r="218">
      <c r="A218" s="199" t="s">
        <v>141</v>
      </c>
      <c r="B218" s="200" t="s">
        <v>383</v>
      </c>
      <c r="C218" s="199">
        <v>1.8140205206E10</v>
      </c>
      <c r="D218" s="201">
        <v>43236.0</v>
      </c>
      <c r="E218" s="202" t="s">
        <v>101</v>
      </c>
      <c r="F218" s="202" t="s">
        <v>101</v>
      </c>
      <c r="G218" s="203" t="s">
        <v>100</v>
      </c>
      <c r="H218" s="203" t="s">
        <v>100</v>
      </c>
      <c r="I218" s="37"/>
      <c r="J218" s="37"/>
      <c r="K218" s="37"/>
      <c r="L218" s="199">
        <v>13.0</v>
      </c>
      <c r="M218" s="199">
        <v>301.3</v>
      </c>
      <c r="N218" s="199"/>
      <c r="O218" s="199">
        <v>2.0</v>
      </c>
      <c r="P218" s="199">
        <v>0.11</v>
      </c>
      <c r="Q218" s="37"/>
      <c r="R218" s="199">
        <v>8.0</v>
      </c>
      <c r="S218" s="199">
        <v>0.0</v>
      </c>
      <c r="T218" s="199">
        <v>4.0</v>
      </c>
      <c r="U218" s="199">
        <v>29.0</v>
      </c>
      <c r="V218" s="199">
        <v>0.0</v>
      </c>
      <c r="W218" s="199">
        <v>0.0</v>
      </c>
      <c r="X218" s="199">
        <v>2.0</v>
      </c>
      <c r="Y218" s="199">
        <v>0.0</v>
      </c>
      <c r="Z218" s="199">
        <v>2.0</v>
      </c>
      <c r="AA218" s="199">
        <v>0.0</v>
      </c>
      <c r="AB218" s="199">
        <v>26.0</v>
      </c>
      <c r="AC218" s="199">
        <v>11.0</v>
      </c>
      <c r="AD218" s="199">
        <v>0.0</v>
      </c>
      <c r="AE218" s="199">
        <v>226.0</v>
      </c>
      <c r="AF218" s="199">
        <v>0.0</v>
      </c>
      <c r="AG218" s="199">
        <v>502.0</v>
      </c>
      <c r="AH218" s="199">
        <v>0.0</v>
      </c>
      <c r="AI218" s="200" t="s">
        <v>684</v>
      </c>
      <c r="AJ218" s="200" t="s">
        <v>773</v>
      </c>
      <c r="AK218" s="200"/>
      <c r="AL218" s="204"/>
      <c r="AM218" s="204"/>
    </row>
    <row r="219">
      <c r="A219" s="199" t="s">
        <v>141</v>
      </c>
      <c r="B219" s="200" t="s">
        <v>383</v>
      </c>
      <c r="C219" s="199">
        <v>2.2022220506E10</v>
      </c>
      <c r="D219" s="201">
        <v>44578.0</v>
      </c>
      <c r="E219" s="202" t="s">
        <v>100</v>
      </c>
      <c r="F219" s="202" t="s">
        <v>100</v>
      </c>
      <c r="G219" s="203" t="s">
        <v>100</v>
      </c>
      <c r="H219" s="203" t="s">
        <v>100</v>
      </c>
      <c r="I219" s="199">
        <v>79635.0</v>
      </c>
      <c r="J219" s="199">
        <v>6135.0</v>
      </c>
      <c r="K219" s="199">
        <v>1184.0</v>
      </c>
      <c r="L219" s="199">
        <v>8.0</v>
      </c>
      <c r="M219" s="199">
        <v>306.0</v>
      </c>
      <c r="N219" s="199"/>
      <c r="O219" s="199">
        <v>0.0</v>
      </c>
      <c r="P219" s="199">
        <v>0.02</v>
      </c>
      <c r="Q219" s="199">
        <v>0.0</v>
      </c>
      <c r="R219" s="199">
        <v>0.0</v>
      </c>
      <c r="S219" s="199">
        <v>0.0</v>
      </c>
      <c r="T219" s="199">
        <v>5.0</v>
      </c>
      <c r="U219" s="199">
        <v>16.0</v>
      </c>
      <c r="V219" s="199">
        <v>0.0</v>
      </c>
      <c r="W219" s="199">
        <v>0.0</v>
      </c>
      <c r="X219" s="199">
        <v>0.0</v>
      </c>
      <c r="Y219" s="199">
        <v>0.0</v>
      </c>
      <c r="Z219" s="199">
        <v>2.0</v>
      </c>
      <c r="AA219" s="199">
        <v>0.0</v>
      </c>
      <c r="AB219" s="199">
        <v>11.0</v>
      </c>
      <c r="AC219" s="199">
        <v>22.0</v>
      </c>
      <c r="AD219" s="199">
        <v>0.0</v>
      </c>
      <c r="AE219" s="199">
        <v>10.0</v>
      </c>
      <c r="AF219" s="199">
        <v>1.0</v>
      </c>
      <c r="AG219" s="199">
        <v>422.0</v>
      </c>
      <c r="AH219" s="199">
        <v>0.0</v>
      </c>
      <c r="AI219" s="200" t="s">
        <v>655</v>
      </c>
      <c r="AJ219" s="200" t="s">
        <v>656</v>
      </c>
      <c r="AK219" s="200"/>
      <c r="AL219" s="204"/>
      <c r="AM219" s="204"/>
    </row>
    <row r="220">
      <c r="A220" s="199" t="s">
        <v>141</v>
      </c>
      <c r="B220" s="200" t="s">
        <v>383</v>
      </c>
      <c r="C220" s="199">
        <v>2.3116260209E10</v>
      </c>
      <c r="D220" s="201">
        <v>44950.0</v>
      </c>
      <c r="E220" s="202" t="s">
        <v>100</v>
      </c>
      <c r="F220" s="202" t="s">
        <v>100</v>
      </c>
      <c r="G220" s="203" t="s">
        <v>100</v>
      </c>
      <c r="H220" s="203" t="s">
        <v>100</v>
      </c>
      <c r="I220" s="199">
        <v>13193.0</v>
      </c>
      <c r="J220" s="199">
        <v>2788.0</v>
      </c>
      <c r="K220" s="199">
        <v>79.0</v>
      </c>
      <c r="L220" s="199">
        <v>6.0</v>
      </c>
      <c r="M220" s="199">
        <v>291.4</v>
      </c>
      <c r="N220" s="199"/>
      <c r="O220" s="199">
        <v>1.0</v>
      </c>
      <c r="P220" s="199">
        <v>0.01</v>
      </c>
      <c r="Q220" s="199">
        <v>0.0</v>
      </c>
      <c r="R220" s="199">
        <v>13.0</v>
      </c>
      <c r="S220" s="199">
        <v>0.0</v>
      </c>
      <c r="T220" s="199">
        <v>1.0</v>
      </c>
      <c r="U220" s="199">
        <v>23.0</v>
      </c>
      <c r="V220" s="199">
        <v>0.0</v>
      </c>
      <c r="W220" s="199">
        <v>0.0</v>
      </c>
      <c r="X220" s="199">
        <v>1.0</v>
      </c>
      <c r="Y220" s="199">
        <v>0.0</v>
      </c>
      <c r="Z220" s="199">
        <v>0.0</v>
      </c>
      <c r="AA220" s="199">
        <v>0.0</v>
      </c>
      <c r="AB220" s="199">
        <v>7.0</v>
      </c>
      <c r="AC220" s="199">
        <v>28.0</v>
      </c>
      <c r="AD220" s="199">
        <v>0.0</v>
      </c>
      <c r="AE220" s="199">
        <v>22.0</v>
      </c>
      <c r="AF220" s="199">
        <v>0.0</v>
      </c>
      <c r="AG220" s="199">
        <v>252.0</v>
      </c>
      <c r="AH220" s="199">
        <v>4.0</v>
      </c>
      <c r="AI220" s="200" t="s">
        <v>655</v>
      </c>
      <c r="AJ220" s="200" t="s">
        <v>656</v>
      </c>
      <c r="AK220" s="200"/>
      <c r="AL220" s="204"/>
      <c r="AM220" s="204"/>
    </row>
    <row r="221">
      <c r="A221" s="199" t="s">
        <v>141</v>
      </c>
      <c r="B221" s="200" t="s">
        <v>383</v>
      </c>
      <c r="C221" s="199">
        <v>2.4204227263E10</v>
      </c>
      <c r="D221" s="201">
        <v>45488.0</v>
      </c>
      <c r="E221" s="202" t="s">
        <v>102</v>
      </c>
      <c r="F221" s="202" t="s">
        <v>102</v>
      </c>
      <c r="G221" s="203" t="s">
        <v>102</v>
      </c>
      <c r="H221" s="203" t="s">
        <v>100</v>
      </c>
      <c r="I221" s="37"/>
      <c r="J221" s="37"/>
      <c r="K221" s="37"/>
      <c r="L221" s="199">
        <v>12.0</v>
      </c>
      <c r="M221" s="199">
        <v>333.8</v>
      </c>
      <c r="N221" s="199"/>
      <c r="O221" s="199">
        <v>2.0</v>
      </c>
      <c r="P221" s="199">
        <v>0.04</v>
      </c>
      <c r="Q221" s="199">
        <v>0.0</v>
      </c>
      <c r="R221" s="199">
        <v>10.0</v>
      </c>
      <c r="S221" s="199">
        <v>0.0</v>
      </c>
      <c r="T221" s="199">
        <v>7.0</v>
      </c>
      <c r="U221" s="199">
        <v>41.0</v>
      </c>
      <c r="V221" s="199">
        <v>3.0</v>
      </c>
      <c r="W221" s="199">
        <v>0.0</v>
      </c>
      <c r="X221" s="199">
        <v>4.0</v>
      </c>
      <c r="Y221" s="199">
        <v>0.0</v>
      </c>
      <c r="Z221" s="199">
        <v>2.0</v>
      </c>
      <c r="AA221" s="199">
        <v>0.0</v>
      </c>
      <c r="AB221" s="199">
        <v>14.0</v>
      </c>
      <c r="AC221" s="199">
        <v>34.0</v>
      </c>
      <c r="AD221" s="199">
        <v>0.0</v>
      </c>
      <c r="AE221" s="199">
        <v>17.0</v>
      </c>
      <c r="AF221" s="199">
        <v>5.0</v>
      </c>
      <c r="AG221" s="199">
        <v>319.0</v>
      </c>
      <c r="AH221" s="199">
        <v>25.0</v>
      </c>
      <c r="AI221" s="200" t="s">
        <v>774</v>
      </c>
      <c r="AJ221" s="200" t="s">
        <v>796</v>
      </c>
      <c r="AK221" s="200"/>
      <c r="AL221" s="204"/>
      <c r="AM221" s="204"/>
    </row>
    <row r="222">
      <c r="A222" s="199" t="s">
        <v>158</v>
      </c>
      <c r="B222" s="200" t="s">
        <v>404</v>
      </c>
      <c r="C222" s="199">
        <v>2.3276310203E10</v>
      </c>
      <c r="D222" s="201">
        <v>45196.0</v>
      </c>
      <c r="E222" s="202" t="s">
        <v>102</v>
      </c>
      <c r="F222" s="202" t="s">
        <v>102</v>
      </c>
      <c r="G222" s="203" t="s">
        <v>100</v>
      </c>
      <c r="H222" s="203" t="s">
        <v>100</v>
      </c>
      <c r="I222" s="199">
        <v>4839.0</v>
      </c>
      <c r="J222" s="199">
        <v>2564.0</v>
      </c>
      <c r="K222" s="199">
        <v>1541.0</v>
      </c>
      <c r="L222" s="199">
        <v>22.0</v>
      </c>
      <c r="M222" s="199">
        <v>61.3</v>
      </c>
      <c r="N222" s="199"/>
      <c r="O222" s="199">
        <v>0.0</v>
      </c>
      <c r="P222" s="199">
        <v>0.003</v>
      </c>
      <c r="Q222" s="199">
        <v>0.0</v>
      </c>
      <c r="R222" s="199">
        <v>3.0</v>
      </c>
      <c r="S222" s="199">
        <v>0.0</v>
      </c>
      <c r="T222" s="199">
        <v>0.0</v>
      </c>
      <c r="U222" s="199">
        <v>20.0</v>
      </c>
      <c r="V222" s="199">
        <v>0.0</v>
      </c>
      <c r="W222" s="199">
        <v>0.0</v>
      </c>
      <c r="X222" s="199">
        <v>0.0</v>
      </c>
      <c r="Y222" s="199">
        <v>0.0</v>
      </c>
      <c r="Z222" s="199">
        <v>3.0</v>
      </c>
      <c r="AA222" s="199">
        <v>3.0</v>
      </c>
      <c r="AB222" s="199">
        <v>15.0</v>
      </c>
      <c r="AC222" s="199">
        <v>0.0</v>
      </c>
      <c r="AD222" s="199">
        <v>0.0</v>
      </c>
      <c r="AE222" s="199">
        <v>27.0</v>
      </c>
      <c r="AF222" s="199">
        <v>1.0</v>
      </c>
      <c r="AG222" s="199">
        <v>224.0</v>
      </c>
      <c r="AH222" s="199">
        <v>46.0</v>
      </c>
      <c r="AI222" s="200" t="s">
        <v>653</v>
      </c>
      <c r="AJ222" s="200" t="s">
        <v>654</v>
      </c>
      <c r="AK222" s="200"/>
      <c r="AL222" s="204"/>
      <c r="AM222" s="204"/>
    </row>
    <row r="223">
      <c r="A223" s="199" t="s">
        <v>158</v>
      </c>
      <c r="B223" s="200" t="s">
        <v>404</v>
      </c>
      <c r="C223" s="199">
        <v>2.5110204224E10</v>
      </c>
      <c r="D223" s="201">
        <v>45756.0</v>
      </c>
      <c r="E223" s="202" t="s">
        <v>100</v>
      </c>
      <c r="F223" s="202" t="s">
        <v>100</v>
      </c>
      <c r="G223" s="203" t="s">
        <v>100</v>
      </c>
      <c r="H223" s="203" t="s">
        <v>100</v>
      </c>
      <c r="I223" s="199">
        <v>3154.0</v>
      </c>
      <c r="J223" s="199">
        <v>1589.0</v>
      </c>
      <c r="K223" s="199">
        <v>897.0</v>
      </c>
      <c r="L223" s="199">
        <v>10.0</v>
      </c>
      <c r="M223" s="199">
        <v>63.4</v>
      </c>
      <c r="N223" s="199"/>
      <c r="O223" s="199">
        <v>0.0</v>
      </c>
      <c r="P223" s="199">
        <v>0.01</v>
      </c>
      <c r="Q223" s="199">
        <v>0.0</v>
      </c>
      <c r="R223" s="199">
        <v>0.0</v>
      </c>
      <c r="S223" s="199">
        <v>0.0</v>
      </c>
      <c r="T223" s="199">
        <v>3.0</v>
      </c>
      <c r="U223" s="199">
        <v>1.0</v>
      </c>
      <c r="V223" s="199">
        <v>0.0</v>
      </c>
      <c r="W223" s="199">
        <v>0.0</v>
      </c>
      <c r="X223" s="199">
        <v>0.0</v>
      </c>
      <c r="Y223" s="199">
        <v>0.0</v>
      </c>
      <c r="Z223" s="199">
        <v>0.0</v>
      </c>
      <c r="AA223" s="199">
        <v>0.0</v>
      </c>
      <c r="AB223" s="199">
        <v>1.0</v>
      </c>
      <c r="AC223" s="199">
        <v>4.0</v>
      </c>
      <c r="AD223" s="199">
        <v>0.0</v>
      </c>
      <c r="AE223" s="199">
        <v>80.0</v>
      </c>
      <c r="AF223" s="199">
        <v>0.0</v>
      </c>
      <c r="AG223" s="199">
        <v>418.0</v>
      </c>
      <c r="AH223" s="199">
        <v>689.0</v>
      </c>
      <c r="AI223" s="200" t="s">
        <v>655</v>
      </c>
      <c r="AJ223" s="200" t="s">
        <v>656</v>
      </c>
      <c r="AK223" s="200"/>
      <c r="AL223" s="204"/>
      <c r="AM223" s="204"/>
    </row>
    <row r="224">
      <c r="A224" s="199" t="s">
        <v>169</v>
      </c>
      <c r="B224" s="200" t="s">
        <v>410</v>
      </c>
      <c r="C224" s="199">
        <v>2.5110204256E10</v>
      </c>
      <c r="D224" s="201">
        <v>45757.0</v>
      </c>
      <c r="E224" s="202" t="s">
        <v>100</v>
      </c>
      <c r="F224" s="202" t="s">
        <v>100</v>
      </c>
      <c r="G224" s="203" t="s">
        <v>100</v>
      </c>
      <c r="H224" s="203" t="s">
        <v>100</v>
      </c>
      <c r="I224" s="199">
        <v>25213.0</v>
      </c>
      <c r="J224" s="199">
        <v>5462.0</v>
      </c>
      <c r="K224" s="199">
        <v>1297.0</v>
      </c>
      <c r="L224" s="199">
        <v>16.0</v>
      </c>
      <c r="M224" s="199">
        <v>306.7</v>
      </c>
      <c r="N224" s="37"/>
      <c r="O224" s="37"/>
      <c r="P224" s="199">
        <v>0.02</v>
      </c>
      <c r="Q224" s="199">
        <v>0.0</v>
      </c>
      <c r="R224" s="199">
        <v>0.0</v>
      </c>
      <c r="S224" s="199">
        <v>0.0</v>
      </c>
      <c r="T224" s="199">
        <v>0.0</v>
      </c>
      <c r="U224" s="199">
        <v>33.0</v>
      </c>
      <c r="V224" s="199">
        <v>0.0</v>
      </c>
      <c r="W224" s="199">
        <v>0.0</v>
      </c>
      <c r="X224" s="199">
        <v>0.0</v>
      </c>
      <c r="Y224" s="199">
        <v>0.0</v>
      </c>
      <c r="Z224" s="199">
        <v>3.0</v>
      </c>
      <c r="AA224" s="199">
        <v>2.0</v>
      </c>
      <c r="AB224" s="199">
        <v>19.0</v>
      </c>
      <c r="AC224" s="199">
        <v>30.0</v>
      </c>
      <c r="AD224" s="199">
        <v>0.0</v>
      </c>
      <c r="AE224" s="199">
        <v>43.0</v>
      </c>
      <c r="AF224" s="199">
        <v>0.0</v>
      </c>
      <c r="AG224" s="199">
        <v>454.0</v>
      </c>
      <c r="AH224" s="199">
        <v>42.0</v>
      </c>
      <c r="AI224" s="200" t="s">
        <v>655</v>
      </c>
      <c r="AJ224" s="200" t="s">
        <v>656</v>
      </c>
      <c r="AK224" s="200"/>
      <c r="AL224" s="204"/>
      <c r="AM224" s="204"/>
    </row>
    <row r="225">
      <c r="A225" s="199" t="s">
        <v>169</v>
      </c>
      <c r="B225" s="200" t="s">
        <v>410</v>
      </c>
      <c r="C225" s="199">
        <v>2.5180296247E10</v>
      </c>
      <c r="D225" s="201">
        <v>45826.0</v>
      </c>
      <c r="E225" s="202" t="s">
        <v>102</v>
      </c>
      <c r="F225" s="202" t="s">
        <v>102</v>
      </c>
      <c r="G225" s="203" t="s">
        <v>100</v>
      </c>
      <c r="H225" s="203" t="s">
        <v>102</v>
      </c>
      <c r="I225" s="37"/>
      <c r="J225" s="37"/>
      <c r="K225" s="37"/>
      <c r="L225" s="199">
        <v>16.0</v>
      </c>
      <c r="M225" s="199">
        <v>315.6</v>
      </c>
      <c r="N225" s="37"/>
      <c r="O225" s="37"/>
      <c r="P225" s="199">
        <v>0.05</v>
      </c>
      <c r="Q225" s="199">
        <v>0.0</v>
      </c>
      <c r="R225" s="199">
        <v>2.0</v>
      </c>
      <c r="S225" s="199">
        <v>0.0</v>
      </c>
      <c r="T225" s="199">
        <v>0.0</v>
      </c>
      <c r="U225" s="199">
        <v>48.0</v>
      </c>
      <c r="V225" s="199">
        <v>0.0</v>
      </c>
      <c r="W225" s="199">
        <v>0.0</v>
      </c>
      <c r="X225" s="199">
        <v>2.0</v>
      </c>
      <c r="Y225" s="199">
        <v>0.0</v>
      </c>
      <c r="Z225" s="199">
        <v>2.0</v>
      </c>
      <c r="AA225" s="199">
        <v>0.0</v>
      </c>
      <c r="AB225" s="199">
        <v>17.0</v>
      </c>
      <c r="AC225" s="199">
        <v>15.0</v>
      </c>
      <c r="AD225" s="199">
        <v>0.0</v>
      </c>
      <c r="AE225" s="199">
        <v>93.0</v>
      </c>
      <c r="AF225" s="199">
        <v>6.0</v>
      </c>
      <c r="AG225" s="199">
        <v>423.0</v>
      </c>
      <c r="AH225" s="199">
        <v>23.0</v>
      </c>
      <c r="AI225" s="200" t="s">
        <v>653</v>
      </c>
      <c r="AJ225" s="200" t="s">
        <v>789</v>
      </c>
      <c r="AK225" s="200"/>
      <c r="AL225" s="204"/>
      <c r="AM225" s="204"/>
    </row>
    <row r="226">
      <c r="A226" s="199" t="s">
        <v>169</v>
      </c>
      <c r="B226" s="200" t="s">
        <v>410</v>
      </c>
      <c r="C226" s="199">
        <v>2.5295220223E10</v>
      </c>
      <c r="D226" s="201">
        <v>45946.0</v>
      </c>
      <c r="E226" s="202" t="s">
        <v>101</v>
      </c>
      <c r="F226" s="202" t="s">
        <v>102</v>
      </c>
      <c r="G226" s="203" t="s">
        <v>101</v>
      </c>
      <c r="H226" s="203" t="s">
        <v>102</v>
      </c>
      <c r="I226" s="37"/>
      <c r="J226" s="37"/>
      <c r="K226" s="37"/>
      <c r="L226" s="199">
        <v>154.0</v>
      </c>
      <c r="M226" s="199">
        <v>311.8</v>
      </c>
      <c r="N226" s="37"/>
      <c r="O226" s="37"/>
      <c r="P226" s="199">
        <v>0.05</v>
      </c>
      <c r="Q226" s="199">
        <v>0.0</v>
      </c>
      <c r="R226" s="199">
        <v>0.0</v>
      </c>
      <c r="S226" s="199">
        <v>0.0</v>
      </c>
      <c r="T226" s="199">
        <v>0.0</v>
      </c>
      <c r="U226" s="199">
        <v>312.0</v>
      </c>
      <c r="V226" s="199">
        <v>0.0</v>
      </c>
      <c r="W226" s="199">
        <v>0.0</v>
      </c>
      <c r="X226" s="199">
        <v>0.0</v>
      </c>
      <c r="Y226" s="199">
        <v>0.0</v>
      </c>
      <c r="Z226" s="199">
        <v>0.0</v>
      </c>
      <c r="AA226" s="199">
        <v>0.0</v>
      </c>
      <c r="AB226" s="199">
        <v>0.0</v>
      </c>
      <c r="AC226" s="199">
        <v>17.0</v>
      </c>
      <c r="AD226" s="199">
        <v>0.0</v>
      </c>
      <c r="AE226" s="199">
        <v>10.0</v>
      </c>
      <c r="AF226" s="199">
        <v>0.0</v>
      </c>
      <c r="AG226" s="199">
        <v>489.0</v>
      </c>
      <c r="AH226" s="199">
        <v>99.0</v>
      </c>
      <c r="AI226" s="200" t="s">
        <v>797</v>
      </c>
      <c r="AJ226" s="200" t="s">
        <v>798</v>
      </c>
      <c r="AK226" s="200"/>
      <c r="AL226" s="204"/>
      <c r="AM226" s="204"/>
    </row>
    <row r="227">
      <c r="A227" s="199" t="s">
        <v>169</v>
      </c>
      <c r="B227" s="200" t="s">
        <v>410</v>
      </c>
      <c r="C227" s="199">
        <v>2.5330261224E10</v>
      </c>
      <c r="D227" s="201">
        <v>45977.0</v>
      </c>
      <c r="E227" s="202" t="s">
        <v>102</v>
      </c>
      <c r="F227" s="202" t="s">
        <v>102</v>
      </c>
      <c r="G227" s="203" t="s">
        <v>100</v>
      </c>
      <c r="H227" s="203" t="s">
        <v>100</v>
      </c>
      <c r="I227" s="37"/>
      <c r="J227" s="37"/>
      <c r="K227" s="37"/>
      <c r="L227" s="199">
        <v>24.0</v>
      </c>
      <c r="M227" s="199">
        <v>319.4</v>
      </c>
      <c r="N227" s="37"/>
      <c r="O227" s="37"/>
      <c r="P227" s="199">
        <v>0.04</v>
      </c>
      <c r="Q227" s="199">
        <v>0.0</v>
      </c>
      <c r="R227" s="199">
        <v>0.0</v>
      </c>
      <c r="S227" s="199">
        <v>0.0</v>
      </c>
      <c r="T227" s="199">
        <v>0.0</v>
      </c>
      <c r="U227" s="199">
        <v>64.0</v>
      </c>
      <c r="V227" s="199">
        <v>0.0</v>
      </c>
      <c r="W227" s="199">
        <v>0.0</v>
      </c>
      <c r="X227" s="199">
        <v>2.0</v>
      </c>
      <c r="Y227" s="199">
        <v>0.0</v>
      </c>
      <c r="Z227" s="199">
        <v>2.0</v>
      </c>
      <c r="AA227" s="199">
        <v>0.0</v>
      </c>
      <c r="AB227" s="199">
        <v>25.0</v>
      </c>
      <c r="AC227" s="199">
        <v>12.0</v>
      </c>
      <c r="AD227" s="199">
        <v>0.0</v>
      </c>
      <c r="AE227" s="199">
        <v>67.0</v>
      </c>
      <c r="AF227" s="199">
        <v>2.0</v>
      </c>
      <c r="AG227" s="199">
        <v>433.0</v>
      </c>
      <c r="AH227" s="199">
        <v>52.0</v>
      </c>
      <c r="AI227" s="200" t="s">
        <v>783</v>
      </c>
      <c r="AJ227" s="200" t="s">
        <v>799</v>
      </c>
      <c r="AK227" s="200"/>
      <c r="AL227" s="204"/>
      <c r="AM227" s="204"/>
    </row>
    <row r="228">
      <c r="A228" s="199" t="s">
        <v>169</v>
      </c>
      <c r="B228" s="200" t="s">
        <v>410</v>
      </c>
      <c r="C228" s="199">
        <v>2.6004401261E10</v>
      </c>
      <c r="D228" s="201">
        <v>46018.0</v>
      </c>
      <c r="E228" s="202" t="s">
        <v>101</v>
      </c>
      <c r="F228" s="202" t="s">
        <v>101</v>
      </c>
      <c r="G228" s="203" t="s">
        <v>100</v>
      </c>
      <c r="H228" s="203" t="s">
        <v>100</v>
      </c>
      <c r="I228" s="37"/>
      <c r="J228" s="37"/>
      <c r="K228" s="37"/>
      <c r="L228" s="199">
        <v>13.0</v>
      </c>
      <c r="M228" s="199">
        <v>318.2</v>
      </c>
      <c r="N228" s="37"/>
      <c r="O228" s="37"/>
      <c r="P228" s="199">
        <v>0.05</v>
      </c>
      <c r="Q228" s="199">
        <v>0.0</v>
      </c>
      <c r="R228" s="199">
        <v>0.0</v>
      </c>
      <c r="S228" s="199">
        <v>0.0</v>
      </c>
      <c r="T228" s="199">
        <v>0.0</v>
      </c>
      <c r="U228" s="199">
        <v>62.0</v>
      </c>
      <c r="V228" s="199">
        <v>0.0</v>
      </c>
      <c r="W228" s="199">
        <v>0.0</v>
      </c>
      <c r="X228" s="199">
        <v>0.0</v>
      </c>
      <c r="Y228" s="199">
        <v>0.0</v>
      </c>
      <c r="Z228" s="199">
        <v>0.0</v>
      </c>
      <c r="AA228" s="199">
        <v>0.0</v>
      </c>
      <c r="AB228" s="199">
        <v>54.0</v>
      </c>
      <c r="AC228" s="199">
        <v>14.0</v>
      </c>
      <c r="AD228" s="199">
        <v>0.0</v>
      </c>
      <c r="AE228" s="199">
        <v>9.0</v>
      </c>
      <c r="AF228" s="199">
        <v>2.0</v>
      </c>
      <c r="AG228" s="199">
        <v>331.0</v>
      </c>
      <c r="AH228" s="199">
        <v>52.0</v>
      </c>
      <c r="AI228" s="200" t="s">
        <v>785</v>
      </c>
      <c r="AJ228" s="200" t="s">
        <v>786</v>
      </c>
      <c r="AK228" s="200"/>
      <c r="AL228" s="204"/>
      <c r="AM228" s="204"/>
    </row>
    <row r="229">
      <c r="A229" s="199" t="s">
        <v>171</v>
      </c>
      <c r="B229" s="200" t="s">
        <v>414</v>
      </c>
      <c r="C229" s="199">
        <v>2.402121123E10</v>
      </c>
      <c r="D229" s="201">
        <v>45309.0</v>
      </c>
      <c r="E229" s="202" t="s">
        <v>100</v>
      </c>
      <c r="F229" s="202" t="s">
        <v>100</v>
      </c>
      <c r="G229" s="203" t="s">
        <v>100</v>
      </c>
      <c r="H229" s="203" t="s">
        <v>100</v>
      </c>
      <c r="I229" s="199">
        <v>8271.0</v>
      </c>
      <c r="J229" s="199">
        <v>4312.0</v>
      </c>
      <c r="K229" s="199">
        <v>974.0</v>
      </c>
      <c r="L229" s="199">
        <v>5.0</v>
      </c>
      <c r="M229" s="199">
        <v>51.6</v>
      </c>
      <c r="N229" s="199"/>
      <c r="O229" s="199">
        <v>0.0</v>
      </c>
      <c r="P229" s="199">
        <v>0.01</v>
      </c>
      <c r="Q229" s="199">
        <v>0.0</v>
      </c>
      <c r="R229" s="199">
        <v>4.0</v>
      </c>
      <c r="S229" s="199">
        <v>3.0</v>
      </c>
      <c r="T229" s="199">
        <v>2.0</v>
      </c>
      <c r="U229" s="199">
        <v>4.0</v>
      </c>
      <c r="V229" s="199">
        <v>0.0</v>
      </c>
      <c r="W229" s="199">
        <v>0.0</v>
      </c>
      <c r="X229" s="199">
        <v>0.0</v>
      </c>
      <c r="Y229" s="199">
        <v>0.0</v>
      </c>
      <c r="Z229" s="199">
        <v>0.0</v>
      </c>
      <c r="AA229" s="199">
        <v>0.0</v>
      </c>
      <c r="AB229" s="199">
        <v>3.0</v>
      </c>
      <c r="AC229" s="199">
        <v>2.0</v>
      </c>
      <c r="AD229" s="199">
        <v>0.0</v>
      </c>
      <c r="AE229" s="199">
        <v>134.0</v>
      </c>
      <c r="AF229" s="199">
        <v>0.0</v>
      </c>
      <c r="AG229" s="199">
        <v>391.0</v>
      </c>
      <c r="AH229" s="199">
        <v>393.0</v>
      </c>
      <c r="AI229" s="200" t="s">
        <v>655</v>
      </c>
      <c r="AJ229" s="200" t="s">
        <v>656</v>
      </c>
      <c r="AK229" s="200"/>
      <c r="AL229" s="204"/>
      <c r="AM229" s="204"/>
    </row>
    <row r="230">
      <c r="A230" s="199" t="s">
        <v>171</v>
      </c>
      <c r="B230" s="200" t="s">
        <v>414</v>
      </c>
      <c r="C230" s="199">
        <v>2.4162106218E10</v>
      </c>
      <c r="D230" s="201">
        <v>45447.0</v>
      </c>
      <c r="E230" s="202" t="s">
        <v>100</v>
      </c>
      <c r="F230" s="202" t="s">
        <v>100</v>
      </c>
      <c r="G230" s="203" t="s">
        <v>100</v>
      </c>
      <c r="H230" s="203" t="s">
        <v>100</v>
      </c>
      <c r="I230" s="199">
        <v>4815.0</v>
      </c>
      <c r="J230" s="199">
        <v>913.0</v>
      </c>
      <c r="K230" s="199">
        <v>112.0</v>
      </c>
      <c r="L230" s="199">
        <v>3.0</v>
      </c>
      <c r="M230" s="199">
        <v>46.2</v>
      </c>
      <c r="N230" s="199"/>
      <c r="O230" s="199">
        <v>0.0</v>
      </c>
      <c r="P230" s="199">
        <v>0.003</v>
      </c>
      <c r="Q230" s="199">
        <v>0.0</v>
      </c>
      <c r="R230" s="199">
        <v>0.0</v>
      </c>
      <c r="S230" s="199">
        <v>0.0</v>
      </c>
      <c r="T230" s="199">
        <v>0.0</v>
      </c>
      <c r="U230" s="199">
        <v>0.0</v>
      </c>
      <c r="V230" s="199">
        <v>0.0</v>
      </c>
      <c r="W230" s="199">
        <v>0.0</v>
      </c>
      <c r="X230" s="199">
        <v>0.0</v>
      </c>
      <c r="Y230" s="199">
        <v>0.0</v>
      </c>
      <c r="Z230" s="199">
        <v>0.0</v>
      </c>
      <c r="AA230" s="199">
        <v>0.0</v>
      </c>
      <c r="AB230" s="199">
        <v>5.0</v>
      </c>
      <c r="AC230" s="199">
        <v>1.0</v>
      </c>
      <c r="AD230" s="199">
        <v>0.0</v>
      </c>
      <c r="AE230" s="199">
        <v>65.0</v>
      </c>
      <c r="AF230" s="199">
        <v>0.0</v>
      </c>
      <c r="AG230" s="199">
        <v>357.0</v>
      </c>
      <c r="AH230" s="199">
        <v>555.0</v>
      </c>
      <c r="AI230" s="200" t="s">
        <v>655</v>
      </c>
      <c r="AJ230" s="200" t="s">
        <v>656</v>
      </c>
      <c r="AK230" s="200"/>
      <c r="AL230" s="204"/>
      <c r="AM230" s="204"/>
    </row>
    <row r="231">
      <c r="A231" s="199" t="s">
        <v>171</v>
      </c>
      <c r="B231" s="200" t="s">
        <v>414</v>
      </c>
      <c r="C231" s="199">
        <v>2.5049182216E10</v>
      </c>
      <c r="D231" s="201">
        <v>45701.0</v>
      </c>
      <c r="E231" s="202" t="s">
        <v>100</v>
      </c>
      <c r="F231" s="202" t="s">
        <v>100</v>
      </c>
      <c r="G231" s="203" t="s">
        <v>100</v>
      </c>
      <c r="H231" s="203" t="s">
        <v>100</v>
      </c>
      <c r="I231" s="199">
        <v>9182.0</v>
      </c>
      <c r="J231" s="199">
        <v>5411.0</v>
      </c>
      <c r="K231" s="199">
        <v>1001.0</v>
      </c>
      <c r="L231" s="199">
        <v>3.0</v>
      </c>
      <c r="M231" s="199">
        <v>44.7</v>
      </c>
      <c r="N231" s="199"/>
      <c r="O231" s="199">
        <v>0.0</v>
      </c>
      <c r="P231" s="199">
        <v>0.003</v>
      </c>
      <c r="Q231" s="199">
        <v>0.0</v>
      </c>
      <c r="R231" s="199">
        <v>5.0</v>
      </c>
      <c r="S231" s="199">
        <v>2.0</v>
      </c>
      <c r="T231" s="199">
        <v>3.0</v>
      </c>
      <c r="U231" s="199">
        <v>8.0</v>
      </c>
      <c r="V231" s="199">
        <v>0.0</v>
      </c>
      <c r="W231" s="199">
        <v>0.0</v>
      </c>
      <c r="X231" s="199">
        <v>1.0</v>
      </c>
      <c r="Y231" s="199">
        <v>0.0</v>
      </c>
      <c r="Z231" s="199">
        <v>0.0</v>
      </c>
      <c r="AA231" s="199">
        <v>0.0</v>
      </c>
      <c r="AB231" s="199">
        <v>2.0</v>
      </c>
      <c r="AC231" s="199">
        <v>7.0</v>
      </c>
      <c r="AD231" s="199">
        <v>0.0</v>
      </c>
      <c r="AE231" s="199">
        <v>83.0</v>
      </c>
      <c r="AF231" s="199">
        <v>2.0</v>
      </c>
      <c r="AG231" s="199">
        <v>455.0</v>
      </c>
      <c r="AH231" s="199">
        <v>715.0</v>
      </c>
      <c r="AI231" s="200" t="s">
        <v>655</v>
      </c>
      <c r="AJ231" s="200" t="s">
        <v>656</v>
      </c>
      <c r="AK231" s="200"/>
      <c r="AL231" s="204"/>
      <c r="AM231" s="204"/>
    </row>
    <row r="232">
      <c r="A232" s="199" t="s">
        <v>171</v>
      </c>
      <c r="B232" s="200" t="s">
        <v>414</v>
      </c>
      <c r="C232" s="199">
        <v>2.5180296203E10</v>
      </c>
      <c r="D232" s="201">
        <v>45826.0</v>
      </c>
      <c r="E232" s="202" t="s">
        <v>100</v>
      </c>
      <c r="F232" s="202" t="s">
        <v>100</v>
      </c>
      <c r="G232" s="203" t="s">
        <v>100</v>
      </c>
      <c r="H232" s="203" t="s">
        <v>100</v>
      </c>
      <c r="I232" s="199">
        <v>8973.0</v>
      </c>
      <c r="J232" s="199">
        <v>2100.0</v>
      </c>
      <c r="K232" s="199">
        <v>947.0</v>
      </c>
      <c r="L232" s="199">
        <v>5.0</v>
      </c>
      <c r="M232" s="199">
        <v>49.5</v>
      </c>
      <c r="N232" s="199"/>
      <c r="O232" s="199">
        <v>0.0</v>
      </c>
      <c r="P232" s="199">
        <v>0.01</v>
      </c>
      <c r="Q232" s="199">
        <v>0.0</v>
      </c>
      <c r="R232" s="199">
        <v>0.0</v>
      </c>
      <c r="S232" s="199">
        <v>0.0</v>
      </c>
      <c r="T232" s="199">
        <v>0.0</v>
      </c>
      <c r="U232" s="199">
        <v>9.0</v>
      </c>
      <c r="V232" s="199">
        <v>0.0</v>
      </c>
      <c r="W232" s="199">
        <v>0.0</v>
      </c>
      <c r="X232" s="199">
        <v>1.0</v>
      </c>
      <c r="Y232" s="199">
        <v>0.0</v>
      </c>
      <c r="Z232" s="199">
        <v>0.0</v>
      </c>
      <c r="AA232" s="199">
        <v>0.0</v>
      </c>
      <c r="AB232" s="199">
        <v>0.0</v>
      </c>
      <c r="AC232" s="199">
        <v>5.0</v>
      </c>
      <c r="AD232" s="199">
        <v>0.0</v>
      </c>
      <c r="AE232" s="199">
        <v>75.0</v>
      </c>
      <c r="AF232" s="199">
        <v>2.0</v>
      </c>
      <c r="AG232" s="199">
        <v>430.0</v>
      </c>
      <c r="AH232" s="199">
        <v>460.0</v>
      </c>
      <c r="AI232" s="200" t="s">
        <v>655</v>
      </c>
      <c r="AJ232" s="200" t="s">
        <v>656</v>
      </c>
      <c r="AK232" s="200"/>
      <c r="AL232" s="204"/>
      <c r="AM232" s="204"/>
    </row>
    <row r="233">
      <c r="A233" s="199" t="s">
        <v>171</v>
      </c>
      <c r="B233" s="200" t="s">
        <v>414</v>
      </c>
      <c r="C233" s="199">
        <v>2.6005501202E10</v>
      </c>
      <c r="D233" s="201">
        <v>46007.0</v>
      </c>
      <c r="E233" s="202" t="s">
        <v>100</v>
      </c>
      <c r="F233" s="202" t="s">
        <v>100</v>
      </c>
      <c r="G233" s="203" t="s">
        <v>100</v>
      </c>
      <c r="H233" s="203" t="s">
        <v>100</v>
      </c>
      <c r="I233" s="199">
        <v>9125.0</v>
      </c>
      <c r="J233" s="199">
        <v>4611.0</v>
      </c>
      <c r="K233" s="199">
        <v>1101.0</v>
      </c>
      <c r="L233" s="199">
        <v>4.0</v>
      </c>
      <c r="M233" s="199">
        <v>47.0</v>
      </c>
      <c r="N233" s="199"/>
      <c r="O233" s="199">
        <v>0.0</v>
      </c>
      <c r="P233" s="199">
        <v>0.003</v>
      </c>
      <c r="Q233" s="199">
        <v>0.0</v>
      </c>
      <c r="R233" s="199">
        <v>0.0</v>
      </c>
      <c r="S233" s="199">
        <v>0.0</v>
      </c>
      <c r="T233" s="199">
        <v>0.0</v>
      </c>
      <c r="U233" s="199">
        <v>1.0</v>
      </c>
      <c r="V233" s="199">
        <v>0.0</v>
      </c>
      <c r="W233" s="199">
        <v>0.0</v>
      </c>
      <c r="X233" s="199">
        <v>0.0</v>
      </c>
      <c r="Y233" s="199">
        <v>0.0</v>
      </c>
      <c r="Z233" s="199">
        <v>0.0</v>
      </c>
      <c r="AA233" s="199">
        <v>0.0</v>
      </c>
      <c r="AB233" s="199">
        <v>0.0</v>
      </c>
      <c r="AC233" s="199">
        <v>1.0</v>
      </c>
      <c r="AD233" s="199">
        <v>0.0</v>
      </c>
      <c r="AE233" s="199">
        <v>93.0</v>
      </c>
      <c r="AF233" s="199">
        <v>2.0</v>
      </c>
      <c r="AG233" s="199">
        <v>497.0</v>
      </c>
      <c r="AH233" s="199">
        <v>657.0</v>
      </c>
      <c r="AI233" s="200" t="s">
        <v>655</v>
      </c>
      <c r="AJ233" s="200" t="s">
        <v>656</v>
      </c>
      <c r="AK233" s="200"/>
      <c r="AL233" s="204"/>
      <c r="AM233" s="204"/>
    </row>
    <row r="234">
      <c r="A234" s="199" t="s">
        <v>172</v>
      </c>
      <c r="B234" s="200" t="s">
        <v>420</v>
      </c>
      <c r="C234" s="199">
        <v>2.4269259217E10</v>
      </c>
      <c r="D234" s="201">
        <v>45545.0</v>
      </c>
      <c r="E234" s="202" t="s">
        <v>100</v>
      </c>
      <c r="F234" s="202" t="s">
        <v>100</v>
      </c>
      <c r="G234" s="203" t="s">
        <v>100</v>
      </c>
      <c r="H234" s="203" t="s">
        <v>100</v>
      </c>
      <c r="I234" s="199">
        <v>19752.0</v>
      </c>
      <c r="J234" s="199">
        <v>10327.0</v>
      </c>
      <c r="K234" s="199">
        <v>5002.0</v>
      </c>
      <c r="L234" s="199">
        <v>4.0</v>
      </c>
      <c r="M234" s="199">
        <v>230.1</v>
      </c>
      <c r="N234" s="37"/>
      <c r="O234" s="37"/>
      <c r="P234" s="199">
        <v>0.01</v>
      </c>
      <c r="Q234" s="199">
        <v>0.0</v>
      </c>
      <c r="R234" s="199">
        <v>3.0</v>
      </c>
      <c r="S234" s="199">
        <v>0.0</v>
      </c>
      <c r="T234" s="199">
        <v>0.0</v>
      </c>
      <c r="U234" s="199">
        <v>2.0</v>
      </c>
      <c r="V234" s="199">
        <v>0.0</v>
      </c>
      <c r="W234" s="199">
        <v>0.0</v>
      </c>
      <c r="X234" s="199">
        <v>1.0</v>
      </c>
      <c r="Y234" s="199">
        <v>0.0</v>
      </c>
      <c r="Z234" s="199">
        <v>0.0</v>
      </c>
      <c r="AA234" s="199">
        <v>0.0</v>
      </c>
      <c r="AB234" s="199">
        <v>3.0</v>
      </c>
      <c r="AC234" s="199">
        <v>23.0</v>
      </c>
      <c r="AD234" s="199">
        <v>0.0</v>
      </c>
      <c r="AE234" s="199">
        <v>21.0</v>
      </c>
      <c r="AF234" s="199">
        <v>2.0</v>
      </c>
      <c r="AG234" s="199">
        <v>250.0</v>
      </c>
      <c r="AH234" s="199">
        <v>10.0</v>
      </c>
      <c r="AI234" s="200" t="s">
        <v>655</v>
      </c>
      <c r="AJ234" s="200" t="s">
        <v>656</v>
      </c>
      <c r="AK234" s="200"/>
      <c r="AL234" s="204"/>
      <c r="AM234" s="204"/>
    </row>
    <row r="235">
      <c r="A235" s="199" t="s">
        <v>173</v>
      </c>
      <c r="B235" s="200" t="s">
        <v>420</v>
      </c>
      <c r="C235" s="199">
        <v>2.4268239203E10</v>
      </c>
      <c r="D235" s="201">
        <v>45545.0</v>
      </c>
      <c r="E235" s="202" t="s">
        <v>102</v>
      </c>
      <c r="F235" s="202" t="s">
        <v>102</v>
      </c>
      <c r="G235" s="203" t="s">
        <v>100</v>
      </c>
      <c r="H235" s="203" t="s">
        <v>100</v>
      </c>
      <c r="I235" s="37"/>
      <c r="J235" s="37"/>
      <c r="K235" s="37"/>
      <c r="L235" s="199">
        <v>8.0</v>
      </c>
      <c r="M235" s="199">
        <v>216.5</v>
      </c>
      <c r="N235" s="37"/>
      <c r="O235" s="37"/>
      <c r="P235" s="199">
        <v>0.003</v>
      </c>
      <c r="Q235" s="199">
        <v>0.0</v>
      </c>
      <c r="R235" s="199">
        <v>4.0</v>
      </c>
      <c r="S235" s="199">
        <v>1.0</v>
      </c>
      <c r="T235" s="199">
        <v>0.0</v>
      </c>
      <c r="U235" s="199">
        <v>5.0</v>
      </c>
      <c r="V235" s="199">
        <v>0.0</v>
      </c>
      <c r="W235" s="199">
        <v>0.0</v>
      </c>
      <c r="X235" s="199">
        <v>0.0</v>
      </c>
      <c r="Y235" s="199">
        <v>0.0</v>
      </c>
      <c r="Z235" s="199">
        <v>0.0</v>
      </c>
      <c r="AA235" s="199">
        <v>0.0</v>
      </c>
      <c r="AB235" s="199">
        <v>8.0</v>
      </c>
      <c r="AC235" s="199">
        <v>10.0</v>
      </c>
      <c r="AD235" s="199">
        <v>0.0</v>
      </c>
      <c r="AE235" s="199">
        <v>32.0</v>
      </c>
      <c r="AF235" s="199">
        <v>0.0</v>
      </c>
      <c r="AG235" s="199">
        <v>429.0</v>
      </c>
      <c r="AH235" s="199">
        <v>5.0</v>
      </c>
      <c r="AI235" s="200" t="s">
        <v>653</v>
      </c>
      <c r="AJ235" s="200" t="s">
        <v>654</v>
      </c>
      <c r="AK235" s="200"/>
      <c r="AL235" s="204"/>
      <c r="AM235" s="204"/>
    </row>
    <row r="236">
      <c r="A236" s="199" t="s">
        <v>173</v>
      </c>
      <c r="B236" s="200" t="s">
        <v>420</v>
      </c>
      <c r="C236" s="199">
        <v>2.4305310239E10</v>
      </c>
      <c r="D236" s="201">
        <v>45589.0</v>
      </c>
      <c r="E236" s="202" t="s">
        <v>100</v>
      </c>
      <c r="F236" s="202" t="s">
        <v>100</v>
      </c>
      <c r="G236" s="203" t="s">
        <v>100</v>
      </c>
      <c r="H236" s="203" t="s">
        <v>100</v>
      </c>
      <c r="I236" s="199">
        <v>11892.0</v>
      </c>
      <c r="J236" s="199">
        <v>5693.0</v>
      </c>
      <c r="K236" s="199">
        <v>1294.0</v>
      </c>
      <c r="L236" s="199">
        <v>4.0</v>
      </c>
      <c r="M236" s="199">
        <v>217.6</v>
      </c>
      <c r="N236" s="37"/>
      <c r="O236" s="37"/>
      <c r="P236" s="199">
        <v>0.003</v>
      </c>
      <c r="Q236" s="199">
        <v>0.0</v>
      </c>
      <c r="R236" s="199">
        <v>2.0</v>
      </c>
      <c r="S236" s="199">
        <v>1.0</v>
      </c>
      <c r="T236" s="199">
        <v>2.0</v>
      </c>
      <c r="U236" s="199">
        <v>6.0</v>
      </c>
      <c r="V236" s="199">
        <v>0.0</v>
      </c>
      <c r="W236" s="199">
        <v>0.0</v>
      </c>
      <c r="X236" s="199">
        <v>1.0</v>
      </c>
      <c r="Y236" s="199">
        <v>0.0</v>
      </c>
      <c r="Z236" s="199">
        <v>0.0</v>
      </c>
      <c r="AA236" s="199">
        <v>0.0</v>
      </c>
      <c r="AB236" s="199">
        <v>11.0</v>
      </c>
      <c r="AC236" s="199">
        <v>3.0</v>
      </c>
      <c r="AD236" s="199">
        <v>1.0</v>
      </c>
      <c r="AE236" s="199">
        <v>26.0</v>
      </c>
      <c r="AF236" s="199">
        <v>2.0</v>
      </c>
      <c r="AG236" s="199">
        <v>647.0</v>
      </c>
      <c r="AH236" s="199">
        <v>5.0</v>
      </c>
      <c r="AI236" s="200" t="s">
        <v>655</v>
      </c>
      <c r="AJ236" s="200" t="s">
        <v>656</v>
      </c>
      <c r="AK236" s="200"/>
      <c r="AL236" s="204"/>
      <c r="AM236" s="204"/>
    </row>
    <row r="237">
      <c r="A237" s="199" t="s">
        <v>173</v>
      </c>
      <c r="B237" s="200" t="s">
        <v>420</v>
      </c>
      <c r="C237" s="199">
        <v>2.5180296209E10</v>
      </c>
      <c r="D237" s="201">
        <v>45826.0</v>
      </c>
      <c r="E237" s="202" t="s">
        <v>100</v>
      </c>
      <c r="F237" s="202" t="s">
        <v>100</v>
      </c>
      <c r="G237" s="203" t="s">
        <v>100</v>
      </c>
      <c r="H237" s="203" t="s">
        <v>100</v>
      </c>
      <c r="I237" s="199">
        <v>21977.0</v>
      </c>
      <c r="J237" s="199">
        <v>10886.0</v>
      </c>
      <c r="K237" s="199">
        <v>510.0</v>
      </c>
      <c r="L237" s="199">
        <v>10.0</v>
      </c>
      <c r="M237" s="199">
        <v>199.1</v>
      </c>
      <c r="N237" s="37"/>
      <c r="O237" s="37"/>
      <c r="P237" s="199">
        <v>0.04</v>
      </c>
      <c r="Q237" s="199">
        <v>0.0</v>
      </c>
      <c r="R237" s="199">
        <v>1.0</v>
      </c>
      <c r="S237" s="199">
        <v>0.0</v>
      </c>
      <c r="T237" s="199">
        <v>1.0</v>
      </c>
      <c r="U237" s="199">
        <v>20.0</v>
      </c>
      <c r="V237" s="199">
        <v>0.0</v>
      </c>
      <c r="W237" s="199">
        <v>0.0</v>
      </c>
      <c r="X237" s="199">
        <v>1.0</v>
      </c>
      <c r="Y237" s="199">
        <v>0.0</v>
      </c>
      <c r="Z237" s="199">
        <v>0.0</v>
      </c>
      <c r="AA237" s="199">
        <v>0.0</v>
      </c>
      <c r="AB237" s="199">
        <v>9.0</v>
      </c>
      <c r="AC237" s="199">
        <v>2.0</v>
      </c>
      <c r="AD237" s="199">
        <v>0.0</v>
      </c>
      <c r="AE237" s="199">
        <v>91.0</v>
      </c>
      <c r="AF237" s="199">
        <v>0.0</v>
      </c>
      <c r="AG237" s="199">
        <v>364.0</v>
      </c>
      <c r="AH237" s="199">
        <v>11.0</v>
      </c>
      <c r="AI237" s="200" t="s">
        <v>655</v>
      </c>
      <c r="AJ237" s="200" t="s">
        <v>656</v>
      </c>
      <c r="AK237" s="200"/>
      <c r="AL237" s="204"/>
      <c r="AM237" s="204"/>
    </row>
    <row r="238">
      <c r="A238" s="199" t="s">
        <v>173</v>
      </c>
      <c r="B238" s="200" t="s">
        <v>420</v>
      </c>
      <c r="C238" s="199">
        <v>2.5294210211E10</v>
      </c>
      <c r="D238" s="201">
        <v>45946.0</v>
      </c>
      <c r="E238" s="202" t="s">
        <v>100</v>
      </c>
      <c r="F238" s="202" t="s">
        <v>100</v>
      </c>
      <c r="G238" s="203" t="s">
        <v>100</v>
      </c>
      <c r="H238" s="203" t="s">
        <v>100</v>
      </c>
      <c r="I238" s="199">
        <v>12691.0</v>
      </c>
      <c r="J238" s="199">
        <v>5122.0</v>
      </c>
      <c r="K238" s="199">
        <v>2131.0</v>
      </c>
      <c r="L238" s="199">
        <v>5.0</v>
      </c>
      <c r="M238" s="199">
        <v>217.9</v>
      </c>
      <c r="N238" s="37"/>
      <c r="O238" s="37"/>
      <c r="P238" s="199">
        <v>0.003</v>
      </c>
      <c r="Q238" s="199">
        <v>0.0</v>
      </c>
      <c r="R238" s="199">
        <v>3.0</v>
      </c>
      <c r="S238" s="199">
        <v>0.0</v>
      </c>
      <c r="T238" s="199">
        <v>2.0</v>
      </c>
      <c r="U238" s="199">
        <v>7.0</v>
      </c>
      <c r="V238" s="199">
        <v>0.0</v>
      </c>
      <c r="W238" s="199">
        <v>0.0</v>
      </c>
      <c r="X238" s="199">
        <v>0.0</v>
      </c>
      <c r="Y238" s="199">
        <v>0.0</v>
      </c>
      <c r="Z238" s="199">
        <v>0.0</v>
      </c>
      <c r="AA238" s="199">
        <v>0.0</v>
      </c>
      <c r="AB238" s="199">
        <v>16.0</v>
      </c>
      <c r="AC238" s="199">
        <v>20.0</v>
      </c>
      <c r="AD238" s="199">
        <v>0.0</v>
      </c>
      <c r="AE238" s="199">
        <v>21.0</v>
      </c>
      <c r="AF238" s="199">
        <v>2.0</v>
      </c>
      <c r="AG238" s="199">
        <v>432.0</v>
      </c>
      <c r="AH238" s="199">
        <v>14.0</v>
      </c>
      <c r="AI238" s="200" t="s">
        <v>655</v>
      </c>
      <c r="AJ238" s="200" t="s">
        <v>656</v>
      </c>
      <c r="AK238" s="200"/>
      <c r="AL238" s="204"/>
      <c r="AM238" s="204"/>
    </row>
    <row r="239">
      <c r="A239" s="199" t="s">
        <v>173</v>
      </c>
      <c r="B239" s="200" t="s">
        <v>420</v>
      </c>
      <c r="C239" s="199">
        <v>2.6090313211E10</v>
      </c>
      <c r="D239" s="201">
        <v>46099.0</v>
      </c>
      <c r="E239" s="202" t="s">
        <v>100</v>
      </c>
      <c r="F239" s="202" t="s">
        <v>100</v>
      </c>
      <c r="G239" s="203" t="s">
        <v>100</v>
      </c>
      <c r="H239" s="203" t="s">
        <v>100</v>
      </c>
      <c r="I239" s="199">
        <v>30291.0</v>
      </c>
      <c r="J239" s="199">
        <v>18957.0</v>
      </c>
      <c r="K239" s="199">
        <v>10012.0</v>
      </c>
      <c r="L239" s="199">
        <v>6.0</v>
      </c>
      <c r="M239" s="199">
        <v>225.9</v>
      </c>
      <c r="N239" s="37"/>
      <c r="O239" s="37"/>
      <c r="P239" s="199">
        <v>0.003</v>
      </c>
      <c r="Q239" s="199">
        <v>0.0</v>
      </c>
      <c r="R239" s="199">
        <v>0.0</v>
      </c>
      <c r="S239" s="199">
        <v>0.0</v>
      </c>
      <c r="T239" s="199">
        <v>2.0</v>
      </c>
      <c r="U239" s="199">
        <v>3.0</v>
      </c>
      <c r="V239" s="199">
        <v>0.0</v>
      </c>
      <c r="W239" s="199">
        <v>0.0</v>
      </c>
      <c r="X239" s="199">
        <v>0.0</v>
      </c>
      <c r="Y239" s="199">
        <v>0.0</v>
      </c>
      <c r="Z239" s="199">
        <v>0.0</v>
      </c>
      <c r="AA239" s="199">
        <v>0.0</v>
      </c>
      <c r="AB239" s="199">
        <v>23.0</v>
      </c>
      <c r="AC239" s="199">
        <v>8.0</v>
      </c>
      <c r="AD239" s="199">
        <v>0.0</v>
      </c>
      <c r="AE239" s="199">
        <v>19.0</v>
      </c>
      <c r="AF239" s="199">
        <v>0.0</v>
      </c>
      <c r="AG239" s="199">
        <v>597.0</v>
      </c>
      <c r="AH239" s="199">
        <v>9.0</v>
      </c>
      <c r="AI239" s="200" t="s">
        <v>655</v>
      </c>
      <c r="AJ239" s="200" t="s">
        <v>656</v>
      </c>
      <c r="AK239" s="200"/>
      <c r="AL239" s="204"/>
      <c r="AM239" s="204"/>
    </row>
    <row r="240">
      <c r="A240" s="199" t="s">
        <v>175</v>
      </c>
      <c r="B240" s="200" t="s">
        <v>423</v>
      </c>
      <c r="C240" s="199">
        <v>2.4343812242E10</v>
      </c>
      <c r="D240" s="201">
        <v>45623.0</v>
      </c>
      <c r="E240" s="202" t="s">
        <v>100</v>
      </c>
      <c r="F240" s="202" t="s">
        <v>100</v>
      </c>
      <c r="G240" s="203" t="s">
        <v>100</v>
      </c>
      <c r="H240" s="203" t="s">
        <v>100</v>
      </c>
      <c r="I240" s="37"/>
      <c r="J240" s="37"/>
      <c r="K240" s="37"/>
      <c r="L240" s="199">
        <v>18.0</v>
      </c>
      <c r="M240" s="199">
        <v>77.7</v>
      </c>
      <c r="N240" s="37"/>
      <c r="O240" s="37"/>
      <c r="P240" s="199">
        <v>0.03</v>
      </c>
      <c r="Q240" s="199">
        <v>0.0</v>
      </c>
      <c r="R240" s="199">
        <v>0.0</v>
      </c>
      <c r="S240" s="199">
        <v>0.0</v>
      </c>
      <c r="T240" s="199">
        <v>0.0</v>
      </c>
      <c r="U240" s="199">
        <v>39.0</v>
      </c>
      <c r="V240" s="199">
        <v>0.0</v>
      </c>
      <c r="W240" s="199">
        <v>0.0</v>
      </c>
      <c r="X240" s="199">
        <v>0.0</v>
      </c>
      <c r="Y240" s="199">
        <v>0.0</v>
      </c>
      <c r="Z240" s="199">
        <v>2.0</v>
      </c>
      <c r="AA240" s="199">
        <v>0.0</v>
      </c>
      <c r="AB240" s="199">
        <v>6.0</v>
      </c>
      <c r="AC240" s="199">
        <v>1.0</v>
      </c>
      <c r="AD240" s="199">
        <v>0.0</v>
      </c>
      <c r="AE240" s="199">
        <v>30.0</v>
      </c>
      <c r="AF240" s="199">
        <v>0.0</v>
      </c>
      <c r="AG240" s="199">
        <v>408.0</v>
      </c>
      <c r="AH240" s="199">
        <v>570.0</v>
      </c>
      <c r="AI240" s="200" t="s">
        <v>655</v>
      </c>
      <c r="AJ240" s="200" t="s">
        <v>656</v>
      </c>
      <c r="AK240" s="200"/>
      <c r="AL240" s="204"/>
      <c r="AM240" s="204"/>
    </row>
    <row r="241">
      <c r="A241" s="199" t="s">
        <v>176</v>
      </c>
      <c r="B241" s="200" t="s">
        <v>800</v>
      </c>
      <c r="C241" s="199">
        <v>2.2361270267E10</v>
      </c>
      <c r="D241" s="201">
        <v>44915.0</v>
      </c>
      <c r="E241" s="202" t="s">
        <v>101</v>
      </c>
      <c r="F241" s="202" t="s">
        <v>101</v>
      </c>
      <c r="G241" s="203" t="s">
        <v>101</v>
      </c>
      <c r="H241" s="203" t="s">
        <v>101</v>
      </c>
      <c r="I241" s="37"/>
      <c r="J241" s="37"/>
      <c r="K241" s="37"/>
      <c r="L241" s="199">
        <v>152.0</v>
      </c>
      <c r="M241" s="199">
        <v>57.9</v>
      </c>
      <c r="N241" s="199"/>
      <c r="O241" s="199">
        <v>0.0</v>
      </c>
      <c r="P241" s="37"/>
      <c r="Q241" s="199">
        <v>0.0</v>
      </c>
      <c r="R241" s="199">
        <v>3.0</v>
      </c>
      <c r="S241" s="199">
        <v>0.0</v>
      </c>
      <c r="T241" s="199">
        <v>323.0</v>
      </c>
      <c r="U241" s="199">
        <v>145.0</v>
      </c>
      <c r="V241" s="199">
        <v>0.0</v>
      </c>
      <c r="W241" s="199">
        <v>0.0</v>
      </c>
      <c r="X241" s="199">
        <v>6.0</v>
      </c>
      <c r="Y241" s="199">
        <v>38.0</v>
      </c>
      <c r="Z241" s="199">
        <v>3.0</v>
      </c>
      <c r="AA241" s="199">
        <v>2.0</v>
      </c>
      <c r="AB241" s="199">
        <v>29.0</v>
      </c>
      <c r="AC241" s="199">
        <v>14.0</v>
      </c>
      <c r="AD241" s="199">
        <v>0.0</v>
      </c>
      <c r="AE241" s="199">
        <v>67.0</v>
      </c>
      <c r="AF241" s="199">
        <v>3.0</v>
      </c>
      <c r="AG241" s="199">
        <v>282.0</v>
      </c>
      <c r="AH241" s="199">
        <v>3.0</v>
      </c>
      <c r="AI241" s="200" t="s">
        <v>797</v>
      </c>
      <c r="AJ241" s="200" t="s">
        <v>798</v>
      </c>
      <c r="AK241" s="200"/>
      <c r="AL241" s="204"/>
      <c r="AM241" s="204"/>
    </row>
    <row r="242">
      <c r="A242" s="199" t="s">
        <v>176</v>
      </c>
      <c r="B242" s="200" t="s">
        <v>800</v>
      </c>
      <c r="C242" s="199">
        <v>2.3127705242E10</v>
      </c>
      <c r="D242" s="201">
        <v>45043.0</v>
      </c>
      <c r="E242" s="202" t="s">
        <v>101</v>
      </c>
      <c r="F242" s="202" t="s">
        <v>101</v>
      </c>
      <c r="G242" s="203" t="s">
        <v>101</v>
      </c>
      <c r="H242" s="203" t="s">
        <v>101</v>
      </c>
      <c r="I242" s="37"/>
      <c r="J242" s="37"/>
      <c r="K242" s="37"/>
      <c r="L242" s="199">
        <v>49.0</v>
      </c>
      <c r="M242" s="199">
        <v>56.0</v>
      </c>
      <c r="N242" s="199"/>
      <c r="O242" s="199">
        <v>0.0</v>
      </c>
      <c r="P242" s="37"/>
      <c r="Q242" s="199">
        <v>0.0</v>
      </c>
      <c r="R242" s="199">
        <v>0.0</v>
      </c>
      <c r="S242" s="199">
        <v>0.0</v>
      </c>
      <c r="T242" s="199">
        <v>109.0</v>
      </c>
      <c r="U242" s="199">
        <v>38.0</v>
      </c>
      <c r="V242" s="199">
        <v>0.0</v>
      </c>
      <c r="W242" s="199">
        <v>0.0</v>
      </c>
      <c r="X242" s="199">
        <v>0.0</v>
      </c>
      <c r="Y242" s="199">
        <v>12.0</v>
      </c>
      <c r="Z242" s="199">
        <v>7.0</v>
      </c>
      <c r="AA242" s="199">
        <v>6.0</v>
      </c>
      <c r="AB242" s="199">
        <v>36.0</v>
      </c>
      <c r="AC242" s="199">
        <v>15.0</v>
      </c>
      <c r="AD242" s="199">
        <v>0.0</v>
      </c>
      <c r="AE242" s="199">
        <v>30.0</v>
      </c>
      <c r="AF242" s="199">
        <v>0.0</v>
      </c>
      <c r="AG242" s="199">
        <v>182.0</v>
      </c>
      <c r="AH242" s="199">
        <v>0.0</v>
      </c>
      <c r="AI242" s="200" t="s">
        <v>787</v>
      </c>
      <c r="AJ242" s="200" t="s">
        <v>788</v>
      </c>
      <c r="AK242" s="200"/>
      <c r="AL242" s="204"/>
      <c r="AM242" s="204"/>
    </row>
    <row r="243">
      <c r="A243" s="199" t="s">
        <v>176</v>
      </c>
      <c r="B243" s="200" t="s">
        <v>800</v>
      </c>
      <c r="C243" s="199">
        <v>2.3234228241E10</v>
      </c>
      <c r="D243" s="201">
        <v>45154.0</v>
      </c>
      <c r="E243" s="202" t="s">
        <v>101</v>
      </c>
      <c r="F243" s="202" t="s">
        <v>101</v>
      </c>
      <c r="G243" s="203" t="s">
        <v>101</v>
      </c>
      <c r="H243" s="203" t="s">
        <v>101</v>
      </c>
      <c r="I243" s="37"/>
      <c r="J243" s="37"/>
      <c r="K243" s="37"/>
      <c r="L243" s="199">
        <v>272.0</v>
      </c>
      <c r="M243" s="199">
        <v>57.1</v>
      </c>
      <c r="N243" s="199"/>
      <c r="O243" s="199">
        <v>2.0</v>
      </c>
      <c r="P243" s="37"/>
      <c r="Q243" s="199">
        <v>0.0</v>
      </c>
      <c r="R243" s="199">
        <v>0.0</v>
      </c>
      <c r="S243" s="199">
        <v>0.0</v>
      </c>
      <c r="T243" s="199">
        <v>1575.0</v>
      </c>
      <c r="U243" s="199">
        <v>255.0</v>
      </c>
      <c r="V243" s="199">
        <v>0.0</v>
      </c>
      <c r="W243" s="199">
        <v>0.0</v>
      </c>
      <c r="X243" s="199">
        <v>42.0</v>
      </c>
      <c r="Y243" s="199">
        <v>143.0</v>
      </c>
      <c r="Z243" s="199">
        <v>1.0</v>
      </c>
      <c r="AA243" s="199">
        <v>0.0</v>
      </c>
      <c r="AB243" s="199">
        <v>22.0</v>
      </c>
      <c r="AC243" s="199">
        <v>35.0</v>
      </c>
      <c r="AD243" s="199">
        <v>0.0</v>
      </c>
      <c r="AE243" s="199">
        <v>54.0</v>
      </c>
      <c r="AF243" s="199">
        <v>0.0</v>
      </c>
      <c r="AG243" s="199">
        <v>103.0</v>
      </c>
      <c r="AH243" s="199">
        <v>0.0</v>
      </c>
      <c r="AI243" s="200" t="s">
        <v>797</v>
      </c>
      <c r="AJ243" s="200" t="s">
        <v>798</v>
      </c>
      <c r="AK243" s="200"/>
      <c r="AL243" s="204"/>
      <c r="AM243" s="204"/>
    </row>
    <row r="244">
      <c r="A244" s="199" t="s">
        <v>176</v>
      </c>
      <c r="B244" s="200" t="s">
        <v>800</v>
      </c>
      <c r="C244" s="199">
        <v>2.4288140249E10</v>
      </c>
      <c r="D244" s="201">
        <v>45567.0</v>
      </c>
      <c r="E244" s="202" t="s">
        <v>101</v>
      </c>
      <c r="F244" s="202" t="s">
        <v>101</v>
      </c>
      <c r="G244" s="203" t="s">
        <v>100</v>
      </c>
      <c r="H244" s="203" t="s">
        <v>101</v>
      </c>
      <c r="I244" s="37"/>
      <c r="J244" s="37"/>
      <c r="K244" s="37"/>
      <c r="L244" s="199">
        <v>7.0</v>
      </c>
      <c r="M244" s="199">
        <v>59.2</v>
      </c>
      <c r="N244" s="199"/>
      <c r="O244" s="199">
        <v>1.0</v>
      </c>
      <c r="P244" s="37"/>
      <c r="Q244" s="199">
        <v>0.0</v>
      </c>
      <c r="R244" s="199">
        <v>0.0</v>
      </c>
      <c r="S244" s="199">
        <v>0.0</v>
      </c>
      <c r="T244" s="199">
        <v>37.0</v>
      </c>
      <c r="U244" s="199">
        <v>20.0</v>
      </c>
      <c r="V244" s="199">
        <v>0.0</v>
      </c>
      <c r="W244" s="199">
        <v>0.0</v>
      </c>
      <c r="X244" s="199">
        <v>0.0</v>
      </c>
      <c r="Y244" s="199">
        <v>0.0</v>
      </c>
      <c r="Z244" s="199">
        <v>2.0</v>
      </c>
      <c r="AA244" s="199">
        <v>0.0</v>
      </c>
      <c r="AB244" s="199">
        <v>44.0</v>
      </c>
      <c r="AC244" s="199">
        <v>32.0</v>
      </c>
      <c r="AD244" s="199">
        <v>0.0</v>
      </c>
      <c r="AE244" s="199">
        <v>33.0</v>
      </c>
      <c r="AF244" s="199">
        <v>3.0</v>
      </c>
      <c r="AG244" s="199">
        <v>325.0</v>
      </c>
      <c r="AH244" s="199">
        <v>12.0</v>
      </c>
      <c r="AI244" s="200" t="s">
        <v>776</v>
      </c>
      <c r="AJ244" s="200" t="s">
        <v>786</v>
      </c>
      <c r="AK244" s="200"/>
      <c r="AL244" s="204"/>
      <c r="AM244" s="204"/>
    </row>
    <row r="245">
      <c r="A245" s="199" t="s">
        <v>176</v>
      </c>
      <c r="B245" s="200" t="s">
        <v>800</v>
      </c>
      <c r="C245" s="199">
        <v>2.6005501212E10</v>
      </c>
      <c r="D245" s="201">
        <v>46007.0</v>
      </c>
      <c r="E245" s="202" t="s">
        <v>101</v>
      </c>
      <c r="F245" s="202" t="s">
        <v>101</v>
      </c>
      <c r="G245" s="203" t="s">
        <v>101</v>
      </c>
      <c r="H245" s="203" t="s">
        <v>101</v>
      </c>
      <c r="I245" s="37"/>
      <c r="J245" s="37"/>
      <c r="K245" s="37"/>
      <c r="L245" s="199">
        <v>376.0</v>
      </c>
      <c r="M245" s="199">
        <v>55.3</v>
      </c>
      <c r="N245" s="199"/>
      <c r="O245" s="199">
        <v>5.0</v>
      </c>
      <c r="P245" s="37"/>
      <c r="Q245" s="199">
        <v>0.0</v>
      </c>
      <c r="R245" s="199">
        <v>9.0</v>
      </c>
      <c r="S245" s="199">
        <v>0.0</v>
      </c>
      <c r="T245" s="199">
        <v>3916.0</v>
      </c>
      <c r="U245" s="199">
        <v>268.0</v>
      </c>
      <c r="V245" s="199">
        <v>0.0</v>
      </c>
      <c r="W245" s="199">
        <v>33.0</v>
      </c>
      <c r="X245" s="199">
        <v>65.0</v>
      </c>
      <c r="Y245" s="199">
        <v>0.0</v>
      </c>
      <c r="Z245" s="199">
        <v>5.0</v>
      </c>
      <c r="AA245" s="199">
        <v>2.0</v>
      </c>
      <c r="AB245" s="199">
        <v>964.0</v>
      </c>
      <c r="AC245" s="199">
        <v>34.0</v>
      </c>
      <c r="AD245" s="199">
        <v>0.0</v>
      </c>
      <c r="AE245" s="199">
        <v>433.0</v>
      </c>
      <c r="AF245" s="199">
        <v>2.0</v>
      </c>
      <c r="AG245" s="199">
        <v>252.0</v>
      </c>
      <c r="AH245" s="199">
        <v>8.0</v>
      </c>
      <c r="AI245" s="200" t="s">
        <v>801</v>
      </c>
      <c r="AJ245" s="200" t="s">
        <v>802</v>
      </c>
      <c r="AK245" s="200"/>
      <c r="AL245" s="204"/>
      <c r="AM245" s="204"/>
    </row>
    <row r="246">
      <c r="A246" s="199" t="s">
        <v>178</v>
      </c>
      <c r="B246" s="200" t="s">
        <v>800</v>
      </c>
      <c r="C246" s="199">
        <v>2.2361270263E10</v>
      </c>
      <c r="D246" s="201">
        <v>44915.0</v>
      </c>
      <c r="E246" s="202" t="s">
        <v>101</v>
      </c>
      <c r="F246" s="202" t="s">
        <v>101</v>
      </c>
      <c r="G246" s="203" t="s">
        <v>101</v>
      </c>
      <c r="H246" s="203" t="s">
        <v>101</v>
      </c>
      <c r="I246" s="37"/>
      <c r="J246" s="37"/>
      <c r="K246" s="37"/>
      <c r="L246" s="199">
        <v>142.0</v>
      </c>
      <c r="M246" s="199">
        <v>57.3</v>
      </c>
      <c r="N246" s="199"/>
      <c r="O246" s="199">
        <v>1.0</v>
      </c>
      <c r="P246" s="37"/>
      <c r="Q246" s="199">
        <v>0.0</v>
      </c>
      <c r="R246" s="199">
        <v>5.0</v>
      </c>
      <c r="S246" s="199">
        <v>0.0</v>
      </c>
      <c r="T246" s="199">
        <v>72.0</v>
      </c>
      <c r="U246" s="199">
        <v>126.0</v>
      </c>
      <c r="V246" s="199">
        <v>0.0</v>
      </c>
      <c r="W246" s="199">
        <v>0.0</v>
      </c>
      <c r="X246" s="199">
        <v>2.0</v>
      </c>
      <c r="Y246" s="199">
        <v>0.0</v>
      </c>
      <c r="Z246" s="199">
        <v>4.0</v>
      </c>
      <c r="AA246" s="199">
        <v>2.0</v>
      </c>
      <c r="AB246" s="199">
        <v>22.0</v>
      </c>
      <c r="AC246" s="199">
        <v>13.0</v>
      </c>
      <c r="AD246" s="199">
        <v>0.0</v>
      </c>
      <c r="AE246" s="199">
        <v>102.0</v>
      </c>
      <c r="AF246" s="199">
        <v>5.0</v>
      </c>
      <c r="AG246" s="199">
        <v>246.0</v>
      </c>
      <c r="AH246" s="199">
        <v>3.0</v>
      </c>
      <c r="AI246" s="200" t="s">
        <v>797</v>
      </c>
      <c r="AJ246" s="200" t="s">
        <v>803</v>
      </c>
      <c r="AK246" s="200"/>
      <c r="AL246" s="204"/>
      <c r="AM246" s="204"/>
    </row>
    <row r="247">
      <c r="A247" s="199" t="s">
        <v>178</v>
      </c>
      <c r="B247" s="200" t="s">
        <v>800</v>
      </c>
      <c r="C247" s="199">
        <v>2.3127705249E10</v>
      </c>
      <c r="D247" s="201">
        <v>45043.0</v>
      </c>
      <c r="E247" s="202" t="s">
        <v>101</v>
      </c>
      <c r="F247" s="202" t="s">
        <v>101</v>
      </c>
      <c r="G247" s="203" t="s">
        <v>101</v>
      </c>
      <c r="H247" s="203" t="s">
        <v>101</v>
      </c>
      <c r="I247" s="37"/>
      <c r="J247" s="37"/>
      <c r="K247" s="37"/>
      <c r="L247" s="199">
        <v>42.0</v>
      </c>
      <c r="M247" s="199">
        <v>55.3</v>
      </c>
      <c r="N247" s="199"/>
      <c r="O247" s="199">
        <v>0.0</v>
      </c>
      <c r="P247" s="37"/>
      <c r="Q247" s="199">
        <v>0.0</v>
      </c>
      <c r="R247" s="199">
        <v>17.0</v>
      </c>
      <c r="S247" s="199">
        <v>0.0</v>
      </c>
      <c r="T247" s="199">
        <v>25.0</v>
      </c>
      <c r="U247" s="199">
        <v>80.0</v>
      </c>
      <c r="V247" s="199">
        <v>0.0</v>
      </c>
      <c r="W247" s="199">
        <v>0.0</v>
      </c>
      <c r="X247" s="199">
        <v>73.0</v>
      </c>
      <c r="Y247" s="199">
        <v>0.0</v>
      </c>
      <c r="Z247" s="199">
        <v>10.0</v>
      </c>
      <c r="AA247" s="199">
        <v>15.0</v>
      </c>
      <c r="AB247" s="199">
        <v>75.0</v>
      </c>
      <c r="AC247" s="199">
        <v>25.0</v>
      </c>
      <c r="AD247" s="199">
        <v>0.0</v>
      </c>
      <c r="AE247" s="199">
        <v>234.0</v>
      </c>
      <c r="AF247" s="199">
        <v>13.0</v>
      </c>
      <c r="AG247" s="199">
        <v>292.0</v>
      </c>
      <c r="AH247" s="199">
        <v>10.0</v>
      </c>
      <c r="AI247" s="200" t="s">
        <v>804</v>
      </c>
      <c r="AJ247" s="200" t="s">
        <v>805</v>
      </c>
      <c r="AK247" s="200"/>
      <c r="AL247" s="204"/>
      <c r="AM247" s="204"/>
    </row>
    <row r="248">
      <c r="A248" s="199" t="s">
        <v>178</v>
      </c>
      <c r="B248" s="200" t="s">
        <v>800</v>
      </c>
      <c r="C248" s="199">
        <v>2.3234228243E10</v>
      </c>
      <c r="D248" s="201">
        <v>45154.0</v>
      </c>
      <c r="E248" s="202" t="s">
        <v>101</v>
      </c>
      <c r="F248" s="202" t="s">
        <v>101</v>
      </c>
      <c r="G248" s="203" t="s">
        <v>101</v>
      </c>
      <c r="H248" s="203" t="s">
        <v>100</v>
      </c>
      <c r="I248" s="37"/>
      <c r="J248" s="37"/>
      <c r="K248" s="37"/>
      <c r="L248" s="199">
        <v>45.0</v>
      </c>
      <c r="M248" s="199">
        <v>49.3</v>
      </c>
      <c r="N248" s="199"/>
      <c r="O248" s="199">
        <v>0.0</v>
      </c>
      <c r="P248" s="37"/>
      <c r="Q248" s="199">
        <v>0.0</v>
      </c>
      <c r="R248" s="199">
        <v>4.0</v>
      </c>
      <c r="S248" s="199">
        <v>0.0</v>
      </c>
      <c r="T248" s="199">
        <v>118.0</v>
      </c>
      <c r="U248" s="199">
        <v>60.0</v>
      </c>
      <c r="V248" s="199">
        <v>0.0</v>
      </c>
      <c r="W248" s="199">
        <v>0.0</v>
      </c>
      <c r="X248" s="199">
        <v>10.0</v>
      </c>
      <c r="Y248" s="199">
        <v>4.0</v>
      </c>
      <c r="Z248" s="199">
        <v>12.0</v>
      </c>
      <c r="AA248" s="199">
        <v>3.0</v>
      </c>
      <c r="AB248" s="199">
        <v>32.0</v>
      </c>
      <c r="AC248" s="199">
        <v>16.0</v>
      </c>
      <c r="AD248" s="199">
        <v>0.0</v>
      </c>
      <c r="AE248" s="199">
        <v>108.0</v>
      </c>
      <c r="AF248" s="199">
        <v>2.0</v>
      </c>
      <c r="AG248" s="199">
        <v>212.0</v>
      </c>
      <c r="AH248" s="199">
        <v>15.0</v>
      </c>
      <c r="AI248" s="200" t="s">
        <v>787</v>
      </c>
      <c r="AJ248" s="200" t="s">
        <v>788</v>
      </c>
      <c r="AK248" s="200"/>
      <c r="AL248" s="204"/>
      <c r="AM248" s="204"/>
    </row>
    <row r="249">
      <c r="A249" s="199" t="s">
        <v>178</v>
      </c>
      <c r="B249" s="200" t="s">
        <v>800</v>
      </c>
      <c r="C249" s="199">
        <v>2.4288140248E10</v>
      </c>
      <c r="D249" s="201">
        <v>45567.0</v>
      </c>
      <c r="E249" s="202" t="s">
        <v>101</v>
      </c>
      <c r="F249" s="202" t="s">
        <v>102</v>
      </c>
      <c r="G249" s="203" t="s">
        <v>100</v>
      </c>
      <c r="H249" s="203" t="s">
        <v>101</v>
      </c>
      <c r="I249" s="37"/>
      <c r="J249" s="37"/>
      <c r="K249" s="37"/>
      <c r="L249" s="199">
        <v>9.0</v>
      </c>
      <c r="M249" s="199">
        <v>59.5</v>
      </c>
      <c r="N249" s="199"/>
      <c r="O249" s="199">
        <v>1.0</v>
      </c>
      <c r="P249" s="37"/>
      <c r="Q249" s="199">
        <v>0.0</v>
      </c>
      <c r="R249" s="199">
        <v>0.0</v>
      </c>
      <c r="S249" s="199">
        <v>0.0</v>
      </c>
      <c r="T249" s="199">
        <v>32.0</v>
      </c>
      <c r="U249" s="199">
        <v>15.0</v>
      </c>
      <c r="V249" s="199">
        <v>0.0</v>
      </c>
      <c r="W249" s="199">
        <v>0.0</v>
      </c>
      <c r="X249" s="199">
        <v>0.0</v>
      </c>
      <c r="Y249" s="199">
        <v>7.0</v>
      </c>
      <c r="Z249" s="199">
        <v>2.0</v>
      </c>
      <c r="AA249" s="199">
        <v>0.0</v>
      </c>
      <c r="AB249" s="199">
        <v>39.0</v>
      </c>
      <c r="AC249" s="199">
        <v>3.0</v>
      </c>
      <c r="AD249" s="199">
        <v>0.0</v>
      </c>
      <c r="AE249" s="199">
        <v>25.0</v>
      </c>
      <c r="AF249" s="199">
        <v>0.0</v>
      </c>
      <c r="AG249" s="199">
        <v>233.0</v>
      </c>
      <c r="AH249" s="199">
        <v>9.0</v>
      </c>
      <c r="AI249" s="200" t="s">
        <v>776</v>
      </c>
      <c r="AJ249" s="200" t="s">
        <v>786</v>
      </c>
      <c r="AK249" s="200"/>
      <c r="AL249" s="204"/>
      <c r="AM249" s="204"/>
    </row>
    <row r="250">
      <c r="A250" s="199" t="s">
        <v>178</v>
      </c>
      <c r="B250" s="200" t="s">
        <v>800</v>
      </c>
      <c r="C250" s="199">
        <v>2.6005501224E10</v>
      </c>
      <c r="D250" s="201">
        <v>46018.0</v>
      </c>
      <c r="E250" s="202" t="s">
        <v>101</v>
      </c>
      <c r="F250" s="202" t="s">
        <v>102</v>
      </c>
      <c r="G250" s="203" t="s">
        <v>101</v>
      </c>
      <c r="H250" s="203" t="s">
        <v>100</v>
      </c>
      <c r="I250" s="37"/>
      <c r="J250" s="37"/>
      <c r="K250" s="37"/>
      <c r="L250" s="199">
        <v>73.0</v>
      </c>
      <c r="M250" s="199">
        <v>48.5</v>
      </c>
      <c r="N250" s="199"/>
      <c r="O250" s="199">
        <v>8.0</v>
      </c>
      <c r="P250" s="37"/>
      <c r="Q250" s="199">
        <v>0.0</v>
      </c>
      <c r="R250" s="199">
        <v>0.0</v>
      </c>
      <c r="S250" s="199">
        <v>0.0</v>
      </c>
      <c r="T250" s="199">
        <v>116.0</v>
      </c>
      <c r="U250" s="199">
        <v>82.0</v>
      </c>
      <c r="V250" s="199">
        <v>0.0</v>
      </c>
      <c r="W250" s="199">
        <v>0.0</v>
      </c>
      <c r="X250" s="199">
        <v>2.0</v>
      </c>
      <c r="Y250" s="199">
        <v>7.0</v>
      </c>
      <c r="Z250" s="199">
        <v>0.0</v>
      </c>
      <c r="AA250" s="199">
        <v>0.0</v>
      </c>
      <c r="AB250" s="199">
        <v>0.0</v>
      </c>
      <c r="AC250" s="199">
        <v>25.0</v>
      </c>
      <c r="AD250" s="199">
        <v>0.0</v>
      </c>
      <c r="AE250" s="199">
        <v>66.0</v>
      </c>
      <c r="AF250" s="199">
        <v>5.0</v>
      </c>
      <c r="AG250" s="199">
        <v>409.0</v>
      </c>
      <c r="AH250" s="199">
        <v>0.0</v>
      </c>
      <c r="AI250" s="200" t="s">
        <v>787</v>
      </c>
      <c r="AJ250" s="200" t="s">
        <v>806</v>
      </c>
      <c r="AK250" s="200"/>
      <c r="AL250" s="204"/>
      <c r="AM250" s="204"/>
    </row>
    <row r="251">
      <c r="A251" s="199" t="s">
        <v>179</v>
      </c>
      <c r="B251" s="200" t="s">
        <v>800</v>
      </c>
      <c r="C251" s="199">
        <v>2.2361270257E10</v>
      </c>
      <c r="D251" s="201">
        <v>44915.0</v>
      </c>
      <c r="E251" s="202" t="s">
        <v>101</v>
      </c>
      <c r="F251" s="202" t="s">
        <v>102</v>
      </c>
      <c r="G251" s="203" t="s">
        <v>100</v>
      </c>
      <c r="H251" s="203" t="s">
        <v>101</v>
      </c>
      <c r="I251" s="37"/>
      <c r="J251" s="37"/>
      <c r="K251" s="37"/>
      <c r="L251" s="199">
        <v>42.0</v>
      </c>
      <c r="M251" s="199">
        <v>55.7</v>
      </c>
      <c r="N251" s="199"/>
      <c r="O251" s="199">
        <v>0.0</v>
      </c>
      <c r="P251" s="37"/>
      <c r="Q251" s="199">
        <v>0.0</v>
      </c>
      <c r="R251" s="199">
        <v>1.0</v>
      </c>
      <c r="S251" s="199">
        <v>0.0</v>
      </c>
      <c r="T251" s="199">
        <v>22.0</v>
      </c>
      <c r="U251" s="199">
        <v>24.0</v>
      </c>
      <c r="V251" s="199">
        <v>0.0</v>
      </c>
      <c r="W251" s="199">
        <v>0.0</v>
      </c>
      <c r="X251" s="199">
        <v>0.0</v>
      </c>
      <c r="Y251" s="199">
        <v>0.0</v>
      </c>
      <c r="Z251" s="199">
        <v>2.0</v>
      </c>
      <c r="AA251" s="199">
        <v>3.0</v>
      </c>
      <c r="AB251" s="199">
        <v>6.0</v>
      </c>
      <c r="AC251" s="199">
        <v>12.0</v>
      </c>
      <c r="AD251" s="199">
        <v>0.0</v>
      </c>
      <c r="AE251" s="199">
        <v>16.0</v>
      </c>
      <c r="AF251" s="199">
        <v>0.0</v>
      </c>
      <c r="AG251" s="199">
        <v>357.0</v>
      </c>
      <c r="AH251" s="199">
        <v>2.0</v>
      </c>
      <c r="AI251" s="200" t="s">
        <v>776</v>
      </c>
      <c r="AJ251" s="200" t="s">
        <v>777</v>
      </c>
      <c r="AK251" s="200"/>
      <c r="AL251" s="204"/>
      <c r="AM251" s="204"/>
    </row>
    <row r="252">
      <c r="A252" s="199" t="s">
        <v>179</v>
      </c>
      <c r="B252" s="200" t="s">
        <v>800</v>
      </c>
      <c r="C252" s="199">
        <v>2.3127705247E10</v>
      </c>
      <c r="D252" s="201">
        <v>45043.0</v>
      </c>
      <c r="E252" s="202" t="s">
        <v>101</v>
      </c>
      <c r="F252" s="202" t="s">
        <v>101</v>
      </c>
      <c r="G252" s="203" t="s">
        <v>100</v>
      </c>
      <c r="H252" s="203" t="s">
        <v>101</v>
      </c>
      <c r="I252" s="37"/>
      <c r="J252" s="37"/>
      <c r="K252" s="37"/>
      <c r="L252" s="199">
        <v>17.0</v>
      </c>
      <c r="M252" s="199">
        <v>60.2</v>
      </c>
      <c r="N252" s="199"/>
      <c r="O252" s="199">
        <v>0.0</v>
      </c>
      <c r="P252" s="37"/>
      <c r="Q252" s="199">
        <v>0.0</v>
      </c>
      <c r="R252" s="199">
        <v>0.0</v>
      </c>
      <c r="S252" s="199">
        <v>0.0</v>
      </c>
      <c r="T252" s="199">
        <v>26.0</v>
      </c>
      <c r="U252" s="199">
        <v>15.0</v>
      </c>
      <c r="V252" s="199">
        <v>0.0</v>
      </c>
      <c r="W252" s="199">
        <v>0.0</v>
      </c>
      <c r="X252" s="199">
        <v>0.0</v>
      </c>
      <c r="Y252" s="199">
        <v>0.0</v>
      </c>
      <c r="Z252" s="199">
        <v>8.0</v>
      </c>
      <c r="AA252" s="199">
        <v>6.0</v>
      </c>
      <c r="AB252" s="199">
        <v>22.0</v>
      </c>
      <c r="AC252" s="199">
        <v>18.0</v>
      </c>
      <c r="AD252" s="199">
        <v>0.0</v>
      </c>
      <c r="AE252" s="199">
        <v>16.0</v>
      </c>
      <c r="AF252" s="199">
        <v>0.0</v>
      </c>
      <c r="AG252" s="199">
        <v>195.0</v>
      </c>
      <c r="AH252" s="199">
        <v>5.0</v>
      </c>
      <c r="AI252" s="200" t="s">
        <v>776</v>
      </c>
      <c r="AJ252" s="200" t="s">
        <v>777</v>
      </c>
      <c r="AK252" s="200"/>
      <c r="AL252" s="204"/>
      <c r="AM252" s="204"/>
    </row>
    <row r="253">
      <c r="A253" s="199" t="s">
        <v>179</v>
      </c>
      <c r="B253" s="200" t="s">
        <v>800</v>
      </c>
      <c r="C253" s="199">
        <v>2.3235238219E10</v>
      </c>
      <c r="D253" s="201">
        <v>45154.0</v>
      </c>
      <c r="E253" s="202" t="s">
        <v>101</v>
      </c>
      <c r="F253" s="202" t="s">
        <v>102</v>
      </c>
      <c r="G253" s="203" t="s">
        <v>100</v>
      </c>
      <c r="H253" s="203" t="s">
        <v>101</v>
      </c>
      <c r="I253" s="37"/>
      <c r="J253" s="37"/>
      <c r="K253" s="37"/>
      <c r="L253" s="199">
        <v>6.0</v>
      </c>
      <c r="M253" s="199">
        <v>56.7</v>
      </c>
      <c r="N253" s="199"/>
      <c r="O253" s="199">
        <v>0.0</v>
      </c>
      <c r="P253" s="37"/>
      <c r="Q253" s="199">
        <v>0.0</v>
      </c>
      <c r="R253" s="199">
        <v>3.0</v>
      </c>
      <c r="S253" s="199">
        <v>1.0</v>
      </c>
      <c r="T253" s="199">
        <v>36.0</v>
      </c>
      <c r="U253" s="199">
        <v>30.0</v>
      </c>
      <c r="V253" s="199">
        <v>1.0</v>
      </c>
      <c r="W253" s="199">
        <v>0.0</v>
      </c>
      <c r="X253" s="199">
        <v>4.0</v>
      </c>
      <c r="Y253" s="199">
        <v>0.0</v>
      </c>
      <c r="Z253" s="199">
        <v>0.0</v>
      </c>
      <c r="AA253" s="199">
        <v>2.0</v>
      </c>
      <c r="AB253" s="199">
        <v>20.0</v>
      </c>
      <c r="AC253" s="199">
        <v>33.0</v>
      </c>
      <c r="AD253" s="199">
        <v>0.0</v>
      </c>
      <c r="AE253" s="199">
        <v>21.0</v>
      </c>
      <c r="AF253" s="199">
        <v>0.0</v>
      </c>
      <c r="AG253" s="199">
        <v>205.0</v>
      </c>
      <c r="AH253" s="199">
        <v>4.0</v>
      </c>
      <c r="AI253" s="200" t="s">
        <v>776</v>
      </c>
      <c r="AJ253" s="200" t="s">
        <v>777</v>
      </c>
      <c r="AK253" s="200"/>
      <c r="AL253" s="204"/>
      <c r="AM253" s="204"/>
    </row>
    <row r="254">
      <c r="A254" s="199" t="s">
        <v>179</v>
      </c>
      <c r="B254" s="200" t="s">
        <v>800</v>
      </c>
      <c r="C254" s="199">
        <v>2.4287130255E10</v>
      </c>
      <c r="D254" s="201">
        <v>45567.0</v>
      </c>
      <c r="E254" s="202" t="s">
        <v>101</v>
      </c>
      <c r="F254" s="202" t="s">
        <v>102</v>
      </c>
      <c r="G254" s="203" t="s">
        <v>101</v>
      </c>
      <c r="H254" s="203" t="s">
        <v>102</v>
      </c>
      <c r="I254" s="37"/>
      <c r="J254" s="37"/>
      <c r="K254" s="37"/>
      <c r="L254" s="199">
        <v>50.0</v>
      </c>
      <c r="M254" s="199">
        <v>50.2</v>
      </c>
      <c r="N254" s="199"/>
      <c r="O254" s="199">
        <v>4.0</v>
      </c>
      <c r="P254" s="37"/>
      <c r="Q254" s="199">
        <v>0.0</v>
      </c>
      <c r="R254" s="199">
        <v>0.0</v>
      </c>
      <c r="S254" s="199">
        <v>1.0</v>
      </c>
      <c r="T254" s="199">
        <v>142.0</v>
      </c>
      <c r="U254" s="199">
        <v>42.0</v>
      </c>
      <c r="V254" s="199">
        <v>0.0</v>
      </c>
      <c r="W254" s="199">
        <v>0.0</v>
      </c>
      <c r="X254" s="199">
        <v>0.0</v>
      </c>
      <c r="Y254" s="199">
        <v>0.0</v>
      </c>
      <c r="Z254" s="199">
        <v>2.0</v>
      </c>
      <c r="AA254" s="199">
        <v>0.0</v>
      </c>
      <c r="AB254" s="199">
        <v>10.0</v>
      </c>
      <c r="AC254" s="199">
        <v>12.0</v>
      </c>
      <c r="AD254" s="199">
        <v>0.0</v>
      </c>
      <c r="AE254" s="199">
        <v>30.0</v>
      </c>
      <c r="AF254" s="199">
        <v>3.0</v>
      </c>
      <c r="AG254" s="199">
        <v>261.0</v>
      </c>
      <c r="AH254" s="199">
        <v>7.0</v>
      </c>
      <c r="AI254" s="200" t="s">
        <v>787</v>
      </c>
      <c r="AJ254" s="200" t="s">
        <v>795</v>
      </c>
      <c r="AK254" s="200"/>
      <c r="AL254" s="204"/>
      <c r="AM254" s="204"/>
    </row>
    <row r="255">
      <c r="A255" s="199" t="s">
        <v>179</v>
      </c>
      <c r="B255" s="200" t="s">
        <v>800</v>
      </c>
      <c r="C255" s="199">
        <v>2.6005501221E10</v>
      </c>
      <c r="D255" s="201">
        <v>46007.0</v>
      </c>
      <c r="E255" s="202" t="s">
        <v>101</v>
      </c>
      <c r="F255" s="202" t="s">
        <v>101</v>
      </c>
      <c r="G255" s="203" t="s">
        <v>101</v>
      </c>
      <c r="H255" s="203" t="s">
        <v>100</v>
      </c>
      <c r="I255" s="37"/>
      <c r="J255" s="37"/>
      <c r="K255" s="37"/>
      <c r="L255" s="199">
        <v>103.0</v>
      </c>
      <c r="M255" s="199">
        <v>45.3</v>
      </c>
      <c r="N255" s="199"/>
      <c r="O255" s="199">
        <v>10.0</v>
      </c>
      <c r="P255" s="37"/>
      <c r="Q255" s="199">
        <v>0.0</v>
      </c>
      <c r="R255" s="199">
        <v>0.0</v>
      </c>
      <c r="S255" s="199">
        <v>0.0</v>
      </c>
      <c r="T255" s="199">
        <v>161.0</v>
      </c>
      <c r="U255" s="199">
        <v>99.0</v>
      </c>
      <c r="V255" s="199">
        <v>0.0</v>
      </c>
      <c r="W255" s="199">
        <v>0.0</v>
      </c>
      <c r="X255" s="199">
        <v>4.0</v>
      </c>
      <c r="Y255" s="199">
        <v>0.0</v>
      </c>
      <c r="Z255" s="199">
        <v>2.0</v>
      </c>
      <c r="AA255" s="199">
        <v>29.0</v>
      </c>
      <c r="AB255" s="199">
        <v>44.0</v>
      </c>
      <c r="AC255" s="199">
        <v>67.0</v>
      </c>
      <c r="AD255" s="199">
        <v>0.0</v>
      </c>
      <c r="AE255" s="199">
        <v>98.0</v>
      </c>
      <c r="AF255" s="199">
        <v>12.0</v>
      </c>
      <c r="AG255" s="199">
        <v>434.0</v>
      </c>
      <c r="AH255" s="199">
        <v>21.0</v>
      </c>
      <c r="AI255" s="200" t="s">
        <v>797</v>
      </c>
      <c r="AJ255" s="200" t="s">
        <v>807</v>
      </c>
      <c r="AK255" s="200"/>
      <c r="AL255" s="204"/>
      <c r="AM255" s="204"/>
    </row>
    <row r="256">
      <c r="A256" s="199" t="s">
        <v>180</v>
      </c>
      <c r="B256" s="200" t="s">
        <v>800</v>
      </c>
      <c r="C256" s="199">
        <v>2.2361270256E10</v>
      </c>
      <c r="D256" s="201">
        <v>44915.0</v>
      </c>
      <c r="E256" s="202" t="s">
        <v>101</v>
      </c>
      <c r="F256" s="202" t="s">
        <v>101</v>
      </c>
      <c r="G256" s="203" t="s">
        <v>101</v>
      </c>
      <c r="H256" s="203" t="s">
        <v>101</v>
      </c>
      <c r="I256" s="37"/>
      <c r="J256" s="37"/>
      <c r="K256" s="37"/>
      <c r="L256" s="199">
        <v>35.0</v>
      </c>
      <c r="M256" s="199">
        <v>58.6</v>
      </c>
      <c r="N256" s="199"/>
      <c r="O256" s="199">
        <v>0.0</v>
      </c>
      <c r="P256" s="37"/>
      <c r="Q256" s="199">
        <v>0.0</v>
      </c>
      <c r="R256" s="199">
        <v>1.0</v>
      </c>
      <c r="S256" s="199">
        <v>0.0</v>
      </c>
      <c r="T256" s="199">
        <v>55.0</v>
      </c>
      <c r="U256" s="199">
        <v>32.0</v>
      </c>
      <c r="V256" s="199">
        <v>0.0</v>
      </c>
      <c r="W256" s="199">
        <v>0.0</v>
      </c>
      <c r="X256" s="199">
        <v>0.0</v>
      </c>
      <c r="Y256" s="199">
        <v>0.0</v>
      </c>
      <c r="Z256" s="199">
        <v>2.0</v>
      </c>
      <c r="AA256" s="199">
        <v>10.0</v>
      </c>
      <c r="AB256" s="199">
        <v>23.0</v>
      </c>
      <c r="AC256" s="199">
        <v>16.0</v>
      </c>
      <c r="AD256" s="199">
        <v>0.0</v>
      </c>
      <c r="AE256" s="199">
        <v>5.0</v>
      </c>
      <c r="AF256" s="199">
        <v>0.0</v>
      </c>
      <c r="AG256" s="199">
        <v>390.0</v>
      </c>
      <c r="AH256" s="199">
        <v>0.0</v>
      </c>
      <c r="AI256" s="200" t="s">
        <v>787</v>
      </c>
      <c r="AJ256" s="200" t="s">
        <v>791</v>
      </c>
      <c r="AK256" s="200"/>
      <c r="AL256" s="204"/>
      <c r="AM256" s="204"/>
    </row>
    <row r="257">
      <c r="A257" s="199" t="s">
        <v>180</v>
      </c>
      <c r="B257" s="200" t="s">
        <v>800</v>
      </c>
      <c r="C257" s="199">
        <v>2.3127705255E10</v>
      </c>
      <c r="D257" s="201">
        <v>45043.0</v>
      </c>
      <c r="E257" s="202" t="s">
        <v>101</v>
      </c>
      <c r="F257" s="202" t="s">
        <v>101</v>
      </c>
      <c r="G257" s="203" t="s">
        <v>101</v>
      </c>
      <c r="H257" s="203" t="s">
        <v>101</v>
      </c>
      <c r="I257" s="37"/>
      <c r="J257" s="37"/>
      <c r="K257" s="37"/>
      <c r="L257" s="199">
        <v>32.0</v>
      </c>
      <c r="M257" s="199">
        <v>54.0</v>
      </c>
      <c r="N257" s="199"/>
      <c r="O257" s="199">
        <v>0.0</v>
      </c>
      <c r="P257" s="199">
        <v>0.1</v>
      </c>
      <c r="Q257" s="199">
        <v>0.0</v>
      </c>
      <c r="R257" s="199">
        <v>4.0</v>
      </c>
      <c r="S257" s="199">
        <v>1.0</v>
      </c>
      <c r="T257" s="199">
        <v>57.0</v>
      </c>
      <c r="U257" s="199">
        <v>23.0</v>
      </c>
      <c r="V257" s="199">
        <v>1.0</v>
      </c>
      <c r="W257" s="199">
        <v>0.0</v>
      </c>
      <c r="X257" s="199">
        <v>2.0</v>
      </c>
      <c r="Y257" s="199">
        <v>4.0</v>
      </c>
      <c r="Z257" s="199">
        <v>17.0</v>
      </c>
      <c r="AA257" s="199">
        <v>10.0</v>
      </c>
      <c r="AB257" s="199">
        <v>31.0</v>
      </c>
      <c r="AC257" s="199">
        <v>46.0</v>
      </c>
      <c r="AD257" s="199">
        <v>0.0</v>
      </c>
      <c r="AE257" s="199">
        <v>7.0</v>
      </c>
      <c r="AF257" s="199">
        <v>2.0</v>
      </c>
      <c r="AG257" s="199">
        <v>189.0</v>
      </c>
      <c r="AH257" s="199">
        <v>1.0</v>
      </c>
      <c r="AI257" s="200" t="s">
        <v>787</v>
      </c>
      <c r="AJ257" s="200" t="s">
        <v>805</v>
      </c>
      <c r="AK257" s="200"/>
      <c r="AL257" s="204"/>
      <c r="AM257" s="204"/>
    </row>
    <row r="258">
      <c r="A258" s="199" t="s">
        <v>180</v>
      </c>
      <c r="B258" s="200" t="s">
        <v>800</v>
      </c>
      <c r="C258" s="199">
        <v>2.323422824E10</v>
      </c>
      <c r="D258" s="201">
        <v>45154.0</v>
      </c>
      <c r="E258" s="202" t="s">
        <v>101</v>
      </c>
      <c r="F258" s="202" t="s">
        <v>101</v>
      </c>
      <c r="G258" s="203" t="s">
        <v>101</v>
      </c>
      <c r="H258" s="203" t="s">
        <v>101</v>
      </c>
      <c r="I258" s="37"/>
      <c r="J258" s="37"/>
      <c r="K258" s="37"/>
      <c r="L258" s="199">
        <v>19.0</v>
      </c>
      <c r="M258" s="199">
        <v>60.7</v>
      </c>
      <c r="N258" s="199"/>
      <c r="O258" s="199">
        <v>1.0</v>
      </c>
      <c r="P258" s="37"/>
      <c r="Q258" s="199">
        <v>0.0</v>
      </c>
      <c r="R258" s="199">
        <v>0.0</v>
      </c>
      <c r="S258" s="199">
        <v>0.0</v>
      </c>
      <c r="T258" s="199">
        <v>104.0</v>
      </c>
      <c r="U258" s="199">
        <v>48.0</v>
      </c>
      <c r="V258" s="199">
        <v>0.0</v>
      </c>
      <c r="W258" s="199">
        <v>0.0</v>
      </c>
      <c r="X258" s="199">
        <v>0.0</v>
      </c>
      <c r="Y258" s="199">
        <v>5.0</v>
      </c>
      <c r="Z258" s="199">
        <v>2.0</v>
      </c>
      <c r="AA258" s="199">
        <v>0.0</v>
      </c>
      <c r="AB258" s="199">
        <v>24.0</v>
      </c>
      <c r="AC258" s="199">
        <v>40.0</v>
      </c>
      <c r="AD258" s="199">
        <v>0.0</v>
      </c>
      <c r="AE258" s="199">
        <v>2.0</v>
      </c>
      <c r="AF258" s="199">
        <v>0.0</v>
      </c>
      <c r="AG258" s="199">
        <v>193.0</v>
      </c>
      <c r="AH258" s="199">
        <v>0.0</v>
      </c>
      <c r="AI258" s="200" t="s">
        <v>787</v>
      </c>
      <c r="AJ258" s="200" t="s">
        <v>795</v>
      </c>
      <c r="AK258" s="200"/>
      <c r="AL258" s="204"/>
      <c r="AM258" s="204"/>
    </row>
    <row r="259">
      <c r="A259" s="199" t="s">
        <v>180</v>
      </c>
      <c r="B259" s="200" t="s">
        <v>800</v>
      </c>
      <c r="C259" s="199">
        <v>2.4288140256E10</v>
      </c>
      <c r="D259" s="201">
        <v>45567.0</v>
      </c>
      <c r="E259" s="202" t="s">
        <v>101</v>
      </c>
      <c r="F259" s="202" t="s">
        <v>102</v>
      </c>
      <c r="G259" s="203" t="s">
        <v>101</v>
      </c>
      <c r="H259" s="203" t="s">
        <v>101</v>
      </c>
      <c r="I259" s="37"/>
      <c r="J259" s="37"/>
      <c r="K259" s="37"/>
      <c r="L259" s="199">
        <v>51.0</v>
      </c>
      <c r="M259" s="199">
        <v>58.9</v>
      </c>
      <c r="N259" s="199"/>
      <c r="O259" s="199">
        <v>1.0</v>
      </c>
      <c r="P259" s="37"/>
      <c r="Q259" s="199">
        <v>0.0</v>
      </c>
      <c r="R259" s="199">
        <v>0.0</v>
      </c>
      <c r="S259" s="199">
        <v>0.0</v>
      </c>
      <c r="T259" s="199">
        <v>26.0</v>
      </c>
      <c r="U259" s="199">
        <v>59.0</v>
      </c>
      <c r="V259" s="199">
        <v>2.0</v>
      </c>
      <c r="W259" s="199">
        <v>0.0</v>
      </c>
      <c r="X259" s="199">
        <v>0.0</v>
      </c>
      <c r="Y259" s="199">
        <v>0.0</v>
      </c>
      <c r="Z259" s="199">
        <v>2.0</v>
      </c>
      <c r="AA259" s="199">
        <v>0.0</v>
      </c>
      <c r="AB259" s="199">
        <v>6.0</v>
      </c>
      <c r="AC259" s="199">
        <v>17.0</v>
      </c>
      <c r="AD259" s="199">
        <v>0.0</v>
      </c>
      <c r="AE259" s="199">
        <v>38.0</v>
      </c>
      <c r="AF259" s="199">
        <v>3.0</v>
      </c>
      <c r="AG259" s="199">
        <v>231.0</v>
      </c>
      <c r="AH259" s="199">
        <v>22.0</v>
      </c>
      <c r="AI259" s="200" t="s">
        <v>787</v>
      </c>
      <c r="AJ259" s="200" t="s">
        <v>791</v>
      </c>
      <c r="AK259" s="200"/>
      <c r="AL259" s="204"/>
      <c r="AM259" s="204"/>
    </row>
    <row r="260">
      <c r="A260" s="199" t="s">
        <v>180</v>
      </c>
      <c r="B260" s="200" t="s">
        <v>800</v>
      </c>
      <c r="C260" s="199">
        <v>2.6005501222E10</v>
      </c>
      <c r="D260" s="201">
        <v>46007.0</v>
      </c>
      <c r="E260" s="202" t="s">
        <v>101</v>
      </c>
      <c r="F260" s="202" t="s">
        <v>102</v>
      </c>
      <c r="G260" s="203" t="s">
        <v>101</v>
      </c>
      <c r="H260" s="203" t="s">
        <v>101</v>
      </c>
      <c r="I260" s="37"/>
      <c r="J260" s="37"/>
      <c r="K260" s="37"/>
      <c r="L260" s="199">
        <v>60.0</v>
      </c>
      <c r="M260" s="199">
        <v>56.5</v>
      </c>
      <c r="N260" s="199"/>
      <c r="O260" s="199">
        <v>9.0</v>
      </c>
      <c r="P260" s="37"/>
      <c r="Q260" s="199">
        <v>0.0</v>
      </c>
      <c r="R260" s="199">
        <v>0.0</v>
      </c>
      <c r="S260" s="199">
        <v>1.0</v>
      </c>
      <c r="T260" s="199">
        <v>346.0</v>
      </c>
      <c r="U260" s="199">
        <v>24.0</v>
      </c>
      <c r="V260" s="199">
        <v>0.0</v>
      </c>
      <c r="W260" s="199">
        <v>0.0</v>
      </c>
      <c r="X260" s="199">
        <v>10.0</v>
      </c>
      <c r="Y260" s="199">
        <v>0.0</v>
      </c>
      <c r="Z260" s="199">
        <v>2.0</v>
      </c>
      <c r="AA260" s="199">
        <v>0.0</v>
      </c>
      <c r="AB260" s="199">
        <v>0.0</v>
      </c>
      <c r="AC260" s="199">
        <v>15.0</v>
      </c>
      <c r="AD260" s="199">
        <v>0.0</v>
      </c>
      <c r="AE260" s="199">
        <v>29.0</v>
      </c>
      <c r="AF260" s="199">
        <v>5.0</v>
      </c>
      <c r="AG260" s="199">
        <v>260.0</v>
      </c>
      <c r="AH260" s="199">
        <v>10.0</v>
      </c>
      <c r="AI260" s="200" t="s">
        <v>808</v>
      </c>
      <c r="AJ260" s="200" t="s">
        <v>809</v>
      </c>
      <c r="AK260" s="200"/>
      <c r="AL260" s="204"/>
      <c r="AM260" s="204"/>
    </row>
    <row r="261">
      <c r="A261" s="199" t="s">
        <v>181</v>
      </c>
      <c r="B261" s="200" t="s">
        <v>800</v>
      </c>
      <c r="C261" s="199">
        <v>2.2361270622E10</v>
      </c>
      <c r="D261" s="201">
        <v>44915.0</v>
      </c>
      <c r="E261" s="202" t="s">
        <v>101</v>
      </c>
      <c r="F261" s="202" t="s">
        <v>101</v>
      </c>
      <c r="G261" s="203" t="s">
        <v>100</v>
      </c>
      <c r="H261" s="203" t="s">
        <v>101</v>
      </c>
      <c r="I261" s="37"/>
      <c r="J261" s="37"/>
      <c r="K261" s="37"/>
      <c r="L261" s="199">
        <v>11.0</v>
      </c>
      <c r="M261" s="199">
        <v>55.2</v>
      </c>
      <c r="N261" s="199"/>
      <c r="O261" s="199">
        <v>0.0</v>
      </c>
      <c r="P261" s="37"/>
      <c r="Q261" s="199">
        <v>0.0</v>
      </c>
      <c r="R261" s="199">
        <v>2.0</v>
      </c>
      <c r="S261" s="199">
        <v>0.0</v>
      </c>
      <c r="T261" s="199">
        <v>39.0</v>
      </c>
      <c r="U261" s="199">
        <v>15.0</v>
      </c>
      <c r="V261" s="199">
        <v>0.0</v>
      </c>
      <c r="W261" s="199">
        <v>0.0</v>
      </c>
      <c r="X261" s="199">
        <v>1.0</v>
      </c>
      <c r="Y261" s="199">
        <v>3.0</v>
      </c>
      <c r="Z261" s="199">
        <v>0.0</v>
      </c>
      <c r="AA261" s="199">
        <v>2.0</v>
      </c>
      <c r="AB261" s="199">
        <v>22.0</v>
      </c>
      <c r="AC261" s="199">
        <v>13.0</v>
      </c>
      <c r="AD261" s="199">
        <v>0.0</v>
      </c>
      <c r="AE261" s="199">
        <v>21.0</v>
      </c>
      <c r="AF261" s="199">
        <v>1.0</v>
      </c>
      <c r="AG261" s="199">
        <v>283.0</v>
      </c>
      <c r="AH261" s="199">
        <v>1.0</v>
      </c>
      <c r="AI261" s="200" t="s">
        <v>776</v>
      </c>
      <c r="AJ261" s="200" t="s">
        <v>777</v>
      </c>
      <c r="AK261" s="200"/>
      <c r="AL261" s="204"/>
      <c r="AM261" s="204"/>
    </row>
    <row r="262">
      <c r="A262" s="199" t="s">
        <v>181</v>
      </c>
      <c r="B262" s="200" t="s">
        <v>800</v>
      </c>
      <c r="C262" s="199">
        <v>2.3127705245E10</v>
      </c>
      <c r="D262" s="201">
        <v>45043.0</v>
      </c>
      <c r="E262" s="202" t="s">
        <v>101</v>
      </c>
      <c r="F262" s="202" t="s">
        <v>101</v>
      </c>
      <c r="G262" s="203" t="s">
        <v>102</v>
      </c>
      <c r="H262" s="203" t="s">
        <v>101</v>
      </c>
      <c r="I262" s="37"/>
      <c r="J262" s="37"/>
      <c r="K262" s="37"/>
      <c r="L262" s="199">
        <v>15.0</v>
      </c>
      <c r="M262" s="199">
        <v>56.6</v>
      </c>
      <c r="N262" s="199"/>
      <c r="O262" s="199">
        <v>0.0</v>
      </c>
      <c r="P262" s="37"/>
      <c r="Q262" s="199">
        <v>0.0</v>
      </c>
      <c r="R262" s="199">
        <v>0.0</v>
      </c>
      <c r="S262" s="199">
        <v>0.0</v>
      </c>
      <c r="T262" s="199">
        <v>48.0</v>
      </c>
      <c r="U262" s="199">
        <v>10.0</v>
      </c>
      <c r="V262" s="199">
        <v>0.0</v>
      </c>
      <c r="W262" s="199">
        <v>0.0</v>
      </c>
      <c r="X262" s="199">
        <v>0.0</v>
      </c>
      <c r="Y262" s="199">
        <v>0.0</v>
      </c>
      <c r="Z262" s="199">
        <v>2.0</v>
      </c>
      <c r="AA262" s="199">
        <v>6.0</v>
      </c>
      <c r="AB262" s="199">
        <v>31.0</v>
      </c>
      <c r="AC262" s="199">
        <v>29.0</v>
      </c>
      <c r="AD262" s="199">
        <v>0.0</v>
      </c>
      <c r="AE262" s="199">
        <v>17.0</v>
      </c>
      <c r="AF262" s="199">
        <v>0.0</v>
      </c>
      <c r="AG262" s="199">
        <v>250.0</v>
      </c>
      <c r="AH262" s="199">
        <v>8.0</v>
      </c>
      <c r="AI262" s="200" t="s">
        <v>776</v>
      </c>
      <c r="AJ262" s="200" t="s">
        <v>786</v>
      </c>
      <c r="AK262" s="200"/>
      <c r="AL262" s="204"/>
      <c r="AM262" s="204"/>
    </row>
    <row r="263">
      <c r="A263" s="199" t="s">
        <v>181</v>
      </c>
      <c r="B263" s="200" t="s">
        <v>800</v>
      </c>
      <c r="C263" s="199">
        <v>2.3234228239E10</v>
      </c>
      <c r="D263" s="201">
        <v>45154.0</v>
      </c>
      <c r="E263" s="202" t="s">
        <v>101</v>
      </c>
      <c r="F263" s="202" t="s">
        <v>102</v>
      </c>
      <c r="G263" s="203" t="s">
        <v>101</v>
      </c>
      <c r="H263" s="203" t="s">
        <v>101</v>
      </c>
      <c r="I263" s="37"/>
      <c r="J263" s="37"/>
      <c r="K263" s="37"/>
      <c r="L263" s="199">
        <v>15.0</v>
      </c>
      <c r="M263" s="199">
        <v>58.9</v>
      </c>
      <c r="N263" s="199"/>
      <c r="O263" s="199">
        <v>2.0</v>
      </c>
      <c r="P263" s="37"/>
      <c r="Q263" s="199">
        <v>0.0</v>
      </c>
      <c r="R263" s="199">
        <v>0.0</v>
      </c>
      <c r="S263" s="199">
        <v>0.0</v>
      </c>
      <c r="T263" s="199">
        <v>169.0</v>
      </c>
      <c r="U263" s="199">
        <v>11.0</v>
      </c>
      <c r="V263" s="199">
        <v>0.0</v>
      </c>
      <c r="W263" s="199">
        <v>0.0</v>
      </c>
      <c r="X263" s="199">
        <v>0.0</v>
      </c>
      <c r="Y263" s="199">
        <v>0.0</v>
      </c>
      <c r="Z263" s="199">
        <v>2.0</v>
      </c>
      <c r="AA263" s="199">
        <v>0.0</v>
      </c>
      <c r="AB263" s="199">
        <v>4.0</v>
      </c>
      <c r="AC263" s="199">
        <v>32.0</v>
      </c>
      <c r="AD263" s="199">
        <v>0.0</v>
      </c>
      <c r="AE263" s="199">
        <v>23.0</v>
      </c>
      <c r="AF263" s="199">
        <v>0.0</v>
      </c>
      <c r="AG263" s="199">
        <v>127.0</v>
      </c>
      <c r="AH263" s="199">
        <v>0.0</v>
      </c>
      <c r="AI263" s="200" t="s">
        <v>787</v>
      </c>
      <c r="AJ263" s="200" t="s">
        <v>795</v>
      </c>
      <c r="AK263" s="200"/>
      <c r="AL263" s="204"/>
      <c r="AM263" s="204"/>
    </row>
    <row r="264">
      <c r="A264" s="199" t="s">
        <v>181</v>
      </c>
      <c r="B264" s="200" t="s">
        <v>800</v>
      </c>
      <c r="C264" s="199">
        <v>2.428814026E10</v>
      </c>
      <c r="D264" s="201">
        <v>45567.0</v>
      </c>
      <c r="E264" s="202" t="s">
        <v>101</v>
      </c>
      <c r="F264" s="202" t="s">
        <v>102</v>
      </c>
      <c r="G264" s="203" t="s">
        <v>101</v>
      </c>
      <c r="H264" s="203" t="s">
        <v>101</v>
      </c>
      <c r="I264" s="37"/>
      <c r="J264" s="37"/>
      <c r="K264" s="37"/>
      <c r="L264" s="199">
        <v>30.0</v>
      </c>
      <c r="M264" s="199">
        <v>62.6</v>
      </c>
      <c r="N264" s="199"/>
      <c r="O264" s="199">
        <v>2.0</v>
      </c>
      <c r="P264" s="37"/>
      <c r="Q264" s="199">
        <v>0.0</v>
      </c>
      <c r="R264" s="199">
        <v>0.0</v>
      </c>
      <c r="S264" s="199">
        <v>1.0</v>
      </c>
      <c r="T264" s="199">
        <v>277.0</v>
      </c>
      <c r="U264" s="199">
        <v>16.0</v>
      </c>
      <c r="V264" s="199">
        <v>0.0</v>
      </c>
      <c r="W264" s="199">
        <v>0.0</v>
      </c>
      <c r="X264" s="199">
        <v>5.0</v>
      </c>
      <c r="Y264" s="199">
        <v>0.0</v>
      </c>
      <c r="Z264" s="199">
        <v>2.0</v>
      </c>
      <c r="AA264" s="199">
        <v>0.0</v>
      </c>
      <c r="AB264" s="199">
        <v>17.0</v>
      </c>
      <c r="AC264" s="199">
        <v>9.0</v>
      </c>
      <c r="AD264" s="199">
        <v>0.0</v>
      </c>
      <c r="AE264" s="199">
        <v>19.0</v>
      </c>
      <c r="AF264" s="199">
        <v>0.0</v>
      </c>
      <c r="AG264" s="199">
        <v>199.0</v>
      </c>
      <c r="AH264" s="199">
        <v>16.0</v>
      </c>
      <c r="AI264" s="200" t="s">
        <v>787</v>
      </c>
      <c r="AJ264" s="200" t="s">
        <v>795</v>
      </c>
      <c r="AK264" s="200"/>
      <c r="AL264" s="204"/>
      <c r="AM264" s="204"/>
    </row>
    <row r="265">
      <c r="A265" s="199" t="s">
        <v>181</v>
      </c>
      <c r="B265" s="200" t="s">
        <v>800</v>
      </c>
      <c r="C265" s="199">
        <v>2.6005501219E10</v>
      </c>
      <c r="D265" s="201">
        <v>46007.0</v>
      </c>
      <c r="E265" s="202" t="s">
        <v>101</v>
      </c>
      <c r="F265" s="202" t="s">
        <v>102</v>
      </c>
      <c r="G265" s="203" t="s">
        <v>101</v>
      </c>
      <c r="H265" s="203" t="s">
        <v>101</v>
      </c>
      <c r="I265" s="37"/>
      <c r="J265" s="37"/>
      <c r="K265" s="37"/>
      <c r="L265" s="199">
        <v>36.0</v>
      </c>
      <c r="M265" s="199">
        <v>53.0</v>
      </c>
      <c r="N265" s="199"/>
      <c r="O265" s="199">
        <v>9.0</v>
      </c>
      <c r="P265" s="37"/>
      <c r="Q265" s="199">
        <v>0.0</v>
      </c>
      <c r="R265" s="199">
        <v>0.0</v>
      </c>
      <c r="S265" s="199">
        <v>0.0</v>
      </c>
      <c r="T265" s="199">
        <v>386.0</v>
      </c>
      <c r="U265" s="199">
        <v>26.0</v>
      </c>
      <c r="V265" s="199">
        <v>0.0</v>
      </c>
      <c r="W265" s="199">
        <v>0.0</v>
      </c>
      <c r="X265" s="199">
        <v>11.0</v>
      </c>
      <c r="Y265" s="199">
        <v>9.0</v>
      </c>
      <c r="Z265" s="199">
        <v>0.0</v>
      </c>
      <c r="AA265" s="199">
        <v>0.0</v>
      </c>
      <c r="AB265" s="199">
        <v>0.0</v>
      </c>
      <c r="AC265" s="199">
        <v>16.0</v>
      </c>
      <c r="AD265" s="199">
        <v>0.0</v>
      </c>
      <c r="AE265" s="199">
        <v>37.0</v>
      </c>
      <c r="AF265" s="199">
        <v>5.0</v>
      </c>
      <c r="AG265" s="199">
        <v>273.0</v>
      </c>
      <c r="AH265" s="199">
        <v>24.0</v>
      </c>
      <c r="AI265" s="200" t="s">
        <v>808</v>
      </c>
      <c r="AJ265" s="200" t="s">
        <v>809</v>
      </c>
      <c r="AK265" s="200"/>
      <c r="AL265" s="204"/>
      <c r="AM265" s="204"/>
    </row>
    <row r="266">
      <c r="A266" s="199" t="s">
        <v>182</v>
      </c>
      <c r="B266" s="200" t="s">
        <v>800</v>
      </c>
      <c r="C266" s="199">
        <v>2.2364300232E10</v>
      </c>
      <c r="D266" s="201">
        <v>44915.0</v>
      </c>
      <c r="E266" s="202" t="s">
        <v>101</v>
      </c>
      <c r="F266" s="202" t="s">
        <v>101</v>
      </c>
      <c r="G266" s="203" t="s">
        <v>101</v>
      </c>
      <c r="H266" s="203" t="s">
        <v>101</v>
      </c>
      <c r="I266" s="37"/>
      <c r="J266" s="37"/>
      <c r="K266" s="37"/>
      <c r="L266" s="199">
        <v>31.0</v>
      </c>
      <c r="M266" s="199">
        <v>53.6</v>
      </c>
      <c r="N266" s="199"/>
      <c r="O266" s="199">
        <v>3.0</v>
      </c>
      <c r="P266" s="37"/>
      <c r="Q266" s="199">
        <v>0.0</v>
      </c>
      <c r="R266" s="199">
        <v>3.0</v>
      </c>
      <c r="S266" s="199">
        <v>0.0</v>
      </c>
      <c r="T266" s="199">
        <v>38.0</v>
      </c>
      <c r="U266" s="199">
        <v>61.0</v>
      </c>
      <c r="V266" s="199">
        <v>2.0</v>
      </c>
      <c r="W266" s="199">
        <v>0.0</v>
      </c>
      <c r="X266" s="199">
        <v>1.0</v>
      </c>
      <c r="Y266" s="199">
        <v>0.0</v>
      </c>
      <c r="Z266" s="199">
        <v>6.0</v>
      </c>
      <c r="AA266" s="199">
        <v>0.0</v>
      </c>
      <c r="AB266" s="199">
        <v>28.0</v>
      </c>
      <c r="AC266" s="199">
        <v>28.0</v>
      </c>
      <c r="AD266" s="199">
        <v>0.0</v>
      </c>
      <c r="AE266" s="199">
        <v>58.0</v>
      </c>
      <c r="AF266" s="199">
        <v>2.0</v>
      </c>
      <c r="AG266" s="199">
        <v>238.0</v>
      </c>
      <c r="AH266" s="199">
        <v>18.0</v>
      </c>
      <c r="AI266" s="200" t="s">
        <v>787</v>
      </c>
      <c r="AJ266" s="200" t="s">
        <v>791</v>
      </c>
      <c r="AK266" s="200"/>
      <c r="AL266" s="204"/>
      <c r="AM266" s="204"/>
    </row>
    <row r="267">
      <c r="A267" s="199" t="s">
        <v>182</v>
      </c>
      <c r="B267" s="200" t="s">
        <v>800</v>
      </c>
      <c r="C267" s="199">
        <v>2.3127705237E10</v>
      </c>
      <c r="D267" s="201">
        <v>45043.0</v>
      </c>
      <c r="E267" s="202" t="s">
        <v>101</v>
      </c>
      <c r="F267" s="202" t="s">
        <v>101</v>
      </c>
      <c r="G267" s="203" t="s">
        <v>100</v>
      </c>
      <c r="H267" s="203" t="s">
        <v>101</v>
      </c>
      <c r="I267" s="37"/>
      <c r="J267" s="37"/>
      <c r="K267" s="37"/>
      <c r="L267" s="199">
        <v>10.0</v>
      </c>
      <c r="M267" s="199">
        <v>57.2</v>
      </c>
      <c r="N267" s="199"/>
      <c r="O267" s="199">
        <v>0.0</v>
      </c>
      <c r="P267" s="37"/>
      <c r="Q267" s="199">
        <v>0.0</v>
      </c>
      <c r="R267" s="199">
        <v>0.0</v>
      </c>
      <c r="S267" s="199">
        <v>0.0</v>
      </c>
      <c r="T267" s="199">
        <v>16.0</v>
      </c>
      <c r="U267" s="199">
        <v>4.0</v>
      </c>
      <c r="V267" s="199">
        <v>0.0</v>
      </c>
      <c r="W267" s="199">
        <v>0.0</v>
      </c>
      <c r="X267" s="199">
        <v>0.0</v>
      </c>
      <c r="Y267" s="199">
        <v>0.0</v>
      </c>
      <c r="Z267" s="199">
        <v>0.0</v>
      </c>
      <c r="AA267" s="199">
        <v>0.0</v>
      </c>
      <c r="AB267" s="199">
        <v>27.0</v>
      </c>
      <c r="AC267" s="199">
        <v>27.0</v>
      </c>
      <c r="AD267" s="199">
        <v>0.0</v>
      </c>
      <c r="AE267" s="199">
        <v>4.0</v>
      </c>
      <c r="AF267" s="199">
        <v>3.0</v>
      </c>
      <c r="AG267" s="199">
        <v>185.0</v>
      </c>
      <c r="AH267" s="199">
        <v>0.0</v>
      </c>
      <c r="AI267" s="200" t="s">
        <v>776</v>
      </c>
      <c r="AJ267" s="200" t="s">
        <v>777</v>
      </c>
      <c r="AK267" s="200"/>
      <c r="AL267" s="204"/>
      <c r="AM267" s="204"/>
    </row>
    <row r="268">
      <c r="A268" s="199" t="s">
        <v>182</v>
      </c>
      <c r="B268" s="200" t="s">
        <v>800</v>
      </c>
      <c r="C268" s="199">
        <v>2.3234228238E10</v>
      </c>
      <c r="D268" s="201">
        <v>45154.0</v>
      </c>
      <c r="E268" s="202" t="s">
        <v>101</v>
      </c>
      <c r="F268" s="202" t="s">
        <v>102</v>
      </c>
      <c r="G268" s="203" t="s">
        <v>101</v>
      </c>
      <c r="H268" s="203" t="s">
        <v>101</v>
      </c>
      <c r="I268" s="199">
        <v>9234.0</v>
      </c>
      <c r="J268" s="199">
        <v>2941.0</v>
      </c>
      <c r="K268" s="199">
        <v>152.0</v>
      </c>
      <c r="L268" s="199">
        <v>65.0</v>
      </c>
      <c r="M268" s="199">
        <v>60.5</v>
      </c>
      <c r="N268" s="199"/>
      <c r="O268" s="199">
        <v>0.0</v>
      </c>
      <c r="P268" s="37"/>
      <c r="Q268" s="199">
        <v>0.0</v>
      </c>
      <c r="R268" s="199">
        <v>0.0</v>
      </c>
      <c r="S268" s="199">
        <v>0.0</v>
      </c>
      <c r="T268" s="199">
        <v>89.0</v>
      </c>
      <c r="U268" s="199">
        <v>38.0</v>
      </c>
      <c r="V268" s="199">
        <v>2.0</v>
      </c>
      <c r="W268" s="199">
        <v>0.0</v>
      </c>
      <c r="X268" s="199">
        <v>0.0</v>
      </c>
      <c r="Y268" s="199">
        <v>0.0</v>
      </c>
      <c r="Z268" s="199">
        <v>2.0</v>
      </c>
      <c r="AA268" s="199">
        <v>0.0</v>
      </c>
      <c r="AB268" s="199">
        <v>2.0</v>
      </c>
      <c r="AC268" s="199">
        <v>24.0</v>
      </c>
      <c r="AD268" s="199">
        <v>0.0</v>
      </c>
      <c r="AE268" s="199">
        <v>12.0</v>
      </c>
      <c r="AF268" s="199">
        <v>0.0</v>
      </c>
      <c r="AG268" s="199">
        <v>199.0</v>
      </c>
      <c r="AH268" s="199">
        <v>7.0</v>
      </c>
      <c r="AI268" s="200" t="s">
        <v>787</v>
      </c>
      <c r="AJ268" s="200" t="s">
        <v>791</v>
      </c>
      <c r="AK268" s="200"/>
      <c r="AL268" s="204"/>
      <c r="AM268" s="204"/>
    </row>
    <row r="269">
      <c r="A269" s="199" t="s">
        <v>182</v>
      </c>
      <c r="B269" s="200" t="s">
        <v>800</v>
      </c>
      <c r="C269" s="199">
        <v>2.4288140251E10</v>
      </c>
      <c r="D269" s="201">
        <v>45567.0</v>
      </c>
      <c r="E269" s="202" t="s">
        <v>101</v>
      </c>
      <c r="F269" s="202" t="s">
        <v>101</v>
      </c>
      <c r="G269" s="203" t="s">
        <v>101</v>
      </c>
      <c r="H269" s="203" t="s">
        <v>101</v>
      </c>
      <c r="I269" s="37"/>
      <c r="J269" s="37"/>
      <c r="K269" s="37"/>
      <c r="L269" s="199">
        <v>43.0</v>
      </c>
      <c r="M269" s="199">
        <v>62.1</v>
      </c>
      <c r="N269" s="199"/>
      <c r="O269" s="199">
        <v>5.0</v>
      </c>
      <c r="P269" s="37"/>
      <c r="Q269" s="199">
        <v>0.0</v>
      </c>
      <c r="R269" s="199">
        <v>0.0</v>
      </c>
      <c r="S269" s="199">
        <v>0.0</v>
      </c>
      <c r="T269" s="199">
        <v>98.0</v>
      </c>
      <c r="U269" s="199">
        <v>49.0</v>
      </c>
      <c r="V269" s="199">
        <v>0.0</v>
      </c>
      <c r="W269" s="199">
        <v>0.0</v>
      </c>
      <c r="X269" s="199">
        <v>1.0</v>
      </c>
      <c r="Y269" s="199">
        <v>8.0</v>
      </c>
      <c r="Z269" s="199">
        <v>6.0</v>
      </c>
      <c r="AA269" s="199">
        <v>0.0</v>
      </c>
      <c r="AB269" s="199">
        <v>24.0</v>
      </c>
      <c r="AC269" s="199">
        <v>29.0</v>
      </c>
      <c r="AD269" s="199">
        <v>0.0</v>
      </c>
      <c r="AE269" s="199">
        <v>44.0</v>
      </c>
      <c r="AF269" s="199">
        <v>2.0</v>
      </c>
      <c r="AG269" s="199">
        <v>325.0</v>
      </c>
      <c r="AH269" s="199">
        <v>10.0</v>
      </c>
      <c r="AI269" s="200" t="s">
        <v>808</v>
      </c>
      <c r="AJ269" s="200" t="s">
        <v>810</v>
      </c>
      <c r="AK269" s="200"/>
      <c r="AL269" s="204"/>
      <c r="AM269" s="204"/>
    </row>
    <row r="270">
      <c r="A270" s="199" t="s">
        <v>182</v>
      </c>
      <c r="B270" s="200" t="s">
        <v>800</v>
      </c>
      <c r="C270" s="199">
        <v>2.600550122E10</v>
      </c>
      <c r="D270" s="201">
        <v>46007.0</v>
      </c>
      <c r="E270" s="202" t="s">
        <v>101</v>
      </c>
      <c r="F270" s="202" t="s">
        <v>102</v>
      </c>
      <c r="G270" s="203" t="s">
        <v>101</v>
      </c>
      <c r="H270" s="203" t="s">
        <v>102</v>
      </c>
      <c r="I270" s="37"/>
      <c r="J270" s="37"/>
      <c r="K270" s="37"/>
      <c r="L270" s="199">
        <v>67.0</v>
      </c>
      <c r="M270" s="199">
        <v>49.2</v>
      </c>
      <c r="N270" s="199"/>
      <c r="O270" s="199">
        <v>18.0</v>
      </c>
      <c r="P270" s="37"/>
      <c r="Q270" s="199">
        <v>0.0</v>
      </c>
      <c r="R270" s="199">
        <v>0.0</v>
      </c>
      <c r="S270" s="199">
        <v>0.0</v>
      </c>
      <c r="T270" s="199">
        <v>318.0</v>
      </c>
      <c r="U270" s="199">
        <v>121.0</v>
      </c>
      <c r="V270" s="199">
        <v>0.0</v>
      </c>
      <c r="W270" s="199">
        <v>0.0</v>
      </c>
      <c r="X270" s="199">
        <v>8.0</v>
      </c>
      <c r="Y270" s="199">
        <v>8.0</v>
      </c>
      <c r="Z270" s="199">
        <v>2.0</v>
      </c>
      <c r="AA270" s="199">
        <v>0.0</v>
      </c>
      <c r="AB270" s="199">
        <v>0.0</v>
      </c>
      <c r="AC270" s="199">
        <v>26.0</v>
      </c>
      <c r="AD270" s="199">
        <v>0.0</v>
      </c>
      <c r="AE270" s="199">
        <v>102.0</v>
      </c>
      <c r="AF270" s="199">
        <v>16.0</v>
      </c>
      <c r="AG270" s="199">
        <v>353.0</v>
      </c>
      <c r="AH270" s="199">
        <v>48.0</v>
      </c>
      <c r="AI270" s="200" t="s">
        <v>787</v>
      </c>
      <c r="AJ270" s="200" t="s">
        <v>809</v>
      </c>
      <c r="AK270" s="200"/>
      <c r="AL270" s="204"/>
      <c r="AM270" s="204"/>
    </row>
    <row r="271">
      <c r="A271" s="199" t="s">
        <v>183</v>
      </c>
      <c r="B271" s="200" t="s">
        <v>800</v>
      </c>
      <c r="C271" s="199">
        <v>2.2361270254E10</v>
      </c>
      <c r="D271" s="201">
        <v>44915.0</v>
      </c>
      <c r="E271" s="202" t="s">
        <v>101</v>
      </c>
      <c r="F271" s="202" t="s">
        <v>102</v>
      </c>
      <c r="G271" s="203" t="s">
        <v>102</v>
      </c>
      <c r="H271" s="203" t="s">
        <v>101</v>
      </c>
      <c r="I271" s="37"/>
      <c r="J271" s="37"/>
      <c r="K271" s="37"/>
      <c r="L271" s="199">
        <v>30.0</v>
      </c>
      <c r="M271" s="199">
        <v>56.4</v>
      </c>
      <c r="N271" s="199"/>
      <c r="O271" s="199">
        <v>0.0</v>
      </c>
      <c r="P271" s="37"/>
      <c r="Q271" s="199">
        <v>0.0</v>
      </c>
      <c r="R271" s="199">
        <v>1.0</v>
      </c>
      <c r="S271" s="199">
        <v>0.0</v>
      </c>
      <c r="T271" s="199">
        <v>19.0</v>
      </c>
      <c r="U271" s="199">
        <v>43.0</v>
      </c>
      <c r="V271" s="199">
        <v>0.0</v>
      </c>
      <c r="W271" s="199">
        <v>0.0</v>
      </c>
      <c r="X271" s="199">
        <v>0.0</v>
      </c>
      <c r="Y271" s="199">
        <v>0.0</v>
      </c>
      <c r="Z271" s="199">
        <v>0.0</v>
      </c>
      <c r="AA271" s="199">
        <v>0.0</v>
      </c>
      <c r="AB271" s="199">
        <v>13.0</v>
      </c>
      <c r="AC271" s="199">
        <v>18.0</v>
      </c>
      <c r="AD271" s="199">
        <v>0.0</v>
      </c>
      <c r="AE271" s="199">
        <v>15.0</v>
      </c>
      <c r="AF271" s="199">
        <v>3.0</v>
      </c>
      <c r="AG271" s="199">
        <v>212.0</v>
      </c>
      <c r="AH271" s="199">
        <v>2.0</v>
      </c>
      <c r="AI271" s="200" t="s">
        <v>776</v>
      </c>
      <c r="AJ271" s="200" t="s">
        <v>777</v>
      </c>
      <c r="AK271" s="200"/>
      <c r="AL271" s="204"/>
      <c r="AM271" s="204"/>
    </row>
    <row r="272">
      <c r="A272" s="199" t="s">
        <v>183</v>
      </c>
      <c r="B272" s="200" t="s">
        <v>800</v>
      </c>
      <c r="C272" s="199">
        <v>2.312770524E10</v>
      </c>
      <c r="D272" s="201">
        <v>45043.0</v>
      </c>
      <c r="E272" s="202" t="s">
        <v>101</v>
      </c>
      <c r="F272" s="202" t="s">
        <v>101</v>
      </c>
      <c r="G272" s="203" t="s">
        <v>101</v>
      </c>
      <c r="H272" s="203" t="s">
        <v>101</v>
      </c>
      <c r="I272" s="37"/>
      <c r="J272" s="37"/>
      <c r="K272" s="37"/>
      <c r="L272" s="199">
        <v>23.0</v>
      </c>
      <c r="M272" s="199">
        <v>59.4</v>
      </c>
      <c r="N272" s="199"/>
      <c r="O272" s="199">
        <v>0.0</v>
      </c>
      <c r="P272" s="37"/>
      <c r="Q272" s="199">
        <v>0.0</v>
      </c>
      <c r="R272" s="199">
        <v>0.0</v>
      </c>
      <c r="S272" s="199">
        <v>0.0</v>
      </c>
      <c r="T272" s="199">
        <v>143.0</v>
      </c>
      <c r="U272" s="199">
        <v>20.0</v>
      </c>
      <c r="V272" s="199">
        <v>0.0</v>
      </c>
      <c r="W272" s="199">
        <v>0.0</v>
      </c>
      <c r="X272" s="199">
        <v>1.0</v>
      </c>
      <c r="Y272" s="199">
        <v>0.0</v>
      </c>
      <c r="Z272" s="199">
        <v>8.0</v>
      </c>
      <c r="AA272" s="199">
        <v>6.0</v>
      </c>
      <c r="AB272" s="199">
        <v>11.0</v>
      </c>
      <c r="AC272" s="199">
        <v>27.0</v>
      </c>
      <c r="AD272" s="199">
        <v>0.0</v>
      </c>
      <c r="AE272" s="199">
        <v>11.0</v>
      </c>
      <c r="AF272" s="199">
        <v>0.0</v>
      </c>
      <c r="AG272" s="199">
        <v>288.0</v>
      </c>
      <c r="AH272" s="199">
        <v>2.0</v>
      </c>
      <c r="AI272" s="200" t="s">
        <v>787</v>
      </c>
      <c r="AJ272" s="200" t="s">
        <v>795</v>
      </c>
      <c r="AK272" s="200"/>
      <c r="AL272" s="204"/>
      <c r="AM272" s="204"/>
    </row>
    <row r="273">
      <c r="A273" s="199" t="s">
        <v>183</v>
      </c>
      <c r="B273" s="200" t="s">
        <v>800</v>
      </c>
      <c r="C273" s="199">
        <v>2.3234228249E10</v>
      </c>
      <c r="D273" s="201">
        <v>45154.0</v>
      </c>
      <c r="E273" s="202" t="s">
        <v>101</v>
      </c>
      <c r="F273" s="202" t="s">
        <v>102</v>
      </c>
      <c r="G273" s="203" t="s">
        <v>101</v>
      </c>
      <c r="H273" s="203" t="s">
        <v>101</v>
      </c>
      <c r="I273" s="37"/>
      <c r="J273" s="37"/>
      <c r="K273" s="37"/>
      <c r="L273" s="199">
        <v>60.0</v>
      </c>
      <c r="M273" s="199">
        <v>58.1</v>
      </c>
      <c r="N273" s="199"/>
      <c r="O273" s="199">
        <v>3.0</v>
      </c>
      <c r="P273" s="37"/>
      <c r="Q273" s="199">
        <v>0.0</v>
      </c>
      <c r="R273" s="199">
        <v>0.0</v>
      </c>
      <c r="S273" s="199">
        <v>0.0</v>
      </c>
      <c r="T273" s="199">
        <v>32.0</v>
      </c>
      <c r="U273" s="199">
        <v>84.0</v>
      </c>
      <c r="V273" s="199">
        <v>0.0</v>
      </c>
      <c r="W273" s="199">
        <v>0.0</v>
      </c>
      <c r="X273" s="199">
        <v>0.0</v>
      </c>
      <c r="Y273" s="199">
        <v>0.0</v>
      </c>
      <c r="Z273" s="199">
        <v>2.0</v>
      </c>
      <c r="AA273" s="199">
        <v>0.0</v>
      </c>
      <c r="AB273" s="199">
        <v>18.0</v>
      </c>
      <c r="AC273" s="199">
        <v>30.0</v>
      </c>
      <c r="AD273" s="199">
        <v>0.0</v>
      </c>
      <c r="AE273" s="199">
        <v>30.0</v>
      </c>
      <c r="AF273" s="199">
        <v>3.0</v>
      </c>
      <c r="AG273" s="199">
        <v>217.0</v>
      </c>
      <c r="AH273" s="199">
        <v>2.0</v>
      </c>
      <c r="AI273" s="200" t="s">
        <v>787</v>
      </c>
      <c r="AJ273" s="200" t="s">
        <v>791</v>
      </c>
      <c r="AK273" s="200"/>
      <c r="AL273" s="204"/>
      <c r="AM273" s="204"/>
    </row>
    <row r="274">
      <c r="A274" s="199" t="s">
        <v>183</v>
      </c>
      <c r="B274" s="200" t="s">
        <v>800</v>
      </c>
      <c r="C274" s="199">
        <v>2.4288140254E10</v>
      </c>
      <c r="D274" s="201">
        <v>45567.0</v>
      </c>
      <c r="E274" s="202" t="s">
        <v>101</v>
      </c>
      <c r="F274" s="202" t="s">
        <v>102</v>
      </c>
      <c r="G274" s="203" t="s">
        <v>101</v>
      </c>
      <c r="H274" s="203" t="s">
        <v>101</v>
      </c>
      <c r="I274" s="37"/>
      <c r="J274" s="37"/>
      <c r="K274" s="37"/>
      <c r="L274" s="199">
        <v>82.0</v>
      </c>
      <c r="M274" s="199">
        <v>62.0</v>
      </c>
      <c r="N274" s="199"/>
      <c r="O274" s="199">
        <v>1.0</v>
      </c>
      <c r="P274" s="37"/>
      <c r="Q274" s="199">
        <v>0.0</v>
      </c>
      <c r="R274" s="199">
        <v>0.0</v>
      </c>
      <c r="S274" s="199">
        <v>0.0</v>
      </c>
      <c r="T274" s="199">
        <v>42.0</v>
      </c>
      <c r="U274" s="199">
        <v>56.0</v>
      </c>
      <c r="V274" s="199">
        <v>2.0</v>
      </c>
      <c r="W274" s="199">
        <v>0.0</v>
      </c>
      <c r="X274" s="199">
        <v>0.0</v>
      </c>
      <c r="Y274" s="199">
        <v>0.0</v>
      </c>
      <c r="Z274" s="199">
        <v>2.0</v>
      </c>
      <c r="AA274" s="199">
        <v>0.0</v>
      </c>
      <c r="AB274" s="199">
        <v>8.0</v>
      </c>
      <c r="AC274" s="199">
        <v>9.0</v>
      </c>
      <c r="AD274" s="199">
        <v>0.0</v>
      </c>
      <c r="AE274" s="199">
        <v>28.0</v>
      </c>
      <c r="AF274" s="199">
        <v>3.0</v>
      </c>
      <c r="AG274" s="199">
        <v>213.0</v>
      </c>
      <c r="AH274" s="199">
        <v>4.0</v>
      </c>
      <c r="AI274" s="200" t="s">
        <v>787</v>
      </c>
      <c r="AJ274" s="200" t="s">
        <v>811</v>
      </c>
      <c r="AK274" s="200"/>
      <c r="AL274" s="204"/>
      <c r="AM274" s="204"/>
    </row>
    <row r="275">
      <c r="A275" s="199" t="s">
        <v>183</v>
      </c>
      <c r="B275" s="200" t="s">
        <v>800</v>
      </c>
      <c r="C275" s="199">
        <v>2.6005501215E10</v>
      </c>
      <c r="D275" s="201">
        <v>46007.0</v>
      </c>
      <c r="E275" s="202" t="s">
        <v>101</v>
      </c>
      <c r="F275" s="202" t="s">
        <v>101</v>
      </c>
      <c r="G275" s="203" t="s">
        <v>101</v>
      </c>
      <c r="H275" s="203" t="s">
        <v>101</v>
      </c>
      <c r="I275" s="37"/>
      <c r="J275" s="37"/>
      <c r="K275" s="37"/>
      <c r="L275" s="199">
        <v>101.0</v>
      </c>
      <c r="M275" s="199">
        <v>49.5</v>
      </c>
      <c r="N275" s="199"/>
      <c r="O275" s="199">
        <v>21.0</v>
      </c>
      <c r="P275" s="37"/>
      <c r="Q275" s="199">
        <v>0.0</v>
      </c>
      <c r="R275" s="199">
        <v>11.0</v>
      </c>
      <c r="S275" s="199">
        <v>0.0</v>
      </c>
      <c r="T275" s="199">
        <v>424.0</v>
      </c>
      <c r="U275" s="199">
        <v>205.0</v>
      </c>
      <c r="V275" s="199">
        <v>2.0</v>
      </c>
      <c r="W275" s="199">
        <v>0.0</v>
      </c>
      <c r="X275" s="199">
        <v>20.0</v>
      </c>
      <c r="Y275" s="199">
        <v>0.0</v>
      </c>
      <c r="Z275" s="199">
        <v>2.0</v>
      </c>
      <c r="AA275" s="199">
        <v>29.0</v>
      </c>
      <c r="AB275" s="199">
        <v>44.0</v>
      </c>
      <c r="AC275" s="199">
        <v>67.0</v>
      </c>
      <c r="AD275" s="199">
        <v>0.0</v>
      </c>
      <c r="AE275" s="199">
        <v>599.0</v>
      </c>
      <c r="AF275" s="199">
        <v>19.0</v>
      </c>
      <c r="AG275" s="199">
        <v>319.0</v>
      </c>
      <c r="AH275" s="199">
        <v>29.0</v>
      </c>
      <c r="AI275" s="200" t="s">
        <v>812</v>
      </c>
      <c r="AJ275" s="200" t="s">
        <v>813</v>
      </c>
      <c r="AK275" s="200"/>
      <c r="AL275" s="204"/>
      <c r="AM275" s="204"/>
    </row>
    <row r="276">
      <c r="A276" s="199" t="s">
        <v>184</v>
      </c>
      <c r="B276" s="200" t="s">
        <v>800</v>
      </c>
      <c r="C276" s="199">
        <v>2.2361270264E10</v>
      </c>
      <c r="D276" s="201">
        <v>44915.0</v>
      </c>
      <c r="E276" s="202" t="s">
        <v>101</v>
      </c>
      <c r="F276" s="202" t="s">
        <v>102</v>
      </c>
      <c r="G276" s="203" t="s">
        <v>100</v>
      </c>
      <c r="H276" s="203" t="s">
        <v>101</v>
      </c>
      <c r="I276" s="37"/>
      <c r="J276" s="37"/>
      <c r="K276" s="37"/>
      <c r="L276" s="199">
        <v>11.0</v>
      </c>
      <c r="M276" s="199">
        <v>54.7</v>
      </c>
      <c r="N276" s="199"/>
      <c r="O276" s="199">
        <v>0.0</v>
      </c>
      <c r="P276" s="37"/>
      <c r="Q276" s="199">
        <v>0.0</v>
      </c>
      <c r="R276" s="199">
        <v>2.0</v>
      </c>
      <c r="S276" s="199">
        <v>0.0</v>
      </c>
      <c r="T276" s="199">
        <v>33.0</v>
      </c>
      <c r="U276" s="199">
        <v>14.0</v>
      </c>
      <c r="V276" s="199">
        <v>0.0</v>
      </c>
      <c r="W276" s="199">
        <v>0.0</v>
      </c>
      <c r="X276" s="199">
        <v>0.0</v>
      </c>
      <c r="Y276" s="199">
        <v>0.0</v>
      </c>
      <c r="Z276" s="199">
        <v>2.0</v>
      </c>
      <c r="AA276" s="199">
        <v>2.0</v>
      </c>
      <c r="AB276" s="199">
        <v>9.0</v>
      </c>
      <c r="AC276" s="199">
        <v>14.0</v>
      </c>
      <c r="AD276" s="199">
        <v>0.0</v>
      </c>
      <c r="AE276" s="199">
        <v>20.0</v>
      </c>
      <c r="AF276" s="199">
        <v>1.0</v>
      </c>
      <c r="AG276" s="199">
        <v>239.0</v>
      </c>
      <c r="AH276" s="199">
        <v>1.0</v>
      </c>
      <c r="AI276" s="200" t="s">
        <v>776</v>
      </c>
      <c r="AJ276" s="200" t="s">
        <v>777</v>
      </c>
      <c r="AK276" s="200"/>
      <c r="AL276" s="204"/>
      <c r="AM276" s="204"/>
    </row>
    <row r="277">
      <c r="A277" s="199" t="s">
        <v>184</v>
      </c>
      <c r="B277" s="200" t="s">
        <v>800</v>
      </c>
      <c r="C277" s="199">
        <v>2.3127705239E10</v>
      </c>
      <c r="D277" s="201">
        <v>45043.0</v>
      </c>
      <c r="E277" s="202" t="s">
        <v>101</v>
      </c>
      <c r="F277" s="202" t="s">
        <v>102</v>
      </c>
      <c r="G277" s="203" t="s">
        <v>101</v>
      </c>
      <c r="H277" s="203" t="s">
        <v>101</v>
      </c>
      <c r="I277" s="37"/>
      <c r="J277" s="37"/>
      <c r="K277" s="37"/>
      <c r="L277" s="199">
        <v>39.0</v>
      </c>
      <c r="M277" s="199">
        <v>65.7</v>
      </c>
      <c r="N277" s="199"/>
      <c r="O277" s="199">
        <v>0.0</v>
      </c>
      <c r="P277" s="37"/>
      <c r="Q277" s="199">
        <v>0.0</v>
      </c>
      <c r="R277" s="199">
        <v>0.0</v>
      </c>
      <c r="S277" s="199">
        <v>0.0</v>
      </c>
      <c r="T277" s="199">
        <v>90.0</v>
      </c>
      <c r="U277" s="199">
        <v>40.0</v>
      </c>
      <c r="V277" s="199">
        <v>0.0</v>
      </c>
      <c r="W277" s="199">
        <v>0.0</v>
      </c>
      <c r="X277" s="199">
        <v>0.0</v>
      </c>
      <c r="Y277" s="199">
        <v>3.0</v>
      </c>
      <c r="Z277" s="199">
        <v>9.0</v>
      </c>
      <c r="AA277" s="199">
        <v>5.0</v>
      </c>
      <c r="AB277" s="199">
        <v>7.0</v>
      </c>
      <c r="AC277" s="199">
        <v>10.0</v>
      </c>
      <c r="AD277" s="199">
        <v>0.0</v>
      </c>
      <c r="AE277" s="199">
        <v>18.0</v>
      </c>
      <c r="AF277" s="199">
        <v>0.0</v>
      </c>
      <c r="AG277" s="199">
        <v>293.0</v>
      </c>
      <c r="AH277" s="199">
        <v>0.0</v>
      </c>
      <c r="AI277" s="200" t="s">
        <v>787</v>
      </c>
      <c r="AJ277" s="200" t="s">
        <v>791</v>
      </c>
      <c r="AK277" s="200"/>
      <c r="AL277" s="204"/>
      <c r="AM277" s="204"/>
    </row>
    <row r="278">
      <c r="A278" s="199" t="s">
        <v>184</v>
      </c>
      <c r="B278" s="200" t="s">
        <v>800</v>
      </c>
      <c r="C278" s="199">
        <v>2.323422825E10</v>
      </c>
      <c r="D278" s="201">
        <v>45154.0</v>
      </c>
      <c r="E278" s="202" t="s">
        <v>101</v>
      </c>
      <c r="F278" s="202" t="s">
        <v>100</v>
      </c>
      <c r="G278" s="203" t="s">
        <v>100</v>
      </c>
      <c r="H278" s="203" t="s">
        <v>101</v>
      </c>
      <c r="I278" s="199">
        <v>6352.0</v>
      </c>
      <c r="J278" s="199">
        <v>1998.0</v>
      </c>
      <c r="K278" s="199">
        <v>651.0</v>
      </c>
      <c r="L278" s="199">
        <v>8.0</v>
      </c>
      <c r="M278" s="199">
        <v>60.4</v>
      </c>
      <c r="N278" s="199"/>
      <c r="O278" s="199">
        <v>0.0</v>
      </c>
      <c r="P278" s="37"/>
      <c r="Q278" s="199">
        <v>0.0</v>
      </c>
      <c r="R278" s="199">
        <v>0.0</v>
      </c>
      <c r="S278" s="199">
        <v>0.0</v>
      </c>
      <c r="T278" s="199">
        <v>16.0</v>
      </c>
      <c r="U278" s="199">
        <v>1.0</v>
      </c>
      <c r="V278" s="199">
        <v>0.0</v>
      </c>
      <c r="W278" s="199">
        <v>0.0</v>
      </c>
      <c r="X278" s="199">
        <v>0.0</v>
      </c>
      <c r="Y278" s="199">
        <v>0.0</v>
      </c>
      <c r="Z278" s="199">
        <v>0.0</v>
      </c>
      <c r="AA278" s="199">
        <v>0.0</v>
      </c>
      <c r="AB278" s="199">
        <v>12.0</v>
      </c>
      <c r="AC278" s="199">
        <v>3.0</v>
      </c>
      <c r="AD278" s="199">
        <v>0.0</v>
      </c>
      <c r="AE278" s="199">
        <v>0.0</v>
      </c>
      <c r="AF278" s="199">
        <v>0.0</v>
      </c>
      <c r="AG278" s="199">
        <v>207.0</v>
      </c>
      <c r="AH278" s="199">
        <v>0.0</v>
      </c>
      <c r="AI278" s="200" t="s">
        <v>776</v>
      </c>
      <c r="AJ278" s="200" t="s">
        <v>777</v>
      </c>
      <c r="AK278" s="200"/>
      <c r="AL278" s="204"/>
      <c r="AM278" s="204"/>
    </row>
    <row r="279">
      <c r="A279" s="199" t="s">
        <v>184</v>
      </c>
      <c r="B279" s="200" t="s">
        <v>800</v>
      </c>
      <c r="C279" s="199">
        <v>2.428814025E10</v>
      </c>
      <c r="D279" s="201">
        <v>45567.0</v>
      </c>
      <c r="E279" s="202" t="s">
        <v>101</v>
      </c>
      <c r="F279" s="202" t="s">
        <v>101</v>
      </c>
      <c r="G279" s="203" t="s">
        <v>100</v>
      </c>
      <c r="H279" s="203" t="s">
        <v>101</v>
      </c>
      <c r="I279" s="37"/>
      <c r="J279" s="37"/>
      <c r="K279" s="37"/>
      <c r="L279" s="199">
        <v>7.0</v>
      </c>
      <c r="M279" s="199">
        <v>59.1</v>
      </c>
      <c r="N279" s="199"/>
      <c r="O279" s="199">
        <v>0.0</v>
      </c>
      <c r="P279" s="37"/>
      <c r="Q279" s="199">
        <v>0.0</v>
      </c>
      <c r="R279" s="199">
        <v>0.0</v>
      </c>
      <c r="S279" s="199">
        <v>0.0</v>
      </c>
      <c r="T279" s="199">
        <v>24.0</v>
      </c>
      <c r="U279" s="199">
        <v>7.0</v>
      </c>
      <c r="V279" s="199">
        <v>0.0</v>
      </c>
      <c r="W279" s="199">
        <v>0.0</v>
      </c>
      <c r="X279" s="199">
        <v>0.0</v>
      </c>
      <c r="Y279" s="199">
        <v>0.0</v>
      </c>
      <c r="Z279" s="199">
        <v>2.0</v>
      </c>
      <c r="AA279" s="199">
        <v>0.0</v>
      </c>
      <c r="AB279" s="199">
        <v>24.0</v>
      </c>
      <c r="AC279" s="199">
        <v>3.0</v>
      </c>
      <c r="AD279" s="199">
        <v>0.0</v>
      </c>
      <c r="AE279" s="199">
        <v>4.0</v>
      </c>
      <c r="AF279" s="199">
        <v>0.0</v>
      </c>
      <c r="AG279" s="199">
        <v>254.0</v>
      </c>
      <c r="AH279" s="199">
        <v>1.0</v>
      </c>
      <c r="AI279" s="200" t="s">
        <v>776</v>
      </c>
      <c r="AJ279" s="200" t="s">
        <v>777</v>
      </c>
      <c r="AK279" s="200"/>
      <c r="AL279" s="204"/>
      <c r="AM279" s="204"/>
    </row>
    <row r="280">
      <c r="A280" s="199" t="s">
        <v>184</v>
      </c>
      <c r="B280" s="200" t="s">
        <v>800</v>
      </c>
      <c r="C280" s="199">
        <v>2.6005501223E10</v>
      </c>
      <c r="D280" s="201">
        <v>46007.0</v>
      </c>
      <c r="E280" s="202" t="s">
        <v>101</v>
      </c>
      <c r="F280" s="202" t="s">
        <v>101</v>
      </c>
      <c r="G280" s="203" t="s">
        <v>101</v>
      </c>
      <c r="H280" s="203" t="s">
        <v>100</v>
      </c>
      <c r="I280" s="37"/>
      <c r="J280" s="37"/>
      <c r="K280" s="37"/>
      <c r="L280" s="199">
        <v>17.0</v>
      </c>
      <c r="M280" s="199">
        <v>49.4</v>
      </c>
      <c r="N280" s="199"/>
      <c r="O280" s="199">
        <v>9.0</v>
      </c>
      <c r="P280" s="37"/>
      <c r="Q280" s="199">
        <v>0.0</v>
      </c>
      <c r="R280" s="199">
        <v>0.0</v>
      </c>
      <c r="S280" s="199">
        <v>0.0</v>
      </c>
      <c r="T280" s="199">
        <v>73.0</v>
      </c>
      <c r="U280" s="199">
        <v>15.0</v>
      </c>
      <c r="V280" s="199">
        <v>0.0</v>
      </c>
      <c r="W280" s="199">
        <v>0.0</v>
      </c>
      <c r="X280" s="199">
        <v>0.0</v>
      </c>
      <c r="Y280" s="199">
        <v>0.0</v>
      </c>
      <c r="Z280" s="199">
        <v>0.0</v>
      </c>
      <c r="AA280" s="199">
        <v>0.0</v>
      </c>
      <c r="AB280" s="199">
        <v>0.0</v>
      </c>
      <c r="AC280" s="199">
        <v>17.0</v>
      </c>
      <c r="AD280" s="199">
        <v>0.0</v>
      </c>
      <c r="AE280" s="199">
        <v>38.0</v>
      </c>
      <c r="AF280" s="199">
        <v>5.0</v>
      </c>
      <c r="AG280" s="199">
        <v>374.0</v>
      </c>
      <c r="AH280" s="199">
        <v>35.0</v>
      </c>
      <c r="AI280" s="200" t="s">
        <v>787</v>
      </c>
      <c r="AJ280" s="200" t="s">
        <v>810</v>
      </c>
      <c r="AK280" s="200"/>
      <c r="AL280" s="204"/>
      <c r="AM280" s="204"/>
    </row>
    <row r="281">
      <c r="A281" s="199" t="s">
        <v>185</v>
      </c>
      <c r="B281" s="200" t="s">
        <v>800</v>
      </c>
      <c r="C281" s="199">
        <v>2.2361270525E10</v>
      </c>
      <c r="D281" s="201">
        <v>44915.0</v>
      </c>
      <c r="E281" s="202" t="s">
        <v>101</v>
      </c>
      <c r="F281" s="202" t="s">
        <v>101</v>
      </c>
      <c r="G281" s="203" t="s">
        <v>100</v>
      </c>
      <c r="H281" s="203" t="s">
        <v>101</v>
      </c>
      <c r="I281" s="37"/>
      <c r="J281" s="37"/>
      <c r="K281" s="37"/>
      <c r="L281" s="199">
        <v>34.0</v>
      </c>
      <c r="M281" s="199">
        <v>54.1</v>
      </c>
      <c r="N281" s="199"/>
      <c r="O281" s="199">
        <v>0.0</v>
      </c>
      <c r="P281" s="37"/>
      <c r="Q281" s="199">
        <v>0.0</v>
      </c>
      <c r="R281" s="199">
        <v>5.0</v>
      </c>
      <c r="S281" s="199">
        <v>0.0</v>
      </c>
      <c r="T281" s="199">
        <v>26.0</v>
      </c>
      <c r="U281" s="199">
        <v>37.0</v>
      </c>
      <c r="V281" s="199">
        <v>9.0</v>
      </c>
      <c r="W281" s="199">
        <v>0.0</v>
      </c>
      <c r="X281" s="199">
        <v>0.0</v>
      </c>
      <c r="Y281" s="199">
        <v>2.0</v>
      </c>
      <c r="Z281" s="199">
        <v>0.0</v>
      </c>
      <c r="AA281" s="199">
        <v>0.0</v>
      </c>
      <c r="AB281" s="199">
        <v>30.0</v>
      </c>
      <c r="AC281" s="199">
        <v>22.0</v>
      </c>
      <c r="AD281" s="199">
        <v>0.0</v>
      </c>
      <c r="AE281" s="199">
        <v>11.0</v>
      </c>
      <c r="AF281" s="199">
        <v>0.0</v>
      </c>
      <c r="AG281" s="199">
        <v>192.0</v>
      </c>
      <c r="AH281" s="199">
        <v>14.0</v>
      </c>
      <c r="AI281" s="200" t="s">
        <v>776</v>
      </c>
      <c r="AJ281" s="200" t="s">
        <v>777</v>
      </c>
      <c r="AK281" s="200"/>
      <c r="AL281" s="204"/>
      <c r="AM281" s="204"/>
    </row>
    <row r="282">
      <c r="A282" s="199" t="s">
        <v>185</v>
      </c>
      <c r="B282" s="200" t="s">
        <v>800</v>
      </c>
      <c r="C282" s="199">
        <v>2.3127705241E10</v>
      </c>
      <c r="D282" s="201">
        <v>45043.0</v>
      </c>
      <c r="E282" s="202" t="s">
        <v>101</v>
      </c>
      <c r="F282" s="202" t="s">
        <v>101</v>
      </c>
      <c r="G282" s="203" t="s">
        <v>100</v>
      </c>
      <c r="H282" s="203" t="s">
        <v>101</v>
      </c>
      <c r="I282" s="37"/>
      <c r="J282" s="37"/>
      <c r="K282" s="37"/>
      <c r="L282" s="199">
        <v>13.0</v>
      </c>
      <c r="M282" s="199">
        <v>60.8</v>
      </c>
      <c r="N282" s="199"/>
      <c r="O282" s="199">
        <v>0.0</v>
      </c>
      <c r="P282" s="37"/>
      <c r="Q282" s="199">
        <v>0.0</v>
      </c>
      <c r="R282" s="199">
        <v>3.0</v>
      </c>
      <c r="S282" s="199">
        <v>0.0</v>
      </c>
      <c r="T282" s="199">
        <v>18.0</v>
      </c>
      <c r="U282" s="199">
        <v>12.0</v>
      </c>
      <c r="V282" s="199">
        <v>0.0</v>
      </c>
      <c r="W282" s="199">
        <v>0.0</v>
      </c>
      <c r="X282" s="199">
        <v>0.0</v>
      </c>
      <c r="Y282" s="199">
        <v>0.0</v>
      </c>
      <c r="Z282" s="199">
        <v>7.0</v>
      </c>
      <c r="AA282" s="199">
        <v>10.0</v>
      </c>
      <c r="AB282" s="199">
        <v>34.0</v>
      </c>
      <c r="AC282" s="199">
        <v>40.0</v>
      </c>
      <c r="AD282" s="199">
        <v>0.0</v>
      </c>
      <c r="AE282" s="199">
        <v>11.0</v>
      </c>
      <c r="AF282" s="199">
        <v>5.0</v>
      </c>
      <c r="AG282" s="199">
        <v>126.0</v>
      </c>
      <c r="AH282" s="199">
        <v>4.0</v>
      </c>
      <c r="AI282" s="200" t="s">
        <v>776</v>
      </c>
      <c r="AJ282" s="200" t="s">
        <v>786</v>
      </c>
      <c r="AK282" s="200"/>
      <c r="AL282" s="204"/>
      <c r="AM282" s="204"/>
    </row>
    <row r="283">
      <c r="A283" s="199" t="s">
        <v>185</v>
      </c>
      <c r="B283" s="200" t="s">
        <v>800</v>
      </c>
      <c r="C283" s="199">
        <v>2.3235238202E10</v>
      </c>
      <c r="D283" s="201">
        <v>45154.0</v>
      </c>
      <c r="E283" s="202" t="s">
        <v>101</v>
      </c>
      <c r="F283" s="202" t="s">
        <v>101</v>
      </c>
      <c r="G283" s="203" t="s">
        <v>100</v>
      </c>
      <c r="H283" s="203" t="s">
        <v>101</v>
      </c>
      <c r="I283" s="199">
        <v>5143.0</v>
      </c>
      <c r="J283" s="199">
        <v>1691.0</v>
      </c>
      <c r="K283" s="199">
        <v>105.0</v>
      </c>
      <c r="L283" s="199">
        <v>19.0</v>
      </c>
      <c r="M283" s="199">
        <v>58.2</v>
      </c>
      <c r="N283" s="199"/>
      <c r="O283" s="199">
        <v>3.0</v>
      </c>
      <c r="P283" s="37"/>
      <c r="Q283" s="199">
        <v>0.0</v>
      </c>
      <c r="R283" s="199">
        <v>3.0</v>
      </c>
      <c r="S283" s="199">
        <v>0.0</v>
      </c>
      <c r="T283" s="199">
        <v>10.0</v>
      </c>
      <c r="U283" s="199">
        <v>16.0</v>
      </c>
      <c r="V283" s="199">
        <v>2.0</v>
      </c>
      <c r="W283" s="199">
        <v>0.0</v>
      </c>
      <c r="X283" s="199">
        <v>0.0</v>
      </c>
      <c r="Y283" s="199">
        <v>0.0</v>
      </c>
      <c r="Z283" s="199">
        <v>0.0</v>
      </c>
      <c r="AA283" s="199">
        <v>3.0</v>
      </c>
      <c r="AB283" s="199">
        <v>24.0</v>
      </c>
      <c r="AC283" s="199">
        <v>37.0</v>
      </c>
      <c r="AD283" s="199">
        <v>0.0</v>
      </c>
      <c r="AE283" s="199">
        <v>16.0</v>
      </c>
      <c r="AF283" s="199">
        <v>2.0</v>
      </c>
      <c r="AG283" s="199">
        <v>159.0</v>
      </c>
      <c r="AH283" s="199">
        <v>17.0</v>
      </c>
      <c r="AI283" s="200" t="s">
        <v>776</v>
      </c>
      <c r="AJ283" s="200" t="s">
        <v>777</v>
      </c>
      <c r="AK283" s="200"/>
      <c r="AL283" s="204"/>
      <c r="AM283" s="204"/>
    </row>
    <row r="284">
      <c r="A284" s="199" t="s">
        <v>185</v>
      </c>
      <c r="B284" s="200" t="s">
        <v>800</v>
      </c>
      <c r="C284" s="199">
        <v>2.4287130257E10</v>
      </c>
      <c r="D284" s="201">
        <v>45567.0</v>
      </c>
      <c r="E284" s="202" t="s">
        <v>101</v>
      </c>
      <c r="F284" s="202" t="s">
        <v>102</v>
      </c>
      <c r="G284" s="203" t="s">
        <v>101</v>
      </c>
      <c r="H284" s="203" t="s">
        <v>101</v>
      </c>
      <c r="I284" s="37"/>
      <c r="J284" s="37"/>
      <c r="K284" s="37"/>
      <c r="L284" s="199">
        <v>90.0</v>
      </c>
      <c r="M284" s="199">
        <v>57.3</v>
      </c>
      <c r="N284" s="199"/>
      <c r="O284" s="199">
        <v>3.0</v>
      </c>
      <c r="P284" s="37"/>
      <c r="Q284" s="199">
        <v>0.0</v>
      </c>
      <c r="R284" s="199">
        <v>0.0</v>
      </c>
      <c r="S284" s="199">
        <v>1.0</v>
      </c>
      <c r="T284" s="199">
        <v>64.0</v>
      </c>
      <c r="U284" s="199">
        <v>52.0</v>
      </c>
      <c r="V284" s="199">
        <v>0.0</v>
      </c>
      <c r="W284" s="199">
        <v>0.0</v>
      </c>
      <c r="X284" s="199">
        <v>0.0</v>
      </c>
      <c r="Y284" s="199">
        <v>0.0</v>
      </c>
      <c r="Z284" s="199">
        <v>3.0</v>
      </c>
      <c r="AA284" s="199">
        <v>1.0</v>
      </c>
      <c r="AB284" s="199">
        <v>12.0</v>
      </c>
      <c r="AC284" s="199">
        <v>13.0</v>
      </c>
      <c r="AD284" s="199">
        <v>0.0</v>
      </c>
      <c r="AE284" s="199">
        <v>94.0</v>
      </c>
      <c r="AF284" s="199">
        <v>2.0</v>
      </c>
      <c r="AG284" s="199">
        <v>241.0</v>
      </c>
      <c r="AH284" s="199">
        <v>23.0</v>
      </c>
      <c r="AI284" s="200" t="s">
        <v>787</v>
      </c>
      <c r="AJ284" s="200" t="s">
        <v>811</v>
      </c>
      <c r="AK284" s="200"/>
      <c r="AL284" s="204"/>
      <c r="AM284" s="204"/>
    </row>
    <row r="285">
      <c r="A285" s="199" t="s">
        <v>185</v>
      </c>
      <c r="B285" s="200" t="s">
        <v>800</v>
      </c>
      <c r="C285" s="199">
        <v>2.6005501213E10</v>
      </c>
      <c r="D285" s="201">
        <v>46007.0</v>
      </c>
      <c r="E285" s="202" t="s">
        <v>102</v>
      </c>
      <c r="F285" s="202" t="s">
        <v>102</v>
      </c>
      <c r="G285" s="203" t="s">
        <v>100</v>
      </c>
      <c r="H285" s="203" t="s">
        <v>100</v>
      </c>
      <c r="I285" s="37"/>
      <c r="J285" s="37"/>
      <c r="K285" s="37"/>
      <c r="L285" s="199">
        <v>32.0</v>
      </c>
      <c r="M285" s="199">
        <v>41.3</v>
      </c>
      <c r="N285" s="199"/>
      <c r="O285" s="199">
        <v>11.0</v>
      </c>
      <c r="P285" s="37"/>
      <c r="Q285" s="199">
        <v>0.0</v>
      </c>
      <c r="R285" s="199">
        <v>0.0</v>
      </c>
      <c r="S285" s="199">
        <v>0.0</v>
      </c>
      <c r="T285" s="199">
        <v>30.0</v>
      </c>
      <c r="U285" s="199">
        <v>20.0</v>
      </c>
      <c r="V285" s="199">
        <v>0.0</v>
      </c>
      <c r="W285" s="199">
        <v>0.0</v>
      </c>
      <c r="X285" s="199">
        <v>0.0</v>
      </c>
      <c r="Y285" s="199">
        <v>0.0</v>
      </c>
      <c r="Z285" s="199">
        <v>5.0</v>
      </c>
      <c r="AA285" s="199">
        <v>0.0</v>
      </c>
      <c r="AB285" s="199">
        <v>12.0</v>
      </c>
      <c r="AC285" s="199">
        <v>16.0</v>
      </c>
      <c r="AD285" s="199">
        <v>0.0</v>
      </c>
      <c r="AE285" s="199">
        <v>25.0</v>
      </c>
      <c r="AF285" s="199">
        <v>2.0</v>
      </c>
      <c r="AG285" s="199">
        <v>184.0</v>
      </c>
      <c r="AH285" s="199">
        <v>53.0</v>
      </c>
      <c r="AI285" s="200" t="s">
        <v>653</v>
      </c>
      <c r="AJ285" s="200" t="s">
        <v>778</v>
      </c>
      <c r="AK285" s="200"/>
      <c r="AL285" s="204"/>
      <c r="AM285" s="204"/>
    </row>
    <row r="286">
      <c r="A286" s="199" t="s">
        <v>186</v>
      </c>
      <c r="B286" s="200" t="s">
        <v>800</v>
      </c>
      <c r="C286" s="199">
        <v>2.2361270255E10</v>
      </c>
      <c r="D286" s="201">
        <v>44915.0</v>
      </c>
      <c r="E286" s="202" t="s">
        <v>101</v>
      </c>
      <c r="F286" s="202" t="s">
        <v>102</v>
      </c>
      <c r="G286" s="203" t="s">
        <v>101</v>
      </c>
      <c r="H286" s="203" t="s">
        <v>101</v>
      </c>
      <c r="I286" s="37"/>
      <c r="J286" s="37"/>
      <c r="K286" s="37"/>
      <c r="L286" s="199">
        <v>34.0</v>
      </c>
      <c r="M286" s="199">
        <v>57.0</v>
      </c>
      <c r="N286" s="199"/>
      <c r="O286" s="199">
        <v>0.0</v>
      </c>
      <c r="P286" s="37"/>
      <c r="Q286" s="199">
        <v>0.0</v>
      </c>
      <c r="R286" s="199">
        <v>1.0</v>
      </c>
      <c r="S286" s="199">
        <v>0.0</v>
      </c>
      <c r="T286" s="199">
        <v>3.0</v>
      </c>
      <c r="U286" s="199">
        <v>63.0</v>
      </c>
      <c r="V286" s="199">
        <v>1.0</v>
      </c>
      <c r="W286" s="199">
        <v>0.0</v>
      </c>
      <c r="X286" s="199">
        <v>0.0</v>
      </c>
      <c r="Y286" s="199">
        <v>0.0</v>
      </c>
      <c r="Z286" s="199">
        <v>0.0</v>
      </c>
      <c r="AA286" s="199">
        <v>0.0</v>
      </c>
      <c r="AB286" s="199">
        <v>7.0</v>
      </c>
      <c r="AC286" s="199">
        <v>13.0</v>
      </c>
      <c r="AD286" s="199">
        <v>0.0</v>
      </c>
      <c r="AE286" s="199">
        <v>7.0</v>
      </c>
      <c r="AF286" s="199">
        <v>1.0</v>
      </c>
      <c r="AG286" s="199">
        <v>266.0</v>
      </c>
      <c r="AH286" s="199">
        <v>2.0</v>
      </c>
      <c r="AI286" s="200" t="s">
        <v>787</v>
      </c>
      <c r="AJ286" s="200" t="s">
        <v>791</v>
      </c>
      <c r="AK286" s="200"/>
      <c r="AL286" s="204"/>
      <c r="AM286" s="204"/>
    </row>
    <row r="287">
      <c r="A287" s="199" t="s">
        <v>186</v>
      </c>
      <c r="B287" s="200" t="s">
        <v>800</v>
      </c>
      <c r="C287" s="199">
        <v>2.3127705254E10</v>
      </c>
      <c r="D287" s="201">
        <v>45043.0</v>
      </c>
      <c r="E287" s="202" t="s">
        <v>101</v>
      </c>
      <c r="F287" s="202" t="s">
        <v>101</v>
      </c>
      <c r="G287" s="203" t="s">
        <v>101</v>
      </c>
      <c r="H287" s="203" t="s">
        <v>101</v>
      </c>
      <c r="I287" s="199">
        <v>11156.0</v>
      </c>
      <c r="J287" s="199">
        <v>3874.0</v>
      </c>
      <c r="K287" s="199">
        <v>196.0</v>
      </c>
      <c r="L287" s="199">
        <v>13.0</v>
      </c>
      <c r="M287" s="199">
        <v>64.3</v>
      </c>
      <c r="N287" s="199"/>
      <c r="O287" s="199">
        <v>0.0</v>
      </c>
      <c r="P287" s="37"/>
      <c r="Q287" s="199">
        <v>0.0</v>
      </c>
      <c r="R287" s="199">
        <v>1.0</v>
      </c>
      <c r="S287" s="199">
        <v>0.0</v>
      </c>
      <c r="T287" s="199">
        <v>8.0</v>
      </c>
      <c r="U287" s="199">
        <v>11.0</v>
      </c>
      <c r="V287" s="199">
        <v>0.0</v>
      </c>
      <c r="W287" s="199">
        <v>0.0</v>
      </c>
      <c r="X287" s="199">
        <v>0.0</v>
      </c>
      <c r="Y287" s="199">
        <v>11.0</v>
      </c>
      <c r="Z287" s="199">
        <v>6.0</v>
      </c>
      <c r="AA287" s="199">
        <v>8.0</v>
      </c>
      <c r="AB287" s="199">
        <v>26.0</v>
      </c>
      <c r="AC287" s="199">
        <v>26.0</v>
      </c>
      <c r="AD287" s="199">
        <v>0.0</v>
      </c>
      <c r="AE287" s="199">
        <v>37.0</v>
      </c>
      <c r="AF287" s="199">
        <v>0.0</v>
      </c>
      <c r="AG287" s="199">
        <v>309.0</v>
      </c>
      <c r="AH287" s="199">
        <v>1.0</v>
      </c>
      <c r="AI287" s="200" t="s">
        <v>787</v>
      </c>
      <c r="AJ287" s="200" t="s">
        <v>791</v>
      </c>
      <c r="AK287" s="200"/>
      <c r="AL287" s="204"/>
      <c r="AM287" s="204"/>
    </row>
    <row r="288">
      <c r="A288" s="199" t="s">
        <v>186</v>
      </c>
      <c r="B288" s="200" t="s">
        <v>800</v>
      </c>
      <c r="C288" s="199">
        <v>2.3234228237E10</v>
      </c>
      <c r="D288" s="201">
        <v>45154.0</v>
      </c>
      <c r="E288" s="202" t="s">
        <v>101</v>
      </c>
      <c r="F288" s="202" t="s">
        <v>102</v>
      </c>
      <c r="G288" s="203" t="s">
        <v>101</v>
      </c>
      <c r="H288" s="203" t="s">
        <v>101</v>
      </c>
      <c r="I288" s="37"/>
      <c r="J288" s="37"/>
      <c r="K288" s="37"/>
      <c r="L288" s="199">
        <v>33.0</v>
      </c>
      <c r="M288" s="199">
        <v>56.4</v>
      </c>
      <c r="N288" s="199"/>
      <c r="O288" s="199">
        <v>0.0</v>
      </c>
      <c r="P288" s="37"/>
      <c r="Q288" s="199">
        <v>0.0</v>
      </c>
      <c r="R288" s="199">
        <v>0.0</v>
      </c>
      <c r="S288" s="199">
        <v>0.0</v>
      </c>
      <c r="T288" s="199">
        <v>0.0</v>
      </c>
      <c r="U288" s="199">
        <v>79.0</v>
      </c>
      <c r="V288" s="199">
        <v>0.0</v>
      </c>
      <c r="W288" s="199">
        <v>0.0</v>
      </c>
      <c r="X288" s="199">
        <v>0.0</v>
      </c>
      <c r="Y288" s="199">
        <v>0.0</v>
      </c>
      <c r="Z288" s="199">
        <v>1.0</v>
      </c>
      <c r="AA288" s="199">
        <v>0.0</v>
      </c>
      <c r="AB288" s="199">
        <v>13.0</v>
      </c>
      <c r="AC288" s="199">
        <v>32.0</v>
      </c>
      <c r="AD288" s="199">
        <v>0.0</v>
      </c>
      <c r="AE288" s="199">
        <v>10.0</v>
      </c>
      <c r="AF288" s="199">
        <v>2.0</v>
      </c>
      <c r="AG288" s="199">
        <v>225.0</v>
      </c>
      <c r="AH288" s="199">
        <v>0.0</v>
      </c>
      <c r="AI288" s="200" t="s">
        <v>787</v>
      </c>
      <c r="AJ288" s="200" t="s">
        <v>791</v>
      </c>
      <c r="AK288" s="200"/>
      <c r="AL288" s="204"/>
      <c r="AM288" s="204"/>
    </row>
    <row r="289">
      <c r="A289" s="199" t="s">
        <v>186</v>
      </c>
      <c r="B289" s="200" t="s">
        <v>800</v>
      </c>
      <c r="C289" s="199">
        <v>2.4287130217E10</v>
      </c>
      <c r="D289" s="201">
        <v>45567.0</v>
      </c>
      <c r="E289" s="202" t="s">
        <v>101</v>
      </c>
      <c r="F289" s="202" t="s">
        <v>102</v>
      </c>
      <c r="G289" s="203" t="s">
        <v>101</v>
      </c>
      <c r="H289" s="203" t="s">
        <v>101</v>
      </c>
      <c r="I289" s="37"/>
      <c r="J289" s="37"/>
      <c r="K289" s="37"/>
      <c r="L289" s="199">
        <v>356.0</v>
      </c>
      <c r="M289" s="199">
        <v>56.3</v>
      </c>
      <c r="N289" s="199"/>
      <c r="O289" s="199">
        <v>0.0</v>
      </c>
      <c r="P289" s="199">
        <v>0.1</v>
      </c>
      <c r="Q289" s="199">
        <v>0.0</v>
      </c>
      <c r="R289" s="199">
        <v>0.0</v>
      </c>
      <c r="S289" s="199">
        <v>0.0</v>
      </c>
      <c r="T289" s="199">
        <v>111.0</v>
      </c>
      <c r="U289" s="199">
        <v>246.0</v>
      </c>
      <c r="V289" s="199">
        <v>0.0</v>
      </c>
      <c r="W289" s="199">
        <v>0.0</v>
      </c>
      <c r="X289" s="199">
        <v>1.0</v>
      </c>
      <c r="Y289" s="199">
        <v>0.0</v>
      </c>
      <c r="Z289" s="199">
        <v>13.0</v>
      </c>
      <c r="AA289" s="199">
        <v>0.0</v>
      </c>
      <c r="AB289" s="199">
        <v>12.0</v>
      </c>
      <c r="AC289" s="199">
        <v>22.0</v>
      </c>
      <c r="AD289" s="199">
        <v>0.0</v>
      </c>
      <c r="AE289" s="199">
        <v>104.0</v>
      </c>
      <c r="AF289" s="199">
        <v>3.0</v>
      </c>
      <c r="AG289" s="199">
        <v>119.0</v>
      </c>
      <c r="AH289" s="199">
        <v>9.0</v>
      </c>
      <c r="AI289" s="200" t="s">
        <v>797</v>
      </c>
      <c r="AJ289" s="200" t="s">
        <v>814</v>
      </c>
      <c r="AK289" s="200"/>
      <c r="AL289" s="204"/>
      <c r="AM289" s="204"/>
    </row>
    <row r="290">
      <c r="A290" s="199" t="s">
        <v>186</v>
      </c>
      <c r="B290" s="200" t="s">
        <v>800</v>
      </c>
      <c r="C290" s="199">
        <v>2.6005501214E10</v>
      </c>
      <c r="D290" s="201">
        <v>46018.0</v>
      </c>
      <c r="E290" s="202" t="s">
        <v>101</v>
      </c>
      <c r="F290" s="202" t="s">
        <v>102</v>
      </c>
      <c r="G290" s="203" t="s">
        <v>101</v>
      </c>
      <c r="H290" s="203" t="s">
        <v>100</v>
      </c>
      <c r="I290" s="37"/>
      <c r="J290" s="37"/>
      <c r="K290" s="37"/>
      <c r="L290" s="199">
        <v>101.0</v>
      </c>
      <c r="M290" s="199">
        <v>42.6</v>
      </c>
      <c r="N290" s="199"/>
      <c r="O290" s="199">
        <v>11.0</v>
      </c>
      <c r="P290" s="37"/>
      <c r="Q290" s="199">
        <v>0.0</v>
      </c>
      <c r="R290" s="199">
        <v>1.0</v>
      </c>
      <c r="S290" s="199">
        <v>0.0</v>
      </c>
      <c r="T290" s="199">
        <v>27.0</v>
      </c>
      <c r="U290" s="199">
        <v>314.0</v>
      </c>
      <c r="V290" s="199">
        <v>2.0</v>
      </c>
      <c r="W290" s="199">
        <v>0.0</v>
      </c>
      <c r="X290" s="199">
        <v>0.0</v>
      </c>
      <c r="Y290" s="199">
        <v>0.0</v>
      </c>
      <c r="Z290" s="199">
        <v>0.0</v>
      </c>
      <c r="AA290" s="199">
        <v>0.0</v>
      </c>
      <c r="AB290" s="199">
        <v>10.0</v>
      </c>
      <c r="AC290" s="199">
        <v>15.0</v>
      </c>
      <c r="AD290" s="199">
        <v>0.0</v>
      </c>
      <c r="AE290" s="199">
        <v>129.0</v>
      </c>
      <c r="AF290" s="199">
        <v>8.0</v>
      </c>
      <c r="AG290" s="199">
        <v>424.0</v>
      </c>
      <c r="AH290" s="199">
        <v>34.0</v>
      </c>
      <c r="AI290" s="200" t="s">
        <v>797</v>
      </c>
      <c r="AJ290" s="200" t="s">
        <v>815</v>
      </c>
      <c r="AK290" s="200"/>
      <c r="AL290" s="204"/>
      <c r="AM290" s="204"/>
    </row>
    <row r="291">
      <c r="A291" s="199" t="s">
        <v>187</v>
      </c>
      <c r="B291" s="200" t="s">
        <v>800</v>
      </c>
      <c r="C291" s="199">
        <v>2.236430022E10</v>
      </c>
      <c r="D291" s="201">
        <v>44915.0</v>
      </c>
      <c r="E291" s="202" t="s">
        <v>101</v>
      </c>
      <c r="F291" s="202" t="s">
        <v>102</v>
      </c>
      <c r="G291" s="203" t="s">
        <v>102</v>
      </c>
      <c r="H291" s="203" t="s">
        <v>101</v>
      </c>
      <c r="I291" s="37"/>
      <c r="J291" s="37"/>
      <c r="K291" s="37"/>
      <c r="L291" s="199">
        <v>32.0</v>
      </c>
      <c r="M291" s="199">
        <v>52.3</v>
      </c>
      <c r="N291" s="199"/>
      <c r="O291" s="199">
        <v>0.0</v>
      </c>
      <c r="P291" s="37"/>
      <c r="Q291" s="199">
        <v>0.0</v>
      </c>
      <c r="R291" s="199">
        <v>6.0</v>
      </c>
      <c r="S291" s="199">
        <v>0.0</v>
      </c>
      <c r="T291" s="199">
        <v>21.0</v>
      </c>
      <c r="U291" s="199">
        <v>40.0</v>
      </c>
      <c r="V291" s="199">
        <v>0.0</v>
      </c>
      <c r="W291" s="199">
        <v>0.0</v>
      </c>
      <c r="X291" s="199">
        <v>6.0</v>
      </c>
      <c r="Y291" s="199">
        <v>0.0</v>
      </c>
      <c r="Z291" s="199">
        <v>6.0</v>
      </c>
      <c r="AA291" s="199">
        <v>4.0</v>
      </c>
      <c r="AB291" s="199">
        <v>19.0</v>
      </c>
      <c r="AC291" s="199">
        <v>33.0</v>
      </c>
      <c r="AD291" s="199">
        <v>0.0</v>
      </c>
      <c r="AE291" s="199">
        <v>42.0</v>
      </c>
      <c r="AF291" s="199">
        <v>3.0</v>
      </c>
      <c r="AG291" s="199">
        <v>371.0</v>
      </c>
      <c r="AH291" s="199">
        <v>6.0</v>
      </c>
      <c r="AI291" s="200" t="s">
        <v>776</v>
      </c>
      <c r="AJ291" s="200" t="s">
        <v>777</v>
      </c>
      <c r="AK291" s="200"/>
      <c r="AL291" s="204"/>
      <c r="AM291" s="204"/>
    </row>
    <row r="292">
      <c r="A292" s="199" t="s">
        <v>187</v>
      </c>
      <c r="B292" s="200" t="s">
        <v>800</v>
      </c>
      <c r="C292" s="199">
        <v>2.3127705238E10</v>
      </c>
      <c r="D292" s="201">
        <v>45043.0</v>
      </c>
      <c r="E292" s="202" t="s">
        <v>101</v>
      </c>
      <c r="F292" s="202" t="s">
        <v>102</v>
      </c>
      <c r="G292" s="203" t="s">
        <v>100</v>
      </c>
      <c r="H292" s="203" t="s">
        <v>101</v>
      </c>
      <c r="I292" s="37"/>
      <c r="J292" s="37"/>
      <c r="K292" s="37"/>
      <c r="L292" s="199">
        <v>15.0</v>
      </c>
      <c r="M292" s="199">
        <v>60.1</v>
      </c>
      <c r="N292" s="199"/>
      <c r="O292" s="199">
        <v>0.0</v>
      </c>
      <c r="P292" s="37"/>
      <c r="Q292" s="199">
        <v>0.0</v>
      </c>
      <c r="R292" s="199">
        <v>0.0</v>
      </c>
      <c r="S292" s="199">
        <v>0.0</v>
      </c>
      <c r="T292" s="199">
        <v>8.0</v>
      </c>
      <c r="U292" s="199">
        <v>8.0</v>
      </c>
      <c r="V292" s="199">
        <v>0.0</v>
      </c>
      <c r="W292" s="199">
        <v>0.0</v>
      </c>
      <c r="X292" s="199">
        <v>0.0</v>
      </c>
      <c r="Y292" s="199">
        <v>0.0</v>
      </c>
      <c r="Z292" s="199">
        <v>0.0</v>
      </c>
      <c r="AA292" s="199">
        <v>0.0</v>
      </c>
      <c r="AB292" s="199">
        <v>18.0</v>
      </c>
      <c r="AC292" s="199">
        <v>24.0</v>
      </c>
      <c r="AD292" s="199">
        <v>0.0</v>
      </c>
      <c r="AE292" s="199">
        <v>6.0</v>
      </c>
      <c r="AF292" s="199">
        <v>2.0</v>
      </c>
      <c r="AG292" s="199">
        <v>392.0</v>
      </c>
      <c r="AH292" s="199">
        <v>0.0</v>
      </c>
      <c r="AI292" s="200" t="s">
        <v>776</v>
      </c>
      <c r="AJ292" s="200" t="s">
        <v>777</v>
      </c>
      <c r="AK292" s="200"/>
      <c r="AL292" s="204"/>
      <c r="AM292" s="204"/>
    </row>
    <row r="293">
      <c r="A293" s="199" t="s">
        <v>187</v>
      </c>
      <c r="B293" s="200" t="s">
        <v>800</v>
      </c>
      <c r="C293" s="199">
        <v>2.323422828E10</v>
      </c>
      <c r="D293" s="201">
        <v>45154.0</v>
      </c>
      <c r="E293" s="202" t="s">
        <v>101</v>
      </c>
      <c r="F293" s="202" t="s">
        <v>100</v>
      </c>
      <c r="G293" s="203" t="s">
        <v>100</v>
      </c>
      <c r="H293" s="203" t="s">
        <v>101</v>
      </c>
      <c r="I293" s="199">
        <v>17996.0</v>
      </c>
      <c r="J293" s="199">
        <v>2665.0</v>
      </c>
      <c r="K293" s="199">
        <v>866.0</v>
      </c>
      <c r="L293" s="199">
        <v>5.0</v>
      </c>
      <c r="M293" s="199">
        <v>58.8</v>
      </c>
      <c r="N293" s="199"/>
      <c r="O293" s="199">
        <v>0.0</v>
      </c>
      <c r="P293" s="37"/>
      <c r="Q293" s="199">
        <v>0.0</v>
      </c>
      <c r="R293" s="199">
        <v>3.0</v>
      </c>
      <c r="S293" s="199">
        <v>0.0</v>
      </c>
      <c r="T293" s="199">
        <v>13.0</v>
      </c>
      <c r="U293" s="199">
        <v>16.0</v>
      </c>
      <c r="V293" s="199">
        <v>0.0</v>
      </c>
      <c r="W293" s="199">
        <v>0.0</v>
      </c>
      <c r="X293" s="199">
        <v>0.0</v>
      </c>
      <c r="Y293" s="199">
        <v>0.0</v>
      </c>
      <c r="Z293" s="199">
        <v>0.0</v>
      </c>
      <c r="AA293" s="199">
        <v>0.0</v>
      </c>
      <c r="AB293" s="199">
        <v>14.0</v>
      </c>
      <c r="AC293" s="199">
        <v>33.0</v>
      </c>
      <c r="AD293" s="199">
        <v>0.0</v>
      </c>
      <c r="AE293" s="199">
        <v>12.0</v>
      </c>
      <c r="AF293" s="199">
        <v>2.0</v>
      </c>
      <c r="AG293" s="199">
        <v>235.0</v>
      </c>
      <c r="AH293" s="199">
        <v>4.0</v>
      </c>
      <c r="AI293" s="200" t="s">
        <v>776</v>
      </c>
      <c r="AJ293" s="200" t="s">
        <v>777</v>
      </c>
      <c r="AK293" s="200"/>
      <c r="AL293" s="204"/>
      <c r="AM293" s="204"/>
    </row>
    <row r="294">
      <c r="A294" s="199" t="s">
        <v>187</v>
      </c>
      <c r="B294" s="200" t="s">
        <v>800</v>
      </c>
      <c r="C294" s="199">
        <v>2.4287130259E10</v>
      </c>
      <c r="D294" s="201">
        <v>45567.0</v>
      </c>
      <c r="E294" s="202" t="s">
        <v>101</v>
      </c>
      <c r="F294" s="202" t="s">
        <v>102</v>
      </c>
      <c r="G294" s="203" t="s">
        <v>102</v>
      </c>
      <c r="H294" s="203" t="s">
        <v>101</v>
      </c>
      <c r="I294" s="37"/>
      <c r="J294" s="37"/>
      <c r="K294" s="37"/>
      <c r="L294" s="199">
        <v>71.0</v>
      </c>
      <c r="M294" s="199">
        <v>59.5</v>
      </c>
      <c r="N294" s="199"/>
      <c r="O294" s="199">
        <v>3.0</v>
      </c>
      <c r="P294" s="37"/>
      <c r="Q294" s="199">
        <v>0.0</v>
      </c>
      <c r="R294" s="199">
        <v>0.0</v>
      </c>
      <c r="S294" s="199">
        <v>0.0</v>
      </c>
      <c r="T294" s="199">
        <v>48.0</v>
      </c>
      <c r="U294" s="199">
        <v>38.0</v>
      </c>
      <c r="V294" s="199">
        <v>2.0</v>
      </c>
      <c r="W294" s="199">
        <v>0.0</v>
      </c>
      <c r="X294" s="199">
        <v>0.0</v>
      </c>
      <c r="Y294" s="199">
        <v>0.0</v>
      </c>
      <c r="Z294" s="199">
        <v>2.0</v>
      </c>
      <c r="AA294" s="199">
        <v>0.0</v>
      </c>
      <c r="AB294" s="199">
        <v>10.0</v>
      </c>
      <c r="AC294" s="199">
        <v>12.0</v>
      </c>
      <c r="AD294" s="199">
        <v>0.0</v>
      </c>
      <c r="AE294" s="199">
        <v>42.0</v>
      </c>
      <c r="AF294" s="199">
        <v>6.0</v>
      </c>
      <c r="AG294" s="199">
        <v>327.0</v>
      </c>
      <c r="AH294" s="199">
        <v>15.0</v>
      </c>
      <c r="AI294" s="200" t="s">
        <v>776</v>
      </c>
      <c r="AJ294" s="200" t="s">
        <v>777</v>
      </c>
      <c r="AK294" s="200"/>
      <c r="AL294" s="204"/>
      <c r="AM294" s="204"/>
    </row>
    <row r="295">
      <c r="A295" s="199" t="s">
        <v>187</v>
      </c>
      <c r="B295" s="200" t="s">
        <v>800</v>
      </c>
      <c r="C295" s="199">
        <v>2.6005501218E10</v>
      </c>
      <c r="D295" s="201">
        <v>46007.0</v>
      </c>
      <c r="E295" s="202" t="s">
        <v>101</v>
      </c>
      <c r="F295" s="202" t="s">
        <v>101</v>
      </c>
      <c r="G295" s="203" t="s">
        <v>101</v>
      </c>
      <c r="H295" s="203" t="s">
        <v>102</v>
      </c>
      <c r="I295" s="37"/>
      <c r="J295" s="37"/>
      <c r="K295" s="37"/>
      <c r="L295" s="199">
        <v>90.0</v>
      </c>
      <c r="M295" s="199">
        <v>49.8</v>
      </c>
      <c r="N295" s="199"/>
      <c r="O295" s="199">
        <v>19.0</v>
      </c>
      <c r="P295" s="37"/>
      <c r="Q295" s="199">
        <v>0.0</v>
      </c>
      <c r="R295" s="199">
        <v>10.0</v>
      </c>
      <c r="S295" s="199">
        <v>0.0</v>
      </c>
      <c r="T295" s="199">
        <v>347.0</v>
      </c>
      <c r="U295" s="199">
        <v>155.0</v>
      </c>
      <c r="V295" s="199">
        <v>0.0</v>
      </c>
      <c r="W295" s="199">
        <v>0.0</v>
      </c>
      <c r="X295" s="199">
        <v>14.0</v>
      </c>
      <c r="Y295" s="199">
        <v>0.0</v>
      </c>
      <c r="Z295" s="199">
        <v>2.0</v>
      </c>
      <c r="AA295" s="199">
        <v>0.0</v>
      </c>
      <c r="AB295" s="199">
        <v>42.0</v>
      </c>
      <c r="AC295" s="199">
        <v>58.0</v>
      </c>
      <c r="AD295" s="199">
        <v>0.0</v>
      </c>
      <c r="AE295" s="199">
        <v>508.0</v>
      </c>
      <c r="AF295" s="199">
        <v>17.0</v>
      </c>
      <c r="AG295" s="199">
        <v>360.0</v>
      </c>
      <c r="AH295" s="199">
        <v>50.0</v>
      </c>
      <c r="AI295" s="200" t="s">
        <v>787</v>
      </c>
      <c r="AJ295" s="200" t="s">
        <v>816</v>
      </c>
      <c r="AK295" s="200"/>
      <c r="AL295" s="204"/>
      <c r="AM295" s="204"/>
    </row>
    <row r="296">
      <c r="A296" s="199" t="s">
        <v>188</v>
      </c>
      <c r="B296" s="200" t="s">
        <v>800</v>
      </c>
      <c r="C296" s="199">
        <v>2.2364300222E10</v>
      </c>
      <c r="D296" s="201">
        <v>44915.0</v>
      </c>
      <c r="E296" s="202" t="s">
        <v>101</v>
      </c>
      <c r="F296" s="202" t="s">
        <v>101</v>
      </c>
      <c r="G296" s="203" t="s">
        <v>102</v>
      </c>
      <c r="H296" s="203" t="s">
        <v>101</v>
      </c>
      <c r="I296" s="37"/>
      <c r="J296" s="37"/>
      <c r="K296" s="37"/>
      <c r="L296" s="199">
        <v>41.0</v>
      </c>
      <c r="M296" s="199">
        <v>55.3</v>
      </c>
      <c r="N296" s="199"/>
      <c r="O296" s="199">
        <v>0.0</v>
      </c>
      <c r="P296" s="37"/>
      <c r="Q296" s="199">
        <v>0.0</v>
      </c>
      <c r="R296" s="199">
        <v>6.0</v>
      </c>
      <c r="S296" s="199">
        <v>0.0</v>
      </c>
      <c r="T296" s="199">
        <v>41.0</v>
      </c>
      <c r="U296" s="199">
        <v>36.0</v>
      </c>
      <c r="V296" s="199">
        <v>0.0</v>
      </c>
      <c r="W296" s="199">
        <v>0.0</v>
      </c>
      <c r="X296" s="199">
        <v>6.0</v>
      </c>
      <c r="Y296" s="199">
        <v>9.0</v>
      </c>
      <c r="Z296" s="199">
        <v>0.0</v>
      </c>
      <c r="AA296" s="199">
        <v>2.0</v>
      </c>
      <c r="AB296" s="199">
        <v>28.0</v>
      </c>
      <c r="AC296" s="199">
        <v>30.0</v>
      </c>
      <c r="AD296" s="199">
        <v>0.0</v>
      </c>
      <c r="AE296" s="199">
        <v>31.0</v>
      </c>
      <c r="AF296" s="199">
        <v>1.0</v>
      </c>
      <c r="AG296" s="199">
        <v>365.0</v>
      </c>
      <c r="AH296" s="199">
        <v>7.0</v>
      </c>
      <c r="AI296" s="200" t="s">
        <v>776</v>
      </c>
      <c r="AJ296" s="200" t="s">
        <v>777</v>
      </c>
      <c r="AK296" s="200"/>
      <c r="AL296" s="204"/>
      <c r="AM296" s="204"/>
    </row>
    <row r="297">
      <c r="A297" s="199" t="s">
        <v>188</v>
      </c>
      <c r="B297" s="200" t="s">
        <v>800</v>
      </c>
      <c r="C297" s="199">
        <v>2.3127705667E10</v>
      </c>
      <c r="D297" s="201">
        <v>45043.0</v>
      </c>
      <c r="E297" s="202" t="s">
        <v>101</v>
      </c>
      <c r="F297" s="202" t="s">
        <v>101</v>
      </c>
      <c r="G297" s="203" t="s">
        <v>100</v>
      </c>
      <c r="H297" s="203" t="s">
        <v>101</v>
      </c>
      <c r="I297" s="37"/>
      <c r="J297" s="37"/>
      <c r="K297" s="37"/>
      <c r="L297" s="199">
        <v>40.0</v>
      </c>
      <c r="M297" s="199">
        <v>56.9</v>
      </c>
      <c r="N297" s="199"/>
      <c r="O297" s="199">
        <v>0.0</v>
      </c>
      <c r="P297" s="37"/>
      <c r="Q297" s="199">
        <v>0.0</v>
      </c>
      <c r="R297" s="199">
        <v>5.0</v>
      </c>
      <c r="S297" s="199">
        <v>1.0</v>
      </c>
      <c r="T297" s="199">
        <v>16.0</v>
      </c>
      <c r="U297" s="199">
        <v>37.0</v>
      </c>
      <c r="V297" s="199">
        <v>1.0</v>
      </c>
      <c r="W297" s="199">
        <v>0.0</v>
      </c>
      <c r="X297" s="199">
        <v>0.0</v>
      </c>
      <c r="Y297" s="199">
        <v>0.0</v>
      </c>
      <c r="Z297" s="199">
        <v>17.0</v>
      </c>
      <c r="AA297" s="199">
        <v>0.0</v>
      </c>
      <c r="AB297" s="199">
        <v>28.0</v>
      </c>
      <c r="AC297" s="199">
        <v>54.0</v>
      </c>
      <c r="AD297" s="199">
        <v>0.0</v>
      </c>
      <c r="AE297" s="199">
        <v>18.0</v>
      </c>
      <c r="AF297" s="199">
        <v>3.0</v>
      </c>
      <c r="AG297" s="199">
        <v>246.0</v>
      </c>
      <c r="AH297" s="199">
        <v>9.0</v>
      </c>
      <c r="AI297" s="200" t="s">
        <v>776</v>
      </c>
      <c r="AJ297" s="200" t="s">
        <v>777</v>
      </c>
      <c r="AK297" s="200"/>
      <c r="AL297" s="204"/>
      <c r="AM297" s="204"/>
    </row>
    <row r="298">
      <c r="A298" s="199" t="s">
        <v>188</v>
      </c>
      <c r="B298" s="200" t="s">
        <v>800</v>
      </c>
      <c r="C298" s="199">
        <v>2.3234228282E10</v>
      </c>
      <c r="D298" s="201">
        <v>45154.0</v>
      </c>
      <c r="E298" s="202" t="s">
        <v>101</v>
      </c>
      <c r="F298" s="202" t="s">
        <v>101</v>
      </c>
      <c r="G298" s="203" t="s">
        <v>101</v>
      </c>
      <c r="H298" s="203" t="s">
        <v>101</v>
      </c>
      <c r="I298" s="37"/>
      <c r="J298" s="37"/>
      <c r="K298" s="37"/>
      <c r="L298" s="199">
        <v>107.0</v>
      </c>
      <c r="M298" s="199">
        <v>59.7</v>
      </c>
      <c r="N298" s="199"/>
      <c r="O298" s="199">
        <v>2.0</v>
      </c>
      <c r="P298" s="37"/>
      <c r="Q298" s="199">
        <v>0.0</v>
      </c>
      <c r="R298" s="199">
        <v>0.0</v>
      </c>
      <c r="S298" s="199">
        <v>0.0</v>
      </c>
      <c r="T298" s="199">
        <v>191.0</v>
      </c>
      <c r="U298" s="199">
        <v>114.0</v>
      </c>
      <c r="V298" s="199">
        <v>2.0</v>
      </c>
      <c r="W298" s="199">
        <v>0.0</v>
      </c>
      <c r="X298" s="199">
        <v>0.0</v>
      </c>
      <c r="Y298" s="199">
        <v>0.0</v>
      </c>
      <c r="Z298" s="199">
        <v>0.0</v>
      </c>
      <c r="AA298" s="199">
        <v>0.0</v>
      </c>
      <c r="AB298" s="199">
        <v>22.0</v>
      </c>
      <c r="AC298" s="199">
        <v>25.0</v>
      </c>
      <c r="AD298" s="199">
        <v>0.0</v>
      </c>
      <c r="AE298" s="199">
        <v>38.0</v>
      </c>
      <c r="AF298" s="199">
        <v>9.0</v>
      </c>
      <c r="AG298" s="199">
        <v>213.0</v>
      </c>
      <c r="AH298" s="199">
        <v>2.0</v>
      </c>
      <c r="AI298" s="200" t="s">
        <v>797</v>
      </c>
      <c r="AJ298" s="200" t="s">
        <v>803</v>
      </c>
      <c r="AK298" s="200"/>
      <c r="AL298" s="204"/>
      <c r="AM298" s="204"/>
    </row>
    <row r="299">
      <c r="A299" s="199" t="s">
        <v>188</v>
      </c>
      <c r="B299" s="200" t="s">
        <v>800</v>
      </c>
      <c r="C299" s="199">
        <v>2.4288140258E10</v>
      </c>
      <c r="D299" s="201">
        <v>45567.0</v>
      </c>
      <c r="E299" s="202" t="s">
        <v>101</v>
      </c>
      <c r="F299" s="202" t="s">
        <v>102</v>
      </c>
      <c r="G299" s="203" t="s">
        <v>101</v>
      </c>
      <c r="H299" s="203" t="s">
        <v>101</v>
      </c>
      <c r="I299" s="37"/>
      <c r="J299" s="37"/>
      <c r="K299" s="37"/>
      <c r="L299" s="199">
        <v>82.0</v>
      </c>
      <c r="M299" s="199">
        <v>59.0</v>
      </c>
      <c r="N299" s="199"/>
      <c r="O299" s="199">
        <v>3.0</v>
      </c>
      <c r="P299" s="37"/>
      <c r="Q299" s="199">
        <v>0.0</v>
      </c>
      <c r="R299" s="199">
        <v>0.0</v>
      </c>
      <c r="S299" s="199">
        <v>0.0</v>
      </c>
      <c r="T299" s="199">
        <v>60.0</v>
      </c>
      <c r="U299" s="199">
        <v>67.0</v>
      </c>
      <c r="V299" s="199">
        <v>2.0</v>
      </c>
      <c r="W299" s="199">
        <v>0.0</v>
      </c>
      <c r="X299" s="199">
        <v>0.0</v>
      </c>
      <c r="Y299" s="199">
        <v>0.0</v>
      </c>
      <c r="Z299" s="199">
        <v>2.0</v>
      </c>
      <c r="AA299" s="199">
        <v>0.0</v>
      </c>
      <c r="AB299" s="199">
        <v>12.0</v>
      </c>
      <c r="AC299" s="199">
        <v>16.0</v>
      </c>
      <c r="AD299" s="199">
        <v>2.0</v>
      </c>
      <c r="AE299" s="199">
        <v>92.0</v>
      </c>
      <c r="AF299" s="199">
        <v>6.0</v>
      </c>
      <c r="AG299" s="199">
        <v>255.0</v>
      </c>
      <c r="AH299" s="199">
        <v>28.0</v>
      </c>
      <c r="AI299" s="200" t="s">
        <v>787</v>
      </c>
      <c r="AJ299" s="200" t="s">
        <v>811</v>
      </c>
      <c r="AK299" s="200"/>
      <c r="AL299" s="204"/>
      <c r="AM299" s="204"/>
    </row>
    <row r="300">
      <c r="A300" s="199" t="s">
        <v>188</v>
      </c>
      <c r="B300" s="200" t="s">
        <v>800</v>
      </c>
      <c r="C300" s="199">
        <v>2.6005501211E10</v>
      </c>
      <c r="D300" s="201">
        <v>46007.0</v>
      </c>
      <c r="E300" s="202" t="s">
        <v>101</v>
      </c>
      <c r="F300" s="202" t="s">
        <v>101</v>
      </c>
      <c r="G300" s="203" t="s">
        <v>101</v>
      </c>
      <c r="H300" s="203" t="s">
        <v>100</v>
      </c>
      <c r="I300" s="37"/>
      <c r="J300" s="37"/>
      <c r="K300" s="37"/>
      <c r="L300" s="199">
        <v>49.0</v>
      </c>
      <c r="M300" s="199">
        <v>44.5</v>
      </c>
      <c r="N300" s="199"/>
      <c r="O300" s="199">
        <v>11.0</v>
      </c>
      <c r="P300" s="37"/>
      <c r="Q300" s="199">
        <v>0.0</v>
      </c>
      <c r="R300" s="199">
        <v>0.0</v>
      </c>
      <c r="S300" s="199">
        <v>1.0</v>
      </c>
      <c r="T300" s="199">
        <v>47.0</v>
      </c>
      <c r="U300" s="199">
        <v>63.0</v>
      </c>
      <c r="V300" s="199">
        <v>0.0</v>
      </c>
      <c r="W300" s="199">
        <v>0.0</v>
      </c>
      <c r="X300" s="199">
        <v>0.0</v>
      </c>
      <c r="Y300" s="199">
        <v>0.0</v>
      </c>
      <c r="Z300" s="199">
        <v>2.0</v>
      </c>
      <c r="AA300" s="199">
        <v>0.0</v>
      </c>
      <c r="AB300" s="199">
        <v>31.0</v>
      </c>
      <c r="AC300" s="199">
        <v>64.0</v>
      </c>
      <c r="AD300" s="199">
        <v>0.0</v>
      </c>
      <c r="AE300" s="199">
        <v>65.0</v>
      </c>
      <c r="AF300" s="199">
        <v>5.0</v>
      </c>
      <c r="AG300" s="199">
        <v>471.0</v>
      </c>
      <c r="AH300" s="199">
        <v>35.0</v>
      </c>
      <c r="AI300" s="200" t="s">
        <v>787</v>
      </c>
      <c r="AJ300" s="200" t="s">
        <v>817</v>
      </c>
      <c r="AK300" s="200"/>
      <c r="AL300" s="204"/>
      <c r="AM300" s="204"/>
    </row>
    <row r="301">
      <c r="A301" s="199" t="s">
        <v>189</v>
      </c>
      <c r="B301" s="200" t="s">
        <v>430</v>
      </c>
      <c r="C301" s="199">
        <v>2.4288814023E10</v>
      </c>
      <c r="D301" s="201">
        <v>45560.0</v>
      </c>
      <c r="E301" s="202" t="s">
        <v>100</v>
      </c>
      <c r="F301" s="202" t="s">
        <v>100</v>
      </c>
      <c r="G301" s="203" t="s">
        <v>100</v>
      </c>
      <c r="H301" s="203" t="s">
        <v>100</v>
      </c>
      <c r="I301" s="199">
        <v>29237.0</v>
      </c>
      <c r="J301" s="199">
        <v>19632.0</v>
      </c>
      <c r="K301" s="199">
        <v>5532.0</v>
      </c>
      <c r="L301" s="199">
        <v>6.0</v>
      </c>
      <c r="M301" s="199">
        <v>305.9</v>
      </c>
      <c r="N301" s="199"/>
      <c r="O301" s="199">
        <v>1.0</v>
      </c>
      <c r="P301" s="199">
        <v>0.02</v>
      </c>
      <c r="Q301" s="199">
        <v>0.0</v>
      </c>
      <c r="R301" s="199">
        <v>0.0</v>
      </c>
      <c r="S301" s="199">
        <v>0.0</v>
      </c>
      <c r="T301" s="199">
        <v>0.0</v>
      </c>
      <c r="U301" s="199">
        <v>7.0</v>
      </c>
      <c r="V301" s="199">
        <v>0.0</v>
      </c>
      <c r="W301" s="199">
        <v>0.0</v>
      </c>
      <c r="X301" s="199">
        <v>0.0</v>
      </c>
      <c r="Y301" s="199">
        <v>0.0</v>
      </c>
      <c r="Z301" s="199">
        <v>0.0</v>
      </c>
      <c r="AA301" s="199">
        <v>0.0</v>
      </c>
      <c r="AB301" s="199">
        <v>2.0</v>
      </c>
      <c r="AC301" s="199">
        <v>38.0</v>
      </c>
      <c r="AD301" s="199">
        <v>0.0</v>
      </c>
      <c r="AE301" s="199">
        <v>4.0</v>
      </c>
      <c r="AF301" s="199">
        <v>2.0</v>
      </c>
      <c r="AG301" s="199">
        <v>315.0</v>
      </c>
      <c r="AH301" s="199">
        <v>8.0</v>
      </c>
      <c r="AI301" s="200" t="s">
        <v>655</v>
      </c>
      <c r="AJ301" s="200" t="s">
        <v>656</v>
      </c>
      <c r="AK301" s="200"/>
      <c r="AL301" s="204"/>
      <c r="AM301" s="204"/>
    </row>
    <row r="302">
      <c r="A302" s="199" t="s">
        <v>190</v>
      </c>
      <c r="B302" s="200" t="s">
        <v>431</v>
      </c>
      <c r="C302" s="199">
        <v>2.4288814028E10</v>
      </c>
      <c r="D302" s="201">
        <v>45560.0</v>
      </c>
      <c r="E302" s="202" t="s">
        <v>100</v>
      </c>
      <c r="F302" s="202" t="s">
        <v>100</v>
      </c>
      <c r="G302" s="203" t="s">
        <v>100</v>
      </c>
      <c r="H302" s="203" t="s">
        <v>100</v>
      </c>
      <c r="I302" s="199">
        <v>32092.0</v>
      </c>
      <c r="J302" s="199">
        <v>19005.0</v>
      </c>
      <c r="K302" s="199">
        <v>9371.0</v>
      </c>
      <c r="L302" s="199">
        <v>5.0</v>
      </c>
      <c r="M302" s="199">
        <v>307.5</v>
      </c>
      <c r="N302" s="199"/>
      <c r="O302" s="199">
        <v>1.0</v>
      </c>
      <c r="P302" s="199">
        <v>0.02</v>
      </c>
      <c r="Q302" s="199">
        <v>0.0</v>
      </c>
      <c r="R302" s="199">
        <v>0.0</v>
      </c>
      <c r="S302" s="199">
        <v>0.0</v>
      </c>
      <c r="T302" s="199">
        <v>0.0</v>
      </c>
      <c r="U302" s="199">
        <v>16.0</v>
      </c>
      <c r="V302" s="199">
        <v>0.0</v>
      </c>
      <c r="W302" s="199">
        <v>0.0</v>
      </c>
      <c r="X302" s="199">
        <v>0.0</v>
      </c>
      <c r="Y302" s="199">
        <v>0.0</v>
      </c>
      <c r="Z302" s="199">
        <v>0.0</v>
      </c>
      <c r="AA302" s="199">
        <v>0.0</v>
      </c>
      <c r="AB302" s="199">
        <v>6.0</v>
      </c>
      <c r="AC302" s="199">
        <v>14.0</v>
      </c>
      <c r="AD302" s="199">
        <v>0.0</v>
      </c>
      <c r="AE302" s="199">
        <v>8.0</v>
      </c>
      <c r="AF302" s="199">
        <v>2.0</v>
      </c>
      <c r="AG302" s="199">
        <v>281.0</v>
      </c>
      <c r="AH302" s="199">
        <v>4.0</v>
      </c>
      <c r="AI302" s="200" t="s">
        <v>655</v>
      </c>
      <c r="AJ302" s="200" t="s">
        <v>656</v>
      </c>
      <c r="AK302" s="200"/>
      <c r="AL302" s="204"/>
      <c r="AM302" s="204"/>
    </row>
    <row r="303">
      <c r="A303" s="199" t="s">
        <v>207</v>
      </c>
      <c r="B303" s="200" t="s">
        <v>818</v>
      </c>
      <c r="C303" s="199">
        <v>2.5180296208E10</v>
      </c>
      <c r="D303" s="201">
        <v>45826.0</v>
      </c>
      <c r="E303" s="202" t="s">
        <v>102</v>
      </c>
      <c r="F303" s="202" t="s">
        <v>102</v>
      </c>
      <c r="G303" s="203" t="s">
        <v>102</v>
      </c>
      <c r="H303" s="203" t="s">
        <v>100</v>
      </c>
      <c r="I303" s="199">
        <v>12574.0</v>
      </c>
      <c r="J303" s="199">
        <v>6840.0</v>
      </c>
      <c r="K303" s="37"/>
      <c r="L303" s="199">
        <v>16.0</v>
      </c>
      <c r="M303" s="199">
        <v>44.6</v>
      </c>
      <c r="N303" s="199"/>
      <c r="O303" s="199">
        <v>0.0</v>
      </c>
      <c r="P303" s="199">
        <v>0.04</v>
      </c>
      <c r="Q303" s="199">
        <v>0.0</v>
      </c>
      <c r="R303" s="199">
        <v>0.0</v>
      </c>
      <c r="S303" s="199">
        <v>0.0</v>
      </c>
      <c r="T303" s="199">
        <v>5.0</v>
      </c>
      <c r="U303" s="199">
        <v>50.0</v>
      </c>
      <c r="V303" s="199">
        <v>0.0</v>
      </c>
      <c r="W303" s="199">
        <v>0.0</v>
      </c>
      <c r="X303" s="199">
        <v>8.0</v>
      </c>
      <c r="Y303" s="199">
        <v>0.0</v>
      </c>
      <c r="Z303" s="199">
        <v>0.0</v>
      </c>
      <c r="AA303" s="199">
        <v>0.0</v>
      </c>
      <c r="AB303" s="199">
        <v>10.0</v>
      </c>
      <c r="AC303" s="199">
        <v>1.0</v>
      </c>
      <c r="AD303" s="199">
        <v>0.0</v>
      </c>
      <c r="AE303" s="199">
        <v>85.0</v>
      </c>
      <c r="AF303" s="199">
        <v>2.0</v>
      </c>
      <c r="AG303" s="199">
        <v>514.0</v>
      </c>
      <c r="AH303" s="199">
        <v>624.0</v>
      </c>
      <c r="AI303" s="200" t="s">
        <v>774</v>
      </c>
      <c r="AJ303" s="200" t="s">
        <v>775</v>
      </c>
      <c r="AK303" s="200"/>
      <c r="AL303" s="204"/>
      <c r="AM303" s="204"/>
    </row>
    <row r="304">
      <c r="A304" s="199" t="s">
        <v>207</v>
      </c>
      <c r="B304" s="200" t="s">
        <v>818</v>
      </c>
      <c r="C304" s="199">
        <v>2.5258159206E10</v>
      </c>
      <c r="D304" s="201">
        <v>45909.0</v>
      </c>
      <c r="E304" s="202" t="s">
        <v>100</v>
      </c>
      <c r="F304" s="202" t="s">
        <v>100</v>
      </c>
      <c r="G304" s="203" t="s">
        <v>100</v>
      </c>
      <c r="H304" s="203" t="s">
        <v>100</v>
      </c>
      <c r="I304" s="199">
        <v>5491.0</v>
      </c>
      <c r="J304" s="199">
        <v>910.0</v>
      </c>
      <c r="K304" s="199">
        <v>2117.0</v>
      </c>
      <c r="L304" s="199">
        <v>5.0</v>
      </c>
      <c r="M304" s="199">
        <v>48.5</v>
      </c>
      <c r="N304" s="199"/>
      <c r="O304" s="199">
        <v>0.0</v>
      </c>
      <c r="P304" s="199">
        <v>0.003</v>
      </c>
      <c r="Q304" s="199">
        <v>0.0</v>
      </c>
      <c r="R304" s="199">
        <v>5.0</v>
      </c>
      <c r="S304" s="199">
        <v>1.0</v>
      </c>
      <c r="T304" s="199">
        <v>2.0</v>
      </c>
      <c r="U304" s="199">
        <v>4.0</v>
      </c>
      <c r="V304" s="199">
        <v>0.0</v>
      </c>
      <c r="W304" s="199">
        <v>0.0</v>
      </c>
      <c r="X304" s="199">
        <v>0.0</v>
      </c>
      <c r="Y304" s="199">
        <v>0.0</v>
      </c>
      <c r="Z304" s="199">
        <v>0.0</v>
      </c>
      <c r="AA304" s="199">
        <v>0.0</v>
      </c>
      <c r="AB304" s="199">
        <v>0.0</v>
      </c>
      <c r="AC304" s="199">
        <v>2.0</v>
      </c>
      <c r="AD304" s="199">
        <v>0.0</v>
      </c>
      <c r="AE304" s="199">
        <v>68.0</v>
      </c>
      <c r="AF304" s="199">
        <v>0.0</v>
      </c>
      <c r="AG304" s="199">
        <v>464.0</v>
      </c>
      <c r="AH304" s="199">
        <v>480.0</v>
      </c>
      <c r="AI304" s="200" t="s">
        <v>655</v>
      </c>
      <c r="AJ304" s="200" t="s">
        <v>656</v>
      </c>
      <c r="AK304" s="200"/>
      <c r="AL304" s="204"/>
      <c r="AM304" s="204"/>
    </row>
    <row r="305">
      <c r="A305" s="199" t="s">
        <v>207</v>
      </c>
      <c r="B305" s="200" t="s">
        <v>818</v>
      </c>
      <c r="C305" s="199">
        <v>2.5294210202E10</v>
      </c>
      <c r="D305" s="201">
        <v>45946.0</v>
      </c>
      <c r="E305" s="202" t="s">
        <v>100</v>
      </c>
      <c r="F305" s="202" t="s">
        <v>100</v>
      </c>
      <c r="G305" s="203" t="s">
        <v>100</v>
      </c>
      <c r="H305" s="203" t="s">
        <v>100</v>
      </c>
      <c r="I305" s="199">
        <v>6819.0</v>
      </c>
      <c r="J305" s="199">
        <v>3112.0</v>
      </c>
      <c r="K305" s="199">
        <v>422.0</v>
      </c>
      <c r="L305" s="199">
        <v>3.0</v>
      </c>
      <c r="M305" s="199">
        <v>45.3</v>
      </c>
      <c r="N305" s="199"/>
      <c r="O305" s="199">
        <v>0.0</v>
      </c>
      <c r="P305" s="199">
        <v>0.003</v>
      </c>
      <c r="Q305" s="199">
        <v>0.0</v>
      </c>
      <c r="R305" s="199">
        <v>3.0</v>
      </c>
      <c r="S305" s="199">
        <v>0.0</v>
      </c>
      <c r="T305" s="199">
        <v>2.0</v>
      </c>
      <c r="U305" s="199">
        <v>0.0</v>
      </c>
      <c r="V305" s="199">
        <v>0.0</v>
      </c>
      <c r="W305" s="199">
        <v>0.0</v>
      </c>
      <c r="X305" s="199">
        <v>0.0</v>
      </c>
      <c r="Y305" s="199">
        <v>0.0</v>
      </c>
      <c r="Z305" s="199">
        <v>0.0</v>
      </c>
      <c r="AA305" s="199">
        <v>0.0</v>
      </c>
      <c r="AB305" s="199">
        <v>1.0</v>
      </c>
      <c r="AC305" s="199">
        <v>0.0</v>
      </c>
      <c r="AD305" s="199">
        <v>0.0</v>
      </c>
      <c r="AE305" s="199">
        <v>46.0</v>
      </c>
      <c r="AF305" s="199">
        <v>0.0</v>
      </c>
      <c r="AG305" s="199">
        <v>304.0</v>
      </c>
      <c r="AH305" s="199">
        <v>321.0</v>
      </c>
      <c r="AI305" s="200" t="s">
        <v>655</v>
      </c>
      <c r="AJ305" s="200" t="s">
        <v>656</v>
      </c>
      <c r="AK305" s="200"/>
      <c r="AL305" s="204"/>
      <c r="AM305" s="204"/>
    </row>
    <row r="306">
      <c r="A306" s="199" t="s">
        <v>207</v>
      </c>
      <c r="B306" s="200" t="s">
        <v>818</v>
      </c>
      <c r="C306" s="199">
        <v>2.5330261205E10</v>
      </c>
      <c r="D306" s="201">
        <v>45977.0</v>
      </c>
      <c r="E306" s="202" t="s">
        <v>100</v>
      </c>
      <c r="F306" s="202" t="s">
        <v>100</v>
      </c>
      <c r="G306" s="203" t="s">
        <v>100</v>
      </c>
      <c r="H306" s="203" t="s">
        <v>100</v>
      </c>
      <c r="I306" s="199">
        <v>6914.0</v>
      </c>
      <c r="J306" s="199">
        <v>3112.0</v>
      </c>
      <c r="K306" s="199">
        <v>616.0</v>
      </c>
      <c r="L306" s="199">
        <v>4.0</v>
      </c>
      <c r="M306" s="199">
        <v>45.4</v>
      </c>
      <c r="N306" s="199"/>
      <c r="O306" s="199">
        <v>1.0</v>
      </c>
      <c r="P306" s="199">
        <v>0.003</v>
      </c>
      <c r="Q306" s="199">
        <v>0.0</v>
      </c>
      <c r="R306" s="199">
        <v>0.0</v>
      </c>
      <c r="S306" s="199">
        <v>0.0</v>
      </c>
      <c r="T306" s="199">
        <v>0.0</v>
      </c>
      <c r="U306" s="199">
        <v>0.0</v>
      </c>
      <c r="V306" s="199">
        <v>0.0</v>
      </c>
      <c r="W306" s="199">
        <v>0.0</v>
      </c>
      <c r="X306" s="199">
        <v>0.0</v>
      </c>
      <c r="Y306" s="199">
        <v>0.0</v>
      </c>
      <c r="Z306" s="199">
        <v>0.0</v>
      </c>
      <c r="AA306" s="199">
        <v>0.0</v>
      </c>
      <c r="AB306" s="199">
        <v>0.0</v>
      </c>
      <c r="AC306" s="199">
        <v>2.0</v>
      </c>
      <c r="AD306" s="199">
        <v>0.0</v>
      </c>
      <c r="AE306" s="199">
        <v>74.0</v>
      </c>
      <c r="AF306" s="199">
        <v>0.0</v>
      </c>
      <c r="AG306" s="199">
        <v>418.0</v>
      </c>
      <c r="AH306" s="199">
        <v>482.0</v>
      </c>
      <c r="AI306" s="200" t="s">
        <v>655</v>
      </c>
      <c r="AJ306" s="200" t="s">
        <v>656</v>
      </c>
      <c r="AK306" s="200"/>
      <c r="AL306" s="204"/>
      <c r="AM306" s="204"/>
    </row>
    <row r="307">
      <c r="A307" s="199" t="s">
        <v>207</v>
      </c>
      <c r="B307" s="200" t="s">
        <v>818</v>
      </c>
      <c r="C307" s="199">
        <v>2.606013024E10</v>
      </c>
      <c r="D307" s="201">
        <v>46064.0</v>
      </c>
      <c r="E307" s="202" t="s">
        <v>100</v>
      </c>
      <c r="F307" s="202" t="s">
        <v>100</v>
      </c>
      <c r="G307" s="203" t="s">
        <v>100</v>
      </c>
      <c r="H307" s="203" t="s">
        <v>100</v>
      </c>
      <c r="I307" s="199">
        <v>3117.0</v>
      </c>
      <c r="J307" s="199">
        <v>3117.0</v>
      </c>
      <c r="K307" s="199">
        <v>618.0</v>
      </c>
      <c r="L307" s="199">
        <v>4.0</v>
      </c>
      <c r="M307" s="199">
        <v>45.8</v>
      </c>
      <c r="N307" s="199"/>
      <c r="O307" s="199">
        <v>0.0</v>
      </c>
      <c r="P307" s="199">
        <v>0.003</v>
      </c>
      <c r="Q307" s="199">
        <v>0.0</v>
      </c>
      <c r="R307" s="199">
        <v>0.0</v>
      </c>
      <c r="S307" s="199">
        <v>0.0</v>
      </c>
      <c r="T307" s="199">
        <v>0.0</v>
      </c>
      <c r="U307" s="199">
        <v>1.0</v>
      </c>
      <c r="V307" s="199">
        <v>0.0</v>
      </c>
      <c r="W307" s="199">
        <v>0.0</v>
      </c>
      <c r="X307" s="199">
        <v>0.0</v>
      </c>
      <c r="Y307" s="199">
        <v>0.0</v>
      </c>
      <c r="Z307" s="199">
        <v>0.0</v>
      </c>
      <c r="AA307" s="199">
        <v>0.0</v>
      </c>
      <c r="AB307" s="199">
        <v>0.0</v>
      </c>
      <c r="AC307" s="199">
        <v>2.0</v>
      </c>
      <c r="AD307" s="199">
        <v>0.0</v>
      </c>
      <c r="AE307" s="199">
        <v>148.0</v>
      </c>
      <c r="AF307" s="199">
        <v>0.0</v>
      </c>
      <c r="AG307" s="199">
        <v>458.0</v>
      </c>
      <c r="AH307" s="199">
        <v>688.0</v>
      </c>
      <c r="AI307" s="200" t="s">
        <v>655</v>
      </c>
      <c r="AJ307" s="200" t="s">
        <v>656</v>
      </c>
      <c r="AK307" s="200"/>
      <c r="AL307" s="204"/>
      <c r="AM307" s="204"/>
    </row>
    <row r="308">
      <c r="A308" s="199" t="s">
        <v>211</v>
      </c>
      <c r="B308" s="200" t="s">
        <v>442</v>
      </c>
      <c r="C308" s="199">
        <v>2.4021211226E10</v>
      </c>
      <c r="D308" s="201">
        <v>45309.0</v>
      </c>
      <c r="E308" s="202" t="s">
        <v>100</v>
      </c>
      <c r="F308" s="202" t="s">
        <v>100</v>
      </c>
      <c r="G308" s="203" t="s">
        <v>100</v>
      </c>
      <c r="H308" s="203" t="s">
        <v>100</v>
      </c>
      <c r="I308" s="199">
        <v>11978.0</v>
      </c>
      <c r="J308" s="199">
        <v>5742.0</v>
      </c>
      <c r="K308" s="199">
        <v>1031.0</v>
      </c>
      <c r="L308" s="199">
        <v>8.0</v>
      </c>
      <c r="M308" s="199">
        <v>66.2</v>
      </c>
      <c r="N308" s="37"/>
      <c r="O308" s="37"/>
      <c r="P308" s="199">
        <v>0.003</v>
      </c>
      <c r="Q308" s="199">
        <v>0.0</v>
      </c>
      <c r="R308" s="199">
        <v>4.0</v>
      </c>
      <c r="S308" s="199">
        <v>0.0</v>
      </c>
      <c r="T308" s="199">
        <v>0.0</v>
      </c>
      <c r="U308" s="199">
        <v>1.0</v>
      </c>
      <c r="V308" s="199">
        <v>0.0</v>
      </c>
      <c r="W308" s="199">
        <v>0.0</v>
      </c>
      <c r="X308" s="199">
        <v>0.0</v>
      </c>
      <c r="Y308" s="199">
        <v>0.0</v>
      </c>
      <c r="Z308" s="199">
        <v>0.0</v>
      </c>
      <c r="AA308" s="199">
        <v>0.0</v>
      </c>
      <c r="AB308" s="199">
        <v>1.0</v>
      </c>
      <c r="AC308" s="199">
        <v>1.0</v>
      </c>
      <c r="AD308" s="199">
        <v>0.0</v>
      </c>
      <c r="AE308" s="199">
        <v>6.0</v>
      </c>
      <c r="AF308" s="199">
        <v>0.0</v>
      </c>
      <c r="AG308" s="199">
        <v>670.0</v>
      </c>
      <c r="AH308" s="199">
        <v>3.0</v>
      </c>
      <c r="AI308" s="200" t="s">
        <v>655</v>
      </c>
      <c r="AJ308" s="200" t="s">
        <v>656</v>
      </c>
      <c r="AK308" s="200"/>
      <c r="AL308" s="204"/>
      <c r="AM308" s="204"/>
    </row>
    <row r="309">
      <c r="A309" s="199" t="s">
        <v>211</v>
      </c>
      <c r="B309" s="200" t="s">
        <v>442</v>
      </c>
      <c r="C309" s="199">
        <v>2.5295220211E10</v>
      </c>
      <c r="D309" s="201">
        <v>45946.0</v>
      </c>
      <c r="E309" s="202" t="s">
        <v>100</v>
      </c>
      <c r="F309" s="202" t="s">
        <v>100</v>
      </c>
      <c r="G309" s="203" t="s">
        <v>100</v>
      </c>
      <c r="H309" s="203" t="s">
        <v>100</v>
      </c>
      <c r="I309" s="199">
        <v>9312.0</v>
      </c>
      <c r="J309" s="199">
        <v>4310.0</v>
      </c>
      <c r="K309" s="199">
        <v>1100.0</v>
      </c>
      <c r="L309" s="199">
        <v>6.0</v>
      </c>
      <c r="M309" s="199">
        <v>63.9</v>
      </c>
      <c r="N309" s="37"/>
      <c r="O309" s="37"/>
      <c r="P309" s="199">
        <v>0.003</v>
      </c>
      <c r="Q309" s="199">
        <v>0.0</v>
      </c>
      <c r="R309" s="199">
        <v>0.0</v>
      </c>
      <c r="S309" s="199">
        <v>0.0</v>
      </c>
      <c r="T309" s="199">
        <v>0.0</v>
      </c>
      <c r="U309" s="199">
        <v>0.0</v>
      </c>
      <c r="V309" s="199">
        <v>0.0</v>
      </c>
      <c r="W309" s="199">
        <v>0.0</v>
      </c>
      <c r="X309" s="199">
        <v>0.0</v>
      </c>
      <c r="Y309" s="199">
        <v>0.0</v>
      </c>
      <c r="Z309" s="199">
        <v>0.0</v>
      </c>
      <c r="AA309" s="199">
        <v>0.0</v>
      </c>
      <c r="AB309" s="199">
        <v>0.0</v>
      </c>
      <c r="AC309" s="199">
        <v>7.0</v>
      </c>
      <c r="AD309" s="199">
        <v>0.0</v>
      </c>
      <c r="AE309" s="199">
        <v>0.0</v>
      </c>
      <c r="AF309" s="199">
        <v>0.0</v>
      </c>
      <c r="AG309" s="199">
        <v>465.0</v>
      </c>
      <c r="AH309" s="199">
        <v>0.0</v>
      </c>
      <c r="AI309" s="200" t="s">
        <v>655</v>
      </c>
      <c r="AJ309" s="200" t="s">
        <v>656</v>
      </c>
      <c r="AK309" s="200"/>
      <c r="AL309" s="204"/>
      <c r="AM309" s="204"/>
    </row>
    <row r="310">
      <c r="A310" s="199" t="s">
        <v>211</v>
      </c>
      <c r="B310" s="200" t="s">
        <v>442</v>
      </c>
      <c r="C310" s="199">
        <v>2.6061630206E10</v>
      </c>
      <c r="D310" s="201">
        <v>46064.0</v>
      </c>
      <c r="E310" s="202" t="s">
        <v>100</v>
      </c>
      <c r="F310" s="202" t="s">
        <v>100</v>
      </c>
      <c r="G310" s="203" t="s">
        <v>100</v>
      </c>
      <c r="H310" s="203" t="s">
        <v>100</v>
      </c>
      <c r="I310" s="199">
        <v>12181.0</v>
      </c>
      <c r="J310" s="199">
        <v>5174.0</v>
      </c>
      <c r="K310" s="199">
        <v>1100.0</v>
      </c>
      <c r="L310" s="199">
        <v>7.0</v>
      </c>
      <c r="M310" s="199">
        <v>67.3</v>
      </c>
      <c r="N310" s="37"/>
      <c r="O310" s="37"/>
      <c r="P310" s="199">
        <v>0.003</v>
      </c>
      <c r="Q310" s="199">
        <v>0.0</v>
      </c>
      <c r="R310" s="199">
        <v>1.0</v>
      </c>
      <c r="S310" s="199">
        <v>0.0</v>
      </c>
      <c r="T310" s="199">
        <v>0.0</v>
      </c>
      <c r="U310" s="199">
        <v>0.0</v>
      </c>
      <c r="V310" s="199">
        <v>0.0</v>
      </c>
      <c r="W310" s="199">
        <v>0.0</v>
      </c>
      <c r="X310" s="199">
        <v>0.0</v>
      </c>
      <c r="Y310" s="199">
        <v>0.0</v>
      </c>
      <c r="Z310" s="199">
        <v>0.0</v>
      </c>
      <c r="AA310" s="199">
        <v>0.0</v>
      </c>
      <c r="AB310" s="199">
        <v>2.0</v>
      </c>
      <c r="AC310" s="199">
        <v>0.0</v>
      </c>
      <c r="AD310" s="199">
        <v>0.0</v>
      </c>
      <c r="AE310" s="199">
        <v>11.0</v>
      </c>
      <c r="AF310" s="199">
        <v>0.0</v>
      </c>
      <c r="AG310" s="199">
        <v>524.0</v>
      </c>
      <c r="AH310" s="199">
        <v>0.0</v>
      </c>
      <c r="AI310" s="200" t="s">
        <v>655</v>
      </c>
      <c r="AJ310" s="200" t="s">
        <v>656</v>
      </c>
      <c r="AK310" s="200"/>
      <c r="AL310" s="204"/>
      <c r="AM310" s="204"/>
    </row>
    <row r="311">
      <c r="A311" s="199" t="s">
        <v>212</v>
      </c>
      <c r="B311" s="200" t="s">
        <v>442</v>
      </c>
      <c r="C311" s="199">
        <v>2.4021211225E10</v>
      </c>
      <c r="D311" s="201">
        <v>45309.0</v>
      </c>
      <c r="E311" s="202" t="s">
        <v>100</v>
      </c>
      <c r="F311" s="202" t="s">
        <v>100</v>
      </c>
      <c r="G311" s="203" t="s">
        <v>100</v>
      </c>
      <c r="H311" s="203" t="s">
        <v>100</v>
      </c>
      <c r="I311" s="199">
        <v>6232.0</v>
      </c>
      <c r="J311" s="199">
        <v>2031.0</v>
      </c>
      <c r="K311" s="199">
        <v>893.0</v>
      </c>
      <c r="L311" s="199">
        <v>5.0</v>
      </c>
      <c r="M311" s="199">
        <v>67.4</v>
      </c>
      <c r="N311" s="37"/>
      <c r="O311" s="37"/>
      <c r="P311" s="199">
        <v>0.003</v>
      </c>
      <c r="Q311" s="199">
        <v>0.0</v>
      </c>
      <c r="R311" s="199">
        <v>0.0</v>
      </c>
      <c r="S311" s="199">
        <v>4.0</v>
      </c>
      <c r="T311" s="199">
        <v>0.0</v>
      </c>
      <c r="U311" s="199">
        <v>0.0</v>
      </c>
      <c r="V311" s="199">
        <v>0.0</v>
      </c>
      <c r="W311" s="199">
        <v>0.0</v>
      </c>
      <c r="X311" s="199">
        <v>0.0</v>
      </c>
      <c r="Y311" s="199">
        <v>0.0</v>
      </c>
      <c r="Z311" s="199">
        <v>0.0</v>
      </c>
      <c r="AA311" s="199">
        <v>0.0</v>
      </c>
      <c r="AB311" s="199">
        <v>0.0</v>
      </c>
      <c r="AC311" s="199">
        <v>6.0</v>
      </c>
      <c r="AD311" s="199">
        <v>0.0</v>
      </c>
      <c r="AE311" s="199">
        <v>0.0</v>
      </c>
      <c r="AF311" s="199">
        <v>0.0</v>
      </c>
      <c r="AG311" s="199">
        <v>500.0</v>
      </c>
      <c r="AH311" s="199">
        <v>11.0</v>
      </c>
      <c r="AI311" s="200" t="s">
        <v>655</v>
      </c>
      <c r="AJ311" s="200" t="s">
        <v>656</v>
      </c>
      <c r="AK311" s="200"/>
      <c r="AL311" s="204"/>
      <c r="AM311" s="204"/>
    </row>
    <row r="312">
      <c r="A312" s="199" t="s">
        <v>212</v>
      </c>
      <c r="B312" s="200" t="s">
        <v>442</v>
      </c>
      <c r="C312" s="199">
        <v>2.5294210221E10</v>
      </c>
      <c r="D312" s="201">
        <v>45946.0</v>
      </c>
      <c r="E312" s="202" t="s">
        <v>100</v>
      </c>
      <c r="F312" s="202" t="s">
        <v>100</v>
      </c>
      <c r="G312" s="203" t="s">
        <v>100</v>
      </c>
      <c r="H312" s="203" t="s">
        <v>100</v>
      </c>
      <c r="I312" s="199">
        <v>18310.0</v>
      </c>
      <c r="J312" s="199">
        <v>9146.0</v>
      </c>
      <c r="K312" s="199">
        <v>4511.0</v>
      </c>
      <c r="L312" s="199">
        <v>6.0</v>
      </c>
      <c r="M312" s="199">
        <v>64.2</v>
      </c>
      <c r="N312" s="37"/>
      <c r="O312" s="37"/>
      <c r="P312" s="199">
        <v>0.003</v>
      </c>
      <c r="Q312" s="199">
        <v>0.0</v>
      </c>
      <c r="R312" s="199">
        <v>4.0</v>
      </c>
      <c r="S312" s="199">
        <v>0.0</v>
      </c>
      <c r="T312" s="199">
        <v>2.0</v>
      </c>
      <c r="U312" s="199">
        <v>1.0</v>
      </c>
      <c r="V312" s="199">
        <v>0.0</v>
      </c>
      <c r="W312" s="199">
        <v>0.0</v>
      </c>
      <c r="X312" s="199">
        <v>0.0</v>
      </c>
      <c r="Y312" s="199">
        <v>0.0</v>
      </c>
      <c r="Z312" s="199">
        <v>0.0</v>
      </c>
      <c r="AA312" s="199">
        <v>0.0</v>
      </c>
      <c r="AB312" s="199">
        <v>4.0</v>
      </c>
      <c r="AC312" s="199">
        <v>0.0</v>
      </c>
      <c r="AD312" s="199">
        <v>0.0</v>
      </c>
      <c r="AE312" s="199">
        <v>7.0</v>
      </c>
      <c r="AF312" s="199">
        <v>0.0</v>
      </c>
      <c r="AG312" s="199">
        <v>445.0</v>
      </c>
      <c r="AH312" s="199">
        <v>4.0</v>
      </c>
      <c r="AI312" s="200" t="s">
        <v>655</v>
      </c>
      <c r="AJ312" s="200" t="s">
        <v>656</v>
      </c>
      <c r="AK312" s="200"/>
      <c r="AL312" s="204"/>
      <c r="AM312" s="204"/>
    </row>
    <row r="313">
      <c r="A313" s="199" t="s">
        <v>212</v>
      </c>
      <c r="B313" s="200" t="s">
        <v>442</v>
      </c>
      <c r="C313" s="199">
        <v>2.6061630218E10</v>
      </c>
      <c r="D313" s="201">
        <v>46064.0</v>
      </c>
      <c r="E313" s="202" t="s">
        <v>101</v>
      </c>
      <c r="F313" s="202" t="s">
        <v>102</v>
      </c>
      <c r="G313" s="203" t="s">
        <v>101</v>
      </c>
      <c r="H313" s="203" t="s">
        <v>100</v>
      </c>
      <c r="I313" s="37"/>
      <c r="J313" s="37"/>
      <c r="K313" s="37"/>
      <c r="L313" s="199">
        <v>15.0</v>
      </c>
      <c r="M313" s="199">
        <v>68.0</v>
      </c>
      <c r="N313" s="37"/>
      <c r="O313" s="37"/>
      <c r="P313" s="199">
        <v>0.04</v>
      </c>
      <c r="Q313" s="199">
        <v>0.0</v>
      </c>
      <c r="R313" s="199">
        <v>0.0</v>
      </c>
      <c r="S313" s="199">
        <v>0.0</v>
      </c>
      <c r="T313" s="199">
        <v>1.0</v>
      </c>
      <c r="U313" s="199">
        <v>221.0</v>
      </c>
      <c r="V313" s="199">
        <v>2.0</v>
      </c>
      <c r="W313" s="199">
        <v>0.0</v>
      </c>
      <c r="X313" s="199">
        <v>0.0</v>
      </c>
      <c r="Y313" s="199">
        <v>0.0</v>
      </c>
      <c r="Z313" s="199">
        <v>0.0</v>
      </c>
      <c r="AA313" s="199">
        <v>0.0</v>
      </c>
      <c r="AB313" s="199">
        <v>6.0</v>
      </c>
      <c r="AC313" s="199">
        <v>7.0</v>
      </c>
      <c r="AD313" s="199">
        <v>0.0</v>
      </c>
      <c r="AE313" s="199">
        <v>60.0</v>
      </c>
      <c r="AF313" s="199">
        <v>4.0</v>
      </c>
      <c r="AG313" s="199">
        <v>696.0</v>
      </c>
      <c r="AH313" s="199">
        <v>24.0</v>
      </c>
      <c r="AI313" s="200" t="s">
        <v>787</v>
      </c>
      <c r="AJ313" s="200" t="s">
        <v>795</v>
      </c>
      <c r="AK313" s="200"/>
      <c r="AL313" s="204"/>
      <c r="AM313" s="204"/>
    </row>
    <row r="314">
      <c r="A314" s="199" t="s">
        <v>213</v>
      </c>
      <c r="B314" s="200" t="s">
        <v>443</v>
      </c>
      <c r="C314" s="199">
        <v>2.5180296213E10</v>
      </c>
      <c r="D314" s="201">
        <v>45826.0</v>
      </c>
      <c r="E314" s="202" t="s">
        <v>100</v>
      </c>
      <c r="F314" s="202" t="s">
        <v>100</v>
      </c>
      <c r="G314" s="203" t="s">
        <v>100</v>
      </c>
      <c r="H314" s="203" t="s">
        <v>100</v>
      </c>
      <c r="I314" s="199">
        <v>19126.0</v>
      </c>
      <c r="J314" s="199">
        <v>5168.0</v>
      </c>
      <c r="K314" s="199">
        <v>1133.0</v>
      </c>
      <c r="L314" s="199">
        <v>17.0</v>
      </c>
      <c r="M314" s="199">
        <v>44.9</v>
      </c>
      <c r="N314" s="199"/>
      <c r="O314" s="199">
        <v>0.0</v>
      </c>
      <c r="P314" s="199">
        <v>0.03</v>
      </c>
      <c r="Q314" s="199">
        <v>0.0</v>
      </c>
      <c r="R314" s="199">
        <v>1.0</v>
      </c>
      <c r="S314" s="199">
        <v>0.0</v>
      </c>
      <c r="T314" s="199">
        <v>4.0</v>
      </c>
      <c r="U314" s="199">
        <v>15.0</v>
      </c>
      <c r="V314" s="199">
        <v>0.0</v>
      </c>
      <c r="W314" s="199">
        <v>0.0</v>
      </c>
      <c r="X314" s="199">
        <v>1.0</v>
      </c>
      <c r="Y314" s="199">
        <v>0.0</v>
      </c>
      <c r="Z314" s="199">
        <v>0.0</v>
      </c>
      <c r="AA314" s="199">
        <v>0.0</v>
      </c>
      <c r="AB314" s="199">
        <v>0.0</v>
      </c>
      <c r="AC314" s="199">
        <v>1.0</v>
      </c>
      <c r="AD314" s="199">
        <v>0.0</v>
      </c>
      <c r="AE314" s="199">
        <v>84.0</v>
      </c>
      <c r="AF314" s="199">
        <v>2.0</v>
      </c>
      <c r="AG314" s="199">
        <v>344.0</v>
      </c>
      <c r="AH314" s="199">
        <v>474.0</v>
      </c>
      <c r="AI314" s="200" t="s">
        <v>655</v>
      </c>
      <c r="AJ314" s="200" t="s">
        <v>656</v>
      </c>
      <c r="AK314" s="200"/>
      <c r="AL314" s="204"/>
      <c r="AM314" s="204"/>
    </row>
    <row r="315">
      <c r="A315" s="199" t="s">
        <v>213</v>
      </c>
      <c r="B315" s="200" t="s">
        <v>443</v>
      </c>
      <c r="C315" s="199">
        <v>2.5258159205E10</v>
      </c>
      <c r="D315" s="201">
        <v>45909.0</v>
      </c>
      <c r="E315" s="202" t="s">
        <v>100</v>
      </c>
      <c r="F315" s="202" t="s">
        <v>100</v>
      </c>
      <c r="G315" s="203" t="s">
        <v>100</v>
      </c>
      <c r="H315" s="203" t="s">
        <v>100</v>
      </c>
      <c r="I315" s="199">
        <v>10977.0</v>
      </c>
      <c r="J315" s="199">
        <v>5168.0</v>
      </c>
      <c r="K315" s="199">
        <v>911.0</v>
      </c>
      <c r="L315" s="199">
        <v>6.0</v>
      </c>
      <c r="M315" s="199">
        <v>45.4</v>
      </c>
      <c r="N315" s="199"/>
      <c r="O315" s="199">
        <v>0.0</v>
      </c>
      <c r="P315" s="199">
        <v>0.01</v>
      </c>
      <c r="Q315" s="199">
        <v>0.0</v>
      </c>
      <c r="R315" s="199">
        <v>5.0</v>
      </c>
      <c r="S315" s="199">
        <v>2.0</v>
      </c>
      <c r="T315" s="199">
        <v>9.0</v>
      </c>
      <c r="U315" s="199">
        <v>22.0</v>
      </c>
      <c r="V315" s="199">
        <v>0.0</v>
      </c>
      <c r="W315" s="199">
        <v>0.0</v>
      </c>
      <c r="X315" s="199">
        <v>0.0</v>
      </c>
      <c r="Y315" s="199">
        <v>0.0</v>
      </c>
      <c r="Z315" s="199">
        <v>0.0</v>
      </c>
      <c r="AA315" s="199">
        <v>0.0</v>
      </c>
      <c r="AB315" s="199">
        <v>0.0</v>
      </c>
      <c r="AC315" s="199">
        <v>10.0</v>
      </c>
      <c r="AD315" s="199">
        <v>0.0</v>
      </c>
      <c r="AE315" s="199">
        <v>82.0</v>
      </c>
      <c r="AF315" s="199">
        <v>3.0</v>
      </c>
      <c r="AG315" s="199">
        <v>384.0</v>
      </c>
      <c r="AH315" s="199">
        <v>658.0</v>
      </c>
      <c r="AI315" s="200" t="s">
        <v>655</v>
      </c>
      <c r="AJ315" s="200" t="s">
        <v>656</v>
      </c>
      <c r="AK315" s="200"/>
      <c r="AL315" s="204"/>
      <c r="AM315" s="204"/>
    </row>
    <row r="316">
      <c r="A316" s="199" t="s">
        <v>214</v>
      </c>
      <c r="B316" s="200" t="s">
        <v>568</v>
      </c>
      <c r="C316" s="199">
        <v>2.5180296263E10</v>
      </c>
      <c r="D316" s="201">
        <v>45826.0</v>
      </c>
      <c r="E316" s="202" t="s">
        <v>101</v>
      </c>
      <c r="F316" s="202" t="s">
        <v>101</v>
      </c>
      <c r="G316" s="203" t="s">
        <v>102</v>
      </c>
      <c r="H316" s="203" t="s">
        <v>102</v>
      </c>
      <c r="I316" s="37"/>
      <c r="J316" s="37"/>
      <c r="K316" s="37"/>
      <c r="L316" s="199">
        <v>30.0</v>
      </c>
      <c r="M316" s="199">
        <v>87.0</v>
      </c>
      <c r="N316" s="37"/>
      <c r="O316" s="37"/>
      <c r="P316" s="199">
        <v>0.6</v>
      </c>
      <c r="Q316" s="199">
        <v>0.0</v>
      </c>
      <c r="R316" s="199">
        <v>2.0</v>
      </c>
      <c r="S316" s="199">
        <v>0.0</v>
      </c>
      <c r="T316" s="199">
        <v>13.0</v>
      </c>
      <c r="U316" s="199">
        <v>56.0</v>
      </c>
      <c r="V316" s="199">
        <v>3.0</v>
      </c>
      <c r="W316" s="199">
        <v>0.0</v>
      </c>
      <c r="X316" s="199">
        <v>3.0</v>
      </c>
      <c r="Y316" s="199">
        <v>0.0</v>
      </c>
      <c r="Z316" s="199">
        <v>0.0</v>
      </c>
      <c r="AA316" s="199">
        <v>0.0</v>
      </c>
      <c r="AB316" s="199">
        <v>36.0</v>
      </c>
      <c r="AC316" s="199">
        <v>9.0</v>
      </c>
      <c r="AD316" s="199">
        <v>0.0</v>
      </c>
      <c r="AE316" s="199">
        <v>29.0</v>
      </c>
      <c r="AF316" s="199">
        <v>5.0</v>
      </c>
      <c r="AG316" s="199">
        <v>500.0</v>
      </c>
      <c r="AH316" s="199">
        <v>18.0</v>
      </c>
      <c r="AI316" s="200" t="s">
        <v>684</v>
      </c>
      <c r="AJ316" s="200" t="s">
        <v>819</v>
      </c>
      <c r="AK316" s="200"/>
      <c r="AL316" s="204"/>
      <c r="AM316" s="204"/>
    </row>
    <row r="317">
      <c r="A317" s="199" t="s">
        <v>214</v>
      </c>
      <c r="B317" s="200" t="s">
        <v>568</v>
      </c>
      <c r="C317" s="199">
        <v>2.5259220322E10</v>
      </c>
      <c r="D317" s="201">
        <v>45909.0</v>
      </c>
      <c r="E317" s="202" t="s">
        <v>102</v>
      </c>
      <c r="F317" s="202" t="s">
        <v>100</v>
      </c>
      <c r="G317" s="203" t="s">
        <v>100</v>
      </c>
      <c r="H317" s="203" t="s">
        <v>102</v>
      </c>
      <c r="I317" s="37"/>
      <c r="J317" s="37"/>
      <c r="K317" s="37"/>
      <c r="L317" s="199">
        <v>20.0</v>
      </c>
      <c r="M317" s="199">
        <v>97.5</v>
      </c>
      <c r="N317" s="37"/>
      <c r="O317" s="37"/>
      <c r="P317" s="199">
        <v>0.04</v>
      </c>
      <c r="Q317" s="199">
        <v>0.0</v>
      </c>
      <c r="R317" s="199">
        <v>12.0</v>
      </c>
      <c r="S317" s="199">
        <v>1.0</v>
      </c>
      <c r="T317" s="199">
        <v>6.0</v>
      </c>
      <c r="U317" s="199">
        <v>25.0</v>
      </c>
      <c r="V317" s="199">
        <v>0.0</v>
      </c>
      <c r="W317" s="199">
        <v>0.0</v>
      </c>
      <c r="X317" s="199">
        <v>0.0</v>
      </c>
      <c r="Y317" s="199">
        <v>0.0</v>
      </c>
      <c r="Z317" s="199">
        <v>2.0</v>
      </c>
      <c r="AA317" s="199">
        <v>0.0</v>
      </c>
      <c r="AB317" s="199">
        <v>8.0</v>
      </c>
      <c r="AC317" s="199">
        <v>23.0</v>
      </c>
      <c r="AD317" s="199">
        <v>0.0</v>
      </c>
      <c r="AE317" s="199">
        <v>15.0</v>
      </c>
      <c r="AF317" s="199">
        <v>0.0</v>
      </c>
      <c r="AG317" s="199">
        <v>346.0</v>
      </c>
      <c r="AH317" s="199">
        <v>0.0</v>
      </c>
      <c r="AI317" s="200" t="s">
        <v>653</v>
      </c>
      <c r="AJ317" s="200" t="s">
        <v>789</v>
      </c>
      <c r="AK317" s="200"/>
      <c r="AL317" s="204"/>
      <c r="AM317" s="204"/>
    </row>
    <row r="318">
      <c r="A318" s="199" t="s">
        <v>214</v>
      </c>
      <c r="B318" s="200" t="s">
        <v>568</v>
      </c>
      <c r="C318" s="199">
        <v>2.5295220227E10</v>
      </c>
      <c r="D318" s="201">
        <v>45946.0</v>
      </c>
      <c r="E318" s="202" t="s">
        <v>100</v>
      </c>
      <c r="F318" s="202" t="s">
        <v>100</v>
      </c>
      <c r="G318" s="203" t="s">
        <v>100</v>
      </c>
      <c r="H318" s="203" t="s">
        <v>100</v>
      </c>
      <c r="I318" s="37"/>
      <c r="J318" s="37"/>
      <c r="K318" s="37"/>
      <c r="L318" s="199">
        <v>16.0</v>
      </c>
      <c r="M318" s="199">
        <v>92.1</v>
      </c>
      <c r="N318" s="37"/>
      <c r="O318" s="37"/>
      <c r="P318" s="199">
        <v>0.04</v>
      </c>
      <c r="Q318" s="199">
        <v>0.0</v>
      </c>
      <c r="R318" s="199">
        <v>0.0</v>
      </c>
      <c r="S318" s="199">
        <v>0.0</v>
      </c>
      <c r="T318" s="199">
        <v>0.0</v>
      </c>
      <c r="U318" s="199">
        <v>0.0</v>
      </c>
      <c r="V318" s="199">
        <v>0.0</v>
      </c>
      <c r="W318" s="199">
        <v>0.0</v>
      </c>
      <c r="X318" s="199">
        <v>0.0</v>
      </c>
      <c r="Y318" s="199">
        <v>0.0</v>
      </c>
      <c r="Z318" s="199">
        <v>2.0</v>
      </c>
      <c r="AA318" s="199">
        <v>0.0</v>
      </c>
      <c r="AB318" s="199">
        <v>12.0</v>
      </c>
      <c r="AC318" s="199">
        <v>4.0</v>
      </c>
      <c r="AD318" s="199">
        <v>0.0</v>
      </c>
      <c r="AE318" s="199">
        <v>8.0</v>
      </c>
      <c r="AF318" s="199">
        <v>0.0</v>
      </c>
      <c r="AG318" s="199">
        <v>467.0</v>
      </c>
      <c r="AH318" s="199">
        <v>0.0</v>
      </c>
      <c r="AI318" s="200" t="s">
        <v>655</v>
      </c>
      <c r="AJ318" s="200" t="s">
        <v>656</v>
      </c>
      <c r="AK318" s="200"/>
      <c r="AL318" s="204"/>
      <c r="AM318" s="204"/>
    </row>
    <row r="319">
      <c r="A319" s="199" t="s">
        <v>215</v>
      </c>
      <c r="B319" s="200" t="s">
        <v>447</v>
      </c>
      <c r="C319" s="199">
        <v>2.5079203215E10</v>
      </c>
      <c r="D319" s="201">
        <v>45725.0</v>
      </c>
      <c r="E319" s="202" t="s">
        <v>100</v>
      </c>
      <c r="F319" s="202" t="s">
        <v>100</v>
      </c>
      <c r="G319" s="203" t="s">
        <v>100</v>
      </c>
      <c r="H319" s="203" t="s">
        <v>100</v>
      </c>
      <c r="I319" s="199">
        <v>23294.0</v>
      </c>
      <c r="J319" s="199">
        <v>16108.0</v>
      </c>
      <c r="K319" s="199">
        <v>7502.0</v>
      </c>
      <c r="L319" s="199">
        <v>8.0</v>
      </c>
      <c r="M319" s="199">
        <v>306.9</v>
      </c>
      <c r="N319" s="199"/>
      <c r="O319" s="199">
        <v>1.0</v>
      </c>
      <c r="P319" s="199">
        <v>0.03</v>
      </c>
      <c r="Q319" s="199">
        <v>0.0</v>
      </c>
      <c r="R319" s="199">
        <v>9.0</v>
      </c>
      <c r="S319" s="199">
        <v>1.0</v>
      </c>
      <c r="T319" s="199">
        <v>4.0</v>
      </c>
      <c r="U319" s="199">
        <v>7.0</v>
      </c>
      <c r="V319" s="199">
        <v>0.0</v>
      </c>
      <c r="W319" s="199">
        <v>0.0</v>
      </c>
      <c r="X319" s="199">
        <v>0.0</v>
      </c>
      <c r="Y319" s="199">
        <v>0.0</v>
      </c>
      <c r="Z319" s="199">
        <v>0.0</v>
      </c>
      <c r="AA319" s="199">
        <v>0.0</v>
      </c>
      <c r="AB319" s="199">
        <v>2.0</v>
      </c>
      <c r="AC319" s="199">
        <v>25.0</v>
      </c>
      <c r="AD319" s="199">
        <v>0.0</v>
      </c>
      <c r="AE319" s="199">
        <v>13.0</v>
      </c>
      <c r="AF319" s="199">
        <v>2.0</v>
      </c>
      <c r="AG319" s="199">
        <v>418.0</v>
      </c>
      <c r="AH319" s="199">
        <v>29.0</v>
      </c>
      <c r="AI319" s="200" t="s">
        <v>655</v>
      </c>
      <c r="AJ319" s="200" t="s">
        <v>656</v>
      </c>
      <c r="AK319" s="200"/>
      <c r="AL319" s="204"/>
      <c r="AM319" s="204"/>
    </row>
    <row r="320">
      <c r="A320" s="199" t="s">
        <v>215</v>
      </c>
      <c r="B320" s="200" t="s">
        <v>447</v>
      </c>
      <c r="C320" s="199">
        <v>2.518029624E10</v>
      </c>
      <c r="D320" s="201">
        <v>45826.0</v>
      </c>
      <c r="E320" s="202" t="s">
        <v>102</v>
      </c>
      <c r="F320" s="202" t="s">
        <v>102</v>
      </c>
      <c r="G320" s="203" t="s">
        <v>100</v>
      </c>
      <c r="H320" s="203" t="s">
        <v>100</v>
      </c>
      <c r="I320" s="37"/>
      <c r="J320" s="37"/>
      <c r="K320" s="37"/>
      <c r="L320" s="199">
        <v>12.0</v>
      </c>
      <c r="M320" s="199">
        <v>305.6</v>
      </c>
      <c r="N320" s="199"/>
      <c r="O320" s="199">
        <v>1.0</v>
      </c>
      <c r="P320" s="199">
        <v>0.05</v>
      </c>
      <c r="Q320" s="199">
        <v>0.0</v>
      </c>
      <c r="R320" s="199">
        <v>0.0</v>
      </c>
      <c r="S320" s="199">
        <v>0.0</v>
      </c>
      <c r="T320" s="199">
        <v>0.0</v>
      </c>
      <c r="U320" s="199">
        <v>17.0</v>
      </c>
      <c r="V320" s="199">
        <v>0.0</v>
      </c>
      <c r="W320" s="199">
        <v>0.0</v>
      </c>
      <c r="X320" s="199">
        <v>3.0</v>
      </c>
      <c r="Y320" s="199">
        <v>0.0</v>
      </c>
      <c r="Z320" s="199">
        <v>0.0</v>
      </c>
      <c r="AA320" s="199">
        <v>0.0</v>
      </c>
      <c r="AB320" s="199">
        <v>3.0</v>
      </c>
      <c r="AC320" s="199">
        <v>12.0</v>
      </c>
      <c r="AD320" s="199">
        <v>0.0</v>
      </c>
      <c r="AE320" s="199">
        <v>42.0</v>
      </c>
      <c r="AF320" s="199">
        <v>3.0</v>
      </c>
      <c r="AG320" s="199">
        <v>347.0</v>
      </c>
      <c r="AH320" s="199">
        <v>33.0</v>
      </c>
      <c r="AI320" s="200" t="s">
        <v>653</v>
      </c>
      <c r="AJ320" s="200" t="s">
        <v>654</v>
      </c>
      <c r="AK320" s="200"/>
      <c r="AL320" s="204"/>
      <c r="AM320" s="204"/>
    </row>
    <row r="321">
      <c r="A321" s="199" t="s">
        <v>217</v>
      </c>
      <c r="B321" s="200" t="s">
        <v>442</v>
      </c>
      <c r="C321" s="199">
        <v>2.4021211229E10</v>
      </c>
      <c r="D321" s="201">
        <v>45309.0</v>
      </c>
      <c r="E321" s="202" t="s">
        <v>102</v>
      </c>
      <c r="F321" s="202" t="s">
        <v>102</v>
      </c>
      <c r="G321" s="203" t="s">
        <v>100</v>
      </c>
      <c r="H321" s="203" t="s">
        <v>100</v>
      </c>
      <c r="I321" s="37"/>
      <c r="J321" s="37"/>
      <c r="K321" s="37"/>
      <c r="L321" s="199">
        <v>7.0</v>
      </c>
      <c r="M321" s="199">
        <v>69.0</v>
      </c>
      <c r="N321" s="37"/>
      <c r="O321" s="37"/>
      <c r="P321" s="199">
        <v>0.03</v>
      </c>
      <c r="Q321" s="199">
        <v>0.0</v>
      </c>
      <c r="R321" s="199">
        <v>0.0</v>
      </c>
      <c r="S321" s="199">
        <v>4.0</v>
      </c>
      <c r="T321" s="199">
        <v>0.0</v>
      </c>
      <c r="U321" s="199">
        <v>0.0</v>
      </c>
      <c r="V321" s="199">
        <v>0.0</v>
      </c>
      <c r="W321" s="199">
        <v>0.0</v>
      </c>
      <c r="X321" s="199">
        <v>0.0</v>
      </c>
      <c r="Y321" s="199">
        <v>0.0</v>
      </c>
      <c r="Z321" s="199">
        <v>0.0</v>
      </c>
      <c r="AA321" s="199">
        <v>0.0</v>
      </c>
      <c r="AB321" s="199">
        <v>0.0</v>
      </c>
      <c r="AC321" s="199">
        <v>3.0</v>
      </c>
      <c r="AD321" s="199">
        <v>0.0</v>
      </c>
      <c r="AE321" s="199">
        <v>27.0</v>
      </c>
      <c r="AF321" s="199">
        <v>1.0</v>
      </c>
      <c r="AG321" s="199">
        <v>526.0</v>
      </c>
      <c r="AH321" s="199">
        <v>15.0</v>
      </c>
      <c r="AI321" s="200" t="s">
        <v>653</v>
      </c>
      <c r="AJ321" s="200" t="s">
        <v>654</v>
      </c>
      <c r="AK321" s="200"/>
      <c r="AL321" s="204"/>
      <c r="AM321" s="204"/>
    </row>
    <row r="322">
      <c r="A322" s="199" t="s">
        <v>217</v>
      </c>
      <c r="B322" s="200" t="s">
        <v>442</v>
      </c>
      <c r="C322" s="199">
        <v>2.4307211231E10</v>
      </c>
      <c r="D322" s="201">
        <v>45589.0</v>
      </c>
      <c r="E322" s="202" t="s">
        <v>100</v>
      </c>
      <c r="F322" s="202" t="s">
        <v>100</v>
      </c>
      <c r="G322" s="203" t="s">
        <v>100</v>
      </c>
      <c r="H322" s="203" t="s">
        <v>100</v>
      </c>
      <c r="I322" s="199">
        <v>10325.0</v>
      </c>
      <c r="J322" s="199">
        <v>6561.0</v>
      </c>
      <c r="K322" s="199">
        <v>1039.0</v>
      </c>
      <c r="L322" s="199">
        <v>5.0</v>
      </c>
      <c r="M322" s="199">
        <v>66.5</v>
      </c>
      <c r="N322" s="37"/>
      <c r="O322" s="37"/>
      <c r="P322" s="199">
        <v>0.003</v>
      </c>
      <c r="Q322" s="199">
        <v>0.0</v>
      </c>
      <c r="R322" s="199">
        <v>0.0</v>
      </c>
      <c r="S322" s="199">
        <v>0.0</v>
      </c>
      <c r="T322" s="199">
        <v>4.0</v>
      </c>
      <c r="U322" s="199">
        <v>8.0</v>
      </c>
      <c r="V322" s="199">
        <v>0.0</v>
      </c>
      <c r="W322" s="199">
        <v>0.0</v>
      </c>
      <c r="X322" s="199">
        <v>0.0</v>
      </c>
      <c r="Y322" s="199">
        <v>0.0</v>
      </c>
      <c r="Z322" s="199">
        <v>0.0</v>
      </c>
      <c r="AA322" s="199">
        <v>0.0</v>
      </c>
      <c r="AB322" s="199">
        <v>6.0</v>
      </c>
      <c r="AC322" s="199">
        <v>1.0</v>
      </c>
      <c r="AD322" s="199">
        <v>0.0</v>
      </c>
      <c r="AE322" s="199">
        <v>9.0</v>
      </c>
      <c r="AF322" s="199">
        <v>2.0</v>
      </c>
      <c r="AG322" s="199">
        <v>1027.0</v>
      </c>
      <c r="AH322" s="199">
        <v>4.0</v>
      </c>
      <c r="AI322" s="200" t="s">
        <v>655</v>
      </c>
      <c r="AJ322" s="200" t="s">
        <v>656</v>
      </c>
      <c r="AK322" s="200"/>
      <c r="AL322" s="204"/>
      <c r="AM322" s="204"/>
    </row>
    <row r="323">
      <c r="A323" s="199" t="s">
        <v>217</v>
      </c>
      <c r="B323" s="200" t="s">
        <v>442</v>
      </c>
      <c r="C323" s="199">
        <v>2.5295220209E10</v>
      </c>
      <c r="D323" s="201">
        <v>45946.0</v>
      </c>
      <c r="E323" s="202" t="s">
        <v>100</v>
      </c>
      <c r="F323" s="202" t="s">
        <v>100</v>
      </c>
      <c r="G323" s="203" t="s">
        <v>100</v>
      </c>
      <c r="H323" s="203" t="s">
        <v>100</v>
      </c>
      <c r="I323" s="199">
        <v>11915.0</v>
      </c>
      <c r="J323" s="199">
        <v>6631.0</v>
      </c>
      <c r="K323" s="199">
        <v>1151.0</v>
      </c>
      <c r="L323" s="199">
        <v>6.0</v>
      </c>
      <c r="M323" s="199">
        <v>67.2</v>
      </c>
      <c r="N323" s="37"/>
      <c r="O323" s="37"/>
      <c r="P323" s="199">
        <v>0.01</v>
      </c>
      <c r="Q323" s="199">
        <v>0.0</v>
      </c>
      <c r="R323" s="199">
        <v>0.0</v>
      </c>
      <c r="S323" s="199">
        <v>0.0</v>
      </c>
      <c r="T323" s="199">
        <v>0.0</v>
      </c>
      <c r="U323" s="199">
        <v>0.0</v>
      </c>
      <c r="V323" s="199">
        <v>0.0</v>
      </c>
      <c r="W323" s="199">
        <v>0.0</v>
      </c>
      <c r="X323" s="199">
        <v>0.0</v>
      </c>
      <c r="Y323" s="199">
        <v>0.0</v>
      </c>
      <c r="Z323" s="199">
        <v>0.0</v>
      </c>
      <c r="AA323" s="199">
        <v>0.0</v>
      </c>
      <c r="AB323" s="199">
        <v>0.0</v>
      </c>
      <c r="AC323" s="199">
        <v>5.0</v>
      </c>
      <c r="AD323" s="199">
        <v>0.0</v>
      </c>
      <c r="AE323" s="199">
        <v>0.0</v>
      </c>
      <c r="AF323" s="199">
        <v>0.0</v>
      </c>
      <c r="AG323" s="199">
        <v>621.0</v>
      </c>
      <c r="AH323" s="199">
        <v>0.0</v>
      </c>
      <c r="AI323" s="200" t="s">
        <v>655</v>
      </c>
      <c r="AJ323" s="200" t="s">
        <v>656</v>
      </c>
      <c r="AK323" s="200"/>
      <c r="AL323" s="204"/>
      <c r="AM323" s="204"/>
    </row>
    <row r="324">
      <c r="A324" s="199" t="s">
        <v>217</v>
      </c>
      <c r="B324" s="200" t="s">
        <v>442</v>
      </c>
      <c r="C324" s="199">
        <v>2.6061630212E10</v>
      </c>
      <c r="D324" s="201">
        <v>46064.0</v>
      </c>
      <c r="E324" s="202" t="s">
        <v>102</v>
      </c>
      <c r="F324" s="202" t="s">
        <v>102</v>
      </c>
      <c r="G324" s="203" t="s">
        <v>100</v>
      </c>
      <c r="H324" s="203" t="s">
        <v>100</v>
      </c>
      <c r="I324" s="37"/>
      <c r="J324" s="37"/>
      <c r="K324" s="37"/>
      <c r="L324" s="199">
        <v>15.0</v>
      </c>
      <c r="M324" s="199">
        <v>68.8</v>
      </c>
      <c r="N324" s="37"/>
      <c r="O324" s="37"/>
      <c r="P324" s="199">
        <v>0.04</v>
      </c>
      <c r="Q324" s="199">
        <v>0.0</v>
      </c>
      <c r="R324" s="199">
        <v>0.0</v>
      </c>
      <c r="S324" s="199">
        <v>0.0</v>
      </c>
      <c r="T324" s="199">
        <v>1.0</v>
      </c>
      <c r="U324" s="199">
        <v>0.0</v>
      </c>
      <c r="V324" s="199">
        <v>0.0</v>
      </c>
      <c r="W324" s="199">
        <v>0.0</v>
      </c>
      <c r="X324" s="199">
        <v>0.0</v>
      </c>
      <c r="Y324" s="199">
        <v>0.0</v>
      </c>
      <c r="Z324" s="199">
        <v>0.0</v>
      </c>
      <c r="AA324" s="199">
        <v>0.0</v>
      </c>
      <c r="AB324" s="199">
        <v>2.0</v>
      </c>
      <c r="AC324" s="199">
        <v>0.0</v>
      </c>
      <c r="AD324" s="199">
        <v>0.0</v>
      </c>
      <c r="AE324" s="199">
        <v>7.0</v>
      </c>
      <c r="AF324" s="199">
        <v>0.0</v>
      </c>
      <c r="AG324" s="199">
        <v>564.0</v>
      </c>
      <c r="AH324" s="199">
        <v>13.0</v>
      </c>
      <c r="AI324" s="200" t="s">
        <v>653</v>
      </c>
      <c r="AJ324" s="200" t="s">
        <v>654</v>
      </c>
      <c r="AK324" s="200"/>
      <c r="AL324" s="204"/>
      <c r="AM324" s="204"/>
    </row>
    <row r="325">
      <c r="A325" s="199" t="s">
        <v>218</v>
      </c>
      <c r="B325" s="200" t="s">
        <v>442</v>
      </c>
      <c r="C325" s="199">
        <v>2.4021211224E10</v>
      </c>
      <c r="D325" s="201">
        <v>45309.0</v>
      </c>
      <c r="E325" s="202" t="s">
        <v>100</v>
      </c>
      <c r="F325" s="202" t="s">
        <v>100</v>
      </c>
      <c r="G325" s="203" t="s">
        <v>100</v>
      </c>
      <c r="H325" s="203" t="s">
        <v>100</v>
      </c>
      <c r="I325" s="199">
        <v>9132.0</v>
      </c>
      <c r="J325" s="199">
        <v>4112.0</v>
      </c>
      <c r="K325" s="199">
        <v>913.0</v>
      </c>
      <c r="L325" s="199">
        <v>4.0</v>
      </c>
      <c r="M325" s="199">
        <v>63.6</v>
      </c>
      <c r="N325" s="37"/>
      <c r="O325" s="37"/>
      <c r="P325" s="199">
        <v>0.003</v>
      </c>
      <c r="Q325" s="199">
        <v>0.0</v>
      </c>
      <c r="R325" s="199">
        <v>0.0</v>
      </c>
      <c r="S325" s="199">
        <v>4.0</v>
      </c>
      <c r="T325" s="199">
        <v>0.0</v>
      </c>
      <c r="U325" s="199">
        <v>0.0</v>
      </c>
      <c r="V325" s="199">
        <v>0.0</v>
      </c>
      <c r="W325" s="199">
        <v>0.0</v>
      </c>
      <c r="X325" s="199">
        <v>0.0</v>
      </c>
      <c r="Y325" s="199">
        <v>0.0</v>
      </c>
      <c r="Z325" s="199">
        <v>0.0</v>
      </c>
      <c r="AA325" s="199">
        <v>0.0</v>
      </c>
      <c r="AB325" s="199">
        <v>0.0</v>
      </c>
      <c r="AC325" s="199">
        <v>0.0</v>
      </c>
      <c r="AD325" s="199">
        <v>0.0</v>
      </c>
      <c r="AE325" s="199">
        <v>0.0</v>
      </c>
      <c r="AF325" s="199">
        <v>0.0</v>
      </c>
      <c r="AG325" s="199">
        <v>495.0</v>
      </c>
      <c r="AH325" s="199">
        <v>19.0</v>
      </c>
      <c r="AI325" s="200" t="s">
        <v>655</v>
      </c>
      <c r="AJ325" s="200" t="s">
        <v>656</v>
      </c>
      <c r="AK325" s="200"/>
      <c r="AL325" s="204"/>
      <c r="AM325" s="204"/>
    </row>
    <row r="326">
      <c r="A326" s="199" t="s">
        <v>218</v>
      </c>
      <c r="B326" s="200" t="s">
        <v>442</v>
      </c>
      <c r="C326" s="199">
        <v>2.4307211229E10</v>
      </c>
      <c r="D326" s="201">
        <v>45589.0</v>
      </c>
      <c r="E326" s="202" t="s">
        <v>100</v>
      </c>
      <c r="F326" s="202" t="s">
        <v>100</v>
      </c>
      <c r="G326" s="203" t="s">
        <v>100</v>
      </c>
      <c r="H326" s="203" t="s">
        <v>100</v>
      </c>
      <c r="I326" s="199">
        <v>11685.0</v>
      </c>
      <c r="J326" s="199">
        <v>5614.0</v>
      </c>
      <c r="K326" s="199">
        <v>1032.0</v>
      </c>
      <c r="L326" s="199">
        <v>10.0</v>
      </c>
      <c r="M326" s="199">
        <v>64.4</v>
      </c>
      <c r="N326" s="37"/>
      <c r="O326" s="37"/>
      <c r="P326" s="199">
        <v>0.003</v>
      </c>
      <c r="Q326" s="199">
        <v>0.0</v>
      </c>
      <c r="R326" s="199">
        <v>1.0</v>
      </c>
      <c r="S326" s="199">
        <v>1.0</v>
      </c>
      <c r="T326" s="199">
        <v>0.0</v>
      </c>
      <c r="U326" s="199">
        <v>5.0</v>
      </c>
      <c r="V326" s="199">
        <v>0.0</v>
      </c>
      <c r="W326" s="199">
        <v>0.0</v>
      </c>
      <c r="X326" s="199">
        <v>0.0</v>
      </c>
      <c r="Y326" s="199">
        <v>0.0</v>
      </c>
      <c r="Z326" s="199">
        <v>0.0</v>
      </c>
      <c r="AA326" s="199">
        <v>0.0</v>
      </c>
      <c r="AB326" s="199">
        <v>5.0</v>
      </c>
      <c r="AC326" s="199">
        <v>0.0</v>
      </c>
      <c r="AD326" s="199">
        <v>0.0</v>
      </c>
      <c r="AE326" s="199">
        <v>2.0</v>
      </c>
      <c r="AF326" s="199">
        <v>3.0</v>
      </c>
      <c r="AG326" s="199">
        <v>1006.0</v>
      </c>
      <c r="AH326" s="199">
        <v>6.0</v>
      </c>
      <c r="AI326" s="200" t="s">
        <v>655</v>
      </c>
      <c r="AJ326" s="200" t="s">
        <v>656</v>
      </c>
      <c r="AK326" s="200"/>
      <c r="AL326" s="204"/>
      <c r="AM326" s="204"/>
    </row>
    <row r="327">
      <c r="A327" s="199" t="s">
        <v>218</v>
      </c>
      <c r="B327" s="200" t="s">
        <v>442</v>
      </c>
      <c r="C327" s="199">
        <v>2.5294210223E10</v>
      </c>
      <c r="D327" s="201">
        <v>45946.0</v>
      </c>
      <c r="E327" s="202" t="s">
        <v>100</v>
      </c>
      <c r="F327" s="202" t="s">
        <v>100</v>
      </c>
      <c r="G327" s="203" t="s">
        <v>100</v>
      </c>
      <c r="H327" s="203" t="s">
        <v>100</v>
      </c>
      <c r="I327" s="199">
        <v>8492.0</v>
      </c>
      <c r="J327" s="199">
        <v>4608.0</v>
      </c>
      <c r="K327" s="199">
        <v>1171.0</v>
      </c>
      <c r="L327" s="199">
        <v>5.0</v>
      </c>
      <c r="M327" s="199">
        <v>64.8</v>
      </c>
      <c r="N327" s="37"/>
      <c r="O327" s="37"/>
      <c r="P327" s="199">
        <v>0.01</v>
      </c>
      <c r="Q327" s="199">
        <v>0.0</v>
      </c>
      <c r="R327" s="199">
        <v>3.0</v>
      </c>
      <c r="S327" s="199">
        <v>0.0</v>
      </c>
      <c r="T327" s="199">
        <v>2.0</v>
      </c>
      <c r="U327" s="199">
        <v>0.0</v>
      </c>
      <c r="V327" s="199">
        <v>0.0</v>
      </c>
      <c r="W327" s="199">
        <v>0.0</v>
      </c>
      <c r="X327" s="199">
        <v>0.0</v>
      </c>
      <c r="Y327" s="199">
        <v>0.0</v>
      </c>
      <c r="Z327" s="199">
        <v>0.0</v>
      </c>
      <c r="AA327" s="199">
        <v>0.0</v>
      </c>
      <c r="AB327" s="199">
        <v>13.0</v>
      </c>
      <c r="AC327" s="199">
        <v>0.0</v>
      </c>
      <c r="AD327" s="199">
        <v>0.0</v>
      </c>
      <c r="AE327" s="199">
        <v>8.0</v>
      </c>
      <c r="AF327" s="199">
        <v>0.0</v>
      </c>
      <c r="AG327" s="199">
        <v>456.0</v>
      </c>
      <c r="AH327" s="199">
        <v>0.0</v>
      </c>
      <c r="AI327" s="200" t="s">
        <v>655</v>
      </c>
      <c r="AJ327" s="200" t="s">
        <v>656</v>
      </c>
      <c r="AK327" s="200"/>
      <c r="AL327" s="204"/>
      <c r="AM327" s="204"/>
    </row>
    <row r="328">
      <c r="A328" s="199" t="s">
        <v>218</v>
      </c>
      <c r="B328" s="200" t="s">
        <v>442</v>
      </c>
      <c r="C328" s="199">
        <v>2.6061230212E10</v>
      </c>
      <c r="D328" s="201">
        <v>46064.0</v>
      </c>
      <c r="E328" s="202" t="s">
        <v>102</v>
      </c>
      <c r="F328" s="202" t="s">
        <v>102</v>
      </c>
      <c r="G328" s="203" t="s">
        <v>100</v>
      </c>
      <c r="H328" s="203" t="s">
        <v>100</v>
      </c>
      <c r="I328" s="37"/>
      <c r="J328" s="37"/>
      <c r="K328" s="37"/>
      <c r="L328" s="199">
        <v>12.0</v>
      </c>
      <c r="M328" s="199">
        <v>73.9</v>
      </c>
      <c r="N328" s="37"/>
      <c r="O328" s="37"/>
      <c r="P328" s="199">
        <v>0.02</v>
      </c>
      <c r="Q328" s="199">
        <v>0.0</v>
      </c>
      <c r="R328" s="199">
        <v>0.0</v>
      </c>
      <c r="S328" s="199">
        <v>0.0</v>
      </c>
      <c r="T328" s="199">
        <v>0.0</v>
      </c>
      <c r="U328" s="199">
        <v>0.0</v>
      </c>
      <c r="V328" s="199">
        <v>0.0</v>
      </c>
      <c r="W328" s="199">
        <v>0.0</v>
      </c>
      <c r="X328" s="199">
        <v>0.0</v>
      </c>
      <c r="Y328" s="199">
        <v>0.0</v>
      </c>
      <c r="Z328" s="199">
        <v>0.0</v>
      </c>
      <c r="AA328" s="199">
        <v>0.0</v>
      </c>
      <c r="AB328" s="199">
        <v>0.0</v>
      </c>
      <c r="AC328" s="199">
        <v>0.0</v>
      </c>
      <c r="AD328" s="199">
        <v>0.0</v>
      </c>
      <c r="AE328" s="199">
        <v>0.0</v>
      </c>
      <c r="AF328" s="199">
        <v>0.0</v>
      </c>
      <c r="AG328" s="199">
        <v>502.0</v>
      </c>
      <c r="AH328" s="199">
        <v>0.0</v>
      </c>
      <c r="AI328" s="200" t="s">
        <v>653</v>
      </c>
      <c r="AJ328" s="200" t="s">
        <v>654</v>
      </c>
      <c r="AK328" s="200"/>
      <c r="AL328" s="204"/>
      <c r="AM328" s="204"/>
    </row>
    <row r="329">
      <c r="A329" s="199" t="s">
        <v>219</v>
      </c>
      <c r="B329" s="200" t="s">
        <v>442</v>
      </c>
      <c r="C329" s="199">
        <v>2.4021211228E10</v>
      </c>
      <c r="D329" s="201">
        <v>45309.0</v>
      </c>
      <c r="E329" s="202" t="s">
        <v>102</v>
      </c>
      <c r="F329" s="202" t="s">
        <v>102</v>
      </c>
      <c r="G329" s="203" t="s">
        <v>100</v>
      </c>
      <c r="H329" s="203" t="s">
        <v>100</v>
      </c>
      <c r="I329" s="37"/>
      <c r="J329" s="37"/>
      <c r="K329" s="37"/>
      <c r="L329" s="199">
        <v>5.0</v>
      </c>
      <c r="M329" s="199">
        <v>68.9</v>
      </c>
      <c r="N329" s="37"/>
      <c r="O329" s="37"/>
      <c r="P329" s="199">
        <v>0.02</v>
      </c>
      <c r="Q329" s="199">
        <v>0.0</v>
      </c>
      <c r="R329" s="199">
        <v>4.0</v>
      </c>
      <c r="S329" s="199">
        <v>0.0</v>
      </c>
      <c r="T329" s="199">
        <v>0.0</v>
      </c>
      <c r="U329" s="199">
        <v>0.0</v>
      </c>
      <c r="V329" s="199">
        <v>0.0</v>
      </c>
      <c r="W329" s="199">
        <v>0.0</v>
      </c>
      <c r="X329" s="199">
        <v>0.0</v>
      </c>
      <c r="Y329" s="199">
        <v>0.0</v>
      </c>
      <c r="Z329" s="199">
        <v>0.0</v>
      </c>
      <c r="AA329" s="199">
        <v>0.0</v>
      </c>
      <c r="AB329" s="199">
        <v>1.0</v>
      </c>
      <c r="AC329" s="199">
        <v>10.0</v>
      </c>
      <c r="AD329" s="199">
        <v>0.0</v>
      </c>
      <c r="AE329" s="199">
        <v>1.0</v>
      </c>
      <c r="AF329" s="199">
        <v>0.0</v>
      </c>
      <c r="AG329" s="199">
        <v>597.0</v>
      </c>
      <c r="AH329" s="199">
        <v>0.0</v>
      </c>
      <c r="AI329" s="200" t="s">
        <v>653</v>
      </c>
      <c r="AJ329" s="200" t="s">
        <v>654</v>
      </c>
      <c r="AK329" s="200"/>
      <c r="AL329" s="204"/>
      <c r="AM329" s="204"/>
    </row>
    <row r="330">
      <c r="A330" s="199" t="s">
        <v>219</v>
      </c>
      <c r="B330" s="200" t="s">
        <v>442</v>
      </c>
      <c r="C330" s="199">
        <v>2.430721123E10</v>
      </c>
      <c r="D330" s="201">
        <v>45589.0</v>
      </c>
      <c r="E330" s="202" t="s">
        <v>100</v>
      </c>
      <c r="F330" s="202" t="s">
        <v>100</v>
      </c>
      <c r="G330" s="203" t="s">
        <v>100</v>
      </c>
      <c r="H330" s="203" t="s">
        <v>100</v>
      </c>
      <c r="I330" s="199">
        <v>5192.0</v>
      </c>
      <c r="J330" s="199">
        <v>3494.0</v>
      </c>
      <c r="K330" s="199">
        <v>1200.0</v>
      </c>
      <c r="L330" s="199">
        <v>6.0</v>
      </c>
      <c r="M330" s="199">
        <v>67.0</v>
      </c>
      <c r="N330" s="37"/>
      <c r="O330" s="37"/>
      <c r="P330" s="199">
        <v>0.01</v>
      </c>
      <c r="Q330" s="199">
        <v>0.0</v>
      </c>
      <c r="R330" s="199">
        <v>1.0</v>
      </c>
      <c r="S330" s="199">
        <v>0.0</v>
      </c>
      <c r="T330" s="199">
        <v>0.0</v>
      </c>
      <c r="U330" s="199">
        <v>2.0</v>
      </c>
      <c r="V330" s="199">
        <v>0.0</v>
      </c>
      <c r="W330" s="199">
        <v>0.0</v>
      </c>
      <c r="X330" s="199">
        <v>0.0</v>
      </c>
      <c r="Y330" s="199">
        <v>0.0</v>
      </c>
      <c r="Z330" s="199">
        <v>1.0</v>
      </c>
      <c r="AA330" s="199">
        <v>0.0</v>
      </c>
      <c r="AB330" s="199">
        <v>10.0</v>
      </c>
      <c r="AC330" s="199">
        <v>8.0</v>
      </c>
      <c r="AD330" s="199">
        <v>0.0</v>
      </c>
      <c r="AE330" s="199">
        <v>5.0</v>
      </c>
      <c r="AF330" s="199">
        <v>2.0</v>
      </c>
      <c r="AG330" s="199">
        <v>969.0</v>
      </c>
      <c r="AH330" s="199">
        <v>3.0</v>
      </c>
      <c r="AI330" s="200" t="s">
        <v>655</v>
      </c>
      <c r="AJ330" s="200" t="s">
        <v>656</v>
      </c>
      <c r="AK330" s="200"/>
      <c r="AL330" s="204"/>
      <c r="AM330" s="204"/>
    </row>
    <row r="331">
      <c r="A331" s="199" t="s">
        <v>219</v>
      </c>
      <c r="B331" s="200" t="s">
        <v>442</v>
      </c>
      <c r="C331" s="199">
        <v>2.5294210219E10</v>
      </c>
      <c r="D331" s="201">
        <v>45946.0</v>
      </c>
      <c r="E331" s="202" t="s">
        <v>102</v>
      </c>
      <c r="F331" s="202" t="s">
        <v>102</v>
      </c>
      <c r="G331" s="203" t="s">
        <v>100</v>
      </c>
      <c r="H331" s="203" t="s">
        <v>100</v>
      </c>
      <c r="I331" s="199">
        <v>18917.0</v>
      </c>
      <c r="J331" s="199">
        <v>10062.0</v>
      </c>
      <c r="K331" s="199">
        <v>6516.0</v>
      </c>
      <c r="L331" s="199">
        <v>15.0</v>
      </c>
      <c r="M331" s="199">
        <v>66.9</v>
      </c>
      <c r="N331" s="37"/>
      <c r="O331" s="37"/>
      <c r="P331" s="199">
        <v>0.07</v>
      </c>
      <c r="Q331" s="199">
        <v>0.0</v>
      </c>
      <c r="R331" s="199">
        <v>4.0</v>
      </c>
      <c r="S331" s="199">
        <v>1.0</v>
      </c>
      <c r="T331" s="199">
        <v>2.0</v>
      </c>
      <c r="U331" s="199">
        <v>1.0</v>
      </c>
      <c r="V331" s="199">
        <v>0.0</v>
      </c>
      <c r="W331" s="199">
        <v>0.0</v>
      </c>
      <c r="X331" s="199">
        <v>0.0</v>
      </c>
      <c r="Y331" s="199">
        <v>0.0</v>
      </c>
      <c r="Z331" s="199">
        <v>0.0</v>
      </c>
      <c r="AA331" s="199">
        <v>0.0</v>
      </c>
      <c r="AB331" s="199">
        <v>4.0</v>
      </c>
      <c r="AC331" s="199">
        <v>0.0</v>
      </c>
      <c r="AD331" s="199">
        <v>0.0</v>
      </c>
      <c r="AE331" s="199">
        <v>15.0</v>
      </c>
      <c r="AF331" s="199">
        <v>2.0</v>
      </c>
      <c r="AG331" s="199">
        <v>674.0</v>
      </c>
      <c r="AH331" s="199">
        <v>9.0</v>
      </c>
      <c r="AI331" s="200" t="s">
        <v>820</v>
      </c>
      <c r="AJ331" s="200" t="s">
        <v>821</v>
      </c>
      <c r="AK331" s="200"/>
      <c r="AL331" s="204"/>
      <c r="AM331" s="204"/>
    </row>
    <row r="332">
      <c r="A332" s="199" t="s">
        <v>219</v>
      </c>
      <c r="B332" s="200" t="s">
        <v>442</v>
      </c>
      <c r="C332" s="199">
        <v>2.6061630204E10</v>
      </c>
      <c r="D332" s="201">
        <v>46064.0</v>
      </c>
      <c r="E332" s="202" t="s">
        <v>100</v>
      </c>
      <c r="F332" s="202" t="s">
        <v>100</v>
      </c>
      <c r="G332" s="203" t="s">
        <v>100</v>
      </c>
      <c r="H332" s="203" t="s">
        <v>100</v>
      </c>
      <c r="I332" s="199">
        <v>11817.0</v>
      </c>
      <c r="J332" s="199">
        <v>2128.0</v>
      </c>
      <c r="K332" s="37"/>
      <c r="L332" s="199">
        <v>10.0</v>
      </c>
      <c r="M332" s="199">
        <v>67.0</v>
      </c>
      <c r="N332" s="37"/>
      <c r="O332" s="37"/>
      <c r="P332" s="199">
        <v>0.01</v>
      </c>
      <c r="Q332" s="199">
        <v>0.0</v>
      </c>
      <c r="R332" s="199">
        <v>0.0</v>
      </c>
      <c r="S332" s="199">
        <v>0.0</v>
      </c>
      <c r="T332" s="199">
        <v>0.0</v>
      </c>
      <c r="U332" s="199">
        <v>0.0</v>
      </c>
      <c r="V332" s="199">
        <v>0.0</v>
      </c>
      <c r="W332" s="199">
        <v>0.0</v>
      </c>
      <c r="X332" s="199">
        <v>0.0</v>
      </c>
      <c r="Y332" s="199">
        <v>0.0</v>
      </c>
      <c r="Z332" s="199">
        <v>0.0</v>
      </c>
      <c r="AA332" s="199">
        <v>0.0</v>
      </c>
      <c r="AB332" s="199">
        <v>0.0</v>
      </c>
      <c r="AC332" s="199">
        <v>0.0</v>
      </c>
      <c r="AD332" s="199">
        <v>0.0</v>
      </c>
      <c r="AE332" s="199">
        <v>0.0</v>
      </c>
      <c r="AF332" s="199">
        <v>0.0</v>
      </c>
      <c r="AG332" s="199">
        <v>538.0</v>
      </c>
      <c r="AH332" s="199">
        <v>0.0</v>
      </c>
      <c r="AI332" s="200" t="s">
        <v>655</v>
      </c>
      <c r="AJ332" s="200" t="s">
        <v>656</v>
      </c>
      <c r="AK332" s="200"/>
      <c r="AL332" s="204"/>
      <c r="AM332" s="204"/>
    </row>
    <row r="333">
      <c r="A333" s="199" t="s">
        <v>220</v>
      </c>
      <c r="B333" s="200" t="s">
        <v>449</v>
      </c>
      <c r="C333" s="199">
        <v>2.5180296201E10</v>
      </c>
      <c r="D333" s="201">
        <v>45826.0</v>
      </c>
      <c r="E333" s="202" t="s">
        <v>100</v>
      </c>
      <c r="F333" s="202" t="s">
        <v>100</v>
      </c>
      <c r="G333" s="203" t="s">
        <v>100</v>
      </c>
      <c r="H333" s="203" t="s">
        <v>100</v>
      </c>
      <c r="I333" s="199">
        <v>9237.0</v>
      </c>
      <c r="J333" s="199">
        <v>3179.0</v>
      </c>
      <c r="K333" s="199">
        <v>1017.0</v>
      </c>
      <c r="L333" s="199">
        <v>10.0</v>
      </c>
      <c r="M333" s="199">
        <v>40.6</v>
      </c>
      <c r="N333" s="199"/>
      <c r="O333" s="199">
        <v>0.0</v>
      </c>
      <c r="P333" s="199">
        <v>0.003</v>
      </c>
      <c r="Q333" s="199">
        <v>0.0</v>
      </c>
      <c r="R333" s="199">
        <v>0.0</v>
      </c>
      <c r="S333" s="199">
        <v>0.0</v>
      </c>
      <c r="T333" s="199">
        <v>0.0</v>
      </c>
      <c r="U333" s="199">
        <v>4.0</v>
      </c>
      <c r="V333" s="199">
        <v>0.0</v>
      </c>
      <c r="W333" s="199">
        <v>0.0</v>
      </c>
      <c r="X333" s="199">
        <v>1.0</v>
      </c>
      <c r="Y333" s="199">
        <v>0.0</v>
      </c>
      <c r="Z333" s="199">
        <v>0.0</v>
      </c>
      <c r="AA333" s="199">
        <v>0.0</v>
      </c>
      <c r="AB333" s="199">
        <v>0.0</v>
      </c>
      <c r="AC333" s="199">
        <v>3.0</v>
      </c>
      <c r="AD333" s="199">
        <v>0.0</v>
      </c>
      <c r="AE333" s="199">
        <v>74.0</v>
      </c>
      <c r="AF333" s="199">
        <v>0.0</v>
      </c>
      <c r="AG333" s="199">
        <v>325.0</v>
      </c>
      <c r="AH333" s="199">
        <v>382.0</v>
      </c>
      <c r="AI333" s="200" t="s">
        <v>655</v>
      </c>
      <c r="AJ333" s="200" t="s">
        <v>656</v>
      </c>
      <c r="AK333" s="200"/>
      <c r="AL333" s="204"/>
      <c r="AM333" s="204"/>
    </row>
    <row r="334">
      <c r="A334" s="199" t="s">
        <v>220</v>
      </c>
      <c r="B334" s="200" t="s">
        <v>449</v>
      </c>
      <c r="C334" s="199">
        <v>2.5258159201E10</v>
      </c>
      <c r="D334" s="201">
        <v>45909.0</v>
      </c>
      <c r="E334" s="202" t="s">
        <v>100</v>
      </c>
      <c r="F334" s="202" t="s">
        <v>100</v>
      </c>
      <c r="G334" s="203" t="s">
        <v>100</v>
      </c>
      <c r="H334" s="203" t="s">
        <v>100</v>
      </c>
      <c r="I334" s="199">
        <v>11780.0</v>
      </c>
      <c r="J334" s="199">
        <v>5186.0</v>
      </c>
      <c r="K334" s="199">
        <v>1300.0</v>
      </c>
      <c r="L334" s="199">
        <v>13.0</v>
      </c>
      <c r="M334" s="199">
        <v>48.7</v>
      </c>
      <c r="N334" s="199"/>
      <c r="O334" s="199">
        <v>0.0</v>
      </c>
      <c r="P334" s="199">
        <v>0.04</v>
      </c>
      <c r="Q334" s="199">
        <v>0.0</v>
      </c>
      <c r="R334" s="199">
        <v>7.0</v>
      </c>
      <c r="S334" s="199">
        <v>1.0</v>
      </c>
      <c r="T334" s="199">
        <v>4.0</v>
      </c>
      <c r="U334" s="199">
        <v>8.0</v>
      </c>
      <c r="V334" s="199">
        <v>0.0</v>
      </c>
      <c r="W334" s="199">
        <v>0.0</v>
      </c>
      <c r="X334" s="199">
        <v>0.0</v>
      </c>
      <c r="Y334" s="199">
        <v>0.0</v>
      </c>
      <c r="Z334" s="199">
        <v>0.0</v>
      </c>
      <c r="AA334" s="199">
        <v>0.0</v>
      </c>
      <c r="AB334" s="199">
        <v>0.0</v>
      </c>
      <c r="AC334" s="199">
        <v>10.0</v>
      </c>
      <c r="AD334" s="199">
        <v>0.0</v>
      </c>
      <c r="AE334" s="199">
        <v>89.0</v>
      </c>
      <c r="AF334" s="199">
        <v>0.0</v>
      </c>
      <c r="AG334" s="199">
        <v>451.0</v>
      </c>
      <c r="AH334" s="199">
        <v>502.0</v>
      </c>
      <c r="AI334" s="200" t="s">
        <v>655</v>
      </c>
      <c r="AJ334" s="200" t="s">
        <v>656</v>
      </c>
      <c r="AK334" s="200"/>
      <c r="AL334" s="204"/>
      <c r="AM334" s="204"/>
    </row>
    <row r="335">
      <c r="A335" s="199" t="s">
        <v>221</v>
      </c>
      <c r="B335" s="200" t="s">
        <v>573</v>
      </c>
      <c r="C335" s="199">
        <v>2.518029622E10</v>
      </c>
      <c r="D335" s="201">
        <v>45826.0</v>
      </c>
      <c r="E335" s="202" t="s">
        <v>100</v>
      </c>
      <c r="F335" s="202" t="s">
        <v>100</v>
      </c>
      <c r="G335" s="203" t="s">
        <v>100</v>
      </c>
      <c r="H335" s="203" t="s">
        <v>100</v>
      </c>
      <c r="I335" s="37"/>
      <c r="J335" s="37"/>
      <c r="K335" s="37"/>
      <c r="L335" s="199">
        <v>5.0</v>
      </c>
      <c r="M335" s="199">
        <v>87.8</v>
      </c>
      <c r="N335" s="37"/>
      <c r="O335" s="37"/>
      <c r="P335" s="199">
        <v>0.003</v>
      </c>
      <c r="Q335" s="199">
        <v>0.0</v>
      </c>
      <c r="R335" s="199">
        <v>0.0</v>
      </c>
      <c r="S335" s="199">
        <v>0.0</v>
      </c>
      <c r="T335" s="199">
        <v>0.0</v>
      </c>
      <c r="U335" s="199">
        <v>6.0</v>
      </c>
      <c r="V335" s="199">
        <v>0.0</v>
      </c>
      <c r="W335" s="199">
        <v>0.0</v>
      </c>
      <c r="X335" s="199">
        <v>1.0</v>
      </c>
      <c r="Y335" s="199">
        <v>0.0</v>
      </c>
      <c r="Z335" s="199">
        <v>0.0</v>
      </c>
      <c r="AA335" s="199">
        <v>0.0</v>
      </c>
      <c r="AB335" s="199">
        <v>7.0</v>
      </c>
      <c r="AC335" s="199">
        <v>9.0</v>
      </c>
      <c r="AD335" s="199">
        <v>0.0</v>
      </c>
      <c r="AE335" s="199">
        <v>10.0</v>
      </c>
      <c r="AF335" s="199">
        <v>0.0</v>
      </c>
      <c r="AG335" s="199">
        <v>399.0</v>
      </c>
      <c r="AH335" s="199">
        <v>2.0</v>
      </c>
      <c r="AI335" s="200" t="s">
        <v>655</v>
      </c>
      <c r="AJ335" s="200" t="s">
        <v>656</v>
      </c>
      <c r="AK335" s="200"/>
      <c r="AL335" s="204"/>
      <c r="AM335" s="204"/>
    </row>
    <row r="336">
      <c r="A336" s="199" t="s">
        <v>221</v>
      </c>
      <c r="B336" s="200" t="s">
        <v>573</v>
      </c>
      <c r="C336" s="199">
        <v>2.525815922E10</v>
      </c>
      <c r="D336" s="201">
        <v>45909.0</v>
      </c>
      <c r="E336" s="202" t="s">
        <v>100</v>
      </c>
      <c r="F336" s="202" t="s">
        <v>100</v>
      </c>
      <c r="G336" s="203" t="s">
        <v>100</v>
      </c>
      <c r="H336" s="203" t="s">
        <v>100</v>
      </c>
      <c r="I336" s="37"/>
      <c r="J336" s="37"/>
      <c r="K336" s="37"/>
      <c r="L336" s="199">
        <v>7.0</v>
      </c>
      <c r="M336" s="199">
        <v>91.1</v>
      </c>
      <c r="N336" s="37"/>
      <c r="O336" s="37"/>
      <c r="P336" s="199">
        <v>0.003</v>
      </c>
      <c r="Q336" s="199">
        <v>0.0</v>
      </c>
      <c r="R336" s="199">
        <v>5.0</v>
      </c>
      <c r="S336" s="199">
        <v>1.0</v>
      </c>
      <c r="T336" s="199">
        <v>4.0</v>
      </c>
      <c r="U336" s="199">
        <v>4.0</v>
      </c>
      <c r="V336" s="199">
        <v>0.0</v>
      </c>
      <c r="W336" s="199">
        <v>0.0</v>
      </c>
      <c r="X336" s="199">
        <v>0.0</v>
      </c>
      <c r="Y336" s="199">
        <v>0.0</v>
      </c>
      <c r="Z336" s="199">
        <v>0.0</v>
      </c>
      <c r="AA336" s="199">
        <v>0.0</v>
      </c>
      <c r="AB336" s="199">
        <v>6.0</v>
      </c>
      <c r="AC336" s="199">
        <v>0.0</v>
      </c>
      <c r="AD336" s="199">
        <v>0.0</v>
      </c>
      <c r="AE336" s="199">
        <v>40.0</v>
      </c>
      <c r="AF336" s="199">
        <v>2.0</v>
      </c>
      <c r="AG336" s="199">
        <v>662.0</v>
      </c>
      <c r="AH336" s="199">
        <v>0.0</v>
      </c>
      <c r="AI336" s="200" t="s">
        <v>655</v>
      </c>
      <c r="AJ336" s="200" t="s">
        <v>656</v>
      </c>
      <c r="AK336" s="200"/>
      <c r="AL336" s="204"/>
      <c r="AM336" s="204"/>
    </row>
    <row r="337">
      <c r="A337" s="199" t="s">
        <v>222</v>
      </c>
      <c r="B337" s="200" t="s">
        <v>733</v>
      </c>
      <c r="C337" s="199">
        <v>2.5079203221E10</v>
      </c>
      <c r="D337" s="201">
        <v>45725.0</v>
      </c>
      <c r="E337" s="202" t="s">
        <v>100</v>
      </c>
      <c r="F337" s="202" t="s">
        <v>100</v>
      </c>
      <c r="G337" s="203" t="s">
        <v>100</v>
      </c>
      <c r="H337" s="203" t="s">
        <v>100</v>
      </c>
      <c r="I337" s="199">
        <v>30291.0</v>
      </c>
      <c r="J337" s="199">
        <v>24322.0</v>
      </c>
      <c r="K337" s="199">
        <v>11619.0</v>
      </c>
      <c r="L337" s="199">
        <v>10.0</v>
      </c>
      <c r="M337" s="199">
        <v>286.3</v>
      </c>
      <c r="N337" s="199"/>
      <c r="O337" s="199">
        <v>1.0</v>
      </c>
      <c r="P337" s="199">
        <v>0.01</v>
      </c>
      <c r="Q337" s="199">
        <v>0.0</v>
      </c>
      <c r="R337" s="199">
        <v>7.0</v>
      </c>
      <c r="S337" s="199">
        <v>1.0</v>
      </c>
      <c r="T337" s="199">
        <v>3.0</v>
      </c>
      <c r="U337" s="199">
        <v>1.0</v>
      </c>
      <c r="V337" s="199">
        <v>0.0</v>
      </c>
      <c r="W337" s="199">
        <v>0.0</v>
      </c>
      <c r="X337" s="199">
        <v>0.0</v>
      </c>
      <c r="Y337" s="199">
        <v>0.0</v>
      </c>
      <c r="Z337" s="199">
        <v>2.0</v>
      </c>
      <c r="AA337" s="199">
        <v>0.0</v>
      </c>
      <c r="AB337" s="199">
        <v>5.0</v>
      </c>
      <c r="AC337" s="199">
        <v>72.0</v>
      </c>
      <c r="AD337" s="199">
        <v>0.0</v>
      </c>
      <c r="AE337" s="199">
        <v>12.0</v>
      </c>
      <c r="AF337" s="199">
        <v>0.0</v>
      </c>
      <c r="AG337" s="199">
        <v>418.0</v>
      </c>
      <c r="AH337" s="199">
        <v>29.0</v>
      </c>
      <c r="AI337" s="200" t="s">
        <v>655</v>
      </c>
      <c r="AJ337" s="200" t="s">
        <v>656</v>
      </c>
      <c r="AK337" s="200"/>
      <c r="AL337" s="204"/>
      <c r="AM337" s="204"/>
    </row>
    <row r="338">
      <c r="A338" s="199" t="s">
        <v>222</v>
      </c>
      <c r="B338" s="200" t="s">
        <v>733</v>
      </c>
      <c r="C338" s="199">
        <v>2.5180296224E10</v>
      </c>
      <c r="D338" s="201">
        <v>45826.0</v>
      </c>
      <c r="E338" s="202" t="s">
        <v>102</v>
      </c>
      <c r="F338" s="202" t="s">
        <v>102</v>
      </c>
      <c r="G338" s="203" t="s">
        <v>100</v>
      </c>
      <c r="H338" s="203" t="s">
        <v>100</v>
      </c>
      <c r="I338" s="37"/>
      <c r="J338" s="37"/>
      <c r="K338" s="37"/>
      <c r="L338" s="199">
        <v>17.0</v>
      </c>
      <c r="M338" s="199">
        <v>281.3</v>
      </c>
      <c r="N338" s="199"/>
      <c r="O338" s="199">
        <v>1.0</v>
      </c>
      <c r="P338" s="199">
        <v>0.05</v>
      </c>
      <c r="Q338" s="199">
        <v>0.0</v>
      </c>
      <c r="R338" s="199">
        <v>0.0</v>
      </c>
      <c r="S338" s="199">
        <v>0.0</v>
      </c>
      <c r="T338" s="199">
        <v>0.0</v>
      </c>
      <c r="U338" s="199">
        <v>8.0</v>
      </c>
      <c r="V338" s="199">
        <v>0.0</v>
      </c>
      <c r="W338" s="199">
        <v>0.0</v>
      </c>
      <c r="X338" s="199">
        <v>1.0</v>
      </c>
      <c r="Y338" s="199">
        <v>0.0</v>
      </c>
      <c r="Z338" s="199">
        <v>0.0</v>
      </c>
      <c r="AA338" s="199">
        <v>0.0</v>
      </c>
      <c r="AB338" s="199">
        <v>1.0</v>
      </c>
      <c r="AC338" s="199">
        <v>25.0</v>
      </c>
      <c r="AD338" s="199">
        <v>0.0</v>
      </c>
      <c r="AE338" s="199">
        <v>21.0</v>
      </c>
      <c r="AF338" s="199">
        <v>2.0</v>
      </c>
      <c r="AG338" s="199">
        <v>360.0</v>
      </c>
      <c r="AH338" s="199">
        <v>11.0</v>
      </c>
      <c r="AI338" s="200" t="s">
        <v>653</v>
      </c>
      <c r="AJ338" s="200" t="s">
        <v>654</v>
      </c>
      <c r="AK338" s="200"/>
      <c r="AL338" s="204"/>
      <c r="AM338" s="204"/>
    </row>
    <row r="339">
      <c r="A339" s="199" t="s">
        <v>223</v>
      </c>
      <c r="B339" s="200" t="s">
        <v>578</v>
      </c>
      <c r="C339" s="199">
        <v>2.3276310205E10</v>
      </c>
      <c r="D339" s="201">
        <v>45196.0</v>
      </c>
      <c r="E339" s="202" t="s">
        <v>100</v>
      </c>
      <c r="F339" s="202" t="s">
        <v>100</v>
      </c>
      <c r="G339" s="203" t="s">
        <v>100</v>
      </c>
      <c r="H339" s="203" t="s">
        <v>100</v>
      </c>
      <c r="I339" s="199">
        <v>12136.0</v>
      </c>
      <c r="J339" s="199">
        <v>10778.0</v>
      </c>
      <c r="K339" s="199">
        <v>6063.0</v>
      </c>
      <c r="L339" s="199">
        <v>7.0</v>
      </c>
      <c r="M339" s="199">
        <v>280.8</v>
      </c>
      <c r="N339" s="37"/>
      <c r="O339" s="37"/>
      <c r="P339" s="199">
        <v>0.01</v>
      </c>
      <c r="Q339" s="199">
        <v>0.0</v>
      </c>
      <c r="R339" s="199">
        <v>2.0</v>
      </c>
      <c r="S339" s="199">
        <v>0.0</v>
      </c>
      <c r="T339" s="199">
        <v>0.0</v>
      </c>
      <c r="U339" s="199">
        <v>2.0</v>
      </c>
      <c r="V339" s="199">
        <v>0.0</v>
      </c>
      <c r="W339" s="199">
        <v>0.0</v>
      </c>
      <c r="X339" s="199">
        <v>0.0</v>
      </c>
      <c r="Y339" s="199">
        <v>1.0</v>
      </c>
      <c r="Z339" s="199">
        <v>2.0</v>
      </c>
      <c r="AA339" s="199">
        <v>1.0</v>
      </c>
      <c r="AB339" s="199">
        <v>3.0</v>
      </c>
      <c r="AC339" s="199">
        <v>13.0</v>
      </c>
      <c r="AD339" s="199">
        <v>0.0</v>
      </c>
      <c r="AE339" s="199">
        <v>6.0</v>
      </c>
      <c r="AF339" s="199">
        <v>2.0</v>
      </c>
      <c r="AG339" s="199">
        <v>333.0</v>
      </c>
      <c r="AH339" s="199">
        <v>0.0</v>
      </c>
      <c r="AI339" s="200" t="s">
        <v>655</v>
      </c>
      <c r="AJ339" s="200" t="s">
        <v>656</v>
      </c>
      <c r="AK339" s="200"/>
      <c r="AL339" s="204"/>
      <c r="AM339" s="204"/>
    </row>
    <row r="340">
      <c r="A340" s="199" t="s">
        <v>224</v>
      </c>
      <c r="B340" s="200" t="s">
        <v>455</v>
      </c>
      <c r="C340" s="199">
        <v>2.3351170203E10</v>
      </c>
      <c r="D340" s="201">
        <v>45266.0</v>
      </c>
      <c r="E340" s="202" t="s">
        <v>102</v>
      </c>
      <c r="F340" s="202" t="s">
        <v>102</v>
      </c>
      <c r="G340" s="203" t="s">
        <v>100</v>
      </c>
      <c r="H340" s="203" t="s">
        <v>100</v>
      </c>
      <c r="I340" s="37"/>
      <c r="J340" s="37"/>
      <c r="K340" s="37"/>
      <c r="L340" s="199">
        <v>12.0</v>
      </c>
      <c r="M340" s="199">
        <v>226.0</v>
      </c>
      <c r="N340" s="37"/>
      <c r="O340" s="37"/>
      <c r="P340" s="199">
        <v>0.02</v>
      </c>
      <c r="Q340" s="199">
        <v>0.0</v>
      </c>
      <c r="R340" s="199">
        <v>4.0</v>
      </c>
      <c r="S340" s="199">
        <v>0.0</v>
      </c>
      <c r="T340" s="199">
        <v>0.0</v>
      </c>
      <c r="U340" s="199">
        <v>14.0</v>
      </c>
      <c r="V340" s="199">
        <v>0.0</v>
      </c>
      <c r="W340" s="199">
        <v>0.0</v>
      </c>
      <c r="X340" s="199">
        <v>0.0</v>
      </c>
      <c r="Y340" s="199">
        <v>0.0</v>
      </c>
      <c r="Z340" s="199">
        <v>0.0</v>
      </c>
      <c r="AA340" s="199">
        <v>6.0</v>
      </c>
      <c r="AB340" s="199">
        <v>1.0</v>
      </c>
      <c r="AC340" s="199">
        <v>16.0</v>
      </c>
      <c r="AD340" s="199">
        <v>0.0</v>
      </c>
      <c r="AE340" s="199">
        <v>2.0</v>
      </c>
      <c r="AF340" s="199">
        <v>0.0</v>
      </c>
      <c r="AG340" s="199">
        <v>766.0</v>
      </c>
      <c r="AH340" s="199">
        <v>7.0</v>
      </c>
      <c r="AI340" s="200" t="s">
        <v>653</v>
      </c>
      <c r="AJ340" s="200" t="s">
        <v>654</v>
      </c>
      <c r="AK340" s="200"/>
      <c r="AL340" s="204"/>
      <c r="AM340" s="204"/>
    </row>
    <row r="341">
      <c r="A341" s="199" t="s">
        <v>224</v>
      </c>
      <c r="B341" s="200" t="s">
        <v>455</v>
      </c>
      <c r="C341" s="199">
        <v>2.5049182218E10</v>
      </c>
      <c r="D341" s="201">
        <v>45701.0</v>
      </c>
      <c r="E341" s="202" t="s">
        <v>100</v>
      </c>
      <c r="F341" s="202" t="s">
        <v>100</v>
      </c>
      <c r="G341" s="203" t="s">
        <v>100</v>
      </c>
      <c r="H341" s="203" t="s">
        <v>100</v>
      </c>
      <c r="I341" s="199">
        <v>21973.0</v>
      </c>
      <c r="J341" s="199">
        <v>10377.0</v>
      </c>
      <c r="K341" s="199">
        <v>5144.0</v>
      </c>
      <c r="L341" s="199">
        <v>10.0</v>
      </c>
      <c r="M341" s="199">
        <v>230.3</v>
      </c>
      <c r="N341" s="37"/>
      <c r="O341" s="37"/>
      <c r="P341" s="199">
        <v>0.05</v>
      </c>
      <c r="Q341" s="199">
        <v>0.0</v>
      </c>
      <c r="R341" s="199">
        <v>5.0</v>
      </c>
      <c r="S341" s="199">
        <v>1.0</v>
      </c>
      <c r="T341" s="199">
        <v>2.0</v>
      </c>
      <c r="U341" s="199">
        <v>17.0</v>
      </c>
      <c r="V341" s="199">
        <v>0.0</v>
      </c>
      <c r="W341" s="199">
        <v>0.0</v>
      </c>
      <c r="X341" s="199">
        <v>2.0</v>
      </c>
      <c r="Y341" s="199">
        <v>0.0</v>
      </c>
      <c r="Z341" s="199">
        <v>0.0</v>
      </c>
      <c r="AA341" s="199">
        <v>0.0</v>
      </c>
      <c r="AB341" s="199">
        <v>1.0</v>
      </c>
      <c r="AC341" s="199">
        <v>19.0</v>
      </c>
      <c r="AD341" s="199">
        <v>0.0</v>
      </c>
      <c r="AE341" s="199">
        <v>42.0</v>
      </c>
      <c r="AF341" s="199">
        <v>2.0</v>
      </c>
      <c r="AG341" s="199">
        <v>872.0</v>
      </c>
      <c r="AH341" s="199">
        <v>21.0</v>
      </c>
      <c r="AI341" s="200" t="s">
        <v>655</v>
      </c>
      <c r="AJ341" s="200" t="s">
        <v>656</v>
      </c>
      <c r="AK341" s="200"/>
      <c r="AL341" s="204"/>
      <c r="AM341" s="204"/>
    </row>
    <row r="342">
      <c r="A342" s="199" t="s">
        <v>224</v>
      </c>
      <c r="B342" s="200" t="s">
        <v>455</v>
      </c>
      <c r="C342" s="199">
        <v>2.5175246224E10</v>
      </c>
      <c r="D342" s="201">
        <v>45826.0</v>
      </c>
      <c r="E342" s="202" t="s">
        <v>101</v>
      </c>
      <c r="F342" s="202" t="s">
        <v>100</v>
      </c>
      <c r="G342" s="203" t="s">
        <v>100</v>
      </c>
      <c r="H342" s="203" t="s">
        <v>101</v>
      </c>
      <c r="I342" s="199">
        <v>32088.0</v>
      </c>
      <c r="J342" s="199">
        <v>19269.0</v>
      </c>
      <c r="K342" s="199">
        <v>7174.0</v>
      </c>
      <c r="L342" s="199">
        <v>7.0</v>
      </c>
      <c r="M342" s="199">
        <v>312.2</v>
      </c>
      <c r="N342" s="37"/>
      <c r="O342" s="37"/>
      <c r="P342" s="199">
        <v>0.01</v>
      </c>
      <c r="Q342" s="199">
        <v>0.0</v>
      </c>
      <c r="R342" s="199">
        <v>3.0</v>
      </c>
      <c r="S342" s="199">
        <v>2.0</v>
      </c>
      <c r="T342" s="199">
        <v>1.0</v>
      </c>
      <c r="U342" s="199">
        <v>0.0</v>
      </c>
      <c r="V342" s="199">
        <v>0.0</v>
      </c>
      <c r="W342" s="199">
        <v>0.0</v>
      </c>
      <c r="X342" s="199">
        <v>0.0</v>
      </c>
      <c r="Y342" s="199">
        <v>0.0</v>
      </c>
      <c r="Z342" s="199">
        <v>0.0</v>
      </c>
      <c r="AA342" s="199">
        <v>0.0</v>
      </c>
      <c r="AB342" s="199">
        <v>1.0</v>
      </c>
      <c r="AC342" s="199">
        <v>12.0</v>
      </c>
      <c r="AD342" s="199">
        <v>0.0</v>
      </c>
      <c r="AE342" s="199">
        <v>4.0</v>
      </c>
      <c r="AF342" s="199">
        <v>0.0</v>
      </c>
      <c r="AG342" s="199">
        <v>488.0</v>
      </c>
      <c r="AH342" s="199">
        <v>0.0</v>
      </c>
      <c r="AI342" s="200" t="s">
        <v>776</v>
      </c>
      <c r="AJ342" s="200" t="s">
        <v>777</v>
      </c>
      <c r="AK342" s="200"/>
      <c r="AL342" s="204"/>
      <c r="AM342" s="204"/>
    </row>
    <row r="343">
      <c r="A343" s="199" t="s">
        <v>224</v>
      </c>
      <c r="B343" s="200" t="s">
        <v>455</v>
      </c>
      <c r="C343" s="199">
        <v>2.5259169218E10</v>
      </c>
      <c r="D343" s="201">
        <v>45908.0</v>
      </c>
      <c r="E343" s="202" t="s">
        <v>101</v>
      </c>
      <c r="F343" s="202" t="s">
        <v>102</v>
      </c>
      <c r="G343" s="203" t="s">
        <v>100</v>
      </c>
      <c r="H343" s="203" t="s">
        <v>101</v>
      </c>
      <c r="I343" s="37"/>
      <c r="J343" s="37"/>
      <c r="K343" s="37"/>
      <c r="L343" s="199">
        <v>13.0</v>
      </c>
      <c r="M343" s="199">
        <v>318.3</v>
      </c>
      <c r="N343" s="37"/>
      <c r="O343" s="37"/>
      <c r="P343" s="199">
        <v>0.01</v>
      </c>
      <c r="Q343" s="199">
        <v>0.0</v>
      </c>
      <c r="R343" s="199">
        <v>5.0</v>
      </c>
      <c r="S343" s="199">
        <v>1.0</v>
      </c>
      <c r="T343" s="199">
        <v>3.0</v>
      </c>
      <c r="U343" s="199">
        <v>26.0</v>
      </c>
      <c r="V343" s="199">
        <v>0.0</v>
      </c>
      <c r="W343" s="199">
        <v>0.0</v>
      </c>
      <c r="X343" s="199">
        <v>0.0</v>
      </c>
      <c r="Y343" s="199">
        <v>0.0</v>
      </c>
      <c r="Z343" s="199">
        <v>1.0</v>
      </c>
      <c r="AA343" s="199">
        <v>0.0</v>
      </c>
      <c r="AB343" s="199">
        <v>8.0</v>
      </c>
      <c r="AC343" s="199">
        <v>41.0</v>
      </c>
      <c r="AD343" s="199">
        <v>0.0</v>
      </c>
      <c r="AE343" s="199">
        <v>36.0</v>
      </c>
      <c r="AF343" s="199">
        <v>2.0</v>
      </c>
      <c r="AG343" s="199">
        <v>387.0</v>
      </c>
      <c r="AH343" s="199">
        <v>3.0</v>
      </c>
      <c r="AI343" s="200" t="s">
        <v>776</v>
      </c>
      <c r="AJ343" s="200" t="s">
        <v>777</v>
      </c>
      <c r="AK343" s="200"/>
      <c r="AL343" s="204"/>
      <c r="AM343" s="204"/>
    </row>
    <row r="344">
      <c r="A344" s="199" t="s">
        <v>224</v>
      </c>
      <c r="B344" s="200" t="s">
        <v>455</v>
      </c>
      <c r="C344" s="199">
        <v>2.6004401251E10</v>
      </c>
      <c r="D344" s="201">
        <v>46021.0</v>
      </c>
      <c r="E344" s="202" t="s">
        <v>101</v>
      </c>
      <c r="F344" s="202" t="s">
        <v>102</v>
      </c>
      <c r="G344" s="203" t="s">
        <v>100</v>
      </c>
      <c r="H344" s="203" t="s">
        <v>101</v>
      </c>
      <c r="I344" s="37"/>
      <c r="J344" s="37"/>
      <c r="K344" s="37"/>
      <c r="L344" s="199">
        <v>16.0</v>
      </c>
      <c r="M344" s="199">
        <v>260.4</v>
      </c>
      <c r="N344" s="37"/>
      <c r="O344" s="37"/>
      <c r="P344" s="199">
        <v>0.003</v>
      </c>
      <c r="Q344" s="199">
        <v>0.0</v>
      </c>
      <c r="R344" s="199">
        <v>0.0</v>
      </c>
      <c r="S344" s="199">
        <v>2.0</v>
      </c>
      <c r="T344" s="199">
        <v>0.0</v>
      </c>
      <c r="U344" s="199">
        <v>24.0</v>
      </c>
      <c r="V344" s="199">
        <v>0.0</v>
      </c>
      <c r="W344" s="199">
        <v>0.0</v>
      </c>
      <c r="X344" s="199">
        <v>0.0</v>
      </c>
      <c r="Y344" s="199">
        <v>0.0</v>
      </c>
      <c r="Z344" s="199">
        <v>1.0</v>
      </c>
      <c r="AA344" s="199">
        <v>0.0</v>
      </c>
      <c r="AB344" s="199">
        <v>13.0</v>
      </c>
      <c r="AC344" s="199">
        <v>10.0</v>
      </c>
      <c r="AD344" s="199">
        <v>0.0</v>
      </c>
      <c r="AE344" s="199">
        <v>5.0</v>
      </c>
      <c r="AF344" s="199">
        <v>2.0</v>
      </c>
      <c r="AG344" s="199">
        <v>421.0</v>
      </c>
      <c r="AH344" s="199">
        <v>38.0</v>
      </c>
      <c r="AI344" s="200" t="s">
        <v>776</v>
      </c>
      <c r="AJ344" s="200" t="s">
        <v>777</v>
      </c>
      <c r="AK344" s="200"/>
      <c r="AL344" s="204"/>
      <c r="AM344" s="204"/>
    </row>
    <row r="345">
      <c r="A345" s="199" t="s">
        <v>225</v>
      </c>
      <c r="B345" s="200" t="s">
        <v>457</v>
      </c>
      <c r="C345" s="199">
        <v>2.3127770523E10</v>
      </c>
      <c r="D345" s="201">
        <v>45043.0</v>
      </c>
      <c r="E345" s="202" t="s">
        <v>100</v>
      </c>
      <c r="F345" s="202" t="s">
        <v>100</v>
      </c>
      <c r="G345" s="203" t="s">
        <v>100</v>
      </c>
      <c r="H345" s="203" t="s">
        <v>100</v>
      </c>
      <c r="I345" s="199">
        <v>9829.0</v>
      </c>
      <c r="J345" s="199">
        <v>1872.0</v>
      </c>
      <c r="K345" s="199">
        <v>652.0</v>
      </c>
      <c r="L345" s="199">
        <v>6.0</v>
      </c>
      <c r="M345" s="199">
        <v>303.7</v>
      </c>
      <c r="N345" s="37"/>
      <c r="O345" s="37"/>
      <c r="P345" s="199">
        <v>0.003</v>
      </c>
      <c r="Q345" s="199">
        <v>0.0</v>
      </c>
      <c r="R345" s="199">
        <v>0.0</v>
      </c>
      <c r="S345" s="199">
        <v>0.0</v>
      </c>
      <c r="T345" s="199">
        <v>0.0</v>
      </c>
      <c r="U345" s="199">
        <v>1.0</v>
      </c>
      <c r="V345" s="199">
        <v>0.0</v>
      </c>
      <c r="W345" s="199">
        <v>0.0</v>
      </c>
      <c r="X345" s="199">
        <v>0.0</v>
      </c>
      <c r="Y345" s="199">
        <v>0.0</v>
      </c>
      <c r="Z345" s="199">
        <v>0.0</v>
      </c>
      <c r="AA345" s="199">
        <v>0.0</v>
      </c>
      <c r="AB345" s="199">
        <v>31.0</v>
      </c>
      <c r="AC345" s="199">
        <v>39.0</v>
      </c>
      <c r="AD345" s="199">
        <v>0.0</v>
      </c>
      <c r="AE345" s="199">
        <v>32.0</v>
      </c>
      <c r="AF345" s="199">
        <v>2.0</v>
      </c>
      <c r="AG345" s="199">
        <v>446.0</v>
      </c>
      <c r="AH345" s="199">
        <v>0.0</v>
      </c>
      <c r="AI345" s="200" t="s">
        <v>655</v>
      </c>
      <c r="AJ345" s="200" t="s">
        <v>656</v>
      </c>
      <c r="AK345" s="200"/>
      <c r="AL345" s="204"/>
      <c r="AM345" s="204"/>
    </row>
    <row r="346">
      <c r="A346" s="199" t="s">
        <v>225</v>
      </c>
      <c r="B346" s="200" t="s">
        <v>457</v>
      </c>
      <c r="C346" s="199">
        <v>2.3330033232E10</v>
      </c>
      <c r="D346" s="201">
        <v>45225.0</v>
      </c>
      <c r="E346" s="202" t="s">
        <v>102</v>
      </c>
      <c r="F346" s="202" t="s">
        <v>102</v>
      </c>
      <c r="G346" s="203" t="s">
        <v>100</v>
      </c>
      <c r="H346" s="203" t="s">
        <v>100</v>
      </c>
      <c r="I346" s="199">
        <v>9784.0</v>
      </c>
      <c r="J346" s="199">
        <v>3174.0</v>
      </c>
      <c r="K346" s="199">
        <v>1322.0</v>
      </c>
      <c r="L346" s="199">
        <v>14.0</v>
      </c>
      <c r="M346" s="199">
        <v>280.2</v>
      </c>
      <c r="N346" s="37"/>
      <c r="O346" s="37"/>
      <c r="P346" s="199">
        <v>0.05</v>
      </c>
      <c r="Q346" s="199">
        <v>0.0</v>
      </c>
      <c r="R346" s="199">
        <v>0.0</v>
      </c>
      <c r="S346" s="199">
        <v>0.0</v>
      </c>
      <c r="T346" s="199">
        <v>0.0</v>
      </c>
      <c r="U346" s="199">
        <v>9.0</v>
      </c>
      <c r="V346" s="199">
        <v>0.0</v>
      </c>
      <c r="W346" s="199">
        <v>0.0</v>
      </c>
      <c r="X346" s="199">
        <v>0.0</v>
      </c>
      <c r="Y346" s="199">
        <v>0.0</v>
      </c>
      <c r="Z346" s="199">
        <v>0.0</v>
      </c>
      <c r="AA346" s="199">
        <v>0.0</v>
      </c>
      <c r="AB346" s="199">
        <v>4.0</v>
      </c>
      <c r="AC346" s="199">
        <v>24.0</v>
      </c>
      <c r="AD346" s="199">
        <v>0.0</v>
      </c>
      <c r="AE346" s="199">
        <v>47.0</v>
      </c>
      <c r="AF346" s="199">
        <v>22.0</v>
      </c>
      <c r="AG346" s="199">
        <v>298.0</v>
      </c>
      <c r="AH346" s="199">
        <v>24.0</v>
      </c>
      <c r="AI346" s="200" t="s">
        <v>653</v>
      </c>
      <c r="AJ346" s="200" t="s">
        <v>654</v>
      </c>
      <c r="AK346" s="200"/>
      <c r="AL346" s="204"/>
      <c r="AM346" s="204"/>
    </row>
    <row r="347">
      <c r="A347" s="199" t="s">
        <v>225</v>
      </c>
      <c r="B347" s="200" t="s">
        <v>457</v>
      </c>
      <c r="C347" s="199">
        <v>2.5049182233E10</v>
      </c>
      <c r="D347" s="201">
        <v>45701.0</v>
      </c>
      <c r="E347" s="202" t="s">
        <v>100</v>
      </c>
      <c r="F347" s="202" t="s">
        <v>100</v>
      </c>
      <c r="G347" s="203" t="s">
        <v>100</v>
      </c>
      <c r="H347" s="203" t="s">
        <v>100</v>
      </c>
      <c r="I347" s="199">
        <v>32956.0</v>
      </c>
      <c r="J347" s="199">
        <v>23770.0</v>
      </c>
      <c r="K347" s="199">
        <v>11610.0</v>
      </c>
      <c r="L347" s="199">
        <v>12.0</v>
      </c>
      <c r="M347" s="199">
        <v>311.5</v>
      </c>
      <c r="N347" s="37"/>
      <c r="O347" s="37"/>
      <c r="P347" s="199">
        <v>0.03</v>
      </c>
      <c r="Q347" s="199">
        <v>0.0</v>
      </c>
      <c r="R347" s="199">
        <v>5.0</v>
      </c>
      <c r="S347" s="199">
        <v>1.0</v>
      </c>
      <c r="T347" s="199">
        <v>2.0</v>
      </c>
      <c r="U347" s="199">
        <v>10.0</v>
      </c>
      <c r="V347" s="199">
        <v>0.0</v>
      </c>
      <c r="W347" s="199">
        <v>0.0</v>
      </c>
      <c r="X347" s="199">
        <v>2.0</v>
      </c>
      <c r="Y347" s="199">
        <v>0.0</v>
      </c>
      <c r="Z347" s="199">
        <v>0.0</v>
      </c>
      <c r="AA347" s="199">
        <v>0.0</v>
      </c>
      <c r="AB347" s="199">
        <v>20.0</v>
      </c>
      <c r="AC347" s="199">
        <v>9.0</v>
      </c>
      <c r="AD347" s="199">
        <v>0.0</v>
      </c>
      <c r="AE347" s="199">
        <v>20.0</v>
      </c>
      <c r="AF347" s="199">
        <v>3.0</v>
      </c>
      <c r="AG347" s="199">
        <v>613.0</v>
      </c>
      <c r="AH347" s="199">
        <v>7.0</v>
      </c>
      <c r="AI347" s="200" t="s">
        <v>655</v>
      </c>
      <c r="AJ347" s="200" t="s">
        <v>656</v>
      </c>
      <c r="AK347" s="200"/>
      <c r="AL347" s="204"/>
      <c r="AM347" s="204"/>
    </row>
    <row r="348">
      <c r="A348" s="199" t="s">
        <v>225</v>
      </c>
      <c r="B348" s="200" t="s">
        <v>457</v>
      </c>
      <c r="C348" s="199">
        <v>2.5180296228E10</v>
      </c>
      <c r="D348" s="201">
        <v>45826.0</v>
      </c>
      <c r="E348" s="202" t="s">
        <v>102</v>
      </c>
      <c r="F348" s="202" t="s">
        <v>102</v>
      </c>
      <c r="G348" s="203" t="s">
        <v>100</v>
      </c>
      <c r="H348" s="203" t="s">
        <v>102</v>
      </c>
      <c r="I348" s="37"/>
      <c r="J348" s="37"/>
      <c r="K348" s="37"/>
      <c r="L348" s="199">
        <v>14.0</v>
      </c>
      <c r="M348" s="199">
        <v>279.5</v>
      </c>
      <c r="N348" s="37"/>
      <c r="O348" s="37"/>
      <c r="P348" s="199">
        <v>0.05</v>
      </c>
      <c r="Q348" s="199">
        <v>0.0</v>
      </c>
      <c r="R348" s="199">
        <v>0.0</v>
      </c>
      <c r="S348" s="199">
        <v>0.0</v>
      </c>
      <c r="T348" s="199">
        <v>0.0</v>
      </c>
      <c r="U348" s="199">
        <v>1.0</v>
      </c>
      <c r="V348" s="199">
        <v>2.0</v>
      </c>
      <c r="W348" s="199">
        <v>0.0</v>
      </c>
      <c r="X348" s="199">
        <v>1.0</v>
      </c>
      <c r="Y348" s="199">
        <v>0.0</v>
      </c>
      <c r="Z348" s="199">
        <v>0.0</v>
      </c>
      <c r="AA348" s="199">
        <v>0.0</v>
      </c>
      <c r="AB348" s="199">
        <v>11.0</v>
      </c>
      <c r="AC348" s="199">
        <v>6.0</v>
      </c>
      <c r="AD348" s="199">
        <v>0.0</v>
      </c>
      <c r="AE348" s="199">
        <v>23.0</v>
      </c>
      <c r="AF348" s="199">
        <v>4.0</v>
      </c>
      <c r="AG348" s="199">
        <v>399.0</v>
      </c>
      <c r="AH348" s="199">
        <v>8.0</v>
      </c>
      <c r="AI348" s="200" t="s">
        <v>653</v>
      </c>
      <c r="AJ348" s="200" t="s">
        <v>789</v>
      </c>
      <c r="AK348" s="200"/>
      <c r="AL348" s="204"/>
      <c r="AM348" s="204"/>
    </row>
    <row r="349">
      <c r="A349" s="199" t="s">
        <v>225</v>
      </c>
      <c r="B349" s="200" t="s">
        <v>457</v>
      </c>
      <c r="C349" s="199">
        <v>2.6005501226E10</v>
      </c>
      <c r="D349" s="201">
        <v>46018.0</v>
      </c>
      <c r="E349" s="202" t="s">
        <v>102</v>
      </c>
      <c r="F349" s="202" t="s">
        <v>102</v>
      </c>
      <c r="G349" s="203" t="s">
        <v>100</v>
      </c>
      <c r="H349" s="203" t="s">
        <v>100</v>
      </c>
      <c r="I349" s="37"/>
      <c r="J349" s="37"/>
      <c r="K349" s="37"/>
      <c r="L349" s="199">
        <v>18.0</v>
      </c>
      <c r="M349" s="199">
        <v>310.2</v>
      </c>
      <c r="N349" s="37"/>
      <c r="O349" s="37"/>
      <c r="P349" s="199">
        <v>0.04</v>
      </c>
      <c r="Q349" s="199">
        <v>0.0</v>
      </c>
      <c r="R349" s="199">
        <v>0.0</v>
      </c>
      <c r="S349" s="199">
        <v>0.0</v>
      </c>
      <c r="T349" s="199">
        <v>0.0</v>
      </c>
      <c r="U349" s="199">
        <v>9.0</v>
      </c>
      <c r="V349" s="199">
        <v>0.0</v>
      </c>
      <c r="W349" s="199">
        <v>0.0</v>
      </c>
      <c r="X349" s="199">
        <v>0.0</v>
      </c>
      <c r="Y349" s="199">
        <v>0.0</v>
      </c>
      <c r="Z349" s="199">
        <v>0.0</v>
      </c>
      <c r="AA349" s="199">
        <v>0.0</v>
      </c>
      <c r="AB349" s="199">
        <v>24.0</v>
      </c>
      <c r="AC349" s="199">
        <v>13.0</v>
      </c>
      <c r="AD349" s="199">
        <v>0.0</v>
      </c>
      <c r="AE349" s="199">
        <v>32.0</v>
      </c>
      <c r="AF349" s="199">
        <v>2.0</v>
      </c>
      <c r="AG349" s="199">
        <v>658.0</v>
      </c>
      <c r="AH349" s="199">
        <v>3.0</v>
      </c>
      <c r="AI349" s="200" t="s">
        <v>741</v>
      </c>
      <c r="AJ349" s="200" t="s">
        <v>780</v>
      </c>
      <c r="AK349" s="200"/>
      <c r="AL349" s="204"/>
      <c r="AM349" s="204"/>
    </row>
    <row r="350">
      <c r="A350" s="199" t="s">
        <v>228</v>
      </c>
      <c r="B350" s="200" t="s">
        <v>349</v>
      </c>
      <c r="C350" s="199">
        <v>2.3351170214E10</v>
      </c>
      <c r="D350" s="201">
        <v>45266.0</v>
      </c>
      <c r="E350" s="202" t="s">
        <v>101</v>
      </c>
      <c r="F350" s="202" t="s">
        <v>101</v>
      </c>
      <c r="G350" s="203" t="s">
        <v>100</v>
      </c>
      <c r="H350" s="203" t="s">
        <v>101</v>
      </c>
      <c r="I350" s="37"/>
      <c r="J350" s="37"/>
      <c r="K350" s="37"/>
      <c r="L350" s="199">
        <v>16.0</v>
      </c>
      <c r="M350" s="199">
        <v>260.4</v>
      </c>
      <c r="N350" s="37"/>
      <c r="O350" s="37"/>
      <c r="P350" s="199">
        <v>0.1</v>
      </c>
      <c r="Q350" s="199">
        <v>0.0</v>
      </c>
      <c r="R350" s="199">
        <v>0.0</v>
      </c>
      <c r="S350" s="199">
        <v>2.0</v>
      </c>
      <c r="T350" s="199">
        <v>0.0</v>
      </c>
      <c r="U350" s="199">
        <v>4.0</v>
      </c>
      <c r="V350" s="199">
        <v>0.0</v>
      </c>
      <c r="W350" s="199">
        <v>0.0</v>
      </c>
      <c r="X350" s="199">
        <v>1.0</v>
      </c>
      <c r="Y350" s="199">
        <v>0.0</v>
      </c>
      <c r="Z350" s="199">
        <v>3.0</v>
      </c>
      <c r="AA350" s="199">
        <v>0.0</v>
      </c>
      <c r="AB350" s="199">
        <v>22.0</v>
      </c>
      <c r="AC350" s="199">
        <v>19.0</v>
      </c>
      <c r="AD350" s="199">
        <v>0.0</v>
      </c>
      <c r="AE350" s="199">
        <v>14.0</v>
      </c>
      <c r="AF350" s="199">
        <v>3.0</v>
      </c>
      <c r="AG350" s="199">
        <v>251.0</v>
      </c>
      <c r="AH350" s="199">
        <v>9.0</v>
      </c>
      <c r="AI350" s="200" t="s">
        <v>776</v>
      </c>
      <c r="AJ350" s="200" t="s">
        <v>777</v>
      </c>
      <c r="AK350" s="200"/>
      <c r="AL350" s="204"/>
      <c r="AM350" s="204"/>
    </row>
    <row r="351">
      <c r="A351" s="199" t="s">
        <v>228</v>
      </c>
      <c r="B351" s="200" t="s">
        <v>349</v>
      </c>
      <c r="C351" s="199">
        <v>2.5049182236E10</v>
      </c>
      <c r="D351" s="201">
        <v>45701.0</v>
      </c>
      <c r="E351" s="202" t="s">
        <v>101</v>
      </c>
      <c r="F351" s="202" t="s">
        <v>101</v>
      </c>
      <c r="G351" s="203" t="s">
        <v>100</v>
      </c>
      <c r="H351" s="203" t="s">
        <v>101</v>
      </c>
      <c r="I351" s="37"/>
      <c r="J351" s="37"/>
      <c r="K351" s="37"/>
      <c r="L351" s="199">
        <v>23.0</v>
      </c>
      <c r="M351" s="199">
        <v>264.9</v>
      </c>
      <c r="N351" s="37"/>
      <c r="O351" s="37"/>
      <c r="P351" s="199">
        <v>0.1</v>
      </c>
      <c r="Q351" s="199">
        <v>0.0</v>
      </c>
      <c r="R351" s="199">
        <v>5.0</v>
      </c>
      <c r="S351" s="199">
        <v>1.0</v>
      </c>
      <c r="T351" s="199">
        <v>2.0</v>
      </c>
      <c r="U351" s="199">
        <v>6.0</v>
      </c>
      <c r="V351" s="199">
        <v>0.0</v>
      </c>
      <c r="W351" s="199">
        <v>0.0</v>
      </c>
      <c r="X351" s="199">
        <v>2.0</v>
      </c>
      <c r="Y351" s="199">
        <v>0.0</v>
      </c>
      <c r="Z351" s="199">
        <v>0.0</v>
      </c>
      <c r="AA351" s="199">
        <v>0.0</v>
      </c>
      <c r="AB351" s="199">
        <v>20.0</v>
      </c>
      <c r="AC351" s="199">
        <v>7.0</v>
      </c>
      <c r="AD351" s="199">
        <v>0.0</v>
      </c>
      <c r="AE351" s="199">
        <v>10.0</v>
      </c>
      <c r="AF351" s="199">
        <v>2.0</v>
      </c>
      <c r="AG351" s="199">
        <v>254.0</v>
      </c>
      <c r="AH351" s="199">
        <v>6.0</v>
      </c>
      <c r="AI351" s="200" t="s">
        <v>776</v>
      </c>
      <c r="AJ351" s="200" t="s">
        <v>777</v>
      </c>
      <c r="AK351" s="200"/>
      <c r="AL351" s="204"/>
      <c r="AM351" s="204"/>
    </row>
    <row r="352">
      <c r="A352" s="199" t="s">
        <v>228</v>
      </c>
      <c r="B352" s="200" t="s">
        <v>349</v>
      </c>
      <c r="C352" s="199">
        <v>2.5180296234E10</v>
      </c>
      <c r="D352" s="201">
        <v>45826.0</v>
      </c>
      <c r="E352" s="202" t="s">
        <v>101</v>
      </c>
      <c r="F352" s="202" t="s">
        <v>102</v>
      </c>
      <c r="G352" s="203" t="s">
        <v>100</v>
      </c>
      <c r="H352" s="203" t="s">
        <v>101</v>
      </c>
      <c r="I352" s="37"/>
      <c r="J352" s="37"/>
      <c r="K352" s="37"/>
      <c r="L352" s="199">
        <v>31.0</v>
      </c>
      <c r="M352" s="199">
        <v>265.5</v>
      </c>
      <c r="N352" s="37"/>
      <c r="O352" s="37"/>
      <c r="P352" s="199">
        <v>0.05</v>
      </c>
      <c r="Q352" s="199">
        <v>0.0</v>
      </c>
      <c r="R352" s="199">
        <v>0.0</v>
      </c>
      <c r="S352" s="199">
        <v>0.0</v>
      </c>
      <c r="T352" s="199">
        <v>5.0</v>
      </c>
      <c r="U352" s="199">
        <v>32.0</v>
      </c>
      <c r="V352" s="199">
        <v>0.0</v>
      </c>
      <c r="W352" s="199">
        <v>0.0</v>
      </c>
      <c r="X352" s="199">
        <v>1.0</v>
      </c>
      <c r="Y352" s="199">
        <v>0.0</v>
      </c>
      <c r="Z352" s="199">
        <v>1.0</v>
      </c>
      <c r="AA352" s="199">
        <v>0.0</v>
      </c>
      <c r="AB352" s="199">
        <v>9.0</v>
      </c>
      <c r="AC352" s="199">
        <v>6.0</v>
      </c>
      <c r="AD352" s="199">
        <v>0.0</v>
      </c>
      <c r="AE352" s="199">
        <v>18.0</v>
      </c>
      <c r="AF352" s="199">
        <v>2.0</v>
      </c>
      <c r="AG352" s="199">
        <v>318.0</v>
      </c>
      <c r="AH352" s="199">
        <v>0.0</v>
      </c>
      <c r="AI352" s="200" t="s">
        <v>776</v>
      </c>
      <c r="AJ352" s="200" t="s">
        <v>777</v>
      </c>
      <c r="AK352" s="200"/>
      <c r="AL352" s="204"/>
      <c r="AM352" s="204"/>
    </row>
    <row r="353">
      <c r="A353" s="199" t="s">
        <v>228</v>
      </c>
      <c r="B353" s="200" t="s">
        <v>349</v>
      </c>
      <c r="C353" s="199">
        <v>2.5258159223E10</v>
      </c>
      <c r="D353" s="201">
        <v>45909.0</v>
      </c>
      <c r="E353" s="202" t="s">
        <v>100</v>
      </c>
      <c r="F353" s="202" t="s">
        <v>100</v>
      </c>
      <c r="G353" s="203" t="s">
        <v>100</v>
      </c>
      <c r="H353" s="203" t="s">
        <v>100</v>
      </c>
      <c r="I353" s="199">
        <v>12817.0</v>
      </c>
      <c r="J353" s="199">
        <v>5170.0</v>
      </c>
      <c r="K353" s="199">
        <v>1162.0</v>
      </c>
      <c r="L353" s="199">
        <v>10.0</v>
      </c>
      <c r="M353" s="199">
        <v>217.1</v>
      </c>
      <c r="N353" s="37"/>
      <c r="O353" s="37"/>
      <c r="P353" s="199">
        <v>0.003</v>
      </c>
      <c r="Q353" s="199">
        <v>0.0</v>
      </c>
      <c r="R353" s="199">
        <v>2.0</v>
      </c>
      <c r="S353" s="199">
        <v>1.0</v>
      </c>
      <c r="T353" s="199">
        <v>2.0</v>
      </c>
      <c r="U353" s="199">
        <v>4.0</v>
      </c>
      <c r="V353" s="199">
        <v>0.0</v>
      </c>
      <c r="W353" s="199">
        <v>0.0</v>
      </c>
      <c r="X353" s="199">
        <v>0.0</v>
      </c>
      <c r="Y353" s="199">
        <v>0.0</v>
      </c>
      <c r="Z353" s="199">
        <v>0.0</v>
      </c>
      <c r="AA353" s="199">
        <v>0.0</v>
      </c>
      <c r="AB353" s="199">
        <v>6.0</v>
      </c>
      <c r="AC353" s="199">
        <v>2.0</v>
      </c>
      <c r="AD353" s="199">
        <v>0.0</v>
      </c>
      <c r="AE353" s="199">
        <v>47.0</v>
      </c>
      <c r="AF353" s="199">
        <v>2.0</v>
      </c>
      <c r="AG353" s="199">
        <v>395.0</v>
      </c>
      <c r="AH353" s="199">
        <v>0.0</v>
      </c>
      <c r="AI353" s="200" t="s">
        <v>655</v>
      </c>
      <c r="AJ353" s="200" t="s">
        <v>656</v>
      </c>
      <c r="AK353" s="200"/>
      <c r="AL353" s="204"/>
      <c r="AM353" s="204"/>
    </row>
    <row r="354">
      <c r="A354" s="199" t="s">
        <v>228</v>
      </c>
      <c r="B354" s="200" t="s">
        <v>349</v>
      </c>
      <c r="C354" s="199">
        <v>2.6004401256E10</v>
      </c>
      <c r="D354" s="201">
        <v>46007.0</v>
      </c>
      <c r="E354" s="202" t="s">
        <v>101</v>
      </c>
      <c r="F354" s="202" t="s">
        <v>102</v>
      </c>
      <c r="G354" s="203" t="s">
        <v>100</v>
      </c>
      <c r="H354" s="203" t="s">
        <v>101</v>
      </c>
      <c r="I354" s="37"/>
      <c r="J354" s="37"/>
      <c r="K354" s="37"/>
      <c r="L354" s="199">
        <v>19.0</v>
      </c>
      <c r="M354" s="199">
        <v>258.3</v>
      </c>
      <c r="N354" s="37"/>
      <c r="O354" s="37"/>
      <c r="P354" s="199">
        <v>0.06</v>
      </c>
      <c r="Q354" s="199">
        <v>0.0</v>
      </c>
      <c r="R354" s="199">
        <v>0.0</v>
      </c>
      <c r="S354" s="199">
        <v>1.0</v>
      </c>
      <c r="T354" s="199">
        <v>0.0</v>
      </c>
      <c r="U354" s="199">
        <v>0.0</v>
      </c>
      <c r="V354" s="199">
        <v>0.0</v>
      </c>
      <c r="W354" s="199">
        <v>0.0</v>
      </c>
      <c r="X354" s="199">
        <v>0.0</v>
      </c>
      <c r="Y354" s="199">
        <v>0.0</v>
      </c>
      <c r="Z354" s="199">
        <v>0.0</v>
      </c>
      <c r="AA354" s="199">
        <v>0.0</v>
      </c>
      <c r="AB354" s="199">
        <v>2.0</v>
      </c>
      <c r="AC354" s="199">
        <v>12.0</v>
      </c>
      <c r="AD354" s="199">
        <v>0.0</v>
      </c>
      <c r="AE354" s="199">
        <v>4.0</v>
      </c>
      <c r="AF354" s="199">
        <v>0.0</v>
      </c>
      <c r="AG354" s="199">
        <v>301.0</v>
      </c>
      <c r="AH354" s="199">
        <v>0.0</v>
      </c>
      <c r="AI354" s="200" t="s">
        <v>776</v>
      </c>
      <c r="AJ354" s="200" t="s">
        <v>777</v>
      </c>
      <c r="AK354" s="200"/>
      <c r="AL354" s="204"/>
      <c r="AM354" s="204"/>
    </row>
    <row r="355">
      <c r="A355" s="199" t="s">
        <v>229</v>
      </c>
      <c r="B355" s="200" t="s">
        <v>349</v>
      </c>
      <c r="C355" s="199">
        <v>2.3351170219E10</v>
      </c>
      <c r="D355" s="201">
        <v>45266.0</v>
      </c>
      <c r="E355" s="202" t="s">
        <v>101</v>
      </c>
      <c r="F355" s="202" t="s">
        <v>101</v>
      </c>
      <c r="G355" s="203" t="s">
        <v>100</v>
      </c>
      <c r="H355" s="203" t="s">
        <v>101</v>
      </c>
      <c r="I355" s="37"/>
      <c r="J355" s="37"/>
      <c r="K355" s="37"/>
      <c r="L355" s="199">
        <v>10.0</v>
      </c>
      <c r="M355" s="199">
        <v>283.3</v>
      </c>
      <c r="N355" s="37"/>
      <c r="O355" s="37"/>
      <c r="P355" s="199">
        <v>0.1</v>
      </c>
      <c r="Q355" s="199">
        <v>0.0</v>
      </c>
      <c r="R355" s="199">
        <v>1.0</v>
      </c>
      <c r="S355" s="199">
        <v>0.0</v>
      </c>
      <c r="T355" s="199">
        <v>3.0</v>
      </c>
      <c r="U355" s="199">
        <v>34.0</v>
      </c>
      <c r="V355" s="199">
        <v>0.0</v>
      </c>
      <c r="W355" s="199">
        <v>0.0</v>
      </c>
      <c r="X355" s="199">
        <v>2.0</v>
      </c>
      <c r="Y355" s="199">
        <v>2.0</v>
      </c>
      <c r="Z355" s="199">
        <v>7.0</v>
      </c>
      <c r="AA355" s="199">
        <v>1.0</v>
      </c>
      <c r="AB355" s="199">
        <v>5.0</v>
      </c>
      <c r="AC355" s="199">
        <v>35.0</v>
      </c>
      <c r="AD355" s="199">
        <v>0.0</v>
      </c>
      <c r="AE355" s="199">
        <v>3.0</v>
      </c>
      <c r="AF355" s="199">
        <v>6.0</v>
      </c>
      <c r="AG355" s="199">
        <v>224.0</v>
      </c>
      <c r="AH355" s="199">
        <v>0.0</v>
      </c>
      <c r="AI355" s="200" t="s">
        <v>776</v>
      </c>
      <c r="AJ355" s="200" t="s">
        <v>777</v>
      </c>
      <c r="AK355" s="200"/>
      <c r="AL355" s="204"/>
      <c r="AM355" s="204"/>
    </row>
    <row r="356">
      <c r="A356" s="199" t="s">
        <v>227</v>
      </c>
      <c r="B356" s="200" t="s">
        <v>822</v>
      </c>
      <c r="C356" s="199">
        <v>2.5049182225E10</v>
      </c>
      <c r="D356" s="201">
        <v>45701.0</v>
      </c>
      <c r="E356" s="202" t="s">
        <v>101</v>
      </c>
      <c r="F356" s="202" t="s">
        <v>101</v>
      </c>
      <c r="G356" s="203" t="s">
        <v>100</v>
      </c>
      <c r="H356" s="203" t="s">
        <v>102</v>
      </c>
      <c r="I356" s="199">
        <v>39256.0</v>
      </c>
      <c r="J356" s="199">
        <v>21067.0</v>
      </c>
      <c r="K356" s="199">
        <v>1100.0</v>
      </c>
      <c r="L356" s="199">
        <v>16.0</v>
      </c>
      <c r="M356" s="199">
        <v>352.6</v>
      </c>
      <c r="N356" s="199"/>
      <c r="O356" s="199">
        <v>1.0</v>
      </c>
      <c r="P356" s="199">
        <v>0.2</v>
      </c>
      <c r="Q356" s="199">
        <v>0.0</v>
      </c>
      <c r="R356" s="199">
        <v>6.0</v>
      </c>
      <c r="S356" s="199">
        <v>1.0</v>
      </c>
      <c r="T356" s="199">
        <v>3.0</v>
      </c>
      <c r="U356" s="199">
        <v>9.0</v>
      </c>
      <c r="V356" s="199">
        <v>0.0</v>
      </c>
      <c r="W356" s="199">
        <v>0.0</v>
      </c>
      <c r="X356" s="199">
        <v>2.0</v>
      </c>
      <c r="Y356" s="199">
        <v>0.0</v>
      </c>
      <c r="Z356" s="199">
        <v>2.0</v>
      </c>
      <c r="AA356" s="199">
        <v>0.0</v>
      </c>
      <c r="AB356" s="199">
        <v>21.0</v>
      </c>
      <c r="AC356" s="199">
        <v>8.0</v>
      </c>
      <c r="AD356" s="199">
        <v>0.0</v>
      </c>
      <c r="AE356" s="199">
        <v>12.0</v>
      </c>
      <c r="AF356" s="199">
        <v>0.0</v>
      </c>
      <c r="AG356" s="199">
        <v>758.0</v>
      </c>
      <c r="AH356" s="199">
        <v>6.0</v>
      </c>
      <c r="AI356" s="200" t="s">
        <v>684</v>
      </c>
      <c r="AJ356" s="200" t="s">
        <v>773</v>
      </c>
      <c r="AK356" s="200"/>
      <c r="AL356" s="204"/>
      <c r="AM356" s="204"/>
    </row>
    <row r="357">
      <c r="A357" s="199" t="s">
        <v>229</v>
      </c>
      <c r="B357" s="200" t="s">
        <v>349</v>
      </c>
      <c r="C357" s="199">
        <v>2.5175246231E10</v>
      </c>
      <c r="D357" s="201">
        <v>45826.0</v>
      </c>
      <c r="E357" s="202" t="s">
        <v>101</v>
      </c>
      <c r="F357" s="202" t="s">
        <v>101</v>
      </c>
      <c r="G357" s="203" t="s">
        <v>102</v>
      </c>
      <c r="H357" s="203" t="s">
        <v>102</v>
      </c>
      <c r="I357" s="37"/>
      <c r="J357" s="37"/>
      <c r="K357" s="37"/>
      <c r="L357" s="199">
        <v>295.0</v>
      </c>
      <c r="M357" s="199">
        <v>205.6</v>
      </c>
      <c r="N357" s="37"/>
      <c r="O357" s="37"/>
      <c r="P357" s="199">
        <v>0.1</v>
      </c>
      <c r="Q357" s="199">
        <v>0.0</v>
      </c>
      <c r="R357" s="199">
        <v>7.0</v>
      </c>
      <c r="S357" s="199">
        <v>4.0</v>
      </c>
      <c r="T357" s="199">
        <v>1.0</v>
      </c>
      <c r="U357" s="199">
        <v>152.0</v>
      </c>
      <c r="V357" s="199">
        <v>2.0</v>
      </c>
      <c r="W357" s="199">
        <v>0.0</v>
      </c>
      <c r="X357" s="199">
        <v>0.0</v>
      </c>
      <c r="Y357" s="199">
        <v>0.0</v>
      </c>
      <c r="Z357" s="199">
        <v>3.0</v>
      </c>
      <c r="AA357" s="199">
        <v>0.0</v>
      </c>
      <c r="AB357" s="199">
        <v>28.0</v>
      </c>
      <c r="AC357" s="199">
        <v>22.0</v>
      </c>
      <c r="AD357" s="199">
        <v>0.0</v>
      </c>
      <c r="AE357" s="199">
        <v>74.0</v>
      </c>
      <c r="AF357" s="199">
        <v>5.0</v>
      </c>
      <c r="AG357" s="199">
        <v>427.0</v>
      </c>
      <c r="AH357" s="199">
        <v>0.0</v>
      </c>
      <c r="AI357" s="200" t="s">
        <v>823</v>
      </c>
      <c r="AJ357" s="200" t="s">
        <v>824</v>
      </c>
      <c r="AK357" s="200"/>
      <c r="AL357" s="204"/>
      <c r="AM357" s="204"/>
    </row>
    <row r="358">
      <c r="A358" s="199" t="s">
        <v>229</v>
      </c>
      <c r="B358" s="200" t="s">
        <v>349</v>
      </c>
      <c r="C358" s="199">
        <v>2.5258159218E10</v>
      </c>
      <c r="D358" s="201">
        <v>45908.0</v>
      </c>
      <c r="E358" s="202" t="s">
        <v>100</v>
      </c>
      <c r="F358" s="202" t="s">
        <v>100</v>
      </c>
      <c r="G358" s="203" t="s">
        <v>100</v>
      </c>
      <c r="H358" s="203" t="s">
        <v>100</v>
      </c>
      <c r="I358" s="199">
        <v>29701.0</v>
      </c>
      <c r="J358" s="199">
        <v>14488.0</v>
      </c>
      <c r="K358" s="199">
        <v>6900.0</v>
      </c>
      <c r="L358" s="199">
        <v>9.0</v>
      </c>
      <c r="M358" s="199">
        <v>213.7</v>
      </c>
      <c r="N358" s="37"/>
      <c r="O358" s="37"/>
      <c r="P358" s="199">
        <v>0.003</v>
      </c>
      <c r="Q358" s="199">
        <v>0.0</v>
      </c>
      <c r="R358" s="199">
        <v>6.0</v>
      </c>
      <c r="S358" s="199">
        <v>1.0</v>
      </c>
      <c r="T358" s="199">
        <v>3.0</v>
      </c>
      <c r="U358" s="199">
        <v>2.0</v>
      </c>
      <c r="V358" s="199">
        <v>0.0</v>
      </c>
      <c r="W358" s="199">
        <v>0.0</v>
      </c>
      <c r="X358" s="199">
        <v>0.0</v>
      </c>
      <c r="Y358" s="199">
        <v>0.0</v>
      </c>
      <c r="Z358" s="199">
        <v>2.0</v>
      </c>
      <c r="AA358" s="199">
        <v>0.0</v>
      </c>
      <c r="AB358" s="199">
        <v>13.0</v>
      </c>
      <c r="AC358" s="199">
        <v>23.0</v>
      </c>
      <c r="AD358" s="199">
        <v>0.0</v>
      </c>
      <c r="AE358" s="199">
        <v>34.0</v>
      </c>
      <c r="AF358" s="199">
        <v>0.0</v>
      </c>
      <c r="AG358" s="199">
        <v>868.0</v>
      </c>
      <c r="AH358" s="199">
        <v>0.0</v>
      </c>
      <c r="AI358" s="200" t="s">
        <v>655</v>
      </c>
      <c r="AJ358" s="200" t="s">
        <v>656</v>
      </c>
      <c r="AK358" s="200"/>
      <c r="AL358" s="204"/>
      <c r="AM358" s="204"/>
    </row>
    <row r="359">
      <c r="A359" s="199" t="s">
        <v>229</v>
      </c>
      <c r="B359" s="200" t="s">
        <v>349</v>
      </c>
      <c r="C359" s="199">
        <v>2.6004401258E10</v>
      </c>
      <c r="D359" s="201">
        <v>46018.0</v>
      </c>
      <c r="E359" s="202" t="s">
        <v>102</v>
      </c>
      <c r="F359" s="202" t="s">
        <v>102</v>
      </c>
      <c r="G359" s="203" t="s">
        <v>100</v>
      </c>
      <c r="H359" s="203" t="s">
        <v>102</v>
      </c>
      <c r="I359" s="37"/>
      <c r="J359" s="37"/>
      <c r="K359" s="37"/>
      <c r="L359" s="199">
        <v>10.0</v>
      </c>
      <c r="M359" s="199">
        <v>249.1</v>
      </c>
      <c r="N359" s="37"/>
      <c r="O359" s="37"/>
      <c r="P359" s="199">
        <v>0.01</v>
      </c>
      <c r="Q359" s="199">
        <v>0.0</v>
      </c>
      <c r="R359" s="199">
        <v>0.0</v>
      </c>
      <c r="S359" s="199">
        <v>0.0</v>
      </c>
      <c r="T359" s="199">
        <v>0.0</v>
      </c>
      <c r="U359" s="199">
        <v>3.0</v>
      </c>
      <c r="V359" s="199">
        <v>0.0</v>
      </c>
      <c r="W359" s="199">
        <v>0.0</v>
      </c>
      <c r="X359" s="199">
        <v>0.0</v>
      </c>
      <c r="Y359" s="199">
        <v>0.0</v>
      </c>
      <c r="Z359" s="199">
        <v>0.0</v>
      </c>
      <c r="AA359" s="199">
        <v>0.0</v>
      </c>
      <c r="AB359" s="199">
        <v>6.0</v>
      </c>
      <c r="AC359" s="199">
        <v>29.0</v>
      </c>
      <c r="AD359" s="199">
        <v>0.0</v>
      </c>
      <c r="AE359" s="199">
        <v>12.0</v>
      </c>
      <c r="AF359" s="199">
        <v>2.0</v>
      </c>
      <c r="AG359" s="199">
        <v>340.0</v>
      </c>
      <c r="AH359" s="199">
        <v>0.0</v>
      </c>
      <c r="AI359" s="200" t="s">
        <v>653</v>
      </c>
      <c r="AJ359" s="200" t="s">
        <v>789</v>
      </c>
      <c r="AK359" s="200"/>
      <c r="AL359" s="204"/>
      <c r="AM359" s="204"/>
    </row>
    <row r="360">
      <c r="A360" s="199" t="s">
        <v>230</v>
      </c>
      <c r="B360" s="200" t="s">
        <v>461</v>
      </c>
      <c r="C360" s="199">
        <v>2.3161106207E10</v>
      </c>
      <c r="D360" s="201">
        <v>45076.0</v>
      </c>
      <c r="E360" s="202" t="s">
        <v>100</v>
      </c>
      <c r="F360" s="202" t="s">
        <v>100</v>
      </c>
      <c r="G360" s="203" t="s">
        <v>100</v>
      </c>
      <c r="H360" s="203" t="s">
        <v>100</v>
      </c>
      <c r="I360" s="199">
        <v>13514.0</v>
      </c>
      <c r="J360" s="199">
        <v>3251.0</v>
      </c>
      <c r="K360" s="199">
        <v>166.0</v>
      </c>
      <c r="L360" s="199">
        <v>6.0</v>
      </c>
      <c r="M360" s="199">
        <v>296.8</v>
      </c>
      <c r="N360" s="199"/>
      <c r="O360" s="199">
        <v>0.0</v>
      </c>
      <c r="P360" s="199">
        <v>0.01</v>
      </c>
      <c r="Q360" s="199">
        <v>0.0</v>
      </c>
      <c r="R360" s="199">
        <v>1.0</v>
      </c>
      <c r="S360" s="199">
        <v>0.0</v>
      </c>
      <c r="T360" s="199">
        <v>0.0</v>
      </c>
      <c r="U360" s="199">
        <v>23.0</v>
      </c>
      <c r="V360" s="199">
        <v>2.0</v>
      </c>
      <c r="W360" s="199">
        <v>0.0</v>
      </c>
      <c r="X360" s="199">
        <v>2.0</v>
      </c>
      <c r="Y360" s="199">
        <v>0.0</v>
      </c>
      <c r="Z360" s="199">
        <v>6.0</v>
      </c>
      <c r="AA360" s="199">
        <v>0.0</v>
      </c>
      <c r="AB360" s="199">
        <v>10.0</v>
      </c>
      <c r="AC360" s="199">
        <v>26.0</v>
      </c>
      <c r="AD360" s="199">
        <v>0.0</v>
      </c>
      <c r="AE360" s="199">
        <v>43.0</v>
      </c>
      <c r="AF360" s="199">
        <v>2.0</v>
      </c>
      <c r="AG360" s="199">
        <v>316.0</v>
      </c>
      <c r="AH360" s="199">
        <v>13.0</v>
      </c>
      <c r="AI360" s="200" t="s">
        <v>655</v>
      </c>
      <c r="AJ360" s="200" t="s">
        <v>656</v>
      </c>
      <c r="AK360" s="200"/>
      <c r="AL360" s="204"/>
      <c r="AM360" s="204"/>
    </row>
    <row r="361">
      <c r="A361" s="199" t="s">
        <v>230</v>
      </c>
      <c r="B361" s="200" t="s">
        <v>461</v>
      </c>
      <c r="C361" s="199">
        <v>2.3351170207E10</v>
      </c>
      <c r="D361" s="201">
        <v>45267.0</v>
      </c>
      <c r="E361" s="202" t="s">
        <v>100</v>
      </c>
      <c r="F361" s="202" t="s">
        <v>100</v>
      </c>
      <c r="G361" s="203" t="s">
        <v>100</v>
      </c>
      <c r="H361" s="203" t="s">
        <v>100</v>
      </c>
      <c r="I361" s="199">
        <v>9777.0</v>
      </c>
      <c r="J361" s="199">
        <v>3073.0</v>
      </c>
      <c r="K361" s="199">
        <v>1022.0</v>
      </c>
      <c r="L361" s="199">
        <v>10.0</v>
      </c>
      <c r="M361" s="199">
        <v>296.0</v>
      </c>
      <c r="N361" s="199"/>
      <c r="O361" s="199">
        <v>1.0</v>
      </c>
      <c r="P361" s="199">
        <v>0.03</v>
      </c>
      <c r="Q361" s="199">
        <v>0.0</v>
      </c>
      <c r="R361" s="199">
        <v>0.0</v>
      </c>
      <c r="S361" s="199">
        <v>2.0</v>
      </c>
      <c r="T361" s="199">
        <v>0.0</v>
      </c>
      <c r="U361" s="199">
        <v>22.0</v>
      </c>
      <c r="V361" s="199">
        <v>2.0</v>
      </c>
      <c r="W361" s="199">
        <v>0.0</v>
      </c>
      <c r="X361" s="199">
        <v>1.0</v>
      </c>
      <c r="Y361" s="199">
        <v>0.0</v>
      </c>
      <c r="Z361" s="199">
        <v>0.0</v>
      </c>
      <c r="AA361" s="199">
        <v>0.0</v>
      </c>
      <c r="AB361" s="199">
        <v>7.0</v>
      </c>
      <c r="AC361" s="199">
        <v>29.0</v>
      </c>
      <c r="AD361" s="199">
        <v>0.0</v>
      </c>
      <c r="AE361" s="199">
        <v>36.0</v>
      </c>
      <c r="AF361" s="199">
        <v>8.0</v>
      </c>
      <c r="AG361" s="199">
        <v>389.0</v>
      </c>
      <c r="AH361" s="199">
        <v>13.0</v>
      </c>
      <c r="AI361" s="200" t="s">
        <v>655</v>
      </c>
      <c r="AJ361" s="200" t="s">
        <v>656</v>
      </c>
      <c r="AK361" s="200"/>
      <c r="AL361" s="204"/>
      <c r="AM361" s="204"/>
    </row>
    <row r="362">
      <c r="A362" s="199" t="s">
        <v>230</v>
      </c>
      <c r="B362" s="200" t="s">
        <v>461</v>
      </c>
      <c r="C362" s="199">
        <v>2.504918224E10</v>
      </c>
      <c r="D362" s="201">
        <v>45701.0</v>
      </c>
      <c r="E362" s="202" t="s">
        <v>100</v>
      </c>
      <c r="F362" s="202" t="s">
        <v>100</v>
      </c>
      <c r="G362" s="203" t="s">
        <v>100</v>
      </c>
      <c r="H362" s="203" t="s">
        <v>100</v>
      </c>
      <c r="I362" s="199">
        <v>33092.0</v>
      </c>
      <c r="J362" s="199">
        <v>24673.0</v>
      </c>
      <c r="K362" s="199">
        <v>10161.0</v>
      </c>
      <c r="L362" s="199">
        <v>16.0</v>
      </c>
      <c r="M362" s="199">
        <v>303.4</v>
      </c>
      <c r="N362" s="199"/>
      <c r="O362" s="199">
        <v>1.0</v>
      </c>
      <c r="P362" s="199">
        <v>0.02</v>
      </c>
      <c r="Q362" s="199">
        <v>0.0</v>
      </c>
      <c r="R362" s="199">
        <v>5.0</v>
      </c>
      <c r="S362" s="199">
        <v>2.0</v>
      </c>
      <c r="T362" s="199">
        <v>3.0</v>
      </c>
      <c r="U362" s="199">
        <v>51.0</v>
      </c>
      <c r="V362" s="199">
        <v>0.0</v>
      </c>
      <c r="W362" s="199">
        <v>0.0</v>
      </c>
      <c r="X362" s="199">
        <v>1.0</v>
      </c>
      <c r="Y362" s="199">
        <v>0.0</v>
      </c>
      <c r="Z362" s="199">
        <v>2.0</v>
      </c>
      <c r="AA362" s="199">
        <v>0.0</v>
      </c>
      <c r="AB362" s="199">
        <v>10.0</v>
      </c>
      <c r="AC362" s="199">
        <v>26.0</v>
      </c>
      <c r="AD362" s="199">
        <v>0.0</v>
      </c>
      <c r="AE362" s="199">
        <v>56.0</v>
      </c>
      <c r="AF362" s="199">
        <v>3.0</v>
      </c>
      <c r="AG362" s="199">
        <v>644.0</v>
      </c>
      <c r="AH362" s="199">
        <v>30.0</v>
      </c>
      <c r="AI362" s="200" t="s">
        <v>655</v>
      </c>
      <c r="AJ362" s="200" t="s">
        <v>656</v>
      </c>
      <c r="AK362" s="200"/>
      <c r="AL362" s="204"/>
      <c r="AM362" s="204"/>
    </row>
    <row r="363">
      <c r="A363" s="199" t="s">
        <v>230</v>
      </c>
      <c r="B363" s="200" t="s">
        <v>461</v>
      </c>
      <c r="C363" s="199">
        <v>2.5180296223E10</v>
      </c>
      <c r="D363" s="201">
        <v>45826.0</v>
      </c>
      <c r="E363" s="202" t="s">
        <v>102</v>
      </c>
      <c r="F363" s="202" t="s">
        <v>102</v>
      </c>
      <c r="G363" s="203" t="s">
        <v>100</v>
      </c>
      <c r="H363" s="203" t="s">
        <v>100</v>
      </c>
      <c r="I363" s="37"/>
      <c r="J363" s="37"/>
      <c r="K363" s="37"/>
      <c r="L363" s="199">
        <v>19.0</v>
      </c>
      <c r="M363" s="199">
        <v>299.8</v>
      </c>
      <c r="N363" s="199"/>
      <c r="O363" s="199">
        <v>1.0</v>
      </c>
      <c r="P363" s="199">
        <v>0.05</v>
      </c>
      <c r="Q363" s="199">
        <v>0.0</v>
      </c>
      <c r="R363" s="199">
        <v>3.0</v>
      </c>
      <c r="S363" s="199">
        <v>0.0</v>
      </c>
      <c r="T363" s="199">
        <v>0.0</v>
      </c>
      <c r="U363" s="199">
        <v>79.0</v>
      </c>
      <c r="V363" s="199">
        <v>3.0</v>
      </c>
      <c r="W363" s="199">
        <v>0.0</v>
      </c>
      <c r="X363" s="199">
        <v>18.0</v>
      </c>
      <c r="Y363" s="199">
        <v>0.0</v>
      </c>
      <c r="Z363" s="199">
        <v>0.0</v>
      </c>
      <c r="AA363" s="199">
        <v>0.0</v>
      </c>
      <c r="AB363" s="199">
        <v>15.0</v>
      </c>
      <c r="AC363" s="199">
        <v>23.0</v>
      </c>
      <c r="AD363" s="199">
        <v>0.0</v>
      </c>
      <c r="AE363" s="199">
        <v>141.0</v>
      </c>
      <c r="AF363" s="199">
        <v>2.0</v>
      </c>
      <c r="AG363" s="199">
        <v>345.0</v>
      </c>
      <c r="AH363" s="199">
        <v>4.0</v>
      </c>
      <c r="AI363" s="200" t="s">
        <v>774</v>
      </c>
      <c r="AJ363" s="200" t="s">
        <v>825</v>
      </c>
      <c r="AK363" s="200"/>
      <c r="AL363" s="204"/>
      <c r="AM363" s="204"/>
    </row>
    <row r="364">
      <c r="A364" s="199" t="s">
        <v>230</v>
      </c>
      <c r="B364" s="200" t="s">
        <v>461</v>
      </c>
      <c r="C364" s="199">
        <v>2.6004401265E10</v>
      </c>
      <c r="D364" s="201">
        <v>46007.0</v>
      </c>
      <c r="E364" s="202" t="s">
        <v>102</v>
      </c>
      <c r="F364" s="202" t="s">
        <v>102</v>
      </c>
      <c r="G364" s="203" t="s">
        <v>100</v>
      </c>
      <c r="H364" s="203" t="s">
        <v>100</v>
      </c>
      <c r="I364" s="37"/>
      <c r="J364" s="37"/>
      <c r="K364" s="37"/>
      <c r="L364" s="199">
        <v>15.0</v>
      </c>
      <c r="M364" s="199">
        <v>286.2</v>
      </c>
      <c r="N364" s="199"/>
      <c r="O364" s="199">
        <v>1.0</v>
      </c>
      <c r="P364" s="199">
        <v>0.04</v>
      </c>
      <c r="Q364" s="199">
        <v>0.0</v>
      </c>
      <c r="R364" s="199">
        <v>2.0</v>
      </c>
      <c r="S364" s="199">
        <v>0.0</v>
      </c>
      <c r="T364" s="199">
        <v>0.0</v>
      </c>
      <c r="U364" s="199">
        <v>45.0</v>
      </c>
      <c r="V364" s="199">
        <v>0.0</v>
      </c>
      <c r="W364" s="199">
        <v>0.0</v>
      </c>
      <c r="X364" s="199">
        <v>0.0</v>
      </c>
      <c r="Y364" s="199">
        <v>0.0</v>
      </c>
      <c r="Z364" s="199">
        <v>0.0</v>
      </c>
      <c r="AA364" s="199">
        <v>0.0</v>
      </c>
      <c r="AB364" s="199">
        <v>22.0</v>
      </c>
      <c r="AC364" s="199">
        <v>15.0</v>
      </c>
      <c r="AD364" s="199">
        <v>0.0</v>
      </c>
      <c r="AE364" s="199">
        <v>67.0</v>
      </c>
      <c r="AF364" s="199">
        <v>2.0</v>
      </c>
      <c r="AG364" s="199">
        <v>353.0</v>
      </c>
      <c r="AH364" s="199">
        <v>12.0</v>
      </c>
      <c r="AI364" s="200" t="s">
        <v>741</v>
      </c>
      <c r="AJ364" s="200" t="s">
        <v>780</v>
      </c>
      <c r="AK364" s="200"/>
      <c r="AL364" s="204"/>
      <c r="AM364" s="204"/>
    </row>
    <row r="365">
      <c r="A365" s="199" t="s">
        <v>233</v>
      </c>
      <c r="B365" s="200" t="s">
        <v>468</v>
      </c>
      <c r="C365" s="199">
        <v>2.518029626E10</v>
      </c>
      <c r="D365" s="201">
        <v>45826.0</v>
      </c>
      <c r="E365" s="202" t="s">
        <v>101</v>
      </c>
      <c r="F365" s="202" t="s">
        <v>101</v>
      </c>
      <c r="G365" s="203" t="s">
        <v>101</v>
      </c>
      <c r="H365" s="203" t="s">
        <v>102</v>
      </c>
      <c r="I365" s="37"/>
      <c r="J365" s="37"/>
      <c r="K365" s="37"/>
      <c r="L365" s="199">
        <v>50.0</v>
      </c>
      <c r="M365" s="199">
        <v>460.5</v>
      </c>
      <c r="N365" s="199"/>
      <c r="O365" s="199">
        <v>6.0</v>
      </c>
      <c r="P365" s="199">
        <v>0.11</v>
      </c>
      <c r="Q365" s="199">
        <v>0.0</v>
      </c>
      <c r="R365" s="199">
        <v>13.0</v>
      </c>
      <c r="S365" s="199">
        <v>0.0</v>
      </c>
      <c r="T365" s="199">
        <v>28.0</v>
      </c>
      <c r="U365" s="199">
        <v>100.0</v>
      </c>
      <c r="V365" s="199">
        <v>0.0</v>
      </c>
      <c r="W365" s="199">
        <v>0.0</v>
      </c>
      <c r="X365" s="199">
        <v>19.0</v>
      </c>
      <c r="Y365" s="199">
        <v>0.0</v>
      </c>
      <c r="Z365" s="199">
        <v>5.0</v>
      </c>
      <c r="AA365" s="199">
        <v>2.0</v>
      </c>
      <c r="AB365" s="199">
        <v>47.0</v>
      </c>
      <c r="AC365" s="199">
        <v>37.0</v>
      </c>
      <c r="AD365" s="199">
        <v>0.0</v>
      </c>
      <c r="AE365" s="199">
        <v>451.0</v>
      </c>
      <c r="AF365" s="199">
        <v>10.0</v>
      </c>
      <c r="AG365" s="199">
        <v>389.0</v>
      </c>
      <c r="AH365" s="199">
        <v>18.0</v>
      </c>
      <c r="AI365" s="200" t="s">
        <v>682</v>
      </c>
      <c r="AJ365" s="200" t="s">
        <v>826</v>
      </c>
      <c r="AK365" s="200"/>
      <c r="AL365" s="204"/>
      <c r="AM365" s="204"/>
    </row>
    <row r="366">
      <c r="A366" s="199" t="s">
        <v>233</v>
      </c>
      <c r="B366" s="200" t="s">
        <v>468</v>
      </c>
      <c r="C366" s="199">
        <v>2.525916923E10</v>
      </c>
      <c r="D366" s="201">
        <v>45909.0</v>
      </c>
      <c r="E366" s="202" t="s">
        <v>102</v>
      </c>
      <c r="F366" s="202" t="s">
        <v>102</v>
      </c>
      <c r="G366" s="203" t="s">
        <v>100</v>
      </c>
      <c r="H366" s="203" t="s">
        <v>100</v>
      </c>
      <c r="I366" s="37"/>
      <c r="J366" s="37"/>
      <c r="K366" s="37"/>
      <c r="L366" s="199">
        <v>20.0</v>
      </c>
      <c r="M366" s="199">
        <v>426.6</v>
      </c>
      <c r="N366" s="199"/>
      <c r="O366" s="199">
        <v>2.0</v>
      </c>
      <c r="P366" s="199">
        <v>0.05</v>
      </c>
      <c r="Q366" s="199">
        <v>0.0</v>
      </c>
      <c r="R366" s="199">
        <v>9.0</v>
      </c>
      <c r="S366" s="199">
        <v>1.0</v>
      </c>
      <c r="T366" s="199">
        <v>6.0</v>
      </c>
      <c r="U366" s="199">
        <v>29.0</v>
      </c>
      <c r="V366" s="199">
        <v>2.0</v>
      </c>
      <c r="W366" s="199">
        <v>0.0</v>
      </c>
      <c r="X366" s="199">
        <v>2.0</v>
      </c>
      <c r="Y366" s="199">
        <v>0.0</v>
      </c>
      <c r="Z366" s="199">
        <v>2.0</v>
      </c>
      <c r="AA366" s="199">
        <v>2.0</v>
      </c>
      <c r="AB366" s="199">
        <v>16.0</v>
      </c>
      <c r="AC366" s="199">
        <v>16.0</v>
      </c>
      <c r="AD366" s="199">
        <v>0.0</v>
      </c>
      <c r="AE366" s="199">
        <v>104.0</v>
      </c>
      <c r="AF366" s="199">
        <v>6.0</v>
      </c>
      <c r="AG366" s="199">
        <v>276.0</v>
      </c>
      <c r="AH366" s="199">
        <v>16.0</v>
      </c>
      <c r="AI366" s="200" t="s">
        <v>653</v>
      </c>
      <c r="AJ366" s="200" t="s">
        <v>778</v>
      </c>
      <c r="AK366" s="200"/>
      <c r="AL366" s="204"/>
      <c r="AM366" s="204"/>
    </row>
    <row r="367">
      <c r="A367" s="199" t="s">
        <v>233</v>
      </c>
      <c r="B367" s="200" t="s">
        <v>468</v>
      </c>
      <c r="C367" s="199">
        <v>2.5295220236E10</v>
      </c>
      <c r="D367" s="201">
        <v>45946.0</v>
      </c>
      <c r="E367" s="202" t="s">
        <v>101</v>
      </c>
      <c r="F367" s="202" t="s">
        <v>101</v>
      </c>
      <c r="G367" s="203" t="s">
        <v>101</v>
      </c>
      <c r="H367" s="203" t="s">
        <v>100</v>
      </c>
      <c r="I367" s="37"/>
      <c r="J367" s="37"/>
      <c r="K367" s="37"/>
      <c r="L367" s="199">
        <v>146.0</v>
      </c>
      <c r="M367" s="199">
        <v>456.3</v>
      </c>
      <c r="N367" s="199"/>
      <c r="O367" s="199">
        <v>3.0</v>
      </c>
      <c r="P367" s="199">
        <v>0.2</v>
      </c>
      <c r="Q367" s="199">
        <v>0.0</v>
      </c>
      <c r="R367" s="199">
        <v>38.0</v>
      </c>
      <c r="S367" s="199">
        <v>0.0</v>
      </c>
      <c r="T367" s="199">
        <v>0.0</v>
      </c>
      <c r="U367" s="199">
        <v>142.0</v>
      </c>
      <c r="V367" s="199">
        <v>0.0</v>
      </c>
      <c r="W367" s="199">
        <v>0.0</v>
      </c>
      <c r="X367" s="199">
        <v>0.0</v>
      </c>
      <c r="Y367" s="199">
        <v>0.0</v>
      </c>
      <c r="Z367" s="199">
        <v>0.0</v>
      </c>
      <c r="AA367" s="199">
        <v>0.0</v>
      </c>
      <c r="AB367" s="199">
        <v>203.0</v>
      </c>
      <c r="AC367" s="199">
        <v>50.0</v>
      </c>
      <c r="AD367" s="199">
        <v>0.0</v>
      </c>
      <c r="AE367" s="199">
        <v>627.0</v>
      </c>
      <c r="AF367" s="199">
        <v>18.0</v>
      </c>
      <c r="AG367" s="199">
        <v>433.0</v>
      </c>
      <c r="AH367" s="199">
        <v>2.0</v>
      </c>
      <c r="AI367" s="200" t="s">
        <v>827</v>
      </c>
      <c r="AJ367" s="200" t="s">
        <v>828</v>
      </c>
      <c r="AK367" s="200"/>
      <c r="AL367" s="204"/>
      <c r="AM367" s="204"/>
    </row>
    <row r="368">
      <c r="A368" s="199" t="s">
        <v>233</v>
      </c>
      <c r="B368" s="200" t="s">
        <v>468</v>
      </c>
      <c r="C368" s="199">
        <v>2.5330281214E10</v>
      </c>
      <c r="D368" s="201">
        <v>45977.0</v>
      </c>
      <c r="E368" s="202" t="s">
        <v>101</v>
      </c>
      <c r="F368" s="202" t="s">
        <v>101</v>
      </c>
      <c r="G368" s="203" t="s">
        <v>101</v>
      </c>
      <c r="H368" s="203" t="s">
        <v>100</v>
      </c>
      <c r="I368" s="37"/>
      <c r="J368" s="37"/>
      <c r="K368" s="37"/>
      <c r="L368" s="199">
        <v>58.0</v>
      </c>
      <c r="M368" s="199">
        <v>422.8</v>
      </c>
      <c r="N368" s="199"/>
      <c r="O368" s="199">
        <v>1.0</v>
      </c>
      <c r="P368" s="199">
        <v>0.2</v>
      </c>
      <c r="Q368" s="199">
        <v>0.0</v>
      </c>
      <c r="R368" s="199">
        <v>29.0</v>
      </c>
      <c r="S368" s="199">
        <v>0.0</v>
      </c>
      <c r="T368" s="199">
        <v>0.0</v>
      </c>
      <c r="U368" s="199">
        <v>72.0</v>
      </c>
      <c r="V368" s="199">
        <v>3.0</v>
      </c>
      <c r="W368" s="199">
        <v>0.0</v>
      </c>
      <c r="X368" s="199">
        <v>0.0</v>
      </c>
      <c r="Y368" s="199">
        <v>0.0</v>
      </c>
      <c r="Z368" s="199">
        <v>5.0</v>
      </c>
      <c r="AA368" s="199">
        <v>0.0</v>
      </c>
      <c r="AB368" s="199">
        <v>266.0</v>
      </c>
      <c r="AC368" s="199">
        <v>11.0</v>
      </c>
      <c r="AD368" s="199">
        <v>0.0</v>
      </c>
      <c r="AE368" s="199">
        <v>186.0</v>
      </c>
      <c r="AF368" s="199">
        <v>6.0</v>
      </c>
      <c r="AG368" s="199">
        <v>433.0</v>
      </c>
      <c r="AH368" s="199">
        <v>7.0</v>
      </c>
      <c r="AI368" s="200" t="s">
        <v>829</v>
      </c>
      <c r="AJ368" s="200" t="s">
        <v>830</v>
      </c>
      <c r="AK368" s="200"/>
      <c r="AL368" s="204"/>
      <c r="AM368" s="204"/>
    </row>
    <row r="369">
      <c r="A369" s="199" t="s">
        <v>233</v>
      </c>
      <c r="B369" s="200" t="s">
        <v>468</v>
      </c>
      <c r="C369" s="199">
        <v>2.600440127E10</v>
      </c>
      <c r="D369" s="201">
        <v>46007.0</v>
      </c>
      <c r="E369" s="202" t="s">
        <v>101</v>
      </c>
      <c r="F369" s="202" t="s">
        <v>101</v>
      </c>
      <c r="G369" s="203" t="s">
        <v>101</v>
      </c>
      <c r="H369" s="203" t="s">
        <v>100</v>
      </c>
      <c r="I369" s="37"/>
      <c r="J369" s="37"/>
      <c r="K369" s="37"/>
      <c r="L369" s="199">
        <v>113.0</v>
      </c>
      <c r="M369" s="199">
        <v>446.1</v>
      </c>
      <c r="N369" s="199"/>
      <c r="O369" s="199">
        <v>0.0</v>
      </c>
      <c r="P369" s="199">
        <v>0.11</v>
      </c>
      <c r="Q369" s="199">
        <v>0.0</v>
      </c>
      <c r="R369" s="199">
        <v>42.0</v>
      </c>
      <c r="S369" s="199">
        <v>0.0</v>
      </c>
      <c r="T369" s="199">
        <v>2.0</v>
      </c>
      <c r="U369" s="199">
        <v>169.0</v>
      </c>
      <c r="V369" s="199">
        <v>0.0</v>
      </c>
      <c r="W369" s="199">
        <v>0.0</v>
      </c>
      <c r="X369" s="199">
        <v>0.0</v>
      </c>
      <c r="Y369" s="199">
        <v>0.0</v>
      </c>
      <c r="Z369" s="199">
        <v>2.0</v>
      </c>
      <c r="AA369" s="199">
        <v>0.0</v>
      </c>
      <c r="AB369" s="199">
        <v>176.0</v>
      </c>
      <c r="AC369" s="199">
        <v>39.0</v>
      </c>
      <c r="AD369" s="199">
        <v>0.0</v>
      </c>
      <c r="AE369" s="199">
        <v>410.0</v>
      </c>
      <c r="AF369" s="199">
        <v>5.0</v>
      </c>
      <c r="AG369" s="199">
        <v>318.0</v>
      </c>
      <c r="AH369" s="199">
        <v>0.0</v>
      </c>
      <c r="AI369" s="200" t="s">
        <v>827</v>
      </c>
      <c r="AJ369" s="200" t="s">
        <v>828</v>
      </c>
      <c r="AK369" s="200"/>
      <c r="AL369" s="204"/>
      <c r="AM369" s="204"/>
    </row>
    <row r="370">
      <c r="A370" s="199" t="s">
        <v>236</v>
      </c>
      <c r="B370" s="200" t="s">
        <v>473</v>
      </c>
      <c r="C370" s="199">
        <v>2.4307211215E10</v>
      </c>
      <c r="D370" s="201">
        <v>45589.0</v>
      </c>
      <c r="E370" s="202" t="s">
        <v>101</v>
      </c>
      <c r="F370" s="202" t="s">
        <v>101</v>
      </c>
      <c r="G370" s="203" t="s">
        <v>100</v>
      </c>
      <c r="H370" s="203" t="s">
        <v>100</v>
      </c>
      <c r="I370" s="199">
        <v>29739.0</v>
      </c>
      <c r="J370" s="199">
        <v>16148.0</v>
      </c>
      <c r="K370" s="199">
        <v>4927.0</v>
      </c>
      <c r="L370" s="199">
        <v>26.0</v>
      </c>
      <c r="M370" s="199">
        <v>302.1</v>
      </c>
      <c r="N370" s="37"/>
      <c r="O370" s="37"/>
      <c r="P370" s="199">
        <v>0.06</v>
      </c>
      <c r="Q370" s="199">
        <v>0.0</v>
      </c>
      <c r="R370" s="199">
        <v>3.0</v>
      </c>
      <c r="S370" s="199">
        <v>1.0</v>
      </c>
      <c r="T370" s="199">
        <v>0.0</v>
      </c>
      <c r="U370" s="199">
        <v>36.0</v>
      </c>
      <c r="V370" s="199">
        <v>0.0</v>
      </c>
      <c r="W370" s="199">
        <v>0.0</v>
      </c>
      <c r="X370" s="199">
        <v>2.0</v>
      </c>
      <c r="Y370" s="199">
        <v>0.0</v>
      </c>
      <c r="Z370" s="199">
        <v>2.0</v>
      </c>
      <c r="AA370" s="199">
        <v>0.0</v>
      </c>
      <c r="AB370" s="199">
        <v>53.0</v>
      </c>
      <c r="AC370" s="199">
        <v>49.0</v>
      </c>
      <c r="AD370" s="199">
        <v>2.0</v>
      </c>
      <c r="AE370" s="199">
        <v>36.0</v>
      </c>
      <c r="AF370" s="199">
        <v>2.0</v>
      </c>
      <c r="AG370" s="199">
        <v>632.0</v>
      </c>
      <c r="AH370" s="199">
        <v>58.0</v>
      </c>
      <c r="AI370" s="200" t="s">
        <v>785</v>
      </c>
      <c r="AJ370" s="200" t="s">
        <v>786</v>
      </c>
      <c r="AK370" s="200"/>
      <c r="AL370" s="204"/>
      <c r="AM370" s="204"/>
    </row>
    <row r="371">
      <c r="A371" s="199" t="s">
        <v>236</v>
      </c>
      <c r="B371" s="200" t="s">
        <v>473</v>
      </c>
      <c r="C371" s="199">
        <v>2.5112224211E10</v>
      </c>
      <c r="D371" s="201">
        <v>45756.0</v>
      </c>
      <c r="E371" s="202" t="s">
        <v>100</v>
      </c>
      <c r="F371" s="202" t="s">
        <v>100</v>
      </c>
      <c r="G371" s="203" t="s">
        <v>100</v>
      </c>
      <c r="H371" s="203" t="s">
        <v>100</v>
      </c>
      <c r="I371" s="199">
        <v>32541.0</v>
      </c>
      <c r="J371" s="199">
        <v>4257.0</v>
      </c>
      <c r="K371" s="199">
        <v>2101.0</v>
      </c>
      <c r="L371" s="199">
        <v>13.0</v>
      </c>
      <c r="M371" s="199">
        <v>295.1</v>
      </c>
      <c r="N371" s="37"/>
      <c r="O371" s="37"/>
      <c r="P371" s="199">
        <v>0.02</v>
      </c>
      <c r="Q371" s="199">
        <v>0.0</v>
      </c>
      <c r="R371" s="199">
        <v>0.0</v>
      </c>
      <c r="S371" s="199">
        <v>0.0</v>
      </c>
      <c r="T371" s="199">
        <v>0.0</v>
      </c>
      <c r="U371" s="199">
        <v>6.0</v>
      </c>
      <c r="V371" s="199">
        <v>0.0</v>
      </c>
      <c r="W371" s="199">
        <v>0.0</v>
      </c>
      <c r="X371" s="199">
        <v>0.0</v>
      </c>
      <c r="Y371" s="199">
        <v>0.0</v>
      </c>
      <c r="Z371" s="199">
        <v>0.0</v>
      </c>
      <c r="AA371" s="199">
        <v>2.0</v>
      </c>
      <c r="AB371" s="199">
        <v>12.0</v>
      </c>
      <c r="AC371" s="199">
        <v>25.0</v>
      </c>
      <c r="AD371" s="199">
        <v>0.0</v>
      </c>
      <c r="AE371" s="199">
        <v>37.0</v>
      </c>
      <c r="AF371" s="199">
        <v>0.0</v>
      </c>
      <c r="AG371" s="199">
        <v>409.0</v>
      </c>
      <c r="AH371" s="199">
        <v>54.0</v>
      </c>
      <c r="AI371" s="200" t="s">
        <v>655</v>
      </c>
      <c r="AJ371" s="200" t="s">
        <v>656</v>
      </c>
      <c r="AK371" s="200"/>
      <c r="AL371" s="204"/>
      <c r="AM371" s="204"/>
    </row>
    <row r="372">
      <c r="A372" s="199" t="s">
        <v>236</v>
      </c>
      <c r="B372" s="200" t="s">
        <v>473</v>
      </c>
      <c r="C372" s="199">
        <v>2.5295220214E10</v>
      </c>
      <c r="D372" s="201">
        <v>45946.0</v>
      </c>
      <c r="E372" s="202" t="s">
        <v>101</v>
      </c>
      <c r="F372" s="202" t="s">
        <v>101</v>
      </c>
      <c r="G372" s="203" t="s">
        <v>100</v>
      </c>
      <c r="H372" s="203" t="s">
        <v>102</v>
      </c>
      <c r="I372" s="37"/>
      <c r="J372" s="37"/>
      <c r="K372" s="37"/>
      <c r="L372" s="199">
        <v>25.0</v>
      </c>
      <c r="M372" s="199">
        <v>271.4</v>
      </c>
      <c r="N372" s="37"/>
      <c r="O372" s="37"/>
      <c r="P372" s="199">
        <v>0.1</v>
      </c>
      <c r="Q372" s="199">
        <v>0.0</v>
      </c>
      <c r="R372" s="199">
        <v>0.0</v>
      </c>
      <c r="S372" s="199">
        <v>0.0</v>
      </c>
      <c r="T372" s="199">
        <v>0.0</v>
      </c>
      <c r="U372" s="199">
        <v>17.0</v>
      </c>
      <c r="V372" s="199">
        <v>0.0</v>
      </c>
      <c r="W372" s="199">
        <v>0.0</v>
      </c>
      <c r="X372" s="199">
        <v>0.0</v>
      </c>
      <c r="Y372" s="199">
        <v>0.0</v>
      </c>
      <c r="Z372" s="199">
        <v>0.0</v>
      </c>
      <c r="AA372" s="199">
        <v>0.0</v>
      </c>
      <c r="AB372" s="199">
        <v>38.0</v>
      </c>
      <c r="AC372" s="199">
        <v>15.0</v>
      </c>
      <c r="AD372" s="199">
        <v>0.0</v>
      </c>
      <c r="AE372" s="199">
        <v>41.0</v>
      </c>
      <c r="AF372" s="199">
        <v>2.0</v>
      </c>
      <c r="AG372" s="199">
        <v>542.0</v>
      </c>
      <c r="AH372" s="199">
        <v>16.0</v>
      </c>
      <c r="AI372" s="200" t="s">
        <v>776</v>
      </c>
      <c r="AJ372" s="200" t="s">
        <v>786</v>
      </c>
      <c r="AK372" s="200"/>
      <c r="AL372" s="204"/>
      <c r="AM372" s="204"/>
    </row>
    <row r="373">
      <c r="A373" s="199" t="s">
        <v>236</v>
      </c>
      <c r="B373" s="200" t="s">
        <v>473</v>
      </c>
      <c r="C373" s="199">
        <v>2.5330261226E10</v>
      </c>
      <c r="D373" s="201">
        <v>45977.0</v>
      </c>
      <c r="E373" s="202" t="s">
        <v>102</v>
      </c>
      <c r="F373" s="202" t="s">
        <v>102</v>
      </c>
      <c r="G373" s="203" t="s">
        <v>100</v>
      </c>
      <c r="H373" s="203" t="s">
        <v>100</v>
      </c>
      <c r="I373" s="37"/>
      <c r="J373" s="37"/>
      <c r="K373" s="37"/>
      <c r="L373" s="199">
        <v>36.0</v>
      </c>
      <c r="M373" s="199">
        <v>267.9</v>
      </c>
      <c r="N373" s="37"/>
      <c r="O373" s="37"/>
      <c r="P373" s="199">
        <v>0.05</v>
      </c>
      <c r="Q373" s="199">
        <v>0.0</v>
      </c>
      <c r="R373" s="199">
        <v>0.0</v>
      </c>
      <c r="S373" s="199">
        <v>0.0</v>
      </c>
      <c r="T373" s="199">
        <v>0.0</v>
      </c>
      <c r="U373" s="199">
        <v>56.0</v>
      </c>
      <c r="V373" s="199">
        <v>0.0</v>
      </c>
      <c r="W373" s="199">
        <v>0.0</v>
      </c>
      <c r="X373" s="199">
        <v>0.0</v>
      </c>
      <c r="Y373" s="199">
        <v>0.0</v>
      </c>
      <c r="Z373" s="199">
        <v>0.0</v>
      </c>
      <c r="AA373" s="199">
        <v>0.0</v>
      </c>
      <c r="AB373" s="199">
        <v>25.0</v>
      </c>
      <c r="AC373" s="199">
        <v>12.0</v>
      </c>
      <c r="AD373" s="199">
        <v>0.0</v>
      </c>
      <c r="AE373" s="199">
        <v>109.0</v>
      </c>
      <c r="AF373" s="199">
        <v>2.0</v>
      </c>
      <c r="AG373" s="199">
        <v>680.0</v>
      </c>
      <c r="AH373" s="199">
        <v>172.0</v>
      </c>
      <c r="AI373" s="200" t="s">
        <v>783</v>
      </c>
      <c r="AJ373" s="200" t="s">
        <v>799</v>
      </c>
      <c r="AK373" s="200"/>
      <c r="AL373" s="204"/>
      <c r="AM373" s="204"/>
    </row>
    <row r="374">
      <c r="A374" s="199" t="s">
        <v>236</v>
      </c>
      <c r="B374" s="200" t="s">
        <v>473</v>
      </c>
      <c r="C374" s="199">
        <v>2.6004401267E10</v>
      </c>
      <c r="D374" s="201">
        <v>46007.0</v>
      </c>
      <c r="E374" s="202" t="s">
        <v>102</v>
      </c>
      <c r="F374" s="202" t="s">
        <v>102</v>
      </c>
      <c r="G374" s="203" t="s">
        <v>100</v>
      </c>
      <c r="H374" s="203" t="s">
        <v>100</v>
      </c>
      <c r="I374" s="37"/>
      <c r="J374" s="37"/>
      <c r="K374" s="37"/>
      <c r="L374" s="199">
        <v>5.0</v>
      </c>
      <c r="M374" s="199">
        <v>292.3</v>
      </c>
      <c r="N374" s="37"/>
      <c r="O374" s="37"/>
      <c r="P374" s="199">
        <v>0.01</v>
      </c>
      <c r="Q374" s="199">
        <v>0.0</v>
      </c>
      <c r="R374" s="199">
        <v>0.0</v>
      </c>
      <c r="S374" s="199">
        <v>0.0</v>
      </c>
      <c r="T374" s="199">
        <v>0.0</v>
      </c>
      <c r="U374" s="199">
        <v>5.0</v>
      </c>
      <c r="V374" s="199">
        <v>0.0</v>
      </c>
      <c r="W374" s="199">
        <v>0.0</v>
      </c>
      <c r="X374" s="199">
        <v>0.0</v>
      </c>
      <c r="Y374" s="199">
        <v>0.0</v>
      </c>
      <c r="Z374" s="199">
        <v>0.0</v>
      </c>
      <c r="AA374" s="199">
        <v>0.0</v>
      </c>
      <c r="AB374" s="199">
        <v>20.0</v>
      </c>
      <c r="AC374" s="199">
        <v>14.0</v>
      </c>
      <c r="AD374" s="199">
        <v>0.0</v>
      </c>
      <c r="AE374" s="199">
        <v>20.0</v>
      </c>
      <c r="AF374" s="199">
        <v>2.0</v>
      </c>
      <c r="AG374" s="199">
        <v>331.0</v>
      </c>
      <c r="AH374" s="199">
        <v>56.0</v>
      </c>
      <c r="AI374" s="200" t="s">
        <v>653</v>
      </c>
      <c r="AJ374" s="200" t="s">
        <v>654</v>
      </c>
      <c r="AK374" s="200"/>
      <c r="AL374" s="204"/>
      <c r="AM374" s="204"/>
    </row>
    <row r="375">
      <c r="A375" s="199" t="s">
        <v>237</v>
      </c>
      <c r="B375" s="200" t="s">
        <v>474</v>
      </c>
      <c r="C375" s="199">
        <v>2.3161106237E10</v>
      </c>
      <c r="D375" s="201">
        <v>45076.0</v>
      </c>
      <c r="E375" s="202" t="s">
        <v>100</v>
      </c>
      <c r="F375" s="202" t="s">
        <v>100</v>
      </c>
      <c r="G375" s="203" t="s">
        <v>100</v>
      </c>
      <c r="H375" s="203" t="s">
        <v>100</v>
      </c>
      <c r="I375" s="199">
        <v>11732.0</v>
      </c>
      <c r="J375" s="199">
        <v>2863.0</v>
      </c>
      <c r="K375" s="199">
        <v>159.0</v>
      </c>
      <c r="L375" s="199">
        <v>16.0</v>
      </c>
      <c r="M375" s="199">
        <v>290.6</v>
      </c>
      <c r="N375" s="199"/>
      <c r="O375" s="199">
        <v>2.0</v>
      </c>
      <c r="P375" s="199">
        <v>0.01</v>
      </c>
      <c r="Q375" s="199">
        <v>0.0</v>
      </c>
      <c r="R375" s="199">
        <v>1.0</v>
      </c>
      <c r="S375" s="199">
        <v>0.0</v>
      </c>
      <c r="T375" s="199">
        <v>0.0</v>
      </c>
      <c r="U375" s="199">
        <v>45.0</v>
      </c>
      <c r="V375" s="199">
        <v>0.0</v>
      </c>
      <c r="W375" s="199">
        <v>0.0</v>
      </c>
      <c r="X375" s="199">
        <v>2.0</v>
      </c>
      <c r="Y375" s="199">
        <v>0.0</v>
      </c>
      <c r="Z375" s="199">
        <v>5.0</v>
      </c>
      <c r="AA375" s="199">
        <v>0.0</v>
      </c>
      <c r="AB375" s="199">
        <v>7.0</v>
      </c>
      <c r="AC375" s="199">
        <v>25.0</v>
      </c>
      <c r="AD375" s="199">
        <v>0.0</v>
      </c>
      <c r="AE375" s="199">
        <v>26.0</v>
      </c>
      <c r="AF375" s="199">
        <v>2.0</v>
      </c>
      <c r="AG375" s="199">
        <v>333.0</v>
      </c>
      <c r="AH375" s="199">
        <v>51.0</v>
      </c>
      <c r="AI375" s="200" t="s">
        <v>655</v>
      </c>
      <c r="AJ375" s="200" t="s">
        <v>656</v>
      </c>
      <c r="AK375" s="200"/>
      <c r="AL375" s="204"/>
      <c r="AM375" s="204"/>
    </row>
    <row r="376">
      <c r="A376" s="199" t="s">
        <v>237</v>
      </c>
      <c r="B376" s="200" t="s">
        <v>474</v>
      </c>
      <c r="C376" s="199">
        <v>2.3351170222E10</v>
      </c>
      <c r="D376" s="201">
        <v>45266.0</v>
      </c>
      <c r="E376" s="202" t="s">
        <v>102</v>
      </c>
      <c r="F376" s="202" t="s">
        <v>102</v>
      </c>
      <c r="G376" s="203" t="s">
        <v>100</v>
      </c>
      <c r="H376" s="203" t="s">
        <v>100</v>
      </c>
      <c r="I376" s="37"/>
      <c r="J376" s="37"/>
      <c r="K376" s="37"/>
      <c r="L376" s="199">
        <v>30.0</v>
      </c>
      <c r="M376" s="199">
        <v>292.1</v>
      </c>
      <c r="N376" s="199"/>
      <c r="O376" s="199">
        <v>2.0</v>
      </c>
      <c r="P376" s="199">
        <v>0.05</v>
      </c>
      <c r="Q376" s="199">
        <v>0.0</v>
      </c>
      <c r="R376" s="199">
        <v>2.0</v>
      </c>
      <c r="S376" s="199">
        <v>3.0</v>
      </c>
      <c r="T376" s="199">
        <v>1.0</v>
      </c>
      <c r="U376" s="199">
        <v>57.0</v>
      </c>
      <c r="V376" s="199">
        <v>2.0</v>
      </c>
      <c r="W376" s="199">
        <v>0.0</v>
      </c>
      <c r="X376" s="199">
        <v>1.0</v>
      </c>
      <c r="Y376" s="199">
        <v>0.0</v>
      </c>
      <c r="Z376" s="199">
        <v>1.0</v>
      </c>
      <c r="AA376" s="199">
        <v>3.0</v>
      </c>
      <c r="AB376" s="199">
        <v>7.0</v>
      </c>
      <c r="AC376" s="199">
        <v>11.0</v>
      </c>
      <c r="AD376" s="199">
        <v>0.0</v>
      </c>
      <c r="AE376" s="199">
        <v>47.0</v>
      </c>
      <c r="AF376" s="199">
        <v>10.0</v>
      </c>
      <c r="AG376" s="199">
        <v>366.0</v>
      </c>
      <c r="AH376" s="199">
        <v>82.0</v>
      </c>
      <c r="AI376" s="200" t="s">
        <v>774</v>
      </c>
      <c r="AJ376" s="200" t="s">
        <v>831</v>
      </c>
      <c r="AK376" s="200"/>
      <c r="AL376" s="204"/>
      <c r="AM376" s="204"/>
    </row>
    <row r="377">
      <c r="A377" s="199" t="s">
        <v>237</v>
      </c>
      <c r="B377" s="200" t="s">
        <v>474</v>
      </c>
      <c r="C377" s="199">
        <v>2.5180296241E10</v>
      </c>
      <c r="D377" s="201">
        <v>45826.0</v>
      </c>
      <c r="E377" s="202" t="s">
        <v>102</v>
      </c>
      <c r="F377" s="202" t="s">
        <v>102</v>
      </c>
      <c r="G377" s="203" t="s">
        <v>100</v>
      </c>
      <c r="H377" s="203" t="s">
        <v>100</v>
      </c>
      <c r="I377" s="37"/>
      <c r="J377" s="37"/>
      <c r="K377" s="37"/>
      <c r="L377" s="199">
        <v>21.0</v>
      </c>
      <c r="M377" s="199">
        <v>287.6</v>
      </c>
      <c r="N377" s="199"/>
      <c r="O377" s="199">
        <v>0.0</v>
      </c>
      <c r="P377" s="199">
        <v>0.06</v>
      </c>
      <c r="Q377" s="199">
        <v>0.0</v>
      </c>
      <c r="R377" s="199">
        <v>11.0</v>
      </c>
      <c r="S377" s="199">
        <v>0.0</v>
      </c>
      <c r="T377" s="199">
        <v>1.0</v>
      </c>
      <c r="U377" s="199">
        <v>63.0</v>
      </c>
      <c r="V377" s="199">
        <v>0.0</v>
      </c>
      <c r="W377" s="199">
        <v>0.0</v>
      </c>
      <c r="X377" s="199">
        <v>1.0</v>
      </c>
      <c r="Y377" s="199">
        <v>0.0</v>
      </c>
      <c r="Z377" s="199">
        <v>2.0</v>
      </c>
      <c r="AA377" s="199">
        <v>0.0</v>
      </c>
      <c r="AB377" s="199">
        <v>14.0</v>
      </c>
      <c r="AC377" s="199">
        <v>12.0</v>
      </c>
      <c r="AD377" s="199">
        <v>0.0</v>
      </c>
      <c r="AE377" s="199">
        <v>121.0</v>
      </c>
      <c r="AF377" s="199">
        <v>5.0</v>
      </c>
      <c r="AG377" s="199">
        <v>220.0</v>
      </c>
      <c r="AH377" s="199">
        <v>28.0</v>
      </c>
      <c r="AI377" s="200" t="s">
        <v>686</v>
      </c>
      <c r="AJ377" s="200" t="s">
        <v>832</v>
      </c>
      <c r="AK377" s="200"/>
      <c r="AL377" s="204"/>
      <c r="AM377" s="204"/>
    </row>
    <row r="378">
      <c r="A378" s="199" t="s">
        <v>237</v>
      </c>
      <c r="B378" s="200" t="s">
        <v>474</v>
      </c>
      <c r="C378" s="199">
        <v>2.600440126E10</v>
      </c>
      <c r="D378" s="201">
        <v>46018.0</v>
      </c>
      <c r="E378" s="202" t="s">
        <v>101</v>
      </c>
      <c r="F378" s="202" t="s">
        <v>101</v>
      </c>
      <c r="G378" s="203" t="s">
        <v>100</v>
      </c>
      <c r="H378" s="203" t="s">
        <v>100</v>
      </c>
      <c r="I378" s="37"/>
      <c r="J378" s="37"/>
      <c r="K378" s="37"/>
      <c r="L378" s="199">
        <v>23.0</v>
      </c>
      <c r="M378" s="199">
        <v>286.0</v>
      </c>
      <c r="N378" s="199"/>
      <c r="O378" s="199">
        <v>0.0</v>
      </c>
      <c r="P378" s="199">
        <v>0.1</v>
      </c>
      <c r="Q378" s="199">
        <v>0.0</v>
      </c>
      <c r="R378" s="199">
        <v>6.0</v>
      </c>
      <c r="S378" s="199">
        <v>0.0</v>
      </c>
      <c r="T378" s="199">
        <v>0.0</v>
      </c>
      <c r="U378" s="199">
        <v>54.0</v>
      </c>
      <c r="V378" s="199">
        <v>0.0</v>
      </c>
      <c r="W378" s="199">
        <v>0.0</v>
      </c>
      <c r="X378" s="199">
        <v>0.0</v>
      </c>
      <c r="Y378" s="199">
        <v>0.0</v>
      </c>
      <c r="Z378" s="199">
        <v>2.0</v>
      </c>
      <c r="AA378" s="199">
        <v>0.0</v>
      </c>
      <c r="AB378" s="199">
        <v>34.0</v>
      </c>
      <c r="AC378" s="199">
        <v>35.0</v>
      </c>
      <c r="AD378" s="199">
        <v>0.0</v>
      </c>
      <c r="AE378" s="199">
        <v>60.0</v>
      </c>
      <c r="AF378" s="199">
        <v>6.0</v>
      </c>
      <c r="AG378" s="199">
        <v>217.0</v>
      </c>
      <c r="AH378" s="199">
        <v>17.0</v>
      </c>
      <c r="AI378" s="200" t="s">
        <v>776</v>
      </c>
      <c r="AJ378" s="200" t="s">
        <v>786</v>
      </c>
      <c r="AK378" s="200"/>
      <c r="AL378" s="204"/>
      <c r="AM378" s="204"/>
    </row>
    <row r="379">
      <c r="A379" s="199" t="s">
        <v>240</v>
      </c>
      <c r="B379" s="200" t="s">
        <v>475</v>
      </c>
      <c r="C379" s="199">
        <v>2.5259169233E10</v>
      </c>
      <c r="D379" s="201">
        <v>45909.0</v>
      </c>
      <c r="E379" s="202" t="s">
        <v>101</v>
      </c>
      <c r="F379" s="202" t="s">
        <v>101</v>
      </c>
      <c r="G379" s="203" t="s">
        <v>101</v>
      </c>
      <c r="H379" s="203" t="s">
        <v>100</v>
      </c>
      <c r="I379" s="37"/>
      <c r="J379" s="37"/>
      <c r="K379" s="37"/>
      <c r="L379" s="199">
        <v>123.0</v>
      </c>
      <c r="M379" s="199">
        <v>446.9</v>
      </c>
      <c r="N379" s="199"/>
      <c r="O379" s="199">
        <v>1.0</v>
      </c>
      <c r="P379" s="199">
        <v>0.4</v>
      </c>
      <c r="Q379" s="199">
        <v>0.0</v>
      </c>
      <c r="R379" s="199">
        <v>23.0</v>
      </c>
      <c r="S379" s="199">
        <v>2.0</v>
      </c>
      <c r="T379" s="199">
        <v>9.0</v>
      </c>
      <c r="U379" s="199">
        <v>77.0</v>
      </c>
      <c r="V379" s="199">
        <v>3.0</v>
      </c>
      <c r="W379" s="199">
        <v>0.0</v>
      </c>
      <c r="X379" s="199">
        <v>0.0</v>
      </c>
      <c r="Y379" s="199">
        <v>0.0</v>
      </c>
      <c r="Z379" s="199">
        <v>2.0</v>
      </c>
      <c r="AA379" s="199">
        <v>0.0</v>
      </c>
      <c r="AB379" s="199">
        <v>74.0</v>
      </c>
      <c r="AC379" s="199">
        <v>17.0</v>
      </c>
      <c r="AD379" s="199">
        <v>0.0</v>
      </c>
      <c r="AE379" s="199">
        <v>249.0</v>
      </c>
      <c r="AF379" s="199">
        <v>14.0</v>
      </c>
      <c r="AG379" s="199">
        <v>279.0</v>
      </c>
      <c r="AH379" s="199">
        <v>0.0</v>
      </c>
      <c r="AI379" s="200" t="s">
        <v>827</v>
      </c>
      <c r="AJ379" s="200" t="s">
        <v>833</v>
      </c>
      <c r="AK379" s="200"/>
      <c r="AL379" s="204"/>
      <c r="AM379" s="204"/>
    </row>
    <row r="380">
      <c r="A380" s="199" t="s">
        <v>240</v>
      </c>
      <c r="B380" s="200" t="s">
        <v>475</v>
      </c>
      <c r="C380" s="199">
        <v>2.5295220239E10</v>
      </c>
      <c r="D380" s="201">
        <v>45946.0</v>
      </c>
      <c r="E380" s="202" t="s">
        <v>101</v>
      </c>
      <c r="F380" s="202" t="s">
        <v>101</v>
      </c>
      <c r="G380" s="203" t="s">
        <v>101</v>
      </c>
      <c r="H380" s="203" t="s">
        <v>100</v>
      </c>
      <c r="I380" s="37"/>
      <c r="J380" s="37"/>
      <c r="K380" s="37"/>
      <c r="L380" s="199">
        <v>227.0</v>
      </c>
      <c r="M380" s="199">
        <v>438.0</v>
      </c>
      <c r="N380" s="199"/>
      <c r="O380" s="199">
        <v>2.0</v>
      </c>
      <c r="P380" s="199">
        <v>0.22</v>
      </c>
      <c r="Q380" s="199">
        <v>0.0</v>
      </c>
      <c r="R380" s="199">
        <v>0.0</v>
      </c>
      <c r="S380" s="199">
        <v>0.0</v>
      </c>
      <c r="T380" s="199">
        <v>0.0</v>
      </c>
      <c r="U380" s="199">
        <v>107.0</v>
      </c>
      <c r="V380" s="199">
        <v>0.0</v>
      </c>
      <c r="W380" s="199">
        <v>0.0</v>
      </c>
      <c r="X380" s="199">
        <v>0.0</v>
      </c>
      <c r="Y380" s="199">
        <v>0.0</v>
      </c>
      <c r="Z380" s="199">
        <v>0.0</v>
      </c>
      <c r="AA380" s="199">
        <v>0.0</v>
      </c>
      <c r="AB380" s="199">
        <v>70.0</v>
      </c>
      <c r="AC380" s="199">
        <v>0.0</v>
      </c>
      <c r="AD380" s="199">
        <v>0.0</v>
      </c>
      <c r="AE380" s="199">
        <v>319.0</v>
      </c>
      <c r="AF380" s="199">
        <v>0.0</v>
      </c>
      <c r="AG380" s="199">
        <v>265.0</v>
      </c>
      <c r="AH380" s="199">
        <v>0.0</v>
      </c>
      <c r="AI380" s="200" t="s">
        <v>827</v>
      </c>
      <c r="AJ380" s="200" t="s">
        <v>834</v>
      </c>
      <c r="AK380" s="200"/>
      <c r="AL380" s="204"/>
      <c r="AM380" s="204"/>
    </row>
    <row r="381">
      <c r="A381" s="199" t="s">
        <v>240</v>
      </c>
      <c r="B381" s="200" t="s">
        <v>475</v>
      </c>
      <c r="C381" s="199">
        <v>2.533028121E10</v>
      </c>
      <c r="D381" s="201">
        <v>45977.0</v>
      </c>
      <c r="E381" s="202" t="s">
        <v>101</v>
      </c>
      <c r="F381" s="202" t="s">
        <v>101</v>
      </c>
      <c r="G381" s="203" t="s">
        <v>101</v>
      </c>
      <c r="H381" s="203" t="s">
        <v>100</v>
      </c>
      <c r="I381" s="37"/>
      <c r="J381" s="37"/>
      <c r="K381" s="37"/>
      <c r="L381" s="199">
        <v>181.0</v>
      </c>
      <c r="M381" s="199">
        <v>452.6</v>
      </c>
      <c r="N381" s="199"/>
      <c r="O381" s="199">
        <v>4.0</v>
      </c>
      <c r="P381" s="199">
        <v>0.2</v>
      </c>
      <c r="Q381" s="199">
        <v>0.0</v>
      </c>
      <c r="R381" s="199">
        <v>110.0</v>
      </c>
      <c r="S381" s="199">
        <v>0.0</v>
      </c>
      <c r="T381" s="199">
        <v>3.0</v>
      </c>
      <c r="U381" s="199">
        <v>172.0</v>
      </c>
      <c r="V381" s="199">
        <v>2.0</v>
      </c>
      <c r="W381" s="199">
        <v>0.0</v>
      </c>
      <c r="X381" s="199">
        <v>0.0</v>
      </c>
      <c r="Y381" s="199">
        <v>0.0</v>
      </c>
      <c r="Z381" s="199">
        <v>5.0</v>
      </c>
      <c r="AA381" s="199">
        <v>0.0</v>
      </c>
      <c r="AB381" s="199">
        <v>640.0</v>
      </c>
      <c r="AC381" s="199">
        <v>73.0</v>
      </c>
      <c r="AD381" s="199">
        <v>0.0</v>
      </c>
      <c r="AE381" s="199">
        <v>577.0</v>
      </c>
      <c r="AF381" s="199">
        <v>6.0</v>
      </c>
      <c r="AG381" s="199">
        <v>437.0</v>
      </c>
      <c r="AH381" s="199">
        <v>8.0</v>
      </c>
      <c r="AI381" s="200" t="s">
        <v>827</v>
      </c>
      <c r="AJ381" s="200" t="s">
        <v>835</v>
      </c>
      <c r="AK381" s="200"/>
      <c r="AL381" s="204"/>
      <c r="AM381" s="204"/>
    </row>
    <row r="382">
      <c r="A382" s="199" t="s">
        <v>240</v>
      </c>
      <c r="B382" s="200" t="s">
        <v>475</v>
      </c>
      <c r="C382" s="199">
        <v>2.6005501209E10</v>
      </c>
      <c r="D382" s="201">
        <v>46018.0</v>
      </c>
      <c r="E382" s="202" t="s">
        <v>101</v>
      </c>
      <c r="F382" s="202" t="s">
        <v>101</v>
      </c>
      <c r="G382" s="203" t="s">
        <v>101</v>
      </c>
      <c r="H382" s="203" t="s">
        <v>100</v>
      </c>
      <c r="I382" s="37"/>
      <c r="J382" s="37"/>
      <c r="K382" s="37"/>
      <c r="L382" s="199">
        <v>479.0</v>
      </c>
      <c r="M382" s="199">
        <v>469.2</v>
      </c>
      <c r="N382" s="199"/>
      <c r="O382" s="199">
        <v>4.0</v>
      </c>
      <c r="P382" s="199">
        <v>0.3</v>
      </c>
      <c r="Q382" s="199">
        <v>0.0</v>
      </c>
      <c r="R382" s="199">
        <v>46.0</v>
      </c>
      <c r="S382" s="199">
        <v>0.0</v>
      </c>
      <c r="T382" s="199">
        <v>2.0</v>
      </c>
      <c r="U382" s="199">
        <v>332.0</v>
      </c>
      <c r="V382" s="199">
        <v>2.0</v>
      </c>
      <c r="W382" s="199">
        <v>0.0</v>
      </c>
      <c r="X382" s="199">
        <v>0.0</v>
      </c>
      <c r="Y382" s="199">
        <v>0.0</v>
      </c>
      <c r="Z382" s="199">
        <v>0.0</v>
      </c>
      <c r="AA382" s="199">
        <v>0.0</v>
      </c>
      <c r="AB382" s="199">
        <v>232.0</v>
      </c>
      <c r="AC382" s="199">
        <v>51.0</v>
      </c>
      <c r="AD382" s="199">
        <v>0.0</v>
      </c>
      <c r="AE382" s="199">
        <v>1201.0</v>
      </c>
      <c r="AF382" s="199">
        <v>66.0</v>
      </c>
      <c r="AG382" s="199">
        <v>641.0</v>
      </c>
      <c r="AH382" s="199">
        <v>18.0</v>
      </c>
      <c r="AI382" s="200" t="s">
        <v>827</v>
      </c>
      <c r="AJ382" s="200" t="s">
        <v>836</v>
      </c>
      <c r="AK382" s="200"/>
      <c r="AL382" s="204"/>
      <c r="AM382" s="204"/>
    </row>
    <row r="383">
      <c r="A383" s="199" t="s">
        <v>246</v>
      </c>
      <c r="B383" s="200" t="s">
        <v>478</v>
      </c>
      <c r="C383" s="199">
        <v>2.5180296265E10</v>
      </c>
      <c r="D383" s="201">
        <v>45826.0</v>
      </c>
      <c r="E383" s="202" t="s">
        <v>101</v>
      </c>
      <c r="F383" s="202" t="s">
        <v>101</v>
      </c>
      <c r="G383" s="203" t="s">
        <v>101</v>
      </c>
      <c r="H383" s="203" t="s">
        <v>100</v>
      </c>
      <c r="I383" s="37"/>
      <c r="J383" s="37"/>
      <c r="K383" s="37"/>
      <c r="L383" s="199">
        <v>153.0</v>
      </c>
      <c r="M383" s="199">
        <v>413.9</v>
      </c>
      <c r="N383" s="199"/>
      <c r="O383" s="199">
        <v>3.0</v>
      </c>
      <c r="P383" s="199">
        <v>0.7</v>
      </c>
      <c r="Q383" s="199">
        <v>0.0</v>
      </c>
      <c r="R383" s="199">
        <v>4.0</v>
      </c>
      <c r="S383" s="199">
        <v>0.0</v>
      </c>
      <c r="T383" s="199">
        <v>48.0</v>
      </c>
      <c r="U383" s="199">
        <v>66.0</v>
      </c>
      <c r="V383" s="199">
        <v>0.0</v>
      </c>
      <c r="W383" s="199">
        <v>0.0</v>
      </c>
      <c r="X383" s="199">
        <v>15.0</v>
      </c>
      <c r="Y383" s="199">
        <v>22.0</v>
      </c>
      <c r="Z383" s="199">
        <v>2.0</v>
      </c>
      <c r="AA383" s="199">
        <v>0.0</v>
      </c>
      <c r="AB383" s="199">
        <v>20.0</v>
      </c>
      <c r="AC383" s="199">
        <v>15.0</v>
      </c>
      <c r="AD383" s="199">
        <v>0.0</v>
      </c>
      <c r="AE383" s="199">
        <v>249.0</v>
      </c>
      <c r="AF383" s="199">
        <v>13.0</v>
      </c>
      <c r="AG383" s="199">
        <v>252.0</v>
      </c>
      <c r="AH383" s="199">
        <v>32.0</v>
      </c>
      <c r="AI383" s="200" t="s">
        <v>837</v>
      </c>
      <c r="AJ383" s="200" t="s">
        <v>838</v>
      </c>
      <c r="AK383" s="200"/>
      <c r="AL383" s="204"/>
      <c r="AM383" s="204"/>
    </row>
    <row r="384">
      <c r="A384" s="199" t="s">
        <v>246</v>
      </c>
      <c r="B384" s="200" t="s">
        <v>478</v>
      </c>
      <c r="C384" s="199">
        <v>2.5259249497E10</v>
      </c>
      <c r="D384" s="201">
        <v>45908.0</v>
      </c>
      <c r="E384" s="202" t="s">
        <v>101</v>
      </c>
      <c r="F384" s="202" t="s">
        <v>101</v>
      </c>
      <c r="G384" s="203" t="s">
        <v>101</v>
      </c>
      <c r="H384" s="203" t="s">
        <v>100</v>
      </c>
      <c r="I384" s="37"/>
      <c r="J384" s="37"/>
      <c r="K384" s="37"/>
      <c r="L384" s="199">
        <v>100.0</v>
      </c>
      <c r="M384" s="199">
        <v>426.7</v>
      </c>
      <c r="N384" s="199"/>
      <c r="O384" s="199">
        <v>1.0</v>
      </c>
      <c r="P384" s="199">
        <v>0.2</v>
      </c>
      <c r="Q384" s="199">
        <v>0.0</v>
      </c>
      <c r="R384" s="199">
        <v>61.0</v>
      </c>
      <c r="S384" s="199">
        <v>1.0</v>
      </c>
      <c r="T384" s="199">
        <v>23.0</v>
      </c>
      <c r="U384" s="199">
        <v>154.0</v>
      </c>
      <c r="V384" s="199">
        <v>0.0</v>
      </c>
      <c r="W384" s="199">
        <v>0.0</v>
      </c>
      <c r="X384" s="199">
        <v>0.0</v>
      </c>
      <c r="Y384" s="199">
        <v>0.0</v>
      </c>
      <c r="Z384" s="199">
        <v>2.0</v>
      </c>
      <c r="AA384" s="199">
        <v>0.0</v>
      </c>
      <c r="AB384" s="199">
        <v>58.0</v>
      </c>
      <c r="AC384" s="199">
        <v>35.0</v>
      </c>
      <c r="AD384" s="199">
        <v>0.0</v>
      </c>
      <c r="AE384" s="199">
        <v>442.0</v>
      </c>
      <c r="AF384" s="199">
        <v>14.0</v>
      </c>
      <c r="AG384" s="199">
        <v>292.0</v>
      </c>
      <c r="AH384" s="199">
        <v>2.0</v>
      </c>
      <c r="AI384" s="200" t="s">
        <v>829</v>
      </c>
      <c r="AJ384" s="200" t="s">
        <v>839</v>
      </c>
      <c r="AK384" s="200"/>
      <c r="AL384" s="204"/>
      <c r="AM384" s="204"/>
    </row>
    <row r="385">
      <c r="A385" s="199" t="s">
        <v>246</v>
      </c>
      <c r="B385" s="200" t="s">
        <v>478</v>
      </c>
      <c r="C385" s="199">
        <v>2.5295220238E10</v>
      </c>
      <c r="D385" s="201">
        <v>45946.0</v>
      </c>
      <c r="E385" s="202" t="s">
        <v>101</v>
      </c>
      <c r="F385" s="202" t="s">
        <v>101</v>
      </c>
      <c r="G385" s="203" t="s">
        <v>101</v>
      </c>
      <c r="H385" s="203" t="s">
        <v>100</v>
      </c>
      <c r="I385" s="37"/>
      <c r="J385" s="37"/>
      <c r="K385" s="37"/>
      <c r="L385" s="199">
        <v>93.0</v>
      </c>
      <c r="M385" s="199">
        <v>447.3</v>
      </c>
      <c r="N385" s="199"/>
      <c r="O385" s="199">
        <v>2.0</v>
      </c>
      <c r="P385" s="199">
        <v>0.2</v>
      </c>
      <c r="Q385" s="199">
        <v>0.0</v>
      </c>
      <c r="R385" s="199">
        <v>39.0</v>
      </c>
      <c r="S385" s="199">
        <v>0.0</v>
      </c>
      <c r="T385" s="199">
        <v>0.0</v>
      </c>
      <c r="U385" s="199">
        <v>123.0</v>
      </c>
      <c r="V385" s="199">
        <v>0.0</v>
      </c>
      <c r="W385" s="199">
        <v>0.0</v>
      </c>
      <c r="X385" s="199">
        <v>0.0</v>
      </c>
      <c r="Y385" s="199">
        <v>0.0</v>
      </c>
      <c r="Z385" s="199">
        <v>2.0</v>
      </c>
      <c r="AA385" s="199">
        <v>0.0</v>
      </c>
      <c r="AB385" s="199">
        <v>185.0</v>
      </c>
      <c r="AC385" s="199">
        <v>20.0</v>
      </c>
      <c r="AD385" s="199">
        <v>0.0</v>
      </c>
      <c r="AE385" s="199">
        <v>72.0</v>
      </c>
      <c r="AF385" s="199">
        <v>5.0</v>
      </c>
      <c r="AG385" s="199">
        <v>440.0</v>
      </c>
      <c r="AH385" s="199">
        <v>13.0</v>
      </c>
      <c r="AI385" s="200" t="s">
        <v>829</v>
      </c>
      <c r="AJ385" s="200" t="s">
        <v>828</v>
      </c>
      <c r="AK385" s="200"/>
      <c r="AL385" s="204"/>
      <c r="AM385" s="204"/>
    </row>
    <row r="386">
      <c r="A386" s="199" t="s">
        <v>246</v>
      </c>
      <c r="B386" s="200" t="s">
        <v>478</v>
      </c>
      <c r="C386" s="199">
        <v>2.5330281204E10</v>
      </c>
      <c r="D386" s="201">
        <v>45977.0</v>
      </c>
      <c r="E386" s="202" t="s">
        <v>101</v>
      </c>
      <c r="F386" s="202" t="s">
        <v>101</v>
      </c>
      <c r="G386" s="203" t="s">
        <v>101</v>
      </c>
      <c r="H386" s="203" t="s">
        <v>100</v>
      </c>
      <c r="I386" s="37"/>
      <c r="J386" s="37"/>
      <c r="K386" s="37"/>
      <c r="L386" s="199">
        <v>246.0</v>
      </c>
      <c r="M386" s="199">
        <v>454.5</v>
      </c>
      <c r="N386" s="199"/>
      <c r="O386" s="199">
        <v>3.0</v>
      </c>
      <c r="P386" s="199">
        <v>0.2</v>
      </c>
      <c r="Q386" s="199">
        <v>0.0</v>
      </c>
      <c r="R386" s="199">
        <v>289.0</v>
      </c>
      <c r="S386" s="199">
        <v>0.0</v>
      </c>
      <c r="T386" s="199">
        <v>21.0</v>
      </c>
      <c r="U386" s="199">
        <v>266.0</v>
      </c>
      <c r="V386" s="199">
        <v>5.0</v>
      </c>
      <c r="W386" s="199">
        <v>0.0</v>
      </c>
      <c r="X386" s="199">
        <v>0.0</v>
      </c>
      <c r="Y386" s="199">
        <v>0.0</v>
      </c>
      <c r="Z386" s="199">
        <v>16.0</v>
      </c>
      <c r="AA386" s="199">
        <v>2.0</v>
      </c>
      <c r="AB386" s="199">
        <v>1367.0</v>
      </c>
      <c r="AC386" s="199">
        <v>96.0</v>
      </c>
      <c r="AD386" s="199">
        <v>0.0</v>
      </c>
      <c r="AE386" s="199">
        <v>1394.0</v>
      </c>
      <c r="AF386" s="199">
        <v>31.0</v>
      </c>
      <c r="AG386" s="199">
        <v>439.0</v>
      </c>
      <c r="AH386" s="199">
        <v>7.0</v>
      </c>
      <c r="AI386" s="200" t="s">
        <v>827</v>
      </c>
      <c r="AJ386" s="200" t="s">
        <v>835</v>
      </c>
      <c r="AK386" s="200"/>
      <c r="AL386" s="204"/>
      <c r="AM386" s="204"/>
    </row>
    <row r="387">
      <c r="A387" s="199" t="s">
        <v>246</v>
      </c>
      <c r="B387" s="200" t="s">
        <v>478</v>
      </c>
      <c r="C387" s="199">
        <v>2.6004401253E10</v>
      </c>
      <c r="D387" s="201">
        <v>46018.0</v>
      </c>
      <c r="E387" s="202" t="s">
        <v>101</v>
      </c>
      <c r="F387" s="202" t="s">
        <v>101</v>
      </c>
      <c r="G387" s="203" t="s">
        <v>101</v>
      </c>
      <c r="H387" s="203" t="s">
        <v>102</v>
      </c>
      <c r="I387" s="37"/>
      <c r="J387" s="37"/>
      <c r="K387" s="37"/>
      <c r="L387" s="199">
        <v>125.0</v>
      </c>
      <c r="M387" s="199">
        <v>435.1</v>
      </c>
      <c r="N387" s="199"/>
      <c r="O387" s="199">
        <v>5.0</v>
      </c>
      <c r="P387" s="199">
        <v>0.3</v>
      </c>
      <c r="Q387" s="199">
        <v>0.0</v>
      </c>
      <c r="R387" s="199">
        <v>28.0</v>
      </c>
      <c r="S387" s="199">
        <v>0.0</v>
      </c>
      <c r="T387" s="199">
        <v>26.0</v>
      </c>
      <c r="U387" s="199">
        <v>92.0</v>
      </c>
      <c r="V387" s="199">
        <v>0.0</v>
      </c>
      <c r="W387" s="199">
        <v>0.0</v>
      </c>
      <c r="X387" s="199">
        <v>15.0</v>
      </c>
      <c r="Y387" s="199">
        <v>0.0</v>
      </c>
      <c r="Z387" s="199">
        <v>0.0</v>
      </c>
      <c r="AA387" s="199">
        <v>0.0</v>
      </c>
      <c r="AB387" s="199">
        <v>140.0</v>
      </c>
      <c r="AC387" s="199">
        <v>16.0</v>
      </c>
      <c r="AD387" s="199">
        <v>0.0</v>
      </c>
      <c r="AE387" s="199">
        <v>286.0</v>
      </c>
      <c r="AF387" s="199">
        <v>5.0</v>
      </c>
      <c r="AG387" s="199">
        <v>254.0</v>
      </c>
      <c r="AH387" s="199">
        <v>0.0</v>
      </c>
      <c r="AI387" s="200" t="s">
        <v>827</v>
      </c>
      <c r="AJ387" s="200" t="s">
        <v>840</v>
      </c>
      <c r="AK387" s="200"/>
      <c r="AL387" s="204"/>
      <c r="AM387" s="204"/>
    </row>
    <row r="388">
      <c r="A388" s="199" t="s">
        <v>248</v>
      </c>
      <c r="B388" s="200" t="s">
        <v>481</v>
      </c>
      <c r="C388" s="199">
        <v>2.3161106213E10</v>
      </c>
      <c r="D388" s="201">
        <v>45076.0</v>
      </c>
      <c r="E388" s="202" t="s">
        <v>100</v>
      </c>
      <c r="F388" s="202" t="s">
        <v>100</v>
      </c>
      <c r="G388" s="203" t="s">
        <v>100</v>
      </c>
      <c r="H388" s="203" t="s">
        <v>100</v>
      </c>
      <c r="I388" s="199">
        <v>7457.0</v>
      </c>
      <c r="J388" s="199">
        <v>3482.0</v>
      </c>
      <c r="K388" s="199">
        <v>241.0</v>
      </c>
      <c r="L388" s="199">
        <v>5.0</v>
      </c>
      <c r="M388" s="199">
        <v>300.9</v>
      </c>
      <c r="N388" s="199"/>
      <c r="O388" s="199">
        <v>0.0</v>
      </c>
      <c r="P388" s="199">
        <v>0.003</v>
      </c>
      <c r="Q388" s="199">
        <v>0.0</v>
      </c>
      <c r="R388" s="199">
        <v>2.0</v>
      </c>
      <c r="S388" s="199">
        <v>0.0</v>
      </c>
      <c r="T388" s="199">
        <v>1.0</v>
      </c>
      <c r="U388" s="199">
        <v>18.0</v>
      </c>
      <c r="V388" s="199">
        <v>3.0</v>
      </c>
      <c r="W388" s="199">
        <v>0.0</v>
      </c>
      <c r="X388" s="199">
        <v>2.0</v>
      </c>
      <c r="Y388" s="199">
        <v>0.0</v>
      </c>
      <c r="Z388" s="199">
        <v>6.0</v>
      </c>
      <c r="AA388" s="199">
        <v>0.0</v>
      </c>
      <c r="AB388" s="199">
        <v>15.0</v>
      </c>
      <c r="AC388" s="199">
        <v>27.0</v>
      </c>
      <c r="AD388" s="199">
        <v>0.0</v>
      </c>
      <c r="AE388" s="199">
        <v>38.0</v>
      </c>
      <c r="AF388" s="199">
        <v>3.0</v>
      </c>
      <c r="AG388" s="199">
        <v>355.0</v>
      </c>
      <c r="AH388" s="199">
        <v>5.0</v>
      </c>
      <c r="AI388" s="200" t="s">
        <v>655</v>
      </c>
      <c r="AJ388" s="200" t="s">
        <v>656</v>
      </c>
      <c r="AK388" s="200"/>
      <c r="AL388" s="204"/>
      <c r="AM388" s="204"/>
    </row>
    <row r="389">
      <c r="A389" s="199" t="s">
        <v>248</v>
      </c>
      <c r="B389" s="200" t="s">
        <v>481</v>
      </c>
      <c r="C389" s="199">
        <v>2.3334814024E10</v>
      </c>
      <c r="D389" s="201">
        <v>45267.0</v>
      </c>
      <c r="E389" s="202" t="s">
        <v>100</v>
      </c>
      <c r="F389" s="202" t="s">
        <v>100</v>
      </c>
      <c r="G389" s="203" t="s">
        <v>100</v>
      </c>
      <c r="H389" s="203" t="s">
        <v>100</v>
      </c>
      <c r="I389" s="199">
        <v>13878.0</v>
      </c>
      <c r="J389" s="199">
        <v>6986.0</v>
      </c>
      <c r="K389" s="199">
        <v>2119.0</v>
      </c>
      <c r="L389" s="199">
        <v>6.0</v>
      </c>
      <c r="M389" s="199">
        <v>296.3</v>
      </c>
      <c r="N389" s="199"/>
      <c r="O389" s="199">
        <v>2.0</v>
      </c>
      <c r="P389" s="199">
        <v>0.03</v>
      </c>
      <c r="Q389" s="199">
        <v>0.0</v>
      </c>
      <c r="R389" s="199">
        <v>0.0</v>
      </c>
      <c r="S389" s="199">
        <v>0.0</v>
      </c>
      <c r="T389" s="199">
        <v>0.0</v>
      </c>
      <c r="U389" s="199">
        <v>2.0</v>
      </c>
      <c r="V389" s="199">
        <v>0.0</v>
      </c>
      <c r="W389" s="199">
        <v>0.0</v>
      </c>
      <c r="X389" s="199">
        <v>0.0</v>
      </c>
      <c r="Y389" s="199">
        <v>0.0</v>
      </c>
      <c r="Z389" s="199">
        <v>0.0</v>
      </c>
      <c r="AA389" s="199">
        <v>0.0</v>
      </c>
      <c r="AB389" s="199">
        <v>8.0</v>
      </c>
      <c r="AC389" s="199">
        <v>15.0</v>
      </c>
      <c r="AD389" s="199">
        <v>0.0</v>
      </c>
      <c r="AE389" s="199">
        <v>31.0</v>
      </c>
      <c r="AF389" s="199">
        <v>0.0</v>
      </c>
      <c r="AG389" s="199">
        <v>411.0</v>
      </c>
      <c r="AH389" s="199">
        <v>0.0</v>
      </c>
      <c r="AI389" s="200" t="s">
        <v>655</v>
      </c>
      <c r="AJ389" s="200" t="s">
        <v>656</v>
      </c>
      <c r="AK389" s="200"/>
      <c r="AL389" s="204"/>
      <c r="AM389" s="204"/>
    </row>
    <row r="390">
      <c r="A390" s="199" t="s">
        <v>248</v>
      </c>
      <c r="B390" s="200" t="s">
        <v>481</v>
      </c>
      <c r="C390" s="199">
        <v>2.5175246227E10</v>
      </c>
      <c r="D390" s="201">
        <v>45826.0</v>
      </c>
      <c r="E390" s="202" t="s">
        <v>102</v>
      </c>
      <c r="F390" s="202" t="s">
        <v>102</v>
      </c>
      <c r="G390" s="203" t="s">
        <v>100</v>
      </c>
      <c r="H390" s="203" t="s">
        <v>100</v>
      </c>
      <c r="I390" s="37"/>
      <c r="J390" s="37"/>
      <c r="K390" s="37"/>
      <c r="L390" s="199">
        <v>13.0</v>
      </c>
      <c r="M390" s="199">
        <v>293.8</v>
      </c>
      <c r="N390" s="199"/>
      <c r="O390" s="199">
        <v>1.0</v>
      </c>
      <c r="P390" s="199">
        <v>0.05</v>
      </c>
      <c r="Q390" s="199">
        <v>0.0</v>
      </c>
      <c r="R390" s="199">
        <v>8.0</v>
      </c>
      <c r="S390" s="199">
        <v>2.0</v>
      </c>
      <c r="T390" s="199">
        <v>0.0</v>
      </c>
      <c r="U390" s="199">
        <v>24.0</v>
      </c>
      <c r="V390" s="199">
        <v>0.0</v>
      </c>
      <c r="W390" s="199">
        <v>0.0</v>
      </c>
      <c r="X390" s="199">
        <v>0.0</v>
      </c>
      <c r="Y390" s="199">
        <v>0.0</v>
      </c>
      <c r="Z390" s="199">
        <v>0.0</v>
      </c>
      <c r="AA390" s="199">
        <v>0.0</v>
      </c>
      <c r="AB390" s="199">
        <v>22.0</v>
      </c>
      <c r="AC390" s="199">
        <v>14.0</v>
      </c>
      <c r="AD390" s="199">
        <v>0.0</v>
      </c>
      <c r="AE390" s="199">
        <v>60.0</v>
      </c>
      <c r="AF390" s="199">
        <v>2.0</v>
      </c>
      <c r="AG390" s="199">
        <v>442.0</v>
      </c>
      <c r="AH390" s="199">
        <v>0.0</v>
      </c>
      <c r="AI390" s="200" t="s">
        <v>741</v>
      </c>
      <c r="AJ390" s="200" t="s">
        <v>780</v>
      </c>
      <c r="AK390" s="200"/>
      <c r="AL390" s="204"/>
      <c r="AM390" s="204"/>
    </row>
    <row r="391">
      <c r="A391" s="199" t="s">
        <v>248</v>
      </c>
      <c r="B391" s="200" t="s">
        <v>481</v>
      </c>
      <c r="C391" s="199">
        <v>2.6004401268E10</v>
      </c>
      <c r="D391" s="201">
        <v>46018.0</v>
      </c>
      <c r="E391" s="202" t="s">
        <v>100</v>
      </c>
      <c r="F391" s="202" t="s">
        <v>100</v>
      </c>
      <c r="G391" s="203" t="s">
        <v>100</v>
      </c>
      <c r="H391" s="203" t="s">
        <v>100</v>
      </c>
      <c r="I391" s="199">
        <v>31951.0</v>
      </c>
      <c r="J391" s="199">
        <v>17749.0</v>
      </c>
      <c r="K391" s="199">
        <v>5116.0</v>
      </c>
      <c r="L391" s="199">
        <v>22.0</v>
      </c>
      <c r="M391" s="199">
        <v>302.3</v>
      </c>
      <c r="N391" s="199"/>
      <c r="O391" s="199">
        <v>1.0</v>
      </c>
      <c r="P391" s="199">
        <v>0.04</v>
      </c>
      <c r="Q391" s="199">
        <v>0.0</v>
      </c>
      <c r="R391" s="199">
        <v>3.0</v>
      </c>
      <c r="S391" s="199">
        <v>0.0</v>
      </c>
      <c r="T391" s="199">
        <v>0.0</v>
      </c>
      <c r="U391" s="199">
        <v>27.0</v>
      </c>
      <c r="V391" s="199">
        <v>0.0</v>
      </c>
      <c r="W391" s="199">
        <v>0.0</v>
      </c>
      <c r="X391" s="199">
        <v>0.0</v>
      </c>
      <c r="Y391" s="199">
        <v>0.0</v>
      </c>
      <c r="Z391" s="199">
        <v>2.0</v>
      </c>
      <c r="AA391" s="199">
        <v>0.0</v>
      </c>
      <c r="AB391" s="199">
        <v>20.0</v>
      </c>
      <c r="AC391" s="199">
        <v>22.0</v>
      </c>
      <c r="AD391" s="199">
        <v>0.0</v>
      </c>
      <c r="AE391" s="199">
        <v>94.0</v>
      </c>
      <c r="AF391" s="199">
        <v>6.0</v>
      </c>
      <c r="AG391" s="199">
        <v>441.0</v>
      </c>
      <c r="AH391" s="199">
        <v>13.0</v>
      </c>
      <c r="AI391" s="200" t="s">
        <v>655</v>
      </c>
      <c r="AJ391" s="200" t="s">
        <v>656</v>
      </c>
      <c r="AK391" s="200"/>
      <c r="AL391" s="204"/>
      <c r="AM391" s="204"/>
    </row>
    <row r="392">
      <c r="A392" s="199" t="s">
        <v>841</v>
      </c>
      <c r="B392" s="200" t="s">
        <v>485</v>
      </c>
      <c r="C392" s="199">
        <v>2.5079203235E10</v>
      </c>
      <c r="D392" s="201">
        <v>45726.0</v>
      </c>
      <c r="E392" s="202" t="s">
        <v>101</v>
      </c>
      <c r="F392" s="202" t="s">
        <v>101</v>
      </c>
      <c r="G392" s="203" t="s">
        <v>101</v>
      </c>
      <c r="H392" s="203" t="s">
        <v>100</v>
      </c>
      <c r="I392" s="37"/>
      <c r="J392" s="37"/>
      <c r="K392" s="37"/>
      <c r="L392" s="199">
        <v>77.0</v>
      </c>
      <c r="M392" s="199">
        <v>452.8</v>
      </c>
      <c r="N392" s="199"/>
      <c r="O392" s="199">
        <v>1.0</v>
      </c>
      <c r="P392" s="199">
        <v>0.1</v>
      </c>
      <c r="Q392" s="199">
        <v>0.0</v>
      </c>
      <c r="R392" s="199">
        <v>26.0</v>
      </c>
      <c r="S392" s="199">
        <v>2.0</v>
      </c>
      <c r="T392" s="199">
        <v>9.0</v>
      </c>
      <c r="U392" s="199">
        <v>73.0</v>
      </c>
      <c r="V392" s="199">
        <v>0.0</v>
      </c>
      <c r="W392" s="199">
        <v>0.0</v>
      </c>
      <c r="X392" s="199">
        <v>0.0</v>
      </c>
      <c r="Y392" s="199">
        <v>0.0</v>
      </c>
      <c r="Z392" s="199">
        <v>2.0</v>
      </c>
      <c r="AA392" s="199">
        <v>0.0</v>
      </c>
      <c r="AB392" s="199">
        <v>35.0</v>
      </c>
      <c r="AC392" s="199">
        <v>61.0</v>
      </c>
      <c r="AD392" s="199">
        <v>0.0</v>
      </c>
      <c r="AE392" s="199">
        <v>136.0</v>
      </c>
      <c r="AF392" s="199">
        <v>5.0</v>
      </c>
      <c r="AG392" s="199">
        <v>391.0</v>
      </c>
      <c r="AH392" s="199">
        <v>16.0</v>
      </c>
      <c r="AI392" s="200" t="s">
        <v>787</v>
      </c>
      <c r="AJ392" s="200" t="s">
        <v>805</v>
      </c>
      <c r="AK392" s="200"/>
      <c r="AL392" s="204"/>
      <c r="AM392" s="204"/>
    </row>
    <row r="393">
      <c r="A393" s="199" t="s">
        <v>841</v>
      </c>
      <c r="B393" s="200" t="s">
        <v>485</v>
      </c>
      <c r="C393" s="199">
        <v>2.5112224251E10</v>
      </c>
      <c r="D393" s="201">
        <v>45756.0</v>
      </c>
      <c r="E393" s="202" t="s">
        <v>101</v>
      </c>
      <c r="F393" s="202" t="s">
        <v>101</v>
      </c>
      <c r="G393" s="203" t="s">
        <v>101</v>
      </c>
      <c r="H393" s="203" t="s">
        <v>100</v>
      </c>
      <c r="I393" s="37"/>
      <c r="J393" s="37"/>
      <c r="K393" s="37"/>
      <c r="L393" s="199">
        <v>83.0</v>
      </c>
      <c r="M393" s="199">
        <v>445.6</v>
      </c>
      <c r="N393" s="199"/>
      <c r="O393" s="199">
        <v>3.0</v>
      </c>
      <c r="P393" s="199">
        <v>0.02</v>
      </c>
      <c r="Q393" s="199">
        <v>0.0</v>
      </c>
      <c r="R393" s="199">
        <v>7.0</v>
      </c>
      <c r="S393" s="199">
        <v>0.0</v>
      </c>
      <c r="T393" s="199">
        <v>6.0</v>
      </c>
      <c r="U393" s="199">
        <v>72.0</v>
      </c>
      <c r="V393" s="199">
        <v>0.0</v>
      </c>
      <c r="W393" s="199">
        <v>0.0</v>
      </c>
      <c r="X393" s="199">
        <v>1.0</v>
      </c>
      <c r="Y393" s="199">
        <v>5.0</v>
      </c>
      <c r="Z393" s="199">
        <v>5.0</v>
      </c>
      <c r="AA393" s="199">
        <v>4.0</v>
      </c>
      <c r="AB393" s="199">
        <v>37.0</v>
      </c>
      <c r="AC393" s="199">
        <v>23.0</v>
      </c>
      <c r="AD393" s="199">
        <v>0.0</v>
      </c>
      <c r="AE393" s="199">
        <v>21.0</v>
      </c>
      <c r="AF393" s="199">
        <v>13.0</v>
      </c>
      <c r="AG393" s="199">
        <v>408.0</v>
      </c>
      <c r="AH393" s="199">
        <v>5.0</v>
      </c>
      <c r="AI393" s="200" t="s">
        <v>787</v>
      </c>
      <c r="AJ393" s="200" t="s">
        <v>842</v>
      </c>
      <c r="AK393" s="200"/>
      <c r="AL393" s="204"/>
      <c r="AM393" s="204"/>
    </row>
    <row r="394">
      <c r="A394" s="199" t="s">
        <v>841</v>
      </c>
      <c r="B394" s="200" t="s">
        <v>485</v>
      </c>
      <c r="C394" s="199">
        <v>2.5180296249E10</v>
      </c>
      <c r="D394" s="201">
        <v>45826.0</v>
      </c>
      <c r="E394" s="202" t="s">
        <v>101</v>
      </c>
      <c r="F394" s="202" t="s">
        <v>101</v>
      </c>
      <c r="G394" s="203" t="s">
        <v>101</v>
      </c>
      <c r="H394" s="203" t="s">
        <v>100</v>
      </c>
      <c r="I394" s="37"/>
      <c r="J394" s="37"/>
      <c r="K394" s="37"/>
      <c r="L394" s="199">
        <v>121.0</v>
      </c>
      <c r="M394" s="199">
        <v>412.5</v>
      </c>
      <c r="N394" s="199"/>
      <c r="O394" s="199">
        <v>3.0</v>
      </c>
      <c r="P394" s="199">
        <v>0.5</v>
      </c>
      <c r="Q394" s="199">
        <v>0.0</v>
      </c>
      <c r="R394" s="199">
        <v>3.0</v>
      </c>
      <c r="S394" s="199">
        <v>0.0</v>
      </c>
      <c r="T394" s="199">
        <v>58.0</v>
      </c>
      <c r="U394" s="199">
        <v>88.0</v>
      </c>
      <c r="V394" s="199">
        <v>3.0</v>
      </c>
      <c r="W394" s="199">
        <v>0.0</v>
      </c>
      <c r="X394" s="199">
        <v>11.0</v>
      </c>
      <c r="Y394" s="199">
        <v>0.0</v>
      </c>
      <c r="Z394" s="199">
        <v>2.0</v>
      </c>
      <c r="AA394" s="199">
        <v>2.0</v>
      </c>
      <c r="AB394" s="199">
        <v>19.0</v>
      </c>
      <c r="AC394" s="199">
        <v>10.0</v>
      </c>
      <c r="AD394" s="199">
        <v>0.0</v>
      </c>
      <c r="AE394" s="199">
        <v>190.0</v>
      </c>
      <c r="AF394" s="199">
        <v>6.0</v>
      </c>
      <c r="AG394" s="199">
        <v>328.0</v>
      </c>
      <c r="AH394" s="199">
        <v>13.0</v>
      </c>
      <c r="AI394" s="200" t="s">
        <v>837</v>
      </c>
      <c r="AJ394" s="200" t="s">
        <v>843</v>
      </c>
      <c r="AK394" s="200"/>
      <c r="AL394" s="204"/>
      <c r="AM394" s="204"/>
    </row>
    <row r="395">
      <c r="A395" s="199" t="s">
        <v>841</v>
      </c>
      <c r="B395" s="200" t="s">
        <v>485</v>
      </c>
      <c r="C395" s="199">
        <v>2.5330281213E10</v>
      </c>
      <c r="D395" s="201">
        <v>45977.0</v>
      </c>
      <c r="E395" s="202" t="s">
        <v>101</v>
      </c>
      <c r="F395" s="202" t="s">
        <v>101</v>
      </c>
      <c r="G395" s="203" t="s">
        <v>101</v>
      </c>
      <c r="H395" s="203" t="s">
        <v>100</v>
      </c>
      <c r="I395" s="37"/>
      <c r="J395" s="37"/>
      <c r="K395" s="37"/>
      <c r="L395" s="199">
        <v>77.0</v>
      </c>
      <c r="M395" s="199">
        <v>416.7</v>
      </c>
      <c r="N395" s="199"/>
      <c r="O395" s="199">
        <v>1.0</v>
      </c>
      <c r="P395" s="199">
        <v>0.15</v>
      </c>
      <c r="Q395" s="199">
        <v>0.0</v>
      </c>
      <c r="R395" s="199">
        <v>37.0</v>
      </c>
      <c r="S395" s="199">
        <v>0.0</v>
      </c>
      <c r="T395" s="199">
        <v>0.0</v>
      </c>
      <c r="U395" s="199">
        <v>135.0</v>
      </c>
      <c r="V395" s="199">
        <v>3.0</v>
      </c>
      <c r="W395" s="199">
        <v>0.0</v>
      </c>
      <c r="X395" s="199">
        <v>0.0</v>
      </c>
      <c r="Y395" s="199">
        <v>0.0</v>
      </c>
      <c r="Z395" s="199">
        <v>5.0</v>
      </c>
      <c r="AA395" s="199">
        <v>10.0</v>
      </c>
      <c r="AB395" s="199">
        <v>263.0</v>
      </c>
      <c r="AC395" s="199">
        <v>26.0</v>
      </c>
      <c r="AD395" s="199">
        <v>0.0</v>
      </c>
      <c r="AE395" s="199">
        <v>223.0</v>
      </c>
      <c r="AF395" s="199">
        <v>6.0</v>
      </c>
      <c r="AG395" s="199">
        <v>474.0</v>
      </c>
      <c r="AH395" s="199">
        <v>12.0</v>
      </c>
      <c r="AI395" s="200" t="s">
        <v>829</v>
      </c>
      <c r="AJ395" s="200" t="s">
        <v>844</v>
      </c>
      <c r="AK395" s="200"/>
      <c r="AL395" s="204"/>
      <c r="AM395" s="204"/>
    </row>
    <row r="396">
      <c r="A396" s="199" t="s">
        <v>841</v>
      </c>
      <c r="B396" s="200" t="s">
        <v>485</v>
      </c>
      <c r="C396" s="199">
        <v>2.600550121E10</v>
      </c>
      <c r="D396" s="201">
        <v>46018.0</v>
      </c>
      <c r="E396" s="202" t="s">
        <v>101</v>
      </c>
      <c r="F396" s="202" t="s">
        <v>101</v>
      </c>
      <c r="G396" s="203" t="s">
        <v>101</v>
      </c>
      <c r="H396" s="203" t="s">
        <v>100</v>
      </c>
      <c r="I396" s="37"/>
      <c r="J396" s="37"/>
      <c r="K396" s="37"/>
      <c r="L396" s="199">
        <v>60.0</v>
      </c>
      <c r="M396" s="199">
        <v>443.6</v>
      </c>
      <c r="N396" s="199"/>
      <c r="O396" s="199">
        <v>0.0</v>
      </c>
      <c r="P396" s="199">
        <v>0.2</v>
      </c>
      <c r="Q396" s="199">
        <v>0.0</v>
      </c>
      <c r="R396" s="199">
        <v>10.0</v>
      </c>
      <c r="S396" s="199">
        <v>0.0</v>
      </c>
      <c r="T396" s="199">
        <v>0.0</v>
      </c>
      <c r="U396" s="199">
        <v>94.0</v>
      </c>
      <c r="V396" s="199">
        <v>2.0</v>
      </c>
      <c r="W396" s="199">
        <v>0.0</v>
      </c>
      <c r="X396" s="199">
        <v>0.0</v>
      </c>
      <c r="Y396" s="199">
        <v>0.0</v>
      </c>
      <c r="Z396" s="199">
        <v>0.0</v>
      </c>
      <c r="AA396" s="199">
        <v>0.0</v>
      </c>
      <c r="AB396" s="199">
        <v>44.0</v>
      </c>
      <c r="AC396" s="199">
        <v>26.0</v>
      </c>
      <c r="AD396" s="199">
        <v>0.0</v>
      </c>
      <c r="AE396" s="199">
        <v>383.0</v>
      </c>
      <c r="AF396" s="199">
        <v>16.0</v>
      </c>
      <c r="AG396" s="199">
        <v>683.0</v>
      </c>
      <c r="AH396" s="199">
        <v>16.0</v>
      </c>
      <c r="AI396" s="200" t="s">
        <v>682</v>
      </c>
      <c r="AJ396" s="200" t="s">
        <v>845</v>
      </c>
      <c r="AK396" s="200"/>
      <c r="AL396" s="204"/>
      <c r="AM396" s="204"/>
    </row>
    <row r="397">
      <c r="A397" s="199" t="s">
        <v>253</v>
      </c>
      <c r="B397" s="200" t="s">
        <v>486</v>
      </c>
      <c r="C397" s="199">
        <v>2.3212317232E10</v>
      </c>
      <c r="D397" s="201">
        <v>45126.0</v>
      </c>
      <c r="E397" s="202" t="s">
        <v>100</v>
      </c>
      <c r="F397" s="202" t="s">
        <v>100</v>
      </c>
      <c r="G397" s="203" t="s">
        <v>100</v>
      </c>
      <c r="H397" s="203" t="s">
        <v>100</v>
      </c>
      <c r="I397" s="199">
        <v>47466.0</v>
      </c>
      <c r="J397" s="199">
        <v>14589.0</v>
      </c>
      <c r="K397" s="199">
        <v>2448.0</v>
      </c>
      <c r="L397" s="199">
        <v>5.0</v>
      </c>
      <c r="M397" s="199">
        <v>327.8</v>
      </c>
      <c r="N397" s="37"/>
      <c r="O397" s="37"/>
      <c r="P397" s="199">
        <v>0.01</v>
      </c>
      <c r="Q397" s="199">
        <v>0.0</v>
      </c>
      <c r="R397" s="199">
        <v>8.0</v>
      </c>
      <c r="S397" s="199">
        <v>7.0</v>
      </c>
      <c r="T397" s="199">
        <v>6.0</v>
      </c>
      <c r="U397" s="199">
        <v>14.0</v>
      </c>
      <c r="V397" s="199">
        <v>2.0</v>
      </c>
      <c r="W397" s="199">
        <v>0.0</v>
      </c>
      <c r="X397" s="199">
        <v>9.0</v>
      </c>
      <c r="Y397" s="199">
        <v>0.0</v>
      </c>
      <c r="Z397" s="199">
        <v>0.0</v>
      </c>
      <c r="AA397" s="199">
        <v>0.0</v>
      </c>
      <c r="AB397" s="199">
        <v>24.0</v>
      </c>
      <c r="AC397" s="199">
        <v>1.0</v>
      </c>
      <c r="AD397" s="199">
        <v>4.0</v>
      </c>
      <c r="AE397" s="199">
        <v>45.0</v>
      </c>
      <c r="AF397" s="199">
        <v>2.0</v>
      </c>
      <c r="AG397" s="199">
        <v>526.0</v>
      </c>
      <c r="AH397" s="199">
        <v>15.0</v>
      </c>
      <c r="AI397" s="200" t="s">
        <v>655</v>
      </c>
      <c r="AJ397" s="200" t="s">
        <v>656</v>
      </c>
      <c r="AK397" s="200"/>
      <c r="AL397" s="204"/>
      <c r="AM397" s="204"/>
    </row>
    <row r="398">
      <c r="A398" s="199" t="s">
        <v>253</v>
      </c>
      <c r="B398" s="200" t="s">
        <v>486</v>
      </c>
      <c r="C398" s="199">
        <v>2.5180296248E10</v>
      </c>
      <c r="D398" s="201">
        <v>45826.0</v>
      </c>
      <c r="E398" s="202" t="s">
        <v>101</v>
      </c>
      <c r="F398" s="202" t="s">
        <v>101</v>
      </c>
      <c r="G398" s="203" t="s">
        <v>100</v>
      </c>
      <c r="H398" s="203" t="s">
        <v>102</v>
      </c>
      <c r="I398" s="37"/>
      <c r="J398" s="37"/>
      <c r="K398" s="37"/>
      <c r="L398" s="199">
        <v>12.0</v>
      </c>
      <c r="M398" s="199">
        <v>289.5</v>
      </c>
      <c r="N398" s="37"/>
      <c r="O398" s="37"/>
      <c r="P398" s="199">
        <v>0.1</v>
      </c>
      <c r="Q398" s="199">
        <v>0.0</v>
      </c>
      <c r="R398" s="199">
        <v>1.0</v>
      </c>
      <c r="S398" s="199">
        <v>0.0</v>
      </c>
      <c r="T398" s="199">
        <v>0.0</v>
      </c>
      <c r="U398" s="199">
        <v>26.0</v>
      </c>
      <c r="V398" s="199">
        <v>0.0</v>
      </c>
      <c r="W398" s="199">
        <v>0.0</v>
      </c>
      <c r="X398" s="199">
        <v>3.0</v>
      </c>
      <c r="Y398" s="199">
        <v>0.0</v>
      </c>
      <c r="Z398" s="199">
        <v>0.0</v>
      </c>
      <c r="AA398" s="199">
        <v>0.0</v>
      </c>
      <c r="AB398" s="199">
        <v>37.0</v>
      </c>
      <c r="AC398" s="199">
        <v>14.0</v>
      </c>
      <c r="AD398" s="199">
        <v>0.0</v>
      </c>
      <c r="AE398" s="199">
        <v>13.0</v>
      </c>
      <c r="AF398" s="199">
        <v>2.0</v>
      </c>
      <c r="AG398" s="199">
        <v>475.0</v>
      </c>
      <c r="AH398" s="199">
        <v>284.0</v>
      </c>
      <c r="AI398" s="200" t="s">
        <v>776</v>
      </c>
      <c r="AJ398" s="200" t="s">
        <v>786</v>
      </c>
      <c r="AK398" s="200"/>
      <c r="AL398" s="204"/>
      <c r="AM398" s="204"/>
    </row>
    <row r="399">
      <c r="A399" s="199" t="s">
        <v>846</v>
      </c>
      <c r="B399" s="200" t="s">
        <v>800</v>
      </c>
      <c r="C399" s="199">
        <v>2.5258159235E10</v>
      </c>
      <c r="D399" s="201">
        <v>45909.0</v>
      </c>
      <c r="E399" s="202" t="s">
        <v>101</v>
      </c>
      <c r="F399" s="202" t="s">
        <v>102</v>
      </c>
      <c r="G399" s="203" t="s">
        <v>101</v>
      </c>
      <c r="H399" s="203" t="s">
        <v>100</v>
      </c>
      <c r="I399" s="37"/>
      <c r="J399" s="37"/>
      <c r="K399" s="37"/>
      <c r="L399" s="199">
        <v>48.0</v>
      </c>
      <c r="M399" s="199">
        <v>45.9</v>
      </c>
      <c r="N399" s="199"/>
      <c r="O399" s="199">
        <v>3.0</v>
      </c>
      <c r="P399" s="199">
        <v>0.11</v>
      </c>
      <c r="Q399" s="199">
        <v>0.0</v>
      </c>
      <c r="R399" s="199">
        <v>13.0</v>
      </c>
      <c r="S399" s="199">
        <v>1.0</v>
      </c>
      <c r="T399" s="199">
        <v>33.0</v>
      </c>
      <c r="U399" s="199">
        <v>100.0</v>
      </c>
      <c r="V399" s="199">
        <v>2.0</v>
      </c>
      <c r="W399" s="199">
        <v>0.0</v>
      </c>
      <c r="X399" s="199">
        <v>3.0</v>
      </c>
      <c r="Y399" s="199">
        <v>0.0</v>
      </c>
      <c r="Z399" s="199">
        <v>2.0</v>
      </c>
      <c r="AA399" s="199">
        <v>0.0</v>
      </c>
      <c r="AB399" s="199">
        <v>4.0</v>
      </c>
      <c r="AC399" s="199">
        <v>10.0</v>
      </c>
      <c r="AD399" s="199">
        <v>0.0</v>
      </c>
      <c r="AE399" s="199">
        <v>56.0</v>
      </c>
      <c r="AF399" s="199">
        <v>6.0</v>
      </c>
      <c r="AG399" s="199">
        <v>257.0</v>
      </c>
      <c r="AH399" s="199">
        <v>0.0</v>
      </c>
      <c r="AI399" s="200" t="s">
        <v>787</v>
      </c>
      <c r="AJ399" s="200" t="s">
        <v>791</v>
      </c>
      <c r="AK399" s="200"/>
      <c r="AL399" s="204"/>
      <c r="AM399" s="204"/>
    </row>
    <row r="400">
      <c r="A400" s="199" t="s">
        <v>253</v>
      </c>
      <c r="B400" s="200" t="s">
        <v>486</v>
      </c>
      <c r="C400" s="199">
        <v>2.5294210238E10</v>
      </c>
      <c r="D400" s="201">
        <v>45946.0</v>
      </c>
      <c r="E400" s="202" t="s">
        <v>101</v>
      </c>
      <c r="F400" s="202" t="s">
        <v>101</v>
      </c>
      <c r="G400" s="203" t="s">
        <v>100</v>
      </c>
      <c r="H400" s="203" t="s">
        <v>101</v>
      </c>
      <c r="I400" s="37"/>
      <c r="J400" s="37"/>
      <c r="K400" s="37"/>
      <c r="L400" s="199">
        <v>12.0</v>
      </c>
      <c r="M400" s="199">
        <v>227.1</v>
      </c>
      <c r="N400" s="37"/>
      <c r="O400" s="37"/>
      <c r="P400" s="199">
        <v>0.04</v>
      </c>
      <c r="Q400" s="199">
        <v>0.0</v>
      </c>
      <c r="R400" s="199">
        <v>5.0</v>
      </c>
      <c r="S400" s="199">
        <v>0.0</v>
      </c>
      <c r="T400" s="199">
        <v>2.0</v>
      </c>
      <c r="U400" s="199">
        <v>16.0</v>
      </c>
      <c r="V400" s="199">
        <v>0.0</v>
      </c>
      <c r="W400" s="199">
        <v>0.0</v>
      </c>
      <c r="X400" s="199">
        <v>0.0</v>
      </c>
      <c r="Y400" s="199">
        <v>0.0</v>
      </c>
      <c r="Z400" s="199">
        <v>2.0</v>
      </c>
      <c r="AA400" s="199">
        <v>0.0</v>
      </c>
      <c r="AB400" s="199">
        <v>51.0</v>
      </c>
      <c r="AC400" s="199">
        <v>0.0</v>
      </c>
      <c r="AD400" s="199">
        <v>0.0</v>
      </c>
      <c r="AE400" s="199">
        <v>28.0</v>
      </c>
      <c r="AF400" s="199">
        <v>2.0</v>
      </c>
      <c r="AG400" s="199">
        <v>472.0</v>
      </c>
      <c r="AH400" s="199">
        <v>39.0</v>
      </c>
      <c r="AI400" s="200" t="s">
        <v>785</v>
      </c>
      <c r="AJ400" s="200" t="s">
        <v>786</v>
      </c>
      <c r="AK400" s="200"/>
      <c r="AL400" s="204"/>
      <c r="AM400" s="204"/>
    </row>
    <row r="401">
      <c r="A401" s="199" t="s">
        <v>253</v>
      </c>
      <c r="B401" s="200" t="s">
        <v>486</v>
      </c>
      <c r="C401" s="199">
        <v>2.6004401259E10</v>
      </c>
      <c r="D401" s="201">
        <v>46018.0</v>
      </c>
      <c r="E401" s="202" t="s">
        <v>101</v>
      </c>
      <c r="F401" s="202" t="s">
        <v>102</v>
      </c>
      <c r="G401" s="203" t="s">
        <v>100</v>
      </c>
      <c r="H401" s="203" t="s">
        <v>101</v>
      </c>
      <c r="I401" s="37"/>
      <c r="J401" s="37"/>
      <c r="K401" s="37"/>
      <c r="L401" s="199">
        <v>25.0</v>
      </c>
      <c r="M401" s="199">
        <v>232.5</v>
      </c>
      <c r="N401" s="37"/>
      <c r="O401" s="37"/>
      <c r="P401" s="199">
        <v>0.01</v>
      </c>
      <c r="Q401" s="199">
        <v>0.0</v>
      </c>
      <c r="R401" s="199">
        <v>2.0</v>
      </c>
      <c r="S401" s="199">
        <v>0.0</v>
      </c>
      <c r="T401" s="199">
        <v>0.0</v>
      </c>
      <c r="U401" s="199">
        <v>16.0</v>
      </c>
      <c r="V401" s="199">
        <v>0.0</v>
      </c>
      <c r="W401" s="199">
        <v>0.0</v>
      </c>
      <c r="X401" s="199">
        <v>0.0</v>
      </c>
      <c r="Y401" s="199">
        <v>0.0</v>
      </c>
      <c r="Z401" s="199">
        <v>0.0</v>
      </c>
      <c r="AA401" s="199">
        <v>0.0</v>
      </c>
      <c r="AB401" s="199">
        <v>38.0</v>
      </c>
      <c r="AC401" s="199">
        <v>18.0</v>
      </c>
      <c r="AD401" s="199">
        <v>0.0</v>
      </c>
      <c r="AE401" s="199">
        <v>36.0</v>
      </c>
      <c r="AF401" s="199">
        <v>2.0</v>
      </c>
      <c r="AG401" s="199">
        <v>323.0</v>
      </c>
      <c r="AH401" s="199">
        <v>32.0</v>
      </c>
      <c r="AI401" s="200" t="s">
        <v>776</v>
      </c>
      <c r="AJ401" s="200" t="s">
        <v>786</v>
      </c>
      <c r="AK401" s="200"/>
      <c r="AL401" s="204"/>
      <c r="AM401" s="204"/>
    </row>
    <row r="402">
      <c r="A402" s="199" t="s">
        <v>254</v>
      </c>
      <c r="B402" s="200" t="s">
        <v>487</v>
      </c>
      <c r="C402" s="199">
        <v>2.3161106238E10</v>
      </c>
      <c r="D402" s="201">
        <v>45076.0</v>
      </c>
      <c r="E402" s="202" t="s">
        <v>102</v>
      </c>
      <c r="F402" s="202" t="s">
        <v>102</v>
      </c>
      <c r="G402" s="203" t="s">
        <v>100</v>
      </c>
      <c r="H402" s="203" t="s">
        <v>100</v>
      </c>
      <c r="I402" s="199">
        <v>20691.0</v>
      </c>
      <c r="J402" s="199">
        <v>3500.0</v>
      </c>
      <c r="K402" s="199">
        <v>406.0</v>
      </c>
      <c r="L402" s="199">
        <v>13.0</v>
      </c>
      <c r="M402" s="199">
        <v>289.9</v>
      </c>
      <c r="N402" s="37"/>
      <c r="O402" s="37"/>
      <c r="P402" s="199">
        <v>0.05</v>
      </c>
      <c r="Q402" s="199">
        <v>0.0</v>
      </c>
      <c r="R402" s="199">
        <v>0.0</v>
      </c>
      <c r="S402" s="199">
        <v>0.0</v>
      </c>
      <c r="T402" s="199">
        <v>0.0</v>
      </c>
      <c r="U402" s="199">
        <v>9.0</v>
      </c>
      <c r="V402" s="199">
        <v>2.0</v>
      </c>
      <c r="W402" s="199">
        <v>0.0</v>
      </c>
      <c r="X402" s="199">
        <v>2.0</v>
      </c>
      <c r="Y402" s="199">
        <v>0.0</v>
      </c>
      <c r="Z402" s="199">
        <v>0.0</v>
      </c>
      <c r="AA402" s="199">
        <v>1.0</v>
      </c>
      <c r="AB402" s="199">
        <v>16.0</v>
      </c>
      <c r="AC402" s="199">
        <v>20.0</v>
      </c>
      <c r="AD402" s="199">
        <v>0.0</v>
      </c>
      <c r="AE402" s="199">
        <v>4.0</v>
      </c>
      <c r="AF402" s="199">
        <v>0.0</v>
      </c>
      <c r="AG402" s="199">
        <v>353.0</v>
      </c>
      <c r="AH402" s="199">
        <v>5.0</v>
      </c>
      <c r="AI402" s="200" t="s">
        <v>653</v>
      </c>
      <c r="AJ402" s="200" t="s">
        <v>654</v>
      </c>
      <c r="AK402" s="200"/>
      <c r="AL402" s="204"/>
      <c r="AM402" s="204"/>
    </row>
    <row r="403">
      <c r="A403" s="199" t="s">
        <v>254</v>
      </c>
      <c r="B403" s="200" t="s">
        <v>487</v>
      </c>
      <c r="C403" s="199">
        <v>2.4021210208E10</v>
      </c>
      <c r="D403" s="201">
        <v>45309.0</v>
      </c>
      <c r="E403" s="202" t="s">
        <v>102</v>
      </c>
      <c r="F403" s="202" t="s">
        <v>102</v>
      </c>
      <c r="G403" s="203" t="s">
        <v>100</v>
      </c>
      <c r="H403" s="203" t="s">
        <v>100</v>
      </c>
      <c r="I403" s="37"/>
      <c r="J403" s="37"/>
      <c r="K403" s="37"/>
      <c r="L403" s="199">
        <v>5.0</v>
      </c>
      <c r="M403" s="199">
        <v>298.9</v>
      </c>
      <c r="N403" s="37"/>
      <c r="O403" s="37"/>
      <c r="P403" s="199">
        <v>0.01</v>
      </c>
      <c r="Q403" s="199">
        <v>0.0</v>
      </c>
      <c r="R403" s="199">
        <v>0.0</v>
      </c>
      <c r="S403" s="199">
        <v>0.0</v>
      </c>
      <c r="T403" s="199">
        <v>0.0</v>
      </c>
      <c r="U403" s="199">
        <v>4.0</v>
      </c>
      <c r="V403" s="199">
        <v>0.0</v>
      </c>
      <c r="W403" s="199">
        <v>0.0</v>
      </c>
      <c r="X403" s="199">
        <v>0.0</v>
      </c>
      <c r="Y403" s="199">
        <v>0.0</v>
      </c>
      <c r="Z403" s="199">
        <v>0.0</v>
      </c>
      <c r="AA403" s="199">
        <v>0.0</v>
      </c>
      <c r="AB403" s="199">
        <v>9.0</v>
      </c>
      <c r="AC403" s="199">
        <v>1.0</v>
      </c>
      <c r="AD403" s="199">
        <v>0.0</v>
      </c>
      <c r="AE403" s="199">
        <v>0.0</v>
      </c>
      <c r="AF403" s="199">
        <v>0.0</v>
      </c>
      <c r="AG403" s="199">
        <v>410.0</v>
      </c>
      <c r="AH403" s="199">
        <v>15.0</v>
      </c>
      <c r="AI403" s="200" t="s">
        <v>653</v>
      </c>
      <c r="AJ403" s="200" t="s">
        <v>654</v>
      </c>
      <c r="AK403" s="200"/>
      <c r="AL403" s="204"/>
      <c r="AM403" s="204"/>
    </row>
    <row r="404">
      <c r="A404" s="199" t="s">
        <v>254</v>
      </c>
      <c r="B404" s="200" t="s">
        <v>487</v>
      </c>
      <c r="C404" s="199">
        <v>2.5049182248E10</v>
      </c>
      <c r="D404" s="201">
        <v>45701.0</v>
      </c>
      <c r="E404" s="202" t="s">
        <v>101</v>
      </c>
      <c r="F404" s="202" t="s">
        <v>101</v>
      </c>
      <c r="G404" s="203" t="s">
        <v>100</v>
      </c>
      <c r="H404" s="203" t="s">
        <v>100</v>
      </c>
      <c r="I404" s="37"/>
      <c r="J404" s="37"/>
      <c r="K404" s="37"/>
      <c r="L404" s="199">
        <v>12.0</v>
      </c>
      <c r="M404" s="199">
        <v>266.0</v>
      </c>
      <c r="N404" s="37"/>
      <c r="O404" s="37"/>
      <c r="P404" s="199">
        <v>0.1</v>
      </c>
      <c r="Q404" s="199">
        <v>0.0</v>
      </c>
      <c r="R404" s="199">
        <v>4.0</v>
      </c>
      <c r="S404" s="199">
        <v>1.0</v>
      </c>
      <c r="T404" s="199">
        <v>3.0</v>
      </c>
      <c r="U404" s="199">
        <v>6.0</v>
      </c>
      <c r="V404" s="199">
        <v>0.0</v>
      </c>
      <c r="W404" s="199">
        <v>0.0</v>
      </c>
      <c r="X404" s="199">
        <v>2.0</v>
      </c>
      <c r="Y404" s="199">
        <v>0.0</v>
      </c>
      <c r="Z404" s="199">
        <v>0.0</v>
      </c>
      <c r="AA404" s="199">
        <v>0.0</v>
      </c>
      <c r="AB404" s="199">
        <v>18.0</v>
      </c>
      <c r="AC404" s="199">
        <v>8.0</v>
      </c>
      <c r="AD404" s="199">
        <v>0.0</v>
      </c>
      <c r="AE404" s="199">
        <v>19.0</v>
      </c>
      <c r="AF404" s="199">
        <v>0.0</v>
      </c>
      <c r="AG404" s="199">
        <v>674.0</v>
      </c>
      <c r="AH404" s="199">
        <v>36.0</v>
      </c>
      <c r="AI404" s="200" t="s">
        <v>776</v>
      </c>
      <c r="AJ404" s="200" t="s">
        <v>777</v>
      </c>
      <c r="AK404" s="200"/>
      <c r="AL404" s="204"/>
      <c r="AM404" s="204"/>
    </row>
    <row r="405">
      <c r="A405" s="199" t="s">
        <v>254</v>
      </c>
      <c r="B405" s="200" t="s">
        <v>487</v>
      </c>
      <c r="C405" s="199">
        <v>2.5180296229E10</v>
      </c>
      <c r="D405" s="201">
        <v>45826.0</v>
      </c>
      <c r="E405" s="202" t="s">
        <v>102</v>
      </c>
      <c r="F405" s="202" t="s">
        <v>102</v>
      </c>
      <c r="G405" s="203" t="s">
        <v>100</v>
      </c>
      <c r="H405" s="203" t="s">
        <v>102</v>
      </c>
      <c r="I405" s="37"/>
      <c r="J405" s="37"/>
      <c r="K405" s="37"/>
      <c r="L405" s="199">
        <v>15.0</v>
      </c>
      <c r="M405" s="199">
        <v>287.3</v>
      </c>
      <c r="N405" s="37"/>
      <c r="O405" s="37"/>
      <c r="P405" s="199">
        <v>0.05</v>
      </c>
      <c r="Q405" s="199">
        <v>0.0</v>
      </c>
      <c r="R405" s="199">
        <v>0.0</v>
      </c>
      <c r="S405" s="199">
        <v>0.0</v>
      </c>
      <c r="T405" s="199">
        <v>0.0</v>
      </c>
      <c r="U405" s="199">
        <v>9.0</v>
      </c>
      <c r="V405" s="199">
        <v>2.0</v>
      </c>
      <c r="W405" s="199">
        <v>0.0</v>
      </c>
      <c r="X405" s="199">
        <v>1.0</v>
      </c>
      <c r="Y405" s="199">
        <v>0.0</v>
      </c>
      <c r="Z405" s="199">
        <v>0.0</v>
      </c>
      <c r="AA405" s="199">
        <v>0.0</v>
      </c>
      <c r="AB405" s="199">
        <v>3.0</v>
      </c>
      <c r="AC405" s="199">
        <v>36.0</v>
      </c>
      <c r="AD405" s="199">
        <v>0.0</v>
      </c>
      <c r="AE405" s="199">
        <v>83.0</v>
      </c>
      <c r="AF405" s="199">
        <v>10.0</v>
      </c>
      <c r="AG405" s="199">
        <v>425.0</v>
      </c>
      <c r="AH405" s="199">
        <v>69.0</v>
      </c>
      <c r="AI405" s="200" t="s">
        <v>653</v>
      </c>
      <c r="AJ405" s="200" t="s">
        <v>789</v>
      </c>
      <c r="AK405" s="200"/>
      <c r="AL405" s="204"/>
      <c r="AM405" s="204"/>
    </row>
    <row r="406">
      <c r="A406" s="199" t="s">
        <v>254</v>
      </c>
      <c r="B406" s="200" t="s">
        <v>487</v>
      </c>
      <c r="C406" s="199">
        <v>2.6005501216E10</v>
      </c>
      <c r="D406" s="201">
        <v>46007.0</v>
      </c>
      <c r="E406" s="202" t="s">
        <v>101</v>
      </c>
      <c r="F406" s="202" t="s">
        <v>101</v>
      </c>
      <c r="G406" s="203" t="s">
        <v>100</v>
      </c>
      <c r="H406" s="203" t="s">
        <v>102</v>
      </c>
      <c r="I406" s="37"/>
      <c r="J406" s="37"/>
      <c r="K406" s="37"/>
      <c r="L406" s="199">
        <v>21.0</v>
      </c>
      <c r="M406" s="199">
        <v>262.0</v>
      </c>
      <c r="N406" s="37"/>
      <c r="O406" s="37"/>
      <c r="P406" s="199">
        <v>0.11</v>
      </c>
      <c r="Q406" s="199">
        <v>0.0</v>
      </c>
      <c r="R406" s="199">
        <v>0.0</v>
      </c>
      <c r="S406" s="199">
        <v>0.0</v>
      </c>
      <c r="T406" s="199">
        <v>1.0</v>
      </c>
      <c r="U406" s="199">
        <v>6.0</v>
      </c>
      <c r="V406" s="199">
        <v>0.0</v>
      </c>
      <c r="W406" s="199">
        <v>0.0</v>
      </c>
      <c r="X406" s="199">
        <v>0.0</v>
      </c>
      <c r="Y406" s="199">
        <v>0.0</v>
      </c>
      <c r="Z406" s="199">
        <v>0.0</v>
      </c>
      <c r="AA406" s="199">
        <v>0.0</v>
      </c>
      <c r="AB406" s="199">
        <v>13.0</v>
      </c>
      <c r="AC406" s="199">
        <v>0.0</v>
      </c>
      <c r="AD406" s="199">
        <v>0.0</v>
      </c>
      <c r="AE406" s="199">
        <v>16.0</v>
      </c>
      <c r="AF406" s="199">
        <v>0.0</v>
      </c>
      <c r="AG406" s="199">
        <v>752.0</v>
      </c>
      <c r="AH406" s="199">
        <v>66.0</v>
      </c>
      <c r="AI406" s="200" t="s">
        <v>684</v>
      </c>
      <c r="AJ406" s="200" t="s">
        <v>773</v>
      </c>
      <c r="AK406" s="200"/>
      <c r="AL406" s="204"/>
      <c r="AM406" s="204"/>
    </row>
    <row r="407">
      <c r="A407" s="199" t="s">
        <v>255</v>
      </c>
      <c r="B407" s="200" t="s">
        <v>488</v>
      </c>
      <c r="C407" s="199">
        <v>2.504918226E10</v>
      </c>
      <c r="D407" s="201">
        <v>45701.0</v>
      </c>
      <c r="E407" s="202" t="s">
        <v>102</v>
      </c>
      <c r="F407" s="202" t="s">
        <v>102</v>
      </c>
      <c r="G407" s="203" t="s">
        <v>100</v>
      </c>
      <c r="H407" s="203" t="s">
        <v>100</v>
      </c>
      <c r="I407" s="37"/>
      <c r="J407" s="37"/>
      <c r="K407" s="37"/>
      <c r="L407" s="199">
        <v>16.0</v>
      </c>
      <c r="M407" s="199">
        <v>293.3</v>
      </c>
      <c r="N407" s="37"/>
      <c r="O407" s="37"/>
      <c r="P407" s="199">
        <v>0.02</v>
      </c>
      <c r="Q407" s="199">
        <v>0.0</v>
      </c>
      <c r="R407" s="199">
        <v>5.0</v>
      </c>
      <c r="S407" s="199">
        <v>1.0</v>
      </c>
      <c r="T407" s="199">
        <v>3.0</v>
      </c>
      <c r="U407" s="199">
        <v>17.0</v>
      </c>
      <c r="V407" s="199">
        <v>2.0</v>
      </c>
      <c r="W407" s="199">
        <v>0.0</v>
      </c>
      <c r="X407" s="199">
        <v>2.0</v>
      </c>
      <c r="Y407" s="199">
        <v>0.0</v>
      </c>
      <c r="Z407" s="199">
        <v>0.0</v>
      </c>
      <c r="AA407" s="199">
        <v>2.0</v>
      </c>
      <c r="AB407" s="199">
        <v>6.0</v>
      </c>
      <c r="AC407" s="199">
        <v>40.0</v>
      </c>
      <c r="AD407" s="199">
        <v>0.0</v>
      </c>
      <c r="AE407" s="199">
        <v>45.0</v>
      </c>
      <c r="AF407" s="199">
        <v>5.0</v>
      </c>
      <c r="AG407" s="199">
        <v>820.0</v>
      </c>
      <c r="AH407" s="199">
        <v>28.0</v>
      </c>
      <c r="AI407" s="200" t="s">
        <v>653</v>
      </c>
      <c r="AJ407" s="200" t="s">
        <v>654</v>
      </c>
      <c r="AK407" s="200"/>
      <c r="AL407" s="204"/>
      <c r="AM407" s="204"/>
    </row>
    <row r="408">
      <c r="A408" s="199" t="s">
        <v>255</v>
      </c>
      <c r="B408" s="200" t="s">
        <v>488</v>
      </c>
      <c r="C408" s="199">
        <v>2.5180296237E10</v>
      </c>
      <c r="D408" s="201">
        <v>45826.0</v>
      </c>
      <c r="E408" s="202" t="s">
        <v>101</v>
      </c>
      <c r="F408" s="202" t="s">
        <v>101</v>
      </c>
      <c r="G408" s="203" t="s">
        <v>100</v>
      </c>
      <c r="H408" s="203" t="s">
        <v>100</v>
      </c>
      <c r="I408" s="37"/>
      <c r="J408" s="37"/>
      <c r="K408" s="37"/>
      <c r="L408" s="199">
        <v>10.0</v>
      </c>
      <c r="M408" s="199">
        <v>309.3</v>
      </c>
      <c r="N408" s="37"/>
      <c r="O408" s="37"/>
      <c r="P408" s="199">
        <v>0.5</v>
      </c>
      <c r="Q408" s="199">
        <v>0.0</v>
      </c>
      <c r="R408" s="199">
        <v>2.0</v>
      </c>
      <c r="S408" s="199">
        <v>0.0</v>
      </c>
      <c r="T408" s="199">
        <v>0.0</v>
      </c>
      <c r="U408" s="199">
        <v>11.0</v>
      </c>
      <c r="V408" s="199">
        <v>0.0</v>
      </c>
      <c r="W408" s="199">
        <v>0.0</v>
      </c>
      <c r="X408" s="199">
        <v>1.0</v>
      </c>
      <c r="Y408" s="199">
        <v>0.0</v>
      </c>
      <c r="Z408" s="199">
        <v>0.0</v>
      </c>
      <c r="AA408" s="199">
        <v>0.0</v>
      </c>
      <c r="AB408" s="199">
        <v>6.0</v>
      </c>
      <c r="AC408" s="199">
        <v>5.0</v>
      </c>
      <c r="AD408" s="199">
        <v>0.0</v>
      </c>
      <c r="AE408" s="199">
        <v>52.0</v>
      </c>
      <c r="AF408" s="199">
        <v>3.0</v>
      </c>
      <c r="AG408" s="199">
        <v>323.0</v>
      </c>
      <c r="AH408" s="199">
        <v>9.0</v>
      </c>
      <c r="AI408" s="200" t="s">
        <v>684</v>
      </c>
      <c r="AJ408" s="200" t="s">
        <v>793</v>
      </c>
      <c r="AK408" s="200"/>
      <c r="AL408" s="204"/>
      <c r="AM408" s="204"/>
    </row>
    <row r="409">
      <c r="A409" s="199" t="s">
        <v>255</v>
      </c>
      <c r="B409" s="200" t="s">
        <v>488</v>
      </c>
      <c r="C409" s="199">
        <v>2.5258159237E10</v>
      </c>
      <c r="D409" s="201">
        <v>45909.0</v>
      </c>
      <c r="E409" s="202" t="s">
        <v>101</v>
      </c>
      <c r="F409" s="202" t="s">
        <v>101</v>
      </c>
      <c r="G409" s="203" t="s">
        <v>100</v>
      </c>
      <c r="H409" s="203" t="s">
        <v>102</v>
      </c>
      <c r="I409" s="37"/>
      <c r="J409" s="37"/>
      <c r="K409" s="37"/>
      <c r="L409" s="199">
        <v>13.0</v>
      </c>
      <c r="M409" s="199">
        <v>254.1</v>
      </c>
      <c r="N409" s="37"/>
      <c r="O409" s="37"/>
      <c r="P409" s="199">
        <v>0.1</v>
      </c>
      <c r="Q409" s="199">
        <v>0.0</v>
      </c>
      <c r="R409" s="199">
        <v>11.0</v>
      </c>
      <c r="S409" s="199">
        <v>1.0</v>
      </c>
      <c r="T409" s="199">
        <v>4.0</v>
      </c>
      <c r="U409" s="199">
        <v>10.0</v>
      </c>
      <c r="V409" s="199">
        <v>0.0</v>
      </c>
      <c r="W409" s="199">
        <v>0.0</v>
      </c>
      <c r="X409" s="199">
        <v>2.0</v>
      </c>
      <c r="Y409" s="199">
        <v>0.0</v>
      </c>
      <c r="Z409" s="199">
        <v>2.0</v>
      </c>
      <c r="AA409" s="199">
        <v>0.0</v>
      </c>
      <c r="AB409" s="199">
        <v>1.0</v>
      </c>
      <c r="AC409" s="199">
        <v>23.0</v>
      </c>
      <c r="AD409" s="199">
        <v>0.0</v>
      </c>
      <c r="AE409" s="199">
        <v>36.0</v>
      </c>
      <c r="AF409" s="199">
        <v>2.0</v>
      </c>
      <c r="AG409" s="199">
        <v>289.0</v>
      </c>
      <c r="AH409" s="199">
        <v>0.0</v>
      </c>
      <c r="AI409" s="200" t="s">
        <v>776</v>
      </c>
      <c r="AJ409" s="200" t="s">
        <v>777</v>
      </c>
      <c r="AK409" s="200"/>
      <c r="AL409" s="204"/>
      <c r="AM409" s="204"/>
    </row>
    <row r="410">
      <c r="A410" s="199" t="s">
        <v>255</v>
      </c>
      <c r="B410" s="200" t="s">
        <v>488</v>
      </c>
      <c r="C410" s="199">
        <v>2.5294210239E10</v>
      </c>
      <c r="D410" s="201">
        <v>45946.0</v>
      </c>
      <c r="E410" s="202" t="s">
        <v>101</v>
      </c>
      <c r="F410" s="202" t="s">
        <v>101</v>
      </c>
      <c r="G410" s="203" t="s">
        <v>100</v>
      </c>
      <c r="H410" s="203" t="s">
        <v>102</v>
      </c>
      <c r="I410" s="37"/>
      <c r="J410" s="37"/>
      <c r="K410" s="37"/>
      <c r="L410" s="199">
        <v>14.0</v>
      </c>
      <c r="M410" s="199">
        <v>260.2</v>
      </c>
      <c r="N410" s="37"/>
      <c r="O410" s="37"/>
      <c r="P410" s="199">
        <v>0.2</v>
      </c>
      <c r="Q410" s="199">
        <v>0.0</v>
      </c>
      <c r="R410" s="199">
        <v>5.0</v>
      </c>
      <c r="S410" s="199">
        <v>0.0</v>
      </c>
      <c r="T410" s="199">
        <v>2.0</v>
      </c>
      <c r="U410" s="199">
        <v>5.0</v>
      </c>
      <c r="V410" s="199">
        <v>0.0</v>
      </c>
      <c r="W410" s="199">
        <v>0.0</v>
      </c>
      <c r="X410" s="199">
        <v>0.0</v>
      </c>
      <c r="Y410" s="199">
        <v>0.0</v>
      </c>
      <c r="Z410" s="199">
        <v>0.0</v>
      </c>
      <c r="AA410" s="199">
        <v>0.0</v>
      </c>
      <c r="AB410" s="199">
        <v>38.0</v>
      </c>
      <c r="AC410" s="199">
        <v>0.0</v>
      </c>
      <c r="AD410" s="199">
        <v>0.0</v>
      </c>
      <c r="AE410" s="199">
        <v>19.0</v>
      </c>
      <c r="AF410" s="199">
        <v>0.0</v>
      </c>
      <c r="AG410" s="199">
        <v>422.0</v>
      </c>
      <c r="AH410" s="199">
        <v>8.0</v>
      </c>
      <c r="AI410" s="200" t="s">
        <v>684</v>
      </c>
      <c r="AJ410" s="200" t="s">
        <v>782</v>
      </c>
      <c r="AK410" s="200"/>
      <c r="AL410" s="204"/>
      <c r="AM410" s="204"/>
    </row>
    <row r="411">
      <c r="A411" s="199" t="s">
        <v>255</v>
      </c>
      <c r="B411" s="200" t="s">
        <v>488</v>
      </c>
      <c r="C411" s="199">
        <v>2.6004401269E10</v>
      </c>
      <c r="D411" s="201">
        <v>46007.0</v>
      </c>
      <c r="E411" s="202" t="s">
        <v>100</v>
      </c>
      <c r="F411" s="202" t="s">
        <v>100</v>
      </c>
      <c r="G411" s="203" t="s">
        <v>100</v>
      </c>
      <c r="H411" s="203" t="s">
        <v>100</v>
      </c>
      <c r="I411" s="199">
        <v>23161.0</v>
      </c>
      <c r="J411" s="199">
        <v>9474.0</v>
      </c>
      <c r="K411" s="199">
        <v>3614.0</v>
      </c>
      <c r="L411" s="199">
        <v>11.0</v>
      </c>
      <c r="M411" s="199">
        <v>288.7</v>
      </c>
      <c r="N411" s="37"/>
      <c r="O411" s="37"/>
      <c r="P411" s="199">
        <v>0.01</v>
      </c>
      <c r="Q411" s="199">
        <v>0.0</v>
      </c>
      <c r="R411" s="199">
        <v>0.0</v>
      </c>
      <c r="S411" s="199">
        <v>0.0</v>
      </c>
      <c r="T411" s="199">
        <v>0.0</v>
      </c>
      <c r="U411" s="199">
        <v>6.0</v>
      </c>
      <c r="V411" s="199">
        <v>0.0</v>
      </c>
      <c r="W411" s="199">
        <v>0.0</v>
      </c>
      <c r="X411" s="199">
        <v>0.0</v>
      </c>
      <c r="Y411" s="199">
        <v>0.0</v>
      </c>
      <c r="Z411" s="199">
        <v>2.0</v>
      </c>
      <c r="AA411" s="199">
        <v>0.0</v>
      </c>
      <c r="AB411" s="199">
        <v>0.0</v>
      </c>
      <c r="AC411" s="199">
        <v>23.0</v>
      </c>
      <c r="AD411" s="199">
        <v>0.0</v>
      </c>
      <c r="AE411" s="199">
        <v>45.0</v>
      </c>
      <c r="AF411" s="199">
        <v>3.0</v>
      </c>
      <c r="AG411" s="199">
        <v>524.0</v>
      </c>
      <c r="AH411" s="199">
        <v>67.0</v>
      </c>
      <c r="AI411" s="200" t="s">
        <v>655</v>
      </c>
      <c r="AJ411" s="200" t="s">
        <v>656</v>
      </c>
      <c r="AK411" s="200"/>
      <c r="AL411" s="204"/>
      <c r="AM411" s="204"/>
    </row>
    <row r="412">
      <c r="A412" s="199" t="s">
        <v>256</v>
      </c>
      <c r="B412" s="200" t="s">
        <v>489</v>
      </c>
      <c r="C412" s="199">
        <v>2.5180296268E10</v>
      </c>
      <c r="D412" s="201">
        <v>45826.0</v>
      </c>
      <c r="E412" s="202" t="s">
        <v>101</v>
      </c>
      <c r="F412" s="202" t="s">
        <v>102</v>
      </c>
      <c r="G412" s="203" t="s">
        <v>100</v>
      </c>
      <c r="H412" s="203" t="s">
        <v>101</v>
      </c>
      <c r="I412" s="37"/>
      <c r="J412" s="37"/>
      <c r="K412" s="37"/>
      <c r="L412" s="199">
        <v>12.0</v>
      </c>
      <c r="M412" s="199">
        <v>997.4</v>
      </c>
      <c r="N412" s="37"/>
      <c r="O412" s="37"/>
      <c r="P412" s="199">
        <v>0.02</v>
      </c>
      <c r="Q412" s="199">
        <v>0.0</v>
      </c>
      <c r="R412" s="199">
        <v>0.0</v>
      </c>
      <c r="S412" s="199">
        <v>0.0</v>
      </c>
      <c r="T412" s="199">
        <v>4.0</v>
      </c>
      <c r="U412" s="199">
        <v>4.0</v>
      </c>
      <c r="V412" s="199">
        <v>0.0</v>
      </c>
      <c r="W412" s="199">
        <v>0.0</v>
      </c>
      <c r="X412" s="199">
        <v>1.0</v>
      </c>
      <c r="Y412" s="199">
        <v>0.0</v>
      </c>
      <c r="Z412" s="199">
        <v>0.0</v>
      </c>
      <c r="AA412" s="199">
        <v>0.0</v>
      </c>
      <c r="AB412" s="199">
        <v>6.0</v>
      </c>
      <c r="AC412" s="199">
        <v>6.0</v>
      </c>
      <c r="AD412" s="199">
        <v>0.0</v>
      </c>
      <c r="AE412" s="199">
        <v>34.0</v>
      </c>
      <c r="AF412" s="199">
        <v>2.0</v>
      </c>
      <c r="AG412" s="199">
        <v>420.0</v>
      </c>
      <c r="AH412" s="199">
        <v>15.0</v>
      </c>
      <c r="AI412" s="200" t="s">
        <v>661</v>
      </c>
      <c r="AJ412" s="200" t="s">
        <v>738</v>
      </c>
      <c r="AK412" s="200"/>
      <c r="AL412" s="204"/>
      <c r="AM412" s="204"/>
    </row>
    <row r="413">
      <c r="A413" s="199" t="s">
        <v>246</v>
      </c>
      <c r="B413" s="200" t="s">
        <v>478</v>
      </c>
      <c r="C413" s="199">
        <v>2.5258159249E10</v>
      </c>
      <c r="D413" s="201">
        <v>45908.0</v>
      </c>
      <c r="E413" s="202" t="s">
        <v>101</v>
      </c>
      <c r="F413" s="202" t="s">
        <v>101</v>
      </c>
      <c r="G413" s="203" t="s">
        <v>101</v>
      </c>
      <c r="H413" s="203" t="s">
        <v>100</v>
      </c>
      <c r="I413" s="37"/>
      <c r="J413" s="37"/>
      <c r="K413" s="37"/>
      <c r="L413" s="199">
        <v>100.0</v>
      </c>
      <c r="M413" s="199">
        <v>426.7</v>
      </c>
      <c r="N413" s="199"/>
      <c r="O413" s="199">
        <v>1.0</v>
      </c>
      <c r="P413" s="199">
        <v>0.2</v>
      </c>
      <c r="Q413" s="199">
        <v>0.0</v>
      </c>
      <c r="R413" s="199">
        <v>61.0</v>
      </c>
      <c r="S413" s="199">
        <v>1.0</v>
      </c>
      <c r="T413" s="199">
        <v>23.0</v>
      </c>
      <c r="U413" s="199">
        <v>154.0</v>
      </c>
      <c r="V413" s="199">
        <v>0.0</v>
      </c>
      <c r="W413" s="199">
        <v>0.0</v>
      </c>
      <c r="X413" s="199">
        <v>0.0</v>
      </c>
      <c r="Y413" s="199">
        <v>0.0</v>
      </c>
      <c r="Z413" s="199">
        <v>2.0</v>
      </c>
      <c r="AA413" s="199">
        <v>0.0</v>
      </c>
      <c r="AB413" s="199">
        <v>58.0</v>
      </c>
      <c r="AC413" s="199">
        <v>35.0</v>
      </c>
      <c r="AD413" s="199">
        <v>0.0</v>
      </c>
      <c r="AE413" s="199">
        <v>442.0</v>
      </c>
      <c r="AF413" s="199">
        <v>14.0</v>
      </c>
      <c r="AG413" s="199">
        <v>292.0</v>
      </c>
      <c r="AH413" s="199">
        <v>2.0</v>
      </c>
      <c r="AI413" s="200" t="s">
        <v>829</v>
      </c>
      <c r="AJ413" s="200" t="s">
        <v>839</v>
      </c>
      <c r="AK413" s="200"/>
      <c r="AL413" s="204"/>
      <c r="AM413" s="204"/>
    </row>
    <row r="414">
      <c r="A414" s="199" t="s">
        <v>256</v>
      </c>
      <c r="B414" s="200" t="s">
        <v>489</v>
      </c>
      <c r="C414" s="199">
        <v>2.5294210243E10</v>
      </c>
      <c r="D414" s="201">
        <v>45946.0</v>
      </c>
      <c r="E414" s="202" t="s">
        <v>102</v>
      </c>
      <c r="F414" s="202" t="s">
        <v>102</v>
      </c>
      <c r="G414" s="203" t="s">
        <v>100</v>
      </c>
      <c r="H414" s="203" t="s">
        <v>100</v>
      </c>
      <c r="I414" s="37"/>
      <c r="J414" s="37"/>
      <c r="K414" s="37"/>
      <c r="L414" s="199">
        <v>11.0</v>
      </c>
      <c r="M414" s="199">
        <v>309.4</v>
      </c>
      <c r="N414" s="37"/>
      <c r="O414" s="37"/>
      <c r="P414" s="199">
        <v>0.05</v>
      </c>
      <c r="Q414" s="199">
        <v>0.0</v>
      </c>
      <c r="R414" s="199">
        <v>4.0</v>
      </c>
      <c r="S414" s="199">
        <v>0.0</v>
      </c>
      <c r="T414" s="199">
        <v>2.0</v>
      </c>
      <c r="U414" s="199">
        <v>3.0</v>
      </c>
      <c r="V414" s="199">
        <v>0.0</v>
      </c>
      <c r="W414" s="199">
        <v>0.0</v>
      </c>
      <c r="X414" s="199">
        <v>0.0</v>
      </c>
      <c r="Y414" s="199">
        <v>0.0</v>
      </c>
      <c r="Z414" s="199">
        <v>0.0</v>
      </c>
      <c r="AA414" s="199">
        <v>0.0</v>
      </c>
      <c r="AB414" s="199">
        <v>19.0</v>
      </c>
      <c r="AC414" s="199">
        <v>0.0</v>
      </c>
      <c r="AD414" s="199">
        <v>0.0</v>
      </c>
      <c r="AE414" s="199">
        <v>7.0</v>
      </c>
      <c r="AF414" s="199">
        <v>2.0</v>
      </c>
      <c r="AG414" s="199">
        <v>366.0</v>
      </c>
      <c r="AH414" s="199">
        <v>0.0</v>
      </c>
      <c r="AI414" s="200" t="s">
        <v>653</v>
      </c>
      <c r="AJ414" s="200" t="s">
        <v>654</v>
      </c>
      <c r="AK414" s="200"/>
      <c r="AL414" s="204"/>
      <c r="AM414" s="204"/>
    </row>
    <row r="415">
      <c r="A415" s="199" t="s">
        <v>256</v>
      </c>
      <c r="B415" s="200" t="s">
        <v>489</v>
      </c>
      <c r="C415" s="199">
        <v>2.5330281212E10</v>
      </c>
      <c r="D415" s="201">
        <v>45978.0</v>
      </c>
      <c r="E415" s="202" t="s">
        <v>101</v>
      </c>
      <c r="F415" s="202" t="s">
        <v>101</v>
      </c>
      <c r="G415" s="203" t="s">
        <v>100</v>
      </c>
      <c r="H415" s="203" t="s">
        <v>102</v>
      </c>
      <c r="I415" s="37"/>
      <c r="J415" s="37"/>
      <c r="K415" s="37"/>
      <c r="L415" s="199">
        <v>15.0</v>
      </c>
      <c r="M415" s="199">
        <v>302.0</v>
      </c>
      <c r="N415" s="37"/>
      <c r="O415" s="37"/>
      <c r="P415" s="199">
        <v>0.05</v>
      </c>
      <c r="Q415" s="199">
        <v>0.0</v>
      </c>
      <c r="R415" s="199">
        <v>0.0</v>
      </c>
      <c r="S415" s="199">
        <v>0.0</v>
      </c>
      <c r="T415" s="199">
        <v>0.0</v>
      </c>
      <c r="U415" s="199">
        <v>20.0</v>
      </c>
      <c r="V415" s="199">
        <v>0.0</v>
      </c>
      <c r="W415" s="199">
        <v>0.0</v>
      </c>
      <c r="X415" s="199">
        <v>0.0</v>
      </c>
      <c r="Y415" s="199">
        <v>0.0</v>
      </c>
      <c r="Z415" s="199">
        <v>0.0</v>
      </c>
      <c r="AA415" s="199">
        <v>2.0</v>
      </c>
      <c r="AB415" s="199">
        <v>50.0</v>
      </c>
      <c r="AC415" s="199">
        <v>29.0</v>
      </c>
      <c r="AD415" s="199">
        <v>2.0</v>
      </c>
      <c r="AE415" s="199">
        <v>22.0</v>
      </c>
      <c r="AF415" s="199">
        <v>0.0</v>
      </c>
      <c r="AG415" s="199">
        <v>371.0</v>
      </c>
      <c r="AH415" s="199">
        <v>0.0</v>
      </c>
      <c r="AI415" s="200" t="s">
        <v>776</v>
      </c>
      <c r="AJ415" s="200" t="s">
        <v>786</v>
      </c>
      <c r="AK415" s="200"/>
      <c r="AL415" s="204"/>
      <c r="AM415" s="204"/>
    </row>
    <row r="416">
      <c r="A416" s="199" t="s">
        <v>256</v>
      </c>
      <c r="B416" s="200" t="s">
        <v>489</v>
      </c>
      <c r="C416" s="199">
        <v>2.6004401266E10</v>
      </c>
      <c r="D416" s="201">
        <v>46018.0</v>
      </c>
      <c r="E416" s="202" t="s">
        <v>101</v>
      </c>
      <c r="F416" s="202" t="s">
        <v>101</v>
      </c>
      <c r="G416" s="203" t="s">
        <v>100</v>
      </c>
      <c r="H416" s="203" t="s">
        <v>102</v>
      </c>
      <c r="I416" s="37"/>
      <c r="J416" s="37"/>
      <c r="K416" s="37"/>
      <c r="L416" s="199">
        <v>9.0</v>
      </c>
      <c r="M416" s="199">
        <v>294.8</v>
      </c>
      <c r="N416" s="37"/>
      <c r="O416" s="37"/>
      <c r="P416" s="199">
        <v>0.1</v>
      </c>
      <c r="Q416" s="199">
        <v>0.0</v>
      </c>
      <c r="R416" s="199">
        <v>0.0</v>
      </c>
      <c r="S416" s="199">
        <v>0.0</v>
      </c>
      <c r="T416" s="199">
        <v>0.0</v>
      </c>
      <c r="U416" s="199">
        <v>0.0</v>
      </c>
      <c r="V416" s="199">
        <v>0.0</v>
      </c>
      <c r="W416" s="199">
        <v>0.0</v>
      </c>
      <c r="X416" s="199">
        <v>0.0</v>
      </c>
      <c r="Y416" s="199">
        <v>0.0</v>
      </c>
      <c r="Z416" s="199">
        <v>0.0</v>
      </c>
      <c r="AA416" s="199">
        <v>0.0</v>
      </c>
      <c r="AB416" s="199">
        <v>1.0</v>
      </c>
      <c r="AC416" s="199">
        <v>3.0</v>
      </c>
      <c r="AD416" s="199">
        <v>0.0</v>
      </c>
      <c r="AE416" s="199">
        <v>9.0</v>
      </c>
      <c r="AF416" s="199">
        <v>0.0</v>
      </c>
      <c r="AG416" s="199">
        <v>405.0</v>
      </c>
      <c r="AH416" s="199">
        <v>17.0</v>
      </c>
      <c r="AI416" s="200" t="s">
        <v>776</v>
      </c>
      <c r="AJ416" s="200" t="s">
        <v>777</v>
      </c>
      <c r="AK416" s="200"/>
      <c r="AL416" s="204"/>
      <c r="AM416" s="204"/>
    </row>
    <row r="417">
      <c r="A417" s="199" t="s">
        <v>257</v>
      </c>
      <c r="B417" s="200" t="s">
        <v>490</v>
      </c>
      <c r="C417" s="199">
        <v>2.4021210215E10</v>
      </c>
      <c r="D417" s="201">
        <v>45309.0</v>
      </c>
      <c r="E417" s="202" t="s">
        <v>102</v>
      </c>
      <c r="F417" s="202" t="s">
        <v>102</v>
      </c>
      <c r="G417" s="203" t="s">
        <v>100</v>
      </c>
      <c r="H417" s="203" t="s">
        <v>100</v>
      </c>
      <c r="I417" s="37"/>
      <c r="J417" s="37"/>
      <c r="K417" s="37"/>
      <c r="L417" s="199">
        <v>6.0</v>
      </c>
      <c r="M417" s="199">
        <v>262.2</v>
      </c>
      <c r="N417" s="37"/>
      <c r="O417" s="37"/>
      <c r="P417" s="199">
        <v>0.05</v>
      </c>
      <c r="Q417" s="199">
        <v>0.0</v>
      </c>
      <c r="R417" s="199">
        <v>0.0</v>
      </c>
      <c r="S417" s="199">
        <v>4.0</v>
      </c>
      <c r="T417" s="199">
        <v>0.0</v>
      </c>
      <c r="U417" s="199">
        <v>0.0</v>
      </c>
      <c r="V417" s="199">
        <v>0.0</v>
      </c>
      <c r="W417" s="199">
        <v>0.0</v>
      </c>
      <c r="X417" s="199">
        <v>0.0</v>
      </c>
      <c r="Y417" s="199">
        <v>0.0</v>
      </c>
      <c r="Z417" s="199">
        <v>0.0</v>
      </c>
      <c r="AA417" s="199">
        <v>0.0</v>
      </c>
      <c r="AB417" s="199">
        <v>8.0</v>
      </c>
      <c r="AC417" s="199">
        <v>1.0</v>
      </c>
      <c r="AD417" s="199">
        <v>0.0</v>
      </c>
      <c r="AE417" s="199">
        <v>0.0</v>
      </c>
      <c r="AF417" s="199">
        <v>0.0</v>
      </c>
      <c r="AG417" s="199">
        <v>436.0</v>
      </c>
      <c r="AH417" s="199">
        <v>13.0</v>
      </c>
      <c r="AI417" s="200" t="s">
        <v>653</v>
      </c>
      <c r="AJ417" s="200" t="s">
        <v>654</v>
      </c>
      <c r="AK417" s="200"/>
      <c r="AL417" s="204"/>
      <c r="AM417" s="204"/>
    </row>
    <row r="418">
      <c r="A418" s="199" t="s">
        <v>257</v>
      </c>
      <c r="B418" s="200" t="s">
        <v>490</v>
      </c>
      <c r="C418" s="199">
        <v>2.5049182251E10</v>
      </c>
      <c r="D418" s="201">
        <v>45701.0</v>
      </c>
      <c r="E418" s="202" t="s">
        <v>101</v>
      </c>
      <c r="F418" s="202" t="s">
        <v>101</v>
      </c>
      <c r="G418" s="203" t="s">
        <v>100</v>
      </c>
      <c r="H418" s="203" t="s">
        <v>100</v>
      </c>
      <c r="I418" s="37"/>
      <c r="J418" s="37"/>
      <c r="K418" s="37"/>
      <c r="L418" s="199">
        <v>13.0</v>
      </c>
      <c r="M418" s="199">
        <v>303.9</v>
      </c>
      <c r="N418" s="37"/>
      <c r="O418" s="37"/>
      <c r="P418" s="199">
        <v>0.1</v>
      </c>
      <c r="Q418" s="199">
        <v>0.0</v>
      </c>
      <c r="R418" s="199">
        <v>5.0</v>
      </c>
      <c r="S418" s="199">
        <v>1.0</v>
      </c>
      <c r="T418" s="199">
        <v>3.0</v>
      </c>
      <c r="U418" s="199">
        <v>4.0</v>
      </c>
      <c r="V418" s="199">
        <v>2.0</v>
      </c>
      <c r="W418" s="199">
        <v>0.0</v>
      </c>
      <c r="X418" s="199">
        <v>2.0</v>
      </c>
      <c r="Y418" s="199">
        <v>0.0</v>
      </c>
      <c r="Z418" s="199">
        <v>0.0</v>
      </c>
      <c r="AA418" s="199">
        <v>0.0</v>
      </c>
      <c r="AB418" s="199">
        <v>15.0</v>
      </c>
      <c r="AC418" s="199">
        <v>7.0</v>
      </c>
      <c r="AD418" s="199">
        <v>0.0</v>
      </c>
      <c r="AE418" s="199">
        <v>8.0</v>
      </c>
      <c r="AF418" s="199">
        <v>5.0</v>
      </c>
      <c r="AG418" s="199">
        <v>626.0</v>
      </c>
      <c r="AH418" s="199">
        <v>13.0</v>
      </c>
      <c r="AI418" s="200" t="s">
        <v>776</v>
      </c>
      <c r="AJ418" s="200" t="s">
        <v>777</v>
      </c>
      <c r="AK418" s="200"/>
      <c r="AL418" s="204"/>
      <c r="AM418" s="204"/>
    </row>
    <row r="419">
      <c r="A419" s="199" t="s">
        <v>257</v>
      </c>
      <c r="B419" s="200" t="s">
        <v>490</v>
      </c>
      <c r="C419" s="199">
        <v>2.5180296245E10</v>
      </c>
      <c r="D419" s="201">
        <v>45826.0</v>
      </c>
      <c r="E419" s="202" t="s">
        <v>101</v>
      </c>
      <c r="F419" s="202" t="s">
        <v>101</v>
      </c>
      <c r="G419" s="203" t="s">
        <v>101</v>
      </c>
      <c r="H419" s="203" t="s">
        <v>102</v>
      </c>
      <c r="I419" s="37"/>
      <c r="J419" s="37"/>
      <c r="K419" s="37"/>
      <c r="L419" s="199">
        <v>25.0</v>
      </c>
      <c r="M419" s="199">
        <v>309.9</v>
      </c>
      <c r="N419" s="37"/>
      <c r="O419" s="37"/>
      <c r="P419" s="199">
        <v>0.05</v>
      </c>
      <c r="Q419" s="199">
        <v>0.0</v>
      </c>
      <c r="R419" s="199">
        <v>56.0</v>
      </c>
      <c r="S419" s="199">
        <v>2.0</v>
      </c>
      <c r="T419" s="199">
        <v>4.0</v>
      </c>
      <c r="U419" s="199">
        <v>315.0</v>
      </c>
      <c r="V419" s="199">
        <v>3.0</v>
      </c>
      <c r="W419" s="199">
        <v>0.0</v>
      </c>
      <c r="X419" s="199">
        <v>7.0</v>
      </c>
      <c r="Y419" s="199">
        <v>0.0</v>
      </c>
      <c r="Z419" s="199">
        <v>5.0</v>
      </c>
      <c r="AA419" s="199">
        <v>0.0</v>
      </c>
      <c r="AB419" s="199">
        <v>163.0</v>
      </c>
      <c r="AC419" s="199">
        <v>12.0</v>
      </c>
      <c r="AD419" s="199">
        <v>0.0</v>
      </c>
      <c r="AE419" s="199">
        <v>262.0</v>
      </c>
      <c r="AF419" s="199">
        <v>51.0</v>
      </c>
      <c r="AG419" s="199">
        <v>409.0</v>
      </c>
      <c r="AH419" s="199">
        <v>12.0</v>
      </c>
      <c r="AI419" s="200" t="s">
        <v>804</v>
      </c>
      <c r="AJ419" s="200" t="s">
        <v>847</v>
      </c>
      <c r="AK419" s="200"/>
      <c r="AL419" s="204"/>
      <c r="AM419" s="204"/>
    </row>
    <row r="420">
      <c r="A420" s="199" t="s">
        <v>257</v>
      </c>
      <c r="B420" s="200" t="s">
        <v>490</v>
      </c>
      <c r="C420" s="199">
        <v>2.5259169209E10</v>
      </c>
      <c r="D420" s="201">
        <v>45908.0</v>
      </c>
      <c r="E420" s="202" t="s">
        <v>100</v>
      </c>
      <c r="F420" s="202" t="s">
        <v>100</v>
      </c>
      <c r="G420" s="203" t="s">
        <v>100</v>
      </c>
      <c r="H420" s="203" t="s">
        <v>100</v>
      </c>
      <c r="I420" s="199">
        <v>12821.0</v>
      </c>
      <c r="J420" s="199">
        <v>5114.0</v>
      </c>
      <c r="K420" s="199">
        <v>1152.0</v>
      </c>
      <c r="L420" s="199">
        <v>8.0</v>
      </c>
      <c r="M420" s="199">
        <v>288.7</v>
      </c>
      <c r="N420" s="37"/>
      <c r="O420" s="37"/>
      <c r="P420" s="199">
        <v>0.04</v>
      </c>
      <c r="Q420" s="199">
        <v>0.0</v>
      </c>
      <c r="R420" s="199">
        <v>3.0</v>
      </c>
      <c r="S420" s="199">
        <v>1.0</v>
      </c>
      <c r="T420" s="199">
        <v>3.0</v>
      </c>
      <c r="U420" s="199">
        <v>9.0</v>
      </c>
      <c r="V420" s="199">
        <v>0.0</v>
      </c>
      <c r="W420" s="199">
        <v>0.0</v>
      </c>
      <c r="X420" s="199">
        <v>0.0</v>
      </c>
      <c r="Y420" s="199">
        <v>0.0</v>
      </c>
      <c r="Z420" s="199">
        <v>0.0</v>
      </c>
      <c r="AA420" s="199">
        <v>0.0</v>
      </c>
      <c r="AB420" s="199">
        <v>5.0</v>
      </c>
      <c r="AC420" s="199">
        <v>12.0</v>
      </c>
      <c r="AD420" s="199">
        <v>0.0</v>
      </c>
      <c r="AE420" s="199">
        <v>68.0</v>
      </c>
      <c r="AF420" s="199">
        <v>2.0</v>
      </c>
      <c r="AG420" s="199">
        <v>333.0</v>
      </c>
      <c r="AH420" s="199">
        <v>2.0</v>
      </c>
      <c r="AI420" s="200" t="s">
        <v>655</v>
      </c>
      <c r="AJ420" s="200" t="s">
        <v>656</v>
      </c>
      <c r="AK420" s="200"/>
      <c r="AL420" s="204"/>
      <c r="AM420" s="204"/>
    </row>
    <row r="421">
      <c r="A421" s="199" t="s">
        <v>257</v>
      </c>
      <c r="B421" s="200" t="s">
        <v>490</v>
      </c>
      <c r="C421" s="199">
        <v>2.6005501217E10</v>
      </c>
      <c r="D421" s="201">
        <v>46018.0</v>
      </c>
      <c r="E421" s="202" t="s">
        <v>102</v>
      </c>
      <c r="F421" s="202" t="s">
        <v>102</v>
      </c>
      <c r="G421" s="203" t="s">
        <v>100</v>
      </c>
      <c r="H421" s="203" t="s">
        <v>100</v>
      </c>
      <c r="I421" s="37"/>
      <c r="J421" s="37"/>
      <c r="K421" s="37"/>
      <c r="L421" s="199">
        <v>11.0</v>
      </c>
      <c r="M421" s="199">
        <v>302.2</v>
      </c>
      <c r="N421" s="37"/>
      <c r="O421" s="37"/>
      <c r="P421" s="199">
        <v>0.02</v>
      </c>
      <c r="Q421" s="199">
        <v>0.0</v>
      </c>
      <c r="R421" s="199">
        <v>0.0</v>
      </c>
      <c r="S421" s="199">
        <v>0.0</v>
      </c>
      <c r="T421" s="199">
        <v>0.0</v>
      </c>
      <c r="U421" s="199">
        <v>0.0</v>
      </c>
      <c r="V421" s="199">
        <v>0.0</v>
      </c>
      <c r="W421" s="199">
        <v>0.0</v>
      </c>
      <c r="X421" s="199">
        <v>0.0</v>
      </c>
      <c r="Y421" s="199">
        <v>0.0</v>
      </c>
      <c r="Z421" s="199">
        <v>0.0</v>
      </c>
      <c r="AA421" s="199">
        <v>0.0</v>
      </c>
      <c r="AB421" s="199">
        <v>8.0</v>
      </c>
      <c r="AC421" s="199">
        <v>0.0</v>
      </c>
      <c r="AD421" s="199">
        <v>0.0</v>
      </c>
      <c r="AE421" s="199">
        <v>14.0</v>
      </c>
      <c r="AF421" s="199">
        <v>0.0</v>
      </c>
      <c r="AG421" s="199">
        <v>735.0</v>
      </c>
      <c r="AH421" s="199">
        <v>7.0</v>
      </c>
      <c r="AI421" s="200" t="s">
        <v>653</v>
      </c>
      <c r="AJ421" s="200" t="s">
        <v>654</v>
      </c>
      <c r="AK421" s="200"/>
      <c r="AL421" s="204"/>
      <c r="AM421" s="204"/>
    </row>
    <row r="422">
      <c r="A422" s="199" t="s">
        <v>111</v>
      </c>
      <c r="B422" s="200" t="s">
        <v>340</v>
      </c>
      <c r="C422" s="199">
        <v>2.4211297228E10</v>
      </c>
      <c r="D422" s="201">
        <v>45497.0</v>
      </c>
      <c r="E422" s="202" t="s">
        <v>101</v>
      </c>
      <c r="F422" s="202" t="s">
        <v>101</v>
      </c>
      <c r="G422" s="203" t="s">
        <v>100</v>
      </c>
      <c r="H422" s="203" t="s">
        <v>100</v>
      </c>
      <c r="I422" s="37"/>
      <c r="J422" s="37"/>
      <c r="K422" s="37"/>
      <c r="L422" s="199">
        <v>5.0</v>
      </c>
      <c r="M422" s="199">
        <v>225.3</v>
      </c>
      <c r="N422" s="37"/>
      <c r="O422" s="37"/>
      <c r="P422" s="199">
        <v>0.02</v>
      </c>
      <c r="Q422" s="199">
        <v>0.0</v>
      </c>
      <c r="R422" s="199">
        <v>7.0</v>
      </c>
      <c r="S422" s="199">
        <v>2.0</v>
      </c>
      <c r="T422" s="199">
        <v>3.0</v>
      </c>
      <c r="U422" s="199">
        <v>16.0</v>
      </c>
      <c r="V422" s="199">
        <v>2.0</v>
      </c>
      <c r="W422" s="199">
        <v>0.0</v>
      </c>
      <c r="X422" s="199">
        <v>3.0</v>
      </c>
      <c r="Y422" s="199">
        <v>0.0</v>
      </c>
      <c r="Z422" s="199">
        <v>0.0</v>
      </c>
      <c r="AA422" s="199">
        <v>0.0</v>
      </c>
      <c r="AB422" s="199">
        <v>49.0</v>
      </c>
      <c r="AC422" s="199">
        <v>5.0</v>
      </c>
      <c r="AD422" s="199">
        <v>0.0</v>
      </c>
      <c r="AE422" s="199">
        <v>20.0</v>
      </c>
      <c r="AF422" s="199">
        <v>3.0</v>
      </c>
      <c r="AG422" s="199">
        <v>547.0</v>
      </c>
      <c r="AH422" s="199">
        <v>26.0</v>
      </c>
      <c r="AI422" s="200" t="s">
        <v>776</v>
      </c>
      <c r="AJ422" s="200" t="s">
        <v>786</v>
      </c>
      <c r="AK422" s="200"/>
      <c r="AL422" s="204"/>
      <c r="AM422" s="204"/>
    </row>
    <row r="423">
      <c r="A423" s="199" t="s">
        <v>121</v>
      </c>
      <c r="B423" s="200" t="s">
        <v>352</v>
      </c>
      <c r="C423" s="199">
        <v>2.4139185242E10</v>
      </c>
      <c r="D423" s="201">
        <v>45419.0</v>
      </c>
      <c r="E423" s="202" t="s">
        <v>102</v>
      </c>
      <c r="F423" s="202" t="s">
        <v>102</v>
      </c>
      <c r="G423" s="203" t="s">
        <v>100</v>
      </c>
      <c r="H423" s="203" t="s">
        <v>100</v>
      </c>
      <c r="I423" s="37"/>
      <c r="J423" s="37"/>
      <c r="K423" s="37"/>
      <c r="L423" s="199">
        <v>10.0</v>
      </c>
      <c r="M423" s="199">
        <v>51.6</v>
      </c>
      <c r="N423" s="199"/>
      <c r="O423" s="199">
        <v>0.0</v>
      </c>
      <c r="P423" s="199">
        <v>0.03</v>
      </c>
      <c r="Q423" s="199">
        <v>0.0</v>
      </c>
      <c r="R423" s="199">
        <v>4.0</v>
      </c>
      <c r="S423" s="199">
        <v>0.0</v>
      </c>
      <c r="T423" s="199">
        <v>0.0</v>
      </c>
      <c r="U423" s="199">
        <v>1.0</v>
      </c>
      <c r="V423" s="199">
        <v>0.0</v>
      </c>
      <c r="W423" s="199">
        <v>0.0</v>
      </c>
      <c r="X423" s="199">
        <v>0.0</v>
      </c>
      <c r="Y423" s="199">
        <v>0.0</v>
      </c>
      <c r="Z423" s="199">
        <v>0.0</v>
      </c>
      <c r="AA423" s="199">
        <v>0.0</v>
      </c>
      <c r="AB423" s="199">
        <v>1.0</v>
      </c>
      <c r="AC423" s="199">
        <v>3.0</v>
      </c>
      <c r="AD423" s="199">
        <v>0.0</v>
      </c>
      <c r="AE423" s="199">
        <v>55.0</v>
      </c>
      <c r="AF423" s="199">
        <v>2.0</v>
      </c>
      <c r="AG423" s="199">
        <v>341.0</v>
      </c>
      <c r="AH423" s="199">
        <v>489.0</v>
      </c>
      <c r="AI423" s="200" t="s">
        <v>653</v>
      </c>
      <c r="AJ423" s="200" t="s">
        <v>654</v>
      </c>
      <c r="AK423" s="200"/>
      <c r="AL423" s="204"/>
      <c r="AM423" s="204"/>
    </row>
    <row r="424">
      <c r="A424" s="199" t="s">
        <v>121</v>
      </c>
      <c r="B424" s="200" t="s">
        <v>352</v>
      </c>
      <c r="C424" s="199">
        <v>2.4303290245E10</v>
      </c>
      <c r="D424" s="201">
        <v>45589.0</v>
      </c>
      <c r="E424" s="202" t="s">
        <v>100</v>
      </c>
      <c r="F424" s="202" t="s">
        <v>100</v>
      </c>
      <c r="G424" s="203" t="s">
        <v>100</v>
      </c>
      <c r="H424" s="203" t="s">
        <v>100</v>
      </c>
      <c r="I424" s="199">
        <v>16251.0</v>
      </c>
      <c r="J424" s="199">
        <v>9261.0</v>
      </c>
      <c r="K424" s="199">
        <v>4155.0</v>
      </c>
      <c r="L424" s="199">
        <v>3.0</v>
      </c>
      <c r="M424" s="199">
        <v>46.5</v>
      </c>
      <c r="N424" s="199"/>
      <c r="O424" s="199">
        <v>0.0</v>
      </c>
      <c r="P424" s="199">
        <v>0.003</v>
      </c>
      <c r="Q424" s="199">
        <v>0.0</v>
      </c>
      <c r="R424" s="199">
        <v>6.0</v>
      </c>
      <c r="S424" s="199">
        <v>0.0</v>
      </c>
      <c r="T424" s="199">
        <v>4.0</v>
      </c>
      <c r="U424" s="199">
        <v>10.0</v>
      </c>
      <c r="V424" s="199">
        <v>0.0</v>
      </c>
      <c r="W424" s="199">
        <v>0.0</v>
      </c>
      <c r="X424" s="199">
        <v>1.0</v>
      </c>
      <c r="Y424" s="199">
        <v>0.0</v>
      </c>
      <c r="Z424" s="199">
        <v>0.0</v>
      </c>
      <c r="AA424" s="199">
        <v>13.0</v>
      </c>
      <c r="AB424" s="199">
        <v>0.0</v>
      </c>
      <c r="AC424" s="199">
        <v>10.0</v>
      </c>
      <c r="AD424" s="199">
        <v>0.0</v>
      </c>
      <c r="AE424" s="199">
        <v>127.0</v>
      </c>
      <c r="AF424" s="199">
        <v>5.0</v>
      </c>
      <c r="AG424" s="199">
        <v>371.0</v>
      </c>
      <c r="AH424" s="199">
        <v>381.0</v>
      </c>
      <c r="AI424" s="200" t="s">
        <v>655</v>
      </c>
      <c r="AJ424" s="200" t="s">
        <v>656</v>
      </c>
      <c r="AK424" s="200"/>
      <c r="AL424" s="204"/>
      <c r="AM424" s="204"/>
    </row>
    <row r="425">
      <c r="A425" s="199" t="s">
        <v>121</v>
      </c>
      <c r="B425" s="200" t="s">
        <v>352</v>
      </c>
      <c r="C425" s="199">
        <v>2.5112224246E10</v>
      </c>
      <c r="D425" s="201">
        <v>45756.0</v>
      </c>
      <c r="E425" s="202" t="s">
        <v>100</v>
      </c>
      <c r="F425" s="202" t="s">
        <v>100</v>
      </c>
      <c r="G425" s="203" t="s">
        <v>100</v>
      </c>
      <c r="H425" s="203" t="s">
        <v>100</v>
      </c>
      <c r="I425" s="199">
        <v>2765.0</v>
      </c>
      <c r="J425" s="199">
        <v>1432.0</v>
      </c>
      <c r="K425" s="199">
        <v>1001.0</v>
      </c>
      <c r="L425" s="199">
        <v>12.0</v>
      </c>
      <c r="M425" s="199">
        <v>46.8</v>
      </c>
      <c r="N425" s="199"/>
      <c r="O425" s="199">
        <v>0.0</v>
      </c>
      <c r="P425" s="199">
        <v>0.01</v>
      </c>
      <c r="Q425" s="199">
        <v>0.0</v>
      </c>
      <c r="R425" s="199">
        <v>0.0</v>
      </c>
      <c r="S425" s="199">
        <v>0.0</v>
      </c>
      <c r="T425" s="199">
        <v>0.0</v>
      </c>
      <c r="U425" s="199">
        <v>0.0</v>
      </c>
      <c r="V425" s="199">
        <v>0.0</v>
      </c>
      <c r="W425" s="199">
        <v>0.0</v>
      </c>
      <c r="X425" s="199">
        <v>0.0</v>
      </c>
      <c r="Y425" s="199">
        <v>0.0</v>
      </c>
      <c r="Z425" s="199">
        <v>1.0</v>
      </c>
      <c r="AA425" s="199">
        <v>0.0</v>
      </c>
      <c r="AB425" s="199">
        <v>0.0</v>
      </c>
      <c r="AC425" s="199">
        <v>3.0</v>
      </c>
      <c r="AD425" s="199">
        <v>0.0</v>
      </c>
      <c r="AE425" s="199">
        <v>87.0</v>
      </c>
      <c r="AF425" s="199">
        <v>0.0</v>
      </c>
      <c r="AG425" s="199">
        <v>359.0</v>
      </c>
      <c r="AH425" s="199">
        <v>646.0</v>
      </c>
      <c r="AI425" s="200" t="s">
        <v>655</v>
      </c>
      <c r="AJ425" s="200" t="s">
        <v>656</v>
      </c>
      <c r="AK425" s="200"/>
      <c r="AL425" s="204"/>
      <c r="AM425" s="204"/>
    </row>
    <row r="426">
      <c r="A426" s="199" t="s">
        <v>121</v>
      </c>
      <c r="B426" s="200" t="s">
        <v>352</v>
      </c>
      <c r="C426" s="199">
        <v>2.5294210213E10</v>
      </c>
      <c r="D426" s="201">
        <v>45946.0</v>
      </c>
      <c r="E426" s="202" t="s">
        <v>102</v>
      </c>
      <c r="F426" s="202" t="s">
        <v>102</v>
      </c>
      <c r="G426" s="203" t="s">
        <v>100</v>
      </c>
      <c r="H426" s="203" t="s">
        <v>100</v>
      </c>
      <c r="I426" s="37"/>
      <c r="J426" s="37"/>
      <c r="K426" s="37"/>
      <c r="L426" s="199">
        <v>7.0</v>
      </c>
      <c r="M426" s="199">
        <v>51.1</v>
      </c>
      <c r="N426" s="199"/>
      <c r="O426" s="199">
        <v>1.0</v>
      </c>
      <c r="P426" s="199">
        <v>0.003</v>
      </c>
      <c r="Q426" s="199">
        <v>0.0</v>
      </c>
      <c r="R426" s="199">
        <v>3.0</v>
      </c>
      <c r="S426" s="199">
        <v>0.0</v>
      </c>
      <c r="T426" s="199">
        <v>2.0</v>
      </c>
      <c r="U426" s="199">
        <v>0.0</v>
      </c>
      <c r="V426" s="199">
        <v>0.0</v>
      </c>
      <c r="W426" s="199">
        <v>0.0</v>
      </c>
      <c r="X426" s="199">
        <v>0.0</v>
      </c>
      <c r="Y426" s="199">
        <v>0.0</v>
      </c>
      <c r="Z426" s="199">
        <v>0.0</v>
      </c>
      <c r="AA426" s="199">
        <v>0.0</v>
      </c>
      <c r="AB426" s="199">
        <v>3.0</v>
      </c>
      <c r="AC426" s="199">
        <v>0.0</v>
      </c>
      <c r="AD426" s="199">
        <v>0.0</v>
      </c>
      <c r="AE426" s="199">
        <v>43.0</v>
      </c>
      <c r="AF426" s="199">
        <v>0.0</v>
      </c>
      <c r="AG426" s="199">
        <v>326.0</v>
      </c>
      <c r="AH426" s="199">
        <v>307.0</v>
      </c>
      <c r="AI426" s="200" t="s">
        <v>653</v>
      </c>
      <c r="AJ426" s="200" t="s">
        <v>654</v>
      </c>
      <c r="AK426" s="200"/>
      <c r="AL426" s="204"/>
      <c r="AM426" s="204"/>
    </row>
    <row r="427">
      <c r="A427" s="199" t="s">
        <v>121</v>
      </c>
      <c r="B427" s="200" t="s">
        <v>352</v>
      </c>
      <c r="C427" s="199">
        <v>2.5330261219E10</v>
      </c>
      <c r="D427" s="201">
        <v>45978.0</v>
      </c>
      <c r="E427" s="202" t="s">
        <v>101</v>
      </c>
      <c r="F427" s="202" t="s">
        <v>101</v>
      </c>
      <c r="G427" s="203" t="s">
        <v>100</v>
      </c>
      <c r="H427" s="203" t="s">
        <v>100</v>
      </c>
      <c r="I427" s="37"/>
      <c r="J427" s="37"/>
      <c r="K427" s="37"/>
      <c r="L427" s="199">
        <v>22.0</v>
      </c>
      <c r="M427" s="199">
        <v>46.6</v>
      </c>
      <c r="N427" s="199"/>
      <c r="O427" s="199">
        <v>1.0</v>
      </c>
      <c r="P427" s="199">
        <v>0.04</v>
      </c>
      <c r="Q427" s="199">
        <v>0.0</v>
      </c>
      <c r="R427" s="199">
        <v>3.0</v>
      </c>
      <c r="S427" s="199">
        <v>1.0</v>
      </c>
      <c r="T427" s="199">
        <v>4.0</v>
      </c>
      <c r="U427" s="199">
        <v>22.0</v>
      </c>
      <c r="V427" s="199">
        <v>0.0</v>
      </c>
      <c r="W427" s="199">
        <v>0.0</v>
      </c>
      <c r="X427" s="199">
        <v>0.0</v>
      </c>
      <c r="Y427" s="199">
        <v>0.0</v>
      </c>
      <c r="Z427" s="199">
        <v>2.0</v>
      </c>
      <c r="AA427" s="199">
        <v>0.0</v>
      </c>
      <c r="AB427" s="199">
        <v>23.0</v>
      </c>
      <c r="AC427" s="199">
        <v>1.0</v>
      </c>
      <c r="AD427" s="199">
        <v>0.0</v>
      </c>
      <c r="AE427" s="199">
        <v>86.0</v>
      </c>
      <c r="AF427" s="199">
        <v>0.0</v>
      </c>
      <c r="AG427" s="199">
        <v>434.0</v>
      </c>
      <c r="AH427" s="199">
        <v>461.0</v>
      </c>
      <c r="AI427" s="200" t="s">
        <v>776</v>
      </c>
      <c r="AJ427" s="200" t="s">
        <v>777</v>
      </c>
      <c r="AK427" s="200"/>
      <c r="AL427" s="204"/>
      <c r="AM427" s="204"/>
    </row>
    <row r="428">
      <c r="A428" s="199" t="s">
        <v>122</v>
      </c>
      <c r="B428" s="200" t="s">
        <v>354</v>
      </c>
      <c r="C428" s="199">
        <v>2.4139185227E10</v>
      </c>
      <c r="D428" s="201">
        <v>45419.0</v>
      </c>
      <c r="E428" s="202" t="s">
        <v>101</v>
      </c>
      <c r="F428" s="202" t="s">
        <v>101</v>
      </c>
      <c r="G428" s="203" t="s">
        <v>100</v>
      </c>
      <c r="H428" s="203" t="s">
        <v>102</v>
      </c>
      <c r="I428" s="37"/>
      <c r="J428" s="37"/>
      <c r="K428" s="37"/>
      <c r="L428" s="199">
        <v>11.0</v>
      </c>
      <c r="M428" s="199">
        <v>251.4</v>
      </c>
      <c r="N428" s="199"/>
      <c r="O428" s="199">
        <v>0.0</v>
      </c>
      <c r="P428" s="199">
        <v>0.2</v>
      </c>
      <c r="Q428" s="199">
        <v>0.0</v>
      </c>
      <c r="R428" s="199">
        <v>6.0</v>
      </c>
      <c r="S428" s="199">
        <v>1.0</v>
      </c>
      <c r="T428" s="199">
        <v>0.0</v>
      </c>
      <c r="U428" s="199">
        <v>13.0</v>
      </c>
      <c r="V428" s="199">
        <v>0.0</v>
      </c>
      <c r="W428" s="199">
        <v>0.0</v>
      </c>
      <c r="X428" s="199">
        <v>0.0</v>
      </c>
      <c r="Y428" s="199">
        <v>0.0</v>
      </c>
      <c r="Z428" s="199">
        <v>0.0</v>
      </c>
      <c r="AA428" s="199">
        <v>0.0</v>
      </c>
      <c r="AB428" s="199">
        <v>20.0</v>
      </c>
      <c r="AC428" s="199">
        <v>24.0</v>
      </c>
      <c r="AD428" s="199">
        <v>0.0</v>
      </c>
      <c r="AE428" s="199">
        <v>28.0</v>
      </c>
      <c r="AF428" s="199">
        <v>0.0</v>
      </c>
      <c r="AG428" s="199">
        <v>291.0</v>
      </c>
      <c r="AH428" s="199">
        <v>20.0</v>
      </c>
      <c r="AI428" s="200" t="s">
        <v>684</v>
      </c>
      <c r="AJ428" s="200" t="s">
        <v>773</v>
      </c>
      <c r="AK428" s="200"/>
      <c r="AL428" s="204"/>
      <c r="AM428" s="204"/>
    </row>
    <row r="429">
      <c r="A429" s="199" t="s">
        <v>122</v>
      </c>
      <c r="B429" s="200" t="s">
        <v>354</v>
      </c>
      <c r="C429" s="199">
        <v>2.4307211207E10</v>
      </c>
      <c r="D429" s="201">
        <v>45589.0</v>
      </c>
      <c r="E429" s="202" t="s">
        <v>102</v>
      </c>
      <c r="F429" s="202" t="s">
        <v>102</v>
      </c>
      <c r="G429" s="203" t="s">
        <v>100</v>
      </c>
      <c r="H429" s="203" t="s">
        <v>100</v>
      </c>
      <c r="I429" s="37"/>
      <c r="J429" s="37"/>
      <c r="K429" s="37"/>
      <c r="L429" s="199">
        <v>28.0</v>
      </c>
      <c r="M429" s="199">
        <v>270.3</v>
      </c>
      <c r="N429" s="199"/>
      <c r="O429" s="199">
        <v>0.0</v>
      </c>
      <c r="P429" s="199">
        <v>0.03</v>
      </c>
      <c r="Q429" s="199">
        <v>0.0</v>
      </c>
      <c r="R429" s="199">
        <v>3.0</v>
      </c>
      <c r="S429" s="199">
        <v>1.0</v>
      </c>
      <c r="T429" s="199">
        <v>0.0</v>
      </c>
      <c r="U429" s="199">
        <v>59.0</v>
      </c>
      <c r="V429" s="199">
        <v>2.0</v>
      </c>
      <c r="W429" s="199">
        <v>0.0</v>
      </c>
      <c r="X429" s="199">
        <v>0.0</v>
      </c>
      <c r="Y429" s="199">
        <v>0.0</v>
      </c>
      <c r="Z429" s="199">
        <v>0.0</v>
      </c>
      <c r="AA429" s="199">
        <v>0.0</v>
      </c>
      <c r="AB429" s="199">
        <v>26.0</v>
      </c>
      <c r="AC429" s="199">
        <v>24.0</v>
      </c>
      <c r="AD429" s="199">
        <v>0.0</v>
      </c>
      <c r="AE429" s="199">
        <v>80.0</v>
      </c>
      <c r="AF429" s="199">
        <v>3.0</v>
      </c>
      <c r="AG429" s="199">
        <v>499.0</v>
      </c>
      <c r="AH429" s="199">
        <v>17.0</v>
      </c>
      <c r="AI429" s="200" t="s">
        <v>783</v>
      </c>
      <c r="AJ429" s="200" t="s">
        <v>799</v>
      </c>
      <c r="AK429" s="200"/>
      <c r="AL429" s="204"/>
      <c r="AM429" s="204"/>
    </row>
    <row r="430">
      <c r="A430" s="199" t="s">
        <v>122</v>
      </c>
      <c r="B430" s="200" t="s">
        <v>354</v>
      </c>
      <c r="C430" s="199">
        <v>2.5112224268E10</v>
      </c>
      <c r="D430" s="201">
        <v>45756.0</v>
      </c>
      <c r="E430" s="202" t="s">
        <v>102</v>
      </c>
      <c r="F430" s="202" t="s">
        <v>102</v>
      </c>
      <c r="G430" s="203" t="s">
        <v>100</v>
      </c>
      <c r="H430" s="203" t="s">
        <v>100</v>
      </c>
      <c r="I430" s="37"/>
      <c r="J430" s="37"/>
      <c r="K430" s="37"/>
      <c r="L430" s="199">
        <v>68.0</v>
      </c>
      <c r="M430" s="199">
        <v>273.8</v>
      </c>
      <c r="N430" s="199"/>
      <c r="O430" s="199">
        <v>2.0</v>
      </c>
      <c r="P430" s="199">
        <v>0.02</v>
      </c>
      <c r="Q430" s="199">
        <v>0.0</v>
      </c>
      <c r="R430" s="199">
        <v>7.0</v>
      </c>
      <c r="S430" s="199">
        <v>0.0</v>
      </c>
      <c r="T430" s="199">
        <v>0.0</v>
      </c>
      <c r="U430" s="199">
        <v>96.0</v>
      </c>
      <c r="V430" s="199">
        <v>0.0</v>
      </c>
      <c r="W430" s="199">
        <v>0.0</v>
      </c>
      <c r="X430" s="199">
        <v>0.0</v>
      </c>
      <c r="Y430" s="199">
        <v>0.0</v>
      </c>
      <c r="Z430" s="199">
        <v>2.0</v>
      </c>
      <c r="AA430" s="199">
        <v>0.0</v>
      </c>
      <c r="AB430" s="199">
        <v>33.0</v>
      </c>
      <c r="AC430" s="199">
        <v>15.0</v>
      </c>
      <c r="AD430" s="199">
        <v>0.0</v>
      </c>
      <c r="AE430" s="199">
        <v>218.0</v>
      </c>
      <c r="AF430" s="199">
        <v>4.0</v>
      </c>
      <c r="AG430" s="199">
        <v>332.0</v>
      </c>
      <c r="AH430" s="199">
        <v>37.0</v>
      </c>
      <c r="AI430" s="200" t="s">
        <v>783</v>
      </c>
      <c r="AJ430" s="200" t="s">
        <v>848</v>
      </c>
      <c r="AK430" s="200"/>
      <c r="AL430" s="204"/>
      <c r="AM430" s="204"/>
    </row>
    <row r="431">
      <c r="A431" s="199" t="s">
        <v>122</v>
      </c>
      <c r="B431" s="200" t="s">
        <v>354</v>
      </c>
      <c r="C431" s="199">
        <v>2.5294210232E10</v>
      </c>
      <c r="D431" s="201">
        <v>45946.0</v>
      </c>
      <c r="E431" s="202" t="s">
        <v>101</v>
      </c>
      <c r="F431" s="202" t="s">
        <v>101</v>
      </c>
      <c r="G431" s="203" t="s">
        <v>100</v>
      </c>
      <c r="H431" s="203" t="s">
        <v>100</v>
      </c>
      <c r="I431" s="37"/>
      <c r="J431" s="37"/>
      <c r="K431" s="37"/>
      <c r="L431" s="199">
        <v>35.0</v>
      </c>
      <c r="M431" s="199">
        <v>269.3</v>
      </c>
      <c r="N431" s="199"/>
      <c r="O431" s="199">
        <v>4.0</v>
      </c>
      <c r="P431" s="199">
        <v>0.1</v>
      </c>
      <c r="Q431" s="199">
        <v>0.0</v>
      </c>
      <c r="R431" s="199">
        <v>14.0</v>
      </c>
      <c r="S431" s="199">
        <v>1.0</v>
      </c>
      <c r="T431" s="199">
        <v>4.0</v>
      </c>
      <c r="U431" s="199">
        <v>86.0</v>
      </c>
      <c r="V431" s="199">
        <v>2.0</v>
      </c>
      <c r="W431" s="199">
        <v>0.0</v>
      </c>
      <c r="X431" s="199">
        <v>1.0</v>
      </c>
      <c r="Y431" s="199">
        <v>0.0</v>
      </c>
      <c r="Z431" s="199">
        <v>2.0</v>
      </c>
      <c r="AA431" s="199">
        <v>0.0</v>
      </c>
      <c r="AB431" s="199">
        <v>54.0</v>
      </c>
      <c r="AC431" s="199">
        <v>0.0</v>
      </c>
      <c r="AD431" s="199">
        <v>0.0</v>
      </c>
      <c r="AE431" s="199">
        <v>114.0</v>
      </c>
      <c r="AF431" s="199">
        <v>5.0</v>
      </c>
      <c r="AG431" s="199">
        <v>327.0</v>
      </c>
      <c r="AH431" s="199">
        <v>22.0</v>
      </c>
      <c r="AI431" s="200" t="s">
        <v>785</v>
      </c>
      <c r="AJ431" s="200" t="s">
        <v>786</v>
      </c>
      <c r="AK431" s="200"/>
      <c r="AL431" s="204"/>
      <c r="AM431" s="204"/>
    </row>
    <row r="432">
      <c r="A432" s="199" t="s">
        <v>122</v>
      </c>
      <c r="B432" s="200" t="s">
        <v>354</v>
      </c>
      <c r="C432" s="199">
        <v>2.5330281201E10</v>
      </c>
      <c r="D432" s="201">
        <v>45978.0</v>
      </c>
      <c r="E432" s="202" t="s">
        <v>101</v>
      </c>
      <c r="F432" s="202" t="s">
        <v>101</v>
      </c>
      <c r="G432" s="203" t="s">
        <v>102</v>
      </c>
      <c r="H432" s="203" t="s">
        <v>100</v>
      </c>
      <c r="I432" s="37"/>
      <c r="J432" s="37"/>
      <c r="K432" s="37"/>
      <c r="L432" s="199">
        <v>31.0</v>
      </c>
      <c r="M432" s="199">
        <v>261.4</v>
      </c>
      <c r="N432" s="199"/>
      <c r="O432" s="199">
        <v>4.0</v>
      </c>
      <c r="P432" s="199">
        <v>0.06</v>
      </c>
      <c r="Q432" s="199">
        <v>0.0</v>
      </c>
      <c r="R432" s="199">
        <v>21.0</v>
      </c>
      <c r="S432" s="199">
        <v>0.0</v>
      </c>
      <c r="T432" s="199">
        <v>0.0</v>
      </c>
      <c r="U432" s="199">
        <v>94.0</v>
      </c>
      <c r="V432" s="199">
        <v>2.0</v>
      </c>
      <c r="W432" s="199">
        <v>0.0</v>
      </c>
      <c r="X432" s="199">
        <v>0.0</v>
      </c>
      <c r="Y432" s="199">
        <v>0.0</v>
      </c>
      <c r="Z432" s="199">
        <v>2.0</v>
      </c>
      <c r="AA432" s="199">
        <v>0.0</v>
      </c>
      <c r="AB432" s="199">
        <v>111.0</v>
      </c>
      <c r="AC432" s="199">
        <v>88.0</v>
      </c>
      <c r="AD432" s="199">
        <v>0.0</v>
      </c>
      <c r="AE432" s="199">
        <v>174.0</v>
      </c>
      <c r="AF432" s="199">
        <v>5.0</v>
      </c>
      <c r="AG432" s="199">
        <v>367.0</v>
      </c>
      <c r="AH432" s="199">
        <v>33.0</v>
      </c>
      <c r="AI432" s="200" t="s">
        <v>785</v>
      </c>
      <c r="AJ432" s="200" t="s">
        <v>849</v>
      </c>
      <c r="AK432" s="200"/>
      <c r="AL432" s="204"/>
      <c r="AM432" s="204"/>
    </row>
    <row r="433">
      <c r="A433" s="199" t="s">
        <v>124</v>
      </c>
      <c r="B433" s="200" t="s">
        <v>790</v>
      </c>
      <c r="C433" s="199">
        <v>2.4303290255E10</v>
      </c>
      <c r="D433" s="201">
        <v>45589.0</v>
      </c>
      <c r="E433" s="202" t="s">
        <v>100</v>
      </c>
      <c r="F433" s="202" t="s">
        <v>100</v>
      </c>
      <c r="G433" s="203" t="s">
        <v>100</v>
      </c>
      <c r="H433" s="203" t="s">
        <v>100</v>
      </c>
      <c r="I433" s="37"/>
      <c r="J433" s="37"/>
      <c r="K433" s="37"/>
      <c r="L433" s="199">
        <v>15.0</v>
      </c>
      <c r="M433" s="199">
        <v>46.4</v>
      </c>
      <c r="N433" s="199"/>
      <c r="O433" s="199">
        <v>0.0</v>
      </c>
      <c r="P433" s="199">
        <v>0.05</v>
      </c>
      <c r="Q433" s="199">
        <v>0.0</v>
      </c>
      <c r="R433" s="199">
        <v>0.0</v>
      </c>
      <c r="S433" s="199">
        <v>1.0</v>
      </c>
      <c r="T433" s="199">
        <v>2.0</v>
      </c>
      <c r="U433" s="199">
        <v>5.0</v>
      </c>
      <c r="V433" s="199">
        <v>0.0</v>
      </c>
      <c r="W433" s="199">
        <v>0.0</v>
      </c>
      <c r="X433" s="199">
        <v>1.0</v>
      </c>
      <c r="Y433" s="199">
        <v>0.0</v>
      </c>
      <c r="Z433" s="199">
        <v>0.0</v>
      </c>
      <c r="AA433" s="199">
        <v>0.0</v>
      </c>
      <c r="AB433" s="199">
        <v>2.0</v>
      </c>
      <c r="AC433" s="199">
        <v>12.0</v>
      </c>
      <c r="AD433" s="199">
        <v>0.0</v>
      </c>
      <c r="AE433" s="199">
        <v>96.0</v>
      </c>
      <c r="AF433" s="199">
        <v>2.0</v>
      </c>
      <c r="AG433" s="199">
        <v>326.0</v>
      </c>
      <c r="AH433" s="199">
        <v>463.0</v>
      </c>
      <c r="AI433" s="200" t="s">
        <v>655</v>
      </c>
      <c r="AJ433" s="200" t="s">
        <v>656</v>
      </c>
      <c r="AK433" s="200"/>
      <c r="AL433" s="204"/>
      <c r="AM433" s="204"/>
    </row>
    <row r="434">
      <c r="A434" s="199" t="s">
        <v>124</v>
      </c>
      <c r="B434" s="200" t="s">
        <v>790</v>
      </c>
      <c r="C434" s="199">
        <v>2.529421021E10</v>
      </c>
      <c r="D434" s="201">
        <v>45946.0</v>
      </c>
      <c r="E434" s="202" t="s">
        <v>102</v>
      </c>
      <c r="F434" s="202" t="s">
        <v>100</v>
      </c>
      <c r="G434" s="203" t="s">
        <v>100</v>
      </c>
      <c r="H434" s="203" t="s">
        <v>102</v>
      </c>
      <c r="I434" s="199">
        <v>9712.0</v>
      </c>
      <c r="J434" s="199">
        <v>4602.0</v>
      </c>
      <c r="K434" s="199">
        <v>898.0</v>
      </c>
      <c r="L434" s="199">
        <v>6.0</v>
      </c>
      <c r="M434" s="199">
        <v>53.4</v>
      </c>
      <c r="N434" s="199"/>
      <c r="O434" s="199">
        <v>1.0</v>
      </c>
      <c r="P434" s="199">
        <v>0.01</v>
      </c>
      <c r="Q434" s="199">
        <v>0.0</v>
      </c>
      <c r="R434" s="199">
        <v>3.0</v>
      </c>
      <c r="S434" s="199">
        <v>0.0</v>
      </c>
      <c r="T434" s="199">
        <v>0.0</v>
      </c>
      <c r="U434" s="199">
        <v>0.0</v>
      </c>
      <c r="V434" s="199">
        <v>0.0</v>
      </c>
      <c r="W434" s="199">
        <v>0.0</v>
      </c>
      <c r="X434" s="199">
        <v>0.0</v>
      </c>
      <c r="Y434" s="199">
        <v>0.0</v>
      </c>
      <c r="Z434" s="199">
        <v>0.0</v>
      </c>
      <c r="AA434" s="199">
        <v>0.0</v>
      </c>
      <c r="AB434" s="199">
        <v>2.0</v>
      </c>
      <c r="AC434" s="199">
        <v>0.0</v>
      </c>
      <c r="AD434" s="199">
        <v>0.0</v>
      </c>
      <c r="AE434" s="199">
        <v>42.0</v>
      </c>
      <c r="AF434" s="199">
        <v>1.0</v>
      </c>
      <c r="AG434" s="199">
        <v>312.0</v>
      </c>
      <c r="AH434" s="199">
        <v>308.0</v>
      </c>
      <c r="AI434" s="200" t="s">
        <v>792</v>
      </c>
      <c r="AJ434" s="200" t="s">
        <v>789</v>
      </c>
      <c r="AK434" s="200"/>
      <c r="AL434" s="204"/>
      <c r="AM434" s="204"/>
    </row>
    <row r="435">
      <c r="A435" s="199" t="s">
        <v>125</v>
      </c>
      <c r="B435" s="200" t="s">
        <v>357</v>
      </c>
      <c r="C435" s="199">
        <v>2.4343812245E10</v>
      </c>
      <c r="D435" s="201">
        <v>45624.0</v>
      </c>
      <c r="E435" s="202" t="s">
        <v>101</v>
      </c>
      <c r="F435" s="202" t="s">
        <v>101</v>
      </c>
      <c r="G435" s="203" t="s">
        <v>101</v>
      </c>
      <c r="H435" s="203" t="s">
        <v>101</v>
      </c>
      <c r="I435" s="37"/>
      <c r="J435" s="37"/>
      <c r="K435" s="37"/>
      <c r="L435" s="199">
        <v>257.0</v>
      </c>
      <c r="M435" s="199">
        <v>215.5</v>
      </c>
      <c r="N435" s="199"/>
      <c r="O435" s="199">
        <v>4.0</v>
      </c>
      <c r="P435" s="199">
        <v>1.8</v>
      </c>
      <c r="Q435" s="199">
        <v>0.0</v>
      </c>
      <c r="R435" s="199">
        <v>16.0</v>
      </c>
      <c r="S435" s="199">
        <v>0.0</v>
      </c>
      <c r="T435" s="199">
        <v>0.0</v>
      </c>
      <c r="U435" s="199">
        <v>960.0</v>
      </c>
      <c r="V435" s="199">
        <v>2.0</v>
      </c>
      <c r="W435" s="199">
        <v>0.0</v>
      </c>
      <c r="X435" s="199">
        <v>0.0</v>
      </c>
      <c r="Y435" s="199">
        <v>0.0</v>
      </c>
      <c r="Z435" s="199">
        <v>0.0</v>
      </c>
      <c r="AA435" s="199">
        <v>0.0</v>
      </c>
      <c r="AB435" s="199">
        <v>81.0</v>
      </c>
      <c r="AC435" s="199">
        <v>11.0</v>
      </c>
      <c r="AD435" s="199">
        <v>0.0</v>
      </c>
      <c r="AE435" s="199">
        <v>294.0</v>
      </c>
      <c r="AF435" s="199">
        <v>5.0</v>
      </c>
      <c r="AG435" s="199">
        <v>343.0</v>
      </c>
      <c r="AH435" s="199">
        <v>28.0</v>
      </c>
      <c r="AI435" s="200" t="s">
        <v>850</v>
      </c>
      <c r="AJ435" s="200" t="s">
        <v>851</v>
      </c>
      <c r="AK435" s="200"/>
      <c r="AL435" s="204"/>
      <c r="AM435" s="204"/>
    </row>
    <row r="436">
      <c r="A436" s="199" t="s">
        <v>125</v>
      </c>
      <c r="B436" s="200" t="s">
        <v>357</v>
      </c>
      <c r="C436" s="199">
        <v>2.5175246238E10</v>
      </c>
      <c r="D436" s="201">
        <v>45826.0</v>
      </c>
      <c r="E436" s="202" t="s">
        <v>101</v>
      </c>
      <c r="F436" s="202" t="s">
        <v>101</v>
      </c>
      <c r="G436" s="203" t="s">
        <v>102</v>
      </c>
      <c r="H436" s="203" t="s">
        <v>102</v>
      </c>
      <c r="I436" s="37"/>
      <c r="J436" s="37"/>
      <c r="K436" s="37"/>
      <c r="L436" s="199">
        <v>100.0</v>
      </c>
      <c r="M436" s="199">
        <v>262.7</v>
      </c>
      <c r="N436" s="199"/>
      <c r="O436" s="199">
        <v>6.0</v>
      </c>
      <c r="P436" s="199">
        <v>0.2</v>
      </c>
      <c r="Q436" s="199">
        <v>0.0</v>
      </c>
      <c r="R436" s="199">
        <v>17.0</v>
      </c>
      <c r="S436" s="199">
        <v>5.0</v>
      </c>
      <c r="T436" s="199">
        <v>2.0</v>
      </c>
      <c r="U436" s="199">
        <v>222.0</v>
      </c>
      <c r="V436" s="199">
        <v>2.0</v>
      </c>
      <c r="W436" s="199">
        <v>0.0</v>
      </c>
      <c r="X436" s="199">
        <v>0.0</v>
      </c>
      <c r="Y436" s="199">
        <v>0.0</v>
      </c>
      <c r="Z436" s="199">
        <v>3.0</v>
      </c>
      <c r="AA436" s="199">
        <v>0.0</v>
      </c>
      <c r="AB436" s="199">
        <v>125.0</v>
      </c>
      <c r="AC436" s="199">
        <v>28.0</v>
      </c>
      <c r="AD436" s="199">
        <v>0.0</v>
      </c>
      <c r="AE436" s="199">
        <v>287.0</v>
      </c>
      <c r="AF436" s="199">
        <v>12.0</v>
      </c>
      <c r="AG436" s="199">
        <v>541.0</v>
      </c>
      <c r="AH436" s="199">
        <v>41.0</v>
      </c>
      <c r="AI436" s="200" t="s">
        <v>829</v>
      </c>
      <c r="AJ436" s="200" t="s">
        <v>852</v>
      </c>
      <c r="AK436" s="200"/>
      <c r="AL436" s="204"/>
      <c r="AM436" s="204"/>
    </row>
    <row r="437">
      <c r="A437" s="199" t="s">
        <v>125</v>
      </c>
      <c r="B437" s="200" t="s">
        <v>357</v>
      </c>
      <c r="C437" s="199">
        <v>2.5259169217E10</v>
      </c>
      <c r="D437" s="201">
        <v>45908.0</v>
      </c>
      <c r="E437" s="202" t="s">
        <v>102</v>
      </c>
      <c r="F437" s="202" t="s">
        <v>102</v>
      </c>
      <c r="G437" s="203" t="s">
        <v>100</v>
      </c>
      <c r="H437" s="203" t="s">
        <v>100</v>
      </c>
      <c r="I437" s="37"/>
      <c r="J437" s="37"/>
      <c r="K437" s="37"/>
      <c r="L437" s="199">
        <v>28.0</v>
      </c>
      <c r="M437" s="199">
        <v>278.3</v>
      </c>
      <c r="N437" s="199"/>
      <c r="O437" s="199">
        <v>2.0</v>
      </c>
      <c r="P437" s="199">
        <v>0.05</v>
      </c>
      <c r="Q437" s="199">
        <v>0.0</v>
      </c>
      <c r="R437" s="199">
        <v>7.0</v>
      </c>
      <c r="S437" s="199">
        <v>1.0</v>
      </c>
      <c r="T437" s="199">
        <v>4.0</v>
      </c>
      <c r="U437" s="199">
        <v>33.0</v>
      </c>
      <c r="V437" s="199">
        <v>0.0</v>
      </c>
      <c r="W437" s="199">
        <v>0.0</v>
      </c>
      <c r="X437" s="199">
        <v>1.0</v>
      </c>
      <c r="Y437" s="199">
        <v>0.0</v>
      </c>
      <c r="Z437" s="199">
        <v>2.0</v>
      </c>
      <c r="AA437" s="199">
        <v>0.0</v>
      </c>
      <c r="AB437" s="199">
        <v>20.0</v>
      </c>
      <c r="AC437" s="199">
        <v>22.0</v>
      </c>
      <c r="AD437" s="199">
        <v>0.0</v>
      </c>
      <c r="AE437" s="199">
        <v>88.0</v>
      </c>
      <c r="AF437" s="199">
        <v>5.0</v>
      </c>
      <c r="AG437" s="199">
        <v>278.0</v>
      </c>
      <c r="AH437" s="199">
        <v>5.0</v>
      </c>
      <c r="AI437" s="200" t="s">
        <v>653</v>
      </c>
      <c r="AJ437" s="200" t="s">
        <v>778</v>
      </c>
      <c r="AK437" s="200"/>
      <c r="AL437" s="204"/>
      <c r="AM437" s="204"/>
    </row>
    <row r="438">
      <c r="A438" s="199" t="s">
        <v>125</v>
      </c>
      <c r="B438" s="200" t="s">
        <v>357</v>
      </c>
      <c r="C438" s="199">
        <v>2.5295220235E10</v>
      </c>
      <c r="D438" s="201">
        <v>45946.0</v>
      </c>
      <c r="E438" s="202" t="s">
        <v>101</v>
      </c>
      <c r="F438" s="202" t="s">
        <v>101</v>
      </c>
      <c r="G438" s="203" t="s">
        <v>102</v>
      </c>
      <c r="H438" s="203" t="s">
        <v>100</v>
      </c>
      <c r="I438" s="37"/>
      <c r="J438" s="37"/>
      <c r="K438" s="37"/>
      <c r="L438" s="199">
        <v>325.0</v>
      </c>
      <c r="M438" s="199">
        <v>304.2</v>
      </c>
      <c r="N438" s="199"/>
      <c r="O438" s="199">
        <v>2.0</v>
      </c>
      <c r="P438" s="199">
        <v>0.2</v>
      </c>
      <c r="Q438" s="199">
        <v>0.0</v>
      </c>
      <c r="R438" s="199">
        <v>1.0</v>
      </c>
      <c r="S438" s="199">
        <v>0.0</v>
      </c>
      <c r="T438" s="199">
        <v>0.0</v>
      </c>
      <c r="U438" s="199">
        <v>90.0</v>
      </c>
      <c r="V438" s="199">
        <v>0.0</v>
      </c>
      <c r="W438" s="199">
        <v>0.0</v>
      </c>
      <c r="X438" s="199">
        <v>0.0</v>
      </c>
      <c r="Y438" s="199">
        <v>0.0</v>
      </c>
      <c r="Z438" s="199">
        <v>2.0</v>
      </c>
      <c r="AA438" s="199">
        <v>0.0</v>
      </c>
      <c r="AB438" s="199">
        <v>136.0</v>
      </c>
      <c r="AC438" s="199">
        <v>19.0</v>
      </c>
      <c r="AD438" s="199">
        <v>0.0</v>
      </c>
      <c r="AE438" s="199">
        <v>141.0</v>
      </c>
      <c r="AF438" s="199">
        <v>2.0</v>
      </c>
      <c r="AG438" s="199">
        <v>439.0</v>
      </c>
      <c r="AH438" s="199">
        <v>1.0</v>
      </c>
      <c r="AI438" s="200" t="s">
        <v>853</v>
      </c>
      <c r="AJ438" s="200" t="s">
        <v>854</v>
      </c>
      <c r="AK438" s="200"/>
      <c r="AL438" s="204"/>
      <c r="AM438" s="204"/>
    </row>
    <row r="439">
      <c r="A439" s="199" t="s">
        <v>125</v>
      </c>
      <c r="B439" s="200" t="s">
        <v>357</v>
      </c>
      <c r="C439" s="199">
        <v>2.5330281228E10</v>
      </c>
      <c r="D439" s="201">
        <v>45978.0</v>
      </c>
      <c r="E439" s="202" t="s">
        <v>101</v>
      </c>
      <c r="F439" s="202" t="s">
        <v>101</v>
      </c>
      <c r="G439" s="203" t="s">
        <v>102</v>
      </c>
      <c r="H439" s="203" t="s">
        <v>100</v>
      </c>
      <c r="I439" s="37"/>
      <c r="J439" s="37"/>
      <c r="K439" s="37"/>
      <c r="L439" s="199">
        <v>171.0</v>
      </c>
      <c r="M439" s="199">
        <v>291.0</v>
      </c>
      <c r="N439" s="199"/>
      <c r="O439" s="199">
        <v>3.0</v>
      </c>
      <c r="P439" s="199">
        <v>0.15</v>
      </c>
      <c r="Q439" s="199">
        <v>0.0</v>
      </c>
      <c r="R439" s="199">
        <v>21.0</v>
      </c>
      <c r="S439" s="199">
        <v>0.0</v>
      </c>
      <c r="T439" s="199">
        <v>0.0</v>
      </c>
      <c r="U439" s="199">
        <v>212.0</v>
      </c>
      <c r="V439" s="199">
        <v>0.0</v>
      </c>
      <c r="W439" s="199">
        <v>0.0</v>
      </c>
      <c r="X439" s="199">
        <v>0.0</v>
      </c>
      <c r="Y439" s="199">
        <v>0.0</v>
      </c>
      <c r="Z439" s="199">
        <v>0.0</v>
      </c>
      <c r="AA439" s="199">
        <v>0.0</v>
      </c>
      <c r="AB439" s="199">
        <v>48.0</v>
      </c>
      <c r="AC439" s="199">
        <v>26.0</v>
      </c>
      <c r="AD439" s="199">
        <v>0.0</v>
      </c>
      <c r="AE439" s="199">
        <v>246.0</v>
      </c>
      <c r="AF439" s="199">
        <v>8.0</v>
      </c>
      <c r="AG439" s="199">
        <v>385.0</v>
      </c>
      <c r="AH439" s="199">
        <v>25.0</v>
      </c>
      <c r="AI439" s="200" t="s">
        <v>837</v>
      </c>
      <c r="AJ439" s="200" t="s">
        <v>855</v>
      </c>
      <c r="AK439" s="200"/>
      <c r="AL439" s="204"/>
      <c r="AM439" s="204"/>
    </row>
    <row r="440">
      <c r="A440" s="199" t="s">
        <v>126</v>
      </c>
      <c r="B440" s="200" t="s">
        <v>357</v>
      </c>
      <c r="C440" s="199">
        <v>2.3303300248E10</v>
      </c>
      <c r="D440" s="201">
        <v>45225.0</v>
      </c>
      <c r="E440" s="202" t="s">
        <v>100</v>
      </c>
      <c r="F440" s="202" t="s">
        <v>100</v>
      </c>
      <c r="G440" s="203" t="s">
        <v>100</v>
      </c>
      <c r="H440" s="203" t="s">
        <v>100</v>
      </c>
      <c r="I440" s="199">
        <v>24096.0</v>
      </c>
      <c r="J440" s="199">
        <v>10533.0</v>
      </c>
      <c r="K440" s="199">
        <v>399.0</v>
      </c>
      <c r="L440" s="199">
        <v>11.0</v>
      </c>
      <c r="M440" s="199">
        <v>279.9</v>
      </c>
      <c r="N440" s="199"/>
      <c r="O440" s="199">
        <v>0.0</v>
      </c>
      <c r="P440" s="199">
        <v>0.04</v>
      </c>
      <c r="Q440" s="199">
        <v>0.0</v>
      </c>
      <c r="R440" s="199">
        <v>1.0</v>
      </c>
      <c r="S440" s="199">
        <v>0.0</v>
      </c>
      <c r="T440" s="199">
        <v>0.0</v>
      </c>
      <c r="U440" s="199">
        <v>15.0</v>
      </c>
      <c r="V440" s="199">
        <v>0.0</v>
      </c>
      <c r="W440" s="199">
        <v>0.0</v>
      </c>
      <c r="X440" s="199">
        <v>0.0</v>
      </c>
      <c r="Y440" s="199">
        <v>0.0</v>
      </c>
      <c r="Z440" s="199">
        <v>2.0</v>
      </c>
      <c r="AA440" s="199">
        <v>0.0</v>
      </c>
      <c r="AB440" s="199">
        <v>6.0</v>
      </c>
      <c r="AC440" s="199">
        <v>25.0</v>
      </c>
      <c r="AD440" s="199">
        <v>0.0</v>
      </c>
      <c r="AE440" s="199">
        <v>50.0</v>
      </c>
      <c r="AF440" s="199">
        <v>24.0</v>
      </c>
      <c r="AG440" s="199">
        <v>236.0</v>
      </c>
      <c r="AH440" s="199">
        <v>14.0</v>
      </c>
      <c r="AI440" s="200" t="s">
        <v>655</v>
      </c>
      <c r="AJ440" s="200" t="s">
        <v>656</v>
      </c>
      <c r="AK440" s="200"/>
      <c r="AL440" s="204"/>
      <c r="AM440" s="204"/>
    </row>
    <row r="441">
      <c r="A441" s="199" t="s">
        <v>126</v>
      </c>
      <c r="B441" s="200" t="s">
        <v>357</v>
      </c>
      <c r="C441" s="199">
        <v>2.4139185226E10</v>
      </c>
      <c r="D441" s="201">
        <v>45419.0</v>
      </c>
      <c r="E441" s="202" t="s">
        <v>101</v>
      </c>
      <c r="F441" s="202" t="s">
        <v>101</v>
      </c>
      <c r="G441" s="203" t="s">
        <v>100</v>
      </c>
      <c r="H441" s="203" t="s">
        <v>101</v>
      </c>
      <c r="I441" s="37"/>
      <c r="J441" s="37"/>
      <c r="K441" s="37"/>
      <c r="L441" s="199">
        <v>47.0</v>
      </c>
      <c r="M441" s="199">
        <v>214.4</v>
      </c>
      <c r="N441" s="199"/>
      <c r="O441" s="199">
        <v>3.0</v>
      </c>
      <c r="P441" s="199">
        <v>0.2</v>
      </c>
      <c r="Q441" s="199">
        <v>0.0</v>
      </c>
      <c r="R441" s="199">
        <v>11.0</v>
      </c>
      <c r="S441" s="199">
        <v>1.0</v>
      </c>
      <c r="T441" s="199">
        <v>0.0</v>
      </c>
      <c r="U441" s="199">
        <v>57.0</v>
      </c>
      <c r="V441" s="199">
        <v>0.0</v>
      </c>
      <c r="W441" s="199">
        <v>0.0</v>
      </c>
      <c r="X441" s="199">
        <v>0.0</v>
      </c>
      <c r="Y441" s="199">
        <v>1.0</v>
      </c>
      <c r="Z441" s="199">
        <v>2.0</v>
      </c>
      <c r="AA441" s="199">
        <v>0.0</v>
      </c>
      <c r="AB441" s="199">
        <v>71.0</v>
      </c>
      <c r="AC441" s="199">
        <v>37.0</v>
      </c>
      <c r="AD441" s="199">
        <v>0.0</v>
      </c>
      <c r="AE441" s="199">
        <v>17.0</v>
      </c>
      <c r="AF441" s="199">
        <v>0.0</v>
      </c>
      <c r="AG441" s="199">
        <v>402.0</v>
      </c>
      <c r="AH441" s="199">
        <v>26.0</v>
      </c>
      <c r="AI441" s="200" t="s">
        <v>781</v>
      </c>
      <c r="AJ441" s="200" t="s">
        <v>782</v>
      </c>
      <c r="AK441" s="200"/>
      <c r="AL441" s="204"/>
      <c r="AM441" s="204"/>
    </row>
    <row r="442">
      <c r="A442" s="199" t="s">
        <v>126</v>
      </c>
      <c r="B442" s="200" t="s">
        <v>357</v>
      </c>
      <c r="C442" s="199">
        <v>2.4307211211E10</v>
      </c>
      <c r="D442" s="201">
        <v>45589.0</v>
      </c>
      <c r="E442" s="202" t="s">
        <v>101</v>
      </c>
      <c r="F442" s="202" t="s">
        <v>101</v>
      </c>
      <c r="G442" s="203" t="s">
        <v>100</v>
      </c>
      <c r="H442" s="203" t="s">
        <v>101</v>
      </c>
      <c r="I442" s="37"/>
      <c r="J442" s="37"/>
      <c r="K442" s="37"/>
      <c r="L442" s="199">
        <v>25.0</v>
      </c>
      <c r="M442" s="199">
        <v>228.2</v>
      </c>
      <c r="N442" s="199"/>
      <c r="O442" s="199">
        <v>0.0</v>
      </c>
      <c r="P442" s="199">
        <v>0.1</v>
      </c>
      <c r="Q442" s="199">
        <v>0.0</v>
      </c>
      <c r="R442" s="199">
        <v>4.0</v>
      </c>
      <c r="S442" s="199">
        <v>2.0</v>
      </c>
      <c r="T442" s="199">
        <v>0.0</v>
      </c>
      <c r="U442" s="199">
        <v>70.0</v>
      </c>
      <c r="V442" s="199">
        <v>2.0</v>
      </c>
      <c r="W442" s="199">
        <v>0.0</v>
      </c>
      <c r="X442" s="199">
        <v>0.0</v>
      </c>
      <c r="Y442" s="199">
        <v>0.0</v>
      </c>
      <c r="Z442" s="199">
        <v>2.0</v>
      </c>
      <c r="AA442" s="199">
        <v>2.0</v>
      </c>
      <c r="AB442" s="199">
        <v>42.0</v>
      </c>
      <c r="AC442" s="199">
        <v>21.0</v>
      </c>
      <c r="AD442" s="199">
        <v>0.0</v>
      </c>
      <c r="AE442" s="199">
        <v>79.0</v>
      </c>
      <c r="AF442" s="199">
        <v>6.0</v>
      </c>
      <c r="AG442" s="199">
        <v>460.0</v>
      </c>
      <c r="AH442" s="199">
        <v>37.0</v>
      </c>
      <c r="AI442" s="200" t="s">
        <v>776</v>
      </c>
      <c r="AJ442" s="200" t="s">
        <v>786</v>
      </c>
      <c r="AK442" s="200"/>
      <c r="AL442" s="204"/>
      <c r="AM442" s="204"/>
    </row>
    <row r="443">
      <c r="A443" s="199" t="s">
        <v>126</v>
      </c>
      <c r="B443" s="200" t="s">
        <v>357</v>
      </c>
      <c r="C443" s="199">
        <v>2.4343812246E10</v>
      </c>
      <c r="D443" s="201">
        <v>45624.0</v>
      </c>
      <c r="E443" s="202" t="s">
        <v>101</v>
      </c>
      <c r="F443" s="202" t="s">
        <v>101</v>
      </c>
      <c r="G443" s="203" t="s">
        <v>101</v>
      </c>
      <c r="H443" s="203" t="s">
        <v>101</v>
      </c>
      <c r="I443" s="37"/>
      <c r="J443" s="37"/>
      <c r="K443" s="37"/>
      <c r="L443" s="199">
        <v>184.0</v>
      </c>
      <c r="M443" s="199">
        <v>206.2</v>
      </c>
      <c r="N443" s="199"/>
      <c r="O443" s="199">
        <v>8.0</v>
      </c>
      <c r="P443" s="199">
        <v>0.6</v>
      </c>
      <c r="Q443" s="199">
        <v>0.0</v>
      </c>
      <c r="R443" s="199">
        <v>23.0</v>
      </c>
      <c r="S443" s="199">
        <v>1.0</v>
      </c>
      <c r="T443" s="199">
        <v>0.0</v>
      </c>
      <c r="U443" s="199">
        <v>293.0</v>
      </c>
      <c r="V443" s="199">
        <v>0.0</v>
      </c>
      <c r="W443" s="199">
        <v>0.0</v>
      </c>
      <c r="X443" s="199">
        <v>0.0</v>
      </c>
      <c r="Y443" s="199">
        <v>1.0</v>
      </c>
      <c r="Z443" s="199">
        <v>1.0</v>
      </c>
      <c r="AA443" s="199">
        <v>0.0</v>
      </c>
      <c r="AB443" s="199">
        <v>79.0</v>
      </c>
      <c r="AC443" s="199">
        <v>25.0</v>
      </c>
      <c r="AD443" s="199">
        <v>0.0</v>
      </c>
      <c r="AE443" s="199">
        <v>251.0</v>
      </c>
      <c r="AF443" s="199">
        <v>5.0</v>
      </c>
      <c r="AG443" s="199">
        <v>338.0</v>
      </c>
      <c r="AH443" s="199">
        <v>33.0</v>
      </c>
      <c r="AI443" s="200" t="s">
        <v>850</v>
      </c>
      <c r="AJ443" s="200" t="s">
        <v>856</v>
      </c>
      <c r="AK443" s="200"/>
      <c r="AL443" s="204"/>
      <c r="AM443" s="204"/>
    </row>
    <row r="444">
      <c r="A444" s="199" t="s">
        <v>126</v>
      </c>
      <c r="B444" s="200" t="s">
        <v>357</v>
      </c>
      <c r="C444" s="199">
        <v>2.533026122E10</v>
      </c>
      <c r="D444" s="201">
        <v>45978.0</v>
      </c>
      <c r="E444" s="202" t="s">
        <v>101</v>
      </c>
      <c r="F444" s="202" t="s">
        <v>101</v>
      </c>
      <c r="G444" s="203" t="s">
        <v>100</v>
      </c>
      <c r="H444" s="203" t="s">
        <v>101</v>
      </c>
      <c r="I444" s="37"/>
      <c r="J444" s="37"/>
      <c r="K444" s="37"/>
      <c r="L444" s="199">
        <v>149.0</v>
      </c>
      <c r="M444" s="199">
        <v>191.8</v>
      </c>
      <c r="N444" s="199"/>
      <c r="O444" s="199">
        <v>0.0</v>
      </c>
      <c r="P444" s="199">
        <v>0.2</v>
      </c>
      <c r="Q444" s="199">
        <v>0.0</v>
      </c>
      <c r="R444" s="199">
        <v>3.0</v>
      </c>
      <c r="S444" s="199">
        <v>0.0</v>
      </c>
      <c r="T444" s="199">
        <v>0.0</v>
      </c>
      <c r="U444" s="199">
        <v>158.0</v>
      </c>
      <c r="V444" s="199">
        <v>2.0</v>
      </c>
      <c r="W444" s="199">
        <v>0.0</v>
      </c>
      <c r="X444" s="199">
        <v>0.0</v>
      </c>
      <c r="Y444" s="199">
        <v>0.0</v>
      </c>
      <c r="Z444" s="199">
        <v>2.0</v>
      </c>
      <c r="AA444" s="199">
        <v>0.0</v>
      </c>
      <c r="AB444" s="199">
        <v>78.0</v>
      </c>
      <c r="AC444" s="199">
        <v>23.0</v>
      </c>
      <c r="AD444" s="199">
        <v>0.0</v>
      </c>
      <c r="AE444" s="199">
        <v>22.0</v>
      </c>
      <c r="AF444" s="199">
        <v>6.0</v>
      </c>
      <c r="AG444" s="199">
        <v>563.0</v>
      </c>
      <c r="AH444" s="199">
        <v>75.0</v>
      </c>
      <c r="AI444" s="200" t="s">
        <v>853</v>
      </c>
      <c r="AJ444" s="200" t="s">
        <v>857</v>
      </c>
      <c r="AK444" s="200"/>
      <c r="AL444" s="204"/>
      <c r="AM444" s="204"/>
    </row>
    <row r="445">
      <c r="A445" s="199" t="s">
        <v>129</v>
      </c>
      <c r="B445" s="200" t="s">
        <v>362</v>
      </c>
      <c r="C445" s="199">
        <v>2.5112224228E10</v>
      </c>
      <c r="D445" s="201">
        <v>45756.0</v>
      </c>
      <c r="E445" s="202" t="s">
        <v>102</v>
      </c>
      <c r="F445" s="202" t="s">
        <v>102</v>
      </c>
      <c r="G445" s="203" t="s">
        <v>100</v>
      </c>
      <c r="H445" s="203" t="s">
        <v>100</v>
      </c>
      <c r="I445" s="37"/>
      <c r="J445" s="37"/>
      <c r="K445" s="37"/>
      <c r="L445" s="199">
        <v>22.0</v>
      </c>
      <c r="M445" s="199">
        <v>45.6</v>
      </c>
      <c r="N445" s="199"/>
      <c r="O445" s="199">
        <v>0.0</v>
      </c>
      <c r="P445" s="199">
        <v>0.02</v>
      </c>
      <c r="Q445" s="199">
        <v>0.0</v>
      </c>
      <c r="R445" s="199">
        <v>0.0</v>
      </c>
      <c r="S445" s="199">
        <v>0.0</v>
      </c>
      <c r="T445" s="199">
        <v>13.0</v>
      </c>
      <c r="U445" s="199">
        <v>22.0</v>
      </c>
      <c r="V445" s="199">
        <v>0.0</v>
      </c>
      <c r="W445" s="199">
        <v>0.0</v>
      </c>
      <c r="X445" s="199">
        <v>0.0</v>
      </c>
      <c r="Y445" s="199">
        <v>0.0</v>
      </c>
      <c r="Z445" s="199">
        <v>0.0</v>
      </c>
      <c r="AA445" s="199">
        <v>2.0</v>
      </c>
      <c r="AB445" s="199">
        <v>3.0</v>
      </c>
      <c r="AC445" s="199">
        <v>17.0</v>
      </c>
      <c r="AD445" s="199">
        <v>2.0</v>
      </c>
      <c r="AE445" s="199">
        <v>77.0</v>
      </c>
      <c r="AF445" s="199">
        <v>2.0</v>
      </c>
      <c r="AG445" s="199">
        <v>433.0</v>
      </c>
      <c r="AH445" s="199">
        <v>584.0</v>
      </c>
      <c r="AI445" s="200" t="s">
        <v>653</v>
      </c>
      <c r="AJ445" s="200" t="s">
        <v>654</v>
      </c>
      <c r="AK445" s="200"/>
      <c r="AL445" s="204"/>
      <c r="AM445" s="204"/>
    </row>
    <row r="446">
      <c r="A446" s="199" t="s">
        <v>144</v>
      </c>
      <c r="B446" s="200" t="s">
        <v>388</v>
      </c>
      <c r="C446" s="199">
        <v>2.4211297239E10</v>
      </c>
      <c r="D446" s="201">
        <v>45497.0</v>
      </c>
      <c r="E446" s="202" t="s">
        <v>101</v>
      </c>
      <c r="F446" s="202" t="s">
        <v>101</v>
      </c>
      <c r="G446" s="203" t="s">
        <v>100</v>
      </c>
      <c r="H446" s="203" t="s">
        <v>100</v>
      </c>
      <c r="I446" s="37"/>
      <c r="J446" s="37"/>
      <c r="K446" s="37"/>
      <c r="L446" s="199">
        <v>30.0</v>
      </c>
      <c r="M446" s="199">
        <v>92.6</v>
      </c>
      <c r="N446" s="37"/>
      <c r="O446" s="37"/>
      <c r="P446" s="199">
        <v>0.1</v>
      </c>
      <c r="Q446" s="199">
        <v>0.0</v>
      </c>
      <c r="R446" s="199">
        <v>6.0</v>
      </c>
      <c r="S446" s="199">
        <v>0.0</v>
      </c>
      <c r="T446" s="199">
        <v>4.0</v>
      </c>
      <c r="U446" s="199">
        <v>34.0</v>
      </c>
      <c r="V446" s="199">
        <v>0.0</v>
      </c>
      <c r="W446" s="199">
        <v>0.0</v>
      </c>
      <c r="X446" s="199">
        <v>3.0</v>
      </c>
      <c r="Y446" s="199">
        <v>5.0</v>
      </c>
      <c r="Z446" s="199">
        <v>0.0</v>
      </c>
      <c r="AA446" s="199">
        <v>0.0</v>
      </c>
      <c r="AB446" s="199">
        <v>2.0</v>
      </c>
      <c r="AC446" s="199">
        <v>2.0</v>
      </c>
      <c r="AD446" s="199">
        <v>0.0</v>
      </c>
      <c r="AE446" s="199">
        <v>36.0</v>
      </c>
      <c r="AF446" s="199">
        <v>5.0</v>
      </c>
      <c r="AG446" s="199">
        <v>547.0</v>
      </c>
      <c r="AH446" s="199">
        <v>11.0</v>
      </c>
      <c r="AI446" s="200" t="s">
        <v>776</v>
      </c>
      <c r="AJ446" s="200" t="s">
        <v>777</v>
      </c>
      <c r="AK446" s="200"/>
      <c r="AL446" s="204"/>
      <c r="AM446" s="204"/>
    </row>
    <row r="447">
      <c r="A447" s="199" t="s">
        <v>144</v>
      </c>
      <c r="B447" s="200" t="s">
        <v>388</v>
      </c>
      <c r="C447" s="199">
        <v>2.4303290261E10</v>
      </c>
      <c r="D447" s="201">
        <v>45589.0</v>
      </c>
      <c r="E447" s="202" t="s">
        <v>100</v>
      </c>
      <c r="F447" s="202" t="s">
        <v>100</v>
      </c>
      <c r="G447" s="203" t="s">
        <v>100</v>
      </c>
      <c r="H447" s="203" t="s">
        <v>100</v>
      </c>
      <c r="I447" s="37"/>
      <c r="J447" s="37"/>
      <c r="K447" s="37"/>
      <c r="L447" s="199">
        <v>7.0</v>
      </c>
      <c r="M447" s="199">
        <v>91.4</v>
      </c>
      <c r="N447" s="37"/>
      <c r="O447" s="37"/>
      <c r="P447" s="199">
        <v>0.02</v>
      </c>
      <c r="Q447" s="199">
        <v>0.0</v>
      </c>
      <c r="R447" s="199">
        <v>2.0</v>
      </c>
      <c r="S447" s="199">
        <v>1.0</v>
      </c>
      <c r="T447" s="199">
        <v>4.0</v>
      </c>
      <c r="U447" s="199">
        <v>17.0</v>
      </c>
      <c r="V447" s="199">
        <v>0.0</v>
      </c>
      <c r="W447" s="199">
        <v>0.0</v>
      </c>
      <c r="X447" s="199">
        <v>1.0</v>
      </c>
      <c r="Y447" s="199">
        <v>0.0</v>
      </c>
      <c r="Z447" s="199">
        <v>0.0</v>
      </c>
      <c r="AA447" s="199">
        <v>0.0</v>
      </c>
      <c r="AB447" s="199">
        <v>12.0</v>
      </c>
      <c r="AC447" s="199">
        <v>10.0</v>
      </c>
      <c r="AD447" s="199">
        <v>0.0</v>
      </c>
      <c r="AE447" s="199">
        <v>21.0</v>
      </c>
      <c r="AF447" s="199">
        <v>2.0</v>
      </c>
      <c r="AG447" s="199">
        <v>398.0</v>
      </c>
      <c r="AH447" s="199">
        <v>10.0</v>
      </c>
      <c r="AI447" s="200" t="s">
        <v>655</v>
      </c>
      <c r="AJ447" s="200" t="s">
        <v>656</v>
      </c>
      <c r="AK447" s="200"/>
      <c r="AL447" s="204"/>
      <c r="AM447" s="204"/>
    </row>
    <row r="448">
      <c r="A448" s="199" t="s">
        <v>144</v>
      </c>
      <c r="B448" s="200" t="s">
        <v>388</v>
      </c>
      <c r="C448" s="199">
        <v>2.4343812249E10</v>
      </c>
      <c r="D448" s="201">
        <v>45623.0</v>
      </c>
      <c r="E448" s="202" t="s">
        <v>102</v>
      </c>
      <c r="F448" s="202" t="s">
        <v>102</v>
      </c>
      <c r="G448" s="203" t="s">
        <v>100</v>
      </c>
      <c r="H448" s="203" t="s">
        <v>102</v>
      </c>
      <c r="I448" s="37"/>
      <c r="J448" s="37"/>
      <c r="K448" s="37"/>
      <c r="L448" s="199">
        <v>63.0</v>
      </c>
      <c r="M448" s="199">
        <v>81.4</v>
      </c>
      <c r="N448" s="37"/>
      <c r="O448" s="37"/>
      <c r="P448" s="199">
        <v>0.05</v>
      </c>
      <c r="Q448" s="199">
        <v>0.0</v>
      </c>
      <c r="R448" s="199">
        <v>1.0</v>
      </c>
      <c r="S448" s="199">
        <v>0.0</v>
      </c>
      <c r="T448" s="199">
        <v>0.0</v>
      </c>
      <c r="U448" s="199">
        <v>53.0</v>
      </c>
      <c r="V448" s="199">
        <v>0.0</v>
      </c>
      <c r="W448" s="199">
        <v>0.0</v>
      </c>
      <c r="X448" s="199">
        <v>0.0</v>
      </c>
      <c r="Y448" s="199">
        <v>0.0</v>
      </c>
      <c r="Z448" s="199">
        <v>0.0</v>
      </c>
      <c r="AA448" s="199">
        <v>0.0</v>
      </c>
      <c r="AB448" s="199">
        <v>27.0</v>
      </c>
      <c r="AC448" s="199">
        <v>5.0</v>
      </c>
      <c r="AD448" s="199">
        <v>0.0</v>
      </c>
      <c r="AE448" s="199">
        <v>34.0</v>
      </c>
      <c r="AF448" s="199">
        <v>0.0</v>
      </c>
      <c r="AG448" s="199">
        <v>399.0</v>
      </c>
      <c r="AH448" s="199">
        <v>6.0</v>
      </c>
      <c r="AI448" s="200" t="s">
        <v>783</v>
      </c>
      <c r="AJ448" s="200" t="s">
        <v>858</v>
      </c>
      <c r="AK448" s="200"/>
      <c r="AL448" s="204"/>
      <c r="AM448" s="204"/>
    </row>
    <row r="449">
      <c r="A449" s="199" t="s">
        <v>144</v>
      </c>
      <c r="B449" s="200" t="s">
        <v>388</v>
      </c>
      <c r="C449" s="199">
        <v>2.517524623E10</v>
      </c>
      <c r="D449" s="201">
        <v>45826.0</v>
      </c>
      <c r="E449" s="202" t="s">
        <v>100</v>
      </c>
      <c r="F449" s="202" t="s">
        <v>100</v>
      </c>
      <c r="G449" s="203" t="s">
        <v>100</v>
      </c>
      <c r="H449" s="203" t="s">
        <v>100</v>
      </c>
      <c r="I449" s="37"/>
      <c r="J449" s="37"/>
      <c r="K449" s="37"/>
      <c r="L449" s="199">
        <v>5.0</v>
      </c>
      <c r="M449" s="199">
        <v>89.5</v>
      </c>
      <c r="N449" s="37"/>
      <c r="O449" s="37"/>
      <c r="P449" s="199">
        <v>0.003</v>
      </c>
      <c r="Q449" s="199">
        <v>0.0</v>
      </c>
      <c r="R449" s="199">
        <v>4.0</v>
      </c>
      <c r="S449" s="199">
        <v>2.0</v>
      </c>
      <c r="T449" s="199">
        <v>4.0</v>
      </c>
      <c r="U449" s="199">
        <v>10.0</v>
      </c>
      <c r="V449" s="199">
        <v>0.0</v>
      </c>
      <c r="W449" s="199">
        <v>0.0</v>
      </c>
      <c r="X449" s="199">
        <v>0.0</v>
      </c>
      <c r="Y449" s="199">
        <v>0.0</v>
      </c>
      <c r="Z449" s="199">
        <v>0.0</v>
      </c>
      <c r="AA449" s="199">
        <v>0.0</v>
      </c>
      <c r="AB449" s="199">
        <v>29.0</v>
      </c>
      <c r="AC449" s="199">
        <v>14.0</v>
      </c>
      <c r="AD449" s="199">
        <v>0.0</v>
      </c>
      <c r="AE449" s="199">
        <v>26.0</v>
      </c>
      <c r="AF449" s="199">
        <v>2.0</v>
      </c>
      <c r="AG449" s="199">
        <v>576.0</v>
      </c>
      <c r="AH449" s="199">
        <v>9.0</v>
      </c>
      <c r="AI449" s="200" t="s">
        <v>655</v>
      </c>
      <c r="AJ449" s="200" t="s">
        <v>656</v>
      </c>
      <c r="AK449" s="200"/>
      <c r="AL449" s="204"/>
      <c r="AM449" s="204"/>
    </row>
    <row r="450">
      <c r="A450" s="199" t="s">
        <v>144</v>
      </c>
      <c r="B450" s="200" t="s">
        <v>388</v>
      </c>
      <c r="C450" s="199">
        <v>2.5330261217E10</v>
      </c>
      <c r="D450" s="201">
        <v>45977.0</v>
      </c>
      <c r="E450" s="202" t="s">
        <v>101</v>
      </c>
      <c r="F450" s="202" t="s">
        <v>101</v>
      </c>
      <c r="G450" s="203" t="s">
        <v>100</v>
      </c>
      <c r="H450" s="203" t="s">
        <v>101</v>
      </c>
      <c r="I450" s="37"/>
      <c r="J450" s="37"/>
      <c r="K450" s="37"/>
      <c r="L450" s="199">
        <v>12.0</v>
      </c>
      <c r="M450" s="199">
        <v>31.9</v>
      </c>
      <c r="N450" s="37"/>
      <c r="O450" s="37"/>
      <c r="P450" s="199">
        <v>0.15</v>
      </c>
      <c r="Q450" s="199">
        <v>0.0</v>
      </c>
      <c r="R450" s="199">
        <v>0.0</v>
      </c>
      <c r="S450" s="199">
        <v>0.0</v>
      </c>
      <c r="T450" s="199">
        <v>0.0</v>
      </c>
      <c r="U450" s="199">
        <v>1.0</v>
      </c>
      <c r="V450" s="199">
        <v>0.0</v>
      </c>
      <c r="W450" s="199">
        <v>0.0</v>
      </c>
      <c r="X450" s="199">
        <v>0.0</v>
      </c>
      <c r="Y450" s="199">
        <v>0.0</v>
      </c>
      <c r="Z450" s="199">
        <v>0.0</v>
      </c>
      <c r="AA450" s="199">
        <v>0.0</v>
      </c>
      <c r="AB450" s="199">
        <v>37.0</v>
      </c>
      <c r="AC450" s="199">
        <v>2.0</v>
      </c>
      <c r="AD450" s="199">
        <v>0.0</v>
      </c>
      <c r="AE450" s="199">
        <v>13.0</v>
      </c>
      <c r="AF450" s="199">
        <v>0.0</v>
      </c>
      <c r="AG450" s="199">
        <v>777.0</v>
      </c>
      <c r="AH450" s="199">
        <v>40.0</v>
      </c>
      <c r="AI450" s="200" t="s">
        <v>859</v>
      </c>
      <c r="AJ450" s="200" t="s">
        <v>860</v>
      </c>
      <c r="AK450" s="200"/>
      <c r="AL450" s="204"/>
      <c r="AM450" s="204"/>
    </row>
    <row r="451">
      <c r="A451" s="199" t="s">
        <v>164</v>
      </c>
      <c r="B451" s="200" t="s">
        <v>412</v>
      </c>
      <c r="C451" s="199">
        <v>2.3348140254E10</v>
      </c>
      <c r="D451" s="201">
        <v>45266.0</v>
      </c>
      <c r="E451" s="202" t="s">
        <v>101</v>
      </c>
      <c r="F451" s="202" t="s">
        <v>101</v>
      </c>
      <c r="G451" s="203" t="s">
        <v>101</v>
      </c>
      <c r="H451" s="203" t="s">
        <v>102</v>
      </c>
      <c r="I451" s="37"/>
      <c r="J451" s="37"/>
      <c r="K451" s="37"/>
      <c r="L451" s="199">
        <v>289.0</v>
      </c>
      <c r="M451" s="199">
        <v>322.3</v>
      </c>
      <c r="N451" s="37"/>
      <c r="O451" s="37"/>
      <c r="P451" s="199">
        <v>0.11</v>
      </c>
      <c r="Q451" s="199">
        <v>0.0</v>
      </c>
      <c r="R451" s="199">
        <v>16.0</v>
      </c>
      <c r="S451" s="199">
        <v>0.0</v>
      </c>
      <c r="T451" s="199">
        <v>0.0</v>
      </c>
      <c r="U451" s="199">
        <v>440.0</v>
      </c>
      <c r="V451" s="199">
        <v>0.0</v>
      </c>
      <c r="W451" s="199">
        <v>0.0</v>
      </c>
      <c r="X451" s="199">
        <v>0.0</v>
      </c>
      <c r="Y451" s="199">
        <v>0.0</v>
      </c>
      <c r="Z451" s="199">
        <v>1.0</v>
      </c>
      <c r="AA451" s="199">
        <v>0.0</v>
      </c>
      <c r="AB451" s="199">
        <v>79.0</v>
      </c>
      <c r="AC451" s="199">
        <v>19.0</v>
      </c>
      <c r="AD451" s="199">
        <v>0.0</v>
      </c>
      <c r="AE451" s="199">
        <v>527.0</v>
      </c>
      <c r="AF451" s="199">
        <v>13.0</v>
      </c>
      <c r="AG451" s="199">
        <v>381.0</v>
      </c>
      <c r="AH451" s="199">
        <v>74.0</v>
      </c>
      <c r="AI451" s="200" t="s">
        <v>827</v>
      </c>
      <c r="AJ451" s="200" t="s">
        <v>861</v>
      </c>
      <c r="AK451" s="200"/>
      <c r="AL451" s="204"/>
      <c r="AM451" s="204"/>
    </row>
    <row r="452">
      <c r="A452" s="199" t="s">
        <v>164</v>
      </c>
      <c r="B452" s="200" t="s">
        <v>412</v>
      </c>
      <c r="C452" s="199">
        <v>2.4307211214E10</v>
      </c>
      <c r="D452" s="201">
        <v>45589.0</v>
      </c>
      <c r="E452" s="202" t="s">
        <v>101</v>
      </c>
      <c r="F452" s="202" t="s">
        <v>101</v>
      </c>
      <c r="G452" s="203" t="s">
        <v>100</v>
      </c>
      <c r="H452" s="203" t="s">
        <v>102</v>
      </c>
      <c r="I452" s="37"/>
      <c r="J452" s="37"/>
      <c r="K452" s="37"/>
      <c r="L452" s="199">
        <v>47.0</v>
      </c>
      <c r="M452" s="199">
        <v>316.6</v>
      </c>
      <c r="N452" s="37"/>
      <c r="O452" s="37"/>
      <c r="P452" s="199">
        <v>0.11</v>
      </c>
      <c r="Q452" s="199">
        <v>0.0</v>
      </c>
      <c r="R452" s="199">
        <v>10.0</v>
      </c>
      <c r="S452" s="199">
        <v>3.0</v>
      </c>
      <c r="T452" s="199">
        <v>0.0</v>
      </c>
      <c r="U452" s="199">
        <v>130.0</v>
      </c>
      <c r="V452" s="199">
        <v>2.0</v>
      </c>
      <c r="W452" s="199">
        <v>0.0</v>
      </c>
      <c r="X452" s="199">
        <v>2.0</v>
      </c>
      <c r="Y452" s="199">
        <v>2.0</v>
      </c>
      <c r="Z452" s="199">
        <v>2.0</v>
      </c>
      <c r="AA452" s="199">
        <v>3.0</v>
      </c>
      <c r="AB452" s="199">
        <v>52.0</v>
      </c>
      <c r="AC452" s="199">
        <v>25.0</v>
      </c>
      <c r="AD452" s="199">
        <v>0.0</v>
      </c>
      <c r="AE452" s="199">
        <v>141.0</v>
      </c>
      <c r="AF452" s="199">
        <v>5.0</v>
      </c>
      <c r="AG452" s="199">
        <v>352.0</v>
      </c>
      <c r="AH452" s="199">
        <v>22.0</v>
      </c>
      <c r="AI452" s="200" t="s">
        <v>781</v>
      </c>
      <c r="AJ452" s="200" t="s">
        <v>862</v>
      </c>
      <c r="AK452" s="200"/>
      <c r="AL452" s="204"/>
      <c r="AM452" s="204"/>
    </row>
    <row r="453">
      <c r="A453" s="199" t="s">
        <v>164</v>
      </c>
      <c r="B453" s="200" t="s">
        <v>412</v>
      </c>
      <c r="C453" s="199">
        <v>2.5112224264E10</v>
      </c>
      <c r="D453" s="201">
        <v>45757.0</v>
      </c>
      <c r="E453" s="202" t="s">
        <v>100</v>
      </c>
      <c r="F453" s="202" t="s">
        <v>100</v>
      </c>
      <c r="G453" s="203" t="s">
        <v>100</v>
      </c>
      <c r="H453" s="203" t="s">
        <v>100</v>
      </c>
      <c r="I453" s="199">
        <v>25621.0</v>
      </c>
      <c r="J453" s="199">
        <v>3254.0</v>
      </c>
      <c r="K453" s="199">
        <v>1032.0</v>
      </c>
      <c r="L453" s="199">
        <v>18.0</v>
      </c>
      <c r="M453" s="199">
        <v>288.4</v>
      </c>
      <c r="N453" s="37"/>
      <c r="O453" s="37"/>
      <c r="P453" s="199">
        <v>0.02</v>
      </c>
      <c r="Q453" s="199">
        <v>0.0</v>
      </c>
      <c r="R453" s="199">
        <v>4.0</v>
      </c>
      <c r="S453" s="199">
        <v>0.0</v>
      </c>
      <c r="T453" s="199">
        <v>0.0</v>
      </c>
      <c r="U453" s="199">
        <v>100.0</v>
      </c>
      <c r="V453" s="199">
        <v>0.0</v>
      </c>
      <c r="W453" s="199">
        <v>0.0</v>
      </c>
      <c r="X453" s="199">
        <v>0.0</v>
      </c>
      <c r="Y453" s="199">
        <v>0.0</v>
      </c>
      <c r="Z453" s="199">
        <v>0.0</v>
      </c>
      <c r="AA453" s="199">
        <v>0.0</v>
      </c>
      <c r="AB453" s="199">
        <v>24.0</v>
      </c>
      <c r="AC453" s="199">
        <v>36.0</v>
      </c>
      <c r="AD453" s="199">
        <v>0.0</v>
      </c>
      <c r="AE453" s="199">
        <v>182.0</v>
      </c>
      <c r="AF453" s="199">
        <v>3.0</v>
      </c>
      <c r="AG453" s="199">
        <v>497.0</v>
      </c>
      <c r="AH453" s="199">
        <v>35.0</v>
      </c>
      <c r="AI453" s="200" t="s">
        <v>655</v>
      </c>
      <c r="AJ453" s="200" t="s">
        <v>656</v>
      </c>
      <c r="AK453" s="200"/>
      <c r="AL453" s="204"/>
      <c r="AM453" s="204"/>
    </row>
    <row r="454">
      <c r="A454" s="199" t="s">
        <v>164</v>
      </c>
      <c r="B454" s="200" t="s">
        <v>412</v>
      </c>
      <c r="C454" s="199">
        <v>2.5295220213E10</v>
      </c>
      <c r="D454" s="201">
        <v>45946.0</v>
      </c>
      <c r="E454" s="202" t="s">
        <v>101</v>
      </c>
      <c r="F454" s="202" t="s">
        <v>101</v>
      </c>
      <c r="G454" s="203" t="s">
        <v>100</v>
      </c>
      <c r="H454" s="203" t="s">
        <v>102</v>
      </c>
      <c r="I454" s="37"/>
      <c r="J454" s="37"/>
      <c r="K454" s="37"/>
      <c r="L454" s="199">
        <v>83.0</v>
      </c>
      <c r="M454" s="199">
        <v>306.2</v>
      </c>
      <c r="N454" s="37"/>
      <c r="O454" s="37"/>
      <c r="P454" s="199">
        <v>0.1</v>
      </c>
      <c r="Q454" s="199">
        <v>0.0</v>
      </c>
      <c r="R454" s="199">
        <v>4.0</v>
      </c>
      <c r="S454" s="199">
        <v>0.0</v>
      </c>
      <c r="T454" s="199">
        <v>0.0</v>
      </c>
      <c r="U454" s="199">
        <v>72.0</v>
      </c>
      <c r="V454" s="199">
        <v>0.0</v>
      </c>
      <c r="W454" s="199">
        <v>0.0</v>
      </c>
      <c r="X454" s="199">
        <v>0.0</v>
      </c>
      <c r="Y454" s="199">
        <v>0.0</v>
      </c>
      <c r="Z454" s="199">
        <v>0.0</v>
      </c>
      <c r="AA454" s="199">
        <v>0.0</v>
      </c>
      <c r="AB454" s="199">
        <v>4.0</v>
      </c>
      <c r="AC454" s="199">
        <v>12.0</v>
      </c>
      <c r="AD454" s="199">
        <v>0.0</v>
      </c>
      <c r="AE454" s="199">
        <v>65.0</v>
      </c>
      <c r="AF454" s="199">
        <v>2.0</v>
      </c>
      <c r="AG454" s="199">
        <v>453.0</v>
      </c>
      <c r="AH454" s="199">
        <v>10.0</v>
      </c>
      <c r="AI454" s="200" t="s">
        <v>776</v>
      </c>
      <c r="AJ454" s="200" t="s">
        <v>863</v>
      </c>
      <c r="AK454" s="200"/>
      <c r="AL454" s="204"/>
      <c r="AM454" s="204"/>
    </row>
    <row r="455">
      <c r="A455" s="199" t="s">
        <v>164</v>
      </c>
      <c r="B455" s="200" t="s">
        <v>412</v>
      </c>
      <c r="C455" s="199">
        <v>2.5330261234E10</v>
      </c>
      <c r="D455" s="201">
        <v>45977.0</v>
      </c>
      <c r="E455" s="202" t="s">
        <v>101</v>
      </c>
      <c r="F455" s="202" t="s">
        <v>101</v>
      </c>
      <c r="G455" s="203" t="s">
        <v>100</v>
      </c>
      <c r="H455" s="203" t="s">
        <v>102</v>
      </c>
      <c r="I455" s="37"/>
      <c r="J455" s="37"/>
      <c r="K455" s="37"/>
      <c r="L455" s="199">
        <v>21.0</v>
      </c>
      <c r="M455" s="199">
        <v>280.6</v>
      </c>
      <c r="N455" s="37"/>
      <c r="O455" s="37"/>
      <c r="P455" s="199">
        <v>0.1</v>
      </c>
      <c r="Q455" s="199">
        <v>0.0</v>
      </c>
      <c r="R455" s="199">
        <v>0.0</v>
      </c>
      <c r="S455" s="199">
        <v>0.0</v>
      </c>
      <c r="T455" s="199">
        <v>0.0</v>
      </c>
      <c r="U455" s="199">
        <v>43.0</v>
      </c>
      <c r="V455" s="199">
        <v>2.0</v>
      </c>
      <c r="W455" s="199">
        <v>0.0</v>
      </c>
      <c r="X455" s="199">
        <v>0.0</v>
      </c>
      <c r="Y455" s="199">
        <v>0.0</v>
      </c>
      <c r="Z455" s="199">
        <v>0.0</v>
      </c>
      <c r="AA455" s="199">
        <v>0.0</v>
      </c>
      <c r="AB455" s="199">
        <v>75.0</v>
      </c>
      <c r="AC455" s="199">
        <v>19.0</v>
      </c>
      <c r="AD455" s="199">
        <v>0.0</v>
      </c>
      <c r="AE455" s="199">
        <v>31.0</v>
      </c>
      <c r="AF455" s="199">
        <v>5.0</v>
      </c>
      <c r="AG455" s="199">
        <v>583.0</v>
      </c>
      <c r="AH455" s="199">
        <v>37.0</v>
      </c>
      <c r="AI455" s="200" t="s">
        <v>785</v>
      </c>
      <c r="AJ455" s="200" t="s">
        <v>786</v>
      </c>
      <c r="AK455" s="200"/>
      <c r="AL455" s="204"/>
      <c r="AM455" s="204"/>
    </row>
    <row r="456">
      <c r="A456" s="199" t="s">
        <v>165</v>
      </c>
      <c r="B456" s="200" t="s">
        <v>410</v>
      </c>
      <c r="C456" s="199">
        <v>2.5079203214E10</v>
      </c>
      <c r="D456" s="201">
        <v>45725.0</v>
      </c>
      <c r="E456" s="202" t="s">
        <v>101</v>
      </c>
      <c r="F456" s="202" t="s">
        <v>101</v>
      </c>
      <c r="G456" s="203" t="s">
        <v>100</v>
      </c>
      <c r="H456" s="203" t="s">
        <v>100</v>
      </c>
      <c r="I456" s="37"/>
      <c r="J456" s="37"/>
      <c r="K456" s="37"/>
      <c r="L456" s="199">
        <v>32.0</v>
      </c>
      <c r="M456" s="199">
        <v>326.5</v>
      </c>
      <c r="N456" s="37"/>
      <c r="O456" s="37"/>
      <c r="P456" s="199">
        <v>0.1</v>
      </c>
      <c r="Q456" s="199">
        <v>0.0</v>
      </c>
      <c r="R456" s="199">
        <v>11.0</v>
      </c>
      <c r="S456" s="199">
        <v>2.0</v>
      </c>
      <c r="T456" s="199">
        <v>6.0</v>
      </c>
      <c r="U456" s="199">
        <v>141.0</v>
      </c>
      <c r="V456" s="199">
        <v>0.0</v>
      </c>
      <c r="W456" s="199">
        <v>0.0</v>
      </c>
      <c r="X456" s="199">
        <v>0.0</v>
      </c>
      <c r="Y456" s="199">
        <v>0.0</v>
      </c>
      <c r="Z456" s="199">
        <v>2.0</v>
      </c>
      <c r="AA456" s="199">
        <v>0.0</v>
      </c>
      <c r="AB456" s="199">
        <v>13.0</v>
      </c>
      <c r="AC456" s="199">
        <v>3.0</v>
      </c>
      <c r="AD456" s="199">
        <v>0.0</v>
      </c>
      <c r="AE456" s="199">
        <v>39.0</v>
      </c>
      <c r="AF456" s="199">
        <v>2.0</v>
      </c>
      <c r="AG456" s="199">
        <v>445.0</v>
      </c>
      <c r="AH456" s="199">
        <v>108.0</v>
      </c>
      <c r="AI456" s="200" t="s">
        <v>776</v>
      </c>
      <c r="AJ456" s="200" t="s">
        <v>864</v>
      </c>
      <c r="AK456" s="200"/>
      <c r="AL456" s="204"/>
      <c r="AM456" s="204"/>
    </row>
    <row r="457">
      <c r="A457" s="199" t="s">
        <v>165</v>
      </c>
      <c r="B457" s="200" t="s">
        <v>410</v>
      </c>
      <c r="C457" s="199">
        <v>2.5112224261E10</v>
      </c>
      <c r="D457" s="201">
        <v>45757.0</v>
      </c>
      <c r="E457" s="202" t="s">
        <v>100</v>
      </c>
      <c r="F457" s="202" t="s">
        <v>100</v>
      </c>
      <c r="G457" s="203" t="s">
        <v>100</v>
      </c>
      <c r="H457" s="203" t="s">
        <v>100</v>
      </c>
      <c r="I457" s="199">
        <v>35642.0</v>
      </c>
      <c r="J457" s="199">
        <v>5462.0</v>
      </c>
      <c r="K457" s="199">
        <v>10658.0</v>
      </c>
      <c r="L457" s="199">
        <v>15.0</v>
      </c>
      <c r="M457" s="199">
        <v>298.3</v>
      </c>
      <c r="N457" s="37"/>
      <c r="O457" s="37"/>
      <c r="P457" s="199">
        <v>0.02</v>
      </c>
      <c r="Q457" s="199">
        <v>0.0</v>
      </c>
      <c r="R457" s="199">
        <v>2.0</v>
      </c>
      <c r="S457" s="199">
        <v>0.0</v>
      </c>
      <c r="T457" s="199">
        <v>0.0</v>
      </c>
      <c r="U457" s="199">
        <v>16.0</v>
      </c>
      <c r="V457" s="199">
        <v>0.0</v>
      </c>
      <c r="W457" s="199">
        <v>0.0</v>
      </c>
      <c r="X457" s="199">
        <v>0.0</v>
      </c>
      <c r="Y457" s="199">
        <v>4.0</v>
      </c>
      <c r="Z457" s="199">
        <v>0.0</v>
      </c>
      <c r="AA457" s="199">
        <v>0.0</v>
      </c>
      <c r="AB457" s="199">
        <v>16.0</v>
      </c>
      <c r="AC457" s="199">
        <v>3.0</v>
      </c>
      <c r="AD457" s="199">
        <v>0.0</v>
      </c>
      <c r="AE457" s="199">
        <v>83.0</v>
      </c>
      <c r="AF457" s="199">
        <v>1.0</v>
      </c>
      <c r="AG457" s="199">
        <v>560.0</v>
      </c>
      <c r="AH457" s="199">
        <v>40.0</v>
      </c>
      <c r="AI457" s="200" t="s">
        <v>655</v>
      </c>
      <c r="AJ457" s="200" t="s">
        <v>656</v>
      </c>
      <c r="AK457" s="200"/>
      <c r="AL457" s="204"/>
      <c r="AM457" s="204"/>
    </row>
    <row r="458">
      <c r="A458" s="199" t="s">
        <v>165</v>
      </c>
      <c r="B458" s="200" t="s">
        <v>410</v>
      </c>
      <c r="C458" s="199">
        <v>2.5180296252E10</v>
      </c>
      <c r="D458" s="201">
        <v>45826.0</v>
      </c>
      <c r="E458" s="202" t="s">
        <v>102</v>
      </c>
      <c r="F458" s="202" t="s">
        <v>102</v>
      </c>
      <c r="G458" s="203" t="s">
        <v>100</v>
      </c>
      <c r="H458" s="203" t="s">
        <v>102</v>
      </c>
      <c r="I458" s="37"/>
      <c r="J458" s="37"/>
      <c r="K458" s="37"/>
      <c r="L458" s="199">
        <v>18.0</v>
      </c>
      <c r="M458" s="199">
        <v>287.0</v>
      </c>
      <c r="N458" s="37"/>
      <c r="O458" s="37"/>
      <c r="P458" s="199">
        <v>0.04</v>
      </c>
      <c r="Q458" s="199">
        <v>0.0</v>
      </c>
      <c r="R458" s="199">
        <v>0.0</v>
      </c>
      <c r="S458" s="199">
        <v>0.0</v>
      </c>
      <c r="T458" s="199">
        <v>0.0</v>
      </c>
      <c r="U458" s="199">
        <v>27.0</v>
      </c>
      <c r="V458" s="199">
        <v>0.0</v>
      </c>
      <c r="W458" s="199">
        <v>0.0</v>
      </c>
      <c r="X458" s="199">
        <v>1.0</v>
      </c>
      <c r="Y458" s="199">
        <v>0.0</v>
      </c>
      <c r="Z458" s="199">
        <v>0.0</v>
      </c>
      <c r="AA458" s="199">
        <v>0.0</v>
      </c>
      <c r="AB458" s="199">
        <v>2.0</v>
      </c>
      <c r="AC458" s="199">
        <v>14.0</v>
      </c>
      <c r="AD458" s="199">
        <v>0.0</v>
      </c>
      <c r="AE458" s="199">
        <v>35.0</v>
      </c>
      <c r="AF458" s="199">
        <v>2.0</v>
      </c>
      <c r="AG458" s="199">
        <v>553.0</v>
      </c>
      <c r="AH458" s="199">
        <v>49.0</v>
      </c>
      <c r="AI458" s="200" t="s">
        <v>653</v>
      </c>
      <c r="AJ458" s="200" t="s">
        <v>789</v>
      </c>
      <c r="AK458" s="200"/>
      <c r="AL458" s="204"/>
      <c r="AM458" s="204"/>
    </row>
    <row r="459">
      <c r="A459" s="199" t="s">
        <v>165</v>
      </c>
      <c r="B459" s="200" t="s">
        <v>410</v>
      </c>
      <c r="C459" s="199">
        <v>2.5294210235E10</v>
      </c>
      <c r="D459" s="201">
        <v>45946.0</v>
      </c>
      <c r="E459" s="202" t="s">
        <v>101</v>
      </c>
      <c r="F459" s="202" t="s">
        <v>101</v>
      </c>
      <c r="G459" s="203" t="s">
        <v>101</v>
      </c>
      <c r="H459" s="203" t="s">
        <v>102</v>
      </c>
      <c r="I459" s="37"/>
      <c r="J459" s="37"/>
      <c r="K459" s="37"/>
      <c r="L459" s="199">
        <v>63.0</v>
      </c>
      <c r="M459" s="199">
        <v>310.8</v>
      </c>
      <c r="N459" s="37"/>
      <c r="O459" s="37"/>
      <c r="P459" s="199">
        <v>0.5</v>
      </c>
      <c r="Q459" s="199">
        <v>0.0</v>
      </c>
      <c r="R459" s="199">
        <v>4.0</v>
      </c>
      <c r="S459" s="199">
        <v>1.0</v>
      </c>
      <c r="T459" s="199">
        <v>2.0</v>
      </c>
      <c r="U459" s="199">
        <v>378.0</v>
      </c>
      <c r="V459" s="199">
        <v>0.0</v>
      </c>
      <c r="W459" s="199">
        <v>0.0</v>
      </c>
      <c r="X459" s="199">
        <v>0.0</v>
      </c>
      <c r="Y459" s="199">
        <v>0.0</v>
      </c>
      <c r="Z459" s="199">
        <v>0.0</v>
      </c>
      <c r="AA459" s="199">
        <v>0.0</v>
      </c>
      <c r="AB459" s="199">
        <v>29.0</v>
      </c>
      <c r="AC459" s="199">
        <v>0.0</v>
      </c>
      <c r="AD459" s="199">
        <v>0.0</v>
      </c>
      <c r="AE459" s="199">
        <v>23.0</v>
      </c>
      <c r="AF459" s="199">
        <v>5.0</v>
      </c>
      <c r="AG459" s="199">
        <v>451.0</v>
      </c>
      <c r="AH459" s="199">
        <v>78.0</v>
      </c>
      <c r="AI459" s="200" t="s">
        <v>682</v>
      </c>
      <c r="AJ459" s="200" t="s">
        <v>865</v>
      </c>
      <c r="AK459" s="200"/>
      <c r="AL459" s="204"/>
      <c r="AM459" s="204"/>
    </row>
    <row r="460">
      <c r="A460" s="199" t="s">
        <v>165</v>
      </c>
      <c r="B460" s="200" t="s">
        <v>410</v>
      </c>
      <c r="C460" s="199">
        <v>2.533026123E10</v>
      </c>
      <c r="D460" s="201">
        <v>45977.0</v>
      </c>
      <c r="E460" s="202" t="s">
        <v>101</v>
      </c>
      <c r="F460" s="202" t="s">
        <v>101</v>
      </c>
      <c r="G460" s="203" t="s">
        <v>101</v>
      </c>
      <c r="H460" s="203" t="s">
        <v>102</v>
      </c>
      <c r="I460" s="37"/>
      <c r="J460" s="37"/>
      <c r="K460" s="37"/>
      <c r="L460" s="199">
        <v>140.0</v>
      </c>
      <c r="M460" s="199">
        <v>324.2</v>
      </c>
      <c r="N460" s="37"/>
      <c r="O460" s="37"/>
      <c r="P460" s="199">
        <v>0.11</v>
      </c>
      <c r="Q460" s="199">
        <v>0.0</v>
      </c>
      <c r="R460" s="199">
        <v>0.0</v>
      </c>
      <c r="S460" s="199">
        <v>0.0</v>
      </c>
      <c r="T460" s="199">
        <v>2.0</v>
      </c>
      <c r="U460" s="199">
        <v>517.0</v>
      </c>
      <c r="V460" s="199">
        <v>0.0</v>
      </c>
      <c r="W460" s="199">
        <v>0.0</v>
      </c>
      <c r="X460" s="199">
        <v>0.0</v>
      </c>
      <c r="Y460" s="199">
        <v>0.0</v>
      </c>
      <c r="Z460" s="199">
        <v>2.0</v>
      </c>
      <c r="AA460" s="199">
        <v>0.0</v>
      </c>
      <c r="AB460" s="199">
        <v>51.0</v>
      </c>
      <c r="AC460" s="199">
        <v>23.0</v>
      </c>
      <c r="AD460" s="199">
        <v>0.0</v>
      </c>
      <c r="AE460" s="199">
        <v>122.0</v>
      </c>
      <c r="AF460" s="199">
        <v>8.0</v>
      </c>
      <c r="AG460" s="199">
        <v>621.0</v>
      </c>
      <c r="AH460" s="199">
        <v>206.0</v>
      </c>
      <c r="AI460" s="200" t="s">
        <v>827</v>
      </c>
      <c r="AJ460" s="200" t="s">
        <v>866</v>
      </c>
      <c r="AK460" s="200"/>
      <c r="AL460" s="204"/>
      <c r="AM460" s="204"/>
    </row>
    <row r="461">
      <c r="A461" s="199" t="s">
        <v>168</v>
      </c>
      <c r="B461" s="200" t="s">
        <v>412</v>
      </c>
      <c r="C461" s="199">
        <v>2.3303300246E10</v>
      </c>
      <c r="D461" s="201">
        <v>45225.0</v>
      </c>
      <c r="E461" s="202" t="s">
        <v>102</v>
      </c>
      <c r="F461" s="202" t="s">
        <v>102</v>
      </c>
      <c r="G461" s="203" t="s">
        <v>100</v>
      </c>
      <c r="H461" s="203" t="s">
        <v>100</v>
      </c>
      <c r="I461" s="199">
        <v>66978.0</v>
      </c>
      <c r="J461" s="199">
        <v>27468.0</v>
      </c>
      <c r="K461" s="199">
        <v>533.0</v>
      </c>
      <c r="L461" s="199">
        <v>14.0</v>
      </c>
      <c r="M461" s="199">
        <v>288.0</v>
      </c>
      <c r="N461" s="37"/>
      <c r="O461" s="37"/>
      <c r="P461" s="199">
        <v>0.05</v>
      </c>
      <c r="Q461" s="199">
        <v>0.0</v>
      </c>
      <c r="R461" s="199">
        <v>0.0</v>
      </c>
      <c r="S461" s="199">
        <v>0.0</v>
      </c>
      <c r="T461" s="199">
        <v>0.0</v>
      </c>
      <c r="U461" s="199">
        <v>11.0</v>
      </c>
      <c r="V461" s="199">
        <v>0.0</v>
      </c>
      <c r="W461" s="199">
        <v>0.0</v>
      </c>
      <c r="X461" s="199">
        <v>0.0</v>
      </c>
      <c r="Y461" s="199">
        <v>0.0</v>
      </c>
      <c r="Z461" s="199">
        <v>0.0</v>
      </c>
      <c r="AA461" s="199">
        <v>0.0</v>
      </c>
      <c r="AB461" s="199">
        <v>2.0</v>
      </c>
      <c r="AC461" s="199">
        <v>24.0</v>
      </c>
      <c r="AD461" s="199">
        <v>0.0</v>
      </c>
      <c r="AE461" s="199">
        <v>19.0</v>
      </c>
      <c r="AF461" s="199">
        <v>7.0</v>
      </c>
      <c r="AG461" s="199">
        <v>312.0</v>
      </c>
      <c r="AH461" s="199">
        <v>8.0</v>
      </c>
      <c r="AI461" s="200" t="s">
        <v>653</v>
      </c>
      <c r="AJ461" s="200" t="s">
        <v>654</v>
      </c>
      <c r="AK461" s="200"/>
      <c r="AL461" s="204"/>
      <c r="AM461" s="204"/>
    </row>
    <row r="462">
      <c r="A462" s="199" t="s">
        <v>168</v>
      </c>
      <c r="B462" s="200" t="s">
        <v>412</v>
      </c>
      <c r="C462" s="199">
        <v>2.4307211204E10</v>
      </c>
      <c r="D462" s="201">
        <v>45589.0</v>
      </c>
      <c r="E462" s="202" t="s">
        <v>102</v>
      </c>
      <c r="F462" s="202" t="s">
        <v>102</v>
      </c>
      <c r="G462" s="203" t="s">
        <v>100</v>
      </c>
      <c r="H462" s="203" t="s">
        <v>100</v>
      </c>
      <c r="I462" s="37"/>
      <c r="J462" s="37"/>
      <c r="K462" s="37"/>
      <c r="L462" s="199">
        <v>36.0</v>
      </c>
      <c r="M462" s="199">
        <v>291.2</v>
      </c>
      <c r="N462" s="37"/>
      <c r="O462" s="37"/>
      <c r="P462" s="199">
        <v>0.05</v>
      </c>
      <c r="Q462" s="199">
        <v>0.0</v>
      </c>
      <c r="R462" s="199">
        <v>7.0</v>
      </c>
      <c r="S462" s="199">
        <v>2.0</v>
      </c>
      <c r="T462" s="199">
        <v>0.0</v>
      </c>
      <c r="U462" s="199">
        <v>114.0</v>
      </c>
      <c r="V462" s="199">
        <v>2.0</v>
      </c>
      <c r="W462" s="199">
        <v>0.0</v>
      </c>
      <c r="X462" s="199">
        <v>0.0</v>
      </c>
      <c r="Y462" s="199">
        <v>0.0</v>
      </c>
      <c r="Z462" s="199">
        <v>2.0</v>
      </c>
      <c r="AA462" s="199">
        <v>0.0</v>
      </c>
      <c r="AB462" s="199">
        <v>38.0</v>
      </c>
      <c r="AC462" s="199">
        <v>40.0</v>
      </c>
      <c r="AD462" s="199">
        <v>0.0</v>
      </c>
      <c r="AE462" s="199">
        <v>149.0</v>
      </c>
      <c r="AF462" s="199">
        <v>6.0</v>
      </c>
      <c r="AG462" s="199">
        <v>466.0</v>
      </c>
      <c r="AH462" s="199">
        <v>27.0</v>
      </c>
      <c r="AI462" s="200" t="s">
        <v>783</v>
      </c>
      <c r="AJ462" s="200" t="s">
        <v>799</v>
      </c>
      <c r="AK462" s="200"/>
      <c r="AL462" s="204"/>
      <c r="AM462" s="204"/>
    </row>
    <row r="463">
      <c r="A463" s="199" t="s">
        <v>168</v>
      </c>
      <c r="B463" s="200" t="s">
        <v>412</v>
      </c>
      <c r="C463" s="199">
        <v>2.5112224209E10</v>
      </c>
      <c r="D463" s="201">
        <v>45757.0</v>
      </c>
      <c r="E463" s="202" t="s">
        <v>102</v>
      </c>
      <c r="F463" s="202" t="s">
        <v>102</v>
      </c>
      <c r="G463" s="203" t="s">
        <v>100</v>
      </c>
      <c r="H463" s="203" t="s">
        <v>100</v>
      </c>
      <c r="I463" s="37"/>
      <c r="J463" s="37"/>
      <c r="K463" s="37"/>
      <c r="L463" s="199">
        <v>47.0</v>
      </c>
      <c r="M463" s="199">
        <v>301.4</v>
      </c>
      <c r="N463" s="37"/>
      <c r="O463" s="37"/>
      <c r="P463" s="199">
        <v>0.03</v>
      </c>
      <c r="Q463" s="199">
        <v>0.0</v>
      </c>
      <c r="R463" s="199">
        <v>0.0</v>
      </c>
      <c r="S463" s="199">
        <v>0.0</v>
      </c>
      <c r="T463" s="199">
        <v>0.0</v>
      </c>
      <c r="U463" s="199">
        <v>69.0</v>
      </c>
      <c r="V463" s="199">
        <v>0.0</v>
      </c>
      <c r="W463" s="199">
        <v>0.0</v>
      </c>
      <c r="X463" s="199">
        <v>0.0</v>
      </c>
      <c r="Y463" s="199">
        <v>0.0</v>
      </c>
      <c r="Z463" s="199">
        <v>0.0</v>
      </c>
      <c r="AA463" s="199">
        <v>1.0</v>
      </c>
      <c r="AB463" s="199">
        <v>18.0</v>
      </c>
      <c r="AC463" s="199">
        <v>28.0</v>
      </c>
      <c r="AD463" s="199">
        <v>0.0</v>
      </c>
      <c r="AE463" s="199">
        <v>93.0</v>
      </c>
      <c r="AF463" s="199">
        <v>3.0</v>
      </c>
      <c r="AG463" s="199">
        <v>424.0</v>
      </c>
      <c r="AH463" s="199">
        <v>27.0</v>
      </c>
      <c r="AI463" s="200" t="s">
        <v>774</v>
      </c>
      <c r="AJ463" s="200" t="s">
        <v>825</v>
      </c>
      <c r="AK463" s="200"/>
      <c r="AL463" s="204"/>
      <c r="AM463" s="204"/>
    </row>
    <row r="464">
      <c r="A464" s="199" t="s">
        <v>168</v>
      </c>
      <c r="B464" s="200" t="s">
        <v>412</v>
      </c>
      <c r="C464" s="199">
        <v>2.529522024E10</v>
      </c>
      <c r="D464" s="201">
        <v>45946.0</v>
      </c>
      <c r="E464" s="202" t="s">
        <v>101</v>
      </c>
      <c r="F464" s="202" t="s">
        <v>101</v>
      </c>
      <c r="G464" s="203" t="s">
        <v>100</v>
      </c>
      <c r="H464" s="203" t="s">
        <v>102</v>
      </c>
      <c r="I464" s="37"/>
      <c r="J464" s="37"/>
      <c r="K464" s="37"/>
      <c r="L464" s="199">
        <v>60.0</v>
      </c>
      <c r="M464" s="199">
        <v>301.7</v>
      </c>
      <c r="N464" s="37"/>
      <c r="O464" s="37"/>
      <c r="P464" s="199">
        <v>0.1</v>
      </c>
      <c r="Q464" s="199">
        <v>0.0</v>
      </c>
      <c r="R464" s="199">
        <v>0.0</v>
      </c>
      <c r="S464" s="199">
        <v>0.0</v>
      </c>
      <c r="T464" s="199">
        <v>0.0</v>
      </c>
      <c r="U464" s="199">
        <v>99.0</v>
      </c>
      <c r="V464" s="199">
        <v>0.0</v>
      </c>
      <c r="W464" s="199">
        <v>0.0</v>
      </c>
      <c r="X464" s="199">
        <v>0.0</v>
      </c>
      <c r="Y464" s="199">
        <v>0.0</v>
      </c>
      <c r="Z464" s="199">
        <v>2.0</v>
      </c>
      <c r="AA464" s="199">
        <v>0.0</v>
      </c>
      <c r="AB464" s="199">
        <v>19.0</v>
      </c>
      <c r="AC464" s="199">
        <v>14.0</v>
      </c>
      <c r="AD464" s="199">
        <v>0.0</v>
      </c>
      <c r="AE464" s="199">
        <v>150.0</v>
      </c>
      <c r="AF464" s="199">
        <v>2.0</v>
      </c>
      <c r="AG464" s="199">
        <v>401.0</v>
      </c>
      <c r="AH464" s="199">
        <v>43.0</v>
      </c>
      <c r="AI464" s="200" t="s">
        <v>776</v>
      </c>
      <c r="AJ464" s="200" t="s">
        <v>777</v>
      </c>
      <c r="AK464" s="200"/>
      <c r="AL464" s="204"/>
      <c r="AM464" s="204"/>
    </row>
    <row r="465">
      <c r="A465" s="199" t="s">
        <v>168</v>
      </c>
      <c r="B465" s="200" t="s">
        <v>412</v>
      </c>
      <c r="C465" s="199">
        <v>2.5330261233E10</v>
      </c>
      <c r="D465" s="201">
        <v>45977.0</v>
      </c>
      <c r="E465" s="202" t="s">
        <v>101</v>
      </c>
      <c r="F465" s="202" t="s">
        <v>101</v>
      </c>
      <c r="G465" s="203" t="s">
        <v>100</v>
      </c>
      <c r="H465" s="203" t="s">
        <v>102</v>
      </c>
      <c r="I465" s="37"/>
      <c r="J465" s="37"/>
      <c r="K465" s="37"/>
      <c r="L465" s="199">
        <v>23.0</v>
      </c>
      <c r="M465" s="199">
        <v>303.9</v>
      </c>
      <c r="N465" s="37"/>
      <c r="O465" s="37"/>
      <c r="P465" s="199">
        <v>0.11</v>
      </c>
      <c r="Q465" s="199">
        <v>0.0</v>
      </c>
      <c r="R465" s="199">
        <v>0.0</v>
      </c>
      <c r="S465" s="199">
        <v>0.0</v>
      </c>
      <c r="T465" s="199">
        <v>0.0</v>
      </c>
      <c r="U465" s="199">
        <v>52.0</v>
      </c>
      <c r="V465" s="199">
        <v>0.0</v>
      </c>
      <c r="W465" s="199">
        <v>0.0</v>
      </c>
      <c r="X465" s="199">
        <v>0.0</v>
      </c>
      <c r="Y465" s="199">
        <v>0.0</v>
      </c>
      <c r="Z465" s="199">
        <v>0.0</v>
      </c>
      <c r="AA465" s="199">
        <v>0.0</v>
      </c>
      <c r="AB465" s="199">
        <v>28.0</v>
      </c>
      <c r="AC465" s="199">
        <v>13.0</v>
      </c>
      <c r="AD465" s="199">
        <v>0.0</v>
      </c>
      <c r="AE465" s="199">
        <v>39.0</v>
      </c>
      <c r="AF465" s="199">
        <v>2.0</v>
      </c>
      <c r="AG465" s="199">
        <v>420.0</v>
      </c>
      <c r="AH465" s="199">
        <v>18.0</v>
      </c>
      <c r="AI465" s="200" t="s">
        <v>684</v>
      </c>
      <c r="AJ465" s="200" t="s">
        <v>773</v>
      </c>
      <c r="AK465" s="200"/>
      <c r="AL465" s="204"/>
      <c r="AM465" s="204"/>
    </row>
    <row r="466">
      <c r="A466" s="199" t="s">
        <v>214</v>
      </c>
      <c r="B466" s="200" t="s">
        <v>568</v>
      </c>
      <c r="C466" s="199">
        <v>2.5112224267E10</v>
      </c>
      <c r="D466" s="201">
        <v>45756.0</v>
      </c>
      <c r="E466" s="202" t="s">
        <v>100</v>
      </c>
      <c r="F466" s="202" t="s">
        <v>100</v>
      </c>
      <c r="G466" s="203" t="s">
        <v>100</v>
      </c>
      <c r="H466" s="203" t="s">
        <v>100</v>
      </c>
      <c r="I466" s="37"/>
      <c r="J466" s="37"/>
      <c r="K466" s="37"/>
      <c r="L466" s="199">
        <v>13.0</v>
      </c>
      <c r="M466" s="199">
        <v>82.4</v>
      </c>
      <c r="N466" s="37"/>
      <c r="O466" s="37"/>
      <c r="P466" s="199">
        <v>0.02</v>
      </c>
      <c r="Q466" s="199">
        <v>0.0</v>
      </c>
      <c r="R466" s="199">
        <v>0.0</v>
      </c>
      <c r="S466" s="199">
        <v>0.0</v>
      </c>
      <c r="T466" s="199">
        <v>0.0</v>
      </c>
      <c r="U466" s="199">
        <v>20.0</v>
      </c>
      <c r="V466" s="199">
        <v>0.0</v>
      </c>
      <c r="W466" s="199">
        <v>0.0</v>
      </c>
      <c r="X466" s="199">
        <v>0.0</v>
      </c>
      <c r="Y466" s="199">
        <v>0.0</v>
      </c>
      <c r="Z466" s="199">
        <v>0.0</v>
      </c>
      <c r="AA466" s="199">
        <v>1.0</v>
      </c>
      <c r="AB466" s="199">
        <v>14.0</v>
      </c>
      <c r="AC466" s="199">
        <v>7.0</v>
      </c>
      <c r="AD466" s="199">
        <v>0.0</v>
      </c>
      <c r="AE466" s="199">
        <v>61.0</v>
      </c>
      <c r="AF466" s="199">
        <v>0.0</v>
      </c>
      <c r="AG466" s="199">
        <v>554.0</v>
      </c>
      <c r="AH466" s="199">
        <v>14.0</v>
      </c>
      <c r="AI466" s="200" t="s">
        <v>655</v>
      </c>
      <c r="AJ466" s="200" t="s">
        <v>656</v>
      </c>
      <c r="AK466" s="200"/>
      <c r="AL466" s="204"/>
      <c r="AM466" s="204"/>
    </row>
    <row r="467">
      <c r="A467" s="199" t="s">
        <v>214</v>
      </c>
      <c r="B467" s="200" t="s">
        <v>568</v>
      </c>
      <c r="C467" s="199">
        <v>2.5258159232E10</v>
      </c>
      <c r="D467" s="201">
        <v>45909.0</v>
      </c>
      <c r="E467" s="202" t="s">
        <v>102</v>
      </c>
      <c r="F467" s="202" t="s">
        <v>100</v>
      </c>
      <c r="G467" s="203" t="s">
        <v>100</v>
      </c>
      <c r="H467" s="203" t="s">
        <v>102</v>
      </c>
      <c r="I467" s="37"/>
      <c r="J467" s="37"/>
      <c r="K467" s="37"/>
      <c r="L467" s="199">
        <v>20.0</v>
      </c>
      <c r="M467" s="199">
        <v>97.5</v>
      </c>
      <c r="N467" s="37"/>
      <c r="O467" s="37"/>
      <c r="P467" s="199">
        <v>0.04</v>
      </c>
      <c r="Q467" s="199">
        <v>0.0</v>
      </c>
      <c r="R467" s="199">
        <v>12.0</v>
      </c>
      <c r="S467" s="199">
        <v>1.0</v>
      </c>
      <c r="T467" s="199">
        <v>6.0</v>
      </c>
      <c r="U467" s="199">
        <v>25.0</v>
      </c>
      <c r="V467" s="199">
        <v>3.0</v>
      </c>
      <c r="W467" s="199">
        <v>0.0</v>
      </c>
      <c r="X467" s="199">
        <v>0.0</v>
      </c>
      <c r="Y467" s="199">
        <v>0.0</v>
      </c>
      <c r="Z467" s="199">
        <v>2.0</v>
      </c>
      <c r="AA467" s="199">
        <v>0.0</v>
      </c>
      <c r="AB467" s="199">
        <v>8.0</v>
      </c>
      <c r="AC467" s="199">
        <v>23.0</v>
      </c>
      <c r="AD467" s="199">
        <v>0.0</v>
      </c>
      <c r="AE467" s="199">
        <v>15.0</v>
      </c>
      <c r="AF467" s="199">
        <v>0.0</v>
      </c>
      <c r="AG467" s="199">
        <v>346.0</v>
      </c>
      <c r="AH467" s="199">
        <v>0.0</v>
      </c>
      <c r="AI467" s="200" t="s">
        <v>653</v>
      </c>
      <c r="AJ467" s="200" t="s">
        <v>789</v>
      </c>
      <c r="AK467" s="200"/>
      <c r="AL467" s="204"/>
      <c r="AM467" s="204"/>
    </row>
    <row r="468">
      <c r="A468" s="199" t="s">
        <v>215</v>
      </c>
      <c r="B468" s="200" t="s">
        <v>447</v>
      </c>
      <c r="C468" s="199">
        <v>2.4343812232E10</v>
      </c>
      <c r="D468" s="201">
        <v>45623.0</v>
      </c>
      <c r="E468" s="202" t="s">
        <v>100</v>
      </c>
      <c r="F468" s="202" t="s">
        <v>100</v>
      </c>
      <c r="G468" s="203" t="s">
        <v>100</v>
      </c>
      <c r="H468" s="203" t="s">
        <v>100</v>
      </c>
      <c r="I468" s="199">
        <v>32952.0</v>
      </c>
      <c r="J468" s="199">
        <v>21349.0</v>
      </c>
      <c r="K468" s="199">
        <v>14699.0</v>
      </c>
      <c r="L468" s="199">
        <v>4.0</v>
      </c>
      <c r="M468" s="199">
        <v>300.9</v>
      </c>
      <c r="N468" s="199"/>
      <c r="O468" s="199">
        <v>1.0</v>
      </c>
      <c r="P468" s="199">
        <v>0.02</v>
      </c>
      <c r="Q468" s="199">
        <v>0.0</v>
      </c>
      <c r="R468" s="199">
        <v>0.0</v>
      </c>
      <c r="S468" s="199">
        <v>0.0</v>
      </c>
      <c r="T468" s="199">
        <v>0.0</v>
      </c>
      <c r="U468" s="199">
        <v>10.0</v>
      </c>
      <c r="V468" s="199">
        <v>0.0</v>
      </c>
      <c r="W468" s="199">
        <v>0.0</v>
      </c>
      <c r="X468" s="199">
        <v>0.0</v>
      </c>
      <c r="Y468" s="199">
        <v>0.0</v>
      </c>
      <c r="Z468" s="199">
        <v>0.0</v>
      </c>
      <c r="AA468" s="199">
        <v>0.0</v>
      </c>
      <c r="AB468" s="199">
        <v>4.0</v>
      </c>
      <c r="AC468" s="199">
        <v>10.0</v>
      </c>
      <c r="AD468" s="199">
        <v>0.0</v>
      </c>
      <c r="AE468" s="199">
        <v>6.0</v>
      </c>
      <c r="AF468" s="199">
        <v>0.0</v>
      </c>
      <c r="AG468" s="199">
        <v>303.0</v>
      </c>
      <c r="AH468" s="199">
        <v>12.0</v>
      </c>
      <c r="AI468" s="200" t="s">
        <v>655</v>
      </c>
      <c r="AJ468" s="200" t="s">
        <v>656</v>
      </c>
      <c r="AK468" s="200"/>
      <c r="AL468" s="204"/>
      <c r="AM468" s="204"/>
    </row>
    <row r="469">
      <c r="A469" s="199" t="s">
        <v>231</v>
      </c>
      <c r="B469" s="200" t="s">
        <v>463</v>
      </c>
      <c r="C469" s="199">
        <v>2.5049182246E10</v>
      </c>
      <c r="D469" s="201">
        <v>45701.0</v>
      </c>
      <c r="E469" s="202" t="s">
        <v>101</v>
      </c>
      <c r="F469" s="202" t="s">
        <v>101</v>
      </c>
      <c r="G469" s="203" t="s">
        <v>101</v>
      </c>
      <c r="H469" s="203" t="s">
        <v>100</v>
      </c>
      <c r="I469" s="37"/>
      <c r="J469" s="37"/>
      <c r="K469" s="37"/>
      <c r="L469" s="199">
        <v>54.0</v>
      </c>
      <c r="M469" s="199">
        <v>451.5</v>
      </c>
      <c r="N469" s="199"/>
      <c r="O469" s="199">
        <v>3.0</v>
      </c>
      <c r="P469" s="199">
        <v>0.1</v>
      </c>
      <c r="Q469" s="199">
        <v>0.0</v>
      </c>
      <c r="R469" s="199">
        <v>52.0</v>
      </c>
      <c r="S469" s="199">
        <v>2.0</v>
      </c>
      <c r="T469" s="199">
        <v>35.0</v>
      </c>
      <c r="U469" s="199">
        <v>150.0</v>
      </c>
      <c r="V469" s="199">
        <v>2.0</v>
      </c>
      <c r="W469" s="199">
        <v>0.0</v>
      </c>
      <c r="X469" s="199">
        <v>29.0</v>
      </c>
      <c r="Y469" s="199">
        <v>0.0</v>
      </c>
      <c r="Z469" s="199">
        <v>3.0</v>
      </c>
      <c r="AA469" s="199">
        <v>14.0</v>
      </c>
      <c r="AB469" s="199">
        <v>153.0</v>
      </c>
      <c r="AC469" s="199">
        <v>20.0</v>
      </c>
      <c r="AD469" s="199">
        <v>0.0</v>
      </c>
      <c r="AE469" s="199">
        <v>500.0</v>
      </c>
      <c r="AF469" s="199">
        <v>30.0</v>
      </c>
      <c r="AG469" s="199">
        <v>495.0</v>
      </c>
      <c r="AH469" s="199">
        <v>10.0</v>
      </c>
      <c r="AI469" s="200" t="s">
        <v>804</v>
      </c>
      <c r="AJ469" s="200" t="s">
        <v>867</v>
      </c>
      <c r="AK469" s="200"/>
      <c r="AL469" s="204"/>
      <c r="AM469" s="204"/>
    </row>
    <row r="470">
      <c r="A470" s="199" t="s">
        <v>231</v>
      </c>
      <c r="B470" s="200" t="s">
        <v>463</v>
      </c>
      <c r="C470" s="199">
        <v>2.5112224257E10</v>
      </c>
      <c r="D470" s="201">
        <v>45756.0</v>
      </c>
      <c r="E470" s="202" t="s">
        <v>101</v>
      </c>
      <c r="F470" s="202" t="s">
        <v>101</v>
      </c>
      <c r="G470" s="203" t="s">
        <v>101</v>
      </c>
      <c r="H470" s="203" t="s">
        <v>102</v>
      </c>
      <c r="I470" s="37"/>
      <c r="J470" s="37"/>
      <c r="K470" s="37"/>
      <c r="L470" s="199">
        <v>73.0</v>
      </c>
      <c r="M470" s="199">
        <v>450.7</v>
      </c>
      <c r="N470" s="199"/>
      <c r="O470" s="199">
        <v>7.0</v>
      </c>
      <c r="P470" s="199">
        <v>0.09</v>
      </c>
      <c r="Q470" s="199">
        <v>0.0</v>
      </c>
      <c r="R470" s="199">
        <v>21.0</v>
      </c>
      <c r="S470" s="199">
        <v>0.0</v>
      </c>
      <c r="T470" s="199">
        <v>38.0</v>
      </c>
      <c r="U470" s="199">
        <v>194.0</v>
      </c>
      <c r="V470" s="199">
        <v>0.0</v>
      </c>
      <c r="W470" s="199">
        <v>0.0</v>
      </c>
      <c r="X470" s="199">
        <v>0.0</v>
      </c>
      <c r="Y470" s="199">
        <v>1.0</v>
      </c>
      <c r="Z470" s="199">
        <v>5.0</v>
      </c>
      <c r="AA470" s="199">
        <v>28.0</v>
      </c>
      <c r="AB470" s="199">
        <v>81.0</v>
      </c>
      <c r="AC470" s="199">
        <v>17.0</v>
      </c>
      <c r="AD470" s="199">
        <v>0.0</v>
      </c>
      <c r="AE470" s="199">
        <v>355.0</v>
      </c>
      <c r="AF470" s="199">
        <v>19.0</v>
      </c>
      <c r="AG470" s="199">
        <v>533.0</v>
      </c>
      <c r="AH470" s="199">
        <v>1.0</v>
      </c>
      <c r="AI470" s="200" t="s">
        <v>804</v>
      </c>
      <c r="AJ470" s="200" t="s">
        <v>868</v>
      </c>
      <c r="AK470" s="200"/>
      <c r="AL470" s="204"/>
      <c r="AM470" s="204"/>
    </row>
    <row r="471">
      <c r="A471" s="199" t="s">
        <v>231</v>
      </c>
      <c r="B471" s="200" t="s">
        <v>463</v>
      </c>
      <c r="C471" s="199">
        <v>2.5180296259E10</v>
      </c>
      <c r="D471" s="201">
        <v>45826.0</v>
      </c>
      <c r="E471" s="202" t="s">
        <v>101</v>
      </c>
      <c r="F471" s="202" t="s">
        <v>101</v>
      </c>
      <c r="G471" s="203" t="s">
        <v>101</v>
      </c>
      <c r="H471" s="203" t="s">
        <v>102</v>
      </c>
      <c r="I471" s="37"/>
      <c r="J471" s="37"/>
      <c r="K471" s="37"/>
      <c r="L471" s="199">
        <v>67.0</v>
      </c>
      <c r="M471" s="199">
        <v>434.2</v>
      </c>
      <c r="N471" s="199"/>
      <c r="O471" s="199">
        <v>5.0</v>
      </c>
      <c r="P471" s="199">
        <v>0.3</v>
      </c>
      <c r="Q471" s="199">
        <v>0.0</v>
      </c>
      <c r="R471" s="199">
        <v>63.0</v>
      </c>
      <c r="S471" s="199">
        <v>0.0</v>
      </c>
      <c r="T471" s="199">
        <v>42.0</v>
      </c>
      <c r="U471" s="199">
        <v>238.0</v>
      </c>
      <c r="V471" s="199">
        <v>2.0</v>
      </c>
      <c r="W471" s="199">
        <v>0.0</v>
      </c>
      <c r="X471" s="199">
        <v>45.0</v>
      </c>
      <c r="Y471" s="199">
        <v>0.0</v>
      </c>
      <c r="Z471" s="199">
        <v>2.0</v>
      </c>
      <c r="AA471" s="199">
        <v>0.0</v>
      </c>
      <c r="AB471" s="199">
        <v>136.0</v>
      </c>
      <c r="AC471" s="199">
        <v>15.0</v>
      </c>
      <c r="AD471" s="199">
        <v>0.0</v>
      </c>
      <c r="AE471" s="199">
        <v>108.0</v>
      </c>
      <c r="AF471" s="199">
        <v>30.0</v>
      </c>
      <c r="AG471" s="199">
        <v>414.0</v>
      </c>
      <c r="AH471" s="199">
        <v>62.0</v>
      </c>
      <c r="AI471" s="200" t="s">
        <v>829</v>
      </c>
      <c r="AJ471" s="200" t="s">
        <v>869</v>
      </c>
      <c r="AK471" s="200"/>
      <c r="AL471" s="204"/>
      <c r="AM471" s="204"/>
    </row>
    <row r="472">
      <c r="A472" s="199" t="s">
        <v>231</v>
      </c>
      <c r="B472" s="200" t="s">
        <v>463</v>
      </c>
      <c r="C472" s="199">
        <v>2.5259169229E10</v>
      </c>
      <c r="D472" s="201">
        <v>45909.0</v>
      </c>
      <c r="E472" s="202" t="s">
        <v>101</v>
      </c>
      <c r="F472" s="202" t="s">
        <v>101</v>
      </c>
      <c r="G472" s="203" t="s">
        <v>101</v>
      </c>
      <c r="H472" s="203" t="s">
        <v>100</v>
      </c>
      <c r="I472" s="37"/>
      <c r="J472" s="37"/>
      <c r="K472" s="37"/>
      <c r="L472" s="199">
        <v>43.0</v>
      </c>
      <c r="M472" s="199">
        <v>445.9</v>
      </c>
      <c r="N472" s="199"/>
      <c r="O472" s="199">
        <v>0.0</v>
      </c>
      <c r="P472" s="199">
        <v>0.3</v>
      </c>
      <c r="Q472" s="199">
        <v>0.0</v>
      </c>
      <c r="R472" s="199">
        <v>46.0</v>
      </c>
      <c r="S472" s="199">
        <v>1.0</v>
      </c>
      <c r="T472" s="199">
        <v>17.0</v>
      </c>
      <c r="U472" s="199">
        <v>82.0</v>
      </c>
      <c r="V472" s="199">
        <v>2.0</v>
      </c>
      <c r="W472" s="199">
        <v>0.0</v>
      </c>
      <c r="X472" s="199">
        <v>36.0</v>
      </c>
      <c r="Y472" s="199">
        <v>92.0</v>
      </c>
      <c r="Z472" s="199">
        <v>3.0</v>
      </c>
      <c r="AA472" s="199">
        <v>0.0</v>
      </c>
      <c r="AB472" s="199">
        <v>141.0</v>
      </c>
      <c r="AC472" s="199">
        <v>16.0</v>
      </c>
      <c r="AD472" s="199">
        <v>2.0</v>
      </c>
      <c r="AE472" s="199">
        <v>555.0</v>
      </c>
      <c r="AF472" s="199">
        <v>6.0</v>
      </c>
      <c r="AG472" s="199">
        <v>337.0</v>
      </c>
      <c r="AH472" s="199">
        <v>5.0</v>
      </c>
      <c r="AI472" s="200" t="s">
        <v>829</v>
      </c>
      <c r="AJ472" s="200" t="s">
        <v>870</v>
      </c>
      <c r="AK472" s="200"/>
      <c r="AL472" s="204"/>
      <c r="AM472" s="204"/>
    </row>
    <row r="473">
      <c r="A473" s="199" t="s">
        <v>231</v>
      </c>
      <c r="B473" s="200" t="s">
        <v>463</v>
      </c>
      <c r="C473" s="199">
        <v>2.5330281215E10</v>
      </c>
      <c r="D473" s="201">
        <v>45977.0</v>
      </c>
      <c r="E473" s="202" t="s">
        <v>101</v>
      </c>
      <c r="F473" s="202" t="s">
        <v>101</v>
      </c>
      <c r="G473" s="203" t="s">
        <v>101</v>
      </c>
      <c r="H473" s="203" t="s">
        <v>102</v>
      </c>
      <c r="I473" s="37"/>
      <c r="J473" s="37"/>
      <c r="K473" s="37"/>
      <c r="L473" s="199">
        <v>173.0</v>
      </c>
      <c r="M473" s="199">
        <v>435.8</v>
      </c>
      <c r="N473" s="199"/>
      <c r="O473" s="199">
        <v>8.0</v>
      </c>
      <c r="P473" s="199">
        <v>0.22</v>
      </c>
      <c r="Q473" s="199">
        <v>0.0</v>
      </c>
      <c r="R473" s="199">
        <v>199.0</v>
      </c>
      <c r="S473" s="199">
        <v>0.0</v>
      </c>
      <c r="T473" s="199">
        <v>42.0</v>
      </c>
      <c r="U473" s="199">
        <v>208.0</v>
      </c>
      <c r="V473" s="199">
        <v>2.0</v>
      </c>
      <c r="W473" s="199">
        <v>0.0</v>
      </c>
      <c r="X473" s="199">
        <v>11.0</v>
      </c>
      <c r="Y473" s="199">
        <v>294.0</v>
      </c>
      <c r="Z473" s="199">
        <v>6.0</v>
      </c>
      <c r="AA473" s="199">
        <v>17.0</v>
      </c>
      <c r="AB473" s="199">
        <v>997.0</v>
      </c>
      <c r="AC473" s="199">
        <v>80.0</v>
      </c>
      <c r="AD473" s="199">
        <v>0.0</v>
      </c>
      <c r="AE473" s="199">
        <v>1034.0</v>
      </c>
      <c r="AF473" s="199">
        <v>13.0</v>
      </c>
      <c r="AG473" s="199">
        <v>433.0</v>
      </c>
      <c r="AH473" s="199">
        <v>12.0</v>
      </c>
      <c r="AI473" s="200" t="s">
        <v>827</v>
      </c>
      <c r="AJ473" s="200" t="s">
        <v>871</v>
      </c>
      <c r="AK473" s="200"/>
      <c r="AL473" s="204"/>
      <c r="AM473" s="204"/>
    </row>
    <row r="474">
      <c r="A474" s="199" t="s">
        <v>232</v>
      </c>
      <c r="B474" s="200" t="s">
        <v>466</v>
      </c>
      <c r="C474" s="199">
        <v>2.5049182247E10</v>
      </c>
      <c r="D474" s="201">
        <v>45701.0</v>
      </c>
      <c r="E474" s="202" t="s">
        <v>101</v>
      </c>
      <c r="F474" s="202" t="s">
        <v>101</v>
      </c>
      <c r="G474" s="203" t="s">
        <v>101</v>
      </c>
      <c r="H474" s="203" t="s">
        <v>102</v>
      </c>
      <c r="I474" s="37"/>
      <c r="J474" s="37"/>
      <c r="K474" s="37"/>
      <c r="L474" s="199">
        <v>42.0</v>
      </c>
      <c r="M474" s="199">
        <v>454.3</v>
      </c>
      <c r="N474" s="199"/>
      <c r="O474" s="199">
        <v>7.0</v>
      </c>
      <c r="P474" s="199">
        <v>0.1</v>
      </c>
      <c r="Q474" s="199">
        <v>0.0</v>
      </c>
      <c r="R474" s="199">
        <v>25.0</v>
      </c>
      <c r="S474" s="199">
        <v>1.0</v>
      </c>
      <c r="T474" s="199">
        <v>56.0</v>
      </c>
      <c r="U474" s="199">
        <v>90.0</v>
      </c>
      <c r="V474" s="199">
        <v>2.0</v>
      </c>
      <c r="W474" s="199">
        <v>0.0</v>
      </c>
      <c r="X474" s="199">
        <v>16.0</v>
      </c>
      <c r="Y474" s="199">
        <v>2.0</v>
      </c>
      <c r="Z474" s="199">
        <v>5.0</v>
      </c>
      <c r="AA474" s="199">
        <v>0.0</v>
      </c>
      <c r="AB474" s="199">
        <v>72.0</v>
      </c>
      <c r="AC474" s="199">
        <v>30.0</v>
      </c>
      <c r="AD474" s="199">
        <v>0.0</v>
      </c>
      <c r="AE474" s="199">
        <v>388.0</v>
      </c>
      <c r="AF474" s="199">
        <v>17.0</v>
      </c>
      <c r="AG474" s="199">
        <v>544.0</v>
      </c>
      <c r="AH474" s="199">
        <v>29.0</v>
      </c>
      <c r="AI474" s="200" t="s">
        <v>804</v>
      </c>
      <c r="AJ474" s="200" t="s">
        <v>817</v>
      </c>
      <c r="AK474" s="200"/>
      <c r="AL474" s="204"/>
      <c r="AM474" s="204"/>
    </row>
    <row r="475">
      <c r="A475" s="199" t="s">
        <v>232</v>
      </c>
      <c r="B475" s="200" t="s">
        <v>466</v>
      </c>
      <c r="C475" s="199">
        <v>2.5112224258E10</v>
      </c>
      <c r="D475" s="201">
        <v>45756.0</v>
      </c>
      <c r="E475" s="202" t="s">
        <v>101</v>
      </c>
      <c r="F475" s="202" t="s">
        <v>101</v>
      </c>
      <c r="G475" s="203" t="s">
        <v>101</v>
      </c>
      <c r="H475" s="203" t="s">
        <v>102</v>
      </c>
      <c r="I475" s="37"/>
      <c r="J475" s="37"/>
      <c r="K475" s="37"/>
      <c r="L475" s="199">
        <v>71.0</v>
      </c>
      <c r="M475" s="199">
        <v>471.3</v>
      </c>
      <c r="N475" s="199"/>
      <c r="O475" s="199">
        <v>7.0</v>
      </c>
      <c r="P475" s="199">
        <v>0.08</v>
      </c>
      <c r="Q475" s="199">
        <v>0.0</v>
      </c>
      <c r="R475" s="199">
        <v>19.0</v>
      </c>
      <c r="S475" s="199">
        <v>0.0</v>
      </c>
      <c r="T475" s="199">
        <v>14.0</v>
      </c>
      <c r="U475" s="199">
        <v>187.0</v>
      </c>
      <c r="V475" s="199">
        <v>0.0</v>
      </c>
      <c r="W475" s="199">
        <v>0.0</v>
      </c>
      <c r="X475" s="199">
        <v>0.0</v>
      </c>
      <c r="Y475" s="199">
        <v>0.0</v>
      </c>
      <c r="Z475" s="199">
        <v>2.0</v>
      </c>
      <c r="AA475" s="199">
        <v>25.0</v>
      </c>
      <c r="AB475" s="199">
        <v>70.0</v>
      </c>
      <c r="AC475" s="199">
        <v>16.0</v>
      </c>
      <c r="AD475" s="199">
        <v>0.0</v>
      </c>
      <c r="AE475" s="199">
        <v>317.0</v>
      </c>
      <c r="AF475" s="199">
        <v>17.0</v>
      </c>
      <c r="AG475" s="199">
        <v>419.0</v>
      </c>
      <c r="AH475" s="199">
        <v>1.0</v>
      </c>
      <c r="AI475" s="200" t="s">
        <v>804</v>
      </c>
      <c r="AJ475" s="200" t="s">
        <v>868</v>
      </c>
      <c r="AK475" s="200"/>
      <c r="AL475" s="204"/>
      <c r="AM475" s="204"/>
    </row>
    <row r="476">
      <c r="A476" s="199" t="s">
        <v>232</v>
      </c>
      <c r="B476" s="200" t="s">
        <v>466</v>
      </c>
      <c r="C476" s="199">
        <v>2.5180296267E10</v>
      </c>
      <c r="D476" s="201">
        <v>45826.0</v>
      </c>
      <c r="E476" s="202" t="s">
        <v>101</v>
      </c>
      <c r="F476" s="202" t="s">
        <v>101</v>
      </c>
      <c r="G476" s="203" t="s">
        <v>101</v>
      </c>
      <c r="H476" s="203" t="s">
        <v>100</v>
      </c>
      <c r="I476" s="37"/>
      <c r="J476" s="37"/>
      <c r="K476" s="37"/>
      <c r="L476" s="199">
        <v>48.0</v>
      </c>
      <c r="M476" s="199">
        <v>433.2</v>
      </c>
      <c r="N476" s="199"/>
      <c r="O476" s="199">
        <v>0.0</v>
      </c>
      <c r="P476" s="199">
        <v>0.4</v>
      </c>
      <c r="Q476" s="199">
        <v>0.0</v>
      </c>
      <c r="R476" s="199">
        <v>17.0</v>
      </c>
      <c r="S476" s="199">
        <v>0.0</v>
      </c>
      <c r="T476" s="199">
        <v>44.0</v>
      </c>
      <c r="U476" s="199">
        <v>102.0</v>
      </c>
      <c r="V476" s="199">
        <v>0.0</v>
      </c>
      <c r="W476" s="199">
        <v>0.0</v>
      </c>
      <c r="X476" s="199">
        <v>13.0</v>
      </c>
      <c r="Y476" s="199">
        <v>2.0</v>
      </c>
      <c r="Z476" s="199">
        <v>2.0</v>
      </c>
      <c r="AA476" s="199">
        <v>2.0</v>
      </c>
      <c r="AB476" s="199">
        <v>54.0</v>
      </c>
      <c r="AC476" s="199">
        <v>38.0</v>
      </c>
      <c r="AD476" s="199">
        <v>0.0</v>
      </c>
      <c r="AE476" s="199">
        <v>457.0</v>
      </c>
      <c r="AF476" s="199">
        <v>21.0</v>
      </c>
      <c r="AG476" s="199">
        <v>422.0</v>
      </c>
      <c r="AH476" s="199">
        <v>48.0</v>
      </c>
      <c r="AI476" s="200" t="s">
        <v>829</v>
      </c>
      <c r="AJ476" s="200" t="s">
        <v>872</v>
      </c>
      <c r="AK476" s="200"/>
      <c r="AL476" s="204"/>
      <c r="AM476" s="204"/>
    </row>
    <row r="477">
      <c r="A477" s="199" t="s">
        <v>232</v>
      </c>
      <c r="B477" s="200" t="s">
        <v>466</v>
      </c>
      <c r="C477" s="199">
        <v>2.5259169232E10</v>
      </c>
      <c r="D477" s="201">
        <v>45909.0</v>
      </c>
      <c r="E477" s="202" t="s">
        <v>101</v>
      </c>
      <c r="F477" s="202" t="s">
        <v>101</v>
      </c>
      <c r="G477" s="203" t="s">
        <v>101</v>
      </c>
      <c r="H477" s="203" t="s">
        <v>100</v>
      </c>
      <c r="I477" s="37"/>
      <c r="J477" s="37"/>
      <c r="K477" s="37"/>
      <c r="L477" s="199">
        <v>34.0</v>
      </c>
      <c r="M477" s="199">
        <v>411.6</v>
      </c>
      <c r="N477" s="199"/>
      <c r="O477" s="199">
        <v>0.0</v>
      </c>
      <c r="P477" s="199">
        <v>0.6</v>
      </c>
      <c r="Q477" s="199">
        <v>0.0</v>
      </c>
      <c r="R477" s="199">
        <v>36.0</v>
      </c>
      <c r="S477" s="199">
        <v>1.0</v>
      </c>
      <c r="T477" s="199">
        <v>24.0</v>
      </c>
      <c r="U477" s="199">
        <v>56.0</v>
      </c>
      <c r="V477" s="199">
        <v>3.0</v>
      </c>
      <c r="W477" s="199">
        <v>0.0</v>
      </c>
      <c r="X477" s="199">
        <v>5.0</v>
      </c>
      <c r="Y477" s="199">
        <v>5.0</v>
      </c>
      <c r="Z477" s="199">
        <v>5.0</v>
      </c>
      <c r="AA477" s="199">
        <v>0.0</v>
      </c>
      <c r="AB477" s="199">
        <v>117.0</v>
      </c>
      <c r="AC477" s="199">
        <v>12.0</v>
      </c>
      <c r="AD477" s="199">
        <v>0.0</v>
      </c>
      <c r="AE477" s="199">
        <v>412.0</v>
      </c>
      <c r="AF477" s="199">
        <v>12.0</v>
      </c>
      <c r="AG477" s="199">
        <v>302.0</v>
      </c>
      <c r="AH477" s="199">
        <v>23.0</v>
      </c>
      <c r="AI477" s="200" t="s">
        <v>829</v>
      </c>
      <c r="AJ477" s="200" t="s">
        <v>870</v>
      </c>
      <c r="AK477" s="200"/>
      <c r="AL477" s="204"/>
      <c r="AM477" s="204"/>
    </row>
    <row r="478">
      <c r="A478" s="199" t="s">
        <v>232</v>
      </c>
      <c r="B478" s="200" t="s">
        <v>466</v>
      </c>
      <c r="C478" s="199">
        <v>2.5330281216E10</v>
      </c>
      <c r="D478" s="201">
        <v>45977.0</v>
      </c>
      <c r="E478" s="202" t="s">
        <v>101</v>
      </c>
      <c r="F478" s="202" t="s">
        <v>101</v>
      </c>
      <c r="G478" s="203" t="s">
        <v>101</v>
      </c>
      <c r="H478" s="203" t="s">
        <v>102</v>
      </c>
      <c r="I478" s="37"/>
      <c r="J478" s="37"/>
      <c r="K478" s="37"/>
      <c r="L478" s="199">
        <v>170.0</v>
      </c>
      <c r="M478" s="199">
        <v>432.1</v>
      </c>
      <c r="N478" s="199"/>
      <c r="O478" s="199">
        <v>8.0</v>
      </c>
      <c r="P478" s="199">
        <v>0.15</v>
      </c>
      <c r="Q478" s="199">
        <v>0.0</v>
      </c>
      <c r="R478" s="199">
        <v>194.0</v>
      </c>
      <c r="S478" s="199">
        <v>0.0</v>
      </c>
      <c r="T478" s="199">
        <v>43.0</v>
      </c>
      <c r="U478" s="199">
        <v>195.0</v>
      </c>
      <c r="V478" s="199">
        <v>8.0</v>
      </c>
      <c r="W478" s="199">
        <v>2.0</v>
      </c>
      <c r="X478" s="199">
        <v>10.0</v>
      </c>
      <c r="Y478" s="199">
        <v>271.0</v>
      </c>
      <c r="Z478" s="199">
        <v>5.0</v>
      </c>
      <c r="AA478" s="199">
        <v>15.0</v>
      </c>
      <c r="AB478" s="199">
        <v>965.0</v>
      </c>
      <c r="AC478" s="199">
        <v>69.0</v>
      </c>
      <c r="AD478" s="199">
        <v>5.0</v>
      </c>
      <c r="AE478" s="199">
        <v>981.0</v>
      </c>
      <c r="AF478" s="199">
        <v>20.0</v>
      </c>
      <c r="AG478" s="199">
        <v>417.0</v>
      </c>
      <c r="AH478" s="199">
        <v>7.0</v>
      </c>
      <c r="AI478" s="200" t="s">
        <v>827</v>
      </c>
      <c r="AJ478" s="200" t="s">
        <v>873</v>
      </c>
      <c r="AK478" s="200"/>
      <c r="AL478" s="204"/>
      <c r="AM478" s="204"/>
    </row>
    <row r="479">
      <c r="A479" s="199" t="s">
        <v>233</v>
      </c>
      <c r="B479" s="200" t="s">
        <v>468</v>
      </c>
      <c r="C479" s="199">
        <v>2.511222427E10</v>
      </c>
      <c r="D479" s="201">
        <v>45756.0</v>
      </c>
      <c r="E479" s="202" t="s">
        <v>101</v>
      </c>
      <c r="F479" s="202" t="s">
        <v>101</v>
      </c>
      <c r="G479" s="203" t="s">
        <v>101</v>
      </c>
      <c r="H479" s="203" t="s">
        <v>102</v>
      </c>
      <c r="I479" s="37"/>
      <c r="J479" s="37"/>
      <c r="K479" s="37"/>
      <c r="L479" s="199">
        <v>55.0</v>
      </c>
      <c r="M479" s="199">
        <v>452.5</v>
      </c>
      <c r="N479" s="199"/>
      <c r="O479" s="199">
        <v>6.0</v>
      </c>
      <c r="P479" s="199">
        <v>0.04</v>
      </c>
      <c r="Q479" s="199">
        <v>0.0</v>
      </c>
      <c r="R479" s="199">
        <v>9.0</v>
      </c>
      <c r="S479" s="199">
        <v>0.0</v>
      </c>
      <c r="T479" s="199">
        <v>5.0</v>
      </c>
      <c r="U479" s="199">
        <v>89.0</v>
      </c>
      <c r="V479" s="199">
        <v>0.0</v>
      </c>
      <c r="W479" s="199">
        <v>0.0</v>
      </c>
      <c r="X479" s="199">
        <v>0.0</v>
      </c>
      <c r="Y479" s="199">
        <v>0.0</v>
      </c>
      <c r="Z479" s="199">
        <v>0.0</v>
      </c>
      <c r="AA479" s="199">
        <v>11.0</v>
      </c>
      <c r="AB479" s="199">
        <v>35.0</v>
      </c>
      <c r="AC479" s="199">
        <v>13.0</v>
      </c>
      <c r="AD479" s="199">
        <v>0.0</v>
      </c>
      <c r="AE479" s="199">
        <v>204.0</v>
      </c>
      <c r="AF479" s="199">
        <v>8.0</v>
      </c>
      <c r="AG479" s="199">
        <v>367.0</v>
      </c>
      <c r="AH479" s="199">
        <v>24.0</v>
      </c>
      <c r="AI479" s="200" t="s">
        <v>787</v>
      </c>
      <c r="AJ479" s="200" t="s">
        <v>817</v>
      </c>
      <c r="AK479" s="200"/>
      <c r="AL479" s="204"/>
      <c r="AM479" s="204"/>
    </row>
    <row r="480">
      <c r="A480" s="199" t="s">
        <v>238</v>
      </c>
      <c r="B480" s="200" t="s">
        <v>463</v>
      </c>
      <c r="C480" s="199">
        <v>2.5049182262E10</v>
      </c>
      <c r="D480" s="201">
        <v>45701.0</v>
      </c>
      <c r="E480" s="202" t="s">
        <v>101</v>
      </c>
      <c r="F480" s="202" t="s">
        <v>101</v>
      </c>
      <c r="G480" s="203" t="s">
        <v>101</v>
      </c>
      <c r="H480" s="203" t="s">
        <v>100</v>
      </c>
      <c r="I480" s="37"/>
      <c r="J480" s="37"/>
      <c r="K480" s="37"/>
      <c r="L480" s="199">
        <v>60.0</v>
      </c>
      <c r="M480" s="199">
        <v>448.6</v>
      </c>
      <c r="N480" s="199"/>
      <c r="O480" s="199">
        <v>3.0</v>
      </c>
      <c r="P480" s="199">
        <v>0.15</v>
      </c>
      <c r="Q480" s="199">
        <v>0.0</v>
      </c>
      <c r="R480" s="199">
        <v>19.0</v>
      </c>
      <c r="S480" s="199">
        <v>1.0</v>
      </c>
      <c r="T480" s="199">
        <v>42.0</v>
      </c>
      <c r="U480" s="199">
        <v>99.0</v>
      </c>
      <c r="V480" s="199">
        <v>2.0</v>
      </c>
      <c r="W480" s="199">
        <v>0.0</v>
      </c>
      <c r="X480" s="199">
        <v>25.0</v>
      </c>
      <c r="Y480" s="199">
        <v>0.0</v>
      </c>
      <c r="Z480" s="199">
        <v>5.0</v>
      </c>
      <c r="AA480" s="199">
        <v>0.0</v>
      </c>
      <c r="AB480" s="199">
        <v>69.0</v>
      </c>
      <c r="AC480" s="199">
        <v>28.0</v>
      </c>
      <c r="AD480" s="199">
        <v>0.0</v>
      </c>
      <c r="AE480" s="199">
        <v>260.0</v>
      </c>
      <c r="AF480" s="199">
        <v>14.0</v>
      </c>
      <c r="AG480" s="199">
        <v>530.0</v>
      </c>
      <c r="AH480" s="199">
        <v>16.0</v>
      </c>
      <c r="AI480" s="200" t="s">
        <v>829</v>
      </c>
      <c r="AJ480" s="200" t="s">
        <v>845</v>
      </c>
      <c r="AK480" s="200"/>
      <c r="AL480" s="204"/>
      <c r="AM480" s="204"/>
    </row>
    <row r="481">
      <c r="A481" s="199" t="s">
        <v>238</v>
      </c>
      <c r="B481" s="200" t="s">
        <v>463</v>
      </c>
      <c r="C481" s="199">
        <v>2.5112224255E10</v>
      </c>
      <c r="D481" s="201">
        <v>45756.0</v>
      </c>
      <c r="E481" s="202" t="s">
        <v>101</v>
      </c>
      <c r="F481" s="202" t="s">
        <v>102</v>
      </c>
      <c r="G481" s="203" t="s">
        <v>101</v>
      </c>
      <c r="H481" s="203" t="s">
        <v>102</v>
      </c>
      <c r="I481" s="37"/>
      <c r="J481" s="37"/>
      <c r="K481" s="37"/>
      <c r="L481" s="199">
        <v>16.0</v>
      </c>
      <c r="M481" s="199">
        <v>395.6</v>
      </c>
      <c r="N481" s="199"/>
      <c r="O481" s="199">
        <v>6.0</v>
      </c>
      <c r="P481" s="199">
        <v>0.03</v>
      </c>
      <c r="Q481" s="199">
        <v>0.0</v>
      </c>
      <c r="R481" s="199">
        <v>3.0</v>
      </c>
      <c r="S481" s="199">
        <v>0.0</v>
      </c>
      <c r="T481" s="199">
        <v>15.0</v>
      </c>
      <c r="U481" s="199">
        <v>18.0</v>
      </c>
      <c r="V481" s="199">
        <v>0.0</v>
      </c>
      <c r="W481" s="199">
        <v>0.0</v>
      </c>
      <c r="X481" s="199">
        <v>1.0</v>
      </c>
      <c r="Y481" s="199">
        <v>16.0</v>
      </c>
      <c r="Z481" s="199">
        <v>1.0</v>
      </c>
      <c r="AA481" s="199">
        <v>10.0</v>
      </c>
      <c r="AB481" s="199">
        <v>19.0</v>
      </c>
      <c r="AC481" s="199">
        <v>7.0</v>
      </c>
      <c r="AD481" s="199">
        <v>0.0</v>
      </c>
      <c r="AE481" s="199">
        <v>283.0</v>
      </c>
      <c r="AF481" s="199">
        <v>4.0</v>
      </c>
      <c r="AG481" s="199">
        <v>214.0</v>
      </c>
      <c r="AH481" s="199">
        <v>9.0</v>
      </c>
      <c r="AI481" s="200" t="s">
        <v>787</v>
      </c>
      <c r="AJ481" s="200" t="s">
        <v>810</v>
      </c>
      <c r="AK481" s="200"/>
      <c r="AL481" s="204"/>
      <c r="AM481" s="204"/>
    </row>
    <row r="482">
      <c r="A482" s="199" t="s">
        <v>238</v>
      </c>
      <c r="B482" s="200" t="s">
        <v>463</v>
      </c>
      <c r="C482" s="199">
        <v>2.5180296246E10</v>
      </c>
      <c r="D482" s="201">
        <v>45826.0</v>
      </c>
      <c r="E482" s="202" t="s">
        <v>101</v>
      </c>
      <c r="F482" s="202" t="s">
        <v>101</v>
      </c>
      <c r="G482" s="203" t="s">
        <v>101</v>
      </c>
      <c r="H482" s="203" t="s">
        <v>102</v>
      </c>
      <c r="I482" s="37"/>
      <c r="J482" s="37"/>
      <c r="K482" s="37"/>
      <c r="L482" s="199">
        <v>57.0</v>
      </c>
      <c r="M482" s="199">
        <v>462.3</v>
      </c>
      <c r="N482" s="199"/>
      <c r="O482" s="199">
        <v>7.0</v>
      </c>
      <c r="P482" s="199">
        <v>0.2</v>
      </c>
      <c r="Q482" s="199">
        <v>0.0</v>
      </c>
      <c r="R482" s="199">
        <v>22.0</v>
      </c>
      <c r="S482" s="199">
        <v>0.0</v>
      </c>
      <c r="T482" s="199">
        <v>31.0</v>
      </c>
      <c r="U482" s="199">
        <v>165.0</v>
      </c>
      <c r="V482" s="199">
        <v>3.0</v>
      </c>
      <c r="W482" s="199">
        <v>0.0</v>
      </c>
      <c r="X482" s="199">
        <v>21.0</v>
      </c>
      <c r="Y482" s="199">
        <v>0.0</v>
      </c>
      <c r="Z482" s="199">
        <v>2.0</v>
      </c>
      <c r="AA482" s="199">
        <v>0.0</v>
      </c>
      <c r="AB482" s="199">
        <v>77.0</v>
      </c>
      <c r="AC482" s="199">
        <v>37.0</v>
      </c>
      <c r="AD482" s="199">
        <v>0.0</v>
      </c>
      <c r="AE482" s="199">
        <v>609.0</v>
      </c>
      <c r="AF482" s="199">
        <v>24.0</v>
      </c>
      <c r="AG482" s="199">
        <v>359.0</v>
      </c>
      <c r="AH482" s="199">
        <v>12.0</v>
      </c>
      <c r="AI482" s="200" t="s">
        <v>829</v>
      </c>
      <c r="AJ482" s="200" t="s">
        <v>874</v>
      </c>
      <c r="AK482" s="200"/>
      <c r="AL482" s="204"/>
      <c r="AM482" s="204"/>
    </row>
    <row r="483">
      <c r="A483" s="199" t="s">
        <v>238</v>
      </c>
      <c r="B483" s="200" t="s">
        <v>463</v>
      </c>
      <c r="C483" s="199">
        <v>2.5259169216E10</v>
      </c>
      <c r="D483" s="201">
        <v>45909.0</v>
      </c>
      <c r="E483" s="202" t="s">
        <v>101</v>
      </c>
      <c r="F483" s="202" t="s">
        <v>101</v>
      </c>
      <c r="G483" s="203" t="s">
        <v>102</v>
      </c>
      <c r="H483" s="203" t="s">
        <v>100</v>
      </c>
      <c r="I483" s="37"/>
      <c r="J483" s="37"/>
      <c r="K483" s="37"/>
      <c r="L483" s="199">
        <v>36.0</v>
      </c>
      <c r="M483" s="199">
        <v>431.6</v>
      </c>
      <c r="N483" s="199"/>
      <c r="O483" s="199">
        <v>1.0</v>
      </c>
      <c r="P483" s="199">
        <v>0.2</v>
      </c>
      <c r="Q483" s="199">
        <v>0.0</v>
      </c>
      <c r="R483" s="199">
        <v>9.0</v>
      </c>
      <c r="S483" s="199">
        <v>1.0</v>
      </c>
      <c r="T483" s="199">
        <v>15.0</v>
      </c>
      <c r="U483" s="199">
        <v>43.0</v>
      </c>
      <c r="V483" s="199">
        <v>0.0</v>
      </c>
      <c r="W483" s="199">
        <v>0.0</v>
      </c>
      <c r="X483" s="199">
        <v>3.0</v>
      </c>
      <c r="Y483" s="199">
        <v>0.0</v>
      </c>
      <c r="Z483" s="199">
        <v>4.0</v>
      </c>
      <c r="AA483" s="199">
        <v>0.0</v>
      </c>
      <c r="AB483" s="199">
        <v>56.0</v>
      </c>
      <c r="AC483" s="199">
        <v>12.0</v>
      </c>
      <c r="AD483" s="199">
        <v>0.0</v>
      </c>
      <c r="AE483" s="199">
        <v>106.0</v>
      </c>
      <c r="AF483" s="199">
        <v>0.0</v>
      </c>
      <c r="AG483" s="199">
        <v>338.0</v>
      </c>
      <c r="AH483" s="199">
        <v>0.0</v>
      </c>
      <c r="AI483" s="200" t="s">
        <v>781</v>
      </c>
      <c r="AJ483" s="200" t="s">
        <v>782</v>
      </c>
      <c r="AK483" s="200"/>
      <c r="AL483" s="204"/>
      <c r="AM483" s="204"/>
    </row>
    <row r="484">
      <c r="A484" s="199" t="s">
        <v>238</v>
      </c>
      <c r="B484" s="200" t="s">
        <v>463</v>
      </c>
      <c r="C484" s="199">
        <v>2.5330281237E10</v>
      </c>
      <c r="D484" s="201">
        <v>45977.0</v>
      </c>
      <c r="E484" s="202" t="s">
        <v>101</v>
      </c>
      <c r="F484" s="202" t="s">
        <v>101</v>
      </c>
      <c r="G484" s="203" t="s">
        <v>100</v>
      </c>
      <c r="H484" s="203" t="s">
        <v>102</v>
      </c>
      <c r="I484" s="37"/>
      <c r="J484" s="37"/>
      <c r="K484" s="37"/>
      <c r="L484" s="199">
        <v>26.0</v>
      </c>
      <c r="M484" s="199">
        <v>448.5</v>
      </c>
      <c r="N484" s="199"/>
      <c r="O484" s="199">
        <v>6.0</v>
      </c>
      <c r="P484" s="199">
        <v>0.05</v>
      </c>
      <c r="Q484" s="199">
        <v>0.0</v>
      </c>
      <c r="R484" s="199">
        <v>0.0</v>
      </c>
      <c r="S484" s="199">
        <v>0.0</v>
      </c>
      <c r="T484" s="199">
        <v>9.0</v>
      </c>
      <c r="U484" s="199">
        <v>37.0</v>
      </c>
      <c r="V484" s="199">
        <v>0.0</v>
      </c>
      <c r="W484" s="199">
        <v>0.0</v>
      </c>
      <c r="X484" s="199">
        <v>1.0</v>
      </c>
      <c r="Y484" s="199">
        <v>0.0</v>
      </c>
      <c r="Z484" s="199">
        <v>0.0</v>
      </c>
      <c r="AA484" s="199">
        <v>2.0</v>
      </c>
      <c r="AB484" s="199">
        <v>80.0</v>
      </c>
      <c r="AC484" s="199">
        <v>26.0</v>
      </c>
      <c r="AD484" s="199">
        <v>0.0</v>
      </c>
      <c r="AE484" s="199">
        <v>102.0</v>
      </c>
      <c r="AF484" s="199">
        <v>4.0</v>
      </c>
      <c r="AG484" s="199">
        <v>349.0</v>
      </c>
      <c r="AH484" s="199">
        <v>18.0</v>
      </c>
      <c r="AI484" s="200" t="s">
        <v>785</v>
      </c>
      <c r="AJ484" s="200" t="s">
        <v>875</v>
      </c>
      <c r="AK484" s="200"/>
      <c r="AL484" s="204"/>
      <c r="AM484" s="204"/>
    </row>
    <row r="485">
      <c r="A485" s="199" t="s">
        <v>239</v>
      </c>
      <c r="B485" s="200" t="s">
        <v>466</v>
      </c>
      <c r="C485" s="199">
        <v>2.5112224266E10</v>
      </c>
      <c r="D485" s="201">
        <v>45756.0</v>
      </c>
      <c r="E485" s="202" t="s">
        <v>101</v>
      </c>
      <c r="F485" s="202" t="s">
        <v>101</v>
      </c>
      <c r="G485" s="203" t="s">
        <v>101</v>
      </c>
      <c r="H485" s="203" t="s">
        <v>102</v>
      </c>
      <c r="I485" s="37"/>
      <c r="J485" s="37"/>
      <c r="K485" s="37"/>
      <c r="L485" s="199">
        <v>13.0</v>
      </c>
      <c r="M485" s="199">
        <v>437.2</v>
      </c>
      <c r="N485" s="199"/>
      <c r="O485" s="199">
        <v>6.0</v>
      </c>
      <c r="P485" s="199">
        <v>0.03</v>
      </c>
      <c r="Q485" s="199">
        <v>0.0</v>
      </c>
      <c r="R485" s="199">
        <v>12.0</v>
      </c>
      <c r="S485" s="199">
        <v>0.0</v>
      </c>
      <c r="T485" s="199">
        <v>30.0</v>
      </c>
      <c r="U485" s="199">
        <v>42.0</v>
      </c>
      <c r="V485" s="199">
        <v>0.0</v>
      </c>
      <c r="W485" s="199">
        <v>0.0</v>
      </c>
      <c r="X485" s="199">
        <v>6.0</v>
      </c>
      <c r="Y485" s="199">
        <v>25.0</v>
      </c>
      <c r="Z485" s="199">
        <v>3.0</v>
      </c>
      <c r="AA485" s="199">
        <v>14.0</v>
      </c>
      <c r="AB485" s="199">
        <v>41.0</v>
      </c>
      <c r="AC485" s="199">
        <v>16.0</v>
      </c>
      <c r="AD485" s="199">
        <v>0.0</v>
      </c>
      <c r="AE485" s="199">
        <v>177.0</v>
      </c>
      <c r="AF485" s="199">
        <v>9.0</v>
      </c>
      <c r="AG485" s="199">
        <v>450.0</v>
      </c>
      <c r="AH485" s="199">
        <v>8.0</v>
      </c>
      <c r="AI485" s="200" t="s">
        <v>787</v>
      </c>
      <c r="AJ485" s="200" t="s">
        <v>817</v>
      </c>
      <c r="AK485" s="200"/>
      <c r="AL485" s="204"/>
      <c r="AM485" s="204"/>
    </row>
    <row r="486">
      <c r="A486" s="199" t="s">
        <v>239</v>
      </c>
      <c r="B486" s="200" t="s">
        <v>466</v>
      </c>
      <c r="C486" s="199">
        <v>2.5180296236E10</v>
      </c>
      <c r="D486" s="201">
        <v>45826.0</v>
      </c>
      <c r="E486" s="202" t="s">
        <v>102</v>
      </c>
      <c r="F486" s="202" t="s">
        <v>102</v>
      </c>
      <c r="G486" s="203" t="s">
        <v>100</v>
      </c>
      <c r="H486" s="203" t="s">
        <v>102</v>
      </c>
      <c r="I486" s="37"/>
      <c r="J486" s="37"/>
      <c r="K486" s="37"/>
      <c r="L486" s="199">
        <v>24.0</v>
      </c>
      <c r="M486" s="199">
        <v>459.0</v>
      </c>
      <c r="N486" s="199"/>
      <c r="O486" s="199">
        <v>4.0</v>
      </c>
      <c r="P486" s="199">
        <v>0.05</v>
      </c>
      <c r="Q486" s="199">
        <v>0.0</v>
      </c>
      <c r="R486" s="199">
        <v>3.0</v>
      </c>
      <c r="S486" s="199">
        <v>0.0</v>
      </c>
      <c r="T486" s="199">
        <v>9.0</v>
      </c>
      <c r="U486" s="199">
        <v>26.0</v>
      </c>
      <c r="V486" s="199">
        <v>3.0</v>
      </c>
      <c r="W486" s="199">
        <v>0.0</v>
      </c>
      <c r="X486" s="199">
        <v>3.0</v>
      </c>
      <c r="Y486" s="199">
        <v>0.0</v>
      </c>
      <c r="Z486" s="199">
        <v>2.0</v>
      </c>
      <c r="AA486" s="199">
        <v>2.0</v>
      </c>
      <c r="AB486" s="199">
        <v>10.0</v>
      </c>
      <c r="AC486" s="199">
        <v>26.0</v>
      </c>
      <c r="AD486" s="199">
        <v>0.0</v>
      </c>
      <c r="AE486" s="199">
        <v>95.0</v>
      </c>
      <c r="AF486" s="199">
        <v>6.0</v>
      </c>
      <c r="AG486" s="199">
        <v>356.0</v>
      </c>
      <c r="AH486" s="199">
        <v>16.0</v>
      </c>
      <c r="AI486" s="200" t="s">
        <v>792</v>
      </c>
      <c r="AJ486" s="200" t="s">
        <v>876</v>
      </c>
      <c r="AK486" s="200"/>
      <c r="AL486" s="204"/>
      <c r="AM486" s="204"/>
    </row>
    <row r="487">
      <c r="A487" s="199" t="s">
        <v>239</v>
      </c>
      <c r="B487" s="200" t="s">
        <v>466</v>
      </c>
      <c r="C487" s="199">
        <v>2.5258159241E10</v>
      </c>
      <c r="D487" s="201">
        <v>45909.0</v>
      </c>
      <c r="E487" s="202" t="s">
        <v>102</v>
      </c>
      <c r="F487" s="202" t="s">
        <v>102</v>
      </c>
      <c r="G487" s="203" t="s">
        <v>100</v>
      </c>
      <c r="H487" s="203" t="s">
        <v>100</v>
      </c>
      <c r="I487" s="37"/>
      <c r="J487" s="37"/>
      <c r="K487" s="37"/>
      <c r="L487" s="199">
        <v>22.0</v>
      </c>
      <c r="M487" s="199">
        <v>446.4</v>
      </c>
      <c r="N487" s="199"/>
      <c r="O487" s="199">
        <v>1.0</v>
      </c>
      <c r="P487" s="199">
        <v>0.05</v>
      </c>
      <c r="Q487" s="199">
        <v>0.0</v>
      </c>
      <c r="R487" s="199">
        <v>16.0</v>
      </c>
      <c r="S487" s="199">
        <v>1.0</v>
      </c>
      <c r="T487" s="199">
        <v>13.0</v>
      </c>
      <c r="U487" s="199">
        <v>28.0</v>
      </c>
      <c r="V487" s="199">
        <v>0.0</v>
      </c>
      <c r="W487" s="199">
        <v>0.0</v>
      </c>
      <c r="X487" s="199">
        <v>3.0</v>
      </c>
      <c r="Y487" s="199">
        <v>0.0</v>
      </c>
      <c r="Z487" s="199">
        <v>0.0</v>
      </c>
      <c r="AA487" s="199">
        <v>0.0</v>
      </c>
      <c r="AB487" s="199">
        <v>12.0</v>
      </c>
      <c r="AC487" s="199">
        <v>12.0</v>
      </c>
      <c r="AD487" s="199">
        <v>0.0</v>
      </c>
      <c r="AE487" s="199">
        <v>61.0</v>
      </c>
      <c r="AF487" s="199">
        <v>5.0</v>
      </c>
      <c r="AG487" s="199">
        <v>325.0</v>
      </c>
      <c r="AH487" s="199">
        <v>0.0</v>
      </c>
      <c r="AI487" s="200" t="s">
        <v>653</v>
      </c>
      <c r="AJ487" s="200" t="s">
        <v>654</v>
      </c>
      <c r="AK487" s="200"/>
      <c r="AL487" s="204"/>
      <c r="AM487" s="204"/>
    </row>
    <row r="488">
      <c r="A488" s="199" t="s">
        <v>239</v>
      </c>
      <c r="B488" s="200" t="s">
        <v>466</v>
      </c>
      <c r="C488" s="199">
        <v>2.5294210241E10</v>
      </c>
      <c r="D488" s="201">
        <v>45946.0</v>
      </c>
      <c r="E488" s="202" t="s">
        <v>101</v>
      </c>
      <c r="F488" s="202" t="s">
        <v>101</v>
      </c>
      <c r="G488" s="203" t="s">
        <v>102</v>
      </c>
      <c r="H488" s="203" t="s">
        <v>101</v>
      </c>
      <c r="I488" s="37"/>
      <c r="J488" s="37"/>
      <c r="K488" s="37"/>
      <c r="L488" s="199">
        <v>22.0</v>
      </c>
      <c r="M488" s="199">
        <v>164.8</v>
      </c>
      <c r="N488" s="199"/>
      <c r="O488" s="199">
        <v>0.0</v>
      </c>
      <c r="P488" s="199">
        <v>0.11</v>
      </c>
      <c r="Q488" s="199">
        <v>0.0</v>
      </c>
      <c r="R488" s="199">
        <v>18.0</v>
      </c>
      <c r="S488" s="199">
        <v>1.0</v>
      </c>
      <c r="T488" s="199">
        <v>3.0</v>
      </c>
      <c r="U488" s="199">
        <v>45.0</v>
      </c>
      <c r="V488" s="199">
        <v>2.0</v>
      </c>
      <c r="W488" s="199">
        <v>0.0</v>
      </c>
      <c r="X488" s="199">
        <v>0.0</v>
      </c>
      <c r="Y488" s="199">
        <v>0.0</v>
      </c>
      <c r="Z488" s="199">
        <v>0.0</v>
      </c>
      <c r="AA488" s="199">
        <v>0.0</v>
      </c>
      <c r="AB488" s="199">
        <v>97.0</v>
      </c>
      <c r="AC488" s="199">
        <v>0.0</v>
      </c>
      <c r="AD488" s="199">
        <v>0.0</v>
      </c>
      <c r="AE488" s="199">
        <v>234.0</v>
      </c>
      <c r="AF488" s="199">
        <v>5.0</v>
      </c>
      <c r="AG488" s="199">
        <v>522.0</v>
      </c>
      <c r="AH488" s="199">
        <v>40.0</v>
      </c>
      <c r="AI488" s="200" t="s">
        <v>781</v>
      </c>
      <c r="AJ488" s="200" t="s">
        <v>782</v>
      </c>
      <c r="AK488" s="200"/>
      <c r="AL488" s="204"/>
      <c r="AM488" s="204"/>
    </row>
    <row r="489">
      <c r="A489" s="199" t="s">
        <v>239</v>
      </c>
      <c r="B489" s="200" t="s">
        <v>466</v>
      </c>
      <c r="C489" s="199">
        <v>2.5330281207E10</v>
      </c>
      <c r="D489" s="201">
        <v>45977.0</v>
      </c>
      <c r="E489" s="202" t="s">
        <v>101</v>
      </c>
      <c r="F489" s="202" t="s">
        <v>101</v>
      </c>
      <c r="G489" s="203" t="s">
        <v>101</v>
      </c>
      <c r="H489" s="203" t="s">
        <v>100</v>
      </c>
      <c r="I489" s="37"/>
      <c r="J489" s="37"/>
      <c r="K489" s="37"/>
      <c r="L489" s="199">
        <v>39.0</v>
      </c>
      <c r="M489" s="199">
        <v>427.6</v>
      </c>
      <c r="N489" s="199"/>
      <c r="O489" s="199">
        <v>4.0</v>
      </c>
      <c r="P489" s="199">
        <v>0.1</v>
      </c>
      <c r="Q489" s="199">
        <v>0.0</v>
      </c>
      <c r="R489" s="199">
        <v>15.0</v>
      </c>
      <c r="S489" s="199">
        <v>0.0</v>
      </c>
      <c r="T489" s="199">
        <v>6.0</v>
      </c>
      <c r="U489" s="199">
        <v>68.0</v>
      </c>
      <c r="V489" s="199">
        <v>2.0</v>
      </c>
      <c r="W489" s="199">
        <v>0.0</v>
      </c>
      <c r="X489" s="199">
        <v>4.0</v>
      </c>
      <c r="Y489" s="199">
        <v>0.0</v>
      </c>
      <c r="Z489" s="199">
        <v>5.0</v>
      </c>
      <c r="AA489" s="199">
        <v>0.0</v>
      </c>
      <c r="AB489" s="199">
        <v>221.0</v>
      </c>
      <c r="AC489" s="199">
        <v>60.0</v>
      </c>
      <c r="AD489" s="199">
        <v>0.0</v>
      </c>
      <c r="AE489" s="199">
        <v>152.0</v>
      </c>
      <c r="AF489" s="199">
        <v>6.0</v>
      </c>
      <c r="AG489" s="199">
        <v>428.0</v>
      </c>
      <c r="AH489" s="199">
        <v>11.0</v>
      </c>
      <c r="AI489" s="200" t="s">
        <v>804</v>
      </c>
      <c r="AJ489" s="200" t="s">
        <v>877</v>
      </c>
      <c r="AK489" s="200"/>
      <c r="AL489" s="204"/>
      <c r="AM489" s="204"/>
    </row>
    <row r="490">
      <c r="A490" s="199" t="s">
        <v>240</v>
      </c>
      <c r="B490" s="200" t="s">
        <v>475</v>
      </c>
      <c r="C490" s="199">
        <v>2.5079203247E10</v>
      </c>
      <c r="D490" s="201">
        <v>45726.0</v>
      </c>
      <c r="E490" s="202" t="s">
        <v>101</v>
      </c>
      <c r="F490" s="202" t="s">
        <v>101</v>
      </c>
      <c r="G490" s="203" t="s">
        <v>101</v>
      </c>
      <c r="H490" s="203" t="s">
        <v>100</v>
      </c>
      <c r="I490" s="37"/>
      <c r="J490" s="37"/>
      <c r="K490" s="37"/>
      <c r="L490" s="199">
        <v>84.0</v>
      </c>
      <c r="M490" s="199">
        <v>460.0</v>
      </c>
      <c r="N490" s="199"/>
      <c r="O490" s="199">
        <v>4.0</v>
      </c>
      <c r="P490" s="199">
        <v>0.3</v>
      </c>
      <c r="Q490" s="199">
        <v>0.0</v>
      </c>
      <c r="R490" s="199">
        <v>38.0</v>
      </c>
      <c r="S490" s="199">
        <v>2.0</v>
      </c>
      <c r="T490" s="199">
        <v>10.0</v>
      </c>
      <c r="U490" s="199">
        <v>59.0</v>
      </c>
      <c r="V490" s="199">
        <v>0.0</v>
      </c>
      <c r="W490" s="199">
        <v>0.0</v>
      </c>
      <c r="X490" s="199">
        <v>0.0</v>
      </c>
      <c r="Y490" s="199">
        <v>0.0</v>
      </c>
      <c r="Z490" s="199">
        <v>2.0</v>
      </c>
      <c r="AA490" s="199">
        <v>0.0</v>
      </c>
      <c r="AB490" s="199">
        <v>52.0</v>
      </c>
      <c r="AC490" s="199">
        <v>26.0</v>
      </c>
      <c r="AD490" s="199">
        <v>0.0</v>
      </c>
      <c r="AE490" s="199">
        <v>274.0</v>
      </c>
      <c r="AF490" s="199">
        <v>5.0</v>
      </c>
      <c r="AG490" s="199">
        <v>292.0</v>
      </c>
      <c r="AH490" s="199">
        <v>9.0</v>
      </c>
      <c r="AI490" s="200" t="s">
        <v>829</v>
      </c>
      <c r="AJ490" s="200" t="s">
        <v>833</v>
      </c>
      <c r="AK490" s="200"/>
      <c r="AL490" s="204"/>
      <c r="AM490" s="204"/>
    </row>
    <row r="491">
      <c r="A491" s="199" t="s">
        <v>240</v>
      </c>
      <c r="B491" s="200" t="s">
        <v>475</v>
      </c>
      <c r="C491" s="199">
        <v>2.5112224252E10</v>
      </c>
      <c r="D491" s="201">
        <v>45756.0</v>
      </c>
      <c r="E491" s="202" t="s">
        <v>101</v>
      </c>
      <c r="F491" s="202" t="s">
        <v>101</v>
      </c>
      <c r="G491" s="203" t="s">
        <v>101</v>
      </c>
      <c r="H491" s="203" t="s">
        <v>100</v>
      </c>
      <c r="I491" s="37"/>
      <c r="J491" s="37"/>
      <c r="K491" s="37"/>
      <c r="L491" s="199">
        <v>49.0</v>
      </c>
      <c r="M491" s="199">
        <v>455.7</v>
      </c>
      <c r="N491" s="199"/>
      <c r="O491" s="199">
        <v>4.0</v>
      </c>
      <c r="P491" s="199">
        <v>0.03</v>
      </c>
      <c r="Q491" s="199">
        <v>0.0</v>
      </c>
      <c r="R491" s="199">
        <v>9.0</v>
      </c>
      <c r="S491" s="199">
        <v>0.0</v>
      </c>
      <c r="T491" s="199">
        <v>4.0</v>
      </c>
      <c r="U491" s="199">
        <v>72.0</v>
      </c>
      <c r="V491" s="199">
        <v>0.0</v>
      </c>
      <c r="W491" s="199">
        <v>0.0</v>
      </c>
      <c r="X491" s="199">
        <v>0.0</v>
      </c>
      <c r="Y491" s="199">
        <v>12.0</v>
      </c>
      <c r="Z491" s="199">
        <v>1.0</v>
      </c>
      <c r="AA491" s="199">
        <v>5.0</v>
      </c>
      <c r="AB491" s="199">
        <v>42.0</v>
      </c>
      <c r="AC491" s="199">
        <v>9.0</v>
      </c>
      <c r="AD491" s="199">
        <v>0.0</v>
      </c>
      <c r="AE491" s="199">
        <v>226.0</v>
      </c>
      <c r="AF491" s="199">
        <v>8.0</v>
      </c>
      <c r="AG491" s="199">
        <v>238.0</v>
      </c>
      <c r="AH491" s="199">
        <v>5.0</v>
      </c>
      <c r="AI491" s="200" t="s">
        <v>787</v>
      </c>
      <c r="AJ491" s="200" t="s">
        <v>805</v>
      </c>
      <c r="AK491" s="200"/>
      <c r="AL491" s="204"/>
      <c r="AM491" s="204"/>
    </row>
    <row r="492">
      <c r="A492" s="199" t="s">
        <v>243</v>
      </c>
      <c r="B492" s="200" t="s">
        <v>477</v>
      </c>
      <c r="C492" s="199">
        <v>2.3351170226E10</v>
      </c>
      <c r="D492" s="201">
        <v>45266.0</v>
      </c>
      <c r="E492" s="202" t="s">
        <v>101</v>
      </c>
      <c r="F492" s="202" t="s">
        <v>101</v>
      </c>
      <c r="G492" s="203" t="s">
        <v>100</v>
      </c>
      <c r="H492" s="203" t="s">
        <v>100</v>
      </c>
      <c r="I492" s="37"/>
      <c r="J492" s="37"/>
      <c r="K492" s="37"/>
      <c r="L492" s="199">
        <v>90.0</v>
      </c>
      <c r="M492" s="199">
        <v>312.1</v>
      </c>
      <c r="N492" s="199"/>
      <c r="O492" s="199">
        <v>0.0</v>
      </c>
      <c r="P492" s="199">
        <v>0.3</v>
      </c>
      <c r="Q492" s="199">
        <v>0.0</v>
      </c>
      <c r="R492" s="199">
        <v>3.0</v>
      </c>
      <c r="S492" s="199">
        <v>3.0</v>
      </c>
      <c r="T492" s="199">
        <v>1.0</v>
      </c>
      <c r="U492" s="199">
        <v>94.0</v>
      </c>
      <c r="V492" s="199">
        <v>2.0</v>
      </c>
      <c r="W492" s="199">
        <v>0.0</v>
      </c>
      <c r="X492" s="199">
        <v>2.0</v>
      </c>
      <c r="Y492" s="199">
        <v>0.0</v>
      </c>
      <c r="Z492" s="199">
        <v>6.0</v>
      </c>
      <c r="AA492" s="199">
        <v>1.0</v>
      </c>
      <c r="AB492" s="199">
        <v>16.0</v>
      </c>
      <c r="AC492" s="199">
        <v>18.0</v>
      </c>
      <c r="AD492" s="199">
        <v>0.0</v>
      </c>
      <c r="AE492" s="199">
        <v>45.0</v>
      </c>
      <c r="AF492" s="199">
        <v>10.0</v>
      </c>
      <c r="AG492" s="199">
        <v>300.0</v>
      </c>
      <c r="AH492" s="199">
        <v>7.0</v>
      </c>
      <c r="AI492" s="200" t="s">
        <v>684</v>
      </c>
      <c r="AJ492" s="200" t="s">
        <v>878</v>
      </c>
      <c r="AK492" s="200"/>
      <c r="AL492" s="204"/>
      <c r="AM492" s="204"/>
    </row>
    <row r="493">
      <c r="A493" s="199" t="s">
        <v>243</v>
      </c>
      <c r="B493" s="200" t="s">
        <v>477</v>
      </c>
      <c r="C493" s="199">
        <v>2.4307211225E10</v>
      </c>
      <c r="D493" s="201">
        <v>45589.0</v>
      </c>
      <c r="E493" s="202" t="s">
        <v>101</v>
      </c>
      <c r="F493" s="202" t="s">
        <v>101</v>
      </c>
      <c r="G493" s="203" t="s">
        <v>100</v>
      </c>
      <c r="H493" s="203" t="s">
        <v>100</v>
      </c>
      <c r="I493" s="37"/>
      <c r="J493" s="37"/>
      <c r="K493" s="37"/>
      <c r="L493" s="199">
        <v>60.0</v>
      </c>
      <c r="M493" s="199">
        <v>312.7</v>
      </c>
      <c r="N493" s="199"/>
      <c r="O493" s="199">
        <v>0.0</v>
      </c>
      <c r="P493" s="199">
        <v>0.09</v>
      </c>
      <c r="Q493" s="199">
        <v>0.0</v>
      </c>
      <c r="R493" s="199">
        <v>19.0</v>
      </c>
      <c r="S493" s="199">
        <v>2.0</v>
      </c>
      <c r="T493" s="199">
        <v>0.0</v>
      </c>
      <c r="U493" s="199">
        <v>118.0</v>
      </c>
      <c r="V493" s="199">
        <v>5.0</v>
      </c>
      <c r="W493" s="199">
        <v>0.0</v>
      </c>
      <c r="X493" s="199">
        <v>0.0</v>
      </c>
      <c r="Y493" s="199">
        <v>2.0</v>
      </c>
      <c r="Z493" s="199">
        <v>17.0</v>
      </c>
      <c r="AA493" s="199">
        <v>3.0</v>
      </c>
      <c r="AB493" s="199">
        <v>91.0</v>
      </c>
      <c r="AC493" s="199">
        <v>23.0</v>
      </c>
      <c r="AD493" s="199">
        <v>0.0</v>
      </c>
      <c r="AE493" s="199">
        <v>211.0</v>
      </c>
      <c r="AF493" s="199">
        <v>2.0</v>
      </c>
      <c r="AG493" s="199">
        <v>463.0</v>
      </c>
      <c r="AH493" s="199">
        <v>13.0</v>
      </c>
      <c r="AI493" s="200" t="s">
        <v>785</v>
      </c>
      <c r="AJ493" s="200" t="s">
        <v>879</v>
      </c>
      <c r="AK493" s="200"/>
      <c r="AL493" s="204"/>
      <c r="AM493" s="204"/>
    </row>
    <row r="494">
      <c r="A494" s="199" t="s">
        <v>243</v>
      </c>
      <c r="B494" s="200" t="s">
        <v>477</v>
      </c>
      <c r="C494" s="199">
        <v>2.5110204257E10</v>
      </c>
      <c r="D494" s="201">
        <v>45756.0</v>
      </c>
      <c r="E494" s="202" t="s">
        <v>102</v>
      </c>
      <c r="F494" s="202" t="s">
        <v>100</v>
      </c>
      <c r="G494" s="203" t="s">
        <v>100</v>
      </c>
      <c r="H494" s="203" t="s">
        <v>102</v>
      </c>
      <c r="I494" s="199">
        <v>23210.0</v>
      </c>
      <c r="J494" s="199">
        <v>6542.0</v>
      </c>
      <c r="K494" s="199">
        <v>2541.0</v>
      </c>
      <c r="L494" s="199">
        <v>14.0</v>
      </c>
      <c r="M494" s="199">
        <v>275.6</v>
      </c>
      <c r="N494" s="199"/>
      <c r="O494" s="199">
        <v>6.0</v>
      </c>
      <c r="P494" s="199">
        <v>0.02</v>
      </c>
      <c r="Q494" s="199">
        <v>0.0</v>
      </c>
      <c r="R494" s="199">
        <v>0.0</v>
      </c>
      <c r="S494" s="199">
        <v>0.0</v>
      </c>
      <c r="T494" s="199">
        <v>45.0</v>
      </c>
      <c r="U494" s="199">
        <v>14.0</v>
      </c>
      <c r="V494" s="199">
        <v>0.0</v>
      </c>
      <c r="W494" s="199">
        <v>0.0</v>
      </c>
      <c r="X494" s="199">
        <v>1.0</v>
      </c>
      <c r="Y494" s="199">
        <v>0.0</v>
      </c>
      <c r="Z494" s="199">
        <v>1.0</v>
      </c>
      <c r="AA494" s="199">
        <v>0.0</v>
      </c>
      <c r="AB494" s="199">
        <v>11.0</v>
      </c>
      <c r="AC494" s="199">
        <v>23.0</v>
      </c>
      <c r="AD494" s="199">
        <v>0.0</v>
      </c>
      <c r="AE494" s="199">
        <v>42.0</v>
      </c>
      <c r="AF494" s="199">
        <v>1.0</v>
      </c>
      <c r="AG494" s="199">
        <v>307.0</v>
      </c>
      <c r="AH494" s="199">
        <v>14.0</v>
      </c>
      <c r="AI494" s="200" t="s">
        <v>792</v>
      </c>
      <c r="AJ494" s="200" t="s">
        <v>876</v>
      </c>
      <c r="AK494" s="200"/>
      <c r="AL494" s="204"/>
      <c r="AM494" s="204"/>
    </row>
    <row r="495">
      <c r="A495" s="199" t="s">
        <v>243</v>
      </c>
      <c r="B495" s="200" t="s">
        <v>477</v>
      </c>
      <c r="C495" s="199">
        <v>2.5294210237E10</v>
      </c>
      <c r="D495" s="201">
        <v>45946.0</v>
      </c>
      <c r="E495" s="202" t="s">
        <v>101</v>
      </c>
      <c r="F495" s="202" t="s">
        <v>101</v>
      </c>
      <c r="G495" s="203" t="s">
        <v>100</v>
      </c>
      <c r="H495" s="203" t="s">
        <v>100</v>
      </c>
      <c r="I495" s="37"/>
      <c r="J495" s="37"/>
      <c r="K495" s="37"/>
      <c r="L495" s="199">
        <v>82.0</v>
      </c>
      <c r="M495" s="199">
        <v>305.7</v>
      </c>
      <c r="N495" s="199"/>
      <c r="O495" s="199">
        <v>1.0</v>
      </c>
      <c r="P495" s="199">
        <v>0.12</v>
      </c>
      <c r="Q495" s="199">
        <v>0.0</v>
      </c>
      <c r="R495" s="199">
        <v>14.0</v>
      </c>
      <c r="S495" s="199">
        <v>1.0</v>
      </c>
      <c r="T495" s="199">
        <v>2.0</v>
      </c>
      <c r="U495" s="199">
        <v>111.0</v>
      </c>
      <c r="V495" s="199">
        <v>2.0</v>
      </c>
      <c r="W495" s="199">
        <v>0.0</v>
      </c>
      <c r="X495" s="199">
        <v>0.0</v>
      </c>
      <c r="Y495" s="199">
        <v>0.0</v>
      </c>
      <c r="Z495" s="199">
        <v>0.0</v>
      </c>
      <c r="AA495" s="199">
        <v>0.0</v>
      </c>
      <c r="AB495" s="199">
        <v>76.0</v>
      </c>
      <c r="AC495" s="199">
        <v>20.0</v>
      </c>
      <c r="AD495" s="199">
        <v>0.0</v>
      </c>
      <c r="AE495" s="199">
        <v>119.0</v>
      </c>
      <c r="AF495" s="199">
        <v>5.0</v>
      </c>
      <c r="AG495" s="199">
        <v>270.0</v>
      </c>
      <c r="AH495" s="199">
        <v>7.0</v>
      </c>
      <c r="AI495" s="200" t="s">
        <v>781</v>
      </c>
      <c r="AJ495" s="200" t="s">
        <v>857</v>
      </c>
      <c r="AK495" s="200"/>
      <c r="AL495" s="204"/>
      <c r="AM495" s="204"/>
    </row>
    <row r="496">
      <c r="A496" s="199" t="s">
        <v>243</v>
      </c>
      <c r="B496" s="200" t="s">
        <v>477</v>
      </c>
      <c r="C496" s="199">
        <v>2.5330281203E10</v>
      </c>
      <c r="D496" s="201">
        <v>45977.0</v>
      </c>
      <c r="E496" s="202" t="s">
        <v>101</v>
      </c>
      <c r="F496" s="202" t="s">
        <v>101</v>
      </c>
      <c r="G496" s="203" t="s">
        <v>100</v>
      </c>
      <c r="H496" s="203" t="s">
        <v>100</v>
      </c>
      <c r="I496" s="37"/>
      <c r="J496" s="37"/>
      <c r="K496" s="37"/>
      <c r="L496" s="199">
        <v>73.0</v>
      </c>
      <c r="M496" s="199">
        <v>307.1</v>
      </c>
      <c r="N496" s="199"/>
      <c r="O496" s="199">
        <v>1.0</v>
      </c>
      <c r="P496" s="199">
        <v>0.1</v>
      </c>
      <c r="Q496" s="199">
        <v>0.0</v>
      </c>
      <c r="R496" s="199">
        <v>5.0</v>
      </c>
      <c r="S496" s="199">
        <v>0.0</v>
      </c>
      <c r="T496" s="199">
        <v>3.0</v>
      </c>
      <c r="U496" s="199">
        <v>142.0</v>
      </c>
      <c r="V496" s="199">
        <v>2.0</v>
      </c>
      <c r="W496" s="199">
        <v>0.0</v>
      </c>
      <c r="X496" s="199">
        <v>0.0</v>
      </c>
      <c r="Y496" s="199">
        <v>0.0</v>
      </c>
      <c r="Z496" s="199">
        <v>5.0</v>
      </c>
      <c r="AA496" s="199">
        <v>0.0</v>
      </c>
      <c r="AB496" s="199">
        <v>139.0</v>
      </c>
      <c r="AC496" s="199">
        <v>27.0</v>
      </c>
      <c r="AD496" s="199">
        <v>0.0</v>
      </c>
      <c r="AE496" s="199">
        <v>151.0</v>
      </c>
      <c r="AF496" s="199">
        <v>9.0</v>
      </c>
      <c r="AG496" s="199">
        <v>336.0</v>
      </c>
      <c r="AH496" s="199">
        <v>14.0</v>
      </c>
      <c r="AI496" s="200" t="s">
        <v>785</v>
      </c>
      <c r="AJ496" s="200" t="s">
        <v>880</v>
      </c>
      <c r="AK496" s="200"/>
      <c r="AL496" s="204"/>
      <c r="AM496" s="204"/>
    </row>
    <row r="497">
      <c r="A497" s="199" t="s">
        <v>244</v>
      </c>
      <c r="B497" s="200" t="s">
        <v>463</v>
      </c>
      <c r="C497" s="199">
        <v>2.5049182243E10</v>
      </c>
      <c r="D497" s="201">
        <v>45701.0</v>
      </c>
      <c r="E497" s="202" t="s">
        <v>101</v>
      </c>
      <c r="F497" s="202" t="s">
        <v>101</v>
      </c>
      <c r="G497" s="203" t="s">
        <v>101</v>
      </c>
      <c r="H497" s="203" t="s">
        <v>100</v>
      </c>
      <c r="I497" s="37"/>
      <c r="J497" s="37"/>
      <c r="K497" s="37"/>
      <c r="L497" s="199">
        <v>97.0</v>
      </c>
      <c r="M497" s="199">
        <v>439.5</v>
      </c>
      <c r="N497" s="199"/>
      <c r="O497" s="199">
        <v>0.0</v>
      </c>
      <c r="P497" s="199">
        <v>0.5</v>
      </c>
      <c r="Q497" s="199">
        <v>0.0</v>
      </c>
      <c r="R497" s="199">
        <v>14.0</v>
      </c>
      <c r="S497" s="199">
        <v>1.0</v>
      </c>
      <c r="T497" s="199">
        <v>32.0</v>
      </c>
      <c r="U497" s="199">
        <v>78.0</v>
      </c>
      <c r="V497" s="199">
        <v>1.0</v>
      </c>
      <c r="W497" s="199">
        <v>0.0</v>
      </c>
      <c r="X497" s="199">
        <v>50.0</v>
      </c>
      <c r="Y497" s="199">
        <v>32.0</v>
      </c>
      <c r="Z497" s="199">
        <v>0.0</v>
      </c>
      <c r="AA497" s="199">
        <v>0.0</v>
      </c>
      <c r="AB497" s="199">
        <v>44.0</v>
      </c>
      <c r="AC497" s="199">
        <v>20.0</v>
      </c>
      <c r="AD497" s="199">
        <v>0.0</v>
      </c>
      <c r="AE497" s="199">
        <v>140.0</v>
      </c>
      <c r="AF497" s="199">
        <v>8.0</v>
      </c>
      <c r="AG497" s="199">
        <v>552.0</v>
      </c>
      <c r="AH497" s="199">
        <v>4.0</v>
      </c>
      <c r="AI497" s="200" t="s">
        <v>682</v>
      </c>
      <c r="AJ497" s="200" t="s">
        <v>833</v>
      </c>
      <c r="AK497" s="200"/>
      <c r="AL497" s="204"/>
      <c r="AM497" s="204"/>
    </row>
    <row r="498">
      <c r="A498" s="199" t="s">
        <v>244</v>
      </c>
      <c r="B498" s="200" t="s">
        <v>463</v>
      </c>
      <c r="C498" s="199">
        <v>2.5112224248E10</v>
      </c>
      <c r="D498" s="201">
        <v>45756.0</v>
      </c>
      <c r="E498" s="202" t="s">
        <v>101</v>
      </c>
      <c r="F498" s="202" t="s">
        <v>101</v>
      </c>
      <c r="G498" s="203" t="s">
        <v>101</v>
      </c>
      <c r="H498" s="203" t="s">
        <v>102</v>
      </c>
      <c r="I498" s="37"/>
      <c r="J498" s="37"/>
      <c r="K498" s="37"/>
      <c r="L498" s="199">
        <v>130.0</v>
      </c>
      <c r="M498" s="199">
        <v>419.7</v>
      </c>
      <c r="N498" s="199"/>
      <c r="O498" s="199">
        <v>5.0</v>
      </c>
      <c r="P498" s="199">
        <v>0.03</v>
      </c>
      <c r="Q498" s="199">
        <v>0.0</v>
      </c>
      <c r="R498" s="199">
        <v>7.0</v>
      </c>
      <c r="S498" s="199">
        <v>0.0</v>
      </c>
      <c r="T498" s="199">
        <v>71.0</v>
      </c>
      <c r="U498" s="199">
        <v>112.0</v>
      </c>
      <c r="V498" s="199">
        <v>0.0</v>
      </c>
      <c r="W498" s="199">
        <v>0.0</v>
      </c>
      <c r="X498" s="199">
        <v>111.0</v>
      </c>
      <c r="Y498" s="199">
        <v>588.0</v>
      </c>
      <c r="Z498" s="199">
        <v>6.0</v>
      </c>
      <c r="AA498" s="199">
        <v>5.0</v>
      </c>
      <c r="AB498" s="199">
        <v>42.0</v>
      </c>
      <c r="AC498" s="199">
        <v>20.0</v>
      </c>
      <c r="AD498" s="199">
        <v>0.0</v>
      </c>
      <c r="AE498" s="199">
        <v>258.0</v>
      </c>
      <c r="AF498" s="199">
        <v>15.0</v>
      </c>
      <c r="AG498" s="199">
        <v>396.0</v>
      </c>
      <c r="AH498" s="199">
        <v>18.0</v>
      </c>
      <c r="AI498" s="200" t="s">
        <v>797</v>
      </c>
      <c r="AJ498" s="200" t="s">
        <v>816</v>
      </c>
      <c r="AK498" s="200"/>
      <c r="AL498" s="204"/>
      <c r="AM498" s="204"/>
    </row>
    <row r="499">
      <c r="A499" s="199" t="s">
        <v>244</v>
      </c>
      <c r="B499" s="200" t="s">
        <v>463</v>
      </c>
      <c r="C499" s="199">
        <v>2.5180296235E10</v>
      </c>
      <c r="D499" s="201">
        <v>45826.0</v>
      </c>
      <c r="E499" s="202" t="s">
        <v>101</v>
      </c>
      <c r="F499" s="202" t="s">
        <v>101</v>
      </c>
      <c r="G499" s="203" t="s">
        <v>101</v>
      </c>
      <c r="H499" s="203" t="s">
        <v>102</v>
      </c>
      <c r="I499" s="37"/>
      <c r="J499" s="37"/>
      <c r="K499" s="37"/>
      <c r="L499" s="199">
        <v>101.0</v>
      </c>
      <c r="M499" s="199">
        <v>466.9</v>
      </c>
      <c r="N499" s="199"/>
      <c r="O499" s="199">
        <v>5.0</v>
      </c>
      <c r="P499" s="199">
        <v>0.5</v>
      </c>
      <c r="Q499" s="199">
        <v>0.0</v>
      </c>
      <c r="R499" s="199">
        <v>8.0</v>
      </c>
      <c r="S499" s="199">
        <v>0.0</v>
      </c>
      <c r="T499" s="199">
        <v>50.0</v>
      </c>
      <c r="U499" s="199">
        <v>85.0</v>
      </c>
      <c r="V499" s="199">
        <v>2.0</v>
      </c>
      <c r="W499" s="199">
        <v>0.0</v>
      </c>
      <c r="X499" s="199">
        <v>26.0</v>
      </c>
      <c r="Y499" s="199">
        <v>142.0</v>
      </c>
      <c r="Z499" s="199">
        <v>1.0</v>
      </c>
      <c r="AA499" s="199">
        <v>6.0</v>
      </c>
      <c r="AB499" s="199">
        <v>39.0</v>
      </c>
      <c r="AC499" s="199">
        <v>19.0</v>
      </c>
      <c r="AD499" s="199">
        <v>0.0</v>
      </c>
      <c r="AE499" s="199">
        <v>279.0</v>
      </c>
      <c r="AF499" s="199">
        <v>10.0</v>
      </c>
      <c r="AG499" s="199">
        <v>335.0</v>
      </c>
      <c r="AH499" s="199">
        <v>5.0</v>
      </c>
      <c r="AI499" s="200" t="s">
        <v>837</v>
      </c>
      <c r="AJ499" s="200" t="s">
        <v>881</v>
      </c>
      <c r="AK499" s="200"/>
      <c r="AL499" s="204"/>
      <c r="AM499" s="204"/>
    </row>
    <row r="500">
      <c r="A500" s="199" t="s">
        <v>244</v>
      </c>
      <c r="B500" s="200" t="s">
        <v>463</v>
      </c>
      <c r="C500" s="199">
        <v>2.5259169225E10</v>
      </c>
      <c r="D500" s="201">
        <v>45909.0</v>
      </c>
      <c r="E500" s="202" t="s">
        <v>101</v>
      </c>
      <c r="F500" s="202" t="s">
        <v>101</v>
      </c>
      <c r="G500" s="203" t="s">
        <v>101</v>
      </c>
      <c r="H500" s="203" t="s">
        <v>100</v>
      </c>
      <c r="I500" s="37"/>
      <c r="J500" s="37"/>
      <c r="K500" s="37"/>
      <c r="L500" s="199">
        <v>499.0</v>
      </c>
      <c r="M500" s="199">
        <v>419.8</v>
      </c>
      <c r="N500" s="199"/>
      <c r="O500" s="199">
        <v>2.0</v>
      </c>
      <c r="P500" s="199">
        <v>0.4</v>
      </c>
      <c r="Q500" s="199">
        <v>0.0</v>
      </c>
      <c r="R500" s="199">
        <v>146.0</v>
      </c>
      <c r="S500" s="199">
        <v>16.0</v>
      </c>
      <c r="T500" s="199">
        <v>276.0</v>
      </c>
      <c r="U500" s="199">
        <v>153.0</v>
      </c>
      <c r="V500" s="199">
        <v>5.0</v>
      </c>
      <c r="W500" s="199">
        <v>12.0</v>
      </c>
      <c r="X500" s="199">
        <v>140.0</v>
      </c>
      <c r="Y500" s="199">
        <v>1098.0</v>
      </c>
      <c r="Z500" s="199">
        <v>37.0</v>
      </c>
      <c r="AA500" s="199">
        <v>14.0</v>
      </c>
      <c r="AB500" s="199">
        <v>579.0</v>
      </c>
      <c r="AC500" s="199">
        <v>28.0</v>
      </c>
      <c r="AD500" s="199">
        <v>0.0</v>
      </c>
      <c r="AE500" s="199">
        <v>3279.0</v>
      </c>
      <c r="AF500" s="199">
        <v>12.0</v>
      </c>
      <c r="AG500" s="199">
        <v>319.0</v>
      </c>
      <c r="AH500" s="199">
        <v>0.0</v>
      </c>
      <c r="AI500" s="200" t="s">
        <v>827</v>
      </c>
      <c r="AJ500" s="200" t="s">
        <v>836</v>
      </c>
      <c r="AK500" s="200"/>
      <c r="AL500" s="204"/>
      <c r="AM500" s="204"/>
    </row>
    <row r="501">
      <c r="A501" s="199" t="s">
        <v>244</v>
      </c>
      <c r="B501" s="200" t="s">
        <v>463</v>
      </c>
      <c r="C501" s="199">
        <v>2.5330281205E10</v>
      </c>
      <c r="D501" s="201">
        <v>45977.0</v>
      </c>
      <c r="E501" s="202" t="s">
        <v>101</v>
      </c>
      <c r="F501" s="202" t="s">
        <v>101</v>
      </c>
      <c r="G501" s="203" t="s">
        <v>101</v>
      </c>
      <c r="H501" s="203" t="s">
        <v>100</v>
      </c>
      <c r="I501" s="37"/>
      <c r="J501" s="37"/>
      <c r="K501" s="37"/>
      <c r="L501" s="199">
        <v>116.0</v>
      </c>
      <c r="M501" s="199">
        <v>463.8</v>
      </c>
      <c r="N501" s="199"/>
      <c r="O501" s="199">
        <v>1.0</v>
      </c>
      <c r="P501" s="199">
        <v>0.2</v>
      </c>
      <c r="Q501" s="199">
        <v>0.0</v>
      </c>
      <c r="R501" s="199">
        <v>39.0</v>
      </c>
      <c r="S501" s="199">
        <v>0.0</v>
      </c>
      <c r="T501" s="199">
        <v>40.0</v>
      </c>
      <c r="U501" s="199">
        <v>64.0</v>
      </c>
      <c r="V501" s="199">
        <v>5.0</v>
      </c>
      <c r="W501" s="199">
        <v>0.0</v>
      </c>
      <c r="X501" s="199">
        <v>23.0</v>
      </c>
      <c r="Y501" s="199">
        <v>0.0</v>
      </c>
      <c r="Z501" s="199">
        <v>8.0</v>
      </c>
      <c r="AA501" s="199">
        <v>0.0</v>
      </c>
      <c r="AB501" s="199">
        <v>331.0</v>
      </c>
      <c r="AC501" s="199">
        <v>85.0</v>
      </c>
      <c r="AD501" s="199">
        <v>0.0</v>
      </c>
      <c r="AE501" s="199">
        <v>361.0</v>
      </c>
      <c r="AF501" s="199">
        <v>9.0</v>
      </c>
      <c r="AG501" s="199">
        <v>368.0</v>
      </c>
      <c r="AH501" s="199">
        <v>32.0</v>
      </c>
      <c r="AI501" s="200" t="s">
        <v>827</v>
      </c>
      <c r="AJ501" s="200" t="s">
        <v>882</v>
      </c>
      <c r="AK501" s="200"/>
      <c r="AL501" s="204"/>
      <c r="AM501" s="204"/>
    </row>
    <row r="502">
      <c r="A502" s="199" t="s">
        <v>245</v>
      </c>
      <c r="B502" s="200" t="s">
        <v>466</v>
      </c>
      <c r="C502" s="199">
        <v>2.504918225E10</v>
      </c>
      <c r="D502" s="201">
        <v>45701.0</v>
      </c>
      <c r="E502" s="202" t="s">
        <v>101</v>
      </c>
      <c r="F502" s="202" t="s">
        <v>101</v>
      </c>
      <c r="G502" s="203" t="s">
        <v>102</v>
      </c>
      <c r="H502" s="203" t="s">
        <v>100</v>
      </c>
      <c r="I502" s="37"/>
      <c r="J502" s="37"/>
      <c r="K502" s="37"/>
      <c r="L502" s="199">
        <v>37.0</v>
      </c>
      <c r="M502" s="199">
        <v>444.0</v>
      </c>
      <c r="N502" s="199"/>
      <c r="O502" s="199">
        <v>0.0</v>
      </c>
      <c r="P502" s="199">
        <v>0.1</v>
      </c>
      <c r="Q502" s="199">
        <v>0.0</v>
      </c>
      <c r="R502" s="199">
        <v>12.0</v>
      </c>
      <c r="S502" s="199">
        <v>1.0</v>
      </c>
      <c r="T502" s="199">
        <v>11.0</v>
      </c>
      <c r="U502" s="199">
        <v>49.0</v>
      </c>
      <c r="V502" s="199">
        <v>2.0</v>
      </c>
      <c r="W502" s="199">
        <v>0.0</v>
      </c>
      <c r="X502" s="199">
        <v>25.0</v>
      </c>
      <c r="Y502" s="199">
        <v>4.0</v>
      </c>
      <c r="Z502" s="199">
        <v>0.0</v>
      </c>
      <c r="AA502" s="199">
        <v>0.0</v>
      </c>
      <c r="AB502" s="199">
        <v>53.0</v>
      </c>
      <c r="AC502" s="199">
        <v>14.0</v>
      </c>
      <c r="AD502" s="199">
        <v>0.0</v>
      </c>
      <c r="AE502" s="199">
        <v>118.0</v>
      </c>
      <c r="AF502" s="199">
        <v>7.0</v>
      </c>
      <c r="AG502" s="199">
        <v>515.0</v>
      </c>
      <c r="AH502" s="199">
        <v>15.0</v>
      </c>
      <c r="AI502" s="200" t="s">
        <v>785</v>
      </c>
      <c r="AJ502" s="200" t="s">
        <v>786</v>
      </c>
      <c r="AK502" s="200"/>
      <c r="AL502" s="204"/>
      <c r="AM502" s="204"/>
    </row>
    <row r="503">
      <c r="A503" s="199" t="s">
        <v>245</v>
      </c>
      <c r="B503" s="200" t="s">
        <v>466</v>
      </c>
      <c r="C503" s="199">
        <v>2.511222426E10</v>
      </c>
      <c r="D503" s="201">
        <v>45756.0</v>
      </c>
      <c r="E503" s="202" t="s">
        <v>101</v>
      </c>
      <c r="F503" s="202" t="s">
        <v>101</v>
      </c>
      <c r="G503" s="203" t="s">
        <v>101</v>
      </c>
      <c r="H503" s="203" t="s">
        <v>100</v>
      </c>
      <c r="I503" s="37"/>
      <c r="J503" s="37"/>
      <c r="K503" s="37"/>
      <c r="L503" s="199">
        <v>43.0</v>
      </c>
      <c r="M503" s="199">
        <v>393.9</v>
      </c>
      <c r="N503" s="199"/>
      <c r="O503" s="199">
        <v>2.0</v>
      </c>
      <c r="P503" s="199">
        <v>0.02</v>
      </c>
      <c r="Q503" s="199">
        <v>0.0</v>
      </c>
      <c r="R503" s="199">
        <v>9.0</v>
      </c>
      <c r="S503" s="199">
        <v>0.0</v>
      </c>
      <c r="T503" s="199">
        <v>27.0</v>
      </c>
      <c r="U503" s="199">
        <v>71.0</v>
      </c>
      <c r="V503" s="199">
        <v>0.0</v>
      </c>
      <c r="W503" s="199">
        <v>0.0</v>
      </c>
      <c r="X503" s="199">
        <v>60.0</v>
      </c>
      <c r="Y503" s="199">
        <v>235.0</v>
      </c>
      <c r="Z503" s="199">
        <v>1.0</v>
      </c>
      <c r="AA503" s="199">
        <v>3.0</v>
      </c>
      <c r="AB503" s="199">
        <v>47.0</v>
      </c>
      <c r="AC503" s="199">
        <v>11.0</v>
      </c>
      <c r="AD503" s="199">
        <v>1.0</v>
      </c>
      <c r="AE503" s="199">
        <v>197.0</v>
      </c>
      <c r="AF503" s="199">
        <v>6.0</v>
      </c>
      <c r="AG503" s="199">
        <v>441.0</v>
      </c>
      <c r="AH503" s="199">
        <v>11.0</v>
      </c>
      <c r="AI503" s="200" t="s">
        <v>787</v>
      </c>
      <c r="AJ503" s="200" t="s">
        <v>883</v>
      </c>
      <c r="AK503" s="200"/>
      <c r="AL503" s="204"/>
      <c r="AM503" s="204"/>
    </row>
    <row r="504">
      <c r="A504" s="199" t="s">
        <v>245</v>
      </c>
      <c r="B504" s="200" t="s">
        <v>466</v>
      </c>
      <c r="C504" s="199">
        <v>2.5180296257E10</v>
      </c>
      <c r="D504" s="201">
        <v>45826.0</v>
      </c>
      <c r="E504" s="202" t="s">
        <v>101</v>
      </c>
      <c r="F504" s="202" t="s">
        <v>101</v>
      </c>
      <c r="G504" s="203" t="s">
        <v>101</v>
      </c>
      <c r="H504" s="203" t="s">
        <v>100</v>
      </c>
      <c r="I504" s="37"/>
      <c r="J504" s="37"/>
      <c r="K504" s="37"/>
      <c r="L504" s="199">
        <v>67.0</v>
      </c>
      <c r="M504" s="199">
        <v>431.2</v>
      </c>
      <c r="N504" s="199"/>
      <c r="O504" s="199">
        <v>4.0</v>
      </c>
      <c r="P504" s="199">
        <v>0.4</v>
      </c>
      <c r="Q504" s="199">
        <v>0.0</v>
      </c>
      <c r="R504" s="199">
        <v>7.0</v>
      </c>
      <c r="S504" s="199">
        <v>0.0</v>
      </c>
      <c r="T504" s="199">
        <v>24.0</v>
      </c>
      <c r="U504" s="199">
        <v>88.0</v>
      </c>
      <c r="V504" s="199">
        <v>0.0</v>
      </c>
      <c r="W504" s="199">
        <v>0.0</v>
      </c>
      <c r="X504" s="199">
        <v>44.0</v>
      </c>
      <c r="Y504" s="199">
        <v>103.0</v>
      </c>
      <c r="Z504" s="199">
        <v>0.0</v>
      </c>
      <c r="AA504" s="199">
        <v>0.0</v>
      </c>
      <c r="AB504" s="199">
        <v>30.0</v>
      </c>
      <c r="AC504" s="199">
        <v>25.0</v>
      </c>
      <c r="AD504" s="199">
        <v>0.0</v>
      </c>
      <c r="AE504" s="199">
        <v>268.0</v>
      </c>
      <c r="AF504" s="199">
        <v>3.0</v>
      </c>
      <c r="AG504" s="199">
        <v>350.0</v>
      </c>
      <c r="AH504" s="199">
        <v>11.0</v>
      </c>
      <c r="AI504" s="200" t="s">
        <v>682</v>
      </c>
      <c r="AJ504" s="200" t="s">
        <v>794</v>
      </c>
      <c r="AK504" s="200"/>
      <c r="AL504" s="204"/>
      <c r="AM504" s="204"/>
    </row>
    <row r="505">
      <c r="A505" s="199" t="s">
        <v>245</v>
      </c>
      <c r="B505" s="200" t="s">
        <v>466</v>
      </c>
      <c r="C505" s="199">
        <v>2.525916922E10</v>
      </c>
      <c r="D505" s="201">
        <v>45909.0</v>
      </c>
      <c r="E505" s="202" t="s">
        <v>101</v>
      </c>
      <c r="F505" s="202" t="s">
        <v>101</v>
      </c>
      <c r="G505" s="203" t="s">
        <v>101</v>
      </c>
      <c r="H505" s="203" t="s">
        <v>100</v>
      </c>
      <c r="I505" s="37"/>
      <c r="J505" s="37"/>
      <c r="K505" s="37"/>
      <c r="L505" s="199">
        <v>70.0</v>
      </c>
      <c r="M505" s="199">
        <v>406.6</v>
      </c>
      <c r="N505" s="199"/>
      <c r="O505" s="199">
        <v>0.0</v>
      </c>
      <c r="P505" s="199">
        <v>0.22</v>
      </c>
      <c r="Q505" s="199">
        <v>0.0</v>
      </c>
      <c r="R505" s="199">
        <v>3.0</v>
      </c>
      <c r="S505" s="199">
        <v>0.0</v>
      </c>
      <c r="T505" s="199">
        <v>17.0</v>
      </c>
      <c r="U505" s="199">
        <v>52.0</v>
      </c>
      <c r="V505" s="199">
        <v>0.0</v>
      </c>
      <c r="W505" s="199">
        <v>0.0</v>
      </c>
      <c r="X505" s="199">
        <v>31.0</v>
      </c>
      <c r="Y505" s="199">
        <v>0.0</v>
      </c>
      <c r="Z505" s="199">
        <v>5.0</v>
      </c>
      <c r="AA505" s="199">
        <v>0.0</v>
      </c>
      <c r="AB505" s="199">
        <v>17.0</v>
      </c>
      <c r="AC505" s="199">
        <v>41.0</v>
      </c>
      <c r="AD505" s="199">
        <v>0.0</v>
      </c>
      <c r="AE505" s="199">
        <v>75.0</v>
      </c>
      <c r="AF505" s="199">
        <v>3.0</v>
      </c>
      <c r="AG505" s="199">
        <v>351.0</v>
      </c>
      <c r="AH505" s="199">
        <v>2.0</v>
      </c>
      <c r="AI505" s="200" t="s">
        <v>682</v>
      </c>
      <c r="AJ505" s="200" t="s">
        <v>794</v>
      </c>
      <c r="AK505" s="200"/>
      <c r="AL505" s="204"/>
      <c r="AM505" s="204"/>
    </row>
    <row r="506">
      <c r="A506" s="199" t="s">
        <v>245</v>
      </c>
      <c r="B506" s="200" t="s">
        <v>466</v>
      </c>
      <c r="C506" s="199">
        <v>2.5330281206E10</v>
      </c>
      <c r="D506" s="201">
        <v>45977.0</v>
      </c>
      <c r="E506" s="202" t="s">
        <v>101</v>
      </c>
      <c r="F506" s="202" t="s">
        <v>101</v>
      </c>
      <c r="G506" s="203" t="s">
        <v>101</v>
      </c>
      <c r="H506" s="203" t="s">
        <v>100</v>
      </c>
      <c r="I506" s="37"/>
      <c r="J506" s="37"/>
      <c r="K506" s="37"/>
      <c r="L506" s="199">
        <v>126.0</v>
      </c>
      <c r="M506" s="199">
        <v>429.2</v>
      </c>
      <c r="N506" s="199"/>
      <c r="O506" s="199">
        <v>0.0</v>
      </c>
      <c r="P506" s="199">
        <v>0.2</v>
      </c>
      <c r="Q506" s="199">
        <v>0.0</v>
      </c>
      <c r="R506" s="199">
        <v>14.0</v>
      </c>
      <c r="S506" s="199">
        <v>0.0</v>
      </c>
      <c r="T506" s="199">
        <v>57.0</v>
      </c>
      <c r="U506" s="199">
        <v>116.0</v>
      </c>
      <c r="V506" s="199">
        <v>2.0</v>
      </c>
      <c r="W506" s="199">
        <v>0.0</v>
      </c>
      <c r="X506" s="199">
        <v>46.0</v>
      </c>
      <c r="Y506" s="199">
        <v>0.0</v>
      </c>
      <c r="Z506" s="199">
        <v>0.0</v>
      </c>
      <c r="AA506" s="199">
        <v>7.0</v>
      </c>
      <c r="AB506" s="199">
        <v>78.0</v>
      </c>
      <c r="AC506" s="199">
        <v>25.0</v>
      </c>
      <c r="AD506" s="199">
        <v>0.0</v>
      </c>
      <c r="AE506" s="199">
        <v>424.0</v>
      </c>
      <c r="AF506" s="199">
        <v>16.0</v>
      </c>
      <c r="AG506" s="199">
        <v>403.0</v>
      </c>
      <c r="AH506" s="199">
        <v>24.0</v>
      </c>
      <c r="AI506" s="200" t="s">
        <v>827</v>
      </c>
      <c r="AJ506" s="200" t="s">
        <v>839</v>
      </c>
      <c r="AK506" s="200"/>
      <c r="AL506" s="204"/>
      <c r="AM506" s="204"/>
    </row>
    <row r="507">
      <c r="A507" s="199" t="s">
        <v>246</v>
      </c>
      <c r="B507" s="200" t="s">
        <v>478</v>
      </c>
      <c r="C507" s="199">
        <v>2.5107174201E10</v>
      </c>
      <c r="D507" s="201">
        <v>45756.0</v>
      </c>
      <c r="E507" s="202" t="s">
        <v>101</v>
      </c>
      <c r="F507" s="202" t="s">
        <v>101</v>
      </c>
      <c r="G507" s="203" t="s">
        <v>100</v>
      </c>
      <c r="H507" s="203" t="s">
        <v>100</v>
      </c>
      <c r="I507" s="37"/>
      <c r="J507" s="37"/>
      <c r="K507" s="37"/>
      <c r="L507" s="199">
        <v>36.0</v>
      </c>
      <c r="M507" s="199">
        <v>442.7</v>
      </c>
      <c r="N507" s="199"/>
      <c r="O507" s="199">
        <v>1.0</v>
      </c>
      <c r="P507" s="199">
        <v>0.11</v>
      </c>
      <c r="Q507" s="199">
        <v>0.0</v>
      </c>
      <c r="R507" s="199">
        <v>8.0</v>
      </c>
      <c r="S507" s="199">
        <v>0.0</v>
      </c>
      <c r="T507" s="199">
        <v>1.0</v>
      </c>
      <c r="U507" s="199">
        <v>37.0</v>
      </c>
      <c r="V507" s="199">
        <v>2.0</v>
      </c>
      <c r="W507" s="199">
        <v>0.0</v>
      </c>
      <c r="X507" s="199">
        <v>3.0</v>
      </c>
      <c r="Y507" s="199">
        <v>0.0</v>
      </c>
      <c r="Z507" s="199">
        <v>0.0</v>
      </c>
      <c r="AA507" s="199">
        <v>0.0</v>
      </c>
      <c r="AB507" s="199">
        <v>30.0</v>
      </c>
      <c r="AC507" s="199">
        <v>25.0</v>
      </c>
      <c r="AD507" s="199">
        <v>0.0</v>
      </c>
      <c r="AE507" s="199">
        <v>135.0</v>
      </c>
      <c r="AF507" s="199">
        <v>5.0</v>
      </c>
      <c r="AG507" s="199">
        <v>355.0</v>
      </c>
      <c r="AH507" s="199">
        <v>7.0</v>
      </c>
      <c r="AI507" s="200" t="s">
        <v>684</v>
      </c>
      <c r="AJ507" s="200" t="s">
        <v>773</v>
      </c>
      <c r="AK507" s="200"/>
      <c r="AL507" s="204"/>
      <c r="AM507" s="204"/>
    </row>
    <row r="508">
      <c r="A508" s="199" t="s">
        <v>249</v>
      </c>
      <c r="B508" s="200" t="s">
        <v>463</v>
      </c>
      <c r="C508" s="199">
        <v>2.5049182257E10</v>
      </c>
      <c r="D508" s="201">
        <v>45701.0</v>
      </c>
      <c r="E508" s="202" t="s">
        <v>101</v>
      </c>
      <c r="F508" s="202" t="s">
        <v>101</v>
      </c>
      <c r="G508" s="203" t="s">
        <v>101</v>
      </c>
      <c r="H508" s="203" t="s">
        <v>100</v>
      </c>
      <c r="I508" s="37"/>
      <c r="J508" s="37"/>
      <c r="K508" s="37"/>
      <c r="L508" s="199">
        <v>86.0</v>
      </c>
      <c r="M508" s="199">
        <v>457.2</v>
      </c>
      <c r="N508" s="199"/>
      <c r="O508" s="199">
        <v>3.0</v>
      </c>
      <c r="P508" s="199">
        <v>0.3</v>
      </c>
      <c r="Q508" s="199">
        <v>0.0</v>
      </c>
      <c r="R508" s="199">
        <v>27.0</v>
      </c>
      <c r="S508" s="199">
        <v>2.0</v>
      </c>
      <c r="T508" s="199">
        <v>338.0</v>
      </c>
      <c r="U508" s="199">
        <v>172.0</v>
      </c>
      <c r="V508" s="199">
        <v>2.0</v>
      </c>
      <c r="W508" s="199">
        <v>0.0</v>
      </c>
      <c r="X508" s="199">
        <v>45.0</v>
      </c>
      <c r="Y508" s="199">
        <v>2.0</v>
      </c>
      <c r="Z508" s="199">
        <v>5.0</v>
      </c>
      <c r="AA508" s="199">
        <v>0.0</v>
      </c>
      <c r="AB508" s="199">
        <v>86.0</v>
      </c>
      <c r="AC508" s="199">
        <v>19.0</v>
      </c>
      <c r="AD508" s="199">
        <v>0.0</v>
      </c>
      <c r="AE508" s="199">
        <v>366.0</v>
      </c>
      <c r="AF508" s="199">
        <v>6.0</v>
      </c>
      <c r="AG508" s="199">
        <v>311.0</v>
      </c>
      <c r="AH508" s="199">
        <v>28.0</v>
      </c>
      <c r="AI508" s="200" t="s">
        <v>829</v>
      </c>
      <c r="AJ508" s="200" t="s">
        <v>884</v>
      </c>
      <c r="AK508" s="200"/>
      <c r="AL508" s="204"/>
      <c r="AM508" s="204"/>
    </row>
    <row r="509">
      <c r="A509" s="199" t="s">
        <v>249</v>
      </c>
      <c r="B509" s="200" t="s">
        <v>463</v>
      </c>
      <c r="C509" s="199">
        <v>2.5112224254E10</v>
      </c>
      <c r="D509" s="201">
        <v>45756.0</v>
      </c>
      <c r="E509" s="202" t="s">
        <v>102</v>
      </c>
      <c r="F509" s="202" t="s">
        <v>102</v>
      </c>
      <c r="G509" s="203" t="s">
        <v>100</v>
      </c>
      <c r="H509" s="203" t="s">
        <v>100</v>
      </c>
      <c r="I509" s="37"/>
      <c r="J509" s="37"/>
      <c r="K509" s="37"/>
      <c r="L509" s="199">
        <v>31.0</v>
      </c>
      <c r="M509" s="199">
        <v>427.1</v>
      </c>
      <c r="N509" s="199"/>
      <c r="O509" s="199">
        <v>1.0</v>
      </c>
      <c r="P509" s="199">
        <v>0.02</v>
      </c>
      <c r="Q509" s="199">
        <v>0.0</v>
      </c>
      <c r="R509" s="199">
        <v>0.0</v>
      </c>
      <c r="S509" s="199">
        <v>0.0</v>
      </c>
      <c r="T509" s="199">
        <v>0.0</v>
      </c>
      <c r="U509" s="199">
        <v>38.0</v>
      </c>
      <c r="V509" s="199">
        <v>0.0</v>
      </c>
      <c r="W509" s="199">
        <v>0.0</v>
      </c>
      <c r="X509" s="199">
        <v>0.0</v>
      </c>
      <c r="Y509" s="199">
        <v>2.0</v>
      </c>
      <c r="Z509" s="199">
        <v>0.0</v>
      </c>
      <c r="AA509" s="199">
        <v>2.0</v>
      </c>
      <c r="AB509" s="199">
        <v>9.0</v>
      </c>
      <c r="AC509" s="199">
        <v>15.0</v>
      </c>
      <c r="AD509" s="199">
        <v>0.0</v>
      </c>
      <c r="AE509" s="199">
        <v>106.0</v>
      </c>
      <c r="AF509" s="199">
        <v>3.0</v>
      </c>
      <c r="AG509" s="199">
        <v>287.0</v>
      </c>
      <c r="AH509" s="199">
        <v>6.0</v>
      </c>
      <c r="AI509" s="200" t="s">
        <v>653</v>
      </c>
      <c r="AJ509" s="200" t="s">
        <v>654</v>
      </c>
      <c r="AK509" s="200"/>
      <c r="AL509" s="204"/>
      <c r="AM509" s="204"/>
    </row>
    <row r="510">
      <c r="A510" s="199" t="s">
        <v>249</v>
      </c>
      <c r="B510" s="200" t="s">
        <v>463</v>
      </c>
      <c r="C510" s="199">
        <v>2.5180296244E10</v>
      </c>
      <c r="D510" s="201">
        <v>45826.0</v>
      </c>
      <c r="E510" s="202" t="s">
        <v>101</v>
      </c>
      <c r="F510" s="202" t="s">
        <v>101</v>
      </c>
      <c r="G510" s="203" t="s">
        <v>101</v>
      </c>
      <c r="H510" s="203" t="s">
        <v>101</v>
      </c>
      <c r="I510" s="37"/>
      <c r="J510" s="37"/>
      <c r="K510" s="37"/>
      <c r="L510" s="199">
        <v>104.0</v>
      </c>
      <c r="M510" s="199">
        <v>456.5</v>
      </c>
      <c r="N510" s="199"/>
      <c r="O510" s="199">
        <v>11.0</v>
      </c>
      <c r="P510" s="199">
        <v>0.6</v>
      </c>
      <c r="Q510" s="199">
        <v>0.0</v>
      </c>
      <c r="R510" s="199">
        <v>10.0</v>
      </c>
      <c r="S510" s="199">
        <v>0.0</v>
      </c>
      <c r="T510" s="199">
        <v>52.0</v>
      </c>
      <c r="U510" s="199">
        <v>90.0</v>
      </c>
      <c r="V510" s="199">
        <v>2.0</v>
      </c>
      <c r="W510" s="199">
        <v>0.0</v>
      </c>
      <c r="X510" s="199">
        <v>49.0</v>
      </c>
      <c r="Y510" s="199">
        <v>2.0</v>
      </c>
      <c r="Z510" s="199">
        <v>15.0</v>
      </c>
      <c r="AA510" s="199">
        <v>0.0</v>
      </c>
      <c r="AB510" s="199">
        <v>47.0</v>
      </c>
      <c r="AC510" s="199">
        <v>14.0</v>
      </c>
      <c r="AD510" s="199">
        <v>0.0</v>
      </c>
      <c r="AE510" s="199">
        <v>542.0</v>
      </c>
      <c r="AF510" s="199">
        <v>15.0</v>
      </c>
      <c r="AG510" s="199">
        <v>301.0</v>
      </c>
      <c r="AH510" s="199">
        <v>1.0</v>
      </c>
      <c r="AI510" s="200" t="s">
        <v>885</v>
      </c>
      <c r="AJ510" s="200" t="s">
        <v>886</v>
      </c>
      <c r="AK510" s="200"/>
      <c r="AL510" s="204"/>
      <c r="AM510" s="204"/>
    </row>
    <row r="511">
      <c r="A511" s="199" t="s">
        <v>249</v>
      </c>
      <c r="B511" s="200" t="s">
        <v>463</v>
      </c>
      <c r="C511" s="199">
        <v>2.5259169224E10</v>
      </c>
      <c r="D511" s="201">
        <v>45909.0</v>
      </c>
      <c r="E511" s="202" t="s">
        <v>101</v>
      </c>
      <c r="F511" s="202" t="s">
        <v>101</v>
      </c>
      <c r="G511" s="203" t="s">
        <v>101</v>
      </c>
      <c r="H511" s="203" t="s">
        <v>102</v>
      </c>
      <c r="I511" s="37"/>
      <c r="J511" s="37"/>
      <c r="K511" s="37"/>
      <c r="L511" s="199">
        <v>193.0</v>
      </c>
      <c r="M511" s="199">
        <v>453.0</v>
      </c>
      <c r="N511" s="199"/>
      <c r="O511" s="199">
        <v>7.0</v>
      </c>
      <c r="P511" s="199">
        <v>0.56</v>
      </c>
      <c r="Q511" s="199">
        <v>0.0</v>
      </c>
      <c r="R511" s="199">
        <v>22.0</v>
      </c>
      <c r="S511" s="199">
        <v>1.0</v>
      </c>
      <c r="T511" s="199">
        <v>325.0</v>
      </c>
      <c r="U511" s="199">
        <v>62.0</v>
      </c>
      <c r="V511" s="199">
        <v>2.0</v>
      </c>
      <c r="W511" s="199">
        <v>268.0</v>
      </c>
      <c r="X511" s="199">
        <v>80.0</v>
      </c>
      <c r="Y511" s="199">
        <v>0.0</v>
      </c>
      <c r="Z511" s="199">
        <v>2.0</v>
      </c>
      <c r="AA511" s="199">
        <v>1.0</v>
      </c>
      <c r="AB511" s="199">
        <v>320.0</v>
      </c>
      <c r="AC511" s="199">
        <v>19.0</v>
      </c>
      <c r="AD511" s="199">
        <v>0.0</v>
      </c>
      <c r="AE511" s="199">
        <v>351.0</v>
      </c>
      <c r="AF511" s="199">
        <v>17.0</v>
      </c>
      <c r="AG511" s="199">
        <v>58.0</v>
      </c>
      <c r="AH511" s="199">
        <v>4.0</v>
      </c>
      <c r="AI511" s="200" t="s">
        <v>827</v>
      </c>
      <c r="AJ511" s="200" t="s">
        <v>871</v>
      </c>
      <c r="AK511" s="200"/>
      <c r="AL511" s="204"/>
      <c r="AM511" s="204"/>
    </row>
    <row r="512">
      <c r="A512" s="199" t="s">
        <v>249</v>
      </c>
      <c r="B512" s="200" t="s">
        <v>463</v>
      </c>
      <c r="C512" s="199">
        <v>2.5330281208E10</v>
      </c>
      <c r="D512" s="201">
        <v>45977.0</v>
      </c>
      <c r="E512" s="202" t="s">
        <v>101</v>
      </c>
      <c r="F512" s="202" t="s">
        <v>101</v>
      </c>
      <c r="G512" s="203" t="s">
        <v>101</v>
      </c>
      <c r="H512" s="203" t="s">
        <v>102</v>
      </c>
      <c r="I512" s="37"/>
      <c r="J512" s="37"/>
      <c r="K512" s="37"/>
      <c r="L512" s="199">
        <v>388.0</v>
      </c>
      <c r="M512" s="199">
        <v>459.5</v>
      </c>
      <c r="N512" s="199"/>
      <c r="O512" s="199">
        <v>6.0</v>
      </c>
      <c r="P512" s="199">
        <v>0.2</v>
      </c>
      <c r="Q512" s="199">
        <v>0.0</v>
      </c>
      <c r="R512" s="199">
        <v>26.0</v>
      </c>
      <c r="S512" s="199">
        <v>1.0</v>
      </c>
      <c r="T512" s="199">
        <v>690.0</v>
      </c>
      <c r="U512" s="199">
        <v>449.0</v>
      </c>
      <c r="V512" s="199">
        <v>2.0</v>
      </c>
      <c r="W512" s="199">
        <v>0.0</v>
      </c>
      <c r="X512" s="199">
        <v>215.0</v>
      </c>
      <c r="Y512" s="199">
        <v>1604.0</v>
      </c>
      <c r="Z512" s="199">
        <v>8.0</v>
      </c>
      <c r="AA512" s="199">
        <v>12.0</v>
      </c>
      <c r="AB512" s="199">
        <v>107.0</v>
      </c>
      <c r="AC512" s="199">
        <v>22.0</v>
      </c>
      <c r="AD512" s="199">
        <v>0.0</v>
      </c>
      <c r="AE512" s="199">
        <v>592.0</v>
      </c>
      <c r="AF512" s="199">
        <v>25.0</v>
      </c>
      <c r="AG512" s="199">
        <v>433.0</v>
      </c>
      <c r="AH512" s="199">
        <v>11.0</v>
      </c>
      <c r="AI512" s="200" t="s">
        <v>827</v>
      </c>
      <c r="AJ512" s="200" t="s">
        <v>873</v>
      </c>
      <c r="AK512" s="200"/>
      <c r="AL512" s="204"/>
      <c r="AM512" s="204"/>
    </row>
    <row r="513">
      <c r="A513" s="199" t="s">
        <v>250</v>
      </c>
      <c r="B513" s="200" t="s">
        <v>466</v>
      </c>
      <c r="C513" s="199">
        <v>2.5049182259E10</v>
      </c>
      <c r="D513" s="201">
        <v>45701.0</v>
      </c>
      <c r="E513" s="202" t="s">
        <v>101</v>
      </c>
      <c r="F513" s="202" t="s">
        <v>101</v>
      </c>
      <c r="G513" s="203" t="s">
        <v>101</v>
      </c>
      <c r="H513" s="203" t="s">
        <v>100</v>
      </c>
      <c r="I513" s="37"/>
      <c r="J513" s="37"/>
      <c r="K513" s="37"/>
      <c r="L513" s="199">
        <v>106.0</v>
      </c>
      <c r="M513" s="199">
        <v>441.7</v>
      </c>
      <c r="N513" s="199"/>
      <c r="O513" s="199">
        <v>0.0</v>
      </c>
      <c r="P513" s="199">
        <v>0.2</v>
      </c>
      <c r="Q513" s="199">
        <v>0.0</v>
      </c>
      <c r="R513" s="199">
        <v>17.0</v>
      </c>
      <c r="S513" s="199">
        <v>1.0</v>
      </c>
      <c r="T513" s="199">
        <v>63.0</v>
      </c>
      <c r="U513" s="199">
        <v>113.0</v>
      </c>
      <c r="V513" s="199">
        <v>0.0</v>
      </c>
      <c r="W513" s="199">
        <v>0.0</v>
      </c>
      <c r="X513" s="199">
        <v>60.0</v>
      </c>
      <c r="Y513" s="199">
        <v>45.0</v>
      </c>
      <c r="Z513" s="199">
        <v>2.0</v>
      </c>
      <c r="AA513" s="199">
        <v>0.0</v>
      </c>
      <c r="AB513" s="199">
        <v>50.0</v>
      </c>
      <c r="AC513" s="199">
        <v>20.0</v>
      </c>
      <c r="AD513" s="199">
        <v>2.0</v>
      </c>
      <c r="AE513" s="199">
        <v>205.0</v>
      </c>
      <c r="AF513" s="199">
        <v>5.0</v>
      </c>
      <c r="AG513" s="199">
        <v>528.0</v>
      </c>
      <c r="AH513" s="199">
        <v>16.0</v>
      </c>
      <c r="AI513" s="200" t="s">
        <v>837</v>
      </c>
      <c r="AJ513" s="200" t="s">
        <v>839</v>
      </c>
      <c r="AK513" s="200"/>
      <c r="AL513" s="204"/>
      <c r="AM513" s="204"/>
    </row>
    <row r="514">
      <c r="A514" s="199" t="s">
        <v>250</v>
      </c>
      <c r="B514" s="200" t="s">
        <v>466</v>
      </c>
      <c r="C514" s="199">
        <v>2.511222425E10</v>
      </c>
      <c r="D514" s="201">
        <v>45756.0</v>
      </c>
      <c r="E514" s="202" t="s">
        <v>101</v>
      </c>
      <c r="F514" s="202" t="s">
        <v>101</v>
      </c>
      <c r="G514" s="203" t="s">
        <v>101</v>
      </c>
      <c r="H514" s="203" t="s">
        <v>100</v>
      </c>
      <c r="I514" s="37"/>
      <c r="J514" s="37"/>
      <c r="K514" s="37"/>
      <c r="L514" s="199">
        <v>101.0</v>
      </c>
      <c r="M514" s="199">
        <v>411.1</v>
      </c>
      <c r="N514" s="199"/>
      <c r="O514" s="199">
        <v>4.0</v>
      </c>
      <c r="P514" s="199">
        <v>0.02</v>
      </c>
      <c r="Q514" s="199">
        <v>0.0</v>
      </c>
      <c r="R514" s="199">
        <v>10.0</v>
      </c>
      <c r="S514" s="199">
        <v>0.0</v>
      </c>
      <c r="T514" s="199">
        <v>69.0</v>
      </c>
      <c r="U514" s="199">
        <v>103.0</v>
      </c>
      <c r="V514" s="199">
        <v>0.0</v>
      </c>
      <c r="W514" s="199">
        <v>0.0</v>
      </c>
      <c r="X514" s="199">
        <v>105.0</v>
      </c>
      <c r="Y514" s="199">
        <v>446.0</v>
      </c>
      <c r="Z514" s="199">
        <v>17.0</v>
      </c>
      <c r="AA514" s="199">
        <v>8.0</v>
      </c>
      <c r="AB514" s="199">
        <v>49.0</v>
      </c>
      <c r="AC514" s="199">
        <v>23.0</v>
      </c>
      <c r="AD514" s="199">
        <v>0.0</v>
      </c>
      <c r="AE514" s="199">
        <v>444.0</v>
      </c>
      <c r="AF514" s="199">
        <v>21.0</v>
      </c>
      <c r="AG514" s="199">
        <v>414.0</v>
      </c>
      <c r="AH514" s="199">
        <v>7.0</v>
      </c>
      <c r="AI514" s="200" t="s">
        <v>797</v>
      </c>
      <c r="AJ514" s="200" t="s">
        <v>887</v>
      </c>
      <c r="AK514" s="200"/>
      <c r="AL514" s="204"/>
      <c r="AM514" s="204"/>
    </row>
    <row r="515">
      <c r="A515" s="199" t="s">
        <v>250</v>
      </c>
      <c r="B515" s="200" t="s">
        <v>466</v>
      </c>
      <c r="C515" s="199">
        <v>2.5180296243E10</v>
      </c>
      <c r="D515" s="201">
        <v>45826.0</v>
      </c>
      <c r="E515" s="202" t="s">
        <v>101</v>
      </c>
      <c r="F515" s="202" t="s">
        <v>101</v>
      </c>
      <c r="G515" s="203" t="s">
        <v>101</v>
      </c>
      <c r="H515" s="203" t="s">
        <v>102</v>
      </c>
      <c r="I515" s="37"/>
      <c r="J515" s="37"/>
      <c r="K515" s="37"/>
      <c r="L515" s="199">
        <v>72.0</v>
      </c>
      <c r="M515" s="199">
        <v>436.1</v>
      </c>
      <c r="N515" s="199"/>
      <c r="O515" s="199">
        <v>5.0</v>
      </c>
      <c r="P515" s="199">
        <v>0.25</v>
      </c>
      <c r="Q515" s="199">
        <v>0.0</v>
      </c>
      <c r="R515" s="199">
        <v>25.0</v>
      </c>
      <c r="S515" s="199">
        <v>0.0</v>
      </c>
      <c r="T515" s="199">
        <v>135.0</v>
      </c>
      <c r="U515" s="199">
        <v>177.0</v>
      </c>
      <c r="V515" s="199">
        <v>0.0</v>
      </c>
      <c r="W515" s="199">
        <v>0.0</v>
      </c>
      <c r="X515" s="199">
        <v>92.0</v>
      </c>
      <c r="Y515" s="199">
        <v>102.0</v>
      </c>
      <c r="Z515" s="199">
        <v>5.0</v>
      </c>
      <c r="AA515" s="199">
        <v>0.0</v>
      </c>
      <c r="AB515" s="199">
        <v>61.0</v>
      </c>
      <c r="AC515" s="199">
        <v>30.0</v>
      </c>
      <c r="AD515" s="199">
        <v>0.0</v>
      </c>
      <c r="AE515" s="199">
        <v>624.0</v>
      </c>
      <c r="AF515" s="199">
        <v>23.0</v>
      </c>
      <c r="AG515" s="199">
        <v>328.0</v>
      </c>
      <c r="AH515" s="199">
        <v>37.0</v>
      </c>
      <c r="AI515" s="200" t="s">
        <v>829</v>
      </c>
      <c r="AJ515" s="200" t="s">
        <v>888</v>
      </c>
      <c r="AK515" s="200"/>
      <c r="AL515" s="204"/>
      <c r="AM515" s="204"/>
    </row>
    <row r="516">
      <c r="A516" s="199" t="s">
        <v>250</v>
      </c>
      <c r="B516" s="200" t="s">
        <v>466</v>
      </c>
      <c r="C516" s="199">
        <v>2.5259169226E10</v>
      </c>
      <c r="D516" s="201">
        <v>45909.0</v>
      </c>
      <c r="E516" s="202" t="s">
        <v>101</v>
      </c>
      <c r="F516" s="202" t="s">
        <v>101</v>
      </c>
      <c r="G516" s="203" t="s">
        <v>101</v>
      </c>
      <c r="H516" s="203" t="s">
        <v>101</v>
      </c>
      <c r="I516" s="37"/>
      <c r="J516" s="37"/>
      <c r="K516" s="37"/>
      <c r="L516" s="199">
        <v>97.0</v>
      </c>
      <c r="M516" s="199">
        <v>440.6</v>
      </c>
      <c r="N516" s="199"/>
      <c r="O516" s="199">
        <v>12.0</v>
      </c>
      <c r="P516" s="199">
        <v>0.4</v>
      </c>
      <c r="Q516" s="199">
        <v>0.0</v>
      </c>
      <c r="R516" s="199">
        <v>58.0</v>
      </c>
      <c r="S516" s="199">
        <v>3.0</v>
      </c>
      <c r="T516" s="199">
        <v>84.0</v>
      </c>
      <c r="U516" s="199">
        <v>233.0</v>
      </c>
      <c r="V516" s="199">
        <v>2.0</v>
      </c>
      <c r="W516" s="199">
        <v>0.0</v>
      </c>
      <c r="X516" s="199">
        <v>73.0</v>
      </c>
      <c r="Y516" s="199">
        <v>40.0</v>
      </c>
      <c r="Z516" s="199">
        <v>5.0</v>
      </c>
      <c r="AA516" s="199">
        <v>23.0</v>
      </c>
      <c r="AB516" s="199">
        <v>194.0</v>
      </c>
      <c r="AC516" s="199">
        <v>31.0</v>
      </c>
      <c r="AD516" s="199">
        <v>0.0</v>
      </c>
      <c r="AE516" s="199">
        <v>1624.0</v>
      </c>
      <c r="AF516" s="199">
        <v>58.0</v>
      </c>
      <c r="AG516" s="199">
        <v>273.0</v>
      </c>
      <c r="AH516" s="199">
        <v>3.0</v>
      </c>
      <c r="AI516" s="200" t="s">
        <v>889</v>
      </c>
      <c r="AJ516" s="200" t="s">
        <v>890</v>
      </c>
      <c r="AK516" s="200"/>
      <c r="AL516" s="204"/>
      <c r="AM516" s="204"/>
    </row>
    <row r="517">
      <c r="A517" s="199" t="s">
        <v>250</v>
      </c>
      <c r="B517" s="200" t="s">
        <v>466</v>
      </c>
      <c r="C517" s="199">
        <v>2.5330281202E10</v>
      </c>
      <c r="D517" s="201">
        <v>45977.0</v>
      </c>
      <c r="E517" s="202" t="s">
        <v>101</v>
      </c>
      <c r="F517" s="202" t="s">
        <v>101</v>
      </c>
      <c r="G517" s="203" t="s">
        <v>101</v>
      </c>
      <c r="H517" s="203" t="s">
        <v>102</v>
      </c>
      <c r="I517" s="37"/>
      <c r="J517" s="37"/>
      <c r="K517" s="37"/>
      <c r="L517" s="199">
        <v>389.0</v>
      </c>
      <c r="M517" s="199">
        <v>458.1</v>
      </c>
      <c r="N517" s="199"/>
      <c r="O517" s="199">
        <v>5.0</v>
      </c>
      <c r="P517" s="199">
        <v>0.4</v>
      </c>
      <c r="Q517" s="199">
        <v>0.0</v>
      </c>
      <c r="R517" s="199">
        <v>21.0</v>
      </c>
      <c r="S517" s="199">
        <v>0.0</v>
      </c>
      <c r="T517" s="199">
        <v>334.0</v>
      </c>
      <c r="U517" s="199">
        <v>80.0</v>
      </c>
      <c r="V517" s="199">
        <v>2.0</v>
      </c>
      <c r="W517" s="199">
        <v>0.0</v>
      </c>
      <c r="X517" s="199">
        <v>65.0</v>
      </c>
      <c r="Y517" s="199">
        <v>1800.0</v>
      </c>
      <c r="Z517" s="199">
        <v>5.0</v>
      </c>
      <c r="AA517" s="199">
        <v>0.0</v>
      </c>
      <c r="AB517" s="199">
        <v>184.0</v>
      </c>
      <c r="AC517" s="199">
        <v>64.0</v>
      </c>
      <c r="AD517" s="199">
        <v>0.0</v>
      </c>
      <c r="AE517" s="199">
        <v>188.0</v>
      </c>
      <c r="AF517" s="199">
        <v>3.0</v>
      </c>
      <c r="AG517" s="199">
        <v>356.0</v>
      </c>
      <c r="AH517" s="199">
        <v>0.0</v>
      </c>
      <c r="AI517" s="200" t="s">
        <v>827</v>
      </c>
      <c r="AJ517" s="200" t="s">
        <v>871</v>
      </c>
      <c r="AK517" s="200"/>
      <c r="AL517" s="204"/>
      <c r="AM517" s="204"/>
    </row>
    <row r="518">
      <c r="A518" s="199" t="s">
        <v>841</v>
      </c>
      <c r="B518" s="200" t="s">
        <v>485</v>
      </c>
      <c r="C518" s="199">
        <v>2.5049182255E10</v>
      </c>
      <c r="D518" s="201">
        <v>45701.0</v>
      </c>
      <c r="E518" s="202" t="s">
        <v>101</v>
      </c>
      <c r="F518" s="202" t="s">
        <v>101</v>
      </c>
      <c r="G518" s="203" t="s">
        <v>101</v>
      </c>
      <c r="H518" s="203" t="s">
        <v>100</v>
      </c>
      <c r="I518" s="37"/>
      <c r="J518" s="37"/>
      <c r="K518" s="37"/>
      <c r="L518" s="199">
        <v>66.0</v>
      </c>
      <c r="M518" s="199">
        <v>447.9</v>
      </c>
      <c r="N518" s="199"/>
      <c r="O518" s="199">
        <v>0.0</v>
      </c>
      <c r="P518" s="199">
        <v>0.2</v>
      </c>
      <c r="Q518" s="199">
        <v>0.0</v>
      </c>
      <c r="R518" s="199">
        <v>11.0</v>
      </c>
      <c r="S518" s="199">
        <v>2.0</v>
      </c>
      <c r="T518" s="199">
        <v>5.0</v>
      </c>
      <c r="U518" s="199">
        <v>126.0</v>
      </c>
      <c r="V518" s="199">
        <v>1.0</v>
      </c>
      <c r="W518" s="199">
        <v>0.0</v>
      </c>
      <c r="X518" s="199">
        <v>2.0</v>
      </c>
      <c r="Y518" s="199">
        <v>2.0</v>
      </c>
      <c r="Z518" s="199">
        <v>0.0</v>
      </c>
      <c r="AA518" s="199">
        <v>0.0</v>
      </c>
      <c r="AB518" s="199">
        <v>37.0</v>
      </c>
      <c r="AC518" s="199">
        <v>32.0</v>
      </c>
      <c r="AD518" s="199">
        <v>0.0</v>
      </c>
      <c r="AE518" s="199">
        <v>107.0</v>
      </c>
      <c r="AF518" s="199">
        <v>7.0</v>
      </c>
      <c r="AG518" s="199">
        <v>677.0</v>
      </c>
      <c r="AH518" s="199">
        <v>9.0</v>
      </c>
      <c r="AI518" s="200" t="s">
        <v>682</v>
      </c>
      <c r="AJ518" s="200" t="s">
        <v>891</v>
      </c>
      <c r="AK518" s="200"/>
      <c r="AL518" s="204"/>
      <c r="AM518" s="204"/>
    </row>
    <row r="519">
      <c r="A519" s="199" t="s">
        <v>256</v>
      </c>
      <c r="B519" s="200" t="s">
        <v>489</v>
      </c>
      <c r="C519" s="199">
        <v>2.5049182235E10</v>
      </c>
      <c r="D519" s="201">
        <v>45701.0</v>
      </c>
      <c r="E519" s="202" t="s">
        <v>102</v>
      </c>
      <c r="F519" s="202" t="s">
        <v>102</v>
      </c>
      <c r="G519" s="203" t="s">
        <v>100</v>
      </c>
      <c r="H519" s="203" t="s">
        <v>102</v>
      </c>
      <c r="I519" s="37"/>
      <c r="J519" s="37"/>
      <c r="K519" s="37"/>
      <c r="L519" s="199">
        <v>11.0</v>
      </c>
      <c r="M519" s="199">
        <v>317.2</v>
      </c>
      <c r="N519" s="37"/>
      <c r="O519" s="37"/>
      <c r="P519" s="199">
        <v>0.05</v>
      </c>
      <c r="Q519" s="199">
        <v>0.0</v>
      </c>
      <c r="R519" s="199">
        <v>4.0</v>
      </c>
      <c r="S519" s="199">
        <v>1.0</v>
      </c>
      <c r="T519" s="199">
        <v>2.0</v>
      </c>
      <c r="U519" s="199">
        <v>4.0</v>
      </c>
      <c r="V519" s="199">
        <v>0.0</v>
      </c>
      <c r="W519" s="199">
        <v>0.0</v>
      </c>
      <c r="X519" s="199">
        <v>2.0</v>
      </c>
      <c r="Y519" s="199">
        <v>0.0</v>
      </c>
      <c r="Z519" s="199">
        <v>0.0</v>
      </c>
      <c r="AA519" s="199">
        <v>0.0</v>
      </c>
      <c r="AB519" s="199">
        <v>14.0</v>
      </c>
      <c r="AC519" s="199">
        <v>8.0</v>
      </c>
      <c r="AD519" s="199">
        <v>0.0</v>
      </c>
      <c r="AE519" s="199">
        <v>8.0</v>
      </c>
      <c r="AF519" s="199">
        <v>2.0</v>
      </c>
      <c r="AG519" s="199">
        <v>550.0</v>
      </c>
      <c r="AH519" s="199">
        <v>7.0</v>
      </c>
      <c r="AI519" s="200" t="s">
        <v>653</v>
      </c>
      <c r="AJ519" s="200" t="s">
        <v>789</v>
      </c>
      <c r="AK519" s="200"/>
      <c r="AL519" s="204"/>
      <c r="AM519" s="204"/>
    </row>
    <row r="520">
      <c r="A520" s="199" t="s">
        <v>256</v>
      </c>
      <c r="B520" s="200" t="s">
        <v>489</v>
      </c>
      <c r="C520" s="199">
        <v>2.5258159252E10</v>
      </c>
      <c r="D520" s="201">
        <v>45908.0</v>
      </c>
      <c r="E520" s="202" t="s">
        <v>101</v>
      </c>
      <c r="F520" s="202" t="s">
        <v>101</v>
      </c>
      <c r="G520" s="203" t="s">
        <v>100</v>
      </c>
      <c r="H520" s="203" t="s">
        <v>102</v>
      </c>
      <c r="I520" s="37"/>
      <c r="J520" s="37"/>
      <c r="K520" s="37"/>
      <c r="L520" s="199">
        <v>19.0</v>
      </c>
      <c r="M520" s="199">
        <v>253.6</v>
      </c>
      <c r="N520" s="37"/>
      <c r="O520" s="37"/>
      <c r="P520" s="199">
        <v>0.2</v>
      </c>
      <c r="Q520" s="199">
        <v>0.0</v>
      </c>
      <c r="R520" s="199">
        <v>14.0</v>
      </c>
      <c r="S520" s="199">
        <v>1.0</v>
      </c>
      <c r="T520" s="199">
        <v>0.0</v>
      </c>
      <c r="U520" s="199">
        <v>19.0</v>
      </c>
      <c r="V520" s="199">
        <v>0.0</v>
      </c>
      <c r="W520" s="199">
        <v>0.0</v>
      </c>
      <c r="X520" s="199">
        <v>0.0</v>
      </c>
      <c r="Y520" s="199">
        <v>0.0</v>
      </c>
      <c r="Z520" s="199">
        <v>2.0</v>
      </c>
      <c r="AA520" s="199">
        <v>0.0</v>
      </c>
      <c r="AB520" s="199">
        <v>6.0</v>
      </c>
      <c r="AC520" s="199">
        <v>23.0</v>
      </c>
      <c r="AD520" s="199">
        <v>0.0</v>
      </c>
      <c r="AE520" s="199">
        <v>33.0</v>
      </c>
      <c r="AF520" s="199">
        <v>3.0</v>
      </c>
      <c r="AG520" s="199">
        <v>319.0</v>
      </c>
      <c r="AH520" s="199">
        <v>11.0</v>
      </c>
      <c r="AI520" s="200" t="s">
        <v>684</v>
      </c>
      <c r="AJ520" s="200" t="s">
        <v>773</v>
      </c>
      <c r="AK520" s="200"/>
      <c r="AL520" s="204"/>
      <c r="AM520" s="204"/>
    </row>
    <row r="521">
      <c r="A521" s="199" t="s">
        <v>145</v>
      </c>
      <c r="B521" s="200" t="s">
        <v>892</v>
      </c>
      <c r="C521" s="199">
        <v>2.3275210248E10</v>
      </c>
      <c r="D521" s="201">
        <v>45196.0</v>
      </c>
      <c r="E521" s="202" t="s">
        <v>100</v>
      </c>
      <c r="F521" s="202" t="s">
        <v>100</v>
      </c>
      <c r="G521" s="203" t="s">
        <v>100</v>
      </c>
      <c r="H521" s="203" t="s">
        <v>100</v>
      </c>
      <c r="I521" s="199">
        <v>61860.0</v>
      </c>
      <c r="J521" s="199">
        <v>37451.0</v>
      </c>
      <c r="K521" s="199">
        <v>321.0</v>
      </c>
      <c r="L521" s="199">
        <v>8.0</v>
      </c>
      <c r="M521" s="199">
        <v>300.3</v>
      </c>
      <c r="N521" s="199"/>
      <c r="O521" s="199">
        <v>0.0</v>
      </c>
      <c r="P521" s="199">
        <v>0.03</v>
      </c>
      <c r="Q521" s="199">
        <v>0.0</v>
      </c>
      <c r="R521" s="199">
        <v>4.0</v>
      </c>
      <c r="S521" s="199">
        <v>0.0</v>
      </c>
      <c r="T521" s="199">
        <v>0.0</v>
      </c>
      <c r="U521" s="199">
        <v>13.0</v>
      </c>
      <c r="V521" s="199">
        <v>0.0</v>
      </c>
      <c r="W521" s="199">
        <v>0.0</v>
      </c>
      <c r="X521" s="199">
        <v>0.0</v>
      </c>
      <c r="Y521" s="199">
        <v>0.0</v>
      </c>
      <c r="Z521" s="199">
        <v>8.0</v>
      </c>
      <c r="AA521" s="199">
        <v>0.0</v>
      </c>
      <c r="AB521" s="199">
        <v>4.0</v>
      </c>
      <c r="AC521" s="199">
        <v>22.0</v>
      </c>
      <c r="AD521" s="199">
        <v>0.0</v>
      </c>
      <c r="AE521" s="199">
        <v>39.0</v>
      </c>
      <c r="AF521" s="199">
        <v>1.0</v>
      </c>
      <c r="AG521" s="199">
        <v>475.0</v>
      </c>
      <c r="AH521" s="199">
        <v>4.0</v>
      </c>
      <c r="AI521" s="200" t="s">
        <v>655</v>
      </c>
      <c r="AJ521" s="200" t="s">
        <v>656</v>
      </c>
      <c r="AK521" s="200"/>
      <c r="AL521" s="204"/>
      <c r="AM521" s="204"/>
    </row>
    <row r="522">
      <c r="A522" s="199" t="s">
        <v>145</v>
      </c>
      <c r="B522" s="200" t="s">
        <v>892</v>
      </c>
      <c r="C522" s="199">
        <v>2.4303290259E10</v>
      </c>
      <c r="D522" s="201">
        <v>45589.0</v>
      </c>
      <c r="E522" s="202" t="s">
        <v>100</v>
      </c>
      <c r="F522" s="202" t="s">
        <v>100</v>
      </c>
      <c r="G522" s="203" t="s">
        <v>100</v>
      </c>
      <c r="H522" s="203" t="s">
        <v>100</v>
      </c>
      <c r="I522" s="199">
        <v>21752.0</v>
      </c>
      <c r="J522" s="199">
        <v>1035.0</v>
      </c>
      <c r="K522" s="199">
        <v>851.0</v>
      </c>
      <c r="L522" s="199">
        <v>6.0</v>
      </c>
      <c r="M522" s="199">
        <v>305.7</v>
      </c>
      <c r="N522" s="199"/>
      <c r="O522" s="199">
        <v>0.0</v>
      </c>
      <c r="P522" s="199">
        <v>0.04</v>
      </c>
      <c r="Q522" s="199">
        <v>0.0</v>
      </c>
      <c r="R522" s="199">
        <v>3.0</v>
      </c>
      <c r="S522" s="199">
        <v>1.0</v>
      </c>
      <c r="T522" s="199">
        <v>2.0</v>
      </c>
      <c r="U522" s="199">
        <v>7.0</v>
      </c>
      <c r="V522" s="199">
        <v>0.0</v>
      </c>
      <c r="W522" s="199">
        <v>0.0</v>
      </c>
      <c r="X522" s="199">
        <v>1.0</v>
      </c>
      <c r="Y522" s="199">
        <v>0.0</v>
      </c>
      <c r="Z522" s="199">
        <v>0.0</v>
      </c>
      <c r="AA522" s="199">
        <v>0.0</v>
      </c>
      <c r="AB522" s="199">
        <v>13.0</v>
      </c>
      <c r="AC522" s="199">
        <v>32.0</v>
      </c>
      <c r="AD522" s="199">
        <v>0.0</v>
      </c>
      <c r="AE522" s="199">
        <v>13.0</v>
      </c>
      <c r="AF522" s="199">
        <v>2.0</v>
      </c>
      <c r="AG522" s="199">
        <v>272.0</v>
      </c>
      <c r="AH522" s="199">
        <v>2.0</v>
      </c>
      <c r="AI522" s="200" t="s">
        <v>655</v>
      </c>
      <c r="AJ522" s="200" t="s">
        <v>656</v>
      </c>
      <c r="AK522" s="200"/>
      <c r="AL522" s="204"/>
      <c r="AM522" s="204"/>
    </row>
    <row r="523">
      <c r="A523" s="199" t="s">
        <v>145</v>
      </c>
      <c r="B523" s="200" t="s">
        <v>892</v>
      </c>
      <c r="C523" s="199">
        <v>2.5112224202E10</v>
      </c>
      <c r="D523" s="201">
        <v>45756.0</v>
      </c>
      <c r="E523" s="202" t="s">
        <v>100</v>
      </c>
      <c r="F523" s="202" t="s">
        <v>100</v>
      </c>
      <c r="G523" s="203" t="s">
        <v>100</v>
      </c>
      <c r="H523" s="203" t="s">
        <v>100</v>
      </c>
      <c r="I523" s="199">
        <v>35871.0</v>
      </c>
      <c r="J523" s="199">
        <v>2656.0</v>
      </c>
      <c r="K523" s="199">
        <v>1569.0</v>
      </c>
      <c r="L523" s="199">
        <v>13.0</v>
      </c>
      <c r="M523" s="199">
        <v>289.1</v>
      </c>
      <c r="N523" s="199"/>
      <c r="O523" s="199">
        <v>0.0</v>
      </c>
      <c r="P523" s="199">
        <v>0.01</v>
      </c>
      <c r="Q523" s="199">
        <v>0.0</v>
      </c>
      <c r="R523" s="199">
        <v>0.0</v>
      </c>
      <c r="S523" s="199">
        <v>0.0</v>
      </c>
      <c r="T523" s="199">
        <v>0.0</v>
      </c>
      <c r="U523" s="199">
        <v>12.0</v>
      </c>
      <c r="V523" s="199">
        <v>0.0</v>
      </c>
      <c r="W523" s="199">
        <v>0.0</v>
      </c>
      <c r="X523" s="199">
        <v>0.0</v>
      </c>
      <c r="Y523" s="199">
        <v>0.0</v>
      </c>
      <c r="Z523" s="199">
        <v>0.0</v>
      </c>
      <c r="AA523" s="199">
        <v>3.0</v>
      </c>
      <c r="AB523" s="199">
        <v>15.0</v>
      </c>
      <c r="AC523" s="199">
        <v>9.0</v>
      </c>
      <c r="AD523" s="199">
        <v>0.0</v>
      </c>
      <c r="AE523" s="199">
        <v>88.0</v>
      </c>
      <c r="AF523" s="199">
        <v>2.0</v>
      </c>
      <c r="AG523" s="199">
        <v>322.0</v>
      </c>
      <c r="AH523" s="199">
        <v>40.0</v>
      </c>
      <c r="AI523" s="200" t="s">
        <v>655</v>
      </c>
      <c r="AJ523" s="200" t="s">
        <v>656</v>
      </c>
      <c r="AK523" s="200"/>
      <c r="AL523" s="204"/>
      <c r="AM523" s="204"/>
    </row>
    <row r="524">
      <c r="A524" s="199" t="s">
        <v>145</v>
      </c>
      <c r="B524" s="200" t="s">
        <v>892</v>
      </c>
      <c r="C524" s="199">
        <v>2.5294210218E10</v>
      </c>
      <c r="D524" s="201">
        <v>45946.0</v>
      </c>
      <c r="E524" s="202" t="s">
        <v>102</v>
      </c>
      <c r="F524" s="202" t="s">
        <v>102</v>
      </c>
      <c r="G524" s="203" t="s">
        <v>100</v>
      </c>
      <c r="H524" s="203" t="s">
        <v>100</v>
      </c>
      <c r="I524" s="37"/>
      <c r="J524" s="37"/>
      <c r="K524" s="37"/>
      <c r="L524" s="199">
        <v>20.0</v>
      </c>
      <c r="M524" s="199">
        <v>283.1</v>
      </c>
      <c r="N524" s="199"/>
      <c r="O524" s="199">
        <v>2.0</v>
      </c>
      <c r="P524" s="199">
        <v>0.04</v>
      </c>
      <c r="Q524" s="199">
        <v>0.0</v>
      </c>
      <c r="R524" s="199">
        <v>6.0</v>
      </c>
      <c r="S524" s="199">
        <v>0.0</v>
      </c>
      <c r="T524" s="199">
        <v>2.0</v>
      </c>
      <c r="U524" s="199">
        <v>32.0</v>
      </c>
      <c r="V524" s="199">
        <v>0.0</v>
      </c>
      <c r="W524" s="199">
        <v>0.0</v>
      </c>
      <c r="X524" s="199">
        <v>0.0</v>
      </c>
      <c r="Y524" s="199">
        <v>0.0</v>
      </c>
      <c r="Z524" s="199">
        <v>0.0</v>
      </c>
      <c r="AA524" s="199">
        <v>0.0</v>
      </c>
      <c r="AB524" s="199">
        <v>25.0</v>
      </c>
      <c r="AC524" s="199">
        <v>0.0</v>
      </c>
      <c r="AD524" s="199">
        <v>0.0</v>
      </c>
      <c r="AE524" s="199">
        <v>43.0</v>
      </c>
      <c r="AF524" s="199">
        <v>3.0</v>
      </c>
      <c r="AG524" s="199">
        <v>418.0</v>
      </c>
      <c r="AH524" s="199">
        <v>31.0</v>
      </c>
      <c r="AI524" s="200" t="s">
        <v>741</v>
      </c>
      <c r="AJ524" s="200" t="s">
        <v>893</v>
      </c>
      <c r="AK524" s="200"/>
      <c r="AL524" s="204"/>
      <c r="AM524" s="204"/>
    </row>
    <row r="525">
      <c r="A525" s="199" t="s">
        <v>145</v>
      </c>
      <c r="B525" s="200" t="s">
        <v>892</v>
      </c>
      <c r="C525" s="199">
        <v>2.5330261236E10</v>
      </c>
      <c r="D525" s="201">
        <v>45977.0</v>
      </c>
      <c r="E525" s="202" t="s">
        <v>101</v>
      </c>
      <c r="F525" s="202" t="s">
        <v>101</v>
      </c>
      <c r="G525" s="203" t="s">
        <v>100</v>
      </c>
      <c r="H525" s="203" t="s">
        <v>100</v>
      </c>
      <c r="I525" s="37"/>
      <c r="J525" s="37"/>
      <c r="K525" s="37"/>
      <c r="L525" s="199">
        <v>9.0</v>
      </c>
      <c r="M525" s="199">
        <v>285.1</v>
      </c>
      <c r="N525" s="199"/>
      <c r="O525" s="199">
        <v>0.0</v>
      </c>
      <c r="P525" s="199">
        <v>0.2</v>
      </c>
      <c r="Q525" s="199">
        <v>0.0</v>
      </c>
      <c r="R525" s="199">
        <v>0.0</v>
      </c>
      <c r="S525" s="199">
        <v>0.0</v>
      </c>
      <c r="T525" s="199">
        <v>0.0</v>
      </c>
      <c r="U525" s="199">
        <v>1.0</v>
      </c>
      <c r="V525" s="199">
        <v>0.0</v>
      </c>
      <c r="W525" s="199">
        <v>0.0</v>
      </c>
      <c r="X525" s="199">
        <v>0.0</v>
      </c>
      <c r="Y525" s="199">
        <v>0.0</v>
      </c>
      <c r="Z525" s="199">
        <v>0.0</v>
      </c>
      <c r="AA525" s="199">
        <v>0.0</v>
      </c>
      <c r="AB525" s="199">
        <v>28.0</v>
      </c>
      <c r="AC525" s="199">
        <v>30.0</v>
      </c>
      <c r="AD525" s="199">
        <v>0.0</v>
      </c>
      <c r="AE525" s="199">
        <v>15.0</v>
      </c>
      <c r="AF525" s="199">
        <v>2.0</v>
      </c>
      <c r="AG525" s="199">
        <v>651.0</v>
      </c>
      <c r="AH525" s="199">
        <v>14.0</v>
      </c>
      <c r="AI525" s="200" t="s">
        <v>684</v>
      </c>
      <c r="AJ525" s="200" t="s">
        <v>773</v>
      </c>
      <c r="AK525" s="200"/>
      <c r="AL525" s="204"/>
      <c r="AM525" s="204"/>
    </row>
    <row r="526">
      <c r="A526" s="199" t="s">
        <v>160</v>
      </c>
      <c r="B526" s="200" t="s">
        <v>894</v>
      </c>
      <c r="C526" s="199">
        <v>2.4211297241E10</v>
      </c>
      <c r="D526" s="201">
        <v>45497.0</v>
      </c>
      <c r="E526" s="202" t="s">
        <v>100</v>
      </c>
      <c r="F526" s="202" t="s">
        <v>100</v>
      </c>
      <c r="G526" s="203" t="s">
        <v>100</v>
      </c>
      <c r="H526" s="203" t="s">
        <v>100</v>
      </c>
      <c r="I526" s="199">
        <v>4852.0</v>
      </c>
      <c r="J526" s="199">
        <v>1033.0</v>
      </c>
      <c r="K526" s="199">
        <v>352.0</v>
      </c>
      <c r="L526" s="199">
        <v>3.0</v>
      </c>
      <c r="M526" s="199">
        <v>65.3</v>
      </c>
      <c r="N526" s="199"/>
      <c r="O526" s="199">
        <v>0.0</v>
      </c>
      <c r="P526" s="199">
        <v>0.003</v>
      </c>
      <c r="Q526" s="199">
        <v>0.0</v>
      </c>
      <c r="R526" s="199">
        <v>5.0</v>
      </c>
      <c r="S526" s="199">
        <v>4.0</v>
      </c>
      <c r="T526" s="199">
        <v>3.0</v>
      </c>
      <c r="U526" s="199">
        <v>3.0</v>
      </c>
      <c r="V526" s="199">
        <v>0.0</v>
      </c>
      <c r="W526" s="199">
        <v>0.0</v>
      </c>
      <c r="X526" s="199">
        <v>2.0</v>
      </c>
      <c r="Y526" s="199">
        <v>0.0</v>
      </c>
      <c r="Z526" s="199">
        <v>0.0</v>
      </c>
      <c r="AA526" s="199">
        <v>0.0</v>
      </c>
      <c r="AB526" s="199">
        <v>9.0</v>
      </c>
      <c r="AC526" s="199">
        <v>4.0</v>
      </c>
      <c r="AD526" s="199">
        <v>0.0</v>
      </c>
      <c r="AE526" s="199">
        <v>17.0</v>
      </c>
      <c r="AF526" s="199">
        <v>2.0</v>
      </c>
      <c r="AG526" s="199">
        <v>39.0</v>
      </c>
      <c r="AH526" s="199">
        <v>34.0</v>
      </c>
      <c r="AI526" s="200" t="s">
        <v>655</v>
      </c>
      <c r="AJ526" s="200" t="s">
        <v>656</v>
      </c>
      <c r="AK526" s="200"/>
      <c r="AL526" s="204"/>
      <c r="AM526" s="204"/>
    </row>
    <row r="527">
      <c r="A527" s="199" t="s">
        <v>160</v>
      </c>
      <c r="B527" s="200" t="s">
        <v>894</v>
      </c>
      <c r="C527" s="199">
        <v>2.4303290253E10</v>
      </c>
      <c r="D527" s="201">
        <v>45589.0</v>
      </c>
      <c r="E527" s="202" t="s">
        <v>101</v>
      </c>
      <c r="F527" s="202" t="s">
        <v>101</v>
      </c>
      <c r="G527" s="203" t="s">
        <v>100</v>
      </c>
      <c r="H527" s="203" t="s">
        <v>100</v>
      </c>
      <c r="I527" s="37"/>
      <c r="J527" s="37"/>
      <c r="K527" s="37"/>
      <c r="L527" s="199">
        <v>36.0</v>
      </c>
      <c r="M527" s="199">
        <v>65.5</v>
      </c>
      <c r="N527" s="199"/>
      <c r="O527" s="199">
        <v>0.0</v>
      </c>
      <c r="P527" s="199">
        <v>0.1</v>
      </c>
      <c r="Q527" s="199">
        <v>0.0</v>
      </c>
      <c r="R527" s="199">
        <v>4.0</v>
      </c>
      <c r="S527" s="199">
        <v>0.0</v>
      </c>
      <c r="T527" s="199">
        <v>3.0</v>
      </c>
      <c r="U527" s="199">
        <v>23.0</v>
      </c>
      <c r="V527" s="199">
        <v>0.0</v>
      </c>
      <c r="W527" s="199">
        <v>0.0</v>
      </c>
      <c r="X527" s="199">
        <v>0.0</v>
      </c>
      <c r="Y527" s="199">
        <v>0.0</v>
      </c>
      <c r="Z527" s="199">
        <v>1.0</v>
      </c>
      <c r="AA527" s="199">
        <v>0.0</v>
      </c>
      <c r="AB527" s="199">
        <v>10.0</v>
      </c>
      <c r="AC527" s="199">
        <v>2.0</v>
      </c>
      <c r="AD527" s="199">
        <v>0.0</v>
      </c>
      <c r="AE527" s="199">
        <v>16.0</v>
      </c>
      <c r="AF527" s="199">
        <v>2.0</v>
      </c>
      <c r="AG527" s="199">
        <v>63.0</v>
      </c>
      <c r="AH527" s="199">
        <v>18.0</v>
      </c>
      <c r="AI527" s="200" t="s">
        <v>776</v>
      </c>
      <c r="AJ527" s="200" t="s">
        <v>777</v>
      </c>
      <c r="AK527" s="200"/>
      <c r="AL527" s="204"/>
      <c r="AM527" s="204"/>
    </row>
    <row r="528">
      <c r="A528" s="199" t="s">
        <v>160</v>
      </c>
      <c r="B528" s="200" t="s">
        <v>894</v>
      </c>
      <c r="C528" s="199">
        <v>2.5112224229E10</v>
      </c>
      <c r="D528" s="201">
        <v>45756.0</v>
      </c>
      <c r="E528" s="202" t="s">
        <v>100</v>
      </c>
      <c r="F528" s="202" t="s">
        <v>100</v>
      </c>
      <c r="G528" s="203" t="s">
        <v>100</v>
      </c>
      <c r="H528" s="203" t="s">
        <v>100</v>
      </c>
      <c r="I528" s="199">
        <v>2885.0</v>
      </c>
      <c r="J528" s="199">
        <v>1625.0</v>
      </c>
      <c r="K528" s="199">
        <v>754.0</v>
      </c>
      <c r="L528" s="199">
        <v>11.0</v>
      </c>
      <c r="M528" s="199">
        <v>66.7</v>
      </c>
      <c r="N528" s="199"/>
      <c r="O528" s="199">
        <v>0.0</v>
      </c>
      <c r="P528" s="199">
        <v>0.01</v>
      </c>
      <c r="Q528" s="199">
        <v>0.0</v>
      </c>
      <c r="R528" s="199">
        <v>0.0</v>
      </c>
      <c r="S528" s="199">
        <v>0.0</v>
      </c>
      <c r="T528" s="199">
        <v>11.0</v>
      </c>
      <c r="U528" s="199">
        <v>23.0</v>
      </c>
      <c r="V528" s="199">
        <v>0.0</v>
      </c>
      <c r="W528" s="199">
        <v>0.0</v>
      </c>
      <c r="X528" s="199">
        <v>0.0</v>
      </c>
      <c r="Y528" s="199">
        <v>0.0</v>
      </c>
      <c r="Z528" s="199">
        <v>0.0</v>
      </c>
      <c r="AA528" s="199">
        <v>0.0</v>
      </c>
      <c r="AB528" s="199">
        <v>2.0</v>
      </c>
      <c r="AC528" s="199">
        <v>5.0</v>
      </c>
      <c r="AD528" s="199">
        <v>0.0</v>
      </c>
      <c r="AE528" s="199">
        <v>95.0</v>
      </c>
      <c r="AF528" s="199">
        <v>0.0</v>
      </c>
      <c r="AG528" s="199">
        <v>373.0</v>
      </c>
      <c r="AH528" s="199">
        <v>539.0</v>
      </c>
      <c r="AI528" s="200" t="s">
        <v>655</v>
      </c>
      <c r="AJ528" s="200" t="s">
        <v>656</v>
      </c>
      <c r="AK528" s="200"/>
      <c r="AL528" s="204"/>
      <c r="AM528" s="204"/>
    </row>
    <row r="529">
      <c r="A529" s="199" t="s">
        <v>160</v>
      </c>
      <c r="B529" s="200" t="s">
        <v>894</v>
      </c>
      <c r="C529" s="199">
        <v>2.5294210207E10</v>
      </c>
      <c r="D529" s="201">
        <v>45946.0</v>
      </c>
      <c r="E529" s="202" t="s">
        <v>101</v>
      </c>
      <c r="F529" s="202" t="s">
        <v>100</v>
      </c>
      <c r="G529" s="203" t="s">
        <v>100</v>
      </c>
      <c r="H529" s="203" t="s">
        <v>101</v>
      </c>
      <c r="I529" s="199">
        <v>9281.0</v>
      </c>
      <c r="J529" s="199">
        <v>4015.0</v>
      </c>
      <c r="K529" s="199">
        <v>961.0</v>
      </c>
      <c r="L529" s="199">
        <v>4.0</v>
      </c>
      <c r="M529" s="199">
        <v>45.0</v>
      </c>
      <c r="N529" s="199"/>
      <c r="O529" s="199">
        <v>1.0</v>
      </c>
      <c r="P529" s="199">
        <v>0.01</v>
      </c>
      <c r="Q529" s="199">
        <v>0.0</v>
      </c>
      <c r="R529" s="199">
        <v>3.0</v>
      </c>
      <c r="S529" s="199">
        <v>0.0</v>
      </c>
      <c r="T529" s="199">
        <v>3.0</v>
      </c>
      <c r="U529" s="199">
        <v>1.0</v>
      </c>
      <c r="V529" s="199">
        <v>0.0</v>
      </c>
      <c r="W529" s="199">
        <v>0.0</v>
      </c>
      <c r="X529" s="199">
        <v>0.0</v>
      </c>
      <c r="Y529" s="199">
        <v>0.0</v>
      </c>
      <c r="Z529" s="199">
        <v>0.0</v>
      </c>
      <c r="AA529" s="199">
        <v>0.0</v>
      </c>
      <c r="AB529" s="199">
        <v>2.0</v>
      </c>
      <c r="AC529" s="199">
        <v>0.0</v>
      </c>
      <c r="AD529" s="199">
        <v>0.0</v>
      </c>
      <c r="AE529" s="199">
        <v>47.0</v>
      </c>
      <c r="AF529" s="199">
        <v>0.0</v>
      </c>
      <c r="AG529" s="199">
        <v>347.0</v>
      </c>
      <c r="AH529" s="199">
        <v>357.0</v>
      </c>
      <c r="AI529" s="200" t="s">
        <v>661</v>
      </c>
      <c r="AJ529" s="200" t="s">
        <v>662</v>
      </c>
      <c r="AK529" s="200"/>
      <c r="AL529" s="204"/>
      <c r="AM529" s="204"/>
    </row>
    <row r="530">
      <c r="A530" s="199" t="s">
        <v>160</v>
      </c>
      <c r="B530" s="200" t="s">
        <v>894</v>
      </c>
      <c r="C530" s="199">
        <v>2.5330261208E10</v>
      </c>
      <c r="D530" s="201">
        <v>45977.0</v>
      </c>
      <c r="E530" s="202" t="s">
        <v>101</v>
      </c>
      <c r="F530" s="202" t="s">
        <v>100</v>
      </c>
      <c r="G530" s="203" t="s">
        <v>100</v>
      </c>
      <c r="H530" s="203" t="s">
        <v>101</v>
      </c>
      <c r="I530" s="199">
        <v>8007.0</v>
      </c>
      <c r="J530" s="199">
        <v>4103.0</v>
      </c>
      <c r="K530" s="199">
        <v>961.0</v>
      </c>
      <c r="L530" s="199">
        <v>4.0</v>
      </c>
      <c r="M530" s="199">
        <v>45.5</v>
      </c>
      <c r="N530" s="199"/>
      <c r="O530" s="199">
        <v>1.0</v>
      </c>
      <c r="P530" s="199">
        <v>0.003</v>
      </c>
      <c r="Q530" s="199">
        <v>0.0</v>
      </c>
      <c r="R530" s="199">
        <v>0.0</v>
      </c>
      <c r="S530" s="199">
        <v>0.0</v>
      </c>
      <c r="T530" s="199">
        <v>0.0</v>
      </c>
      <c r="U530" s="199">
        <v>0.0</v>
      </c>
      <c r="V530" s="199">
        <v>0.0</v>
      </c>
      <c r="W530" s="199">
        <v>0.0</v>
      </c>
      <c r="X530" s="199">
        <v>0.0</v>
      </c>
      <c r="Y530" s="199">
        <v>0.0</v>
      </c>
      <c r="Z530" s="199">
        <v>0.0</v>
      </c>
      <c r="AA530" s="199">
        <v>0.0</v>
      </c>
      <c r="AB530" s="199">
        <v>2.0</v>
      </c>
      <c r="AC530" s="199">
        <v>3.0</v>
      </c>
      <c r="AD530" s="199">
        <v>0.0</v>
      </c>
      <c r="AE530" s="199">
        <v>65.0</v>
      </c>
      <c r="AF530" s="199">
        <v>0.0</v>
      </c>
      <c r="AG530" s="199">
        <v>411.0</v>
      </c>
      <c r="AH530" s="199">
        <v>447.0</v>
      </c>
      <c r="AI530" s="200" t="s">
        <v>661</v>
      </c>
      <c r="AJ530" s="200" t="s">
        <v>662</v>
      </c>
      <c r="AK530" s="200"/>
      <c r="AL530" s="204"/>
      <c r="AM530" s="204"/>
    </row>
    <row r="531">
      <c r="A531" s="199" t="s">
        <v>161</v>
      </c>
      <c r="B531" s="200" t="s">
        <v>404</v>
      </c>
      <c r="C531" s="199">
        <v>2.4162106229E10</v>
      </c>
      <c r="D531" s="201">
        <v>45447.0</v>
      </c>
      <c r="E531" s="202" t="s">
        <v>102</v>
      </c>
      <c r="F531" s="202" t="s">
        <v>102</v>
      </c>
      <c r="G531" s="203" t="s">
        <v>100</v>
      </c>
      <c r="H531" s="203" t="s">
        <v>100</v>
      </c>
      <c r="I531" s="37"/>
      <c r="J531" s="37"/>
      <c r="K531" s="37"/>
      <c r="L531" s="199">
        <v>12.0</v>
      </c>
      <c r="M531" s="199">
        <v>60.4</v>
      </c>
      <c r="N531" s="199"/>
      <c r="O531" s="199">
        <v>0.0</v>
      </c>
      <c r="P531" s="199">
        <v>0.05</v>
      </c>
      <c r="Q531" s="199">
        <v>0.0</v>
      </c>
      <c r="R531" s="199">
        <v>0.0</v>
      </c>
      <c r="S531" s="199">
        <v>0.0</v>
      </c>
      <c r="T531" s="199">
        <v>7.0</v>
      </c>
      <c r="U531" s="199">
        <v>11.0</v>
      </c>
      <c r="V531" s="199">
        <v>0.0</v>
      </c>
      <c r="W531" s="199">
        <v>0.0</v>
      </c>
      <c r="X531" s="199">
        <v>0.0</v>
      </c>
      <c r="Y531" s="199">
        <v>0.0</v>
      </c>
      <c r="Z531" s="199">
        <v>0.0</v>
      </c>
      <c r="AA531" s="199">
        <v>0.0</v>
      </c>
      <c r="AB531" s="199">
        <v>10.0</v>
      </c>
      <c r="AC531" s="199">
        <v>2.0</v>
      </c>
      <c r="AD531" s="199">
        <v>0.0</v>
      </c>
      <c r="AE531" s="199">
        <v>36.0</v>
      </c>
      <c r="AF531" s="199">
        <v>0.0</v>
      </c>
      <c r="AG531" s="199">
        <v>114.0</v>
      </c>
      <c r="AH531" s="199">
        <v>116.0</v>
      </c>
      <c r="AI531" s="200" t="s">
        <v>653</v>
      </c>
      <c r="AJ531" s="200" t="s">
        <v>654</v>
      </c>
      <c r="AK531" s="200"/>
      <c r="AL531" s="204"/>
      <c r="AM531" s="204"/>
    </row>
    <row r="532">
      <c r="A532" s="199" t="s">
        <v>161</v>
      </c>
      <c r="B532" s="200" t="s">
        <v>404</v>
      </c>
      <c r="C532" s="199">
        <v>2.4211297245E10</v>
      </c>
      <c r="D532" s="201">
        <v>45497.0</v>
      </c>
      <c r="E532" s="202" t="s">
        <v>101</v>
      </c>
      <c r="F532" s="202" t="s">
        <v>101</v>
      </c>
      <c r="G532" s="203" t="s">
        <v>100</v>
      </c>
      <c r="H532" s="203" t="s">
        <v>100</v>
      </c>
      <c r="I532" s="199">
        <v>3682.0</v>
      </c>
      <c r="J532" s="199">
        <v>937.0</v>
      </c>
      <c r="K532" s="199">
        <v>265.0</v>
      </c>
      <c r="L532" s="199">
        <v>2.0</v>
      </c>
      <c r="M532" s="199">
        <v>65.4</v>
      </c>
      <c r="N532" s="199"/>
      <c r="O532" s="199">
        <v>0.0</v>
      </c>
      <c r="P532" s="199">
        <v>0.003</v>
      </c>
      <c r="Q532" s="199">
        <v>0.0</v>
      </c>
      <c r="R532" s="199">
        <v>5.0</v>
      </c>
      <c r="S532" s="199">
        <v>3.0</v>
      </c>
      <c r="T532" s="199">
        <v>0.0</v>
      </c>
      <c r="U532" s="199">
        <v>15.0</v>
      </c>
      <c r="V532" s="199">
        <v>0.0</v>
      </c>
      <c r="W532" s="199">
        <v>0.0</v>
      </c>
      <c r="X532" s="199">
        <v>1.0</v>
      </c>
      <c r="Y532" s="199">
        <v>0.0</v>
      </c>
      <c r="Z532" s="199">
        <v>0.0</v>
      </c>
      <c r="AA532" s="199">
        <v>0.0</v>
      </c>
      <c r="AB532" s="199">
        <v>0.0</v>
      </c>
      <c r="AC532" s="199">
        <v>18.0</v>
      </c>
      <c r="AD532" s="199">
        <v>0.0</v>
      </c>
      <c r="AE532" s="199">
        <v>37.0</v>
      </c>
      <c r="AF532" s="199">
        <v>2.0</v>
      </c>
      <c r="AG532" s="199">
        <v>38.0</v>
      </c>
      <c r="AH532" s="199">
        <v>22.0</v>
      </c>
      <c r="AI532" s="200" t="s">
        <v>776</v>
      </c>
      <c r="AJ532" s="200" t="s">
        <v>777</v>
      </c>
      <c r="AK532" s="200"/>
      <c r="AL532" s="204"/>
      <c r="AM532" s="204"/>
    </row>
    <row r="533">
      <c r="A533" s="199" t="s">
        <v>161</v>
      </c>
      <c r="B533" s="200" t="s">
        <v>404</v>
      </c>
      <c r="C533" s="199">
        <v>2.4303290461E10</v>
      </c>
      <c r="D533" s="201">
        <v>45589.0</v>
      </c>
      <c r="E533" s="202" t="s">
        <v>100</v>
      </c>
      <c r="F533" s="202" t="s">
        <v>100</v>
      </c>
      <c r="G533" s="203" t="s">
        <v>100</v>
      </c>
      <c r="H533" s="203" t="s">
        <v>100</v>
      </c>
      <c r="I533" s="199">
        <v>7682.0</v>
      </c>
      <c r="J533" s="199">
        <v>3094.0</v>
      </c>
      <c r="K533" s="199">
        <v>2956.0</v>
      </c>
      <c r="L533" s="199">
        <v>3.0</v>
      </c>
      <c r="M533" s="199">
        <v>64.8</v>
      </c>
      <c r="N533" s="199"/>
      <c r="O533" s="199">
        <v>0.0</v>
      </c>
      <c r="P533" s="199">
        <v>0.003</v>
      </c>
      <c r="Q533" s="199">
        <v>0.0</v>
      </c>
      <c r="R533" s="199">
        <v>5.0</v>
      </c>
      <c r="S533" s="199">
        <v>0.0</v>
      </c>
      <c r="T533" s="199">
        <v>0.0</v>
      </c>
      <c r="U533" s="199">
        <v>10.0</v>
      </c>
      <c r="V533" s="199">
        <v>0.0</v>
      </c>
      <c r="W533" s="199">
        <v>0.0</v>
      </c>
      <c r="X533" s="199">
        <v>1.0</v>
      </c>
      <c r="Y533" s="199">
        <v>0.0</v>
      </c>
      <c r="Z533" s="199">
        <v>0.0</v>
      </c>
      <c r="AA533" s="199">
        <v>0.0</v>
      </c>
      <c r="AB533" s="199">
        <v>14.0</v>
      </c>
      <c r="AC533" s="199">
        <v>2.0</v>
      </c>
      <c r="AD533" s="199">
        <v>0.0</v>
      </c>
      <c r="AE533" s="199">
        <v>27.0</v>
      </c>
      <c r="AF533" s="199">
        <v>2.0</v>
      </c>
      <c r="AG533" s="199">
        <v>62.0</v>
      </c>
      <c r="AH533" s="199">
        <v>40.0</v>
      </c>
      <c r="AI533" s="200" t="s">
        <v>655</v>
      </c>
      <c r="AJ533" s="200" t="s">
        <v>656</v>
      </c>
      <c r="AK533" s="200"/>
      <c r="AL533" s="204"/>
      <c r="AM533" s="204"/>
    </row>
    <row r="534">
      <c r="A534" s="199" t="s">
        <v>161</v>
      </c>
      <c r="B534" s="200" t="s">
        <v>404</v>
      </c>
      <c r="C534" s="199">
        <v>2.5294210201E10</v>
      </c>
      <c r="D534" s="201">
        <v>45946.0</v>
      </c>
      <c r="E534" s="202" t="s">
        <v>101</v>
      </c>
      <c r="F534" s="202" t="s">
        <v>100</v>
      </c>
      <c r="G534" s="203" t="s">
        <v>100</v>
      </c>
      <c r="H534" s="203" t="s">
        <v>101</v>
      </c>
      <c r="I534" s="199">
        <v>4312.0</v>
      </c>
      <c r="J534" s="199">
        <v>1007.0</v>
      </c>
      <c r="K534" s="199">
        <v>470.0</v>
      </c>
      <c r="L534" s="199">
        <v>5.0</v>
      </c>
      <c r="M534" s="199">
        <v>46.8</v>
      </c>
      <c r="N534" s="199"/>
      <c r="O534" s="199">
        <v>1.0</v>
      </c>
      <c r="P534" s="199">
        <v>0.01</v>
      </c>
      <c r="Q534" s="199">
        <v>0.0</v>
      </c>
      <c r="R534" s="199">
        <v>3.0</v>
      </c>
      <c r="S534" s="199">
        <v>0.0</v>
      </c>
      <c r="T534" s="199">
        <v>5.0</v>
      </c>
      <c r="U534" s="199">
        <v>2.0</v>
      </c>
      <c r="V534" s="199">
        <v>0.0</v>
      </c>
      <c r="W534" s="199">
        <v>0.0</v>
      </c>
      <c r="X534" s="199">
        <v>0.0</v>
      </c>
      <c r="Y534" s="199">
        <v>0.0</v>
      </c>
      <c r="Z534" s="199">
        <v>2.0</v>
      </c>
      <c r="AA534" s="199">
        <v>0.0</v>
      </c>
      <c r="AB534" s="199">
        <v>2.0</v>
      </c>
      <c r="AC534" s="199">
        <v>0.0</v>
      </c>
      <c r="AD534" s="199">
        <v>0.0</v>
      </c>
      <c r="AE534" s="199">
        <v>50.0</v>
      </c>
      <c r="AF534" s="199">
        <v>0.0</v>
      </c>
      <c r="AG534" s="199">
        <v>354.0</v>
      </c>
      <c r="AH534" s="199">
        <v>352.0</v>
      </c>
      <c r="AI534" s="200" t="s">
        <v>661</v>
      </c>
      <c r="AJ534" s="200" t="s">
        <v>662</v>
      </c>
      <c r="AK534" s="200"/>
      <c r="AL534" s="204"/>
      <c r="AM534" s="204"/>
    </row>
    <row r="535">
      <c r="A535" s="199" t="s">
        <v>161</v>
      </c>
      <c r="B535" s="200" t="s">
        <v>404</v>
      </c>
      <c r="C535" s="199">
        <v>2.5330261207E10</v>
      </c>
      <c r="D535" s="201">
        <v>45977.0</v>
      </c>
      <c r="E535" s="202" t="s">
        <v>101</v>
      </c>
      <c r="F535" s="202" t="s">
        <v>100</v>
      </c>
      <c r="G535" s="203" t="s">
        <v>100</v>
      </c>
      <c r="H535" s="203" t="s">
        <v>101</v>
      </c>
      <c r="I535" s="199">
        <v>9179.0</v>
      </c>
      <c r="J535" s="199">
        <v>4310.0</v>
      </c>
      <c r="K535" s="199">
        <v>2188.0</v>
      </c>
      <c r="L535" s="199">
        <v>4.0</v>
      </c>
      <c r="M535" s="199">
        <v>46.0</v>
      </c>
      <c r="N535" s="199"/>
      <c r="O535" s="199">
        <v>1.0</v>
      </c>
      <c r="P535" s="199">
        <v>0.003</v>
      </c>
      <c r="Q535" s="199">
        <v>0.0</v>
      </c>
      <c r="R535" s="199">
        <v>0.0</v>
      </c>
      <c r="S535" s="199">
        <v>0.0</v>
      </c>
      <c r="T535" s="199">
        <v>0.0</v>
      </c>
      <c r="U535" s="199">
        <v>0.0</v>
      </c>
      <c r="V535" s="199">
        <v>0.0</v>
      </c>
      <c r="W535" s="199">
        <v>0.0</v>
      </c>
      <c r="X535" s="199">
        <v>0.0</v>
      </c>
      <c r="Y535" s="199">
        <v>0.0</v>
      </c>
      <c r="Z535" s="199">
        <v>0.0</v>
      </c>
      <c r="AA535" s="199">
        <v>0.0</v>
      </c>
      <c r="AB535" s="199">
        <v>2.0</v>
      </c>
      <c r="AC535" s="199">
        <v>0.0</v>
      </c>
      <c r="AD535" s="199">
        <v>0.0</v>
      </c>
      <c r="AE535" s="199">
        <v>71.0</v>
      </c>
      <c r="AF535" s="199">
        <v>2.0</v>
      </c>
      <c r="AG535" s="199">
        <v>420.0</v>
      </c>
      <c r="AH535" s="199">
        <v>478.0</v>
      </c>
      <c r="AI535" s="200" t="s">
        <v>661</v>
      </c>
      <c r="AJ535" s="200" t="s">
        <v>662</v>
      </c>
      <c r="AK535" s="200"/>
      <c r="AL535" s="204"/>
      <c r="AM535" s="204"/>
    </row>
    <row r="536">
      <c r="A536" s="199" t="s">
        <v>108</v>
      </c>
      <c r="B536" s="200" t="s">
        <v>338</v>
      </c>
      <c r="C536" s="199">
        <v>2.4211297229E10</v>
      </c>
      <c r="D536" s="201">
        <v>45497.0</v>
      </c>
      <c r="E536" s="202" t="s">
        <v>102</v>
      </c>
      <c r="F536" s="202" t="s">
        <v>102</v>
      </c>
      <c r="G536" s="203" t="s">
        <v>100</v>
      </c>
      <c r="H536" s="203" t="s">
        <v>100</v>
      </c>
      <c r="I536" s="37"/>
      <c r="J536" s="37"/>
      <c r="K536" s="37"/>
      <c r="L536" s="199">
        <v>7.0</v>
      </c>
      <c r="M536" s="199">
        <v>230.3</v>
      </c>
      <c r="N536" s="37"/>
      <c r="O536" s="37"/>
      <c r="P536" s="199">
        <v>0.05</v>
      </c>
      <c r="Q536" s="199">
        <v>0.0</v>
      </c>
      <c r="R536" s="199">
        <v>5.0</v>
      </c>
      <c r="S536" s="199">
        <v>4.0</v>
      </c>
      <c r="T536" s="199">
        <v>3.0</v>
      </c>
      <c r="U536" s="199">
        <v>13.0</v>
      </c>
      <c r="V536" s="199">
        <v>0.0</v>
      </c>
      <c r="W536" s="199">
        <v>0.0</v>
      </c>
      <c r="X536" s="199">
        <v>3.0</v>
      </c>
      <c r="Y536" s="199">
        <v>0.0</v>
      </c>
      <c r="Z536" s="199">
        <v>0.0</v>
      </c>
      <c r="AA536" s="199">
        <v>0.0</v>
      </c>
      <c r="AB536" s="199">
        <v>42.0</v>
      </c>
      <c r="AC536" s="199">
        <v>2.0</v>
      </c>
      <c r="AD536" s="199">
        <v>0.0</v>
      </c>
      <c r="AE536" s="199">
        <v>12.0</v>
      </c>
      <c r="AF536" s="199">
        <v>2.0</v>
      </c>
      <c r="AG536" s="199">
        <v>550.0</v>
      </c>
      <c r="AH536" s="199">
        <v>5.0</v>
      </c>
      <c r="AI536" s="200" t="s">
        <v>741</v>
      </c>
      <c r="AJ536" s="200" t="s">
        <v>780</v>
      </c>
      <c r="AK536" s="200"/>
      <c r="AL536" s="204"/>
      <c r="AM536" s="204"/>
    </row>
    <row r="537">
      <c r="A537" s="199" t="s">
        <v>112</v>
      </c>
      <c r="B537" s="200" t="s">
        <v>341</v>
      </c>
      <c r="C537" s="199">
        <v>2.4211297244E10</v>
      </c>
      <c r="D537" s="201">
        <v>45497.0</v>
      </c>
      <c r="E537" s="202" t="s">
        <v>102</v>
      </c>
      <c r="F537" s="202" t="s">
        <v>102</v>
      </c>
      <c r="G537" s="203" t="s">
        <v>100</v>
      </c>
      <c r="H537" s="203" t="s">
        <v>100</v>
      </c>
      <c r="I537" s="37"/>
      <c r="J537" s="37"/>
      <c r="K537" s="37"/>
      <c r="L537" s="199">
        <v>18.0</v>
      </c>
      <c r="M537" s="199">
        <v>224.9</v>
      </c>
      <c r="N537" s="37"/>
      <c r="O537" s="37"/>
      <c r="P537" s="199">
        <v>0.05</v>
      </c>
      <c r="Q537" s="199">
        <v>0.0</v>
      </c>
      <c r="R537" s="199">
        <v>4.0</v>
      </c>
      <c r="S537" s="199">
        <v>4.0</v>
      </c>
      <c r="T537" s="199">
        <v>3.0</v>
      </c>
      <c r="U537" s="199">
        <v>5.0</v>
      </c>
      <c r="V537" s="199">
        <v>0.0</v>
      </c>
      <c r="W537" s="199">
        <v>0.0</v>
      </c>
      <c r="X537" s="199">
        <v>3.0</v>
      </c>
      <c r="Y537" s="199">
        <v>0.0</v>
      </c>
      <c r="Z537" s="199">
        <v>0.0</v>
      </c>
      <c r="AA537" s="199">
        <v>0.0</v>
      </c>
      <c r="AB537" s="199">
        <v>23.0</v>
      </c>
      <c r="AC537" s="199">
        <v>5.0</v>
      </c>
      <c r="AD537" s="199">
        <v>0.0</v>
      </c>
      <c r="AE537" s="199">
        <v>9.0</v>
      </c>
      <c r="AF537" s="199">
        <v>5.0</v>
      </c>
      <c r="AG537" s="199">
        <v>510.0</v>
      </c>
      <c r="AH537" s="199">
        <v>6.0</v>
      </c>
      <c r="AI537" s="200" t="s">
        <v>741</v>
      </c>
      <c r="AJ537" s="200" t="s">
        <v>780</v>
      </c>
      <c r="AK537" s="200"/>
      <c r="AL537" s="204"/>
      <c r="AM537" s="204"/>
    </row>
    <row r="538">
      <c r="A538" s="199" t="s">
        <v>131</v>
      </c>
      <c r="B538" s="200" t="s">
        <v>895</v>
      </c>
      <c r="C538" s="199">
        <v>2.3276310211E10</v>
      </c>
      <c r="D538" s="201">
        <v>45196.0</v>
      </c>
      <c r="E538" s="202" t="s">
        <v>100</v>
      </c>
      <c r="F538" s="202" t="s">
        <v>100</v>
      </c>
      <c r="G538" s="203" t="s">
        <v>100</v>
      </c>
      <c r="H538" s="203" t="s">
        <v>100</v>
      </c>
      <c r="I538" s="199">
        <v>6450.0</v>
      </c>
      <c r="J538" s="199">
        <v>3585.0</v>
      </c>
      <c r="K538" s="199">
        <v>721.0</v>
      </c>
      <c r="L538" s="199">
        <v>6.0</v>
      </c>
      <c r="M538" s="199">
        <v>281.9</v>
      </c>
      <c r="N538" s="199"/>
      <c r="O538" s="199">
        <v>0.0</v>
      </c>
      <c r="P538" s="199">
        <v>0.003</v>
      </c>
      <c r="Q538" s="199">
        <v>0.0</v>
      </c>
      <c r="R538" s="199">
        <v>2.0</v>
      </c>
      <c r="S538" s="199">
        <v>0.0</v>
      </c>
      <c r="T538" s="199">
        <v>0.0</v>
      </c>
      <c r="U538" s="199">
        <v>30.0</v>
      </c>
      <c r="V538" s="199">
        <v>0.0</v>
      </c>
      <c r="W538" s="199">
        <v>0.0</v>
      </c>
      <c r="X538" s="199">
        <v>0.0</v>
      </c>
      <c r="Y538" s="199">
        <v>0.0</v>
      </c>
      <c r="Z538" s="199">
        <v>2.0</v>
      </c>
      <c r="AA538" s="199">
        <v>4.0</v>
      </c>
      <c r="AB538" s="199">
        <v>2.0</v>
      </c>
      <c r="AC538" s="199">
        <v>8.0</v>
      </c>
      <c r="AD538" s="199">
        <v>0.0</v>
      </c>
      <c r="AE538" s="199">
        <v>44.0</v>
      </c>
      <c r="AF538" s="199">
        <v>1.0</v>
      </c>
      <c r="AG538" s="199">
        <v>367.0</v>
      </c>
      <c r="AH538" s="199">
        <v>30.0</v>
      </c>
      <c r="AI538" s="200" t="s">
        <v>655</v>
      </c>
      <c r="AJ538" s="200" t="s">
        <v>656</v>
      </c>
      <c r="AK538" s="200"/>
      <c r="AL538" s="204"/>
      <c r="AM538" s="204"/>
    </row>
    <row r="539">
      <c r="A539" s="199" t="s">
        <v>131</v>
      </c>
      <c r="B539" s="200" t="s">
        <v>895</v>
      </c>
      <c r="C539" s="199">
        <v>2.4307211222E10</v>
      </c>
      <c r="D539" s="201">
        <v>45589.0</v>
      </c>
      <c r="E539" s="202" t="s">
        <v>101</v>
      </c>
      <c r="F539" s="202" t="s">
        <v>101</v>
      </c>
      <c r="G539" s="203" t="s">
        <v>100</v>
      </c>
      <c r="H539" s="203" t="s">
        <v>101</v>
      </c>
      <c r="I539" s="37"/>
      <c r="J539" s="37"/>
      <c r="K539" s="37"/>
      <c r="L539" s="199">
        <v>37.0</v>
      </c>
      <c r="M539" s="199">
        <v>431.2</v>
      </c>
      <c r="N539" s="199"/>
      <c r="O539" s="199">
        <v>1.0</v>
      </c>
      <c r="P539" s="199">
        <v>0.2</v>
      </c>
      <c r="Q539" s="199">
        <v>0.0</v>
      </c>
      <c r="R539" s="199">
        <v>17.0</v>
      </c>
      <c r="S539" s="199">
        <v>2.0</v>
      </c>
      <c r="T539" s="199">
        <v>1.0</v>
      </c>
      <c r="U539" s="199">
        <v>76.0</v>
      </c>
      <c r="V539" s="199">
        <v>2.0</v>
      </c>
      <c r="W539" s="199">
        <v>0.0</v>
      </c>
      <c r="X539" s="199">
        <v>1.0</v>
      </c>
      <c r="Y539" s="199">
        <v>0.0</v>
      </c>
      <c r="Z539" s="199">
        <v>0.0</v>
      </c>
      <c r="AA539" s="199">
        <v>0.0</v>
      </c>
      <c r="AB539" s="199">
        <v>85.0</v>
      </c>
      <c r="AC539" s="199">
        <v>15.0</v>
      </c>
      <c r="AD539" s="199">
        <v>0.0</v>
      </c>
      <c r="AE539" s="199">
        <v>12.0</v>
      </c>
      <c r="AF539" s="199">
        <v>7.0</v>
      </c>
      <c r="AG539" s="199">
        <v>485.0</v>
      </c>
      <c r="AH539" s="199">
        <v>3.0</v>
      </c>
      <c r="AI539" s="200" t="s">
        <v>896</v>
      </c>
      <c r="AJ539" s="200" t="s">
        <v>897</v>
      </c>
      <c r="AK539" s="200"/>
      <c r="AL539" s="204"/>
      <c r="AM539" s="204"/>
    </row>
    <row r="540">
      <c r="A540" s="199" t="s">
        <v>131</v>
      </c>
      <c r="B540" s="200" t="s">
        <v>895</v>
      </c>
      <c r="C540" s="199">
        <v>2.5112224233E10</v>
      </c>
      <c r="D540" s="201">
        <v>45756.0</v>
      </c>
      <c r="E540" s="202" t="s">
        <v>102</v>
      </c>
      <c r="F540" s="202" t="s">
        <v>102</v>
      </c>
      <c r="G540" s="203" t="s">
        <v>100</v>
      </c>
      <c r="H540" s="203" t="s">
        <v>100</v>
      </c>
      <c r="I540" s="37"/>
      <c r="J540" s="37"/>
      <c r="K540" s="37"/>
      <c r="L540" s="199">
        <v>19.0</v>
      </c>
      <c r="M540" s="199">
        <v>306.6</v>
      </c>
      <c r="N540" s="199"/>
      <c r="O540" s="199">
        <v>3.0</v>
      </c>
      <c r="P540" s="199">
        <v>0.03</v>
      </c>
      <c r="Q540" s="199">
        <v>0.0</v>
      </c>
      <c r="R540" s="199">
        <v>7.0</v>
      </c>
      <c r="S540" s="199">
        <v>0.0</v>
      </c>
      <c r="T540" s="199">
        <v>3.0</v>
      </c>
      <c r="U540" s="199">
        <v>97.0</v>
      </c>
      <c r="V540" s="199">
        <v>0.0</v>
      </c>
      <c r="W540" s="199">
        <v>0.0</v>
      </c>
      <c r="X540" s="199">
        <v>1.0</v>
      </c>
      <c r="Y540" s="199">
        <v>0.0</v>
      </c>
      <c r="Z540" s="199">
        <v>0.0</v>
      </c>
      <c r="AA540" s="199">
        <v>6.0</v>
      </c>
      <c r="AB540" s="199">
        <v>2.0</v>
      </c>
      <c r="AC540" s="199">
        <v>21.0</v>
      </c>
      <c r="AD540" s="199">
        <v>0.0</v>
      </c>
      <c r="AE540" s="199">
        <v>28.0</v>
      </c>
      <c r="AF540" s="199">
        <v>1.0</v>
      </c>
      <c r="AG540" s="199">
        <v>452.0</v>
      </c>
      <c r="AH540" s="199">
        <v>32.0</v>
      </c>
      <c r="AI540" s="200" t="s">
        <v>774</v>
      </c>
      <c r="AJ540" s="200" t="s">
        <v>831</v>
      </c>
      <c r="AK540" s="200"/>
      <c r="AL540" s="204"/>
      <c r="AM540" s="204"/>
    </row>
    <row r="541">
      <c r="A541" s="199" t="s">
        <v>131</v>
      </c>
      <c r="B541" s="200" t="s">
        <v>895</v>
      </c>
      <c r="C541" s="199">
        <v>2.5294210229E10</v>
      </c>
      <c r="D541" s="201">
        <v>45946.0</v>
      </c>
      <c r="E541" s="202" t="s">
        <v>102</v>
      </c>
      <c r="F541" s="202" t="s">
        <v>102</v>
      </c>
      <c r="G541" s="203" t="s">
        <v>100</v>
      </c>
      <c r="H541" s="203" t="s">
        <v>100</v>
      </c>
      <c r="I541" s="37"/>
      <c r="J541" s="37"/>
      <c r="K541" s="37"/>
      <c r="L541" s="199">
        <v>18.0</v>
      </c>
      <c r="M541" s="199">
        <v>301.2</v>
      </c>
      <c r="N541" s="199"/>
      <c r="O541" s="199">
        <v>2.0</v>
      </c>
      <c r="P541" s="199">
        <v>0.04</v>
      </c>
      <c r="Q541" s="199">
        <v>0.0</v>
      </c>
      <c r="R541" s="199">
        <v>6.0</v>
      </c>
      <c r="S541" s="199">
        <v>2.0</v>
      </c>
      <c r="T541" s="199">
        <v>2.0</v>
      </c>
      <c r="U541" s="199">
        <v>31.0</v>
      </c>
      <c r="V541" s="199">
        <v>0.0</v>
      </c>
      <c r="W541" s="199">
        <v>0.0</v>
      </c>
      <c r="X541" s="199">
        <v>0.0</v>
      </c>
      <c r="Y541" s="199">
        <v>0.0</v>
      </c>
      <c r="Z541" s="199">
        <v>0.0</v>
      </c>
      <c r="AA541" s="199">
        <v>0.0</v>
      </c>
      <c r="AB541" s="199">
        <v>29.0</v>
      </c>
      <c r="AC541" s="199">
        <v>0.0</v>
      </c>
      <c r="AD541" s="199">
        <v>0.0</v>
      </c>
      <c r="AE541" s="199">
        <v>0.0</v>
      </c>
      <c r="AF541" s="199">
        <v>2.0</v>
      </c>
      <c r="AG541" s="199">
        <v>373.0</v>
      </c>
      <c r="AH541" s="199">
        <v>24.0</v>
      </c>
      <c r="AI541" s="200" t="s">
        <v>741</v>
      </c>
      <c r="AJ541" s="200" t="s">
        <v>893</v>
      </c>
      <c r="AK541" s="200"/>
      <c r="AL541" s="204"/>
      <c r="AM541" s="204"/>
    </row>
    <row r="542">
      <c r="A542" s="199" t="s">
        <v>131</v>
      </c>
      <c r="B542" s="200" t="s">
        <v>895</v>
      </c>
      <c r="C542" s="199">
        <v>2.5330281211E10</v>
      </c>
      <c r="D542" s="201">
        <v>45977.0</v>
      </c>
      <c r="E542" s="202" t="s">
        <v>102</v>
      </c>
      <c r="F542" s="202" t="s">
        <v>102</v>
      </c>
      <c r="G542" s="203" t="s">
        <v>100</v>
      </c>
      <c r="H542" s="203" t="s">
        <v>100</v>
      </c>
      <c r="I542" s="37"/>
      <c r="J542" s="37"/>
      <c r="K542" s="37"/>
      <c r="L542" s="199">
        <v>16.0</v>
      </c>
      <c r="M542" s="199">
        <v>290.7</v>
      </c>
      <c r="N542" s="199"/>
      <c r="O542" s="199">
        <v>2.0</v>
      </c>
      <c r="P542" s="199">
        <v>0.04</v>
      </c>
      <c r="Q542" s="199">
        <v>0.0</v>
      </c>
      <c r="R542" s="199">
        <v>0.0</v>
      </c>
      <c r="S542" s="199">
        <v>0.0</v>
      </c>
      <c r="T542" s="199">
        <v>0.0</v>
      </c>
      <c r="U542" s="199">
        <v>32.0</v>
      </c>
      <c r="V542" s="199">
        <v>6.0</v>
      </c>
      <c r="W542" s="199">
        <v>0.0</v>
      </c>
      <c r="X542" s="199">
        <v>0.0</v>
      </c>
      <c r="Y542" s="199">
        <v>0.0</v>
      </c>
      <c r="Z542" s="199">
        <v>0.0</v>
      </c>
      <c r="AA542" s="199">
        <v>0.0</v>
      </c>
      <c r="AB542" s="199">
        <v>47.0</v>
      </c>
      <c r="AC542" s="199">
        <v>67.0</v>
      </c>
      <c r="AD542" s="199">
        <v>0.0</v>
      </c>
      <c r="AE542" s="199">
        <v>56.0</v>
      </c>
      <c r="AF542" s="199">
        <v>5.0</v>
      </c>
      <c r="AG542" s="199">
        <v>421.0</v>
      </c>
      <c r="AH542" s="199">
        <v>15.0</v>
      </c>
      <c r="AI542" s="200" t="s">
        <v>741</v>
      </c>
      <c r="AJ542" s="200" t="s">
        <v>893</v>
      </c>
      <c r="AK542" s="200"/>
      <c r="AL542" s="204"/>
      <c r="AM542" s="204"/>
    </row>
    <row r="543">
      <c r="A543" s="199" t="s">
        <v>135</v>
      </c>
      <c r="B543" s="200" t="s">
        <v>373</v>
      </c>
      <c r="C543" s="199">
        <v>2.5112224239E10</v>
      </c>
      <c r="D543" s="201">
        <v>45756.0</v>
      </c>
      <c r="E543" s="202" t="s">
        <v>100</v>
      </c>
      <c r="F543" s="202" t="s">
        <v>100</v>
      </c>
      <c r="G543" s="203" t="s">
        <v>100</v>
      </c>
      <c r="H543" s="203" t="s">
        <v>100</v>
      </c>
      <c r="I543" s="199">
        <v>2985.0</v>
      </c>
      <c r="J543" s="199">
        <v>1685.0</v>
      </c>
      <c r="K543" s="199">
        <v>1024.0</v>
      </c>
      <c r="L543" s="199">
        <v>14.0</v>
      </c>
      <c r="M543" s="199">
        <v>44.8</v>
      </c>
      <c r="N543" s="199"/>
      <c r="O543" s="199">
        <v>0.0</v>
      </c>
      <c r="P543" s="199">
        <v>0.01</v>
      </c>
      <c r="Q543" s="199">
        <v>0.0</v>
      </c>
      <c r="R543" s="199">
        <v>0.0</v>
      </c>
      <c r="S543" s="199">
        <v>0.0</v>
      </c>
      <c r="T543" s="199">
        <v>4.0</v>
      </c>
      <c r="U543" s="199">
        <v>10.0</v>
      </c>
      <c r="V543" s="199">
        <v>0.0</v>
      </c>
      <c r="W543" s="199">
        <v>0.0</v>
      </c>
      <c r="X543" s="199">
        <v>0.0</v>
      </c>
      <c r="Y543" s="199">
        <v>0.0</v>
      </c>
      <c r="Z543" s="199">
        <v>0.0</v>
      </c>
      <c r="AA543" s="199">
        <v>0.0</v>
      </c>
      <c r="AB543" s="199">
        <v>0.0</v>
      </c>
      <c r="AC543" s="199">
        <v>17.0</v>
      </c>
      <c r="AD543" s="199">
        <v>0.0</v>
      </c>
      <c r="AE543" s="199">
        <v>88.0</v>
      </c>
      <c r="AF543" s="199">
        <v>0.0</v>
      </c>
      <c r="AG543" s="199">
        <v>470.0</v>
      </c>
      <c r="AH543" s="199">
        <v>750.0</v>
      </c>
      <c r="AI543" s="200" t="s">
        <v>655</v>
      </c>
      <c r="AJ543" s="200" t="s">
        <v>656</v>
      </c>
      <c r="AK543" s="200"/>
      <c r="AL543" s="204"/>
      <c r="AM543" s="204"/>
    </row>
    <row r="544">
      <c r="A544" s="199" t="s">
        <v>135</v>
      </c>
      <c r="B544" s="200" t="s">
        <v>373</v>
      </c>
      <c r="C544" s="199">
        <v>2.5258159224E10</v>
      </c>
      <c r="D544" s="201">
        <v>45909.0</v>
      </c>
      <c r="E544" s="202" t="s">
        <v>102</v>
      </c>
      <c r="F544" s="202" t="s">
        <v>102</v>
      </c>
      <c r="G544" s="203" t="s">
        <v>102</v>
      </c>
      <c r="H544" s="203" t="s">
        <v>100</v>
      </c>
      <c r="I544" s="37"/>
      <c r="J544" s="37"/>
      <c r="K544" s="37"/>
      <c r="L544" s="199">
        <v>22.0</v>
      </c>
      <c r="M544" s="199">
        <v>45.5</v>
      </c>
      <c r="N544" s="199"/>
      <c r="O544" s="199">
        <v>0.0</v>
      </c>
      <c r="P544" s="199">
        <v>0.08</v>
      </c>
      <c r="Q544" s="199">
        <v>0.0</v>
      </c>
      <c r="R544" s="199">
        <v>11.0</v>
      </c>
      <c r="S544" s="199">
        <v>4.0</v>
      </c>
      <c r="T544" s="199">
        <v>15.0</v>
      </c>
      <c r="U544" s="199">
        <v>50.0</v>
      </c>
      <c r="V544" s="199">
        <v>0.0</v>
      </c>
      <c r="W544" s="199">
        <v>0.0</v>
      </c>
      <c r="X544" s="199">
        <v>1.0</v>
      </c>
      <c r="Y544" s="199">
        <v>0.0</v>
      </c>
      <c r="Z544" s="199">
        <v>2.0</v>
      </c>
      <c r="AA544" s="199">
        <v>0.0</v>
      </c>
      <c r="AB544" s="199">
        <v>2.0</v>
      </c>
      <c r="AC544" s="199">
        <v>0.0</v>
      </c>
      <c r="AD544" s="199">
        <v>1.0</v>
      </c>
      <c r="AE544" s="199">
        <v>102.0</v>
      </c>
      <c r="AF544" s="199">
        <v>3.0</v>
      </c>
      <c r="AG544" s="199">
        <v>238.0</v>
      </c>
      <c r="AH544" s="199">
        <v>488.0</v>
      </c>
      <c r="AI544" s="200" t="s">
        <v>686</v>
      </c>
      <c r="AJ544" s="200" t="s">
        <v>898</v>
      </c>
      <c r="AK544" s="200"/>
      <c r="AL544" s="204"/>
      <c r="AM544" s="204"/>
    </row>
    <row r="545">
      <c r="A545" s="199" t="s">
        <v>140</v>
      </c>
      <c r="B545" s="200" t="s">
        <v>381</v>
      </c>
      <c r="C545" s="199">
        <v>2.5049182232E10</v>
      </c>
      <c r="D545" s="201">
        <v>45701.0</v>
      </c>
      <c r="E545" s="202" t="s">
        <v>100</v>
      </c>
      <c r="F545" s="202" t="s">
        <v>100</v>
      </c>
      <c r="G545" s="203" t="s">
        <v>100</v>
      </c>
      <c r="H545" s="203" t="s">
        <v>100</v>
      </c>
      <c r="I545" s="37"/>
      <c r="J545" s="37"/>
      <c r="K545" s="37"/>
      <c r="L545" s="199">
        <v>7.0</v>
      </c>
      <c r="M545" s="199">
        <v>97.2</v>
      </c>
      <c r="N545" s="37"/>
      <c r="O545" s="37"/>
      <c r="P545" s="199">
        <v>0.01</v>
      </c>
      <c r="Q545" s="199">
        <v>0.0</v>
      </c>
      <c r="R545" s="199">
        <v>5.0</v>
      </c>
      <c r="S545" s="199">
        <v>1.0</v>
      </c>
      <c r="T545" s="199">
        <v>3.0</v>
      </c>
      <c r="U545" s="199">
        <v>24.0</v>
      </c>
      <c r="V545" s="199">
        <v>0.0</v>
      </c>
      <c r="W545" s="199">
        <v>0.0</v>
      </c>
      <c r="X545" s="199">
        <v>2.0</v>
      </c>
      <c r="Y545" s="199">
        <v>0.0</v>
      </c>
      <c r="Z545" s="199">
        <v>0.0</v>
      </c>
      <c r="AA545" s="199">
        <v>0.0</v>
      </c>
      <c r="AB545" s="199">
        <v>13.0</v>
      </c>
      <c r="AC545" s="199">
        <v>15.0</v>
      </c>
      <c r="AD545" s="199">
        <v>0.0</v>
      </c>
      <c r="AE545" s="199">
        <v>31.0</v>
      </c>
      <c r="AF545" s="199">
        <v>2.0</v>
      </c>
      <c r="AG545" s="199">
        <v>793.0</v>
      </c>
      <c r="AH545" s="199">
        <v>30.0</v>
      </c>
      <c r="AI545" s="200" t="s">
        <v>655</v>
      </c>
      <c r="AJ545" s="200" t="s">
        <v>656</v>
      </c>
      <c r="AK545" s="200"/>
      <c r="AL545" s="204"/>
      <c r="AM545" s="204"/>
    </row>
    <row r="546">
      <c r="A546" s="199" t="s">
        <v>143</v>
      </c>
      <c r="B546" s="200" t="s">
        <v>899</v>
      </c>
      <c r="C546" s="199">
        <v>2.4269259219E10</v>
      </c>
      <c r="D546" s="201">
        <v>45545.0</v>
      </c>
      <c r="E546" s="202" t="s">
        <v>102</v>
      </c>
      <c r="F546" s="202" t="s">
        <v>102</v>
      </c>
      <c r="G546" s="203" t="s">
        <v>100</v>
      </c>
      <c r="H546" s="203" t="s">
        <v>100</v>
      </c>
      <c r="I546" s="37"/>
      <c r="J546" s="37"/>
      <c r="K546" s="37"/>
      <c r="L546" s="199">
        <v>9.0</v>
      </c>
      <c r="M546" s="199">
        <v>329.7</v>
      </c>
      <c r="N546" s="37"/>
      <c r="O546" s="37"/>
      <c r="P546" s="199">
        <v>0.05</v>
      </c>
      <c r="Q546" s="199">
        <v>0.0</v>
      </c>
      <c r="R546" s="199">
        <v>5.0</v>
      </c>
      <c r="S546" s="199">
        <v>1.0</v>
      </c>
      <c r="T546" s="199">
        <v>0.0</v>
      </c>
      <c r="U546" s="199">
        <v>10.0</v>
      </c>
      <c r="V546" s="199">
        <v>0.0</v>
      </c>
      <c r="W546" s="199">
        <v>0.0</v>
      </c>
      <c r="X546" s="199">
        <v>0.0</v>
      </c>
      <c r="Y546" s="199">
        <v>0.0</v>
      </c>
      <c r="Z546" s="199">
        <v>2.0</v>
      </c>
      <c r="AA546" s="199">
        <v>0.0</v>
      </c>
      <c r="AB546" s="199">
        <v>23.0</v>
      </c>
      <c r="AC546" s="199">
        <v>16.0</v>
      </c>
      <c r="AD546" s="199">
        <v>0.0</v>
      </c>
      <c r="AE546" s="199">
        <v>17.0</v>
      </c>
      <c r="AF546" s="199">
        <v>0.0</v>
      </c>
      <c r="AG546" s="199">
        <v>505.0</v>
      </c>
      <c r="AH546" s="199">
        <v>54.0</v>
      </c>
      <c r="AI546" s="200" t="s">
        <v>741</v>
      </c>
      <c r="AJ546" s="200" t="s">
        <v>780</v>
      </c>
      <c r="AK546" s="200"/>
      <c r="AL546" s="204"/>
      <c r="AM546" s="204"/>
    </row>
    <row r="547">
      <c r="A547" s="199" t="s">
        <v>143</v>
      </c>
      <c r="B547" s="200" t="s">
        <v>899</v>
      </c>
      <c r="C547" s="199">
        <v>2.4303290246E10</v>
      </c>
      <c r="D547" s="201">
        <v>45589.0</v>
      </c>
      <c r="E547" s="202" t="s">
        <v>102</v>
      </c>
      <c r="F547" s="202" t="s">
        <v>102</v>
      </c>
      <c r="G547" s="203" t="s">
        <v>100</v>
      </c>
      <c r="H547" s="203" t="s">
        <v>100</v>
      </c>
      <c r="I547" s="37"/>
      <c r="J547" s="37"/>
      <c r="K547" s="37"/>
      <c r="L547" s="199">
        <v>17.0</v>
      </c>
      <c r="M547" s="199">
        <v>315.3</v>
      </c>
      <c r="N547" s="37"/>
      <c r="O547" s="37"/>
      <c r="P547" s="199">
        <v>0.02</v>
      </c>
      <c r="Q547" s="199">
        <v>0.0</v>
      </c>
      <c r="R547" s="199">
        <v>0.0</v>
      </c>
      <c r="S547" s="199">
        <v>0.0</v>
      </c>
      <c r="T547" s="199">
        <v>0.0</v>
      </c>
      <c r="U547" s="199">
        <v>4.0</v>
      </c>
      <c r="V547" s="199">
        <v>0.0</v>
      </c>
      <c r="W547" s="199">
        <v>0.0</v>
      </c>
      <c r="X547" s="199">
        <v>1.0</v>
      </c>
      <c r="Y547" s="199">
        <v>0.0</v>
      </c>
      <c r="Z547" s="199">
        <v>0.0</v>
      </c>
      <c r="AA547" s="199">
        <v>0.0</v>
      </c>
      <c r="AB547" s="199">
        <v>6.0</v>
      </c>
      <c r="AC547" s="199">
        <v>2.0</v>
      </c>
      <c r="AD547" s="199">
        <v>0.0</v>
      </c>
      <c r="AE547" s="199">
        <v>17.0</v>
      </c>
      <c r="AF547" s="199">
        <v>2.0</v>
      </c>
      <c r="AG547" s="199">
        <v>413.0</v>
      </c>
      <c r="AH547" s="199">
        <v>8.0</v>
      </c>
      <c r="AI547" s="200" t="s">
        <v>653</v>
      </c>
      <c r="AJ547" s="200" t="s">
        <v>654</v>
      </c>
      <c r="AK547" s="200"/>
      <c r="AL547" s="204"/>
      <c r="AM547" s="204"/>
    </row>
    <row r="548">
      <c r="A548" s="199" t="s">
        <v>143</v>
      </c>
      <c r="B548" s="200" t="s">
        <v>899</v>
      </c>
      <c r="C548" s="199">
        <v>2.4343812241E10</v>
      </c>
      <c r="D548" s="201">
        <v>45623.0</v>
      </c>
      <c r="E548" s="202" t="s">
        <v>102</v>
      </c>
      <c r="F548" s="202" t="s">
        <v>102</v>
      </c>
      <c r="G548" s="203" t="s">
        <v>100</v>
      </c>
      <c r="H548" s="203" t="s">
        <v>100</v>
      </c>
      <c r="I548" s="37"/>
      <c r="J548" s="37"/>
      <c r="K548" s="37"/>
      <c r="L548" s="199">
        <v>13.0</v>
      </c>
      <c r="M548" s="199">
        <v>313.1</v>
      </c>
      <c r="N548" s="37"/>
      <c r="O548" s="37"/>
      <c r="P548" s="199">
        <v>0.03</v>
      </c>
      <c r="Q548" s="199">
        <v>0.0</v>
      </c>
      <c r="R548" s="199">
        <v>0.0</v>
      </c>
      <c r="S548" s="199">
        <v>0.0</v>
      </c>
      <c r="T548" s="199">
        <v>0.0</v>
      </c>
      <c r="U548" s="199">
        <v>10.0</v>
      </c>
      <c r="V548" s="199">
        <v>0.0</v>
      </c>
      <c r="W548" s="199">
        <v>0.0</v>
      </c>
      <c r="X548" s="199">
        <v>0.0</v>
      </c>
      <c r="Y548" s="199">
        <v>0.0</v>
      </c>
      <c r="Z548" s="199">
        <v>0.0</v>
      </c>
      <c r="AA548" s="199">
        <v>0.0</v>
      </c>
      <c r="AB548" s="199">
        <v>17.0</v>
      </c>
      <c r="AC548" s="199">
        <v>0.0</v>
      </c>
      <c r="AD548" s="199">
        <v>2.0</v>
      </c>
      <c r="AE548" s="199">
        <v>23.0</v>
      </c>
      <c r="AF548" s="199">
        <v>2.0</v>
      </c>
      <c r="AG548" s="199">
        <v>468.0</v>
      </c>
      <c r="AH548" s="199">
        <v>49.0</v>
      </c>
      <c r="AI548" s="200" t="s">
        <v>653</v>
      </c>
      <c r="AJ548" s="200" t="s">
        <v>654</v>
      </c>
      <c r="AK548" s="200"/>
      <c r="AL548" s="204"/>
      <c r="AM548" s="204"/>
    </row>
    <row r="549">
      <c r="A549" s="199" t="s">
        <v>143</v>
      </c>
      <c r="B549" s="200" t="s">
        <v>899</v>
      </c>
      <c r="C549" s="199">
        <v>2.5180296219E10</v>
      </c>
      <c r="D549" s="201">
        <v>45826.0</v>
      </c>
      <c r="E549" s="202" t="s">
        <v>102</v>
      </c>
      <c r="F549" s="202" t="s">
        <v>102</v>
      </c>
      <c r="G549" s="203" t="s">
        <v>100</v>
      </c>
      <c r="H549" s="203" t="s">
        <v>100</v>
      </c>
      <c r="I549" s="37"/>
      <c r="J549" s="37"/>
      <c r="K549" s="37"/>
      <c r="L549" s="199">
        <v>12.0</v>
      </c>
      <c r="M549" s="199">
        <v>307.9</v>
      </c>
      <c r="N549" s="37"/>
      <c r="O549" s="37"/>
      <c r="P549" s="199">
        <v>0.05</v>
      </c>
      <c r="Q549" s="199">
        <v>0.0</v>
      </c>
      <c r="R549" s="199">
        <v>0.0</v>
      </c>
      <c r="S549" s="199">
        <v>0.0</v>
      </c>
      <c r="T549" s="199">
        <v>0.0</v>
      </c>
      <c r="U549" s="199">
        <v>9.0</v>
      </c>
      <c r="V549" s="199">
        <v>0.0</v>
      </c>
      <c r="W549" s="199">
        <v>0.0</v>
      </c>
      <c r="X549" s="199">
        <v>2.0</v>
      </c>
      <c r="Y549" s="199">
        <v>0.0</v>
      </c>
      <c r="Z549" s="199">
        <v>0.0</v>
      </c>
      <c r="AA549" s="199">
        <v>0.0</v>
      </c>
      <c r="AB549" s="199">
        <v>13.0</v>
      </c>
      <c r="AC549" s="199">
        <v>10.0</v>
      </c>
      <c r="AD549" s="199">
        <v>0.0</v>
      </c>
      <c r="AE549" s="199">
        <v>86.0</v>
      </c>
      <c r="AF549" s="199">
        <v>2.0</v>
      </c>
      <c r="AG549" s="199">
        <v>440.0</v>
      </c>
      <c r="AH549" s="199">
        <v>29.0</v>
      </c>
      <c r="AI549" s="200" t="s">
        <v>653</v>
      </c>
      <c r="AJ549" s="200" t="s">
        <v>654</v>
      </c>
      <c r="AK549" s="200"/>
      <c r="AL549" s="204"/>
      <c r="AM549" s="204"/>
    </row>
    <row r="550">
      <c r="A550" s="199" t="s">
        <v>143</v>
      </c>
      <c r="B550" s="200" t="s">
        <v>899</v>
      </c>
      <c r="C550" s="199">
        <v>2.5330261223E10</v>
      </c>
      <c r="D550" s="201">
        <v>45977.0</v>
      </c>
      <c r="E550" s="202" t="s">
        <v>102</v>
      </c>
      <c r="F550" s="202" t="s">
        <v>102</v>
      </c>
      <c r="G550" s="203" t="s">
        <v>100</v>
      </c>
      <c r="H550" s="203" t="s">
        <v>100</v>
      </c>
      <c r="I550" s="37"/>
      <c r="J550" s="37"/>
      <c r="K550" s="37"/>
      <c r="L550" s="199">
        <v>6.0</v>
      </c>
      <c r="M550" s="199">
        <v>299.3</v>
      </c>
      <c r="N550" s="37"/>
      <c r="O550" s="37"/>
      <c r="P550" s="199">
        <v>0.05</v>
      </c>
      <c r="Q550" s="199">
        <v>0.0</v>
      </c>
      <c r="R550" s="199">
        <v>0.0</v>
      </c>
      <c r="S550" s="199">
        <v>0.0</v>
      </c>
      <c r="T550" s="199">
        <v>0.0</v>
      </c>
      <c r="U550" s="199">
        <v>10.0</v>
      </c>
      <c r="V550" s="199">
        <v>0.0</v>
      </c>
      <c r="W550" s="199">
        <v>0.0</v>
      </c>
      <c r="X550" s="199">
        <v>0.0</v>
      </c>
      <c r="Y550" s="199">
        <v>0.0</v>
      </c>
      <c r="Z550" s="199">
        <v>0.0</v>
      </c>
      <c r="AA550" s="199">
        <v>0.0</v>
      </c>
      <c r="AB550" s="199">
        <v>29.0</v>
      </c>
      <c r="AC550" s="199">
        <v>12.0</v>
      </c>
      <c r="AD550" s="199">
        <v>0.0</v>
      </c>
      <c r="AE550" s="199">
        <v>24.0</v>
      </c>
      <c r="AF550" s="199">
        <v>2.0</v>
      </c>
      <c r="AG550" s="199">
        <v>459.0</v>
      </c>
      <c r="AH550" s="199">
        <v>54.0</v>
      </c>
      <c r="AI550" s="200" t="s">
        <v>741</v>
      </c>
      <c r="AJ550" s="200" t="s">
        <v>780</v>
      </c>
      <c r="AK550" s="200"/>
      <c r="AL550" s="204"/>
      <c r="AM550" s="204"/>
    </row>
    <row r="551">
      <c r="A551" s="199" t="s">
        <v>169</v>
      </c>
      <c r="B551" s="200" t="s">
        <v>410</v>
      </c>
      <c r="C551" s="199">
        <v>2.5079203219E10</v>
      </c>
      <c r="D551" s="201">
        <v>45725.0</v>
      </c>
      <c r="E551" s="202" t="s">
        <v>101</v>
      </c>
      <c r="F551" s="202" t="s">
        <v>101</v>
      </c>
      <c r="G551" s="203" t="s">
        <v>100</v>
      </c>
      <c r="H551" s="203" t="s">
        <v>100</v>
      </c>
      <c r="I551" s="37"/>
      <c r="J551" s="37"/>
      <c r="K551" s="37"/>
      <c r="L551" s="199">
        <v>12.0</v>
      </c>
      <c r="M551" s="199">
        <v>326.4</v>
      </c>
      <c r="N551" s="37"/>
      <c r="O551" s="37"/>
      <c r="P551" s="199">
        <v>0.1</v>
      </c>
      <c r="Q551" s="199">
        <v>0.0</v>
      </c>
      <c r="R551" s="199">
        <v>10.0</v>
      </c>
      <c r="S551" s="199">
        <v>2.0</v>
      </c>
      <c r="T551" s="199">
        <v>3.0</v>
      </c>
      <c r="U551" s="199">
        <v>18.0</v>
      </c>
      <c r="V551" s="199">
        <v>0.0</v>
      </c>
      <c r="W551" s="199">
        <v>0.0</v>
      </c>
      <c r="X551" s="199">
        <v>0.0</v>
      </c>
      <c r="Y551" s="199">
        <v>0.0</v>
      </c>
      <c r="Z551" s="199">
        <v>2.0</v>
      </c>
      <c r="AA551" s="199">
        <v>0.0</v>
      </c>
      <c r="AB551" s="199">
        <v>24.0</v>
      </c>
      <c r="AC551" s="199">
        <v>20.0</v>
      </c>
      <c r="AD551" s="199">
        <v>0.0</v>
      </c>
      <c r="AE551" s="199">
        <v>33.0</v>
      </c>
      <c r="AF551" s="199">
        <v>0.0</v>
      </c>
      <c r="AG551" s="199">
        <v>483.0</v>
      </c>
      <c r="AH551" s="199">
        <v>51.0</v>
      </c>
      <c r="AI551" s="200" t="s">
        <v>776</v>
      </c>
      <c r="AJ551" s="200" t="s">
        <v>777</v>
      </c>
      <c r="AK551" s="200"/>
      <c r="AL551" s="204"/>
      <c r="AM551" s="204"/>
    </row>
    <row r="552">
      <c r="A552" s="199" t="s">
        <v>213</v>
      </c>
      <c r="B552" s="200" t="s">
        <v>443</v>
      </c>
      <c r="C552" s="199">
        <v>2.5112224238E10</v>
      </c>
      <c r="D552" s="201">
        <v>45756.0</v>
      </c>
      <c r="E552" s="202" t="s">
        <v>100</v>
      </c>
      <c r="F552" s="202" t="s">
        <v>100</v>
      </c>
      <c r="G552" s="203" t="s">
        <v>100</v>
      </c>
      <c r="H552" s="203" t="s">
        <v>100</v>
      </c>
      <c r="I552" s="199">
        <v>2985.0</v>
      </c>
      <c r="J552" s="199">
        <v>1625.0</v>
      </c>
      <c r="K552" s="199">
        <v>789.0</v>
      </c>
      <c r="L552" s="199">
        <v>17.0</v>
      </c>
      <c r="M552" s="199">
        <v>46.5</v>
      </c>
      <c r="N552" s="199"/>
      <c r="O552" s="199">
        <v>1.0</v>
      </c>
      <c r="P552" s="199">
        <v>0.01</v>
      </c>
      <c r="Q552" s="199">
        <v>0.0</v>
      </c>
      <c r="R552" s="199">
        <v>0.0</v>
      </c>
      <c r="S552" s="199">
        <v>0.0</v>
      </c>
      <c r="T552" s="199">
        <v>5.0</v>
      </c>
      <c r="U552" s="199">
        <v>16.0</v>
      </c>
      <c r="V552" s="199">
        <v>0.0</v>
      </c>
      <c r="W552" s="199">
        <v>0.0</v>
      </c>
      <c r="X552" s="199">
        <v>0.0</v>
      </c>
      <c r="Y552" s="199">
        <v>0.0</v>
      </c>
      <c r="Z552" s="199">
        <v>0.0</v>
      </c>
      <c r="AA552" s="199">
        <v>1.0</v>
      </c>
      <c r="AB552" s="199">
        <v>0.0</v>
      </c>
      <c r="AC552" s="199">
        <v>17.0</v>
      </c>
      <c r="AD552" s="199">
        <v>0.0</v>
      </c>
      <c r="AE552" s="199">
        <v>119.0</v>
      </c>
      <c r="AF552" s="199">
        <v>0.0</v>
      </c>
      <c r="AG552" s="199">
        <v>548.0</v>
      </c>
      <c r="AH552" s="199">
        <v>692.0</v>
      </c>
      <c r="AI552" s="200" t="s">
        <v>655</v>
      </c>
      <c r="AJ552" s="200" t="s">
        <v>656</v>
      </c>
      <c r="AK552" s="200"/>
      <c r="AL552" s="204"/>
      <c r="AM552" s="204"/>
    </row>
    <row r="553">
      <c r="A553" s="199" t="s">
        <v>236</v>
      </c>
      <c r="B553" s="200" t="s">
        <v>473</v>
      </c>
      <c r="C553" s="199">
        <v>2.4211297234E10</v>
      </c>
      <c r="D553" s="201">
        <v>45497.0</v>
      </c>
      <c r="E553" s="202" t="s">
        <v>101</v>
      </c>
      <c r="F553" s="202" t="s">
        <v>101</v>
      </c>
      <c r="G553" s="203" t="s">
        <v>102</v>
      </c>
      <c r="H553" s="203" t="s">
        <v>101</v>
      </c>
      <c r="I553" s="37"/>
      <c r="J553" s="37"/>
      <c r="K553" s="37"/>
      <c r="L553" s="199">
        <v>8.0</v>
      </c>
      <c r="M553" s="199">
        <v>153.7</v>
      </c>
      <c r="N553" s="37"/>
      <c r="O553" s="37"/>
      <c r="P553" s="199">
        <v>0.22</v>
      </c>
      <c r="Q553" s="199">
        <v>0.0</v>
      </c>
      <c r="R553" s="199">
        <v>23.0</v>
      </c>
      <c r="S553" s="199">
        <v>7.0</v>
      </c>
      <c r="T553" s="199">
        <v>3.0</v>
      </c>
      <c r="U553" s="199">
        <v>43.0</v>
      </c>
      <c r="V553" s="199">
        <v>0.0</v>
      </c>
      <c r="W553" s="199">
        <v>0.0</v>
      </c>
      <c r="X553" s="199">
        <v>3.0</v>
      </c>
      <c r="Y553" s="199">
        <v>0.0</v>
      </c>
      <c r="Z553" s="199">
        <v>0.0</v>
      </c>
      <c r="AA553" s="199">
        <v>0.0</v>
      </c>
      <c r="AB553" s="199">
        <v>90.0</v>
      </c>
      <c r="AC553" s="199">
        <v>15.0</v>
      </c>
      <c r="AD553" s="199">
        <v>0.0</v>
      </c>
      <c r="AE553" s="199">
        <v>618.0</v>
      </c>
      <c r="AF553" s="199">
        <v>20.0</v>
      </c>
      <c r="AG553" s="199">
        <v>588.0</v>
      </c>
      <c r="AH553" s="199">
        <v>640.0</v>
      </c>
      <c r="AI553" s="200" t="s">
        <v>896</v>
      </c>
      <c r="AJ553" s="200" t="s">
        <v>819</v>
      </c>
      <c r="AK553" s="200"/>
      <c r="AL553" s="204"/>
      <c r="AM553" s="204"/>
    </row>
    <row r="554">
      <c r="A554" s="199" t="s">
        <v>152</v>
      </c>
      <c r="B554" s="200" t="s">
        <v>381</v>
      </c>
      <c r="C554" s="199">
        <v>2.5112224262E10</v>
      </c>
      <c r="D554" s="201">
        <v>45756.0</v>
      </c>
      <c r="E554" s="202" t="s">
        <v>101</v>
      </c>
      <c r="F554" s="202" t="s">
        <v>100</v>
      </c>
      <c r="G554" s="203" t="s">
        <v>100</v>
      </c>
      <c r="H554" s="203" t="s">
        <v>101</v>
      </c>
      <c r="I554" s="37"/>
      <c r="J554" s="37"/>
      <c r="K554" s="37"/>
      <c r="L554" s="199">
        <v>13.0</v>
      </c>
      <c r="M554" s="199">
        <v>47.0</v>
      </c>
      <c r="N554" s="37"/>
      <c r="O554" s="37"/>
      <c r="P554" s="199">
        <v>0.02</v>
      </c>
      <c r="Q554" s="199">
        <v>0.0</v>
      </c>
      <c r="R554" s="199">
        <v>0.0</v>
      </c>
      <c r="S554" s="199">
        <v>0.0</v>
      </c>
      <c r="T554" s="199">
        <v>0.0</v>
      </c>
      <c r="U554" s="199">
        <v>7.0</v>
      </c>
      <c r="V554" s="199">
        <v>0.0</v>
      </c>
      <c r="W554" s="199">
        <v>0.0</v>
      </c>
      <c r="X554" s="199">
        <v>1.0</v>
      </c>
      <c r="Y554" s="199">
        <v>0.0</v>
      </c>
      <c r="Z554" s="199">
        <v>0.0</v>
      </c>
      <c r="AA554" s="199">
        <v>0.0</v>
      </c>
      <c r="AB554" s="199">
        <v>4.0</v>
      </c>
      <c r="AC554" s="199">
        <v>31.0</v>
      </c>
      <c r="AD554" s="199">
        <v>0.0</v>
      </c>
      <c r="AE554" s="199">
        <v>32.0</v>
      </c>
      <c r="AF554" s="199">
        <v>0.0</v>
      </c>
      <c r="AG554" s="199">
        <v>384.0</v>
      </c>
      <c r="AH554" s="199">
        <v>24.0</v>
      </c>
      <c r="AI554" s="200" t="s">
        <v>661</v>
      </c>
      <c r="AJ554" s="200" t="s">
        <v>662</v>
      </c>
      <c r="AK554" s="200"/>
      <c r="AL554" s="204"/>
      <c r="AM554" s="204"/>
    </row>
    <row r="555">
      <c r="A555" s="199" t="s">
        <v>152</v>
      </c>
      <c r="B555" s="200" t="s">
        <v>381</v>
      </c>
      <c r="C555" s="199">
        <v>2.5180296227E10</v>
      </c>
      <c r="D555" s="201">
        <v>45826.0</v>
      </c>
      <c r="E555" s="202" t="s">
        <v>102</v>
      </c>
      <c r="F555" s="202" t="s">
        <v>102</v>
      </c>
      <c r="G555" s="203" t="s">
        <v>100</v>
      </c>
      <c r="H555" s="203" t="s">
        <v>102</v>
      </c>
      <c r="I555" s="37"/>
      <c r="J555" s="37"/>
      <c r="K555" s="37"/>
      <c r="L555" s="199">
        <v>25.0</v>
      </c>
      <c r="M555" s="199">
        <v>88.2</v>
      </c>
      <c r="N555" s="37"/>
      <c r="O555" s="37"/>
      <c r="P555" s="199">
        <v>0.05</v>
      </c>
      <c r="Q555" s="199">
        <v>0.0</v>
      </c>
      <c r="R555" s="199">
        <v>0.0</v>
      </c>
      <c r="S555" s="199">
        <v>0.0</v>
      </c>
      <c r="T555" s="199">
        <v>2.0</v>
      </c>
      <c r="U555" s="199">
        <v>8.0</v>
      </c>
      <c r="V555" s="199">
        <v>0.0</v>
      </c>
      <c r="W555" s="199">
        <v>0.0</v>
      </c>
      <c r="X555" s="199">
        <v>1.0</v>
      </c>
      <c r="Y555" s="199">
        <v>0.0</v>
      </c>
      <c r="Z555" s="199">
        <v>0.0</v>
      </c>
      <c r="AA555" s="199">
        <v>0.0</v>
      </c>
      <c r="AB555" s="199">
        <v>12.0</v>
      </c>
      <c r="AC555" s="199">
        <v>9.0</v>
      </c>
      <c r="AD555" s="199">
        <v>0.0</v>
      </c>
      <c r="AE555" s="199">
        <v>31.0</v>
      </c>
      <c r="AF555" s="199">
        <v>0.0</v>
      </c>
      <c r="AG555" s="199">
        <v>429.0</v>
      </c>
      <c r="AH555" s="199">
        <v>8.0</v>
      </c>
      <c r="AI555" s="200" t="s">
        <v>792</v>
      </c>
      <c r="AJ555" s="200" t="s">
        <v>789</v>
      </c>
      <c r="AK555" s="200"/>
      <c r="AL555" s="204"/>
      <c r="AM555" s="204"/>
    </row>
    <row r="556">
      <c r="A556" s="199" t="s">
        <v>152</v>
      </c>
      <c r="B556" s="200" t="s">
        <v>381</v>
      </c>
      <c r="C556" s="199">
        <v>2.5259169221E10</v>
      </c>
      <c r="D556" s="201">
        <v>45910.0</v>
      </c>
      <c r="E556" s="202" t="s">
        <v>102</v>
      </c>
      <c r="F556" s="202" t="s">
        <v>100</v>
      </c>
      <c r="G556" s="203" t="s">
        <v>100</v>
      </c>
      <c r="H556" s="203" t="s">
        <v>102</v>
      </c>
      <c r="I556" s="37"/>
      <c r="J556" s="37"/>
      <c r="K556" s="37"/>
      <c r="L556" s="199">
        <v>18.0</v>
      </c>
      <c r="M556" s="199">
        <v>82.6</v>
      </c>
      <c r="N556" s="37"/>
      <c r="O556" s="37"/>
      <c r="P556" s="199">
        <v>0.04</v>
      </c>
      <c r="Q556" s="199">
        <v>0.0</v>
      </c>
      <c r="R556" s="199">
        <v>3.0</v>
      </c>
      <c r="S556" s="199">
        <v>1.0</v>
      </c>
      <c r="T556" s="199">
        <v>5.0</v>
      </c>
      <c r="U556" s="199">
        <v>6.0</v>
      </c>
      <c r="V556" s="199">
        <v>0.0</v>
      </c>
      <c r="W556" s="199">
        <v>0.0</v>
      </c>
      <c r="X556" s="199">
        <v>0.0</v>
      </c>
      <c r="Y556" s="199">
        <v>0.0</v>
      </c>
      <c r="Z556" s="199">
        <v>0.0</v>
      </c>
      <c r="AA556" s="199">
        <v>0.0</v>
      </c>
      <c r="AB556" s="199">
        <v>15.0</v>
      </c>
      <c r="AC556" s="199">
        <v>12.0</v>
      </c>
      <c r="AD556" s="199">
        <v>0.0</v>
      </c>
      <c r="AE556" s="199">
        <v>24.0</v>
      </c>
      <c r="AF556" s="199">
        <v>1.0</v>
      </c>
      <c r="AG556" s="199">
        <v>337.0</v>
      </c>
      <c r="AH556" s="199">
        <v>2.0</v>
      </c>
      <c r="AI556" s="200" t="s">
        <v>792</v>
      </c>
      <c r="AJ556" s="200" t="s">
        <v>789</v>
      </c>
      <c r="AK556" s="200"/>
      <c r="AL556" s="204"/>
      <c r="AM556" s="204"/>
    </row>
    <row r="557">
      <c r="A557" s="199" t="s">
        <v>110</v>
      </c>
      <c r="B557" s="200" t="s">
        <v>339</v>
      </c>
      <c r="C557" s="199">
        <v>2.434381223E10</v>
      </c>
      <c r="D557" s="201">
        <v>45624.0</v>
      </c>
      <c r="E557" s="202" t="s">
        <v>102</v>
      </c>
      <c r="F557" s="202" t="s">
        <v>102</v>
      </c>
      <c r="G557" s="203" t="s">
        <v>100</v>
      </c>
      <c r="H557" s="203" t="s">
        <v>100</v>
      </c>
      <c r="I557" s="37"/>
      <c r="J557" s="37"/>
      <c r="K557" s="37"/>
      <c r="L557" s="199">
        <v>11.0</v>
      </c>
      <c r="M557" s="199">
        <v>221.8</v>
      </c>
      <c r="N557" s="37"/>
      <c r="O557" s="37"/>
      <c r="P557" s="199">
        <v>0.05</v>
      </c>
      <c r="Q557" s="199">
        <v>0.0</v>
      </c>
      <c r="R557" s="199">
        <v>0.0</v>
      </c>
      <c r="S557" s="199">
        <v>0.0</v>
      </c>
      <c r="T557" s="199">
        <v>0.0</v>
      </c>
      <c r="U557" s="199">
        <v>8.0</v>
      </c>
      <c r="V557" s="199">
        <v>0.0</v>
      </c>
      <c r="W557" s="199">
        <v>0.0</v>
      </c>
      <c r="X557" s="199">
        <v>0.0</v>
      </c>
      <c r="Y557" s="199">
        <v>0.0</v>
      </c>
      <c r="Z557" s="199">
        <v>0.0</v>
      </c>
      <c r="AA557" s="199">
        <v>0.0</v>
      </c>
      <c r="AB557" s="199">
        <v>25.0</v>
      </c>
      <c r="AC557" s="199">
        <v>0.0</v>
      </c>
      <c r="AD557" s="199">
        <v>0.0</v>
      </c>
      <c r="AE557" s="199">
        <v>6.0</v>
      </c>
      <c r="AF557" s="199">
        <v>0.0</v>
      </c>
      <c r="AG557" s="199">
        <v>453.0</v>
      </c>
      <c r="AH557" s="199">
        <v>0.0</v>
      </c>
      <c r="AI557" s="200" t="s">
        <v>741</v>
      </c>
      <c r="AJ557" s="200" t="s">
        <v>780</v>
      </c>
      <c r="AK557" s="200"/>
      <c r="AL557" s="204"/>
      <c r="AM557" s="204"/>
    </row>
    <row r="558">
      <c r="A558" s="199" t="s">
        <v>110</v>
      </c>
      <c r="B558" s="200" t="s">
        <v>339</v>
      </c>
      <c r="C558" s="199">
        <v>2.5180296226E10</v>
      </c>
      <c r="D558" s="201">
        <v>45826.0</v>
      </c>
      <c r="E558" s="202" t="s">
        <v>102</v>
      </c>
      <c r="F558" s="202" t="s">
        <v>102</v>
      </c>
      <c r="G558" s="203" t="s">
        <v>100</v>
      </c>
      <c r="H558" s="203" t="s">
        <v>100</v>
      </c>
      <c r="I558" s="199">
        <v>11890.0</v>
      </c>
      <c r="J558" s="199">
        <v>5161.0</v>
      </c>
      <c r="K558" s="199">
        <v>1152.0</v>
      </c>
      <c r="L558" s="199">
        <v>13.0</v>
      </c>
      <c r="M558" s="199">
        <v>221.1</v>
      </c>
      <c r="N558" s="37"/>
      <c r="O558" s="37"/>
      <c r="P558" s="199">
        <v>0.04</v>
      </c>
      <c r="Q558" s="199">
        <v>0.0</v>
      </c>
      <c r="R558" s="199">
        <v>1.0</v>
      </c>
      <c r="S558" s="199">
        <v>0.0</v>
      </c>
      <c r="T558" s="199">
        <v>0.0</v>
      </c>
      <c r="U558" s="199">
        <v>5.0</v>
      </c>
      <c r="V558" s="199">
        <v>0.0</v>
      </c>
      <c r="W558" s="199">
        <v>0.0</v>
      </c>
      <c r="X558" s="199">
        <v>1.0</v>
      </c>
      <c r="Y558" s="199">
        <v>0.0</v>
      </c>
      <c r="Z558" s="199">
        <v>0.0</v>
      </c>
      <c r="AA558" s="199">
        <v>0.0</v>
      </c>
      <c r="AB558" s="199">
        <v>25.0</v>
      </c>
      <c r="AC558" s="199">
        <v>0.0</v>
      </c>
      <c r="AD558" s="199">
        <v>0.0</v>
      </c>
      <c r="AE558" s="199">
        <v>30.0</v>
      </c>
      <c r="AF558" s="199">
        <v>2.0</v>
      </c>
      <c r="AG558" s="199">
        <v>453.0</v>
      </c>
      <c r="AH558" s="199">
        <v>0.0</v>
      </c>
      <c r="AI558" s="200" t="s">
        <v>741</v>
      </c>
      <c r="AJ558" s="200" t="s">
        <v>780</v>
      </c>
      <c r="AK558" s="200"/>
      <c r="AL558" s="204"/>
      <c r="AM558" s="204"/>
    </row>
    <row r="559">
      <c r="A559" s="199" t="s">
        <v>110</v>
      </c>
      <c r="B559" s="200" t="s">
        <v>339</v>
      </c>
      <c r="C559" s="199">
        <v>2.5330261227E10</v>
      </c>
      <c r="D559" s="201">
        <v>45978.0</v>
      </c>
      <c r="E559" s="202" t="s">
        <v>100</v>
      </c>
      <c r="F559" s="202" t="s">
        <v>100</v>
      </c>
      <c r="G559" s="203" t="s">
        <v>100</v>
      </c>
      <c r="H559" s="203" t="s">
        <v>100</v>
      </c>
      <c r="I559" s="199">
        <v>11890.0</v>
      </c>
      <c r="J559" s="199">
        <v>5161.0</v>
      </c>
      <c r="K559" s="199">
        <v>1152.0</v>
      </c>
      <c r="L559" s="199">
        <v>6.0</v>
      </c>
      <c r="M559" s="199">
        <v>211.5</v>
      </c>
      <c r="N559" s="37"/>
      <c r="O559" s="37"/>
      <c r="P559" s="199">
        <v>0.01</v>
      </c>
      <c r="Q559" s="199">
        <v>0.0</v>
      </c>
      <c r="R559" s="199">
        <v>0.0</v>
      </c>
      <c r="S559" s="199">
        <v>0.0</v>
      </c>
      <c r="T559" s="199">
        <v>0.0</v>
      </c>
      <c r="U559" s="199">
        <v>6.0</v>
      </c>
      <c r="V559" s="199">
        <v>0.0</v>
      </c>
      <c r="W559" s="199">
        <v>0.0</v>
      </c>
      <c r="X559" s="199">
        <v>0.0</v>
      </c>
      <c r="Y559" s="199">
        <v>0.0</v>
      </c>
      <c r="Z559" s="199">
        <v>0.0</v>
      </c>
      <c r="AA559" s="199">
        <v>0.0</v>
      </c>
      <c r="AB559" s="199">
        <v>12.0</v>
      </c>
      <c r="AC559" s="199">
        <v>32.0</v>
      </c>
      <c r="AD559" s="199">
        <v>0.0</v>
      </c>
      <c r="AE559" s="199">
        <v>13.0</v>
      </c>
      <c r="AF559" s="199">
        <v>2.0</v>
      </c>
      <c r="AG559" s="199">
        <v>619.0</v>
      </c>
      <c r="AH559" s="199">
        <v>6.0</v>
      </c>
      <c r="AI559" s="200" t="s">
        <v>655</v>
      </c>
      <c r="AJ559" s="200" t="s">
        <v>656</v>
      </c>
      <c r="AK559" s="200"/>
      <c r="AL559" s="204"/>
      <c r="AM559" s="204"/>
    </row>
    <row r="560">
      <c r="A560" s="199" t="s">
        <v>174</v>
      </c>
      <c r="B560" s="200" t="s">
        <v>900</v>
      </c>
      <c r="C560" s="199">
        <v>2.4268239201E10</v>
      </c>
      <c r="D560" s="201">
        <v>45545.0</v>
      </c>
      <c r="E560" s="202" t="s">
        <v>100</v>
      </c>
      <c r="F560" s="202" t="s">
        <v>100</v>
      </c>
      <c r="G560" s="203" t="s">
        <v>100</v>
      </c>
      <c r="H560" s="203" t="s">
        <v>100</v>
      </c>
      <c r="I560" s="199">
        <v>7825.0</v>
      </c>
      <c r="J560" s="199">
        <v>2072.0</v>
      </c>
      <c r="K560" s="199">
        <v>619.0</v>
      </c>
      <c r="L560" s="199">
        <v>3.0</v>
      </c>
      <c r="M560" s="199">
        <v>45.1</v>
      </c>
      <c r="N560" s="199"/>
      <c r="O560" s="199">
        <v>0.0</v>
      </c>
      <c r="P560" s="199">
        <v>0.003</v>
      </c>
      <c r="Q560" s="199">
        <v>0.0</v>
      </c>
      <c r="R560" s="199">
        <v>5.0</v>
      </c>
      <c r="S560" s="199">
        <v>1.0</v>
      </c>
      <c r="T560" s="199">
        <v>3.0</v>
      </c>
      <c r="U560" s="199">
        <v>9.0</v>
      </c>
      <c r="V560" s="199">
        <v>0.0</v>
      </c>
      <c r="W560" s="199">
        <v>0.0</v>
      </c>
      <c r="X560" s="199">
        <v>0.0</v>
      </c>
      <c r="Y560" s="199">
        <v>0.0</v>
      </c>
      <c r="Z560" s="199">
        <v>0.0</v>
      </c>
      <c r="AA560" s="199">
        <v>0.0</v>
      </c>
      <c r="AB560" s="199">
        <v>5.0</v>
      </c>
      <c r="AC560" s="199">
        <v>2.0</v>
      </c>
      <c r="AD560" s="199">
        <v>0.0</v>
      </c>
      <c r="AE560" s="199">
        <v>113.0</v>
      </c>
      <c r="AF560" s="199">
        <v>0.0</v>
      </c>
      <c r="AG560" s="199">
        <v>415.0</v>
      </c>
      <c r="AH560" s="199">
        <v>671.0</v>
      </c>
      <c r="AI560" s="200" t="s">
        <v>655</v>
      </c>
      <c r="AJ560" s="200" t="s">
        <v>656</v>
      </c>
      <c r="AK560" s="200"/>
      <c r="AL560" s="204"/>
      <c r="AM560" s="204"/>
    </row>
    <row r="561">
      <c r="A561" s="199" t="s">
        <v>174</v>
      </c>
      <c r="B561" s="200" t="s">
        <v>900</v>
      </c>
      <c r="C561" s="199">
        <v>2.4343812221E10</v>
      </c>
      <c r="D561" s="201">
        <v>45623.0</v>
      </c>
      <c r="E561" s="202" t="s">
        <v>100</v>
      </c>
      <c r="F561" s="202" t="s">
        <v>100</v>
      </c>
      <c r="G561" s="203" t="s">
        <v>100</v>
      </c>
      <c r="H561" s="203" t="s">
        <v>100</v>
      </c>
      <c r="I561" s="199">
        <v>11925.0</v>
      </c>
      <c r="J561" s="199">
        <v>4791.0</v>
      </c>
      <c r="K561" s="199">
        <v>1130.0</v>
      </c>
      <c r="L561" s="199">
        <v>6.0</v>
      </c>
      <c r="M561" s="199">
        <v>45.9</v>
      </c>
      <c r="N561" s="199"/>
      <c r="O561" s="199">
        <v>0.0</v>
      </c>
      <c r="P561" s="199">
        <v>0.02</v>
      </c>
      <c r="Q561" s="199">
        <v>0.0</v>
      </c>
      <c r="R561" s="199">
        <v>0.0</v>
      </c>
      <c r="S561" s="199">
        <v>0.0</v>
      </c>
      <c r="T561" s="199">
        <v>0.0</v>
      </c>
      <c r="U561" s="199">
        <v>10.0</v>
      </c>
      <c r="V561" s="199">
        <v>0.0</v>
      </c>
      <c r="W561" s="199">
        <v>0.0</v>
      </c>
      <c r="X561" s="199">
        <v>0.0</v>
      </c>
      <c r="Y561" s="199">
        <v>0.0</v>
      </c>
      <c r="Z561" s="199">
        <v>0.0</v>
      </c>
      <c r="AA561" s="199">
        <v>0.0</v>
      </c>
      <c r="AB561" s="199">
        <v>1.0</v>
      </c>
      <c r="AC561" s="199">
        <v>2.0</v>
      </c>
      <c r="AD561" s="199">
        <v>0.0</v>
      </c>
      <c r="AE561" s="199">
        <v>143.0</v>
      </c>
      <c r="AF561" s="199">
        <v>0.0</v>
      </c>
      <c r="AG561" s="199">
        <v>502.0</v>
      </c>
      <c r="AH561" s="199">
        <v>657.0</v>
      </c>
      <c r="AI561" s="200" t="s">
        <v>655</v>
      </c>
      <c r="AJ561" s="200" t="s">
        <v>656</v>
      </c>
      <c r="AK561" s="200"/>
      <c r="AL561" s="204"/>
      <c r="AM561" s="204"/>
    </row>
    <row r="562">
      <c r="A562" s="199" t="s">
        <v>174</v>
      </c>
      <c r="B562" s="200" t="s">
        <v>900</v>
      </c>
      <c r="C562" s="199">
        <v>2.5180296212E10</v>
      </c>
      <c r="D562" s="201">
        <v>45826.0</v>
      </c>
      <c r="E562" s="202" t="s">
        <v>100</v>
      </c>
      <c r="F562" s="202" t="s">
        <v>100</v>
      </c>
      <c r="G562" s="203" t="s">
        <v>100</v>
      </c>
      <c r="H562" s="203" t="s">
        <v>100</v>
      </c>
      <c r="I562" s="199">
        <v>9182.0</v>
      </c>
      <c r="J562" s="199">
        <v>3106.0</v>
      </c>
      <c r="K562" s="199">
        <v>948.0</v>
      </c>
      <c r="L562" s="199">
        <v>4.0</v>
      </c>
      <c r="M562" s="199">
        <v>45.2</v>
      </c>
      <c r="N562" s="199"/>
      <c r="O562" s="199">
        <v>0.0</v>
      </c>
      <c r="P562" s="199">
        <v>0.003</v>
      </c>
      <c r="Q562" s="199">
        <v>0.0</v>
      </c>
      <c r="R562" s="199">
        <v>1.0</v>
      </c>
      <c r="S562" s="199">
        <v>0.0</v>
      </c>
      <c r="T562" s="199">
        <v>4.0</v>
      </c>
      <c r="U562" s="199">
        <v>8.0</v>
      </c>
      <c r="V562" s="199">
        <v>0.0</v>
      </c>
      <c r="W562" s="199">
        <v>0.0</v>
      </c>
      <c r="X562" s="199">
        <v>1.0</v>
      </c>
      <c r="Y562" s="199">
        <v>0.0</v>
      </c>
      <c r="Z562" s="199">
        <v>0.0</v>
      </c>
      <c r="AA562" s="199">
        <v>0.0</v>
      </c>
      <c r="AB562" s="199">
        <v>1.0</v>
      </c>
      <c r="AC562" s="199">
        <v>7.0</v>
      </c>
      <c r="AD562" s="199">
        <v>0.0</v>
      </c>
      <c r="AE562" s="199">
        <v>140.0</v>
      </c>
      <c r="AF562" s="199">
        <v>2.0</v>
      </c>
      <c r="AG562" s="199">
        <v>436.0</v>
      </c>
      <c r="AH562" s="199">
        <v>646.0</v>
      </c>
      <c r="AI562" s="200" t="s">
        <v>655</v>
      </c>
      <c r="AJ562" s="200" t="s">
        <v>656</v>
      </c>
      <c r="AK562" s="200"/>
      <c r="AL562" s="204"/>
      <c r="AM562" s="204"/>
    </row>
    <row r="563">
      <c r="A563" s="199" t="s">
        <v>174</v>
      </c>
      <c r="B563" s="200" t="s">
        <v>900</v>
      </c>
      <c r="C563" s="199">
        <v>2.5258159217E10</v>
      </c>
      <c r="D563" s="201">
        <v>45908.0</v>
      </c>
      <c r="E563" s="202" t="s">
        <v>100</v>
      </c>
      <c r="F563" s="202" t="s">
        <v>100</v>
      </c>
      <c r="G563" s="203" t="s">
        <v>100</v>
      </c>
      <c r="H563" s="203" t="s">
        <v>100</v>
      </c>
      <c r="I563" s="199">
        <v>9899.0</v>
      </c>
      <c r="J563" s="199">
        <v>4407.0</v>
      </c>
      <c r="K563" s="199">
        <v>1084.0</v>
      </c>
      <c r="L563" s="199">
        <v>6.0</v>
      </c>
      <c r="M563" s="199">
        <v>46.0</v>
      </c>
      <c r="N563" s="199"/>
      <c r="O563" s="199">
        <v>0.0</v>
      </c>
      <c r="P563" s="199">
        <v>0.01</v>
      </c>
      <c r="Q563" s="199">
        <v>0.0</v>
      </c>
      <c r="R563" s="199">
        <v>7.0</v>
      </c>
      <c r="S563" s="199">
        <v>1.0</v>
      </c>
      <c r="T563" s="199">
        <v>7.0</v>
      </c>
      <c r="U563" s="199">
        <v>11.0</v>
      </c>
      <c r="V563" s="199">
        <v>0.0</v>
      </c>
      <c r="W563" s="199">
        <v>0.0</v>
      </c>
      <c r="X563" s="199">
        <v>0.0</v>
      </c>
      <c r="Y563" s="199">
        <v>0.0</v>
      </c>
      <c r="Z563" s="199">
        <v>0.0</v>
      </c>
      <c r="AA563" s="199">
        <v>0.0</v>
      </c>
      <c r="AB563" s="199">
        <v>0.0</v>
      </c>
      <c r="AC563" s="199">
        <v>0.0</v>
      </c>
      <c r="AD563" s="199">
        <v>0.0</v>
      </c>
      <c r="AE563" s="199">
        <v>130.0</v>
      </c>
      <c r="AF563" s="199">
        <v>0.0</v>
      </c>
      <c r="AG563" s="199">
        <v>458.0</v>
      </c>
      <c r="AH563" s="199">
        <v>702.0</v>
      </c>
      <c r="AI563" s="200" t="s">
        <v>655</v>
      </c>
      <c r="AJ563" s="200" t="s">
        <v>656</v>
      </c>
      <c r="AK563" s="200"/>
      <c r="AL563" s="204"/>
      <c r="AM563" s="204"/>
    </row>
    <row r="564">
      <c r="A564" s="199" t="s">
        <v>174</v>
      </c>
      <c r="B564" s="200" t="s">
        <v>900</v>
      </c>
      <c r="C564" s="199">
        <v>2.5330261209E10</v>
      </c>
      <c r="D564" s="201">
        <v>45977.0</v>
      </c>
      <c r="E564" s="202" t="s">
        <v>100</v>
      </c>
      <c r="F564" s="202" t="s">
        <v>100</v>
      </c>
      <c r="G564" s="203" t="s">
        <v>100</v>
      </c>
      <c r="H564" s="203" t="s">
        <v>100</v>
      </c>
      <c r="I564" s="199">
        <v>7900.0</v>
      </c>
      <c r="J564" s="199">
        <v>3499.0</v>
      </c>
      <c r="K564" s="199">
        <v>1516.0</v>
      </c>
      <c r="L564" s="199">
        <v>6.0</v>
      </c>
      <c r="M564" s="199">
        <v>45.2</v>
      </c>
      <c r="N564" s="199"/>
      <c r="O564" s="199">
        <v>1.0</v>
      </c>
      <c r="P564" s="199">
        <v>0.01</v>
      </c>
      <c r="Q564" s="199">
        <v>0.0</v>
      </c>
      <c r="R564" s="199">
        <v>0.0</v>
      </c>
      <c r="S564" s="199">
        <v>0.0</v>
      </c>
      <c r="T564" s="199">
        <v>1.0</v>
      </c>
      <c r="U564" s="199">
        <v>6.0</v>
      </c>
      <c r="V564" s="199">
        <v>0.0</v>
      </c>
      <c r="W564" s="199">
        <v>0.0</v>
      </c>
      <c r="X564" s="199">
        <v>0.0</v>
      </c>
      <c r="Y564" s="199">
        <v>0.0</v>
      </c>
      <c r="Z564" s="199">
        <v>0.0</v>
      </c>
      <c r="AA564" s="199">
        <v>0.0</v>
      </c>
      <c r="AB564" s="199">
        <v>0.0</v>
      </c>
      <c r="AC564" s="199">
        <v>3.0</v>
      </c>
      <c r="AD564" s="199">
        <v>0.0</v>
      </c>
      <c r="AE564" s="199">
        <v>115.0</v>
      </c>
      <c r="AF564" s="199">
        <v>0.0</v>
      </c>
      <c r="AG564" s="199">
        <v>466.0</v>
      </c>
      <c r="AH564" s="199">
        <v>610.0</v>
      </c>
      <c r="AI564" s="200" t="s">
        <v>655</v>
      </c>
      <c r="AJ564" s="200" t="s">
        <v>656</v>
      </c>
      <c r="AK564" s="200"/>
      <c r="AL564" s="204"/>
      <c r="AM564" s="204"/>
    </row>
    <row r="565">
      <c r="A565" s="199" t="s">
        <v>207</v>
      </c>
      <c r="B565" s="200" t="s">
        <v>818</v>
      </c>
      <c r="C565" s="199">
        <v>2.5112224244E10</v>
      </c>
      <c r="D565" s="201">
        <v>45756.0</v>
      </c>
      <c r="E565" s="202" t="s">
        <v>100</v>
      </c>
      <c r="F565" s="202" t="s">
        <v>100</v>
      </c>
      <c r="G565" s="203" t="s">
        <v>100</v>
      </c>
      <c r="H565" s="203" t="s">
        <v>100</v>
      </c>
      <c r="I565" s="199">
        <v>2985.0</v>
      </c>
      <c r="J565" s="199">
        <v>1465.0</v>
      </c>
      <c r="K565" s="199">
        <v>598.0</v>
      </c>
      <c r="L565" s="199">
        <v>14.0</v>
      </c>
      <c r="M565" s="199">
        <v>44.7</v>
      </c>
      <c r="N565" s="199"/>
      <c r="O565" s="199">
        <v>1.0</v>
      </c>
      <c r="P565" s="199">
        <v>0.01</v>
      </c>
      <c r="Q565" s="199">
        <v>0.0</v>
      </c>
      <c r="R565" s="199">
        <v>0.0</v>
      </c>
      <c r="S565" s="199">
        <v>0.0</v>
      </c>
      <c r="T565" s="199">
        <v>3.0</v>
      </c>
      <c r="U565" s="199">
        <v>5.0</v>
      </c>
      <c r="V565" s="199">
        <v>0.0</v>
      </c>
      <c r="W565" s="199">
        <v>0.0</v>
      </c>
      <c r="X565" s="199">
        <v>0.0</v>
      </c>
      <c r="Y565" s="199">
        <v>0.0</v>
      </c>
      <c r="Z565" s="199">
        <v>1.0</v>
      </c>
      <c r="AA565" s="199">
        <v>0.0</v>
      </c>
      <c r="AB565" s="199">
        <v>0.0</v>
      </c>
      <c r="AC565" s="199">
        <v>5.0</v>
      </c>
      <c r="AD565" s="199">
        <v>0.0</v>
      </c>
      <c r="AE565" s="199">
        <v>69.0</v>
      </c>
      <c r="AF565" s="199">
        <v>1.0</v>
      </c>
      <c r="AG565" s="199">
        <v>430.0</v>
      </c>
      <c r="AH565" s="199">
        <v>624.0</v>
      </c>
      <c r="AI565" s="200" t="s">
        <v>655</v>
      </c>
      <c r="AJ565" s="200" t="s">
        <v>656</v>
      </c>
      <c r="AK565" s="200"/>
      <c r="AL565" s="204"/>
      <c r="AM565" s="204"/>
    </row>
    <row r="566">
      <c r="A566" s="199" t="s">
        <v>220</v>
      </c>
      <c r="B566" s="200" t="s">
        <v>449</v>
      </c>
      <c r="C566" s="199">
        <v>2.5112224241E10</v>
      </c>
      <c r="D566" s="201">
        <v>45756.0</v>
      </c>
      <c r="E566" s="202" t="s">
        <v>100</v>
      </c>
      <c r="F566" s="202" t="s">
        <v>100</v>
      </c>
      <c r="G566" s="203" t="s">
        <v>100</v>
      </c>
      <c r="H566" s="203" t="s">
        <v>100</v>
      </c>
      <c r="I566" s="199">
        <v>2964.0</v>
      </c>
      <c r="J566" s="199">
        <v>1611.0</v>
      </c>
      <c r="K566" s="199">
        <v>999.0</v>
      </c>
      <c r="L566" s="199">
        <v>12.0</v>
      </c>
      <c r="M566" s="199">
        <v>48.0</v>
      </c>
      <c r="N566" s="199"/>
      <c r="O566" s="199">
        <v>0.0</v>
      </c>
      <c r="P566" s="199">
        <v>0.01</v>
      </c>
      <c r="Q566" s="199">
        <v>0.0</v>
      </c>
      <c r="R566" s="199">
        <v>0.0</v>
      </c>
      <c r="S566" s="199">
        <v>0.0</v>
      </c>
      <c r="T566" s="199">
        <v>1.0</v>
      </c>
      <c r="U566" s="199">
        <v>0.0</v>
      </c>
      <c r="V566" s="199">
        <v>0.0</v>
      </c>
      <c r="W566" s="199">
        <v>0.0</v>
      </c>
      <c r="X566" s="199">
        <v>1.0</v>
      </c>
      <c r="Y566" s="199">
        <v>0.0</v>
      </c>
      <c r="Z566" s="199">
        <v>0.0</v>
      </c>
      <c r="AA566" s="199">
        <v>0.0</v>
      </c>
      <c r="AB566" s="199">
        <v>0.0</v>
      </c>
      <c r="AC566" s="199">
        <v>7.0</v>
      </c>
      <c r="AD566" s="199">
        <v>0.0</v>
      </c>
      <c r="AE566" s="199">
        <v>93.0</v>
      </c>
      <c r="AF566" s="199">
        <v>2.0</v>
      </c>
      <c r="AG566" s="199">
        <v>430.0</v>
      </c>
      <c r="AH566" s="199">
        <v>659.0</v>
      </c>
      <c r="AI566" s="200" t="s">
        <v>655</v>
      </c>
      <c r="AJ566" s="200" t="s">
        <v>656</v>
      </c>
      <c r="AK566" s="200"/>
      <c r="AL566" s="204"/>
      <c r="AM566" s="204"/>
    </row>
    <row r="567">
      <c r="A567" s="199" t="s">
        <v>221</v>
      </c>
      <c r="B567" s="200" t="s">
        <v>573</v>
      </c>
      <c r="C567" s="199">
        <v>2.5112224259E10</v>
      </c>
      <c r="D567" s="201">
        <v>45756.0</v>
      </c>
      <c r="E567" s="202" t="s">
        <v>100</v>
      </c>
      <c r="F567" s="202" t="s">
        <v>100</v>
      </c>
      <c r="G567" s="203" t="s">
        <v>100</v>
      </c>
      <c r="H567" s="203" t="s">
        <v>100</v>
      </c>
      <c r="I567" s="37"/>
      <c r="J567" s="37"/>
      <c r="K567" s="37"/>
      <c r="L567" s="199">
        <v>12.0</v>
      </c>
      <c r="M567" s="199">
        <v>91.5</v>
      </c>
      <c r="N567" s="37"/>
      <c r="O567" s="37"/>
      <c r="P567" s="199">
        <v>0.02</v>
      </c>
      <c r="Q567" s="199">
        <v>0.0</v>
      </c>
      <c r="R567" s="199">
        <v>0.0</v>
      </c>
      <c r="S567" s="199">
        <v>0.0</v>
      </c>
      <c r="T567" s="199">
        <v>1.0</v>
      </c>
      <c r="U567" s="199">
        <v>21.0</v>
      </c>
      <c r="V567" s="199">
        <v>0.0</v>
      </c>
      <c r="W567" s="199">
        <v>0.0</v>
      </c>
      <c r="X567" s="199">
        <v>1.0</v>
      </c>
      <c r="Y567" s="199">
        <v>0.0</v>
      </c>
      <c r="Z567" s="199">
        <v>0.0</v>
      </c>
      <c r="AA567" s="199">
        <v>0.0</v>
      </c>
      <c r="AB567" s="199">
        <v>15.0</v>
      </c>
      <c r="AC567" s="199">
        <v>6.0</v>
      </c>
      <c r="AD567" s="199">
        <v>0.0</v>
      </c>
      <c r="AE567" s="199">
        <v>66.0</v>
      </c>
      <c r="AF567" s="199">
        <v>0.0</v>
      </c>
      <c r="AG567" s="199">
        <v>594.0</v>
      </c>
      <c r="AH567" s="199">
        <v>9.0</v>
      </c>
      <c r="AI567" s="200" t="s">
        <v>655</v>
      </c>
      <c r="AJ567" s="200" t="s">
        <v>656</v>
      </c>
      <c r="AK567" s="200"/>
      <c r="AL567" s="204"/>
      <c r="AM567" s="204"/>
    </row>
    <row r="568">
      <c r="A568" s="199" t="s">
        <v>222</v>
      </c>
      <c r="B568" s="200" t="s">
        <v>733</v>
      </c>
      <c r="C568" s="199">
        <v>2.4343812243E10</v>
      </c>
      <c r="D568" s="201">
        <v>45623.0</v>
      </c>
      <c r="E568" s="202" t="s">
        <v>100</v>
      </c>
      <c r="F568" s="202" t="s">
        <v>100</v>
      </c>
      <c r="G568" s="203" t="s">
        <v>100</v>
      </c>
      <c r="H568" s="203" t="s">
        <v>100</v>
      </c>
      <c r="I568" s="199">
        <v>28955.0</v>
      </c>
      <c r="J568" s="199">
        <v>15637.0</v>
      </c>
      <c r="K568" s="199">
        <v>8002.0</v>
      </c>
      <c r="L568" s="199">
        <v>12.0</v>
      </c>
      <c r="M568" s="199">
        <v>284.8</v>
      </c>
      <c r="N568" s="199"/>
      <c r="O568" s="199">
        <v>1.0</v>
      </c>
      <c r="P568" s="199">
        <v>0.02</v>
      </c>
      <c r="Q568" s="199">
        <v>0.0</v>
      </c>
      <c r="R568" s="199">
        <v>0.0</v>
      </c>
      <c r="S568" s="199">
        <v>0.0</v>
      </c>
      <c r="T568" s="199">
        <v>7.0</v>
      </c>
      <c r="U568" s="199">
        <v>7.0</v>
      </c>
      <c r="V568" s="199">
        <v>0.0</v>
      </c>
      <c r="W568" s="199">
        <v>0.0</v>
      </c>
      <c r="X568" s="199">
        <v>0.0</v>
      </c>
      <c r="Y568" s="199">
        <v>0.0</v>
      </c>
      <c r="Z568" s="199">
        <v>0.0</v>
      </c>
      <c r="AA568" s="199">
        <v>0.0</v>
      </c>
      <c r="AB568" s="199">
        <v>1.0</v>
      </c>
      <c r="AC568" s="199">
        <v>11.0</v>
      </c>
      <c r="AD568" s="199">
        <v>0.0</v>
      </c>
      <c r="AE568" s="199">
        <v>6.0</v>
      </c>
      <c r="AF568" s="199">
        <v>2.0</v>
      </c>
      <c r="AG568" s="199">
        <v>320.0</v>
      </c>
      <c r="AH568" s="199">
        <v>61.0</v>
      </c>
      <c r="AI568" s="200" t="s">
        <v>655</v>
      </c>
      <c r="AJ568" s="200" t="s">
        <v>656</v>
      </c>
      <c r="AK568" s="200"/>
      <c r="AL568" s="204"/>
      <c r="AM568" s="204"/>
    </row>
    <row r="569">
      <c r="A569" s="199" t="s">
        <v>148</v>
      </c>
      <c r="B569" s="200" t="s">
        <v>394</v>
      </c>
      <c r="C569" s="199">
        <v>2.511222423E10</v>
      </c>
      <c r="D569" s="201">
        <v>45756.0</v>
      </c>
      <c r="E569" s="202" t="s">
        <v>102</v>
      </c>
      <c r="F569" s="202" t="s">
        <v>102</v>
      </c>
      <c r="G569" s="203" t="s">
        <v>100</v>
      </c>
      <c r="H569" s="203" t="s">
        <v>100</v>
      </c>
      <c r="I569" s="199">
        <v>2987.0</v>
      </c>
      <c r="J569" s="199">
        <v>1641.0</v>
      </c>
      <c r="K569" s="199">
        <v>895.0</v>
      </c>
      <c r="L569" s="199">
        <v>16.0</v>
      </c>
      <c r="M569" s="199">
        <v>45.0</v>
      </c>
      <c r="N569" s="199"/>
      <c r="O569" s="199">
        <v>1.0</v>
      </c>
      <c r="P569" s="199">
        <v>0.02</v>
      </c>
      <c r="Q569" s="199">
        <v>0.0</v>
      </c>
      <c r="R569" s="199">
        <v>0.0</v>
      </c>
      <c r="S569" s="199">
        <v>0.0</v>
      </c>
      <c r="T569" s="199">
        <v>8.0</v>
      </c>
      <c r="U569" s="199">
        <v>11.0</v>
      </c>
      <c r="V569" s="199">
        <v>0.0</v>
      </c>
      <c r="W569" s="199">
        <v>0.0</v>
      </c>
      <c r="X569" s="199">
        <v>1.0</v>
      </c>
      <c r="Y569" s="199">
        <v>0.0</v>
      </c>
      <c r="Z569" s="199">
        <v>0.0</v>
      </c>
      <c r="AA569" s="199">
        <v>0.0</v>
      </c>
      <c r="AB569" s="199">
        <v>19.0</v>
      </c>
      <c r="AC569" s="199">
        <v>2.0</v>
      </c>
      <c r="AD569" s="199">
        <v>0.0</v>
      </c>
      <c r="AE569" s="199">
        <v>22.0</v>
      </c>
      <c r="AF569" s="199">
        <v>0.0</v>
      </c>
      <c r="AG569" s="199">
        <v>280.0</v>
      </c>
      <c r="AH569" s="199">
        <v>26.0</v>
      </c>
      <c r="AI569" s="200" t="s">
        <v>653</v>
      </c>
      <c r="AJ569" s="200" t="s">
        <v>654</v>
      </c>
      <c r="AK569" s="200"/>
      <c r="AL569" s="204"/>
      <c r="AM569" s="204"/>
    </row>
    <row r="570">
      <c r="A570" s="199" t="s">
        <v>148</v>
      </c>
      <c r="B570" s="200" t="s">
        <v>394</v>
      </c>
      <c r="C570" s="199">
        <v>2.5180296211E10</v>
      </c>
      <c r="D570" s="201">
        <v>45826.0</v>
      </c>
      <c r="E570" s="202" t="s">
        <v>102</v>
      </c>
      <c r="F570" s="202" t="s">
        <v>102</v>
      </c>
      <c r="G570" s="203" t="s">
        <v>100</v>
      </c>
      <c r="H570" s="203" t="s">
        <v>100</v>
      </c>
      <c r="I570" s="37"/>
      <c r="J570" s="37"/>
      <c r="K570" s="37"/>
      <c r="L570" s="199">
        <v>10.0</v>
      </c>
      <c r="M570" s="199">
        <v>46.0</v>
      </c>
      <c r="N570" s="199"/>
      <c r="O570" s="199">
        <v>0.0</v>
      </c>
      <c r="P570" s="199">
        <v>0.003</v>
      </c>
      <c r="Q570" s="199">
        <v>0.0</v>
      </c>
      <c r="R570" s="199">
        <v>0.0</v>
      </c>
      <c r="S570" s="199">
        <v>0.0</v>
      </c>
      <c r="T570" s="199">
        <v>8.0</v>
      </c>
      <c r="U570" s="199">
        <v>14.0</v>
      </c>
      <c r="V570" s="199">
        <v>0.0</v>
      </c>
      <c r="W570" s="199">
        <v>0.0</v>
      </c>
      <c r="X570" s="199">
        <v>1.0</v>
      </c>
      <c r="Y570" s="199">
        <v>0.0</v>
      </c>
      <c r="Z570" s="199">
        <v>0.0</v>
      </c>
      <c r="AA570" s="199">
        <v>0.0</v>
      </c>
      <c r="AB570" s="199">
        <v>1.0</v>
      </c>
      <c r="AC570" s="199">
        <v>2.0</v>
      </c>
      <c r="AD570" s="199">
        <v>0.0</v>
      </c>
      <c r="AE570" s="199">
        <v>107.0</v>
      </c>
      <c r="AF570" s="199">
        <v>2.0</v>
      </c>
      <c r="AG570" s="199">
        <v>379.0</v>
      </c>
      <c r="AH570" s="199">
        <v>469.0</v>
      </c>
      <c r="AI570" s="200" t="s">
        <v>653</v>
      </c>
      <c r="AJ570" s="200" t="s">
        <v>654</v>
      </c>
      <c r="AK570" s="200"/>
      <c r="AL570" s="204"/>
      <c r="AM570" s="204"/>
    </row>
    <row r="571">
      <c r="A571" s="199" t="s">
        <v>148</v>
      </c>
      <c r="B571" s="200" t="s">
        <v>394</v>
      </c>
      <c r="C571" s="199">
        <v>2.5258159215E10</v>
      </c>
      <c r="D571" s="201">
        <v>45910.0</v>
      </c>
      <c r="E571" s="202" t="s">
        <v>100</v>
      </c>
      <c r="F571" s="202" t="s">
        <v>100</v>
      </c>
      <c r="G571" s="203" t="s">
        <v>100</v>
      </c>
      <c r="H571" s="203" t="s">
        <v>100</v>
      </c>
      <c r="I571" s="199">
        <v>15681.0</v>
      </c>
      <c r="J571" s="199">
        <v>6117.0</v>
      </c>
      <c r="K571" s="199">
        <v>1150.0</v>
      </c>
      <c r="L571" s="199">
        <v>7.0</v>
      </c>
      <c r="M571" s="199">
        <v>44.7</v>
      </c>
      <c r="N571" s="199"/>
      <c r="O571" s="199">
        <v>0.0</v>
      </c>
      <c r="P571" s="199">
        <v>0.003</v>
      </c>
      <c r="Q571" s="199">
        <v>0.0</v>
      </c>
      <c r="R571" s="199">
        <v>0.0</v>
      </c>
      <c r="S571" s="199">
        <v>1.0</v>
      </c>
      <c r="T571" s="199">
        <v>8.0</v>
      </c>
      <c r="U571" s="199">
        <v>19.0</v>
      </c>
      <c r="V571" s="199">
        <v>0.0</v>
      </c>
      <c r="W571" s="199">
        <v>0.0</v>
      </c>
      <c r="X571" s="199">
        <v>0.0</v>
      </c>
      <c r="Y571" s="199">
        <v>0.0</v>
      </c>
      <c r="Z571" s="199">
        <v>0.0</v>
      </c>
      <c r="AA571" s="199">
        <v>0.0</v>
      </c>
      <c r="AB571" s="199">
        <v>0.0</v>
      </c>
      <c r="AC571" s="199">
        <v>0.0</v>
      </c>
      <c r="AD571" s="199">
        <v>0.0</v>
      </c>
      <c r="AE571" s="199">
        <v>78.0</v>
      </c>
      <c r="AF571" s="199">
        <v>2.0</v>
      </c>
      <c r="AG571" s="199">
        <v>379.0</v>
      </c>
      <c r="AH571" s="199">
        <v>413.0</v>
      </c>
      <c r="AI571" s="200" t="s">
        <v>655</v>
      </c>
      <c r="AJ571" s="200" t="s">
        <v>656</v>
      </c>
      <c r="AK571" s="200"/>
      <c r="AL571" s="204"/>
      <c r="AM571" s="204"/>
    </row>
    <row r="572">
      <c r="A572" s="199" t="s">
        <v>154</v>
      </c>
      <c r="B572" s="200" t="s">
        <v>398</v>
      </c>
      <c r="C572" s="199">
        <v>2.5124405274E10</v>
      </c>
      <c r="D572" s="201">
        <v>45775.0</v>
      </c>
      <c r="E572" s="202" t="s">
        <v>101</v>
      </c>
      <c r="F572" s="202" t="s">
        <v>100</v>
      </c>
      <c r="G572" s="203" t="s">
        <v>100</v>
      </c>
      <c r="H572" s="203" t="s">
        <v>101</v>
      </c>
      <c r="I572" s="199">
        <v>32561.0</v>
      </c>
      <c r="J572" s="199">
        <v>6452.0</v>
      </c>
      <c r="K572" s="199">
        <v>2031.0</v>
      </c>
      <c r="L572" s="199">
        <v>15.0</v>
      </c>
      <c r="M572" s="199">
        <v>194.9</v>
      </c>
      <c r="N572" s="199"/>
      <c r="O572" s="199">
        <v>1.0</v>
      </c>
      <c r="P572" s="199">
        <v>0.01</v>
      </c>
      <c r="Q572" s="199">
        <v>2.0</v>
      </c>
      <c r="R572" s="199">
        <v>2.0</v>
      </c>
      <c r="S572" s="199">
        <v>2.0</v>
      </c>
      <c r="T572" s="199">
        <v>9.0</v>
      </c>
      <c r="U572" s="199">
        <v>24.0</v>
      </c>
      <c r="V572" s="199">
        <v>0.0</v>
      </c>
      <c r="W572" s="199">
        <v>0.0</v>
      </c>
      <c r="X572" s="199">
        <v>0.0</v>
      </c>
      <c r="Y572" s="199">
        <v>0.0</v>
      </c>
      <c r="Z572" s="199">
        <v>3.0</v>
      </c>
      <c r="AA572" s="199">
        <v>3.0</v>
      </c>
      <c r="AB572" s="199">
        <v>5.0</v>
      </c>
      <c r="AC572" s="199">
        <v>25.0</v>
      </c>
      <c r="AD572" s="199">
        <v>0.0</v>
      </c>
      <c r="AE572" s="199">
        <v>51.0</v>
      </c>
      <c r="AF572" s="199">
        <v>0.0</v>
      </c>
      <c r="AG572" s="199">
        <v>407.0</v>
      </c>
      <c r="AH572" s="199">
        <v>200.0</v>
      </c>
      <c r="AI572" s="200" t="s">
        <v>776</v>
      </c>
      <c r="AJ572" s="200" t="s">
        <v>777</v>
      </c>
      <c r="AK572" s="200"/>
      <c r="AL572" s="204"/>
      <c r="AM572" s="204"/>
    </row>
    <row r="573">
      <c r="A573" s="199" t="s">
        <v>154</v>
      </c>
      <c r="B573" s="200" t="s">
        <v>398</v>
      </c>
      <c r="C573" s="199">
        <v>2.5124405273E10</v>
      </c>
      <c r="D573" s="201">
        <v>45775.0</v>
      </c>
      <c r="E573" s="202" t="s">
        <v>101</v>
      </c>
      <c r="F573" s="202" t="s">
        <v>100</v>
      </c>
      <c r="G573" s="203" t="s">
        <v>100</v>
      </c>
      <c r="H573" s="203" t="s">
        <v>101</v>
      </c>
      <c r="I573" s="199">
        <v>12547.0</v>
      </c>
      <c r="J573" s="199">
        <v>6452.0</v>
      </c>
      <c r="K573" s="199">
        <v>2012.0</v>
      </c>
      <c r="L573" s="199">
        <v>15.0</v>
      </c>
      <c r="M573" s="199">
        <v>151.2</v>
      </c>
      <c r="N573" s="199"/>
      <c r="O573" s="199">
        <v>1.0</v>
      </c>
      <c r="P573" s="199">
        <v>0.01</v>
      </c>
      <c r="Q573" s="199">
        <v>2.0</v>
      </c>
      <c r="R573" s="199">
        <v>2.0</v>
      </c>
      <c r="S573" s="199">
        <v>2.0</v>
      </c>
      <c r="T573" s="199">
        <v>9.0</v>
      </c>
      <c r="U573" s="199">
        <v>24.0</v>
      </c>
      <c r="V573" s="199">
        <v>0.0</v>
      </c>
      <c r="W573" s="199">
        <v>0.0</v>
      </c>
      <c r="X573" s="199">
        <v>1.0</v>
      </c>
      <c r="Y573" s="199">
        <v>0.0</v>
      </c>
      <c r="Z573" s="199">
        <v>3.0</v>
      </c>
      <c r="AA573" s="199">
        <v>3.0</v>
      </c>
      <c r="AB573" s="199">
        <v>5.0</v>
      </c>
      <c r="AC573" s="199">
        <v>25.0</v>
      </c>
      <c r="AD573" s="199">
        <v>0.0</v>
      </c>
      <c r="AE573" s="199">
        <v>51.0</v>
      </c>
      <c r="AF573" s="199">
        <v>0.0</v>
      </c>
      <c r="AG573" s="199">
        <v>407.0</v>
      </c>
      <c r="AH573" s="199">
        <v>200.0</v>
      </c>
      <c r="AI573" s="200" t="s">
        <v>776</v>
      </c>
      <c r="AJ573" s="200" t="s">
        <v>777</v>
      </c>
      <c r="AK573" s="200"/>
      <c r="AL573" s="204"/>
      <c r="AM573" s="204"/>
    </row>
    <row r="574">
      <c r="A574" s="199" t="s">
        <v>192</v>
      </c>
      <c r="B574" s="200" t="s">
        <v>423</v>
      </c>
      <c r="C574" s="199">
        <v>2.5079203203E10</v>
      </c>
      <c r="D574" s="201">
        <v>45726.0</v>
      </c>
      <c r="E574" s="202" t="s">
        <v>100</v>
      </c>
      <c r="F574" s="202" t="s">
        <v>100</v>
      </c>
      <c r="G574" s="203" t="s">
        <v>100</v>
      </c>
      <c r="H574" s="203" t="s">
        <v>100</v>
      </c>
      <c r="I574" s="37"/>
      <c r="J574" s="37"/>
      <c r="K574" s="37"/>
      <c r="L574" s="199">
        <v>5.0</v>
      </c>
      <c r="M574" s="199">
        <v>88.6</v>
      </c>
      <c r="N574" s="37"/>
      <c r="O574" s="37"/>
      <c r="P574" s="199">
        <v>0.003</v>
      </c>
      <c r="Q574" s="199">
        <v>0.0</v>
      </c>
      <c r="R574" s="199">
        <v>10.0</v>
      </c>
      <c r="S574" s="199">
        <v>1.0</v>
      </c>
      <c r="T574" s="199">
        <v>4.0</v>
      </c>
      <c r="U574" s="199">
        <v>2.0</v>
      </c>
      <c r="V574" s="199">
        <v>0.0</v>
      </c>
      <c r="W574" s="199">
        <v>0.0</v>
      </c>
      <c r="X574" s="199">
        <v>0.0</v>
      </c>
      <c r="Y574" s="199">
        <v>0.0</v>
      </c>
      <c r="Z574" s="199">
        <v>2.0</v>
      </c>
      <c r="AA574" s="199">
        <v>2.0</v>
      </c>
      <c r="AB574" s="199">
        <v>24.0</v>
      </c>
      <c r="AC574" s="199">
        <v>6.0</v>
      </c>
      <c r="AD574" s="199">
        <v>0.0</v>
      </c>
      <c r="AE574" s="199">
        <v>112.0</v>
      </c>
      <c r="AF574" s="199">
        <v>0.0</v>
      </c>
      <c r="AG574" s="199">
        <v>453.0</v>
      </c>
      <c r="AH574" s="199">
        <v>21.0</v>
      </c>
      <c r="AI574" s="200" t="s">
        <v>655</v>
      </c>
      <c r="AJ574" s="200" t="s">
        <v>656</v>
      </c>
      <c r="AK574" s="200"/>
      <c r="AL574" s="204"/>
      <c r="AM574" s="204"/>
    </row>
    <row r="575">
      <c r="A575" s="199" t="s">
        <v>192</v>
      </c>
      <c r="B575" s="200" t="s">
        <v>423</v>
      </c>
      <c r="C575" s="199">
        <v>2.5112224205E10</v>
      </c>
      <c r="D575" s="201">
        <v>45756.0</v>
      </c>
      <c r="E575" s="202" t="s">
        <v>101</v>
      </c>
      <c r="F575" s="202" t="s">
        <v>100</v>
      </c>
      <c r="G575" s="203" t="s">
        <v>100</v>
      </c>
      <c r="H575" s="203" t="s">
        <v>101</v>
      </c>
      <c r="I575" s="37"/>
      <c r="J575" s="37"/>
      <c r="K575" s="37"/>
      <c r="L575" s="199">
        <v>14.0</v>
      </c>
      <c r="M575" s="199">
        <v>37.6</v>
      </c>
      <c r="N575" s="37"/>
      <c r="O575" s="37"/>
      <c r="P575" s="199">
        <v>0.02</v>
      </c>
      <c r="Q575" s="199">
        <v>0.0</v>
      </c>
      <c r="R575" s="199">
        <v>0.0</v>
      </c>
      <c r="S575" s="199">
        <v>0.0</v>
      </c>
      <c r="T575" s="199">
        <v>0.0</v>
      </c>
      <c r="U575" s="199">
        <v>10.0</v>
      </c>
      <c r="V575" s="199">
        <v>0.0</v>
      </c>
      <c r="W575" s="199">
        <v>0.0</v>
      </c>
      <c r="X575" s="199">
        <v>2.0</v>
      </c>
      <c r="Y575" s="199">
        <v>0.0</v>
      </c>
      <c r="Z575" s="199">
        <v>0.0</v>
      </c>
      <c r="AA575" s="199">
        <v>2.0</v>
      </c>
      <c r="AB575" s="199">
        <v>19.0</v>
      </c>
      <c r="AC575" s="199">
        <v>5.0</v>
      </c>
      <c r="AD575" s="199">
        <v>0.0</v>
      </c>
      <c r="AE575" s="199">
        <v>71.0</v>
      </c>
      <c r="AF575" s="199">
        <v>1.0</v>
      </c>
      <c r="AG575" s="199">
        <v>369.0</v>
      </c>
      <c r="AH575" s="199">
        <v>115.0</v>
      </c>
      <c r="AI575" s="200" t="s">
        <v>661</v>
      </c>
      <c r="AJ575" s="200" t="s">
        <v>662</v>
      </c>
      <c r="AK575" s="200"/>
      <c r="AL575" s="204"/>
      <c r="AM575" s="204"/>
    </row>
    <row r="576">
      <c r="A576" s="199" t="s">
        <v>192</v>
      </c>
      <c r="B576" s="200" t="s">
        <v>423</v>
      </c>
      <c r="C576" s="199">
        <v>2.5180296218E10</v>
      </c>
      <c r="D576" s="201">
        <v>45826.0</v>
      </c>
      <c r="E576" s="202" t="s">
        <v>100</v>
      </c>
      <c r="F576" s="202" t="s">
        <v>100</v>
      </c>
      <c r="G576" s="203" t="s">
        <v>100</v>
      </c>
      <c r="H576" s="203" t="s">
        <v>100</v>
      </c>
      <c r="I576" s="37"/>
      <c r="J576" s="37"/>
      <c r="K576" s="37"/>
      <c r="L576" s="199">
        <v>11.0</v>
      </c>
      <c r="M576" s="199">
        <v>88.3</v>
      </c>
      <c r="N576" s="37"/>
      <c r="O576" s="37"/>
      <c r="P576" s="199">
        <v>0.01</v>
      </c>
      <c r="Q576" s="199">
        <v>0.0</v>
      </c>
      <c r="R576" s="199">
        <v>3.0</v>
      </c>
      <c r="S576" s="199">
        <v>0.0</v>
      </c>
      <c r="T576" s="199">
        <v>0.0</v>
      </c>
      <c r="U576" s="199">
        <v>34.0</v>
      </c>
      <c r="V576" s="199">
        <v>0.0</v>
      </c>
      <c r="W576" s="199">
        <v>0.0</v>
      </c>
      <c r="X576" s="199">
        <v>2.0</v>
      </c>
      <c r="Y576" s="199">
        <v>0.0</v>
      </c>
      <c r="Z576" s="199">
        <v>0.0</v>
      </c>
      <c r="AA576" s="199">
        <v>2.0</v>
      </c>
      <c r="AB576" s="199">
        <v>20.0</v>
      </c>
      <c r="AC576" s="199">
        <v>6.0</v>
      </c>
      <c r="AD576" s="199">
        <v>1.0</v>
      </c>
      <c r="AE576" s="199">
        <v>107.0</v>
      </c>
      <c r="AF576" s="199">
        <v>1.0</v>
      </c>
      <c r="AG576" s="199">
        <v>428.0</v>
      </c>
      <c r="AH576" s="199">
        <v>0.0</v>
      </c>
      <c r="AI576" s="200" t="s">
        <v>655</v>
      </c>
      <c r="AJ576" s="200" t="s">
        <v>656</v>
      </c>
      <c r="AK576" s="200"/>
      <c r="AL576" s="204"/>
      <c r="AM576" s="204"/>
    </row>
    <row r="577">
      <c r="A577" s="199" t="s">
        <v>192</v>
      </c>
      <c r="B577" s="200" t="s">
        <v>423</v>
      </c>
      <c r="C577" s="199">
        <v>2.5258159221E10</v>
      </c>
      <c r="D577" s="201">
        <v>45909.0</v>
      </c>
      <c r="E577" s="202" t="s">
        <v>100</v>
      </c>
      <c r="F577" s="202" t="s">
        <v>100</v>
      </c>
      <c r="G577" s="203" t="s">
        <v>100</v>
      </c>
      <c r="H577" s="203" t="s">
        <v>100</v>
      </c>
      <c r="I577" s="37"/>
      <c r="J577" s="37"/>
      <c r="K577" s="37"/>
      <c r="L577" s="199">
        <v>5.0</v>
      </c>
      <c r="M577" s="199">
        <v>93.2</v>
      </c>
      <c r="N577" s="37"/>
      <c r="O577" s="37"/>
      <c r="P577" s="199">
        <v>0.003</v>
      </c>
      <c r="Q577" s="199">
        <v>0.0</v>
      </c>
      <c r="R577" s="199">
        <v>9.0</v>
      </c>
      <c r="S577" s="199">
        <v>0.0</v>
      </c>
      <c r="T577" s="199">
        <v>2.0</v>
      </c>
      <c r="U577" s="199">
        <v>10.0</v>
      </c>
      <c r="V577" s="199">
        <v>0.0</v>
      </c>
      <c r="W577" s="199">
        <v>0.0</v>
      </c>
      <c r="X577" s="199">
        <v>0.0</v>
      </c>
      <c r="Y577" s="199">
        <v>0.0</v>
      </c>
      <c r="Z577" s="199">
        <v>2.0</v>
      </c>
      <c r="AA577" s="199">
        <v>0.0</v>
      </c>
      <c r="AB577" s="199">
        <v>9.0</v>
      </c>
      <c r="AC577" s="199">
        <v>2.0</v>
      </c>
      <c r="AD577" s="199">
        <v>0.0</v>
      </c>
      <c r="AE577" s="199">
        <v>94.0</v>
      </c>
      <c r="AF577" s="199">
        <v>0.0</v>
      </c>
      <c r="AG577" s="199">
        <v>415.0</v>
      </c>
      <c r="AH577" s="199">
        <v>1.0</v>
      </c>
      <c r="AI577" s="200" t="s">
        <v>655</v>
      </c>
      <c r="AJ577" s="200" t="s">
        <v>656</v>
      </c>
      <c r="AK577" s="200"/>
      <c r="AL577" s="204"/>
      <c r="AM577" s="204"/>
    </row>
    <row r="578">
      <c r="A578" s="199" t="s">
        <v>192</v>
      </c>
      <c r="B578" s="200" t="s">
        <v>423</v>
      </c>
      <c r="C578" s="199">
        <v>2.5330261232E10</v>
      </c>
      <c r="D578" s="201">
        <v>45977.0</v>
      </c>
      <c r="E578" s="202" t="s">
        <v>100</v>
      </c>
      <c r="F578" s="202" t="s">
        <v>100</v>
      </c>
      <c r="G578" s="203" t="s">
        <v>100</v>
      </c>
      <c r="H578" s="203" t="s">
        <v>100</v>
      </c>
      <c r="I578" s="37"/>
      <c r="J578" s="37"/>
      <c r="K578" s="37"/>
      <c r="L578" s="199">
        <v>6.0</v>
      </c>
      <c r="M578" s="199">
        <v>92.5</v>
      </c>
      <c r="N578" s="37"/>
      <c r="O578" s="37"/>
      <c r="P578" s="199">
        <v>0.003</v>
      </c>
      <c r="Q578" s="199">
        <v>0.0</v>
      </c>
      <c r="R578" s="199">
        <v>0.0</v>
      </c>
      <c r="S578" s="199">
        <v>0.0</v>
      </c>
      <c r="T578" s="199">
        <v>0.0</v>
      </c>
      <c r="U578" s="199">
        <v>0.0</v>
      </c>
      <c r="V578" s="199">
        <v>0.0</v>
      </c>
      <c r="W578" s="199">
        <v>0.0</v>
      </c>
      <c r="X578" s="199">
        <v>0.0</v>
      </c>
      <c r="Y578" s="199">
        <v>0.0</v>
      </c>
      <c r="Z578" s="199">
        <v>0.0</v>
      </c>
      <c r="AA578" s="199">
        <v>0.0</v>
      </c>
      <c r="AB578" s="199">
        <v>21.0</v>
      </c>
      <c r="AC578" s="199">
        <v>26.0</v>
      </c>
      <c r="AD578" s="199">
        <v>0.0</v>
      </c>
      <c r="AE578" s="199">
        <v>19.0</v>
      </c>
      <c r="AF578" s="199">
        <v>0.0</v>
      </c>
      <c r="AG578" s="199">
        <v>543.0</v>
      </c>
      <c r="AH578" s="199">
        <v>18.0</v>
      </c>
      <c r="AI578" s="200" t="s">
        <v>655</v>
      </c>
      <c r="AJ578" s="200" t="s">
        <v>656</v>
      </c>
      <c r="AK578" s="200"/>
      <c r="AL578" s="204"/>
      <c r="AM578" s="204"/>
    </row>
    <row r="579">
      <c r="A579" s="199" t="s">
        <v>191</v>
      </c>
      <c r="B579" s="200" t="s">
        <v>901</v>
      </c>
      <c r="C579" s="199">
        <v>2.5079203204E10</v>
      </c>
      <c r="D579" s="201">
        <v>45726.0</v>
      </c>
      <c r="E579" s="202" t="s">
        <v>102</v>
      </c>
      <c r="F579" s="202" t="s">
        <v>100</v>
      </c>
      <c r="G579" s="203" t="s">
        <v>100</v>
      </c>
      <c r="H579" s="203" t="s">
        <v>102</v>
      </c>
      <c r="I579" s="199">
        <v>7035.0</v>
      </c>
      <c r="J579" s="199">
        <v>5178.0</v>
      </c>
      <c r="K579" s="199">
        <v>1163.0</v>
      </c>
      <c r="L579" s="199">
        <v>5.0</v>
      </c>
      <c r="M579" s="199">
        <v>54.0</v>
      </c>
      <c r="N579" s="199"/>
      <c r="O579" s="199">
        <v>1.0</v>
      </c>
      <c r="P579" s="199">
        <v>0.01</v>
      </c>
      <c r="Q579" s="199">
        <v>0.0</v>
      </c>
      <c r="R579" s="199">
        <v>9.0</v>
      </c>
      <c r="S579" s="199">
        <v>1.0</v>
      </c>
      <c r="T579" s="199">
        <v>11.0</v>
      </c>
      <c r="U579" s="199">
        <v>5.0</v>
      </c>
      <c r="V579" s="199">
        <v>0.0</v>
      </c>
      <c r="W579" s="199">
        <v>0.0</v>
      </c>
      <c r="X579" s="199">
        <v>0.0</v>
      </c>
      <c r="Y579" s="199">
        <v>0.0</v>
      </c>
      <c r="Z579" s="199">
        <v>0.0</v>
      </c>
      <c r="AA579" s="199">
        <v>2.0</v>
      </c>
      <c r="AB579" s="199">
        <v>7.0</v>
      </c>
      <c r="AC579" s="199">
        <v>0.0</v>
      </c>
      <c r="AD579" s="199">
        <v>0.0</v>
      </c>
      <c r="AE579" s="199">
        <v>114.0</v>
      </c>
      <c r="AF579" s="199">
        <v>2.0</v>
      </c>
      <c r="AG579" s="199">
        <v>399.0</v>
      </c>
      <c r="AH579" s="199">
        <v>563.0</v>
      </c>
      <c r="AI579" s="200" t="s">
        <v>792</v>
      </c>
      <c r="AJ579" s="200" t="s">
        <v>789</v>
      </c>
      <c r="AK579" s="200"/>
      <c r="AL579" s="204"/>
      <c r="AM579" s="204"/>
    </row>
    <row r="580">
      <c r="A580" s="199" t="s">
        <v>191</v>
      </c>
      <c r="B580" s="200" t="s">
        <v>901</v>
      </c>
      <c r="C580" s="199">
        <v>2.5112224222E10</v>
      </c>
      <c r="D580" s="201">
        <v>45756.0</v>
      </c>
      <c r="E580" s="202" t="s">
        <v>102</v>
      </c>
      <c r="F580" s="202" t="s">
        <v>100</v>
      </c>
      <c r="G580" s="203" t="s">
        <v>100</v>
      </c>
      <c r="H580" s="203" t="s">
        <v>102</v>
      </c>
      <c r="I580" s="199">
        <v>2546.0</v>
      </c>
      <c r="J580" s="199">
        <v>1425.0</v>
      </c>
      <c r="K580" s="199">
        <v>754.0</v>
      </c>
      <c r="L580" s="199">
        <v>11.0</v>
      </c>
      <c r="M580" s="199">
        <v>54.4</v>
      </c>
      <c r="N580" s="199"/>
      <c r="O580" s="199">
        <v>1.0</v>
      </c>
      <c r="P580" s="199">
        <v>0.01</v>
      </c>
      <c r="Q580" s="199">
        <v>0.0</v>
      </c>
      <c r="R580" s="199">
        <v>0.0</v>
      </c>
      <c r="S580" s="199">
        <v>0.0</v>
      </c>
      <c r="T580" s="199">
        <v>3.0</v>
      </c>
      <c r="U580" s="199">
        <v>5.0</v>
      </c>
      <c r="V580" s="199">
        <v>0.0</v>
      </c>
      <c r="W580" s="199">
        <v>0.0</v>
      </c>
      <c r="X580" s="199">
        <v>0.0</v>
      </c>
      <c r="Y580" s="199">
        <v>0.0</v>
      </c>
      <c r="Z580" s="199">
        <v>0.0</v>
      </c>
      <c r="AA580" s="199">
        <v>2.0</v>
      </c>
      <c r="AB580" s="199">
        <v>0.0</v>
      </c>
      <c r="AC580" s="199">
        <v>18.0</v>
      </c>
      <c r="AD580" s="199">
        <v>0.0</v>
      </c>
      <c r="AE580" s="199">
        <v>80.0</v>
      </c>
      <c r="AF580" s="199">
        <v>0.0</v>
      </c>
      <c r="AG580" s="199">
        <v>413.0</v>
      </c>
      <c r="AH580" s="199">
        <v>615.0</v>
      </c>
      <c r="AI580" s="200" t="s">
        <v>792</v>
      </c>
      <c r="AJ580" s="200" t="s">
        <v>789</v>
      </c>
      <c r="AK580" s="200"/>
      <c r="AL580" s="204"/>
      <c r="AM580" s="204"/>
    </row>
    <row r="581">
      <c r="A581" s="199" t="s">
        <v>191</v>
      </c>
      <c r="B581" s="200" t="s">
        <v>901</v>
      </c>
      <c r="C581" s="199">
        <v>2.5180296207E10</v>
      </c>
      <c r="D581" s="201">
        <v>45826.0</v>
      </c>
      <c r="E581" s="202" t="s">
        <v>100</v>
      </c>
      <c r="F581" s="202" t="s">
        <v>100</v>
      </c>
      <c r="G581" s="203" t="s">
        <v>100</v>
      </c>
      <c r="H581" s="203" t="s">
        <v>100</v>
      </c>
      <c r="I581" s="199">
        <v>8176.0</v>
      </c>
      <c r="J581" s="199">
        <v>3200.0</v>
      </c>
      <c r="K581" s="199">
        <v>912.0</v>
      </c>
      <c r="L581" s="199">
        <v>5.0</v>
      </c>
      <c r="M581" s="199">
        <v>44.9</v>
      </c>
      <c r="N581" s="199"/>
      <c r="O581" s="199">
        <v>0.0</v>
      </c>
      <c r="P581" s="199">
        <v>0.01</v>
      </c>
      <c r="Q581" s="199">
        <v>0.0</v>
      </c>
      <c r="R581" s="199">
        <v>0.0</v>
      </c>
      <c r="S581" s="199">
        <v>0.0</v>
      </c>
      <c r="T581" s="199">
        <v>3.0</v>
      </c>
      <c r="U581" s="199">
        <v>4.0</v>
      </c>
      <c r="V581" s="199">
        <v>0.0</v>
      </c>
      <c r="W581" s="199">
        <v>0.0</v>
      </c>
      <c r="X581" s="199">
        <v>1.0</v>
      </c>
      <c r="Y581" s="199">
        <v>0.0</v>
      </c>
      <c r="Z581" s="199">
        <v>0.0</v>
      </c>
      <c r="AA581" s="199">
        <v>0.0</v>
      </c>
      <c r="AB581" s="199">
        <v>0.0</v>
      </c>
      <c r="AC581" s="199">
        <v>3.0</v>
      </c>
      <c r="AD581" s="199">
        <v>0.0</v>
      </c>
      <c r="AE581" s="199">
        <v>82.0</v>
      </c>
      <c r="AF581" s="199">
        <v>2.0</v>
      </c>
      <c r="AG581" s="199">
        <v>321.0</v>
      </c>
      <c r="AH581" s="199">
        <v>467.0</v>
      </c>
      <c r="AI581" s="200" t="s">
        <v>655</v>
      </c>
      <c r="AJ581" s="200" t="s">
        <v>656</v>
      </c>
      <c r="AK581" s="200"/>
      <c r="AL581" s="204"/>
      <c r="AM581" s="204"/>
    </row>
    <row r="582">
      <c r="A582" s="199" t="s">
        <v>191</v>
      </c>
      <c r="B582" s="200" t="s">
        <v>901</v>
      </c>
      <c r="C582" s="199">
        <v>2.5258159211E10</v>
      </c>
      <c r="D582" s="201">
        <v>45910.0</v>
      </c>
      <c r="E582" s="202" t="s">
        <v>100</v>
      </c>
      <c r="F582" s="202" t="s">
        <v>100</v>
      </c>
      <c r="G582" s="203" t="s">
        <v>100</v>
      </c>
      <c r="H582" s="203" t="s">
        <v>100</v>
      </c>
      <c r="I582" s="199">
        <v>9399.0</v>
      </c>
      <c r="J582" s="199">
        <v>2170.0</v>
      </c>
      <c r="K582" s="199">
        <v>913.0</v>
      </c>
      <c r="L582" s="199">
        <v>6.0</v>
      </c>
      <c r="M582" s="199">
        <v>46.9</v>
      </c>
      <c r="N582" s="199"/>
      <c r="O582" s="199">
        <v>0.0</v>
      </c>
      <c r="P582" s="199">
        <v>0.003</v>
      </c>
      <c r="Q582" s="199">
        <v>0.0</v>
      </c>
      <c r="R582" s="199">
        <v>6.0</v>
      </c>
      <c r="S582" s="199">
        <v>1.0</v>
      </c>
      <c r="T582" s="199">
        <v>3.0</v>
      </c>
      <c r="U582" s="199">
        <v>3.0</v>
      </c>
      <c r="V582" s="199">
        <v>0.0</v>
      </c>
      <c r="W582" s="199">
        <v>0.0</v>
      </c>
      <c r="X582" s="199">
        <v>0.0</v>
      </c>
      <c r="Y582" s="199">
        <v>0.0</v>
      </c>
      <c r="Z582" s="199">
        <v>0.0</v>
      </c>
      <c r="AA582" s="199">
        <v>0.0</v>
      </c>
      <c r="AB582" s="199">
        <v>0.0</v>
      </c>
      <c r="AC582" s="199">
        <v>0.0</v>
      </c>
      <c r="AD582" s="199">
        <v>0.0</v>
      </c>
      <c r="AE582" s="199">
        <v>82.0</v>
      </c>
      <c r="AF582" s="199">
        <v>2.0</v>
      </c>
      <c r="AG582" s="199">
        <v>461.0</v>
      </c>
      <c r="AH582" s="199">
        <v>594.0</v>
      </c>
      <c r="AI582" s="200" t="s">
        <v>655</v>
      </c>
      <c r="AJ582" s="200" t="s">
        <v>656</v>
      </c>
      <c r="AK582" s="200"/>
      <c r="AL582" s="204"/>
      <c r="AM582" s="204"/>
    </row>
    <row r="583">
      <c r="A583" s="199" t="s">
        <v>191</v>
      </c>
      <c r="B583" s="200" t="s">
        <v>901</v>
      </c>
      <c r="C583" s="199">
        <v>2.533026121E10</v>
      </c>
      <c r="D583" s="201">
        <v>45977.0</v>
      </c>
      <c r="E583" s="202" t="s">
        <v>100</v>
      </c>
      <c r="F583" s="202" t="s">
        <v>100</v>
      </c>
      <c r="G583" s="203" t="s">
        <v>100</v>
      </c>
      <c r="H583" s="203" t="s">
        <v>100</v>
      </c>
      <c r="I583" s="199">
        <v>9081.0</v>
      </c>
      <c r="J583" s="199">
        <v>3175.0</v>
      </c>
      <c r="K583" s="199">
        <v>918.0</v>
      </c>
      <c r="L583" s="199">
        <v>6.0</v>
      </c>
      <c r="M583" s="199">
        <v>45.8</v>
      </c>
      <c r="N583" s="199"/>
      <c r="O583" s="199">
        <v>1.0</v>
      </c>
      <c r="P583" s="199">
        <v>0.003</v>
      </c>
      <c r="Q583" s="199">
        <v>0.0</v>
      </c>
      <c r="R583" s="199">
        <v>0.0</v>
      </c>
      <c r="S583" s="199">
        <v>0.0</v>
      </c>
      <c r="T583" s="199">
        <v>3.0</v>
      </c>
      <c r="U583" s="199">
        <v>0.0</v>
      </c>
      <c r="V583" s="199">
        <v>0.0</v>
      </c>
      <c r="W583" s="199">
        <v>0.0</v>
      </c>
      <c r="X583" s="199">
        <v>0.0</v>
      </c>
      <c r="Y583" s="199">
        <v>0.0</v>
      </c>
      <c r="Z583" s="199">
        <v>0.0</v>
      </c>
      <c r="AA583" s="199">
        <v>0.0</v>
      </c>
      <c r="AB583" s="199">
        <v>0.0</v>
      </c>
      <c r="AC583" s="199">
        <v>2.0</v>
      </c>
      <c r="AD583" s="199">
        <v>0.0</v>
      </c>
      <c r="AE583" s="199">
        <v>82.0</v>
      </c>
      <c r="AF583" s="199">
        <v>0.0</v>
      </c>
      <c r="AG583" s="199">
        <v>506.0</v>
      </c>
      <c r="AH583" s="199">
        <v>545.0</v>
      </c>
      <c r="AI583" s="200" t="s">
        <v>655</v>
      </c>
      <c r="AJ583" s="200" t="s">
        <v>656</v>
      </c>
      <c r="AK583" s="200"/>
      <c r="AL583" s="204"/>
      <c r="AM583" s="204"/>
    </row>
    <row r="584">
      <c r="A584" s="199" t="s">
        <v>209</v>
      </c>
      <c r="B584" s="200" t="s">
        <v>818</v>
      </c>
      <c r="C584" s="199">
        <v>2.5112224247E10</v>
      </c>
      <c r="D584" s="201">
        <v>45756.0</v>
      </c>
      <c r="E584" s="202" t="s">
        <v>100</v>
      </c>
      <c r="F584" s="202" t="s">
        <v>100</v>
      </c>
      <c r="G584" s="203" t="s">
        <v>100</v>
      </c>
      <c r="H584" s="203" t="s">
        <v>100</v>
      </c>
      <c r="I584" s="199">
        <v>2854.0</v>
      </c>
      <c r="J584" s="199">
        <v>1542.0</v>
      </c>
      <c r="K584" s="199">
        <v>1210.0</v>
      </c>
      <c r="L584" s="199">
        <v>10.0</v>
      </c>
      <c r="M584" s="199">
        <v>46.5</v>
      </c>
      <c r="N584" s="199"/>
      <c r="O584" s="199">
        <v>1.0</v>
      </c>
      <c r="P584" s="199">
        <v>0.01</v>
      </c>
      <c r="Q584" s="199">
        <v>0.0</v>
      </c>
      <c r="R584" s="199">
        <v>0.0</v>
      </c>
      <c r="S584" s="199">
        <v>0.0</v>
      </c>
      <c r="T584" s="199">
        <v>0.0</v>
      </c>
      <c r="U584" s="199">
        <v>0.0</v>
      </c>
      <c r="V584" s="199">
        <v>0.0</v>
      </c>
      <c r="W584" s="199">
        <v>0.0</v>
      </c>
      <c r="X584" s="199">
        <v>0.0</v>
      </c>
      <c r="Y584" s="199">
        <v>0.0</v>
      </c>
      <c r="Z584" s="199">
        <v>0.0</v>
      </c>
      <c r="AA584" s="199">
        <v>0.0</v>
      </c>
      <c r="AB584" s="199">
        <v>0.0</v>
      </c>
      <c r="AC584" s="199">
        <v>1.0</v>
      </c>
      <c r="AD584" s="199">
        <v>0.0</v>
      </c>
      <c r="AE584" s="199">
        <v>74.0</v>
      </c>
      <c r="AF584" s="199">
        <v>0.0</v>
      </c>
      <c r="AG584" s="199">
        <v>361.0</v>
      </c>
      <c r="AH584" s="199">
        <v>646.0</v>
      </c>
      <c r="AI584" s="200" t="s">
        <v>655</v>
      </c>
      <c r="AJ584" s="200" t="s">
        <v>656</v>
      </c>
      <c r="AK584" s="200"/>
      <c r="AL584" s="204"/>
      <c r="AM584" s="204"/>
    </row>
    <row r="585">
      <c r="A585" s="199" t="s">
        <v>209</v>
      </c>
      <c r="B585" s="200" t="s">
        <v>818</v>
      </c>
      <c r="C585" s="199">
        <v>2.5180296204E10</v>
      </c>
      <c r="D585" s="201">
        <v>45826.0</v>
      </c>
      <c r="E585" s="202" t="s">
        <v>101</v>
      </c>
      <c r="F585" s="202" t="s">
        <v>101</v>
      </c>
      <c r="G585" s="203" t="s">
        <v>100</v>
      </c>
      <c r="H585" s="203" t="s">
        <v>100</v>
      </c>
      <c r="I585" s="37"/>
      <c r="J585" s="37"/>
      <c r="K585" s="37"/>
      <c r="L585" s="199">
        <v>9.0</v>
      </c>
      <c r="M585" s="199">
        <v>46.5</v>
      </c>
      <c r="N585" s="199"/>
      <c r="O585" s="199">
        <v>0.0</v>
      </c>
      <c r="P585" s="199">
        <v>0.1</v>
      </c>
      <c r="Q585" s="199">
        <v>0.0</v>
      </c>
      <c r="R585" s="199">
        <v>1.0</v>
      </c>
      <c r="S585" s="199">
        <v>0.0</v>
      </c>
      <c r="T585" s="199">
        <v>0.0</v>
      </c>
      <c r="U585" s="199">
        <v>3.0</v>
      </c>
      <c r="V585" s="199">
        <v>0.0</v>
      </c>
      <c r="W585" s="199">
        <v>0.0</v>
      </c>
      <c r="X585" s="199">
        <v>1.0</v>
      </c>
      <c r="Y585" s="199">
        <v>0.0</v>
      </c>
      <c r="Z585" s="199">
        <v>0.0</v>
      </c>
      <c r="AA585" s="199">
        <v>0.0</v>
      </c>
      <c r="AB585" s="199">
        <v>0.0</v>
      </c>
      <c r="AC585" s="199">
        <v>0.0</v>
      </c>
      <c r="AD585" s="199">
        <v>0.0</v>
      </c>
      <c r="AE585" s="199">
        <v>81.0</v>
      </c>
      <c r="AF585" s="199">
        <v>2.0</v>
      </c>
      <c r="AG585" s="199">
        <v>327.0</v>
      </c>
      <c r="AH585" s="199">
        <v>450.0</v>
      </c>
      <c r="AI585" s="200" t="s">
        <v>776</v>
      </c>
      <c r="AJ585" s="200" t="s">
        <v>902</v>
      </c>
      <c r="AK585" s="200"/>
      <c r="AL585" s="204"/>
      <c r="AM585" s="204"/>
    </row>
    <row r="586">
      <c r="A586" s="199" t="s">
        <v>209</v>
      </c>
      <c r="B586" s="200" t="s">
        <v>818</v>
      </c>
      <c r="C586" s="199">
        <v>2.5258159204E10</v>
      </c>
      <c r="D586" s="201">
        <v>45909.0</v>
      </c>
      <c r="E586" s="202" t="s">
        <v>100</v>
      </c>
      <c r="F586" s="202" t="s">
        <v>100</v>
      </c>
      <c r="G586" s="203" t="s">
        <v>100</v>
      </c>
      <c r="H586" s="203" t="s">
        <v>100</v>
      </c>
      <c r="I586" s="199">
        <v>9329.0</v>
      </c>
      <c r="J586" s="199">
        <v>3142.0</v>
      </c>
      <c r="K586" s="199">
        <v>918.0</v>
      </c>
      <c r="L586" s="199">
        <v>7.0</v>
      </c>
      <c r="M586" s="199">
        <v>41.7</v>
      </c>
      <c r="N586" s="199"/>
      <c r="O586" s="199">
        <v>0.0</v>
      </c>
      <c r="P586" s="199">
        <v>0.01</v>
      </c>
      <c r="Q586" s="199">
        <v>0.0</v>
      </c>
      <c r="R586" s="199">
        <v>5.0</v>
      </c>
      <c r="S586" s="199">
        <v>1.0</v>
      </c>
      <c r="T586" s="199">
        <v>3.0</v>
      </c>
      <c r="U586" s="199">
        <v>4.0</v>
      </c>
      <c r="V586" s="199">
        <v>0.0</v>
      </c>
      <c r="W586" s="199">
        <v>0.0</v>
      </c>
      <c r="X586" s="199">
        <v>0.0</v>
      </c>
      <c r="Y586" s="199">
        <v>0.0</v>
      </c>
      <c r="Z586" s="199">
        <v>0.0</v>
      </c>
      <c r="AA586" s="199">
        <v>0.0</v>
      </c>
      <c r="AB586" s="199">
        <v>0.0</v>
      </c>
      <c r="AC586" s="199">
        <v>0.0</v>
      </c>
      <c r="AD586" s="199">
        <v>0.0</v>
      </c>
      <c r="AE586" s="199">
        <v>77.0</v>
      </c>
      <c r="AF586" s="199">
        <v>0.0</v>
      </c>
      <c r="AG586" s="199">
        <v>491.0</v>
      </c>
      <c r="AH586" s="199">
        <v>525.0</v>
      </c>
      <c r="AI586" s="200" t="s">
        <v>655</v>
      </c>
      <c r="AJ586" s="200" t="s">
        <v>656</v>
      </c>
      <c r="AK586" s="200"/>
      <c r="AL586" s="204"/>
      <c r="AM586" s="204"/>
    </row>
    <row r="587">
      <c r="A587" s="199" t="s">
        <v>209</v>
      </c>
      <c r="B587" s="200" t="s">
        <v>818</v>
      </c>
      <c r="C587" s="199">
        <v>2.5294210206E10</v>
      </c>
      <c r="D587" s="201">
        <v>45946.0</v>
      </c>
      <c r="E587" s="202" t="s">
        <v>100</v>
      </c>
      <c r="F587" s="202" t="s">
        <v>100</v>
      </c>
      <c r="G587" s="203" t="s">
        <v>100</v>
      </c>
      <c r="H587" s="203" t="s">
        <v>100</v>
      </c>
      <c r="I587" s="199">
        <v>6174.0</v>
      </c>
      <c r="J587" s="199">
        <v>2121.0</v>
      </c>
      <c r="K587" s="199">
        <v>619.0</v>
      </c>
      <c r="L587" s="199">
        <v>5.0</v>
      </c>
      <c r="M587" s="199">
        <v>43.9</v>
      </c>
      <c r="N587" s="199"/>
      <c r="O587" s="199">
        <v>0.0</v>
      </c>
      <c r="P587" s="199">
        <v>0.003</v>
      </c>
      <c r="Q587" s="199">
        <v>0.0</v>
      </c>
      <c r="R587" s="199">
        <v>3.0</v>
      </c>
      <c r="S587" s="199">
        <v>0.0</v>
      </c>
      <c r="T587" s="199">
        <v>2.0</v>
      </c>
      <c r="U587" s="199">
        <v>0.0</v>
      </c>
      <c r="V587" s="199">
        <v>0.0</v>
      </c>
      <c r="W587" s="199">
        <v>0.0</v>
      </c>
      <c r="X587" s="199">
        <v>0.0</v>
      </c>
      <c r="Y587" s="199">
        <v>0.0</v>
      </c>
      <c r="Z587" s="199">
        <v>0.0</v>
      </c>
      <c r="AA587" s="199">
        <v>0.0</v>
      </c>
      <c r="AB587" s="199">
        <v>0.0</v>
      </c>
      <c r="AC587" s="199">
        <v>0.0</v>
      </c>
      <c r="AD587" s="199">
        <v>0.0</v>
      </c>
      <c r="AE587" s="199">
        <v>42.0</v>
      </c>
      <c r="AF587" s="199">
        <v>0.0</v>
      </c>
      <c r="AG587" s="199">
        <v>298.0</v>
      </c>
      <c r="AH587" s="199">
        <v>327.0</v>
      </c>
      <c r="AI587" s="200" t="s">
        <v>655</v>
      </c>
      <c r="AJ587" s="200" t="s">
        <v>656</v>
      </c>
      <c r="AK587" s="200"/>
      <c r="AL587" s="204"/>
      <c r="AM587" s="204"/>
    </row>
    <row r="588">
      <c r="A588" s="199" t="s">
        <v>209</v>
      </c>
      <c r="B588" s="200" t="s">
        <v>818</v>
      </c>
      <c r="C588" s="199">
        <v>2.5330261206E10</v>
      </c>
      <c r="D588" s="201">
        <v>45977.0</v>
      </c>
      <c r="E588" s="202" t="s">
        <v>100</v>
      </c>
      <c r="F588" s="202" t="s">
        <v>100</v>
      </c>
      <c r="G588" s="203" t="s">
        <v>100</v>
      </c>
      <c r="H588" s="203" t="s">
        <v>100</v>
      </c>
      <c r="I588" s="199">
        <v>7087.0</v>
      </c>
      <c r="J588" s="199">
        <v>3100.0</v>
      </c>
      <c r="K588" s="199">
        <v>917.0</v>
      </c>
      <c r="L588" s="199">
        <v>3.0</v>
      </c>
      <c r="M588" s="199">
        <v>43.5</v>
      </c>
      <c r="N588" s="199"/>
      <c r="O588" s="199">
        <v>1.0</v>
      </c>
      <c r="P588" s="199">
        <v>0.003</v>
      </c>
      <c r="Q588" s="199">
        <v>0.0</v>
      </c>
      <c r="R588" s="199">
        <v>0.0</v>
      </c>
      <c r="S588" s="199">
        <v>0.0</v>
      </c>
      <c r="T588" s="199">
        <v>0.0</v>
      </c>
      <c r="U588" s="199">
        <v>0.0</v>
      </c>
      <c r="V588" s="199">
        <v>0.0</v>
      </c>
      <c r="W588" s="199">
        <v>0.0</v>
      </c>
      <c r="X588" s="199">
        <v>0.0</v>
      </c>
      <c r="Y588" s="199">
        <v>0.0</v>
      </c>
      <c r="Z588" s="199">
        <v>0.0</v>
      </c>
      <c r="AA588" s="199">
        <v>0.0</v>
      </c>
      <c r="AB588" s="199">
        <v>0.0</v>
      </c>
      <c r="AC588" s="199">
        <v>3.0</v>
      </c>
      <c r="AD588" s="199">
        <v>0.0</v>
      </c>
      <c r="AE588" s="199">
        <v>75.0</v>
      </c>
      <c r="AF588" s="199">
        <v>2.0</v>
      </c>
      <c r="AG588" s="199">
        <v>416.0</v>
      </c>
      <c r="AH588" s="199">
        <v>463.0</v>
      </c>
      <c r="AI588" s="200" t="s">
        <v>655</v>
      </c>
      <c r="AJ588" s="200" t="s">
        <v>656</v>
      </c>
      <c r="AK588" s="200"/>
      <c r="AL588" s="204"/>
      <c r="AM588" s="204"/>
    </row>
    <row r="589">
      <c r="A589" s="199" t="s">
        <v>146</v>
      </c>
      <c r="B589" s="200" t="s">
        <v>903</v>
      </c>
      <c r="C589" s="199">
        <v>2.4211297226E10</v>
      </c>
      <c r="D589" s="201">
        <v>45497.0</v>
      </c>
      <c r="E589" s="202" t="s">
        <v>100</v>
      </c>
      <c r="F589" s="202" t="s">
        <v>100</v>
      </c>
      <c r="G589" s="203" t="s">
        <v>100</v>
      </c>
      <c r="H589" s="203" t="s">
        <v>100</v>
      </c>
      <c r="I589" s="199">
        <v>3608.0</v>
      </c>
      <c r="J589" s="199">
        <v>1001.0</v>
      </c>
      <c r="K589" s="199">
        <v>251.0</v>
      </c>
      <c r="L589" s="199">
        <v>2.0</v>
      </c>
      <c r="M589" s="199">
        <v>66.3</v>
      </c>
      <c r="N589" s="199"/>
      <c r="O589" s="199">
        <v>0.0</v>
      </c>
      <c r="P589" s="199">
        <v>0.003</v>
      </c>
      <c r="Q589" s="199">
        <v>0.0</v>
      </c>
      <c r="R589" s="199">
        <v>4.0</v>
      </c>
      <c r="S589" s="199">
        <v>1.0</v>
      </c>
      <c r="T589" s="199">
        <v>3.0</v>
      </c>
      <c r="U589" s="199">
        <v>2.0</v>
      </c>
      <c r="V589" s="199">
        <v>0.0</v>
      </c>
      <c r="W589" s="199">
        <v>0.0</v>
      </c>
      <c r="X589" s="199">
        <v>0.0</v>
      </c>
      <c r="Y589" s="199">
        <v>0.0</v>
      </c>
      <c r="Z589" s="199">
        <v>0.0</v>
      </c>
      <c r="AA589" s="199">
        <v>0.0</v>
      </c>
      <c r="AB589" s="199">
        <v>4.0</v>
      </c>
      <c r="AC589" s="199">
        <v>2.0</v>
      </c>
      <c r="AD589" s="199">
        <v>0.0</v>
      </c>
      <c r="AE589" s="199">
        <v>8.0</v>
      </c>
      <c r="AF589" s="199">
        <v>0.0</v>
      </c>
      <c r="AG589" s="199">
        <v>26.0</v>
      </c>
      <c r="AH589" s="199">
        <v>19.0</v>
      </c>
      <c r="AI589" s="200" t="s">
        <v>655</v>
      </c>
      <c r="AJ589" s="200" t="s">
        <v>656</v>
      </c>
      <c r="AK589" s="200"/>
      <c r="AL589" s="204"/>
      <c r="AM589" s="204"/>
    </row>
    <row r="590">
      <c r="A590" s="199" t="s">
        <v>146</v>
      </c>
      <c r="B590" s="200" t="s">
        <v>903</v>
      </c>
      <c r="C590" s="199">
        <v>2.4303290243E10</v>
      </c>
      <c r="D590" s="201">
        <v>45589.0</v>
      </c>
      <c r="E590" s="202" t="s">
        <v>100</v>
      </c>
      <c r="F590" s="202" t="s">
        <v>100</v>
      </c>
      <c r="G590" s="203" t="s">
        <v>100</v>
      </c>
      <c r="H590" s="203" t="s">
        <v>100</v>
      </c>
      <c r="I590" s="199">
        <v>6812.0</v>
      </c>
      <c r="J590" s="199">
        <v>1457.0</v>
      </c>
      <c r="K590" s="199">
        <v>515.0</v>
      </c>
      <c r="L590" s="199">
        <v>3.0</v>
      </c>
      <c r="M590" s="199">
        <v>66.6</v>
      </c>
      <c r="N590" s="199"/>
      <c r="O590" s="199">
        <v>0.0</v>
      </c>
      <c r="P590" s="199">
        <v>0.003</v>
      </c>
      <c r="Q590" s="199">
        <v>0.0</v>
      </c>
      <c r="R590" s="199">
        <v>0.0</v>
      </c>
      <c r="S590" s="199">
        <v>2.0</v>
      </c>
      <c r="T590" s="199">
        <v>2.0</v>
      </c>
      <c r="U590" s="199">
        <v>10.0</v>
      </c>
      <c r="V590" s="199">
        <v>0.0</v>
      </c>
      <c r="W590" s="199">
        <v>0.0</v>
      </c>
      <c r="X590" s="199">
        <v>2.0</v>
      </c>
      <c r="Y590" s="199">
        <v>0.0</v>
      </c>
      <c r="Z590" s="199">
        <v>0.0</v>
      </c>
      <c r="AA590" s="199">
        <v>0.0</v>
      </c>
      <c r="AB590" s="199">
        <v>8.0</v>
      </c>
      <c r="AC590" s="199">
        <v>10.0</v>
      </c>
      <c r="AD590" s="199">
        <v>0.0</v>
      </c>
      <c r="AE590" s="199">
        <v>14.0</v>
      </c>
      <c r="AF590" s="199">
        <v>2.0</v>
      </c>
      <c r="AG590" s="199">
        <v>20.0</v>
      </c>
      <c r="AH590" s="199">
        <v>32.0</v>
      </c>
      <c r="AI590" s="200" t="s">
        <v>655</v>
      </c>
      <c r="AJ590" s="200" t="s">
        <v>656</v>
      </c>
      <c r="AK590" s="200"/>
      <c r="AL590" s="204"/>
      <c r="AM590" s="204"/>
    </row>
    <row r="591">
      <c r="A591" s="199" t="s">
        <v>227</v>
      </c>
      <c r="B591" s="200" t="s">
        <v>822</v>
      </c>
      <c r="C591" s="199">
        <v>2.5258159212E10</v>
      </c>
      <c r="D591" s="201">
        <v>45910.0</v>
      </c>
      <c r="E591" s="202" t="s">
        <v>101</v>
      </c>
      <c r="F591" s="202" t="s">
        <v>100</v>
      </c>
      <c r="G591" s="203" t="s">
        <v>100</v>
      </c>
      <c r="H591" s="203" t="s">
        <v>101</v>
      </c>
      <c r="I591" s="199">
        <v>19562.0</v>
      </c>
      <c r="J591" s="199">
        <v>10074.0</v>
      </c>
      <c r="K591" s="199">
        <v>4168.0</v>
      </c>
      <c r="L591" s="199">
        <v>4.0</v>
      </c>
      <c r="M591" s="199">
        <v>226.1</v>
      </c>
      <c r="N591" s="199"/>
      <c r="O591" s="199">
        <v>0.0</v>
      </c>
      <c r="P591" s="199">
        <v>0.003</v>
      </c>
      <c r="Q591" s="199">
        <v>0.0</v>
      </c>
      <c r="R591" s="199">
        <v>2.0</v>
      </c>
      <c r="S591" s="199">
        <v>1.0</v>
      </c>
      <c r="T591" s="199">
        <v>2.0</v>
      </c>
      <c r="U591" s="199">
        <v>1.0</v>
      </c>
      <c r="V591" s="199">
        <v>0.0</v>
      </c>
      <c r="W591" s="199">
        <v>0.0</v>
      </c>
      <c r="X591" s="199">
        <v>0.0</v>
      </c>
      <c r="Y591" s="199">
        <v>0.0</v>
      </c>
      <c r="Z591" s="199">
        <v>2.0</v>
      </c>
      <c r="AA591" s="199">
        <v>0.0</v>
      </c>
      <c r="AB591" s="199">
        <v>19.0</v>
      </c>
      <c r="AC591" s="199">
        <v>10.0</v>
      </c>
      <c r="AD591" s="199">
        <v>0.0</v>
      </c>
      <c r="AE591" s="199">
        <v>11.0</v>
      </c>
      <c r="AF591" s="199">
        <v>0.0</v>
      </c>
      <c r="AG591" s="199">
        <v>369.0</v>
      </c>
      <c r="AH591" s="199">
        <v>2.0</v>
      </c>
      <c r="AI591" s="200" t="s">
        <v>776</v>
      </c>
      <c r="AJ591" s="200" t="s">
        <v>902</v>
      </c>
      <c r="AK591" s="200"/>
      <c r="AL591" s="204"/>
      <c r="AM591" s="204"/>
    </row>
    <row r="592">
      <c r="A592" s="199" t="s">
        <v>146</v>
      </c>
      <c r="B592" s="200" t="s">
        <v>903</v>
      </c>
      <c r="C592" s="199">
        <v>2.6090313213E10</v>
      </c>
      <c r="D592" s="201">
        <v>46093.0</v>
      </c>
      <c r="E592" s="202" t="s">
        <v>101</v>
      </c>
      <c r="F592" s="202" t="s">
        <v>100</v>
      </c>
      <c r="G592" s="203" t="s">
        <v>100</v>
      </c>
      <c r="H592" s="203" t="s">
        <v>101</v>
      </c>
      <c r="I592" s="199">
        <v>9107.0</v>
      </c>
      <c r="J592" s="199">
        <v>4642.0</v>
      </c>
      <c r="K592" s="199">
        <v>1078.0</v>
      </c>
      <c r="L592" s="199">
        <v>10.0</v>
      </c>
      <c r="M592" s="199">
        <v>45.6</v>
      </c>
      <c r="N592" s="199"/>
      <c r="O592" s="199">
        <v>0.0</v>
      </c>
      <c r="P592" s="199">
        <v>0.01</v>
      </c>
      <c r="Q592" s="199">
        <v>0.0</v>
      </c>
      <c r="R592" s="199">
        <v>1.0</v>
      </c>
      <c r="S592" s="199">
        <v>0.0</v>
      </c>
      <c r="T592" s="199">
        <v>8.0</v>
      </c>
      <c r="U592" s="199">
        <v>3.0</v>
      </c>
      <c r="V592" s="199">
        <v>0.0</v>
      </c>
      <c r="W592" s="199">
        <v>0.0</v>
      </c>
      <c r="X592" s="199">
        <v>0.0</v>
      </c>
      <c r="Y592" s="199">
        <v>0.0</v>
      </c>
      <c r="Z592" s="199">
        <v>0.0</v>
      </c>
      <c r="AA592" s="199">
        <v>0.0</v>
      </c>
      <c r="AB592" s="199">
        <v>2.0</v>
      </c>
      <c r="AC592" s="199">
        <v>0.0</v>
      </c>
      <c r="AD592" s="199">
        <v>0.0</v>
      </c>
      <c r="AE592" s="199">
        <v>126.0</v>
      </c>
      <c r="AF592" s="199">
        <v>2.0</v>
      </c>
      <c r="AG592" s="199">
        <v>466.0</v>
      </c>
      <c r="AH592" s="199">
        <v>655.0</v>
      </c>
      <c r="AI592" s="200" t="s">
        <v>661</v>
      </c>
      <c r="AJ592" s="200" t="s">
        <v>662</v>
      </c>
      <c r="AK592" s="200"/>
      <c r="AL592" s="204"/>
      <c r="AM592" s="204"/>
    </row>
    <row r="593">
      <c r="A593" s="199" t="s">
        <v>192</v>
      </c>
      <c r="B593" s="200" t="s">
        <v>423</v>
      </c>
      <c r="C593" s="199">
        <v>2.6061630205E10</v>
      </c>
      <c r="D593" s="201">
        <v>46065.0</v>
      </c>
      <c r="E593" s="202" t="s">
        <v>100</v>
      </c>
      <c r="F593" s="202" t="s">
        <v>100</v>
      </c>
      <c r="G593" s="203" t="s">
        <v>100</v>
      </c>
      <c r="H593" s="203" t="s">
        <v>100</v>
      </c>
      <c r="I593" s="37"/>
      <c r="J593" s="37"/>
      <c r="K593" s="37"/>
      <c r="L593" s="199">
        <v>5.0</v>
      </c>
      <c r="M593" s="199">
        <v>89.0</v>
      </c>
      <c r="N593" s="37"/>
      <c r="O593" s="37"/>
      <c r="P593" s="199">
        <v>0.003</v>
      </c>
      <c r="Q593" s="199">
        <v>0.0</v>
      </c>
      <c r="R593" s="199">
        <v>0.0</v>
      </c>
      <c r="S593" s="199">
        <v>0.0</v>
      </c>
      <c r="T593" s="199">
        <v>0.0</v>
      </c>
      <c r="U593" s="199">
        <v>5.0</v>
      </c>
      <c r="V593" s="199">
        <v>0.0</v>
      </c>
      <c r="W593" s="199">
        <v>0.0</v>
      </c>
      <c r="X593" s="199">
        <v>0.0</v>
      </c>
      <c r="Y593" s="199">
        <v>0.0</v>
      </c>
      <c r="Z593" s="199">
        <v>0.0</v>
      </c>
      <c r="AA593" s="199">
        <v>0.0</v>
      </c>
      <c r="AB593" s="199">
        <v>18.0</v>
      </c>
      <c r="AC593" s="199">
        <v>0.0</v>
      </c>
      <c r="AD593" s="199">
        <v>0.0</v>
      </c>
      <c r="AE593" s="199">
        <v>14.0</v>
      </c>
      <c r="AF593" s="199">
        <v>0.0</v>
      </c>
      <c r="AG593" s="199">
        <v>629.0</v>
      </c>
      <c r="AH593" s="199">
        <v>0.0</v>
      </c>
      <c r="AI593" s="200" t="s">
        <v>655</v>
      </c>
      <c r="AJ593" s="200" t="s">
        <v>656</v>
      </c>
      <c r="AK593" s="200"/>
      <c r="AL593" s="204"/>
      <c r="AM593" s="204"/>
    </row>
    <row r="594">
      <c r="A594" s="199" t="s">
        <v>191</v>
      </c>
      <c r="B594" s="200" t="s">
        <v>901</v>
      </c>
      <c r="C594" s="199">
        <v>2.6060130244E10</v>
      </c>
      <c r="D594" s="201">
        <v>46065.0</v>
      </c>
      <c r="E594" s="202" t="s">
        <v>100</v>
      </c>
      <c r="F594" s="202" t="s">
        <v>100</v>
      </c>
      <c r="G594" s="203" t="s">
        <v>100</v>
      </c>
      <c r="H594" s="203" t="s">
        <v>100</v>
      </c>
      <c r="I594" s="199">
        <v>9497.0</v>
      </c>
      <c r="J594" s="199">
        <v>4318.0</v>
      </c>
      <c r="K594" s="199">
        <v>1227.0</v>
      </c>
      <c r="L594" s="199">
        <v>3.0</v>
      </c>
      <c r="M594" s="199">
        <v>46.1</v>
      </c>
      <c r="N594" s="199"/>
      <c r="O594" s="199">
        <v>0.0</v>
      </c>
      <c r="P594" s="199">
        <v>0.003</v>
      </c>
      <c r="Q594" s="199">
        <v>0.0</v>
      </c>
      <c r="R594" s="199">
        <v>0.0</v>
      </c>
      <c r="S594" s="199">
        <v>0.0</v>
      </c>
      <c r="T594" s="199">
        <v>0.0</v>
      </c>
      <c r="U594" s="199">
        <v>0.0</v>
      </c>
      <c r="V594" s="199">
        <v>0.0</v>
      </c>
      <c r="W594" s="199">
        <v>0.0</v>
      </c>
      <c r="X594" s="199">
        <v>0.0</v>
      </c>
      <c r="Y594" s="199">
        <v>0.0</v>
      </c>
      <c r="Z594" s="199">
        <v>0.0</v>
      </c>
      <c r="AA594" s="199">
        <v>0.0</v>
      </c>
      <c r="AB594" s="199">
        <v>0.0</v>
      </c>
      <c r="AC594" s="199">
        <v>1.0</v>
      </c>
      <c r="AD594" s="199">
        <v>0.0</v>
      </c>
      <c r="AE594" s="199">
        <v>75.0</v>
      </c>
      <c r="AF594" s="199">
        <v>0.0</v>
      </c>
      <c r="AG594" s="199">
        <v>380.0</v>
      </c>
      <c r="AH594" s="199">
        <v>517.0</v>
      </c>
      <c r="AI594" s="200" t="s">
        <v>655</v>
      </c>
      <c r="AJ594" s="200" t="s">
        <v>656</v>
      </c>
      <c r="AK594" s="200"/>
      <c r="AL594" s="204"/>
      <c r="AM594" s="204"/>
    </row>
    <row r="595">
      <c r="A595" s="199" t="s">
        <v>3</v>
      </c>
      <c r="B595" s="200" t="s">
        <v>800</v>
      </c>
      <c r="C595" s="199">
        <v>2.3161106255E10</v>
      </c>
      <c r="D595" s="201">
        <v>45076.0</v>
      </c>
      <c r="E595" s="202" t="s">
        <v>101</v>
      </c>
      <c r="F595" s="202" t="s">
        <v>101</v>
      </c>
      <c r="G595" s="203" t="s">
        <v>101</v>
      </c>
      <c r="H595" s="203" t="s">
        <v>101</v>
      </c>
      <c r="I595" s="37"/>
      <c r="J595" s="37"/>
      <c r="K595" s="37"/>
      <c r="L595" s="199">
        <v>71.0</v>
      </c>
      <c r="M595" s="199">
        <v>58.1</v>
      </c>
      <c r="N595" s="199"/>
      <c r="O595" s="199">
        <v>0.0</v>
      </c>
      <c r="P595" s="37"/>
      <c r="Q595" s="199">
        <v>0.0</v>
      </c>
      <c r="R595" s="199">
        <v>0.0</v>
      </c>
      <c r="S595" s="199">
        <v>0.0</v>
      </c>
      <c r="T595" s="199">
        <v>264.0</v>
      </c>
      <c r="U595" s="199">
        <v>84.0</v>
      </c>
      <c r="V595" s="199">
        <v>0.0</v>
      </c>
      <c r="W595" s="199">
        <v>0.0</v>
      </c>
      <c r="X595" s="199">
        <v>6.0</v>
      </c>
      <c r="Y595" s="199">
        <v>36.0</v>
      </c>
      <c r="Z595" s="199">
        <v>0.0</v>
      </c>
      <c r="AA595" s="199">
        <v>0.0</v>
      </c>
      <c r="AB595" s="199">
        <v>29.0</v>
      </c>
      <c r="AC595" s="199">
        <v>55.0</v>
      </c>
      <c r="AD595" s="199">
        <v>0.0</v>
      </c>
      <c r="AE595" s="199">
        <v>62.0</v>
      </c>
      <c r="AF595" s="199">
        <v>0.0</v>
      </c>
      <c r="AG595" s="199">
        <v>271.0</v>
      </c>
      <c r="AH595" s="199">
        <v>1.0</v>
      </c>
      <c r="AI595" s="200" t="s">
        <v>808</v>
      </c>
      <c r="AJ595" s="200" t="s">
        <v>904</v>
      </c>
      <c r="AK595" s="200"/>
      <c r="AL595" s="204"/>
      <c r="AM595" s="204"/>
    </row>
    <row r="596">
      <c r="A596" s="199" t="s">
        <v>3</v>
      </c>
      <c r="B596" s="200" t="s">
        <v>800</v>
      </c>
      <c r="C596" s="199">
        <v>2.3275210251E10</v>
      </c>
      <c r="D596" s="201">
        <v>45194.0</v>
      </c>
      <c r="E596" s="202" t="s">
        <v>101</v>
      </c>
      <c r="F596" s="202" t="s">
        <v>101</v>
      </c>
      <c r="G596" s="203" t="s">
        <v>101</v>
      </c>
      <c r="H596" s="203" t="s">
        <v>101</v>
      </c>
      <c r="I596" s="37"/>
      <c r="J596" s="37"/>
      <c r="K596" s="37"/>
      <c r="L596" s="199">
        <v>92.0</v>
      </c>
      <c r="M596" s="199">
        <v>58.3</v>
      </c>
      <c r="N596" s="199"/>
      <c r="O596" s="199">
        <v>3.0</v>
      </c>
      <c r="P596" s="37"/>
      <c r="Q596" s="199">
        <v>0.0</v>
      </c>
      <c r="R596" s="199">
        <v>7.0</v>
      </c>
      <c r="S596" s="199">
        <v>0.0</v>
      </c>
      <c r="T596" s="199">
        <v>423.0</v>
      </c>
      <c r="U596" s="199">
        <v>139.0</v>
      </c>
      <c r="V596" s="199">
        <v>0.0</v>
      </c>
      <c r="W596" s="199">
        <v>0.0</v>
      </c>
      <c r="X596" s="199">
        <v>12.0</v>
      </c>
      <c r="Y596" s="199">
        <v>53.0</v>
      </c>
      <c r="Z596" s="199">
        <v>11.0</v>
      </c>
      <c r="AA596" s="199">
        <v>4.0</v>
      </c>
      <c r="AB596" s="199">
        <v>26.0</v>
      </c>
      <c r="AC596" s="199">
        <v>24.0</v>
      </c>
      <c r="AD596" s="199">
        <v>0.0</v>
      </c>
      <c r="AE596" s="199">
        <v>104.0</v>
      </c>
      <c r="AF596" s="199">
        <v>4.0</v>
      </c>
      <c r="AG596" s="199">
        <v>204.0</v>
      </c>
      <c r="AH596" s="199">
        <v>11.0</v>
      </c>
      <c r="AI596" s="200" t="s">
        <v>808</v>
      </c>
      <c r="AJ596" s="200" t="s">
        <v>905</v>
      </c>
      <c r="AK596" s="200"/>
      <c r="AL596" s="204"/>
      <c r="AM596" s="204"/>
    </row>
    <row r="597">
      <c r="A597" s="199" t="s">
        <v>3</v>
      </c>
      <c r="B597" s="200" t="s">
        <v>800</v>
      </c>
      <c r="C597" s="199">
        <v>2.507920324E10</v>
      </c>
      <c r="D597" s="201">
        <v>45725.0</v>
      </c>
      <c r="E597" s="202" t="s">
        <v>101</v>
      </c>
      <c r="F597" s="202" t="s">
        <v>101</v>
      </c>
      <c r="G597" s="203" t="s">
        <v>101</v>
      </c>
      <c r="H597" s="203" t="s">
        <v>101</v>
      </c>
      <c r="I597" s="37"/>
      <c r="J597" s="37"/>
      <c r="K597" s="37"/>
      <c r="L597" s="199">
        <v>27.0</v>
      </c>
      <c r="M597" s="199">
        <v>60.2</v>
      </c>
      <c r="N597" s="199"/>
      <c r="O597" s="199">
        <v>3.0</v>
      </c>
      <c r="P597" s="37"/>
      <c r="Q597" s="199">
        <v>0.0</v>
      </c>
      <c r="R597" s="199">
        <v>10.0</v>
      </c>
      <c r="S597" s="199">
        <v>1.0</v>
      </c>
      <c r="T597" s="199">
        <v>161.0</v>
      </c>
      <c r="U597" s="199">
        <v>17.0</v>
      </c>
      <c r="V597" s="199">
        <v>2.0</v>
      </c>
      <c r="W597" s="199">
        <v>0.0</v>
      </c>
      <c r="X597" s="199">
        <v>4.0</v>
      </c>
      <c r="Y597" s="199">
        <v>0.0</v>
      </c>
      <c r="Z597" s="199">
        <v>5.0</v>
      </c>
      <c r="AA597" s="199">
        <v>0.0</v>
      </c>
      <c r="AB597" s="199">
        <v>21.0</v>
      </c>
      <c r="AC597" s="199">
        <v>26.0</v>
      </c>
      <c r="AD597" s="199">
        <v>0.0</v>
      </c>
      <c r="AE597" s="199">
        <v>42.0</v>
      </c>
      <c r="AF597" s="199">
        <v>3.0</v>
      </c>
      <c r="AG597" s="199">
        <v>192.0</v>
      </c>
      <c r="AH597" s="199">
        <v>4.0</v>
      </c>
      <c r="AI597" s="200" t="s">
        <v>808</v>
      </c>
      <c r="AJ597" s="200" t="s">
        <v>904</v>
      </c>
      <c r="AK597" s="200"/>
      <c r="AL597" s="204"/>
      <c r="AM597" s="204"/>
    </row>
    <row r="598">
      <c r="A598" s="199" t="s">
        <v>3</v>
      </c>
      <c r="B598" s="200" t="s">
        <v>800</v>
      </c>
      <c r="C598" s="199">
        <v>2.5258159236E10</v>
      </c>
      <c r="D598" s="201">
        <v>45909.0</v>
      </c>
      <c r="E598" s="202" t="s">
        <v>101</v>
      </c>
      <c r="F598" s="202" t="s">
        <v>101</v>
      </c>
      <c r="G598" s="203" t="s">
        <v>101</v>
      </c>
      <c r="H598" s="203" t="s">
        <v>102</v>
      </c>
      <c r="I598" s="37"/>
      <c r="J598" s="37"/>
      <c r="K598" s="37"/>
      <c r="L598" s="199">
        <v>58.0</v>
      </c>
      <c r="M598" s="199">
        <v>50.2</v>
      </c>
      <c r="N598" s="199"/>
      <c r="O598" s="199">
        <v>7.0</v>
      </c>
      <c r="P598" s="37"/>
      <c r="Q598" s="199">
        <v>0.0</v>
      </c>
      <c r="R598" s="199">
        <v>82.0</v>
      </c>
      <c r="S598" s="199">
        <v>1.0</v>
      </c>
      <c r="T598" s="199">
        <v>72.0</v>
      </c>
      <c r="U598" s="199">
        <v>189.0</v>
      </c>
      <c r="V598" s="199">
        <v>0.0</v>
      </c>
      <c r="W598" s="199">
        <v>0.0</v>
      </c>
      <c r="X598" s="199">
        <v>25.0</v>
      </c>
      <c r="Y598" s="199">
        <v>0.0</v>
      </c>
      <c r="Z598" s="199">
        <v>12.0</v>
      </c>
      <c r="AA598" s="199">
        <v>0.0</v>
      </c>
      <c r="AB598" s="199">
        <v>65.0</v>
      </c>
      <c r="AC598" s="199">
        <v>48.0</v>
      </c>
      <c r="AD598" s="199">
        <v>0.0</v>
      </c>
      <c r="AE598" s="199">
        <v>1936.0</v>
      </c>
      <c r="AF598" s="199">
        <v>50.0</v>
      </c>
      <c r="AG598" s="199">
        <v>242.0</v>
      </c>
      <c r="AH598" s="199">
        <v>20.0</v>
      </c>
      <c r="AI598" s="200" t="s">
        <v>804</v>
      </c>
      <c r="AJ598" s="200" t="s">
        <v>868</v>
      </c>
      <c r="AK598" s="200"/>
      <c r="AL598" s="204"/>
      <c r="AM598" s="204"/>
    </row>
    <row r="599">
      <c r="A599" s="199" t="s">
        <v>3</v>
      </c>
      <c r="B599" s="200" t="s">
        <v>800</v>
      </c>
      <c r="C599" s="199">
        <v>2.6060130247E10</v>
      </c>
      <c r="D599" s="201">
        <v>46054.0</v>
      </c>
      <c r="E599" s="202" t="s">
        <v>101</v>
      </c>
      <c r="F599" s="202" t="s">
        <v>101</v>
      </c>
      <c r="G599" s="203" t="s">
        <v>101</v>
      </c>
      <c r="H599" s="203" t="s">
        <v>102</v>
      </c>
      <c r="I599" s="37"/>
      <c r="J599" s="37"/>
      <c r="K599" s="37"/>
      <c r="L599" s="199">
        <v>78.0</v>
      </c>
      <c r="M599" s="199">
        <v>49.0</v>
      </c>
      <c r="N599" s="199"/>
      <c r="O599" s="199">
        <v>18.0</v>
      </c>
      <c r="P599" s="37"/>
      <c r="Q599" s="199">
        <v>0.0</v>
      </c>
      <c r="R599" s="199">
        <v>1.0</v>
      </c>
      <c r="S599" s="199">
        <v>0.0</v>
      </c>
      <c r="T599" s="199">
        <v>363.0</v>
      </c>
      <c r="U599" s="199">
        <v>73.0</v>
      </c>
      <c r="V599" s="199">
        <v>0.0</v>
      </c>
      <c r="W599" s="199">
        <v>0.0</v>
      </c>
      <c r="X599" s="199">
        <v>12.0</v>
      </c>
      <c r="Y599" s="199">
        <v>0.0</v>
      </c>
      <c r="Z599" s="199">
        <v>2.0</v>
      </c>
      <c r="AA599" s="199">
        <v>0.0</v>
      </c>
      <c r="AB599" s="199">
        <v>34.0</v>
      </c>
      <c r="AC599" s="199">
        <v>31.0</v>
      </c>
      <c r="AD599" s="199">
        <v>0.0</v>
      </c>
      <c r="AE599" s="199">
        <v>69.0</v>
      </c>
      <c r="AF599" s="199">
        <v>5.0</v>
      </c>
      <c r="AG599" s="199">
        <v>281.0</v>
      </c>
      <c r="AH599" s="199">
        <v>20.0</v>
      </c>
      <c r="AI599" s="200" t="s">
        <v>787</v>
      </c>
      <c r="AJ599" s="200" t="s">
        <v>906</v>
      </c>
      <c r="AK599" s="200"/>
      <c r="AL599" s="204"/>
      <c r="AM599" s="204"/>
    </row>
    <row r="600">
      <c r="A600" s="199" t="s">
        <v>193</v>
      </c>
      <c r="B600" s="200" t="s">
        <v>800</v>
      </c>
      <c r="C600" s="199">
        <v>2.3161106251E10</v>
      </c>
      <c r="D600" s="201">
        <v>45076.0</v>
      </c>
      <c r="E600" s="202" t="s">
        <v>101</v>
      </c>
      <c r="F600" s="202" t="s">
        <v>102</v>
      </c>
      <c r="G600" s="203" t="s">
        <v>102</v>
      </c>
      <c r="H600" s="203" t="s">
        <v>101</v>
      </c>
      <c r="I600" s="37"/>
      <c r="J600" s="37"/>
      <c r="K600" s="37"/>
      <c r="L600" s="199">
        <v>31.0</v>
      </c>
      <c r="M600" s="199">
        <v>54.1</v>
      </c>
      <c r="N600" s="199"/>
      <c r="O600" s="199">
        <v>0.0</v>
      </c>
      <c r="P600" s="37"/>
      <c r="Q600" s="199">
        <v>0.0</v>
      </c>
      <c r="R600" s="199">
        <v>0.0</v>
      </c>
      <c r="S600" s="199">
        <v>0.0</v>
      </c>
      <c r="T600" s="199">
        <v>43.0</v>
      </c>
      <c r="U600" s="199">
        <v>37.0</v>
      </c>
      <c r="V600" s="199">
        <v>3.0</v>
      </c>
      <c r="W600" s="199">
        <v>0.0</v>
      </c>
      <c r="X600" s="199">
        <v>3.0</v>
      </c>
      <c r="Y600" s="199">
        <v>0.0</v>
      </c>
      <c r="Z600" s="199">
        <v>5.0</v>
      </c>
      <c r="AA600" s="199">
        <v>4.0</v>
      </c>
      <c r="AB600" s="199">
        <v>14.0</v>
      </c>
      <c r="AC600" s="199">
        <v>26.0</v>
      </c>
      <c r="AD600" s="199">
        <v>0.0</v>
      </c>
      <c r="AE600" s="199">
        <v>26.0</v>
      </c>
      <c r="AF600" s="199">
        <v>1.0</v>
      </c>
      <c r="AG600" s="199">
        <v>247.0</v>
      </c>
      <c r="AH600" s="199">
        <v>2.0</v>
      </c>
      <c r="AI600" s="200" t="s">
        <v>661</v>
      </c>
      <c r="AJ600" s="200" t="s">
        <v>662</v>
      </c>
      <c r="AK600" s="200"/>
      <c r="AL600" s="204"/>
      <c r="AM600" s="204"/>
    </row>
    <row r="601">
      <c r="A601" s="199" t="s">
        <v>193</v>
      </c>
      <c r="B601" s="200" t="s">
        <v>800</v>
      </c>
      <c r="C601" s="199">
        <v>2.3276310227E10</v>
      </c>
      <c r="D601" s="201">
        <v>45194.0</v>
      </c>
      <c r="E601" s="202" t="s">
        <v>101</v>
      </c>
      <c r="F601" s="202" t="s">
        <v>102</v>
      </c>
      <c r="G601" s="203" t="s">
        <v>102</v>
      </c>
      <c r="H601" s="203" t="s">
        <v>101</v>
      </c>
      <c r="I601" s="37"/>
      <c r="J601" s="37"/>
      <c r="K601" s="37"/>
      <c r="L601" s="199">
        <v>32.0</v>
      </c>
      <c r="M601" s="199">
        <v>52.5</v>
      </c>
      <c r="N601" s="199"/>
      <c r="O601" s="199">
        <v>0.0</v>
      </c>
      <c r="P601" s="37"/>
      <c r="Q601" s="199">
        <v>0.0</v>
      </c>
      <c r="R601" s="199">
        <v>5.0</v>
      </c>
      <c r="S601" s="199">
        <v>0.0</v>
      </c>
      <c r="T601" s="199">
        <v>36.0</v>
      </c>
      <c r="U601" s="199">
        <v>49.0</v>
      </c>
      <c r="V601" s="199">
        <v>0.0</v>
      </c>
      <c r="W601" s="199">
        <v>0.0</v>
      </c>
      <c r="X601" s="199">
        <v>1.0</v>
      </c>
      <c r="Y601" s="199">
        <v>5.0</v>
      </c>
      <c r="Z601" s="199">
        <v>4.0</v>
      </c>
      <c r="AA601" s="199">
        <v>4.0</v>
      </c>
      <c r="AB601" s="199">
        <v>16.0</v>
      </c>
      <c r="AC601" s="199">
        <v>40.0</v>
      </c>
      <c r="AD601" s="199">
        <v>0.0</v>
      </c>
      <c r="AE601" s="199">
        <v>35.0</v>
      </c>
      <c r="AF601" s="199">
        <v>2.0</v>
      </c>
      <c r="AG601" s="199">
        <v>174.0</v>
      </c>
      <c r="AH601" s="199">
        <v>5.0</v>
      </c>
      <c r="AI601" s="200" t="s">
        <v>661</v>
      </c>
      <c r="AJ601" s="200" t="s">
        <v>662</v>
      </c>
      <c r="AK601" s="200"/>
      <c r="AL601" s="204"/>
      <c r="AM601" s="204"/>
    </row>
    <row r="602">
      <c r="A602" s="199" t="s">
        <v>193</v>
      </c>
      <c r="B602" s="200" t="s">
        <v>800</v>
      </c>
      <c r="C602" s="199">
        <v>2.5079203241E10</v>
      </c>
      <c r="D602" s="201">
        <v>45725.0</v>
      </c>
      <c r="E602" s="202" t="s">
        <v>101</v>
      </c>
      <c r="F602" s="202" t="s">
        <v>101</v>
      </c>
      <c r="G602" s="203" t="s">
        <v>101</v>
      </c>
      <c r="H602" s="203" t="s">
        <v>101</v>
      </c>
      <c r="I602" s="37"/>
      <c r="J602" s="37"/>
      <c r="K602" s="37"/>
      <c r="L602" s="199">
        <v>25.0</v>
      </c>
      <c r="M602" s="199">
        <v>61.0</v>
      </c>
      <c r="N602" s="199"/>
      <c r="O602" s="199">
        <v>3.0</v>
      </c>
      <c r="P602" s="37"/>
      <c r="Q602" s="199">
        <v>0.0</v>
      </c>
      <c r="R602" s="199">
        <v>10.0</v>
      </c>
      <c r="S602" s="199">
        <v>1.0</v>
      </c>
      <c r="T602" s="199">
        <v>170.0</v>
      </c>
      <c r="U602" s="199">
        <v>18.0</v>
      </c>
      <c r="V602" s="199">
        <v>2.0</v>
      </c>
      <c r="W602" s="199">
        <v>0.0</v>
      </c>
      <c r="X602" s="199">
        <v>4.0</v>
      </c>
      <c r="Y602" s="199">
        <v>0.0</v>
      </c>
      <c r="Z602" s="199">
        <v>1.0</v>
      </c>
      <c r="AA602" s="199">
        <v>5.0</v>
      </c>
      <c r="AB602" s="199">
        <v>20.0</v>
      </c>
      <c r="AC602" s="199">
        <v>40.0</v>
      </c>
      <c r="AD602" s="199">
        <v>2.0</v>
      </c>
      <c r="AE602" s="199">
        <v>40.0</v>
      </c>
      <c r="AF602" s="199">
        <v>5.0</v>
      </c>
      <c r="AG602" s="199">
        <v>197.0</v>
      </c>
      <c r="AH602" s="199">
        <v>6.0</v>
      </c>
      <c r="AI602" s="200" t="s">
        <v>808</v>
      </c>
      <c r="AJ602" s="200" t="s">
        <v>904</v>
      </c>
      <c r="AK602" s="200"/>
      <c r="AL602" s="204"/>
      <c r="AM602" s="204"/>
    </row>
    <row r="603">
      <c r="A603" s="199" t="s">
        <v>193</v>
      </c>
      <c r="B603" s="200" t="s">
        <v>800</v>
      </c>
      <c r="C603" s="199">
        <v>2.525815923E10</v>
      </c>
      <c r="D603" s="201">
        <v>45909.0</v>
      </c>
      <c r="E603" s="202" t="s">
        <v>101</v>
      </c>
      <c r="F603" s="202" t="s">
        <v>102</v>
      </c>
      <c r="G603" s="203" t="s">
        <v>101</v>
      </c>
      <c r="H603" s="203" t="s">
        <v>100</v>
      </c>
      <c r="I603" s="37"/>
      <c r="J603" s="37"/>
      <c r="K603" s="37"/>
      <c r="L603" s="199">
        <v>168.0</v>
      </c>
      <c r="M603" s="199">
        <v>43.6</v>
      </c>
      <c r="N603" s="199"/>
      <c r="O603" s="199">
        <v>10.0</v>
      </c>
      <c r="P603" s="37"/>
      <c r="Q603" s="199">
        <v>0.0</v>
      </c>
      <c r="R603" s="199">
        <v>12.0</v>
      </c>
      <c r="S603" s="199">
        <v>1.0</v>
      </c>
      <c r="T603" s="199">
        <v>174.0</v>
      </c>
      <c r="U603" s="199">
        <v>111.0</v>
      </c>
      <c r="V603" s="199">
        <v>5.0</v>
      </c>
      <c r="W603" s="199">
        <v>0.0</v>
      </c>
      <c r="X603" s="199">
        <v>7.0</v>
      </c>
      <c r="Y603" s="199">
        <v>0.0</v>
      </c>
      <c r="Z603" s="199">
        <v>2.0</v>
      </c>
      <c r="AA603" s="199">
        <v>0.0</v>
      </c>
      <c r="AB603" s="199">
        <v>5.0</v>
      </c>
      <c r="AC603" s="199">
        <v>54.0</v>
      </c>
      <c r="AD603" s="199">
        <v>2.0</v>
      </c>
      <c r="AE603" s="199">
        <v>46.0</v>
      </c>
      <c r="AF603" s="199">
        <v>6.0</v>
      </c>
      <c r="AG603" s="199">
        <v>291.0</v>
      </c>
      <c r="AH603" s="199">
        <v>0.0</v>
      </c>
      <c r="AI603" s="200" t="s">
        <v>797</v>
      </c>
      <c r="AJ603" s="200" t="s">
        <v>907</v>
      </c>
      <c r="AK603" s="200"/>
      <c r="AL603" s="204"/>
      <c r="AM603" s="204"/>
    </row>
    <row r="604">
      <c r="A604" s="199" t="s">
        <v>193</v>
      </c>
      <c r="B604" s="200" t="s">
        <v>800</v>
      </c>
      <c r="C604" s="199">
        <v>2.6060130248E10</v>
      </c>
      <c r="D604" s="201">
        <v>46054.0</v>
      </c>
      <c r="E604" s="202" t="s">
        <v>101</v>
      </c>
      <c r="F604" s="202" t="s">
        <v>102</v>
      </c>
      <c r="G604" s="203" t="s">
        <v>101</v>
      </c>
      <c r="H604" s="203" t="s">
        <v>102</v>
      </c>
      <c r="I604" s="37"/>
      <c r="J604" s="37"/>
      <c r="K604" s="37"/>
      <c r="L604" s="199">
        <v>171.0</v>
      </c>
      <c r="M604" s="199">
        <v>44.4</v>
      </c>
      <c r="N604" s="199"/>
      <c r="O604" s="199">
        <v>15.0</v>
      </c>
      <c r="P604" s="37"/>
      <c r="Q604" s="199">
        <v>0.0</v>
      </c>
      <c r="R604" s="199">
        <v>0.0</v>
      </c>
      <c r="S604" s="199">
        <v>0.0</v>
      </c>
      <c r="T604" s="199">
        <v>252.0</v>
      </c>
      <c r="U604" s="199">
        <v>102.0</v>
      </c>
      <c r="V604" s="199">
        <v>0.0</v>
      </c>
      <c r="W604" s="199">
        <v>0.0</v>
      </c>
      <c r="X604" s="199">
        <v>7.0</v>
      </c>
      <c r="Y604" s="199">
        <v>2.0</v>
      </c>
      <c r="Z604" s="199">
        <v>0.0</v>
      </c>
      <c r="AA604" s="199">
        <v>0.0</v>
      </c>
      <c r="AB604" s="199">
        <v>20.0</v>
      </c>
      <c r="AC604" s="199">
        <v>41.0</v>
      </c>
      <c r="AD604" s="199">
        <v>1.0</v>
      </c>
      <c r="AE604" s="199">
        <v>68.0</v>
      </c>
      <c r="AF604" s="199">
        <v>0.0</v>
      </c>
      <c r="AG604" s="199">
        <v>324.0</v>
      </c>
      <c r="AH604" s="199">
        <v>13.0</v>
      </c>
      <c r="AI604" s="200" t="s">
        <v>797</v>
      </c>
      <c r="AJ604" s="200" t="s">
        <v>907</v>
      </c>
      <c r="AK604" s="200"/>
      <c r="AL604" s="204"/>
      <c r="AM604" s="204"/>
    </row>
    <row r="605">
      <c r="A605" s="199" t="s">
        <v>194</v>
      </c>
      <c r="B605" s="200" t="s">
        <v>800</v>
      </c>
      <c r="C605" s="199">
        <v>2.3161106215E10</v>
      </c>
      <c r="D605" s="201">
        <v>45076.0</v>
      </c>
      <c r="E605" s="202" t="s">
        <v>101</v>
      </c>
      <c r="F605" s="202" t="s">
        <v>101</v>
      </c>
      <c r="G605" s="203" t="s">
        <v>102</v>
      </c>
      <c r="H605" s="203" t="s">
        <v>101</v>
      </c>
      <c r="I605" s="37"/>
      <c r="J605" s="37"/>
      <c r="K605" s="37"/>
      <c r="L605" s="199">
        <v>17.0</v>
      </c>
      <c r="M605" s="199">
        <v>54.3</v>
      </c>
      <c r="N605" s="199"/>
      <c r="O605" s="199">
        <v>0.0</v>
      </c>
      <c r="P605" s="37"/>
      <c r="Q605" s="199">
        <v>0.0</v>
      </c>
      <c r="R605" s="199">
        <v>7.0</v>
      </c>
      <c r="S605" s="199">
        <v>2.0</v>
      </c>
      <c r="T605" s="199">
        <v>46.0</v>
      </c>
      <c r="U605" s="199">
        <v>30.0</v>
      </c>
      <c r="V605" s="199">
        <v>0.0</v>
      </c>
      <c r="W605" s="199">
        <v>0.0</v>
      </c>
      <c r="X605" s="199">
        <v>3.0</v>
      </c>
      <c r="Y605" s="199">
        <v>0.0</v>
      </c>
      <c r="Z605" s="199">
        <v>12.0</v>
      </c>
      <c r="AA605" s="199">
        <v>0.0</v>
      </c>
      <c r="AB605" s="199">
        <v>31.0</v>
      </c>
      <c r="AC605" s="199">
        <v>26.0</v>
      </c>
      <c r="AD605" s="199">
        <v>0.0</v>
      </c>
      <c r="AE605" s="199">
        <v>27.0</v>
      </c>
      <c r="AF605" s="199">
        <v>10.0</v>
      </c>
      <c r="AG605" s="199">
        <v>242.0</v>
      </c>
      <c r="AH605" s="199">
        <v>25.0</v>
      </c>
      <c r="AI605" s="200" t="s">
        <v>661</v>
      </c>
      <c r="AJ605" s="200" t="s">
        <v>908</v>
      </c>
      <c r="AK605" s="200"/>
      <c r="AL605" s="204"/>
      <c r="AM605" s="204"/>
    </row>
    <row r="606">
      <c r="A606" s="199" t="s">
        <v>194</v>
      </c>
      <c r="B606" s="200" t="s">
        <v>800</v>
      </c>
      <c r="C606" s="199">
        <v>2.3275210261E10</v>
      </c>
      <c r="D606" s="201">
        <v>45194.0</v>
      </c>
      <c r="E606" s="202" t="s">
        <v>101</v>
      </c>
      <c r="F606" s="202" t="s">
        <v>101</v>
      </c>
      <c r="G606" s="203" t="s">
        <v>101</v>
      </c>
      <c r="H606" s="203" t="s">
        <v>101</v>
      </c>
      <c r="I606" s="37"/>
      <c r="J606" s="37"/>
      <c r="K606" s="37"/>
      <c r="L606" s="199">
        <v>2438.0</v>
      </c>
      <c r="M606" s="199">
        <v>55.3</v>
      </c>
      <c r="N606" s="199"/>
      <c r="O606" s="199">
        <v>0.0</v>
      </c>
      <c r="P606" s="37"/>
      <c r="Q606" s="199">
        <v>0.0</v>
      </c>
      <c r="R606" s="199">
        <v>44.0</v>
      </c>
      <c r="S606" s="199">
        <v>4.0</v>
      </c>
      <c r="T606" s="199">
        <v>153.0</v>
      </c>
      <c r="U606" s="199">
        <v>2372.0</v>
      </c>
      <c r="V606" s="199">
        <v>0.0</v>
      </c>
      <c r="W606" s="199">
        <v>0.0</v>
      </c>
      <c r="X606" s="199">
        <v>4.0</v>
      </c>
      <c r="Y606" s="199">
        <v>22.0</v>
      </c>
      <c r="Z606" s="199">
        <v>3.0</v>
      </c>
      <c r="AA606" s="199">
        <v>5.0</v>
      </c>
      <c r="AB606" s="199">
        <v>161.0</v>
      </c>
      <c r="AC606" s="199">
        <v>25.0</v>
      </c>
      <c r="AD606" s="199">
        <v>0.0</v>
      </c>
      <c r="AE606" s="199">
        <v>11138.0</v>
      </c>
      <c r="AF606" s="199">
        <v>33.0</v>
      </c>
      <c r="AG606" s="199">
        <v>267.0</v>
      </c>
      <c r="AH606" s="199">
        <v>34.0</v>
      </c>
      <c r="AI606" s="200" t="s">
        <v>801</v>
      </c>
      <c r="AJ606" s="200" t="s">
        <v>909</v>
      </c>
      <c r="AK606" s="200"/>
      <c r="AL606" s="204"/>
      <c r="AM606" s="204"/>
    </row>
    <row r="607">
      <c r="A607" s="199" t="s">
        <v>194</v>
      </c>
      <c r="B607" s="200" t="s">
        <v>800</v>
      </c>
      <c r="C607" s="199">
        <v>2.5079203243E10</v>
      </c>
      <c r="D607" s="201">
        <v>45725.0</v>
      </c>
      <c r="E607" s="202" t="s">
        <v>101</v>
      </c>
      <c r="F607" s="202" t="s">
        <v>102</v>
      </c>
      <c r="G607" s="203" t="s">
        <v>101</v>
      </c>
      <c r="H607" s="203" t="s">
        <v>101</v>
      </c>
      <c r="I607" s="37"/>
      <c r="J607" s="37"/>
      <c r="K607" s="37"/>
      <c r="L607" s="199">
        <v>20.0</v>
      </c>
      <c r="M607" s="199">
        <v>61.0</v>
      </c>
      <c r="N607" s="199"/>
      <c r="O607" s="199">
        <v>3.0</v>
      </c>
      <c r="P607" s="37"/>
      <c r="Q607" s="199">
        <v>0.0</v>
      </c>
      <c r="R607" s="199">
        <v>9.0</v>
      </c>
      <c r="S607" s="199">
        <v>1.0</v>
      </c>
      <c r="T607" s="199">
        <v>161.0</v>
      </c>
      <c r="U607" s="199">
        <v>17.0</v>
      </c>
      <c r="V607" s="199">
        <v>0.0</v>
      </c>
      <c r="W607" s="199">
        <v>0.0</v>
      </c>
      <c r="X607" s="199">
        <v>3.0</v>
      </c>
      <c r="Y607" s="199">
        <v>0.0</v>
      </c>
      <c r="Z607" s="199">
        <v>0.0</v>
      </c>
      <c r="AA607" s="199">
        <v>5.0</v>
      </c>
      <c r="AB607" s="199">
        <v>20.0</v>
      </c>
      <c r="AC607" s="199">
        <v>26.0</v>
      </c>
      <c r="AD607" s="199">
        <v>0.0</v>
      </c>
      <c r="AE607" s="199">
        <v>35.0</v>
      </c>
      <c r="AF607" s="199">
        <v>0.0</v>
      </c>
      <c r="AG607" s="199">
        <v>192.0</v>
      </c>
      <c r="AH607" s="199">
        <v>4.0</v>
      </c>
      <c r="AI607" s="200" t="s">
        <v>808</v>
      </c>
      <c r="AJ607" s="200" t="s">
        <v>904</v>
      </c>
      <c r="AK607" s="200"/>
      <c r="AL607" s="204"/>
      <c r="AM607" s="204"/>
    </row>
    <row r="608">
      <c r="A608" s="199" t="s">
        <v>194</v>
      </c>
      <c r="B608" s="200" t="s">
        <v>800</v>
      </c>
      <c r="C608" s="199">
        <v>2.606163022E10</v>
      </c>
      <c r="D608" s="201">
        <v>46054.0</v>
      </c>
      <c r="E608" s="202" t="s">
        <v>101</v>
      </c>
      <c r="F608" s="202" t="s">
        <v>102</v>
      </c>
      <c r="G608" s="203" t="s">
        <v>101</v>
      </c>
      <c r="H608" s="203" t="s">
        <v>100</v>
      </c>
      <c r="I608" s="37"/>
      <c r="J608" s="37"/>
      <c r="K608" s="37"/>
      <c r="L608" s="199">
        <v>108.0</v>
      </c>
      <c r="M608" s="199">
        <v>46.6</v>
      </c>
      <c r="N608" s="199"/>
      <c r="O608" s="199">
        <v>6.0</v>
      </c>
      <c r="P608" s="37"/>
      <c r="Q608" s="199">
        <v>0.0</v>
      </c>
      <c r="R608" s="199">
        <v>0.0</v>
      </c>
      <c r="S608" s="199">
        <v>0.0</v>
      </c>
      <c r="T608" s="199">
        <v>33.0</v>
      </c>
      <c r="U608" s="199">
        <v>83.0</v>
      </c>
      <c r="V608" s="199">
        <v>0.0</v>
      </c>
      <c r="W608" s="199">
        <v>0.0</v>
      </c>
      <c r="X608" s="199">
        <v>0.0</v>
      </c>
      <c r="Y608" s="199">
        <v>0.0</v>
      </c>
      <c r="Z608" s="199">
        <v>2.0</v>
      </c>
      <c r="AA608" s="199">
        <v>0.0</v>
      </c>
      <c r="AB608" s="199">
        <v>20.0</v>
      </c>
      <c r="AC608" s="199">
        <v>2.0</v>
      </c>
      <c r="AD608" s="199">
        <v>0.0</v>
      </c>
      <c r="AE608" s="199">
        <v>45.0</v>
      </c>
      <c r="AF608" s="199">
        <v>5.0</v>
      </c>
      <c r="AG608" s="199">
        <v>318.0</v>
      </c>
      <c r="AH608" s="199">
        <v>12.0</v>
      </c>
      <c r="AI608" s="200" t="s">
        <v>797</v>
      </c>
      <c r="AJ608" s="200" t="s">
        <v>910</v>
      </c>
      <c r="AK608" s="200"/>
      <c r="AL608" s="204"/>
      <c r="AM608" s="204"/>
    </row>
    <row r="609">
      <c r="A609" s="199" t="s">
        <v>195</v>
      </c>
      <c r="B609" s="200" t="s">
        <v>800</v>
      </c>
      <c r="C609" s="199">
        <v>2.3161110625E10</v>
      </c>
      <c r="D609" s="201">
        <v>45076.0</v>
      </c>
      <c r="E609" s="202" t="s">
        <v>101</v>
      </c>
      <c r="F609" s="202" t="s">
        <v>101</v>
      </c>
      <c r="G609" s="203" t="s">
        <v>101</v>
      </c>
      <c r="H609" s="203" t="s">
        <v>101</v>
      </c>
      <c r="I609" s="37"/>
      <c r="J609" s="37"/>
      <c r="K609" s="37"/>
      <c r="L609" s="199">
        <v>929.0</v>
      </c>
      <c r="M609" s="199">
        <v>54.6</v>
      </c>
      <c r="N609" s="199"/>
      <c r="O609" s="199">
        <v>0.0</v>
      </c>
      <c r="P609" s="37"/>
      <c r="Q609" s="199">
        <v>0.0</v>
      </c>
      <c r="R609" s="199">
        <v>16.0</v>
      </c>
      <c r="S609" s="199">
        <v>0.0</v>
      </c>
      <c r="T609" s="199">
        <v>179.0</v>
      </c>
      <c r="U609" s="199">
        <v>344.0</v>
      </c>
      <c r="V609" s="199">
        <v>2.0</v>
      </c>
      <c r="W609" s="199">
        <v>0.0</v>
      </c>
      <c r="X609" s="199">
        <v>3.0</v>
      </c>
      <c r="Y609" s="199">
        <v>0.0</v>
      </c>
      <c r="Z609" s="199">
        <v>0.0</v>
      </c>
      <c r="AA609" s="199">
        <v>0.0</v>
      </c>
      <c r="AB609" s="199">
        <v>32.0</v>
      </c>
      <c r="AC609" s="199">
        <v>68.0</v>
      </c>
      <c r="AD609" s="199">
        <v>0.0</v>
      </c>
      <c r="AE609" s="199">
        <v>69.0</v>
      </c>
      <c r="AF609" s="199">
        <v>0.0</v>
      </c>
      <c r="AG609" s="199">
        <v>359.0</v>
      </c>
      <c r="AH609" s="199">
        <v>2.0</v>
      </c>
      <c r="AI609" s="200" t="s">
        <v>812</v>
      </c>
      <c r="AJ609" s="200" t="s">
        <v>911</v>
      </c>
      <c r="AK609" s="200"/>
      <c r="AL609" s="204"/>
      <c r="AM609" s="204"/>
    </row>
    <row r="610">
      <c r="A610" s="199" t="s">
        <v>195</v>
      </c>
      <c r="B610" s="200" t="s">
        <v>800</v>
      </c>
      <c r="C610" s="199">
        <v>2.3275210249E10</v>
      </c>
      <c r="D610" s="201">
        <v>45194.0</v>
      </c>
      <c r="E610" s="202" t="s">
        <v>101</v>
      </c>
      <c r="F610" s="202" t="s">
        <v>101</v>
      </c>
      <c r="G610" s="203" t="s">
        <v>100</v>
      </c>
      <c r="H610" s="203" t="s">
        <v>100</v>
      </c>
      <c r="I610" s="37"/>
      <c r="J610" s="37"/>
      <c r="K610" s="37"/>
      <c r="L610" s="199">
        <v>19.0</v>
      </c>
      <c r="M610" s="199">
        <v>60.1</v>
      </c>
      <c r="N610" s="199"/>
      <c r="O610" s="199">
        <v>0.0</v>
      </c>
      <c r="P610" s="37"/>
      <c r="Q610" s="199">
        <v>0.0</v>
      </c>
      <c r="R610" s="199">
        <v>4.0</v>
      </c>
      <c r="S610" s="199">
        <v>0.0</v>
      </c>
      <c r="T610" s="199">
        <v>74.0</v>
      </c>
      <c r="U610" s="199">
        <v>42.0</v>
      </c>
      <c r="V610" s="199">
        <v>0.0</v>
      </c>
      <c r="W610" s="199">
        <v>0.0</v>
      </c>
      <c r="X610" s="199">
        <v>4.0</v>
      </c>
      <c r="Y610" s="199">
        <v>0.0</v>
      </c>
      <c r="Z610" s="199">
        <v>0.0</v>
      </c>
      <c r="AA610" s="199">
        <v>0.0</v>
      </c>
      <c r="AB610" s="199">
        <v>20.0</v>
      </c>
      <c r="AC610" s="199">
        <v>12.0</v>
      </c>
      <c r="AD610" s="199">
        <v>0.0</v>
      </c>
      <c r="AE610" s="199">
        <v>51.0</v>
      </c>
      <c r="AF610" s="199">
        <v>3.0</v>
      </c>
      <c r="AG610" s="199">
        <v>266.0</v>
      </c>
      <c r="AH610" s="199">
        <v>2.0</v>
      </c>
      <c r="AI610" s="200" t="s">
        <v>776</v>
      </c>
      <c r="AJ610" s="200" t="s">
        <v>777</v>
      </c>
      <c r="AK610" s="200"/>
      <c r="AL610" s="204"/>
      <c r="AM610" s="204"/>
    </row>
    <row r="611">
      <c r="A611" s="199" t="s">
        <v>195</v>
      </c>
      <c r="B611" s="200" t="s">
        <v>800</v>
      </c>
      <c r="C611" s="199">
        <v>2.5079203234E10</v>
      </c>
      <c r="D611" s="201">
        <v>45725.0</v>
      </c>
      <c r="E611" s="202" t="s">
        <v>101</v>
      </c>
      <c r="F611" s="202" t="s">
        <v>102</v>
      </c>
      <c r="G611" s="203" t="s">
        <v>101</v>
      </c>
      <c r="H611" s="203" t="s">
        <v>101</v>
      </c>
      <c r="I611" s="37"/>
      <c r="J611" s="37"/>
      <c r="K611" s="37"/>
      <c r="L611" s="199">
        <v>28.0</v>
      </c>
      <c r="M611" s="199">
        <v>60.8</v>
      </c>
      <c r="N611" s="199"/>
      <c r="O611" s="199">
        <v>3.0</v>
      </c>
      <c r="P611" s="37"/>
      <c r="Q611" s="199">
        <v>0.0</v>
      </c>
      <c r="R611" s="199">
        <v>13.0</v>
      </c>
      <c r="S611" s="199">
        <v>1.0</v>
      </c>
      <c r="T611" s="199">
        <v>170.0</v>
      </c>
      <c r="U611" s="199">
        <v>17.0</v>
      </c>
      <c r="V611" s="199">
        <v>0.0</v>
      </c>
      <c r="W611" s="199">
        <v>0.0</v>
      </c>
      <c r="X611" s="199">
        <v>5.0</v>
      </c>
      <c r="Y611" s="199">
        <v>0.0</v>
      </c>
      <c r="Z611" s="199">
        <v>2.0</v>
      </c>
      <c r="AA611" s="199">
        <v>0.0</v>
      </c>
      <c r="AB611" s="199">
        <v>18.0</v>
      </c>
      <c r="AC611" s="199">
        <v>25.0</v>
      </c>
      <c r="AD611" s="199">
        <v>0.0</v>
      </c>
      <c r="AE611" s="199">
        <v>47.0</v>
      </c>
      <c r="AF611" s="199">
        <v>5.0</v>
      </c>
      <c r="AG611" s="199">
        <v>218.0</v>
      </c>
      <c r="AH611" s="199">
        <v>11.0</v>
      </c>
      <c r="AI611" s="200" t="s">
        <v>808</v>
      </c>
      <c r="AJ611" s="200" t="s">
        <v>904</v>
      </c>
      <c r="AK611" s="200"/>
      <c r="AL611" s="204"/>
      <c r="AM611" s="204"/>
    </row>
    <row r="612">
      <c r="A612" s="199" t="s">
        <v>195</v>
      </c>
      <c r="B612" s="200" t="s">
        <v>800</v>
      </c>
      <c r="C612" s="199">
        <v>2.5258159231E10</v>
      </c>
      <c r="D612" s="201">
        <v>45909.0</v>
      </c>
      <c r="E612" s="202" t="s">
        <v>101</v>
      </c>
      <c r="F612" s="202" t="s">
        <v>102</v>
      </c>
      <c r="G612" s="203" t="s">
        <v>101</v>
      </c>
      <c r="H612" s="203" t="s">
        <v>100</v>
      </c>
      <c r="I612" s="37"/>
      <c r="J612" s="37"/>
      <c r="K612" s="37"/>
      <c r="L612" s="199">
        <v>73.0</v>
      </c>
      <c r="M612" s="199">
        <v>48.0</v>
      </c>
      <c r="N612" s="199"/>
      <c r="O612" s="199">
        <v>12.0</v>
      </c>
      <c r="P612" s="37"/>
      <c r="Q612" s="199">
        <v>0.0</v>
      </c>
      <c r="R612" s="199">
        <v>15.0</v>
      </c>
      <c r="S612" s="199">
        <v>1.0</v>
      </c>
      <c r="T612" s="199">
        <v>127.0</v>
      </c>
      <c r="U612" s="199">
        <v>73.0</v>
      </c>
      <c r="V612" s="199">
        <v>0.0</v>
      </c>
      <c r="W612" s="199">
        <v>0.0</v>
      </c>
      <c r="X612" s="199">
        <v>5.0</v>
      </c>
      <c r="Y612" s="199">
        <v>2.0</v>
      </c>
      <c r="Z612" s="199">
        <v>2.0</v>
      </c>
      <c r="AA612" s="199">
        <v>0.0</v>
      </c>
      <c r="AB612" s="199">
        <v>13.0</v>
      </c>
      <c r="AC612" s="199">
        <v>25.0</v>
      </c>
      <c r="AD612" s="199">
        <v>0.0</v>
      </c>
      <c r="AE612" s="199">
        <v>54.0</v>
      </c>
      <c r="AF612" s="199">
        <v>6.0</v>
      </c>
      <c r="AG612" s="199">
        <v>218.0</v>
      </c>
      <c r="AH612" s="199">
        <v>0.0</v>
      </c>
      <c r="AI612" s="200" t="s">
        <v>787</v>
      </c>
      <c r="AJ612" s="200" t="s">
        <v>806</v>
      </c>
      <c r="AK612" s="200"/>
      <c r="AL612" s="204"/>
      <c r="AM612" s="204"/>
    </row>
    <row r="613">
      <c r="A613" s="199" t="s">
        <v>199</v>
      </c>
      <c r="B613" s="200" t="s">
        <v>800</v>
      </c>
      <c r="C613" s="199">
        <v>2.6061630216E10</v>
      </c>
      <c r="D613" s="201">
        <v>46054.0</v>
      </c>
      <c r="E613" s="202" t="s">
        <v>101</v>
      </c>
      <c r="F613" s="202" t="s">
        <v>102</v>
      </c>
      <c r="G613" s="203" t="s">
        <v>101</v>
      </c>
      <c r="H613" s="203" t="s">
        <v>100</v>
      </c>
      <c r="I613" s="37"/>
      <c r="J613" s="37"/>
      <c r="K613" s="37"/>
      <c r="L613" s="199">
        <v>54.0</v>
      </c>
      <c r="M613" s="199">
        <v>49.4</v>
      </c>
      <c r="N613" s="199"/>
      <c r="O613" s="199">
        <v>11.0</v>
      </c>
      <c r="P613" s="37"/>
      <c r="Q613" s="199">
        <v>0.0</v>
      </c>
      <c r="R613" s="199">
        <v>0.0</v>
      </c>
      <c r="S613" s="199">
        <v>0.0</v>
      </c>
      <c r="T613" s="199">
        <v>86.0</v>
      </c>
      <c r="U613" s="199">
        <v>65.0</v>
      </c>
      <c r="V613" s="199">
        <v>0.0</v>
      </c>
      <c r="W613" s="199">
        <v>0.0</v>
      </c>
      <c r="X613" s="199">
        <v>4.0</v>
      </c>
      <c r="Y613" s="199">
        <v>0.0</v>
      </c>
      <c r="Z613" s="199">
        <v>5.0</v>
      </c>
      <c r="AA613" s="199">
        <v>0.0</v>
      </c>
      <c r="AB613" s="199">
        <v>15.0</v>
      </c>
      <c r="AC613" s="199">
        <v>16.0</v>
      </c>
      <c r="AD613" s="199">
        <v>0.0</v>
      </c>
      <c r="AE613" s="199">
        <v>36.0</v>
      </c>
      <c r="AF613" s="199">
        <v>2.0</v>
      </c>
      <c r="AG613" s="199">
        <v>281.0</v>
      </c>
      <c r="AH613" s="199">
        <v>4.0</v>
      </c>
      <c r="AI613" s="200" t="s">
        <v>787</v>
      </c>
      <c r="AJ613" s="200" t="s">
        <v>810</v>
      </c>
      <c r="AK613" s="200"/>
      <c r="AL613" s="204"/>
      <c r="AM613" s="204"/>
    </row>
    <row r="614">
      <c r="A614" s="199" t="s">
        <v>196</v>
      </c>
      <c r="B614" s="200" t="s">
        <v>800</v>
      </c>
      <c r="C614" s="199">
        <v>2.316110626E10</v>
      </c>
      <c r="D614" s="201">
        <v>45076.0</v>
      </c>
      <c r="E614" s="202" t="s">
        <v>101</v>
      </c>
      <c r="F614" s="202" t="s">
        <v>101</v>
      </c>
      <c r="G614" s="203" t="s">
        <v>101</v>
      </c>
      <c r="H614" s="203" t="s">
        <v>101</v>
      </c>
      <c r="I614" s="37"/>
      <c r="J614" s="37"/>
      <c r="K614" s="37"/>
      <c r="L614" s="199">
        <v>62.0</v>
      </c>
      <c r="M614" s="199">
        <v>54.2</v>
      </c>
      <c r="N614" s="199"/>
      <c r="O614" s="199">
        <v>0.0</v>
      </c>
      <c r="P614" s="37"/>
      <c r="Q614" s="199">
        <v>0.0</v>
      </c>
      <c r="R614" s="199">
        <v>1.0</v>
      </c>
      <c r="S614" s="199">
        <v>0.0</v>
      </c>
      <c r="T614" s="199">
        <v>314.0</v>
      </c>
      <c r="U614" s="199">
        <v>74.0</v>
      </c>
      <c r="V614" s="199">
        <v>3.0</v>
      </c>
      <c r="W614" s="199">
        <v>2.0</v>
      </c>
      <c r="X614" s="199">
        <v>8.0</v>
      </c>
      <c r="Y614" s="199">
        <v>23.0</v>
      </c>
      <c r="Z614" s="199">
        <v>6.0</v>
      </c>
      <c r="AA614" s="199">
        <v>2.0</v>
      </c>
      <c r="AB614" s="199">
        <v>30.0</v>
      </c>
      <c r="AC614" s="199">
        <v>25.0</v>
      </c>
      <c r="AD614" s="199">
        <v>0.0</v>
      </c>
      <c r="AE614" s="199">
        <v>45.0</v>
      </c>
      <c r="AF614" s="199">
        <v>1.0</v>
      </c>
      <c r="AG614" s="199">
        <v>272.0</v>
      </c>
      <c r="AH614" s="199">
        <v>3.0</v>
      </c>
      <c r="AI614" s="200" t="s">
        <v>808</v>
      </c>
      <c r="AJ614" s="200" t="s">
        <v>912</v>
      </c>
      <c r="AK614" s="200"/>
      <c r="AL614" s="204"/>
      <c r="AM614" s="204"/>
    </row>
    <row r="615">
      <c r="A615" s="199" t="s">
        <v>196</v>
      </c>
      <c r="B615" s="200" t="s">
        <v>800</v>
      </c>
      <c r="C615" s="199">
        <v>2.3275210252E10</v>
      </c>
      <c r="D615" s="201">
        <v>45194.0</v>
      </c>
      <c r="E615" s="202" t="s">
        <v>101</v>
      </c>
      <c r="F615" s="202" t="s">
        <v>101</v>
      </c>
      <c r="G615" s="203" t="s">
        <v>101</v>
      </c>
      <c r="H615" s="203" t="s">
        <v>101</v>
      </c>
      <c r="I615" s="37"/>
      <c r="J615" s="37"/>
      <c r="K615" s="37"/>
      <c r="L615" s="199">
        <v>172.0</v>
      </c>
      <c r="M615" s="199">
        <v>59.8</v>
      </c>
      <c r="N615" s="199"/>
      <c r="O615" s="199">
        <v>14.0</v>
      </c>
      <c r="P615" s="199">
        <v>0.12</v>
      </c>
      <c r="Q615" s="199">
        <v>0.0</v>
      </c>
      <c r="R615" s="199">
        <v>9.0</v>
      </c>
      <c r="S615" s="199">
        <v>0.0</v>
      </c>
      <c r="T615" s="199">
        <v>827.0</v>
      </c>
      <c r="U615" s="199">
        <v>344.0</v>
      </c>
      <c r="V615" s="199">
        <v>0.0</v>
      </c>
      <c r="W615" s="199">
        <v>1.0</v>
      </c>
      <c r="X615" s="199">
        <v>19.0</v>
      </c>
      <c r="Y615" s="199">
        <v>102.0</v>
      </c>
      <c r="Z615" s="199">
        <v>15.0</v>
      </c>
      <c r="AA615" s="199">
        <v>10.0</v>
      </c>
      <c r="AB615" s="199">
        <v>38.0</v>
      </c>
      <c r="AC615" s="199">
        <v>26.0</v>
      </c>
      <c r="AD615" s="199">
        <v>0.0</v>
      </c>
      <c r="AE615" s="199">
        <v>158.0</v>
      </c>
      <c r="AF615" s="199">
        <v>16.0</v>
      </c>
      <c r="AG615" s="199">
        <v>172.0</v>
      </c>
      <c r="AH615" s="199">
        <v>42.0</v>
      </c>
      <c r="AI615" s="200" t="s">
        <v>885</v>
      </c>
      <c r="AJ615" s="200" t="s">
        <v>913</v>
      </c>
      <c r="AK615" s="200"/>
      <c r="AL615" s="204"/>
      <c r="AM615" s="204"/>
    </row>
    <row r="616">
      <c r="A616" s="199" t="s">
        <v>199</v>
      </c>
      <c r="B616" s="200" t="s">
        <v>800</v>
      </c>
      <c r="C616" s="199">
        <v>2.5079203232E10</v>
      </c>
      <c r="D616" s="201">
        <v>45725.0</v>
      </c>
      <c r="E616" s="202" t="s">
        <v>101</v>
      </c>
      <c r="F616" s="202" t="s">
        <v>102</v>
      </c>
      <c r="G616" s="203" t="s">
        <v>101</v>
      </c>
      <c r="H616" s="203" t="s">
        <v>101</v>
      </c>
      <c r="I616" s="37"/>
      <c r="J616" s="37"/>
      <c r="K616" s="37"/>
      <c r="L616" s="199">
        <v>27.0</v>
      </c>
      <c r="M616" s="199">
        <v>60.1</v>
      </c>
      <c r="N616" s="199"/>
      <c r="O616" s="199">
        <v>3.0</v>
      </c>
      <c r="P616" s="37"/>
      <c r="Q616" s="199">
        <v>0.0</v>
      </c>
      <c r="R616" s="199">
        <v>10.0</v>
      </c>
      <c r="S616" s="199">
        <v>1.0</v>
      </c>
      <c r="T616" s="199">
        <v>171.0</v>
      </c>
      <c r="U616" s="199">
        <v>17.0</v>
      </c>
      <c r="V616" s="199">
        <v>2.0</v>
      </c>
      <c r="W616" s="199">
        <v>0.0</v>
      </c>
      <c r="X616" s="199">
        <v>4.0</v>
      </c>
      <c r="Y616" s="199">
        <v>0.0</v>
      </c>
      <c r="Z616" s="199">
        <v>0.0</v>
      </c>
      <c r="AA616" s="199">
        <v>0.0</v>
      </c>
      <c r="AB616" s="199">
        <v>20.0</v>
      </c>
      <c r="AC616" s="199">
        <v>29.0</v>
      </c>
      <c r="AD616" s="199">
        <v>0.0</v>
      </c>
      <c r="AE616" s="199">
        <v>51.0</v>
      </c>
      <c r="AF616" s="199">
        <v>5.0</v>
      </c>
      <c r="AG616" s="199">
        <v>189.0</v>
      </c>
      <c r="AH616" s="199">
        <v>5.0</v>
      </c>
      <c r="AI616" s="200" t="s">
        <v>808</v>
      </c>
      <c r="AJ616" s="200" t="s">
        <v>904</v>
      </c>
      <c r="AK616" s="200"/>
      <c r="AL616" s="204"/>
      <c r="AM616" s="204"/>
    </row>
    <row r="617">
      <c r="A617" s="199" t="s">
        <v>196</v>
      </c>
      <c r="B617" s="200" t="s">
        <v>800</v>
      </c>
      <c r="C617" s="199">
        <v>2.5258159227E10</v>
      </c>
      <c r="D617" s="201">
        <v>45909.0</v>
      </c>
      <c r="E617" s="202" t="s">
        <v>101</v>
      </c>
      <c r="F617" s="202" t="s">
        <v>102</v>
      </c>
      <c r="G617" s="203" t="s">
        <v>101</v>
      </c>
      <c r="H617" s="203" t="s">
        <v>100</v>
      </c>
      <c r="I617" s="37"/>
      <c r="J617" s="37"/>
      <c r="K617" s="37"/>
      <c r="L617" s="199">
        <v>45.0</v>
      </c>
      <c r="M617" s="199">
        <v>49.0</v>
      </c>
      <c r="N617" s="199"/>
      <c r="O617" s="199">
        <v>7.0</v>
      </c>
      <c r="P617" s="37"/>
      <c r="Q617" s="199">
        <v>0.0</v>
      </c>
      <c r="R617" s="199">
        <v>14.0</v>
      </c>
      <c r="S617" s="199">
        <v>1.0</v>
      </c>
      <c r="T617" s="199">
        <v>64.0</v>
      </c>
      <c r="U617" s="199">
        <v>143.0</v>
      </c>
      <c r="V617" s="199">
        <v>0.0</v>
      </c>
      <c r="W617" s="199">
        <v>0.0</v>
      </c>
      <c r="X617" s="199">
        <v>2.0</v>
      </c>
      <c r="Y617" s="199">
        <v>0.0</v>
      </c>
      <c r="Z617" s="199">
        <v>2.0</v>
      </c>
      <c r="AA617" s="199">
        <v>0.0</v>
      </c>
      <c r="AB617" s="199">
        <v>10.0</v>
      </c>
      <c r="AC617" s="199">
        <v>42.0</v>
      </c>
      <c r="AD617" s="199">
        <v>0.0</v>
      </c>
      <c r="AE617" s="199">
        <v>37.0</v>
      </c>
      <c r="AF617" s="199">
        <v>6.0</v>
      </c>
      <c r="AG617" s="199">
        <v>285.0</v>
      </c>
      <c r="AH617" s="199">
        <v>6.0</v>
      </c>
      <c r="AI617" s="200" t="s">
        <v>787</v>
      </c>
      <c r="AJ617" s="200" t="s">
        <v>806</v>
      </c>
      <c r="AK617" s="200"/>
      <c r="AL617" s="204"/>
      <c r="AM617" s="204"/>
    </row>
    <row r="618">
      <c r="A618" s="199" t="s">
        <v>196</v>
      </c>
      <c r="B618" s="200" t="s">
        <v>800</v>
      </c>
      <c r="C618" s="199">
        <v>2.6060130249E10</v>
      </c>
      <c r="D618" s="201">
        <v>46054.0</v>
      </c>
      <c r="E618" s="202" t="s">
        <v>101</v>
      </c>
      <c r="F618" s="202" t="s">
        <v>102</v>
      </c>
      <c r="G618" s="203" t="s">
        <v>101</v>
      </c>
      <c r="H618" s="203" t="s">
        <v>102</v>
      </c>
      <c r="I618" s="37"/>
      <c r="J618" s="37"/>
      <c r="K618" s="37"/>
      <c r="L618" s="199">
        <v>107.0</v>
      </c>
      <c r="M618" s="199">
        <v>48.3</v>
      </c>
      <c r="N618" s="199"/>
      <c r="O618" s="199">
        <v>15.0</v>
      </c>
      <c r="P618" s="37"/>
      <c r="Q618" s="199">
        <v>0.0</v>
      </c>
      <c r="R618" s="199">
        <v>0.0</v>
      </c>
      <c r="S618" s="199">
        <v>0.0</v>
      </c>
      <c r="T618" s="199">
        <v>195.0</v>
      </c>
      <c r="U618" s="199">
        <v>117.0</v>
      </c>
      <c r="V618" s="199">
        <v>0.0</v>
      </c>
      <c r="W618" s="199">
        <v>0.0</v>
      </c>
      <c r="X618" s="199">
        <v>4.0</v>
      </c>
      <c r="Y618" s="199">
        <v>0.0</v>
      </c>
      <c r="Z618" s="199">
        <v>5.0</v>
      </c>
      <c r="AA618" s="199">
        <v>0.0</v>
      </c>
      <c r="AB618" s="199">
        <v>18.0</v>
      </c>
      <c r="AC618" s="199">
        <v>34.0</v>
      </c>
      <c r="AD618" s="199">
        <v>0.0</v>
      </c>
      <c r="AE618" s="199">
        <v>44.0</v>
      </c>
      <c r="AF618" s="199">
        <v>2.0</v>
      </c>
      <c r="AG618" s="199">
        <v>366.0</v>
      </c>
      <c r="AH618" s="199">
        <v>30.0</v>
      </c>
      <c r="AI618" s="200" t="s">
        <v>797</v>
      </c>
      <c r="AJ618" s="200" t="s">
        <v>914</v>
      </c>
      <c r="AK618" s="200"/>
      <c r="AL618" s="204"/>
      <c r="AM618" s="204"/>
    </row>
    <row r="619">
      <c r="A619" s="199" t="s">
        <v>197</v>
      </c>
      <c r="B619" s="200" t="s">
        <v>800</v>
      </c>
      <c r="C619" s="199">
        <v>2.3161106253E10</v>
      </c>
      <c r="D619" s="201">
        <v>45076.0</v>
      </c>
      <c r="E619" s="202" t="s">
        <v>101</v>
      </c>
      <c r="F619" s="202" t="s">
        <v>102</v>
      </c>
      <c r="G619" s="203" t="s">
        <v>101</v>
      </c>
      <c r="H619" s="203" t="s">
        <v>101</v>
      </c>
      <c r="I619" s="37"/>
      <c r="J619" s="37"/>
      <c r="K619" s="37"/>
      <c r="L619" s="199">
        <v>38.0</v>
      </c>
      <c r="M619" s="199">
        <v>54.2</v>
      </c>
      <c r="N619" s="199"/>
      <c r="O619" s="199">
        <v>2.0</v>
      </c>
      <c r="P619" s="37"/>
      <c r="Q619" s="199">
        <v>0.0</v>
      </c>
      <c r="R619" s="199">
        <v>0.0</v>
      </c>
      <c r="S619" s="199">
        <v>0.0</v>
      </c>
      <c r="T619" s="199">
        <v>20.0</v>
      </c>
      <c r="U619" s="199">
        <v>101.0</v>
      </c>
      <c r="V619" s="199">
        <v>4.0</v>
      </c>
      <c r="W619" s="199">
        <v>2.0</v>
      </c>
      <c r="X619" s="199">
        <v>2.0</v>
      </c>
      <c r="Y619" s="199">
        <v>0.0</v>
      </c>
      <c r="Z619" s="199">
        <v>5.0</v>
      </c>
      <c r="AA619" s="199">
        <v>3.0</v>
      </c>
      <c r="AB619" s="199">
        <v>12.0</v>
      </c>
      <c r="AC619" s="199">
        <v>33.0</v>
      </c>
      <c r="AD619" s="199">
        <v>0.0</v>
      </c>
      <c r="AE619" s="199">
        <v>24.0</v>
      </c>
      <c r="AF619" s="199">
        <v>1.0</v>
      </c>
      <c r="AG619" s="199">
        <v>216.0</v>
      </c>
      <c r="AH619" s="199">
        <v>1.0</v>
      </c>
      <c r="AI619" s="200" t="s">
        <v>808</v>
      </c>
      <c r="AJ619" s="200" t="s">
        <v>904</v>
      </c>
      <c r="AK619" s="200"/>
      <c r="AL619" s="204"/>
      <c r="AM619" s="204"/>
    </row>
    <row r="620">
      <c r="A620" s="199" t="s">
        <v>197</v>
      </c>
      <c r="B620" s="200" t="s">
        <v>800</v>
      </c>
      <c r="C620" s="199">
        <v>2.3275210247E10</v>
      </c>
      <c r="D620" s="201">
        <v>45194.0</v>
      </c>
      <c r="E620" s="202" t="s">
        <v>101</v>
      </c>
      <c r="F620" s="202" t="s">
        <v>102</v>
      </c>
      <c r="G620" s="203" t="s">
        <v>101</v>
      </c>
      <c r="H620" s="203" t="s">
        <v>101</v>
      </c>
      <c r="I620" s="37"/>
      <c r="J620" s="37"/>
      <c r="K620" s="37"/>
      <c r="L620" s="199">
        <v>0.0</v>
      </c>
      <c r="M620" s="199">
        <v>54.6</v>
      </c>
      <c r="N620" s="199"/>
      <c r="O620" s="199">
        <v>1.0</v>
      </c>
      <c r="P620" s="37"/>
      <c r="Q620" s="199">
        <v>0.0</v>
      </c>
      <c r="R620" s="199">
        <v>5.0</v>
      </c>
      <c r="S620" s="199">
        <v>0.0</v>
      </c>
      <c r="T620" s="199">
        <v>14.0</v>
      </c>
      <c r="U620" s="199">
        <v>93.0</v>
      </c>
      <c r="V620" s="199">
        <v>0.0</v>
      </c>
      <c r="W620" s="199">
        <v>1.0</v>
      </c>
      <c r="X620" s="199">
        <v>1.0</v>
      </c>
      <c r="Y620" s="199">
        <v>0.0</v>
      </c>
      <c r="Z620" s="199">
        <v>0.0</v>
      </c>
      <c r="AA620" s="199">
        <v>0.0</v>
      </c>
      <c r="AB620" s="199">
        <v>12.0</v>
      </c>
      <c r="AC620" s="199">
        <v>27.0</v>
      </c>
      <c r="AD620" s="199">
        <v>0.0</v>
      </c>
      <c r="AE620" s="199">
        <v>53.0</v>
      </c>
      <c r="AF620" s="199">
        <v>2.0</v>
      </c>
      <c r="AG620" s="199">
        <v>363.0</v>
      </c>
      <c r="AH620" s="199">
        <v>10.0</v>
      </c>
      <c r="AI620" s="200" t="s">
        <v>808</v>
      </c>
      <c r="AJ620" s="200" t="s">
        <v>915</v>
      </c>
      <c r="AK620" s="200"/>
      <c r="AL620" s="204"/>
      <c r="AM620" s="204"/>
    </row>
    <row r="621">
      <c r="A621" s="199" t="s">
        <v>197</v>
      </c>
      <c r="B621" s="200" t="s">
        <v>800</v>
      </c>
      <c r="C621" s="199">
        <v>2.5079203231E10</v>
      </c>
      <c r="D621" s="201">
        <v>45725.0</v>
      </c>
      <c r="E621" s="202" t="s">
        <v>101</v>
      </c>
      <c r="F621" s="202" t="s">
        <v>101</v>
      </c>
      <c r="G621" s="203" t="s">
        <v>101</v>
      </c>
      <c r="H621" s="203" t="s">
        <v>101</v>
      </c>
      <c r="I621" s="37"/>
      <c r="J621" s="37"/>
      <c r="K621" s="37"/>
      <c r="L621" s="199">
        <v>29.0</v>
      </c>
      <c r="M621" s="199">
        <v>59.6</v>
      </c>
      <c r="N621" s="199"/>
      <c r="O621" s="199">
        <v>3.0</v>
      </c>
      <c r="P621" s="37"/>
      <c r="Q621" s="199">
        <v>0.0</v>
      </c>
      <c r="R621" s="199">
        <v>11.0</v>
      </c>
      <c r="S621" s="199">
        <v>1.0</v>
      </c>
      <c r="T621" s="199">
        <v>175.0</v>
      </c>
      <c r="U621" s="199">
        <v>17.0</v>
      </c>
      <c r="V621" s="199">
        <v>0.0</v>
      </c>
      <c r="W621" s="199">
        <v>0.0</v>
      </c>
      <c r="X621" s="199">
        <v>4.0</v>
      </c>
      <c r="Y621" s="199">
        <v>0.0</v>
      </c>
      <c r="Z621" s="199">
        <v>2.0</v>
      </c>
      <c r="AA621" s="199">
        <v>0.0</v>
      </c>
      <c r="AB621" s="199">
        <v>25.0</v>
      </c>
      <c r="AC621" s="199">
        <v>29.0</v>
      </c>
      <c r="AD621" s="199">
        <v>0.0</v>
      </c>
      <c r="AE621" s="199">
        <v>44.0</v>
      </c>
      <c r="AF621" s="199">
        <v>3.0</v>
      </c>
      <c r="AG621" s="199">
        <v>193.0</v>
      </c>
      <c r="AH621" s="199">
        <v>8.0</v>
      </c>
      <c r="AI621" s="200" t="s">
        <v>808</v>
      </c>
      <c r="AJ621" s="200" t="s">
        <v>904</v>
      </c>
      <c r="AK621" s="200"/>
      <c r="AL621" s="204"/>
      <c r="AM621" s="204"/>
    </row>
    <row r="622">
      <c r="A622" s="199" t="s">
        <v>197</v>
      </c>
      <c r="B622" s="200" t="s">
        <v>800</v>
      </c>
      <c r="C622" s="199">
        <v>2.5258159229E10</v>
      </c>
      <c r="D622" s="201">
        <v>45909.0</v>
      </c>
      <c r="E622" s="202" t="s">
        <v>102</v>
      </c>
      <c r="F622" s="202" t="s">
        <v>102</v>
      </c>
      <c r="G622" s="203" t="s">
        <v>100</v>
      </c>
      <c r="H622" s="203" t="s">
        <v>100</v>
      </c>
      <c r="I622" s="37"/>
      <c r="J622" s="37"/>
      <c r="K622" s="37"/>
      <c r="L622" s="199">
        <v>15.0</v>
      </c>
      <c r="M622" s="199">
        <v>49.3</v>
      </c>
      <c r="N622" s="199"/>
      <c r="O622" s="199">
        <v>3.0</v>
      </c>
      <c r="P622" s="37"/>
      <c r="Q622" s="199">
        <v>0.0</v>
      </c>
      <c r="R622" s="199">
        <v>15.0</v>
      </c>
      <c r="S622" s="199">
        <v>1.0</v>
      </c>
      <c r="T622" s="199">
        <v>28.0</v>
      </c>
      <c r="U622" s="199">
        <v>32.0</v>
      </c>
      <c r="V622" s="199">
        <v>0.0</v>
      </c>
      <c r="W622" s="199">
        <v>0.0</v>
      </c>
      <c r="X622" s="199">
        <v>0.0</v>
      </c>
      <c r="Y622" s="199">
        <v>0.0</v>
      </c>
      <c r="Z622" s="199">
        <v>1.0</v>
      </c>
      <c r="AA622" s="199">
        <v>0.0</v>
      </c>
      <c r="AB622" s="199">
        <v>0.0</v>
      </c>
      <c r="AC622" s="199">
        <v>38.0</v>
      </c>
      <c r="AD622" s="199">
        <v>2.0</v>
      </c>
      <c r="AE622" s="199">
        <v>46.0</v>
      </c>
      <c r="AF622" s="199">
        <v>2.0</v>
      </c>
      <c r="AG622" s="199">
        <v>281.0</v>
      </c>
      <c r="AH622" s="199">
        <v>0.0</v>
      </c>
      <c r="AI622" s="200" t="s">
        <v>653</v>
      </c>
      <c r="AJ622" s="200" t="s">
        <v>778</v>
      </c>
      <c r="AK622" s="200"/>
      <c r="AL622" s="204"/>
      <c r="AM622" s="204"/>
    </row>
    <row r="623">
      <c r="A623" s="199" t="s">
        <v>197</v>
      </c>
      <c r="B623" s="200" t="s">
        <v>800</v>
      </c>
      <c r="C623" s="199">
        <v>2.6060130255E10</v>
      </c>
      <c r="D623" s="201">
        <v>46054.0</v>
      </c>
      <c r="E623" s="202" t="s">
        <v>102</v>
      </c>
      <c r="F623" s="202" t="s">
        <v>102</v>
      </c>
      <c r="G623" s="203" t="s">
        <v>100</v>
      </c>
      <c r="H623" s="203" t="s">
        <v>100</v>
      </c>
      <c r="I623" s="37"/>
      <c r="J623" s="37"/>
      <c r="K623" s="37"/>
      <c r="L623" s="199">
        <v>25.0</v>
      </c>
      <c r="M623" s="199">
        <v>41.6</v>
      </c>
      <c r="N623" s="199"/>
      <c r="O623" s="199">
        <v>5.0</v>
      </c>
      <c r="P623" s="37"/>
      <c r="Q623" s="199">
        <v>0.0</v>
      </c>
      <c r="R623" s="199">
        <v>1.0</v>
      </c>
      <c r="S623" s="199">
        <v>0.0</v>
      </c>
      <c r="T623" s="199">
        <v>26.0</v>
      </c>
      <c r="U623" s="199">
        <v>23.0</v>
      </c>
      <c r="V623" s="199">
        <v>0.0</v>
      </c>
      <c r="W623" s="199">
        <v>0.0</v>
      </c>
      <c r="X623" s="199">
        <v>0.0</v>
      </c>
      <c r="Y623" s="199">
        <v>0.0</v>
      </c>
      <c r="Z623" s="199">
        <v>2.0</v>
      </c>
      <c r="AA623" s="199">
        <v>0.0</v>
      </c>
      <c r="AB623" s="199">
        <v>10.0</v>
      </c>
      <c r="AC623" s="199">
        <v>2.0</v>
      </c>
      <c r="AD623" s="199">
        <v>0.0</v>
      </c>
      <c r="AE623" s="199">
        <v>104.0</v>
      </c>
      <c r="AF623" s="199">
        <v>1.0</v>
      </c>
      <c r="AG623" s="199">
        <v>406.0</v>
      </c>
      <c r="AH623" s="199">
        <v>17.0</v>
      </c>
      <c r="AI623" s="200" t="s">
        <v>653</v>
      </c>
      <c r="AJ623" s="200" t="s">
        <v>778</v>
      </c>
      <c r="AK623" s="200"/>
      <c r="AL623" s="204"/>
      <c r="AM623" s="204"/>
    </row>
    <row r="624">
      <c r="A624" s="199" t="s">
        <v>198</v>
      </c>
      <c r="B624" s="200" t="s">
        <v>800</v>
      </c>
      <c r="C624" s="199">
        <v>2.3161106259E10</v>
      </c>
      <c r="D624" s="201">
        <v>45076.0</v>
      </c>
      <c r="E624" s="202" t="s">
        <v>101</v>
      </c>
      <c r="F624" s="202" t="s">
        <v>101</v>
      </c>
      <c r="G624" s="203" t="s">
        <v>101</v>
      </c>
      <c r="H624" s="203" t="s">
        <v>101</v>
      </c>
      <c r="I624" s="37"/>
      <c r="J624" s="37"/>
      <c r="K624" s="37"/>
      <c r="L624" s="199">
        <v>11.0</v>
      </c>
      <c r="M624" s="199">
        <v>54.5</v>
      </c>
      <c r="N624" s="199"/>
      <c r="O624" s="199">
        <v>0.0</v>
      </c>
      <c r="P624" s="37"/>
      <c r="Q624" s="199">
        <v>0.0</v>
      </c>
      <c r="R624" s="199">
        <v>0.0</v>
      </c>
      <c r="S624" s="199">
        <v>0.0</v>
      </c>
      <c r="T624" s="199">
        <v>245.0</v>
      </c>
      <c r="U624" s="199">
        <v>83.0</v>
      </c>
      <c r="V624" s="199">
        <v>0.0</v>
      </c>
      <c r="W624" s="199">
        <v>0.0</v>
      </c>
      <c r="X624" s="199">
        <v>3.0</v>
      </c>
      <c r="Y624" s="199">
        <v>0.0</v>
      </c>
      <c r="Z624" s="199">
        <v>0.0</v>
      </c>
      <c r="AA624" s="199">
        <v>0.0</v>
      </c>
      <c r="AB624" s="199">
        <v>33.0</v>
      </c>
      <c r="AC624" s="199">
        <v>16.0</v>
      </c>
      <c r="AD624" s="199">
        <v>0.0</v>
      </c>
      <c r="AE624" s="199">
        <v>50.0</v>
      </c>
      <c r="AF624" s="199">
        <v>3.0</v>
      </c>
      <c r="AG624" s="199">
        <v>304.0</v>
      </c>
      <c r="AH624" s="199">
        <v>0.0</v>
      </c>
      <c r="AI624" s="200" t="s">
        <v>808</v>
      </c>
      <c r="AJ624" s="200" t="s">
        <v>916</v>
      </c>
      <c r="AK624" s="200"/>
      <c r="AL624" s="204"/>
      <c r="AM624" s="204"/>
    </row>
    <row r="625">
      <c r="A625" s="199" t="s">
        <v>198</v>
      </c>
      <c r="B625" s="200" t="s">
        <v>800</v>
      </c>
      <c r="C625" s="199">
        <v>2.3275210253E10</v>
      </c>
      <c r="D625" s="201">
        <v>45194.0</v>
      </c>
      <c r="E625" s="202" t="s">
        <v>101</v>
      </c>
      <c r="F625" s="202" t="s">
        <v>101</v>
      </c>
      <c r="G625" s="203" t="s">
        <v>101</v>
      </c>
      <c r="H625" s="203" t="s">
        <v>101</v>
      </c>
      <c r="I625" s="37"/>
      <c r="J625" s="37"/>
      <c r="K625" s="37"/>
      <c r="L625" s="199">
        <v>154.0</v>
      </c>
      <c r="M625" s="199">
        <v>57.5</v>
      </c>
      <c r="N625" s="199"/>
      <c r="O625" s="199">
        <v>5.0</v>
      </c>
      <c r="P625" s="37"/>
      <c r="Q625" s="199">
        <v>0.0</v>
      </c>
      <c r="R625" s="199">
        <v>6.0</v>
      </c>
      <c r="S625" s="199">
        <v>1.0</v>
      </c>
      <c r="T625" s="199">
        <v>370.0</v>
      </c>
      <c r="U625" s="199">
        <v>404.0</v>
      </c>
      <c r="V625" s="199">
        <v>0.0</v>
      </c>
      <c r="W625" s="199">
        <v>0.0</v>
      </c>
      <c r="X625" s="199">
        <v>11.0</v>
      </c>
      <c r="Y625" s="199">
        <v>0.0</v>
      </c>
      <c r="Z625" s="199">
        <v>15.0</v>
      </c>
      <c r="AA625" s="199">
        <v>4.0</v>
      </c>
      <c r="AB625" s="199">
        <v>27.0</v>
      </c>
      <c r="AC625" s="199">
        <v>23.0</v>
      </c>
      <c r="AD625" s="199">
        <v>0.0</v>
      </c>
      <c r="AE625" s="199">
        <v>124.0</v>
      </c>
      <c r="AF625" s="199">
        <v>7.0</v>
      </c>
      <c r="AG625" s="199">
        <v>224.0</v>
      </c>
      <c r="AH625" s="199">
        <v>22.0</v>
      </c>
      <c r="AI625" s="200" t="s">
        <v>812</v>
      </c>
      <c r="AJ625" s="200" t="s">
        <v>917</v>
      </c>
      <c r="AK625" s="200"/>
      <c r="AL625" s="204"/>
      <c r="AM625" s="204"/>
    </row>
    <row r="626">
      <c r="A626" s="199" t="s">
        <v>198</v>
      </c>
      <c r="B626" s="200" t="s">
        <v>800</v>
      </c>
      <c r="C626" s="199">
        <v>2.5079203228E10</v>
      </c>
      <c r="D626" s="201">
        <v>45725.0</v>
      </c>
      <c r="E626" s="202" t="s">
        <v>101</v>
      </c>
      <c r="F626" s="202" t="s">
        <v>101</v>
      </c>
      <c r="G626" s="203" t="s">
        <v>101</v>
      </c>
      <c r="H626" s="203" t="s">
        <v>101</v>
      </c>
      <c r="I626" s="37"/>
      <c r="J626" s="37"/>
      <c r="K626" s="37"/>
      <c r="L626" s="199">
        <v>29.0</v>
      </c>
      <c r="M626" s="199">
        <v>60.1</v>
      </c>
      <c r="N626" s="199"/>
      <c r="O626" s="199">
        <v>3.0</v>
      </c>
      <c r="P626" s="37"/>
      <c r="Q626" s="199">
        <v>0.0</v>
      </c>
      <c r="R626" s="199">
        <v>10.0</v>
      </c>
      <c r="S626" s="199">
        <v>1.0</v>
      </c>
      <c r="T626" s="199">
        <v>174.0</v>
      </c>
      <c r="U626" s="199">
        <v>19.0</v>
      </c>
      <c r="V626" s="199">
        <v>0.0</v>
      </c>
      <c r="W626" s="199">
        <v>0.0</v>
      </c>
      <c r="X626" s="199">
        <v>4.0</v>
      </c>
      <c r="Y626" s="199">
        <v>0.0</v>
      </c>
      <c r="Z626" s="199">
        <v>2.0</v>
      </c>
      <c r="AA626" s="199">
        <v>0.0</v>
      </c>
      <c r="AB626" s="199">
        <v>21.0</v>
      </c>
      <c r="AC626" s="199">
        <v>26.0</v>
      </c>
      <c r="AD626" s="199">
        <v>0.0</v>
      </c>
      <c r="AE626" s="199">
        <v>55.0</v>
      </c>
      <c r="AF626" s="199">
        <v>3.0</v>
      </c>
      <c r="AG626" s="199">
        <v>205.0</v>
      </c>
      <c r="AH626" s="199">
        <v>21.0</v>
      </c>
      <c r="AI626" s="200" t="s">
        <v>808</v>
      </c>
      <c r="AJ626" s="200" t="s">
        <v>904</v>
      </c>
      <c r="AK626" s="200"/>
      <c r="AL626" s="204"/>
      <c r="AM626" s="204"/>
    </row>
    <row r="627">
      <c r="A627" s="199" t="s">
        <v>198</v>
      </c>
      <c r="B627" s="200" t="s">
        <v>800</v>
      </c>
      <c r="C627" s="199">
        <v>2.5258159234E10</v>
      </c>
      <c r="D627" s="201">
        <v>45909.0</v>
      </c>
      <c r="E627" s="202" t="s">
        <v>101</v>
      </c>
      <c r="F627" s="202" t="s">
        <v>102</v>
      </c>
      <c r="G627" s="203" t="s">
        <v>101</v>
      </c>
      <c r="H627" s="203" t="s">
        <v>102</v>
      </c>
      <c r="I627" s="37"/>
      <c r="J627" s="37"/>
      <c r="K627" s="37"/>
      <c r="L627" s="199">
        <v>40.0</v>
      </c>
      <c r="M627" s="199">
        <v>46.7</v>
      </c>
      <c r="N627" s="199"/>
      <c r="O627" s="199">
        <v>3.0</v>
      </c>
      <c r="P627" s="37"/>
      <c r="Q627" s="199">
        <v>0.0</v>
      </c>
      <c r="R627" s="199">
        <v>13.0</v>
      </c>
      <c r="S627" s="199">
        <v>1.0</v>
      </c>
      <c r="T627" s="199">
        <v>313.0</v>
      </c>
      <c r="U627" s="199">
        <v>171.0</v>
      </c>
      <c r="V627" s="199">
        <v>0.0</v>
      </c>
      <c r="W627" s="199">
        <v>0.0</v>
      </c>
      <c r="X627" s="199">
        <v>46.0</v>
      </c>
      <c r="Y627" s="199">
        <v>16.0</v>
      </c>
      <c r="Z627" s="199">
        <v>2.0</v>
      </c>
      <c r="AA627" s="199">
        <v>0.0</v>
      </c>
      <c r="AB627" s="199">
        <v>0.0</v>
      </c>
      <c r="AC627" s="199">
        <v>15.0</v>
      </c>
      <c r="AD627" s="199">
        <v>0.0</v>
      </c>
      <c r="AE627" s="199">
        <v>37.0</v>
      </c>
      <c r="AF627" s="199">
        <v>5.0</v>
      </c>
      <c r="AG627" s="199">
        <v>263.0</v>
      </c>
      <c r="AH627" s="199">
        <v>0.0</v>
      </c>
      <c r="AI627" s="200" t="s">
        <v>787</v>
      </c>
      <c r="AJ627" s="200" t="s">
        <v>918</v>
      </c>
      <c r="AK627" s="200"/>
      <c r="AL627" s="204"/>
      <c r="AM627" s="204"/>
    </row>
    <row r="628">
      <c r="A628" s="199" t="s">
        <v>198</v>
      </c>
      <c r="B628" s="200" t="s">
        <v>800</v>
      </c>
      <c r="C628" s="199">
        <v>2.6060130253E10</v>
      </c>
      <c r="D628" s="201">
        <v>46054.0</v>
      </c>
      <c r="E628" s="202" t="s">
        <v>101</v>
      </c>
      <c r="F628" s="202" t="s">
        <v>102</v>
      </c>
      <c r="G628" s="203" t="s">
        <v>101</v>
      </c>
      <c r="H628" s="203" t="s">
        <v>102</v>
      </c>
      <c r="I628" s="37"/>
      <c r="J628" s="37"/>
      <c r="K628" s="37"/>
      <c r="L628" s="199">
        <v>46.0</v>
      </c>
      <c r="M628" s="199">
        <v>41.0</v>
      </c>
      <c r="N628" s="199"/>
      <c r="O628" s="199">
        <v>16.0</v>
      </c>
      <c r="P628" s="37"/>
      <c r="Q628" s="199">
        <v>0.0</v>
      </c>
      <c r="R628" s="199">
        <v>1.0</v>
      </c>
      <c r="S628" s="199">
        <v>0.0</v>
      </c>
      <c r="T628" s="199">
        <v>304.0</v>
      </c>
      <c r="U628" s="199">
        <v>71.0</v>
      </c>
      <c r="V628" s="199">
        <v>0.0</v>
      </c>
      <c r="W628" s="199">
        <v>0.0</v>
      </c>
      <c r="X628" s="199">
        <v>22.0</v>
      </c>
      <c r="Y628" s="199">
        <v>0.0</v>
      </c>
      <c r="Z628" s="199">
        <v>7.0</v>
      </c>
      <c r="AA628" s="199">
        <v>0.0</v>
      </c>
      <c r="AB628" s="199">
        <v>11.0</v>
      </c>
      <c r="AC628" s="199">
        <v>33.0</v>
      </c>
      <c r="AD628" s="199">
        <v>0.0</v>
      </c>
      <c r="AE628" s="199">
        <v>133.0</v>
      </c>
      <c r="AF628" s="199">
        <v>6.0</v>
      </c>
      <c r="AG628" s="199">
        <v>361.0</v>
      </c>
      <c r="AH628" s="199">
        <v>39.0</v>
      </c>
      <c r="AI628" s="200" t="s">
        <v>787</v>
      </c>
      <c r="AJ628" s="200" t="s">
        <v>809</v>
      </c>
      <c r="AK628" s="200"/>
      <c r="AL628" s="204"/>
      <c r="AM628" s="204"/>
    </row>
    <row r="629">
      <c r="A629" s="199" t="s">
        <v>199</v>
      </c>
      <c r="B629" s="200" t="s">
        <v>800</v>
      </c>
      <c r="C629" s="199">
        <v>2.3161110626E10</v>
      </c>
      <c r="D629" s="201">
        <v>45076.0</v>
      </c>
      <c r="E629" s="202" t="s">
        <v>101</v>
      </c>
      <c r="F629" s="202" t="s">
        <v>101</v>
      </c>
      <c r="G629" s="203" t="s">
        <v>101</v>
      </c>
      <c r="H629" s="203" t="s">
        <v>101</v>
      </c>
      <c r="I629" s="37"/>
      <c r="J629" s="37"/>
      <c r="K629" s="37"/>
      <c r="L629" s="199">
        <v>130.0</v>
      </c>
      <c r="M629" s="199">
        <v>53.8</v>
      </c>
      <c r="N629" s="199"/>
      <c r="O629" s="199">
        <v>1.0</v>
      </c>
      <c r="P629" s="37"/>
      <c r="Q629" s="199">
        <v>0.0</v>
      </c>
      <c r="R629" s="199">
        <v>0.0</v>
      </c>
      <c r="S629" s="199">
        <v>0.0</v>
      </c>
      <c r="T629" s="199">
        <v>179.0</v>
      </c>
      <c r="U629" s="199">
        <v>344.0</v>
      </c>
      <c r="V629" s="199">
        <v>2.0</v>
      </c>
      <c r="W629" s="199">
        <v>0.0</v>
      </c>
      <c r="X629" s="199">
        <v>3.0</v>
      </c>
      <c r="Y629" s="199">
        <v>0.0</v>
      </c>
      <c r="Z629" s="199">
        <v>0.0</v>
      </c>
      <c r="AA629" s="199">
        <v>0.0</v>
      </c>
      <c r="AB629" s="199">
        <v>32.0</v>
      </c>
      <c r="AC629" s="199">
        <v>68.0</v>
      </c>
      <c r="AD629" s="199">
        <v>0.0</v>
      </c>
      <c r="AE629" s="199">
        <v>69.0</v>
      </c>
      <c r="AF629" s="199">
        <v>0.0</v>
      </c>
      <c r="AG629" s="199">
        <v>359.0</v>
      </c>
      <c r="AH629" s="199">
        <v>2.0</v>
      </c>
      <c r="AI629" s="200" t="s">
        <v>812</v>
      </c>
      <c r="AJ629" s="200" t="s">
        <v>919</v>
      </c>
      <c r="AK629" s="200"/>
      <c r="AL629" s="204"/>
      <c r="AM629" s="204"/>
    </row>
    <row r="630">
      <c r="A630" s="199" t="s">
        <v>199</v>
      </c>
      <c r="B630" s="200" t="s">
        <v>800</v>
      </c>
      <c r="C630" s="199">
        <v>2.3275210246E10</v>
      </c>
      <c r="D630" s="201">
        <v>45194.0</v>
      </c>
      <c r="E630" s="202" t="s">
        <v>101</v>
      </c>
      <c r="F630" s="202" t="s">
        <v>101</v>
      </c>
      <c r="G630" s="203" t="s">
        <v>100</v>
      </c>
      <c r="H630" s="203" t="s">
        <v>100</v>
      </c>
      <c r="I630" s="37"/>
      <c r="J630" s="37"/>
      <c r="K630" s="37"/>
      <c r="L630" s="37"/>
      <c r="M630" s="199">
        <v>60.1</v>
      </c>
      <c r="N630" s="199"/>
      <c r="O630" s="199">
        <v>3.0</v>
      </c>
      <c r="P630" s="37"/>
      <c r="Q630" s="199">
        <v>0.0</v>
      </c>
      <c r="R630" s="199">
        <v>10.0</v>
      </c>
      <c r="S630" s="199">
        <v>0.0</v>
      </c>
      <c r="T630" s="199">
        <v>171.0</v>
      </c>
      <c r="U630" s="199">
        <v>17.0</v>
      </c>
      <c r="V630" s="199">
        <v>2.0</v>
      </c>
      <c r="W630" s="199">
        <v>0.0</v>
      </c>
      <c r="X630" s="199">
        <v>4.0</v>
      </c>
      <c r="Y630" s="199">
        <v>0.0</v>
      </c>
      <c r="Z630" s="199">
        <v>0.0</v>
      </c>
      <c r="AA630" s="199">
        <v>0.0</v>
      </c>
      <c r="AB630" s="199">
        <v>20.0</v>
      </c>
      <c r="AC630" s="199">
        <v>29.0</v>
      </c>
      <c r="AD630" s="199">
        <v>0.0</v>
      </c>
      <c r="AE630" s="199">
        <v>51.0</v>
      </c>
      <c r="AF630" s="199">
        <v>5.0</v>
      </c>
      <c r="AG630" s="199">
        <v>189.0</v>
      </c>
      <c r="AH630" s="199">
        <v>5.0</v>
      </c>
      <c r="AI630" s="200" t="s">
        <v>776</v>
      </c>
      <c r="AJ630" s="200" t="s">
        <v>864</v>
      </c>
      <c r="AK630" s="200"/>
      <c r="AL630" s="204"/>
      <c r="AM630" s="204"/>
    </row>
    <row r="631">
      <c r="A631" s="199" t="s">
        <v>199</v>
      </c>
      <c r="B631" s="200" t="s">
        <v>800</v>
      </c>
      <c r="C631" s="199">
        <v>2.5258159245E10</v>
      </c>
      <c r="D631" s="201">
        <v>45909.0</v>
      </c>
      <c r="E631" s="202" t="s">
        <v>101</v>
      </c>
      <c r="F631" s="202" t="s">
        <v>102</v>
      </c>
      <c r="G631" s="203" t="s">
        <v>101</v>
      </c>
      <c r="H631" s="203" t="s">
        <v>100</v>
      </c>
      <c r="I631" s="37"/>
      <c r="J631" s="37"/>
      <c r="K631" s="37"/>
      <c r="L631" s="199">
        <v>73.0</v>
      </c>
      <c r="M631" s="199">
        <v>46.9</v>
      </c>
      <c r="N631" s="199"/>
      <c r="O631" s="199">
        <v>9.0</v>
      </c>
      <c r="P631" s="37"/>
      <c r="Q631" s="199">
        <v>0.0</v>
      </c>
      <c r="R631" s="199">
        <v>26.0</v>
      </c>
      <c r="S631" s="199">
        <v>1.0</v>
      </c>
      <c r="T631" s="199">
        <v>64.0</v>
      </c>
      <c r="U631" s="199">
        <v>127.0</v>
      </c>
      <c r="V631" s="199">
        <v>2.0</v>
      </c>
      <c r="W631" s="199">
        <v>0.0</v>
      </c>
      <c r="X631" s="199">
        <v>1.0</v>
      </c>
      <c r="Y631" s="199">
        <v>2.0</v>
      </c>
      <c r="Z631" s="199">
        <v>0.0</v>
      </c>
      <c r="AA631" s="199">
        <v>0.0</v>
      </c>
      <c r="AB631" s="199">
        <v>16.0</v>
      </c>
      <c r="AC631" s="199">
        <v>35.0</v>
      </c>
      <c r="AD631" s="199">
        <v>0.0</v>
      </c>
      <c r="AE631" s="199">
        <v>241.0</v>
      </c>
      <c r="AF631" s="199">
        <v>5.0</v>
      </c>
      <c r="AG631" s="199">
        <v>271.0</v>
      </c>
      <c r="AH631" s="199">
        <v>5.0</v>
      </c>
      <c r="AI631" s="200" t="s">
        <v>787</v>
      </c>
      <c r="AJ631" s="200" t="s">
        <v>806</v>
      </c>
      <c r="AK631" s="200"/>
      <c r="AL631" s="204"/>
      <c r="AM631" s="204"/>
    </row>
    <row r="632">
      <c r="A632" s="199" t="s">
        <v>200</v>
      </c>
      <c r="B632" s="200" t="s">
        <v>800</v>
      </c>
      <c r="C632" s="199">
        <v>2.3161106249E10</v>
      </c>
      <c r="D632" s="201">
        <v>45076.0</v>
      </c>
      <c r="E632" s="202" t="s">
        <v>101</v>
      </c>
      <c r="F632" s="202" t="s">
        <v>102</v>
      </c>
      <c r="G632" s="203" t="s">
        <v>101</v>
      </c>
      <c r="H632" s="203" t="s">
        <v>101</v>
      </c>
      <c r="I632" s="37"/>
      <c r="J632" s="37"/>
      <c r="K632" s="37"/>
      <c r="L632" s="199">
        <v>15.0</v>
      </c>
      <c r="M632" s="199">
        <v>55.9</v>
      </c>
      <c r="N632" s="199"/>
      <c r="O632" s="199">
        <v>0.0</v>
      </c>
      <c r="P632" s="37"/>
      <c r="Q632" s="199">
        <v>0.0</v>
      </c>
      <c r="R632" s="199">
        <v>0.0</v>
      </c>
      <c r="S632" s="199">
        <v>0.0</v>
      </c>
      <c r="T632" s="199">
        <v>82.0</v>
      </c>
      <c r="U632" s="199">
        <v>207.0</v>
      </c>
      <c r="V632" s="199">
        <v>0.0</v>
      </c>
      <c r="W632" s="199">
        <v>0.0</v>
      </c>
      <c r="X632" s="199">
        <v>1.0</v>
      </c>
      <c r="Y632" s="199">
        <v>10.0</v>
      </c>
      <c r="Z632" s="199">
        <v>0.0</v>
      </c>
      <c r="AA632" s="199">
        <v>0.0</v>
      </c>
      <c r="AB632" s="199">
        <v>17.0</v>
      </c>
      <c r="AC632" s="199">
        <v>32.0</v>
      </c>
      <c r="AD632" s="199">
        <v>0.0</v>
      </c>
      <c r="AE632" s="199">
        <v>62.0</v>
      </c>
      <c r="AF632" s="199">
        <v>0.0</v>
      </c>
      <c r="AG632" s="199">
        <v>263.0</v>
      </c>
      <c r="AH632" s="199">
        <v>0.0</v>
      </c>
      <c r="AI632" s="200" t="s">
        <v>787</v>
      </c>
      <c r="AJ632" s="200" t="s">
        <v>795</v>
      </c>
      <c r="AK632" s="200"/>
      <c r="AL632" s="204"/>
      <c r="AM632" s="204"/>
    </row>
    <row r="633">
      <c r="A633" s="199" t="s">
        <v>200</v>
      </c>
      <c r="B633" s="200" t="s">
        <v>800</v>
      </c>
      <c r="C633" s="199">
        <v>2.3275210422E10</v>
      </c>
      <c r="D633" s="201">
        <v>45194.0</v>
      </c>
      <c r="E633" s="202" t="s">
        <v>101</v>
      </c>
      <c r="F633" s="202" t="s">
        <v>102</v>
      </c>
      <c r="G633" s="203" t="s">
        <v>101</v>
      </c>
      <c r="H633" s="203" t="s">
        <v>101</v>
      </c>
      <c r="I633" s="37"/>
      <c r="J633" s="37"/>
      <c r="K633" s="37"/>
      <c r="L633" s="199">
        <v>22.0</v>
      </c>
      <c r="M633" s="199">
        <v>59.5</v>
      </c>
      <c r="N633" s="199"/>
      <c r="O633" s="199">
        <v>0.0</v>
      </c>
      <c r="P633" s="37"/>
      <c r="Q633" s="199">
        <v>0.0</v>
      </c>
      <c r="R633" s="199">
        <v>3.0</v>
      </c>
      <c r="S633" s="199">
        <v>0.0</v>
      </c>
      <c r="T633" s="199">
        <v>86.0</v>
      </c>
      <c r="U633" s="199">
        <v>28.0</v>
      </c>
      <c r="V633" s="199">
        <v>0.0</v>
      </c>
      <c r="W633" s="199">
        <v>0.0</v>
      </c>
      <c r="X633" s="199">
        <v>4.0</v>
      </c>
      <c r="Y633" s="199">
        <v>12.0</v>
      </c>
      <c r="Z633" s="199">
        <v>1.0</v>
      </c>
      <c r="AA633" s="199">
        <v>0.0</v>
      </c>
      <c r="AB633" s="199">
        <v>20.0</v>
      </c>
      <c r="AC633" s="199">
        <v>25.0</v>
      </c>
      <c r="AD633" s="199">
        <v>0.0</v>
      </c>
      <c r="AE633" s="199">
        <v>23.0</v>
      </c>
      <c r="AF633" s="199">
        <v>0.0</v>
      </c>
      <c r="AG633" s="199">
        <v>280.0</v>
      </c>
      <c r="AH633" s="199">
        <v>9.0</v>
      </c>
      <c r="AI633" s="200" t="s">
        <v>787</v>
      </c>
      <c r="AJ633" s="200" t="s">
        <v>791</v>
      </c>
      <c r="AK633" s="200"/>
      <c r="AL633" s="204"/>
      <c r="AM633" s="204"/>
    </row>
    <row r="634">
      <c r="A634" s="199" t="s">
        <v>200</v>
      </c>
      <c r="B634" s="200" t="s">
        <v>800</v>
      </c>
      <c r="C634" s="199">
        <v>2.5079203246E10</v>
      </c>
      <c r="D634" s="201">
        <v>45725.0</v>
      </c>
      <c r="E634" s="202" t="s">
        <v>101</v>
      </c>
      <c r="F634" s="202" t="s">
        <v>102</v>
      </c>
      <c r="G634" s="203" t="s">
        <v>101</v>
      </c>
      <c r="H634" s="203" t="s">
        <v>101</v>
      </c>
      <c r="I634" s="37"/>
      <c r="J634" s="37"/>
      <c r="K634" s="37"/>
      <c r="L634" s="199">
        <v>28.0</v>
      </c>
      <c r="M634" s="199">
        <v>60.5</v>
      </c>
      <c r="N634" s="199"/>
      <c r="O634" s="199">
        <v>3.0</v>
      </c>
      <c r="P634" s="37"/>
      <c r="Q634" s="199">
        <v>0.0</v>
      </c>
      <c r="R634" s="199">
        <v>10.0</v>
      </c>
      <c r="S634" s="199">
        <v>1.0</v>
      </c>
      <c r="T634" s="199">
        <v>142.0</v>
      </c>
      <c r="U634" s="199">
        <v>14.0</v>
      </c>
      <c r="V634" s="199">
        <v>0.0</v>
      </c>
      <c r="W634" s="199">
        <v>0.0</v>
      </c>
      <c r="X634" s="199">
        <v>3.0</v>
      </c>
      <c r="Y634" s="199">
        <v>0.0</v>
      </c>
      <c r="Z634" s="199">
        <v>5.0</v>
      </c>
      <c r="AA634" s="199">
        <v>0.0</v>
      </c>
      <c r="AB634" s="199">
        <v>18.0</v>
      </c>
      <c r="AC634" s="199">
        <v>29.0</v>
      </c>
      <c r="AD634" s="199">
        <v>0.0</v>
      </c>
      <c r="AE634" s="199">
        <v>33.0</v>
      </c>
      <c r="AF634" s="199">
        <v>2.0</v>
      </c>
      <c r="AG634" s="199">
        <v>198.0</v>
      </c>
      <c r="AH634" s="199">
        <v>10.0</v>
      </c>
      <c r="AI634" s="200" t="s">
        <v>787</v>
      </c>
      <c r="AJ634" s="200" t="s">
        <v>795</v>
      </c>
      <c r="AK634" s="200"/>
      <c r="AL634" s="204"/>
      <c r="AM634" s="204"/>
    </row>
    <row r="635">
      <c r="A635" s="199" t="s">
        <v>200</v>
      </c>
      <c r="B635" s="200" t="s">
        <v>800</v>
      </c>
      <c r="C635" s="199">
        <v>2.5258159226E10</v>
      </c>
      <c r="D635" s="201">
        <v>45909.0</v>
      </c>
      <c r="E635" s="202" t="s">
        <v>101</v>
      </c>
      <c r="F635" s="202" t="s">
        <v>102</v>
      </c>
      <c r="G635" s="203" t="s">
        <v>101</v>
      </c>
      <c r="H635" s="203" t="s">
        <v>102</v>
      </c>
      <c r="I635" s="37"/>
      <c r="J635" s="37"/>
      <c r="K635" s="37"/>
      <c r="L635" s="199">
        <v>42.0</v>
      </c>
      <c r="M635" s="199">
        <v>50.6</v>
      </c>
      <c r="N635" s="199"/>
      <c r="O635" s="199">
        <v>12.0</v>
      </c>
      <c r="P635" s="37"/>
      <c r="Q635" s="199">
        <v>0.0</v>
      </c>
      <c r="R635" s="199">
        <v>18.0</v>
      </c>
      <c r="S635" s="199">
        <v>1.0</v>
      </c>
      <c r="T635" s="199">
        <v>241.0</v>
      </c>
      <c r="U635" s="199">
        <v>113.0</v>
      </c>
      <c r="V635" s="199">
        <v>3.0</v>
      </c>
      <c r="W635" s="199">
        <v>0.0</v>
      </c>
      <c r="X635" s="199">
        <v>9.0</v>
      </c>
      <c r="Y635" s="199">
        <v>0.0</v>
      </c>
      <c r="Z635" s="199">
        <v>2.0</v>
      </c>
      <c r="AA635" s="199">
        <v>2.0</v>
      </c>
      <c r="AB635" s="199">
        <v>16.0</v>
      </c>
      <c r="AC635" s="199">
        <v>58.0</v>
      </c>
      <c r="AD635" s="199">
        <v>0.0</v>
      </c>
      <c r="AE635" s="199">
        <v>96.0</v>
      </c>
      <c r="AF635" s="199">
        <v>9.0</v>
      </c>
      <c r="AG635" s="199">
        <v>238.0</v>
      </c>
      <c r="AH635" s="199">
        <v>2.0</v>
      </c>
      <c r="AI635" s="200" t="s">
        <v>787</v>
      </c>
      <c r="AJ635" s="200" t="s">
        <v>920</v>
      </c>
      <c r="AK635" s="200"/>
      <c r="AL635" s="204"/>
      <c r="AM635" s="204"/>
    </row>
    <row r="636">
      <c r="A636" s="199" t="s">
        <v>200</v>
      </c>
      <c r="B636" s="200" t="s">
        <v>800</v>
      </c>
      <c r="C636" s="199">
        <v>2.6060130251E10</v>
      </c>
      <c r="D636" s="201">
        <v>46054.0</v>
      </c>
      <c r="E636" s="202" t="s">
        <v>101</v>
      </c>
      <c r="F636" s="202" t="s">
        <v>102</v>
      </c>
      <c r="G636" s="203" t="s">
        <v>101</v>
      </c>
      <c r="H636" s="203" t="s">
        <v>101</v>
      </c>
      <c r="I636" s="37"/>
      <c r="J636" s="37"/>
      <c r="K636" s="37"/>
      <c r="L636" s="199">
        <v>38.0</v>
      </c>
      <c r="M636" s="199">
        <v>49.0</v>
      </c>
      <c r="N636" s="199"/>
      <c r="O636" s="199">
        <v>21.0</v>
      </c>
      <c r="P636" s="37"/>
      <c r="Q636" s="199">
        <v>0.0</v>
      </c>
      <c r="R636" s="199">
        <v>0.0</v>
      </c>
      <c r="S636" s="199">
        <v>1.0</v>
      </c>
      <c r="T636" s="199">
        <v>350.0</v>
      </c>
      <c r="U636" s="199">
        <v>39.0</v>
      </c>
      <c r="V636" s="199">
        <v>0.0</v>
      </c>
      <c r="W636" s="199">
        <v>0.0</v>
      </c>
      <c r="X636" s="199">
        <v>12.0</v>
      </c>
      <c r="Y636" s="199">
        <v>24.0</v>
      </c>
      <c r="Z636" s="199">
        <v>6.0</v>
      </c>
      <c r="AA636" s="199">
        <v>0.0</v>
      </c>
      <c r="AB636" s="199">
        <v>16.0</v>
      </c>
      <c r="AC636" s="199">
        <v>40.0</v>
      </c>
      <c r="AD636" s="199">
        <v>0.0</v>
      </c>
      <c r="AE636" s="199">
        <v>48.0</v>
      </c>
      <c r="AF636" s="199">
        <v>2.0</v>
      </c>
      <c r="AG636" s="199">
        <v>345.0</v>
      </c>
      <c r="AH636" s="199">
        <v>6.0</v>
      </c>
      <c r="AI636" s="200" t="s">
        <v>808</v>
      </c>
      <c r="AJ636" s="200" t="s">
        <v>921</v>
      </c>
      <c r="AK636" s="200"/>
      <c r="AL636" s="204"/>
      <c r="AM636" s="204"/>
    </row>
    <row r="637">
      <c r="A637" s="199" t="s">
        <v>201</v>
      </c>
      <c r="B637" s="200" t="s">
        <v>800</v>
      </c>
      <c r="C637" s="199">
        <v>2.316110625E10</v>
      </c>
      <c r="D637" s="201">
        <v>45076.0</v>
      </c>
      <c r="E637" s="202" t="s">
        <v>101</v>
      </c>
      <c r="F637" s="202" t="s">
        <v>101</v>
      </c>
      <c r="G637" s="203" t="s">
        <v>101</v>
      </c>
      <c r="H637" s="203" t="s">
        <v>101</v>
      </c>
      <c r="I637" s="37"/>
      <c r="J637" s="37"/>
      <c r="K637" s="37"/>
      <c r="L637" s="199">
        <v>161.0</v>
      </c>
      <c r="M637" s="199">
        <v>53.5</v>
      </c>
      <c r="N637" s="199"/>
      <c r="O637" s="199">
        <v>1.0</v>
      </c>
      <c r="P637" s="37"/>
      <c r="Q637" s="199">
        <v>0.0</v>
      </c>
      <c r="R637" s="199">
        <v>15.0</v>
      </c>
      <c r="S637" s="199">
        <v>0.0</v>
      </c>
      <c r="T637" s="199">
        <v>41.0</v>
      </c>
      <c r="U637" s="199">
        <v>223.0</v>
      </c>
      <c r="V637" s="199">
        <v>0.0</v>
      </c>
      <c r="W637" s="199">
        <v>0.0</v>
      </c>
      <c r="X637" s="199">
        <v>0.0</v>
      </c>
      <c r="Y637" s="199">
        <v>0.0</v>
      </c>
      <c r="Z637" s="199">
        <v>0.0</v>
      </c>
      <c r="AA637" s="199">
        <v>0.0</v>
      </c>
      <c r="AB637" s="199">
        <v>105.0</v>
      </c>
      <c r="AC637" s="199">
        <v>36.0</v>
      </c>
      <c r="AD637" s="199">
        <v>0.0</v>
      </c>
      <c r="AE637" s="199">
        <v>338.0</v>
      </c>
      <c r="AF637" s="199">
        <v>2.0</v>
      </c>
      <c r="AG637" s="199">
        <v>285.0</v>
      </c>
      <c r="AH637" s="199">
        <v>3.0</v>
      </c>
      <c r="AI637" s="200" t="s">
        <v>922</v>
      </c>
      <c r="AJ637" s="200" t="s">
        <v>923</v>
      </c>
      <c r="AK637" s="200"/>
      <c r="AL637" s="204"/>
      <c r="AM637" s="204"/>
    </row>
    <row r="638">
      <c r="A638" s="199" t="s">
        <v>201</v>
      </c>
      <c r="B638" s="200" t="s">
        <v>800</v>
      </c>
      <c r="C638" s="199">
        <v>2.3276310229E10</v>
      </c>
      <c r="D638" s="201">
        <v>45194.0</v>
      </c>
      <c r="E638" s="202" t="s">
        <v>101</v>
      </c>
      <c r="F638" s="202" t="s">
        <v>101</v>
      </c>
      <c r="G638" s="203" t="s">
        <v>101</v>
      </c>
      <c r="H638" s="203" t="s">
        <v>101</v>
      </c>
      <c r="I638" s="37"/>
      <c r="J638" s="37"/>
      <c r="K638" s="37"/>
      <c r="L638" s="199">
        <v>215.0</v>
      </c>
      <c r="M638" s="199">
        <v>936.5</v>
      </c>
      <c r="N638" s="199"/>
      <c r="O638" s="199">
        <v>1.0</v>
      </c>
      <c r="P638" s="37"/>
      <c r="Q638" s="199">
        <v>0.0</v>
      </c>
      <c r="R638" s="199">
        <v>9.0</v>
      </c>
      <c r="S638" s="199">
        <v>0.0</v>
      </c>
      <c r="T638" s="199">
        <v>105.0</v>
      </c>
      <c r="U638" s="199">
        <v>400.0</v>
      </c>
      <c r="V638" s="199">
        <v>0.0</v>
      </c>
      <c r="W638" s="199">
        <v>0.0</v>
      </c>
      <c r="X638" s="199">
        <v>3.0</v>
      </c>
      <c r="Y638" s="199">
        <v>12.0</v>
      </c>
      <c r="Z638" s="199">
        <v>8.0</v>
      </c>
      <c r="AA638" s="199">
        <v>11.0</v>
      </c>
      <c r="AB638" s="199">
        <v>24.0</v>
      </c>
      <c r="AC638" s="199">
        <v>12.0</v>
      </c>
      <c r="AD638" s="199">
        <v>0.0</v>
      </c>
      <c r="AE638" s="199">
        <v>163.0</v>
      </c>
      <c r="AF638" s="199">
        <v>5.0</v>
      </c>
      <c r="AG638" s="199">
        <v>156.0</v>
      </c>
      <c r="AH638" s="199">
        <v>4.0</v>
      </c>
      <c r="AI638" s="200" t="s">
        <v>812</v>
      </c>
      <c r="AJ638" s="200" t="s">
        <v>924</v>
      </c>
      <c r="AK638" s="200"/>
      <c r="AL638" s="204"/>
      <c r="AM638" s="204"/>
    </row>
    <row r="639">
      <c r="A639" s="199" t="s">
        <v>201</v>
      </c>
      <c r="B639" s="200" t="s">
        <v>800</v>
      </c>
      <c r="C639" s="199">
        <v>2.5079203248E10</v>
      </c>
      <c r="D639" s="201">
        <v>45725.0</v>
      </c>
      <c r="E639" s="202" t="s">
        <v>101</v>
      </c>
      <c r="F639" s="202" t="s">
        <v>102</v>
      </c>
      <c r="G639" s="203" t="s">
        <v>101</v>
      </c>
      <c r="H639" s="203" t="s">
        <v>101</v>
      </c>
      <c r="I639" s="37"/>
      <c r="J639" s="37"/>
      <c r="K639" s="37"/>
      <c r="L639" s="199">
        <v>26.0</v>
      </c>
      <c r="M639" s="199">
        <v>60.7</v>
      </c>
      <c r="N639" s="199"/>
      <c r="O639" s="199">
        <v>3.0</v>
      </c>
      <c r="P639" s="37"/>
      <c r="Q639" s="199">
        <v>0.0</v>
      </c>
      <c r="R639" s="199">
        <v>10.0</v>
      </c>
      <c r="S639" s="199">
        <v>1.0</v>
      </c>
      <c r="T639" s="199">
        <v>140.0</v>
      </c>
      <c r="U639" s="199">
        <v>14.0</v>
      </c>
      <c r="V639" s="199">
        <v>0.0</v>
      </c>
      <c r="W639" s="199">
        <v>0.0</v>
      </c>
      <c r="X639" s="199">
        <v>4.0</v>
      </c>
      <c r="Y639" s="199">
        <v>0.0</v>
      </c>
      <c r="Z639" s="199">
        <v>2.0</v>
      </c>
      <c r="AA639" s="199">
        <v>0.0</v>
      </c>
      <c r="AB639" s="199">
        <v>16.0</v>
      </c>
      <c r="AC639" s="199">
        <v>28.0</v>
      </c>
      <c r="AD639" s="199">
        <v>0.0</v>
      </c>
      <c r="AE639" s="199">
        <v>36.0</v>
      </c>
      <c r="AF639" s="199">
        <v>0.0</v>
      </c>
      <c r="AG639" s="199">
        <v>199.0</v>
      </c>
      <c r="AH639" s="199">
        <v>2.0</v>
      </c>
      <c r="AI639" s="200" t="s">
        <v>787</v>
      </c>
      <c r="AJ639" s="200" t="s">
        <v>795</v>
      </c>
      <c r="AK639" s="200"/>
      <c r="AL639" s="204"/>
      <c r="AM639" s="204"/>
    </row>
    <row r="640">
      <c r="A640" s="199" t="s">
        <v>201</v>
      </c>
      <c r="B640" s="200" t="s">
        <v>800</v>
      </c>
      <c r="C640" s="199">
        <v>2.5258159247E10</v>
      </c>
      <c r="D640" s="201">
        <v>45909.0</v>
      </c>
      <c r="E640" s="202" t="s">
        <v>101</v>
      </c>
      <c r="F640" s="202" t="s">
        <v>102</v>
      </c>
      <c r="G640" s="203" t="s">
        <v>101</v>
      </c>
      <c r="H640" s="203" t="s">
        <v>102</v>
      </c>
      <c r="I640" s="37"/>
      <c r="J640" s="37"/>
      <c r="K640" s="37"/>
      <c r="L640" s="199">
        <v>86.0</v>
      </c>
      <c r="M640" s="199">
        <v>51.8</v>
      </c>
      <c r="N640" s="199"/>
      <c r="O640" s="199">
        <v>17.0</v>
      </c>
      <c r="P640" s="199">
        <v>0.11</v>
      </c>
      <c r="Q640" s="199">
        <v>0.0</v>
      </c>
      <c r="R640" s="199">
        <v>22.0</v>
      </c>
      <c r="S640" s="199">
        <v>1.0</v>
      </c>
      <c r="T640" s="199">
        <v>394.0</v>
      </c>
      <c r="U640" s="199">
        <v>76.0</v>
      </c>
      <c r="V640" s="199">
        <v>2.0</v>
      </c>
      <c r="W640" s="199">
        <v>0.0</v>
      </c>
      <c r="X640" s="199">
        <v>16.0</v>
      </c>
      <c r="Y640" s="199">
        <v>0.0</v>
      </c>
      <c r="Z640" s="199">
        <v>2.0</v>
      </c>
      <c r="AA640" s="199">
        <v>0.0</v>
      </c>
      <c r="AB640" s="199">
        <v>12.0</v>
      </c>
      <c r="AC640" s="199">
        <v>55.0</v>
      </c>
      <c r="AD640" s="199">
        <v>0.0</v>
      </c>
      <c r="AE640" s="199">
        <v>191.0</v>
      </c>
      <c r="AF640" s="199">
        <v>14.0</v>
      </c>
      <c r="AG640" s="199">
        <v>223.0</v>
      </c>
      <c r="AH640" s="199">
        <v>0.0</v>
      </c>
      <c r="AI640" s="200" t="s">
        <v>682</v>
      </c>
      <c r="AJ640" s="200" t="s">
        <v>925</v>
      </c>
      <c r="AK640" s="200"/>
      <c r="AL640" s="204"/>
      <c r="AM640" s="204"/>
    </row>
    <row r="641">
      <c r="A641" s="199" t="s">
        <v>201</v>
      </c>
      <c r="B641" s="200" t="s">
        <v>800</v>
      </c>
      <c r="C641" s="199">
        <v>2.6060130252E10</v>
      </c>
      <c r="D641" s="201">
        <v>46054.0</v>
      </c>
      <c r="E641" s="202" t="s">
        <v>101</v>
      </c>
      <c r="F641" s="202" t="s">
        <v>102</v>
      </c>
      <c r="G641" s="203" t="s">
        <v>101</v>
      </c>
      <c r="H641" s="203" t="s">
        <v>100</v>
      </c>
      <c r="I641" s="37"/>
      <c r="J641" s="37"/>
      <c r="K641" s="37"/>
      <c r="L641" s="199">
        <v>132.0</v>
      </c>
      <c r="M641" s="199">
        <v>44.7</v>
      </c>
      <c r="N641" s="199"/>
      <c r="O641" s="199">
        <v>7.0</v>
      </c>
      <c r="P641" s="37"/>
      <c r="Q641" s="199">
        <v>0.0</v>
      </c>
      <c r="R641" s="199">
        <v>0.0</v>
      </c>
      <c r="S641" s="199">
        <v>0.0</v>
      </c>
      <c r="T641" s="199">
        <v>33.0</v>
      </c>
      <c r="U641" s="199">
        <v>46.0</v>
      </c>
      <c r="V641" s="199">
        <v>0.0</v>
      </c>
      <c r="W641" s="199">
        <v>0.0</v>
      </c>
      <c r="X641" s="199">
        <v>0.0</v>
      </c>
      <c r="Y641" s="199">
        <v>0.0</v>
      </c>
      <c r="Z641" s="199">
        <v>2.0</v>
      </c>
      <c r="AA641" s="199">
        <v>0.0</v>
      </c>
      <c r="AB641" s="199">
        <v>12.0</v>
      </c>
      <c r="AC641" s="199">
        <v>12.0</v>
      </c>
      <c r="AD641" s="199">
        <v>0.0</v>
      </c>
      <c r="AE641" s="199">
        <v>71.0</v>
      </c>
      <c r="AF641" s="199">
        <v>5.0</v>
      </c>
      <c r="AG641" s="199">
        <v>340.0</v>
      </c>
      <c r="AH641" s="199">
        <v>21.0</v>
      </c>
      <c r="AI641" s="200" t="s">
        <v>797</v>
      </c>
      <c r="AJ641" s="200" t="s">
        <v>926</v>
      </c>
      <c r="AK641" s="200"/>
      <c r="AL641" s="204"/>
      <c r="AM641" s="204"/>
    </row>
    <row r="642">
      <c r="A642" s="199" t="s">
        <v>202</v>
      </c>
      <c r="B642" s="200" t="s">
        <v>800</v>
      </c>
      <c r="C642" s="199">
        <v>2.3161106212E10</v>
      </c>
      <c r="D642" s="201">
        <v>45076.0</v>
      </c>
      <c r="E642" s="202" t="s">
        <v>101</v>
      </c>
      <c r="F642" s="202" t="s">
        <v>101</v>
      </c>
      <c r="G642" s="203" t="s">
        <v>101</v>
      </c>
      <c r="H642" s="203" t="s">
        <v>101</v>
      </c>
      <c r="I642" s="37"/>
      <c r="J642" s="37"/>
      <c r="K642" s="37"/>
      <c r="L642" s="199">
        <v>14.0</v>
      </c>
      <c r="M642" s="199">
        <v>55.8</v>
      </c>
      <c r="N642" s="199"/>
      <c r="O642" s="199">
        <v>0.0</v>
      </c>
      <c r="P642" s="37"/>
      <c r="Q642" s="199">
        <v>0.0</v>
      </c>
      <c r="R642" s="199">
        <v>6.0</v>
      </c>
      <c r="S642" s="199">
        <v>2.0</v>
      </c>
      <c r="T642" s="199">
        <v>132.0</v>
      </c>
      <c r="U642" s="199">
        <v>22.0</v>
      </c>
      <c r="V642" s="199">
        <v>1.0</v>
      </c>
      <c r="W642" s="199">
        <v>0.0</v>
      </c>
      <c r="X642" s="199">
        <v>6.0</v>
      </c>
      <c r="Y642" s="199">
        <v>0.0</v>
      </c>
      <c r="Z642" s="199">
        <v>14.0</v>
      </c>
      <c r="AA642" s="199">
        <v>0.0</v>
      </c>
      <c r="AB642" s="199">
        <v>36.0</v>
      </c>
      <c r="AC642" s="199">
        <v>52.0</v>
      </c>
      <c r="AD642" s="199">
        <v>0.0</v>
      </c>
      <c r="AE642" s="199">
        <v>60.0</v>
      </c>
      <c r="AF642" s="199">
        <v>2.0</v>
      </c>
      <c r="AG642" s="199">
        <v>212.0</v>
      </c>
      <c r="AH642" s="199">
        <v>3.0</v>
      </c>
      <c r="AI642" s="200" t="s">
        <v>787</v>
      </c>
      <c r="AJ642" s="200" t="s">
        <v>927</v>
      </c>
      <c r="AK642" s="200"/>
      <c r="AL642" s="204"/>
      <c r="AM642" s="204"/>
    </row>
    <row r="643">
      <c r="A643" s="199" t="s">
        <v>202</v>
      </c>
      <c r="B643" s="200" t="s">
        <v>800</v>
      </c>
      <c r="C643" s="199">
        <v>2.3275210254E10</v>
      </c>
      <c r="D643" s="201">
        <v>45194.0</v>
      </c>
      <c r="E643" s="202" t="s">
        <v>101</v>
      </c>
      <c r="F643" s="202" t="s">
        <v>102</v>
      </c>
      <c r="G643" s="203" t="s">
        <v>101</v>
      </c>
      <c r="H643" s="203" t="s">
        <v>101</v>
      </c>
      <c r="I643" s="37"/>
      <c r="J643" s="37"/>
      <c r="K643" s="37"/>
      <c r="L643" s="199">
        <v>72.0</v>
      </c>
      <c r="M643" s="199">
        <v>54.3</v>
      </c>
      <c r="N643" s="199"/>
      <c r="O643" s="199">
        <v>0.0</v>
      </c>
      <c r="P643" s="37"/>
      <c r="Q643" s="199">
        <v>0.0</v>
      </c>
      <c r="R643" s="199">
        <v>5.0</v>
      </c>
      <c r="S643" s="199">
        <v>0.0</v>
      </c>
      <c r="T643" s="199">
        <v>148.0</v>
      </c>
      <c r="U643" s="199">
        <v>87.0</v>
      </c>
      <c r="V643" s="199">
        <v>0.0</v>
      </c>
      <c r="W643" s="199">
        <v>0.0</v>
      </c>
      <c r="X643" s="199">
        <v>7.0</v>
      </c>
      <c r="Y643" s="199">
        <v>0.0</v>
      </c>
      <c r="Z643" s="199">
        <v>2.0</v>
      </c>
      <c r="AA643" s="199">
        <v>0.0</v>
      </c>
      <c r="AB643" s="199">
        <v>14.0</v>
      </c>
      <c r="AC643" s="199">
        <v>24.0</v>
      </c>
      <c r="AD643" s="199">
        <v>0.0</v>
      </c>
      <c r="AE643" s="199">
        <v>65.0</v>
      </c>
      <c r="AF643" s="199">
        <v>3.0</v>
      </c>
      <c r="AG643" s="199">
        <v>229.0</v>
      </c>
      <c r="AH643" s="199">
        <v>7.0</v>
      </c>
      <c r="AI643" s="200" t="s">
        <v>787</v>
      </c>
      <c r="AJ643" s="200" t="s">
        <v>795</v>
      </c>
      <c r="AK643" s="200"/>
      <c r="AL643" s="204"/>
      <c r="AM643" s="204"/>
    </row>
    <row r="644">
      <c r="A644" s="199" t="s">
        <v>202</v>
      </c>
      <c r="B644" s="200" t="s">
        <v>800</v>
      </c>
      <c r="C644" s="199">
        <v>2.5079203245E10</v>
      </c>
      <c r="D644" s="201">
        <v>45725.0</v>
      </c>
      <c r="E644" s="202" t="s">
        <v>101</v>
      </c>
      <c r="F644" s="202" t="s">
        <v>102</v>
      </c>
      <c r="G644" s="203" t="s">
        <v>101</v>
      </c>
      <c r="H644" s="203" t="s">
        <v>101</v>
      </c>
      <c r="I644" s="37"/>
      <c r="J644" s="37"/>
      <c r="K644" s="37"/>
      <c r="L644" s="199">
        <v>62.0</v>
      </c>
      <c r="M644" s="199">
        <v>59.9</v>
      </c>
      <c r="N644" s="199"/>
      <c r="O644" s="199">
        <v>3.0</v>
      </c>
      <c r="P644" s="37"/>
      <c r="Q644" s="199">
        <v>0.0</v>
      </c>
      <c r="R644" s="199">
        <v>10.0</v>
      </c>
      <c r="S644" s="199">
        <v>1.0</v>
      </c>
      <c r="T644" s="199">
        <v>171.0</v>
      </c>
      <c r="U644" s="199">
        <v>16.0</v>
      </c>
      <c r="V644" s="199">
        <v>0.0</v>
      </c>
      <c r="W644" s="199">
        <v>0.0</v>
      </c>
      <c r="X644" s="199">
        <v>3.0</v>
      </c>
      <c r="Y644" s="199">
        <v>0.0</v>
      </c>
      <c r="Z644" s="199">
        <v>2.0</v>
      </c>
      <c r="AA644" s="199">
        <v>0.0</v>
      </c>
      <c r="AB644" s="199">
        <v>17.0</v>
      </c>
      <c r="AC644" s="199">
        <v>88.0</v>
      </c>
      <c r="AD644" s="199">
        <v>0.0</v>
      </c>
      <c r="AE644" s="199">
        <v>35.0</v>
      </c>
      <c r="AF644" s="199">
        <v>5.0</v>
      </c>
      <c r="AG644" s="199">
        <v>181.0</v>
      </c>
      <c r="AH644" s="199">
        <v>2.0</v>
      </c>
      <c r="AI644" s="200" t="s">
        <v>787</v>
      </c>
      <c r="AJ644" s="200" t="s">
        <v>795</v>
      </c>
      <c r="AK644" s="200"/>
      <c r="AL644" s="204"/>
      <c r="AM644" s="204"/>
    </row>
    <row r="645">
      <c r="A645" s="199" t="s">
        <v>202</v>
      </c>
      <c r="B645" s="200" t="s">
        <v>800</v>
      </c>
      <c r="C645" s="199">
        <v>2.5258159248E10</v>
      </c>
      <c r="D645" s="201">
        <v>45909.0</v>
      </c>
      <c r="E645" s="202" t="s">
        <v>101</v>
      </c>
      <c r="F645" s="202" t="s">
        <v>101</v>
      </c>
      <c r="G645" s="203" t="s">
        <v>101</v>
      </c>
      <c r="H645" s="203" t="s">
        <v>101</v>
      </c>
      <c r="I645" s="37"/>
      <c r="J645" s="37"/>
      <c r="K645" s="37"/>
      <c r="L645" s="199">
        <v>60.0</v>
      </c>
      <c r="M645" s="199">
        <v>57.0</v>
      </c>
      <c r="N645" s="199"/>
      <c r="O645" s="199">
        <v>19.0</v>
      </c>
      <c r="P645" s="199">
        <v>0.11</v>
      </c>
      <c r="Q645" s="199">
        <v>0.0</v>
      </c>
      <c r="R645" s="199">
        <v>36.0</v>
      </c>
      <c r="S645" s="199">
        <v>1.0</v>
      </c>
      <c r="T645" s="199">
        <v>764.0</v>
      </c>
      <c r="U645" s="199">
        <v>80.0</v>
      </c>
      <c r="V645" s="199">
        <v>2.0</v>
      </c>
      <c r="W645" s="199">
        <v>0.0</v>
      </c>
      <c r="X645" s="199">
        <v>36.0</v>
      </c>
      <c r="Y645" s="199">
        <v>0.0</v>
      </c>
      <c r="Z645" s="199">
        <v>2.0</v>
      </c>
      <c r="AA645" s="199">
        <v>0.0</v>
      </c>
      <c r="AB645" s="199">
        <v>23.0</v>
      </c>
      <c r="AC645" s="199">
        <v>26.0</v>
      </c>
      <c r="AD645" s="199">
        <v>0.0</v>
      </c>
      <c r="AE645" s="199">
        <v>638.0</v>
      </c>
      <c r="AF645" s="199">
        <v>13.0</v>
      </c>
      <c r="AG645" s="199">
        <v>227.0</v>
      </c>
      <c r="AH645" s="199">
        <v>0.0</v>
      </c>
      <c r="AI645" s="200" t="s">
        <v>928</v>
      </c>
      <c r="AJ645" s="200" t="s">
        <v>929</v>
      </c>
      <c r="AK645" s="200"/>
      <c r="AL645" s="204"/>
      <c r="AM645" s="204"/>
    </row>
    <row r="646">
      <c r="A646" s="199" t="s">
        <v>202</v>
      </c>
      <c r="B646" s="200" t="s">
        <v>800</v>
      </c>
      <c r="C646" s="199">
        <v>2.6060130254E10</v>
      </c>
      <c r="D646" s="201">
        <v>46054.0</v>
      </c>
      <c r="E646" s="202" t="s">
        <v>101</v>
      </c>
      <c r="F646" s="202" t="s">
        <v>101</v>
      </c>
      <c r="G646" s="203" t="s">
        <v>101</v>
      </c>
      <c r="H646" s="203" t="s">
        <v>101</v>
      </c>
      <c r="I646" s="37"/>
      <c r="J646" s="37"/>
      <c r="K646" s="37"/>
      <c r="L646" s="199">
        <v>97.0</v>
      </c>
      <c r="M646" s="199">
        <v>52.8</v>
      </c>
      <c r="N646" s="199"/>
      <c r="O646" s="199">
        <v>24.0</v>
      </c>
      <c r="P646" s="37"/>
      <c r="Q646" s="199">
        <v>0.0</v>
      </c>
      <c r="R646" s="199">
        <v>8.0</v>
      </c>
      <c r="S646" s="199">
        <v>0.0</v>
      </c>
      <c r="T646" s="199">
        <v>932.0</v>
      </c>
      <c r="U646" s="199">
        <v>72.0</v>
      </c>
      <c r="V646" s="199">
        <v>5.0</v>
      </c>
      <c r="W646" s="199">
        <v>0.0</v>
      </c>
      <c r="X646" s="199">
        <v>39.0</v>
      </c>
      <c r="Y646" s="199">
        <v>68.0</v>
      </c>
      <c r="Z646" s="199">
        <v>0.0</v>
      </c>
      <c r="AA646" s="199">
        <v>0.0</v>
      </c>
      <c r="AB646" s="199">
        <v>35.0</v>
      </c>
      <c r="AC646" s="199">
        <v>23.0</v>
      </c>
      <c r="AD646" s="199">
        <v>0.0</v>
      </c>
      <c r="AE646" s="199">
        <v>495.0</v>
      </c>
      <c r="AF646" s="199">
        <v>10.0</v>
      </c>
      <c r="AG646" s="199">
        <v>252.0</v>
      </c>
      <c r="AH646" s="199">
        <v>13.0</v>
      </c>
      <c r="AI646" s="200" t="s">
        <v>808</v>
      </c>
      <c r="AJ646" s="200" t="s">
        <v>930</v>
      </c>
      <c r="AK646" s="200"/>
      <c r="AL646" s="204"/>
      <c r="AM646" s="204"/>
    </row>
    <row r="647">
      <c r="A647" s="199" t="s">
        <v>203</v>
      </c>
      <c r="B647" s="200" t="s">
        <v>800</v>
      </c>
      <c r="C647" s="199">
        <v>2.3161106244E10</v>
      </c>
      <c r="D647" s="201">
        <v>45076.0</v>
      </c>
      <c r="E647" s="202" t="s">
        <v>101</v>
      </c>
      <c r="F647" s="202" t="s">
        <v>102</v>
      </c>
      <c r="G647" s="203" t="s">
        <v>101</v>
      </c>
      <c r="H647" s="203" t="s">
        <v>101</v>
      </c>
      <c r="I647" s="37"/>
      <c r="J647" s="37"/>
      <c r="K647" s="37"/>
      <c r="L647" s="199">
        <v>65.0</v>
      </c>
      <c r="M647" s="199">
        <v>56.5</v>
      </c>
      <c r="N647" s="199"/>
      <c r="O647" s="199">
        <v>0.0</v>
      </c>
      <c r="P647" s="37"/>
      <c r="Q647" s="199">
        <v>0.0</v>
      </c>
      <c r="R647" s="199">
        <v>2.0</v>
      </c>
      <c r="S647" s="199">
        <v>0.0</v>
      </c>
      <c r="T647" s="199">
        <v>67.0</v>
      </c>
      <c r="U647" s="199">
        <v>56.0</v>
      </c>
      <c r="V647" s="199">
        <v>4.0</v>
      </c>
      <c r="W647" s="199">
        <v>4.0</v>
      </c>
      <c r="X647" s="199">
        <v>5.0</v>
      </c>
      <c r="Y647" s="199">
        <v>0.0</v>
      </c>
      <c r="Z647" s="199">
        <v>6.0</v>
      </c>
      <c r="AA647" s="199">
        <v>2.0</v>
      </c>
      <c r="AB647" s="199">
        <v>15.0</v>
      </c>
      <c r="AC647" s="199">
        <v>26.0</v>
      </c>
      <c r="AD647" s="199">
        <v>0.0</v>
      </c>
      <c r="AE647" s="199">
        <v>42.0</v>
      </c>
      <c r="AF647" s="199">
        <v>0.0</v>
      </c>
      <c r="AG647" s="199">
        <v>215.0</v>
      </c>
      <c r="AH647" s="199">
        <v>0.0</v>
      </c>
      <c r="AI647" s="200" t="s">
        <v>787</v>
      </c>
      <c r="AJ647" s="200" t="s">
        <v>791</v>
      </c>
      <c r="AK647" s="200"/>
      <c r="AL647" s="204"/>
      <c r="AM647" s="204"/>
    </row>
    <row r="648">
      <c r="A648" s="199" t="s">
        <v>203</v>
      </c>
      <c r="B648" s="200" t="s">
        <v>800</v>
      </c>
      <c r="C648" s="199">
        <v>2.327521026E10</v>
      </c>
      <c r="D648" s="201">
        <v>45194.0</v>
      </c>
      <c r="E648" s="202" t="s">
        <v>101</v>
      </c>
      <c r="F648" s="202" t="s">
        <v>101</v>
      </c>
      <c r="G648" s="203" t="s">
        <v>101</v>
      </c>
      <c r="H648" s="203" t="s">
        <v>101</v>
      </c>
      <c r="I648" s="37"/>
      <c r="J648" s="37"/>
      <c r="K648" s="37"/>
      <c r="L648" s="199">
        <v>17.0</v>
      </c>
      <c r="M648" s="199">
        <v>55.5</v>
      </c>
      <c r="N648" s="199"/>
      <c r="O648" s="199">
        <v>0.0</v>
      </c>
      <c r="P648" s="37"/>
      <c r="Q648" s="199">
        <v>0.0</v>
      </c>
      <c r="R648" s="199">
        <v>4.0</v>
      </c>
      <c r="S648" s="199">
        <v>0.0</v>
      </c>
      <c r="T648" s="199">
        <v>149.0</v>
      </c>
      <c r="U648" s="199">
        <v>22.0</v>
      </c>
      <c r="V648" s="199">
        <v>0.0</v>
      </c>
      <c r="W648" s="199">
        <v>0.0</v>
      </c>
      <c r="X648" s="199">
        <v>6.0</v>
      </c>
      <c r="Y648" s="199">
        <v>0.0</v>
      </c>
      <c r="Z648" s="199">
        <v>15.0</v>
      </c>
      <c r="AA648" s="199">
        <v>2.0</v>
      </c>
      <c r="AB648" s="199">
        <v>26.0</v>
      </c>
      <c r="AC648" s="199">
        <v>16.0</v>
      </c>
      <c r="AD648" s="199">
        <v>0.0</v>
      </c>
      <c r="AE648" s="199">
        <v>54.0</v>
      </c>
      <c r="AF648" s="199">
        <v>2.0</v>
      </c>
      <c r="AG648" s="199">
        <v>203.0</v>
      </c>
      <c r="AH648" s="199">
        <v>3.0</v>
      </c>
      <c r="AI648" s="200" t="s">
        <v>787</v>
      </c>
      <c r="AJ648" s="200" t="s">
        <v>795</v>
      </c>
      <c r="AK648" s="200"/>
      <c r="AL648" s="204"/>
      <c r="AM648" s="204"/>
    </row>
    <row r="649">
      <c r="A649" s="199" t="s">
        <v>203</v>
      </c>
      <c r="B649" s="200" t="s">
        <v>800</v>
      </c>
      <c r="C649" s="199">
        <v>2.5079203229E10</v>
      </c>
      <c r="D649" s="201">
        <v>45725.0</v>
      </c>
      <c r="E649" s="202" t="s">
        <v>101</v>
      </c>
      <c r="F649" s="202" t="s">
        <v>101</v>
      </c>
      <c r="G649" s="203" t="s">
        <v>101</v>
      </c>
      <c r="H649" s="203" t="s">
        <v>101</v>
      </c>
      <c r="I649" s="37"/>
      <c r="J649" s="37"/>
      <c r="K649" s="37"/>
      <c r="L649" s="199">
        <v>25.0</v>
      </c>
      <c r="M649" s="199">
        <v>61.1</v>
      </c>
      <c r="N649" s="199"/>
      <c r="O649" s="199">
        <v>3.0</v>
      </c>
      <c r="P649" s="37"/>
      <c r="Q649" s="199">
        <v>0.0</v>
      </c>
      <c r="R649" s="199">
        <v>10.0</v>
      </c>
      <c r="S649" s="199">
        <v>1.0</v>
      </c>
      <c r="T649" s="199">
        <v>175.0</v>
      </c>
      <c r="U649" s="199">
        <v>18.0</v>
      </c>
      <c r="V649" s="199">
        <v>0.0</v>
      </c>
      <c r="W649" s="199">
        <v>0.0</v>
      </c>
      <c r="X649" s="199">
        <v>4.0</v>
      </c>
      <c r="Y649" s="199">
        <v>0.0</v>
      </c>
      <c r="Z649" s="199">
        <v>2.0</v>
      </c>
      <c r="AA649" s="199">
        <v>0.0</v>
      </c>
      <c r="AB649" s="199">
        <v>21.0</v>
      </c>
      <c r="AC649" s="199">
        <v>38.0</v>
      </c>
      <c r="AD649" s="199">
        <v>0.0</v>
      </c>
      <c r="AE649" s="199">
        <v>46.0</v>
      </c>
      <c r="AF649" s="199">
        <v>0.0</v>
      </c>
      <c r="AG649" s="199">
        <v>192.0</v>
      </c>
      <c r="AH649" s="199">
        <v>0.0</v>
      </c>
      <c r="AI649" s="200" t="s">
        <v>787</v>
      </c>
      <c r="AJ649" s="200" t="s">
        <v>795</v>
      </c>
      <c r="AK649" s="200"/>
      <c r="AL649" s="204"/>
      <c r="AM649" s="204"/>
    </row>
    <row r="650">
      <c r="A650" s="199" t="s">
        <v>203</v>
      </c>
      <c r="B650" s="200" t="s">
        <v>800</v>
      </c>
      <c r="C650" s="199">
        <v>2.5258159228E10</v>
      </c>
      <c r="D650" s="201">
        <v>45909.0</v>
      </c>
      <c r="E650" s="202" t="s">
        <v>101</v>
      </c>
      <c r="F650" s="202" t="s">
        <v>102</v>
      </c>
      <c r="G650" s="203" t="s">
        <v>101</v>
      </c>
      <c r="H650" s="203" t="s">
        <v>100</v>
      </c>
      <c r="I650" s="37"/>
      <c r="J650" s="37"/>
      <c r="K650" s="37"/>
      <c r="L650" s="199">
        <v>22.0</v>
      </c>
      <c r="M650" s="199">
        <v>47.5</v>
      </c>
      <c r="N650" s="199"/>
      <c r="O650" s="199">
        <v>7.0</v>
      </c>
      <c r="P650" s="37"/>
      <c r="Q650" s="199">
        <v>0.0</v>
      </c>
      <c r="R650" s="199">
        <v>15.0</v>
      </c>
      <c r="S650" s="199">
        <v>1.0</v>
      </c>
      <c r="T650" s="199">
        <v>62.0</v>
      </c>
      <c r="U650" s="199">
        <v>30.0</v>
      </c>
      <c r="V650" s="199">
        <v>2.0</v>
      </c>
      <c r="W650" s="199">
        <v>0.0</v>
      </c>
      <c r="X650" s="199">
        <v>12.0</v>
      </c>
      <c r="Y650" s="199">
        <v>0.0</v>
      </c>
      <c r="Z650" s="199">
        <v>2.0</v>
      </c>
      <c r="AA650" s="199">
        <v>0.0</v>
      </c>
      <c r="AB650" s="199">
        <v>0.0</v>
      </c>
      <c r="AC650" s="199">
        <v>25.0</v>
      </c>
      <c r="AD650" s="199">
        <v>0.0</v>
      </c>
      <c r="AE650" s="199">
        <v>95.0</v>
      </c>
      <c r="AF650" s="199">
        <v>6.0</v>
      </c>
      <c r="AG650" s="199">
        <v>253.0</v>
      </c>
      <c r="AH650" s="199">
        <v>10.0</v>
      </c>
      <c r="AI650" s="200" t="s">
        <v>787</v>
      </c>
      <c r="AJ650" s="200" t="s">
        <v>931</v>
      </c>
      <c r="AK650" s="200"/>
      <c r="AL650" s="204"/>
      <c r="AM650" s="204"/>
    </row>
    <row r="651">
      <c r="A651" s="199" t="s">
        <v>203</v>
      </c>
      <c r="B651" s="200" t="s">
        <v>800</v>
      </c>
      <c r="C651" s="199">
        <v>2.6061630219E10</v>
      </c>
      <c r="D651" s="201">
        <v>46054.0</v>
      </c>
      <c r="E651" s="202" t="s">
        <v>101</v>
      </c>
      <c r="F651" s="202" t="s">
        <v>101</v>
      </c>
      <c r="G651" s="203" t="s">
        <v>101</v>
      </c>
      <c r="H651" s="203" t="s">
        <v>100</v>
      </c>
      <c r="I651" s="37"/>
      <c r="J651" s="37"/>
      <c r="K651" s="37"/>
      <c r="L651" s="199">
        <v>25.0</v>
      </c>
      <c r="M651" s="199">
        <v>45.9</v>
      </c>
      <c r="N651" s="199"/>
      <c r="O651" s="199">
        <v>12.0</v>
      </c>
      <c r="P651" s="37"/>
      <c r="Q651" s="199">
        <v>0.0</v>
      </c>
      <c r="R651" s="199">
        <v>0.0</v>
      </c>
      <c r="S651" s="199">
        <v>1.0</v>
      </c>
      <c r="T651" s="199">
        <v>70.0</v>
      </c>
      <c r="U651" s="199">
        <v>19.0</v>
      </c>
      <c r="V651" s="199">
        <v>2.0</v>
      </c>
      <c r="W651" s="199">
        <v>0.0</v>
      </c>
      <c r="X651" s="199">
        <v>0.0</v>
      </c>
      <c r="Y651" s="199">
        <v>0.0</v>
      </c>
      <c r="Z651" s="199">
        <v>6.0</v>
      </c>
      <c r="AA651" s="199">
        <v>2.0</v>
      </c>
      <c r="AB651" s="199">
        <v>29.0</v>
      </c>
      <c r="AC651" s="199">
        <v>20.0</v>
      </c>
      <c r="AD651" s="199">
        <v>0.0</v>
      </c>
      <c r="AE651" s="199">
        <v>28.0</v>
      </c>
      <c r="AF651" s="199">
        <v>5.0</v>
      </c>
      <c r="AG651" s="199">
        <v>271.0</v>
      </c>
      <c r="AH651" s="199">
        <v>44.0</v>
      </c>
      <c r="AI651" s="200" t="s">
        <v>787</v>
      </c>
      <c r="AJ651" s="200" t="s">
        <v>931</v>
      </c>
      <c r="AK651" s="200"/>
      <c r="AL651" s="204"/>
      <c r="AM651" s="204"/>
    </row>
    <row r="652">
      <c r="A652" s="199" t="s">
        <v>204</v>
      </c>
      <c r="B652" s="200" t="s">
        <v>434</v>
      </c>
      <c r="C652" s="199">
        <v>2.5079203254E10</v>
      </c>
      <c r="D652" s="201">
        <v>45725.0</v>
      </c>
      <c r="E652" s="202" t="s">
        <v>101</v>
      </c>
      <c r="F652" s="202" t="s">
        <v>101</v>
      </c>
      <c r="G652" s="203" t="s">
        <v>100</v>
      </c>
      <c r="H652" s="203" t="s">
        <v>100</v>
      </c>
      <c r="I652" s="37"/>
      <c r="J652" s="37"/>
      <c r="K652" s="37"/>
      <c r="L652" s="199">
        <v>17.0</v>
      </c>
      <c r="M652" s="199">
        <v>431.8</v>
      </c>
      <c r="N652" s="199"/>
      <c r="O652" s="199">
        <v>1.0</v>
      </c>
      <c r="P652" s="199">
        <v>0.11</v>
      </c>
      <c r="Q652" s="199">
        <v>0.0</v>
      </c>
      <c r="R652" s="199">
        <v>13.0</v>
      </c>
      <c r="S652" s="199">
        <v>2.0</v>
      </c>
      <c r="T652" s="199">
        <v>4.0</v>
      </c>
      <c r="U652" s="199">
        <v>17.0</v>
      </c>
      <c r="V652" s="199">
        <v>0.0</v>
      </c>
      <c r="W652" s="199">
        <v>0.0</v>
      </c>
      <c r="X652" s="199">
        <v>0.0</v>
      </c>
      <c r="Y652" s="199">
        <v>0.0</v>
      </c>
      <c r="Z652" s="199">
        <v>2.0</v>
      </c>
      <c r="AA652" s="199">
        <v>0.0</v>
      </c>
      <c r="AB652" s="199">
        <v>12.0</v>
      </c>
      <c r="AC652" s="199">
        <v>98.0</v>
      </c>
      <c r="AD652" s="199">
        <v>2.0</v>
      </c>
      <c r="AE652" s="199">
        <v>65.0</v>
      </c>
      <c r="AF652" s="199">
        <v>5.0</v>
      </c>
      <c r="AG652" s="199">
        <v>373.0</v>
      </c>
      <c r="AH652" s="199">
        <v>17.0</v>
      </c>
      <c r="AI652" s="200" t="s">
        <v>684</v>
      </c>
      <c r="AJ652" s="200" t="s">
        <v>773</v>
      </c>
      <c r="AK652" s="200"/>
      <c r="AL652" s="204"/>
      <c r="AM652" s="204"/>
    </row>
    <row r="653">
      <c r="A653" s="199" t="s">
        <v>204</v>
      </c>
      <c r="B653" s="200" t="s">
        <v>434</v>
      </c>
      <c r="C653" s="199">
        <v>2.5112224269E10</v>
      </c>
      <c r="D653" s="201">
        <v>45756.0</v>
      </c>
      <c r="E653" s="202" t="s">
        <v>102</v>
      </c>
      <c r="F653" s="202" t="s">
        <v>102</v>
      </c>
      <c r="G653" s="203" t="s">
        <v>100</v>
      </c>
      <c r="H653" s="203" t="s">
        <v>100</v>
      </c>
      <c r="I653" s="37"/>
      <c r="J653" s="37"/>
      <c r="K653" s="37"/>
      <c r="L653" s="199">
        <v>19.0</v>
      </c>
      <c r="M653" s="199">
        <v>431.5</v>
      </c>
      <c r="N653" s="199"/>
      <c r="O653" s="199">
        <v>2.0</v>
      </c>
      <c r="P653" s="199">
        <v>0.02</v>
      </c>
      <c r="Q653" s="199">
        <v>0.0</v>
      </c>
      <c r="R653" s="199">
        <v>0.0</v>
      </c>
      <c r="S653" s="199">
        <v>0.0</v>
      </c>
      <c r="T653" s="199">
        <v>0.0</v>
      </c>
      <c r="U653" s="199">
        <v>34.0</v>
      </c>
      <c r="V653" s="199">
        <v>0.0</v>
      </c>
      <c r="W653" s="199">
        <v>0.0</v>
      </c>
      <c r="X653" s="199">
        <v>0.0</v>
      </c>
      <c r="Y653" s="199">
        <v>0.0</v>
      </c>
      <c r="Z653" s="199">
        <v>2.0</v>
      </c>
      <c r="AA653" s="199">
        <v>0.0</v>
      </c>
      <c r="AB653" s="199">
        <v>16.0</v>
      </c>
      <c r="AC653" s="199">
        <v>25.0</v>
      </c>
      <c r="AD653" s="199">
        <v>0.0</v>
      </c>
      <c r="AE653" s="199">
        <v>84.0</v>
      </c>
      <c r="AF653" s="199">
        <v>1.0</v>
      </c>
      <c r="AG653" s="199">
        <v>499.0</v>
      </c>
      <c r="AH653" s="199">
        <v>29.0</v>
      </c>
      <c r="AI653" s="200" t="s">
        <v>653</v>
      </c>
      <c r="AJ653" s="200" t="s">
        <v>778</v>
      </c>
      <c r="AK653" s="200"/>
      <c r="AL653" s="204"/>
      <c r="AM653" s="204"/>
    </row>
    <row r="654">
      <c r="A654" s="199" t="s">
        <v>204</v>
      </c>
      <c r="B654" s="200" t="s">
        <v>434</v>
      </c>
      <c r="C654" s="199">
        <v>2.5180296239E10</v>
      </c>
      <c r="D654" s="201">
        <v>45826.0</v>
      </c>
      <c r="E654" s="202" t="s">
        <v>101</v>
      </c>
      <c r="F654" s="202" t="s">
        <v>101</v>
      </c>
      <c r="G654" s="203" t="s">
        <v>100</v>
      </c>
      <c r="H654" s="203" t="s">
        <v>100</v>
      </c>
      <c r="I654" s="37"/>
      <c r="J654" s="37"/>
      <c r="K654" s="37"/>
      <c r="L654" s="199">
        <v>22.0</v>
      </c>
      <c r="M654" s="199">
        <v>393.9</v>
      </c>
      <c r="N654" s="199"/>
      <c r="O654" s="199">
        <v>1.0</v>
      </c>
      <c r="P654" s="199">
        <v>0.1</v>
      </c>
      <c r="Q654" s="199">
        <v>0.0</v>
      </c>
      <c r="R654" s="199">
        <v>1.0</v>
      </c>
      <c r="S654" s="199">
        <v>0.0</v>
      </c>
      <c r="T654" s="199">
        <v>0.0</v>
      </c>
      <c r="U654" s="199">
        <v>45.0</v>
      </c>
      <c r="V654" s="199">
        <v>0.0</v>
      </c>
      <c r="W654" s="199">
        <v>0.0</v>
      </c>
      <c r="X654" s="199">
        <v>2.0</v>
      </c>
      <c r="Y654" s="199">
        <v>0.0</v>
      </c>
      <c r="Z654" s="199">
        <v>2.0</v>
      </c>
      <c r="AA654" s="199">
        <v>0.0</v>
      </c>
      <c r="AB654" s="199">
        <v>10.0</v>
      </c>
      <c r="AC654" s="199">
        <v>24.0</v>
      </c>
      <c r="AD654" s="199">
        <v>0.0</v>
      </c>
      <c r="AE654" s="199">
        <v>99.0</v>
      </c>
      <c r="AF654" s="199">
        <v>2.0</v>
      </c>
      <c r="AG654" s="199">
        <v>391.0</v>
      </c>
      <c r="AH654" s="199">
        <v>15.0</v>
      </c>
      <c r="AI654" s="200" t="s">
        <v>776</v>
      </c>
      <c r="AJ654" s="200" t="s">
        <v>902</v>
      </c>
      <c r="AK654" s="200"/>
      <c r="AL654" s="204"/>
      <c r="AM654" s="204"/>
    </row>
    <row r="655">
      <c r="A655" s="199" t="s">
        <v>204</v>
      </c>
      <c r="B655" s="200" t="s">
        <v>434</v>
      </c>
      <c r="C655" s="199">
        <v>2.5259169219E10</v>
      </c>
      <c r="D655" s="201">
        <v>45910.0</v>
      </c>
      <c r="E655" s="202" t="s">
        <v>101</v>
      </c>
      <c r="F655" s="202" t="s">
        <v>101</v>
      </c>
      <c r="G655" s="203" t="s">
        <v>100</v>
      </c>
      <c r="H655" s="203" t="s">
        <v>100</v>
      </c>
      <c r="I655" s="37"/>
      <c r="J655" s="37"/>
      <c r="K655" s="37"/>
      <c r="L655" s="199">
        <v>20.0</v>
      </c>
      <c r="M655" s="199">
        <v>465.0</v>
      </c>
      <c r="N655" s="199"/>
      <c r="O655" s="199">
        <v>2.0</v>
      </c>
      <c r="P655" s="199">
        <v>0.1</v>
      </c>
      <c r="Q655" s="199">
        <v>0.0</v>
      </c>
      <c r="R655" s="199">
        <v>5.0</v>
      </c>
      <c r="S655" s="199">
        <v>1.0</v>
      </c>
      <c r="T655" s="199">
        <v>3.0</v>
      </c>
      <c r="U655" s="199">
        <v>27.0</v>
      </c>
      <c r="V655" s="199">
        <v>0.0</v>
      </c>
      <c r="W655" s="199">
        <v>0.0</v>
      </c>
      <c r="X655" s="199">
        <v>0.0</v>
      </c>
      <c r="Y655" s="199">
        <v>0.0</v>
      </c>
      <c r="Z655" s="199">
        <v>2.0</v>
      </c>
      <c r="AA655" s="199">
        <v>0.0</v>
      </c>
      <c r="AB655" s="199">
        <v>18.0</v>
      </c>
      <c r="AC655" s="199">
        <v>24.0</v>
      </c>
      <c r="AD655" s="199">
        <v>0.0</v>
      </c>
      <c r="AE655" s="199">
        <v>26.0</v>
      </c>
      <c r="AF655" s="199">
        <v>0.0</v>
      </c>
      <c r="AG655" s="199">
        <v>317.0</v>
      </c>
      <c r="AH655" s="199">
        <v>1.0</v>
      </c>
      <c r="AI655" s="200" t="s">
        <v>776</v>
      </c>
      <c r="AJ655" s="200" t="s">
        <v>902</v>
      </c>
      <c r="AK655" s="200"/>
      <c r="AL655" s="204"/>
      <c r="AM655" s="204"/>
    </row>
    <row r="656">
      <c r="A656" s="199" t="s">
        <v>204</v>
      </c>
      <c r="B656" s="200" t="s">
        <v>434</v>
      </c>
      <c r="C656" s="199">
        <v>2.6004401262E10</v>
      </c>
      <c r="D656" s="201">
        <v>46007.0</v>
      </c>
      <c r="E656" s="202" t="s">
        <v>102</v>
      </c>
      <c r="F656" s="202" t="s">
        <v>102</v>
      </c>
      <c r="G656" s="203" t="s">
        <v>100</v>
      </c>
      <c r="H656" s="203" t="s">
        <v>100</v>
      </c>
      <c r="I656" s="37"/>
      <c r="J656" s="37"/>
      <c r="K656" s="37"/>
      <c r="L656" s="199">
        <v>22.0</v>
      </c>
      <c r="M656" s="199">
        <v>428.3</v>
      </c>
      <c r="N656" s="199"/>
      <c r="O656" s="199">
        <v>1.0</v>
      </c>
      <c r="P656" s="199">
        <v>0.04</v>
      </c>
      <c r="Q656" s="199">
        <v>0.0</v>
      </c>
      <c r="R656" s="199">
        <v>0.0</v>
      </c>
      <c r="S656" s="199">
        <v>1.0</v>
      </c>
      <c r="T656" s="199">
        <v>0.0</v>
      </c>
      <c r="U656" s="199">
        <v>25.0</v>
      </c>
      <c r="V656" s="199">
        <v>0.0</v>
      </c>
      <c r="W656" s="199">
        <v>0.0</v>
      </c>
      <c r="X656" s="199">
        <v>0.0</v>
      </c>
      <c r="Y656" s="199">
        <v>0.0</v>
      </c>
      <c r="Z656" s="199">
        <v>2.0</v>
      </c>
      <c r="AA656" s="199">
        <v>0.0</v>
      </c>
      <c r="AB656" s="199">
        <v>28.0</v>
      </c>
      <c r="AC656" s="199">
        <v>32.0</v>
      </c>
      <c r="AD656" s="199">
        <v>0.0</v>
      </c>
      <c r="AE656" s="199">
        <v>26.0</v>
      </c>
      <c r="AF656" s="199">
        <v>0.0</v>
      </c>
      <c r="AG656" s="199">
        <v>274.0</v>
      </c>
      <c r="AH656" s="199">
        <v>11.0</v>
      </c>
      <c r="AI656" s="200" t="s">
        <v>741</v>
      </c>
      <c r="AJ656" s="200" t="s">
        <v>780</v>
      </c>
      <c r="AK656" s="200"/>
      <c r="AL656" s="204"/>
      <c r="AM656" s="204"/>
    </row>
    <row r="657">
      <c r="A657" s="199" t="s">
        <v>205</v>
      </c>
      <c r="B657" s="200" t="s">
        <v>435</v>
      </c>
      <c r="C657" s="199">
        <v>2.5079203242E10</v>
      </c>
      <c r="D657" s="201">
        <v>45725.0</v>
      </c>
      <c r="E657" s="202" t="s">
        <v>102</v>
      </c>
      <c r="F657" s="202" t="s">
        <v>102</v>
      </c>
      <c r="G657" s="203" t="s">
        <v>100</v>
      </c>
      <c r="H657" s="203" t="s">
        <v>100</v>
      </c>
      <c r="I657" s="37"/>
      <c r="J657" s="37"/>
      <c r="K657" s="37"/>
      <c r="L657" s="199">
        <v>20.0</v>
      </c>
      <c r="M657" s="199">
        <v>430.6</v>
      </c>
      <c r="N657" s="199"/>
      <c r="O657" s="199">
        <v>1.0</v>
      </c>
      <c r="P657" s="199">
        <v>0.06</v>
      </c>
      <c r="Q657" s="199">
        <v>0.0</v>
      </c>
      <c r="R657" s="199">
        <v>12.0</v>
      </c>
      <c r="S657" s="199">
        <v>2.0</v>
      </c>
      <c r="T657" s="199">
        <v>8.0</v>
      </c>
      <c r="U657" s="199">
        <v>20.0</v>
      </c>
      <c r="V657" s="199">
        <v>2.0</v>
      </c>
      <c r="W657" s="199">
        <v>0.0</v>
      </c>
      <c r="X657" s="199">
        <v>0.0</v>
      </c>
      <c r="Y657" s="199">
        <v>0.0</v>
      </c>
      <c r="Z657" s="199">
        <v>0.0</v>
      </c>
      <c r="AA657" s="199">
        <v>1.0</v>
      </c>
      <c r="AB657" s="199">
        <v>13.0</v>
      </c>
      <c r="AC657" s="199">
        <v>10.0</v>
      </c>
      <c r="AD657" s="199">
        <v>0.0</v>
      </c>
      <c r="AE657" s="199">
        <v>64.0</v>
      </c>
      <c r="AF657" s="199">
        <v>3.0</v>
      </c>
      <c r="AG657" s="199">
        <v>429.0</v>
      </c>
      <c r="AH657" s="199">
        <v>18.0</v>
      </c>
      <c r="AI657" s="200" t="s">
        <v>820</v>
      </c>
      <c r="AJ657" s="200" t="s">
        <v>821</v>
      </c>
      <c r="AK657" s="200"/>
      <c r="AL657" s="204"/>
      <c r="AM657" s="204"/>
    </row>
    <row r="658">
      <c r="A658" s="199" t="s">
        <v>205</v>
      </c>
      <c r="B658" s="200" t="s">
        <v>435</v>
      </c>
      <c r="C658" s="199">
        <v>2.5112224271E10</v>
      </c>
      <c r="D658" s="201">
        <v>45756.0</v>
      </c>
      <c r="E658" s="202" t="s">
        <v>100</v>
      </c>
      <c r="F658" s="202" t="s">
        <v>100</v>
      </c>
      <c r="G658" s="203" t="s">
        <v>100</v>
      </c>
      <c r="H658" s="203" t="s">
        <v>100</v>
      </c>
      <c r="I658" s="199">
        <v>15241.0</v>
      </c>
      <c r="J658" s="199">
        <v>5741.0</v>
      </c>
      <c r="K658" s="199">
        <v>2541.0</v>
      </c>
      <c r="L658" s="199">
        <v>31.0</v>
      </c>
      <c r="M658" s="199">
        <v>394.9</v>
      </c>
      <c r="N658" s="199"/>
      <c r="O658" s="199">
        <v>2.0</v>
      </c>
      <c r="P658" s="199">
        <v>0.02</v>
      </c>
      <c r="Q658" s="199">
        <v>0.0</v>
      </c>
      <c r="R658" s="199">
        <v>0.0</v>
      </c>
      <c r="S658" s="199">
        <v>0.0</v>
      </c>
      <c r="T658" s="199">
        <v>0.0</v>
      </c>
      <c r="U658" s="199">
        <v>59.0</v>
      </c>
      <c r="V658" s="199">
        <v>0.0</v>
      </c>
      <c r="W658" s="199">
        <v>0.0</v>
      </c>
      <c r="X658" s="199">
        <v>15.0</v>
      </c>
      <c r="Y658" s="199">
        <v>0.0</v>
      </c>
      <c r="Z658" s="199">
        <v>0.0</v>
      </c>
      <c r="AA658" s="199">
        <v>1.0</v>
      </c>
      <c r="AB658" s="199">
        <v>0.0</v>
      </c>
      <c r="AC658" s="199">
        <v>25.0</v>
      </c>
      <c r="AD658" s="199">
        <v>0.0</v>
      </c>
      <c r="AE658" s="199">
        <v>71.0</v>
      </c>
      <c r="AF658" s="199">
        <v>1.0</v>
      </c>
      <c r="AG658" s="199">
        <v>468.0</v>
      </c>
      <c r="AH658" s="199">
        <v>20.0</v>
      </c>
      <c r="AI658" s="200" t="s">
        <v>655</v>
      </c>
      <c r="AJ658" s="200" t="s">
        <v>656</v>
      </c>
      <c r="AK658" s="200"/>
      <c r="AL658" s="204"/>
      <c r="AM658" s="204"/>
    </row>
    <row r="659">
      <c r="A659" s="199" t="s">
        <v>205</v>
      </c>
      <c r="B659" s="200" t="s">
        <v>435</v>
      </c>
      <c r="C659" s="199">
        <v>2.5180296238E10</v>
      </c>
      <c r="D659" s="201">
        <v>45826.0</v>
      </c>
      <c r="E659" s="202" t="s">
        <v>102</v>
      </c>
      <c r="F659" s="202" t="s">
        <v>102</v>
      </c>
      <c r="G659" s="203" t="s">
        <v>100</v>
      </c>
      <c r="H659" s="203" t="s">
        <v>100</v>
      </c>
      <c r="I659" s="37"/>
      <c r="J659" s="37"/>
      <c r="K659" s="37"/>
      <c r="L659" s="199">
        <v>38.0</v>
      </c>
      <c r="M659" s="199">
        <v>402.1</v>
      </c>
      <c r="N659" s="199"/>
      <c r="O659" s="199">
        <v>2.0</v>
      </c>
      <c r="P659" s="199">
        <v>0.06</v>
      </c>
      <c r="Q659" s="199">
        <v>0.0</v>
      </c>
      <c r="R659" s="199">
        <v>5.0</v>
      </c>
      <c r="S659" s="199">
        <v>0.0</v>
      </c>
      <c r="T659" s="199">
        <v>0.0</v>
      </c>
      <c r="U659" s="199">
        <v>54.0</v>
      </c>
      <c r="V659" s="199">
        <v>0.0</v>
      </c>
      <c r="W659" s="199">
        <v>0.0</v>
      </c>
      <c r="X659" s="199">
        <v>1.0</v>
      </c>
      <c r="Y659" s="199">
        <v>0.0</v>
      </c>
      <c r="Z659" s="199">
        <v>0.0</v>
      </c>
      <c r="AA659" s="199">
        <v>0.0</v>
      </c>
      <c r="AB659" s="199">
        <v>10.0</v>
      </c>
      <c r="AC659" s="199">
        <v>24.0</v>
      </c>
      <c r="AD659" s="199">
        <v>0.0</v>
      </c>
      <c r="AE659" s="199">
        <v>82.0</v>
      </c>
      <c r="AF659" s="199">
        <v>2.0</v>
      </c>
      <c r="AG659" s="199">
        <v>381.0</v>
      </c>
      <c r="AH659" s="199">
        <v>34.0</v>
      </c>
      <c r="AI659" s="200" t="s">
        <v>686</v>
      </c>
      <c r="AJ659" s="200" t="s">
        <v>932</v>
      </c>
      <c r="AK659" s="200"/>
      <c r="AL659" s="204"/>
      <c r="AM659" s="204"/>
    </row>
    <row r="660">
      <c r="A660" s="199" t="s">
        <v>208</v>
      </c>
      <c r="B660" s="200" t="s">
        <v>740</v>
      </c>
      <c r="C660" s="199">
        <v>2.507920321E10</v>
      </c>
      <c r="D660" s="201">
        <v>45726.0</v>
      </c>
      <c r="E660" s="202" t="s">
        <v>102</v>
      </c>
      <c r="F660" s="202" t="s">
        <v>102</v>
      </c>
      <c r="G660" s="203" t="s">
        <v>100</v>
      </c>
      <c r="H660" s="203" t="s">
        <v>100</v>
      </c>
      <c r="I660" s="37"/>
      <c r="J660" s="37"/>
      <c r="K660" s="37"/>
      <c r="L660" s="199">
        <v>11.0</v>
      </c>
      <c r="M660" s="199">
        <v>277.5</v>
      </c>
      <c r="N660" s="37"/>
      <c r="O660" s="37"/>
      <c r="P660" s="199">
        <v>0.03</v>
      </c>
      <c r="Q660" s="199">
        <v>0.0</v>
      </c>
      <c r="R660" s="199">
        <v>8.0</v>
      </c>
      <c r="S660" s="199">
        <v>1.0</v>
      </c>
      <c r="T660" s="199">
        <v>3.0</v>
      </c>
      <c r="U660" s="199">
        <v>0.0</v>
      </c>
      <c r="V660" s="199">
        <v>0.0</v>
      </c>
      <c r="W660" s="199">
        <v>0.0</v>
      </c>
      <c r="X660" s="199">
        <v>0.0</v>
      </c>
      <c r="Y660" s="199">
        <v>0.0</v>
      </c>
      <c r="Z660" s="199">
        <v>0.0</v>
      </c>
      <c r="AA660" s="199">
        <v>0.0</v>
      </c>
      <c r="AB660" s="199">
        <v>15.0</v>
      </c>
      <c r="AC660" s="199">
        <v>4.0</v>
      </c>
      <c r="AD660" s="199">
        <v>0.0</v>
      </c>
      <c r="AE660" s="199">
        <v>21.0</v>
      </c>
      <c r="AF660" s="199">
        <v>0.0</v>
      </c>
      <c r="AG660" s="199">
        <v>396.0</v>
      </c>
      <c r="AH660" s="199">
        <v>30.0</v>
      </c>
      <c r="AI660" s="200" t="s">
        <v>653</v>
      </c>
      <c r="AJ660" s="200" t="s">
        <v>654</v>
      </c>
      <c r="AK660" s="200"/>
      <c r="AL660" s="204"/>
      <c r="AM660" s="204"/>
    </row>
    <row r="661">
      <c r="A661" s="199" t="s">
        <v>208</v>
      </c>
      <c r="B661" s="200" t="s">
        <v>740</v>
      </c>
      <c r="C661" s="199">
        <v>2.511020426E10</v>
      </c>
      <c r="D661" s="201">
        <v>45756.0</v>
      </c>
      <c r="E661" s="202" t="s">
        <v>100</v>
      </c>
      <c r="F661" s="202" t="s">
        <v>100</v>
      </c>
      <c r="G661" s="203" t="s">
        <v>100</v>
      </c>
      <c r="H661" s="203" t="s">
        <v>100</v>
      </c>
      <c r="I661" s="199">
        <v>36521.0</v>
      </c>
      <c r="J661" s="199">
        <v>2541.0</v>
      </c>
      <c r="K661" s="199">
        <v>2215.0</v>
      </c>
      <c r="L661" s="199">
        <v>15.0</v>
      </c>
      <c r="M661" s="199">
        <v>283.8</v>
      </c>
      <c r="N661" s="37"/>
      <c r="O661" s="37"/>
      <c r="P661" s="199">
        <v>0.02</v>
      </c>
      <c r="Q661" s="199">
        <v>0.0</v>
      </c>
      <c r="R661" s="199">
        <v>0.0</v>
      </c>
      <c r="S661" s="199">
        <v>0.0</v>
      </c>
      <c r="T661" s="199">
        <v>0.0</v>
      </c>
      <c r="U661" s="199">
        <v>0.0</v>
      </c>
      <c r="V661" s="199">
        <v>0.0</v>
      </c>
      <c r="W661" s="199">
        <v>0.0</v>
      </c>
      <c r="X661" s="199">
        <v>0.0</v>
      </c>
      <c r="Y661" s="199">
        <v>0.0</v>
      </c>
      <c r="Z661" s="199">
        <v>0.0</v>
      </c>
      <c r="AA661" s="199">
        <v>0.0</v>
      </c>
      <c r="AB661" s="199">
        <v>11.0</v>
      </c>
      <c r="AC661" s="199">
        <v>17.0</v>
      </c>
      <c r="AD661" s="199">
        <v>0.0</v>
      </c>
      <c r="AE661" s="199">
        <v>14.0</v>
      </c>
      <c r="AF661" s="199">
        <v>0.0</v>
      </c>
      <c r="AG661" s="199">
        <v>361.0</v>
      </c>
      <c r="AH661" s="199">
        <v>3.0</v>
      </c>
      <c r="AI661" s="200" t="s">
        <v>655</v>
      </c>
      <c r="AJ661" s="200" t="s">
        <v>656</v>
      </c>
      <c r="AK661" s="200"/>
      <c r="AL661" s="204"/>
      <c r="AM661" s="204"/>
    </row>
    <row r="662">
      <c r="A662" s="199" t="s">
        <v>208</v>
      </c>
      <c r="B662" s="200" t="s">
        <v>740</v>
      </c>
      <c r="C662" s="199">
        <v>2.5180296232E10</v>
      </c>
      <c r="D662" s="201">
        <v>45826.0</v>
      </c>
      <c r="E662" s="202" t="s">
        <v>102</v>
      </c>
      <c r="F662" s="202" t="s">
        <v>102</v>
      </c>
      <c r="G662" s="203" t="s">
        <v>100</v>
      </c>
      <c r="H662" s="203" t="s">
        <v>100</v>
      </c>
      <c r="I662" s="37"/>
      <c r="J662" s="37"/>
      <c r="K662" s="37"/>
      <c r="L662" s="199">
        <v>15.0</v>
      </c>
      <c r="M662" s="199">
        <v>283.9</v>
      </c>
      <c r="N662" s="37"/>
      <c r="O662" s="37"/>
      <c r="P662" s="199">
        <v>0.07</v>
      </c>
      <c r="Q662" s="199">
        <v>0.0</v>
      </c>
      <c r="R662" s="199">
        <v>0.0</v>
      </c>
      <c r="S662" s="199">
        <v>0.0</v>
      </c>
      <c r="T662" s="199">
        <v>0.0</v>
      </c>
      <c r="U662" s="199">
        <v>2.0</v>
      </c>
      <c r="V662" s="199">
        <v>0.0</v>
      </c>
      <c r="W662" s="199">
        <v>0.0</v>
      </c>
      <c r="X662" s="199">
        <v>1.0</v>
      </c>
      <c r="Y662" s="199">
        <v>0.0</v>
      </c>
      <c r="Z662" s="199">
        <v>0.0</v>
      </c>
      <c r="AA662" s="199">
        <v>0.0</v>
      </c>
      <c r="AB662" s="199">
        <v>10.0</v>
      </c>
      <c r="AC662" s="199">
        <v>6.0</v>
      </c>
      <c r="AD662" s="199">
        <v>0.0</v>
      </c>
      <c r="AE662" s="199">
        <v>13.0</v>
      </c>
      <c r="AF662" s="199">
        <v>0.0</v>
      </c>
      <c r="AG662" s="199">
        <v>386.0</v>
      </c>
      <c r="AH662" s="199">
        <v>5.0</v>
      </c>
      <c r="AI662" s="200" t="s">
        <v>820</v>
      </c>
      <c r="AJ662" s="200" t="s">
        <v>821</v>
      </c>
      <c r="AK662" s="200"/>
      <c r="AL662" s="204"/>
      <c r="AM662" s="204"/>
    </row>
    <row r="663">
      <c r="A663" s="199" t="s">
        <v>208</v>
      </c>
      <c r="B663" s="200" t="s">
        <v>740</v>
      </c>
      <c r="C663" s="199">
        <v>2.6005501205E10</v>
      </c>
      <c r="D663" s="201">
        <v>46007.0</v>
      </c>
      <c r="E663" s="202" t="s">
        <v>102</v>
      </c>
      <c r="F663" s="202" t="s">
        <v>102</v>
      </c>
      <c r="G663" s="203" t="s">
        <v>100</v>
      </c>
      <c r="H663" s="203" t="s">
        <v>100</v>
      </c>
      <c r="I663" s="37"/>
      <c r="J663" s="37"/>
      <c r="K663" s="37"/>
      <c r="L663" s="199">
        <v>10.0</v>
      </c>
      <c r="M663" s="199">
        <v>278.1</v>
      </c>
      <c r="N663" s="37"/>
      <c r="O663" s="37"/>
      <c r="P663" s="199">
        <v>0.01</v>
      </c>
      <c r="Q663" s="199">
        <v>0.0</v>
      </c>
      <c r="R663" s="199">
        <v>0.0</v>
      </c>
      <c r="S663" s="199">
        <v>0.0</v>
      </c>
      <c r="T663" s="199">
        <v>0.0</v>
      </c>
      <c r="U663" s="199">
        <v>0.0</v>
      </c>
      <c r="V663" s="199">
        <v>0.0</v>
      </c>
      <c r="W663" s="199">
        <v>0.0</v>
      </c>
      <c r="X663" s="199">
        <v>5.0</v>
      </c>
      <c r="Y663" s="199">
        <v>0.0</v>
      </c>
      <c r="Z663" s="199">
        <v>0.0</v>
      </c>
      <c r="AA663" s="199">
        <v>0.0</v>
      </c>
      <c r="AB663" s="199">
        <v>38.0</v>
      </c>
      <c r="AC663" s="199">
        <v>13.0</v>
      </c>
      <c r="AD663" s="199">
        <v>0.0</v>
      </c>
      <c r="AE663" s="199">
        <v>20.0</v>
      </c>
      <c r="AF663" s="199">
        <v>0.0</v>
      </c>
      <c r="AG663" s="199">
        <v>760.0</v>
      </c>
      <c r="AH663" s="199">
        <v>51.0</v>
      </c>
      <c r="AI663" s="200" t="s">
        <v>741</v>
      </c>
      <c r="AJ663" s="200" t="s">
        <v>780</v>
      </c>
      <c r="AK663" s="200"/>
      <c r="AL663" s="204"/>
      <c r="AM663" s="204"/>
    </row>
    <row r="664">
      <c r="A664" s="199" t="s">
        <v>209</v>
      </c>
      <c r="B664" s="200" t="s">
        <v>818</v>
      </c>
      <c r="C664" s="199">
        <v>2.6060130241E10</v>
      </c>
      <c r="D664" s="201">
        <v>46054.0</v>
      </c>
      <c r="E664" s="202" t="s">
        <v>100</v>
      </c>
      <c r="F664" s="202" t="s">
        <v>100</v>
      </c>
      <c r="G664" s="203" t="s">
        <v>100</v>
      </c>
      <c r="H664" s="203" t="s">
        <v>100</v>
      </c>
      <c r="I664" s="199">
        <v>8917.0</v>
      </c>
      <c r="J664" s="199">
        <v>3100.0</v>
      </c>
      <c r="K664" s="199">
        <v>914.0</v>
      </c>
      <c r="L664" s="199">
        <v>3.0</v>
      </c>
      <c r="M664" s="199">
        <v>46.4</v>
      </c>
      <c r="N664" s="199"/>
      <c r="O664" s="199">
        <v>1.0</v>
      </c>
      <c r="P664" s="199">
        <v>0.003</v>
      </c>
      <c r="Q664" s="199">
        <v>0.0</v>
      </c>
      <c r="R664" s="199">
        <v>0.0</v>
      </c>
      <c r="S664" s="199">
        <v>0.0</v>
      </c>
      <c r="T664" s="199">
        <v>0.0</v>
      </c>
      <c r="U664" s="199">
        <v>0.0</v>
      </c>
      <c r="V664" s="199">
        <v>0.0</v>
      </c>
      <c r="W664" s="199">
        <v>0.0</v>
      </c>
      <c r="X664" s="199">
        <v>0.0</v>
      </c>
      <c r="Y664" s="199">
        <v>0.0</v>
      </c>
      <c r="Z664" s="199">
        <v>0.0</v>
      </c>
      <c r="AA664" s="199">
        <v>0.0</v>
      </c>
      <c r="AB664" s="199">
        <v>0.0</v>
      </c>
      <c r="AC664" s="199">
        <v>1.0</v>
      </c>
      <c r="AD664" s="199">
        <v>0.0</v>
      </c>
      <c r="AE664" s="199">
        <v>82.0</v>
      </c>
      <c r="AF664" s="199">
        <v>0.0</v>
      </c>
      <c r="AG664" s="199">
        <v>414.0</v>
      </c>
      <c r="AH664" s="199">
        <v>564.0</v>
      </c>
      <c r="AI664" s="200" t="s">
        <v>655</v>
      </c>
      <c r="AJ664" s="200" t="s">
        <v>656</v>
      </c>
      <c r="AK664" s="200"/>
      <c r="AL664" s="204"/>
      <c r="AM664" s="204"/>
    </row>
    <row r="665">
      <c r="A665" s="199" t="s">
        <v>226</v>
      </c>
      <c r="B665" s="200" t="s">
        <v>458</v>
      </c>
      <c r="C665" s="199">
        <v>2.4139185207E10</v>
      </c>
      <c r="D665" s="201">
        <v>45421.0</v>
      </c>
      <c r="E665" s="202" t="s">
        <v>101</v>
      </c>
      <c r="F665" s="202" t="s">
        <v>102</v>
      </c>
      <c r="G665" s="203" t="s">
        <v>100</v>
      </c>
      <c r="H665" s="203" t="s">
        <v>101</v>
      </c>
      <c r="I665" s="37"/>
      <c r="J665" s="37"/>
      <c r="K665" s="37"/>
      <c r="L665" s="199">
        <v>4.0</v>
      </c>
      <c r="M665" s="199">
        <v>281.0</v>
      </c>
      <c r="N665" s="37"/>
      <c r="O665" s="37"/>
      <c r="P665" s="199">
        <v>0.02</v>
      </c>
      <c r="Q665" s="199">
        <v>0.0</v>
      </c>
      <c r="R665" s="199">
        <v>3.0</v>
      </c>
      <c r="S665" s="199">
        <v>0.0</v>
      </c>
      <c r="T665" s="199">
        <v>0.0</v>
      </c>
      <c r="U665" s="199">
        <v>3.0</v>
      </c>
      <c r="V665" s="199">
        <v>0.0</v>
      </c>
      <c r="W665" s="199">
        <v>0.0</v>
      </c>
      <c r="X665" s="199">
        <v>0.0</v>
      </c>
      <c r="Y665" s="199">
        <v>0.0</v>
      </c>
      <c r="Z665" s="199">
        <v>0.0</v>
      </c>
      <c r="AA665" s="199">
        <v>0.0</v>
      </c>
      <c r="AB665" s="199">
        <v>15.0</v>
      </c>
      <c r="AC665" s="199">
        <v>31.0</v>
      </c>
      <c r="AD665" s="199">
        <v>0.0</v>
      </c>
      <c r="AE665" s="199">
        <v>1.0</v>
      </c>
      <c r="AF665" s="199">
        <v>2.0</v>
      </c>
      <c r="AG665" s="199">
        <v>395.0</v>
      </c>
      <c r="AH665" s="199">
        <v>2.0</v>
      </c>
      <c r="AI665" s="200" t="s">
        <v>776</v>
      </c>
      <c r="AJ665" s="200" t="s">
        <v>902</v>
      </c>
      <c r="AK665" s="200"/>
      <c r="AL665" s="204"/>
      <c r="AM665" s="204"/>
    </row>
    <row r="666">
      <c r="A666" s="199" t="s">
        <v>227</v>
      </c>
      <c r="B666" s="200" t="s">
        <v>822</v>
      </c>
      <c r="C666" s="199">
        <v>2.5180296258E10</v>
      </c>
      <c r="D666" s="201">
        <v>45826.0</v>
      </c>
      <c r="E666" s="202" t="s">
        <v>101</v>
      </c>
      <c r="F666" s="202" t="s">
        <v>101</v>
      </c>
      <c r="G666" s="203" t="s">
        <v>100</v>
      </c>
      <c r="H666" s="203" t="s">
        <v>102</v>
      </c>
      <c r="I666" s="37"/>
      <c r="J666" s="37"/>
      <c r="K666" s="37"/>
      <c r="L666" s="199">
        <v>24.0</v>
      </c>
      <c r="M666" s="199">
        <v>347.0</v>
      </c>
      <c r="N666" s="37"/>
      <c r="O666" s="37"/>
      <c r="P666" s="199">
        <v>0.1</v>
      </c>
      <c r="Q666" s="199">
        <v>0.0</v>
      </c>
      <c r="R666" s="199">
        <v>1.0</v>
      </c>
      <c r="S666" s="199">
        <v>0.0</v>
      </c>
      <c r="T666" s="199">
        <v>0.0</v>
      </c>
      <c r="U666" s="199">
        <v>20.0</v>
      </c>
      <c r="V666" s="199">
        <v>2.0</v>
      </c>
      <c r="W666" s="199">
        <v>0.0</v>
      </c>
      <c r="X666" s="199">
        <v>8.0</v>
      </c>
      <c r="Y666" s="199">
        <v>0.0</v>
      </c>
      <c r="Z666" s="199">
        <v>0.0</v>
      </c>
      <c r="AA666" s="199">
        <v>2.0</v>
      </c>
      <c r="AB666" s="199">
        <v>11.0</v>
      </c>
      <c r="AC666" s="199">
        <v>6.0</v>
      </c>
      <c r="AD666" s="199">
        <v>1.0</v>
      </c>
      <c r="AE666" s="199">
        <v>55.0</v>
      </c>
      <c r="AF666" s="199">
        <v>3.0</v>
      </c>
      <c r="AG666" s="199">
        <v>461.0</v>
      </c>
      <c r="AH666" s="199">
        <v>4.0</v>
      </c>
      <c r="AI666" s="200" t="s">
        <v>776</v>
      </c>
      <c r="AJ666" s="200" t="s">
        <v>902</v>
      </c>
      <c r="AK666" s="200"/>
      <c r="AL666" s="204"/>
      <c r="AM666" s="204"/>
    </row>
    <row r="667">
      <c r="A667" s="199" t="s">
        <v>227</v>
      </c>
      <c r="B667" s="200" t="s">
        <v>822</v>
      </c>
      <c r="C667" s="199">
        <v>2.5295220222E10</v>
      </c>
      <c r="D667" s="201">
        <v>45946.0</v>
      </c>
      <c r="E667" s="202" t="s">
        <v>101</v>
      </c>
      <c r="F667" s="202" t="s">
        <v>102</v>
      </c>
      <c r="G667" s="203" t="s">
        <v>100</v>
      </c>
      <c r="H667" s="203" t="s">
        <v>101</v>
      </c>
      <c r="I667" s="37"/>
      <c r="J667" s="37"/>
      <c r="K667" s="37"/>
      <c r="L667" s="199">
        <v>16.0</v>
      </c>
      <c r="M667" s="199">
        <v>976.7</v>
      </c>
      <c r="N667" s="37"/>
      <c r="O667" s="37"/>
      <c r="P667" s="199">
        <v>0.05</v>
      </c>
      <c r="Q667" s="199">
        <v>0.0</v>
      </c>
      <c r="R667" s="199">
        <v>0.0</v>
      </c>
      <c r="S667" s="199">
        <v>1.0</v>
      </c>
      <c r="T667" s="199">
        <v>0.0</v>
      </c>
      <c r="U667" s="199">
        <v>0.0</v>
      </c>
      <c r="V667" s="199">
        <v>0.0</v>
      </c>
      <c r="W667" s="199">
        <v>0.0</v>
      </c>
      <c r="X667" s="199">
        <v>0.0</v>
      </c>
      <c r="Y667" s="199">
        <v>0.0</v>
      </c>
      <c r="Z667" s="199">
        <v>2.0</v>
      </c>
      <c r="AA667" s="199">
        <v>0.0</v>
      </c>
      <c r="AB667" s="199">
        <v>36.0</v>
      </c>
      <c r="AC667" s="199">
        <v>7.0</v>
      </c>
      <c r="AD667" s="199">
        <v>0.0</v>
      </c>
      <c r="AE667" s="199">
        <v>17.0</v>
      </c>
      <c r="AF667" s="199">
        <v>0.0</v>
      </c>
      <c r="AG667" s="199">
        <v>575.0</v>
      </c>
      <c r="AH667" s="199">
        <v>2.0</v>
      </c>
      <c r="AI667" s="200" t="s">
        <v>661</v>
      </c>
      <c r="AJ667" s="200" t="s">
        <v>933</v>
      </c>
      <c r="AK667" s="200"/>
      <c r="AL667" s="204"/>
      <c r="AM667" s="204"/>
    </row>
    <row r="668">
      <c r="A668" s="199" t="s">
        <v>227</v>
      </c>
      <c r="B668" s="200" t="s">
        <v>822</v>
      </c>
      <c r="C668" s="199">
        <v>2.6005501206E10</v>
      </c>
      <c r="D668" s="201">
        <v>46018.0</v>
      </c>
      <c r="E668" s="202" t="s">
        <v>100</v>
      </c>
      <c r="F668" s="202" t="s">
        <v>100</v>
      </c>
      <c r="G668" s="203" t="s">
        <v>100</v>
      </c>
      <c r="H668" s="203" t="s">
        <v>100</v>
      </c>
      <c r="I668" s="199">
        <v>19664.0</v>
      </c>
      <c r="J668" s="199">
        <v>10038.0</v>
      </c>
      <c r="K668" s="199">
        <v>5511.0</v>
      </c>
      <c r="L668" s="199">
        <v>8.0</v>
      </c>
      <c r="M668" s="199">
        <v>302.9</v>
      </c>
      <c r="N668" s="37"/>
      <c r="O668" s="37"/>
      <c r="P668" s="199">
        <v>0.003</v>
      </c>
      <c r="Q668" s="199">
        <v>0.0</v>
      </c>
      <c r="R668" s="199">
        <v>0.0</v>
      </c>
      <c r="S668" s="199">
        <v>0.0</v>
      </c>
      <c r="T668" s="199">
        <v>0.0</v>
      </c>
      <c r="U668" s="199">
        <v>5.0</v>
      </c>
      <c r="V668" s="199">
        <v>0.0</v>
      </c>
      <c r="W668" s="199">
        <v>0.0</v>
      </c>
      <c r="X668" s="199">
        <v>0.0</v>
      </c>
      <c r="Y668" s="199">
        <v>0.0</v>
      </c>
      <c r="Z668" s="199">
        <v>0.0</v>
      </c>
      <c r="AA668" s="199">
        <v>0.0</v>
      </c>
      <c r="AB668" s="199">
        <v>33.0</v>
      </c>
      <c r="AC668" s="199">
        <v>14.0</v>
      </c>
      <c r="AD668" s="199">
        <v>0.0</v>
      </c>
      <c r="AE668" s="199">
        <v>14.0</v>
      </c>
      <c r="AF668" s="199">
        <v>2.0</v>
      </c>
      <c r="AG668" s="199">
        <v>648.0</v>
      </c>
      <c r="AH668" s="199">
        <v>38.0</v>
      </c>
      <c r="AI668" s="200" t="s">
        <v>655</v>
      </c>
      <c r="AJ668" s="200" t="s">
        <v>656</v>
      </c>
      <c r="AK668" s="200"/>
      <c r="AL668" s="204"/>
      <c r="AM668" s="204"/>
    </row>
    <row r="669">
      <c r="A669" s="199" t="s">
        <v>231</v>
      </c>
      <c r="B669" s="200" t="s">
        <v>934</v>
      </c>
      <c r="C669" s="199">
        <v>2.612440525E10</v>
      </c>
      <c r="D669" s="201">
        <v>46139.0</v>
      </c>
      <c r="E669" s="202" t="s">
        <v>101</v>
      </c>
      <c r="F669" s="202" t="s">
        <v>101</v>
      </c>
      <c r="G669" s="203" t="s">
        <v>101</v>
      </c>
      <c r="H669" s="203" t="s">
        <v>100</v>
      </c>
      <c r="I669" s="37"/>
      <c r="J669" s="37"/>
      <c r="K669" s="37"/>
      <c r="L669" s="199">
        <v>97.0</v>
      </c>
      <c r="M669" s="199">
        <v>442.3</v>
      </c>
      <c r="N669" s="37"/>
      <c r="O669" s="199">
        <v>0.0</v>
      </c>
      <c r="P669" s="199">
        <v>0.3</v>
      </c>
      <c r="Q669" s="199">
        <v>0.0</v>
      </c>
      <c r="R669" s="199">
        <v>15.0</v>
      </c>
      <c r="S669" s="199">
        <v>0.0</v>
      </c>
      <c r="T669" s="199">
        <v>21.0</v>
      </c>
      <c r="U669" s="199">
        <v>37.0</v>
      </c>
      <c r="V669" s="199">
        <v>0.0</v>
      </c>
      <c r="W669" s="199">
        <v>0.0</v>
      </c>
      <c r="X669" s="199">
        <v>0.0</v>
      </c>
      <c r="Y669" s="199">
        <v>5.0</v>
      </c>
      <c r="Z669" s="199">
        <v>0.0</v>
      </c>
      <c r="AA669" s="199">
        <v>0.0</v>
      </c>
      <c r="AB669" s="199">
        <v>57.0</v>
      </c>
      <c r="AC669" s="199">
        <v>16.0</v>
      </c>
      <c r="AD669" s="199">
        <v>0.0</v>
      </c>
      <c r="AE669" s="199">
        <v>178.0</v>
      </c>
      <c r="AF669" s="199">
        <v>2.0</v>
      </c>
      <c r="AG669" s="199">
        <v>330.0</v>
      </c>
      <c r="AH669" s="199">
        <v>2.0</v>
      </c>
      <c r="AI669" s="200" t="s">
        <v>829</v>
      </c>
      <c r="AJ669" s="200" t="s">
        <v>935</v>
      </c>
      <c r="AK669" s="200"/>
      <c r="AL669" s="204"/>
      <c r="AM669" s="204"/>
    </row>
    <row r="670">
      <c r="A670" s="199" t="s">
        <v>232</v>
      </c>
      <c r="B670" s="200" t="s">
        <v>936</v>
      </c>
      <c r="C670" s="199">
        <v>2.6124405243E10</v>
      </c>
      <c r="D670" s="201">
        <v>46139.0</v>
      </c>
      <c r="E670" s="202" t="s">
        <v>101</v>
      </c>
      <c r="F670" s="202" t="s">
        <v>101</v>
      </c>
      <c r="G670" s="203" t="s">
        <v>102</v>
      </c>
      <c r="H670" s="203" t="s">
        <v>100</v>
      </c>
      <c r="I670" s="37"/>
      <c r="J670" s="37"/>
      <c r="K670" s="37"/>
      <c r="L670" s="199">
        <v>49.0</v>
      </c>
      <c r="M670" s="199">
        <v>449.2</v>
      </c>
      <c r="N670" s="37"/>
      <c r="O670" s="199">
        <v>0.0</v>
      </c>
      <c r="P670" s="199">
        <v>0.2</v>
      </c>
      <c r="Q670" s="199">
        <v>0.0</v>
      </c>
      <c r="R670" s="199">
        <v>14.0</v>
      </c>
      <c r="S670" s="199">
        <v>0.0</v>
      </c>
      <c r="T670" s="199">
        <v>18.0</v>
      </c>
      <c r="U670" s="199">
        <v>40.0</v>
      </c>
      <c r="V670" s="199">
        <v>0.0</v>
      </c>
      <c r="W670" s="199">
        <v>0.0</v>
      </c>
      <c r="X670" s="199">
        <v>0.0</v>
      </c>
      <c r="Y670" s="199">
        <v>6.0</v>
      </c>
      <c r="Z670" s="199">
        <v>0.0</v>
      </c>
      <c r="AA670" s="199">
        <v>0.0</v>
      </c>
      <c r="AB670" s="199">
        <v>55.0</v>
      </c>
      <c r="AC670" s="199">
        <v>16.0</v>
      </c>
      <c r="AD670" s="199">
        <v>0.0</v>
      </c>
      <c r="AE670" s="199">
        <v>116.0</v>
      </c>
      <c r="AF670" s="199">
        <v>5.0</v>
      </c>
      <c r="AG670" s="199">
        <v>369.0</v>
      </c>
      <c r="AH670" s="199">
        <v>14.0</v>
      </c>
      <c r="AI670" s="200" t="s">
        <v>781</v>
      </c>
      <c r="AJ670" s="200" t="s">
        <v>937</v>
      </c>
      <c r="AK670" s="200"/>
      <c r="AL670" s="204"/>
      <c r="AM670" s="204"/>
    </row>
    <row r="671">
      <c r="A671" s="199" t="s">
        <v>233</v>
      </c>
      <c r="B671" s="200" t="s">
        <v>938</v>
      </c>
      <c r="C671" s="199">
        <v>2.6124405245E10</v>
      </c>
      <c r="D671" s="201">
        <v>46139.0</v>
      </c>
      <c r="E671" s="202" t="s">
        <v>101</v>
      </c>
      <c r="F671" s="202" t="s">
        <v>101</v>
      </c>
      <c r="G671" s="203" t="s">
        <v>101</v>
      </c>
      <c r="H671" s="203" t="s">
        <v>100</v>
      </c>
      <c r="I671" s="37"/>
      <c r="J671" s="37"/>
      <c r="K671" s="37"/>
      <c r="L671" s="199">
        <v>95.0</v>
      </c>
      <c r="M671" s="199">
        <v>445.4</v>
      </c>
      <c r="N671" s="37"/>
      <c r="O671" s="199">
        <v>0.0</v>
      </c>
      <c r="P671" s="199">
        <v>0.15</v>
      </c>
      <c r="Q671" s="199">
        <v>0.0</v>
      </c>
      <c r="R671" s="199">
        <v>22.0</v>
      </c>
      <c r="S671" s="199">
        <v>0.0</v>
      </c>
      <c r="T671" s="199">
        <v>11.0</v>
      </c>
      <c r="U671" s="199">
        <v>80.0</v>
      </c>
      <c r="V671" s="199">
        <v>2.0</v>
      </c>
      <c r="W671" s="199">
        <v>0.0</v>
      </c>
      <c r="X671" s="199">
        <v>0.0</v>
      </c>
      <c r="Y671" s="199">
        <v>0.0</v>
      </c>
      <c r="Z671" s="199">
        <v>0.0</v>
      </c>
      <c r="AA671" s="199">
        <v>0.0</v>
      </c>
      <c r="AB671" s="199">
        <v>97.0</v>
      </c>
      <c r="AC671" s="199">
        <v>10.0</v>
      </c>
      <c r="AD671" s="199">
        <v>0.0</v>
      </c>
      <c r="AE671" s="199">
        <v>288.0</v>
      </c>
      <c r="AF671" s="199">
        <v>12.0</v>
      </c>
      <c r="AG671" s="199">
        <v>368.0</v>
      </c>
      <c r="AH671" s="199">
        <v>0.0</v>
      </c>
      <c r="AI671" s="200" t="s">
        <v>829</v>
      </c>
      <c r="AJ671" s="200" t="s">
        <v>939</v>
      </c>
      <c r="AK671" s="200"/>
      <c r="AL671" s="204"/>
      <c r="AM671" s="204"/>
    </row>
    <row r="672">
      <c r="A672" s="199" t="s">
        <v>236</v>
      </c>
      <c r="B672" s="200" t="s">
        <v>940</v>
      </c>
      <c r="C672" s="199">
        <v>2.6124405206E10</v>
      </c>
      <c r="D672" s="201">
        <v>46139.0</v>
      </c>
      <c r="E672" s="202" t="s">
        <v>101</v>
      </c>
      <c r="F672" s="202" t="s">
        <v>101</v>
      </c>
      <c r="G672" s="203" t="s">
        <v>100</v>
      </c>
      <c r="H672" s="203" t="s">
        <v>100</v>
      </c>
      <c r="I672" s="37"/>
      <c r="J672" s="37"/>
      <c r="K672" s="37"/>
      <c r="L672" s="199">
        <v>12.0</v>
      </c>
      <c r="M672" s="199">
        <v>274.9</v>
      </c>
      <c r="N672" s="199">
        <v>1.4</v>
      </c>
      <c r="O672" s="37"/>
      <c r="P672" s="199">
        <v>0.1</v>
      </c>
      <c r="Q672" s="199">
        <v>0.0</v>
      </c>
      <c r="R672" s="199">
        <v>4.0</v>
      </c>
      <c r="S672" s="199">
        <v>0.0</v>
      </c>
      <c r="T672" s="199">
        <v>0.0</v>
      </c>
      <c r="U672" s="199">
        <v>44.0</v>
      </c>
      <c r="V672" s="199">
        <v>2.0</v>
      </c>
      <c r="W672" s="199">
        <v>0.0</v>
      </c>
      <c r="X672" s="199">
        <v>0.0</v>
      </c>
      <c r="Y672" s="199">
        <v>0.0</v>
      </c>
      <c r="Z672" s="199">
        <v>0.0</v>
      </c>
      <c r="AA672" s="199">
        <v>0.0</v>
      </c>
      <c r="AB672" s="199">
        <v>68.0</v>
      </c>
      <c r="AC672" s="199">
        <v>10.0</v>
      </c>
      <c r="AD672" s="199">
        <v>0.0</v>
      </c>
      <c r="AE672" s="199">
        <v>115.0</v>
      </c>
      <c r="AF672" s="199">
        <v>5.0</v>
      </c>
      <c r="AG672" s="199">
        <v>659.0</v>
      </c>
      <c r="AH672" s="199">
        <v>26.0</v>
      </c>
      <c r="AI672" s="200" t="s">
        <v>785</v>
      </c>
      <c r="AJ672" s="200" t="s">
        <v>941</v>
      </c>
      <c r="AK672" s="200"/>
      <c r="AL672" s="204"/>
      <c r="AM672" s="204"/>
    </row>
    <row r="673">
      <c r="A673" s="199" t="s">
        <v>237</v>
      </c>
      <c r="B673" s="200" t="s">
        <v>942</v>
      </c>
      <c r="C673" s="199">
        <v>2.6124405229E10</v>
      </c>
      <c r="D673" s="201">
        <v>46139.0</v>
      </c>
      <c r="E673" s="202" t="s">
        <v>101</v>
      </c>
      <c r="F673" s="202" t="s">
        <v>101</v>
      </c>
      <c r="G673" s="203" t="s">
        <v>100</v>
      </c>
      <c r="H673" s="203" t="s">
        <v>100</v>
      </c>
      <c r="I673" s="37"/>
      <c r="J673" s="37"/>
      <c r="K673" s="37"/>
      <c r="L673" s="199">
        <v>29.0</v>
      </c>
      <c r="M673" s="199">
        <v>295.7</v>
      </c>
      <c r="N673" s="37"/>
      <c r="O673" s="199">
        <v>1.0</v>
      </c>
      <c r="P673" s="199">
        <v>0.1</v>
      </c>
      <c r="Q673" s="199">
        <v>0.0</v>
      </c>
      <c r="R673" s="199">
        <v>6.0</v>
      </c>
      <c r="S673" s="199">
        <v>0.0</v>
      </c>
      <c r="T673" s="199">
        <v>0.0</v>
      </c>
      <c r="U673" s="199">
        <v>43.0</v>
      </c>
      <c r="V673" s="199">
        <v>0.0</v>
      </c>
      <c r="W673" s="199">
        <v>0.0</v>
      </c>
      <c r="X673" s="199">
        <v>0.0</v>
      </c>
      <c r="Y673" s="199">
        <v>0.0</v>
      </c>
      <c r="Z673" s="199">
        <v>0.0</v>
      </c>
      <c r="AA673" s="199">
        <v>0.0</v>
      </c>
      <c r="AB673" s="199">
        <v>36.0</v>
      </c>
      <c r="AC673" s="199">
        <v>12.0</v>
      </c>
      <c r="AD673" s="199">
        <v>0.0</v>
      </c>
      <c r="AE673" s="199">
        <v>38.0</v>
      </c>
      <c r="AF673" s="199">
        <v>2.0</v>
      </c>
      <c r="AG673" s="199">
        <v>474.0</v>
      </c>
      <c r="AH673" s="199">
        <v>11.0</v>
      </c>
      <c r="AI673" s="200" t="s">
        <v>776</v>
      </c>
      <c r="AJ673" s="200" t="s">
        <v>941</v>
      </c>
      <c r="AK673" s="200"/>
      <c r="AL673" s="204"/>
      <c r="AM673" s="204"/>
    </row>
    <row r="674">
      <c r="A674" s="199" t="s">
        <v>238</v>
      </c>
      <c r="B674" s="200" t="s">
        <v>943</v>
      </c>
      <c r="C674" s="199">
        <v>2.6124405246E10</v>
      </c>
      <c r="D674" s="201">
        <v>46139.0</v>
      </c>
      <c r="E674" s="202" t="s">
        <v>101</v>
      </c>
      <c r="F674" s="202" t="s">
        <v>101</v>
      </c>
      <c r="G674" s="203" t="s">
        <v>101</v>
      </c>
      <c r="H674" s="203" t="s">
        <v>100</v>
      </c>
      <c r="I674" s="37"/>
      <c r="J674" s="37"/>
      <c r="K674" s="37"/>
      <c r="L674" s="199">
        <v>66.0</v>
      </c>
      <c r="M674" s="199">
        <v>447.8</v>
      </c>
      <c r="N674" s="37"/>
      <c r="O674" s="199">
        <v>4.0</v>
      </c>
      <c r="P674" s="199">
        <v>0.3</v>
      </c>
      <c r="Q674" s="199">
        <v>0.0</v>
      </c>
      <c r="R674" s="199">
        <v>44.0</v>
      </c>
      <c r="S674" s="199">
        <v>0.0</v>
      </c>
      <c r="T674" s="199">
        <v>42.0</v>
      </c>
      <c r="U674" s="199">
        <v>105.0</v>
      </c>
      <c r="V674" s="199">
        <v>0.0</v>
      </c>
      <c r="W674" s="199">
        <v>0.0</v>
      </c>
      <c r="X674" s="199">
        <v>12.0</v>
      </c>
      <c r="Y674" s="199">
        <v>7.0</v>
      </c>
      <c r="Z674" s="199">
        <v>2.0</v>
      </c>
      <c r="AA674" s="199">
        <v>0.0</v>
      </c>
      <c r="AB674" s="199">
        <v>136.0</v>
      </c>
      <c r="AC674" s="199">
        <v>0.0</v>
      </c>
      <c r="AD674" s="199">
        <v>0.0</v>
      </c>
      <c r="AE674" s="199">
        <v>428.0</v>
      </c>
      <c r="AF674" s="199">
        <v>25.0</v>
      </c>
      <c r="AG674" s="199">
        <v>319.0</v>
      </c>
      <c r="AH674" s="199">
        <v>8.0</v>
      </c>
      <c r="AI674" s="200" t="s">
        <v>829</v>
      </c>
      <c r="AJ674" s="200" t="s">
        <v>944</v>
      </c>
      <c r="AK674" s="200"/>
      <c r="AL674" s="204"/>
      <c r="AM674" s="204"/>
    </row>
    <row r="675">
      <c r="A675" s="199" t="s">
        <v>239</v>
      </c>
      <c r="B675" s="200" t="s">
        <v>945</v>
      </c>
      <c r="C675" s="199">
        <v>2.6124405261E10</v>
      </c>
      <c r="D675" s="201">
        <v>46139.0</v>
      </c>
      <c r="E675" s="202" t="s">
        <v>101</v>
      </c>
      <c r="F675" s="202" t="s">
        <v>101</v>
      </c>
      <c r="G675" s="203" t="s">
        <v>101</v>
      </c>
      <c r="H675" s="203" t="s">
        <v>100</v>
      </c>
      <c r="I675" s="37"/>
      <c r="J675" s="37"/>
      <c r="K675" s="37"/>
      <c r="L675" s="199">
        <v>101.0</v>
      </c>
      <c r="M675" s="199">
        <v>462.3</v>
      </c>
      <c r="N675" s="37"/>
      <c r="O675" s="199">
        <v>4.0</v>
      </c>
      <c r="P675" s="199">
        <v>0.2</v>
      </c>
      <c r="Q675" s="199">
        <v>0.0</v>
      </c>
      <c r="R675" s="199">
        <v>30.0</v>
      </c>
      <c r="S675" s="199">
        <v>0.0</v>
      </c>
      <c r="T675" s="199">
        <v>74.0</v>
      </c>
      <c r="U675" s="199">
        <v>84.0</v>
      </c>
      <c r="V675" s="199">
        <v>2.0</v>
      </c>
      <c r="W675" s="199">
        <v>0.0</v>
      </c>
      <c r="X675" s="199">
        <v>17.0</v>
      </c>
      <c r="Y675" s="199">
        <v>0.0</v>
      </c>
      <c r="Z675" s="199">
        <v>0.0</v>
      </c>
      <c r="AA675" s="199">
        <v>0.0</v>
      </c>
      <c r="AB675" s="199">
        <v>98.0</v>
      </c>
      <c r="AC675" s="199">
        <v>17.0</v>
      </c>
      <c r="AD675" s="199">
        <v>0.0</v>
      </c>
      <c r="AE675" s="199">
        <v>339.0</v>
      </c>
      <c r="AF675" s="199">
        <v>18.0</v>
      </c>
      <c r="AG675" s="199">
        <v>377.0</v>
      </c>
      <c r="AH675" s="199">
        <v>0.0</v>
      </c>
      <c r="AI675" s="200" t="s">
        <v>827</v>
      </c>
      <c r="AJ675" s="200" t="s">
        <v>939</v>
      </c>
      <c r="AK675" s="200"/>
      <c r="AL675" s="204"/>
      <c r="AM675" s="204"/>
    </row>
    <row r="676">
      <c r="A676" s="199" t="s">
        <v>240</v>
      </c>
      <c r="B676" s="200" t="s">
        <v>946</v>
      </c>
      <c r="C676" s="199">
        <v>2.6124405244E10</v>
      </c>
      <c r="D676" s="201">
        <v>46139.0</v>
      </c>
      <c r="E676" s="202" t="s">
        <v>101</v>
      </c>
      <c r="F676" s="202" t="s">
        <v>101</v>
      </c>
      <c r="G676" s="203" t="s">
        <v>101</v>
      </c>
      <c r="H676" s="203" t="s">
        <v>100</v>
      </c>
      <c r="I676" s="37"/>
      <c r="J676" s="37"/>
      <c r="K676" s="37"/>
      <c r="L676" s="199">
        <v>480.0</v>
      </c>
      <c r="M676" s="199">
        <v>485.3</v>
      </c>
      <c r="N676" s="37"/>
      <c r="O676" s="199">
        <v>4.0</v>
      </c>
      <c r="P676" s="199">
        <v>0.2</v>
      </c>
      <c r="Q676" s="199">
        <v>0.0</v>
      </c>
      <c r="R676" s="199">
        <v>101.0</v>
      </c>
      <c r="S676" s="199">
        <v>4.0</v>
      </c>
      <c r="T676" s="199">
        <v>25.0</v>
      </c>
      <c r="U676" s="199">
        <v>307.0</v>
      </c>
      <c r="V676" s="199">
        <v>0.0</v>
      </c>
      <c r="W676" s="199">
        <v>0.0</v>
      </c>
      <c r="X676" s="199">
        <v>0.0</v>
      </c>
      <c r="Y676" s="199">
        <v>4.0</v>
      </c>
      <c r="Z676" s="199">
        <v>2.0</v>
      </c>
      <c r="AA676" s="199">
        <v>0.0</v>
      </c>
      <c r="AB676" s="199">
        <v>377.0</v>
      </c>
      <c r="AC676" s="199">
        <v>41.0</v>
      </c>
      <c r="AD676" s="199">
        <v>0.0</v>
      </c>
      <c r="AE676" s="199">
        <v>1176.0</v>
      </c>
      <c r="AF676" s="199">
        <v>69.0</v>
      </c>
      <c r="AG676" s="199">
        <v>359.0</v>
      </c>
      <c r="AH676" s="199">
        <v>14.0</v>
      </c>
      <c r="AI676" s="200" t="s">
        <v>827</v>
      </c>
      <c r="AJ676" s="200" t="s">
        <v>947</v>
      </c>
      <c r="AK676" s="200"/>
      <c r="AL676" s="204"/>
      <c r="AM676" s="204"/>
    </row>
    <row r="677">
      <c r="A677" s="199" t="s">
        <v>244</v>
      </c>
      <c r="B677" s="200" t="s">
        <v>948</v>
      </c>
      <c r="C677" s="199">
        <v>2.6124405226E10</v>
      </c>
      <c r="D677" s="201">
        <v>46139.0</v>
      </c>
      <c r="E677" s="202" t="s">
        <v>101</v>
      </c>
      <c r="F677" s="202" t="s">
        <v>101</v>
      </c>
      <c r="G677" s="203" t="s">
        <v>101</v>
      </c>
      <c r="H677" s="203" t="s">
        <v>102</v>
      </c>
      <c r="I677" s="37"/>
      <c r="J677" s="37"/>
      <c r="K677" s="37"/>
      <c r="L677" s="199">
        <v>143.0</v>
      </c>
      <c r="M677" s="199">
        <v>444.4</v>
      </c>
      <c r="N677" s="37"/>
      <c r="O677" s="199">
        <v>5.0</v>
      </c>
      <c r="P677" s="199">
        <v>0.4</v>
      </c>
      <c r="Q677" s="199">
        <v>0.0</v>
      </c>
      <c r="R677" s="199">
        <v>40.0</v>
      </c>
      <c r="S677" s="199">
        <v>0.0</v>
      </c>
      <c r="T677" s="199">
        <v>132.0</v>
      </c>
      <c r="U677" s="199">
        <v>102.0</v>
      </c>
      <c r="V677" s="199">
        <v>3.0</v>
      </c>
      <c r="W677" s="199">
        <v>0.0</v>
      </c>
      <c r="X677" s="199">
        <v>67.0</v>
      </c>
      <c r="Y677" s="199">
        <v>0.0</v>
      </c>
      <c r="Z677" s="199">
        <v>15.0</v>
      </c>
      <c r="AA677" s="199">
        <v>20.0</v>
      </c>
      <c r="AB677" s="199">
        <v>388.0</v>
      </c>
      <c r="AC677" s="199">
        <v>12.0</v>
      </c>
      <c r="AD677" s="199">
        <v>0.0</v>
      </c>
      <c r="AE677" s="199">
        <v>621.0</v>
      </c>
      <c r="AF677" s="199">
        <v>23.0</v>
      </c>
      <c r="AG677" s="199">
        <v>398.0</v>
      </c>
      <c r="AH677" s="199">
        <v>59.0</v>
      </c>
      <c r="AI677" s="200" t="s">
        <v>827</v>
      </c>
      <c r="AJ677" s="200" t="s">
        <v>949</v>
      </c>
      <c r="AK677" s="200"/>
      <c r="AL677" s="204"/>
      <c r="AM677" s="204"/>
    </row>
    <row r="678">
      <c r="A678" s="199" t="s">
        <v>245</v>
      </c>
      <c r="B678" s="200" t="s">
        <v>950</v>
      </c>
      <c r="C678" s="199">
        <v>2.612440523E10</v>
      </c>
      <c r="D678" s="201">
        <v>46139.0</v>
      </c>
      <c r="E678" s="202" t="s">
        <v>101</v>
      </c>
      <c r="F678" s="202" t="s">
        <v>101</v>
      </c>
      <c r="G678" s="203" t="s">
        <v>100</v>
      </c>
      <c r="H678" s="203" t="s">
        <v>100</v>
      </c>
      <c r="I678" s="37"/>
      <c r="J678" s="37"/>
      <c r="K678" s="37"/>
      <c r="L678" s="199">
        <v>41.0</v>
      </c>
      <c r="M678" s="199">
        <v>442.6</v>
      </c>
      <c r="N678" s="37"/>
      <c r="O678" s="199">
        <v>1.0</v>
      </c>
      <c r="P678" s="199">
        <v>0.2</v>
      </c>
      <c r="Q678" s="199">
        <v>0.0</v>
      </c>
      <c r="R678" s="199">
        <v>4.0</v>
      </c>
      <c r="S678" s="199">
        <v>0.0</v>
      </c>
      <c r="T678" s="199">
        <v>18.0</v>
      </c>
      <c r="U678" s="199">
        <v>29.0</v>
      </c>
      <c r="V678" s="199">
        <v>0.0</v>
      </c>
      <c r="W678" s="199">
        <v>0.0</v>
      </c>
      <c r="X678" s="199">
        <v>2.0</v>
      </c>
      <c r="Y678" s="199">
        <v>0.0</v>
      </c>
      <c r="Z678" s="199">
        <v>0.0</v>
      </c>
      <c r="AA678" s="199">
        <v>0.0</v>
      </c>
      <c r="AB678" s="199">
        <v>33.0</v>
      </c>
      <c r="AC678" s="199">
        <v>16.0</v>
      </c>
      <c r="AD678" s="199">
        <v>0.0</v>
      </c>
      <c r="AE678" s="199">
        <v>125.0</v>
      </c>
      <c r="AF678" s="199">
        <v>2.0</v>
      </c>
      <c r="AG678" s="199">
        <v>385.0</v>
      </c>
      <c r="AH678" s="199">
        <v>5.0</v>
      </c>
      <c r="AI678" s="200" t="s">
        <v>684</v>
      </c>
      <c r="AJ678" s="200" t="s">
        <v>937</v>
      </c>
      <c r="AK678" s="200"/>
      <c r="AL678" s="204"/>
      <c r="AM678" s="204"/>
    </row>
    <row r="679">
      <c r="A679" s="199" t="s">
        <v>246</v>
      </c>
      <c r="B679" s="200" t="s">
        <v>951</v>
      </c>
      <c r="C679" s="199">
        <v>2.6124405249E10</v>
      </c>
      <c r="D679" s="201">
        <v>46139.0</v>
      </c>
      <c r="E679" s="202" t="s">
        <v>101</v>
      </c>
      <c r="F679" s="202" t="s">
        <v>101</v>
      </c>
      <c r="G679" s="203" t="s">
        <v>101</v>
      </c>
      <c r="H679" s="203" t="s">
        <v>100</v>
      </c>
      <c r="I679" s="37"/>
      <c r="J679" s="37"/>
      <c r="K679" s="37"/>
      <c r="L679" s="199">
        <v>783.0</v>
      </c>
      <c r="M679" s="199">
        <v>466.4</v>
      </c>
      <c r="N679" s="37"/>
      <c r="O679" s="199">
        <v>4.0</v>
      </c>
      <c r="P679" s="199">
        <v>0.3</v>
      </c>
      <c r="Q679" s="199">
        <v>0.0</v>
      </c>
      <c r="R679" s="199">
        <v>165.0</v>
      </c>
      <c r="S679" s="199">
        <v>2.0</v>
      </c>
      <c r="T679" s="199">
        <v>43.0</v>
      </c>
      <c r="U679" s="199">
        <v>327.0</v>
      </c>
      <c r="V679" s="199">
        <v>0.0</v>
      </c>
      <c r="W679" s="199">
        <v>0.0</v>
      </c>
      <c r="X679" s="199">
        <v>1.0</v>
      </c>
      <c r="Y679" s="199">
        <v>18.0</v>
      </c>
      <c r="Z679" s="199">
        <v>29.0</v>
      </c>
      <c r="AA679" s="199">
        <v>37.0</v>
      </c>
      <c r="AB679" s="199">
        <v>588.0</v>
      </c>
      <c r="AC679" s="199">
        <v>10.0</v>
      </c>
      <c r="AD679" s="199">
        <v>0.0</v>
      </c>
      <c r="AE679" s="199">
        <v>2224.0</v>
      </c>
      <c r="AF679" s="199">
        <v>0.0</v>
      </c>
      <c r="AG679" s="199">
        <v>387.0</v>
      </c>
      <c r="AH679" s="199">
        <v>18.0</v>
      </c>
      <c r="AI679" s="200" t="s">
        <v>827</v>
      </c>
      <c r="AJ679" s="200" t="s">
        <v>952</v>
      </c>
      <c r="AK679" s="200"/>
      <c r="AL679" s="204"/>
      <c r="AM679" s="204"/>
    </row>
    <row r="680">
      <c r="A680" s="199" t="s">
        <v>249</v>
      </c>
      <c r="B680" s="200" t="s">
        <v>953</v>
      </c>
      <c r="C680" s="199">
        <v>2.6124405251E10</v>
      </c>
      <c r="D680" s="201">
        <v>46139.0</v>
      </c>
      <c r="E680" s="202" t="s">
        <v>101</v>
      </c>
      <c r="F680" s="202" t="s">
        <v>101</v>
      </c>
      <c r="G680" s="203" t="s">
        <v>101</v>
      </c>
      <c r="H680" s="203" t="s">
        <v>100</v>
      </c>
      <c r="I680" s="37"/>
      <c r="J680" s="37"/>
      <c r="K680" s="37"/>
      <c r="L680" s="199">
        <v>92.0</v>
      </c>
      <c r="M680" s="199">
        <v>442.4</v>
      </c>
      <c r="N680" s="37"/>
      <c r="O680" s="199">
        <v>0.0</v>
      </c>
      <c r="P680" s="199">
        <v>0.2</v>
      </c>
      <c r="Q680" s="199">
        <v>0.0</v>
      </c>
      <c r="R680" s="199">
        <v>23.0</v>
      </c>
      <c r="S680" s="199">
        <v>0.0</v>
      </c>
      <c r="T680" s="199">
        <v>88.0</v>
      </c>
      <c r="U680" s="199">
        <v>68.0</v>
      </c>
      <c r="V680" s="199">
        <v>2.0</v>
      </c>
      <c r="W680" s="199">
        <v>0.0</v>
      </c>
      <c r="X680" s="199">
        <v>120.0</v>
      </c>
      <c r="Y680" s="199">
        <v>20.0</v>
      </c>
      <c r="Z680" s="199">
        <v>0.0</v>
      </c>
      <c r="AA680" s="199">
        <v>0.0</v>
      </c>
      <c r="AB680" s="199">
        <v>87.0</v>
      </c>
      <c r="AC680" s="199">
        <v>0.0</v>
      </c>
      <c r="AD680" s="199">
        <v>0.0</v>
      </c>
      <c r="AE680" s="199">
        <v>329.0</v>
      </c>
      <c r="AF680" s="199">
        <v>13.0</v>
      </c>
      <c r="AG680" s="199">
        <v>396.0</v>
      </c>
      <c r="AH680" s="199">
        <v>5.0</v>
      </c>
      <c r="AI680" s="200" t="s">
        <v>829</v>
      </c>
      <c r="AJ680" s="200" t="s">
        <v>939</v>
      </c>
      <c r="AK680" s="200"/>
      <c r="AL680" s="204"/>
      <c r="AM680" s="204"/>
    </row>
    <row r="681">
      <c r="A681" s="199" t="s">
        <v>250</v>
      </c>
      <c r="B681" s="200" t="s">
        <v>954</v>
      </c>
      <c r="C681" s="199">
        <v>2.6124405252E10</v>
      </c>
      <c r="D681" s="201">
        <v>46139.0</v>
      </c>
      <c r="E681" s="202" t="s">
        <v>101</v>
      </c>
      <c r="F681" s="202" t="s">
        <v>101</v>
      </c>
      <c r="G681" s="203" t="s">
        <v>101</v>
      </c>
      <c r="H681" s="203" t="s">
        <v>100</v>
      </c>
      <c r="I681" s="37"/>
      <c r="J681" s="37"/>
      <c r="K681" s="37"/>
      <c r="L681" s="199">
        <v>107.0</v>
      </c>
      <c r="M681" s="199">
        <v>468.8</v>
      </c>
      <c r="N681" s="37"/>
      <c r="O681" s="199">
        <v>4.0</v>
      </c>
      <c r="P681" s="199">
        <v>0.22</v>
      </c>
      <c r="Q681" s="199">
        <v>0.0</v>
      </c>
      <c r="R681" s="199">
        <v>21.0</v>
      </c>
      <c r="S681" s="199">
        <v>0.0</v>
      </c>
      <c r="T681" s="199">
        <v>312.0</v>
      </c>
      <c r="U681" s="199">
        <v>109.0</v>
      </c>
      <c r="V681" s="199">
        <v>0.0</v>
      </c>
      <c r="W681" s="199">
        <v>0.0</v>
      </c>
      <c r="X681" s="199">
        <v>23.0</v>
      </c>
      <c r="Y681" s="199">
        <v>12.0</v>
      </c>
      <c r="Z681" s="199">
        <v>2.0</v>
      </c>
      <c r="AA681" s="199">
        <v>6.0</v>
      </c>
      <c r="AB681" s="199">
        <v>80.0</v>
      </c>
      <c r="AC681" s="199">
        <v>17.0</v>
      </c>
      <c r="AD681" s="199">
        <v>0.0</v>
      </c>
      <c r="AE681" s="199">
        <v>374.0</v>
      </c>
      <c r="AF681" s="199">
        <v>12.0</v>
      </c>
      <c r="AG681" s="199">
        <v>404.0</v>
      </c>
      <c r="AH681" s="199">
        <v>8.0</v>
      </c>
      <c r="AI681" s="200" t="s">
        <v>827</v>
      </c>
      <c r="AJ681" s="200" t="s">
        <v>955</v>
      </c>
      <c r="AK681" s="200"/>
      <c r="AL681" s="204"/>
      <c r="AM681" s="204"/>
    </row>
    <row r="682">
      <c r="A682" s="199" t="s">
        <v>251</v>
      </c>
      <c r="B682" s="200" t="s">
        <v>956</v>
      </c>
      <c r="C682" s="199">
        <v>2.6124405253E10</v>
      </c>
      <c r="D682" s="201">
        <v>46139.0</v>
      </c>
      <c r="E682" s="202" t="s">
        <v>101</v>
      </c>
      <c r="F682" s="202" t="s">
        <v>101</v>
      </c>
      <c r="G682" s="203" t="s">
        <v>101</v>
      </c>
      <c r="H682" s="203" t="s">
        <v>100</v>
      </c>
      <c r="I682" s="37"/>
      <c r="J682" s="37"/>
      <c r="K682" s="37"/>
      <c r="L682" s="199">
        <v>273.0</v>
      </c>
      <c r="M682" s="199">
        <v>447.2</v>
      </c>
      <c r="N682" s="37"/>
      <c r="O682" s="199">
        <v>0.0</v>
      </c>
      <c r="P682" s="199">
        <v>0.3</v>
      </c>
      <c r="Q682" s="199">
        <v>0.0</v>
      </c>
      <c r="R682" s="199">
        <v>111.0</v>
      </c>
      <c r="S682" s="199">
        <v>0.0</v>
      </c>
      <c r="T682" s="199">
        <v>20.0</v>
      </c>
      <c r="U682" s="199">
        <v>264.0</v>
      </c>
      <c r="V682" s="199">
        <v>0.0</v>
      </c>
      <c r="W682" s="199">
        <v>0.0</v>
      </c>
      <c r="X682" s="199">
        <v>0.0</v>
      </c>
      <c r="Y682" s="199">
        <v>0.0</v>
      </c>
      <c r="Z682" s="199">
        <v>0.0</v>
      </c>
      <c r="AA682" s="199">
        <v>25.0</v>
      </c>
      <c r="AB682" s="199">
        <v>418.0</v>
      </c>
      <c r="AC682" s="199">
        <v>11.0</v>
      </c>
      <c r="AD682" s="199">
        <v>0.0</v>
      </c>
      <c r="AE682" s="199">
        <v>1695.0</v>
      </c>
      <c r="AF682" s="199">
        <v>80.0</v>
      </c>
      <c r="AG682" s="199">
        <v>417.0</v>
      </c>
      <c r="AH682" s="199">
        <v>2.0</v>
      </c>
      <c r="AI682" s="200" t="s">
        <v>827</v>
      </c>
      <c r="AJ682" s="200" t="s">
        <v>957</v>
      </c>
      <c r="AK682" s="200"/>
      <c r="AL682" s="204"/>
      <c r="AM682" s="204"/>
    </row>
    <row r="683">
      <c r="A683" s="199" t="s">
        <v>252</v>
      </c>
      <c r="B683" s="200" t="s">
        <v>956</v>
      </c>
      <c r="C683" s="199">
        <v>2.6124405254E10</v>
      </c>
      <c r="D683" s="201">
        <v>46139.0</v>
      </c>
      <c r="E683" s="202" t="s">
        <v>101</v>
      </c>
      <c r="F683" s="202" t="s">
        <v>101</v>
      </c>
      <c r="G683" s="203" t="s">
        <v>101</v>
      </c>
      <c r="H683" s="203" t="s">
        <v>100</v>
      </c>
      <c r="I683" s="37"/>
      <c r="J683" s="37"/>
      <c r="K683" s="37"/>
      <c r="L683" s="199">
        <v>194.0</v>
      </c>
      <c r="M683" s="199">
        <v>447.4</v>
      </c>
      <c r="N683" s="37"/>
      <c r="O683" s="199">
        <v>0.0</v>
      </c>
      <c r="P683" s="199">
        <v>0.3</v>
      </c>
      <c r="Q683" s="199">
        <v>0.0</v>
      </c>
      <c r="R683" s="199">
        <v>94.0</v>
      </c>
      <c r="S683" s="199">
        <v>0.0</v>
      </c>
      <c r="T683" s="199">
        <v>13.0</v>
      </c>
      <c r="U683" s="199">
        <v>207.0</v>
      </c>
      <c r="V683" s="199">
        <v>0.0</v>
      </c>
      <c r="W683" s="199">
        <v>0.0</v>
      </c>
      <c r="X683" s="199">
        <v>0.0</v>
      </c>
      <c r="Y683" s="199">
        <v>0.0</v>
      </c>
      <c r="Z683" s="199">
        <v>0.0</v>
      </c>
      <c r="AA683" s="199">
        <v>22.0</v>
      </c>
      <c r="AB683" s="199">
        <v>330.0</v>
      </c>
      <c r="AC683" s="199">
        <v>103.0</v>
      </c>
      <c r="AD683" s="199">
        <v>0.0</v>
      </c>
      <c r="AE683" s="199">
        <v>1451.0</v>
      </c>
      <c r="AF683" s="199">
        <v>67.0</v>
      </c>
      <c r="AG683" s="199">
        <v>427.0</v>
      </c>
      <c r="AH683" s="199">
        <v>7.0</v>
      </c>
      <c r="AI683" s="200" t="s">
        <v>827</v>
      </c>
      <c r="AJ683" s="200" t="s">
        <v>957</v>
      </c>
      <c r="AK683" s="200"/>
      <c r="AL683" s="204"/>
      <c r="AM683" s="204"/>
    </row>
    <row r="684">
      <c r="A684" s="199" t="s">
        <v>253</v>
      </c>
      <c r="B684" s="200" t="s">
        <v>958</v>
      </c>
      <c r="C684" s="199">
        <v>2.6124405218E10</v>
      </c>
      <c r="D684" s="201">
        <v>46139.0</v>
      </c>
      <c r="E684" s="202" t="s">
        <v>101</v>
      </c>
      <c r="F684" s="202" t="s">
        <v>101</v>
      </c>
      <c r="G684" s="203" t="s">
        <v>100</v>
      </c>
      <c r="H684" s="203" t="s">
        <v>101</v>
      </c>
      <c r="I684" s="37"/>
      <c r="J684" s="37"/>
      <c r="K684" s="37"/>
      <c r="L684" s="199">
        <v>16.0</v>
      </c>
      <c r="M684" s="199">
        <v>234.7</v>
      </c>
      <c r="N684" s="199">
        <v>1.3</v>
      </c>
      <c r="O684" s="37"/>
      <c r="P684" s="199">
        <v>0.05</v>
      </c>
      <c r="Q684" s="199">
        <v>0.0</v>
      </c>
      <c r="R684" s="199">
        <v>0.0</v>
      </c>
      <c r="S684" s="199">
        <v>0.0</v>
      </c>
      <c r="T684" s="199">
        <v>0.0</v>
      </c>
      <c r="U684" s="199">
        <v>16.0</v>
      </c>
      <c r="V684" s="199">
        <v>0.0</v>
      </c>
      <c r="W684" s="199">
        <v>0.0</v>
      </c>
      <c r="X684" s="199">
        <v>0.0</v>
      </c>
      <c r="Y684" s="199">
        <v>0.0</v>
      </c>
      <c r="Z684" s="199">
        <v>0.0</v>
      </c>
      <c r="AA684" s="199">
        <v>0.0</v>
      </c>
      <c r="AB684" s="199">
        <v>56.0</v>
      </c>
      <c r="AC684" s="199">
        <v>1.0</v>
      </c>
      <c r="AD684" s="199">
        <v>0.0</v>
      </c>
      <c r="AE684" s="199">
        <v>53.0</v>
      </c>
      <c r="AF684" s="199">
        <v>2.0</v>
      </c>
      <c r="AG684" s="199">
        <v>525.0</v>
      </c>
      <c r="AH684" s="199">
        <v>58.0</v>
      </c>
      <c r="AI684" s="200" t="s">
        <v>785</v>
      </c>
      <c r="AJ684" s="200" t="s">
        <v>941</v>
      </c>
      <c r="AK684" s="200"/>
      <c r="AL684" s="204"/>
      <c r="AM684" s="204"/>
    </row>
    <row r="685">
      <c r="A685" s="199" t="s">
        <v>254</v>
      </c>
      <c r="B685" s="200" t="s">
        <v>959</v>
      </c>
      <c r="C685" s="199">
        <v>2.6124405228E10</v>
      </c>
      <c r="D685" s="201">
        <v>46139.0</v>
      </c>
      <c r="E685" s="202" t="s">
        <v>101</v>
      </c>
      <c r="F685" s="202" t="s">
        <v>101</v>
      </c>
      <c r="G685" s="203" t="s">
        <v>100</v>
      </c>
      <c r="H685" s="203" t="s">
        <v>102</v>
      </c>
      <c r="I685" s="37"/>
      <c r="J685" s="37"/>
      <c r="K685" s="37"/>
      <c r="L685" s="199">
        <v>12.0</v>
      </c>
      <c r="M685" s="199">
        <v>257.8</v>
      </c>
      <c r="N685" s="199">
        <v>1.5</v>
      </c>
      <c r="O685" s="37"/>
      <c r="P685" s="199">
        <v>0.11</v>
      </c>
      <c r="Q685" s="199">
        <v>0.0</v>
      </c>
      <c r="R685" s="199">
        <v>1.0</v>
      </c>
      <c r="S685" s="199">
        <v>0.0</v>
      </c>
      <c r="T685" s="199">
        <v>0.0</v>
      </c>
      <c r="U685" s="199">
        <v>3.0</v>
      </c>
      <c r="V685" s="199">
        <v>0.0</v>
      </c>
      <c r="W685" s="199">
        <v>0.0</v>
      </c>
      <c r="X685" s="199">
        <v>0.0</v>
      </c>
      <c r="Y685" s="199">
        <v>0.0</v>
      </c>
      <c r="Z685" s="199">
        <v>0.0</v>
      </c>
      <c r="AA685" s="199">
        <v>0.0</v>
      </c>
      <c r="AB685" s="199">
        <v>28.0</v>
      </c>
      <c r="AC685" s="199">
        <v>10.0</v>
      </c>
      <c r="AD685" s="199">
        <v>0.0</v>
      </c>
      <c r="AE685" s="199">
        <v>22.0</v>
      </c>
      <c r="AF685" s="199">
        <v>2.0</v>
      </c>
      <c r="AG685" s="199">
        <v>377.0</v>
      </c>
      <c r="AH685" s="199">
        <v>13.0</v>
      </c>
      <c r="AI685" s="200" t="s">
        <v>684</v>
      </c>
      <c r="AJ685" s="200" t="s">
        <v>773</v>
      </c>
      <c r="AK685" s="200"/>
      <c r="AL685" s="204"/>
      <c r="AM685" s="204"/>
    </row>
    <row r="686">
      <c r="A686" s="199" t="s">
        <v>230</v>
      </c>
      <c r="B686" s="200" t="s">
        <v>960</v>
      </c>
      <c r="C686" s="199">
        <v>2.6123350235E10</v>
      </c>
      <c r="D686" s="201">
        <v>46139.0</v>
      </c>
      <c r="E686" s="202" t="s">
        <v>102</v>
      </c>
      <c r="F686" s="202" t="s">
        <v>102</v>
      </c>
      <c r="G686" s="203" t="s">
        <v>100</v>
      </c>
      <c r="H686" s="203" t="s">
        <v>100</v>
      </c>
      <c r="I686" s="37"/>
      <c r="J686" s="37"/>
      <c r="K686" s="37"/>
      <c r="L686" s="199">
        <v>17.0</v>
      </c>
      <c r="M686" s="199">
        <v>285.6</v>
      </c>
      <c r="N686" s="37"/>
      <c r="O686" s="199">
        <v>1.0</v>
      </c>
      <c r="P686" s="199">
        <v>0.05</v>
      </c>
      <c r="Q686" s="199">
        <v>0.0</v>
      </c>
      <c r="R686" s="199">
        <v>1.0</v>
      </c>
      <c r="S686" s="199">
        <v>0.0</v>
      </c>
      <c r="T686" s="199">
        <v>0.0</v>
      </c>
      <c r="U686" s="199">
        <v>23.0</v>
      </c>
      <c r="V686" s="199">
        <v>0.0</v>
      </c>
      <c r="W686" s="199">
        <v>0.0</v>
      </c>
      <c r="X686" s="199">
        <v>0.0</v>
      </c>
      <c r="Y686" s="199">
        <v>0.0</v>
      </c>
      <c r="Z686" s="199">
        <v>0.0</v>
      </c>
      <c r="AA686" s="199">
        <v>0.0</v>
      </c>
      <c r="AB686" s="199">
        <v>7.0</v>
      </c>
      <c r="AC686" s="199">
        <v>15.0</v>
      </c>
      <c r="AD686" s="199">
        <v>0.0</v>
      </c>
      <c r="AE686" s="199">
        <v>45.0</v>
      </c>
      <c r="AF686" s="199">
        <v>2.0</v>
      </c>
      <c r="AG686" s="199">
        <v>463.0</v>
      </c>
      <c r="AH686" s="199">
        <v>40.0</v>
      </c>
      <c r="AI686" s="200" t="s">
        <v>653</v>
      </c>
      <c r="AJ686" s="200" t="s">
        <v>654</v>
      </c>
      <c r="AK686" s="200"/>
      <c r="AL686" s="204"/>
      <c r="AM686" s="204"/>
    </row>
    <row r="687">
      <c r="A687" s="199" t="s">
        <v>242</v>
      </c>
      <c r="B687" s="200" t="s">
        <v>961</v>
      </c>
      <c r="C687" s="199">
        <v>2.6124405227E10</v>
      </c>
      <c r="D687" s="201">
        <v>46139.0</v>
      </c>
      <c r="E687" s="202" t="s">
        <v>102</v>
      </c>
      <c r="F687" s="202" t="s">
        <v>102</v>
      </c>
      <c r="G687" s="203" t="s">
        <v>100</v>
      </c>
      <c r="H687" s="203" t="s">
        <v>100</v>
      </c>
      <c r="I687" s="37"/>
      <c r="J687" s="37"/>
      <c r="K687" s="37"/>
      <c r="L687" s="199">
        <v>19.0</v>
      </c>
      <c r="M687" s="199">
        <v>287.4</v>
      </c>
      <c r="N687" s="199">
        <v>1.4</v>
      </c>
      <c r="O687" s="37"/>
      <c r="P687" s="199">
        <v>0.03</v>
      </c>
      <c r="Q687" s="199">
        <v>0.0</v>
      </c>
      <c r="R687" s="199">
        <v>0.0</v>
      </c>
      <c r="S687" s="199">
        <v>0.0</v>
      </c>
      <c r="T687" s="199">
        <v>0.0</v>
      </c>
      <c r="U687" s="199">
        <v>23.0</v>
      </c>
      <c r="V687" s="199">
        <v>0.0</v>
      </c>
      <c r="W687" s="199">
        <v>0.0</v>
      </c>
      <c r="X687" s="199">
        <v>0.0</v>
      </c>
      <c r="Y687" s="199">
        <v>0.0</v>
      </c>
      <c r="Z687" s="199">
        <v>0.0</v>
      </c>
      <c r="AA687" s="199">
        <v>0.0</v>
      </c>
      <c r="AB687" s="199">
        <v>39.0</v>
      </c>
      <c r="AC687" s="199">
        <v>12.0</v>
      </c>
      <c r="AD687" s="199">
        <v>0.0</v>
      </c>
      <c r="AE687" s="199">
        <v>21.0</v>
      </c>
      <c r="AF687" s="199">
        <v>2.0</v>
      </c>
      <c r="AG687" s="199">
        <v>433.0</v>
      </c>
      <c r="AH687" s="199">
        <v>71.0</v>
      </c>
      <c r="AI687" s="200" t="s">
        <v>741</v>
      </c>
      <c r="AJ687" s="200" t="s">
        <v>780</v>
      </c>
      <c r="AK687" s="200"/>
      <c r="AL687" s="204"/>
      <c r="AM687" s="204"/>
    </row>
    <row r="688">
      <c r="A688" s="199" t="s">
        <v>247</v>
      </c>
      <c r="B688" s="200" t="s">
        <v>962</v>
      </c>
      <c r="C688" s="199">
        <v>2.6124405225E10</v>
      </c>
      <c r="D688" s="201">
        <v>46139.0</v>
      </c>
      <c r="E688" s="202" t="s">
        <v>102</v>
      </c>
      <c r="F688" s="202" t="s">
        <v>102</v>
      </c>
      <c r="G688" s="203" t="s">
        <v>100</v>
      </c>
      <c r="H688" s="203" t="s">
        <v>100</v>
      </c>
      <c r="I688" s="37"/>
      <c r="J688" s="37"/>
      <c r="K688" s="37"/>
      <c r="L688" s="199">
        <v>32.0</v>
      </c>
      <c r="M688" s="199">
        <v>280.1</v>
      </c>
      <c r="N688" s="199">
        <v>1.4</v>
      </c>
      <c r="O688" s="37"/>
      <c r="P688" s="199">
        <v>0.05</v>
      </c>
      <c r="Q688" s="199">
        <v>0.0</v>
      </c>
      <c r="R688" s="199">
        <v>6.0</v>
      </c>
      <c r="S688" s="199">
        <v>0.0</v>
      </c>
      <c r="T688" s="199">
        <v>0.0</v>
      </c>
      <c r="U688" s="199">
        <v>63.0</v>
      </c>
      <c r="V688" s="199">
        <v>0.0</v>
      </c>
      <c r="W688" s="199">
        <v>0.0</v>
      </c>
      <c r="X688" s="199">
        <v>0.0</v>
      </c>
      <c r="Y688" s="199">
        <v>0.0</v>
      </c>
      <c r="Z688" s="199">
        <v>0.0</v>
      </c>
      <c r="AA688" s="199">
        <v>0.0</v>
      </c>
      <c r="AB688" s="199">
        <v>32.0</v>
      </c>
      <c r="AC688" s="199">
        <v>12.0</v>
      </c>
      <c r="AD688" s="199">
        <v>0.0</v>
      </c>
      <c r="AE688" s="199">
        <v>52.0</v>
      </c>
      <c r="AF688" s="199">
        <v>2.0</v>
      </c>
      <c r="AG688" s="199">
        <v>466.0</v>
      </c>
      <c r="AH688" s="199">
        <v>165.0</v>
      </c>
      <c r="AI688" s="200" t="s">
        <v>783</v>
      </c>
      <c r="AJ688" s="200" t="s">
        <v>963</v>
      </c>
      <c r="AK688" s="200"/>
      <c r="AL688" s="204"/>
      <c r="AM688" s="204"/>
    </row>
    <row r="689">
      <c r="A689" s="199" t="s">
        <v>255</v>
      </c>
      <c r="B689" s="200" t="s">
        <v>964</v>
      </c>
      <c r="C689" s="199">
        <v>2.612440522E10</v>
      </c>
      <c r="D689" s="201">
        <v>46139.0</v>
      </c>
      <c r="E689" s="202" t="s">
        <v>102</v>
      </c>
      <c r="F689" s="202" t="s">
        <v>102</v>
      </c>
      <c r="G689" s="203" t="s">
        <v>100</v>
      </c>
      <c r="H689" s="203" t="s">
        <v>100</v>
      </c>
      <c r="I689" s="37"/>
      <c r="J689" s="37"/>
      <c r="K689" s="37"/>
      <c r="L689" s="199">
        <v>25.0</v>
      </c>
      <c r="M689" s="199">
        <v>280.9</v>
      </c>
      <c r="N689" s="199">
        <v>1.4</v>
      </c>
      <c r="O689" s="37"/>
      <c r="P689" s="199">
        <v>0.05</v>
      </c>
      <c r="Q689" s="199">
        <v>0.0</v>
      </c>
      <c r="R689" s="199">
        <v>0.0</v>
      </c>
      <c r="S689" s="199">
        <v>0.0</v>
      </c>
      <c r="T689" s="199">
        <v>0.0</v>
      </c>
      <c r="U689" s="199">
        <v>8.0</v>
      </c>
      <c r="V689" s="199">
        <v>0.0</v>
      </c>
      <c r="W689" s="199">
        <v>0.0</v>
      </c>
      <c r="X689" s="199">
        <v>0.0</v>
      </c>
      <c r="Y689" s="199">
        <v>0.0</v>
      </c>
      <c r="Z689" s="199">
        <v>0.0</v>
      </c>
      <c r="AA689" s="199">
        <v>0.0</v>
      </c>
      <c r="AB689" s="199">
        <v>8.0</v>
      </c>
      <c r="AC689" s="199">
        <v>13.0</v>
      </c>
      <c r="AD689" s="199">
        <v>0.0</v>
      </c>
      <c r="AE689" s="199">
        <v>31.0</v>
      </c>
      <c r="AF689" s="199">
        <v>2.0</v>
      </c>
      <c r="AG689" s="199">
        <v>403.0</v>
      </c>
      <c r="AH689" s="199">
        <v>60.0</v>
      </c>
      <c r="AI689" s="200" t="s">
        <v>653</v>
      </c>
      <c r="AJ689" s="200" t="s">
        <v>654</v>
      </c>
      <c r="AK689" s="200"/>
      <c r="AL689" s="204"/>
      <c r="AM689" s="204"/>
    </row>
    <row r="690">
      <c r="A690" s="199" t="s">
        <v>256</v>
      </c>
      <c r="B690" s="200" t="s">
        <v>965</v>
      </c>
      <c r="C690" s="199">
        <v>2.6124405234E10</v>
      </c>
      <c r="D690" s="201">
        <v>46139.0</v>
      </c>
      <c r="E690" s="202" t="s">
        <v>102</v>
      </c>
      <c r="F690" s="202" t="s">
        <v>102</v>
      </c>
      <c r="G690" s="203" t="s">
        <v>100</v>
      </c>
      <c r="H690" s="203" t="s">
        <v>100</v>
      </c>
      <c r="I690" s="37"/>
      <c r="J690" s="37"/>
      <c r="K690" s="37"/>
      <c r="L690" s="199">
        <v>15.0</v>
      </c>
      <c r="M690" s="199">
        <v>288.4</v>
      </c>
      <c r="N690" s="199">
        <v>1.2</v>
      </c>
      <c r="O690" s="37"/>
      <c r="P690" s="199">
        <v>0.01</v>
      </c>
      <c r="Q690" s="199">
        <v>0.0</v>
      </c>
      <c r="R690" s="199">
        <v>0.0</v>
      </c>
      <c r="S690" s="199">
        <v>0.0</v>
      </c>
      <c r="T690" s="199">
        <v>0.0</v>
      </c>
      <c r="U690" s="199">
        <v>0.0</v>
      </c>
      <c r="V690" s="199">
        <v>0.0</v>
      </c>
      <c r="W690" s="199">
        <v>0.0</v>
      </c>
      <c r="X690" s="199">
        <v>0.0</v>
      </c>
      <c r="Y690" s="199">
        <v>0.0</v>
      </c>
      <c r="Z690" s="199">
        <v>0.0</v>
      </c>
      <c r="AA690" s="199">
        <v>0.0</v>
      </c>
      <c r="AB690" s="199">
        <v>5.0</v>
      </c>
      <c r="AC690" s="199">
        <v>23.0</v>
      </c>
      <c r="AD690" s="199">
        <v>0.0</v>
      </c>
      <c r="AE690" s="199">
        <v>10.0</v>
      </c>
      <c r="AF690" s="199">
        <v>0.0</v>
      </c>
      <c r="AG690" s="199">
        <v>374.0</v>
      </c>
      <c r="AH690" s="199">
        <v>34.0</v>
      </c>
      <c r="AI690" s="200" t="s">
        <v>653</v>
      </c>
      <c r="AJ690" s="200" t="s">
        <v>654</v>
      </c>
      <c r="AK690" s="200"/>
      <c r="AL690" s="204"/>
      <c r="AM690" s="204"/>
    </row>
    <row r="691">
      <c r="A691" s="199" t="s">
        <v>257</v>
      </c>
      <c r="B691" s="200" t="s">
        <v>966</v>
      </c>
      <c r="C691" s="199">
        <v>2.6124405219E10</v>
      </c>
      <c r="D691" s="201">
        <v>46139.0</v>
      </c>
      <c r="E691" s="202" t="s">
        <v>102</v>
      </c>
      <c r="F691" s="202" t="s">
        <v>102</v>
      </c>
      <c r="G691" s="203" t="s">
        <v>100</v>
      </c>
      <c r="H691" s="203" t="s">
        <v>100</v>
      </c>
      <c r="I691" s="37"/>
      <c r="J691" s="37"/>
      <c r="K691" s="37"/>
      <c r="L691" s="199">
        <v>13.0</v>
      </c>
      <c r="M691" s="199">
        <v>300.2</v>
      </c>
      <c r="N691" s="199">
        <v>1.4</v>
      </c>
      <c r="O691" s="37"/>
      <c r="P691" s="199">
        <v>0.05</v>
      </c>
      <c r="Q691" s="199">
        <v>0.0</v>
      </c>
      <c r="R691" s="199">
        <v>0.0</v>
      </c>
      <c r="S691" s="199">
        <v>5.0</v>
      </c>
      <c r="T691" s="199">
        <v>0.0</v>
      </c>
      <c r="U691" s="199">
        <v>0.0</v>
      </c>
      <c r="V691" s="199">
        <v>0.0</v>
      </c>
      <c r="W691" s="199">
        <v>0.0</v>
      </c>
      <c r="X691" s="199">
        <v>0.0</v>
      </c>
      <c r="Y691" s="199">
        <v>0.0</v>
      </c>
      <c r="Z691" s="199">
        <v>0.0</v>
      </c>
      <c r="AA691" s="199">
        <v>0.0</v>
      </c>
      <c r="AB691" s="199">
        <v>15.0</v>
      </c>
      <c r="AC691" s="199">
        <v>12.0</v>
      </c>
      <c r="AD691" s="199">
        <v>0.0</v>
      </c>
      <c r="AE691" s="199">
        <v>24.0</v>
      </c>
      <c r="AF691" s="199">
        <v>0.0</v>
      </c>
      <c r="AG691" s="199">
        <v>388.0</v>
      </c>
      <c r="AH691" s="199">
        <v>0.0</v>
      </c>
      <c r="AI691" s="200" t="s">
        <v>653</v>
      </c>
      <c r="AJ691" s="200" t="s">
        <v>654</v>
      </c>
      <c r="AK691" s="200"/>
      <c r="AL691" s="204"/>
      <c r="AM691" s="204"/>
    </row>
    <row r="692">
      <c r="A692" s="199"/>
      <c r="B692" s="205"/>
      <c r="C692" s="37"/>
      <c r="D692" s="206"/>
      <c r="E692" s="207"/>
      <c r="F692" s="207"/>
      <c r="G692" s="208"/>
      <c r="H692" s="208"/>
      <c r="I692" s="37"/>
      <c r="J692" s="37"/>
      <c r="K692" s="37"/>
      <c r="L692" s="37"/>
      <c r="M692" s="37"/>
      <c r="N692" s="37"/>
      <c r="O692" s="37"/>
      <c r="P692" s="37"/>
      <c r="Q692" s="37"/>
      <c r="R692" s="37"/>
      <c r="S692" s="37"/>
      <c r="T692" s="37"/>
      <c r="U692" s="37"/>
      <c r="V692" s="37"/>
      <c r="W692" s="37"/>
      <c r="X692" s="37"/>
      <c r="Y692" s="37"/>
      <c r="Z692" s="37"/>
      <c r="AA692" s="37"/>
      <c r="AB692" s="37"/>
      <c r="AC692" s="37"/>
      <c r="AD692" s="37"/>
      <c r="AE692" s="37"/>
      <c r="AF692" s="37"/>
      <c r="AG692" s="37"/>
      <c r="AH692" s="37"/>
      <c r="AI692" s="205"/>
      <c r="AJ692" s="205"/>
      <c r="AK692" s="205"/>
      <c r="AL692" s="204"/>
      <c r="AM692" s="204"/>
    </row>
    <row r="693">
      <c r="A693" s="199"/>
      <c r="B693" s="205"/>
      <c r="C693" s="37"/>
      <c r="D693" s="206"/>
      <c r="E693" s="207"/>
      <c r="F693" s="207"/>
      <c r="G693" s="208"/>
      <c r="H693" s="208"/>
      <c r="I693" s="37"/>
      <c r="J693" s="37"/>
      <c r="K693" s="37"/>
      <c r="L693" s="37"/>
      <c r="M693" s="37"/>
      <c r="N693" s="37"/>
      <c r="O693" s="37"/>
      <c r="P693" s="37"/>
      <c r="Q693" s="37"/>
      <c r="R693" s="37"/>
      <c r="S693" s="37"/>
      <c r="T693" s="37"/>
      <c r="U693" s="37"/>
      <c r="V693" s="37"/>
      <c r="W693" s="37"/>
      <c r="X693" s="37"/>
      <c r="Y693" s="37"/>
      <c r="Z693" s="37"/>
      <c r="AA693" s="37"/>
      <c r="AB693" s="37"/>
      <c r="AC693" s="37"/>
      <c r="AD693" s="37"/>
      <c r="AE693" s="37"/>
      <c r="AF693" s="37"/>
      <c r="AG693" s="37"/>
      <c r="AH693" s="37"/>
      <c r="AI693" s="205"/>
      <c r="AJ693" s="205"/>
      <c r="AK693" s="205"/>
      <c r="AL693" s="204"/>
      <c r="AM693" s="204"/>
    </row>
    <row r="694">
      <c r="A694" s="199"/>
      <c r="B694" s="205"/>
      <c r="C694" s="37"/>
      <c r="D694" s="206"/>
      <c r="E694" s="207"/>
      <c r="F694" s="207"/>
      <c r="G694" s="208"/>
      <c r="H694" s="208"/>
      <c r="I694" s="37"/>
      <c r="J694" s="37"/>
      <c r="K694" s="37"/>
      <c r="L694" s="37"/>
      <c r="M694" s="37"/>
      <c r="N694" s="37"/>
      <c r="O694" s="37"/>
      <c r="P694" s="37"/>
      <c r="Q694" s="37"/>
      <c r="R694" s="37"/>
      <c r="S694" s="37"/>
      <c r="T694" s="37"/>
      <c r="U694" s="37"/>
      <c r="V694" s="37"/>
      <c r="W694" s="37"/>
      <c r="X694" s="37"/>
      <c r="Y694" s="37"/>
      <c r="Z694" s="37"/>
      <c r="AA694" s="37"/>
      <c r="AB694" s="37"/>
      <c r="AC694" s="37"/>
      <c r="AD694" s="37"/>
      <c r="AE694" s="37"/>
      <c r="AF694" s="37"/>
      <c r="AG694" s="37"/>
      <c r="AH694" s="37"/>
      <c r="AI694" s="205"/>
      <c r="AJ694" s="205"/>
      <c r="AK694" s="205"/>
      <c r="AL694" s="204"/>
      <c r="AM694" s="204"/>
    </row>
    <row r="695">
      <c r="A695" s="199"/>
      <c r="B695" s="205"/>
      <c r="C695" s="37"/>
      <c r="D695" s="206"/>
      <c r="E695" s="207"/>
      <c r="F695" s="207"/>
      <c r="G695" s="208"/>
      <c r="H695" s="208"/>
      <c r="I695" s="37"/>
      <c r="J695" s="37"/>
      <c r="K695" s="37"/>
      <c r="L695" s="37"/>
      <c r="M695" s="37"/>
      <c r="N695" s="37"/>
      <c r="O695" s="37"/>
      <c r="P695" s="37"/>
      <c r="Q695" s="37"/>
      <c r="R695" s="37"/>
      <c r="S695" s="37"/>
      <c r="T695" s="37"/>
      <c r="U695" s="37"/>
      <c r="V695" s="37"/>
      <c r="W695" s="37"/>
      <c r="X695" s="37"/>
      <c r="Y695" s="37"/>
      <c r="Z695" s="37"/>
      <c r="AA695" s="37"/>
      <c r="AB695" s="37"/>
      <c r="AC695" s="37"/>
      <c r="AD695" s="37"/>
      <c r="AE695" s="37"/>
      <c r="AF695" s="37"/>
      <c r="AG695" s="37"/>
      <c r="AH695" s="37"/>
      <c r="AI695" s="205"/>
      <c r="AJ695" s="205"/>
      <c r="AK695" s="205"/>
      <c r="AL695" s="204"/>
      <c r="AM695" s="204"/>
    </row>
    <row r="696">
      <c r="A696" s="199"/>
      <c r="B696" s="205"/>
      <c r="C696" s="37"/>
      <c r="D696" s="206"/>
      <c r="E696" s="207"/>
      <c r="F696" s="207"/>
      <c r="G696" s="208"/>
      <c r="H696" s="208"/>
      <c r="I696" s="37"/>
      <c r="J696" s="37"/>
      <c r="K696" s="37"/>
      <c r="L696" s="37"/>
      <c r="M696" s="37"/>
      <c r="N696" s="37"/>
      <c r="O696" s="37"/>
      <c r="P696" s="37"/>
      <c r="Q696" s="37"/>
      <c r="R696" s="37"/>
      <c r="S696" s="37"/>
      <c r="T696" s="37"/>
      <c r="U696" s="37"/>
      <c r="V696" s="37"/>
      <c r="W696" s="37"/>
      <c r="X696" s="37"/>
      <c r="Y696" s="37"/>
      <c r="Z696" s="37"/>
      <c r="AA696" s="37"/>
      <c r="AB696" s="37"/>
      <c r="AC696" s="37"/>
      <c r="AD696" s="37"/>
      <c r="AE696" s="37"/>
      <c r="AF696" s="37"/>
      <c r="AG696" s="37"/>
      <c r="AH696" s="37"/>
      <c r="AI696" s="205"/>
      <c r="AJ696" s="205"/>
      <c r="AK696" s="205"/>
      <c r="AL696" s="204"/>
      <c r="AM696" s="204"/>
    </row>
    <row r="697">
      <c r="A697" s="199"/>
      <c r="B697" s="205"/>
      <c r="C697" s="37"/>
      <c r="D697" s="206"/>
      <c r="E697" s="207"/>
      <c r="F697" s="207"/>
      <c r="G697" s="208"/>
      <c r="H697" s="208"/>
      <c r="I697" s="37"/>
      <c r="J697" s="37"/>
      <c r="K697" s="37"/>
      <c r="L697" s="37"/>
      <c r="M697" s="37"/>
      <c r="N697" s="37"/>
      <c r="O697" s="37"/>
      <c r="P697" s="37"/>
      <c r="Q697" s="37"/>
      <c r="R697" s="37"/>
      <c r="S697" s="37"/>
      <c r="T697" s="37"/>
      <c r="U697" s="37"/>
      <c r="V697" s="37"/>
      <c r="W697" s="37"/>
      <c r="X697" s="37"/>
      <c r="Y697" s="37"/>
      <c r="Z697" s="37"/>
      <c r="AA697" s="37"/>
      <c r="AB697" s="37"/>
      <c r="AC697" s="37"/>
      <c r="AD697" s="37"/>
      <c r="AE697" s="37"/>
      <c r="AF697" s="37"/>
      <c r="AG697" s="37"/>
      <c r="AH697" s="37"/>
      <c r="AI697" s="205"/>
      <c r="AJ697" s="205"/>
      <c r="AK697" s="205"/>
      <c r="AL697" s="204"/>
      <c r="AM697" s="204"/>
    </row>
    <row r="698">
      <c r="A698" s="37"/>
      <c r="B698" s="205"/>
      <c r="C698" s="37"/>
      <c r="D698" s="206"/>
      <c r="E698" s="207"/>
      <c r="F698" s="207"/>
      <c r="G698" s="208"/>
      <c r="H698" s="208"/>
      <c r="I698" s="37"/>
      <c r="J698" s="37"/>
      <c r="K698" s="37"/>
      <c r="L698" s="37"/>
      <c r="M698" s="37"/>
      <c r="N698" s="37"/>
      <c r="O698" s="37"/>
      <c r="P698" s="37"/>
      <c r="Q698" s="37"/>
      <c r="R698" s="37"/>
      <c r="S698" s="37"/>
      <c r="T698" s="37"/>
      <c r="U698" s="37"/>
      <c r="V698" s="37"/>
      <c r="W698" s="37"/>
      <c r="X698" s="37"/>
      <c r="Y698" s="37"/>
      <c r="Z698" s="37"/>
      <c r="AA698" s="37"/>
      <c r="AB698" s="37"/>
      <c r="AC698" s="37"/>
      <c r="AD698" s="37"/>
      <c r="AE698" s="37"/>
      <c r="AF698" s="37"/>
      <c r="AG698" s="37"/>
      <c r="AH698" s="37"/>
      <c r="AI698" s="205"/>
      <c r="AJ698" s="205"/>
      <c r="AK698" s="205"/>
      <c r="AL698" s="204"/>
      <c r="AM698" s="204"/>
    </row>
    <row r="699">
      <c r="A699" s="37"/>
      <c r="B699" s="205"/>
      <c r="C699" s="37"/>
      <c r="D699" s="206"/>
      <c r="E699" s="207"/>
      <c r="F699" s="207"/>
      <c r="G699" s="208"/>
      <c r="H699" s="208"/>
      <c r="I699" s="37"/>
      <c r="J699" s="37"/>
      <c r="K699" s="37"/>
      <c r="L699" s="37"/>
      <c r="M699" s="37"/>
      <c r="N699" s="37"/>
      <c r="O699" s="37"/>
      <c r="P699" s="37"/>
      <c r="Q699" s="37"/>
      <c r="R699" s="37"/>
      <c r="S699" s="37"/>
      <c r="T699" s="37"/>
      <c r="U699" s="37"/>
      <c r="V699" s="37"/>
      <c r="W699" s="37"/>
      <c r="X699" s="37"/>
      <c r="Y699" s="37"/>
      <c r="Z699" s="37"/>
      <c r="AA699" s="37"/>
      <c r="AB699" s="37"/>
      <c r="AC699" s="37"/>
      <c r="AD699" s="37"/>
      <c r="AE699" s="37"/>
      <c r="AF699" s="37"/>
      <c r="AG699" s="37"/>
      <c r="AH699" s="37"/>
      <c r="AI699" s="205"/>
      <c r="AJ699" s="205"/>
      <c r="AK699" s="205"/>
      <c r="AL699" s="204"/>
      <c r="AM699" s="204"/>
    </row>
    <row r="700">
      <c r="A700" s="37"/>
      <c r="B700" s="205"/>
      <c r="C700" s="37"/>
      <c r="D700" s="206"/>
      <c r="E700" s="207"/>
      <c r="F700" s="207"/>
      <c r="G700" s="208"/>
      <c r="H700" s="208"/>
      <c r="I700" s="37"/>
      <c r="J700" s="37"/>
      <c r="K700" s="37"/>
      <c r="L700" s="37"/>
      <c r="M700" s="37"/>
      <c r="N700" s="37"/>
      <c r="O700" s="37"/>
      <c r="P700" s="37"/>
      <c r="Q700" s="37"/>
      <c r="R700" s="37"/>
      <c r="S700" s="37"/>
      <c r="T700" s="37"/>
      <c r="U700" s="37"/>
      <c r="V700" s="37"/>
      <c r="W700" s="37"/>
      <c r="X700" s="37"/>
      <c r="Y700" s="37"/>
      <c r="Z700" s="37"/>
      <c r="AA700" s="37"/>
      <c r="AB700" s="37"/>
      <c r="AC700" s="37"/>
      <c r="AD700" s="37"/>
      <c r="AE700" s="37"/>
      <c r="AF700" s="37"/>
      <c r="AG700" s="37"/>
      <c r="AH700" s="37"/>
      <c r="AI700" s="205"/>
      <c r="AJ700" s="205"/>
      <c r="AK700" s="205"/>
      <c r="AL700" s="204"/>
      <c r="AM700" s="204"/>
    </row>
    <row r="701">
      <c r="A701" s="37"/>
      <c r="B701" s="205"/>
      <c r="C701" s="37"/>
      <c r="D701" s="206"/>
      <c r="E701" s="207"/>
      <c r="F701" s="207"/>
      <c r="G701" s="208"/>
      <c r="H701" s="208"/>
      <c r="I701" s="37"/>
      <c r="J701" s="37"/>
      <c r="K701" s="37"/>
      <c r="L701" s="37"/>
      <c r="M701" s="37"/>
      <c r="N701" s="37"/>
      <c r="O701" s="37"/>
      <c r="P701" s="37"/>
      <c r="Q701" s="37"/>
      <c r="R701" s="37"/>
      <c r="S701" s="37"/>
      <c r="T701" s="37"/>
      <c r="U701" s="37"/>
      <c r="V701" s="37"/>
      <c r="W701" s="37"/>
      <c r="X701" s="37"/>
      <c r="Y701" s="37"/>
      <c r="Z701" s="37"/>
      <c r="AA701" s="37"/>
      <c r="AB701" s="37"/>
      <c r="AC701" s="37"/>
      <c r="AD701" s="37"/>
      <c r="AE701" s="37"/>
      <c r="AF701" s="37"/>
      <c r="AG701" s="37"/>
      <c r="AH701" s="37"/>
      <c r="AI701" s="205"/>
      <c r="AJ701" s="205"/>
      <c r="AK701" s="205"/>
      <c r="AL701" s="204"/>
      <c r="AM701" s="204"/>
    </row>
    <row r="702">
      <c r="A702" s="37"/>
      <c r="B702" s="205"/>
      <c r="C702" s="37"/>
      <c r="D702" s="206"/>
      <c r="E702" s="207"/>
      <c r="F702" s="207"/>
      <c r="G702" s="208"/>
      <c r="H702" s="208"/>
      <c r="I702" s="37"/>
      <c r="J702" s="37"/>
      <c r="K702" s="37"/>
      <c r="L702" s="37"/>
      <c r="M702" s="37"/>
      <c r="N702" s="37"/>
      <c r="O702" s="37"/>
      <c r="P702" s="37"/>
      <c r="Q702" s="37"/>
      <c r="R702" s="37"/>
      <c r="S702" s="37"/>
      <c r="T702" s="37"/>
      <c r="U702" s="37"/>
      <c r="V702" s="37"/>
      <c r="W702" s="37"/>
      <c r="X702" s="37"/>
      <c r="Y702" s="37"/>
      <c r="Z702" s="37"/>
      <c r="AA702" s="37"/>
      <c r="AB702" s="37"/>
      <c r="AC702" s="37"/>
      <c r="AD702" s="37"/>
      <c r="AE702" s="37"/>
      <c r="AF702" s="37"/>
      <c r="AG702" s="37"/>
      <c r="AH702" s="37"/>
      <c r="AI702" s="205"/>
      <c r="AJ702" s="205"/>
      <c r="AK702" s="205"/>
      <c r="AL702" s="204"/>
      <c r="AM702" s="204"/>
    </row>
    <row r="703">
      <c r="A703" s="37"/>
      <c r="B703" s="205"/>
      <c r="C703" s="37"/>
      <c r="D703" s="206"/>
      <c r="E703" s="207"/>
      <c r="F703" s="207"/>
      <c r="G703" s="208"/>
      <c r="H703" s="208"/>
      <c r="I703" s="37"/>
      <c r="J703" s="37"/>
      <c r="K703" s="37"/>
      <c r="L703" s="37"/>
      <c r="M703" s="37"/>
      <c r="N703" s="37"/>
      <c r="O703" s="37"/>
      <c r="P703" s="37"/>
      <c r="Q703" s="37"/>
      <c r="R703" s="37"/>
      <c r="S703" s="37"/>
      <c r="T703" s="37"/>
      <c r="U703" s="37"/>
      <c r="V703" s="37"/>
      <c r="W703" s="37"/>
      <c r="X703" s="37"/>
      <c r="Y703" s="37"/>
      <c r="Z703" s="37"/>
      <c r="AA703" s="37"/>
      <c r="AB703" s="37"/>
      <c r="AC703" s="37"/>
      <c r="AD703" s="37"/>
      <c r="AE703" s="37"/>
      <c r="AF703" s="37"/>
      <c r="AG703" s="37"/>
      <c r="AH703" s="37"/>
      <c r="AI703" s="205"/>
      <c r="AJ703" s="205"/>
      <c r="AK703" s="205"/>
      <c r="AL703" s="204"/>
      <c r="AM703" s="204"/>
    </row>
    <row r="704">
      <c r="A704" s="37"/>
      <c r="B704" s="205"/>
      <c r="C704" s="37"/>
      <c r="D704" s="206"/>
      <c r="E704" s="207"/>
      <c r="F704" s="207"/>
      <c r="G704" s="208"/>
      <c r="H704" s="208"/>
      <c r="I704" s="37"/>
      <c r="J704" s="37"/>
      <c r="K704" s="37"/>
      <c r="L704" s="37"/>
      <c r="M704" s="37"/>
      <c r="N704" s="37"/>
      <c r="O704" s="37"/>
      <c r="P704" s="37"/>
      <c r="Q704" s="37"/>
      <c r="R704" s="37"/>
      <c r="S704" s="37"/>
      <c r="T704" s="37"/>
      <c r="U704" s="37"/>
      <c r="V704" s="37"/>
      <c r="W704" s="37"/>
      <c r="X704" s="37"/>
      <c r="Y704" s="37"/>
      <c r="Z704" s="37"/>
      <c r="AA704" s="37"/>
      <c r="AB704" s="37"/>
      <c r="AC704" s="37"/>
      <c r="AD704" s="37"/>
      <c r="AE704" s="37"/>
      <c r="AF704" s="37"/>
      <c r="AG704" s="37"/>
      <c r="AH704" s="37"/>
      <c r="AI704" s="205"/>
      <c r="AJ704" s="205"/>
      <c r="AK704" s="205"/>
      <c r="AL704" s="204"/>
      <c r="AM704" s="204"/>
    </row>
    <row r="705">
      <c r="A705" s="37"/>
      <c r="B705" s="205"/>
      <c r="C705" s="37"/>
      <c r="D705" s="206"/>
      <c r="E705" s="207"/>
      <c r="F705" s="207"/>
      <c r="G705" s="208"/>
      <c r="H705" s="208"/>
      <c r="I705" s="37"/>
      <c r="J705" s="37"/>
      <c r="K705" s="37"/>
      <c r="L705" s="37"/>
      <c r="M705" s="37"/>
      <c r="N705" s="37"/>
      <c r="O705" s="37"/>
      <c r="P705" s="37"/>
      <c r="Q705" s="37"/>
      <c r="R705" s="37"/>
      <c r="S705" s="37"/>
      <c r="T705" s="37"/>
      <c r="U705" s="37"/>
      <c r="V705" s="37"/>
      <c r="W705" s="37"/>
      <c r="X705" s="37"/>
      <c r="Y705" s="37"/>
      <c r="Z705" s="37"/>
      <c r="AA705" s="37"/>
      <c r="AB705" s="37"/>
      <c r="AC705" s="37"/>
      <c r="AD705" s="37"/>
      <c r="AE705" s="37"/>
      <c r="AF705" s="37"/>
      <c r="AG705" s="37"/>
      <c r="AH705" s="37"/>
      <c r="AI705" s="205"/>
      <c r="AJ705" s="205"/>
      <c r="AK705" s="205"/>
      <c r="AL705" s="204"/>
      <c r="AM705" s="204"/>
    </row>
    <row r="706">
      <c r="A706" s="37"/>
      <c r="B706" s="205"/>
      <c r="C706" s="37"/>
      <c r="D706" s="206"/>
      <c r="E706" s="207"/>
      <c r="F706" s="207"/>
      <c r="G706" s="208"/>
      <c r="H706" s="208"/>
      <c r="I706" s="37"/>
      <c r="J706" s="37"/>
      <c r="K706" s="37"/>
      <c r="L706" s="37"/>
      <c r="M706" s="37"/>
      <c r="N706" s="37"/>
      <c r="O706" s="37"/>
      <c r="P706" s="37"/>
      <c r="Q706" s="37"/>
      <c r="R706" s="37"/>
      <c r="S706" s="37"/>
      <c r="T706" s="37"/>
      <c r="U706" s="37"/>
      <c r="V706" s="37"/>
      <c r="W706" s="37"/>
      <c r="X706" s="37"/>
      <c r="Y706" s="37"/>
      <c r="Z706" s="37"/>
      <c r="AA706" s="37"/>
      <c r="AB706" s="37"/>
      <c r="AC706" s="37"/>
      <c r="AD706" s="37"/>
      <c r="AE706" s="37"/>
      <c r="AF706" s="37"/>
      <c r="AG706" s="37"/>
      <c r="AH706" s="37"/>
      <c r="AI706" s="205"/>
      <c r="AJ706" s="205"/>
      <c r="AK706" s="205"/>
      <c r="AL706" s="204"/>
      <c r="AM706" s="204"/>
    </row>
    <row r="707">
      <c r="A707" s="37"/>
      <c r="B707" s="205"/>
      <c r="C707" s="37"/>
      <c r="D707" s="206"/>
      <c r="E707" s="207"/>
      <c r="F707" s="207"/>
      <c r="G707" s="208"/>
      <c r="H707" s="208"/>
      <c r="I707" s="37"/>
      <c r="J707" s="37"/>
      <c r="K707" s="37"/>
      <c r="L707" s="37"/>
      <c r="M707" s="37"/>
      <c r="N707" s="37"/>
      <c r="O707" s="37"/>
      <c r="P707" s="37"/>
      <c r="Q707" s="37"/>
      <c r="R707" s="37"/>
      <c r="S707" s="37"/>
      <c r="T707" s="37"/>
      <c r="U707" s="37"/>
      <c r="V707" s="37"/>
      <c r="W707" s="37"/>
      <c r="X707" s="37"/>
      <c r="Y707" s="37"/>
      <c r="Z707" s="37"/>
      <c r="AA707" s="37"/>
      <c r="AB707" s="37"/>
      <c r="AC707" s="37"/>
      <c r="AD707" s="37"/>
      <c r="AE707" s="37"/>
      <c r="AF707" s="37"/>
      <c r="AG707" s="37"/>
      <c r="AH707" s="37"/>
      <c r="AI707" s="205"/>
      <c r="AJ707" s="205"/>
      <c r="AK707" s="205"/>
      <c r="AL707" s="204"/>
      <c r="AM707" s="204"/>
    </row>
    <row r="708">
      <c r="A708" s="37"/>
      <c r="B708" s="205"/>
      <c r="C708" s="37"/>
      <c r="D708" s="206"/>
      <c r="E708" s="207"/>
      <c r="F708" s="207"/>
      <c r="G708" s="208"/>
      <c r="H708" s="208"/>
      <c r="I708" s="37"/>
      <c r="J708" s="37"/>
      <c r="K708" s="37"/>
      <c r="L708" s="37"/>
      <c r="M708" s="37"/>
      <c r="N708" s="37"/>
      <c r="O708" s="37"/>
      <c r="P708" s="37"/>
      <c r="Q708" s="37"/>
      <c r="R708" s="37"/>
      <c r="S708" s="37"/>
      <c r="T708" s="37"/>
      <c r="U708" s="37"/>
      <c r="V708" s="37"/>
      <c r="W708" s="37"/>
      <c r="X708" s="37"/>
      <c r="Y708" s="37"/>
      <c r="Z708" s="37"/>
      <c r="AA708" s="37"/>
      <c r="AB708" s="37"/>
      <c r="AC708" s="37"/>
      <c r="AD708" s="37"/>
      <c r="AE708" s="37"/>
      <c r="AF708" s="37"/>
      <c r="AG708" s="37"/>
      <c r="AH708" s="37"/>
      <c r="AI708" s="205"/>
      <c r="AJ708" s="205"/>
      <c r="AK708" s="205"/>
      <c r="AL708" s="204"/>
      <c r="AM708" s="204"/>
    </row>
    <row r="709">
      <c r="A709" s="37"/>
      <c r="B709" s="205"/>
      <c r="C709" s="37"/>
      <c r="D709" s="206"/>
      <c r="E709" s="207"/>
      <c r="F709" s="207"/>
      <c r="G709" s="208"/>
      <c r="H709" s="208"/>
      <c r="I709" s="37"/>
      <c r="J709" s="37"/>
      <c r="K709" s="37"/>
      <c r="L709" s="37"/>
      <c r="M709" s="37"/>
      <c r="N709" s="37"/>
      <c r="O709" s="37"/>
      <c r="P709" s="37"/>
      <c r="Q709" s="37"/>
      <c r="R709" s="37"/>
      <c r="S709" s="37"/>
      <c r="T709" s="37"/>
      <c r="U709" s="37"/>
      <c r="V709" s="37"/>
      <c r="W709" s="37"/>
      <c r="X709" s="37"/>
      <c r="Y709" s="37"/>
      <c r="Z709" s="37"/>
      <c r="AA709" s="37"/>
      <c r="AB709" s="37"/>
      <c r="AC709" s="37"/>
      <c r="AD709" s="37"/>
      <c r="AE709" s="37"/>
      <c r="AF709" s="37"/>
      <c r="AG709" s="37"/>
      <c r="AH709" s="37"/>
      <c r="AI709" s="205"/>
      <c r="AJ709" s="205"/>
      <c r="AK709" s="205"/>
      <c r="AL709" s="204"/>
      <c r="AM709" s="204"/>
    </row>
    <row r="710">
      <c r="A710" s="37"/>
      <c r="B710" s="205"/>
      <c r="C710" s="37"/>
      <c r="D710" s="206"/>
      <c r="E710" s="207"/>
      <c r="F710" s="207"/>
      <c r="G710" s="208"/>
      <c r="H710" s="208"/>
      <c r="I710" s="37"/>
      <c r="J710" s="37"/>
      <c r="K710" s="37"/>
      <c r="L710" s="37"/>
      <c r="M710" s="37"/>
      <c r="N710" s="37"/>
      <c r="O710" s="37"/>
      <c r="P710" s="37"/>
      <c r="Q710" s="37"/>
      <c r="R710" s="37"/>
      <c r="S710" s="37"/>
      <c r="T710" s="37"/>
      <c r="U710" s="37"/>
      <c r="V710" s="37"/>
      <c r="W710" s="37"/>
      <c r="X710" s="37"/>
      <c r="Y710" s="37"/>
      <c r="Z710" s="37"/>
      <c r="AA710" s="37"/>
      <c r="AB710" s="37"/>
      <c r="AC710" s="37"/>
      <c r="AD710" s="37"/>
      <c r="AE710" s="37"/>
      <c r="AF710" s="37"/>
      <c r="AG710" s="37"/>
      <c r="AH710" s="37"/>
      <c r="AI710" s="205"/>
      <c r="AJ710" s="205"/>
      <c r="AK710" s="205"/>
      <c r="AL710" s="204"/>
      <c r="AM710" s="204"/>
    </row>
    <row r="711">
      <c r="A711" s="37"/>
      <c r="B711" s="205"/>
      <c r="C711" s="37"/>
      <c r="D711" s="206"/>
      <c r="E711" s="207"/>
      <c r="F711" s="207"/>
      <c r="G711" s="208"/>
      <c r="H711" s="208"/>
      <c r="I711" s="37"/>
      <c r="J711" s="37"/>
      <c r="K711" s="37"/>
      <c r="L711" s="37"/>
      <c r="M711" s="37"/>
      <c r="N711" s="37"/>
      <c r="O711" s="37"/>
      <c r="P711" s="37"/>
      <c r="Q711" s="37"/>
      <c r="R711" s="37"/>
      <c r="S711" s="37"/>
      <c r="T711" s="37"/>
      <c r="U711" s="37"/>
      <c r="V711" s="37"/>
      <c r="W711" s="37"/>
      <c r="X711" s="37"/>
      <c r="Y711" s="37"/>
      <c r="Z711" s="37"/>
      <c r="AA711" s="37"/>
      <c r="AB711" s="37"/>
      <c r="AC711" s="37"/>
      <c r="AD711" s="37"/>
      <c r="AE711" s="37"/>
      <c r="AF711" s="37"/>
      <c r="AG711" s="37"/>
      <c r="AH711" s="37"/>
      <c r="AI711" s="205"/>
      <c r="AJ711" s="205"/>
      <c r="AK711" s="205"/>
      <c r="AL711" s="204"/>
      <c r="AM711" s="204"/>
    </row>
    <row r="712">
      <c r="A712" s="37"/>
      <c r="B712" s="205"/>
      <c r="C712" s="37"/>
      <c r="D712" s="206"/>
      <c r="E712" s="207"/>
      <c r="F712" s="207"/>
      <c r="G712" s="208"/>
      <c r="H712" s="208"/>
      <c r="I712" s="37"/>
      <c r="J712" s="37"/>
      <c r="K712" s="37"/>
      <c r="L712" s="37"/>
      <c r="M712" s="37"/>
      <c r="N712" s="37"/>
      <c r="O712" s="37"/>
      <c r="P712" s="37"/>
      <c r="Q712" s="37"/>
      <c r="R712" s="37"/>
      <c r="S712" s="37"/>
      <c r="T712" s="37"/>
      <c r="U712" s="37"/>
      <c r="V712" s="37"/>
      <c r="W712" s="37"/>
      <c r="X712" s="37"/>
      <c r="Y712" s="37"/>
      <c r="Z712" s="37"/>
      <c r="AA712" s="37"/>
      <c r="AB712" s="37"/>
      <c r="AC712" s="37"/>
      <c r="AD712" s="37"/>
      <c r="AE712" s="37"/>
      <c r="AF712" s="37"/>
      <c r="AG712" s="37"/>
      <c r="AH712" s="37"/>
      <c r="AI712" s="205"/>
      <c r="AJ712" s="205"/>
      <c r="AK712" s="205"/>
      <c r="AL712" s="204"/>
      <c r="AM712" s="204"/>
    </row>
    <row r="713">
      <c r="A713" s="37"/>
      <c r="B713" s="205"/>
      <c r="C713" s="37"/>
      <c r="D713" s="206"/>
      <c r="E713" s="207"/>
      <c r="F713" s="207"/>
      <c r="G713" s="208"/>
      <c r="H713" s="208"/>
      <c r="I713" s="37"/>
      <c r="J713" s="37"/>
      <c r="K713" s="37"/>
      <c r="L713" s="37"/>
      <c r="M713" s="37"/>
      <c r="N713" s="37"/>
      <c r="O713" s="37"/>
      <c r="P713" s="37"/>
      <c r="Q713" s="37"/>
      <c r="R713" s="37"/>
      <c r="S713" s="37"/>
      <c r="T713" s="37"/>
      <c r="U713" s="37"/>
      <c r="V713" s="37"/>
      <c r="W713" s="37"/>
      <c r="X713" s="37"/>
      <c r="Y713" s="37"/>
      <c r="Z713" s="37"/>
      <c r="AA713" s="37"/>
      <c r="AB713" s="37"/>
      <c r="AC713" s="37"/>
      <c r="AD713" s="37"/>
      <c r="AE713" s="37"/>
      <c r="AF713" s="37"/>
      <c r="AG713" s="37"/>
      <c r="AH713" s="37"/>
      <c r="AI713" s="205"/>
      <c r="AJ713" s="205"/>
      <c r="AK713" s="205"/>
      <c r="AL713" s="204"/>
      <c r="AM713" s="204"/>
    </row>
    <row r="714">
      <c r="A714" s="37"/>
      <c r="B714" s="205"/>
      <c r="C714" s="37"/>
      <c r="D714" s="206"/>
      <c r="E714" s="207"/>
      <c r="F714" s="207"/>
      <c r="G714" s="208"/>
      <c r="H714" s="208"/>
      <c r="I714" s="37"/>
      <c r="J714" s="37"/>
      <c r="K714" s="37"/>
      <c r="L714" s="37"/>
      <c r="M714" s="37"/>
      <c r="N714" s="37"/>
      <c r="O714" s="37"/>
      <c r="P714" s="37"/>
      <c r="Q714" s="37"/>
      <c r="R714" s="37"/>
      <c r="S714" s="37"/>
      <c r="T714" s="37"/>
      <c r="U714" s="37"/>
      <c r="V714" s="37"/>
      <c r="W714" s="37"/>
      <c r="X714" s="37"/>
      <c r="Y714" s="37"/>
      <c r="Z714" s="37"/>
      <c r="AA714" s="37"/>
      <c r="AB714" s="37"/>
      <c r="AC714" s="37"/>
      <c r="AD714" s="37"/>
      <c r="AE714" s="37"/>
      <c r="AF714" s="37"/>
      <c r="AG714" s="37"/>
      <c r="AH714" s="37"/>
      <c r="AI714" s="205"/>
      <c r="AJ714" s="205"/>
      <c r="AK714" s="205"/>
      <c r="AL714" s="204"/>
      <c r="AM714" s="204"/>
    </row>
    <row r="715">
      <c r="A715" s="37"/>
      <c r="B715" s="205"/>
      <c r="C715" s="37"/>
      <c r="D715" s="206"/>
      <c r="E715" s="207"/>
      <c r="F715" s="207"/>
      <c r="G715" s="208"/>
      <c r="H715" s="208"/>
      <c r="I715" s="37"/>
      <c r="J715" s="37"/>
      <c r="K715" s="37"/>
      <c r="L715" s="37"/>
      <c r="M715" s="37"/>
      <c r="N715" s="37"/>
      <c r="O715" s="37"/>
      <c r="P715" s="37"/>
      <c r="Q715" s="37"/>
      <c r="R715" s="37"/>
      <c r="S715" s="37"/>
      <c r="T715" s="37"/>
      <c r="U715" s="37"/>
      <c r="V715" s="37"/>
      <c r="W715" s="37"/>
      <c r="X715" s="37"/>
      <c r="Y715" s="37"/>
      <c r="Z715" s="37"/>
      <c r="AA715" s="37"/>
      <c r="AB715" s="37"/>
      <c r="AC715" s="37"/>
      <c r="AD715" s="37"/>
      <c r="AE715" s="37"/>
      <c r="AF715" s="37"/>
      <c r="AG715" s="37"/>
      <c r="AH715" s="37"/>
      <c r="AI715" s="205"/>
      <c r="AJ715" s="205"/>
      <c r="AK715" s="205"/>
      <c r="AL715" s="204"/>
      <c r="AM715" s="204"/>
    </row>
    <row r="716">
      <c r="A716" s="37"/>
      <c r="B716" s="205"/>
      <c r="C716" s="37"/>
      <c r="D716" s="206"/>
      <c r="E716" s="207"/>
      <c r="F716" s="207"/>
      <c r="G716" s="208"/>
      <c r="H716" s="208"/>
      <c r="I716" s="37"/>
      <c r="J716" s="37"/>
      <c r="K716" s="37"/>
      <c r="L716" s="37"/>
      <c r="M716" s="37"/>
      <c r="N716" s="37"/>
      <c r="O716" s="37"/>
      <c r="P716" s="37"/>
      <c r="Q716" s="37"/>
      <c r="R716" s="37"/>
      <c r="S716" s="37"/>
      <c r="T716" s="37"/>
      <c r="U716" s="37"/>
      <c r="V716" s="37"/>
      <c r="W716" s="37"/>
      <c r="X716" s="37"/>
      <c r="Y716" s="37"/>
      <c r="Z716" s="37"/>
      <c r="AA716" s="37"/>
      <c r="AB716" s="37"/>
      <c r="AC716" s="37"/>
      <c r="AD716" s="37"/>
      <c r="AE716" s="37"/>
      <c r="AF716" s="37"/>
      <c r="AG716" s="37"/>
      <c r="AH716" s="37"/>
      <c r="AI716" s="205"/>
      <c r="AJ716" s="205"/>
      <c r="AK716" s="205"/>
      <c r="AL716" s="204"/>
      <c r="AM716" s="204"/>
    </row>
    <row r="717">
      <c r="A717" s="37"/>
      <c r="B717" s="205"/>
      <c r="C717" s="37"/>
      <c r="D717" s="206"/>
      <c r="E717" s="207"/>
      <c r="F717" s="207"/>
      <c r="G717" s="208"/>
      <c r="H717" s="208"/>
      <c r="I717" s="37"/>
      <c r="J717" s="37"/>
      <c r="K717" s="37"/>
      <c r="L717" s="37"/>
      <c r="M717" s="37"/>
      <c r="N717" s="37"/>
      <c r="O717" s="37"/>
      <c r="P717" s="37"/>
      <c r="Q717" s="37"/>
      <c r="R717" s="37"/>
      <c r="S717" s="37"/>
      <c r="T717" s="37"/>
      <c r="U717" s="37"/>
      <c r="V717" s="37"/>
      <c r="W717" s="37"/>
      <c r="X717" s="37"/>
      <c r="Y717" s="37"/>
      <c r="Z717" s="37"/>
      <c r="AA717" s="37"/>
      <c r="AB717" s="37"/>
      <c r="AC717" s="37"/>
      <c r="AD717" s="37"/>
      <c r="AE717" s="37"/>
      <c r="AF717" s="37"/>
      <c r="AG717" s="37"/>
      <c r="AH717" s="37"/>
      <c r="AI717" s="205"/>
      <c r="AJ717" s="205"/>
      <c r="AK717" s="205"/>
      <c r="AL717" s="204"/>
      <c r="AM717" s="204"/>
    </row>
    <row r="718">
      <c r="A718" s="37"/>
      <c r="B718" s="205"/>
      <c r="C718" s="37"/>
      <c r="D718" s="206"/>
      <c r="E718" s="207"/>
      <c r="F718" s="207"/>
      <c r="G718" s="208"/>
      <c r="H718" s="208"/>
      <c r="I718" s="37"/>
      <c r="J718" s="37"/>
      <c r="K718" s="37"/>
      <c r="L718" s="37"/>
      <c r="M718" s="37"/>
      <c r="N718" s="37"/>
      <c r="O718" s="37"/>
      <c r="P718" s="37"/>
      <c r="Q718" s="37"/>
      <c r="R718" s="37"/>
      <c r="S718" s="37"/>
      <c r="T718" s="37"/>
      <c r="U718" s="37"/>
      <c r="V718" s="37"/>
      <c r="W718" s="37"/>
      <c r="X718" s="37"/>
      <c r="Y718" s="37"/>
      <c r="Z718" s="37"/>
      <c r="AA718" s="37"/>
      <c r="AB718" s="37"/>
      <c r="AC718" s="37"/>
      <c r="AD718" s="37"/>
      <c r="AE718" s="37"/>
      <c r="AF718" s="37"/>
      <c r="AG718" s="37"/>
      <c r="AH718" s="37"/>
      <c r="AI718" s="205"/>
      <c r="AJ718" s="205"/>
      <c r="AK718" s="205"/>
      <c r="AL718" s="204"/>
      <c r="AM718" s="204"/>
    </row>
    <row r="719">
      <c r="A719" s="37"/>
      <c r="B719" s="205"/>
      <c r="C719" s="37"/>
      <c r="D719" s="206"/>
      <c r="E719" s="207"/>
      <c r="F719" s="207"/>
      <c r="G719" s="208"/>
      <c r="H719" s="208"/>
      <c r="I719" s="37"/>
      <c r="J719" s="37"/>
      <c r="K719" s="37"/>
      <c r="L719" s="37"/>
      <c r="M719" s="37"/>
      <c r="N719" s="37"/>
      <c r="O719" s="37"/>
      <c r="P719" s="37"/>
      <c r="Q719" s="37"/>
      <c r="R719" s="37"/>
      <c r="S719" s="37"/>
      <c r="T719" s="37"/>
      <c r="U719" s="37"/>
      <c r="V719" s="37"/>
      <c r="W719" s="37"/>
      <c r="X719" s="37"/>
      <c r="Y719" s="37"/>
      <c r="Z719" s="37"/>
      <c r="AA719" s="37"/>
      <c r="AB719" s="37"/>
      <c r="AC719" s="37"/>
      <c r="AD719" s="37"/>
      <c r="AE719" s="37"/>
      <c r="AF719" s="37"/>
      <c r="AG719" s="37"/>
      <c r="AH719" s="37"/>
      <c r="AI719" s="205"/>
      <c r="AJ719" s="205"/>
      <c r="AK719" s="205"/>
      <c r="AL719" s="204"/>
      <c r="AM719" s="204"/>
    </row>
    <row r="720">
      <c r="A720" s="37"/>
      <c r="B720" s="205"/>
      <c r="C720" s="37"/>
      <c r="D720" s="206"/>
      <c r="E720" s="207"/>
      <c r="F720" s="207"/>
      <c r="G720" s="208"/>
      <c r="H720" s="208"/>
      <c r="I720" s="37"/>
      <c r="J720" s="37"/>
      <c r="K720" s="37"/>
      <c r="L720" s="37"/>
      <c r="M720" s="37"/>
      <c r="N720" s="37"/>
      <c r="O720" s="37"/>
      <c r="P720" s="37"/>
      <c r="Q720" s="37"/>
      <c r="R720" s="37"/>
      <c r="S720" s="37"/>
      <c r="T720" s="37"/>
      <c r="U720" s="37"/>
      <c r="V720" s="37"/>
      <c r="W720" s="37"/>
      <c r="X720" s="37"/>
      <c r="Y720" s="37"/>
      <c r="Z720" s="37"/>
      <c r="AA720" s="37"/>
      <c r="AB720" s="37"/>
      <c r="AC720" s="37"/>
      <c r="AD720" s="37"/>
      <c r="AE720" s="37"/>
      <c r="AF720" s="37"/>
      <c r="AG720" s="37"/>
      <c r="AH720" s="37"/>
      <c r="AI720" s="205"/>
      <c r="AJ720" s="205"/>
      <c r="AK720" s="205"/>
      <c r="AL720" s="204"/>
      <c r="AM720" s="204"/>
    </row>
    <row r="721">
      <c r="A721" s="37"/>
      <c r="B721" s="205"/>
      <c r="C721" s="37"/>
      <c r="D721" s="206"/>
      <c r="E721" s="207"/>
      <c r="F721" s="207"/>
      <c r="G721" s="208"/>
      <c r="H721" s="208"/>
      <c r="I721" s="37"/>
      <c r="J721" s="37"/>
      <c r="K721" s="37"/>
      <c r="L721" s="37"/>
      <c r="M721" s="37"/>
      <c r="N721" s="37"/>
      <c r="O721" s="37"/>
      <c r="P721" s="37"/>
      <c r="Q721" s="37"/>
      <c r="R721" s="37"/>
      <c r="S721" s="37"/>
      <c r="T721" s="37"/>
      <c r="U721" s="37"/>
      <c r="V721" s="37"/>
      <c r="W721" s="37"/>
      <c r="X721" s="37"/>
      <c r="Y721" s="37"/>
      <c r="Z721" s="37"/>
      <c r="AA721" s="37"/>
      <c r="AB721" s="37"/>
      <c r="AC721" s="37"/>
      <c r="AD721" s="37"/>
      <c r="AE721" s="37"/>
      <c r="AF721" s="37"/>
      <c r="AG721" s="37"/>
      <c r="AH721" s="37"/>
      <c r="AI721" s="205"/>
      <c r="AJ721" s="205"/>
      <c r="AK721" s="205"/>
      <c r="AL721" s="204"/>
      <c r="AM721" s="204"/>
    </row>
    <row r="722">
      <c r="A722" s="37"/>
      <c r="B722" s="205"/>
      <c r="C722" s="37"/>
      <c r="D722" s="206"/>
      <c r="E722" s="207"/>
      <c r="F722" s="207"/>
      <c r="G722" s="208"/>
      <c r="H722" s="208"/>
      <c r="I722" s="37"/>
      <c r="J722" s="37"/>
      <c r="K722" s="37"/>
      <c r="L722" s="37"/>
      <c r="M722" s="37"/>
      <c r="N722" s="37"/>
      <c r="O722" s="37"/>
      <c r="P722" s="37"/>
      <c r="Q722" s="37"/>
      <c r="R722" s="37"/>
      <c r="S722" s="37"/>
      <c r="T722" s="37"/>
      <c r="U722" s="37"/>
      <c r="V722" s="37"/>
      <c r="W722" s="37"/>
      <c r="X722" s="37"/>
      <c r="Y722" s="37"/>
      <c r="Z722" s="37"/>
      <c r="AA722" s="37"/>
      <c r="AB722" s="37"/>
      <c r="AC722" s="37"/>
      <c r="AD722" s="37"/>
      <c r="AE722" s="37"/>
      <c r="AF722" s="37"/>
      <c r="AG722" s="37"/>
      <c r="AH722" s="37"/>
      <c r="AI722" s="205"/>
      <c r="AJ722" s="205"/>
      <c r="AK722" s="205"/>
      <c r="AL722" s="204"/>
      <c r="AM722" s="204"/>
    </row>
    <row r="723">
      <c r="A723" s="37"/>
      <c r="B723" s="205"/>
      <c r="C723" s="37"/>
      <c r="D723" s="206"/>
      <c r="E723" s="207"/>
      <c r="F723" s="207"/>
      <c r="G723" s="208"/>
      <c r="H723" s="208"/>
      <c r="I723" s="37"/>
      <c r="J723" s="37"/>
      <c r="K723" s="37"/>
      <c r="L723" s="37"/>
      <c r="M723" s="37"/>
      <c r="N723" s="37"/>
      <c r="O723" s="37"/>
      <c r="P723" s="37"/>
      <c r="Q723" s="37"/>
      <c r="R723" s="37"/>
      <c r="S723" s="37"/>
      <c r="T723" s="37"/>
      <c r="U723" s="37"/>
      <c r="V723" s="37"/>
      <c r="W723" s="37"/>
      <c r="X723" s="37"/>
      <c r="Y723" s="37"/>
      <c r="Z723" s="37"/>
      <c r="AA723" s="37"/>
      <c r="AB723" s="37"/>
      <c r="AC723" s="37"/>
      <c r="AD723" s="37"/>
      <c r="AE723" s="37"/>
      <c r="AF723" s="37"/>
      <c r="AG723" s="37"/>
      <c r="AH723" s="37"/>
      <c r="AI723" s="205"/>
      <c r="AJ723" s="205"/>
      <c r="AK723" s="205"/>
      <c r="AL723" s="204"/>
      <c r="AM723" s="204"/>
    </row>
    <row r="724">
      <c r="A724" s="37"/>
      <c r="B724" s="205"/>
      <c r="C724" s="37"/>
      <c r="D724" s="206"/>
      <c r="E724" s="207"/>
      <c r="F724" s="207"/>
      <c r="G724" s="208"/>
      <c r="H724" s="208"/>
      <c r="I724" s="37"/>
      <c r="J724" s="37"/>
      <c r="K724" s="37"/>
      <c r="L724" s="37"/>
      <c r="M724" s="37"/>
      <c r="N724" s="37"/>
      <c r="O724" s="37"/>
      <c r="P724" s="37"/>
      <c r="Q724" s="37"/>
      <c r="R724" s="37"/>
      <c r="S724" s="37"/>
      <c r="T724" s="37"/>
      <c r="U724" s="37"/>
      <c r="V724" s="37"/>
      <c r="W724" s="37"/>
      <c r="X724" s="37"/>
      <c r="Y724" s="37"/>
      <c r="Z724" s="37"/>
      <c r="AA724" s="37"/>
      <c r="AB724" s="37"/>
      <c r="AC724" s="37"/>
      <c r="AD724" s="37"/>
      <c r="AE724" s="37"/>
      <c r="AF724" s="37"/>
      <c r="AG724" s="37"/>
      <c r="AH724" s="37"/>
      <c r="AI724" s="205"/>
      <c r="AJ724" s="205"/>
      <c r="AK724" s="205"/>
      <c r="AL724" s="204"/>
      <c r="AM724" s="204"/>
    </row>
    <row r="725">
      <c r="A725" s="37"/>
      <c r="B725" s="205"/>
      <c r="C725" s="37"/>
      <c r="D725" s="206"/>
      <c r="E725" s="207"/>
      <c r="F725" s="207"/>
      <c r="G725" s="208"/>
      <c r="H725" s="208"/>
      <c r="I725" s="37"/>
      <c r="J725" s="37"/>
      <c r="K725" s="37"/>
      <c r="L725" s="37"/>
      <c r="M725" s="37"/>
      <c r="N725" s="37"/>
      <c r="O725" s="37"/>
      <c r="P725" s="37"/>
      <c r="Q725" s="37"/>
      <c r="R725" s="37"/>
      <c r="S725" s="37"/>
      <c r="T725" s="37"/>
      <c r="U725" s="37"/>
      <c r="V725" s="37"/>
      <c r="W725" s="37"/>
      <c r="X725" s="37"/>
      <c r="Y725" s="37"/>
      <c r="Z725" s="37"/>
      <c r="AA725" s="37"/>
      <c r="AB725" s="37"/>
      <c r="AC725" s="37"/>
      <c r="AD725" s="37"/>
      <c r="AE725" s="37"/>
      <c r="AF725" s="37"/>
      <c r="AG725" s="37"/>
      <c r="AH725" s="37"/>
      <c r="AI725" s="205"/>
      <c r="AJ725" s="205"/>
      <c r="AK725" s="205"/>
      <c r="AL725" s="204"/>
      <c r="AM725" s="204"/>
    </row>
    <row r="726">
      <c r="A726" s="37"/>
      <c r="B726" s="205"/>
      <c r="C726" s="37"/>
      <c r="D726" s="206"/>
      <c r="E726" s="207"/>
      <c r="F726" s="207"/>
      <c r="G726" s="208"/>
      <c r="H726" s="208"/>
      <c r="I726" s="37"/>
      <c r="J726" s="37"/>
      <c r="K726" s="37"/>
      <c r="L726" s="37"/>
      <c r="M726" s="37"/>
      <c r="N726" s="37"/>
      <c r="O726" s="37"/>
      <c r="P726" s="37"/>
      <c r="Q726" s="37"/>
      <c r="R726" s="37"/>
      <c r="S726" s="37"/>
      <c r="T726" s="37"/>
      <c r="U726" s="37"/>
      <c r="V726" s="37"/>
      <c r="W726" s="37"/>
      <c r="X726" s="37"/>
      <c r="Y726" s="37"/>
      <c r="Z726" s="37"/>
      <c r="AA726" s="37"/>
      <c r="AB726" s="37"/>
      <c r="AC726" s="37"/>
      <c r="AD726" s="37"/>
      <c r="AE726" s="37"/>
      <c r="AF726" s="37"/>
      <c r="AG726" s="37"/>
      <c r="AH726" s="37"/>
      <c r="AI726" s="205"/>
      <c r="AJ726" s="205"/>
      <c r="AK726" s="205"/>
      <c r="AL726" s="204"/>
      <c r="AM726" s="204"/>
    </row>
    <row r="727">
      <c r="A727" s="37"/>
      <c r="B727" s="205"/>
      <c r="C727" s="37"/>
      <c r="D727" s="206"/>
      <c r="E727" s="207"/>
      <c r="F727" s="207"/>
      <c r="G727" s="208"/>
      <c r="H727" s="208"/>
      <c r="I727" s="37"/>
      <c r="J727" s="37"/>
      <c r="K727" s="37"/>
      <c r="L727" s="37"/>
      <c r="M727" s="37"/>
      <c r="N727" s="37"/>
      <c r="O727" s="37"/>
      <c r="P727" s="37"/>
      <c r="Q727" s="37"/>
      <c r="R727" s="37"/>
      <c r="S727" s="37"/>
      <c r="T727" s="37"/>
      <c r="U727" s="37"/>
      <c r="V727" s="37"/>
      <c r="W727" s="37"/>
      <c r="X727" s="37"/>
      <c r="Y727" s="37"/>
      <c r="Z727" s="37"/>
      <c r="AA727" s="37"/>
      <c r="AB727" s="37"/>
      <c r="AC727" s="37"/>
      <c r="AD727" s="37"/>
      <c r="AE727" s="37"/>
      <c r="AF727" s="37"/>
      <c r="AG727" s="37"/>
      <c r="AH727" s="37"/>
      <c r="AI727" s="205"/>
      <c r="AJ727" s="205"/>
      <c r="AK727" s="205"/>
      <c r="AL727" s="204"/>
      <c r="AM727" s="204"/>
    </row>
    <row r="728">
      <c r="A728" s="37"/>
      <c r="B728" s="205"/>
      <c r="C728" s="37"/>
      <c r="D728" s="206"/>
      <c r="E728" s="207"/>
      <c r="F728" s="207"/>
      <c r="G728" s="208"/>
      <c r="H728" s="208"/>
      <c r="I728" s="37"/>
      <c r="J728" s="37"/>
      <c r="K728" s="37"/>
      <c r="L728" s="37"/>
      <c r="M728" s="37"/>
      <c r="N728" s="37"/>
      <c r="O728" s="37"/>
      <c r="P728" s="37"/>
      <c r="Q728" s="37"/>
      <c r="R728" s="37"/>
      <c r="S728" s="37"/>
      <c r="T728" s="37"/>
      <c r="U728" s="37"/>
      <c r="V728" s="37"/>
      <c r="W728" s="37"/>
      <c r="X728" s="37"/>
      <c r="Y728" s="37"/>
      <c r="Z728" s="37"/>
      <c r="AA728" s="37"/>
      <c r="AB728" s="37"/>
      <c r="AC728" s="37"/>
      <c r="AD728" s="37"/>
      <c r="AE728" s="37"/>
      <c r="AF728" s="37"/>
      <c r="AG728" s="37"/>
      <c r="AH728" s="37"/>
      <c r="AI728" s="205"/>
      <c r="AJ728" s="205"/>
      <c r="AK728" s="205"/>
      <c r="AL728" s="204"/>
      <c r="AM728" s="204"/>
    </row>
    <row r="729">
      <c r="A729" s="37"/>
      <c r="B729" s="205"/>
      <c r="C729" s="37"/>
      <c r="D729" s="206"/>
      <c r="E729" s="207"/>
      <c r="F729" s="207"/>
      <c r="G729" s="208"/>
      <c r="H729" s="208"/>
      <c r="I729" s="37"/>
      <c r="J729" s="37"/>
      <c r="K729" s="37"/>
      <c r="L729" s="37"/>
      <c r="M729" s="37"/>
      <c r="N729" s="37"/>
      <c r="O729" s="37"/>
      <c r="P729" s="37"/>
      <c r="Q729" s="37"/>
      <c r="R729" s="37"/>
      <c r="S729" s="37"/>
      <c r="T729" s="37"/>
      <c r="U729" s="37"/>
      <c r="V729" s="37"/>
      <c r="W729" s="37"/>
      <c r="X729" s="37"/>
      <c r="Y729" s="37"/>
      <c r="Z729" s="37"/>
      <c r="AA729" s="37"/>
      <c r="AB729" s="37"/>
      <c r="AC729" s="37"/>
      <c r="AD729" s="37"/>
      <c r="AE729" s="37"/>
      <c r="AF729" s="37"/>
      <c r="AG729" s="37"/>
      <c r="AH729" s="37"/>
      <c r="AI729" s="205"/>
      <c r="AJ729" s="205"/>
      <c r="AK729" s="205"/>
      <c r="AL729" s="204"/>
      <c r="AM729" s="204"/>
    </row>
    <row r="730">
      <c r="A730" s="37"/>
      <c r="B730" s="205"/>
      <c r="C730" s="37"/>
      <c r="D730" s="206"/>
      <c r="E730" s="207"/>
      <c r="F730" s="207"/>
      <c r="G730" s="208"/>
      <c r="H730" s="208"/>
      <c r="I730" s="37"/>
      <c r="J730" s="37"/>
      <c r="K730" s="37"/>
      <c r="L730" s="37"/>
      <c r="M730" s="37"/>
      <c r="N730" s="37"/>
      <c r="O730" s="37"/>
      <c r="P730" s="37"/>
      <c r="Q730" s="37"/>
      <c r="R730" s="37"/>
      <c r="S730" s="37"/>
      <c r="T730" s="37"/>
      <c r="U730" s="37"/>
      <c r="V730" s="37"/>
      <c r="W730" s="37"/>
      <c r="X730" s="37"/>
      <c r="Y730" s="37"/>
      <c r="Z730" s="37"/>
      <c r="AA730" s="37"/>
      <c r="AB730" s="37"/>
      <c r="AC730" s="37"/>
      <c r="AD730" s="37"/>
      <c r="AE730" s="37"/>
      <c r="AF730" s="37"/>
      <c r="AG730" s="37"/>
      <c r="AH730" s="37"/>
      <c r="AI730" s="205"/>
      <c r="AJ730" s="205"/>
      <c r="AK730" s="205"/>
      <c r="AL730" s="204"/>
      <c r="AM730" s="204"/>
    </row>
    <row r="731">
      <c r="A731" s="37"/>
      <c r="B731" s="205"/>
      <c r="C731" s="37"/>
      <c r="D731" s="206"/>
      <c r="E731" s="207"/>
      <c r="F731" s="207"/>
      <c r="G731" s="208"/>
      <c r="H731" s="208"/>
      <c r="I731" s="37"/>
      <c r="J731" s="37"/>
      <c r="K731" s="37"/>
      <c r="L731" s="37"/>
      <c r="M731" s="37"/>
      <c r="N731" s="37"/>
      <c r="O731" s="37"/>
      <c r="P731" s="37"/>
      <c r="Q731" s="37"/>
      <c r="R731" s="37"/>
      <c r="S731" s="37"/>
      <c r="T731" s="37"/>
      <c r="U731" s="37"/>
      <c r="V731" s="37"/>
      <c r="W731" s="37"/>
      <c r="X731" s="37"/>
      <c r="Y731" s="37"/>
      <c r="Z731" s="37"/>
      <c r="AA731" s="37"/>
      <c r="AB731" s="37"/>
      <c r="AC731" s="37"/>
      <c r="AD731" s="37"/>
      <c r="AE731" s="37"/>
      <c r="AF731" s="37"/>
      <c r="AG731" s="37"/>
      <c r="AH731" s="37"/>
      <c r="AI731" s="205"/>
      <c r="AJ731" s="205"/>
      <c r="AK731" s="205"/>
      <c r="AL731" s="204"/>
      <c r="AM731" s="204"/>
    </row>
    <row r="732">
      <c r="A732" s="37"/>
      <c r="B732" s="205"/>
      <c r="C732" s="37"/>
      <c r="D732" s="206"/>
      <c r="E732" s="207"/>
      <c r="F732" s="207"/>
      <c r="G732" s="208"/>
      <c r="H732" s="208"/>
      <c r="I732" s="37"/>
      <c r="J732" s="37"/>
      <c r="K732" s="37"/>
      <c r="L732" s="37"/>
      <c r="M732" s="37"/>
      <c r="N732" s="37"/>
      <c r="O732" s="37"/>
      <c r="P732" s="37"/>
      <c r="Q732" s="37"/>
      <c r="R732" s="37"/>
      <c r="S732" s="37"/>
      <c r="T732" s="37"/>
      <c r="U732" s="37"/>
      <c r="V732" s="37"/>
      <c r="W732" s="37"/>
      <c r="X732" s="37"/>
      <c r="Y732" s="37"/>
      <c r="Z732" s="37"/>
      <c r="AA732" s="37"/>
      <c r="AB732" s="37"/>
      <c r="AC732" s="37"/>
      <c r="AD732" s="37"/>
      <c r="AE732" s="37"/>
      <c r="AF732" s="37"/>
      <c r="AG732" s="37"/>
      <c r="AH732" s="37"/>
      <c r="AI732" s="205"/>
      <c r="AJ732" s="205"/>
      <c r="AK732" s="205"/>
      <c r="AL732" s="204"/>
      <c r="AM732" s="204"/>
    </row>
    <row r="733">
      <c r="A733" s="37"/>
      <c r="B733" s="205"/>
      <c r="C733" s="37"/>
      <c r="D733" s="206"/>
      <c r="E733" s="207"/>
      <c r="F733" s="207"/>
      <c r="G733" s="208"/>
      <c r="H733" s="208"/>
      <c r="I733" s="37"/>
      <c r="J733" s="37"/>
      <c r="K733" s="37"/>
      <c r="L733" s="37"/>
      <c r="M733" s="37"/>
      <c r="N733" s="37"/>
      <c r="O733" s="37"/>
      <c r="P733" s="37"/>
      <c r="Q733" s="37"/>
      <c r="R733" s="37"/>
      <c r="S733" s="37"/>
      <c r="T733" s="37"/>
      <c r="U733" s="37"/>
      <c r="V733" s="37"/>
      <c r="W733" s="37"/>
      <c r="X733" s="37"/>
      <c r="Y733" s="37"/>
      <c r="Z733" s="37"/>
      <c r="AA733" s="37"/>
      <c r="AB733" s="37"/>
      <c r="AC733" s="37"/>
      <c r="AD733" s="37"/>
      <c r="AE733" s="37"/>
      <c r="AF733" s="37"/>
      <c r="AG733" s="37"/>
      <c r="AH733" s="37"/>
      <c r="AI733" s="205"/>
      <c r="AJ733" s="205"/>
      <c r="AK733" s="205"/>
      <c r="AL733" s="204"/>
      <c r="AM733" s="204"/>
    </row>
    <row r="734">
      <c r="A734" s="37"/>
      <c r="B734" s="205"/>
      <c r="C734" s="37"/>
      <c r="D734" s="206"/>
      <c r="E734" s="207"/>
      <c r="F734" s="207"/>
      <c r="G734" s="208"/>
      <c r="H734" s="208"/>
      <c r="I734" s="37"/>
      <c r="J734" s="37"/>
      <c r="K734" s="37"/>
      <c r="L734" s="37"/>
      <c r="M734" s="37"/>
      <c r="N734" s="37"/>
      <c r="O734" s="37"/>
      <c r="P734" s="37"/>
      <c r="Q734" s="37"/>
      <c r="R734" s="37"/>
      <c r="S734" s="37"/>
      <c r="T734" s="37"/>
      <c r="U734" s="37"/>
      <c r="V734" s="37"/>
      <c r="W734" s="37"/>
      <c r="X734" s="37"/>
      <c r="Y734" s="37"/>
      <c r="Z734" s="37"/>
      <c r="AA734" s="37"/>
      <c r="AB734" s="37"/>
      <c r="AC734" s="37"/>
      <c r="AD734" s="37"/>
      <c r="AE734" s="37"/>
      <c r="AF734" s="37"/>
      <c r="AG734" s="37"/>
      <c r="AH734" s="37"/>
      <c r="AI734" s="205"/>
      <c r="AJ734" s="205"/>
      <c r="AK734" s="205"/>
      <c r="AL734" s="204"/>
      <c r="AM734" s="204"/>
    </row>
    <row r="735">
      <c r="A735" s="37"/>
      <c r="B735" s="205"/>
      <c r="C735" s="37"/>
      <c r="D735" s="206"/>
      <c r="E735" s="207"/>
      <c r="F735" s="207"/>
      <c r="G735" s="208"/>
      <c r="H735" s="208"/>
      <c r="I735" s="37"/>
      <c r="J735" s="37"/>
      <c r="K735" s="37"/>
      <c r="L735" s="37"/>
      <c r="M735" s="37"/>
      <c r="N735" s="37"/>
      <c r="O735" s="37"/>
      <c r="P735" s="37"/>
      <c r="Q735" s="37"/>
      <c r="R735" s="37"/>
      <c r="S735" s="37"/>
      <c r="T735" s="37"/>
      <c r="U735" s="37"/>
      <c r="V735" s="37"/>
      <c r="W735" s="37"/>
      <c r="X735" s="37"/>
      <c r="Y735" s="37"/>
      <c r="Z735" s="37"/>
      <c r="AA735" s="37"/>
      <c r="AB735" s="37"/>
      <c r="AC735" s="37"/>
      <c r="AD735" s="37"/>
      <c r="AE735" s="37"/>
      <c r="AF735" s="37"/>
      <c r="AG735" s="37"/>
      <c r="AH735" s="37"/>
      <c r="AI735" s="205"/>
      <c r="AJ735" s="205"/>
      <c r="AK735" s="205"/>
      <c r="AL735" s="204"/>
      <c r="AM735" s="204"/>
    </row>
    <row r="736">
      <c r="A736" s="37"/>
      <c r="B736" s="205"/>
      <c r="C736" s="37"/>
      <c r="D736" s="206"/>
      <c r="E736" s="207"/>
      <c r="F736" s="207"/>
      <c r="G736" s="208"/>
      <c r="H736" s="208"/>
      <c r="I736" s="37"/>
      <c r="J736" s="37"/>
      <c r="K736" s="37"/>
      <c r="L736" s="37"/>
      <c r="M736" s="37"/>
      <c r="N736" s="37"/>
      <c r="O736" s="37"/>
      <c r="P736" s="37"/>
      <c r="Q736" s="37"/>
      <c r="R736" s="37"/>
      <c r="S736" s="37"/>
      <c r="T736" s="37"/>
      <c r="U736" s="37"/>
      <c r="V736" s="37"/>
      <c r="W736" s="37"/>
      <c r="X736" s="37"/>
      <c r="Y736" s="37"/>
      <c r="Z736" s="37"/>
      <c r="AA736" s="37"/>
      <c r="AB736" s="37"/>
      <c r="AC736" s="37"/>
      <c r="AD736" s="37"/>
      <c r="AE736" s="37"/>
      <c r="AF736" s="37"/>
      <c r="AG736" s="37"/>
      <c r="AH736" s="37"/>
      <c r="AI736" s="205"/>
      <c r="AJ736" s="205"/>
      <c r="AK736" s="205"/>
      <c r="AL736" s="204"/>
      <c r="AM736" s="204"/>
    </row>
    <row r="737">
      <c r="A737" s="37"/>
      <c r="B737" s="205"/>
      <c r="C737" s="37"/>
      <c r="D737" s="206"/>
      <c r="E737" s="207"/>
      <c r="F737" s="207"/>
      <c r="G737" s="208"/>
      <c r="H737" s="208"/>
      <c r="I737" s="37"/>
      <c r="J737" s="37"/>
      <c r="K737" s="37"/>
      <c r="L737" s="37"/>
      <c r="M737" s="37"/>
      <c r="N737" s="37"/>
      <c r="O737" s="37"/>
      <c r="P737" s="37"/>
      <c r="Q737" s="37"/>
      <c r="R737" s="37"/>
      <c r="S737" s="37"/>
      <c r="T737" s="37"/>
      <c r="U737" s="37"/>
      <c r="V737" s="37"/>
      <c r="W737" s="37"/>
      <c r="X737" s="37"/>
      <c r="Y737" s="37"/>
      <c r="Z737" s="37"/>
      <c r="AA737" s="37"/>
      <c r="AB737" s="37"/>
      <c r="AC737" s="37"/>
      <c r="AD737" s="37"/>
      <c r="AE737" s="37"/>
      <c r="AF737" s="37"/>
      <c r="AG737" s="37"/>
      <c r="AH737" s="37"/>
      <c r="AI737" s="205"/>
      <c r="AJ737" s="205"/>
      <c r="AK737" s="205"/>
      <c r="AL737" s="204"/>
      <c r="AM737" s="204"/>
    </row>
    <row r="738">
      <c r="A738" s="37"/>
      <c r="B738" s="205"/>
      <c r="C738" s="37"/>
      <c r="D738" s="206"/>
      <c r="E738" s="207"/>
      <c r="F738" s="207"/>
      <c r="G738" s="208"/>
      <c r="H738" s="208"/>
      <c r="I738" s="37"/>
      <c r="J738" s="37"/>
      <c r="K738" s="37"/>
      <c r="L738" s="37"/>
      <c r="M738" s="37"/>
      <c r="N738" s="37"/>
      <c r="O738" s="37"/>
      <c r="P738" s="37"/>
      <c r="Q738" s="37"/>
      <c r="R738" s="37"/>
      <c r="S738" s="37"/>
      <c r="T738" s="37"/>
      <c r="U738" s="37"/>
      <c r="V738" s="37"/>
      <c r="W738" s="37"/>
      <c r="X738" s="37"/>
      <c r="Y738" s="37"/>
      <c r="Z738" s="37"/>
      <c r="AA738" s="37"/>
      <c r="AB738" s="37"/>
      <c r="AC738" s="37"/>
      <c r="AD738" s="37"/>
      <c r="AE738" s="37"/>
      <c r="AF738" s="37"/>
      <c r="AG738" s="37"/>
      <c r="AH738" s="37"/>
      <c r="AI738" s="205"/>
      <c r="AJ738" s="205"/>
      <c r="AK738" s="205"/>
      <c r="AL738" s="204"/>
      <c r="AM738" s="204"/>
    </row>
    <row r="739">
      <c r="A739" s="37"/>
      <c r="B739" s="205"/>
      <c r="C739" s="37"/>
      <c r="D739" s="206"/>
      <c r="E739" s="207"/>
      <c r="F739" s="207"/>
      <c r="G739" s="208"/>
      <c r="H739" s="208"/>
      <c r="I739" s="37"/>
      <c r="J739" s="37"/>
      <c r="K739" s="37"/>
      <c r="L739" s="37"/>
      <c r="M739" s="37"/>
      <c r="N739" s="37"/>
      <c r="O739" s="37"/>
      <c r="P739" s="37"/>
      <c r="Q739" s="37"/>
      <c r="R739" s="37"/>
      <c r="S739" s="37"/>
      <c r="T739" s="37"/>
      <c r="U739" s="37"/>
      <c r="V739" s="37"/>
      <c r="W739" s="37"/>
      <c r="X739" s="37"/>
      <c r="Y739" s="37"/>
      <c r="Z739" s="37"/>
      <c r="AA739" s="37"/>
      <c r="AB739" s="37"/>
      <c r="AC739" s="37"/>
      <c r="AD739" s="37"/>
      <c r="AE739" s="37"/>
      <c r="AF739" s="37"/>
      <c r="AG739" s="37"/>
      <c r="AH739" s="37"/>
      <c r="AI739" s="205"/>
      <c r="AJ739" s="205"/>
      <c r="AK739" s="205"/>
      <c r="AL739" s="204"/>
      <c r="AM739" s="204"/>
    </row>
    <row r="740">
      <c r="A740" s="37"/>
      <c r="B740" s="205"/>
      <c r="C740" s="37"/>
      <c r="D740" s="206"/>
      <c r="E740" s="207"/>
      <c r="F740" s="207"/>
      <c r="G740" s="208"/>
      <c r="H740" s="208"/>
      <c r="I740" s="37"/>
      <c r="J740" s="37"/>
      <c r="K740" s="37"/>
      <c r="L740" s="37"/>
      <c r="M740" s="37"/>
      <c r="N740" s="37"/>
      <c r="O740" s="37"/>
      <c r="P740" s="37"/>
      <c r="Q740" s="37"/>
      <c r="R740" s="37"/>
      <c r="S740" s="37"/>
      <c r="T740" s="37"/>
      <c r="U740" s="37"/>
      <c r="V740" s="37"/>
      <c r="W740" s="37"/>
      <c r="X740" s="37"/>
      <c r="Y740" s="37"/>
      <c r="Z740" s="37"/>
      <c r="AA740" s="37"/>
      <c r="AB740" s="37"/>
      <c r="AC740" s="37"/>
      <c r="AD740" s="37"/>
      <c r="AE740" s="37"/>
      <c r="AF740" s="37"/>
      <c r="AG740" s="37"/>
      <c r="AH740" s="37"/>
      <c r="AI740" s="205"/>
      <c r="AJ740" s="205"/>
      <c r="AK740" s="205"/>
      <c r="AL740" s="204"/>
      <c r="AM740" s="204"/>
    </row>
    <row r="741">
      <c r="A741" s="37"/>
      <c r="B741" s="205"/>
      <c r="C741" s="37"/>
      <c r="D741" s="206"/>
      <c r="E741" s="207"/>
      <c r="F741" s="207"/>
      <c r="G741" s="208"/>
      <c r="H741" s="208"/>
      <c r="I741" s="37"/>
      <c r="J741" s="37"/>
      <c r="K741" s="37"/>
      <c r="L741" s="37"/>
      <c r="M741" s="37"/>
      <c r="N741" s="37"/>
      <c r="O741" s="37"/>
      <c r="P741" s="37"/>
      <c r="Q741" s="37"/>
      <c r="R741" s="37"/>
      <c r="S741" s="37"/>
      <c r="T741" s="37"/>
      <c r="U741" s="37"/>
      <c r="V741" s="37"/>
      <c r="W741" s="37"/>
      <c r="X741" s="37"/>
      <c r="Y741" s="37"/>
      <c r="Z741" s="37"/>
      <c r="AA741" s="37"/>
      <c r="AB741" s="37"/>
      <c r="AC741" s="37"/>
      <c r="AD741" s="37"/>
      <c r="AE741" s="37"/>
      <c r="AF741" s="37"/>
      <c r="AG741" s="37"/>
      <c r="AH741" s="37"/>
      <c r="AI741" s="205"/>
      <c r="AJ741" s="205"/>
      <c r="AK741" s="205"/>
      <c r="AL741" s="204"/>
      <c r="AM741" s="204"/>
    </row>
    <row r="742">
      <c r="A742" s="37"/>
      <c r="B742" s="205"/>
      <c r="C742" s="37"/>
      <c r="D742" s="206"/>
      <c r="E742" s="207"/>
      <c r="F742" s="207"/>
      <c r="G742" s="208"/>
      <c r="H742" s="208"/>
      <c r="I742" s="37"/>
      <c r="J742" s="37"/>
      <c r="K742" s="37"/>
      <c r="L742" s="37"/>
      <c r="M742" s="37"/>
      <c r="N742" s="37"/>
      <c r="O742" s="37"/>
      <c r="P742" s="37"/>
      <c r="Q742" s="37"/>
      <c r="R742" s="37"/>
      <c r="S742" s="37"/>
      <c r="T742" s="37"/>
      <c r="U742" s="37"/>
      <c r="V742" s="37"/>
      <c r="W742" s="37"/>
      <c r="X742" s="37"/>
      <c r="Y742" s="37"/>
      <c r="Z742" s="37"/>
      <c r="AA742" s="37"/>
      <c r="AB742" s="37"/>
      <c r="AC742" s="37"/>
      <c r="AD742" s="37"/>
      <c r="AE742" s="37"/>
      <c r="AF742" s="37"/>
      <c r="AG742" s="37"/>
      <c r="AH742" s="37"/>
      <c r="AI742" s="205"/>
      <c r="AJ742" s="205"/>
      <c r="AK742" s="205"/>
      <c r="AL742" s="204"/>
      <c r="AM742" s="204"/>
    </row>
    <row r="743">
      <c r="A743" s="37"/>
      <c r="B743" s="205"/>
      <c r="C743" s="37"/>
      <c r="D743" s="206"/>
      <c r="E743" s="207"/>
      <c r="F743" s="207"/>
      <c r="G743" s="208"/>
      <c r="H743" s="208"/>
      <c r="I743" s="37"/>
      <c r="J743" s="37"/>
      <c r="K743" s="37"/>
      <c r="L743" s="37"/>
      <c r="M743" s="37"/>
      <c r="N743" s="37"/>
      <c r="O743" s="37"/>
      <c r="P743" s="37"/>
      <c r="Q743" s="37"/>
      <c r="R743" s="37"/>
      <c r="S743" s="37"/>
      <c r="T743" s="37"/>
      <c r="U743" s="37"/>
      <c r="V743" s="37"/>
      <c r="W743" s="37"/>
      <c r="X743" s="37"/>
      <c r="Y743" s="37"/>
      <c r="Z743" s="37"/>
      <c r="AA743" s="37"/>
      <c r="AB743" s="37"/>
      <c r="AC743" s="37"/>
      <c r="AD743" s="37"/>
      <c r="AE743" s="37"/>
      <c r="AF743" s="37"/>
      <c r="AG743" s="37"/>
      <c r="AH743" s="37"/>
      <c r="AI743" s="205"/>
      <c r="AJ743" s="205"/>
      <c r="AK743" s="205"/>
      <c r="AL743" s="204"/>
      <c r="AM743" s="204"/>
    </row>
    <row r="744">
      <c r="A744" s="37"/>
      <c r="B744" s="205"/>
      <c r="C744" s="37"/>
      <c r="D744" s="206"/>
      <c r="E744" s="207"/>
      <c r="F744" s="207"/>
      <c r="G744" s="208"/>
      <c r="H744" s="208"/>
      <c r="I744" s="37"/>
      <c r="J744" s="37"/>
      <c r="K744" s="37"/>
      <c r="L744" s="37"/>
      <c r="M744" s="37"/>
      <c r="N744" s="37"/>
      <c r="O744" s="37"/>
      <c r="P744" s="37"/>
      <c r="Q744" s="37"/>
      <c r="R744" s="37"/>
      <c r="S744" s="37"/>
      <c r="T744" s="37"/>
      <c r="U744" s="37"/>
      <c r="V744" s="37"/>
      <c r="W744" s="37"/>
      <c r="X744" s="37"/>
      <c r="Y744" s="37"/>
      <c r="Z744" s="37"/>
      <c r="AA744" s="37"/>
      <c r="AB744" s="37"/>
      <c r="AC744" s="37"/>
      <c r="AD744" s="37"/>
      <c r="AE744" s="37"/>
      <c r="AF744" s="37"/>
      <c r="AG744" s="37"/>
      <c r="AH744" s="37"/>
      <c r="AI744" s="205"/>
      <c r="AJ744" s="205"/>
      <c r="AK744" s="205"/>
      <c r="AL744" s="204"/>
      <c r="AM744" s="204"/>
    </row>
    <row r="745">
      <c r="A745" s="37"/>
      <c r="B745" s="205"/>
      <c r="C745" s="37"/>
      <c r="D745" s="206"/>
      <c r="E745" s="207"/>
      <c r="F745" s="207"/>
      <c r="G745" s="208"/>
      <c r="H745" s="208"/>
      <c r="I745" s="37"/>
      <c r="J745" s="37"/>
      <c r="K745" s="37"/>
      <c r="L745" s="37"/>
      <c r="M745" s="37"/>
      <c r="N745" s="37"/>
      <c r="O745" s="37"/>
      <c r="P745" s="37"/>
      <c r="Q745" s="37"/>
      <c r="R745" s="37"/>
      <c r="S745" s="37"/>
      <c r="T745" s="37"/>
      <c r="U745" s="37"/>
      <c r="V745" s="37"/>
      <c r="W745" s="37"/>
      <c r="X745" s="37"/>
      <c r="Y745" s="37"/>
      <c r="Z745" s="37"/>
      <c r="AA745" s="37"/>
      <c r="AB745" s="37"/>
      <c r="AC745" s="37"/>
      <c r="AD745" s="37"/>
      <c r="AE745" s="37"/>
      <c r="AF745" s="37"/>
      <c r="AG745" s="37"/>
      <c r="AH745" s="37"/>
      <c r="AI745" s="205"/>
      <c r="AJ745" s="205"/>
      <c r="AK745" s="205"/>
      <c r="AL745" s="204"/>
      <c r="AM745" s="204"/>
    </row>
    <row r="746">
      <c r="A746" s="37"/>
      <c r="B746" s="205"/>
      <c r="C746" s="37"/>
      <c r="D746" s="206"/>
      <c r="E746" s="207"/>
      <c r="F746" s="207"/>
      <c r="G746" s="208"/>
      <c r="H746" s="208"/>
      <c r="I746" s="37"/>
      <c r="J746" s="37"/>
      <c r="K746" s="37"/>
      <c r="L746" s="37"/>
      <c r="M746" s="37"/>
      <c r="N746" s="37"/>
      <c r="O746" s="37"/>
      <c r="P746" s="37"/>
      <c r="Q746" s="37"/>
      <c r="R746" s="37"/>
      <c r="S746" s="37"/>
      <c r="T746" s="37"/>
      <c r="U746" s="37"/>
      <c r="V746" s="37"/>
      <c r="W746" s="37"/>
      <c r="X746" s="37"/>
      <c r="Y746" s="37"/>
      <c r="Z746" s="37"/>
      <c r="AA746" s="37"/>
      <c r="AB746" s="37"/>
      <c r="AC746" s="37"/>
      <c r="AD746" s="37"/>
      <c r="AE746" s="37"/>
      <c r="AF746" s="37"/>
      <c r="AG746" s="37"/>
      <c r="AH746" s="37"/>
      <c r="AI746" s="205"/>
      <c r="AJ746" s="205"/>
      <c r="AK746" s="205"/>
      <c r="AL746" s="204"/>
      <c r="AM746" s="204"/>
    </row>
    <row r="747">
      <c r="A747" s="37"/>
      <c r="B747" s="205"/>
      <c r="C747" s="37"/>
      <c r="D747" s="206"/>
      <c r="E747" s="207"/>
      <c r="F747" s="207"/>
      <c r="G747" s="208"/>
      <c r="H747" s="208"/>
      <c r="I747" s="37"/>
      <c r="J747" s="37"/>
      <c r="K747" s="37"/>
      <c r="L747" s="37"/>
      <c r="M747" s="37"/>
      <c r="N747" s="37"/>
      <c r="O747" s="37"/>
      <c r="P747" s="37"/>
      <c r="Q747" s="37"/>
      <c r="R747" s="37"/>
      <c r="S747" s="37"/>
      <c r="T747" s="37"/>
      <c r="U747" s="37"/>
      <c r="V747" s="37"/>
      <c r="W747" s="37"/>
      <c r="X747" s="37"/>
      <c r="Y747" s="37"/>
      <c r="Z747" s="37"/>
      <c r="AA747" s="37"/>
      <c r="AB747" s="37"/>
      <c r="AC747" s="37"/>
      <c r="AD747" s="37"/>
      <c r="AE747" s="37"/>
      <c r="AF747" s="37"/>
      <c r="AG747" s="37"/>
      <c r="AH747" s="37"/>
      <c r="AI747" s="205"/>
      <c r="AJ747" s="205"/>
      <c r="AK747" s="205"/>
      <c r="AL747" s="204"/>
      <c r="AM747" s="204"/>
    </row>
    <row r="748">
      <c r="A748" s="37"/>
      <c r="B748" s="205"/>
      <c r="C748" s="37"/>
      <c r="D748" s="206"/>
      <c r="E748" s="207"/>
      <c r="F748" s="207"/>
      <c r="G748" s="208"/>
      <c r="H748" s="208"/>
      <c r="I748" s="37"/>
      <c r="J748" s="37"/>
      <c r="K748" s="37"/>
      <c r="L748" s="37"/>
      <c r="M748" s="37"/>
      <c r="N748" s="37"/>
      <c r="O748" s="37"/>
      <c r="P748" s="37"/>
      <c r="Q748" s="37"/>
      <c r="R748" s="37"/>
      <c r="S748" s="37"/>
      <c r="T748" s="37"/>
      <c r="U748" s="37"/>
      <c r="V748" s="37"/>
      <c r="W748" s="37"/>
      <c r="X748" s="37"/>
      <c r="Y748" s="37"/>
      <c r="Z748" s="37"/>
      <c r="AA748" s="37"/>
      <c r="AB748" s="37"/>
      <c r="AC748" s="37"/>
      <c r="AD748" s="37"/>
      <c r="AE748" s="37"/>
      <c r="AF748" s="37"/>
      <c r="AG748" s="37"/>
      <c r="AH748" s="37"/>
      <c r="AI748" s="205"/>
      <c r="AJ748" s="205"/>
      <c r="AK748" s="205"/>
      <c r="AL748" s="204"/>
      <c r="AM748" s="204"/>
    </row>
    <row r="749">
      <c r="A749" s="37"/>
      <c r="B749" s="205"/>
      <c r="C749" s="37"/>
      <c r="D749" s="206"/>
      <c r="E749" s="207"/>
      <c r="F749" s="207"/>
      <c r="G749" s="208"/>
      <c r="H749" s="208"/>
      <c r="I749" s="37"/>
      <c r="J749" s="37"/>
      <c r="K749" s="37"/>
      <c r="L749" s="37"/>
      <c r="M749" s="37"/>
      <c r="N749" s="37"/>
      <c r="O749" s="37"/>
      <c r="P749" s="37"/>
      <c r="Q749" s="37"/>
      <c r="R749" s="37"/>
      <c r="S749" s="37"/>
      <c r="T749" s="37"/>
      <c r="U749" s="37"/>
      <c r="V749" s="37"/>
      <c r="W749" s="37"/>
      <c r="X749" s="37"/>
      <c r="Y749" s="37"/>
      <c r="Z749" s="37"/>
      <c r="AA749" s="37"/>
      <c r="AB749" s="37"/>
      <c r="AC749" s="37"/>
      <c r="AD749" s="37"/>
      <c r="AE749" s="37"/>
      <c r="AF749" s="37"/>
      <c r="AG749" s="37"/>
      <c r="AH749" s="37"/>
      <c r="AI749" s="205"/>
      <c r="AJ749" s="205"/>
      <c r="AK749" s="205"/>
      <c r="AL749" s="204"/>
      <c r="AM749" s="204"/>
    </row>
    <row r="750">
      <c r="A750" s="37"/>
      <c r="B750" s="205"/>
      <c r="C750" s="37"/>
      <c r="D750" s="206"/>
      <c r="E750" s="207"/>
      <c r="F750" s="207"/>
      <c r="G750" s="208"/>
      <c r="H750" s="208"/>
      <c r="I750" s="37"/>
      <c r="J750" s="37"/>
      <c r="K750" s="37"/>
      <c r="L750" s="37"/>
      <c r="M750" s="37"/>
      <c r="N750" s="37"/>
      <c r="O750" s="37"/>
      <c r="P750" s="37"/>
      <c r="Q750" s="37"/>
      <c r="R750" s="37"/>
      <c r="S750" s="37"/>
      <c r="T750" s="37"/>
      <c r="U750" s="37"/>
      <c r="V750" s="37"/>
      <c r="W750" s="37"/>
      <c r="X750" s="37"/>
      <c r="Y750" s="37"/>
      <c r="Z750" s="37"/>
      <c r="AA750" s="37"/>
      <c r="AB750" s="37"/>
      <c r="AC750" s="37"/>
      <c r="AD750" s="37"/>
      <c r="AE750" s="37"/>
      <c r="AF750" s="37"/>
      <c r="AG750" s="37"/>
      <c r="AH750" s="37"/>
      <c r="AI750" s="205"/>
      <c r="AJ750" s="205"/>
      <c r="AK750" s="205"/>
      <c r="AL750" s="204"/>
      <c r="AM750" s="204"/>
    </row>
    <row r="751">
      <c r="A751" s="37"/>
      <c r="B751" s="205"/>
      <c r="C751" s="37"/>
      <c r="D751" s="206"/>
      <c r="E751" s="207"/>
      <c r="F751" s="207"/>
      <c r="G751" s="208"/>
      <c r="H751" s="208"/>
      <c r="I751" s="37"/>
      <c r="J751" s="37"/>
      <c r="K751" s="37"/>
      <c r="L751" s="37"/>
      <c r="M751" s="37"/>
      <c r="N751" s="37"/>
      <c r="O751" s="37"/>
      <c r="P751" s="37"/>
      <c r="Q751" s="37"/>
      <c r="R751" s="37"/>
      <c r="S751" s="37"/>
      <c r="T751" s="37"/>
      <c r="U751" s="37"/>
      <c r="V751" s="37"/>
      <c r="W751" s="37"/>
      <c r="X751" s="37"/>
      <c r="Y751" s="37"/>
      <c r="Z751" s="37"/>
      <c r="AA751" s="37"/>
      <c r="AB751" s="37"/>
      <c r="AC751" s="37"/>
      <c r="AD751" s="37"/>
      <c r="AE751" s="37"/>
      <c r="AF751" s="37"/>
      <c r="AG751" s="37"/>
      <c r="AH751" s="37"/>
      <c r="AI751" s="205"/>
      <c r="AJ751" s="205"/>
      <c r="AK751" s="205"/>
      <c r="AL751" s="204"/>
      <c r="AM751" s="204"/>
    </row>
    <row r="752">
      <c r="A752" s="37"/>
      <c r="B752" s="205"/>
      <c r="C752" s="37"/>
      <c r="D752" s="206"/>
      <c r="E752" s="207"/>
      <c r="F752" s="207"/>
      <c r="G752" s="208"/>
      <c r="H752" s="208"/>
      <c r="I752" s="37"/>
      <c r="J752" s="37"/>
      <c r="K752" s="37"/>
      <c r="L752" s="37"/>
      <c r="M752" s="37"/>
      <c r="N752" s="37"/>
      <c r="O752" s="37"/>
      <c r="P752" s="37"/>
      <c r="Q752" s="37"/>
      <c r="R752" s="37"/>
      <c r="S752" s="37"/>
      <c r="T752" s="37"/>
      <c r="U752" s="37"/>
      <c r="V752" s="37"/>
      <c r="W752" s="37"/>
      <c r="X752" s="37"/>
      <c r="Y752" s="37"/>
      <c r="Z752" s="37"/>
      <c r="AA752" s="37"/>
      <c r="AB752" s="37"/>
      <c r="AC752" s="37"/>
      <c r="AD752" s="37"/>
      <c r="AE752" s="37"/>
      <c r="AF752" s="37"/>
      <c r="AG752" s="37"/>
      <c r="AH752" s="37"/>
      <c r="AI752" s="205"/>
      <c r="AJ752" s="205"/>
      <c r="AK752" s="205"/>
      <c r="AL752" s="204"/>
      <c r="AM752" s="204"/>
    </row>
    <row r="753">
      <c r="A753" s="37"/>
      <c r="B753" s="205"/>
      <c r="C753" s="37"/>
      <c r="D753" s="206"/>
      <c r="E753" s="207"/>
      <c r="F753" s="207"/>
      <c r="G753" s="208"/>
      <c r="H753" s="208"/>
      <c r="I753" s="37"/>
      <c r="J753" s="37"/>
      <c r="K753" s="37"/>
      <c r="L753" s="37"/>
      <c r="M753" s="37"/>
      <c r="N753" s="37"/>
      <c r="O753" s="37"/>
      <c r="P753" s="37"/>
      <c r="Q753" s="37"/>
      <c r="R753" s="37"/>
      <c r="S753" s="37"/>
      <c r="T753" s="37"/>
      <c r="U753" s="37"/>
      <c r="V753" s="37"/>
      <c r="W753" s="37"/>
      <c r="X753" s="37"/>
      <c r="Y753" s="37"/>
      <c r="Z753" s="37"/>
      <c r="AA753" s="37"/>
      <c r="AB753" s="37"/>
      <c r="AC753" s="37"/>
      <c r="AD753" s="37"/>
      <c r="AE753" s="37"/>
      <c r="AF753" s="37"/>
      <c r="AG753" s="37"/>
      <c r="AH753" s="37"/>
      <c r="AI753" s="205"/>
      <c r="AJ753" s="205"/>
      <c r="AK753" s="205"/>
      <c r="AL753" s="204"/>
      <c r="AM753" s="204"/>
    </row>
    <row r="754">
      <c r="A754" s="37"/>
      <c r="B754" s="205"/>
      <c r="C754" s="37"/>
      <c r="D754" s="206"/>
      <c r="E754" s="207"/>
      <c r="F754" s="207"/>
      <c r="G754" s="208"/>
      <c r="H754" s="208"/>
      <c r="I754" s="37"/>
      <c r="J754" s="37"/>
      <c r="K754" s="37"/>
      <c r="L754" s="37"/>
      <c r="M754" s="37"/>
      <c r="N754" s="37"/>
      <c r="O754" s="37"/>
      <c r="P754" s="37"/>
      <c r="Q754" s="37"/>
      <c r="R754" s="37"/>
      <c r="S754" s="37"/>
      <c r="T754" s="37"/>
      <c r="U754" s="37"/>
      <c r="V754" s="37"/>
      <c r="W754" s="37"/>
      <c r="X754" s="37"/>
      <c r="Y754" s="37"/>
      <c r="Z754" s="37"/>
      <c r="AA754" s="37"/>
      <c r="AB754" s="37"/>
      <c r="AC754" s="37"/>
      <c r="AD754" s="37"/>
      <c r="AE754" s="37"/>
      <c r="AF754" s="37"/>
      <c r="AG754" s="37"/>
      <c r="AH754" s="37"/>
      <c r="AI754" s="205"/>
      <c r="AJ754" s="205"/>
      <c r="AK754" s="205"/>
      <c r="AL754" s="204"/>
      <c r="AM754" s="204"/>
    </row>
    <row r="755">
      <c r="A755" s="37"/>
      <c r="B755" s="205"/>
      <c r="C755" s="37"/>
      <c r="D755" s="206"/>
      <c r="E755" s="207"/>
      <c r="F755" s="207"/>
      <c r="G755" s="208"/>
      <c r="H755" s="208"/>
      <c r="I755" s="37"/>
      <c r="J755" s="37"/>
      <c r="K755" s="37"/>
      <c r="L755" s="37"/>
      <c r="M755" s="37"/>
      <c r="N755" s="37"/>
      <c r="O755" s="37"/>
      <c r="P755" s="37"/>
      <c r="Q755" s="37"/>
      <c r="R755" s="37"/>
      <c r="S755" s="37"/>
      <c r="T755" s="37"/>
      <c r="U755" s="37"/>
      <c r="V755" s="37"/>
      <c r="W755" s="37"/>
      <c r="X755" s="37"/>
      <c r="Y755" s="37"/>
      <c r="Z755" s="37"/>
      <c r="AA755" s="37"/>
      <c r="AB755" s="37"/>
      <c r="AC755" s="37"/>
      <c r="AD755" s="37"/>
      <c r="AE755" s="37"/>
      <c r="AF755" s="37"/>
      <c r="AG755" s="37"/>
      <c r="AH755" s="37"/>
      <c r="AI755" s="205"/>
      <c r="AJ755" s="205"/>
      <c r="AK755" s="205"/>
      <c r="AL755" s="204"/>
      <c r="AM755" s="204"/>
    </row>
    <row r="756">
      <c r="A756" s="37"/>
      <c r="B756" s="205"/>
      <c r="C756" s="37"/>
      <c r="D756" s="206"/>
      <c r="E756" s="207"/>
      <c r="F756" s="207"/>
      <c r="G756" s="208"/>
      <c r="H756" s="208"/>
      <c r="I756" s="37"/>
      <c r="J756" s="37"/>
      <c r="K756" s="37"/>
      <c r="L756" s="37"/>
      <c r="M756" s="37"/>
      <c r="N756" s="37"/>
      <c r="O756" s="37"/>
      <c r="P756" s="37"/>
      <c r="Q756" s="37"/>
      <c r="R756" s="37"/>
      <c r="S756" s="37"/>
      <c r="T756" s="37"/>
      <c r="U756" s="37"/>
      <c r="V756" s="37"/>
      <c r="W756" s="37"/>
      <c r="X756" s="37"/>
      <c r="Y756" s="37"/>
      <c r="Z756" s="37"/>
      <c r="AA756" s="37"/>
      <c r="AB756" s="37"/>
      <c r="AC756" s="37"/>
      <c r="AD756" s="37"/>
      <c r="AE756" s="37"/>
      <c r="AF756" s="37"/>
      <c r="AG756" s="37"/>
      <c r="AH756" s="37"/>
      <c r="AI756" s="205"/>
      <c r="AJ756" s="205"/>
      <c r="AK756" s="205"/>
      <c r="AL756" s="204"/>
      <c r="AM756" s="204"/>
    </row>
    <row r="757">
      <c r="A757" s="37"/>
      <c r="B757" s="205"/>
      <c r="C757" s="37"/>
      <c r="D757" s="206"/>
      <c r="E757" s="207"/>
      <c r="F757" s="207"/>
      <c r="G757" s="208"/>
      <c r="H757" s="208"/>
      <c r="I757" s="37"/>
      <c r="J757" s="37"/>
      <c r="K757" s="37"/>
      <c r="L757" s="37"/>
      <c r="M757" s="37"/>
      <c r="N757" s="37"/>
      <c r="O757" s="37"/>
      <c r="P757" s="37"/>
      <c r="Q757" s="37"/>
      <c r="R757" s="37"/>
      <c r="S757" s="37"/>
      <c r="T757" s="37"/>
      <c r="U757" s="37"/>
      <c r="V757" s="37"/>
      <c r="W757" s="37"/>
      <c r="X757" s="37"/>
      <c r="Y757" s="37"/>
      <c r="Z757" s="37"/>
      <c r="AA757" s="37"/>
      <c r="AB757" s="37"/>
      <c r="AC757" s="37"/>
      <c r="AD757" s="37"/>
      <c r="AE757" s="37"/>
      <c r="AF757" s="37"/>
      <c r="AG757" s="37"/>
      <c r="AH757" s="37"/>
      <c r="AI757" s="205"/>
      <c r="AJ757" s="205"/>
      <c r="AK757" s="205"/>
      <c r="AL757" s="204"/>
      <c r="AM757" s="204"/>
    </row>
    <row r="758">
      <c r="A758" s="37"/>
      <c r="B758" s="205"/>
      <c r="C758" s="37"/>
      <c r="D758" s="206"/>
      <c r="E758" s="207"/>
      <c r="F758" s="207"/>
      <c r="G758" s="208"/>
      <c r="H758" s="208"/>
      <c r="I758" s="37"/>
      <c r="J758" s="37"/>
      <c r="K758" s="37"/>
      <c r="L758" s="37"/>
      <c r="M758" s="37"/>
      <c r="N758" s="37"/>
      <c r="O758" s="37"/>
      <c r="P758" s="37"/>
      <c r="Q758" s="37"/>
      <c r="R758" s="37"/>
      <c r="S758" s="37"/>
      <c r="T758" s="37"/>
      <c r="U758" s="37"/>
      <c r="V758" s="37"/>
      <c r="W758" s="37"/>
      <c r="X758" s="37"/>
      <c r="Y758" s="37"/>
      <c r="Z758" s="37"/>
      <c r="AA758" s="37"/>
      <c r="AB758" s="37"/>
      <c r="AC758" s="37"/>
      <c r="AD758" s="37"/>
      <c r="AE758" s="37"/>
      <c r="AF758" s="37"/>
      <c r="AG758" s="37"/>
      <c r="AH758" s="37"/>
      <c r="AI758" s="205"/>
      <c r="AJ758" s="205"/>
      <c r="AK758" s="205"/>
      <c r="AL758" s="204"/>
      <c r="AM758" s="204"/>
    </row>
    <row r="759">
      <c r="A759" s="37"/>
      <c r="B759" s="205"/>
      <c r="C759" s="37"/>
      <c r="D759" s="206"/>
      <c r="E759" s="207"/>
      <c r="F759" s="207"/>
      <c r="G759" s="208"/>
      <c r="H759" s="208"/>
      <c r="I759" s="37"/>
      <c r="J759" s="37"/>
      <c r="K759" s="37"/>
      <c r="L759" s="37"/>
      <c r="M759" s="37"/>
      <c r="N759" s="37"/>
      <c r="O759" s="37"/>
      <c r="P759" s="37"/>
      <c r="Q759" s="37"/>
      <c r="R759" s="37"/>
      <c r="S759" s="37"/>
      <c r="T759" s="37"/>
      <c r="U759" s="37"/>
      <c r="V759" s="37"/>
      <c r="W759" s="37"/>
      <c r="X759" s="37"/>
      <c r="Y759" s="37"/>
      <c r="Z759" s="37"/>
      <c r="AA759" s="37"/>
      <c r="AB759" s="37"/>
      <c r="AC759" s="37"/>
      <c r="AD759" s="37"/>
      <c r="AE759" s="37"/>
      <c r="AF759" s="37"/>
      <c r="AG759" s="37"/>
      <c r="AH759" s="37"/>
      <c r="AI759" s="205"/>
      <c r="AJ759" s="205"/>
      <c r="AK759" s="205"/>
      <c r="AL759" s="204"/>
      <c r="AM759" s="204"/>
    </row>
    <row r="760">
      <c r="A760" s="37"/>
      <c r="B760" s="205"/>
      <c r="C760" s="37"/>
      <c r="D760" s="206"/>
      <c r="E760" s="207"/>
      <c r="F760" s="207"/>
      <c r="G760" s="208"/>
      <c r="H760" s="208"/>
      <c r="I760" s="37"/>
      <c r="J760" s="37"/>
      <c r="K760" s="37"/>
      <c r="L760" s="37"/>
      <c r="M760" s="37"/>
      <c r="N760" s="37"/>
      <c r="O760" s="37"/>
      <c r="P760" s="37"/>
      <c r="Q760" s="37"/>
      <c r="R760" s="37"/>
      <c r="S760" s="37"/>
      <c r="T760" s="37"/>
      <c r="U760" s="37"/>
      <c r="V760" s="37"/>
      <c r="W760" s="37"/>
      <c r="X760" s="37"/>
      <c r="Y760" s="37"/>
      <c r="Z760" s="37"/>
      <c r="AA760" s="37"/>
      <c r="AB760" s="37"/>
      <c r="AC760" s="37"/>
      <c r="AD760" s="37"/>
      <c r="AE760" s="37"/>
      <c r="AF760" s="37"/>
      <c r="AG760" s="37"/>
      <c r="AH760" s="37"/>
      <c r="AI760" s="205"/>
      <c r="AJ760" s="205"/>
      <c r="AK760" s="205"/>
      <c r="AL760" s="204"/>
      <c r="AM760" s="204"/>
    </row>
    <row r="761">
      <c r="A761" s="37"/>
      <c r="B761" s="205"/>
      <c r="C761" s="37"/>
      <c r="D761" s="206"/>
      <c r="E761" s="207"/>
      <c r="F761" s="207"/>
      <c r="G761" s="208"/>
      <c r="H761" s="208"/>
      <c r="I761" s="37"/>
      <c r="J761" s="37"/>
      <c r="K761" s="37"/>
      <c r="L761" s="37"/>
      <c r="M761" s="37"/>
      <c r="N761" s="37"/>
      <c r="O761" s="37"/>
      <c r="P761" s="37"/>
      <c r="Q761" s="37"/>
      <c r="R761" s="37"/>
      <c r="S761" s="37"/>
      <c r="T761" s="37"/>
      <c r="U761" s="37"/>
      <c r="V761" s="37"/>
      <c r="W761" s="37"/>
      <c r="X761" s="37"/>
      <c r="Y761" s="37"/>
      <c r="Z761" s="37"/>
      <c r="AA761" s="37"/>
      <c r="AB761" s="37"/>
      <c r="AC761" s="37"/>
      <c r="AD761" s="37"/>
      <c r="AE761" s="37"/>
      <c r="AF761" s="37"/>
      <c r="AG761" s="37"/>
      <c r="AH761" s="37"/>
      <c r="AI761" s="205"/>
      <c r="AJ761" s="205"/>
      <c r="AK761" s="205"/>
      <c r="AL761" s="204"/>
      <c r="AM761" s="204"/>
    </row>
    <row r="762">
      <c r="A762" s="37"/>
      <c r="B762" s="205"/>
      <c r="C762" s="37"/>
      <c r="D762" s="206"/>
      <c r="E762" s="207"/>
      <c r="F762" s="207"/>
      <c r="G762" s="208"/>
      <c r="H762" s="208"/>
      <c r="I762" s="37"/>
      <c r="J762" s="37"/>
      <c r="K762" s="37"/>
      <c r="L762" s="37"/>
      <c r="M762" s="37"/>
      <c r="N762" s="37"/>
      <c r="O762" s="37"/>
      <c r="P762" s="37"/>
      <c r="Q762" s="37"/>
      <c r="R762" s="37"/>
      <c r="S762" s="37"/>
      <c r="T762" s="37"/>
      <c r="U762" s="37"/>
      <c r="V762" s="37"/>
      <c r="W762" s="37"/>
      <c r="X762" s="37"/>
      <c r="Y762" s="37"/>
      <c r="Z762" s="37"/>
      <c r="AA762" s="37"/>
      <c r="AB762" s="37"/>
      <c r="AC762" s="37"/>
      <c r="AD762" s="37"/>
      <c r="AE762" s="37"/>
      <c r="AF762" s="37"/>
      <c r="AG762" s="37"/>
      <c r="AH762" s="37"/>
      <c r="AI762" s="205"/>
      <c r="AJ762" s="205"/>
      <c r="AK762" s="205"/>
      <c r="AL762" s="204"/>
      <c r="AM762" s="204"/>
    </row>
    <row r="763">
      <c r="A763" s="37"/>
      <c r="B763" s="205"/>
      <c r="C763" s="37"/>
      <c r="D763" s="206"/>
      <c r="E763" s="207"/>
      <c r="F763" s="207"/>
      <c r="G763" s="208"/>
      <c r="H763" s="208"/>
      <c r="I763" s="37"/>
      <c r="J763" s="37"/>
      <c r="K763" s="37"/>
      <c r="L763" s="37"/>
      <c r="M763" s="37"/>
      <c r="N763" s="37"/>
      <c r="O763" s="37"/>
      <c r="P763" s="37"/>
      <c r="Q763" s="37"/>
      <c r="R763" s="37"/>
      <c r="S763" s="37"/>
      <c r="T763" s="37"/>
      <c r="U763" s="37"/>
      <c r="V763" s="37"/>
      <c r="W763" s="37"/>
      <c r="X763" s="37"/>
      <c r="Y763" s="37"/>
      <c r="Z763" s="37"/>
      <c r="AA763" s="37"/>
      <c r="AB763" s="37"/>
      <c r="AC763" s="37"/>
      <c r="AD763" s="37"/>
      <c r="AE763" s="37"/>
      <c r="AF763" s="37"/>
      <c r="AG763" s="37"/>
      <c r="AH763" s="37"/>
      <c r="AI763" s="205"/>
      <c r="AJ763" s="205"/>
      <c r="AK763" s="205"/>
      <c r="AL763" s="204"/>
      <c r="AM763" s="204"/>
    </row>
    <row r="764">
      <c r="A764" s="37"/>
      <c r="B764" s="205"/>
      <c r="C764" s="37"/>
      <c r="D764" s="206"/>
      <c r="E764" s="207"/>
      <c r="F764" s="207"/>
      <c r="G764" s="208"/>
      <c r="H764" s="208"/>
      <c r="I764" s="37"/>
      <c r="J764" s="37"/>
      <c r="K764" s="37"/>
      <c r="L764" s="37"/>
      <c r="M764" s="37"/>
      <c r="N764" s="37"/>
      <c r="O764" s="37"/>
      <c r="P764" s="37"/>
      <c r="Q764" s="37"/>
      <c r="R764" s="37"/>
      <c r="S764" s="37"/>
      <c r="T764" s="37"/>
      <c r="U764" s="37"/>
      <c r="V764" s="37"/>
      <c r="W764" s="37"/>
      <c r="X764" s="37"/>
      <c r="Y764" s="37"/>
      <c r="Z764" s="37"/>
      <c r="AA764" s="37"/>
      <c r="AB764" s="37"/>
      <c r="AC764" s="37"/>
      <c r="AD764" s="37"/>
      <c r="AE764" s="37"/>
      <c r="AF764" s="37"/>
      <c r="AG764" s="37"/>
      <c r="AH764" s="37"/>
      <c r="AI764" s="205"/>
      <c r="AJ764" s="205"/>
      <c r="AK764" s="205"/>
      <c r="AL764" s="204"/>
      <c r="AM764" s="204"/>
    </row>
    <row r="765">
      <c r="A765" s="37"/>
      <c r="B765" s="205"/>
      <c r="C765" s="37"/>
      <c r="D765" s="206"/>
      <c r="E765" s="207"/>
      <c r="F765" s="207"/>
      <c r="G765" s="208"/>
      <c r="H765" s="208"/>
      <c r="I765" s="37"/>
      <c r="J765" s="37"/>
      <c r="K765" s="37"/>
      <c r="L765" s="37"/>
      <c r="M765" s="37"/>
      <c r="N765" s="37"/>
      <c r="O765" s="37"/>
      <c r="P765" s="37"/>
      <c r="Q765" s="37"/>
      <c r="R765" s="37"/>
      <c r="S765" s="37"/>
      <c r="T765" s="37"/>
      <c r="U765" s="37"/>
      <c r="V765" s="37"/>
      <c r="W765" s="37"/>
      <c r="X765" s="37"/>
      <c r="Y765" s="37"/>
      <c r="Z765" s="37"/>
      <c r="AA765" s="37"/>
      <c r="AB765" s="37"/>
      <c r="AC765" s="37"/>
      <c r="AD765" s="37"/>
      <c r="AE765" s="37"/>
      <c r="AF765" s="37"/>
      <c r="AG765" s="37"/>
      <c r="AH765" s="37"/>
      <c r="AI765" s="205"/>
      <c r="AJ765" s="205"/>
      <c r="AK765" s="205"/>
      <c r="AL765" s="204"/>
      <c r="AM765" s="204"/>
    </row>
    <row r="766">
      <c r="A766" s="37"/>
      <c r="B766" s="205"/>
      <c r="C766" s="37"/>
      <c r="D766" s="206"/>
      <c r="E766" s="207"/>
      <c r="F766" s="207"/>
      <c r="G766" s="208"/>
      <c r="H766" s="208"/>
      <c r="I766" s="37"/>
      <c r="J766" s="37"/>
      <c r="K766" s="37"/>
      <c r="L766" s="37"/>
      <c r="M766" s="37"/>
      <c r="N766" s="37"/>
      <c r="O766" s="37"/>
      <c r="P766" s="37"/>
      <c r="Q766" s="37"/>
      <c r="R766" s="37"/>
      <c r="S766" s="37"/>
      <c r="T766" s="37"/>
      <c r="U766" s="37"/>
      <c r="V766" s="37"/>
      <c r="W766" s="37"/>
      <c r="X766" s="37"/>
      <c r="Y766" s="37"/>
      <c r="Z766" s="37"/>
      <c r="AA766" s="37"/>
      <c r="AB766" s="37"/>
      <c r="AC766" s="37"/>
      <c r="AD766" s="37"/>
      <c r="AE766" s="37"/>
      <c r="AF766" s="37"/>
      <c r="AG766" s="37"/>
      <c r="AH766" s="37"/>
      <c r="AI766" s="205"/>
      <c r="AJ766" s="205"/>
      <c r="AK766" s="205"/>
      <c r="AL766" s="204"/>
      <c r="AM766" s="204"/>
    </row>
    <row r="767">
      <c r="A767" s="37"/>
      <c r="B767" s="205"/>
      <c r="C767" s="37"/>
      <c r="D767" s="206"/>
      <c r="E767" s="207"/>
      <c r="F767" s="207"/>
      <c r="G767" s="208"/>
      <c r="H767" s="208"/>
      <c r="I767" s="37"/>
      <c r="J767" s="37"/>
      <c r="K767" s="37"/>
      <c r="L767" s="37"/>
      <c r="M767" s="37"/>
      <c r="N767" s="37"/>
      <c r="O767" s="37"/>
      <c r="P767" s="37"/>
      <c r="Q767" s="37"/>
      <c r="R767" s="37"/>
      <c r="S767" s="37"/>
      <c r="T767" s="37"/>
      <c r="U767" s="37"/>
      <c r="V767" s="37"/>
      <c r="W767" s="37"/>
      <c r="X767" s="37"/>
      <c r="Y767" s="37"/>
      <c r="Z767" s="37"/>
      <c r="AA767" s="37"/>
      <c r="AB767" s="37"/>
      <c r="AC767" s="37"/>
      <c r="AD767" s="37"/>
      <c r="AE767" s="37"/>
      <c r="AF767" s="37"/>
      <c r="AG767" s="37"/>
      <c r="AH767" s="37"/>
      <c r="AI767" s="205"/>
      <c r="AJ767" s="205"/>
      <c r="AK767" s="205"/>
      <c r="AL767" s="204"/>
      <c r="AM767" s="204"/>
    </row>
    <row r="768">
      <c r="A768" s="37"/>
      <c r="B768" s="205"/>
      <c r="C768" s="37"/>
      <c r="D768" s="206"/>
      <c r="E768" s="207"/>
      <c r="F768" s="207"/>
      <c r="G768" s="208"/>
      <c r="H768" s="208"/>
      <c r="I768" s="37"/>
      <c r="J768" s="37"/>
      <c r="K768" s="37"/>
      <c r="L768" s="37"/>
      <c r="M768" s="37"/>
      <c r="N768" s="37"/>
      <c r="O768" s="37"/>
      <c r="P768" s="37"/>
      <c r="Q768" s="37"/>
      <c r="R768" s="37"/>
      <c r="S768" s="37"/>
      <c r="T768" s="37"/>
      <c r="U768" s="37"/>
      <c r="V768" s="37"/>
      <c r="W768" s="37"/>
      <c r="X768" s="37"/>
      <c r="Y768" s="37"/>
      <c r="Z768" s="37"/>
      <c r="AA768" s="37"/>
      <c r="AB768" s="37"/>
      <c r="AC768" s="37"/>
      <c r="AD768" s="37"/>
      <c r="AE768" s="37"/>
      <c r="AF768" s="37"/>
      <c r="AG768" s="37"/>
      <c r="AH768" s="37"/>
      <c r="AI768" s="205"/>
      <c r="AJ768" s="205"/>
      <c r="AK768" s="205"/>
      <c r="AL768" s="204"/>
      <c r="AM768" s="204"/>
    </row>
    <row r="769">
      <c r="A769" s="37"/>
      <c r="B769" s="205"/>
      <c r="C769" s="37"/>
      <c r="D769" s="206"/>
      <c r="E769" s="207"/>
      <c r="F769" s="207"/>
      <c r="G769" s="208"/>
      <c r="H769" s="208"/>
      <c r="I769" s="37"/>
      <c r="J769" s="37"/>
      <c r="K769" s="37"/>
      <c r="L769" s="37"/>
      <c r="M769" s="37"/>
      <c r="N769" s="37"/>
      <c r="O769" s="37"/>
      <c r="P769" s="37"/>
      <c r="Q769" s="37"/>
      <c r="R769" s="37"/>
      <c r="S769" s="37"/>
      <c r="T769" s="37"/>
      <c r="U769" s="37"/>
      <c r="V769" s="37"/>
      <c r="W769" s="37"/>
      <c r="X769" s="37"/>
      <c r="Y769" s="37"/>
      <c r="Z769" s="37"/>
      <c r="AA769" s="37"/>
      <c r="AB769" s="37"/>
      <c r="AC769" s="37"/>
      <c r="AD769" s="37"/>
      <c r="AE769" s="37"/>
      <c r="AF769" s="37"/>
      <c r="AG769" s="37"/>
      <c r="AH769" s="37"/>
      <c r="AI769" s="205"/>
      <c r="AJ769" s="205"/>
      <c r="AK769" s="205"/>
      <c r="AL769" s="204"/>
      <c r="AM769" s="204"/>
    </row>
    <row r="770">
      <c r="A770" s="37"/>
      <c r="B770" s="205"/>
      <c r="C770" s="37"/>
      <c r="D770" s="206"/>
      <c r="E770" s="207"/>
      <c r="F770" s="207"/>
      <c r="G770" s="208"/>
      <c r="H770" s="208"/>
      <c r="I770" s="37"/>
      <c r="J770" s="37"/>
      <c r="K770" s="37"/>
      <c r="L770" s="37"/>
      <c r="M770" s="37"/>
      <c r="N770" s="37"/>
      <c r="O770" s="37"/>
      <c r="P770" s="37"/>
      <c r="Q770" s="37"/>
      <c r="R770" s="37"/>
      <c r="S770" s="37"/>
      <c r="T770" s="37"/>
      <c r="U770" s="37"/>
      <c r="V770" s="37"/>
      <c r="W770" s="37"/>
      <c r="X770" s="37"/>
      <c r="Y770" s="37"/>
      <c r="Z770" s="37"/>
      <c r="AA770" s="37"/>
      <c r="AB770" s="37"/>
      <c r="AC770" s="37"/>
      <c r="AD770" s="37"/>
      <c r="AE770" s="37"/>
      <c r="AF770" s="37"/>
      <c r="AG770" s="37"/>
      <c r="AH770" s="37"/>
      <c r="AI770" s="205"/>
      <c r="AJ770" s="205"/>
      <c r="AK770" s="205"/>
      <c r="AL770" s="204"/>
      <c r="AM770" s="204"/>
    </row>
    <row r="771">
      <c r="A771" s="37"/>
      <c r="B771" s="205"/>
      <c r="C771" s="37"/>
      <c r="D771" s="206"/>
      <c r="E771" s="207"/>
      <c r="F771" s="207"/>
      <c r="G771" s="208"/>
      <c r="H771" s="208"/>
      <c r="I771" s="37"/>
      <c r="J771" s="37"/>
      <c r="K771" s="37"/>
      <c r="L771" s="37"/>
      <c r="M771" s="37"/>
      <c r="N771" s="37"/>
      <c r="O771" s="37"/>
      <c r="P771" s="37"/>
      <c r="Q771" s="37"/>
      <c r="R771" s="37"/>
      <c r="S771" s="37"/>
      <c r="T771" s="37"/>
      <c r="U771" s="37"/>
      <c r="V771" s="37"/>
      <c r="W771" s="37"/>
      <c r="X771" s="37"/>
      <c r="Y771" s="37"/>
      <c r="Z771" s="37"/>
      <c r="AA771" s="37"/>
      <c r="AB771" s="37"/>
      <c r="AC771" s="37"/>
      <c r="AD771" s="37"/>
      <c r="AE771" s="37"/>
      <c r="AF771" s="37"/>
      <c r="AG771" s="37"/>
      <c r="AH771" s="37"/>
      <c r="AI771" s="205"/>
      <c r="AJ771" s="205"/>
      <c r="AK771" s="205"/>
      <c r="AL771" s="204"/>
      <c r="AM771" s="204"/>
    </row>
    <row r="772">
      <c r="A772" s="37"/>
      <c r="B772" s="205"/>
      <c r="C772" s="37"/>
      <c r="D772" s="206"/>
      <c r="E772" s="207"/>
      <c r="F772" s="207"/>
      <c r="G772" s="208"/>
      <c r="H772" s="208"/>
      <c r="I772" s="37"/>
      <c r="J772" s="37"/>
      <c r="K772" s="37"/>
      <c r="L772" s="37"/>
      <c r="M772" s="37"/>
      <c r="N772" s="37"/>
      <c r="O772" s="37"/>
      <c r="P772" s="37"/>
      <c r="Q772" s="37"/>
      <c r="R772" s="37"/>
      <c r="S772" s="37"/>
      <c r="T772" s="37"/>
      <c r="U772" s="37"/>
      <c r="V772" s="37"/>
      <c r="W772" s="37"/>
      <c r="X772" s="37"/>
      <c r="Y772" s="37"/>
      <c r="Z772" s="37"/>
      <c r="AA772" s="37"/>
      <c r="AB772" s="37"/>
      <c r="AC772" s="37"/>
      <c r="AD772" s="37"/>
      <c r="AE772" s="37"/>
      <c r="AF772" s="37"/>
      <c r="AG772" s="37"/>
      <c r="AH772" s="37"/>
      <c r="AI772" s="205"/>
      <c r="AJ772" s="205"/>
      <c r="AK772" s="205"/>
      <c r="AL772" s="204"/>
      <c r="AM772" s="204"/>
    </row>
    <row r="773">
      <c r="A773" s="37"/>
      <c r="B773" s="205"/>
      <c r="C773" s="37"/>
      <c r="D773" s="206"/>
      <c r="E773" s="207"/>
      <c r="F773" s="207"/>
      <c r="G773" s="208"/>
      <c r="H773" s="208"/>
      <c r="I773" s="37"/>
      <c r="J773" s="37"/>
      <c r="K773" s="37"/>
      <c r="L773" s="37"/>
      <c r="M773" s="37"/>
      <c r="N773" s="37"/>
      <c r="O773" s="37"/>
      <c r="P773" s="37"/>
      <c r="Q773" s="37"/>
      <c r="R773" s="37"/>
      <c r="S773" s="37"/>
      <c r="T773" s="37"/>
      <c r="U773" s="37"/>
      <c r="V773" s="37"/>
      <c r="W773" s="37"/>
      <c r="X773" s="37"/>
      <c r="Y773" s="37"/>
      <c r="Z773" s="37"/>
      <c r="AA773" s="37"/>
      <c r="AB773" s="37"/>
      <c r="AC773" s="37"/>
      <c r="AD773" s="37"/>
      <c r="AE773" s="37"/>
      <c r="AF773" s="37"/>
      <c r="AG773" s="37"/>
      <c r="AH773" s="37"/>
      <c r="AI773" s="205"/>
      <c r="AJ773" s="205"/>
      <c r="AK773" s="205"/>
      <c r="AL773" s="204"/>
      <c r="AM773" s="204"/>
    </row>
    <row r="774">
      <c r="A774" s="37"/>
      <c r="B774" s="205"/>
      <c r="C774" s="37"/>
      <c r="D774" s="206"/>
      <c r="E774" s="207"/>
      <c r="F774" s="207"/>
      <c r="G774" s="208"/>
      <c r="H774" s="208"/>
      <c r="I774" s="37"/>
      <c r="J774" s="37"/>
      <c r="K774" s="37"/>
      <c r="L774" s="37"/>
      <c r="M774" s="37"/>
      <c r="N774" s="37"/>
      <c r="O774" s="37"/>
      <c r="P774" s="37"/>
      <c r="Q774" s="37"/>
      <c r="R774" s="37"/>
      <c r="S774" s="37"/>
      <c r="T774" s="37"/>
      <c r="U774" s="37"/>
      <c r="V774" s="37"/>
      <c r="W774" s="37"/>
      <c r="X774" s="37"/>
      <c r="Y774" s="37"/>
      <c r="Z774" s="37"/>
      <c r="AA774" s="37"/>
      <c r="AB774" s="37"/>
      <c r="AC774" s="37"/>
      <c r="AD774" s="37"/>
      <c r="AE774" s="37"/>
      <c r="AF774" s="37"/>
      <c r="AG774" s="37"/>
      <c r="AH774" s="37"/>
      <c r="AI774" s="205"/>
      <c r="AJ774" s="205"/>
      <c r="AK774" s="205"/>
      <c r="AL774" s="204"/>
      <c r="AM774" s="204"/>
    </row>
    <row r="775">
      <c r="A775" s="37"/>
      <c r="B775" s="205"/>
      <c r="C775" s="37"/>
      <c r="D775" s="206"/>
      <c r="E775" s="207"/>
      <c r="F775" s="207"/>
      <c r="G775" s="208"/>
      <c r="H775" s="208"/>
      <c r="I775" s="37"/>
      <c r="J775" s="37"/>
      <c r="K775" s="37"/>
      <c r="L775" s="37"/>
      <c r="M775" s="37"/>
      <c r="N775" s="37"/>
      <c r="O775" s="37"/>
      <c r="P775" s="37"/>
      <c r="Q775" s="37"/>
      <c r="R775" s="37"/>
      <c r="S775" s="37"/>
      <c r="T775" s="37"/>
      <c r="U775" s="37"/>
      <c r="V775" s="37"/>
      <c r="W775" s="37"/>
      <c r="X775" s="37"/>
      <c r="Y775" s="37"/>
      <c r="Z775" s="37"/>
      <c r="AA775" s="37"/>
      <c r="AB775" s="37"/>
      <c r="AC775" s="37"/>
      <c r="AD775" s="37"/>
      <c r="AE775" s="37"/>
      <c r="AF775" s="37"/>
      <c r="AG775" s="37"/>
      <c r="AH775" s="37"/>
      <c r="AI775" s="205"/>
      <c r="AJ775" s="205"/>
      <c r="AK775" s="205"/>
      <c r="AL775" s="204"/>
      <c r="AM775" s="204"/>
    </row>
    <row r="776">
      <c r="A776" s="37"/>
      <c r="B776" s="205"/>
      <c r="C776" s="37"/>
      <c r="D776" s="206"/>
      <c r="E776" s="207"/>
      <c r="F776" s="207"/>
      <c r="G776" s="208"/>
      <c r="H776" s="208"/>
      <c r="I776" s="37"/>
      <c r="J776" s="37"/>
      <c r="K776" s="37"/>
      <c r="L776" s="37"/>
      <c r="M776" s="37"/>
      <c r="N776" s="37"/>
      <c r="O776" s="37"/>
      <c r="P776" s="37"/>
      <c r="Q776" s="37"/>
      <c r="R776" s="37"/>
      <c r="S776" s="37"/>
      <c r="T776" s="37"/>
      <c r="U776" s="37"/>
      <c r="V776" s="37"/>
      <c r="W776" s="37"/>
      <c r="X776" s="37"/>
      <c r="Y776" s="37"/>
      <c r="Z776" s="37"/>
      <c r="AA776" s="37"/>
      <c r="AB776" s="37"/>
      <c r="AC776" s="37"/>
      <c r="AD776" s="37"/>
      <c r="AE776" s="37"/>
      <c r="AF776" s="37"/>
      <c r="AG776" s="37"/>
      <c r="AH776" s="37"/>
      <c r="AI776" s="205"/>
      <c r="AJ776" s="205"/>
      <c r="AK776" s="205"/>
      <c r="AL776" s="204"/>
      <c r="AM776" s="204"/>
    </row>
    <row r="777">
      <c r="A777" s="37"/>
      <c r="B777" s="205"/>
      <c r="C777" s="37"/>
      <c r="D777" s="206"/>
      <c r="E777" s="207"/>
      <c r="F777" s="207"/>
      <c r="G777" s="208"/>
      <c r="H777" s="208"/>
      <c r="I777" s="37"/>
      <c r="J777" s="37"/>
      <c r="K777" s="37"/>
      <c r="L777" s="37"/>
      <c r="M777" s="37"/>
      <c r="N777" s="37"/>
      <c r="O777" s="37"/>
      <c r="P777" s="37"/>
      <c r="Q777" s="37"/>
      <c r="R777" s="37"/>
      <c r="S777" s="37"/>
      <c r="T777" s="37"/>
      <c r="U777" s="37"/>
      <c r="V777" s="37"/>
      <c r="W777" s="37"/>
      <c r="X777" s="37"/>
      <c r="Y777" s="37"/>
      <c r="Z777" s="37"/>
      <c r="AA777" s="37"/>
      <c r="AB777" s="37"/>
      <c r="AC777" s="37"/>
      <c r="AD777" s="37"/>
      <c r="AE777" s="37"/>
      <c r="AF777" s="37"/>
      <c r="AG777" s="37"/>
      <c r="AH777" s="37"/>
      <c r="AI777" s="205"/>
      <c r="AJ777" s="205"/>
      <c r="AK777" s="205"/>
      <c r="AL777" s="204"/>
      <c r="AM777" s="204"/>
    </row>
    <row r="778">
      <c r="A778" s="37"/>
      <c r="B778" s="205"/>
      <c r="C778" s="37"/>
      <c r="D778" s="206"/>
      <c r="E778" s="207"/>
      <c r="F778" s="207"/>
      <c r="G778" s="208"/>
      <c r="H778" s="208"/>
      <c r="I778" s="37"/>
      <c r="J778" s="37"/>
      <c r="K778" s="37"/>
      <c r="L778" s="37"/>
      <c r="M778" s="37"/>
      <c r="N778" s="37"/>
      <c r="O778" s="37"/>
      <c r="P778" s="37"/>
      <c r="Q778" s="37"/>
      <c r="R778" s="37"/>
      <c r="S778" s="37"/>
      <c r="T778" s="37"/>
      <c r="U778" s="37"/>
      <c r="V778" s="37"/>
      <c r="W778" s="37"/>
      <c r="X778" s="37"/>
      <c r="Y778" s="37"/>
      <c r="Z778" s="37"/>
      <c r="AA778" s="37"/>
      <c r="AB778" s="37"/>
      <c r="AC778" s="37"/>
      <c r="AD778" s="37"/>
      <c r="AE778" s="37"/>
      <c r="AF778" s="37"/>
      <c r="AG778" s="37"/>
      <c r="AH778" s="37"/>
      <c r="AI778" s="205"/>
      <c r="AJ778" s="205"/>
      <c r="AK778" s="205"/>
      <c r="AL778" s="204"/>
      <c r="AM778" s="204"/>
    </row>
    <row r="779">
      <c r="A779" s="37"/>
      <c r="B779" s="205"/>
      <c r="C779" s="37"/>
      <c r="D779" s="206"/>
      <c r="E779" s="207"/>
      <c r="F779" s="207"/>
      <c r="G779" s="208"/>
      <c r="H779" s="208"/>
      <c r="I779" s="37"/>
      <c r="J779" s="37"/>
      <c r="K779" s="37"/>
      <c r="L779" s="37"/>
      <c r="M779" s="37"/>
      <c r="N779" s="37"/>
      <c r="O779" s="37"/>
      <c r="P779" s="37"/>
      <c r="Q779" s="37"/>
      <c r="R779" s="37"/>
      <c r="S779" s="37"/>
      <c r="T779" s="37"/>
      <c r="U779" s="37"/>
      <c r="V779" s="37"/>
      <c r="W779" s="37"/>
      <c r="X779" s="37"/>
      <c r="Y779" s="37"/>
      <c r="Z779" s="37"/>
      <c r="AA779" s="37"/>
      <c r="AB779" s="37"/>
      <c r="AC779" s="37"/>
      <c r="AD779" s="37"/>
      <c r="AE779" s="37"/>
      <c r="AF779" s="37"/>
      <c r="AG779" s="37"/>
      <c r="AH779" s="37"/>
      <c r="AI779" s="205"/>
      <c r="AJ779" s="205"/>
      <c r="AK779" s="205"/>
      <c r="AL779" s="204"/>
      <c r="AM779" s="204"/>
    </row>
    <row r="780">
      <c r="A780" s="37"/>
      <c r="B780" s="205"/>
      <c r="C780" s="37"/>
      <c r="D780" s="206"/>
      <c r="E780" s="207"/>
      <c r="F780" s="207"/>
      <c r="G780" s="208"/>
      <c r="H780" s="208"/>
      <c r="I780" s="37"/>
      <c r="J780" s="37"/>
      <c r="K780" s="37"/>
      <c r="L780" s="37"/>
      <c r="M780" s="37"/>
      <c r="N780" s="37"/>
      <c r="O780" s="37"/>
      <c r="P780" s="37"/>
      <c r="Q780" s="37"/>
      <c r="R780" s="37"/>
      <c r="S780" s="37"/>
      <c r="T780" s="37"/>
      <c r="U780" s="37"/>
      <c r="V780" s="37"/>
      <c r="W780" s="37"/>
      <c r="X780" s="37"/>
      <c r="Y780" s="37"/>
      <c r="Z780" s="37"/>
      <c r="AA780" s="37"/>
      <c r="AB780" s="37"/>
      <c r="AC780" s="37"/>
      <c r="AD780" s="37"/>
      <c r="AE780" s="37"/>
      <c r="AF780" s="37"/>
      <c r="AG780" s="37"/>
      <c r="AH780" s="37"/>
      <c r="AI780" s="205"/>
      <c r="AJ780" s="205"/>
      <c r="AK780" s="205"/>
      <c r="AL780" s="204"/>
      <c r="AM780" s="204"/>
    </row>
    <row r="781">
      <c r="A781" s="37"/>
      <c r="B781" s="205"/>
      <c r="C781" s="37"/>
      <c r="D781" s="206"/>
      <c r="E781" s="207"/>
      <c r="F781" s="207"/>
      <c r="G781" s="208"/>
      <c r="H781" s="208"/>
      <c r="I781" s="37"/>
      <c r="J781" s="37"/>
      <c r="K781" s="37"/>
      <c r="L781" s="37"/>
      <c r="M781" s="37"/>
      <c r="N781" s="37"/>
      <c r="O781" s="37"/>
      <c r="P781" s="37"/>
      <c r="Q781" s="37"/>
      <c r="R781" s="37"/>
      <c r="S781" s="37"/>
      <c r="T781" s="37"/>
      <c r="U781" s="37"/>
      <c r="V781" s="37"/>
      <c r="W781" s="37"/>
      <c r="X781" s="37"/>
      <c r="Y781" s="37"/>
      <c r="Z781" s="37"/>
      <c r="AA781" s="37"/>
      <c r="AB781" s="37"/>
      <c r="AC781" s="37"/>
      <c r="AD781" s="37"/>
      <c r="AE781" s="37"/>
      <c r="AF781" s="37"/>
      <c r="AG781" s="37"/>
      <c r="AH781" s="37"/>
      <c r="AI781" s="205"/>
      <c r="AJ781" s="205"/>
      <c r="AK781" s="205"/>
      <c r="AL781" s="204"/>
      <c r="AM781" s="204"/>
    </row>
    <row r="782">
      <c r="A782" s="37"/>
      <c r="B782" s="205"/>
      <c r="C782" s="37"/>
      <c r="D782" s="206"/>
      <c r="E782" s="207"/>
      <c r="F782" s="207"/>
      <c r="G782" s="208"/>
      <c r="H782" s="208"/>
      <c r="I782" s="37"/>
      <c r="J782" s="37"/>
      <c r="K782" s="37"/>
      <c r="L782" s="37"/>
      <c r="M782" s="37"/>
      <c r="N782" s="37"/>
      <c r="O782" s="37"/>
      <c r="P782" s="37"/>
      <c r="Q782" s="37"/>
      <c r="R782" s="37"/>
      <c r="S782" s="37"/>
      <c r="T782" s="37"/>
      <c r="U782" s="37"/>
      <c r="V782" s="37"/>
      <c r="W782" s="37"/>
      <c r="X782" s="37"/>
      <c r="Y782" s="37"/>
      <c r="Z782" s="37"/>
      <c r="AA782" s="37"/>
      <c r="AB782" s="37"/>
      <c r="AC782" s="37"/>
      <c r="AD782" s="37"/>
      <c r="AE782" s="37"/>
      <c r="AF782" s="37"/>
      <c r="AG782" s="37"/>
      <c r="AH782" s="37"/>
      <c r="AI782" s="205"/>
      <c r="AJ782" s="205"/>
      <c r="AK782" s="205"/>
      <c r="AL782" s="204"/>
      <c r="AM782" s="204"/>
    </row>
    <row r="783">
      <c r="A783" s="37"/>
      <c r="B783" s="205"/>
      <c r="C783" s="37"/>
      <c r="D783" s="206"/>
      <c r="E783" s="207"/>
      <c r="F783" s="207"/>
      <c r="G783" s="208"/>
      <c r="H783" s="208"/>
      <c r="I783" s="37"/>
      <c r="J783" s="37"/>
      <c r="K783" s="37"/>
      <c r="L783" s="37"/>
      <c r="M783" s="37"/>
      <c r="N783" s="37"/>
      <c r="O783" s="37"/>
      <c r="P783" s="37"/>
      <c r="Q783" s="37"/>
      <c r="R783" s="37"/>
      <c r="S783" s="37"/>
      <c r="T783" s="37"/>
      <c r="U783" s="37"/>
      <c r="V783" s="37"/>
      <c r="W783" s="37"/>
      <c r="X783" s="37"/>
      <c r="Y783" s="37"/>
      <c r="Z783" s="37"/>
      <c r="AA783" s="37"/>
      <c r="AB783" s="37"/>
      <c r="AC783" s="37"/>
      <c r="AD783" s="37"/>
      <c r="AE783" s="37"/>
      <c r="AF783" s="37"/>
      <c r="AG783" s="37"/>
      <c r="AH783" s="37"/>
      <c r="AI783" s="205"/>
      <c r="AJ783" s="205"/>
      <c r="AK783" s="205"/>
      <c r="AL783" s="204"/>
      <c r="AM783" s="204"/>
    </row>
    <row r="784">
      <c r="A784" s="37"/>
      <c r="B784" s="205"/>
      <c r="C784" s="37"/>
      <c r="D784" s="206"/>
      <c r="E784" s="207"/>
      <c r="F784" s="207"/>
      <c r="G784" s="208"/>
      <c r="H784" s="208"/>
      <c r="I784" s="37"/>
      <c r="J784" s="37"/>
      <c r="K784" s="37"/>
      <c r="L784" s="37"/>
      <c r="M784" s="37"/>
      <c r="N784" s="37"/>
      <c r="O784" s="37"/>
      <c r="P784" s="37"/>
      <c r="Q784" s="37"/>
      <c r="R784" s="37"/>
      <c r="S784" s="37"/>
      <c r="T784" s="37"/>
      <c r="U784" s="37"/>
      <c r="V784" s="37"/>
      <c r="W784" s="37"/>
      <c r="X784" s="37"/>
      <c r="Y784" s="37"/>
      <c r="Z784" s="37"/>
      <c r="AA784" s="37"/>
      <c r="AB784" s="37"/>
      <c r="AC784" s="37"/>
      <c r="AD784" s="37"/>
      <c r="AE784" s="37"/>
      <c r="AF784" s="37"/>
      <c r="AG784" s="37"/>
      <c r="AH784" s="37"/>
      <c r="AI784" s="205"/>
      <c r="AJ784" s="205"/>
      <c r="AK784" s="205"/>
      <c r="AL784" s="204"/>
      <c r="AM784" s="204"/>
    </row>
    <row r="785">
      <c r="A785" s="37"/>
      <c r="B785" s="205"/>
      <c r="C785" s="37"/>
      <c r="D785" s="206"/>
      <c r="E785" s="207"/>
      <c r="F785" s="207"/>
      <c r="G785" s="208"/>
      <c r="H785" s="208"/>
      <c r="I785" s="37"/>
      <c r="J785" s="37"/>
      <c r="K785" s="37"/>
      <c r="L785" s="37"/>
      <c r="M785" s="37"/>
      <c r="N785" s="37"/>
      <c r="O785" s="37"/>
      <c r="P785" s="37"/>
      <c r="Q785" s="37"/>
      <c r="R785" s="37"/>
      <c r="S785" s="37"/>
      <c r="T785" s="37"/>
      <c r="U785" s="37"/>
      <c r="V785" s="37"/>
      <c r="W785" s="37"/>
      <c r="X785" s="37"/>
      <c r="Y785" s="37"/>
      <c r="Z785" s="37"/>
      <c r="AA785" s="37"/>
      <c r="AB785" s="37"/>
      <c r="AC785" s="37"/>
      <c r="AD785" s="37"/>
      <c r="AE785" s="37"/>
      <c r="AF785" s="37"/>
      <c r="AG785" s="37"/>
      <c r="AH785" s="37"/>
      <c r="AI785" s="205"/>
      <c r="AJ785" s="205"/>
      <c r="AK785" s="205"/>
      <c r="AL785" s="204"/>
      <c r="AM785" s="204"/>
    </row>
    <row r="786">
      <c r="A786" s="37"/>
      <c r="B786" s="205"/>
      <c r="C786" s="37"/>
      <c r="D786" s="206"/>
      <c r="E786" s="207"/>
      <c r="F786" s="207"/>
      <c r="G786" s="208"/>
      <c r="H786" s="208"/>
      <c r="I786" s="37"/>
      <c r="J786" s="37"/>
      <c r="K786" s="37"/>
      <c r="L786" s="37"/>
      <c r="M786" s="37"/>
      <c r="N786" s="37"/>
      <c r="O786" s="37"/>
      <c r="P786" s="37"/>
      <c r="Q786" s="37"/>
      <c r="R786" s="37"/>
      <c r="S786" s="37"/>
      <c r="T786" s="37"/>
      <c r="U786" s="37"/>
      <c r="V786" s="37"/>
      <c r="W786" s="37"/>
      <c r="X786" s="37"/>
      <c r="Y786" s="37"/>
      <c r="Z786" s="37"/>
      <c r="AA786" s="37"/>
      <c r="AB786" s="37"/>
      <c r="AC786" s="37"/>
      <c r="AD786" s="37"/>
      <c r="AE786" s="37"/>
      <c r="AF786" s="37"/>
      <c r="AG786" s="37"/>
      <c r="AH786" s="37"/>
      <c r="AI786" s="205"/>
      <c r="AJ786" s="205"/>
      <c r="AK786" s="205"/>
      <c r="AL786" s="204"/>
      <c r="AM786" s="204"/>
    </row>
    <row r="787">
      <c r="A787" s="37"/>
      <c r="B787" s="205"/>
      <c r="C787" s="37"/>
      <c r="D787" s="206"/>
      <c r="E787" s="207"/>
      <c r="F787" s="207"/>
      <c r="G787" s="208"/>
      <c r="H787" s="208"/>
      <c r="I787" s="37"/>
      <c r="J787" s="37"/>
      <c r="K787" s="37"/>
      <c r="L787" s="37"/>
      <c r="M787" s="37"/>
      <c r="N787" s="37"/>
      <c r="O787" s="37"/>
      <c r="P787" s="37"/>
      <c r="Q787" s="37"/>
      <c r="R787" s="37"/>
      <c r="S787" s="37"/>
      <c r="T787" s="37"/>
      <c r="U787" s="37"/>
      <c r="V787" s="37"/>
      <c r="W787" s="37"/>
      <c r="X787" s="37"/>
      <c r="Y787" s="37"/>
      <c r="Z787" s="37"/>
      <c r="AA787" s="37"/>
      <c r="AB787" s="37"/>
      <c r="AC787" s="37"/>
      <c r="AD787" s="37"/>
      <c r="AE787" s="37"/>
      <c r="AF787" s="37"/>
      <c r="AG787" s="37"/>
      <c r="AH787" s="37"/>
      <c r="AI787" s="205"/>
      <c r="AJ787" s="205"/>
      <c r="AK787" s="205"/>
      <c r="AL787" s="204"/>
      <c r="AM787" s="204"/>
    </row>
    <row r="788">
      <c r="A788" s="37"/>
      <c r="B788" s="205"/>
      <c r="C788" s="37"/>
      <c r="D788" s="206"/>
      <c r="E788" s="207"/>
      <c r="F788" s="207"/>
      <c r="G788" s="208"/>
      <c r="H788" s="208"/>
      <c r="I788" s="37"/>
      <c r="J788" s="37"/>
      <c r="K788" s="37"/>
      <c r="L788" s="37"/>
      <c r="M788" s="37"/>
      <c r="N788" s="37"/>
      <c r="O788" s="37"/>
      <c r="P788" s="37"/>
      <c r="Q788" s="37"/>
      <c r="R788" s="37"/>
      <c r="S788" s="37"/>
      <c r="T788" s="37"/>
      <c r="U788" s="37"/>
      <c r="V788" s="37"/>
      <c r="W788" s="37"/>
      <c r="X788" s="37"/>
      <c r="Y788" s="37"/>
      <c r="Z788" s="37"/>
      <c r="AA788" s="37"/>
      <c r="AB788" s="37"/>
      <c r="AC788" s="37"/>
      <c r="AD788" s="37"/>
      <c r="AE788" s="37"/>
      <c r="AF788" s="37"/>
      <c r="AG788" s="37"/>
      <c r="AH788" s="37"/>
      <c r="AI788" s="205"/>
      <c r="AJ788" s="205"/>
      <c r="AK788" s="205"/>
      <c r="AL788" s="204"/>
      <c r="AM788" s="204"/>
    </row>
    <row r="789">
      <c r="A789" s="37"/>
      <c r="B789" s="205"/>
      <c r="C789" s="37"/>
      <c r="D789" s="206"/>
      <c r="E789" s="207"/>
      <c r="F789" s="207"/>
      <c r="G789" s="208"/>
      <c r="H789" s="208"/>
      <c r="I789" s="37"/>
      <c r="J789" s="37"/>
      <c r="K789" s="37"/>
      <c r="L789" s="37"/>
      <c r="M789" s="37"/>
      <c r="N789" s="37"/>
      <c r="O789" s="37"/>
      <c r="P789" s="37"/>
      <c r="Q789" s="37"/>
      <c r="R789" s="37"/>
      <c r="S789" s="37"/>
      <c r="T789" s="37"/>
      <c r="U789" s="37"/>
      <c r="V789" s="37"/>
      <c r="W789" s="37"/>
      <c r="X789" s="37"/>
      <c r="Y789" s="37"/>
      <c r="Z789" s="37"/>
      <c r="AA789" s="37"/>
      <c r="AB789" s="37"/>
      <c r="AC789" s="37"/>
      <c r="AD789" s="37"/>
      <c r="AE789" s="37"/>
      <c r="AF789" s="37"/>
      <c r="AG789" s="37"/>
      <c r="AH789" s="37"/>
      <c r="AI789" s="205"/>
      <c r="AJ789" s="205"/>
      <c r="AK789" s="205"/>
      <c r="AL789" s="204"/>
      <c r="AM789" s="204"/>
    </row>
    <row r="790">
      <c r="A790" s="37"/>
      <c r="B790" s="205"/>
      <c r="C790" s="37"/>
      <c r="D790" s="206"/>
      <c r="E790" s="207"/>
      <c r="F790" s="207"/>
      <c r="G790" s="208"/>
      <c r="H790" s="208"/>
      <c r="I790" s="37"/>
      <c r="J790" s="37"/>
      <c r="K790" s="37"/>
      <c r="L790" s="37"/>
      <c r="M790" s="37"/>
      <c r="N790" s="37"/>
      <c r="O790" s="37"/>
      <c r="P790" s="37"/>
      <c r="Q790" s="37"/>
      <c r="R790" s="37"/>
      <c r="S790" s="37"/>
      <c r="T790" s="37"/>
      <c r="U790" s="37"/>
      <c r="V790" s="37"/>
      <c r="W790" s="37"/>
      <c r="X790" s="37"/>
      <c r="Y790" s="37"/>
      <c r="Z790" s="37"/>
      <c r="AA790" s="37"/>
      <c r="AB790" s="37"/>
      <c r="AC790" s="37"/>
      <c r="AD790" s="37"/>
      <c r="AE790" s="37"/>
      <c r="AF790" s="37"/>
      <c r="AG790" s="37"/>
      <c r="AH790" s="37"/>
      <c r="AI790" s="205"/>
      <c r="AJ790" s="205"/>
      <c r="AK790" s="205"/>
      <c r="AL790" s="204"/>
      <c r="AM790" s="204"/>
    </row>
    <row r="791">
      <c r="A791" s="37"/>
      <c r="B791" s="205"/>
      <c r="C791" s="37"/>
      <c r="D791" s="206"/>
      <c r="E791" s="207"/>
      <c r="F791" s="207"/>
      <c r="G791" s="208"/>
      <c r="H791" s="208"/>
      <c r="I791" s="37"/>
      <c r="J791" s="37"/>
      <c r="K791" s="37"/>
      <c r="L791" s="37"/>
      <c r="M791" s="37"/>
      <c r="N791" s="37"/>
      <c r="O791" s="37"/>
      <c r="P791" s="37"/>
      <c r="Q791" s="37"/>
      <c r="R791" s="37"/>
      <c r="S791" s="37"/>
      <c r="T791" s="37"/>
      <c r="U791" s="37"/>
      <c r="V791" s="37"/>
      <c r="W791" s="37"/>
      <c r="X791" s="37"/>
      <c r="Y791" s="37"/>
      <c r="Z791" s="37"/>
      <c r="AA791" s="37"/>
      <c r="AB791" s="37"/>
      <c r="AC791" s="37"/>
      <c r="AD791" s="37"/>
      <c r="AE791" s="37"/>
      <c r="AF791" s="37"/>
      <c r="AG791" s="37"/>
      <c r="AH791" s="37"/>
      <c r="AI791" s="205"/>
      <c r="AJ791" s="205"/>
      <c r="AK791" s="205"/>
      <c r="AL791" s="204"/>
      <c r="AM791" s="204"/>
    </row>
    <row r="792">
      <c r="A792" s="37"/>
      <c r="B792" s="205"/>
      <c r="C792" s="37"/>
      <c r="D792" s="206"/>
      <c r="E792" s="207"/>
      <c r="F792" s="207"/>
      <c r="G792" s="208"/>
      <c r="H792" s="208"/>
      <c r="I792" s="37"/>
      <c r="J792" s="37"/>
      <c r="K792" s="37"/>
      <c r="L792" s="37"/>
      <c r="M792" s="37"/>
      <c r="N792" s="37"/>
      <c r="O792" s="37"/>
      <c r="P792" s="37"/>
      <c r="Q792" s="37"/>
      <c r="R792" s="37"/>
      <c r="S792" s="37"/>
      <c r="T792" s="37"/>
      <c r="U792" s="37"/>
      <c r="V792" s="37"/>
      <c r="W792" s="37"/>
      <c r="X792" s="37"/>
      <c r="Y792" s="37"/>
      <c r="Z792" s="37"/>
      <c r="AA792" s="37"/>
      <c r="AB792" s="37"/>
      <c r="AC792" s="37"/>
      <c r="AD792" s="37"/>
      <c r="AE792" s="37"/>
      <c r="AF792" s="37"/>
      <c r="AG792" s="37"/>
      <c r="AH792" s="37"/>
      <c r="AI792" s="205"/>
      <c r="AJ792" s="205"/>
      <c r="AK792" s="205"/>
      <c r="AL792" s="204"/>
      <c r="AM792" s="204"/>
    </row>
    <row r="793">
      <c r="A793" s="37"/>
      <c r="B793" s="205"/>
      <c r="C793" s="37"/>
      <c r="D793" s="206"/>
      <c r="E793" s="207"/>
      <c r="F793" s="207"/>
      <c r="G793" s="208"/>
      <c r="H793" s="208"/>
      <c r="I793" s="37"/>
      <c r="J793" s="37"/>
      <c r="K793" s="37"/>
      <c r="L793" s="37"/>
      <c r="M793" s="37"/>
      <c r="N793" s="37"/>
      <c r="O793" s="37"/>
      <c r="P793" s="37"/>
      <c r="Q793" s="37"/>
      <c r="R793" s="37"/>
      <c r="S793" s="37"/>
      <c r="T793" s="37"/>
      <c r="U793" s="37"/>
      <c r="V793" s="37"/>
      <c r="W793" s="37"/>
      <c r="X793" s="37"/>
      <c r="Y793" s="37"/>
      <c r="Z793" s="37"/>
      <c r="AA793" s="37"/>
      <c r="AB793" s="37"/>
      <c r="AC793" s="37"/>
      <c r="AD793" s="37"/>
      <c r="AE793" s="37"/>
      <c r="AF793" s="37"/>
      <c r="AG793" s="37"/>
      <c r="AH793" s="37"/>
      <c r="AI793" s="205"/>
      <c r="AJ793" s="205"/>
      <c r="AK793" s="205"/>
      <c r="AL793" s="204"/>
      <c r="AM793" s="204"/>
    </row>
    <row r="794">
      <c r="A794" s="37"/>
      <c r="B794" s="205"/>
      <c r="C794" s="37"/>
      <c r="D794" s="206"/>
      <c r="E794" s="207"/>
      <c r="F794" s="207"/>
      <c r="G794" s="208"/>
      <c r="H794" s="208"/>
      <c r="I794" s="37"/>
      <c r="J794" s="37"/>
      <c r="K794" s="37"/>
      <c r="L794" s="37"/>
      <c r="M794" s="37"/>
      <c r="N794" s="37"/>
      <c r="O794" s="37"/>
      <c r="P794" s="37"/>
      <c r="Q794" s="37"/>
      <c r="R794" s="37"/>
      <c r="S794" s="37"/>
      <c r="T794" s="37"/>
      <c r="U794" s="37"/>
      <c r="V794" s="37"/>
      <c r="W794" s="37"/>
      <c r="X794" s="37"/>
      <c r="Y794" s="37"/>
      <c r="Z794" s="37"/>
      <c r="AA794" s="37"/>
      <c r="AB794" s="37"/>
      <c r="AC794" s="37"/>
      <c r="AD794" s="37"/>
      <c r="AE794" s="37"/>
      <c r="AF794" s="37"/>
      <c r="AG794" s="37"/>
      <c r="AH794" s="37"/>
      <c r="AI794" s="205"/>
      <c r="AJ794" s="205"/>
      <c r="AK794" s="205"/>
      <c r="AL794" s="204"/>
      <c r="AM794" s="204"/>
    </row>
    <row r="795">
      <c r="A795" s="37"/>
      <c r="B795" s="205"/>
      <c r="C795" s="37"/>
      <c r="D795" s="206"/>
      <c r="E795" s="207"/>
      <c r="F795" s="207"/>
      <c r="G795" s="208"/>
      <c r="H795" s="208"/>
      <c r="I795" s="37"/>
      <c r="J795" s="37"/>
      <c r="K795" s="37"/>
      <c r="L795" s="37"/>
      <c r="M795" s="37"/>
      <c r="N795" s="37"/>
      <c r="O795" s="37"/>
      <c r="P795" s="37"/>
      <c r="Q795" s="37"/>
      <c r="R795" s="37"/>
      <c r="S795" s="37"/>
      <c r="T795" s="37"/>
      <c r="U795" s="37"/>
      <c r="V795" s="37"/>
      <c r="W795" s="37"/>
      <c r="X795" s="37"/>
      <c r="Y795" s="37"/>
      <c r="Z795" s="37"/>
      <c r="AA795" s="37"/>
      <c r="AB795" s="37"/>
      <c r="AC795" s="37"/>
      <c r="AD795" s="37"/>
      <c r="AE795" s="37"/>
      <c r="AF795" s="37"/>
      <c r="AG795" s="37"/>
      <c r="AH795" s="37"/>
      <c r="AI795" s="205"/>
      <c r="AJ795" s="205"/>
      <c r="AK795" s="205"/>
      <c r="AL795" s="204"/>
      <c r="AM795" s="204"/>
    </row>
    <row r="796">
      <c r="A796" s="37"/>
      <c r="B796" s="205"/>
      <c r="C796" s="37"/>
      <c r="D796" s="206"/>
      <c r="E796" s="207"/>
      <c r="F796" s="207"/>
      <c r="G796" s="208"/>
      <c r="H796" s="208"/>
      <c r="I796" s="37"/>
      <c r="J796" s="37"/>
      <c r="K796" s="37"/>
      <c r="L796" s="37"/>
      <c r="M796" s="37"/>
      <c r="N796" s="37"/>
      <c r="O796" s="37"/>
      <c r="P796" s="37"/>
      <c r="Q796" s="37"/>
      <c r="R796" s="37"/>
      <c r="S796" s="37"/>
      <c r="T796" s="37"/>
      <c r="U796" s="37"/>
      <c r="V796" s="37"/>
      <c r="W796" s="37"/>
      <c r="X796" s="37"/>
      <c r="Y796" s="37"/>
      <c r="Z796" s="37"/>
      <c r="AA796" s="37"/>
      <c r="AB796" s="37"/>
      <c r="AC796" s="37"/>
      <c r="AD796" s="37"/>
      <c r="AE796" s="37"/>
      <c r="AF796" s="37"/>
      <c r="AG796" s="37"/>
      <c r="AH796" s="37"/>
      <c r="AI796" s="205"/>
      <c r="AJ796" s="205"/>
      <c r="AK796" s="205"/>
      <c r="AL796" s="204"/>
      <c r="AM796" s="204"/>
    </row>
    <row r="797">
      <c r="A797" s="37"/>
      <c r="B797" s="205"/>
      <c r="C797" s="37"/>
      <c r="D797" s="206"/>
      <c r="E797" s="207"/>
      <c r="F797" s="207"/>
      <c r="G797" s="208"/>
      <c r="H797" s="208"/>
      <c r="I797" s="37"/>
      <c r="J797" s="37"/>
      <c r="K797" s="37"/>
      <c r="L797" s="37"/>
      <c r="M797" s="37"/>
      <c r="N797" s="37"/>
      <c r="O797" s="37"/>
      <c r="P797" s="37"/>
      <c r="Q797" s="37"/>
      <c r="R797" s="37"/>
      <c r="S797" s="37"/>
      <c r="T797" s="37"/>
      <c r="U797" s="37"/>
      <c r="V797" s="37"/>
      <c r="W797" s="37"/>
      <c r="X797" s="37"/>
      <c r="Y797" s="37"/>
      <c r="Z797" s="37"/>
      <c r="AA797" s="37"/>
      <c r="AB797" s="37"/>
      <c r="AC797" s="37"/>
      <c r="AD797" s="37"/>
      <c r="AE797" s="37"/>
      <c r="AF797" s="37"/>
      <c r="AG797" s="37"/>
      <c r="AH797" s="37"/>
      <c r="AI797" s="205"/>
      <c r="AJ797" s="205"/>
      <c r="AK797" s="205"/>
      <c r="AL797" s="204"/>
      <c r="AM797" s="204"/>
    </row>
    <row r="798">
      <c r="A798" s="37"/>
      <c r="B798" s="205"/>
      <c r="C798" s="37"/>
      <c r="D798" s="206"/>
      <c r="E798" s="207"/>
      <c r="F798" s="207"/>
      <c r="G798" s="208"/>
      <c r="H798" s="208"/>
      <c r="I798" s="37"/>
      <c r="J798" s="37"/>
      <c r="K798" s="37"/>
      <c r="L798" s="37"/>
      <c r="M798" s="37"/>
      <c r="N798" s="37"/>
      <c r="O798" s="37"/>
      <c r="P798" s="37"/>
      <c r="Q798" s="37"/>
      <c r="R798" s="37"/>
      <c r="S798" s="37"/>
      <c r="T798" s="37"/>
      <c r="U798" s="37"/>
      <c r="V798" s="37"/>
      <c r="W798" s="37"/>
      <c r="X798" s="37"/>
      <c r="Y798" s="37"/>
      <c r="Z798" s="37"/>
      <c r="AA798" s="37"/>
      <c r="AB798" s="37"/>
      <c r="AC798" s="37"/>
      <c r="AD798" s="37"/>
      <c r="AE798" s="37"/>
      <c r="AF798" s="37"/>
      <c r="AG798" s="37"/>
      <c r="AH798" s="37"/>
      <c r="AI798" s="205"/>
      <c r="AJ798" s="205"/>
      <c r="AK798" s="205"/>
      <c r="AL798" s="204"/>
      <c r="AM798" s="204"/>
    </row>
    <row r="799">
      <c r="A799" s="37"/>
      <c r="B799" s="205"/>
      <c r="C799" s="37"/>
      <c r="D799" s="206"/>
      <c r="E799" s="207"/>
      <c r="F799" s="207"/>
      <c r="G799" s="208"/>
      <c r="H799" s="208"/>
      <c r="I799" s="37"/>
      <c r="J799" s="37"/>
      <c r="K799" s="37"/>
      <c r="L799" s="37"/>
      <c r="M799" s="37"/>
      <c r="N799" s="37"/>
      <c r="O799" s="37"/>
      <c r="P799" s="37"/>
      <c r="Q799" s="37"/>
      <c r="R799" s="37"/>
      <c r="S799" s="37"/>
      <c r="T799" s="37"/>
      <c r="U799" s="37"/>
      <c r="V799" s="37"/>
      <c r="W799" s="37"/>
      <c r="X799" s="37"/>
      <c r="Y799" s="37"/>
      <c r="Z799" s="37"/>
      <c r="AA799" s="37"/>
      <c r="AB799" s="37"/>
      <c r="AC799" s="37"/>
      <c r="AD799" s="37"/>
      <c r="AE799" s="37"/>
      <c r="AF799" s="37"/>
      <c r="AG799" s="37"/>
      <c r="AH799" s="37"/>
      <c r="AI799" s="205"/>
      <c r="AJ799" s="205"/>
      <c r="AK799" s="205"/>
      <c r="AL799" s="204"/>
      <c r="AM799" s="204"/>
    </row>
    <row r="800">
      <c r="A800" s="37"/>
      <c r="B800" s="205"/>
      <c r="C800" s="37"/>
      <c r="D800" s="206"/>
      <c r="E800" s="207"/>
      <c r="F800" s="207"/>
      <c r="G800" s="208"/>
      <c r="H800" s="208"/>
      <c r="I800" s="37"/>
      <c r="J800" s="37"/>
      <c r="K800" s="37"/>
      <c r="L800" s="37"/>
      <c r="M800" s="37"/>
      <c r="N800" s="37"/>
      <c r="O800" s="37"/>
      <c r="P800" s="37"/>
      <c r="Q800" s="37"/>
      <c r="R800" s="37"/>
      <c r="S800" s="37"/>
      <c r="T800" s="37"/>
      <c r="U800" s="37"/>
      <c r="V800" s="37"/>
      <c r="W800" s="37"/>
      <c r="X800" s="37"/>
      <c r="Y800" s="37"/>
      <c r="Z800" s="37"/>
      <c r="AA800" s="37"/>
      <c r="AB800" s="37"/>
      <c r="AC800" s="37"/>
      <c r="AD800" s="37"/>
      <c r="AE800" s="37"/>
      <c r="AF800" s="37"/>
      <c r="AG800" s="37"/>
      <c r="AH800" s="37"/>
      <c r="AI800" s="205"/>
      <c r="AJ800" s="205"/>
      <c r="AK800" s="205"/>
      <c r="AL800" s="204"/>
      <c r="AM800" s="204"/>
    </row>
    <row r="801">
      <c r="A801" s="37"/>
      <c r="B801" s="205"/>
      <c r="C801" s="37"/>
      <c r="D801" s="206"/>
      <c r="E801" s="207"/>
      <c r="F801" s="207"/>
      <c r="G801" s="208"/>
      <c r="H801" s="208"/>
      <c r="I801" s="37"/>
      <c r="J801" s="37"/>
      <c r="K801" s="37"/>
      <c r="L801" s="37"/>
      <c r="M801" s="37"/>
      <c r="N801" s="37"/>
      <c r="O801" s="37"/>
      <c r="P801" s="37"/>
      <c r="Q801" s="37"/>
      <c r="R801" s="37"/>
      <c r="S801" s="37"/>
      <c r="T801" s="37"/>
      <c r="U801" s="37"/>
      <c r="V801" s="37"/>
      <c r="W801" s="37"/>
      <c r="X801" s="37"/>
      <c r="Y801" s="37"/>
      <c r="Z801" s="37"/>
      <c r="AA801" s="37"/>
      <c r="AB801" s="37"/>
      <c r="AC801" s="37"/>
      <c r="AD801" s="37"/>
      <c r="AE801" s="37"/>
      <c r="AF801" s="37"/>
      <c r="AG801" s="37"/>
      <c r="AH801" s="37"/>
      <c r="AI801" s="205"/>
      <c r="AJ801" s="205"/>
      <c r="AK801" s="205"/>
      <c r="AL801" s="204"/>
      <c r="AM801" s="204"/>
    </row>
    <row r="802">
      <c r="A802" s="37"/>
      <c r="B802" s="205"/>
      <c r="C802" s="37"/>
      <c r="D802" s="206"/>
      <c r="E802" s="207"/>
      <c r="F802" s="207"/>
      <c r="G802" s="208"/>
      <c r="H802" s="208"/>
      <c r="I802" s="37"/>
      <c r="J802" s="37"/>
      <c r="K802" s="37"/>
      <c r="L802" s="37"/>
      <c r="M802" s="37"/>
      <c r="N802" s="37"/>
      <c r="O802" s="37"/>
      <c r="P802" s="37"/>
      <c r="Q802" s="37"/>
      <c r="R802" s="37"/>
      <c r="S802" s="37"/>
      <c r="T802" s="37"/>
      <c r="U802" s="37"/>
      <c r="V802" s="37"/>
      <c r="W802" s="37"/>
      <c r="X802" s="37"/>
      <c r="Y802" s="37"/>
      <c r="Z802" s="37"/>
      <c r="AA802" s="37"/>
      <c r="AB802" s="37"/>
      <c r="AC802" s="37"/>
      <c r="AD802" s="37"/>
      <c r="AE802" s="37"/>
      <c r="AF802" s="37"/>
      <c r="AG802" s="37"/>
      <c r="AH802" s="37"/>
      <c r="AI802" s="205"/>
      <c r="AJ802" s="205"/>
      <c r="AK802" s="205"/>
      <c r="AL802" s="204"/>
      <c r="AM802" s="204"/>
    </row>
    <row r="803">
      <c r="A803" s="37"/>
      <c r="B803" s="205"/>
      <c r="C803" s="37"/>
      <c r="D803" s="206"/>
      <c r="E803" s="207"/>
      <c r="F803" s="207"/>
      <c r="G803" s="208"/>
      <c r="H803" s="208"/>
      <c r="I803" s="37"/>
      <c r="J803" s="37"/>
      <c r="K803" s="37"/>
      <c r="L803" s="37"/>
      <c r="M803" s="37"/>
      <c r="N803" s="37"/>
      <c r="O803" s="37"/>
      <c r="P803" s="37"/>
      <c r="Q803" s="37"/>
      <c r="R803" s="37"/>
      <c r="S803" s="37"/>
      <c r="T803" s="37"/>
      <c r="U803" s="37"/>
      <c r="V803" s="37"/>
      <c r="W803" s="37"/>
      <c r="X803" s="37"/>
      <c r="Y803" s="37"/>
      <c r="Z803" s="37"/>
      <c r="AA803" s="37"/>
      <c r="AB803" s="37"/>
      <c r="AC803" s="37"/>
      <c r="AD803" s="37"/>
      <c r="AE803" s="37"/>
      <c r="AF803" s="37"/>
      <c r="AG803" s="37"/>
      <c r="AH803" s="37"/>
      <c r="AI803" s="205"/>
      <c r="AJ803" s="205"/>
      <c r="AK803" s="205"/>
      <c r="AL803" s="204"/>
      <c r="AM803" s="204"/>
    </row>
    <row r="804">
      <c r="A804" s="37"/>
      <c r="B804" s="205"/>
      <c r="C804" s="37"/>
      <c r="D804" s="206"/>
      <c r="E804" s="207"/>
      <c r="F804" s="207"/>
      <c r="G804" s="208"/>
      <c r="H804" s="208"/>
      <c r="I804" s="37"/>
      <c r="J804" s="37"/>
      <c r="K804" s="37"/>
      <c r="L804" s="37"/>
      <c r="M804" s="37"/>
      <c r="N804" s="37"/>
      <c r="O804" s="37"/>
      <c r="P804" s="37"/>
      <c r="Q804" s="37"/>
      <c r="R804" s="37"/>
      <c r="S804" s="37"/>
      <c r="T804" s="37"/>
      <c r="U804" s="37"/>
      <c r="V804" s="37"/>
      <c r="W804" s="37"/>
      <c r="X804" s="37"/>
      <c r="Y804" s="37"/>
      <c r="Z804" s="37"/>
      <c r="AA804" s="37"/>
      <c r="AB804" s="37"/>
      <c r="AC804" s="37"/>
      <c r="AD804" s="37"/>
      <c r="AE804" s="37"/>
      <c r="AF804" s="37"/>
      <c r="AG804" s="37"/>
      <c r="AH804" s="37"/>
      <c r="AI804" s="205"/>
      <c r="AJ804" s="205"/>
      <c r="AK804" s="205"/>
      <c r="AL804" s="204"/>
      <c r="AM804" s="204"/>
    </row>
    <row r="805">
      <c r="A805" s="37"/>
      <c r="B805" s="205"/>
      <c r="C805" s="37"/>
      <c r="D805" s="206"/>
      <c r="E805" s="207"/>
      <c r="F805" s="207"/>
      <c r="G805" s="208"/>
      <c r="H805" s="208"/>
      <c r="I805" s="37"/>
      <c r="J805" s="37"/>
      <c r="K805" s="37"/>
      <c r="L805" s="37"/>
      <c r="M805" s="37"/>
      <c r="N805" s="37"/>
      <c r="O805" s="37"/>
      <c r="P805" s="37"/>
      <c r="Q805" s="37"/>
      <c r="R805" s="37"/>
      <c r="S805" s="37"/>
      <c r="T805" s="37"/>
      <c r="U805" s="37"/>
      <c r="V805" s="37"/>
      <c r="W805" s="37"/>
      <c r="X805" s="37"/>
      <c r="Y805" s="37"/>
      <c r="Z805" s="37"/>
      <c r="AA805" s="37"/>
      <c r="AB805" s="37"/>
      <c r="AC805" s="37"/>
      <c r="AD805" s="37"/>
      <c r="AE805" s="37"/>
      <c r="AF805" s="37"/>
      <c r="AG805" s="37"/>
      <c r="AH805" s="37"/>
      <c r="AI805" s="205"/>
      <c r="AJ805" s="205"/>
      <c r="AK805" s="205"/>
      <c r="AL805" s="204"/>
      <c r="AM805" s="204"/>
    </row>
    <row r="806">
      <c r="A806" s="37"/>
      <c r="B806" s="205"/>
      <c r="C806" s="37"/>
      <c r="D806" s="206"/>
      <c r="E806" s="207"/>
      <c r="F806" s="207"/>
      <c r="G806" s="208"/>
      <c r="H806" s="208"/>
      <c r="I806" s="37"/>
      <c r="J806" s="37"/>
      <c r="K806" s="37"/>
      <c r="L806" s="37"/>
      <c r="M806" s="37"/>
      <c r="N806" s="37"/>
      <c r="O806" s="37"/>
      <c r="P806" s="37"/>
      <c r="Q806" s="37"/>
      <c r="R806" s="37"/>
      <c r="S806" s="37"/>
      <c r="T806" s="37"/>
      <c r="U806" s="37"/>
      <c r="V806" s="37"/>
      <c r="W806" s="37"/>
      <c r="X806" s="37"/>
      <c r="Y806" s="37"/>
      <c r="Z806" s="37"/>
      <c r="AA806" s="37"/>
      <c r="AB806" s="37"/>
      <c r="AC806" s="37"/>
      <c r="AD806" s="37"/>
      <c r="AE806" s="37"/>
      <c r="AF806" s="37"/>
      <c r="AG806" s="37"/>
      <c r="AH806" s="37"/>
      <c r="AI806" s="205"/>
      <c r="AJ806" s="205"/>
      <c r="AK806" s="205"/>
      <c r="AL806" s="204"/>
      <c r="AM806" s="204"/>
    </row>
    <row r="807">
      <c r="A807" s="37"/>
      <c r="B807" s="205"/>
      <c r="C807" s="37"/>
      <c r="D807" s="206"/>
      <c r="E807" s="207"/>
      <c r="F807" s="207"/>
      <c r="G807" s="208"/>
      <c r="H807" s="208"/>
      <c r="I807" s="37"/>
      <c r="J807" s="37"/>
      <c r="K807" s="37"/>
      <c r="L807" s="37"/>
      <c r="M807" s="37"/>
      <c r="N807" s="37"/>
      <c r="O807" s="37"/>
      <c r="P807" s="37"/>
      <c r="Q807" s="37"/>
      <c r="R807" s="37"/>
      <c r="S807" s="37"/>
      <c r="T807" s="37"/>
      <c r="U807" s="37"/>
      <c r="V807" s="37"/>
      <c r="W807" s="37"/>
      <c r="X807" s="37"/>
      <c r="Y807" s="37"/>
      <c r="Z807" s="37"/>
      <c r="AA807" s="37"/>
      <c r="AB807" s="37"/>
      <c r="AC807" s="37"/>
      <c r="AD807" s="37"/>
      <c r="AE807" s="37"/>
      <c r="AF807" s="37"/>
      <c r="AG807" s="37"/>
      <c r="AH807" s="37"/>
      <c r="AI807" s="205"/>
      <c r="AJ807" s="205"/>
      <c r="AK807" s="205"/>
      <c r="AL807" s="204"/>
      <c r="AM807" s="204"/>
    </row>
    <row r="808">
      <c r="A808" s="37"/>
      <c r="B808" s="205"/>
      <c r="C808" s="37"/>
      <c r="D808" s="206"/>
      <c r="E808" s="207"/>
      <c r="F808" s="207"/>
      <c r="G808" s="208"/>
      <c r="H808" s="208"/>
      <c r="I808" s="37"/>
      <c r="J808" s="37"/>
      <c r="K808" s="37"/>
      <c r="L808" s="37"/>
      <c r="M808" s="37"/>
      <c r="N808" s="37"/>
      <c r="O808" s="37"/>
      <c r="P808" s="37"/>
      <c r="Q808" s="37"/>
      <c r="R808" s="37"/>
      <c r="S808" s="37"/>
      <c r="T808" s="37"/>
      <c r="U808" s="37"/>
      <c r="V808" s="37"/>
      <c r="W808" s="37"/>
      <c r="X808" s="37"/>
      <c r="Y808" s="37"/>
      <c r="Z808" s="37"/>
      <c r="AA808" s="37"/>
      <c r="AB808" s="37"/>
      <c r="AC808" s="37"/>
      <c r="AD808" s="37"/>
      <c r="AE808" s="37"/>
      <c r="AF808" s="37"/>
      <c r="AG808" s="37"/>
      <c r="AH808" s="37"/>
      <c r="AI808" s="205"/>
      <c r="AJ808" s="205"/>
      <c r="AK808" s="205"/>
      <c r="AL808" s="204"/>
      <c r="AM808" s="204"/>
    </row>
    <row r="809">
      <c r="A809" s="37"/>
      <c r="B809" s="205"/>
      <c r="C809" s="37"/>
      <c r="D809" s="206"/>
      <c r="E809" s="207"/>
      <c r="F809" s="207"/>
      <c r="G809" s="208"/>
      <c r="H809" s="208"/>
      <c r="I809" s="37"/>
      <c r="J809" s="37"/>
      <c r="K809" s="37"/>
      <c r="L809" s="37"/>
      <c r="M809" s="37"/>
      <c r="N809" s="37"/>
      <c r="O809" s="37"/>
      <c r="P809" s="37"/>
      <c r="Q809" s="37"/>
      <c r="R809" s="37"/>
      <c r="S809" s="37"/>
      <c r="T809" s="37"/>
      <c r="U809" s="37"/>
      <c r="V809" s="37"/>
      <c r="W809" s="37"/>
      <c r="X809" s="37"/>
      <c r="Y809" s="37"/>
      <c r="Z809" s="37"/>
      <c r="AA809" s="37"/>
      <c r="AB809" s="37"/>
      <c r="AC809" s="37"/>
      <c r="AD809" s="37"/>
      <c r="AE809" s="37"/>
      <c r="AF809" s="37"/>
      <c r="AG809" s="37"/>
      <c r="AH809" s="37"/>
      <c r="AI809" s="205"/>
      <c r="AJ809" s="205"/>
      <c r="AK809" s="205"/>
      <c r="AL809" s="204"/>
      <c r="AM809" s="204"/>
    </row>
    <row r="810">
      <c r="A810" s="37"/>
      <c r="B810" s="205"/>
      <c r="C810" s="37"/>
      <c r="D810" s="206"/>
      <c r="E810" s="207"/>
      <c r="F810" s="207"/>
      <c r="G810" s="208"/>
      <c r="H810" s="208"/>
      <c r="I810" s="37"/>
      <c r="J810" s="37"/>
      <c r="K810" s="37"/>
      <c r="L810" s="37"/>
      <c r="M810" s="37"/>
      <c r="N810" s="37"/>
      <c r="O810" s="37"/>
      <c r="P810" s="37"/>
      <c r="Q810" s="37"/>
      <c r="R810" s="37"/>
      <c r="S810" s="37"/>
      <c r="T810" s="37"/>
      <c r="U810" s="37"/>
      <c r="V810" s="37"/>
      <c r="W810" s="37"/>
      <c r="X810" s="37"/>
      <c r="Y810" s="37"/>
      <c r="Z810" s="37"/>
      <c r="AA810" s="37"/>
      <c r="AB810" s="37"/>
      <c r="AC810" s="37"/>
      <c r="AD810" s="37"/>
      <c r="AE810" s="37"/>
      <c r="AF810" s="37"/>
      <c r="AG810" s="37"/>
      <c r="AH810" s="37"/>
      <c r="AI810" s="205"/>
      <c r="AJ810" s="205"/>
      <c r="AK810" s="205"/>
      <c r="AL810" s="204"/>
      <c r="AM810" s="204"/>
    </row>
    <row r="811">
      <c r="A811" s="37"/>
      <c r="B811" s="205"/>
      <c r="C811" s="37"/>
      <c r="D811" s="206"/>
      <c r="E811" s="207"/>
      <c r="F811" s="207"/>
      <c r="G811" s="208"/>
      <c r="H811" s="208"/>
      <c r="I811" s="37"/>
      <c r="J811" s="37"/>
      <c r="K811" s="37"/>
      <c r="L811" s="37"/>
      <c r="M811" s="37"/>
      <c r="N811" s="37"/>
      <c r="O811" s="37"/>
      <c r="P811" s="37"/>
      <c r="Q811" s="37"/>
      <c r="R811" s="37"/>
      <c r="S811" s="37"/>
      <c r="T811" s="37"/>
      <c r="U811" s="37"/>
      <c r="V811" s="37"/>
      <c r="W811" s="37"/>
      <c r="X811" s="37"/>
      <c r="Y811" s="37"/>
      <c r="Z811" s="37"/>
      <c r="AA811" s="37"/>
      <c r="AB811" s="37"/>
      <c r="AC811" s="37"/>
      <c r="AD811" s="37"/>
      <c r="AE811" s="37"/>
      <c r="AF811" s="37"/>
      <c r="AG811" s="37"/>
      <c r="AH811" s="37"/>
      <c r="AI811" s="205"/>
      <c r="AJ811" s="205"/>
      <c r="AK811" s="205"/>
      <c r="AL811" s="204"/>
      <c r="AM811" s="204"/>
    </row>
    <row r="812">
      <c r="A812" s="37"/>
      <c r="B812" s="205"/>
      <c r="C812" s="37"/>
      <c r="D812" s="206"/>
      <c r="E812" s="207"/>
      <c r="F812" s="207"/>
      <c r="G812" s="208"/>
      <c r="H812" s="208"/>
      <c r="I812" s="37"/>
      <c r="J812" s="37"/>
      <c r="K812" s="37"/>
      <c r="L812" s="37"/>
      <c r="M812" s="37"/>
      <c r="N812" s="37"/>
      <c r="O812" s="37"/>
      <c r="P812" s="37"/>
      <c r="Q812" s="37"/>
      <c r="R812" s="37"/>
      <c r="S812" s="37"/>
      <c r="T812" s="37"/>
      <c r="U812" s="37"/>
      <c r="V812" s="37"/>
      <c r="W812" s="37"/>
      <c r="X812" s="37"/>
      <c r="Y812" s="37"/>
      <c r="Z812" s="37"/>
      <c r="AA812" s="37"/>
      <c r="AB812" s="37"/>
      <c r="AC812" s="37"/>
      <c r="AD812" s="37"/>
      <c r="AE812" s="37"/>
      <c r="AF812" s="37"/>
      <c r="AG812" s="37"/>
      <c r="AH812" s="37"/>
      <c r="AI812" s="205"/>
      <c r="AJ812" s="205"/>
      <c r="AK812" s="205"/>
      <c r="AL812" s="204"/>
      <c r="AM812" s="204"/>
    </row>
    <row r="813">
      <c r="A813" s="37"/>
      <c r="B813" s="205"/>
      <c r="C813" s="37"/>
      <c r="D813" s="206"/>
      <c r="E813" s="207"/>
      <c r="F813" s="207"/>
      <c r="G813" s="208"/>
      <c r="H813" s="208"/>
      <c r="I813" s="37"/>
      <c r="J813" s="37"/>
      <c r="K813" s="37"/>
      <c r="L813" s="37"/>
      <c r="M813" s="37"/>
      <c r="N813" s="37"/>
      <c r="O813" s="37"/>
      <c r="P813" s="37"/>
      <c r="Q813" s="37"/>
      <c r="R813" s="37"/>
      <c r="S813" s="37"/>
      <c r="T813" s="37"/>
      <c r="U813" s="37"/>
      <c r="V813" s="37"/>
      <c r="W813" s="37"/>
      <c r="X813" s="37"/>
      <c r="Y813" s="37"/>
      <c r="Z813" s="37"/>
      <c r="AA813" s="37"/>
      <c r="AB813" s="37"/>
      <c r="AC813" s="37"/>
      <c r="AD813" s="37"/>
      <c r="AE813" s="37"/>
      <c r="AF813" s="37"/>
      <c r="AG813" s="37"/>
      <c r="AH813" s="37"/>
      <c r="AI813" s="205"/>
      <c r="AJ813" s="205"/>
      <c r="AK813" s="205"/>
      <c r="AL813" s="204"/>
      <c r="AM813" s="204"/>
    </row>
    <row r="814">
      <c r="A814" s="37"/>
      <c r="B814" s="205"/>
      <c r="C814" s="37"/>
      <c r="D814" s="206"/>
      <c r="E814" s="207"/>
      <c r="F814" s="207"/>
      <c r="G814" s="208"/>
      <c r="H814" s="208"/>
      <c r="I814" s="37"/>
      <c r="J814" s="37"/>
      <c r="K814" s="37"/>
      <c r="L814" s="37"/>
      <c r="M814" s="37"/>
      <c r="N814" s="37"/>
      <c r="O814" s="37"/>
      <c r="P814" s="37"/>
      <c r="Q814" s="37"/>
      <c r="R814" s="37"/>
      <c r="S814" s="37"/>
      <c r="T814" s="37"/>
      <c r="U814" s="37"/>
      <c r="V814" s="37"/>
      <c r="W814" s="37"/>
      <c r="X814" s="37"/>
      <c r="Y814" s="37"/>
      <c r="Z814" s="37"/>
      <c r="AA814" s="37"/>
      <c r="AB814" s="37"/>
      <c r="AC814" s="37"/>
      <c r="AD814" s="37"/>
      <c r="AE814" s="37"/>
      <c r="AF814" s="37"/>
      <c r="AG814" s="37"/>
      <c r="AH814" s="37"/>
      <c r="AI814" s="205"/>
      <c r="AJ814" s="205"/>
      <c r="AK814" s="205"/>
      <c r="AL814" s="204"/>
      <c r="AM814" s="204"/>
    </row>
    <row r="815">
      <c r="A815" s="37"/>
      <c r="B815" s="205"/>
      <c r="C815" s="37"/>
      <c r="D815" s="206"/>
      <c r="E815" s="207"/>
      <c r="F815" s="207"/>
      <c r="G815" s="208"/>
      <c r="H815" s="208"/>
      <c r="I815" s="37"/>
      <c r="J815" s="37"/>
      <c r="K815" s="37"/>
      <c r="L815" s="37"/>
      <c r="M815" s="37"/>
      <c r="N815" s="37"/>
      <c r="O815" s="37"/>
      <c r="P815" s="37"/>
      <c r="Q815" s="37"/>
      <c r="R815" s="37"/>
      <c r="S815" s="37"/>
      <c r="T815" s="37"/>
      <c r="U815" s="37"/>
      <c r="V815" s="37"/>
      <c r="W815" s="37"/>
      <c r="X815" s="37"/>
      <c r="Y815" s="37"/>
      <c r="Z815" s="37"/>
      <c r="AA815" s="37"/>
      <c r="AB815" s="37"/>
      <c r="AC815" s="37"/>
      <c r="AD815" s="37"/>
      <c r="AE815" s="37"/>
      <c r="AF815" s="37"/>
      <c r="AG815" s="37"/>
      <c r="AH815" s="37"/>
      <c r="AI815" s="205"/>
      <c r="AJ815" s="205"/>
      <c r="AK815" s="205"/>
      <c r="AL815" s="204"/>
      <c r="AM815" s="204"/>
    </row>
    <row r="816">
      <c r="A816" s="37"/>
      <c r="B816" s="205"/>
      <c r="C816" s="37"/>
      <c r="D816" s="206"/>
      <c r="E816" s="207"/>
      <c r="F816" s="207"/>
      <c r="G816" s="208"/>
      <c r="H816" s="208"/>
      <c r="I816" s="37"/>
      <c r="J816" s="37"/>
      <c r="K816" s="37"/>
      <c r="L816" s="37"/>
      <c r="M816" s="37"/>
      <c r="N816" s="37"/>
      <c r="O816" s="37"/>
      <c r="P816" s="37"/>
      <c r="Q816" s="37"/>
      <c r="R816" s="37"/>
      <c r="S816" s="37"/>
      <c r="T816" s="37"/>
      <c r="U816" s="37"/>
      <c r="V816" s="37"/>
      <c r="W816" s="37"/>
      <c r="X816" s="37"/>
      <c r="Y816" s="37"/>
      <c r="Z816" s="37"/>
      <c r="AA816" s="37"/>
      <c r="AB816" s="37"/>
      <c r="AC816" s="37"/>
      <c r="AD816" s="37"/>
      <c r="AE816" s="37"/>
      <c r="AF816" s="37"/>
      <c r="AG816" s="37"/>
      <c r="AH816" s="37"/>
      <c r="AI816" s="205"/>
      <c r="AJ816" s="205"/>
      <c r="AK816" s="205"/>
      <c r="AL816" s="204"/>
      <c r="AM816" s="204"/>
    </row>
    <row r="817">
      <c r="A817" s="37"/>
      <c r="B817" s="205"/>
      <c r="C817" s="37"/>
      <c r="D817" s="206"/>
      <c r="E817" s="207"/>
      <c r="F817" s="207"/>
      <c r="G817" s="208"/>
      <c r="H817" s="208"/>
      <c r="I817" s="37"/>
      <c r="J817" s="37"/>
      <c r="K817" s="37"/>
      <c r="L817" s="37"/>
      <c r="M817" s="37"/>
      <c r="N817" s="37"/>
      <c r="O817" s="37"/>
      <c r="P817" s="37"/>
      <c r="Q817" s="37"/>
      <c r="R817" s="37"/>
      <c r="S817" s="37"/>
      <c r="T817" s="37"/>
      <c r="U817" s="37"/>
      <c r="V817" s="37"/>
      <c r="W817" s="37"/>
      <c r="X817" s="37"/>
      <c r="Y817" s="37"/>
      <c r="Z817" s="37"/>
      <c r="AA817" s="37"/>
      <c r="AB817" s="37"/>
      <c r="AC817" s="37"/>
      <c r="AD817" s="37"/>
      <c r="AE817" s="37"/>
      <c r="AF817" s="37"/>
      <c r="AG817" s="37"/>
      <c r="AH817" s="37"/>
      <c r="AI817" s="205"/>
      <c r="AJ817" s="205"/>
      <c r="AK817" s="205"/>
      <c r="AL817" s="204"/>
      <c r="AM817" s="204"/>
    </row>
    <row r="818">
      <c r="A818" s="37"/>
      <c r="B818" s="205"/>
      <c r="C818" s="37"/>
      <c r="D818" s="206"/>
      <c r="E818" s="207"/>
      <c r="F818" s="207"/>
      <c r="G818" s="208"/>
      <c r="H818" s="208"/>
      <c r="I818" s="37"/>
      <c r="J818" s="37"/>
      <c r="K818" s="37"/>
      <c r="L818" s="37"/>
      <c r="M818" s="37"/>
      <c r="N818" s="37"/>
      <c r="O818" s="37"/>
      <c r="P818" s="37"/>
      <c r="Q818" s="37"/>
      <c r="R818" s="37"/>
      <c r="S818" s="37"/>
      <c r="T818" s="37"/>
      <c r="U818" s="37"/>
      <c r="V818" s="37"/>
      <c r="W818" s="37"/>
      <c r="X818" s="37"/>
      <c r="Y818" s="37"/>
      <c r="Z818" s="37"/>
      <c r="AA818" s="37"/>
      <c r="AB818" s="37"/>
      <c r="AC818" s="37"/>
      <c r="AD818" s="37"/>
      <c r="AE818" s="37"/>
      <c r="AF818" s="37"/>
      <c r="AG818" s="37"/>
      <c r="AH818" s="37"/>
      <c r="AI818" s="205"/>
      <c r="AJ818" s="205"/>
      <c r="AK818" s="205"/>
      <c r="AL818" s="204"/>
      <c r="AM818" s="204"/>
    </row>
    <row r="819">
      <c r="A819" s="37"/>
      <c r="B819" s="205"/>
      <c r="C819" s="37"/>
      <c r="D819" s="206"/>
      <c r="E819" s="207"/>
      <c r="F819" s="207"/>
      <c r="G819" s="208"/>
      <c r="H819" s="208"/>
      <c r="I819" s="37"/>
      <c r="J819" s="37"/>
      <c r="K819" s="37"/>
      <c r="L819" s="37"/>
      <c r="M819" s="37"/>
      <c r="N819" s="37"/>
      <c r="O819" s="37"/>
      <c r="P819" s="37"/>
      <c r="Q819" s="37"/>
      <c r="R819" s="37"/>
      <c r="S819" s="37"/>
      <c r="T819" s="37"/>
      <c r="U819" s="37"/>
      <c r="V819" s="37"/>
      <c r="W819" s="37"/>
      <c r="X819" s="37"/>
      <c r="Y819" s="37"/>
      <c r="Z819" s="37"/>
      <c r="AA819" s="37"/>
      <c r="AB819" s="37"/>
      <c r="AC819" s="37"/>
      <c r="AD819" s="37"/>
      <c r="AE819" s="37"/>
      <c r="AF819" s="37"/>
      <c r="AG819" s="37"/>
      <c r="AH819" s="37"/>
      <c r="AI819" s="205"/>
      <c r="AJ819" s="205"/>
      <c r="AK819" s="205"/>
      <c r="AL819" s="204"/>
      <c r="AM819" s="204"/>
    </row>
    <row r="820">
      <c r="A820" s="37"/>
      <c r="B820" s="205"/>
      <c r="C820" s="37"/>
      <c r="D820" s="206"/>
      <c r="E820" s="207"/>
      <c r="F820" s="207"/>
      <c r="G820" s="208"/>
      <c r="H820" s="208"/>
      <c r="I820" s="37"/>
      <c r="J820" s="37"/>
      <c r="K820" s="37"/>
      <c r="L820" s="37"/>
      <c r="M820" s="37"/>
      <c r="N820" s="37"/>
      <c r="O820" s="37"/>
      <c r="P820" s="37"/>
      <c r="Q820" s="37"/>
      <c r="R820" s="37"/>
      <c r="S820" s="37"/>
      <c r="T820" s="37"/>
      <c r="U820" s="37"/>
      <c r="V820" s="37"/>
      <c r="W820" s="37"/>
      <c r="X820" s="37"/>
      <c r="Y820" s="37"/>
      <c r="Z820" s="37"/>
      <c r="AA820" s="37"/>
      <c r="AB820" s="37"/>
      <c r="AC820" s="37"/>
      <c r="AD820" s="37"/>
      <c r="AE820" s="37"/>
      <c r="AF820" s="37"/>
      <c r="AG820" s="37"/>
      <c r="AH820" s="37"/>
      <c r="AI820" s="205"/>
      <c r="AJ820" s="205"/>
      <c r="AK820" s="205"/>
      <c r="AL820" s="204"/>
      <c r="AM820" s="204"/>
    </row>
    <row r="821">
      <c r="A821" s="37"/>
      <c r="B821" s="205"/>
      <c r="C821" s="37"/>
      <c r="D821" s="206"/>
      <c r="E821" s="207"/>
      <c r="F821" s="207"/>
      <c r="G821" s="208"/>
      <c r="H821" s="208"/>
      <c r="I821" s="37"/>
      <c r="J821" s="37"/>
      <c r="K821" s="37"/>
      <c r="L821" s="37"/>
      <c r="M821" s="37"/>
      <c r="N821" s="37"/>
      <c r="O821" s="37"/>
      <c r="P821" s="37"/>
      <c r="Q821" s="37"/>
      <c r="R821" s="37"/>
      <c r="S821" s="37"/>
      <c r="T821" s="37"/>
      <c r="U821" s="37"/>
      <c r="V821" s="37"/>
      <c r="W821" s="37"/>
      <c r="X821" s="37"/>
      <c r="Y821" s="37"/>
      <c r="Z821" s="37"/>
      <c r="AA821" s="37"/>
      <c r="AB821" s="37"/>
      <c r="AC821" s="37"/>
      <c r="AD821" s="37"/>
      <c r="AE821" s="37"/>
      <c r="AF821" s="37"/>
      <c r="AG821" s="37"/>
      <c r="AH821" s="37"/>
      <c r="AI821" s="205"/>
      <c r="AJ821" s="205"/>
      <c r="AK821" s="205"/>
      <c r="AL821" s="204"/>
      <c r="AM821" s="204"/>
    </row>
    <row r="822">
      <c r="A822" s="37"/>
      <c r="B822" s="205"/>
      <c r="C822" s="37"/>
      <c r="D822" s="206"/>
      <c r="E822" s="207"/>
      <c r="F822" s="207"/>
      <c r="G822" s="208"/>
      <c r="H822" s="208"/>
      <c r="I822" s="37"/>
      <c r="J822" s="37"/>
      <c r="K822" s="37"/>
      <c r="L822" s="37"/>
      <c r="M822" s="37"/>
      <c r="N822" s="37"/>
      <c r="O822" s="37"/>
      <c r="P822" s="37"/>
      <c r="Q822" s="37"/>
      <c r="R822" s="37"/>
      <c r="S822" s="37"/>
      <c r="T822" s="37"/>
      <c r="U822" s="37"/>
      <c r="V822" s="37"/>
      <c r="W822" s="37"/>
      <c r="X822" s="37"/>
      <c r="Y822" s="37"/>
      <c r="Z822" s="37"/>
      <c r="AA822" s="37"/>
      <c r="AB822" s="37"/>
      <c r="AC822" s="37"/>
      <c r="AD822" s="37"/>
      <c r="AE822" s="37"/>
      <c r="AF822" s="37"/>
      <c r="AG822" s="37"/>
      <c r="AH822" s="37"/>
      <c r="AI822" s="205"/>
      <c r="AJ822" s="205"/>
      <c r="AK822" s="205"/>
      <c r="AL822" s="204"/>
      <c r="AM822" s="204"/>
    </row>
    <row r="823">
      <c r="A823" s="37"/>
      <c r="B823" s="205"/>
      <c r="C823" s="37"/>
      <c r="D823" s="206"/>
      <c r="E823" s="207"/>
      <c r="F823" s="207"/>
      <c r="G823" s="208"/>
      <c r="H823" s="208"/>
      <c r="I823" s="37"/>
      <c r="J823" s="37"/>
      <c r="K823" s="37"/>
      <c r="L823" s="37"/>
      <c r="M823" s="37"/>
      <c r="N823" s="37"/>
      <c r="O823" s="37"/>
      <c r="P823" s="37"/>
      <c r="Q823" s="37"/>
      <c r="R823" s="37"/>
      <c r="S823" s="37"/>
      <c r="T823" s="37"/>
      <c r="U823" s="37"/>
      <c r="V823" s="37"/>
      <c r="W823" s="37"/>
      <c r="X823" s="37"/>
      <c r="Y823" s="37"/>
      <c r="Z823" s="37"/>
      <c r="AA823" s="37"/>
      <c r="AB823" s="37"/>
      <c r="AC823" s="37"/>
      <c r="AD823" s="37"/>
      <c r="AE823" s="37"/>
      <c r="AF823" s="37"/>
      <c r="AG823" s="37"/>
      <c r="AH823" s="37"/>
      <c r="AI823" s="205"/>
      <c r="AJ823" s="205"/>
      <c r="AK823" s="205"/>
      <c r="AL823" s="204"/>
      <c r="AM823" s="204"/>
    </row>
    <row r="824">
      <c r="A824" s="37"/>
      <c r="B824" s="205"/>
      <c r="C824" s="37"/>
      <c r="D824" s="206"/>
      <c r="E824" s="207"/>
      <c r="F824" s="207"/>
      <c r="G824" s="208"/>
      <c r="H824" s="208"/>
      <c r="I824" s="37"/>
      <c r="J824" s="37"/>
      <c r="K824" s="37"/>
      <c r="L824" s="37"/>
      <c r="M824" s="37"/>
      <c r="N824" s="37"/>
      <c r="O824" s="37"/>
      <c r="P824" s="37"/>
      <c r="Q824" s="37"/>
      <c r="R824" s="37"/>
      <c r="S824" s="37"/>
      <c r="T824" s="37"/>
      <c r="U824" s="37"/>
      <c r="V824" s="37"/>
      <c r="W824" s="37"/>
      <c r="X824" s="37"/>
      <c r="Y824" s="37"/>
      <c r="Z824" s="37"/>
      <c r="AA824" s="37"/>
      <c r="AB824" s="37"/>
      <c r="AC824" s="37"/>
      <c r="AD824" s="37"/>
      <c r="AE824" s="37"/>
      <c r="AF824" s="37"/>
      <c r="AG824" s="37"/>
      <c r="AH824" s="37"/>
      <c r="AI824" s="205"/>
      <c r="AJ824" s="205"/>
      <c r="AK824" s="205"/>
      <c r="AL824" s="204"/>
      <c r="AM824" s="204"/>
    </row>
    <row r="825">
      <c r="A825" s="37"/>
      <c r="B825" s="205"/>
      <c r="C825" s="37"/>
      <c r="D825" s="206"/>
      <c r="E825" s="207"/>
      <c r="F825" s="207"/>
      <c r="G825" s="208"/>
      <c r="H825" s="208"/>
      <c r="I825" s="37"/>
      <c r="J825" s="37"/>
      <c r="K825" s="37"/>
      <c r="L825" s="37"/>
      <c r="M825" s="37"/>
      <c r="N825" s="37"/>
      <c r="O825" s="37"/>
      <c r="P825" s="37"/>
      <c r="Q825" s="37"/>
      <c r="R825" s="37"/>
      <c r="S825" s="37"/>
      <c r="T825" s="37"/>
      <c r="U825" s="37"/>
      <c r="V825" s="37"/>
      <c r="W825" s="37"/>
      <c r="X825" s="37"/>
      <c r="Y825" s="37"/>
      <c r="Z825" s="37"/>
      <c r="AA825" s="37"/>
      <c r="AB825" s="37"/>
      <c r="AC825" s="37"/>
      <c r="AD825" s="37"/>
      <c r="AE825" s="37"/>
      <c r="AF825" s="37"/>
      <c r="AG825" s="37"/>
      <c r="AH825" s="37"/>
      <c r="AI825" s="205"/>
      <c r="AJ825" s="205"/>
      <c r="AK825" s="205"/>
      <c r="AL825" s="204"/>
      <c r="AM825" s="204"/>
    </row>
    <row r="826">
      <c r="A826" s="37"/>
      <c r="B826" s="205"/>
      <c r="C826" s="37"/>
      <c r="D826" s="206"/>
      <c r="E826" s="207"/>
      <c r="F826" s="207"/>
      <c r="G826" s="208"/>
      <c r="H826" s="208"/>
      <c r="I826" s="37"/>
      <c r="J826" s="37"/>
      <c r="K826" s="37"/>
      <c r="L826" s="37"/>
      <c r="M826" s="37"/>
      <c r="N826" s="37"/>
      <c r="O826" s="37"/>
      <c r="P826" s="37"/>
      <c r="Q826" s="37"/>
      <c r="R826" s="37"/>
      <c r="S826" s="37"/>
      <c r="T826" s="37"/>
      <c r="U826" s="37"/>
      <c r="V826" s="37"/>
      <c r="W826" s="37"/>
      <c r="X826" s="37"/>
      <c r="Y826" s="37"/>
      <c r="Z826" s="37"/>
      <c r="AA826" s="37"/>
      <c r="AB826" s="37"/>
      <c r="AC826" s="37"/>
      <c r="AD826" s="37"/>
      <c r="AE826" s="37"/>
      <c r="AF826" s="37"/>
      <c r="AG826" s="37"/>
      <c r="AH826" s="37"/>
      <c r="AI826" s="205"/>
      <c r="AJ826" s="205"/>
      <c r="AK826" s="205"/>
      <c r="AL826" s="204"/>
      <c r="AM826" s="204"/>
    </row>
    <row r="827">
      <c r="A827" s="37"/>
      <c r="B827" s="205"/>
      <c r="C827" s="37"/>
      <c r="D827" s="206"/>
      <c r="E827" s="207"/>
      <c r="F827" s="207"/>
      <c r="G827" s="208"/>
      <c r="H827" s="208"/>
      <c r="I827" s="37"/>
      <c r="J827" s="37"/>
      <c r="K827" s="37"/>
      <c r="L827" s="37"/>
      <c r="M827" s="37"/>
      <c r="N827" s="37"/>
      <c r="O827" s="37"/>
      <c r="P827" s="37"/>
      <c r="Q827" s="37"/>
      <c r="R827" s="37"/>
      <c r="S827" s="37"/>
      <c r="T827" s="37"/>
      <c r="U827" s="37"/>
      <c r="V827" s="37"/>
      <c r="W827" s="37"/>
      <c r="X827" s="37"/>
      <c r="Y827" s="37"/>
      <c r="Z827" s="37"/>
      <c r="AA827" s="37"/>
      <c r="AB827" s="37"/>
      <c r="AC827" s="37"/>
      <c r="AD827" s="37"/>
      <c r="AE827" s="37"/>
      <c r="AF827" s="37"/>
      <c r="AG827" s="37"/>
      <c r="AH827" s="37"/>
      <c r="AI827" s="205"/>
      <c r="AJ827" s="205"/>
      <c r="AK827" s="205"/>
      <c r="AL827" s="204"/>
      <c r="AM827" s="204"/>
    </row>
    <row r="828">
      <c r="A828" s="37"/>
      <c r="B828" s="205"/>
      <c r="C828" s="37"/>
      <c r="D828" s="206"/>
      <c r="E828" s="207"/>
      <c r="F828" s="207"/>
      <c r="G828" s="208"/>
      <c r="H828" s="208"/>
      <c r="I828" s="37"/>
      <c r="J828" s="37"/>
      <c r="K828" s="37"/>
      <c r="L828" s="37"/>
      <c r="M828" s="37"/>
      <c r="N828" s="37"/>
      <c r="O828" s="37"/>
      <c r="P828" s="37"/>
      <c r="Q828" s="37"/>
      <c r="R828" s="37"/>
      <c r="S828" s="37"/>
      <c r="T828" s="37"/>
      <c r="U828" s="37"/>
      <c r="V828" s="37"/>
      <c r="W828" s="37"/>
      <c r="X828" s="37"/>
      <c r="Y828" s="37"/>
      <c r="Z828" s="37"/>
      <c r="AA828" s="37"/>
      <c r="AB828" s="37"/>
      <c r="AC828" s="37"/>
      <c r="AD828" s="37"/>
      <c r="AE828" s="37"/>
      <c r="AF828" s="37"/>
      <c r="AG828" s="37"/>
      <c r="AH828" s="37"/>
      <c r="AI828" s="205"/>
      <c r="AJ828" s="205"/>
      <c r="AK828" s="205"/>
      <c r="AL828" s="204"/>
      <c r="AM828" s="204"/>
    </row>
    <row r="829">
      <c r="A829" s="37"/>
      <c r="B829" s="205"/>
      <c r="C829" s="37"/>
      <c r="D829" s="206"/>
      <c r="E829" s="207"/>
      <c r="F829" s="207"/>
      <c r="G829" s="208"/>
      <c r="H829" s="208"/>
      <c r="I829" s="37"/>
      <c r="J829" s="37"/>
      <c r="K829" s="37"/>
      <c r="L829" s="37"/>
      <c r="M829" s="37"/>
      <c r="N829" s="37"/>
      <c r="O829" s="37"/>
      <c r="P829" s="37"/>
      <c r="Q829" s="37"/>
      <c r="R829" s="37"/>
      <c r="S829" s="37"/>
      <c r="T829" s="37"/>
      <c r="U829" s="37"/>
      <c r="V829" s="37"/>
      <c r="W829" s="37"/>
      <c r="X829" s="37"/>
      <c r="Y829" s="37"/>
      <c r="Z829" s="37"/>
      <c r="AA829" s="37"/>
      <c r="AB829" s="37"/>
      <c r="AC829" s="37"/>
      <c r="AD829" s="37"/>
      <c r="AE829" s="37"/>
      <c r="AF829" s="37"/>
      <c r="AG829" s="37"/>
      <c r="AH829" s="37"/>
      <c r="AI829" s="205"/>
      <c r="AJ829" s="205"/>
      <c r="AK829" s="205"/>
      <c r="AL829" s="204"/>
      <c r="AM829" s="204"/>
    </row>
    <row r="830">
      <c r="A830" s="37"/>
      <c r="B830" s="205"/>
      <c r="C830" s="37"/>
      <c r="D830" s="206"/>
      <c r="E830" s="207"/>
      <c r="F830" s="207"/>
      <c r="G830" s="208"/>
      <c r="H830" s="208"/>
      <c r="I830" s="37"/>
      <c r="J830" s="37"/>
      <c r="K830" s="37"/>
      <c r="L830" s="37"/>
      <c r="M830" s="37"/>
      <c r="N830" s="37"/>
      <c r="O830" s="37"/>
      <c r="P830" s="37"/>
      <c r="Q830" s="37"/>
      <c r="R830" s="37"/>
      <c r="S830" s="37"/>
      <c r="T830" s="37"/>
      <c r="U830" s="37"/>
      <c r="V830" s="37"/>
      <c r="W830" s="37"/>
      <c r="X830" s="37"/>
      <c r="Y830" s="37"/>
      <c r="Z830" s="37"/>
      <c r="AA830" s="37"/>
      <c r="AB830" s="37"/>
      <c r="AC830" s="37"/>
      <c r="AD830" s="37"/>
      <c r="AE830" s="37"/>
      <c r="AF830" s="37"/>
      <c r="AG830" s="37"/>
      <c r="AH830" s="37"/>
      <c r="AI830" s="205"/>
      <c r="AJ830" s="205"/>
      <c r="AK830" s="205"/>
      <c r="AL830" s="204"/>
      <c r="AM830" s="204"/>
    </row>
    <row r="831">
      <c r="A831" s="37"/>
      <c r="B831" s="205"/>
      <c r="C831" s="37"/>
      <c r="D831" s="206"/>
      <c r="E831" s="207"/>
      <c r="F831" s="207"/>
      <c r="G831" s="208"/>
      <c r="H831" s="208"/>
      <c r="I831" s="37"/>
      <c r="J831" s="37"/>
      <c r="K831" s="37"/>
      <c r="L831" s="37"/>
      <c r="M831" s="37"/>
      <c r="N831" s="37"/>
      <c r="O831" s="37"/>
      <c r="P831" s="37"/>
      <c r="Q831" s="37"/>
      <c r="R831" s="37"/>
      <c r="S831" s="37"/>
      <c r="T831" s="37"/>
      <c r="U831" s="37"/>
      <c r="V831" s="37"/>
      <c r="W831" s="37"/>
      <c r="X831" s="37"/>
      <c r="Y831" s="37"/>
      <c r="Z831" s="37"/>
      <c r="AA831" s="37"/>
      <c r="AB831" s="37"/>
      <c r="AC831" s="37"/>
      <c r="AD831" s="37"/>
      <c r="AE831" s="37"/>
      <c r="AF831" s="37"/>
      <c r="AG831" s="37"/>
      <c r="AH831" s="37"/>
      <c r="AI831" s="205"/>
      <c r="AJ831" s="205"/>
      <c r="AK831" s="205"/>
      <c r="AL831" s="204"/>
      <c r="AM831" s="204"/>
    </row>
    <row r="832">
      <c r="A832" s="37"/>
      <c r="B832" s="205"/>
      <c r="C832" s="37"/>
      <c r="D832" s="206"/>
      <c r="E832" s="207"/>
      <c r="F832" s="207"/>
      <c r="G832" s="208"/>
      <c r="H832" s="208"/>
      <c r="I832" s="37"/>
      <c r="J832" s="37"/>
      <c r="K832" s="37"/>
      <c r="L832" s="37"/>
      <c r="M832" s="37"/>
      <c r="N832" s="37"/>
      <c r="O832" s="37"/>
      <c r="P832" s="37"/>
      <c r="Q832" s="37"/>
      <c r="R832" s="37"/>
      <c r="S832" s="37"/>
      <c r="T832" s="37"/>
      <c r="U832" s="37"/>
      <c r="V832" s="37"/>
      <c r="W832" s="37"/>
      <c r="X832" s="37"/>
      <c r="Y832" s="37"/>
      <c r="Z832" s="37"/>
      <c r="AA832" s="37"/>
      <c r="AB832" s="37"/>
      <c r="AC832" s="37"/>
      <c r="AD832" s="37"/>
      <c r="AE832" s="37"/>
      <c r="AF832" s="37"/>
      <c r="AG832" s="37"/>
      <c r="AH832" s="37"/>
      <c r="AI832" s="205"/>
      <c r="AJ832" s="205"/>
      <c r="AK832" s="205"/>
      <c r="AL832" s="204"/>
      <c r="AM832" s="204"/>
    </row>
    <row r="833">
      <c r="A833" s="37"/>
      <c r="B833" s="205"/>
      <c r="C833" s="37"/>
      <c r="D833" s="206"/>
      <c r="E833" s="207"/>
      <c r="F833" s="207"/>
      <c r="G833" s="208"/>
      <c r="H833" s="208"/>
      <c r="I833" s="37"/>
      <c r="J833" s="37"/>
      <c r="K833" s="37"/>
      <c r="L833" s="37"/>
      <c r="M833" s="37"/>
      <c r="N833" s="37"/>
      <c r="O833" s="37"/>
      <c r="P833" s="37"/>
      <c r="Q833" s="37"/>
      <c r="R833" s="37"/>
      <c r="S833" s="37"/>
      <c r="T833" s="37"/>
      <c r="U833" s="37"/>
      <c r="V833" s="37"/>
      <c r="W833" s="37"/>
      <c r="X833" s="37"/>
      <c r="Y833" s="37"/>
      <c r="Z833" s="37"/>
      <c r="AA833" s="37"/>
      <c r="AB833" s="37"/>
      <c r="AC833" s="37"/>
      <c r="AD833" s="37"/>
      <c r="AE833" s="37"/>
      <c r="AF833" s="37"/>
      <c r="AG833" s="37"/>
      <c r="AH833" s="37"/>
      <c r="AI833" s="205"/>
      <c r="AJ833" s="205"/>
      <c r="AK833" s="205"/>
      <c r="AL833" s="204"/>
      <c r="AM833" s="204"/>
    </row>
    <row r="834">
      <c r="A834" s="37"/>
      <c r="B834" s="205"/>
      <c r="C834" s="37"/>
      <c r="D834" s="206"/>
      <c r="E834" s="207"/>
      <c r="F834" s="207"/>
      <c r="G834" s="208"/>
      <c r="H834" s="208"/>
      <c r="I834" s="37"/>
      <c r="J834" s="37"/>
      <c r="K834" s="37"/>
      <c r="L834" s="37"/>
      <c r="M834" s="37"/>
      <c r="N834" s="37"/>
      <c r="O834" s="37"/>
      <c r="P834" s="37"/>
      <c r="Q834" s="37"/>
      <c r="R834" s="37"/>
      <c r="S834" s="37"/>
      <c r="T834" s="37"/>
      <c r="U834" s="37"/>
      <c r="V834" s="37"/>
      <c r="W834" s="37"/>
      <c r="X834" s="37"/>
      <c r="Y834" s="37"/>
      <c r="Z834" s="37"/>
      <c r="AA834" s="37"/>
      <c r="AB834" s="37"/>
      <c r="AC834" s="37"/>
      <c r="AD834" s="37"/>
      <c r="AE834" s="37"/>
      <c r="AF834" s="37"/>
      <c r="AG834" s="37"/>
      <c r="AH834" s="37"/>
      <c r="AI834" s="205"/>
      <c r="AJ834" s="205"/>
      <c r="AK834" s="205"/>
      <c r="AL834" s="204"/>
      <c r="AM834" s="204"/>
    </row>
    <row r="835">
      <c r="A835" s="37"/>
      <c r="B835" s="205"/>
      <c r="C835" s="37"/>
      <c r="D835" s="206"/>
      <c r="E835" s="207"/>
      <c r="F835" s="207"/>
      <c r="G835" s="208"/>
      <c r="H835" s="208"/>
      <c r="I835" s="37"/>
      <c r="J835" s="37"/>
      <c r="K835" s="37"/>
      <c r="L835" s="37"/>
      <c r="M835" s="37"/>
      <c r="N835" s="37"/>
      <c r="O835" s="37"/>
      <c r="P835" s="37"/>
      <c r="Q835" s="37"/>
      <c r="R835" s="37"/>
      <c r="S835" s="37"/>
      <c r="T835" s="37"/>
      <c r="U835" s="37"/>
      <c r="V835" s="37"/>
      <c r="W835" s="37"/>
      <c r="X835" s="37"/>
      <c r="Y835" s="37"/>
      <c r="Z835" s="37"/>
      <c r="AA835" s="37"/>
      <c r="AB835" s="37"/>
      <c r="AC835" s="37"/>
      <c r="AD835" s="37"/>
      <c r="AE835" s="37"/>
      <c r="AF835" s="37"/>
      <c r="AG835" s="37"/>
      <c r="AH835" s="37"/>
      <c r="AI835" s="205"/>
      <c r="AJ835" s="205"/>
      <c r="AK835" s="205"/>
      <c r="AL835" s="204"/>
      <c r="AM835" s="204"/>
    </row>
    <row r="836">
      <c r="A836" s="37"/>
      <c r="B836" s="205"/>
      <c r="C836" s="37"/>
      <c r="D836" s="206"/>
      <c r="E836" s="207"/>
      <c r="F836" s="207"/>
      <c r="G836" s="208"/>
      <c r="H836" s="208"/>
      <c r="I836" s="37"/>
      <c r="J836" s="37"/>
      <c r="K836" s="37"/>
      <c r="L836" s="37"/>
      <c r="M836" s="37"/>
      <c r="N836" s="37"/>
      <c r="O836" s="37"/>
      <c r="P836" s="37"/>
      <c r="Q836" s="37"/>
      <c r="R836" s="37"/>
      <c r="S836" s="37"/>
      <c r="T836" s="37"/>
      <c r="U836" s="37"/>
      <c r="V836" s="37"/>
      <c r="W836" s="37"/>
      <c r="X836" s="37"/>
      <c r="Y836" s="37"/>
      <c r="Z836" s="37"/>
      <c r="AA836" s="37"/>
      <c r="AB836" s="37"/>
      <c r="AC836" s="37"/>
      <c r="AD836" s="37"/>
      <c r="AE836" s="37"/>
      <c r="AF836" s="37"/>
      <c r="AG836" s="37"/>
      <c r="AH836" s="37"/>
      <c r="AI836" s="205"/>
      <c r="AJ836" s="205"/>
      <c r="AK836" s="205"/>
      <c r="AL836" s="204"/>
      <c r="AM836" s="204"/>
    </row>
    <row r="837">
      <c r="A837" s="37"/>
      <c r="B837" s="205"/>
      <c r="C837" s="37"/>
      <c r="D837" s="206"/>
      <c r="E837" s="207"/>
      <c r="F837" s="207"/>
      <c r="G837" s="208"/>
      <c r="H837" s="208"/>
      <c r="I837" s="37"/>
      <c r="J837" s="37"/>
      <c r="K837" s="37"/>
      <c r="L837" s="37"/>
      <c r="M837" s="37"/>
      <c r="N837" s="37"/>
      <c r="O837" s="37"/>
      <c r="P837" s="37"/>
      <c r="Q837" s="37"/>
      <c r="R837" s="37"/>
      <c r="S837" s="37"/>
      <c r="T837" s="37"/>
      <c r="U837" s="37"/>
      <c r="V837" s="37"/>
      <c r="W837" s="37"/>
      <c r="X837" s="37"/>
      <c r="Y837" s="37"/>
      <c r="Z837" s="37"/>
      <c r="AA837" s="37"/>
      <c r="AB837" s="37"/>
      <c r="AC837" s="37"/>
      <c r="AD837" s="37"/>
      <c r="AE837" s="37"/>
      <c r="AF837" s="37"/>
      <c r="AG837" s="37"/>
      <c r="AH837" s="37"/>
      <c r="AI837" s="205"/>
      <c r="AJ837" s="205"/>
      <c r="AK837" s="205"/>
      <c r="AL837" s="204"/>
      <c r="AM837" s="204"/>
    </row>
    <row r="838">
      <c r="A838" s="37"/>
      <c r="B838" s="205"/>
      <c r="C838" s="37"/>
      <c r="D838" s="206"/>
      <c r="E838" s="207"/>
      <c r="F838" s="207"/>
      <c r="G838" s="208"/>
      <c r="H838" s="208"/>
      <c r="I838" s="37"/>
      <c r="J838" s="37"/>
      <c r="K838" s="37"/>
      <c r="L838" s="37"/>
      <c r="M838" s="37"/>
      <c r="N838" s="37"/>
      <c r="O838" s="37"/>
      <c r="P838" s="37"/>
      <c r="Q838" s="37"/>
      <c r="R838" s="37"/>
      <c r="S838" s="37"/>
      <c r="T838" s="37"/>
      <c r="U838" s="37"/>
      <c r="V838" s="37"/>
      <c r="W838" s="37"/>
      <c r="X838" s="37"/>
      <c r="Y838" s="37"/>
      <c r="Z838" s="37"/>
      <c r="AA838" s="37"/>
      <c r="AB838" s="37"/>
      <c r="AC838" s="37"/>
      <c r="AD838" s="37"/>
      <c r="AE838" s="37"/>
      <c r="AF838" s="37"/>
      <c r="AG838" s="37"/>
      <c r="AH838" s="37"/>
      <c r="AI838" s="205"/>
      <c r="AJ838" s="205"/>
      <c r="AK838" s="205"/>
      <c r="AL838" s="204"/>
      <c r="AM838" s="204"/>
    </row>
    <row r="839">
      <c r="A839" s="37"/>
      <c r="B839" s="205"/>
      <c r="C839" s="37"/>
      <c r="D839" s="206"/>
      <c r="E839" s="207"/>
      <c r="F839" s="207"/>
      <c r="G839" s="208"/>
      <c r="H839" s="208"/>
      <c r="I839" s="37"/>
      <c r="J839" s="37"/>
      <c r="K839" s="37"/>
      <c r="L839" s="37"/>
      <c r="M839" s="37"/>
      <c r="N839" s="37"/>
      <c r="O839" s="37"/>
      <c r="P839" s="37"/>
      <c r="Q839" s="37"/>
      <c r="R839" s="37"/>
      <c r="S839" s="37"/>
      <c r="T839" s="37"/>
      <c r="U839" s="37"/>
      <c r="V839" s="37"/>
      <c r="W839" s="37"/>
      <c r="X839" s="37"/>
      <c r="Y839" s="37"/>
      <c r="Z839" s="37"/>
      <c r="AA839" s="37"/>
      <c r="AB839" s="37"/>
      <c r="AC839" s="37"/>
      <c r="AD839" s="37"/>
      <c r="AE839" s="37"/>
      <c r="AF839" s="37"/>
      <c r="AG839" s="37"/>
      <c r="AH839" s="37"/>
      <c r="AI839" s="205"/>
      <c r="AJ839" s="205"/>
      <c r="AK839" s="205"/>
      <c r="AL839" s="204"/>
      <c r="AM839" s="204"/>
    </row>
    <row r="840">
      <c r="A840" s="37"/>
      <c r="B840" s="205"/>
      <c r="C840" s="37"/>
      <c r="D840" s="206"/>
      <c r="E840" s="207"/>
      <c r="F840" s="207"/>
      <c r="G840" s="208"/>
      <c r="H840" s="208"/>
      <c r="I840" s="37"/>
      <c r="J840" s="37"/>
      <c r="K840" s="37"/>
      <c r="L840" s="37"/>
      <c r="M840" s="37"/>
      <c r="N840" s="37"/>
      <c r="O840" s="37"/>
      <c r="P840" s="37"/>
      <c r="Q840" s="37"/>
      <c r="R840" s="37"/>
      <c r="S840" s="37"/>
      <c r="T840" s="37"/>
      <c r="U840" s="37"/>
      <c r="V840" s="37"/>
      <c r="W840" s="37"/>
      <c r="X840" s="37"/>
      <c r="Y840" s="37"/>
      <c r="Z840" s="37"/>
      <c r="AA840" s="37"/>
      <c r="AB840" s="37"/>
      <c r="AC840" s="37"/>
      <c r="AD840" s="37"/>
      <c r="AE840" s="37"/>
      <c r="AF840" s="37"/>
      <c r="AG840" s="37"/>
      <c r="AH840" s="37"/>
      <c r="AI840" s="205"/>
      <c r="AJ840" s="205"/>
      <c r="AK840" s="205"/>
      <c r="AL840" s="204"/>
      <c r="AM840" s="204"/>
    </row>
    <row r="841">
      <c r="A841" s="37"/>
      <c r="B841" s="205"/>
      <c r="C841" s="37"/>
      <c r="D841" s="206"/>
      <c r="E841" s="207"/>
      <c r="F841" s="207"/>
      <c r="G841" s="208"/>
      <c r="H841" s="208"/>
      <c r="I841" s="37"/>
      <c r="J841" s="37"/>
      <c r="K841" s="37"/>
      <c r="L841" s="37"/>
      <c r="M841" s="37"/>
      <c r="N841" s="37"/>
      <c r="O841" s="37"/>
      <c r="P841" s="37"/>
      <c r="Q841" s="37"/>
      <c r="R841" s="37"/>
      <c r="S841" s="37"/>
      <c r="T841" s="37"/>
      <c r="U841" s="37"/>
      <c r="V841" s="37"/>
      <c r="W841" s="37"/>
      <c r="X841" s="37"/>
      <c r="Y841" s="37"/>
      <c r="Z841" s="37"/>
      <c r="AA841" s="37"/>
      <c r="AB841" s="37"/>
      <c r="AC841" s="37"/>
      <c r="AD841" s="37"/>
      <c r="AE841" s="37"/>
      <c r="AF841" s="37"/>
      <c r="AG841" s="37"/>
      <c r="AH841" s="37"/>
      <c r="AI841" s="205"/>
      <c r="AJ841" s="205"/>
      <c r="AK841" s="205"/>
      <c r="AL841" s="204"/>
      <c r="AM841" s="204"/>
    </row>
    <row r="842">
      <c r="A842" s="37"/>
      <c r="B842" s="205"/>
      <c r="C842" s="37"/>
      <c r="D842" s="206"/>
      <c r="E842" s="207"/>
      <c r="F842" s="207"/>
      <c r="G842" s="208"/>
      <c r="H842" s="208"/>
      <c r="I842" s="37"/>
      <c r="J842" s="37"/>
      <c r="K842" s="37"/>
      <c r="L842" s="37"/>
      <c r="M842" s="37"/>
      <c r="N842" s="37"/>
      <c r="O842" s="37"/>
      <c r="P842" s="37"/>
      <c r="Q842" s="37"/>
      <c r="R842" s="37"/>
      <c r="S842" s="37"/>
      <c r="T842" s="37"/>
      <c r="U842" s="37"/>
      <c r="V842" s="37"/>
      <c r="W842" s="37"/>
      <c r="X842" s="37"/>
      <c r="Y842" s="37"/>
      <c r="Z842" s="37"/>
      <c r="AA842" s="37"/>
      <c r="AB842" s="37"/>
      <c r="AC842" s="37"/>
      <c r="AD842" s="37"/>
      <c r="AE842" s="37"/>
      <c r="AF842" s="37"/>
      <c r="AG842" s="37"/>
      <c r="AH842" s="37"/>
      <c r="AI842" s="205"/>
      <c r="AJ842" s="205"/>
      <c r="AK842" s="205"/>
      <c r="AL842" s="204"/>
      <c r="AM842" s="204"/>
    </row>
    <row r="843">
      <c r="A843" s="37"/>
      <c r="B843" s="205"/>
      <c r="C843" s="37"/>
      <c r="D843" s="206"/>
      <c r="E843" s="207"/>
      <c r="F843" s="207"/>
      <c r="G843" s="208"/>
      <c r="H843" s="208"/>
      <c r="I843" s="37"/>
      <c r="J843" s="37"/>
      <c r="K843" s="37"/>
      <c r="L843" s="37"/>
      <c r="M843" s="37"/>
      <c r="N843" s="37"/>
      <c r="O843" s="37"/>
      <c r="P843" s="37"/>
      <c r="Q843" s="37"/>
      <c r="R843" s="37"/>
      <c r="S843" s="37"/>
      <c r="T843" s="37"/>
      <c r="U843" s="37"/>
      <c r="V843" s="37"/>
      <c r="W843" s="37"/>
      <c r="X843" s="37"/>
      <c r="Y843" s="37"/>
      <c r="Z843" s="37"/>
      <c r="AA843" s="37"/>
      <c r="AB843" s="37"/>
      <c r="AC843" s="37"/>
      <c r="AD843" s="37"/>
      <c r="AE843" s="37"/>
      <c r="AF843" s="37"/>
      <c r="AG843" s="37"/>
      <c r="AH843" s="37"/>
      <c r="AI843" s="205"/>
      <c r="AJ843" s="205"/>
      <c r="AK843" s="205"/>
      <c r="AL843" s="204"/>
      <c r="AM843" s="204"/>
    </row>
    <row r="844">
      <c r="A844" s="37"/>
      <c r="B844" s="205"/>
      <c r="C844" s="37"/>
      <c r="D844" s="206"/>
      <c r="E844" s="207"/>
      <c r="F844" s="207"/>
      <c r="G844" s="208"/>
      <c r="H844" s="208"/>
      <c r="I844" s="37"/>
      <c r="J844" s="37"/>
      <c r="K844" s="37"/>
      <c r="L844" s="37"/>
      <c r="M844" s="37"/>
      <c r="N844" s="37"/>
      <c r="O844" s="37"/>
      <c r="P844" s="37"/>
      <c r="Q844" s="37"/>
      <c r="R844" s="37"/>
      <c r="S844" s="37"/>
      <c r="T844" s="37"/>
      <c r="U844" s="37"/>
      <c r="V844" s="37"/>
      <c r="W844" s="37"/>
      <c r="X844" s="37"/>
      <c r="Y844" s="37"/>
      <c r="Z844" s="37"/>
      <c r="AA844" s="37"/>
      <c r="AB844" s="37"/>
      <c r="AC844" s="37"/>
      <c r="AD844" s="37"/>
      <c r="AE844" s="37"/>
      <c r="AF844" s="37"/>
      <c r="AG844" s="37"/>
      <c r="AH844" s="37"/>
      <c r="AI844" s="205"/>
      <c r="AJ844" s="205"/>
      <c r="AK844" s="205"/>
      <c r="AL844" s="204"/>
      <c r="AM844" s="204"/>
    </row>
    <row r="845">
      <c r="A845" s="37"/>
      <c r="B845" s="205"/>
      <c r="C845" s="37"/>
      <c r="D845" s="206"/>
      <c r="E845" s="207"/>
      <c r="F845" s="207"/>
      <c r="G845" s="208"/>
      <c r="H845" s="208"/>
      <c r="I845" s="37"/>
      <c r="J845" s="37"/>
      <c r="K845" s="37"/>
      <c r="L845" s="37"/>
      <c r="M845" s="37"/>
      <c r="N845" s="37"/>
      <c r="O845" s="37"/>
      <c r="P845" s="37"/>
      <c r="Q845" s="37"/>
      <c r="R845" s="37"/>
      <c r="S845" s="37"/>
      <c r="T845" s="37"/>
      <c r="U845" s="37"/>
      <c r="V845" s="37"/>
      <c r="W845" s="37"/>
      <c r="X845" s="37"/>
      <c r="Y845" s="37"/>
      <c r="Z845" s="37"/>
      <c r="AA845" s="37"/>
      <c r="AB845" s="37"/>
      <c r="AC845" s="37"/>
      <c r="AD845" s="37"/>
      <c r="AE845" s="37"/>
      <c r="AF845" s="37"/>
      <c r="AG845" s="37"/>
      <c r="AH845" s="37"/>
      <c r="AI845" s="205"/>
      <c r="AJ845" s="205"/>
      <c r="AK845" s="205"/>
      <c r="AL845" s="204"/>
      <c r="AM845" s="204"/>
    </row>
    <row r="846">
      <c r="A846" s="37"/>
      <c r="B846" s="205"/>
      <c r="C846" s="37"/>
      <c r="D846" s="206"/>
      <c r="E846" s="207"/>
      <c r="F846" s="207"/>
      <c r="G846" s="208"/>
      <c r="H846" s="208"/>
      <c r="I846" s="37"/>
      <c r="J846" s="37"/>
      <c r="K846" s="37"/>
      <c r="L846" s="37"/>
      <c r="M846" s="37"/>
      <c r="N846" s="37"/>
      <c r="O846" s="37"/>
      <c r="P846" s="37"/>
      <c r="Q846" s="37"/>
      <c r="R846" s="37"/>
      <c r="S846" s="37"/>
      <c r="T846" s="37"/>
      <c r="U846" s="37"/>
      <c r="V846" s="37"/>
      <c r="W846" s="37"/>
      <c r="X846" s="37"/>
      <c r="Y846" s="37"/>
      <c r="Z846" s="37"/>
      <c r="AA846" s="37"/>
      <c r="AB846" s="37"/>
      <c r="AC846" s="37"/>
      <c r="AD846" s="37"/>
      <c r="AE846" s="37"/>
      <c r="AF846" s="37"/>
      <c r="AG846" s="37"/>
      <c r="AH846" s="37"/>
      <c r="AI846" s="205"/>
      <c r="AJ846" s="205"/>
      <c r="AK846" s="205"/>
      <c r="AL846" s="204"/>
      <c r="AM846" s="204"/>
    </row>
    <row r="847">
      <c r="A847" s="37"/>
      <c r="B847" s="205"/>
      <c r="C847" s="37"/>
      <c r="D847" s="206"/>
      <c r="E847" s="207"/>
      <c r="F847" s="207"/>
      <c r="G847" s="208"/>
      <c r="H847" s="208"/>
      <c r="I847" s="37"/>
      <c r="J847" s="37"/>
      <c r="K847" s="37"/>
      <c r="L847" s="37"/>
      <c r="M847" s="37"/>
      <c r="N847" s="37"/>
      <c r="O847" s="37"/>
      <c r="P847" s="37"/>
      <c r="Q847" s="37"/>
      <c r="R847" s="37"/>
      <c r="S847" s="37"/>
      <c r="T847" s="37"/>
      <c r="U847" s="37"/>
      <c r="V847" s="37"/>
      <c r="W847" s="37"/>
      <c r="X847" s="37"/>
      <c r="Y847" s="37"/>
      <c r="Z847" s="37"/>
      <c r="AA847" s="37"/>
      <c r="AB847" s="37"/>
      <c r="AC847" s="37"/>
      <c r="AD847" s="37"/>
      <c r="AE847" s="37"/>
      <c r="AF847" s="37"/>
      <c r="AG847" s="37"/>
      <c r="AH847" s="37"/>
      <c r="AI847" s="205"/>
      <c r="AJ847" s="205"/>
      <c r="AK847" s="205"/>
      <c r="AL847" s="204"/>
      <c r="AM847" s="204"/>
    </row>
    <row r="848">
      <c r="A848" s="37"/>
      <c r="B848" s="205"/>
      <c r="C848" s="37"/>
      <c r="D848" s="206"/>
      <c r="E848" s="207"/>
      <c r="F848" s="207"/>
      <c r="G848" s="208"/>
      <c r="H848" s="208"/>
      <c r="I848" s="37"/>
      <c r="J848" s="37"/>
      <c r="K848" s="37"/>
      <c r="L848" s="37"/>
      <c r="M848" s="37"/>
      <c r="N848" s="37"/>
      <c r="O848" s="37"/>
      <c r="P848" s="37"/>
      <c r="Q848" s="37"/>
      <c r="R848" s="37"/>
      <c r="S848" s="37"/>
      <c r="T848" s="37"/>
      <c r="U848" s="37"/>
      <c r="V848" s="37"/>
      <c r="W848" s="37"/>
      <c r="X848" s="37"/>
      <c r="Y848" s="37"/>
      <c r="Z848" s="37"/>
      <c r="AA848" s="37"/>
      <c r="AB848" s="37"/>
      <c r="AC848" s="37"/>
      <c r="AD848" s="37"/>
      <c r="AE848" s="37"/>
      <c r="AF848" s="37"/>
      <c r="AG848" s="37"/>
      <c r="AH848" s="37"/>
      <c r="AI848" s="205"/>
      <c r="AJ848" s="205"/>
      <c r="AK848" s="205"/>
      <c r="AL848" s="204"/>
      <c r="AM848" s="204"/>
    </row>
    <row r="849">
      <c r="A849" s="37"/>
      <c r="B849" s="205"/>
      <c r="C849" s="37"/>
      <c r="D849" s="206"/>
      <c r="E849" s="207"/>
      <c r="F849" s="207"/>
      <c r="G849" s="208"/>
      <c r="H849" s="208"/>
      <c r="I849" s="37"/>
      <c r="J849" s="37"/>
      <c r="K849" s="37"/>
      <c r="L849" s="37"/>
      <c r="M849" s="37"/>
      <c r="N849" s="37"/>
      <c r="O849" s="37"/>
      <c r="P849" s="37"/>
      <c r="Q849" s="37"/>
      <c r="R849" s="37"/>
      <c r="S849" s="37"/>
      <c r="T849" s="37"/>
      <c r="U849" s="37"/>
      <c r="V849" s="37"/>
      <c r="W849" s="37"/>
      <c r="X849" s="37"/>
      <c r="Y849" s="37"/>
      <c r="Z849" s="37"/>
      <c r="AA849" s="37"/>
      <c r="AB849" s="37"/>
      <c r="AC849" s="37"/>
      <c r="AD849" s="37"/>
      <c r="AE849" s="37"/>
      <c r="AF849" s="37"/>
      <c r="AG849" s="37"/>
      <c r="AH849" s="37"/>
      <c r="AI849" s="205"/>
      <c r="AJ849" s="205"/>
      <c r="AK849" s="205"/>
      <c r="AL849" s="204"/>
      <c r="AM849" s="204"/>
    </row>
    <row r="850">
      <c r="A850" s="37"/>
      <c r="B850" s="205"/>
      <c r="C850" s="37"/>
      <c r="D850" s="206"/>
      <c r="E850" s="207"/>
      <c r="F850" s="207"/>
      <c r="G850" s="208"/>
      <c r="H850" s="208"/>
      <c r="I850" s="37"/>
      <c r="J850" s="37"/>
      <c r="K850" s="37"/>
      <c r="L850" s="37"/>
      <c r="M850" s="37"/>
      <c r="N850" s="37"/>
      <c r="O850" s="37"/>
      <c r="P850" s="37"/>
      <c r="Q850" s="37"/>
      <c r="R850" s="37"/>
      <c r="S850" s="37"/>
      <c r="T850" s="37"/>
      <c r="U850" s="37"/>
      <c r="V850" s="37"/>
      <c r="W850" s="37"/>
      <c r="X850" s="37"/>
      <c r="Y850" s="37"/>
      <c r="Z850" s="37"/>
      <c r="AA850" s="37"/>
      <c r="AB850" s="37"/>
      <c r="AC850" s="37"/>
      <c r="AD850" s="37"/>
      <c r="AE850" s="37"/>
      <c r="AF850" s="37"/>
      <c r="AG850" s="37"/>
      <c r="AH850" s="37"/>
      <c r="AI850" s="205"/>
      <c r="AJ850" s="205"/>
      <c r="AK850" s="205"/>
      <c r="AL850" s="204"/>
      <c r="AM850" s="204"/>
    </row>
    <row r="851">
      <c r="A851" s="37"/>
      <c r="B851" s="205"/>
      <c r="C851" s="37"/>
      <c r="D851" s="206"/>
      <c r="E851" s="207"/>
      <c r="F851" s="207"/>
      <c r="G851" s="208"/>
      <c r="H851" s="208"/>
      <c r="I851" s="37"/>
      <c r="J851" s="37"/>
      <c r="K851" s="37"/>
      <c r="L851" s="37"/>
      <c r="M851" s="37"/>
      <c r="N851" s="37"/>
      <c r="O851" s="37"/>
      <c r="P851" s="37"/>
      <c r="Q851" s="37"/>
      <c r="R851" s="37"/>
      <c r="S851" s="37"/>
      <c r="T851" s="37"/>
      <c r="U851" s="37"/>
      <c r="V851" s="37"/>
      <c r="W851" s="37"/>
      <c r="X851" s="37"/>
      <c r="Y851" s="37"/>
      <c r="Z851" s="37"/>
      <c r="AA851" s="37"/>
      <c r="AB851" s="37"/>
      <c r="AC851" s="37"/>
      <c r="AD851" s="37"/>
      <c r="AE851" s="37"/>
      <c r="AF851" s="37"/>
      <c r="AG851" s="37"/>
      <c r="AH851" s="37"/>
      <c r="AI851" s="205"/>
      <c r="AJ851" s="205"/>
      <c r="AK851" s="205"/>
      <c r="AL851" s="204"/>
      <c r="AM851" s="204"/>
    </row>
    <row r="852">
      <c r="A852" s="37"/>
      <c r="B852" s="205"/>
      <c r="C852" s="37"/>
      <c r="D852" s="206"/>
      <c r="E852" s="207"/>
      <c r="F852" s="207"/>
      <c r="G852" s="208"/>
      <c r="H852" s="208"/>
      <c r="I852" s="37"/>
      <c r="J852" s="37"/>
      <c r="K852" s="37"/>
      <c r="L852" s="37"/>
      <c r="M852" s="37"/>
      <c r="N852" s="37"/>
      <c r="O852" s="37"/>
      <c r="P852" s="37"/>
      <c r="Q852" s="37"/>
      <c r="R852" s="37"/>
      <c r="S852" s="37"/>
      <c r="T852" s="37"/>
      <c r="U852" s="37"/>
      <c r="V852" s="37"/>
      <c r="W852" s="37"/>
      <c r="X852" s="37"/>
      <c r="Y852" s="37"/>
      <c r="Z852" s="37"/>
      <c r="AA852" s="37"/>
      <c r="AB852" s="37"/>
      <c r="AC852" s="37"/>
      <c r="AD852" s="37"/>
      <c r="AE852" s="37"/>
      <c r="AF852" s="37"/>
      <c r="AG852" s="37"/>
      <c r="AH852" s="37"/>
      <c r="AI852" s="205"/>
      <c r="AJ852" s="205"/>
      <c r="AK852" s="205"/>
      <c r="AL852" s="204"/>
      <c r="AM852" s="204"/>
    </row>
    <row r="853">
      <c r="A853" s="37"/>
      <c r="B853" s="205"/>
      <c r="C853" s="37"/>
      <c r="D853" s="206"/>
      <c r="E853" s="207"/>
      <c r="F853" s="207"/>
      <c r="G853" s="208"/>
      <c r="H853" s="208"/>
      <c r="I853" s="37"/>
      <c r="J853" s="37"/>
      <c r="K853" s="37"/>
      <c r="L853" s="37"/>
      <c r="M853" s="37"/>
      <c r="N853" s="37"/>
      <c r="O853" s="37"/>
      <c r="P853" s="37"/>
      <c r="Q853" s="37"/>
      <c r="R853" s="37"/>
      <c r="S853" s="37"/>
      <c r="T853" s="37"/>
      <c r="U853" s="37"/>
      <c r="V853" s="37"/>
      <c r="W853" s="37"/>
      <c r="X853" s="37"/>
      <c r="Y853" s="37"/>
      <c r="Z853" s="37"/>
      <c r="AA853" s="37"/>
      <c r="AB853" s="37"/>
      <c r="AC853" s="37"/>
      <c r="AD853" s="37"/>
      <c r="AE853" s="37"/>
      <c r="AF853" s="37"/>
      <c r="AG853" s="37"/>
      <c r="AH853" s="37"/>
      <c r="AI853" s="205"/>
      <c r="AJ853" s="205"/>
      <c r="AK853" s="205"/>
      <c r="AL853" s="204"/>
      <c r="AM853" s="204"/>
    </row>
    <row r="854">
      <c r="A854" s="37"/>
      <c r="B854" s="205"/>
      <c r="C854" s="37"/>
      <c r="D854" s="206"/>
      <c r="E854" s="207"/>
      <c r="F854" s="207"/>
      <c r="G854" s="208"/>
      <c r="H854" s="208"/>
      <c r="I854" s="37"/>
      <c r="J854" s="37"/>
      <c r="K854" s="37"/>
      <c r="L854" s="37"/>
      <c r="M854" s="37"/>
      <c r="N854" s="37"/>
      <c r="O854" s="37"/>
      <c r="P854" s="37"/>
      <c r="Q854" s="37"/>
      <c r="R854" s="37"/>
      <c r="S854" s="37"/>
      <c r="T854" s="37"/>
      <c r="U854" s="37"/>
      <c r="V854" s="37"/>
      <c r="W854" s="37"/>
      <c r="X854" s="37"/>
      <c r="Y854" s="37"/>
      <c r="Z854" s="37"/>
      <c r="AA854" s="37"/>
      <c r="AB854" s="37"/>
      <c r="AC854" s="37"/>
      <c r="AD854" s="37"/>
      <c r="AE854" s="37"/>
      <c r="AF854" s="37"/>
      <c r="AG854" s="37"/>
      <c r="AH854" s="37"/>
      <c r="AI854" s="205"/>
      <c r="AJ854" s="205"/>
      <c r="AK854" s="205"/>
      <c r="AL854" s="204"/>
      <c r="AM854" s="204"/>
    </row>
    <row r="855">
      <c r="A855" s="37"/>
      <c r="B855" s="205"/>
      <c r="C855" s="37"/>
      <c r="D855" s="206"/>
      <c r="E855" s="207"/>
      <c r="F855" s="207"/>
      <c r="G855" s="208"/>
      <c r="H855" s="208"/>
      <c r="I855" s="37"/>
      <c r="J855" s="37"/>
      <c r="K855" s="37"/>
      <c r="L855" s="37"/>
      <c r="M855" s="37"/>
      <c r="N855" s="37"/>
      <c r="O855" s="37"/>
      <c r="P855" s="37"/>
      <c r="Q855" s="37"/>
      <c r="R855" s="37"/>
      <c r="S855" s="37"/>
      <c r="T855" s="37"/>
      <c r="U855" s="37"/>
      <c r="V855" s="37"/>
      <c r="W855" s="37"/>
      <c r="X855" s="37"/>
      <c r="Y855" s="37"/>
      <c r="Z855" s="37"/>
      <c r="AA855" s="37"/>
      <c r="AB855" s="37"/>
      <c r="AC855" s="37"/>
      <c r="AD855" s="37"/>
      <c r="AE855" s="37"/>
      <c r="AF855" s="37"/>
      <c r="AG855" s="37"/>
      <c r="AH855" s="37"/>
      <c r="AI855" s="205"/>
      <c r="AJ855" s="205"/>
      <c r="AK855" s="205"/>
      <c r="AL855" s="204"/>
      <c r="AM855" s="204"/>
    </row>
    <row r="856">
      <c r="A856" s="37"/>
      <c r="B856" s="205"/>
      <c r="C856" s="37"/>
      <c r="D856" s="206"/>
      <c r="E856" s="207"/>
      <c r="F856" s="207"/>
      <c r="G856" s="208"/>
      <c r="H856" s="208"/>
      <c r="I856" s="37"/>
      <c r="J856" s="37"/>
      <c r="K856" s="37"/>
      <c r="L856" s="37"/>
      <c r="M856" s="37"/>
      <c r="N856" s="37"/>
      <c r="O856" s="37"/>
      <c r="P856" s="37"/>
      <c r="Q856" s="37"/>
      <c r="R856" s="37"/>
      <c r="S856" s="37"/>
      <c r="T856" s="37"/>
      <c r="U856" s="37"/>
      <c r="V856" s="37"/>
      <c r="W856" s="37"/>
      <c r="X856" s="37"/>
      <c r="Y856" s="37"/>
      <c r="Z856" s="37"/>
      <c r="AA856" s="37"/>
      <c r="AB856" s="37"/>
      <c r="AC856" s="37"/>
      <c r="AD856" s="37"/>
      <c r="AE856" s="37"/>
      <c r="AF856" s="37"/>
      <c r="AG856" s="37"/>
      <c r="AH856" s="37"/>
      <c r="AI856" s="205"/>
      <c r="AJ856" s="205"/>
      <c r="AK856" s="205"/>
      <c r="AL856" s="204"/>
      <c r="AM856" s="204"/>
    </row>
    <row r="857">
      <c r="A857" s="37"/>
      <c r="B857" s="205"/>
      <c r="C857" s="37"/>
      <c r="D857" s="206"/>
      <c r="E857" s="207"/>
      <c r="F857" s="207"/>
      <c r="G857" s="208"/>
      <c r="H857" s="208"/>
      <c r="I857" s="37"/>
      <c r="J857" s="37"/>
      <c r="K857" s="37"/>
      <c r="L857" s="37"/>
      <c r="M857" s="37"/>
      <c r="N857" s="37"/>
      <c r="O857" s="37"/>
      <c r="P857" s="37"/>
      <c r="Q857" s="37"/>
      <c r="R857" s="37"/>
      <c r="S857" s="37"/>
      <c r="T857" s="37"/>
      <c r="U857" s="37"/>
      <c r="V857" s="37"/>
      <c r="W857" s="37"/>
      <c r="X857" s="37"/>
      <c r="Y857" s="37"/>
      <c r="Z857" s="37"/>
      <c r="AA857" s="37"/>
      <c r="AB857" s="37"/>
      <c r="AC857" s="37"/>
      <c r="AD857" s="37"/>
      <c r="AE857" s="37"/>
      <c r="AF857" s="37"/>
      <c r="AG857" s="37"/>
      <c r="AH857" s="37"/>
      <c r="AI857" s="205"/>
      <c r="AJ857" s="205"/>
      <c r="AK857" s="205"/>
      <c r="AL857" s="204"/>
      <c r="AM857" s="204"/>
    </row>
    <row r="858">
      <c r="A858" s="37"/>
      <c r="B858" s="205"/>
      <c r="C858" s="37"/>
      <c r="D858" s="206"/>
      <c r="E858" s="207"/>
      <c r="F858" s="207"/>
      <c r="G858" s="208"/>
      <c r="H858" s="208"/>
      <c r="I858" s="37"/>
      <c r="J858" s="37"/>
      <c r="K858" s="37"/>
      <c r="L858" s="37"/>
      <c r="M858" s="37"/>
      <c r="N858" s="37"/>
      <c r="O858" s="37"/>
      <c r="P858" s="37"/>
      <c r="Q858" s="37"/>
      <c r="R858" s="37"/>
      <c r="S858" s="37"/>
      <c r="T858" s="37"/>
      <c r="U858" s="37"/>
      <c r="V858" s="37"/>
      <c r="W858" s="37"/>
      <c r="X858" s="37"/>
      <c r="Y858" s="37"/>
      <c r="Z858" s="37"/>
      <c r="AA858" s="37"/>
      <c r="AB858" s="37"/>
      <c r="AC858" s="37"/>
      <c r="AD858" s="37"/>
      <c r="AE858" s="37"/>
      <c r="AF858" s="37"/>
      <c r="AG858" s="37"/>
      <c r="AH858" s="37"/>
      <c r="AI858" s="205"/>
      <c r="AJ858" s="205"/>
      <c r="AK858" s="205"/>
      <c r="AL858" s="204"/>
      <c r="AM858" s="204"/>
    </row>
    <row r="859">
      <c r="A859" s="37"/>
      <c r="B859" s="205"/>
      <c r="C859" s="37"/>
      <c r="D859" s="206"/>
      <c r="E859" s="207"/>
      <c r="F859" s="207"/>
      <c r="G859" s="208"/>
      <c r="H859" s="208"/>
      <c r="I859" s="37"/>
      <c r="J859" s="37"/>
      <c r="K859" s="37"/>
      <c r="L859" s="37"/>
      <c r="M859" s="37"/>
      <c r="N859" s="37"/>
      <c r="O859" s="37"/>
      <c r="P859" s="37"/>
      <c r="Q859" s="37"/>
      <c r="R859" s="37"/>
      <c r="S859" s="37"/>
      <c r="T859" s="37"/>
      <c r="U859" s="37"/>
      <c r="V859" s="37"/>
      <c r="W859" s="37"/>
      <c r="X859" s="37"/>
      <c r="Y859" s="37"/>
      <c r="Z859" s="37"/>
      <c r="AA859" s="37"/>
      <c r="AB859" s="37"/>
      <c r="AC859" s="37"/>
      <c r="AD859" s="37"/>
      <c r="AE859" s="37"/>
      <c r="AF859" s="37"/>
      <c r="AG859" s="37"/>
      <c r="AH859" s="37"/>
      <c r="AI859" s="205"/>
      <c r="AJ859" s="205"/>
      <c r="AK859" s="205"/>
      <c r="AL859" s="204"/>
      <c r="AM859" s="204"/>
    </row>
    <row r="860">
      <c r="A860" s="37"/>
      <c r="B860" s="205"/>
      <c r="C860" s="37"/>
      <c r="D860" s="206"/>
      <c r="E860" s="207"/>
      <c r="F860" s="207"/>
      <c r="G860" s="208"/>
      <c r="H860" s="208"/>
      <c r="I860" s="37"/>
      <c r="J860" s="37"/>
      <c r="K860" s="37"/>
      <c r="L860" s="37"/>
      <c r="M860" s="37"/>
      <c r="N860" s="37"/>
      <c r="O860" s="37"/>
      <c r="P860" s="37"/>
      <c r="Q860" s="37"/>
      <c r="R860" s="37"/>
      <c r="S860" s="37"/>
      <c r="T860" s="37"/>
      <c r="U860" s="37"/>
      <c r="V860" s="37"/>
      <c r="W860" s="37"/>
      <c r="X860" s="37"/>
      <c r="Y860" s="37"/>
      <c r="Z860" s="37"/>
      <c r="AA860" s="37"/>
      <c r="AB860" s="37"/>
      <c r="AC860" s="37"/>
      <c r="AD860" s="37"/>
      <c r="AE860" s="37"/>
      <c r="AF860" s="37"/>
      <c r="AG860" s="37"/>
      <c r="AH860" s="37"/>
      <c r="AI860" s="205"/>
      <c r="AJ860" s="205"/>
      <c r="AK860" s="205"/>
      <c r="AL860" s="204"/>
      <c r="AM860" s="204"/>
    </row>
    <row r="861">
      <c r="A861" s="37"/>
      <c r="B861" s="205"/>
      <c r="C861" s="37"/>
      <c r="D861" s="206"/>
      <c r="E861" s="207"/>
      <c r="F861" s="207"/>
      <c r="G861" s="208"/>
      <c r="H861" s="208"/>
      <c r="I861" s="37"/>
      <c r="J861" s="37"/>
      <c r="K861" s="37"/>
      <c r="L861" s="37"/>
      <c r="M861" s="37"/>
      <c r="N861" s="37"/>
      <c r="O861" s="37"/>
      <c r="P861" s="37"/>
      <c r="Q861" s="37"/>
      <c r="R861" s="37"/>
      <c r="S861" s="37"/>
      <c r="T861" s="37"/>
      <c r="U861" s="37"/>
      <c r="V861" s="37"/>
      <c r="W861" s="37"/>
      <c r="X861" s="37"/>
      <c r="Y861" s="37"/>
      <c r="Z861" s="37"/>
      <c r="AA861" s="37"/>
      <c r="AB861" s="37"/>
      <c r="AC861" s="37"/>
      <c r="AD861" s="37"/>
      <c r="AE861" s="37"/>
      <c r="AF861" s="37"/>
      <c r="AG861" s="37"/>
      <c r="AH861" s="37"/>
      <c r="AI861" s="205"/>
      <c r="AJ861" s="205"/>
      <c r="AK861" s="205"/>
      <c r="AL861" s="204"/>
      <c r="AM861" s="204"/>
    </row>
    <row r="862">
      <c r="A862" s="37"/>
      <c r="B862" s="205"/>
      <c r="C862" s="37"/>
      <c r="D862" s="206"/>
      <c r="E862" s="207"/>
      <c r="F862" s="207"/>
      <c r="G862" s="208"/>
      <c r="H862" s="208"/>
      <c r="I862" s="37"/>
      <c r="J862" s="37"/>
      <c r="K862" s="37"/>
      <c r="L862" s="37"/>
      <c r="M862" s="37"/>
      <c r="N862" s="37"/>
      <c r="O862" s="37"/>
      <c r="P862" s="37"/>
      <c r="Q862" s="37"/>
      <c r="R862" s="37"/>
      <c r="S862" s="37"/>
      <c r="T862" s="37"/>
      <c r="U862" s="37"/>
      <c r="V862" s="37"/>
      <c r="W862" s="37"/>
      <c r="X862" s="37"/>
      <c r="Y862" s="37"/>
      <c r="Z862" s="37"/>
      <c r="AA862" s="37"/>
      <c r="AB862" s="37"/>
      <c r="AC862" s="37"/>
      <c r="AD862" s="37"/>
      <c r="AE862" s="37"/>
      <c r="AF862" s="37"/>
      <c r="AG862" s="37"/>
      <c r="AH862" s="37"/>
      <c r="AI862" s="205"/>
      <c r="AJ862" s="205"/>
      <c r="AK862" s="205"/>
      <c r="AL862" s="204"/>
      <c r="AM862" s="204"/>
    </row>
    <row r="863">
      <c r="A863" s="37"/>
      <c r="B863" s="205"/>
      <c r="C863" s="37"/>
      <c r="D863" s="206"/>
      <c r="E863" s="207"/>
      <c r="F863" s="207"/>
      <c r="G863" s="208"/>
      <c r="H863" s="208"/>
      <c r="I863" s="37"/>
      <c r="J863" s="37"/>
      <c r="K863" s="37"/>
      <c r="L863" s="37"/>
      <c r="M863" s="37"/>
      <c r="N863" s="37"/>
      <c r="O863" s="37"/>
      <c r="P863" s="37"/>
      <c r="Q863" s="37"/>
      <c r="R863" s="37"/>
      <c r="S863" s="37"/>
      <c r="T863" s="37"/>
      <c r="U863" s="37"/>
      <c r="V863" s="37"/>
      <c r="W863" s="37"/>
      <c r="X863" s="37"/>
      <c r="Y863" s="37"/>
      <c r="Z863" s="37"/>
      <c r="AA863" s="37"/>
      <c r="AB863" s="37"/>
      <c r="AC863" s="37"/>
      <c r="AD863" s="37"/>
      <c r="AE863" s="37"/>
      <c r="AF863" s="37"/>
      <c r="AG863" s="37"/>
      <c r="AH863" s="37"/>
      <c r="AI863" s="205"/>
      <c r="AJ863" s="205"/>
      <c r="AK863" s="205"/>
      <c r="AL863" s="204"/>
      <c r="AM863" s="204"/>
    </row>
    <row r="864">
      <c r="A864" s="37"/>
      <c r="B864" s="205"/>
      <c r="C864" s="37"/>
      <c r="D864" s="206"/>
      <c r="E864" s="207"/>
      <c r="F864" s="207"/>
      <c r="G864" s="208"/>
      <c r="H864" s="208"/>
      <c r="I864" s="37"/>
      <c r="J864" s="37"/>
      <c r="K864" s="37"/>
      <c r="L864" s="37"/>
      <c r="M864" s="37"/>
      <c r="N864" s="37"/>
      <c r="O864" s="37"/>
      <c r="P864" s="37"/>
      <c r="Q864" s="37"/>
      <c r="R864" s="37"/>
      <c r="S864" s="37"/>
      <c r="T864" s="37"/>
      <c r="U864" s="37"/>
      <c r="V864" s="37"/>
      <c r="W864" s="37"/>
      <c r="X864" s="37"/>
      <c r="Y864" s="37"/>
      <c r="Z864" s="37"/>
      <c r="AA864" s="37"/>
      <c r="AB864" s="37"/>
      <c r="AC864" s="37"/>
      <c r="AD864" s="37"/>
      <c r="AE864" s="37"/>
      <c r="AF864" s="37"/>
      <c r="AG864" s="37"/>
      <c r="AH864" s="37"/>
      <c r="AI864" s="205"/>
      <c r="AJ864" s="205"/>
      <c r="AK864" s="205"/>
      <c r="AL864" s="204"/>
      <c r="AM864" s="204"/>
    </row>
    <row r="865">
      <c r="A865" s="37"/>
      <c r="B865" s="205"/>
      <c r="C865" s="37"/>
      <c r="D865" s="206"/>
      <c r="E865" s="207"/>
      <c r="F865" s="207"/>
      <c r="G865" s="208"/>
      <c r="H865" s="208"/>
      <c r="I865" s="37"/>
      <c r="J865" s="37"/>
      <c r="K865" s="37"/>
      <c r="L865" s="37"/>
      <c r="M865" s="37"/>
      <c r="N865" s="37"/>
      <c r="O865" s="37"/>
      <c r="P865" s="37"/>
      <c r="Q865" s="37"/>
      <c r="R865" s="37"/>
      <c r="S865" s="37"/>
      <c r="T865" s="37"/>
      <c r="U865" s="37"/>
      <c r="V865" s="37"/>
      <c r="W865" s="37"/>
      <c r="X865" s="37"/>
      <c r="Y865" s="37"/>
      <c r="Z865" s="37"/>
      <c r="AA865" s="37"/>
      <c r="AB865" s="37"/>
      <c r="AC865" s="37"/>
      <c r="AD865" s="37"/>
      <c r="AE865" s="37"/>
      <c r="AF865" s="37"/>
      <c r="AG865" s="37"/>
      <c r="AH865" s="37"/>
      <c r="AI865" s="205"/>
      <c r="AJ865" s="205"/>
      <c r="AK865" s="205"/>
      <c r="AL865" s="204"/>
      <c r="AM865" s="204"/>
    </row>
    <row r="866">
      <c r="A866" s="37"/>
      <c r="B866" s="205"/>
      <c r="C866" s="37"/>
      <c r="D866" s="206"/>
      <c r="E866" s="207"/>
      <c r="F866" s="207"/>
      <c r="G866" s="208"/>
      <c r="H866" s="208"/>
      <c r="I866" s="37"/>
      <c r="J866" s="37"/>
      <c r="K866" s="37"/>
      <c r="L866" s="37"/>
      <c r="M866" s="37"/>
      <c r="N866" s="37"/>
      <c r="O866" s="37"/>
      <c r="P866" s="37"/>
      <c r="Q866" s="37"/>
      <c r="R866" s="37"/>
      <c r="S866" s="37"/>
      <c r="T866" s="37"/>
      <c r="U866" s="37"/>
      <c r="V866" s="37"/>
      <c r="W866" s="37"/>
      <c r="X866" s="37"/>
      <c r="Y866" s="37"/>
      <c r="Z866" s="37"/>
      <c r="AA866" s="37"/>
      <c r="AB866" s="37"/>
      <c r="AC866" s="37"/>
      <c r="AD866" s="37"/>
      <c r="AE866" s="37"/>
      <c r="AF866" s="37"/>
      <c r="AG866" s="37"/>
      <c r="AH866" s="37"/>
      <c r="AI866" s="205"/>
      <c r="AJ866" s="205"/>
      <c r="AK866" s="205"/>
      <c r="AL866" s="204"/>
      <c r="AM866" s="204"/>
    </row>
    <row r="867">
      <c r="A867" s="37"/>
      <c r="B867" s="205"/>
      <c r="C867" s="37"/>
      <c r="D867" s="206"/>
      <c r="E867" s="207"/>
      <c r="F867" s="207"/>
      <c r="G867" s="208"/>
      <c r="H867" s="208"/>
      <c r="I867" s="37"/>
      <c r="J867" s="37"/>
      <c r="K867" s="37"/>
      <c r="L867" s="37"/>
      <c r="M867" s="37"/>
      <c r="N867" s="37"/>
      <c r="O867" s="37"/>
      <c r="P867" s="37"/>
      <c r="Q867" s="37"/>
      <c r="R867" s="37"/>
      <c r="S867" s="37"/>
      <c r="T867" s="37"/>
      <c r="U867" s="37"/>
      <c r="V867" s="37"/>
      <c r="W867" s="37"/>
      <c r="X867" s="37"/>
      <c r="Y867" s="37"/>
      <c r="Z867" s="37"/>
      <c r="AA867" s="37"/>
      <c r="AB867" s="37"/>
      <c r="AC867" s="37"/>
      <c r="AD867" s="37"/>
      <c r="AE867" s="37"/>
      <c r="AF867" s="37"/>
      <c r="AG867" s="37"/>
      <c r="AH867" s="37"/>
      <c r="AI867" s="205"/>
      <c r="AJ867" s="205"/>
      <c r="AK867" s="205"/>
      <c r="AL867" s="204"/>
      <c r="AM867" s="204"/>
    </row>
    <row r="868">
      <c r="A868" s="37"/>
      <c r="B868" s="205"/>
      <c r="C868" s="37"/>
      <c r="D868" s="206"/>
      <c r="E868" s="207"/>
      <c r="F868" s="207"/>
      <c r="G868" s="208"/>
      <c r="H868" s="208"/>
      <c r="I868" s="37"/>
      <c r="J868" s="37"/>
      <c r="K868" s="37"/>
      <c r="L868" s="37"/>
      <c r="M868" s="37"/>
      <c r="N868" s="37"/>
      <c r="O868" s="37"/>
      <c r="P868" s="37"/>
      <c r="Q868" s="37"/>
      <c r="R868" s="37"/>
      <c r="S868" s="37"/>
      <c r="T868" s="37"/>
      <c r="U868" s="37"/>
      <c r="V868" s="37"/>
      <c r="W868" s="37"/>
      <c r="X868" s="37"/>
      <c r="Y868" s="37"/>
      <c r="Z868" s="37"/>
      <c r="AA868" s="37"/>
      <c r="AB868" s="37"/>
      <c r="AC868" s="37"/>
      <c r="AD868" s="37"/>
      <c r="AE868" s="37"/>
      <c r="AF868" s="37"/>
      <c r="AG868" s="37"/>
      <c r="AH868" s="37"/>
      <c r="AI868" s="205"/>
      <c r="AJ868" s="205"/>
      <c r="AK868" s="205"/>
      <c r="AL868" s="204"/>
      <c r="AM868" s="204"/>
    </row>
    <row r="869">
      <c r="A869" s="37"/>
      <c r="B869" s="205"/>
      <c r="C869" s="37"/>
      <c r="D869" s="206"/>
      <c r="E869" s="207"/>
      <c r="F869" s="207"/>
      <c r="G869" s="208"/>
      <c r="H869" s="208"/>
      <c r="I869" s="37"/>
      <c r="J869" s="37"/>
      <c r="K869" s="37"/>
      <c r="L869" s="37"/>
      <c r="M869" s="37"/>
      <c r="N869" s="37"/>
      <c r="O869" s="37"/>
      <c r="P869" s="37"/>
      <c r="Q869" s="37"/>
      <c r="R869" s="37"/>
      <c r="S869" s="37"/>
      <c r="T869" s="37"/>
      <c r="U869" s="37"/>
      <c r="V869" s="37"/>
      <c r="W869" s="37"/>
      <c r="X869" s="37"/>
      <c r="Y869" s="37"/>
      <c r="Z869" s="37"/>
      <c r="AA869" s="37"/>
      <c r="AB869" s="37"/>
      <c r="AC869" s="37"/>
      <c r="AD869" s="37"/>
      <c r="AE869" s="37"/>
      <c r="AF869" s="37"/>
      <c r="AG869" s="37"/>
      <c r="AH869" s="37"/>
      <c r="AI869" s="205"/>
      <c r="AJ869" s="205"/>
      <c r="AK869" s="205"/>
      <c r="AL869" s="204"/>
      <c r="AM869" s="204"/>
    </row>
    <row r="870">
      <c r="A870" s="37"/>
      <c r="B870" s="205"/>
      <c r="C870" s="37"/>
      <c r="D870" s="206"/>
      <c r="E870" s="207"/>
      <c r="F870" s="207"/>
      <c r="G870" s="208"/>
      <c r="H870" s="208"/>
      <c r="I870" s="37"/>
      <c r="J870" s="37"/>
      <c r="K870" s="37"/>
      <c r="L870" s="37"/>
      <c r="M870" s="37"/>
      <c r="N870" s="37"/>
      <c r="O870" s="37"/>
      <c r="P870" s="37"/>
      <c r="Q870" s="37"/>
      <c r="R870" s="37"/>
      <c r="S870" s="37"/>
      <c r="T870" s="37"/>
      <c r="U870" s="37"/>
      <c r="V870" s="37"/>
      <c r="W870" s="37"/>
      <c r="X870" s="37"/>
      <c r="Y870" s="37"/>
      <c r="Z870" s="37"/>
      <c r="AA870" s="37"/>
      <c r="AB870" s="37"/>
      <c r="AC870" s="37"/>
      <c r="AD870" s="37"/>
      <c r="AE870" s="37"/>
      <c r="AF870" s="37"/>
      <c r="AG870" s="37"/>
      <c r="AH870" s="37"/>
      <c r="AI870" s="205"/>
      <c r="AJ870" s="205"/>
      <c r="AK870" s="205"/>
      <c r="AL870" s="204"/>
      <c r="AM870" s="204"/>
    </row>
    <row r="871">
      <c r="A871" s="37"/>
      <c r="B871" s="205"/>
      <c r="C871" s="37"/>
      <c r="D871" s="206"/>
      <c r="E871" s="207"/>
      <c r="F871" s="207"/>
      <c r="G871" s="208"/>
      <c r="H871" s="208"/>
      <c r="I871" s="37"/>
      <c r="J871" s="37"/>
      <c r="K871" s="37"/>
      <c r="L871" s="37"/>
      <c r="M871" s="37"/>
      <c r="N871" s="37"/>
      <c r="O871" s="37"/>
      <c r="P871" s="37"/>
      <c r="Q871" s="37"/>
      <c r="R871" s="37"/>
      <c r="S871" s="37"/>
      <c r="T871" s="37"/>
      <c r="U871" s="37"/>
      <c r="V871" s="37"/>
      <c r="W871" s="37"/>
      <c r="X871" s="37"/>
      <c r="Y871" s="37"/>
      <c r="Z871" s="37"/>
      <c r="AA871" s="37"/>
      <c r="AB871" s="37"/>
      <c r="AC871" s="37"/>
      <c r="AD871" s="37"/>
      <c r="AE871" s="37"/>
      <c r="AF871" s="37"/>
      <c r="AG871" s="37"/>
      <c r="AH871" s="37"/>
      <c r="AI871" s="205"/>
      <c r="AJ871" s="205"/>
      <c r="AK871" s="205"/>
      <c r="AL871" s="204"/>
      <c r="AM871" s="204"/>
    </row>
    <row r="872">
      <c r="A872" s="37"/>
      <c r="B872" s="205"/>
      <c r="C872" s="37"/>
      <c r="D872" s="206"/>
      <c r="E872" s="207"/>
      <c r="F872" s="207"/>
      <c r="G872" s="208"/>
      <c r="H872" s="208"/>
      <c r="I872" s="37"/>
      <c r="J872" s="37"/>
      <c r="K872" s="37"/>
      <c r="L872" s="37"/>
      <c r="M872" s="37"/>
      <c r="N872" s="37"/>
      <c r="O872" s="37"/>
      <c r="P872" s="37"/>
      <c r="Q872" s="37"/>
      <c r="R872" s="37"/>
      <c r="S872" s="37"/>
      <c r="T872" s="37"/>
      <c r="U872" s="37"/>
      <c r="V872" s="37"/>
      <c r="W872" s="37"/>
      <c r="X872" s="37"/>
      <c r="Y872" s="37"/>
      <c r="Z872" s="37"/>
      <c r="AA872" s="37"/>
      <c r="AB872" s="37"/>
      <c r="AC872" s="37"/>
      <c r="AD872" s="37"/>
      <c r="AE872" s="37"/>
      <c r="AF872" s="37"/>
      <c r="AG872" s="37"/>
      <c r="AH872" s="37"/>
      <c r="AI872" s="205"/>
      <c r="AJ872" s="205"/>
      <c r="AK872" s="205"/>
      <c r="AL872" s="204"/>
      <c r="AM872" s="204"/>
    </row>
    <row r="873">
      <c r="A873" s="37"/>
      <c r="B873" s="205"/>
      <c r="C873" s="37"/>
      <c r="D873" s="206"/>
      <c r="E873" s="207"/>
      <c r="F873" s="207"/>
      <c r="G873" s="208"/>
      <c r="H873" s="208"/>
      <c r="I873" s="37"/>
      <c r="J873" s="37"/>
      <c r="K873" s="37"/>
      <c r="L873" s="37"/>
      <c r="M873" s="37"/>
      <c r="N873" s="37"/>
      <c r="O873" s="37"/>
      <c r="P873" s="37"/>
      <c r="Q873" s="37"/>
      <c r="R873" s="37"/>
      <c r="S873" s="37"/>
      <c r="T873" s="37"/>
      <c r="U873" s="37"/>
      <c r="V873" s="37"/>
      <c r="W873" s="37"/>
      <c r="X873" s="37"/>
      <c r="Y873" s="37"/>
      <c r="Z873" s="37"/>
      <c r="AA873" s="37"/>
      <c r="AB873" s="37"/>
      <c r="AC873" s="37"/>
      <c r="AD873" s="37"/>
      <c r="AE873" s="37"/>
      <c r="AF873" s="37"/>
      <c r="AG873" s="37"/>
      <c r="AH873" s="37"/>
      <c r="AI873" s="205"/>
      <c r="AJ873" s="205"/>
      <c r="AK873" s="205"/>
      <c r="AL873" s="204"/>
      <c r="AM873" s="204"/>
    </row>
    <row r="874">
      <c r="A874" s="37"/>
      <c r="B874" s="205"/>
      <c r="C874" s="37"/>
      <c r="D874" s="206"/>
      <c r="E874" s="207"/>
      <c r="F874" s="207"/>
      <c r="G874" s="208"/>
      <c r="H874" s="208"/>
      <c r="I874" s="37"/>
      <c r="J874" s="37"/>
      <c r="K874" s="37"/>
      <c r="L874" s="37"/>
      <c r="M874" s="37"/>
      <c r="N874" s="37"/>
      <c r="O874" s="37"/>
      <c r="P874" s="37"/>
      <c r="Q874" s="37"/>
      <c r="R874" s="37"/>
      <c r="S874" s="37"/>
      <c r="T874" s="37"/>
      <c r="U874" s="37"/>
      <c r="V874" s="37"/>
      <c r="W874" s="37"/>
      <c r="X874" s="37"/>
      <c r="Y874" s="37"/>
      <c r="Z874" s="37"/>
      <c r="AA874" s="37"/>
      <c r="AB874" s="37"/>
      <c r="AC874" s="37"/>
      <c r="AD874" s="37"/>
      <c r="AE874" s="37"/>
      <c r="AF874" s="37"/>
      <c r="AG874" s="37"/>
      <c r="AH874" s="37"/>
      <c r="AI874" s="205"/>
      <c r="AJ874" s="205"/>
      <c r="AK874" s="205"/>
      <c r="AL874" s="204"/>
      <c r="AM874" s="204"/>
    </row>
  </sheetData>
  <autoFilter ref="$A$5:$AM$697"/>
  <mergeCells count="10">
    <mergeCell ref="Z4:AB4"/>
    <mergeCell ref="AC4:AH4"/>
    <mergeCell ref="A1:AJ1"/>
    <mergeCell ref="A2:AJ2"/>
    <mergeCell ref="A3:L3"/>
    <mergeCell ref="A4:B4"/>
    <mergeCell ref="C4:E4"/>
    <mergeCell ref="F4:P4"/>
    <mergeCell ref="Q4:Y4"/>
    <mergeCell ref="AI4:AJ4"/>
  </mergeCells>
  <conditionalFormatting sqref="D6">
    <cfRule type="expression" dxfId="11" priority="1">
      <formula>COUNTIF(D:D, D1)&gt;1</formula>
    </cfRule>
  </conditionalFormatting>
  <conditionalFormatting sqref="C6:C874">
    <cfRule type="expression" dxfId="11" priority="2">
      <formula>COUNTIF(C:C, C6)&gt;1</formula>
    </cfRule>
  </conditionalFormatting>
  <dataValidations>
    <dataValidation type="list" allowBlank="1" sqref="A6:A874">
      <formula1>'Equipment Registry'!$A$3:$A$156</formula1>
    </dataValidation>
    <dataValidation type="list" allowBlank="1" sqref="E6:H874">
      <formula1>"Normal,Caution,Alert"</formula1>
    </dataValidation>
  </dataValidations>
  <printOptions/>
  <pageMargins bottom="1.0" footer="0.0" header="0.0" left="0.75" right="0.75" top="1.0"/>
  <pageSetup fitToHeight="0" orientation="landscape" paperHeight="11.693in" paperWidth="30i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0"/>
    <col customWidth="1" min="2" max="2" width="18.86"/>
    <col customWidth="1" min="3" max="3" width="18.0"/>
    <col customWidth="1" min="4" max="7" width="14.0"/>
    <col customWidth="1" min="8" max="8" width="22.86"/>
    <col customWidth="1" min="9" max="11" width="14.0"/>
    <col customWidth="1" min="12" max="12" width="10.43"/>
    <col customWidth="1" min="13" max="13" width="22.0"/>
    <col customWidth="1" min="14" max="27" width="8.71"/>
  </cols>
  <sheetData>
    <row r="1" ht="34.5" customHeight="1">
      <c r="A1" s="214"/>
      <c r="B1" s="215" t="s">
        <v>0</v>
      </c>
      <c r="C1" s="2"/>
      <c r="D1" s="2"/>
      <c r="E1" s="2"/>
      <c r="F1" s="2"/>
      <c r="G1" s="2"/>
      <c r="H1" s="2"/>
      <c r="I1" s="2"/>
      <c r="J1" s="2"/>
      <c r="K1" s="2"/>
      <c r="L1" s="2"/>
      <c r="M1" s="3"/>
      <c r="N1" s="216"/>
      <c r="O1" s="216"/>
      <c r="P1" s="216"/>
      <c r="Q1" s="216"/>
      <c r="R1" s="216"/>
      <c r="S1" s="216"/>
      <c r="T1" s="216"/>
      <c r="U1" s="216"/>
      <c r="V1" s="216"/>
      <c r="W1" s="216"/>
      <c r="X1" s="216"/>
      <c r="Y1" s="216"/>
      <c r="Z1" s="216"/>
      <c r="AA1" s="216"/>
    </row>
    <row r="2" ht="18.0" customHeight="1">
      <c r="A2" s="214"/>
      <c r="B2" s="217" t="s">
        <v>1</v>
      </c>
      <c r="C2" s="2"/>
      <c r="D2" s="2"/>
      <c r="E2" s="2"/>
      <c r="F2" s="2"/>
      <c r="G2" s="2"/>
      <c r="H2" s="2"/>
      <c r="I2" s="2"/>
      <c r="J2" s="2"/>
      <c r="K2" s="2"/>
      <c r="L2" s="2"/>
      <c r="M2" s="3"/>
      <c r="N2" s="216"/>
      <c r="O2" s="216"/>
      <c r="P2" s="216"/>
      <c r="Q2" s="216"/>
      <c r="R2" s="216"/>
      <c r="S2" s="216"/>
      <c r="T2" s="216"/>
      <c r="U2" s="216"/>
      <c r="V2" s="216"/>
      <c r="W2" s="216"/>
      <c r="X2" s="216"/>
      <c r="Y2" s="216"/>
      <c r="Z2" s="216"/>
      <c r="AA2" s="216"/>
    </row>
    <row r="3" ht="12.75" customHeight="1">
      <c r="A3" s="214"/>
      <c r="B3" s="84" t="s">
        <v>90</v>
      </c>
      <c r="C3" s="31"/>
      <c r="D3" s="31"/>
      <c r="E3" s="31"/>
      <c r="F3" s="31"/>
      <c r="G3" s="31"/>
      <c r="H3" s="31"/>
      <c r="I3" s="31"/>
      <c r="J3" s="31"/>
      <c r="K3" s="31"/>
      <c r="L3" s="31"/>
      <c r="M3" s="32"/>
      <c r="N3" s="216"/>
      <c r="O3" s="216"/>
      <c r="P3" s="216"/>
      <c r="Q3" s="216"/>
      <c r="R3" s="216"/>
      <c r="S3" s="216"/>
      <c r="T3" s="216"/>
      <c r="U3" s="216"/>
      <c r="V3" s="216"/>
      <c r="W3" s="216"/>
      <c r="X3" s="216"/>
      <c r="Y3" s="216"/>
      <c r="Z3" s="216"/>
      <c r="AA3" s="216"/>
    </row>
    <row r="4" ht="24.0" customHeight="1">
      <c r="A4" s="214"/>
      <c r="B4" s="61" t="s">
        <v>2</v>
      </c>
      <c r="C4" s="31"/>
      <c r="D4" s="32"/>
      <c r="E4" s="62" t="s">
        <v>108</v>
      </c>
      <c r="F4" s="31"/>
      <c r="G4" s="31"/>
      <c r="H4" s="32"/>
      <c r="I4" s="63" t="s">
        <v>65</v>
      </c>
      <c r="L4" s="218"/>
      <c r="M4" s="218"/>
      <c r="N4" s="216"/>
      <c r="O4" s="216"/>
      <c r="P4" s="216"/>
      <c r="Q4" s="216"/>
      <c r="R4" s="216"/>
      <c r="S4" s="216"/>
      <c r="T4" s="216"/>
      <c r="U4" s="216"/>
      <c r="V4" s="216"/>
      <c r="W4" s="216"/>
      <c r="X4" s="216"/>
      <c r="Y4" s="216"/>
      <c r="Z4" s="216"/>
      <c r="AA4" s="216"/>
    </row>
    <row r="5">
      <c r="A5" s="214"/>
      <c r="B5" s="214"/>
      <c r="C5" s="214"/>
      <c r="D5" s="214"/>
      <c r="E5" s="214"/>
      <c r="F5" s="214"/>
      <c r="G5" s="214"/>
      <c r="H5" s="214"/>
      <c r="I5" s="214"/>
      <c r="J5" s="214"/>
      <c r="K5" s="214"/>
      <c r="L5" s="214"/>
      <c r="M5" s="214"/>
      <c r="N5" s="216"/>
      <c r="O5" s="216"/>
      <c r="P5" s="216"/>
      <c r="Q5" s="216"/>
      <c r="R5" s="216"/>
      <c r="S5" s="216"/>
      <c r="T5" s="216"/>
      <c r="U5" s="216"/>
      <c r="V5" s="216"/>
      <c r="W5" s="216"/>
      <c r="X5" s="216"/>
      <c r="Y5" s="216"/>
      <c r="Z5" s="216"/>
      <c r="AA5" s="216"/>
    </row>
    <row r="6" ht="18.0" customHeight="1">
      <c r="A6" s="214"/>
      <c r="B6" s="219" t="s">
        <v>5</v>
      </c>
      <c r="C6" s="220">
        <f t="array" ref="C6">IFERROR(INDEX('Equipment Registry'!$C:$C,MATCH($E$4,'Equipment Registry'!$A:$A,0)),"")</f>
        <v>30767436</v>
      </c>
      <c r="D6" s="219" t="s">
        <v>6</v>
      </c>
      <c r="E6" s="221" t="str">
        <f t="array" ref="E6">IFERROR(INDEX('Equipment Registry'!$B:$B,MATCH($E$4,'Equipment Registry'!$A:$A,0)),"")</f>
        <v>Belt conveyor first left Gearbox</v>
      </c>
      <c r="F6" s="2"/>
      <c r="G6" s="3"/>
      <c r="H6" s="219" t="s">
        <v>9</v>
      </c>
      <c r="I6" s="222" t="str">
        <f t="array" ref="I6">IFERROR(INDEX('Equipment Registry'!$E:$E,MATCH($E$4,'Equipment Registry'!$A:$A,0)),"")</f>
        <v>MOBIL SHC 630</v>
      </c>
      <c r="J6" s="3"/>
      <c r="K6" s="223" t="s">
        <v>71</v>
      </c>
      <c r="L6" s="224" t="str">
        <f t="array" ref="L6">IFERROR(INDEX('Equipment Registry'!$D:$D,MATCH($E$4,'Equipment Registry'!$A:$A,0)),"")</f>
        <v>Gear Drive</v>
      </c>
      <c r="M6" s="3"/>
      <c r="N6" s="216"/>
      <c r="O6" s="216"/>
      <c r="P6" s="216"/>
      <c r="Q6" s="216"/>
      <c r="R6" s="216"/>
      <c r="S6" s="216"/>
      <c r="T6" s="216"/>
      <c r="U6" s="216"/>
      <c r="V6" s="216"/>
      <c r="W6" s="216"/>
      <c r="X6" s="216"/>
      <c r="Y6" s="216"/>
      <c r="Z6" s="216"/>
      <c r="AA6" s="216"/>
    </row>
    <row r="7" ht="15.75" customHeight="1">
      <c r="A7" s="214"/>
      <c r="B7" s="225"/>
      <c r="C7" s="225"/>
      <c r="D7" s="225"/>
      <c r="E7" s="225"/>
      <c r="F7" s="225"/>
      <c r="G7" s="225"/>
      <c r="H7" s="225"/>
      <c r="I7" s="225"/>
      <c r="J7" s="225"/>
      <c r="K7" s="225"/>
      <c r="L7" s="225"/>
      <c r="M7" s="214"/>
      <c r="N7" s="216"/>
      <c r="O7" s="216"/>
      <c r="P7" s="216"/>
      <c r="Q7" s="216"/>
      <c r="R7" s="216"/>
      <c r="S7" s="216"/>
      <c r="T7" s="216"/>
      <c r="U7" s="216"/>
      <c r="V7" s="216"/>
      <c r="W7" s="216"/>
      <c r="X7" s="216"/>
      <c r="Y7" s="216"/>
      <c r="Z7" s="216"/>
      <c r="AA7" s="216"/>
    </row>
    <row r="8" ht="15.75" customHeight="1">
      <c r="A8" s="214"/>
      <c r="B8" s="226" t="s">
        <v>967</v>
      </c>
      <c r="C8" s="227" t="str">
        <f t="array" ref="C8">IFERROR(INDEX('Equipment Registry'!$G:$G,MATCH($E$4,'Equipment Registry'!$A:$A,0)),"")</f>
        <v>ROSSI</v>
      </c>
      <c r="D8" s="228"/>
      <c r="E8" s="226" t="s">
        <v>8</v>
      </c>
      <c r="F8" s="227" t="str">
        <f t="array" ref="F8">IFERROR(INDEX('Equipment Registry'!$H:$H,MATCH($E$4,'Equipment Registry'!$A:$A,0)),"")</f>
        <v>H02 R 3I 400 UP1A / 35.9</v>
      </c>
      <c r="G8" s="229"/>
      <c r="H8" s="230" t="s">
        <v>968</v>
      </c>
      <c r="I8" s="228"/>
      <c r="J8" s="231">
        <f>IFERROR(__xludf.DUMMYFUNCTION("MAX(FILTER('Oil Change Log'!$J$4:$J1231, 'Oil Change Log'!$A$4:$A1231 = E4))"),43843.0)</f>
        <v>43843</v>
      </c>
      <c r="K8" s="232" t="s">
        <v>969</v>
      </c>
      <c r="L8" s="3"/>
      <c r="M8" s="233" t="str">
        <f>IFERROR(__xludf.DUMMYFUNCTION("IFERROR(INDEX(FILTER('Oil Change Log'!$D$4:$D1231, 'Oil Change Log'!$A$4:$A1231 = E4), 1), ""Not Found"")"),"Oil Analysis")</f>
        <v>Oil Analysis</v>
      </c>
      <c r="N8" s="216"/>
      <c r="O8" s="216"/>
      <c r="P8" s="216"/>
      <c r="Q8" s="216"/>
      <c r="R8" s="216"/>
      <c r="S8" s="216"/>
      <c r="T8" s="216"/>
      <c r="U8" s="216"/>
      <c r="V8" s="216"/>
      <c r="W8" s="216"/>
      <c r="X8" s="216"/>
      <c r="Y8" s="216"/>
      <c r="Z8" s="216"/>
      <c r="AA8" s="216"/>
    </row>
    <row r="9" ht="15.75" customHeight="1">
      <c r="A9" s="214"/>
      <c r="B9" s="214"/>
      <c r="C9" s="214"/>
      <c r="D9" s="214"/>
      <c r="E9" s="214"/>
      <c r="F9" s="214"/>
      <c r="G9" s="214"/>
      <c r="H9" s="214"/>
      <c r="I9" s="214"/>
      <c r="J9" s="214"/>
      <c r="K9" s="214"/>
      <c r="L9" s="214"/>
      <c r="M9" s="214"/>
      <c r="N9" s="216"/>
      <c r="O9" s="216"/>
      <c r="P9" s="216"/>
      <c r="Q9" s="216"/>
      <c r="R9" s="216"/>
      <c r="S9" s="216"/>
      <c r="T9" s="216"/>
      <c r="U9" s="216"/>
      <c r="V9" s="216"/>
      <c r="W9" s="216"/>
      <c r="X9" s="216"/>
      <c r="Y9" s="216"/>
      <c r="Z9" s="216"/>
      <c r="AA9" s="216"/>
    </row>
    <row r="10" ht="15.75" customHeight="1">
      <c r="A10" s="214"/>
      <c r="B10" s="234"/>
      <c r="C10" s="235">
        <f>IFERROR(MAXIFS('Data Entry_BD'!$D$6:$D1231,'Data Entry_BD'!$A$6:$A1231,$E$4,'Data Entry_BD'!$D$6:$D1231,"&lt;"&amp;D10),"")</f>
        <v>45545</v>
      </c>
      <c r="D10" s="235">
        <f>IFERROR(MAXIFS('Data Entry_BD'!$D$6:$D1231,'Data Entry_BD'!$A$6:$A1231,$E$4,'Data Entry_BD'!$D$6:$D1231,"&lt;"&amp;E10),"")</f>
        <v>45624</v>
      </c>
      <c r="E10" s="235">
        <f>IFERROR(MAXIFS('Data Entry_BD'!$D$6:$D1231,'Data Entry_BD'!$A$6:$A1231,$E$4,'Data Entry_BD'!$D$6:$D1231,"&lt;"&amp;F10),"")</f>
        <v>45826</v>
      </c>
      <c r="F10" s="235">
        <f>IFERROR(MAXIFS('Data Entry_BD'!$D$6:$D1231,'Data Entry_BD'!$A$6:$A1231,$E$4,'Data Entry_BD'!$D$6:$D1231,"&lt;"&amp;G10),"")</f>
        <v>45978</v>
      </c>
      <c r="G10" s="235">
        <f>IFERROR(MAXIFS('Data Entry_BD'!$D$6:$D1231,'Data Entry_BD'!$A$6:$A1231,$E$4),"")</f>
        <v>46138</v>
      </c>
      <c r="H10" s="214"/>
      <c r="I10" s="214"/>
      <c r="J10" s="214"/>
      <c r="K10" s="214"/>
      <c r="L10" s="214"/>
      <c r="M10" s="214"/>
      <c r="N10" s="216"/>
      <c r="O10" s="216"/>
      <c r="P10" s="216"/>
      <c r="Q10" s="216"/>
      <c r="R10" s="216"/>
      <c r="S10" s="216"/>
      <c r="T10" s="216"/>
      <c r="U10" s="216"/>
      <c r="V10" s="216"/>
      <c r="W10" s="216"/>
      <c r="X10" s="216"/>
      <c r="Y10" s="216"/>
      <c r="Z10" s="216"/>
      <c r="AA10" s="216"/>
    </row>
    <row r="11" ht="19.5" customHeight="1">
      <c r="A11" s="214"/>
      <c r="B11" s="236"/>
      <c r="C11" s="237">
        <f>IFERROR(MATCH(C10,'Data Entry_BD'!$D$6:$D1231,0)+5,"")</f>
        <v>137</v>
      </c>
      <c r="D11" s="237">
        <f>IFERROR(MATCH(D10,'Data Entry_BD'!$D$6:$D1231,0)+5,"")</f>
        <v>197</v>
      </c>
      <c r="E11" s="237">
        <f>IFERROR(MATCH(E10,'Data Entry_BD'!$D$6:$D1231,0)+5,"")</f>
        <v>320</v>
      </c>
      <c r="F11" s="237">
        <f>IFERROR(MATCH(F10,'Data Entry_BD'!$D$6:$D1231,0)+5,"")</f>
        <v>552</v>
      </c>
      <c r="G11" s="237">
        <f>IFERROR(MATCH(G10,'Data Entry_BD'!$D$6:$D1231,0)+5,"")</f>
        <v>654</v>
      </c>
      <c r="H11" s="238"/>
      <c r="I11" s="238"/>
      <c r="J11" s="238"/>
      <c r="K11" s="238"/>
      <c r="L11" s="238"/>
      <c r="M11" s="238"/>
      <c r="N11" s="216"/>
      <c r="O11" s="216"/>
      <c r="P11" s="216"/>
      <c r="Q11" s="216"/>
      <c r="R11" s="216"/>
      <c r="S11" s="216"/>
      <c r="T11" s="216"/>
      <c r="U11" s="216"/>
      <c r="V11" s="216"/>
      <c r="W11" s="216"/>
      <c r="X11" s="216"/>
      <c r="Y11" s="216"/>
      <c r="Z11" s="216"/>
      <c r="AA11" s="216"/>
    </row>
    <row r="12" ht="19.5" customHeight="1">
      <c r="A12" s="214"/>
      <c r="B12" s="69" t="s">
        <v>81</v>
      </c>
      <c r="C12" s="31"/>
      <c r="D12" s="31"/>
      <c r="E12" s="31"/>
      <c r="F12" s="31"/>
      <c r="G12" s="31"/>
      <c r="H12" s="31"/>
      <c r="I12" s="31"/>
      <c r="J12" s="31"/>
      <c r="K12" s="31"/>
      <c r="L12" s="31"/>
      <c r="M12" s="32"/>
      <c r="N12" s="216"/>
      <c r="O12" s="216"/>
      <c r="P12" s="216"/>
      <c r="Q12" s="216"/>
      <c r="R12" s="216"/>
      <c r="S12" s="216"/>
      <c r="T12" s="216"/>
      <c r="U12" s="216"/>
      <c r="V12" s="216"/>
      <c r="W12" s="216"/>
      <c r="X12" s="216"/>
      <c r="Y12" s="216"/>
      <c r="Z12" s="216"/>
      <c r="AA12" s="216"/>
    </row>
    <row r="13" ht="18.0" customHeight="1">
      <c r="A13" s="214"/>
      <c r="B13" s="29"/>
      <c r="C13" s="30" t="s">
        <v>38</v>
      </c>
      <c r="D13" s="31"/>
      <c r="E13" s="31"/>
      <c r="F13" s="31"/>
      <c r="G13" s="32"/>
      <c r="H13" s="239"/>
      <c r="I13" s="240" t="str">
        <f>B14</f>
        <v>Sample Date </v>
      </c>
      <c r="J13" s="240" t="str">
        <f>B25</f>
        <v>Visc@40°C (cSt)</v>
      </c>
      <c r="K13" s="239"/>
      <c r="L13" s="239"/>
      <c r="M13" s="239"/>
      <c r="N13" s="241"/>
      <c r="O13" s="241"/>
      <c r="P13" s="241"/>
      <c r="Q13" s="241"/>
      <c r="R13" s="241"/>
      <c r="S13" s="241"/>
      <c r="T13" s="241"/>
      <c r="U13" s="241"/>
      <c r="V13" s="241"/>
      <c r="W13" s="241"/>
      <c r="X13" s="241"/>
      <c r="Y13" s="241"/>
      <c r="Z13" s="241"/>
      <c r="AA13" s="241"/>
    </row>
    <row r="14" ht="19.5" customHeight="1">
      <c r="A14" s="214"/>
      <c r="B14" s="242" t="s">
        <v>970</v>
      </c>
      <c r="C14" s="243" t="str">
        <f t="shared" ref="C14:G14" si="1">IFERROR(TEXT(C$10,"dd-mmm-yyyy"),"—")</f>
        <v>10-Sep-2024</v>
      </c>
      <c r="D14" s="243" t="str">
        <f t="shared" si="1"/>
        <v>28-Nov-2024</v>
      </c>
      <c r="E14" s="243" t="str">
        <f t="shared" si="1"/>
        <v>18-Jun-2025</v>
      </c>
      <c r="F14" s="244" t="str">
        <f t="shared" si="1"/>
        <v>17-Nov-2025</v>
      </c>
      <c r="G14" s="245" t="str">
        <f t="shared" si="1"/>
        <v>26-Apr-2026</v>
      </c>
      <c r="H14" s="240"/>
      <c r="I14" s="246" t="str">
        <f>C$14</f>
        <v>10-Sep-2024</v>
      </c>
      <c r="J14" s="247">
        <f>C25</f>
        <v>221.8</v>
      </c>
      <c r="K14" s="248"/>
      <c r="L14" s="248"/>
      <c r="M14" s="248"/>
      <c r="N14" s="241"/>
      <c r="O14" s="241"/>
      <c r="P14" s="241"/>
      <c r="Q14" s="241"/>
      <c r="R14" s="241"/>
      <c r="S14" s="241"/>
      <c r="T14" s="241"/>
      <c r="U14" s="241"/>
      <c r="V14" s="241"/>
      <c r="W14" s="241"/>
      <c r="X14" s="241"/>
      <c r="Y14" s="241"/>
      <c r="Z14" s="241"/>
      <c r="AA14" s="241"/>
    </row>
    <row r="15" ht="13.5" customHeight="1">
      <c r="A15" s="214"/>
      <c r="B15" s="242" t="s">
        <v>971</v>
      </c>
      <c r="C15" s="243" t="str">
        <f t="array" ref="C15">IFERROR(INDEX(#REF!,C$11),"—")</f>
        <v>—</v>
      </c>
      <c r="D15" s="243" t="str">
        <f t="array" ref="D15">IFERROR(INDEX(#REF!,D$11),"—")</f>
        <v>—</v>
      </c>
      <c r="E15" s="243" t="str">
        <f t="array" ref="E15">IFERROR(INDEX(#REF!,E$11),"—")</f>
        <v>—</v>
      </c>
      <c r="F15" s="244" t="str">
        <f t="array" ref="F15">IFERROR(INDEX(#REF!,F$11),"—")</f>
        <v>—</v>
      </c>
      <c r="G15" s="249" t="str">
        <f t="array" ref="G15">IFERROR(INDEX(#REF!,G$11),"—")</f>
        <v>—</v>
      </c>
      <c r="H15" s="240"/>
      <c r="I15" s="246" t="str">
        <f>D$14</f>
        <v>28-Nov-2024</v>
      </c>
      <c r="J15" s="250">
        <f>D25</f>
        <v>221.6</v>
      </c>
      <c r="K15" s="240"/>
      <c r="L15" s="240"/>
      <c r="M15" s="240"/>
      <c r="N15" s="241"/>
      <c r="O15" s="241"/>
      <c r="P15" s="241"/>
      <c r="Q15" s="241"/>
      <c r="R15" s="241"/>
      <c r="S15" s="241"/>
      <c r="T15" s="241"/>
      <c r="U15" s="241"/>
      <c r="V15" s="241"/>
      <c r="W15" s="241"/>
      <c r="X15" s="241"/>
      <c r="Y15" s="241"/>
      <c r="Z15" s="241"/>
      <c r="AA15" s="241"/>
    </row>
    <row r="16" ht="13.5" customHeight="1">
      <c r="A16" s="214"/>
      <c r="B16" s="35" t="s">
        <v>39</v>
      </c>
      <c r="C16" s="31"/>
      <c r="D16" s="31"/>
      <c r="E16" s="31"/>
      <c r="F16" s="31"/>
      <c r="G16" s="251"/>
      <c r="H16" s="239"/>
      <c r="I16" s="246" t="str">
        <f>E$14</f>
        <v>18-Jun-2025</v>
      </c>
      <c r="J16" s="250">
        <f>E25</f>
        <v>226.2</v>
      </c>
      <c r="K16" s="239"/>
      <c r="L16" s="239"/>
      <c r="M16" s="239"/>
      <c r="N16" s="241"/>
      <c r="O16" s="241"/>
      <c r="P16" s="241"/>
      <c r="Q16" s="241"/>
      <c r="R16" s="241"/>
      <c r="S16" s="241"/>
      <c r="T16" s="241"/>
      <c r="U16" s="241"/>
      <c r="V16" s="241"/>
      <c r="W16" s="241"/>
      <c r="X16" s="241"/>
      <c r="Y16" s="241"/>
      <c r="Z16" s="241"/>
      <c r="AA16" s="241"/>
    </row>
    <row r="17" ht="15.75" customHeight="1">
      <c r="A17" s="214"/>
      <c r="B17" s="36" t="s">
        <v>40</v>
      </c>
      <c r="C17" s="37" t="str">
        <f>IFERROR(__xludf.DUMMYFUNCTION("IFERROR(FILTER('Data Entry_BD'!$E$6:$E1231, 'Data Entry_BD'!$A$6:$A1231 = $E$4, 'Data Entry_BD'!$D$6:$D1231 = C$10), ""—"")"),"Caution")</f>
        <v>Caution</v>
      </c>
      <c r="D17" s="37" t="str">
        <f>IFERROR(__xludf.DUMMYFUNCTION("IFERROR(FILTER('Data Entry_BD'!$E$6:$E1231, 'Data Entry_BD'!$A$6:$A1231 = $E$4, 'Data Entry_BD'!$D$6:$D1231 = D$10), ""—"")"),"Caution")</f>
        <v>Caution</v>
      </c>
      <c r="E17" s="37" t="str">
        <f>IFERROR(__xludf.DUMMYFUNCTION("IFERROR(FILTER('Data Entry_BD'!$E$6:$E1231, 'Data Entry_BD'!$A$6:$A1231 = $E$4, 'Data Entry_BD'!$D$6:$D1231 = E$10), ""—"")"),"Normal")</f>
        <v>Normal</v>
      </c>
      <c r="F17" s="252" t="str">
        <f>IFERROR(__xludf.DUMMYFUNCTION("IFERROR(FILTER('Data Entry_BD'!$E$6:$E1231, 'Data Entry_BD'!$A$6:$A1231 = $E$4, 'Data Entry_BD'!$D$6:$D1231 = F$10), ""—"")"),"Caution")</f>
        <v>Caution</v>
      </c>
      <c r="G17" s="253" t="str">
        <f>IFERROR(__xludf.DUMMYFUNCTION("IFERROR(FILTER('Data Entry_BD'!$E$6:$E1231, 'Data Entry_BD'!$A$6:$A1231 = $E$4, 'Data Entry_BD'!$D$6:$D1231 = G$10), ""—"")"),"Caution")</f>
        <v>Caution</v>
      </c>
      <c r="H17" s="239"/>
      <c r="I17" s="246" t="str">
        <f>F$14</f>
        <v>17-Nov-2025</v>
      </c>
      <c r="J17" s="250">
        <f>F25</f>
        <v>220.9</v>
      </c>
      <c r="K17" s="239"/>
      <c r="L17" s="239"/>
      <c r="M17" s="239"/>
      <c r="N17" s="241"/>
      <c r="O17" s="241"/>
      <c r="P17" s="241"/>
      <c r="Q17" s="241"/>
      <c r="R17" s="241"/>
      <c r="S17" s="241"/>
      <c r="T17" s="241"/>
      <c r="U17" s="241"/>
      <c r="V17" s="241"/>
      <c r="W17" s="241"/>
      <c r="X17" s="241"/>
      <c r="Y17" s="241"/>
      <c r="Z17" s="241"/>
      <c r="AA17" s="241"/>
    </row>
    <row r="18" ht="15.75" customHeight="1">
      <c r="A18" s="214"/>
      <c r="B18" s="254" t="s">
        <v>972</v>
      </c>
      <c r="C18" s="37" t="str">
        <f>IFERROR(__xludf.DUMMYFUNCTION("IFERROR(FILTER('Data Entry_BD'!$F$6:$F1231, 'Data Entry_BD'!$A$6:$A1231 = $E$4, 'Data Entry_BD'!$D$6:$D1231 = C$10), ""—"")"),"Caution")</f>
        <v>Caution</v>
      </c>
      <c r="D18" s="37" t="str">
        <f>IFERROR(__xludf.DUMMYFUNCTION("IFERROR(FILTER('Data Entry_BD'!$F$6:$F1231, 'Data Entry_BD'!$A$6:$A1231 = $E$4, 'Data Entry_BD'!$D$6:$D1231 = D$10), ""—"")"),"Caution")</f>
        <v>Caution</v>
      </c>
      <c r="E18" s="37" t="str">
        <f>IFERROR(__xludf.DUMMYFUNCTION("IFERROR(FILTER('Data Entry_BD'!$F$6:$F1231, 'Data Entry_BD'!$A$6:$A1231 = $E$4, 'Data Entry_BD'!$D$6:$D1231 = E$10), ""—"")"),"Normal")</f>
        <v>Normal</v>
      </c>
      <c r="F18" s="252" t="str">
        <f>IFERROR(__xludf.DUMMYFUNCTION("IFERROR(FILTER('Data Entry_BD'!$F$6:$F1231, 'Data Entry_BD'!$A$6:$A1231 = $E$4, 'Data Entry_BD'!$D$6:$D1231 = F$10), ""—"")"),"Caution")</f>
        <v>Caution</v>
      </c>
      <c r="G18" s="253" t="str">
        <f>IFERROR(__xludf.DUMMYFUNCTION("IFERROR(FILTER('Data Entry_BD'!$F$6:$F1231, 'Data Entry_BD'!$A$6:$A1231 = $E$4, 'Data Entry_BD'!$D$6:$D1231 = G$10), ""—"")"),"Caution")</f>
        <v>Caution</v>
      </c>
      <c r="H18" s="239"/>
      <c r="I18" s="246" t="str">
        <f>G$14</f>
        <v>26-Apr-2026</v>
      </c>
      <c r="J18" s="250">
        <f>G25</f>
        <v>221.7</v>
      </c>
      <c r="K18" s="239"/>
      <c r="L18" s="239"/>
      <c r="M18" s="239"/>
      <c r="N18" s="241"/>
      <c r="O18" s="241"/>
      <c r="P18" s="241"/>
      <c r="Q18" s="241"/>
      <c r="R18" s="241"/>
      <c r="S18" s="241"/>
      <c r="T18" s="241"/>
      <c r="U18" s="241"/>
      <c r="V18" s="241"/>
      <c r="W18" s="241"/>
      <c r="X18" s="241"/>
      <c r="Y18" s="241"/>
      <c r="Z18" s="241"/>
      <c r="AA18" s="241"/>
    </row>
    <row r="19">
      <c r="A19" s="214"/>
      <c r="B19" s="36" t="s">
        <v>503</v>
      </c>
      <c r="C19" s="37" t="str">
        <f>IFERROR(__xludf.DUMMYFUNCTION("IFERROR(FILTER('Data Entry_BD'!$G$6:$G1231, 'Data Entry_BD'!$A$6:$A1231 = $E$4, 'Data Entry_BD'!$D$6:$D1231 = C$10), ""—"")"),"Normal")</f>
        <v>Normal</v>
      </c>
      <c r="D19" s="37" t="str">
        <f>IFERROR(__xludf.DUMMYFUNCTION("IFERROR(FILTER('Data Entry_BD'!$G$6:$G1231, 'Data Entry_BD'!$A$6:$A1231 = $E$4, 'Data Entry_BD'!$D$6:$D1231 = D$10), ""—"")"),"Normal")</f>
        <v>Normal</v>
      </c>
      <c r="E19" s="37" t="str">
        <f>IFERROR(__xludf.DUMMYFUNCTION("IFERROR(FILTER('Data Entry_BD'!$G$6:$G1231, 'Data Entry_BD'!$A$6:$A1231 = $E$4, 'Data Entry_BD'!$D$6:$D1231 = E$10), ""—"")"),"Normal")</f>
        <v>Normal</v>
      </c>
      <c r="F19" s="252" t="str">
        <f>IFERROR(__xludf.DUMMYFUNCTION("IFERROR(FILTER('Data Entry_BD'!$G$6:$G1231, 'Data Entry_BD'!$A$6:$A1231 = $E$4, 'Data Entry_BD'!$D$6:$D1231 = F$10), ""—"")"),"Normal")</f>
        <v>Normal</v>
      </c>
      <c r="G19" s="253" t="str">
        <f>IFERROR(__xludf.DUMMYFUNCTION("IFERROR(FILTER('Data Entry_BD'!$G$6:$G1231, 'Data Entry_BD'!$A$6:$A1231 = $E$4, 'Data Entry_BD'!$D$6:$D1231 = G$10), ""—"")"),"Normal")</f>
        <v>Normal</v>
      </c>
      <c r="H19" s="239"/>
      <c r="I19" s="239"/>
      <c r="J19" s="239"/>
      <c r="K19" s="239"/>
      <c r="L19" s="239"/>
      <c r="M19" s="239"/>
      <c r="N19" s="241"/>
      <c r="O19" s="241"/>
      <c r="P19" s="241"/>
      <c r="Q19" s="241"/>
      <c r="R19" s="241"/>
      <c r="S19" s="241"/>
      <c r="T19" s="241"/>
      <c r="U19" s="241"/>
      <c r="V19" s="241"/>
      <c r="W19" s="241"/>
      <c r="X19" s="241"/>
      <c r="Y19" s="241"/>
      <c r="Z19" s="241"/>
      <c r="AA19" s="241"/>
    </row>
    <row r="20" ht="15.75" customHeight="1">
      <c r="A20" s="214"/>
      <c r="B20" s="36" t="s">
        <v>504</v>
      </c>
      <c r="C20" s="37" t="str">
        <f>IFERROR(__xludf.DUMMYFUNCTION("IFERROR(FILTER('Data Entry_BD'!$H$6:$H1231, 'Data Entry_BD'!$A$6:$A1231 = $E$4, 'Data Entry_BD'!$D$6:$D1231 = C$10), ""—"")"),"Normal")</f>
        <v>Normal</v>
      </c>
      <c r="D20" s="37" t="str">
        <f>IFERROR(__xludf.DUMMYFUNCTION("IFERROR(FILTER('Data Entry_BD'!$H$6:$H1231, 'Data Entry_BD'!$A$6:$A1231 = $E$4, 'Data Entry_BD'!$D$6:$D1231 = D$10), ""—"")"),"Normal")</f>
        <v>Normal</v>
      </c>
      <c r="E20" s="37" t="str">
        <f>IFERROR(__xludf.DUMMYFUNCTION("IFERROR(FILTER('Data Entry_BD'!$H$6:$H1231, 'Data Entry_BD'!$A$6:$A1231 = $E$4, 'Data Entry_BD'!$D$6:$D1231 = E$10), ""—"")"),"Normal")</f>
        <v>Normal</v>
      </c>
      <c r="F20" s="252" t="str">
        <f>IFERROR(__xludf.DUMMYFUNCTION("IFERROR(FILTER('Data Entry_BD'!$H$6:$H1231, 'Data Entry_BD'!$A$6:$A1231 = $E$4, 'Data Entry_BD'!$D$6:$D1231 = F$10), ""—"")"),"Normal")</f>
        <v>Normal</v>
      </c>
      <c r="G20" s="253" t="str">
        <f>IFERROR(__xludf.DUMMYFUNCTION("IFERROR(FILTER('Data Entry_BD'!$H$6:$H1231, 'Data Entry_BD'!$A$6:$A1231 = $E$4, 'Data Entry_BD'!$D$6:$D1231 = G$10), ""—"")"),"Normal")</f>
        <v>Normal</v>
      </c>
      <c r="H20" s="239"/>
      <c r="I20" s="239"/>
      <c r="J20" s="239"/>
      <c r="K20" s="239"/>
      <c r="L20" s="239"/>
      <c r="M20" s="239"/>
      <c r="N20" s="241"/>
      <c r="O20" s="241"/>
      <c r="P20" s="241"/>
      <c r="Q20" s="241"/>
      <c r="R20" s="241"/>
      <c r="S20" s="241"/>
      <c r="T20" s="241"/>
      <c r="U20" s="241"/>
      <c r="V20" s="241"/>
      <c r="W20" s="241"/>
      <c r="X20" s="241"/>
      <c r="Y20" s="241"/>
      <c r="Z20" s="241"/>
      <c r="AA20" s="241"/>
    </row>
    <row r="21" ht="15.75" customHeight="1">
      <c r="A21" s="214"/>
      <c r="B21" s="36" t="s">
        <v>505</v>
      </c>
      <c r="C21" s="43">
        <f>IFERROR(__xludf.DUMMYFUNCTION("IFERROR(FILTER('Data Entry_BD'!$I$6:$I1231, 'Data Entry_BD'!$A$6:$A1231 = $E$4, 'Data Entry_BD'!$D$6:$D1231 = C$10), ""—"")"),30291.0)</f>
        <v>30291</v>
      </c>
      <c r="D21" s="43">
        <f>IFERROR(__xludf.DUMMYFUNCTION("IFERROR(FILTER('Data Entry_BD'!$I$6:$I1231, 'Data Entry_BD'!$A$6:$A1231 = $E$4, 'Data Entry_BD'!$D$6:$D1231 = D$10), ""—"")"),30291.0)</f>
        <v>30291</v>
      </c>
      <c r="E21" s="43">
        <f>IFERROR(__xludf.DUMMYFUNCTION("IFERROR(FILTER('Data Entry_BD'!$I$6:$I1231, 'Data Entry_BD'!$A$6:$A1231 = $E$4, 'Data Entry_BD'!$D$6:$D1231 = E$10), ""—"")"),31082.0)</f>
        <v>31082</v>
      </c>
      <c r="F21" s="255">
        <f>IFERROR(__xludf.DUMMYFUNCTION("IFERROR(FILTER('Data Entry_BD'!$I$6:$I1231, 'Data Entry_BD'!$A$6:$A1231 = $E$4, 'Data Entry_BD'!$D$6:$D1231 = F$10), ""—"")"),30291.0)</f>
        <v>30291</v>
      </c>
      <c r="G21" s="256">
        <f>IFERROR(__xludf.DUMMYFUNCTION("IFERROR(FILTER('Data Entry_BD'!$I$6:$I1231, 'Data Entry_BD'!$A$6:$A1231 = $E$4, 'Data Entry_BD'!$D$6:$D1231 = G$10), ""—"")"),31082.0)</f>
        <v>31082</v>
      </c>
      <c r="H21" s="239"/>
      <c r="I21" s="239"/>
      <c r="J21" s="239"/>
      <c r="K21" s="239"/>
      <c r="L21" s="239"/>
      <c r="M21" s="239"/>
      <c r="N21" s="241"/>
      <c r="O21" s="241"/>
      <c r="P21" s="241"/>
      <c r="Q21" s="241"/>
      <c r="R21" s="241"/>
      <c r="S21" s="241"/>
      <c r="T21" s="241"/>
      <c r="U21" s="241"/>
      <c r="V21" s="241"/>
      <c r="W21" s="241"/>
      <c r="X21" s="241"/>
      <c r="Y21" s="241"/>
      <c r="Z21" s="241"/>
      <c r="AA21" s="241"/>
    </row>
    <row r="22" ht="15.75" customHeight="1">
      <c r="A22" s="214"/>
      <c r="B22" s="36" t="s">
        <v>506</v>
      </c>
      <c r="C22" s="43">
        <f>IFERROR(__xludf.DUMMYFUNCTION("IFERROR(FILTER('Data Entry_BD'!$J$6:$J1231, 'Data Entry_BD'!$A$6:$A1231 = $E$4, 'Data Entry_BD'!$D$6:$D1231 = C$10), ""—"")"),20046.0)</f>
        <v>20046</v>
      </c>
      <c r="D22" s="43">
        <f>IFERROR(__xludf.DUMMYFUNCTION("IFERROR(FILTER('Data Entry_BD'!$J$6:$J1231, 'Data Entry_BD'!$A$6:$A1231 = $E$4, 'Data Entry_BD'!$D$6:$D1231 = D$10), ""—"")"),20046.0)</f>
        <v>20046</v>
      </c>
      <c r="E22" s="43">
        <f>IFERROR(__xludf.DUMMYFUNCTION("IFERROR(FILTER('Data Entry_BD'!$J$6:$J1231, 'Data Entry_BD'!$A$6:$A1231 = $E$4, 'Data Entry_BD'!$D$6:$D1231 = E$10), ""—"")"),12107.0)</f>
        <v>12107</v>
      </c>
      <c r="F22" s="255">
        <f>IFERROR(__xludf.DUMMYFUNCTION("IFERROR(FILTER('Data Entry_BD'!$J$6:$J1231, 'Data Entry_BD'!$A$6:$A1231 = $E$4, 'Data Entry_BD'!$D$6:$D1231 = F$10), ""—"")"),20046.0)</f>
        <v>20046</v>
      </c>
      <c r="G22" s="256">
        <f>IFERROR(__xludf.DUMMYFUNCTION("IFERROR(FILTER('Data Entry_BD'!$J$6:$J1231, 'Data Entry_BD'!$A$6:$A1231 = $E$4, 'Data Entry_BD'!$D$6:$D1231 = G$10), ""—"")"),12107.0)</f>
        <v>12107</v>
      </c>
      <c r="H22" s="239"/>
      <c r="I22" s="239"/>
      <c r="J22" s="239"/>
      <c r="K22" s="239"/>
      <c r="L22" s="239"/>
      <c r="M22" s="239"/>
      <c r="N22" s="241"/>
      <c r="O22" s="241"/>
      <c r="P22" s="241"/>
      <c r="Q22" s="241"/>
      <c r="R22" s="241"/>
      <c r="S22" s="241"/>
      <c r="T22" s="241"/>
      <c r="U22" s="241"/>
      <c r="V22" s="241"/>
      <c r="W22" s="241"/>
      <c r="X22" s="241"/>
      <c r="Y22" s="241"/>
      <c r="Z22" s="241"/>
      <c r="AA22" s="241"/>
    </row>
    <row r="23" ht="15.75" customHeight="1">
      <c r="A23" s="214"/>
      <c r="B23" s="36" t="s">
        <v>507</v>
      </c>
      <c r="C23" s="43">
        <f>IFERROR(__xludf.DUMMYFUNCTION("IFERROR(FILTER('Data Entry_BD'!$K$6:$K1231, 'Data Entry_BD'!$A$6:$A1231 = $E$4, 'Data Entry_BD'!$D$6:$D1231 = C$10), ""—"")"),9121.0)</f>
        <v>9121</v>
      </c>
      <c r="D23" s="43">
        <f>IFERROR(__xludf.DUMMYFUNCTION("IFERROR(FILTER('Data Entry_BD'!$K$6:$K1231, 'Data Entry_BD'!$A$6:$A1231 = $E$4, 'Data Entry_BD'!$D$6:$D1231 = D$10), ""—"")"),9121.0)</f>
        <v>9121</v>
      </c>
      <c r="E23" s="43">
        <f>IFERROR(__xludf.DUMMYFUNCTION("IFERROR(FILTER('Data Entry_BD'!$K$6:$K1231, 'Data Entry_BD'!$A$6:$A1231 = $E$4, 'Data Entry_BD'!$D$6:$D1231 = E$10), ""—"")"),6112.0)</f>
        <v>6112</v>
      </c>
      <c r="F23" s="255">
        <f>IFERROR(__xludf.DUMMYFUNCTION("IFERROR(FILTER('Data Entry_BD'!$K$6:$K1231, 'Data Entry_BD'!$A$6:$A1231 = $E$4, 'Data Entry_BD'!$D$6:$D1231 = F$10), ""—"")"),9121.0)</f>
        <v>9121</v>
      </c>
      <c r="G23" s="256">
        <f>IFERROR(__xludf.DUMMYFUNCTION("IFERROR(FILTER('Data Entry_BD'!$K$6:$K1231, 'Data Entry_BD'!$A$6:$A1231 = $E$4, 'Data Entry_BD'!$D$6:$D1231 = G$10), ""—"")"),6112.0)</f>
        <v>6112</v>
      </c>
      <c r="H23" s="239"/>
      <c r="I23" s="239"/>
      <c r="J23" s="239"/>
      <c r="K23" s="239"/>
      <c r="L23" s="239"/>
      <c r="M23" s="239"/>
      <c r="N23" s="241"/>
      <c r="O23" s="241"/>
      <c r="P23" s="241"/>
      <c r="Q23" s="241"/>
      <c r="R23" s="241"/>
      <c r="S23" s="241"/>
      <c r="T23" s="241"/>
      <c r="U23" s="241"/>
      <c r="V23" s="241"/>
      <c r="W23" s="241"/>
      <c r="X23" s="241"/>
      <c r="Y23" s="241"/>
      <c r="Z23" s="241"/>
      <c r="AA23" s="241"/>
    </row>
    <row r="24" ht="15.75" customHeight="1">
      <c r="A24" s="214"/>
      <c r="B24" s="36" t="s">
        <v>56</v>
      </c>
      <c r="C24" s="43">
        <f>IFERROR(__xludf.DUMMYFUNCTION("IFERROR(FILTER('Data Entry_BD'!$L$6:$L1231, 'Data Entry_BD'!$A$6:$A1231 = $E$4, 'Data Entry_BD'!$D$6:$D1231 = C$10), ""—"")"),6.0)</f>
        <v>6</v>
      </c>
      <c r="D24" s="43">
        <f>IFERROR(__xludf.DUMMYFUNCTION("IFERROR(FILTER('Data Entry_BD'!$L$6:$L1231, 'Data Entry_BD'!$A$6:$A1231 = $E$4, 'Data Entry_BD'!$D$6:$D1231 = D$10), ""—"")"),9.0)</f>
        <v>9</v>
      </c>
      <c r="E24" s="43">
        <f>IFERROR(__xludf.DUMMYFUNCTION("IFERROR(FILTER('Data Entry_BD'!$L$6:$L1231, 'Data Entry_BD'!$A$6:$A1231 = $E$4, 'Data Entry_BD'!$D$6:$D1231 = E$10), ""—"")"),9.0)</f>
        <v>9</v>
      </c>
      <c r="F24" s="255">
        <f>IFERROR(__xludf.DUMMYFUNCTION("IFERROR(FILTER('Data Entry_BD'!$L$6:$L1231, 'Data Entry_BD'!$A$6:$A1231 = $E$4, 'Data Entry_BD'!$D$6:$D1231 = F$10), ""—"")"),10.0)</f>
        <v>10</v>
      </c>
      <c r="G24" s="256">
        <f>IFERROR(__xludf.DUMMYFUNCTION("IFERROR(FILTER('Data Entry_BD'!$L$6:$L1231, 'Data Entry_BD'!$A$6:$A1231 = $E$4, 'Data Entry_BD'!$D$6:$D1231 = G$10), ""—"")"),10.0)</f>
        <v>10</v>
      </c>
      <c r="H24" s="239"/>
      <c r="I24" s="239"/>
      <c r="J24" s="239"/>
      <c r="K24" s="239"/>
      <c r="L24" s="239"/>
      <c r="M24" s="239"/>
      <c r="N24" s="241"/>
      <c r="O24" s="241"/>
      <c r="P24" s="241"/>
      <c r="Q24" s="241"/>
      <c r="R24" s="241"/>
      <c r="S24" s="241"/>
      <c r="T24" s="241"/>
      <c r="U24" s="241"/>
      <c r="V24" s="241"/>
      <c r="W24" s="241"/>
      <c r="X24" s="241"/>
      <c r="Y24" s="241"/>
      <c r="Z24" s="241"/>
      <c r="AA24" s="241"/>
    </row>
    <row r="25" ht="15.75" customHeight="1">
      <c r="A25" s="214"/>
      <c r="B25" s="257" t="s">
        <v>41</v>
      </c>
      <c r="C25" s="258">
        <f>IFERROR(__xludf.DUMMYFUNCTION("IFERROR(FILTER('Data Entry_BD'!$M$6:$M1231, 'Data Entry_BD'!$A$6:$A1231 = $E$4, 'Data Entry_BD'!$D$6:$D1231 = C$10), ""—"")"),221.8)</f>
        <v>221.8</v>
      </c>
      <c r="D25" s="258">
        <f>IFERROR(__xludf.DUMMYFUNCTION("IFERROR(FILTER('Data Entry_BD'!$M$6:$M1231, 'Data Entry_BD'!$A$6:$A1231 = $E$4, 'Data Entry_BD'!$D$6:$D1231 = D$10), ""—"")"),221.6)</f>
        <v>221.6</v>
      </c>
      <c r="E25" s="258">
        <f>IFERROR(__xludf.DUMMYFUNCTION("IFERROR(FILTER('Data Entry_BD'!$M$6:$M1231, 'Data Entry_BD'!$A$6:$A1231 = $E$4, 'Data Entry_BD'!$D$6:$D1231 = E$10), ""—"")"),226.2)</f>
        <v>226.2</v>
      </c>
      <c r="F25" s="259">
        <f>IFERROR(__xludf.DUMMYFUNCTION("IFERROR(FILTER('Data Entry_BD'!$M$6:$M1231, 'Data Entry_BD'!$A$6:$A1231 = $E$4, 'Data Entry_BD'!$D$6:$D1231 = F$10), ""—"")"),220.9)</f>
        <v>220.9</v>
      </c>
      <c r="G25" s="260">
        <f>IFERROR(__xludf.DUMMYFUNCTION("IFERROR(FILTER('Data Entry_BD'!$M$6:$M1231, 'Data Entry_BD'!$A$6:$A1231 = $E$4, 'Data Entry_BD'!$D$6:$D1231 = G$10), ""—"")"),221.7)</f>
        <v>221.7</v>
      </c>
      <c r="H25" s="239"/>
      <c r="I25" s="239"/>
      <c r="J25" s="239"/>
      <c r="K25" s="239"/>
      <c r="L25" s="239"/>
      <c r="M25" s="239"/>
      <c r="N25" s="241"/>
      <c r="O25" s="241"/>
      <c r="P25" s="241"/>
      <c r="Q25" s="241"/>
      <c r="R25" s="241"/>
      <c r="S25" s="241"/>
      <c r="T25" s="241"/>
      <c r="U25" s="241"/>
      <c r="V25" s="241"/>
      <c r="W25" s="241"/>
      <c r="X25" s="241"/>
      <c r="Y25" s="241"/>
      <c r="Z25" s="241"/>
      <c r="AA25" s="241"/>
    </row>
    <row r="26" ht="15.75" customHeight="1">
      <c r="A26" s="214"/>
      <c r="B26" s="254" t="s">
        <v>510</v>
      </c>
      <c r="C26" s="43" t="str">
        <f>IFERROR(__xludf.DUMMYFUNCTION("IFERROR(FILTER('Data Entry_BD'!$N$6:$N1231, 'Data Entry_BD'!$A$6:$A1231 = $E$4, 'Data Entry_BD'!$D$6:$D1231 = C$10), ""—"")"),"")</f>
        <v/>
      </c>
      <c r="D26" s="43" t="str">
        <f>IFERROR(__xludf.DUMMYFUNCTION("IFERROR(FILTER('Data Entry_BD'!$N$6:$N1231, 'Data Entry_BD'!$A$6:$A1231 = $E$4, 'Data Entry_BD'!$D$6:$D1231 = D$10), ""—"")"),"")</f>
        <v/>
      </c>
      <c r="E26" s="43" t="str">
        <f>IFERROR(__xludf.DUMMYFUNCTION("IFERROR(FILTER('Data Entry_BD'!$N$6:$N1231, 'Data Entry_BD'!$A$6:$A1231 = $E$4, 'Data Entry_BD'!$D$6:$D1231 = E$10), ""—"")"),"")</f>
        <v/>
      </c>
      <c r="F26" s="255" t="str">
        <f>IFERROR(__xludf.DUMMYFUNCTION("IFERROR(FILTER('Data Entry_BD'!$N$6:$N1231, 'Data Entry_BD'!$A$6:$A1231 = $E$4, 'Data Entry_BD'!$D$6:$D1231 = F$10), ""—"")"),"")</f>
        <v/>
      </c>
      <c r="G26" s="256" t="str">
        <f>IFERROR(__xludf.DUMMYFUNCTION("IFERROR(FILTER('Data Entry_BD'!$N$6:$N1231, 'Data Entry_BD'!$A$6:$A1231 = $E$4, 'Data Entry_BD'!$D$6:$D1231 = G$10), ""—"")"),"")</f>
        <v/>
      </c>
      <c r="H26" s="239"/>
      <c r="I26" s="239"/>
      <c r="J26" s="239"/>
      <c r="K26" s="239"/>
      <c r="L26" s="239"/>
      <c r="M26" s="239"/>
      <c r="N26" s="241"/>
      <c r="O26" s="241"/>
      <c r="P26" s="241"/>
      <c r="Q26" s="241"/>
      <c r="R26" s="241"/>
      <c r="S26" s="241"/>
      <c r="T26" s="241"/>
      <c r="U26" s="241"/>
      <c r="V26" s="241"/>
      <c r="W26" s="241"/>
      <c r="X26" s="241"/>
      <c r="Y26" s="241"/>
      <c r="Z26" s="241"/>
      <c r="AA26" s="241"/>
    </row>
    <row r="27" ht="15.75" customHeight="1">
      <c r="A27" s="214"/>
      <c r="B27" s="254" t="s">
        <v>511</v>
      </c>
      <c r="C27" s="43" t="str">
        <f>IFERROR(__xludf.DUMMYFUNCTION("IFERROR(FILTER('Data Entry_BD'!$O$6:$O1231, 'Data Entry_BD'!$A$6:$A1231 = $E$4, 'Data Entry_BD'!$D$6:$D1231 = C$10), ""—"")"),"")</f>
        <v/>
      </c>
      <c r="D27" s="43" t="str">
        <f>IFERROR(__xludf.DUMMYFUNCTION("IFERROR(FILTER('Data Entry_BD'!$O$6:$O1231, 'Data Entry_BD'!$A$6:$A1231 = $E$4, 'Data Entry_BD'!$D$6:$D1231 = D$10), ""—"")"),"")</f>
        <v/>
      </c>
      <c r="E27" s="43" t="str">
        <f>IFERROR(__xludf.DUMMYFUNCTION("IFERROR(FILTER('Data Entry_BD'!$O$6:$O1231, 'Data Entry_BD'!$A$6:$A1231 = $E$4, 'Data Entry_BD'!$D$6:$D1231 = E$10), ""—"")"),"")</f>
        <v/>
      </c>
      <c r="F27" s="255" t="str">
        <f>IFERROR(__xludf.DUMMYFUNCTION("IFERROR(FILTER('Data Entry_BD'!$O$6:$O1231, 'Data Entry_BD'!$A$6:$A1231 = $E$4, 'Data Entry_BD'!$D$6:$D1231 = F$10), ""—"")"),"")</f>
        <v/>
      </c>
      <c r="G27" s="256" t="str">
        <f>IFERROR(__xludf.DUMMYFUNCTION("IFERROR(FILTER('Data Entry_BD'!$O$6:$O1231, 'Data Entry_BD'!$A$6:$A1231 = $E$4, 'Data Entry_BD'!$D$6:$D1231 = G$10), ""—"")"),"")</f>
        <v/>
      </c>
      <c r="H27" s="239"/>
      <c r="I27" s="239"/>
      <c r="J27" s="239"/>
      <c r="K27" s="239"/>
      <c r="L27" s="239"/>
      <c r="M27" s="239"/>
      <c r="N27" s="241"/>
      <c r="O27" s="241"/>
      <c r="P27" s="241"/>
      <c r="Q27" s="241"/>
      <c r="R27" s="241"/>
      <c r="S27" s="241"/>
      <c r="T27" s="241"/>
      <c r="U27" s="241"/>
      <c r="V27" s="241"/>
      <c r="W27" s="241"/>
      <c r="X27" s="241"/>
      <c r="Y27" s="241"/>
      <c r="Z27" s="241"/>
      <c r="AA27" s="241"/>
    </row>
    <row r="28" ht="15.75" customHeight="1">
      <c r="A28" s="214"/>
      <c r="B28" s="36" t="s">
        <v>16</v>
      </c>
      <c r="C28" s="41">
        <f>IFERROR(__xludf.DUMMYFUNCTION("IFERROR(FILTER('Data Entry_BD'!$P$6:$P1231, 'Data Entry_BD'!$A$6:$A1231 = $E$4, 'Data Entry_BD'!$D$6:$D1231 = C$10), ""—"")"),0.01)</f>
        <v>0.01</v>
      </c>
      <c r="D28" s="41">
        <f>IFERROR(__xludf.DUMMYFUNCTION("IFERROR(FILTER('Data Entry_BD'!$P$6:$P1231, 'Data Entry_BD'!$A$6:$A1231 = $E$4, 'Data Entry_BD'!$D$6:$D1231 = D$10), ""—"")"),0.02)</f>
        <v>0.02</v>
      </c>
      <c r="E28" s="41">
        <f>IFERROR(__xludf.DUMMYFUNCTION("IFERROR(FILTER('Data Entry_BD'!$P$6:$P1231, 'Data Entry_BD'!$A$6:$A1231 = $E$4, 'Data Entry_BD'!$D$6:$D1231 = E$10), ""—"")"),0.01)</f>
        <v>0.01</v>
      </c>
      <c r="F28" s="261">
        <f>IFERROR(__xludf.DUMMYFUNCTION("IFERROR(FILTER('Data Entry_BD'!$P$6:$P1231, 'Data Entry_BD'!$A$6:$A1231 = $E$4, 'Data Entry_BD'!$D$6:$D1231 = F$10), ""—"")"),0.04)</f>
        <v>0.04</v>
      </c>
      <c r="G28" s="262">
        <f>IFERROR(__xludf.DUMMYFUNCTION("IFERROR(FILTER('Data Entry_BD'!$P$6:$P1231, 'Data Entry_BD'!$A$6:$A1231 = $E$4, 'Data Entry_BD'!$D$6:$D1231 = G$10), ""—"")"),0.04)</f>
        <v>0.04</v>
      </c>
      <c r="H28" s="239"/>
      <c r="I28" s="239"/>
      <c r="J28" s="239"/>
      <c r="K28" s="239"/>
      <c r="L28" s="239"/>
      <c r="M28" s="239"/>
      <c r="N28" s="241"/>
      <c r="O28" s="241"/>
      <c r="P28" s="241"/>
      <c r="Q28" s="241"/>
      <c r="R28" s="241"/>
      <c r="S28" s="241"/>
      <c r="T28" s="241"/>
      <c r="U28" s="241"/>
      <c r="V28" s="241"/>
      <c r="W28" s="241"/>
      <c r="X28" s="241"/>
      <c r="Y28" s="241"/>
      <c r="Z28" s="241"/>
      <c r="AA28" s="241"/>
    </row>
    <row r="29" ht="13.5" customHeight="1">
      <c r="A29" s="214"/>
      <c r="B29" s="35" t="s">
        <v>42</v>
      </c>
      <c r="C29" s="31"/>
      <c r="D29" s="31"/>
      <c r="E29" s="31"/>
      <c r="F29" s="31"/>
      <c r="G29" s="251"/>
      <c r="H29" s="239" t="str">
        <f t="array" ref="H29:H34">TRANSPOSE(B14:G14)</f>
        <v>Sample Date </v>
      </c>
      <c r="I29" s="239" t="str">
        <f t="array" ref="I29:Q34">TRANSPOSE(B30:G38)</f>
        <v>Ag (Silver) </v>
      </c>
      <c r="J29" s="239" t="s">
        <v>44</v>
      </c>
      <c r="K29" s="239" t="s">
        <v>46</v>
      </c>
      <c r="L29" s="239" t="s">
        <v>45</v>
      </c>
      <c r="M29" s="239" t="s">
        <v>43</v>
      </c>
      <c r="N29" s="241" t="s">
        <v>514</v>
      </c>
      <c r="O29" s="241" t="s">
        <v>515</v>
      </c>
      <c r="P29" s="241" t="s">
        <v>516</v>
      </c>
      <c r="Q29" s="241" t="s">
        <v>517</v>
      </c>
      <c r="R29" s="241"/>
      <c r="S29" s="241"/>
      <c r="T29" s="241"/>
      <c r="U29" s="241"/>
      <c r="V29" s="241"/>
      <c r="W29" s="241"/>
      <c r="X29" s="241"/>
      <c r="Y29" s="241"/>
      <c r="Z29" s="241"/>
      <c r="AA29" s="241"/>
    </row>
    <row r="30" ht="15.75" customHeight="1">
      <c r="A30" s="214"/>
      <c r="B30" s="263" t="s">
        <v>512</v>
      </c>
      <c r="C30" s="42">
        <f>IFERROR(__xludf.DUMMYFUNCTION("IFERROR(FILTER('Data Entry_BD'!$Q$6:$Q1231, 'Data Entry_BD'!$A$6:$A1231 = $E$4, 'Data Entry_BD'!$D$6:$D1231 = C$10), ""—"")"),0.0)</f>
        <v>0</v>
      </c>
      <c r="D30" s="42">
        <f>IFERROR(__xludf.DUMMYFUNCTION("IFERROR(FILTER('Data Entry_BD'!$Q$6:$Q1231, 'Data Entry_BD'!$A$6:$A1231 = $E$4, 'Data Entry_BD'!$D$6:$D1231 = D$10), ""—"")"),0.0)</f>
        <v>0</v>
      </c>
      <c r="E30" s="42">
        <f>IFERROR(__xludf.DUMMYFUNCTION("IFERROR(FILTER('Data Entry_BD'!$Q$6:$Q1231, 'Data Entry_BD'!$A$6:$A1231 = $E$4, 'Data Entry_BD'!$D$6:$D1231 = E$10), ""—"")"),0.0)</f>
        <v>0</v>
      </c>
      <c r="F30" s="264">
        <f>IFERROR(__xludf.DUMMYFUNCTION("IFERROR(FILTER('Data Entry_BD'!$Q$6:$Q1231, 'Data Entry_BD'!$A$6:$A1231 = $E$4, 'Data Entry_BD'!$D$6:$D1231 = F$10), ""—"")"),0.0)</f>
        <v>0</v>
      </c>
      <c r="G30" s="265">
        <f>IFERROR(__xludf.DUMMYFUNCTION("IFERROR(FILTER('Data Entry_BD'!$Q$6:$Q1231, 'Data Entry_BD'!$A$6:$A1231 = $E$4, 'Data Entry_BD'!$D$6:$D1231 = G$10), ""—"")"),0.0)</f>
        <v>0</v>
      </c>
      <c r="H30" s="266" t="s">
        <v>973</v>
      </c>
      <c r="I30" s="267">
        <v>0.0</v>
      </c>
      <c r="J30" s="267">
        <v>4.0</v>
      </c>
      <c r="K30" s="267">
        <v>1.0</v>
      </c>
      <c r="L30" s="267">
        <v>0.0</v>
      </c>
      <c r="M30" s="267">
        <v>8.0</v>
      </c>
      <c r="N30" s="268">
        <v>2.0</v>
      </c>
      <c r="O30" s="268">
        <v>0.0</v>
      </c>
      <c r="P30" s="268">
        <v>0.0</v>
      </c>
      <c r="Q30" s="268">
        <v>0.0</v>
      </c>
      <c r="R30" s="241"/>
      <c r="S30" s="241"/>
      <c r="T30" s="241"/>
      <c r="U30" s="241"/>
      <c r="V30" s="241"/>
      <c r="W30" s="241"/>
      <c r="X30" s="241"/>
      <c r="Y30" s="241"/>
      <c r="Z30" s="241"/>
      <c r="AA30" s="241"/>
    </row>
    <row r="31" ht="15.75" customHeight="1">
      <c r="A31" s="214"/>
      <c r="B31" s="40" t="s">
        <v>44</v>
      </c>
      <c r="C31" s="42">
        <f>IFERROR(__xludf.DUMMYFUNCTION("IFERROR(FILTER('Data Entry_BD'!$R$6:$R1231, 'Data Entry_BD'!$A$6:$A1231 = $E$4, 'Data Entry_BD'!$D$6:$D1231 = C$10), ""—"")"),4.0)</f>
        <v>4</v>
      </c>
      <c r="D31" s="42">
        <f>IFERROR(__xludf.DUMMYFUNCTION("IFERROR(FILTER('Data Entry_BD'!$R$6:$R1231, 'Data Entry_BD'!$A$6:$A1231 = $E$4, 'Data Entry_BD'!$D$6:$D1231 = D$10), ""—"")"),0.0)</f>
        <v>0</v>
      </c>
      <c r="E31" s="42">
        <f>IFERROR(__xludf.DUMMYFUNCTION("IFERROR(FILTER('Data Entry_BD'!$R$6:$R1231, 'Data Entry_BD'!$A$6:$A1231 = $E$4, 'Data Entry_BD'!$D$6:$D1231 = E$10), ""—"")"),1.0)</f>
        <v>1</v>
      </c>
      <c r="F31" s="264">
        <f>IFERROR(__xludf.DUMMYFUNCTION("IFERROR(FILTER('Data Entry_BD'!$R$6:$R1231, 'Data Entry_BD'!$A$6:$A1231 = $E$4, 'Data Entry_BD'!$D$6:$D1231 = F$10), ""—"")"),0.0)</f>
        <v>0</v>
      </c>
      <c r="G31" s="265">
        <f>IFERROR(__xludf.DUMMYFUNCTION("IFERROR(FILTER('Data Entry_BD'!$R$6:$R1231, 'Data Entry_BD'!$A$6:$A1231 = $E$4, 'Data Entry_BD'!$D$6:$D1231 = G$10), ""—"")"),0.0)</f>
        <v>0</v>
      </c>
      <c r="H31" s="266" t="s">
        <v>974</v>
      </c>
      <c r="I31" s="267">
        <v>0.0</v>
      </c>
      <c r="J31" s="267">
        <v>0.0</v>
      </c>
      <c r="K31" s="267">
        <v>0.0</v>
      </c>
      <c r="L31" s="267">
        <v>0.0</v>
      </c>
      <c r="M31" s="267">
        <v>13.0</v>
      </c>
      <c r="N31" s="268">
        <v>0.0</v>
      </c>
      <c r="O31" s="268">
        <v>0.0</v>
      </c>
      <c r="P31" s="268">
        <v>0.0</v>
      </c>
      <c r="Q31" s="268">
        <v>0.0</v>
      </c>
      <c r="R31" s="241"/>
      <c r="S31" s="241"/>
      <c r="T31" s="241"/>
      <c r="U31" s="241"/>
      <c r="V31" s="241"/>
      <c r="W31" s="241"/>
      <c r="X31" s="241"/>
      <c r="Y31" s="241"/>
      <c r="Z31" s="241"/>
      <c r="AA31" s="241"/>
    </row>
    <row r="32" ht="15.75" customHeight="1">
      <c r="A32" s="214"/>
      <c r="B32" s="40" t="s">
        <v>46</v>
      </c>
      <c r="C32" s="42">
        <f>IFERROR(__xludf.DUMMYFUNCTION("IFERROR(FILTER('Data Entry_BD'!$S$6:$S1231, 'Data Entry_BD'!$A$6:$A1231 = $E$4, 'Data Entry_BD'!$D$6:$D1231 = C$10), ""—"")"),1.0)</f>
        <v>1</v>
      </c>
      <c r="D32" s="42">
        <f>IFERROR(__xludf.DUMMYFUNCTION("IFERROR(FILTER('Data Entry_BD'!$S$6:$S1231, 'Data Entry_BD'!$A$6:$A1231 = $E$4, 'Data Entry_BD'!$D$6:$D1231 = D$10), ""—"")"),0.0)</f>
        <v>0</v>
      </c>
      <c r="E32" s="42">
        <f>IFERROR(__xludf.DUMMYFUNCTION("IFERROR(FILTER('Data Entry_BD'!$S$6:$S1231, 'Data Entry_BD'!$A$6:$A1231 = $E$4, 'Data Entry_BD'!$D$6:$D1231 = E$10), ""—"")"),0.0)</f>
        <v>0</v>
      </c>
      <c r="F32" s="264">
        <f>IFERROR(__xludf.DUMMYFUNCTION("IFERROR(FILTER('Data Entry_BD'!$S$6:$S1231, 'Data Entry_BD'!$A$6:$A1231 = $E$4, 'Data Entry_BD'!$D$6:$D1231 = F$10), ""—"")"),0.0)</f>
        <v>0</v>
      </c>
      <c r="G32" s="265">
        <f>IFERROR(__xludf.DUMMYFUNCTION("IFERROR(FILTER('Data Entry_BD'!$S$6:$S1231, 'Data Entry_BD'!$A$6:$A1231 = $E$4, 'Data Entry_BD'!$D$6:$D1231 = G$10), ""—"")"),0.0)</f>
        <v>0</v>
      </c>
      <c r="H32" s="266" t="s">
        <v>975</v>
      </c>
      <c r="I32" s="267">
        <v>0.0</v>
      </c>
      <c r="J32" s="267">
        <v>1.0</v>
      </c>
      <c r="K32" s="267">
        <v>0.0</v>
      </c>
      <c r="L32" s="267">
        <v>0.0</v>
      </c>
      <c r="M32" s="267">
        <v>7.0</v>
      </c>
      <c r="N32" s="268">
        <v>0.0</v>
      </c>
      <c r="O32" s="268">
        <v>0.0</v>
      </c>
      <c r="P32" s="268">
        <v>2.0</v>
      </c>
      <c r="Q32" s="268">
        <v>0.0</v>
      </c>
      <c r="R32" s="241"/>
      <c r="S32" s="241"/>
      <c r="T32" s="241"/>
      <c r="U32" s="241"/>
      <c r="V32" s="241"/>
      <c r="W32" s="241"/>
      <c r="X32" s="241"/>
      <c r="Y32" s="241"/>
      <c r="Z32" s="241"/>
      <c r="AA32" s="241"/>
    </row>
    <row r="33" ht="15.75" customHeight="1">
      <c r="A33" s="214"/>
      <c r="B33" s="38" t="s">
        <v>45</v>
      </c>
      <c r="C33" s="42">
        <f>IFERROR(__xludf.DUMMYFUNCTION("IFERROR(FILTER('Data Entry_BD'!$T$6:$T1231, 'Data Entry_BD'!$A$6:$A1231 = $E$4, 'Data Entry_BD'!$D$6:$D1231 = C$10), ""—"")"),0.0)</f>
        <v>0</v>
      </c>
      <c r="D33" s="42">
        <f>IFERROR(__xludf.DUMMYFUNCTION("IFERROR(FILTER('Data Entry_BD'!$T$6:$T1231, 'Data Entry_BD'!$A$6:$A1231 = $E$4, 'Data Entry_BD'!$D$6:$D1231 = D$10), ""—"")"),0.0)</f>
        <v>0</v>
      </c>
      <c r="E33" s="42">
        <f>IFERROR(__xludf.DUMMYFUNCTION("IFERROR(FILTER('Data Entry_BD'!$T$6:$T1231, 'Data Entry_BD'!$A$6:$A1231 = $E$4, 'Data Entry_BD'!$D$6:$D1231 = E$10), ""—"")"),0.0)</f>
        <v>0</v>
      </c>
      <c r="F33" s="264">
        <f>IFERROR(__xludf.DUMMYFUNCTION("IFERROR(FILTER('Data Entry_BD'!$T$6:$T1231, 'Data Entry_BD'!$A$6:$A1231 = $E$4, 'Data Entry_BD'!$D$6:$D1231 = F$10), ""—"")"),0.0)</f>
        <v>0</v>
      </c>
      <c r="G33" s="265">
        <f>IFERROR(__xludf.DUMMYFUNCTION("IFERROR(FILTER('Data Entry_BD'!$T$6:$T1231, 'Data Entry_BD'!$A$6:$A1231 = $E$4, 'Data Entry_BD'!$D$6:$D1231 = G$10), ""—"")"),0.0)</f>
        <v>0</v>
      </c>
      <c r="H33" s="266" t="s">
        <v>976</v>
      </c>
      <c r="I33" s="267">
        <v>0.0</v>
      </c>
      <c r="J33" s="267">
        <v>0.0</v>
      </c>
      <c r="K33" s="267">
        <v>0.0</v>
      </c>
      <c r="L33" s="267">
        <v>0.0</v>
      </c>
      <c r="M33" s="267">
        <v>9.0</v>
      </c>
      <c r="N33" s="268">
        <v>0.0</v>
      </c>
      <c r="O33" s="268">
        <v>0.0</v>
      </c>
      <c r="P33" s="268">
        <v>0.0</v>
      </c>
      <c r="Q33" s="268">
        <v>0.0</v>
      </c>
      <c r="R33" s="241"/>
      <c r="S33" s="241"/>
      <c r="T33" s="241"/>
      <c r="U33" s="241"/>
      <c r="V33" s="241"/>
      <c r="W33" s="241"/>
      <c r="X33" s="241"/>
      <c r="Y33" s="241"/>
      <c r="Z33" s="241"/>
      <c r="AA33" s="241"/>
    </row>
    <row r="34" ht="15.75" customHeight="1">
      <c r="A34" s="214"/>
      <c r="B34" s="38" t="s">
        <v>43</v>
      </c>
      <c r="C34" s="42">
        <f>IFERROR(__xludf.DUMMYFUNCTION("IFERROR(FILTER('Data Entry_BD'!$U$6:$U1231, 'Data Entry_BD'!$A$6:$A1231 = $E$4, 'Data Entry_BD'!$D$6:$D1231 = C$10), ""—"")"),8.0)</f>
        <v>8</v>
      </c>
      <c r="D34" s="42">
        <f>IFERROR(__xludf.DUMMYFUNCTION("IFERROR(FILTER('Data Entry_BD'!$U$6:$U1231, 'Data Entry_BD'!$A$6:$A1231 = $E$4, 'Data Entry_BD'!$D$6:$D1231 = D$10), ""—"")"),13.0)</f>
        <v>13</v>
      </c>
      <c r="E34" s="42">
        <f>IFERROR(__xludf.DUMMYFUNCTION("IFERROR(FILTER('Data Entry_BD'!$U$6:$U1231, 'Data Entry_BD'!$A$6:$A1231 = $E$4, 'Data Entry_BD'!$D$6:$D1231 = E$10), ""—"")"),7.0)</f>
        <v>7</v>
      </c>
      <c r="F34" s="264">
        <f>IFERROR(__xludf.DUMMYFUNCTION("IFERROR(FILTER('Data Entry_BD'!$U$6:$U1231, 'Data Entry_BD'!$A$6:$A1231 = $E$4, 'Data Entry_BD'!$D$6:$D1231 = F$10), ""—"")"),9.0)</f>
        <v>9</v>
      </c>
      <c r="G34" s="265">
        <f>IFERROR(__xludf.DUMMYFUNCTION("IFERROR(FILTER('Data Entry_BD'!$U$6:$U1231, 'Data Entry_BD'!$A$6:$A1231 = $E$4, 'Data Entry_BD'!$D$6:$D1231 = G$10), ""—"")"),1.0)</f>
        <v>1</v>
      </c>
      <c r="H34" s="266" t="s">
        <v>977</v>
      </c>
      <c r="I34" s="267">
        <v>0.0</v>
      </c>
      <c r="J34" s="267">
        <v>0.0</v>
      </c>
      <c r="K34" s="267">
        <v>0.0</v>
      </c>
      <c r="L34" s="267">
        <v>0.0</v>
      </c>
      <c r="M34" s="267">
        <v>1.0</v>
      </c>
      <c r="N34" s="268">
        <v>0.0</v>
      </c>
      <c r="O34" s="268">
        <v>0.0</v>
      </c>
      <c r="P34" s="268">
        <v>0.0</v>
      </c>
      <c r="Q34" s="268">
        <v>0.0</v>
      </c>
      <c r="R34" s="241"/>
      <c r="S34" s="241"/>
      <c r="T34" s="241"/>
      <c r="U34" s="241"/>
      <c r="V34" s="241"/>
      <c r="W34" s="241"/>
      <c r="X34" s="241"/>
      <c r="Y34" s="241"/>
      <c r="Z34" s="241"/>
      <c r="AA34" s="241"/>
    </row>
    <row r="35" ht="15.75" customHeight="1">
      <c r="A35" s="214"/>
      <c r="B35" s="269" t="s">
        <v>514</v>
      </c>
      <c r="C35" s="42">
        <f>IFERROR(__xludf.DUMMYFUNCTION("IFERROR(FILTER('Data Entry_BD'!$V$6:$V1231, 'Data Entry_BD'!$A$6:$A1231 = $E$4, 'Data Entry_BD'!$D$6:$D1231 = C$10), ""—"")"),2.0)</f>
        <v>2</v>
      </c>
      <c r="D35" s="42">
        <f>IFERROR(__xludf.DUMMYFUNCTION("IFERROR(FILTER('Data Entry_BD'!$V$6:$V1231, 'Data Entry_BD'!$A$6:$A1231 = $E$4, 'Data Entry_BD'!$D$6:$D1231 = D$10), ""—"")"),0.0)</f>
        <v>0</v>
      </c>
      <c r="E35" s="42">
        <f>IFERROR(__xludf.DUMMYFUNCTION("IFERROR(FILTER('Data Entry_BD'!$V$6:$V1231, 'Data Entry_BD'!$A$6:$A1231 = $E$4, 'Data Entry_BD'!$D$6:$D1231 = E$10), ""—"")"),0.0)</f>
        <v>0</v>
      </c>
      <c r="F35" s="264">
        <f>IFERROR(__xludf.DUMMYFUNCTION("IFERROR(FILTER('Data Entry_BD'!$V$6:$V1231, 'Data Entry_BD'!$A$6:$A1231 = $E$4, 'Data Entry_BD'!$D$6:$D1231 = F$10), ""—"")"),0.0)</f>
        <v>0</v>
      </c>
      <c r="G35" s="265">
        <f>IFERROR(__xludf.DUMMYFUNCTION("IFERROR(FILTER('Data Entry_BD'!$V$6:$V1231, 'Data Entry_BD'!$A$6:$A1231 = $E$4, 'Data Entry_BD'!$D$6:$D1231 = G$10), ""—"")"),0.0)</f>
        <v>0</v>
      </c>
      <c r="H35" s="239"/>
      <c r="I35" s="239"/>
      <c r="J35" s="239"/>
      <c r="K35" s="239"/>
      <c r="L35" s="239"/>
      <c r="M35" s="239"/>
      <c r="N35" s="241"/>
      <c r="O35" s="241"/>
      <c r="P35" s="241"/>
      <c r="Q35" s="241"/>
      <c r="R35" s="241"/>
      <c r="S35" s="241"/>
      <c r="T35" s="241"/>
      <c r="U35" s="241"/>
      <c r="V35" s="241"/>
      <c r="W35" s="241"/>
      <c r="X35" s="241"/>
      <c r="Y35" s="241"/>
      <c r="Z35" s="241"/>
      <c r="AA35" s="241"/>
    </row>
    <row r="36" ht="15.75" customHeight="1">
      <c r="A36" s="214"/>
      <c r="B36" s="269" t="s">
        <v>515</v>
      </c>
      <c r="C36" s="42">
        <f>IFERROR(__xludf.DUMMYFUNCTION("IFERROR(FILTER('Data Entry_BD'!$W$6:$W1231, 'Data Entry_BD'!$A$6:$A1231 = $E$4, 'Data Entry_BD'!$D$6:$D1231 = C$10), ""—"")"),0.0)</f>
        <v>0</v>
      </c>
      <c r="D36" s="42">
        <f>IFERROR(__xludf.DUMMYFUNCTION("IFERROR(FILTER('Data Entry_BD'!$W$6:$W1231, 'Data Entry_BD'!$A$6:$A1231 = $E$4, 'Data Entry_BD'!$D$6:$D1231 = D$10), ""—"")"),0.0)</f>
        <v>0</v>
      </c>
      <c r="E36" s="42">
        <f>IFERROR(__xludf.DUMMYFUNCTION("IFERROR(FILTER('Data Entry_BD'!$W$6:$W1231, 'Data Entry_BD'!$A$6:$A1231 = $E$4, 'Data Entry_BD'!$D$6:$D1231 = E$10), ""—"")"),0.0)</f>
        <v>0</v>
      </c>
      <c r="F36" s="264">
        <f>IFERROR(__xludf.DUMMYFUNCTION("IFERROR(FILTER('Data Entry_BD'!$W$6:$W1231, 'Data Entry_BD'!$A$6:$A1231 = $E$4, 'Data Entry_BD'!$D$6:$D1231 = F$10), ""—"")"),0.0)</f>
        <v>0</v>
      </c>
      <c r="G36" s="265">
        <f>IFERROR(__xludf.DUMMYFUNCTION("IFERROR(FILTER('Data Entry_BD'!$W$6:$W1231, 'Data Entry_BD'!$A$6:$A1231 = $E$4, 'Data Entry_BD'!$D$6:$D1231 = G$10), ""—"")"),0.0)</f>
        <v>0</v>
      </c>
      <c r="H36" s="239"/>
      <c r="I36" s="239"/>
      <c r="J36" s="239"/>
      <c r="K36" s="239"/>
      <c r="L36" s="239"/>
      <c r="M36" s="239"/>
      <c r="N36" s="241"/>
      <c r="O36" s="241"/>
      <c r="P36" s="241"/>
      <c r="Q36" s="241"/>
      <c r="R36" s="241"/>
      <c r="S36" s="241"/>
      <c r="T36" s="241"/>
      <c r="U36" s="241"/>
      <c r="V36" s="241"/>
      <c r="W36" s="241"/>
      <c r="X36" s="241"/>
      <c r="Y36" s="241"/>
      <c r="Z36" s="241"/>
      <c r="AA36" s="241"/>
    </row>
    <row r="37" ht="15.75" customHeight="1">
      <c r="A37" s="214"/>
      <c r="B37" s="269" t="s">
        <v>516</v>
      </c>
      <c r="C37" s="42">
        <f>IFERROR(__xludf.DUMMYFUNCTION("IFERROR(FILTER('Data Entry_BD'!$X$6:$X1231, 'Data Entry_BD'!$A$6:$A1231 = $E$4, 'Data Entry_BD'!$D$6:$D1231 = C$10), ""—"")"),0.0)</f>
        <v>0</v>
      </c>
      <c r="D37" s="42">
        <f>IFERROR(__xludf.DUMMYFUNCTION("IFERROR(FILTER('Data Entry_BD'!$X$6:$X1231, 'Data Entry_BD'!$A$6:$A1231 = $E$4, 'Data Entry_BD'!$D$6:$D1231 = D$10), ""—"")"),0.0)</f>
        <v>0</v>
      </c>
      <c r="E37" s="42">
        <f>IFERROR(__xludf.DUMMYFUNCTION("IFERROR(FILTER('Data Entry_BD'!$X$6:$X1231, 'Data Entry_BD'!$A$6:$A1231 = $E$4, 'Data Entry_BD'!$D$6:$D1231 = E$10), ""—"")"),2.0)</f>
        <v>2</v>
      </c>
      <c r="F37" s="264">
        <f>IFERROR(__xludf.DUMMYFUNCTION("IFERROR(FILTER('Data Entry_BD'!$X$6:$X1231, 'Data Entry_BD'!$A$6:$A1231 = $E$4, 'Data Entry_BD'!$D$6:$D1231 = F$10), ""—"")"),0.0)</f>
        <v>0</v>
      </c>
      <c r="G37" s="265">
        <f>IFERROR(__xludf.DUMMYFUNCTION("IFERROR(FILTER('Data Entry_BD'!$X$6:$X1231, 'Data Entry_BD'!$A$6:$A1231 = $E$4, 'Data Entry_BD'!$D$6:$D1231 = G$10), ""—"")"),0.0)</f>
        <v>0</v>
      </c>
      <c r="H37" s="239"/>
      <c r="I37" s="239"/>
      <c r="J37" s="239"/>
      <c r="K37" s="239"/>
      <c r="L37" s="239"/>
      <c r="M37" s="239"/>
      <c r="N37" s="241"/>
      <c r="O37" s="241"/>
      <c r="P37" s="241"/>
      <c r="Q37" s="241"/>
      <c r="R37" s="241"/>
      <c r="S37" s="241"/>
      <c r="T37" s="241"/>
      <c r="U37" s="241"/>
      <c r="V37" s="241"/>
      <c r="W37" s="241"/>
      <c r="X37" s="241"/>
      <c r="Y37" s="241"/>
      <c r="Z37" s="241"/>
      <c r="AA37" s="241"/>
    </row>
    <row r="38" ht="15.75" customHeight="1">
      <c r="A38" s="214"/>
      <c r="B38" s="269" t="s">
        <v>517</v>
      </c>
      <c r="C38" s="42">
        <f>IFERROR(__xludf.DUMMYFUNCTION("IFERROR(FILTER('Data Entry_BD'!$Y$6:$Y1231, 'Data Entry_BD'!$A$6:$A1231 = $E$4, 'Data Entry_BD'!$D$6:$D1231 = C$10), ""—"")"),0.0)</f>
        <v>0</v>
      </c>
      <c r="D38" s="42">
        <f>IFERROR(__xludf.DUMMYFUNCTION("IFERROR(FILTER('Data Entry_BD'!$Y$6:$Y1231, 'Data Entry_BD'!$A$6:$A1231 = $E$4, 'Data Entry_BD'!$D$6:$D1231 = D$10), ""—"")"),0.0)</f>
        <v>0</v>
      </c>
      <c r="E38" s="42">
        <f>IFERROR(__xludf.DUMMYFUNCTION("IFERROR(FILTER('Data Entry_BD'!$Y$6:$Y1231, 'Data Entry_BD'!$A$6:$A1231 = $E$4, 'Data Entry_BD'!$D$6:$D1231 = E$10), ""—"")"),0.0)</f>
        <v>0</v>
      </c>
      <c r="F38" s="264">
        <f>IFERROR(__xludf.DUMMYFUNCTION("IFERROR(FILTER('Data Entry_BD'!$Y$6:$Y1231, 'Data Entry_BD'!$A$6:$A1231 = $E$4, 'Data Entry_BD'!$D$6:$D1231 = F$10), ""—"")"),0.0)</f>
        <v>0</v>
      </c>
      <c r="G38" s="265">
        <f>IFERROR(__xludf.DUMMYFUNCTION("IFERROR(FILTER('Data Entry_BD'!$Y$6:$Y1231, 'Data Entry_BD'!$A$6:$A1231 = $E$4, 'Data Entry_BD'!$D$6:$D1231 = G$10), ""—"")"),0.0)</f>
        <v>0</v>
      </c>
      <c r="H38" s="239"/>
      <c r="I38" s="239"/>
      <c r="J38" s="239"/>
      <c r="K38" s="239"/>
      <c r="L38" s="239"/>
      <c r="M38" s="239"/>
      <c r="N38" s="241"/>
      <c r="O38" s="241"/>
      <c r="P38" s="241"/>
      <c r="Q38" s="241"/>
      <c r="R38" s="241"/>
      <c r="S38" s="241"/>
      <c r="T38" s="241"/>
      <c r="U38" s="241"/>
      <c r="V38" s="241"/>
      <c r="W38" s="241"/>
      <c r="X38" s="241"/>
      <c r="Y38" s="241"/>
      <c r="Z38" s="241"/>
      <c r="AA38" s="241"/>
    </row>
    <row r="39" ht="13.5" customHeight="1">
      <c r="A39" s="214"/>
      <c r="B39" s="270" t="s">
        <v>496</v>
      </c>
      <c r="C39" s="271"/>
      <c r="D39" s="271"/>
      <c r="E39" s="271"/>
      <c r="F39" s="271"/>
      <c r="G39" s="251"/>
      <c r="H39" s="239"/>
      <c r="I39" s="239"/>
      <c r="J39" s="239"/>
      <c r="K39" s="239"/>
      <c r="L39" s="239"/>
      <c r="M39" s="239"/>
      <c r="N39" s="241"/>
      <c r="O39" s="241"/>
      <c r="P39" s="241"/>
      <c r="Q39" s="241"/>
      <c r="R39" s="241"/>
      <c r="S39" s="241"/>
      <c r="T39" s="241"/>
      <c r="U39" s="241"/>
      <c r="V39" s="241"/>
      <c r="W39" s="241"/>
      <c r="X39" s="241"/>
      <c r="Y39" s="241"/>
      <c r="Z39" s="241"/>
      <c r="AA39" s="241"/>
    </row>
    <row r="40" ht="15.75" customHeight="1">
      <c r="A40" s="214"/>
      <c r="B40" s="38" t="s">
        <v>50</v>
      </c>
      <c r="C40" s="42">
        <f>IFERROR(__xludf.DUMMYFUNCTION("IFERROR(FILTER('Data Entry_BD'!$Z$6:$Z1231, 'Data Entry_BD'!$A$6:$A1231 = $E$4, 'Data Entry_BD'!$D$6:$D1231 = C$10), ""—"")"),0.0)</f>
        <v>0</v>
      </c>
      <c r="D40" s="42">
        <f>IFERROR(__xludf.DUMMYFUNCTION("IFERROR(FILTER('Data Entry_BD'!$Z$6:$Z1231, 'Data Entry_BD'!$A$6:$A1231 = $E$4, 'Data Entry_BD'!$D$6:$D1231 = D$10), ""—"")"),0.0)</f>
        <v>0</v>
      </c>
      <c r="E40" s="42">
        <f>IFERROR(__xludf.DUMMYFUNCTION("IFERROR(FILTER('Data Entry_BD'!$Z$6:$Z1231, 'Data Entry_BD'!$A$6:$A1231 = $E$4, 'Data Entry_BD'!$D$6:$D1231 = E$10), ""—"")"),1.0)</f>
        <v>1</v>
      </c>
      <c r="F40" s="264">
        <f>IFERROR(__xludf.DUMMYFUNCTION("IFERROR(FILTER('Data Entry_BD'!$Z$6:$Z1231, 'Data Entry_BD'!$A$6:$A1231 = $E$4, 'Data Entry_BD'!$D$6:$D1231 = F$10), ""—"")"),0.0)</f>
        <v>0</v>
      </c>
      <c r="G40" s="265">
        <f>IFERROR(__xludf.DUMMYFUNCTION("IFERROR(FILTER('Data Entry_BD'!$Z$6:$Z1231, 'Data Entry_BD'!$A$6:$A1231 = $E$4, 'Data Entry_BD'!$D$6:$D1231 = G$10), ""—"")"),0.0)</f>
        <v>0</v>
      </c>
      <c r="H40" s="239"/>
      <c r="I40" s="239"/>
      <c r="J40" s="239"/>
      <c r="K40" s="239"/>
      <c r="L40" s="239"/>
      <c r="M40" s="239"/>
      <c r="N40" s="241"/>
      <c r="O40" s="241"/>
      <c r="P40" s="241"/>
      <c r="Q40" s="241"/>
      <c r="R40" s="241"/>
      <c r="S40" s="241"/>
      <c r="T40" s="241"/>
      <c r="U40" s="241"/>
      <c r="V40" s="241"/>
      <c r="W40" s="241"/>
      <c r="X40" s="241"/>
      <c r="Y40" s="241"/>
      <c r="Z40" s="241"/>
      <c r="AA40" s="241"/>
    </row>
    <row r="41" ht="15.75" customHeight="1">
      <c r="A41" s="214"/>
      <c r="B41" s="40" t="s">
        <v>49</v>
      </c>
      <c r="C41" s="42">
        <f>IFERROR(__xludf.DUMMYFUNCTION("IFERROR(FILTER('Data Entry_BD'!$AA$6:$AA1231, 'Data Entry_BD'!$A$6:$A1231 = $E$4, 'Data Entry_BD'!$D$6:$D1231 = C$10), ""—"")"),0.0)</f>
        <v>0</v>
      </c>
      <c r="D41" s="42">
        <f>IFERROR(__xludf.DUMMYFUNCTION("IFERROR(FILTER('Data Entry_BD'!$AA$6:$AA1231, 'Data Entry_BD'!$A$6:$A1231 = $E$4, 'Data Entry_BD'!$D$6:$D1231 = D$10), ""—"")"),0.0)</f>
        <v>0</v>
      </c>
      <c r="E41" s="42">
        <f>IFERROR(__xludf.DUMMYFUNCTION("IFERROR(FILTER('Data Entry_BD'!$AA$6:$AA1231, 'Data Entry_BD'!$A$6:$A1231 = $E$4, 'Data Entry_BD'!$D$6:$D1231 = E$10), ""—"")"),0.0)</f>
        <v>0</v>
      </c>
      <c r="F41" s="264">
        <f>IFERROR(__xludf.DUMMYFUNCTION("IFERROR(FILTER('Data Entry_BD'!$AA$6:$AA1231, 'Data Entry_BD'!$A$6:$A1231 = $E$4, 'Data Entry_BD'!$D$6:$D1231 = F$10), ""—"")"),0.0)</f>
        <v>0</v>
      </c>
      <c r="G41" s="265">
        <f>IFERROR(__xludf.DUMMYFUNCTION("IFERROR(FILTER('Data Entry_BD'!$AA$6:$AA1231, 'Data Entry_BD'!$A$6:$A1231 = $E$4, 'Data Entry_BD'!$D$6:$D1231 = G$10), ""—"")"),0.0)</f>
        <v>0</v>
      </c>
      <c r="H41" s="239"/>
      <c r="I41" s="239"/>
      <c r="J41" s="239"/>
      <c r="K41" s="239"/>
      <c r="L41" s="239"/>
      <c r="M41" s="239"/>
      <c r="N41" s="241"/>
      <c r="O41" s="241"/>
      <c r="P41" s="241"/>
      <c r="Q41" s="241"/>
      <c r="R41" s="241"/>
      <c r="S41" s="241"/>
      <c r="T41" s="241"/>
      <c r="U41" s="241"/>
      <c r="V41" s="241"/>
      <c r="W41" s="241"/>
      <c r="X41" s="241"/>
      <c r="Y41" s="241"/>
      <c r="Z41" s="241"/>
      <c r="AA41" s="241"/>
    </row>
    <row r="42" ht="15.75" customHeight="1">
      <c r="A42" s="214"/>
      <c r="B42" s="38" t="s">
        <v>48</v>
      </c>
      <c r="C42" s="42">
        <f>IFERROR(__xludf.DUMMYFUNCTION("IFERROR(FILTER('Data Entry_BD'!$AB$6:$AB1231, 'Data Entry_BD'!$A$6:$A1231 = $E$4, 'Data Entry_BD'!$D$6:$D1231 = C$10), ""—"")"),33.0)</f>
        <v>33</v>
      </c>
      <c r="D42" s="42">
        <f>IFERROR(__xludf.DUMMYFUNCTION("IFERROR(FILTER('Data Entry_BD'!$AB$6:$AB1231, 'Data Entry_BD'!$A$6:$A1231 = $E$4, 'Data Entry_BD'!$D$6:$D1231 = D$10), ""—"")"),22.0)</f>
        <v>22</v>
      </c>
      <c r="E42" s="42">
        <f>IFERROR(__xludf.DUMMYFUNCTION("IFERROR(FILTER('Data Entry_BD'!$AB$6:$AB1231, 'Data Entry_BD'!$A$6:$A1231 = $E$4, 'Data Entry_BD'!$D$6:$D1231 = E$10), ""—"")"),8.0)</f>
        <v>8</v>
      </c>
      <c r="F42" s="264">
        <f>IFERROR(__xludf.DUMMYFUNCTION("IFERROR(FILTER('Data Entry_BD'!$AB$6:$AB1231, 'Data Entry_BD'!$A$6:$A1231 = $E$4, 'Data Entry_BD'!$D$6:$D1231 = F$10), ""—"")"),42.0)</f>
        <v>42</v>
      </c>
      <c r="G42" s="265">
        <f>IFERROR(__xludf.DUMMYFUNCTION("IFERROR(FILTER('Data Entry_BD'!$AB$6:$AB1231, 'Data Entry_BD'!$A$6:$A1231 = $E$4, 'Data Entry_BD'!$D$6:$D1231 = G$10), ""—"")"),13.0)</f>
        <v>13</v>
      </c>
      <c r="H42" s="239"/>
      <c r="I42" s="239"/>
      <c r="J42" s="239"/>
      <c r="K42" s="239"/>
      <c r="L42" s="239"/>
      <c r="M42" s="239"/>
      <c r="N42" s="241"/>
      <c r="O42" s="241"/>
      <c r="P42" s="241"/>
      <c r="Q42" s="241"/>
      <c r="R42" s="241"/>
      <c r="S42" s="241"/>
      <c r="T42" s="241"/>
      <c r="U42" s="241"/>
      <c r="V42" s="241"/>
      <c r="W42" s="241"/>
      <c r="X42" s="241"/>
      <c r="Y42" s="241"/>
      <c r="Z42" s="241"/>
      <c r="AA42" s="241"/>
    </row>
    <row r="43" ht="13.5" customHeight="1">
      <c r="A43" s="214"/>
      <c r="B43" s="35" t="s">
        <v>51</v>
      </c>
      <c r="C43" s="271"/>
      <c r="D43" s="271"/>
      <c r="E43" s="271"/>
      <c r="F43" s="271"/>
      <c r="G43" s="251"/>
      <c r="H43" s="240" t="str">
        <f t="array" ref="H43:H48">TRANSPOSE(B14:G14)</f>
        <v>Sample Date </v>
      </c>
      <c r="I43" s="240" t="str">
        <f t="array" ref="I43:K48">TRANSPOSE(B40:G42)</f>
        <v>K (Potassium)</v>
      </c>
      <c r="J43" s="240" t="s">
        <v>49</v>
      </c>
      <c r="K43" s="240" t="s">
        <v>48</v>
      </c>
      <c r="L43" s="239"/>
      <c r="M43" s="239"/>
      <c r="N43" s="241"/>
      <c r="O43" s="241"/>
      <c r="P43" s="241"/>
      <c r="Q43" s="241"/>
      <c r="R43" s="241"/>
      <c r="S43" s="241"/>
      <c r="T43" s="241"/>
      <c r="U43" s="241"/>
      <c r="V43" s="241"/>
      <c r="W43" s="241"/>
      <c r="X43" s="241"/>
      <c r="Y43" s="241"/>
      <c r="Z43" s="241"/>
      <c r="AA43" s="241"/>
    </row>
    <row r="44" ht="15.75" customHeight="1">
      <c r="A44" s="214"/>
      <c r="B44" s="269" t="s">
        <v>520</v>
      </c>
      <c r="C44" s="42">
        <f>IFERROR(__xludf.DUMMYFUNCTION("IFERROR(FILTER('Data Entry_BD'!$AC$6:$AC1231, 'Data Entry_BD'!$A$6:$A1231 = $E$4, 'Data Entry_BD'!$D$6:$D1231 = C$10), ""—"")"),16.0)</f>
        <v>16</v>
      </c>
      <c r="D44" s="42">
        <f>IFERROR(__xludf.DUMMYFUNCTION("IFERROR(FILTER('Data Entry_BD'!$AC$6:$AC1231, 'Data Entry_BD'!$A$6:$A1231 = $E$4, 'Data Entry_BD'!$D$6:$D1231 = D$10), ""—"")"),4.0)</f>
        <v>4</v>
      </c>
      <c r="E44" s="42">
        <f>IFERROR(__xludf.DUMMYFUNCTION("IFERROR(FILTER('Data Entry_BD'!$AC$6:$AC1231, 'Data Entry_BD'!$A$6:$A1231 = $E$4, 'Data Entry_BD'!$D$6:$D1231 = E$10), ""—"")"),8.0)</f>
        <v>8</v>
      </c>
      <c r="F44" s="264">
        <f>IFERROR(__xludf.DUMMYFUNCTION("IFERROR(FILTER('Data Entry_BD'!$AC$6:$AC1231, 'Data Entry_BD'!$A$6:$A1231 = $E$4, 'Data Entry_BD'!$D$6:$D1231 = F$10), ""—"")"),30.0)</f>
        <v>30</v>
      </c>
      <c r="G44" s="265">
        <f>IFERROR(__xludf.DUMMYFUNCTION("IFERROR(FILTER('Data Entry_BD'!$AC$6:$AC1231, 'Data Entry_BD'!$A$6:$A1231 = $E$4, 'Data Entry_BD'!$D$6:$D1231 = G$10), ""—"")"),18.0)</f>
        <v>18</v>
      </c>
      <c r="H44" s="272" t="s">
        <v>973</v>
      </c>
      <c r="I44" s="273">
        <v>0.0</v>
      </c>
      <c r="J44" s="273">
        <v>0.0</v>
      </c>
      <c r="K44" s="273">
        <v>33.0</v>
      </c>
      <c r="L44" s="239"/>
      <c r="M44" s="239"/>
      <c r="N44" s="241"/>
      <c r="O44" s="241"/>
      <c r="P44" s="241"/>
      <c r="Q44" s="241"/>
      <c r="R44" s="241"/>
      <c r="S44" s="241"/>
      <c r="T44" s="241"/>
      <c r="U44" s="241"/>
      <c r="V44" s="241"/>
      <c r="W44" s="241"/>
      <c r="X44" s="241"/>
      <c r="Y44" s="241"/>
      <c r="Z44" s="241"/>
      <c r="AA44" s="241"/>
    </row>
    <row r="45" ht="15.75" customHeight="1">
      <c r="A45" s="214"/>
      <c r="B45" s="263" t="s">
        <v>521</v>
      </c>
      <c r="C45" s="42">
        <f>IFERROR(__xludf.DUMMYFUNCTION("IFERROR(FILTER('Data Entry_BD'!$AD$6:$AD1231, 'Data Entry_BD'!$A$6:$A1231 = $E$4, 'Data Entry_BD'!$D$6:$D1231 = C$10), ""—"")"),0.0)</f>
        <v>0</v>
      </c>
      <c r="D45" s="42">
        <f>IFERROR(__xludf.DUMMYFUNCTION("IFERROR(FILTER('Data Entry_BD'!$AD$6:$AD1231, 'Data Entry_BD'!$A$6:$A1231 = $E$4, 'Data Entry_BD'!$D$6:$D1231 = D$10), ""—"")"),0.0)</f>
        <v>0</v>
      </c>
      <c r="E45" s="42">
        <f>IFERROR(__xludf.DUMMYFUNCTION("IFERROR(FILTER('Data Entry_BD'!$AD$6:$AD1231, 'Data Entry_BD'!$A$6:$A1231 = $E$4, 'Data Entry_BD'!$D$6:$D1231 = E$10), ""—"")"),0.0)</f>
        <v>0</v>
      </c>
      <c r="F45" s="264">
        <f>IFERROR(__xludf.DUMMYFUNCTION("IFERROR(FILTER('Data Entry_BD'!$AD$6:$AD1231, 'Data Entry_BD'!$A$6:$A1231 = $E$4, 'Data Entry_BD'!$D$6:$D1231 = F$10), ""—"")"),0.0)</f>
        <v>0</v>
      </c>
      <c r="G45" s="265">
        <f>IFERROR(__xludf.DUMMYFUNCTION("IFERROR(FILTER('Data Entry_BD'!$AD$6:$AD1231, 'Data Entry_BD'!$A$6:$A1231 = $E$4, 'Data Entry_BD'!$D$6:$D1231 = G$10), ""—"")"),0.0)</f>
        <v>0</v>
      </c>
      <c r="H45" s="272" t="s">
        <v>974</v>
      </c>
      <c r="I45" s="273">
        <v>0.0</v>
      </c>
      <c r="J45" s="273">
        <v>0.0</v>
      </c>
      <c r="K45" s="273">
        <v>22.0</v>
      </c>
      <c r="L45" s="239"/>
      <c r="M45" s="239"/>
      <c r="N45" s="241"/>
      <c r="O45" s="241"/>
      <c r="P45" s="241"/>
      <c r="Q45" s="241"/>
      <c r="R45" s="241"/>
      <c r="S45" s="241"/>
      <c r="T45" s="241"/>
      <c r="U45" s="241"/>
      <c r="V45" s="241"/>
      <c r="W45" s="241"/>
      <c r="X45" s="241"/>
      <c r="Y45" s="241"/>
      <c r="Z45" s="241"/>
      <c r="AA45" s="241"/>
    </row>
    <row r="46" ht="15.75" customHeight="1">
      <c r="A46" s="214"/>
      <c r="B46" s="40" t="s">
        <v>54</v>
      </c>
      <c r="C46" s="42">
        <f>IFERROR(__xludf.DUMMYFUNCTION("IFERROR(FILTER('Data Entry_BD'!$AE$6:$AE1231, 'Data Entry_BD'!$A$6:$A1231 = $E$4, 'Data Entry_BD'!$D$6:$D1231 = C$10), ""—"")"),4.0)</f>
        <v>4</v>
      </c>
      <c r="D46" s="42">
        <f>IFERROR(__xludf.DUMMYFUNCTION("IFERROR(FILTER('Data Entry_BD'!$AE$6:$AE1231, 'Data Entry_BD'!$A$6:$A1231 = $E$4, 'Data Entry_BD'!$D$6:$D1231 = D$10), ""—"")"),21.0)</f>
        <v>21</v>
      </c>
      <c r="E46" s="42">
        <f>IFERROR(__xludf.DUMMYFUNCTION("IFERROR(FILTER('Data Entry_BD'!$AE$6:$AE1231, 'Data Entry_BD'!$A$6:$A1231 = $E$4, 'Data Entry_BD'!$D$6:$D1231 = E$10), ""—"")"),46.0)</f>
        <v>46</v>
      </c>
      <c r="F46" s="264">
        <f>IFERROR(__xludf.DUMMYFUNCTION("IFERROR(FILTER('Data Entry_BD'!$AE$6:$AE1231, 'Data Entry_BD'!$A$6:$A1231 = $E$4, 'Data Entry_BD'!$D$6:$D1231 = F$10), ""—"")"),37.0)</f>
        <v>37</v>
      </c>
      <c r="G46" s="265">
        <f>IFERROR(__xludf.DUMMYFUNCTION("IFERROR(FILTER('Data Entry_BD'!$AE$6:$AE1231, 'Data Entry_BD'!$A$6:$A1231 = $E$4, 'Data Entry_BD'!$D$6:$D1231 = G$10), ""—"")"),5.0)</f>
        <v>5</v>
      </c>
      <c r="H46" s="272" t="s">
        <v>975</v>
      </c>
      <c r="I46" s="273">
        <v>1.0</v>
      </c>
      <c r="J46" s="273">
        <v>0.0</v>
      </c>
      <c r="K46" s="273">
        <v>8.0</v>
      </c>
      <c r="L46" s="239"/>
      <c r="M46" s="239"/>
      <c r="N46" s="241"/>
      <c r="O46" s="241"/>
      <c r="P46" s="241"/>
      <c r="Q46" s="241"/>
      <c r="R46" s="241"/>
      <c r="S46" s="241"/>
      <c r="T46" s="241"/>
      <c r="U46" s="241"/>
      <c r="V46" s="241"/>
      <c r="W46" s="241"/>
      <c r="X46" s="241"/>
      <c r="Y46" s="241"/>
      <c r="Z46" s="241"/>
      <c r="AA46" s="241"/>
    </row>
    <row r="47" ht="15.75" customHeight="1">
      <c r="A47" s="214"/>
      <c r="B47" s="269" t="s">
        <v>523</v>
      </c>
      <c r="C47" s="42">
        <f>IFERROR(__xludf.DUMMYFUNCTION("IFERROR(FILTER('Data Entry_BD'!$AF$6:$AF1231, 'Data Entry_BD'!$A$6:$A1231 = $E$4, 'Data Entry_BD'!$D$6:$D1231 = C$10), ""—"")"),2.0)</f>
        <v>2</v>
      </c>
      <c r="D47" s="42">
        <f>IFERROR(__xludf.DUMMYFUNCTION("IFERROR(FILTER('Data Entry_BD'!$AF$6:$AF1231, 'Data Entry_BD'!$A$6:$A1231 = $E$4, 'Data Entry_BD'!$D$6:$D1231 = D$10), ""—"")"),0.0)</f>
        <v>0</v>
      </c>
      <c r="E47" s="42">
        <f>IFERROR(__xludf.DUMMYFUNCTION("IFERROR(FILTER('Data Entry_BD'!$AF$6:$AF1231, 'Data Entry_BD'!$A$6:$A1231 = $E$4, 'Data Entry_BD'!$D$6:$D1231 = E$10), ""—"")"),2.0)</f>
        <v>2</v>
      </c>
      <c r="F47" s="264">
        <f>IFERROR(__xludf.DUMMYFUNCTION("IFERROR(FILTER('Data Entry_BD'!$AF$6:$AF1231, 'Data Entry_BD'!$A$6:$A1231 = $E$4, 'Data Entry_BD'!$D$6:$D1231 = F$10), ""—"")"),2.0)</f>
        <v>2</v>
      </c>
      <c r="G47" s="265">
        <f>IFERROR(__xludf.DUMMYFUNCTION("IFERROR(FILTER('Data Entry_BD'!$AF$6:$AF1231, 'Data Entry_BD'!$A$6:$A1231 = $E$4, 'Data Entry_BD'!$D$6:$D1231 = G$10), ""—"")"),2.0)</f>
        <v>2</v>
      </c>
      <c r="H47" s="272" t="s">
        <v>976</v>
      </c>
      <c r="I47" s="273">
        <v>0.0</v>
      </c>
      <c r="J47" s="273">
        <v>0.0</v>
      </c>
      <c r="K47" s="273">
        <v>42.0</v>
      </c>
      <c r="L47" s="239"/>
      <c r="M47" s="239"/>
      <c r="N47" s="241"/>
      <c r="O47" s="241"/>
      <c r="P47" s="241"/>
      <c r="Q47" s="241"/>
      <c r="R47" s="241"/>
      <c r="S47" s="241"/>
      <c r="T47" s="241"/>
      <c r="U47" s="241"/>
      <c r="V47" s="241"/>
      <c r="W47" s="241"/>
      <c r="X47" s="241"/>
      <c r="Y47" s="241"/>
      <c r="Z47" s="241"/>
      <c r="AA47" s="241"/>
    </row>
    <row r="48" ht="15.75" customHeight="1">
      <c r="A48" s="214"/>
      <c r="B48" s="40" t="s">
        <v>52</v>
      </c>
      <c r="C48" s="42">
        <f>IFERROR(__xludf.DUMMYFUNCTION("IFERROR(FILTER('Data Entry_BD'!$AG$6:$AG1231, 'Data Entry_BD'!$A$6:$A1231 = $E$4, 'Data Entry_BD'!$D$6:$D1231 = C$10), ""—"")"),563.0)</f>
        <v>563</v>
      </c>
      <c r="D48" s="42">
        <f>IFERROR(__xludf.DUMMYFUNCTION("IFERROR(FILTER('Data Entry_BD'!$AG$6:$AG1231, 'Data Entry_BD'!$A$6:$A1231 = $E$4, 'Data Entry_BD'!$D$6:$D1231 = D$10), ""—"")"),421.0)</f>
        <v>421</v>
      </c>
      <c r="E48" s="42">
        <f>IFERROR(__xludf.DUMMYFUNCTION("IFERROR(FILTER('Data Entry_BD'!$AG$6:$AG1231, 'Data Entry_BD'!$A$6:$A1231 = $E$4, 'Data Entry_BD'!$D$6:$D1231 = E$10), ""—"")"),517.0)</f>
        <v>517</v>
      </c>
      <c r="F48" s="264">
        <f>IFERROR(__xludf.DUMMYFUNCTION("IFERROR(FILTER('Data Entry_BD'!$AG$6:$AG1231, 'Data Entry_BD'!$A$6:$A1231 = $E$4, 'Data Entry_BD'!$D$6:$D1231 = F$10), ""—"")"),630.0)</f>
        <v>630</v>
      </c>
      <c r="G48" s="265">
        <f>IFERROR(__xludf.DUMMYFUNCTION("IFERROR(FILTER('Data Entry_BD'!$AG$6:$AG1231, 'Data Entry_BD'!$A$6:$A1231 = $E$4, 'Data Entry_BD'!$D$6:$D1231 = G$10), ""—"")"),496.0)</f>
        <v>496</v>
      </c>
      <c r="H48" s="272" t="s">
        <v>977</v>
      </c>
      <c r="I48" s="273">
        <v>0.0</v>
      </c>
      <c r="J48" s="273">
        <v>0.0</v>
      </c>
      <c r="K48" s="273">
        <v>13.0</v>
      </c>
      <c r="L48" s="239"/>
      <c r="M48" s="239"/>
      <c r="N48" s="241"/>
      <c r="O48" s="241"/>
      <c r="P48" s="241"/>
      <c r="Q48" s="241"/>
      <c r="R48" s="241"/>
      <c r="S48" s="241"/>
      <c r="T48" s="241"/>
      <c r="U48" s="241"/>
      <c r="V48" s="241"/>
      <c r="W48" s="241"/>
      <c r="X48" s="241"/>
      <c r="Y48" s="241"/>
      <c r="Z48" s="241"/>
      <c r="AA48" s="241"/>
    </row>
    <row r="49" ht="15.75" customHeight="1">
      <c r="A49" s="214"/>
      <c r="B49" s="38" t="s">
        <v>53</v>
      </c>
      <c r="C49" s="42">
        <f>IFERROR(__xludf.DUMMYFUNCTION("IFERROR(FILTER('Data Entry_BD'!$AH$6:$AH1231, 'Data Entry_BD'!$A$6:$A1231 = $E$4, 'Data Entry_BD'!$D$6:$D1231 = C$10), ""—"")"),24.0)</f>
        <v>24</v>
      </c>
      <c r="D49" s="42">
        <f>IFERROR(__xludf.DUMMYFUNCTION("IFERROR(FILTER('Data Entry_BD'!$AH$6:$AH1231, 'Data Entry_BD'!$A$6:$A1231 = $E$4, 'Data Entry_BD'!$D$6:$D1231 = D$10), ""—"")"),5.0)</f>
        <v>5</v>
      </c>
      <c r="E49" s="42">
        <f>IFERROR(__xludf.DUMMYFUNCTION("IFERROR(FILTER('Data Entry_BD'!$AH$6:$AH1231, 'Data Entry_BD'!$A$6:$A1231 = $E$4, 'Data Entry_BD'!$D$6:$D1231 = E$10), ""—"")"),28.0)</f>
        <v>28</v>
      </c>
      <c r="F49" s="264">
        <f>IFERROR(__xludf.DUMMYFUNCTION("IFERROR(FILTER('Data Entry_BD'!$AH$6:$AH1231, 'Data Entry_BD'!$A$6:$A1231 = $E$4, 'Data Entry_BD'!$D$6:$D1231 = F$10), ""—"")"),13.0)</f>
        <v>13</v>
      </c>
      <c r="G49" s="274">
        <f>IFERROR(__xludf.DUMMYFUNCTION("IFERROR(FILTER('Data Entry_BD'!$AH$6:$AH1231, 'Data Entry_BD'!$A$6:$A1231 = $E$4, 'Data Entry_BD'!$D$6:$D1231 = G$10), ""—"")"),5.0)</f>
        <v>5</v>
      </c>
      <c r="H49" s="239"/>
      <c r="I49" s="239"/>
      <c r="J49" s="239"/>
      <c r="K49" s="239"/>
      <c r="L49" s="239"/>
      <c r="M49" s="239"/>
      <c r="N49" s="241"/>
      <c r="O49" s="241"/>
      <c r="P49" s="241"/>
      <c r="Q49" s="241"/>
      <c r="R49" s="241"/>
      <c r="S49" s="241"/>
      <c r="T49" s="241"/>
      <c r="U49" s="241"/>
      <c r="V49" s="241"/>
      <c r="W49" s="241"/>
      <c r="X49" s="241"/>
      <c r="Y49" s="241"/>
      <c r="Z49" s="241"/>
      <c r="AA49" s="241"/>
    </row>
    <row r="50" ht="15.0" customHeight="1">
      <c r="A50" s="214"/>
      <c r="B50" s="214"/>
      <c r="C50" s="214"/>
      <c r="D50" s="214"/>
      <c r="E50" s="214"/>
      <c r="F50" s="214"/>
      <c r="G50" s="214"/>
      <c r="H50" s="275"/>
      <c r="I50" s="275"/>
      <c r="J50" s="275"/>
      <c r="K50" s="275"/>
      <c r="L50" s="275"/>
      <c r="M50" s="275"/>
      <c r="N50" s="241"/>
      <c r="O50" s="241"/>
      <c r="P50" s="241"/>
      <c r="Q50" s="241"/>
      <c r="R50" s="241"/>
      <c r="S50" s="241"/>
      <c r="T50" s="241"/>
      <c r="U50" s="241"/>
      <c r="V50" s="241"/>
      <c r="W50" s="241"/>
      <c r="X50" s="241"/>
      <c r="Y50" s="241"/>
      <c r="Z50" s="241"/>
      <c r="AA50" s="241"/>
    </row>
    <row r="51" ht="7.5" customHeight="1">
      <c r="A51" s="214"/>
      <c r="B51" s="214"/>
      <c r="C51" s="214"/>
      <c r="D51" s="214"/>
      <c r="E51" s="214"/>
      <c r="F51" s="214"/>
      <c r="G51" s="214"/>
      <c r="H51" s="214"/>
      <c r="I51" s="214"/>
      <c r="J51" s="214"/>
      <c r="K51" s="214"/>
      <c r="L51" s="214"/>
      <c r="M51" s="214"/>
      <c r="N51" s="216"/>
      <c r="O51" s="216"/>
      <c r="P51" s="216"/>
      <c r="Q51" s="216"/>
      <c r="R51" s="216"/>
      <c r="S51" s="216"/>
      <c r="T51" s="216"/>
      <c r="U51" s="216"/>
      <c r="V51" s="216"/>
      <c r="W51" s="216"/>
      <c r="X51" s="216"/>
      <c r="Y51" s="216"/>
      <c r="Z51" s="216"/>
      <c r="AA51" s="216"/>
    </row>
    <row r="52" ht="19.5" customHeight="1">
      <c r="A52" s="214"/>
      <c r="B52" s="70" t="s">
        <v>82</v>
      </c>
      <c r="C52" s="31"/>
      <c r="D52" s="31"/>
      <c r="E52" s="31"/>
      <c r="F52" s="31"/>
      <c r="G52" s="31"/>
      <c r="H52" s="31"/>
      <c r="I52" s="31"/>
      <c r="J52" s="31"/>
      <c r="K52" s="31"/>
      <c r="L52" s="31"/>
      <c r="M52" s="32"/>
      <c r="N52" s="216"/>
      <c r="O52" s="216"/>
      <c r="P52" s="216"/>
      <c r="Q52" s="216"/>
      <c r="R52" s="216"/>
      <c r="S52" s="216"/>
      <c r="T52" s="216"/>
      <c r="U52" s="216"/>
      <c r="V52" s="216"/>
      <c r="W52" s="216"/>
      <c r="X52" s="216"/>
      <c r="Y52" s="216"/>
      <c r="Z52" s="216"/>
      <c r="AA52" s="216"/>
    </row>
    <row r="53" ht="19.5" customHeight="1">
      <c r="A53" s="214"/>
      <c r="B53" s="71" t="s">
        <v>83</v>
      </c>
      <c r="C53" s="72" t="str">
        <f>IFERROR(__xludf.DUMMYFUNCTION("IFERROR(FILTER('Data Entry_BD'!$AI$6:$AI1231, 'Data Entry_BD'!$A$6:$A1231 = $E$4, 'Data Entry_BD'!$D$6:$D1231 = G$10), ""—"")"),"Caution – Insufficient Sample Volume / Particle Count Elevated")</f>
        <v>Caution – Insufficient Sample Volume / Particle Count Elevated</v>
      </c>
      <c r="D53" s="31"/>
      <c r="E53" s="31"/>
      <c r="F53" s="31"/>
      <c r="G53" s="31"/>
      <c r="H53" s="31"/>
      <c r="I53" s="32"/>
      <c r="J53" s="71" t="s">
        <v>84</v>
      </c>
      <c r="K53" s="276" t="str">
        <f>IFERROR(__xludf.DUMMYFUNCTION("IFERROR(FILTER('Data Entry_BD'!$F$6:$F1231, 'Data Entry_BD'!$A$6:$A1231 = $E$4, 'Data Entry_BD'!$D$6:$D1231 = G$10), ""—"")"),"Caution")</f>
        <v>Caution</v>
      </c>
      <c r="L53" s="31"/>
      <c r="M53" s="277"/>
      <c r="N53" s="216"/>
      <c r="O53" s="216"/>
      <c r="P53" s="216"/>
      <c r="Q53" s="216"/>
      <c r="R53" s="216"/>
      <c r="S53" s="216"/>
      <c r="T53" s="216"/>
      <c r="U53" s="216"/>
      <c r="V53" s="216"/>
      <c r="W53" s="216"/>
      <c r="X53" s="216"/>
      <c r="Y53" s="216"/>
      <c r="Z53" s="216"/>
      <c r="AA53" s="216"/>
    </row>
    <row r="54" ht="19.5" customHeight="1">
      <c r="A54" s="214"/>
      <c r="B54" s="35" t="s">
        <v>85</v>
      </c>
      <c r="C54" s="31"/>
      <c r="D54" s="31"/>
      <c r="E54" s="31"/>
      <c r="F54" s="31"/>
      <c r="G54" s="31"/>
      <c r="H54" s="31"/>
      <c r="I54" s="31"/>
      <c r="J54" s="31"/>
      <c r="K54" s="31"/>
      <c r="L54" s="31"/>
      <c r="M54" s="32"/>
      <c r="N54" s="216"/>
      <c r="O54" s="216"/>
      <c r="P54" s="216"/>
      <c r="Q54" s="216"/>
      <c r="R54" s="216"/>
      <c r="S54" s="216"/>
      <c r="T54" s="216"/>
      <c r="U54" s="216"/>
      <c r="V54" s="216"/>
      <c r="W54" s="216"/>
      <c r="X54" s="216"/>
      <c r="Y54" s="216"/>
      <c r="Z54" s="216"/>
      <c r="AA54" s="216"/>
    </row>
    <row r="55" ht="15.75" customHeight="1">
      <c r="A55" s="214"/>
      <c r="B55" s="278" t="str">
        <f>IFERROR(__xludf.DUMMYFUNCTION("IFERROR(FILTER('Data Entry_BD'!$AJ$6:$AJ1231, 'Data Entry_BD'!$A$6:$A1231 = $E$4, 'Data Entry_BD'!$D$6:$D1231 = G$10), ""—"")"),"ADMINISTRATION – Insufficient sample volume; certain tests not completed. ISO 22/21/20, particle count still elevated (31082 @4µm). TAN 0.99 mg KOH/g. Water 0.040 Vol%. Ensure adequate sample volumes collected. Monitor Si and particle count trend. Contact"&amp;" ExxonMobil representative.")</f>
        <v>ADMINISTRATION – Insufficient sample volume; certain tests not completed. ISO 22/21/20, particle count still elevated (31082 @4µm). TAN 0.99 mg KOH/g. Water 0.040 Vol%. Ensure adequate sample volumes collected. Monitor Si and particle count trend. Contact ExxonMobil representative.</v>
      </c>
      <c r="C55" s="31"/>
      <c r="D55" s="31"/>
      <c r="E55" s="31"/>
      <c r="F55" s="31"/>
      <c r="G55" s="31"/>
      <c r="H55" s="31"/>
      <c r="I55" s="31"/>
      <c r="J55" s="31"/>
      <c r="K55" s="31"/>
      <c r="L55" s="31"/>
      <c r="M55" s="32"/>
      <c r="N55" s="216"/>
      <c r="O55" s="216"/>
      <c r="P55" s="216"/>
      <c r="Q55" s="216"/>
      <c r="R55" s="216"/>
      <c r="S55" s="216"/>
      <c r="T55" s="216"/>
      <c r="U55" s="216"/>
      <c r="V55" s="216"/>
      <c r="W55" s="216"/>
      <c r="X55" s="216"/>
      <c r="Y55" s="216"/>
      <c r="Z55" s="216"/>
      <c r="AA55" s="216"/>
    </row>
    <row r="56" ht="7.5" customHeight="1">
      <c r="A56" s="214"/>
      <c r="B56" s="214"/>
      <c r="C56" s="214"/>
      <c r="D56" s="214"/>
      <c r="E56" s="214"/>
      <c r="F56" s="214"/>
      <c r="G56" s="214"/>
      <c r="H56" s="214"/>
      <c r="I56" s="214"/>
      <c r="J56" s="214"/>
      <c r="K56" s="214"/>
      <c r="L56" s="214"/>
      <c r="M56" s="214"/>
      <c r="N56" s="216"/>
      <c r="O56" s="216"/>
      <c r="P56" s="216"/>
      <c r="Q56" s="216"/>
      <c r="R56" s="216"/>
      <c r="S56" s="216"/>
      <c r="T56" s="216"/>
      <c r="U56" s="216"/>
      <c r="V56" s="216"/>
      <c r="W56" s="216"/>
      <c r="X56" s="216"/>
      <c r="Y56" s="216"/>
      <c r="Z56" s="216"/>
      <c r="AA56" s="216"/>
    </row>
    <row r="57" ht="19.5" customHeight="1">
      <c r="A57" s="214"/>
      <c r="B57" s="74" t="s">
        <v>86</v>
      </c>
      <c r="C57" s="31"/>
      <c r="D57" s="31"/>
      <c r="E57" s="31"/>
      <c r="F57" s="31"/>
      <c r="G57" s="31"/>
      <c r="H57" s="31"/>
      <c r="I57" s="31"/>
      <c r="J57" s="31"/>
      <c r="K57" s="31"/>
      <c r="L57" s="31"/>
      <c r="M57" s="32"/>
      <c r="N57" s="216"/>
      <c r="O57" s="216"/>
      <c r="P57" s="216"/>
      <c r="Q57" s="216"/>
      <c r="R57" s="216"/>
      <c r="S57" s="216"/>
      <c r="T57" s="216"/>
      <c r="U57" s="216"/>
      <c r="V57" s="216"/>
      <c r="W57" s="216"/>
      <c r="X57" s="216"/>
      <c r="Y57" s="216"/>
      <c r="Z57" s="216"/>
      <c r="AA57" s="216"/>
    </row>
    <row r="58" ht="18.0" customHeight="1">
      <c r="A58" s="214"/>
      <c r="B58" s="75" t="s">
        <v>20</v>
      </c>
      <c r="C58" s="32"/>
      <c r="D58" s="75" t="s">
        <v>40</v>
      </c>
      <c r="E58" s="32"/>
      <c r="F58" s="75" t="s">
        <v>87</v>
      </c>
      <c r="G58" s="32"/>
      <c r="H58" s="33" t="s">
        <v>88</v>
      </c>
      <c r="I58" s="279" t="s">
        <v>526</v>
      </c>
      <c r="J58" s="31"/>
      <c r="K58" s="31"/>
      <c r="L58" s="31"/>
      <c r="M58" s="32"/>
      <c r="N58" s="216"/>
      <c r="O58" s="216"/>
      <c r="P58" s="216"/>
      <c r="Q58" s="216"/>
      <c r="R58" s="216"/>
      <c r="S58" s="216"/>
      <c r="T58" s="216"/>
      <c r="U58" s="216"/>
      <c r="V58" s="216"/>
      <c r="W58" s="216"/>
      <c r="X58" s="216"/>
      <c r="Y58" s="216"/>
      <c r="Z58" s="216"/>
      <c r="AA58" s="216"/>
    </row>
    <row r="59" ht="54.75" customHeight="1">
      <c r="A59" s="214"/>
      <c r="B59" s="76" t="str">
        <f>IFERROR(TEXT(G$10,"dd-mmm-yyyy"),"—")</f>
        <v>26-Apr-2026</v>
      </c>
      <c r="C59" s="32"/>
      <c r="D59" s="76" t="str">
        <f>IFERROR(__xludf.DUMMYFUNCTION("IFERROR(FILTER('Data Entry_BD'!$E$6:$E1231, 'Data Entry_BD'!$A$6:$A1231 = $E$4, 'Data Entry_BD'!$D$6:$D1231 = G$10), ""—"")"),"Caution")</f>
        <v>Caution</v>
      </c>
      <c r="E59" s="32"/>
      <c r="F59" s="77" t="str">
        <f>IFERROR(__xludf.DUMMYFUNCTION("IFERROR(FILTER('Data Entry_BD'!$AI$6:$AI1231, 'Data Entry_BD'!$A$6:$A1231 = $E$4, 'Data Entry_BD'!$D$6:$D1231 = G$10), ""—"")"),"Caution – Insufficient Sample Volume / Particle Count Elevated")</f>
        <v>Caution – Insufficient Sample Volume / Particle Count Elevated</v>
      </c>
      <c r="G59" s="32"/>
      <c r="H59" s="78" t="str">
        <f>IFERROR(__xludf.DUMMYFUNCTION("IFERROR(FILTER('Data Entry_BD'!$F$6:$F1231, 'Data Entry_BD'!$A$6:$A1231 = $E$4, 'Data Entry_BD'!$D$6:$D1231 = G$10), ""—"")"),"Caution")</f>
        <v>Caution</v>
      </c>
      <c r="I59" s="280" t="str">
        <f>IFERROR(__xludf.DUMMYFUNCTION("IFERROR(FILTER('Data Entry_BD'!$AJ$6:$AJ1231, 'Data Entry_BD'!$A$6:$A1231 = $E$4, 'Data Entry_BD'!$D$6:$D1231 = G$10), ""—"")"),"ADMINISTRATION – Insufficient sample volume; certain tests not completed. ISO 22/21/20, particle count still elevated (31082 @4µm). TAN 0.99 mg KOH/g. Water 0.040 Vol%. Ensure adequate sample volumes collected. Monitor Si and particle count trend. Contact"&amp;" ExxonMobil representative.")</f>
        <v>ADMINISTRATION – Insufficient sample volume; certain tests not completed. ISO 22/21/20, particle count still elevated (31082 @4µm). TAN 0.99 mg KOH/g. Water 0.040 Vol%. Ensure adequate sample volumes collected. Monitor Si and particle count trend. Contact ExxonMobil representative.</v>
      </c>
      <c r="J59" s="31"/>
      <c r="K59" s="31"/>
      <c r="L59" s="31"/>
      <c r="M59" s="32"/>
      <c r="N59" s="216"/>
      <c r="O59" s="216"/>
      <c r="P59" s="216"/>
      <c r="Q59" s="216"/>
      <c r="R59" s="216"/>
      <c r="S59" s="216"/>
      <c r="T59" s="216"/>
      <c r="U59" s="216"/>
      <c r="V59" s="216"/>
      <c r="W59" s="216"/>
      <c r="X59" s="216"/>
      <c r="Y59" s="216"/>
      <c r="Z59" s="216"/>
      <c r="AA59" s="216"/>
    </row>
    <row r="60" ht="54.75" customHeight="1">
      <c r="A60" s="214"/>
      <c r="B60" s="80" t="str">
        <f>IFERROR(TEXT(F$10,"dd-mmm-yyyy"),"—")</f>
        <v>17-Nov-2025</v>
      </c>
      <c r="C60" s="32"/>
      <c r="D60" s="80" t="str">
        <f>IFERROR(__xludf.DUMMYFUNCTION("IFERROR(FILTER('Data Entry_BD'!$E$6:$E1231, 'Data Entry_BD'!$A$6:$A1231 = $E$4, 'Data Entry_BD'!$D$6:$D1231 = F$10), ""—"")"),"Caution")</f>
        <v>Caution</v>
      </c>
      <c r="E60" s="32"/>
      <c r="F60" s="81" t="str">
        <f>IFERROR(__xludf.DUMMYFUNCTION("IFERROR(FILTER('Data Entry_BD'!$AI$6:$AI1231, 'Data Entry_BD'!$A$6:$A1231 = $E$4, 'Data Entry_BD'!$D$6:$D1231 = F$10), ""—"")"),"Caution – Elevated Si / High Particle Count")</f>
        <v>Caution – Elevated Si / High Particle Count</v>
      </c>
      <c r="G60" s="32"/>
      <c r="H60" s="78" t="str">
        <f>IFERROR(__xludf.DUMMYFUNCTION("IFERROR(FILTER('Data Entry_BD'!$F$6:$F1231, 'Data Entry_BD'!$A$6:$A1231 = $E$4, 'Data Entry_BD'!$D$6:$D1231 = F$10), ""—"")"),"Caution")</f>
        <v>Caution</v>
      </c>
      <c r="I60" s="281" t="str">
        <f>IFERROR(__xludf.DUMMYFUNCTION("IFERROR(FILTER('Data Entry_BD'!$AJ$6:$AJ1231, 'Data Entry_BD'!$A$6:$A1231 = $E$4, 'Data Entry_BD'!$D$6:$D1231 = F$10), ""—"")"),"Si 42 ppm (elevated – abrasive). ISO 22/22/20. Particle count high (30291 @4µm). Water 0.040 Vol%. Inspect breathers, fill caps, seals. Replace filter. Resample within 30 days.")</f>
        <v>Si 42 ppm (elevated – abrasive). ISO 22/22/20. Particle count high (30291 @4µm). Water 0.040 Vol%. Inspect breathers, fill caps, seals. Replace filter. Resample within 30 days.</v>
      </c>
      <c r="J60" s="31"/>
      <c r="K60" s="31"/>
      <c r="L60" s="31"/>
      <c r="M60" s="32"/>
      <c r="N60" s="216"/>
      <c r="O60" s="216"/>
      <c r="P60" s="216"/>
      <c r="Q60" s="216"/>
      <c r="R60" s="216"/>
      <c r="S60" s="216"/>
      <c r="T60" s="216"/>
      <c r="U60" s="216"/>
      <c r="V60" s="216"/>
      <c r="W60" s="216"/>
      <c r="X60" s="216"/>
      <c r="Y60" s="216"/>
      <c r="Z60" s="216"/>
      <c r="AA60" s="216"/>
    </row>
    <row r="61" ht="54.75" customHeight="1">
      <c r="A61" s="214"/>
      <c r="B61" s="76" t="str">
        <f>IFERROR(TEXT(E$10,"dd-mmm-yyyy"),"—")</f>
        <v>18-Jun-2025</v>
      </c>
      <c r="C61" s="32"/>
      <c r="D61" s="76" t="str">
        <f>IFERROR(__xludf.DUMMYFUNCTION("IFERROR(FILTER('Data Entry_BD'!$E$6:$E1231, 'Data Entry_BD'!$A$6:$A1231 = $E$4, 'Data Entry_BD'!$D$6:$D1231 = E$10), ""—"")"),"Normal")</f>
        <v>Normal</v>
      </c>
      <c r="E61" s="32"/>
      <c r="F61" s="77" t="str">
        <f>IFERROR(__xludf.DUMMYFUNCTION("IFERROR(FILTER('Data Entry_BD'!$AI$6:$AI1231, 'Data Entry_BD'!$A$6:$A1231 = $E$4, 'Data Entry_BD'!$D$6:$D1231 = E$10), ""—"")"),"Normal")</f>
        <v>Normal</v>
      </c>
      <c r="G61" s="32"/>
      <c r="H61" s="78" t="str">
        <f>IFERROR(__xludf.DUMMYFUNCTION("IFERROR(FILTER('Data Entry_BD'!$F$6:$F1231, 'Data Entry_BD'!$A$6:$A1231 = $E$4, 'Data Entry_BD'!$D$6:$D1231 = E$10), ""—"")"),"Normal")</f>
        <v>Normal</v>
      </c>
      <c r="I61" s="280" t="str">
        <f>IFERROR(__xludf.DUMMYFUNCTION("IFERROR(FILTER('Data Entry_BD'!$AJ$6:$AJ1231, 'Data Entry_BD'!$A$6:$A1231 = $E$4, 'Data Entry_BD'!$D$6:$D1231 = E$10), ""—"")"),"All parameters within acceptable limits. Continue routine monitoring.")</f>
        <v>All parameters within acceptable limits. Continue routine monitoring.</v>
      </c>
      <c r="J61" s="31"/>
      <c r="K61" s="31"/>
      <c r="L61" s="31"/>
      <c r="M61" s="32"/>
      <c r="N61" s="216"/>
      <c r="O61" s="216"/>
      <c r="P61" s="216"/>
      <c r="Q61" s="216"/>
      <c r="R61" s="216"/>
      <c r="S61" s="216"/>
      <c r="T61" s="216"/>
      <c r="U61" s="216"/>
      <c r="V61" s="216"/>
      <c r="W61" s="216"/>
      <c r="X61" s="216"/>
      <c r="Y61" s="216"/>
      <c r="Z61" s="216"/>
      <c r="AA61" s="216"/>
    </row>
    <row r="62" ht="54.75" customHeight="1">
      <c r="A62" s="214"/>
      <c r="B62" s="80" t="str">
        <f>IFERROR(TEXT(D$10,"dd-mmm-yyyy"),"—")</f>
        <v>28-Nov-2024</v>
      </c>
      <c r="C62" s="32"/>
      <c r="D62" s="80" t="str">
        <f>IFERROR(__xludf.DUMMYFUNCTION("IFERROR(FILTER('Data Entry_BD'!$E$6:$E1231, 'Data Entry_BD'!$A$6:$A1231 = $E$4, 'Data Entry_BD'!$D$6:$D1231 = D$10), ""—"")"),"Caution")</f>
        <v>Caution</v>
      </c>
      <c r="E62" s="32"/>
      <c r="F62" s="81" t="str">
        <f>IFERROR(__xludf.DUMMYFUNCTION("IFERROR(FILTER('Data Entry_BD'!$AI$6:$AI1231, 'Data Entry_BD'!$A$6:$A1231 = $E$4, 'Data Entry_BD'!$D$6:$D1231 = D$10), ""—"")"),"Caution – Elevated Fe / Monitor")</f>
        <v>Caution – Elevated Fe / Monitor</v>
      </c>
      <c r="G62" s="32"/>
      <c r="H62" s="78" t="str">
        <f>IFERROR(__xludf.DUMMYFUNCTION("IFERROR(FILTER('Data Entry_BD'!$F$6:$F1231, 'Data Entry_BD'!$A$6:$A1231 = $E$4, 'Data Entry_BD'!$D$6:$D1231 = D$10), ""—"")"),"Caution")</f>
        <v>Caution</v>
      </c>
      <c r="I62" s="281" t="str">
        <f>IFERROR(__xludf.DUMMYFUNCTION("IFERROR(FILTER('Data Entry_BD'!$AJ$6:$AJ1231, 'Data Entry_BD'!$A$6:$A1231 = $E$4, 'Data Entry_BD'!$D$6:$D1231 = D$10), ""—"")"),"Fe 13 ppm and Si 22 ppm elevated. Monitor wear trend. Inspect filtration. Resample within 60 days.")</f>
        <v>Fe 13 ppm and Si 22 ppm elevated. Monitor wear trend. Inspect filtration. Resample within 60 days.</v>
      </c>
      <c r="J62" s="31"/>
      <c r="K62" s="31"/>
      <c r="L62" s="31"/>
      <c r="M62" s="32"/>
      <c r="N62" s="216"/>
      <c r="O62" s="216"/>
      <c r="P62" s="216"/>
      <c r="Q62" s="216"/>
      <c r="R62" s="216"/>
      <c r="S62" s="216"/>
      <c r="T62" s="216"/>
      <c r="U62" s="216"/>
      <c r="V62" s="216"/>
      <c r="W62" s="216"/>
      <c r="X62" s="216"/>
      <c r="Y62" s="216"/>
      <c r="Z62" s="216"/>
      <c r="AA62" s="216"/>
    </row>
    <row r="63" ht="54.75" customHeight="1">
      <c r="A63" s="214"/>
      <c r="B63" s="76" t="str">
        <f>IFERROR(TEXT(C$10,"dd-mmm-yyyy"),"—")</f>
        <v>10-Sep-2024</v>
      </c>
      <c r="C63" s="32"/>
      <c r="D63" s="76" t="str">
        <f>IFERROR(__xludf.DUMMYFUNCTION("IFERROR(FILTER('Data Entry_BD'!$E$6:$E1231, 'Data Entry_BD'!$A$6:$A1231 = $E$4, 'Data Entry_BD'!$D$6:$D1231 = C$10), ""—"")"),"Caution")</f>
        <v>Caution</v>
      </c>
      <c r="E63" s="32"/>
      <c r="F63" s="77" t="str">
        <f>IFERROR(__xludf.DUMMYFUNCTION("IFERROR(FILTER('Data Entry_BD'!$AI$6:$AI1231, 'Data Entry_BD'!$A$6:$A1231 = $E$4, 'Data Entry_BD'!$D$6:$D1231 = C$10), ""—"")"),"Caution – Elevated Si / Contamination")</f>
        <v>Caution – Elevated Si / Contamination</v>
      </c>
      <c r="G63" s="32"/>
      <c r="H63" s="78" t="str">
        <f>IFERROR(__xludf.DUMMYFUNCTION("IFERROR(FILTER('Data Entry_BD'!$F$6:$F1231, 'Data Entry_BD'!$A$6:$A1231 = $E$4, 'Data Entry_BD'!$D$6:$D1231 = C$10), ""—"")"),"Caution")</f>
        <v>Caution</v>
      </c>
      <c r="I63" s="280" t="str">
        <f>IFERROR(__xludf.DUMMYFUNCTION("IFERROR(FILTER('Data Entry_BD'!$AJ$6:$AJ1231, 'Data Entry_BD'!$A$6:$A1231 = $E$4, 'Data Entry_BD'!$D$6:$D1231 = C$10), ""—"")"),"Si 33 ppm elevated. Monitor contamination trend. Inspect seals and filtration. Continue monitoring at scheduled intervals.")</f>
        <v>Si 33 ppm elevated. Monitor contamination trend. Inspect seals and filtration. Continue monitoring at scheduled intervals.</v>
      </c>
      <c r="J63" s="31"/>
      <c r="K63" s="31"/>
      <c r="L63" s="31"/>
      <c r="M63" s="32"/>
      <c r="N63" s="216"/>
      <c r="O63" s="216"/>
      <c r="P63" s="216"/>
      <c r="Q63" s="216"/>
      <c r="R63" s="216"/>
      <c r="S63" s="216"/>
      <c r="T63" s="216"/>
      <c r="U63" s="216"/>
      <c r="V63" s="216"/>
      <c r="W63" s="216"/>
      <c r="X63" s="216"/>
      <c r="Y63" s="216"/>
      <c r="Z63" s="216"/>
      <c r="AA63" s="216"/>
    </row>
    <row r="64" ht="7.5" customHeight="1">
      <c r="A64" s="214"/>
      <c r="B64" s="214"/>
      <c r="C64" s="214"/>
      <c r="D64" s="214"/>
      <c r="E64" s="214"/>
      <c r="F64" s="214"/>
      <c r="G64" s="214"/>
      <c r="H64" s="214"/>
      <c r="I64" s="214"/>
      <c r="J64" s="214"/>
      <c r="K64" s="214"/>
      <c r="L64" s="214"/>
      <c r="M64" s="214"/>
      <c r="N64" s="216"/>
      <c r="O64" s="216"/>
      <c r="P64" s="216"/>
      <c r="Q64" s="216"/>
      <c r="R64" s="216"/>
      <c r="S64" s="216"/>
      <c r="T64" s="216"/>
      <c r="U64" s="216"/>
      <c r="V64" s="216"/>
      <c r="W64" s="216"/>
      <c r="X64" s="216"/>
      <c r="Y64" s="216"/>
      <c r="Z64" s="216"/>
      <c r="AA64" s="216"/>
    </row>
    <row r="65" ht="15.0" customHeight="1">
      <c r="A65" s="214"/>
      <c r="B65" s="214"/>
      <c r="C65" s="214"/>
      <c r="D65" s="214"/>
      <c r="E65" s="214"/>
      <c r="F65" s="214"/>
      <c r="G65" s="214"/>
      <c r="H65" s="214"/>
      <c r="I65" s="214"/>
      <c r="J65" s="214"/>
      <c r="K65" s="214"/>
      <c r="L65" s="214"/>
      <c r="M65" s="214"/>
      <c r="N65" s="216"/>
      <c r="O65" s="216"/>
      <c r="P65" s="216"/>
      <c r="Q65" s="216"/>
      <c r="R65" s="216"/>
      <c r="S65" s="216"/>
      <c r="T65" s="216"/>
      <c r="U65" s="216"/>
      <c r="V65" s="216"/>
      <c r="W65" s="216"/>
      <c r="X65" s="216"/>
      <c r="Y65" s="216"/>
      <c r="Z65" s="216"/>
      <c r="AA65" s="216"/>
    </row>
    <row r="66" ht="15.0" customHeight="1">
      <c r="A66" s="214"/>
      <c r="B66" s="214"/>
      <c r="C66" s="214"/>
      <c r="D66" s="214"/>
      <c r="E66" s="214"/>
      <c r="F66" s="214"/>
      <c r="G66" s="214"/>
      <c r="H66" s="214"/>
      <c r="I66" s="214"/>
      <c r="J66" s="214"/>
      <c r="K66" s="214"/>
      <c r="L66" s="214"/>
      <c r="M66" s="214"/>
      <c r="N66" s="216"/>
      <c r="O66" s="216"/>
      <c r="P66" s="216"/>
      <c r="Q66" s="216"/>
      <c r="R66" s="216"/>
      <c r="S66" s="216"/>
      <c r="T66" s="216"/>
      <c r="U66" s="216"/>
      <c r="V66" s="216"/>
      <c r="W66" s="216"/>
      <c r="X66" s="216"/>
      <c r="Y66" s="216"/>
      <c r="Z66" s="216"/>
      <c r="AA66" s="216"/>
    </row>
    <row r="67" ht="15.0" customHeight="1">
      <c r="A67" s="214"/>
      <c r="B67" s="214"/>
      <c r="C67" s="214"/>
      <c r="D67" s="214"/>
      <c r="E67" s="214"/>
      <c r="F67" s="214"/>
      <c r="G67" s="214"/>
      <c r="H67" s="214"/>
      <c r="I67" s="214"/>
      <c r="J67" s="214"/>
      <c r="K67" s="214"/>
      <c r="L67" s="214"/>
      <c r="M67" s="214"/>
      <c r="N67" s="216"/>
      <c r="O67" s="216"/>
      <c r="P67" s="216"/>
      <c r="Q67" s="216"/>
      <c r="R67" s="216"/>
      <c r="S67" s="216"/>
      <c r="T67" s="216"/>
      <c r="U67" s="216"/>
      <c r="V67" s="216"/>
      <c r="W67" s="216"/>
      <c r="X67" s="216"/>
      <c r="Y67" s="216"/>
      <c r="Z67" s="216"/>
      <c r="AA67" s="216"/>
    </row>
    <row r="68" ht="15.0" customHeight="1">
      <c r="A68" s="214"/>
      <c r="B68" s="214"/>
      <c r="C68" s="214"/>
      <c r="D68" s="214"/>
      <c r="E68" s="214"/>
      <c r="F68" s="214"/>
      <c r="G68" s="214"/>
      <c r="H68" s="214"/>
      <c r="I68" s="214"/>
      <c r="J68" s="214"/>
      <c r="K68" s="214"/>
      <c r="L68" s="214"/>
      <c r="M68" s="214"/>
      <c r="N68" s="216"/>
      <c r="O68" s="216"/>
      <c r="P68" s="216"/>
      <c r="Q68" s="216"/>
      <c r="R68" s="216"/>
      <c r="S68" s="216"/>
      <c r="T68" s="216"/>
      <c r="U68" s="216"/>
      <c r="V68" s="216"/>
      <c r="W68" s="216"/>
      <c r="X68" s="216"/>
      <c r="Y68" s="216"/>
      <c r="Z68" s="216"/>
      <c r="AA68" s="216"/>
    </row>
    <row r="69" ht="15.0" customHeight="1">
      <c r="A69" s="214"/>
      <c r="B69" s="214"/>
      <c r="C69" s="214"/>
      <c r="D69" s="214"/>
      <c r="E69" s="214"/>
      <c r="F69" s="214"/>
      <c r="G69" s="214"/>
      <c r="H69" s="214"/>
      <c r="I69" s="214"/>
      <c r="J69" s="214"/>
      <c r="K69" s="214"/>
      <c r="L69" s="214"/>
      <c r="M69" s="214"/>
      <c r="N69" s="216"/>
      <c r="O69" s="216"/>
      <c r="P69" s="216"/>
      <c r="Q69" s="216"/>
      <c r="R69" s="216"/>
      <c r="S69" s="216"/>
      <c r="T69" s="216"/>
      <c r="U69" s="216"/>
      <c r="V69" s="216"/>
      <c r="W69" s="216"/>
      <c r="X69" s="216"/>
      <c r="Y69" s="216"/>
      <c r="Z69" s="216"/>
      <c r="AA69" s="216"/>
    </row>
    <row r="70" ht="15.0" customHeight="1">
      <c r="A70" s="214"/>
      <c r="B70" s="214"/>
      <c r="C70" s="214"/>
      <c r="D70" s="214"/>
      <c r="E70" s="214"/>
      <c r="F70" s="214"/>
      <c r="G70" s="214"/>
      <c r="H70" s="214"/>
      <c r="I70" s="214"/>
      <c r="J70" s="214"/>
      <c r="K70" s="214"/>
      <c r="L70" s="214"/>
      <c r="M70" s="214"/>
      <c r="N70" s="216"/>
      <c r="O70" s="216"/>
      <c r="P70" s="216"/>
      <c r="Q70" s="216"/>
      <c r="R70" s="216"/>
      <c r="S70" s="216"/>
      <c r="T70" s="216"/>
      <c r="U70" s="216"/>
      <c r="V70" s="216"/>
      <c r="W70" s="216"/>
      <c r="X70" s="216"/>
      <c r="Y70" s="216"/>
      <c r="Z70" s="216"/>
      <c r="AA70" s="216"/>
    </row>
    <row r="71" ht="15.0" customHeight="1">
      <c r="A71" s="214"/>
      <c r="B71" s="214"/>
      <c r="C71" s="214"/>
      <c r="D71" s="214"/>
      <c r="E71" s="214"/>
      <c r="F71" s="214"/>
      <c r="G71" s="214"/>
      <c r="H71" s="214"/>
      <c r="I71" s="214"/>
      <c r="J71" s="214"/>
      <c r="K71" s="214"/>
      <c r="L71" s="214"/>
      <c r="M71" s="214"/>
      <c r="N71" s="216"/>
      <c r="O71" s="216"/>
      <c r="P71" s="216"/>
      <c r="Q71" s="216"/>
      <c r="R71" s="216"/>
      <c r="S71" s="216"/>
      <c r="T71" s="216"/>
      <c r="U71" s="216"/>
      <c r="V71" s="216"/>
      <c r="W71" s="216"/>
      <c r="X71" s="216"/>
      <c r="Y71" s="216"/>
      <c r="Z71" s="216"/>
      <c r="AA71" s="216"/>
    </row>
    <row r="72" ht="15.0" customHeight="1">
      <c r="A72" s="214"/>
      <c r="B72" s="214"/>
      <c r="C72" s="214"/>
      <c r="D72" s="214"/>
      <c r="E72" s="214"/>
      <c r="F72" s="214"/>
      <c r="G72" s="214"/>
      <c r="H72" s="214"/>
      <c r="I72" s="214"/>
      <c r="J72" s="214"/>
      <c r="K72" s="214"/>
      <c r="L72" s="214"/>
      <c r="M72" s="214"/>
      <c r="N72" s="216"/>
      <c r="O72" s="216"/>
      <c r="P72" s="216"/>
      <c r="Q72" s="216"/>
      <c r="R72" s="216"/>
      <c r="S72" s="216"/>
      <c r="T72" s="216"/>
      <c r="U72" s="216"/>
      <c r="V72" s="216"/>
      <c r="W72" s="216"/>
      <c r="X72" s="216"/>
      <c r="Y72" s="216"/>
      <c r="Z72" s="216"/>
      <c r="AA72" s="216"/>
    </row>
    <row r="73" ht="15.0" customHeight="1">
      <c r="A73" s="214"/>
      <c r="B73" s="214"/>
      <c r="C73" s="214"/>
      <c r="D73" s="214"/>
      <c r="E73" s="214"/>
      <c r="F73" s="214"/>
      <c r="G73" s="214"/>
      <c r="H73" s="214"/>
      <c r="I73" s="214"/>
      <c r="J73" s="214"/>
      <c r="K73" s="214"/>
      <c r="L73" s="214"/>
      <c r="M73" s="214"/>
      <c r="N73" s="216"/>
      <c r="O73" s="216"/>
      <c r="P73" s="216"/>
      <c r="Q73" s="216"/>
      <c r="R73" s="216"/>
      <c r="S73" s="216"/>
      <c r="T73" s="216"/>
      <c r="U73" s="216"/>
      <c r="V73" s="216"/>
      <c r="W73" s="216"/>
      <c r="X73" s="216"/>
      <c r="Y73" s="216"/>
      <c r="Z73" s="216"/>
      <c r="AA73" s="216"/>
    </row>
    <row r="74" ht="15.0" customHeight="1">
      <c r="A74" s="214"/>
      <c r="B74" s="214"/>
      <c r="C74" s="214"/>
      <c r="D74" s="214"/>
      <c r="E74" s="214"/>
      <c r="F74" s="214"/>
      <c r="G74" s="214"/>
      <c r="H74" s="214"/>
      <c r="I74" s="214"/>
      <c r="J74" s="214"/>
      <c r="K74" s="214"/>
      <c r="L74" s="214"/>
      <c r="M74" s="214"/>
      <c r="N74" s="216"/>
      <c r="O74" s="216"/>
      <c r="P74" s="216"/>
      <c r="Q74" s="216"/>
      <c r="R74" s="216"/>
      <c r="S74" s="216"/>
      <c r="T74" s="216"/>
      <c r="U74" s="216"/>
      <c r="V74" s="216"/>
      <c r="W74" s="216"/>
      <c r="X74" s="216"/>
      <c r="Y74" s="216"/>
      <c r="Z74" s="216"/>
      <c r="AA74" s="216"/>
    </row>
    <row r="75" ht="15.0" customHeight="1">
      <c r="A75" s="214"/>
      <c r="B75" s="214"/>
      <c r="C75" s="214"/>
      <c r="D75" s="214"/>
      <c r="E75" s="214"/>
      <c r="F75" s="214"/>
      <c r="G75" s="214"/>
      <c r="H75" s="214"/>
      <c r="I75" s="214"/>
      <c r="J75" s="214"/>
      <c r="K75" s="214"/>
      <c r="L75" s="214"/>
      <c r="M75" s="214"/>
      <c r="N75" s="216"/>
      <c r="O75" s="216"/>
      <c r="P75" s="216"/>
      <c r="Q75" s="216"/>
      <c r="R75" s="216"/>
      <c r="S75" s="216"/>
      <c r="T75" s="216"/>
      <c r="U75" s="216"/>
      <c r="V75" s="216"/>
      <c r="W75" s="216"/>
      <c r="X75" s="216"/>
      <c r="Y75" s="216"/>
      <c r="Z75" s="216"/>
      <c r="AA75" s="216"/>
    </row>
    <row r="76" ht="15.0" customHeight="1">
      <c r="A76" s="214"/>
      <c r="B76" s="214"/>
      <c r="C76" s="214"/>
      <c r="D76" s="214"/>
      <c r="E76" s="214"/>
      <c r="F76" s="214"/>
      <c r="G76" s="214"/>
      <c r="H76" s="214"/>
      <c r="I76" s="214"/>
      <c r="J76" s="214"/>
      <c r="K76" s="214"/>
      <c r="L76" s="214"/>
      <c r="M76" s="214"/>
      <c r="N76" s="216"/>
      <c r="O76" s="216"/>
      <c r="P76" s="216"/>
      <c r="Q76" s="216"/>
      <c r="R76" s="216"/>
      <c r="S76" s="216"/>
      <c r="T76" s="216"/>
      <c r="U76" s="216"/>
      <c r="V76" s="216"/>
      <c r="W76" s="216"/>
      <c r="X76" s="216"/>
      <c r="Y76" s="216"/>
      <c r="Z76" s="216"/>
      <c r="AA76" s="216"/>
    </row>
    <row r="77" ht="15.0" customHeight="1">
      <c r="A77" s="214"/>
      <c r="B77" s="214"/>
      <c r="C77" s="214"/>
      <c r="D77" s="214"/>
      <c r="E77" s="214"/>
      <c r="F77" s="214"/>
      <c r="G77" s="214"/>
      <c r="H77" s="214"/>
      <c r="I77" s="214"/>
      <c r="J77" s="214"/>
      <c r="K77" s="214"/>
      <c r="L77" s="214"/>
      <c r="M77" s="214"/>
      <c r="N77" s="216"/>
      <c r="O77" s="216"/>
      <c r="P77" s="216"/>
      <c r="Q77" s="216"/>
      <c r="R77" s="216"/>
      <c r="S77" s="216"/>
      <c r="T77" s="216"/>
      <c r="U77" s="216"/>
      <c r="V77" s="216"/>
      <c r="W77" s="216"/>
      <c r="X77" s="216"/>
      <c r="Y77" s="216"/>
      <c r="Z77" s="216"/>
      <c r="AA77" s="216"/>
    </row>
    <row r="78" ht="15.0" customHeight="1">
      <c r="A78" s="214"/>
      <c r="B78" s="214"/>
      <c r="C78" s="214"/>
      <c r="D78" s="214"/>
      <c r="E78" s="214"/>
      <c r="F78" s="214"/>
      <c r="G78" s="214"/>
      <c r="H78" s="214"/>
      <c r="I78" s="214"/>
      <c r="J78" s="214"/>
      <c r="K78" s="214"/>
      <c r="L78" s="214"/>
      <c r="M78" s="214"/>
      <c r="N78" s="216"/>
      <c r="O78" s="216"/>
      <c r="P78" s="216"/>
      <c r="Q78" s="216"/>
      <c r="R78" s="216"/>
      <c r="S78" s="216"/>
      <c r="T78" s="216"/>
      <c r="U78" s="216"/>
      <c r="V78" s="216"/>
      <c r="W78" s="216"/>
      <c r="X78" s="216"/>
      <c r="Y78" s="216"/>
      <c r="Z78" s="216"/>
      <c r="AA78" s="216"/>
    </row>
    <row r="79" ht="15.0" customHeight="1">
      <c r="A79" s="214"/>
      <c r="B79" s="214"/>
      <c r="C79" s="214"/>
      <c r="D79" s="214"/>
      <c r="E79" s="214"/>
      <c r="F79" s="214"/>
      <c r="G79" s="214"/>
      <c r="H79" s="214"/>
      <c r="I79" s="214"/>
      <c r="J79" s="214"/>
      <c r="K79" s="214"/>
      <c r="L79" s="214"/>
      <c r="M79" s="214"/>
      <c r="N79" s="216"/>
      <c r="O79" s="216"/>
      <c r="P79" s="216"/>
      <c r="Q79" s="216"/>
      <c r="R79" s="216"/>
      <c r="S79" s="216"/>
      <c r="T79" s="216"/>
      <c r="U79" s="216"/>
      <c r="V79" s="216"/>
      <c r="W79" s="216"/>
      <c r="X79" s="216"/>
      <c r="Y79" s="216"/>
      <c r="Z79" s="216"/>
      <c r="AA79" s="216"/>
    </row>
    <row r="80" ht="15.0" customHeight="1">
      <c r="A80" s="214"/>
      <c r="B80" s="214"/>
      <c r="C80" s="214"/>
      <c r="D80" s="214"/>
      <c r="E80" s="214"/>
      <c r="F80" s="214"/>
      <c r="G80" s="214"/>
      <c r="H80" s="214"/>
      <c r="I80" s="214"/>
      <c r="J80" s="214"/>
      <c r="K80" s="214"/>
      <c r="L80" s="214"/>
      <c r="M80" s="214"/>
      <c r="N80" s="216"/>
      <c r="O80" s="216"/>
      <c r="P80" s="216"/>
      <c r="Q80" s="216"/>
      <c r="R80" s="216"/>
      <c r="S80" s="216"/>
      <c r="T80" s="216"/>
      <c r="U80" s="216"/>
      <c r="V80" s="216"/>
      <c r="W80" s="216"/>
      <c r="X80" s="216"/>
      <c r="Y80" s="216"/>
      <c r="Z80" s="216"/>
      <c r="AA80" s="216"/>
    </row>
    <row r="81" ht="15.0" customHeight="1">
      <c r="A81" s="214"/>
      <c r="B81" s="214"/>
      <c r="C81" s="214"/>
      <c r="D81" s="214"/>
      <c r="E81" s="214"/>
      <c r="F81" s="214"/>
      <c r="G81" s="214"/>
      <c r="H81" s="214"/>
      <c r="I81" s="214"/>
      <c r="J81" s="214"/>
      <c r="K81" s="214"/>
      <c r="L81" s="214"/>
      <c r="M81" s="214"/>
      <c r="N81" s="216"/>
      <c r="O81" s="216"/>
      <c r="P81" s="216"/>
      <c r="Q81" s="216"/>
      <c r="R81" s="216"/>
      <c r="S81" s="216"/>
      <c r="T81" s="216"/>
      <c r="U81" s="216"/>
      <c r="V81" s="216"/>
      <c r="W81" s="216"/>
      <c r="X81" s="216"/>
      <c r="Y81" s="216"/>
      <c r="Z81" s="216"/>
      <c r="AA81" s="216"/>
    </row>
    <row r="82" ht="15.0" customHeight="1">
      <c r="A82" s="214"/>
      <c r="B82" s="214"/>
      <c r="C82" s="214"/>
      <c r="D82" s="214"/>
      <c r="E82" s="214"/>
      <c r="F82" s="214"/>
      <c r="G82" s="214"/>
      <c r="H82" s="214"/>
      <c r="I82" s="214"/>
      <c r="J82" s="214"/>
      <c r="K82" s="214"/>
      <c r="L82" s="214"/>
      <c r="M82" s="214"/>
      <c r="N82" s="216"/>
      <c r="O82" s="216"/>
      <c r="P82" s="216"/>
      <c r="Q82" s="216"/>
      <c r="R82" s="216"/>
      <c r="S82" s="216"/>
      <c r="T82" s="216"/>
      <c r="U82" s="216"/>
      <c r="V82" s="216"/>
      <c r="W82" s="216"/>
      <c r="X82" s="216"/>
      <c r="Y82" s="216"/>
      <c r="Z82" s="216"/>
      <c r="AA82" s="216"/>
    </row>
    <row r="83" ht="15.0" customHeight="1">
      <c r="A83" s="214"/>
      <c r="B83" s="214"/>
      <c r="C83" s="214"/>
      <c r="D83" s="214"/>
      <c r="E83" s="214"/>
      <c r="F83" s="214"/>
      <c r="G83" s="214"/>
      <c r="H83" s="214"/>
      <c r="I83" s="214"/>
      <c r="J83" s="214"/>
      <c r="K83" s="214"/>
      <c r="L83" s="214"/>
      <c r="M83" s="214"/>
      <c r="N83" s="216"/>
      <c r="O83" s="216"/>
      <c r="P83" s="216"/>
      <c r="Q83" s="216"/>
      <c r="R83" s="216"/>
      <c r="S83" s="216"/>
      <c r="T83" s="216"/>
      <c r="U83" s="216"/>
      <c r="V83" s="216"/>
      <c r="W83" s="216"/>
      <c r="X83" s="216"/>
      <c r="Y83" s="216"/>
      <c r="Z83" s="216"/>
      <c r="AA83" s="216"/>
    </row>
    <row r="84" ht="15.0" customHeight="1">
      <c r="A84" s="214"/>
      <c r="B84" s="214"/>
      <c r="C84" s="214"/>
      <c r="D84" s="214"/>
      <c r="E84" s="214"/>
      <c r="F84" s="214"/>
      <c r="G84" s="214"/>
      <c r="H84" s="214"/>
      <c r="I84" s="214"/>
      <c r="J84" s="214"/>
      <c r="K84" s="214"/>
      <c r="L84" s="214"/>
      <c r="M84" s="214"/>
      <c r="N84" s="216"/>
      <c r="O84" s="216"/>
      <c r="P84" s="216"/>
      <c r="Q84" s="216"/>
      <c r="R84" s="216"/>
      <c r="S84" s="216"/>
      <c r="T84" s="216"/>
      <c r="U84" s="216"/>
      <c r="V84" s="216"/>
      <c r="W84" s="216"/>
      <c r="X84" s="216"/>
      <c r="Y84" s="216"/>
      <c r="Z84" s="216"/>
      <c r="AA84" s="216"/>
    </row>
    <row r="85" ht="15.0" customHeight="1">
      <c r="A85" s="214"/>
      <c r="B85" s="214"/>
      <c r="C85" s="214"/>
      <c r="D85" s="214"/>
      <c r="E85" s="214"/>
      <c r="F85" s="214"/>
      <c r="G85" s="214"/>
      <c r="H85" s="214"/>
      <c r="I85" s="214"/>
      <c r="J85" s="214"/>
      <c r="K85" s="214"/>
      <c r="L85" s="214"/>
      <c r="M85" s="214"/>
      <c r="N85" s="216"/>
      <c r="O85" s="216"/>
      <c r="P85" s="216"/>
      <c r="Q85" s="216"/>
      <c r="R85" s="216"/>
      <c r="S85" s="216"/>
      <c r="T85" s="216"/>
      <c r="U85" s="216"/>
      <c r="V85" s="216"/>
      <c r="W85" s="216"/>
      <c r="X85" s="216"/>
      <c r="Y85" s="216"/>
      <c r="Z85" s="216"/>
      <c r="AA85" s="216"/>
    </row>
    <row r="86" ht="15.0" customHeight="1">
      <c r="A86" s="214"/>
      <c r="B86" s="214"/>
      <c r="C86" s="214"/>
      <c r="D86" s="214"/>
      <c r="E86" s="214"/>
      <c r="F86" s="214"/>
      <c r="G86" s="214"/>
      <c r="H86" s="214"/>
      <c r="I86" s="214"/>
      <c r="J86" s="214"/>
      <c r="K86" s="214"/>
      <c r="L86" s="214"/>
      <c r="M86" s="214"/>
      <c r="N86" s="216"/>
      <c r="O86" s="216"/>
      <c r="P86" s="216"/>
      <c r="Q86" s="216"/>
      <c r="R86" s="216"/>
      <c r="S86" s="216"/>
      <c r="T86" s="216"/>
      <c r="U86" s="216"/>
      <c r="V86" s="216"/>
      <c r="W86" s="216"/>
      <c r="X86" s="216"/>
      <c r="Y86" s="216"/>
      <c r="Z86" s="216"/>
      <c r="AA86" s="216"/>
    </row>
    <row r="87" ht="15.0" customHeight="1">
      <c r="A87" s="214"/>
      <c r="B87" s="214"/>
      <c r="C87" s="214"/>
      <c r="D87" s="214"/>
      <c r="E87" s="214"/>
      <c r="F87" s="214"/>
      <c r="G87" s="214"/>
      <c r="H87" s="214"/>
      <c r="I87" s="214"/>
      <c r="J87" s="214"/>
      <c r="K87" s="214"/>
      <c r="L87" s="214"/>
      <c r="M87" s="214"/>
      <c r="N87" s="216"/>
      <c r="O87" s="216"/>
      <c r="P87" s="216"/>
      <c r="Q87" s="216"/>
      <c r="R87" s="216"/>
      <c r="S87" s="216"/>
      <c r="T87" s="216"/>
      <c r="U87" s="216"/>
      <c r="V87" s="216"/>
      <c r="W87" s="216"/>
      <c r="X87" s="216"/>
      <c r="Y87" s="216"/>
      <c r="Z87" s="216"/>
      <c r="AA87" s="216"/>
    </row>
    <row r="88" ht="15.0" customHeight="1">
      <c r="A88" s="214"/>
      <c r="B88" s="214"/>
      <c r="C88" s="214"/>
      <c r="D88" s="214"/>
      <c r="E88" s="214"/>
      <c r="F88" s="214"/>
      <c r="G88" s="214"/>
      <c r="H88" s="214"/>
      <c r="I88" s="214"/>
      <c r="J88" s="214"/>
      <c r="K88" s="214"/>
      <c r="L88" s="214"/>
      <c r="M88" s="214"/>
      <c r="N88" s="216"/>
      <c r="O88" s="216"/>
      <c r="P88" s="216"/>
      <c r="Q88" s="216"/>
      <c r="R88" s="216"/>
      <c r="S88" s="216"/>
      <c r="T88" s="216"/>
      <c r="U88" s="216"/>
      <c r="V88" s="216"/>
      <c r="W88" s="216"/>
      <c r="X88" s="216"/>
      <c r="Y88" s="216"/>
      <c r="Z88" s="216"/>
      <c r="AA88" s="216"/>
    </row>
    <row r="89" ht="15.0" customHeight="1">
      <c r="A89" s="214"/>
      <c r="B89" s="214"/>
      <c r="C89" s="214"/>
      <c r="D89" s="214"/>
      <c r="E89" s="214"/>
      <c r="F89" s="214"/>
      <c r="G89" s="214"/>
      <c r="H89" s="214"/>
      <c r="I89" s="214"/>
      <c r="J89" s="214"/>
      <c r="K89" s="214"/>
      <c r="L89" s="214"/>
      <c r="M89" s="214"/>
      <c r="N89" s="216"/>
      <c r="O89" s="216"/>
      <c r="P89" s="216"/>
      <c r="Q89" s="216"/>
      <c r="R89" s="216"/>
      <c r="S89" s="216"/>
      <c r="T89" s="216"/>
      <c r="U89" s="216"/>
      <c r="V89" s="216"/>
      <c r="W89" s="216"/>
      <c r="X89" s="216"/>
      <c r="Y89" s="216"/>
      <c r="Z89" s="216"/>
      <c r="AA89" s="216"/>
    </row>
    <row r="90" ht="15.0" customHeight="1">
      <c r="A90" s="214"/>
      <c r="B90" s="214"/>
      <c r="C90" s="214"/>
      <c r="D90" s="214"/>
      <c r="E90" s="214"/>
      <c r="F90" s="214"/>
      <c r="G90" s="214"/>
      <c r="H90" s="214"/>
      <c r="I90" s="214"/>
      <c r="J90" s="214"/>
      <c r="K90" s="214"/>
      <c r="L90" s="214"/>
      <c r="M90" s="214"/>
      <c r="N90" s="216"/>
      <c r="O90" s="216"/>
      <c r="P90" s="216"/>
      <c r="Q90" s="216"/>
      <c r="R90" s="216"/>
      <c r="S90" s="216"/>
      <c r="T90" s="216"/>
      <c r="U90" s="216"/>
      <c r="V90" s="216"/>
      <c r="W90" s="216"/>
      <c r="X90" s="216"/>
      <c r="Y90" s="216"/>
      <c r="Z90" s="216"/>
      <c r="AA90" s="216"/>
    </row>
    <row r="91" ht="15.0" customHeight="1">
      <c r="A91" s="214"/>
      <c r="B91" s="214"/>
      <c r="C91" s="214"/>
      <c r="D91" s="214"/>
      <c r="E91" s="214"/>
      <c r="F91" s="214"/>
      <c r="G91" s="214"/>
      <c r="H91" s="214"/>
      <c r="I91" s="214"/>
      <c r="J91" s="214"/>
      <c r="K91" s="214"/>
      <c r="L91" s="214"/>
      <c r="M91" s="214"/>
      <c r="N91" s="216"/>
      <c r="O91" s="216"/>
      <c r="P91" s="216"/>
      <c r="Q91" s="216"/>
      <c r="R91" s="216"/>
      <c r="S91" s="216"/>
      <c r="T91" s="216"/>
      <c r="U91" s="216"/>
      <c r="V91" s="216"/>
      <c r="W91" s="216"/>
      <c r="X91" s="216"/>
      <c r="Y91" s="216"/>
      <c r="Z91" s="216"/>
      <c r="AA91" s="216"/>
    </row>
    <row r="92" ht="15.0" customHeight="1">
      <c r="A92" s="214"/>
      <c r="B92" s="214"/>
      <c r="C92" s="214"/>
      <c r="D92" s="214"/>
      <c r="E92" s="214"/>
      <c r="F92" s="214"/>
      <c r="G92" s="214"/>
      <c r="H92" s="214"/>
      <c r="I92" s="214"/>
      <c r="J92" s="214"/>
      <c r="K92" s="214"/>
      <c r="L92" s="214"/>
      <c r="M92" s="214"/>
      <c r="N92" s="216"/>
      <c r="O92" s="216"/>
      <c r="P92" s="216"/>
      <c r="Q92" s="216"/>
      <c r="R92" s="216"/>
      <c r="S92" s="216"/>
      <c r="T92" s="216"/>
      <c r="U92" s="216"/>
      <c r="V92" s="216"/>
      <c r="W92" s="216"/>
      <c r="X92" s="216"/>
      <c r="Y92" s="216"/>
      <c r="Z92" s="216"/>
      <c r="AA92" s="216"/>
    </row>
    <row r="93" ht="15.0" customHeight="1">
      <c r="A93" s="214"/>
      <c r="B93" s="214"/>
      <c r="C93" s="214"/>
      <c r="D93" s="214"/>
      <c r="E93" s="214"/>
      <c r="F93" s="214"/>
      <c r="G93" s="214"/>
      <c r="H93" s="214"/>
      <c r="I93" s="214"/>
      <c r="J93" s="214"/>
      <c r="K93" s="214"/>
      <c r="L93" s="214"/>
      <c r="M93" s="214"/>
      <c r="N93" s="216"/>
      <c r="O93" s="216"/>
      <c r="P93" s="216"/>
      <c r="Q93" s="216"/>
      <c r="R93" s="216"/>
      <c r="S93" s="216"/>
      <c r="T93" s="216"/>
      <c r="U93" s="216"/>
      <c r="V93" s="216"/>
      <c r="W93" s="216"/>
      <c r="X93" s="216"/>
      <c r="Y93" s="216"/>
      <c r="Z93" s="216"/>
      <c r="AA93" s="216"/>
    </row>
    <row r="94" ht="15.0" customHeight="1">
      <c r="A94" s="214"/>
      <c r="B94" s="214"/>
      <c r="C94" s="214"/>
      <c r="D94" s="214"/>
      <c r="E94" s="214"/>
      <c r="F94" s="214"/>
      <c r="G94" s="214"/>
      <c r="H94" s="214"/>
      <c r="I94" s="214"/>
      <c r="J94" s="214"/>
      <c r="K94" s="214"/>
      <c r="L94" s="214"/>
      <c r="M94" s="214"/>
      <c r="N94" s="216"/>
      <c r="O94" s="216"/>
      <c r="P94" s="216"/>
      <c r="Q94" s="216"/>
      <c r="R94" s="216"/>
      <c r="S94" s="216"/>
      <c r="T94" s="216"/>
      <c r="U94" s="216"/>
      <c r="V94" s="216"/>
      <c r="W94" s="216"/>
      <c r="X94" s="216"/>
      <c r="Y94" s="216"/>
      <c r="Z94" s="216"/>
      <c r="AA94" s="216"/>
    </row>
    <row r="95" ht="15.0" customHeight="1">
      <c r="A95" s="214"/>
      <c r="B95" s="214"/>
      <c r="C95" s="214"/>
      <c r="D95" s="214"/>
      <c r="E95" s="214"/>
      <c r="F95" s="214"/>
      <c r="G95" s="214"/>
      <c r="H95" s="214"/>
      <c r="I95" s="214"/>
      <c r="J95" s="214"/>
      <c r="K95" s="214"/>
      <c r="L95" s="214"/>
      <c r="M95" s="214"/>
      <c r="N95" s="216"/>
      <c r="O95" s="216"/>
      <c r="P95" s="216"/>
      <c r="Q95" s="216"/>
      <c r="R95" s="216"/>
      <c r="S95" s="216"/>
      <c r="T95" s="216"/>
      <c r="U95" s="216"/>
      <c r="V95" s="216"/>
      <c r="W95" s="216"/>
      <c r="X95" s="216"/>
      <c r="Y95" s="216"/>
      <c r="Z95" s="216"/>
      <c r="AA95" s="216"/>
    </row>
    <row r="96" ht="15.0" customHeight="1">
      <c r="A96" s="214"/>
      <c r="B96" s="214"/>
      <c r="C96" s="214"/>
      <c r="D96" s="214"/>
      <c r="E96" s="214"/>
      <c r="F96" s="214"/>
      <c r="G96" s="214"/>
      <c r="H96" s="214"/>
      <c r="I96" s="214"/>
      <c r="J96" s="214"/>
      <c r="K96" s="214"/>
      <c r="L96" s="214"/>
      <c r="M96" s="214"/>
      <c r="N96" s="216"/>
      <c r="O96" s="216"/>
      <c r="P96" s="216"/>
      <c r="Q96" s="216"/>
      <c r="R96" s="216"/>
      <c r="S96" s="216"/>
      <c r="T96" s="216"/>
      <c r="U96" s="216"/>
      <c r="V96" s="216"/>
      <c r="W96" s="216"/>
      <c r="X96" s="216"/>
      <c r="Y96" s="216"/>
      <c r="Z96" s="216"/>
      <c r="AA96" s="216"/>
    </row>
    <row r="97" ht="15.0" customHeight="1">
      <c r="A97" s="214"/>
      <c r="B97" s="214"/>
      <c r="C97" s="214"/>
      <c r="D97" s="214"/>
      <c r="E97" s="214"/>
      <c r="F97" s="214"/>
      <c r="G97" s="214"/>
      <c r="H97" s="214"/>
      <c r="I97" s="214"/>
      <c r="J97" s="214"/>
      <c r="K97" s="214"/>
      <c r="L97" s="214"/>
      <c r="M97" s="214"/>
      <c r="N97" s="216"/>
      <c r="O97" s="216"/>
      <c r="P97" s="216"/>
      <c r="Q97" s="216"/>
      <c r="R97" s="216"/>
      <c r="S97" s="216"/>
      <c r="T97" s="216"/>
      <c r="U97" s="216"/>
      <c r="V97" s="216"/>
      <c r="W97" s="216"/>
      <c r="X97" s="216"/>
      <c r="Y97" s="216"/>
      <c r="Z97" s="216"/>
      <c r="AA97" s="216"/>
    </row>
    <row r="98" ht="15.0" customHeight="1">
      <c r="A98" s="214"/>
      <c r="B98" s="214"/>
      <c r="C98" s="214"/>
      <c r="D98" s="214"/>
      <c r="E98" s="214"/>
      <c r="F98" s="214"/>
      <c r="G98" s="214"/>
      <c r="H98" s="214"/>
      <c r="I98" s="214"/>
      <c r="J98" s="214"/>
      <c r="K98" s="214"/>
      <c r="L98" s="214"/>
      <c r="M98" s="214"/>
      <c r="N98" s="216"/>
      <c r="O98" s="216"/>
      <c r="P98" s="216"/>
      <c r="Q98" s="216"/>
      <c r="R98" s="216"/>
      <c r="S98" s="216"/>
      <c r="T98" s="216"/>
      <c r="U98" s="216"/>
      <c r="V98" s="216"/>
      <c r="W98" s="216"/>
      <c r="X98" s="216"/>
      <c r="Y98" s="216"/>
      <c r="Z98" s="216"/>
      <c r="AA98" s="216"/>
    </row>
    <row r="99" ht="15.0" customHeight="1">
      <c r="A99" s="214"/>
      <c r="B99" s="214"/>
      <c r="C99" s="214"/>
      <c r="D99" s="214"/>
      <c r="E99" s="214"/>
      <c r="F99" s="214"/>
      <c r="G99" s="214"/>
      <c r="H99" s="214"/>
      <c r="I99" s="214"/>
      <c r="J99" s="214"/>
      <c r="K99" s="214"/>
      <c r="L99" s="214"/>
      <c r="M99" s="214"/>
      <c r="N99" s="216"/>
      <c r="O99" s="216"/>
      <c r="P99" s="216"/>
      <c r="Q99" s="216"/>
      <c r="R99" s="216"/>
      <c r="S99" s="216"/>
      <c r="T99" s="216"/>
      <c r="U99" s="216"/>
      <c r="V99" s="216"/>
      <c r="W99" s="216"/>
      <c r="X99" s="216"/>
      <c r="Y99" s="216"/>
      <c r="Z99" s="216"/>
      <c r="AA99" s="216"/>
    </row>
    <row r="100" ht="15.0" customHeight="1">
      <c r="A100" s="214"/>
      <c r="B100" s="214"/>
      <c r="C100" s="214"/>
      <c r="D100" s="214"/>
      <c r="E100" s="214"/>
      <c r="F100" s="214"/>
      <c r="G100" s="214"/>
      <c r="H100" s="214"/>
      <c r="I100" s="214"/>
      <c r="J100" s="214"/>
      <c r="K100" s="214"/>
      <c r="L100" s="214"/>
      <c r="M100" s="214"/>
      <c r="N100" s="216"/>
      <c r="O100" s="216"/>
      <c r="P100" s="216"/>
      <c r="Q100" s="216"/>
      <c r="R100" s="216"/>
      <c r="S100" s="216"/>
      <c r="T100" s="216"/>
      <c r="U100" s="216"/>
      <c r="V100" s="216"/>
      <c r="W100" s="216"/>
      <c r="X100" s="216"/>
      <c r="Y100" s="216"/>
      <c r="Z100" s="216"/>
      <c r="AA100" s="216"/>
    </row>
    <row r="101" ht="15.0" customHeight="1">
      <c r="A101" s="214"/>
      <c r="B101" s="214"/>
      <c r="C101" s="214"/>
      <c r="D101" s="214"/>
      <c r="E101" s="214"/>
      <c r="F101" s="214"/>
      <c r="G101" s="214"/>
      <c r="H101" s="214"/>
      <c r="I101" s="214"/>
      <c r="J101" s="214"/>
      <c r="K101" s="214"/>
      <c r="L101" s="214"/>
      <c r="M101" s="214"/>
      <c r="N101" s="216"/>
      <c r="O101" s="216"/>
      <c r="P101" s="216"/>
      <c r="Q101" s="216"/>
      <c r="R101" s="216"/>
      <c r="S101" s="216"/>
      <c r="T101" s="216"/>
      <c r="U101" s="216"/>
      <c r="V101" s="216"/>
      <c r="W101" s="216"/>
      <c r="X101" s="216"/>
      <c r="Y101" s="216"/>
      <c r="Z101" s="216"/>
      <c r="AA101" s="216"/>
    </row>
    <row r="102" ht="15.0" customHeight="1">
      <c r="A102" s="214"/>
      <c r="B102" s="214"/>
      <c r="C102" s="214"/>
      <c r="D102" s="214"/>
      <c r="E102" s="214"/>
      <c r="F102" s="214"/>
      <c r="G102" s="214"/>
      <c r="H102" s="214"/>
      <c r="I102" s="214"/>
      <c r="J102" s="214"/>
      <c r="K102" s="214"/>
      <c r="L102" s="214"/>
      <c r="M102" s="214"/>
      <c r="N102" s="216"/>
      <c r="O102" s="216"/>
      <c r="P102" s="216"/>
      <c r="Q102" s="216"/>
      <c r="R102" s="216"/>
      <c r="S102" s="216"/>
      <c r="T102" s="216"/>
      <c r="U102" s="216"/>
      <c r="V102" s="216"/>
      <c r="W102" s="216"/>
      <c r="X102" s="216"/>
      <c r="Y102" s="216"/>
      <c r="Z102" s="216"/>
      <c r="AA102" s="216"/>
    </row>
    <row r="103" ht="15.0" customHeight="1">
      <c r="A103" s="214"/>
      <c r="B103" s="214"/>
      <c r="C103" s="214"/>
      <c r="D103" s="214"/>
      <c r="E103" s="214"/>
      <c r="F103" s="214"/>
      <c r="G103" s="214"/>
      <c r="H103" s="214"/>
      <c r="I103" s="214"/>
      <c r="J103" s="214"/>
      <c r="K103" s="214"/>
      <c r="L103" s="214"/>
      <c r="M103" s="214"/>
      <c r="N103" s="216"/>
      <c r="O103" s="216"/>
      <c r="P103" s="216"/>
      <c r="Q103" s="216"/>
      <c r="R103" s="216"/>
      <c r="S103" s="216"/>
      <c r="T103" s="216"/>
      <c r="U103" s="216"/>
      <c r="V103" s="216"/>
      <c r="W103" s="216"/>
      <c r="X103" s="216"/>
      <c r="Y103" s="216"/>
      <c r="Z103" s="216"/>
      <c r="AA103" s="216"/>
    </row>
    <row r="104" ht="15.0" customHeight="1">
      <c r="A104" s="214"/>
      <c r="B104" s="214"/>
      <c r="C104" s="214"/>
      <c r="D104" s="214"/>
      <c r="E104" s="214"/>
      <c r="F104" s="214"/>
      <c r="G104" s="214"/>
      <c r="H104" s="214"/>
      <c r="I104" s="214"/>
      <c r="J104" s="214"/>
      <c r="K104" s="214"/>
      <c r="L104" s="214"/>
      <c r="M104" s="214"/>
      <c r="N104" s="216"/>
      <c r="O104" s="216"/>
      <c r="P104" s="216"/>
      <c r="Q104" s="216"/>
      <c r="R104" s="216"/>
      <c r="S104" s="216"/>
      <c r="T104" s="216"/>
      <c r="U104" s="216"/>
      <c r="V104" s="216"/>
      <c r="W104" s="216"/>
      <c r="X104" s="216"/>
      <c r="Y104" s="216"/>
      <c r="Z104" s="216"/>
      <c r="AA104" s="216"/>
    </row>
    <row r="105" ht="15.0" customHeight="1">
      <c r="A105" s="214"/>
      <c r="B105" s="214"/>
      <c r="C105" s="214"/>
      <c r="D105" s="214"/>
      <c r="E105" s="214"/>
      <c r="F105" s="214"/>
      <c r="G105" s="214"/>
      <c r="H105" s="214"/>
      <c r="I105" s="214"/>
      <c r="J105" s="214"/>
      <c r="K105" s="214"/>
      <c r="L105" s="214"/>
      <c r="M105" s="214"/>
      <c r="N105" s="216"/>
      <c r="O105" s="216"/>
      <c r="P105" s="216"/>
      <c r="Q105" s="216"/>
      <c r="R105" s="216"/>
      <c r="S105" s="216"/>
      <c r="T105" s="216"/>
      <c r="U105" s="216"/>
      <c r="V105" s="216"/>
      <c r="W105" s="216"/>
      <c r="X105" s="216"/>
      <c r="Y105" s="216"/>
      <c r="Z105" s="216"/>
      <c r="AA105" s="216"/>
    </row>
    <row r="106" ht="15.0" customHeight="1">
      <c r="A106" s="214"/>
      <c r="B106" s="214"/>
      <c r="C106" s="214"/>
      <c r="D106" s="214"/>
      <c r="E106" s="214"/>
      <c r="F106" s="214"/>
      <c r="G106" s="214"/>
      <c r="H106" s="214"/>
      <c r="I106" s="214"/>
      <c r="J106" s="214"/>
      <c r="K106" s="214"/>
      <c r="L106" s="214"/>
      <c r="M106" s="214"/>
      <c r="N106" s="216"/>
      <c r="O106" s="216"/>
      <c r="P106" s="216"/>
      <c r="Q106" s="216"/>
      <c r="R106" s="216"/>
      <c r="S106" s="216"/>
      <c r="T106" s="216"/>
      <c r="U106" s="216"/>
      <c r="V106" s="216"/>
      <c r="W106" s="216"/>
      <c r="X106" s="216"/>
      <c r="Y106" s="216"/>
      <c r="Z106" s="216"/>
      <c r="AA106" s="216"/>
    </row>
    <row r="107" ht="15.0" customHeight="1">
      <c r="A107" s="214"/>
      <c r="B107" s="214"/>
      <c r="C107" s="214"/>
      <c r="D107" s="214"/>
      <c r="E107" s="214"/>
      <c r="F107" s="214"/>
      <c r="G107" s="214"/>
      <c r="H107" s="214"/>
      <c r="I107" s="214"/>
      <c r="J107" s="214"/>
      <c r="K107" s="214"/>
      <c r="L107" s="214"/>
      <c r="M107" s="214"/>
      <c r="N107" s="216"/>
      <c r="O107" s="216"/>
      <c r="P107" s="216"/>
      <c r="Q107" s="216"/>
      <c r="R107" s="216"/>
      <c r="S107" s="216"/>
      <c r="T107" s="216"/>
      <c r="U107" s="216"/>
      <c r="V107" s="216"/>
      <c r="W107" s="216"/>
      <c r="X107" s="216"/>
      <c r="Y107" s="216"/>
      <c r="Z107" s="216"/>
      <c r="AA107" s="216"/>
    </row>
    <row r="108" ht="15.0" customHeight="1">
      <c r="A108" s="214"/>
      <c r="B108" s="214"/>
      <c r="C108" s="214"/>
      <c r="D108" s="214"/>
      <c r="E108" s="214"/>
      <c r="F108" s="214"/>
      <c r="G108" s="214"/>
      <c r="H108" s="214"/>
      <c r="I108" s="214"/>
      <c r="J108" s="214"/>
      <c r="K108" s="214"/>
      <c r="L108" s="214"/>
      <c r="M108" s="214"/>
      <c r="N108" s="216"/>
      <c r="O108" s="216"/>
      <c r="P108" s="216"/>
      <c r="Q108" s="216"/>
      <c r="R108" s="216"/>
      <c r="S108" s="216"/>
      <c r="T108" s="216"/>
      <c r="U108" s="216"/>
      <c r="V108" s="216"/>
      <c r="W108" s="216"/>
      <c r="X108" s="216"/>
      <c r="Y108" s="216"/>
      <c r="Z108" s="216"/>
      <c r="AA108" s="216"/>
    </row>
    <row r="109" ht="15.0" customHeight="1">
      <c r="A109" s="214"/>
      <c r="B109" s="214"/>
      <c r="C109" s="214"/>
      <c r="D109" s="214"/>
      <c r="E109" s="214"/>
      <c r="F109" s="214"/>
      <c r="G109" s="214"/>
      <c r="H109" s="214"/>
      <c r="I109" s="214"/>
      <c r="J109" s="214"/>
      <c r="K109" s="214"/>
      <c r="L109" s="214"/>
      <c r="M109" s="214"/>
      <c r="N109" s="216"/>
      <c r="O109" s="216"/>
      <c r="P109" s="216"/>
      <c r="Q109" s="216"/>
      <c r="R109" s="216"/>
      <c r="S109" s="216"/>
      <c r="T109" s="216"/>
      <c r="U109" s="216"/>
      <c r="V109" s="216"/>
      <c r="W109" s="216"/>
      <c r="X109" s="216"/>
      <c r="Y109" s="216"/>
      <c r="Z109" s="216"/>
      <c r="AA109" s="216"/>
    </row>
    <row r="110" ht="15.0" customHeight="1">
      <c r="A110" s="214"/>
      <c r="B110" s="214"/>
      <c r="C110" s="214"/>
      <c r="D110" s="214"/>
      <c r="E110" s="214"/>
      <c r="F110" s="214"/>
      <c r="G110" s="214"/>
      <c r="H110" s="214"/>
      <c r="I110" s="214"/>
      <c r="J110" s="214"/>
      <c r="K110" s="214"/>
      <c r="L110" s="214"/>
      <c r="M110" s="214"/>
      <c r="N110" s="216"/>
      <c r="O110" s="216"/>
      <c r="P110" s="216"/>
      <c r="Q110" s="216"/>
      <c r="R110" s="216"/>
      <c r="S110" s="216"/>
      <c r="T110" s="216"/>
      <c r="U110" s="216"/>
      <c r="V110" s="216"/>
      <c r="W110" s="216"/>
      <c r="X110" s="216"/>
      <c r="Y110" s="216"/>
      <c r="Z110" s="216"/>
      <c r="AA110" s="216"/>
    </row>
    <row r="111" ht="15.0" customHeight="1">
      <c r="A111" s="214"/>
      <c r="B111" s="214"/>
      <c r="C111" s="214"/>
      <c r="D111" s="214"/>
      <c r="E111" s="214"/>
      <c r="F111" s="214"/>
      <c r="G111" s="214"/>
      <c r="H111" s="214"/>
      <c r="I111" s="214"/>
      <c r="J111" s="214"/>
      <c r="K111" s="214"/>
      <c r="L111" s="214"/>
      <c r="M111" s="214"/>
      <c r="N111" s="216"/>
      <c r="O111" s="216"/>
      <c r="P111" s="216"/>
      <c r="Q111" s="216"/>
      <c r="R111" s="216"/>
      <c r="S111" s="216"/>
      <c r="T111" s="216"/>
      <c r="U111" s="216"/>
      <c r="V111" s="216"/>
      <c r="W111" s="216"/>
      <c r="X111" s="216"/>
      <c r="Y111" s="216"/>
      <c r="Z111" s="216"/>
      <c r="AA111" s="216"/>
    </row>
    <row r="112" ht="15.0" customHeight="1">
      <c r="A112" s="214"/>
      <c r="B112" s="214"/>
      <c r="C112" s="214"/>
      <c r="D112" s="214"/>
      <c r="E112" s="214"/>
      <c r="F112" s="214"/>
      <c r="G112" s="214"/>
      <c r="H112" s="214"/>
      <c r="I112" s="214"/>
      <c r="J112" s="214"/>
      <c r="K112" s="214"/>
      <c r="L112" s="214"/>
      <c r="M112" s="214"/>
      <c r="N112" s="216"/>
      <c r="O112" s="216"/>
      <c r="P112" s="216"/>
      <c r="Q112" s="216"/>
      <c r="R112" s="216"/>
      <c r="S112" s="216"/>
      <c r="T112" s="216"/>
      <c r="U112" s="216"/>
      <c r="V112" s="216"/>
      <c r="W112" s="216"/>
      <c r="X112" s="216"/>
      <c r="Y112" s="216"/>
      <c r="Z112" s="216"/>
      <c r="AA112" s="216"/>
    </row>
    <row r="113" ht="15.0" customHeight="1">
      <c r="A113" s="214"/>
      <c r="B113" s="214"/>
      <c r="C113" s="214"/>
      <c r="D113" s="214"/>
      <c r="E113" s="214"/>
      <c r="F113" s="214"/>
      <c r="G113" s="214"/>
      <c r="H113" s="214"/>
      <c r="I113" s="214"/>
      <c r="J113" s="214"/>
      <c r="K113" s="214"/>
      <c r="L113" s="214"/>
      <c r="M113" s="214"/>
      <c r="N113" s="216"/>
      <c r="O113" s="216"/>
      <c r="P113" s="216"/>
      <c r="Q113" s="216"/>
      <c r="R113" s="216"/>
      <c r="S113" s="216"/>
      <c r="T113" s="216"/>
      <c r="U113" s="216"/>
      <c r="V113" s="216"/>
      <c r="W113" s="216"/>
      <c r="X113" s="216"/>
      <c r="Y113" s="216"/>
      <c r="Z113" s="216"/>
      <c r="AA113" s="216"/>
    </row>
    <row r="114" ht="15.0" customHeight="1">
      <c r="A114" s="214"/>
      <c r="B114" s="214"/>
      <c r="C114" s="214"/>
      <c r="D114" s="214"/>
      <c r="E114" s="214"/>
      <c r="F114" s="214"/>
      <c r="G114" s="214"/>
      <c r="H114" s="214"/>
      <c r="I114" s="214"/>
      <c r="J114" s="214"/>
      <c r="K114" s="214"/>
      <c r="L114" s="214"/>
      <c r="M114" s="214"/>
      <c r="N114" s="216"/>
      <c r="O114" s="216"/>
      <c r="P114" s="216"/>
      <c r="Q114" s="216"/>
      <c r="R114" s="216"/>
      <c r="S114" s="216"/>
      <c r="T114" s="216"/>
      <c r="U114" s="216"/>
      <c r="V114" s="216"/>
      <c r="W114" s="216"/>
      <c r="X114" s="216"/>
      <c r="Y114" s="216"/>
      <c r="Z114" s="216"/>
      <c r="AA114" s="216"/>
    </row>
    <row r="115" ht="15.0" customHeight="1">
      <c r="A115" s="214"/>
      <c r="B115" s="214"/>
      <c r="C115" s="214"/>
      <c r="D115" s="214"/>
      <c r="E115" s="214"/>
      <c r="F115" s="214"/>
      <c r="G115" s="214"/>
      <c r="H115" s="214"/>
      <c r="I115" s="214"/>
      <c r="J115" s="214"/>
      <c r="K115" s="214"/>
      <c r="L115" s="214"/>
      <c r="M115" s="214"/>
      <c r="N115" s="216"/>
      <c r="O115" s="216"/>
      <c r="P115" s="216"/>
      <c r="Q115" s="216"/>
      <c r="R115" s="216"/>
      <c r="S115" s="216"/>
      <c r="T115" s="216"/>
      <c r="U115" s="216"/>
      <c r="V115" s="216"/>
      <c r="W115" s="216"/>
      <c r="X115" s="216"/>
      <c r="Y115" s="216"/>
      <c r="Z115" s="216"/>
      <c r="AA115" s="216"/>
    </row>
    <row r="116" ht="15.0" customHeight="1">
      <c r="A116" s="214"/>
      <c r="B116" s="214"/>
      <c r="C116" s="214"/>
      <c r="D116" s="214"/>
      <c r="E116" s="214"/>
      <c r="F116" s="214"/>
      <c r="G116" s="214"/>
      <c r="H116" s="214"/>
      <c r="I116" s="214"/>
      <c r="J116" s="214"/>
      <c r="K116" s="214"/>
      <c r="L116" s="214"/>
      <c r="M116" s="214"/>
      <c r="N116" s="216"/>
      <c r="O116" s="216"/>
      <c r="P116" s="216"/>
      <c r="Q116" s="216"/>
      <c r="R116" s="216"/>
      <c r="S116" s="216"/>
      <c r="T116" s="216"/>
      <c r="U116" s="216"/>
      <c r="V116" s="216"/>
      <c r="W116" s="216"/>
      <c r="X116" s="216"/>
      <c r="Y116" s="216"/>
      <c r="Z116" s="216"/>
      <c r="AA116" s="216"/>
    </row>
    <row r="117" ht="15.0" customHeight="1">
      <c r="A117" s="214"/>
      <c r="B117" s="214"/>
      <c r="C117" s="214"/>
      <c r="D117" s="214"/>
      <c r="E117" s="214"/>
      <c r="F117" s="214"/>
      <c r="G117" s="214"/>
      <c r="H117" s="214"/>
      <c r="I117" s="214"/>
      <c r="J117" s="214"/>
      <c r="K117" s="214"/>
      <c r="L117" s="214"/>
      <c r="M117" s="214"/>
      <c r="N117" s="216"/>
      <c r="O117" s="216"/>
      <c r="P117" s="216"/>
      <c r="Q117" s="216"/>
      <c r="R117" s="216"/>
      <c r="S117" s="216"/>
      <c r="T117" s="216"/>
      <c r="U117" s="216"/>
      <c r="V117" s="216"/>
      <c r="W117" s="216"/>
      <c r="X117" s="216"/>
      <c r="Y117" s="216"/>
      <c r="Z117" s="216"/>
      <c r="AA117" s="216"/>
    </row>
    <row r="118" ht="15.0" customHeight="1">
      <c r="A118" s="214"/>
      <c r="B118" s="214"/>
      <c r="C118" s="214"/>
      <c r="D118" s="214"/>
      <c r="E118" s="214"/>
      <c r="F118" s="214"/>
      <c r="G118" s="214"/>
      <c r="H118" s="214"/>
      <c r="I118" s="214"/>
      <c r="J118" s="214"/>
      <c r="K118" s="214"/>
      <c r="L118" s="214"/>
      <c r="M118" s="214"/>
      <c r="N118" s="216"/>
      <c r="O118" s="216"/>
      <c r="P118" s="216"/>
      <c r="Q118" s="216"/>
      <c r="R118" s="216"/>
      <c r="S118" s="216"/>
      <c r="T118" s="216"/>
      <c r="U118" s="216"/>
      <c r="V118" s="216"/>
      <c r="W118" s="216"/>
      <c r="X118" s="216"/>
      <c r="Y118" s="216"/>
      <c r="Z118" s="216"/>
      <c r="AA118" s="216"/>
    </row>
    <row r="119" ht="15.0" customHeight="1">
      <c r="A119" s="214"/>
      <c r="B119" s="214"/>
      <c r="C119" s="214"/>
      <c r="D119" s="214"/>
      <c r="E119" s="214"/>
      <c r="F119" s="214"/>
      <c r="G119" s="214"/>
      <c r="H119" s="214"/>
      <c r="I119" s="214"/>
      <c r="J119" s="214"/>
      <c r="K119" s="214"/>
      <c r="L119" s="214"/>
      <c r="M119" s="214"/>
      <c r="N119" s="216"/>
      <c r="O119" s="216"/>
      <c r="P119" s="216"/>
      <c r="Q119" s="216"/>
      <c r="R119" s="216"/>
      <c r="S119" s="216"/>
      <c r="T119" s="216"/>
      <c r="U119" s="216"/>
      <c r="V119" s="216"/>
      <c r="W119" s="216"/>
      <c r="X119" s="216"/>
      <c r="Y119" s="216"/>
      <c r="Z119" s="216"/>
      <c r="AA119" s="216"/>
    </row>
    <row r="120" ht="15.0" customHeight="1">
      <c r="A120" s="214"/>
      <c r="B120" s="214"/>
      <c r="C120" s="214"/>
      <c r="D120" s="214"/>
      <c r="E120" s="214"/>
      <c r="F120" s="214"/>
      <c r="G120" s="214"/>
      <c r="H120" s="214"/>
      <c r="I120" s="214"/>
      <c r="J120" s="214"/>
      <c r="K120" s="214"/>
      <c r="L120" s="214"/>
      <c r="M120" s="214"/>
      <c r="N120" s="216"/>
      <c r="O120" s="216"/>
      <c r="P120" s="216"/>
      <c r="Q120" s="216"/>
      <c r="R120" s="216"/>
      <c r="S120" s="216"/>
      <c r="T120" s="216"/>
      <c r="U120" s="216"/>
      <c r="V120" s="216"/>
      <c r="W120" s="216"/>
      <c r="X120" s="216"/>
      <c r="Y120" s="216"/>
      <c r="Z120" s="216"/>
      <c r="AA120" s="216"/>
    </row>
    <row r="121" ht="15.0" customHeight="1">
      <c r="A121" s="214"/>
      <c r="B121" s="214"/>
      <c r="C121" s="214"/>
      <c r="D121" s="214"/>
      <c r="E121" s="214"/>
      <c r="F121" s="214"/>
      <c r="G121" s="214"/>
      <c r="H121" s="214"/>
      <c r="I121" s="214"/>
      <c r="J121" s="214"/>
      <c r="K121" s="214"/>
      <c r="L121" s="214"/>
      <c r="M121" s="214"/>
      <c r="N121" s="216"/>
      <c r="O121" s="216"/>
      <c r="P121" s="216"/>
      <c r="Q121" s="216"/>
      <c r="R121" s="216"/>
      <c r="S121" s="216"/>
      <c r="T121" s="216"/>
      <c r="U121" s="216"/>
      <c r="V121" s="216"/>
      <c r="W121" s="216"/>
      <c r="X121" s="216"/>
      <c r="Y121" s="216"/>
      <c r="Z121" s="216"/>
      <c r="AA121" s="216"/>
    </row>
    <row r="122" ht="15.0" customHeight="1">
      <c r="A122" s="214"/>
      <c r="B122" s="214"/>
      <c r="C122" s="214"/>
      <c r="D122" s="214"/>
      <c r="E122" s="214"/>
      <c r="F122" s="214"/>
      <c r="G122" s="214"/>
      <c r="H122" s="214"/>
      <c r="I122" s="214"/>
      <c r="J122" s="214"/>
      <c r="K122" s="214"/>
      <c r="L122" s="214"/>
      <c r="M122" s="214"/>
      <c r="N122" s="216"/>
      <c r="O122" s="216"/>
      <c r="P122" s="216"/>
      <c r="Q122" s="216"/>
      <c r="R122" s="216"/>
      <c r="S122" s="216"/>
      <c r="T122" s="216"/>
      <c r="U122" s="216"/>
      <c r="V122" s="216"/>
      <c r="W122" s="216"/>
      <c r="X122" s="216"/>
      <c r="Y122" s="216"/>
      <c r="Z122" s="216"/>
      <c r="AA122" s="216"/>
    </row>
    <row r="123" ht="15.0" customHeight="1">
      <c r="A123" s="214"/>
      <c r="B123" s="214"/>
      <c r="C123" s="214"/>
      <c r="D123" s="214"/>
      <c r="E123" s="214"/>
      <c r="F123" s="214"/>
      <c r="G123" s="214"/>
      <c r="H123" s="214"/>
      <c r="I123" s="214"/>
      <c r="J123" s="214"/>
      <c r="K123" s="214"/>
      <c r="L123" s="214"/>
      <c r="M123" s="214"/>
      <c r="N123" s="216"/>
      <c r="O123" s="216"/>
      <c r="P123" s="216"/>
      <c r="Q123" s="216"/>
      <c r="R123" s="216"/>
      <c r="S123" s="216"/>
      <c r="T123" s="216"/>
      <c r="U123" s="216"/>
      <c r="V123" s="216"/>
      <c r="W123" s="216"/>
      <c r="X123" s="216"/>
      <c r="Y123" s="216"/>
      <c r="Z123" s="216"/>
      <c r="AA123" s="216"/>
    </row>
    <row r="124" ht="15.0" customHeight="1">
      <c r="A124" s="214"/>
      <c r="B124" s="214"/>
      <c r="C124" s="214"/>
      <c r="D124" s="214"/>
      <c r="E124" s="214"/>
      <c r="F124" s="214"/>
      <c r="G124" s="214"/>
      <c r="H124" s="214"/>
      <c r="I124" s="214"/>
      <c r="J124" s="214"/>
      <c r="K124" s="214"/>
      <c r="L124" s="214"/>
      <c r="M124" s="214"/>
      <c r="N124" s="216"/>
      <c r="O124" s="216"/>
      <c r="P124" s="216"/>
      <c r="Q124" s="216"/>
      <c r="R124" s="216"/>
      <c r="S124" s="216"/>
      <c r="T124" s="216"/>
      <c r="U124" s="216"/>
      <c r="V124" s="216"/>
      <c r="W124" s="216"/>
      <c r="X124" s="216"/>
      <c r="Y124" s="216"/>
      <c r="Z124" s="216"/>
      <c r="AA124" s="216"/>
    </row>
    <row r="125" ht="15.0" customHeight="1">
      <c r="A125" s="214"/>
      <c r="B125" s="214"/>
      <c r="C125" s="214"/>
      <c r="D125" s="214"/>
      <c r="E125" s="214"/>
      <c r="F125" s="214"/>
      <c r="G125" s="214"/>
      <c r="H125" s="214"/>
      <c r="I125" s="214"/>
      <c r="J125" s="214"/>
      <c r="K125" s="214"/>
      <c r="L125" s="214"/>
      <c r="M125" s="214"/>
      <c r="N125" s="216"/>
      <c r="O125" s="216"/>
      <c r="P125" s="216"/>
      <c r="Q125" s="216"/>
      <c r="R125" s="216"/>
      <c r="S125" s="216"/>
      <c r="T125" s="216"/>
      <c r="U125" s="216"/>
      <c r="V125" s="216"/>
      <c r="W125" s="216"/>
      <c r="X125" s="216"/>
      <c r="Y125" s="216"/>
      <c r="Z125" s="216"/>
      <c r="AA125" s="216"/>
    </row>
    <row r="126" ht="15.0" customHeight="1">
      <c r="A126" s="214"/>
      <c r="B126" s="214"/>
      <c r="C126" s="214"/>
      <c r="D126" s="214"/>
      <c r="E126" s="214"/>
      <c r="F126" s="214"/>
      <c r="G126" s="214"/>
      <c r="H126" s="214"/>
      <c r="I126" s="214"/>
      <c r="J126" s="214"/>
      <c r="K126" s="214"/>
      <c r="L126" s="214"/>
      <c r="M126" s="214"/>
      <c r="N126" s="216"/>
      <c r="O126" s="216"/>
      <c r="P126" s="216"/>
      <c r="Q126" s="216"/>
      <c r="R126" s="216"/>
      <c r="S126" s="216"/>
      <c r="T126" s="216"/>
      <c r="U126" s="216"/>
      <c r="V126" s="216"/>
      <c r="W126" s="216"/>
      <c r="X126" s="216"/>
      <c r="Y126" s="216"/>
      <c r="Z126" s="216"/>
      <c r="AA126" s="216"/>
    </row>
    <row r="127" ht="15.0" customHeight="1">
      <c r="A127" s="214"/>
      <c r="B127" s="214"/>
      <c r="C127" s="214"/>
      <c r="D127" s="214"/>
      <c r="E127" s="214"/>
      <c r="F127" s="214"/>
      <c r="G127" s="214"/>
      <c r="H127" s="214"/>
      <c r="I127" s="214"/>
      <c r="J127" s="214"/>
      <c r="K127" s="214"/>
      <c r="L127" s="214"/>
      <c r="M127" s="214"/>
      <c r="N127" s="216"/>
      <c r="O127" s="216"/>
      <c r="P127" s="216"/>
      <c r="Q127" s="216"/>
      <c r="R127" s="216"/>
      <c r="S127" s="216"/>
      <c r="T127" s="216"/>
      <c r="U127" s="216"/>
      <c r="V127" s="216"/>
      <c r="W127" s="216"/>
      <c r="X127" s="216"/>
      <c r="Y127" s="216"/>
      <c r="Z127" s="216"/>
      <c r="AA127" s="216"/>
    </row>
    <row r="128" ht="15.0" customHeight="1">
      <c r="A128" s="214"/>
      <c r="B128" s="214"/>
      <c r="C128" s="214"/>
      <c r="D128" s="214"/>
      <c r="E128" s="214"/>
      <c r="F128" s="214"/>
      <c r="G128" s="214"/>
      <c r="H128" s="214"/>
      <c r="I128" s="214"/>
      <c r="J128" s="214"/>
      <c r="K128" s="214"/>
      <c r="L128" s="214"/>
      <c r="M128" s="214"/>
      <c r="N128" s="216"/>
      <c r="O128" s="216"/>
      <c r="P128" s="216"/>
      <c r="Q128" s="216"/>
      <c r="R128" s="216"/>
      <c r="S128" s="216"/>
      <c r="T128" s="216"/>
      <c r="U128" s="216"/>
      <c r="V128" s="216"/>
      <c r="W128" s="216"/>
      <c r="X128" s="216"/>
      <c r="Y128" s="216"/>
      <c r="Z128" s="216"/>
      <c r="AA128" s="216"/>
    </row>
    <row r="129" ht="15.0" customHeight="1">
      <c r="A129" s="214"/>
      <c r="B129" s="214"/>
      <c r="C129" s="214"/>
      <c r="D129" s="214"/>
      <c r="E129" s="214"/>
      <c r="F129" s="214"/>
      <c r="G129" s="214"/>
      <c r="H129" s="214"/>
      <c r="I129" s="214"/>
      <c r="J129" s="214"/>
      <c r="K129" s="214"/>
      <c r="L129" s="214"/>
      <c r="M129" s="214"/>
      <c r="N129" s="216"/>
      <c r="O129" s="216"/>
      <c r="P129" s="216"/>
      <c r="Q129" s="216"/>
      <c r="R129" s="216"/>
      <c r="S129" s="216"/>
      <c r="T129" s="216"/>
      <c r="U129" s="216"/>
      <c r="V129" s="216"/>
      <c r="W129" s="216"/>
      <c r="X129" s="216"/>
      <c r="Y129" s="216"/>
      <c r="Z129" s="216"/>
      <c r="AA129" s="216"/>
    </row>
    <row r="130" ht="15.0" customHeight="1">
      <c r="A130" s="214"/>
      <c r="B130" s="214"/>
      <c r="C130" s="214"/>
      <c r="D130" s="214"/>
      <c r="E130" s="214"/>
      <c r="F130" s="214"/>
      <c r="G130" s="214"/>
      <c r="H130" s="214"/>
      <c r="I130" s="214"/>
      <c r="J130" s="214"/>
      <c r="K130" s="214"/>
      <c r="L130" s="214"/>
      <c r="M130" s="214"/>
      <c r="N130" s="216"/>
      <c r="O130" s="216"/>
      <c r="P130" s="216"/>
      <c r="Q130" s="216"/>
      <c r="R130" s="216"/>
      <c r="S130" s="216"/>
      <c r="T130" s="216"/>
      <c r="U130" s="216"/>
      <c r="V130" s="216"/>
      <c r="W130" s="216"/>
      <c r="X130" s="216"/>
      <c r="Y130" s="216"/>
      <c r="Z130" s="216"/>
      <c r="AA130" s="216"/>
    </row>
    <row r="131" ht="15.0" customHeight="1">
      <c r="A131" s="214"/>
      <c r="B131" s="214"/>
      <c r="C131" s="214"/>
      <c r="D131" s="214"/>
      <c r="E131" s="214"/>
      <c r="F131" s="214"/>
      <c r="G131" s="214"/>
      <c r="H131" s="214"/>
      <c r="I131" s="214"/>
      <c r="J131" s="214"/>
      <c r="K131" s="214"/>
      <c r="L131" s="214"/>
      <c r="M131" s="214"/>
      <c r="N131" s="216"/>
      <c r="O131" s="216"/>
      <c r="P131" s="216"/>
      <c r="Q131" s="216"/>
      <c r="R131" s="216"/>
      <c r="S131" s="216"/>
      <c r="T131" s="216"/>
      <c r="U131" s="216"/>
      <c r="V131" s="216"/>
      <c r="W131" s="216"/>
      <c r="X131" s="216"/>
      <c r="Y131" s="216"/>
      <c r="Z131" s="216"/>
      <c r="AA131" s="216"/>
    </row>
    <row r="132" ht="15.0" customHeight="1">
      <c r="A132" s="214"/>
      <c r="B132" s="214"/>
      <c r="C132" s="214"/>
      <c r="D132" s="214"/>
      <c r="E132" s="214"/>
      <c r="F132" s="214"/>
      <c r="G132" s="214"/>
      <c r="H132" s="214"/>
      <c r="I132" s="214"/>
      <c r="J132" s="214"/>
      <c r="K132" s="214"/>
      <c r="L132" s="214"/>
      <c r="M132" s="214"/>
      <c r="N132" s="216"/>
      <c r="O132" s="216"/>
      <c r="P132" s="216"/>
      <c r="Q132" s="216"/>
      <c r="R132" s="216"/>
      <c r="S132" s="216"/>
      <c r="T132" s="216"/>
      <c r="U132" s="216"/>
      <c r="V132" s="216"/>
      <c r="W132" s="216"/>
      <c r="X132" s="216"/>
      <c r="Y132" s="216"/>
      <c r="Z132" s="216"/>
      <c r="AA132" s="216"/>
    </row>
    <row r="133" ht="15.0" customHeight="1">
      <c r="A133" s="214"/>
      <c r="B133" s="214"/>
      <c r="C133" s="214"/>
      <c r="D133" s="214"/>
      <c r="E133" s="214"/>
      <c r="F133" s="214"/>
      <c r="G133" s="214"/>
      <c r="H133" s="214"/>
      <c r="I133" s="214"/>
      <c r="J133" s="214"/>
      <c r="K133" s="214"/>
      <c r="L133" s="214"/>
      <c r="M133" s="214"/>
      <c r="N133" s="216"/>
      <c r="O133" s="216"/>
      <c r="P133" s="216"/>
      <c r="Q133" s="216"/>
      <c r="R133" s="216"/>
      <c r="S133" s="216"/>
      <c r="T133" s="216"/>
      <c r="U133" s="216"/>
      <c r="V133" s="216"/>
      <c r="W133" s="216"/>
      <c r="X133" s="216"/>
      <c r="Y133" s="216"/>
      <c r="Z133" s="216"/>
      <c r="AA133" s="216"/>
    </row>
    <row r="134" ht="15.0" customHeight="1">
      <c r="A134" s="214"/>
      <c r="B134" s="214"/>
      <c r="C134" s="214"/>
      <c r="D134" s="214"/>
      <c r="E134" s="214"/>
      <c r="F134" s="214"/>
      <c r="G134" s="214"/>
      <c r="H134" s="214"/>
      <c r="I134" s="214"/>
      <c r="J134" s="214"/>
      <c r="K134" s="214"/>
      <c r="L134" s="214"/>
      <c r="M134" s="214"/>
      <c r="N134" s="216"/>
      <c r="O134" s="216"/>
      <c r="P134" s="216"/>
      <c r="Q134" s="216"/>
      <c r="R134" s="216"/>
      <c r="S134" s="216"/>
      <c r="T134" s="216"/>
      <c r="U134" s="216"/>
      <c r="V134" s="216"/>
      <c r="W134" s="216"/>
      <c r="X134" s="216"/>
      <c r="Y134" s="216"/>
      <c r="Z134" s="216"/>
      <c r="AA134" s="216"/>
    </row>
    <row r="135" ht="15.0" customHeight="1">
      <c r="A135" s="214"/>
      <c r="B135" s="214"/>
      <c r="C135" s="214"/>
      <c r="D135" s="214"/>
      <c r="E135" s="214"/>
      <c r="F135" s="214"/>
      <c r="G135" s="214"/>
      <c r="H135" s="214"/>
      <c r="I135" s="214"/>
      <c r="J135" s="214"/>
      <c r="K135" s="214"/>
      <c r="L135" s="214"/>
      <c r="M135" s="214"/>
      <c r="N135" s="216"/>
      <c r="O135" s="216"/>
      <c r="P135" s="216"/>
      <c r="Q135" s="216"/>
      <c r="R135" s="216"/>
      <c r="S135" s="216"/>
      <c r="T135" s="216"/>
      <c r="U135" s="216"/>
      <c r="V135" s="216"/>
      <c r="W135" s="216"/>
      <c r="X135" s="216"/>
      <c r="Y135" s="216"/>
      <c r="Z135" s="216"/>
      <c r="AA135" s="216"/>
    </row>
    <row r="136" ht="15.0" customHeight="1">
      <c r="A136" s="214"/>
      <c r="B136" s="214"/>
      <c r="C136" s="214"/>
      <c r="D136" s="214"/>
      <c r="E136" s="214"/>
      <c r="F136" s="214"/>
      <c r="G136" s="214"/>
      <c r="H136" s="214"/>
      <c r="I136" s="214"/>
      <c r="J136" s="214"/>
      <c r="K136" s="214"/>
      <c r="L136" s="214"/>
      <c r="M136" s="214"/>
      <c r="N136" s="216"/>
      <c r="O136" s="216"/>
      <c r="P136" s="216"/>
      <c r="Q136" s="216"/>
      <c r="R136" s="216"/>
      <c r="S136" s="216"/>
      <c r="T136" s="216"/>
      <c r="U136" s="216"/>
      <c r="V136" s="216"/>
      <c r="W136" s="216"/>
      <c r="X136" s="216"/>
      <c r="Y136" s="216"/>
      <c r="Z136" s="216"/>
      <c r="AA136" s="216"/>
    </row>
    <row r="137" ht="15.0" customHeight="1">
      <c r="A137" s="214"/>
      <c r="B137" s="214"/>
      <c r="C137" s="214"/>
      <c r="D137" s="214"/>
      <c r="E137" s="214"/>
      <c r="F137" s="214"/>
      <c r="G137" s="214"/>
      <c r="H137" s="214"/>
      <c r="I137" s="214"/>
      <c r="J137" s="214"/>
      <c r="K137" s="214"/>
      <c r="L137" s="214"/>
      <c r="M137" s="214"/>
      <c r="N137" s="216"/>
      <c r="O137" s="216"/>
      <c r="P137" s="216"/>
      <c r="Q137" s="216"/>
      <c r="R137" s="216"/>
      <c r="S137" s="216"/>
      <c r="T137" s="216"/>
      <c r="U137" s="216"/>
      <c r="V137" s="216"/>
      <c r="W137" s="216"/>
      <c r="X137" s="216"/>
      <c r="Y137" s="216"/>
      <c r="Z137" s="216"/>
      <c r="AA137" s="216"/>
    </row>
    <row r="138" ht="15.0" customHeight="1">
      <c r="A138" s="214"/>
      <c r="B138" s="214"/>
      <c r="C138" s="214"/>
      <c r="D138" s="214"/>
      <c r="E138" s="214"/>
      <c r="F138" s="214"/>
      <c r="G138" s="214"/>
      <c r="H138" s="214"/>
      <c r="I138" s="214"/>
      <c r="J138" s="214"/>
      <c r="K138" s="214"/>
      <c r="L138" s="214"/>
      <c r="M138" s="214"/>
      <c r="N138" s="216"/>
      <c r="O138" s="216"/>
      <c r="P138" s="216"/>
      <c r="Q138" s="216"/>
      <c r="R138" s="216"/>
      <c r="S138" s="216"/>
      <c r="T138" s="216"/>
      <c r="U138" s="216"/>
      <c r="V138" s="216"/>
      <c r="W138" s="216"/>
      <c r="X138" s="216"/>
      <c r="Y138" s="216"/>
      <c r="Z138" s="216"/>
      <c r="AA138" s="216"/>
    </row>
    <row r="139" ht="15.0" customHeight="1">
      <c r="A139" s="214"/>
      <c r="B139" s="214"/>
      <c r="C139" s="214"/>
      <c r="D139" s="214"/>
      <c r="E139" s="214"/>
      <c r="F139" s="214"/>
      <c r="G139" s="214"/>
      <c r="H139" s="214"/>
      <c r="I139" s="214"/>
      <c r="J139" s="214"/>
      <c r="K139" s="214"/>
      <c r="L139" s="214"/>
      <c r="M139" s="214"/>
      <c r="N139" s="216"/>
      <c r="O139" s="216"/>
      <c r="P139" s="216"/>
      <c r="Q139" s="216"/>
      <c r="R139" s="216"/>
      <c r="S139" s="216"/>
      <c r="T139" s="216"/>
      <c r="U139" s="216"/>
      <c r="V139" s="216"/>
      <c r="W139" s="216"/>
      <c r="X139" s="216"/>
      <c r="Y139" s="216"/>
      <c r="Z139" s="216"/>
      <c r="AA139" s="216"/>
    </row>
    <row r="140" ht="15.0" customHeight="1">
      <c r="A140" s="214"/>
      <c r="B140" s="214"/>
      <c r="C140" s="214"/>
      <c r="D140" s="214"/>
      <c r="E140" s="214"/>
      <c r="F140" s="214"/>
      <c r="G140" s="214"/>
      <c r="H140" s="214"/>
      <c r="I140" s="214"/>
      <c r="J140" s="214"/>
      <c r="K140" s="214"/>
      <c r="L140" s="214"/>
      <c r="M140" s="214"/>
      <c r="N140" s="216"/>
      <c r="O140" s="216"/>
      <c r="P140" s="216"/>
      <c r="Q140" s="216"/>
      <c r="R140" s="216"/>
      <c r="S140" s="216"/>
      <c r="T140" s="216"/>
      <c r="U140" s="216"/>
      <c r="V140" s="216"/>
      <c r="W140" s="216"/>
      <c r="X140" s="216"/>
      <c r="Y140" s="216"/>
      <c r="Z140" s="216"/>
      <c r="AA140" s="216"/>
    </row>
    <row r="141" ht="15.0" customHeight="1">
      <c r="A141" s="214"/>
      <c r="B141" s="214"/>
      <c r="C141" s="214"/>
      <c r="D141" s="214"/>
      <c r="E141" s="214"/>
      <c r="F141" s="214"/>
      <c r="G141" s="214"/>
      <c r="H141" s="214"/>
      <c r="I141" s="214"/>
      <c r="J141" s="214"/>
      <c r="K141" s="214"/>
      <c r="L141" s="214"/>
      <c r="M141" s="214"/>
      <c r="N141" s="216"/>
      <c r="O141" s="216"/>
      <c r="P141" s="216"/>
      <c r="Q141" s="216"/>
      <c r="R141" s="216"/>
      <c r="S141" s="216"/>
      <c r="T141" s="216"/>
      <c r="U141" s="216"/>
      <c r="V141" s="216"/>
      <c r="W141" s="216"/>
      <c r="X141" s="216"/>
      <c r="Y141" s="216"/>
      <c r="Z141" s="216"/>
      <c r="AA141" s="216"/>
    </row>
    <row r="142" ht="15.0" customHeight="1">
      <c r="A142" s="214"/>
      <c r="B142" s="214"/>
      <c r="C142" s="214"/>
      <c r="D142" s="214"/>
      <c r="E142" s="214"/>
      <c r="F142" s="214"/>
      <c r="G142" s="214"/>
      <c r="H142" s="214"/>
      <c r="I142" s="214"/>
      <c r="J142" s="214"/>
      <c r="K142" s="214"/>
      <c r="L142" s="214"/>
      <c r="M142" s="214"/>
      <c r="N142" s="216"/>
      <c r="O142" s="216"/>
      <c r="P142" s="216"/>
      <c r="Q142" s="216"/>
      <c r="R142" s="216"/>
      <c r="S142" s="216"/>
      <c r="T142" s="216"/>
      <c r="U142" s="216"/>
      <c r="V142" s="216"/>
      <c r="W142" s="216"/>
      <c r="X142" s="216"/>
      <c r="Y142" s="216"/>
      <c r="Z142" s="216"/>
      <c r="AA142" s="216"/>
    </row>
    <row r="143" ht="15.0" customHeight="1">
      <c r="A143" s="214"/>
      <c r="B143" s="214"/>
      <c r="C143" s="214"/>
      <c r="D143" s="214"/>
      <c r="E143" s="214"/>
      <c r="F143" s="214"/>
      <c r="G143" s="214"/>
      <c r="H143" s="214"/>
      <c r="I143" s="214"/>
      <c r="J143" s="214"/>
      <c r="K143" s="214"/>
      <c r="L143" s="214"/>
      <c r="M143" s="214"/>
      <c r="N143" s="216"/>
      <c r="O143" s="216"/>
      <c r="P143" s="216"/>
      <c r="Q143" s="216"/>
      <c r="R143" s="216"/>
      <c r="S143" s="216"/>
      <c r="T143" s="216"/>
      <c r="U143" s="216"/>
      <c r="V143" s="216"/>
      <c r="W143" s="216"/>
      <c r="X143" s="216"/>
      <c r="Y143" s="216"/>
      <c r="Z143" s="216"/>
      <c r="AA143" s="216"/>
    </row>
    <row r="144" ht="15.0" customHeight="1">
      <c r="A144" s="214"/>
      <c r="B144" s="214"/>
      <c r="C144" s="214"/>
      <c r="D144" s="214"/>
      <c r="E144" s="214"/>
      <c r="F144" s="214"/>
      <c r="G144" s="214"/>
      <c r="H144" s="214"/>
      <c r="I144" s="214"/>
      <c r="J144" s="214"/>
      <c r="K144" s="214"/>
      <c r="L144" s="214"/>
      <c r="M144" s="214"/>
      <c r="N144" s="216"/>
      <c r="O144" s="216"/>
      <c r="P144" s="216"/>
      <c r="Q144" s="216"/>
      <c r="R144" s="216"/>
      <c r="S144" s="216"/>
      <c r="T144" s="216"/>
      <c r="U144" s="216"/>
      <c r="V144" s="216"/>
      <c r="W144" s="216"/>
      <c r="X144" s="216"/>
      <c r="Y144" s="216"/>
      <c r="Z144" s="216"/>
      <c r="AA144" s="216"/>
    </row>
    <row r="145" ht="15.0" customHeight="1">
      <c r="A145" s="214"/>
      <c r="B145" s="214"/>
      <c r="C145" s="214"/>
      <c r="D145" s="214"/>
      <c r="E145" s="214"/>
      <c r="F145" s="214"/>
      <c r="G145" s="214"/>
      <c r="H145" s="214"/>
      <c r="I145" s="214"/>
      <c r="J145" s="214"/>
      <c r="K145" s="214"/>
      <c r="L145" s="214"/>
      <c r="M145" s="214"/>
      <c r="N145" s="216"/>
      <c r="O145" s="216"/>
      <c r="P145" s="216"/>
      <c r="Q145" s="216"/>
      <c r="R145" s="216"/>
      <c r="S145" s="216"/>
      <c r="T145" s="216"/>
      <c r="U145" s="216"/>
      <c r="V145" s="216"/>
      <c r="W145" s="216"/>
      <c r="X145" s="216"/>
      <c r="Y145" s="216"/>
      <c r="Z145" s="216"/>
      <c r="AA145" s="216"/>
    </row>
    <row r="146" ht="15.0" customHeight="1">
      <c r="A146" s="214"/>
      <c r="B146" s="214"/>
      <c r="C146" s="214"/>
      <c r="D146" s="214"/>
      <c r="E146" s="214"/>
      <c r="F146" s="214"/>
      <c r="G146" s="214"/>
      <c r="H146" s="214"/>
      <c r="I146" s="214"/>
      <c r="J146" s="214"/>
      <c r="K146" s="214"/>
      <c r="L146" s="214"/>
      <c r="M146" s="214"/>
      <c r="N146" s="216"/>
      <c r="O146" s="216"/>
      <c r="P146" s="216"/>
      <c r="Q146" s="216"/>
      <c r="R146" s="216"/>
      <c r="S146" s="216"/>
      <c r="T146" s="216"/>
      <c r="U146" s="216"/>
      <c r="V146" s="216"/>
      <c r="W146" s="216"/>
      <c r="X146" s="216"/>
      <c r="Y146" s="216"/>
      <c r="Z146" s="216"/>
      <c r="AA146" s="216"/>
    </row>
    <row r="147" ht="15.0" customHeight="1">
      <c r="A147" s="214"/>
      <c r="B147" s="214"/>
      <c r="C147" s="214"/>
      <c r="D147" s="214"/>
      <c r="E147" s="214"/>
      <c r="F147" s="214"/>
      <c r="G147" s="214"/>
      <c r="H147" s="214"/>
      <c r="I147" s="214"/>
      <c r="J147" s="214"/>
      <c r="K147" s="214"/>
      <c r="L147" s="214"/>
      <c r="M147" s="214"/>
      <c r="N147" s="216"/>
      <c r="O147" s="216"/>
      <c r="P147" s="216"/>
      <c r="Q147" s="216"/>
      <c r="R147" s="216"/>
      <c r="S147" s="216"/>
      <c r="T147" s="216"/>
      <c r="U147" s="216"/>
      <c r="V147" s="216"/>
      <c r="W147" s="216"/>
      <c r="X147" s="216"/>
      <c r="Y147" s="216"/>
      <c r="Z147" s="216"/>
      <c r="AA147" s="216"/>
    </row>
    <row r="148" ht="15.0" customHeight="1">
      <c r="A148" s="214"/>
      <c r="B148" s="214"/>
      <c r="C148" s="214"/>
      <c r="D148" s="214"/>
      <c r="E148" s="214"/>
      <c r="F148" s="214"/>
      <c r="G148" s="214"/>
      <c r="H148" s="214"/>
      <c r="I148" s="214"/>
      <c r="J148" s="214"/>
      <c r="K148" s="214"/>
      <c r="L148" s="214"/>
      <c r="M148" s="214"/>
      <c r="N148" s="216"/>
      <c r="O148" s="216"/>
      <c r="P148" s="216"/>
      <c r="Q148" s="216"/>
      <c r="R148" s="216"/>
      <c r="S148" s="216"/>
      <c r="T148" s="216"/>
      <c r="U148" s="216"/>
      <c r="V148" s="216"/>
      <c r="W148" s="216"/>
      <c r="X148" s="216"/>
      <c r="Y148" s="216"/>
      <c r="Z148" s="216"/>
      <c r="AA148" s="216"/>
    </row>
    <row r="149" ht="15.0" customHeight="1">
      <c r="A149" s="214"/>
      <c r="B149" s="214"/>
      <c r="C149" s="214"/>
      <c r="D149" s="214"/>
      <c r="E149" s="214"/>
      <c r="F149" s="214"/>
      <c r="G149" s="214"/>
      <c r="H149" s="214"/>
      <c r="I149" s="214"/>
      <c r="J149" s="214"/>
      <c r="K149" s="214"/>
      <c r="L149" s="214"/>
      <c r="M149" s="214"/>
      <c r="N149" s="216"/>
      <c r="O149" s="216"/>
      <c r="P149" s="216"/>
      <c r="Q149" s="216"/>
      <c r="R149" s="216"/>
      <c r="S149" s="216"/>
      <c r="T149" s="216"/>
      <c r="U149" s="216"/>
      <c r="V149" s="216"/>
      <c r="W149" s="216"/>
      <c r="X149" s="216"/>
      <c r="Y149" s="216"/>
      <c r="Z149" s="216"/>
      <c r="AA149" s="216"/>
    </row>
    <row r="150" ht="15.0" customHeight="1">
      <c r="A150" s="214"/>
      <c r="B150" s="214"/>
      <c r="C150" s="214"/>
      <c r="D150" s="214"/>
      <c r="E150" s="214"/>
      <c r="F150" s="214"/>
      <c r="G150" s="214"/>
      <c r="H150" s="214"/>
      <c r="I150" s="214"/>
      <c r="J150" s="214"/>
      <c r="K150" s="214"/>
      <c r="L150" s="214"/>
      <c r="M150" s="214"/>
      <c r="N150" s="216"/>
      <c r="O150" s="216"/>
      <c r="P150" s="216"/>
      <c r="Q150" s="216"/>
      <c r="R150" s="216"/>
      <c r="S150" s="216"/>
      <c r="T150" s="216"/>
      <c r="U150" s="216"/>
      <c r="V150" s="216"/>
      <c r="W150" s="216"/>
      <c r="X150" s="216"/>
      <c r="Y150" s="216"/>
      <c r="Z150" s="216"/>
      <c r="AA150" s="216"/>
    </row>
    <row r="151" ht="15.0" customHeight="1">
      <c r="A151" s="214"/>
      <c r="B151" s="214"/>
      <c r="C151" s="214"/>
      <c r="D151" s="214"/>
      <c r="E151" s="214"/>
      <c r="F151" s="214"/>
      <c r="G151" s="214"/>
      <c r="H151" s="214"/>
      <c r="I151" s="214"/>
      <c r="J151" s="214"/>
      <c r="K151" s="214"/>
      <c r="L151" s="214"/>
      <c r="M151" s="214"/>
      <c r="N151" s="216"/>
      <c r="O151" s="216"/>
      <c r="P151" s="216"/>
      <c r="Q151" s="216"/>
      <c r="R151" s="216"/>
      <c r="S151" s="216"/>
      <c r="T151" s="216"/>
      <c r="U151" s="216"/>
      <c r="V151" s="216"/>
      <c r="W151" s="216"/>
      <c r="X151" s="216"/>
      <c r="Y151" s="216"/>
      <c r="Z151" s="216"/>
      <c r="AA151" s="216"/>
    </row>
    <row r="152" ht="15.0" customHeight="1">
      <c r="A152" s="214"/>
      <c r="B152" s="214"/>
      <c r="C152" s="214"/>
      <c r="D152" s="214"/>
      <c r="E152" s="214"/>
      <c r="F152" s="214"/>
      <c r="G152" s="214"/>
      <c r="H152" s="214"/>
      <c r="I152" s="214"/>
      <c r="J152" s="214"/>
      <c r="K152" s="214"/>
      <c r="L152" s="214"/>
      <c r="M152" s="214"/>
      <c r="N152" s="216"/>
      <c r="O152" s="216"/>
      <c r="P152" s="216"/>
      <c r="Q152" s="216"/>
      <c r="R152" s="216"/>
      <c r="S152" s="216"/>
      <c r="T152" s="216"/>
      <c r="U152" s="216"/>
      <c r="V152" s="216"/>
      <c r="W152" s="216"/>
      <c r="X152" s="216"/>
      <c r="Y152" s="216"/>
      <c r="Z152" s="216"/>
      <c r="AA152" s="216"/>
    </row>
    <row r="153" ht="15.0" customHeight="1">
      <c r="A153" s="214"/>
      <c r="B153" s="214"/>
      <c r="C153" s="214"/>
      <c r="D153" s="214"/>
      <c r="E153" s="214"/>
      <c r="F153" s="214"/>
      <c r="G153" s="214"/>
      <c r="H153" s="214"/>
      <c r="I153" s="214"/>
      <c r="J153" s="214"/>
      <c r="K153" s="214"/>
      <c r="L153" s="214"/>
      <c r="M153" s="214"/>
      <c r="N153" s="216"/>
      <c r="O153" s="216"/>
      <c r="P153" s="216"/>
      <c r="Q153" s="216"/>
      <c r="R153" s="216"/>
      <c r="S153" s="216"/>
      <c r="T153" s="216"/>
      <c r="U153" s="216"/>
      <c r="V153" s="216"/>
      <c r="W153" s="216"/>
      <c r="X153" s="216"/>
      <c r="Y153" s="216"/>
      <c r="Z153" s="216"/>
      <c r="AA153" s="216"/>
    </row>
    <row r="154" ht="15.0" customHeight="1">
      <c r="A154" s="214"/>
      <c r="B154" s="214"/>
      <c r="C154" s="214"/>
      <c r="D154" s="214"/>
      <c r="E154" s="214"/>
      <c r="F154" s="214"/>
      <c r="G154" s="214"/>
      <c r="H154" s="214"/>
      <c r="I154" s="214"/>
      <c r="J154" s="214"/>
      <c r="K154" s="214"/>
      <c r="L154" s="214"/>
      <c r="M154" s="214"/>
      <c r="N154" s="216"/>
      <c r="O154" s="216"/>
      <c r="P154" s="216"/>
      <c r="Q154" s="216"/>
      <c r="R154" s="216"/>
      <c r="S154" s="216"/>
      <c r="T154" s="216"/>
      <c r="U154" s="216"/>
      <c r="V154" s="216"/>
      <c r="W154" s="216"/>
      <c r="X154" s="216"/>
      <c r="Y154" s="216"/>
      <c r="Z154" s="216"/>
      <c r="AA154" s="216"/>
    </row>
    <row r="155" ht="15.0" customHeight="1">
      <c r="A155" s="214"/>
      <c r="B155" s="214"/>
      <c r="C155" s="214"/>
      <c r="D155" s="214"/>
      <c r="E155" s="214"/>
      <c r="F155" s="214"/>
      <c r="G155" s="214"/>
      <c r="H155" s="214"/>
      <c r="I155" s="214"/>
      <c r="J155" s="214"/>
      <c r="K155" s="214"/>
      <c r="L155" s="214"/>
      <c r="M155" s="214"/>
      <c r="N155" s="216"/>
      <c r="O155" s="216"/>
      <c r="P155" s="216"/>
      <c r="Q155" s="216"/>
      <c r="R155" s="216"/>
      <c r="S155" s="216"/>
      <c r="T155" s="216"/>
      <c r="U155" s="216"/>
      <c r="V155" s="216"/>
      <c r="W155" s="216"/>
      <c r="X155" s="216"/>
      <c r="Y155" s="216"/>
      <c r="Z155" s="216"/>
      <c r="AA155" s="216"/>
    </row>
    <row r="156" ht="15.0" customHeight="1">
      <c r="A156" s="214"/>
      <c r="B156" s="214"/>
      <c r="C156" s="214"/>
      <c r="D156" s="214"/>
      <c r="E156" s="214"/>
      <c r="F156" s="214"/>
      <c r="G156" s="214"/>
      <c r="H156" s="214"/>
      <c r="I156" s="214"/>
      <c r="J156" s="214"/>
      <c r="K156" s="214"/>
      <c r="L156" s="214"/>
      <c r="M156" s="214"/>
      <c r="N156" s="216"/>
      <c r="O156" s="216"/>
      <c r="P156" s="216"/>
      <c r="Q156" s="216"/>
      <c r="R156" s="216"/>
      <c r="S156" s="216"/>
      <c r="T156" s="216"/>
      <c r="U156" s="216"/>
      <c r="V156" s="216"/>
      <c r="W156" s="216"/>
      <c r="X156" s="216"/>
      <c r="Y156" s="216"/>
      <c r="Z156" s="216"/>
      <c r="AA156" s="216"/>
    </row>
    <row r="157" ht="15.0" customHeight="1">
      <c r="A157" s="214"/>
      <c r="B157" s="214"/>
      <c r="C157" s="214"/>
      <c r="D157" s="214"/>
      <c r="E157" s="214"/>
      <c r="F157" s="214"/>
      <c r="G157" s="214"/>
      <c r="H157" s="214"/>
      <c r="I157" s="214"/>
      <c r="J157" s="214"/>
      <c r="K157" s="214"/>
      <c r="L157" s="214"/>
      <c r="M157" s="214"/>
      <c r="N157" s="216"/>
      <c r="O157" s="216"/>
      <c r="P157" s="216"/>
      <c r="Q157" s="216"/>
      <c r="R157" s="216"/>
      <c r="S157" s="216"/>
      <c r="T157" s="216"/>
      <c r="U157" s="216"/>
      <c r="V157" s="216"/>
      <c r="W157" s="216"/>
      <c r="X157" s="216"/>
      <c r="Y157" s="216"/>
      <c r="Z157" s="216"/>
      <c r="AA157" s="216"/>
    </row>
    <row r="158" ht="15.0" customHeight="1">
      <c r="A158" s="214"/>
      <c r="B158" s="214"/>
      <c r="C158" s="214"/>
      <c r="D158" s="214"/>
      <c r="E158" s="214"/>
      <c r="F158" s="214"/>
      <c r="G158" s="214"/>
      <c r="H158" s="214"/>
      <c r="I158" s="214"/>
      <c r="J158" s="214"/>
      <c r="K158" s="214"/>
      <c r="L158" s="214"/>
      <c r="M158" s="214"/>
      <c r="N158" s="216"/>
      <c r="O158" s="216"/>
      <c r="P158" s="216"/>
      <c r="Q158" s="216"/>
      <c r="R158" s="216"/>
      <c r="S158" s="216"/>
      <c r="T158" s="216"/>
      <c r="U158" s="216"/>
      <c r="V158" s="216"/>
      <c r="W158" s="216"/>
      <c r="X158" s="216"/>
      <c r="Y158" s="216"/>
      <c r="Z158" s="216"/>
      <c r="AA158" s="216"/>
    </row>
    <row r="159" ht="15.0" customHeight="1">
      <c r="A159" s="214"/>
      <c r="B159" s="214"/>
      <c r="C159" s="214"/>
      <c r="D159" s="214"/>
      <c r="E159" s="214"/>
      <c r="F159" s="214"/>
      <c r="G159" s="214"/>
      <c r="H159" s="214"/>
      <c r="I159" s="214"/>
      <c r="J159" s="214"/>
      <c r="K159" s="214"/>
      <c r="L159" s="214"/>
      <c r="M159" s="214"/>
      <c r="N159" s="216"/>
      <c r="O159" s="216"/>
      <c r="P159" s="216"/>
      <c r="Q159" s="216"/>
      <c r="R159" s="216"/>
      <c r="S159" s="216"/>
      <c r="T159" s="216"/>
      <c r="U159" s="216"/>
      <c r="V159" s="216"/>
      <c r="W159" s="216"/>
      <c r="X159" s="216"/>
      <c r="Y159" s="216"/>
      <c r="Z159" s="216"/>
      <c r="AA159" s="216"/>
    </row>
    <row r="160" ht="15.0" customHeight="1">
      <c r="A160" s="214"/>
      <c r="B160" s="214"/>
      <c r="C160" s="214"/>
      <c r="D160" s="214"/>
      <c r="E160" s="214"/>
      <c r="F160" s="214"/>
      <c r="G160" s="214"/>
      <c r="H160" s="214"/>
      <c r="I160" s="214"/>
      <c r="J160" s="214"/>
      <c r="K160" s="214"/>
      <c r="L160" s="214"/>
      <c r="M160" s="214"/>
      <c r="N160" s="216"/>
      <c r="O160" s="216"/>
      <c r="P160" s="216"/>
      <c r="Q160" s="216"/>
      <c r="R160" s="216"/>
      <c r="S160" s="216"/>
      <c r="T160" s="216"/>
      <c r="U160" s="216"/>
      <c r="V160" s="216"/>
      <c r="W160" s="216"/>
      <c r="X160" s="216"/>
      <c r="Y160" s="216"/>
      <c r="Z160" s="216"/>
      <c r="AA160" s="216"/>
    </row>
    <row r="161" ht="15.0" customHeight="1">
      <c r="A161" s="214"/>
      <c r="B161" s="214"/>
      <c r="C161" s="214"/>
      <c r="D161" s="214"/>
      <c r="E161" s="214"/>
      <c r="F161" s="214"/>
      <c r="G161" s="214"/>
      <c r="H161" s="214"/>
      <c r="I161" s="214"/>
      <c r="J161" s="214"/>
      <c r="K161" s="214"/>
      <c r="L161" s="214"/>
      <c r="M161" s="214"/>
      <c r="N161" s="216"/>
      <c r="O161" s="216"/>
      <c r="P161" s="216"/>
      <c r="Q161" s="216"/>
      <c r="R161" s="216"/>
      <c r="S161" s="216"/>
      <c r="T161" s="216"/>
      <c r="U161" s="216"/>
      <c r="V161" s="216"/>
      <c r="W161" s="216"/>
      <c r="X161" s="216"/>
      <c r="Y161" s="216"/>
      <c r="Z161" s="216"/>
      <c r="AA161" s="216"/>
    </row>
    <row r="162" ht="15.0" customHeight="1">
      <c r="A162" s="214"/>
      <c r="B162" s="214"/>
      <c r="C162" s="214"/>
      <c r="D162" s="214"/>
      <c r="E162" s="214"/>
      <c r="F162" s="214"/>
      <c r="G162" s="214"/>
      <c r="H162" s="214"/>
      <c r="I162" s="214"/>
      <c r="J162" s="214"/>
      <c r="K162" s="214"/>
      <c r="L162" s="214"/>
      <c r="M162" s="214"/>
      <c r="N162" s="216"/>
      <c r="O162" s="216"/>
      <c r="P162" s="216"/>
      <c r="Q162" s="216"/>
      <c r="R162" s="216"/>
      <c r="S162" s="216"/>
      <c r="T162" s="216"/>
      <c r="U162" s="216"/>
      <c r="V162" s="216"/>
      <c r="W162" s="216"/>
      <c r="X162" s="216"/>
      <c r="Y162" s="216"/>
      <c r="Z162" s="216"/>
      <c r="AA162" s="216"/>
    </row>
    <row r="163" ht="15.0" customHeight="1">
      <c r="A163" s="214"/>
      <c r="B163" s="214"/>
      <c r="C163" s="214"/>
      <c r="D163" s="214"/>
      <c r="E163" s="214"/>
      <c r="F163" s="214"/>
      <c r="G163" s="214"/>
      <c r="H163" s="214"/>
      <c r="I163" s="214"/>
      <c r="J163" s="214"/>
      <c r="K163" s="214"/>
      <c r="L163" s="214"/>
      <c r="M163" s="214"/>
      <c r="N163" s="216"/>
      <c r="O163" s="216"/>
      <c r="P163" s="216"/>
      <c r="Q163" s="216"/>
      <c r="R163" s="216"/>
      <c r="S163" s="216"/>
      <c r="T163" s="216"/>
      <c r="U163" s="216"/>
      <c r="V163" s="216"/>
      <c r="W163" s="216"/>
      <c r="X163" s="216"/>
      <c r="Y163" s="216"/>
      <c r="Z163" s="216"/>
      <c r="AA163" s="216"/>
    </row>
    <row r="164" ht="15.0" customHeight="1">
      <c r="A164" s="214"/>
      <c r="B164" s="214"/>
      <c r="C164" s="214"/>
      <c r="D164" s="214"/>
      <c r="E164" s="214"/>
      <c r="F164" s="214"/>
      <c r="G164" s="214"/>
      <c r="H164" s="214"/>
      <c r="I164" s="214"/>
      <c r="J164" s="214"/>
      <c r="K164" s="214"/>
      <c r="L164" s="214"/>
      <c r="M164" s="214"/>
      <c r="N164" s="216"/>
      <c r="O164" s="216"/>
      <c r="P164" s="216"/>
      <c r="Q164" s="216"/>
      <c r="R164" s="216"/>
      <c r="S164" s="216"/>
      <c r="T164" s="216"/>
      <c r="U164" s="216"/>
      <c r="V164" s="216"/>
      <c r="W164" s="216"/>
      <c r="X164" s="216"/>
      <c r="Y164" s="216"/>
      <c r="Z164" s="216"/>
      <c r="AA164" s="216"/>
    </row>
    <row r="165" ht="15.0" customHeight="1">
      <c r="A165" s="214"/>
      <c r="B165" s="214"/>
      <c r="C165" s="214"/>
      <c r="D165" s="214"/>
      <c r="E165" s="214"/>
      <c r="F165" s="214"/>
      <c r="G165" s="214"/>
      <c r="H165" s="214"/>
      <c r="I165" s="214"/>
      <c r="J165" s="214"/>
      <c r="K165" s="214"/>
      <c r="L165" s="214"/>
      <c r="M165" s="214"/>
      <c r="N165" s="216"/>
      <c r="O165" s="216"/>
      <c r="P165" s="216"/>
      <c r="Q165" s="216"/>
      <c r="R165" s="216"/>
      <c r="S165" s="216"/>
      <c r="T165" s="216"/>
      <c r="U165" s="216"/>
      <c r="V165" s="216"/>
      <c r="W165" s="216"/>
      <c r="X165" s="216"/>
      <c r="Y165" s="216"/>
      <c r="Z165" s="216"/>
      <c r="AA165" s="216"/>
    </row>
    <row r="166" ht="15.0" customHeight="1">
      <c r="A166" s="214"/>
      <c r="B166" s="214"/>
      <c r="C166" s="214"/>
      <c r="D166" s="214"/>
      <c r="E166" s="214"/>
      <c r="F166" s="214"/>
      <c r="G166" s="214"/>
      <c r="H166" s="214"/>
      <c r="I166" s="214"/>
      <c r="J166" s="214"/>
      <c r="K166" s="214"/>
      <c r="L166" s="214"/>
      <c r="M166" s="214"/>
      <c r="N166" s="216"/>
      <c r="O166" s="216"/>
      <c r="P166" s="216"/>
      <c r="Q166" s="216"/>
      <c r="R166" s="216"/>
      <c r="S166" s="216"/>
      <c r="T166" s="216"/>
      <c r="U166" s="216"/>
      <c r="V166" s="216"/>
      <c r="W166" s="216"/>
      <c r="X166" s="216"/>
      <c r="Y166" s="216"/>
      <c r="Z166" s="216"/>
      <c r="AA166" s="216"/>
    </row>
    <row r="167" ht="15.0" customHeight="1">
      <c r="A167" s="214"/>
      <c r="B167" s="214"/>
      <c r="C167" s="214"/>
      <c r="D167" s="214"/>
      <c r="E167" s="214"/>
      <c r="F167" s="214"/>
      <c r="G167" s="214"/>
      <c r="H167" s="214"/>
      <c r="I167" s="214"/>
      <c r="J167" s="214"/>
      <c r="K167" s="214"/>
      <c r="L167" s="214"/>
      <c r="M167" s="214"/>
      <c r="N167" s="216"/>
      <c r="O167" s="216"/>
      <c r="P167" s="216"/>
      <c r="Q167" s="216"/>
      <c r="R167" s="216"/>
      <c r="S167" s="216"/>
      <c r="T167" s="216"/>
      <c r="U167" s="216"/>
      <c r="V167" s="216"/>
      <c r="W167" s="216"/>
      <c r="X167" s="216"/>
      <c r="Y167" s="216"/>
      <c r="Z167" s="216"/>
      <c r="AA167" s="216"/>
    </row>
    <row r="168" ht="15.0" customHeight="1">
      <c r="A168" s="214"/>
      <c r="B168" s="214"/>
      <c r="C168" s="214"/>
      <c r="D168" s="214"/>
      <c r="E168" s="214"/>
      <c r="F168" s="214"/>
      <c r="G168" s="214"/>
      <c r="H168" s="214"/>
      <c r="I168" s="214"/>
      <c r="J168" s="214"/>
      <c r="K168" s="214"/>
      <c r="L168" s="214"/>
      <c r="M168" s="214"/>
      <c r="N168" s="216"/>
      <c r="O168" s="216"/>
      <c r="P168" s="216"/>
      <c r="Q168" s="216"/>
      <c r="R168" s="216"/>
      <c r="S168" s="216"/>
      <c r="T168" s="216"/>
      <c r="U168" s="216"/>
      <c r="V168" s="216"/>
      <c r="W168" s="216"/>
      <c r="X168" s="216"/>
      <c r="Y168" s="216"/>
      <c r="Z168" s="216"/>
      <c r="AA168" s="216"/>
    </row>
    <row r="169" ht="15.0" customHeight="1">
      <c r="A169" s="214"/>
      <c r="B169" s="214"/>
      <c r="C169" s="214"/>
      <c r="D169" s="214"/>
      <c r="E169" s="214"/>
      <c r="F169" s="214"/>
      <c r="G169" s="214"/>
      <c r="H169" s="214"/>
      <c r="I169" s="214"/>
      <c r="J169" s="214"/>
      <c r="K169" s="214"/>
      <c r="L169" s="214"/>
      <c r="M169" s="214"/>
      <c r="N169" s="216"/>
      <c r="O169" s="216"/>
      <c r="P169" s="216"/>
      <c r="Q169" s="216"/>
      <c r="R169" s="216"/>
      <c r="S169" s="216"/>
      <c r="T169" s="216"/>
      <c r="U169" s="216"/>
      <c r="V169" s="216"/>
      <c r="W169" s="216"/>
      <c r="X169" s="216"/>
      <c r="Y169" s="216"/>
      <c r="Z169" s="216"/>
      <c r="AA169" s="216"/>
    </row>
    <row r="170" ht="15.0" customHeight="1">
      <c r="A170" s="214"/>
      <c r="B170" s="214"/>
      <c r="C170" s="214"/>
      <c r="D170" s="214"/>
      <c r="E170" s="214"/>
      <c r="F170" s="214"/>
      <c r="G170" s="214"/>
      <c r="H170" s="214"/>
      <c r="I170" s="214"/>
      <c r="J170" s="214"/>
      <c r="K170" s="214"/>
      <c r="L170" s="214"/>
      <c r="M170" s="214"/>
      <c r="N170" s="216"/>
      <c r="O170" s="216"/>
      <c r="P170" s="216"/>
      <c r="Q170" s="216"/>
      <c r="R170" s="216"/>
      <c r="S170" s="216"/>
      <c r="T170" s="216"/>
      <c r="U170" s="216"/>
      <c r="V170" s="216"/>
      <c r="W170" s="216"/>
      <c r="X170" s="216"/>
      <c r="Y170" s="216"/>
      <c r="Z170" s="216"/>
      <c r="AA170" s="216"/>
    </row>
    <row r="171" ht="15.0" customHeight="1">
      <c r="A171" s="214"/>
      <c r="B171" s="214"/>
      <c r="C171" s="214"/>
      <c r="D171" s="214"/>
      <c r="E171" s="214"/>
      <c r="F171" s="214"/>
      <c r="G171" s="214"/>
      <c r="H171" s="214"/>
      <c r="I171" s="214"/>
      <c r="J171" s="214"/>
      <c r="K171" s="214"/>
      <c r="L171" s="214"/>
      <c r="M171" s="214"/>
      <c r="N171" s="216"/>
      <c r="O171" s="216"/>
      <c r="P171" s="216"/>
      <c r="Q171" s="216"/>
      <c r="R171" s="216"/>
      <c r="S171" s="216"/>
      <c r="T171" s="216"/>
      <c r="U171" s="216"/>
      <c r="V171" s="216"/>
      <c r="W171" s="216"/>
      <c r="X171" s="216"/>
      <c r="Y171" s="216"/>
      <c r="Z171" s="216"/>
      <c r="AA171" s="216"/>
    </row>
    <row r="172" ht="15.0" customHeight="1">
      <c r="A172" s="214"/>
      <c r="B172" s="214"/>
      <c r="C172" s="214"/>
      <c r="D172" s="214"/>
      <c r="E172" s="214"/>
      <c r="F172" s="214"/>
      <c r="G172" s="214"/>
      <c r="H172" s="214"/>
      <c r="I172" s="214"/>
      <c r="J172" s="214"/>
      <c r="K172" s="214"/>
      <c r="L172" s="214"/>
      <c r="M172" s="214"/>
      <c r="N172" s="216"/>
      <c r="O172" s="216"/>
      <c r="P172" s="216"/>
      <c r="Q172" s="216"/>
      <c r="R172" s="216"/>
      <c r="S172" s="216"/>
      <c r="T172" s="216"/>
      <c r="U172" s="216"/>
      <c r="V172" s="216"/>
      <c r="W172" s="216"/>
      <c r="X172" s="216"/>
      <c r="Y172" s="216"/>
      <c r="Z172" s="216"/>
      <c r="AA172" s="216"/>
    </row>
    <row r="173" ht="15.0" customHeight="1">
      <c r="A173" s="214"/>
      <c r="B173" s="214"/>
      <c r="C173" s="214"/>
      <c r="D173" s="214"/>
      <c r="E173" s="214"/>
      <c r="F173" s="214"/>
      <c r="G173" s="214"/>
      <c r="H173" s="214"/>
      <c r="I173" s="214"/>
      <c r="J173" s="214"/>
      <c r="K173" s="214"/>
      <c r="L173" s="214"/>
      <c r="M173" s="214"/>
      <c r="N173" s="216"/>
      <c r="O173" s="216"/>
      <c r="P173" s="216"/>
      <c r="Q173" s="216"/>
      <c r="R173" s="216"/>
      <c r="S173" s="216"/>
      <c r="T173" s="216"/>
      <c r="U173" s="216"/>
      <c r="V173" s="216"/>
      <c r="W173" s="216"/>
      <c r="X173" s="216"/>
      <c r="Y173" s="216"/>
      <c r="Z173" s="216"/>
      <c r="AA173" s="216"/>
    </row>
    <row r="174" ht="15.0" customHeight="1">
      <c r="A174" s="214"/>
      <c r="B174" s="214"/>
      <c r="C174" s="214"/>
      <c r="D174" s="214"/>
      <c r="E174" s="214"/>
      <c r="F174" s="214"/>
      <c r="G174" s="214"/>
      <c r="H174" s="214"/>
      <c r="I174" s="214"/>
      <c r="J174" s="214"/>
      <c r="K174" s="214"/>
      <c r="L174" s="214"/>
      <c r="M174" s="214"/>
      <c r="N174" s="216"/>
      <c r="O174" s="216"/>
      <c r="P174" s="216"/>
      <c r="Q174" s="216"/>
      <c r="R174" s="216"/>
      <c r="S174" s="216"/>
      <c r="T174" s="216"/>
      <c r="U174" s="216"/>
      <c r="V174" s="216"/>
      <c r="W174" s="216"/>
      <c r="X174" s="216"/>
      <c r="Y174" s="216"/>
      <c r="Z174" s="216"/>
      <c r="AA174" s="216"/>
    </row>
    <row r="175" ht="15.0" customHeight="1">
      <c r="A175" s="214"/>
      <c r="B175" s="214"/>
      <c r="C175" s="214"/>
      <c r="D175" s="214"/>
      <c r="E175" s="214"/>
      <c r="F175" s="214"/>
      <c r="G175" s="214"/>
      <c r="H175" s="214"/>
      <c r="I175" s="214"/>
      <c r="J175" s="214"/>
      <c r="K175" s="214"/>
      <c r="L175" s="214"/>
      <c r="M175" s="214"/>
      <c r="N175" s="216"/>
      <c r="O175" s="216"/>
      <c r="P175" s="216"/>
      <c r="Q175" s="216"/>
      <c r="R175" s="216"/>
      <c r="S175" s="216"/>
      <c r="T175" s="216"/>
      <c r="U175" s="216"/>
      <c r="V175" s="216"/>
      <c r="W175" s="216"/>
      <c r="X175" s="216"/>
      <c r="Y175" s="216"/>
      <c r="Z175" s="216"/>
      <c r="AA175" s="216"/>
    </row>
    <row r="176" ht="15.0" customHeight="1">
      <c r="A176" s="214"/>
      <c r="B176" s="214"/>
      <c r="C176" s="214"/>
      <c r="D176" s="214"/>
      <c r="E176" s="214"/>
      <c r="F176" s="214"/>
      <c r="G176" s="214"/>
      <c r="H176" s="214"/>
      <c r="I176" s="214"/>
      <c r="J176" s="214"/>
      <c r="K176" s="214"/>
      <c r="L176" s="214"/>
      <c r="M176" s="214"/>
      <c r="N176" s="216"/>
      <c r="O176" s="216"/>
      <c r="P176" s="216"/>
      <c r="Q176" s="216"/>
      <c r="R176" s="216"/>
      <c r="S176" s="216"/>
      <c r="T176" s="216"/>
      <c r="U176" s="216"/>
      <c r="V176" s="216"/>
      <c r="W176" s="216"/>
      <c r="X176" s="216"/>
      <c r="Y176" s="216"/>
      <c r="Z176" s="216"/>
      <c r="AA176" s="216"/>
    </row>
    <row r="177" ht="15.0" customHeight="1">
      <c r="A177" s="214"/>
      <c r="B177" s="214"/>
      <c r="C177" s="214"/>
      <c r="D177" s="214"/>
      <c r="E177" s="214"/>
      <c r="F177" s="214"/>
      <c r="G177" s="214"/>
      <c r="H177" s="214"/>
      <c r="I177" s="214"/>
      <c r="J177" s="214"/>
      <c r="K177" s="214"/>
      <c r="L177" s="214"/>
      <c r="M177" s="214"/>
      <c r="N177" s="216"/>
      <c r="O177" s="216"/>
      <c r="P177" s="216"/>
      <c r="Q177" s="216"/>
      <c r="R177" s="216"/>
      <c r="S177" s="216"/>
      <c r="T177" s="216"/>
      <c r="U177" s="216"/>
      <c r="V177" s="216"/>
      <c r="W177" s="216"/>
      <c r="X177" s="216"/>
      <c r="Y177" s="216"/>
      <c r="Z177" s="216"/>
      <c r="AA177" s="216"/>
    </row>
    <row r="178" ht="15.0" customHeight="1">
      <c r="A178" s="214"/>
      <c r="B178" s="214"/>
      <c r="C178" s="214"/>
      <c r="D178" s="214"/>
      <c r="E178" s="214"/>
      <c r="F178" s="214"/>
      <c r="G178" s="214"/>
      <c r="H178" s="214"/>
      <c r="I178" s="214"/>
      <c r="J178" s="214"/>
      <c r="K178" s="214"/>
      <c r="L178" s="214"/>
      <c r="M178" s="214"/>
      <c r="N178" s="216"/>
      <c r="O178" s="216"/>
      <c r="P178" s="216"/>
      <c r="Q178" s="216"/>
      <c r="R178" s="216"/>
      <c r="S178" s="216"/>
      <c r="T178" s="216"/>
      <c r="U178" s="216"/>
      <c r="V178" s="216"/>
      <c r="W178" s="216"/>
      <c r="X178" s="216"/>
      <c r="Y178" s="216"/>
      <c r="Z178" s="216"/>
      <c r="AA178" s="216"/>
    </row>
    <row r="179" ht="15.0" customHeight="1">
      <c r="A179" s="214"/>
      <c r="B179" s="214"/>
      <c r="C179" s="214"/>
      <c r="D179" s="214"/>
      <c r="E179" s="214"/>
      <c r="F179" s="214"/>
      <c r="G179" s="214"/>
      <c r="H179" s="214"/>
      <c r="I179" s="214"/>
      <c r="J179" s="214"/>
      <c r="K179" s="214"/>
      <c r="L179" s="214"/>
      <c r="M179" s="214"/>
      <c r="N179" s="216"/>
      <c r="O179" s="216"/>
      <c r="P179" s="216"/>
      <c r="Q179" s="216"/>
      <c r="R179" s="216"/>
      <c r="S179" s="216"/>
      <c r="T179" s="216"/>
      <c r="U179" s="216"/>
      <c r="V179" s="216"/>
      <c r="W179" s="216"/>
      <c r="X179" s="216"/>
      <c r="Y179" s="216"/>
      <c r="Z179" s="216"/>
      <c r="AA179" s="216"/>
    </row>
    <row r="180" ht="15.0" customHeight="1">
      <c r="A180" s="214"/>
      <c r="B180" s="214"/>
      <c r="C180" s="214"/>
      <c r="D180" s="214"/>
      <c r="E180" s="214"/>
      <c r="F180" s="214"/>
      <c r="G180" s="214"/>
      <c r="H180" s="214"/>
      <c r="I180" s="214"/>
      <c r="J180" s="214"/>
      <c r="K180" s="214"/>
      <c r="L180" s="214"/>
      <c r="M180" s="214"/>
      <c r="N180" s="216"/>
      <c r="O180" s="216"/>
      <c r="P180" s="216"/>
      <c r="Q180" s="216"/>
      <c r="R180" s="216"/>
      <c r="S180" s="216"/>
      <c r="T180" s="216"/>
      <c r="U180" s="216"/>
      <c r="V180" s="216"/>
      <c r="W180" s="216"/>
      <c r="X180" s="216"/>
      <c r="Y180" s="216"/>
      <c r="Z180" s="216"/>
      <c r="AA180" s="216"/>
    </row>
    <row r="181" ht="15.0" customHeight="1">
      <c r="A181" s="214"/>
      <c r="B181" s="214"/>
      <c r="C181" s="214"/>
      <c r="D181" s="214"/>
      <c r="E181" s="214"/>
      <c r="F181" s="214"/>
      <c r="G181" s="214"/>
      <c r="H181" s="214"/>
      <c r="I181" s="214"/>
      <c r="J181" s="214"/>
      <c r="K181" s="214"/>
      <c r="L181" s="214"/>
      <c r="M181" s="214"/>
      <c r="N181" s="216"/>
      <c r="O181" s="216"/>
      <c r="P181" s="216"/>
      <c r="Q181" s="216"/>
      <c r="R181" s="216"/>
      <c r="S181" s="216"/>
      <c r="T181" s="216"/>
      <c r="U181" s="216"/>
      <c r="V181" s="216"/>
      <c r="W181" s="216"/>
      <c r="X181" s="216"/>
      <c r="Y181" s="216"/>
      <c r="Z181" s="216"/>
      <c r="AA181" s="216"/>
    </row>
    <row r="182" ht="15.0" customHeight="1">
      <c r="A182" s="214"/>
      <c r="B182" s="214"/>
      <c r="C182" s="214"/>
      <c r="D182" s="214"/>
      <c r="E182" s="214"/>
      <c r="F182" s="214"/>
      <c r="G182" s="214"/>
      <c r="H182" s="214"/>
      <c r="I182" s="214"/>
      <c r="J182" s="214"/>
      <c r="K182" s="214"/>
      <c r="L182" s="214"/>
      <c r="M182" s="214"/>
      <c r="N182" s="216"/>
      <c r="O182" s="216"/>
      <c r="P182" s="216"/>
      <c r="Q182" s="216"/>
      <c r="R182" s="216"/>
      <c r="S182" s="216"/>
      <c r="T182" s="216"/>
      <c r="U182" s="216"/>
      <c r="V182" s="216"/>
      <c r="W182" s="216"/>
      <c r="X182" s="216"/>
      <c r="Y182" s="216"/>
      <c r="Z182" s="216"/>
      <c r="AA182" s="216"/>
    </row>
    <row r="183" ht="15.0" customHeight="1">
      <c r="A183" s="214"/>
      <c r="B183" s="214"/>
      <c r="C183" s="214"/>
      <c r="D183" s="214"/>
      <c r="E183" s="214"/>
      <c r="F183" s="214"/>
      <c r="G183" s="214"/>
      <c r="H183" s="214"/>
      <c r="I183" s="214"/>
      <c r="J183" s="214"/>
      <c r="K183" s="214"/>
      <c r="L183" s="214"/>
      <c r="M183" s="214"/>
      <c r="N183" s="216"/>
      <c r="O183" s="216"/>
      <c r="P183" s="216"/>
      <c r="Q183" s="216"/>
      <c r="R183" s="216"/>
      <c r="S183" s="216"/>
      <c r="T183" s="216"/>
      <c r="U183" s="216"/>
      <c r="V183" s="216"/>
      <c r="W183" s="216"/>
      <c r="X183" s="216"/>
      <c r="Y183" s="216"/>
      <c r="Z183" s="216"/>
      <c r="AA183" s="216"/>
    </row>
    <row r="184" ht="15.0" customHeight="1">
      <c r="A184" s="214"/>
      <c r="B184" s="214"/>
      <c r="C184" s="214"/>
      <c r="D184" s="214"/>
      <c r="E184" s="214"/>
      <c r="F184" s="214"/>
      <c r="G184" s="214"/>
      <c r="H184" s="214"/>
      <c r="I184" s="214"/>
      <c r="J184" s="214"/>
      <c r="K184" s="214"/>
      <c r="L184" s="214"/>
      <c r="M184" s="214"/>
      <c r="N184" s="216"/>
      <c r="O184" s="216"/>
      <c r="P184" s="216"/>
      <c r="Q184" s="216"/>
      <c r="R184" s="216"/>
      <c r="S184" s="216"/>
      <c r="T184" s="216"/>
      <c r="U184" s="216"/>
      <c r="V184" s="216"/>
      <c r="W184" s="216"/>
      <c r="X184" s="216"/>
      <c r="Y184" s="216"/>
      <c r="Z184" s="216"/>
      <c r="AA184" s="216"/>
    </row>
    <row r="185" ht="15.0" customHeight="1">
      <c r="A185" s="214"/>
      <c r="B185" s="214"/>
      <c r="C185" s="214"/>
      <c r="D185" s="214"/>
      <c r="E185" s="214"/>
      <c r="F185" s="214"/>
      <c r="G185" s="214"/>
      <c r="H185" s="214"/>
      <c r="I185" s="214"/>
      <c r="J185" s="214"/>
      <c r="K185" s="214"/>
      <c r="L185" s="214"/>
      <c r="M185" s="214"/>
      <c r="N185" s="216"/>
      <c r="O185" s="216"/>
      <c r="P185" s="216"/>
      <c r="Q185" s="216"/>
      <c r="R185" s="216"/>
      <c r="S185" s="216"/>
      <c r="T185" s="216"/>
      <c r="U185" s="216"/>
      <c r="V185" s="216"/>
      <c r="W185" s="216"/>
      <c r="X185" s="216"/>
      <c r="Y185" s="216"/>
      <c r="Z185" s="216"/>
      <c r="AA185" s="216"/>
    </row>
    <row r="186" ht="15.0" customHeight="1">
      <c r="A186" s="214"/>
      <c r="B186" s="214"/>
      <c r="C186" s="214"/>
      <c r="D186" s="214"/>
      <c r="E186" s="214"/>
      <c r="F186" s="214"/>
      <c r="G186" s="214"/>
      <c r="H186" s="214"/>
      <c r="I186" s="214"/>
      <c r="J186" s="214"/>
      <c r="K186" s="214"/>
      <c r="L186" s="214"/>
      <c r="M186" s="214"/>
      <c r="N186" s="216"/>
      <c r="O186" s="216"/>
      <c r="P186" s="216"/>
      <c r="Q186" s="216"/>
      <c r="R186" s="216"/>
      <c r="S186" s="216"/>
      <c r="T186" s="216"/>
      <c r="U186" s="216"/>
      <c r="V186" s="216"/>
      <c r="W186" s="216"/>
      <c r="X186" s="216"/>
      <c r="Y186" s="216"/>
      <c r="Z186" s="216"/>
      <c r="AA186" s="216"/>
    </row>
    <row r="187" ht="15.0" customHeight="1">
      <c r="A187" s="214"/>
      <c r="B187" s="214"/>
      <c r="C187" s="214"/>
      <c r="D187" s="214"/>
      <c r="E187" s="214"/>
      <c r="F187" s="214"/>
      <c r="G187" s="214"/>
      <c r="H187" s="214"/>
      <c r="I187" s="214"/>
      <c r="J187" s="214"/>
      <c r="K187" s="214"/>
      <c r="L187" s="214"/>
      <c r="M187" s="214"/>
      <c r="N187" s="216"/>
      <c r="O187" s="216"/>
      <c r="P187" s="216"/>
      <c r="Q187" s="216"/>
      <c r="R187" s="216"/>
      <c r="S187" s="216"/>
      <c r="T187" s="216"/>
      <c r="U187" s="216"/>
      <c r="V187" s="216"/>
      <c r="W187" s="216"/>
      <c r="X187" s="216"/>
      <c r="Y187" s="216"/>
      <c r="Z187" s="216"/>
      <c r="AA187" s="216"/>
    </row>
    <row r="188" ht="15.0" customHeight="1">
      <c r="A188" s="214"/>
      <c r="B188" s="214"/>
      <c r="C188" s="214"/>
      <c r="D188" s="214"/>
      <c r="E188" s="214"/>
      <c r="F188" s="214"/>
      <c r="G188" s="214"/>
      <c r="H188" s="214"/>
      <c r="I188" s="214"/>
      <c r="J188" s="214"/>
      <c r="K188" s="214"/>
      <c r="L188" s="214"/>
      <c r="M188" s="214"/>
      <c r="N188" s="216"/>
      <c r="O188" s="216"/>
      <c r="P188" s="216"/>
      <c r="Q188" s="216"/>
      <c r="R188" s="216"/>
      <c r="S188" s="216"/>
      <c r="T188" s="216"/>
      <c r="U188" s="216"/>
      <c r="V188" s="216"/>
      <c r="W188" s="216"/>
      <c r="X188" s="216"/>
      <c r="Y188" s="216"/>
      <c r="Z188" s="216"/>
      <c r="AA188" s="216"/>
    </row>
    <row r="189" ht="15.0" customHeight="1">
      <c r="A189" s="214"/>
      <c r="B189" s="214"/>
      <c r="C189" s="214"/>
      <c r="D189" s="214"/>
      <c r="E189" s="214"/>
      <c r="F189" s="214"/>
      <c r="G189" s="214"/>
      <c r="H189" s="214"/>
      <c r="I189" s="214"/>
      <c r="J189" s="214"/>
      <c r="K189" s="214"/>
      <c r="L189" s="214"/>
      <c r="M189" s="214"/>
      <c r="N189" s="216"/>
      <c r="O189" s="216"/>
      <c r="P189" s="216"/>
      <c r="Q189" s="216"/>
      <c r="R189" s="216"/>
      <c r="S189" s="216"/>
      <c r="T189" s="216"/>
      <c r="U189" s="216"/>
      <c r="V189" s="216"/>
      <c r="W189" s="216"/>
      <c r="X189" s="216"/>
      <c r="Y189" s="216"/>
      <c r="Z189" s="216"/>
      <c r="AA189" s="216"/>
    </row>
    <row r="190" ht="15.0" customHeight="1">
      <c r="A190" s="214"/>
      <c r="B190" s="214"/>
      <c r="C190" s="214"/>
      <c r="D190" s="214"/>
      <c r="E190" s="214"/>
      <c r="F190" s="214"/>
      <c r="G190" s="214"/>
      <c r="H190" s="214"/>
      <c r="I190" s="214"/>
      <c r="J190" s="214"/>
      <c r="K190" s="214"/>
      <c r="L190" s="214"/>
      <c r="M190" s="214"/>
      <c r="N190" s="216"/>
      <c r="O190" s="216"/>
      <c r="P190" s="216"/>
      <c r="Q190" s="216"/>
      <c r="R190" s="216"/>
      <c r="S190" s="216"/>
      <c r="T190" s="216"/>
      <c r="U190" s="216"/>
      <c r="V190" s="216"/>
      <c r="W190" s="216"/>
      <c r="X190" s="216"/>
      <c r="Y190" s="216"/>
      <c r="Z190" s="216"/>
      <c r="AA190" s="216"/>
    </row>
    <row r="191" ht="15.0" customHeight="1">
      <c r="A191" s="214"/>
      <c r="B191" s="214"/>
      <c r="C191" s="214"/>
      <c r="D191" s="214"/>
      <c r="E191" s="214"/>
      <c r="F191" s="214"/>
      <c r="G191" s="214"/>
      <c r="H191" s="214"/>
      <c r="I191" s="214"/>
      <c r="J191" s="214"/>
      <c r="K191" s="214"/>
      <c r="L191" s="214"/>
      <c r="M191" s="214"/>
      <c r="N191" s="216"/>
      <c r="O191" s="216"/>
      <c r="P191" s="216"/>
      <c r="Q191" s="216"/>
      <c r="R191" s="216"/>
      <c r="S191" s="216"/>
      <c r="T191" s="216"/>
      <c r="U191" s="216"/>
      <c r="V191" s="216"/>
      <c r="W191" s="216"/>
      <c r="X191" s="216"/>
      <c r="Y191" s="216"/>
      <c r="Z191" s="216"/>
      <c r="AA191" s="216"/>
    </row>
    <row r="192" ht="15.0" customHeight="1">
      <c r="A192" s="214"/>
      <c r="B192" s="214"/>
      <c r="C192" s="214"/>
      <c r="D192" s="214"/>
      <c r="E192" s="214"/>
      <c r="F192" s="214"/>
      <c r="G192" s="214"/>
      <c r="H192" s="214"/>
      <c r="I192" s="214"/>
      <c r="J192" s="214"/>
      <c r="K192" s="214"/>
      <c r="L192" s="214"/>
      <c r="M192" s="214"/>
      <c r="N192" s="216"/>
      <c r="O192" s="216"/>
      <c r="P192" s="216"/>
      <c r="Q192" s="216"/>
      <c r="R192" s="216"/>
      <c r="S192" s="216"/>
      <c r="T192" s="216"/>
      <c r="U192" s="216"/>
      <c r="V192" s="216"/>
      <c r="W192" s="216"/>
      <c r="X192" s="216"/>
      <c r="Y192" s="216"/>
      <c r="Z192" s="216"/>
      <c r="AA192" s="216"/>
    </row>
    <row r="193" ht="15.0" customHeight="1">
      <c r="A193" s="214"/>
      <c r="B193" s="214"/>
      <c r="C193" s="214"/>
      <c r="D193" s="214"/>
      <c r="E193" s="214"/>
      <c r="F193" s="214"/>
      <c r="G193" s="214"/>
      <c r="H193" s="214"/>
      <c r="I193" s="214"/>
      <c r="J193" s="214"/>
      <c r="K193" s="214"/>
      <c r="L193" s="214"/>
      <c r="M193" s="214"/>
      <c r="N193" s="216"/>
      <c r="O193" s="216"/>
      <c r="P193" s="216"/>
      <c r="Q193" s="216"/>
      <c r="R193" s="216"/>
      <c r="S193" s="216"/>
      <c r="T193" s="216"/>
      <c r="U193" s="216"/>
      <c r="V193" s="216"/>
      <c r="W193" s="216"/>
      <c r="X193" s="216"/>
      <c r="Y193" s="216"/>
      <c r="Z193" s="216"/>
      <c r="AA193" s="216"/>
    </row>
    <row r="194" ht="15.0" customHeight="1">
      <c r="A194" s="214"/>
      <c r="B194" s="214"/>
      <c r="C194" s="214"/>
      <c r="D194" s="214"/>
      <c r="E194" s="214"/>
      <c r="F194" s="214"/>
      <c r="G194" s="214"/>
      <c r="H194" s="214"/>
      <c r="I194" s="214"/>
      <c r="J194" s="214"/>
      <c r="K194" s="214"/>
      <c r="L194" s="214"/>
      <c r="M194" s="214"/>
      <c r="N194" s="216"/>
      <c r="O194" s="216"/>
      <c r="P194" s="216"/>
      <c r="Q194" s="216"/>
      <c r="R194" s="216"/>
      <c r="S194" s="216"/>
      <c r="T194" s="216"/>
      <c r="U194" s="216"/>
      <c r="V194" s="216"/>
      <c r="W194" s="216"/>
      <c r="X194" s="216"/>
      <c r="Y194" s="216"/>
      <c r="Z194" s="216"/>
      <c r="AA194" s="216"/>
    </row>
    <row r="195" ht="15.0" customHeight="1">
      <c r="A195" s="214"/>
      <c r="B195" s="214"/>
      <c r="C195" s="214"/>
      <c r="D195" s="214"/>
      <c r="E195" s="214"/>
      <c r="F195" s="214"/>
      <c r="G195" s="214"/>
      <c r="H195" s="214"/>
      <c r="I195" s="214"/>
      <c r="J195" s="214"/>
      <c r="K195" s="214"/>
      <c r="L195" s="214"/>
      <c r="M195" s="214"/>
      <c r="N195" s="216"/>
      <c r="O195" s="216"/>
      <c r="P195" s="216"/>
      <c r="Q195" s="216"/>
      <c r="R195" s="216"/>
      <c r="S195" s="216"/>
      <c r="T195" s="216"/>
      <c r="U195" s="216"/>
      <c r="V195" s="216"/>
      <c r="W195" s="216"/>
      <c r="X195" s="216"/>
      <c r="Y195" s="216"/>
      <c r="Z195" s="216"/>
      <c r="AA195" s="216"/>
    </row>
    <row r="196" ht="15.0" customHeight="1">
      <c r="A196" s="214"/>
      <c r="B196" s="214"/>
      <c r="C196" s="214"/>
      <c r="D196" s="214"/>
      <c r="E196" s="214"/>
      <c r="F196" s="214"/>
      <c r="G196" s="214"/>
      <c r="H196" s="214"/>
      <c r="I196" s="214"/>
      <c r="J196" s="214"/>
      <c r="K196" s="214"/>
      <c r="L196" s="214"/>
      <c r="M196" s="214"/>
      <c r="N196" s="216"/>
      <c r="O196" s="216"/>
      <c r="P196" s="216"/>
      <c r="Q196" s="216"/>
      <c r="R196" s="216"/>
      <c r="S196" s="216"/>
      <c r="T196" s="216"/>
      <c r="U196" s="216"/>
      <c r="V196" s="216"/>
      <c r="W196" s="216"/>
      <c r="X196" s="216"/>
      <c r="Y196" s="216"/>
      <c r="Z196" s="216"/>
      <c r="AA196" s="216"/>
    </row>
    <row r="197" ht="15.0" customHeight="1">
      <c r="A197" s="214"/>
      <c r="B197" s="214"/>
      <c r="C197" s="214"/>
      <c r="D197" s="214"/>
      <c r="E197" s="214"/>
      <c r="F197" s="214"/>
      <c r="G197" s="214"/>
      <c r="H197" s="214"/>
      <c r="I197" s="214"/>
      <c r="J197" s="214"/>
      <c r="K197" s="214"/>
      <c r="L197" s="214"/>
      <c r="M197" s="214"/>
      <c r="N197" s="216"/>
      <c r="O197" s="216"/>
      <c r="P197" s="216"/>
      <c r="Q197" s="216"/>
      <c r="R197" s="216"/>
      <c r="S197" s="216"/>
      <c r="T197" s="216"/>
      <c r="U197" s="216"/>
      <c r="V197" s="216"/>
      <c r="W197" s="216"/>
      <c r="X197" s="216"/>
      <c r="Y197" s="216"/>
      <c r="Z197" s="216"/>
      <c r="AA197" s="216"/>
    </row>
    <row r="198" ht="15.0" customHeight="1">
      <c r="A198" s="214"/>
      <c r="B198" s="214"/>
      <c r="C198" s="214"/>
      <c r="D198" s="214"/>
      <c r="E198" s="214"/>
      <c r="F198" s="214"/>
      <c r="G198" s="214"/>
      <c r="H198" s="214"/>
      <c r="I198" s="214"/>
      <c r="J198" s="214"/>
      <c r="K198" s="214"/>
      <c r="L198" s="214"/>
      <c r="M198" s="214"/>
      <c r="N198" s="216"/>
      <c r="O198" s="216"/>
      <c r="P198" s="216"/>
      <c r="Q198" s="216"/>
      <c r="R198" s="216"/>
      <c r="S198" s="216"/>
      <c r="T198" s="216"/>
      <c r="U198" s="216"/>
      <c r="V198" s="216"/>
      <c r="W198" s="216"/>
      <c r="X198" s="216"/>
      <c r="Y198" s="216"/>
      <c r="Z198" s="216"/>
      <c r="AA198" s="216"/>
    </row>
    <row r="199" ht="15.0" customHeight="1">
      <c r="A199" s="214"/>
      <c r="B199" s="214"/>
      <c r="C199" s="214"/>
      <c r="D199" s="214"/>
      <c r="E199" s="214"/>
      <c r="F199" s="214"/>
      <c r="G199" s="214"/>
      <c r="H199" s="214"/>
      <c r="I199" s="214"/>
      <c r="J199" s="214"/>
      <c r="K199" s="214"/>
      <c r="L199" s="214"/>
      <c r="M199" s="214"/>
      <c r="N199" s="216"/>
      <c r="O199" s="216"/>
      <c r="P199" s="216"/>
      <c r="Q199" s="216"/>
      <c r="R199" s="216"/>
      <c r="S199" s="216"/>
      <c r="T199" s="216"/>
      <c r="U199" s="216"/>
      <c r="V199" s="216"/>
      <c r="W199" s="216"/>
      <c r="X199" s="216"/>
      <c r="Y199" s="216"/>
      <c r="Z199" s="216"/>
      <c r="AA199" s="216"/>
    </row>
    <row r="200" ht="15.0" customHeight="1">
      <c r="A200" s="214"/>
      <c r="B200" s="214"/>
      <c r="C200" s="214"/>
      <c r="D200" s="214"/>
      <c r="E200" s="214"/>
      <c r="F200" s="214"/>
      <c r="G200" s="214"/>
      <c r="H200" s="214"/>
      <c r="I200" s="214"/>
      <c r="J200" s="214"/>
      <c r="K200" s="214"/>
      <c r="L200" s="214"/>
      <c r="M200" s="214"/>
      <c r="N200" s="216"/>
      <c r="O200" s="216"/>
      <c r="P200" s="216"/>
      <c r="Q200" s="216"/>
      <c r="R200" s="216"/>
      <c r="S200" s="216"/>
      <c r="T200" s="216"/>
      <c r="U200" s="216"/>
      <c r="V200" s="216"/>
      <c r="W200" s="216"/>
      <c r="X200" s="216"/>
      <c r="Y200" s="216"/>
      <c r="Z200" s="216"/>
      <c r="AA200" s="216"/>
    </row>
    <row r="201" ht="15.0" customHeight="1">
      <c r="A201" s="214"/>
      <c r="B201" s="214"/>
      <c r="C201" s="214"/>
      <c r="D201" s="214"/>
      <c r="E201" s="214"/>
      <c r="F201" s="214"/>
      <c r="G201" s="214"/>
      <c r="H201" s="214"/>
      <c r="I201" s="214"/>
      <c r="J201" s="214"/>
      <c r="K201" s="214"/>
      <c r="L201" s="214"/>
      <c r="M201" s="214"/>
      <c r="N201" s="216"/>
      <c r="O201" s="216"/>
      <c r="P201" s="216"/>
      <c r="Q201" s="216"/>
      <c r="R201" s="216"/>
      <c r="S201" s="216"/>
      <c r="T201" s="216"/>
      <c r="U201" s="216"/>
      <c r="V201" s="216"/>
      <c r="W201" s="216"/>
      <c r="X201" s="216"/>
      <c r="Y201" s="216"/>
      <c r="Z201" s="216"/>
      <c r="AA201" s="216"/>
    </row>
    <row r="202" ht="15.0" customHeight="1">
      <c r="A202" s="214"/>
      <c r="B202" s="214"/>
      <c r="C202" s="214"/>
      <c r="D202" s="214"/>
      <c r="E202" s="214"/>
      <c r="F202" s="214"/>
      <c r="G202" s="214"/>
      <c r="H202" s="214"/>
      <c r="I202" s="214"/>
      <c r="J202" s="214"/>
      <c r="K202" s="214"/>
      <c r="L202" s="214"/>
      <c r="M202" s="214"/>
      <c r="N202" s="216"/>
      <c r="O202" s="216"/>
      <c r="P202" s="216"/>
      <c r="Q202" s="216"/>
      <c r="R202" s="216"/>
      <c r="S202" s="216"/>
      <c r="T202" s="216"/>
      <c r="U202" s="216"/>
      <c r="V202" s="216"/>
      <c r="W202" s="216"/>
      <c r="X202" s="216"/>
      <c r="Y202" s="216"/>
      <c r="Z202" s="216"/>
      <c r="AA202" s="216"/>
    </row>
    <row r="203" ht="15.0" customHeight="1">
      <c r="A203" s="214"/>
      <c r="B203" s="214"/>
      <c r="C203" s="214"/>
      <c r="D203" s="214"/>
      <c r="E203" s="214"/>
      <c r="F203" s="214"/>
      <c r="G203" s="214"/>
      <c r="H203" s="214"/>
      <c r="I203" s="214"/>
      <c r="J203" s="214"/>
      <c r="K203" s="214"/>
      <c r="L203" s="214"/>
      <c r="M203" s="214"/>
      <c r="N203" s="216"/>
      <c r="O203" s="216"/>
      <c r="P203" s="216"/>
      <c r="Q203" s="216"/>
      <c r="R203" s="216"/>
      <c r="S203" s="216"/>
      <c r="T203" s="216"/>
      <c r="U203" s="216"/>
      <c r="V203" s="216"/>
      <c r="W203" s="216"/>
      <c r="X203" s="216"/>
      <c r="Y203" s="216"/>
      <c r="Z203" s="216"/>
      <c r="AA203" s="216"/>
    </row>
    <row r="204" ht="15.0" customHeight="1">
      <c r="A204" s="214"/>
      <c r="B204" s="214"/>
      <c r="C204" s="214"/>
      <c r="D204" s="214"/>
      <c r="E204" s="214"/>
      <c r="F204" s="214"/>
      <c r="G204" s="214"/>
      <c r="H204" s="214"/>
      <c r="I204" s="214"/>
      <c r="J204" s="214"/>
      <c r="K204" s="214"/>
      <c r="L204" s="214"/>
      <c r="M204" s="214"/>
      <c r="N204" s="216"/>
      <c r="O204" s="216"/>
      <c r="P204" s="216"/>
      <c r="Q204" s="216"/>
      <c r="R204" s="216"/>
      <c r="S204" s="216"/>
      <c r="T204" s="216"/>
      <c r="U204" s="216"/>
      <c r="V204" s="216"/>
      <c r="W204" s="216"/>
      <c r="X204" s="216"/>
      <c r="Y204" s="216"/>
      <c r="Z204" s="216"/>
      <c r="AA204" s="216"/>
    </row>
    <row r="205" ht="15.0" customHeight="1">
      <c r="A205" s="214"/>
      <c r="B205" s="214"/>
      <c r="C205" s="214"/>
      <c r="D205" s="214"/>
      <c r="E205" s="214"/>
      <c r="F205" s="214"/>
      <c r="G205" s="214"/>
      <c r="H205" s="214"/>
      <c r="I205" s="214"/>
      <c r="J205" s="214"/>
      <c r="K205" s="214"/>
      <c r="L205" s="214"/>
      <c r="M205" s="214"/>
      <c r="N205" s="216"/>
      <c r="O205" s="216"/>
      <c r="P205" s="216"/>
      <c r="Q205" s="216"/>
      <c r="R205" s="216"/>
      <c r="S205" s="216"/>
      <c r="T205" s="216"/>
      <c r="U205" s="216"/>
      <c r="V205" s="216"/>
      <c r="W205" s="216"/>
      <c r="X205" s="216"/>
      <c r="Y205" s="216"/>
      <c r="Z205" s="216"/>
      <c r="AA205" s="216"/>
    </row>
    <row r="206" ht="15.0" customHeight="1">
      <c r="A206" s="214"/>
      <c r="B206" s="214"/>
      <c r="C206" s="214"/>
      <c r="D206" s="214"/>
      <c r="E206" s="214"/>
      <c r="F206" s="214"/>
      <c r="G206" s="214"/>
      <c r="H206" s="214"/>
      <c r="I206" s="214"/>
      <c r="J206" s="214"/>
      <c r="K206" s="214"/>
      <c r="L206" s="214"/>
      <c r="M206" s="214"/>
      <c r="N206" s="216"/>
      <c r="O206" s="216"/>
      <c r="P206" s="216"/>
      <c r="Q206" s="216"/>
      <c r="R206" s="216"/>
      <c r="S206" s="216"/>
      <c r="T206" s="216"/>
      <c r="U206" s="216"/>
      <c r="V206" s="216"/>
      <c r="W206" s="216"/>
      <c r="X206" s="216"/>
      <c r="Y206" s="216"/>
      <c r="Z206" s="216"/>
      <c r="AA206" s="216"/>
    </row>
    <row r="207" ht="15.0" customHeight="1">
      <c r="A207" s="214"/>
      <c r="B207" s="214"/>
      <c r="C207" s="214"/>
      <c r="D207" s="214"/>
      <c r="E207" s="214"/>
      <c r="F207" s="214"/>
      <c r="G207" s="214"/>
      <c r="H207" s="214"/>
      <c r="I207" s="214"/>
      <c r="J207" s="214"/>
      <c r="K207" s="214"/>
      <c r="L207" s="214"/>
      <c r="M207" s="214"/>
      <c r="N207" s="216"/>
      <c r="O207" s="216"/>
      <c r="P207" s="216"/>
      <c r="Q207" s="216"/>
      <c r="R207" s="216"/>
      <c r="S207" s="216"/>
      <c r="T207" s="216"/>
      <c r="U207" s="216"/>
      <c r="V207" s="216"/>
      <c r="W207" s="216"/>
      <c r="X207" s="216"/>
      <c r="Y207" s="216"/>
      <c r="Z207" s="216"/>
      <c r="AA207" s="216"/>
    </row>
    <row r="208" ht="15.0" customHeight="1">
      <c r="A208" s="214"/>
      <c r="B208" s="214"/>
      <c r="C208" s="214"/>
      <c r="D208" s="214"/>
      <c r="E208" s="214"/>
      <c r="F208" s="214"/>
      <c r="G208" s="214"/>
      <c r="H208" s="214"/>
      <c r="I208" s="214"/>
      <c r="J208" s="214"/>
      <c r="K208" s="214"/>
      <c r="L208" s="214"/>
      <c r="M208" s="214"/>
      <c r="N208" s="216"/>
      <c r="O208" s="216"/>
      <c r="P208" s="216"/>
      <c r="Q208" s="216"/>
      <c r="R208" s="216"/>
      <c r="S208" s="216"/>
      <c r="T208" s="216"/>
      <c r="U208" s="216"/>
      <c r="V208" s="216"/>
      <c r="W208" s="216"/>
      <c r="X208" s="216"/>
      <c r="Y208" s="216"/>
      <c r="Z208" s="216"/>
      <c r="AA208" s="216"/>
    </row>
    <row r="209" ht="15.0" customHeight="1">
      <c r="A209" s="214"/>
      <c r="B209" s="214"/>
      <c r="C209" s="214"/>
      <c r="D209" s="214"/>
      <c r="E209" s="214"/>
      <c r="F209" s="214"/>
      <c r="G209" s="214"/>
      <c r="H209" s="214"/>
      <c r="I209" s="214"/>
      <c r="J209" s="214"/>
      <c r="K209" s="214"/>
      <c r="L209" s="214"/>
      <c r="M209" s="214"/>
      <c r="N209" s="216"/>
      <c r="O209" s="216"/>
      <c r="P209" s="216"/>
      <c r="Q209" s="216"/>
      <c r="R209" s="216"/>
      <c r="S209" s="216"/>
      <c r="T209" s="216"/>
      <c r="U209" s="216"/>
      <c r="V209" s="216"/>
      <c r="W209" s="216"/>
      <c r="X209" s="216"/>
      <c r="Y209" s="216"/>
      <c r="Z209" s="216"/>
      <c r="AA209" s="216"/>
    </row>
    <row r="210" ht="15.0" customHeight="1">
      <c r="A210" s="214"/>
      <c r="B210" s="214"/>
      <c r="C210" s="214"/>
      <c r="D210" s="214"/>
      <c r="E210" s="214"/>
      <c r="F210" s="214"/>
      <c r="G210" s="214"/>
      <c r="H210" s="214"/>
      <c r="I210" s="214"/>
      <c r="J210" s="214"/>
      <c r="K210" s="214"/>
      <c r="L210" s="214"/>
      <c r="M210" s="214"/>
      <c r="N210" s="216"/>
      <c r="O210" s="216"/>
      <c r="P210" s="216"/>
      <c r="Q210" s="216"/>
      <c r="R210" s="216"/>
      <c r="S210" s="216"/>
      <c r="T210" s="216"/>
      <c r="U210" s="216"/>
      <c r="V210" s="216"/>
      <c r="W210" s="216"/>
      <c r="X210" s="216"/>
      <c r="Y210" s="216"/>
      <c r="Z210" s="216"/>
      <c r="AA210" s="216"/>
    </row>
    <row r="211" ht="15.0" customHeight="1">
      <c r="A211" s="214"/>
      <c r="B211" s="214"/>
      <c r="C211" s="214"/>
      <c r="D211" s="214"/>
      <c r="E211" s="214"/>
      <c r="F211" s="214"/>
      <c r="G211" s="214"/>
      <c r="H211" s="214"/>
      <c r="I211" s="214"/>
      <c r="J211" s="214"/>
      <c r="K211" s="214"/>
      <c r="L211" s="214"/>
      <c r="M211" s="214"/>
      <c r="N211" s="216"/>
      <c r="O211" s="216"/>
      <c r="P211" s="216"/>
      <c r="Q211" s="216"/>
      <c r="R211" s="216"/>
      <c r="S211" s="216"/>
      <c r="T211" s="216"/>
      <c r="U211" s="216"/>
      <c r="V211" s="216"/>
      <c r="W211" s="216"/>
      <c r="X211" s="216"/>
      <c r="Y211" s="216"/>
      <c r="Z211" s="216"/>
      <c r="AA211" s="216"/>
    </row>
    <row r="212" ht="15.0" customHeight="1">
      <c r="A212" s="214"/>
      <c r="B212" s="214"/>
      <c r="C212" s="214"/>
      <c r="D212" s="214"/>
      <c r="E212" s="214"/>
      <c r="F212" s="214"/>
      <c r="G212" s="214"/>
      <c r="H212" s="214"/>
      <c r="I212" s="214"/>
      <c r="J212" s="214"/>
      <c r="K212" s="214"/>
      <c r="L212" s="214"/>
      <c r="M212" s="214"/>
      <c r="N212" s="216"/>
      <c r="O212" s="216"/>
      <c r="P212" s="216"/>
      <c r="Q212" s="216"/>
      <c r="R212" s="216"/>
      <c r="S212" s="216"/>
      <c r="T212" s="216"/>
      <c r="U212" s="216"/>
      <c r="V212" s="216"/>
      <c r="W212" s="216"/>
      <c r="X212" s="216"/>
      <c r="Y212" s="216"/>
      <c r="Z212" s="216"/>
      <c r="AA212" s="216"/>
    </row>
    <row r="213" ht="15.0" customHeight="1">
      <c r="A213" s="214"/>
      <c r="B213" s="214"/>
      <c r="C213" s="214"/>
      <c r="D213" s="214"/>
      <c r="E213" s="214"/>
      <c r="F213" s="214"/>
      <c r="G213" s="214"/>
      <c r="H213" s="214"/>
      <c r="I213" s="214"/>
      <c r="J213" s="214"/>
      <c r="K213" s="214"/>
      <c r="L213" s="214"/>
      <c r="M213" s="214"/>
      <c r="N213" s="216"/>
      <c r="O213" s="216"/>
      <c r="P213" s="216"/>
      <c r="Q213" s="216"/>
      <c r="R213" s="216"/>
      <c r="S213" s="216"/>
      <c r="T213" s="216"/>
      <c r="U213" s="216"/>
      <c r="V213" s="216"/>
      <c r="W213" s="216"/>
      <c r="X213" s="216"/>
      <c r="Y213" s="216"/>
      <c r="Z213" s="216"/>
      <c r="AA213" s="216"/>
    </row>
    <row r="214" ht="15.0" customHeight="1">
      <c r="A214" s="214"/>
      <c r="B214" s="214"/>
      <c r="C214" s="214"/>
      <c r="D214" s="214"/>
      <c r="E214" s="214"/>
      <c r="F214" s="214"/>
      <c r="G214" s="214"/>
      <c r="H214" s="214"/>
      <c r="I214" s="214"/>
      <c r="J214" s="214"/>
      <c r="K214" s="214"/>
      <c r="L214" s="214"/>
      <c r="M214" s="214"/>
      <c r="N214" s="216"/>
      <c r="O214" s="216"/>
      <c r="P214" s="216"/>
      <c r="Q214" s="216"/>
      <c r="R214" s="216"/>
      <c r="S214" s="216"/>
      <c r="T214" s="216"/>
      <c r="U214" s="216"/>
      <c r="V214" s="216"/>
      <c r="W214" s="216"/>
      <c r="X214" s="216"/>
      <c r="Y214" s="216"/>
      <c r="Z214" s="216"/>
      <c r="AA214" s="216"/>
    </row>
    <row r="215" ht="15.0" customHeight="1">
      <c r="A215" s="214"/>
      <c r="B215" s="214"/>
      <c r="C215" s="214"/>
      <c r="D215" s="214"/>
      <c r="E215" s="214"/>
      <c r="F215" s="214"/>
      <c r="G215" s="214"/>
      <c r="H215" s="214"/>
      <c r="I215" s="214"/>
      <c r="J215" s="214"/>
      <c r="K215" s="214"/>
      <c r="L215" s="214"/>
      <c r="M215" s="214"/>
      <c r="N215" s="216"/>
      <c r="O215" s="216"/>
      <c r="P215" s="216"/>
      <c r="Q215" s="216"/>
      <c r="R215" s="216"/>
      <c r="S215" s="216"/>
      <c r="T215" s="216"/>
      <c r="U215" s="216"/>
      <c r="V215" s="216"/>
      <c r="W215" s="216"/>
      <c r="X215" s="216"/>
      <c r="Y215" s="216"/>
      <c r="Z215" s="216"/>
      <c r="AA215" s="216"/>
    </row>
    <row r="216" ht="15.0" customHeight="1">
      <c r="A216" s="214"/>
      <c r="B216" s="214"/>
      <c r="C216" s="214"/>
      <c r="D216" s="214"/>
      <c r="E216" s="214"/>
      <c r="F216" s="214"/>
      <c r="G216" s="214"/>
      <c r="H216" s="214"/>
      <c r="I216" s="214"/>
      <c r="J216" s="214"/>
      <c r="K216" s="214"/>
      <c r="L216" s="214"/>
      <c r="M216" s="214"/>
      <c r="N216" s="216"/>
      <c r="O216" s="216"/>
      <c r="P216" s="216"/>
      <c r="Q216" s="216"/>
      <c r="R216" s="216"/>
      <c r="S216" s="216"/>
      <c r="T216" s="216"/>
      <c r="U216" s="216"/>
      <c r="V216" s="216"/>
      <c r="W216" s="216"/>
      <c r="X216" s="216"/>
      <c r="Y216" s="216"/>
      <c r="Z216" s="216"/>
      <c r="AA216" s="216"/>
    </row>
    <row r="217" ht="15.0" customHeight="1">
      <c r="A217" s="214"/>
      <c r="B217" s="214"/>
      <c r="C217" s="214"/>
      <c r="D217" s="214"/>
      <c r="E217" s="214"/>
      <c r="F217" s="214"/>
      <c r="G217" s="214"/>
      <c r="H217" s="214"/>
      <c r="I217" s="214"/>
      <c r="J217" s="214"/>
      <c r="K217" s="214"/>
      <c r="L217" s="214"/>
      <c r="M217" s="214"/>
      <c r="N217" s="216"/>
      <c r="O217" s="216"/>
      <c r="P217" s="216"/>
      <c r="Q217" s="216"/>
      <c r="R217" s="216"/>
      <c r="S217" s="216"/>
      <c r="T217" s="216"/>
      <c r="U217" s="216"/>
      <c r="V217" s="216"/>
      <c r="W217" s="216"/>
      <c r="X217" s="216"/>
      <c r="Y217" s="216"/>
      <c r="Z217" s="216"/>
      <c r="AA217" s="216"/>
    </row>
    <row r="218" ht="15.0" customHeight="1">
      <c r="A218" s="214"/>
      <c r="B218" s="214"/>
      <c r="C218" s="214"/>
      <c r="D218" s="214"/>
      <c r="E218" s="214"/>
      <c r="F218" s="214"/>
      <c r="G218" s="214"/>
      <c r="H218" s="214"/>
      <c r="I218" s="214"/>
      <c r="J218" s="214"/>
      <c r="K218" s="214"/>
      <c r="L218" s="214"/>
      <c r="M218" s="214"/>
      <c r="N218" s="216"/>
      <c r="O218" s="216"/>
      <c r="P218" s="216"/>
      <c r="Q218" s="216"/>
      <c r="R218" s="216"/>
      <c r="S218" s="216"/>
      <c r="T218" s="216"/>
      <c r="U218" s="216"/>
      <c r="V218" s="216"/>
      <c r="W218" s="216"/>
      <c r="X218" s="216"/>
      <c r="Y218" s="216"/>
      <c r="Z218" s="216"/>
      <c r="AA218" s="216"/>
    </row>
    <row r="219" ht="15.0" customHeight="1">
      <c r="A219" s="214"/>
      <c r="B219" s="214"/>
      <c r="C219" s="214"/>
      <c r="D219" s="214"/>
      <c r="E219" s="214"/>
      <c r="F219" s="214"/>
      <c r="G219" s="214"/>
      <c r="H219" s="214"/>
      <c r="I219" s="214"/>
      <c r="J219" s="214"/>
      <c r="K219" s="214"/>
      <c r="L219" s="214"/>
      <c r="M219" s="214"/>
      <c r="N219" s="216"/>
      <c r="O219" s="216"/>
      <c r="P219" s="216"/>
      <c r="Q219" s="216"/>
      <c r="R219" s="216"/>
      <c r="S219" s="216"/>
      <c r="T219" s="216"/>
      <c r="U219" s="216"/>
      <c r="V219" s="216"/>
      <c r="W219" s="216"/>
      <c r="X219" s="216"/>
      <c r="Y219" s="216"/>
      <c r="Z219" s="216"/>
      <c r="AA219" s="216"/>
    </row>
    <row r="220" ht="15.0" customHeight="1">
      <c r="A220" s="214"/>
      <c r="B220" s="214"/>
      <c r="C220" s="214"/>
      <c r="D220" s="214"/>
      <c r="E220" s="214"/>
      <c r="F220" s="214"/>
      <c r="G220" s="214"/>
      <c r="H220" s="214"/>
      <c r="I220" s="214"/>
      <c r="J220" s="214"/>
      <c r="K220" s="214"/>
      <c r="L220" s="214"/>
      <c r="M220" s="214"/>
      <c r="N220" s="216"/>
      <c r="O220" s="216"/>
      <c r="P220" s="216"/>
      <c r="Q220" s="216"/>
      <c r="R220" s="216"/>
      <c r="S220" s="216"/>
      <c r="T220" s="216"/>
      <c r="U220" s="216"/>
      <c r="V220" s="216"/>
      <c r="W220" s="216"/>
      <c r="X220" s="216"/>
      <c r="Y220" s="216"/>
      <c r="Z220" s="216"/>
      <c r="AA220" s="216"/>
    </row>
    <row r="221" ht="15.0" customHeight="1">
      <c r="A221" s="214"/>
      <c r="B221" s="214"/>
      <c r="C221" s="214"/>
      <c r="D221" s="214"/>
      <c r="E221" s="214"/>
      <c r="F221" s="214"/>
      <c r="G221" s="214"/>
      <c r="H221" s="214"/>
      <c r="I221" s="214"/>
      <c r="J221" s="214"/>
      <c r="K221" s="214"/>
      <c r="L221" s="214"/>
      <c r="M221" s="214"/>
      <c r="N221" s="216"/>
      <c r="O221" s="216"/>
      <c r="P221" s="216"/>
      <c r="Q221" s="216"/>
      <c r="R221" s="216"/>
      <c r="S221" s="216"/>
      <c r="T221" s="216"/>
      <c r="U221" s="216"/>
      <c r="V221" s="216"/>
      <c r="W221" s="216"/>
      <c r="X221" s="216"/>
      <c r="Y221" s="216"/>
      <c r="Z221" s="216"/>
      <c r="AA221" s="216"/>
    </row>
    <row r="222" ht="15.0" customHeight="1">
      <c r="A222" s="214"/>
      <c r="B222" s="214"/>
      <c r="C222" s="214"/>
      <c r="D222" s="214"/>
      <c r="E222" s="214"/>
      <c r="F222" s="214"/>
      <c r="G222" s="214"/>
      <c r="H222" s="214"/>
      <c r="I222" s="214"/>
      <c r="J222" s="214"/>
      <c r="K222" s="214"/>
      <c r="L222" s="214"/>
      <c r="M222" s="214"/>
      <c r="N222" s="216"/>
      <c r="O222" s="216"/>
      <c r="P222" s="216"/>
      <c r="Q222" s="216"/>
      <c r="R222" s="216"/>
      <c r="S222" s="216"/>
      <c r="T222" s="216"/>
      <c r="U222" s="216"/>
      <c r="V222" s="216"/>
      <c r="W222" s="216"/>
      <c r="X222" s="216"/>
      <c r="Y222" s="216"/>
      <c r="Z222" s="216"/>
      <c r="AA222" s="216"/>
    </row>
    <row r="223" ht="15.0" customHeight="1">
      <c r="A223" s="214"/>
      <c r="B223" s="214"/>
      <c r="C223" s="214"/>
      <c r="D223" s="214"/>
      <c r="E223" s="214"/>
      <c r="F223" s="214"/>
      <c r="G223" s="214"/>
      <c r="H223" s="214"/>
      <c r="I223" s="214"/>
      <c r="J223" s="214"/>
      <c r="K223" s="214"/>
      <c r="L223" s="214"/>
      <c r="M223" s="214"/>
      <c r="N223" s="216"/>
      <c r="O223" s="216"/>
      <c r="P223" s="216"/>
      <c r="Q223" s="216"/>
      <c r="R223" s="216"/>
      <c r="S223" s="216"/>
      <c r="T223" s="216"/>
      <c r="U223" s="216"/>
      <c r="V223" s="216"/>
      <c r="W223" s="216"/>
      <c r="X223" s="216"/>
      <c r="Y223" s="216"/>
      <c r="Z223" s="216"/>
      <c r="AA223" s="216"/>
    </row>
    <row r="224" ht="15.0" customHeight="1">
      <c r="A224" s="214"/>
      <c r="B224" s="214"/>
      <c r="C224" s="214"/>
      <c r="D224" s="214"/>
      <c r="E224" s="214"/>
      <c r="F224" s="214"/>
      <c r="G224" s="214"/>
      <c r="H224" s="214"/>
      <c r="I224" s="214"/>
      <c r="J224" s="214"/>
      <c r="K224" s="214"/>
      <c r="L224" s="214"/>
      <c r="M224" s="214"/>
      <c r="N224" s="216"/>
      <c r="O224" s="216"/>
      <c r="P224" s="216"/>
      <c r="Q224" s="216"/>
      <c r="R224" s="216"/>
      <c r="S224" s="216"/>
      <c r="T224" s="216"/>
      <c r="U224" s="216"/>
      <c r="V224" s="216"/>
      <c r="W224" s="216"/>
      <c r="X224" s="216"/>
      <c r="Y224" s="216"/>
      <c r="Z224" s="216"/>
      <c r="AA224" s="216"/>
    </row>
    <row r="225" ht="15.0" customHeight="1">
      <c r="A225" s="214"/>
      <c r="B225" s="214"/>
      <c r="C225" s="214"/>
      <c r="D225" s="214"/>
      <c r="E225" s="214"/>
      <c r="F225" s="214"/>
      <c r="G225" s="214"/>
      <c r="H225" s="214"/>
      <c r="I225" s="214"/>
      <c r="J225" s="214"/>
      <c r="K225" s="214"/>
      <c r="L225" s="214"/>
      <c r="M225" s="214"/>
      <c r="N225" s="216"/>
      <c r="O225" s="216"/>
      <c r="P225" s="216"/>
      <c r="Q225" s="216"/>
      <c r="R225" s="216"/>
      <c r="S225" s="216"/>
      <c r="T225" s="216"/>
      <c r="U225" s="216"/>
      <c r="V225" s="216"/>
      <c r="W225" s="216"/>
      <c r="X225" s="216"/>
      <c r="Y225" s="216"/>
      <c r="Z225" s="216"/>
      <c r="AA225" s="216"/>
    </row>
    <row r="226" ht="15.0" customHeight="1">
      <c r="A226" s="214"/>
      <c r="B226" s="214"/>
      <c r="C226" s="214"/>
      <c r="D226" s="214"/>
      <c r="E226" s="214"/>
      <c r="F226" s="214"/>
      <c r="G226" s="214"/>
      <c r="H226" s="214"/>
      <c r="I226" s="214"/>
      <c r="J226" s="214"/>
      <c r="K226" s="214"/>
      <c r="L226" s="214"/>
      <c r="M226" s="214"/>
      <c r="N226" s="216"/>
      <c r="O226" s="216"/>
      <c r="P226" s="216"/>
      <c r="Q226" s="216"/>
      <c r="R226" s="216"/>
      <c r="S226" s="216"/>
      <c r="T226" s="216"/>
      <c r="U226" s="216"/>
      <c r="V226" s="216"/>
      <c r="W226" s="216"/>
      <c r="X226" s="216"/>
      <c r="Y226" s="216"/>
      <c r="Z226" s="216"/>
      <c r="AA226" s="216"/>
    </row>
    <row r="227" ht="15.0" customHeight="1">
      <c r="A227" s="214"/>
      <c r="B227" s="214"/>
      <c r="C227" s="214"/>
      <c r="D227" s="214"/>
      <c r="E227" s="214"/>
      <c r="F227" s="214"/>
      <c r="G227" s="214"/>
      <c r="H227" s="214"/>
      <c r="I227" s="214"/>
      <c r="J227" s="214"/>
      <c r="K227" s="214"/>
      <c r="L227" s="214"/>
      <c r="M227" s="214"/>
      <c r="N227" s="216"/>
      <c r="O227" s="216"/>
      <c r="P227" s="216"/>
      <c r="Q227" s="216"/>
      <c r="R227" s="216"/>
      <c r="S227" s="216"/>
      <c r="T227" s="216"/>
      <c r="U227" s="216"/>
      <c r="V227" s="216"/>
      <c r="W227" s="216"/>
      <c r="X227" s="216"/>
      <c r="Y227" s="216"/>
      <c r="Z227" s="216"/>
      <c r="AA227" s="216"/>
    </row>
    <row r="228" ht="15.0" customHeight="1">
      <c r="A228" s="214"/>
      <c r="B228" s="214"/>
      <c r="C228" s="214"/>
      <c r="D228" s="214"/>
      <c r="E228" s="214"/>
      <c r="F228" s="214"/>
      <c r="G228" s="214"/>
      <c r="H228" s="214"/>
      <c r="I228" s="214"/>
      <c r="J228" s="214"/>
      <c r="K228" s="214"/>
      <c r="L228" s="214"/>
      <c r="M228" s="214"/>
      <c r="N228" s="216"/>
      <c r="O228" s="216"/>
      <c r="P228" s="216"/>
      <c r="Q228" s="216"/>
      <c r="R228" s="216"/>
      <c r="S228" s="216"/>
      <c r="T228" s="216"/>
      <c r="U228" s="216"/>
      <c r="V228" s="216"/>
      <c r="W228" s="216"/>
      <c r="X228" s="216"/>
      <c r="Y228" s="216"/>
      <c r="Z228" s="216"/>
      <c r="AA228" s="216"/>
    </row>
    <row r="229" ht="15.0" customHeight="1">
      <c r="A229" s="214"/>
      <c r="B229" s="214"/>
      <c r="C229" s="214"/>
      <c r="D229" s="214"/>
      <c r="E229" s="214"/>
      <c r="F229" s="214"/>
      <c r="G229" s="214"/>
      <c r="H229" s="214"/>
      <c r="I229" s="214"/>
      <c r="J229" s="214"/>
      <c r="K229" s="214"/>
      <c r="L229" s="214"/>
      <c r="M229" s="214"/>
      <c r="N229" s="216"/>
      <c r="O229" s="216"/>
      <c r="P229" s="216"/>
      <c r="Q229" s="216"/>
      <c r="R229" s="216"/>
      <c r="S229" s="216"/>
      <c r="T229" s="216"/>
      <c r="U229" s="216"/>
      <c r="V229" s="216"/>
      <c r="W229" s="216"/>
      <c r="X229" s="216"/>
      <c r="Y229" s="216"/>
      <c r="Z229" s="216"/>
      <c r="AA229" s="216"/>
    </row>
    <row r="230" ht="15.0" customHeight="1">
      <c r="A230" s="214"/>
      <c r="B230" s="214"/>
      <c r="C230" s="214"/>
      <c r="D230" s="214"/>
      <c r="E230" s="214"/>
      <c r="F230" s="214"/>
      <c r="G230" s="214"/>
      <c r="H230" s="214"/>
      <c r="I230" s="214"/>
      <c r="J230" s="214"/>
      <c r="K230" s="214"/>
      <c r="L230" s="214"/>
      <c r="M230" s="214"/>
      <c r="N230" s="216"/>
      <c r="O230" s="216"/>
      <c r="P230" s="216"/>
      <c r="Q230" s="216"/>
      <c r="R230" s="216"/>
      <c r="S230" s="216"/>
      <c r="T230" s="216"/>
      <c r="U230" s="216"/>
      <c r="V230" s="216"/>
      <c r="W230" s="216"/>
      <c r="X230" s="216"/>
      <c r="Y230" s="216"/>
      <c r="Z230" s="216"/>
      <c r="AA230" s="216"/>
    </row>
    <row r="231" ht="15.0" customHeight="1">
      <c r="A231" s="214"/>
      <c r="B231" s="214"/>
      <c r="C231" s="214"/>
      <c r="D231" s="214"/>
      <c r="E231" s="214"/>
      <c r="F231" s="214"/>
      <c r="G231" s="214"/>
      <c r="H231" s="214"/>
      <c r="I231" s="214"/>
      <c r="J231" s="214"/>
      <c r="K231" s="214"/>
      <c r="L231" s="214"/>
      <c r="M231" s="214"/>
      <c r="N231" s="216"/>
      <c r="O231" s="216"/>
      <c r="P231" s="216"/>
      <c r="Q231" s="216"/>
      <c r="R231" s="216"/>
      <c r="S231" s="216"/>
      <c r="T231" s="216"/>
      <c r="U231" s="216"/>
      <c r="V231" s="216"/>
      <c r="W231" s="216"/>
      <c r="X231" s="216"/>
      <c r="Y231" s="216"/>
      <c r="Z231" s="216"/>
      <c r="AA231" s="216"/>
    </row>
    <row r="232" ht="15.0" customHeight="1">
      <c r="A232" s="214"/>
      <c r="B232" s="214"/>
      <c r="C232" s="214"/>
      <c r="D232" s="214"/>
      <c r="E232" s="214"/>
      <c r="F232" s="214"/>
      <c r="G232" s="214"/>
      <c r="H232" s="214"/>
      <c r="I232" s="214"/>
      <c r="J232" s="214"/>
      <c r="K232" s="214"/>
      <c r="L232" s="214"/>
      <c r="M232" s="214"/>
      <c r="N232" s="216"/>
      <c r="O232" s="216"/>
      <c r="P232" s="216"/>
      <c r="Q232" s="216"/>
      <c r="R232" s="216"/>
      <c r="S232" s="216"/>
      <c r="T232" s="216"/>
      <c r="U232" s="216"/>
      <c r="V232" s="216"/>
      <c r="W232" s="216"/>
      <c r="X232" s="216"/>
      <c r="Y232" s="216"/>
      <c r="Z232" s="216"/>
      <c r="AA232" s="216"/>
    </row>
    <row r="233" ht="15.0" customHeight="1">
      <c r="A233" s="214"/>
      <c r="B233" s="214"/>
      <c r="C233" s="214"/>
      <c r="D233" s="214"/>
      <c r="E233" s="214"/>
      <c r="F233" s="214"/>
      <c r="G233" s="214"/>
      <c r="H233" s="214"/>
      <c r="I233" s="214"/>
      <c r="J233" s="214"/>
      <c r="K233" s="214"/>
      <c r="L233" s="214"/>
      <c r="M233" s="214"/>
      <c r="N233" s="216"/>
      <c r="O233" s="216"/>
      <c r="P233" s="216"/>
      <c r="Q233" s="216"/>
      <c r="R233" s="216"/>
      <c r="S233" s="216"/>
      <c r="T233" s="216"/>
      <c r="U233" s="216"/>
      <c r="V233" s="216"/>
      <c r="W233" s="216"/>
      <c r="X233" s="216"/>
      <c r="Y233" s="216"/>
      <c r="Z233" s="216"/>
      <c r="AA233" s="216"/>
    </row>
    <row r="234" ht="15.0" customHeight="1">
      <c r="A234" s="214"/>
      <c r="B234" s="214"/>
      <c r="C234" s="214"/>
      <c r="D234" s="214"/>
      <c r="E234" s="214"/>
      <c r="F234" s="214"/>
      <c r="G234" s="214"/>
      <c r="H234" s="214"/>
      <c r="I234" s="214"/>
      <c r="J234" s="214"/>
      <c r="K234" s="214"/>
      <c r="L234" s="214"/>
      <c r="M234" s="214"/>
      <c r="N234" s="216"/>
      <c r="O234" s="216"/>
      <c r="P234" s="216"/>
      <c r="Q234" s="216"/>
      <c r="R234" s="216"/>
      <c r="S234" s="216"/>
      <c r="T234" s="216"/>
      <c r="U234" s="216"/>
      <c r="V234" s="216"/>
      <c r="W234" s="216"/>
      <c r="X234" s="216"/>
      <c r="Y234" s="216"/>
      <c r="Z234" s="216"/>
      <c r="AA234" s="216"/>
    </row>
    <row r="235" ht="15.0" customHeight="1">
      <c r="A235" s="214"/>
      <c r="B235" s="214"/>
      <c r="C235" s="214"/>
      <c r="D235" s="214"/>
      <c r="E235" s="214"/>
      <c r="F235" s="214"/>
      <c r="G235" s="214"/>
      <c r="H235" s="214"/>
      <c r="I235" s="214"/>
      <c r="J235" s="214"/>
      <c r="K235" s="214"/>
      <c r="L235" s="214"/>
      <c r="M235" s="214"/>
      <c r="N235" s="216"/>
      <c r="O235" s="216"/>
      <c r="P235" s="216"/>
      <c r="Q235" s="216"/>
      <c r="R235" s="216"/>
      <c r="S235" s="216"/>
      <c r="T235" s="216"/>
      <c r="U235" s="216"/>
      <c r="V235" s="216"/>
      <c r="W235" s="216"/>
      <c r="X235" s="216"/>
      <c r="Y235" s="216"/>
      <c r="Z235" s="216"/>
      <c r="AA235" s="216"/>
    </row>
    <row r="236" ht="15.0" customHeight="1">
      <c r="A236" s="214"/>
      <c r="B236" s="214"/>
      <c r="C236" s="214"/>
      <c r="D236" s="214"/>
      <c r="E236" s="214"/>
      <c r="F236" s="214"/>
      <c r="G236" s="214"/>
      <c r="H236" s="214"/>
      <c r="I236" s="214"/>
      <c r="J236" s="214"/>
      <c r="K236" s="214"/>
      <c r="L236" s="214"/>
      <c r="M236" s="214"/>
      <c r="N236" s="216"/>
      <c r="O236" s="216"/>
      <c r="P236" s="216"/>
      <c r="Q236" s="216"/>
      <c r="R236" s="216"/>
      <c r="S236" s="216"/>
      <c r="T236" s="216"/>
      <c r="U236" s="216"/>
      <c r="V236" s="216"/>
      <c r="W236" s="216"/>
      <c r="X236" s="216"/>
      <c r="Y236" s="216"/>
      <c r="Z236" s="216"/>
      <c r="AA236" s="216"/>
    </row>
    <row r="237" ht="15.0" customHeight="1">
      <c r="A237" s="214"/>
      <c r="B237" s="214"/>
      <c r="C237" s="214"/>
      <c r="D237" s="214"/>
      <c r="E237" s="214"/>
      <c r="F237" s="214"/>
      <c r="G237" s="214"/>
      <c r="H237" s="214"/>
      <c r="I237" s="214"/>
      <c r="J237" s="214"/>
      <c r="K237" s="214"/>
      <c r="L237" s="214"/>
      <c r="M237" s="214"/>
      <c r="N237" s="216"/>
      <c r="O237" s="216"/>
      <c r="P237" s="216"/>
      <c r="Q237" s="216"/>
      <c r="R237" s="216"/>
      <c r="S237" s="216"/>
      <c r="T237" s="216"/>
      <c r="U237" s="216"/>
      <c r="V237" s="216"/>
      <c r="W237" s="216"/>
      <c r="X237" s="216"/>
      <c r="Y237" s="216"/>
      <c r="Z237" s="216"/>
      <c r="AA237" s="216"/>
    </row>
    <row r="238" ht="15.0" customHeight="1">
      <c r="A238" s="214"/>
      <c r="B238" s="214"/>
      <c r="C238" s="214"/>
      <c r="D238" s="214"/>
      <c r="E238" s="214"/>
      <c r="F238" s="214"/>
      <c r="G238" s="214"/>
      <c r="H238" s="214"/>
      <c r="I238" s="214"/>
      <c r="J238" s="214"/>
      <c r="K238" s="214"/>
      <c r="L238" s="214"/>
      <c r="M238" s="214"/>
      <c r="N238" s="216"/>
      <c r="O238" s="216"/>
      <c r="P238" s="216"/>
      <c r="Q238" s="216"/>
      <c r="R238" s="216"/>
      <c r="S238" s="216"/>
      <c r="T238" s="216"/>
      <c r="U238" s="216"/>
      <c r="V238" s="216"/>
      <c r="W238" s="216"/>
      <c r="X238" s="216"/>
      <c r="Y238" s="216"/>
      <c r="Z238" s="216"/>
      <c r="AA238" s="216"/>
    </row>
    <row r="239" ht="15.0" customHeight="1">
      <c r="A239" s="214"/>
      <c r="B239" s="214"/>
      <c r="C239" s="214"/>
      <c r="D239" s="214"/>
      <c r="E239" s="214"/>
      <c r="F239" s="214"/>
      <c r="G239" s="214"/>
      <c r="H239" s="214"/>
      <c r="I239" s="214"/>
      <c r="J239" s="214"/>
      <c r="K239" s="214"/>
      <c r="L239" s="214"/>
      <c r="M239" s="214"/>
      <c r="N239" s="216"/>
      <c r="O239" s="216"/>
      <c r="P239" s="216"/>
      <c r="Q239" s="216"/>
      <c r="R239" s="216"/>
      <c r="S239" s="216"/>
      <c r="T239" s="216"/>
      <c r="U239" s="216"/>
      <c r="V239" s="216"/>
      <c r="W239" s="216"/>
      <c r="X239" s="216"/>
      <c r="Y239" s="216"/>
      <c r="Z239" s="216"/>
      <c r="AA239" s="216"/>
    </row>
    <row r="240" ht="15.0" customHeight="1">
      <c r="A240" s="214"/>
      <c r="B240" s="214"/>
      <c r="C240" s="214"/>
      <c r="D240" s="214"/>
      <c r="E240" s="214"/>
      <c r="F240" s="214"/>
      <c r="G240" s="214"/>
      <c r="H240" s="214"/>
      <c r="I240" s="214"/>
      <c r="J240" s="214"/>
      <c r="K240" s="214"/>
      <c r="L240" s="214"/>
      <c r="M240" s="214"/>
      <c r="N240" s="216"/>
      <c r="O240" s="216"/>
      <c r="P240" s="216"/>
      <c r="Q240" s="216"/>
      <c r="R240" s="216"/>
      <c r="S240" s="216"/>
      <c r="T240" s="216"/>
      <c r="U240" s="216"/>
      <c r="V240" s="216"/>
      <c r="W240" s="216"/>
      <c r="X240" s="216"/>
      <c r="Y240" s="216"/>
      <c r="Z240" s="216"/>
      <c r="AA240" s="216"/>
    </row>
    <row r="241" ht="15.0" customHeight="1">
      <c r="A241" s="214"/>
      <c r="B241" s="214"/>
      <c r="C241" s="214"/>
      <c r="D241" s="214"/>
      <c r="E241" s="214"/>
      <c r="F241" s="214"/>
      <c r="G241" s="214"/>
      <c r="H241" s="214"/>
      <c r="I241" s="214"/>
      <c r="J241" s="214"/>
      <c r="K241" s="214"/>
      <c r="L241" s="214"/>
      <c r="M241" s="214"/>
      <c r="N241" s="216"/>
      <c r="O241" s="216"/>
      <c r="P241" s="216"/>
      <c r="Q241" s="216"/>
      <c r="R241" s="216"/>
      <c r="S241" s="216"/>
      <c r="T241" s="216"/>
      <c r="U241" s="216"/>
      <c r="V241" s="216"/>
      <c r="W241" s="216"/>
      <c r="X241" s="216"/>
      <c r="Y241" s="216"/>
      <c r="Z241" s="216"/>
      <c r="AA241" s="216"/>
    </row>
    <row r="242" ht="15.0" customHeight="1">
      <c r="A242" s="214"/>
      <c r="B242" s="214"/>
      <c r="C242" s="214"/>
      <c r="D242" s="214"/>
      <c r="E242" s="214"/>
      <c r="F242" s="214"/>
      <c r="G242" s="214"/>
      <c r="H242" s="214"/>
      <c r="I242" s="214"/>
      <c r="J242" s="214"/>
      <c r="K242" s="214"/>
      <c r="L242" s="214"/>
      <c r="M242" s="214"/>
      <c r="N242" s="216"/>
      <c r="O242" s="216"/>
      <c r="P242" s="216"/>
      <c r="Q242" s="216"/>
      <c r="R242" s="216"/>
      <c r="S242" s="216"/>
      <c r="T242" s="216"/>
      <c r="U242" s="216"/>
      <c r="V242" s="216"/>
      <c r="W242" s="216"/>
      <c r="X242" s="216"/>
      <c r="Y242" s="216"/>
      <c r="Z242" s="216"/>
      <c r="AA242" s="216"/>
    </row>
    <row r="243" ht="15.0" customHeight="1">
      <c r="A243" s="214"/>
      <c r="B243" s="214"/>
      <c r="C243" s="214"/>
      <c r="D243" s="214"/>
      <c r="E243" s="214"/>
      <c r="F243" s="214"/>
      <c r="G243" s="214"/>
      <c r="H243" s="214"/>
      <c r="I243" s="214"/>
      <c r="J243" s="214"/>
      <c r="K243" s="214"/>
      <c r="L243" s="214"/>
      <c r="M243" s="214"/>
      <c r="N243" s="216"/>
      <c r="O243" s="216"/>
      <c r="P243" s="216"/>
      <c r="Q243" s="216"/>
      <c r="R243" s="216"/>
      <c r="S243" s="216"/>
      <c r="T243" s="216"/>
      <c r="U243" s="216"/>
      <c r="V243" s="216"/>
      <c r="W243" s="216"/>
      <c r="X243" s="216"/>
      <c r="Y243" s="216"/>
      <c r="Z243" s="216"/>
      <c r="AA243" s="216"/>
    </row>
    <row r="244" ht="15.0" customHeight="1">
      <c r="A244" s="214"/>
      <c r="B244" s="214"/>
      <c r="C244" s="214"/>
      <c r="D244" s="214"/>
      <c r="E244" s="214"/>
      <c r="F244" s="214"/>
      <c r="G244" s="214"/>
      <c r="H244" s="214"/>
      <c r="I244" s="214"/>
      <c r="J244" s="214"/>
      <c r="K244" s="214"/>
      <c r="L244" s="214"/>
      <c r="M244" s="214"/>
      <c r="N244" s="216"/>
      <c r="O244" s="216"/>
      <c r="P244" s="216"/>
      <c r="Q244" s="216"/>
      <c r="R244" s="216"/>
      <c r="S244" s="216"/>
      <c r="T244" s="216"/>
      <c r="U244" s="216"/>
      <c r="V244" s="216"/>
      <c r="W244" s="216"/>
      <c r="X244" s="216"/>
      <c r="Y244" s="216"/>
      <c r="Z244" s="216"/>
      <c r="AA244" s="216"/>
    </row>
    <row r="245" ht="15.0" customHeight="1">
      <c r="A245" s="214"/>
      <c r="B245" s="214"/>
      <c r="C245" s="214"/>
      <c r="D245" s="214"/>
      <c r="E245" s="214"/>
      <c r="F245" s="214"/>
      <c r="G245" s="214"/>
      <c r="H245" s="214"/>
      <c r="I245" s="214"/>
      <c r="J245" s="214"/>
      <c r="K245" s="214"/>
      <c r="L245" s="214"/>
      <c r="M245" s="214"/>
      <c r="N245" s="216"/>
      <c r="O245" s="216"/>
      <c r="P245" s="216"/>
      <c r="Q245" s="216"/>
      <c r="R245" s="216"/>
      <c r="S245" s="216"/>
      <c r="T245" s="216"/>
      <c r="U245" s="216"/>
      <c r="V245" s="216"/>
      <c r="W245" s="216"/>
      <c r="X245" s="216"/>
      <c r="Y245" s="216"/>
      <c r="Z245" s="216"/>
      <c r="AA245" s="216"/>
    </row>
    <row r="246" ht="15.0" customHeight="1">
      <c r="A246" s="214"/>
      <c r="B246" s="214"/>
      <c r="C246" s="214"/>
      <c r="D246" s="214"/>
      <c r="E246" s="214"/>
      <c r="F246" s="214"/>
      <c r="G246" s="214"/>
      <c r="H246" s="214"/>
      <c r="I246" s="214"/>
      <c r="J246" s="214"/>
      <c r="K246" s="214"/>
      <c r="L246" s="214"/>
      <c r="M246" s="214"/>
      <c r="N246" s="216"/>
      <c r="O246" s="216"/>
      <c r="P246" s="216"/>
      <c r="Q246" s="216"/>
      <c r="R246" s="216"/>
      <c r="S246" s="216"/>
      <c r="T246" s="216"/>
      <c r="U246" s="216"/>
      <c r="V246" s="216"/>
      <c r="W246" s="216"/>
      <c r="X246" s="216"/>
      <c r="Y246" s="216"/>
      <c r="Z246" s="216"/>
      <c r="AA246" s="216"/>
    </row>
    <row r="247" ht="15.0" customHeight="1">
      <c r="A247" s="214"/>
      <c r="B247" s="214"/>
      <c r="C247" s="214"/>
      <c r="D247" s="214"/>
      <c r="E247" s="214"/>
      <c r="F247" s="214"/>
      <c r="G247" s="214"/>
      <c r="H247" s="214"/>
      <c r="I247" s="214"/>
      <c r="J247" s="214"/>
      <c r="K247" s="214"/>
      <c r="L247" s="214"/>
      <c r="M247" s="214"/>
      <c r="N247" s="216"/>
      <c r="O247" s="216"/>
      <c r="P247" s="216"/>
      <c r="Q247" s="216"/>
      <c r="R247" s="216"/>
      <c r="S247" s="216"/>
      <c r="T247" s="216"/>
      <c r="U247" s="216"/>
      <c r="V247" s="216"/>
      <c r="W247" s="216"/>
      <c r="X247" s="216"/>
      <c r="Y247" s="216"/>
      <c r="Z247" s="216"/>
      <c r="AA247" s="216"/>
    </row>
    <row r="248" ht="15.0" customHeight="1">
      <c r="A248" s="214"/>
      <c r="B248" s="214"/>
      <c r="C248" s="214"/>
      <c r="D248" s="214"/>
      <c r="E248" s="214"/>
      <c r="F248" s="214"/>
      <c r="G248" s="214"/>
      <c r="H248" s="214"/>
      <c r="I248" s="214"/>
      <c r="J248" s="214"/>
      <c r="K248" s="214"/>
      <c r="L248" s="214"/>
      <c r="M248" s="214"/>
      <c r="N248" s="216"/>
      <c r="O248" s="216"/>
      <c r="P248" s="216"/>
      <c r="Q248" s="216"/>
      <c r="R248" s="216"/>
      <c r="S248" s="216"/>
      <c r="T248" s="216"/>
      <c r="U248" s="216"/>
      <c r="V248" s="216"/>
      <c r="W248" s="216"/>
      <c r="X248" s="216"/>
      <c r="Y248" s="216"/>
      <c r="Z248" s="216"/>
      <c r="AA248" s="216"/>
    </row>
    <row r="249" ht="15.0" customHeight="1">
      <c r="A249" s="214"/>
      <c r="B249" s="214"/>
      <c r="C249" s="214"/>
      <c r="D249" s="214"/>
      <c r="E249" s="214"/>
      <c r="F249" s="214"/>
      <c r="G249" s="214"/>
      <c r="H249" s="214"/>
      <c r="I249" s="214"/>
      <c r="J249" s="214"/>
      <c r="K249" s="214"/>
      <c r="L249" s="214"/>
      <c r="M249" s="214"/>
      <c r="N249" s="216"/>
      <c r="O249" s="216"/>
      <c r="P249" s="216"/>
      <c r="Q249" s="216"/>
      <c r="R249" s="216"/>
      <c r="S249" s="216"/>
      <c r="T249" s="216"/>
      <c r="U249" s="216"/>
      <c r="V249" s="216"/>
      <c r="W249" s="216"/>
      <c r="X249" s="216"/>
      <c r="Y249" s="216"/>
      <c r="Z249" s="216"/>
      <c r="AA249" s="216"/>
    </row>
    <row r="250" ht="15.0" customHeight="1">
      <c r="A250" s="214"/>
      <c r="B250" s="214"/>
      <c r="C250" s="214"/>
      <c r="D250" s="214"/>
      <c r="E250" s="214"/>
      <c r="F250" s="214"/>
      <c r="G250" s="214"/>
      <c r="H250" s="214"/>
      <c r="I250" s="214"/>
      <c r="J250" s="214"/>
      <c r="K250" s="214"/>
      <c r="L250" s="214"/>
      <c r="M250" s="214"/>
      <c r="N250" s="216"/>
      <c r="O250" s="216"/>
      <c r="P250" s="216"/>
      <c r="Q250" s="216"/>
      <c r="R250" s="216"/>
      <c r="S250" s="216"/>
      <c r="T250" s="216"/>
      <c r="U250" s="216"/>
      <c r="V250" s="216"/>
      <c r="W250" s="216"/>
      <c r="X250" s="216"/>
      <c r="Y250" s="216"/>
      <c r="Z250" s="216"/>
      <c r="AA250" s="216"/>
    </row>
    <row r="251" ht="15.0" customHeight="1">
      <c r="A251" s="214"/>
      <c r="B251" s="214"/>
      <c r="C251" s="214"/>
      <c r="D251" s="214"/>
      <c r="E251" s="214"/>
      <c r="F251" s="214"/>
      <c r="G251" s="214"/>
      <c r="H251" s="214"/>
      <c r="I251" s="214"/>
      <c r="J251" s="214"/>
      <c r="K251" s="214"/>
      <c r="L251" s="214"/>
      <c r="M251" s="214"/>
      <c r="N251" s="216"/>
      <c r="O251" s="216"/>
      <c r="P251" s="216"/>
      <c r="Q251" s="216"/>
      <c r="R251" s="216"/>
      <c r="S251" s="216"/>
      <c r="T251" s="216"/>
      <c r="U251" s="216"/>
      <c r="V251" s="216"/>
      <c r="W251" s="216"/>
      <c r="X251" s="216"/>
      <c r="Y251" s="216"/>
      <c r="Z251" s="216"/>
      <c r="AA251" s="216"/>
    </row>
    <row r="252" ht="15.0" customHeight="1">
      <c r="A252" s="214"/>
      <c r="B252" s="214"/>
      <c r="C252" s="214"/>
      <c r="D252" s="214"/>
      <c r="E252" s="214"/>
      <c r="F252" s="214"/>
      <c r="G252" s="214"/>
      <c r="H252" s="214"/>
      <c r="I252" s="214"/>
      <c r="J252" s="214"/>
      <c r="K252" s="214"/>
      <c r="L252" s="214"/>
      <c r="M252" s="214"/>
      <c r="N252" s="216"/>
      <c r="O252" s="216"/>
      <c r="P252" s="216"/>
      <c r="Q252" s="216"/>
      <c r="R252" s="216"/>
      <c r="S252" s="216"/>
      <c r="T252" s="216"/>
      <c r="U252" s="216"/>
      <c r="V252" s="216"/>
      <c r="W252" s="216"/>
      <c r="X252" s="216"/>
      <c r="Y252" s="216"/>
      <c r="Z252" s="216"/>
      <c r="AA252" s="216"/>
    </row>
    <row r="253" ht="15.0" customHeight="1">
      <c r="A253" s="214"/>
      <c r="B253" s="214"/>
      <c r="C253" s="214"/>
      <c r="D253" s="214"/>
      <c r="E253" s="214"/>
      <c r="F253" s="214"/>
      <c r="G253" s="214"/>
      <c r="H253" s="214"/>
      <c r="I253" s="214"/>
      <c r="J253" s="214"/>
      <c r="K253" s="214"/>
      <c r="L253" s="214"/>
      <c r="M253" s="214"/>
      <c r="N253" s="216"/>
      <c r="O253" s="216"/>
      <c r="P253" s="216"/>
      <c r="Q253" s="216"/>
      <c r="R253" s="216"/>
      <c r="S253" s="216"/>
      <c r="T253" s="216"/>
      <c r="U253" s="216"/>
      <c r="V253" s="216"/>
      <c r="W253" s="216"/>
      <c r="X253" s="216"/>
      <c r="Y253" s="216"/>
      <c r="Z253" s="216"/>
      <c r="AA253" s="216"/>
    </row>
    <row r="254" ht="15.0" customHeight="1">
      <c r="A254" s="214"/>
      <c r="B254" s="214"/>
      <c r="C254" s="214"/>
      <c r="D254" s="214"/>
      <c r="E254" s="214"/>
      <c r="F254" s="214"/>
      <c r="G254" s="214"/>
      <c r="H254" s="214"/>
      <c r="I254" s="214"/>
      <c r="J254" s="214"/>
      <c r="K254" s="214"/>
      <c r="L254" s="214"/>
      <c r="M254" s="214"/>
      <c r="N254" s="216"/>
      <c r="O254" s="216"/>
      <c r="P254" s="216"/>
      <c r="Q254" s="216"/>
      <c r="R254" s="216"/>
      <c r="S254" s="216"/>
      <c r="T254" s="216"/>
      <c r="U254" s="216"/>
      <c r="V254" s="216"/>
      <c r="W254" s="216"/>
      <c r="X254" s="216"/>
      <c r="Y254" s="216"/>
      <c r="Z254" s="216"/>
      <c r="AA254" s="216"/>
    </row>
    <row r="255" ht="15.0" customHeight="1">
      <c r="A255" s="214"/>
      <c r="B255" s="214"/>
      <c r="C255" s="214"/>
      <c r="D255" s="214"/>
      <c r="E255" s="214"/>
      <c r="F255" s="214"/>
      <c r="G255" s="214"/>
      <c r="H255" s="214"/>
      <c r="I255" s="214"/>
      <c r="J255" s="214"/>
      <c r="K255" s="214"/>
      <c r="L255" s="214"/>
      <c r="M255" s="214"/>
      <c r="N255" s="216"/>
      <c r="O255" s="216"/>
      <c r="P255" s="216"/>
      <c r="Q255" s="216"/>
      <c r="R255" s="216"/>
      <c r="S255" s="216"/>
      <c r="T255" s="216"/>
      <c r="U255" s="216"/>
      <c r="V255" s="216"/>
      <c r="W255" s="216"/>
      <c r="X255" s="216"/>
      <c r="Y255" s="216"/>
      <c r="Z255" s="216"/>
      <c r="AA255" s="216"/>
    </row>
    <row r="256" ht="15.0" customHeight="1">
      <c r="A256" s="214"/>
      <c r="B256" s="214"/>
      <c r="C256" s="214"/>
      <c r="D256" s="214"/>
      <c r="E256" s="214"/>
      <c r="F256" s="214"/>
      <c r="G256" s="214"/>
      <c r="H256" s="214"/>
      <c r="I256" s="214"/>
      <c r="J256" s="214"/>
      <c r="K256" s="214"/>
      <c r="L256" s="214"/>
      <c r="M256" s="214"/>
      <c r="N256" s="216"/>
      <c r="O256" s="216"/>
      <c r="P256" s="216"/>
      <c r="Q256" s="216"/>
      <c r="R256" s="216"/>
      <c r="S256" s="216"/>
      <c r="T256" s="216"/>
      <c r="U256" s="216"/>
      <c r="V256" s="216"/>
      <c r="W256" s="216"/>
      <c r="X256" s="216"/>
      <c r="Y256" s="216"/>
      <c r="Z256" s="216"/>
      <c r="AA256" s="216"/>
    </row>
    <row r="257" ht="15.0" customHeight="1">
      <c r="A257" s="214"/>
      <c r="B257" s="214"/>
      <c r="C257" s="214"/>
      <c r="D257" s="214"/>
      <c r="E257" s="214"/>
      <c r="F257" s="214"/>
      <c r="G257" s="214"/>
      <c r="H257" s="214"/>
      <c r="I257" s="214"/>
      <c r="J257" s="214"/>
      <c r="K257" s="214"/>
      <c r="L257" s="214"/>
      <c r="M257" s="214"/>
      <c r="N257" s="216"/>
      <c r="O257" s="216"/>
      <c r="P257" s="216"/>
      <c r="Q257" s="216"/>
      <c r="R257" s="216"/>
      <c r="S257" s="216"/>
      <c r="T257" s="216"/>
      <c r="U257" s="216"/>
      <c r="V257" s="216"/>
      <c r="W257" s="216"/>
      <c r="X257" s="216"/>
      <c r="Y257" s="216"/>
      <c r="Z257" s="216"/>
      <c r="AA257" s="216"/>
    </row>
    <row r="258" ht="15.0" customHeight="1">
      <c r="A258" s="214"/>
      <c r="B258" s="214"/>
      <c r="C258" s="214"/>
      <c r="D258" s="214"/>
      <c r="E258" s="214"/>
      <c r="F258" s="214"/>
      <c r="G258" s="214"/>
      <c r="H258" s="214"/>
      <c r="I258" s="214"/>
      <c r="J258" s="214"/>
      <c r="K258" s="214"/>
      <c r="L258" s="214"/>
      <c r="M258" s="214"/>
      <c r="N258" s="216"/>
      <c r="O258" s="216"/>
      <c r="P258" s="216"/>
      <c r="Q258" s="216"/>
      <c r="R258" s="216"/>
      <c r="S258" s="216"/>
      <c r="T258" s="216"/>
      <c r="U258" s="216"/>
      <c r="V258" s="216"/>
      <c r="W258" s="216"/>
      <c r="X258" s="216"/>
      <c r="Y258" s="216"/>
      <c r="Z258" s="216"/>
      <c r="AA258" s="216"/>
    </row>
    <row r="259" ht="15.0" customHeight="1">
      <c r="A259" s="214"/>
      <c r="B259" s="214"/>
      <c r="C259" s="214"/>
      <c r="D259" s="214"/>
      <c r="E259" s="214"/>
      <c r="F259" s="214"/>
      <c r="G259" s="214"/>
      <c r="H259" s="214"/>
      <c r="I259" s="214"/>
      <c r="J259" s="214"/>
      <c r="K259" s="214"/>
      <c r="L259" s="214"/>
      <c r="M259" s="214"/>
      <c r="N259" s="216"/>
      <c r="O259" s="216"/>
      <c r="P259" s="216"/>
      <c r="Q259" s="216"/>
      <c r="R259" s="216"/>
      <c r="S259" s="216"/>
      <c r="T259" s="216"/>
      <c r="U259" s="216"/>
      <c r="V259" s="216"/>
      <c r="W259" s="216"/>
      <c r="X259" s="216"/>
      <c r="Y259" s="216"/>
      <c r="Z259" s="216"/>
      <c r="AA259" s="216"/>
    </row>
    <row r="260" ht="15.0" customHeight="1">
      <c r="A260" s="214"/>
      <c r="B260" s="214"/>
      <c r="C260" s="214"/>
      <c r="D260" s="214"/>
      <c r="E260" s="214"/>
      <c r="F260" s="214"/>
      <c r="G260" s="214"/>
      <c r="H260" s="214"/>
      <c r="I260" s="214"/>
      <c r="J260" s="214"/>
      <c r="K260" s="214"/>
      <c r="L260" s="214"/>
      <c r="M260" s="214"/>
      <c r="N260" s="216"/>
      <c r="O260" s="216"/>
      <c r="P260" s="216"/>
      <c r="Q260" s="216"/>
      <c r="R260" s="216"/>
      <c r="S260" s="216"/>
      <c r="T260" s="216"/>
      <c r="U260" s="216"/>
      <c r="V260" s="216"/>
      <c r="W260" s="216"/>
      <c r="X260" s="216"/>
      <c r="Y260" s="216"/>
      <c r="Z260" s="216"/>
      <c r="AA260" s="216"/>
    </row>
    <row r="261" ht="15.0" customHeight="1">
      <c r="A261" s="214"/>
      <c r="B261" s="214"/>
      <c r="C261" s="214"/>
      <c r="D261" s="214"/>
      <c r="E261" s="214"/>
      <c r="F261" s="214"/>
      <c r="G261" s="214"/>
      <c r="H261" s="214"/>
      <c r="I261" s="214"/>
      <c r="J261" s="214"/>
      <c r="K261" s="214"/>
      <c r="L261" s="214"/>
      <c r="M261" s="214"/>
      <c r="N261" s="216"/>
      <c r="O261" s="216"/>
      <c r="P261" s="216"/>
      <c r="Q261" s="216"/>
      <c r="R261" s="216"/>
      <c r="S261" s="216"/>
      <c r="T261" s="216"/>
      <c r="U261" s="216"/>
      <c r="V261" s="216"/>
      <c r="W261" s="216"/>
      <c r="X261" s="216"/>
      <c r="Y261" s="216"/>
      <c r="Z261" s="216"/>
      <c r="AA261" s="216"/>
    </row>
    <row r="262" ht="15.0" customHeight="1">
      <c r="A262" s="214"/>
      <c r="B262" s="214"/>
      <c r="C262" s="214"/>
      <c r="D262" s="214"/>
      <c r="E262" s="214"/>
      <c r="F262" s="214"/>
      <c r="G262" s="214"/>
      <c r="H262" s="214"/>
      <c r="I262" s="214"/>
      <c r="J262" s="214"/>
      <c r="K262" s="214"/>
      <c r="L262" s="214"/>
      <c r="M262" s="214"/>
      <c r="N262" s="216"/>
      <c r="O262" s="216"/>
      <c r="P262" s="216"/>
      <c r="Q262" s="216"/>
      <c r="R262" s="216"/>
      <c r="S262" s="216"/>
      <c r="T262" s="216"/>
      <c r="U262" s="216"/>
      <c r="V262" s="216"/>
      <c r="W262" s="216"/>
      <c r="X262" s="216"/>
      <c r="Y262" s="216"/>
      <c r="Z262" s="216"/>
      <c r="AA262" s="216"/>
    </row>
    <row r="263" ht="15.0" customHeight="1">
      <c r="A263" s="214"/>
      <c r="B263" s="214"/>
      <c r="C263" s="214"/>
      <c r="D263" s="214"/>
      <c r="E263" s="214"/>
      <c r="F263" s="214"/>
      <c r="G263" s="214"/>
      <c r="H263" s="214"/>
      <c r="I263" s="214"/>
      <c r="J263" s="214"/>
      <c r="K263" s="214"/>
      <c r="L263" s="214"/>
      <c r="M263" s="214"/>
      <c r="N263" s="216"/>
      <c r="O263" s="216"/>
      <c r="P263" s="216"/>
      <c r="Q263" s="216"/>
      <c r="R263" s="216"/>
      <c r="S263" s="216"/>
      <c r="T263" s="216"/>
      <c r="U263" s="216"/>
      <c r="V263" s="216"/>
      <c r="W263" s="216"/>
      <c r="X263" s="216"/>
      <c r="Y263" s="216"/>
      <c r="Z263" s="216"/>
      <c r="AA263" s="216"/>
    </row>
    <row r="264" ht="15.0" customHeight="1">
      <c r="A264" s="214"/>
      <c r="B264" s="214"/>
      <c r="C264" s="214"/>
      <c r="D264" s="214"/>
      <c r="E264" s="214"/>
      <c r="F264" s="214"/>
      <c r="G264" s="214"/>
      <c r="H264" s="214"/>
      <c r="I264" s="214"/>
      <c r="J264" s="214"/>
      <c r="K264" s="214"/>
      <c r="L264" s="214"/>
      <c r="M264" s="214"/>
      <c r="N264" s="216"/>
      <c r="O264" s="216"/>
      <c r="P264" s="216"/>
      <c r="Q264" s="216"/>
      <c r="R264" s="216"/>
      <c r="S264" s="216"/>
      <c r="T264" s="216"/>
      <c r="U264" s="216"/>
      <c r="V264" s="216"/>
      <c r="W264" s="216"/>
      <c r="X264" s="216"/>
      <c r="Y264" s="216"/>
      <c r="Z264" s="216"/>
      <c r="AA264" s="216"/>
    </row>
    <row r="265" ht="15.0" customHeight="1">
      <c r="A265" s="214"/>
      <c r="B265" s="214"/>
      <c r="C265" s="214"/>
      <c r="D265" s="214"/>
      <c r="E265" s="214"/>
      <c r="F265" s="214"/>
      <c r="G265" s="214"/>
      <c r="H265" s="214"/>
      <c r="I265" s="214"/>
      <c r="J265" s="214"/>
      <c r="K265" s="214"/>
      <c r="L265" s="214"/>
      <c r="M265" s="214"/>
      <c r="N265" s="216"/>
      <c r="O265" s="216"/>
      <c r="P265" s="216"/>
      <c r="Q265" s="216"/>
      <c r="R265" s="216"/>
      <c r="S265" s="216"/>
      <c r="T265" s="216"/>
      <c r="U265" s="216"/>
      <c r="V265" s="216"/>
      <c r="W265" s="216"/>
      <c r="X265" s="216"/>
      <c r="Y265" s="216"/>
      <c r="Z265" s="216"/>
      <c r="AA265" s="216"/>
    </row>
    <row r="266" ht="15.0" customHeight="1">
      <c r="A266" s="214"/>
      <c r="B266" s="214"/>
      <c r="C266" s="214"/>
      <c r="D266" s="214"/>
      <c r="E266" s="214"/>
      <c r="F266" s="214"/>
      <c r="G266" s="214"/>
      <c r="H266" s="214"/>
      <c r="I266" s="214"/>
      <c r="J266" s="214"/>
      <c r="K266" s="214"/>
      <c r="L266" s="214"/>
      <c r="M266" s="214"/>
      <c r="N266" s="216"/>
      <c r="O266" s="216"/>
      <c r="P266" s="216"/>
      <c r="Q266" s="216"/>
      <c r="R266" s="216"/>
      <c r="S266" s="216"/>
      <c r="T266" s="216"/>
      <c r="U266" s="216"/>
      <c r="V266" s="216"/>
      <c r="W266" s="216"/>
      <c r="X266" s="216"/>
      <c r="Y266" s="216"/>
      <c r="Z266" s="216"/>
      <c r="AA266" s="216"/>
    </row>
    <row r="267" ht="15.0" customHeight="1">
      <c r="A267" s="214"/>
      <c r="B267" s="214"/>
      <c r="C267" s="214"/>
      <c r="D267" s="214"/>
      <c r="E267" s="214"/>
      <c r="F267" s="214"/>
      <c r="G267" s="214"/>
      <c r="H267" s="214"/>
      <c r="I267" s="214"/>
      <c r="J267" s="214"/>
      <c r="K267" s="214"/>
      <c r="L267" s="214"/>
      <c r="M267" s="214"/>
      <c r="N267" s="216"/>
      <c r="O267" s="216"/>
      <c r="P267" s="216"/>
      <c r="Q267" s="216"/>
      <c r="R267" s="216"/>
      <c r="S267" s="216"/>
      <c r="T267" s="216"/>
      <c r="U267" s="216"/>
      <c r="V267" s="216"/>
      <c r="W267" s="216"/>
      <c r="X267" s="216"/>
      <c r="Y267" s="216"/>
      <c r="Z267" s="216"/>
      <c r="AA267" s="216"/>
    </row>
    <row r="268" ht="15.0" customHeight="1">
      <c r="A268" s="214"/>
      <c r="B268" s="214"/>
      <c r="C268" s="214"/>
      <c r="D268" s="214"/>
      <c r="E268" s="214"/>
      <c r="F268" s="214"/>
      <c r="G268" s="214"/>
      <c r="H268" s="214"/>
      <c r="I268" s="214"/>
      <c r="J268" s="214"/>
      <c r="K268" s="214"/>
      <c r="L268" s="214"/>
      <c r="M268" s="214"/>
      <c r="N268" s="216"/>
      <c r="O268" s="216"/>
      <c r="P268" s="216"/>
      <c r="Q268" s="216"/>
      <c r="R268" s="216"/>
      <c r="S268" s="216"/>
      <c r="T268" s="216"/>
      <c r="U268" s="216"/>
      <c r="V268" s="216"/>
      <c r="W268" s="216"/>
      <c r="X268" s="216"/>
      <c r="Y268" s="216"/>
      <c r="Z268" s="216"/>
      <c r="AA268" s="216"/>
    </row>
    <row r="269" ht="15.0" customHeight="1">
      <c r="A269" s="214"/>
      <c r="B269" s="214"/>
      <c r="C269" s="214"/>
      <c r="D269" s="214"/>
      <c r="E269" s="214"/>
      <c r="F269" s="214"/>
      <c r="G269" s="214"/>
      <c r="H269" s="214"/>
      <c r="I269" s="214"/>
      <c r="J269" s="214"/>
      <c r="K269" s="214"/>
      <c r="L269" s="214"/>
      <c r="M269" s="214"/>
      <c r="N269" s="216"/>
      <c r="O269" s="216"/>
      <c r="P269" s="216"/>
      <c r="Q269" s="216"/>
      <c r="R269" s="216"/>
      <c r="S269" s="216"/>
      <c r="T269" s="216"/>
      <c r="U269" s="216"/>
      <c r="V269" s="216"/>
      <c r="W269" s="216"/>
      <c r="X269" s="216"/>
      <c r="Y269" s="216"/>
      <c r="Z269" s="216"/>
      <c r="AA269" s="216"/>
    </row>
    <row r="270" ht="15.0" customHeight="1">
      <c r="A270" s="214"/>
      <c r="B270" s="214"/>
      <c r="C270" s="214"/>
      <c r="D270" s="214"/>
      <c r="E270" s="214"/>
      <c r="F270" s="214"/>
      <c r="G270" s="214"/>
      <c r="H270" s="214"/>
      <c r="I270" s="214"/>
      <c r="J270" s="214"/>
      <c r="K270" s="214"/>
      <c r="L270" s="214"/>
      <c r="M270" s="214"/>
      <c r="N270" s="216"/>
      <c r="O270" s="216"/>
      <c r="P270" s="216"/>
      <c r="Q270" s="216"/>
      <c r="R270" s="216"/>
      <c r="S270" s="216"/>
      <c r="T270" s="216"/>
      <c r="U270" s="216"/>
      <c r="V270" s="216"/>
      <c r="W270" s="216"/>
      <c r="X270" s="216"/>
      <c r="Y270" s="216"/>
      <c r="Z270" s="216"/>
      <c r="AA270" s="216"/>
    </row>
    <row r="271" ht="15.0" customHeight="1">
      <c r="A271" s="214"/>
      <c r="B271" s="214"/>
      <c r="C271" s="214"/>
      <c r="D271" s="214"/>
      <c r="E271" s="214"/>
      <c r="F271" s="214"/>
      <c r="G271" s="214"/>
      <c r="H271" s="214"/>
      <c r="I271" s="214"/>
      <c r="J271" s="214"/>
      <c r="K271" s="214"/>
      <c r="L271" s="214"/>
      <c r="M271" s="214"/>
      <c r="N271" s="216"/>
      <c r="O271" s="216"/>
      <c r="P271" s="216"/>
      <c r="Q271" s="216"/>
      <c r="R271" s="216"/>
      <c r="S271" s="216"/>
      <c r="T271" s="216"/>
      <c r="U271" s="216"/>
      <c r="V271" s="216"/>
      <c r="W271" s="216"/>
      <c r="X271" s="216"/>
      <c r="Y271" s="216"/>
      <c r="Z271" s="216"/>
      <c r="AA271" s="216"/>
    </row>
    <row r="272" ht="15.0" customHeight="1">
      <c r="A272" s="214"/>
      <c r="B272" s="214"/>
      <c r="C272" s="214"/>
      <c r="D272" s="214"/>
      <c r="E272" s="214"/>
      <c r="F272" s="214"/>
      <c r="G272" s="214"/>
      <c r="H272" s="214"/>
      <c r="I272" s="214"/>
      <c r="J272" s="214"/>
      <c r="K272" s="214"/>
      <c r="L272" s="214"/>
      <c r="M272" s="214"/>
      <c r="N272" s="216"/>
      <c r="O272" s="216"/>
      <c r="P272" s="216"/>
      <c r="Q272" s="216"/>
      <c r="R272" s="216"/>
      <c r="S272" s="216"/>
      <c r="T272" s="216"/>
      <c r="U272" s="216"/>
      <c r="V272" s="216"/>
      <c r="W272" s="216"/>
      <c r="X272" s="216"/>
      <c r="Y272" s="216"/>
      <c r="Z272" s="216"/>
      <c r="AA272" s="216"/>
    </row>
    <row r="273" ht="15.0" customHeight="1">
      <c r="A273" s="214"/>
      <c r="B273" s="214"/>
      <c r="C273" s="214"/>
      <c r="D273" s="214"/>
      <c r="E273" s="214"/>
      <c r="F273" s="214"/>
      <c r="G273" s="214"/>
      <c r="H273" s="214"/>
      <c r="I273" s="214"/>
      <c r="J273" s="214"/>
      <c r="K273" s="214"/>
      <c r="L273" s="214"/>
      <c r="M273" s="214"/>
      <c r="N273" s="216"/>
      <c r="O273" s="216"/>
      <c r="P273" s="216"/>
      <c r="Q273" s="216"/>
      <c r="R273" s="216"/>
      <c r="S273" s="216"/>
      <c r="T273" s="216"/>
      <c r="U273" s="216"/>
      <c r="V273" s="216"/>
      <c r="W273" s="216"/>
      <c r="X273" s="216"/>
      <c r="Y273" s="216"/>
      <c r="Z273" s="216"/>
      <c r="AA273" s="216"/>
    </row>
    <row r="274" ht="15.0" customHeight="1">
      <c r="A274" s="214"/>
      <c r="B274" s="214"/>
      <c r="C274" s="214"/>
      <c r="D274" s="214"/>
      <c r="E274" s="214"/>
      <c r="F274" s="214"/>
      <c r="G274" s="214"/>
      <c r="H274" s="214"/>
      <c r="I274" s="214"/>
      <c r="J274" s="214"/>
      <c r="K274" s="214"/>
      <c r="L274" s="214"/>
      <c r="M274" s="214"/>
      <c r="N274" s="216"/>
      <c r="O274" s="216"/>
      <c r="P274" s="216"/>
      <c r="Q274" s="216"/>
      <c r="R274" s="216"/>
      <c r="S274" s="216"/>
      <c r="T274" s="216"/>
      <c r="U274" s="216"/>
      <c r="V274" s="216"/>
      <c r="W274" s="216"/>
      <c r="X274" s="216"/>
      <c r="Y274" s="216"/>
      <c r="Z274" s="216"/>
      <c r="AA274" s="216"/>
    </row>
    <row r="275" ht="15.0" customHeight="1">
      <c r="A275" s="214"/>
      <c r="B275" s="214"/>
      <c r="C275" s="214"/>
      <c r="D275" s="214"/>
      <c r="E275" s="214"/>
      <c r="F275" s="214"/>
      <c r="G275" s="214"/>
      <c r="H275" s="214"/>
      <c r="I275" s="214"/>
      <c r="J275" s="214"/>
      <c r="K275" s="214"/>
      <c r="L275" s="214"/>
      <c r="M275" s="214"/>
      <c r="N275" s="216"/>
      <c r="O275" s="216"/>
      <c r="P275" s="216"/>
      <c r="Q275" s="216"/>
      <c r="R275" s="216"/>
      <c r="S275" s="216"/>
      <c r="T275" s="216"/>
      <c r="U275" s="216"/>
      <c r="V275" s="216"/>
      <c r="W275" s="216"/>
      <c r="X275" s="216"/>
      <c r="Y275" s="216"/>
      <c r="Z275" s="216"/>
      <c r="AA275" s="216"/>
    </row>
    <row r="276" ht="15.0" customHeight="1">
      <c r="A276" s="214"/>
      <c r="B276" s="214"/>
      <c r="C276" s="214"/>
      <c r="D276" s="214"/>
      <c r="E276" s="214"/>
      <c r="F276" s="214"/>
      <c r="G276" s="214"/>
      <c r="H276" s="214"/>
      <c r="I276" s="214"/>
      <c r="J276" s="214"/>
      <c r="K276" s="214"/>
      <c r="L276" s="214"/>
      <c r="M276" s="214"/>
      <c r="N276" s="216"/>
      <c r="O276" s="216"/>
      <c r="P276" s="216"/>
      <c r="Q276" s="216"/>
      <c r="R276" s="216"/>
      <c r="S276" s="216"/>
      <c r="T276" s="216"/>
      <c r="U276" s="216"/>
      <c r="V276" s="216"/>
      <c r="W276" s="216"/>
      <c r="X276" s="216"/>
      <c r="Y276" s="216"/>
      <c r="Z276" s="216"/>
      <c r="AA276" s="216"/>
    </row>
    <row r="277" ht="15.0" customHeight="1">
      <c r="A277" s="214"/>
      <c r="B277" s="214"/>
      <c r="C277" s="214"/>
      <c r="D277" s="214"/>
      <c r="E277" s="214"/>
      <c r="F277" s="214"/>
      <c r="G277" s="214"/>
      <c r="H277" s="214"/>
      <c r="I277" s="214"/>
      <c r="J277" s="214"/>
      <c r="K277" s="214"/>
      <c r="L277" s="214"/>
      <c r="M277" s="214"/>
      <c r="N277" s="216"/>
      <c r="O277" s="216"/>
      <c r="P277" s="216"/>
      <c r="Q277" s="216"/>
      <c r="R277" s="216"/>
      <c r="S277" s="216"/>
      <c r="T277" s="216"/>
      <c r="U277" s="216"/>
      <c r="V277" s="216"/>
      <c r="W277" s="216"/>
      <c r="X277" s="216"/>
      <c r="Y277" s="216"/>
      <c r="Z277" s="216"/>
      <c r="AA277" s="216"/>
    </row>
    <row r="278" ht="15.0" customHeight="1">
      <c r="A278" s="214"/>
      <c r="B278" s="214"/>
      <c r="C278" s="214"/>
      <c r="D278" s="214"/>
      <c r="E278" s="214"/>
      <c r="F278" s="214"/>
      <c r="G278" s="214"/>
      <c r="H278" s="214"/>
      <c r="I278" s="214"/>
      <c r="J278" s="214"/>
      <c r="K278" s="214"/>
      <c r="L278" s="214"/>
      <c r="M278" s="214"/>
      <c r="N278" s="216"/>
      <c r="O278" s="216"/>
      <c r="P278" s="216"/>
      <c r="Q278" s="216"/>
      <c r="R278" s="216"/>
      <c r="S278" s="216"/>
      <c r="T278" s="216"/>
      <c r="U278" s="216"/>
      <c r="V278" s="216"/>
      <c r="W278" s="216"/>
      <c r="X278" s="216"/>
      <c r="Y278" s="216"/>
      <c r="Z278" s="216"/>
      <c r="AA278" s="216"/>
    </row>
    <row r="279" ht="15.0" customHeight="1">
      <c r="A279" s="214"/>
      <c r="B279" s="214"/>
      <c r="C279" s="214"/>
      <c r="D279" s="214"/>
      <c r="E279" s="214"/>
      <c r="F279" s="214"/>
      <c r="G279" s="214"/>
      <c r="H279" s="214"/>
      <c r="I279" s="214"/>
      <c r="J279" s="214"/>
      <c r="K279" s="214"/>
      <c r="L279" s="214"/>
      <c r="M279" s="214"/>
      <c r="N279" s="216"/>
      <c r="O279" s="216"/>
      <c r="P279" s="216"/>
      <c r="Q279" s="216"/>
      <c r="R279" s="216"/>
      <c r="S279" s="216"/>
      <c r="T279" s="216"/>
      <c r="U279" s="216"/>
      <c r="V279" s="216"/>
      <c r="W279" s="216"/>
      <c r="X279" s="216"/>
      <c r="Y279" s="216"/>
      <c r="Z279" s="216"/>
      <c r="AA279" s="216"/>
    </row>
    <row r="280" ht="15.0" customHeight="1">
      <c r="A280" s="214"/>
      <c r="B280" s="214"/>
      <c r="C280" s="214"/>
      <c r="D280" s="214"/>
      <c r="E280" s="214"/>
      <c r="F280" s="214"/>
      <c r="G280" s="214"/>
      <c r="H280" s="214"/>
      <c r="I280" s="214"/>
      <c r="J280" s="214"/>
      <c r="K280" s="214"/>
      <c r="L280" s="214"/>
      <c r="M280" s="214"/>
      <c r="N280" s="216"/>
      <c r="O280" s="216"/>
      <c r="P280" s="216"/>
      <c r="Q280" s="216"/>
      <c r="R280" s="216"/>
      <c r="S280" s="216"/>
      <c r="T280" s="216"/>
      <c r="U280" s="216"/>
      <c r="V280" s="216"/>
      <c r="W280" s="216"/>
      <c r="X280" s="216"/>
      <c r="Y280" s="216"/>
      <c r="Z280" s="216"/>
      <c r="AA280" s="216"/>
    </row>
    <row r="281" ht="15.0" customHeight="1">
      <c r="A281" s="214"/>
      <c r="B281" s="214"/>
      <c r="C281" s="214"/>
      <c r="D281" s="214"/>
      <c r="E281" s="214"/>
      <c r="F281" s="214"/>
      <c r="G281" s="214"/>
      <c r="H281" s="214"/>
      <c r="I281" s="214"/>
      <c r="J281" s="214"/>
      <c r="K281" s="214"/>
      <c r="L281" s="214"/>
      <c r="M281" s="214"/>
      <c r="N281" s="216"/>
      <c r="O281" s="216"/>
      <c r="P281" s="216"/>
      <c r="Q281" s="216"/>
      <c r="R281" s="216"/>
      <c r="S281" s="216"/>
      <c r="T281" s="216"/>
      <c r="U281" s="216"/>
      <c r="V281" s="216"/>
      <c r="W281" s="216"/>
      <c r="X281" s="216"/>
      <c r="Y281" s="216"/>
      <c r="Z281" s="216"/>
      <c r="AA281" s="216"/>
    </row>
    <row r="282" ht="15.0" customHeight="1">
      <c r="A282" s="214"/>
      <c r="B282" s="214"/>
      <c r="C282" s="214"/>
      <c r="D282" s="214"/>
      <c r="E282" s="214"/>
      <c r="F282" s="214"/>
      <c r="G282" s="214"/>
      <c r="H282" s="214"/>
      <c r="I282" s="214"/>
      <c r="J282" s="214"/>
      <c r="K282" s="214"/>
      <c r="L282" s="214"/>
      <c r="M282" s="214"/>
      <c r="N282" s="216"/>
      <c r="O282" s="216"/>
      <c r="P282" s="216"/>
      <c r="Q282" s="216"/>
      <c r="R282" s="216"/>
      <c r="S282" s="216"/>
      <c r="T282" s="216"/>
      <c r="U282" s="216"/>
      <c r="V282" s="216"/>
      <c r="W282" s="216"/>
      <c r="X282" s="216"/>
      <c r="Y282" s="216"/>
      <c r="Z282" s="216"/>
      <c r="AA282" s="216"/>
    </row>
    <row r="283" ht="15.0" customHeight="1">
      <c r="A283" s="214"/>
      <c r="B283" s="214"/>
      <c r="C283" s="214"/>
      <c r="D283" s="214"/>
      <c r="E283" s="214"/>
      <c r="F283" s="214"/>
      <c r="G283" s="214"/>
      <c r="H283" s="214"/>
      <c r="I283" s="214"/>
      <c r="J283" s="214"/>
      <c r="K283" s="214"/>
      <c r="L283" s="214"/>
      <c r="M283" s="214"/>
      <c r="N283" s="216"/>
      <c r="O283" s="216"/>
      <c r="P283" s="216"/>
      <c r="Q283" s="216"/>
      <c r="R283" s="216"/>
      <c r="S283" s="216"/>
      <c r="T283" s="216"/>
      <c r="U283" s="216"/>
      <c r="V283" s="216"/>
      <c r="W283" s="216"/>
      <c r="X283" s="216"/>
      <c r="Y283" s="216"/>
      <c r="Z283" s="216"/>
      <c r="AA283" s="216"/>
    </row>
    <row r="284" ht="15.0" customHeight="1">
      <c r="A284" s="214"/>
      <c r="B284" s="214"/>
      <c r="C284" s="214"/>
      <c r="D284" s="214"/>
      <c r="E284" s="214"/>
      <c r="F284" s="214"/>
      <c r="G284" s="214"/>
      <c r="H284" s="214"/>
      <c r="I284" s="214"/>
      <c r="J284" s="214"/>
      <c r="K284" s="214"/>
      <c r="L284" s="214"/>
      <c r="M284" s="214"/>
      <c r="N284" s="216"/>
      <c r="O284" s="216"/>
      <c r="P284" s="216"/>
      <c r="Q284" s="216"/>
      <c r="R284" s="216"/>
      <c r="S284" s="216"/>
      <c r="T284" s="216"/>
      <c r="U284" s="216"/>
      <c r="V284" s="216"/>
      <c r="W284" s="216"/>
      <c r="X284" s="216"/>
      <c r="Y284" s="216"/>
      <c r="Z284" s="216"/>
      <c r="AA284" s="216"/>
    </row>
    <row r="285" ht="15.0" customHeight="1">
      <c r="A285" s="214"/>
      <c r="B285" s="214"/>
      <c r="C285" s="214"/>
      <c r="D285" s="214"/>
      <c r="E285" s="214"/>
      <c r="F285" s="214"/>
      <c r="G285" s="214"/>
      <c r="H285" s="214"/>
      <c r="I285" s="214"/>
      <c r="J285" s="214"/>
      <c r="K285" s="214"/>
      <c r="L285" s="214"/>
      <c r="M285" s="214"/>
      <c r="N285" s="216"/>
      <c r="O285" s="216"/>
      <c r="P285" s="216"/>
      <c r="Q285" s="216"/>
      <c r="R285" s="216"/>
      <c r="S285" s="216"/>
      <c r="T285" s="216"/>
      <c r="U285" s="216"/>
      <c r="V285" s="216"/>
      <c r="W285" s="216"/>
      <c r="X285" s="216"/>
      <c r="Y285" s="216"/>
      <c r="Z285" s="216"/>
      <c r="AA285" s="216"/>
    </row>
    <row r="286" ht="15.0" customHeight="1">
      <c r="A286" s="214"/>
      <c r="B286" s="214"/>
      <c r="C286" s="214"/>
      <c r="D286" s="214"/>
      <c r="E286" s="214"/>
      <c r="F286" s="214"/>
      <c r="G286" s="214"/>
      <c r="H286" s="214"/>
      <c r="I286" s="214"/>
      <c r="J286" s="214"/>
      <c r="K286" s="214"/>
      <c r="L286" s="214"/>
      <c r="M286" s="214"/>
      <c r="N286" s="216"/>
      <c r="O286" s="216"/>
      <c r="P286" s="216"/>
      <c r="Q286" s="216"/>
      <c r="R286" s="216"/>
      <c r="S286" s="216"/>
      <c r="T286" s="216"/>
      <c r="U286" s="216"/>
      <c r="V286" s="216"/>
      <c r="W286" s="216"/>
      <c r="X286" s="216"/>
      <c r="Y286" s="216"/>
      <c r="Z286" s="216"/>
      <c r="AA286" s="216"/>
    </row>
    <row r="287" ht="15.0" customHeight="1">
      <c r="A287" s="214"/>
      <c r="B287" s="214"/>
      <c r="C287" s="214"/>
      <c r="D287" s="214"/>
      <c r="E287" s="214"/>
      <c r="F287" s="214"/>
      <c r="G287" s="214"/>
      <c r="H287" s="214"/>
      <c r="I287" s="214"/>
      <c r="J287" s="214"/>
      <c r="K287" s="214"/>
      <c r="L287" s="214"/>
      <c r="M287" s="214"/>
      <c r="N287" s="216"/>
      <c r="O287" s="216"/>
      <c r="P287" s="216"/>
      <c r="Q287" s="216"/>
      <c r="R287" s="216"/>
      <c r="S287" s="216"/>
      <c r="T287" s="216"/>
      <c r="U287" s="216"/>
      <c r="V287" s="216"/>
      <c r="W287" s="216"/>
      <c r="X287" s="216"/>
      <c r="Y287" s="216"/>
      <c r="Z287" s="216"/>
      <c r="AA287" s="216"/>
    </row>
    <row r="288" ht="15.0" customHeight="1">
      <c r="A288" s="214"/>
      <c r="B288" s="214"/>
      <c r="C288" s="214"/>
      <c r="D288" s="214"/>
      <c r="E288" s="214"/>
      <c r="F288" s="214"/>
      <c r="G288" s="214"/>
      <c r="H288" s="214"/>
      <c r="I288" s="214"/>
      <c r="J288" s="214"/>
      <c r="K288" s="214"/>
      <c r="L288" s="214"/>
      <c r="M288" s="214"/>
      <c r="N288" s="216"/>
      <c r="O288" s="216"/>
      <c r="P288" s="216"/>
      <c r="Q288" s="216"/>
      <c r="R288" s="216"/>
      <c r="S288" s="216"/>
      <c r="T288" s="216"/>
      <c r="U288" s="216"/>
      <c r="V288" s="216"/>
      <c r="W288" s="216"/>
      <c r="X288" s="216"/>
      <c r="Y288" s="216"/>
      <c r="Z288" s="216"/>
      <c r="AA288" s="216"/>
    </row>
    <row r="289" ht="15.0" customHeight="1">
      <c r="A289" s="214"/>
      <c r="B289" s="214"/>
      <c r="C289" s="214"/>
      <c r="D289" s="214"/>
      <c r="E289" s="214"/>
      <c r="F289" s="214"/>
      <c r="G289" s="214"/>
      <c r="H289" s="214"/>
      <c r="I289" s="214"/>
      <c r="J289" s="214"/>
      <c r="K289" s="214"/>
      <c r="L289" s="214"/>
      <c r="M289" s="214"/>
      <c r="N289" s="216"/>
      <c r="O289" s="216"/>
      <c r="P289" s="216"/>
      <c r="Q289" s="216"/>
      <c r="R289" s="216"/>
      <c r="S289" s="216"/>
      <c r="T289" s="216"/>
      <c r="U289" s="216"/>
      <c r="V289" s="216"/>
      <c r="W289" s="216"/>
      <c r="X289" s="216"/>
      <c r="Y289" s="216"/>
      <c r="Z289" s="216"/>
      <c r="AA289" s="216"/>
    </row>
    <row r="290" ht="15.0" customHeight="1">
      <c r="A290" s="214"/>
      <c r="B290" s="214"/>
      <c r="C290" s="214"/>
      <c r="D290" s="214"/>
      <c r="E290" s="214"/>
      <c r="F290" s="214"/>
      <c r="G290" s="214"/>
      <c r="H290" s="214"/>
      <c r="I290" s="214"/>
      <c r="J290" s="214"/>
      <c r="K290" s="214"/>
      <c r="L290" s="214"/>
      <c r="M290" s="214"/>
      <c r="N290" s="216"/>
      <c r="O290" s="216"/>
      <c r="P290" s="216"/>
      <c r="Q290" s="216"/>
      <c r="R290" s="216"/>
      <c r="S290" s="216"/>
      <c r="T290" s="216"/>
      <c r="U290" s="216"/>
      <c r="V290" s="216"/>
      <c r="W290" s="216"/>
      <c r="X290" s="216"/>
      <c r="Y290" s="216"/>
      <c r="Z290" s="216"/>
      <c r="AA290" s="216"/>
    </row>
    <row r="291" ht="15.0" customHeight="1">
      <c r="A291" s="214"/>
      <c r="B291" s="214"/>
      <c r="C291" s="214"/>
      <c r="D291" s="214"/>
      <c r="E291" s="214"/>
      <c r="F291" s="214"/>
      <c r="G291" s="214"/>
      <c r="H291" s="214"/>
      <c r="I291" s="214"/>
      <c r="J291" s="214"/>
      <c r="K291" s="214"/>
      <c r="L291" s="214"/>
      <c r="M291" s="214"/>
      <c r="N291" s="216"/>
      <c r="O291" s="216"/>
      <c r="P291" s="216"/>
      <c r="Q291" s="216"/>
      <c r="R291" s="216"/>
      <c r="S291" s="216"/>
      <c r="T291" s="216"/>
      <c r="U291" s="216"/>
      <c r="V291" s="216"/>
      <c r="W291" s="216"/>
      <c r="X291" s="216"/>
      <c r="Y291" s="216"/>
      <c r="Z291" s="216"/>
      <c r="AA291" s="216"/>
    </row>
    <row r="292" ht="15.0" customHeight="1">
      <c r="A292" s="214"/>
      <c r="B292" s="214"/>
      <c r="C292" s="214"/>
      <c r="D292" s="214"/>
      <c r="E292" s="214"/>
      <c r="F292" s="214"/>
      <c r="G292" s="214"/>
      <c r="H292" s="214"/>
      <c r="I292" s="214"/>
      <c r="J292" s="214"/>
      <c r="K292" s="214"/>
      <c r="L292" s="214"/>
      <c r="M292" s="214"/>
      <c r="N292" s="216"/>
      <c r="O292" s="216"/>
      <c r="P292" s="216"/>
      <c r="Q292" s="216"/>
      <c r="R292" s="216"/>
      <c r="S292" s="216"/>
      <c r="T292" s="216"/>
      <c r="U292" s="216"/>
      <c r="V292" s="216"/>
      <c r="W292" s="216"/>
      <c r="X292" s="216"/>
      <c r="Y292" s="216"/>
      <c r="Z292" s="216"/>
      <c r="AA292" s="216"/>
    </row>
    <row r="293" ht="15.0" customHeight="1">
      <c r="A293" s="214"/>
      <c r="B293" s="214"/>
      <c r="C293" s="214"/>
      <c r="D293" s="214"/>
      <c r="E293" s="214"/>
      <c r="F293" s="214"/>
      <c r="G293" s="214"/>
      <c r="H293" s="214"/>
      <c r="I293" s="214"/>
      <c r="J293" s="214"/>
      <c r="K293" s="214"/>
      <c r="L293" s="214"/>
      <c r="M293" s="214"/>
      <c r="N293" s="216"/>
      <c r="O293" s="216"/>
      <c r="P293" s="216"/>
      <c r="Q293" s="216"/>
      <c r="R293" s="216"/>
      <c r="S293" s="216"/>
      <c r="T293" s="216"/>
      <c r="U293" s="216"/>
      <c r="V293" s="216"/>
      <c r="W293" s="216"/>
      <c r="X293" s="216"/>
      <c r="Y293" s="216"/>
      <c r="Z293" s="216"/>
      <c r="AA293" s="216"/>
    </row>
    <row r="294" ht="15.0" customHeight="1">
      <c r="A294" s="214"/>
      <c r="B294" s="214"/>
      <c r="C294" s="214"/>
      <c r="D294" s="214"/>
      <c r="E294" s="214"/>
      <c r="F294" s="214"/>
      <c r="G294" s="214"/>
      <c r="H294" s="214"/>
      <c r="I294" s="214"/>
      <c r="J294" s="214"/>
      <c r="K294" s="214"/>
      <c r="L294" s="214"/>
      <c r="M294" s="214"/>
      <c r="N294" s="216"/>
      <c r="O294" s="216"/>
      <c r="P294" s="216"/>
      <c r="Q294" s="216"/>
      <c r="R294" s="216"/>
      <c r="S294" s="216"/>
      <c r="T294" s="216"/>
      <c r="U294" s="216"/>
      <c r="V294" s="216"/>
      <c r="W294" s="216"/>
      <c r="X294" s="216"/>
      <c r="Y294" s="216"/>
      <c r="Z294" s="216"/>
      <c r="AA294" s="216"/>
    </row>
    <row r="295" ht="15.0" customHeight="1">
      <c r="A295" s="214"/>
      <c r="B295" s="214"/>
      <c r="C295" s="214"/>
      <c r="D295" s="214"/>
      <c r="E295" s="214"/>
      <c r="F295" s="214"/>
      <c r="G295" s="214"/>
      <c r="H295" s="214"/>
      <c r="I295" s="214"/>
      <c r="J295" s="214"/>
      <c r="K295" s="214"/>
      <c r="L295" s="214"/>
      <c r="M295" s="214"/>
      <c r="N295" s="216"/>
      <c r="O295" s="216"/>
      <c r="P295" s="216"/>
      <c r="Q295" s="216"/>
      <c r="R295" s="216"/>
      <c r="S295" s="216"/>
      <c r="T295" s="216"/>
      <c r="U295" s="216"/>
      <c r="V295" s="216"/>
      <c r="W295" s="216"/>
      <c r="X295" s="216"/>
      <c r="Y295" s="216"/>
      <c r="Z295" s="216"/>
      <c r="AA295" s="216"/>
    </row>
    <row r="296" ht="15.0" customHeight="1">
      <c r="A296" s="214"/>
      <c r="B296" s="214"/>
      <c r="C296" s="214"/>
      <c r="D296" s="214"/>
      <c r="E296" s="214"/>
      <c r="F296" s="214"/>
      <c r="G296" s="214"/>
      <c r="H296" s="214"/>
      <c r="I296" s="214"/>
      <c r="J296" s="214"/>
      <c r="K296" s="214"/>
      <c r="L296" s="214"/>
      <c r="M296" s="214"/>
      <c r="N296" s="216"/>
      <c r="O296" s="216"/>
      <c r="P296" s="216"/>
      <c r="Q296" s="216"/>
      <c r="R296" s="216"/>
      <c r="S296" s="216"/>
      <c r="T296" s="216"/>
      <c r="U296" s="216"/>
      <c r="V296" s="216"/>
      <c r="W296" s="216"/>
      <c r="X296" s="216"/>
      <c r="Y296" s="216"/>
      <c r="Z296" s="216"/>
      <c r="AA296" s="216"/>
    </row>
    <row r="297" ht="15.0" customHeight="1">
      <c r="A297" s="214"/>
      <c r="B297" s="214"/>
      <c r="C297" s="214"/>
      <c r="D297" s="214"/>
      <c r="E297" s="214"/>
      <c r="F297" s="214"/>
      <c r="G297" s="214"/>
      <c r="H297" s="214"/>
      <c r="I297" s="214"/>
      <c r="J297" s="214"/>
      <c r="K297" s="214"/>
      <c r="L297" s="214"/>
      <c r="M297" s="214"/>
      <c r="N297" s="216"/>
      <c r="O297" s="216"/>
      <c r="P297" s="216"/>
      <c r="Q297" s="216"/>
      <c r="R297" s="216"/>
      <c r="S297" s="216"/>
      <c r="T297" s="216"/>
      <c r="U297" s="216"/>
      <c r="V297" s="216"/>
      <c r="W297" s="216"/>
      <c r="X297" s="216"/>
      <c r="Y297" s="216"/>
      <c r="Z297" s="216"/>
      <c r="AA297" s="216"/>
    </row>
    <row r="298" ht="15.0" customHeight="1">
      <c r="A298" s="214"/>
      <c r="B298" s="214"/>
      <c r="C298" s="214"/>
      <c r="D298" s="214"/>
      <c r="E298" s="214"/>
      <c r="F298" s="214"/>
      <c r="G298" s="214"/>
      <c r="H298" s="214"/>
      <c r="I298" s="214"/>
      <c r="J298" s="214"/>
      <c r="K298" s="214"/>
      <c r="L298" s="214"/>
      <c r="M298" s="214"/>
      <c r="N298" s="216"/>
      <c r="O298" s="216"/>
      <c r="P298" s="216"/>
      <c r="Q298" s="216"/>
      <c r="R298" s="216"/>
      <c r="S298" s="216"/>
      <c r="T298" s="216"/>
      <c r="U298" s="216"/>
      <c r="V298" s="216"/>
      <c r="W298" s="216"/>
      <c r="X298" s="216"/>
      <c r="Y298" s="216"/>
      <c r="Z298" s="216"/>
      <c r="AA298" s="216"/>
    </row>
    <row r="299" ht="15.0" customHeight="1">
      <c r="A299" s="214"/>
      <c r="B299" s="214"/>
      <c r="C299" s="214"/>
      <c r="D299" s="214"/>
      <c r="E299" s="214"/>
      <c r="F299" s="214"/>
      <c r="G299" s="214"/>
      <c r="H299" s="214"/>
      <c r="I299" s="214"/>
      <c r="J299" s="214"/>
      <c r="K299" s="214"/>
      <c r="L299" s="214"/>
      <c r="M299" s="214"/>
      <c r="N299" s="216"/>
      <c r="O299" s="216"/>
      <c r="P299" s="216"/>
      <c r="Q299" s="216"/>
      <c r="R299" s="216"/>
      <c r="S299" s="216"/>
      <c r="T299" s="216"/>
      <c r="U299" s="216"/>
      <c r="V299" s="216"/>
      <c r="W299" s="216"/>
      <c r="X299" s="216"/>
      <c r="Y299" s="216"/>
      <c r="Z299" s="216"/>
      <c r="AA299" s="216"/>
    </row>
    <row r="300" ht="15.0" customHeight="1">
      <c r="A300" s="214"/>
      <c r="B300" s="214"/>
      <c r="C300" s="214"/>
      <c r="D300" s="214"/>
      <c r="E300" s="214"/>
      <c r="F300" s="214"/>
      <c r="G300" s="214"/>
      <c r="H300" s="214"/>
      <c r="I300" s="214"/>
      <c r="J300" s="214"/>
      <c r="K300" s="214"/>
      <c r="L300" s="214"/>
      <c r="M300" s="214"/>
      <c r="N300" s="216"/>
      <c r="O300" s="216"/>
      <c r="P300" s="216"/>
      <c r="Q300" s="216"/>
      <c r="R300" s="216"/>
      <c r="S300" s="216"/>
      <c r="T300" s="216"/>
      <c r="U300" s="216"/>
      <c r="V300" s="216"/>
      <c r="W300" s="216"/>
      <c r="X300" s="216"/>
      <c r="Y300" s="216"/>
      <c r="Z300" s="216"/>
      <c r="AA300" s="216"/>
    </row>
    <row r="301" ht="15.0" customHeight="1">
      <c r="A301" s="214"/>
      <c r="B301" s="214"/>
      <c r="C301" s="214"/>
      <c r="D301" s="214"/>
      <c r="E301" s="214"/>
      <c r="F301" s="214"/>
      <c r="G301" s="214"/>
      <c r="H301" s="214"/>
      <c r="I301" s="214"/>
      <c r="J301" s="214"/>
      <c r="K301" s="214"/>
      <c r="L301" s="214"/>
      <c r="M301" s="214"/>
      <c r="N301" s="216"/>
      <c r="O301" s="216"/>
      <c r="P301" s="216"/>
      <c r="Q301" s="216"/>
      <c r="R301" s="216"/>
      <c r="S301" s="216"/>
      <c r="T301" s="216"/>
      <c r="U301" s="216"/>
      <c r="V301" s="216"/>
      <c r="W301" s="216"/>
      <c r="X301" s="216"/>
      <c r="Y301" s="216"/>
      <c r="Z301" s="216"/>
      <c r="AA301" s="216"/>
    </row>
    <row r="302" ht="15.0" customHeight="1">
      <c r="A302" s="214"/>
      <c r="B302" s="214"/>
      <c r="C302" s="214"/>
      <c r="D302" s="214"/>
      <c r="E302" s="214"/>
      <c r="F302" s="214"/>
      <c r="G302" s="214"/>
      <c r="H302" s="214"/>
      <c r="I302" s="214"/>
      <c r="J302" s="214"/>
      <c r="K302" s="214"/>
      <c r="L302" s="214"/>
      <c r="M302" s="214"/>
      <c r="N302" s="216"/>
      <c r="O302" s="216"/>
      <c r="P302" s="216"/>
      <c r="Q302" s="216"/>
      <c r="R302" s="216"/>
      <c r="S302" s="216"/>
      <c r="T302" s="216"/>
      <c r="U302" s="216"/>
      <c r="V302" s="216"/>
      <c r="W302" s="216"/>
      <c r="X302" s="216"/>
      <c r="Y302" s="216"/>
      <c r="Z302" s="216"/>
      <c r="AA302" s="216"/>
    </row>
    <row r="303" ht="15.0" customHeight="1">
      <c r="A303" s="214"/>
      <c r="B303" s="214"/>
      <c r="C303" s="214"/>
      <c r="D303" s="214"/>
      <c r="E303" s="214"/>
      <c r="F303" s="214"/>
      <c r="G303" s="214"/>
      <c r="H303" s="214"/>
      <c r="I303" s="214"/>
      <c r="J303" s="214"/>
      <c r="K303" s="214"/>
      <c r="L303" s="214"/>
      <c r="M303" s="214"/>
      <c r="N303" s="216"/>
      <c r="O303" s="216"/>
      <c r="P303" s="216"/>
      <c r="Q303" s="216"/>
      <c r="R303" s="216"/>
      <c r="S303" s="216"/>
      <c r="T303" s="216"/>
      <c r="U303" s="216"/>
      <c r="V303" s="216"/>
      <c r="W303" s="216"/>
      <c r="X303" s="216"/>
      <c r="Y303" s="216"/>
      <c r="Z303" s="216"/>
      <c r="AA303" s="216"/>
    </row>
    <row r="304" ht="15.0" customHeight="1">
      <c r="A304" s="214"/>
      <c r="B304" s="214"/>
      <c r="C304" s="214"/>
      <c r="D304" s="214"/>
      <c r="E304" s="214"/>
      <c r="F304" s="214"/>
      <c r="G304" s="214"/>
      <c r="H304" s="214"/>
      <c r="I304" s="214"/>
      <c r="J304" s="214"/>
      <c r="K304" s="214"/>
      <c r="L304" s="214"/>
      <c r="M304" s="214"/>
      <c r="N304" s="216"/>
      <c r="O304" s="216"/>
      <c r="P304" s="216"/>
      <c r="Q304" s="216"/>
      <c r="R304" s="216"/>
      <c r="S304" s="216"/>
      <c r="T304" s="216"/>
      <c r="U304" s="216"/>
      <c r="V304" s="216"/>
      <c r="W304" s="216"/>
      <c r="X304" s="216"/>
      <c r="Y304" s="216"/>
      <c r="Z304" s="216"/>
      <c r="AA304" s="216"/>
    </row>
    <row r="305" ht="15.0" customHeight="1">
      <c r="A305" s="214"/>
      <c r="B305" s="214"/>
      <c r="C305" s="214"/>
      <c r="D305" s="214"/>
      <c r="E305" s="214"/>
      <c r="F305" s="214"/>
      <c r="G305" s="214"/>
      <c r="H305" s="214"/>
      <c r="I305" s="214"/>
      <c r="J305" s="214"/>
      <c r="K305" s="214"/>
      <c r="L305" s="214"/>
      <c r="M305" s="214"/>
      <c r="N305" s="216"/>
      <c r="O305" s="216"/>
      <c r="P305" s="216"/>
      <c r="Q305" s="216"/>
      <c r="R305" s="216"/>
      <c r="S305" s="216"/>
      <c r="T305" s="216"/>
      <c r="U305" s="216"/>
      <c r="V305" s="216"/>
      <c r="W305" s="216"/>
      <c r="X305" s="216"/>
      <c r="Y305" s="216"/>
      <c r="Z305" s="216"/>
      <c r="AA305" s="216"/>
    </row>
    <row r="306" ht="15.0" customHeight="1">
      <c r="A306" s="214"/>
      <c r="B306" s="214"/>
      <c r="C306" s="214"/>
      <c r="D306" s="214"/>
      <c r="E306" s="214"/>
      <c r="F306" s="214"/>
      <c r="G306" s="214"/>
      <c r="H306" s="214"/>
      <c r="I306" s="214"/>
      <c r="J306" s="214"/>
      <c r="K306" s="214"/>
      <c r="L306" s="214"/>
      <c r="M306" s="214"/>
      <c r="N306" s="216"/>
      <c r="O306" s="216"/>
      <c r="P306" s="216"/>
      <c r="Q306" s="216"/>
      <c r="R306" s="216"/>
      <c r="S306" s="216"/>
      <c r="T306" s="216"/>
      <c r="U306" s="216"/>
      <c r="V306" s="216"/>
      <c r="W306" s="216"/>
      <c r="X306" s="216"/>
      <c r="Y306" s="216"/>
      <c r="Z306" s="216"/>
      <c r="AA306" s="216"/>
    </row>
    <row r="307" ht="15.0" customHeight="1">
      <c r="A307" s="214"/>
      <c r="B307" s="214"/>
      <c r="C307" s="214"/>
      <c r="D307" s="214"/>
      <c r="E307" s="214"/>
      <c r="F307" s="214"/>
      <c r="G307" s="214"/>
      <c r="H307" s="214"/>
      <c r="I307" s="214"/>
      <c r="J307" s="214"/>
      <c r="K307" s="214"/>
      <c r="L307" s="214"/>
      <c r="M307" s="214"/>
      <c r="N307" s="216"/>
      <c r="O307" s="216"/>
      <c r="P307" s="216"/>
      <c r="Q307" s="216"/>
      <c r="R307" s="216"/>
      <c r="S307" s="216"/>
      <c r="T307" s="216"/>
      <c r="U307" s="216"/>
      <c r="V307" s="216"/>
      <c r="W307" s="216"/>
      <c r="X307" s="216"/>
      <c r="Y307" s="216"/>
      <c r="Z307" s="216"/>
      <c r="AA307" s="216"/>
    </row>
    <row r="308" ht="15.0" customHeight="1">
      <c r="A308" s="214"/>
      <c r="B308" s="214"/>
      <c r="C308" s="214"/>
      <c r="D308" s="214"/>
      <c r="E308" s="214"/>
      <c r="F308" s="214"/>
      <c r="G308" s="214"/>
      <c r="H308" s="214"/>
      <c r="I308" s="214"/>
      <c r="J308" s="214"/>
      <c r="K308" s="214"/>
      <c r="L308" s="214"/>
      <c r="M308" s="214"/>
      <c r="N308" s="216"/>
      <c r="O308" s="216"/>
      <c r="P308" s="216"/>
      <c r="Q308" s="216"/>
      <c r="R308" s="216"/>
      <c r="S308" s="216"/>
      <c r="T308" s="216"/>
      <c r="U308" s="216"/>
      <c r="V308" s="216"/>
      <c r="W308" s="216"/>
      <c r="X308" s="216"/>
      <c r="Y308" s="216"/>
      <c r="Z308" s="216"/>
      <c r="AA308" s="216"/>
    </row>
    <row r="309" ht="15.0" customHeight="1">
      <c r="A309" s="214"/>
      <c r="B309" s="214"/>
      <c r="C309" s="214"/>
      <c r="D309" s="214"/>
      <c r="E309" s="214"/>
      <c r="F309" s="214"/>
      <c r="G309" s="214"/>
      <c r="H309" s="214"/>
      <c r="I309" s="214"/>
      <c r="J309" s="214"/>
      <c r="K309" s="214"/>
      <c r="L309" s="214"/>
      <c r="M309" s="214"/>
      <c r="N309" s="216"/>
      <c r="O309" s="216"/>
      <c r="P309" s="216"/>
      <c r="Q309" s="216"/>
      <c r="R309" s="216"/>
      <c r="S309" s="216"/>
      <c r="T309" s="216"/>
      <c r="U309" s="216"/>
      <c r="V309" s="216"/>
      <c r="W309" s="216"/>
      <c r="X309" s="216"/>
      <c r="Y309" s="216"/>
      <c r="Z309" s="216"/>
      <c r="AA309" s="216"/>
    </row>
    <row r="310" ht="15.0" customHeight="1">
      <c r="A310" s="214"/>
      <c r="B310" s="214"/>
      <c r="C310" s="214"/>
      <c r="D310" s="214"/>
      <c r="E310" s="214"/>
      <c r="F310" s="214"/>
      <c r="G310" s="214"/>
      <c r="H310" s="214"/>
      <c r="I310" s="214"/>
      <c r="J310" s="214"/>
      <c r="K310" s="214"/>
      <c r="L310" s="214"/>
      <c r="M310" s="214"/>
      <c r="N310" s="216"/>
      <c r="O310" s="216"/>
      <c r="P310" s="216"/>
      <c r="Q310" s="216"/>
      <c r="R310" s="216"/>
      <c r="S310" s="216"/>
      <c r="T310" s="216"/>
      <c r="U310" s="216"/>
      <c r="V310" s="216"/>
      <c r="W310" s="216"/>
      <c r="X310" s="216"/>
      <c r="Y310" s="216"/>
      <c r="Z310" s="216"/>
      <c r="AA310" s="216"/>
    </row>
    <row r="311" ht="15.0" customHeight="1">
      <c r="A311" s="214"/>
      <c r="B311" s="214"/>
      <c r="C311" s="214"/>
      <c r="D311" s="214"/>
      <c r="E311" s="214"/>
      <c r="F311" s="214"/>
      <c r="G311" s="214"/>
      <c r="H311" s="214"/>
      <c r="I311" s="214"/>
      <c r="J311" s="214"/>
      <c r="K311" s="214"/>
      <c r="L311" s="214"/>
      <c r="M311" s="214"/>
      <c r="N311" s="216"/>
      <c r="O311" s="216"/>
      <c r="P311" s="216"/>
      <c r="Q311" s="216"/>
      <c r="R311" s="216"/>
      <c r="S311" s="216"/>
      <c r="T311" s="216"/>
      <c r="U311" s="216"/>
      <c r="V311" s="216"/>
      <c r="W311" s="216"/>
      <c r="X311" s="216"/>
      <c r="Y311" s="216"/>
      <c r="Z311" s="216"/>
      <c r="AA311" s="216"/>
    </row>
    <row r="312" ht="15.0" customHeight="1">
      <c r="A312" s="214"/>
      <c r="B312" s="214"/>
      <c r="C312" s="214"/>
      <c r="D312" s="214"/>
      <c r="E312" s="214"/>
      <c r="F312" s="214"/>
      <c r="G312" s="214"/>
      <c r="H312" s="214"/>
      <c r="I312" s="214"/>
      <c r="J312" s="214"/>
      <c r="K312" s="214"/>
      <c r="L312" s="214"/>
      <c r="M312" s="214"/>
      <c r="N312" s="216"/>
      <c r="O312" s="216"/>
      <c r="P312" s="216"/>
      <c r="Q312" s="216"/>
      <c r="R312" s="216"/>
      <c r="S312" s="216"/>
      <c r="T312" s="216"/>
      <c r="U312" s="216"/>
      <c r="V312" s="216"/>
      <c r="W312" s="216"/>
      <c r="X312" s="216"/>
      <c r="Y312" s="216"/>
      <c r="Z312" s="216"/>
      <c r="AA312" s="216"/>
    </row>
    <row r="313" ht="15.0" customHeight="1">
      <c r="A313" s="214"/>
      <c r="B313" s="214"/>
      <c r="C313" s="214"/>
      <c r="D313" s="214"/>
      <c r="E313" s="214"/>
      <c r="F313" s="214"/>
      <c r="G313" s="214"/>
      <c r="H313" s="214"/>
      <c r="I313" s="214"/>
      <c r="J313" s="214"/>
      <c r="K313" s="214"/>
      <c r="L313" s="214"/>
      <c r="M313" s="214"/>
      <c r="N313" s="216"/>
      <c r="O313" s="216"/>
      <c r="P313" s="216"/>
      <c r="Q313" s="216"/>
      <c r="R313" s="216"/>
      <c r="S313" s="216"/>
      <c r="T313" s="216"/>
      <c r="U313" s="216"/>
      <c r="V313" s="216"/>
      <c r="W313" s="216"/>
      <c r="X313" s="216"/>
      <c r="Y313" s="216"/>
      <c r="Z313" s="216"/>
      <c r="AA313" s="216"/>
    </row>
    <row r="314" ht="15.0" customHeight="1">
      <c r="A314" s="214"/>
      <c r="B314" s="214"/>
      <c r="C314" s="214"/>
      <c r="D314" s="214"/>
      <c r="E314" s="214"/>
      <c r="F314" s="214"/>
      <c r="G314" s="214"/>
      <c r="H314" s="214"/>
      <c r="I314" s="214"/>
      <c r="J314" s="214"/>
      <c r="K314" s="214"/>
      <c r="L314" s="214"/>
      <c r="M314" s="214"/>
      <c r="N314" s="216"/>
      <c r="O314" s="216"/>
      <c r="P314" s="216"/>
      <c r="Q314" s="216"/>
      <c r="R314" s="216"/>
      <c r="S314" s="216"/>
      <c r="T314" s="216"/>
      <c r="U314" s="216"/>
      <c r="V314" s="216"/>
      <c r="W314" s="216"/>
      <c r="X314" s="216"/>
      <c r="Y314" s="216"/>
      <c r="Z314" s="216"/>
      <c r="AA314" s="216"/>
    </row>
    <row r="315" ht="15.0" customHeight="1">
      <c r="A315" s="214"/>
      <c r="B315" s="214"/>
      <c r="C315" s="214"/>
      <c r="D315" s="214"/>
      <c r="E315" s="214"/>
      <c r="F315" s="214"/>
      <c r="G315" s="214"/>
      <c r="H315" s="214"/>
      <c r="I315" s="214"/>
      <c r="J315" s="214"/>
      <c r="K315" s="214"/>
      <c r="L315" s="214"/>
      <c r="M315" s="214"/>
      <c r="N315" s="216"/>
      <c r="O315" s="216"/>
      <c r="P315" s="216"/>
      <c r="Q315" s="216"/>
      <c r="R315" s="216"/>
      <c r="S315" s="216"/>
      <c r="T315" s="216"/>
      <c r="U315" s="216"/>
      <c r="V315" s="216"/>
      <c r="W315" s="216"/>
      <c r="X315" s="216"/>
      <c r="Y315" s="216"/>
      <c r="Z315" s="216"/>
      <c r="AA315" s="216"/>
    </row>
    <row r="316" ht="15.0" customHeight="1">
      <c r="A316" s="214"/>
      <c r="B316" s="214"/>
      <c r="C316" s="214"/>
      <c r="D316" s="214"/>
      <c r="E316" s="214"/>
      <c r="F316" s="214"/>
      <c r="G316" s="214"/>
      <c r="H316" s="214"/>
      <c r="I316" s="214"/>
      <c r="J316" s="214"/>
      <c r="K316" s="214"/>
      <c r="L316" s="214"/>
      <c r="M316" s="214"/>
      <c r="N316" s="216"/>
      <c r="O316" s="216"/>
      <c r="P316" s="216"/>
      <c r="Q316" s="216"/>
      <c r="R316" s="216"/>
      <c r="S316" s="216"/>
      <c r="T316" s="216"/>
      <c r="U316" s="216"/>
      <c r="V316" s="216"/>
      <c r="W316" s="216"/>
      <c r="X316" s="216"/>
      <c r="Y316" s="216"/>
      <c r="Z316" s="216"/>
      <c r="AA316" s="216"/>
    </row>
    <row r="317" ht="15.0" customHeight="1">
      <c r="A317" s="214"/>
      <c r="B317" s="214"/>
      <c r="C317" s="214"/>
      <c r="D317" s="214"/>
      <c r="E317" s="214"/>
      <c r="F317" s="214"/>
      <c r="G317" s="214"/>
      <c r="H317" s="214"/>
      <c r="I317" s="214"/>
      <c r="J317" s="214"/>
      <c r="K317" s="214"/>
      <c r="L317" s="214"/>
      <c r="M317" s="214"/>
      <c r="N317" s="216"/>
      <c r="O317" s="216"/>
      <c r="P317" s="216"/>
      <c r="Q317" s="216"/>
      <c r="R317" s="216"/>
      <c r="S317" s="216"/>
      <c r="T317" s="216"/>
      <c r="U317" s="216"/>
      <c r="V317" s="216"/>
      <c r="W317" s="216"/>
      <c r="X317" s="216"/>
      <c r="Y317" s="216"/>
      <c r="Z317" s="216"/>
      <c r="AA317" s="216"/>
    </row>
    <row r="318" ht="15.0" customHeight="1">
      <c r="A318" s="214"/>
      <c r="B318" s="214"/>
      <c r="C318" s="214"/>
      <c r="D318" s="214"/>
      <c r="E318" s="214"/>
      <c r="F318" s="214"/>
      <c r="G318" s="214"/>
      <c r="H318" s="214"/>
      <c r="I318" s="214"/>
      <c r="J318" s="214"/>
      <c r="K318" s="214"/>
      <c r="L318" s="214"/>
      <c r="M318" s="214"/>
      <c r="N318" s="216"/>
      <c r="O318" s="216"/>
      <c r="P318" s="216"/>
      <c r="Q318" s="216"/>
      <c r="R318" s="216"/>
      <c r="S318" s="216"/>
      <c r="T318" s="216"/>
      <c r="U318" s="216"/>
      <c r="V318" s="216"/>
      <c r="W318" s="216"/>
      <c r="X318" s="216"/>
      <c r="Y318" s="216"/>
      <c r="Z318" s="216"/>
      <c r="AA318" s="216"/>
    </row>
    <row r="319" ht="15.0" customHeight="1">
      <c r="A319" s="214"/>
      <c r="B319" s="214"/>
      <c r="C319" s="214"/>
      <c r="D319" s="214"/>
      <c r="E319" s="214"/>
      <c r="F319" s="214"/>
      <c r="G319" s="214"/>
      <c r="H319" s="214"/>
      <c r="I319" s="214"/>
      <c r="J319" s="214"/>
      <c r="K319" s="214"/>
      <c r="L319" s="214"/>
      <c r="M319" s="214"/>
      <c r="N319" s="216"/>
      <c r="O319" s="216"/>
      <c r="P319" s="216"/>
      <c r="Q319" s="216"/>
      <c r="R319" s="216"/>
      <c r="S319" s="216"/>
      <c r="T319" s="216"/>
      <c r="U319" s="216"/>
      <c r="V319" s="216"/>
      <c r="W319" s="216"/>
      <c r="X319" s="216"/>
      <c r="Y319" s="216"/>
      <c r="Z319" s="216"/>
      <c r="AA319" s="216"/>
    </row>
    <row r="320" ht="15.0" customHeight="1">
      <c r="A320" s="214"/>
      <c r="B320" s="214"/>
      <c r="C320" s="214"/>
      <c r="D320" s="214"/>
      <c r="E320" s="214"/>
      <c r="F320" s="214"/>
      <c r="G320" s="214"/>
      <c r="H320" s="214"/>
      <c r="I320" s="214"/>
      <c r="J320" s="214"/>
      <c r="K320" s="214"/>
      <c r="L320" s="214"/>
      <c r="M320" s="214"/>
      <c r="N320" s="216"/>
      <c r="O320" s="216"/>
      <c r="P320" s="216"/>
      <c r="Q320" s="216"/>
      <c r="R320" s="216"/>
      <c r="S320" s="216"/>
      <c r="T320" s="216"/>
      <c r="U320" s="216"/>
      <c r="V320" s="216"/>
      <c r="W320" s="216"/>
      <c r="X320" s="216"/>
      <c r="Y320" s="216"/>
      <c r="Z320" s="216"/>
      <c r="AA320" s="216"/>
    </row>
    <row r="321" ht="15.0" customHeight="1">
      <c r="A321" s="214"/>
      <c r="B321" s="214"/>
      <c r="C321" s="214"/>
      <c r="D321" s="214"/>
      <c r="E321" s="214"/>
      <c r="F321" s="214"/>
      <c r="G321" s="214"/>
      <c r="H321" s="214"/>
      <c r="I321" s="214"/>
      <c r="J321" s="214"/>
      <c r="K321" s="214"/>
      <c r="L321" s="214"/>
      <c r="M321" s="214"/>
      <c r="N321" s="216"/>
      <c r="O321" s="216"/>
      <c r="P321" s="216"/>
      <c r="Q321" s="216"/>
      <c r="R321" s="216"/>
      <c r="S321" s="216"/>
      <c r="T321" s="216"/>
      <c r="U321" s="216"/>
      <c r="V321" s="216"/>
      <c r="W321" s="216"/>
      <c r="X321" s="216"/>
      <c r="Y321" s="216"/>
      <c r="Z321" s="216"/>
      <c r="AA321" s="216"/>
    </row>
    <row r="322" ht="15.0" customHeight="1">
      <c r="A322" s="214"/>
      <c r="B322" s="214"/>
      <c r="C322" s="214"/>
      <c r="D322" s="214"/>
      <c r="E322" s="214"/>
      <c r="F322" s="214"/>
      <c r="G322" s="214"/>
      <c r="H322" s="214"/>
      <c r="I322" s="214"/>
      <c r="J322" s="214"/>
      <c r="K322" s="214"/>
      <c r="L322" s="214"/>
      <c r="M322" s="214"/>
      <c r="N322" s="216"/>
      <c r="O322" s="216"/>
      <c r="P322" s="216"/>
      <c r="Q322" s="216"/>
      <c r="R322" s="216"/>
      <c r="S322" s="216"/>
      <c r="T322" s="216"/>
      <c r="U322" s="216"/>
      <c r="V322" s="216"/>
      <c r="W322" s="216"/>
      <c r="X322" s="216"/>
      <c r="Y322" s="216"/>
      <c r="Z322" s="216"/>
      <c r="AA322" s="216"/>
    </row>
    <row r="323" ht="15.0" customHeight="1">
      <c r="A323" s="214"/>
      <c r="B323" s="214"/>
      <c r="C323" s="214"/>
      <c r="D323" s="214"/>
      <c r="E323" s="214"/>
      <c r="F323" s="214"/>
      <c r="G323" s="214"/>
      <c r="H323" s="214"/>
      <c r="I323" s="214"/>
      <c r="J323" s="214"/>
      <c r="K323" s="214"/>
      <c r="L323" s="214"/>
      <c r="M323" s="214"/>
      <c r="N323" s="216"/>
      <c r="O323" s="216"/>
      <c r="P323" s="216"/>
      <c r="Q323" s="216"/>
      <c r="R323" s="216"/>
      <c r="S323" s="216"/>
      <c r="T323" s="216"/>
      <c r="U323" s="216"/>
      <c r="V323" s="216"/>
      <c r="W323" s="216"/>
      <c r="X323" s="216"/>
      <c r="Y323" s="216"/>
      <c r="Z323" s="216"/>
      <c r="AA323" s="216"/>
    </row>
    <row r="324" ht="15.0" customHeight="1">
      <c r="A324" s="214"/>
      <c r="B324" s="214"/>
      <c r="C324" s="214"/>
      <c r="D324" s="214"/>
      <c r="E324" s="214"/>
      <c r="F324" s="214"/>
      <c r="G324" s="214"/>
      <c r="H324" s="214"/>
      <c r="I324" s="214"/>
      <c r="J324" s="214"/>
      <c r="K324" s="214"/>
      <c r="L324" s="214"/>
      <c r="M324" s="214"/>
      <c r="N324" s="216"/>
      <c r="O324" s="216"/>
      <c r="P324" s="216"/>
      <c r="Q324" s="216"/>
      <c r="R324" s="216"/>
      <c r="S324" s="216"/>
      <c r="T324" s="216"/>
      <c r="U324" s="216"/>
      <c r="V324" s="216"/>
      <c r="W324" s="216"/>
      <c r="X324" s="216"/>
      <c r="Y324" s="216"/>
      <c r="Z324" s="216"/>
      <c r="AA324" s="216"/>
    </row>
    <row r="325" ht="15.0" customHeight="1">
      <c r="A325" s="214"/>
      <c r="B325" s="214"/>
      <c r="C325" s="214"/>
      <c r="D325" s="214"/>
      <c r="E325" s="214"/>
      <c r="F325" s="214"/>
      <c r="G325" s="214"/>
      <c r="H325" s="214"/>
      <c r="I325" s="214"/>
      <c r="J325" s="214"/>
      <c r="K325" s="214"/>
      <c r="L325" s="214"/>
      <c r="M325" s="214"/>
      <c r="N325" s="216"/>
      <c r="O325" s="216"/>
      <c r="P325" s="216"/>
      <c r="Q325" s="216"/>
      <c r="R325" s="216"/>
      <c r="S325" s="216"/>
      <c r="T325" s="216"/>
      <c r="U325" s="216"/>
      <c r="V325" s="216"/>
      <c r="W325" s="216"/>
      <c r="X325" s="216"/>
      <c r="Y325" s="216"/>
      <c r="Z325" s="216"/>
      <c r="AA325" s="216"/>
    </row>
    <row r="326" ht="15.0" customHeight="1">
      <c r="A326" s="214"/>
      <c r="B326" s="214"/>
      <c r="C326" s="214"/>
      <c r="D326" s="214"/>
      <c r="E326" s="214"/>
      <c r="F326" s="214"/>
      <c r="G326" s="214"/>
      <c r="H326" s="214"/>
      <c r="I326" s="214"/>
      <c r="J326" s="214"/>
      <c r="K326" s="214"/>
      <c r="L326" s="214"/>
      <c r="M326" s="214"/>
      <c r="N326" s="216"/>
      <c r="O326" s="216"/>
      <c r="P326" s="216"/>
      <c r="Q326" s="216"/>
      <c r="R326" s="216"/>
      <c r="S326" s="216"/>
      <c r="T326" s="216"/>
      <c r="U326" s="216"/>
      <c r="V326" s="216"/>
      <c r="W326" s="216"/>
      <c r="X326" s="216"/>
      <c r="Y326" s="216"/>
      <c r="Z326" s="216"/>
      <c r="AA326" s="216"/>
    </row>
    <row r="327" ht="15.0" customHeight="1">
      <c r="A327" s="214"/>
      <c r="B327" s="214"/>
      <c r="C327" s="214"/>
      <c r="D327" s="214"/>
      <c r="E327" s="214"/>
      <c r="F327" s="214"/>
      <c r="G327" s="214"/>
      <c r="H327" s="214"/>
      <c r="I327" s="214"/>
      <c r="J327" s="214"/>
      <c r="K327" s="214"/>
      <c r="L327" s="214"/>
      <c r="M327" s="214"/>
      <c r="N327" s="216"/>
      <c r="O327" s="216"/>
      <c r="P327" s="216"/>
      <c r="Q327" s="216"/>
      <c r="R327" s="216"/>
      <c r="S327" s="216"/>
      <c r="T327" s="216"/>
      <c r="U327" s="216"/>
      <c r="V327" s="216"/>
      <c r="W327" s="216"/>
      <c r="X327" s="216"/>
      <c r="Y327" s="216"/>
      <c r="Z327" s="216"/>
      <c r="AA327" s="216"/>
    </row>
    <row r="328" ht="15.0" customHeight="1">
      <c r="A328" s="214"/>
      <c r="B328" s="214"/>
      <c r="C328" s="214"/>
      <c r="D328" s="214"/>
      <c r="E328" s="214"/>
      <c r="F328" s="214"/>
      <c r="G328" s="214"/>
      <c r="H328" s="214"/>
      <c r="I328" s="214"/>
      <c r="J328" s="214"/>
      <c r="K328" s="214"/>
      <c r="L328" s="214"/>
      <c r="M328" s="214"/>
      <c r="N328" s="216"/>
      <c r="O328" s="216"/>
      <c r="P328" s="216"/>
      <c r="Q328" s="216"/>
      <c r="R328" s="216"/>
      <c r="S328" s="216"/>
      <c r="T328" s="216"/>
      <c r="U328" s="216"/>
      <c r="V328" s="216"/>
      <c r="W328" s="216"/>
      <c r="X328" s="216"/>
      <c r="Y328" s="216"/>
      <c r="Z328" s="216"/>
      <c r="AA328" s="216"/>
    </row>
    <row r="329" ht="15.0" customHeight="1">
      <c r="A329" s="214"/>
      <c r="B329" s="214"/>
      <c r="C329" s="214"/>
      <c r="D329" s="214"/>
      <c r="E329" s="214"/>
      <c r="F329" s="214"/>
      <c r="G329" s="214"/>
      <c r="H329" s="214"/>
      <c r="I329" s="214"/>
      <c r="J329" s="214"/>
      <c r="K329" s="214"/>
      <c r="L329" s="214"/>
      <c r="M329" s="214"/>
      <c r="N329" s="216"/>
      <c r="O329" s="216"/>
      <c r="P329" s="216"/>
      <c r="Q329" s="216"/>
      <c r="R329" s="216"/>
      <c r="S329" s="216"/>
      <c r="T329" s="216"/>
      <c r="U329" s="216"/>
      <c r="V329" s="216"/>
      <c r="W329" s="216"/>
      <c r="X329" s="216"/>
      <c r="Y329" s="216"/>
      <c r="Z329" s="216"/>
      <c r="AA329" s="216"/>
    </row>
    <row r="330" ht="15.0" customHeight="1">
      <c r="A330" s="214"/>
      <c r="B330" s="214"/>
      <c r="C330" s="214"/>
      <c r="D330" s="214"/>
      <c r="E330" s="214"/>
      <c r="F330" s="214"/>
      <c r="G330" s="214"/>
      <c r="H330" s="214"/>
      <c r="I330" s="214"/>
      <c r="J330" s="214"/>
      <c r="K330" s="214"/>
      <c r="L330" s="214"/>
      <c r="M330" s="214"/>
      <c r="N330" s="216"/>
      <c r="O330" s="216"/>
      <c r="P330" s="216"/>
      <c r="Q330" s="216"/>
      <c r="R330" s="216"/>
      <c r="S330" s="216"/>
      <c r="T330" s="216"/>
      <c r="U330" s="216"/>
      <c r="V330" s="216"/>
      <c r="W330" s="216"/>
      <c r="X330" s="216"/>
      <c r="Y330" s="216"/>
      <c r="Z330" s="216"/>
      <c r="AA330" s="216"/>
    </row>
    <row r="331" ht="15.0" customHeight="1">
      <c r="A331" s="214"/>
      <c r="B331" s="214"/>
      <c r="C331" s="214"/>
      <c r="D331" s="214"/>
      <c r="E331" s="214"/>
      <c r="F331" s="214"/>
      <c r="G331" s="214"/>
      <c r="H331" s="214"/>
      <c r="I331" s="214"/>
      <c r="J331" s="214"/>
      <c r="K331" s="214"/>
      <c r="L331" s="214"/>
      <c r="M331" s="214"/>
      <c r="N331" s="216"/>
      <c r="O331" s="216"/>
      <c r="P331" s="216"/>
      <c r="Q331" s="216"/>
      <c r="R331" s="216"/>
      <c r="S331" s="216"/>
      <c r="T331" s="216"/>
      <c r="U331" s="216"/>
      <c r="V331" s="216"/>
      <c r="W331" s="216"/>
      <c r="X331" s="216"/>
      <c r="Y331" s="216"/>
      <c r="Z331" s="216"/>
      <c r="AA331" s="216"/>
    </row>
    <row r="332" ht="15.0" customHeight="1">
      <c r="A332" s="214"/>
      <c r="B332" s="214"/>
      <c r="C332" s="214"/>
      <c r="D332" s="214"/>
      <c r="E332" s="214"/>
      <c r="F332" s="214"/>
      <c r="G332" s="214"/>
      <c r="H332" s="214"/>
      <c r="I332" s="214"/>
      <c r="J332" s="214"/>
      <c r="K332" s="214"/>
      <c r="L332" s="214"/>
      <c r="M332" s="214"/>
      <c r="N332" s="216"/>
      <c r="O332" s="216"/>
      <c r="P332" s="216"/>
      <c r="Q332" s="216"/>
      <c r="R332" s="216"/>
      <c r="S332" s="216"/>
      <c r="T332" s="216"/>
      <c r="U332" s="216"/>
      <c r="V332" s="216"/>
      <c r="W332" s="216"/>
      <c r="X332" s="216"/>
      <c r="Y332" s="216"/>
      <c r="Z332" s="216"/>
      <c r="AA332" s="216"/>
    </row>
    <row r="333" ht="15.0" customHeight="1">
      <c r="A333" s="214"/>
      <c r="B333" s="214"/>
      <c r="C333" s="214"/>
      <c r="D333" s="214"/>
      <c r="E333" s="214"/>
      <c r="F333" s="214"/>
      <c r="G333" s="214"/>
      <c r="H333" s="214"/>
      <c r="I333" s="214"/>
      <c r="J333" s="214"/>
      <c r="K333" s="214"/>
      <c r="L333" s="214"/>
      <c r="M333" s="214"/>
      <c r="N333" s="216"/>
      <c r="O333" s="216"/>
      <c r="P333" s="216"/>
      <c r="Q333" s="216"/>
      <c r="R333" s="216"/>
      <c r="S333" s="216"/>
      <c r="T333" s="216"/>
      <c r="U333" s="216"/>
      <c r="V333" s="216"/>
      <c r="W333" s="216"/>
      <c r="X333" s="216"/>
      <c r="Y333" s="216"/>
      <c r="Z333" s="216"/>
      <c r="AA333" s="216"/>
    </row>
    <row r="334" ht="15.0" customHeight="1">
      <c r="A334" s="214"/>
      <c r="B334" s="214"/>
      <c r="C334" s="214"/>
      <c r="D334" s="214"/>
      <c r="E334" s="214"/>
      <c r="F334" s="214"/>
      <c r="G334" s="214"/>
      <c r="H334" s="214"/>
      <c r="I334" s="214"/>
      <c r="J334" s="214"/>
      <c r="K334" s="214"/>
      <c r="L334" s="214"/>
      <c r="M334" s="214"/>
      <c r="N334" s="216"/>
      <c r="O334" s="216"/>
      <c r="P334" s="216"/>
      <c r="Q334" s="216"/>
      <c r="R334" s="216"/>
      <c r="S334" s="216"/>
      <c r="T334" s="216"/>
      <c r="U334" s="216"/>
      <c r="V334" s="216"/>
      <c r="W334" s="216"/>
      <c r="X334" s="216"/>
      <c r="Y334" s="216"/>
      <c r="Z334" s="216"/>
      <c r="AA334" s="216"/>
    </row>
    <row r="335" ht="15.0" customHeight="1">
      <c r="A335" s="214"/>
      <c r="B335" s="214"/>
      <c r="C335" s="214"/>
      <c r="D335" s="214"/>
      <c r="E335" s="214"/>
      <c r="F335" s="214"/>
      <c r="G335" s="214"/>
      <c r="H335" s="214"/>
      <c r="I335" s="214"/>
      <c r="J335" s="214"/>
      <c r="K335" s="214"/>
      <c r="L335" s="214"/>
      <c r="M335" s="214"/>
      <c r="N335" s="216"/>
      <c r="O335" s="216"/>
      <c r="P335" s="216"/>
      <c r="Q335" s="216"/>
      <c r="R335" s="216"/>
      <c r="S335" s="216"/>
      <c r="T335" s="216"/>
      <c r="U335" s="216"/>
      <c r="V335" s="216"/>
      <c r="W335" s="216"/>
      <c r="X335" s="216"/>
      <c r="Y335" s="216"/>
      <c r="Z335" s="216"/>
      <c r="AA335" s="216"/>
    </row>
    <row r="336" ht="15.0" customHeight="1">
      <c r="A336" s="214"/>
      <c r="B336" s="214"/>
      <c r="C336" s="214"/>
      <c r="D336" s="214"/>
      <c r="E336" s="214"/>
      <c r="F336" s="214"/>
      <c r="G336" s="214"/>
      <c r="H336" s="214"/>
      <c r="I336" s="214"/>
      <c r="J336" s="214"/>
      <c r="K336" s="214"/>
      <c r="L336" s="214"/>
      <c r="M336" s="214"/>
      <c r="N336" s="216"/>
      <c r="O336" s="216"/>
      <c r="P336" s="216"/>
      <c r="Q336" s="216"/>
      <c r="R336" s="216"/>
      <c r="S336" s="216"/>
      <c r="T336" s="216"/>
      <c r="U336" s="216"/>
      <c r="V336" s="216"/>
      <c r="W336" s="216"/>
      <c r="X336" s="216"/>
      <c r="Y336" s="216"/>
      <c r="Z336" s="216"/>
      <c r="AA336" s="216"/>
    </row>
    <row r="337" ht="15.0" customHeight="1">
      <c r="A337" s="214"/>
      <c r="B337" s="214"/>
      <c r="C337" s="214"/>
      <c r="D337" s="214"/>
      <c r="E337" s="214"/>
      <c r="F337" s="214"/>
      <c r="G337" s="214"/>
      <c r="H337" s="214"/>
      <c r="I337" s="214"/>
      <c r="J337" s="214"/>
      <c r="K337" s="214"/>
      <c r="L337" s="214"/>
      <c r="M337" s="214"/>
      <c r="N337" s="216"/>
      <c r="O337" s="216"/>
      <c r="P337" s="216"/>
      <c r="Q337" s="216"/>
      <c r="R337" s="216"/>
      <c r="S337" s="216"/>
      <c r="T337" s="216"/>
      <c r="U337" s="216"/>
      <c r="V337" s="216"/>
      <c r="W337" s="216"/>
      <c r="X337" s="216"/>
      <c r="Y337" s="216"/>
      <c r="Z337" s="216"/>
      <c r="AA337" s="216"/>
    </row>
    <row r="338" ht="15.0" customHeight="1">
      <c r="A338" s="214"/>
      <c r="B338" s="214"/>
      <c r="C338" s="214"/>
      <c r="D338" s="214"/>
      <c r="E338" s="214"/>
      <c r="F338" s="214"/>
      <c r="G338" s="214"/>
      <c r="H338" s="214"/>
      <c r="I338" s="214"/>
      <c r="J338" s="214"/>
      <c r="K338" s="214"/>
      <c r="L338" s="214"/>
      <c r="M338" s="214"/>
      <c r="N338" s="216"/>
      <c r="O338" s="216"/>
      <c r="P338" s="216"/>
      <c r="Q338" s="216"/>
      <c r="R338" s="216"/>
      <c r="S338" s="216"/>
      <c r="T338" s="216"/>
      <c r="U338" s="216"/>
      <c r="V338" s="216"/>
      <c r="W338" s="216"/>
      <c r="X338" s="216"/>
      <c r="Y338" s="216"/>
      <c r="Z338" s="216"/>
      <c r="AA338" s="216"/>
    </row>
    <row r="339" ht="15.0" customHeight="1">
      <c r="A339" s="214"/>
      <c r="B339" s="214"/>
      <c r="C339" s="214"/>
      <c r="D339" s="214"/>
      <c r="E339" s="214"/>
      <c r="F339" s="214"/>
      <c r="G339" s="214"/>
      <c r="H339" s="214"/>
      <c r="I339" s="214"/>
      <c r="J339" s="214"/>
      <c r="K339" s="214"/>
      <c r="L339" s="214"/>
      <c r="M339" s="214"/>
      <c r="N339" s="216"/>
      <c r="O339" s="216"/>
      <c r="P339" s="216"/>
      <c r="Q339" s="216"/>
      <c r="R339" s="216"/>
      <c r="S339" s="216"/>
      <c r="T339" s="216"/>
      <c r="U339" s="216"/>
      <c r="V339" s="216"/>
      <c r="W339" s="216"/>
      <c r="X339" s="216"/>
      <c r="Y339" s="216"/>
      <c r="Z339" s="216"/>
      <c r="AA339" s="216"/>
    </row>
    <row r="340" ht="15.0" customHeight="1">
      <c r="A340" s="214"/>
      <c r="B340" s="214"/>
      <c r="C340" s="214"/>
      <c r="D340" s="214"/>
      <c r="E340" s="214"/>
      <c r="F340" s="214"/>
      <c r="G340" s="214"/>
      <c r="H340" s="214"/>
      <c r="I340" s="214"/>
      <c r="J340" s="214"/>
      <c r="K340" s="214"/>
      <c r="L340" s="214"/>
      <c r="M340" s="214"/>
      <c r="N340" s="216"/>
      <c r="O340" s="216"/>
      <c r="P340" s="216"/>
      <c r="Q340" s="216"/>
      <c r="R340" s="216"/>
      <c r="S340" s="216"/>
      <c r="T340" s="216"/>
      <c r="U340" s="216"/>
      <c r="V340" s="216"/>
      <c r="W340" s="216"/>
      <c r="X340" s="216"/>
      <c r="Y340" s="216"/>
      <c r="Z340" s="216"/>
      <c r="AA340" s="216"/>
    </row>
    <row r="341" ht="15.0" customHeight="1">
      <c r="A341" s="214"/>
      <c r="B341" s="214"/>
      <c r="C341" s="214"/>
      <c r="D341" s="214"/>
      <c r="E341" s="214"/>
      <c r="F341" s="214"/>
      <c r="G341" s="214"/>
      <c r="H341" s="214"/>
      <c r="I341" s="214"/>
      <c r="J341" s="214"/>
      <c r="K341" s="214"/>
      <c r="L341" s="214"/>
      <c r="M341" s="214"/>
      <c r="N341" s="216"/>
      <c r="O341" s="216"/>
      <c r="P341" s="216"/>
      <c r="Q341" s="216"/>
      <c r="R341" s="216"/>
      <c r="S341" s="216"/>
      <c r="T341" s="216"/>
      <c r="U341" s="216"/>
      <c r="V341" s="216"/>
      <c r="W341" s="216"/>
      <c r="X341" s="216"/>
      <c r="Y341" s="216"/>
      <c r="Z341" s="216"/>
      <c r="AA341" s="216"/>
    </row>
    <row r="342" ht="15.0" customHeight="1">
      <c r="A342" s="214"/>
      <c r="B342" s="214"/>
      <c r="C342" s="214"/>
      <c r="D342" s="214"/>
      <c r="E342" s="214"/>
      <c r="F342" s="214"/>
      <c r="G342" s="214"/>
      <c r="H342" s="214"/>
      <c r="I342" s="214"/>
      <c r="J342" s="214"/>
      <c r="K342" s="214"/>
      <c r="L342" s="214"/>
      <c r="M342" s="214"/>
      <c r="N342" s="216"/>
      <c r="O342" s="216"/>
      <c r="P342" s="216"/>
      <c r="Q342" s="216"/>
      <c r="R342" s="216"/>
      <c r="S342" s="216"/>
      <c r="T342" s="216"/>
      <c r="U342" s="216"/>
      <c r="V342" s="216"/>
      <c r="W342" s="216"/>
      <c r="X342" s="216"/>
      <c r="Y342" s="216"/>
      <c r="Z342" s="216"/>
      <c r="AA342" s="216"/>
    </row>
    <row r="343" ht="15.0" customHeight="1">
      <c r="A343" s="214"/>
      <c r="B343" s="214"/>
      <c r="C343" s="214"/>
      <c r="D343" s="214"/>
      <c r="E343" s="214"/>
      <c r="F343" s="214"/>
      <c r="G343" s="214"/>
      <c r="H343" s="214"/>
      <c r="I343" s="214"/>
      <c r="J343" s="214"/>
      <c r="K343" s="214"/>
      <c r="L343" s="214"/>
      <c r="M343" s="214"/>
      <c r="N343" s="216"/>
      <c r="O343" s="216"/>
      <c r="P343" s="216"/>
      <c r="Q343" s="216"/>
      <c r="R343" s="216"/>
      <c r="S343" s="216"/>
      <c r="T343" s="216"/>
      <c r="U343" s="216"/>
      <c r="V343" s="216"/>
      <c r="W343" s="216"/>
      <c r="X343" s="216"/>
      <c r="Y343" s="216"/>
      <c r="Z343" s="216"/>
      <c r="AA343" s="216"/>
    </row>
    <row r="344" ht="15.0" customHeight="1">
      <c r="A344" s="214"/>
      <c r="B344" s="214"/>
      <c r="C344" s="214"/>
      <c r="D344" s="214"/>
      <c r="E344" s="214"/>
      <c r="F344" s="214"/>
      <c r="G344" s="214"/>
      <c r="H344" s="214"/>
      <c r="I344" s="214"/>
      <c r="J344" s="214"/>
      <c r="K344" s="214"/>
      <c r="L344" s="214"/>
      <c r="M344" s="214"/>
      <c r="N344" s="216"/>
      <c r="O344" s="216"/>
      <c r="P344" s="216"/>
      <c r="Q344" s="216"/>
      <c r="R344" s="216"/>
      <c r="S344" s="216"/>
      <c r="T344" s="216"/>
      <c r="U344" s="216"/>
      <c r="V344" s="216"/>
      <c r="W344" s="216"/>
      <c r="X344" s="216"/>
      <c r="Y344" s="216"/>
      <c r="Z344" s="216"/>
      <c r="AA344" s="216"/>
    </row>
    <row r="345" ht="15.0" customHeight="1">
      <c r="A345" s="214"/>
      <c r="B345" s="214"/>
      <c r="C345" s="214"/>
      <c r="D345" s="214"/>
      <c r="E345" s="214"/>
      <c r="F345" s="214"/>
      <c r="G345" s="214"/>
      <c r="H345" s="214"/>
      <c r="I345" s="214"/>
      <c r="J345" s="214"/>
      <c r="K345" s="214"/>
      <c r="L345" s="214"/>
      <c r="M345" s="214"/>
      <c r="N345" s="216"/>
      <c r="O345" s="216"/>
      <c r="P345" s="216"/>
      <c r="Q345" s="216"/>
      <c r="R345" s="216"/>
      <c r="S345" s="216"/>
      <c r="T345" s="216"/>
      <c r="U345" s="216"/>
      <c r="V345" s="216"/>
      <c r="W345" s="216"/>
      <c r="X345" s="216"/>
      <c r="Y345" s="216"/>
      <c r="Z345" s="216"/>
      <c r="AA345" s="216"/>
    </row>
    <row r="346" ht="15.0" customHeight="1">
      <c r="A346" s="214"/>
      <c r="B346" s="214"/>
      <c r="C346" s="214"/>
      <c r="D346" s="214"/>
      <c r="E346" s="214"/>
      <c r="F346" s="214"/>
      <c r="G346" s="214"/>
      <c r="H346" s="214"/>
      <c r="I346" s="214"/>
      <c r="J346" s="214"/>
      <c r="K346" s="214"/>
      <c r="L346" s="214"/>
      <c r="M346" s="214"/>
      <c r="N346" s="216"/>
      <c r="O346" s="216"/>
      <c r="P346" s="216"/>
      <c r="Q346" s="216"/>
      <c r="R346" s="216"/>
      <c r="S346" s="216"/>
      <c r="T346" s="216"/>
      <c r="U346" s="216"/>
      <c r="V346" s="216"/>
      <c r="W346" s="216"/>
      <c r="X346" s="216"/>
      <c r="Y346" s="216"/>
      <c r="Z346" s="216"/>
      <c r="AA346" s="216"/>
    </row>
    <row r="347" ht="15.0" customHeight="1">
      <c r="A347" s="214"/>
      <c r="B347" s="214"/>
      <c r="C347" s="214"/>
      <c r="D347" s="214"/>
      <c r="E347" s="214"/>
      <c r="F347" s="214"/>
      <c r="G347" s="214"/>
      <c r="H347" s="214"/>
      <c r="I347" s="214"/>
      <c r="J347" s="214"/>
      <c r="K347" s="214"/>
      <c r="L347" s="214"/>
      <c r="M347" s="214"/>
      <c r="N347" s="216"/>
      <c r="O347" s="216"/>
      <c r="P347" s="216"/>
      <c r="Q347" s="216"/>
      <c r="R347" s="216"/>
      <c r="S347" s="216"/>
      <c r="T347" s="216"/>
      <c r="U347" s="216"/>
      <c r="V347" s="216"/>
      <c r="W347" s="216"/>
      <c r="X347" s="216"/>
      <c r="Y347" s="216"/>
      <c r="Z347" s="216"/>
      <c r="AA347" s="216"/>
    </row>
    <row r="348" ht="15.0" customHeight="1">
      <c r="A348" s="214"/>
      <c r="B348" s="214"/>
      <c r="C348" s="214"/>
      <c r="D348" s="214"/>
      <c r="E348" s="214"/>
      <c r="F348" s="214"/>
      <c r="G348" s="214"/>
      <c r="H348" s="214"/>
      <c r="I348" s="214"/>
      <c r="J348" s="214"/>
      <c r="K348" s="214"/>
      <c r="L348" s="214"/>
      <c r="M348" s="214"/>
      <c r="N348" s="216"/>
      <c r="O348" s="216"/>
      <c r="P348" s="216"/>
      <c r="Q348" s="216"/>
      <c r="R348" s="216"/>
      <c r="S348" s="216"/>
      <c r="T348" s="216"/>
      <c r="U348" s="216"/>
      <c r="V348" s="216"/>
      <c r="W348" s="216"/>
      <c r="X348" s="216"/>
      <c r="Y348" s="216"/>
      <c r="Z348" s="216"/>
      <c r="AA348" s="216"/>
    </row>
    <row r="349" ht="15.0" customHeight="1">
      <c r="A349" s="214"/>
      <c r="B349" s="214"/>
      <c r="C349" s="214"/>
      <c r="D349" s="214"/>
      <c r="E349" s="214"/>
      <c r="F349" s="214"/>
      <c r="G349" s="214"/>
      <c r="H349" s="214"/>
      <c r="I349" s="214"/>
      <c r="J349" s="214"/>
      <c r="K349" s="214"/>
      <c r="L349" s="214"/>
      <c r="M349" s="214"/>
      <c r="N349" s="216"/>
      <c r="O349" s="216"/>
      <c r="P349" s="216"/>
      <c r="Q349" s="216"/>
      <c r="R349" s="216"/>
      <c r="S349" s="216"/>
      <c r="T349" s="216"/>
      <c r="U349" s="216"/>
      <c r="V349" s="216"/>
      <c r="W349" s="216"/>
      <c r="X349" s="216"/>
      <c r="Y349" s="216"/>
      <c r="Z349" s="216"/>
      <c r="AA349" s="216"/>
    </row>
    <row r="350" ht="15.0" customHeight="1">
      <c r="A350" s="214"/>
      <c r="B350" s="214"/>
      <c r="C350" s="214"/>
      <c r="D350" s="214"/>
      <c r="E350" s="214"/>
      <c r="F350" s="214"/>
      <c r="G350" s="214"/>
      <c r="H350" s="214"/>
      <c r="I350" s="214"/>
      <c r="J350" s="214"/>
      <c r="K350" s="214"/>
      <c r="L350" s="214"/>
      <c r="M350" s="214"/>
      <c r="N350" s="216"/>
      <c r="O350" s="216"/>
      <c r="P350" s="216"/>
      <c r="Q350" s="216"/>
      <c r="R350" s="216"/>
      <c r="S350" s="216"/>
      <c r="T350" s="216"/>
      <c r="U350" s="216"/>
      <c r="V350" s="216"/>
      <c r="W350" s="216"/>
      <c r="X350" s="216"/>
      <c r="Y350" s="216"/>
      <c r="Z350" s="216"/>
      <c r="AA350" s="216"/>
    </row>
    <row r="351" ht="15.0" customHeight="1">
      <c r="A351" s="214"/>
      <c r="B351" s="214"/>
      <c r="C351" s="214"/>
      <c r="D351" s="214"/>
      <c r="E351" s="214"/>
      <c r="F351" s="214"/>
      <c r="G351" s="214"/>
      <c r="H351" s="214"/>
      <c r="I351" s="214"/>
      <c r="J351" s="214"/>
      <c r="K351" s="214"/>
      <c r="L351" s="214"/>
      <c r="M351" s="214"/>
      <c r="N351" s="216"/>
      <c r="O351" s="216"/>
      <c r="P351" s="216"/>
      <c r="Q351" s="216"/>
      <c r="R351" s="216"/>
      <c r="S351" s="216"/>
      <c r="T351" s="216"/>
      <c r="U351" s="216"/>
      <c r="V351" s="216"/>
      <c r="W351" s="216"/>
      <c r="X351" s="216"/>
      <c r="Y351" s="216"/>
      <c r="Z351" s="216"/>
      <c r="AA351" s="216"/>
    </row>
    <row r="352" ht="15.0" customHeight="1">
      <c r="A352" s="214"/>
      <c r="B352" s="214"/>
      <c r="C352" s="214"/>
      <c r="D352" s="214"/>
      <c r="E352" s="214"/>
      <c r="F352" s="214"/>
      <c r="G352" s="214"/>
      <c r="H352" s="214"/>
      <c r="I352" s="214"/>
      <c r="J352" s="214"/>
      <c r="K352" s="214"/>
      <c r="L352" s="214"/>
      <c r="M352" s="214"/>
      <c r="N352" s="216"/>
      <c r="O352" s="216"/>
      <c r="P352" s="216"/>
      <c r="Q352" s="216"/>
      <c r="R352" s="216"/>
      <c r="S352" s="216"/>
      <c r="T352" s="216"/>
      <c r="U352" s="216"/>
      <c r="V352" s="216"/>
      <c r="W352" s="216"/>
      <c r="X352" s="216"/>
      <c r="Y352" s="216"/>
      <c r="Z352" s="216"/>
      <c r="AA352" s="216"/>
    </row>
    <row r="353" ht="15.0" customHeight="1">
      <c r="A353" s="214"/>
      <c r="B353" s="214"/>
      <c r="C353" s="214"/>
      <c r="D353" s="214"/>
      <c r="E353" s="214"/>
      <c r="F353" s="214"/>
      <c r="G353" s="214"/>
      <c r="H353" s="214"/>
      <c r="I353" s="214"/>
      <c r="J353" s="214"/>
      <c r="K353" s="214"/>
      <c r="L353" s="214"/>
      <c r="M353" s="214"/>
      <c r="N353" s="216"/>
      <c r="O353" s="216"/>
      <c r="P353" s="216"/>
      <c r="Q353" s="216"/>
      <c r="R353" s="216"/>
      <c r="S353" s="216"/>
      <c r="T353" s="216"/>
      <c r="U353" s="216"/>
      <c r="V353" s="216"/>
      <c r="W353" s="216"/>
      <c r="X353" s="216"/>
      <c r="Y353" s="216"/>
      <c r="Z353" s="216"/>
      <c r="AA353" s="216"/>
    </row>
    <row r="354" ht="15.0" customHeight="1">
      <c r="A354" s="214"/>
      <c r="B354" s="214"/>
      <c r="C354" s="214"/>
      <c r="D354" s="214"/>
      <c r="E354" s="214"/>
      <c r="F354" s="214"/>
      <c r="G354" s="214"/>
      <c r="H354" s="214"/>
      <c r="I354" s="214"/>
      <c r="J354" s="214"/>
      <c r="K354" s="214"/>
      <c r="L354" s="214"/>
      <c r="M354" s="214"/>
      <c r="N354" s="216"/>
      <c r="O354" s="216"/>
      <c r="P354" s="216"/>
      <c r="Q354" s="216"/>
      <c r="R354" s="216"/>
      <c r="S354" s="216"/>
      <c r="T354" s="216"/>
      <c r="U354" s="216"/>
      <c r="V354" s="216"/>
      <c r="W354" s="216"/>
      <c r="X354" s="216"/>
      <c r="Y354" s="216"/>
      <c r="Z354" s="216"/>
      <c r="AA354" s="216"/>
    </row>
    <row r="355" ht="15.0" customHeight="1">
      <c r="A355" s="214"/>
      <c r="B355" s="214"/>
      <c r="C355" s="214"/>
      <c r="D355" s="214"/>
      <c r="E355" s="214"/>
      <c r="F355" s="214"/>
      <c r="G355" s="214"/>
      <c r="H355" s="214"/>
      <c r="I355" s="214"/>
      <c r="J355" s="214"/>
      <c r="K355" s="214"/>
      <c r="L355" s="214"/>
      <c r="M355" s="214"/>
      <c r="N355" s="216"/>
      <c r="O355" s="216"/>
      <c r="P355" s="216"/>
      <c r="Q355" s="216"/>
      <c r="R355" s="216"/>
      <c r="S355" s="216"/>
      <c r="T355" s="216"/>
      <c r="U355" s="216"/>
      <c r="V355" s="216"/>
      <c r="W355" s="216"/>
      <c r="X355" s="216"/>
      <c r="Y355" s="216"/>
      <c r="Z355" s="216"/>
      <c r="AA355" s="216"/>
    </row>
    <row r="356" ht="15.0" customHeight="1">
      <c r="A356" s="214"/>
      <c r="B356" s="214"/>
      <c r="C356" s="214"/>
      <c r="D356" s="214"/>
      <c r="E356" s="214"/>
      <c r="F356" s="214"/>
      <c r="G356" s="214"/>
      <c r="H356" s="214"/>
      <c r="I356" s="214"/>
      <c r="J356" s="214"/>
      <c r="K356" s="214"/>
      <c r="L356" s="214"/>
      <c r="M356" s="214"/>
      <c r="N356" s="216"/>
      <c r="O356" s="216"/>
      <c r="P356" s="216"/>
      <c r="Q356" s="216"/>
      <c r="R356" s="216"/>
      <c r="S356" s="216"/>
      <c r="T356" s="216"/>
      <c r="U356" s="216"/>
      <c r="V356" s="216"/>
      <c r="W356" s="216"/>
      <c r="X356" s="216"/>
      <c r="Y356" s="216"/>
      <c r="Z356" s="216"/>
      <c r="AA356" s="216"/>
    </row>
    <row r="357" ht="15.0" customHeight="1">
      <c r="A357" s="214"/>
      <c r="B357" s="214"/>
      <c r="C357" s="214"/>
      <c r="D357" s="214"/>
      <c r="E357" s="214"/>
      <c r="F357" s="214"/>
      <c r="G357" s="214"/>
      <c r="H357" s="214"/>
      <c r="I357" s="214"/>
      <c r="J357" s="214"/>
      <c r="K357" s="214"/>
      <c r="L357" s="214"/>
      <c r="M357" s="214"/>
      <c r="N357" s="216"/>
      <c r="O357" s="216"/>
      <c r="P357" s="216"/>
      <c r="Q357" s="216"/>
      <c r="R357" s="216"/>
      <c r="S357" s="216"/>
      <c r="T357" s="216"/>
      <c r="U357" s="216"/>
      <c r="V357" s="216"/>
      <c r="W357" s="216"/>
      <c r="X357" s="216"/>
      <c r="Y357" s="216"/>
      <c r="Z357" s="216"/>
      <c r="AA357" s="216"/>
    </row>
    <row r="358" ht="15.0" customHeight="1">
      <c r="A358" s="214"/>
      <c r="B358" s="214"/>
      <c r="C358" s="214"/>
      <c r="D358" s="214"/>
      <c r="E358" s="214"/>
      <c r="F358" s="214"/>
      <c r="G358" s="214"/>
      <c r="H358" s="214"/>
      <c r="I358" s="214"/>
      <c r="J358" s="214"/>
      <c r="K358" s="214"/>
      <c r="L358" s="214"/>
      <c r="M358" s="214"/>
      <c r="N358" s="216"/>
      <c r="O358" s="216"/>
      <c r="P358" s="216"/>
      <c r="Q358" s="216"/>
      <c r="R358" s="216"/>
      <c r="S358" s="216"/>
      <c r="T358" s="216"/>
      <c r="U358" s="216"/>
      <c r="V358" s="216"/>
      <c r="W358" s="216"/>
      <c r="X358" s="216"/>
      <c r="Y358" s="216"/>
      <c r="Z358" s="216"/>
      <c r="AA358" s="216"/>
    </row>
    <row r="359" ht="15.0" customHeight="1">
      <c r="A359" s="214"/>
      <c r="B359" s="214"/>
      <c r="C359" s="214"/>
      <c r="D359" s="214"/>
      <c r="E359" s="214"/>
      <c r="F359" s="214"/>
      <c r="G359" s="214"/>
      <c r="H359" s="214"/>
      <c r="I359" s="214"/>
      <c r="J359" s="214"/>
      <c r="K359" s="214"/>
      <c r="L359" s="214"/>
      <c r="M359" s="214"/>
      <c r="N359" s="216"/>
      <c r="O359" s="216"/>
      <c r="P359" s="216"/>
      <c r="Q359" s="216"/>
      <c r="R359" s="216"/>
      <c r="S359" s="216"/>
      <c r="T359" s="216"/>
      <c r="U359" s="216"/>
      <c r="V359" s="216"/>
      <c r="W359" s="216"/>
      <c r="X359" s="216"/>
      <c r="Y359" s="216"/>
      <c r="Z359" s="216"/>
      <c r="AA359" s="216"/>
    </row>
    <row r="360" ht="15.0" customHeight="1">
      <c r="A360" s="214"/>
      <c r="B360" s="214"/>
      <c r="C360" s="214"/>
      <c r="D360" s="214"/>
      <c r="E360" s="214"/>
      <c r="F360" s="214"/>
      <c r="G360" s="214"/>
      <c r="H360" s="214"/>
      <c r="I360" s="214"/>
      <c r="J360" s="214"/>
      <c r="K360" s="214"/>
      <c r="L360" s="214"/>
      <c r="M360" s="214"/>
      <c r="N360" s="216"/>
      <c r="O360" s="216"/>
      <c r="P360" s="216"/>
      <c r="Q360" s="216"/>
      <c r="R360" s="216"/>
      <c r="S360" s="216"/>
      <c r="T360" s="216"/>
      <c r="U360" s="216"/>
      <c r="V360" s="216"/>
      <c r="W360" s="216"/>
      <c r="X360" s="216"/>
      <c r="Y360" s="216"/>
      <c r="Z360" s="216"/>
      <c r="AA360" s="216"/>
    </row>
    <row r="361" ht="15.0" customHeight="1">
      <c r="A361" s="214"/>
      <c r="B361" s="214"/>
      <c r="C361" s="214"/>
      <c r="D361" s="214"/>
      <c r="E361" s="214"/>
      <c r="F361" s="214"/>
      <c r="G361" s="214"/>
      <c r="H361" s="214"/>
      <c r="I361" s="214"/>
      <c r="J361" s="214"/>
      <c r="K361" s="214"/>
      <c r="L361" s="214"/>
      <c r="M361" s="214"/>
      <c r="N361" s="216"/>
      <c r="O361" s="216"/>
      <c r="P361" s="216"/>
      <c r="Q361" s="216"/>
      <c r="R361" s="216"/>
      <c r="S361" s="216"/>
      <c r="T361" s="216"/>
      <c r="U361" s="216"/>
      <c r="V361" s="216"/>
      <c r="W361" s="216"/>
      <c r="X361" s="216"/>
      <c r="Y361" s="216"/>
      <c r="Z361" s="216"/>
      <c r="AA361" s="216"/>
    </row>
    <row r="362" ht="15.0" customHeight="1">
      <c r="A362" s="214"/>
      <c r="B362" s="214"/>
      <c r="C362" s="214"/>
      <c r="D362" s="214"/>
      <c r="E362" s="214"/>
      <c r="F362" s="214"/>
      <c r="G362" s="214"/>
      <c r="H362" s="214"/>
      <c r="I362" s="214"/>
      <c r="J362" s="214"/>
      <c r="K362" s="214"/>
      <c r="L362" s="214"/>
      <c r="M362" s="214"/>
      <c r="N362" s="216"/>
      <c r="O362" s="216"/>
      <c r="P362" s="216"/>
      <c r="Q362" s="216"/>
      <c r="R362" s="216"/>
      <c r="S362" s="216"/>
      <c r="T362" s="216"/>
      <c r="U362" s="216"/>
      <c r="V362" s="216"/>
      <c r="W362" s="216"/>
      <c r="X362" s="216"/>
      <c r="Y362" s="216"/>
      <c r="Z362" s="216"/>
      <c r="AA362" s="216"/>
    </row>
    <row r="363" ht="15.0" customHeight="1">
      <c r="A363" s="214"/>
      <c r="B363" s="214"/>
      <c r="C363" s="214"/>
      <c r="D363" s="214"/>
      <c r="E363" s="214"/>
      <c r="F363" s="214"/>
      <c r="G363" s="214"/>
      <c r="H363" s="214"/>
      <c r="I363" s="214"/>
      <c r="J363" s="214"/>
      <c r="K363" s="214"/>
      <c r="L363" s="214"/>
      <c r="M363" s="214"/>
      <c r="N363" s="216"/>
      <c r="O363" s="216"/>
      <c r="P363" s="216"/>
      <c r="Q363" s="216"/>
      <c r="R363" s="216"/>
      <c r="S363" s="216"/>
      <c r="T363" s="216"/>
      <c r="U363" s="216"/>
      <c r="V363" s="216"/>
      <c r="W363" s="216"/>
      <c r="X363" s="216"/>
      <c r="Y363" s="216"/>
      <c r="Z363" s="216"/>
      <c r="AA363" s="216"/>
    </row>
    <row r="364" ht="15.0" customHeight="1">
      <c r="A364" s="214"/>
      <c r="B364" s="214"/>
      <c r="C364" s="214"/>
      <c r="D364" s="214"/>
      <c r="E364" s="214"/>
      <c r="F364" s="214"/>
      <c r="G364" s="214"/>
      <c r="H364" s="214"/>
      <c r="I364" s="214"/>
      <c r="J364" s="214"/>
      <c r="K364" s="214"/>
      <c r="L364" s="214"/>
      <c r="M364" s="214"/>
      <c r="N364" s="216"/>
      <c r="O364" s="216"/>
      <c r="P364" s="216"/>
      <c r="Q364" s="216"/>
      <c r="R364" s="216"/>
      <c r="S364" s="216"/>
      <c r="T364" s="216"/>
      <c r="U364" s="216"/>
      <c r="V364" s="216"/>
      <c r="W364" s="216"/>
      <c r="X364" s="216"/>
      <c r="Y364" s="216"/>
      <c r="Z364" s="216"/>
      <c r="AA364" s="216"/>
    </row>
    <row r="365" ht="15.0" customHeight="1">
      <c r="A365" s="214"/>
      <c r="B365" s="214"/>
      <c r="C365" s="214"/>
      <c r="D365" s="214"/>
      <c r="E365" s="214"/>
      <c r="F365" s="214"/>
      <c r="G365" s="214"/>
      <c r="H365" s="214"/>
      <c r="I365" s="214"/>
      <c r="J365" s="214"/>
      <c r="K365" s="214"/>
      <c r="L365" s="214"/>
      <c r="M365" s="214"/>
      <c r="N365" s="216"/>
      <c r="O365" s="216"/>
      <c r="P365" s="216"/>
      <c r="Q365" s="216"/>
      <c r="R365" s="216"/>
      <c r="S365" s="216"/>
      <c r="T365" s="216"/>
      <c r="U365" s="216"/>
      <c r="V365" s="216"/>
      <c r="W365" s="216"/>
      <c r="X365" s="216"/>
      <c r="Y365" s="216"/>
      <c r="Z365" s="216"/>
      <c r="AA365" s="216"/>
    </row>
    <row r="366" ht="15.0" customHeight="1">
      <c r="A366" s="214"/>
      <c r="B366" s="214"/>
      <c r="C366" s="214"/>
      <c r="D366" s="214"/>
      <c r="E366" s="214"/>
      <c r="F366" s="214"/>
      <c r="G366" s="214"/>
      <c r="H366" s="214"/>
      <c r="I366" s="214"/>
      <c r="J366" s="214"/>
      <c r="K366" s="214"/>
      <c r="L366" s="214"/>
      <c r="M366" s="214"/>
      <c r="N366" s="216"/>
      <c r="O366" s="216"/>
      <c r="P366" s="216"/>
      <c r="Q366" s="216"/>
      <c r="R366" s="216"/>
      <c r="S366" s="216"/>
      <c r="T366" s="216"/>
      <c r="U366" s="216"/>
      <c r="V366" s="216"/>
      <c r="W366" s="216"/>
      <c r="X366" s="216"/>
      <c r="Y366" s="216"/>
      <c r="Z366" s="216"/>
      <c r="AA366" s="216"/>
    </row>
    <row r="367" ht="15.0" customHeight="1">
      <c r="A367" s="214"/>
      <c r="B367" s="214"/>
      <c r="C367" s="214"/>
      <c r="D367" s="214"/>
      <c r="E367" s="214"/>
      <c r="F367" s="214"/>
      <c r="G367" s="214"/>
      <c r="H367" s="214"/>
      <c r="I367" s="214"/>
      <c r="J367" s="214"/>
      <c r="K367" s="214"/>
      <c r="L367" s="214"/>
      <c r="M367" s="214"/>
      <c r="N367" s="216"/>
      <c r="O367" s="216"/>
      <c r="P367" s="216"/>
      <c r="Q367" s="216"/>
      <c r="R367" s="216"/>
      <c r="S367" s="216"/>
      <c r="T367" s="216"/>
      <c r="U367" s="216"/>
      <c r="V367" s="216"/>
      <c r="W367" s="216"/>
      <c r="X367" s="216"/>
      <c r="Y367" s="216"/>
      <c r="Z367" s="216"/>
      <c r="AA367" s="216"/>
    </row>
    <row r="368" ht="15.0" customHeight="1">
      <c r="A368" s="214"/>
      <c r="B368" s="214"/>
      <c r="C368" s="214"/>
      <c r="D368" s="214"/>
      <c r="E368" s="214"/>
      <c r="F368" s="214"/>
      <c r="G368" s="214"/>
      <c r="H368" s="214"/>
      <c r="I368" s="214"/>
      <c r="J368" s="214"/>
      <c r="K368" s="214"/>
      <c r="L368" s="214"/>
      <c r="M368" s="214"/>
      <c r="N368" s="216"/>
      <c r="O368" s="216"/>
      <c r="P368" s="216"/>
      <c r="Q368" s="216"/>
      <c r="R368" s="216"/>
      <c r="S368" s="216"/>
      <c r="T368" s="216"/>
      <c r="U368" s="216"/>
      <c r="V368" s="216"/>
      <c r="W368" s="216"/>
      <c r="X368" s="216"/>
      <c r="Y368" s="216"/>
      <c r="Z368" s="216"/>
      <c r="AA368" s="216"/>
    </row>
    <row r="369" ht="15.0" customHeight="1">
      <c r="A369" s="214"/>
      <c r="B369" s="214"/>
      <c r="C369" s="214"/>
      <c r="D369" s="214"/>
      <c r="E369" s="214"/>
      <c r="F369" s="214"/>
      <c r="G369" s="214"/>
      <c r="H369" s="214"/>
      <c r="I369" s="214"/>
      <c r="J369" s="214"/>
      <c r="K369" s="214"/>
      <c r="L369" s="214"/>
      <c r="M369" s="214"/>
      <c r="N369" s="216"/>
      <c r="O369" s="216"/>
      <c r="P369" s="216"/>
      <c r="Q369" s="216"/>
      <c r="R369" s="216"/>
      <c r="S369" s="216"/>
      <c r="T369" s="216"/>
      <c r="U369" s="216"/>
      <c r="V369" s="216"/>
      <c r="W369" s="216"/>
      <c r="X369" s="216"/>
      <c r="Y369" s="216"/>
      <c r="Z369" s="216"/>
      <c r="AA369" s="216"/>
    </row>
    <row r="370" ht="15.0" customHeight="1">
      <c r="A370" s="214"/>
      <c r="B370" s="214"/>
      <c r="C370" s="214"/>
      <c r="D370" s="214"/>
      <c r="E370" s="214"/>
      <c r="F370" s="214"/>
      <c r="G370" s="214"/>
      <c r="H370" s="214"/>
      <c r="I370" s="214"/>
      <c r="J370" s="214"/>
      <c r="K370" s="214"/>
      <c r="L370" s="214"/>
      <c r="M370" s="214"/>
      <c r="N370" s="216"/>
      <c r="O370" s="216"/>
      <c r="P370" s="216"/>
      <c r="Q370" s="216"/>
      <c r="R370" s="216"/>
      <c r="S370" s="216"/>
      <c r="T370" s="216"/>
      <c r="U370" s="216"/>
      <c r="V370" s="216"/>
      <c r="W370" s="216"/>
      <c r="X370" s="216"/>
      <c r="Y370" s="216"/>
      <c r="Z370" s="216"/>
      <c r="AA370" s="216"/>
    </row>
    <row r="371" ht="15.0" customHeight="1">
      <c r="A371" s="214"/>
      <c r="B371" s="214"/>
      <c r="C371" s="214"/>
      <c r="D371" s="214"/>
      <c r="E371" s="214"/>
      <c r="F371" s="214"/>
      <c r="G371" s="214"/>
      <c r="H371" s="214"/>
      <c r="I371" s="214"/>
      <c r="J371" s="214"/>
      <c r="K371" s="214"/>
      <c r="L371" s="214"/>
      <c r="M371" s="214"/>
      <c r="N371" s="216"/>
      <c r="O371" s="216"/>
      <c r="P371" s="216"/>
      <c r="Q371" s="216"/>
      <c r="R371" s="216"/>
      <c r="S371" s="216"/>
      <c r="T371" s="216"/>
      <c r="U371" s="216"/>
      <c r="V371" s="216"/>
      <c r="W371" s="216"/>
      <c r="X371" s="216"/>
      <c r="Y371" s="216"/>
      <c r="Z371" s="216"/>
      <c r="AA371" s="216"/>
    </row>
    <row r="372" ht="15.0" customHeight="1">
      <c r="A372" s="214"/>
      <c r="B372" s="214"/>
      <c r="C372" s="214"/>
      <c r="D372" s="214"/>
      <c r="E372" s="214"/>
      <c r="F372" s="214"/>
      <c r="G372" s="214"/>
      <c r="H372" s="214"/>
      <c r="I372" s="214"/>
      <c r="J372" s="214"/>
      <c r="K372" s="214"/>
      <c r="L372" s="214"/>
      <c r="M372" s="214"/>
      <c r="N372" s="216"/>
      <c r="O372" s="216"/>
      <c r="P372" s="216"/>
      <c r="Q372" s="216"/>
      <c r="R372" s="216"/>
      <c r="S372" s="216"/>
      <c r="T372" s="216"/>
      <c r="U372" s="216"/>
      <c r="V372" s="216"/>
      <c r="W372" s="216"/>
      <c r="X372" s="216"/>
      <c r="Y372" s="216"/>
      <c r="Z372" s="216"/>
      <c r="AA372" s="216"/>
    </row>
    <row r="373" ht="15.0" customHeight="1">
      <c r="A373" s="214"/>
      <c r="B373" s="214"/>
      <c r="C373" s="214"/>
      <c r="D373" s="214"/>
      <c r="E373" s="214"/>
      <c r="F373" s="214"/>
      <c r="G373" s="214"/>
      <c r="H373" s="214"/>
      <c r="I373" s="214"/>
      <c r="J373" s="214"/>
      <c r="K373" s="214"/>
      <c r="L373" s="214"/>
      <c r="M373" s="214"/>
      <c r="N373" s="216"/>
      <c r="O373" s="216"/>
      <c r="P373" s="216"/>
      <c r="Q373" s="216"/>
      <c r="R373" s="216"/>
      <c r="S373" s="216"/>
      <c r="T373" s="216"/>
      <c r="U373" s="216"/>
      <c r="V373" s="216"/>
      <c r="W373" s="216"/>
      <c r="X373" s="216"/>
      <c r="Y373" s="216"/>
      <c r="Z373" s="216"/>
      <c r="AA373" s="216"/>
    </row>
    <row r="374" ht="15.0" customHeight="1">
      <c r="A374" s="214"/>
      <c r="B374" s="214"/>
      <c r="C374" s="214"/>
      <c r="D374" s="214"/>
      <c r="E374" s="214"/>
      <c r="F374" s="214"/>
      <c r="G374" s="214"/>
      <c r="H374" s="214"/>
      <c r="I374" s="214"/>
      <c r="J374" s="214"/>
      <c r="K374" s="214"/>
      <c r="L374" s="214"/>
      <c r="M374" s="214"/>
      <c r="N374" s="216"/>
      <c r="O374" s="216"/>
      <c r="P374" s="216"/>
      <c r="Q374" s="216"/>
      <c r="R374" s="216"/>
      <c r="S374" s="216"/>
      <c r="T374" s="216"/>
      <c r="U374" s="216"/>
      <c r="V374" s="216"/>
      <c r="W374" s="216"/>
      <c r="X374" s="216"/>
      <c r="Y374" s="216"/>
      <c r="Z374" s="216"/>
      <c r="AA374" s="216"/>
    </row>
    <row r="375" ht="15.0" customHeight="1">
      <c r="A375" s="214"/>
      <c r="B375" s="214"/>
      <c r="C375" s="214"/>
      <c r="D375" s="214"/>
      <c r="E375" s="214"/>
      <c r="F375" s="214"/>
      <c r="G375" s="214"/>
      <c r="H375" s="214"/>
      <c r="I375" s="214"/>
      <c r="J375" s="214"/>
      <c r="K375" s="214"/>
      <c r="L375" s="214"/>
      <c r="M375" s="214"/>
      <c r="N375" s="216"/>
      <c r="O375" s="216"/>
      <c r="P375" s="216"/>
      <c r="Q375" s="216"/>
      <c r="R375" s="216"/>
      <c r="S375" s="216"/>
      <c r="T375" s="216"/>
      <c r="U375" s="216"/>
      <c r="V375" s="216"/>
      <c r="W375" s="216"/>
      <c r="X375" s="216"/>
      <c r="Y375" s="216"/>
      <c r="Z375" s="216"/>
      <c r="AA375" s="216"/>
    </row>
    <row r="376" ht="15.0" customHeight="1">
      <c r="A376" s="214"/>
      <c r="B376" s="214"/>
      <c r="C376" s="214"/>
      <c r="D376" s="214"/>
      <c r="E376" s="214"/>
      <c r="F376" s="214"/>
      <c r="G376" s="214"/>
      <c r="H376" s="214"/>
      <c r="I376" s="214"/>
      <c r="J376" s="214"/>
      <c r="K376" s="214"/>
      <c r="L376" s="214"/>
      <c r="M376" s="214"/>
      <c r="N376" s="216"/>
      <c r="O376" s="216"/>
      <c r="P376" s="216"/>
      <c r="Q376" s="216"/>
      <c r="R376" s="216"/>
      <c r="S376" s="216"/>
      <c r="T376" s="216"/>
      <c r="U376" s="216"/>
      <c r="V376" s="216"/>
      <c r="W376" s="216"/>
      <c r="X376" s="216"/>
      <c r="Y376" s="216"/>
      <c r="Z376" s="216"/>
      <c r="AA376" s="216"/>
    </row>
    <row r="377" ht="15.0" customHeight="1">
      <c r="A377" s="214"/>
      <c r="B377" s="214"/>
      <c r="C377" s="214"/>
      <c r="D377" s="214"/>
      <c r="E377" s="214"/>
      <c r="F377" s="214"/>
      <c r="G377" s="214"/>
      <c r="H377" s="214"/>
      <c r="I377" s="214"/>
      <c r="J377" s="214"/>
      <c r="K377" s="214"/>
      <c r="L377" s="214"/>
      <c r="M377" s="214"/>
      <c r="N377" s="216"/>
      <c r="O377" s="216"/>
      <c r="P377" s="216"/>
      <c r="Q377" s="216"/>
      <c r="R377" s="216"/>
      <c r="S377" s="216"/>
      <c r="T377" s="216"/>
      <c r="U377" s="216"/>
      <c r="V377" s="216"/>
      <c r="W377" s="216"/>
      <c r="X377" s="216"/>
      <c r="Y377" s="216"/>
      <c r="Z377" s="216"/>
      <c r="AA377" s="216"/>
    </row>
    <row r="378" ht="15.0" customHeight="1">
      <c r="A378" s="214"/>
      <c r="B378" s="214"/>
      <c r="C378" s="214"/>
      <c r="D378" s="214"/>
      <c r="E378" s="214"/>
      <c r="F378" s="214"/>
      <c r="G378" s="214"/>
      <c r="H378" s="214"/>
      <c r="I378" s="214"/>
      <c r="J378" s="214"/>
      <c r="K378" s="214"/>
      <c r="L378" s="214"/>
      <c r="M378" s="214"/>
      <c r="N378" s="216"/>
      <c r="O378" s="216"/>
      <c r="P378" s="216"/>
      <c r="Q378" s="216"/>
      <c r="R378" s="216"/>
      <c r="S378" s="216"/>
      <c r="T378" s="216"/>
      <c r="U378" s="216"/>
      <c r="V378" s="216"/>
      <c r="W378" s="216"/>
      <c r="X378" s="216"/>
      <c r="Y378" s="216"/>
      <c r="Z378" s="216"/>
      <c r="AA378" s="216"/>
    </row>
    <row r="379" ht="15.0" customHeight="1">
      <c r="A379" s="214"/>
      <c r="B379" s="214"/>
      <c r="C379" s="214"/>
      <c r="D379" s="214"/>
      <c r="E379" s="214"/>
      <c r="F379" s="214"/>
      <c r="G379" s="214"/>
      <c r="H379" s="214"/>
      <c r="I379" s="214"/>
      <c r="J379" s="214"/>
      <c r="K379" s="214"/>
      <c r="L379" s="214"/>
      <c r="M379" s="214"/>
      <c r="N379" s="216"/>
      <c r="O379" s="216"/>
      <c r="P379" s="216"/>
      <c r="Q379" s="216"/>
      <c r="R379" s="216"/>
      <c r="S379" s="216"/>
      <c r="T379" s="216"/>
      <c r="U379" s="216"/>
      <c r="V379" s="216"/>
      <c r="W379" s="216"/>
      <c r="X379" s="216"/>
      <c r="Y379" s="216"/>
      <c r="Z379" s="216"/>
      <c r="AA379" s="216"/>
    </row>
    <row r="380" ht="15.0" customHeight="1">
      <c r="A380" s="214"/>
      <c r="B380" s="214"/>
      <c r="C380" s="214"/>
      <c r="D380" s="214"/>
      <c r="E380" s="214"/>
      <c r="F380" s="214"/>
      <c r="G380" s="214"/>
      <c r="H380" s="214"/>
      <c r="I380" s="214"/>
      <c r="J380" s="214"/>
      <c r="K380" s="214"/>
      <c r="L380" s="214"/>
      <c r="M380" s="214"/>
      <c r="N380" s="216"/>
      <c r="O380" s="216"/>
      <c r="P380" s="216"/>
      <c r="Q380" s="216"/>
      <c r="R380" s="216"/>
      <c r="S380" s="216"/>
      <c r="T380" s="216"/>
      <c r="U380" s="216"/>
      <c r="V380" s="216"/>
      <c r="W380" s="216"/>
      <c r="X380" s="216"/>
      <c r="Y380" s="216"/>
      <c r="Z380" s="216"/>
      <c r="AA380" s="216"/>
    </row>
    <row r="381" ht="15.0" customHeight="1">
      <c r="A381" s="214"/>
      <c r="B381" s="214"/>
      <c r="C381" s="214"/>
      <c r="D381" s="214"/>
      <c r="E381" s="214"/>
      <c r="F381" s="214"/>
      <c r="G381" s="214"/>
      <c r="H381" s="214"/>
      <c r="I381" s="214"/>
      <c r="J381" s="214"/>
      <c r="K381" s="214"/>
      <c r="L381" s="214"/>
      <c r="M381" s="214"/>
      <c r="N381" s="216"/>
      <c r="O381" s="216"/>
      <c r="P381" s="216"/>
      <c r="Q381" s="216"/>
      <c r="R381" s="216"/>
      <c r="S381" s="216"/>
      <c r="T381" s="216"/>
      <c r="U381" s="216"/>
      <c r="V381" s="216"/>
      <c r="W381" s="216"/>
      <c r="X381" s="216"/>
      <c r="Y381" s="216"/>
      <c r="Z381" s="216"/>
      <c r="AA381" s="216"/>
    </row>
    <row r="382" ht="15.0" customHeight="1">
      <c r="A382" s="214"/>
      <c r="B382" s="214"/>
      <c r="C382" s="214"/>
      <c r="D382" s="214"/>
      <c r="E382" s="214"/>
      <c r="F382" s="214"/>
      <c r="G382" s="214"/>
      <c r="H382" s="214"/>
      <c r="I382" s="214"/>
      <c r="J382" s="214"/>
      <c r="K382" s="214"/>
      <c r="L382" s="214"/>
      <c r="M382" s="214"/>
      <c r="N382" s="216"/>
      <c r="O382" s="216"/>
      <c r="P382" s="216"/>
      <c r="Q382" s="216"/>
      <c r="R382" s="216"/>
      <c r="S382" s="216"/>
      <c r="T382" s="216"/>
      <c r="U382" s="216"/>
      <c r="V382" s="216"/>
      <c r="W382" s="216"/>
      <c r="X382" s="216"/>
      <c r="Y382" s="216"/>
      <c r="Z382" s="216"/>
      <c r="AA382" s="216"/>
    </row>
    <row r="383" ht="15.0" customHeight="1">
      <c r="A383" s="214"/>
      <c r="B383" s="214"/>
      <c r="C383" s="214"/>
      <c r="D383" s="214"/>
      <c r="E383" s="214"/>
      <c r="F383" s="214"/>
      <c r="G383" s="214"/>
      <c r="H383" s="214"/>
      <c r="I383" s="214"/>
      <c r="J383" s="214"/>
      <c r="K383" s="214"/>
      <c r="L383" s="214"/>
      <c r="M383" s="214"/>
      <c r="N383" s="216"/>
      <c r="O383" s="216"/>
      <c r="P383" s="216"/>
      <c r="Q383" s="216"/>
      <c r="R383" s="216"/>
      <c r="S383" s="216"/>
      <c r="T383" s="216"/>
      <c r="U383" s="216"/>
      <c r="V383" s="216"/>
      <c r="W383" s="216"/>
      <c r="X383" s="216"/>
      <c r="Y383" s="216"/>
      <c r="Z383" s="216"/>
      <c r="AA383" s="216"/>
    </row>
    <row r="384" ht="15.0" customHeight="1">
      <c r="A384" s="214"/>
      <c r="B384" s="214"/>
      <c r="C384" s="214"/>
      <c r="D384" s="214"/>
      <c r="E384" s="214"/>
      <c r="F384" s="214"/>
      <c r="G384" s="214"/>
      <c r="H384" s="214"/>
      <c r="I384" s="214"/>
      <c r="J384" s="214"/>
      <c r="K384" s="214"/>
      <c r="L384" s="214"/>
      <c r="M384" s="214"/>
      <c r="N384" s="216"/>
      <c r="O384" s="216"/>
      <c r="P384" s="216"/>
      <c r="Q384" s="216"/>
      <c r="R384" s="216"/>
      <c r="S384" s="216"/>
      <c r="T384" s="216"/>
      <c r="U384" s="216"/>
      <c r="V384" s="216"/>
      <c r="W384" s="216"/>
      <c r="X384" s="216"/>
      <c r="Y384" s="216"/>
      <c r="Z384" s="216"/>
      <c r="AA384" s="216"/>
    </row>
    <row r="385" ht="15.0" customHeight="1">
      <c r="A385" s="214"/>
      <c r="B385" s="214"/>
      <c r="C385" s="214"/>
      <c r="D385" s="214"/>
      <c r="E385" s="214"/>
      <c r="F385" s="214"/>
      <c r="G385" s="214"/>
      <c r="H385" s="214"/>
      <c r="I385" s="214"/>
      <c r="J385" s="214"/>
      <c r="K385" s="214"/>
      <c r="L385" s="214"/>
      <c r="M385" s="214"/>
      <c r="N385" s="216"/>
      <c r="O385" s="216"/>
      <c r="P385" s="216"/>
      <c r="Q385" s="216"/>
      <c r="R385" s="216"/>
      <c r="S385" s="216"/>
      <c r="T385" s="216"/>
      <c r="U385" s="216"/>
      <c r="V385" s="216"/>
      <c r="W385" s="216"/>
      <c r="X385" s="216"/>
      <c r="Y385" s="216"/>
      <c r="Z385" s="216"/>
      <c r="AA385" s="216"/>
    </row>
    <row r="386" ht="15.0" customHeight="1">
      <c r="A386" s="214"/>
      <c r="B386" s="214"/>
      <c r="C386" s="214"/>
      <c r="D386" s="214"/>
      <c r="E386" s="214"/>
      <c r="F386" s="214"/>
      <c r="G386" s="214"/>
      <c r="H386" s="214"/>
      <c r="I386" s="214"/>
      <c r="J386" s="214"/>
      <c r="K386" s="214"/>
      <c r="L386" s="214"/>
      <c r="M386" s="214"/>
      <c r="N386" s="216"/>
      <c r="O386" s="216"/>
      <c r="P386" s="216"/>
      <c r="Q386" s="216"/>
      <c r="R386" s="216"/>
      <c r="S386" s="216"/>
      <c r="T386" s="216"/>
      <c r="U386" s="216"/>
      <c r="V386" s="216"/>
      <c r="W386" s="216"/>
      <c r="X386" s="216"/>
      <c r="Y386" s="216"/>
      <c r="Z386" s="216"/>
      <c r="AA386" s="216"/>
    </row>
    <row r="387" ht="15.0" customHeight="1">
      <c r="A387" s="214"/>
      <c r="B387" s="214"/>
      <c r="C387" s="214"/>
      <c r="D387" s="214"/>
      <c r="E387" s="214"/>
      <c r="F387" s="214"/>
      <c r="G387" s="214"/>
      <c r="H387" s="214"/>
      <c r="I387" s="214"/>
      <c r="J387" s="214"/>
      <c r="K387" s="214"/>
      <c r="L387" s="214"/>
      <c r="M387" s="214"/>
      <c r="N387" s="216"/>
      <c r="O387" s="216"/>
      <c r="P387" s="216"/>
      <c r="Q387" s="216"/>
      <c r="R387" s="216"/>
      <c r="S387" s="216"/>
      <c r="T387" s="216"/>
      <c r="U387" s="216"/>
      <c r="V387" s="216"/>
      <c r="W387" s="216"/>
      <c r="X387" s="216"/>
      <c r="Y387" s="216"/>
      <c r="Z387" s="216"/>
      <c r="AA387" s="216"/>
    </row>
    <row r="388" ht="15.0" customHeight="1">
      <c r="A388" s="214"/>
      <c r="B388" s="214"/>
      <c r="C388" s="214"/>
      <c r="D388" s="214"/>
      <c r="E388" s="214"/>
      <c r="F388" s="214"/>
      <c r="G388" s="214"/>
      <c r="H388" s="214"/>
      <c r="I388" s="214"/>
      <c r="J388" s="214"/>
      <c r="K388" s="214"/>
      <c r="L388" s="214"/>
      <c r="M388" s="214"/>
      <c r="N388" s="216"/>
      <c r="O388" s="216"/>
      <c r="P388" s="216"/>
      <c r="Q388" s="216"/>
      <c r="R388" s="216"/>
      <c r="S388" s="216"/>
      <c r="T388" s="216"/>
      <c r="U388" s="216"/>
      <c r="V388" s="216"/>
      <c r="W388" s="216"/>
      <c r="X388" s="216"/>
      <c r="Y388" s="216"/>
      <c r="Z388" s="216"/>
      <c r="AA388" s="216"/>
    </row>
    <row r="389" ht="15.0" customHeight="1">
      <c r="A389" s="214"/>
      <c r="B389" s="214"/>
      <c r="C389" s="214"/>
      <c r="D389" s="214"/>
      <c r="E389" s="214"/>
      <c r="F389" s="214"/>
      <c r="G389" s="214"/>
      <c r="H389" s="214"/>
      <c r="I389" s="214"/>
      <c r="J389" s="214"/>
      <c r="K389" s="214"/>
      <c r="L389" s="214"/>
      <c r="M389" s="214"/>
      <c r="N389" s="216"/>
      <c r="O389" s="216"/>
      <c r="P389" s="216"/>
      <c r="Q389" s="216"/>
      <c r="R389" s="216"/>
      <c r="S389" s="216"/>
      <c r="T389" s="216"/>
      <c r="U389" s="216"/>
      <c r="V389" s="216"/>
      <c r="W389" s="216"/>
      <c r="X389" s="216"/>
      <c r="Y389" s="216"/>
      <c r="Z389" s="216"/>
      <c r="AA389" s="216"/>
    </row>
    <row r="390" ht="15.0" customHeight="1">
      <c r="A390" s="214"/>
      <c r="B390" s="214"/>
      <c r="C390" s="214"/>
      <c r="D390" s="214"/>
      <c r="E390" s="214"/>
      <c r="F390" s="214"/>
      <c r="G390" s="214"/>
      <c r="H390" s="214"/>
      <c r="I390" s="214"/>
      <c r="J390" s="214"/>
      <c r="K390" s="214"/>
      <c r="L390" s="214"/>
      <c r="M390" s="214"/>
      <c r="N390" s="216"/>
      <c r="O390" s="216"/>
      <c r="P390" s="216"/>
      <c r="Q390" s="216"/>
      <c r="R390" s="216"/>
      <c r="S390" s="216"/>
      <c r="T390" s="216"/>
      <c r="U390" s="216"/>
      <c r="V390" s="216"/>
      <c r="W390" s="216"/>
      <c r="X390" s="216"/>
      <c r="Y390" s="216"/>
      <c r="Z390" s="216"/>
      <c r="AA390" s="216"/>
    </row>
    <row r="391" ht="15.0" customHeight="1">
      <c r="A391" s="214"/>
      <c r="B391" s="214"/>
      <c r="C391" s="214"/>
      <c r="D391" s="214"/>
      <c r="E391" s="214"/>
      <c r="F391" s="214"/>
      <c r="G391" s="214"/>
      <c r="H391" s="214"/>
      <c r="I391" s="214"/>
      <c r="J391" s="214"/>
      <c r="K391" s="214"/>
      <c r="L391" s="214"/>
      <c r="M391" s="214"/>
      <c r="N391" s="216"/>
      <c r="O391" s="216"/>
      <c r="P391" s="216"/>
      <c r="Q391" s="216"/>
      <c r="R391" s="216"/>
      <c r="S391" s="216"/>
      <c r="T391" s="216"/>
      <c r="U391" s="216"/>
      <c r="V391" s="216"/>
      <c r="W391" s="216"/>
      <c r="X391" s="216"/>
      <c r="Y391" s="216"/>
      <c r="Z391" s="216"/>
      <c r="AA391" s="216"/>
    </row>
    <row r="392" ht="15.0" customHeight="1">
      <c r="A392" s="214"/>
      <c r="B392" s="214"/>
      <c r="C392" s="214"/>
      <c r="D392" s="214"/>
      <c r="E392" s="214"/>
      <c r="F392" s="214"/>
      <c r="G392" s="214"/>
      <c r="H392" s="214"/>
      <c r="I392" s="214"/>
      <c r="J392" s="214"/>
      <c r="K392" s="214"/>
      <c r="L392" s="214"/>
      <c r="M392" s="214"/>
      <c r="N392" s="216"/>
      <c r="O392" s="216"/>
      <c r="P392" s="216"/>
      <c r="Q392" s="216"/>
      <c r="R392" s="216"/>
      <c r="S392" s="216"/>
      <c r="T392" s="216"/>
      <c r="U392" s="216"/>
      <c r="V392" s="216"/>
      <c r="W392" s="216"/>
      <c r="X392" s="216"/>
      <c r="Y392" s="216"/>
      <c r="Z392" s="216"/>
      <c r="AA392" s="216"/>
    </row>
    <row r="393" ht="15.0" customHeight="1">
      <c r="A393" s="214"/>
      <c r="B393" s="214"/>
      <c r="C393" s="214"/>
      <c r="D393" s="214"/>
      <c r="E393" s="214"/>
      <c r="F393" s="214"/>
      <c r="G393" s="214"/>
      <c r="H393" s="214"/>
      <c r="I393" s="214"/>
      <c r="J393" s="214"/>
      <c r="K393" s="214"/>
      <c r="L393" s="214"/>
      <c r="M393" s="214"/>
      <c r="N393" s="216"/>
      <c r="O393" s="216"/>
      <c r="P393" s="216"/>
      <c r="Q393" s="216"/>
      <c r="R393" s="216"/>
      <c r="S393" s="216"/>
      <c r="T393" s="216"/>
      <c r="U393" s="216"/>
      <c r="V393" s="216"/>
      <c r="W393" s="216"/>
      <c r="X393" s="216"/>
      <c r="Y393" s="216"/>
      <c r="Z393" s="216"/>
      <c r="AA393" s="216"/>
    </row>
    <row r="394" ht="15.0" customHeight="1">
      <c r="A394" s="214"/>
      <c r="B394" s="214"/>
      <c r="C394" s="214"/>
      <c r="D394" s="214"/>
      <c r="E394" s="214"/>
      <c r="F394" s="214"/>
      <c r="G394" s="214"/>
      <c r="H394" s="214"/>
      <c r="I394" s="214"/>
      <c r="J394" s="214"/>
      <c r="K394" s="214"/>
      <c r="L394" s="214"/>
      <c r="M394" s="214"/>
      <c r="N394" s="216"/>
      <c r="O394" s="216"/>
      <c r="P394" s="216"/>
      <c r="Q394" s="216"/>
      <c r="R394" s="216"/>
      <c r="S394" s="216"/>
      <c r="T394" s="216"/>
      <c r="U394" s="216"/>
      <c r="V394" s="216"/>
      <c r="W394" s="216"/>
      <c r="X394" s="216"/>
      <c r="Y394" s="216"/>
      <c r="Z394" s="216"/>
      <c r="AA394" s="216"/>
    </row>
    <row r="395" ht="15.0" customHeight="1">
      <c r="A395" s="214"/>
      <c r="B395" s="214"/>
      <c r="C395" s="214"/>
      <c r="D395" s="214"/>
      <c r="E395" s="214"/>
      <c r="F395" s="214"/>
      <c r="G395" s="214"/>
      <c r="H395" s="214"/>
      <c r="I395" s="214"/>
      <c r="J395" s="214"/>
      <c r="K395" s="214"/>
      <c r="L395" s="214"/>
      <c r="M395" s="214"/>
      <c r="N395" s="216"/>
      <c r="O395" s="216"/>
      <c r="P395" s="216"/>
      <c r="Q395" s="216"/>
      <c r="R395" s="216"/>
      <c r="S395" s="216"/>
      <c r="T395" s="216"/>
      <c r="U395" s="216"/>
      <c r="V395" s="216"/>
      <c r="W395" s="216"/>
      <c r="X395" s="216"/>
      <c r="Y395" s="216"/>
      <c r="Z395" s="216"/>
      <c r="AA395" s="216"/>
    </row>
    <row r="396" ht="15.0" customHeight="1">
      <c r="A396" s="214"/>
      <c r="B396" s="214"/>
      <c r="C396" s="214"/>
      <c r="D396" s="214"/>
      <c r="E396" s="214"/>
      <c r="F396" s="214"/>
      <c r="G396" s="214"/>
      <c r="H396" s="214"/>
      <c r="I396" s="214"/>
      <c r="J396" s="214"/>
      <c r="K396" s="214"/>
      <c r="L396" s="214"/>
      <c r="M396" s="214"/>
      <c r="N396" s="216"/>
      <c r="O396" s="216"/>
      <c r="P396" s="216"/>
      <c r="Q396" s="216"/>
      <c r="R396" s="216"/>
      <c r="S396" s="216"/>
      <c r="T396" s="216"/>
      <c r="U396" s="216"/>
      <c r="V396" s="216"/>
      <c r="W396" s="216"/>
      <c r="X396" s="216"/>
      <c r="Y396" s="216"/>
      <c r="Z396" s="216"/>
      <c r="AA396" s="216"/>
    </row>
    <row r="397" ht="15.0" customHeight="1">
      <c r="A397" s="214"/>
      <c r="B397" s="214"/>
      <c r="C397" s="214"/>
      <c r="D397" s="214"/>
      <c r="E397" s="214"/>
      <c r="F397" s="214"/>
      <c r="G397" s="214"/>
      <c r="H397" s="214"/>
      <c r="I397" s="214"/>
      <c r="J397" s="214"/>
      <c r="K397" s="214"/>
      <c r="L397" s="214"/>
      <c r="M397" s="214"/>
      <c r="N397" s="216"/>
      <c r="O397" s="216"/>
      <c r="P397" s="216"/>
      <c r="Q397" s="216"/>
      <c r="R397" s="216"/>
      <c r="S397" s="216"/>
      <c r="T397" s="216"/>
      <c r="U397" s="216"/>
      <c r="V397" s="216"/>
      <c r="W397" s="216"/>
      <c r="X397" s="216"/>
      <c r="Y397" s="216"/>
      <c r="Z397" s="216"/>
      <c r="AA397" s="216"/>
    </row>
    <row r="398" ht="15.0" customHeight="1">
      <c r="A398" s="214"/>
      <c r="B398" s="214"/>
      <c r="C398" s="214"/>
      <c r="D398" s="214"/>
      <c r="E398" s="214"/>
      <c r="F398" s="214"/>
      <c r="G398" s="214"/>
      <c r="H398" s="214"/>
      <c r="I398" s="214"/>
      <c r="J398" s="214"/>
      <c r="K398" s="214"/>
      <c r="L398" s="214"/>
      <c r="M398" s="214"/>
      <c r="N398" s="216"/>
      <c r="O398" s="216"/>
      <c r="P398" s="216"/>
      <c r="Q398" s="216"/>
      <c r="R398" s="216"/>
      <c r="S398" s="216"/>
      <c r="T398" s="216"/>
      <c r="U398" s="216"/>
      <c r="V398" s="216"/>
      <c r="W398" s="216"/>
      <c r="X398" s="216"/>
      <c r="Y398" s="216"/>
      <c r="Z398" s="216"/>
      <c r="AA398" s="216"/>
    </row>
    <row r="399" ht="15.0" customHeight="1">
      <c r="A399" s="214"/>
      <c r="B399" s="214"/>
      <c r="C399" s="214"/>
      <c r="D399" s="214"/>
      <c r="E399" s="214"/>
      <c r="F399" s="214"/>
      <c r="G399" s="214"/>
      <c r="H399" s="214"/>
      <c r="I399" s="214"/>
      <c r="J399" s="214"/>
      <c r="K399" s="214"/>
      <c r="L399" s="214"/>
      <c r="M399" s="214"/>
      <c r="N399" s="216"/>
      <c r="O399" s="216"/>
      <c r="P399" s="216"/>
      <c r="Q399" s="216"/>
      <c r="R399" s="216"/>
      <c r="S399" s="216"/>
      <c r="T399" s="216"/>
      <c r="U399" s="216"/>
      <c r="V399" s="216"/>
      <c r="W399" s="216"/>
      <c r="X399" s="216"/>
      <c r="Y399" s="216"/>
      <c r="Z399" s="216"/>
      <c r="AA399" s="216"/>
    </row>
    <row r="400" ht="15.0" customHeight="1">
      <c r="A400" s="214"/>
      <c r="B400" s="214"/>
      <c r="C400" s="214"/>
      <c r="D400" s="214"/>
      <c r="E400" s="214"/>
      <c r="F400" s="214"/>
      <c r="G400" s="214"/>
      <c r="H400" s="214"/>
      <c r="I400" s="214"/>
      <c r="J400" s="214"/>
      <c r="K400" s="214"/>
      <c r="L400" s="214"/>
      <c r="M400" s="214"/>
      <c r="N400" s="216"/>
      <c r="O400" s="216"/>
      <c r="P400" s="216"/>
      <c r="Q400" s="216"/>
      <c r="R400" s="216"/>
      <c r="S400" s="216"/>
      <c r="T400" s="216"/>
      <c r="U400" s="216"/>
      <c r="V400" s="216"/>
      <c r="W400" s="216"/>
      <c r="X400" s="216"/>
      <c r="Y400" s="216"/>
      <c r="Z400" s="216"/>
      <c r="AA400" s="216"/>
    </row>
    <row r="401" ht="15.0" customHeight="1">
      <c r="A401" s="214"/>
      <c r="B401" s="214"/>
      <c r="C401" s="214"/>
      <c r="D401" s="214"/>
      <c r="E401" s="214"/>
      <c r="F401" s="214"/>
      <c r="G401" s="214"/>
      <c r="H401" s="214"/>
      <c r="I401" s="214"/>
      <c r="J401" s="214"/>
      <c r="K401" s="214"/>
      <c r="L401" s="214"/>
      <c r="M401" s="214"/>
      <c r="N401" s="216"/>
      <c r="O401" s="216"/>
      <c r="P401" s="216"/>
      <c r="Q401" s="216"/>
      <c r="R401" s="216"/>
      <c r="S401" s="216"/>
      <c r="T401" s="216"/>
      <c r="U401" s="216"/>
      <c r="V401" s="216"/>
      <c r="W401" s="216"/>
      <c r="X401" s="216"/>
      <c r="Y401" s="216"/>
      <c r="Z401" s="216"/>
      <c r="AA401" s="216"/>
    </row>
    <row r="402" ht="15.0" customHeight="1">
      <c r="A402" s="214"/>
      <c r="B402" s="214"/>
      <c r="C402" s="214"/>
      <c r="D402" s="214"/>
      <c r="E402" s="214"/>
      <c r="F402" s="214"/>
      <c r="G402" s="214"/>
      <c r="H402" s="214"/>
      <c r="I402" s="214"/>
      <c r="J402" s="214"/>
      <c r="K402" s="214"/>
      <c r="L402" s="214"/>
      <c r="M402" s="214"/>
      <c r="N402" s="216"/>
      <c r="O402" s="216"/>
      <c r="P402" s="216"/>
      <c r="Q402" s="216"/>
      <c r="R402" s="216"/>
      <c r="S402" s="216"/>
      <c r="T402" s="216"/>
      <c r="U402" s="216"/>
      <c r="V402" s="216"/>
      <c r="W402" s="216"/>
      <c r="X402" s="216"/>
      <c r="Y402" s="216"/>
      <c r="Z402" s="216"/>
      <c r="AA402" s="216"/>
    </row>
    <row r="403" ht="15.0" customHeight="1">
      <c r="A403" s="214"/>
      <c r="B403" s="214"/>
      <c r="C403" s="214"/>
      <c r="D403" s="214"/>
      <c r="E403" s="214"/>
      <c r="F403" s="214"/>
      <c r="G403" s="214"/>
      <c r="H403" s="214"/>
      <c r="I403" s="214"/>
      <c r="J403" s="214"/>
      <c r="K403" s="214"/>
      <c r="L403" s="214"/>
      <c r="M403" s="214"/>
      <c r="N403" s="216"/>
      <c r="O403" s="216"/>
      <c r="P403" s="216"/>
      <c r="Q403" s="216"/>
      <c r="R403" s="216"/>
      <c r="S403" s="216"/>
      <c r="T403" s="216"/>
      <c r="U403" s="216"/>
      <c r="V403" s="216"/>
      <c r="W403" s="216"/>
      <c r="X403" s="216"/>
      <c r="Y403" s="216"/>
      <c r="Z403" s="216"/>
      <c r="AA403" s="216"/>
    </row>
    <row r="404" ht="15.0" customHeight="1">
      <c r="A404" s="214"/>
      <c r="B404" s="214"/>
      <c r="C404" s="214"/>
      <c r="D404" s="214"/>
      <c r="E404" s="214"/>
      <c r="F404" s="214"/>
      <c r="G404" s="214"/>
      <c r="H404" s="214"/>
      <c r="I404" s="214"/>
      <c r="J404" s="214"/>
      <c r="K404" s="214"/>
      <c r="L404" s="214"/>
      <c r="M404" s="214"/>
      <c r="N404" s="216"/>
      <c r="O404" s="216"/>
      <c r="P404" s="216"/>
      <c r="Q404" s="216"/>
      <c r="R404" s="216"/>
      <c r="S404" s="216"/>
      <c r="T404" s="216"/>
      <c r="U404" s="216"/>
      <c r="V404" s="216"/>
      <c r="W404" s="216"/>
      <c r="X404" s="216"/>
      <c r="Y404" s="216"/>
      <c r="Z404" s="216"/>
      <c r="AA404" s="216"/>
    </row>
    <row r="405" ht="15.0" customHeight="1">
      <c r="A405" s="214"/>
      <c r="B405" s="214"/>
      <c r="C405" s="214"/>
      <c r="D405" s="214"/>
      <c r="E405" s="214"/>
      <c r="F405" s="214"/>
      <c r="G405" s="214"/>
      <c r="H405" s="214"/>
      <c r="I405" s="214"/>
      <c r="J405" s="214"/>
      <c r="K405" s="214"/>
      <c r="L405" s="214"/>
      <c r="M405" s="214"/>
      <c r="N405" s="216"/>
      <c r="O405" s="216"/>
      <c r="P405" s="216"/>
      <c r="Q405" s="216"/>
      <c r="R405" s="216"/>
      <c r="S405" s="216"/>
      <c r="T405" s="216"/>
      <c r="U405" s="216"/>
      <c r="V405" s="216"/>
      <c r="W405" s="216"/>
      <c r="X405" s="216"/>
      <c r="Y405" s="216"/>
      <c r="Z405" s="216"/>
      <c r="AA405" s="216"/>
    </row>
    <row r="406" ht="15.0" customHeight="1">
      <c r="A406" s="214"/>
      <c r="B406" s="214"/>
      <c r="C406" s="214"/>
      <c r="D406" s="214"/>
      <c r="E406" s="214"/>
      <c r="F406" s="214"/>
      <c r="G406" s="214"/>
      <c r="H406" s="214"/>
      <c r="I406" s="214"/>
      <c r="J406" s="214"/>
      <c r="K406" s="214"/>
      <c r="L406" s="214"/>
      <c r="M406" s="214"/>
      <c r="N406" s="216"/>
      <c r="O406" s="216"/>
      <c r="P406" s="216"/>
      <c r="Q406" s="216"/>
      <c r="R406" s="216"/>
      <c r="S406" s="216"/>
      <c r="T406" s="216"/>
      <c r="U406" s="216"/>
      <c r="V406" s="216"/>
      <c r="W406" s="216"/>
      <c r="X406" s="216"/>
      <c r="Y406" s="216"/>
      <c r="Z406" s="216"/>
      <c r="AA406" s="216"/>
    </row>
    <row r="407" ht="15.0" customHeight="1">
      <c r="A407" s="214"/>
      <c r="B407" s="214"/>
      <c r="C407" s="214"/>
      <c r="D407" s="214"/>
      <c r="E407" s="214"/>
      <c r="F407" s="214"/>
      <c r="G407" s="214"/>
      <c r="H407" s="214"/>
      <c r="I407" s="214"/>
      <c r="J407" s="214"/>
      <c r="K407" s="214"/>
      <c r="L407" s="214"/>
      <c r="M407" s="214"/>
      <c r="N407" s="216"/>
      <c r="O407" s="216"/>
      <c r="P407" s="216"/>
      <c r="Q407" s="216"/>
      <c r="R407" s="216"/>
      <c r="S407" s="216"/>
      <c r="T407" s="216"/>
      <c r="U407" s="216"/>
      <c r="V407" s="216"/>
      <c r="W407" s="216"/>
      <c r="X407" s="216"/>
      <c r="Y407" s="216"/>
      <c r="Z407" s="216"/>
      <c r="AA407" s="216"/>
    </row>
    <row r="408" ht="15.0" customHeight="1">
      <c r="A408" s="214"/>
      <c r="B408" s="214"/>
      <c r="C408" s="214"/>
      <c r="D408" s="214"/>
      <c r="E408" s="214"/>
      <c r="F408" s="214"/>
      <c r="G408" s="214"/>
      <c r="H408" s="214"/>
      <c r="I408" s="214"/>
      <c r="J408" s="214"/>
      <c r="K408" s="214"/>
      <c r="L408" s="214"/>
      <c r="M408" s="214"/>
      <c r="N408" s="216"/>
      <c r="O408" s="216"/>
      <c r="P408" s="216"/>
      <c r="Q408" s="216"/>
      <c r="R408" s="216"/>
      <c r="S408" s="216"/>
      <c r="T408" s="216"/>
      <c r="U408" s="216"/>
      <c r="V408" s="216"/>
      <c r="W408" s="216"/>
      <c r="X408" s="216"/>
      <c r="Y408" s="216"/>
      <c r="Z408" s="216"/>
      <c r="AA408" s="216"/>
    </row>
    <row r="409" ht="15.0" customHeight="1">
      <c r="A409" s="214"/>
      <c r="B409" s="214"/>
      <c r="C409" s="214"/>
      <c r="D409" s="214"/>
      <c r="E409" s="214"/>
      <c r="F409" s="214"/>
      <c r="G409" s="214"/>
      <c r="H409" s="214"/>
      <c r="I409" s="214"/>
      <c r="J409" s="214"/>
      <c r="K409" s="214"/>
      <c r="L409" s="214"/>
      <c r="M409" s="214"/>
      <c r="N409" s="216"/>
      <c r="O409" s="216"/>
      <c r="P409" s="216"/>
      <c r="Q409" s="216"/>
      <c r="R409" s="216"/>
      <c r="S409" s="216"/>
      <c r="T409" s="216"/>
      <c r="U409" s="216"/>
      <c r="V409" s="216"/>
      <c r="W409" s="216"/>
      <c r="X409" s="216"/>
      <c r="Y409" s="216"/>
      <c r="Z409" s="216"/>
      <c r="AA409" s="216"/>
    </row>
    <row r="410" ht="15.0" customHeight="1">
      <c r="A410" s="214"/>
      <c r="B410" s="214"/>
      <c r="C410" s="214"/>
      <c r="D410" s="214"/>
      <c r="E410" s="214"/>
      <c r="F410" s="214"/>
      <c r="G410" s="214"/>
      <c r="H410" s="214"/>
      <c r="I410" s="214"/>
      <c r="J410" s="214"/>
      <c r="K410" s="214"/>
      <c r="L410" s="214"/>
      <c r="M410" s="214"/>
      <c r="N410" s="216"/>
      <c r="O410" s="216"/>
      <c r="P410" s="216"/>
      <c r="Q410" s="216"/>
      <c r="R410" s="216"/>
      <c r="S410" s="216"/>
      <c r="T410" s="216"/>
      <c r="U410" s="216"/>
      <c r="V410" s="216"/>
      <c r="W410" s="216"/>
      <c r="X410" s="216"/>
      <c r="Y410" s="216"/>
      <c r="Z410" s="216"/>
      <c r="AA410" s="216"/>
    </row>
    <row r="411" ht="15.0" customHeight="1">
      <c r="A411" s="214"/>
      <c r="B411" s="214"/>
      <c r="C411" s="214"/>
      <c r="D411" s="214"/>
      <c r="E411" s="214"/>
      <c r="F411" s="214"/>
      <c r="G411" s="214"/>
      <c r="H411" s="214"/>
      <c r="I411" s="214"/>
      <c r="J411" s="214"/>
      <c r="K411" s="214"/>
      <c r="L411" s="214"/>
      <c r="M411" s="214"/>
      <c r="N411" s="216"/>
      <c r="O411" s="216"/>
      <c r="P411" s="216"/>
      <c r="Q411" s="216"/>
      <c r="R411" s="216"/>
      <c r="S411" s="216"/>
      <c r="T411" s="216"/>
      <c r="U411" s="216"/>
      <c r="V411" s="216"/>
      <c r="W411" s="216"/>
      <c r="X411" s="216"/>
      <c r="Y411" s="216"/>
      <c r="Z411" s="216"/>
      <c r="AA411" s="216"/>
    </row>
    <row r="412" ht="15.0" customHeight="1">
      <c r="A412" s="214"/>
      <c r="B412" s="214"/>
      <c r="C412" s="214"/>
      <c r="D412" s="214"/>
      <c r="E412" s="214"/>
      <c r="F412" s="214"/>
      <c r="G412" s="214"/>
      <c r="H412" s="214"/>
      <c r="I412" s="214"/>
      <c r="J412" s="214"/>
      <c r="K412" s="214"/>
      <c r="L412" s="214"/>
      <c r="M412" s="214"/>
      <c r="N412" s="216"/>
      <c r="O412" s="216"/>
      <c r="P412" s="216"/>
      <c r="Q412" s="216"/>
      <c r="R412" s="216"/>
      <c r="S412" s="216"/>
      <c r="T412" s="216"/>
      <c r="U412" s="216"/>
      <c r="V412" s="216"/>
      <c r="W412" s="216"/>
      <c r="X412" s="216"/>
      <c r="Y412" s="216"/>
      <c r="Z412" s="216"/>
      <c r="AA412" s="216"/>
    </row>
    <row r="413" ht="15.0" customHeight="1">
      <c r="A413" s="214"/>
      <c r="B413" s="214"/>
      <c r="C413" s="214"/>
      <c r="D413" s="214"/>
      <c r="E413" s="214"/>
      <c r="F413" s="214"/>
      <c r="G413" s="214"/>
      <c r="H413" s="214"/>
      <c r="I413" s="214"/>
      <c r="J413" s="214"/>
      <c r="K413" s="214"/>
      <c r="L413" s="214"/>
      <c r="M413" s="214"/>
      <c r="N413" s="216"/>
      <c r="O413" s="216"/>
      <c r="P413" s="216"/>
      <c r="Q413" s="216"/>
      <c r="R413" s="216"/>
      <c r="S413" s="216"/>
      <c r="T413" s="216"/>
      <c r="U413" s="216"/>
      <c r="V413" s="216"/>
      <c r="W413" s="216"/>
      <c r="X413" s="216"/>
      <c r="Y413" s="216"/>
      <c r="Z413" s="216"/>
      <c r="AA413" s="216"/>
    </row>
    <row r="414" ht="15.0" customHeight="1">
      <c r="A414" s="214"/>
      <c r="B414" s="214"/>
      <c r="C414" s="214"/>
      <c r="D414" s="214"/>
      <c r="E414" s="214"/>
      <c r="F414" s="214"/>
      <c r="G414" s="214"/>
      <c r="H414" s="214"/>
      <c r="I414" s="214"/>
      <c r="J414" s="214"/>
      <c r="K414" s="214"/>
      <c r="L414" s="214"/>
      <c r="M414" s="214"/>
      <c r="N414" s="216"/>
      <c r="O414" s="216"/>
      <c r="P414" s="216"/>
      <c r="Q414" s="216"/>
      <c r="R414" s="216"/>
      <c r="S414" s="216"/>
      <c r="T414" s="216"/>
      <c r="U414" s="216"/>
      <c r="V414" s="216"/>
      <c r="W414" s="216"/>
      <c r="X414" s="216"/>
      <c r="Y414" s="216"/>
      <c r="Z414" s="216"/>
      <c r="AA414" s="216"/>
    </row>
    <row r="415" ht="15.0" customHeight="1">
      <c r="A415" s="214"/>
      <c r="B415" s="214"/>
      <c r="C415" s="214"/>
      <c r="D415" s="214"/>
      <c r="E415" s="214"/>
      <c r="F415" s="214"/>
      <c r="G415" s="214"/>
      <c r="H415" s="214"/>
      <c r="I415" s="214"/>
      <c r="J415" s="214"/>
      <c r="K415" s="214"/>
      <c r="L415" s="214"/>
      <c r="M415" s="214"/>
      <c r="N415" s="216"/>
      <c r="O415" s="216"/>
      <c r="P415" s="216"/>
      <c r="Q415" s="216"/>
      <c r="R415" s="216"/>
      <c r="S415" s="216"/>
      <c r="T415" s="216"/>
      <c r="U415" s="216"/>
      <c r="V415" s="216"/>
      <c r="W415" s="216"/>
      <c r="X415" s="216"/>
      <c r="Y415" s="216"/>
      <c r="Z415" s="216"/>
      <c r="AA415" s="216"/>
    </row>
    <row r="416" ht="15.0" customHeight="1">
      <c r="A416" s="214"/>
      <c r="B416" s="214"/>
      <c r="C416" s="214"/>
      <c r="D416" s="214"/>
      <c r="E416" s="214"/>
      <c r="F416" s="214"/>
      <c r="G416" s="214"/>
      <c r="H416" s="214"/>
      <c r="I416" s="214"/>
      <c r="J416" s="214"/>
      <c r="K416" s="214"/>
      <c r="L416" s="214"/>
      <c r="M416" s="214"/>
      <c r="N416" s="216"/>
      <c r="O416" s="216"/>
      <c r="P416" s="216"/>
      <c r="Q416" s="216"/>
      <c r="R416" s="216"/>
      <c r="S416" s="216"/>
      <c r="T416" s="216"/>
      <c r="U416" s="216"/>
      <c r="V416" s="216"/>
      <c r="W416" s="216"/>
      <c r="X416" s="216"/>
      <c r="Y416" s="216"/>
      <c r="Z416" s="216"/>
      <c r="AA416" s="216"/>
    </row>
    <row r="417" ht="15.0" customHeight="1">
      <c r="A417" s="214"/>
      <c r="B417" s="214"/>
      <c r="C417" s="214"/>
      <c r="D417" s="214"/>
      <c r="E417" s="214"/>
      <c r="F417" s="214"/>
      <c r="G417" s="214"/>
      <c r="H417" s="214"/>
      <c r="I417" s="214"/>
      <c r="J417" s="214"/>
      <c r="K417" s="214"/>
      <c r="L417" s="214"/>
      <c r="M417" s="214"/>
      <c r="N417" s="216"/>
      <c r="O417" s="216"/>
      <c r="P417" s="216"/>
      <c r="Q417" s="216"/>
      <c r="R417" s="216"/>
      <c r="S417" s="216"/>
      <c r="T417" s="216"/>
      <c r="U417" s="216"/>
      <c r="V417" s="216"/>
      <c r="W417" s="216"/>
      <c r="X417" s="216"/>
      <c r="Y417" s="216"/>
      <c r="Z417" s="216"/>
      <c r="AA417" s="216"/>
    </row>
    <row r="418" ht="15.0" customHeight="1">
      <c r="A418" s="214"/>
      <c r="B418" s="214"/>
      <c r="C418" s="214"/>
      <c r="D418" s="214"/>
      <c r="E418" s="214"/>
      <c r="F418" s="214"/>
      <c r="G418" s="214"/>
      <c r="H418" s="214"/>
      <c r="I418" s="214"/>
      <c r="J418" s="214"/>
      <c r="K418" s="214"/>
      <c r="L418" s="214"/>
      <c r="M418" s="214"/>
      <c r="N418" s="216"/>
      <c r="O418" s="216"/>
      <c r="P418" s="216"/>
      <c r="Q418" s="216"/>
      <c r="R418" s="216"/>
      <c r="S418" s="216"/>
      <c r="T418" s="216"/>
      <c r="U418" s="216"/>
      <c r="V418" s="216"/>
      <c r="W418" s="216"/>
      <c r="X418" s="216"/>
      <c r="Y418" s="216"/>
      <c r="Z418" s="216"/>
      <c r="AA418" s="216"/>
    </row>
    <row r="419" ht="15.0" customHeight="1">
      <c r="A419" s="214"/>
      <c r="B419" s="214"/>
      <c r="C419" s="214"/>
      <c r="D419" s="214"/>
      <c r="E419" s="214"/>
      <c r="F419" s="214"/>
      <c r="G419" s="214"/>
      <c r="H419" s="214"/>
      <c r="I419" s="214"/>
      <c r="J419" s="214"/>
      <c r="K419" s="214"/>
      <c r="L419" s="214"/>
      <c r="M419" s="214"/>
      <c r="N419" s="216"/>
      <c r="O419" s="216"/>
      <c r="P419" s="216"/>
      <c r="Q419" s="216"/>
      <c r="R419" s="216"/>
      <c r="S419" s="216"/>
      <c r="T419" s="216"/>
      <c r="U419" s="216"/>
      <c r="V419" s="216"/>
      <c r="W419" s="216"/>
      <c r="X419" s="216"/>
      <c r="Y419" s="216"/>
      <c r="Z419" s="216"/>
      <c r="AA419" s="216"/>
    </row>
    <row r="420" ht="15.0" customHeight="1">
      <c r="A420" s="214"/>
      <c r="B420" s="214"/>
      <c r="C420" s="214"/>
      <c r="D420" s="214"/>
      <c r="E420" s="214"/>
      <c r="F420" s="214"/>
      <c r="G420" s="214"/>
      <c r="H420" s="214"/>
      <c r="I420" s="214"/>
      <c r="J420" s="214"/>
      <c r="K420" s="214"/>
      <c r="L420" s="214"/>
      <c r="M420" s="214"/>
      <c r="N420" s="216"/>
      <c r="O420" s="216"/>
      <c r="P420" s="216"/>
      <c r="Q420" s="216"/>
      <c r="R420" s="216"/>
      <c r="S420" s="216"/>
      <c r="T420" s="216"/>
      <c r="U420" s="216"/>
      <c r="V420" s="216"/>
      <c r="W420" s="216"/>
      <c r="X420" s="216"/>
      <c r="Y420" s="216"/>
      <c r="Z420" s="216"/>
      <c r="AA420" s="216"/>
    </row>
    <row r="421" ht="15.0" customHeight="1">
      <c r="A421" s="214"/>
      <c r="B421" s="214"/>
      <c r="C421" s="214"/>
      <c r="D421" s="214"/>
      <c r="E421" s="214"/>
      <c r="F421" s="214"/>
      <c r="G421" s="214"/>
      <c r="H421" s="214"/>
      <c r="I421" s="214"/>
      <c r="J421" s="214"/>
      <c r="K421" s="214"/>
      <c r="L421" s="214"/>
      <c r="M421" s="214"/>
      <c r="N421" s="216"/>
      <c r="O421" s="216"/>
      <c r="P421" s="216"/>
      <c r="Q421" s="216"/>
      <c r="R421" s="216"/>
      <c r="S421" s="216"/>
      <c r="T421" s="216"/>
      <c r="U421" s="216"/>
      <c r="V421" s="216"/>
      <c r="W421" s="216"/>
      <c r="X421" s="216"/>
      <c r="Y421" s="216"/>
      <c r="Z421" s="216"/>
      <c r="AA421" s="216"/>
    </row>
    <row r="422" ht="15.0" customHeight="1">
      <c r="A422" s="214"/>
      <c r="B422" s="214"/>
      <c r="C422" s="214"/>
      <c r="D422" s="214"/>
      <c r="E422" s="214"/>
      <c r="F422" s="214"/>
      <c r="G422" s="214"/>
      <c r="H422" s="214"/>
      <c r="I422" s="214"/>
      <c r="J422" s="214"/>
      <c r="K422" s="214"/>
      <c r="L422" s="214"/>
      <c r="M422" s="214"/>
      <c r="N422" s="216"/>
      <c r="O422" s="216"/>
      <c r="P422" s="216"/>
      <c r="Q422" s="216"/>
      <c r="R422" s="216"/>
      <c r="S422" s="216"/>
      <c r="T422" s="216"/>
      <c r="U422" s="216"/>
      <c r="V422" s="216"/>
      <c r="W422" s="216"/>
      <c r="X422" s="216"/>
      <c r="Y422" s="216"/>
      <c r="Z422" s="216"/>
      <c r="AA422" s="216"/>
    </row>
    <row r="423" ht="15.0" customHeight="1">
      <c r="A423" s="214"/>
      <c r="B423" s="214"/>
      <c r="C423" s="214"/>
      <c r="D423" s="214"/>
      <c r="E423" s="214"/>
      <c r="F423" s="214"/>
      <c r="G423" s="214"/>
      <c r="H423" s="214"/>
      <c r="I423" s="214"/>
      <c r="J423" s="214"/>
      <c r="K423" s="214"/>
      <c r="L423" s="214"/>
      <c r="M423" s="214"/>
      <c r="N423" s="216"/>
      <c r="O423" s="216"/>
      <c r="P423" s="216"/>
      <c r="Q423" s="216"/>
      <c r="R423" s="216"/>
      <c r="S423" s="216"/>
      <c r="T423" s="216"/>
      <c r="U423" s="216"/>
      <c r="V423" s="216"/>
      <c r="W423" s="216"/>
      <c r="X423" s="216"/>
      <c r="Y423" s="216"/>
      <c r="Z423" s="216"/>
      <c r="AA423" s="216"/>
    </row>
    <row r="424" ht="15.0" customHeight="1">
      <c r="A424" s="214"/>
      <c r="B424" s="214"/>
      <c r="C424" s="214"/>
      <c r="D424" s="214"/>
      <c r="E424" s="214"/>
      <c r="F424" s="214"/>
      <c r="G424" s="214"/>
      <c r="H424" s="214"/>
      <c r="I424" s="214"/>
      <c r="J424" s="214"/>
      <c r="K424" s="214"/>
      <c r="L424" s="214"/>
      <c r="M424" s="214"/>
      <c r="N424" s="216"/>
      <c r="O424" s="216"/>
      <c r="P424" s="216"/>
      <c r="Q424" s="216"/>
      <c r="R424" s="216"/>
      <c r="S424" s="216"/>
      <c r="T424" s="216"/>
      <c r="U424" s="216"/>
      <c r="V424" s="216"/>
      <c r="W424" s="216"/>
      <c r="X424" s="216"/>
      <c r="Y424" s="216"/>
      <c r="Z424" s="216"/>
      <c r="AA424" s="216"/>
    </row>
    <row r="425" ht="15.0" customHeight="1">
      <c r="A425" s="214"/>
      <c r="B425" s="214"/>
      <c r="C425" s="214"/>
      <c r="D425" s="214"/>
      <c r="E425" s="214"/>
      <c r="F425" s="214"/>
      <c r="G425" s="214"/>
      <c r="H425" s="214"/>
      <c r="I425" s="214"/>
      <c r="J425" s="214"/>
      <c r="K425" s="214"/>
      <c r="L425" s="214"/>
      <c r="M425" s="214"/>
      <c r="N425" s="216"/>
      <c r="O425" s="216"/>
      <c r="P425" s="216"/>
      <c r="Q425" s="216"/>
      <c r="R425" s="216"/>
      <c r="S425" s="216"/>
      <c r="T425" s="216"/>
      <c r="U425" s="216"/>
      <c r="V425" s="216"/>
      <c r="W425" s="216"/>
      <c r="X425" s="216"/>
      <c r="Y425" s="216"/>
      <c r="Z425" s="216"/>
      <c r="AA425" s="216"/>
    </row>
    <row r="426" ht="15.0" customHeight="1">
      <c r="A426" s="214"/>
      <c r="B426" s="214"/>
      <c r="C426" s="214"/>
      <c r="D426" s="214"/>
      <c r="E426" s="214"/>
      <c r="F426" s="214"/>
      <c r="G426" s="214"/>
      <c r="H426" s="214"/>
      <c r="I426" s="214"/>
      <c r="J426" s="214"/>
      <c r="K426" s="214"/>
      <c r="L426" s="214"/>
      <c r="M426" s="214"/>
      <c r="N426" s="216"/>
      <c r="O426" s="216"/>
      <c r="P426" s="216"/>
      <c r="Q426" s="216"/>
      <c r="R426" s="216"/>
      <c r="S426" s="216"/>
      <c r="T426" s="216"/>
      <c r="U426" s="216"/>
      <c r="V426" s="216"/>
      <c r="W426" s="216"/>
      <c r="X426" s="216"/>
      <c r="Y426" s="216"/>
      <c r="Z426" s="216"/>
      <c r="AA426" s="216"/>
    </row>
    <row r="427" ht="15.0" customHeight="1">
      <c r="A427" s="214"/>
      <c r="B427" s="214"/>
      <c r="C427" s="214"/>
      <c r="D427" s="214"/>
      <c r="E427" s="214"/>
      <c r="F427" s="214"/>
      <c r="G427" s="214"/>
      <c r="H427" s="214"/>
      <c r="I427" s="214"/>
      <c r="J427" s="214"/>
      <c r="K427" s="214"/>
      <c r="L427" s="214"/>
      <c r="M427" s="214"/>
      <c r="N427" s="216"/>
      <c r="O427" s="216"/>
      <c r="P427" s="216"/>
      <c r="Q427" s="216"/>
      <c r="R427" s="216"/>
      <c r="S427" s="216"/>
      <c r="T427" s="216"/>
      <c r="U427" s="216"/>
      <c r="V427" s="216"/>
      <c r="W427" s="216"/>
      <c r="X427" s="216"/>
      <c r="Y427" s="216"/>
      <c r="Z427" s="216"/>
      <c r="AA427" s="216"/>
    </row>
    <row r="428" ht="15.0" customHeight="1">
      <c r="A428" s="214"/>
      <c r="B428" s="214"/>
      <c r="C428" s="214"/>
      <c r="D428" s="214"/>
      <c r="E428" s="214"/>
      <c r="F428" s="214"/>
      <c r="G428" s="214"/>
      <c r="H428" s="214"/>
      <c r="I428" s="214"/>
      <c r="J428" s="214"/>
      <c r="K428" s="214"/>
      <c r="L428" s="214"/>
      <c r="M428" s="214"/>
      <c r="N428" s="216"/>
      <c r="O428" s="216"/>
      <c r="P428" s="216"/>
      <c r="Q428" s="216"/>
      <c r="R428" s="216"/>
      <c r="S428" s="216"/>
      <c r="T428" s="216"/>
      <c r="U428" s="216"/>
      <c r="V428" s="216"/>
      <c r="W428" s="216"/>
      <c r="X428" s="216"/>
      <c r="Y428" s="216"/>
      <c r="Z428" s="216"/>
      <c r="AA428" s="216"/>
    </row>
    <row r="429" ht="15.0" customHeight="1">
      <c r="A429" s="214"/>
      <c r="B429" s="214"/>
      <c r="C429" s="214"/>
      <c r="D429" s="214"/>
      <c r="E429" s="214"/>
      <c r="F429" s="214"/>
      <c r="G429" s="214"/>
      <c r="H429" s="214"/>
      <c r="I429" s="214"/>
      <c r="J429" s="214"/>
      <c r="K429" s="214"/>
      <c r="L429" s="214"/>
      <c r="M429" s="214"/>
      <c r="N429" s="216"/>
      <c r="O429" s="216"/>
      <c r="P429" s="216"/>
      <c r="Q429" s="216"/>
      <c r="R429" s="216"/>
      <c r="S429" s="216"/>
      <c r="T429" s="216"/>
      <c r="U429" s="216"/>
      <c r="V429" s="216"/>
      <c r="W429" s="216"/>
      <c r="X429" s="216"/>
      <c r="Y429" s="216"/>
      <c r="Z429" s="216"/>
      <c r="AA429" s="216"/>
    </row>
    <row r="430" ht="15.0" customHeight="1">
      <c r="A430" s="214"/>
      <c r="B430" s="214"/>
      <c r="C430" s="214"/>
      <c r="D430" s="214"/>
      <c r="E430" s="214"/>
      <c r="F430" s="214"/>
      <c r="G430" s="214"/>
      <c r="H430" s="214"/>
      <c r="I430" s="214"/>
      <c r="J430" s="214"/>
      <c r="K430" s="214"/>
      <c r="L430" s="214"/>
      <c r="M430" s="214"/>
      <c r="N430" s="216"/>
      <c r="O430" s="216"/>
      <c r="P430" s="216"/>
      <c r="Q430" s="216"/>
      <c r="R430" s="216"/>
      <c r="S430" s="216"/>
      <c r="T430" s="216"/>
      <c r="U430" s="216"/>
      <c r="V430" s="216"/>
      <c r="W430" s="216"/>
      <c r="X430" s="216"/>
      <c r="Y430" s="216"/>
      <c r="Z430" s="216"/>
      <c r="AA430" s="216"/>
    </row>
    <row r="431" ht="15.0" customHeight="1">
      <c r="A431" s="214"/>
      <c r="B431" s="214"/>
      <c r="C431" s="214"/>
      <c r="D431" s="214"/>
      <c r="E431" s="214"/>
      <c r="F431" s="214"/>
      <c r="G431" s="214"/>
      <c r="H431" s="214"/>
      <c r="I431" s="214"/>
      <c r="J431" s="214"/>
      <c r="K431" s="214"/>
      <c r="L431" s="214"/>
      <c r="M431" s="214"/>
      <c r="N431" s="216"/>
      <c r="O431" s="216"/>
      <c r="P431" s="216"/>
      <c r="Q431" s="216"/>
      <c r="R431" s="216"/>
      <c r="S431" s="216"/>
      <c r="T431" s="216"/>
      <c r="U431" s="216"/>
      <c r="V431" s="216"/>
      <c r="W431" s="216"/>
      <c r="X431" s="216"/>
      <c r="Y431" s="216"/>
      <c r="Z431" s="216"/>
      <c r="AA431" s="216"/>
    </row>
    <row r="432" ht="15.0" customHeight="1">
      <c r="A432" s="214"/>
      <c r="B432" s="214"/>
      <c r="C432" s="214"/>
      <c r="D432" s="214"/>
      <c r="E432" s="214"/>
      <c r="F432" s="214"/>
      <c r="G432" s="214"/>
      <c r="H432" s="214"/>
      <c r="I432" s="214"/>
      <c r="J432" s="214"/>
      <c r="K432" s="214"/>
      <c r="L432" s="214"/>
      <c r="M432" s="214"/>
      <c r="N432" s="216"/>
      <c r="O432" s="216"/>
      <c r="P432" s="216"/>
      <c r="Q432" s="216"/>
      <c r="R432" s="216"/>
      <c r="S432" s="216"/>
      <c r="T432" s="216"/>
      <c r="U432" s="216"/>
      <c r="V432" s="216"/>
      <c r="W432" s="216"/>
      <c r="X432" s="216"/>
      <c r="Y432" s="216"/>
      <c r="Z432" s="216"/>
      <c r="AA432" s="216"/>
    </row>
    <row r="433" ht="15.0" customHeight="1">
      <c r="A433" s="214"/>
      <c r="B433" s="214"/>
      <c r="C433" s="214"/>
      <c r="D433" s="214"/>
      <c r="E433" s="214"/>
      <c r="F433" s="214"/>
      <c r="G433" s="214"/>
      <c r="H433" s="214"/>
      <c r="I433" s="214"/>
      <c r="J433" s="214"/>
      <c r="K433" s="214"/>
      <c r="L433" s="214"/>
      <c r="M433" s="214"/>
      <c r="N433" s="216"/>
      <c r="O433" s="216"/>
      <c r="P433" s="216"/>
      <c r="Q433" s="216"/>
      <c r="R433" s="216"/>
      <c r="S433" s="216"/>
      <c r="T433" s="216"/>
      <c r="U433" s="216"/>
      <c r="V433" s="216"/>
      <c r="W433" s="216"/>
      <c r="X433" s="216"/>
      <c r="Y433" s="216"/>
      <c r="Z433" s="216"/>
      <c r="AA433" s="216"/>
    </row>
    <row r="434" ht="15.0" customHeight="1">
      <c r="A434" s="214"/>
      <c r="B434" s="214"/>
      <c r="C434" s="214"/>
      <c r="D434" s="214"/>
      <c r="E434" s="214"/>
      <c r="F434" s="214"/>
      <c r="G434" s="214"/>
      <c r="H434" s="214"/>
      <c r="I434" s="214"/>
      <c r="J434" s="214"/>
      <c r="K434" s="214"/>
      <c r="L434" s="214"/>
      <c r="M434" s="214"/>
      <c r="N434" s="216"/>
      <c r="O434" s="216"/>
      <c r="P434" s="216"/>
      <c r="Q434" s="216"/>
      <c r="R434" s="216"/>
      <c r="S434" s="216"/>
      <c r="T434" s="216"/>
      <c r="U434" s="216"/>
      <c r="V434" s="216"/>
      <c r="W434" s="216"/>
      <c r="X434" s="216"/>
      <c r="Y434" s="216"/>
      <c r="Z434" s="216"/>
      <c r="AA434" s="216"/>
    </row>
    <row r="435" ht="15.0" customHeight="1">
      <c r="A435" s="214"/>
      <c r="B435" s="214"/>
      <c r="C435" s="214"/>
      <c r="D435" s="214"/>
      <c r="E435" s="214"/>
      <c r="F435" s="214"/>
      <c r="G435" s="214"/>
      <c r="H435" s="214"/>
      <c r="I435" s="214"/>
      <c r="J435" s="214"/>
      <c r="K435" s="214"/>
      <c r="L435" s="214"/>
      <c r="M435" s="214"/>
      <c r="N435" s="216"/>
      <c r="O435" s="216"/>
      <c r="P435" s="216"/>
      <c r="Q435" s="216"/>
      <c r="R435" s="216"/>
      <c r="S435" s="216"/>
      <c r="T435" s="216"/>
      <c r="U435" s="216"/>
      <c r="V435" s="216"/>
      <c r="W435" s="216"/>
      <c r="X435" s="216"/>
      <c r="Y435" s="216"/>
      <c r="Z435" s="216"/>
      <c r="AA435" s="216"/>
    </row>
    <row r="436" ht="15.0" customHeight="1">
      <c r="A436" s="214"/>
      <c r="B436" s="214"/>
      <c r="C436" s="214"/>
      <c r="D436" s="214"/>
      <c r="E436" s="214"/>
      <c r="F436" s="214"/>
      <c r="G436" s="214"/>
      <c r="H436" s="214"/>
      <c r="I436" s="214"/>
      <c r="J436" s="214"/>
      <c r="K436" s="214"/>
      <c r="L436" s="214"/>
      <c r="M436" s="214"/>
      <c r="N436" s="216"/>
      <c r="O436" s="216"/>
      <c r="P436" s="216"/>
      <c r="Q436" s="216"/>
      <c r="R436" s="216"/>
      <c r="S436" s="216"/>
      <c r="T436" s="216"/>
      <c r="U436" s="216"/>
      <c r="V436" s="216"/>
      <c r="W436" s="216"/>
      <c r="X436" s="216"/>
      <c r="Y436" s="216"/>
      <c r="Z436" s="216"/>
      <c r="AA436" s="216"/>
    </row>
    <row r="437" ht="15.0" customHeight="1">
      <c r="A437" s="214"/>
      <c r="B437" s="214"/>
      <c r="C437" s="214"/>
      <c r="D437" s="214"/>
      <c r="E437" s="214"/>
      <c r="F437" s="214"/>
      <c r="G437" s="214"/>
      <c r="H437" s="214"/>
      <c r="I437" s="214"/>
      <c r="J437" s="214"/>
      <c r="K437" s="214"/>
      <c r="L437" s="214"/>
      <c r="M437" s="214"/>
      <c r="N437" s="216"/>
      <c r="O437" s="216"/>
      <c r="P437" s="216"/>
      <c r="Q437" s="216"/>
      <c r="R437" s="216"/>
      <c r="S437" s="216"/>
      <c r="T437" s="216"/>
      <c r="U437" s="216"/>
      <c r="V437" s="216"/>
      <c r="W437" s="216"/>
      <c r="X437" s="216"/>
      <c r="Y437" s="216"/>
      <c r="Z437" s="216"/>
      <c r="AA437" s="216"/>
    </row>
    <row r="438" ht="15.0" customHeight="1">
      <c r="A438" s="214"/>
      <c r="B438" s="214"/>
      <c r="C438" s="214"/>
      <c r="D438" s="214"/>
      <c r="E438" s="214"/>
      <c r="F438" s="214"/>
      <c r="G438" s="214"/>
      <c r="H438" s="214"/>
      <c r="I438" s="214"/>
      <c r="J438" s="214"/>
      <c r="K438" s="214"/>
      <c r="L438" s="214"/>
      <c r="M438" s="214"/>
      <c r="N438" s="216"/>
      <c r="O438" s="216"/>
      <c r="P438" s="216"/>
      <c r="Q438" s="216"/>
      <c r="R438" s="216"/>
      <c r="S438" s="216"/>
      <c r="T438" s="216"/>
      <c r="U438" s="216"/>
      <c r="V438" s="216"/>
      <c r="W438" s="216"/>
      <c r="X438" s="216"/>
      <c r="Y438" s="216"/>
      <c r="Z438" s="216"/>
      <c r="AA438" s="216"/>
    </row>
    <row r="439" ht="15.0" customHeight="1">
      <c r="A439" s="214"/>
      <c r="B439" s="214"/>
      <c r="C439" s="214"/>
      <c r="D439" s="214"/>
      <c r="E439" s="214"/>
      <c r="F439" s="214"/>
      <c r="G439" s="214"/>
      <c r="H439" s="214"/>
      <c r="I439" s="214"/>
      <c r="J439" s="214"/>
      <c r="K439" s="214"/>
      <c r="L439" s="214"/>
      <c r="M439" s="214"/>
      <c r="N439" s="216"/>
      <c r="O439" s="216"/>
      <c r="P439" s="216"/>
      <c r="Q439" s="216"/>
      <c r="R439" s="216"/>
      <c r="S439" s="216"/>
      <c r="T439" s="216"/>
      <c r="U439" s="216"/>
      <c r="V439" s="216"/>
      <c r="W439" s="216"/>
      <c r="X439" s="216"/>
      <c r="Y439" s="216"/>
      <c r="Z439" s="216"/>
      <c r="AA439" s="216"/>
    </row>
    <row r="440" ht="15.0" customHeight="1">
      <c r="A440" s="214"/>
      <c r="B440" s="214"/>
      <c r="C440" s="214"/>
      <c r="D440" s="214"/>
      <c r="E440" s="214"/>
      <c r="F440" s="214"/>
      <c r="G440" s="214"/>
      <c r="H440" s="214"/>
      <c r="I440" s="214"/>
      <c r="J440" s="214"/>
      <c r="K440" s="214"/>
      <c r="L440" s="214"/>
      <c r="M440" s="214"/>
      <c r="N440" s="216"/>
      <c r="O440" s="216"/>
      <c r="P440" s="216"/>
      <c r="Q440" s="216"/>
      <c r="R440" s="216"/>
      <c r="S440" s="216"/>
      <c r="T440" s="216"/>
      <c r="U440" s="216"/>
      <c r="V440" s="216"/>
      <c r="W440" s="216"/>
      <c r="X440" s="216"/>
      <c r="Y440" s="216"/>
      <c r="Z440" s="216"/>
      <c r="AA440" s="216"/>
    </row>
    <row r="441" ht="15.0" customHeight="1">
      <c r="A441" s="214"/>
      <c r="B441" s="214"/>
      <c r="C441" s="214"/>
      <c r="D441" s="214"/>
      <c r="E441" s="214"/>
      <c r="F441" s="214"/>
      <c r="G441" s="214"/>
      <c r="H441" s="214"/>
      <c r="I441" s="214"/>
      <c r="J441" s="214"/>
      <c r="K441" s="214"/>
      <c r="L441" s="214"/>
      <c r="M441" s="214"/>
      <c r="N441" s="216"/>
      <c r="O441" s="216"/>
      <c r="P441" s="216"/>
      <c r="Q441" s="216"/>
      <c r="R441" s="216"/>
      <c r="S441" s="216"/>
      <c r="T441" s="216"/>
      <c r="U441" s="216"/>
      <c r="V441" s="216"/>
      <c r="W441" s="216"/>
      <c r="X441" s="216"/>
      <c r="Y441" s="216"/>
      <c r="Z441" s="216"/>
      <c r="AA441" s="216"/>
    </row>
    <row r="442" ht="15.0" customHeight="1">
      <c r="A442" s="214"/>
      <c r="B442" s="214"/>
      <c r="C442" s="214"/>
      <c r="D442" s="214"/>
      <c r="E442" s="214"/>
      <c r="F442" s="214"/>
      <c r="G442" s="214"/>
      <c r="H442" s="214"/>
      <c r="I442" s="214"/>
      <c r="J442" s="214"/>
      <c r="K442" s="214"/>
      <c r="L442" s="214"/>
      <c r="M442" s="214"/>
      <c r="N442" s="216"/>
      <c r="O442" s="216"/>
      <c r="P442" s="216"/>
      <c r="Q442" s="216"/>
      <c r="R442" s="216"/>
      <c r="S442" s="216"/>
      <c r="T442" s="216"/>
      <c r="U442" s="216"/>
      <c r="V442" s="216"/>
      <c r="W442" s="216"/>
      <c r="X442" s="216"/>
      <c r="Y442" s="216"/>
      <c r="Z442" s="216"/>
      <c r="AA442" s="216"/>
    </row>
    <row r="443" ht="15.0" customHeight="1">
      <c r="A443" s="214"/>
      <c r="B443" s="214"/>
      <c r="C443" s="214"/>
      <c r="D443" s="214"/>
      <c r="E443" s="214"/>
      <c r="F443" s="214"/>
      <c r="G443" s="214"/>
      <c r="H443" s="214"/>
      <c r="I443" s="214"/>
      <c r="J443" s="214"/>
      <c r="K443" s="214"/>
      <c r="L443" s="214"/>
      <c r="M443" s="214"/>
      <c r="N443" s="216"/>
      <c r="O443" s="216"/>
      <c r="P443" s="216"/>
      <c r="Q443" s="216"/>
      <c r="R443" s="216"/>
      <c r="S443" s="216"/>
      <c r="T443" s="216"/>
      <c r="U443" s="216"/>
      <c r="V443" s="216"/>
      <c r="W443" s="216"/>
      <c r="X443" s="216"/>
      <c r="Y443" s="216"/>
      <c r="Z443" s="216"/>
      <c r="AA443" s="216"/>
    </row>
    <row r="444" ht="15.0" customHeight="1">
      <c r="A444" s="214"/>
      <c r="B444" s="214"/>
      <c r="C444" s="214"/>
      <c r="D444" s="214"/>
      <c r="E444" s="214"/>
      <c r="F444" s="214"/>
      <c r="G444" s="214"/>
      <c r="H444" s="214"/>
      <c r="I444" s="214"/>
      <c r="J444" s="214"/>
      <c r="K444" s="214"/>
      <c r="L444" s="214"/>
      <c r="M444" s="214"/>
      <c r="N444" s="216"/>
      <c r="O444" s="216"/>
      <c r="P444" s="216"/>
      <c r="Q444" s="216"/>
      <c r="R444" s="216"/>
      <c r="S444" s="216"/>
      <c r="T444" s="216"/>
      <c r="U444" s="216"/>
      <c r="V444" s="216"/>
      <c r="W444" s="216"/>
      <c r="X444" s="216"/>
      <c r="Y444" s="216"/>
      <c r="Z444" s="216"/>
      <c r="AA444" s="216"/>
    </row>
    <row r="445" ht="15.0" customHeight="1">
      <c r="A445" s="214"/>
      <c r="B445" s="214"/>
      <c r="C445" s="214"/>
      <c r="D445" s="214"/>
      <c r="E445" s="214"/>
      <c r="F445" s="214"/>
      <c r="G445" s="214"/>
      <c r="H445" s="214"/>
      <c r="I445" s="214"/>
      <c r="J445" s="214"/>
      <c r="K445" s="214"/>
      <c r="L445" s="214"/>
      <c r="M445" s="214"/>
      <c r="N445" s="216"/>
      <c r="O445" s="216"/>
      <c r="P445" s="216"/>
      <c r="Q445" s="216"/>
      <c r="R445" s="216"/>
      <c r="S445" s="216"/>
      <c r="T445" s="216"/>
      <c r="U445" s="216"/>
      <c r="V445" s="216"/>
      <c r="W445" s="216"/>
      <c r="X445" s="216"/>
      <c r="Y445" s="216"/>
      <c r="Z445" s="216"/>
      <c r="AA445" s="216"/>
    </row>
    <row r="446" ht="15.0" customHeight="1">
      <c r="A446" s="214"/>
      <c r="B446" s="214"/>
      <c r="C446" s="214"/>
      <c r="D446" s="214"/>
      <c r="E446" s="214"/>
      <c r="F446" s="214"/>
      <c r="G446" s="214"/>
      <c r="H446" s="214"/>
      <c r="I446" s="214"/>
      <c r="J446" s="214"/>
      <c r="K446" s="214"/>
      <c r="L446" s="214"/>
      <c r="M446" s="214"/>
      <c r="N446" s="216"/>
      <c r="O446" s="216"/>
      <c r="P446" s="216"/>
      <c r="Q446" s="216"/>
      <c r="R446" s="216"/>
      <c r="S446" s="216"/>
      <c r="T446" s="216"/>
      <c r="U446" s="216"/>
      <c r="V446" s="216"/>
      <c r="W446" s="216"/>
      <c r="X446" s="216"/>
      <c r="Y446" s="216"/>
      <c r="Z446" s="216"/>
      <c r="AA446" s="216"/>
    </row>
    <row r="447" ht="15.0" customHeight="1">
      <c r="A447" s="214"/>
      <c r="B447" s="214"/>
      <c r="C447" s="214"/>
      <c r="D447" s="214"/>
      <c r="E447" s="214"/>
      <c r="F447" s="214"/>
      <c r="G447" s="214"/>
      <c r="H447" s="214"/>
      <c r="I447" s="214"/>
      <c r="J447" s="214"/>
      <c r="K447" s="214"/>
      <c r="L447" s="214"/>
      <c r="M447" s="214"/>
      <c r="N447" s="216"/>
      <c r="O447" s="216"/>
      <c r="P447" s="216"/>
      <c r="Q447" s="216"/>
      <c r="R447" s="216"/>
      <c r="S447" s="216"/>
      <c r="T447" s="216"/>
      <c r="U447" s="216"/>
      <c r="V447" s="216"/>
      <c r="W447" s="216"/>
      <c r="X447" s="216"/>
      <c r="Y447" s="216"/>
      <c r="Z447" s="216"/>
      <c r="AA447" s="216"/>
    </row>
    <row r="448" ht="15.0" customHeight="1">
      <c r="A448" s="214"/>
      <c r="B448" s="214"/>
      <c r="C448" s="214"/>
      <c r="D448" s="214"/>
      <c r="E448" s="214"/>
      <c r="F448" s="214"/>
      <c r="G448" s="214"/>
      <c r="H448" s="214"/>
      <c r="I448" s="214"/>
      <c r="J448" s="214"/>
      <c r="K448" s="214"/>
      <c r="L448" s="214"/>
      <c r="M448" s="214"/>
      <c r="N448" s="216"/>
      <c r="O448" s="216"/>
      <c r="P448" s="216"/>
      <c r="Q448" s="216"/>
      <c r="R448" s="216"/>
      <c r="S448" s="216"/>
      <c r="T448" s="216"/>
      <c r="U448" s="216"/>
      <c r="V448" s="216"/>
      <c r="W448" s="216"/>
      <c r="X448" s="216"/>
      <c r="Y448" s="216"/>
      <c r="Z448" s="216"/>
      <c r="AA448" s="216"/>
    </row>
    <row r="449" ht="15.0" customHeight="1">
      <c r="A449" s="214"/>
      <c r="B449" s="214"/>
      <c r="C449" s="214"/>
      <c r="D449" s="214"/>
      <c r="E449" s="214"/>
      <c r="F449" s="214"/>
      <c r="G449" s="214"/>
      <c r="H449" s="214"/>
      <c r="I449" s="214"/>
      <c r="J449" s="214"/>
      <c r="K449" s="214"/>
      <c r="L449" s="214"/>
      <c r="M449" s="214"/>
      <c r="N449" s="216"/>
      <c r="O449" s="216"/>
      <c r="P449" s="216"/>
      <c r="Q449" s="216"/>
      <c r="R449" s="216"/>
      <c r="S449" s="216"/>
      <c r="T449" s="216"/>
      <c r="U449" s="216"/>
      <c r="V449" s="216"/>
      <c r="W449" s="216"/>
      <c r="X449" s="216"/>
      <c r="Y449" s="216"/>
      <c r="Z449" s="216"/>
      <c r="AA449" s="216"/>
    </row>
    <row r="450" ht="15.0" customHeight="1">
      <c r="A450" s="214"/>
      <c r="B450" s="214"/>
      <c r="C450" s="214"/>
      <c r="D450" s="214"/>
      <c r="E450" s="214"/>
      <c r="F450" s="214"/>
      <c r="G450" s="214"/>
      <c r="H450" s="214"/>
      <c r="I450" s="214"/>
      <c r="J450" s="214"/>
      <c r="K450" s="214"/>
      <c r="L450" s="214"/>
      <c r="M450" s="214"/>
      <c r="N450" s="216"/>
      <c r="O450" s="216"/>
      <c r="P450" s="216"/>
      <c r="Q450" s="216"/>
      <c r="R450" s="216"/>
      <c r="S450" s="216"/>
      <c r="T450" s="216"/>
      <c r="U450" s="216"/>
      <c r="V450" s="216"/>
      <c r="W450" s="216"/>
      <c r="X450" s="216"/>
      <c r="Y450" s="216"/>
      <c r="Z450" s="216"/>
      <c r="AA450" s="216"/>
    </row>
    <row r="451" ht="15.0" customHeight="1">
      <c r="A451" s="214"/>
      <c r="B451" s="214"/>
      <c r="C451" s="214"/>
      <c r="D451" s="214"/>
      <c r="E451" s="214"/>
      <c r="F451" s="214"/>
      <c r="G451" s="214"/>
      <c r="H451" s="214"/>
      <c r="I451" s="214"/>
      <c r="J451" s="214"/>
      <c r="K451" s="214"/>
      <c r="L451" s="214"/>
      <c r="M451" s="214"/>
      <c r="N451" s="216"/>
      <c r="O451" s="216"/>
      <c r="P451" s="216"/>
      <c r="Q451" s="216"/>
      <c r="R451" s="216"/>
      <c r="S451" s="216"/>
      <c r="T451" s="216"/>
      <c r="U451" s="216"/>
      <c r="V451" s="216"/>
      <c r="W451" s="216"/>
      <c r="X451" s="216"/>
      <c r="Y451" s="216"/>
      <c r="Z451" s="216"/>
      <c r="AA451" s="216"/>
    </row>
    <row r="452" ht="15.0" customHeight="1">
      <c r="A452" s="214"/>
      <c r="B452" s="214"/>
      <c r="C452" s="214"/>
      <c r="D452" s="214"/>
      <c r="E452" s="214"/>
      <c r="F452" s="214"/>
      <c r="G452" s="214"/>
      <c r="H452" s="214"/>
      <c r="I452" s="214"/>
      <c r="J452" s="214"/>
      <c r="K452" s="214"/>
      <c r="L452" s="214"/>
      <c r="M452" s="214"/>
      <c r="N452" s="216"/>
      <c r="O452" s="216"/>
      <c r="P452" s="216"/>
      <c r="Q452" s="216"/>
      <c r="R452" s="216"/>
      <c r="S452" s="216"/>
      <c r="T452" s="216"/>
      <c r="U452" s="216"/>
      <c r="V452" s="216"/>
      <c r="W452" s="216"/>
      <c r="X452" s="216"/>
      <c r="Y452" s="216"/>
      <c r="Z452" s="216"/>
      <c r="AA452" s="216"/>
    </row>
    <row r="453" ht="15.0" customHeight="1">
      <c r="A453" s="214"/>
      <c r="B453" s="214"/>
      <c r="C453" s="214"/>
      <c r="D453" s="214"/>
      <c r="E453" s="214"/>
      <c r="F453" s="214"/>
      <c r="G453" s="214"/>
      <c r="H453" s="214"/>
      <c r="I453" s="214"/>
      <c r="J453" s="214"/>
      <c r="K453" s="214"/>
      <c r="L453" s="214"/>
      <c r="M453" s="214"/>
      <c r="N453" s="216"/>
      <c r="O453" s="216"/>
      <c r="P453" s="216"/>
      <c r="Q453" s="216"/>
      <c r="R453" s="216"/>
      <c r="S453" s="216"/>
      <c r="T453" s="216"/>
      <c r="U453" s="216"/>
      <c r="V453" s="216"/>
      <c r="W453" s="216"/>
      <c r="X453" s="216"/>
      <c r="Y453" s="216"/>
      <c r="Z453" s="216"/>
      <c r="AA453" s="216"/>
    </row>
    <row r="454" ht="15.0" customHeight="1">
      <c r="A454" s="214"/>
      <c r="B454" s="214"/>
      <c r="C454" s="214"/>
      <c r="D454" s="214"/>
      <c r="E454" s="214"/>
      <c r="F454" s="214"/>
      <c r="G454" s="214"/>
      <c r="H454" s="214"/>
      <c r="I454" s="214"/>
      <c r="J454" s="214"/>
      <c r="K454" s="214"/>
      <c r="L454" s="214"/>
      <c r="M454" s="214"/>
      <c r="N454" s="216"/>
      <c r="O454" s="216"/>
      <c r="P454" s="216"/>
      <c r="Q454" s="216"/>
      <c r="R454" s="216"/>
      <c r="S454" s="216"/>
      <c r="T454" s="216"/>
      <c r="U454" s="216"/>
      <c r="V454" s="216"/>
      <c r="W454" s="216"/>
      <c r="X454" s="216"/>
      <c r="Y454" s="216"/>
      <c r="Z454" s="216"/>
      <c r="AA454" s="216"/>
    </row>
    <row r="455" ht="15.0" customHeight="1">
      <c r="A455" s="214"/>
      <c r="B455" s="214"/>
      <c r="C455" s="214"/>
      <c r="D455" s="214"/>
      <c r="E455" s="214"/>
      <c r="F455" s="214"/>
      <c r="G455" s="214"/>
      <c r="H455" s="214"/>
      <c r="I455" s="214"/>
      <c r="J455" s="214"/>
      <c r="K455" s="214"/>
      <c r="L455" s="214"/>
      <c r="M455" s="214"/>
      <c r="N455" s="216"/>
      <c r="O455" s="216"/>
      <c r="P455" s="216"/>
      <c r="Q455" s="216"/>
      <c r="R455" s="216"/>
      <c r="S455" s="216"/>
      <c r="T455" s="216"/>
      <c r="U455" s="216"/>
      <c r="V455" s="216"/>
      <c r="W455" s="216"/>
      <c r="X455" s="216"/>
      <c r="Y455" s="216"/>
      <c r="Z455" s="216"/>
      <c r="AA455" s="216"/>
    </row>
    <row r="456" ht="15.0" customHeight="1">
      <c r="A456" s="214"/>
      <c r="B456" s="214"/>
      <c r="C456" s="214"/>
      <c r="D456" s="214"/>
      <c r="E456" s="214"/>
      <c r="F456" s="214"/>
      <c r="G456" s="214"/>
      <c r="H456" s="214"/>
      <c r="I456" s="214"/>
      <c r="J456" s="214"/>
      <c r="K456" s="214"/>
      <c r="L456" s="214"/>
      <c r="M456" s="214"/>
      <c r="N456" s="216"/>
      <c r="O456" s="216"/>
      <c r="P456" s="216"/>
      <c r="Q456" s="216"/>
      <c r="R456" s="216"/>
      <c r="S456" s="216"/>
      <c r="T456" s="216"/>
      <c r="U456" s="216"/>
      <c r="V456" s="216"/>
      <c r="W456" s="216"/>
      <c r="X456" s="216"/>
      <c r="Y456" s="216"/>
      <c r="Z456" s="216"/>
      <c r="AA456" s="216"/>
    </row>
    <row r="457" ht="15.0" customHeight="1">
      <c r="A457" s="214"/>
      <c r="B457" s="214"/>
      <c r="C457" s="214"/>
      <c r="D457" s="214"/>
      <c r="E457" s="214"/>
      <c r="F457" s="214"/>
      <c r="G457" s="214"/>
      <c r="H457" s="214"/>
      <c r="I457" s="214"/>
      <c r="J457" s="214"/>
      <c r="K457" s="214"/>
      <c r="L457" s="214"/>
      <c r="M457" s="214"/>
      <c r="N457" s="216"/>
      <c r="O457" s="216"/>
      <c r="P457" s="216"/>
      <c r="Q457" s="216"/>
      <c r="R457" s="216"/>
      <c r="S457" s="216"/>
      <c r="T457" s="216"/>
      <c r="U457" s="216"/>
      <c r="V457" s="216"/>
      <c r="W457" s="216"/>
      <c r="X457" s="216"/>
      <c r="Y457" s="216"/>
      <c r="Z457" s="216"/>
      <c r="AA457" s="216"/>
    </row>
    <row r="458" ht="15.0" customHeight="1">
      <c r="A458" s="214"/>
      <c r="B458" s="214"/>
      <c r="C458" s="214"/>
      <c r="D458" s="214"/>
      <c r="E458" s="214"/>
      <c r="F458" s="214"/>
      <c r="G458" s="214"/>
      <c r="H458" s="214"/>
      <c r="I458" s="214"/>
      <c r="J458" s="214"/>
      <c r="K458" s="214"/>
      <c r="L458" s="214"/>
      <c r="M458" s="214"/>
      <c r="N458" s="216"/>
      <c r="O458" s="216"/>
      <c r="P458" s="216"/>
      <c r="Q458" s="216"/>
      <c r="R458" s="216"/>
      <c r="S458" s="216"/>
      <c r="T458" s="216"/>
      <c r="U458" s="216"/>
      <c r="V458" s="216"/>
      <c r="W458" s="216"/>
      <c r="X458" s="216"/>
      <c r="Y458" s="216"/>
      <c r="Z458" s="216"/>
      <c r="AA458" s="216"/>
    </row>
    <row r="459" ht="15.0" customHeight="1">
      <c r="A459" s="214"/>
      <c r="B459" s="214"/>
      <c r="C459" s="214"/>
      <c r="D459" s="214"/>
      <c r="E459" s="214"/>
      <c r="F459" s="214"/>
      <c r="G459" s="214"/>
      <c r="H459" s="214"/>
      <c r="I459" s="214"/>
      <c r="J459" s="214"/>
      <c r="K459" s="214"/>
      <c r="L459" s="214"/>
      <c r="M459" s="214"/>
      <c r="N459" s="216"/>
      <c r="O459" s="216"/>
      <c r="P459" s="216"/>
      <c r="Q459" s="216"/>
      <c r="R459" s="216"/>
      <c r="S459" s="216"/>
      <c r="T459" s="216"/>
      <c r="U459" s="216"/>
      <c r="V459" s="216"/>
      <c r="W459" s="216"/>
      <c r="X459" s="216"/>
      <c r="Y459" s="216"/>
      <c r="Z459" s="216"/>
      <c r="AA459" s="216"/>
    </row>
    <row r="460" ht="15.0" customHeight="1">
      <c r="A460" s="214"/>
      <c r="B460" s="214"/>
      <c r="C460" s="214"/>
      <c r="D460" s="214"/>
      <c r="E460" s="214"/>
      <c r="F460" s="214"/>
      <c r="G460" s="214"/>
      <c r="H460" s="214"/>
      <c r="I460" s="214"/>
      <c r="J460" s="214"/>
      <c r="K460" s="214"/>
      <c r="L460" s="214"/>
      <c r="M460" s="214"/>
      <c r="N460" s="216"/>
      <c r="O460" s="216"/>
      <c r="P460" s="216"/>
      <c r="Q460" s="216"/>
      <c r="R460" s="216"/>
      <c r="S460" s="216"/>
      <c r="T460" s="216"/>
      <c r="U460" s="216"/>
      <c r="V460" s="216"/>
      <c r="W460" s="216"/>
      <c r="X460" s="216"/>
      <c r="Y460" s="216"/>
      <c r="Z460" s="216"/>
      <c r="AA460" s="216"/>
    </row>
    <row r="461" ht="15.0" customHeight="1">
      <c r="A461" s="214"/>
      <c r="B461" s="214"/>
      <c r="C461" s="214"/>
      <c r="D461" s="214"/>
      <c r="E461" s="214"/>
      <c r="F461" s="214"/>
      <c r="G461" s="214"/>
      <c r="H461" s="214"/>
      <c r="I461" s="214"/>
      <c r="J461" s="214"/>
      <c r="K461" s="214"/>
      <c r="L461" s="214"/>
      <c r="M461" s="214"/>
      <c r="N461" s="216"/>
      <c r="O461" s="216"/>
      <c r="P461" s="216"/>
      <c r="Q461" s="216"/>
      <c r="R461" s="216"/>
      <c r="S461" s="216"/>
      <c r="T461" s="216"/>
      <c r="U461" s="216"/>
      <c r="V461" s="216"/>
      <c r="W461" s="216"/>
      <c r="X461" s="216"/>
      <c r="Y461" s="216"/>
      <c r="Z461" s="216"/>
      <c r="AA461" s="216"/>
    </row>
    <row r="462" ht="15.0" customHeight="1">
      <c r="A462" s="214"/>
      <c r="B462" s="214"/>
      <c r="C462" s="214"/>
      <c r="D462" s="214"/>
      <c r="E462" s="214"/>
      <c r="F462" s="214"/>
      <c r="G462" s="214"/>
      <c r="H462" s="214"/>
      <c r="I462" s="214"/>
      <c r="J462" s="214"/>
      <c r="K462" s="214"/>
      <c r="L462" s="214"/>
      <c r="M462" s="214"/>
      <c r="N462" s="216"/>
      <c r="O462" s="216"/>
      <c r="P462" s="216"/>
      <c r="Q462" s="216"/>
      <c r="R462" s="216"/>
      <c r="S462" s="216"/>
      <c r="T462" s="216"/>
      <c r="U462" s="216"/>
      <c r="V462" s="216"/>
      <c r="W462" s="216"/>
      <c r="X462" s="216"/>
      <c r="Y462" s="216"/>
      <c r="Z462" s="216"/>
      <c r="AA462" s="216"/>
    </row>
    <row r="463" ht="15.0" customHeight="1">
      <c r="A463" s="214"/>
      <c r="B463" s="214"/>
      <c r="C463" s="214"/>
      <c r="D463" s="214"/>
      <c r="E463" s="214"/>
      <c r="F463" s="214"/>
      <c r="G463" s="214"/>
      <c r="H463" s="214"/>
      <c r="I463" s="214"/>
      <c r="J463" s="214"/>
      <c r="K463" s="214"/>
      <c r="L463" s="214"/>
      <c r="M463" s="214"/>
      <c r="N463" s="216"/>
      <c r="O463" s="216"/>
      <c r="P463" s="216"/>
      <c r="Q463" s="216"/>
      <c r="R463" s="216"/>
      <c r="S463" s="216"/>
      <c r="T463" s="216"/>
      <c r="U463" s="216"/>
      <c r="V463" s="216"/>
      <c r="W463" s="216"/>
      <c r="X463" s="216"/>
      <c r="Y463" s="216"/>
      <c r="Z463" s="216"/>
      <c r="AA463" s="216"/>
    </row>
    <row r="464" ht="15.0" customHeight="1">
      <c r="A464" s="214"/>
      <c r="B464" s="214"/>
      <c r="C464" s="214"/>
      <c r="D464" s="214"/>
      <c r="E464" s="214"/>
      <c r="F464" s="214"/>
      <c r="G464" s="214"/>
      <c r="H464" s="214"/>
      <c r="I464" s="214"/>
      <c r="J464" s="214"/>
      <c r="K464" s="214"/>
      <c r="L464" s="214"/>
      <c r="M464" s="214"/>
      <c r="N464" s="216"/>
      <c r="O464" s="216"/>
      <c r="P464" s="216"/>
      <c r="Q464" s="216"/>
      <c r="R464" s="216"/>
      <c r="S464" s="216"/>
      <c r="T464" s="216"/>
      <c r="U464" s="216"/>
      <c r="V464" s="216"/>
      <c r="W464" s="216"/>
      <c r="X464" s="216"/>
      <c r="Y464" s="216"/>
      <c r="Z464" s="216"/>
      <c r="AA464" s="216"/>
    </row>
    <row r="465" ht="15.0" customHeight="1">
      <c r="A465" s="214"/>
      <c r="B465" s="214"/>
      <c r="C465" s="214"/>
      <c r="D465" s="214"/>
      <c r="E465" s="214"/>
      <c r="F465" s="214"/>
      <c r="G465" s="214"/>
      <c r="H465" s="214"/>
      <c r="I465" s="214"/>
      <c r="J465" s="214"/>
      <c r="K465" s="214"/>
      <c r="L465" s="214"/>
      <c r="M465" s="214"/>
      <c r="N465" s="216"/>
      <c r="O465" s="216"/>
      <c r="P465" s="216"/>
      <c r="Q465" s="216"/>
      <c r="R465" s="216"/>
      <c r="S465" s="216"/>
      <c r="T465" s="216"/>
      <c r="U465" s="216"/>
      <c r="V465" s="216"/>
      <c r="W465" s="216"/>
      <c r="X465" s="216"/>
      <c r="Y465" s="216"/>
      <c r="Z465" s="216"/>
      <c r="AA465" s="216"/>
    </row>
    <row r="466" ht="15.0" customHeight="1">
      <c r="A466" s="214"/>
      <c r="B466" s="214"/>
      <c r="C466" s="214"/>
      <c r="D466" s="214"/>
      <c r="E466" s="214"/>
      <c r="F466" s="214"/>
      <c r="G466" s="214"/>
      <c r="H466" s="214"/>
      <c r="I466" s="214"/>
      <c r="J466" s="214"/>
      <c r="K466" s="214"/>
      <c r="L466" s="214"/>
      <c r="M466" s="214"/>
      <c r="N466" s="216"/>
      <c r="O466" s="216"/>
      <c r="P466" s="216"/>
      <c r="Q466" s="216"/>
      <c r="R466" s="216"/>
      <c r="S466" s="216"/>
      <c r="T466" s="216"/>
      <c r="U466" s="216"/>
      <c r="V466" s="216"/>
      <c r="W466" s="216"/>
      <c r="X466" s="216"/>
      <c r="Y466" s="216"/>
      <c r="Z466" s="216"/>
      <c r="AA466" s="216"/>
    </row>
    <row r="467" ht="15.0" customHeight="1">
      <c r="A467" s="214"/>
      <c r="B467" s="214"/>
      <c r="C467" s="214"/>
      <c r="D467" s="214"/>
      <c r="E467" s="214"/>
      <c r="F467" s="214"/>
      <c r="G467" s="214"/>
      <c r="H467" s="214"/>
      <c r="I467" s="214"/>
      <c r="J467" s="214"/>
      <c r="K467" s="214"/>
      <c r="L467" s="214"/>
      <c r="M467" s="214"/>
      <c r="N467" s="216"/>
      <c r="O467" s="216"/>
      <c r="P467" s="216"/>
      <c r="Q467" s="216"/>
      <c r="R467" s="216"/>
      <c r="S467" s="216"/>
      <c r="T467" s="216"/>
      <c r="U467" s="216"/>
      <c r="V467" s="216"/>
      <c r="W467" s="216"/>
      <c r="X467" s="216"/>
      <c r="Y467" s="216"/>
      <c r="Z467" s="216"/>
      <c r="AA467" s="216"/>
    </row>
    <row r="468" ht="15.0" customHeight="1">
      <c r="A468" s="214"/>
      <c r="B468" s="214"/>
      <c r="C468" s="214"/>
      <c r="D468" s="214"/>
      <c r="E468" s="214"/>
      <c r="F468" s="214"/>
      <c r="G468" s="214"/>
      <c r="H468" s="214"/>
      <c r="I468" s="214"/>
      <c r="J468" s="214"/>
      <c r="K468" s="214"/>
      <c r="L468" s="214"/>
      <c r="M468" s="214"/>
      <c r="N468" s="216"/>
      <c r="O468" s="216"/>
      <c r="P468" s="216"/>
      <c r="Q468" s="216"/>
      <c r="R468" s="216"/>
      <c r="S468" s="216"/>
      <c r="T468" s="216"/>
      <c r="U468" s="216"/>
      <c r="V468" s="216"/>
      <c r="W468" s="216"/>
      <c r="X468" s="216"/>
      <c r="Y468" s="216"/>
      <c r="Z468" s="216"/>
      <c r="AA468" s="216"/>
    </row>
    <row r="469" ht="15.0" customHeight="1">
      <c r="A469" s="214"/>
      <c r="B469" s="214"/>
      <c r="C469" s="214"/>
      <c r="D469" s="214"/>
      <c r="E469" s="214"/>
      <c r="F469" s="214"/>
      <c r="G469" s="214"/>
      <c r="H469" s="214"/>
      <c r="I469" s="214"/>
      <c r="J469" s="214"/>
      <c r="K469" s="214"/>
      <c r="L469" s="214"/>
      <c r="M469" s="214"/>
      <c r="N469" s="216"/>
      <c r="O469" s="216"/>
      <c r="P469" s="216"/>
      <c r="Q469" s="216"/>
      <c r="R469" s="216"/>
      <c r="S469" s="216"/>
      <c r="T469" s="216"/>
      <c r="U469" s="216"/>
      <c r="V469" s="216"/>
      <c r="W469" s="216"/>
      <c r="X469" s="216"/>
      <c r="Y469" s="216"/>
      <c r="Z469" s="216"/>
      <c r="AA469" s="216"/>
    </row>
    <row r="470" ht="15.0" customHeight="1">
      <c r="A470" s="214"/>
      <c r="B470" s="214"/>
      <c r="C470" s="214"/>
      <c r="D470" s="214"/>
      <c r="E470" s="214"/>
      <c r="F470" s="214"/>
      <c r="G470" s="214"/>
      <c r="H470" s="214"/>
      <c r="I470" s="214"/>
      <c r="J470" s="214"/>
      <c r="K470" s="214"/>
      <c r="L470" s="214"/>
      <c r="M470" s="214"/>
      <c r="N470" s="216"/>
      <c r="O470" s="216"/>
      <c r="P470" s="216"/>
      <c r="Q470" s="216"/>
      <c r="R470" s="216"/>
      <c r="S470" s="216"/>
      <c r="T470" s="216"/>
      <c r="U470" s="216"/>
      <c r="V470" s="216"/>
      <c r="W470" s="216"/>
      <c r="X470" s="216"/>
      <c r="Y470" s="216"/>
      <c r="Z470" s="216"/>
      <c r="AA470" s="216"/>
    </row>
    <row r="471" ht="15.0" customHeight="1">
      <c r="A471" s="214"/>
      <c r="B471" s="214"/>
      <c r="C471" s="214"/>
      <c r="D471" s="214"/>
      <c r="E471" s="214"/>
      <c r="F471" s="214"/>
      <c r="G471" s="214"/>
      <c r="H471" s="214"/>
      <c r="I471" s="214"/>
      <c r="J471" s="214"/>
      <c r="K471" s="214"/>
      <c r="L471" s="214"/>
      <c r="M471" s="214"/>
      <c r="N471" s="216"/>
      <c r="O471" s="216"/>
      <c r="P471" s="216"/>
      <c r="Q471" s="216"/>
      <c r="R471" s="216"/>
      <c r="S471" s="216"/>
      <c r="T471" s="216"/>
      <c r="U471" s="216"/>
      <c r="V471" s="216"/>
      <c r="W471" s="216"/>
      <c r="X471" s="216"/>
      <c r="Y471" s="216"/>
      <c r="Z471" s="216"/>
      <c r="AA471" s="216"/>
    </row>
    <row r="472" ht="15.0" customHeight="1">
      <c r="A472" s="214"/>
      <c r="B472" s="214"/>
      <c r="C472" s="214"/>
      <c r="D472" s="214"/>
      <c r="E472" s="214"/>
      <c r="F472" s="214"/>
      <c r="G472" s="214"/>
      <c r="H472" s="214"/>
      <c r="I472" s="214"/>
      <c r="J472" s="214"/>
      <c r="K472" s="214"/>
      <c r="L472" s="214"/>
      <c r="M472" s="214"/>
      <c r="N472" s="216"/>
      <c r="O472" s="216"/>
      <c r="P472" s="216"/>
      <c r="Q472" s="216"/>
      <c r="R472" s="216"/>
      <c r="S472" s="216"/>
      <c r="T472" s="216"/>
      <c r="U472" s="216"/>
      <c r="V472" s="216"/>
      <c r="W472" s="216"/>
      <c r="X472" s="216"/>
      <c r="Y472" s="216"/>
      <c r="Z472" s="216"/>
      <c r="AA472" s="216"/>
    </row>
    <row r="473" ht="15.0" customHeight="1">
      <c r="A473" s="214"/>
      <c r="B473" s="214"/>
      <c r="C473" s="214"/>
      <c r="D473" s="214"/>
      <c r="E473" s="214"/>
      <c r="F473" s="214"/>
      <c r="G473" s="214"/>
      <c r="H473" s="214"/>
      <c r="I473" s="214"/>
      <c r="J473" s="214"/>
      <c r="K473" s="214"/>
      <c r="L473" s="214"/>
      <c r="M473" s="214"/>
      <c r="N473" s="216"/>
      <c r="O473" s="216"/>
      <c r="P473" s="216"/>
      <c r="Q473" s="216"/>
      <c r="R473" s="216"/>
      <c r="S473" s="216"/>
      <c r="T473" s="216"/>
      <c r="U473" s="216"/>
      <c r="V473" s="216"/>
      <c r="W473" s="216"/>
      <c r="X473" s="216"/>
      <c r="Y473" s="216"/>
      <c r="Z473" s="216"/>
      <c r="AA473" s="216"/>
    </row>
    <row r="474" ht="15.0" customHeight="1">
      <c r="A474" s="214"/>
      <c r="B474" s="214"/>
      <c r="C474" s="214"/>
      <c r="D474" s="214"/>
      <c r="E474" s="214"/>
      <c r="F474" s="214"/>
      <c r="G474" s="214"/>
      <c r="H474" s="214"/>
      <c r="I474" s="214"/>
      <c r="J474" s="214"/>
      <c r="K474" s="214"/>
      <c r="L474" s="214"/>
      <c r="M474" s="214"/>
      <c r="N474" s="216"/>
      <c r="O474" s="216"/>
      <c r="P474" s="216"/>
      <c r="Q474" s="216"/>
      <c r="R474" s="216"/>
      <c r="S474" s="216"/>
      <c r="T474" s="216"/>
      <c r="U474" s="216"/>
      <c r="V474" s="216"/>
      <c r="W474" s="216"/>
      <c r="X474" s="216"/>
      <c r="Y474" s="216"/>
      <c r="Z474" s="216"/>
      <c r="AA474" s="216"/>
    </row>
    <row r="475" ht="15.0" customHeight="1">
      <c r="A475" s="214"/>
      <c r="B475" s="214"/>
      <c r="C475" s="214"/>
      <c r="D475" s="214"/>
      <c r="E475" s="214"/>
      <c r="F475" s="214"/>
      <c r="G475" s="214"/>
      <c r="H475" s="214"/>
      <c r="I475" s="214"/>
      <c r="J475" s="214"/>
      <c r="K475" s="214"/>
      <c r="L475" s="214"/>
      <c r="M475" s="214"/>
      <c r="N475" s="216"/>
      <c r="O475" s="216"/>
      <c r="P475" s="216"/>
      <c r="Q475" s="216"/>
      <c r="R475" s="216"/>
      <c r="S475" s="216"/>
      <c r="T475" s="216"/>
      <c r="U475" s="216"/>
      <c r="V475" s="216"/>
      <c r="W475" s="216"/>
      <c r="X475" s="216"/>
      <c r="Y475" s="216"/>
      <c r="Z475" s="216"/>
      <c r="AA475" s="216"/>
    </row>
    <row r="476" ht="15.0" customHeight="1">
      <c r="A476" s="214"/>
      <c r="B476" s="214"/>
      <c r="C476" s="214"/>
      <c r="D476" s="214"/>
      <c r="E476" s="214"/>
      <c r="F476" s="214"/>
      <c r="G476" s="214"/>
      <c r="H476" s="214"/>
      <c r="I476" s="214"/>
      <c r="J476" s="214"/>
      <c r="K476" s="214"/>
      <c r="L476" s="214"/>
      <c r="M476" s="214"/>
      <c r="N476" s="216"/>
      <c r="O476" s="216"/>
      <c r="P476" s="216"/>
      <c r="Q476" s="216"/>
      <c r="R476" s="216"/>
      <c r="S476" s="216"/>
      <c r="T476" s="216"/>
      <c r="U476" s="216"/>
      <c r="V476" s="216"/>
      <c r="W476" s="216"/>
      <c r="X476" s="216"/>
      <c r="Y476" s="216"/>
      <c r="Z476" s="216"/>
      <c r="AA476" s="216"/>
    </row>
    <row r="477" ht="15.0" customHeight="1">
      <c r="A477" s="214"/>
      <c r="B477" s="214"/>
      <c r="C477" s="214"/>
      <c r="D477" s="214"/>
      <c r="E477" s="214"/>
      <c r="F477" s="214"/>
      <c r="G477" s="214"/>
      <c r="H477" s="214"/>
      <c r="I477" s="214"/>
      <c r="J477" s="214"/>
      <c r="K477" s="214"/>
      <c r="L477" s="214"/>
      <c r="M477" s="214"/>
      <c r="N477" s="216"/>
      <c r="O477" s="216"/>
      <c r="P477" s="216"/>
      <c r="Q477" s="216"/>
      <c r="R477" s="216"/>
      <c r="S477" s="216"/>
      <c r="T477" s="216"/>
      <c r="U477" s="216"/>
      <c r="V477" s="216"/>
      <c r="W477" s="216"/>
      <c r="X477" s="216"/>
      <c r="Y477" s="216"/>
      <c r="Z477" s="216"/>
      <c r="AA477" s="216"/>
    </row>
    <row r="478" ht="15.0" customHeight="1">
      <c r="A478" s="214"/>
      <c r="B478" s="214"/>
      <c r="C478" s="214"/>
      <c r="D478" s="214"/>
      <c r="E478" s="214"/>
      <c r="F478" s="214"/>
      <c r="G478" s="214"/>
      <c r="H478" s="214"/>
      <c r="I478" s="214"/>
      <c r="J478" s="214"/>
      <c r="K478" s="214"/>
      <c r="L478" s="214"/>
      <c r="M478" s="214"/>
      <c r="N478" s="216"/>
      <c r="O478" s="216"/>
      <c r="P478" s="216"/>
      <c r="Q478" s="216"/>
      <c r="R478" s="216"/>
      <c r="S478" s="216"/>
      <c r="T478" s="216"/>
      <c r="U478" s="216"/>
      <c r="V478" s="216"/>
      <c r="W478" s="216"/>
      <c r="X478" s="216"/>
      <c r="Y478" s="216"/>
      <c r="Z478" s="216"/>
      <c r="AA478" s="216"/>
    </row>
    <row r="479" ht="15.0" customHeight="1">
      <c r="A479" s="214"/>
      <c r="B479" s="214"/>
      <c r="C479" s="214"/>
      <c r="D479" s="214"/>
      <c r="E479" s="214"/>
      <c r="F479" s="214"/>
      <c r="G479" s="214"/>
      <c r="H479" s="214"/>
      <c r="I479" s="214"/>
      <c r="J479" s="214"/>
      <c r="K479" s="214"/>
      <c r="L479" s="214"/>
      <c r="M479" s="214"/>
      <c r="N479" s="216"/>
      <c r="O479" s="216"/>
      <c r="P479" s="216"/>
      <c r="Q479" s="216"/>
      <c r="R479" s="216"/>
      <c r="S479" s="216"/>
      <c r="T479" s="216"/>
      <c r="U479" s="216"/>
      <c r="V479" s="216"/>
      <c r="W479" s="216"/>
      <c r="X479" s="216"/>
      <c r="Y479" s="216"/>
      <c r="Z479" s="216"/>
      <c r="AA479" s="216"/>
    </row>
    <row r="480" ht="15.0" customHeight="1">
      <c r="A480" s="214"/>
      <c r="B480" s="214"/>
      <c r="C480" s="214"/>
      <c r="D480" s="214"/>
      <c r="E480" s="214"/>
      <c r="F480" s="214"/>
      <c r="G480" s="214"/>
      <c r="H480" s="214"/>
      <c r="I480" s="214"/>
      <c r="J480" s="214"/>
      <c r="K480" s="214"/>
      <c r="L480" s="214"/>
      <c r="M480" s="214"/>
      <c r="N480" s="216"/>
      <c r="O480" s="216"/>
      <c r="P480" s="216"/>
      <c r="Q480" s="216"/>
      <c r="R480" s="216"/>
      <c r="S480" s="216"/>
      <c r="T480" s="216"/>
      <c r="U480" s="216"/>
      <c r="V480" s="216"/>
      <c r="W480" s="216"/>
      <c r="X480" s="216"/>
      <c r="Y480" s="216"/>
      <c r="Z480" s="216"/>
      <c r="AA480" s="216"/>
    </row>
    <row r="481" ht="15.0" customHeight="1">
      <c r="A481" s="214"/>
      <c r="B481" s="214"/>
      <c r="C481" s="214"/>
      <c r="D481" s="214"/>
      <c r="E481" s="214"/>
      <c r="F481" s="214"/>
      <c r="G481" s="214"/>
      <c r="H481" s="214"/>
      <c r="I481" s="214"/>
      <c r="J481" s="214"/>
      <c r="K481" s="214"/>
      <c r="L481" s="214"/>
      <c r="M481" s="214"/>
      <c r="N481" s="216"/>
      <c r="O481" s="216"/>
      <c r="P481" s="216"/>
      <c r="Q481" s="216"/>
      <c r="R481" s="216"/>
      <c r="S481" s="216"/>
      <c r="T481" s="216"/>
      <c r="U481" s="216"/>
      <c r="V481" s="216"/>
      <c r="W481" s="216"/>
      <c r="X481" s="216"/>
      <c r="Y481" s="216"/>
      <c r="Z481" s="216"/>
      <c r="AA481" s="216"/>
    </row>
    <row r="482" ht="15.0" customHeight="1">
      <c r="A482" s="214"/>
      <c r="B482" s="214"/>
      <c r="C482" s="214"/>
      <c r="D482" s="214"/>
      <c r="E482" s="214"/>
      <c r="F482" s="214"/>
      <c r="G482" s="214"/>
      <c r="H482" s="214"/>
      <c r="I482" s="214"/>
      <c r="J482" s="214"/>
      <c r="K482" s="214"/>
      <c r="L482" s="214"/>
      <c r="M482" s="214"/>
      <c r="N482" s="216"/>
      <c r="O482" s="216"/>
      <c r="P482" s="216"/>
      <c r="Q482" s="216"/>
      <c r="R482" s="216"/>
      <c r="S482" s="216"/>
      <c r="T482" s="216"/>
      <c r="U482" s="216"/>
      <c r="V482" s="216"/>
      <c r="W482" s="216"/>
      <c r="X482" s="216"/>
      <c r="Y482" s="216"/>
      <c r="Z482" s="216"/>
      <c r="AA482" s="216"/>
    </row>
    <row r="483" ht="15.0" customHeight="1">
      <c r="A483" s="214"/>
      <c r="B483" s="214"/>
      <c r="C483" s="214"/>
      <c r="D483" s="214"/>
      <c r="E483" s="214"/>
      <c r="F483" s="214"/>
      <c r="G483" s="214"/>
      <c r="H483" s="214"/>
      <c r="I483" s="214"/>
      <c r="J483" s="214"/>
      <c r="K483" s="214"/>
      <c r="L483" s="214"/>
      <c r="M483" s="214"/>
      <c r="N483" s="216"/>
      <c r="O483" s="216"/>
      <c r="P483" s="216"/>
      <c r="Q483" s="216"/>
      <c r="R483" s="216"/>
      <c r="S483" s="216"/>
      <c r="T483" s="216"/>
      <c r="U483" s="216"/>
      <c r="V483" s="216"/>
      <c r="W483" s="216"/>
      <c r="X483" s="216"/>
      <c r="Y483" s="216"/>
      <c r="Z483" s="216"/>
      <c r="AA483" s="216"/>
    </row>
    <row r="484" ht="15.0" customHeight="1">
      <c r="A484" s="214"/>
      <c r="B484" s="214"/>
      <c r="C484" s="214"/>
      <c r="D484" s="214"/>
      <c r="E484" s="214"/>
      <c r="F484" s="214"/>
      <c r="G484" s="214"/>
      <c r="H484" s="214"/>
      <c r="I484" s="214"/>
      <c r="J484" s="214"/>
      <c r="K484" s="214"/>
      <c r="L484" s="214"/>
      <c r="M484" s="214"/>
      <c r="N484" s="216"/>
      <c r="O484" s="216"/>
      <c r="P484" s="216"/>
      <c r="Q484" s="216"/>
      <c r="R484" s="216"/>
      <c r="S484" s="216"/>
      <c r="T484" s="216"/>
      <c r="U484" s="216"/>
      <c r="V484" s="216"/>
      <c r="W484" s="216"/>
      <c r="X484" s="216"/>
      <c r="Y484" s="216"/>
      <c r="Z484" s="216"/>
      <c r="AA484" s="216"/>
    </row>
    <row r="485" ht="15.0" customHeight="1">
      <c r="A485" s="214"/>
      <c r="B485" s="214"/>
      <c r="C485" s="214"/>
      <c r="D485" s="214"/>
      <c r="E485" s="214"/>
      <c r="F485" s="214"/>
      <c r="G485" s="214"/>
      <c r="H485" s="214"/>
      <c r="I485" s="214"/>
      <c r="J485" s="214"/>
      <c r="K485" s="214"/>
      <c r="L485" s="214"/>
      <c r="M485" s="214"/>
      <c r="N485" s="216"/>
      <c r="O485" s="216"/>
      <c r="P485" s="216"/>
      <c r="Q485" s="216"/>
      <c r="R485" s="216"/>
      <c r="S485" s="216"/>
      <c r="T485" s="216"/>
      <c r="U485" s="216"/>
      <c r="V485" s="216"/>
      <c r="W485" s="216"/>
      <c r="X485" s="216"/>
      <c r="Y485" s="216"/>
      <c r="Z485" s="216"/>
      <c r="AA485" s="216"/>
    </row>
    <row r="486" ht="15.0" customHeight="1">
      <c r="A486" s="214"/>
      <c r="B486" s="214"/>
      <c r="C486" s="214"/>
      <c r="D486" s="214"/>
      <c r="E486" s="214"/>
      <c r="F486" s="214"/>
      <c r="G486" s="214"/>
      <c r="H486" s="214"/>
      <c r="I486" s="214"/>
      <c r="J486" s="214"/>
      <c r="K486" s="214"/>
      <c r="L486" s="214"/>
      <c r="M486" s="214"/>
      <c r="N486" s="216"/>
      <c r="O486" s="216"/>
      <c r="P486" s="216"/>
      <c r="Q486" s="216"/>
      <c r="R486" s="216"/>
      <c r="S486" s="216"/>
      <c r="T486" s="216"/>
      <c r="U486" s="216"/>
      <c r="V486" s="216"/>
      <c r="W486" s="216"/>
      <c r="X486" s="216"/>
      <c r="Y486" s="216"/>
      <c r="Z486" s="216"/>
      <c r="AA486" s="216"/>
    </row>
    <row r="487" ht="15.0" customHeight="1">
      <c r="A487" s="214"/>
      <c r="B487" s="214"/>
      <c r="C487" s="214"/>
      <c r="D487" s="214"/>
      <c r="E487" s="214"/>
      <c r="F487" s="214"/>
      <c r="G487" s="214"/>
      <c r="H487" s="214"/>
      <c r="I487" s="214"/>
      <c r="J487" s="214"/>
      <c r="K487" s="214"/>
      <c r="L487" s="214"/>
      <c r="M487" s="214"/>
      <c r="N487" s="216"/>
      <c r="O487" s="216"/>
      <c r="P487" s="216"/>
      <c r="Q487" s="216"/>
      <c r="R487" s="216"/>
      <c r="S487" s="216"/>
      <c r="T487" s="216"/>
      <c r="U487" s="216"/>
      <c r="V487" s="216"/>
      <c r="W487" s="216"/>
      <c r="X487" s="216"/>
      <c r="Y487" s="216"/>
      <c r="Z487" s="216"/>
      <c r="AA487" s="216"/>
    </row>
    <row r="488" ht="15.0" customHeight="1">
      <c r="A488" s="214"/>
      <c r="B488" s="214"/>
      <c r="C488" s="214"/>
      <c r="D488" s="214"/>
      <c r="E488" s="214"/>
      <c r="F488" s="214"/>
      <c r="G488" s="214"/>
      <c r="H488" s="214"/>
      <c r="I488" s="214"/>
      <c r="J488" s="214"/>
      <c r="K488" s="214"/>
      <c r="L488" s="214"/>
      <c r="M488" s="214"/>
      <c r="N488" s="216"/>
      <c r="O488" s="216"/>
      <c r="P488" s="216"/>
      <c r="Q488" s="216"/>
      <c r="R488" s="216"/>
      <c r="S488" s="216"/>
      <c r="T488" s="216"/>
      <c r="U488" s="216"/>
      <c r="V488" s="216"/>
      <c r="W488" s="216"/>
      <c r="X488" s="216"/>
      <c r="Y488" s="216"/>
      <c r="Z488" s="216"/>
      <c r="AA488" s="216"/>
    </row>
    <row r="489" ht="15.0" customHeight="1">
      <c r="A489" s="214"/>
      <c r="B489" s="214"/>
      <c r="C489" s="214"/>
      <c r="D489" s="214"/>
      <c r="E489" s="214"/>
      <c r="F489" s="214"/>
      <c r="G489" s="214"/>
      <c r="H489" s="214"/>
      <c r="I489" s="214"/>
      <c r="J489" s="214"/>
      <c r="K489" s="214"/>
      <c r="L489" s="214"/>
      <c r="M489" s="214"/>
      <c r="N489" s="216"/>
      <c r="O489" s="216"/>
      <c r="P489" s="216"/>
      <c r="Q489" s="216"/>
      <c r="R489" s="216"/>
      <c r="S489" s="216"/>
      <c r="T489" s="216"/>
      <c r="U489" s="216"/>
      <c r="V489" s="216"/>
      <c r="W489" s="216"/>
      <c r="X489" s="216"/>
      <c r="Y489" s="216"/>
      <c r="Z489" s="216"/>
      <c r="AA489" s="216"/>
    </row>
    <row r="490" ht="15.0" customHeight="1">
      <c r="A490" s="214"/>
      <c r="B490" s="214"/>
      <c r="C490" s="214"/>
      <c r="D490" s="214"/>
      <c r="E490" s="214"/>
      <c r="F490" s="214"/>
      <c r="G490" s="214"/>
      <c r="H490" s="214"/>
      <c r="I490" s="214"/>
      <c r="J490" s="214"/>
      <c r="K490" s="214"/>
      <c r="L490" s="214"/>
      <c r="M490" s="214"/>
      <c r="N490" s="216"/>
      <c r="O490" s="216"/>
      <c r="P490" s="216"/>
      <c r="Q490" s="216"/>
      <c r="R490" s="216"/>
      <c r="S490" s="216"/>
      <c r="T490" s="216"/>
      <c r="U490" s="216"/>
      <c r="V490" s="216"/>
      <c r="W490" s="216"/>
      <c r="X490" s="216"/>
      <c r="Y490" s="216"/>
      <c r="Z490" s="216"/>
      <c r="AA490" s="216"/>
    </row>
    <row r="491" ht="15.0" customHeight="1">
      <c r="A491" s="214"/>
      <c r="B491" s="214"/>
      <c r="C491" s="214"/>
      <c r="D491" s="214"/>
      <c r="E491" s="214"/>
      <c r="F491" s="214"/>
      <c r="G491" s="214"/>
      <c r="H491" s="214"/>
      <c r="I491" s="214"/>
      <c r="J491" s="214"/>
      <c r="K491" s="214"/>
      <c r="L491" s="214"/>
      <c r="M491" s="214"/>
      <c r="N491" s="216"/>
      <c r="O491" s="216"/>
      <c r="P491" s="216"/>
      <c r="Q491" s="216"/>
      <c r="R491" s="216"/>
      <c r="S491" s="216"/>
      <c r="T491" s="216"/>
      <c r="U491" s="216"/>
      <c r="V491" s="216"/>
      <c r="W491" s="216"/>
      <c r="X491" s="216"/>
      <c r="Y491" s="216"/>
      <c r="Z491" s="216"/>
      <c r="AA491" s="216"/>
    </row>
    <row r="492" ht="15.0" customHeight="1">
      <c r="A492" s="214"/>
      <c r="B492" s="214"/>
      <c r="C492" s="214"/>
      <c r="D492" s="214"/>
      <c r="E492" s="214"/>
      <c r="F492" s="214"/>
      <c r="G492" s="214"/>
      <c r="H492" s="214"/>
      <c r="I492" s="214"/>
      <c r="J492" s="214"/>
      <c r="K492" s="214"/>
      <c r="L492" s="214"/>
      <c r="M492" s="214"/>
      <c r="N492" s="216"/>
      <c r="O492" s="216"/>
      <c r="P492" s="216"/>
      <c r="Q492" s="216"/>
      <c r="R492" s="216"/>
      <c r="S492" s="216"/>
      <c r="T492" s="216"/>
      <c r="U492" s="216"/>
      <c r="V492" s="216"/>
      <c r="W492" s="216"/>
      <c r="X492" s="216"/>
      <c r="Y492" s="216"/>
      <c r="Z492" s="216"/>
      <c r="AA492" s="216"/>
    </row>
    <row r="493" ht="15.0" customHeight="1">
      <c r="A493" s="214"/>
      <c r="B493" s="214"/>
      <c r="C493" s="214"/>
      <c r="D493" s="214"/>
      <c r="E493" s="214"/>
      <c r="F493" s="214"/>
      <c r="G493" s="214"/>
      <c r="H493" s="214"/>
      <c r="I493" s="214"/>
      <c r="J493" s="214"/>
      <c r="K493" s="214"/>
      <c r="L493" s="214"/>
      <c r="M493" s="214"/>
      <c r="N493" s="216"/>
      <c r="O493" s="216"/>
      <c r="P493" s="216"/>
      <c r="Q493" s="216"/>
      <c r="R493" s="216"/>
      <c r="S493" s="216"/>
      <c r="T493" s="216"/>
      <c r="U493" s="216"/>
      <c r="V493" s="216"/>
      <c r="W493" s="216"/>
      <c r="X493" s="216"/>
      <c r="Y493" s="216"/>
      <c r="Z493" s="216"/>
      <c r="AA493" s="216"/>
    </row>
    <row r="494" ht="15.0" customHeight="1">
      <c r="A494" s="214"/>
      <c r="B494" s="214"/>
      <c r="C494" s="214"/>
      <c r="D494" s="214"/>
      <c r="E494" s="214"/>
      <c r="F494" s="214"/>
      <c r="G494" s="214"/>
      <c r="H494" s="214"/>
      <c r="I494" s="214"/>
      <c r="J494" s="214"/>
      <c r="K494" s="214"/>
      <c r="L494" s="214"/>
      <c r="M494" s="214"/>
      <c r="N494" s="216"/>
      <c r="O494" s="216"/>
      <c r="P494" s="216"/>
      <c r="Q494" s="216"/>
      <c r="R494" s="216"/>
      <c r="S494" s="216"/>
      <c r="T494" s="216"/>
      <c r="U494" s="216"/>
      <c r="V494" s="216"/>
      <c r="W494" s="216"/>
      <c r="X494" s="216"/>
      <c r="Y494" s="216"/>
      <c r="Z494" s="216"/>
      <c r="AA494" s="216"/>
    </row>
    <row r="495" ht="15.0" customHeight="1">
      <c r="A495" s="214"/>
      <c r="B495" s="214"/>
      <c r="C495" s="214"/>
      <c r="D495" s="214"/>
      <c r="E495" s="214"/>
      <c r="F495" s="214"/>
      <c r="G495" s="214"/>
      <c r="H495" s="214"/>
      <c r="I495" s="214"/>
      <c r="J495" s="214"/>
      <c r="K495" s="214"/>
      <c r="L495" s="214"/>
      <c r="M495" s="214"/>
      <c r="N495" s="216"/>
      <c r="O495" s="216"/>
      <c r="P495" s="216"/>
      <c r="Q495" s="216"/>
      <c r="R495" s="216"/>
      <c r="S495" s="216"/>
      <c r="T495" s="216"/>
      <c r="U495" s="216"/>
      <c r="V495" s="216"/>
      <c r="W495" s="216"/>
      <c r="X495" s="216"/>
      <c r="Y495" s="216"/>
      <c r="Z495" s="216"/>
      <c r="AA495" s="216"/>
    </row>
    <row r="496" ht="15.0" customHeight="1">
      <c r="A496" s="214"/>
      <c r="B496" s="214"/>
      <c r="C496" s="214"/>
      <c r="D496" s="214"/>
      <c r="E496" s="214"/>
      <c r="F496" s="214"/>
      <c r="G496" s="214"/>
      <c r="H496" s="214"/>
      <c r="I496" s="214"/>
      <c r="J496" s="214"/>
      <c r="K496" s="214"/>
      <c r="L496" s="214"/>
      <c r="M496" s="214"/>
      <c r="N496" s="216"/>
      <c r="O496" s="216"/>
      <c r="P496" s="216"/>
      <c r="Q496" s="216"/>
      <c r="R496" s="216"/>
      <c r="S496" s="216"/>
      <c r="T496" s="216"/>
      <c r="U496" s="216"/>
      <c r="V496" s="216"/>
      <c r="W496" s="216"/>
      <c r="X496" s="216"/>
      <c r="Y496" s="216"/>
      <c r="Z496" s="216"/>
      <c r="AA496" s="216"/>
    </row>
    <row r="497" ht="15.0" customHeight="1">
      <c r="A497" s="214"/>
      <c r="B497" s="214"/>
      <c r="C497" s="214"/>
      <c r="D497" s="214"/>
      <c r="E497" s="214"/>
      <c r="F497" s="214"/>
      <c r="G497" s="214"/>
      <c r="H497" s="214"/>
      <c r="I497" s="214"/>
      <c r="J497" s="214"/>
      <c r="K497" s="214"/>
      <c r="L497" s="214"/>
      <c r="M497" s="214"/>
      <c r="N497" s="216"/>
      <c r="O497" s="216"/>
      <c r="P497" s="216"/>
      <c r="Q497" s="216"/>
      <c r="R497" s="216"/>
      <c r="S497" s="216"/>
      <c r="T497" s="216"/>
      <c r="U497" s="216"/>
      <c r="V497" s="216"/>
      <c r="W497" s="216"/>
      <c r="X497" s="216"/>
      <c r="Y497" s="216"/>
      <c r="Z497" s="216"/>
      <c r="AA497" s="216"/>
    </row>
    <row r="498" ht="15.0" customHeight="1">
      <c r="A498" s="214"/>
      <c r="B498" s="214"/>
      <c r="C498" s="214"/>
      <c r="D498" s="214"/>
      <c r="E498" s="214"/>
      <c r="F498" s="214"/>
      <c r="G498" s="214"/>
      <c r="H498" s="214"/>
      <c r="I498" s="214"/>
      <c r="J498" s="214"/>
      <c r="K498" s="214"/>
      <c r="L498" s="214"/>
      <c r="M498" s="214"/>
      <c r="N498" s="216"/>
      <c r="O498" s="216"/>
      <c r="P498" s="216"/>
      <c r="Q498" s="216"/>
      <c r="R498" s="216"/>
      <c r="S498" s="216"/>
      <c r="T498" s="216"/>
      <c r="U498" s="216"/>
      <c r="V498" s="216"/>
      <c r="W498" s="216"/>
      <c r="X498" s="216"/>
      <c r="Y498" s="216"/>
      <c r="Z498" s="216"/>
      <c r="AA498" s="216"/>
    </row>
    <row r="499" ht="15.0" customHeight="1">
      <c r="A499" s="214"/>
      <c r="B499" s="214"/>
      <c r="C499" s="214"/>
      <c r="D499" s="214"/>
      <c r="E499" s="214"/>
      <c r="F499" s="214"/>
      <c r="G499" s="214"/>
      <c r="H499" s="214"/>
      <c r="I499" s="214"/>
      <c r="J499" s="214"/>
      <c r="K499" s="214"/>
      <c r="L499" s="214"/>
      <c r="M499" s="214"/>
      <c r="N499" s="216"/>
      <c r="O499" s="216"/>
      <c r="P499" s="216"/>
      <c r="Q499" s="216"/>
      <c r="R499" s="216"/>
      <c r="S499" s="216"/>
      <c r="T499" s="216"/>
      <c r="U499" s="216"/>
      <c r="V499" s="216"/>
      <c r="W499" s="216"/>
      <c r="X499" s="216"/>
      <c r="Y499" s="216"/>
      <c r="Z499" s="216"/>
      <c r="AA499" s="216"/>
    </row>
    <row r="500" ht="15.0" customHeight="1">
      <c r="A500" s="214"/>
      <c r="B500" s="214"/>
      <c r="C500" s="214"/>
      <c r="D500" s="214"/>
      <c r="E500" s="214"/>
      <c r="F500" s="214"/>
      <c r="G500" s="214"/>
      <c r="H500" s="214"/>
      <c r="I500" s="214"/>
      <c r="J500" s="214"/>
      <c r="K500" s="214"/>
      <c r="L500" s="214"/>
      <c r="M500" s="214"/>
      <c r="N500" s="216"/>
      <c r="O500" s="216"/>
      <c r="P500" s="216"/>
      <c r="Q500" s="216"/>
      <c r="R500" s="216"/>
      <c r="S500" s="216"/>
      <c r="T500" s="216"/>
      <c r="U500" s="216"/>
      <c r="V500" s="216"/>
      <c r="W500" s="216"/>
      <c r="X500" s="216"/>
      <c r="Y500" s="216"/>
      <c r="Z500" s="216"/>
      <c r="AA500" s="216"/>
    </row>
    <row r="501" ht="15.0" customHeight="1">
      <c r="A501" s="214"/>
      <c r="B501" s="214"/>
      <c r="C501" s="214"/>
      <c r="D501" s="214"/>
      <c r="E501" s="214"/>
      <c r="F501" s="214"/>
      <c r="G501" s="214"/>
      <c r="H501" s="214"/>
      <c r="I501" s="214"/>
      <c r="J501" s="214"/>
      <c r="K501" s="214"/>
      <c r="L501" s="214"/>
      <c r="M501" s="214"/>
      <c r="N501" s="216"/>
      <c r="O501" s="216"/>
      <c r="P501" s="216"/>
      <c r="Q501" s="216"/>
      <c r="R501" s="216"/>
      <c r="S501" s="216"/>
      <c r="T501" s="216"/>
      <c r="U501" s="216"/>
      <c r="V501" s="216"/>
      <c r="W501" s="216"/>
      <c r="X501" s="216"/>
      <c r="Y501" s="216"/>
      <c r="Z501" s="216"/>
      <c r="AA501" s="216"/>
    </row>
    <row r="502" ht="15.0" customHeight="1">
      <c r="A502" s="214"/>
      <c r="B502" s="214"/>
      <c r="C502" s="214"/>
      <c r="D502" s="214"/>
      <c r="E502" s="214"/>
      <c r="F502" s="214"/>
      <c r="G502" s="214"/>
      <c r="H502" s="214"/>
      <c r="I502" s="214"/>
      <c r="J502" s="214"/>
      <c r="K502" s="214"/>
      <c r="L502" s="214"/>
      <c r="M502" s="214"/>
      <c r="N502" s="216"/>
      <c r="O502" s="216"/>
      <c r="P502" s="216"/>
      <c r="Q502" s="216"/>
      <c r="R502" s="216"/>
      <c r="S502" s="216"/>
      <c r="T502" s="216"/>
      <c r="U502" s="216"/>
      <c r="V502" s="216"/>
      <c r="W502" s="216"/>
      <c r="X502" s="216"/>
      <c r="Y502" s="216"/>
      <c r="Z502" s="216"/>
      <c r="AA502" s="216"/>
    </row>
    <row r="503" ht="15.0" customHeight="1">
      <c r="A503" s="214"/>
      <c r="B503" s="214"/>
      <c r="C503" s="214"/>
      <c r="D503" s="214"/>
      <c r="E503" s="214"/>
      <c r="F503" s="214"/>
      <c r="G503" s="214"/>
      <c r="H503" s="214"/>
      <c r="I503" s="214"/>
      <c r="J503" s="214"/>
      <c r="K503" s="214"/>
      <c r="L503" s="214"/>
      <c r="M503" s="214"/>
      <c r="N503" s="216"/>
      <c r="O503" s="216"/>
      <c r="P503" s="216"/>
      <c r="Q503" s="216"/>
      <c r="R503" s="216"/>
      <c r="S503" s="216"/>
      <c r="T503" s="216"/>
      <c r="U503" s="216"/>
      <c r="V503" s="216"/>
      <c r="W503" s="216"/>
      <c r="X503" s="216"/>
      <c r="Y503" s="216"/>
      <c r="Z503" s="216"/>
      <c r="AA503" s="216"/>
    </row>
    <row r="504" ht="15.0" customHeight="1">
      <c r="A504" s="214"/>
      <c r="B504" s="214"/>
      <c r="C504" s="214"/>
      <c r="D504" s="214"/>
      <c r="E504" s="214"/>
      <c r="F504" s="214"/>
      <c r="G504" s="214"/>
      <c r="H504" s="214"/>
      <c r="I504" s="214"/>
      <c r="J504" s="214"/>
      <c r="K504" s="214"/>
      <c r="L504" s="214"/>
      <c r="M504" s="214"/>
      <c r="N504" s="216"/>
      <c r="O504" s="216"/>
      <c r="P504" s="216"/>
      <c r="Q504" s="216"/>
      <c r="R504" s="216"/>
      <c r="S504" s="216"/>
      <c r="T504" s="216"/>
      <c r="U504" s="216"/>
      <c r="V504" s="216"/>
      <c r="W504" s="216"/>
      <c r="X504" s="216"/>
      <c r="Y504" s="216"/>
      <c r="Z504" s="216"/>
      <c r="AA504" s="216"/>
    </row>
    <row r="505" ht="15.0" customHeight="1">
      <c r="A505" s="214"/>
      <c r="B505" s="214"/>
      <c r="C505" s="214"/>
      <c r="D505" s="214"/>
      <c r="E505" s="214"/>
      <c r="F505" s="214"/>
      <c r="G505" s="214"/>
      <c r="H505" s="214"/>
      <c r="I505" s="214"/>
      <c r="J505" s="214"/>
      <c r="K505" s="214"/>
      <c r="L505" s="214"/>
      <c r="M505" s="214"/>
      <c r="N505" s="216"/>
      <c r="O505" s="216"/>
      <c r="P505" s="216"/>
      <c r="Q505" s="216"/>
      <c r="R505" s="216"/>
      <c r="S505" s="216"/>
      <c r="T505" s="216"/>
      <c r="U505" s="216"/>
      <c r="V505" s="216"/>
      <c r="W505" s="216"/>
      <c r="X505" s="216"/>
      <c r="Y505" s="216"/>
      <c r="Z505" s="216"/>
      <c r="AA505" s="216"/>
    </row>
    <row r="506" ht="15.0" customHeight="1">
      <c r="A506" s="214"/>
      <c r="B506" s="214"/>
      <c r="C506" s="214"/>
      <c r="D506" s="214"/>
      <c r="E506" s="214"/>
      <c r="F506" s="214"/>
      <c r="G506" s="214"/>
      <c r="H506" s="214"/>
      <c r="I506" s="214"/>
      <c r="J506" s="214"/>
      <c r="K506" s="214"/>
      <c r="L506" s="214"/>
      <c r="M506" s="214"/>
      <c r="N506" s="216"/>
      <c r="O506" s="216"/>
      <c r="P506" s="216"/>
      <c r="Q506" s="216"/>
      <c r="R506" s="216"/>
      <c r="S506" s="216"/>
      <c r="T506" s="216"/>
      <c r="U506" s="216"/>
      <c r="V506" s="216"/>
      <c r="W506" s="216"/>
      <c r="X506" s="216"/>
      <c r="Y506" s="216"/>
      <c r="Z506" s="216"/>
      <c r="AA506" s="216"/>
    </row>
    <row r="507" ht="15.0" customHeight="1">
      <c r="A507" s="214"/>
      <c r="B507" s="214"/>
      <c r="C507" s="214"/>
      <c r="D507" s="214"/>
      <c r="E507" s="214"/>
      <c r="F507" s="214"/>
      <c r="G507" s="214"/>
      <c r="H507" s="214"/>
      <c r="I507" s="214"/>
      <c r="J507" s="214"/>
      <c r="K507" s="214"/>
      <c r="L507" s="214"/>
      <c r="M507" s="214"/>
      <c r="N507" s="216"/>
      <c r="O507" s="216"/>
      <c r="P507" s="216"/>
      <c r="Q507" s="216"/>
      <c r="R507" s="216"/>
      <c r="S507" s="216"/>
      <c r="T507" s="216"/>
      <c r="U507" s="216"/>
      <c r="V507" s="216"/>
      <c r="W507" s="216"/>
      <c r="X507" s="216"/>
      <c r="Y507" s="216"/>
      <c r="Z507" s="216"/>
      <c r="AA507" s="216"/>
    </row>
    <row r="508" ht="15.0" customHeight="1">
      <c r="A508" s="214"/>
      <c r="B508" s="214"/>
      <c r="C508" s="214"/>
      <c r="D508" s="214"/>
      <c r="E508" s="214"/>
      <c r="F508" s="214"/>
      <c r="G508" s="214"/>
      <c r="H508" s="214"/>
      <c r="I508" s="214"/>
      <c r="J508" s="214"/>
      <c r="K508" s="214"/>
      <c r="L508" s="214"/>
      <c r="M508" s="214"/>
      <c r="N508" s="216"/>
      <c r="O508" s="216"/>
      <c r="P508" s="216"/>
      <c r="Q508" s="216"/>
      <c r="R508" s="216"/>
      <c r="S508" s="216"/>
      <c r="T508" s="216"/>
      <c r="U508" s="216"/>
      <c r="V508" s="216"/>
      <c r="W508" s="216"/>
      <c r="X508" s="216"/>
      <c r="Y508" s="216"/>
      <c r="Z508" s="216"/>
      <c r="AA508" s="216"/>
    </row>
    <row r="509" ht="15.0" customHeight="1">
      <c r="A509" s="214"/>
      <c r="B509" s="214"/>
      <c r="C509" s="214"/>
      <c r="D509" s="214"/>
      <c r="E509" s="214"/>
      <c r="F509" s="214"/>
      <c r="G509" s="214"/>
      <c r="H509" s="214"/>
      <c r="I509" s="214"/>
      <c r="J509" s="214"/>
      <c r="K509" s="214"/>
      <c r="L509" s="214"/>
      <c r="M509" s="214"/>
      <c r="N509" s="216"/>
      <c r="O509" s="216"/>
      <c r="P509" s="216"/>
      <c r="Q509" s="216"/>
      <c r="R509" s="216"/>
      <c r="S509" s="216"/>
      <c r="T509" s="216"/>
      <c r="U509" s="216"/>
      <c r="V509" s="216"/>
      <c r="W509" s="216"/>
      <c r="X509" s="216"/>
      <c r="Y509" s="216"/>
      <c r="Z509" s="216"/>
      <c r="AA509" s="216"/>
    </row>
    <row r="510" ht="15.0" customHeight="1">
      <c r="A510" s="214"/>
      <c r="B510" s="214"/>
      <c r="C510" s="214"/>
      <c r="D510" s="214"/>
      <c r="E510" s="214"/>
      <c r="F510" s="214"/>
      <c r="G510" s="214"/>
      <c r="H510" s="214"/>
      <c r="I510" s="214"/>
      <c r="J510" s="214"/>
      <c r="K510" s="214"/>
      <c r="L510" s="214"/>
      <c r="M510" s="214"/>
      <c r="N510" s="216"/>
      <c r="O510" s="216"/>
      <c r="P510" s="216"/>
      <c r="Q510" s="216"/>
      <c r="R510" s="216"/>
      <c r="S510" s="216"/>
      <c r="T510" s="216"/>
      <c r="U510" s="216"/>
      <c r="V510" s="216"/>
      <c r="W510" s="216"/>
      <c r="X510" s="216"/>
      <c r="Y510" s="216"/>
      <c r="Z510" s="216"/>
      <c r="AA510" s="216"/>
    </row>
    <row r="511" ht="15.0" customHeight="1">
      <c r="A511" s="214"/>
      <c r="B511" s="214"/>
      <c r="C511" s="214"/>
      <c r="D511" s="214"/>
      <c r="E511" s="214"/>
      <c r="F511" s="214"/>
      <c r="G511" s="214"/>
      <c r="H511" s="214"/>
      <c r="I511" s="214"/>
      <c r="J511" s="214"/>
      <c r="K511" s="214"/>
      <c r="L511" s="214"/>
      <c r="M511" s="214"/>
      <c r="N511" s="216"/>
      <c r="O511" s="216"/>
      <c r="P511" s="216"/>
      <c r="Q511" s="216"/>
      <c r="R511" s="216"/>
      <c r="S511" s="216"/>
      <c r="T511" s="216"/>
      <c r="U511" s="216"/>
      <c r="V511" s="216"/>
      <c r="W511" s="216"/>
      <c r="X511" s="216"/>
      <c r="Y511" s="216"/>
      <c r="Z511" s="216"/>
      <c r="AA511" s="216"/>
    </row>
    <row r="512" ht="15.0" customHeight="1">
      <c r="A512" s="214"/>
      <c r="B512" s="214"/>
      <c r="C512" s="214"/>
      <c r="D512" s="214"/>
      <c r="E512" s="214"/>
      <c r="F512" s="214"/>
      <c r="G512" s="214"/>
      <c r="H512" s="214"/>
      <c r="I512" s="214"/>
      <c r="J512" s="214"/>
      <c r="K512" s="214"/>
      <c r="L512" s="214"/>
      <c r="M512" s="214"/>
      <c r="N512" s="216"/>
      <c r="O512" s="216"/>
      <c r="P512" s="216"/>
      <c r="Q512" s="216"/>
      <c r="R512" s="216"/>
      <c r="S512" s="216"/>
      <c r="T512" s="216"/>
      <c r="U512" s="216"/>
      <c r="V512" s="216"/>
      <c r="W512" s="216"/>
      <c r="X512" s="216"/>
      <c r="Y512" s="216"/>
      <c r="Z512" s="216"/>
      <c r="AA512" s="216"/>
    </row>
    <row r="513" ht="15.0" customHeight="1">
      <c r="A513" s="214"/>
      <c r="B513" s="214"/>
      <c r="C513" s="214"/>
      <c r="D513" s="214"/>
      <c r="E513" s="214"/>
      <c r="F513" s="214"/>
      <c r="G513" s="214"/>
      <c r="H513" s="214"/>
      <c r="I513" s="214"/>
      <c r="J513" s="214"/>
      <c r="K513" s="214"/>
      <c r="L513" s="214"/>
      <c r="M513" s="214"/>
      <c r="N513" s="216"/>
      <c r="O513" s="216"/>
      <c r="P513" s="216"/>
      <c r="Q513" s="216"/>
      <c r="R513" s="216"/>
      <c r="S513" s="216"/>
      <c r="T513" s="216"/>
      <c r="U513" s="216"/>
      <c r="V513" s="216"/>
      <c r="W513" s="216"/>
      <c r="X513" s="216"/>
      <c r="Y513" s="216"/>
      <c r="Z513" s="216"/>
      <c r="AA513" s="216"/>
    </row>
    <row r="514" ht="15.0" customHeight="1">
      <c r="A514" s="214"/>
      <c r="B514" s="214"/>
      <c r="C514" s="214"/>
      <c r="D514" s="214"/>
      <c r="E514" s="214"/>
      <c r="F514" s="214"/>
      <c r="G514" s="214"/>
      <c r="H514" s="214"/>
      <c r="I514" s="214"/>
      <c r="J514" s="214"/>
      <c r="K514" s="214"/>
      <c r="L514" s="214"/>
      <c r="M514" s="214"/>
      <c r="N514" s="216"/>
      <c r="O514" s="216"/>
      <c r="P514" s="216"/>
      <c r="Q514" s="216"/>
      <c r="R514" s="216"/>
      <c r="S514" s="216"/>
      <c r="T514" s="216"/>
      <c r="U514" s="216"/>
      <c r="V514" s="216"/>
      <c r="W514" s="216"/>
      <c r="X514" s="216"/>
      <c r="Y514" s="216"/>
      <c r="Z514" s="216"/>
      <c r="AA514" s="216"/>
    </row>
    <row r="515" ht="15.0" customHeight="1">
      <c r="A515" s="214"/>
      <c r="B515" s="214"/>
      <c r="C515" s="214"/>
      <c r="D515" s="214"/>
      <c r="E515" s="214"/>
      <c r="F515" s="214"/>
      <c r="G515" s="214"/>
      <c r="H515" s="214"/>
      <c r="I515" s="214"/>
      <c r="J515" s="214"/>
      <c r="K515" s="214"/>
      <c r="L515" s="214"/>
      <c r="M515" s="214"/>
      <c r="N515" s="216"/>
      <c r="O515" s="216"/>
      <c r="P515" s="216"/>
      <c r="Q515" s="216"/>
      <c r="R515" s="216"/>
      <c r="S515" s="216"/>
      <c r="T515" s="216"/>
      <c r="U515" s="216"/>
      <c r="V515" s="216"/>
      <c r="W515" s="216"/>
      <c r="X515" s="216"/>
      <c r="Y515" s="216"/>
      <c r="Z515" s="216"/>
      <c r="AA515" s="216"/>
    </row>
    <row r="516" ht="15.0" customHeight="1">
      <c r="A516" s="214"/>
      <c r="B516" s="214"/>
      <c r="C516" s="214"/>
      <c r="D516" s="214"/>
      <c r="E516" s="214"/>
      <c r="F516" s="214"/>
      <c r="G516" s="214"/>
      <c r="H516" s="214"/>
      <c r="I516" s="214"/>
      <c r="J516" s="214"/>
      <c r="K516" s="214"/>
      <c r="L516" s="214"/>
      <c r="M516" s="214"/>
      <c r="N516" s="216"/>
      <c r="O516" s="216"/>
      <c r="P516" s="216"/>
      <c r="Q516" s="216"/>
      <c r="R516" s="216"/>
      <c r="S516" s="216"/>
      <c r="T516" s="216"/>
      <c r="U516" s="216"/>
      <c r="V516" s="216"/>
      <c r="W516" s="216"/>
      <c r="X516" s="216"/>
      <c r="Y516" s="216"/>
      <c r="Z516" s="216"/>
      <c r="AA516" s="216"/>
    </row>
    <row r="517" ht="15.0" customHeight="1">
      <c r="A517" s="214"/>
      <c r="B517" s="214"/>
      <c r="C517" s="214"/>
      <c r="D517" s="214"/>
      <c r="E517" s="214"/>
      <c r="F517" s="214"/>
      <c r="G517" s="214"/>
      <c r="H517" s="214"/>
      <c r="I517" s="214"/>
      <c r="J517" s="214"/>
      <c r="K517" s="214"/>
      <c r="L517" s="214"/>
      <c r="M517" s="214"/>
      <c r="N517" s="216"/>
      <c r="O517" s="216"/>
      <c r="P517" s="216"/>
      <c r="Q517" s="216"/>
      <c r="R517" s="216"/>
      <c r="S517" s="216"/>
      <c r="T517" s="216"/>
      <c r="U517" s="216"/>
      <c r="V517" s="216"/>
      <c r="W517" s="216"/>
      <c r="X517" s="216"/>
      <c r="Y517" s="216"/>
      <c r="Z517" s="216"/>
      <c r="AA517" s="216"/>
    </row>
    <row r="518" ht="15.0" customHeight="1">
      <c r="A518" s="214"/>
      <c r="B518" s="214"/>
      <c r="C518" s="214"/>
      <c r="D518" s="214"/>
      <c r="E518" s="214"/>
      <c r="F518" s="214"/>
      <c r="G518" s="214"/>
      <c r="H518" s="214"/>
      <c r="I518" s="214"/>
      <c r="J518" s="214"/>
      <c r="K518" s="214"/>
      <c r="L518" s="214"/>
      <c r="M518" s="214"/>
      <c r="N518" s="216"/>
      <c r="O518" s="216"/>
      <c r="P518" s="216"/>
      <c r="Q518" s="216"/>
      <c r="R518" s="216"/>
      <c r="S518" s="216"/>
      <c r="T518" s="216"/>
      <c r="U518" s="216"/>
      <c r="V518" s="216"/>
      <c r="W518" s="216"/>
      <c r="X518" s="216"/>
      <c r="Y518" s="216"/>
      <c r="Z518" s="216"/>
      <c r="AA518" s="216"/>
    </row>
    <row r="519" ht="15.0" customHeight="1">
      <c r="A519" s="214"/>
      <c r="B519" s="214"/>
      <c r="C519" s="214"/>
      <c r="D519" s="214"/>
      <c r="E519" s="214"/>
      <c r="F519" s="214"/>
      <c r="G519" s="214"/>
      <c r="H519" s="214"/>
      <c r="I519" s="214"/>
      <c r="J519" s="214"/>
      <c r="K519" s="214"/>
      <c r="L519" s="214"/>
      <c r="M519" s="214"/>
      <c r="N519" s="216"/>
      <c r="O519" s="216"/>
      <c r="P519" s="216"/>
      <c r="Q519" s="216"/>
      <c r="R519" s="216"/>
      <c r="S519" s="216"/>
      <c r="T519" s="216"/>
      <c r="U519" s="216"/>
      <c r="V519" s="216"/>
      <c r="W519" s="216"/>
      <c r="X519" s="216"/>
      <c r="Y519" s="216"/>
      <c r="Z519" s="216"/>
      <c r="AA519" s="216"/>
    </row>
    <row r="520" ht="15.0" customHeight="1">
      <c r="A520" s="214"/>
      <c r="B520" s="214"/>
      <c r="C520" s="214"/>
      <c r="D520" s="214"/>
      <c r="E520" s="214"/>
      <c r="F520" s="214"/>
      <c r="G520" s="214"/>
      <c r="H520" s="214"/>
      <c r="I520" s="214"/>
      <c r="J520" s="214"/>
      <c r="K520" s="214"/>
      <c r="L520" s="214"/>
      <c r="M520" s="214"/>
      <c r="N520" s="216"/>
      <c r="O520" s="216"/>
      <c r="P520" s="216"/>
      <c r="Q520" s="216"/>
      <c r="R520" s="216"/>
      <c r="S520" s="216"/>
      <c r="T520" s="216"/>
      <c r="U520" s="216"/>
      <c r="V520" s="216"/>
      <c r="W520" s="216"/>
      <c r="X520" s="216"/>
      <c r="Y520" s="216"/>
      <c r="Z520" s="216"/>
      <c r="AA520" s="216"/>
    </row>
    <row r="521" ht="15.0" customHeight="1">
      <c r="A521" s="214"/>
      <c r="B521" s="214"/>
      <c r="C521" s="214"/>
      <c r="D521" s="214"/>
      <c r="E521" s="214"/>
      <c r="F521" s="214"/>
      <c r="G521" s="214"/>
      <c r="H521" s="214"/>
      <c r="I521" s="214"/>
      <c r="J521" s="214"/>
      <c r="K521" s="214"/>
      <c r="L521" s="214"/>
      <c r="M521" s="214"/>
      <c r="N521" s="216"/>
      <c r="O521" s="216"/>
      <c r="P521" s="216"/>
      <c r="Q521" s="216"/>
      <c r="R521" s="216"/>
      <c r="S521" s="216"/>
      <c r="T521" s="216"/>
      <c r="U521" s="216"/>
      <c r="V521" s="216"/>
      <c r="W521" s="216"/>
      <c r="X521" s="216"/>
      <c r="Y521" s="216"/>
      <c r="Z521" s="216"/>
      <c r="AA521" s="216"/>
    </row>
    <row r="522" ht="15.0" customHeight="1">
      <c r="A522" s="214"/>
      <c r="B522" s="214"/>
      <c r="C522" s="214"/>
      <c r="D522" s="214"/>
      <c r="E522" s="214"/>
      <c r="F522" s="214"/>
      <c r="G522" s="214"/>
      <c r="H522" s="214"/>
      <c r="I522" s="214"/>
      <c r="J522" s="214"/>
      <c r="K522" s="214"/>
      <c r="L522" s="214"/>
      <c r="M522" s="214"/>
      <c r="N522" s="216"/>
      <c r="O522" s="216"/>
      <c r="P522" s="216"/>
      <c r="Q522" s="216"/>
      <c r="R522" s="216"/>
      <c r="S522" s="216"/>
      <c r="T522" s="216"/>
      <c r="U522" s="216"/>
      <c r="V522" s="216"/>
      <c r="W522" s="216"/>
      <c r="X522" s="216"/>
      <c r="Y522" s="216"/>
      <c r="Z522" s="216"/>
      <c r="AA522" s="216"/>
    </row>
    <row r="523" ht="15.0" customHeight="1">
      <c r="A523" s="214"/>
      <c r="B523" s="214"/>
      <c r="C523" s="214"/>
      <c r="D523" s="214"/>
      <c r="E523" s="214"/>
      <c r="F523" s="214"/>
      <c r="G523" s="214"/>
      <c r="H523" s="214"/>
      <c r="I523" s="214"/>
      <c r="J523" s="214"/>
      <c r="K523" s="214"/>
      <c r="L523" s="214"/>
      <c r="M523" s="214"/>
      <c r="N523" s="216"/>
      <c r="O523" s="216"/>
      <c r="P523" s="216"/>
      <c r="Q523" s="216"/>
      <c r="R523" s="216"/>
      <c r="S523" s="216"/>
      <c r="T523" s="216"/>
      <c r="U523" s="216"/>
      <c r="V523" s="216"/>
      <c r="W523" s="216"/>
      <c r="X523" s="216"/>
      <c r="Y523" s="216"/>
      <c r="Z523" s="216"/>
      <c r="AA523" s="216"/>
    </row>
    <row r="524" ht="15.0" customHeight="1">
      <c r="A524" s="214"/>
      <c r="B524" s="214"/>
      <c r="C524" s="214"/>
      <c r="D524" s="214"/>
      <c r="E524" s="214"/>
      <c r="F524" s="214"/>
      <c r="G524" s="214"/>
      <c r="H524" s="214"/>
      <c r="I524" s="214"/>
      <c r="J524" s="214"/>
      <c r="K524" s="214"/>
      <c r="L524" s="214"/>
      <c r="M524" s="214"/>
      <c r="N524" s="216"/>
      <c r="O524" s="216"/>
      <c r="P524" s="216"/>
      <c r="Q524" s="216"/>
      <c r="R524" s="216"/>
      <c r="S524" s="216"/>
      <c r="T524" s="216"/>
      <c r="U524" s="216"/>
      <c r="V524" s="216"/>
      <c r="W524" s="216"/>
      <c r="X524" s="216"/>
      <c r="Y524" s="216"/>
      <c r="Z524" s="216"/>
      <c r="AA524" s="216"/>
    </row>
    <row r="525" ht="15.0" customHeight="1">
      <c r="A525" s="214"/>
      <c r="B525" s="214"/>
      <c r="C525" s="214"/>
      <c r="D525" s="214"/>
      <c r="E525" s="214"/>
      <c r="F525" s="214"/>
      <c r="G525" s="214"/>
      <c r="H525" s="214"/>
      <c r="I525" s="214"/>
      <c r="J525" s="214"/>
      <c r="K525" s="214"/>
      <c r="L525" s="214"/>
      <c r="M525" s="214"/>
      <c r="N525" s="216"/>
      <c r="O525" s="216"/>
      <c r="P525" s="216"/>
      <c r="Q525" s="216"/>
      <c r="R525" s="216"/>
      <c r="S525" s="216"/>
      <c r="T525" s="216"/>
      <c r="U525" s="216"/>
      <c r="V525" s="216"/>
      <c r="W525" s="216"/>
      <c r="X525" s="216"/>
      <c r="Y525" s="216"/>
      <c r="Z525" s="216"/>
      <c r="AA525" s="216"/>
    </row>
    <row r="526" ht="15.0" customHeight="1">
      <c r="A526" s="214"/>
      <c r="B526" s="214"/>
      <c r="C526" s="214"/>
      <c r="D526" s="214"/>
      <c r="E526" s="214"/>
      <c r="F526" s="214"/>
      <c r="G526" s="214"/>
      <c r="H526" s="214"/>
      <c r="I526" s="214"/>
      <c r="J526" s="214"/>
      <c r="K526" s="214"/>
      <c r="L526" s="214"/>
      <c r="M526" s="214"/>
      <c r="N526" s="216"/>
      <c r="O526" s="216"/>
      <c r="P526" s="216"/>
      <c r="Q526" s="216"/>
      <c r="R526" s="216"/>
      <c r="S526" s="216"/>
      <c r="T526" s="216"/>
      <c r="U526" s="216"/>
      <c r="V526" s="216"/>
      <c r="W526" s="216"/>
      <c r="X526" s="216"/>
      <c r="Y526" s="216"/>
      <c r="Z526" s="216"/>
      <c r="AA526" s="216"/>
    </row>
    <row r="527" ht="15.0" customHeight="1">
      <c r="A527" s="214"/>
      <c r="B527" s="214"/>
      <c r="C527" s="214"/>
      <c r="D527" s="214"/>
      <c r="E527" s="214"/>
      <c r="F527" s="214"/>
      <c r="G527" s="214"/>
      <c r="H527" s="214"/>
      <c r="I527" s="214"/>
      <c r="J527" s="214"/>
      <c r="K527" s="214"/>
      <c r="L527" s="214"/>
      <c r="M527" s="214"/>
      <c r="N527" s="216"/>
      <c r="O527" s="216"/>
      <c r="P527" s="216"/>
      <c r="Q527" s="216"/>
      <c r="R527" s="216"/>
      <c r="S527" s="216"/>
      <c r="T527" s="216"/>
      <c r="U527" s="216"/>
      <c r="V527" s="216"/>
      <c r="W527" s="216"/>
      <c r="X527" s="216"/>
      <c r="Y527" s="216"/>
      <c r="Z527" s="216"/>
      <c r="AA527" s="216"/>
    </row>
    <row r="528" ht="15.0" customHeight="1">
      <c r="A528" s="214"/>
      <c r="B528" s="214"/>
      <c r="C528" s="214"/>
      <c r="D528" s="214"/>
      <c r="E528" s="214"/>
      <c r="F528" s="214"/>
      <c r="G528" s="214"/>
      <c r="H528" s="214"/>
      <c r="I528" s="214"/>
      <c r="J528" s="214"/>
      <c r="K528" s="214"/>
      <c r="L528" s="214"/>
      <c r="M528" s="214"/>
      <c r="N528" s="216"/>
      <c r="O528" s="216"/>
      <c r="P528" s="216"/>
      <c r="Q528" s="216"/>
      <c r="R528" s="216"/>
      <c r="S528" s="216"/>
      <c r="T528" s="216"/>
      <c r="U528" s="216"/>
      <c r="V528" s="216"/>
      <c r="W528" s="216"/>
      <c r="X528" s="216"/>
      <c r="Y528" s="216"/>
      <c r="Z528" s="216"/>
      <c r="AA528" s="216"/>
    </row>
    <row r="529" ht="15.0" customHeight="1">
      <c r="A529" s="214"/>
      <c r="B529" s="214"/>
      <c r="C529" s="214"/>
      <c r="D529" s="214"/>
      <c r="E529" s="214"/>
      <c r="F529" s="214"/>
      <c r="G529" s="214"/>
      <c r="H529" s="214"/>
      <c r="I529" s="214"/>
      <c r="J529" s="214"/>
      <c r="K529" s="214"/>
      <c r="L529" s="214"/>
      <c r="M529" s="214"/>
      <c r="N529" s="216"/>
      <c r="O529" s="216"/>
      <c r="P529" s="216"/>
      <c r="Q529" s="216"/>
      <c r="R529" s="216"/>
      <c r="S529" s="216"/>
      <c r="T529" s="216"/>
      <c r="U529" s="216"/>
      <c r="V529" s="216"/>
      <c r="W529" s="216"/>
      <c r="X529" s="216"/>
      <c r="Y529" s="216"/>
      <c r="Z529" s="216"/>
      <c r="AA529" s="216"/>
    </row>
    <row r="530" ht="15.0" customHeight="1">
      <c r="A530" s="214"/>
      <c r="B530" s="214"/>
      <c r="C530" s="214"/>
      <c r="D530" s="214"/>
      <c r="E530" s="214"/>
      <c r="F530" s="214"/>
      <c r="G530" s="214"/>
      <c r="H530" s="214"/>
      <c r="I530" s="214"/>
      <c r="J530" s="214"/>
      <c r="K530" s="214"/>
      <c r="L530" s="214"/>
      <c r="M530" s="214"/>
      <c r="N530" s="216"/>
      <c r="O530" s="216"/>
      <c r="P530" s="216"/>
      <c r="Q530" s="216"/>
      <c r="R530" s="216"/>
      <c r="S530" s="216"/>
      <c r="T530" s="216"/>
      <c r="U530" s="216"/>
      <c r="V530" s="216"/>
      <c r="W530" s="216"/>
      <c r="X530" s="216"/>
      <c r="Y530" s="216"/>
      <c r="Z530" s="216"/>
      <c r="AA530" s="216"/>
    </row>
    <row r="531" ht="15.0" customHeight="1">
      <c r="A531" s="214"/>
      <c r="B531" s="214"/>
      <c r="C531" s="214"/>
      <c r="D531" s="214"/>
      <c r="E531" s="214"/>
      <c r="F531" s="214"/>
      <c r="G531" s="214"/>
      <c r="H531" s="214"/>
      <c r="I531" s="214"/>
      <c r="J531" s="214"/>
      <c r="K531" s="214"/>
      <c r="L531" s="214"/>
      <c r="M531" s="214"/>
      <c r="N531" s="216"/>
      <c r="O531" s="216"/>
      <c r="P531" s="216"/>
      <c r="Q531" s="216"/>
      <c r="R531" s="216"/>
      <c r="S531" s="216"/>
      <c r="T531" s="216"/>
      <c r="U531" s="216"/>
      <c r="V531" s="216"/>
      <c r="W531" s="216"/>
      <c r="X531" s="216"/>
      <c r="Y531" s="216"/>
      <c r="Z531" s="216"/>
      <c r="AA531" s="216"/>
    </row>
    <row r="532" ht="15.0" customHeight="1">
      <c r="A532" s="214"/>
      <c r="B532" s="214"/>
      <c r="C532" s="214"/>
      <c r="D532" s="214"/>
      <c r="E532" s="214"/>
      <c r="F532" s="214"/>
      <c r="G532" s="214"/>
      <c r="H532" s="214"/>
      <c r="I532" s="214"/>
      <c r="J532" s="214"/>
      <c r="K532" s="214"/>
      <c r="L532" s="214"/>
      <c r="M532" s="214"/>
      <c r="N532" s="216"/>
      <c r="O532" s="216"/>
      <c r="P532" s="216"/>
      <c r="Q532" s="216"/>
      <c r="R532" s="216"/>
      <c r="S532" s="216"/>
      <c r="T532" s="216"/>
      <c r="U532" s="216"/>
      <c r="V532" s="216"/>
      <c r="W532" s="216"/>
      <c r="X532" s="216"/>
      <c r="Y532" s="216"/>
      <c r="Z532" s="216"/>
      <c r="AA532" s="216"/>
    </row>
    <row r="533" ht="15.0" customHeight="1">
      <c r="A533" s="214"/>
      <c r="B533" s="214"/>
      <c r="C533" s="214"/>
      <c r="D533" s="214"/>
      <c r="E533" s="214"/>
      <c r="F533" s="214"/>
      <c r="G533" s="214"/>
      <c r="H533" s="214"/>
      <c r="I533" s="214"/>
      <c r="J533" s="214"/>
      <c r="K533" s="214"/>
      <c r="L533" s="214"/>
      <c r="M533" s="214"/>
      <c r="N533" s="216"/>
      <c r="O533" s="216"/>
      <c r="P533" s="216"/>
      <c r="Q533" s="216"/>
      <c r="R533" s="216"/>
      <c r="S533" s="216"/>
      <c r="T533" s="216"/>
      <c r="U533" s="216"/>
      <c r="V533" s="216"/>
      <c r="W533" s="216"/>
      <c r="X533" s="216"/>
      <c r="Y533" s="216"/>
      <c r="Z533" s="216"/>
      <c r="AA533" s="216"/>
    </row>
    <row r="534" ht="15.0" customHeight="1">
      <c r="A534" s="214"/>
      <c r="B534" s="214"/>
      <c r="C534" s="214"/>
      <c r="D534" s="214"/>
      <c r="E534" s="214"/>
      <c r="F534" s="214"/>
      <c r="G534" s="214"/>
      <c r="H534" s="214"/>
      <c r="I534" s="214"/>
      <c r="J534" s="214"/>
      <c r="K534" s="214"/>
      <c r="L534" s="214"/>
      <c r="M534" s="214"/>
      <c r="N534" s="216"/>
      <c r="O534" s="216"/>
      <c r="P534" s="216"/>
      <c r="Q534" s="216"/>
      <c r="R534" s="216"/>
      <c r="S534" s="216"/>
      <c r="T534" s="216"/>
      <c r="U534" s="216"/>
      <c r="V534" s="216"/>
      <c r="W534" s="216"/>
      <c r="X534" s="216"/>
      <c r="Y534" s="216"/>
      <c r="Z534" s="216"/>
      <c r="AA534" s="216"/>
    </row>
    <row r="535" ht="15.0" customHeight="1">
      <c r="A535" s="214"/>
      <c r="B535" s="214"/>
      <c r="C535" s="214"/>
      <c r="D535" s="214"/>
      <c r="E535" s="214"/>
      <c r="F535" s="214"/>
      <c r="G535" s="214"/>
      <c r="H535" s="214"/>
      <c r="I535" s="214"/>
      <c r="J535" s="214"/>
      <c r="K535" s="214"/>
      <c r="L535" s="214"/>
      <c r="M535" s="214"/>
      <c r="N535" s="216"/>
      <c r="O535" s="216"/>
      <c r="P535" s="216"/>
      <c r="Q535" s="216"/>
      <c r="R535" s="216"/>
      <c r="S535" s="216"/>
      <c r="T535" s="216"/>
      <c r="U535" s="216"/>
      <c r="V535" s="216"/>
      <c r="W535" s="216"/>
      <c r="X535" s="216"/>
      <c r="Y535" s="216"/>
      <c r="Z535" s="216"/>
      <c r="AA535" s="216"/>
    </row>
    <row r="536" ht="15.0" customHeight="1">
      <c r="A536" s="214"/>
      <c r="B536" s="214"/>
      <c r="C536" s="214"/>
      <c r="D536" s="214"/>
      <c r="E536" s="214"/>
      <c r="F536" s="214"/>
      <c r="G536" s="214"/>
      <c r="H536" s="214"/>
      <c r="I536" s="214"/>
      <c r="J536" s="214"/>
      <c r="K536" s="214"/>
      <c r="L536" s="214"/>
      <c r="M536" s="214"/>
      <c r="N536" s="216"/>
      <c r="O536" s="216"/>
      <c r="P536" s="216"/>
      <c r="Q536" s="216"/>
      <c r="R536" s="216"/>
      <c r="S536" s="216"/>
      <c r="T536" s="216"/>
      <c r="U536" s="216"/>
      <c r="V536" s="216"/>
      <c r="W536" s="216"/>
      <c r="X536" s="216"/>
      <c r="Y536" s="216"/>
      <c r="Z536" s="216"/>
      <c r="AA536" s="216"/>
    </row>
    <row r="537" ht="15.0" customHeight="1">
      <c r="A537" s="214"/>
      <c r="B537" s="214"/>
      <c r="C537" s="214"/>
      <c r="D537" s="214"/>
      <c r="E537" s="214"/>
      <c r="F537" s="214"/>
      <c r="G537" s="214"/>
      <c r="H537" s="214"/>
      <c r="I537" s="214"/>
      <c r="J537" s="214"/>
      <c r="K537" s="214"/>
      <c r="L537" s="214"/>
      <c r="M537" s="214"/>
      <c r="N537" s="216"/>
      <c r="O537" s="216"/>
      <c r="P537" s="216"/>
      <c r="Q537" s="216"/>
      <c r="R537" s="216"/>
      <c r="S537" s="216"/>
      <c r="T537" s="216"/>
      <c r="U537" s="216"/>
      <c r="V537" s="216"/>
      <c r="W537" s="216"/>
      <c r="X537" s="216"/>
      <c r="Y537" s="216"/>
      <c r="Z537" s="216"/>
      <c r="AA537" s="216"/>
    </row>
    <row r="538" ht="15.0" customHeight="1">
      <c r="A538" s="214"/>
      <c r="B538" s="214"/>
      <c r="C538" s="214"/>
      <c r="D538" s="214"/>
      <c r="E538" s="214"/>
      <c r="F538" s="214"/>
      <c r="G538" s="214"/>
      <c r="H538" s="214"/>
      <c r="I538" s="214"/>
      <c r="J538" s="214"/>
      <c r="K538" s="214"/>
      <c r="L538" s="214"/>
      <c r="M538" s="214"/>
      <c r="N538" s="216"/>
      <c r="O538" s="216"/>
      <c r="P538" s="216"/>
      <c r="Q538" s="216"/>
      <c r="R538" s="216"/>
      <c r="S538" s="216"/>
      <c r="T538" s="216"/>
      <c r="U538" s="216"/>
      <c r="V538" s="216"/>
      <c r="W538" s="216"/>
      <c r="X538" s="216"/>
      <c r="Y538" s="216"/>
      <c r="Z538" s="216"/>
      <c r="AA538" s="216"/>
    </row>
    <row r="539" ht="15.0" customHeight="1">
      <c r="A539" s="214"/>
      <c r="B539" s="214"/>
      <c r="C539" s="214"/>
      <c r="D539" s="214"/>
      <c r="E539" s="214"/>
      <c r="F539" s="214"/>
      <c r="G539" s="214"/>
      <c r="H539" s="214"/>
      <c r="I539" s="214"/>
      <c r="J539" s="214"/>
      <c r="K539" s="214"/>
      <c r="L539" s="214"/>
      <c r="M539" s="214"/>
      <c r="N539" s="216"/>
      <c r="O539" s="216"/>
      <c r="P539" s="216"/>
      <c r="Q539" s="216"/>
      <c r="R539" s="216"/>
      <c r="S539" s="216"/>
      <c r="T539" s="216"/>
      <c r="U539" s="216"/>
      <c r="V539" s="216"/>
      <c r="W539" s="216"/>
      <c r="X539" s="216"/>
      <c r="Y539" s="216"/>
      <c r="Z539" s="216"/>
      <c r="AA539" s="216"/>
    </row>
    <row r="540" ht="15.0" customHeight="1">
      <c r="A540" s="214"/>
      <c r="B540" s="214"/>
      <c r="C540" s="214"/>
      <c r="D540" s="214"/>
      <c r="E540" s="214"/>
      <c r="F540" s="214"/>
      <c r="G540" s="214"/>
      <c r="H540" s="214"/>
      <c r="I540" s="214"/>
      <c r="J540" s="214"/>
      <c r="K540" s="214"/>
      <c r="L540" s="214"/>
      <c r="M540" s="214"/>
      <c r="N540" s="216"/>
      <c r="O540" s="216"/>
      <c r="P540" s="216"/>
      <c r="Q540" s="216"/>
      <c r="R540" s="216"/>
      <c r="S540" s="216"/>
      <c r="T540" s="216"/>
      <c r="U540" s="216"/>
      <c r="V540" s="216"/>
      <c r="W540" s="216"/>
      <c r="X540" s="216"/>
      <c r="Y540" s="216"/>
      <c r="Z540" s="216"/>
      <c r="AA540" s="216"/>
    </row>
    <row r="541" ht="15.0" customHeight="1">
      <c r="A541" s="214"/>
      <c r="B541" s="214"/>
      <c r="C541" s="214"/>
      <c r="D541" s="214"/>
      <c r="E541" s="214"/>
      <c r="F541" s="214"/>
      <c r="G541" s="214"/>
      <c r="H541" s="214"/>
      <c r="I541" s="214"/>
      <c r="J541" s="214"/>
      <c r="K541" s="214"/>
      <c r="L541" s="214"/>
      <c r="M541" s="214"/>
      <c r="N541" s="216"/>
      <c r="O541" s="216"/>
      <c r="P541" s="216"/>
      <c r="Q541" s="216"/>
      <c r="R541" s="216"/>
      <c r="S541" s="216"/>
      <c r="T541" s="216"/>
      <c r="U541" s="216"/>
      <c r="V541" s="216"/>
      <c r="W541" s="216"/>
      <c r="X541" s="216"/>
      <c r="Y541" s="216"/>
      <c r="Z541" s="216"/>
      <c r="AA541" s="216"/>
    </row>
    <row r="542" ht="15.0" customHeight="1">
      <c r="A542" s="214"/>
      <c r="B542" s="214"/>
      <c r="C542" s="214"/>
      <c r="D542" s="214"/>
      <c r="E542" s="214"/>
      <c r="F542" s="214"/>
      <c r="G542" s="214"/>
      <c r="H542" s="214"/>
      <c r="I542" s="214"/>
      <c r="J542" s="214"/>
      <c r="K542" s="214"/>
      <c r="L542" s="214"/>
      <c r="M542" s="214"/>
      <c r="N542" s="216"/>
      <c r="O542" s="216"/>
      <c r="P542" s="216"/>
      <c r="Q542" s="216"/>
      <c r="R542" s="216"/>
      <c r="S542" s="216"/>
      <c r="T542" s="216"/>
      <c r="U542" s="216"/>
      <c r="V542" s="216"/>
      <c r="W542" s="216"/>
      <c r="X542" s="216"/>
      <c r="Y542" s="216"/>
      <c r="Z542" s="216"/>
      <c r="AA542" s="216"/>
    </row>
    <row r="543" ht="15.0" customHeight="1">
      <c r="A543" s="214"/>
      <c r="B543" s="214"/>
      <c r="C543" s="214"/>
      <c r="D543" s="214"/>
      <c r="E543" s="214"/>
      <c r="F543" s="214"/>
      <c r="G543" s="214"/>
      <c r="H543" s="214"/>
      <c r="I543" s="214"/>
      <c r="J543" s="214"/>
      <c r="K543" s="214"/>
      <c r="L543" s="214"/>
      <c r="M543" s="214"/>
      <c r="N543" s="216"/>
      <c r="O543" s="216"/>
      <c r="P543" s="216"/>
      <c r="Q543" s="216"/>
      <c r="R543" s="216"/>
      <c r="S543" s="216"/>
      <c r="T543" s="216"/>
      <c r="U543" s="216"/>
      <c r="V543" s="216"/>
      <c r="W543" s="216"/>
      <c r="X543" s="216"/>
      <c r="Y543" s="216"/>
      <c r="Z543" s="216"/>
      <c r="AA543" s="216"/>
    </row>
    <row r="544" ht="15.0" customHeight="1">
      <c r="A544" s="214"/>
      <c r="B544" s="214"/>
      <c r="C544" s="214"/>
      <c r="D544" s="214"/>
      <c r="E544" s="214"/>
      <c r="F544" s="214"/>
      <c r="G544" s="214"/>
      <c r="H544" s="214"/>
      <c r="I544" s="214"/>
      <c r="J544" s="214"/>
      <c r="K544" s="214"/>
      <c r="L544" s="214"/>
      <c r="M544" s="214"/>
      <c r="N544" s="216"/>
      <c r="O544" s="216"/>
      <c r="P544" s="216"/>
      <c r="Q544" s="216"/>
      <c r="R544" s="216"/>
      <c r="S544" s="216"/>
      <c r="T544" s="216"/>
      <c r="U544" s="216"/>
      <c r="V544" s="216"/>
      <c r="W544" s="216"/>
      <c r="X544" s="216"/>
      <c r="Y544" s="216"/>
      <c r="Z544" s="216"/>
      <c r="AA544" s="216"/>
    </row>
    <row r="545" ht="15.0" customHeight="1">
      <c r="A545" s="214"/>
      <c r="B545" s="214"/>
      <c r="C545" s="214"/>
      <c r="D545" s="214"/>
      <c r="E545" s="214"/>
      <c r="F545" s="214"/>
      <c r="G545" s="214"/>
      <c r="H545" s="214"/>
      <c r="I545" s="214"/>
      <c r="J545" s="214"/>
      <c r="K545" s="214"/>
      <c r="L545" s="214"/>
      <c r="M545" s="214"/>
      <c r="N545" s="216"/>
      <c r="O545" s="216"/>
      <c r="P545" s="216"/>
      <c r="Q545" s="216"/>
      <c r="R545" s="216"/>
      <c r="S545" s="216"/>
      <c r="T545" s="216"/>
      <c r="U545" s="216"/>
      <c r="V545" s="216"/>
      <c r="W545" s="216"/>
      <c r="X545" s="216"/>
      <c r="Y545" s="216"/>
      <c r="Z545" s="216"/>
      <c r="AA545" s="216"/>
    </row>
    <row r="546" ht="15.0" customHeight="1">
      <c r="A546" s="214"/>
      <c r="B546" s="214"/>
      <c r="C546" s="214"/>
      <c r="D546" s="214"/>
      <c r="E546" s="214"/>
      <c r="F546" s="214"/>
      <c r="G546" s="214"/>
      <c r="H546" s="214"/>
      <c r="I546" s="214"/>
      <c r="J546" s="214"/>
      <c r="K546" s="214"/>
      <c r="L546" s="214"/>
      <c r="M546" s="214"/>
      <c r="N546" s="216"/>
      <c r="O546" s="216"/>
      <c r="P546" s="216"/>
      <c r="Q546" s="216"/>
      <c r="R546" s="216"/>
      <c r="S546" s="216"/>
      <c r="T546" s="216"/>
      <c r="U546" s="216"/>
      <c r="V546" s="216"/>
      <c r="W546" s="216"/>
      <c r="X546" s="216"/>
      <c r="Y546" s="216"/>
      <c r="Z546" s="216"/>
      <c r="AA546" s="216"/>
    </row>
    <row r="547" ht="15.0" customHeight="1">
      <c r="A547" s="214"/>
      <c r="B547" s="214"/>
      <c r="C547" s="214"/>
      <c r="D547" s="214"/>
      <c r="E547" s="214"/>
      <c r="F547" s="214"/>
      <c r="G547" s="214"/>
      <c r="H547" s="214"/>
      <c r="I547" s="214"/>
      <c r="J547" s="214"/>
      <c r="K547" s="214"/>
      <c r="L547" s="214"/>
      <c r="M547" s="214"/>
      <c r="N547" s="216"/>
      <c r="O547" s="216"/>
      <c r="P547" s="216"/>
      <c r="Q547" s="216"/>
      <c r="R547" s="216"/>
      <c r="S547" s="216"/>
      <c r="T547" s="216"/>
      <c r="U547" s="216"/>
      <c r="V547" s="216"/>
      <c r="W547" s="216"/>
      <c r="X547" s="216"/>
      <c r="Y547" s="216"/>
      <c r="Z547" s="216"/>
      <c r="AA547" s="216"/>
    </row>
    <row r="548" ht="15.0" customHeight="1">
      <c r="A548" s="214"/>
      <c r="B548" s="214"/>
      <c r="C548" s="214"/>
      <c r="D548" s="214"/>
      <c r="E548" s="214"/>
      <c r="F548" s="214"/>
      <c r="G548" s="214"/>
      <c r="H548" s="214"/>
      <c r="I548" s="214"/>
      <c r="J548" s="214"/>
      <c r="K548" s="214"/>
      <c r="L548" s="214"/>
      <c r="M548" s="214"/>
      <c r="N548" s="216"/>
      <c r="O548" s="216"/>
      <c r="P548" s="216"/>
      <c r="Q548" s="216"/>
      <c r="R548" s="216"/>
      <c r="S548" s="216"/>
      <c r="T548" s="216"/>
      <c r="U548" s="216"/>
      <c r="V548" s="216"/>
      <c r="W548" s="216"/>
      <c r="X548" s="216"/>
      <c r="Y548" s="216"/>
      <c r="Z548" s="216"/>
      <c r="AA548" s="216"/>
    </row>
    <row r="549" ht="15.0" customHeight="1">
      <c r="A549" s="214"/>
      <c r="B549" s="214"/>
      <c r="C549" s="214"/>
      <c r="D549" s="214"/>
      <c r="E549" s="214"/>
      <c r="F549" s="214"/>
      <c r="G549" s="214"/>
      <c r="H549" s="214"/>
      <c r="I549" s="214"/>
      <c r="J549" s="214"/>
      <c r="K549" s="214"/>
      <c r="L549" s="214"/>
      <c r="M549" s="214"/>
      <c r="N549" s="216"/>
      <c r="O549" s="216"/>
      <c r="P549" s="216"/>
      <c r="Q549" s="216"/>
      <c r="R549" s="216"/>
      <c r="S549" s="216"/>
      <c r="T549" s="216"/>
      <c r="U549" s="216"/>
      <c r="V549" s="216"/>
      <c r="W549" s="216"/>
      <c r="X549" s="216"/>
      <c r="Y549" s="216"/>
      <c r="Z549" s="216"/>
      <c r="AA549" s="216"/>
    </row>
    <row r="550" ht="15.0" customHeight="1">
      <c r="A550" s="214"/>
      <c r="B550" s="214"/>
      <c r="C550" s="214"/>
      <c r="D550" s="214"/>
      <c r="E550" s="214"/>
      <c r="F550" s="214"/>
      <c r="G550" s="214"/>
      <c r="H550" s="214"/>
      <c r="I550" s="214"/>
      <c r="J550" s="214"/>
      <c r="K550" s="214"/>
      <c r="L550" s="214"/>
      <c r="M550" s="214"/>
      <c r="N550" s="216"/>
      <c r="O550" s="216"/>
      <c r="P550" s="216"/>
      <c r="Q550" s="216"/>
      <c r="R550" s="216"/>
      <c r="S550" s="216"/>
      <c r="T550" s="216"/>
      <c r="U550" s="216"/>
      <c r="V550" s="216"/>
      <c r="W550" s="216"/>
      <c r="X550" s="216"/>
      <c r="Y550" s="216"/>
      <c r="Z550" s="216"/>
      <c r="AA550" s="216"/>
    </row>
    <row r="551" ht="15.0" customHeight="1">
      <c r="A551" s="214"/>
      <c r="B551" s="214"/>
      <c r="C551" s="214"/>
      <c r="D551" s="214"/>
      <c r="E551" s="214"/>
      <c r="F551" s="214"/>
      <c r="G551" s="214"/>
      <c r="H551" s="214"/>
      <c r="I551" s="214"/>
      <c r="J551" s="214"/>
      <c r="K551" s="214"/>
      <c r="L551" s="214"/>
      <c r="M551" s="214"/>
      <c r="N551" s="216"/>
      <c r="O551" s="216"/>
      <c r="P551" s="216"/>
      <c r="Q551" s="216"/>
      <c r="R551" s="216"/>
      <c r="S551" s="216"/>
      <c r="T551" s="216"/>
      <c r="U551" s="216"/>
      <c r="V551" s="216"/>
      <c r="W551" s="216"/>
      <c r="X551" s="216"/>
      <c r="Y551" s="216"/>
      <c r="Z551" s="216"/>
      <c r="AA551" s="216"/>
    </row>
    <row r="552" ht="15.0" customHeight="1">
      <c r="A552" s="214"/>
      <c r="B552" s="214"/>
      <c r="C552" s="214"/>
      <c r="D552" s="214"/>
      <c r="E552" s="214"/>
      <c r="F552" s="214"/>
      <c r="G552" s="214"/>
      <c r="H552" s="214"/>
      <c r="I552" s="214"/>
      <c r="J552" s="214"/>
      <c r="K552" s="214"/>
      <c r="L552" s="214"/>
      <c r="M552" s="214"/>
      <c r="N552" s="216"/>
      <c r="O552" s="216"/>
      <c r="P552" s="216"/>
      <c r="Q552" s="216"/>
      <c r="R552" s="216"/>
      <c r="S552" s="216"/>
      <c r="T552" s="216"/>
      <c r="U552" s="216"/>
      <c r="V552" s="216"/>
      <c r="W552" s="216"/>
      <c r="X552" s="216"/>
      <c r="Y552" s="216"/>
      <c r="Z552" s="216"/>
      <c r="AA552" s="216"/>
    </row>
    <row r="553" ht="15.0" customHeight="1">
      <c r="A553" s="214"/>
      <c r="B553" s="214"/>
      <c r="C553" s="214"/>
      <c r="D553" s="214"/>
      <c r="E553" s="214"/>
      <c r="F553" s="214"/>
      <c r="G553" s="214"/>
      <c r="H553" s="214"/>
      <c r="I553" s="214"/>
      <c r="J553" s="214"/>
      <c r="K553" s="214"/>
      <c r="L553" s="214"/>
      <c r="M553" s="214"/>
      <c r="N553" s="216"/>
      <c r="O553" s="216"/>
      <c r="P553" s="216"/>
      <c r="Q553" s="216"/>
      <c r="R553" s="216"/>
      <c r="S553" s="216"/>
      <c r="T553" s="216"/>
      <c r="U553" s="216"/>
      <c r="V553" s="216"/>
      <c r="W553" s="216"/>
      <c r="X553" s="216"/>
      <c r="Y553" s="216"/>
      <c r="Z553" s="216"/>
      <c r="AA553" s="216"/>
    </row>
    <row r="554" ht="15.0" customHeight="1">
      <c r="A554" s="214"/>
      <c r="B554" s="214"/>
      <c r="C554" s="214"/>
      <c r="D554" s="214"/>
      <c r="E554" s="214"/>
      <c r="F554" s="214"/>
      <c r="G554" s="214"/>
      <c r="H554" s="214"/>
      <c r="I554" s="214"/>
      <c r="J554" s="214"/>
      <c r="K554" s="214"/>
      <c r="L554" s="214"/>
      <c r="M554" s="214"/>
      <c r="N554" s="216"/>
      <c r="O554" s="216"/>
      <c r="P554" s="216"/>
      <c r="Q554" s="216"/>
      <c r="R554" s="216"/>
      <c r="S554" s="216"/>
      <c r="T554" s="216"/>
      <c r="U554" s="216"/>
      <c r="V554" s="216"/>
      <c r="W554" s="216"/>
      <c r="X554" s="216"/>
      <c r="Y554" s="216"/>
      <c r="Z554" s="216"/>
      <c r="AA554" s="216"/>
    </row>
    <row r="555" ht="15.0" customHeight="1">
      <c r="A555" s="214"/>
      <c r="B555" s="214"/>
      <c r="C555" s="214"/>
      <c r="D555" s="214"/>
      <c r="E555" s="214"/>
      <c r="F555" s="214"/>
      <c r="G555" s="214"/>
      <c r="H555" s="214"/>
      <c r="I555" s="214"/>
      <c r="J555" s="214"/>
      <c r="K555" s="214"/>
      <c r="L555" s="214"/>
      <c r="M555" s="214"/>
      <c r="N555" s="216"/>
      <c r="O555" s="216"/>
      <c r="P555" s="216"/>
      <c r="Q555" s="216"/>
      <c r="R555" s="216"/>
      <c r="S555" s="216"/>
      <c r="T555" s="216"/>
      <c r="U555" s="216"/>
      <c r="V555" s="216"/>
      <c r="W555" s="216"/>
      <c r="X555" s="216"/>
      <c r="Y555" s="216"/>
      <c r="Z555" s="216"/>
      <c r="AA555" s="216"/>
    </row>
    <row r="556" ht="15.0" customHeight="1">
      <c r="A556" s="214"/>
      <c r="B556" s="214"/>
      <c r="C556" s="214"/>
      <c r="D556" s="214"/>
      <c r="E556" s="214"/>
      <c r="F556" s="214"/>
      <c r="G556" s="214"/>
      <c r="H556" s="214"/>
      <c r="I556" s="214"/>
      <c r="J556" s="214"/>
      <c r="K556" s="214"/>
      <c r="L556" s="214"/>
      <c r="M556" s="214"/>
      <c r="N556" s="216"/>
      <c r="O556" s="216"/>
      <c r="P556" s="216"/>
      <c r="Q556" s="216"/>
      <c r="R556" s="216"/>
      <c r="S556" s="216"/>
      <c r="T556" s="216"/>
      <c r="U556" s="216"/>
      <c r="V556" s="216"/>
      <c r="W556" s="216"/>
      <c r="X556" s="216"/>
      <c r="Y556" s="216"/>
      <c r="Z556" s="216"/>
      <c r="AA556" s="216"/>
    </row>
    <row r="557" ht="15.0" customHeight="1">
      <c r="A557" s="214"/>
      <c r="B557" s="214"/>
      <c r="C557" s="214"/>
      <c r="D557" s="214"/>
      <c r="E557" s="214"/>
      <c r="F557" s="214"/>
      <c r="G557" s="214"/>
      <c r="H557" s="214"/>
      <c r="I557" s="214"/>
      <c r="J557" s="214"/>
      <c r="K557" s="214"/>
      <c r="L557" s="214"/>
      <c r="M557" s="214"/>
      <c r="N557" s="216"/>
      <c r="O557" s="216"/>
      <c r="P557" s="216"/>
      <c r="Q557" s="216"/>
      <c r="R557" s="216"/>
      <c r="S557" s="216"/>
      <c r="T557" s="216"/>
      <c r="U557" s="216"/>
      <c r="V557" s="216"/>
      <c r="W557" s="216"/>
      <c r="X557" s="216"/>
      <c r="Y557" s="216"/>
      <c r="Z557" s="216"/>
      <c r="AA557" s="216"/>
    </row>
    <row r="558" ht="15.0" customHeight="1">
      <c r="A558" s="214"/>
      <c r="B558" s="214"/>
      <c r="C558" s="214"/>
      <c r="D558" s="214"/>
      <c r="E558" s="214"/>
      <c r="F558" s="214"/>
      <c r="G558" s="214"/>
      <c r="H558" s="214"/>
      <c r="I558" s="214"/>
      <c r="J558" s="214"/>
      <c r="K558" s="214"/>
      <c r="L558" s="214"/>
      <c r="M558" s="214"/>
      <c r="N558" s="216"/>
      <c r="O558" s="216"/>
      <c r="P558" s="216"/>
      <c r="Q558" s="216"/>
      <c r="R558" s="216"/>
      <c r="S558" s="216"/>
      <c r="T558" s="216"/>
      <c r="U558" s="216"/>
      <c r="V558" s="216"/>
      <c r="W558" s="216"/>
      <c r="X558" s="216"/>
      <c r="Y558" s="216"/>
      <c r="Z558" s="216"/>
      <c r="AA558" s="216"/>
    </row>
    <row r="559" ht="15.0" customHeight="1">
      <c r="A559" s="214"/>
      <c r="B559" s="214"/>
      <c r="C559" s="214"/>
      <c r="D559" s="214"/>
      <c r="E559" s="214"/>
      <c r="F559" s="214"/>
      <c r="G559" s="214"/>
      <c r="H559" s="214"/>
      <c r="I559" s="214"/>
      <c r="J559" s="214"/>
      <c r="K559" s="214"/>
      <c r="L559" s="214"/>
      <c r="M559" s="214"/>
      <c r="N559" s="216"/>
      <c r="O559" s="216"/>
      <c r="P559" s="216"/>
      <c r="Q559" s="216"/>
      <c r="R559" s="216"/>
      <c r="S559" s="216"/>
      <c r="T559" s="216"/>
      <c r="U559" s="216"/>
      <c r="V559" s="216"/>
      <c r="W559" s="216"/>
      <c r="X559" s="216"/>
      <c r="Y559" s="216"/>
      <c r="Z559" s="216"/>
      <c r="AA559" s="216"/>
    </row>
    <row r="560" ht="15.0" customHeight="1">
      <c r="A560" s="214"/>
      <c r="B560" s="214"/>
      <c r="C560" s="214"/>
      <c r="D560" s="214"/>
      <c r="E560" s="214"/>
      <c r="F560" s="214"/>
      <c r="G560" s="214"/>
      <c r="H560" s="214"/>
      <c r="I560" s="214"/>
      <c r="J560" s="214"/>
      <c r="K560" s="214"/>
      <c r="L560" s="214"/>
      <c r="M560" s="214"/>
      <c r="N560" s="216"/>
      <c r="O560" s="216"/>
      <c r="P560" s="216"/>
      <c r="Q560" s="216"/>
      <c r="R560" s="216"/>
      <c r="S560" s="216"/>
      <c r="T560" s="216"/>
      <c r="U560" s="216"/>
      <c r="V560" s="216"/>
      <c r="W560" s="216"/>
      <c r="X560" s="216"/>
      <c r="Y560" s="216"/>
      <c r="Z560" s="216"/>
      <c r="AA560" s="216"/>
    </row>
    <row r="561" ht="15.0" customHeight="1">
      <c r="A561" s="214"/>
      <c r="B561" s="214"/>
      <c r="C561" s="214"/>
      <c r="D561" s="214"/>
      <c r="E561" s="214"/>
      <c r="F561" s="214"/>
      <c r="G561" s="214"/>
      <c r="H561" s="214"/>
      <c r="I561" s="214"/>
      <c r="J561" s="214"/>
      <c r="K561" s="214"/>
      <c r="L561" s="214"/>
      <c r="M561" s="214"/>
      <c r="N561" s="216"/>
      <c r="O561" s="216"/>
      <c r="P561" s="216"/>
      <c r="Q561" s="216"/>
      <c r="R561" s="216"/>
      <c r="S561" s="216"/>
      <c r="T561" s="216"/>
      <c r="U561" s="216"/>
      <c r="V561" s="216"/>
      <c r="W561" s="216"/>
      <c r="X561" s="216"/>
      <c r="Y561" s="216"/>
      <c r="Z561" s="216"/>
      <c r="AA561" s="216"/>
    </row>
    <row r="562" ht="15.0" customHeight="1">
      <c r="A562" s="214"/>
      <c r="B562" s="214"/>
      <c r="C562" s="214"/>
      <c r="D562" s="214"/>
      <c r="E562" s="214"/>
      <c r="F562" s="214"/>
      <c r="G562" s="214"/>
      <c r="H562" s="214"/>
      <c r="I562" s="214"/>
      <c r="J562" s="214"/>
      <c r="K562" s="214"/>
      <c r="L562" s="214"/>
      <c r="M562" s="214"/>
      <c r="N562" s="216"/>
      <c r="O562" s="216"/>
      <c r="P562" s="216"/>
      <c r="Q562" s="216"/>
      <c r="R562" s="216"/>
      <c r="S562" s="216"/>
      <c r="T562" s="216"/>
      <c r="U562" s="216"/>
      <c r="V562" s="216"/>
      <c r="W562" s="216"/>
      <c r="X562" s="216"/>
      <c r="Y562" s="216"/>
      <c r="Z562" s="216"/>
      <c r="AA562" s="216"/>
    </row>
    <row r="563" ht="15.0" customHeight="1">
      <c r="A563" s="214"/>
      <c r="B563" s="214"/>
      <c r="C563" s="214"/>
      <c r="D563" s="214"/>
      <c r="E563" s="214"/>
      <c r="F563" s="214"/>
      <c r="G563" s="214"/>
      <c r="H563" s="214"/>
      <c r="I563" s="214"/>
      <c r="J563" s="214"/>
      <c r="K563" s="214"/>
      <c r="L563" s="214"/>
      <c r="M563" s="214"/>
      <c r="N563" s="216"/>
      <c r="O563" s="216"/>
      <c r="P563" s="216"/>
      <c r="Q563" s="216"/>
      <c r="R563" s="216"/>
      <c r="S563" s="216"/>
      <c r="T563" s="216"/>
      <c r="U563" s="216"/>
      <c r="V563" s="216"/>
      <c r="W563" s="216"/>
      <c r="X563" s="216"/>
      <c r="Y563" s="216"/>
      <c r="Z563" s="216"/>
      <c r="AA563" s="216"/>
    </row>
    <row r="564" ht="15.0" customHeight="1">
      <c r="A564" s="214"/>
      <c r="B564" s="214"/>
      <c r="C564" s="214"/>
      <c r="D564" s="214"/>
      <c r="E564" s="214"/>
      <c r="F564" s="214"/>
      <c r="G564" s="214"/>
      <c r="H564" s="214"/>
      <c r="I564" s="214"/>
      <c r="J564" s="214"/>
      <c r="K564" s="214"/>
      <c r="L564" s="214"/>
      <c r="M564" s="214"/>
      <c r="N564" s="216"/>
      <c r="O564" s="216"/>
      <c r="P564" s="216"/>
      <c r="Q564" s="216"/>
      <c r="R564" s="216"/>
      <c r="S564" s="216"/>
      <c r="T564" s="216"/>
      <c r="U564" s="216"/>
      <c r="V564" s="216"/>
      <c r="W564" s="216"/>
      <c r="X564" s="216"/>
      <c r="Y564" s="216"/>
      <c r="Z564" s="216"/>
      <c r="AA564" s="216"/>
    </row>
    <row r="565" ht="15.0" customHeight="1">
      <c r="A565" s="214"/>
      <c r="B565" s="214"/>
      <c r="C565" s="214"/>
      <c r="D565" s="214"/>
      <c r="E565" s="214"/>
      <c r="F565" s="214"/>
      <c r="G565" s="214"/>
      <c r="H565" s="214"/>
      <c r="I565" s="214"/>
      <c r="J565" s="214"/>
      <c r="K565" s="214"/>
      <c r="L565" s="214"/>
      <c r="M565" s="214"/>
      <c r="N565" s="216"/>
      <c r="O565" s="216"/>
      <c r="P565" s="216"/>
      <c r="Q565" s="216"/>
      <c r="R565" s="216"/>
      <c r="S565" s="216"/>
      <c r="T565" s="216"/>
      <c r="U565" s="216"/>
      <c r="V565" s="216"/>
      <c r="W565" s="216"/>
      <c r="X565" s="216"/>
      <c r="Y565" s="216"/>
      <c r="Z565" s="216"/>
      <c r="AA565" s="216"/>
    </row>
    <row r="566" ht="15.0" customHeight="1">
      <c r="A566" s="214"/>
      <c r="B566" s="214"/>
      <c r="C566" s="214"/>
      <c r="D566" s="214"/>
      <c r="E566" s="214"/>
      <c r="F566" s="214"/>
      <c r="G566" s="214"/>
      <c r="H566" s="214"/>
      <c r="I566" s="214"/>
      <c r="J566" s="214"/>
      <c r="K566" s="214"/>
      <c r="L566" s="214"/>
      <c r="M566" s="214"/>
      <c r="N566" s="216"/>
      <c r="O566" s="216"/>
      <c r="P566" s="216"/>
      <c r="Q566" s="216"/>
      <c r="R566" s="216"/>
      <c r="S566" s="216"/>
      <c r="T566" s="216"/>
      <c r="U566" s="216"/>
      <c r="V566" s="216"/>
      <c r="W566" s="216"/>
      <c r="X566" s="216"/>
      <c r="Y566" s="216"/>
      <c r="Z566" s="216"/>
      <c r="AA566" s="216"/>
    </row>
    <row r="567" ht="15.0" customHeight="1">
      <c r="A567" s="214"/>
      <c r="B567" s="214"/>
      <c r="C567" s="214"/>
      <c r="D567" s="214"/>
      <c r="E567" s="214"/>
      <c r="F567" s="214"/>
      <c r="G567" s="214"/>
      <c r="H567" s="214"/>
      <c r="I567" s="214"/>
      <c r="J567" s="214"/>
      <c r="K567" s="214"/>
      <c r="L567" s="214"/>
      <c r="M567" s="214"/>
      <c r="N567" s="216"/>
      <c r="O567" s="216"/>
      <c r="P567" s="216"/>
      <c r="Q567" s="216"/>
      <c r="R567" s="216"/>
      <c r="S567" s="216"/>
      <c r="T567" s="216"/>
      <c r="U567" s="216"/>
      <c r="V567" s="216"/>
      <c r="W567" s="216"/>
      <c r="X567" s="216"/>
      <c r="Y567" s="216"/>
      <c r="Z567" s="216"/>
      <c r="AA567" s="216"/>
    </row>
    <row r="568" ht="15.0" customHeight="1">
      <c r="A568" s="214"/>
      <c r="B568" s="214"/>
      <c r="C568" s="214"/>
      <c r="D568" s="214"/>
      <c r="E568" s="214"/>
      <c r="F568" s="214"/>
      <c r="G568" s="214"/>
      <c r="H568" s="214"/>
      <c r="I568" s="214"/>
      <c r="J568" s="214"/>
      <c r="K568" s="214"/>
      <c r="L568" s="214"/>
      <c r="M568" s="214"/>
      <c r="N568" s="216"/>
      <c r="O568" s="216"/>
      <c r="P568" s="216"/>
      <c r="Q568" s="216"/>
      <c r="R568" s="216"/>
      <c r="S568" s="216"/>
      <c r="T568" s="216"/>
      <c r="U568" s="216"/>
      <c r="V568" s="216"/>
      <c r="W568" s="216"/>
      <c r="X568" s="216"/>
      <c r="Y568" s="216"/>
      <c r="Z568" s="216"/>
      <c r="AA568" s="216"/>
    </row>
    <row r="569" ht="15.0" customHeight="1">
      <c r="A569" s="214"/>
      <c r="B569" s="214"/>
      <c r="C569" s="214"/>
      <c r="D569" s="214"/>
      <c r="E569" s="214"/>
      <c r="F569" s="214"/>
      <c r="G569" s="214"/>
      <c r="H569" s="214"/>
      <c r="I569" s="214"/>
      <c r="J569" s="214"/>
      <c r="K569" s="214"/>
      <c r="L569" s="214"/>
      <c r="M569" s="214"/>
      <c r="N569" s="216"/>
      <c r="O569" s="216"/>
      <c r="P569" s="216"/>
      <c r="Q569" s="216"/>
      <c r="R569" s="216"/>
      <c r="S569" s="216"/>
      <c r="T569" s="216"/>
      <c r="U569" s="216"/>
      <c r="V569" s="216"/>
      <c r="W569" s="216"/>
      <c r="X569" s="216"/>
      <c r="Y569" s="216"/>
      <c r="Z569" s="216"/>
      <c r="AA569" s="216"/>
    </row>
    <row r="570" ht="15.0" customHeight="1">
      <c r="A570" s="214"/>
      <c r="B570" s="214"/>
      <c r="C570" s="214"/>
      <c r="D570" s="214"/>
      <c r="E570" s="214"/>
      <c r="F570" s="214"/>
      <c r="G570" s="214"/>
      <c r="H570" s="214"/>
      <c r="I570" s="214"/>
      <c r="J570" s="214"/>
      <c r="K570" s="214"/>
      <c r="L570" s="214"/>
      <c r="M570" s="214"/>
      <c r="N570" s="216"/>
      <c r="O570" s="216"/>
      <c r="P570" s="216"/>
      <c r="Q570" s="216"/>
      <c r="R570" s="216"/>
      <c r="S570" s="216"/>
      <c r="T570" s="216"/>
      <c r="U570" s="216"/>
      <c r="V570" s="216"/>
      <c r="W570" s="216"/>
      <c r="X570" s="216"/>
      <c r="Y570" s="216"/>
      <c r="Z570" s="216"/>
      <c r="AA570" s="216"/>
    </row>
    <row r="571" ht="15.0" customHeight="1">
      <c r="A571" s="214"/>
      <c r="B571" s="214"/>
      <c r="C571" s="214"/>
      <c r="D571" s="214"/>
      <c r="E571" s="214"/>
      <c r="F571" s="214"/>
      <c r="G571" s="214"/>
      <c r="H571" s="214"/>
      <c r="I571" s="214"/>
      <c r="J571" s="214"/>
      <c r="K571" s="214"/>
      <c r="L571" s="214"/>
      <c r="M571" s="214"/>
      <c r="N571" s="216"/>
      <c r="O571" s="216"/>
      <c r="P571" s="216"/>
      <c r="Q571" s="216"/>
      <c r="R571" s="216"/>
      <c r="S571" s="216"/>
      <c r="T571" s="216"/>
      <c r="U571" s="216"/>
      <c r="V571" s="216"/>
      <c r="W571" s="216"/>
      <c r="X571" s="216"/>
      <c r="Y571" s="216"/>
      <c r="Z571" s="216"/>
      <c r="AA571" s="216"/>
    </row>
    <row r="572" ht="15.0" customHeight="1">
      <c r="A572" s="214"/>
      <c r="B572" s="214"/>
      <c r="C572" s="214"/>
      <c r="D572" s="214"/>
      <c r="E572" s="214"/>
      <c r="F572" s="214"/>
      <c r="G572" s="214"/>
      <c r="H572" s="214"/>
      <c r="I572" s="214"/>
      <c r="J572" s="214"/>
      <c r="K572" s="214"/>
      <c r="L572" s="214"/>
      <c r="M572" s="214"/>
      <c r="N572" s="216"/>
      <c r="O572" s="216"/>
      <c r="P572" s="216"/>
      <c r="Q572" s="216"/>
      <c r="R572" s="216"/>
      <c r="S572" s="216"/>
      <c r="T572" s="216"/>
      <c r="U572" s="216"/>
      <c r="V572" s="216"/>
      <c r="W572" s="216"/>
      <c r="X572" s="216"/>
      <c r="Y572" s="216"/>
      <c r="Z572" s="216"/>
      <c r="AA572" s="216"/>
    </row>
    <row r="573" ht="15.0" customHeight="1">
      <c r="A573" s="214"/>
      <c r="B573" s="214"/>
      <c r="C573" s="214"/>
      <c r="D573" s="214"/>
      <c r="E573" s="214"/>
      <c r="F573" s="214"/>
      <c r="G573" s="214"/>
      <c r="H573" s="214"/>
      <c r="I573" s="214"/>
      <c r="J573" s="214"/>
      <c r="K573" s="214"/>
      <c r="L573" s="214"/>
      <c r="M573" s="214"/>
      <c r="N573" s="216"/>
      <c r="O573" s="216"/>
      <c r="P573" s="216"/>
      <c r="Q573" s="216"/>
      <c r="R573" s="216"/>
      <c r="S573" s="216"/>
      <c r="T573" s="216"/>
      <c r="U573" s="216"/>
      <c r="V573" s="216"/>
      <c r="W573" s="216"/>
      <c r="X573" s="216"/>
      <c r="Y573" s="216"/>
      <c r="Z573" s="216"/>
      <c r="AA573" s="216"/>
    </row>
    <row r="574" ht="15.0" customHeight="1">
      <c r="A574" s="214"/>
      <c r="B574" s="214"/>
      <c r="C574" s="214"/>
      <c r="D574" s="214"/>
      <c r="E574" s="214"/>
      <c r="F574" s="214"/>
      <c r="G574" s="214"/>
      <c r="H574" s="214"/>
      <c r="I574" s="214"/>
      <c r="J574" s="214"/>
      <c r="K574" s="214"/>
      <c r="L574" s="214"/>
      <c r="M574" s="214"/>
      <c r="N574" s="216"/>
      <c r="O574" s="216"/>
      <c r="P574" s="216"/>
      <c r="Q574" s="216"/>
      <c r="R574" s="216"/>
      <c r="S574" s="216"/>
      <c r="T574" s="216"/>
      <c r="U574" s="216"/>
      <c r="V574" s="216"/>
      <c r="W574" s="216"/>
      <c r="X574" s="216"/>
      <c r="Y574" s="216"/>
      <c r="Z574" s="216"/>
      <c r="AA574" s="216"/>
    </row>
    <row r="575" ht="15.0" customHeight="1">
      <c r="A575" s="214"/>
      <c r="B575" s="214"/>
      <c r="C575" s="214"/>
      <c r="D575" s="214"/>
      <c r="E575" s="214"/>
      <c r="F575" s="214"/>
      <c r="G575" s="214"/>
      <c r="H575" s="214"/>
      <c r="I575" s="214"/>
      <c r="J575" s="214"/>
      <c r="K575" s="214"/>
      <c r="L575" s="214"/>
      <c r="M575" s="214"/>
      <c r="N575" s="216"/>
      <c r="O575" s="216"/>
      <c r="P575" s="216"/>
      <c r="Q575" s="216"/>
      <c r="R575" s="216"/>
      <c r="S575" s="216"/>
      <c r="T575" s="216"/>
      <c r="U575" s="216"/>
      <c r="V575" s="216"/>
      <c r="W575" s="216"/>
      <c r="X575" s="216"/>
      <c r="Y575" s="216"/>
      <c r="Z575" s="216"/>
      <c r="AA575" s="216"/>
    </row>
    <row r="576" ht="15.0" customHeight="1">
      <c r="A576" s="214"/>
      <c r="B576" s="214"/>
      <c r="C576" s="214"/>
      <c r="D576" s="214"/>
      <c r="E576" s="214"/>
      <c r="F576" s="214"/>
      <c r="G576" s="214"/>
      <c r="H576" s="214"/>
      <c r="I576" s="214"/>
      <c r="J576" s="214"/>
      <c r="K576" s="214"/>
      <c r="L576" s="214"/>
      <c r="M576" s="214"/>
      <c r="N576" s="216"/>
      <c r="O576" s="216"/>
      <c r="P576" s="216"/>
      <c r="Q576" s="216"/>
      <c r="R576" s="216"/>
      <c r="S576" s="216"/>
      <c r="T576" s="216"/>
      <c r="U576" s="216"/>
      <c r="V576" s="216"/>
      <c r="W576" s="216"/>
      <c r="X576" s="216"/>
      <c r="Y576" s="216"/>
      <c r="Z576" s="216"/>
      <c r="AA576" s="216"/>
    </row>
    <row r="577" ht="15.0" customHeight="1">
      <c r="A577" s="214"/>
      <c r="B577" s="214"/>
      <c r="C577" s="214"/>
      <c r="D577" s="214"/>
      <c r="E577" s="214"/>
      <c r="F577" s="214"/>
      <c r="G577" s="214"/>
      <c r="H577" s="214"/>
      <c r="I577" s="214"/>
      <c r="J577" s="214"/>
      <c r="K577" s="214"/>
      <c r="L577" s="214"/>
      <c r="M577" s="214"/>
      <c r="N577" s="216"/>
      <c r="O577" s="216"/>
      <c r="P577" s="216"/>
      <c r="Q577" s="216"/>
      <c r="R577" s="216"/>
      <c r="S577" s="216"/>
      <c r="T577" s="216"/>
      <c r="U577" s="216"/>
      <c r="V577" s="216"/>
      <c r="W577" s="216"/>
      <c r="X577" s="216"/>
      <c r="Y577" s="216"/>
      <c r="Z577" s="216"/>
      <c r="AA577" s="216"/>
    </row>
    <row r="578" ht="15.0" customHeight="1">
      <c r="A578" s="214"/>
      <c r="B578" s="214"/>
      <c r="C578" s="214"/>
      <c r="D578" s="214"/>
      <c r="E578" s="214"/>
      <c r="F578" s="214"/>
      <c r="G578" s="214"/>
      <c r="H578" s="214"/>
      <c r="I578" s="214"/>
      <c r="J578" s="214"/>
      <c r="K578" s="214"/>
      <c r="L578" s="214"/>
      <c r="M578" s="214"/>
      <c r="N578" s="216"/>
      <c r="O578" s="216"/>
      <c r="P578" s="216"/>
      <c r="Q578" s="216"/>
      <c r="R578" s="216"/>
      <c r="S578" s="216"/>
      <c r="T578" s="216"/>
      <c r="U578" s="216"/>
      <c r="V578" s="216"/>
      <c r="W578" s="216"/>
      <c r="X578" s="216"/>
      <c r="Y578" s="216"/>
      <c r="Z578" s="216"/>
      <c r="AA578" s="216"/>
    </row>
    <row r="579" ht="15.0" customHeight="1">
      <c r="A579" s="214"/>
      <c r="B579" s="214"/>
      <c r="C579" s="214"/>
      <c r="D579" s="214"/>
      <c r="E579" s="214"/>
      <c r="F579" s="214"/>
      <c r="G579" s="214"/>
      <c r="H579" s="214"/>
      <c r="I579" s="214"/>
      <c r="J579" s="214"/>
      <c r="K579" s="214"/>
      <c r="L579" s="214"/>
      <c r="M579" s="214"/>
      <c r="N579" s="216"/>
      <c r="O579" s="216"/>
      <c r="P579" s="216"/>
      <c r="Q579" s="216"/>
      <c r="R579" s="216"/>
      <c r="S579" s="216"/>
      <c r="T579" s="216"/>
      <c r="U579" s="216"/>
      <c r="V579" s="216"/>
      <c r="W579" s="216"/>
      <c r="X579" s="216"/>
      <c r="Y579" s="216"/>
      <c r="Z579" s="216"/>
      <c r="AA579" s="216"/>
    </row>
    <row r="580" ht="15.0" customHeight="1">
      <c r="A580" s="214"/>
      <c r="B580" s="214"/>
      <c r="C580" s="214"/>
      <c r="D580" s="214"/>
      <c r="E580" s="214"/>
      <c r="F580" s="214"/>
      <c r="G580" s="214"/>
      <c r="H580" s="214"/>
      <c r="I580" s="214"/>
      <c r="J580" s="214"/>
      <c r="K580" s="214"/>
      <c r="L580" s="214"/>
      <c r="M580" s="214"/>
      <c r="N580" s="216"/>
      <c r="O580" s="216"/>
      <c r="P580" s="216"/>
      <c r="Q580" s="216"/>
      <c r="R580" s="216"/>
      <c r="S580" s="216"/>
      <c r="T580" s="216"/>
      <c r="U580" s="216"/>
      <c r="V580" s="216"/>
      <c r="W580" s="216"/>
      <c r="X580" s="216"/>
      <c r="Y580" s="216"/>
      <c r="Z580" s="216"/>
      <c r="AA580" s="216"/>
    </row>
    <row r="581" ht="15.0" customHeight="1">
      <c r="A581" s="214"/>
      <c r="B581" s="214"/>
      <c r="C581" s="214"/>
      <c r="D581" s="214"/>
      <c r="E581" s="214"/>
      <c r="F581" s="214"/>
      <c r="G581" s="214"/>
      <c r="H581" s="214"/>
      <c r="I581" s="214"/>
      <c r="J581" s="214"/>
      <c r="K581" s="214"/>
      <c r="L581" s="214"/>
      <c r="M581" s="214"/>
      <c r="N581" s="216"/>
      <c r="O581" s="216"/>
      <c r="P581" s="216"/>
      <c r="Q581" s="216"/>
      <c r="R581" s="216"/>
      <c r="S581" s="216"/>
      <c r="T581" s="216"/>
      <c r="U581" s="216"/>
      <c r="V581" s="216"/>
      <c r="W581" s="216"/>
      <c r="X581" s="216"/>
      <c r="Y581" s="216"/>
      <c r="Z581" s="216"/>
      <c r="AA581" s="216"/>
    </row>
    <row r="582" ht="15.0" customHeight="1">
      <c r="A582" s="214"/>
      <c r="B582" s="214"/>
      <c r="C582" s="214"/>
      <c r="D582" s="214"/>
      <c r="E582" s="214"/>
      <c r="F582" s="214"/>
      <c r="G582" s="214"/>
      <c r="H582" s="214"/>
      <c r="I582" s="214"/>
      <c r="J582" s="214"/>
      <c r="K582" s="214"/>
      <c r="L582" s="214"/>
      <c r="M582" s="214"/>
      <c r="N582" s="216"/>
      <c r="O582" s="216"/>
      <c r="P582" s="216"/>
      <c r="Q582" s="216"/>
      <c r="R582" s="216"/>
      <c r="S582" s="216"/>
      <c r="T582" s="216"/>
      <c r="U582" s="216"/>
      <c r="V582" s="216"/>
      <c r="W582" s="216"/>
      <c r="X582" s="216"/>
      <c r="Y582" s="216"/>
      <c r="Z582" s="216"/>
      <c r="AA582" s="216"/>
    </row>
    <row r="583" ht="15.0" customHeight="1">
      <c r="A583" s="214"/>
      <c r="B583" s="214"/>
      <c r="C583" s="214"/>
      <c r="D583" s="214"/>
      <c r="E583" s="214"/>
      <c r="F583" s="214"/>
      <c r="G583" s="214"/>
      <c r="H583" s="214"/>
      <c r="I583" s="214"/>
      <c r="J583" s="214"/>
      <c r="K583" s="214"/>
      <c r="L583" s="214"/>
      <c r="M583" s="214"/>
      <c r="N583" s="216"/>
      <c r="O583" s="216"/>
      <c r="P583" s="216"/>
      <c r="Q583" s="216"/>
      <c r="R583" s="216"/>
      <c r="S583" s="216"/>
      <c r="T583" s="216"/>
      <c r="U583" s="216"/>
      <c r="V583" s="216"/>
      <c r="W583" s="216"/>
      <c r="X583" s="216"/>
      <c r="Y583" s="216"/>
      <c r="Z583" s="216"/>
      <c r="AA583" s="216"/>
    </row>
    <row r="584" ht="15.0" customHeight="1">
      <c r="A584" s="214"/>
      <c r="B584" s="214"/>
      <c r="C584" s="214"/>
      <c r="D584" s="214"/>
      <c r="E584" s="214"/>
      <c r="F584" s="214"/>
      <c r="G584" s="214"/>
      <c r="H584" s="214"/>
      <c r="I584" s="214"/>
      <c r="J584" s="214"/>
      <c r="K584" s="214"/>
      <c r="L584" s="214"/>
      <c r="M584" s="214"/>
      <c r="N584" s="216"/>
      <c r="O584" s="216"/>
      <c r="P584" s="216"/>
      <c r="Q584" s="216"/>
      <c r="R584" s="216"/>
      <c r="S584" s="216"/>
      <c r="T584" s="216"/>
      <c r="U584" s="216"/>
      <c r="V584" s="216"/>
      <c r="W584" s="216"/>
      <c r="X584" s="216"/>
      <c r="Y584" s="216"/>
      <c r="Z584" s="216"/>
      <c r="AA584" s="216"/>
    </row>
    <row r="585" ht="15.0" customHeight="1">
      <c r="A585" s="214"/>
      <c r="B585" s="214"/>
      <c r="C585" s="214"/>
      <c r="D585" s="214"/>
      <c r="E585" s="214"/>
      <c r="F585" s="214"/>
      <c r="G585" s="214"/>
      <c r="H585" s="214"/>
      <c r="I585" s="214"/>
      <c r="J585" s="214"/>
      <c r="K585" s="214"/>
      <c r="L585" s="214"/>
      <c r="M585" s="214"/>
      <c r="N585" s="216"/>
      <c r="O585" s="216"/>
      <c r="P585" s="216"/>
      <c r="Q585" s="216"/>
      <c r="R585" s="216"/>
      <c r="S585" s="216"/>
      <c r="T585" s="216"/>
      <c r="U585" s="216"/>
      <c r="V585" s="216"/>
      <c r="W585" s="216"/>
      <c r="X585" s="216"/>
      <c r="Y585" s="216"/>
      <c r="Z585" s="216"/>
      <c r="AA585" s="216"/>
    </row>
    <row r="586" ht="15.0" customHeight="1">
      <c r="A586" s="214"/>
      <c r="B586" s="214"/>
      <c r="C586" s="214"/>
      <c r="D586" s="214"/>
      <c r="E586" s="214"/>
      <c r="F586" s="214"/>
      <c r="G586" s="214"/>
      <c r="H586" s="214"/>
      <c r="I586" s="214"/>
      <c r="J586" s="214"/>
      <c r="K586" s="214"/>
      <c r="L586" s="214"/>
      <c r="M586" s="214"/>
      <c r="N586" s="216"/>
      <c r="O586" s="216"/>
      <c r="P586" s="216"/>
      <c r="Q586" s="216"/>
      <c r="R586" s="216"/>
      <c r="S586" s="216"/>
      <c r="T586" s="216"/>
      <c r="U586" s="216"/>
      <c r="V586" s="216"/>
      <c r="W586" s="216"/>
      <c r="X586" s="216"/>
      <c r="Y586" s="216"/>
      <c r="Z586" s="216"/>
      <c r="AA586" s="216"/>
    </row>
    <row r="587" ht="15.0" customHeight="1">
      <c r="A587" s="214"/>
      <c r="B587" s="214"/>
      <c r="C587" s="214"/>
      <c r="D587" s="214"/>
      <c r="E587" s="214"/>
      <c r="F587" s="214"/>
      <c r="G587" s="214"/>
      <c r="H587" s="214"/>
      <c r="I587" s="214"/>
      <c r="J587" s="214"/>
      <c r="K587" s="214"/>
      <c r="L587" s="214"/>
      <c r="M587" s="214"/>
      <c r="N587" s="216"/>
      <c r="O587" s="216"/>
      <c r="P587" s="216"/>
      <c r="Q587" s="216"/>
      <c r="R587" s="216"/>
      <c r="S587" s="216"/>
      <c r="T587" s="216"/>
      <c r="U587" s="216"/>
      <c r="V587" s="216"/>
      <c r="W587" s="216"/>
      <c r="X587" s="216"/>
      <c r="Y587" s="216"/>
      <c r="Z587" s="216"/>
      <c r="AA587" s="216"/>
    </row>
    <row r="588" ht="15.0" customHeight="1">
      <c r="A588" s="214"/>
      <c r="B588" s="214"/>
      <c r="C588" s="214"/>
      <c r="D588" s="214"/>
      <c r="E588" s="214"/>
      <c r="F588" s="214"/>
      <c r="G588" s="214"/>
      <c r="H588" s="214"/>
      <c r="I588" s="214"/>
      <c r="J588" s="214"/>
      <c r="K588" s="214"/>
      <c r="L588" s="214"/>
      <c r="M588" s="214"/>
      <c r="N588" s="216"/>
      <c r="O588" s="216"/>
      <c r="P588" s="216"/>
      <c r="Q588" s="216"/>
      <c r="R588" s="216"/>
      <c r="S588" s="216"/>
      <c r="T588" s="216"/>
      <c r="U588" s="216"/>
      <c r="V588" s="216"/>
      <c r="W588" s="216"/>
      <c r="X588" s="216"/>
      <c r="Y588" s="216"/>
      <c r="Z588" s="216"/>
      <c r="AA588" s="216"/>
    </row>
    <row r="589" ht="15.0" customHeight="1">
      <c r="A589" s="214"/>
      <c r="B589" s="214"/>
      <c r="C589" s="214"/>
      <c r="D589" s="214"/>
      <c r="E589" s="214"/>
      <c r="F589" s="214"/>
      <c r="G589" s="214"/>
      <c r="H589" s="214"/>
      <c r="I589" s="214"/>
      <c r="J589" s="214"/>
      <c r="K589" s="214"/>
      <c r="L589" s="214"/>
      <c r="M589" s="214"/>
      <c r="N589" s="216"/>
      <c r="O589" s="216"/>
      <c r="P589" s="216"/>
      <c r="Q589" s="216"/>
      <c r="R589" s="216"/>
      <c r="S589" s="216"/>
      <c r="T589" s="216"/>
      <c r="U589" s="216"/>
      <c r="V589" s="216"/>
      <c r="W589" s="216"/>
      <c r="X589" s="216"/>
      <c r="Y589" s="216"/>
      <c r="Z589" s="216"/>
      <c r="AA589" s="216"/>
    </row>
    <row r="590" ht="15.0" customHeight="1">
      <c r="A590" s="214"/>
      <c r="B590" s="214"/>
      <c r="C590" s="214"/>
      <c r="D590" s="214"/>
      <c r="E590" s="214"/>
      <c r="F590" s="214"/>
      <c r="G590" s="214"/>
      <c r="H590" s="214"/>
      <c r="I590" s="214"/>
      <c r="J590" s="214"/>
      <c r="K590" s="214"/>
      <c r="L590" s="214"/>
      <c r="M590" s="214"/>
      <c r="N590" s="216"/>
      <c r="O590" s="216"/>
      <c r="P590" s="216"/>
      <c r="Q590" s="216"/>
      <c r="R590" s="216"/>
      <c r="S590" s="216"/>
      <c r="T590" s="216"/>
      <c r="U590" s="216"/>
      <c r="V590" s="216"/>
      <c r="W590" s="216"/>
      <c r="X590" s="216"/>
      <c r="Y590" s="216"/>
      <c r="Z590" s="216"/>
      <c r="AA590" s="216"/>
    </row>
    <row r="591" ht="15.0" customHeight="1">
      <c r="A591" s="214"/>
      <c r="B591" s="214"/>
      <c r="C591" s="214"/>
      <c r="D591" s="214"/>
      <c r="E591" s="214"/>
      <c r="F591" s="214"/>
      <c r="G591" s="214"/>
      <c r="H591" s="214"/>
      <c r="I591" s="214"/>
      <c r="J591" s="214"/>
      <c r="K591" s="214"/>
      <c r="L591" s="214"/>
      <c r="M591" s="214"/>
      <c r="N591" s="216"/>
      <c r="O591" s="216"/>
      <c r="P591" s="216"/>
      <c r="Q591" s="216"/>
      <c r="R591" s="216"/>
      <c r="S591" s="216"/>
      <c r="T591" s="216"/>
      <c r="U591" s="216"/>
      <c r="V591" s="216"/>
      <c r="W591" s="216"/>
      <c r="X591" s="216"/>
      <c r="Y591" s="216"/>
      <c r="Z591" s="216"/>
      <c r="AA591" s="216"/>
    </row>
    <row r="592" ht="15.0" customHeight="1">
      <c r="A592" s="214"/>
      <c r="B592" s="214"/>
      <c r="C592" s="214"/>
      <c r="D592" s="214"/>
      <c r="E592" s="214"/>
      <c r="F592" s="214"/>
      <c r="G592" s="214"/>
      <c r="H592" s="214"/>
      <c r="I592" s="214"/>
      <c r="J592" s="214"/>
      <c r="K592" s="214"/>
      <c r="L592" s="214"/>
      <c r="M592" s="214"/>
      <c r="N592" s="216"/>
      <c r="O592" s="216"/>
      <c r="P592" s="216"/>
      <c r="Q592" s="216"/>
      <c r="R592" s="216"/>
      <c r="S592" s="216"/>
      <c r="T592" s="216"/>
      <c r="U592" s="216"/>
      <c r="V592" s="216"/>
      <c r="W592" s="216"/>
      <c r="X592" s="216"/>
      <c r="Y592" s="216"/>
      <c r="Z592" s="216"/>
      <c r="AA592" s="216"/>
    </row>
    <row r="593" ht="15.0" customHeight="1">
      <c r="A593" s="214"/>
      <c r="B593" s="214"/>
      <c r="C593" s="214"/>
      <c r="D593" s="214"/>
      <c r="E593" s="214"/>
      <c r="F593" s="214"/>
      <c r="G593" s="214"/>
      <c r="H593" s="214"/>
      <c r="I593" s="214"/>
      <c r="J593" s="214"/>
      <c r="K593" s="214"/>
      <c r="L593" s="214"/>
      <c r="M593" s="214"/>
      <c r="N593" s="216"/>
      <c r="O593" s="216"/>
      <c r="P593" s="216"/>
      <c r="Q593" s="216"/>
      <c r="R593" s="216"/>
      <c r="S593" s="216"/>
      <c r="T593" s="216"/>
      <c r="U593" s="216"/>
      <c r="V593" s="216"/>
      <c r="W593" s="216"/>
      <c r="X593" s="216"/>
      <c r="Y593" s="216"/>
      <c r="Z593" s="216"/>
      <c r="AA593" s="216"/>
    </row>
    <row r="594" ht="15.0" customHeight="1">
      <c r="A594" s="214"/>
      <c r="B594" s="214"/>
      <c r="C594" s="214"/>
      <c r="D594" s="214"/>
      <c r="E594" s="214"/>
      <c r="F594" s="214"/>
      <c r="G594" s="214"/>
      <c r="H594" s="214"/>
      <c r="I594" s="214"/>
      <c r="J594" s="214"/>
      <c r="K594" s="214"/>
      <c r="L594" s="214"/>
      <c r="M594" s="214"/>
      <c r="N594" s="216"/>
      <c r="O594" s="216"/>
      <c r="P594" s="216"/>
      <c r="Q594" s="216"/>
      <c r="R594" s="216"/>
      <c r="S594" s="216"/>
      <c r="T594" s="216"/>
      <c r="U594" s="216"/>
      <c r="V594" s="216"/>
      <c r="W594" s="216"/>
      <c r="X594" s="216"/>
      <c r="Y594" s="216"/>
      <c r="Z594" s="216"/>
      <c r="AA594" s="216"/>
    </row>
    <row r="595" ht="15.0" customHeight="1">
      <c r="A595" s="214"/>
      <c r="B595" s="214"/>
      <c r="C595" s="214"/>
      <c r="D595" s="214"/>
      <c r="E595" s="214"/>
      <c r="F595" s="214"/>
      <c r="G595" s="214"/>
      <c r="H595" s="214"/>
      <c r="I595" s="214"/>
      <c r="J595" s="214"/>
      <c r="K595" s="214"/>
      <c r="L595" s="214"/>
      <c r="M595" s="214"/>
      <c r="N595" s="216"/>
      <c r="O595" s="216"/>
      <c r="P595" s="216"/>
      <c r="Q595" s="216"/>
      <c r="R595" s="216"/>
      <c r="S595" s="216"/>
      <c r="T595" s="216"/>
      <c r="U595" s="216"/>
      <c r="V595" s="216"/>
      <c r="W595" s="216"/>
      <c r="X595" s="216"/>
      <c r="Y595" s="216"/>
      <c r="Z595" s="216"/>
      <c r="AA595" s="216"/>
    </row>
    <row r="596" ht="15.0" customHeight="1">
      <c r="A596" s="214"/>
      <c r="B596" s="214"/>
      <c r="C596" s="214"/>
      <c r="D596" s="214"/>
      <c r="E596" s="214"/>
      <c r="F596" s="214"/>
      <c r="G596" s="214"/>
      <c r="H596" s="214"/>
      <c r="I596" s="214"/>
      <c r="J596" s="214"/>
      <c r="K596" s="214"/>
      <c r="L596" s="214"/>
      <c r="M596" s="214"/>
      <c r="N596" s="216"/>
      <c r="O596" s="216"/>
      <c r="P596" s="216"/>
      <c r="Q596" s="216"/>
      <c r="R596" s="216"/>
      <c r="S596" s="216"/>
      <c r="T596" s="216"/>
      <c r="U596" s="216"/>
      <c r="V596" s="216"/>
      <c r="W596" s="216"/>
      <c r="X596" s="216"/>
      <c r="Y596" s="216"/>
      <c r="Z596" s="216"/>
      <c r="AA596" s="216"/>
    </row>
    <row r="597" ht="15.0" customHeight="1">
      <c r="A597" s="214"/>
      <c r="B597" s="214"/>
      <c r="C597" s="214"/>
      <c r="D597" s="214"/>
      <c r="E597" s="214"/>
      <c r="F597" s="214"/>
      <c r="G597" s="214"/>
      <c r="H597" s="214"/>
      <c r="I597" s="214"/>
      <c r="J597" s="214"/>
      <c r="K597" s="214"/>
      <c r="L597" s="214"/>
      <c r="M597" s="214"/>
      <c r="N597" s="216"/>
      <c r="O597" s="216"/>
      <c r="P597" s="216"/>
      <c r="Q597" s="216"/>
      <c r="R597" s="216"/>
      <c r="S597" s="216"/>
      <c r="T597" s="216"/>
      <c r="U597" s="216"/>
      <c r="V597" s="216"/>
      <c r="W597" s="216"/>
      <c r="X597" s="216"/>
      <c r="Y597" s="216"/>
      <c r="Z597" s="216"/>
      <c r="AA597" s="216"/>
    </row>
    <row r="598" ht="15.0" customHeight="1">
      <c r="A598" s="214"/>
      <c r="B598" s="214"/>
      <c r="C598" s="214"/>
      <c r="D598" s="214"/>
      <c r="E598" s="214"/>
      <c r="F598" s="214"/>
      <c r="G598" s="214"/>
      <c r="H598" s="214"/>
      <c r="I598" s="214"/>
      <c r="J598" s="214"/>
      <c r="K598" s="214"/>
      <c r="L598" s="214"/>
      <c r="M598" s="214"/>
      <c r="N598" s="216"/>
      <c r="O598" s="216"/>
      <c r="P598" s="216"/>
      <c r="Q598" s="216"/>
      <c r="R598" s="216"/>
      <c r="S598" s="216"/>
      <c r="T598" s="216"/>
      <c r="U598" s="216"/>
      <c r="V598" s="216"/>
      <c r="W598" s="216"/>
      <c r="X598" s="216"/>
      <c r="Y598" s="216"/>
      <c r="Z598" s="216"/>
      <c r="AA598" s="216"/>
    </row>
    <row r="599" ht="15.0" customHeight="1">
      <c r="A599" s="214"/>
      <c r="B599" s="214"/>
      <c r="C599" s="214"/>
      <c r="D599" s="214"/>
      <c r="E599" s="214"/>
      <c r="F599" s="214"/>
      <c r="G599" s="214"/>
      <c r="H599" s="214"/>
      <c r="I599" s="214"/>
      <c r="J599" s="214"/>
      <c r="K599" s="214"/>
      <c r="L599" s="214"/>
      <c r="M599" s="214"/>
      <c r="N599" s="216"/>
      <c r="O599" s="216"/>
      <c r="P599" s="216"/>
      <c r="Q599" s="216"/>
      <c r="R599" s="216"/>
      <c r="S599" s="216"/>
      <c r="T599" s="216"/>
      <c r="U599" s="216"/>
      <c r="V599" s="216"/>
      <c r="W599" s="216"/>
      <c r="X599" s="216"/>
      <c r="Y599" s="216"/>
      <c r="Z599" s="216"/>
      <c r="AA599" s="216"/>
    </row>
    <row r="600" ht="15.0" customHeight="1">
      <c r="A600" s="214"/>
      <c r="B600" s="214"/>
      <c r="C600" s="214"/>
      <c r="D600" s="214"/>
      <c r="E600" s="214"/>
      <c r="F600" s="214"/>
      <c r="G600" s="214"/>
      <c r="H600" s="214"/>
      <c r="I600" s="214"/>
      <c r="J600" s="214"/>
      <c r="K600" s="214"/>
      <c r="L600" s="214"/>
      <c r="M600" s="214"/>
      <c r="N600" s="216"/>
      <c r="O600" s="216"/>
      <c r="P600" s="216"/>
      <c r="Q600" s="216"/>
      <c r="R600" s="216"/>
      <c r="S600" s="216"/>
      <c r="T600" s="216"/>
      <c r="U600" s="216"/>
      <c r="V600" s="216"/>
      <c r="W600" s="216"/>
      <c r="X600" s="216"/>
      <c r="Y600" s="216"/>
      <c r="Z600" s="216"/>
      <c r="AA600" s="216"/>
    </row>
    <row r="601" ht="15.0" customHeight="1">
      <c r="A601" s="214"/>
      <c r="B601" s="214"/>
      <c r="C601" s="214"/>
      <c r="D601" s="214"/>
      <c r="E601" s="214"/>
      <c r="F601" s="214"/>
      <c r="G601" s="214"/>
      <c r="H601" s="214"/>
      <c r="I601" s="214"/>
      <c r="J601" s="214"/>
      <c r="K601" s="214"/>
      <c r="L601" s="214"/>
      <c r="M601" s="214"/>
      <c r="N601" s="216"/>
      <c r="O601" s="216"/>
      <c r="P601" s="216"/>
      <c r="Q601" s="216"/>
      <c r="R601" s="216"/>
      <c r="S601" s="216"/>
      <c r="T601" s="216"/>
      <c r="U601" s="216"/>
      <c r="V601" s="216"/>
      <c r="W601" s="216"/>
      <c r="X601" s="216"/>
      <c r="Y601" s="216"/>
      <c r="Z601" s="216"/>
      <c r="AA601" s="216"/>
    </row>
    <row r="602" ht="15.0" customHeight="1">
      <c r="A602" s="214"/>
      <c r="B602" s="214"/>
      <c r="C602" s="214"/>
      <c r="D602" s="214"/>
      <c r="E602" s="214"/>
      <c r="F602" s="214"/>
      <c r="G602" s="214"/>
      <c r="H602" s="214"/>
      <c r="I602" s="214"/>
      <c r="J602" s="214"/>
      <c r="K602" s="214"/>
      <c r="L602" s="214"/>
      <c r="M602" s="214"/>
      <c r="N602" s="216"/>
      <c r="O602" s="216"/>
      <c r="P602" s="216"/>
      <c r="Q602" s="216"/>
      <c r="R602" s="216"/>
      <c r="S602" s="216"/>
      <c r="T602" s="216"/>
      <c r="U602" s="216"/>
      <c r="V602" s="216"/>
      <c r="W602" s="216"/>
      <c r="X602" s="216"/>
      <c r="Y602" s="216"/>
      <c r="Z602" s="216"/>
      <c r="AA602" s="216"/>
    </row>
    <row r="603" ht="15.0" customHeight="1">
      <c r="A603" s="214"/>
      <c r="B603" s="214"/>
      <c r="C603" s="214"/>
      <c r="D603" s="214"/>
      <c r="E603" s="214"/>
      <c r="F603" s="214"/>
      <c r="G603" s="214"/>
      <c r="H603" s="214"/>
      <c r="I603" s="214"/>
      <c r="J603" s="214"/>
      <c r="K603" s="214"/>
      <c r="L603" s="214"/>
      <c r="M603" s="214"/>
      <c r="N603" s="216"/>
      <c r="O603" s="216"/>
      <c r="P603" s="216"/>
      <c r="Q603" s="216"/>
      <c r="R603" s="216"/>
      <c r="S603" s="216"/>
      <c r="T603" s="216"/>
      <c r="U603" s="216"/>
      <c r="V603" s="216"/>
      <c r="W603" s="216"/>
      <c r="X603" s="216"/>
      <c r="Y603" s="216"/>
      <c r="Z603" s="216"/>
      <c r="AA603" s="216"/>
    </row>
    <row r="604" ht="15.0" customHeight="1">
      <c r="A604" s="214"/>
      <c r="B604" s="214"/>
      <c r="C604" s="214"/>
      <c r="D604" s="214"/>
      <c r="E604" s="214"/>
      <c r="F604" s="214"/>
      <c r="G604" s="214"/>
      <c r="H604" s="214"/>
      <c r="I604" s="214"/>
      <c r="J604" s="214"/>
      <c r="K604" s="214"/>
      <c r="L604" s="214"/>
      <c r="M604" s="214"/>
      <c r="N604" s="216"/>
      <c r="O604" s="216"/>
      <c r="P604" s="216"/>
      <c r="Q604" s="216"/>
      <c r="R604" s="216"/>
      <c r="S604" s="216"/>
      <c r="T604" s="216"/>
      <c r="U604" s="216"/>
      <c r="V604" s="216"/>
      <c r="W604" s="216"/>
      <c r="X604" s="216"/>
      <c r="Y604" s="216"/>
      <c r="Z604" s="216"/>
      <c r="AA604" s="216"/>
    </row>
    <row r="605" ht="15.0" customHeight="1">
      <c r="A605" s="214"/>
      <c r="B605" s="214"/>
      <c r="C605" s="214"/>
      <c r="D605" s="214"/>
      <c r="E605" s="214"/>
      <c r="F605" s="214"/>
      <c r="G605" s="214"/>
      <c r="H605" s="214"/>
      <c r="I605" s="214"/>
      <c r="J605" s="214"/>
      <c r="K605" s="214"/>
      <c r="L605" s="214"/>
      <c r="M605" s="214"/>
      <c r="N605" s="216"/>
      <c r="O605" s="216"/>
      <c r="P605" s="216"/>
      <c r="Q605" s="216"/>
      <c r="R605" s="216"/>
      <c r="S605" s="216"/>
      <c r="T605" s="216"/>
      <c r="U605" s="216"/>
      <c r="V605" s="216"/>
      <c r="W605" s="216"/>
      <c r="X605" s="216"/>
      <c r="Y605" s="216"/>
      <c r="Z605" s="216"/>
      <c r="AA605" s="216"/>
    </row>
    <row r="606" ht="15.0" customHeight="1">
      <c r="A606" s="214"/>
      <c r="B606" s="214"/>
      <c r="C606" s="214"/>
      <c r="D606" s="214"/>
      <c r="E606" s="214"/>
      <c r="F606" s="214"/>
      <c r="G606" s="214"/>
      <c r="H606" s="214"/>
      <c r="I606" s="214"/>
      <c r="J606" s="214"/>
      <c r="K606" s="214"/>
      <c r="L606" s="214"/>
      <c r="M606" s="214"/>
      <c r="N606" s="216"/>
      <c r="O606" s="216"/>
      <c r="P606" s="216"/>
      <c r="Q606" s="216"/>
      <c r="R606" s="216"/>
      <c r="S606" s="216"/>
      <c r="T606" s="216"/>
      <c r="U606" s="216"/>
      <c r="V606" s="216"/>
      <c r="W606" s="216"/>
      <c r="X606" s="216"/>
      <c r="Y606" s="216"/>
      <c r="Z606" s="216"/>
      <c r="AA606" s="216"/>
    </row>
    <row r="607" ht="15.0" customHeight="1">
      <c r="A607" s="214"/>
      <c r="B607" s="214"/>
      <c r="C607" s="214"/>
      <c r="D607" s="214"/>
      <c r="E607" s="214"/>
      <c r="F607" s="214"/>
      <c r="G607" s="214"/>
      <c r="H607" s="214"/>
      <c r="I607" s="214"/>
      <c r="J607" s="214"/>
      <c r="K607" s="214"/>
      <c r="L607" s="214"/>
      <c r="M607" s="214"/>
      <c r="N607" s="216"/>
      <c r="O607" s="216"/>
      <c r="P607" s="216"/>
      <c r="Q607" s="216"/>
      <c r="R607" s="216"/>
      <c r="S607" s="216"/>
      <c r="T607" s="216"/>
      <c r="U607" s="216"/>
      <c r="V607" s="216"/>
      <c r="W607" s="216"/>
      <c r="X607" s="216"/>
      <c r="Y607" s="216"/>
      <c r="Z607" s="216"/>
      <c r="AA607" s="216"/>
    </row>
    <row r="608" ht="15.0" customHeight="1">
      <c r="A608" s="214"/>
      <c r="B608" s="214"/>
      <c r="C608" s="214"/>
      <c r="D608" s="214"/>
      <c r="E608" s="214"/>
      <c r="F608" s="214"/>
      <c r="G608" s="214"/>
      <c r="H608" s="214"/>
      <c r="I608" s="214"/>
      <c r="J608" s="214"/>
      <c r="K608" s="214"/>
      <c r="L608" s="214"/>
      <c r="M608" s="214"/>
      <c r="N608" s="216"/>
      <c r="O608" s="216"/>
      <c r="P608" s="216"/>
      <c r="Q608" s="216"/>
      <c r="R608" s="216"/>
      <c r="S608" s="216"/>
      <c r="T608" s="216"/>
      <c r="U608" s="216"/>
      <c r="V608" s="216"/>
      <c r="W608" s="216"/>
      <c r="X608" s="216"/>
      <c r="Y608" s="216"/>
      <c r="Z608" s="216"/>
      <c r="AA608" s="216"/>
    </row>
    <row r="609" ht="15.0" customHeight="1">
      <c r="A609" s="214"/>
      <c r="B609" s="214"/>
      <c r="C609" s="214"/>
      <c r="D609" s="214"/>
      <c r="E609" s="214"/>
      <c r="F609" s="214"/>
      <c r="G609" s="214"/>
      <c r="H609" s="214"/>
      <c r="I609" s="214"/>
      <c r="J609" s="214"/>
      <c r="K609" s="214"/>
      <c r="L609" s="214"/>
      <c r="M609" s="214"/>
      <c r="N609" s="216"/>
      <c r="O609" s="216"/>
      <c r="P609" s="216"/>
      <c r="Q609" s="216"/>
      <c r="R609" s="216"/>
      <c r="S609" s="216"/>
      <c r="T609" s="216"/>
      <c r="U609" s="216"/>
      <c r="V609" s="216"/>
      <c r="W609" s="216"/>
      <c r="X609" s="216"/>
      <c r="Y609" s="216"/>
      <c r="Z609" s="216"/>
      <c r="AA609" s="216"/>
    </row>
    <row r="610" ht="15.0" customHeight="1">
      <c r="A610" s="214"/>
      <c r="B610" s="214"/>
      <c r="C610" s="214"/>
      <c r="D610" s="214"/>
      <c r="E610" s="214"/>
      <c r="F610" s="214"/>
      <c r="G610" s="214"/>
      <c r="H610" s="214"/>
      <c r="I610" s="214"/>
      <c r="J610" s="214"/>
      <c r="K610" s="214"/>
      <c r="L610" s="214"/>
      <c r="M610" s="214"/>
      <c r="N610" s="216"/>
      <c r="O610" s="216"/>
      <c r="P610" s="216"/>
      <c r="Q610" s="216"/>
      <c r="R610" s="216"/>
      <c r="S610" s="216"/>
      <c r="T610" s="216"/>
      <c r="U610" s="216"/>
      <c r="V610" s="216"/>
      <c r="W610" s="216"/>
      <c r="X610" s="216"/>
      <c r="Y610" s="216"/>
      <c r="Z610" s="216"/>
      <c r="AA610" s="216"/>
    </row>
    <row r="611" ht="15.0" customHeight="1">
      <c r="A611" s="214"/>
      <c r="B611" s="214"/>
      <c r="C611" s="214"/>
      <c r="D611" s="214"/>
      <c r="E611" s="214"/>
      <c r="F611" s="214"/>
      <c r="G611" s="214"/>
      <c r="H611" s="214"/>
      <c r="I611" s="214"/>
      <c r="J611" s="214"/>
      <c r="K611" s="214"/>
      <c r="L611" s="214"/>
      <c r="M611" s="214"/>
      <c r="N611" s="216"/>
      <c r="O611" s="216"/>
      <c r="P611" s="216"/>
      <c r="Q611" s="216"/>
      <c r="R611" s="216"/>
      <c r="S611" s="216"/>
      <c r="T611" s="216"/>
      <c r="U611" s="216"/>
      <c r="V611" s="216"/>
      <c r="W611" s="216"/>
      <c r="X611" s="216"/>
      <c r="Y611" s="216"/>
      <c r="Z611" s="216"/>
      <c r="AA611" s="216"/>
    </row>
    <row r="612" ht="15.0" customHeight="1">
      <c r="A612" s="214"/>
      <c r="B612" s="214"/>
      <c r="C612" s="214"/>
      <c r="D612" s="214"/>
      <c r="E612" s="214"/>
      <c r="F612" s="214"/>
      <c r="G612" s="214"/>
      <c r="H612" s="214"/>
      <c r="I612" s="214"/>
      <c r="J612" s="214"/>
      <c r="K612" s="214"/>
      <c r="L612" s="214"/>
      <c r="M612" s="214"/>
      <c r="N612" s="216"/>
      <c r="O612" s="216"/>
      <c r="P612" s="216"/>
      <c r="Q612" s="216"/>
      <c r="R612" s="216"/>
      <c r="S612" s="216"/>
      <c r="T612" s="216"/>
      <c r="U612" s="216"/>
      <c r="V612" s="216"/>
      <c r="W612" s="216"/>
      <c r="X612" s="216"/>
      <c r="Y612" s="216"/>
      <c r="Z612" s="216"/>
      <c r="AA612" s="216"/>
    </row>
    <row r="613" ht="15.0" customHeight="1">
      <c r="A613" s="214"/>
      <c r="B613" s="214"/>
      <c r="C613" s="214"/>
      <c r="D613" s="214"/>
      <c r="E613" s="214"/>
      <c r="F613" s="214"/>
      <c r="G613" s="214"/>
      <c r="H613" s="214"/>
      <c r="I613" s="214"/>
      <c r="J613" s="214"/>
      <c r="K613" s="214"/>
      <c r="L613" s="214"/>
      <c r="M613" s="214"/>
      <c r="N613" s="216"/>
      <c r="O613" s="216"/>
      <c r="P613" s="216"/>
      <c r="Q613" s="216"/>
      <c r="R613" s="216"/>
      <c r="S613" s="216"/>
      <c r="T613" s="216"/>
      <c r="U613" s="216"/>
      <c r="V613" s="216"/>
      <c r="W613" s="216"/>
      <c r="X613" s="216"/>
      <c r="Y613" s="216"/>
      <c r="Z613" s="216"/>
      <c r="AA613" s="216"/>
    </row>
    <row r="614" ht="15.0" customHeight="1">
      <c r="A614" s="214"/>
      <c r="B614" s="214"/>
      <c r="C614" s="214"/>
      <c r="D614" s="214"/>
      <c r="E614" s="214"/>
      <c r="F614" s="214"/>
      <c r="G614" s="214"/>
      <c r="H614" s="214"/>
      <c r="I614" s="214"/>
      <c r="J614" s="214"/>
      <c r="K614" s="214"/>
      <c r="L614" s="214"/>
      <c r="M614" s="214"/>
      <c r="N614" s="216"/>
      <c r="O614" s="216"/>
      <c r="P614" s="216"/>
      <c r="Q614" s="216"/>
      <c r="R614" s="216"/>
      <c r="S614" s="216"/>
      <c r="T614" s="216"/>
      <c r="U614" s="216"/>
      <c r="V614" s="216"/>
      <c r="W614" s="216"/>
      <c r="X614" s="216"/>
      <c r="Y614" s="216"/>
      <c r="Z614" s="216"/>
      <c r="AA614" s="216"/>
    </row>
    <row r="615" ht="15.0" customHeight="1">
      <c r="A615" s="214"/>
      <c r="B615" s="214"/>
      <c r="C615" s="214"/>
      <c r="D615" s="214"/>
      <c r="E615" s="214"/>
      <c r="F615" s="214"/>
      <c r="G615" s="214"/>
      <c r="H615" s="214"/>
      <c r="I615" s="214"/>
      <c r="J615" s="214"/>
      <c r="K615" s="214"/>
      <c r="L615" s="214"/>
      <c r="M615" s="214"/>
      <c r="N615" s="216"/>
      <c r="O615" s="216"/>
      <c r="P615" s="216"/>
      <c r="Q615" s="216"/>
      <c r="R615" s="216"/>
      <c r="S615" s="216"/>
      <c r="T615" s="216"/>
      <c r="U615" s="216"/>
      <c r="V615" s="216"/>
      <c r="W615" s="216"/>
      <c r="X615" s="216"/>
      <c r="Y615" s="216"/>
      <c r="Z615" s="216"/>
      <c r="AA615" s="216"/>
    </row>
    <row r="616" ht="15.0" customHeight="1">
      <c r="A616" s="214"/>
      <c r="B616" s="214"/>
      <c r="C616" s="214"/>
      <c r="D616" s="214"/>
      <c r="E616" s="214"/>
      <c r="F616" s="214"/>
      <c r="G616" s="214"/>
      <c r="H616" s="214"/>
      <c r="I616" s="214"/>
      <c r="J616" s="214"/>
      <c r="K616" s="214"/>
      <c r="L616" s="214"/>
      <c r="M616" s="214"/>
      <c r="N616" s="216"/>
      <c r="O616" s="216"/>
      <c r="P616" s="216"/>
      <c r="Q616" s="216"/>
      <c r="R616" s="216"/>
      <c r="S616" s="216"/>
      <c r="T616" s="216"/>
      <c r="U616" s="216"/>
      <c r="V616" s="216"/>
      <c r="W616" s="216"/>
      <c r="X616" s="216"/>
      <c r="Y616" s="216"/>
      <c r="Z616" s="216"/>
      <c r="AA616" s="216"/>
    </row>
    <row r="617" ht="15.0" customHeight="1">
      <c r="A617" s="214"/>
      <c r="B617" s="214"/>
      <c r="C617" s="214"/>
      <c r="D617" s="214"/>
      <c r="E617" s="214"/>
      <c r="F617" s="214"/>
      <c r="G617" s="214"/>
      <c r="H617" s="214"/>
      <c r="I617" s="214"/>
      <c r="J617" s="214"/>
      <c r="K617" s="214"/>
      <c r="L617" s="214"/>
      <c r="M617" s="214"/>
      <c r="N617" s="216"/>
      <c r="O617" s="216"/>
      <c r="P617" s="216"/>
      <c r="Q617" s="216"/>
      <c r="R617" s="216"/>
      <c r="S617" s="216"/>
      <c r="T617" s="216"/>
      <c r="U617" s="216"/>
      <c r="V617" s="216"/>
      <c r="W617" s="216"/>
      <c r="X617" s="216"/>
      <c r="Y617" s="216"/>
      <c r="Z617" s="216"/>
      <c r="AA617" s="216"/>
    </row>
    <row r="618" ht="15.0" customHeight="1">
      <c r="A618" s="214"/>
      <c r="B618" s="214"/>
      <c r="C618" s="214"/>
      <c r="D618" s="214"/>
      <c r="E618" s="214"/>
      <c r="F618" s="214"/>
      <c r="G618" s="214"/>
      <c r="H618" s="214"/>
      <c r="I618" s="214"/>
      <c r="J618" s="214"/>
      <c r="K618" s="214"/>
      <c r="L618" s="214"/>
      <c r="M618" s="214"/>
      <c r="N618" s="216"/>
      <c r="O618" s="216"/>
      <c r="P618" s="216"/>
      <c r="Q618" s="216"/>
      <c r="R618" s="216"/>
      <c r="S618" s="216"/>
      <c r="T618" s="216"/>
      <c r="U618" s="216"/>
      <c r="V618" s="216"/>
      <c r="W618" s="216"/>
      <c r="X618" s="216"/>
      <c r="Y618" s="216"/>
      <c r="Z618" s="216"/>
      <c r="AA618" s="216"/>
    </row>
    <row r="619" ht="15.0" customHeight="1">
      <c r="A619" s="214"/>
      <c r="B619" s="214"/>
      <c r="C619" s="214"/>
      <c r="D619" s="214"/>
      <c r="E619" s="214"/>
      <c r="F619" s="214"/>
      <c r="G619" s="214"/>
      <c r="H619" s="214"/>
      <c r="I619" s="214"/>
      <c r="J619" s="214"/>
      <c r="K619" s="214"/>
      <c r="L619" s="214"/>
      <c r="M619" s="214"/>
      <c r="N619" s="216"/>
      <c r="O619" s="216"/>
      <c r="P619" s="216"/>
      <c r="Q619" s="216"/>
      <c r="R619" s="216"/>
      <c r="S619" s="216"/>
      <c r="T619" s="216"/>
      <c r="U619" s="216"/>
      <c r="V619" s="216"/>
      <c r="W619" s="216"/>
      <c r="X619" s="216"/>
      <c r="Y619" s="216"/>
      <c r="Z619" s="216"/>
      <c r="AA619" s="216"/>
    </row>
    <row r="620" ht="15.0" customHeight="1">
      <c r="A620" s="214"/>
      <c r="B620" s="214"/>
      <c r="C620" s="214"/>
      <c r="D620" s="214"/>
      <c r="E620" s="214"/>
      <c r="F620" s="214"/>
      <c r="G620" s="214"/>
      <c r="H620" s="214"/>
      <c r="I620" s="214"/>
      <c r="J620" s="214"/>
      <c r="K620" s="214"/>
      <c r="L620" s="214"/>
      <c r="M620" s="214"/>
      <c r="N620" s="216"/>
      <c r="O620" s="216"/>
      <c r="P620" s="216"/>
      <c r="Q620" s="216"/>
      <c r="R620" s="216"/>
      <c r="S620" s="216"/>
      <c r="T620" s="216"/>
      <c r="U620" s="216"/>
      <c r="V620" s="216"/>
      <c r="W620" s="216"/>
      <c r="X620" s="216"/>
      <c r="Y620" s="216"/>
      <c r="Z620" s="216"/>
      <c r="AA620" s="216"/>
    </row>
    <row r="621" ht="15.0" customHeight="1">
      <c r="A621" s="214"/>
      <c r="B621" s="214"/>
      <c r="C621" s="214"/>
      <c r="D621" s="214"/>
      <c r="E621" s="214"/>
      <c r="F621" s="214"/>
      <c r="G621" s="214"/>
      <c r="H621" s="214"/>
      <c r="I621" s="214"/>
      <c r="J621" s="214"/>
      <c r="K621" s="214"/>
      <c r="L621" s="214"/>
      <c r="M621" s="214"/>
      <c r="N621" s="216"/>
      <c r="O621" s="216"/>
      <c r="P621" s="216"/>
      <c r="Q621" s="216"/>
      <c r="R621" s="216"/>
      <c r="S621" s="216"/>
      <c r="T621" s="216"/>
      <c r="U621" s="216"/>
      <c r="V621" s="216"/>
      <c r="W621" s="216"/>
      <c r="X621" s="216"/>
      <c r="Y621" s="216"/>
      <c r="Z621" s="216"/>
      <c r="AA621" s="216"/>
    </row>
    <row r="622" ht="15.0" customHeight="1">
      <c r="A622" s="214"/>
      <c r="B622" s="214"/>
      <c r="C622" s="214"/>
      <c r="D622" s="214"/>
      <c r="E622" s="214"/>
      <c r="F622" s="214"/>
      <c r="G622" s="214"/>
      <c r="H622" s="214"/>
      <c r="I622" s="214"/>
      <c r="J622" s="214"/>
      <c r="K622" s="214"/>
      <c r="L622" s="214"/>
      <c r="M622" s="214"/>
      <c r="N622" s="216"/>
      <c r="O622" s="216"/>
      <c r="P622" s="216"/>
      <c r="Q622" s="216"/>
      <c r="R622" s="216"/>
      <c r="S622" s="216"/>
      <c r="T622" s="216"/>
      <c r="U622" s="216"/>
      <c r="V622" s="216"/>
      <c r="W622" s="216"/>
      <c r="X622" s="216"/>
      <c r="Y622" s="216"/>
      <c r="Z622" s="216"/>
      <c r="AA622" s="216"/>
    </row>
    <row r="623" ht="15.0" customHeight="1">
      <c r="A623" s="214"/>
      <c r="B623" s="214"/>
      <c r="C623" s="214"/>
      <c r="D623" s="214"/>
      <c r="E623" s="214"/>
      <c r="F623" s="214"/>
      <c r="G623" s="214"/>
      <c r="H623" s="214"/>
      <c r="I623" s="214"/>
      <c r="J623" s="214"/>
      <c r="K623" s="214"/>
      <c r="L623" s="214"/>
      <c r="M623" s="214"/>
      <c r="N623" s="216"/>
      <c r="O623" s="216"/>
      <c r="P623" s="216"/>
      <c r="Q623" s="216"/>
      <c r="R623" s="216"/>
      <c r="S623" s="216"/>
      <c r="T623" s="216"/>
      <c r="U623" s="216"/>
      <c r="V623" s="216"/>
      <c r="W623" s="216"/>
      <c r="X623" s="216"/>
      <c r="Y623" s="216"/>
      <c r="Z623" s="216"/>
      <c r="AA623" s="216"/>
    </row>
    <row r="624" ht="15.0" customHeight="1">
      <c r="A624" s="214"/>
      <c r="B624" s="214"/>
      <c r="C624" s="214"/>
      <c r="D624" s="214"/>
      <c r="E624" s="214"/>
      <c r="F624" s="214"/>
      <c r="G624" s="214"/>
      <c r="H624" s="214"/>
      <c r="I624" s="214"/>
      <c r="J624" s="214"/>
      <c r="K624" s="214"/>
      <c r="L624" s="214"/>
      <c r="M624" s="214"/>
      <c r="N624" s="216"/>
      <c r="O624" s="216"/>
      <c r="P624" s="216"/>
      <c r="Q624" s="216"/>
      <c r="R624" s="216"/>
      <c r="S624" s="216"/>
      <c r="T624" s="216"/>
      <c r="U624" s="216"/>
      <c r="V624" s="216"/>
      <c r="W624" s="216"/>
      <c r="X624" s="216"/>
      <c r="Y624" s="216"/>
      <c r="Z624" s="216"/>
      <c r="AA624" s="216"/>
    </row>
    <row r="625" ht="15.0" customHeight="1">
      <c r="A625" s="214"/>
      <c r="B625" s="214"/>
      <c r="C625" s="214"/>
      <c r="D625" s="214"/>
      <c r="E625" s="214"/>
      <c r="F625" s="214"/>
      <c r="G625" s="214"/>
      <c r="H625" s="214"/>
      <c r="I625" s="214"/>
      <c r="J625" s="214"/>
      <c r="K625" s="214"/>
      <c r="L625" s="214"/>
      <c r="M625" s="214"/>
      <c r="N625" s="216"/>
      <c r="O625" s="216"/>
      <c r="P625" s="216"/>
      <c r="Q625" s="216"/>
      <c r="R625" s="216"/>
      <c r="S625" s="216"/>
      <c r="T625" s="216"/>
      <c r="U625" s="216"/>
      <c r="V625" s="216"/>
      <c r="W625" s="216"/>
      <c r="X625" s="216"/>
      <c r="Y625" s="216"/>
      <c r="Z625" s="216"/>
      <c r="AA625" s="216"/>
    </row>
    <row r="626" ht="15.0" customHeight="1">
      <c r="A626" s="214"/>
      <c r="B626" s="214"/>
      <c r="C626" s="214"/>
      <c r="D626" s="214"/>
      <c r="E626" s="214"/>
      <c r="F626" s="214"/>
      <c r="G626" s="214"/>
      <c r="H626" s="214"/>
      <c r="I626" s="214"/>
      <c r="J626" s="214"/>
      <c r="K626" s="214"/>
      <c r="L626" s="214"/>
      <c r="M626" s="214"/>
      <c r="N626" s="216"/>
      <c r="O626" s="216"/>
      <c r="P626" s="216"/>
      <c r="Q626" s="216"/>
      <c r="R626" s="216"/>
      <c r="S626" s="216"/>
      <c r="T626" s="216"/>
      <c r="U626" s="216"/>
      <c r="V626" s="216"/>
      <c r="W626" s="216"/>
      <c r="X626" s="216"/>
      <c r="Y626" s="216"/>
      <c r="Z626" s="216"/>
      <c r="AA626" s="216"/>
    </row>
    <row r="627" ht="15.0" customHeight="1">
      <c r="A627" s="214"/>
      <c r="B627" s="214"/>
      <c r="C627" s="214"/>
      <c r="D627" s="214"/>
      <c r="E627" s="214"/>
      <c r="F627" s="214"/>
      <c r="G627" s="214"/>
      <c r="H627" s="214"/>
      <c r="I627" s="214"/>
      <c r="J627" s="214"/>
      <c r="K627" s="214"/>
      <c r="L627" s="214"/>
      <c r="M627" s="214"/>
      <c r="N627" s="216"/>
      <c r="O627" s="216"/>
      <c r="P627" s="216"/>
      <c r="Q627" s="216"/>
      <c r="R627" s="216"/>
      <c r="S627" s="216"/>
      <c r="T627" s="216"/>
      <c r="U627" s="216"/>
      <c r="V627" s="216"/>
      <c r="W627" s="216"/>
      <c r="X627" s="216"/>
      <c r="Y627" s="216"/>
      <c r="Z627" s="216"/>
      <c r="AA627" s="216"/>
    </row>
    <row r="628" ht="15.0" customHeight="1">
      <c r="A628" s="214"/>
      <c r="B628" s="214"/>
      <c r="C628" s="214"/>
      <c r="D628" s="214"/>
      <c r="E628" s="214"/>
      <c r="F628" s="214"/>
      <c r="G628" s="214"/>
      <c r="H628" s="214"/>
      <c r="I628" s="214"/>
      <c r="J628" s="214"/>
      <c r="K628" s="214"/>
      <c r="L628" s="214"/>
      <c r="M628" s="214"/>
      <c r="N628" s="216"/>
      <c r="O628" s="216"/>
      <c r="P628" s="216"/>
      <c r="Q628" s="216"/>
      <c r="R628" s="216"/>
      <c r="S628" s="216"/>
      <c r="T628" s="216"/>
      <c r="U628" s="216"/>
      <c r="V628" s="216"/>
      <c r="W628" s="216"/>
      <c r="X628" s="216"/>
      <c r="Y628" s="216"/>
      <c r="Z628" s="216"/>
      <c r="AA628" s="216"/>
    </row>
    <row r="629" ht="15.0" customHeight="1">
      <c r="A629" s="214"/>
      <c r="B629" s="214"/>
      <c r="C629" s="214"/>
      <c r="D629" s="214"/>
      <c r="E629" s="214"/>
      <c r="F629" s="214"/>
      <c r="G629" s="214"/>
      <c r="H629" s="214"/>
      <c r="I629" s="214"/>
      <c r="J629" s="214"/>
      <c r="K629" s="214"/>
      <c r="L629" s="214"/>
      <c r="M629" s="214"/>
      <c r="N629" s="216"/>
      <c r="O629" s="216"/>
      <c r="P629" s="216"/>
      <c r="Q629" s="216"/>
      <c r="R629" s="216"/>
      <c r="S629" s="216"/>
      <c r="T629" s="216"/>
      <c r="U629" s="216"/>
      <c r="V629" s="216"/>
      <c r="W629" s="216"/>
      <c r="X629" s="216"/>
      <c r="Y629" s="216"/>
      <c r="Z629" s="216"/>
      <c r="AA629" s="216"/>
    </row>
    <row r="630" ht="15.0" customHeight="1">
      <c r="A630" s="214"/>
      <c r="B630" s="214"/>
      <c r="C630" s="214"/>
      <c r="D630" s="214"/>
      <c r="E630" s="214"/>
      <c r="F630" s="214"/>
      <c r="G630" s="214"/>
      <c r="H630" s="214"/>
      <c r="I630" s="214"/>
      <c r="J630" s="214"/>
      <c r="K630" s="214"/>
      <c r="L630" s="214"/>
      <c r="M630" s="214"/>
      <c r="N630" s="216"/>
      <c r="O630" s="216"/>
      <c r="P630" s="216"/>
      <c r="Q630" s="216"/>
      <c r="R630" s="216"/>
      <c r="S630" s="216"/>
      <c r="T630" s="216"/>
      <c r="U630" s="216"/>
      <c r="V630" s="216"/>
      <c r="W630" s="216"/>
      <c r="X630" s="216"/>
      <c r="Y630" s="216"/>
      <c r="Z630" s="216"/>
      <c r="AA630" s="216"/>
    </row>
    <row r="631" ht="15.0" customHeight="1">
      <c r="A631" s="214"/>
      <c r="B631" s="214"/>
      <c r="C631" s="214"/>
      <c r="D631" s="214"/>
      <c r="E631" s="214"/>
      <c r="F631" s="214"/>
      <c r="G631" s="214"/>
      <c r="H631" s="214"/>
      <c r="I631" s="214"/>
      <c r="J631" s="214"/>
      <c r="K631" s="214"/>
      <c r="L631" s="214"/>
      <c r="M631" s="214"/>
      <c r="N631" s="216"/>
      <c r="O631" s="216"/>
      <c r="P631" s="216"/>
      <c r="Q631" s="216"/>
      <c r="R631" s="216"/>
      <c r="S631" s="216"/>
      <c r="T631" s="216"/>
      <c r="U631" s="216"/>
      <c r="V631" s="216"/>
      <c r="W631" s="216"/>
      <c r="X631" s="216"/>
      <c r="Y631" s="216"/>
      <c r="Z631" s="216"/>
      <c r="AA631" s="216"/>
    </row>
    <row r="632" ht="15.0" customHeight="1">
      <c r="A632" s="214"/>
      <c r="B632" s="214"/>
      <c r="C632" s="214"/>
      <c r="D632" s="214"/>
      <c r="E632" s="214"/>
      <c r="F632" s="214"/>
      <c r="G632" s="214"/>
      <c r="H632" s="214"/>
      <c r="I632" s="214"/>
      <c r="J632" s="214"/>
      <c r="K632" s="214"/>
      <c r="L632" s="214"/>
      <c r="M632" s="214"/>
      <c r="N632" s="216"/>
      <c r="O632" s="216"/>
      <c r="P632" s="216"/>
      <c r="Q632" s="216"/>
      <c r="R632" s="216"/>
      <c r="S632" s="216"/>
      <c r="T632" s="216"/>
      <c r="U632" s="216"/>
      <c r="V632" s="216"/>
      <c r="W632" s="216"/>
      <c r="X632" s="216"/>
      <c r="Y632" s="216"/>
      <c r="Z632" s="216"/>
      <c r="AA632" s="216"/>
    </row>
    <row r="633" ht="15.0" customHeight="1">
      <c r="A633" s="214"/>
      <c r="B633" s="214"/>
      <c r="C633" s="214"/>
      <c r="D633" s="214"/>
      <c r="E633" s="214"/>
      <c r="F633" s="214"/>
      <c r="G633" s="214"/>
      <c r="H633" s="214"/>
      <c r="I633" s="214"/>
      <c r="J633" s="214"/>
      <c r="K633" s="214"/>
      <c r="L633" s="214"/>
      <c r="M633" s="214"/>
      <c r="N633" s="216"/>
      <c r="O633" s="216"/>
      <c r="P633" s="216"/>
      <c r="Q633" s="216"/>
      <c r="R633" s="216"/>
      <c r="S633" s="216"/>
      <c r="T633" s="216"/>
      <c r="U633" s="216"/>
      <c r="V633" s="216"/>
      <c r="W633" s="216"/>
      <c r="X633" s="216"/>
      <c r="Y633" s="216"/>
      <c r="Z633" s="216"/>
      <c r="AA633" s="216"/>
    </row>
    <row r="634" ht="15.0" customHeight="1">
      <c r="A634" s="214"/>
      <c r="B634" s="214"/>
      <c r="C634" s="214"/>
      <c r="D634" s="214"/>
      <c r="E634" s="214"/>
      <c r="F634" s="214"/>
      <c r="G634" s="214"/>
      <c r="H634" s="214"/>
      <c r="I634" s="214"/>
      <c r="J634" s="214"/>
      <c r="K634" s="214"/>
      <c r="L634" s="214"/>
      <c r="M634" s="214"/>
      <c r="N634" s="216"/>
      <c r="O634" s="216"/>
      <c r="P634" s="216"/>
      <c r="Q634" s="216"/>
      <c r="R634" s="216"/>
      <c r="S634" s="216"/>
      <c r="T634" s="216"/>
      <c r="U634" s="216"/>
      <c r="V634" s="216"/>
      <c r="W634" s="216"/>
      <c r="X634" s="216"/>
      <c r="Y634" s="216"/>
      <c r="Z634" s="216"/>
      <c r="AA634" s="216"/>
    </row>
    <row r="635" ht="15.0" customHeight="1">
      <c r="A635" s="214"/>
      <c r="B635" s="214"/>
      <c r="C635" s="214"/>
      <c r="D635" s="214"/>
      <c r="E635" s="214"/>
      <c r="F635" s="214"/>
      <c r="G635" s="214"/>
      <c r="H635" s="214"/>
      <c r="I635" s="214"/>
      <c r="J635" s="214"/>
      <c r="K635" s="214"/>
      <c r="L635" s="214"/>
      <c r="M635" s="214"/>
      <c r="N635" s="216"/>
      <c r="O635" s="216"/>
      <c r="P635" s="216"/>
      <c r="Q635" s="216"/>
      <c r="R635" s="216"/>
      <c r="S635" s="216"/>
      <c r="T635" s="216"/>
      <c r="U635" s="216"/>
      <c r="V635" s="216"/>
      <c r="W635" s="216"/>
      <c r="X635" s="216"/>
      <c r="Y635" s="216"/>
      <c r="Z635" s="216"/>
      <c r="AA635" s="216"/>
    </row>
    <row r="636" ht="15.0" customHeight="1">
      <c r="A636" s="214"/>
      <c r="B636" s="214"/>
      <c r="C636" s="214"/>
      <c r="D636" s="214"/>
      <c r="E636" s="214"/>
      <c r="F636" s="214"/>
      <c r="G636" s="214"/>
      <c r="H636" s="214"/>
      <c r="I636" s="214"/>
      <c r="J636" s="214"/>
      <c r="K636" s="214"/>
      <c r="L636" s="214"/>
      <c r="M636" s="214"/>
      <c r="N636" s="216"/>
      <c r="O636" s="216"/>
      <c r="P636" s="216"/>
      <c r="Q636" s="216"/>
      <c r="R636" s="216"/>
      <c r="S636" s="216"/>
      <c r="T636" s="216"/>
      <c r="U636" s="216"/>
      <c r="V636" s="216"/>
      <c r="W636" s="216"/>
      <c r="X636" s="216"/>
      <c r="Y636" s="216"/>
      <c r="Z636" s="216"/>
      <c r="AA636" s="216"/>
    </row>
    <row r="637" ht="15.0" customHeight="1">
      <c r="A637" s="214"/>
      <c r="B637" s="214"/>
      <c r="C637" s="214"/>
      <c r="D637" s="214"/>
      <c r="E637" s="214"/>
      <c r="F637" s="214"/>
      <c r="G637" s="214"/>
      <c r="H637" s="214"/>
      <c r="I637" s="214"/>
      <c r="J637" s="214"/>
      <c r="K637" s="214"/>
      <c r="L637" s="214"/>
      <c r="M637" s="214"/>
      <c r="N637" s="216"/>
      <c r="O637" s="216"/>
      <c r="P637" s="216"/>
      <c r="Q637" s="216"/>
      <c r="R637" s="216"/>
      <c r="S637" s="216"/>
      <c r="T637" s="216"/>
      <c r="U637" s="216"/>
      <c r="V637" s="216"/>
      <c r="W637" s="216"/>
      <c r="X637" s="216"/>
      <c r="Y637" s="216"/>
      <c r="Z637" s="216"/>
      <c r="AA637" s="216"/>
    </row>
    <row r="638" ht="15.0" customHeight="1">
      <c r="A638" s="214"/>
      <c r="B638" s="214"/>
      <c r="C638" s="214"/>
      <c r="D638" s="214"/>
      <c r="E638" s="214"/>
      <c r="F638" s="214"/>
      <c r="G638" s="214"/>
      <c r="H638" s="214"/>
      <c r="I638" s="214"/>
      <c r="J638" s="214"/>
      <c r="K638" s="214"/>
      <c r="L638" s="214"/>
      <c r="M638" s="214"/>
      <c r="N638" s="216"/>
      <c r="O638" s="216"/>
      <c r="P638" s="216"/>
      <c r="Q638" s="216"/>
      <c r="R638" s="216"/>
      <c r="S638" s="216"/>
      <c r="T638" s="216"/>
      <c r="U638" s="216"/>
      <c r="V638" s="216"/>
      <c r="W638" s="216"/>
      <c r="X638" s="216"/>
      <c r="Y638" s="216"/>
      <c r="Z638" s="216"/>
      <c r="AA638" s="216"/>
    </row>
    <row r="639" ht="15.0" customHeight="1">
      <c r="A639" s="214"/>
      <c r="B639" s="214"/>
      <c r="C639" s="214"/>
      <c r="D639" s="214"/>
      <c r="E639" s="214"/>
      <c r="F639" s="214"/>
      <c r="G639" s="214"/>
      <c r="H639" s="214"/>
      <c r="I639" s="214"/>
      <c r="J639" s="214"/>
      <c r="K639" s="214"/>
      <c r="L639" s="214"/>
      <c r="M639" s="214"/>
      <c r="N639" s="216"/>
      <c r="O639" s="216"/>
      <c r="P639" s="216"/>
      <c r="Q639" s="216"/>
      <c r="R639" s="216"/>
      <c r="S639" s="216"/>
      <c r="T639" s="216"/>
      <c r="U639" s="216"/>
      <c r="V639" s="216"/>
      <c r="W639" s="216"/>
      <c r="X639" s="216"/>
      <c r="Y639" s="216"/>
      <c r="Z639" s="216"/>
      <c r="AA639" s="216"/>
    </row>
    <row r="640" ht="15.0" customHeight="1">
      <c r="A640" s="214"/>
      <c r="B640" s="214"/>
      <c r="C640" s="214"/>
      <c r="D640" s="214"/>
      <c r="E640" s="214"/>
      <c r="F640" s="214"/>
      <c r="G640" s="214"/>
      <c r="H640" s="214"/>
      <c r="I640" s="214"/>
      <c r="J640" s="214"/>
      <c r="K640" s="214"/>
      <c r="L640" s="214"/>
      <c r="M640" s="214"/>
      <c r="N640" s="216"/>
      <c r="O640" s="216"/>
      <c r="P640" s="216"/>
      <c r="Q640" s="216"/>
      <c r="R640" s="216"/>
      <c r="S640" s="216"/>
      <c r="T640" s="216"/>
      <c r="U640" s="216"/>
      <c r="V640" s="216"/>
      <c r="W640" s="216"/>
      <c r="X640" s="216"/>
      <c r="Y640" s="216"/>
      <c r="Z640" s="216"/>
      <c r="AA640" s="216"/>
    </row>
    <row r="641" ht="15.0" customHeight="1">
      <c r="A641" s="214"/>
      <c r="B641" s="214"/>
      <c r="C641" s="214"/>
      <c r="D641" s="214"/>
      <c r="E641" s="214"/>
      <c r="F641" s="214"/>
      <c r="G641" s="214"/>
      <c r="H641" s="214"/>
      <c r="I641" s="214"/>
      <c r="J641" s="214"/>
      <c r="K641" s="214"/>
      <c r="L641" s="214"/>
      <c r="M641" s="214"/>
      <c r="N641" s="216"/>
      <c r="O641" s="216"/>
      <c r="P641" s="216"/>
      <c r="Q641" s="216"/>
      <c r="R641" s="216"/>
      <c r="S641" s="216"/>
      <c r="T641" s="216"/>
      <c r="U641" s="216"/>
      <c r="V641" s="216"/>
      <c r="W641" s="216"/>
      <c r="X641" s="216"/>
      <c r="Y641" s="216"/>
      <c r="Z641" s="216"/>
      <c r="AA641" s="216"/>
    </row>
    <row r="642" ht="15.0" customHeight="1">
      <c r="A642" s="214"/>
      <c r="B642" s="214"/>
      <c r="C642" s="214"/>
      <c r="D642" s="214"/>
      <c r="E642" s="214"/>
      <c r="F642" s="214"/>
      <c r="G642" s="214"/>
      <c r="H642" s="214"/>
      <c r="I642" s="214"/>
      <c r="J642" s="214"/>
      <c r="K642" s="214"/>
      <c r="L642" s="214"/>
      <c r="M642" s="214"/>
      <c r="N642" s="216"/>
      <c r="O642" s="216"/>
      <c r="P642" s="216"/>
      <c r="Q642" s="216"/>
      <c r="R642" s="216"/>
      <c r="S642" s="216"/>
      <c r="T642" s="216"/>
      <c r="U642" s="216"/>
      <c r="V642" s="216"/>
      <c r="W642" s="216"/>
      <c r="X642" s="216"/>
      <c r="Y642" s="216"/>
      <c r="Z642" s="216"/>
      <c r="AA642" s="216"/>
    </row>
    <row r="643" ht="15.0" customHeight="1">
      <c r="A643" s="214"/>
      <c r="B643" s="214"/>
      <c r="C643" s="214"/>
      <c r="D643" s="214"/>
      <c r="E643" s="214"/>
      <c r="F643" s="214"/>
      <c r="G643" s="214"/>
      <c r="H643" s="214"/>
      <c r="I643" s="214"/>
      <c r="J643" s="214"/>
      <c r="K643" s="214"/>
      <c r="L643" s="214"/>
      <c r="M643" s="214"/>
      <c r="N643" s="216"/>
      <c r="O643" s="216"/>
      <c r="P643" s="216"/>
      <c r="Q643" s="216"/>
      <c r="R643" s="216"/>
      <c r="S643" s="216"/>
      <c r="T643" s="216"/>
      <c r="U643" s="216"/>
      <c r="V643" s="216"/>
      <c r="W643" s="216"/>
      <c r="X643" s="216"/>
      <c r="Y643" s="216"/>
      <c r="Z643" s="216"/>
      <c r="AA643" s="216"/>
    </row>
    <row r="644" ht="15.0" customHeight="1">
      <c r="A644" s="214"/>
      <c r="B644" s="214"/>
      <c r="C644" s="214"/>
      <c r="D644" s="214"/>
      <c r="E644" s="214"/>
      <c r="F644" s="214"/>
      <c r="G644" s="214"/>
      <c r="H644" s="214"/>
      <c r="I644" s="214"/>
      <c r="J644" s="214"/>
      <c r="K644" s="214"/>
      <c r="L644" s="214"/>
      <c r="M644" s="214"/>
      <c r="N644" s="216"/>
      <c r="O644" s="216"/>
      <c r="P644" s="216"/>
      <c r="Q644" s="216"/>
      <c r="R644" s="216"/>
      <c r="S644" s="216"/>
      <c r="T644" s="216"/>
      <c r="U644" s="216"/>
      <c r="V644" s="216"/>
      <c r="W644" s="216"/>
      <c r="X644" s="216"/>
      <c r="Y644" s="216"/>
      <c r="Z644" s="216"/>
      <c r="AA644" s="216"/>
    </row>
    <row r="645" ht="15.0" customHeight="1">
      <c r="A645" s="214"/>
      <c r="B645" s="214"/>
      <c r="C645" s="214"/>
      <c r="D645" s="214"/>
      <c r="E645" s="214"/>
      <c r="F645" s="214"/>
      <c r="G645" s="214"/>
      <c r="H645" s="214"/>
      <c r="I645" s="214"/>
      <c r="J645" s="214"/>
      <c r="K645" s="214"/>
      <c r="L645" s="214"/>
      <c r="M645" s="214"/>
      <c r="N645" s="216"/>
      <c r="O645" s="216"/>
      <c r="P645" s="216"/>
      <c r="Q645" s="216"/>
      <c r="R645" s="216"/>
      <c r="S645" s="216"/>
      <c r="T645" s="216"/>
      <c r="U645" s="216"/>
      <c r="V645" s="216"/>
      <c r="W645" s="216"/>
      <c r="X645" s="216"/>
      <c r="Y645" s="216"/>
      <c r="Z645" s="216"/>
      <c r="AA645" s="216"/>
    </row>
    <row r="646" ht="15.0" customHeight="1">
      <c r="A646" s="214"/>
      <c r="B646" s="214"/>
      <c r="C646" s="214"/>
      <c r="D646" s="214"/>
      <c r="E646" s="214"/>
      <c r="F646" s="214"/>
      <c r="G646" s="214"/>
      <c r="H646" s="214"/>
      <c r="I646" s="214"/>
      <c r="J646" s="214"/>
      <c r="K646" s="214"/>
      <c r="L646" s="214"/>
      <c r="M646" s="214"/>
      <c r="N646" s="216"/>
      <c r="O646" s="216"/>
      <c r="P646" s="216"/>
      <c r="Q646" s="216"/>
      <c r="R646" s="216"/>
      <c r="S646" s="216"/>
      <c r="T646" s="216"/>
      <c r="U646" s="216"/>
      <c r="V646" s="216"/>
      <c r="W646" s="216"/>
      <c r="X646" s="216"/>
      <c r="Y646" s="216"/>
      <c r="Z646" s="216"/>
      <c r="AA646" s="216"/>
    </row>
    <row r="647" ht="15.0" customHeight="1">
      <c r="A647" s="214"/>
      <c r="B647" s="214"/>
      <c r="C647" s="214"/>
      <c r="D647" s="214"/>
      <c r="E647" s="214"/>
      <c r="F647" s="214"/>
      <c r="G647" s="214"/>
      <c r="H647" s="214"/>
      <c r="I647" s="214"/>
      <c r="J647" s="214"/>
      <c r="K647" s="214"/>
      <c r="L647" s="214"/>
      <c r="M647" s="214"/>
      <c r="N647" s="216"/>
      <c r="O647" s="216"/>
      <c r="P647" s="216"/>
      <c r="Q647" s="216"/>
      <c r="R647" s="216"/>
      <c r="S647" s="216"/>
      <c r="T647" s="216"/>
      <c r="U647" s="216"/>
      <c r="V647" s="216"/>
      <c r="W647" s="216"/>
      <c r="X647" s="216"/>
      <c r="Y647" s="216"/>
      <c r="Z647" s="216"/>
      <c r="AA647" s="216"/>
    </row>
    <row r="648" ht="15.0" customHeight="1">
      <c r="A648" s="214"/>
      <c r="B648" s="214"/>
      <c r="C648" s="214"/>
      <c r="D648" s="214"/>
      <c r="E648" s="214"/>
      <c r="F648" s="214"/>
      <c r="G648" s="214"/>
      <c r="H648" s="214"/>
      <c r="I648" s="214"/>
      <c r="J648" s="214"/>
      <c r="K648" s="214"/>
      <c r="L648" s="214"/>
      <c r="M648" s="214"/>
      <c r="N648" s="216"/>
      <c r="O648" s="216"/>
      <c r="P648" s="216"/>
      <c r="Q648" s="216"/>
      <c r="R648" s="216"/>
      <c r="S648" s="216"/>
      <c r="T648" s="216"/>
      <c r="U648" s="216"/>
      <c r="V648" s="216"/>
      <c r="W648" s="216"/>
      <c r="X648" s="216"/>
      <c r="Y648" s="216"/>
      <c r="Z648" s="216"/>
      <c r="AA648" s="216"/>
    </row>
    <row r="649" ht="15.0" customHeight="1">
      <c r="A649" s="214"/>
      <c r="B649" s="214"/>
      <c r="C649" s="214"/>
      <c r="D649" s="214"/>
      <c r="E649" s="214"/>
      <c r="F649" s="214"/>
      <c r="G649" s="214"/>
      <c r="H649" s="214"/>
      <c r="I649" s="214"/>
      <c r="J649" s="214"/>
      <c r="K649" s="214"/>
      <c r="L649" s="214"/>
      <c r="M649" s="214"/>
      <c r="N649" s="216"/>
      <c r="O649" s="216"/>
      <c r="P649" s="216"/>
      <c r="Q649" s="216"/>
      <c r="R649" s="216"/>
      <c r="S649" s="216"/>
      <c r="T649" s="216"/>
      <c r="U649" s="216"/>
      <c r="V649" s="216"/>
      <c r="W649" s="216"/>
      <c r="X649" s="216"/>
      <c r="Y649" s="216"/>
      <c r="Z649" s="216"/>
      <c r="AA649" s="216"/>
    </row>
    <row r="650" ht="15.0" customHeight="1">
      <c r="A650" s="214"/>
      <c r="B650" s="214"/>
      <c r="C650" s="214"/>
      <c r="D650" s="214"/>
      <c r="E650" s="214"/>
      <c r="F650" s="214"/>
      <c r="G650" s="214"/>
      <c r="H650" s="214"/>
      <c r="I650" s="214"/>
      <c r="J650" s="214"/>
      <c r="K650" s="214"/>
      <c r="L650" s="214"/>
      <c r="M650" s="214"/>
      <c r="N650" s="216"/>
      <c r="O650" s="216"/>
      <c r="P650" s="216"/>
      <c r="Q650" s="216"/>
      <c r="R650" s="216"/>
      <c r="S650" s="216"/>
      <c r="T650" s="216"/>
      <c r="U650" s="216"/>
      <c r="V650" s="216"/>
      <c r="W650" s="216"/>
      <c r="X650" s="216"/>
      <c r="Y650" s="216"/>
      <c r="Z650" s="216"/>
      <c r="AA650" s="216"/>
    </row>
    <row r="651" ht="15.0" customHeight="1">
      <c r="A651" s="214"/>
      <c r="B651" s="214"/>
      <c r="C651" s="214"/>
      <c r="D651" s="214"/>
      <c r="E651" s="214"/>
      <c r="F651" s="214"/>
      <c r="G651" s="214"/>
      <c r="H651" s="214"/>
      <c r="I651" s="214"/>
      <c r="J651" s="214"/>
      <c r="K651" s="214"/>
      <c r="L651" s="214"/>
      <c r="M651" s="214"/>
      <c r="N651" s="216"/>
      <c r="O651" s="216"/>
      <c r="P651" s="216"/>
      <c r="Q651" s="216"/>
      <c r="R651" s="216"/>
      <c r="S651" s="216"/>
      <c r="T651" s="216"/>
      <c r="U651" s="216"/>
      <c r="V651" s="216"/>
      <c r="W651" s="216"/>
      <c r="X651" s="216"/>
      <c r="Y651" s="216"/>
      <c r="Z651" s="216"/>
      <c r="AA651" s="216"/>
    </row>
    <row r="652" ht="15.0" customHeight="1">
      <c r="A652" s="214"/>
      <c r="B652" s="214"/>
      <c r="C652" s="214"/>
      <c r="D652" s="214"/>
      <c r="E652" s="214"/>
      <c r="F652" s="214"/>
      <c r="G652" s="214"/>
      <c r="H652" s="214"/>
      <c r="I652" s="214"/>
      <c r="J652" s="214"/>
      <c r="K652" s="214"/>
      <c r="L652" s="214"/>
      <c r="M652" s="214"/>
      <c r="N652" s="216"/>
      <c r="O652" s="216"/>
      <c r="P652" s="216"/>
      <c r="Q652" s="216"/>
      <c r="R652" s="216"/>
      <c r="S652" s="216"/>
      <c r="T652" s="216"/>
      <c r="U652" s="216"/>
      <c r="V652" s="216"/>
      <c r="W652" s="216"/>
      <c r="X652" s="216"/>
      <c r="Y652" s="216"/>
      <c r="Z652" s="216"/>
      <c r="AA652" s="216"/>
    </row>
    <row r="653" ht="15.0" customHeight="1">
      <c r="A653" s="214"/>
      <c r="B653" s="214"/>
      <c r="C653" s="214"/>
      <c r="D653" s="214"/>
      <c r="E653" s="214"/>
      <c r="F653" s="214"/>
      <c r="G653" s="214"/>
      <c r="H653" s="214"/>
      <c r="I653" s="214"/>
      <c r="J653" s="214"/>
      <c r="K653" s="214"/>
      <c r="L653" s="214"/>
      <c r="M653" s="214"/>
      <c r="N653" s="216"/>
      <c r="O653" s="216"/>
      <c r="P653" s="216"/>
      <c r="Q653" s="216"/>
      <c r="R653" s="216"/>
      <c r="S653" s="216"/>
      <c r="T653" s="216"/>
      <c r="U653" s="216"/>
      <c r="V653" s="216"/>
      <c r="W653" s="216"/>
      <c r="X653" s="216"/>
      <c r="Y653" s="216"/>
      <c r="Z653" s="216"/>
      <c r="AA653" s="216"/>
    </row>
    <row r="654" ht="15.0" customHeight="1">
      <c r="A654" s="214"/>
      <c r="B654" s="214"/>
      <c r="C654" s="214"/>
      <c r="D654" s="214"/>
      <c r="E654" s="214"/>
      <c r="F654" s="214"/>
      <c r="G654" s="214"/>
      <c r="H654" s="214"/>
      <c r="I654" s="214"/>
      <c r="J654" s="214"/>
      <c r="K654" s="214"/>
      <c r="L654" s="214"/>
      <c r="M654" s="214"/>
      <c r="N654" s="216"/>
      <c r="O654" s="216"/>
      <c r="P654" s="216"/>
      <c r="Q654" s="216"/>
      <c r="R654" s="216"/>
      <c r="S654" s="216"/>
      <c r="T654" s="216"/>
      <c r="U654" s="216"/>
      <c r="V654" s="216"/>
      <c r="W654" s="216"/>
      <c r="X654" s="216"/>
      <c r="Y654" s="216"/>
      <c r="Z654" s="216"/>
      <c r="AA654" s="216"/>
    </row>
    <row r="655" ht="15.0" customHeight="1">
      <c r="A655" s="214"/>
      <c r="B655" s="214"/>
      <c r="C655" s="214"/>
      <c r="D655" s="214"/>
      <c r="E655" s="214"/>
      <c r="F655" s="214"/>
      <c r="G655" s="214"/>
      <c r="H655" s="214"/>
      <c r="I655" s="214"/>
      <c r="J655" s="214"/>
      <c r="K655" s="214"/>
      <c r="L655" s="214"/>
      <c r="M655" s="214"/>
      <c r="N655" s="216"/>
      <c r="O655" s="216"/>
      <c r="P655" s="216"/>
      <c r="Q655" s="216"/>
      <c r="R655" s="216"/>
      <c r="S655" s="216"/>
      <c r="T655" s="216"/>
      <c r="U655" s="216"/>
      <c r="V655" s="216"/>
      <c r="W655" s="216"/>
      <c r="X655" s="216"/>
      <c r="Y655" s="216"/>
      <c r="Z655" s="216"/>
      <c r="AA655" s="216"/>
    </row>
    <row r="656" ht="15.0" customHeight="1">
      <c r="A656" s="214"/>
      <c r="B656" s="214"/>
      <c r="C656" s="214"/>
      <c r="D656" s="214"/>
      <c r="E656" s="214"/>
      <c r="F656" s="214"/>
      <c r="G656" s="214"/>
      <c r="H656" s="214"/>
      <c r="I656" s="214"/>
      <c r="J656" s="214"/>
      <c r="K656" s="214"/>
      <c r="L656" s="214"/>
      <c r="M656" s="214"/>
      <c r="N656" s="216"/>
      <c r="O656" s="216"/>
      <c r="P656" s="216"/>
      <c r="Q656" s="216"/>
      <c r="R656" s="216"/>
      <c r="S656" s="216"/>
      <c r="T656" s="216"/>
      <c r="U656" s="216"/>
      <c r="V656" s="216"/>
      <c r="W656" s="216"/>
      <c r="X656" s="216"/>
      <c r="Y656" s="216"/>
      <c r="Z656" s="216"/>
      <c r="AA656" s="216"/>
    </row>
    <row r="657" ht="15.0" customHeight="1">
      <c r="A657" s="214"/>
      <c r="B657" s="214"/>
      <c r="C657" s="214"/>
      <c r="D657" s="214"/>
      <c r="E657" s="214"/>
      <c r="F657" s="214"/>
      <c r="G657" s="214"/>
      <c r="H657" s="214"/>
      <c r="I657" s="214"/>
      <c r="J657" s="214"/>
      <c r="K657" s="214"/>
      <c r="L657" s="214"/>
      <c r="M657" s="214"/>
      <c r="N657" s="216"/>
      <c r="O657" s="216"/>
      <c r="P657" s="216"/>
      <c r="Q657" s="216"/>
      <c r="R657" s="216"/>
      <c r="S657" s="216"/>
      <c r="T657" s="216"/>
      <c r="U657" s="216"/>
      <c r="V657" s="216"/>
      <c r="W657" s="216"/>
      <c r="X657" s="216"/>
      <c r="Y657" s="216"/>
      <c r="Z657" s="216"/>
      <c r="AA657" s="216"/>
    </row>
    <row r="658" ht="15.0" customHeight="1">
      <c r="A658" s="214"/>
      <c r="B658" s="214"/>
      <c r="C658" s="214"/>
      <c r="D658" s="214"/>
      <c r="E658" s="214"/>
      <c r="F658" s="214"/>
      <c r="G658" s="214"/>
      <c r="H658" s="214"/>
      <c r="I658" s="214"/>
      <c r="J658" s="214"/>
      <c r="K658" s="214"/>
      <c r="L658" s="214"/>
      <c r="M658" s="214"/>
      <c r="N658" s="216"/>
      <c r="O658" s="216"/>
      <c r="P658" s="216"/>
      <c r="Q658" s="216"/>
      <c r="R658" s="216"/>
      <c r="S658" s="216"/>
      <c r="T658" s="216"/>
      <c r="U658" s="216"/>
      <c r="V658" s="216"/>
      <c r="W658" s="216"/>
      <c r="X658" s="216"/>
      <c r="Y658" s="216"/>
      <c r="Z658" s="216"/>
      <c r="AA658" s="216"/>
    </row>
    <row r="659" ht="15.0" customHeight="1">
      <c r="A659" s="214"/>
      <c r="B659" s="214"/>
      <c r="C659" s="214"/>
      <c r="D659" s="214"/>
      <c r="E659" s="214"/>
      <c r="F659" s="214"/>
      <c r="G659" s="214"/>
      <c r="H659" s="214"/>
      <c r="I659" s="214"/>
      <c r="J659" s="214"/>
      <c r="K659" s="214"/>
      <c r="L659" s="214"/>
      <c r="M659" s="214"/>
      <c r="N659" s="216"/>
      <c r="O659" s="216"/>
      <c r="P659" s="216"/>
      <c r="Q659" s="216"/>
      <c r="R659" s="216"/>
      <c r="S659" s="216"/>
      <c r="T659" s="216"/>
      <c r="U659" s="216"/>
      <c r="V659" s="216"/>
      <c r="W659" s="216"/>
      <c r="X659" s="216"/>
      <c r="Y659" s="216"/>
      <c r="Z659" s="216"/>
      <c r="AA659" s="216"/>
    </row>
    <row r="660" ht="15.0" customHeight="1">
      <c r="A660" s="214"/>
      <c r="B660" s="214"/>
      <c r="C660" s="214"/>
      <c r="D660" s="214"/>
      <c r="E660" s="214"/>
      <c r="F660" s="214"/>
      <c r="G660" s="214"/>
      <c r="H660" s="214"/>
      <c r="I660" s="214"/>
      <c r="J660" s="214"/>
      <c r="K660" s="214"/>
      <c r="L660" s="214"/>
      <c r="M660" s="214"/>
      <c r="N660" s="216"/>
      <c r="O660" s="216"/>
      <c r="P660" s="216"/>
      <c r="Q660" s="216"/>
      <c r="R660" s="216"/>
      <c r="S660" s="216"/>
      <c r="T660" s="216"/>
      <c r="U660" s="216"/>
      <c r="V660" s="216"/>
      <c r="W660" s="216"/>
      <c r="X660" s="216"/>
      <c r="Y660" s="216"/>
      <c r="Z660" s="216"/>
      <c r="AA660" s="216"/>
    </row>
    <row r="661" ht="15.0" customHeight="1">
      <c r="A661" s="214"/>
      <c r="B661" s="214"/>
      <c r="C661" s="214"/>
      <c r="D661" s="214"/>
      <c r="E661" s="214"/>
      <c r="F661" s="214"/>
      <c r="G661" s="214"/>
      <c r="H661" s="214"/>
      <c r="I661" s="214"/>
      <c r="J661" s="214"/>
      <c r="K661" s="214"/>
      <c r="L661" s="214"/>
      <c r="M661" s="214"/>
      <c r="N661" s="216"/>
      <c r="O661" s="216"/>
      <c r="P661" s="216"/>
      <c r="Q661" s="216"/>
      <c r="R661" s="216"/>
      <c r="S661" s="216"/>
      <c r="T661" s="216"/>
      <c r="U661" s="216"/>
      <c r="V661" s="216"/>
      <c r="W661" s="216"/>
      <c r="X661" s="216"/>
      <c r="Y661" s="216"/>
      <c r="Z661" s="216"/>
      <c r="AA661" s="216"/>
    </row>
    <row r="662" ht="15.0" customHeight="1">
      <c r="A662" s="214"/>
      <c r="B662" s="214"/>
      <c r="C662" s="214"/>
      <c r="D662" s="214"/>
      <c r="E662" s="214"/>
      <c r="F662" s="214"/>
      <c r="G662" s="214"/>
      <c r="H662" s="214"/>
      <c r="I662" s="214"/>
      <c r="J662" s="214"/>
      <c r="K662" s="214"/>
      <c r="L662" s="214"/>
      <c r="M662" s="214"/>
      <c r="N662" s="216"/>
      <c r="O662" s="216"/>
      <c r="P662" s="216"/>
      <c r="Q662" s="216"/>
      <c r="R662" s="216"/>
      <c r="S662" s="216"/>
      <c r="T662" s="216"/>
      <c r="U662" s="216"/>
      <c r="V662" s="216"/>
      <c r="W662" s="216"/>
      <c r="X662" s="216"/>
      <c r="Y662" s="216"/>
      <c r="Z662" s="216"/>
      <c r="AA662" s="216"/>
    </row>
    <row r="663" ht="15.0" customHeight="1">
      <c r="A663" s="214"/>
      <c r="B663" s="214"/>
      <c r="C663" s="214"/>
      <c r="D663" s="214"/>
      <c r="E663" s="214"/>
      <c r="F663" s="214"/>
      <c r="G663" s="214"/>
      <c r="H663" s="214"/>
      <c r="I663" s="214"/>
      <c r="J663" s="214"/>
      <c r="K663" s="214"/>
      <c r="L663" s="214"/>
      <c r="M663" s="214"/>
      <c r="N663" s="216"/>
      <c r="O663" s="216"/>
      <c r="P663" s="216"/>
      <c r="Q663" s="216"/>
      <c r="R663" s="216"/>
      <c r="S663" s="216"/>
      <c r="T663" s="216"/>
      <c r="U663" s="216"/>
      <c r="V663" s="216"/>
      <c r="W663" s="216"/>
      <c r="X663" s="216"/>
      <c r="Y663" s="216"/>
      <c r="Z663" s="216"/>
      <c r="AA663" s="216"/>
    </row>
    <row r="664" ht="15.0" customHeight="1">
      <c r="A664" s="214"/>
      <c r="B664" s="214"/>
      <c r="C664" s="214"/>
      <c r="D664" s="214"/>
      <c r="E664" s="214"/>
      <c r="F664" s="214"/>
      <c r="G664" s="214"/>
      <c r="H664" s="214"/>
      <c r="I664" s="214"/>
      <c r="J664" s="214"/>
      <c r="K664" s="214"/>
      <c r="L664" s="214"/>
      <c r="M664" s="214"/>
      <c r="N664" s="216"/>
      <c r="O664" s="216"/>
      <c r="P664" s="216"/>
      <c r="Q664" s="216"/>
      <c r="R664" s="216"/>
      <c r="S664" s="216"/>
      <c r="T664" s="216"/>
      <c r="U664" s="216"/>
      <c r="V664" s="216"/>
      <c r="W664" s="216"/>
      <c r="X664" s="216"/>
      <c r="Y664" s="216"/>
      <c r="Z664" s="216"/>
      <c r="AA664" s="216"/>
    </row>
    <row r="665" ht="15.0" customHeight="1">
      <c r="A665" s="214"/>
      <c r="B665" s="214"/>
      <c r="C665" s="214"/>
      <c r="D665" s="214"/>
      <c r="E665" s="214"/>
      <c r="F665" s="214"/>
      <c r="G665" s="214"/>
      <c r="H665" s="214"/>
      <c r="I665" s="214"/>
      <c r="J665" s="214"/>
      <c r="K665" s="214"/>
      <c r="L665" s="214"/>
      <c r="M665" s="214"/>
      <c r="N665" s="216"/>
      <c r="O665" s="216"/>
      <c r="P665" s="216"/>
      <c r="Q665" s="216"/>
      <c r="R665" s="216"/>
      <c r="S665" s="216"/>
      <c r="T665" s="216"/>
      <c r="U665" s="216"/>
      <c r="V665" s="216"/>
      <c r="W665" s="216"/>
      <c r="X665" s="216"/>
      <c r="Y665" s="216"/>
      <c r="Z665" s="216"/>
      <c r="AA665" s="216"/>
    </row>
    <row r="666" ht="15.0" customHeight="1">
      <c r="A666" s="214"/>
      <c r="B666" s="214"/>
      <c r="C666" s="214"/>
      <c r="D666" s="214"/>
      <c r="E666" s="214"/>
      <c r="F666" s="214"/>
      <c r="G666" s="214"/>
      <c r="H666" s="214"/>
      <c r="I666" s="214"/>
      <c r="J666" s="214"/>
      <c r="K666" s="214"/>
      <c r="L666" s="214"/>
      <c r="M666" s="214"/>
      <c r="N666" s="216"/>
      <c r="O666" s="216"/>
      <c r="P666" s="216"/>
      <c r="Q666" s="216"/>
      <c r="R666" s="216"/>
      <c r="S666" s="216"/>
      <c r="T666" s="216"/>
      <c r="U666" s="216"/>
      <c r="V666" s="216"/>
      <c r="W666" s="216"/>
      <c r="X666" s="216"/>
      <c r="Y666" s="216"/>
      <c r="Z666" s="216"/>
      <c r="AA666" s="216"/>
    </row>
    <row r="667" ht="15.0" customHeight="1">
      <c r="A667" s="214"/>
      <c r="B667" s="214"/>
      <c r="C667" s="214"/>
      <c r="D667" s="214"/>
      <c r="E667" s="214"/>
      <c r="F667" s="214"/>
      <c r="G667" s="214"/>
      <c r="H667" s="214"/>
      <c r="I667" s="214"/>
      <c r="J667" s="214"/>
      <c r="K667" s="214"/>
      <c r="L667" s="214"/>
      <c r="M667" s="214"/>
      <c r="N667" s="216"/>
      <c r="O667" s="216"/>
      <c r="P667" s="216"/>
      <c r="Q667" s="216"/>
      <c r="R667" s="216"/>
      <c r="S667" s="216"/>
      <c r="T667" s="216"/>
      <c r="U667" s="216"/>
      <c r="V667" s="216"/>
      <c r="W667" s="216"/>
      <c r="X667" s="216"/>
      <c r="Y667" s="216"/>
      <c r="Z667" s="216"/>
      <c r="AA667" s="216"/>
    </row>
    <row r="668" ht="15.0" customHeight="1">
      <c r="A668" s="214"/>
      <c r="B668" s="214"/>
      <c r="C668" s="214"/>
      <c r="D668" s="214"/>
      <c r="E668" s="214"/>
      <c r="F668" s="214"/>
      <c r="G668" s="214"/>
      <c r="H668" s="214"/>
      <c r="I668" s="214"/>
      <c r="J668" s="214"/>
      <c r="K668" s="214"/>
      <c r="L668" s="214"/>
      <c r="M668" s="214"/>
      <c r="N668" s="216"/>
      <c r="O668" s="216"/>
      <c r="P668" s="216"/>
      <c r="Q668" s="216"/>
      <c r="R668" s="216"/>
      <c r="S668" s="216"/>
      <c r="T668" s="216"/>
      <c r="U668" s="216"/>
      <c r="V668" s="216"/>
      <c r="W668" s="216"/>
      <c r="X668" s="216"/>
      <c r="Y668" s="216"/>
      <c r="Z668" s="216"/>
      <c r="AA668" s="216"/>
    </row>
    <row r="669" ht="15.0" customHeight="1">
      <c r="A669" s="214"/>
      <c r="B669" s="214"/>
      <c r="C669" s="214"/>
      <c r="D669" s="214"/>
      <c r="E669" s="214"/>
      <c r="F669" s="214"/>
      <c r="G669" s="214"/>
      <c r="H669" s="214"/>
      <c r="I669" s="214"/>
      <c r="J669" s="214"/>
      <c r="K669" s="214"/>
      <c r="L669" s="214"/>
      <c r="M669" s="214"/>
      <c r="N669" s="216"/>
      <c r="O669" s="216"/>
      <c r="P669" s="216"/>
      <c r="Q669" s="216"/>
      <c r="R669" s="216"/>
      <c r="S669" s="216"/>
      <c r="T669" s="216"/>
      <c r="U669" s="216"/>
      <c r="V669" s="216"/>
      <c r="W669" s="216"/>
      <c r="X669" s="216"/>
      <c r="Y669" s="216"/>
      <c r="Z669" s="216"/>
      <c r="AA669" s="216"/>
    </row>
    <row r="670" ht="15.0" customHeight="1">
      <c r="A670" s="214"/>
      <c r="B670" s="214"/>
      <c r="C670" s="214"/>
      <c r="D670" s="214"/>
      <c r="E670" s="214"/>
      <c r="F670" s="214"/>
      <c r="G670" s="214"/>
      <c r="H670" s="214"/>
      <c r="I670" s="214"/>
      <c r="J670" s="214"/>
      <c r="K670" s="214"/>
      <c r="L670" s="214"/>
      <c r="M670" s="214"/>
      <c r="N670" s="216"/>
      <c r="O670" s="216"/>
      <c r="P670" s="216"/>
      <c r="Q670" s="216"/>
      <c r="R670" s="216"/>
      <c r="S670" s="216"/>
      <c r="T670" s="216"/>
      <c r="U670" s="216"/>
      <c r="V670" s="216"/>
      <c r="W670" s="216"/>
      <c r="X670" s="216"/>
      <c r="Y670" s="216"/>
      <c r="Z670" s="216"/>
      <c r="AA670" s="216"/>
    </row>
    <row r="671" ht="15.0" customHeight="1">
      <c r="A671" s="214"/>
      <c r="B671" s="214"/>
      <c r="C671" s="214"/>
      <c r="D671" s="214"/>
      <c r="E671" s="214"/>
      <c r="F671" s="214"/>
      <c r="G671" s="214"/>
      <c r="H671" s="214"/>
      <c r="I671" s="214"/>
      <c r="J671" s="214"/>
      <c r="K671" s="214"/>
      <c r="L671" s="214"/>
      <c r="M671" s="214"/>
      <c r="N671" s="216"/>
      <c r="O671" s="216"/>
      <c r="P671" s="216"/>
      <c r="Q671" s="216"/>
      <c r="R671" s="216"/>
      <c r="S671" s="216"/>
      <c r="T671" s="216"/>
      <c r="U671" s="216"/>
      <c r="V671" s="216"/>
      <c r="W671" s="216"/>
      <c r="X671" s="216"/>
      <c r="Y671" s="216"/>
      <c r="Z671" s="216"/>
      <c r="AA671" s="216"/>
    </row>
    <row r="672" ht="15.0" customHeight="1">
      <c r="A672" s="214"/>
      <c r="B672" s="214"/>
      <c r="C672" s="214"/>
      <c r="D672" s="214"/>
      <c r="E672" s="214"/>
      <c r="F672" s="214"/>
      <c r="G672" s="214"/>
      <c r="H672" s="214"/>
      <c r="I672" s="214"/>
      <c r="J672" s="214"/>
      <c r="K672" s="214"/>
      <c r="L672" s="214"/>
      <c r="M672" s="214"/>
      <c r="N672" s="216"/>
      <c r="O672" s="216"/>
      <c r="P672" s="216"/>
      <c r="Q672" s="216"/>
      <c r="R672" s="216"/>
      <c r="S672" s="216"/>
      <c r="T672" s="216"/>
      <c r="U672" s="216"/>
      <c r="V672" s="216"/>
      <c r="W672" s="216"/>
      <c r="X672" s="216"/>
      <c r="Y672" s="216"/>
      <c r="Z672" s="216"/>
      <c r="AA672" s="216"/>
    </row>
    <row r="673" ht="15.0" customHeight="1">
      <c r="A673" s="214"/>
      <c r="B673" s="214"/>
      <c r="C673" s="214"/>
      <c r="D673" s="214"/>
      <c r="E673" s="214"/>
      <c r="F673" s="214"/>
      <c r="G673" s="214"/>
      <c r="H673" s="214"/>
      <c r="I673" s="214"/>
      <c r="J673" s="214"/>
      <c r="K673" s="214"/>
      <c r="L673" s="214"/>
      <c r="M673" s="214"/>
      <c r="N673" s="216"/>
      <c r="O673" s="216"/>
      <c r="P673" s="216"/>
      <c r="Q673" s="216"/>
      <c r="R673" s="216"/>
      <c r="S673" s="216"/>
      <c r="T673" s="216"/>
      <c r="U673" s="216"/>
      <c r="V673" s="216"/>
      <c r="W673" s="216"/>
      <c r="X673" s="216"/>
      <c r="Y673" s="216"/>
      <c r="Z673" s="216"/>
      <c r="AA673" s="216"/>
    </row>
    <row r="674" ht="15.0" customHeight="1">
      <c r="A674" s="214"/>
      <c r="B674" s="214"/>
      <c r="C674" s="214"/>
      <c r="D674" s="214"/>
      <c r="E674" s="214"/>
      <c r="F674" s="214"/>
      <c r="G674" s="214"/>
      <c r="H674" s="214"/>
      <c r="I674" s="214"/>
      <c r="J674" s="214"/>
      <c r="K674" s="214"/>
      <c r="L674" s="214"/>
      <c r="M674" s="214"/>
      <c r="N674" s="216"/>
      <c r="O674" s="216"/>
      <c r="P674" s="216"/>
      <c r="Q674" s="216"/>
      <c r="R674" s="216"/>
      <c r="S674" s="216"/>
      <c r="T674" s="216"/>
      <c r="U674" s="216"/>
      <c r="V674" s="216"/>
      <c r="W674" s="216"/>
      <c r="X674" s="216"/>
      <c r="Y674" s="216"/>
      <c r="Z674" s="216"/>
      <c r="AA674" s="216"/>
    </row>
    <row r="675" ht="15.0" customHeight="1">
      <c r="A675" s="214"/>
      <c r="B675" s="214"/>
      <c r="C675" s="214"/>
      <c r="D675" s="214"/>
      <c r="E675" s="214"/>
      <c r="F675" s="214"/>
      <c r="G675" s="214"/>
      <c r="H675" s="214"/>
      <c r="I675" s="214"/>
      <c r="J675" s="214"/>
      <c r="K675" s="214"/>
      <c r="L675" s="214"/>
      <c r="M675" s="214"/>
      <c r="N675" s="216"/>
      <c r="O675" s="216"/>
      <c r="P675" s="216"/>
      <c r="Q675" s="216"/>
      <c r="R675" s="216"/>
      <c r="S675" s="216"/>
      <c r="T675" s="216"/>
      <c r="U675" s="216"/>
      <c r="V675" s="216"/>
      <c r="W675" s="216"/>
      <c r="X675" s="216"/>
      <c r="Y675" s="216"/>
      <c r="Z675" s="216"/>
      <c r="AA675" s="216"/>
    </row>
    <row r="676" ht="15.0" customHeight="1">
      <c r="A676" s="214"/>
      <c r="B676" s="214"/>
      <c r="C676" s="214"/>
      <c r="D676" s="214"/>
      <c r="E676" s="214"/>
      <c r="F676" s="214"/>
      <c r="G676" s="214"/>
      <c r="H676" s="214"/>
      <c r="I676" s="214"/>
      <c r="J676" s="214"/>
      <c r="K676" s="214"/>
      <c r="L676" s="214"/>
      <c r="M676" s="214"/>
      <c r="N676" s="216"/>
      <c r="O676" s="216"/>
      <c r="P676" s="216"/>
      <c r="Q676" s="216"/>
      <c r="R676" s="216"/>
      <c r="S676" s="216"/>
      <c r="T676" s="216"/>
      <c r="U676" s="216"/>
      <c r="V676" s="216"/>
      <c r="W676" s="216"/>
      <c r="X676" s="216"/>
      <c r="Y676" s="216"/>
      <c r="Z676" s="216"/>
      <c r="AA676" s="216"/>
    </row>
    <row r="677" ht="15.0" customHeight="1">
      <c r="A677" s="214"/>
      <c r="B677" s="214"/>
      <c r="C677" s="214"/>
      <c r="D677" s="214"/>
      <c r="E677" s="214"/>
      <c r="F677" s="214"/>
      <c r="G677" s="214"/>
      <c r="H677" s="214"/>
      <c r="I677" s="214"/>
      <c r="J677" s="214"/>
      <c r="K677" s="214"/>
      <c r="L677" s="214"/>
      <c r="M677" s="214"/>
      <c r="N677" s="216"/>
      <c r="O677" s="216"/>
      <c r="P677" s="216"/>
      <c r="Q677" s="216"/>
      <c r="R677" s="216"/>
      <c r="S677" s="216"/>
      <c r="T677" s="216"/>
      <c r="U677" s="216"/>
      <c r="V677" s="216"/>
      <c r="W677" s="216"/>
      <c r="X677" s="216"/>
      <c r="Y677" s="216"/>
      <c r="Z677" s="216"/>
      <c r="AA677" s="216"/>
    </row>
    <row r="678" ht="15.0" customHeight="1">
      <c r="A678" s="214"/>
      <c r="B678" s="214"/>
      <c r="C678" s="214"/>
      <c r="D678" s="214"/>
      <c r="E678" s="214"/>
      <c r="F678" s="214"/>
      <c r="G678" s="214"/>
      <c r="H678" s="214"/>
      <c r="I678" s="214"/>
      <c r="J678" s="214"/>
      <c r="K678" s="214"/>
      <c r="L678" s="214"/>
      <c r="M678" s="214"/>
      <c r="N678" s="216"/>
      <c r="O678" s="216"/>
      <c r="P678" s="216"/>
      <c r="Q678" s="216"/>
      <c r="R678" s="216"/>
      <c r="S678" s="216"/>
      <c r="T678" s="216"/>
      <c r="U678" s="216"/>
      <c r="V678" s="216"/>
      <c r="W678" s="216"/>
      <c r="X678" s="216"/>
      <c r="Y678" s="216"/>
      <c r="Z678" s="216"/>
      <c r="AA678" s="216"/>
    </row>
    <row r="679" ht="15.0" customHeight="1">
      <c r="A679" s="214"/>
      <c r="B679" s="214"/>
      <c r="C679" s="214"/>
      <c r="D679" s="214"/>
      <c r="E679" s="214"/>
      <c r="F679" s="214"/>
      <c r="G679" s="214"/>
      <c r="H679" s="214"/>
      <c r="I679" s="214"/>
      <c r="J679" s="214"/>
      <c r="K679" s="214"/>
      <c r="L679" s="214"/>
      <c r="M679" s="214"/>
      <c r="N679" s="216"/>
      <c r="O679" s="216"/>
      <c r="P679" s="216"/>
      <c r="Q679" s="216"/>
      <c r="R679" s="216"/>
      <c r="S679" s="216"/>
      <c r="T679" s="216"/>
      <c r="U679" s="216"/>
      <c r="V679" s="216"/>
      <c r="W679" s="216"/>
      <c r="X679" s="216"/>
      <c r="Y679" s="216"/>
      <c r="Z679" s="216"/>
      <c r="AA679" s="216"/>
    </row>
    <row r="680" ht="15.0" customHeight="1">
      <c r="A680" s="214"/>
      <c r="B680" s="214"/>
      <c r="C680" s="214"/>
      <c r="D680" s="214"/>
      <c r="E680" s="214"/>
      <c r="F680" s="214"/>
      <c r="G680" s="214"/>
      <c r="H680" s="214"/>
      <c r="I680" s="214"/>
      <c r="J680" s="214"/>
      <c r="K680" s="214"/>
      <c r="L680" s="214"/>
      <c r="M680" s="214"/>
      <c r="N680" s="216"/>
      <c r="O680" s="216"/>
      <c r="P680" s="216"/>
      <c r="Q680" s="216"/>
      <c r="R680" s="216"/>
      <c r="S680" s="216"/>
      <c r="T680" s="216"/>
      <c r="U680" s="216"/>
      <c r="V680" s="216"/>
      <c r="W680" s="216"/>
      <c r="X680" s="216"/>
      <c r="Y680" s="216"/>
      <c r="Z680" s="216"/>
      <c r="AA680" s="216"/>
    </row>
    <row r="681" ht="15.0" customHeight="1">
      <c r="A681" s="214"/>
      <c r="B681" s="214"/>
      <c r="C681" s="214"/>
      <c r="D681" s="214"/>
      <c r="E681" s="214"/>
      <c r="F681" s="214"/>
      <c r="G681" s="214"/>
      <c r="H681" s="214"/>
      <c r="I681" s="214"/>
      <c r="J681" s="214"/>
      <c r="K681" s="214"/>
      <c r="L681" s="214"/>
      <c r="M681" s="214"/>
      <c r="N681" s="216"/>
      <c r="O681" s="216"/>
      <c r="P681" s="216"/>
      <c r="Q681" s="216"/>
      <c r="R681" s="216"/>
      <c r="S681" s="216"/>
      <c r="T681" s="216"/>
      <c r="U681" s="216"/>
      <c r="V681" s="216"/>
      <c r="W681" s="216"/>
      <c r="X681" s="216"/>
      <c r="Y681" s="216"/>
      <c r="Z681" s="216"/>
      <c r="AA681" s="216"/>
    </row>
    <row r="682" ht="15.0" customHeight="1">
      <c r="A682" s="214"/>
      <c r="B682" s="214"/>
      <c r="C682" s="214"/>
      <c r="D682" s="214"/>
      <c r="E682" s="214"/>
      <c r="F682" s="214"/>
      <c r="G682" s="214"/>
      <c r="H682" s="214"/>
      <c r="I682" s="214"/>
      <c r="J682" s="214"/>
      <c r="K682" s="214"/>
      <c r="L682" s="214"/>
      <c r="M682" s="214"/>
      <c r="N682" s="216"/>
      <c r="O682" s="216"/>
      <c r="P682" s="216"/>
      <c r="Q682" s="216"/>
      <c r="R682" s="216"/>
      <c r="S682" s="216"/>
      <c r="T682" s="216"/>
      <c r="U682" s="216"/>
      <c r="V682" s="216"/>
      <c r="W682" s="216"/>
      <c r="X682" s="216"/>
      <c r="Y682" s="216"/>
      <c r="Z682" s="216"/>
      <c r="AA682" s="216"/>
    </row>
    <row r="683" ht="15.0" customHeight="1">
      <c r="A683" s="214"/>
      <c r="B683" s="214"/>
      <c r="C683" s="214"/>
      <c r="D683" s="214"/>
      <c r="E683" s="214"/>
      <c r="F683" s="214"/>
      <c r="G683" s="214"/>
      <c r="H683" s="214"/>
      <c r="I683" s="214"/>
      <c r="J683" s="214"/>
      <c r="K683" s="214"/>
      <c r="L683" s="214"/>
      <c r="M683" s="214"/>
      <c r="N683" s="216"/>
      <c r="O683" s="216"/>
      <c r="P683" s="216"/>
      <c r="Q683" s="216"/>
      <c r="R683" s="216"/>
      <c r="S683" s="216"/>
      <c r="T683" s="216"/>
      <c r="U683" s="216"/>
      <c r="V683" s="216"/>
      <c r="W683" s="216"/>
      <c r="X683" s="216"/>
      <c r="Y683" s="216"/>
      <c r="Z683" s="216"/>
      <c r="AA683" s="216"/>
    </row>
    <row r="684" ht="15.0" customHeight="1">
      <c r="A684" s="214"/>
      <c r="B684" s="214"/>
      <c r="C684" s="214"/>
      <c r="D684" s="214"/>
      <c r="E684" s="214"/>
      <c r="F684" s="214"/>
      <c r="G684" s="214"/>
      <c r="H684" s="214"/>
      <c r="I684" s="214"/>
      <c r="J684" s="214"/>
      <c r="K684" s="214"/>
      <c r="L684" s="214"/>
      <c r="M684" s="214"/>
      <c r="N684" s="216"/>
      <c r="O684" s="216"/>
      <c r="P684" s="216"/>
      <c r="Q684" s="216"/>
      <c r="R684" s="216"/>
      <c r="S684" s="216"/>
      <c r="T684" s="216"/>
      <c r="U684" s="216"/>
      <c r="V684" s="216"/>
      <c r="W684" s="216"/>
      <c r="X684" s="216"/>
      <c r="Y684" s="216"/>
      <c r="Z684" s="216"/>
      <c r="AA684" s="216"/>
    </row>
    <row r="685" ht="15.0" customHeight="1">
      <c r="A685" s="214"/>
      <c r="B685" s="214"/>
      <c r="C685" s="214"/>
      <c r="D685" s="214"/>
      <c r="E685" s="214"/>
      <c r="F685" s="214"/>
      <c r="G685" s="214"/>
      <c r="H685" s="214"/>
      <c r="I685" s="214"/>
      <c r="J685" s="214"/>
      <c r="K685" s="214"/>
      <c r="L685" s="214"/>
      <c r="M685" s="214"/>
      <c r="N685" s="216"/>
      <c r="O685" s="216"/>
      <c r="P685" s="216"/>
      <c r="Q685" s="216"/>
      <c r="R685" s="216"/>
      <c r="S685" s="216"/>
      <c r="T685" s="216"/>
      <c r="U685" s="216"/>
      <c r="V685" s="216"/>
      <c r="W685" s="216"/>
      <c r="X685" s="216"/>
      <c r="Y685" s="216"/>
      <c r="Z685" s="216"/>
      <c r="AA685" s="216"/>
    </row>
    <row r="686" ht="15.0" customHeight="1">
      <c r="A686" s="214"/>
      <c r="B686" s="214"/>
      <c r="C686" s="214"/>
      <c r="D686" s="214"/>
      <c r="E686" s="214"/>
      <c r="F686" s="214"/>
      <c r="G686" s="214"/>
      <c r="H686" s="214"/>
      <c r="I686" s="214"/>
      <c r="J686" s="214"/>
      <c r="K686" s="214"/>
      <c r="L686" s="214"/>
      <c r="M686" s="214"/>
      <c r="N686" s="216"/>
      <c r="O686" s="216"/>
      <c r="P686" s="216"/>
      <c r="Q686" s="216"/>
      <c r="R686" s="216"/>
      <c r="S686" s="216"/>
      <c r="T686" s="216"/>
      <c r="U686" s="216"/>
      <c r="V686" s="216"/>
      <c r="W686" s="216"/>
      <c r="X686" s="216"/>
      <c r="Y686" s="216"/>
      <c r="Z686" s="216"/>
      <c r="AA686" s="216"/>
    </row>
    <row r="687" ht="15.0" customHeight="1">
      <c r="A687" s="214"/>
      <c r="B687" s="214"/>
      <c r="C687" s="214"/>
      <c r="D687" s="214"/>
      <c r="E687" s="214"/>
      <c r="F687" s="214"/>
      <c r="G687" s="214"/>
      <c r="H687" s="214"/>
      <c r="I687" s="214"/>
      <c r="J687" s="214"/>
      <c r="K687" s="214"/>
      <c r="L687" s="214"/>
      <c r="M687" s="214"/>
      <c r="N687" s="216"/>
      <c r="O687" s="216"/>
      <c r="P687" s="216"/>
      <c r="Q687" s="216"/>
      <c r="R687" s="216"/>
      <c r="S687" s="216"/>
      <c r="T687" s="216"/>
      <c r="U687" s="216"/>
      <c r="V687" s="216"/>
      <c r="W687" s="216"/>
      <c r="X687" s="216"/>
      <c r="Y687" s="216"/>
      <c r="Z687" s="216"/>
      <c r="AA687" s="216"/>
    </row>
    <row r="688" ht="15.0" customHeight="1">
      <c r="A688" s="214"/>
      <c r="B688" s="214"/>
      <c r="C688" s="214"/>
      <c r="D688" s="214"/>
      <c r="E688" s="214"/>
      <c r="F688" s="214"/>
      <c r="G688" s="214"/>
      <c r="H688" s="214"/>
      <c r="I688" s="214"/>
      <c r="J688" s="214"/>
      <c r="K688" s="214"/>
      <c r="L688" s="214"/>
      <c r="M688" s="214"/>
      <c r="N688" s="216"/>
      <c r="O688" s="216"/>
      <c r="P688" s="216"/>
      <c r="Q688" s="216"/>
      <c r="R688" s="216"/>
      <c r="S688" s="216"/>
      <c r="T688" s="216"/>
      <c r="U688" s="216"/>
      <c r="V688" s="216"/>
      <c r="W688" s="216"/>
      <c r="X688" s="216"/>
      <c r="Y688" s="216"/>
      <c r="Z688" s="216"/>
      <c r="AA688" s="216"/>
    </row>
    <row r="689" ht="15.0" customHeight="1">
      <c r="A689" s="214"/>
      <c r="B689" s="214"/>
      <c r="C689" s="214"/>
      <c r="D689" s="214"/>
      <c r="E689" s="214"/>
      <c r="F689" s="214"/>
      <c r="G689" s="214"/>
      <c r="H689" s="214"/>
      <c r="I689" s="214"/>
      <c r="J689" s="214"/>
      <c r="K689" s="214"/>
      <c r="L689" s="214"/>
      <c r="M689" s="214"/>
      <c r="N689" s="216"/>
      <c r="O689" s="216"/>
      <c r="P689" s="216"/>
      <c r="Q689" s="216"/>
      <c r="R689" s="216"/>
      <c r="S689" s="216"/>
      <c r="T689" s="216"/>
      <c r="U689" s="216"/>
      <c r="V689" s="216"/>
      <c r="W689" s="216"/>
      <c r="X689" s="216"/>
      <c r="Y689" s="216"/>
      <c r="Z689" s="216"/>
      <c r="AA689" s="216"/>
    </row>
    <row r="690" ht="15.0" customHeight="1">
      <c r="A690" s="214"/>
      <c r="B690" s="214"/>
      <c r="C690" s="214"/>
      <c r="D690" s="214"/>
      <c r="E690" s="214"/>
      <c r="F690" s="214"/>
      <c r="G690" s="214"/>
      <c r="H690" s="214"/>
      <c r="I690" s="214"/>
      <c r="J690" s="214"/>
      <c r="K690" s="214"/>
      <c r="L690" s="214"/>
      <c r="M690" s="214"/>
      <c r="N690" s="216"/>
      <c r="O690" s="216"/>
      <c r="P690" s="216"/>
      <c r="Q690" s="216"/>
      <c r="R690" s="216"/>
      <c r="S690" s="216"/>
      <c r="T690" s="216"/>
      <c r="U690" s="216"/>
      <c r="V690" s="216"/>
      <c r="W690" s="216"/>
      <c r="X690" s="216"/>
      <c r="Y690" s="216"/>
      <c r="Z690" s="216"/>
      <c r="AA690" s="216"/>
    </row>
    <row r="691" ht="15.0" customHeight="1">
      <c r="A691" s="214"/>
      <c r="B691" s="214"/>
      <c r="C691" s="214"/>
      <c r="D691" s="214"/>
      <c r="E691" s="214"/>
      <c r="F691" s="214"/>
      <c r="G691" s="214"/>
      <c r="H691" s="214"/>
      <c r="I691" s="214"/>
      <c r="J691" s="214"/>
      <c r="K691" s="214"/>
      <c r="L691" s="214"/>
      <c r="M691" s="214"/>
      <c r="N691" s="216"/>
      <c r="O691" s="216"/>
      <c r="P691" s="216"/>
      <c r="Q691" s="216"/>
      <c r="R691" s="216"/>
      <c r="S691" s="216"/>
      <c r="T691" s="216"/>
      <c r="U691" s="216"/>
      <c r="V691" s="216"/>
      <c r="W691" s="216"/>
      <c r="X691" s="216"/>
      <c r="Y691" s="216"/>
      <c r="Z691" s="216"/>
      <c r="AA691" s="216"/>
    </row>
    <row r="692" ht="15.0" customHeight="1">
      <c r="A692" s="214"/>
      <c r="B692" s="214"/>
      <c r="C692" s="214"/>
      <c r="D692" s="214"/>
      <c r="E692" s="214"/>
      <c r="F692" s="214"/>
      <c r="G692" s="214"/>
      <c r="H692" s="214"/>
      <c r="I692" s="214"/>
      <c r="J692" s="214"/>
      <c r="K692" s="214"/>
      <c r="L692" s="214"/>
      <c r="M692" s="214"/>
      <c r="N692" s="216"/>
      <c r="O692" s="216"/>
      <c r="P692" s="216"/>
      <c r="Q692" s="216"/>
      <c r="R692" s="216"/>
      <c r="S692" s="216"/>
      <c r="T692" s="216"/>
      <c r="U692" s="216"/>
      <c r="V692" s="216"/>
      <c r="W692" s="216"/>
      <c r="X692" s="216"/>
      <c r="Y692" s="216"/>
      <c r="Z692" s="216"/>
      <c r="AA692" s="216"/>
    </row>
    <row r="693" ht="15.0" customHeight="1">
      <c r="A693" s="214"/>
      <c r="B693" s="214"/>
      <c r="C693" s="214"/>
      <c r="D693" s="214"/>
      <c r="E693" s="214"/>
      <c r="F693" s="214"/>
      <c r="G693" s="214"/>
      <c r="H693" s="214"/>
      <c r="I693" s="214"/>
      <c r="J693" s="214"/>
      <c r="K693" s="214"/>
      <c r="L693" s="214"/>
      <c r="M693" s="214"/>
      <c r="N693" s="216"/>
      <c r="O693" s="216"/>
      <c r="P693" s="216"/>
      <c r="Q693" s="216"/>
      <c r="R693" s="216"/>
      <c r="S693" s="216"/>
      <c r="T693" s="216"/>
      <c r="U693" s="216"/>
      <c r="V693" s="216"/>
      <c r="W693" s="216"/>
      <c r="X693" s="216"/>
      <c r="Y693" s="216"/>
      <c r="Z693" s="216"/>
      <c r="AA693" s="216"/>
    </row>
    <row r="694" ht="15.0" customHeight="1">
      <c r="A694" s="214"/>
      <c r="B694" s="214"/>
      <c r="C694" s="214"/>
      <c r="D694" s="214"/>
      <c r="E694" s="214"/>
      <c r="F694" s="214"/>
      <c r="G694" s="214"/>
      <c r="H694" s="214"/>
      <c r="I694" s="214"/>
      <c r="J694" s="214"/>
      <c r="K694" s="214"/>
      <c r="L694" s="214"/>
      <c r="M694" s="214"/>
      <c r="N694" s="216"/>
      <c r="O694" s="216"/>
      <c r="P694" s="216"/>
      <c r="Q694" s="216"/>
      <c r="R694" s="216"/>
      <c r="S694" s="216"/>
      <c r="T694" s="216"/>
      <c r="U694" s="216"/>
      <c r="V694" s="216"/>
      <c r="W694" s="216"/>
      <c r="X694" s="216"/>
      <c r="Y694" s="216"/>
      <c r="Z694" s="216"/>
      <c r="AA694" s="216"/>
    </row>
    <row r="695" ht="15.0" customHeight="1">
      <c r="A695" s="214"/>
      <c r="B695" s="214"/>
      <c r="C695" s="214"/>
      <c r="D695" s="214"/>
      <c r="E695" s="214"/>
      <c r="F695" s="214"/>
      <c r="G695" s="214"/>
      <c r="H695" s="214"/>
      <c r="I695" s="214"/>
      <c r="J695" s="214"/>
      <c r="K695" s="214"/>
      <c r="L695" s="214"/>
      <c r="M695" s="214"/>
      <c r="N695" s="216"/>
      <c r="O695" s="216"/>
      <c r="P695" s="216"/>
      <c r="Q695" s="216"/>
      <c r="R695" s="216"/>
      <c r="S695" s="216"/>
      <c r="T695" s="216"/>
      <c r="U695" s="216"/>
      <c r="V695" s="216"/>
      <c r="W695" s="216"/>
      <c r="X695" s="216"/>
      <c r="Y695" s="216"/>
      <c r="Z695" s="216"/>
      <c r="AA695" s="216"/>
    </row>
    <row r="696" ht="15.0" customHeight="1">
      <c r="A696" s="214"/>
      <c r="B696" s="214"/>
      <c r="C696" s="214"/>
      <c r="D696" s="214"/>
      <c r="E696" s="214"/>
      <c r="F696" s="214"/>
      <c r="G696" s="214"/>
      <c r="H696" s="214"/>
      <c r="I696" s="214"/>
      <c r="J696" s="214"/>
      <c r="K696" s="214"/>
      <c r="L696" s="214"/>
      <c r="M696" s="214"/>
      <c r="N696" s="216"/>
      <c r="O696" s="216"/>
      <c r="P696" s="216"/>
      <c r="Q696" s="216"/>
      <c r="R696" s="216"/>
      <c r="S696" s="216"/>
      <c r="T696" s="216"/>
      <c r="U696" s="216"/>
      <c r="V696" s="216"/>
      <c r="W696" s="216"/>
      <c r="X696" s="216"/>
      <c r="Y696" s="216"/>
      <c r="Z696" s="216"/>
      <c r="AA696" s="216"/>
    </row>
    <row r="697" ht="15.0" customHeight="1">
      <c r="A697" s="214"/>
      <c r="B697" s="214"/>
      <c r="C697" s="214"/>
      <c r="D697" s="214"/>
      <c r="E697" s="214"/>
      <c r="F697" s="214"/>
      <c r="G697" s="214"/>
      <c r="H697" s="214"/>
      <c r="I697" s="214"/>
      <c r="J697" s="214"/>
      <c r="K697" s="214"/>
      <c r="L697" s="214"/>
      <c r="M697" s="214"/>
      <c r="N697" s="216"/>
      <c r="O697" s="216"/>
      <c r="P697" s="216"/>
      <c r="Q697" s="216"/>
      <c r="R697" s="216"/>
      <c r="S697" s="216"/>
      <c r="T697" s="216"/>
      <c r="U697" s="216"/>
      <c r="V697" s="216"/>
      <c r="W697" s="216"/>
      <c r="X697" s="216"/>
      <c r="Y697" s="216"/>
      <c r="Z697" s="216"/>
      <c r="AA697" s="216"/>
    </row>
    <row r="698" ht="15.0" customHeight="1">
      <c r="A698" s="214"/>
      <c r="B698" s="214"/>
      <c r="C698" s="214"/>
      <c r="D698" s="214"/>
      <c r="E698" s="214"/>
      <c r="F698" s="214"/>
      <c r="G698" s="214"/>
      <c r="H698" s="214"/>
      <c r="I698" s="214"/>
      <c r="J698" s="214"/>
      <c r="K698" s="214"/>
      <c r="L698" s="214"/>
      <c r="M698" s="214"/>
      <c r="N698" s="216"/>
      <c r="O698" s="216"/>
      <c r="P698" s="216"/>
      <c r="Q698" s="216"/>
      <c r="R698" s="216"/>
      <c r="S698" s="216"/>
      <c r="T698" s="216"/>
      <c r="U698" s="216"/>
      <c r="V698" s="216"/>
      <c r="W698" s="216"/>
      <c r="X698" s="216"/>
      <c r="Y698" s="216"/>
      <c r="Z698" s="216"/>
      <c r="AA698" s="216"/>
    </row>
    <row r="699" ht="15.0" customHeight="1">
      <c r="A699" s="214"/>
      <c r="B699" s="214"/>
      <c r="C699" s="214"/>
      <c r="D699" s="214"/>
      <c r="E699" s="214"/>
      <c r="F699" s="214"/>
      <c r="G699" s="214"/>
      <c r="H699" s="214"/>
      <c r="I699" s="214"/>
      <c r="J699" s="214"/>
      <c r="K699" s="214"/>
      <c r="L699" s="214"/>
      <c r="M699" s="214"/>
      <c r="N699" s="216"/>
      <c r="O699" s="216"/>
      <c r="P699" s="216"/>
      <c r="Q699" s="216"/>
      <c r="R699" s="216"/>
      <c r="S699" s="216"/>
      <c r="T699" s="216"/>
      <c r="U699" s="216"/>
      <c r="V699" s="216"/>
      <c r="W699" s="216"/>
      <c r="X699" s="216"/>
      <c r="Y699" s="216"/>
      <c r="Z699" s="216"/>
      <c r="AA699" s="216"/>
    </row>
    <row r="700" ht="15.0" customHeight="1">
      <c r="A700" s="214"/>
      <c r="B700" s="214"/>
      <c r="C700" s="214"/>
      <c r="D700" s="214"/>
      <c r="E700" s="214"/>
      <c r="F700" s="214"/>
      <c r="G700" s="214"/>
      <c r="H700" s="214"/>
      <c r="I700" s="214"/>
      <c r="J700" s="214"/>
      <c r="K700" s="214"/>
      <c r="L700" s="214"/>
      <c r="M700" s="214"/>
      <c r="N700" s="216"/>
      <c r="O700" s="216"/>
      <c r="P700" s="216"/>
      <c r="Q700" s="216"/>
      <c r="R700" s="216"/>
      <c r="S700" s="216"/>
      <c r="T700" s="216"/>
      <c r="U700" s="216"/>
      <c r="V700" s="216"/>
      <c r="W700" s="216"/>
      <c r="X700" s="216"/>
      <c r="Y700" s="216"/>
      <c r="Z700" s="216"/>
      <c r="AA700" s="216"/>
    </row>
    <row r="701" ht="15.0" customHeight="1">
      <c r="A701" s="214"/>
      <c r="B701" s="214"/>
      <c r="C701" s="214"/>
      <c r="D701" s="214"/>
      <c r="E701" s="214"/>
      <c r="F701" s="214"/>
      <c r="G701" s="214"/>
      <c r="H701" s="214"/>
      <c r="I701" s="214"/>
      <c r="J701" s="214"/>
      <c r="K701" s="214"/>
      <c r="L701" s="214"/>
      <c r="M701" s="214"/>
      <c r="N701" s="216"/>
      <c r="O701" s="216"/>
      <c r="P701" s="216"/>
      <c r="Q701" s="216"/>
      <c r="R701" s="216"/>
      <c r="S701" s="216"/>
      <c r="T701" s="216"/>
      <c r="U701" s="216"/>
      <c r="V701" s="216"/>
      <c r="W701" s="216"/>
      <c r="X701" s="216"/>
      <c r="Y701" s="216"/>
      <c r="Z701" s="216"/>
      <c r="AA701" s="216"/>
    </row>
    <row r="702" ht="15.0" customHeight="1">
      <c r="A702" s="214"/>
      <c r="B702" s="214"/>
      <c r="C702" s="214"/>
      <c r="D702" s="214"/>
      <c r="E702" s="214"/>
      <c r="F702" s="214"/>
      <c r="G702" s="214"/>
      <c r="H702" s="214"/>
      <c r="I702" s="214"/>
      <c r="J702" s="214"/>
      <c r="K702" s="214"/>
      <c r="L702" s="214"/>
      <c r="M702" s="214"/>
      <c r="N702" s="216"/>
      <c r="O702" s="216"/>
      <c r="P702" s="216"/>
      <c r="Q702" s="216"/>
      <c r="R702" s="216"/>
      <c r="S702" s="216"/>
      <c r="T702" s="216"/>
      <c r="U702" s="216"/>
      <c r="V702" s="216"/>
      <c r="W702" s="216"/>
      <c r="X702" s="216"/>
      <c r="Y702" s="216"/>
      <c r="Z702" s="216"/>
      <c r="AA702" s="216"/>
    </row>
    <row r="703" ht="15.0" customHeight="1">
      <c r="A703" s="214"/>
      <c r="B703" s="214"/>
      <c r="C703" s="214"/>
      <c r="D703" s="214"/>
      <c r="E703" s="214"/>
      <c r="F703" s="214"/>
      <c r="G703" s="214"/>
      <c r="H703" s="214"/>
      <c r="I703" s="214"/>
      <c r="J703" s="214"/>
      <c r="K703" s="214"/>
      <c r="L703" s="214"/>
      <c r="M703" s="214"/>
      <c r="N703" s="216"/>
      <c r="O703" s="216"/>
      <c r="P703" s="216"/>
      <c r="Q703" s="216"/>
      <c r="R703" s="216"/>
      <c r="S703" s="216"/>
      <c r="T703" s="216"/>
      <c r="U703" s="216"/>
      <c r="V703" s="216"/>
      <c r="W703" s="216"/>
      <c r="X703" s="216"/>
      <c r="Y703" s="216"/>
      <c r="Z703" s="216"/>
      <c r="AA703" s="216"/>
    </row>
    <row r="704" ht="15.0" customHeight="1">
      <c r="A704" s="214"/>
      <c r="B704" s="214"/>
      <c r="C704" s="214"/>
      <c r="D704" s="214"/>
      <c r="E704" s="214"/>
      <c r="F704" s="214"/>
      <c r="G704" s="214"/>
      <c r="H704" s="214"/>
      <c r="I704" s="214"/>
      <c r="J704" s="214"/>
      <c r="K704" s="214"/>
      <c r="L704" s="214"/>
      <c r="M704" s="214"/>
      <c r="N704" s="216"/>
      <c r="O704" s="216"/>
      <c r="P704" s="216"/>
      <c r="Q704" s="216"/>
      <c r="R704" s="216"/>
      <c r="S704" s="216"/>
      <c r="T704" s="216"/>
      <c r="U704" s="216"/>
      <c r="V704" s="216"/>
      <c r="W704" s="216"/>
      <c r="X704" s="216"/>
      <c r="Y704" s="216"/>
      <c r="Z704" s="216"/>
      <c r="AA704" s="216"/>
    </row>
    <row r="705" ht="15.0" customHeight="1">
      <c r="A705" s="214"/>
      <c r="B705" s="214"/>
      <c r="C705" s="214"/>
      <c r="D705" s="214"/>
      <c r="E705" s="214"/>
      <c r="F705" s="214"/>
      <c r="G705" s="214"/>
      <c r="H705" s="214"/>
      <c r="I705" s="214"/>
      <c r="J705" s="214"/>
      <c r="K705" s="214"/>
      <c r="L705" s="214"/>
      <c r="M705" s="214"/>
      <c r="N705" s="216"/>
      <c r="O705" s="216"/>
      <c r="P705" s="216"/>
      <c r="Q705" s="216"/>
      <c r="R705" s="216"/>
      <c r="S705" s="216"/>
      <c r="T705" s="216"/>
      <c r="U705" s="216"/>
      <c r="V705" s="216"/>
      <c r="W705" s="216"/>
      <c r="X705" s="216"/>
      <c r="Y705" s="216"/>
      <c r="Z705" s="216"/>
      <c r="AA705" s="216"/>
    </row>
    <row r="706" ht="15.0" customHeight="1">
      <c r="A706" s="214"/>
      <c r="B706" s="214"/>
      <c r="C706" s="214"/>
      <c r="D706" s="214"/>
      <c r="E706" s="214"/>
      <c r="F706" s="214"/>
      <c r="G706" s="214"/>
      <c r="H706" s="214"/>
      <c r="I706" s="214"/>
      <c r="J706" s="214"/>
      <c r="K706" s="214"/>
      <c r="L706" s="214"/>
      <c r="M706" s="214"/>
      <c r="N706" s="216"/>
      <c r="O706" s="216"/>
      <c r="P706" s="216"/>
      <c r="Q706" s="216"/>
      <c r="R706" s="216"/>
      <c r="S706" s="216"/>
      <c r="T706" s="216"/>
      <c r="U706" s="216"/>
      <c r="V706" s="216"/>
      <c r="W706" s="216"/>
      <c r="X706" s="216"/>
      <c r="Y706" s="216"/>
      <c r="Z706" s="216"/>
      <c r="AA706" s="216"/>
    </row>
    <row r="707" ht="15.0" customHeight="1">
      <c r="A707" s="214"/>
      <c r="B707" s="214"/>
      <c r="C707" s="214"/>
      <c r="D707" s="214"/>
      <c r="E707" s="214"/>
      <c r="F707" s="214"/>
      <c r="G707" s="214"/>
      <c r="H707" s="214"/>
      <c r="I707" s="214"/>
      <c r="J707" s="214"/>
      <c r="K707" s="214"/>
      <c r="L707" s="214"/>
      <c r="M707" s="214"/>
      <c r="N707" s="216"/>
      <c r="O707" s="216"/>
      <c r="P707" s="216"/>
      <c r="Q707" s="216"/>
      <c r="R707" s="216"/>
      <c r="S707" s="216"/>
      <c r="T707" s="216"/>
      <c r="U707" s="216"/>
      <c r="V707" s="216"/>
      <c r="W707" s="216"/>
      <c r="X707" s="216"/>
      <c r="Y707" s="216"/>
      <c r="Z707" s="216"/>
      <c r="AA707" s="216"/>
    </row>
    <row r="708" ht="15.0" customHeight="1">
      <c r="A708" s="214"/>
      <c r="B708" s="214"/>
      <c r="C708" s="214"/>
      <c r="D708" s="214"/>
      <c r="E708" s="214"/>
      <c r="F708" s="214"/>
      <c r="G708" s="214"/>
      <c r="H708" s="214"/>
      <c r="I708" s="214"/>
      <c r="J708" s="214"/>
      <c r="K708" s="214"/>
      <c r="L708" s="214"/>
      <c r="M708" s="214"/>
      <c r="N708" s="216"/>
      <c r="O708" s="216"/>
      <c r="P708" s="216"/>
      <c r="Q708" s="216"/>
      <c r="R708" s="216"/>
      <c r="S708" s="216"/>
      <c r="T708" s="216"/>
      <c r="U708" s="216"/>
      <c r="V708" s="216"/>
      <c r="W708" s="216"/>
      <c r="X708" s="216"/>
      <c r="Y708" s="216"/>
      <c r="Z708" s="216"/>
      <c r="AA708" s="216"/>
    </row>
    <row r="709" ht="15.0" customHeight="1">
      <c r="A709" s="214"/>
      <c r="B709" s="214"/>
      <c r="C709" s="214"/>
      <c r="D709" s="214"/>
      <c r="E709" s="214"/>
      <c r="F709" s="214"/>
      <c r="G709" s="214"/>
      <c r="H709" s="214"/>
      <c r="I709" s="214"/>
      <c r="J709" s="214"/>
      <c r="K709" s="214"/>
      <c r="L709" s="214"/>
      <c r="M709" s="214"/>
      <c r="N709" s="216"/>
      <c r="O709" s="216"/>
      <c r="P709" s="216"/>
      <c r="Q709" s="216"/>
      <c r="R709" s="216"/>
      <c r="S709" s="216"/>
      <c r="T709" s="216"/>
      <c r="U709" s="216"/>
      <c r="V709" s="216"/>
      <c r="W709" s="216"/>
      <c r="X709" s="216"/>
      <c r="Y709" s="216"/>
      <c r="Z709" s="216"/>
      <c r="AA709" s="216"/>
    </row>
    <row r="710" ht="15.0" customHeight="1">
      <c r="A710" s="214"/>
      <c r="B710" s="214"/>
      <c r="C710" s="214"/>
      <c r="D710" s="214"/>
      <c r="E710" s="214"/>
      <c r="F710" s="214"/>
      <c r="G710" s="214"/>
      <c r="H710" s="214"/>
      <c r="I710" s="214"/>
      <c r="J710" s="214"/>
      <c r="K710" s="214"/>
      <c r="L710" s="214"/>
      <c r="M710" s="214"/>
      <c r="N710" s="216"/>
      <c r="O710" s="216"/>
      <c r="P710" s="216"/>
      <c r="Q710" s="216"/>
      <c r="R710" s="216"/>
      <c r="S710" s="216"/>
      <c r="T710" s="216"/>
      <c r="U710" s="216"/>
      <c r="V710" s="216"/>
      <c r="W710" s="216"/>
      <c r="X710" s="216"/>
      <c r="Y710" s="216"/>
      <c r="Z710" s="216"/>
      <c r="AA710" s="216"/>
    </row>
    <row r="711" ht="15.0" customHeight="1">
      <c r="A711" s="214"/>
      <c r="B711" s="214"/>
      <c r="C711" s="214"/>
      <c r="D711" s="214"/>
      <c r="E711" s="214"/>
      <c r="F711" s="214"/>
      <c r="G711" s="214"/>
      <c r="H711" s="214"/>
      <c r="I711" s="214"/>
      <c r="J711" s="214"/>
      <c r="K711" s="214"/>
      <c r="L711" s="214"/>
      <c r="M711" s="214"/>
      <c r="N711" s="216"/>
      <c r="O711" s="216"/>
      <c r="P711" s="216"/>
      <c r="Q711" s="216"/>
      <c r="R711" s="216"/>
      <c r="S711" s="216"/>
      <c r="T711" s="216"/>
      <c r="U711" s="216"/>
      <c r="V711" s="216"/>
      <c r="W711" s="216"/>
      <c r="X711" s="216"/>
      <c r="Y711" s="216"/>
      <c r="Z711" s="216"/>
      <c r="AA711" s="216"/>
    </row>
    <row r="712" ht="15.0" customHeight="1">
      <c r="A712" s="214"/>
      <c r="B712" s="214"/>
      <c r="C712" s="214"/>
      <c r="D712" s="214"/>
      <c r="E712" s="214"/>
      <c r="F712" s="214"/>
      <c r="G712" s="214"/>
      <c r="H712" s="214"/>
      <c r="I712" s="214"/>
      <c r="J712" s="214"/>
      <c r="K712" s="214"/>
      <c r="L712" s="214"/>
      <c r="M712" s="214"/>
      <c r="N712" s="216"/>
      <c r="O712" s="216"/>
      <c r="P712" s="216"/>
      <c r="Q712" s="216"/>
      <c r="R712" s="216"/>
      <c r="S712" s="216"/>
      <c r="T712" s="216"/>
      <c r="U712" s="216"/>
      <c r="V712" s="216"/>
      <c r="W712" s="216"/>
      <c r="X712" s="216"/>
      <c r="Y712" s="216"/>
      <c r="Z712" s="216"/>
      <c r="AA712" s="216"/>
    </row>
    <row r="713" ht="15.0" customHeight="1">
      <c r="A713" s="214"/>
      <c r="B713" s="214"/>
      <c r="C713" s="214"/>
      <c r="D713" s="214"/>
      <c r="E713" s="214"/>
      <c r="F713" s="214"/>
      <c r="G713" s="214"/>
      <c r="H713" s="214"/>
      <c r="I713" s="214"/>
      <c r="J713" s="214"/>
      <c r="K713" s="214"/>
      <c r="L713" s="214"/>
      <c r="M713" s="214"/>
      <c r="N713" s="216"/>
      <c r="O713" s="216"/>
      <c r="P713" s="216"/>
      <c r="Q713" s="216"/>
      <c r="R713" s="216"/>
      <c r="S713" s="216"/>
      <c r="T713" s="216"/>
      <c r="U713" s="216"/>
      <c r="V713" s="216"/>
      <c r="W713" s="216"/>
      <c r="X713" s="216"/>
      <c r="Y713" s="216"/>
      <c r="Z713" s="216"/>
      <c r="AA713" s="216"/>
    </row>
    <row r="714" ht="15.0" customHeight="1">
      <c r="A714" s="214"/>
      <c r="B714" s="214"/>
      <c r="C714" s="214"/>
      <c r="D714" s="214"/>
      <c r="E714" s="214"/>
      <c r="F714" s="214"/>
      <c r="G714" s="214"/>
      <c r="H714" s="214"/>
      <c r="I714" s="214"/>
      <c r="J714" s="214"/>
      <c r="K714" s="214"/>
      <c r="L714" s="214"/>
      <c r="M714" s="214"/>
      <c r="N714" s="216"/>
      <c r="O714" s="216"/>
      <c r="P714" s="216"/>
      <c r="Q714" s="216"/>
      <c r="R714" s="216"/>
      <c r="S714" s="216"/>
      <c r="T714" s="216"/>
      <c r="U714" s="216"/>
      <c r="V714" s="216"/>
      <c r="W714" s="216"/>
      <c r="X714" s="216"/>
      <c r="Y714" s="216"/>
      <c r="Z714" s="216"/>
      <c r="AA714" s="216"/>
    </row>
    <row r="715" ht="15.0" customHeight="1">
      <c r="A715" s="214"/>
      <c r="B715" s="214"/>
      <c r="C715" s="214"/>
      <c r="D715" s="214"/>
      <c r="E715" s="214"/>
      <c r="F715" s="214"/>
      <c r="G715" s="214"/>
      <c r="H715" s="214"/>
      <c r="I715" s="214"/>
      <c r="J715" s="214"/>
      <c r="K715" s="214"/>
      <c r="L715" s="214"/>
      <c r="M715" s="214"/>
      <c r="N715" s="216"/>
      <c r="O715" s="216"/>
      <c r="P715" s="216"/>
      <c r="Q715" s="216"/>
      <c r="R715" s="216"/>
      <c r="S715" s="216"/>
      <c r="T715" s="216"/>
      <c r="U715" s="216"/>
      <c r="V715" s="216"/>
      <c r="W715" s="216"/>
      <c r="X715" s="216"/>
      <c r="Y715" s="216"/>
      <c r="Z715" s="216"/>
      <c r="AA715" s="216"/>
    </row>
    <row r="716" ht="15.0" customHeight="1">
      <c r="A716" s="214"/>
      <c r="B716" s="214"/>
      <c r="C716" s="214"/>
      <c r="D716" s="214"/>
      <c r="E716" s="214"/>
      <c r="F716" s="214"/>
      <c r="G716" s="214"/>
      <c r="H716" s="214"/>
      <c r="I716" s="214"/>
      <c r="J716" s="214"/>
      <c r="K716" s="214"/>
      <c r="L716" s="214"/>
      <c r="M716" s="214"/>
      <c r="N716" s="216"/>
      <c r="O716" s="216"/>
      <c r="P716" s="216"/>
      <c r="Q716" s="216"/>
      <c r="R716" s="216"/>
      <c r="S716" s="216"/>
      <c r="T716" s="216"/>
      <c r="U716" s="216"/>
      <c r="V716" s="216"/>
      <c r="W716" s="216"/>
      <c r="X716" s="216"/>
      <c r="Y716" s="216"/>
      <c r="Z716" s="216"/>
      <c r="AA716" s="216"/>
    </row>
    <row r="717" ht="15.0" customHeight="1">
      <c r="A717" s="214"/>
      <c r="B717" s="214"/>
      <c r="C717" s="214"/>
      <c r="D717" s="214"/>
      <c r="E717" s="214"/>
      <c r="F717" s="214"/>
      <c r="G717" s="214"/>
      <c r="H717" s="214"/>
      <c r="I717" s="214"/>
      <c r="J717" s="214"/>
      <c r="K717" s="214"/>
      <c r="L717" s="214"/>
      <c r="M717" s="214"/>
      <c r="N717" s="216"/>
      <c r="O717" s="216"/>
      <c r="P717" s="216"/>
      <c r="Q717" s="216"/>
      <c r="R717" s="216"/>
      <c r="S717" s="216"/>
      <c r="T717" s="216"/>
      <c r="U717" s="216"/>
      <c r="V717" s="216"/>
      <c r="W717" s="216"/>
      <c r="X717" s="216"/>
      <c r="Y717" s="216"/>
      <c r="Z717" s="216"/>
      <c r="AA717" s="216"/>
    </row>
    <row r="718" ht="15.0" customHeight="1">
      <c r="A718" s="214"/>
      <c r="B718" s="214"/>
      <c r="C718" s="214"/>
      <c r="D718" s="214"/>
      <c r="E718" s="214"/>
      <c r="F718" s="214"/>
      <c r="G718" s="214"/>
      <c r="H718" s="214"/>
      <c r="I718" s="214"/>
      <c r="J718" s="214"/>
      <c r="K718" s="214"/>
      <c r="L718" s="214"/>
      <c r="M718" s="214"/>
      <c r="N718" s="216"/>
      <c r="O718" s="216"/>
      <c r="P718" s="216"/>
      <c r="Q718" s="216"/>
      <c r="R718" s="216"/>
      <c r="S718" s="216"/>
      <c r="T718" s="216"/>
      <c r="U718" s="216"/>
      <c r="V718" s="216"/>
      <c r="W718" s="216"/>
      <c r="X718" s="216"/>
      <c r="Y718" s="216"/>
      <c r="Z718" s="216"/>
      <c r="AA718" s="216"/>
    </row>
    <row r="719" ht="15.0" customHeight="1">
      <c r="A719" s="214"/>
      <c r="B719" s="214"/>
      <c r="C719" s="214"/>
      <c r="D719" s="214"/>
      <c r="E719" s="214"/>
      <c r="F719" s="214"/>
      <c r="G719" s="214"/>
      <c r="H719" s="214"/>
      <c r="I719" s="214"/>
      <c r="J719" s="214"/>
      <c r="K719" s="214"/>
      <c r="L719" s="214"/>
      <c r="M719" s="214"/>
      <c r="N719" s="216"/>
      <c r="O719" s="216"/>
      <c r="P719" s="216"/>
      <c r="Q719" s="216"/>
      <c r="R719" s="216"/>
      <c r="S719" s="216"/>
      <c r="T719" s="216"/>
      <c r="U719" s="216"/>
      <c r="V719" s="216"/>
      <c r="W719" s="216"/>
      <c r="X719" s="216"/>
      <c r="Y719" s="216"/>
      <c r="Z719" s="216"/>
      <c r="AA719" s="216"/>
    </row>
    <row r="720" ht="15.0" customHeight="1">
      <c r="A720" s="214"/>
      <c r="B720" s="214"/>
      <c r="C720" s="214"/>
      <c r="D720" s="214"/>
      <c r="E720" s="214"/>
      <c r="F720" s="214"/>
      <c r="G720" s="214"/>
      <c r="H720" s="214"/>
      <c r="I720" s="214"/>
      <c r="J720" s="214"/>
      <c r="K720" s="214"/>
      <c r="L720" s="214"/>
      <c r="M720" s="214"/>
      <c r="N720" s="216"/>
      <c r="O720" s="216"/>
      <c r="P720" s="216"/>
      <c r="Q720" s="216"/>
      <c r="R720" s="216"/>
      <c r="S720" s="216"/>
      <c r="T720" s="216"/>
      <c r="U720" s="216"/>
      <c r="V720" s="216"/>
      <c r="W720" s="216"/>
      <c r="X720" s="216"/>
      <c r="Y720" s="216"/>
      <c r="Z720" s="216"/>
      <c r="AA720" s="216"/>
    </row>
    <row r="721" ht="15.0" customHeight="1">
      <c r="A721" s="214"/>
      <c r="B721" s="214"/>
      <c r="C721" s="214"/>
      <c r="D721" s="214"/>
      <c r="E721" s="214"/>
      <c r="F721" s="214"/>
      <c r="G721" s="214"/>
      <c r="H721" s="214"/>
      <c r="I721" s="214"/>
      <c r="J721" s="214"/>
      <c r="K721" s="214"/>
      <c r="L721" s="214"/>
      <c r="M721" s="214"/>
      <c r="N721" s="216"/>
      <c r="O721" s="216"/>
      <c r="P721" s="216"/>
      <c r="Q721" s="216"/>
      <c r="R721" s="216"/>
      <c r="S721" s="216"/>
      <c r="T721" s="216"/>
      <c r="U721" s="216"/>
      <c r="V721" s="216"/>
      <c r="W721" s="216"/>
      <c r="X721" s="216"/>
      <c r="Y721" s="216"/>
      <c r="Z721" s="216"/>
      <c r="AA721" s="216"/>
    </row>
    <row r="722" ht="15.0" customHeight="1">
      <c r="A722" s="214"/>
      <c r="B722" s="214"/>
      <c r="C722" s="214"/>
      <c r="D722" s="214"/>
      <c r="E722" s="214"/>
      <c r="F722" s="214"/>
      <c r="G722" s="214"/>
      <c r="H722" s="214"/>
      <c r="I722" s="214"/>
      <c r="J722" s="214"/>
      <c r="K722" s="214"/>
      <c r="L722" s="214"/>
      <c r="M722" s="214"/>
      <c r="N722" s="216"/>
      <c r="O722" s="216"/>
      <c r="P722" s="216"/>
      <c r="Q722" s="216"/>
      <c r="R722" s="216"/>
      <c r="S722" s="216"/>
      <c r="T722" s="216"/>
      <c r="U722" s="216"/>
      <c r="V722" s="216"/>
      <c r="W722" s="216"/>
      <c r="X722" s="216"/>
      <c r="Y722" s="216"/>
      <c r="Z722" s="216"/>
      <c r="AA722" s="216"/>
    </row>
    <row r="723" ht="15.0" customHeight="1">
      <c r="A723" s="214"/>
      <c r="B723" s="214"/>
      <c r="C723" s="214"/>
      <c r="D723" s="214"/>
      <c r="E723" s="214"/>
      <c r="F723" s="214"/>
      <c r="G723" s="214"/>
      <c r="H723" s="214"/>
      <c r="I723" s="214"/>
      <c r="J723" s="214"/>
      <c r="K723" s="214"/>
      <c r="L723" s="214"/>
      <c r="M723" s="214"/>
      <c r="N723" s="216"/>
      <c r="O723" s="216"/>
      <c r="P723" s="216"/>
      <c r="Q723" s="216"/>
      <c r="R723" s="216"/>
      <c r="S723" s="216"/>
      <c r="T723" s="216"/>
      <c r="U723" s="216"/>
      <c r="V723" s="216"/>
      <c r="W723" s="216"/>
      <c r="X723" s="216"/>
      <c r="Y723" s="216"/>
      <c r="Z723" s="216"/>
      <c r="AA723" s="216"/>
    </row>
    <row r="724" ht="15.0" customHeight="1">
      <c r="A724" s="214"/>
      <c r="B724" s="214"/>
      <c r="C724" s="214"/>
      <c r="D724" s="214"/>
      <c r="E724" s="214"/>
      <c r="F724" s="214"/>
      <c r="G724" s="214"/>
      <c r="H724" s="214"/>
      <c r="I724" s="214"/>
      <c r="J724" s="214"/>
      <c r="K724" s="214"/>
      <c r="L724" s="214"/>
      <c r="M724" s="214"/>
      <c r="N724" s="216"/>
      <c r="O724" s="216"/>
      <c r="P724" s="216"/>
      <c r="Q724" s="216"/>
      <c r="R724" s="216"/>
      <c r="S724" s="216"/>
      <c r="T724" s="216"/>
      <c r="U724" s="216"/>
      <c r="V724" s="216"/>
      <c r="W724" s="216"/>
      <c r="X724" s="216"/>
      <c r="Y724" s="216"/>
      <c r="Z724" s="216"/>
      <c r="AA724" s="216"/>
    </row>
    <row r="725" ht="15.0" customHeight="1">
      <c r="A725" s="214"/>
      <c r="B725" s="214"/>
      <c r="C725" s="214"/>
      <c r="D725" s="214"/>
      <c r="E725" s="214"/>
      <c r="F725" s="214"/>
      <c r="G725" s="214"/>
      <c r="H725" s="214"/>
      <c r="I725" s="214"/>
      <c r="J725" s="214"/>
      <c r="K725" s="214"/>
      <c r="L725" s="214"/>
      <c r="M725" s="214"/>
      <c r="N725" s="216"/>
      <c r="O725" s="216"/>
      <c r="P725" s="216"/>
      <c r="Q725" s="216"/>
      <c r="R725" s="216"/>
      <c r="S725" s="216"/>
      <c r="T725" s="216"/>
      <c r="U725" s="216"/>
      <c r="V725" s="216"/>
      <c r="W725" s="216"/>
      <c r="X725" s="216"/>
      <c r="Y725" s="216"/>
      <c r="Z725" s="216"/>
      <c r="AA725" s="216"/>
    </row>
    <row r="726" ht="15.0" customHeight="1">
      <c r="A726" s="214"/>
      <c r="B726" s="214"/>
      <c r="C726" s="214"/>
      <c r="D726" s="214"/>
      <c r="E726" s="214"/>
      <c r="F726" s="214"/>
      <c r="G726" s="214"/>
      <c r="H726" s="214"/>
      <c r="I726" s="214"/>
      <c r="J726" s="214"/>
      <c r="K726" s="214"/>
      <c r="L726" s="214"/>
      <c r="M726" s="214"/>
      <c r="N726" s="216"/>
      <c r="O726" s="216"/>
      <c r="P726" s="216"/>
      <c r="Q726" s="216"/>
      <c r="R726" s="216"/>
      <c r="S726" s="216"/>
      <c r="T726" s="216"/>
      <c r="U726" s="216"/>
      <c r="V726" s="216"/>
      <c r="W726" s="216"/>
      <c r="X726" s="216"/>
      <c r="Y726" s="216"/>
      <c r="Z726" s="216"/>
      <c r="AA726" s="216"/>
    </row>
    <row r="727" ht="15.0" customHeight="1">
      <c r="A727" s="214"/>
      <c r="B727" s="214"/>
      <c r="C727" s="214"/>
      <c r="D727" s="214"/>
      <c r="E727" s="214"/>
      <c r="F727" s="214"/>
      <c r="G727" s="214"/>
      <c r="H727" s="214"/>
      <c r="I727" s="214"/>
      <c r="J727" s="214"/>
      <c r="K727" s="214"/>
      <c r="L727" s="214"/>
      <c r="M727" s="214"/>
      <c r="N727" s="216"/>
      <c r="O727" s="216"/>
      <c r="P727" s="216"/>
      <c r="Q727" s="216"/>
      <c r="R727" s="216"/>
      <c r="S727" s="216"/>
      <c r="T727" s="216"/>
      <c r="U727" s="216"/>
      <c r="V727" s="216"/>
      <c r="W727" s="216"/>
      <c r="X727" s="216"/>
      <c r="Y727" s="216"/>
      <c r="Z727" s="216"/>
      <c r="AA727" s="216"/>
    </row>
    <row r="728" ht="15.0" customHeight="1">
      <c r="A728" s="214"/>
      <c r="B728" s="214"/>
      <c r="C728" s="214"/>
      <c r="D728" s="214"/>
      <c r="E728" s="214"/>
      <c r="F728" s="214"/>
      <c r="G728" s="214"/>
      <c r="H728" s="214"/>
      <c r="I728" s="214"/>
      <c r="J728" s="214"/>
      <c r="K728" s="214"/>
      <c r="L728" s="214"/>
      <c r="M728" s="214"/>
      <c r="N728" s="216"/>
      <c r="O728" s="216"/>
      <c r="P728" s="216"/>
      <c r="Q728" s="216"/>
      <c r="R728" s="216"/>
      <c r="S728" s="216"/>
      <c r="T728" s="216"/>
      <c r="U728" s="216"/>
      <c r="V728" s="216"/>
      <c r="W728" s="216"/>
      <c r="X728" s="216"/>
      <c r="Y728" s="216"/>
      <c r="Z728" s="216"/>
      <c r="AA728" s="216"/>
    </row>
    <row r="729" ht="15.0" customHeight="1">
      <c r="A729" s="214"/>
      <c r="B729" s="214"/>
      <c r="C729" s="214"/>
      <c r="D729" s="214"/>
      <c r="E729" s="214"/>
      <c r="F729" s="214"/>
      <c r="G729" s="214"/>
      <c r="H729" s="214"/>
      <c r="I729" s="214"/>
      <c r="J729" s="214"/>
      <c r="K729" s="214"/>
      <c r="L729" s="214"/>
      <c r="M729" s="214"/>
      <c r="N729" s="216"/>
      <c r="O729" s="216"/>
      <c r="P729" s="216"/>
      <c r="Q729" s="216"/>
      <c r="R729" s="216"/>
      <c r="S729" s="216"/>
      <c r="T729" s="216"/>
      <c r="U729" s="216"/>
      <c r="V729" s="216"/>
      <c r="W729" s="216"/>
      <c r="X729" s="216"/>
      <c r="Y729" s="216"/>
      <c r="Z729" s="216"/>
      <c r="AA729" s="216"/>
    </row>
    <row r="730" ht="15.0" customHeight="1">
      <c r="A730" s="214"/>
      <c r="B730" s="214"/>
      <c r="C730" s="214"/>
      <c r="D730" s="214"/>
      <c r="E730" s="214"/>
      <c r="F730" s="214"/>
      <c r="G730" s="214"/>
      <c r="H730" s="214"/>
      <c r="I730" s="214"/>
      <c r="J730" s="214"/>
      <c r="K730" s="214"/>
      <c r="L730" s="214"/>
      <c r="M730" s="214"/>
      <c r="N730" s="216"/>
      <c r="O730" s="216"/>
      <c r="P730" s="216"/>
      <c r="Q730" s="216"/>
      <c r="R730" s="216"/>
      <c r="S730" s="216"/>
      <c r="T730" s="216"/>
      <c r="U730" s="216"/>
      <c r="V730" s="216"/>
      <c r="W730" s="216"/>
      <c r="X730" s="216"/>
      <c r="Y730" s="216"/>
      <c r="Z730" s="216"/>
      <c r="AA730" s="216"/>
    </row>
    <row r="731" ht="15.0" customHeight="1">
      <c r="A731" s="214"/>
      <c r="B731" s="214"/>
      <c r="C731" s="214"/>
      <c r="D731" s="214"/>
      <c r="E731" s="214"/>
      <c r="F731" s="214"/>
      <c r="G731" s="214"/>
      <c r="H731" s="214"/>
      <c r="I731" s="214"/>
      <c r="J731" s="214"/>
      <c r="K731" s="214"/>
      <c r="L731" s="214"/>
      <c r="M731" s="214"/>
      <c r="N731" s="216"/>
      <c r="O731" s="216"/>
      <c r="P731" s="216"/>
      <c r="Q731" s="216"/>
      <c r="R731" s="216"/>
      <c r="S731" s="216"/>
      <c r="T731" s="216"/>
      <c r="U731" s="216"/>
      <c r="V731" s="216"/>
      <c r="W731" s="216"/>
      <c r="X731" s="216"/>
      <c r="Y731" s="216"/>
      <c r="Z731" s="216"/>
      <c r="AA731" s="216"/>
    </row>
    <row r="732" ht="15.0" customHeight="1">
      <c r="A732" s="214"/>
      <c r="B732" s="214"/>
      <c r="C732" s="214"/>
      <c r="D732" s="214"/>
      <c r="E732" s="214"/>
      <c r="F732" s="214"/>
      <c r="G732" s="214"/>
      <c r="H732" s="214"/>
      <c r="I732" s="214"/>
      <c r="J732" s="214"/>
      <c r="K732" s="214"/>
      <c r="L732" s="214"/>
      <c r="M732" s="214"/>
      <c r="N732" s="216"/>
      <c r="O732" s="216"/>
      <c r="P732" s="216"/>
      <c r="Q732" s="216"/>
      <c r="R732" s="216"/>
      <c r="S732" s="216"/>
      <c r="T732" s="216"/>
      <c r="U732" s="216"/>
      <c r="V732" s="216"/>
      <c r="W732" s="216"/>
      <c r="X732" s="216"/>
      <c r="Y732" s="216"/>
      <c r="Z732" s="216"/>
      <c r="AA732" s="216"/>
    </row>
    <row r="733" ht="15.0" customHeight="1">
      <c r="A733" s="214"/>
      <c r="B733" s="214"/>
      <c r="C733" s="214"/>
      <c r="D733" s="214"/>
      <c r="E733" s="214"/>
      <c r="F733" s="214"/>
      <c r="G733" s="214"/>
      <c r="H733" s="214"/>
      <c r="I733" s="214"/>
      <c r="J733" s="214"/>
      <c r="K733" s="214"/>
      <c r="L733" s="214"/>
      <c r="M733" s="214"/>
      <c r="N733" s="216"/>
      <c r="O733" s="216"/>
      <c r="P733" s="216"/>
      <c r="Q733" s="216"/>
      <c r="R733" s="216"/>
      <c r="S733" s="216"/>
      <c r="T733" s="216"/>
      <c r="U733" s="216"/>
      <c r="V733" s="216"/>
      <c r="W733" s="216"/>
      <c r="X733" s="216"/>
      <c r="Y733" s="216"/>
      <c r="Z733" s="216"/>
      <c r="AA733" s="216"/>
    </row>
    <row r="734" ht="15.0" customHeight="1">
      <c r="A734" s="214"/>
      <c r="B734" s="214"/>
      <c r="C734" s="214"/>
      <c r="D734" s="214"/>
      <c r="E734" s="214"/>
      <c r="F734" s="214"/>
      <c r="G734" s="214"/>
      <c r="H734" s="214"/>
      <c r="I734" s="214"/>
      <c r="J734" s="214"/>
      <c r="K734" s="214"/>
      <c r="L734" s="214"/>
      <c r="M734" s="214"/>
      <c r="N734" s="216"/>
      <c r="O734" s="216"/>
      <c r="P734" s="216"/>
      <c r="Q734" s="216"/>
      <c r="R734" s="216"/>
      <c r="S734" s="216"/>
      <c r="T734" s="216"/>
      <c r="U734" s="216"/>
      <c r="V734" s="216"/>
      <c r="W734" s="216"/>
      <c r="X734" s="216"/>
      <c r="Y734" s="216"/>
      <c r="Z734" s="216"/>
      <c r="AA734" s="216"/>
    </row>
    <row r="735" ht="15.0" customHeight="1">
      <c r="A735" s="214"/>
      <c r="B735" s="214"/>
      <c r="C735" s="214"/>
      <c r="D735" s="214"/>
      <c r="E735" s="214"/>
      <c r="F735" s="214"/>
      <c r="G735" s="214"/>
      <c r="H735" s="214"/>
      <c r="I735" s="214"/>
      <c r="J735" s="214"/>
      <c r="K735" s="214"/>
      <c r="L735" s="214"/>
      <c r="M735" s="214"/>
      <c r="N735" s="216"/>
      <c r="O735" s="216"/>
      <c r="P735" s="216"/>
      <c r="Q735" s="216"/>
      <c r="R735" s="216"/>
      <c r="S735" s="216"/>
      <c r="T735" s="216"/>
      <c r="U735" s="216"/>
      <c r="V735" s="216"/>
      <c r="W735" s="216"/>
      <c r="X735" s="216"/>
      <c r="Y735" s="216"/>
      <c r="Z735" s="216"/>
      <c r="AA735" s="216"/>
    </row>
    <row r="736" ht="15.0" customHeight="1">
      <c r="A736" s="214"/>
      <c r="B736" s="214"/>
      <c r="C736" s="214"/>
      <c r="D736" s="214"/>
      <c r="E736" s="214"/>
      <c r="F736" s="214"/>
      <c r="G736" s="214"/>
      <c r="H736" s="214"/>
      <c r="I736" s="214"/>
      <c r="J736" s="214"/>
      <c r="K736" s="214"/>
      <c r="L736" s="214"/>
      <c r="M736" s="214"/>
      <c r="N736" s="216"/>
      <c r="O736" s="216"/>
      <c r="P736" s="216"/>
      <c r="Q736" s="216"/>
      <c r="R736" s="216"/>
      <c r="S736" s="216"/>
      <c r="T736" s="216"/>
      <c r="U736" s="216"/>
      <c r="V736" s="216"/>
      <c r="W736" s="216"/>
      <c r="X736" s="216"/>
      <c r="Y736" s="216"/>
      <c r="Z736" s="216"/>
      <c r="AA736" s="216"/>
    </row>
    <row r="737" ht="15.0" customHeight="1">
      <c r="A737" s="214"/>
      <c r="B737" s="214"/>
      <c r="C737" s="214"/>
      <c r="D737" s="214"/>
      <c r="E737" s="214"/>
      <c r="F737" s="214"/>
      <c r="G737" s="214"/>
      <c r="H737" s="214"/>
      <c r="I737" s="214"/>
      <c r="J737" s="214"/>
      <c r="K737" s="214"/>
      <c r="L737" s="214"/>
      <c r="M737" s="214"/>
      <c r="N737" s="216"/>
      <c r="O737" s="216"/>
      <c r="P737" s="216"/>
      <c r="Q737" s="216"/>
      <c r="R737" s="216"/>
      <c r="S737" s="216"/>
      <c r="T737" s="216"/>
      <c r="U737" s="216"/>
      <c r="V737" s="216"/>
      <c r="W737" s="216"/>
      <c r="X737" s="216"/>
      <c r="Y737" s="216"/>
      <c r="Z737" s="216"/>
      <c r="AA737" s="216"/>
    </row>
    <row r="738" ht="15.0" customHeight="1">
      <c r="A738" s="214"/>
      <c r="B738" s="214"/>
      <c r="C738" s="214"/>
      <c r="D738" s="214"/>
      <c r="E738" s="214"/>
      <c r="F738" s="214"/>
      <c r="G738" s="214"/>
      <c r="H738" s="214"/>
      <c r="I738" s="214"/>
      <c r="J738" s="214"/>
      <c r="K738" s="214"/>
      <c r="L738" s="214"/>
      <c r="M738" s="214"/>
      <c r="N738" s="216"/>
      <c r="O738" s="216"/>
      <c r="P738" s="216"/>
      <c r="Q738" s="216"/>
      <c r="R738" s="216"/>
      <c r="S738" s="216"/>
      <c r="T738" s="216"/>
      <c r="U738" s="216"/>
      <c r="V738" s="216"/>
      <c r="W738" s="216"/>
      <c r="X738" s="216"/>
      <c r="Y738" s="216"/>
      <c r="Z738" s="216"/>
      <c r="AA738" s="216"/>
    </row>
    <row r="739" ht="15.0" customHeight="1">
      <c r="A739" s="214"/>
      <c r="B739" s="214"/>
      <c r="C739" s="214"/>
      <c r="D739" s="214"/>
      <c r="E739" s="214"/>
      <c r="F739" s="214"/>
      <c r="G739" s="214"/>
      <c r="H739" s="214"/>
      <c r="I739" s="214"/>
      <c r="J739" s="214"/>
      <c r="K739" s="214"/>
      <c r="L739" s="214"/>
      <c r="M739" s="214"/>
      <c r="N739" s="216"/>
      <c r="O739" s="216"/>
      <c r="P739" s="216"/>
      <c r="Q739" s="216"/>
      <c r="R739" s="216"/>
      <c r="S739" s="216"/>
      <c r="T739" s="216"/>
      <c r="U739" s="216"/>
      <c r="V739" s="216"/>
      <c r="W739" s="216"/>
      <c r="X739" s="216"/>
      <c r="Y739" s="216"/>
      <c r="Z739" s="216"/>
      <c r="AA739" s="216"/>
    </row>
    <row r="740" ht="15.0" customHeight="1">
      <c r="A740" s="214"/>
      <c r="B740" s="214"/>
      <c r="C740" s="214"/>
      <c r="D740" s="214"/>
      <c r="E740" s="214"/>
      <c r="F740" s="214"/>
      <c r="G740" s="214"/>
      <c r="H740" s="214"/>
      <c r="I740" s="214"/>
      <c r="J740" s="214"/>
      <c r="K740" s="214"/>
      <c r="L740" s="214"/>
      <c r="M740" s="214"/>
      <c r="N740" s="216"/>
      <c r="O740" s="216"/>
      <c r="P740" s="216"/>
      <c r="Q740" s="216"/>
      <c r="R740" s="216"/>
      <c r="S740" s="216"/>
      <c r="T740" s="216"/>
      <c r="U740" s="216"/>
      <c r="V740" s="216"/>
      <c r="W740" s="216"/>
      <c r="X740" s="216"/>
      <c r="Y740" s="216"/>
      <c r="Z740" s="216"/>
      <c r="AA740" s="216"/>
    </row>
    <row r="741" ht="15.0" customHeight="1">
      <c r="A741" s="214"/>
      <c r="B741" s="214"/>
      <c r="C741" s="214"/>
      <c r="D741" s="214"/>
      <c r="E741" s="214"/>
      <c r="F741" s="214"/>
      <c r="G741" s="214"/>
      <c r="H741" s="214"/>
      <c r="I741" s="214"/>
      <c r="J741" s="214"/>
      <c r="K741" s="214"/>
      <c r="L741" s="214"/>
      <c r="M741" s="214"/>
      <c r="N741" s="216"/>
      <c r="O741" s="216"/>
      <c r="P741" s="216"/>
      <c r="Q741" s="216"/>
      <c r="R741" s="216"/>
      <c r="S741" s="216"/>
      <c r="T741" s="216"/>
      <c r="U741" s="216"/>
      <c r="V741" s="216"/>
      <c r="W741" s="216"/>
      <c r="X741" s="216"/>
      <c r="Y741" s="216"/>
      <c r="Z741" s="216"/>
      <c r="AA741" s="216"/>
    </row>
    <row r="742" ht="15.0" customHeight="1">
      <c r="A742" s="214"/>
      <c r="B742" s="214"/>
      <c r="C742" s="214"/>
      <c r="D742" s="214"/>
      <c r="E742" s="214"/>
      <c r="F742" s="214"/>
      <c r="G742" s="214"/>
      <c r="H742" s="214"/>
      <c r="I742" s="214"/>
      <c r="J742" s="214"/>
      <c r="K742" s="214"/>
      <c r="L742" s="214"/>
      <c r="M742" s="214"/>
      <c r="N742" s="216"/>
      <c r="O742" s="216"/>
      <c r="P742" s="216"/>
      <c r="Q742" s="216"/>
      <c r="R742" s="216"/>
      <c r="S742" s="216"/>
      <c r="T742" s="216"/>
      <c r="U742" s="216"/>
      <c r="V742" s="216"/>
      <c r="W742" s="216"/>
      <c r="X742" s="216"/>
      <c r="Y742" s="216"/>
      <c r="Z742" s="216"/>
      <c r="AA742" s="216"/>
    </row>
    <row r="743" ht="15.0" customHeight="1">
      <c r="A743" s="214"/>
      <c r="B743" s="214"/>
      <c r="C743" s="214"/>
      <c r="D743" s="214"/>
      <c r="E743" s="214"/>
      <c r="F743" s="214"/>
      <c r="G743" s="214"/>
      <c r="H743" s="214"/>
      <c r="I743" s="214"/>
      <c r="J743" s="214"/>
      <c r="K743" s="214"/>
      <c r="L743" s="214"/>
      <c r="M743" s="214"/>
      <c r="N743" s="216"/>
      <c r="O743" s="216"/>
      <c r="P743" s="216"/>
      <c r="Q743" s="216"/>
      <c r="R743" s="216"/>
      <c r="S743" s="216"/>
      <c r="T743" s="216"/>
      <c r="U743" s="216"/>
      <c r="V743" s="216"/>
      <c r="W743" s="216"/>
      <c r="X743" s="216"/>
      <c r="Y743" s="216"/>
      <c r="Z743" s="216"/>
      <c r="AA743" s="216"/>
    </row>
    <row r="744" ht="15.0" customHeight="1">
      <c r="A744" s="214"/>
      <c r="B744" s="214"/>
      <c r="C744" s="214"/>
      <c r="D744" s="214"/>
      <c r="E744" s="214"/>
      <c r="F744" s="214"/>
      <c r="G744" s="214"/>
      <c r="H744" s="214"/>
      <c r="I744" s="214"/>
      <c r="J744" s="214"/>
      <c r="K744" s="214"/>
      <c r="L744" s="214"/>
      <c r="M744" s="214"/>
      <c r="N744" s="216"/>
      <c r="O744" s="216"/>
      <c r="P744" s="216"/>
      <c r="Q744" s="216"/>
      <c r="R744" s="216"/>
      <c r="S744" s="216"/>
      <c r="T744" s="216"/>
      <c r="U744" s="216"/>
      <c r="V744" s="216"/>
      <c r="W744" s="216"/>
      <c r="X744" s="216"/>
      <c r="Y744" s="216"/>
      <c r="Z744" s="216"/>
      <c r="AA744" s="216"/>
    </row>
    <row r="745" ht="15.0" customHeight="1">
      <c r="A745" s="214"/>
      <c r="B745" s="214"/>
      <c r="C745" s="214"/>
      <c r="D745" s="214"/>
      <c r="E745" s="214"/>
      <c r="F745" s="214"/>
      <c r="G745" s="214"/>
      <c r="H745" s="214"/>
      <c r="I745" s="214"/>
      <c r="J745" s="214"/>
      <c r="K745" s="214"/>
      <c r="L745" s="214"/>
      <c r="M745" s="214"/>
      <c r="N745" s="216"/>
      <c r="O745" s="216"/>
      <c r="P745" s="216"/>
      <c r="Q745" s="216"/>
      <c r="R745" s="216"/>
      <c r="S745" s="216"/>
      <c r="T745" s="216"/>
      <c r="U745" s="216"/>
      <c r="V745" s="216"/>
      <c r="W745" s="216"/>
      <c r="X745" s="216"/>
      <c r="Y745" s="216"/>
      <c r="Z745" s="216"/>
      <c r="AA745" s="216"/>
    </row>
    <row r="746" ht="15.0" customHeight="1">
      <c r="A746" s="214"/>
      <c r="B746" s="214"/>
      <c r="C746" s="214"/>
      <c r="D746" s="214"/>
      <c r="E746" s="214"/>
      <c r="F746" s="214"/>
      <c r="G746" s="214"/>
      <c r="H746" s="214"/>
      <c r="I746" s="214"/>
      <c r="J746" s="214"/>
      <c r="K746" s="214"/>
      <c r="L746" s="214"/>
      <c r="M746" s="214"/>
      <c r="N746" s="216"/>
      <c r="O746" s="216"/>
      <c r="P746" s="216"/>
      <c r="Q746" s="216"/>
      <c r="R746" s="216"/>
      <c r="S746" s="216"/>
      <c r="T746" s="216"/>
      <c r="U746" s="216"/>
      <c r="V746" s="216"/>
      <c r="W746" s="216"/>
      <c r="X746" s="216"/>
      <c r="Y746" s="216"/>
      <c r="Z746" s="216"/>
      <c r="AA746" s="216"/>
    </row>
    <row r="747" ht="15.0" customHeight="1">
      <c r="A747" s="214"/>
      <c r="B747" s="214"/>
      <c r="C747" s="214"/>
      <c r="D747" s="214"/>
      <c r="E747" s="214"/>
      <c r="F747" s="214"/>
      <c r="G747" s="214"/>
      <c r="H747" s="214"/>
      <c r="I747" s="214"/>
      <c r="J747" s="214"/>
      <c r="K747" s="214"/>
      <c r="L747" s="214"/>
      <c r="M747" s="214"/>
      <c r="N747" s="216"/>
      <c r="O747" s="216"/>
      <c r="P747" s="216"/>
      <c r="Q747" s="216"/>
      <c r="R747" s="216"/>
      <c r="S747" s="216"/>
      <c r="T747" s="216"/>
      <c r="U747" s="216"/>
      <c r="V747" s="216"/>
      <c r="W747" s="216"/>
      <c r="X747" s="216"/>
      <c r="Y747" s="216"/>
      <c r="Z747" s="216"/>
      <c r="AA747" s="216"/>
    </row>
    <row r="748" ht="15.0" customHeight="1">
      <c r="A748" s="214"/>
      <c r="B748" s="214"/>
      <c r="C748" s="214"/>
      <c r="D748" s="214"/>
      <c r="E748" s="214"/>
      <c r="F748" s="214"/>
      <c r="G748" s="214"/>
      <c r="H748" s="214"/>
      <c r="I748" s="214"/>
      <c r="J748" s="214"/>
      <c r="K748" s="214"/>
      <c r="L748" s="214"/>
      <c r="M748" s="214"/>
      <c r="N748" s="216"/>
      <c r="O748" s="216"/>
      <c r="P748" s="216"/>
      <c r="Q748" s="216"/>
      <c r="R748" s="216"/>
      <c r="S748" s="216"/>
      <c r="T748" s="216"/>
      <c r="U748" s="216"/>
      <c r="V748" s="216"/>
      <c r="W748" s="216"/>
      <c r="X748" s="216"/>
      <c r="Y748" s="216"/>
      <c r="Z748" s="216"/>
      <c r="AA748" s="216"/>
    </row>
    <row r="749" ht="15.0" customHeight="1">
      <c r="A749" s="214"/>
      <c r="B749" s="214"/>
      <c r="C749" s="214"/>
      <c r="D749" s="214"/>
      <c r="E749" s="214"/>
      <c r="F749" s="214"/>
      <c r="G749" s="214"/>
      <c r="H749" s="214"/>
      <c r="I749" s="214"/>
      <c r="J749" s="214"/>
      <c r="K749" s="214"/>
      <c r="L749" s="214"/>
      <c r="M749" s="214"/>
      <c r="N749" s="216"/>
      <c r="O749" s="216"/>
      <c r="P749" s="216"/>
      <c r="Q749" s="216"/>
      <c r="R749" s="216"/>
      <c r="S749" s="216"/>
      <c r="T749" s="216"/>
      <c r="U749" s="216"/>
      <c r="V749" s="216"/>
      <c r="W749" s="216"/>
      <c r="X749" s="216"/>
      <c r="Y749" s="216"/>
      <c r="Z749" s="216"/>
      <c r="AA749" s="216"/>
    </row>
    <row r="750" ht="15.0" customHeight="1">
      <c r="A750" s="214"/>
      <c r="B750" s="214"/>
      <c r="C750" s="214"/>
      <c r="D750" s="214"/>
      <c r="E750" s="214"/>
      <c r="F750" s="214"/>
      <c r="G750" s="214"/>
      <c r="H750" s="214"/>
      <c r="I750" s="214"/>
      <c r="J750" s="214"/>
      <c r="K750" s="214"/>
      <c r="L750" s="214"/>
      <c r="M750" s="214"/>
      <c r="N750" s="216"/>
      <c r="O750" s="216"/>
      <c r="P750" s="216"/>
      <c r="Q750" s="216"/>
      <c r="R750" s="216"/>
      <c r="S750" s="216"/>
      <c r="T750" s="216"/>
      <c r="U750" s="216"/>
      <c r="V750" s="216"/>
      <c r="W750" s="216"/>
      <c r="X750" s="216"/>
      <c r="Y750" s="216"/>
      <c r="Z750" s="216"/>
      <c r="AA750" s="216"/>
    </row>
    <row r="751" ht="15.0" customHeight="1">
      <c r="A751" s="214"/>
      <c r="B751" s="214"/>
      <c r="C751" s="214"/>
      <c r="D751" s="214"/>
      <c r="E751" s="214"/>
      <c r="F751" s="214"/>
      <c r="G751" s="214"/>
      <c r="H751" s="214"/>
      <c r="I751" s="214"/>
      <c r="J751" s="214"/>
      <c r="K751" s="214"/>
      <c r="L751" s="214"/>
      <c r="M751" s="214"/>
      <c r="N751" s="216"/>
      <c r="O751" s="216"/>
      <c r="P751" s="216"/>
      <c r="Q751" s="216"/>
      <c r="R751" s="216"/>
      <c r="S751" s="216"/>
      <c r="T751" s="216"/>
      <c r="U751" s="216"/>
      <c r="V751" s="216"/>
      <c r="W751" s="216"/>
      <c r="X751" s="216"/>
      <c r="Y751" s="216"/>
      <c r="Z751" s="216"/>
      <c r="AA751" s="216"/>
    </row>
    <row r="752" ht="15.0" customHeight="1">
      <c r="A752" s="214"/>
      <c r="B752" s="214"/>
      <c r="C752" s="214"/>
      <c r="D752" s="214"/>
      <c r="E752" s="214"/>
      <c r="F752" s="214"/>
      <c r="G752" s="214"/>
      <c r="H752" s="214"/>
      <c r="I752" s="214"/>
      <c r="J752" s="214"/>
      <c r="K752" s="214"/>
      <c r="L752" s="214"/>
      <c r="M752" s="214"/>
      <c r="N752" s="216"/>
      <c r="O752" s="216"/>
      <c r="P752" s="216"/>
      <c r="Q752" s="216"/>
      <c r="R752" s="216"/>
      <c r="S752" s="216"/>
      <c r="T752" s="216"/>
      <c r="U752" s="216"/>
      <c r="V752" s="216"/>
      <c r="W752" s="216"/>
      <c r="X752" s="216"/>
      <c r="Y752" s="216"/>
      <c r="Z752" s="216"/>
      <c r="AA752" s="216"/>
    </row>
    <row r="753" ht="15.0" customHeight="1">
      <c r="A753" s="214"/>
      <c r="B753" s="214"/>
      <c r="C753" s="214"/>
      <c r="D753" s="214"/>
      <c r="E753" s="214"/>
      <c r="F753" s="214"/>
      <c r="G753" s="214"/>
      <c r="H753" s="214"/>
      <c r="I753" s="214"/>
      <c r="J753" s="214"/>
      <c r="K753" s="214"/>
      <c r="L753" s="214"/>
      <c r="M753" s="214"/>
      <c r="N753" s="216"/>
      <c r="O753" s="216"/>
      <c r="P753" s="216"/>
      <c r="Q753" s="216"/>
      <c r="R753" s="216"/>
      <c r="S753" s="216"/>
      <c r="T753" s="216"/>
      <c r="U753" s="216"/>
      <c r="V753" s="216"/>
      <c r="W753" s="216"/>
      <c r="X753" s="216"/>
      <c r="Y753" s="216"/>
      <c r="Z753" s="216"/>
      <c r="AA753" s="216"/>
    </row>
    <row r="754" ht="15.0" customHeight="1">
      <c r="A754" s="214"/>
      <c r="B754" s="214"/>
      <c r="C754" s="214"/>
      <c r="D754" s="214"/>
      <c r="E754" s="214"/>
      <c r="F754" s="214"/>
      <c r="G754" s="214"/>
      <c r="H754" s="214"/>
      <c r="I754" s="214"/>
      <c r="J754" s="214"/>
      <c r="K754" s="214"/>
      <c r="L754" s="214"/>
      <c r="M754" s="214"/>
      <c r="N754" s="216"/>
      <c r="O754" s="216"/>
      <c r="P754" s="216"/>
      <c r="Q754" s="216"/>
      <c r="R754" s="216"/>
      <c r="S754" s="216"/>
      <c r="T754" s="216"/>
      <c r="U754" s="216"/>
      <c r="V754" s="216"/>
      <c r="W754" s="216"/>
      <c r="X754" s="216"/>
      <c r="Y754" s="216"/>
      <c r="Z754" s="216"/>
      <c r="AA754" s="216"/>
    </row>
    <row r="755" ht="15.0" customHeight="1">
      <c r="A755" s="214"/>
      <c r="B755" s="214"/>
      <c r="C755" s="214"/>
      <c r="D755" s="214"/>
      <c r="E755" s="214"/>
      <c r="F755" s="214"/>
      <c r="G755" s="214"/>
      <c r="H755" s="214"/>
      <c r="I755" s="214"/>
      <c r="J755" s="214"/>
      <c r="K755" s="214"/>
      <c r="L755" s="214"/>
      <c r="M755" s="214"/>
      <c r="N755" s="216"/>
      <c r="O755" s="216"/>
      <c r="P755" s="216"/>
      <c r="Q755" s="216"/>
      <c r="R755" s="216"/>
      <c r="S755" s="216"/>
      <c r="T755" s="216"/>
      <c r="U755" s="216"/>
      <c r="V755" s="216"/>
      <c r="W755" s="216"/>
      <c r="X755" s="216"/>
      <c r="Y755" s="216"/>
      <c r="Z755" s="216"/>
      <c r="AA755" s="216"/>
    </row>
    <row r="756" ht="15.0" customHeight="1">
      <c r="A756" s="214"/>
      <c r="B756" s="214"/>
      <c r="C756" s="214"/>
      <c r="D756" s="214"/>
      <c r="E756" s="214"/>
      <c r="F756" s="214"/>
      <c r="G756" s="214"/>
      <c r="H756" s="214"/>
      <c r="I756" s="214"/>
      <c r="J756" s="214"/>
      <c r="K756" s="214"/>
      <c r="L756" s="214"/>
      <c r="M756" s="214"/>
      <c r="N756" s="216"/>
      <c r="O756" s="216"/>
      <c r="P756" s="216"/>
      <c r="Q756" s="216"/>
      <c r="R756" s="216"/>
      <c r="S756" s="216"/>
      <c r="T756" s="216"/>
      <c r="U756" s="216"/>
      <c r="V756" s="216"/>
      <c r="W756" s="216"/>
      <c r="X756" s="216"/>
      <c r="Y756" s="216"/>
      <c r="Z756" s="216"/>
      <c r="AA756" s="216"/>
    </row>
    <row r="757" ht="15.0" customHeight="1">
      <c r="A757" s="214"/>
      <c r="B757" s="214"/>
      <c r="C757" s="214"/>
      <c r="D757" s="214"/>
      <c r="E757" s="214"/>
      <c r="F757" s="214"/>
      <c r="G757" s="214"/>
      <c r="H757" s="214"/>
      <c r="I757" s="214"/>
      <c r="J757" s="214"/>
      <c r="K757" s="214"/>
      <c r="L757" s="214"/>
      <c r="M757" s="214"/>
      <c r="N757" s="216"/>
      <c r="O757" s="216"/>
      <c r="P757" s="216"/>
      <c r="Q757" s="216"/>
      <c r="R757" s="216"/>
      <c r="S757" s="216"/>
      <c r="T757" s="216"/>
      <c r="U757" s="216"/>
      <c r="V757" s="216"/>
      <c r="W757" s="216"/>
      <c r="X757" s="216"/>
      <c r="Y757" s="216"/>
      <c r="Z757" s="216"/>
      <c r="AA757" s="216"/>
    </row>
    <row r="758" ht="15.0" customHeight="1">
      <c r="A758" s="214"/>
      <c r="B758" s="214"/>
      <c r="C758" s="214"/>
      <c r="D758" s="214"/>
      <c r="E758" s="214"/>
      <c r="F758" s="214"/>
      <c r="G758" s="214"/>
      <c r="H758" s="214"/>
      <c r="I758" s="214"/>
      <c r="J758" s="214"/>
      <c r="K758" s="214"/>
      <c r="L758" s="214"/>
      <c r="M758" s="214"/>
      <c r="N758" s="216"/>
      <c r="O758" s="216"/>
      <c r="P758" s="216"/>
      <c r="Q758" s="216"/>
      <c r="R758" s="216"/>
      <c r="S758" s="216"/>
      <c r="T758" s="216"/>
      <c r="U758" s="216"/>
      <c r="V758" s="216"/>
      <c r="W758" s="216"/>
      <c r="X758" s="216"/>
      <c r="Y758" s="216"/>
      <c r="Z758" s="216"/>
      <c r="AA758" s="216"/>
    </row>
    <row r="759" ht="15.0" customHeight="1">
      <c r="A759" s="214"/>
      <c r="B759" s="214"/>
      <c r="C759" s="214"/>
      <c r="D759" s="214"/>
      <c r="E759" s="214"/>
      <c r="F759" s="214"/>
      <c r="G759" s="214"/>
      <c r="H759" s="214"/>
      <c r="I759" s="214"/>
      <c r="J759" s="214"/>
      <c r="K759" s="214"/>
      <c r="L759" s="214"/>
      <c r="M759" s="214"/>
      <c r="N759" s="216"/>
      <c r="O759" s="216"/>
      <c r="P759" s="216"/>
      <c r="Q759" s="216"/>
      <c r="R759" s="216"/>
      <c r="S759" s="216"/>
      <c r="T759" s="216"/>
      <c r="U759" s="216"/>
      <c r="V759" s="216"/>
      <c r="W759" s="216"/>
      <c r="X759" s="216"/>
      <c r="Y759" s="216"/>
      <c r="Z759" s="216"/>
      <c r="AA759" s="216"/>
    </row>
    <row r="760" ht="15.0" customHeight="1">
      <c r="A760" s="214"/>
      <c r="B760" s="214"/>
      <c r="C760" s="214"/>
      <c r="D760" s="214"/>
      <c r="E760" s="214"/>
      <c r="F760" s="214"/>
      <c r="G760" s="214"/>
      <c r="H760" s="214"/>
      <c r="I760" s="214"/>
      <c r="J760" s="214"/>
      <c r="K760" s="214"/>
      <c r="L760" s="214"/>
      <c r="M760" s="214"/>
      <c r="N760" s="216"/>
      <c r="O760" s="216"/>
      <c r="P760" s="216"/>
      <c r="Q760" s="216"/>
      <c r="R760" s="216"/>
      <c r="S760" s="216"/>
      <c r="T760" s="216"/>
      <c r="U760" s="216"/>
      <c r="V760" s="216"/>
      <c r="W760" s="216"/>
      <c r="X760" s="216"/>
      <c r="Y760" s="216"/>
      <c r="Z760" s="216"/>
      <c r="AA760" s="216"/>
    </row>
    <row r="761" ht="15.0" customHeight="1">
      <c r="A761" s="214"/>
      <c r="B761" s="214"/>
      <c r="C761" s="214"/>
      <c r="D761" s="214"/>
      <c r="E761" s="214"/>
      <c r="F761" s="214"/>
      <c r="G761" s="214"/>
      <c r="H761" s="214"/>
      <c r="I761" s="214"/>
      <c r="J761" s="214"/>
      <c r="K761" s="214"/>
      <c r="L761" s="214"/>
      <c r="M761" s="214"/>
      <c r="N761" s="216"/>
      <c r="O761" s="216"/>
      <c r="P761" s="216"/>
      <c r="Q761" s="216"/>
      <c r="R761" s="216"/>
      <c r="S761" s="216"/>
      <c r="T761" s="216"/>
      <c r="U761" s="216"/>
      <c r="V761" s="216"/>
      <c r="W761" s="216"/>
      <c r="X761" s="216"/>
      <c r="Y761" s="216"/>
      <c r="Z761" s="216"/>
      <c r="AA761" s="216"/>
    </row>
    <row r="762" ht="15.0" customHeight="1">
      <c r="A762" s="214"/>
      <c r="B762" s="214"/>
      <c r="C762" s="214"/>
      <c r="D762" s="214"/>
      <c r="E762" s="214"/>
      <c r="F762" s="214"/>
      <c r="G762" s="214"/>
      <c r="H762" s="214"/>
      <c r="I762" s="214"/>
      <c r="J762" s="214"/>
      <c r="K762" s="214"/>
      <c r="L762" s="214"/>
      <c r="M762" s="214"/>
      <c r="N762" s="216"/>
      <c r="O762" s="216"/>
      <c r="P762" s="216"/>
      <c r="Q762" s="216"/>
      <c r="R762" s="216"/>
      <c r="S762" s="216"/>
      <c r="T762" s="216"/>
      <c r="U762" s="216"/>
      <c r="V762" s="216"/>
      <c r="W762" s="216"/>
      <c r="X762" s="216"/>
      <c r="Y762" s="216"/>
      <c r="Z762" s="216"/>
      <c r="AA762" s="216"/>
    </row>
    <row r="763" ht="15.0" customHeight="1">
      <c r="A763" s="214"/>
      <c r="B763" s="214"/>
      <c r="C763" s="214"/>
      <c r="D763" s="214"/>
      <c r="E763" s="214"/>
      <c r="F763" s="214"/>
      <c r="G763" s="214"/>
      <c r="H763" s="214"/>
      <c r="I763" s="214"/>
      <c r="J763" s="214"/>
      <c r="K763" s="214"/>
      <c r="L763" s="214"/>
      <c r="M763" s="214"/>
      <c r="N763" s="216"/>
      <c r="O763" s="216"/>
      <c r="P763" s="216"/>
      <c r="Q763" s="216"/>
      <c r="R763" s="216"/>
      <c r="S763" s="216"/>
      <c r="T763" s="216"/>
      <c r="U763" s="216"/>
      <c r="V763" s="216"/>
      <c r="W763" s="216"/>
      <c r="X763" s="216"/>
      <c r="Y763" s="216"/>
      <c r="Z763" s="216"/>
      <c r="AA763" s="216"/>
    </row>
    <row r="764" ht="15.0" customHeight="1">
      <c r="A764" s="214"/>
      <c r="B764" s="214"/>
      <c r="C764" s="214"/>
      <c r="D764" s="214"/>
      <c r="E764" s="214"/>
      <c r="F764" s="214"/>
      <c r="G764" s="214"/>
      <c r="H764" s="214"/>
      <c r="I764" s="214"/>
      <c r="J764" s="214"/>
      <c r="K764" s="214"/>
      <c r="L764" s="214"/>
      <c r="M764" s="214"/>
      <c r="N764" s="216"/>
      <c r="O764" s="216"/>
      <c r="P764" s="216"/>
      <c r="Q764" s="216"/>
      <c r="R764" s="216"/>
      <c r="S764" s="216"/>
      <c r="T764" s="216"/>
      <c r="U764" s="216"/>
      <c r="V764" s="216"/>
      <c r="W764" s="216"/>
      <c r="X764" s="216"/>
      <c r="Y764" s="216"/>
      <c r="Z764" s="216"/>
      <c r="AA764" s="216"/>
    </row>
    <row r="765" ht="15.0" customHeight="1">
      <c r="A765" s="214"/>
      <c r="B765" s="214"/>
      <c r="C765" s="214"/>
      <c r="D765" s="214"/>
      <c r="E765" s="214"/>
      <c r="F765" s="214"/>
      <c r="G765" s="214"/>
      <c r="H765" s="214"/>
      <c r="I765" s="214"/>
      <c r="J765" s="214"/>
      <c r="K765" s="214"/>
      <c r="L765" s="214"/>
      <c r="M765" s="214"/>
      <c r="N765" s="216"/>
      <c r="O765" s="216"/>
      <c r="P765" s="216"/>
      <c r="Q765" s="216"/>
      <c r="R765" s="216"/>
      <c r="S765" s="216"/>
      <c r="T765" s="216"/>
      <c r="U765" s="216"/>
      <c r="V765" s="216"/>
      <c r="W765" s="216"/>
      <c r="X765" s="216"/>
      <c r="Y765" s="216"/>
      <c r="Z765" s="216"/>
      <c r="AA765" s="216"/>
    </row>
    <row r="766" ht="15.0" customHeight="1">
      <c r="A766" s="214"/>
      <c r="B766" s="214"/>
      <c r="C766" s="214"/>
      <c r="D766" s="214"/>
      <c r="E766" s="214"/>
      <c r="F766" s="214"/>
      <c r="G766" s="214"/>
      <c r="H766" s="214"/>
      <c r="I766" s="214"/>
      <c r="J766" s="214"/>
      <c r="K766" s="214"/>
      <c r="L766" s="214"/>
      <c r="M766" s="214"/>
      <c r="N766" s="216"/>
      <c r="O766" s="216"/>
      <c r="P766" s="216"/>
      <c r="Q766" s="216"/>
      <c r="R766" s="216"/>
      <c r="S766" s="216"/>
      <c r="T766" s="216"/>
      <c r="U766" s="216"/>
      <c r="V766" s="216"/>
      <c r="W766" s="216"/>
      <c r="X766" s="216"/>
      <c r="Y766" s="216"/>
      <c r="Z766" s="216"/>
      <c r="AA766" s="216"/>
    </row>
    <row r="767" ht="15.0" customHeight="1">
      <c r="A767" s="214"/>
      <c r="B767" s="214"/>
      <c r="C767" s="214"/>
      <c r="D767" s="214"/>
      <c r="E767" s="214"/>
      <c r="F767" s="214"/>
      <c r="G767" s="214"/>
      <c r="H767" s="214"/>
      <c r="I767" s="214"/>
      <c r="J767" s="214"/>
      <c r="K767" s="214"/>
      <c r="L767" s="214"/>
      <c r="M767" s="214"/>
      <c r="N767" s="216"/>
      <c r="O767" s="216"/>
      <c r="P767" s="216"/>
      <c r="Q767" s="216"/>
      <c r="R767" s="216"/>
      <c r="S767" s="216"/>
      <c r="T767" s="216"/>
      <c r="U767" s="216"/>
      <c r="V767" s="216"/>
      <c r="W767" s="216"/>
      <c r="X767" s="216"/>
      <c r="Y767" s="216"/>
      <c r="Z767" s="216"/>
      <c r="AA767" s="216"/>
    </row>
    <row r="768" ht="15.0" customHeight="1">
      <c r="A768" s="214"/>
      <c r="B768" s="214"/>
      <c r="C768" s="214"/>
      <c r="D768" s="214"/>
      <c r="E768" s="214"/>
      <c r="F768" s="214"/>
      <c r="G768" s="214"/>
      <c r="H768" s="214"/>
      <c r="I768" s="214"/>
      <c r="J768" s="214"/>
      <c r="K768" s="214"/>
      <c r="L768" s="214"/>
      <c r="M768" s="214"/>
      <c r="N768" s="216"/>
      <c r="O768" s="216"/>
      <c r="P768" s="216"/>
      <c r="Q768" s="216"/>
      <c r="R768" s="216"/>
      <c r="S768" s="216"/>
      <c r="T768" s="216"/>
      <c r="U768" s="216"/>
      <c r="V768" s="216"/>
      <c r="W768" s="216"/>
      <c r="X768" s="216"/>
      <c r="Y768" s="216"/>
      <c r="Z768" s="216"/>
      <c r="AA768" s="216"/>
    </row>
    <row r="769" ht="15.0" customHeight="1">
      <c r="A769" s="214"/>
      <c r="B769" s="214"/>
      <c r="C769" s="214"/>
      <c r="D769" s="214"/>
      <c r="E769" s="214"/>
      <c r="F769" s="214"/>
      <c r="G769" s="214"/>
      <c r="H769" s="214"/>
      <c r="I769" s="214"/>
      <c r="J769" s="214"/>
      <c r="K769" s="214"/>
      <c r="L769" s="214"/>
      <c r="M769" s="214"/>
      <c r="N769" s="216"/>
      <c r="O769" s="216"/>
      <c r="P769" s="216"/>
      <c r="Q769" s="216"/>
      <c r="R769" s="216"/>
      <c r="S769" s="216"/>
      <c r="T769" s="216"/>
      <c r="U769" s="216"/>
      <c r="V769" s="216"/>
      <c r="W769" s="216"/>
      <c r="X769" s="216"/>
      <c r="Y769" s="216"/>
      <c r="Z769" s="216"/>
      <c r="AA769" s="216"/>
    </row>
    <row r="770" ht="15.0" customHeight="1">
      <c r="A770" s="214"/>
      <c r="B770" s="214"/>
      <c r="C770" s="214"/>
      <c r="D770" s="214"/>
      <c r="E770" s="214"/>
      <c r="F770" s="214"/>
      <c r="G770" s="214"/>
      <c r="H770" s="214"/>
      <c r="I770" s="214"/>
      <c r="J770" s="214"/>
      <c r="K770" s="214"/>
      <c r="L770" s="214"/>
      <c r="M770" s="214"/>
      <c r="N770" s="216"/>
      <c r="O770" s="216"/>
      <c r="P770" s="216"/>
      <c r="Q770" s="216"/>
      <c r="R770" s="216"/>
      <c r="S770" s="216"/>
      <c r="T770" s="216"/>
      <c r="U770" s="216"/>
      <c r="V770" s="216"/>
      <c r="W770" s="216"/>
      <c r="X770" s="216"/>
      <c r="Y770" s="216"/>
      <c r="Z770" s="216"/>
      <c r="AA770" s="216"/>
    </row>
    <row r="771" ht="15.0" customHeight="1">
      <c r="A771" s="214"/>
      <c r="B771" s="214"/>
      <c r="C771" s="214"/>
      <c r="D771" s="214"/>
      <c r="E771" s="214"/>
      <c r="F771" s="214"/>
      <c r="G771" s="214"/>
      <c r="H771" s="214"/>
      <c r="I771" s="214"/>
      <c r="J771" s="214"/>
      <c r="K771" s="214"/>
      <c r="L771" s="214"/>
      <c r="M771" s="214"/>
      <c r="N771" s="216"/>
      <c r="O771" s="216"/>
      <c r="P771" s="216"/>
      <c r="Q771" s="216"/>
      <c r="R771" s="216"/>
      <c r="S771" s="216"/>
      <c r="T771" s="216"/>
      <c r="U771" s="216"/>
      <c r="V771" s="216"/>
      <c r="W771" s="216"/>
      <c r="X771" s="216"/>
      <c r="Y771" s="216"/>
      <c r="Z771" s="216"/>
      <c r="AA771" s="216"/>
    </row>
    <row r="772" ht="15.0" customHeight="1">
      <c r="A772" s="214"/>
      <c r="B772" s="214"/>
      <c r="C772" s="214"/>
      <c r="D772" s="214"/>
      <c r="E772" s="214"/>
      <c r="F772" s="214"/>
      <c r="G772" s="214"/>
      <c r="H772" s="214"/>
      <c r="I772" s="214"/>
      <c r="J772" s="214"/>
      <c r="K772" s="214"/>
      <c r="L772" s="214"/>
      <c r="M772" s="214"/>
      <c r="N772" s="216"/>
      <c r="O772" s="216"/>
      <c r="P772" s="216"/>
      <c r="Q772" s="216"/>
      <c r="R772" s="216"/>
      <c r="S772" s="216"/>
      <c r="T772" s="216"/>
      <c r="U772" s="216"/>
      <c r="V772" s="216"/>
      <c r="W772" s="216"/>
      <c r="X772" s="216"/>
      <c r="Y772" s="216"/>
      <c r="Z772" s="216"/>
      <c r="AA772" s="216"/>
    </row>
    <row r="773" ht="15.0" customHeight="1">
      <c r="A773" s="214"/>
      <c r="B773" s="214"/>
      <c r="C773" s="214"/>
      <c r="D773" s="214"/>
      <c r="E773" s="214"/>
      <c r="F773" s="214"/>
      <c r="G773" s="214"/>
      <c r="H773" s="214"/>
      <c r="I773" s="214"/>
      <c r="J773" s="214"/>
      <c r="K773" s="214"/>
      <c r="L773" s="214"/>
      <c r="M773" s="214"/>
      <c r="N773" s="216"/>
      <c r="O773" s="216"/>
      <c r="P773" s="216"/>
      <c r="Q773" s="216"/>
      <c r="R773" s="216"/>
      <c r="S773" s="216"/>
      <c r="T773" s="216"/>
      <c r="U773" s="216"/>
      <c r="V773" s="216"/>
      <c r="W773" s="216"/>
      <c r="X773" s="216"/>
      <c r="Y773" s="216"/>
      <c r="Z773" s="216"/>
      <c r="AA773" s="216"/>
    </row>
    <row r="774" ht="15.0" customHeight="1">
      <c r="A774" s="214"/>
      <c r="B774" s="214"/>
      <c r="C774" s="214"/>
      <c r="D774" s="214"/>
      <c r="E774" s="214"/>
      <c r="F774" s="214"/>
      <c r="G774" s="214"/>
      <c r="H774" s="214"/>
      <c r="I774" s="214"/>
      <c r="J774" s="214"/>
      <c r="K774" s="214"/>
      <c r="L774" s="214"/>
      <c r="M774" s="214"/>
      <c r="N774" s="216"/>
      <c r="O774" s="216"/>
      <c r="P774" s="216"/>
      <c r="Q774" s="216"/>
      <c r="R774" s="216"/>
      <c r="S774" s="216"/>
      <c r="T774" s="216"/>
      <c r="U774" s="216"/>
      <c r="V774" s="216"/>
      <c r="W774" s="216"/>
      <c r="X774" s="216"/>
      <c r="Y774" s="216"/>
      <c r="Z774" s="216"/>
      <c r="AA774" s="216"/>
    </row>
    <row r="775" ht="15.0" customHeight="1">
      <c r="A775" s="214"/>
      <c r="B775" s="214"/>
      <c r="C775" s="214"/>
      <c r="D775" s="214"/>
      <c r="E775" s="214"/>
      <c r="F775" s="214"/>
      <c r="G775" s="214"/>
      <c r="H775" s="214"/>
      <c r="I775" s="214"/>
      <c r="J775" s="214"/>
      <c r="K775" s="214"/>
      <c r="L775" s="214"/>
      <c r="M775" s="214"/>
      <c r="N775" s="216"/>
      <c r="O775" s="216"/>
      <c r="P775" s="216"/>
      <c r="Q775" s="216"/>
      <c r="R775" s="216"/>
      <c r="S775" s="216"/>
      <c r="T775" s="216"/>
      <c r="U775" s="216"/>
      <c r="V775" s="216"/>
      <c r="W775" s="216"/>
      <c r="X775" s="216"/>
      <c r="Y775" s="216"/>
      <c r="Z775" s="216"/>
      <c r="AA775" s="216"/>
    </row>
    <row r="776" ht="15.0" customHeight="1">
      <c r="A776" s="214"/>
      <c r="B776" s="214"/>
      <c r="C776" s="214"/>
      <c r="D776" s="214"/>
      <c r="E776" s="214"/>
      <c r="F776" s="214"/>
      <c r="G776" s="214"/>
      <c r="H776" s="214"/>
      <c r="I776" s="214"/>
      <c r="J776" s="214"/>
      <c r="K776" s="214"/>
      <c r="L776" s="214"/>
      <c r="M776" s="214"/>
      <c r="N776" s="216"/>
      <c r="O776" s="216"/>
      <c r="P776" s="216"/>
      <c r="Q776" s="216"/>
      <c r="R776" s="216"/>
      <c r="S776" s="216"/>
      <c r="T776" s="216"/>
      <c r="U776" s="216"/>
      <c r="V776" s="216"/>
      <c r="W776" s="216"/>
      <c r="X776" s="216"/>
      <c r="Y776" s="216"/>
      <c r="Z776" s="216"/>
      <c r="AA776" s="216"/>
    </row>
    <row r="777" ht="15.0" customHeight="1">
      <c r="A777" s="214"/>
      <c r="B777" s="214"/>
      <c r="C777" s="214"/>
      <c r="D777" s="214"/>
      <c r="E777" s="214"/>
      <c r="F777" s="214"/>
      <c r="G777" s="214"/>
      <c r="H777" s="214"/>
      <c r="I777" s="214"/>
      <c r="J777" s="214"/>
      <c r="K777" s="214"/>
      <c r="L777" s="214"/>
      <c r="M777" s="214"/>
      <c r="N777" s="216"/>
      <c r="O777" s="216"/>
      <c r="P777" s="216"/>
      <c r="Q777" s="216"/>
      <c r="R777" s="216"/>
      <c r="S777" s="216"/>
      <c r="T777" s="216"/>
      <c r="U777" s="216"/>
      <c r="V777" s="216"/>
      <c r="W777" s="216"/>
      <c r="X777" s="216"/>
      <c r="Y777" s="216"/>
      <c r="Z777" s="216"/>
      <c r="AA777" s="216"/>
    </row>
    <row r="778" ht="15.0" customHeight="1">
      <c r="A778" s="214"/>
      <c r="B778" s="214"/>
      <c r="C778" s="214"/>
      <c r="D778" s="214"/>
      <c r="E778" s="214"/>
      <c r="F778" s="214"/>
      <c r="G778" s="214"/>
      <c r="H778" s="214"/>
      <c r="I778" s="214"/>
      <c r="J778" s="214"/>
      <c r="K778" s="214"/>
      <c r="L778" s="214"/>
      <c r="M778" s="214"/>
      <c r="N778" s="216"/>
      <c r="O778" s="216"/>
      <c r="P778" s="216"/>
      <c r="Q778" s="216"/>
      <c r="R778" s="216"/>
      <c r="S778" s="216"/>
      <c r="T778" s="216"/>
      <c r="U778" s="216"/>
      <c r="V778" s="216"/>
      <c r="W778" s="216"/>
      <c r="X778" s="216"/>
      <c r="Y778" s="216"/>
      <c r="Z778" s="216"/>
      <c r="AA778" s="216"/>
    </row>
    <row r="779" ht="15.0" customHeight="1">
      <c r="A779" s="214"/>
      <c r="B779" s="214"/>
      <c r="C779" s="214"/>
      <c r="D779" s="214"/>
      <c r="E779" s="214"/>
      <c r="F779" s="214"/>
      <c r="G779" s="214"/>
      <c r="H779" s="214"/>
      <c r="I779" s="214"/>
      <c r="J779" s="214"/>
      <c r="K779" s="214"/>
      <c r="L779" s="214"/>
      <c r="M779" s="214"/>
      <c r="N779" s="216"/>
      <c r="O779" s="216"/>
      <c r="P779" s="216"/>
      <c r="Q779" s="216"/>
      <c r="R779" s="216"/>
      <c r="S779" s="216"/>
      <c r="T779" s="216"/>
      <c r="U779" s="216"/>
      <c r="V779" s="216"/>
      <c r="W779" s="216"/>
      <c r="X779" s="216"/>
      <c r="Y779" s="216"/>
      <c r="Z779" s="216"/>
      <c r="AA779" s="216"/>
    </row>
    <row r="780" ht="15.0" customHeight="1">
      <c r="A780" s="214"/>
      <c r="B780" s="214"/>
      <c r="C780" s="214"/>
      <c r="D780" s="214"/>
      <c r="E780" s="214"/>
      <c r="F780" s="214"/>
      <c r="G780" s="214"/>
      <c r="H780" s="214"/>
      <c r="I780" s="214"/>
      <c r="J780" s="214"/>
      <c r="K780" s="214"/>
      <c r="L780" s="214"/>
      <c r="M780" s="214"/>
      <c r="N780" s="216"/>
      <c r="O780" s="216"/>
      <c r="P780" s="216"/>
      <c r="Q780" s="216"/>
      <c r="R780" s="216"/>
      <c r="S780" s="216"/>
      <c r="T780" s="216"/>
      <c r="U780" s="216"/>
      <c r="V780" s="216"/>
      <c r="W780" s="216"/>
      <c r="X780" s="216"/>
      <c r="Y780" s="216"/>
      <c r="Z780" s="216"/>
      <c r="AA780" s="216"/>
    </row>
    <row r="781" ht="15.0" customHeight="1">
      <c r="A781" s="214"/>
      <c r="B781" s="214"/>
      <c r="C781" s="214"/>
      <c r="D781" s="214"/>
      <c r="E781" s="214"/>
      <c r="F781" s="214"/>
      <c r="G781" s="214"/>
      <c r="H781" s="214"/>
      <c r="I781" s="214"/>
      <c r="J781" s="214"/>
      <c r="K781" s="214"/>
      <c r="L781" s="214"/>
      <c r="M781" s="214"/>
      <c r="N781" s="216"/>
      <c r="O781" s="216"/>
      <c r="P781" s="216"/>
      <c r="Q781" s="216"/>
      <c r="R781" s="216"/>
      <c r="S781" s="216"/>
      <c r="T781" s="216"/>
      <c r="U781" s="216"/>
      <c r="V781" s="216"/>
      <c r="W781" s="216"/>
      <c r="X781" s="216"/>
      <c r="Y781" s="216"/>
      <c r="Z781" s="216"/>
      <c r="AA781" s="216"/>
    </row>
    <row r="782" ht="15.0" customHeight="1">
      <c r="A782" s="214"/>
      <c r="B782" s="214"/>
      <c r="C782" s="214"/>
      <c r="D782" s="214"/>
      <c r="E782" s="214"/>
      <c r="F782" s="214"/>
      <c r="G782" s="214"/>
      <c r="H782" s="214"/>
      <c r="I782" s="214"/>
      <c r="J782" s="214"/>
      <c r="K782" s="214"/>
      <c r="L782" s="214"/>
      <c r="M782" s="214"/>
      <c r="N782" s="216"/>
      <c r="O782" s="216"/>
      <c r="P782" s="216"/>
      <c r="Q782" s="216"/>
      <c r="R782" s="216"/>
      <c r="S782" s="216"/>
      <c r="T782" s="216"/>
      <c r="U782" s="216"/>
      <c r="V782" s="216"/>
      <c r="W782" s="216"/>
      <c r="X782" s="216"/>
      <c r="Y782" s="216"/>
      <c r="Z782" s="216"/>
      <c r="AA782" s="216"/>
    </row>
    <row r="783" ht="15.0" customHeight="1">
      <c r="A783" s="214"/>
      <c r="B783" s="214"/>
      <c r="C783" s="214"/>
      <c r="D783" s="214"/>
      <c r="E783" s="214"/>
      <c r="F783" s="214"/>
      <c r="G783" s="214"/>
      <c r="H783" s="214"/>
      <c r="I783" s="214"/>
      <c r="J783" s="214"/>
      <c r="K783" s="214"/>
      <c r="L783" s="214"/>
      <c r="M783" s="214"/>
      <c r="N783" s="216"/>
      <c r="O783" s="216"/>
      <c r="P783" s="216"/>
      <c r="Q783" s="216"/>
      <c r="R783" s="216"/>
      <c r="S783" s="216"/>
      <c r="T783" s="216"/>
      <c r="U783" s="216"/>
      <c r="V783" s="216"/>
      <c r="W783" s="216"/>
      <c r="X783" s="216"/>
      <c r="Y783" s="216"/>
      <c r="Z783" s="216"/>
      <c r="AA783" s="216"/>
    </row>
    <row r="784" ht="15.0" customHeight="1">
      <c r="A784" s="214"/>
      <c r="B784" s="214"/>
      <c r="C784" s="214"/>
      <c r="D784" s="214"/>
      <c r="E784" s="214"/>
      <c r="F784" s="214"/>
      <c r="G784" s="214"/>
      <c r="H784" s="214"/>
      <c r="I784" s="214"/>
      <c r="J784" s="214"/>
      <c r="K784" s="214"/>
      <c r="L784" s="214"/>
      <c r="M784" s="214"/>
      <c r="N784" s="216"/>
      <c r="O784" s="216"/>
      <c r="P784" s="216"/>
      <c r="Q784" s="216"/>
      <c r="R784" s="216"/>
      <c r="S784" s="216"/>
      <c r="T784" s="216"/>
      <c r="U784" s="216"/>
      <c r="V784" s="216"/>
      <c r="W784" s="216"/>
      <c r="X784" s="216"/>
      <c r="Y784" s="216"/>
      <c r="Z784" s="216"/>
      <c r="AA784" s="216"/>
    </row>
    <row r="785" ht="15.0" customHeight="1">
      <c r="A785" s="214"/>
      <c r="B785" s="214"/>
      <c r="C785" s="214"/>
      <c r="D785" s="214"/>
      <c r="E785" s="214"/>
      <c r="F785" s="214"/>
      <c r="G785" s="214"/>
      <c r="H785" s="214"/>
      <c r="I785" s="214"/>
      <c r="J785" s="214"/>
      <c r="K785" s="214"/>
      <c r="L785" s="214"/>
      <c r="M785" s="214"/>
      <c r="N785" s="216"/>
      <c r="O785" s="216"/>
      <c r="P785" s="216"/>
      <c r="Q785" s="216"/>
      <c r="R785" s="216"/>
      <c r="S785" s="216"/>
      <c r="T785" s="216"/>
      <c r="U785" s="216"/>
      <c r="V785" s="216"/>
      <c r="W785" s="216"/>
      <c r="X785" s="216"/>
      <c r="Y785" s="216"/>
      <c r="Z785" s="216"/>
      <c r="AA785" s="216"/>
    </row>
    <row r="786" ht="15.0" customHeight="1">
      <c r="A786" s="214"/>
      <c r="B786" s="214"/>
      <c r="C786" s="214"/>
      <c r="D786" s="214"/>
      <c r="E786" s="214"/>
      <c r="F786" s="214"/>
      <c r="G786" s="214"/>
      <c r="H786" s="214"/>
      <c r="I786" s="214"/>
      <c r="J786" s="214"/>
      <c r="K786" s="214"/>
      <c r="L786" s="214"/>
      <c r="M786" s="214"/>
      <c r="N786" s="216"/>
      <c r="O786" s="216"/>
      <c r="P786" s="216"/>
      <c r="Q786" s="216"/>
      <c r="R786" s="216"/>
      <c r="S786" s="216"/>
      <c r="T786" s="216"/>
      <c r="U786" s="216"/>
      <c r="V786" s="216"/>
      <c r="W786" s="216"/>
      <c r="X786" s="216"/>
      <c r="Y786" s="216"/>
      <c r="Z786" s="216"/>
      <c r="AA786" s="216"/>
    </row>
    <row r="787" ht="15.0" customHeight="1">
      <c r="A787" s="214"/>
      <c r="B787" s="214"/>
      <c r="C787" s="214"/>
      <c r="D787" s="214"/>
      <c r="E787" s="214"/>
      <c r="F787" s="214"/>
      <c r="G787" s="214"/>
      <c r="H787" s="214"/>
      <c r="I787" s="214"/>
      <c r="J787" s="214"/>
      <c r="K787" s="214"/>
      <c r="L787" s="214"/>
      <c r="M787" s="214"/>
      <c r="N787" s="216"/>
      <c r="O787" s="216"/>
      <c r="P787" s="216"/>
      <c r="Q787" s="216"/>
      <c r="R787" s="216"/>
      <c r="S787" s="216"/>
      <c r="T787" s="216"/>
      <c r="U787" s="216"/>
      <c r="V787" s="216"/>
      <c r="W787" s="216"/>
      <c r="X787" s="216"/>
      <c r="Y787" s="216"/>
      <c r="Z787" s="216"/>
      <c r="AA787" s="216"/>
    </row>
    <row r="788" ht="15.0" customHeight="1">
      <c r="A788" s="214"/>
      <c r="B788" s="214"/>
      <c r="C788" s="214"/>
      <c r="D788" s="214"/>
      <c r="E788" s="214"/>
      <c r="F788" s="214"/>
      <c r="G788" s="214"/>
      <c r="H788" s="214"/>
      <c r="I788" s="214"/>
      <c r="J788" s="214"/>
      <c r="K788" s="214"/>
      <c r="L788" s="214"/>
      <c r="M788" s="214"/>
      <c r="N788" s="216"/>
      <c r="O788" s="216"/>
      <c r="P788" s="216"/>
      <c r="Q788" s="216"/>
      <c r="R788" s="216"/>
      <c r="S788" s="216"/>
      <c r="T788" s="216"/>
      <c r="U788" s="216"/>
      <c r="V788" s="216"/>
      <c r="W788" s="216"/>
      <c r="X788" s="216"/>
      <c r="Y788" s="216"/>
      <c r="Z788" s="216"/>
      <c r="AA788" s="216"/>
    </row>
    <row r="789" ht="15.0" customHeight="1">
      <c r="A789" s="214"/>
      <c r="B789" s="214"/>
      <c r="C789" s="214"/>
      <c r="D789" s="214"/>
      <c r="E789" s="214"/>
      <c r="F789" s="214"/>
      <c r="G789" s="214"/>
      <c r="H789" s="214"/>
      <c r="I789" s="214"/>
      <c r="J789" s="214"/>
      <c r="K789" s="214"/>
      <c r="L789" s="214"/>
      <c r="M789" s="214"/>
      <c r="N789" s="216"/>
      <c r="O789" s="216"/>
      <c r="P789" s="216"/>
      <c r="Q789" s="216"/>
      <c r="R789" s="216"/>
      <c r="S789" s="216"/>
      <c r="T789" s="216"/>
      <c r="U789" s="216"/>
      <c r="V789" s="216"/>
      <c r="W789" s="216"/>
      <c r="X789" s="216"/>
      <c r="Y789" s="216"/>
      <c r="Z789" s="216"/>
      <c r="AA789" s="216"/>
    </row>
    <row r="790" ht="15.0" customHeight="1">
      <c r="A790" s="214"/>
      <c r="B790" s="214"/>
      <c r="C790" s="214"/>
      <c r="D790" s="214"/>
      <c r="E790" s="214"/>
      <c r="F790" s="214"/>
      <c r="G790" s="214"/>
      <c r="H790" s="214"/>
      <c r="I790" s="214"/>
      <c r="J790" s="214"/>
      <c r="K790" s="214"/>
      <c r="L790" s="214"/>
      <c r="M790" s="214"/>
      <c r="N790" s="216"/>
      <c r="O790" s="216"/>
      <c r="P790" s="216"/>
      <c r="Q790" s="216"/>
      <c r="R790" s="216"/>
      <c r="S790" s="216"/>
      <c r="T790" s="216"/>
      <c r="U790" s="216"/>
      <c r="V790" s="216"/>
      <c r="W790" s="216"/>
      <c r="X790" s="216"/>
      <c r="Y790" s="216"/>
      <c r="Z790" s="216"/>
      <c r="AA790" s="216"/>
    </row>
    <row r="791" ht="15.0" customHeight="1">
      <c r="A791" s="214"/>
      <c r="B791" s="214"/>
      <c r="C791" s="214"/>
      <c r="D791" s="214"/>
      <c r="E791" s="214"/>
      <c r="F791" s="214"/>
      <c r="G791" s="214"/>
      <c r="H791" s="214"/>
      <c r="I791" s="214"/>
      <c r="J791" s="214"/>
      <c r="K791" s="214"/>
      <c r="L791" s="214"/>
      <c r="M791" s="214"/>
      <c r="N791" s="216"/>
      <c r="O791" s="216"/>
      <c r="P791" s="216"/>
      <c r="Q791" s="216"/>
      <c r="R791" s="216"/>
      <c r="S791" s="216"/>
      <c r="T791" s="216"/>
      <c r="U791" s="216"/>
      <c r="V791" s="216"/>
      <c r="W791" s="216"/>
      <c r="X791" s="216"/>
      <c r="Y791" s="216"/>
      <c r="Z791" s="216"/>
      <c r="AA791" s="216"/>
    </row>
    <row r="792" ht="15.0" customHeight="1">
      <c r="A792" s="214"/>
      <c r="B792" s="214"/>
      <c r="C792" s="214"/>
      <c r="D792" s="214"/>
      <c r="E792" s="214"/>
      <c r="F792" s="214"/>
      <c r="G792" s="214"/>
      <c r="H792" s="214"/>
      <c r="I792" s="214"/>
      <c r="J792" s="214"/>
      <c r="K792" s="214"/>
      <c r="L792" s="214"/>
      <c r="M792" s="214"/>
      <c r="N792" s="216"/>
      <c r="O792" s="216"/>
      <c r="P792" s="216"/>
      <c r="Q792" s="216"/>
      <c r="R792" s="216"/>
      <c r="S792" s="216"/>
      <c r="T792" s="216"/>
      <c r="U792" s="216"/>
      <c r="V792" s="216"/>
      <c r="W792" s="216"/>
      <c r="X792" s="216"/>
      <c r="Y792" s="216"/>
      <c r="Z792" s="216"/>
      <c r="AA792" s="216"/>
    </row>
    <row r="793" ht="15.0" customHeight="1">
      <c r="A793" s="214"/>
      <c r="B793" s="214"/>
      <c r="C793" s="214"/>
      <c r="D793" s="214"/>
      <c r="E793" s="214"/>
      <c r="F793" s="214"/>
      <c r="G793" s="214"/>
      <c r="H793" s="214"/>
      <c r="I793" s="214"/>
      <c r="J793" s="214"/>
      <c r="K793" s="214"/>
      <c r="L793" s="214"/>
      <c r="M793" s="214"/>
      <c r="N793" s="216"/>
      <c r="O793" s="216"/>
      <c r="P793" s="216"/>
      <c r="Q793" s="216"/>
      <c r="R793" s="216"/>
      <c r="S793" s="216"/>
      <c r="T793" s="216"/>
      <c r="U793" s="216"/>
      <c r="V793" s="216"/>
      <c r="W793" s="216"/>
      <c r="X793" s="216"/>
      <c r="Y793" s="216"/>
      <c r="Z793" s="216"/>
      <c r="AA793" s="216"/>
    </row>
    <row r="794" ht="15.0" customHeight="1">
      <c r="A794" s="214"/>
      <c r="B794" s="214"/>
      <c r="C794" s="214"/>
      <c r="D794" s="214"/>
      <c r="E794" s="214"/>
      <c r="F794" s="214"/>
      <c r="G794" s="214"/>
      <c r="H794" s="214"/>
      <c r="I794" s="214"/>
      <c r="J794" s="214"/>
      <c r="K794" s="214"/>
      <c r="L794" s="214"/>
      <c r="M794" s="214"/>
      <c r="N794" s="216"/>
      <c r="O794" s="216"/>
      <c r="P794" s="216"/>
      <c r="Q794" s="216"/>
      <c r="R794" s="216"/>
      <c r="S794" s="216"/>
      <c r="T794" s="216"/>
      <c r="U794" s="216"/>
      <c r="V794" s="216"/>
      <c r="W794" s="216"/>
      <c r="X794" s="216"/>
      <c r="Y794" s="216"/>
      <c r="Z794" s="216"/>
      <c r="AA794" s="216"/>
    </row>
    <row r="795" ht="15.0" customHeight="1">
      <c r="A795" s="214"/>
      <c r="B795" s="214"/>
      <c r="C795" s="214"/>
      <c r="D795" s="214"/>
      <c r="E795" s="214"/>
      <c r="F795" s="214"/>
      <c r="G795" s="214"/>
      <c r="H795" s="214"/>
      <c r="I795" s="214"/>
      <c r="J795" s="214"/>
      <c r="K795" s="214"/>
      <c r="L795" s="214"/>
      <c r="M795" s="214"/>
      <c r="N795" s="216"/>
      <c r="O795" s="216"/>
      <c r="P795" s="216"/>
      <c r="Q795" s="216"/>
      <c r="R795" s="216"/>
      <c r="S795" s="216"/>
      <c r="T795" s="216"/>
      <c r="U795" s="216"/>
      <c r="V795" s="216"/>
      <c r="W795" s="216"/>
      <c r="X795" s="216"/>
      <c r="Y795" s="216"/>
      <c r="Z795" s="216"/>
      <c r="AA795" s="216"/>
    </row>
    <row r="796" ht="15.0" customHeight="1">
      <c r="A796" s="214"/>
      <c r="B796" s="214"/>
      <c r="C796" s="214"/>
      <c r="D796" s="214"/>
      <c r="E796" s="214"/>
      <c r="F796" s="214"/>
      <c r="G796" s="214"/>
      <c r="H796" s="214"/>
      <c r="I796" s="214"/>
      <c r="J796" s="214"/>
      <c r="K796" s="214"/>
      <c r="L796" s="214"/>
      <c r="M796" s="214"/>
      <c r="N796" s="216"/>
      <c r="O796" s="216"/>
      <c r="P796" s="216"/>
      <c r="Q796" s="216"/>
      <c r="R796" s="216"/>
      <c r="S796" s="216"/>
      <c r="T796" s="216"/>
      <c r="U796" s="216"/>
      <c r="V796" s="216"/>
      <c r="W796" s="216"/>
      <c r="X796" s="216"/>
      <c r="Y796" s="216"/>
      <c r="Z796" s="216"/>
      <c r="AA796" s="216"/>
    </row>
    <row r="797" ht="15.0" customHeight="1">
      <c r="A797" s="214"/>
      <c r="B797" s="214"/>
      <c r="C797" s="214"/>
      <c r="D797" s="214"/>
      <c r="E797" s="214"/>
      <c r="F797" s="214"/>
      <c r="G797" s="214"/>
      <c r="H797" s="214"/>
      <c r="I797" s="214"/>
      <c r="J797" s="214"/>
      <c r="K797" s="214"/>
      <c r="L797" s="214"/>
      <c r="M797" s="214"/>
      <c r="N797" s="216"/>
      <c r="O797" s="216"/>
      <c r="P797" s="216"/>
      <c r="Q797" s="216"/>
      <c r="R797" s="216"/>
      <c r="S797" s="216"/>
      <c r="T797" s="216"/>
      <c r="U797" s="216"/>
      <c r="V797" s="216"/>
      <c r="W797" s="216"/>
      <c r="X797" s="216"/>
      <c r="Y797" s="216"/>
      <c r="Z797" s="216"/>
      <c r="AA797" s="216"/>
    </row>
    <row r="798" ht="15.0" customHeight="1">
      <c r="A798" s="214"/>
      <c r="B798" s="214"/>
      <c r="C798" s="214"/>
      <c r="D798" s="214"/>
      <c r="E798" s="214"/>
      <c r="F798" s="214"/>
      <c r="G798" s="214"/>
      <c r="H798" s="214"/>
      <c r="I798" s="214"/>
      <c r="J798" s="214"/>
      <c r="K798" s="214"/>
      <c r="L798" s="214"/>
      <c r="M798" s="214"/>
      <c r="N798" s="216"/>
      <c r="O798" s="216"/>
      <c r="P798" s="216"/>
      <c r="Q798" s="216"/>
      <c r="R798" s="216"/>
      <c r="S798" s="216"/>
      <c r="T798" s="216"/>
      <c r="U798" s="216"/>
      <c r="V798" s="216"/>
      <c r="W798" s="216"/>
      <c r="X798" s="216"/>
      <c r="Y798" s="216"/>
      <c r="Z798" s="216"/>
      <c r="AA798" s="216"/>
    </row>
    <row r="799" ht="15.0" customHeight="1">
      <c r="A799" s="214"/>
      <c r="B799" s="214"/>
      <c r="C799" s="214"/>
      <c r="D799" s="214"/>
      <c r="E799" s="214"/>
      <c r="F799" s="214"/>
      <c r="G799" s="214"/>
      <c r="H799" s="214"/>
      <c r="I799" s="214"/>
      <c r="J799" s="214"/>
      <c r="K799" s="214"/>
      <c r="L799" s="214"/>
      <c r="M799" s="214"/>
      <c r="N799" s="216"/>
      <c r="O799" s="216"/>
      <c r="P799" s="216"/>
      <c r="Q799" s="216"/>
      <c r="R799" s="216"/>
      <c r="S799" s="216"/>
      <c r="T799" s="216"/>
      <c r="U799" s="216"/>
      <c r="V799" s="216"/>
      <c r="W799" s="216"/>
      <c r="X799" s="216"/>
      <c r="Y799" s="216"/>
      <c r="Z799" s="216"/>
      <c r="AA799" s="216"/>
    </row>
    <row r="800" ht="15.0" customHeight="1">
      <c r="A800" s="214"/>
      <c r="B800" s="214"/>
      <c r="C800" s="214"/>
      <c r="D800" s="214"/>
      <c r="E800" s="214"/>
      <c r="F800" s="214"/>
      <c r="G800" s="214"/>
      <c r="H800" s="214"/>
      <c r="I800" s="214"/>
      <c r="J800" s="214"/>
      <c r="K800" s="214"/>
      <c r="L800" s="214"/>
      <c r="M800" s="214"/>
      <c r="N800" s="216"/>
      <c r="O800" s="216"/>
      <c r="P800" s="216"/>
      <c r="Q800" s="216"/>
      <c r="R800" s="216"/>
      <c r="S800" s="216"/>
      <c r="T800" s="216"/>
      <c r="U800" s="216"/>
      <c r="V800" s="216"/>
      <c r="W800" s="216"/>
      <c r="X800" s="216"/>
      <c r="Y800" s="216"/>
      <c r="Z800" s="216"/>
      <c r="AA800" s="216"/>
    </row>
    <row r="801" ht="15.0" customHeight="1">
      <c r="A801" s="214"/>
      <c r="B801" s="214"/>
      <c r="C801" s="214"/>
      <c r="D801" s="214"/>
      <c r="E801" s="214"/>
      <c r="F801" s="214"/>
      <c r="G801" s="214"/>
      <c r="H801" s="214"/>
      <c r="I801" s="214"/>
      <c r="J801" s="214"/>
      <c r="K801" s="214"/>
      <c r="L801" s="214"/>
      <c r="M801" s="214"/>
      <c r="N801" s="216"/>
      <c r="O801" s="216"/>
      <c r="P801" s="216"/>
      <c r="Q801" s="216"/>
      <c r="R801" s="216"/>
      <c r="S801" s="216"/>
      <c r="T801" s="216"/>
      <c r="U801" s="216"/>
      <c r="V801" s="216"/>
      <c r="W801" s="216"/>
      <c r="X801" s="216"/>
      <c r="Y801" s="216"/>
      <c r="Z801" s="216"/>
      <c r="AA801" s="216"/>
    </row>
    <row r="802" ht="15.0" customHeight="1">
      <c r="A802" s="214"/>
      <c r="B802" s="214"/>
      <c r="C802" s="214"/>
      <c r="D802" s="214"/>
      <c r="E802" s="214"/>
      <c r="F802" s="214"/>
      <c r="G802" s="214"/>
      <c r="H802" s="214"/>
      <c r="I802" s="214"/>
      <c r="J802" s="214"/>
      <c r="K802" s="214"/>
      <c r="L802" s="214"/>
      <c r="M802" s="214"/>
      <c r="N802" s="216"/>
      <c r="O802" s="216"/>
      <c r="P802" s="216"/>
      <c r="Q802" s="216"/>
      <c r="R802" s="216"/>
      <c r="S802" s="216"/>
      <c r="T802" s="216"/>
      <c r="U802" s="216"/>
      <c r="V802" s="216"/>
      <c r="W802" s="216"/>
      <c r="X802" s="216"/>
      <c r="Y802" s="216"/>
      <c r="Z802" s="216"/>
      <c r="AA802" s="216"/>
    </row>
    <row r="803" ht="15.0" customHeight="1">
      <c r="A803" s="214"/>
      <c r="B803" s="214"/>
      <c r="C803" s="214"/>
      <c r="D803" s="214"/>
      <c r="E803" s="214"/>
      <c r="F803" s="214"/>
      <c r="G803" s="214"/>
      <c r="H803" s="214"/>
      <c r="I803" s="214"/>
      <c r="J803" s="214"/>
      <c r="K803" s="214"/>
      <c r="L803" s="214"/>
      <c r="M803" s="214"/>
      <c r="N803" s="216"/>
      <c r="O803" s="216"/>
      <c r="P803" s="216"/>
      <c r="Q803" s="216"/>
      <c r="R803" s="216"/>
      <c r="S803" s="216"/>
      <c r="T803" s="216"/>
      <c r="U803" s="216"/>
      <c r="V803" s="216"/>
      <c r="W803" s="216"/>
      <c r="X803" s="216"/>
      <c r="Y803" s="216"/>
      <c r="Z803" s="216"/>
      <c r="AA803" s="216"/>
    </row>
    <row r="804" ht="15.0" customHeight="1">
      <c r="A804" s="214"/>
      <c r="B804" s="214"/>
      <c r="C804" s="214"/>
      <c r="D804" s="214"/>
      <c r="E804" s="214"/>
      <c r="F804" s="214"/>
      <c r="G804" s="214"/>
      <c r="H804" s="214"/>
      <c r="I804" s="214"/>
      <c r="J804" s="214"/>
      <c r="K804" s="214"/>
      <c r="L804" s="214"/>
      <c r="M804" s="214"/>
      <c r="N804" s="216"/>
      <c r="O804" s="216"/>
      <c r="P804" s="216"/>
      <c r="Q804" s="216"/>
      <c r="R804" s="216"/>
      <c r="S804" s="216"/>
      <c r="T804" s="216"/>
      <c r="U804" s="216"/>
      <c r="V804" s="216"/>
      <c r="W804" s="216"/>
      <c r="X804" s="216"/>
      <c r="Y804" s="216"/>
      <c r="Z804" s="216"/>
      <c r="AA804" s="216"/>
    </row>
    <row r="805" ht="15.0" customHeight="1">
      <c r="A805" s="214"/>
      <c r="B805" s="214"/>
      <c r="C805" s="214"/>
      <c r="D805" s="214"/>
      <c r="E805" s="214"/>
      <c r="F805" s="214"/>
      <c r="G805" s="214"/>
      <c r="H805" s="214"/>
      <c r="I805" s="214"/>
      <c r="J805" s="214"/>
      <c r="K805" s="214"/>
      <c r="L805" s="214"/>
      <c r="M805" s="214"/>
      <c r="N805" s="216"/>
      <c r="O805" s="216"/>
      <c r="P805" s="216"/>
      <c r="Q805" s="216"/>
      <c r="R805" s="216"/>
      <c r="S805" s="216"/>
      <c r="T805" s="216"/>
      <c r="U805" s="216"/>
      <c r="V805" s="216"/>
      <c r="W805" s="216"/>
      <c r="X805" s="216"/>
      <c r="Y805" s="216"/>
      <c r="Z805" s="216"/>
      <c r="AA805" s="216"/>
    </row>
    <row r="806" ht="15.0" customHeight="1">
      <c r="A806" s="214"/>
      <c r="B806" s="214"/>
      <c r="C806" s="214"/>
      <c r="D806" s="214"/>
      <c r="E806" s="214"/>
      <c r="F806" s="214"/>
      <c r="G806" s="214"/>
      <c r="H806" s="214"/>
      <c r="I806" s="214"/>
      <c r="J806" s="214"/>
      <c r="K806" s="214"/>
      <c r="L806" s="214"/>
      <c r="M806" s="214"/>
      <c r="N806" s="216"/>
      <c r="O806" s="216"/>
      <c r="P806" s="216"/>
      <c r="Q806" s="216"/>
      <c r="R806" s="216"/>
      <c r="S806" s="216"/>
      <c r="T806" s="216"/>
      <c r="U806" s="216"/>
      <c r="V806" s="216"/>
      <c r="W806" s="216"/>
      <c r="X806" s="216"/>
      <c r="Y806" s="216"/>
      <c r="Z806" s="216"/>
      <c r="AA806" s="216"/>
    </row>
    <row r="807" ht="15.0" customHeight="1">
      <c r="A807" s="214"/>
      <c r="B807" s="214"/>
      <c r="C807" s="214"/>
      <c r="D807" s="214"/>
      <c r="E807" s="214"/>
      <c r="F807" s="214"/>
      <c r="G807" s="214"/>
      <c r="H807" s="214"/>
      <c r="I807" s="214"/>
      <c r="J807" s="214"/>
      <c r="K807" s="214"/>
      <c r="L807" s="214"/>
      <c r="M807" s="214"/>
      <c r="N807" s="216"/>
      <c r="O807" s="216"/>
      <c r="P807" s="216"/>
      <c r="Q807" s="216"/>
      <c r="R807" s="216"/>
      <c r="S807" s="216"/>
      <c r="T807" s="216"/>
      <c r="U807" s="216"/>
      <c r="V807" s="216"/>
      <c r="W807" s="216"/>
      <c r="X807" s="216"/>
      <c r="Y807" s="216"/>
      <c r="Z807" s="216"/>
      <c r="AA807" s="216"/>
    </row>
    <row r="808" ht="15.0" customHeight="1">
      <c r="A808" s="214"/>
      <c r="B808" s="214"/>
      <c r="C808" s="214"/>
      <c r="D808" s="214"/>
      <c r="E808" s="214"/>
      <c r="F808" s="214"/>
      <c r="G808" s="214"/>
      <c r="H808" s="214"/>
      <c r="I808" s="214"/>
      <c r="J808" s="214"/>
      <c r="K808" s="214"/>
      <c r="L808" s="214"/>
      <c r="M808" s="214"/>
      <c r="N808" s="216"/>
      <c r="O808" s="216"/>
      <c r="P808" s="216"/>
      <c r="Q808" s="216"/>
      <c r="R808" s="216"/>
      <c r="S808" s="216"/>
      <c r="T808" s="216"/>
      <c r="U808" s="216"/>
      <c r="V808" s="216"/>
      <c r="W808" s="216"/>
      <c r="X808" s="216"/>
      <c r="Y808" s="216"/>
      <c r="Z808" s="216"/>
      <c r="AA808" s="216"/>
    </row>
    <row r="809" ht="15.0" customHeight="1">
      <c r="A809" s="214"/>
      <c r="B809" s="214"/>
      <c r="C809" s="214"/>
      <c r="D809" s="214"/>
      <c r="E809" s="214"/>
      <c r="F809" s="214"/>
      <c r="G809" s="214"/>
      <c r="H809" s="214"/>
      <c r="I809" s="214"/>
      <c r="J809" s="214"/>
      <c r="K809" s="214"/>
      <c r="L809" s="214"/>
      <c r="M809" s="214"/>
      <c r="N809" s="216"/>
      <c r="O809" s="216"/>
      <c r="P809" s="216"/>
      <c r="Q809" s="216"/>
      <c r="R809" s="216"/>
      <c r="S809" s="216"/>
      <c r="T809" s="216"/>
      <c r="U809" s="216"/>
      <c r="V809" s="216"/>
      <c r="W809" s="216"/>
      <c r="X809" s="216"/>
      <c r="Y809" s="216"/>
      <c r="Z809" s="216"/>
      <c r="AA809" s="216"/>
    </row>
    <row r="810" ht="15.0" customHeight="1">
      <c r="A810" s="214"/>
      <c r="B810" s="214"/>
      <c r="C810" s="214"/>
      <c r="D810" s="214"/>
      <c r="E810" s="214"/>
      <c r="F810" s="214"/>
      <c r="G810" s="214"/>
      <c r="H810" s="214"/>
      <c r="I810" s="214"/>
      <c r="J810" s="214"/>
      <c r="K810" s="214"/>
      <c r="L810" s="214"/>
      <c r="M810" s="214"/>
      <c r="N810" s="216"/>
      <c r="O810" s="216"/>
      <c r="P810" s="216"/>
      <c r="Q810" s="216"/>
      <c r="R810" s="216"/>
      <c r="S810" s="216"/>
      <c r="T810" s="216"/>
      <c r="U810" s="216"/>
      <c r="V810" s="216"/>
      <c r="W810" s="216"/>
      <c r="X810" s="216"/>
      <c r="Y810" s="216"/>
      <c r="Z810" s="216"/>
      <c r="AA810" s="216"/>
    </row>
    <row r="811" ht="15.0" customHeight="1">
      <c r="A811" s="214"/>
      <c r="B811" s="214"/>
      <c r="C811" s="214"/>
      <c r="D811" s="214"/>
      <c r="E811" s="214"/>
      <c r="F811" s="214"/>
      <c r="G811" s="214"/>
      <c r="H811" s="214"/>
      <c r="I811" s="214"/>
      <c r="J811" s="214"/>
      <c r="K811" s="214"/>
      <c r="L811" s="214"/>
      <c r="M811" s="214"/>
      <c r="N811" s="216"/>
      <c r="O811" s="216"/>
      <c r="P811" s="216"/>
      <c r="Q811" s="216"/>
      <c r="R811" s="216"/>
      <c r="S811" s="216"/>
      <c r="T811" s="216"/>
      <c r="U811" s="216"/>
      <c r="V811" s="216"/>
      <c r="W811" s="216"/>
      <c r="X811" s="216"/>
      <c r="Y811" s="216"/>
      <c r="Z811" s="216"/>
      <c r="AA811" s="216"/>
    </row>
    <row r="812" ht="15.0" customHeight="1">
      <c r="A812" s="214"/>
      <c r="B812" s="214"/>
      <c r="C812" s="214"/>
      <c r="D812" s="214"/>
      <c r="E812" s="214"/>
      <c r="F812" s="214"/>
      <c r="G812" s="214"/>
      <c r="H812" s="214"/>
      <c r="I812" s="214"/>
      <c r="J812" s="214"/>
      <c r="K812" s="214"/>
      <c r="L812" s="214"/>
      <c r="M812" s="214"/>
      <c r="N812" s="216"/>
      <c r="O812" s="216"/>
      <c r="P812" s="216"/>
      <c r="Q812" s="216"/>
      <c r="R812" s="216"/>
      <c r="S812" s="216"/>
      <c r="T812" s="216"/>
      <c r="U812" s="216"/>
      <c r="V812" s="216"/>
      <c r="W812" s="216"/>
      <c r="X812" s="216"/>
      <c r="Y812" s="216"/>
      <c r="Z812" s="216"/>
      <c r="AA812" s="216"/>
    </row>
    <row r="813" ht="15.0" customHeight="1">
      <c r="A813" s="214"/>
      <c r="B813" s="214"/>
      <c r="C813" s="214"/>
      <c r="D813" s="214"/>
      <c r="E813" s="214"/>
      <c r="F813" s="214"/>
      <c r="G813" s="214"/>
      <c r="H813" s="214"/>
      <c r="I813" s="214"/>
      <c r="J813" s="214"/>
      <c r="K813" s="214"/>
      <c r="L813" s="214"/>
      <c r="M813" s="214"/>
      <c r="N813" s="216"/>
      <c r="O813" s="216"/>
      <c r="P813" s="216"/>
      <c r="Q813" s="216"/>
      <c r="R813" s="216"/>
      <c r="S813" s="216"/>
      <c r="T813" s="216"/>
      <c r="U813" s="216"/>
      <c r="V813" s="216"/>
      <c r="W813" s="216"/>
      <c r="X813" s="216"/>
      <c r="Y813" s="216"/>
      <c r="Z813" s="216"/>
      <c r="AA813" s="216"/>
    </row>
    <row r="814" ht="15.0" customHeight="1">
      <c r="A814" s="214"/>
      <c r="B814" s="214"/>
      <c r="C814" s="214"/>
      <c r="D814" s="214"/>
      <c r="E814" s="214"/>
      <c r="F814" s="214"/>
      <c r="G814" s="214"/>
      <c r="H814" s="214"/>
      <c r="I814" s="214"/>
      <c r="J814" s="214"/>
      <c r="K814" s="214"/>
      <c r="L814" s="214"/>
      <c r="M814" s="214"/>
      <c r="N814" s="216"/>
      <c r="O814" s="216"/>
      <c r="P814" s="216"/>
      <c r="Q814" s="216"/>
      <c r="R814" s="216"/>
      <c r="S814" s="216"/>
      <c r="T814" s="216"/>
      <c r="U814" s="216"/>
      <c r="V814" s="216"/>
      <c r="W814" s="216"/>
      <c r="X814" s="216"/>
      <c r="Y814" s="216"/>
      <c r="Z814" s="216"/>
      <c r="AA814" s="216"/>
    </row>
    <row r="815" ht="15.0" customHeight="1">
      <c r="A815" s="214"/>
      <c r="B815" s="214"/>
      <c r="C815" s="214"/>
      <c r="D815" s="214"/>
      <c r="E815" s="214"/>
      <c r="F815" s="214"/>
      <c r="G815" s="214"/>
      <c r="H815" s="214"/>
      <c r="I815" s="214"/>
      <c r="J815" s="214"/>
      <c r="K815" s="214"/>
      <c r="L815" s="214"/>
      <c r="M815" s="214"/>
      <c r="N815" s="216"/>
      <c r="O815" s="216"/>
      <c r="P815" s="216"/>
      <c r="Q815" s="216"/>
      <c r="R815" s="216"/>
      <c r="S815" s="216"/>
      <c r="T815" s="216"/>
      <c r="U815" s="216"/>
      <c r="V815" s="216"/>
      <c r="W815" s="216"/>
      <c r="X815" s="216"/>
      <c r="Y815" s="216"/>
      <c r="Z815" s="216"/>
      <c r="AA815" s="216"/>
    </row>
    <row r="816" ht="15.0" customHeight="1">
      <c r="A816" s="214"/>
      <c r="B816" s="214"/>
      <c r="C816" s="214"/>
      <c r="D816" s="214"/>
      <c r="E816" s="214"/>
      <c r="F816" s="214"/>
      <c r="G816" s="214"/>
      <c r="H816" s="214"/>
      <c r="I816" s="214"/>
      <c r="J816" s="214"/>
      <c r="K816" s="214"/>
      <c r="L816" s="214"/>
      <c r="M816" s="214"/>
      <c r="N816" s="216"/>
      <c r="O816" s="216"/>
      <c r="P816" s="216"/>
      <c r="Q816" s="216"/>
      <c r="R816" s="216"/>
      <c r="S816" s="216"/>
      <c r="T816" s="216"/>
      <c r="U816" s="216"/>
      <c r="V816" s="216"/>
      <c r="W816" s="216"/>
      <c r="X816" s="216"/>
      <c r="Y816" s="216"/>
      <c r="Z816" s="216"/>
      <c r="AA816" s="216"/>
    </row>
    <row r="817" ht="15.0" customHeight="1">
      <c r="A817" s="214"/>
      <c r="B817" s="214"/>
      <c r="C817" s="214"/>
      <c r="D817" s="214"/>
      <c r="E817" s="214"/>
      <c r="F817" s="214"/>
      <c r="G817" s="214"/>
      <c r="H817" s="214"/>
      <c r="I817" s="214"/>
      <c r="J817" s="214"/>
      <c r="K817" s="214"/>
      <c r="L817" s="214"/>
      <c r="M817" s="214"/>
      <c r="N817" s="216"/>
      <c r="O817" s="216"/>
      <c r="P817" s="216"/>
      <c r="Q817" s="216"/>
      <c r="R817" s="216"/>
      <c r="S817" s="216"/>
      <c r="T817" s="216"/>
      <c r="U817" s="216"/>
      <c r="V817" s="216"/>
      <c r="W817" s="216"/>
      <c r="X817" s="216"/>
      <c r="Y817" s="216"/>
      <c r="Z817" s="216"/>
      <c r="AA817" s="216"/>
    </row>
    <row r="818" ht="15.0" customHeight="1">
      <c r="A818" s="214"/>
      <c r="B818" s="214"/>
      <c r="C818" s="214"/>
      <c r="D818" s="214"/>
      <c r="E818" s="214"/>
      <c r="F818" s="214"/>
      <c r="G818" s="214"/>
      <c r="H818" s="214"/>
      <c r="I818" s="214"/>
      <c r="J818" s="214"/>
      <c r="K818" s="214"/>
      <c r="L818" s="214"/>
      <c r="M818" s="214"/>
      <c r="N818" s="216"/>
      <c r="O818" s="216"/>
      <c r="P818" s="216"/>
      <c r="Q818" s="216"/>
      <c r="R818" s="216"/>
      <c r="S818" s="216"/>
      <c r="T818" s="216"/>
      <c r="U818" s="216"/>
      <c r="V818" s="216"/>
      <c r="W818" s="216"/>
      <c r="X818" s="216"/>
      <c r="Y818" s="216"/>
      <c r="Z818" s="216"/>
      <c r="AA818" s="216"/>
    </row>
    <row r="819" ht="15.0" customHeight="1">
      <c r="A819" s="214"/>
      <c r="B819" s="214"/>
      <c r="C819" s="214"/>
      <c r="D819" s="214"/>
      <c r="E819" s="214"/>
      <c r="F819" s="214"/>
      <c r="G819" s="214"/>
      <c r="H819" s="214"/>
      <c r="I819" s="214"/>
      <c r="J819" s="214"/>
      <c r="K819" s="214"/>
      <c r="L819" s="214"/>
      <c r="M819" s="214"/>
      <c r="N819" s="216"/>
      <c r="O819" s="216"/>
      <c r="P819" s="216"/>
      <c r="Q819" s="216"/>
      <c r="R819" s="216"/>
      <c r="S819" s="216"/>
      <c r="T819" s="216"/>
      <c r="U819" s="216"/>
      <c r="V819" s="216"/>
      <c r="W819" s="216"/>
      <c r="X819" s="216"/>
      <c r="Y819" s="216"/>
      <c r="Z819" s="216"/>
      <c r="AA819" s="216"/>
    </row>
    <row r="820" ht="15.0" customHeight="1">
      <c r="A820" s="214"/>
      <c r="B820" s="214"/>
      <c r="C820" s="214"/>
      <c r="D820" s="214"/>
      <c r="E820" s="214"/>
      <c r="F820" s="214"/>
      <c r="G820" s="214"/>
      <c r="H820" s="214"/>
      <c r="I820" s="214"/>
      <c r="J820" s="214"/>
      <c r="K820" s="214"/>
      <c r="L820" s="214"/>
      <c r="M820" s="214"/>
      <c r="N820" s="216"/>
      <c r="O820" s="216"/>
      <c r="P820" s="216"/>
      <c r="Q820" s="216"/>
      <c r="R820" s="216"/>
      <c r="S820" s="216"/>
      <c r="T820" s="216"/>
      <c r="U820" s="216"/>
      <c r="V820" s="216"/>
      <c r="W820" s="216"/>
      <c r="X820" s="216"/>
      <c r="Y820" s="216"/>
      <c r="Z820" s="216"/>
      <c r="AA820" s="216"/>
    </row>
    <row r="821" ht="15.0" customHeight="1">
      <c r="A821" s="214"/>
      <c r="B821" s="214"/>
      <c r="C821" s="214"/>
      <c r="D821" s="214"/>
      <c r="E821" s="214"/>
      <c r="F821" s="214"/>
      <c r="G821" s="214"/>
      <c r="H821" s="214"/>
      <c r="I821" s="214"/>
      <c r="J821" s="214"/>
      <c r="K821" s="214"/>
      <c r="L821" s="214"/>
      <c r="M821" s="214"/>
      <c r="N821" s="216"/>
      <c r="O821" s="216"/>
      <c r="P821" s="216"/>
      <c r="Q821" s="216"/>
      <c r="R821" s="216"/>
      <c r="S821" s="216"/>
      <c r="T821" s="216"/>
      <c r="U821" s="216"/>
      <c r="V821" s="216"/>
      <c r="W821" s="216"/>
      <c r="X821" s="216"/>
      <c r="Y821" s="216"/>
      <c r="Z821" s="216"/>
      <c r="AA821" s="216"/>
    </row>
    <row r="822" ht="15.0" customHeight="1">
      <c r="A822" s="214"/>
      <c r="B822" s="214"/>
      <c r="C822" s="214"/>
      <c r="D822" s="214"/>
      <c r="E822" s="214"/>
      <c r="F822" s="214"/>
      <c r="G822" s="214"/>
      <c r="H822" s="214"/>
      <c r="I822" s="214"/>
      <c r="J822" s="214"/>
      <c r="K822" s="214"/>
      <c r="L822" s="214"/>
      <c r="M822" s="214"/>
      <c r="N822" s="216"/>
      <c r="O822" s="216"/>
      <c r="P822" s="216"/>
      <c r="Q822" s="216"/>
      <c r="R822" s="216"/>
      <c r="S822" s="216"/>
      <c r="T822" s="216"/>
      <c r="U822" s="216"/>
      <c r="V822" s="216"/>
      <c r="W822" s="216"/>
      <c r="X822" s="216"/>
      <c r="Y822" s="216"/>
      <c r="Z822" s="216"/>
      <c r="AA822" s="216"/>
    </row>
    <row r="823" ht="15.0" customHeight="1">
      <c r="A823" s="214"/>
      <c r="B823" s="214"/>
      <c r="C823" s="214"/>
      <c r="D823" s="214"/>
      <c r="E823" s="214"/>
      <c r="F823" s="214"/>
      <c r="G823" s="214"/>
      <c r="H823" s="214"/>
      <c r="I823" s="214"/>
      <c r="J823" s="214"/>
      <c r="K823" s="214"/>
      <c r="L823" s="214"/>
      <c r="M823" s="214"/>
      <c r="N823" s="216"/>
      <c r="O823" s="216"/>
      <c r="P823" s="216"/>
      <c r="Q823" s="216"/>
      <c r="R823" s="216"/>
      <c r="S823" s="216"/>
      <c r="T823" s="216"/>
      <c r="U823" s="216"/>
      <c r="V823" s="216"/>
      <c r="W823" s="216"/>
      <c r="X823" s="216"/>
      <c r="Y823" s="216"/>
      <c r="Z823" s="216"/>
      <c r="AA823" s="216"/>
    </row>
    <row r="824" ht="15.0" customHeight="1">
      <c r="A824" s="214"/>
      <c r="B824" s="214"/>
      <c r="C824" s="214"/>
      <c r="D824" s="214"/>
      <c r="E824" s="214"/>
      <c r="F824" s="214"/>
      <c r="G824" s="214"/>
      <c r="H824" s="214"/>
      <c r="I824" s="214"/>
      <c r="J824" s="214"/>
      <c r="K824" s="214"/>
      <c r="L824" s="214"/>
      <c r="M824" s="214"/>
      <c r="N824" s="216"/>
      <c r="O824" s="216"/>
      <c r="P824" s="216"/>
      <c r="Q824" s="216"/>
      <c r="R824" s="216"/>
      <c r="S824" s="216"/>
      <c r="T824" s="216"/>
      <c r="U824" s="216"/>
      <c r="V824" s="216"/>
      <c r="W824" s="216"/>
      <c r="X824" s="216"/>
      <c r="Y824" s="216"/>
      <c r="Z824" s="216"/>
      <c r="AA824" s="216"/>
    </row>
    <row r="825" ht="15.0" customHeight="1">
      <c r="A825" s="214"/>
      <c r="B825" s="214"/>
      <c r="C825" s="214"/>
      <c r="D825" s="214"/>
      <c r="E825" s="214"/>
      <c r="F825" s="214"/>
      <c r="G825" s="214"/>
      <c r="H825" s="214"/>
      <c r="I825" s="214"/>
      <c r="J825" s="214"/>
      <c r="K825" s="214"/>
      <c r="L825" s="214"/>
      <c r="M825" s="214"/>
      <c r="N825" s="216"/>
      <c r="O825" s="216"/>
      <c r="P825" s="216"/>
      <c r="Q825" s="216"/>
      <c r="R825" s="216"/>
      <c r="S825" s="216"/>
      <c r="T825" s="216"/>
      <c r="U825" s="216"/>
      <c r="V825" s="216"/>
      <c r="W825" s="216"/>
      <c r="X825" s="216"/>
      <c r="Y825" s="216"/>
      <c r="Z825" s="216"/>
      <c r="AA825" s="216"/>
    </row>
    <row r="826" ht="15.0" customHeight="1">
      <c r="A826" s="214"/>
      <c r="B826" s="214"/>
      <c r="C826" s="214"/>
      <c r="D826" s="214"/>
      <c r="E826" s="214"/>
      <c r="F826" s="214"/>
      <c r="G826" s="214"/>
      <c r="H826" s="214"/>
      <c r="I826" s="214"/>
      <c r="J826" s="214"/>
      <c r="K826" s="214"/>
      <c r="L826" s="214"/>
      <c r="M826" s="214"/>
      <c r="N826" s="216"/>
      <c r="O826" s="216"/>
      <c r="P826" s="216"/>
      <c r="Q826" s="216"/>
      <c r="R826" s="216"/>
      <c r="S826" s="216"/>
      <c r="T826" s="216"/>
      <c r="U826" s="216"/>
      <c r="V826" s="216"/>
      <c r="W826" s="216"/>
      <c r="X826" s="216"/>
      <c r="Y826" s="216"/>
      <c r="Z826" s="216"/>
      <c r="AA826" s="216"/>
    </row>
    <row r="827" ht="15.0" customHeight="1">
      <c r="A827" s="214"/>
      <c r="B827" s="214"/>
      <c r="C827" s="214"/>
      <c r="D827" s="214"/>
      <c r="E827" s="214"/>
      <c r="F827" s="214"/>
      <c r="G827" s="214"/>
      <c r="H827" s="214"/>
      <c r="I827" s="214"/>
      <c r="J827" s="214"/>
      <c r="K827" s="214"/>
      <c r="L827" s="214"/>
      <c r="M827" s="214"/>
      <c r="N827" s="216"/>
      <c r="O827" s="216"/>
      <c r="P827" s="216"/>
      <c r="Q827" s="216"/>
      <c r="R827" s="216"/>
      <c r="S827" s="216"/>
      <c r="T827" s="216"/>
      <c r="U827" s="216"/>
      <c r="V827" s="216"/>
      <c r="W827" s="216"/>
      <c r="X827" s="216"/>
      <c r="Y827" s="216"/>
      <c r="Z827" s="216"/>
      <c r="AA827" s="216"/>
    </row>
    <row r="828" ht="15.0" customHeight="1">
      <c r="A828" s="214"/>
      <c r="B828" s="214"/>
      <c r="C828" s="214"/>
      <c r="D828" s="214"/>
      <c r="E828" s="214"/>
      <c r="F828" s="214"/>
      <c r="G828" s="214"/>
      <c r="H828" s="214"/>
      <c r="I828" s="214"/>
      <c r="J828" s="214"/>
      <c r="K828" s="214"/>
      <c r="L828" s="214"/>
      <c r="M828" s="214"/>
      <c r="N828" s="216"/>
      <c r="O828" s="216"/>
      <c r="P828" s="216"/>
      <c r="Q828" s="216"/>
      <c r="R828" s="216"/>
      <c r="S828" s="216"/>
      <c r="T828" s="216"/>
      <c r="U828" s="216"/>
      <c r="V828" s="216"/>
      <c r="W828" s="216"/>
      <c r="X828" s="216"/>
      <c r="Y828" s="216"/>
      <c r="Z828" s="216"/>
      <c r="AA828" s="216"/>
    </row>
    <row r="829" ht="15.0" customHeight="1">
      <c r="A829" s="214"/>
      <c r="B829" s="214"/>
      <c r="C829" s="214"/>
      <c r="D829" s="214"/>
      <c r="E829" s="214"/>
      <c r="F829" s="214"/>
      <c r="G829" s="214"/>
      <c r="H829" s="214"/>
      <c r="I829" s="214"/>
      <c r="J829" s="214"/>
      <c r="K829" s="214"/>
      <c r="L829" s="214"/>
      <c r="M829" s="214"/>
      <c r="N829" s="216"/>
      <c r="O829" s="216"/>
      <c r="P829" s="216"/>
      <c r="Q829" s="216"/>
      <c r="R829" s="216"/>
      <c r="S829" s="216"/>
      <c r="T829" s="216"/>
      <c r="U829" s="216"/>
      <c r="V829" s="216"/>
      <c r="W829" s="216"/>
      <c r="X829" s="216"/>
      <c r="Y829" s="216"/>
      <c r="Z829" s="216"/>
      <c r="AA829" s="216"/>
    </row>
    <row r="830" ht="15.0" customHeight="1">
      <c r="A830" s="214"/>
      <c r="B830" s="214"/>
      <c r="C830" s="214"/>
      <c r="D830" s="214"/>
      <c r="E830" s="214"/>
      <c r="F830" s="214"/>
      <c r="G830" s="214"/>
      <c r="H830" s="214"/>
      <c r="I830" s="214"/>
      <c r="J830" s="214"/>
      <c r="K830" s="214"/>
      <c r="L830" s="214"/>
      <c r="M830" s="214"/>
      <c r="N830" s="216"/>
      <c r="O830" s="216"/>
      <c r="P830" s="216"/>
      <c r="Q830" s="216"/>
      <c r="R830" s="216"/>
      <c r="S830" s="216"/>
      <c r="T830" s="216"/>
      <c r="U830" s="216"/>
      <c r="V830" s="216"/>
      <c r="W830" s="216"/>
      <c r="X830" s="216"/>
      <c r="Y830" s="216"/>
      <c r="Z830" s="216"/>
      <c r="AA830" s="216"/>
    </row>
    <row r="831" ht="15.0" customHeight="1">
      <c r="A831" s="214"/>
      <c r="B831" s="214"/>
      <c r="C831" s="214"/>
      <c r="D831" s="214"/>
      <c r="E831" s="214"/>
      <c r="F831" s="214"/>
      <c r="G831" s="214"/>
      <c r="H831" s="214"/>
      <c r="I831" s="214"/>
      <c r="J831" s="214"/>
      <c r="K831" s="214"/>
      <c r="L831" s="214"/>
      <c r="M831" s="214"/>
      <c r="N831" s="216"/>
      <c r="O831" s="216"/>
      <c r="P831" s="216"/>
      <c r="Q831" s="216"/>
      <c r="R831" s="216"/>
      <c r="S831" s="216"/>
      <c r="T831" s="216"/>
      <c r="U831" s="216"/>
      <c r="V831" s="216"/>
      <c r="W831" s="216"/>
      <c r="X831" s="216"/>
      <c r="Y831" s="216"/>
      <c r="Z831" s="216"/>
      <c r="AA831" s="216"/>
    </row>
    <row r="832" ht="15.0" customHeight="1">
      <c r="A832" s="214"/>
      <c r="B832" s="214"/>
      <c r="C832" s="214"/>
      <c r="D832" s="214"/>
      <c r="E832" s="214"/>
      <c r="F832" s="214"/>
      <c r="G832" s="214"/>
      <c r="H832" s="214"/>
      <c r="I832" s="214"/>
      <c r="J832" s="214"/>
      <c r="K832" s="214"/>
      <c r="L832" s="214"/>
      <c r="M832" s="214"/>
      <c r="N832" s="216"/>
      <c r="O832" s="216"/>
      <c r="P832" s="216"/>
      <c r="Q832" s="216"/>
      <c r="R832" s="216"/>
      <c r="S832" s="216"/>
      <c r="T832" s="216"/>
      <c r="U832" s="216"/>
      <c r="V832" s="216"/>
      <c r="W832" s="216"/>
      <c r="X832" s="216"/>
      <c r="Y832" s="216"/>
      <c r="Z832" s="216"/>
      <c r="AA832" s="216"/>
    </row>
    <row r="833" ht="15.0" customHeight="1">
      <c r="A833" s="214"/>
      <c r="B833" s="214"/>
      <c r="C833" s="214"/>
      <c r="D833" s="214"/>
      <c r="E833" s="214"/>
      <c r="F833" s="214"/>
      <c r="G833" s="214"/>
      <c r="H833" s="214"/>
      <c r="I833" s="214"/>
      <c r="J833" s="214"/>
      <c r="K833" s="214"/>
      <c r="L833" s="214"/>
      <c r="M833" s="214"/>
      <c r="N833" s="216"/>
      <c r="O833" s="216"/>
      <c r="P833" s="216"/>
      <c r="Q833" s="216"/>
      <c r="R833" s="216"/>
      <c r="S833" s="216"/>
      <c r="T833" s="216"/>
      <c r="U833" s="216"/>
      <c r="V833" s="216"/>
      <c r="W833" s="216"/>
      <c r="X833" s="216"/>
      <c r="Y833" s="216"/>
      <c r="Z833" s="216"/>
      <c r="AA833" s="216"/>
    </row>
    <row r="834" ht="15.0" customHeight="1">
      <c r="A834" s="214"/>
      <c r="B834" s="214"/>
      <c r="C834" s="214"/>
      <c r="D834" s="214"/>
      <c r="E834" s="214"/>
      <c r="F834" s="214"/>
      <c r="G834" s="214"/>
      <c r="H834" s="214"/>
      <c r="I834" s="214"/>
      <c r="J834" s="214"/>
      <c r="K834" s="214"/>
      <c r="L834" s="214"/>
      <c r="M834" s="214"/>
      <c r="N834" s="216"/>
      <c r="O834" s="216"/>
      <c r="P834" s="216"/>
      <c r="Q834" s="216"/>
      <c r="R834" s="216"/>
      <c r="S834" s="216"/>
      <c r="T834" s="216"/>
      <c r="U834" s="216"/>
      <c r="V834" s="216"/>
      <c r="W834" s="216"/>
      <c r="X834" s="216"/>
      <c r="Y834" s="216"/>
      <c r="Z834" s="216"/>
      <c r="AA834" s="216"/>
    </row>
    <row r="835" ht="15.0" customHeight="1">
      <c r="A835" s="214"/>
      <c r="B835" s="214"/>
      <c r="C835" s="214"/>
      <c r="D835" s="214"/>
      <c r="E835" s="214"/>
      <c r="F835" s="214"/>
      <c r="G835" s="214"/>
      <c r="H835" s="214"/>
      <c r="I835" s="214"/>
      <c r="J835" s="214"/>
      <c r="K835" s="214"/>
      <c r="L835" s="214"/>
      <c r="M835" s="214"/>
      <c r="N835" s="216"/>
      <c r="O835" s="216"/>
      <c r="P835" s="216"/>
      <c r="Q835" s="216"/>
      <c r="R835" s="216"/>
      <c r="S835" s="216"/>
      <c r="T835" s="216"/>
      <c r="U835" s="216"/>
      <c r="V835" s="216"/>
      <c r="W835" s="216"/>
      <c r="X835" s="216"/>
      <c r="Y835" s="216"/>
      <c r="Z835" s="216"/>
      <c r="AA835" s="216"/>
    </row>
    <row r="836" ht="15.0" customHeight="1">
      <c r="A836" s="214"/>
      <c r="B836" s="214"/>
      <c r="C836" s="214"/>
      <c r="D836" s="214"/>
      <c r="E836" s="214"/>
      <c r="F836" s="214"/>
      <c r="G836" s="214"/>
      <c r="H836" s="214"/>
      <c r="I836" s="214"/>
      <c r="J836" s="214"/>
      <c r="K836" s="214"/>
      <c r="L836" s="214"/>
      <c r="M836" s="214"/>
      <c r="N836" s="216"/>
      <c r="O836" s="216"/>
      <c r="P836" s="216"/>
      <c r="Q836" s="216"/>
      <c r="R836" s="216"/>
      <c r="S836" s="216"/>
      <c r="T836" s="216"/>
      <c r="U836" s="216"/>
      <c r="V836" s="216"/>
      <c r="W836" s="216"/>
      <c r="X836" s="216"/>
      <c r="Y836" s="216"/>
      <c r="Z836" s="216"/>
      <c r="AA836" s="216"/>
    </row>
    <row r="837" ht="15.0" customHeight="1">
      <c r="A837" s="214"/>
      <c r="B837" s="214"/>
      <c r="C837" s="214"/>
      <c r="D837" s="214"/>
      <c r="E837" s="214"/>
      <c r="F837" s="214"/>
      <c r="G837" s="214"/>
      <c r="H837" s="214"/>
      <c r="I837" s="214"/>
      <c r="J837" s="214"/>
      <c r="K837" s="214"/>
      <c r="L837" s="214"/>
      <c r="M837" s="214"/>
      <c r="N837" s="216"/>
      <c r="O837" s="216"/>
      <c r="P837" s="216"/>
      <c r="Q837" s="216"/>
      <c r="R837" s="216"/>
      <c r="S837" s="216"/>
      <c r="T837" s="216"/>
      <c r="U837" s="216"/>
      <c r="V837" s="216"/>
      <c r="W837" s="216"/>
      <c r="X837" s="216"/>
      <c r="Y837" s="216"/>
      <c r="Z837" s="216"/>
      <c r="AA837" s="216"/>
    </row>
    <row r="838" ht="15.0" customHeight="1">
      <c r="A838" s="214"/>
      <c r="B838" s="214"/>
      <c r="C838" s="214"/>
      <c r="D838" s="214"/>
      <c r="E838" s="214"/>
      <c r="F838" s="214"/>
      <c r="G838" s="214"/>
      <c r="H838" s="214"/>
      <c r="I838" s="214"/>
      <c r="J838" s="214"/>
      <c r="K838" s="214"/>
      <c r="L838" s="214"/>
      <c r="M838" s="214"/>
      <c r="N838" s="216"/>
      <c r="O838" s="216"/>
      <c r="P838" s="216"/>
      <c r="Q838" s="216"/>
      <c r="R838" s="216"/>
      <c r="S838" s="216"/>
      <c r="T838" s="216"/>
      <c r="U838" s="216"/>
      <c r="V838" s="216"/>
      <c r="W838" s="216"/>
      <c r="X838" s="216"/>
      <c r="Y838" s="216"/>
      <c r="Z838" s="216"/>
      <c r="AA838" s="216"/>
    </row>
    <row r="839" ht="15.0" customHeight="1">
      <c r="A839" s="214"/>
      <c r="B839" s="214"/>
      <c r="C839" s="214"/>
      <c r="D839" s="214"/>
      <c r="E839" s="214"/>
      <c r="F839" s="214"/>
      <c r="G839" s="214"/>
      <c r="H839" s="214"/>
      <c r="I839" s="214"/>
      <c r="J839" s="214"/>
      <c r="K839" s="214"/>
      <c r="L839" s="214"/>
      <c r="M839" s="214"/>
      <c r="N839" s="216"/>
      <c r="O839" s="216"/>
      <c r="P839" s="216"/>
      <c r="Q839" s="216"/>
      <c r="R839" s="216"/>
      <c r="S839" s="216"/>
      <c r="T839" s="216"/>
      <c r="U839" s="216"/>
      <c r="V839" s="216"/>
      <c r="W839" s="216"/>
      <c r="X839" s="216"/>
      <c r="Y839" s="216"/>
      <c r="Z839" s="216"/>
      <c r="AA839" s="216"/>
    </row>
    <row r="840" ht="15.0" customHeight="1">
      <c r="A840" s="214"/>
      <c r="B840" s="214"/>
      <c r="C840" s="214"/>
      <c r="D840" s="214"/>
      <c r="E840" s="214"/>
      <c r="F840" s="214"/>
      <c r="G840" s="214"/>
      <c r="H840" s="214"/>
      <c r="I840" s="214"/>
      <c r="J840" s="214"/>
      <c r="K840" s="214"/>
      <c r="L840" s="214"/>
      <c r="M840" s="214"/>
      <c r="N840" s="216"/>
      <c r="O840" s="216"/>
      <c r="P840" s="216"/>
      <c r="Q840" s="216"/>
      <c r="R840" s="216"/>
      <c r="S840" s="216"/>
      <c r="T840" s="216"/>
      <c r="U840" s="216"/>
      <c r="V840" s="216"/>
      <c r="W840" s="216"/>
      <c r="X840" s="216"/>
      <c r="Y840" s="216"/>
      <c r="Z840" s="216"/>
      <c r="AA840" s="216"/>
    </row>
    <row r="841" ht="15.0" customHeight="1">
      <c r="A841" s="214"/>
      <c r="B841" s="214"/>
      <c r="C841" s="214"/>
      <c r="D841" s="214"/>
      <c r="E841" s="214"/>
      <c r="F841" s="214"/>
      <c r="G841" s="214"/>
      <c r="H841" s="214"/>
      <c r="I841" s="214"/>
      <c r="J841" s="214"/>
      <c r="K841" s="214"/>
      <c r="L841" s="214"/>
      <c r="M841" s="214"/>
      <c r="N841" s="216"/>
      <c r="O841" s="216"/>
      <c r="P841" s="216"/>
      <c r="Q841" s="216"/>
      <c r="R841" s="216"/>
      <c r="S841" s="216"/>
      <c r="T841" s="216"/>
      <c r="U841" s="216"/>
      <c r="V841" s="216"/>
      <c r="W841" s="216"/>
      <c r="X841" s="216"/>
      <c r="Y841" s="216"/>
      <c r="Z841" s="216"/>
      <c r="AA841" s="216"/>
    </row>
    <row r="842" ht="15.0" customHeight="1">
      <c r="A842" s="214"/>
      <c r="B842" s="214"/>
      <c r="C842" s="214"/>
      <c r="D842" s="214"/>
      <c r="E842" s="214"/>
      <c r="F842" s="214"/>
      <c r="G842" s="214"/>
      <c r="H842" s="214"/>
      <c r="I842" s="214"/>
      <c r="J842" s="214"/>
      <c r="K842" s="214"/>
      <c r="L842" s="214"/>
      <c r="M842" s="214"/>
      <c r="N842" s="216"/>
      <c r="O842" s="216"/>
      <c r="P842" s="216"/>
      <c r="Q842" s="216"/>
      <c r="R842" s="216"/>
      <c r="S842" s="216"/>
      <c r="T842" s="216"/>
      <c r="U842" s="216"/>
      <c r="V842" s="216"/>
      <c r="W842" s="216"/>
      <c r="X842" s="216"/>
      <c r="Y842" s="216"/>
      <c r="Z842" s="216"/>
      <c r="AA842" s="216"/>
    </row>
    <row r="843" ht="15.0" customHeight="1">
      <c r="A843" s="214"/>
      <c r="B843" s="214"/>
      <c r="C843" s="214"/>
      <c r="D843" s="214"/>
      <c r="E843" s="214"/>
      <c r="F843" s="214"/>
      <c r="G843" s="214"/>
      <c r="H843" s="214"/>
      <c r="I843" s="214"/>
      <c r="J843" s="214"/>
      <c r="K843" s="214"/>
      <c r="L843" s="214"/>
      <c r="M843" s="214"/>
      <c r="N843" s="216"/>
      <c r="O843" s="216"/>
      <c r="P843" s="216"/>
      <c r="Q843" s="216"/>
      <c r="R843" s="216"/>
      <c r="S843" s="216"/>
      <c r="T843" s="216"/>
      <c r="U843" s="216"/>
      <c r="V843" s="216"/>
      <c r="W843" s="216"/>
      <c r="X843" s="216"/>
      <c r="Y843" s="216"/>
      <c r="Z843" s="216"/>
      <c r="AA843" s="216"/>
    </row>
    <row r="844" ht="15.0" customHeight="1">
      <c r="A844" s="214"/>
      <c r="B844" s="214"/>
      <c r="C844" s="214"/>
      <c r="D844" s="214"/>
      <c r="E844" s="214"/>
      <c r="F844" s="214"/>
      <c r="G844" s="214"/>
      <c r="H844" s="214"/>
      <c r="I844" s="214"/>
      <c r="J844" s="214"/>
      <c r="K844" s="214"/>
      <c r="L844" s="214"/>
      <c r="M844" s="214"/>
      <c r="N844" s="216"/>
      <c r="O844" s="216"/>
      <c r="P844" s="216"/>
      <c r="Q844" s="216"/>
      <c r="R844" s="216"/>
      <c r="S844" s="216"/>
      <c r="T844" s="216"/>
      <c r="U844" s="216"/>
      <c r="V844" s="216"/>
      <c r="W844" s="216"/>
      <c r="X844" s="216"/>
      <c r="Y844" s="216"/>
      <c r="Z844" s="216"/>
      <c r="AA844" s="216"/>
    </row>
    <row r="845" ht="15.0" customHeight="1">
      <c r="A845" s="214"/>
      <c r="B845" s="214"/>
      <c r="C845" s="214"/>
      <c r="D845" s="214"/>
      <c r="E845" s="214"/>
      <c r="F845" s="214"/>
      <c r="G845" s="214"/>
      <c r="H845" s="214"/>
      <c r="I845" s="214"/>
      <c r="J845" s="214"/>
      <c r="K845" s="214"/>
      <c r="L845" s="214"/>
      <c r="M845" s="214"/>
      <c r="N845" s="216"/>
      <c r="O845" s="216"/>
      <c r="P845" s="216"/>
      <c r="Q845" s="216"/>
      <c r="R845" s="216"/>
      <c r="S845" s="216"/>
      <c r="T845" s="216"/>
      <c r="U845" s="216"/>
      <c r="V845" s="216"/>
      <c r="W845" s="216"/>
      <c r="X845" s="216"/>
      <c r="Y845" s="216"/>
      <c r="Z845" s="216"/>
      <c r="AA845" s="216"/>
    </row>
    <row r="846" ht="15.0" customHeight="1">
      <c r="A846" s="214"/>
      <c r="B846" s="214"/>
      <c r="C846" s="214"/>
      <c r="D846" s="214"/>
      <c r="E846" s="214"/>
      <c r="F846" s="214"/>
      <c r="G846" s="214"/>
      <c r="H846" s="214"/>
      <c r="I846" s="214"/>
      <c r="J846" s="214"/>
      <c r="K846" s="214"/>
      <c r="L846" s="214"/>
      <c r="M846" s="214"/>
      <c r="N846" s="216"/>
      <c r="O846" s="216"/>
      <c r="P846" s="216"/>
      <c r="Q846" s="216"/>
      <c r="R846" s="216"/>
      <c r="S846" s="216"/>
      <c r="T846" s="216"/>
      <c r="U846" s="216"/>
      <c r="V846" s="216"/>
      <c r="W846" s="216"/>
      <c r="X846" s="216"/>
      <c r="Y846" s="216"/>
      <c r="Z846" s="216"/>
      <c r="AA846" s="216"/>
    </row>
    <row r="847" ht="15.0" customHeight="1">
      <c r="A847" s="214"/>
      <c r="B847" s="214"/>
      <c r="C847" s="214"/>
      <c r="D847" s="214"/>
      <c r="E847" s="214"/>
      <c r="F847" s="214"/>
      <c r="G847" s="214"/>
      <c r="H847" s="214"/>
      <c r="I847" s="214"/>
      <c r="J847" s="214"/>
      <c r="K847" s="214"/>
      <c r="L847" s="214"/>
      <c r="M847" s="214"/>
      <c r="N847" s="216"/>
      <c r="O847" s="216"/>
      <c r="P847" s="216"/>
      <c r="Q847" s="216"/>
      <c r="R847" s="216"/>
      <c r="S847" s="216"/>
      <c r="T847" s="216"/>
      <c r="U847" s="216"/>
      <c r="V847" s="216"/>
      <c r="W847" s="216"/>
      <c r="X847" s="216"/>
      <c r="Y847" s="216"/>
      <c r="Z847" s="216"/>
      <c r="AA847" s="216"/>
    </row>
    <row r="848" ht="15.0" customHeight="1">
      <c r="A848" s="214"/>
      <c r="B848" s="214"/>
      <c r="C848" s="214"/>
      <c r="D848" s="214"/>
      <c r="E848" s="214"/>
      <c r="F848" s="214"/>
      <c r="G848" s="214"/>
      <c r="H848" s="214"/>
      <c r="I848" s="214"/>
      <c r="J848" s="214"/>
      <c r="K848" s="214"/>
      <c r="L848" s="214"/>
      <c r="M848" s="214"/>
      <c r="N848" s="216"/>
      <c r="O848" s="216"/>
      <c r="P848" s="216"/>
      <c r="Q848" s="216"/>
      <c r="R848" s="216"/>
      <c r="S848" s="216"/>
      <c r="T848" s="216"/>
      <c r="U848" s="216"/>
      <c r="V848" s="216"/>
      <c r="W848" s="216"/>
      <c r="X848" s="216"/>
      <c r="Y848" s="216"/>
      <c r="Z848" s="216"/>
      <c r="AA848" s="216"/>
    </row>
    <row r="849" ht="15.0" customHeight="1">
      <c r="A849" s="214"/>
      <c r="B849" s="214"/>
      <c r="C849" s="214"/>
      <c r="D849" s="214"/>
      <c r="E849" s="214"/>
      <c r="F849" s="214"/>
      <c r="G849" s="214"/>
      <c r="H849" s="214"/>
      <c r="I849" s="214"/>
      <c r="J849" s="214"/>
      <c r="K849" s="214"/>
      <c r="L849" s="214"/>
      <c r="M849" s="214"/>
      <c r="N849" s="216"/>
      <c r="O849" s="216"/>
      <c r="P849" s="216"/>
      <c r="Q849" s="216"/>
      <c r="R849" s="216"/>
      <c r="S849" s="216"/>
      <c r="T849" s="216"/>
      <c r="U849" s="216"/>
      <c r="V849" s="216"/>
      <c r="W849" s="216"/>
      <c r="X849" s="216"/>
      <c r="Y849" s="216"/>
      <c r="Z849" s="216"/>
      <c r="AA849" s="216"/>
    </row>
    <row r="850" ht="15.0" customHeight="1">
      <c r="A850" s="214"/>
      <c r="B850" s="214"/>
      <c r="C850" s="214"/>
      <c r="D850" s="214"/>
      <c r="E850" s="214"/>
      <c r="F850" s="214"/>
      <c r="G850" s="214"/>
      <c r="H850" s="214"/>
      <c r="I850" s="214"/>
      <c r="J850" s="214"/>
      <c r="K850" s="214"/>
      <c r="L850" s="214"/>
      <c r="M850" s="214"/>
      <c r="N850" s="216"/>
      <c r="O850" s="216"/>
      <c r="P850" s="216"/>
      <c r="Q850" s="216"/>
      <c r="R850" s="216"/>
      <c r="S850" s="216"/>
      <c r="T850" s="216"/>
      <c r="U850" s="216"/>
      <c r="V850" s="216"/>
      <c r="W850" s="216"/>
      <c r="X850" s="216"/>
      <c r="Y850" s="216"/>
      <c r="Z850" s="216"/>
      <c r="AA850" s="216"/>
    </row>
    <row r="851" ht="15.0" customHeight="1">
      <c r="A851" s="214"/>
      <c r="B851" s="214"/>
      <c r="C851" s="214"/>
      <c r="D851" s="214"/>
      <c r="E851" s="214"/>
      <c r="F851" s="214"/>
      <c r="G851" s="214"/>
      <c r="H851" s="214"/>
      <c r="I851" s="214"/>
      <c r="J851" s="214"/>
      <c r="K851" s="214"/>
      <c r="L851" s="214"/>
      <c r="M851" s="214"/>
      <c r="N851" s="216"/>
      <c r="O851" s="216"/>
      <c r="P851" s="216"/>
      <c r="Q851" s="216"/>
      <c r="R851" s="216"/>
      <c r="S851" s="216"/>
      <c r="T851" s="216"/>
      <c r="U851" s="216"/>
      <c r="V851" s="216"/>
      <c r="W851" s="216"/>
      <c r="X851" s="216"/>
      <c r="Y851" s="216"/>
      <c r="Z851" s="216"/>
      <c r="AA851" s="216"/>
    </row>
    <row r="852" ht="15.0" customHeight="1">
      <c r="A852" s="214"/>
      <c r="B852" s="214"/>
      <c r="C852" s="214"/>
      <c r="D852" s="214"/>
      <c r="E852" s="214"/>
      <c r="F852" s="214"/>
      <c r="G852" s="214"/>
      <c r="H852" s="214"/>
      <c r="I852" s="214"/>
      <c r="J852" s="214"/>
      <c r="K852" s="214"/>
      <c r="L852" s="214"/>
      <c r="M852" s="214"/>
      <c r="N852" s="216"/>
      <c r="O852" s="216"/>
      <c r="P852" s="216"/>
      <c r="Q852" s="216"/>
      <c r="R852" s="216"/>
      <c r="S852" s="216"/>
      <c r="T852" s="216"/>
      <c r="U852" s="216"/>
      <c r="V852" s="216"/>
      <c r="W852" s="216"/>
      <c r="X852" s="216"/>
      <c r="Y852" s="216"/>
      <c r="Z852" s="216"/>
      <c r="AA852" s="216"/>
    </row>
    <row r="853" ht="15.0" customHeight="1">
      <c r="A853" s="214"/>
      <c r="B853" s="214"/>
      <c r="C853" s="214"/>
      <c r="D853" s="214"/>
      <c r="E853" s="214"/>
      <c r="F853" s="214"/>
      <c r="G853" s="214"/>
      <c r="H853" s="214"/>
      <c r="I853" s="214"/>
      <c r="J853" s="214"/>
      <c r="K853" s="214"/>
      <c r="L853" s="214"/>
      <c r="M853" s="214"/>
      <c r="N853" s="216"/>
      <c r="O853" s="216"/>
      <c r="P853" s="216"/>
      <c r="Q853" s="216"/>
      <c r="R853" s="216"/>
      <c r="S853" s="216"/>
      <c r="T853" s="216"/>
      <c r="U853" s="216"/>
      <c r="V853" s="216"/>
      <c r="W853" s="216"/>
      <c r="X853" s="216"/>
      <c r="Y853" s="216"/>
      <c r="Z853" s="216"/>
      <c r="AA853" s="216"/>
    </row>
    <row r="854" ht="15.0" customHeight="1">
      <c r="A854" s="214"/>
      <c r="B854" s="214"/>
      <c r="C854" s="214"/>
      <c r="D854" s="214"/>
      <c r="E854" s="214"/>
      <c r="F854" s="214"/>
      <c r="G854" s="214"/>
      <c r="H854" s="214"/>
      <c r="I854" s="214"/>
      <c r="J854" s="214"/>
      <c r="K854" s="214"/>
      <c r="L854" s="214"/>
      <c r="M854" s="214"/>
      <c r="N854" s="216"/>
      <c r="O854" s="216"/>
      <c r="P854" s="216"/>
      <c r="Q854" s="216"/>
      <c r="R854" s="216"/>
      <c r="S854" s="216"/>
      <c r="T854" s="216"/>
      <c r="U854" s="216"/>
      <c r="V854" s="216"/>
      <c r="W854" s="216"/>
      <c r="X854" s="216"/>
      <c r="Y854" s="216"/>
      <c r="Z854" s="216"/>
      <c r="AA854" s="216"/>
    </row>
    <row r="855" ht="15.0" customHeight="1">
      <c r="A855" s="214"/>
      <c r="B855" s="214"/>
      <c r="C855" s="214"/>
      <c r="D855" s="214"/>
      <c r="E855" s="214"/>
      <c r="F855" s="214"/>
      <c r="G855" s="214"/>
      <c r="H855" s="214"/>
      <c r="I855" s="214"/>
      <c r="J855" s="214"/>
      <c r="K855" s="214"/>
      <c r="L855" s="214"/>
      <c r="M855" s="214"/>
      <c r="N855" s="216"/>
      <c r="O855" s="216"/>
      <c r="P855" s="216"/>
      <c r="Q855" s="216"/>
      <c r="R855" s="216"/>
      <c r="S855" s="216"/>
      <c r="T855" s="216"/>
      <c r="U855" s="216"/>
      <c r="V855" s="216"/>
      <c r="W855" s="216"/>
      <c r="X855" s="216"/>
      <c r="Y855" s="216"/>
      <c r="Z855" s="216"/>
      <c r="AA855" s="216"/>
    </row>
    <row r="856" ht="15.0" customHeight="1">
      <c r="A856" s="214"/>
      <c r="B856" s="214"/>
      <c r="C856" s="214"/>
      <c r="D856" s="214"/>
      <c r="E856" s="214"/>
      <c r="F856" s="214"/>
      <c r="G856" s="214"/>
      <c r="H856" s="214"/>
      <c r="I856" s="214"/>
      <c r="J856" s="214"/>
      <c r="K856" s="214"/>
      <c r="L856" s="214"/>
      <c r="M856" s="214"/>
      <c r="N856" s="216"/>
      <c r="O856" s="216"/>
      <c r="P856" s="216"/>
      <c r="Q856" s="216"/>
      <c r="R856" s="216"/>
      <c r="S856" s="216"/>
      <c r="T856" s="216"/>
      <c r="U856" s="216"/>
      <c r="V856" s="216"/>
      <c r="W856" s="216"/>
      <c r="X856" s="216"/>
      <c r="Y856" s="216"/>
      <c r="Z856" s="216"/>
      <c r="AA856" s="216"/>
    </row>
    <row r="857" ht="15.0" customHeight="1">
      <c r="A857" s="214"/>
      <c r="B857" s="214"/>
      <c r="C857" s="214"/>
      <c r="D857" s="214"/>
      <c r="E857" s="214"/>
      <c r="F857" s="214"/>
      <c r="G857" s="214"/>
      <c r="H857" s="214"/>
      <c r="I857" s="214"/>
      <c r="J857" s="214"/>
      <c r="K857" s="214"/>
      <c r="L857" s="214"/>
      <c r="M857" s="214"/>
      <c r="N857" s="216"/>
      <c r="O857" s="216"/>
      <c r="P857" s="216"/>
      <c r="Q857" s="216"/>
      <c r="R857" s="216"/>
      <c r="S857" s="216"/>
      <c r="T857" s="216"/>
      <c r="U857" s="216"/>
      <c r="V857" s="216"/>
      <c r="W857" s="216"/>
      <c r="X857" s="216"/>
      <c r="Y857" s="216"/>
      <c r="Z857" s="216"/>
      <c r="AA857" s="216"/>
    </row>
    <row r="858" ht="15.0" customHeight="1">
      <c r="A858" s="214"/>
      <c r="B858" s="214"/>
      <c r="C858" s="214"/>
      <c r="D858" s="214"/>
      <c r="E858" s="214"/>
      <c r="F858" s="214"/>
      <c r="G858" s="214"/>
      <c r="H858" s="214"/>
      <c r="I858" s="214"/>
      <c r="J858" s="214"/>
      <c r="K858" s="214"/>
      <c r="L858" s="214"/>
      <c r="M858" s="214"/>
      <c r="N858" s="216"/>
      <c r="O858" s="216"/>
      <c r="P858" s="216"/>
      <c r="Q858" s="216"/>
      <c r="R858" s="216"/>
      <c r="S858" s="216"/>
      <c r="T858" s="216"/>
      <c r="U858" s="216"/>
      <c r="V858" s="216"/>
      <c r="W858" s="216"/>
      <c r="X858" s="216"/>
      <c r="Y858" s="216"/>
      <c r="Z858" s="216"/>
      <c r="AA858" s="216"/>
    </row>
    <row r="859" ht="15.0" customHeight="1">
      <c r="A859" s="214"/>
      <c r="B859" s="214"/>
      <c r="C859" s="214"/>
      <c r="D859" s="214"/>
      <c r="E859" s="214"/>
      <c r="F859" s="214"/>
      <c r="G859" s="214"/>
      <c r="H859" s="214"/>
      <c r="I859" s="214"/>
      <c r="J859" s="214"/>
      <c r="K859" s="214"/>
      <c r="L859" s="214"/>
      <c r="M859" s="214"/>
      <c r="N859" s="216"/>
      <c r="O859" s="216"/>
      <c r="P859" s="216"/>
      <c r="Q859" s="216"/>
      <c r="R859" s="216"/>
      <c r="S859" s="216"/>
      <c r="T859" s="216"/>
      <c r="U859" s="216"/>
      <c r="V859" s="216"/>
      <c r="W859" s="216"/>
      <c r="X859" s="216"/>
      <c r="Y859" s="216"/>
      <c r="Z859" s="216"/>
      <c r="AA859" s="216"/>
    </row>
    <row r="860" ht="15.0" customHeight="1">
      <c r="A860" s="214"/>
      <c r="B860" s="214"/>
      <c r="C860" s="214"/>
      <c r="D860" s="214"/>
      <c r="E860" s="214"/>
      <c r="F860" s="214"/>
      <c r="G860" s="214"/>
      <c r="H860" s="214"/>
      <c r="I860" s="214"/>
      <c r="J860" s="214"/>
      <c r="K860" s="214"/>
      <c r="L860" s="214"/>
      <c r="M860" s="214"/>
      <c r="N860" s="216"/>
      <c r="O860" s="216"/>
      <c r="P860" s="216"/>
      <c r="Q860" s="216"/>
      <c r="R860" s="216"/>
      <c r="S860" s="216"/>
      <c r="T860" s="216"/>
      <c r="U860" s="216"/>
      <c r="V860" s="216"/>
      <c r="W860" s="216"/>
      <c r="X860" s="216"/>
      <c r="Y860" s="216"/>
      <c r="Z860" s="216"/>
      <c r="AA860" s="216"/>
    </row>
    <row r="861" ht="15.0" customHeight="1">
      <c r="A861" s="214"/>
      <c r="B861" s="214"/>
      <c r="C861" s="214"/>
      <c r="D861" s="214"/>
      <c r="E861" s="214"/>
      <c r="F861" s="214"/>
      <c r="G861" s="214"/>
      <c r="H861" s="214"/>
      <c r="I861" s="214"/>
      <c r="J861" s="214"/>
      <c r="K861" s="214"/>
      <c r="L861" s="214"/>
      <c r="M861" s="214"/>
      <c r="N861" s="216"/>
      <c r="O861" s="216"/>
      <c r="P861" s="216"/>
      <c r="Q861" s="216"/>
      <c r="R861" s="216"/>
      <c r="S861" s="216"/>
      <c r="T861" s="216"/>
      <c r="U861" s="216"/>
      <c r="V861" s="216"/>
      <c r="W861" s="216"/>
      <c r="X861" s="216"/>
      <c r="Y861" s="216"/>
      <c r="Z861" s="216"/>
      <c r="AA861" s="216"/>
    </row>
    <row r="862" ht="15.0" customHeight="1">
      <c r="A862" s="214"/>
      <c r="B862" s="214"/>
      <c r="C862" s="214"/>
      <c r="D862" s="214"/>
      <c r="E862" s="214"/>
      <c r="F862" s="214"/>
      <c r="G862" s="214"/>
      <c r="H862" s="214"/>
      <c r="I862" s="214"/>
      <c r="J862" s="214"/>
      <c r="K862" s="214"/>
      <c r="L862" s="214"/>
      <c r="M862" s="214"/>
      <c r="N862" s="216"/>
      <c r="O862" s="216"/>
      <c r="P862" s="216"/>
      <c r="Q862" s="216"/>
      <c r="R862" s="216"/>
      <c r="S862" s="216"/>
      <c r="T862" s="216"/>
      <c r="U862" s="216"/>
      <c r="V862" s="216"/>
      <c r="W862" s="216"/>
      <c r="X862" s="216"/>
      <c r="Y862" s="216"/>
      <c r="Z862" s="216"/>
      <c r="AA862" s="216"/>
    </row>
    <row r="863" ht="15.0" customHeight="1">
      <c r="A863" s="214"/>
      <c r="B863" s="214"/>
      <c r="C863" s="214"/>
      <c r="D863" s="214"/>
      <c r="E863" s="214"/>
      <c r="F863" s="214"/>
      <c r="G863" s="214"/>
      <c r="H863" s="214"/>
      <c r="I863" s="214"/>
      <c r="J863" s="214"/>
      <c r="K863" s="214"/>
      <c r="L863" s="214"/>
      <c r="M863" s="214"/>
      <c r="N863" s="216"/>
      <c r="O863" s="216"/>
      <c r="P863" s="216"/>
      <c r="Q863" s="216"/>
      <c r="R863" s="216"/>
      <c r="S863" s="216"/>
      <c r="T863" s="216"/>
      <c r="U863" s="216"/>
      <c r="V863" s="216"/>
      <c r="W863" s="216"/>
      <c r="X863" s="216"/>
      <c r="Y863" s="216"/>
      <c r="Z863" s="216"/>
      <c r="AA863" s="216"/>
    </row>
    <row r="864" ht="15.0" customHeight="1">
      <c r="A864" s="214"/>
      <c r="B864" s="214"/>
      <c r="C864" s="214"/>
      <c r="D864" s="214"/>
      <c r="E864" s="214"/>
      <c r="F864" s="214"/>
      <c r="G864" s="214"/>
      <c r="H864" s="214"/>
      <c r="I864" s="214"/>
      <c r="J864" s="214"/>
      <c r="K864" s="214"/>
      <c r="L864" s="214"/>
      <c r="M864" s="214"/>
      <c r="N864" s="216"/>
      <c r="O864" s="216"/>
      <c r="P864" s="216"/>
      <c r="Q864" s="216"/>
      <c r="R864" s="216"/>
      <c r="S864" s="216"/>
      <c r="T864" s="216"/>
      <c r="U864" s="216"/>
      <c r="V864" s="216"/>
      <c r="W864" s="216"/>
      <c r="X864" s="216"/>
      <c r="Y864" s="216"/>
      <c r="Z864" s="216"/>
      <c r="AA864" s="216"/>
    </row>
    <row r="865" ht="15.0" customHeight="1">
      <c r="A865" s="214"/>
      <c r="B865" s="214"/>
      <c r="C865" s="214"/>
      <c r="D865" s="214"/>
      <c r="E865" s="214"/>
      <c r="F865" s="214"/>
      <c r="G865" s="214"/>
      <c r="H865" s="214"/>
      <c r="I865" s="214"/>
      <c r="J865" s="214"/>
      <c r="K865" s="214"/>
      <c r="L865" s="214"/>
      <c r="M865" s="214"/>
      <c r="N865" s="216"/>
      <c r="O865" s="216"/>
      <c r="P865" s="216"/>
      <c r="Q865" s="216"/>
      <c r="R865" s="216"/>
      <c r="S865" s="216"/>
      <c r="T865" s="216"/>
      <c r="U865" s="216"/>
      <c r="V865" s="216"/>
      <c r="W865" s="216"/>
      <c r="X865" s="216"/>
      <c r="Y865" s="216"/>
      <c r="Z865" s="216"/>
      <c r="AA865" s="216"/>
    </row>
    <row r="866" ht="15.0" customHeight="1">
      <c r="A866" s="214"/>
      <c r="B866" s="214"/>
      <c r="C866" s="214"/>
      <c r="D866" s="214"/>
      <c r="E866" s="214"/>
      <c r="F866" s="214"/>
      <c r="G866" s="214"/>
      <c r="H866" s="214"/>
      <c r="I866" s="214"/>
      <c r="J866" s="214"/>
      <c r="K866" s="214"/>
      <c r="L866" s="214"/>
      <c r="M866" s="214"/>
      <c r="N866" s="216"/>
      <c r="O866" s="216"/>
      <c r="P866" s="216"/>
      <c r="Q866" s="216"/>
      <c r="R866" s="216"/>
      <c r="S866" s="216"/>
      <c r="T866" s="216"/>
      <c r="U866" s="216"/>
      <c r="V866" s="216"/>
      <c r="W866" s="216"/>
      <c r="X866" s="216"/>
      <c r="Y866" s="216"/>
      <c r="Z866" s="216"/>
      <c r="AA866" s="216"/>
    </row>
    <row r="867" ht="15.0" customHeight="1">
      <c r="A867" s="214"/>
      <c r="B867" s="214"/>
      <c r="C867" s="214"/>
      <c r="D867" s="214"/>
      <c r="E867" s="214"/>
      <c r="F867" s="214"/>
      <c r="G867" s="214"/>
      <c r="H867" s="214"/>
      <c r="I867" s="214"/>
      <c r="J867" s="214"/>
      <c r="K867" s="214"/>
      <c r="L867" s="214"/>
      <c r="M867" s="214"/>
      <c r="N867" s="216"/>
      <c r="O867" s="216"/>
      <c r="P867" s="216"/>
      <c r="Q867" s="216"/>
      <c r="R867" s="216"/>
      <c r="S867" s="216"/>
      <c r="T867" s="216"/>
      <c r="U867" s="216"/>
      <c r="V867" s="216"/>
      <c r="W867" s="216"/>
      <c r="X867" s="216"/>
      <c r="Y867" s="216"/>
      <c r="Z867" s="216"/>
      <c r="AA867" s="216"/>
    </row>
    <row r="868" ht="15.0" customHeight="1">
      <c r="A868" s="214"/>
      <c r="B868" s="214"/>
      <c r="C868" s="214"/>
      <c r="D868" s="214"/>
      <c r="E868" s="214"/>
      <c r="F868" s="214"/>
      <c r="G868" s="214"/>
      <c r="H868" s="214"/>
      <c r="I868" s="214"/>
      <c r="J868" s="214"/>
      <c r="K868" s="214"/>
      <c r="L868" s="214"/>
      <c r="M868" s="214"/>
      <c r="N868" s="216"/>
      <c r="O868" s="216"/>
      <c r="P868" s="216"/>
      <c r="Q868" s="216"/>
      <c r="R868" s="216"/>
      <c r="S868" s="216"/>
      <c r="T868" s="216"/>
      <c r="U868" s="216"/>
      <c r="V868" s="216"/>
      <c r="W868" s="216"/>
      <c r="X868" s="216"/>
      <c r="Y868" s="216"/>
      <c r="Z868" s="216"/>
      <c r="AA868" s="216"/>
    </row>
    <row r="869" ht="15.0" customHeight="1">
      <c r="A869" s="214"/>
      <c r="B869" s="214"/>
      <c r="C869" s="214"/>
      <c r="D869" s="214"/>
      <c r="E869" s="214"/>
      <c r="F869" s="214"/>
      <c r="G869" s="214"/>
      <c r="H869" s="214"/>
      <c r="I869" s="214"/>
      <c r="J869" s="214"/>
      <c r="K869" s="214"/>
      <c r="L869" s="214"/>
      <c r="M869" s="214"/>
      <c r="N869" s="216"/>
      <c r="O869" s="216"/>
      <c r="P869" s="216"/>
      <c r="Q869" s="216"/>
      <c r="R869" s="216"/>
      <c r="S869" s="216"/>
      <c r="T869" s="216"/>
      <c r="U869" s="216"/>
      <c r="V869" s="216"/>
      <c r="W869" s="216"/>
      <c r="X869" s="216"/>
      <c r="Y869" s="216"/>
      <c r="Z869" s="216"/>
      <c r="AA869" s="216"/>
    </row>
    <row r="870" ht="15.0" customHeight="1">
      <c r="A870" s="214"/>
      <c r="B870" s="214"/>
      <c r="C870" s="214"/>
      <c r="D870" s="214"/>
      <c r="E870" s="214"/>
      <c r="F870" s="214"/>
      <c r="G870" s="214"/>
      <c r="H870" s="214"/>
      <c r="I870" s="214"/>
      <c r="J870" s="214"/>
      <c r="K870" s="214"/>
      <c r="L870" s="214"/>
      <c r="M870" s="214"/>
      <c r="N870" s="216"/>
      <c r="O870" s="216"/>
      <c r="P870" s="216"/>
      <c r="Q870" s="216"/>
      <c r="R870" s="216"/>
      <c r="S870" s="216"/>
      <c r="T870" s="216"/>
      <c r="U870" s="216"/>
      <c r="V870" s="216"/>
      <c r="W870" s="216"/>
      <c r="X870" s="216"/>
      <c r="Y870" s="216"/>
      <c r="Z870" s="216"/>
      <c r="AA870" s="216"/>
    </row>
    <row r="871" ht="15.0" customHeight="1">
      <c r="A871" s="214"/>
      <c r="B871" s="214"/>
      <c r="C871" s="214"/>
      <c r="D871" s="214"/>
      <c r="E871" s="214"/>
      <c r="F871" s="214"/>
      <c r="G871" s="214"/>
      <c r="H871" s="214"/>
      <c r="I871" s="214"/>
      <c r="J871" s="214"/>
      <c r="K871" s="214"/>
      <c r="L871" s="214"/>
      <c r="M871" s="214"/>
      <c r="N871" s="216"/>
      <c r="O871" s="216"/>
      <c r="P871" s="216"/>
      <c r="Q871" s="216"/>
      <c r="R871" s="216"/>
      <c r="S871" s="216"/>
      <c r="T871" s="216"/>
      <c r="U871" s="216"/>
      <c r="V871" s="216"/>
      <c r="W871" s="216"/>
      <c r="X871" s="216"/>
      <c r="Y871" s="216"/>
      <c r="Z871" s="216"/>
      <c r="AA871" s="216"/>
    </row>
    <row r="872" ht="15.0" customHeight="1">
      <c r="A872" s="214"/>
      <c r="B872" s="214"/>
      <c r="C872" s="214"/>
      <c r="D872" s="214"/>
      <c r="E872" s="214"/>
      <c r="F872" s="214"/>
      <c r="G872" s="214"/>
      <c r="H872" s="214"/>
      <c r="I872" s="214"/>
      <c r="J872" s="214"/>
      <c r="K872" s="214"/>
      <c r="L872" s="214"/>
      <c r="M872" s="214"/>
      <c r="N872" s="216"/>
      <c r="O872" s="216"/>
      <c r="P872" s="216"/>
      <c r="Q872" s="216"/>
      <c r="R872" s="216"/>
      <c r="S872" s="216"/>
      <c r="T872" s="216"/>
      <c r="U872" s="216"/>
      <c r="V872" s="216"/>
      <c r="W872" s="216"/>
      <c r="X872" s="216"/>
      <c r="Y872" s="216"/>
      <c r="Z872" s="216"/>
      <c r="AA872" s="216"/>
    </row>
    <row r="873" ht="15.0" customHeight="1">
      <c r="A873" s="214"/>
      <c r="B873" s="214"/>
      <c r="C873" s="214"/>
      <c r="D873" s="214"/>
      <c r="E873" s="214"/>
      <c r="F873" s="214"/>
      <c r="G873" s="214"/>
      <c r="H873" s="214"/>
      <c r="I873" s="214"/>
      <c r="J873" s="214"/>
      <c r="K873" s="214"/>
      <c r="L873" s="214"/>
      <c r="M873" s="214"/>
      <c r="N873" s="216"/>
      <c r="O873" s="216"/>
      <c r="P873" s="216"/>
      <c r="Q873" s="216"/>
      <c r="R873" s="216"/>
      <c r="S873" s="216"/>
      <c r="T873" s="216"/>
      <c r="U873" s="216"/>
      <c r="V873" s="216"/>
      <c r="W873" s="216"/>
      <c r="X873" s="216"/>
      <c r="Y873" s="216"/>
      <c r="Z873" s="216"/>
      <c r="AA873" s="216"/>
    </row>
    <row r="874" ht="15.0" customHeight="1">
      <c r="A874" s="214"/>
      <c r="B874" s="214"/>
      <c r="C874" s="214"/>
      <c r="D874" s="214"/>
      <c r="E874" s="214"/>
      <c r="F874" s="214"/>
      <c r="G874" s="214"/>
      <c r="H874" s="214"/>
      <c r="I874" s="214"/>
      <c r="J874" s="214"/>
      <c r="K874" s="214"/>
      <c r="L874" s="214"/>
      <c r="M874" s="214"/>
      <c r="N874" s="216"/>
      <c r="O874" s="216"/>
      <c r="P874" s="216"/>
      <c r="Q874" s="216"/>
      <c r="R874" s="216"/>
      <c r="S874" s="216"/>
      <c r="T874" s="216"/>
      <c r="U874" s="216"/>
      <c r="V874" s="216"/>
      <c r="W874" s="216"/>
      <c r="X874" s="216"/>
      <c r="Y874" s="216"/>
      <c r="Z874" s="216"/>
      <c r="AA874" s="216"/>
    </row>
    <row r="875" ht="15.0" customHeight="1">
      <c r="A875" s="214"/>
      <c r="B875" s="214"/>
      <c r="C875" s="214"/>
      <c r="D875" s="214"/>
      <c r="E875" s="214"/>
      <c r="F875" s="214"/>
      <c r="G875" s="214"/>
      <c r="H875" s="214"/>
      <c r="I875" s="214"/>
      <c r="J875" s="214"/>
      <c r="K875" s="214"/>
      <c r="L875" s="214"/>
      <c r="M875" s="214"/>
      <c r="N875" s="216"/>
      <c r="O875" s="216"/>
      <c r="P875" s="216"/>
      <c r="Q875" s="216"/>
      <c r="R875" s="216"/>
      <c r="S875" s="216"/>
      <c r="T875" s="216"/>
      <c r="U875" s="216"/>
      <c r="V875" s="216"/>
      <c r="W875" s="216"/>
      <c r="X875" s="216"/>
      <c r="Y875" s="216"/>
      <c r="Z875" s="216"/>
      <c r="AA875" s="216"/>
    </row>
    <row r="876" ht="15.0" customHeight="1">
      <c r="A876" s="214"/>
      <c r="B876" s="214"/>
      <c r="C876" s="214"/>
      <c r="D876" s="214"/>
      <c r="E876" s="214"/>
      <c r="F876" s="214"/>
      <c r="G876" s="214"/>
      <c r="H876" s="214"/>
      <c r="I876" s="214"/>
      <c r="J876" s="214"/>
      <c r="K876" s="214"/>
      <c r="L876" s="214"/>
      <c r="M876" s="214"/>
      <c r="N876" s="216"/>
      <c r="O876" s="216"/>
      <c r="P876" s="216"/>
      <c r="Q876" s="216"/>
      <c r="R876" s="216"/>
      <c r="S876" s="216"/>
      <c r="T876" s="216"/>
      <c r="U876" s="216"/>
      <c r="V876" s="216"/>
      <c r="W876" s="216"/>
      <c r="X876" s="216"/>
      <c r="Y876" s="216"/>
      <c r="Z876" s="216"/>
      <c r="AA876" s="216"/>
    </row>
    <row r="877" ht="15.0" customHeight="1">
      <c r="A877" s="214"/>
      <c r="B877" s="214"/>
      <c r="C877" s="214"/>
      <c r="D877" s="214"/>
      <c r="E877" s="214"/>
      <c r="F877" s="214"/>
      <c r="G877" s="214"/>
      <c r="H877" s="214"/>
      <c r="I877" s="214"/>
      <c r="J877" s="214"/>
      <c r="K877" s="214"/>
      <c r="L877" s="214"/>
      <c r="M877" s="214"/>
      <c r="N877" s="216"/>
      <c r="O877" s="216"/>
      <c r="P877" s="216"/>
      <c r="Q877" s="216"/>
      <c r="R877" s="216"/>
      <c r="S877" s="216"/>
      <c r="T877" s="216"/>
      <c r="U877" s="216"/>
      <c r="V877" s="216"/>
      <c r="W877" s="216"/>
      <c r="X877" s="216"/>
      <c r="Y877" s="216"/>
      <c r="Z877" s="216"/>
      <c r="AA877" s="216"/>
    </row>
    <row r="878" ht="15.0" customHeight="1">
      <c r="A878" s="214"/>
      <c r="B878" s="214"/>
      <c r="C878" s="214"/>
      <c r="D878" s="214"/>
      <c r="E878" s="214"/>
      <c r="F878" s="214"/>
      <c r="G878" s="214"/>
      <c r="H878" s="214"/>
      <c r="I878" s="214"/>
      <c r="J878" s="214"/>
      <c r="K878" s="214"/>
      <c r="L878" s="214"/>
      <c r="M878" s="214"/>
      <c r="N878" s="216"/>
      <c r="O878" s="216"/>
      <c r="P878" s="216"/>
      <c r="Q878" s="216"/>
      <c r="R878" s="216"/>
      <c r="S878" s="216"/>
      <c r="T878" s="216"/>
      <c r="U878" s="216"/>
      <c r="V878" s="216"/>
      <c r="W878" s="216"/>
      <c r="X878" s="216"/>
      <c r="Y878" s="216"/>
      <c r="Z878" s="216"/>
      <c r="AA878" s="216"/>
    </row>
    <row r="879" ht="15.0" customHeight="1">
      <c r="A879" s="214"/>
      <c r="B879" s="214"/>
      <c r="C879" s="214"/>
      <c r="D879" s="214"/>
      <c r="E879" s="214"/>
      <c r="F879" s="214"/>
      <c r="G879" s="214"/>
      <c r="H879" s="214"/>
      <c r="I879" s="214"/>
      <c r="J879" s="214"/>
      <c r="K879" s="214"/>
      <c r="L879" s="214"/>
      <c r="M879" s="214"/>
      <c r="N879" s="216"/>
      <c r="O879" s="216"/>
      <c r="P879" s="216"/>
      <c r="Q879" s="216"/>
      <c r="R879" s="216"/>
      <c r="S879" s="216"/>
      <c r="T879" s="216"/>
      <c r="U879" s="216"/>
      <c r="V879" s="216"/>
      <c r="W879" s="216"/>
      <c r="X879" s="216"/>
      <c r="Y879" s="216"/>
      <c r="Z879" s="216"/>
      <c r="AA879" s="216"/>
    </row>
    <row r="880" ht="15.0" customHeight="1">
      <c r="A880" s="214"/>
      <c r="B880" s="214"/>
      <c r="C880" s="214"/>
      <c r="D880" s="214"/>
      <c r="E880" s="214"/>
      <c r="F880" s="214"/>
      <c r="G880" s="214"/>
      <c r="H880" s="214"/>
      <c r="I880" s="214"/>
      <c r="J880" s="214"/>
      <c r="K880" s="214"/>
      <c r="L880" s="214"/>
      <c r="M880" s="214"/>
      <c r="N880" s="216"/>
      <c r="O880" s="216"/>
      <c r="P880" s="216"/>
      <c r="Q880" s="216"/>
      <c r="R880" s="216"/>
      <c r="S880" s="216"/>
      <c r="T880" s="216"/>
      <c r="U880" s="216"/>
      <c r="V880" s="216"/>
      <c r="W880" s="216"/>
      <c r="X880" s="216"/>
      <c r="Y880" s="216"/>
      <c r="Z880" s="216"/>
      <c r="AA880" s="216"/>
    </row>
    <row r="881" ht="15.0" customHeight="1">
      <c r="A881" s="214"/>
      <c r="B881" s="214"/>
      <c r="C881" s="214"/>
      <c r="D881" s="214"/>
      <c r="E881" s="214"/>
      <c r="F881" s="214"/>
      <c r="G881" s="214"/>
      <c r="H881" s="214"/>
      <c r="I881" s="214"/>
      <c r="J881" s="214"/>
      <c r="K881" s="214"/>
      <c r="L881" s="214"/>
      <c r="M881" s="214"/>
      <c r="N881" s="216"/>
      <c r="O881" s="216"/>
      <c r="P881" s="216"/>
      <c r="Q881" s="216"/>
      <c r="R881" s="216"/>
      <c r="S881" s="216"/>
      <c r="T881" s="216"/>
      <c r="U881" s="216"/>
      <c r="V881" s="216"/>
      <c r="W881" s="216"/>
      <c r="X881" s="216"/>
      <c r="Y881" s="216"/>
      <c r="Z881" s="216"/>
      <c r="AA881" s="216"/>
    </row>
    <row r="882" ht="15.0" customHeight="1">
      <c r="A882" s="214"/>
      <c r="B882" s="214"/>
      <c r="C882" s="214"/>
      <c r="D882" s="214"/>
      <c r="E882" s="214"/>
      <c r="F882" s="214"/>
      <c r="G882" s="214"/>
      <c r="H882" s="214"/>
      <c r="I882" s="214"/>
      <c r="J882" s="214"/>
      <c r="K882" s="214"/>
      <c r="L882" s="214"/>
      <c r="M882" s="214"/>
      <c r="N882" s="216"/>
      <c r="O882" s="216"/>
      <c r="P882" s="216"/>
      <c r="Q882" s="216"/>
      <c r="R882" s="216"/>
      <c r="S882" s="216"/>
      <c r="T882" s="216"/>
      <c r="U882" s="216"/>
      <c r="V882" s="216"/>
      <c r="W882" s="216"/>
      <c r="X882" s="216"/>
      <c r="Y882" s="216"/>
      <c r="Z882" s="216"/>
      <c r="AA882" s="216"/>
    </row>
    <row r="883" ht="15.0" customHeight="1">
      <c r="A883" s="214"/>
      <c r="B883" s="214"/>
      <c r="C883" s="214"/>
      <c r="D883" s="214"/>
      <c r="E883" s="214"/>
      <c r="F883" s="214"/>
      <c r="G883" s="214"/>
      <c r="H883" s="214"/>
      <c r="I883" s="214"/>
      <c r="J883" s="214"/>
      <c r="K883" s="214"/>
      <c r="L883" s="214"/>
      <c r="M883" s="214"/>
      <c r="N883" s="216"/>
      <c r="O883" s="216"/>
      <c r="P883" s="216"/>
      <c r="Q883" s="216"/>
      <c r="R883" s="216"/>
      <c r="S883" s="216"/>
      <c r="T883" s="216"/>
      <c r="U883" s="216"/>
      <c r="V883" s="216"/>
      <c r="W883" s="216"/>
      <c r="X883" s="216"/>
      <c r="Y883" s="216"/>
      <c r="Z883" s="216"/>
      <c r="AA883" s="216"/>
    </row>
    <row r="884" ht="15.0" customHeight="1">
      <c r="A884" s="214"/>
      <c r="B884" s="214"/>
      <c r="C884" s="214"/>
      <c r="D884" s="214"/>
      <c r="E884" s="214"/>
      <c r="F884" s="214"/>
      <c r="G884" s="214"/>
      <c r="H884" s="214"/>
      <c r="I884" s="214"/>
      <c r="J884" s="214"/>
      <c r="K884" s="214"/>
      <c r="L884" s="214"/>
      <c r="M884" s="214"/>
      <c r="N884" s="216"/>
      <c r="O884" s="216"/>
      <c r="P884" s="216"/>
      <c r="Q884" s="216"/>
      <c r="R884" s="216"/>
      <c r="S884" s="216"/>
      <c r="T884" s="216"/>
      <c r="U884" s="216"/>
      <c r="V884" s="216"/>
      <c r="W884" s="216"/>
      <c r="X884" s="216"/>
      <c r="Y884" s="216"/>
      <c r="Z884" s="216"/>
      <c r="AA884" s="216"/>
    </row>
    <row r="885" ht="15.0" customHeight="1">
      <c r="A885" s="214"/>
      <c r="B885" s="214"/>
      <c r="C885" s="214"/>
      <c r="D885" s="214"/>
      <c r="E885" s="214"/>
      <c r="F885" s="214"/>
      <c r="G885" s="214"/>
      <c r="H885" s="214"/>
      <c r="I885" s="214"/>
      <c r="J885" s="214"/>
      <c r="K885" s="214"/>
      <c r="L885" s="214"/>
      <c r="M885" s="214"/>
      <c r="N885" s="216"/>
      <c r="O885" s="216"/>
      <c r="P885" s="216"/>
      <c r="Q885" s="216"/>
      <c r="R885" s="216"/>
      <c r="S885" s="216"/>
      <c r="T885" s="216"/>
      <c r="U885" s="216"/>
      <c r="V885" s="216"/>
      <c r="W885" s="216"/>
      <c r="X885" s="216"/>
      <c r="Y885" s="216"/>
      <c r="Z885" s="216"/>
      <c r="AA885" s="216"/>
    </row>
    <row r="886" ht="15.0" customHeight="1">
      <c r="A886" s="214"/>
      <c r="B886" s="214"/>
      <c r="C886" s="214"/>
      <c r="D886" s="214"/>
      <c r="E886" s="214"/>
      <c r="F886" s="214"/>
      <c r="G886" s="214"/>
      <c r="H886" s="214"/>
      <c r="I886" s="214"/>
      <c r="J886" s="214"/>
      <c r="K886" s="214"/>
      <c r="L886" s="214"/>
      <c r="M886" s="214"/>
      <c r="N886" s="216"/>
      <c r="O886" s="216"/>
      <c r="P886" s="216"/>
      <c r="Q886" s="216"/>
      <c r="R886" s="216"/>
      <c r="S886" s="216"/>
      <c r="T886" s="216"/>
      <c r="U886" s="216"/>
      <c r="V886" s="216"/>
      <c r="W886" s="216"/>
      <c r="X886" s="216"/>
      <c r="Y886" s="216"/>
      <c r="Z886" s="216"/>
      <c r="AA886" s="216"/>
    </row>
    <row r="887" ht="15.0" customHeight="1">
      <c r="A887" s="214"/>
      <c r="B887" s="214"/>
      <c r="C887" s="214"/>
      <c r="D887" s="214"/>
      <c r="E887" s="214"/>
      <c r="F887" s="214"/>
      <c r="G887" s="214"/>
      <c r="H887" s="214"/>
      <c r="I887" s="214"/>
      <c r="J887" s="214"/>
      <c r="K887" s="214"/>
      <c r="L887" s="214"/>
      <c r="M887" s="214"/>
      <c r="N887" s="216"/>
      <c r="O887" s="216"/>
      <c r="P887" s="216"/>
      <c r="Q887" s="216"/>
      <c r="R887" s="216"/>
      <c r="S887" s="216"/>
      <c r="T887" s="216"/>
      <c r="U887" s="216"/>
      <c r="V887" s="216"/>
      <c r="W887" s="216"/>
      <c r="X887" s="216"/>
      <c r="Y887" s="216"/>
      <c r="Z887" s="216"/>
      <c r="AA887" s="216"/>
    </row>
    <row r="888" ht="15.0" customHeight="1">
      <c r="A888" s="214"/>
      <c r="B888" s="214"/>
      <c r="C888" s="214"/>
      <c r="D888" s="214"/>
      <c r="E888" s="214"/>
      <c r="F888" s="214"/>
      <c r="G888" s="214"/>
      <c r="H888" s="214"/>
      <c r="I888" s="214"/>
      <c r="J888" s="214"/>
      <c r="K888" s="214"/>
      <c r="L888" s="214"/>
      <c r="M888" s="214"/>
      <c r="N888" s="216"/>
      <c r="O888" s="216"/>
      <c r="P888" s="216"/>
      <c r="Q888" s="216"/>
      <c r="R888" s="216"/>
      <c r="S888" s="216"/>
      <c r="T888" s="216"/>
      <c r="U888" s="216"/>
      <c r="V888" s="216"/>
      <c r="W888" s="216"/>
      <c r="X888" s="216"/>
      <c r="Y888" s="216"/>
      <c r="Z888" s="216"/>
      <c r="AA888" s="216"/>
    </row>
    <row r="889" ht="15.0" customHeight="1">
      <c r="A889" s="214"/>
      <c r="B889" s="214"/>
      <c r="C889" s="214"/>
      <c r="D889" s="214"/>
      <c r="E889" s="214"/>
      <c r="F889" s="214"/>
      <c r="G889" s="214"/>
      <c r="H889" s="214"/>
      <c r="I889" s="214"/>
      <c r="J889" s="214"/>
      <c r="K889" s="214"/>
      <c r="L889" s="214"/>
      <c r="M889" s="214"/>
      <c r="N889" s="216"/>
      <c r="O889" s="216"/>
      <c r="P889" s="216"/>
      <c r="Q889" s="216"/>
      <c r="R889" s="216"/>
      <c r="S889" s="216"/>
      <c r="T889" s="216"/>
      <c r="U889" s="216"/>
      <c r="V889" s="216"/>
      <c r="W889" s="216"/>
      <c r="X889" s="216"/>
      <c r="Y889" s="216"/>
      <c r="Z889" s="216"/>
      <c r="AA889" s="216"/>
    </row>
    <row r="890" ht="15.0" customHeight="1">
      <c r="A890" s="214"/>
      <c r="B890" s="214"/>
      <c r="C890" s="214"/>
      <c r="D890" s="214"/>
      <c r="E890" s="214"/>
      <c r="F890" s="214"/>
      <c r="G890" s="214"/>
      <c r="H890" s="214"/>
      <c r="I890" s="214"/>
      <c r="J890" s="214"/>
      <c r="K890" s="214"/>
      <c r="L890" s="214"/>
      <c r="M890" s="214"/>
      <c r="N890" s="216"/>
      <c r="O890" s="216"/>
      <c r="P890" s="216"/>
      <c r="Q890" s="216"/>
      <c r="R890" s="216"/>
      <c r="S890" s="216"/>
      <c r="T890" s="216"/>
      <c r="U890" s="216"/>
      <c r="V890" s="216"/>
      <c r="W890" s="216"/>
      <c r="X890" s="216"/>
      <c r="Y890" s="216"/>
      <c r="Z890" s="216"/>
      <c r="AA890" s="216"/>
    </row>
    <row r="891" ht="15.0" customHeight="1">
      <c r="A891" s="214"/>
      <c r="B891" s="214"/>
      <c r="C891" s="214"/>
      <c r="D891" s="214"/>
      <c r="E891" s="214"/>
      <c r="F891" s="214"/>
      <c r="G891" s="214"/>
      <c r="H891" s="214"/>
      <c r="I891" s="214"/>
      <c r="J891" s="214"/>
      <c r="K891" s="214"/>
      <c r="L891" s="214"/>
      <c r="M891" s="214"/>
      <c r="N891" s="216"/>
      <c r="O891" s="216"/>
      <c r="P891" s="216"/>
      <c r="Q891" s="216"/>
      <c r="R891" s="216"/>
      <c r="S891" s="216"/>
      <c r="T891" s="216"/>
      <c r="U891" s="216"/>
      <c r="V891" s="216"/>
      <c r="W891" s="216"/>
      <c r="X891" s="216"/>
      <c r="Y891" s="216"/>
      <c r="Z891" s="216"/>
      <c r="AA891" s="216"/>
    </row>
    <row r="892" ht="15.0" customHeight="1">
      <c r="A892" s="214"/>
      <c r="B892" s="214"/>
      <c r="C892" s="214"/>
      <c r="D892" s="214"/>
      <c r="E892" s="214"/>
      <c r="F892" s="214"/>
      <c r="G892" s="214"/>
      <c r="H892" s="214"/>
      <c r="I892" s="214"/>
      <c r="J892" s="214"/>
      <c r="K892" s="214"/>
      <c r="L892" s="214"/>
      <c r="M892" s="214"/>
      <c r="N892" s="216"/>
      <c r="O892" s="216"/>
      <c r="P892" s="216"/>
      <c r="Q892" s="216"/>
      <c r="R892" s="216"/>
      <c r="S892" s="216"/>
      <c r="T892" s="216"/>
      <c r="U892" s="216"/>
      <c r="V892" s="216"/>
      <c r="W892" s="216"/>
      <c r="X892" s="216"/>
      <c r="Y892" s="216"/>
      <c r="Z892" s="216"/>
      <c r="AA892" s="216"/>
    </row>
    <row r="893" ht="15.0" customHeight="1">
      <c r="A893" s="214"/>
      <c r="B893" s="214"/>
      <c r="C893" s="214"/>
      <c r="D893" s="214"/>
      <c r="E893" s="214"/>
      <c r="F893" s="214"/>
      <c r="G893" s="214"/>
      <c r="H893" s="214"/>
      <c r="I893" s="214"/>
      <c r="J893" s="214"/>
      <c r="K893" s="214"/>
      <c r="L893" s="214"/>
      <c r="M893" s="214"/>
      <c r="N893" s="216"/>
      <c r="O893" s="216"/>
      <c r="P893" s="216"/>
      <c r="Q893" s="216"/>
      <c r="R893" s="216"/>
      <c r="S893" s="216"/>
      <c r="T893" s="216"/>
      <c r="U893" s="216"/>
      <c r="V893" s="216"/>
      <c r="W893" s="216"/>
      <c r="X893" s="216"/>
      <c r="Y893" s="216"/>
      <c r="Z893" s="216"/>
      <c r="AA893" s="216"/>
    </row>
    <row r="894" ht="15.0" customHeight="1">
      <c r="A894" s="214"/>
      <c r="B894" s="214"/>
      <c r="C894" s="214"/>
      <c r="D894" s="214"/>
      <c r="E894" s="214"/>
      <c r="F894" s="214"/>
      <c r="G894" s="214"/>
      <c r="H894" s="214"/>
      <c r="I894" s="214"/>
      <c r="J894" s="214"/>
      <c r="K894" s="214"/>
      <c r="L894" s="214"/>
      <c r="M894" s="214"/>
      <c r="N894" s="216"/>
      <c r="O894" s="216"/>
      <c r="P894" s="216"/>
      <c r="Q894" s="216"/>
      <c r="R894" s="216"/>
      <c r="S894" s="216"/>
      <c r="T894" s="216"/>
      <c r="U894" s="216"/>
      <c r="V894" s="216"/>
      <c r="W894" s="216"/>
      <c r="X894" s="216"/>
      <c r="Y894" s="216"/>
      <c r="Z894" s="216"/>
      <c r="AA894" s="216"/>
    </row>
    <row r="895" ht="15.0" customHeight="1">
      <c r="A895" s="214"/>
      <c r="B895" s="214"/>
      <c r="C895" s="214"/>
      <c r="D895" s="214"/>
      <c r="E895" s="214"/>
      <c r="F895" s="214"/>
      <c r="G895" s="214"/>
      <c r="H895" s="214"/>
      <c r="I895" s="214"/>
      <c r="J895" s="214"/>
      <c r="K895" s="214"/>
      <c r="L895" s="214"/>
      <c r="M895" s="214"/>
      <c r="N895" s="216"/>
      <c r="O895" s="216"/>
      <c r="P895" s="216"/>
      <c r="Q895" s="216"/>
      <c r="R895" s="216"/>
      <c r="S895" s="216"/>
      <c r="T895" s="216"/>
      <c r="U895" s="216"/>
      <c r="V895" s="216"/>
      <c r="W895" s="216"/>
      <c r="X895" s="216"/>
      <c r="Y895" s="216"/>
      <c r="Z895" s="216"/>
      <c r="AA895" s="216"/>
    </row>
    <row r="896" ht="15.0" customHeight="1">
      <c r="A896" s="214"/>
      <c r="B896" s="214"/>
      <c r="C896" s="214"/>
      <c r="D896" s="214"/>
      <c r="E896" s="214"/>
      <c r="F896" s="214"/>
      <c r="G896" s="214"/>
      <c r="H896" s="214"/>
      <c r="I896" s="214"/>
      <c r="J896" s="214"/>
      <c r="K896" s="214"/>
      <c r="L896" s="214"/>
      <c r="M896" s="214"/>
      <c r="N896" s="216"/>
      <c r="O896" s="216"/>
      <c r="P896" s="216"/>
      <c r="Q896" s="216"/>
      <c r="R896" s="216"/>
      <c r="S896" s="216"/>
      <c r="T896" s="216"/>
      <c r="U896" s="216"/>
      <c r="V896" s="216"/>
      <c r="W896" s="216"/>
      <c r="X896" s="216"/>
      <c r="Y896" s="216"/>
      <c r="Z896" s="216"/>
      <c r="AA896" s="216"/>
    </row>
    <row r="897" ht="15.0" customHeight="1">
      <c r="A897" s="214"/>
      <c r="B897" s="214"/>
      <c r="C897" s="214"/>
      <c r="D897" s="214"/>
      <c r="E897" s="214"/>
      <c r="F897" s="214"/>
      <c r="G897" s="214"/>
      <c r="H897" s="214"/>
      <c r="I897" s="214"/>
      <c r="J897" s="214"/>
      <c r="K897" s="214"/>
      <c r="L897" s="214"/>
      <c r="M897" s="214"/>
      <c r="N897" s="216"/>
      <c r="O897" s="216"/>
      <c r="P897" s="216"/>
      <c r="Q897" s="216"/>
      <c r="R897" s="216"/>
      <c r="S897" s="216"/>
      <c r="T897" s="216"/>
      <c r="U897" s="216"/>
      <c r="V897" s="216"/>
      <c r="W897" s="216"/>
      <c r="X897" s="216"/>
      <c r="Y897" s="216"/>
      <c r="Z897" s="216"/>
      <c r="AA897" s="216"/>
    </row>
    <row r="898" ht="15.0" customHeight="1">
      <c r="A898" s="214"/>
      <c r="B898" s="214"/>
      <c r="C898" s="214"/>
      <c r="D898" s="214"/>
      <c r="E898" s="214"/>
      <c r="F898" s="214"/>
      <c r="G898" s="214"/>
      <c r="H898" s="214"/>
      <c r="I898" s="214"/>
      <c r="J898" s="214"/>
      <c r="K898" s="214"/>
      <c r="L898" s="214"/>
      <c r="M898" s="214"/>
      <c r="N898" s="216"/>
      <c r="O898" s="216"/>
      <c r="P898" s="216"/>
      <c r="Q898" s="216"/>
      <c r="R898" s="216"/>
      <c r="S898" s="216"/>
      <c r="T898" s="216"/>
      <c r="U898" s="216"/>
      <c r="V898" s="216"/>
      <c r="W898" s="216"/>
      <c r="X898" s="216"/>
      <c r="Y898" s="216"/>
      <c r="Z898" s="216"/>
      <c r="AA898" s="216"/>
    </row>
    <row r="899" ht="15.0" customHeight="1">
      <c r="A899" s="214"/>
      <c r="B899" s="214"/>
      <c r="C899" s="214"/>
      <c r="D899" s="214"/>
      <c r="E899" s="214"/>
      <c r="F899" s="214"/>
      <c r="G899" s="214"/>
      <c r="H899" s="214"/>
      <c r="I899" s="214"/>
      <c r="J899" s="214"/>
      <c r="K899" s="214"/>
      <c r="L899" s="214"/>
      <c r="M899" s="214"/>
      <c r="N899" s="216"/>
      <c r="O899" s="216"/>
      <c r="P899" s="216"/>
      <c r="Q899" s="216"/>
      <c r="R899" s="216"/>
      <c r="S899" s="216"/>
      <c r="T899" s="216"/>
      <c r="U899" s="216"/>
      <c r="V899" s="216"/>
      <c r="W899" s="216"/>
      <c r="X899" s="216"/>
      <c r="Y899" s="216"/>
      <c r="Z899" s="216"/>
      <c r="AA899" s="216"/>
    </row>
    <row r="900" ht="15.0" customHeight="1">
      <c r="A900" s="214"/>
      <c r="B900" s="214"/>
      <c r="C900" s="214"/>
      <c r="D900" s="214"/>
      <c r="E900" s="214"/>
      <c r="F900" s="214"/>
      <c r="G900" s="214"/>
      <c r="H900" s="214"/>
      <c r="I900" s="214"/>
      <c r="J900" s="214"/>
      <c r="K900" s="214"/>
      <c r="L900" s="214"/>
      <c r="M900" s="214"/>
      <c r="N900" s="216"/>
      <c r="O900" s="216"/>
      <c r="P900" s="216"/>
      <c r="Q900" s="216"/>
      <c r="R900" s="216"/>
      <c r="S900" s="216"/>
      <c r="T900" s="216"/>
      <c r="U900" s="216"/>
      <c r="V900" s="216"/>
      <c r="W900" s="216"/>
      <c r="X900" s="216"/>
      <c r="Y900" s="216"/>
      <c r="Z900" s="216"/>
      <c r="AA900" s="216"/>
    </row>
    <row r="901" ht="15.0" customHeight="1">
      <c r="A901" s="214"/>
      <c r="B901" s="214"/>
      <c r="C901" s="214"/>
      <c r="D901" s="214"/>
      <c r="E901" s="214"/>
      <c r="F901" s="214"/>
      <c r="G901" s="214"/>
      <c r="H901" s="214"/>
      <c r="I901" s="214"/>
      <c r="J901" s="214"/>
      <c r="K901" s="214"/>
      <c r="L901" s="214"/>
      <c r="M901" s="214"/>
      <c r="N901" s="216"/>
      <c r="O901" s="216"/>
      <c r="P901" s="216"/>
      <c r="Q901" s="216"/>
      <c r="R901" s="216"/>
      <c r="S901" s="216"/>
      <c r="T901" s="216"/>
      <c r="U901" s="216"/>
      <c r="V901" s="216"/>
      <c r="W901" s="216"/>
      <c r="X901" s="216"/>
      <c r="Y901" s="216"/>
      <c r="Z901" s="216"/>
      <c r="AA901" s="216"/>
    </row>
    <row r="902" ht="15.0" customHeight="1">
      <c r="A902" s="214"/>
      <c r="B902" s="214"/>
      <c r="C902" s="214"/>
      <c r="D902" s="214"/>
      <c r="E902" s="214"/>
      <c r="F902" s="214"/>
      <c r="G902" s="214"/>
      <c r="H902" s="214"/>
      <c r="I902" s="214"/>
      <c r="J902" s="214"/>
      <c r="K902" s="214"/>
      <c r="L902" s="214"/>
      <c r="M902" s="214"/>
      <c r="N902" s="216"/>
      <c r="O902" s="216"/>
      <c r="P902" s="216"/>
      <c r="Q902" s="216"/>
      <c r="R902" s="216"/>
      <c r="S902" s="216"/>
      <c r="T902" s="216"/>
      <c r="U902" s="216"/>
      <c r="V902" s="216"/>
      <c r="W902" s="216"/>
      <c r="X902" s="216"/>
      <c r="Y902" s="216"/>
      <c r="Z902" s="216"/>
      <c r="AA902" s="216"/>
    </row>
    <row r="903" ht="15.0" customHeight="1">
      <c r="A903" s="214"/>
      <c r="B903" s="214"/>
      <c r="C903" s="214"/>
      <c r="D903" s="214"/>
      <c r="E903" s="214"/>
      <c r="F903" s="214"/>
      <c r="G903" s="214"/>
      <c r="H903" s="214"/>
      <c r="I903" s="214"/>
      <c r="J903" s="214"/>
      <c r="K903" s="214"/>
      <c r="L903" s="214"/>
      <c r="M903" s="214"/>
      <c r="N903" s="216"/>
      <c r="O903" s="216"/>
      <c r="P903" s="216"/>
      <c r="Q903" s="216"/>
      <c r="R903" s="216"/>
      <c r="S903" s="216"/>
      <c r="T903" s="216"/>
      <c r="U903" s="216"/>
      <c r="V903" s="216"/>
      <c r="W903" s="216"/>
      <c r="X903" s="216"/>
      <c r="Y903" s="216"/>
      <c r="Z903" s="216"/>
      <c r="AA903" s="216"/>
    </row>
    <row r="904" ht="15.0" customHeight="1">
      <c r="A904" s="214"/>
      <c r="B904" s="214"/>
      <c r="C904" s="214"/>
      <c r="D904" s="214"/>
      <c r="E904" s="214"/>
      <c r="F904" s="214"/>
      <c r="G904" s="214"/>
      <c r="H904" s="214"/>
      <c r="I904" s="214"/>
      <c r="J904" s="214"/>
      <c r="K904" s="214"/>
      <c r="L904" s="214"/>
      <c r="M904" s="214"/>
      <c r="N904" s="216"/>
      <c r="O904" s="216"/>
      <c r="P904" s="216"/>
      <c r="Q904" s="216"/>
      <c r="R904" s="216"/>
      <c r="S904" s="216"/>
      <c r="T904" s="216"/>
      <c r="U904" s="216"/>
      <c r="V904" s="216"/>
      <c r="W904" s="216"/>
      <c r="X904" s="216"/>
      <c r="Y904" s="216"/>
      <c r="Z904" s="216"/>
      <c r="AA904" s="216"/>
    </row>
    <row r="905" ht="15.0" customHeight="1">
      <c r="A905" s="214"/>
      <c r="B905" s="214"/>
      <c r="C905" s="214"/>
      <c r="D905" s="214"/>
      <c r="E905" s="214"/>
      <c r="F905" s="214"/>
      <c r="G905" s="214"/>
      <c r="H905" s="214"/>
      <c r="I905" s="214"/>
      <c r="J905" s="214"/>
      <c r="K905" s="214"/>
      <c r="L905" s="214"/>
      <c r="M905" s="214"/>
      <c r="N905" s="216"/>
      <c r="O905" s="216"/>
      <c r="P905" s="216"/>
      <c r="Q905" s="216"/>
      <c r="R905" s="216"/>
      <c r="S905" s="216"/>
      <c r="T905" s="216"/>
      <c r="U905" s="216"/>
      <c r="V905" s="216"/>
      <c r="W905" s="216"/>
      <c r="X905" s="216"/>
      <c r="Y905" s="216"/>
      <c r="Z905" s="216"/>
      <c r="AA905" s="216"/>
    </row>
    <row r="906" ht="15.0" customHeight="1">
      <c r="A906" s="214"/>
      <c r="B906" s="214"/>
      <c r="C906" s="214"/>
      <c r="D906" s="214"/>
      <c r="E906" s="214"/>
      <c r="F906" s="214"/>
      <c r="G906" s="214"/>
      <c r="H906" s="214"/>
      <c r="I906" s="214"/>
      <c r="J906" s="214"/>
      <c r="K906" s="214"/>
      <c r="L906" s="214"/>
      <c r="M906" s="214"/>
      <c r="N906" s="216"/>
      <c r="O906" s="216"/>
      <c r="P906" s="216"/>
      <c r="Q906" s="216"/>
      <c r="R906" s="216"/>
      <c r="S906" s="216"/>
      <c r="T906" s="216"/>
      <c r="U906" s="216"/>
      <c r="V906" s="216"/>
      <c r="W906" s="216"/>
      <c r="X906" s="216"/>
      <c r="Y906" s="216"/>
      <c r="Z906" s="216"/>
      <c r="AA906" s="216"/>
    </row>
    <row r="907" ht="15.0" customHeight="1">
      <c r="A907" s="214"/>
      <c r="B907" s="214"/>
      <c r="C907" s="214"/>
      <c r="D907" s="214"/>
      <c r="E907" s="214"/>
      <c r="F907" s="214"/>
      <c r="G907" s="214"/>
      <c r="H907" s="214"/>
      <c r="I907" s="214"/>
      <c r="J907" s="214"/>
      <c r="K907" s="214"/>
      <c r="L907" s="214"/>
      <c r="M907" s="214"/>
      <c r="N907" s="216"/>
      <c r="O907" s="216"/>
      <c r="P907" s="216"/>
      <c r="Q907" s="216"/>
      <c r="R907" s="216"/>
      <c r="S907" s="216"/>
      <c r="T907" s="216"/>
      <c r="U907" s="216"/>
      <c r="V907" s="216"/>
      <c r="W907" s="216"/>
      <c r="X907" s="216"/>
      <c r="Y907" s="216"/>
      <c r="Z907" s="216"/>
      <c r="AA907" s="216"/>
    </row>
    <row r="908" ht="15.0" customHeight="1">
      <c r="A908" s="214"/>
      <c r="B908" s="214"/>
      <c r="C908" s="214"/>
      <c r="D908" s="214"/>
      <c r="E908" s="214"/>
      <c r="F908" s="214"/>
      <c r="G908" s="214"/>
      <c r="H908" s="214"/>
      <c r="I908" s="214"/>
      <c r="J908" s="214"/>
      <c r="K908" s="214"/>
      <c r="L908" s="214"/>
      <c r="M908" s="214"/>
      <c r="N908" s="216"/>
      <c r="O908" s="216"/>
      <c r="P908" s="216"/>
      <c r="Q908" s="216"/>
      <c r="R908" s="216"/>
      <c r="S908" s="216"/>
      <c r="T908" s="216"/>
      <c r="U908" s="216"/>
      <c r="V908" s="216"/>
      <c r="W908" s="216"/>
      <c r="X908" s="216"/>
      <c r="Y908" s="216"/>
      <c r="Z908" s="216"/>
      <c r="AA908" s="216"/>
    </row>
    <row r="909" ht="15.0" customHeight="1">
      <c r="A909" s="214"/>
      <c r="B909" s="214"/>
      <c r="C909" s="214"/>
      <c r="D909" s="214"/>
      <c r="E909" s="214"/>
      <c r="F909" s="214"/>
      <c r="G909" s="214"/>
      <c r="H909" s="214"/>
      <c r="I909" s="214"/>
      <c r="J909" s="214"/>
      <c r="K909" s="214"/>
      <c r="L909" s="214"/>
      <c r="M909" s="214"/>
      <c r="N909" s="216"/>
      <c r="O909" s="216"/>
      <c r="P909" s="216"/>
      <c r="Q909" s="216"/>
      <c r="R909" s="216"/>
      <c r="S909" s="216"/>
      <c r="T909" s="216"/>
      <c r="U909" s="216"/>
      <c r="V909" s="216"/>
      <c r="W909" s="216"/>
      <c r="X909" s="216"/>
      <c r="Y909" s="216"/>
      <c r="Z909" s="216"/>
      <c r="AA909" s="216"/>
    </row>
    <row r="910" ht="15.0" customHeight="1">
      <c r="A910" s="214"/>
      <c r="B910" s="214"/>
      <c r="C910" s="214"/>
      <c r="D910" s="214"/>
      <c r="E910" s="214"/>
      <c r="F910" s="214"/>
      <c r="G910" s="214"/>
      <c r="H910" s="214"/>
      <c r="I910" s="214"/>
      <c r="J910" s="214"/>
      <c r="K910" s="214"/>
      <c r="L910" s="214"/>
      <c r="M910" s="214"/>
      <c r="N910" s="216"/>
      <c r="O910" s="216"/>
      <c r="P910" s="216"/>
      <c r="Q910" s="216"/>
      <c r="R910" s="216"/>
      <c r="S910" s="216"/>
      <c r="T910" s="216"/>
      <c r="U910" s="216"/>
      <c r="V910" s="216"/>
      <c r="W910" s="216"/>
      <c r="X910" s="216"/>
      <c r="Y910" s="216"/>
      <c r="Z910" s="216"/>
      <c r="AA910" s="216"/>
    </row>
    <row r="911" ht="15.0" customHeight="1">
      <c r="A911" s="214"/>
      <c r="B911" s="214"/>
      <c r="C911" s="214"/>
      <c r="D911" s="214"/>
      <c r="E911" s="214"/>
      <c r="F911" s="214"/>
      <c r="G911" s="214"/>
      <c r="H911" s="214"/>
      <c r="I911" s="214"/>
      <c r="J911" s="214"/>
      <c r="K911" s="214"/>
      <c r="L911" s="214"/>
      <c r="M911" s="214"/>
      <c r="N911" s="216"/>
      <c r="O911" s="216"/>
      <c r="P911" s="216"/>
      <c r="Q911" s="216"/>
      <c r="R911" s="216"/>
      <c r="S911" s="216"/>
      <c r="T911" s="216"/>
      <c r="U911" s="216"/>
      <c r="V911" s="216"/>
      <c r="W911" s="216"/>
      <c r="X911" s="216"/>
      <c r="Y911" s="216"/>
      <c r="Z911" s="216"/>
      <c r="AA911" s="216"/>
    </row>
    <row r="912" ht="15.0" customHeight="1">
      <c r="A912" s="214"/>
      <c r="B912" s="214"/>
      <c r="C912" s="214"/>
      <c r="D912" s="214"/>
      <c r="E912" s="214"/>
      <c r="F912" s="214"/>
      <c r="G912" s="214"/>
      <c r="H912" s="214"/>
      <c r="I912" s="214"/>
      <c r="J912" s="214"/>
      <c r="K912" s="214"/>
      <c r="L912" s="214"/>
      <c r="M912" s="214"/>
      <c r="N912" s="216"/>
      <c r="O912" s="216"/>
      <c r="P912" s="216"/>
      <c r="Q912" s="216"/>
      <c r="R912" s="216"/>
      <c r="S912" s="216"/>
      <c r="T912" s="216"/>
      <c r="U912" s="216"/>
      <c r="V912" s="216"/>
      <c r="W912" s="216"/>
      <c r="X912" s="216"/>
      <c r="Y912" s="216"/>
      <c r="Z912" s="216"/>
      <c r="AA912" s="216"/>
    </row>
    <row r="913" ht="15.0" customHeight="1">
      <c r="A913" s="214"/>
      <c r="B913" s="214"/>
      <c r="C913" s="214"/>
      <c r="D913" s="214"/>
      <c r="E913" s="214"/>
      <c r="F913" s="214"/>
      <c r="G913" s="214"/>
      <c r="H913" s="214"/>
      <c r="I913" s="214"/>
      <c r="J913" s="214"/>
      <c r="K913" s="214"/>
      <c r="L913" s="214"/>
      <c r="M913" s="214"/>
      <c r="N913" s="216"/>
      <c r="O913" s="216"/>
      <c r="P913" s="216"/>
      <c r="Q913" s="216"/>
      <c r="R913" s="216"/>
      <c r="S913" s="216"/>
      <c r="T913" s="216"/>
      <c r="U913" s="216"/>
      <c r="V913" s="216"/>
      <c r="W913" s="216"/>
      <c r="X913" s="216"/>
      <c r="Y913" s="216"/>
      <c r="Z913" s="216"/>
      <c r="AA913" s="216"/>
    </row>
    <row r="914" ht="15.0" customHeight="1">
      <c r="A914" s="214"/>
      <c r="B914" s="214"/>
      <c r="C914" s="214"/>
      <c r="D914" s="214"/>
      <c r="E914" s="214"/>
      <c r="F914" s="214"/>
      <c r="G914" s="214"/>
      <c r="H914" s="214"/>
      <c r="I914" s="214"/>
      <c r="J914" s="214"/>
      <c r="K914" s="214"/>
      <c r="L914" s="214"/>
      <c r="M914" s="214"/>
      <c r="N914" s="216"/>
      <c r="O914" s="216"/>
      <c r="P914" s="216"/>
      <c r="Q914" s="216"/>
      <c r="R914" s="216"/>
      <c r="S914" s="216"/>
      <c r="T914" s="216"/>
      <c r="U914" s="216"/>
      <c r="V914" s="216"/>
      <c r="W914" s="216"/>
      <c r="X914" s="216"/>
      <c r="Y914" s="216"/>
      <c r="Z914" s="216"/>
      <c r="AA914" s="216"/>
    </row>
    <row r="915" ht="15.0" customHeight="1">
      <c r="A915" s="214"/>
      <c r="B915" s="214"/>
      <c r="C915" s="214"/>
      <c r="D915" s="214"/>
      <c r="E915" s="214"/>
      <c r="F915" s="214"/>
      <c r="G915" s="214"/>
      <c r="H915" s="214"/>
      <c r="I915" s="214"/>
      <c r="J915" s="214"/>
      <c r="K915" s="214"/>
      <c r="L915" s="214"/>
      <c r="M915" s="214"/>
      <c r="N915" s="216"/>
      <c r="O915" s="216"/>
      <c r="P915" s="216"/>
      <c r="Q915" s="216"/>
      <c r="R915" s="216"/>
      <c r="S915" s="216"/>
      <c r="T915" s="216"/>
      <c r="U915" s="216"/>
      <c r="V915" s="216"/>
      <c r="W915" s="216"/>
      <c r="X915" s="216"/>
      <c r="Y915" s="216"/>
      <c r="Z915" s="216"/>
      <c r="AA915" s="216"/>
    </row>
    <row r="916" ht="15.0" customHeight="1">
      <c r="A916" s="214"/>
      <c r="B916" s="214"/>
      <c r="C916" s="214"/>
      <c r="D916" s="214"/>
      <c r="E916" s="214"/>
      <c r="F916" s="214"/>
      <c r="G916" s="214"/>
      <c r="H916" s="214"/>
      <c r="I916" s="214"/>
      <c r="J916" s="214"/>
      <c r="K916" s="214"/>
      <c r="L916" s="214"/>
      <c r="M916" s="214"/>
      <c r="N916" s="216"/>
      <c r="O916" s="216"/>
      <c r="P916" s="216"/>
      <c r="Q916" s="216"/>
      <c r="R916" s="216"/>
      <c r="S916" s="216"/>
      <c r="T916" s="216"/>
      <c r="U916" s="216"/>
      <c r="V916" s="216"/>
      <c r="W916" s="216"/>
      <c r="X916" s="216"/>
      <c r="Y916" s="216"/>
      <c r="Z916" s="216"/>
      <c r="AA916" s="216"/>
    </row>
    <row r="917" ht="15.0" customHeight="1">
      <c r="A917" s="214"/>
      <c r="B917" s="214"/>
      <c r="C917" s="214"/>
      <c r="D917" s="214"/>
      <c r="E917" s="214"/>
      <c r="F917" s="214"/>
      <c r="G917" s="214"/>
      <c r="H917" s="214"/>
      <c r="I917" s="214"/>
      <c r="J917" s="214"/>
      <c r="K917" s="214"/>
      <c r="L917" s="214"/>
      <c r="M917" s="214"/>
      <c r="N917" s="216"/>
      <c r="O917" s="216"/>
      <c r="P917" s="216"/>
      <c r="Q917" s="216"/>
      <c r="R917" s="216"/>
      <c r="S917" s="216"/>
      <c r="T917" s="216"/>
      <c r="U917" s="216"/>
      <c r="V917" s="216"/>
      <c r="W917" s="216"/>
      <c r="X917" s="216"/>
      <c r="Y917" s="216"/>
      <c r="Z917" s="216"/>
      <c r="AA917" s="216"/>
    </row>
    <row r="918" ht="15.0" customHeight="1">
      <c r="A918" s="214"/>
      <c r="B918" s="214"/>
      <c r="C918" s="214"/>
      <c r="D918" s="214"/>
      <c r="E918" s="214"/>
      <c r="F918" s="214"/>
      <c r="G918" s="214"/>
      <c r="H918" s="214"/>
      <c r="I918" s="214"/>
      <c r="J918" s="214"/>
      <c r="K918" s="214"/>
      <c r="L918" s="214"/>
      <c r="M918" s="214"/>
      <c r="N918" s="216"/>
      <c r="O918" s="216"/>
      <c r="P918" s="216"/>
      <c r="Q918" s="216"/>
      <c r="R918" s="216"/>
      <c r="S918" s="216"/>
      <c r="T918" s="216"/>
      <c r="U918" s="216"/>
      <c r="V918" s="216"/>
      <c r="W918" s="216"/>
      <c r="X918" s="216"/>
      <c r="Y918" s="216"/>
      <c r="Z918" s="216"/>
      <c r="AA918" s="216"/>
    </row>
    <row r="919" ht="15.0" customHeight="1">
      <c r="A919" s="214"/>
      <c r="B919" s="214"/>
      <c r="C919" s="214"/>
      <c r="D919" s="214"/>
      <c r="E919" s="214"/>
      <c r="F919" s="214"/>
      <c r="G919" s="214"/>
      <c r="H919" s="214"/>
      <c r="I919" s="214"/>
      <c r="J919" s="214"/>
      <c r="K919" s="214"/>
      <c r="L919" s="214"/>
      <c r="M919" s="214"/>
      <c r="N919" s="216"/>
      <c r="O919" s="216"/>
      <c r="P919" s="216"/>
      <c r="Q919" s="216"/>
      <c r="R919" s="216"/>
      <c r="S919" s="216"/>
      <c r="T919" s="216"/>
      <c r="U919" s="216"/>
      <c r="V919" s="216"/>
      <c r="W919" s="216"/>
      <c r="X919" s="216"/>
      <c r="Y919" s="216"/>
      <c r="Z919" s="216"/>
      <c r="AA919" s="216"/>
    </row>
    <row r="920" ht="15.0" customHeight="1">
      <c r="A920" s="214"/>
      <c r="B920" s="214"/>
      <c r="C920" s="214"/>
      <c r="D920" s="214"/>
      <c r="E920" s="214"/>
      <c r="F920" s="214"/>
      <c r="G920" s="214"/>
      <c r="H920" s="214"/>
      <c r="I920" s="214"/>
      <c r="J920" s="214"/>
      <c r="K920" s="214"/>
      <c r="L920" s="214"/>
      <c r="M920" s="214"/>
      <c r="N920" s="216"/>
      <c r="O920" s="216"/>
      <c r="P920" s="216"/>
      <c r="Q920" s="216"/>
      <c r="R920" s="216"/>
      <c r="S920" s="216"/>
      <c r="T920" s="216"/>
      <c r="U920" s="216"/>
      <c r="V920" s="216"/>
      <c r="W920" s="216"/>
      <c r="X920" s="216"/>
      <c r="Y920" s="216"/>
      <c r="Z920" s="216"/>
      <c r="AA920" s="216"/>
    </row>
    <row r="921" ht="15.0" customHeight="1">
      <c r="A921" s="214"/>
      <c r="B921" s="214"/>
      <c r="C921" s="214"/>
      <c r="D921" s="214"/>
      <c r="E921" s="214"/>
      <c r="F921" s="214"/>
      <c r="G921" s="214"/>
      <c r="H921" s="214"/>
      <c r="I921" s="214"/>
      <c r="J921" s="214"/>
      <c r="K921" s="214"/>
      <c r="L921" s="214"/>
      <c r="M921" s="214"/>
      <c r="N921" s="216"/>
      <c r="O921" s="216"/>
      <c r="P921" s="216"/>
      <c r="Q921" s="216"/>
      <c r="R921" s="216"/>
      <c r="S921" s="216"/>
      <c r="T921" s="216"/>
      <c r="U921" s="216"/>
      <c r="V921" s="216"/>
      <c r="W921" s="216"/>
      <c r="X921" s="216"/>
      <c r="Y921" s="216"/>
      <c r="Z921" s="216"/>
      <c r="AA921" s="216"/>
    </row>
    <row r="922" ht="15.0" customHeight="1">
      <c r="A922" s="214"/>
      <c r="B922" s="214"/>
      <c r="C922" s="214"/>
      <c r="D922" s="214"/>
      <c r="E922" s="214"/>
      <c r="F922" s="214"/>
      <c r="G922" s="214"/>
      <c r="H922" s="214"/>
      <c r="I922" s="214"/>
      <c r="J922" s="214"/>
      <c r="K922" s="214"/>
      <c r="L922" s="214"/>
      <c r="M922" s="214"/>
      <c r="N922" s="216"/>
      <c r="O922" s="216"/>
      <c r="P922" s="216"/>
      <c r="Q922" s="216"/>
      <c r="R922" s="216"/>
      <c r="S922" s="216"/>
      <c r="T922" s="216"/>
      <c r="U922" s="216"/>
      <c r="V922" s="216"/>
      <c r="W922" s="216"/>
      <c r="X922" s="216"/>
      <c r="Y922" s="216"/>
      <c r="Z922" s="216"/>
      <c r="AA922" s="216"/>
    </row>
    <row r="923" ht="15.0" customHeight="1">
      <c r="A923" s="214"/>
      <c r="B923" s="214"/>
      <c r="C923" s="214"/>
      <c r="D923" s="214"/>
      <c r="E923" s="214"/>
      <c r="F923" s="214"/>
      <c r="G923" s="214"/>
      <c r="H923" s="214"/>
      <c r="I923" s="214"/>
      <c r="J923" s="214"/>
      <c r="K923" s="214"/>
      <c r="L923" s="214"/>
      <c r="M923" s="214"/>
      <c r="N923" s="216"/>
      <c r="O923" s="216"/>
      <c r="P923" s="216"/>
      <c r="Q923" s="216"/>
      <c r="R923" s="216"/>
      <c r="S923" s="216"/>
      <c r="T923" s="216"/>
      <c r="U923" s="216"/>
      <c r="V923" s="216"/>
      <c r="W923" s="216"/>
      <c r="X923" s="216"/>
      <c r="Y923" s="216"/>
      <c r="Z923" s="216"/>
      <c r="AA923" s="216"/>
    </row>
    <row r="924" ht="15.0" customHeight="1">
      <c r="A924" s="214"/>
      <c r="B924" s="214"/>
      <c r="C924" s="214"/>
      <c r="D924" s="214"/>
      <c r="E924" s="214"/>
      <c r="F924" s="214"/>
      <c r="G924" s="214"/>
      <c r="H924" s="214"/>
      <c r="I924" s="214"/>
      <c r="J924" s="214"/>
      <c r="K924" s="214"/>
      <c r="L924" s="214"/>
      <c r="M924" s="214"/>
      <c r="N924" s="216"/>
      <c r="O924" s="216"/>
      <c r="P924" s="216"/>
      <c r="Q924" s="216"/>
      <c r="R924" s="216"/>
      <c r="S924" s="216"/>
      <c r="T924" s="216"/>
      <c r="U924" s="216"/>
      <c r="V924" s="216"/>
      <c r="W924" s="216"/>
      <c r="X924" s="216"/>
      <c r="Y924" s="216"/>
      <c r="Z924" s="216"/>
      <c r="AA924" s="216"/>
    </row>
    <row r="925" ht="15.0" customHeight="1">
      <c r="A925" s="214"/>
      <c r="B925" s="214"/>
      <c r="C925" s="214"/>
      <c r="D925" s="214"/>
      <c r="E925" s="214"/>
      <c r="F925" s="214"/>
      <c r="G925" s="214"/>
      <c r="H925" s="214"/>
      <c r="I925" s="214"/>
      <c r="J925" s="214"/>
      <c r="K925" s="214"/>
      <c r="L925" s="214"/>
      <c r="M925" s="214"/>
      <c r="N925" s="216"/>
      <c r="O925" s="216"/>
      <c r="P925" s="216"/>
      <c r="Q925" s="216"/>
      <c r="R925" s="216"/>
      <c r="S925" s="216"/>
      <c r="T925" s="216"/>
      <c r="U925" s="216"/>
      <c r="V925" s="216"/>
      <c r="W925" s="216"/>
      <c r="X925" s="216"/>
      <c r="Y925" s="216"/>
      <c r="Z925" s="216"/>
      <c r="AA925" s="216"/>
    </row>
    <row r="926" ht="15.0" customHeight="1">
      <c r="A926" s="214"/>
      <c r="B926" s="214"/>
      <c r="C926" s="214"/>
      <c r="D926" s="214"/>
      <c r="E926" s="214"/>
      <c r="F926" s="214"/>
      <c r="G926" s="214"/>
      <c r="H926" s="214"/>
      <c r="I926" s="214"/>
      <c r="J926" s="214"/>
      <c r="K926" s="214"/>
      <c r="L926" s="214"/>
      <c r="M926" s="214"/>
      <c r="N926" s="216"/>
      <c r="O926" s="216"/>
      <c r="P926" s="216"/>
      <c r="Q926" s="216"/>
      <c r="R926" s="216"/>
      <c r="S926" s="216"/>
      <c r="T926" s="216"/>
      <c r="U926" s="216"/>
      <c r="V926" s="216"/>
      <c r="W926" s="216"/>
      <c r="X926" s="216"/>
      <c r="Y926" s="216"/>
      <c r="Z926" s="216"/>
      <c r="AA926" s="216"/>
    </row>
    <row r="927" ht="15.0" customHeight="1">
      <c r="A927" s="214"/>
      <c r="B927" s="214"/>
      <c r="C927" s="214"/>
      <c r="D927" s="214"/>
      <c r="E927" s="214"/>
      <c r="F927" s="214"/>
      <c r="G927" s="214"/>
      <c r="H927" s="214"/>
      <c r="I927" s="214"/>
      <c r="J927" s="214"/>
      <c r="K927" s="214"/>
      <c r="L927" s="214"/>
      <c r="M927" s="214"/>
      <c r="N927" s="216"/>
      <c r="O927" s="216"/>
      <c r="P927" s="216"/>
      <c r="Q927" s="216"/>
      <c r="R927" s="216"/>
      <c r="S927" s="216"/>
      <c r="T927" s="216"/>
      <c r="U927" s="216"/>
      <c r="V927" s="216"/>
      <c r="W927" s="216"/>
      <c r="X927" s="216"/>
      <c r="Y927" s="216"/>
      <c r="Z927" s="216"/>
      <c r="AA927" s="216"/>
    </row>
    <row r="928" ht="15.0" customHeight="1">
      <c r="A928" s="214"/>
      <c r="B928" s="214"/>
      <c r="C928" s="214"/>
      <c r="D928" s="214"/>
      <c r="E928" s="214"/>
      <c r="F928" s="214"/>
      <c r="G928" s="214"/>
      <c r="H928" s="214"/>
      <c r="I928" s="214"/>
      <c r="J928" s="214"/>
      <c r="K928" s="214"/>
      <c r="L928" s="214"/>
      <c r="M928" s="214"/>
      <c r="N928" s="216"/>
      <c r="O928" s="216"/>
      <c r="P928" s="216"/>
      <c r="Q928" s="216"/>
      <c r="R928" s="216"/>
      <c r="S928" s="216"/>
      <c r="T928" s="216"/>
      <c r="U928" s="216"/>
      <c r="V928" s="216"/>
      <c r="W928" s="216"/>
      <c r="X928" s="216"/>
      <c r="Y928" s="216"/>
      <c r="Z928" s="216"/>
      <c r="AA928" s="216"/>
    </row>
    <row r="929" ht="15.0" customHeight="1">
      <c r="A929" s="214"/>
      <c r="B929" s="214"/>
      <c r="C929" s="214"/>
      <c r="D929" s="214"/>
      <c r="E929" s="214"/>
      <c r="F929" s="214"/>
      <c r="G929" s="214"/>
      <c r="H929" s="214"/>
      <c r="I929" s="214"/>
      <c r="J929" s="214"/>
      <c r="K929" s="214"/>
      <c r="L929" s="214"/>
      <c r="M929" s="214"/>
      <c r="N929" s="216"/>
      <c r="O929" s="216"/>
      <c r="P929" s="216"/>
      <c r="Q929" s="216"/>
      <c r="R929" s="216"/>
      <c r="S929" s="216"/>
      <c r="T929" s="216"/>
      <c r="U929" s="216"/>
      <c r="V929" s="216"/>
      <c r="W929" s="216"/>
      <c r="X929" s="216"/>
      <c r="Y929" s="216"/>
      <c r="Z929" s="216"/>
      <c r="AA929" s="216"/>
    </row>
    <row r="930" ht="15.0" customHeight="1">
      <c r="A930" s="214"/>
      <c r="B930" s="214"/>
      <c r="C930" s="214"/>
      <c r="D930" s="214"/>
      <c r="E930" s="214"/>
      <c r="F930" s="214"/>
      <c r="G930" s="214"/>
      <c r="H930" s="214"/>
      <c r="I930" s="214"/>
      <c r="J930" s="214"/>
      <c r="K930" s="214"/>
      <c r="L930" s="214"/>
      <c r="M930" s="214"/>
      <c r="N930" s="216"/>
      <c r="O930" s="216"/>
      <c r="P930" s="216"/>
      <c r="Q930" s="216"/>
      <c r="R930" s="216"/>
      <c r="S930" s="216"/>
      <c r="T930" s="216"/>
      <c r="U930" s="216"/>
      <c r="V930" s="216"/>
      <c r="W930" s="216"/>
      <c r="X930" s="216"/>
      <c r="Y930" s="216"/>
      <c r="Z930" s="216"/>
      <c r="AA930" s="216"/>
    </row>
    <row r="931" ht="15.0" customHeight="1">
      <c r="A931" s="214"/>
      <c r="B931" s="214"/>
      <c r="C931" s="214"/>
      <c r="D931" s="214"/>
      <c r="E931" s="214"/>
      <c r="F931" s="214"/>
      <c r="G931" s="214"/>
      <c r="H931" s="214"/>
      <c r="I931" s="214"/>
      <c r="J931" s="214"/>
      <c r="K931" s="214"/>
      <c r="L931" s="214"/>
      <c r="M931" s="214"/>
      <c r="N931" s="216"/>
      <c r="O931" s="216"/>
      <c r="P931" s="216"/>
      <c r="Q931" s="216"/>
      <c r="R931" s="216"/>
      <c r="S931" s="216"/>
      <c r="T931" s="216"/>
      <c r="U931" s="216"/>
      <c r="V931" s="216"/>
      <c r="W931" s="216"/>
      <c r="X931" s="216"/>
      <c r="Y931" s="216"/>
      <c r="Z931" s="216"/>
      <c r="AA931" s="216"/>
    </row>
    <row r="932" ht="15.0" customHeight="1">
      <c r="A932" s="214"/>
      <c r="B932" s="214"/>
      <c r="C932" s="214"/>
      <c r="D932" s="214"/>
      <c r="E932" s="214"/>
      <c r="F932" s="214"/>
      <c r="G932" s="214"/>
      <c r="H932" s="214"/>
      <c r="I932" s="214"/>
      <c r="J932" s="214"/>
      <c r="K932" s="214"/>
      <c r="L932" s="214"/>
      <c r="M932" s="214"/>
      <c r="N932" s="216"/>
      <c r="O932" s="216"/>
      <c r="P932" s="216"/>
      <c r="Q932" s="216"/>
      <c r="R932" s="216"/>
      <c r="S932" s="216"/>
      <c r="T932" s="216"/>
      <c r="U932" s="216"/>
      <c r="V932" s="216"/>
      <c r="W932" s="216"/>
      <c r="X932" s="216"/>
      <c r="Y932" s="216"/>
      <c r="Z932" s="216"/>
      <c r="AA932" s="216"/>
    </row>
    <row r="933" ht="15.0" customHeight="1">
      <c r="A933" s="214"/>
      <c r="B933" s="214"/>
      <c r="C933" s="214"/>
      <c r="D933" s="214"/>
      <c r="E933" s="214"/>
      <c r="F933" s="214"/>
      <c r="G933" s="214"/>
      <c r="H933" s="214"/>
      <c r="I933" s="214"/>
      <c r="J933" s="214"/>
      <c r="K933" s="214"/>
      <c r="L933" s="214"/>
      <c r="M933" s="214"/>
      <c r="N933" s="216"/>
      <c r="O933" s="216"/>
      <c r="P933" s="216"/>
      <c r="Q933" s="216"/>
      <c r="R933" s="216"/>
      <c r="S933" s="216"/>
      <c r="T933" s="216"/>
      <c r="U933" s="216"/>
      <c r="V933" s="216"/>
      <c r="W933" s="216"/>
      <c r="X933" s="216"/>
      <c r="Y933" s="216"/>
      <c r="Z933" s="216"/>
      <c r="AA933" s="216"/>
    </row>
    <row r="934" ht="15.0" customHeight="1">
      <c r="A934" s="214"/>
      <c r="B934" s="214"/>
      <c r="C934" s="214"/>
      <c r="D934" s="214"/>
      <c r="E934" s="214"/>
      <c r="F934" s="214"/>
      <c r="G934" s="214"/>
      <c r="H934" s="214"/>
      <c r="I934" s="214"/>
      <c r="J934" s="214"/>
      <c r="K934" s="214"/>
      <c r="L934" s="214"/>
      <c r="M934" s="214"/>
      <c r="N934" s="216"/>
      <c r="O934" s="216"/>
      <c r="P934" s="216"/>
      <c r="Q934" s="216"/>
      <c r="R934" s="216"/>
      <c r="S934" s="216"/>
      <c r="T934" s="216"/>
      <c r="U934" s="216"/>
      <c r="V934" s="216"/>
      <c r="W934" s="216"/>
      <c r="X934" s="216"/>
      <c r="Y934" s="216"/>
      <c r="Z934" s="216"/>
      <c r="AA934" s="216"/>
    </row>
    <row r="935" ht="15.0" customHeight="1">
      <c r="A935" s="214"/>
      <c r="B935" s="214"/>
      <c r="C935" s="214"/>
      <c r="D935" s="214"/>
      <c r="E935" s="214"/>
      <c r="F935" s="214"/>
      <c r="G935" s="214"/>
      <c r="H935" s="214"/>
      <c r="I935" s="214"/>
      <c r="J935" s="214"/>
      <c r="K935" s="214"/>
      <c r="L935" s="214"/>
      <c r="M935" s="214"/>
      <c r="N935" s="216"/>
      <c r="O935" s="216"/>
      <c r="P935" s="216"/>
      <c r="Q935" s="216"/>
      <c r="R935" s="216"/>
      <c r="S935" s="216"/>
      <c r="T935" s="216"/>
      <c r="U935" s="216"/>
      <c r="V935" s="216"/>
      <c r="W935" s="216"/>
      <c r="X935" s="216"/>
      <c r="Y935" s="216"/>
      <c r="Z935" s="216"/>
      <c r="AA935" s="216"/>
    </row>
    <row r="936" ht="15.0" customHeight="1">
      <c r="A936" s="214"/>
      <c r="B936" s="214"/>
      <c r="C936" s="214"/>
      <c r="D936" s="214"/>
      <c r="E936" s="214"/>
      <c r="F936" s="214"/>
      <c r="G936" s="214"/>
      <c r="H936" s="214"/>
      <c r="I936" s="214"/>
      <c r="J936" s="214"/>
      <c r="K936" s="214"/>
      <c r="L936" s="214"/>
      <c r="M936" s="214"/>
      <c r="N936" s="216"/>
      <c r="O936" s="216"/>
      <c r="P936" s="216"/>
      <c r="Q936" s="216"/>
      <c r="R936" s="216"/>
      <c r="S936" s="216"/>
      <c r="T936" s="216"/>
      <c r="U936" s="216"/>
      <c r="V936" s="216"/>
      <c r="W936" s="216"/>
      <c r="X936" s="216"/>
      <c r="Y936" s="216"/>
      <c r="Z936" s="216"/>
      <c r="AA936" s="216"/>
    </row>
    <row r="937" ht="15.0" customHeight="1">
      <c r="A937" s="214"/>
      <c r="B937" s="214"/>
      <c r="C937" s="214"/>
      <c r="D937" s="214"/>
      <c r="E937" s="214"/>
      <c r="F937" s="214"/>
      <c r="G937" s="214"/>
      <c r="H937" s="214"/>
      <c r="I937" s="214"/>
      <c r="J937" s="214"/>
      <c r="K937" s="214"/>
      <c r="L937" s="214"/>
      <c r="M937" s="214"/>
      <c r="N937" s="216"/>
      <c r="O937" s="216"/>
      <c r="P937" s="216"/>
      <c r="Q937" s="216"/>
      <c r="R937" s="216"/>
      <c r="S937" s="216"/>
      <c r="T937" s="216"/>
      <c r="U937" s="216"/>
      <c r="V937" s="216"/>
      <c r="W937" s="216"/>
      <c r="X937" s="216"/>
      <c r="Y937" s="216"/>
      <c r="Z937" s="216"/>
      <c r="AA937" s="216"/>
    </row>
    <row r="938" ht="15.0" customHeight="1">
      <c r="A938" s="214"/>
      <c r="B938" s="214"/>
      <c r="C938" s="214"/>
      <c r="D938" s="214"/>
      <c r="E938" s="214"/>
      <c r="F938" s="214"/>
      <c r="G938" s="214"/>
      <c r="H938" s="214"/>
      <c r="I938" s="214"/>
      <c r="J938" s="214"/>
      <c r="K938" s="214"/>
      <c r="L938" s="214"/>
      <c r="M938" s="214"/>
      <c r="N938" s="216"/>
      <c r="O938" s="216"/>
      <c r="P938" s="216"/>
      <c r="Q938" s="216"/>
      <c r="R938" s="216"/>
      <c r="S938" s="216"/>
      <c r="T938" s="216"/>
      <c r="U938" s="216"/>
      <c r="V938" s="216"/>
      <c r="W938" s="216"/>
      <c r="X938" s="216"/>
      <c r="Y938" s="216"/>
      <c r="Z938" s="216"/>
      <c r="AA938" s="216"/>
    </row>
    <row r="939" ht="15.0" customHeight="1">
      <c r="A939" s="214"/>
      <c r="B939" s="214"/>
      <c r="C939" s="214"/>
      <c r="D939" s="214"/>
      <c r="E939" s="214"/>
      <c r="F939" s="214"/>
      <c r="G939" s="214"/>
      <c r="H939" s="214"/>
      <c r="I939" s="214"/>
      <c r="J939" s="214"/>
      <c r="K939" s="214"/>
      <c r="L939" s="214"/>
      <c r="M939" s="214"/>
      <c r="N939" s="216"/>
      <c r="O939" s="216"/>
      <c r="P939" s="216"/>
      <c r="Q939" s="216"/>
      <c r="R939" s="216"/>
      <c r="S939" s="216"/>
      <c r="T939" s="216"/>
      <c r="U939" s="216"/>
      <c r="V939" s="216"/>
      <c r="W939" s="216"/>
      <c r="X939" s="216"/>
      <c r="Y939" s="216"/>
      <c r="Z939" s="216"/>
      <c r="AA939" s="216"/>
    </row>
    <row r="940" ht="15.0" customHeight="1">
      <c r="A940" s="214"/>
      <c r="B940" s="214"/>
      <c r="C940" s="214"/>
      <c r="D940" s="214"/>
      <c r="E940" s="214"/>
      <c r="F940" s="214"/>
      <c r="G940" s="214"/>
      <c r="H940" s="214"/>
      <c r="I940" s="214"/>
      <c r="J940" s="214"/>
      <c r="K940" s="214"/>
      <c r="L940" s="214"/>
      <c r="M940" s="214"/>
      <c r="N940" s="216"/>
      <c r="O940" s="216"/>
      <c r="P940" s="216"/>
      <c r="Q940" s="216"/>
      <c r="R940" s="216"/>
      <c r="S940" s="216"/>
      <c r="T940" s="216"/>
      <c r="U940" s="216"/>
      <c r="V940" s="216"/>
      <c r="W940" s="216"/>
      <c r="X940" s="216"/>
      <c r="Y940" s="216"/>
      <c r="Z940" s="216"/>
      <c r="AA940" s="216"/>
    </row>
    <row r="941" ht="15.0" customHeight="1">
      <c r="A941" s="214"/>
      <c r="B941" s="214"/>
      <c r="C941" s="214"/>
      <c r="D941" s="214"/>
      <c r="E941" s="214"/>
      <c r="F941" s="214"/>
      <c r="G941" s="214"/>
      <c r="H941" s="214"/>
      <c r="I941" s="214"/>
      <c r="J941" s="214"/>
      <c r="K941" s="214"/>
      <c r="L941" s="214"/>
      <c r="M941" s="214"/>
      <c r="N941" s="216"/>
      <c r="O941" s="216"/>
      <c r="P941" s="216"/>
      <c r="Q941" s="216"/>
      <c r="R941" s="216"/>
      <c r="S941" s="216"/>
      <c r="T941" s="216"/>
      <c r="U941" s="216"/>
      <c r="V941" s="216"/>
      <c r="W941" s="216"/>
      <c r="X941" s="216"/>
      <c r="Y941" s="216"/>
      <c r="Z941" s="216"/>
      <c r="AA941" s="216"/>
    </row>
    <row r="942" ht="15.0" customHeight="1">
      <c r="A942" s="214"/>
      <c r="B942" s="214"/>
      <c r="C942" s="214"/>
      <c r="D942" s="214"/>
      <c r="E942" s="214"/>
      <c r="F942" s="214"/>
      <c r="G942" s="214"/>
      <c r="H942" s="214"/>
      <c r="I942" s="214"/>
      <c r="J942" s="214"/>
      <c r="K942" s="214"/>
      <c r="L942" s="214"/>
      <c r="M942" s="214"/>
      <c r="N942" s="216"/>
      <c r="O942" s="216"/>
      <c r="P942" s="216"/>
      <c r="Q942" s="216"/>
      <c r="R942" s="216"/>
      <c r="S942" s="216"/>
      <c r="T942" s="216"/>
      <c r="U942" s="216"/>
      <c r="V942" s="216"/>
      <c r="W942" s="216"/>
      <c r="X942" s="216"/>
      <c r="Y942" s="216"/>
      <c r="Z942" s="216"/>
      <c r="AA942" s="216"/>
    </row>
    <row r="943" ht="15.0" customHeight="1">
      <c r="A943" s="214"/>
      <c r="B943" s="214"/>
      <c r="C943" s="214"/>
      <c r="D943" s="214"/>
      <c r="E943" s="214"/>
      <c r="F943" s="214"/>
      <c r="G943" s="214"/>
      <c r="H943" s="214"/>
      <c r="I943" s="214"/>
      <c r="J943" s="214"/>
      <c r="K943" s="214"/>
      <c r="L943" s="214"/>
      <c r="M943" s="214"/>
      <c r="N943" s="216"/>
      <c r="O943" s="216"/>
      <c r="P943" s="216"/>
      <c r="Q943" s="216"/>
      <c r="R943" s="216"/>
      <c r="S943" s="216"/>
      <c r="T943" s="216"/>
      <c r="U943" s="216"/>
      <c r="V943" s="216"/>
      <c r="W943" s="216"/>
      <c r="X943" s="216"/>
      <c r="Y943" s="216"/>
      <c r="Z943" s="216"/>
      <c r="AA943" s="216"/>
    </row>
    <row r="944" ht="15.0" customHeight="1">
      <c r="A944" s="214"/>
      <c r="B944" s="214"/>
      <c r="C944" s="214"/>
      <c r="D944" s="214"/>
      <c r="E944" s="214"/>
      <c r="F944" s="214"/>
      <c r="G944" s="214"/>
      <c r="H944" s="214"/>
      <c r="I944" s="214"/>
      <c r="J944" s="214"/>
      <c r="K944" s="214"/>
      <c r="L944" s="214"/>
      <c r="M944" s="214"/>
      <c r="N944" s="216"/>
      <c r="O944" s="216"/>
      <c r="P944" s="216"/>
      <c r="Q944" s="216"/>
      <c r="R944" s="216"/>
      <c r="S944" s="216"/>
      <c r="T944" s="216"/>
      <c r="U944" s="216"/>
      <c r="V944" s="216"/>
      <c r="W944" s="216"/>
      <c r="X944" s="216"/>
      <c r="Y944" s="216"/>
      <c r="Z944" s="216"/>
      <c r="AA944" s="216"/>
    </row>
    <row r="945" ht="15.0" customHeight="1">
      <c r="A945" s="214"/>
      <c r="B945" s="214"/>
      <c r="C945" s="214"/>
      <c r="D945" s="214"/>
      <c r="E945" s="214"/>
      <c r="F945" s="214"/>
      <c r="G945" s="214"/>
      <c r="H945" s="214"/>
      <c r="I945" s="214"/>
      <c r="J945" s="214"/>
      <c r="K945" s="214"/>
      <c r="L945" s="214"/>
      <c r="M945" s="214"/>
      <c r="N945" s="216"/>
      <c r="O945" s="216"/>
      <c r="P945" s="216"/>
      <c r="Q945" s="216"/>
      <c r="R945" s="216"/>
      <c r="S945" s="216"/>
      <c r="T945" s="216"/>
      <c r="U945" s="216"/>
      <c r="V945" s="216"/>
      <c r="W945" s="216"/>
      <c r="X945" s="216"/>
      <c r="Y945" s="216"/>
      <c r="Z945" s="216"/>
      <c r="AA945" s="216"/>
    </row>
    <row r="946" ht="15.0" customHeight="1">
      <c r="A946" s="214"/>
      <c r="B946" s="214"/>
      <c r="C946" s="214"/>
      <c r="D946" s="214"/>
      <c r="E946" s="214"/>
      <c r="F946" s="214"/>
      <c r="G946" s="214"/>
      <c r="H946" s="214"/>
      <c r="I946" s="214"/>
      <c r="J946" s="214"/>
      <c r="K946" s="214"/>
      <c r="L946" s="214"/>
      <c r="M946" s="214"/>
      <c r="N946" s="216"/>
      <c r="O946" s="216"/>
      <c r="P946" s="216"/>
      <c r="Q946" s="216"/>
      <c r="R946" s="216"/>
      <c r="S946" s="216"/>
      <c r="T946" s="216"/>
      <c r="U946" s="216"/>
      <c r="V946" s="216"/>
      <c r="W946" s="216"/>
      <c r="X946" s="216"/>
      <c r="Y946" s="216"/>
      <c r="Z946" s="216"/>
      <c r="AA946" s="216"/>
    </row>
    <row r="947" ht="15.0" customHeight="1">
      <c r="A947" s="214"/>
      <c r="B947" s="214"/>
      <c r="C947" s="214"/>
      <c r="D947" s="214"/>
      <c r="E947" s="214"/>
      <c r="F947" s="214"/>
      <c r="G947" s="214"/>
      <c r="H947" s="214"/>
      <c r="I947" s="214"/>
      <c r="J947" s="214"/>
      <c r="K947" s="214"/>
      <c r="L947" s="214"/>
      <c r="M947" s="214"/>
      <c r="N947" s="216"/>
      <c r="O947" s="216"/>
      <c r="P947" s="216"/>
      <c r="Q947" s="216"/>
      <c r="R947" s="216"/>
      <c r="S947" s="216"/>
      <c r="T947" s="216"/>
      <c r="U947" s="216"/>
      <c r="V947" s="216"/>
      <c r="W947" s="216"/>
      <c r="X947" s="216"/>
      <c r="Y947" s="216"/>
      <c r="Z947" s="216"/>
      <c r="AA947" s="216"/>
    </row>
    <row r="948" ht="15.0" customHeight="1">
      <c r="A948" s="214"/>
      <c r="B948" s="214"/>
      <c r="C948" s="214"/>
      <c r="D948" s="214"/>
      <c r="E948" s="214"/>
      <c r="F948" s="214"/>
      <c r="G948" s="214"/>
      <c r="H948" s="214"/>
      <c r="I948" s="214"/>
      <c r="J948" s="214"/>
      <c r="K948" s="214"/>
      <c r="L948" s="214"/>
      <c r="M948" s="214"/>
      <c r="N948" s="216"/>
      <c r="O948" s="216"/>
      <c r="P948" s="216"/>
      <c r="Q948" s="216"/>
      <c r="R948" s="216"/>
      <c r="S948" s="216"/>
      <c r="T948" s="216"/>
      <c r="U948" s="216"/>
      <c r="V948" s="216"/>
      <c r="W948" s="216"/>
      <c r="X948" s="216"/>
      <c r="Y948" s="216"/>
      <c r="Z948" s="216"/>
      <c r="AA948" s="216"/>
    </row>
    <row r="949" ht="15.0" customHeight="1">
      <c r="A949" s="214"/>
      <c r="B949" s="214"/>
      <c r="C949" s="214"/>
      <c r="D949" s="214"/>
      <c r="E949" s="214"/>
      <c r="F949" s="214"/>
      <c r="G949" s="214"/>
      <c r="H949" s="214"/>
      <c r="I949" s="214"/>
      <c r="J949" s="214"/>
      <c r="K949" s="214"/>
      <c r="L949" s="214"/>
      <c r="M949" s="214"/>
      <c r="N949" s="216"/>
      <c r="O949" s="216"/>
      <c r="P949" s="216"/>
      <c r="Q949" s="216"/>
      <c r="R949" s="216"/>
      <c r="S949" s="216"/>
      <c r="T949" s="216"/>
      <c r="U949" s="216"/>
      <c r="V949" s="216"/>
      <c r="W949" s="216"/>
      <c r="X949" s="216"/>
      <c r="Y949" s="216"/>
      <c r="Z949" s="216"/>
      <c r="AA949" s="216"/>
    </row>
    <row r="950" ht="15.0" customHeight="1">
      <c r="A950" s="214"/>
      <c r="B950" s="214"/>
      <c r="C950" s="214"/>
      <c r="D950" s="214"/>
      <c r="E950" s="214"/>
      <c r="F950" s="214"/>
      <c r="G950" s="214"/>
      <c r="H950" s="214"/>
      <c r="I950" s="214"/>
      <c r="J950" s="214"/>
      <c r="K950" s="214"/>
      <c r="L950" s="214"/>
      <c r="M950" s="214"/>
      <c r="N950" s="216"/>
      <c r="O950" s="216"/>
      <c r="P950" s="216"/>
      <c r="Q950" s="216"/>
      <c r="R950" s="216"/>
      <c r="S950" s="216"/>
      <c r="T950" s="216"/>
      <c r="U950" s="216"/>
      <c r="V950" s="216"/>
      <c r="W950" s="216"/>
      <c r="X950" s="216"/>
      <c r="Y950" s="216"/>
      <c r="Z950" s="216"/>
      <c r="AA950" s="216"/>
    </row>
    <row r="951" ht="15.0" customHeight="1">
      <c r="A951" s="214"/>
      <c r="B951" s="214"/>
      <c r="C951" s="214"/>
      <c r="D951" s="214"/>
      <c r="E951" s="214"/>
      <c r="F951" s="214"/>
      <c r="G951" s="214"/>
      <c r="H951" s="214"/>
      <c r="I951" s="214"/>
      <c r="J951" s="214"/>
      <c r="K951" s="214"/>
      <c r="L951" s="214"/>
      <c r="M951" s="214"/>
      <c r="N951" s="216"/>
      <c r="O951" s="216"/>
      <c r="P951" s="216"/>
      <c r="Q951" s="216"/>
      <c r="R951" s="216"/>
      <c r="S951" s="216"/>
      <c r="T951" s="216"/>
      <c r="U951" s="216"/>
      <c r="V951" s="216"/>
      <c r="W951" s="216"/>
      <c r="X951" s="216"/>
      <c r="Y951" s="216"/>
      <c r="Z951" s="216"/>
      <c r="AA951" s="216"/>
    </row>
    <row r="952" ht="15.0" customHeight="1">
      <c r="A952" s="214"/>
      <c r="B952" s="214"/>
      <c r="C952" s="214"/>
      <c r="D952" s="214"/>
      <c r="E952" s="214"/>
      <c r="F952" s="214"/>
      <c r="G952" s="214"/>
      <c r="H952" s="214"/>
      <c r="I952" s="214"/>
      <c r="J952" s="214"/>
      <c r="K952" s="214"/>
      <c r="L952" s="214"/>
      <c r="M952" s="214"/>
      <c r="N952" s="216"/>
      <c r="O952" s="216"/>
      <c r="P952" s="216"/>
      <c r="Q952" s="216"/>
      <c r="R952" s="216"/>
      <c r="S952" s="216"/>
      <c r="T952" s="216"/>
      <c r="U952" s="216"/>
      <c r="V952" s="216"/>
      <c r="W952" s="216"/>
      <c r="X952" s="216"/>
      <c r="Y952" s="216"/>
      <c r="Z952" s="216"/>
      <c r="AA952" s="216"/>
    </row>
    <row r="953" ht="15.0" customHeight="1">
      <c r="A953" s="214"/>
      <c r="B953" s="214"/>
      <c r="C953" s="214"/>
      <c r="D953" s="214"/>
      <c r="E953" s="214"/>
      <c r="F953" s="214"/>
      <c r="G953" s="214"/>
      <c r="H953" s="214"/>
      <c r="I953" s="214"/>
      <c r="J953" s="214"/>
      <c r="K953" s="214"/>
      <c r="L953" s="214"/>
      <c r="M953" s="214"/>
      <c r="N953" s="216"/>
      <c r="O953" s="216"/>
      <c r="P953" s="216"/>
      <c r="Q953" s="216"/>
      <c r="R953" s="216"/>
      <c r="S953" s="216"/>
      <c r="T953" s="216"/>
      <c r="U953" s="216"/>
      <c r="V953" s="216"/>
      <c r="W953" s="216"/>
      <c r="X953" s="216"/>
      <c r="Y953" s="216"/>
      <c r="Z953" s="216"/>
      <c r="AA953" s="216"/>
    </row>
    <row r="954" ht="15.0" customHeight="1">
      <c r="A954" s="214"/>
      <c r="B954" s="214"/>
      <c r="C954" s="214"/>
      <c r="D954" s="214"/>
      <c r="E954" s="214"/>
      <c r="F954" s="214"/>
      <c r="G954" s="214"/>
      <c r="H954" s="214"/>
      <c r="I954" s="214"/>
      <c r="J954" s="214"/>
      <c r="K954" s="214"/>
      <c r="L954" s="214"/>
      <c r="M954" s="214"/>
      <c r="N954" s="216"/>
      <c r="O954" s="216"/>
      <c r="P954" s="216"/>
      <c r="Q954" s="216"/>
      <c r="R954" s="216"/>
      <c r="S954" s="216"/>
      <c r="T954" s="216"/>
      <c r="U954" s="216"/>
      <c r="V954" s="216"/>
      <c r="W954" s="216"/>
      <c r="X954" s="216"/>
      <c r="Y954" s="216"/>
      <c r="Z954" s="216"/>
      <c r="AA954" s="216"/>
    </row>
    <row r="955" ht="15.0" customHeight="1">
      <c r="A955" s="214"/>
      <c r="B955" s="214"/>
      <c r="C955" s="214"/>
      <c r="D955" s="214"/>
      <c r="E955" s="214"/>
      <c r="F955" s="214"/>
      <c r="G955" s="214"/>
      <c r="H955" s="214"/>
      <c r="I955" s="214"/>
      <c r="J955" s="214"/>
      <c r="K955" s="214"/>
      <c r="L955" s="214"/>
      <c r="M955" s="214"/>
      <c r="N955" s="216"/>
      <c r="O955" s="216"/>
      <c r="P955" s="216"/>
      <c r="Q955" s="216"/>
      <c r="R955" s="216"/>
      <c r="S955" s="216"/>
      <c r="T955" s="216"/>
      <c r="U955" s="216"/>
      <c r="V955" s="216"/>
      <c r="W955" s="216"/>
      <c r="X955" s="216"/>
      <c r="Y955" s="216"/>
      <c r="Z955" s="216"/>
      <c r="AA955" s="216"/>
    </row>
    <row r="956" ht="15.0" customHeight="1">
      <c r="A956" s="214"/>
      <c r="B956" s="214"/>
      <c r="C956" s="214"/>
      <c r="D956" s="214"/>
      <c r="E956" s="214"/>
      <c r="F956" s="214"/>
      <c r="G956" s="214"/>
      <c r="H956" s="214"/>
      <c r="I956" s="214"/>
      <c r="J956" s="214"/>
      <c r="K956" s="214"/>
      <c r="L956" s="214"/>
      <c r="M956" s="214"/>
      <c r="N956" s="216"/>
      <c r="O956" s="216"/>
      <c r="P956" s="216"/>
      <c r="Q956" s="216"/>
      <c r="R956" s="216"/>
      <c r="S956" s="216"/>
      <c r="T956" s="216"/>
      <c r="U956" s="216"/>
      <c r="V956" s="216"/>
      <c r="W956" s="216"/>
      <c r="X956" s="216"/>
      <c r="Y956" s="216"/>
      <c r="Z956" s="216"/>
      <c r="AA956" s="216"/>
    </row>
    <row r="957" ht="15.0" customHeight="1">
      <c r="A957" s="214"/>
      <c r="B957" s="214"/>
      <c r="C957" s="214"/>
      <c r="D957" s="214"/>
      <c r="E957" s="214"/>
      <c r="F957" s="214"/>
      <c r="G957" s="214"/>
      <c r="H957" s="214"/>
      <c r="I957" s="214"/>
      <c r="J957" s="214"/>
      <c r="K957" s="214"/>
      <c r="L957" s="214"/>
      <c r="M957" s="214"/>
      <c r="N957" s="216"/>
      <c r="O957" s="216"/>
      <c r="P957" s="216"/>
      <c r="Q957" s="216"/>
      <c r="R957" s="216"/>
      <c r="S957" s="216"/>
      <c r="T957" s="216"/>
      <c r="U957" s="216"/>
      <c r="V957" s="216"/>
      <c r="W957" s="216"/>
      <c r="X957" s="216"/>
      <c r="Y957" s="216"/>
      <c r="Z957" s="216"/>
      <c r="AA957" s="216"/>
    </row>
    <row r="958" ht="15.0" customHeight="1">
      <c r="A958" s="214"/>
      <c r="B958" s="214"/>
      <c r="C958" s="214"/>
      <c r="D958" s="214"/>
      <c r="E958" s="214"/>
      <c r="F958" s="214"/>
      <c r="G958" s="214"/>
      <c r="H958" s="214"/>
      <c r="I958" s="214"/>
      <c r="J958" s="214"/>
      <c r="K958" s="214"/>
      <c r="L958" s="214"/>
      <c r="M958" s="214"/>
      <c r="N958" s="216"/>
      <c r="O958" s="216"/>
      <c r="P958" s="216"/>
      <c r="Q958" s="216"/>
      <c r="R958" s="216"/>
      <c r="S958" s="216"/>
      <c r="T958" s="216"/>
      <c r="U958" s="216"/>
      <c r="V958" s="216"/>
      <c r="W958" s="216"/>
      <c r="X958" s="216"/>
      <c r="Y958" s="216"/>
      <c r="Z958" s="216"/>
      <c r="AA958" s="216"/>
    </row>
    <row r="959" ht="15.0" customHeight="1">
      <c r="A959" s="214"/>
      <c r="B959" s="214"/>
      <c r="C959" s="214"/>
      <c r="D959" s="214"/>
      <c r="E959" s="214"/>
      <c r="F959" s="214"/>
      <c r="G959" s="214"/>
      <c r="H959" s="214"/>
      <c r="I959" s="214"/>
      <c r="J959" s="214"/>
      <c r="K959" s="214"/>
      <c r="L959" s="214"/>
      <c r="M959" s="214"/>
      <c r="N959" s="216"/>
      <c r="O959" s="216"/>
      <c r="P959" s="216"/>
      <c r="Q959" s="216"/>
      <c r="R959" s="216"/>
      <c r="S959" s="216"/>
      <c r="T959" s="216"/>
      <c r="U959" s="216"/>
      <c r="V959" s="216"/>
      <c r="W959" s="216"/>
      <c r="X959" s="216"/>
      <c r="Y959" s="216"/>
      <c r="Z959" s="216"/>
      <c r="AA959" s="216"/>
    </row>
    <row r="960" ht="15.0" customHeight="1">
      <c r="A960" s="214"/>
      <c r="B960" s="214"/>
      <c r="C960" s="214"/>
      <c r="D960" s="214"/>
      <c r="E960" s="214"/>
      <c r="F960" s="214"/>
      <c r="G960" s="214"/>
      <c r="H960" s="214"/>
      <c r="I960" s="214"/>
      <c r="J960" s="214"/>
      <c r="K960" s="214"/>
      <c r="L960" s="214"/>
      <c r="M960" s="214"/>
      <c r="N960" s="216"/>
      <c r="O960" s="216"/>
      <c r="P960" s="216"/>
      <c r="Q960" s="216"/>
      <c r="R960" s="216"/>
      <c r="S960" s="216"/>
      <c r="T960" s="216"/>
      <c r="U960" s="216"/>
      <c r="V960" s="216"/>
      <c r="W960" s="216"/>
      <c r="X960" s="216"/>
      <c r="Y960" s="216"/>
      <c r="Z960" s="216"/>
      <c r="AA960" s="216"/>
    </row>
    <row r="961" ht="15.0" customHeight="1">
      <c r="A961" s="214"/>
      <c r="B961" s="214"/>
      <c r="C961" s="214"/>
      <c r="D961" s="214"/>
      <c r="E961" s="214"/>
      <c r="F961" s="214"/>
      <c r="G961" s="214"/>
      <c r="H961" s="214"/>
      <c r="I961" s="214"/>
      <c r="J961" s="214"/>
      <c r="K961" s="214"/>
      <c r="L961" s="214"/>
      <c r="M961" s="214"/>
      <c r="N961" s="216"/>
      <c r="O961" s="216"/>
      <c r="P961" s="216"/>
      <c r="Q961" s="216"/>
      <c r="R961" s="216"/>
      <c r="S961" s="216"/>
      <c r="T961" s="216"/>
      <c r="U961" s="216"/>
      <c r="V961" s="216"/>
      <c r="W961" s="216"/>
      <c r="X961" s="216"/>
      <c r="Y961" s="216"/>
      <c r="Z961" s="216"/>
      <c r="AA961" s="216"/>
    </row>
    <row r="962" ht="15.0" customHeight="1">
      <c r="A962" s="214"/>
      <c r="B962" s="214"/>
      <c r="C962" s="214"/>
      <c r="D962" s="214"/>
      <c r="E962" s="214"/>
      <c r="F962" s="214"/>
      <c r="G962" s="214"/>
      <c r="H962" s="214"/>
      <c r="I962" s="214"/>
      <c r="J962" s="214"/>
      <c r="K962" s="214"/>
      <c r="L962" s="214"/>
      <c r="M962" s="214"/>
      <c r="N962" s="216"/>
      <c r="O962" s="216"/>
      <c r="P962" s="216"/>
      <c r="Q962" s="216"/>
      <c r="R962" s="216"/>
      <c r="S962" s="216"/>
      <c r="T962" s="216"/>
      <c r="U962" s="216"/>
      <c r="V962" s="216"/>
      <c r="W962" s="216"/>
      <c r="X962" s="216"/>
      <c r="Y962" s="216"/>
      <c r="Z962" s="216"/>
      <c r="AA962" s="216"/>
    </row>
    <row r="963" ht="15.0" customHeight="1">
      <c r="A963" s="214"/>
      <c r="B963" s="214"/>
      <c r="C963" s="214"/>
      <c r="D963" s="214"/>
      <c r="E963" s="214"/>
      <c r="F963" s="214"/>
      <c r="G963" s="214"/>
      <c r="H963" s="214"/>
      <c r="I963" s="214"/>
      <c r="J963" s="214"/>
      <c r="K963" s="214"/>
      <c r="L963" s="214"/>
      <c r="M963" s="214"/>
      <c r="N963" s="216"/>
      <c r="O963" s="216"/>
      <c r="P963" s="216"/>
      <c r="Q963" s="216"/>
      <c r="R963" s="216"/>
      <c r="S963" s="216"/>
      <c r="T963" s="216"/>
      <c r="U963" s="216"/>
      <c r="V963" s="216"/>
      <c r="W963" s="216"/>
      <c r="X963" s="216"/>
      <c r="Y963" s="216"/>
      <c r="Z963" s="216"/>
      <c r="AA963" s="216"/>
    </row>
    <row r="964" ht="15.0" customHeight="1">
      <c r="A964" s="214"/>
      <c r="B964" s="214"/>
      <c r="C964" s="214"/>
      <c r="D964" s="214"/>
      <c r="E964" s="214"/>
      <c r="F964" s="214"/>
      <c r="G964" s="214"/>
      <c r="H964" s="214"/>
      <c r="I964" s="214"/>
      <c r="J964" s="214"/>
      <c r="K964" s="214"/>
      <c r="L964" s="214"/>
      <c r="M964" s="214"/>
      <c r="N964" s="216"/>
      <c r="O964" s="216"/>
      <c r="P964" s="216"/>
      <c r="Q964" s="216"/>
      <c r="R964" s="216"/>
      <c r="S964" s="216"/>
      <c r="T964" s="216"/>
      <c r="U964" s="216"/>
      <c r="V964" s="216"/>
      <c r="W964" s="216"/>
      <c r="X964" s="216"/>
      <c r="Y964" s="216"/>
      <c r="Z964" s="216"/>
      <c r="AA964" s="216"/>
    </row>
    <row r="965" ht="15.0" customHeight="1">
      <c r="A965" s="214"/>
      <c r="B965" s="214"/>
      <c r="C965" s="214"/>
      <c r="D965" s="214"/>
      <c r="E965" s="214"/>
      <c r="F965" s="214"/>
      <c r="G965" s="214"/>
      <c r="H965" s="214"/>
      <c r="I965" s="214"/>
      <c r="J965" s="214"/>
      <c r="K965" s="214"/>
      <c r="L965" s="214"/>
      <c r="M965" s="214"/>
      <c r="N965" s="216"/>
      <c r="O965" s="216"/>
      <c r="P965" s="216"/>
      <c r="Q965" s="216"/>
      <c r="R965" s="216"/>
      <c r="S965" s="216"/>
      <c r="T965" s="216"/>
      <c r="U965" s="216"/>
      <c r="V965" s="216"/>
      <c r="W965" s="216"/>
      <c r="X965" s="216"/>
      <c r="Y965" s="216"/>
      <c r="Z965" s="216"/>
      <c r="AA965" s="216"/>
    </row>
    <row r="966" ht="15.0" customHeight="1">
      <c r="A966" s="214"/>
      <c r="B966" s="214"/>
      <c r="C966" s="214"/>
      <c r="D966" s="214"/>
      <c r="E966" s="214"/>
      <c r="F966" s="214"/>
      <c r="G966" s="214"/>
      <c r="H966" s="214"/>
      <c r="I966" s="214"/>
      <c r="J966" s="214"/>
      <c r="K966" s="214"/>
      <c r="L966" s="214"/>
      <c r="M966" s="214"/>
      <c r="N966" s="216"/>
      <c r="O966" s="216"/>
      <c r="P966" s="216"/>
      <c r="Q966" s="216"/>
      <c r="R966" s="216"/>
      <c r="S966" s="216"/>
      <c r="T966" s="216"/>
      <c r="U966" s="216"/>
      <c r="V966" s="216"/>
      <c r="W966" s="216"/>
      <c r="X966" s="216"/>
      <c r="Y966" s="216"/>
      <c r="Z966" s="216"/>
      <c r="AA966" s="216"/>
    </row>
    <row r="967" ht="15.0" customHeight="1">
      <c r="A967" s="214"/>
      <c r="B967" s="214"/>
      <c r="C967" s="214"/>
      <c r="D967" s="214"/>
      <c r="E967" s="214"/>
      <c r="F967" s="214"/>
      <c r="G967" s="214"/>
      <c r="H967" s="214"/>
      <c r="I967" s="214"/>
      <c r="J967" s="214"/>
      <c r="K967" s="214"/>
      <c r="L967" s="214"/>
      <c r="M967" s="214"/>
      <c r="N967" s="216"/>
      <c r="O967" s="216"/>
      <c r="P967" s="216"/>
      <c r="Q967" s="216"/>
      <c r="R967" s="216"/>
      <c r="S967" s="216"/>
      <c r="T967" s="216"/>
      <c r="U967" s="216"/>
      <c r="V967" s="216"/>
      <c r="W967" s="216"/>
      <c r="X967" s="216"/>
      <c r="Y967" s="216"/>
      <c r="Z967" s="216"/>
      <c r="AA967" s="216"/>
    </row>
    <row r="968" ht="15.0" customHeight="1">
      <c r="A968" s="214"/>
      <c r="B968" s="214"/>
      <c r="C968" s="214"/>
      <c r="D968" s="214"/>
      <c r="E968" s="214"/>
      <c r="F968" s="214"/>
      <c r="G968" s="214"/>
      <c r="H968" s="214"/>
      <c r="I968" s="214"/>
      <c r="J968" s="214"/>
      <c r="K968" s="214"/>
      <c r="L968" s="214"/>
      <c r="M968" s="214"/>
      <c r="N968" s="216"/>
      <c r="O968" s="216"/>
      <c r="P968" s="216"/>
      <c r="Q968" s="216"/>
      <c r="R968" s="216"/>
      <c r="S968" s="216"/>
      <c r="T968" s="216"/>
      <c r="U968" s="216"/>
      <c r="V968" s="216"/>
      <c r="W968" s="216"/>
      <c r="X968" s="216"/>
      <c r="Y968" s="216"/>
      <c r="Z968" s="216"/>
      <c r="AA968" s="216"/>
    </row>
    <row r="969" ht="15.0" customHeight="1">
      <c r="A969" s="214"/>
      <c r="B969" s="214"/>
      <c r="C969" s="214"/>
      <c r="D969" s="214"/>
      <c r="E969" s="214"/>
      <c r="F969" s="214"/>
      <c r="G969" s="214"/>
      <c r="H969" s="214"/>
      <c r="I969" s="214"/>
      <c r="J969" s="214"/>
      <c r="K969" s="214"/>
      <c r="L969" s="214"/>
      <c r="M969" s="214"/>
      <c r="N969" s="216"/>
      <c r="O969" s="216"/>
      <c r="P969" s="216"/>
      <c r="Q969" s="216"/>
      <c r="R969" s="216"/>
      <c r="S969" s="216"/>
      <c r="T969" s="216"/>
      <c r="U969" s="216"/>
      <c r="V969" s="216"/>
      <c r="W969" s="216"/>
      <c r="X969" s="216"/>
      <c r="Y969" s="216"/>
      <c r="Z969" s="216"/>
      <c r="AA969" s="216"/>
    </row>
    <row r="970" ht="15.0" customHeight="1">
      <c r="A970" s="214"/>
      <c r="B970" s="214"/>
      <c r="C970" s="214"/>
      <c r="D970" s="214"/>
      <c r="E970" s="214"/>
      <c r="F970" s="214"/>
      <c r="G970" s="214"/>
      <c r="H970" s="214"/>
      <c r="I970" s="214"/>
      <c r="J970" s="214"/>
      <c r="K970" s="214"/>
      <c r="L970" s="214"/>
      <c r="M970" s="214"/>
      <c r="N970" s="216"/>
      <c r="O970" s="216"/>
      <c r="P970" s="216"/>
      <c r="Q970" s="216"/>
      <c r="R970" s="216"/>
      <c r="S970" s="216"/>
      <c r="T970" s="216"/>
      <c r="U970" s="216"/>
      <c r="V970" s="216"/>
      <c r="W970" s="216"/>
      <c r="X970" s="216"/>
      <c r="Y970" s="216"/>
      <c r="Z970" s="216"/>
      <c r="AA970" s="216"/>
    </row>
    <row r="971" ht="15.0" customHeight="1">
      <c r="A971" s="214"/>
      <c r="B971" s="214"/>
      <c r="C971" s="214"/>
      <c r="D971" s="214"/>
      <c r="E971" s="214"/>
      <c r="F971" s="214"/>
      <c r="G971" s="214"/>
      <c r="H971" s="214"/>
      <c r="I971" s="214"/>
      <c r="J971" s="214"/>
      <c r="K971" s="214"/>
      <c r="L971" s="214"/>
      <c r="M971" s="214"/>
      <c r="N971" s="216"/>
      <c r="O971" s="216"/>
      <c r="P971" s="216"/>
      <c r="Q971" s="216"/>
      <c r="R971" s="216"/>
      <c r="S971" s="216"/>
      <c r="T971" s="216"/>
      <c r="U971" s="216"/>
      <c r="V971" s="216"/>
      <c r="W971" s="216"/>
      <c r="X971" s="216"/>
      <c r="Y971" s="216"/>
      <c r="Z971" s="216"/>
      <c r="AA971" s="216"/>
    </row>
    <row r="972" ht="15.0" customHeight="1">
      <c r="A972" s="214"/>
      <c r="B972" s="214"/>
      <c r="C972" s="214"/>
      <c r="D972" s="214"/>
      <c r="E972" s="214"/>
      <c r="F972" s="214"/>
      <c r="G972" s="214"/>
      <c r="H972" s="214"/>
      <c r="I972" s="214"/>
      <c r="J972" s="214"/>
      <c r="K972" s="214"/>
      <c r="L972" s="214"/>
      <c r="M972" s="214"/>
      <c r="N972" s="216"/>
      <c r="O972" s="216"/>
      <c r="P972" s="216"/>
      <c r="Q972" s="216"/>
      <c r="R972" s="216"/>
      <c r="S972" s="216"/>
      <c r="T972" s="216"/>
      <c r="U972" s="216"/>
      <c r="V972" s="216"/>
      <c r="W972" s="216"/>
      <c r="X972" s="216"/>
      <c r="Y972" s="216"/>
      <c r="Z972" s="216"/>
      <c r="AA972" s="216"/>
    </row>
    <row r="973" ht="15.0" customHeight="1">
      <c r="A973" s="214"/>
      <c r="B973" s="214"/>
      <c r="C973" s="214"/>
      <c r="D973" s="214"/>
      <c r="E973" s="214"/>
      <c r="F973" s="214"/>
      <c r="G973" s="214"/>
      <c r="H973" s="214"/>
      <c r="I973" s="214"/>
      <c r="J973" s="214"/>
      <c r="K973" s="214"/>
      <c r="L973" s="214"/>
      <c r="M973" s="214"/>
      <c r="N973" s="216"/>
      <c r="O973" s="216"/>
      <c r="P973" s="216"/>
      <c r="Q973" s="216"/>
      <c r="R973" s="216"/>
      <c r="S973" s="216"/>
      <c r="T973" s="216"/>
      <c r="U973" s="216"/>
      <c r="V973" s="216"/>
      <c r="W973" s="216"/>
      <c r="X973" s="216"/>
      <c r="Y973" s="216"/>
      <c r="Z973" s="216"/>
      <c r="AA973" s="216"/>
    </row>
    <row r="974" ht="15.0" customHeight="1">
      <c r="A974" s="214"/>
      <c r="B974" s="214"/>
      <c r="C974" s="214"/>
      <c r="D974" s="214"/>
      <c r="E974" s="214"/>
      <c r="F974" s="214"/>
      <c r="G974" s="214"/>
      <c r="H974" s="214"/>
      <c r="I974" s="214"/>
      <c r="J974" s="214"/>
      <c r="K974" s="214"/>
      <c r="L974" s="214"/>
      <c r="M974" s="214"/>
      <c r="N974" s="216"/>
      <c r="O974" s="216"/>
      <c r="P974" s="216"/>
      <c r="Q974" s="216"/>
      <c r="R974" s="216"/>
      <c r="S974" s="216"/>
      <c r="T974" s="216"/>
      <c r="U974" s="216"/>
      <c r="V974" s="216"/>
      <c r="W974" s="216"/>
      <c r="X974" s="216"/>
      <c r="Y974" s="216"/>
      <c r="Z974" s="216"/>
      <c r="AA974" s="216"/>
    </row>
    <row r="975" ht="15.0" customHeight="1">
      <c r="A975" s="214"/>
      <c r="B975" s="214"/>
      <c r="C975" s="214"/>
      <c r="D975" s="214"/>
      <c r="E975" s="214"/>
      <c r="F975" s="214"/>
      <c r="G975" s="214"/>
      <c r="H975" s="214"/>
      <c r="I975" s="214"/>
      <c r="J975" s="214"/>
      <c r="K975" s="214"/>
      <c r="L975" s="214"/>
      <c r="M975" s="214"/>
      <c r="N975" s="216"/>
      <c r="O975" s="216"/>
      <c r="P975" s="216"/>
      <c r="Q975" s="216"/>
      <c r="R975" s="216"/>
      <c r="S975" s="216"/>
      <c r="T975" s="216"/>
      <c r="U975" s="216"/>
      <c r="V975" s="216"/>
      <c r="W975" s="216"/>
      <c r="X975" s="216"/>
      <c r="Y975" s="216"/>
      <c r="Z975" s="216"/>
      <c r="AA975" s="216"/>
    </row>
    <row r="976" ht="15.0" customHeight="1">
      <c r="A976" s="214"/>
      <c r="B976" s="214"/>
      <c r="C976" s="214"/>
      <c r="D976" s="214"/>
      <c r="E976" s="214"/>
      <c r="F976" s="214"/>
      <c r="G976" s="214"/>
      <c r="H976" s="214"/>
      <c r="I976" s="214"/>
      <c r="J976" s="214"/>
      <c r="K976" s="214"/>
      <c r="L976" s="214"/>
      <c r="M976" s="214"/>
      <c r="N976" s="216"/>
      <c r="O976" s="216"/>
      <c r="P976" s="216"/>
      <c r="Q976" s="216"/>
      <c r="R976" s="216"/>
      <c r="S976" s="216"/>
      <c r="T976" s="216"/>
      <c r="U976" s="216"/>
      <c r="V976" s="216"/>
      <c r="W976" s="216"/>
      <c r="X976" s="216"/>
      <c r="Y976" s="216"/>
      <c r="Z976" s="216"/>
      <c r="AA976" s="216"/>
    </row>
    <row r="977" ht="15.0" customHeight="1">
      <c r="A977" s="214"/>
      <c r="B977" s="214"/>
      <c r="C977" s="214"/>
      <c r="D977" s="214"/>
      <c r="E977" s="214"/>
      <c r="F977" s="214"/>
      <c r="G977" s="214"/>
      <c r="H977" s="214"/>
      <c r="I977" s="214"/>
      <c r="J977" s="214"/>
      <c r="K977" s="214"/>
      <c r="L977" s="214"/>
      <c r="M977" s="214"/>
      <c r="N977" s="216"/>
      <c r="O977" s="216"/>
      <c r="P977" s="216"/>
      <c r="Q977" s="216"/>
      <c r="R977" s="216"/>
      <c r="S977" s="216"/>
      <c r="T977" s="216"/>
      <c r="U977" s="216"/>
      <c r="V977" s="216"/>
      <c r="W977" s="216"/>
      <c r="X977" s="216"/>
      <c r="Y977" s="216"/>
      <c r="Z977" s="216"/>
      <c r="AA977" s="216"/>
    </row>
    <row r="978" ht="15.0" customHeight="1">
      <c r="A978" s="214"/>
      <c r="B978" s="214"/>
      <c r="C978" s="214"/>
      <c r="D978" s="214"/>
      <c r="E978" s="214"/>
      <c r="F978" s="214"/>
      <c r="G978" s="214"/>
      <c r="H978" s="214"/>
      <c r="I978" s="214"/>
      <c r="J978" s="214"/>
      <c r="K978" s="214"/>
      <c r="L978" s="214"/>
      <c r="M978" s="214"/>
      <c r="N978" s="216"/>
      <c r="O978" s="216"/>
      <c r="P978" s="216"/>
      <c r="Q978" s="216"/>
      <c r="R978" s="216"/>
      <c r="S978" s="216"/>
      <c r="T978" s="216"/>
      <c r="U978" s="216"/>
      <c r="V978" s="216"/>
      <c r="W978" s="216"/>
      <c r="X978" s="216"/>
      <c r="Y978" s="216"/>
      <c r="Z978" s="216"/>
      <c r="AA978" s="216"/>
    </row>
    <row r="979" ht="15.0" customHeight="1">
      <c r="A979" s="214"/>
      <c r="B979" s="214"/>
      <c r="C979" s="214"/>
      <c r="D979" s="214"/>
      <c r="E979" s="214"/>
      <c r="F979" s="214"/>
      <c r="G979" s="214"/>
      <c r="H979" s="214"/>
      <c r="I979" s="214"/>
      <c r="J979" s="214"/>
      <c r="K979" s="214"/>
      <c r="L979" s="214"/>
      <c r="M979" s="214"/>
      <c r="N979" s="216"/>
      <c r="O979" s="216"/>
      <c r="P979" s="216"/>
      <c r="Q979" s="216"/>
      <c r="R979" s="216"/>
      <c r="S979" s="216"/>
      <c r="T979" s="216"/>
      <c r="U979" s="216"/>
      <c r="V979" s="216"/>
      <c r="W979" s="216"/>
      <c r="X979" s="216"/>
      <c r="Y979" s="216"/>
      <c r="Z979" s="216"/>
      <c r="AA979" s="216"/>
    </row>
    <row r="980" ht="15.0" customHeight="1">
      <c r="A980" s="214"/>
      <c r="B980" s="214"/>
      <c r="C980" s="214"/>
      <c r="D980" s="214"/>
      <c r="E980" s="214"/>
      <c r="F980" s="214"/>
      <c r="G980" s="214"/>
      <c r="H980" s="214"/>
      <c r="I980" s="214"/>
      <c r="J980" s="214"/>
      <c r="K980" s="214"/>
      <c r="L980" s="214"/>
      <c r="M980" s="214"/>
      <c r="N980" s="216"/>
      <c r="O980" s="216"/>
      <c r="P980" s="216"/>
      <c r="Q980" s="216"/>
      <c r="R980" s="216"/>
      <c r="S980" s="216"/>
      <c r="T980" s="216"/>
      <c r="U980" s="216"/>
      <c r="V980" s="216"/>
      <c r="W980" s="216"/>
      <c r="X980" s="216"/>
      <c r="Y980" s="216"/>
      <c r="Z980" s="216"/>
      <c r="AA980" s="216"/>
    </row>
    <row r="981" ht="15.0" customHeight="1">
      <c r="A981" s="214"/>
      <c r="B981" s="214"/>
      <c r="C981" s="214"/>
      <c r="D981" s="214"/>
      <c r="E981" s="214"/>
      <c r="F981" s="214"/>
      <c r="G981" s="214"/>
      <c r="H981" s="214"/>
      <c r="I981" s="214"/>
      <c r="J981" s="214"/>
      <c r="K981" s="214"/>
      <c r="L981" s="214"/>
      <c r="M981" s="214"/>
      <c r="N981" s="216"/>
      <c r="O981" s="216"/>
      <c r="P981" s="216"/>
      <c r="Q981" s="216"/>
      <c r="R981" s="216"/>
      <c r="S981" s="216"/>
      <c r="T981" s="216"/>
      <c r="U981" s="216"/>
      <c r="V981" s="216"/>
      <c r="W981" s="216"/>
      <c r="X981" s="216"/>
      <c r="Y981" s="216"/>
      <c r="Z981" s="216"/>
      <c r="AA981" s="216"/>
    </row>
    <row r="982" ht="15.0" customHeight="1">
      <c r="A982" s="214"/>
      <c r="B982" s="214"/>
      <c r="C982" s="214"/>
      <c r="D982" s="214"/>
      <c r="E982" s="214"/>
      <c r="F982" s="214"/>
      <c r="G982" s="214"/>
      <c r="H982" s="214"/>
      <c r="I982" s="214"/>
      <c r="J982" s="214"/>
      <c r="K982" s="214"/>
      <c r="L982" s="214"/>
      <c r="M982" s="214"/>
      <c r="N982" s="216"/>
      <c r="O982" s="216"/>
      <c r="P982" s="216"/>
      <c r="Q982" s="216"/>
      <c r="R982" s="216"/>
      <c r="S982" s="216"/>
      <c r="T982" s="216"/>
      <c r="U982" s="216"/>
      <c r="V982" s="216"/>
      <c r="W982" s="216"/>
      <c r="X982" s="216"/>
      <c r="Y982" s="216"/>
      <c r="Z982" s="216"/>
      <c r="AA982" s="216"/>
    </row>
    <row r="983" ht="15.0" customHeight="1">
      <c r="A983" s="214"/>
      <c r="B983" s="214"/>
      <c r="C983" s="214"/>
      <c r="D983" s="214"/>
      <c r="E983" s="214"/>
      <c r="F983" s="214"/>
      <c r="G983" s="214"/>
      <c r="H983" s="214"/>
      <c r="I983" s="214"/>
      <c r="J983" s="214"/>
      <c r="K983" s="214"/>
      <c r="L983" s="214"/>
      <c r="M983" s="214"/>
      <c r="N983" s="216"/>
      <c r="O983" s="216"/>
      <c r="P983" s="216"/>
      <c r="Q983" s="216"/>
      <c r="R983" s="216"/>
      <c r="S983" s="216"/>
      <c r="T983" s="216"/>
      <c r="U983" s="216"/>
      <c r="V983" s="216"/>
      <c r="W983" s="216"/>
      <c r="X983" s="216"/>
      <c r="Y983" s="216"/>
      <c r="Z983" s="216"/>
      <c r="AA983" s="216"/>
    </row>
    <row r="984" ht="15.0" customHeight="1">
      <c r="A984" s="214"/>
      <c r="B984" s="214"/>
      <c r="C984" s="214"/>
      <c r="D984" s="214"/>
      <c r="E984" s="214"/>
      <c r="F984" s="214"/>
      <c r="G984" s="214"/>
      <c r="H984" s="214"/>
      <c r="I984" s="214"/>
      <c r="J984" s="214"/>
      <c r="K984" s="214"/>
      <c r="L984" s="214"/>
      <c r="M984" s="214"/>
      <c r="N984" s="216"/>
      <c r="O984" s="216"/>
      <c r="P984" s="216"/>
      <c r="Q984" s="216"/>
      <c r="R984" s="216"/>
      <c r="S984" s="216"/>
      <c r="T984" s="216"/>
      <c r="U984" s="216"/>
      <c r="V984" s="216"/>
      <c r="W984" s="216"/>
      <c r="X984" s="216"/>
      <c r="Y984" s="216"/>
      <c r="Z984" s="216"/>
      <c r="AA984" s="216"/>
    </row>
    <row r="985" ht="15.0" customHeight="1">
      <c r="A985" s="214"/>
      <c r="B985" s="214"/>
      <c r="C985" s="214"/>
      <c r="D985" s="214"/>
      <c r="E985" s="214"/>
      <c r="F985" s="214"/>
      <c r="G985" s="214"/>
      <c r="H985" s="214"/>
      <c r="I985" s="214"/>
      <c r="J985" s="214"/>
      <c r="K985" s="214"/>
      <c r="L985" s="214"/>
      <c r="M985" s="214"/>
      <c r="N985" s="216"/>
      <c r="O985" s="216"/>
      <c r="P985" s="216"/>
      <c r="Q985" s="216"/>
      <c r="R985" s="216"/>
      <c r="S985" s="216"/>
      <c r="T985" s="216"/>
      <c r="U985" s="216"/>
      <c r="V985" s="216"/>
      <c r="W985" s="216"/>
      <c r="X985" s="216"/>
      <c r="Y985" s="216"/>
      <c r="Z985" s="216"/>
      <c r="AA985" s="216"/>
    </row>
    <row r="986" ht="15.0" customHeight="1">
      <c r="A986" s="214"/>
      <c r="B986" s="214"/>
      <c r="C986" s="214"/>
      <c r="D986" s="214"/>
      <c r="E986" s="214"/>
      <c r="F986" s="214"/>
      <c r="G986" s="214"/>
      <c r="H986" s="214"/>
      <c r="I986" s="214"/>
      <c r="J986" s="214"/>
      <c r="K986" s="214"/>
      <c r="L986" s="214"/>
      <c r="M986" s="214"/>
      <c r="N986" s="216"/>
      <c r="O986" s="216"/>
      <c r="P986" s="216"/>
      <c r="Q986" s="216"/>
      <c r="R986" s="216"/>
      <c r="S986" s="216"/>
      <c r="T986" s="216"/>
      <c r="U986" s="216"/>
      <c r="V986" s="216"/>
      <c r="W986" s="216"/>
      <c r="X986" s="216"/>
      <c r="Y986" s="216"/>
      <c r="Z986" s="216"/>
      <c r="AA986" s="216"/>
    </row>
    <row r="987" ht="15.0" customHeight="1">
      <c r="A987" s="214"/>
      <c r="B987" s="214"/>
      <c r="C987" s="214"/>
      <c r="D987" s="214"/>
      <c r="E987" s="214"/>
      <c r="F987" s="214"/>
      <c r="G987" s="214"/>
      <c r="H987" s="214"/>
      <c r="I987" s="214"/>
      <c r="J987" s="214"/>
      <c r="K987" s="214"/>
      <c r="L987" s="214"/>
      <c r="M987" s="214"/>
      <c r="N987" s="216"/>
      <c r="O987" s="216"/>
      <c r="P987" s="216"/>
      <c r="Q987" s="216"/>
      <c r="R987" s="216"/>
      <c r="S987" s="216"/>
      <c r="T987" s="216"/>
      <c r="U987" s="216"/>
      <c r="V987" s="216"/>
      <c r="W987" s="216"/>
      <c r="X987" s="216"/>
      <c r="Y987" s="216"/>
      <c r="Z987" s="216"/>
      <c r="AA987" s="216"/>
    </row>
    <row r="988" ht="15.0" customHeight="1">
      <c r="A988" s="214"/>
      <c r="B988" s="214"/>
      <c r="C988" s="214"/>
      <c r="D988" s="214"/>
      <c r="E988" s="214"/>
      <c r="F988" s="214"/>
      <c r="G988" s="214"/>
      <c r="H988" s="214"/>
      <c r="I988" s="214"/>
      <c r="J988" s="214"/>
      <c r="K988" s="214"/>
      <c r="L988" s="214"/>
      <c r="M988" s="214"/>
      <c r="N988" s="216"/>
      <c r="O988" s="216"/>
      <c r="P988" s="216"/>
      <c r="Q988" s="216"/>
      <c r="R988" s="216"/>
      <c r="S988" s="216"/>
      <c r="T988" s="216"/>
      <c r="U988" s="216"/>
      <c r="V988" s="216"/>
      <c r="W988" s="216"/>
      <c r="X988" s="216"/>
      <c r="Y988" s="216"/>
      <c r="Z988" s="216"/>
      <c r="AA988" s="216"/>
    </row>
    <row r="989" ht="15.0" customHeight="1">
      <c r="A989" s="214"/>
      <c r="B989" s="214"/>
      <c r="C989" s="214"/>
      <c r="D989" s="214"/>
      <c r="E989" s="214"/>
      <c r="F989" s="214"/>
      <c r="G989" s="214"/>
      <c r="H989" s="214"/>
      <c r="I989" s="214"/>
      <c r="J989" s="214"/>
      <c r="K989" s="214"/>
      <c r="L989" s="214"/>
      <c r="M989" s="214"/>
      <c r="N989" s="216"/>
      <c r="O989" s="216"/>
      <c r="P989" s="216"/>
      <c r="Q989" s="216"/>
      <c r="R989" s="216"/>
      <c r="S989" s="216"/>
      <c r="T989" s="216"/>
      <c r="U989" s="216"/>
      <c r="V989" s="216"/>
      <c r="W989" s="216"/>
      <c r="X989" s="216"/>
      <c r="Y989" s="216"/>
      <c r="Z989" s="216"/>
      <c r="AA989" s="216"/>
    </row>
    <row r="990" ht="15.0" customHeight="1">
      <c r="A990" s="214"/>
      <c r="B990" s="214"/>
      <c r="C990" s="214"/>
      <c r="D990" s="214"/>
      <c r="E990" s="214"/>
      <c r="F990" s="214"/>
      <c r="G990" s="214"/>
      <c r="H990" s="214"/>
      <c r="I990" s="214"/>
      <c r="J990" s="214"/>
      <c r="K990" s="214"/>
      <c r="L990" s="214"/>
      <c r="M990" s="214"/>
      <c r="N990" s="216"/>
      <c r="O990" s="216"/>
      <c r="P990" s="216"/>
      <c r="Q990" s="216"/>
      <c r="R990" s="216"/>
      <c r="S990" s="216"/>
      <c r="T990" s="216"/>
      <c r="U990" s="216"/>
      <c r="V990" s="216"/>
      <c r="W990" s="216"/>
      <c r="X990" s="216"/>
      <c r="Y990" s="216"/>
      <c r="Z990" s="216"/>
      <c r="AA990" s="216"/>
    </row>
    <row r="991" ht="15.0" customHeight="1">
      <c r="A991" s="214"/>
      <c r="B991" s="214"/>
      <c r="C991" s="214"/>
      <c r="D991" s="214"/>
      <c r="E991" s="214"/>
      <c r="F991" s="214"/>
      <c r="G991" s="214"/>
      <c r="H991" s="214"/>
      <c r="I991" s="214"/>
      <c r="J991" s="214"/>
      <c r="K991" s="214"/>
      <c r="L991" s="214"/>
      <c r="M991" s="214"/>
      <c r="N991" s="216"/>
      <c r="O991" s="216"/>
      <c r="P991" s="216"/>
      <c r="Q991" s="216"/>
      <c r="R991" s="216"/>
      <c r="S991" s="216"/>
      <c r="T991" s="216"/>
      <c r="U991" s="216"/>
      <c r="V991" s="216"/>
      <c r="W991" s="216"/>
      <c r="X991" s="216"/>
      <c r="Y991" s="216"/>
      <c r="Z991" s="216"/>
      <c r="AA991" s="216"/>
    </row>
    <row r="992" ht="15.0" customHeight="1">
      <c r="A992" s="214"/>
      <c r="B992" s="214"/>
      <c r="C992" s="214"/>
      <c r="D992" s="214"/>
      <c r="E992" s="214"/>
      <c r="F992" s="214"/>
      <c r="G992" s="214"/>
      <c r="H992" s="214"/>
      <c r="I992" s="214"/>
      <c r="J992" s="214"/>
      <c r="K992" s="214"/>
      <c r="L992" s="214"/>
      <c r="M992" s="214"/>
      <c r="N992" s="216"/>
      <c r="O992" s="216"/>
      <c r="P992" s="216"/>
      <c r="Q992" s="216"/>
      <c r="R992" s="216"/>
      <c r="S992" s="216"/>
      <c r="T992" s="216"/>
      <c r="U992" s="216"/>
      <c r="V992" s="216"/>
      <c r="W992" s="216"/>
      <c r="X992" s="216"/>
      <c r="Y992" s="216"/>
      <c r="Z992" s="216"/>
      <c r="AA992" s="216"/>
    </row>
    <row r="993" ht="15.0" customHeight="1">
      <c r="A993" s="214"/>
      <c r="B993" s="214"/>
      <c r="C993" s="214"/>
      <c r="D993" s="214"/>
      <c r="E993" s="214"/>
      <c r="F993" s="214"/>
      <c r="G993" s="214"/>
      <c r="H993" s="214"/>
      <c r="I993" s="214"/>
      <c r="J993" s="214"/>
      <c r="K993" s="214"/>
      <c r="L993" s="214"/>
      <c r="M993" s="214"/>
      <c r="N993" s="216"/>
      <c r="O993" s="216"/>
      <c r="P993" s="216"/>
      <c r="Q993" s="216"/>
      <c r="R993" s="216"/>
      <c r="S993" s="216"/>
      <c r="T993" s="216"/>
      <c r="U993" s="216"/>
      <c r="V993" s="216"/>
      <c r="W993" s="216"/>
      <c r="X993" s="216"/>
      <c r="Y993" s="216"/>
      <c r="Z993" s="216"/>
      <c r="AA993" s="216"/>
    </row>
    <row r="994" ht="15.0" customHeight="1">
      <c r="A994" s="214"/>
      <c r="B994" s="214"/>
      <c r="C994" s="214"/>
      <c r="D994" s="214"/>
      <c r="E994" s="214"/>
      <c r="F994" s="214"/>
      <c r="G994" s="214"/>
      <c r="H994" s="214"/>
      <c r="I994" s="214"/>
      <c r="J994" s="214"/>
      <c r="K994" s="214"/>
      <c r="L994" s="214"/>
      <c r="M994" s="214"/>
      <c r="N994" s="216"/>
      <c r="O994" s="216"/>
      <c r="P994" s="216"/>
      <c r="Q994" s="216"/>
      <c r="R994" s="216"/>
      <c r="S994" s="216"/>
      <c r="T994" s="216"/>
      <c r="U994" s="216"/>
      <c r="V994" s="216"/>
      <c r="W994" s="216"/>
      <c r="X994" s="216"/>
      <c r="Y994" s="216"/>
      <c r="Z994" s="216"/>
      <c r="AA994" s="216"/>
    </row>
    <row r="995" ht="15.0" customHeight="1">
      <c r="A995" s="214"/>
      <c r="B995" s="214"/>
      <c r="C995" s="214"/>
      <c r="D995" s="214"/>
      <c r="E995" s="214"/>
      <c r="F995" s="214"/>
      <c r="G995" s="214"/>
      <c r="H995" s="214"/>
      <c r="I995" s="214"/>
      <c r="J995" s="214"/>
      <c r="K995" s="214"/>
      <c r="L995" s="214"/>
      <c r="M995" s="214"/>
      <c r="N995" s="216"/>
      <c r="O995" s="216"/>
      <c r="P995" s="216"/>
      <c r="Q995" s="216"/>
      <c r="R995" s="216"/>
      <c r="S995" s="216"/>
      <c r="T995" s="216"/>
      <c r="U995" s="216"/>
      <c r="V995" s="216"/>
      <c r="W995" s="216"/>
      <c r="X995" s="216"/>
      <c r="Y995" s="216"/>
      <c r="Z995" s="216"/>
      <c r="AA995" s="216"/>
    </row>
    <row r="996" ht="15.0" customHeight="1">
      <c r="A996" s="214"/>
      <c r="B996" s="214"/>
      <c r="C996" s="214"/>
      <c r="D996" s="214"/>
      <c r="E996" s="214"/>
      <c r="F996" s="214"/>
      <c r="G996" s="214"/>
      <c r="H996" s="214"/>
      <c r="I996" s="214"/>
      <c r="J996" s="214"/>
      <c r="K996" s="214"/>
      <c r="L996" s="214"/>
      <c r="M996" s="214"/>
      <c r="N996" s="216"/>
      <c r="O996" s="216"/>
      <c r="P996" s="216"/>
      <c r="Q996" s="216"/>
      <c r="R996" s="216"/>
      <c r="S996" s="216"/>
      <c r="T996" s="216"/>
      <c r="U996" s="216"/>
      <c r="V996" s="216"/>
      <c r="W996" s="216"/>
      <c r="X996" s="216"/>
      <c r="Y996" s="216"/>
      <c r="Z996" s="216"/>
      <c r="AA996" s="216"/>
    </row>
    <row r="997" ht="15.0" customHeight="1">
      <c r="A997" s="214"/>
      <c r="B997" s="214"/>
      <c r="C997" s="214"/>
      <c r="D997" s="214"/>
      <c r="E997" s="214"/>
      <c r="F997" s="214"/>
      <c r="G997" s="214"/>
      <c r="H997" s="214"/>
      <c r="I997" s="214"/>
      <c r="J997" s="214"/>
      <c r="K997" s="214"/>
      <c r="L997" s="214"/>
      <c r="M997" s="214"/>
      <c r="N997" s="216"/>
      <c r="O997" s="216"/>
      <c r="P997" s="216"/>
      <c r="Q997" s="216"/>
      <c r="R997" s="216"/>
      <c r="S997" s="216"/>
      <c r="T997" s="216"/>
      <c r="U997" s="216"/>
      <c r="V997" s="216"/>
      <c r="W997" s="216"/>
      <c r="X997" s="216"/>
      <c r="Y997" s="216"/>
      <c r="Z997" s="216"/>
      <c r="AA997" s="216"/>
    </row>
    <row r="998" ht="15.0" customHeight="1">
      <c r="A998" s="214"/>
      <c r="B998" s="214"/>
      <c r="C998" s="214"/>
      <c r="D998" s="214"/>
      <c r="E998" s="214"/>
      <c r="F998" s="214"/>
      <c r="G998" s="214"/>
      <c r="H998" s="214"/>
      <c r="I998" s="214"/>
      <c r="J998" s="214"/>
      <c r="K998" s="214"/>
      <c r="L998" s="214"/>
      <c r="M998" s="214"/>
      <c r="N998" s="216"/>
      <c r="O998" s="216"/>
      <c r="P998" s="216"/>
      <c r="Q998" s="216"/>
      <c r="R998" s="216"/>
      <c r="S998" s="216"/>
      <c r="T998" s="216"/>
      <c r="U998" s="216"/>
      <c r="V998" s="216"/>
      <c r="W998" s="216"/>
      <c r="X998" s="216"/>
      <c r="Y998" s="216"/>
      <c r="Z998" s="216"/>
      <c r="AA998" s="216"/>
    </row>
    <row r="999" ht="15.0" customHeight="1">
      <c r="A999" s="214"/>
      <c r="B999" s="214"/>
      <c r="C999" s="214"/>
      <c r="D999" s="214"/>
      <c r="E999" s="214"/>
      <c r="F999" s="214"/>
      <c r="G999" s="214"/>
      <c r="H999" s="214"/>
      <c r="I999" s="214"/>
      <c r="J999" s="214"/>
      <c r="K999" s="214"/>
      <c r="L999" s="214"/>
      <c r="M999" s="214"/>
      <c r="N999" s="216"/>
      <c r="O999" s="216"/>
      <c r="P999" s="216"/>
      <c r="Q999" s="216"/>
      <c r="R999" s="216"/>
      <c r="S999" s="216"/>
      <c r="T999" s="216"/>
      <c r="U999" s="216"/>
      <c r="V999" s="216"/>
      <c r="W999" s="216"/>
      <c r="X999" s="216"/>
      <c r="Y999" s="216"/>
      <c r="Z999" s="216"/>
      <c r="AA999" s="216"/>
    </row>
    <row r="1000" ht="15.0" customHeight="1">
      <c r="A1000" s="214"/>
      <c r="B1000" s="214"/>
      <c r="C1000" s="214"/>
      <c r="D1000" s="214"/>
      <c r="E1000" s="214"/>
      <c r="F1000" s="214"/>
      <c r="G1000" s="214"/>
      <c r="H1000" s="214"/>
      <c r="I1000" s="214"/>
      <c r="J1000" s="214"/>
      <c r="K1000" s="214"/>
      <c r="L1000" s="214"/>
      <c r="M1000" s="214"/>
      <c r="N1000" s="216"/>
      <c r="O1000" s="216"/>
      <c r="P1000" s="216"/>
      <c r="Q1000" s="216"/>
      <c r="R1000" s="216"/>
      <c r="S1000" s="216"/>
      <c r="T1000" s="216"/>
      <c r="U1000" s="216"/>
      <c r="V1000" s="216"/>
      <c r="W1000" s="216"/>
      <c r="X1000" s="216"/>
      <c r="Y1000" s="216"/>
      <c r="Z1000" s="216"/>
      <c r="AA1000" s="216"/>
    </row>
    <row r="1001" ht="15.0" customHeight="1">
      <c r="A1001" s="214"/>
      <c r="B1001" s="214"/>
      <c r="C1001" s="214"/>
      <c r="D1001" s="214"/>
      <c r="E1001" s="214"/>
      <c r="F1001" s="214"/>
      <c r="G1001" s="214"/>
      <c r="H1001" s="214"/>
      <c r="I1001" s="214"/>
      <c r="J1001" s="214"/>
      <c r="K1001" s="214"/>
      <c r="L1001" s="214"/>
      <c r="M1001" s="214"/>
      <c r="N1001" s="216"/>
      <c r="O1001" s="216"/>
      <c r="P1001" s="216"/>
      <c r="Q1001" s="216"/>
      <c r="R1001" s="216"/>
      <c r="S1001" s="216"/>
      <c r="T1001" s="216"/>
      <c r="U1001" s="216"/>
      <c r="V1001" s="216"/>
      <c r="W1001" s="216"/>
      <c r="X1001" s="216"/>
      <c r="Y1001" s="216"/>
      <c r="Z1001" s="216"/>
      <c r="AA1001" s="216"/>
    </row>
    <row r="1002" ht="15.0" customHeight="1">
      <c r="A1002" s="214"/>
      <c r="B1002" s="214"/>
      <c r="C1002" s="214"/>
      <c r="D1002" s="214"/>
      <c r="E1002" s="214"/>
      <c r="F1002" s="214"/>
      <c r="G1002" s="214"/>
      <c r="H1002" s="214"/>
      <c r="I1002" s="214"/>
      <c r="J1002" s="214"/>
      <c r="K1002" s="214"/>
      <c r="L1002" s="214"/>
      <c r="M1002" s="214"/>
      <c r="N1002" s="216"/>
      <c r="O1002" s="216"/>
      <c r="P1002" s="216"/>
      <c r="Q1002" s="216"/>
      <c r="R1002" s="216"/>
      <c r="S1002" s="216"/>
      <c r="T1002" s="216"/>
      <c r="U1002" s="216"/>
      <c r="V1002" s="216"/>
      <c r="W1002" s="216"/>
      <c r="X1002" s="216"/>
      <c r="Y1002" s="216"/>
      <c r="Z1002" s="216"/>
      <c r="AA1002" s="216"/>
    </row>
    <row r="1003" ht="15.0" customHeight="1">
      <c r="A1003" s="214"/>
      <c r="B1003" s="214"/>
      <c r="C1003" s="214"/>
      <c r="D1003" s="214"/>
      <c r="E1003" s="214"/>
      <c r="F1003" s="214"/>
      <c r="G1003" s="214"/>
      <c r="H1003" s="214"/>
      <c r="I1003" s="214"/>
      <c r="J1003" s="214"/>
      <c r="K1003" s="214"/>
      <c r="L1003" s="214"/>
      <c r="M1003" s="214"/>
      <c r="N1003" s="216"/>
      <c r="O1003" s="216"/>
      <c r="P1003" s="216"/>
      <c r="Q1003" s="216"/>
      <c r="R1003" s="216"/>
      <c r="S1003" s="216"/>
      <c r="T1003" s="216"/>
      <c r="U1003" s="216"/>
      <c r="V1003" s="216"/>
      <c r="W1003" s="216"/>
      <c r="X1003" s="216"/>
      <c r="Y1003" s="216"/>
      <c r="Z1003" s="216"/>
      <c r="AA1003" s="216"/>
    </row>
    <row r="1004" ht="15.0" customHeight="1">
      <c r="A1004" s="214"/>
      <c r="B1004" s="214"/>
      <c r="C1004" s="214"/>
      <c r="D1004" s="214"/>
      <c r="E1004" s="214"/>
      <c r="F1004" s="214"/>
      <c r="G1004" s="214"/>
      <c r="H1004" s="214"/>
      <c r="I1004" s="214"/>
      <c r="J1004" s="214"/>
      <c r="K1004" s="214"/>
      <c r="L1004" s="214"/>
      <c r="M1004" s="214"/>
      <c r="N1004" s="216"/>
      <c r="O1004" s="216"/>
      <c r="P1004" s="216"/>
      <c r="Q1004" s="216"/>
      <c r="R1004" s="216"/>
      <c r="S1004" s="216"/>
      <c r="T1004" s="216"/>
      <c r="U1004" s="216"/>
      <c r="V1004" s="216"/>
      <c r="W1004" s="216"/>
      <c r="X1004" s="216"/>
      <c r="Y1004" s="216"/>
      <c r="Z1004" s="216"/>
      <c r="AA1004" s="216"/>
    </row>
    <row r="1005" ht="15.0" customHeight="1">
      <c r="A1005" s="214"/>
      <c r="B1005" s="214"/>
      <c r="C1005" s="214"/>
      <c r="D1005" s="214"/>
      <c r="E1005" s="214"/>
      <c r="F1005" s="214"/>
      <c r="G1005" s="214"/>
      <c r="H1005" s="214"/>
      <c r="I1005" s="214"/>
      <c r="J1005" s="214"/>
      <c r="K1005" s="214"/>
      <c r="L1005" s="214"/>
      <c r="M1005" s="214"/>
      <c r="N1005" s="216"/>
      <c r="O1005" s="216"/>
      <c r="P1005" s="216"/>
      <c r="Q1005" s="216"/>
      <c r="R1005" s="216"/>
      <c r="S1005" s="216"/>
      <c r="T1005" s="216"/>
      <c r="U1005" s="216"/>
      <c r="V1005" s="216"/>
      <c r="W1005" s="216"/>
      <c r="X1005" s="216"/>
      <c r="Y1005" s="216"/>
      <c r="Z1005" s="216"/>
      <c r="AA1005" s="216"/>
    </row>
    <row r="1006" ht="15.0" customHeight="1">
      <c r="A1006" s="214"/>
      <c r="B1006" s="214"/>
      <c r="C1006" s="214"/>
      <c r="D1006" s="214"/>
      <c r="E1006" s="214"/>
      <c r="F1006" s="214"/>
      <c r="G1006" s="214"/>
      <c r="H1006" s="214"/>
      <c r="I1006" s="214"/>
      <c r="J1006" s="214"/>
      <c r="K1006" s="214"/>
      <c r="L1006" s="214"/>
      <c r="M1006" s="214"/>
      <c r="N1006" s="216"/>
      <c r="O1006" s="216"/>
      <c r="P1006" s="216"/>
      <c r="Q1006" s="216"/>
      <c r="R1006" s="216"/>
      <c r="S1006" s="216"/>
      <c r="T1006" s="216"/>
      <c r="U1006" s="216"/>
      <c r="V1006" s="216"/>
      <c r="W1006" s="216"/>
      <c r="X1006" s="216"/>
      <c r="Y1006" s="216"/>
      <c r="Z1006" s="216"/>
      <c r="AA1006" s="216"/>
    </row>
    <row r="1007" ht="15.0" customHeight="1">
      <c r="A1007" s="214"/>
      <c r="B1007" s="214"/>
      <c r="C1007" s="214"/>
      <c r="D1007" s="214"/>
      <c r="E1007" s="214"/>
      <c r="F1007" s="214"/>
      <c r="G1007" s="214"/>
      <c r="H1007" s="214"/>
      <c r="I1007" s="214"/>
      <c r="J1007" s="214"/>
      <c r="K1007" s="214"/>
      <c r="L1007" s="214"/>
      <c r="M1007" s="214"/>
      <c r="N1007" s="216"/>
      <c r="O1007" s="216"/>
      <c r="P1007" s="216"/>
      <c r="Q1007" s="216"/>
      <c r="R1007" s="216"/>
      <c r="S1007" s="216"/>
      <c r="T1007" s="216"/>
      <c r="U1007" s="216"/>
      <c r="V1007" s="216"/>
      <c r="W1007" s="216"/>
      <c r="X1007" s="216"/>
      <c r="Y1007" s="216"/>
      <c r="Z1007" s="216"/>
      <c r="AA1007" s="216"/>
    </row>
    <row r="1008" ht="15.0" customHeight="1">
      <c r="A1008" s="214"/>
      <c r="B1008" s="214"/>
      <c r="C1008" s="214"/>
      <c r="D1008" s="214"/>
      <c r="E1008" s="214"/>
      <c r="F1008" s="214"/>
      <c r="G1008" s="214"/>
      <c r="H1008" s="214"/>
      <c r="I1008" s="214"/>
      <c r="J1008" s="214"/>
      <c r="K1008" s="214"/>
      <c r="L1008" s="214"/>
      <c r="M1008" s="214"/>
      <c r="N1008" s="216"/>
      <c r="O1008" s="216"/>
      <c r="P1008" s="216"/>
      <c r="Q1008" s="216"/>
      <c r="R1008" s="216"/>
      <c r="S1008" s="216"/>
      <c r="T1008" s="216"/>
      <c r="U1008" s="216"/>
      <c r="V1008" s="216"/>
      <c r="W1008" s="216"/>
      <c r="X1008" s="216"/>
      <c r="Y1008" s="216"/>
      <c r="Z1008" s="216"/>
      <c r="AA1008" s="216"/>
    </row>
    <row r="1009" ht="15.0" customHeight="1">
      <c r="A1009" s="214"/>
      <c r="B1009" s="214"/>
      <c r="C1009" s="214"/>
      <c r="D1009" s="214"/>
      <c r="E1009" s="214"/>
      <c r="F1009" s="214"/>
      <c r="G1009" s="214"/>
      <c r="H1009" s="214"/>
      <c r="I1009" s="214"/>
      <c r="J1009" s="214"/>
      <c r="K1009" s="214"/>
      <c r="L1009" s="214"/>
      <c r="M1009" s="214"/>
      <c r="N1009" s="216"/>
      <c r="O1009" s="216"/>
      <c r="P1009" s="216"/>
      <c r="Q1009" s="216"/>
      <c r="R1009" s="216"/>
      <c r="S1009" s="216"/>
      <c r="T1009" s="216"/>
      <c r="U1009" s="216"/>
      <c r="V1009" s="216"/>
      <c r="W1009" s="216"/>
      <c r="X1009" s="216"/>
      <c r="Y1009" s="216"/>
      <c r="Z1009" s="216"/>
      <c r="AA1009" s="216"/>
    </row>
    <row r="1010" ht="15.0" customHeight="1">
      <c r="A1010" s="214"/>
      <c r="B1010" s="214"/>
      <c r="C1010" s="214"/>
      <c r="D1010" s="214"/>
      <c r="E1010" s="214"/>
      <c r="F1010" s="214"/>
      <c r="G1010" s="214"/>
      <c r="H1010" s="214"/>
      <c r="I1010" s="214"/>
      <c r="J1010" s="214"/>
      <c r="K1010" s="214"/>
      <c r="L1010" s="214"/>
      <c r="M1010" s="214"/>
      <c r="N1010" s="216"/>
      <c r="O1010" s="216"/>
      <c r="P1010" s="216"/>
      <c r="Q1010" s="216"/>
      <c r="R1010" s="216"/>
      <c r="S1010" s="216"/>
      <c r="T1010" s="216"/>
      <c r="U1010" s="216"/>
      <c r="V1010" s="216"/>
      <c r="W1010" s="216"/>
      <c r="X1010" s="216"/>
      <c r="Y1010" s="216"/>
      <c r="Z1010" s="216"/>
      <c r="AA1010" s="216"/>
    </row>
    <row r="1011" ht="15.0" customHeight="1">
      <c r="A1011" s="214"/>
      <c r="B1011" s="214"/>
      <c r="C1011" s="214"/>
      <c r="D1011" s="214"/>
      <c r="E1011" s="214"/>
      <c r="F1011" s="214"/>
      <c r="G1011" s="214"/>
      <c r="H1011" s="214"/>
      <c r="I1011" s="214"/>
      <c r="J1011" s="214"/>
      <c r="K1011" s="214"/>
      <c r="L1011" s="214"/>
      <c r="M1011" s="214"/>
      <c r="N1011" s="216"/>
      <c r="O1011" s="216"/>
      <c r="P1011" s="216"/>
      <c r="Q1011" s="216"/>
      <c r="R1011" s="216"/>
      <c r="S1011" s="216"/>
      <c r="T1011" s="216"/>
      <c r="U1011" s="216"/>
      <c r="V1011" s="216"/>
      <c r="W1011" s="216"/>
      <c r="X1011" s="216"/>
      <c r="Y1011" s="216"/>
      <c r="Z1011" s="216"/>
      <c r="AA1011" s="216"/>
    </row>
    <row r="1012" ht="15.0" customHeight="1">
      <c r="A1012" s="214"/>
      <c r="B1012" s="214"/>
      <c r="C1012" s="214"/>
      <c r="D1012" s="214"/>
      <c r="E1012" s="214"/>
      <c r="F1012" s="214"/>
      <c r="G1012" s="214"/>
      <c r="H1012" s="214"/>
      <c r="I1012" s="214"/>
      <c r="J1012" s="214"/>
      <c r="K1012" s="214"/>
      <c r="L1012" s="214"/>
      <c r="M1012" s="214"/>
      <c r="N1012" s="216"/>
      <c r="O1012" s="216"/>
      <c r="P1012" s="216"/>
      <c r="Q1012" s="216"/>
      <c r="R1012" s="216"/>
      <c r="S1012" s="216"/>
      <c r="T1012" s="216"/>
      <c r="U1012" s="216"/>
      <c r="V1012" s="216"/>
      <c r="W1012" s="216"/>
      <c r="X1012" s="216"/>
      <c r="Y1012" s="216"/>
      <c r="Z1012" s="216"/>
      <c r="AA1012" s="216"/>
    </row>
    <row r="1013" ht="15.0" customHeight="1">
      <c r="A1013" s="214"/>
      <c r="B1013" s="214"/>
      <c r="C1013" s="214"/>
      <c r="D1013" s="214"/>
      <c r="E1013" s="214"/>
      <c r="F1013" s="214"/>
      <c r="G1013" s="214"/>
      <c r="H1013" s="214"/>
      <c r="I1013" s="214"/>
      <c r="J1013" s="214"/>
      <c r="K1013" s="214"/>
      <c r="L1013" s="214"/>
      <c r="M1013" s="214"/>
      <c r="N1013" s="216"/>
      <c r="O1013" s="216"/>
      <c r="P1013" s="216"/>
      <c r="Q1013" s="216"/>
      <c r="R1013" s="216"/>
      <c r="S1013" s="216"/>
      <c r="T1013" s="216"/>
      <c r="U1013" s="216"/>
      <c r="V1013" s="216"/>
      <c r="W1013" s="216"/>
      <c r="X1013" s="216"/>
      <c r="Y1013" s="216"/>
      <c r="Z1013" s="216"/>
      <c r="AA1013" s="216"/>
    </row>
    <row r="1014" ht="15.0" customHeight="1">
      <c r="A1014" s="214"/>
      <c r="B1014" s="214"/>
      <c r="C1014" s="214"/>
      <c r="D1014" s="214"/>
      <c r="E1014" s="214"/>
      <c r="F1014" s="214"/>
      <c r="G1014" s="214"/>
      <c r="H1014" s="214"/>
      <c r="I1014" s="214"/>
      <c r="J1014" s="214"/>
      <c r="K1014" s="214"/>
      <c r="L1014" s="214"/>
      <c r="M1014" s="214"/>
      <c r="N1014" s="216"/>
      <c r="O1014" s="216"/>
      <c r="P1014" s="216"/>
      <c r="Q1014" s="216"/>
      <c r="R1014" s="216"/>
      <c r="S1014" s="216"/>
      <c r="T1014" s="216"/>
      <c r="U1014" s="216"/>
      <c r="V1014" s="216"/>
      <c r="W1014" s="216"/>
      <c r="X1014" s="216"/>
      <c r="Y1014" s="216"/>
      <c r="Z1014" s="216"/>
      <c r="AA1014" s="216"/>
    </row>
    <row r="1015" ht="15.0" customHeight="1">
      <c r="A1015" s="214"/>
      <c r="B1015" s="214"/>
      <c r="C1015" s="214"/>
      <c r="D1015" s="214"/>
      <c r="E1015" s="214"/>
      <c r="F1015" s="214"/>
      <c r="G1015" s="214"/>
      <c r="H1015" s="214"/>
      <c r="I1015" s="214"/>
      <c r="J1015" s="214"/>
      <c r="K1015" s="214"/>
      <c r="L1015" s="214"/>
      <c r="M1015" s="214"/>
      <c r="N1015" s="216"/>
      <c r="O1015" s="216"/>
      <c r="P1015" s="216"/>
      <c r="Q1015" s="216"/>
      <c r="R1015" s="216"/>
      <c r="S1015" s="216"/>
      <c r="T1015" s="216"/>
      <c r="U1015" s="216"/>
      <c r="V1015" s="216"/>
      <c r="W1015" s="216"/>
      <c r="X1015" s="216"/>
      <c r="Y1015" s="216"/>
      <c r="Z1015" s="216"/>
      <c r="AA1015" s="216"/>
    </row>
    <row r="1016" ht="15.0" customHeight="1">
      <c r="A1016" s="214"/>
      <c r="B1016" s="214"/>
      <c r="C1016" s="214"/>
      <c r="D1016" s="214"/>
      <c r="E1016" s="214"/>
      <c r="F1016" s="214"/>
      <c r="G1016" s="214"/>
      <c r="H1016" s="214"/>
      <c r="I1016" s="214"/>
      <c r="J1016" s="214"/>
      <c r="K1016" s="214"/>
      <c r="L1016" s="214"/>
      <c r="M1016" s="214"/>
      <c r="N1016" s="216"/>
      <c r="O1016" s="216"/>
      <c r="P1016" s="216"/>
      <c r="Q1016" s="216"/>
      <c r="R1016" s="216"/>
      <c r="S1016" s="216"/>
      <c r="T1016" s="216"/>
      <c r="U1016" s="216"/>
      <c r="V1016" s="216"/>
      <c r="W1016" s="216"/>
      <c r="X1016" s="216"/>
      <c r="Y1016" s="216"/>
      <c r="Z1016" s="216"/>
      <c r="AA1016" s="216"/>
    </row>
    <row r="1017" ht="15.0" customHeight="1">
      <c r="A1017" s="214"/>
      <c r="B1017" s="214"/>
      <c r="C1017" s="214"/>
      <c r="D1017" s="214"/>
      <c r="E1017" s="214"/>
      <c r="F1017" s="214"/>
      <c r="G1017" s="214"/>
      <c r="H1017" s="214"/>
      <c r="I1017" s="214"/>
      <c r="J1017" s="214"/>
      <c r="K1017" s="214"/>
      <c r="L1017" s="214"/>
      <c r="M1017" s="214"/>
      <c r="N1017" s="216"/>
      <c r="O1017" s="216"/>
      <c r="P1017" s="216"/>
      <c r="Q1017" s="216"/>
      <c r="R1017" s="216"/>
      <c r="S1017" s="216"/>
      <c r="T1017" s="216"/>
      <c r="U1017" s="216"/>
      <c r="V1017" s="216"/>
      <c r="W1017" s="216"/>
      <c r="X1017" s="216"/>
      <c r="Y1017" s="216"/>
      <c r="Z1017" s="216"/>
      <c r="AA1017" s="216"/>
    </row>
    <row r="1018" ht="15.0" customHeight="1">
      <c r="A1018" s="214"/>
      <c r="B1018" s="214"/>
      <c r="C1018" s="214"/>
      <c r="D1018" s="214"/>
      <c r="E1018" s="214"/>
      <c r="F1018" s="214"/>
      <c r="G1018" s="214"/>
      <c r="H1018" s="214"/>
      <c r="I1018" s="214"/>
      <c r="J1018" s="214"/>
      <c r="K1018" s="214"/>
      <c r="L1018" s="214"/>
      <c r="M1018" s="214"/>
      <c r="N1018" s="216"/>
      <c r="O1018" s="216"/>
      <c r="P1018" s="216"/>
      <c r="Q1018" s="216"/>
      <c r="R1018" s="216"/>
      <c r="S1018" s="216"/>
      <c r="T1018" s="216"/>
      <c r="U1018" s="216"/>
      <c r="V1018" s="216"/>
      <c r="W1018" s="216"/>
      <c r="X1018" s="216"/>
      <c r="Y1018" s="216"/>
      <c r="Z1018" s="216"/>
      <c r="AA1018" s="216"/>
    </row>
    <row r="1019" ht="15.0" customHeight="1">
      <c r="A1019" s="214"/>
      <c r="B1019" s="214"/>
      <c r="C1019" s="214"/>
      <c r="D1019" s="214"/>
      <c r="E1019" s="214"/>
      <c r="F1019" s="214"/>
      <c r="G1019" s="214"/>
      <c r="H1019" s="214"/>
      <c r="I1019" s="214"/>
      <c r="J1019" s="214"/>
      <c r="K1019" s="214"/>
      <c r="L1019" s="214"/>
      <c r="M1019" s="214"/>
      <c r="N1019" s="216"/>
      <c r="O1019" s="216"/>
      <c r="P1019" s="216"/>
      <c r="Q1019" s="216"/>
      <c r="R1019" s="216"/>
      <c r="S1019" s="216"/>
      <c r="T1019" s="216"/>
      <c r="U1019" s="216"/>
      <c r="V1019" s="216"/>
      <c r="W1019" s="216"/>
      <c r="X1019" s="216"/>
      <c r="Y1019" s="216"/>
      <c r="Z1019" s="216"/>
      <c r="AA1019" s="216"/>
    </row>
    <row r="1020" ht="15.0" customHeight="1">
      <c r="A1020" s="214"/>
      <c r="B1020" s="214"/>
      <c r="C1020" s="214"/>
      <c r="D1020" s="214"/>
      <c r="E1020" s="214"/>
      <c r="F1020" s="214"/>
      <c r="G1020" s="214"/>
      <c r="H1020" s="214"/>
      <c r="I1020" s="214"/>
      <c r="J1020" s="214"/>
      <c r="K1020" s="214"/>
      <c r="L1020" s="214"/>
      <c r="M1020" s="214"/>
      <c r="N1020" s="216"/>
      <c r="O1020" s="216"/>
      <c r="P1020" s="216"/>
      <c r="Q1020" s="216"/>
      <c r="R1020" s="216"/>
      <c r="S1020" s="216"/>
      <c r="T1020" s="216"/>
      <c r="U1020" s="216"/>
      <c r="V1020" s="216"/>
      <c r="W1020" s="216"/>
      <c r="X1020" s="216"/>
      <c r="Y1020" s="216"/>
      <c r="Z1020" s="216"/>
      <c r="AA1020" s="216"/>
    </row>
    <row r="1021" ht="15.0" customHeight="1">
      <c r="A1021" s="214"/>
      <c r="B1021" s="214"/>
      <c r="C1021" s="214"/>
      <c r="D1021" s="214"/>
      <c r="E1021" s="214"/>
      <c r="F1021" s="214"/>
      <c r="G1021" s="214"/>
      <c r="H1021" s="214"/>
      <c r="I1021" s="214"/>
      <c r="J1021" s="214"/>
      <c r="K1021" s="214"/>
      <c r="L1021" s="214"/>
      <c r="M1021" s="214"/>
      <c r="N1021" s="216"/>
      <c r="O1021" s="216"/>
      <c r="P1021" s="216"/>
      <c r="Q1021" s="216"/>
      <c r="R1021" s="216"/>
      <c r="S1021" s="216"/>
      <c r="T1021" s="216"/>
      <c r="U1021" s="216"/>
      <c r="V1021" s="216"/>
      <c r="W1021" s="216"/>
      <c r="X1021" s="216"/>
      <c r="Y1021" s="216"/>
      <c r="Z1021" s="216"/>
      <c r="AA1021" s="216"/>
    </row>
    <row r="1022" ht="15.0" customHeight="1">
      <c r="A1022" s="214"/>
      <c r="B1022" s="214"/>
      <c r="C1022" s="214"/>
      <c r="D1022" s="214"/>
      <c r="E1022" s="214"/>
      <c r="F1022" s="214"/>
      <c r="G1022" s="214"/>
      <c r="H1022" s="214"/>
      <c r="I1022" s="214"/>
      <c r="J1022" s="214"/>
      <c r="K1022" s="214"/>
      <c r="L1022" s="214"/>
      <c r="M1022" s="214"/>
      <c r="N1022" s="216"/>
      <c r="O1022" s="216"/>
      <c r="P1022" s="216"/>
      <c r="Q1022" s="216"/>
      <c r="R1022" s="216"/>
      <c r="S1022" s="216"/>
      <c r="T1022" s="216"/>
      <c r="U1022" s="216"/>
      <c r="V1022" s="216"/>
      <c r="W1022" s="216"/>
      <c r="X1022" s="216"/>
      <c r="Y1022" s="216"/>
      <c r="Z1022" s="216"/>
      <c r="AA1022" s="216"/>
    </row>
    <row r="1023" ht="15.0" customHeight="1">
      <c r="A1023" s="214"/>
      <c r="B1023" s="214"/>
      <c r="C1023" s="214"/>
      <c r="D1023" s="214"/>
      <c r="E1023" s="214"/>
      <c r="F1023" s="214"/>
      <c r="G1023" s="214"/>
      <c r="H1023" s="214"/>
      <c r="I1023" s="214"/>
      <c r="J1023" s="214"/>
      <c r="K1023" s="214"/>
      <c r="L1023" s="214"/>
      <c r="M1023" s="214"/>
      <c r="N1023" s="216"/>
      <c r="O1023" s="216"/>
      <c r="P1023" s="216"/>
      <c r="Q1023" s="216"/>
      <c r="R1023" s="216"/>
      <c r="S1023" s="216"/>
      <c r="T1023" s="216"/>
      <c r="U1023" s="216"/>
      <c r="V1023" s="216"/>
      <c r="W1023" s="216"/>
      <c r="X1023" s="216"/>
      <c r="Y1023" s="216"/>
      <c r="Z1023" s="216"/>
      <c r="AA1023" s="216"/>
    </row>
    <row r="1024" ht="15.0" customHeight="1">
      <c r="A1024" s="214"/>
      <c r="B1024" s="214"/>
      <c r="C1024" s="214"/>
      <c r="D1024" s="214"/>
      <c r="E1024" s="214"/>
      <c r="F1024" s="214"/>
      <c r="G1024" s="214"/>
      <c r="H1024" s="214"/>
      <c r="I1024" s="214"/>
      <c r="J1024" s="214"/>
      <c r="K1024" s="214"/>
      <c r="L1024" s="214"/>
      <c r="M1024" s="214"/>
      <c r="N1024" s="216"/>
      <c r="O1024" s="216"/>
      <c r="P1024" s="216"/>
      <c r="Q1024" s="216"/>
      <c r="R1024" s="216"/>
      <c r="S1024" s="216"/>
      <c r="T1024" s="216"/>
      <c r="U1024" s="216"/>
      <c r="V1024" s="216"/>
      <c r="W1024" s="216"/>
      <c r="X1024" s="216"/>
      <c r="Y1024" s="216"/>
      <c r="Z1024" s="216"/>
      <c r="AA1024" s="216"/>
    </row>
    <row r="1025" ht="15.0" customHeight="1">
      <c r="A1025" s="214"/>
      <c r="B1025" s="214"/>
      <c r="C1025" s="214"/>
      <c r="D1025" s="214"/>
      <c r="E1025" s="214"/>
      <c r="F1025" s="214"/>
      <c r="G1025" s="214"/>
      <c r="H1025" s="214"/>
      <c r="I1025" s="214"/>
      <c r="J1025" s="214"/>
      <c r="K1025" s="214"/>
      <c r="L1025" s="214"/>
      <c r="M1025" s="214"/>
      <c r="N1025" s="216"/>
      <c r="O1025" s="216"/>
      <c r="P1025" s="216"/>
      <c r="Q1025" s="216"/>
      <c r="R1025" s="216"/>
      <c r="S1025" s="216"/>
      <c r="T1025" s="216"/>
      <c r="U1025" s="216"/>
      <c r="V1025" s="216"/>
      <c r="W1025" s="216"/>
      <c r="X1025" s="216"/>
      <c r="Y1025" s="216"/>
      <c r="Z1025" s="216"/>
      <c r="AA1025" s="216"/>
    </row>
    <row r="1026" ht="15.0" customHeight="1">
      <c r="A1026" s="214"/>
      <c r="B1026" s="214"/>
      <c r="C1026" s="214"/>
      <c r="D1026" s="214"/>
      <c r="E1026" s="214"/>
      <c r="F1026" s="214"/>
      <c r="G1026" s="214"/>
      <c r="H1026" s="214"/>
      <c r="I1026" s="214"/>
      <c r="J1026" s="214"/>
      <c r="K1026" s="214"/>
      <c r="L1026" s="214"/>
      <c r="M1026" s="214"/>
      <c r="N1026" s="216"/>
      <c r="O1026" s="216"/>
      <c r="P1026" s="216"/>
      <c r="Q1026" s="216"/>
      <c r="R1026" s="216"/>
      <c r="S1026" s="216"/>
      <c r="T1026" s="216"/>
      <c r="U1026" s="216"/>
      <c r="V1026" s="216"/>
      <c r="W1026" s="216"/>
      <c r="X1026" s="216"/>
      <c r="Y1026" s="216"/>
      <c r="Z1026" s="216"/>
      <c r="AA1026" s="216"/>
    </row>
    <row r="1027" ht="15.0" customHeight="1">
      <c r="A1027" s="214"/>
      <c r="B1027" s="214"/>
      <c r="C1027" s="214"/>
      <c r="D1027" s="214"/>
      <c r="E1027" s="214"/>
      <c r="F1027" s="214"/>
      <c r="G1027" s="214"/>
      <c r="H1027" s="214"/>
      <c r="I1027" s="214"/>
      <c r="J1027" s="214"/>
      <c r="K1027" s="214"/>
      <c r="L1027" s="214"/>
      <c r="M1027" s="214"/>
      <c r="N1027" s="216"/>
      <c r="O1027" s="216"/>
      <c r="P1027" s="216"/>
      <c r="Q1027" s="216"/>
      <c r="R1027" s="216"/>
      <c r="S1027" s="216"/>
      <c r="T1027" s="216"/>
      <c r="U1027" s="216"/>
      <c r="V1027" s="216"/>
      <c r="W1027" s="216"/>
      <c r="X1027" s="216"/>
      <c r="Y1027" s="216"/>
      <c r="Z1027" s="216"/>
      <c r="AA1027" s="216"/>
    </row>
    <row r="1028" ht="15.0" customHeight="1">
      <c r="A1028" s="214"/>
      <c r="B1028" s="214"/>
      <c r="C1028" s="214"/>
      <c r="D1028" s="214"/>
      <c r="E1028" s="214"/>
      <c r="F1028" s="214"/>
      <c r="G1028" s="214"/>
      <c r="H1028" s="214"/>
      <c r="I1028" s="214"/>
      <c r="J1028" s="214"/>
      <c r="K1028" s="214"/>
      <c r="L1028" s="214"/>
      <c r="M1028" s="214"/>
      <c r="N1028" s="216"/>
      <c r="O1028" s="216"/>
      <c r="P1028" s="216"/>
      <c r="Q1028" s="216"/>
      <c r="R1028" s="216"/>
      <c r="S1028" s="216"/>
      <c r="T1028" s="216"/>
      <c r="U1028" s="216"/>
      <c r="V1028" s="216"/>
      <c r="W1028" s="216"/>
      <c r="X1028" s="216"/>
      <c r="Y1028" s="216"/>
      <c r="Z1028" s="216"/>
      <c r="AA1028" s="216"/>
    </row>
    <row r="1029" ht="15.0" customHeight="1">
      <c r="A1029" s="214"/>
      <c r="B1029" s="214"/>
      <c r="C1029" s="214"/>
      <c r="D1029" s="214"/>
      <c r="E1029" s="214"/>
      <c r="F1029" s="214"/>
      <c r="G1029" s="214"/>
      <c r="H1029" s="214"/>
      <c r="I1029" s="214"/>
      <c r="J1029" s="214"/>
      <c r="K1029" s="214"/>
      <c r="L1029" s="214"/>
      <c r="M1029" s="214"/>
      <c r="N1029" s="216"/>
      <c r="O1029" s="216"/>
      <c r="P1029" s="216"/>
      <c r="Q1029" s="216"/>
      <c r="R1029" s="216"/>
      <c r="S1029" s="216"/>
      <c r="T1029" s="216"/>
      <c r="U1029" s="216"/>
      <c r="V1029" s="216"/>
      <c r="W1029" s="216"/>
      <c r="X1029" s="216"/>
      <c r="Y1029" s="216"/>
      <c r="Z1029" s="216"/>
      <c r="AA1029" s="216"/>
    </row>
    <row r="1030" ht="15.0" customHeight="1">
      <c r="A1030" s="214"/>
      <c r="B1030" s="214"/>
      <c r="C1030" s="214"/>
      <c r="D1030" s="214"/>
      <c r="E1030" s="214"/>
      <c r="F1030" s="214"/>
      <c r="G1030" s="214"/>
      <c r="H1030" s="214"/>
      <c r="I1030" s="214"/>
      <c r="J1030" s="214"/>
      <c r="K1030" s="214"/>
      <c r="L1030" s="214"/>
      <c r="M1030" s="214"/>
      <c r="N1030" s="216"/>
      <c r="O1030" s="216"/>
      <c r="P1030" s="216"/>
      <c r="Q1030" s="216"/>
      <c r="R1030" s="216"/>
      <c r="S1030" s="216"/>
      <c r="T1030" s="216"/>
      <c r="U1030" s="216"/>
      <c r="V1030" s="216"/>
      <c r="W1030" s="216"/>
      <c r="X1030" s="216"/>
      <c r="Y1030" s="216"/>
      <c r="Z1030" s="216"/>
      <c r="AA1030" s="216"/>
    </row>
    <row r="1031" ht="15.0" customHeight="1">
      <c r="A1031" s="214"/>
      <c r="B1031" s="214"/>
      <c r="C1031" s="214"/>
      <c r="D1031" s="214"/>
      <c r="E1031" s="214"/>
      <c r="F1031" s="214"/>
      <c r="G1031" s="214"/>
      <c r="H1031" s="214"/>
      <c r="I1031" s="214"/>
      <c r="J1031" s="214"/>
      <c r="K1031" s="214"/>
      <c r="L1031" s="214"/>
      <c r="M1031" s="214"/>
      <c r="N1031" s="216"/>
      <c r="O1031" s="216"/>
      <c r="P1031" s="216"/>
      <c r="Q1031" s="216"/>
      <c r="R1031" s="216"/>
      <c r="S1031" s="216"/>
      <c r="T1031" s="216"/>
      <c r="U1031" s="216"/>
      <c r="V1031" s="216"/>
      <c r="W1031" s="216"/>
      <c r="X1031" s="216"/>
      <c r="Y1031" s="216"/>
      <c r="Z1031" s="216"/>
      <c r="AA1031" s="216"/>
    </row>
    <row r="1032" ht="15.0" customHeight="1">
      <c r="A1032" s="214"/>
      <c r="B1032" s="214"/>
      <c r="C1032" s="214"/>
      <c r="D1032" s="214"/>
      <c r="E1032" s="214"/>
      <c r="F1032" s="214"/>
      <c r="G1032" s="214"/>
      <c r="H1032" s="214"/>
      <c r="I1032" s="214"/>
      <c r="J1032" s="214"/>
      <c r="K1032" s="214"/>
      <c r="L1032" s="214"/>
      <c r="M1032" s="214"/>
      <c r="N1032" s="216"/>
      <c r="O1032" s="216"/>
      <c r="P1032" s="216"/>
      <c r="Q1032" s="216"/>
      <c r="R1032" s="216"/>
      <c r="S1032" s="216"/>
      <c r="T1032" s="216"/>
      <c r="U1032" s="216"/>
      <c r="V1032" s="216"/>
      <c r="W1032" s="216"/>
      <c r="X1032" s="216"/>
      <c r="Y1032" s="216"/>
      <c r="Z1032" s="216"/>
      <c r="AA1032" s="216"/>
    </row>
    <row r="1033" ht="15.0" customHeight="1">
      <c r="A1033" s="214"/>
      <c r="B1033" s="214"/>
      <c r="C1033" s="214"/>
      <c r="D1033" s="214"/>
      <c r="E1033" s="214"/>
      <c r="F1033" s="214"/>
      <c r="G1033" s="214"/>
      <c r="H1033" s="214"/>
      <c r="I1033" s="214"/>
      <c r="J1033" s="214"/>
      <c r="K1033" s="214"/>
      <c r="L1033" s="214"/>
      <c r="M1033" s="214"/>
      <c r="N1033" s="216"/>
      <c r="O1033" s="216"/>
      <c r="P1033" s="216"/>
      <c r="Q1033" s="216"/>
      <c r="R1033" s="216"/>
      <c r="S1033" s="216"/>
      <c r="T1033" s="216"/>
      <c r="U1033" s="216"/>
      <c r="V1033" s="216"/>
      <c r="W1033" s="216"/>
      <c r="X1033" s="216"/>
      <c r="Y1033" s="216"/>
      <c r="Z1033" s="216"/>
      <c r="AA1033" s="216"/>
    </row>
    <row r="1034" ht="15.0" customHeight="1">
      <c r="A1034" s="214"/>
      <c r="B1034" s="214"/>
      <c r="C1034" s="214"/>
      <c r="D1034" s="214"/>
      <c r="E1034" s="214"/>
      <c r="F1034" s="214"/>
      <c r="G1034" s="214"/>
      <c r="H1034" s="214"/>
      <c r="I1034" s="214"/>
      <c r="J1034" s="214"/>
      <c r="K1034" s="214"/>
      <c r="L1034" s="214"/>
      <c r="M1034" s="214"/>
      <c r="N1034" s="216"/>
      <c r="O1034" s="216"/>
      <c r="P1034" s="216"/>
      <c r="Q1034" s="216"/>
      <c r="R1034" s="216"/>
      <c r="S1034" s="216"/>
      <c r="T1034" s="216"/>
      <c r="U1034" s="216"/>
      <c r="V1034" s="216"/>
      <c r="W1034" s="216"/>
      <c r="X1034" s="216"/>
      <c r="Y1034" s="216"/>
      <c r="Z1034" s="216"/>
      <c r="AA1034" s="216"/>
    </row>
    <row r="1035" ht="15.0" customHeight="1">
      <c r="A1035" s="214"/>
      <c r="B1035" s="214"/>
      <c r="C1035" s="214"/>
      <c r="D1035" s="214"/>
      <c r="E1035" s="214"/>
      <c r="F1035" s="214"/>
      <c r="G1035" s="214"/>
      <c r="H1035" s="214"/>
      <c r="I1035" s="214"/>
      <c r="J1035" s="214"/>
      <c r="K1035" s="214"/>
      <c r="L1035" s="214"/>
      <c r="M1035" s="214"/>
      <c r="N1035" s="216"/>
      <c r="O1035" s="216"/>
      <c r="P1035" s="216"/>
      <c r="Q1035" s="216"/>
      <c r="R1035" s="216"/>
      <c r="S1035" s="216"/>
      <c r="T1035" s="216"/>
      <c r="U1035" s="216"/>
      <c r="V1035" s="216"/>
      <c r="W1035" s="216"/>
      <c r="X1035" s="216"/>
      <c r="Y1035" s="216"/>
      <c r="Z1035" s="216"/>
      <c r="AA1035" s="216"/>
    </row>
    <row r="1036" ht="15.0" customHeight="1">
      <c r="A1036" s="214"/>
      <c r="B1036" s="214"/>
      <c r="C1036" s="214"/>
      <c r="D1036" s="214"/>
      <c r="E1036" s="214"/>
      <c r="F1036" s="214"/>
      <c r="G1036" s="214"/>
      <c r="H1036" s="214"/>
      <c r="I1036" s="214"/>
      <c r="J1036" s="214"/>
      <c r="K1036" s="214"/>
      <c r="L1036" s="214"/>
      <c r="M1036" s="214"/>
      <c r="N1036" s="216"/>
      <c r="O1036" s="216"/>
      <c r="P1036" s="216"/>
      <c r="Q1036" s="216"/>
      <c r="R1036" s="216"/>
      <c r="S1036" s="216"/>
      <c r="T1036" s="216"/>
      <c r="U1036" s="216"/>
      <c r="V1036" s="216"/>
      <c r="W1036" s="216"/>
      <c r="X1036" s="216"/>
      <c r="Y1036" s="216"/>
      <c r="Z1036" s="216"/>
      <c r="AA1036" s="216"/>
    </row>
    <row r="1037" ht="15.0" customHeight="1">
      <c r="A1037" s="214"/>
      <c r="B1037" s="214"/>
      <c r="C1037" s="214"/>
      <c r="D1037" s="214"/>
      <c r="E1037" s="214"/>
      <c r="F1037" s="214"/>
      <c r="G1037" s="214"/>
      <c r="H1037" s="214"/>
      <c r="I1037" s="214"/>
      <c r="J1037" s="214"/>
      <c r="K1037" s="214"/>
      <c r="L1037" s="214"/>
      <c r="M1037" s="214"/>
      <c r="N1037" s="216"/>
      <c r="O1037" s="216"/>
      <c r="P1037" s="216"/>
      <c r="Q1037" s="216"/>
      <c r="R1037" s="216"/>
      <c r="S1037" s="216"/>
      <c r="T1037" s="216"/>
      <c r="U1037" s="216"/>
      <c r="V1037" s="216"/>
      <c r="W1037" s="216"/>
      <c r="X1037" s="216"/>
      <c r="Y1037" s="216"/>
      <c r="Z1037" s="216"/>
      <c r="AA1037" s="216"/>
    </row>
    <row r="1038" ht="15.0" customHeight="1">
      <c r="A1038" s="214"/>
      <c r="B1038" s="214"/>
      <c r="C1038" s="214"/>
      <c r="D1038" s="214"/>
      <c r="E1038" s="214"/>
      <c r="F1038" s="214"/>
      <c r="G1038" s="214"/>
      <c r="H1038" s="214"/>
      <c r="I1038" s="214"/>
      <c r="J1038" s="214"/>
      <c r="K1038" s="214"/>
      <c r="L1038" s="214"/>
      <c r="M1038" s="214"/>
      <c r="N1038" s="216"/>
      <c r="O1038" s="216"/>
      <c r="P1038" s="216"/>
      <c r="Q1038" s="216"/>
      <c r="R1038" s="216"/>
      <c r="S1038" s="216"/>
      <c r="T1038" s="216"/>
      <c r="U1038" s="216"/>
      <c r="V1038" s="216"/>
      <c r="W1038" s="216"/>
      <c r="X1038" s="216"/>
      <c r="Y1038" s="216"/>
      <c r="Z1038" s="216"/>
      <c r="AA1038" s="216"/>
    </row>
    <row r="1039" ht="15.0" customHeight="1">
      <c r="A1039" s="214"/>
      <c r="B1039" s="214"/>
      <c r="C1039" s="214"/>
      <c r="D1039" s="214"/>
      <c r="E1039" s="214"/>
      <c r="F1039" s="214"/>
      <c r="G1039" s="214"/>
      <c r="H1039" s="214"/>
      <c r="I1039" s="214"/>
      <c r="J1039" s="214"/>
      <c r="K1039" s="214"/>
      <c r="L1039" s="214"/>
      <c r="M1039" s="214"/>
      <c r="N1039" s="216"/>
      <c r="O1039" s="216"/>
      <c r="P1039" s="216"/>
      <c r="Q1039" s="216"/>
      <c r="R1039" s="216"/>
      <c r="S1039" s="216"/>
      <c r="T1039" s="216"/>
      <c r="U1039" s="216"/>
      <c r="V1039" s="216"/>
      <c r="W1039" s="216"/>
      <c r="X1039" s="216"/>
      <c r="Y1039" s="216"/>
      <c r="Z1039" s="216"/>
      <c r="AA1039" s="216"/>
    </row>
    <row r="1040" ht="15.0" customHeight="1">
      <c r="A1040" s="214"/>
      <c r="B1040" s="214"/>
      <c r="C1040" s="214"/>
      <c r="D1040" s="214"/>
      <c r="E1040" s="214"/>
      <c r="F1040" s="214"/>
      <c r="G1040" s="214"/>
      <c r="H1040" s="214"/>
      <c r="I1040" s="214"/>
      <c r="J1040" s="214"/>
      <c r="K1040" s="214"/>
      <c r="L1040" s="214"/>
      <c r="M1040" s="214"/>
      <c r="N1040" s="216"/>
      <c r="O1040" s="216"/>
      <c r="P1040" s="216"/>
      <c r="Q1040" s="216"/>
      <c r="R1040" s="216"/>
      <c r="S1040" s="216"/>
      <c r="T1040" s="216"/>
      <c r="U1040" s="216"/>
      <c r="V1040" s="216"/>
      <c r="W1040" s="216"/>
      <c r="X1040" s="216"/>
      <c r="Y1040" s="216"/>
      <c r="Z1040" s="216"/>
      <c r="AA1040" s="216"/>
    </row>
    <row r="1041" ht="15.0" customHeight="1">
      <c r="A1041" s="214"/>
      <c r="B1041" s="214"/>
      <c r="C1041" s="214"/>
      <c r="D1041" s="214"/>
      <c r="E1041" s="214"/>
      <c r="F1041" s="214"/>
      <c r="G1041" s="214"/>
      <c r="H1041" s="214"/>
      <c r="I1041" s="214"/>
      <c r="J1041" s="214"/>
      <c r="K1041" s="214"/>
      <c r="L1041" s="214"/>
      <c r="M1041" s="214"/>
      <c r="N1041" s="216"/>
      <c r="O1041" s="216"/>
      <c r="P1041" s="216"/>
      <c r="Q1041" s="216"/>
      <c r="R1041" s="216"/>
      <c r="S1041" s="216"/>
      <c r="T1041" s="216"/>
      <c r="U1041" s="216"/>
      <c r="V1041" s="216"/>
      <c r="W1041" s="216"/>
      <c r="X1041" s="216"/>
      <c r="Y1041" s="216"/>
      <c r="Z1041" s="216"/>
      <c r="AA1041" s="216"/>
    </row>
    <row r="1042" ht="15.0" customHeight="1">
      <c r="A1042" s="214"/>
      <c r="B1042" s="214"/>
      <c r="C1042" s="214"/>
      <c r="D1042" s="214"/>
      <c r="E1042" s="214"/>
      <c r="F1042" s="214"/>
      <c r="G1042" s="214"/>
      <c r="H1042" s="214"/>
      <c r="I1042" s="214"/>
      <c r="J1042" s="214"/>
      <c r="K1042" s="214"/>
      <c r="L1042" s="214"/>
      <c r="M1042" s="214"/>
      <c r="N1042" s="216"/>
      <c r="O1042" s="216"/>
      <c r="P1042" s="216"/>
      <c r="Q1042" s="216"/>
      <c r="R1042" s="216"/>
      <c r="S1042" s="216"/>
      <c r="T1042" s="216"/>
      <c r="U1042" s="216"/>
      <c r="V1042" s="216"/>
      <c r="W1042" s="216"/>
      <c r="X1042" s="216"/>
      <c r="Y1042" s="216"/>
      <c r="Z1042" s="216"/>
      <c r="AA1042" s="216"/>
    </row>
    <row r="1043" ht="15.0" customHeight="1">
      <c r="A1043" s="214"/>
      <c r="B1043" s="214"/>
      <c r="C1043" s="214"/>
      <c r="D1043" s="214"/>
      <c r="E1043" s="214"/>
      <c r="F1043" s="214"/>
      <c r="G1043" s="214"/>
      <c r="H1043" s="214"/>
      <c r="I1043" s="214"/>
      <c r="J1043" s="214"/>
      <c r="K1043" s="214"/>
      <c r="L1043" s="214"/>
      <c r="M1043" s="214"/>
      <c r="N1043" s="216"/>
      <c r="O1043" s="216"/>
      <c r="P1043" s="216"/>
      <c r="Q1043" s="216"/>
      <c r="R1043" s="216"/>
      <c r="S1043" s="216"/>
      <c r="T1043" s="216"/>
      <c r="U1043" s="216"/>
      <c r="V1043" s="216"/>
      <c r="W1043" s="216"/>
      <c r="X1043" s="216"/>
      <c r="Y1043" s="216"/>
      <c r="Z1043" s="216"/>
      <c r="AA1043" s="216"/>
    </row>
    <row r="1044" ht="15.0" customHeight="1">
      <c r="A1044" s="214"/>
      <c r="B1044" s="214"/>
      <c r="C1044" s="214"/>
      <c r="D1044" s="214"/>
      <c r="E1044" s="214"/>
      <c r="F1044" s="214"/>
      <c r="G1044" s="214"/>
      <c r="H1044" s="214"/>
      <c r="I1044" s="214"/>
      <c r="J1044" s="214"/>
      <c r="K1044" s="214"/>
      <c r="L1044" s="214"/>
      <c r="M1044" s="214"/>
      <c r="N1044" s="216"/>
      <c r="O1044" s="216"/>
      <c r="P1044" s="216"/>
      <c r="Q1044" s="216"/>
      <c r="R1044" s="216"/>
      <c r="S1044" s="216"/>
      <c r="T1044" s="216"/>
      <c r="U1044" s="216"/>
      <c r="V1044" s="216"/>
      <c r="W1044" s="216"/>
      <c r="X1044" s="216"/>
      <c r="Y1044" s="216"/>
      <c r="Z1044" s="216"/>
      <c r="AA1044" s="216"/>
    </row>
    <row r="1045" ht="15.0" customHeight="1">
      <c r="A1045" s="214"/>
      <c r="B1045" s="214"/>
      <c r="C1045" s="214"/>
      <c r="D1045" s="214"/>
      <c r="E1045" s="214"/>
      <c r="F1045" s="214"/>
      <c r="G1045" s="214"/>
      <c r="H1045" s="214"/>
      <c r="I1045" s="214"/>
      <c r="J1045" s="214"/>
      <c r="K1045" s="214"/>
      <c r="L1045" s="214"/>
      <c r="M1045" s="214"/>
      <c r="N1045" s="216"/>
      <c r="O1045" s="216"/>
      <c r="P1045" s="216"/>
      <c r="Q1045" s="216"/>
      <c r="R1045" s="216"/>
      <c r="S1045" s="216"/>
      <c r="T1045" s="216"/>
      <c r="U1045" s="216"/>
      <c r="V1045" s="216"/>
      <c r="W1045" s="216"/>
      <c r="X1045" s="216"/>
      <c r="Y1045" s="216"/>
      <c r="Z1045" s="216"/>
      <c r="AA1045" s="216"/>
    </row>
    <row r="1046" ht="15.0" customHeight="1">
      <c r="A1046" s="214"/>
      <c r="B1046" s="214"/>
      <c r="C1046" s="214"/>
      <c r="D1046" s="214"/>
      <c r="E1046" s="214"/>
      <c r="F1046" s="214"/>
      <c r="G1046" s="214"/>
      <c r="H1046" s="214"/>
      <c r="I1046" s="214"/>
      <c r="J1046" s="214"/>
      <c r="K1046" s="214"/>
      <c r="L1046" s="214"/>
      <c r="M1046" s="214"/>
      <c r="N1046" s="216"/>
      <c r="O1046" s="216"/>
      <c r="P1046" s="216"/>
      <c r="Q1046" s="216"/>
      <c r="R1046" s="216"/>
      <c r="S1046" s="216"/>
      <c r="T1046" s="216"/>
      <c r="U1046" s="216"/>
      <c r="V1046" s="216"/>
      <c r="W1046" s="216"/>
      <c r="X1046" s="216"/>
      <c r="Y1046" s="216"/>
      <c r="Z1046" s="216"/>
      <c r="AA1046" s="216"/>
    </row>
    <row r="1047" ht="15.0" customHeight="1">
      <c r="A1047" s="214"/>
      <c r="B1047" s="214"/>
      <c r="C1047" s="214"/>
      <c r="D1047" s="214"/>
      <c r="E1047" s="214"/>
      <c r="F1047" s="214"/>
      <c r="G1047" s="214"/>
      <c r="H1047" s="214"/>
      <c r="I1047" s="214"/>
      <c r="J1047" s="214"/>
      <c r="K1047" s="214"/>
      <c r="L1047" s="214"/>
      <c r="M1047" s="214"/>
      <c r="N1047" s="216"/>
      <c r="O1047" s="216"/>
      <c r="P1047" s="216"/>
      <c r="Q1047" s="216"/>
      <c r="R1047" s="216"/>
      <c r="S1047" s="216"/>
      <c r="T1047" s="216"/>
      <c r="U1047" s="216"/>
      <c r="V1047" s="216"/>
      <c r="W1047" s="216"/>
      <c r="X1047" s="216"/>
      <c r="Y1047" s="216"/>
      <c r="Z1047" s="216"/>
      <c r="AA1047" s="216"/>
    </row>
    <row r="1048" ht="15.0" customHeight="1">
      <c r="A1048" s="214"/>
      <c r="B1048" s="214"/>
      <c r="C1048" s="214"/>
      <c r="D1048" s="214"/>
      <c r="E1048" s="214"/>
      <c r="F1048" s="214"/>
      <c r="G1048" s="214"/>
      <c r="H1048" s="214"/>
      <c r="I1048" s="214"/>
      <c r="J1048" s="214"/>
      <c r="K1048" s="214"/>
      <c r="L1048" s="214"/>
      <c r="M1048" s="214"/>
      <c r="N1048" s="216"/>
      <c r="O1048" s="216"/>
      <c r="P1048" s="216"/>
      <c r="Q1048" s="216"/>
      <c r="R1048" s="216"/>
      <c r="S1048" s="216"/>
      <c r="T1048" s="216"/>
      <c r="U1048" s="216"/>
      <c r="V1048" s="216"/>
      <c r="W1048" s="216"/>
      <c r="X1048" s="216"/>
      <c r="Y1048" s="216"/>
      <c r="Z1048" s="216"/>
      <c r="AA1048" s="216"/>
    </row>
    <row r="1049" ht="15.0" customHeight="1">
      <c r="A1049" s="214"/>
      <c r="B1049" s="214"/>
      <c r="C1049" s="214"/>
      <c r="D1049" s="214"/>
      <c r="E1049" s="214"/>
      <c r="F1049" s="214"/>
      <c r="G1049" s="214"/>
      <c r="H1049" s="214"/>
      <c r="I1049" s="214"/>
      <c r="J1049" s="214"/>
      <c r="K1049" s="214"/>
      <c r="L1049" s="214"/>
      <c r="M1049" s="214"/>
      <c r="N1049" s="216"/>
      <c r="O1049" s="216"/>
      <c r="P1049" s="216"/>
      <c r="Q1049" s="216"/>
      <c r="R1049" s="216"/>
      <c r="S1049" s="216"/>
      <c r="T1049" s="216"/>
      <c r="U1049" s="216"/>
      <c r="V1049" s="216"/>
      <c r="W1049" s="216"/>
      <c r="X1049" s="216"/>
      <c r="Y1049" s="216"/>
      <c r="Z1049" s="216"/>
      <c r="AA1049" s="216"/>
    </row>
    <row r="1050" ht="15.0" customHeight="1">
      <c r="A1050" s="214"/>
      <c r="B1050" s="214"/>
      <c r="C1050" s="214"/>
      <c r="D1050" s="214"/>
      <c r="E1050" s="214"/>
      <c r="F1050" s="214"/>
      <c r="G1050" s="214"/>
      <c r="H1050" s="214"/>
      <c r="I1050" s="214"/>
      <c r="J1050" s="214"/>
      <c r="K1050" s="214"/>
      <c r="L1050" s="214"/>
      <c r="M1050" s="214"/>
      <c r="N1050" s="216"/>
      <c r="O1050" s="216"/>
      <c r="P1050" s="216"/>
      <c r="Q1050" s="216"/>
      <c r="R1050" s="216"/>
      <c r="S1050" s="216"/>
      <c r="T1050" s="216"/>
      <c r="U1050" s="216"/>
      <c r="V1050" s="216"/>
      <c r="W1050" s="216"/>
      <c r="X1050" s="216"/>
      <c r="Y1050" s="216"/>
      <c r="Z1050" s="216"/>
      <c r="AA1050" s="216"/>
    </row>
    <row r="1051" ht="15.0" customHeight="1">
      <c r="A1051" s="214"/>
      <c r="B1051" s="214"/>
      <c r="C1051" s="214"/>
      <c r="D1051" s="214"/>
      <c r="E1051" s="214"/>
      <c r="F1051" s="214"/>
      <c r="G1051" s="214"/>
      <c r="H1051" s="214"/>
      <c r="I1051" s="214"/>
      <c r="J1051" s="214"/>
      <c r="K1051" s="214"/>
      <c r="L1051" s="214"/>
      <c r="M1051" s="214"/>
      <c r="N1051" s="216"/>
      <c r="O1051" s="216"/>
      <c r="P1051" s="216"/>
      <c r="Q1051" s="216"/>
      <c r="R1051" s="216"/>
      <c r="S1051" s="216"/>
      <c r="T1051" s="216"/>
      <c r="U1051" s="216"/>
      <c r="V1051" s="216"/>
      <c r="W1051" s="216"/>
      <c r="X1051" s="216"/>
      <c r="Y1051" s="216"/>
      <c r="Z1051" s="216"/>
      <c r="AA1051" s="216"/>
    </row>
    <row r="1052" ht="15.0" customHeight="1">
      <c r="A1052" s="214"/>
      <c r="B1052" s="214"/>
      <c r="C1052" s="214"/>
      <c r="D1052" s="214"/>
      <c r="E1052" s="214"/>
      <c r="F1052" s="214"/>
      <c r="G1052" s="214"/>
      <c r="H1052" s="214"/>
      <c r="I1052" s="214"/>
      <c r="J1052" s="214"/>
      <c r="K1052" s="214"/>
      <c r="L1052" s="214"/>
      <c r="M1052" s="214"/>
      <c r="N1052" s="216"/>
      <c r="O1052" s="216"/>
      <c r="P1052" s="216"/>
      <c r="Q1052" s="216"/>
      <c r="R1052" s="216"/>
      <c r="S1052" s="216"/>
      <c r="T1052" s="216"/>
      <c r="U1052" s="216"/>
      <c r="V1052" s="216"/>
      <c r="W1052" s="216"/>
      <c r="X1052" s="216"/>
      <c r="Y1052" s="216"/>
      <c r="Z1052" s="216"/>
      <c r="AA1052" s="216"/>
    </row>
    <row r="1053" ht="15.0" customHeight="1">
      <c r="A1053" s="214"/>
      <c r="B1053" s="214"/>
      <c r="C1053" s="214"/>
      <c r="D1053" s="214"/>
      <c r="E1053" s="214"/>
      <c r="F1053" s="214"/>
      <c r="G1053" s="214"/>
      <c r="H1053" s="214"/>
      <c r="I1053" s="214"/>
      <c r="J1053" s="214"/>
      <c r="K1053" s="214"/>
      <c r="L1053" s="214"/>
      <c r="M1053" s="214"/>
      <c r="N1053" s="216"/>
      <c r="O1053" s="216"/>
      <c r="P1053" s="216"/>
      <c r="Q1053" s="216"/>
      <c r="R1053" s="216"/>
      <c r="S1053" s="216"/>
      <c r="T1053" s="216"/>
      <c r="U1053" s="216"/>
      <c r="V1053" s="216"/>
      <c r="W1053" s="216"/>
      <c r="X1053" s="216"/>
      <c r="Y1053" s="216"/>
      <c r="Z1053" s="216"/>
      <c r="AA1053" s="216"/>
    </row>
    <row r="1054" ht="15.0" customHeight="1">
      <c r="A1054" s="214"/>
      <c r="B1054" s="214"/>
      <c r="C1054" s="214"/>
      <c r="D1054" s="214"/>
      <c r="E1054" s="214"/>
      <c r="F1054" s="214"/>
      <c r="G1054" s="214"/>
      <c r="H1054" s="214"/>
      <c r="I1054" s="214"/>
      <c r="J1054" s="214"/>
      <c r="K1054" s="214"/>
      <c r="L1054" s="214"/>
      <c r="M1054" s="214"/>
      <c r="N1054" s="216"/>
      <c r="O1054" s="216"/>
      <c r="P1054" s="216"/>
      <c r="Q1054" s="216"/>
      <c r="R1054" s="216"/>
      <c r="S1054" s="216"/>
      <c r="T1054" s="216"/>
      <c r="U1054" s="216"/>
      <c r="V1054" s="216"/>
      <c r="W1054" s="216"/>
      <c r="X1054" s="216"/>
      <c r="Y1054" s="216"/>
      <c r="Z1054" s="216"/>
      <c r="AA1054" s="216"/>
    </row>
    <row r="1055" ht="15.0" customHeight="1">
      <c r="A1055" s="214"/>
      <c r="B1055" s="214"/>
      <c r="C1055" s="214"/>
      <c r="D1055" s="214"/>
      <c r="E1055" s="214"/>
      <c r="F1055" s="214"/>
      <c r="G1055" s="214"/>
      <c r="H1055" s="214"/>
      <c r="I1055" s="214"/>
      <c r="J1055" s="214"/>
      <c r="K1055" s="214"/>
      <c r="L1055" s="214"/>
      <c r="M1055" s="214"/>
      <c r="N1055" s="216"/>
      <c r="O1055" s="216"/>
      <c r="P1055" s="216"/>
      <c r="Q1055" s="216"/>
      <c r="R1055" s="216"/>
      <c r="S1055" s="216"/>
      <c r="T1055" s="216"/>
      <c r="U1055" s="216"/>
      <c r="V1055" s="216"/>
      <c r="W1055" s="216"/>
      <c r="X1055" s="216"/>
      <c r="Y1055" s="216"/>
      <c r="Z1055" s="216"/>
      <c r="AA1055" s="216"/>
    </row>
    <row r="1056" ht="15.0" customHeight="1">
      <c r="A1056" s="214"/>
      <c r="B1056" s="214"/>
      <c r="C1056" s="214"/>
      <c r="D1056" s="214"/>
      <c r="E1056" s="214"/>
      <c r="F1056" s="214"/>
      <c r="G1056" s="214"/>
      <c r="H1056" s="214"/>
      <c r="I1056" s="214"/>
      <c r="J1056" s="214"/>
      <c r="K1056" s="214"/>
      <c r="L1056" s="214"/>
      <c r="M1056" s="214"/>
      <c r="N1056" s="216"/>
      <c r="O1056" s="216"/>
      <c r="P1056" s="216"/>
      <c r="Q1056" s="216"/>
      <c r="R1056" s="216"/>
      <c r="S1056" s="216"/>
      <c r="T1056" s="216"/>
      <c r="U1056" s="216"/>
      <c r="V1056" s="216"/>
      <c r="W1056" s="216"/>
      <c r="X1056" s="216"/>
      <c r="Y1056" s="216"/>
      <c r="Z1056" s="216"/>
      <c r="AA1056" s="216"/>
    </row>
    <row r="1057" ht="15.0" customHeight="1">
      <c r="A1057" s="214"/>
      <c r="B1057" s="214"/>
      <c r="C1057" s="214"/>
      <c r="D1057" s="214"/>
      <c r="E1057" s="214"/>
      <c r="F1057" s="214"/>
      <c r="G1057" s="214"/>
      <c r="H1057" s="214"/>
      <c r="I1057" s="214"/>
      <c r="J1057" s="214"/>
      <c r="K1057" s="214"/>
      <c r="L1057" s="214"/>
      <c r="M1057" s="214"/>
      <c r="N1057" s="216"/>
      <c r="O1057" s="216"/>
      <c r="P1057" s="216"/>
      <c r="Q1057" s="216"/>
      <c r="R1057" s="216"/>
      <c r="S1057" s="216"/>
      <c r="T1057" s="216"/>
      <c r="U1057" s="216"/>
      <c r="V1057" s="216"/>
      <c r="W1057" s="216"/>
      <c r="X1057" s="216"/>
      <c r="Y1057" s="216"/>
      <c r="Z1057" s="216"/>
      <c r="AA1057" s="216"/>
    </row>
    <row r="1058" ht="15.0" customHeight="1">
      <c r="A1058" s="214"/>
      <c r="B1058" s="214"/>
      <c r="C1058" s="214"/>
      <c r="D1058" s="214"/>
      <c r="E1058" s="214"/>
      <c r="F1058" s="214"/>
      <c r="G1058" s="214"/>
      <c r="H1058" s="214"/>
      <c r="I1058" s="214"/>
      <c r="J1058" s="214"/>
      <c r="K1058" s="214"/>
      <c r="L1058" s="214"/>
      <c r="M1058" s="214"/>
      <c r="N1058" s="216"/>
      <c r="O1058" s="216"/>
      <c r="P1058" s="216"/>
      <c r="Q1058" s="216"/>
      <c r="R1058" s="216"/>
      <c r="S1058" s="216"/>
      <c r="T1058" s="216"/>
      <c r="U1058" s="216"/>
      <c r="V1058" s="216"/>
      <c r="W1058" s="216"/>
      <c r="X1058" s="216"/>
      <c r="Y1058" s="216"/>
      <c r="Z1058" s="216"/>
      <c r="AA1058" s="216"/>
    </row>
    <row r="1059" ht="15.0" customHeight="1">
      <c r="A1059" s="214"/>
      <c r="B1059" s="214"/>
      <c r="C1059" s="214"/>
      <c r="D1059" s="214"/>
      <c r="E1059" s="214"/>
      <c r="F1059" s="214"/>
      <c r="G1059" s="214"/>
      <c r="H1059" s="214"/>
      <c r="I1059" s="214"/>
      <c r="J1059" s="214"/>
      <c r="K1059" s="214"/>
      <c r="L1059" s="214"/>
      <c r="M1059" s="214"/>
      <c r="N1059" s="216"/>
      <c r="O1059" s="216"/>
      <c r="P1059" s="216"/>
      <c r="Q1059" s="216"/>
      <c r="R1059" s="216"/>
      <c r="S1059" s="216"/>
      <c r="T1059" s="216"/>
      <c r="U1059" s="216"/>
      <c r="V1059" s="216"/>
      <c r="W1059" s="216"/>
      <c r="X1059" s="216"/>
      <c r="Y1059" s="216"/>
      <c r="Z1059" s="216"/>
      <c r="AA1059" s="216"/>
    </row>
    <row r="1060" ht="15.0" customHeight="1">
      <c r="A1060" s="214"/>
      <c r="B1060" s="214"/>
      <c r="C1060" s="214"/>
      <c r="D1060" s="214"/>
      <c r="E1060" s="214"/>
      <c r="F1060" s="214"/>
      <c r="G1060" s="214"/>
      <c r="H1060" s="214"/>
      <c r="I1060" s="214"/>
      <c r="J1060" s="214"/>
      <c r="K1060" s="214"/>
      <c r="L1060" s="214"/>
      <c r="M1060" s="214"/>
      <c r="N1060" s="216"/>
      <c r="O1060" s="216"/>
      <c r="P1060" s="216"/>
      <c r="Q1060" s="216"/>
      <c r="R1060" s="216"/>
      <c r="S1060" s="216"/>
      <c r="T1060" s="216"/>
      <c r="U1060" s="216"/>
      <c r="V1060" s="216"/>
      <c r="W1060" s="216"/>
      <c r="X1060" s="216"/>
      <c r="Y1060" s="216"/>
      <c r="Z1060" s="216"/>
      <c r="AA1060" s="216"/>
    </row>
    <row r="1061" ht="15.0" customHeight="1">
      <c r="A1061" s="214"/>
      <c r="B1061" s="214"/>
      <c r="C1061" s="214"/>
      <c r="D1061" s="214"/>
      <c r="E1061" s="214"/>
      <c r="F1061" s="214"/>
      <c r="G1061" s="214"/>
      <c r="H1061" s="214"/>
      <c r="I1061" s="214"/>
      <c r="J1061" s="214"/>
      <c r="K1061" s="214"/>
      <c r="L1061" s="214"/>
      <c r="M1061" s="214"/>
      <c r="N1061" s="216"/>
      <c r="O1061" s="216"/>
      <c r="P1061" s="216"/>
      <c r="Q1061" s="216"/>
      <c r="R1061" s="216"/>
      <c r="S1061" s="216"/>
      <c r="T1061" s="216"/>
      <c r="U1061" s="216"/>
      <c r="V1061" s="216"/>
      <c r="W1061" s="216"/>
      <c r="X1061" s="216"/>
      <c r="Y1061" s="216"/>
      <c r="Z1061" s="216"/>
      <c r="AA1061" s="216"/>
    </row>
    <row r="1062" ht="15.0" customHeight="1">
      <c r="A1062" s="214"/>
      <c r="B1062" s="214"/>
      <c r="C1062" s="214"/>
      <c r="D1062" s="214"/>
      <c r="E1062" s="214"/>
      <c r="F1062" s="214"/>
      <c r="G1062" s="214"/>
      <c r="H1062" s="214"/>
      <c r="I1062" s="214"/>
      <c r="J1062" s="214"/>
      <c r="K1062" s="214"/>
      <c r="L1062" s="214"/>
      <c r="M1062" s="214"/>
      <c r="N1062" s="216"/>
      <c r="O1062" s="216"/>
      <c r="P1062" s="216"/>
      <c r="Q1062" s="216"/>
      <c r="R1062" s="216"/>
      <c r="S1062" s="216"/>
      <c r="T1062" s="216"/>
      <c r="U1062" s="216"/>
      <c r="V1062" s="216"/>
      <c r="W1062" s="216"/>
      <c r="X1062" s="216"/>
      <c r="Y1062" s="216"/>
      <c r="Z1062" s="216"/>
      <c r="AA1062" s="216"/>
    </row>
    <row r="1063" ht="15.0" customHeight="1">
      <c r="A1063" s="214"/>
      <c r="B1063" s="214"/>
      <c r="C1063" s="214"/>
      <c r="D1063" s="214"/>
      <c r="E1063" s="214"/>
      <c r="F1063" s="214"/>
      <c r="G1063" s="214"/>
      <c r="H1063" s="214"/>
      <c r="I1063" s="214"/>
      <c r="J1063" s="214"/>
      <c r="K1063" s="214"/>
      <c r="L1063" s="214"/>
      <c r="M1063" s="214"/>
      <c r="N1063" s="216"/>
      <c r="O1063" s="216"/>
      <c r="P1063" s="216"/>
      <c r="Q1063" s="216"/>
      <c r="R1063" s="216"/>
      <c r="S1063" s="216"/>
      <c r="T1063" s="216"/>
      <c r="U1063" s="216"/>
      <c r="V1063" s="216"/>
      <c r="W1063" s="216"/>
      <c r="X1063" s="216"/>
      <c r="Y1063" s="216"/>
      <c r="Z1063" s="216"/>
      <c r="AA1063" s="216"/>
    </row>
    <row r="1064" ht="15.0" customHeight="1">
      <c r="A1064" s="214"/>
      <c r="B1064" s="214"/>
      <c r="C1064" s="214"/>
      <c r="D1064" s="214"/>
      <c r="E1064" s="214"/>
      <c r="F1064" s="214"/>
      <c r="G1064" s="214"/>
      <c r="H1064" s="214"/>
      <c r="I1064" s="214"/>
      <c r="J1064" s="214"/>
      <c r="K1064" s="214"/>
      <c r="L1064" s="214"/>
      <c r="M1064" s="214"/>
      <c r="N1064" s="216"/>
      <c r="O1064" s="216"/>
      <c r="P1064" s="216"/>
      <c r="Q1064" s="216"/>
      <c r="R1064" s="216"/>
      <c r="S1064" s="216"/>
      <c r="T1064" s="216"/>
      <c r="U1064" s="216"/>
      <c r="V1064" s="216"/>
      <c r="W1064" s="216"/>
      <c r="X1064" s="216"/>
      <c r="Y1064" s="216"/>
      <c r="Z1064" s="216"/>
      <c r="AA1064" s="216"/>
    </row>
    <row r="1065" ht="15.0" customHeight="1">
      <c r="A1065" s="214"/>
      <c r="B1065" s="214"/>
      <c r="C1065" s="214"/>
      <c r="D1065" s="214"/>
      <c r="E1065" s="214"/>
      <c r="F1065" s="214"/>
      <c r="G1065" s="214"/>
      <c r="H1065" s="214"/>
      <c r="I1065" s="214"/>
      <c r="J1065" s="214"/>
      <c r="K1065" s="214"/>
      <c r="L1065" s="214"/>
      <c r="M1065" s="214"/>
      <c r="N1065" s="216"/>
      <c r="O1065" s="216"/>
      <c r="P1065" s="216"/>
      <c r="Q1065" s="216"/>
      <c r="R1065" s="216"/>
      <c r="S1065" s="216"/>
      <c r="T1065" s="216"/>
      <c r="U1065" s="216"/>
      <c r="V1065" s="216"/>
      <c r="W1065" s="216"/>
      <c r="X1065" s="216"/>
      <c r="Y1065" s="216"/>
      <c r="Z1065" s="216"/>
      <c r="AA1065" s="216"/>
    </row>
    <row r="1066" ht="15.0" customHeight="1">
      <c r="A1066" s="214"/>
      <c r="B1066" s="214"/>
      <c r="C1066" s="214"/>
      <c r="D1066" s="214"/>
      <c r="E1066" s="214"/>
      <c r="F1066" s="214"/>
      <c r="G1066" s="214"/>
      <c r="H1066" s="214"/>
      <c r="I1066" s="214"/>
      <c r="J1066" s="214"/>
      <c r="K1066" s="214"/>
      <c r="L1066" s="214"/>
      <c r="M1066" s="214"/>
      <c r="N1066" s="216"/>
      <c r="O1066" s="216"/>
      <c r="P1066" s="216"/>
      <c r="Q1066" s="216"/>
      <c r="R1066" s="216"/>
      <c r="S1066" s="216"/>
      <c r="T1066" s="216"/>
      <c r="U1066" s="216"/>
      <c r="V1066" s="216"/>
      <c r="W1066" s="216"/>
      <c r="X1066" s="216"/>
      <c r="Y1066" s="216"/>
      <c r="Z1066" s="216"/>
      <c r="AA1066" s="216"/>
    </row>
    <row r="1067" ht="15.0" customHeight="1">
      <c r="A1067" s="214"/>
      <c r="B1067" s="214"/>
      <c r="C1067" s="214"/>
      <c r="D1067" s="214"/>
      <c r="E1067" s="214"/>
      <c r="F1067" s="214"/>
      <c r="G1067" s="214"/>
      <c r="H1067" s="214"/>
      <c r="I1067" s="214"/>
      <c r="J1067" s="214"/>
      <c r="K1067" s="214"/>
      <c r="L1067" s="214"/>
      <c r="M1067" s="214"/>
      <c r="N1067" s="216"/>
      <c r="O1067" s="216"/>
      <c r="P1067" s="216"/>
      <c r="Q1067" s="216"/>
      <c r="R1067" s="216"/>
      <c r="S1067" s="216"/>
      <c r="T1067" s="216"/>
      <c r="U1067" s="216"/>
      <c r="V1067" s="216"/>
      <c r="W1067" s="216"/>
      <c r="X1067" s="216"/>
      <c r="Y1067" s="216"/>
      <c r="Z1067" s="216"/>
      <c r="AA1067" s="216"/>
    </row>
    <row r="1068" ht="15.0" customHeight="1">
      <c r="A1068" s="214"/>
      <c r="B1068" s="214"/>
      <c r="C1068" s="214"/>
      <c r="D1068" s="214"/>
      <c r="E1068" s="214"/>
      <c r="F1068" s="214"/>
      <c r="G1068" s="214"/>
      <c r="H1068" s="214"/>
      <c r="I1068" s="214"/>
      <c r="J1068" s="214"/>
      <c r="K1068" s="214"/>
      <c r="L1068" s="214"/>
      <c r="M1068" s="214"/>
      <c r="N1068" s="216"/>
      <c r="O1068" s="216"/>
      <c r="P1068" s="216"/>
      <c r="Q1068" s="216"/>
      <c r="R1068" s="216"/>
      <c r="S1068" s="216"/>
      <c r="T1068" s="216"/>
      <c r="U1068" s="216"/>
      <c r="V1068" s="216"/>
      <c r="W1068" s="216"/>
      <c r="X1068" s="216"/>
      <c r="Y1068" s="216"/>
      <c r="Z1068" s="216"/>
      <c r="AA1068" s="216"/>
    </row>
    <row r="1069" ht="15.0" customHeight="1">
      <c r="A1069" s="214"/>
      <c r="B1069" s="214"/>
      <c r="C1069" s="214"/>
      <c r="D1069" s="214"/>
      <c r="E1069" s="214"/>
      <c r="F1069" s="214"/>
      <c r="G1069" s="214"/>
      <c r="H1069" s="214"/>
      <c r="I1069" s="214"/>
      <c r="J1069" s="214"/>
      <c r="K1069" s="214"/>
      <c r="L1069" s="214"/>
      <c r="M1069" s="214"/>
      <c r="N1069" s="216"/>
      <c r="O1069" s="216"/>
      <c r="P1069" s="216"/>
      <c r="Q1069" s="216"/>
      <c r="R1069" s="216"/>
      <c r="S1069" s="216"/>
      <c r="T1069" s="216"/>
      <c r="U1069" s="216"/>
      <c r="V1069" s="216"/>
      <c r="W1069" s="216"/>
      <c r="X1069" s="216"/>
      <c r="Y1069" s="216"/>
      <c r="Z1069" s="216"/>
      <c r="AA1069" s="216"/>
    </row>
    <row r="1070" ht="15.0" customHeight="1">
      <c r="A1070" s="214"/>
      <c r="B1070" s="214"/>
      <c r="C1070" s="214"/>
      <c r="D1070" s="214"/>
      <c r="E1070" s="214"/>
      <c r="F1070" s="214"/>
      <c r="G1070" s="214"/>
      <c r="H1070" s="214"/>
      <c r="I1070" s="214"/>
      <c r="J1070" s="214"/>
      <c r="K1070" s="214"/>
      <c r="L1070" s="214"/>
      <c r="M1070" s="214"/>
      <c r="N1070" s="216"/>
      <c r="O1070" s="216"/>
      <c r="P1070" s="216"/>
      <c r="Q1070" s="216"/>
      <c r="R1070" s="216"/>
      <c r="S1070" s="216"/>
      <c r="T1070" s="216"/>
      <c r="U1070" s="216"/>
      <c r="V1070" s="216"/>
      <c r="W1070" s="216"/>
      <c r="X1070" s="216"/>
      <c r="Y1070" s="216"/>
      <c r="Z1070" s="216"/>
      <c r="AA1070" s="216"/>
    </row>
    <row r="1071" ht="15.0" customHeight="1">
      <c r="A1071" s="214"/>
      <c r="B1071" s="214"/>
      <c r="C1071" s="214"/>
      <c r="D1071" s="214"/>
      <c r="E1071" s="214"/>
      <c r="F1071" s="214"/>
      <c r="G1071" s="214"/>
      <c r="H1071" s="214"/>
      <c r="I1071" s="214"/>
      <c r="J1071" s="214"/>
      <c r="K1071" s="214"/>
      <c r="L1071" s="214"/>
      <c r="M1071" s="214"/>
      <c r="N1071" s="216"/>
      <c r="O1071" s="216"/>
      <c r="P1071" s="216"/>
      <c r="Q1071" s="216"/>
      <c r="R1071" s="216"/>
      <c r="S1071" s="216"/>
      <c r="T1071" s="216"/>
      <c r="U1071" s="216"/>
      <c r="V1071" s="216"/>
      <c r="W1071" s="216"/>
      <c r="X1071" s="216"/>
      <c r="Y1071" s="216"/>
      <c r="Z1071" s="216"/>
      <c r="AA1071" s="216"/>
    </row>
    <row r="1072" ht="15.0" customHeight="1">
      <c r="A1072" s="214"/>
      <c r="B1072" s="214"/>
      <c r="C1072" s="214"/>
      <c r="D1072" s="214"/>
      <c r="E1072" s="214"/>
      <c r="F1072" s="214"/>
      <c r="G1072" s="214"/>
      <c r="H1072" s="214"/>
      <c r="I1072" s="214"/>
      <c r="J1072" s="214"/>
      <c r="K1072" s="214"/>
      <c r="L1072" s="214"/>
      <c r="M1072" s="214"/>
      <c r="N1072" s="216"/>
      <c r="O1072" s="216"/>
      <c r="P1072" s="216"/>
      <c r="Q1072" s="216"/>
      <c r="R1072" s="216"/>
      <c r="S1072" s="216"/>
      <c r="T1072" s="216"/>
      <c r="U1072" s="216"/>
      <c r="V1072" s="216"/>
      <c r="W1072" s="216"/>
      <c r="X1072" s="216"/>
      <c r="Y1072" s="216"/>
      <c r="Z1072" s="216"/>
      <c r="AA1072" s="216"/>
    </row>
    <row r="1073" ht="15.0" customHeight="1">
      <c r="A1073" s="214"/>
      <c r="B1073" s="214"/>
      <c r="C1073" s="214"/>
      <c r="D1073" s="214"/>
      <c r="E1073" s="214"/>
      <c r="F1073" s="214"/>
      <c r="G1073" s="214"/>
      <c r="H1073" s="214"/>
      <c r="I1073" s="214"/>
      <c r="J1073" s="214"/>
      <c r="K1073" s="214"/>
      <c r="L1073" s="214"/>
      <c r="M1073" s="214"/>
      <c r="N1073" s="216"/>
      <c r="O1073" s="216"/>
      <c r="P1073" s="216"/>
      <c r="Q1073" s="216"/>
      <c r="R1073" s="216"/>
      <c r="S1073" s="216"/>
      <c r="T1073" s="216"/>
      <c r="U1073" s="216"/>
      <c r="V1073" s="216"/>
      <c r="W1073" s="216"/>
      <c r="X1073" s="216"/>
      <c r="Y1073" s="216"/>
      <c r="Z1073" s="216"/>
      <c r="AA1073" s="216"/>
    </row>
    <row r="1074" ht="15.0" customHeight="1">
      <c r="A1074" s="214"/>
      <c r="B1074" s="214"/>
      <c r="C1074" s="214"/>
      <c r="D1074" s="214"/>
      <c r="E1074" s="214"/>
      <c r="F1074" s="214"/>
      <c r="G1074" s="214"/>
      <c r="H1074" s="214"/>
      <c r="I1074" s="214"/>
      <c r="J1074" s="214"/>
      <c r="K1074" s="214"/>
      <c r="L1074" s="214"/>
      <c r="M1074" s="214"/>
      <c r="N1074" s="216"/>
      <c r="O1074" s="216"/>
      <c r="P1074" s="216"/>
      <c r="Q1074" s="216"/>
      <c r="R1074" s="216"/>
      <c r="S1074" s="216"/>
      <c r="T1074" s="216"/>
      <c r="U1074" s="216"/>
      <c r="V1074" s="216"/>
      <c r="W1074" s="216"/>
      <c r="X1074" s="216"/>
      <c r="Y1074" s="216"/>
      <c r="Z1074" s="216"/>
      <c r="AA1074" s="216"/>
    </row>
    <row r="1075" ht="15.0" customHeight="1">
      <c r="A1075" s="214"/>
      <c r="B1075" s="214"/>
      <c r="C1075" s="214"/>
      <c r="D1075" s="214"/>
      <c r="E1075" s="214"/>
      <c r="F1075" s="214"/>
      <c r="G1075" s="214"/>
      <c r="H1075" s="214"/>
      <c r="I1075" s="214"/>
      <c r="J1075" s="214"/>
      <c r="K1075" s="214"/>
      <c r="L1075" s="214"/>
      <c r="M1075" s="214"/>
      <c r="N1075" s="216"/>
      <c r="O1075" s="216"/>
      <c r="P1075" s="216"/>
      <c r="Q1075" s="216"/>
      <c r="R1075" s="216"/>
      <c r="S1075" s="216"/>
      <c r="T1075" s="216"/>
      <c r="U1075" s="216"/>
      <c r="V1075" s="216"/>
      <c r="W1075" s="216"/>
      <c r="X1075" s="216"/>
      <c r="Y1075" s="216"/>
      <c r="Z1075" s="216"/>
      <c r="AA1075" s="216"/>
    </row>
    <row r="1076" ht="15.0" customHeight="1">
      <c r="A1076" s="214"/>
      <c r="B1076" s="214"/>
      <c r="C1076" s="214"/>
      <c r="D1076" s="214"/>
      <c r="E1076" s="214"/>
      <c r="F1076" s="214"/>
      <c r="G1076" s="214"/>
      <c r="H1076" s="214"/>
      <c r="I1076" s="214"/>
      <c r="J1076" s="214"/>
      <c r="K1076" s="214"/>
      <c r="L1076" s="214"/>
      <c r="M1076" s="214"/>
      <c r="N1076" s="216"/>
      <c r="O1076" s="216"/>
      <c r="P1076" s="216"/>
      <c r="Q1076" s="216"/>
      <c r="R1076" s="216"/>
      <c r="S1076" s="216"/>
      <c r="T1076" s="216"/>
      <c r="U1076" s="216"/>
      <c r="V1076" s="216"/>
      <c r="W1076" s="216"/>
      <c r="X1076" s="216"/>
      <c r="Y1076" s="216"/>
      <c r="Z1076" s="216"/>
      <c r="AA1076" s="216"/>
    </row>
    <row r="1077" ht="15.0" customHeight="1">
      <c r="A1077" s="214"/>
      <c r="B1077" s="214"/>
      <c r="C1077" s="214"/>
      <c r="D1077" s="214"/>
      <c r="E1077" s="214"/>
      <c r="F1077" s="214"/>
      <c r="G1077" s="214"/>
      <c r="H1077" s="214"/>
      <c r="I1077" s="214"/>
      <c r="J1077" s="214"/>
      <c r="K1077" s="214"/>
      <c r="L1077" s="214"/>
      <c r="M1077" s="214"/>
      <c r="N1077" s="216"/>
      <c r="O1077" s="216"/>
      <c r="P1077" s="216"/>
      <c r="Q1077" s="216"/>
      <c r="R1077" s="216"/>
      <c r="S1077" s="216"/>
      <c r="T1077" s="216"/>
      <c r="U1077" s="216"/>
      <c r="V1077" s="216"/>
      <c r="W1077" s="216"/>
      <c r="X1077" s="216"/>
      <c r="Y1077" s="216"/>
      <c r="Z1077" s="216"/>
      <c r="AA1077" s="216"/>
    </row>
    <row r="1078" ht="15.0" customHeight="1">
      <c r="A1078" s="214"/>
      <c r="B1078" s="214"/>
      <c r="C1078" s="214"/>
      <c r="D1078" s="214"/>
      <c r="E1078" s="214"/>
      <c r="F1078" s="214"/>
      <c r="G1078" s="214"/>
      <c r="H1078" s="214"/>
      <c r="I1078" s="214"/>
      <c r="J1078" s="214"/>
      <c r="K1078" s="214"/>
      <c r="L1078" s="214"/>
      <c r="M1078" s="214"/>
      <c r="N1078" s="216"/>
      <c r="O1078" s="216"/>
      <c r="P1078" s="216"/>
      <c r="Q1078" s="216"/>
      <c r="R1078" s="216"/>
      <c r="S1078" s="216"/>
      <c r="T1078" s="216"/>
      <c r="U1078" s="216"/>
      <c r="V1078" s="216"/>
      <c r="W1078" s="216"/>
      <c r="X1078" s="216"/>
      <c r="Y1078" s="216"/>
      <c r="Z1078" s="216"/>
      <c r="AA1078" s="216"/>
    </row>
    <row r="1079" ht="15.0" customHeight="1">
      <c r="A1079" s="214"/>
      <c r="B1079" s="214"/>
      <c r="C1079" s="214"/>
      <c r="D1079" s="214"/>
      <c r="E1079" s="214"/>
      <c r="F1079" s="214"/>
      <c r="G1079" s="214"/>
      <c r="H1079" s="214"/>
      <c r="I1079" s="214"/>
      <c r="J1079" s="214"/>
      <c r="K1079" s="214"/>
      <c r="L1079" s="214"/>
      <c r="M1079" s="214"/>
      <c r="N1079" s="216"/>
      <c r="O1079" s="216"/>
      <c r="P1079" s="216"/>
      <c r="Q1079" s="216"/>
      <c r="R1079" s="216"/>
      <c r="S1079" s="216"/>
      <c r="T1079" s="216"/>
      <c r="U1079" s="216"/>
      <c r="V1079" s="216"/>
      <c r="W1079" s="216"/>
      <c r="X1079" s="216"/>
      <c r="Y1079" s="216"/>
      <c r="Z1079" s="216"/>
      <c r="AA1079" s="216"/>
    </row>
    <row r="1080" ht="15.0" customHeight="1">
      <c r="A1080" s="214"/>
      <c r="B1080" s="214"/>
      <c r="C1080" s="214"/>
      <c r="D1080" s="214"/>
      <c r="E1080" s="214"/>
      <c r="F1080" s="214"/>
      <c r="G1080" s="214"/>
      <c r="H1080" s="214"/>
      <c r="I1080" s="214"/>
      <c r="J1080" s="214"/>
      <c r="K1080" s="214"/>
      <c r="L1080" s="214"/>
      <c r="M1080" s="214"/>
      <c r="N1080" s="216"/>
      <c r="O1080" s="216"/>
      <c r="P1080" s="216"/>
      <c r="Q1080" s="216"/>
      <c r="R1080" s="216"/>
      <c r="S1080" s="216"/>
      <c r="T1080" s="216"/>
      <c r="U1080" s="216"/>
      <c r="V1080" s="216"/>
      <c r="W1080" s="216"/>
      <c r="X1080" s="216"/>
      <c r="Y1080" s="216"/>
      <c r="Z1080" s="216"/>
      <c r="AA1080" s="216"/>
    </row>
    <row r="1081" ht="15.0" customHeight="1">
      <c r="A1081" s="214"/>
      <c r="B1081" s="214"/>
      <c r="C1081" s="214"/>
      <c r="D1081" s="214"/>
      <c r="E1081" s="214"/>
      <c r="F1081" s="214"/>
      <c r="G1081" s="214"/>
      <c r="H1081" s="214"/>
      <c r="I1081" s="214"/>
      <c r="J1081" s="214"/>
      <c r="K1081" s="214"/>
      <c r="L1081" s="214"/>
      <c r="M1081" s="214"/>
      <c r="N1081" s="216"/>
      <c r="O1081" s="216"/>
      <c r="P1081" s="216"/>
      <c r="Q1081" s="216"/>
      <c r="R1081" s="216"/>
      <c r="S1081" s="216"/>
      <c r="T1081" s="216"/>
      <c r="U1081" s="216"/>
      <c r="V1081" s="216"/>
      <c r="W1081" s="216"/>
      <c r="X1081" s="216"/>
      <c r="Y1081" s="216"/>
      <c r="Z1081" s="216"/>
      <c r="AA1081" s="216"/>
    </row>
    <row r="1082" ht="15.0" customHeight="1">
      <c r="A1082" s="214"/>
      <c r="B1082" s="214"/>
      <c r="C1082" s="214"/>
      <c r="D1082" s="214"/>
      <c r="E1082" s="214"/>
      <c r="F1082" s="214"/>
      <c r="G1082" s="214"/>
      <c r="H1082" s="214"/>
      <c r="I1082" s="214"/>
      <c r="J1082" s="214"/>
      <c r="K1082" s="214"/>
      <c r="L1082" s="214"/>
      <c r="M1082" s="214"/>
      <c r="N1082" s="216"/>
      <c r="O1082" s="216"/>
      <c r="P1082" s="216"/>
      <c r="Q1082" s="216"/>
      <c r="R1082" s="216"/>
      <c r="S1082" s="216"/>
      <c r="T1082" s="216"/>
      <c r="U1082" s="216"/>
      <c r="V1082" s="216"/>
      <c r="W1082" s="216"/>
      <c r="X1082" s="216"/>
      <c r="Y1082" s="216"/>
      <c r="Z1082" s="216"/>
      <c r="AA1082" s="216"/>
    </row>
    <row r="1083" ht="15.0" customHeight="1">
      <c r="A1083" s="214"/>
      <c r="B1083" s="214"/>
      <c r="C1083" s="214"/>
      <c r="D1083" s="214"/>
      <c r="E1083" s="214"/>
      <c r="F1083" s="214"/>
      <c r="G1083" s="214"/>
      <c r="H1083" s="214"/>
      <c r="I1083" s="214"/>
      <c r="J1083" s="214"/>
      <c r="K1083" s="214"/>
      <c r="L1083" s="214"/>
      <c r="M1083" s="214"/>
      <c r="N1083" s="216"/>
      <c r="O1083" s="216"/>
      <c r="P1083" s="216"/>
      <c r="Q1083" s="216"/>
      <c r="R1083" s="216"/>
      <c r="S1083" s="216"/>
      <c r="T1083" s="216"/>
      <c r="U1083" s="216"/>
      <c r="V1083" s="216"/>
      <c r="W1083" s="216"/>
      <c r="X1083" s="216"/>
      <c r="Y1083" s="216"/>
      <c r="Z1083" s="216"/>
      <c r="AA1083" s="216"/>
    </row>
    <row r="1084" ht="15.0" customHeight="1">
      <c r="A1084" s="214"/>
      <c r="B1084" s="214"/>
      <c r="C1084" s="214"/>
      <c r="D1084" s="214"/>
      <c r="E1084" s="214"/>
      <c r="F1084" s="214"/>
      <c r="G1084" s="214"/>
      <c r="H1084" s="214"/>
      <c r="I1084" s="214"/>
      <c r="J1084" s="214"/>
      <c r="K1084" s="214"/>
      <c r="L1084" s="214"/>
      <c r="M1084" s="214"/>
      <c r="N1084" s="216"/>
      <c r="O1084" s="216"/>
      <c r="P1084" s="216"/>
      <c r="Q1084" s="216"/>
      <c r="R1084" s="216"/>
      <c r="S1084" s="216"/>
      <c r="T1084" s="216"/>
      <c r="U1084" s="216"/>
      <c r="V1084" s="216"/>
      <c r="W1084" s="216"/>
      <c r="X1084" s="216"/>
      <c r="Y1084" s="216"/>
      <c r="Z1084" s="216"/>
      <c r="AA1084" s="216"/>
    </row>
    <row r="1085" ht="15.0" customHeight="1">
      <c r="A1085" s="214"/>
      <c r="B1085" s="214"/>
      <c r="C1085" s="214"/>
      <c r="D1085" s="214"/>
      <c r="E1085" s="214"/>
      <c r="F1085" s="214"/>
      <c r="G1085" s="214"/>
      <c r="H1085" s="214"/>
      <c r="I1085" s="214"/>
      <c r="J1085" s="214"/>
      <c r="K1085" s="214"/>
      <c r="L1085" s="214"/>
      <c r="M1085" s="214"/>
      <c r="N1085" s="216"/>
      <c r="O1085" s="216"/>
      <c r="P1085" s="216"/>
      <c r="Q1085" s="216"/>
      <c r="R1085" s="216"/>
      <c r="S1085" s="216"/>
      <c r="T1085" s="216"/>
      <c r="U1085" s="216"/>
      <c r="V1085" s="216"/>
      <c r="W1085" s="216"/>
      <c r="X1085" s="216"/>
      <c r="Y1085" s="216"/>
      <c r="Z1085" s="216"/>
      <c r="AA1085" s="216"/>
    </row>
    <row r="1086" ht="15.0" customHeight="1">
      <c r="A1086" s="214"/>
      <c r="B1086" s="214"/>
      <c r="C1086" s="214"/>
      <c r="D1086" s="214"/>
      <c r="E1086" s="214"/>
      <c r="F1086" s="214"/>
      <c r="G1086" s="214"/>
      <c r="H1086" s="214"/>
      <c r="I1086" s="214"/>
      <c r="J1086" s="214"/>
      <c r="K1086" s="214"/>
      <c r="L1086" s="214"/>
      <c r="M1086" s="214"/>
      <c r="N1086" s="216"/>
      <c r="O1086" s="216"/>
      <c r="P1086" s="216"/>
      <c r="Q1086" s="216"/>
      <c r="R1086" s="216"/>
      <c r="S1086" s="216"/>
      <c r="T1086" s="216"/>
      <c r="U1086" s="216"/>
      <c r="V1086" s="216"/>
      <c r="W1086" s="216"/>
      <c r="X1086" s="216"/>
      <c r="Y1086" s="216"/>
      <c r="Z1086" s="216"/>
      <c r="AA1086" s="216"/>
    </row>
    <row r="1087" ht="15.0" customHeight="1">
      <c r="A1087" s="214"/>
      <c r="B1087" s="214"/>
      <c r="C1087" s="214"/>
      <c r="D1087" s="214"/>
      <c r="E1087" s="214"/>
      <c r="F1087" s="214"/>
      <c r="G1087" s="214"/>
      <c r="H1087" s="214"/>
      <c r="I1087" s="214"/>
      <c r="J1087" s="214"/>
      <c r="K1087" s="214"/>
      <c r="L1087" s="214"/>
      <c r="M1087" s="214"/>
      <c r="N1087" s="216"/>
      <c r="O1087" s="216"/>
      <c r="P1087" s="216"/>
      <c r="Q1087" s="216"/>
      <c r="R1087" s="216"/>
      <c r="S1087" s="216"/>
      <c r="T1087" s="216"/>
      <c r="U1087" s="216"/>
      <c r="V1087" s="216"/>
      <c r="W1087" s="216"/>
      <c r="X1087" s="216"/>
      <c r="Y1087" s="216"/>
      <c r="Z1087" s="216"/>
      <c r="AA1087" s="216"/>
    </row>
    <row r="1088" ht="15.0" customHeight="1">
      <c r="A1088" s="214"/>
      <c r="B1088" s="214"/>
      <c r="C1088" s="214"/>
      <c r="D1088" s="214"/>
      <c r="E1088" s="214"/>
      <c r="F1088" s="214"/>
      <c r="G1088" s="214"/>
      <c r="H1088" s="214"/>
      <c r="I1088" s="214"/>
      <c r="J1088" s="214"/>
      <c r="K1088" s="214"/>
      <c r="L1088" s="214"/>
      <c r="M1088" s="214"/>
      <c r="N1088" s="216"/>
      <c r="O1088" s="216"/>
      <c r="P1088" s="216"/>
      <c r="Q1088" s="216"/>
      <c r="R1088" s="216"/>
      <c r="S1088" s="216"/>
      <c r="T1088" s="216"/>
      <c r="U1088" s="216"/>
      <c r="V1088" s="216"/>
      <c r="W1088" s="216"/>
      <c r="X1088" s="216"/>
      <c r="Y1088" s="216"/>
      <c r="Z1088" s="216"/>
      <c r="AA1088" s="216"/>
    </row>
    <row r="1089" ht="15.0" customHeight="1">
      <c r="A1089" s="214"/>
      <c r="B1089" s="214"/>
      <c r="C1089" s="214"/>
      <c r="D1089" s="214"/>
      <c r="E1089" s="214"/>
      <c r="F1089" s="214"/>
      <c r="G1089" s="214"/>
      <c r="H1089" s="214"/>
      <c r="I1089" s="214"/>
      <c r="J1089" s="214"/>
      <c r="K1089" s="214"/>
      <c r="L1089" s="214"/>
      <c r="M1089" s="214"/>
      <c r="N1089" s="216"/>
      <c r="O1089" s="216"/>
      <c r="P1089" s="216"/>
      <c r="Q1089" s="216"/>
      <c r="R1089" s="216"/>
      <c r="S1089" s="216"/>
      <c r="T1089" s="216"/>
      <c r="U1089" s="216"/>
      <c r="V1089" s="216"/>
      <c r="W1089" s="216"/>
      <c r="X1089" s="216"/>
      <c r="Y1089" s="216"/>
      <c r="Z1089" s="216"/>
      <c r="AA1089" s="216"/>
    </row>
    <row r="1090" ht="15.0" customHeight="1">
      <c r="A1090" s="214"/>
      <c r="B1090" s="214"/>
      <c r="C1090" s="214"/>
      <c r="D1090" s="214"/>
      <c r="E1090" s="214"/>
      <c r="F1090" s="214"/>
      <c r="G1090" s="214"/>
      <c r="H1090" s="214"/>
      <c r="I1090" s="214"/>
      <c r="J1090" s="214"/>
      <c r="K1090" s="214"/>
      <c r="L1090" s="214"/>
      <c r="M1090" s="214"/>
      <c r="N1090" s="216"/>
      <c r="O1090" s="216"/>
      <c r="P1090" s="216"/>
      <c r="Q1090" s="216"/>
      <c r="R1090" s="216"/>
      <c r="S1090" s="216"/>
      <c r="T1090" s="216"/>
      <c r="U1090" s="216"/>
      <c r="V1090" s="216"/>
      <c r="W1090" s="216"/>
      <c r="X1090" s="216"/>
      <c r="Y1090" s="216"/>
      <c r="Z1090" s="216"/>
      <c r="AA1090" s="216"/>
    </row>
    <row r="1091" ht="15.0" customHeight="1">
      <c r="A1091" s="214"/>
      <c r="B1091" s="214"/>
      <c r="C1091" s="214"/>
      <c r="D1091" s="214"/>
      <c r="E1091" s="214"/>
      <c r="F1091" s="214"/>
      <c r="G1091" s="214"/>
      <c r="H1091" s="214"/>
      <c r="I1091" s="214"/>
      <c r="J1091" s="214"/>
      <c r="K1091" s="214"/>
      <c r="L1091" s="214"/>
      <c r="M1091" s="214"/>
      <c r="N1091" s="216"/>
      <c r="O1091" s="216"/>
      <c r="P1091" s="216"/>
      <c r="Q1091" s="216"/>
      <c r="R1091" s="216"/>
      <c r="S1091" s="216"/>
      <c r="T1091" s="216"/>
      <c r="U1091" s="216"/>
      <c r="V1091" s="216"/>
      <c r="W1091" s="216"/>
      <c r="X1091" s="216"/>
      <c r="Y1091" s="216"/>
      <c r="Z1091" s="216"/>
      <c r="AA1091" s="216"/>
    </row>
    <row r="1092" ht="15.0" customHeight="1">
      <c r="A1092" s="214"/>
      <c r="B1092" s="214"/>
      <c r="C1092" s="214"/>
      <c r="D1092" s="214"/>
      <c r="E1092" s="214"/>
      <c r="F1092" s="214"/>
      <c r="G1092" s="214"/>
      <c r="H1092" s="214"/>
      <c r="I1092" s="214"/>
      <c r="J1092" s="214"/>
      <c r="K1092" s="214"/>
      <c r="L1092" s="214"/>
      <c r="M1092" s="214"/>
      <c r="N1092" s="216"/>
      <c r="O1092" s="216"/>
      <c r="P1092" s="216"/>
      <c r="Q1092" s="216"/>
      <c r="R1092" s="216"/>
      <c r="S1092" s="216"/>
      <c r="T1092" s="216"/>
      <c r="U1092" s="216"/>
      <c r="V1092" s="216"/>
      <c r="W1092" s="216"/>
      <c r="X1092" s="216"/>
      <c r="Y1092" s="216"/>
      <c r="Z1092" s="216"/>
      <c r="AA1092" s="216"/>
    </row>
    <row r="1093" ht="15.0" customHeight="1">
      <c r="A1093" s="214"/>
      <c r="B1093" s="214"/>
      <c r="C1093" s="214"/>
      <c r="D1093" s="214"/>
      <c r="E1093" s="214"/>
      <c r="F1093" s="214"/>
      <c r="G1093" s="214"/>
      <c r="H1093" s="214"/>
      <c r="I1093" s="214"/>
      <c r="J1093" s="214"/>
      <c r="K1093" s="214"/>
      <c r="L1093" s="214"/>
      <c r="M1093" s="214"/>
      <c r="N1093" s="216"/>
      <c r="O1093" s="216"/>
      <c r="P1093" s="216"/>
      <c r="Q1093" s="216"/>
      <c r="R1093" s="216"/>
      <c r="S1093" s="216"/>
      <c r="T1093" s="216"/>
      <c r="U1093" s="216"/>
      <c r="V1093" s="216"/>
      <c r="W1093" s="216"/>
      <c r="X1093" s="216"/>
      <c r="Y1093" s="216"/>
      <c r="Z1093" s="216"/>
      <c r="AA1093" s="216"/>
    </row>
    <row r="1094" ht="15.0" customHeight="1">
      <c r="A1094" s="214"/>
      <c r="B1094" s="214"/>
      <c r="C1094" s="214"/>
      <c r="D1094" s="214"/>
      <c r="E1094" s="214"/>
      <c r="F1094" s="214"/>
      <c r="G1094" s="214"/>
      <c r="H1094" s="214"/>
      <c r="I1094" s="214"/>
      <c r="J1094" s="214"/>
      <c r="K1094" s="214"/>
      <c r="L1094" s="214"/>
      <c r="M1094" s="214"/>
      <c r="N1094" s="216"/>
      <c r="O1094" s="216"/>
      <c r="P1094" s="216"/>
      <c r="Q1094" s="216"/>
      <c r="R1094" s="216"/>
      <c r="S1094" s="216"/>
      <c r="T1094" s="216"/>
      <c r="U1094" s="216"/>
      <c r="V1094" s="216"/>
      <c r="W1094" s="216"/>
      <c r="X1094" s="216"/>
      <c r="Y1094" s="216"/>
      <c r="Z1094" s="216"/>
      <c r="AA1094" s="216"/>
    </row>
    <row r="1095" ht="15.0" customHeight="1">
      <c r="A1095" s="214"/>
      <c r="B1095" s="214"/>
      <c r="C1095" s="214"/>
      <c r="D1095" s="214"/>
      <c r="E1095" s="214"/>
      <c r="F1095" s="214"/>
      <c r="G1095" s="214"/>
      <c r="H1095" s="214"/>
      <c r="I1095" s="214"/>
      <c r="J1095" s="214"/>
      <c r="K1095" s="214"/>
      <c r="L1095" s="214"/>
      <c r="M1095" s="214"/>
      <c r="N1095" s="216"/>
      <c r="O1095" s="216"/>
      <c r="P1095" s="216"/>
      <c r="Q1095" s="216"/>
      <c r="R1095" s="216"/>
      <c r="S1095" s="216"/>
      <c r="T1095" s="216"/>
      <c r="U1095" s="216"/>
      <c r="V1095" s="216"/>
      <c r="W1095" s="216"/>
      <c r="X1095" s="216"/>
      <c r="Y1095" s="216"/>
      <c r="Z1095" s="216"/>
      <c r="AA1095" s="216"/>
    </row>
    <row r="1096" ht="15.0" customHeight="1">
      <c r="A1096" s="214"/>
      <c r="B1096" s="214"/>
      <c r="C1096" s="214"/>
      <c r="D1096" s="214"/>
      <c r="E1096" s="214"/>
      <c r="F1096" s="214"/>
      <c r="G1096" s="214"/>
      <c r="H1096" s="214"/>
      <c r="I1096" s="214"/>
      <c r="J1096" s="214"/>
      <c r="K1096" s="214"/>
      <c r="L1096" s="214"/>
      <c r="M1096" s="214"/>
      <c r="N1096" s="216"/>
      <c r="O1096" s="216"/>
      <c r="P1096" s="216"/>
      <c r="Q1096" s="216"/>
      <c r="R1096" s="216"/>
      <c r="S1096" s="216"/>
      <c r="T1096" s="216"/>
      <c r="U1096" s="216"/>
      <c r="V1096" s="216"/>
      <c r="W1096" s="216"/>
      <c r="X1096" s="216"/>
      <c r="Y1096" s="216"/>
      <c r="Z1096" s="216"/>
      <c r="AA1096" s="216"/>
    </row>
    <row r="1097" ht="15.0" customHeight="1">
      <c r="A1097" s="214"/>
      <c r="B1097" s="214"/>
      <c r="C1097" s="214"/>
      <c r="D1097" s="214"/>
      <c r="E1097" s="214"/>
      <c r="F1097" s="214"/>
      <c r="G1097" s="214"/>
      <c r="H1097" s="214"/>
      <c r="I1097" s="214"/>
      <c r="J1097" s="214"/>
      <c r="K1097" s="214"/>
      <c r="L1097" s="214"/>
      <c r="M1097" s="214"/>
      <c r="N1097" s="216"/>
      <c r="O1097" s="216"/>
      <c r="P1097" s="216"/>
      <c r="Q1097" s="216"/>
      <c r="R1097" s="216"/>
      <c r="S1097" s="216"/>
      <c r="T1097" s="216"/>
      <c r="U1097" s="216"/>
      <c r="V1097" s="216"/>
      <c r="W1097" s="216"/>
      <c r="X1097" s="216"/>
      <c r="Y1097" s="216"/>
      <c r="Z1097" s="216"/>
      <c r="AA1097" s="216"/>
    </row>
    <row r="1098" ht="15.0" customHeight="1">
      <c r="A1098" s="214"/>
      <c r="B1098" s="214"/>
      <c r="C1098" s="214"/>
      <c r="D1098" s="214"/>
      <c r="E1098" s="214"/>
      <c r="F1098" s="214"/>
      <c r="G1098" s="214"/>
      <c r="H1098" s="214"/>
      <c r="I1098" s="214"/>
      <c r="J1098" s="214"/>
      <c r="K1098" s="214"/>
      <c r="L1098" s="214"/>
      <c r="M1098" s="214"/>
      <c r="N1098" s="216"/>
      <c r="O1098" s="216"/>
      <c r="P1098" s="216"/>
      <c r="Q1098" s="216"/>
      <c r="R1098" s="216"/>
      <c r="S1098" s="216"/>
      <c r="T1098" s="216"/>
      <c r="U1098" s="216"/>
      <c r="V1098" s="216"/>
      <c r="W1098" s="216"/>
      <c r="X1098" s="216"/>
      <c r="Y1098" s="216"/>
      <c r="Z1098" s="216"/>
      <c r="AA1098" s="216"/>
    </row>
    <row r="1099" ht="15.0" customHeight="1">
      <c r="A1099" s="214"/>
      <c r="B1099" s="214"/>
      <c r="C1099" s="214"/>
      <c r="D1099" s="214"/>
      <c r="E1099" s="214"/>
      <c r="F1099" s="214"/>
      <c r="G1099" s="214"/>
      <c r="H1099" s="214"/>
      <c r="I1099" s="214"/>
      <c r="J1099" s="214"/>
      <c r="K1099" s="214"/>
      <c r="L1099" s="214"/>
      <c r="M1099" s="214"/>
      <c r="N1099" s="216"/>
      <c r="O1099" s="216"/>
      <c r="P1099" s="216"/>
      <c r="Q1099" s="216"/>
      <c r="R1099" s="216"/>
      <c r="S1099" s="216"/>
      <c r="T1099" s="216"/>
      <c r="U1099" s="216"/>
      <c r="V1099" s="216"/>
      <c r="W1099" s="216"/>
      <c r="X1099" s="216"/>
      <c r="Y1099" s="216"/>
      <c r="Z1099" s="216"/>
      <c r="AA1099" s="216"/>
    </row>
    <row r="1100" ht="15.0" customHeight="1">
      <c r="A1100" s="214"/>
      <c r="B1100" s="214"/>
      <c r="C1100" s="214"/>
      <c r="D1100" s="214"/>
      <c r="E1100" s="214"/>
      <c r="F1100" s="214"/>
      <c r="G1100" s="214"/>
      <c r="H1100" s="214"/>
      <c r="I1100" s="214"/>
      <c r="J1100" s="214"/>
      <c r="K1100" s="214"/>
      <c r="L1100" s="214"/>
      <c r="M1100" s="214"/>
      <c r="N1100" s="216"/>
      <c r="O1100" s="216"/>
      <c r="P1100" s="216"/>
      <c r="Q1100" s="216"/>
      <c r="R1100" s="216"/>
      <c r="S1100" s="216"/>
      <c r="T1100" s="216"/>
      <c r="U1100" s="216"/>
      <c r="V1100" s="216"/>
      <c r="W1100" s="216"/>
      <c r="X1100" s="216"/>
      <c r="Y1100" s="216"/>
      <c r="Z1100" s="216"/>
      <c r="AA1100" s="216"/>
    </row>
    <row r="1101" ht="15.0" customHeight="1">
      <c r="A1101" s="214"/>
      <c r="B1101" s="214"/>
      <c r="C1101" s="214"/>
      <c r="D1101" s="214"/>
      <c r="E1101" s="214"/>
      <c r="F1101" s="214"/>
      <c r="G1101" s="214"/>
      <c r="H1101" s="214"/>
      <c r="I1101" s="214"/>
      <c r="J1101" s="214"/>
      <c r="K1101" s="214"/>
      <c r="L1101" s="214"/>
      <c r="M1101" s="214"/>
      <c r="N1101" s="216"/>
      <c r="O1101" s="216"/>
      <c r="P1101" s="216"/>
      <c r="Q1101" s="216"/>
      <c r="R1101" s="216"/>
      <c r="S1101" s="216"/>
      <c r="T1101" s="216"/>
      <c r="U1101" s="216"/>
      <c r="V1101" s="216"/>
      <c r="W1101" s="216"/>
      <c r="X1101" s="216"/>
      <c r="Y1101" s="216"/>
      <c r="Z1101" s="216"/>
      <c r="AA1101" s="216"/>
    </row>
    <row r="1102" ht="15.0" customHeight="1">
      <c r="A1102" s="214"/>
      <c r="B1102" s="214"/>
      <c r="C1102" s="214"/>
      <c r="D1102" s="214"/>
      <c r="E1102" s="214"/>
      <c r="F1102" s="214"/>
      <c r="G1102" s="214"/>
      <c r="H1102" s="214"/>
      <c r="I1102" s="214"/>
      <c r="J1102" s="214"/>
      <c r="K1102" s="214"/>
      <c r="L1102" s="214"/>
      <c r="M1102" s="214"/>
      <c r="N1102" s="216"/>
      <c r="O1102" s="216"/>
      <c r="P1102" s="216"/>
      <c r="Q1102" s="216"/>
      <c r="R1102" s="216"/>
      <c r="S1102" s="216"/>
      <c r="T1102" s="216"/>
      <c r="U1102" s="216"/>
      <c r="V1102" s="216"/>
      <c r="W1102" s="216"/>
      <c r="X1102" s="216"/>
      <c r="Y1102" s="216"/>
      <c r="Z1102" s="216"/>
      <c r="AA1102" s="216"/>
    </row>
    <row r="1103" ht="15.0" customHeight="1">
      <c r="A1103" s="214"/>
      <c r="B1103" s="214"/>
      <c r="C1103" s="214"/>
      <c r="D1103" s="214"/>
      <c r="E1103" s="214"/>
      <c r="F1103" s="214"/>
      <c r="G1103" s="214"/>
      <c r="H1103" s="214"/>
      <c r="I1103" s="214"/>
      <c r="J1103" s="214"/>
      <c r="K1103" s="214"/>
      <c r="L1103" s="214"/>
      <c r="M1103" s="214"/>
      <c r="N1103" s="216"/>
      <c r="O1103" s="216"/>
      <c r="P1103" s="216"/>
      <c r="Q1103" s="216"/>
      <c r="R1103" s="216"/>
      <c r="S1103" s="216"/>
      <c r="T1103" s="216"/>
      <c r="U1103" s="216"/>
      <c r="V1103" s="216"/>
      <c r="W1103" s="216"/>
      <c r="X1103" s="216"/>
      <c r="Y1103" s="216"/>
      <c r="Z1103" s="216"/>
      <c r="AA1103" s="216"/>
    </row>
    <row r="1104" ht="15.0" customHeight="1">
      <c r="A1104" s="214"/>
      <c r="B1104" s="214"/>
      <c r="C1104" s="214"/>
      <c r="D1104" s="214"/>
      <c r="E1104" s="214"/>
      <c r="F1104" s="214"/>
      <c r="G1104" s="214"/>
      <c r="H1104" s="214"/>
      <c r="I1104" s="214"/>
      <c r="J1104" s="214"/>
      <c r="K1104" s="214"/>
      <c r="L1104" s="214"/>
      <c r="M1104" s="214"/>
      <c r="N1104" s="216"/>
      <c r="O1104" s="216"/>
      <c r="P1104" s="216"/>
      <c r="Q1104" s="216"/>
      <c r="R1104" s="216"/>
      <c r="S1104" s="216"/>
      <c r="T1104" s="216"/>
      <c r="U1104" s="216"/>
      <c r="V1104" s="216"/>
      <c r="W1104" s="216"/>
      <c r="X1104" s="216"/>
      <c r="Y1104" s="216"/>
      <c r="Z1104" s="216"/>
      <c r="AA1104" s="216"/>
    </row>
    <row r="1105" ht="15.0" customHeight="1">
      <c r="A1105" s="214"/>
      <c r="B1105" s="214"/>
      <c r="C1105" s="214"/>
      <c r="D1105" s="214"/>
      <c r="E1105" s="214"/>
      <c r="F1105" s="214"/>
      <c r="G1105" s="214"/>
      <c r="H1105" s="214"/>
      <c r="I1105" s="214"/>
      <c r="J1105" s="214"/>
      <c r="K1105" s="214"/>
      <c r="L1105" s="214"/>
      <c r="M1105" s="214"/>
      <c r="N1105" s="216"/>
      <c r="O1105" s="216"/>
      <c r="P1105" s="216"/>
      <c r="Q1105" s="216"/>
      <c r="R1105" s="216"/>
      <c r="S1105" s="216"/>
      <c r="T1105" s="216"/>
      <c r="U1105" s="216"/>
      <c r="V1105" s="216"/>
      <c r="W1105" s="216"/>
      <c r="X1105" s="216"/>
      <c r="Y1105" s="216"/>
      <c r="Z1105" s="216"/>
      <c r="AA1105" s="216"/>
    </row>
    <row r="1106" ht="15.0" customHeight="1">
      <c r="A1106" s="214"/>
      <c r="B1106" s="214"/>
      <c r="C1106" s="214"/>
      <c r="D1106" s="214"/>
      <c r="E1106" s="214"/>
      <c r="F1106" s="214"/>
      <c r="G1106" s="214"/>
      <c r="H1106" s="214"/>
      <c r="I1106" s="214"/>
      <c r="J1106" s="214"/>
      <c r="K1106" s="214"/>
      <c r="L1106" s="214"/>
      <c r="M1106" s="214"/>
      <c r="N1106" s="216"/>
      <c r="O1106" s="216"/>
      <c r="P1106" s="216"/>
      <c r="Q1106" s="216"/>
      <c r="R1106" s="216"/>
      <c r="S1106" s="216"/>
      <c r="T1106" s="216"/>
      <c r="U1106" s="216"/>
      <c r="V1106" s="216"/>
      <c r="W1106" s="216"/>
      <c r="X1106" s="216"/>
      <c r="Y1106" s="216"/>
      <c r="Z1106" s="216"/>
      <c r="AA1106" s="216"/>
    </row>
    <row r="1107" ht="15.0" customHeight="1">
      <c r="A1107" s="214"/>
      <c r="B1107" s="214"/>
      <c r="C1107" s="214"/>
      <c r="D1107" s="214"/>
      <c r="E1107" s="214"/>
      <c r="F1107" s="214"/>
      <c r="G1107" s="214"/>
      <c r="H1107" s="214"/>
      <c r="I1107" s="214"/>
      <c r="J1107" s="214"/>
      <c r="K1107" s="214"/>
      <c r="L1107" s="214"/>
      <c r="M1107" s="214"/>
      <c r="N1107" s="216"/>
      <c r="O1107" s="216"/>
      <c r="P1107" s="216"/>
      <c r="Q1107" s="216"/>
      <c r="R1107" s="216"/>
      <c r="S1107" s="216"/>
      <c r="T1107" s="216"/>
      <c r="U1107" s="216"/>
      <c r="V1107" s="216"/>
      <c r="W1107" s="216"/>
      <c r="X1107" s="216"/>
      <c r="Y1107" s="216"/>
      <c r="Z1107" s="216"/>
      <c r="AA1107" s="216"/>
    </row>
    <row r="1108" ht="15.0" customHeight="1">
      <c r="A1108" s="214"/>
      <c r="B1108" s="214"/>
      <c r="C1108" s="214"/>
      <c r="D1108" s="214"/>
      <c r="E1108" s="214"/>
      <c r="F1108" s="214"/>
      <c r="G1108" s="214"/>
      <c r="H1108" s="214"/>
      <c r="I1108" s="214"/>
      <c r="J1108" s="214"/>
      <c r="K1108" s="214"/>
      <c r="L1108" s="214"/>
      <c r="M1108" s="214"/>
      <c r="N1108" s="216"/>
      <c r="O1108" s="216"/>
      <c r="P1108" s="216"/>
      <c r="Q1108" s="216"/>
      <c r="R1108" s="216"/>
      <c r="S1108" s="216"/>
      <c r="T1108" s="216"/>
      <c r="U1108" s="216"/>
      <c r="V1108" s="216"/>
      <c r="W1108" s="216"/>
      <c r="X1108" s="216"/>
      <c r="Y1108" s="216"/>
      <c r="Z1108" s="216"/>
      <c r="AA1108" s="216"/>
    </row>
    <row r="1109" ht="15.0" customHeight="1">
      <c r="A1109" s="214"/>
      <c r="B1109" s="214"/>
      <c r="C1109" s="214"/>
      <c r="D1109" s="214"/>
      <c r="E1109" s="214"/>
      <c r="F1109" s="214"/>
      <c r="G1109" s="214"/>
      <c r="H1109" s="214"/>
      <c r="I1109" s="214"/>
      <c r="J1109" s="214"/>
      <c r="K1109" s="214"/>
      <c r="L1109" s="214"/>
      <c r="M1109" s="214"/>
      <c r="N1109" s="216"/>
      <c r="O1109" s="216"/>
      <c r="P1109" s="216"/>
      <c r="Q1109" s="216"/>
      <c r="R1109" s="216"/>
      <c r="S1109" s="216"/>
      <c r="T1109" s="216"/>
      <c r="U1109" s="216"/>
      <c r="V1109" s="216"/>
      <c r="W1109" s="216"/>
      <c r="X1109" s="216"/>
      <c r="Y1109" s="216"/>
      <c r="Z1109" s="216"/>
      <c r="AA1109" s="216"/>
    </row>
    <row r="1110" ht="15.0" customHeight="1">
      <c r="A1110" s="214"/>
      <c r="B1110" s="214"/>
      <c r="C1110" s="214"/>
      <c r="D1110" s="214"/>
      <c r="E1110" s="214"/>
      <c r="F1110" s="214"/>
      <c r="G1110" s="214"/>
      <c r="H1110" s="214"/>
      <c r="I1110" s="214"/>
      <c r="J1110" s="214"/>
      <c r="K1110" s="214"/>
      <c r="L1110" s="214"/>
      <c r="M1110" s="214"/>
      <c r="N1110" s="216"/>
      <c r="O1110" s="216"/>
      <c r="P1110" s="216"/>
      <c r="Q1110" s="216"/>
      <c r="R1110" s="216"/>
      <c r="S1110" s="216"/>
      <c r="T1110" s="216"/>
      <c r="U1110" s="216"/>
      <c r="V1110" s="216"/>
      <c r="W1110" s="216"/>
      <c r="X1110" s="216"/>
      <c r="Y1110" s="216"/>
      <c r="Z1110" s="216"/>
      <c r="AA1110" s="216"/>
    </row>
    <row r="1111" ht="15.0" customHeight="1">
      <c r="A1111" s="214"/>
      <c r="B1111" s="214"/>
      <c r="C1111" s="214"/>
      <c r="D1111" s="214"/>
      <c r="E1111" s="214"/>
      <c r="F1111" s="214"/>
      <c r="G1111" s="214"/>
      <c r="H1111" s="214"/>
      <c r="I1111" s="214"/>
      <c r="J1111" s="214"/>
      <c r="K1111" s="214"/>
      <c r="L1111" s="214"/>
      <c r="M1111" s="214"/>
      <c r="N1111" s="216"/>
      <c r="O1111" s="216"/>
      <c r="P1111" s="216"/>
      <c r="Q1111" s="216"/>
      <c r="R1111" s="216"/>
      <c r="S1111" s="216"/>
      <c r="T1111" s="216"/>
      <c r="U1111" s="216"/>
      <c r="V1111" s="216"/>
      <c r="W1111" s="216"/>
      <c r="X1111" s="216"/>
      <c r="Y1111" s="216"/>
      <c r="Z1111" s="216"/>
      <c r="AA1111" s="216"/>
    </row>
    <row r="1112" ht="15.0" customHeight="1">
      <c r="A1112" s="214"/>
      <c r="B1112" s="214"/>
      <c r="C1112" s="214"/>
      <c r="D1112" s="214"/>
      <c r="E1112" s="214"/>
      <c r="F1112" s="214"/>
      <c r="G1112" s="214"/>
      <c r="H1112" s="214"/>
      <c r="I1112" s="214"/>
      <c r="J1112" s="214"/>
      <c r="K1112" s="214"/>
      <c r="L1112" s="214"/>
      <c r="M1112" s="214"/>
      <c r="N1112" s="216"/>
      <c r="O1112" s="216"/>
      <c r="P1112" s="216"/>
      <c r="Q1112" s="216"/>
      <c r="R1112" s="216"/>
      <c r="S1112" s="216"/>
      <c r="T1112" s="216"/>
      <c r="U1112" s="216"/>
      <c r="V1112" s="216"/>
      <c r="W1112" s="216"/>
      <c r="X1112" s="216"/>
      <c r="Y1112" s="216"/>
      <c r="Z1112" s="216"/>
      <c r="AA1112" s="216"/>
    </row>
    <row r="1113" ht="15.0" customHeight="1">
      <c r="A1113" s="214"/>
      <c r="B1113" s="214"/>
      <c r="C1113" s="214"/>
      <c r="D1113" s="214"/>
      <c r="E1113" s="214"/>
      <c r="F1113" s="214"/>
      <c r="G1113" s="214"/>
      <c r="H1113" s="214"/>
      <c r="I1113" s="214"/>
      <c r="J1113" s="214"/>
      <c r="K1113" s="214"/>
      <c r="L1113" s="214"/>
      <c r="M1113" s="214"/>
      <c r="N1113" s="216"/>
      <c r="O1113" s="216"/>
      <c r="P1113" s="216"/>
      <c r="Q1113" s="216"/>
      <c r="R1113" s="216"/>
      <c r="S1113" s="216"/>
      <c r="T1113" s="216"/>
      <c r="U1113" s="216"/>
      <c r="V1113" s="216"/>
      <c r="W1113" s="216"/>
      <c r="X1113" s="216"/>
      <c r="Y1113" s="216"/>
      <c r="Z1113" s="216"/>
      <c r="AA1113" s="216"/>
    </row>
    <row r="1114" ht="15.0" customHeight="1">
      <c r="A1114" s="214"/>
      <c r="B1114" s="214"/>
      <c r="C1114" s="214"/>
      <c r="D1114" s="214"/>
      <c r="E1114" s="214"/>
      <c r="F1114" s="214"/>
      <c r="G1114" s="214"/>
      <c r="H1114" s="214"/>
      <c r="I1114" s="214"/>
      <c r="J1114" s="214"/>
      <c r="K1114" s="214"/>
      <c r="L1114" s="214"/>
      <c r="M1114" s="214"/>
      <c r="N1114" s="216"/>
      <c r="O1114" s="216"/>
      <c r="P1114" s="216"/>
      <c r="Q1114" s="216"/>
      <c r="R1114" s="216"/>
      <c r="S1114" s="216"/>
      <c r="T1114" s="216"/>
      <c r="U1114" s="216"/>
      <c r="V1114" s="216"/>
      <c r="W1114" s="216"/>
      <c r="X1114" s="216"/>
      <c r="Y1114" s="216"/>
      <c r="Z1114" s="216"/>
      <c r="AA1114" s="216"/>
    </row>
    <row r="1115" ht="15.0" customHeight="1">
      <c r="A1115" s="214"/>
      <c r="B1115" s="214"/>
      <c r="C1115" s="214"/>
      <c r="D1115" s="214"/>
      <c r="E1115" s="214"/>
      <c r="F1115" s="214"/>
      <c r="G1115" s="214"/>
      <c r="H1115" s="214"/>
      <c r="I1115" s="214"/>
      <c r="J1115" s="214"/>
      <c r="K1115" s="214"/>
      <c r="L1115" s="214"/>
      <c r="M1115" s="214"/>
      <c r="N1115" s="216"/>
      <c r="O1115" s="216"/>
      <c r="P1115" s="216"/>
      <c r="Q1115" s="216"/>
      <c r="R1115" s="216"/>
      <c r="S1115" s="216"/>
      <c r="T1115" s="216"/>
      <c r="U1115" s="216"/>
      <c r="V1115" s="216"/>
      <c r="W1115" s="216"/>
      <c r="X1115" s="216"/>
      <c r="Y1115" s="216"/>
      <c r="Z1115" s="216"/>
      <c r="AA1115" s="216"/>
    </row>
    <row r="1116" ht="15.0" customHeight="1">
      <c r="A1116" s="214"/>
      <c r="B1116" s="214"/>
      <c r="C1116" s="214"/>
      <c r="D1116" s="214"/>
      <c r="E1116" s="214"/>
      <c r="F1116" s="214"/>
      <c r="G1116" s="214"/>
      <c r="H1116" s="214"/>
      <c r="I1116" s="214"/>
      <c r="J1116" s="214"/>
      <c r="K1116" s="214"/>
      <c r="L1116" s="214"/>
      <c r="M1116" s="214"/>
      <c r="N1116" s="216"/>
      <c r="O1116" s="216"/>
      <c r="P1116" s="216"/>
      <c r="Q1116" s="216"/>
      <c r="R1116" s="216"/>
      <c r="S1116" s="216"/>
      <c r="T1116" s="216"/>
      <c r="U1116" s="216"/>
      <c r="V1116" s="216"/>
      <c r="W1116" s="216"/>
      <c r="X1116" s="216"/>
      <c r="Y1116" s="216"/>
      <c r="Z1116" s="216"/>
      <c r="AA1116" s="216"/>
    </row>
    <row r="1117" ht="15.0" customHeight="1">
      <c r="A1117" s="214"/>
      <c r="B1117" s="214"/>
      <c r="C1117" s="214"/>
      <c r="D1117" s="214"/>
      <c r="E1117" s="214"/>
      <c r="F1117" s="214"/>
      <c r="G1117" s="214"/>
      <c r="H1117" s="214"/>
      <c r="I1117" s="214"/>
      <c r="J1117" s="214"/>
      <c r="K1117" s="214"/>
      <c r="L1117" s="214"/>
      <c r="M1117" s="214"/>
      <c r="N1117" s="216"/>
      <c r="O1117" s="216"/>
      <c r="P1117" s="216"/>
      <c r="Q1117" s="216"/>
      <c r="R1117" s="216"/>
      <c r="S1117" s="216"/>
      <c r="T1117" s="216"/>
      <c r="U1117" s="216"/>
      <c r="V1117" s="216"/>
      <c r="W1117" s="216"/>
      <c r="X1117" s="216"/>
      <c r="Y1117" s="216"/>
      <c r="Z1117" s="216"/>
      <c r="AA1117" s="216"/>
    </row>
    <row r="1118" ht="15.0" customHeight="1">
      <c r="A1118" s="214"/>
      <c r="B1118" s="214"/>
      <c r="C1118" s="214"/>
      <c r="D1118" s="214"/>
      <c r="E1118" s="214"/>
      <c r="F1118" s="214"/>
      <c r="G1118" s="214"/>
      <c r="H1118" s="214"/>
      <c r="I1118" s="214"/>
      <c r="J1118" s="214"/>
      <c r="K1118" s="214"/>
      <c r="L1118" s="214"/>
      <c r="M1118" s="214"/>
      <c r="N1118" s="216"/>
      <c r="O1118" s="216"/>
      <c r="P1118" s="216"/>
      <c r="Q1118" s="216"/>
      <c r="R1118" s="216"/>
      <c r="S1118" s="216"/>
      <c r="T1118" s="216"/>
      <c r="U1118" s="216"/>
      <c r="V1118" s="216"/>
      <c r="W1118" s="216"/>
      <c r="X1118" s="216"/>
      <c r="Y1118" s="216"/>
      <c r="Z1118" s="216"/>
      <c r="AA1118" s="216"/>
    </row>
    <row r="1119" ht="15.0" customHeight="1">
      <c r="A1119" s="214"/>
      <c r="B1119" s="214"/>
      <c r="C1119" s="214"/>
      <c r="D1119" s="214"/>
      <c r="E1119" s="214"/>
      <c r="F1119" s="214"/>
      <c r="G1119" s="214"/>
      <c r="H1119" s="214"/>
      <c r="I1119" s="214"/>
      <c r="J1119" s="214"/>
      <c r="K1119" s="214"/>
      <c r="L1119" s="214"/>
      <c r="M1119" s="214"/>
      <c r="N1119" s="216"/>
      <c r="O1119" s="216"/>
      <c r="P1119" s="216"/>
      <c r="Q1119" s="216"/>
      <c r="R1119" s="216"/>
      <c r="S1119" s="216"/>
      <c r="T1119" s="216"/>
      <c r="U1119" s="216"/>
      <c r="V1119" s="216"/>
      <c r="W1119" s="216"/>
      <c r="X1119" s="216"/>
      <c r="Y1119" s="216"/>
      <c r="Z1119" s="216"/>
      <c r="AA1119" s="216"/>
    </row>
    <row r="1120" ht="15.0" customHeight="1">
      <c r="A1120" s="214"/>
      <c r="B1120" s="214"/>
      <c r="C1120" s="214"/>
      <c r="D1120" s="214"/>
      <c r="E1120" s="214"/>
      <c r="F1120" s="214"/>
      <c r="G1120" s="214"/>
      <c r="H1120" s="214"/>
      <c r="I1120" s="214"/>
      <c r="J1120" s="214"/>
      <c r="K1120" s="214"/>
      <c r="L1120" s="214"/>
      <c r="M1120" s="214"/>
      <c r="N1120" s="216"/>
      <c r="O1120" s="216"/>
      <c r="P1120" s="216"/>
      <c r="Q1120" s="216"/>
      <c r="R1120" s="216"/>
      <c r="S1120" s="216"/>
      <c r="T1120" s="216"/>
      <c r="U1120" s="216"/>
      <c r="V1120" s="216"/>
      <c r="W1120" s="216"/>
      <c r="X1120" s="216"/>
      <c r="Y1120" s="216"/>
      <c r="Z1120" s="216"/>
      <c r="AA1120" s="216"/>
    </row>
    <row r="1121" ht="15.0" customHeight="1">
      <c r="A1121" s="214"/>
      <c r="B1121" s="214"/>
      <c r="C1121" s="214"/>
      <c r="D1121" s="214"/>
      <c r="E1121" s="214"/>
      <c r="F1121" s="214"/>
      <c r="G1121" s="214"/>
      <c r="H1121" s="214"/>
      <c r="I1121" s="214"/>
      <c r="J1121" s="214"/>
      <c r="K1121" s="214"/>
      <c r="L1121" s="214"/>
      <c r="M1121" s="214"/>
      <c r="N1121" s="216"/>
      <c r="O1121" s="216"/>
      <c r="P1121" s="216"/>
      <c r="Q1121" s="216"/>
      <c r="R1121" s="216"/>
      <c r="S1121" s="216"/>
      <c r="T1121" s="216"/>
      <c r="U1121" s="216"/>
      <c r="V1121" s="216"/>
      <c r="W1121" s="216"/>
      <c r="X1121" s="216"/>
      <c r="Y1121" s="216"/>
      <c r="Z1121" s="216"/>
      <c r="AA1121" s="216"/>
    </row>
    <row r="1122" ht="15.0" customHeight="1">
      <c r="A1122" s="214"/>
      <c r="B1122" s="214"/>
      <c r="C1122" s="214"/>
      <c r="D1122" s="214"/>
      <c r="E1122" s="214"/>
      <c r="F1122" s="214"/>
      <c r="G1122" s="214"/>
      <c r="H1122" s="214"/>
      <c r="I1122" s="214"/>
      <c r="J1122" s="214"/>
      <c r="K1122" s="214"/>
      <c r="L1122" s="214"/>
      <c r="M1122" s="214"/>
      <c r="N1122" s="216"/>
      <c r="O1122" s="216"/>
      <c r="P1122" s="216"/>
      <c r="Q1122" s="216"/>
      <c r="R1122" s="216"/>
      <c r="S1122" s="216"/>
      <c r="T1122" s="216"/>
      <c r="U1122" s="216"/>
      <c r="V1122" s="216"/>
      <c r="W1122" s="216"/>
      <c r="X1122" s="216"/>
      <c r="Y1122" s="216"/>
      <c r="Z1122" s="216"/>
      <c r="AA1122" s="216"/>
    </row>
    <row r="1123" ht="15.0" customHeight="1">
      <c r="A1123" s="214"/>
      <c r="B1123" s="214"/>
      <c r="C1123" s="214"/>
      <c r="D1123" s="214"/>
      <c r="E1123" s="214"/>
      <c r="F1123" s="214"/>
      <c r="G1123" s="214"/>
      <c r="H1123" s="214"/>
      <c r="I1123" s="214"/>
      <c r="J1123" s="214"/>
      <c r="K1123" s="214"/>
      <c r="L1123" s="214"/>
      <c r="M1123" s="214"/>
      <c r="N1123" s="216"/>
      <c r="O1123" s="216"/>
      <c r="P1123" s="216"/>
      <c r="Q1123" s="216"/>
      <c r="R1123" s="216"/>
      <c r="S1123" s="216"/>
      <c r="T1123" s="216"/>
      <c r="U1123" s="216"/>
      <c r="V1123" s="216"/>
      <c r="W1123" s="216"/>
      <c r="X1123" s="216"/>
      <c r="Y1123" s="216"/>
      <c r="Z1123" s="216"/>
      <c r="AA1123" s="216"/>
    </row>
    <row r="1124" ht="15.0" customHeight="1">
      <c r="A1124" s="214"/>
      <c r="B1124" s="214"/>
      <c r="C1124" s="214"/>
      <c r="D1124" s="214"/>
      <c r="E1124" s="214"/>
      <c r="F1124" s="214"/>
      <c r="G1124" s="214"/>
      <c r="H1124" s="214"/>
      <c r="I1124" s="214"/>
      <c r="J1124" s="214"/>
      <c r="K1124" s="214"/>
      <c r="L1124" s="214"/>
      <c r="M1124" s="214"/>
      <c r="N1124" s="216"/>
      <c r="O1124" s="216"/>
      <c r="P1124" s="216"/>
      <c r="Q1124" s="216"/>
      <c r="R1124" s="216"/>
      <c r="S1124" s="216"/>
      <c r="T1124" s="216"/>
      <c r="U1124" s="216"/>
      <c r="V1124" s="216"/>
      <c r="W1124" s="216"/>
      <c r="X1124" s="216"/>
      <c r="Y1124" s="216"/>
      <c r="Z1124" s="216"/>
      <c r="AA1124" s="216"/>
    </row>
    <row r="1125" ht="15.0" customHeight="1">
      <c r="A1125" s="214"/>
      <c r="B1125" s="214"/>
      <c r="C1125" s="214"/>
      <c r="D1125" s="214"/>
      <c r="E1125" s="214"/>
      <c r="F1125" s="214"/>
      <c r="G1125" s="214"/>
      <c r="H1125" s="214"/>
      <c r="I1125" s="214"/>
      <c r="J1125" s="214"/>
      <c r="K1125" s="214"/>
      <c r="L1125" s="214"/>
      <c r="M1125" s="214"/>
      <c r="N1125" s="216"/>
      <c r="O1125" s="216"/>
      <c r="P1125" s="216"/>
      <c r="Q1125" s="216"/>
      <c r="R1125" s="216"/>
      <c r="S1125" s="216"/>
      <c r="T1125" s="216"/>
      <c r="U1125" s="216"/>
      <c r="V1125" s="216"/>
      <c r="W1125" s="216"/>
      <c r="X1125" s="216"/>
      <c r="Y1125" s="216"/>
      <c r="Z1125" s="216"/>
      <c r="AA1125" s="216"/>
    </row>
    <row r="1126" ht="15.0" customHeight="1">
      <c r="A1126" s="214"/>
      <c r="B1126" s="214"/>
      <c r="C1126" s="214"/>
      <c r="D1126" s="214"/>
      <c r="E1126" s="214"/>
      <c r="F1126" s="214"/>
      <c r="G1126" s="214"/>
      <c r="H1126" s="214"/>
      <c r="I1126" s="214"/>
      <c r="J1126" s="214"/>
      <c r="K1126" s="214"/>
      <c r="L1126" s="214"/>
      <c r="M1126" s="214"/>
      <c r="N1126" s="216"/>
      <c r="O1126" s="216"/>
      <c r="P1126" s="216"/>
      <c r="Q1126" s="216"/>
      <c r="R1126" s="216"/>
      <c r="S1126" s="216"/>
      <c r="T1126" s="216"/>
      <c r="U1126" s="216"/>
      <c r="V1126" s="216"/>
      <c r="W1126" s="216"/>
      <c r="X1126" s="216"/>
      <c r="Y1126" s="216"/>
      <c r="Z1126" s="216"/>
      <c r="AA1126" s="216"/>
    </row>
    <row r="1127" ht="15.0" customHeight="1">
      <c r="A1127" s="214"/>
      <c r="B1127" s="214"/>
      <c r="C1127" s="214"/>
      <c r="D1127" s="214"/>
      <c r="E1127" s="214"/>
      <c r="F1127" s="214"/>
      <c r="G1127" s="214"/>
      <c r="H1127" s="214"/>
      <c r="I1127" s="214"/>
      <c r="J1127" s="214"/>
      <c r="K1127" s="214"/>
      <c r="L1127" s="214"/>
      <c r="M1127" s="214"/>
      <c r="N1127" s="216"/>
      <c r="O1127" s="216"/>
      <c r="P1127" s="216"/>
      <c r="Q1127" s="216"/>
      <c r="R1127" s="216"/>
      <c r="S1127" s="216"/>
      <c r="T1127" s="216"/>
      <c r="U1127" s="216"/>
      <c r="V1127" s="216"/>
      <c r="W1127" s="216"/>
      <c r="X1127" s="216"/>
      <c r="Y1127" s="216"/>
      <c r="Z1127" s="216"/>
      <c r="AA1127" s="216"/>
    </row>
    <row r="1128" ht="15.0" customHeight="1">
      <c r="A1128" s="214"/>
      <c r="B1128" s="214"/>
      <c r="C1128" s="214"/>
      <c r="D1128" s="214"/>
      <c r="E1128" s="214"/>
      <c r="F1128" s="214"/>
      <c r="G1128" s="214"/>
      <c r="H1128" s="214"/>
      <c r="I1128" s="214"/>
      <c r="J1128" s="214"/>
      <c r="K1128" s="214"/>
      <c r="L1128" s="214"/>
      <c r="M1128" s="214"/>
      <c r="N1128" s="216"/>
      <c r="O1128" s="216"/>
      <c r="P1128" s="216"/>
      <c r="Q1128" s="216"/>
      <c r="R1128" s="216"/>
      <c r="S1128" s="216"/>
      <c r="T1128" s="216"/>
      <c r="U1128" s="216"/>
      <c r="V1128" s="216"/>
      <c r="W1128" s="216"/>
      <c r="X1128" s="216"/>
      <c r="Y1128" s="216"/>
      <c r="Z1128" s="216"/>
      <c r="AA1128" s="216"/>
    </row>
    <row r="1129" ht="15.0" customHeight="1">
      <c r="A1129" s="214"/>
      <c r="B1129" s="214"/>
      <c r="C1129" s="214"/>
      <c r="D1129" s="214"/>
      <c r="E1129" s="214"/>
      <c r="F1129" s="214"/>
      <c r="G1129" s="214"/>
      <c r="H1129" s="214"/>
      <c r="I1129" s="214"/>
      <c r="J1129" s="214"/>
      <c r="K1129" s="214"/>
      <c r="L1129" s="214"/>
      <c r="M1129" s="214"/>
      <c r="N1129" s="216"/>
      <c r="O1129" s="216"/>
      <c r="P1129" s="216"/>
      <c r="Q1129" s="216"/>
      <c r="R1129" s="216"/>
      <c r="S1129" s="216"/>
      <c r="T1129" s="216"/>
      <c r="U1129" s="216"/>
      <c r="V1129" s="216"/>
      <c r="W1129" s="216"/>
      <c r="X1129" s="216"/>
      <c r="Y1129" s="216"/>
      <c r="Z1129" s="216"/>
      <c r="AA1129" s="216"/>
    </row>
    <row r="1130" ht="15.0" customHeight="1">
      <c r="A1130" s="214"/>
      <c r="B1130" s="214"/>
      <c r="C1130" s="214"/>
      <c r="D1130" s="214"/>
      <c r="E1130" s="214"/>
      <c r="F1130" s="214"/>
      <c r="G1130" s="214"/>
      <c r="H1130" s="214"/>
      <c r="I1130" s="214"/>
      <c r="J1130" s="214"/>
      <c r="K1130" s="214"/>
      <c r="L1130" s="214"/>
      <c r="M1130" s="214"/>
      <c r="N1130" s="216"/>
      <c r="O1130" s="216"/>
      <c r="P1130" s="216"/>
      <c r="Q1130" s="216"/>
      <c r="R1130" s="216"/>
      <c r="S1130" s="216"/>
      <c r="T1130" s="216"/>
      <c r="U1130" s="216"/>
      <c r="V1130" s="216"/>
      <c r="W1130" s="216"/>
      <c r="X1130" s="216"/>
      <c r="Y1130" s="216"/>
      <c r="Z1130" s="216"/>
      <c r="AA1130" s="216"/>
    </row>
    <row r="1131" ht="15.0" customHeight="1">
      <c r="A1131" s="214"/>
      <c r="B1131" s="214"/>
      <c r="C1131" s="214"/>
      <c r="D1131" s="214"/>
      <c r="E1131" s="214"/>
      <c r="F1131" s="214"/>
      <c r="G1131" s="214"/>
      <c r="H1131" s="214"/>
      <c r="I1131" s="214"/>
      <c r="J1131" s="214"/>
      <c r="K1131" s="214"/>
      <c r="L1131" s="214"/>
      <c r="M1131" s="214"/>
      <c r="N1131" s="216"/>
      <c r="O1131" s="216"/>
      <c r="P1131" s="216"/>
      <c r="Q1131" s="216"/>
      <c r="R1131" s="216"/>
      <c r="S1131" s="216"/>
      <c r="T1131" s="216"/>
      <c r="U1131" s="216"/>
      <c r="V1131" s="216"/>
      <c r="W1131" s="216"/>
      <c r="X1131" s="216"/>
      <c r="Y1131" s="216"/>
      <c r="Z1131" s="216"/>
      <c r="AA1131" s="216"/>
    </row>
    <row r="1132" ht="15.0" customHeight="1">
      <c r="A1132" s="214"/>
      <c r="B1132" s="214"/>
      <c r="C1132" s="214"/>
      <c r="D1132" s="214"/>
      <c r="E1132" s="214"/>
      <c r="F1132" s="214"/>
      <c r="G1132" s="214"/>
      <c r="H1132" s="214"/>
      <c r="I1132" s="214"/>
      <c r="J1132" s="214"/>
      <c r="K1132" s="214"/>
      <c r="L1132" s="214"/>
      <c r="M1132" s="214"/>
      <c r="N1132" s="216"/>
      <c r="O1132" s="216"/>
      <c r="P1132" s="216"/>
      <c r="Q1132" s="216"/>
      <c r="R1132" s="216"/>
      <c r="S1132" s="216"/>
      <c r="T1132" s="216"/>
      <c r="U1132" s="216"/>
      <c r="V1132" s="216"/>
      <c r="W1132" s="216"/>
      <c r="X1132" s="216"/>
      <c r="Y1132" s="216"/>
      <c r="Z1132" s="216"/>
      <c r="AA1132" s="216"/>
    </row>
    <row r="1133" ht="15.0" customHeight="1">
      <c r="A1133" s="214"/>
      <c r="B1133" s="214"/>
      <c r="C1133" s="214"/>
      <c r="D1133" s="214"/>
      <c r="E1133" s="214"/>
      <c r="F1133" s="214"/>
      <c r="G1133" s="214"/>
      <c r="H1133" s="214"/>
      <c r="I1133" s="214"/>
      <c r="J1133" s="214"/>
      <c r="K1133" s="214"/>
      <c r="L1133" s="214"/>
      <c r="M1133" s="214"/>
      <c r="N1133" s="216"/>
      <c r="O1133" s="216"/>
      <c r="P1133" s="216"/>
      <c r="Q1133" s="216"/>
      <c r="R1133" s="216"/>
      <c r="S1133" s="216"/>
      <c r="T1133" s="216"/>
      <c r="U1133" s="216"/>
      <c r="V1133" s="216"/>
      <c r="W1133" s="216"/>
      <c r="X1133" s="216"/>
      <c r="Y1133" s="216"/>
      <c r="Z1133" s="216"/>
      <c r="AA1133" s="216"/>
    </row>
    <row r="1134" ht="15.0" customHeight="1">
      <c r="A1134" s="214"/>
      <c r="B1134" s="214"/>
      <c r="C1134" s="214"/>
      <c r="D1134" s="214"/>
      <c r="E1134" s="214"/>
      <c r="F1134" s="214"/>
      <c r="G1134" s="214"/>
      <c r="H1134" s="214"/>
      <c r="I1134" s="214"/>
      <c r="J1134" s="214"/>
      <c r="K1134" s="214"/>
      <c r="L1134" s="214"/>
      <c r="M1134" s="214"/>
      <c r="N1134" s="216"/>
      <c r="O1134" s="216"/>
      <c r="P1134" s="216"/>
      <c r="Q1134" s="216"/>
      <c r="R1134" s="216"/>
      <c r="S1134" s="216"/>
      <c r="T1134" s="216"/>
      <c r="U1134" s="216"/>
      <c r="V1134" s="216"/>
      <c r="W1134" s="216"/>
      <c r="X1134" s="216"/>
      <c r="Y1134" s="216"/>
      <c r="Z1134" s="216"/>
      <c r="AA1134" s="216"/>
    </row>
    <row r="1135" ht="15.0" customHeight="1">
      <c r="A1135" s="214"/>
      <c r="B1135" s="214"/>
      <c r="C1135" s="214"/>
      <c r="D1135" s="214"/>
      <c r="E1135" s="214"/>
      <c r="F1135" s="214"/>
      <c r="G1135" s="214"/>
      <c r="H1135" s="214"/>
      <c r="I1135" s="214"/>
      <c r="J1135" s="214"/>
      <c r="K1135" s="214"/>
      <c r="L1135" s="214"/>
      <c r="M1135" s="214"/>
      <c r="N1135" s="216"/>
      <c r="O1135" s="216"/>
      <c r="P1135" s="216"/>
      <c r="Q1135" s="216"/>
      <c r="R1135" s="216"/>
      <c r="S1135" s="216"/>
      <c r="T1135" s="216"/>
      <c r="U1135" s="216"/>
      <c r="V1135" s="216"/>
      <c r="W1135" s="216"/>
      <c r="X1135" s="216"/>
      <c r="Y1135" s="216"/>
      <c r="Z1135" s="216"/>
      <c r="AA1135" s="216"/>
    </row>
    <row r="1136" ht="15.0" customHeight="1">
      <c r="A1136" s="214"/>
      <c r="B1136" s="214"/>
      <c r="C1136" s="214"/>
      <c r="D1136" s="214"/>
      <c r="E1136" s="214"/>
      <c r="F1136" s="214"/>
      <c r="G1136" s="214"/>
      <c r="H1136" s="214"/>
      <c r="I1136" s="214"/>
      <c r="J1136" s="214"/>
      <c r="K1136" s="214"/>
      <c r="L1136" s="214"/>
      <c r="M1136" s="214"/>
      <c r="N1136" s="216"/>
      <c r="O1136" s="216"/>
      <c r="P1136" s="216"/>
      <c r="Q1136" s="216"/>
      <c r="R1136" s="216"/>
      <c r="S1136" s="216"/>
      <c r="T1136" s="216"/>
      <c r="U1136" s="216"/>
      <c r="V1136" s="216"/>
      <c r="W1136" s="216"/>
      <c r="X1136" s="216"/>
      <c r="Y1136" s="216"/>
      <c r="Z1136" s="216"/>
      <c r="AA1136" s="216"/>
    </row>
    <row r="1137" ht="15.0" customHeight="1">
      <c r="A1137" s="214"/>
      <c r="B1137" s="214"/>
      <c r="C1137" s="214"/>
      <c r="D1137" s="214"/>
      <c r="E1137" s="214"/>
      <c r="F1137" s="214"/>
      <c r="G1137" s="214"/>
      <c r="H1137" s="214"/>
      <c r="I1137" s="214"/>
      <c r="J1137" s="214"/>
      <c r="K1137" s="214"/>
      <c r="L1137" s="214"/>
      <c r="M1137" s="214"/>
      <c r="N1137" s="216"/>
      <c r="O1137" s="216"/>
      <c r="P1137" s="216"/>
      <c r="Q1137" s="216"/>
      <c r="R1137" s="216"/>
      <c r="S1137" s="216"/>
      <c r="T1137" s="216"/>
      <c r="U1137" s="216"/>
      <c r="V1137" s="216"/>
      <c r="W1137" s="216"/>
      <c r="X1137" s="216"/>
      <c r="Y1137" s="216"/>
      <c r="Z1137" s="216"/>
      <c r="AA1137" s="216"/>
    </row>
    <row r="1138" ht="15.0" customHeight="1">
      <c r="A1138" s="214"/>
      <c r="B1138" s="214"/>
      <c r="C1138" s="214"/>
      <c r="D1138" s="214"/>
      <c r="E1138" s="214"/>
      <c r="F1138" s="214"/>
      <c r="G1138" s="214"/>
      <c r="H1138" s="214"/>
      <c r="I1138" s="214"/>
      <c r="J1138" s="214"/>
      <c r="K1138" s="214"/>
      <c r="L1138" s="214"/>
      <c r="M1138" s="214"/>
      <c r="N1138" s="216"/>
      <c r="O1138" s="216"/>
      <c r="P1138" s="216"/>
      <c r="Q1138" s="216"/>
      <c r="R1138" s="216"/>
      <c r="S1138" s="216"/>
      <c r="T1138" s="216"/>
      <c r="U1138" s="216"/>
      <c r="V1138" s="216"/>
      <c r="W1138" s="216"/>
      <c r="X1138" s="216"/>
      <c r="Y1138" s="216"/>
      <c r="Z1138" s="216"/>
      <c r="AA1138" s="216"/>
    </row>
    <row r="1139" ht="15.0" customHeight="1">
      <c r="A1139" s="214"/>
      <c r="B1139" s="214"/>
      <c r="C1139" s="214"/>
      <c r="D1139" s="214"/>
      <c r="E1139" s="214"/>
      <c r="F1139" s="214"/>
      <c r="G1139" s="214"/>
      <c r="H1139" s="214"/>
      <c r="I1139" s="214"/>
      <c r="J1139" s="214"/>
      <c r="K1139" s="214"/>
      <c r="L1139" s="214"/>
      <c r="M1139" s="214"/>
      <c r="N1139" s="216"/>
      <c r="O1139" s="216"/>
      <c r="P1139" s="216"/>
      <c r="Q1139" s="216"/>
      <c r="R1139" s="216"/>
      <c r="S1139" s="216"/>
      <c r="T1139" s="216"/>
      <c r="U1139" s="216"/>
      <c r="V1139" s="216"/>
      <c r="W1139" s="216"/>
      <c r="X1139" s="216"/>
      <c r="Y1139" s="216"/>
      <c r="Z1139" s="216"/>
      <c r="AA1139" s="216"/>
    </row>
    <row r="1140" ht="15.0" customHeight="1">
      <c r="A1140" s="214"/>
      <c r="B1140" s="214"/>
      <c r="C1140" s="214"/>
      <c r="D1140" s="214"/>
      <c r="E1140" s="214"/>
      <c r="F1140" s="214"/>
      <c r="G1140" s="214"/>
      <c r="H1140" s="214"/>
      <c r="I1140" s="214"/>
      <c r="J1140" s="214"/>
      <c r="K1140" s="214"/>
      <c r="L1140" s="214"/>
      <c r="M1140" s="214"/>
      <c r="N1140" s="216"/>
      <c r="O1140" s="216"/>
      <c r="P1140" s="216"/>
      <c r="Q1140" s="216"/>
      <c r="R1140" s="216"/>
      <c r="S1140" s="216"/>
      <c r="T1140" s="216"/>
      <c r="U1140" s="216"/>
      <c r="V1140" s="216"/>
      <c r="W1140" s="216"/>
      <c r="X1140" s="216"/>
      <c r="Y1140" s="216"/>
      <c r="Z1140" s="216"/>
      <c r="AA1140" s="216"/>
    </row>
    <row r="1141" ht="15.0" customHeight="1">
      <c r="A1141" s="214"/>
      <c r="B1141" s="214"/>
      <c r="C1141" s="214"/>
      <c r="D1141" s="214"/>
      <c r="E1141" s="214"/>
      <c r="F1141" s="214"/>
      <c r="G1141" s="214"/>
      <c r="H1141" s="214"/>
      <c r="I1141" s="214"/>
      <c r="J1141" s="214"/>
      <c r="K1141" s="214"/>
      <c r="L1141" s="214"/>
      <c r="M1141" s="214"/>
      <c r="N1141" s="216"/>
      <c r="O1141" s="216"/>
      <c r="P1141" s="216"/>
      <c r="Q1141" s="216"/>
      <c r="R1141" s="216"/>
      <c r="S1141" s="216"/>
      <c r="T1141" s="216"/>
      <c r="U1141" s="216"/>
      <c r="V1141" s="216"/>
      <c r="W1141" s="216"/>
      <c r="X1141" s="216"/>
      <c r="Y1141" s="216"/>
      <c r="Z1141" s="216"/>
      <c r="AA1141" s="216"/>
    </row>
    <row r="1142" ht="15.0" customHeight="1">
      <c r="A1142" s="214"/>
      <c r="B1142" s="214"/>
      <c r="C1142" s="214"/>
      <c r="D1142" s="214"/>
      <c r="E1142" s="214"/>
      <c r="F1142" s="214"/>
      <c r="G1142" s="214"/>
      <c r="H1142" s="214"/>
      <c r="I1142" s="214"/>
      <c r="J1142" s="214"/>
      <c r="K1142" s="214"/>
      <c r="L1142" s="214"/>
      <c r="M1142" s="214"/>
      <c r="N1142" s="216"/>
      <c r="O1142" s="216"/>
      <c r="P1142" s="216"/>
      <c r="Q1142" s="216"/>
      <c r="R1142" s="216"/>
      <c r="S1142" s="216"/>
      <c r="T1142" s="216"/>
      <c r="U1142" s="216"/>
      <c r="V1142" s="216"/>
      <c r="W1142" s="216"/>
      <c r="X1142" s="216"/>
      <c r="Y1142" s="216"/>
      <c r="Z1142" s="216"/>
      <c r="AA1142" s="216"/>
    </row>
    <row r="1143" ht="15.0" customHeight="1">
      <c r="A1143" s="214"/>
      <c r="B1143" s="214"/>
      <c r="C1143" s="214"/>
      <c r="D1143" s="214"/>
      <c r="E1143" s="214"/>
      <c r="F1143" s="214"/>
      <c r="G1143" s="214"/>
      <c r="H1143" s="214"/>
      <c r="I1143" s="214"/>
      <c r="J1143" s="214"/>
      <c r="K1143" s="214"/>
      <c r="L1143" s="214"/>
      <c r="M1143" s="214"/>
      <c r="N1143" s="216"/>
      <c r="O1143" s="216"/>
      <c r="P1143" s="216"/>
      <c r="Q1143" s="216"/>
      <c r="R1143" s="216"/>
      <c r="S1143" s="216"/>
      <c r="T1143" s="216"/>
      <c r="U1143" s="216"/>
      <c r="V1143" s="216"/>
      <c r="W1143" s="216"/>
      <c r="X1143" s="216"/>
      <c r="Y1143" s="216"/>
      <c r="Z1143" s="216"/>
      <c r="AA1143" s="216"/>
    </row>
    <row r="1144" ht="15.0" customHeight="1">
      <c r="A1144" s="214"/>
      <c r="B1144" s="214"/>
      <c r="C1144" s="214"/>
      <c r="D1144" s="214"/>
      <c r="E1144" s="214"/>
      <c r="F1144" s="214"/>
      <c r="G1144" s="214"/>
      <c r="H1144" s="214"/>
      <c r="I1144" s="214"/>
      <c r="J1144" s="214"/>
      <c r="K1144" s="214"/>
      <c r="L1144" s="214"/>
      <c r="M1144" s="214"/>
      <c r="N1144" s="216"/>
      <c r="O1144" s="216"/>
      <c r="P1144" s="216"/>
      <c r="Q1144" s="216"/>
      <c r="R1144" s="216"/>
      <c r="S1144" s="216"/>
      <c r="T1144" s="216"/>
      <c r="U1144" s="216"/>
      <c r="V1144" s="216"/>
      <c r="W1144" s="216"/>
      <c r="X1144" s="216"/>
      <c r="Y1144" s="216"/>
      <c r="Z1144" s="216"/>
      <c r="AA1144" s="216"/>
    </row>
    <row r="1145" ht="15.0" customHeight="1">
      <c r="A1145" s="214"/>
      <c r="B1145" s="214"/>
      <c r="C1145" s="214"/>
      <c r="D1145" s="214"/>
      <c r="E1145" s="214"/>
      <c r="F1145" s="214"/>
      <c r="G1145" s="214"/>
      <c r="H1145" s="214"/>
      <c r="I1145" s="214"/>
      <c r="J1145" s="214"/>
      <c r="K1145" s="214"/>
      <c r="L1145" s="214"/>
      <c r="M1145" s="214"/>
      <c r="N1145" s="216"/>
      <c r="O1145" s="216"/>
      <c r="P1145" s="216"/>
      <c r="Q1145" s="216"/>
      <c r="R1145" s="216"/>
      <c r="S1145" s="216"/>
      <c r="T1145" s="216"/>
      <c r="U1145" s="216"/>
      <c r="V1145" s="216"/>
      <c r="W1145" s="216"/>
      <c r="X1145" s="216"/>
      <c r="Y1145" s="216"/>
      <c r="Z1145" s="216"/>
      <c r="AA1145" s="216"/>
    </row>
    <row r="1146" ht="15.0" customHeight="1">
      <c r="A1146" s="214"/>
      <c r="B1146" s="214"/>
      <c r="C1146" s="214"/>
      <c r="D1146" s="214"/>
      <c r="E1146" s="214"/>
      <c r="F1146" s="214"/>
      <c r="G1146" s="214"/>
      <c r="H1146" s="214"/>
      <c r="I1146" s="214"/>
      <c r="J1146" s="214"/>
      <c r="K1146" s="214"/>
      <c r="L1146" s="214"/>
      <c r="M1146" s="214"/>
      <c r="N1146" s="216"/>
      <c r="O1146" s="216"/>
      <c r="P1146" s="216"/>
      <c r="Q1146" s="216"/>
      <c r="R1146" s="216"/>
      <c r="S1146" s="216"/>
      <c r="T1146" s="216"/>
      <c r="U1146" s="216"/>
      <c r="V1146" s="216"/>
      <c r="W1146" s="216"/>
      <c r="X1146" s="216"/>
      <c r="Y1146" s="216"/>
      <c r="Z1146" s="216"/>
      <c r="AA1146" s="216"/>
    </row>
    <row r="1147" ht="15.0" customHeight="1">
      <c r="A1147" s="214"/>
      <c r="B1147" s="214"/>
      <c r="C1147" s="214"/>
      <c r="D1147" s="214"/>
      <c r="E1147" s="214"/>
      <c r="F1147" s="214"/>
      <c r="G1147" s="214"/>
      <c r="H1147" s="214"/>
      <c r="I1147" s="214"/>
      <c r="J1147" s="214"/>
      <c r="K1147" s="214"/>
      <c r="L1147" s="214"/>
      <c r="M1147" s="214"/>
      <c r="N1147" s="216"/>
      <c r="O1147" s="216"/>
      <c r="P1147" s="216"/>
      <c r="Q1147" s="216"/>
      <c r="R1147" s="216"/>
      <c r="S1147" s="216"/>
      <c r="T1147" s="216"/>
      <c r="U1147" s="216"/>
      <c r="V1147" s="216"/>
      <c r="W1147" s="216"/>
      <c r="X1147" s="216"/>
      <c r="Y1147" s="216"/>
      <c r="Z1147" s="216"/>
      <c r="AA1147" s="216"/>
    </row>
    <row r="1148" ht="15.0" customHeight="1">
      <c r="A1148" s="214"/>
      <c r="B1148" s="214"/>
      <c r="C1148" s="214"/>
      <c r="D1148" s="214"/>
      <c r="E1148" s="214"/>
      <c r="F1148" s="214"/>
      <c r="G1148" s="214"/>
      <c r="H1148" s="214"/>
      <c r="I1148" s="214"/>
      <c r="J1148" s="214"/>
      <c r="K1148" s="214"/>
      <c r="L1148" s="214"/>
      <c r="M1148" s="214"/>
      <c r="N1148" s="216"/>
      <c r="O1148" s="216"/>
      <c r="P1148" s="216"/>
      <c r="Q1148" s="216"/>
      <c r="R1148" s="216"/>
      <c r="S1148" s="216"/>
      <c r="T1148" s="216"/>
      <c r="U1148" s="216"/>
      <c r="V1148" s="216"/>
      <c r="W1148" s="216"/>
      <c r="X1148" s="216"/>
      <c r="Y1148" s="216"/>
      <c r="Z1148" s="216"/>
      <c r="AA1148" s="216"/>
    </row>
    <row r="1149" ht="15.0" customHeight="1">
      <c r="A1149" s="214"/>
      <c r="B1149" s="214"/>
      <c r="C1149" s="214"/>
      <c r="D1149" s="214"/>
      <c r="E1149" s="214"/>
      <c r="F1149" s="214"/>
      <c r="G1149" s="214"/>
      <c r="H1149" s="214"/>
      <c r="I1149" s="214"/>
      <c r="J1149" s="214"/>
      <c r="K1149" s="214"/>
      <c r="L1149" s="214"/>
      <c r="M1149" s="214"/>
      <c r="N1149" s="216"/>
      <c r="O1149" s="216"/>
      <c r="P1149" s="216"/>
      <c r="Q1149" s="216"/>
      <c r="R1149" s="216"/>
      <c r="S1149" s="216"/>
      <c r="T1149" s="216"/>
      <c r="U1149" s="216"/>
      <c r="V1149" s="216"/>
      <c r="W1149" s="216"/>
      <c r="X1149" s="216"/>
      <c r="Y1149" s="216"/>
      <c r="Z1149" s="216"/>
      <c r="AA1149" s="216"/>
    </row>
    <row r="1150" ht="15.0" customHeight="1">
      <c r="A1150" s="214"/>
      <c r="B1150" s="214"/>
      <c r="C1150" s="214"/>
      <c r="D1150" s="214"/>
      <c r="E1150" s="214"/>
      <c r="F1150" s="214"/>
      <c r="G1150" s="214"/>
      <c r="H1150" s="214"/>
      <c r="I1150" s="214"/>
      <c r="J1150" s="214"/>
      <c r="K1150" s="214"/>
      <c r="L1150" s="214"/>
      <c r="M1150" s="214"/>
      <c r="N1150" s="216"/>
      <c r="O1150" s="216"/>
      <c r="P1150" s="216"/>
      <c r="Q1150" s="216"/>
      <c r="R1150" s="216"/>
      <c r="S1150" s="216"/>
      <c r="T1150" s="216"/>
      <c r="U1150" s="216"/>
      <c r="V1150" s="216"/>
      <c r="W1150" s="216"/>
      <c r="X1150" s="216"/>
      <c r="Y1150" s="216"/>
      <c r="Z1150" s="216"/>
      <c r="AA1150" s="216"/>
    </row>
    <row r="1151" ht="15.0" customHeight="1">
      <c r="A1151" s="214"/>
      <c r="B1151" s="214"/>
      <c r="C1151" s="214"/>
      <c r="D1151" s="214"/>
      <c r="E1151" s="214"/>
      <c r="F1151" s="214"/>
      <c r="G1151" s="214"/>
      <c r="H1151" s="214"/>
      <c r="I1151" s="214"/>
      <c r="J1151" s="214"/>
      <c r="K1151" s="214"/>
      <c r="L1151" s="214"/>
      <c r="M1151" s="214"/>
      <c r="N1151" s="216"/>
      <c r="O1151" s="216"/>
      <c r="P1151" s="216"/>
      <c r="Q1151" s="216"/>
      <c r="R1151" s="216"/>
      <c r="S1151" s="216"/>
      <c r="T1151" s="216"/>
      <c r="U1151" s="216"/>
      <c r="V1151" s="216"/>
      <c r="W1151" s="216"/>
      <c r="X1151" s="216"/>
      <c r="Y1151" s="216"/>
      <c r="Z1151" s="216"/>
      <c r="AA1151" s="216"/>
    </row>
    <row r="1152" ht="15.0" customHeight="1">
      <c r="A1152" s="214"/>
      <c r="B1152" s="214"/>
      <c r="C1152" s="214"/>
      <c r="D1152" s="214"/>
      <c r="E1152" s="214"/>
      <c r="F1152" s="214"/>
      <c r="G1152" s="214"/>
      <c r="H1152" s="214"/>
      <c r="I1152" s="214"/>
      <c r="J1152" s="214"/>
      <c r="K1152" s="214"/>
      <c r="L1152" s="214"/>
      <c r="M1152" s="214"/>
      <c r="N1152" s="216"/>
      <c r="O1152" s="216"/>
      <c r="P1152" s="216"/>
      <c r="Q1152" s="216"/>
      <c r="R1152" s="216"/>
      <c r="S1152" s="216"/>
      <c r="T1152" s="216"/>
      <c r="U1152" s="216"/>
      <c r="V1152" s="216"/>
      <c r="W1152" s="216"/>
      <c r="X1152" s="216"/>
      <c r="Y1152" s="216"/>
      <c r="Z1152" s="216"/>
      <c r="AA1152" s="216"/>
    </row>
    <row r="1153" ht="15.0" customHeight="1">
      <c r="A1153" s="214"/>
      <c r="B1153" s="214"/>
      <c r="C1153" s="214"/>
      <c r="D1153" s="214"/>
      <c r="E1153" s="214"/>
      <c r="F1153" s="214"/>
      <c r="G1153" s="214"/>
      <c r="H1153" s="214"/>
      <c r="I1153" s="214"/>
      <c r="J1153" s="214"/>
      <c r="K1153" s="214"/>
      <c r="L1153" s="214"/>
      <c r="M1153" s="214"/>
      <c r="N1153" s="216"/>
      <c r="O1153" s="216"/>
      <c r="P1153" s="216"/>
      <c r="Q1153" s="216"/>
      <c r="R1153" s="216"/>
      <c r="S1153" s="216"/>
      <c r="T1153" s="216"/>
      <c r="U1153" s="216"/>
      <c r="V1153" s="216"/>
      <c r="W1153" s="216"/>
      <c r="X1153" s="216"/>
      <c r="Y1153" s="216"/>
      <c r="Z1153" s="216"/>
      <c r="AA1153" s="216"/>
    </row>
    <row r="1154" ht="15.0" customHeight="1">
      <c r="A1154" s="214"/>
      <c r="B1154" s="214"/>
      <c r="C1154" s="214"/>
      <c r="D1154" s="214"/>
      <c r="E1154" s="214"/>
      <c r="F1154" s="214"/>
      <c r="G1154" s="214"/>
      <c r="H1154" s="214"/>
      <c r="I1154" s="214"/>
      <c r="J1154" s="214"/>
      <c r="K1154" s="214"/>
      <c r="L1154" s="214"/>
      <c r="M1154" s="214"/>
      <c r="N1154" s="216"/>
      <c r="O1154" s="216"/>
      <c r="P1154" s="216"/>
      <c r="Q1154" s="216"/>
      <c r="R1154" s="216"/>
      <c r="S1154" s="216"/>
      <c r="T1154" s="216"/>
      <c r="U1154" s="216"/>
      <c r="V1154" s="216"/>
      <c r="W1154" s="216"/>
      <c r="X1154" s="216"/>
      <c r="Y1154" s="216"/>
      <c r="Z1154" s="216"/>
      <c r="AA1154" s="216"/>
    </row>
    <row r="1155" ht="15.0" customHeight="1">
      <c r="A1155" s="214"/>
      <c r="B1155" s="214"/>
      <c r="C1155" s="214"/>
      <c r="D1155" s="214"/>
      <c r="E1155" s="214"/>
      <c r="F1155" s="214"/>
      <c r="G1155" s="214"/>
      <c r="H1155" s="214"/>
      <c r="I1155" s="214"/>
      <c r="J1155" s="214"/>
      <c r="K1155" s="214"/>
      <c r="L1155" s="214"/>
      <c r="M1155" s="214"/>
      <c r="N1155" s="216"/>
      <c r="O1155" s="216"/>
      <c r="P1155" s="216"/>
      <c r="Q1155" s="216"/>
      <c r="R1155" s="216"/>
      <c r="S1155" s="216"/>
      <c r="T1155" s="216"/>
      <c r="U1155" s="216"/>
      <c r="V1155" s="216"/>
      <c r="W1155" s="216"/>
      <c r="X1155" s="216"/>
      <c r="Y1155" s="216"/>
      <c r="Z1155" s="216"/>
      <c r="AA1155" s="216"/>
    </row>
    <row r="1156" ht="15.0" customHeight="1">
      <c r="A1156" s="214"/>
      <c r="B1156" s="214"/>
      <c r="C1156" s="214"/>
      <c r="D1156" s="214"/>
      <c r="E1156" s="214"/>
      <c r="F1156" s="214"/>
      <c r="G1156" s="214"/>
      <c r="H1156" s="214"/>
      <c r="I1156" s="214"/>
      <c r="J1156" s="214"/>
      <c r="K1156" s="214"/>
      <c r="L1156" s="214"/>
      <c r="M1156" s="214"/>
      <c r="N1156" s="216"/>
      <c r="O1156" s="216"/>
      <c r="P1156" s="216"/>
      <c r="Q1156" s="216"/>
      <c r="R1156" s="216"/>
      <c r="S1156" s="216"/>
      <c r="T1156" s="216"/>
      <c r="U1156" s="216"/>
      <c r="V1156" s="216"/>
      <c r="W1156" s="216"/>
      <c r="X1156" s="216"/>
      <c r="Y1156" s="216"/>
      <c r="Z1156" s="216"/>
      <c r="AA1156" s="216"/>
    </row>
    <row r="1157" ht="15.0" customHeight="1">
      <c r="A1157" s="214"/>
      <c r="B1157" s="214"/>
      <c r="C1157" s="214"/>
      <c r="D1157" s="214"/>
      <c r="E1157" s="214"/>
      <c r="F1157" s="214"/>
      <c r="G1157" s="214"/>
      <c r="H1157" s="214"/>
      <c r="I1157" s="214"/>
      <c r="J1157" s="214"/>
      <c r="K1157" s="214"/>
      <c r="L1157" s="214"/>
      <c r="M1157" s="214"/>
      <c r="N1157" s="216"/>
      <c r="O1157" s="216"/>
      <c r="P1157" s="216"/>
      <c r="Q1157" s="216"/>
      <c r="R1157" s="216"/>
      <c r="S1157" s="216"/>
      <c r="T1157" s="216"/>
      <c r="U1157" s="216"/>
      <c r="V1157" s="216"/>
      <c r="W1157" s="216"/>
      <c r="X1157" s="216"/>
      <c r="Y1157" s="216"/>
      <c r="Z1157" s="216"/>
      <c r="AA1157" s="216"/>
    </row>
    <row r="1158" ht="15.0" customHeight="1">
      <c r="A1158" s="214"/>
      <c r="B1158" s="214"/>
      <c r="C1158" s="214"/>
      <c r="D1158" s="214"/>
      <c r="E1158" s="214"/>
      <c r="F1158" s="214"/>
      <c r="G1158" s="214"/>
      <c r="H1158" s="214"/>
      <c r="I1158" s="214"/>
      <c r="J1158" s="214"/>
      <c r="K1158" s="214"/>
      <c r="L1158" s="214"/>
      <c r="M1158" s="214"/>
      <c r="N1158" s="216"/>
      <c r="O1158" s="216"/>
      <c r="P1158" s="216"/>
      <c r="Q1158" s="216"/>
      <c r="R1158" s="216"/>
      <c r="S1158" s="216"/>
      <c r="T1158" s="216"/>
      <c r="U1158" s="216"/>
      <c r="V1158" s="216"/>
      <c r="W1158" s="216"/>
      <c r="X1158" s="216"/>
      <c r="Y1158" s="216"/>
      <c r="Z1158" s="216"/>
      <c r="AA1158" s="216"/>
    </row>
    <row r="1159" ht="15.0" customHeight="1">
      <c r="A1159" s="214"/>
      <c r="B1159" s="214"/>
      <c r="C1159" s="214"/>
      <c r="D1159" s="214"/>
      <c r="E1159" s="214"/>
      <c r="F1159" s="214"/>
      <c r="G1159" s="214"/>
      <c r="H1159" s="214"/>
      <c r="I1159" s="214"/>
      <c r="J1159" s="214"/>
      <c r="K1159" s="214"/>
      <c r="L1159" s="214"/>
      <c r="M1159" s="214"/>
      <c r="N1159" s="216"/>
      <c r="O1159" s="216"/>
      <c r="P1159" s="216"/>
      <c r="Q1159" s="216"/>
      <c r="R1159" s="216"/>
      <c r="S1159" s="216"/>
      <c r="T1159" s="216"/>
      <c r="U1159" s="216"/>
      <c r="V1159" s="216"/>
      <c r="W1159" s="216"/>
      <c r="X1159" s="216"/>
      <c r="Y1159" s="216"/>
      <c r="Z1159" s="216"/>
      <c r="AA1159" s="216"/>
    </row>
    <row r="1160" ht="15.0" customHeight="1">
      <c r="A1160" s="214"/>
      <c r="B1160" s="214"/>
      <c r="C1160" s="214"/>
      <c r="D1160" s="214"/>
      <c r="E1160" s="214"/>
      <c r="F1160" s="214"/>
      <c r="G1160" s="214"/>
      <c r="H1160" s="214"/>
      <c r="I1160" s="214"/>
      <c r="J1160" s="214"/>
      <c r="K1160" s="214"/>
      <c r="L1160" s="214"/>
      <c r="M1160" s="214"/>
      <c r="N1160" s="216"/>
      <c r="O1160" s="216"/>
      <c r="P1160" s="216"/>
      <c r="Q1160" s="216"/>
      <c r="R1160" s="216"/>
      <c r="S1160" s="216"/>
      <c r="T1160" s="216"/>
      <c r="U1160" s="216"/>
      <c r="V1160" s="216"/>
      <c r="W1160" s="216"/>
      <c r="X1160" s="216"/>
      <c r="Y1160" s="216"/>
      <c r="Z1160" s="216"/>
      <c r="AA1160" s="216"/>
    </row>
    <row r="1161" ht="15.0" customHeight="1">
      <c r="A1161" s="214"/>
      <c r="B1161" s="214"/>
      <c r="C1161" s="214"/>
      <c r="D1161" s="214"/>
      <c r="E1161" s="214"/>
      <c r="F1161" s="214"/>
      <c r="G1161" s="214"/>
      <c r="H1161" s="214"/>
      <c r="I1161" s="214"/>
      <c r="J1161" s="214"/>
      <c r="K1161" s="214"/>
      <c r="L1161" s="214"/>
      <c r="M1161" s="214"/>
      <c r="N1161" s="216"/>
      <c r="O1161" s="216"/>
      <c r="P1161" s="216"/>
      <c r="Q1161" s="216"/>
      <c r="R1161" s="216"/>
      <c r="S1161" s="216"/>
      <c r="T1161" s="216"/>
      <c r="U1161" s="216"/>
      <c r="V1161" s="216"/>
      <c r="W1161" s="216"/>
      <c r="X1161" s="216"/>
      <c r="Y1161" s="216"/>
      <c r="Z1161" s="216"/>
      <c r="AA1161" s="216"/>
    </row>
    <row r="1162" ht="15.0" customHeight="1">
      <c r="A1162" s="214"/>
      <c r="B1162" s="214"/>
      <c r="C1162" s="214"/>
      <c r="D1162" s="214"/>
      <c r="E1162" s="214"/>
      <c r="F1162" s="214"/>
      <c r="G1162" s="214"/>
      <c r="H1162" s="214"/>
      <c r="I1162" s="214"/>
      <c r="J1162" s="214"/>
      <c r="K1162" s="214"/>
      <c r="L1162" s="214"/>
      <c r="M1162" s="214"/>
      <c r="N1162" s="216"/>
      <c r="O1162" s="216"/>
      <c r="P1162" s="216"/>
      <c r="Q1162" s="216"/>
      <c r="R1162" s="216"/>
      <c r="S1162" s="216"/>
      <c r="T1162" s="216"/>
      <c r="U1162" s="216"/>
      <c r="V1162" s="216"/>
      <c r="W1162" s="216"/>
      <c r="X1162" s="216"/>
      <c r="Y1162" s="216"/>
      <c r="Z1162" s="216"/>
      <c r="AA1162" s="216"/>
    </row>
    <row r="1163" ht="15.0" customHeight="1">
      <c r="A1163" s="214"/>
      <c r="B1163" s="214"/>
      <c r="C1163" s="214"/>
      <c r="D1163" s="214"/>
      <c r="E1163" s="214"/>
      <c r="F1163" s="214"/>
      <c r="G1163" s="214"/>
      <c r="H1163" s="214"/>
      <c r="I1163" s="214"/>
      <c r="J1163" s="214"/>
      <c r="K1163" s="214"/>
      <c r="L1163" s="214"/>
      <c r="M1163" s="214"/>
      <c r="N1163" s="216"/>
      <c r="O1163" s="216"/>
      <c r="P1163" s="216"/>
      <c r="Q1163" s="216"/>
      <c r="R1163" s="216"/>
      <c r="S1163" s="216"/>
      <c r="T1163" s="216"/>
      <c r="U1163" s="216"/>
      <c r="V1163" s="216"/>
      <c r="W1163" s="216"/>
      <c r="X1163" s="216"/>
      <c r="Y1163" s="216"/>
      <c r="Z1163" s="216"/>
      <c r="AA1163" s="216"/>
    </row>
    <row r="1164" ht="15.0" customHeight="1">
      <c r="A1164" s="214"/>
      <c r="B1164" s="214"/>
      <c r="C1164" s="214"/>
      <c r="D1164" s="214"/>
      <c r="E1164" s="214"/>
      <c r="F1164" s="214"/>
      <c r="G1164" s="214"/>
      <c r="H1164" s="214"/>
      <c r="I1164" s="214"/>
      <c r="J1164" s="214"/>
      <c r="K1164" s="214"/>
      <c r="L1164" s="214"/>
      <c r="M1164" s="214"/>
      <c r="N1164" s="216"/>
      <c r="O1164" s="216"/>
      <c r="P1164" s="216"/>
      <c r="Q1164" s="216"/>
      <c r="R1164" s="216"/>
      <c r="S1164" s="216"/>
      <c r="T1164" s="216"/>
      <c r="U1164" s="216"/>
      <c r="V1164" s="216"/>
      <c r="W1164" s="216"/>
      <c r="X1164" s="216"/>
      <c r="Y1164" s="216"/>
      <c r="Z1164" s="216"/>
      <c r="AA1164" s="216"/>
    </row>
    <row r="1165" ht="15.0" customHeight="1">
      <c r="A1165" s="214"/>
      <c r="B1165" s="214"/>
      <c r="C1165" s="214"/>
      <c r="D1165" s="214"/>
      <c r="E1165" s="214"/>
      <c r="F1165" s="214"/>
      <c r="G1165" s="214"/>
      <c r="H1165" s="214"/>
      <c r="I1165" s="214"/>
      <c r="J1165" s="214"/>
      <c r="K1165" s="214"/>
      <c r="L1165" s="214"/>
      <c r="M1165" s="214"/>
      <c r="N1165" s="216"/>
      <c r="O1165" s="216"/>
      <c r="P1165" s="216"/>
      <c r="Q1165" s="216"/>
      <c r="R1165" s="216"/>
      <c r="S1165" s="216"/>
      <c r="T1165" s="216"/>
      <c r="U1165" s="216"/>
      <c r="V1165" s="216"/>
      <c r="W1165" s="216"/>
      <c r="X1165" s="216"/>
      <c r="Y1165" s="216"/>
      <c r="Z1165" s="216"/>
      <c r="AA1165" s="216"/>
    </row>
    <row r="1166" ht="15.0" customHeight="1">
      <c r="A1166" s="214"/>
      <c r="B1166" s="214"/>
      <c r="C1166" s="214"/>
      <c r="D1166" s="214"/>
      <c r="E1166" s="214"/>
      <c r="F1166" s="214"/>
      <c r="G1166" s="214"/>
      <c r="H1166" s="214"/>
      <c r="I1166" s="214"/>
      <c r="J1166" s="214"/>
      <c r="K1166" s="214"/>
      <c r="L1166" s="214"/>
      <c r="M1166" s="214"/>
      <c r="N1166" s="216"/>
      <c r="O1166" s="216"/>
      <c r="P1166" s="216"/>
      <c r="Q1166" s="216"/>
      <c r="R1166" s="216"/>
      <c r="S1166" s="216"/>
      <c r="T1166" s="216"/>
      <c r="U1166" s="216"/>
      <c r="V1166" s="216"/>
      <c r="W1166" s="216"/>
      <c r="X1166" s="216"/>
      <c r="Y1166" s="216"/>
      <c r="Z1166" s="216"/>
      <c r="AA1166" s="216"/>
    </row>
    <row r="1167" ht="15.0" customHeight="1">
      <c r="A1167" s="214"/>
      <c r="B1167" s="214"/>
      <c r="C1167" s="214"/>
      <c r="D1167" s="214"/>
      <c r="E1167" s="214"/>
      <c r="F1167" s="214"/>
      <c r="G1167" s="214"/>
      <c r="H1167" s="214"/>
      <c r="I1167" s="214"/>
      <c r="J1167" s="214"/>
      <c r="K1167" s="214"/>
      <c r="L1167" s="214"/>
      <c r="M1167" s="214"/>
      <c r="N1167" s="216"/>
      <c r="O1167" s="216"/>
      <c r="P1167" s="216"/>
      <c r="Q1167" s="216"/>
      <c r="R1167" s="216"/>
      <c r="S1167" s="216"/>
      <c r="T1167" s="216"/>
      <c r="U1167" s="216"/>
      <c r="V1167" s="216"/>
      <c r="W1167" s="216"/>
      <c r="X1167" s="216"/>
      <c r="Y1167" s="216"/>
      <c r="Z1167" s="216"/>
      <c r="AA1167" s="216"/>
    </row>
    <row r="1168" ht="15.0" customHeight="1">
      <c r="A1168" s="214"/>
      <c r="B1168" s="214"/>
      <c r="C1168" s="214"/>
      <c r="D1168" s="214"/>
      <c r="E1168" s="214"/>
      <c r="F1168" s="214"/>
      <c r="G1168" s="214"/>
      <c r="H1168" s="214"/>
      <c r="I1168" s="214"/>
      <c r="J1168" s="214"/>
      <c r="K1168" s="214"/>
      <c r="L1168" s="214"/>
      <c r="M1168" s="214"/>
      <c r="N1168" s="216"/>
      <c r="O1168" s="216"/>
      <c r="P1168" s="216"/>
      <c r="Q1168" s="216"/>
      <c r="R1168" s="216"/>
      <c r="S1168" s="216"/>
      <c r="T1168" s="216"/>
      <c r="U1168" s="216"/>
      <c r="V1168" s="216"/>
      <c r="W1168" s="216"/>
      <c r="X1168" s="216"/>
      <c r="Y1168" s="216"/>
      <c r="Z1168" s="216"/>
      <c r="AA1168" s="216"/>
    </row>
    <row r="1169" ht="15.0" customHeight="1">
      <c r="A1169" s="214"/>
      <c r="B1169" s="214"/>
      <c r="C1169" s="214"/>
      <c r="D1169" s="214"/>
      <c r="E1169" s="214"/>
      <c r="F1169" s="214"/>
      <c r="G1169" s="214"/>
      <c r="H1169" s="214"/>
      <c r="I1169" s="214"/>
      <c r="J1169" s="214"/>
      <c r="K1169" s="214"/>
      <c r="L1169" s="214"/>
      <c r="M1169" s="214"/>
      <c r="N1169" s="216"/>
      <c r="O1169" s="216"/>
      <c r="P1169" s="216"/>
      <c r="Q1169" s="216"/>
      <c r="R1169" s="216"/>
      <c r="S1169" s="216"/>
      <c r="T1169" s="216"/>
      <c r="U1169" s="216"/>
      <c r="V1169" s="216"/>
      <c r="W1169" s="216"/>
      <c r="X1169" s="216"/>
      <c r="Y1169" s="216"/>
      <c r="Z1169" s="216"/>
      <c r="AA1169" s="216"/>
    </row>
    <row r="1170" ht="15.0" customHeight="1">
      <c r="A1170" s="214"/>
      <c r="B1170" s="214"/>
      <c r="C1170" s="214"/>
      <c r="D1170" s="214"/>
      <c r="E1170" s="214"/>
      <c r="F1170" s="214"/>
      <c r="G1170" s="214"/>
      <c r="H1170" s="214"/>
      <c r="I1170" s="214"/>
      <c r="J1170" s="214"/>
      <c r="K1170" s="214"/>
      <c r="L1170" s="214"/>
      <c r="M1170" s="214"/>
      <c r="N1170" s="216"/>
      <c r="O1170" s="216"/>
      <c r="P1170" s="216"/>
      <c r="Q1170" s="216"/>
      <c r="R1170" s="216"/>
      <c r="S1170" s="216"/>
      <c r="T1170" s="216"/>
      <c r="U1170" s="216"/>
      <c r="V1170" s="216"/>
      <c r="W1170" s="216"/>
      <c r="X1170" s="216"/>
      <c r="Y1170" s="216"/>
      <c r="Z1170" s="216"/>
      <c r="AA1170" s="216"/>
    </row>
    <row r="1171" ht="15.0" customHeight="1">
      <c r="A1171" s="214"/>
      <c r="B1171" s="214"/>
      <c r="C1171" s="214"/>
      <c r="D1171" s="214"/>
      <c r="E1171" s="214"/>
      <c r="F1171" s="214"/>
      <c r="G1171" s="214"/>
      <c r="H1171" s="214"/>
      <c r="I1171" s="214"/>
      <c r="J1171" s="214"/>
      <c r="K1171" s="214"/>
      <c r="L1171" s="214"/>
      <c r="M1171" s="214"/>
      <c r="N1171" s="216"/>
      <c r="O1171" s="216"/>
      <c r="P1171" s="216"/>
      <c r="Q1171" s="216"/>
      <c r="R1171" s="216"/>
      <c r="S1171" s="216"/>
      <c r="T1171" s="216"/>
      <c r="U1171" s="216"/>
      <c r="V1171" s="216"/>
      <c r="W1171" s="216"/>
      <c r="X1171" s="216"/>
      <c r="Y1171" s="216"/>
      <c r="Z1171" s="216"/>
      <c r="AA1171" s="216"/>
    </row>
    <row r="1172" ht="15.0" customHeight="1">
      <c r="A1172" s="214"/>
      <c r="B1172" s="214"/>
      <c r="C1172" s="214"/>
      <c r="D1172" s="214"/>
      <c r="E1172" s="214"/>
      <c r="F1172" s="214"/>
      <c r="G1172" s="214"/>
      <c r="H1172" s="214"/>
      <c r="I1172" s="214"/>
      <c r="J1172" s="214"/>
      <c r="K1172" s="214"/>
      <c r="L1172" s="214"/>
      <c r="M1172" s="214"/>
      <c r="N1172" s="216"/>
      <c r="O1172" s="216"/>
      <c r="P1172" s="216"/>
      <c r="Q1172" s="216"/>
      <c r="R1172" s="216"/>
      <c r="S1172" s="216"/>
      <c r="T1172" s="216"/>
      <c r="U1172" s="216"/>
      <c r="V1172" s="216"/>
      <c r="W1172" s="216"/>
      <c r="X1172" s="216"/>
      <c r="Y1172" s="216"/>
      <c r="Z1172" s="216"/>
      <c r="AA1172" s="216"/>
    </row>
    <row r="1173" ht="15.0" customHeight="1">
      <c r="A1173" s="214"/>
      <c r="B1173" s="214"/>
      <c r="C1173" s="214"/>
      <c r="D1173" s="214"/>
      <c r="E1173" s="214"/>
      <c r="F1173" s="214"/>
      <c r="G1173" s="214"/>
      <c r="H1173" s="214"/>
      <c r="I1173" s="214"/>
      <c r="J1173" s="214"/>
      <c r="K1173" s="214"/>
      <c r="L1173" s="214"/>
      <c r="M1173" s="214"/>
      <c r="N1173" s="216"/>
      <c r="O1173" s="216"/>
      <c r="P1173" s="216"/>
      <c r="Q1173" s="216"/>
      <c r="R1173" s="216"/>
      <c r="S1173" s="216"/>
      <c r="T1173" s="216"/>
      <c r="U1173" s="216"/>
      <c r="V1173" s="216"/>
      <c r="W1173" s="216"/>
      <c r="X1173" s="216"/>
      <c r="Y1173" s="216"/>
      <c r="Z1173" s="216"/>
      <c r="AA1173" s="216"/>
    </row>
    <row r="1174" ht="15.0" customHeight="1">
      <c r="A1174" s="214"/>
      <c r="B1174" s="214"/>
      <c r="C1174" s="214"/>
      <c r="D1174" s="214"/>
      <c r="E1174" s="214"/>
      <c r="F1174" s="214"/>
      <c r="G1174" s="214"/>
      <c r="H1174" s="214"/>
      <c r="I1174" s="214"/>
      <c r="J1174" s="214"/>
      <c r="K1174" s="214"/>
      <c r="L1174" s="214"/>
      <c r="M1174" s="214"/>
      <c r="N1174" s="216"/>
      <c r="O1174" s="216"/>
      <c r="P1174" s="216"/>
      <c r="Q1174" s="216"/>
      <c r="R1174" s="216"/>
      <c r="S1174" s="216"/>
      <c r="T1174" s="216"/>
      <c r="U1174" s="216"/>
      <c r="V1174" s="216"/>
      <c r="W1174" s="216"/>
      <c r="X1174" s="216"/>
      <c r="Y1174" s="216"/>
      <c r="Z1174" s="216"/>
      <c r="AA1174" s="216"/>
    </row>
    <row r="1175" ht="15.0" customHeight="1">
      <c r="A1175" s="214"/>
      <c r="B1175" s="214"/>
      <c r="C1175" s="214"/>
      <c r="D1175" s="214"/>
      <c r="E1175" s="214"/>
      <c r="F1175" s="214"/>
      <c r="G1175" s="214"/>
      <c r="H1175" s="214"/>
      <c r="I1175" s="214"/>
      <c r="J1175" s="214"/>
      <c r="K1175" s="214"/>
      <c r="L1175" s="214"/>
      <c r="M1175" s="214"/>
      <c r="N1175" s="216"/>
      <c r="O1175" s="216"/>
      <c r="P1175" s="216"/>
      <c r="Q1175" s="216"/>
      <c r="R1175" s="216"/>
      <c r="S1175" s="216"/>
      <c r="T1175" s="216"/>
      <c r="U1175" s="216"/>
      <c r="V1175" s="216"/>
      <c r="W1175" s="216"/>
      <c r="X1175" s="216"/>
      <c r="Y1175" s="216"/>
      <c r="Z1175" s="216"/>
      <c r="AA1175" s="216"/>
    </row>
    <row r="1176" ht="15.0" customHeight="1">
      <c r="A1176" s="214"/>
      <c r="B1176" s="214"/>
      <c r="C1176" s="214"/>
      <c r="D1176" s="214"/>
      <c r="E1176" s="214"/>
      <c r="F1176" s="214"/>
      <c r="G1176" s="214"/>
      <c r="H1176" s="214"/>
      <c r="I1176" s="214"/>
      <c r="J1176" s="214"/>
      <c r="K1176" s="214"/>
      <c r="L1176" s="214"/>
      <c r="M1176" s="214"/>
      <c r="N1176" s="216"/>
      <c r="O1176" s="216"/>
      <c r="P1176" s="216"/>
      <c r="Q1176" s="216"/>
      <c r="R1176" s="216"/>
      <c r="S1176" s="216"/>
      <c r="T1176" s="216"/>
      <c r="U1176" s="216"/>
      <c r="V1176" s="216"/>
      <c r="W1176" s="216"/>
      <c r="X1176" s="216"/>
      <c r="Y1176" s="216"/>
      <c r="Z1176" s="216"/>
      <c r="AA1176" s="216"/>
    </row>
    <row r="1177" ht="15.0" customHeight="1">
      <c r="A1177" s="214"/>
      <c r="B1177" s="214"/>
      <c r="C1177" s="214"/>
      <c r="D1177" s="214"/>
      <c r="E1177" s="214"/>
      <c r="F1177" s="214"/>
      <c r="G1177" s="214"/>
      <c r="H1177" s="214"/>
      <c r="I1177" s="214"/>
      <c r="J1177" s="214"/>
      <c r="K1177" s="214"/>
      <c r="L1177" s="214"/>
      <c r="M1177" s="214"/>
      <c r="N1177" s="216"/>
      <c r="O1177" s="216"/>
      <c r="P1177" s="216"/>
      <c r="Q1177" s="216"/>
      <c r="R1177" s="216"/>
      <c r="S1177" s="216"/>
      <c r="T1177" s="216"/>
      <c r="U1177" s="216"/>
      <c r="V1177" s="216"/>
      <c r="W1177" s="216"/>
      <c r="X1177" s="216"/>
      <c r="Y1177" s="216"/>
      <c r="Z1177" s="216"/>
      <c r="AA1177" s="216"/>
    </row>
    <row r="1178" ht="15.0" customHeight="1">
      <c r="A1178" s="214"/>
      <c r="B1178" s="214"/>
      <c r="C1178" s="214"/>
      <c r="D1178" s="214"/>
      <c r="E1178" s="214"/>
      <c r="F1178" s="214"/>
      <c r="G1178" s="214"/>
      <c r="H1178" s="214"/>
      <c r="I1178" s="214"/>
      <c r="J1178" s="214"/>
      <c r="K1178" s="214"/>
      <c r="L1178" s="214"/>
      <c r="M1178" s="214"/>
      <c r="N1178" s="216"/>
      <c r="O1178" s="216"/>
      <c r="P1178" s="216"/>
      <c r="Q1178" s="216"/>
      <c r="R1178" s="216"/>
      <c r="S1178" s="216"/>
      <c r="T1178" s="216"/>
      <c r="U1178" s="216"/>
      <c r="V1178" s="216"/>
      <c r="W1178" s="216"/>
      <c r="X1178" s="216"/>
      <c r="Y1178" s="216"/>
      <c r="Z1178" s="216"/>
      <c r="AA1178" s="216"/>
    </row>
    <row r="1179" ht="15.0" customHeight="1">
      <c r="A1179" s="214"/>
      <c r="B1179" s="214"/>
      <c r="C1179" s="214"/>
      <c r="D1179" s="214"/>
      <c r="E1179" s="214"/>
      <c r="F1179" s="214"/>
      <c r="G1179" s="214"/>
      <c r="H1179" s="214"/>
      <c r="I1179" s="214"/>
      <c r="J1179" s="214"/>
      <c r="K1179" s="214"/>
      <c r="L1179" s="214"/>
      <c r="M1179" s="214"/>
      <c r="N1179" s="216"/>
      <c r="O1179" s="216"/>
      <c r="P1179" s="216"/>
      <c r="Q1179" s="216"/>
      <c r="R1179" s="216"/>
      <c r="S1179" s="216"/>
      <c r="T1179" s="216"/>
      <c r="U1179" s="216"/>
      <c r="V1179" s="216"/>
      <c r="W1179" s="216"/>
      <c r="X1179" s="216"/>
      <c r="Y1179" s="216"/>
      <c r="Z1179" s="216"/>
      <c r="AA1179" s="216"/>
    </row>
    <row r="1180" ht="15.0" customHeight="1">
      <c r="A1180" s="214"/>
      <c r="B1180" s="214"/>
      <c r="C1180" s="214"/>
      <c r="D1180" s="214"/>
      <c r="E1180" s="214"/>
      <c r="F1180" s="214"/>
      <c r="G1180" s="214"/>
      <c r="H1180" s="214"/>
      <c r="I1180" s="214"/>
      <c r="J1180" s="214"/>
      <c r="K1180" s="214"/>
      <c r="L1180" s="214"/>
      <c r="M1180" s="214"/>
      <c r="N1180" s="216"/>
      <c r="O1180" s="216"/>
      <c r="P1180" s="216"/>
      <c r="Q1180" s="216"/>
      <c r="R1180" s="216"/>
      <c r="S1180" s="216"/>
      <c r="T1180" s="216"/>
      <c r="U1180" s="216"/>
      <c r="V1180" s="216"/>
      <c r="W1180" s="216"/>
      <c r="X1180" s="216"/>
      <c r="Y1180" s="216"/>
      <c r="Z1180" s="216"/>
      <c r="AA1180" s="216"/>
    </row>
    <row r="1181" ht="15.0" customHeight="1">
      <c r="A1181" s="214"/>
      <c r="B1181" s="214"/>
      <c r="C1181" s="214"/>
      <c r="D1181" s="214"/>
      <c r="E1181" s="214"/>
      <c r="F1181" s="214"/>
      <c r="G1181" s="214"/>
      <c r="H1181" s="214"/>
      <c r="I1181" s="214"/>
      <c r="J1181" s="214"/>
      <c r="K1181" s="214"/>
      <c r="L1181" s="214"/>
      <c r="M1181" s="214"/>
      <c r="N1181" s="216"/>
      <c r="O1181" s="216"/>
      <c r="P1181" s="216"/>
      <c r="Q1181" s="216"/>
      <c r="R1181" s="216"/>
      <c r="S1181" s="216"/>
      <c r="T1181" s="216"/>
      <c r="U1181" s="216"/>
      <c r="V1181" s="216"/>
      <c r="W1181" s="216"/>
      <c r="X1181" s="216"/>
      <c r="Y1181" s="216"/>
      <c r="Z1181" s="216"/>
      <c r="AA1181" s="216"/>
    </row>
    <row r="1182" ht="15.0" customHeight="1">
      <c r="A1182" s="214"/>
      <c r="B1182" s="214"/>
      <c r="C1182" s="214"/>
      <c r="D1182" s="214"/>
      <c r="E1182" s="214"/>
      <c r="F1182" s="214"/>
      <c r="G1182" s="214"/>
      <c r="H1182" s="214"/>
      <c r="I1182" s="214"/>
      <c r="J1182" s="214"/>
      <c r="K1182" s="214"/>
      <c r="L1182" s="214"/>
      <c r="M1182" s="214"/>
      <c r="N1182" s="216"/>
      <c r="O1182" s="216"/>
      <c r="P1182" s="216"/>
      <c r="Q1182" s="216"/>
      <c r="R1182" s="216"/>
      <c r="S1182" s="216"/>
      <c r="T1182" s="216"/>
      <c r="U1182" s="216"/>
      <c r="V1182" s="216"/>
      <c r="W1182" s="216"/>
      <c r="X1182" s="216"/>
      <c r="Y1182" s="216"/>
      <c r="Z1182" s="216"/>
      <c r="AA1182" s="216"/>
    </row>
    <row r="1183" ht="15.0" customHeight="1">
      <c r="A1183" s="214"/>
      <c r="B1183" s="214"/>
      <c r="C1183" s="214"/>
      <c r="D1183" s="214"/>
      <c r="E1183" s="214"/>
      <c r="F1183" s="214"/>
      <c r="G1183" s="214"/>
      <c r="H1183" s="214"/>
      <c r="I1183" s="214"/>
      <c r="J1183" s="214"/>
      <c r="K1183" s="214"/>
      <c r="L1183" s="214"/>
      <c r="M1183" s="214"/>
      <c r="N1183" s="216"/>
      <c r="O1183" s="216"/>
      <c r="P1183" s="216"/>
      <c r="Q1183" s="216"/>
      <c r="R1183" s="216"/>
      <c r="S1183" s="216"/>
      <c r="T1183" s="216"/>
      <c r="U1183" s="216"/>
      <c r="V1183" s="216"/>
      <c r="W1183" s="216"/>
      <c r="X1183" s="216"/>
      <c r="Y1183" s="216"/>
      <c r="Z1183" s="216"/>
      <c r="AA1183" s="216"/>
    </row>
    <row r="1184" ht="15.0" customHeight="1">
      <c r="A1184" s="214"/>
      <c r="B1184" s="214"/>
      <c r="C1184" s="214"/>
      <c r="D1184" s="214"/>
      <c r="E1184" s="214"/>
      <c r="F1184" s="214"/>
      <c r="G1184" s="214"/>
      <c r="H1184" s="214"/>
      <c r="I1184" s="214"/>
      <c r="J1184" s="214"/>
      <c r="K1184" s="214"/>
      <c r="L1184" s="214"/>
      <c r="M1184" s="214"/>
      <c r="N1184" s="216"/>
      <c r="O1184" s="216"/>
      <c r="P1184" s="216"/>
      <c r="Q1184" s="216"/>
      <c r="R1184" s="216"/>
      <c r="S1184" s="216"/>
      <c r="T1184" s="216"/>
      <c r="U1184" s="216"/>
      <c r="V1184" s="216"/>
      <c r="W1184" s="216"/>
      <c r="X1184" s="216"/>
      <c r="Y1184" s="216"/>
      <c r="Z1184" s="216"/>
      <c r="AA1184" s="216"/>
    </row>
    <row r="1185" ht="15.0" customHeight="1">
      <c r="A1185" s="214"/>
      <c r="B1185" s="214"/>
      <c r="C1185" s="214"/>
      <c r="D1185" s="214"/>
      <c r="E1185" s="214"/>
      <c r="F1185" s="214"/>
      <c r="G1185" s="214"/>
      <c r="H1185" s="214"/>
      <c r="I1185" s="214"/>
      <c r="J1185" s="214"/>
      <c r="K1185" s="214"/>
      <c r="L1185" s="214"/>
      <c r="M1185" s="214"/>
      <c r="N1185" s="216"/>
      <c r="O1185" s="216"/>
      <c r="P1185" s="216"/>
      <c r="Q1185" s="216"/>
      <c r="R1185" s="216"/>
      <c r="S1185" s="216"/>
      <c r="T1185" s="216"/>
      <c r="U1185" s="216"/>
      <c r="V1185" s="216"/>
      <c r="W1185" s="216"/>
      <c r="X1185" s="216"/>
      <c r="Y1185" s="216"/>
      <c r="Z1185" s="216"/>
      <c r="AA1185" s="216"/>
    </row>
    <row r="1186" ht="15.0" customHeight="1">
      <c r="A1186" s="214"/>
      <c r="B1186" s="214"/>
      <c r="C1186" s="214"/>
      <c r="D1186" s="214"/>
      <c r="E1186" s="214"/>
      <c r="F1186" s="214"/>
      <c r="G1186" s="214"/>
      <c r="H1186" s="214"/>
      <c r="I1186" s="214"/>
      <c r="J1186" s="214"/>
      <c r="K1186" s="214"/>
      <c r="L1186" s="214"/>
      <c r="M1186" s="214"/>
      <c r="N1186" s="216"/>
      <c r="O1186" s="216"/>
      <c r="P1186" s="216"/>
      <c r="Q1186" s="216"/>
      <c r="R1186" s="216"/>
      <c r="S1186" s="216"/>
      <c r="T1186" s="216"/>
      <c r="U1186" s="216"/>
      <c r="V1186" s="216"/>
      <c r="W1186" s="216"/>
      <c r="X1186" s="216"/>
      <c r="Y1186" s="216"/>
      <c r="Z1186" s="216"/>
      <c r="AA1186" s="216"/>
    </row>
    <row r="1187" ht="15.0" customHeight="1">
      <c r="A1187" s="214"/>
      <c r="B1187" s="214"/>
      <c r="C1187" s="214"/>
      <c r="D1187" s="214"/>
      <c r="E1187" s="214"/>
      <c r="F1187" s="214"/>
      <c r="G1187" s="214"/>
      <c r="H1187" s="214"/>
      <c r="I1187" s="214"/>
      <c r="J1187" s="214"/>
      <c r="K1187" s="214"/>
      <c r="L1187" s="214"/>
      <c r="M1187" s="214"/>
      <c r="N1187" s="216"/>
      <c r="O1187" s="216"/>
      <c r="P1187" s="216"/>
      <c r="Q1187" s="216"/>
      <c r="R1187" s="216"/>
      <c r="S1187" s="216"/>
      <c r="T1187" s="216"/>
      <c r="U1187" s="216"/>
      <c r="V1187" s="216"/>
      <c r="W1187" s="216"/>
      <c r="X1187" s="216"/>
      <c r="Y1187" s="216"/>
      <c r="Z1187" s="216"/>
      <c r="AA1187" s="216"/>
    </row>
    <row r="1188" ht="15.0" customHeight="1">
      <c r="A1188" s="214"/>
      <c r="B1188" s="214"/>
      <c r="C1188" s="214"/>
      <c r="D1188" s="214"/>
      <c r="E1188" s="214"/>
      <c r="F1188" s="214"/>
      <c r="G1188" s="214"/>
      <c r="H1188" s="214"/>
      <c r="I1188" s="214"/>
      <c r="J1188" s="214"/>
      <c r="K1188" s="214"/>
      <c r="L1188" s="214"/>
      <c r="M1188" s="214"/>
      <c r="N1188" s="216"/>
      <c r="O1188" s="216"/>
      <c r="P1188" s="216"/>
      <c r="Q1188" s="216"/>
      <c r="R1188" s="216"/>
      <c r="S1188" s="216"/>
      <c r="T1188" s="216"/>
      <c r="U1188" s="216"/>
      <c r="V1188" s="216"/>
      <c r="W1188" s="216"/>
      <c r="X1188" s="216"/>
      <c r="Y1188" s="216"/>
      <c r="Z1188" s="216"/>
      <c r="AA1188" s="216"/>
    </row>
    <row r="1189" ht="15.0" customHeight="1">
      <c r="A1189" s="214"/>
      <c r="B1189" s="214"/>
      <c r="C1189" s="214"/>
      <c r="D1189" s="214"/>
      <c r="E1189" s="214"/>
      <c r="F1189" s="214"/>
      <c r="G1189" s="214"/>
      <c r="H1189" s="214"/>
      <c r="I1189" s="214"/>
      <c r="J1189" s="214"/>
      <c r="K1189" s="214"/>
      <c r="L1189" s="214"/>
      <c r="M1189" s="214"/>
      <c r="N1189" s="216"/>
      <c r="O1189" s="216"/>
      <c r="P1189" s="216"/>
      <c r="Q1189" s="216"/>
      <c r="R1189" s="216"/>
      <c r="S1189" s="216"/>
      <c r="T1189" s="216"/>
      <c r="U1189" s="216"/>
      <c r="V1189" s="216"/>
      <c r="W1189" s="216"/>
      <c r="X1189" s="216"/>
      <c r="Y1189" s="216"/>
      <c r="Z1189" s="216"/>
      <c r="AA1189" s="216"/>
    </row>
    <row r="1190" ht="15.0" customHeight="1">
      <c r="A1190" s="214"/>
      <c r="B1190" s="214"/>
      <c r="C1190" s="214"/>
      <c r="D1190" s="214"/>
      <c r="E1190" s="214"/>
      <c r="F1190" s="214"/>
      <c r="G1190" s="214"/>
      <c r="H1190" s="214"/>
      <c r="I1190" s="214"/>
      <c r="J1190" s="214"/>
      <c r="K1190" s="214"/>
      <c r="L1190" s="214"/>
      <c r="M1190" s="214"/>
      <c r="N1190" s="216"/>
      <c r="O1190" s="216"/>
      <c r="P1190" s="216"/>
      <c r="Q1190" s="216"/>
      <c r="R1190" s="216"/>
      <c r="S1190" s="216"/>
      <c r="T1190" s="216"/>
      <c r="U1190" s="216"/>
      <c r="V1190" s="216"/>
      <c r="W1190" s="216"/>
      <c r="X1190" s="216"/>
      <c r="Y1190" s="216"/>
      <c r="Z1190" s="216"/>
      <c r="AA1190" s="216"/>
    </row>
    <row r="1191" ht="15.0" customHeight="1">
      <c r="A1191" s="214"/>
      <c r="B1191" s="214"/>
      <c r="C1191" s="214"/>
      <c r="D1191" s="214"/>
      <c r="E1191" s="214"/>
      <c r="F1191" s="214"/>
      <c r="G1191" s="214"/>
      <c r="H1191" s="214"/>
      <c r="I1191" s="214"/>
      <c r="J1191" s="214"/>
      <c r="K1191" s="214"/>
      <c r="L1191" s="214"/>
      <c r="M1191" s="214"/>
      <c r="N1191" s="216"/>
      <c r="O1191" s="216"/>
      <c r="P1191" s="216"/>
      <c r="Q1191" s="216"/>
      <c r="R1191" s="216"/>
      <c r="S1191" s="216"/>
      <c r="T1191" s="216"/>
      <c r="U1191" s="216"/>
      <c r="V1191" s="216"/>
      <c r="W1191" s="216"/>
      <c r="X1191" s="216"/>
      <c r="Y1191" s="216"/>
      <c r="Z1191" s="216"/>
      <c r="AA1191" s="216"/>
    </row>
    <row r="1192" ht="15.0" customHeight="1">
      <c r="A1192" s="214"/>
      <c r="B1192" s="214"/>
      <c r="C1192" s="214"/>
      <c r="D1192" s="214"/>
      <c r="E1192" s="214"/>
      <c r="F1192" s="214"/>
      <c r="G1192" s="214"/>
      <c r="H1192" s="214"/>
      <c r="I1192" s="214"/>
      <c r="J1192" s="214"/>
      <c r="K1192" s="214"/>
      <c r="L1192" s="214"/>
      <c r="M1192" s="214"/>
      <c r="N1192" s="216"/>
      <c r="O1192" s="216"/>
      <c r="P1192" s="216"/>
      <c r="Q1192" s="216"/>
      <c r="R1192" s="216"/>
      <c r="S1192" s="216"/>
      <c r="T1192" s="216"/>
      <c r="U1192" s="216"/>
      <c r="V1192" s="216"/>
      <c r="W1192" s="216"/>
      <c r="X1192" s="216"/>
      <c r="Y1192" s="216"/>
      <c r="Z1192" s="216"/>
      <c r="AA1192" s="216"/>
    </row>
    <row r="1193" ht="15.0" customHeight="1">
      <c r="A1193" s="214"/>
      <c r="B1193" s="214"/>
      <c r="C1193" s="214"/>
      <c r="D1193" s="214"/>
      <c r="E1193" s="214"/>
      <c r="F1193" s="214"/>
      <c r="G1193" s="214"/>
      <c r="H1193" s="214"/>
      <c r="I1193" s="214"/>
      <c r="J1193" s="214"/>
      <c r="K1193" s="214"/>
      <c r="L1193" s="214"/>
      <c r="M1193" s="214"/>
      <c r="N1193" s="216"/>
      <c r="O1193" s="216"/>
      <c r="P1193" s="216"/>
      <c r="Q1193" s="216"/>
      <c r="R1193" s="216"/>
      <c r="S1193" s="216"/>
      <c r="T1193" s="216"/>
      <c r="U1193" s="216"/>
      <c r="V1193" s="216"/>
      <c r="W1193" s="216"/>
      <c r="X1193" s="216"/>
      <c r="Y1193" s="216"/>
      <c r="Z1193" s="216"/>
      <c r="AA1193" s="216"/>
    </row>
    <row r="1194" ht="15.0" customHeight="1">
      <c r="A1194" s="214"/>
      <c r="B1194" s="214"/>
      <c r="C1194" s="214"/>
      <c r="D1194" s="214"/>
      <c r="E1194" s="214"/>
      <c r="F1194" s="214"/>
      <c r="G1194" s="214"/>
      <c r="H1194" s="214"/>
      <c r="I1194" s="214"/>
      <c r="J1194" s="214"/>
      <c r="K1194" s="214"/>
      <c r="L1194" s="214"/>
      <c r="M1194" s="214"/>
      <c r="N1194" s="216"/>
      <c r="O1194" s="216"/>
      <c r="P1194" s="216"/>
      <c r="Q1194" s="216"/>
      <c r="R1194" s="216"/>
      <c r="S1194" s="216"/>
      <c r="T1194" s="216"/>
      <c r="U1194" s="216"/>
      <c r="V1194" s="216"/>
      <c r="W1194" s="216"/>
      <c r="X1194" s="216"/>
      <c r="Y1194" s="216"/>
      <c r="Z1194" s="216"/>
      <c r="AA1194" s="216"/>
    </row>
    <row r="1195" ht="15.0" customHeight="1">
      <c r="A1195" s="214"/>
      <c r="B1195" s="214"/>
      <c r="C1195" s="214"/>
      <c r="D1195" s="214"/>
      <c r="E1195" s="214"/>
      <c r="F1195" s="214"/>
      <c r="G1195" s="214"/>
      <c r="H1195" s="214"/>
      <c r="I1195" s="214"/>
      <c r="J1195" s="214"/>
      <c r="K1195" s="214"/>
      <c r="L1195" s="214"/>
      <c r="M1195" s="214"/>
      <c r="N1195" s="216"/>
      <c r="O1195" s="216"/>
      <c r="P1195" s="216"/>
      <c r="Q1195" s="216"/>
      <c r="R1195" s="216"/>
      <c r="S1195" s="216"/>
      <c r="T1195" s="216"/>
      <c r="U1195" s="216"/>
      <c r="V1195" s="216"/>
      <c r="W1195" s="216"/>
      <c r="X1195" s="216"/>
      <c r="Y1195" s="216"/>
      <c r="Z1195" s="216"/>
      <c r="AA1195" s="216"/>
    </row>
    <row r="1196" ht="15.0" customHeight="1">
      <c r="A1196" s="214"/>
      <c r="B1196" s="214"/>
      <c r="C1196" s="214"/>
      <c r="D1196" s="214"/>
      <c r="E1196" s="214"/>
      <c r="F1196" s="214"/>
      <c r="G1196" s="214"/>
      <c r="H1196" s="214"/>
      <c r="I1196" s="214"/>
      <c r="J1196" s="214"/>
      <c r="K1196" s="214"/>
      <c r="L1196" s="214"/>
      <c r="M1196" s="214"/>
      <c r="N1196" s="216"/>
      <c r="O1196" s="216"/>
      <c r="P1196" s="216"/>
      <c r="Q1196" s="216"/>
      <c r="R1196" s="216"/>
      <c r="S1196" s="216"/>
      <c r="T1196" s="216"/>
      <c r="U1196" s="216"/>
      <c r="V1196" s="216"/>
      <c r="W1196" s="216"/>
      <c r="X1196" s="216"/>
      <c r="Y1196" s="216"/>
      <c r="Z1196" s="216"/>
      <c r="AA1196" s="216"/>
    </row>
    <row r="1197" ht="15.0" customHeight="1">
      <c r="A1197" s="214"/>
      <c r="B1197" s="214"/>
      <c r="C1197" s="214"/>
      <c r="D1197" s="214"/>
      <c r="E1197" s="214"/>
      <c r="F1197" s="214"/>
      <c r="G1197" s="214"/>
      <c r="H1197" s="214"/>
      <c r="I1197" s="214"/>
      <c r="J1197" s="214"/>
      <c r="K1197" s="214"/>
      <c r="L1197" s="214"/>
      <c r="M1197" s="214"/>
      <c r="N1197" s="216"/>
      <c r="O1197" s="216"/>
      <c r="P1197" s="216"/>
      <c r="Q1197" s="216"/>
      <c r="R1197" s="216"/>
      <c r="S1197" s="216"/>
      <c r="T1197" s="216"/>
      <c r="U1197" s="216"/>
      <c r="V1197" s="216"/>
      <c r="W1197" s="216"/>
      <c r="X1197" s="216"/>
      <c r="Y1197" s="216"/>
      <c r="Z1197" s="216"/>
      <c r="AA1197" s="216"/>
    </row>
    <row r="1198" ht="15.0" customHeight="1">
      <c r="A1198" s="214"/>
      <c r="B1198" s="214"/>
      <c r="C1198" s="214"/>
      <c r="D1198" s="214"/>
      <c r="E1198" s="214"/>
      <c r="F1198" s="214"/>
      <c r="G1198" s="214"/>
      <c r="H1198" s="214"/>
      <c r="I1198" s="214"/>
      <c r="J1198" s="214"/>
      <c r="K1198" s="214"/>
      <c r="L1198" s="214"/>
      <c r="M1198" s="214"/>
      <c r="N1198" s="216"/>
      <c r="O1198" s="216"/>
      <c r="P1198" s="216"/>
      <c r="Q1198" s="216"/>
      <c r="R1198" s="216"/>
      <c r="S1198" s="216"/>
      <c r="T1198" s="216"/>
      <c r="U1198" s="216"/>
      <c r="V1198" s="216"/>
      <c r="W1198" s="216"/>
      <c r="X1198" s="216"/>
      <c r="Y1198" s="216"/>
      <c r="Z1198" s="216"/>
      <c r="AA1198" s="216"/>
    </row>
    <row r="1199" ht="15.0" customHeight="1">
      <c r="A1199" s="214"/>
      <c r="B1199" s="214"/>
      <c r="C1199" s="214"/>
      <c r="D1199" s="214"/>
      <c r="E1199" s="214"/>
      <c r="F1199" s="214"/>
      <c r="G1199" s="214"/>
      <c r="H1199" s="214"/>
      <c r="I1199" s="214"/>
      <c r="J1199" s="214"/>
      <c r="K1199" s="214"/>
      <c r="L1199" s="214"/>
      <c r="M1199" s="214"/>
      <c r="N1199" s="216"/>
      <c r="O1199" s="216"/>
      <c r="P1199" s="216"/>
      <c r="Q1199" s="216"/>
      <c r="R1199" s="216"/>
      <c r="S1199" s="216"/>
      <c r="T1199" s="216"/>
      <c r="U1199" s="216"/>
      <c r="V1199" s="216"/>
      <c r="W1199" s="216"/>
      <c r="X1199" s="216"/>
      <c r="Y1199" s="216"/>
      <c r="Z1199" s="216"/>
      <c r="AA1199" s="216"/>
    </row>
    <row r="1200" ht="15.0" customHeight="1">
      <c r="A1200" s="214"/>
      <c r="B1200" s="214"/>
      <c r="C1200" s="214"/>
      <c r="D1200" s="214"/>
      <c r="E1200" s="214"/>
      <c r="F1200" s="214"/>
      <c r="G1200" s="214"/>
      <c r="H1200" s="214"/>
      <c r="I1200" s="214"/>
      <c r="J1200" s="214"/>
      <c r="K1200" s="214"/>
      <c r="L1200" s="214"/>
      <c r="M1200" s="214"/>
      <c r="N1200" s="216"/>
      <c r="O1200" s="216"/>
      <c r="P1200" s="216"/>
      <c r="Q1200" s="216"/>
      <c r="R1200" s="216"/>
      <c r="S1200" s="216"/>
      <c r="T1200" s="216"/>
      <c r="U1200" s="216"/>
      <c r="V1200" s="216"/>
      <c r="W1200" s="216"/>
      <c r="X1200" s="216"/>
      <c r="Y1200" s="216"/>
      <c r="Z1200" s="216"/>
      <c r="AA1200" s="216"/>
    </row>
    <row r="1201" ht="15.0" customHeight="1">
      <c r="A1201" s="214"/>
      <c r="B1201" s="214"/>
      <c r="C1201" s="214"/>
      <c r="D1201" s="214"/>
      <c r="E1201" s="214"/>
      <c r="F1201" s="214"/>
      <c r="G1201" s="214"/>
      <c r="H1201" s="214"/>
      <c r="I1201" s="214"/>
      <c r="J1201" s="214"/>
      <c r="K1201" s="214"/>
      <c r="L1201" s="214"/>
      <c r="M1201" s="214"/>
      <c r="N1201" s="216"/>
      <c r="O1201" s="216"/>
      <c r="P1201" s="216"/>
      <c r="Q1201" s="216"/>
      <c r="R1201" s="216"/>
      <c r="S1201" s="216"/>
      <c r="T1201" s="216"/>
      <c r="U1201" s="216"/>
      <c r="V1201" s="216"/>
      <c r="W1201" s="216"/>
      <c r="X1201" s="216"/>
      <c r="Y1201" s="216"/>
      <c r="Z1201" s="216"/>
      <c r="AA1201" s="216"/>
    </row>
    <row r="1202" ht="15.0" customHeight="1">
      <c r="A1202" s="214"/>
      <c r="B1202" s="214"/>
      <c r="C1202" s="214"/>
      <c r="D1202" s="214"/>
      <c r="E1202" s="214"/>
      <c r="F1202" s="214"/>
      <c r="G1202" s="214"/>
      <c r="H1202" s="214"/>
      <c r="I1202" s="214"/>
      <c r="J1202" s="214"/>
      <c r="K1202" s="214"/>
      <c r="L1202" s="214"/>
      <c r="M1202" s="214"/>
      <c r="N1202" s="216"/>
      <c r="O1202" s="216"/>
      <c r="P1202" s="216"/>
      <c r="Q1202" s="216"/>
      <c r="R1202" s="216"/>
      <c r="S1202" s="216"/>
      <c r="T1202" s="216"/>
      <c r="U1202" s="216"/>
      <c r="V1202" s="216"/>
      <c r="W1202" s="216"/>
      <c r="X1202" s="216"/>
      <c r="Y1202" s="216"/>
      <c r="Z1202" s="216"/>
      <c r="AA1202" s="216"/>
    </row>
    <row r="1203" ht="15.0" customHeight="1">
      <c r="A1203" s="214"/>
      <c r="B1203" s="214"/>
      <c r="C1203" s="214"/>
      <c r="D1203" s="214"/>
      <c r="E1203" s="214"/>
      <c r="F1203" s="214"/>
      <c r="G1203" s="214"/>
      <c r="H1203" s="214"/>
      <c r="I1203" s="214"/>
      <c r="J1203" s="214"/>
      <c r="K1203" s="214"/>
      <c r="L1203" s="214"/>
      <c r="M1203" s="214"/>
      <c r="N1203" s="216"/>
      <c r="O1203" s="216"/>
      <c r="P1203" s="216"/>
      <c r="Q1203" s="216"/>
      <c r="R1203" s="216"/>
      <c r="S1203" s="216"/>
      <c r="T1203" s="216"/>
      <c r="U1203" s="216"/>
      <c r="V1203" s="216"/>
      <c r="W1203" s="216"/>
      <c r="X1203" s="216"/>
      <c r="Y1203" s="216"/>
      <c r="Z1203" s="216"/>
      <c r="AA1203" s="216"/>
    </row>
    <row r="1204" ht="15.0" customHeight="1">
      <c r="A1204" s="214"/>
      <c r="B1204" s="214"/>
      <c r="C1204" s="214"/>
      <c r="D1204" s="214"/>
      <c r="E1204" s="214"/>
      <c r="F1204" s="214"/>
      <c r="G1204" s="214"/>
      <c r="H1204" s="214"/>
      <c r="I1204" s="214"/>
      <c r="J1204" s="214"/>
      <c r="K1204" s="214"/>
      <c r="L1204" s="214"/>
      <c r="M1204" s="214"/>
      <c r="N1204" s="216"/>
      <c r="O1204" s="216"/>
      <c r="P1204" s="216"/>
      <c r="Q1204" s="216"/>
      <c r="R1204" s="216"/>
      <c r="S1204" s="216"/>
      <c r="T1204" s="216"/>
      <c r="U1204" s="216"/>
      <c r="V1204" s="216"/>
      <c r="W1204" s="216"/>
      <c r="X1204" s="216"/>
      <c r="Y1204" s="216"/>
      <c r="Z1204" s="216"/>
      <c r="AA1204" s="216"/>
    </row>
    <row r="1205" ht="15.0" customHeight="1">
      <c r="A1205" s="214"/>
      <c r="B1205" s="214"/>
      <c r="C1205" s="214"/>
      <c r="D1205" s="214"/>
      <c r="E1205" s="214"/>
      <c r="F1205" s="214"/>
      <c r="G1205" s="214"/>
      <c r="H1205" s="214"/>
      <c r="I1205" s="214"/>
      <c r="J1205" s="214"/>
      <c r="K1205" s="214"/>
      <c r="L1205" s="214"/>
      <c r="M1205" s="214"/>
      <c r="N1205" s="216"/>
      <c r="O1205" s="216"/>
      <c r="P1205" s="216"/>
      <c r="Q1205" s="216"/>
      <c r="R1205" s="216"/>
      <c r="S1205" s="216"/>
      <c r="T1205" s="216"/>
      <c r="U1205" s="216"/>
      <c r="V1205" s="216"/>
      <c r="W1205" s="216"/>
      <c r="X1205" s="216"/>
      <c r="Y1205" s="216"/>
      <c r="Z1205" s="216"/>
      <c r="AA1205" s="216"/>
    </row>
    <row r="1206" ht="15.0" customHeight="1">
      <c r="A1206" s="214"/>
      <c r="B1206" s="214"/>
      <c r="C1206" s="214"/>
      <c r="D1206" s="214"/>
      <c r="E1206" s="214"/>
      <c r="F1206" s="214"/>
      <c r="G1206" s="214"/>
      <c r="H1206" s="214"/>
      <c r="I1206" s="214"/>
      <c r="J1206" s="214"/>
      <c r="K1206" s="214"/>
      <c r="L1206" s="214"/>
      <c r="M1206" s="214"/>
      <c r="N1206" s="216"/>
      <c r="O1206" s="216"/>
      <c r="P1206" s="216"/>
      <c r="Q1206" s="216"/>
      <c r="R1206" s="216"/>
      <c r="S1206" s="216"/>
      <c r="T1206" s="216"/>
      <c r="U1206" s="216"/>
      <c r="V1206" s="216"/>
      <c r="W1206" s="216"/>
      <c r="X1206" s="216"/>
      <c r="Y1206" s="216"/>
      <c r="Z1206" s="216"/>
      <c r="AA1206" s="216"/>
    </row>
    <row r="1207" ht="15.0" customHeight="1">
      <c r="A1207" s="214"/>
      <c r="B1207" s="214"/>
      <c r="C1207" s="214"/>
      <c r="D1207" s="214"/>
      <c r="E1207" s="214"/>
      <c r="F1207" s="214"/>
      <c r="G1207" s="214"/>
      <c r="H1207" s="214"/>
      <c r="I1207" s="214"/>
      <c r="J1207" s="214"/>
      <c r="K1207" s="214"/>
      <c r="L1207" s="214"/>
      <c r="M1207" s="214"/>
      <c r="N1207" s="216"/>
      <c r="O1207" s="216"/>
      <c r="P1207" s="216"/>
      <c r="Q1207" s="216"/>
      <c r="R1207" s="216"/>
      <c r="S1207" s="216"/>
      <c r="T1207" s="216"/>
      <c r="U1207" s="216"/>
      <c r="V1207" s="216"/>
      <c r="W1207" s="216"/>
      <c r="X1207" s="216"/>
      <c r="Y1207" s="216"/>
      <c r="Z1207" s="216"/>
      <c r="AA1207" s="216"/>
    </row>
    <row r="1208" ht="15.0" customHeight="1">
      <c r="A1208" s="214"/>
      <c r="B1208" s="214"/>
      <c r="C1208" s="214"/>
      <c r="D1208" s="214"/>
      <c r="E1208" s="214"/>
      <c r="F1208" s="214"/>
      <c r="G1208" s="214"/>
      <c r="H1208" s="214"/>
      <c r="I1208" s="214"/>
      <c r="J1208" s="214"/>
      <c r="K1208" s="214"/>
      <c r="L1208" s="214"/>
      <c r="M1208" s="214"/>
      <c r="N1208" s="216"/>
      <c r="O1208" s="216"/>
      <c r="P1208" s="216"/>
      <c r="Q1208" s="216"/>
      <c r="R1208" s="216"/>
      <c r="S1208" s="216"/>
      <c r="T1208" s="216"/>
      <c r="U1208" s="216"/>
      <c r="V1208" s="216"/>
      <c r="W1208" s="216"/>
      <c r="X1208" s="216"/>
      <c r="Y1208" s="216"/>
      <c r="Z1208" s="216"/>
      <c r="AA1208" s="216"/>
    </row>
    <row r="1209" ht="15.0" customHeight="1">
      <c r="A1209" s="214"/>
      <c r="B1209" s="214"/>
      <c r="C1209" s="214"/>
      <c r="D1209" s="214"/>
      <c r="E1209" s="214"/>
      <c r="F1209" s="214"/>
      <c r="G1209" s="214"/>
      <c r="H1209" s="214"/>
      <c r="I1209" s="214"/>
      <c r="J1209" s="214"/>
      <c r="K1209" s="214"/>
      <c r="L1209" s="214"/>
      <c r="M1209" s="214"/>
      <c r="N1209" s="216"/>
      <c r="O1209" s="216"/>
      <c r="P1209" s="216"/>
      <c r="Q1209" s="216"/>
      <c r="R1209" s="216"/>
      <c r="S1209" s="216"/>
      <c r="T1209" s="216"/>
      <c r="U1209" s="216"/>
      <c r="V1209" s="216"/>
      <c r="W1209" s="216"/>
      <c r="X1209" s="216"/>
      <c r="Y1209" s="216"/>
      <c r="Z1209" s="216"/>
      <c r="AA1209" s="216"/>
    </row>
    <row r="1210" ht="15.0" customHeight="1">
      <c r="A1210" s="214"/>
      <c r="B1210" s="214"/>
      <c r="C1210" s="214"/>
      <c r="D1210" s="214"/>
      <c r="E1210" s="214"/>
      <c r="F1210" s="214"/>
      <c r="G1210" s="214"/>
      <c r="H1210" s="214"/>
      <c r="I1210" s="214"/>
      <c r="J1210" s="214"/>
      <c r="K1210" s="214"/>
      <c r="L1210" s="214"/>
      <c r="M1210" s="214"/>
      <c r="N1210" s="216"/>
      <c r="O1210" s="216"/>
      <c r="P1210" s="216"/>
      <c r="Q1210" s="216"/>
      <c r="R1210" s="216"/>
      <c r="S1210" s="216"/>
      <c r="T1210" s="216"/>
      <c r="U1210" s="216"/>
      <c r="V1210" s="216"/>
      <c r="W1210" s="216"/>
      <c r="X1210" s="216"/>
      <c r="Y1210" s="216"/>
      <c r="Z1210" s="216"/>
      <c r="AA1210" s="216"/>
    </row>
    <row r="1211" ht="15.0" customHeight="1">
      <c r="A1211" s="214"/>
      <c r="B1211" s="214"/>
      <c r="C1211" s="214"/>
      <c r="D1211" s="214"/>
      <c r="E1211" s="214"/>
      <c r="F1211" s="214"/>
      <c r="G1211" s="214"/>
      <c r="H1211" s="214"/>
      <c r="I1211" s="214"/>
      <c r="J1211" s="214"/>
      <c r="K1211" s="214"/>
      <c r="L1211" s="214"/>
      <c r="M1211" s="214"/>
      <c r="N1211" s="216"/>
      <c r="O1211" s="216"/>
      <c r="P1211" s="216"/>
      <c r="Q1211" s="216"/>
      <c r="R1211" s="216"/>
      <c r="S1211" s="216"/>
      <c r="T1211" s="216"/>
      <c r="U1211" s="216"/>
      <c r="V1211" s="216"/>
      <c r="W1211" s="216"/>
      <c r="X1211" s="216"/>
      <c r="Y1211" s="216"/>
      <c r="Z1211" s="216"/>
      <c r="AA1211" s="216"/>
    </row>
    <row r="1212" ht="15.0" customHeight="1">
      <c r="A1212" s="214"/>
      <c r="B1212" s="214"/>
      <c r="C1212" s="214"/>
      <c r="D1212" s="214"/>
      <c r="E1212" s="214"/>
      <c r="F1212" s="214"/>
      <c r="G1212" s="214"/>
      <c r="H1212" s="214"/>
      <c r="I1212" s="214"/>
      <c r="J1212" s="214"/>
      <c r="K1212" s="214"/>
      <c r="L1212" s="214"/>
      <c r="M1212" s="214"/>
      <c r="N1212" s="216"/>
      <c r="O1212" s="216"/>
      <c r="P1212" s="216"/>
      <c r="Q1212" s="216"/>
      <c r="R1212" s="216"/>
      <c r="S1212" s="216"/>
      <c r="T1212" s="216"/>
      <c r="U1212" s="216"/>
      <c r="V1212" s="216"/>
      <c r="W1212" s="216"/>
      <c r="X1212" s="216"/>
      <c r="Y1212" s="216"/>
      <c r="Z1212" s="216"/>
      <c r="AA1212" s="216"/>
    </row>
    <row r="1213" ht="15.0" customHeight="1">
      <c r="A1213" s="214"/>
      <c r="B1213" s="214"/>
      <c r="C1213" s="214"/>
      <c r="D1213" s="214"/>
      <c r="E1213" s="214"/>
      <c r="F1213" s="214"/>
      <c r="G1213" s="214"/>
      <c r="H1213" s="214"/>
      <c r="I1213" s="214"/>
      <c r="J1213" s="214"/>
      <c r="K1213" s="214"/>
      <c r="L1213" s="214"/>
      <c r="M1213" s="214"/>
      <c r="N1213" s="216"/>
      <c r="O1213" s="216"/>
      <c r="P1213" s="216"/>
      <c r="Q1213" s="216"/>
      <c r="R1213" s="216"/>
      <c r="S1213" s="216"/>
      <c r="T1213" s="216"/>
      <c r="U1213" s="216"/>
      <c r="V1213" s="216"/>
      <c r="W1213" s="216"/>
      <c r="X1213" s="216"/>
      <c r="Y1213" s="216"/>
      <c r="Z1213" s="216"/>
      <c r="AA1213" s="216"/>
    </row>
    <row r="1214" ht="15.0" customHeight="1">
      <c r="A1214" s="214"/>
      <c r="B1214" s="214"/>
      <c r="C1214" s="214"/>
      <c r="D1214" s="214"/>
      <c r="E1214" s="214"/>
      <c r="F1214" s="214"/>
      <c r="G1214" s="214"/>
      <c r="H1214" s="214"/>
      <c r="I1214" s="214"/>
      <c r="J1214" s="214"/>
      <c r="K1214" s="214"/>
      <c r="L1214" s="214"/>
      <c r="M1214" s="214"/>
      <c r="N1214" s="216"/>
      <c r="O1214" s="216"/>
      <c r="P1214" s="216"/>
      <c r="Q1214" s="216"/>
      <c r="R1214" s="216"/>
      <c r="S1214" s="216"/>
      <c r="T1214" s="216"/>
      <c r="U1214" s="216"/>
      <c r="V1214" s="216"/>
      <c r="W1214" s="216"/>
      <c r="X1214" s="216"/>
      <c r="Y1214" s="216"/>
      <c r="Z1214" s="216"/>
      <c r="AA1214" s="216"/>
    </row>
    <row r="1215" ht="15.0" customHeight="1">
      <c r="A1215" s="214"/>
      <c r="B1215" s="214"/>
      <c r="C1215" s="214"/>
      <c r="D1215" s="214"/>
      <c r="E1215" s="214"/>
      <c r="F1215" s="214"/>
      <c r="G1215" s="214"/>
      <c r="H1215" s="214"/>
      <c r="I1215" s="214"/>
      <c r="J1215" s="214"/>
      <c r="K1215" s="214"/>
      <c r="L1215" s="214"/>
      <c r="M1215" s="214"/>
      <c r="N1215" s="216"/>
      <c r="O1215" s="216"/>
      <c r="P1215" s="216"/>
      <c r="Q1215" s="216"/>
      <c r="R1215" s="216"/>
      <c r="S1215" s="216"/>
      <c r="T1215" s="216"/>
      <c r="U1215" s="216"/>
      <c r="V1215" s="216"/>
      <c r="W1215" s="216"/>
      <c r="X1215" s="216"/>
      <c r="Y1215" s="216"/>
      <c r="Z1215" s="216"/>
      <c r="AA1215" s="216"/>
    </row>
    <row r="1216" ht="15.0" customHeight="1">
      <c r="A1216" s="214"/>
      <c r="B1216" s="214"/>
      <c r="C1216" s="214"/>
      <c r="D1216" s="214"/>
      <c r="E1216" s="214"/>
      <c r="F1216" s="214"/>
      <c r="G1216" s="214"/>
      <c r="H1216" s="214"/>
      <c r="I1216" s="214"/>
      <c r="J1216" s="214"/>
      <c r="K1216" s="214"/>
      <c r="L1216" s="214"/>
      <c r="M1216" s="214"/>
      <c r="N1216" s="216"/>
      <c r="O1216" s="216"/>
      <c r="P1216" s="216"/>
      <c r="Q1216" s="216"/>
      <c r="R1216" s="216"/>
      <c r="S1216" s="216"/>
      <c r="T1216" s="216"/>
      <c r="U1216" s="216"/>
      <c r="V1216" s="216"/>
      <c r="W1216" s="216"/>
      <c r="X1216" s="216"/>
      <c r="Y1216" s="216"/>
      <c r="Z1216" s="216"/>
      <c r="AA1216" s="216"/>
    </row>
    <row r="1217" ht="15.0" customHeight="1">
      <c r="A1217" s="214"/>
      <c r="B1217" s="214"/>
      <c r="C1217" s="214"/>
      <c r="D1217" s="214"/>
      <c r="E1217" s="214"/>
      <c r="F1217" s="214"/>
      <c r="G1217" s="214"/>
      <c r="H1217" s="214"/>
      <c r="I1217" s="214"/>
      <c r="J1217" s="214"/>
      <c r="K1217" s="214"/>
      <c r="L1217" s="214"/>
      <c r="M1217" s="214"/>
      <c r="N1217" s="216"/>
      <c r="O1217" s="216"/>
      <c r="P1217" s="216"/>
      <c r="Q1217" s="216"/>
      <c r="R1217" s="216"/>
      <c r="S1217" s="216"/>
      <c r="T1217" s="216"/>
      <c r="U1217" s="216"/>
      <c r="V1217" s="216"/>
      <c r="W1217" s="216"/>
      <c r="X1217" s="216"/>
      <c r="Y1217" s="216"/>
      <c r="Z1217" s="216"/>
      <c r="AA1217" s="216"/>
    </row>
    <row r="1218" ht="15.0" customHeight="1">
      <c r="A1218" s="214"/>
      <c r="B1218" s="214"/>
      <c r="C1218" s="214"/>
      <c r="D1218" s="214"/>
      <c r="E1218" s="214"/>
      <c r="F1218" s="214"/>
      <c r="G1218" s="214"/>
      <c r="H1218" s="214"/>
      <c r="I1218" s="214"/>
      <c r="J1218" s="214"/>
      <c r="K1218" s="214"/>
      <c r="L1218" s="214"/>
      <c r="M1218" s="214"/>
      <c r="N1218" s="216"/>
      <c r="O1218" s="216"/>
      <c r="P1218" s="216"/>
      <c r="Q1218" s="216"/>
      <c r="R1218" s="216"/>
      <c r="S1218" s="216"/>
      <c r="T1218" s="216"/>
      <c r="U1218" s="216"/>
      <c r="V1218" s="216"/>
      <c r="W1218" s="216"/>
      <c r="X1218" s="216"/>
      <c r="Y1218" s="216"/>
      <c r="Z1218" s="216"/>
      <c r="AA1218" s="216"/>
    </row>
    <row r="1219" ht="15.0" customHeight="1">
      <c r="A1219" s="214"/>
      <c r="B1219" s="214"/>
      <c r="C1219" s="214"/>
      <c r="D1219" s="214"/>
      <c r="E1219" s="214"/>
      <c r="F1219" s="214"/>
      <c r="G1219" s="214"/>
      <c r="H1219" s="214"/>
      <c r="I1219" s="214"/>
      <c r="J1219" s="214"/>
      <c r="K1219" s="214"/>
      <c r="L1219" s="214"/>
      <c r="M1219" s="214"/>
      <c r="N1219" s="216"/>
      <c r="O1219" s="216"/>
      <c r="P1219" s="216"/>
      <c r="Q1219" s="216"/>
      <c r="R1219" s="216"/>
      <c r="S1219" s="216"/>
      <c r="T1219" s="216"/>
      <c r="U1219" s="216"/>
      <c r="V1219" s="216"/>
      <c r="W1219" s="216"/>
      <c r="X1219" s="216"/>
      <c r="Y1219" s="216"/>
      <c r="Z1219" s="216"/>
      <c r="AA1219" s="216"/>
    </row>
    <row r="1220" ht="15.0" customHeight="1">
      <c r="A1220" s="214"/>
      <c r="B1220" s="214"/>
      <c r="C1220" s="214"/>
      <c r="D1220" s="214"/>
      <c r="E1220" s="214"/>
      <c r="F1220" s="214"/>
      <c r="G1220" s="214"/>
      <c r="H1220" s="214"/>
      <c r="I1220" s="214"/>
      <c r="J1220" s="214"/>
      <c r="K1220" s="214"/>
      <c r="L1220" s="214"/>
      <c r="M1220" s="214"/>
      <c r="N1220" s="216"/>
      <c r="O1220" s="216"/>
      <c r="P1220" s="216"/>
      <c r="Q1220" s="216"/>
      <c r="R1220" s="216"/>
      <c r="S1220" s="216"/>
      <c r="T1220" s="216"/>
      <c r="U1220" s="216"/>
      <c r="V1220" s="216"/>
      <c r="W1220" s="216"/>
      <c r="X1220" s="216"/>
      <c r="Y1220" s="216"/>
      <c r="Z1220" s="216"/>
      <c r="AA1220" s="216"/>
    </row>
    <row r="1221" ht="15.0" customHeight="1">
      <c r="A1221" s="214"/>
      <c r="B1221" s="214"/>
      <c r="C1221" s="214"/>
      <c r="D1221" s="214"/>
      <c r="E1221" s="214"/>
      <c r="F1221" s="214"/>
      <c r="G1221" s="214"/>
      <c r="H1221" s="214"/>
      <c r="I1221" s="214"/>
      <c r="J1221" s="214"/>
      <c r="K1221" s="214"/>
      <c r="L1221" s="214"/>
      <c r="M1221" s="214"/>
      <c r="N1221" s="216"/>
      <c r="O1221" s="216"/>
      <c r="P1221" s="216"/>
      <c r="Q1221" s="216"/>
      <c r="R1221" s="216"/>
      <c r="S1221" s="216"/>
      <c r="T1221" s="216"/>
      <c r="U1221" s="216"/>
      <c r="V1221" s="216"/>
      <c r="W1221" s="216"/>
      <c r="X1221" s="216"/>
      <c r="Y1221" s="216"/>
      <c r="Z1221" s="216"/>
      <c r="AA1221" s="216"/>
    </row>
    <row r="1222" ht="15.0" customHeight="1">
      <c r="A1222" s="214"/>
      <c r="B1222" s="214"/>
      <c r="C1222" s="214"/>
      <c r="D1222" s="214"/>
      <c r="E1222" s="214"/>
      <c r="F1222" s="214"/>
      <c r="G1222" s="214"/>
      <c r="H1222" s="214"/>
      <c r="I1222" s="214"/>
      <c r="J1222" s="214"/>
      <c r="K1222" s="214"/>
      <c r="L1222" s="214"/>
      <c r="M1222" s="214"/>
      <c r="N1222" s="216"/>
      <c r="O1222" s="216"/>
      <c r="P1222" s="216"/>
      <c r="Q1222" s="216"/>
      <c r="R1222" s="216"/>
      <c r="S1222" s="216"/>
      <c r="T1222" s="216"/>
      <c r="U1222" s="216"/>
      <c r="V1222" s="216"/>
      <c r="W1222" s="216"/>
      <c r="X1222" s="216"/>
      <c r="Y1222" s="216"/>
      <c r="Z1222" s="216"/>
      <c r="AA1222" s="216"/>
    </row>
    <row r="1223" ht="15.0" customHeight="1">
      <c r="A1223" s="214"/>
      <c r="B1223" s="214"/>
      <c r="C1223" s="214"/>
      <c r="D1223" s="214"/>
      <c r="E1223" s="214"/>
      <c r="F1223" s="214"/>
      <c r="G1223" s="214"/>
      <c r="H1223" s="214"/>
      <c r="I1223" s="214"/>
      <c r="J1223" s="214"/>
      <c r="K1223" s="214"/>
      <c r="L1223" s="214"/>
      <c r="M1223" s="214"/>
      <c r="N1223" s="216"/>
      <c r="O1223" s="216"/>
      <c r="P1223" s="216"/>
      <c r="Q1223" s="216"/>
      <c r="R1223" s="216"/>
      <c r="S1223" s="216"/>
      <c r="T1223" s="216"/>
      <c r="U1223" s="216"/>
      <c r="V1223" s="216"/>
      <c r="W1223" s="216"/>
      <c r="X1223" s="216"/>
      <c r="Y1223" s="216"/>
      <c r="Z1223" s="216"/>
      <c r="AA1223" s="216"/>
    </row>
    <row r="1224" ht="15.0" customHeight="1">
      <c r="A1224" s="214"/>
      <c r="B1224" s="214"/>
      <c r="C1224" s="214"/>
      <c r="D1224" s="214"/>
      <c r="E1224" s="214"/>
      <c r="F1224" s="214"/>
      <c r="G1224" s="214"/>
      <c r="H1224" s="214"/>
      <c r="I1224" s="214"/>
      <c r="J1224" s="214"/>
      <c r="K1224" s="214"/>
      <c r="L1224" s="214"/>
      <c r="M1224" s="214"/>
      <c r="N1224" s="216"/>
      <c r="O1224" s="216"/>
      <c r="P1224" s="216"/>
      <c r="Q1224" s="216"/>
      <c r="R1224" s="216"/>
      <c r="S1224" s="216"/>
      <c r="T1224" s="216"/>
      <c r="U1224" s="216"/>
      <c r="V1224" s="216"/>
      <c r="W1224" s="216"/>
      <c r="X1224" s="216"/>
      <c r="Y1224" s="216"/>
      <c r="Z1224" s="216"/>
      <c r="AA1224" s="216"/>
    </row>
    <row r="1225" ht="15.0" customHeight="1">
      <c r="A1225" s="214"/>
      <c r="B1225" s="214"/>
      <c r="C1225" s="214"/>
      <c r="D1225" s="214"/>
      <c r="E1225" s="214"/>
      <c r="F1225" s="214"/>
      <c r="G1225" s="214"/>
      <c r="H1225" s="214"/>
      <c r="I1225" s="214"/>
      <c r="J1225" s="214"/>
      <c r="K1225" s="214"/>
      <c r="L1225" s="214"/>
      <c r="M1225" s="214"/>
      <c r="N1225" s="216"/>
      <c r="O1225" s="216"/>
      <c r="P1225" s="216"/>
      <c r="Q1225" s="216"/>
      <c r="R1225" s="216"/>
      <c r="S1225" s="216"/>
      <c r="T1225" s="216"/>
      <c r="U1225" s="216"/>
      <c r="V1225" s="216"/>
      <c r="W1225" s="216"/>
      <c r="X1225" s="216"/>
      <c r="Y1225" s="216"/>
      <c r="Z1225" s="216"/>
      <c r="AA1225" s="216"/>
    </row>
    <row r="1226" ht="15.0" customHeight="1">
      <c r="A1226" s="214"/>
      <c r="B1226" s="214"/>
      <c r="C1226" s="214"/>
      <c r="D1226" s="214"/>
      <c r="E1226" s="214"/>
      <c r="F1226" s="214"/>
      <c r="G1226" s="214"/>
      <c r="H1226" s="214"/>
      <c r="I1226" s="214"/>
      <c r="J1226" s="214"/>
      <c r="K1226" s="214"/>
      <c r="L1226" s="214"/>
      <c r="M1226" s="214"/>
      <c r="N1226" s="216"/>
      <c r="O1226" s="216"/>
      <c r="P1226" s="216"/>
      <c r="Q1226" s="216"/>
      <c r="R1226" s="216"/>
      <c r="S1226" s="216"/>
      <c r="T1226" s="216"/>
      <c r="U1226" s="216"/>
      <c r="V1226" s="216"/>
      <c r="W1226" s="216"/>
      <c r="X1226" s="216"/>
      <c r="Y1226" s="216"/>
      <c r="Z1226" s="216"/>
      <c r="AA1226" s="216"/>
    </row>
    <row r="1227" ht="15.0" customHeight="1">
      <c r="A1227" s="214"/>
      <c r="B1227" s="214"/>
      <c r="C1227" s="214"/>
      <c r="D1227" s="214"/>
      <c r="E1227" s="214"/>
      <c r="F1227" s="214"/>
      <c r="G1227" s="214"/>
      <c r="H1227" s="214"/>
      <c r="I1227" s="214"/>
      <c r="J1227" s="214"/>
      <c r="K1227" s="214"/>
      <c r="L1227" s="214"/>
      <c r="M1227" s="214"/>
      <c r="N1227" s="216"/>
      <c r="O1227" s="216"/>
      <c r="P1227" s="216"/>
      <c r="Q1227" s="216"/>
      <c r="R1227" s="216"/>
      <c r="S1227" s="216"/>
      <c r="T1227" s="216"/>
      <c r="U1227" s="216"/>
      <c r="V1227" s="216"/>
      <c r="W1227" s="216"/>
      <c r="X1227" s="216"/>
      <c r="Y1227" s="216"/>
      <c r="Z1227" s="216"/>
      <c r="AA1227" s="216"/>
    </row>
    <row r="1228" ht="15.0" customHeight="1">
      <c r="A1228" s="214"/>
      <c r="B1228" s="214"/>
      <c r="C1228" s="214"/>
      <c r="D1228" s="214"/>
      <c r="E1228" s="214"/>
      <c r="F1228" s="214"/>
      <c r="G1228" s="214"/>
      <c r="H1228" s="214"/>
      <c r="I1228" s="214"/>
      <c r="J1228" s="214"/>
      <c r="K1228" s="214"/>
      <c r="L1228" s="214"/>
      <c r="M1228" s="214"/>
      <c r="N1228" s="216"/>
      <c r="O1228" s="216"/>
      <c r="P1228" s="216"/>
      <c r="Q1228" s="216"/>
      <c r="R1228" s="216"/>
      <c r="S1228" s="216"/>
      <c r="T1228" s="216"/>
      <c r="U1228" s="216"/>
      <c r="V1228" s="216"/>
      <c r="W1228" s="216"/>
      <c r="X1228" s="216"/>
      <c r="Y1228" s="216"/>
      <c r="Z1228" s="216"/>
      <c r="AA1228" s="216"/>
    </row>
    <row r="1229" ht="15.0" customHeight="1">
      <c r="A1229" s="214"/>
      <c r="B1229" s="214"/>
      <c r="C1229" s="214"/>
      <c r="D1229" s="214"/>
      <c r="E1229" s="214"/>
      <c r="F1229" s="214"/>
      <c r="G1229" s="214"/>
      <c r="H1229" s="214"/>
      <c r="I1229" s="214"/>
      <c r="J1229" s="214"/>
      <c r="K1229" s="214"/>
      <c r="L1229" s="214"/>
      <c r="M1229" s="214"/>
      <c r="N1229" s="216"/>
      <c r="O1229" s="216"/>
      <c r="P1229" s="216"/>
      <c r="Q1229" s="216"/>
      <c r="R1229" s="216"/>
      <c r="S1229" s="216"/>
      <c r="T1229" s="216"/>
      <c r="U1229" s="216"/>
      <c r="V1229" s="216"/>
      <c r="W1229" s="216"/>
      <c r="X1229" s="216"/>
      <c r="Y1229" s="216"/>
      <c r="Z1229" s="216"/>
      <c r="AA1229" s="216"/>
    </row>
    <row r="1230" ht="15.0" customHeight="1">
      <c r="A1230" s="214"/>
      <c r="B1230" s="214"/>
      <c r="C1230" s="214"/>
      <c r="D1230" s="214"/>
      <c r="E1230" s="214"/>
      <c r="F1230" s="214"/>
      <c r="G1230" s="214"/>
      <c r="H1230" s="214"/>
      <c r="I1230" s="214"/>
      <c r="J1230" s="214"/>
      <c r="K1230" s="214"/>
      <c r="L1230" s="214"/>
      <c r="M1230" s="214"/>
      <c r="N1230" s="216"/>
      <c r="O1230" s="216"/>
      <c r="P1230" s="216"/>
      <c r="Q1230" s="216"/>
      <c r="R1230" s="216"/>
      <c r="S1230" s="216"/>
      <c r="T1230" s="216"/>
      <c r="U1230" s="216"/>
      <c r="V1230" s="216"/>
      <c r="W1230" s="216"/>
      <c r="X1230" s="216"/>
      <c r="Y1230" s="216"/>
      <c r="Z1230" s="216"/>
      <c r="AA1230" s="216"/>
    </row>
    <row r="1231" ht="15.0" customHeight="1">
      <c r="A1231" s="214"/>
      <c r="B1231" s="214"/>
      <c r="C1231" s="214"/>
      <c r="D1231" s="214"/>
      <c r="E1231" s="214"/>
      <c r="F1231" s="214"/>
      <c r="G1231" s="214"/>
      <c r="H1231" s="214"/>
      <c r="I1231" s="214"/>
      <c r="J1231" s="214"/>
      <c r="K1231" s="214"/>
      <c r="L1231" s="214"/>
      <c r="M1231" s="214"/>
      <c r="N1231" s="216"/>
      <c r="O1231" s="216"/>
      <c r="P1231" s="216"/>
      <c r="Q1231" s="216"/>
      <c r="R1231" s="216"/>
      <c r="S1231" s="216"/>
      <c r="T1231" s="216"/>
      <c r="U1231" s="216"/>
      <c r="V1231" s="216"/>
      <c r="W1231" s="216"/>
      <c r="X1231" s="216"/>
      <c r="Y1231" s="216"/>
      <c r="Z1231" s="216"/>
      <c r="AA1231" s="216"/>
    </row>
  </sheetData>
  <mergeCells count="47">
    <mergeCell ref="I6:J6"/>
    <mergeCell ref="L6:M6"/>
    <mergeCell ref="B1:M1"/>
    <mergeCell ref="B2:M2"/>
    <mergeCell ref="B3:M3"/>
    <mergeCell ref="B4:D4"/>
    <mergeCell ref="E4:H4"/>
    <mergeCell ref="I4:K4"/>
    <mergeCell ref="E6:G6"/>
    <mergeCell ref="C8:D8"/>
    <mergeCell ref="F8:G8"/>
    <mergeCell ref="H8:I8"/>
    <mergeCell ref="K8:L8"/>
    <mergeCell ref="B12:M12"/>
    <mergeCell ref="C13:G13"/>
    <mergeCell ref="B16:F16"/>
    <mergeCell ref="B29:F29"/>
    <mergeCell ref="B52:M52"/>
    <mergeCell ref="C53:I53"/>
    <mergeCell ref="K53:M53"/>
    <mergeCell ref="B54:M54"/>
    <mergeCell ref="B55:M55"/>
    <mergeCell ref="B57:M57"/>
    <mergeCell ref="I60:M60"/>
    <mergeCell ref="I61:M61"/>
    <mergeCell ref="I62:M62"/>
    <mergeCell ref="I63:M63"/>
    <mergeCell ref="B58:C58"/>
    <mergeCell ref="D58:E58"/>
    <mergeCell ref="F58:G58"/>
    <mergeCell ref="I58:M58"/>
    <mergeCell ref="D59:E59"/>
    <mergeCell ref="F59:G59"/>
    <mergeCell ref="I59:M59"/>
    <mergeCell ref="B62:C62"/>
    <mergeCell ref="D62:E62"/>
    <mergeCell ref="F62:G62"/>
    <mergeCell ref="B63:C63"/>
    <mergeCell ref="D63:E63"/>
    <mergeCell ref="F63:G63"/>
    <mergeCell ref="B59:C59"/>
    <mergeCell ref="B60:C60"/>
    <mergeCell ref="D60:E60"/>
    <mergeCell ref="F60:G60"/>
    <mergeCell ref="B61:C61"/>
    <mergeCell ref="D61:E61"/>
    <mergeCell ref="F61:G61"/>
  </mergeCells>
  <conditionalFormatting sqref="C56">
    <cfRule type="expression" dxfId="0" priority="1">
      <formula>C56="Alert"</formula>
    </cfRule>
  </conditionalFormatting>
  <conditionalFormatting sqref="C56">
    <cfRule type="expression" dxfId="1" priority="2">
      <formula>C56="Normal"</formula>
    </cfRule>
  </conditionalFormatting>
  <conditionalFormatting sqref="C56">
    <cfRule type="expression" dxfId="2" priority="3">
      <formula>C56="Caution"</formula>
    </cfRule>
  </conditionalFormatting>
  <conditionalFormatting sqref="K56">
    <cfRule type="expression" dxfId="0" priority="4">
      <formula>K56="Alert"</formula>
    </cfRule>
  </conditionalFormatting>
  <conditionalFormatting sqref="K56">
    <cfRule type="expression" dxfId="1" priority="5">
      <formula>K56="Normal"</formula>
    </cfRule>
  </conditionalFormatting>
  <conditionalFormatting sqref="K56">
    <cfRule type="expression" dxfId="2" priority="6">
      <formula>K56="Caution"</formula>
    </cfRule>
  </conditionalFormatting>
  <conditionalFormatting sqref="B59">
    <cfRule type="expression" dxfId="3" priority="7">
      <formula>C56="Normal"</formula>
    </cfRule>
  </conditionalFormatting>
  <conditionalFormatting sqref="B59">
    <cfRule type="expression" dxfId="4" priority="8">
      <formula>C56="Caution"</formula>
    </cfRule>
  </conditionalFormatting>
  <conditionalFormatting sqref="D63:M63">
    <cfRule type="expression" dxfId="5" priority="9">
      <formula>$D63="Alert"</formula>
    </cfRule>
  </conditionalFormatting>
  <conditionalFormatting sqref="D63:M63">
    <cfRule type="expression" dxfId="3" priority="10">
      <formula>$D63="Normal"</formula>
    </cfRule>
  </conditionalFormatting>
  <conditionalFormatting sqref="D63:M63">
    <cfRule type="expression" dxfId="4" priority="11">
      <formula>$D63="Caution"</formula>
    </cfRule>
  </conditionalFormatting>
  <conditionalFormatting sqref="D64:M64">
    <cfRule type="expression" dxfId="5" priority="12">
      <formula>$D64="Alert"</formula>
    </cfRule>
  </conditionalFormatting>
  <conditionalFormatting sqref="D64:M64">
    <cfRule type="expression" dxfId="3" priority="13">
      <formula>$D64="Normal"</formula>
    </cfRule>
  </conditionalFormatting>
  <conditionalFormatting sqref="D64:M64">
    <cfRule type="expression" dxfId="4" priority="14">
      <formula>$D64="Caution"</formula>
    </cfRule>
  </conditionalFormatting>
  <conditionalFormatting sqref="D65:M65">
    <cfRule type="expression" dxfId="5" priority="15">
      <formula>$D65="Alert"</formula>
    </cfRule>
  </conditionalFormatting>
  <conditionalFormatting sqref="D65:M65">
    <cfRule type="expression" dxfId="3" priority="16">
      <formula>$D65="Normal"</formula>
    </cfRule>
  </conditionalFormatting>
  <conditionalFormatting sqref="D65:M65">
    <cfRule type="expression" dxfId="4" priority="17">
      <formula>$D65="Caution"</formula>
    </cfRule>
  </conditionalFormatting>
  <conditionalFormatting sqref="D66:M66">
    <cfRule type="expression" dxfId="5" priority="18">
      <formula>$D66="Alert"</formula>
    </cfRule>
  </conditionalFormatting>
  <conditionalFormatting sqref="D66:M66">
    <cfRule type="expression" dxfId="3" priority="19">
      <formula>$D66="Normal"</formula>
    </cfRule>
  </conditionalFormatting>
  <conditionalFormatting sqref="D66:M66">
    <cfRule type="expression" dxfId="4" priority="20">
      <formula>$D66="Caution"</formula>
    </cfRule>
  </conditionalFormatting>
  <conditionalFormatting sqref="C17:G20">
    <cfRule type="expression" dxfId="0" priority="21">
      <formula>C17="Alert"</formula>
    </cfRule>
  </conditionalFormatting>
  <conditionalFormatting sqref="C17:G20">
    <cfRule type="expression" dxfId="1" priority="22">
      <formula>C17="Normal"</formula>
    </cfRule>
  </conditionalFormatting>
  <conditionalFormatting sqref="C17:G20">
    <cfRule type="expression" dxfId="2" priority="23">
      <formula>C17="Caution"</formula>
    </cfRule>
  </conditionalFormatting>
  <conditionalFormatting sqref="C53:I53">
    <cfRule type="expression" dxfId="0" priority="24">
      <formula>$G$17="Alert"</formula>
    </cfRule>
  </conditionalFormatting>
  <conditionalFormatting sqref="C53:I53">
    <cfRule type="expression" dxfId="1" priority="25">
      <formula>$G$17="Normal"</formula>
    </cfRule>
  </conditionalFormatting>
  <conditionalFormatting sqref="C53:I53">
    <cfRule type="expression" dxfId="2" priority="26">
      <formula>$G$17="Caution"</formula>
    </cfRule>
  </conditionalFormatting>
  <conditionalFormatting sqref="B55:M55">
    <cfRule type="expression" dxfId="3" priority="27">
      <formula>$G$17="Normal"</formula>
    </cfRule>
  </conditionalFormatting>
  <conditionalFormatting sqref="B55:M55">
    <cfRule type="expression" dxfId="4" priority="28">
      <formula>$G$17="Caution"</formula>
    </cfRule>
  </conditionalFormatting>
  <conditionalFormatting sqref="B59:G59 H59:H63 I59:M59">
    <cfRule type="expression" dxfId="5" priority="29">
      <formula>$D59="Alert"</formula>
    </cfRule>
  </conditionalFormatting>
  <conditionalFormatting sqref="B59:G59 H59:H63 I59:M59">
    <cfRule type="expression" dxfId="3" priority="30">
      <formula>$D59="Normal"</formula>
    </cfRule>
  </conditionalFormatting>
  <conditionalFormatting sqref="B59:G59 H59:H63 I59:M59">
    <cfRule type="expression" dxfId="4" priority="31">
      <formula>$D59="Caution"</formula>
    </cfRule>
  </conditionalFormatting>
  <conditionalFormatting sqref="B60:G60 H60:H63 I60:M60">
    <cfRule type="expression" dxfId="5" priority="32">
      <formula>$D60="Alert"</formula>
    </cfRule>
  </conditionalFormatting>
  <conditionalFormatting sqref="B60:G60 H60:H63 I60:M60">
    <cfRule type="expression" dxfId="3" priority="33">
      <formula>$D60="Normal"</formula>
    </cfRule>
  </conditionalFormatting>
  <conditionalFormatting sqref="B60:G60 H60:H63 I60:M60">
    <cfRule type="expression" dxfId="4" priority="34">
      <formula>$D60="Caution"</formula>
    </cfRule>
  </conditionalFormatting>
  <conditionalFormatting sqref="B61:M61">
    <cfRule type="expression" dxfId="5" priority="35">
      <formula>$D61="Alert"</formula>
    </cfRule>
  </conditionalFormatting>
  <conditionalFormatting sqref="B61:M61">
    <cfRule type="expression" dxfId="3" priority="36">
      <formula>$D61="Normal"</formula>
    </cfRule>
  </conditionalFormatting>
  <conditionalFormatting sqref="B61:M61">
    <cfRule type="expression" dxfId="4" priority="37">
      <formula>$D61="Caution"</formula>
    </cfRule>
  </conditionalFormatting>
  <conditionalFormatting sqref="B62:M62">
    <cfRule type="expression" dxfId="5" priority="38">
      <formula>$D62="Alert"</formula>
    </cfRule>
  </conditionalFormatting>
  <conditionalFormatting sqref="B62:M62">
    <cfRule type="expression" dxfId="3" priority="39">
      <formula>$D62="Normal"</formula>
    </cfRule>
  </conditionalFormatting>
  <conditionalFormatting sqref="B62:M62">
    <cfRule type="expression" dxfId="4" priority="40">
      <formula>$D62="Caution"</formula>
    </cfRule>
  </conditionalFormatting>
  <conditionalFormatting sqref="B63:M63">
    <cfRule type="expression" dxfId="5" priority="41">
      <formula>$D63="Alert"</formula>
    </cfRule>
  </conditionalFormatting>
  <conditionalFormatting sqref="B63:M63">
    <cfRule type="expression" dxfId="3" priority="42">
      <formula>$D63="Normal"</formula>
    </cfRule>
  </conditionalFormatting>
  <conditionalFormatting sqref="B63:M63">
    <cfRule type="expression" dxfId="4" priority="43">
      <formula>$D63="Caution"</formula>
    </cfRule>
  </conditionalFormatting>
  <conditionalFormatting sqref="C21:G23">
    <cfRule type="containsBlanks" dxfId="12" priority="44">
      <formula>LEN(TRIM(C21))=0</formula>
    </cfRule>
  </conditionalFormatting>
  <conditionalFormatting sqref="K53:M53">
    <cfRule type="expression" dxfId="13" priority="45">
      <formula>$G$18="Alert"</formula>
    </cfRule>
  </conditionalFormatting>
  <conditionalFormatting sqref="K53:M53">
    <cfRule type="expression" dxfId="14" priority="46">
      <formula>$G$18="Caution"</formula>
    </cfRule>
  </conditionalFormatting>
  <conditionalFormatting sqref="K53:M53">
    <cfRule type="expression" dxfId="15" priority="47">
      <formula>$G$18="Normal"</formula>
    </cfRule>
  </conditionalFormatting>
  <conditionalFormatting sqref="B55:M55">
    <cfRule type="expression" dxfId="16" priority="48">
      <formula>$G$17="Alert"</formula>
    </cfRule>
  </conditionalFormatting>
  <dataValidations>
    <dataValidation type="list" allowBlank="1" sqref="E4">
      <formula1>'Equipment Registry'!$A$3:$A$154</formula1>
    </dataValidation>
  </dataValidation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1" width="8.0"/>
    <col customWidth="1" min="2" max="2" width="17.71"/>
    <col customWidth="1" min="3" max="3" width="15.0"/>
    <col customWidth="1" min="4" max="4" width="10.57"/>
    <col customWidth="1" min="5" max="5" width="15.43"/>
    <col customWidth="1" min="6" max="6" width="14.29"/>
    <col customWidth="1" min="7" max="7" width="15.86"/>
    <col customWidth="1" min="8" max="8" width="20.71"/>
    <col customWidth="1" min="9" max="9" width="11.29"/>
    <col customWidth="1" min="10" max="10" width="13.43"/>
    <col customWidth="1" min="11" max="11" width="21.0"/>
    <col customWidth="1" min="12" max="12" width="7.71"/>
    <col customWidth="1" min="13" max="13" width="11.57"/>
    <col customWidth="1" min="14" max="15" width="21.71"/>
    <col customWidth="1" min="16" max="17" width="21.0"/>
  </cols>
  <sheetData>
    <row r="1">
      <c r="A1" s="282"/>
      <c r="B1" s="283"/>
      <c r="C1" s="284" t="s">
        <v>978</v>
      </c>
      <c r="D1" s="229"/>
      <c r="E1" s="229"/>
      <c r="F1" s="229"/>
      <c r="G1" s="229"/>
      <c r="H1" s="229"/>
      <c r="I1" s="229"/>
      <c r="J1" s="229"/>
      <c r="K1" s="229"/>
      <c r="L1" s="229"/>
      <c r="M1" s="229"/>
      <c r="N1" s="229"/>
      <c r="O1" s="229"/>
      <c r="P1" s="228"/>
      <c r="R1" s="58"/>
      <c r="S1" s="58"/>
      <c r="T1" s="58"/>
      <c r="U1" s="58"/>
      <c r="V1" s="58"/>
      <c r="W1" s="58"/>
      <c r="X1" s="58"/>
      <c r="Y1" s="58"/>
      <c r="Z1" s="58"/>
      <c r="AA1" s="58"/>
      <c r="AB1" s="58"/>
      <c r="AC1" s="58"/>
    </row>
    <row r="2">
      <c r="A2" s="285" t="s">
        <v>979</v>
      </c>
      <c r="B2" s="286"/>
      <c r="C2" s="287" t="s">
        <v>980</v>
      </c>
      <c r="D2" s="288"/>
      <c r="E2" s="287" t="s">
        <v>981</v>
      </c>
      <c r="F2" s="288"/>
      <c r="G2" s="63" t="s">
        <v>982</v>
      </c>
      <c r="P2" s="289"/>
      <c r="Q2" s="289"/>
      <c r="R2" s="58"/>
      <c r="S2" s="58"/>
      <c r="T2" s="58"/>
      <c r="U2" s="58"/>
      <c r="V2" s="58"/>
      <c r="W2" s="58"/>
      <c r="X2" s="58"/>
      <c r="Y2" s="58"/>
      <c r="Z2" s="58"/>
      <c r="AA2" s="58"/>
      <c r="AB2" s="58"/>
    </row>
    <row r="3">
      <c r="A3" s="290" t="s">
        <v>983</v>
      </c>
      <c r="B3" s="291"/>
      <c r="C3" s="291"/>
      <c r="D3" s="291"/>
      <c r="E3" s="291"/>
      <c r="F3" s="291"/>
      <c r="G3" s="291"/>
      <c r="H3" s="291"/>
      <c r="I3" s="292"/>
      <c r="J3" s="291"/>
      <c r="K3" s="291"/>
      <c r="L3" s="291"/>
      <c r="M3" s="291"/>
      <c r="N3" s="291"/>
      <c r="O3" s="293"/>
      <c r="P3" s="293"/>
      <c r="Q3" s="293"/>
      <c r="R3" s="58"/>
      <c r="S3" s="58"/>
      <c r="T3" s="58"/>
      <c r="U3" s="58"/>
      <c r="V3" s="58"/>
      <c r="W3" s="58"/>
      <c r="X3" s="58"/>
      <c r="Y3" s="58"/>
      <c r="Z3" s="58"/>
      <c r="AA3" s="58"/>
      <c r="AB3" s="58"/>
    </row>
    <row r="4">
      <c r="A4" s="294"/>
      <c r="B4" s="295"/>
      <c r="C4" s="294" t="s">
        <v>984</v>
      </c>
      <c r="D4" s="295">
        <f>COUNTIF(J6:J1408,"Open")</f>
        <v>22</v>
      </c>
      <c r="E4" s="294" t="s">
        <v>984</v>
      </c>
      <c r="F4" s="295">
        <f>COUNTIF(J6:J1408,"Open")</f>
        <v>22</v>
      </c>
      <c r="G4" s="294" t="s">
        <v>985</v>
      </c>
      <c r="H4" s="295">
        <f>COUNTIF(J6:J1408,"In Progress")</f>
        <v>7</v>
      </c>
      <c r="I4" s="296" t="s">
        <v>986</v>
      </c>
      <c r="J4" s="295">
        <f>COUNTIF(J6:J1408,"Completed")</f>
        <v>0</v>
      </c>
      <c r="K4" s="296" t="s">
        <v>987</v>
      </c>
      <c r="L4" s="295">
        <f>COUNTIF(N6:N493,"&lt;"&amp;TODAY())-COUNTIF(L6:L493,"Completed")</f>
        <v>0</v>
      </c>
      <c r="M4" s="294" t="s">
        <v>988</v>
      </c>
      <c r="N4" s="295">
        <f>COUNTIF(C6:C1408,H6:H1408=E2)</f>
        <v>0</v>
      </c>
      <c r="O4" s="297"/>
      <c r="P4" s="297"/>
      <c r="Q4" s="297"/>
      <c r="R4" s="58"/>
      <c r="S4" s="58"/>
      <c r="T4" s="58"/>
      <c r="U4" s="58"/>
      <c r="V4" s="58"/>
      <c r="W4" s="58"/>
      <c r="X4" s="58"/>
      <c r="Y4" s="58"/>
      <c r="Z4" s="58"/>
      <c r="AA4" s="58"/>
      <c r="AB4" s="58"/>
    </row>
    <row r="5">
      <c r="A5" s="298" t="s">
        <v>989</v>
      </c>
      <c r="B5" s="299" t="s">
        <v>499</v>
      </c>
      <c r="C5" s="299" t="s">
        <v>500</v>
      </c>
      <c r="D5" s="298" t="s">
        <v>319</v>
      </c>
      <c r="E5" s="298" t="s">
        <v>990</v>
      </c>
      <c r="F5" s="298" t="s">
        <v>20</v>
      </c>
      <c r="G5" s="298" t="s">
        <v>991</v>
      </c>
      <c r="H5" s="298" t="s">
        <v>526</v>
      </c>
      <c r="I5" s="298" t="s">
        <v>992</v>
      </c>
      <c r="J5" s="299" t="s">
        <v>22</v>
      </c>
      <c r="K5" s="298" t="s">
        <v>993</v>
      </c>
      <c r="L5" s="298" t="s">
        <v>994</v>
      </c>
      <c r="M5" s="299" t="s">
        <v>995</v>
      </c>
      <c r="N5" s="298" t="s">
        <v>996</v>
      </c>
      <c r="O5" s="298" t="s">
        <v>997</v>
      </c>
      <c r="P5" s="298" t="s">
        <v>998</v>
      </c>
      <c r="Q5" s="298" t="s">
        <v>326</v>
      </c>
      <c r="R5" s="58"/>
      <c r="S5" s="58"/>
      <c r="T5" s="58"/>
      <c r="U5" s="58"/>
      <c r="V5" s="58"/>
      <c r="W5" s="58"/>
      <c r="X5" s="58"/>
      <c r="Y5" s="58"/>
      <c r="Z5" s="58"/>
      <c r="AA5" s="58"/>
      <c r="AB5" s="58"/>
      <c r="AC5" s="58"/>
    </row>
    <row r="6">
      <c r="A6" s="300" t="str">
        <f t="shared" ref="A6:A107" si="1">IF(C6:C1408="", "", "O-" &amp; (ROW(C6:C1408)-5))</f>
        <v>O-1</v>
      </c>
      <c r="B6" s="301" t="s">
        <v>119</v>
      </c>
      <c r="C6" s="205" t="str">
        <f t="array" ref="C6">IF(B6:B1408="", "", XLOOKUP(B6:B1408, 'Equipment Registry'!$A$2:$A$154, 'Equipment Registry'!$B$2:$B$154, "Not Found"))</f>
        <v>Belt Conveyor Gearbox</v>
      </c>
      <c r="D6" s="302" t="str">
        <f t="array" ref="D6">IF(B6:B1408="", "", XLOOKUP(B6:B1408, 'Equipment Registry'!$A$2:$A$154, 'Equipment Registry'!$E$2:$E$154, "Not Found"))</f>
        <v>MOBIL SHC 630</v>
      </c>
      <c r="E6" s="303">
        <v>46107.0</v>
      </c>
      <c r="F6" s="304">
        <v>46082.0</v>
      </c>
      <c r="G6" s="305" t="s">
        <v>97</v>
      </c>
      <c r="H6" s="306" t="s">
        <v>999</v>
      </c>
      <c r="I6" s="302"/>
      <c r="J6" s="307" t="s">
        <v>1000</v>
      </c>
      <c r="K6" s="308" t="s">
        <v>1001</v>
      </c>
      <c r="L6" s="309" t="s">
        <v>1002</v>
      </c>
      <c r="M6" s="310">
        <v>46113.0</v>
      </c>
      <c r="N6" s="200" t="s">
        <v>1003</v>
      </c>
      <c r="O6" s="311" t="s">
        <v>1004</v>
      </c>
      <c r="P6" s="200" t="s">
        <v>1003</v>
      </c>
      <c r="Q6" s="200"/>
      <c r="R6" s="58"/>
      <c r="S6" s="58"/>
      <c r="T6" s="58"/>
      <c r="U6" s="58"/>
      <c r="V6" s="58"/>
      <c r="W6" s="58"/>
      <c r="X6" s="58"/>
      <c r="Y6" s="58"/>
      <c r="Z6" s="58"/>
      <c r="AA6" s="58"/>
      <c r="AB6" s="58"/>
      <c r="AC6" s="58"/>
    </row>
    <row r="7">
      <c r="A7" s="300" t="str">
        <f t="shared" si="1"/>
        <v>O-2</v>
      </c>
      <c r="B7" s="301" t="s">
        <v>120</v>
      </c>
      <c r="C7" s="205" t="str">
        <f t="array" ref="C7">IF(B7:B1408="", "", XLOOKUP(B7:B1408, 'Equipment Registry'!$A$2:$A$154, 'Equipment Registry'!$B$2:$B$154, "Not Found"))</f>
        <v>Belt Conveyor Gearbox</v>
      </c>
      <c r="D7" s="302" t="str">
        <f t="array" ref="D7">IF(B7:B1408="", "", XLOOKUP(B7:B1408, 'Equipment Registry'!$A$2:$A$154, 'Equipment Registry'!$E$2:$E$154, "Not Found"))</f>
        <v>MOBIL SHC 630</v>
      </c>
      <c r="E7" s="303">
        <v>46107.0</v>
      </c>
      <c r="F7" s="304">
        <v>46082.0</v>
      </c>
      <c r="G7" s="305" t="s">
        <v>96</v>
      </c>
      <c r="H7" s="306" t="s">
        <v>1005</v>
      </c>
      <c r="I7" s="302"/>
      <c r="J7" s="307" t="s">
        <v>1000</v>
      </c>
      <c r="K7" s="308" t="s">
        <v>1001</v>
      </c>
      <c r="L7" s="309" t="s">
        <v>1002</v>
      </c>
      <c r="M7" s="310">
        <v>46113.0</v>
      </c>
      <c r="N7" s="200" t="s">
        <v>1006</v>
      </c>
      <c r="O7" s="311" t="s">
        <v>1007</v>
      </c>
      <c r="P7" s="200" t="s">
        <v>1003</v>
      </c>
      <c r="Q7" s="200"/>
      <c r="R7" s="58"/>
      <c r="S7" s="58"/>
      <c r="T7" s="58"/>
      <c r="U7" s="58"/>
      <c r="V7" s="58"/>
      <c r="W7" s="58"/>
      <c r="X7" s="58"/>
      <c r="Y7" s="58"/>
      <c r="Z7" s="58"/>
      <c r="AA7" s="58"/>
      <c r="AB7" s="58"/>
      <c r="AC7" s="58"/>
    </row>
    <row r="8">
      <c r="A8" s="300" t="str">
        <f t="shared" si="1"/>
        <v>O-3</v>
      </c>
      <c r="B8" s="301" t="s">
        <v>129</v>
      </c>
      <c r="C8" s="205" t="str">
        <f t="array" ref="C8">IF(B8:B1408="", "", XLOOKUP(B8:B1408, 'Equipment Registry'!$A$2:$A$154, 'Equipment Registry'!$B$2:$B$154, "Not Found"))</f>
        <v>Shredder - Hydraulic Sys.</v>
      </c>
      <c r="D8" s="302" t="str">
        <f t="array" ref="D8">IF(B8:B1408="", "", XLOOKUP(B8:B1408, 'Equipment Registry'!$A$2:$A$154, 'Equipment Registry'!$E$2:$E$154, "Not Found"))</f>
        <v>MOBIL DTE 25</v>
      </c>
      <c r="E8" s="303">
        <v>46079.0</v>
      </c>
      <c r="F8" s="304">
        <v>45962.0</v>
      </c>
      <c r="G8" s="312" t="s">
        <v>97</v>
      </c>
      <c r="H8" s="306" t="s">
        <v>1008</v>
      </c>
      <c r="I8" s="302"/>
      <c r="J8" s="307" t="s">
        <v>1000</v>
      </c>
      <c r="K8" s="313"/>
      <c r="L8" s="309" t="s">
        <v>1002</v>
      </c>
      <c r="M8" s="310">
        <v>46113.0</v>
      </c>
      <c r="N8" s="205"/>
      <c r="O8" s="311" t="s">
        <v>1009</v>
      </c>
      <c r="P8" s="200" t="s">
        <v>1010</v>
      </c>
      <c r="Q8" s="200"/>
      <c r="R8" s="58"/>
      <c r="S8" s="58"/>
      <c r="T8" s="58"/>
      <c r="U8" s="58"/>
      <c r="V8" s="58"/>
      <c r="W8" s="58"/>
      <c r="X8" s="58"/>
      <c r="Y8" s="58"/>
      <c r="Z8" s="58"/>
      <c r="AA8" s="58"/>
      <c r="AB8" s="58"/>
      <c r="AC8" s="58"/>
    </row>
    <row r="9">
      <c r="A9" s="300" t="str">
        <f t="shared" si="1"/>
        <v>O-4</v>
      </c>
      <c r="B9" s="301" t="s">
        <v>130</v>
      </c>
      <c r="C9" s="205" t="str">
        <f t="array" ref="C9">IF(B9:B1408="", "", XLOOKUP(B9:B1408, 'Equipment Registry'!$A$2:$A$154, 'Equipment Registry'!$B$2:$B$154, "Not Found"))</f>
        <v>Cargo floor hydraulic tank</v>
      </c>
      <c r="D9" s="302" t="str">
        <f t="array" ref="D9">IF(B9:B1408="", "", XLOOKUP(B9:B1408, 'Equipment Registry'!$A$2:$A$154, 'Equipment Registry'!$E$2:$E$154, "Not Found"))</f>
        <v>MOBIL DTE 25</v>
      </c>
      <c r="E9" s="303">
        <v>46079.0</v>
      </c>
      <c r="F9" s="304">
        <v>45597.0</v>
      </c>
      <c r="G9" s="312" t="s">
        <v>97</v>
      </c>
      <c r="H9" s="306" t="s">
        <v>1011</v>
      </c>
      <c r="I9" s="302"/>
      <c r="J9" s="307" t="s">
        <v>1000</v>
      </c>
      <c r="K9" s="313"/>
      <c r="L9" s="309" t="s">
        <v>1002</v>
      </c>
      <c r="M9" s="310">
        <v>46113.0</v>
      </c>
      <c r="N9" s="205"/>
      <c r="O9" s="311" t="s">
        <v>1012</v>
      </c>
      <c r="P9" s="200" t="s">
        <v>1013</v>
      </c>
      <c r="Q9" s="200"/>
      <c r="R9" s="58"/>
      <c r="S9" s="58"/>
      <c r="T9" s="58"/>
      <c r="U9" s="58"/>
      <c r="V9" s="58"/>
      <c r="W9" s="58"/>
      <c r="X9" s="58"/>
      <c r="Y9" s="58"/>
      <c r="Z9" s="58"/>
      <c r="AA9" s="58"/>
      <c r="AB9" s="58"/>
      <c r="AC9" s="58"/>
    </row>
    <row r="10">
      <c r="A10" s="300" t="str">
        <f t="shared" si="1"/>
        <v>O-5</v>
      </c>
      <c r="B10" s="301" t="s">
        <v>144</v>
      </c>
      <c r="C10" s="205" t="str">
        <f t="array" ref="C10">IF(B10:B1408="", "", XLOOKUP(B10:B1408, 'Equipment Registry'!$A$2:$A$154, 'Equipment Registry'!$B$2:$B$154, "Not Found"))</f>
        <v>Rotary feeder Gear Box</v>
      </c>
      <c r="D10" s="302" t="str">
        <f t="array" ref="D10">IF(B10:B1408="", "", XLOOKUP(B10:B1408, 'Equipment Registry'!$A$2:$A$154, 'Equipment Registry'!$E$2:$E$154, "Not Found"))</f>
        <v>MOBIL SHC 639</v>
      </c>
      <c r="E10" s="303">
        <v>46079.0</v>
      </c>
      <c r="F10" s="304">
        <v>45809.0</v>
      </c>
      <c r="G10" s="312" t="s">
        <v>98</v>
      </c>
      <c r="H10" s="306" t="s">
        <v>100</v>
      </c>
      <c r="I10" s="302"/>
      <c r="J10" s="307" t="s">
        <v>1000</v>
      </c>
      <c r="K10" s="313"/>
      <c r="L10" s="309" t="s">
        <v>1002</v>
      </c>
      <c r="M10" s="310">
        <v>46113.0</v>
      </c>
      <c r="N10" s="205"/>
      <c r="O10" s="311" t="s">
        <v>1014</v>
      </c>
      <c r="P10" s="200"/>
      <c r="Q10" s="200"/>
      <c r="R10" s="58"/>
      <c r="S10" s="58"/>
      <c r="T10" s="58"/>
      <c r="U10" s="58"/>
      <c r="V10" s="58"/>
      <c r="W10" s="58"/>
      <c r="X10" s="58"/>
      <c r="Y10" s="58"/>
      <c r="Z10" s="58"/>
      <c r="AA10" s="58"/>
      <c r="AB10" s="58"/>
      <c r="AC10" s="58"/>
    </row>
    <row r="11">
      <c r="A11" s="300" t="str">
        <f t="shared" si="1"/>
        <v>O-6</v>
      </c>
      <c r="B11" s="301" t="s">
        <v>148</v>
      </c>
      <c r="C11" s="205" t="str">
        <f t="array" ref="C11">IF(B11:B1408="", "", XLOOKUP(B11:B1408, 'Equipment Registry'!$A$2:$A$154, 'Equipment Registry'!$B$2:$B$154, "Not Found"))</f>
        <v>Hydraulic tensioning sys. Mill 2</v>
      </c>
      <c r="D11" s="302" t="str">
        <f t="array" ref="D11">IF(B11:B1408="", "", XLOOKUP(B11:B1408, 'Equipment Registry'!$A$2:$A$154, 'Equipment Registry'!$E$2:$E$154, "Not Found"))</f>
        <v>MOBIL DTE 25</v>
      </c>
      <c r="E11" s="303">
        <v>46079.0</v>
      </c>
      <c r="F11" s="304">
        <v>46054.0</v>
      </c>
      <c r="G11" s="312" t="s">
        <v>96</v>
      </c>
      <c r="H11" s="306" t="s">
        <v>1015</v>
      </c>
      <c r="I11" s="302"/>
      <c r="J11" s="307" t="s">
        <v>1000</v>
      </c>
      <c r="K11" s="313"/>
      <c r="L11" s="309" t="s">
        <v>1002</v>
      </c>
      <c r="M11" s="310">
        <v>46113.0</v>
      </c>
      <c r="N11" s="205"/>
      <c r="O11" s="311" t="s">
        <v>1016</v>
      </c>
      <c r="P11" s="200" t="s">
        <v>1017</v>
      </c>
      <c r="Q11" s="200"/>
      <c r="R11" s="58"/>
      <c r="S11" s="58"/>
      <c r="T11" s="58"/>
      <c r="U11" s="58"/>
      <c r="V11" s="58"/>
      <c r="W11" s="58"/>
      <c r="X11" s="58"/>
      <c r="Y11" s="58"/>
      <c r="Z11" s="58"/>
      <c r="AA11" s="58"/>
      <c r="AB11" s="58"/>
      <c r="AC11" s="58"/>
    </row>
    <row r="12">
      <c r="A12" s="300" t="str">
        <f t="shared" si="1"/>
        <v>O-7</v>
      </c>
      <c r="B12" s="301" t="s">
        <v>149</v>
      </c>
      <c r="C12" s="205" t="str">
        <f t="array" ref="C12">IF(B12:B1408="", "", XLOOKUP(B12:B1408, 'Equipment Registry'!$A$2:$A$154, 'Equipment Registry'!$B$2:$B$154, "Not Found"))</f>
        <v>Rolle Lub. Return R1 ( Filter Cap)</v>
      </c>
      <c r="D12" s="302" t="str">
        <f t="array" ref="D12">IF(B12:B1408="", "", XLOOKUP(B12:B1408, 'Equipment Registry'!$A$2:$A$154, 'Equipment Registry'!$E$2:$E$154, "Not Found"))</f>
        <v>MOBIL SHC 639</v>
      </c>
      <c r="E12" s="303">
        <v>46079.0</v>
      </c>
      <c r="F12" s="304">
        <v>45658.0</v>
      </c>
      <c r="G12" s="312" t="s">
        <v>97</v>
      </c>
      <c r="H12" s="306" t="s">
        <v>1018</v>
      </c>
      <c r="I12" s="302"/>
      <c r="J12" s="307" t="s">
        <v>1000</v>
      </c>
      <c r="K12" s="313"/>
      <c r="L12" s="309" t="s">
        <v>1002</v>
      </c>
      <c r="M12" s="310">
        <v>46113.0</v>
      </c>
      <c r="N12" s="205"/>
      <c r="O12" s="311" t="s">
        <v>1019</v>
      </c>
      <c r="P12" s="200" t="s">
        <v>1017</v>
      </c>
      <c r="Q12" s="200"/>
      <c r="R12" s="58"/>
      <c r="S12" s="58"/>
      <c r="T12" s="58"/>
      <c r="U12" s="58"/>
      <c r="V12" s="58"/>
      <c r="W12" s="58"/>
      <c r="X12" s="58"/>
      <c r="Y12" s="58"/>
      <c r="Z12" s="58"/>
      <c r="AA12" s="58"/>
      <c r="AB12" s="58"/>
      <c r="AC12" s="58"/>
    </row>
    <row r="13">
      <c r="A13" s="300" t="str">
        <f t="shared" si="1"/>
        <v>O-8</v>
      </c>
      <c r="B13" s="301" t="s">
        <v>150</v>
      </c>
      <c r="C13" s="205" t="str">
        <f t="array" ref="C13">IF(B13:B1408="", "", XLOOKUP(B13:B1408, 'Equipment Registry'!$A$2:$A$154, 'Equipment Registry'!$B$2:$B$154, "Not Found"))</f>
        <v>Rolle Lub. Return R2 ( Filter Cap)</v>
      </c>
      <c r="D13" s="302" t="str">
        <f t="array" ref="D13">IF(B13:B1408="", "", XLOOKUP(B13:B1408, 'Equipment Registry'!$A$2:$A$154, 'Equipment Registry'!$E$2:$E$154, "Not Found"))</f>
        <v>MOBIL SHC 639</v>
      </c>
      <c r="E13" s="303">
        <v>46079.0</v>
      </c>
      <c r="F13" s="304">
        <v>45658.0</v>
      </c>
      <c r="G13" s="312" t="s">
        <v>97</v>
      </c>
      <c r="H13" s="306" t="s">
        <v>1020</v>
      </c>
      <c r="I13" s="302"/>
      <c r="J13" s="307" t="s">
        <v>1000</v>
      </c>
      <c r="K13" s="313"/>
      <c r="L13" s="309" t="s">
        <v>1002</v>
      </c>
      <c r="M13" s="310">
        <v>46113.0</v>
      </c>
      <c r="N13" s="205"/>
      <c r="O13" s="311" t="s">
        <v>1019</v>
      </c>
      <c r="P13" s="200" t="s">
        <v>1017</v>
      </c>
      <c r="Q13" s="200"/>
      <c r="R13" s="58"/>
      <c r="S13" s="58"/>
      <c r="T13" s="58"/>
      <c r="U13" s="58"/>
      <c r="V13" s="58"/>
      <c r="W13" s="58"/>
      <c r="X13" s="58"/>
      <c r="Y13" s="58"/>
      <c r="Z13" s="58"/>
      <c r="AA13" s="58"/>
      <c r="AB13" s="58"/>
      <c r="AC13" s="58"/>
    </row>
    <row r="14">
      <c r="A14" s="300" t="str">
        <f t="shared" si="1"/>
        <v>O-9</v>
      </c>
      <c r="B14" s="301" t="s">
        <v>151</v>
      </c>
      <c r="C14" s="205" t="str">
        <f t="array" ref="C14">IF(B14:B1408="", "", XLOOKUP(B14:B1408, 'Equipment Registry'!$A$2:$A$154, 'Equipment Registry'!$B$2:$B$154, "Not Found"))</f>
        <v>Rolle Lub. Return R3 ( Filter Cap)</v>
      </c>
      <c r="D14" s="302" t="str">
        <f t="array" ref="D14">IF(B14:B1408="", "", XLOOKUP(B14:B1408, 'Equipment Registry'!$A$2:$A$154, 'Equipment Registry'!$E$2:$E$154, "Not Found"))</f>
        <v>MOBIL SHC 639</v>
      </c>
      <c r="E14" s="303">
        <v>46079.0</v>
      </c>
      <c r="F14" s="304">
        <v>45658.0</v>
      </c>
      <c r="G14" s="312" t="s">
        <v>97</v>
      </c>
      <c r="H14" s="306" t="s">
        <v>1021</v>
      </c>
      <c r="I14" s="302"/>
      <c r="J14" s="307" t="s">
        <v>1000</v>
      </c>
      <c r="K14" s="313"/>
      <c r="L14" s="309" t="s">
        <v>1002</v>
      </c>
      <c r="M14" s="310">
        <v>46113.0</v>
      </c>
      <c r="N14" s="205"/>
      <c r="O14" s="311" t="s">
        <v>1019</v>
      </c>
      <c r="P14" s="200" t="s">
        <v>1017</v>
      </c>
      <c r="Q14" s="200"/>
      <c r="R14" s="58"/>
      <c r="S14" s="58"/>
      <c r="T14" s="58"/>
      <c r="U14" s="58"/>
      <c r="V14" s="58"/>
      <c r="W14" s="58"/>
      <c r="X14" s="58"/>
      <c r="Y14" s="58"/>
      <c r="Z14" s="58"/>
      <c r="AA14" s="58"/>
      <c r="AB14" s="58"/>
      <c r="AC14" s="58"/>
    </row>
    <row r="15">
      <c r="A15" s="300" t="str">
        <f t="shared" si="1"/>
        <v>O-10</v>
      </c>
      <c r="B15" s="301" t="s">
        <v>153</v>
      </c>
      <c r="C15" s="205" t="str">
        <f t="array" ref="C15">IF(B15:B1408="", "", XLOOKUP(B15:B1408, 'Equipment Registry'!$A$2:$A$154, 'Equipment Registry'!$B$2:$B$154, "Not Found"))</f>
        <v>Mill 2 gear Box</v>
      </c>
      <c r="D15" s="302" t="str">
        <f t="array" ref="D15">IF(B15:B1408="", "", XLOOKUP(B15:B1408, 'Equipment Registry'!$A$2:$A$154, 'Equipment Registry'!$E$2:$E$154, "Not Found"))</f>
        <v>MOBILGEAR 600 XP 320</v>
      </c>
      <c r="E15" s="303">
        <v>46079.0</v>
      </c>
      <c r="F15" s="304">
        <v>45536.0</v>
      </c>
      <c r="G15" s="312" t="s">
        <v>97</v>
      </c>
      <c r="H15" s="306" t="s">
        <v>1022</v>
      </c>
      <c r="I15" s="302"/>
      <c r="J15" s="307" t="s">
        <v>1000</v>
      </c>
      <c r="K15" s="313"/>
      <c r="L15" s="309" t="s">
        <v>1002</v>
      </c>
      <c r="M15" s="310">
        <v>46113.0</v>
      </c>
      <c r="N15" s="205"/>
      <c r="O15" s="311" t="s">
        <v>1023</v>
      </c>
      <c r="P15" s="200" t="s">
        <v>1024</v>
      </c>
      <c r="Q15" s="200"/>
      <c r="R15" s="58"/>
      <c r="S15" s="58"/>
      <c r="T15" s="58"/>
      <c r="U15" s="58"/>
      <c r="V15" s="58"/>
      <c r="W15" s="58"/>
      <c r="X15" s="58"/>
      <c r="Y15" s="58"/>
      <c r="Z15" s="58"/>
      <c r="AA15" s="58"/>
      <c r="AB15" s="58"/>
      <c r="AC15" s="58"/>
    </row>
    <row r="16">
      <c r="A16" s="300" t="str">
        <f t="shared" si="1"/>
        <v>O-11</v>
      </c>
      <c r="B16" s="301" t="s">
        <v>156</v>
      </c>
      <c r="C16" s="205" t="str">
        <f t="array" ref="C16">IF(B16:B1408="", "", XLOOKUP(B16:B1408, 'Equipment Registry'!$A$2:$A$154, 'Equipment Registry'!$B$2:$B$154, "Not Found"))</f>
        <v>Rotary feeder Gear Box</v>
      </c>
      <c r="D16" s="302" t="str">
        <f t="array" ref="D16">IF(B16:B1408="", "", XLOOKUP(B16:B1408, 'Equipment Registry'!$A$2:$A$154, 'Equipment Registry'!$E$2:$E$154, "Not Found"))</f>
        <v>MOBIL SHC 639</v>
      </c>
      <c r="E16" s="303">
        <v>46079.0</v>
      </c>
      <c r="F16" s="304">
        <v>45931.0</v>
      </c>
      <c r="G16" s="312" t="s">
        <v>97</v>
      </c>
      <c r="H16" s="306" t="s">
        <v>1025</v>
      </c>
      <c r="I16" s="302"/>
      <c r="J16" s="307" t="s">
        <v>1000</v>
      </c>
      <c r="K16" s="313"/>
      <c r="L16" s="309" t="s">
        <v>1002</v>
      </c>
      <c r="M16" s="310">
        <v>46113.0</v>
      </c>
      <c r="N16" s="205"/>
      <c r="O16" s="311" t="s">
        <v>1026</v>
      </c>
      <c r="P16" s="200" t="s">
        <v>1017</v>
      </c>
      <c r="Q16" s="200"/>
      <c r="R16" s="58"/>
      <c r="S16" s="58"/>
      <c r="T16" s="58"/>
      <c r="U16" s="58"/>
      <c r="V16" s="58"/>
      <c r="W16" s="58"/>
      <c r="X16" s="58"/>
      <c r="Y16" s="58"/>
      <c r="Z16" s="58"/>
      <c r="AA16" s="58"/>
      <c r="AB16" s="58"/>
      <c r="AC16" s="58"/>
    </row>
    <row r="17">
      <c r="A17" s="300" t="str">
        <f t="shared" si="1"/>
        <v>O-12</v>
      </c>
      <c r="B17" s="301" t="s">
        <v>158</v>
      </c>
      <c r="C17" s="205" t="str">
        <f t="array" ref="C17">IF(B17:B1408="", "", XLOOKUP(B17:B1408, 'Equipment Registry'!$A$2:$A$154, 'Equipment Registry'!$B$2:$B$154, "Not Found"))</f>
        <v>ID fan fixed bearing</v>
      </c>
      <c r="D17" s="302" t="str">
        <f t="array" ref="D17">IF(B17:B1408="", "", XLOOKUP(B17:B1408, 'Equipment Registry'!$A$2:$A$154, 'Equipment Registry'!$E$2:$E$154, "Not Found"))</f>
        <v>MOBIL DTE 26</v>
      </c>
      <c r="E17" s="303">
        <v>46079.0</v>
      </c>
      <c r="F17" s="304">
        <v>45566.0</v>
      </c>
      <c r="G17" s="312" t="s">
        <v>97</v>
      </c>
      <c r="H17" s="306" t="s">
        <v>1027</v>
      </c>
      <c r="I17" s="302"/>
      <c r="J17" s="307" t="s">
        <v>1000</v>
      </c>
      <c r="K17" s="313"/>
      <c r="L17" s="309" t="s">
        <v>1002</v>
      </c>
      <c r="M17" s="310">
        <v>46113.0</v>
      </c>
      <c r="N17" s="205"/>
      <c r="O17" s="311" t="s">
        <v>1023</v>
      </c>
      <c r="P17" s="200" t="s">
        <v>1017</v>
      </c>
      <c r="Q17" s="200"/>
      <c r="R17" s="58"/>
      <c r="S17" s="58"/>
      <c r="T17" s="58"/>
      <c r="U17" s="58"/>
      <c r="V17" s="58"/>
      <c r="W17" s="58"/>
      <c r="X17" s="58"/>
      <c r="Y17" s="58"/>
      <c r="Z17" s="58"/>
      <c r="AA17" s="58"/>
      <c r="AB17" s="58"/>
      <c r="AC17" s="58"/>
    </row>
    <row r="18">
      <c r="A18" s="300" t="str">
        <f t="shared" si="1"/>
        <v>O-13</v>
      </c>
      <c r="B18" s="301" t="s">
        <v>159</v>
      </c>
      <c r="C18" s="205" t="str">
        <f t="array" ref="C18">IF(B18:B1408="", "", XLOOKUP(B18:B1408, 'Equipment Registry'!$A$2:$A$154, 'Equipment Registry'!$B$2:$B$154, "Not Found"))</f>
        <v>Main EP Fan Gear drive </v>
      </c>
      <c r="D18" s="302" t="str">
        <f t="array" ref="D18">IF(B18:B1408="", "", XLOOKUP(B18:B1408, 'Equipment Registry'!$A$2:$A$154, 'Equipment Registry'!$E$2:$E$154, "Not Found"))</f>
        <v>MOBIL SHC 632</v>
      </c>
      <c r="E18" s="303">
        <v>46079.0</v>
      </c>
      <c r="F18" s="304">
        <v>45292.0</v>
      </c>
      <c r="G18" s="312" t="s">
        <v>96</v>
      </c>
      <c r="H18" s="306" t="s">
        <v>1005</v>
      </c>
      <c r="I18" s="302"/>
      <c r="J18" s="307" t="s">
        <v>1000</v>
      </c>
      <c r="K18" s="313"/>
      <c r="L18" s="309" t="s">
        <v>1002</v>
      </c>
      <c r="M18" s="310">
        <v>46113.0</v>
      </c>
      <c r="N18" s="205"/>
      <c r="O18" s="311" t="s">
        <v>1023</v>
      </c>
      <c r="P18" s="200" t="s">
        <v>1017</v>
      </c>
      <c r="Q18" s="200"/>
      <c r="R18" s="58"/>
      <c r="S18" s="58"/>
      <c r="T18" s="58"/>
      <c r="U18" s="58"/>
      <c r="V18" s="58"/>
      <c r="W18" s="58"/>
      <c r="X18" s="58"/>
      <c r="Y18" s="58"/>
      <c r="Z18" s="58"/>
      <c r="AA18" s="58"/>
      <c r="AB18" s="58"/>
      <c r="AC18" s="58"/>
    </row>
    <row r="19">
      <c r="A19" s="300" t="str">
        <f t="shared" si="1"/>
        <v>O-14</v>
      </c>
      <c r="B19" s="301" t="s">
        <v>160</v>
      </c>
      <c r="C19" s="205" t="str">
        <f t="array" ref="C19">IF(B19:B1408="", "", XLOOKUP(B19:B1408, 'Equipment Registry'!$A$2:$A$154, 'Equipment Registry'!$B$2:$B$154, "Not Found"))</f>
        <v>ID fan free Bearing L#2</v>
      </c>
      <c r="D19" s="302" t="str">
        <f t="array" ref="D19">IF(B19:B1408="", "", XLOOKUP(B19:B1408, 'Equipment Registry'!$A$2:$A$154, 'Equipment Registry'!$E$2:$E$154, "Not Found"))</f>
        <v>MOBIL DTE OIL HEAVY MEDIUM</v>
      </c>
      <c r="E19" s="303">
        <v>46079.0</v>
      </c>
      <c r="F19" s="304">
        <v>45962.0</v>
      </c>
      <c r="G19" s="312" t="s">
        <v>97</v>
      </c>
      <c r="H19" s="306" t="s">
        <v>1028</v>
      </c>
      <c r="I19" s="302"/>
      <c r="J19" s="307" t="s">
        <v>1000</v>
      </c>
      <c r="K19" s="313"/>
      <c r="L19" s="309" t="s">
        <v>1002</v>
      </c>
      <c r="M19" s="310">
        <v>46113.0</v>
      </c>
      <c r="N19" s="205"/>
      <c r="O19" s="311" t="s">
        <v>1029</v>
      </c>
      <c r="P19" s="200" t="s">
        <v>1017</v>
      </c>
      <c r="Q19" s="200"/>
      <c r="R19" s="58"/>
      <c r="S19" s="58"/>
      <c r="T19" s="58"/>
      <c r="U19" s="58"/>
      <c r="V19" s="58"/>
      <c r="W19" s="58"/>
      <c r="X19" s="58"/>
      <c r="Y19" s="58"/>
      <c r="Z19" s="58"/>
      <c r="AA19" s="58"/>
      <c r="AB19" s="58"/>
      <c r="AC19" s="58"/>
    </row>
    <row r="20">
      <c r="A20" s="300" t="str">
        <f t="shared" si="1"/>
        <v>O-15</v>
      </c>
      <c r="B20" s="301" t="s">
        <v>161</v>
      </c>
      <c r="C20" s="205" t="str">
        <f t="array" ref="C20">IF(B20:B1408="", "", XLOOKUP(B20:B1408, 'Equipment Registry'!$A$2:$A$154, 'Equipment Registry'!$B$2:$B$154, "Not Found"))</f>
        <v>ID fan fixed Bearing L#2</v>
      </c>
      <c r="D20" s="302" t="str">
        <f t="array" ref="D20">IF(B20:B1408="", "", XLOOKUP(B20:B1408, 'Equipment Registry'!$A$2:$A$154, 'Equipment Registry'!$E$2:$E$154, "Not Found"))</f>
        <v>MOBIL DTE OIL HEAVY MEDIUM</v>
      </c>
      <c r="E20" s="303">
        <v>46079.0</v>
      </c>
      <c r="F20" s="304">
        <v>45962.0</v>
      </c>
      <c r="G20" s="312" t="s">
        <v>97</v>
      </c>
      <c r="H20" s="306" t="s">
        <v>1030</v>
      </c>
      <c r="I20" s="302"/>
      <c r="J20" s="307" t="s">
        <v>1000</v>
      </c>
      <c r="K20" s="313"/>
      <c r="L20" s="309" t="s">
        <v>1002</v>
      </c>
      <c r="M20" s="310">
        <v>46113.0</v>
      </c>
      <c r="N20" s="205"/>
      <c r="O20" s="311" t="s">
        <v>1029</v>
      </c>
      <c r="P20" s="200" t="s">
        <v>1017</v>
      </c>
      <c r="Q20" s="200"/>
      <c r="R20" s="58"/>
      <c r="S20" s="58"/>
      <c r="T20" s="58"/>
      <c r="U20" s="58"/>
      <c r="V20" s="58"/>
      <c r="W20" s="58"/>
      <c r="X20" s="58"/>
      <c r="Y20" s="58"/>
      <c r="Z20" s="58"/>
      <c r="AA20" s="58"/>
      <c r="AB20" s="58"/>
      <c r="AC20" s="58"/>
    </row>
    <row r="21">
      <c r="A21" s="300" t="str">
        <f t="shared" si="1"/>
        <v>O-16</v>
      </c>
      <c r="B21" s="301" t="s">
        <v>231</v>
      </c>
      <c r="C21" s="205" t="str">
        <f t="array" ref="C21">IF(B21:B1408="", "", XLOOKUP(B21:B1408, 'Equipment Registry'!$A$2:$A$154, 'Equipment Registry'!$B$2:$B$154, "Not Found"))</f>
        <v>Cement Mill Inlet Slide Shoe Bearing LUB.</v>
      </c>
      <c r="D21" s="302" t="str">
        <f t="array" ref="D21">IF(B21:B1408="", "", XLOOKUP(B21:B1408, 'Equipment Registry'!$A$2:$A$154, 'Equipment Registry'!$E$2:$E$154, "Not Found"))</f>
        <v>MOBILGEAR 600 XP 460</v>
      </c>
      <c r="E21" s="303">
        <v>46079.0</v>
      </c>
      <c r="F21" s="304">
        <v>45962.0</v>
      </c>
      <c r="G21" s="312" t="s">
        <v>97</v>
      </c>
      <c r="H21" s="306"/>
      <c r="I21" s="302"/>
      <c r="J21" s="307" t="s">
        <v>1000</v>
      </c>
      <c r="K21" s="313"/>
      <c r="L21" s="309" t="s">
        <v>1002</v>
      </c>
      <c r="M21" s="310">
        <v>46113.0</v>
      </c>
      <c r="N21" s="205"/>
      <c r="O21" s="311" t="s">
        <v>1031</v>
      </c>
      <c r="P21" s="200"/>
      <c r="Q21" s="200"/>
      <c r="R21" s="58"/>
      <c r="S21" s="58"/>
      <c r="T21" s="58"/>
      <c r="U21" s="58"/>
      <c r="V21" s="58"/>
      <c r="W21" s="58"/>
      <c r="X21" s="58"/>
      <c r="Y21" s="58"/>
      <c r="Z21" s="58"/>
      <c r="AA21" s="58"/>
      <c r="AB21" s="58"/>
      <c r="AC21" s="58"/>
    </row>
    <row r="22">
      <c r="A22" s="300" t="str">
        <f t="shared" si="1"/>
        <v>O-17</v>
      </c>
      <c r="B22" s="301" t="s">
        <v>232</v>
      </c>
      <c r="C22" s="205" t="str">
        <f t="array" ref="C22">IF(B22:B1408="", "", XLOOKUP(B22:B1408, 'Equipment Registry'!$A$2:$A$154, 'Equipment Registry'!$B$2:$B$154, "Not Found"))</f>
        <v>Cement Mill Outlet Slide Shoe Bearing LUB.</v>
      </c>
      <c r="D22" s="302" t="str">
        <f t="array" ref="D22">IF(B22:B1408="", "", XLOOKUP(B22:B1408, 'Equipment Registry'!$A$2:$A$154, 'Equipment Registry'!$E$2:$E$154, "Not Found"))</f>
        <v>MOBILGEAR 600 XP 460</v>
      </c>
      <c r="E22" s="303">
        <v>46079.0</v>
      </c>
      <c r="F22" s="304">
        <v>45962.0</v>
      </c>
      <c r="G22" s="312" t="s">
        <v>97</v>
      </c>
      <c r="H22" s="306"/>
      <c r="I22" s="302"/>
      <c r="J22" s="307" t="s">
        <v>1000</v>
      </c>
      <c r="K22" s="313"/>
      <c r="L22" s="309" t="s">
        <v>1002</v>
      </c>
      <c r="M22" s="310">
        <v>46113.0</v>
      </c>
      <c r="N22" s="205"/>
      <c r="O22" s="311" t="s">
        <v>1031</v>
      </c>
      <c r="P22" s="200"/>
      <c r="Q22" s="200"/>
      <c r="R22" s="58"/>
      <c r="S22" s="58"/>
      <c r="T22" s="58"/>
      <c r="U22" s="58"/>
      <c r="V22" s="58"/>
      <c r="W22" s="58"/>
      <c r="X22" s="58"/>
      <c r="Y22" s="58"/>
      <c r="Z22" s="58"/>
      <c r="AA22" s="58"/>
      <c r="AB22" s="58"/>
      <c r="AC22" s="58"/>
    </row>
    <row r="23">
      <c r="A23" s="300" t="str">
        <f t="shared" si="1"/>
        <v>O-18</v>
      </c>
      <c r="B23" s="301" t="s">
        <v>233</v>
      </c>
      <c r="C23" s="205" t="str">
        <f t="array" ref="C23">IF(B23:B1408="", "", XLOOKUP(B23:B1408, 'Equipment Registry'!$A$2:$A$154, 'Equipment Registry'!$B$2:$B$154, "Not Found"))</f>
        <v>Cement Mill #1 Gear box</v>
      </c>
      <c r="D23" s="302" t="str">
        <f t="array" ref="D23">IF(B23:B1408="", "", XLOOKUP(B23:B1408, 'Equipment Registry'!$A$2:$A$154, 'Equipment Registry'!$E$2:$E$154, "Not Found"))</f>
        <v>MOBILGEAR 600 XP 460</v>
      </c>
      <c r="E23" s="303">
        <v>46079.0</v>
      </c>
      <c r="F23" s="304">
        <v>45689.0</v>
      </c>
      <c r="G23" s="312" t="s">
        <v>97</v>
      </c>
      <c r="H23" s="306"/>
      <c r="I23" s="302"/>
      <c r="J23" s="307" t="s">
        <v>1000</v>
      </c>
      <c r="K23" s="313"/>
      <c r="L23" s="309" t="s">
        <v>1002</v>
      </c>
      <c r="M23" s="310">
        <v>46113.0</v>
      </c>
      <c r="N23" s="205"/>
      <c r="O23" s="311" t="s">
        <v>1032</v>
      </c>
      <c r="P23" s="200"/>
      <c r="Q23" s="200"/>
      <c r="R23" s="58"/>
      <c r="S23" s="58"/>
      <c r="T23" s="58"/>
      <c r="U23" s="58"/>
      <c r="V23" s="58"/>
      <c r="W23" s="58"/>
      <c r="X23" s="58"/>
      <c r="Y23" s="58"/>
      <c r="Z23" s="58"/>
      <c r="AA23" s="58"/>
      <c r="AB23" s="58"/>
      <c r="AC23" s="58"/>
    </row>
    <row r="24">
      <c r="A24" s="300" t="str">
        <f t="shared" si="1"/>
        <v>O-19</v>
      </c>
      <c r="B24" s="301" t="s">
        <v>235</v>
      </c>
      <c r="C24" s="205" t="str">
        <f t="array" ref="C24">IF(B24:B1408="", "", XLOOKUP(B24:B1408, 'Equipment Registry'!$A$2:$A$154, 'Equipment Registry'!$B$2:$B$154, "Not Found"))</f>
        <v>Separator Shaft Lubrication Unit </v>
      </c>
      <c r="D24" s="302" t="str">
        <f t="array" ref="D24">IF(B24:B1408="", "", XLOOKUP(B24:B1408, 'Equipment Registry'!$A$2:$A$154, 'Equipment Registry'!$E$2:$E$154, "Not Found"))</f>
        <v>MOBIL VACUOLINE 528</v>
      </c>
      <c r="E24" s="303">
        <v>46079.0</v>
      </c>
      <c r="F24" s="304">
        <v>45901.0</v>
      </c>
      <c r="G24" s="312" t="s">
        <v>98</v>
      </c>
      <c r="H24" s="306"/>
      <c r="I24" s="302"/>
      <c r="J24" s="307" t="s">
        <v>1000</v>
      </c>
      <c r="K24" s="313"/>
      <c r="L24" s="309" t="s">
        <v>1002</v>
      </c>
      <c r="M24" s="310">
        <v>46113.0</v>
      </c>
      <c r="N24" s="205"/>
      <c r="O24" s="311" t="s">
        <v>1031</v>
      </c>
      <c r="P24" s="200"/>
      <c r="Q24" s="200"/>
      <c r="R24" s="58"/>
      <c r="S24" s="58"/>
      <c r="T24" s="58"/>
      <c r="U24" s="58"/>
      <c r="V24" s="58"/>
      <c r="W24" s="58"/>
      <c r="X24" s="58"/>
      <c r="Y24" s="58"/>
      <c r="Z24" s="58"/>
      <c r="AA24" s="58"/>
      <c r="AB24" s="58"/>
      <c r="AC24" s="58"/>
    </row>
    <row r="25">
      <c r="A25" s="300" t="str">
        <f t="shared" si="1"/>
        <v>O-20</v>
      </c>
      <c r="B25" s="301" t="s">
        <v>238</v>
      </c>
      <c r="C25" s="205" t="str">
        <f t="array" ref="C25">IF(B25:B1408="", "", XLOOKUP(B25:B1408, 'Equipment Registry'!$A$2:$A$154, 'Equipment Registry'!$B$2:$B$154, "Not Found"))</f>
        <v>Cement Mill Inlet Slide Shoe Bearing LUB.</v>
      </c>
      <c r="D25" s="302" t="str">
        <f t="array" ref="D25">IF(B25:B1408="", "", XLOOKUP(B25:B1408, 'Equipment Registry'!$A$2:$A$154, 'Equipment Registry'!$E$2:$E$154, "Not Found"))</f>
        <v>MOBILGEAR 600 XP 460</v>
      </c>
      <c r="E25" s="303">
        <v>46079.0</v>
      </c>
      <c r="F25" s="304">
        <v>45962.0</v>
      </c>
      <c r="G25" s="312" t="s">
        <v>97</v>
      </c>
      <c r="H25" s="306"/>
      <c r="I25" s="302"/>
      <c r="J25" s="307" t="s">
        <v>1000</v>
      </c>
      <c r="K25" s="313"/>
      <c r="L25" s="309" t="s">
        <v>1002</v>
      </c>
      <c r="M25" s="310">
        <v>46113.0</v>
      </c>
      <c r="N25" s="205"/>
      <c r="O25" s="311" t="s">
        <v>1031</v>
      </c>
      <c r="P25" s="200"/>
      <c r="Q25" s="200"/>
      <c r="R25" s="58"/>
      <c r="S25" s="58"/>
      <c r="T25" s="58"/>
      <c r="U25" s="58"/>
      <c r="V25" s="58"/>
      <c r="W25" s="58"/>
      <c r="X25" s="58"/>
      <c r="Y25" s="58"/>
      <c r="Z25" s="58"/>
      <c r="AA25" s="58"/>
      <c r="AB25" s="58"/>
      <c r="AC25" s="58"/>
    </row>
    <row r="26">
      <c r="A26" s="300" t="str">
        <f t="shared" si="1"/>
        <v>O-21</v>
      </c>
      <c r="B26" s="301" t="s">
        <v>239</v>
      </c>
      <c r="C26" s="205" t="str">
        <f t="array" ref="C26">IF(B26:B1408="", "", XLOOKUP(B26:B1408, 'Equipment Registry'!$A$2:$A$154, 'Equipment Registry'!$B$2:$B$154, "Not Found"))</f>
        <v>Cement Mill Outlet Slide Shoe Bearing LUB.</v>
      </c>
      <c r="D26" s="302" t="str">
        <f t="array" ref="D26">IF(B26:B1408="", "", XLOOKUP(B26:B1408, 'Equipment Registry'!$A$2:$A$154, 'Equipment Registry'!$E$2:$E$154, "Not Found"))</f>
        <v>MOBILGEAR 600 XP 460</v>
      </c>
      <c r="E26" s="303">
        <v>46079.0</v>
      </c>
      <c r="F26" s="304">
        <v>45962.0</v>
      </c>
      <c r="G26" s="312" t="s">
        <v>97</v>
      </c>
      <c r="H26" s="306"/>
      <c r="I26" s="302"/>
      <c r="J26" s="307" t="s">
        <v>1000</v>
      </c>
      <c r="K26" s="313"/>
      <c r="L26" s="309" t="s">
        <v>1002</v>
      </c>
      <c r="M26" s="310">
        <v>46113.0</v>
      </c>
      <c r="N26" s="205"/>
      <c r="O26" s="311" t="s">
        <v>1031</v>
      </c>
      <c r="P26" s="200"/>
      <c r="Q26" s="200"/>
      <c r="R26" s="58"/>
      <c r="S26" s="58"/>
      <c r="T26" s="58"/>
      <c r="U26" s="58"/>
      <c r="V26" s="58"/>
      <c r="W26" s="58"/>
      <c r="X26" s="58"/>
      <c r="Y26" s="58"/>
      <c r="Z26" s="58"/>
      <c r="AA26" s="58"/>
      <c r="AB26" s="58"/>
      <c r="AC26" s="58"/>
    </row>
    <row r="27">
      <c r="A27" s="300" t="str">
        <f t="shared" si="1"/>
        <v>O-22</v>
      </c>
      <c r="B27" s="301" t="s">
        <v>241</v>
      </c>
      <c r="C27" s="205" t="str">
        <f t="array" ref="C27">IF(B27:B1408="", "", XLOOKUP(B27:B1408, 'Equipment Registry'!$A$2:$A$154, 'Equipment Registry'!$B$2:$B$154, "Not Found"))</f>
        <v>Separator Shaft Lubrication Unit </v>
      </c>
      <c r="D27" s="302" t="str">
        <f t="array" ref="D27">IF(B27:B1408="", "", XLOOKUP(B27:B1408, 'Equipment Registry'!$A$2:$A$154, 'Equipment Registry'!$E$2:$E$154, "Not Found"))</f>
        <v>MOBIL VACUOLINE 528</v>
      </c>
      <c r="E27" s="303">
        <v>46079.0</v>
      </c>
      <c r="F27" s="304">
        <v>45931.0</v>
      </c>
      <c r="G27" s="312" t="s">
        <v>97</v>
      </c>
      <c r="H27" s="306"/>
      <c r="I27" s="302"/>
      <c r="J27" s="307" t="s">
        <v>1000</v>
      </c>
      <c r="K27" s="313"/>
      <c r="L27" s="309" t="s">
        <v>1002</v>
      </c>
      <c r="M27" s="310">
        <v>46113.0</v>
      </c>
      <c r="N27" s="205"/>
      <c r="O27" s="311" t="s">
        <v>1033</v>
      </c>
      <c r="P27" s="200"/>
      <c r="Q27" s="200"/>
      <c r="R27" s="58"/>
      <c r="S27" s="58"/>
      <c r="T27" s="58"/>
      <c r="U27" s="58"/>
      <c r="V27" s="58"/>
      <c r="W27" s="58"/>
      <c r="X27" s="58"/>
      <c r="Y27" s="58"/>
      <c r="Z27" s="58"/>
      <c r="AA27" s="58"/>
      <c r="AB27" s="58"/>
      <c r="AC27" s="58"/>
    </row>
    <row r="28">
      <c r="A28" s="300" t="str">
        <f t="shared" si="1"/>
        <v>O-23</v>
      </c>
      <c r="B28" s="301" t="s">
        <v>242</v>
      </c>
      <c r="C28" s="205" t="str">
        <f t="array" ref="C28">IF(B28:B1408="", "", XLOOKUP(B28:B1408, 'Equipment Registry'!$A$2:$A$154, 'Equipment Registry'!$B$2:$B$154, "Not Found"))</f>
        <v>Cement Mill #2 separator Gear box</v>
      </c>
      <c r="D28" s="302" t="str">
        <f t="array" ref="D28">IF(B28:B1408="", "", XLOOKUP(B28:B1408, 'Equipment Registry'!$A$2:$A$154, 'Equipment Registry'!$E$2:$E$154, "Not Found"))</f>
        <v>MOBIL SHC 632</v>
      </c>
      <c r="E28" s="303">
        <v>46079.0</v>
      </c>
      <c r="F28" s="304">
        <v>45931.0</v>
      </c>
      <c r="G28" s="312" t="s">
        <v>96</v>
      </c>
      <c r="H28" s="306"/>
      <c r="I28" s="302"/>
      <c r="J28" s="307" t="s">
        <v>1000</v>
      </c>
      <c r="K28" s="313"/>
      <c r="L28" s="309" t="s">
        <v>1002</v>
      </c>
      <c r="M28" s="310">
        <v>46113.0</v>
      </c>
      <c r="N28" s="205"/>
      <c r="O28" s="311" t="s">
        <v>1034</v>
      </c>
      <c r="P28" s="200"/>
      <c r="Q28" s="200"/>
      <c r="R28" s="58"/>
      <c r="S28" s="58"/>
      <c r="T28" s="58"/>
      <c r="U28" s="58"/>
      <c r="V28" s="58"/>
      <c r="W28" s="58"/>
      <c r="X28" s="58"/>
      <c r="Y28" s="58"/>
      <c r="Z28" s="58"/>
      <c r="AA28" s="58"/>
      <c r="AB28" s="58"/>
      <c r="AC28" s="58"/>
    </row>
    <row r="29">
      <c r="A29" s="300" t="str">
        <f t="shared" si="1"/>
        <v>O-24</v>
      </c>
      <c r="B29" s="301" t="s">
        <v>244</v>
      </c>
      <c r="C29" s="205" t="str">
        <f t="array" ref="C29">IF(B29:B1408="", "", XLOOKUP(B29:B1408, 'Equipment Registry'!$A$2:$A$154, 'Equipment Registry'!$B$2:$B$154, "Not Found"))</f>
        <v>Cement Mill Inlet Slide Shoe Bearing LUB.</v>
      </c>
      <c r="D29" s="302" t="str">
        <f t="array" ref="D29">IF(B29:B1408="", "", XLOOKUP(B29:B1408, 'Equipment Registry'!$A$2:$A$154, 'Equipment Registry'!$E$2:$E$154, "Not Found"))</f>
        <v>MOBILGEAR 600 XP 460</v>
      </c>
      <c r="E29" s="303">
        <v>46079.0</v>
      </c>
      <c r="F29" s="304">
        <v>45962.0</v>
      </c>
      <c r="G29" s="312" t="s">
        <v>97</v>
      </c>
      <c r="H29" s="306"/>
      <c r="I29" s="302"/>
      <c r="J29" s="307" t="s">
        <v>1000</v>
      </c>
      <c r="K29" s="313"/>
      <c r="L29" s="309" t="s">
        <v>1002</v>
      </c>
      <c r="M29" s="310">
        <v>46113.0</v>
      </c>
      <c r="N29" s="205"/>
      <c r="O29" s="311" t="s">
        <v>1031</v>
      </c>
      <c r="P29" s="200"/>
      <c r="Q29" s="200"/>
      <c r="R29" s="58"/>
      <c r="S29" s="58"/>
      <c r="T29" s="58"/>
      <c r="U29" s="58"/>
      <c r="V29" s="58"/>
      <c r="W29" s="58"/>
      <c r="X29" s="58"/>
      <c r="Y29" s="58"/>
      <c r="Z29" s="58"/>
      <c r="AA29" s="58"/>
      <c r="AB29" s="58"/>
      <c r="AC29" s="58"/>
    </row>
    <row r="30">
      <c r="A30" s="300" t="str">
        <f t="shared" si="1"/>
        <v>O-25</v>
      </c>
      <c r="B30" s="301" t="s">
        <v>245</v>
      </c>
      <c r="C30" s="205" t="str">
        <f t="array" ref="C30">IF(B30:B1408="", "", XLOOKUP(B30:B1408, 'Equipment Registry'!$A$2:$A$154, 'Equipment Registry'!$B$2:$B$154, "Not Found"))</f>
        <v>Cement Mill Outlet Slide Shoe Bearing LUB.</v>
      </c>
      <c r="D30" s="302" t="str">
        <f t="array" ref="D30">IF(B30:B1408="", "", XLOOKUP(B30:B1408, 'Equipment Registry'!$A$2:$A$154, 'Equipment Registry'!$E$2:$E$154, "Not Found"))</f>
        <v>MOBILGEAR 600 XP 460</v>
      </c>
      <c r="E30" s="303">
        <v>46079.0</v>
      </c>
      <c r="F30" s="304">
        <v>45962.0</v>
      </c>
      <c r="G30" s="312" t="s">
        <v>97</v>
      </c>
      <c r="H30" s="306"/>
      <c r="I30" s="302"/>
      <c r="J30" s="307" t="s">
        <v>1000</v>
      </c>
      <c r="K30" s="313"/>
      <c r="L30" s="309" t="s">
        <v>1002</v>
      </c>
      <c r="M30" s="310">
        <v>46113.0</v>
      </c>
      <c r="N30" s="205"/>
      <c r="O30" s="311" t="s">
        <v>1031</v>
      </c>
      <c r="P30" s="200"/>
      <c r="Q30" s="200"/>
      <c r="R30" s="58"/>
      <c r="S30" s="58"/>
      <c r="T30" s="58"/>
      <c r="U30" s="58"/>
      <c r="V30" s="58"/>
      <c r="W30" s="58"/>
      <c r="X30" s="58"/>
      <c r="Y30" s="58"/>
      <c r="Z30" s="58"/>
      <c r="AA30" s="58"/>
      <c r="AB30" s="58"/>
      <c r="AC30" s="58"/>
    </row>
    <row r="31">
      <c r="A31" s="300" t="str">
        <f t="shared" si="1"/>
        <v>O-26</v>
      </c>
      <c r="B31" s="301" t="s">
        <v>247</v>
      </c>
      <c r="C31" s="205" t="str">
        <f t="array" ref="C31">IF(B31:B1408="", "", XLOOKUP(B31:B1408, 'Equipment Registry'!$A$2:$A$154, 'Equipment Registry'!$B$2:$B$154, "Not Found"))</f>
        <v>Cement Mill #3 Separator Gear box</v>
      </c>
      <c r="D31" s="302" t="str">
        <f t="array" ref="D31">IF(B31:B1408="", "", XLOOKUP(B31:B1408, 'Equipment Registry'!$A$2:$A$154, 'Equipment Registry'!$E$2:$E$154, "Not Found"))</f>
        <v>MOBIL SHC 630</v>
      </c>
      <c r="E31" s="303">
        <v>46079.0</v>
      </c>
      <c r="F31" s="304">
        <v>45931.0</v>
      </c>
      <c r="G31" s="312" t="s">
        <v>97</v>
      </c>
      <c r="H31" s="306"/>
      <c r="I31" s="302"/>
      <c r="J31" s="307" t="s">
        <v>1000</v>
      </c>
      <c r="K31" s="313"/>
      <c r="L31" s="309" t="s">
        <v>1002</v>
      </c>
      <c r="M31" s="310">
        <v>46113.0</v>
      </c>
      <c r="N31" s="205"/>
      <c r="O31" s="311" t="s">
        <v>1035</v>
      </c>
      <c r="P31" s="200"/>
      <c r="Q31" s="200"/>
      <c r="R31" s="58"/>
      <c r="S31" s="58"/>
      <c r="T31" s="58"/>
      <c r="U31" s="58"/>
      <c r="V31" s="58"/>
      <c r="W31" s="58"/>
      <c r="X31" s="58"/>
      <c r="Y31" s="58"/>
      <c r="Z31" s="58"/>
      <c r="AA31" s="58"/>
      <c r="AB31" s="58"/>
      <c r="AC31" s="58"/>
    </row>
    <row r="32">
      <c r="A32" s="300" t="str">
        <f t="shared" si="1"/>
        <v>O-27</v>
      </c>
      <c r="B32" s="301" t="s">
        <v>249</v>
      </c>
      <c r="C32" s="205" t="str">
        <f t="array" ref="C32">IF(B32:B1408="", "", XLOOKUP(B32:B1408, 'Equipment Registry'!$A$2:$A$154, 'Equipment Registry'!$B$2:$B$154, "Not Found"))</f>
        <v>Cement Mill Outlet Slide Shoe Bearing LUB.</v>
      </c>
      <c r="D32" s="302" t="str">
        <f t="array" ref="D32">IF(B32:B1408="", "", XLOOKUP(B32:B1408, 'Equipment Registry'!$A$2:$A$154, 'Equipment Registry'!$E$2:$E$154, "Not Found"))</f>
        <v>MOBILGEAR 600 XP 460</v>
      </c>
      <c r="E32" s="303">
        <v>46079.0</v>
      </c>
      <c r="F32" s="304">
        <v>45962.0</v>
      </c>
      <c r="G32" s="312" t="s">
        <v>97</v>
      </c>
      <c r="H32" s="306"/>
      <c r="I32" s="302"/>
      <c r="J32" s="307" t="s">
        <v>1000</v>
      </c>
      <c r="K32" s="313"/>
      <c r="L32" s="309" t="s">
        <v>1002</v>
      </c>
      <c r="M32" s="310">
        <v>46113.0</v>
      </c>
      <c r="N32" s="205"/>
      <c r="O32" s="311" t="s">
        <v>1031</v>
      </c>
      <c r="P32" s="200"/>
      <c r="Q32" s="200"/>
      <c r="R32" s="58"/>
      <c r="S32" s="58"/>
      <c r="T32" s="58"/>
      <c r="U32" s="58"/>
      <c r="V32" s="58"/>
      <c r="W32" s="58"/>
      <c r="X32" s="58"/>
      <c r="Y32" s="58"/>
      <c r="Z32" s="58"/>
      <c r="AA32" s="58"/>
      <c r="AB32" s="58"/>
      <c r="AC32" s="58"/>
    </row>
    <row r="33">
      <c r="A33" s="300" t="str">
        <f t="shared" si="1"/>
        <v>O-28</v>
      </c>
      <c r="B33" s="301" t="s">
        <v>250</v>
      </c>
      <c r="C33" s="205" t="str">
        <f t="array" ref="C33">IF(B33:B1408="", "", XLOOKUP(B33:B1408, 'Equipment Registry'!$A$2:$A$154, 'Equipment Registry'!$B$2:$B$154, "Not Found"))</f>
        <v>Cement Mill Inlet Slide Shoe Bearing LUB.</v>
      </c>
      <c r="D33" s="302" t="str">
        <f t="array" ref="D33">IF(B33:B1408="", "", XLOOKUP(B33:B1408, 'Equipment Registry'!$A$2:$A$154, 'Equipment Registry'!$E$2:$E$154, "Not Found"))</f>
        <v>MOBILGEAR 600 XP 460</v>
      </c>
      <c r="E33" s="303">
        <v>46079.0</v>
      </c>
      <c r="F33" s="304">
        <v>45962.0</v>
      </c>
      <c r="G33" s="312" t="s">
        <v>97</v>
      </c>
      <c r="H33" s="306"/>
      <c r="I33" s="302"/>
      <c r="J33" s="307" t="s">
        <v>1000</v>
      </c>
      <c r="K33" s="313"/>
      <c r="L33" s="309" t="s">
        <v>1002</v>
      </c>
      <c r="M33" s="310">
        <v>46113.0</v>
      </c>
      <c r="N33" s="205"/>
      <c r="O33" s="311" t="s">
        <v>1031</v>
      </c>
      <c r="P33" s="200"/>
      <c r="Q33" s="200"/>
      <c r="R33" s="58"/>
      <c r="S33" s="58"/>
      <c r="T33" s="58"/>
      <c r="U33" s="58"/>
      <c r="V33" s="58"/>
      <c r="W33" s="58"/>
      <c r="X33" s="58"/>
      <c r="Y33" s="58"/>
      <c r="Z33" s="58"/>
      <c r="AA33" s="58"/>
      <c r="AB33" s="58"/>
      <c r="AC33" s="58"/>
    </row>
    <row r="34">
      <c r="A34" s="300" t="str">
        <f t="shared" si="1"/>
        <v>O-29</v>
      </c>
      <c r="B34" s="301" t="s">
        <v>64</v>
      </c>
      <c r="C34" s="205" t="str">
        <f t="array" ref="C34">IF(B34:B1408="", "", XLOOKUP(B34:B1408, 'Equipment Registry'!$A$2:$A$154, 'Equipment Registry'!$B$2:$B$154, "Not Found"))</f>
        <v>Clay apron feeder left geared motor</v>
      </c>
      <c r="D34" s="302" t="str">
        <f t="array" ref="D34">IF(B34:B1408="", "", XLOOKUP(B34:B1408, 'Equipment Registry'!$A$2:$A$154, 'Equipment Registry'!$E$2:$E$154, "Not Found"))</f>
        <v>MOBIL SHC 630</v>
      </c>
      <c r="E34" s="303">
        <v>46107.0</v>
      </c>
      <c r="F34" s="304"/>
      <c r="G34" s="312"/>
      <c r="H34" s="306"/>
      <c r="I34" s="302"/>
      <c r="J34" s="307" t="s">
        <v>1000</v>
      </c>
      <c r="K34" s="313"/>
      <c r="L34" s="309" t="s">
        <v>1002</v>
      </c>
      <c r="M34" s="310">
        <v>46113.0</v>
      </c>
      <c r="N34" s="200" t="s">
        <v>1036</v>
      </c>
      <c r="O34" s="311"/>
      <c r="P34" s="200" t="s">
        <v>1037</v>
      </c>
      <c r="Q34" s="200"/>
      <c r="R34" s="58"/>
      <c r="S34" s="58"/>
      <c r="T34" s="58"/>
      <c r="U34" s="58"/>
      <c r="V34" s="58"/>
      <c r="W34" s="58"/>
      <c r="X34" s="58"/>
      <c r="Y34" s="58"/>
      <c r="Z34" s="58"/>
      <c r="AA34" s="58"/>
      <c r="AB34" s="58"/>
      <c r="AC34" s="58"/>
    </row>
    <row r="35">
      <c r="A35" s="300" t="str">
        <f t="shared" si="1"/>
        <v>O-30</v>
      </c>
      <c r="B35" s="301" t="s">
        <v>104</v>
      </c>
      <c r="C35" s="205" t="str">
        <f t="array" ref="C35">IF(B35:B1408="", "", XLOOKUP(B35:B1408, 'Equipment Registry'!$A$2:$A$154, 'Equipment Registry'!$B$2:$B$154, "Not Found"))</f>
        <v>Limestone Apron Feeder Left Gear Box</v>
      </c>
      <c r="D35" s="302" t="str">
        <f t="array" ref="D35">IF(B35:B1408="", "", XLOOKUP(B35:B1408, 'Equipment Registry'!$A$2:$A$154, 'Equipment Registry'!$E$2:$E$154, "Not Found"))</f>
        <v>MOBIL SHC 630</v>
      </c>
      <c r="E35" s="303">
        <v>46107.0</v>
      </c>
      <c r="F35" s="304"/>
      <c r="G35" s="312"/>
      <c r="H35" s="306"/>
      <c r="I35" s="302"/>
      <c r="J35" s="307" t="s">
        <v>1000</v>
      </c>
      <c r="K35" s="313"/>
      <c r="L35" s="309" t="s">
        <v>1002</v>
      </c>
      <c r="M35" s="310">
        <v>46113.0</v>
      </c>
      <c r="N35" s="200" t="s">
        <v>1036</v>
      </c>
      <c r="O35" s="311"/>
      <c r="P35" s="200" t="s">
        <v>1037</v>
      </c>
      <c r="Q35" s="200"/>
      <c r="R35" s="58"/>
      <c r="S35" s="58"/>
      <c r="T35" s="58"/>
      <c r="U35" s="58"/>
      <c r="V35" s="58"/>
      <c r="W35" s="58"/>
      <c r="X35" s="58"/>
      <c r="Y35" s="58"/>
      <c r="Z35" s="58"/>
      <c r="AA35" s="58"/>
      <c r="AB35" s="58"/>
      <c r="AC35" s="58"/>
    </row>
    <row r="36">
      <c r="A36" s="300" t="str">
        <f t="shared" si="1"/>
        <v>O-31</v>
      </c>
      <c r="B36" s="301" t="s">
        <v>105</v>
      </c>
      <c r="C36" s="205" t="str">
        <f t="array" ref="C36">IF(B36:B1408="", "", XLOOKUP(B36:B1408, 'Equipment Registry'!$A$2:$A$154, 'Equipment Registry'!$B$2:$B$154, "Not Found"))</f>
        <v>Limestone Apron Feeder right Gear Box- BREVINI</v>
      </c>
      <c r="D36" s="302" t="str">
        <f t="array" ref="D36">IF(B36:B1408="", "", XLOOKUP(B36:B1408, 'Equipment Registry'!$A$2:$A$154, 'Equipment Registry'!$E$2:$E$154, "Not Found"))</f>
        <v>MOBIL SHC 630</v>
      </c>
      <c r="E36" s="303">
        <v>46107.0</v>
      </c>
      <c r="F36" s="304">
        <v>46082.0</v>
      </c>
      <c r="G36" s="305" t="s">
        <v>96</v>
      </c>
      <c r="H36" s="306" t="s">
        <v>1005</v>
      </c>
      <c r="I36" s="302"/>
      <c r="J36" s="307" t="s">
        <v>1000</v>
      </c>
      <c r="K36" s="308" t="s">
        <v>1038</v>
      </c>
      <c r="L36" s="309" t="s">
        <v>1002</v>
      </c>
      <c r="M36" s="310">
        <v>46113.0</v>
      </c>
      <c r="N36" s="200" t="s">
        <v>1036</v>
      </c>
      <c r="O36" s="311" t="s">
        <v>1039</v>
      </c>
      <c r="P36" s="200" t="s">
        <v>1003</v>
      </c>
      <c r="Q36" s="200"/>
      <c r="R36" s="58"/>
      <c r="S36" s="58"/>
      <c r="T36" s="58"/>
      <c r="U36" s="58"/>
      <c r="V36" s="58"/>
      <c r="W36" s="58"/>
      <c r="X36" s="58"/>
      <c r="Y36" s="58"/>
      <c r="Z36" s="58"/>
      <c r="AA36" s="58"/>
      <c r="AB36" s="58"/>
      <c r="AC36" s="58"/>
    </row>
    <row r="37">
      <c r="A37" s="300" t="str">
        <f t="shared" si="1"/>
        <v>O-32</v>
      </c>
      <c r="B37" s="301" t="s">
        <v>107</v>
      </c>
      <c r="C37" s="205" t="str">
        <f t="array" ref="C37">IF(B37:B1408="", "", XLOOKUP(B37:B1408, 'Equipment Registry'!$A$2:$A$154, 'Equipment Registry'!$B$2:$B$154, "Not Found"))</f>
        <v>Belt Conveyor Gearbox - Rossi</v>
      </c>
      <c r="D37" s="302" t="str">
        <f t="array" ref="D37">IF(B37:B1408="", "", XLOOKUP(B37:B1408, 'Equipment Registry'!$A$2:$A$154, 'Equipment Registry'!$E$2:$E$154, "Not Found"))</f>
        <v>MOBIL SHC 632</v>
      </c>
      <c r="E37" s="303">
        <v>46107.0</v>
      </c>
      <c r="F37" s="304">
        <v>46082.0</v>
      </c>
      <c r="G37" s="305" t="s">
        <v>97</v>
      </c>
      <c r="H37" s="306" t="s">
        <v>1040</v>
      </c>
      <c r="I37" s="302"/>
      <c r="J37" s="307" t="s">
        <v>1000</v>
      </c>
      <c r="K37" s="308" t="s">
        <v>1001</v>
      </c>
      <c r="L37" s="309" t="s">
        <v>1002</v>
      </c>
      <c r="M37" s="310">
        <v>46113.0</v>
      </c>
      <c r="N37" s="200" t="s">
        <v>1041</v>
      </c>
      <c r="O37" s="311" t="s">
        <v>1007</v>
      </c>
      <c r="P37" s="200" t="s">
        <v>1042</v>
      </c>
      <c r="Q37" s="200"/>
      <c r="R37" s="58"/>
      <c r="S37" s="58"/>
      <c r="T37" s="58"/>
      <c r="U37" s="58"/>
      <c r="V37" s="58"/>
      <c r="W37" s="58"/>
      <c r="X37" s="58"/>
      <c r="Y37" s="58"/>
      <c r="Z37" s="58"/>
      <c r="AA37" s="58"/>
      <c r="AB37" s="58"/>
      <c r="AC37" s="58"/>
    </row>
    <row r="38">
      <c r="A38" s="300" t="str">
        <f t="shared" si="1"/>
        <v>O-33</v>
      </c>
      <c r="B38" s="301" t="s">
        <v>108</v>
      </c>
      <c r="C38" s="205" t="str">
        <f t="array" ref="C38">IF(B38:B1408="", "", XLOOKUP(B38:B1408, 'Equipment Registry'!$A$2:$A$154, 'Equipment Registry'!$B$2:$B$154, "Not Found"))</f>
        <v>Belt conveyor first left Gearbox</v>
      </c>
      <c r="D38" s="302" t="str">
        <f t="array" ref="D38">IF(B38:B1408="", "", XLOOKUP(B38:B1408, 'Equipment Registry'!$A$2:$A$154, 'Equipment Registry'!$E$2:$E$154, "Not Found"))</f>
        <v>MOBIL SHC 630</v>
      </c>
      <c r="E38" s="303">
        <v>46107.0</v>
      </c>
      <c r="F38" s="304"/>
      <c r="G38" s="312"/>
      <c r="H38" s="306"/>
      <c r="I38" s="302"/>
      <c r="J38" s="307" t="s">
        <v>1000</v>
      </c>
      <c r="K38" s="313"/>
      <c r="L38" s="309" t="s">
        <v>1002</v>
      </c>
      <c r="M38" s="310">
        <v>46113.0</v>
      </c>
      <c r="N38" s="200" t="s">
        <v>1036</v>
      </c>
      <c r="O38" s="311"/>
      <c r="P38" s="200" t="s">
        <v>1037</v>
      </c>
      <c r="Q38" s="200"/>
      <c r="R38" s="58"/>
      <c r="S38" s="58"/>
      <c r="T38" s="58"/>
      <c r="U38" s="58"/>
      <c r="V38" s="58"/>
      <c r="W38" s="58"/>
      <c r="X38" s="58"/>
      <c r="Y38" s="58"/>
      <c r="Z38" s="58"/>
      <c r="AA38" s="58"/>
      <c r="AB38" s="58"/>
      <c r="AC38" s="58"/>
    </row>
    <row r="39">
      <c r="A39" s="300" t="str">
        <f t="shared" si="1"/>
        <v>O-34</v>
      </c>
      <c r="B39" s="301" t="s">
        <v>112</v>
      </c>
      <c r="C39" s="205" t="str">
        <f t="array" ref="C39">IF(B39:B1408="", "", XLOOKUP(B39:B1408, 'Equipment Registry'!$A$2:$A$154, 'Equipment Registry'!$B$2:$B$154, "Not Found"))</f>
        <v>Belt conveyor second right Gearbox</v>
      </c>
      <c r="D39" s="302" t="str">
        <f t="array" ref="D39">IF(B39:B1408="", "", XLOOKUP(B39:B1408, 'Equipment Registry'!$A$2:$A$154, 'Equipment Registry'!$E$2:$E$154, "Not Found"))</f>
        <v>MOBIL SHC 630</v>
      </c>
      <c r="E39" s="303">
        <v>46107.0</v>
      </c>
      <c r="F39" s="304"/>
      <c r="G39" s="312"/>
      <c r="H39" s="306"/>
      <c r="I39" s="302"/>
      <c r="J39" s="307" t="s">
        <v>1000</v>
      </c>
      <c r="K39" s="313"/>
      <c r="L39" s="309" t="s">
        <v>1002</v>
      </c>
      <c r="M39" s="310">
        <v>46113.0</v>
      </c>
      <c r="N39" s="200" t="s">
        <v>1043</v>
      </c>
      <c r="O39" s="311"/>
      <c r="P39" s="200" t="s">
        <v>1037</v>
      </c>
      <c r="Q39" s="200"/>
      <c r="R39" s="58"/>
      <c r="S39" s="58"/>
      <c r="T39" s="58"/>
      <c r="U39" s="58"/>
      <c r="V39" s="58"/>
      <c r="W39" s="58"/>
      <c r="X39" s="58"/>
      <c r="Y39" s="58"/>
      <c r="Z39" s="58"/>
      <c r="AA39" s="58"/>
      <c r="AB39" s="58"/>
      <c r="AC39" s="58"/>
    </row>
    <row r="40">
      <c r="A40" s="300" t="str">
        <f t="shared" si="1"/>
        <v>O-35</v>
      </c>
      <c r="B40" s="301" t="s">
        <v>114</v>
      </c>
      <c r="C40" s="205" t="str">
        <f t="array" ref="C40">IF(B40:B1408="", "", XLOOKUP(B40:B1408, 'Equipment Registry'!$A$2:$A$154, 'Equipment Registry'!$B$2:$B$154, "Not Found"))</f>
        <v>Inlet Roller Gear Box</v>
      </c>
      <c r="D40" s="302" t="str">
        <f t="array" ref="D40">IF(B40:B1408="", "", XLOOKUP(B40:B1408, 'Equipment Registry'!$A$2:$A$154, 'Equipment Registry'!$E$2:$E$154, "Not Found"))</f>
        <v>MOBILGEAR 600 XP 320</v>
      </c>
      <c r="E40" s="303">
        <v>46107.0</v>
      </c>
      <c r="F40" s="304"/>
      <c r="G40" s="312"/>
      <c r="H40" s="306"/>
      <c r="I40" s="302"/>
      <c r="J40" s="307" t="s">
        <v>1000</v>
      </c>
      <c r="K40" s="313"/>
      <c r="L40" s="309" t="s">
        <v>1002</v>
      </c>
      <c r="M40" s="310">
        <v>46113.0</v>
      </c>
      <c r="N40" s="200" t="s">
        <v>1044</v>
      </c>
      <c r="O40" s="311"/>
      <c r="P40" s="200" t="s">
        <v>1003</v>
      </c>
      <c r="Q40" s="200"/>
      <c r="R40" s="58"/>
      <c r="S40" s="58"/>
      <c r="T40" s="58"/>
      <c r="U40" s="58"/>
      <c r="V40" s="58"/>
      <c r="W40" s="58"/>
      <c r="X40" s="58"/>
      <c r="Y40" s="58"/>
      <c r="Z40" s="58"/>
      <c r="AA40" s="58"/>
      <c r="AB40" s="58"/>
      <c r="AC40" s="58"/>
    </row>
    <row r="41">
      <c r="A41" s="300" t="str">
        <f t="shared" si="1"/>
        <v>O-36</v>
      </c>
      <c r="B41" s="301" t="s">
        <v>115</v>
      </c>
      <c r="C41" s="205" t="str">
        <f t="array" ref="C41">IF(B41:B1408="", "", XLOOKUP(B41:B1408, 'Equipment Registry'!$A$2:$A$154, 'Equipment Registry'!$B$2:$B$154, "Not Found"))</f>
        <v>Hammer Crusher Rotor Gear Box</v>
      </c>
      <c r="D41" s="302" t="str">
        <f t="array" ref="D41">IF(B41:B1408="", "", XLOOKUP(B41:B1408, 'Equipment Registry'!$A$2:$A$154, 'Equipment Registry'!$E$2:$E$154, "Not Found"))</f>
        <v>MOBILGEAR 600 XP 320</v>
      </c>
      <c r="E41" s="303">
        <v>46107.0</v>
      </c>
      <c r="F41" s="304"/>
      <c r="G41" s="312"/>
      <c r="H41" s="306"/>
      <c r="I41" s="302"/>
      <c r="J41" s="307" t="s">
        <v>1000</v>
      </c>
      <c r="K41" s="313"/>
      <c r="L41" s="309" t="s">
        <v>1002</v>
      </c>
      <c r="M41" s="310">
        <v>46113.0</v>
      </c>
      <c r="N41" s="200" t="s">
        <v>1044</v>
      </c>
      <c r="O41" s="311"/>
      <c r="P41" s="200" t="s">
        <v>1003</v>
      </c>
      <c r="Q41" s="200"/>
      <c r="R41" s="58"/>
      <c r="S41" s="58"/>
      <c r="T41" s="58"/>
      <c r="U41" s="58"/>
      <c r="V41" s="58"/>
      <c r="W41" s="58"/>
      <c r="X41" s="58"/>
      <c r="Y41" s="58"/>
      <c r="Z41" s="58"/>
      <c r="AA41" s="58"/>
      <c r="AB41" s="58"/>
      <c r="AC41" s="58"/>
    </row>
    <row r="42">
      <c r="A42" s="300" t="str">
        <f t="shared" si="1"/>
        <v>O-37</v>
      </c>
      <c r="B42" s="301" t="s">
        <v>117</v>
      </c>
      <c r="C42" s="205" t="str">
        <f t="array" ref="C42">IF(B42:B1408="", "", XLOOKUP(B42:B1408, 'Equipment Registry'!$A$2:$A$154, 'Equipment Registry'!$B$2:$B$154, "Not Found"))</f>
        <v>Belt Conveyor Gearbox</v>
      </c>
      <c r="D42" s="302" t="str">
        <f t="array" ref="D42">IF(B42:B1408="", "", XLOOKUP(B42:B1408, 'Equipment Registry'!$A$2:$A$154, 'Equipment Registry'!$E$2:$E$154, "Not Found"))</f>
        <v>MOBIL SHC 630</v>
      </c>
      <c r="E42" s="303">
        <v>46107.0</v>
      </c>
      <c r="F42" s="304">
        <v>46082.0</v>
      </c>
      <c r="G42" s="305" t="s">
        <v>96</v>
      </c>
      <c r="H42" s="306" t="s">
        <v>1005</v>
      </c>
      <c r="I42" s="302"/>
      <c r="J42" s="307" t="s">
        <v>1000</v>
      </c>
      <c r="K42" s="308" t="s">
        <v>1038</v>
      </c>
      <c r="L42" s="309" t="s">
        <v>1002</v>
      </c>
      <c r="M42" s="310">
        <v>46113.0</v>
      </c>
      <c r="N42" s="200" t="s">
        <v>1036</v>
      </c>
      <c r="O42" s="311" t="s">
        <v>1045</v>
      </c>
      <c r="P42" s="200" t="s">
        <v>1046</v>
      </c>
      <c r="Q42" s="200"/>
      <c r="R42" s="58"/>
      <c r="S42" s="58"/>
      <c r="T42" s="58"/>
      <c r="U42" s="58"/>
      <c r="V42" s="58"/>
      <c r="W42" s="58"/>
      <c r="X42" s="58"/>
      <c r="Y42" s="58"/>
      <c r="Z42" s="58"/>
      <c r="AA42" s="58"/>
      <c r="AB42" s="58"/>
      <c r="AC42" s="58"/>
    </row>
    <row r="43">
      <c r="A43" s="300" t="str">
        <f t="shared" si="1"/>
        <v>O-38</v>
      </c>
      <c r="B43" s="301" t="s">
        <v>121</v>
      </c>
      <c r="C43" s="205" t="str">
        <f t="array" ref="C43">IF(B43:B1408="", "", XLOOKUP(B43:B1408, 'Equipment Registry'!$A$2:$A$154, 'Equipment Registry'!$B$2:$B$154, "Not Found"))</f>
        <v>Take up unit Tank for Scraper Chain</v>
      </c>
      <c r="D43" s="302" t="str">
        <f t="array" ref="D43">IF(B43:B1408="", "", XLOOKUP(B43:B1408, 'Equipment Registry'!$A$2:$A$154, 'Equipment Registry'!$E$2:$E$154, "Not Found"))</f>
        <v>MOBIL DTE 25</v>
      </c>
      <c r="E43" s="303">
        <v>46107.0</v>
      </c>
      <c r="F43" s="304"/>
      <c r="G43" s="312"/>
      <c r="H43" s="306"/>
      <c r="I43" s="302"/>
      <c r="J43" s="307" t="s">
        <v>1000</v>
      </c>
      <c r="K43" s="313"/>
      <c r="L43" s="309" t="s">
        <v>1002</v>
      </c>
      <c r="M43" s="310">
        <v>46113.0</v>
      </c>
      <c r="N43" s="200" t="s">
        <v>1044</v>
      </c>
      <c r="O43" s="311"/>
      <c r="P43" s="200" t="s">
        <v>1003</v>
      </c>
      <c r="Q43" s="200"/>
      <c r="R43" s="58"/>
      <c r="S43" s="58"/>
      <c r="T43" s="58"/>
      <c r="U43" s="58"/>
      <c r="V43" s="58"/>
      <c r="W43" s="58"/>
      <c r="X43" s="58"/>
      <c r="Y43" s="58"/>
      <c r="Z43" s="58"/>
      <c r="AA43" s="58"/>
      <c r="AB43" s="58"/>
      <c r="AC43" s="58"/>
    </row>
    <row r="44">
      <c r="A44" s="300" t="str">
        <f t="shared" si="1"/>
        <v>O-39</v>
      </c>
      <c r="B44" s="301" t="s">
        <v>122</v>
      </c>
      <c r="C44" s="205" t="str">
        <f t="array" ref="C44">IF(B44:B1408="", "", XLOOKUP(B44:B1408, 'Equipment Registry'!$A$2:$A$154, 'Equipment Registry'!$B$2:$B$154, "Not Found"))</f>
        <v>Reclaimer Chain Scraper gearbox</v>
      </c>
      <c r="D44" s="302" t="str">
        <f t="array" ref="D44">IF(B44:B1408="", "", XLOOKUP(B44:B1408, 'Equipment Registry'!$A$2:$A$154, 'Equipment Registry'!$E$2:$E$154, "Not Found"))</f>
        <v>MOBILGEAR 600 XP 320</v>
      </c>
      <c r="E44" s="303">
        <v>46107.0</v>
      </c>
      <c r="F44" s="304"/>
      <c r="G44" s="312"/>
      <c r="H44" s="306"/>
      <c r="I44" s="302"/>
      <c r="J44" s="307" t="s">
        <v>1000</v>
      </c>
      <c r="K44" s="313"/>
      <c r="L44" s="309" t="s">
        <v>1002</v>
      </c>
      <c r="M44" s="310">
        <v>46113.0</v>
      </c>
      <c r="N44" s="200" t="s">
        <v>1044</v>
      </c>
      <c r="O44" s="311"/>
      <c r="P44" s="200" t="s">
        <v>1003</v>
      </c>
      <c r="Q44" s="200"/>
      <c r="R44" s="58"/>
      <c r="S44" s="58"/>
      <c r="T44" s="58"/>
      <c r="U44" s="58"/>
      <c r="V44" s="58"/>
      <c r="W44" s="58"/>
      <c r="X44" s="58"/>
      <c r="Y44" s="58"/>
      <c r="Z44" s="58"/>
      <c r="AA44" s="58"/>
      <c r="AB44" s="58"/>
      <c r="AC44" s="58"/>
    </row>
    <row r="45">
      <c r="A45" s="300" t="str">
        <f t="shared" si="1"/>
        <v>O-40</v>
      </c>
      <c r="B45" s="301" t="s">
        <v>123</v>
      </c>
      <c r="C45" s="205" t="str">
        <f t="array" ref="C45">IF(B45:B1408="", "", XLOOKUP(B45:B1408, 'Equipment Registry'!$A$2:$A$154, 'Equipment Registry'!$B$2:$B$154, "Not Found"))</f>
        <v>Reclaimer Chain Scraper gearbox</v>
      </c>
      <c r="D45" s="302" t="str">
        <f t="array" ref="D45">IF(B45:B1408="", "", XLOOKUP(B45:B1408, 'Equipment Registry'!$A$2:$A$154, 'Equipment Registry'!$E$2:$E$154, "Not Found"))</f>
        <v>MOBILGEAR 600 XP 320</v>
      </c>
      <c r="E45" s="303">
        <v>46107.0</v>
      </c>
      <c r="F45" s="304"/>
      <c r="G45" s="312"/>
      <c r="H45" s="306"/>
      <c r="I45" s="302"/>
      <c r="J45" s="307" t="s">
        <v>1000</v>
      </c>
      <c r="K45" s="313"/>
      <c r="L45" s="309" t="s">
        <v>1002</v>
      </c>
      <c r="M45" s="310">
        <v>46113.0</v>
      </c>
      <c r="N45" s="200" t="s">
        <v>1044</v>
      </c>
      <c r="O45" s="311"/>
      <c r="P45" s="200" t="s">
        <v>1003</v>
      </c>
      <c r="Q45" s="200"/>
      <c r="R45" s="58"/>
      <c r="S45" s="58"/>
      <c r="T45" s="58"/>
      <c r="U45" s="58"/>
      <c r="V45" s="58"/>
      <c r="W45" s="58"/>
      <c r="X45" s="58"/>
      <c r="Y45" s="58"/>
      <c r="Z45" s="58"/>
      <c r="AA45" s="58"/>
      <c r="AB45" s="58"/>
      <c r="AC45" s="58"/>
    </row>
    <row r="46">
      <c r="A46" s="300" t="str">
        <f t="shared" si="1"/>
        <v>O-41</v>
      </c>
      <c r="B46" s="301" t="s">
        <v>124</v>
      </c>
      <c r="C46" s="205" t="str">
        <f t="array" ref="C46">IF(B46:B1408="", "", XLOOKUP(B46:B1408, 'Equipment Registry'!$A$2:$A$154, 'Equipment Registry'!$B$2:$B$154, "Not Found"))</f>
        <v>Jib arm Hydraulic Pump Station </v>
      </c>
      <c r="D46" s="302" t="str">
        <f t="array" ref="D46">IF(B46:B1408="", "", XLOOKUP(B46:B1408, 'Equipment Registry'!$A$2:$A$154, 'Equipment Registry'!$E$2:$E$154, "Not Found"))</f>
        <v>MOBIL DTE 25</v>
      </c>
      <c r="E46" s="303">
        <v>46107.0</v>
      </c>
      <c r="F46" s="304"/>
      <c r="G46" s="312"/>
      <c r="H46" s="306"/>
      <c r="I46" s="302"/>
      <c r="J46" s="307" t="s">
        <v>1000</v>
      </c>
      <c r="K46" s="313"/>
      <c r="L46" s="309" t="s">
        <v>1002</v>
      </c>
      <c r="M46" s="310">
        <v>46113.0</v>
      </c>
      <c r="N46" s="200" t="s">
        <v>1047</v>
      </c>
      <c r="O46" s="311"/>
      <c r="P46" s="200" t="s">
        <v>1047</v>
      </c>
      <c r="Q46" s="200"/>
      <c r="R46" s="58"/>
      <c r="S46" s="58"/>
      <c r="T46" s="58"/>
      <c r="U46" s="58"/>
      <c r="V46" s="58"/>
      <c r="W46" s="58"/>
      <c r="X46" s="58"/>
      <c r="Y46" s="58"/>
      <c r="Z46" s="58"/>
      <c r="AA46" s="58"/>
      <c r="AB46" s="58"/>
      <c r="AC46" s="58"/>
    </row>
    <row r="47">
      <c r="A47" s="300" t="str">
        <f t="shared" si="1"/>
        <v>O-42</v>
      </c>
      <c r="B47" s="301" t="s">
        <v>125</v>
      </c>
      <c r="C47" s="205" t="str">
        <f t="array" ref="C47">IF(B47:B1408="", "", XLOOKUP(B47:B1408, 'Equipment Registry'!$A$2:$A$154, 'Equipment Registry'!$B$2:$B$154, "Not Found"))</f>
        <v>Stacker Belt gearbox</v>
      </c>
      <c r="D47" s="302" t="str">
        <f t="array" ref="D47">IF(B47:B1408="", "", XLOOKUP(B47:B1408, 'Equipment Registry'!$A$2:$A$154, 'Equipment Registry'!$E$2:$E$154, "Not Found"))</f>
        <v>MOBILGEAR 600 XP 320</v>
      </c>
      <c r="E47" s="303">
        <v>46079.0</v>
      </c>
      <c r="F47" s="304">
        <v>45962.0</v>
      </c>
      <c r="G47" s="312" t="s">
        <v>97</v>
      </c>
      <c r="H47" s="306" t="s">
        <v>1048</v>
      </c>
      <c r="I47" s="302"/>
      <c r="J47" s="307" t="s">
        <v>1000</v>
      </c>
      <c r="K47" s="313"/>
      <c r="L47" s="309" t="s">
        <v>1002</v>
      </c>
      <c r="M47" s="310">
        <v>46113.0</v>
      </c>
      <c r="N47" s="205"/>
      <c r="O47" s="311" t="s">
        <v>1049</v>
      </c>
      <c r="P47" s="200" t="s">
        <v>1050</v>
      </c>
      <c r="Q47" s="200"/>
      <c r="R47" s="58"/>
      <c r="S47" s="58"/>
      <c r="T47" s="58"/>
      <c r="U47" s="58"/>
      <c r="V47" s="58"/>
      <c r="W47" s="58"/>
      <c r="X47" s="58"/>
      <c r="Y47" s="58"/>
      <c r="Z47" s="58"/>
      <c r="AA47" s="58"/>
      <c r="AB47" s="58"/>
      <c r="AC47" s="58"/>
    </row>
    <row r="48">
      <c r="A48" s="300" t="str">
        <f t="shared" si="1"/>
        <v>O-43</v>
      </c>
      <c r="B48" s="301" t="s">
        <v>125</v>
      </c>
      <c r="C48" s="205" t="str">
        <f t="array" ref="C48">IF(B48:B1408="", "", XLOOKUP(B48:B1408, 'Equipment Registry'!$A$2:$A$154, 'Equipment Registry'!$B$2:$B$154, "Not Found"))</f>
        <v>Stacker Belt gearbox</v>
      </c>
      <c r="D48" s="302" t="str">
        <f t="array" ref="D48">IF(B48:B1408="", "", XLOOKUP(B48:B1408, 'Equipment Registry'!$A$2:$A$154, 'Equipment Registry'!$E$2:$E$154, "Not Found"))</f>
        <v>MOBILGEAR 600 XP 320</v>
      </c>
      <c r="E48" s="303">
        <v>46107.0</v>
      </c>
      <c r="F48" s="304"/>
      <c r="G48" s="312"/>
      <c r="H48" s="306"/>
      <c r="I48" s="302"/>
      <c r="J48" s="307" t="s">
        <v>1000</v>
      </c>
      <c r="K48" s="313"/>
      <c r="L48" s="309" t="s">
        <v>1002</v>
      </c>
      <c r="M48" s="310">
        <v>46113.0</v>
      </c>
      <c r="N48" s="200" t="s">
        <v>1051</v>
      </c>
      <c r="O48" s="311"/>
      <c r="P48" s="200" t="s">
        <v>1051</v>
      </c>
      <c r="Q48" s="200"/>
      <c r="R48" s="58"/>
      <c r="S48" s="58"/>
      <c r="T48" s="58"/>
      <c r="U48" s="58"/>
      <c r="V48" s="58"/>
      <c r="W48" s="58"/>
      <c r="X48" s="58"/>
      <c r="Y48" s="58"/>
      <c r="Z48" s="58"/>
      <c r="AA48" s="58"/>
      <c r="AB48" s="58"/>
      <c r="AC48" s="58"/>
    </row>
    <row r="49">
      <c r="A49" s="300" t="str">
        <f t="shared" si="1"/>
        <v>O-44</v>
      </c>
      <c r="B49" s="301" t="s">
        <v>126</v>
      </c>
      <c r="C49" s="205" t="str">
        <f t="array" ref="C49">IF(B49:B1408="", "", XLOOKUP(B49:B1408, 'Equipment Registry'!$A$2:$A$154, 'Equipment Registry'!$B$2:$B$154, "Not Found"))</f>
        <v>Stacker Belt gearbox</v>
      </c>
      <c r="D49" s="302" t="str">
        <f t="array" ref="D49">IF(B49:B1408="", "", XLOOKUP(B49:B1408, 'Equipment Registry'!$A$2:$A$154, 'Equipment Registry'!$E$2:$E$154, "Not Found"))</f>
        <v>MOBILGEAR 600 XP 320</v>
      </c>
      <c r="E49" s="303">
        <v>46079.0</v>
      </c>
      <c r="F49" s="304">
        <v>45962.0</v>
      </c>
      <c r="G49" s="312" t="s">
        <v>97</v>
      </c>
      <c r="H49" s="306" t="s">
        <v>1052</v>
      </c>
      <c r="I49" s="302"/>
      <c r="J49" s="307" t="s">
        <v>1000</v>
      </c>
      <c r="K49" s="313"/>
      <c r="L49" s="309" t="s">
        <v>1002</v>
      </c>
      <c r="M49" s="310">
        <v>46113.0</v>
      </c>
      <c r="N49" s="205"/>
      <c r="O49" s="311" t="s">
        <v>1053</v>
      </c>
      <c r="P49" s="200" t="s">
        <v>1050</v>
      </c>
      <c r="Q49" s="200"/>
      <c r="R49" s="58"/>
      <c r="S49" s="58"/>
      <c r="T49" s="58"/>
      <c r="U49" s="58"/>
      <c r="V49" s="58"/>
      <c r="W49" s="58"/>
      <c r="X49" s="58"/>
      <c r="Y49" s="58"/>
      <c r="Z49" s="58"/>
      <c r="AA49" s="58"/>
      <c r="AB49" s="58"/>
      <c r="AC49" s="58"/>
    </row>
    <row r="50">
      <c r="A50" s="300" t="str">
        <f t="shared" si="1"/>
        <v>O-45</v>
      </c>
      <c r="B50" s="301" t="s">
        <v>126</v>
      </c>
      <c r="C50" s="205" t="str">
        <f t="array" ref="C50">IF(B50:B1408="", "", XLOOKUP(B50:B1408, 'Equipment Registry'!$A$2:$A$154, 'Equipment Registry'!$B$2:$B$154, "Not Found"))</f>
        <v>Stacker Belt gearbox</v>
      </c>
      <c r="D50" s="302" t="str">
        <f t="array" ref="D50">IF(B50:B1408="", "", XLOOKUP(B50:B1408, 'Equipment Registry'!$A$2:$A$154, 'Equipment Registry'!$E$2:$E$154, "Not Found"))</f>
        <v>MOBILGEAR 600 XP 320</v>
      </c>
      <c r="E50" s="303">
        <v>46107.0</v>
      </c>
      <c r="F50" s="304"/>
      <c r="G50" s="312"/>
      <c r="H50" s="306"/>
      <c r="I50" s="302"/>
      <c r="J50" s="307" t="s">
        <v>1000</v>
      </c>
      <c r="K50" s="313"/>
      <c r="L50" s="309" t="s">
        <v>1002</v>
      </c>
      <c r="M50" s="310">
        <v>46113.0</v>
      </c>
      <c r="N50" s="200" t="s">
        <v>1051</v>
      </c>
      <c r="O50" s="311"/>
      <c r="P50" s="200" t="s">
        <v>1051</v>
      </c>
      <c r="Q50" s="200"/>
      <c r="R50" s="58"/>
      <c r="S50" s="58"/>
      <c r="T50" s="58"/>
      <c r="U50" s="58"/>
      <c r="V50" s="58"/>
      <c r="W50" s="58"/>
      <c r="X50" s="58"/>
      <c r="Y50" s="58"/>
      <c r="Z50" s="58"/>
      <c r="AA50" s="58"/>
      <c r="AB50" s="58"/>
      <c r="AC50" s="58"/>
    </row>
    <row r="51">
      <c r="A51" s="300" t="str">
        <f t="shared" si="1"/>
        <v>O-46</v>
      </c>
      <c r="B51" s="301" t="s">
        <v>130</v>
      </c>
      <c r="C51" s="205" t="str">
        <f t="array" ref="C51">IF(B51:B1408="", "", XLOOKUP(B51:B1408, 'Equipment Registry'!$A$2:$A$154, 'Equipment Registry'!$B$2:$B$154, "Not Found"))</f>
        <v>Cargo floor hydraulic tank</v>
      </c>
      <c r="D51" s="302" t="str">
        <f t="array" ref="D51">IF(B51:B1408="", "", XLOOKUP(B51:B1408, 'Equipment Registry'!$A$2:$A$154, 'Equipment Registry'!$E$2:$E$154, "Not Found"))</f>
        <v>MOBIL DTE 25</v>
      </c>
      <c r="E51" s="303">
        <v>46107.0</v>
      </c>
      <c r="F51" s="304"/>
      <c r="G51" s="312"/>
      <c r="H51" s="306"/>
      <c r="I51" s="302"/>
      <c r="J51" s="307" t="s">
        <v>1000</v>
      </c>
      <c r="K51" s="313"/>
      <c r="L51" s="309" t="s">
        <v>1002</v>
      </c>
      <c r="M51" s="310">
        <v>46113.0</v>
      </c>
      <c r="N51" s="200" t="s">
        <v>1054</v>
      </c>
      <c r="O51" s="311"/>
      <c r="P51" s="200" t="s">
        <v>1055</v>
      </c>
      <c r="Q51" s="200"/>
      <c r="R51" s="58"/>
      <c r="S51" s="58"/>
      <c r="T51" s="58"/>
      <c r="U51" s="58"/>
      <c r="V51" s="58"/>
      <c r="W51" s="58"/>
      <c r="X51" s="58"/>
      <c r="Y51" s="58"/>
      <c r="Z51" s="58"/>
      <c r="AA51" s="58"/>
      <c r="AB51" s="58"/>
      <c r="AC51" s="58"/>
    </row>
    <row r="52">
      <c r="A52" s="300" t="str">
        <f t="shared" si="1"/>
        <v>O-47</v>
      </c>
      <c r="B52" s="301" t="s">
        <v>133</v>
      </c>
      <c r="C52" s="205" t="str">
        <f t="array" ref="C52">IF(B52:B1408="", "", XLOOKUP(B52:B1408, 'Equipment Registry'!$A$2:$A$154, 'Equipment Registry'!$B$2:$B$154, "Not Found"))</f>
        <v>Raw Mill free bearing</v>
      </c>
      <c r="D52" s="302" t="str">
        <f t="array" ref="D52">IF(B52:B1408="", "", XLOOKUP(B52:B1408, 'Equipment Registry'!$A$2:$A$154, 'Equipment Registry'!$E$2:$E$154, "Not Found"))</f>
        <v>MOBIL DTE 26</v>
      </c>
      <c r="E52" s="303">
        <v>46107.0</v>
      </c>
      <c r="F52" s="304">
        <v>46082.0</v>
      </c>
      <c r="G52" s="305" t="s">
        <v>97</v>
      </c>
      <c r="H52" s="306" t="s">
        <v>1056</v>
      </c>
      <c r="I52" s="302"/>
      <c r="J52" s="307" t="s">
        <v>1000</v>
      </c>
      <c r="K52" s="308" t="s">
        <v>1057</v>
      </c>
      <c r="L52" s="309" t="s">
        <v>1002</v>
      </c>
      <c r="M52" s="310">
        <v>46113.0</v>
      </c>
      <c r="N52" s="200" t="s">
        <v>1058</v>
      </c>
      <c r="O52" s="311" t="s">
        <v>1059</v>
      </c>
      <c r="P52" s="200" t="s">
        <v>1060</v>
      </c>
      <c r="Q52" s="200"/>
      <c r="R52" s="58"/>
      <c r="S52" s="58"/>
      <c r="T52" s="58"/>
      <c r="U52" s="58"/>
      <c r="V52" s="58"/>
      <c r="W52" s="58"/>
      <c r="X52" s="58"/>
      <c r="Y52" s="58"/>
      <c r="Z52" s="58"/>
      <c r="AA52" s="58"/>
      <c r="AB52" s="58"/>
      <c r="AC52" s="58"/>
    </row>
    <row r="53">
      <c r="A53" s="300" t="str">
        <f t="shared" si="1"/>
        <v>O-48</v>
      </c>
      <c r="B53" s="301" t="s">
        <v>134</v>
      </c>
      <c r="C53" s="205" t="str">
        <f t="array" ref="C53">IF(B53:B1408="", "", XLOOKUP(B53:B1408, 'Equipment Registry'!$A$2:$A$154, 'Equipment Registry'!$B$2:$B$154, "Not Found"))</f>
        <v>Raw Mill fan fixed bearing</v>
      </c>
      <c r="D53" s="302" t="str">
        <f t="array" ref="D53">IF(B53:B1408="", "", XLOOKUP(B53:B1408, 'Equipment Registry'!$A$2:$A$154, 'Equipment Registry'!$E$2:$E$154, "Not Found"))</f>
        <v>MOBIL DTE 26</v>
      </c>
      <c r="E53" s="303">
        <v>46107.0</v>
      </c>
      <c r="F53" s="304"/>
      <c r="G53" s="312"/>
      <c r="H53" s="306"/>
      <c r="I53" s="302"/>
      <c r="J53" s="307" t="s">
        <v>1000</v>
      </c>
      <c r="K53" s="313"/>
      <c r="L53" s="309" t="s">
        <v>1002</v>
      </c>
      <c r="M53" s="310">
        <v>46113.0</v>
      </c>
      <c r="N53" s="200" t="s">
        <v>1058</v>
      </c>
      <c r="O53" s="311"/>
      <c r="P53" s="200" t="s">
        <v>1060</v>
      </c>
      <c r="Q53" s="200"/>
      <c r="R53" s="58"/>
      <c r="S53" s="58"/>
      <c r="T53" s="58"/>
      <c r="U53" s="58"/>
      <c r="V53" s="58"/>
      <c r="W53" s="58"/>
      <c r="X53" s="58"/>
      <c r="Y53" s="58"/>
      <c r="Z53" s="58"/>
      <c r="AA53" s="58"/>
      <c r="AB53" s="58"/>
      <c r="AC53" s="58"/>
    </row>
    <row r="54">
      <c r="A54" s="300" t="str">
        <f t="shared" si="1"/>
        <v>O-49</v>
      </c>
      <c r="B54" s="301" t="s">
        <v>135</v>
      </c>
      <c r="C54" s="205" t="str">
        <f t="array" ref="C54">IF(B54:B1408="", "", XLOOKUP(B54:B1408, 'Equipment Registry'!$A$2:$A$154, 'Equipment Registry'!$B$2:$B$154, "Not Found"))</f>
        <v>Hydraulic tensioning system for mill</v>
      </c>
      <c r="D54" s="302" t="str">
        <f t="array" ref="D54">IF(B54:B1408="", "", XLOOKUP(B54:B1408, 'Equipment Registry'!$A$2:$A$154, 'Equipment Registry'!$E$2:$E$154, "Not Found"))</f>
        <v>MOBIL DTE 25</v>
      </c>
      <c r="E54" s="303">
        <v>46107.0</v>
      </c>
      <c r="F54" s="304">
        <v>46082.0</v>
      </c>
      <c r="G54" s="305" t="s">
        <v>96</v>
      </c>
      <c r="H54" s="306" t="s">
        <v>1005</v>
      </c>
      <c r="I54" s="302"/>
      <c r="J54" s="307" t="s">
        <v>1000</v>
      </c>
      <c r="K54" s="308" t="s">
        <v>1061</v>
      </c>
      <c r="L54" s="309" t="s">
        <v>1002</v>
      </c>
      <c r="M54" s="310">
        <v>46113.0</v>
      </c>
      <c r="N54" s="205"/>
      <c r="O54" s="311" t="s">
        <v>1045</v>
      </c>
      <c r="P54" s="200" t="s">
        <v>1062</v>
      </c>
      <c r="Q54" s="200"/>
      <c r="R54" s="58"/>
      <c r="S54" s="58"/>
      <c r="T54" s="58"/>
      <c r="U54" s="58"/>
      <c r="V54" s="58"/>
      <c r="W54" s="58"/>
      <c r="X54" s="58"/>
      <c r="Y54" s="58"/>
      <c r="Z54" s="58"/>
      <c r="AA54" s="58"/>
      <c r="AB54" s="58"/>
      <c r="AC54" s="58"/>
    </row>
    <row r="55">
      <c r="A55" s="300" t="str">
        <f t="shared" si="1"/>
        <v>O-50</v>
      </c>
      <c r="B55" s="301" t="s">
        <v>140</v>
      </c>
      <c r="C55" s="205" t="str">
        <f t="array" ref="C55">IF(B55:B1408="", "", XLOOKUP(B55:B1408, 'Equipment Registry'!$A$2:$A$154, 'Equipment Registry'!$B$2:$B$154, "Not Found"))</f>
        <v>Roller Lubrication Unit (Tank)</v>
      </c>
      <c r="D55" s="302" t="str">
        <f t="array" ref="D55">IF(B55:B1408="", "", XLOOKUP(B55:B1408, 'Equipment Registry'!$A$2:$A$154, 'Equipment Registry'!$E$2:$E$154, "Not Found"))</f>
        <v>MOBIL SHC 639</v>
      </c>
      <c r="E55" s="303">
        <v>46107.0</v>
      </c>
      <c r="F55" s="304">
        <v>46082.0</v>
      </c>
      <c r="G55" s="305" t="s">
        <v>97</v>
      </c>
      <c r="H55" s="306" t="s">
        <v>1063</v>
      </c>
      <c r="I55" s="302"/>
      <c r="J55" s="307" t="s">
        <v>1000</v>
      </c>
      <c r="K55" s="308" t="s">
        <v>1064</v>
      </c>
      <c r="L55" s="309" t="s">
        <v>1002</v>
      </c>
      <c r="M55" s="310">
        <v>46113.0</v>
      </c>
      <c r="N55" s="200" t="s">
        <v>1065</v>
      </c>
      <c r="O55" s="311" t="s">
        <v>1066</v>
      </c>
      <c r="P55" s="200" t="s">
        <v>1067</v>
      </c>
      <c r="Q55" s="200"/>
      <c r="R55" s="58"/>
      <c r="S55" s="58"/>
      <c r="T55" s="58"/>
      <c r="U55" s="58"/>
      <c r="V55" s="58"/>
      <c r="W55" s="58"/>
      <c r="X55" s="58"/>
      <c r="Y55" s="58"/>
      <c r="Z55" s="58"/>
      <c r="AA55" s="58"/>
      <c r="AB55" s="58"/>
      <c r="AC55" s="58"/>
    </row>
    <row r="56">
      <c r="A56" s="300" t="str">
        <f t="shared" si="1"/>
        <v>O-51</v>
      </c>
      <c r="B56" s="301" t="s">
        <v>141</v>
      </c>
      <c r="C56" s="205" t="str">
        <f t="array" ref="C56">IF(B56:B1408="", "", XLOOKUP(B56:B1408, 'Equipment Registry'!$A$2:$A$154, 'Equipment Registry'!$B$2:$B$154, "Not Found"))</f>
        <v>Gear lubrication Gear Box</v>
      </c>
      <c r="D56" s="302" t="str">
        <f t="array" ref="D56">IF(B56:B1408="", "", XLOOKUP(B56:B1408, 'Equipment Registry'!$A$2:$A$154, 'Equipment Registry'!$E$2:$E$154, "Not Found"))</f>
        <v>MOBILGEAR 600 XP 320</v>
      </c>
      <c r="E56" s="303">
        <v>46107.0</v>
      </c>
      <c r="F56" s="304">
        <v>46082.0</v>
      </c>
      <c r="G56" s="305" t="s">
        <v>97</v>
      </c>
      <c r="H56" s="306" t="s">
        <v>1068</v>
      </c>
      <c r="I56" s="302"/>
      <c r="J56" s="307" t="s">
        <v>1000</v>
      </c>
      <c r="K56" s="308" t="s">
        <v>1069</v>
      </c>
      <c r="L56" s="309" t="s">
        <v>1002</v>
      </c>
      <c r="M56" s="310">
        <v>46113.0</v>
      </c>
      <c r="N56" s="200" t="s">
        <v>1070</v>
      </c>
      <c r="O56" s="311" t="s">
        <v>1071</v>
      </c>
      <c r="P56" s="200" t="s">
        <v>1072</v>
      </c>
      <c r="Q56" s="200"/>
      <c r="R56" s="58"/>
      <c r="S56" s="58"/>
      <c r="T56" s="58"/>
      <c r="U56" s="58"/>
      <c r="V56" s="58"/>
      <c r="W56" s="58"/>
      <c r="X56" s="58"/>
      <c r="Y56" s="58"/>
      <c r="Z56" s="58"/>
      <c r="AA56" s="58"/>
      <c r="AB56" s="58"/>
      <c r="AC56" s="58"/>
    </row>
    <row r="57">
      <c r="A57" s="300" t="str">
        <f t="shared" si="1"/>
        <v>O-52</v>
      </c>
      <c r="B57" s="301" t="s">
        <v>142</v>
      </c>
      <c r="C57" s="205" t="str">
        <f t="array" ref="C57">IF(B57:B1408="", "", XLOOKUP(B57:B1408, 'Equipment Registry'!$A$2:$A$154, 'Equipment Registry'!$B$2:$B$154, "Not Found"))</f>
        <v>Gear lubrication pump station Tank</v>
      </c>
      <c r="D57" s="302" t="str">
        <f t="array" ref="D57">IF(B57:B1408="", "", XLOOKUP(B57:B1408, 'Equipment Registry'!$A$2:$A$154, 'Equipment Registry'!$E$2:$E$154, "Not Found"))</f>
        <v>MOBILGEAR 600 XP 320</v>
      </c>
      <c r="E57" s="303">
        <v>46107.0</v>
      </c>
      <c r="F57" s="304"/>
      <c r="G57" s="312"/>
      <c r="H57" s="306"/>
      <c r="I57" s="302"/>
      <c r="J57" s="307" t="s">
        <v>1000</v>
      </c>
      <c r="K57" s="313"/>
      <c r="L57" s="309" t="s">
        <v>1002</v>
      </c>
      <c r="M57" s="310">
        <v>46113.0</v>
      </c>
      <c r="N57" s="200" t="s">
        <v>1070</v>
      </c>
      <c r="O57" s="311"/>
      <c r="P57" s="200" t="s">
        <v>1072</v>
      </c>
      <c r="Q57" s="200"/>
      <c r="R57" s="58"/>
      <c r="S57" s="58"/>
      <c r="T57" s="58"/>
      <c r="U57" s="58"/>
      <c r="V57" s="58"/>
      <c r="W57" s="58"/>
      <c r="X57" s="58"/>
      <c r="Y57" s="58"/>
      <c r="Z57" s="58"/>
      <c r="AA57" s="58"/>
      <c r="AB57" s="58"/>
      <c r="AC57" s="58"/>
    </row>
    <row r="58">
      <c r="A58" s="300" t="str">
        <f t="shared" si="1"/>
        <v>O-53</v>
      </c>
      <c r="B58" s="301" t="s">
        <v>143</v>
      </c>
      <c r="C58" s="205" t="str">
        <f t="array" ref="C58">IF(B58:B1408="", "", XLOOKUP(B58:B1408, 'Equipment Registry'!$A$2:$A$154, 'Equipment Registry'!$B$2:$B$154, "Not Found"))</f>
        <v>Dynamic Separator Gearbox </v>
      </c>
      <c r="D58" s="302" t="str">
        <f t="array" ref="D58">IF(B58:B1408="", "", XLOOKUP(B58:B1408, 'Equipment Registry'!$A$2:$A$154, 'Equipment Registry'!$E$2:$E$154, "Not Found"))</f>
        <v>MOBIL SHC 632</v>
      </c>
      <c r="E58" s="303">
        <v>46107.0</v>
      </c>
      <c r="F58" s="304"/>
      <c r="G58" s="312"/>
      <c r="H58" s="306"/>
      <c r="I58" s="302"/>
      <c r="J58" s="307" t="s">
        <v>1000</v>
      </c>
      <c r="K58" s="313"/>
      <c r="L58" s="309" t="s">
        <v>1002</v>
      </c>
      <c r="M58" s="310">
        <v>46113.0</v>
      </c>
      <c r="N58" s="200" t="s">
        <v>1073</v>
      </c>
      <c r="O58" s="311"/>
      <c r="P58" s="200" t="s">
        <v>1003</v>
      </c>
      <c r="Q58" s="200"/>
      <c r="R58" s="58"/>
      <c r="S58" s="58"/>
      <c r="T58" s="58"/>
      <c r="U58" s="58"/>
      <c r="V58" s="58"/>
      <c r="W58" s="58"/>
      <c r="X58" s="58"/>
      <c r="Y58" s="58"/>
      <c r="Z58" s="58"/>
      <c r="AA58" s="58"/>
      <c r="AB58" s="58"/>
      <c r="AC58" s="58"/>
    </row>
    <row r="59">
      <c r="A59" s="300" t="str">
        <f t="shared" si="1"/>
        <v>O-54</v>
      </c>
      <c r="B59" s="301" t="s">
        <v>145</v>
      </c>
      <c r="C59" s="205" t="str">
        <f t="array" ref="C59">IF(B59:B1408="", "", XLOOKUP(B59:B1408, 'Equipment Registry'!$A$2:$A$154, 'Equipment Registry'!$B$2:$B$154, "Not Found"))</f>
        <v>R2 Bucket  Elevator Gearbox </v>
      </c>
      <c r="D59" s="302" t="str">
        <f t="array" ref="D59">IF(B59:B1408="", "", XLOOKUP(B59:B1408, 'Equipment Registry'!$A$2:$A$154, 'Equipment Registry'!$E$2:$E$154, "Not Found"))</f>
        <v>MOBILGEAR 600 XP 320</v>
      </c>
      <c r="E59" s="303">
        <v>46107.0</v>
      </c>
      <c r="F59" s="304"/>
      <c r="G59" s="312"/>
      <c r="H59" s="306"/>
      <c r="I59" s="302"/>
      <c r="J59" s="307" t="s">
        <v>1000</v>
      </c>
      <c r="K59" s="313"/>
      <c r="L59" s="309" t="s">
        <v>1002</v>
      </c>
      <c r="M59" s="310">
        <v>46113.0</v>
      </c>
      <c r="N59" s="200" t="s">
        <v>1044</v>
      </c>
      <c r="O59" s="311"/>
      <c r="P59" s="200" t="s">
        <v>1003</v>
      </c>
      <c r="Q59" s="200"/>
      <c r="R59" s="58"/>
      <c r="S59" s="58"/>
      <c r="T59" s="58"/>
      <c r="U59" s="58"/>
      <c r="V59" s="58"/>
      <c r="W59" s="58"/>
      <c r="X59" s="58"/>
      <c r="Y59" s="58"/>
      <c r="Z59" s="58"/>
      <c r="AA59" s="58"/>
      <c r="AB59" s="58"/>
      <c r="AC59" s="58"/>
    </row>
    <row r="60">
      <c r="A60" s="300" t="str">
        <f t="shared" si="1"/>
        <v>O-55</v>
      </c>
      <c r="B60" s="301" t="s">
        <v>390</v>
      </c>
      <c r="C60" s="205" t="str">
        <f t="array" ref="C60">IF(B60:B1408="", "", XLOOKUP(B60:B1408, 'Equipment Registry'!$A$2:$A$154, 'Equipment Registry'!$B$2:$B$154, "Not Found"))</f>
        <v>RM#2 Fan Free bearing </v>
      </c>
      <c r="D60" s="302" t="str">
        <f t="array" ref="D60">IF(B60:B1408="", "", XLOOKUP(B60:B1408, 'Equipment Registry'!$A$2:$A$154, 'Equipment Registry'!$E$2:$E$154, "Not Found"))</f>
        <v>MOBILE DTE 26</v>
      </c>
      <c r="E60" s="303">
        <v>46107.0</v>
      </c>
      <c r="F60" s="304">
        <v>46082.0</v>
      </c>
      <c r="G60" s="305" t="s">
        <v>97</v>
      </c>
      <c r="H60" s="306" t="s">
        <v>1074</v>
      </c>
      <c r="I60" s="302"/>
      <c r="J60" s="307" t="s">
        <v>1000</v>
      </c>
      <c r="K60" s="308" t="s">
        <v>1057</v>
      </c>
      <c r="L60" s="309" t="s">
        <v>1002</v>
      </c>
      <c r="M60" s="310">
        <v>46113.0</v>
      </c>
      <c r="N60" s="205"/>
      <c r="O60" s="311" t="s">
        <v>1075</v>
      </c>
      <c r="P60" s="200" t="s">
        <v>1060</v>
      </c>
      <c r="Q60" s="200"/>
      <c r="R60" s="58"/>
      <c r="S60" s="58"/>
      <c r="T60" s="58"/>
      <c r="U60" s="58"/>
      <c r="V60" s="58"/>
      <c r="W60" s="58"/>
      <c r="X60" s="58"/>
      <c r="Y60" s="58"/>
      <c r="Z60" s="58"/>
      <c r="AA60" s="58"/>
      <c r="AB60" s="58"/>
      <c r="AC60" s="58"/>
    </row>
    <row r="61">
      <c r="A61" s="300" t="str">
        <f t="shared" si="1"/>
        <v>O-56</v>
      </c>
      <c r="B61" s="301" t="s">
        <v>392</v>
      </c>
      <c r="C61" s="205" t="str">
        <f t="array" ref="C61">IF(B61:B1408="", "", XLOOKUP(B61:B1408, 'Equipment Registry'!$A$2:$A$154, 'Equipment Registry'!$B$2:$B$154, "Not Found"))</f>
        <v>RM#2 Fan fixed bearing </v>
      </c>
      <c r="D61" s="302" t="str">
        <f t="array" ref="D61">IF(B61:B1408="", "", XLOOKUP(B61:B1408, 'Equipment Registry'!$A$2:$A$154, 'Equipment Registry'!$E$2:$E$154, "Not Found"))</f>
        <v>MOBILE DTE 26</v>
      </c>
      <c r="E61" s="303">
        <v>46107.0</v>
      </c>
      <c r="F61" s="304"/>
      <c r="G61" s="312"/>
      <c r="H61" s="306"/>
      <c r="I61" s="302"/>
      <c r="J61" s="307" t="s">
        <v>1000</v>
      </c>
      <c r="K61" s="313"/>
      <c r="L61" s="309" t="s">
        <v>1002</v>
      </c>
      <c r="M61" s="310">
        <v>46113.0</v>
      </c>
      <c r="N61" s="205"/>
      <c r="O61" s="311"/>
      <c r="P61" s="200" t="s">
        <v>1060</v>
      </c>
      <c r="Q61" s="200"/>
      <c r="R61" s="58"/>
      <c r="S61" s="58"/>
      <c r="T61" s="58"/>
      <c r="U61" s="58"/>
      <c r="V61" s="58"/>
      <c r="W61" s="58"/>
      <c r="X61" s="58"/>
      <c r="Y61" s="58"/>
      <c r="Z61" s="58"/>
      <c r="AA61" s="58"/>
      <c r="AB61" s="58"/>
      <c r="AC61" s="58"/>
    </row>
    <row r="62">
      <c r="A62" s="300" t="str">
        <f t="shared" si="1"/>
        <v>O-57</v>
      </c>
      <c r="B62" s="301" t="s">
        <v>152</v>
      </c>
      <c r="C62" s="205" t="str">
        <f t="array" ref="C62">IF(B62:B1408="", "", XLOOKUP(B62:B1408, 'Equipment Registry'!$A$2:$A$154, 'Equipment Registry'!$B$2:$B$154, "Not Found"))</f>
        <v>Roller Lubrication Unit (Tank)</v>
      </c>
      <c r="D62" s="302" t="str">
        <f t="array" ref="D62">IF(B62:B1408="", "", XLOOKUP(B62:B1408, 'Equipment Registry'!$A$2:$A$154, 'Equipment Registry'!$E$2:$E$154, "Not Found"))</f>
        <v>MOBIL SHC 639</v>
      </c>
      <c r="E62" s="303">
        <v>46107.0</v>
      </c>
      <c r="F62" s="304"/>
      <c r="G62" s="305" t="s">
        <v>99</v>
      </c>
      <c r="H62" s="306"/>
      <c r="I62" s="302"/>
      <c r="J62" s="307" t="s">
        <v>1000</v>
      </c>
      <c r="K62" s="313"/>
      <c r="L62" s="309" t="s">
        <v>1002</v>
      </c>
      <c r="M62" s="310">
        <v>46113.0</v>
      </c>
      <c r="N62" s="200" t="s">
        <v>1076</v>
      </c>
      <c r="O62" s="311" t="s">
        <v>1067</v>
      </c>
      <c r="P62" s="200" t="s">
        <v>1077</v>
      </c>
      <c r="Q62" s="200"/>
      <c r="R62" s="58"/>
      <c r="S62" s="58"/>
      <c r="T62" s="58"/>
      <c r="U62" s="58"/>
      <c r="V62" s="58"/>
      <c r="W62" s="58"/>
      <c r="X62" s="58"/>
      <c r="Y62" s="58"/>
      <c r="Z62" s="58"/>
      <c r="AA62" s="58"/>
      <c r="AB62" s="58"/>
      <c r="AC62" s="58"/>
    </row>
    <row r="63">
      <c r="A63" s="300" t="str">
        <f t="shared" si="1"/>
        <v>O-58</v>
      </c>
      <c r="B63" s="301" t="s">
        <v>153</v>
      </c>
      <c r="C63" s="205" t="str">
        <f t="array" ref="C63">IF(B63:B1408="", "", XLOOKUP(B63:B1408, 'Equipment Registry'!$A$2:$A$154, 'Equipment Registry'!$B$2:$B$154, "Not Found"))</f>
        <v>Mill 2 gear Box</v>
      </c>
      <c r="D63" s="302" t="str">
        <f t="array" ref="D63">IF(B63:B1408="", "", XLOOKUP(B63:B1408, 'Equipment Registry'!$A$2:$A$154, 'Equipment Registry'!$E$2:$E$154, "Not Found"))</f>
        <v>MOBILGEAR 600 XP 320</v>
      </c>
      <c r="E63" s="303">
        <v>46107.0</v>
      </c>
      <c r="F63" s="304"/>
      <c r="G63" s="305" t="s">
        <v>99</v>
      </c>
      <c r="H63" s="306"/>
      <c r="I63" s="302"/>
      <c r="J63" s="307" t="s">
        <v>1000</v>
      </c>
      <c r="K63" s="313"/>
      <c r="L63" s="309" t="s">
        <v>1002</v>
      </c>
      <c r="M63" s="310">
        <v>46113.0</v>
      </c>
      <c r="N63" s="200" t="s">
        <v>1024</v>
      </c>
      <c r="O63" s="311" t="s">
        <v>1067</v>
      </c>
      <c r="P63" s="200" t="s">
        <v>1078</v>
      </c>
      <c r="Q63" s="200"/>
      <c r="R63" s="58"/>
      <c r="S63" s="58"/>
      <c r="T63" s="58"/>
      <c r="U63" s="58"/>
      <c r="V63" s="58"/>
      <c r="W63" s="58"/>
      <c r="X63" s="58"/>
      <c r="Y63" s="58"/>
      <c r="Z63" s="58"/>
      <c r="AA63" s="58"/>
      <c r="AB63" s="58"/>
      <c r="AC63" s="58"/>
    </row>
    <row r="64">
      <c r="A64" s="300" t="str">
        <f t="shared" si="1"/>
        <v>O-59</v>
      </c>
      <c r="B64" s="301" t="s">
        <v>154</v>
      </c>
      <c r="C64" s="205" t="str">
        <f t="array" ref="C64">IF(B64:B1408="", "", XLOOKUP(B64:B1408, 'Equipment Registry'!$A$2:$A$154, 'Equipment Registry'!$B$2:$B$154, "Not Found"))</f>
        <v>Mill2 gear Lub pump station tank</v>
      </c>
      <c r="D64" s="302" t="str">
        <f t="array" ref="D64">IF(B64:B1408="", "", XLOOKUP(B64:B1408, 'Equipment Registry'!$A$2:$A$154, 'Equipment Registry'!$E$2:$E$154, "Not Found"))</f>
        <v>MOBILGEAR 600 XP 320</v>
      </c>
      <c r="E64" s="303">
        <v>46107.0</v>
      </c>
      <c r="F64" s="304">
        <v>46082.0</v>
      </c>
      <c r="G64" s="305" t="s">
        <v>97</v>
      </c>
      <c r="H64" s="306" t="s">
        <v>1079</v>
      </c>
      <c r="I64" s="302"/>
      <c r="J64" s="307" t="s">
        <v>1000</v>
      </c>
      <c r="K64" s="308" t="s">
        <v>1057</v>
      </c>
      <c r="L64" s="309" t="s">
        <v>1002</v>
      </c>
      <c r="M64" s="310">
        <v>46113.0</v>
      </c>
      <c r="N64" s="205"/>
      <c r="O64" s="311" t="s">
        <v>1075</v>
      </c>
      <c r="P64" s="200" t="s">
        <v>1078</v>
      </c>
      <c r="Q64" s="200"/>
      <c r="R64" s="58"/>
      <c r="S64" s="58"/>
      <c r="T64" s="58"/>
      <c r="U64" s="58"/>
      <c r="V64" s="58"/>
      <c r="W64" s="58"/>
      <c r="X64" s="58"/>
      <c r="Y64" s="58"/>
      <c r="Z64" s="58"/>
      <c r="AA64" s="58"/>
      <c r="AB64" s="58"/>
      <c r="AC64" s="58"/>
    </row>
    <row r="65">
      <c r="A65" s="300" t="str">
        <f t="shared" si="1"/>
        <v>O-60</v>
      </c>
      <c r="B65" s="301" t="s">
        <v>155</v>
      </c>
      <c r="C65" s="205" t="str">
        <f t="array" ref="C65">IF(B65:B1408="", "", XLOOKUP(B65:B1408, 'Equipment Registry'!$A$2:$A$154, 'Equipment Registry'!$B$2:$B$154, "Not Found"))</f>
        <v>Dynamic Separator Gearbox L#2</v>
      </c>
      <c r="D65" s="302" t="str">
        <f t="array" ref="D65">IF(B65:B1408="", "", XLOOKUP(B65:B1408, 'Equipment Registry'!$A$2:$A$154, 'Equipment Registry'!$E$2:$E$154, "Not Found"))</f>
        <v>MOBIL SHC 632</v>
      </c>
      <c r="E65" s="303">
        <v>46107.0</v>
      </c>
      <c r="F65" s="304"/>
      <c r="G65" s="312"/>
      <c r="H65" s="306"/>
      <c r="I65" s="302"/>
      <c r="J65" s="307" t="s">
        <v>1080</v>
      </c>
      <c r="K65" s="313"/>
      <c r="L65" s="309" t="s">
        <v>1002</v>
      </c>
      <c r="M65" s="310">
        <v>46113.0</v>
      </c>
      <c r="N65" s="200" t="s">
        <v>1006</v>
      </c>
      <c r="O65" s="311"/>
      <c r="P65" s="200" t="s">
        <v>1081</v>
      </c>
      <c r="Q65" s="200"/>
      <c r="R65" s="58"/>
      <c r="S65" s="58"/>
      <c r="T65" s="58"/>
      <c r="U65" s="58"/>
      <c r="V65" s="58"/>
      <c r="W65" s="58"/>
      <c r="X65" s="58"/>
      <c r="Y65" s="58"/>
      <c r="Z65" s="58"/>
      <c r="AA65" s="58"/>
      <c r="AB65" s="58"/>
      <c r="AC65" s="58"/>
    </row>
    <row r="66">
      <c r="A66" s="300" t="str">
        <f t="shared" si="1"/>
        <v>O-61</v>
      </c>
      <c r="B66" s="301" t="s">
        <v>156</v>
      </c>
      <c r="C66" s="205" t="str">
        <f t="array" ref="C66">IF(B66:B1408="", "", XLOOKUP(B66:B1408, 'Equipment Registry'!$A$2:$A$154, 'Equipment Registry'!$B$2:$B$154, "Not Found"))</f>
        <v>Rotary feeder Gear Box</v>
      </c>
      <c r="D66" s="302" t="str">
        <f t="array" ref="D66">IF(B66:B1408="", "", XLOOKUP(B66:B1408, 'Equipment Registry'!$A$2:$A$154, 'Equipment Registry'!$E$2:$E$154, "Not Found"))</f>
        <v>MOBIL SHC 639</v>
      </c>
      <c r="E66" s="303">
        <v>46107.0</v>
      </c>
      <c r="F66" s="304"/>
      <c r="G66" s="312"/>
      <c r="H66" s="306"/>
      <c r="I66" s="302"/>
      <c r="J66" s="307" t="s">
        <v>1000</v>
      </c>
      <c r="K66" s="313"/>
      <c r="L66" s="309" t="s">
        <v>1002</v>
      </c>
      <c r="M66" s="310">
        <v>46113.0</v>
      </c>
      <c r="N66" s="200" t="s">
        <v>1082</v>
      </c>
      <c r="O66" s="311"/>
      <c r="P66" s="200" t="s">
        <v>1043</v>
      </c>
      <c r="Q66" s="200"/>
      <c r="R66" s="58"/>
      <c r="S66" s="58"/>
      <c r="T66" s="58"/>
      <c r="U66" s="58"/>
      <c r="V66" s="58"/>
      <c r="W66" s="58"/>
      <c r="X66" s="58"/>
      <c r="Y66" s="58"/>
      <c r="Z66" s="58"/>
      <c r="AA66" s="58"/>
      <c r="AB66" s="58"/>
      <c r="AC66" s="58"/>
    </row>
    <row r="67">
      <c r="A67" s="300" t="str">
        <f t="shared" si="1"/>
        <v>O-62</v>
      </c>
      <c r="B67" s="301" t="s">
        <v>157</v>
      </c>
      <c r="C67" s="205" t="str">
        <f t="array" ref="C67">IF(B67:B1408="", "", XLOOKUP(B67:B1408, 'Equipment Registry'!$A$2:$A$154, 'Equipment Registry'!$B$2:$B$154, "Not Found"))</f>
        <v>ID fan free bearing</v>
      </c>
      <c r="D67" s="302" t="str">
        <f t="array" ref="D67">IF(B67:B1408="", "", XLOOKUP(B67:B1408, 'Equipment Registry'!$A$2:$A$154, 'Equipment Registry'!$E$2:$E$154, "Not Found"))</f>
        <v>MOBIL DTE 26</v>
      </c>
      <c r="E67" s="303">
        <v>46107.0</v>
      </c>
      <c r="F67" s="304"/>
      <c r="G67" s="312"/>
      <c r="H67" s="306"/>
      <c r="I67" s="302"/>
      <c r="J67" s="307" t="s">
        <v>1000</v>
      </c>
      <c r="K67" s="313"/>
      <c r="L67" s="309" t="s">
        <v>1002</v>
      </c>
      <c r="M67" s="310">
        <v>46113.0</v>
      </c>
      <c r="N67" s="200" t="s">
        <v>1073</v>
      </c>
      <c r="O67" s="311"/>
      <c r="P67" s="200" t="s">
        <v>1083</v>
      </c>
      <c r="Q67" s="200"/>
      <c r="R67" s="58"/>
      <c r="S67" s="58"/>
      <c r="T67" s="58"/>
      <c r="U67" s="58"/>
      <c r="V67" s="58"/>
      <c r="W67" s="58"/>
      <c r="X67" s="58"/>
      <c r="Y67" s="58"/>
      <c r="Z67" s="58"/>
      <c r="AA67" s="58"/>
      <c r="AB67" s="58"/>
      <c r="AC67" s="58"/>
    </row>
    <row r="68">
      <c r="A68" s="300" t="str">
        <f t="shared" si="1"/>
        <v>O-63</v>
      </c>
      <c r="B68" s="301" t="s">
        <v>158</v>
      </c>
      <c r="C68" s="205" t="str">
        <f t="array" ref="C68">IF(B68:B1408="", "", XLOOKUP(B68:B1408, 'Equipment Registry'!$A$2:$A$154, 'Equipment Registry'!$B$2:$B$154, "Not Found"))</f>
        <v>ID fan fixed bearing</v>
      </c>
      <c r="D68" s="302" t="str">
        <f t="array" ref="D68">IF(B68:B1408="", "", XLOOKUP(B68:B1408, 'Equipment Registry'!$A$2:$A$154, 'Equipment Registry'!$E$2:$E$154, "Not Found"))</f>
        <v>MOBIL DTE 26</v>
      </c>
      <c r="E68" s="303">
        <v>46107.0</v>
      </c>
      <c r="F68" s="304">
        <v>46082.0</v>
      </c>
      <c r="G68" s="305" t="s">
        <v>97</v>
      </c>
      <c r="H68" s="306" t="s">
        <v>1084</v>
      </c>
      <c r="I68" s="302"/>
      <c r="J68" s="307" t="s">
        <v>1000</v>
      </c>
      <c r="K68" s="308" t="s">
        <v>1057</v>
      </c>
      <c r="L68" s="309" t="s">
        <v>1002</v>
      </c>
      <c r="M68" s="310">
        <v>46113.0</v>
      </c>
      <c r="N68" s="200" t="s">
        <v>1082</v>
      </c>
      <c r="O68" s="311" t="s">
        <v>1085</v>
      </c>
      <c r="P68" s="200" t="s">
        <v>1083</v>
      </c>
      <c r="Q68" s="200"/>
      <c r="R68" s="58"/>
      <c r="S68" s="58"/>
      <c r="T68" s="58"/>
      <c r="U68" s="58"/>
      <c r="V68" s="58"/>
      <c r="W68" s="58"/>
      <c r="X68" s="58"/>
      <c r="Y68" s="58"/>
      <c r="Z68" s="58"/>
      <c r="AA68" s="58"/>
      <c r="AB68" s="58"/>
      <c r="AC68" s="58"/>
    </row>
    <row r="69">
      <c r="A69" s="300" t="str">
        <f t="shared" si="1"/>
        <v>O-64</v>
      </c>
      <c r="B69" s="301" t="s">
        <v>159</v>
      </c>
      <c r="C69" s="205" t="str">
        <f t="array" ref="C69">IF(B69:B1408="", "", XLOOKUP(B69:B1408, 'Equipment Registry'!$A$2:$A$154, 'Equipment Registry'!$B$2:$B$154, "Not Found"))</f>
        <v>Main EP Fan Gear drive </v>
      </c>
      <c r="D69" s="302" t="str">
        <f t="array" ref="D69">IF(B69:B1408="", "", XLOOKUP(B69:B1408, 'Equipment Registry'!$A$2:$A$154, 'Equipment Registry'!$E$2:$E$154, "Not Found"))</f>
        <v>MOBIL SHC 632</v>
      </c>
      <c r="E69" s="303">
        <v>46107.0</v>
      </c>
      <c r="F69" s="304"/>
      <c r="G69" s="312"/>
      <c r="H69" s="306"/>
      <c r="I69" s="302"/>
      <c r="J69" s="307" t="s">
        <v>1000</v>
      </c>
      <c r="K69" s="313"/>
      <c r="L69" s="309" t="s">
        <v>1002</v>
      </c>
      <c r="M69" s="310">
        <v>46113.0</v>
      </c>
      <c r="N69" s="200" t="s">
        <v>1082</v>
      </c>
      <c r="O69" s="311"/>
      <c r="P69" s="200" t="s">
        <v>1083</v>
      </c>
      <c r="Q69" s="200"/>
      <c r="R69" s="58"/>
      <c r="S69" s="58"/>
      <c r="T69" s="58"/>
      <c r="U69" s="58"/>
      <c r="V69" s="58"/>
      <c r="W69" s="58"/>
      <c r="X69" s="58"/>
      <c r="Y69" s="58"/>
      <c r="Z69" s="58"/>
      <c r="AA69" s="58"/>
      <c r="AB69" s="58"/>
      <c r="AC69" s="58"/>
    </row>
    <row r="70">
      <c r="A70" s="300" t="str">
        <f t="shared" si="1"/>
        <v>O-65</v>
      </c>
      <c r="B70" s="301" t="s">
        <v>1086</v>
      </c>
      <c r="C70" s="205" t="str">
        <f t="array" ref="C70">IF(B70:B1408="", "", XLOOKUP(B70:B1408, 'Equipment Registry'!$A$2:$A$154, 'Equipment Registry'!$B$2:$B$154, "Not Found"))</f>
        <v>Not Found</v>
      </c>
      <c r="D70" s="302" t="str">
        <f t="array" ref="D70">IF(B70:B1408="", "", XLOOKUP(B70:B1408, 'Equipment Registry'!$A$2:$A$154, 'Equipment Registry'!$E$2:$E$154, "Not Found"))</f>
        <v>Not Found</v>
      </c>
      <c r="E70" s="303">
        <v>46107.0</v>
      </c>
      <c r="F70" s="304"/>
      <c r="G70" s="312"/>
      <c r="H70" s="306"/>
      <c r="I70" s="302"/>
      <c r="J70" s="307" t="s">
        <v>1000</v>
      </c>
      <c r="K70" s="313"/>
      <c r="L70" s="309" t="s">
        <v>1002</v>
      </c>
      <c r="M70" s="310">
        <v>46113.0</v>
      </c>
      <c r="N70" s="200" t="s">
        <v>1082</v>
      </c>
      <c r="O70" s="311"/>
      <c r="P70" s="200" t="s">
        <v>1087</v>
      </c>
      <c r="Q70" s="200"/>
      <c r="R70" s="58"/>
      <c r="S70" s="58"/>
      <c r="T70" s="58"/>
      <c r="U70" s="58"/>
      <c r="V70" s="58"/>
      <c r="W70" s="58"/>
      <c r="X70" s="58"/>
      <c r="Y70" s="58"/>
      <c r="Z70" s="58"/>
      <c r="AA70" s="58"/>
      <c r="AB70" s="58"/>
      <c r="AC70" s="58"/>
    </row>
    <row r="71">
      <c r="A71" s="300" t="str">
        <f t="shared" si="1"/>
        <v>O-66</v>
      </c>
      <c r="B71" s="301" t="s">
        <v>1088</v>
      </c>
      <c r="C71" s="205" t="str">
        <f t="array" ref="C71">IF(B71:B1408="", "", XLOOKUP(B71:B1408, 'Equipment Registry'!$A$2:$A$154, 'Equipment Registry'!$B$2:$B$154, "Not Found"))</f>
        <v>Not Found</v>
      </c>
      <c r="D71" s="302" t="str">
        <f t="array" ref="D71">IF(B71:B1408="", "", XLOOKUP(B71:B1408, 'Equipment Registry'!$A$2:$A$154, 'Equipment Registry'!$E$2:$E$154, "Not Found"))</f>
        <v>Not Found</v>
      </c>
      <c r="E71" s="303">
        <v>46107.0</v>
      </c>
      <c r="F71" s="304"/>
      <c r="G71" s="312"/>
      <c r="H71" s="306"/>
      <c r="I71" s="302"/>
      <c r="J71" s="307" t="s">
        <v>1000</v>
      </c>
      <c r="K71" s="313"/>
      <c r="L71" s="309" t="s">
        <v>1002</v>
      </c>
      <c r="M71" s="310">
        <v>46113.0</v>
      </c>
      <c r="N71" s="200" t="s">
        <v>1082</v>
      </c>
      <c r="O71" s="311"/>
      <c r="P71" s="200" t="s">
        <v>1087</v>
      </c>
      <c r="Q71" s="200"/>
      <c r="R71" s="58"/>
      <c r="S71" s="58"/>
      <c r="T71" s="58"/>
      <c r="U71" s="58"/>
      <c r="V71" s="58"/>
      <c r="W71" s="58"/>
      <c r="X71" s="58"/>
      <c r="Y71" s="58"/>
      <c r="Z71" s="58"/>
      <c r="AA71" s="58"/>
      <c r="AB71" s="58"/>
      <c r="AC71" s="58"/>
    </row>
    <row r="72">
      <c r="A72" s="300" t="str">
        <f t="shared" si="1"/>
        <v>O-67</v>
      </c>
      <c r="B72" s="301" t="s">
        <v>164</v>
      </c>
      <c r="C72" s="205" t="str">
        <f t="array" ref="C72">IF(B72:B1408="", "", XLOOKUP(B72:B1408, 'Equipment Registry'!$A$2:$A$154, 'Equipment Registry'!$B$2:$B$154, "Not Found"))</f>
        <v>Bucket Elevator GB - R</v>
      </c>
      <c r="D72" s="302" t="str">
        <f t="array" ref="D72">IF(B72:B1408="", "", XLOOKUP(B72:B1408, 'Equipment Registry'!$A$2:$A$154, 'Equipment Registry'!$E$2:$E$154, "Not Found"))</f>
        <v>MOBIL SHC 632</v>
      </c>
      <c r="E72" s="303">
        <v>46107.0</v>
      </c>
      <c r="F72" s="304"/>
      <c r="G72" s="312"/>
      <c r="H72" s="306"/>
      <c r="I72" s="302"/>
      <c r="J72" s="307" t="s">
        <v>1080</v>
      </c>
      <c r="K72" s="313"/>
      <c r="L72" s="309" t="s">
        <v>1002</v>
      </c>
      <c r="M72" s="310">
        <v>46113.0</v>
      </c>
      <c r="N72" s="200" t="s">
        <v>1044</v>
      </c>
      <c r="O72" s="311"/>
      <c r="P72" s="200" t="s">
        <v>1089</v>
      </c>
      <c r="Q72" s="200"/>
      <c r="R72" s="58"/>
      <c r="S72" s="58"/>
      <c r="T72" s="58"/>
      <c r="U72" s="58"/>
      <c r="V72" s="58"/>
      <c r="W72" s="58"/>
      <c r="X72" s="58"/>
      <c r="Y72" s="58"/>
      <c r="Z72" s="58"/>
      <c r="AA72" s="58"/>
      <c r="AB72" s="58"/>
      <c r="AC72" s="58"/>
    </row>
    <row r="73">
      <c r="A73" s="300" t="str">
        <f t="shared" si="1"/>
        <v>O-68</v>
      </c>
      <c r="B73" s="301" t="s">
        <v>165</v>
      </c>
      <c r="C73" s="205" t="str">
        <f t="array" ref="C73">IF(B73:B1408="", "", XLOOKUP(B73:B1408, 'Equipment Registry'!$A$2:$A$154, 'Equipment Registry'!$B$2:$B$154, "Not Found"))</f>
        <v>Bucket Elevator GB - L</v>
      </c>
      <c r="D73" s="302" t="str">
        <f t="array" ref="D73">IF(B73:B1408="", "", XLOOKUP(B73:B1408, 'Equipment Registry'!$A$2:$A$154, 'Equipment Registry'!$E$2:$E$154, "Not Found"))</f>
        <v>MOBIL SHC 632</v>
      </c>
      <c r="E73" s="303">
        <v>46107.0</v>
      </c>
      <c r="F73" s="304"/>
      <c r="G73" s="312"/>
      <c r="H73" s="306"/>
      <c r="I73" s="302"/>
      <c r="J73" s="307" t="s">
        <v>1080</v>
      </c>
      <c r="K73" s="313"/>
      <c r="L73" s="309" t="s">
        <v>1002</v>
      </c>
      <c r="M73" s="310">
        <v>46113.0</v>
      </c>
      <c r="N73" s="200" t="s">
        <v>1044</v>
      </c>
      <c r="O73" s="311"/>
      <c r="P73" s="200" t="s">
        <v>1089</v>
      </c>
      <c r="Q73" s="200"/>
      <c r="R73" s="58"/>
      <c r="S73" s="58"/>
      <c r="T73" s="58"/>
      <c r="U73" s="58"/>
      <c r="V73" s="58"/>
      <c r="W73" s="58"/>
      <c r="X73" s="58"/>
      <c r="Y73" s="58"/>
      <c r="Z73" s="58"/>
      <c r="AA73" s="58"/>
      <c r="AB73" s="58"/>
      <c r="AC73" s="58"/>
    </row>
    <row r="74">
      <c r="A74" s="300" t="str">
        <f t="shared" si="1"/>
        <v>O-69</v>
      </c>
      <c r="B74" s="301" t="s">
        <v>166</v>
      </c>
      <c r="C74" s="205" t="str">
        <f t="array" ref="C74">IF(B74:B1408="", "", XLOOKUP(B74:B1408, 'Equipment Registry'!$A$2:$A$154, 'Equipment Registry'!$B$2:$B$154, "Not Found"))</f>
        <v>Bucket Elevator GB - R</v>
      </c>
      <c r="D74" s="302" t="str">
        <f t="array" ref="D74">IF(B74:B1408="", "", XLOOKUP(B74:B1408, 'Equipment Registry'!$A$2:$A$154, 'Equipment Registry'!$E$2:$E$154, "Not Found"))</f>
        <v>MOBIL SHC 632</v>
      </c>
      <c r="E74" s="303">
        <v>46107.0</v>
      </c>
      <c r="F74" s="304"/>
      <c r="G74" s="312"/>
      <c r="H74" s="306"/>
      <c r="I74" s="302"/>
      <c r="J74" s="307" t="s">
        <v>1080</v>
      </c>
      <c r="K74" s="313"/>
      <c r="L74" s="309" t="s">
        <v>1002</v>
      </c>
      <c r="M74" s="310">
        <v>46113.0</v>
      </c>
      <c r="N74" s="200" t="s">
        <v>1044</v>
      </c>
      <c r="O74" s="311"/>
      <c r="P74" s="200" t="s">
        <v>1089</v>
      </c>
      <c r="Q74" s="200"/>
      <c r="R74" s="58"/>
      <c r="S74" s="58"/>
      <c r="T74" s="58"/>
      <c r="U74" s="58"/>
      <c r="V74" s="58"/>
      <c r="W74" s="58"/>
      <c r="X74" s="58"/>
      <c r="Y74" s="58"/>
      <c r="Z74" s="58"/>
      <c r="AA74" s="58"/>
      <c r="AB74" s="58"/>
      <c r="AC74" s="58"/>
    </row>
    <row r="75">
      <c r="A75" s="300" t="str">
        <f t="shared" si="1"/>
        <v>O-70</v>
      </c>
      <c r="B75" s="301" t="s">
        <v>168</v>
      </c>
      <c r="C75" s="205" t="str">
        <f t="array" ref="C75">IF(B75:B1408="", "", XLOOKUP(B75:B1408, 'Equipment Registry'!$A$2:$A$154, 'Equipment Registry'!$B$2:$B$154, "Not Found"))</f>
        <v>Bucket Elevator GB - R</v>
      </c>
      <c r="D75" s="302" t="str">
        <f t="array" ref="D75">IF(B75:B1408="", "", XLOOKUP(B75:B1408, 'Equipment Registry'!$A$2:$A$154, 'Equipment Registry'!$E$2:$E$154, "Not Found"))</f>
        <v>MOBIL SHC 632</v>
      </c>
      <c r="E75" s="303">
        <v>46107.0</v>
      </c>
      <c r="F75" s="304"/>
      <c r="G75" s="312"/>
      <c r="H75" s="306"/>
      <c r="I75" s="302"/>
      <c r="J75" s="307" t="s">
        <v>1000</v>
      </c>
      <c r="K75" s="313"/>
      <c r="L75" s="309" t="s">
        <v>1002</v>
      </c>
      <c r="M75" s="310">
        <v>46113.0</v>
      </c>
      <c r="N75" s="200" t="s">
        <v>1073</v>
      </c>
      <c r="O75" s="311"/>
      <c r="P75" s="200" t="s">
        <v>1090</v>
      </c>
      <c r="Q75" s="200"/>
      <c r="R75" s="58"/>
      <c r="S75" s="58"/>
      <c r="T75" s="58"/>
      <c r="U75" s="58"/>
      <c r="V75" s="58"/>
      <c r="W75" s="58"/>
      <c r="X75" s="58"/>
      <c r="Y75" s="58"/>
      <c r="Z75" s="58"/>
      <c r="AA75" s="58"/>
      <c r="AB75" s="58"/>
      <c r="AC75" s="58"/>
    </row>
    <row r="76">
      <c r="A76" s="300" t="str">
        <f t="shared" si="1"/>
        <v>O-71</v>
      </c>
      <c r="B76" s="301" t="s">
        <v>170</v>
      </c>
      <c r="C76" s="205" t="str">
        <f t="array" ref="C76">IF(B76:B1408="", "", XLOOKUP(B76:B1408, 'Equipment Registry'!$A$2:$A$154, 'Equipment Registry'!$B$2:$B$154, "Not Found"))</f>
        <v>Bucket Elevator GB - R</v>
      </c>
      <c r="D76" s="302" t="str">
        <f t="array" ref="D76">IF(B76:B1408="", "", XLOOKUP(B76:B1408, 'Equipment Registry'!$A$2:$A$154, 'Equipment Registry'!$E$2:$E$154, "Not Found"))</f>
        <v>MOBIL SHC 632</v>
      </c>
      <c r="E76" s="303">
        <v>46107.0</v>
      </c>
      <c r="F76" s="304"/>
      <c r="G76" s="312"/>
      <c r="H76" s="306"/>
      <c r="I76" s="302"/>
      <c r="J76" s="307" t="s">
        <v>1000</v>
      </c>
      <c r="K76" s="313"/>
      <c r="L76" s="309" t="s">
        <v>1002</v>
      </c>
      <c r="M76" s="310">
        <v>46113.0</v>
      </c>
      <c r="N76" s="200" t="s">
        <v>1073</v>
      </c>
      <c r="O76" s="311"/>
      <c r="P76" s="200" t="s">
        <v>1087</v>
      </c>
      <c r="Q76" s="200"/>
      <c r="R76" s="58"/>
      <c r="S76" s="58"/>
      <c r="T76" s="58"/>
      <c r="U76" s="58"/>
      <c r="V76" s="58"/>
      <c r="W76" s="58"/>
      <c r="X76" s="58"/>
      <c r="Y76" s="58"/>
      <c r="Z76" s="58"/>
      <c r="AA76" s="58"/>
      <c r="AB76" s="58"/>
      <c r="AC76" s="58"/>
    </row>
    <row r="77">
      <c r="A77" s="300" t="str">
        <f t="shared" si="1"/>
        <v>O-72</v>
      </c>
      <c r="B77" s="301" t="s">
        <v>175</v>
      </c>
      <c r="C77" s="205" t="str">
        <f t="array" ref="C77">IF(B77:B1408="", "", XLOOKUP(B77:B1408, 'Equipment Registry'!$A$2:$A$154, 'Equipment Registry'!$B$2:$B$154, "Not Found"))</f>
        <v>Hydraulic thrust bearing</v>
      </c>
      <c r="D77" s="302" t="str">
        <f t="array" ref="D77">IF(B77:B1408="", "", XLOOKUP(B77:B1408, 'Equipment Registry'!$A$2:$A$154, 'Equipment Registry'!$E$2:$E$154, "Not Found"))</f>
        <v>MOBIL SHC 639</v>
      </c>
      <c r="E77" s="303">
        <v>46107.0</v>
      </c>
      <c r="F77" s="304"/>
      <c r="G77" s="312"/>
      <c r="H77" s="306"/>
      <c r="I77" s="302"/>
      <c r="J77" s="307" t="s">
        <v>1000</v>
      </c>
      <c r="K77" s="313"/>
      <c r="L77" s="309" t="s">
        <v>1002</v>
      </c>
      <c r="M77" s="310">
        <v>46113.0</v>
      </c>
      <c r="N77" s="200" t="s">
        <v>1075</v>
      </c>
      <c r="O77" s="311"/>
      <c r="P77" s="200" t="s">
        <v>1091</v>
      </c>
      <c r="Q77" s="200"/>
      <c r="R77" s="58"/>
      <c r="S77" s="58"/>
      <c r="T77" s="58"/>
      <c r="U77" s="58"/>
      <c r="V77" s="58"/>
      <c r="W77" s="58"/>
      <c r="X77" s="58"/>
      <c r="Y77" s="58"/>
      <c r="Z77" s="58"/>
      <c r="AA77" s="58"/>
      <c r="AB77" s="58"/>
      <c r="AC77" s="58"/>
    </row>
    <row r="78">
      <c r="A78" s="300" t="str">
        <f t="shared" si="1"/>
        <v>O-73</v>
      </c>
      <c r="B78" s="301" t="s">
        <v>176</v>
      </c>
      <c r="C78" s="205" t="str">
        <f t="array" ref="C78">IF(B78:B1408="", "", XLOOKUP(B78:B1408, 'Equipment Registry'!$A$2:$A$154, 'Equipment Registry'!$B$2:$B$154, "Not Found"))</f>
        <v>Kiln Bearing </v>
      </c>
      <c r="D78" s="302" t="str">
        <f t="array" ref="D78">IF(B78:B1408="", "", XLOOKUP(B78:B1408, 'Equipment Registry'!$A$2:$A$154, 'Equipment Registry'!$E$2:$E$154, "Not Found"))</f>
        <v>MOBILGEAR 600 XP 1000</v>
      </c>
      <c r="E78" s="303">
        <v>46107.0</v>
      </c>
      <c r="F78" s="304"/>
      <c r="G78" s="312"/>
      <c r="H78" s="306"/>
      <c r="I78" s="302"/>
      <c r="J78" s="307" t="s">
        <v>1000</v>
      </c>
      <c r="K78" s="313"/>
      <c r="L78" s="309" t="s">
        <v>1002</v>
      </c>
      <c r="M78" s="310">
        <v>46113.0</v>
      </c>
      <c r="N78" s="200" t="s">
        <v>1092</v>
      </c>
      <c r="O78" s="311"/>
      <c r="P78" s="200" t="s">
        <v>1093</v>
      </c>
      <c r="Q78" s="200"/>
      <c r="R78" s="58"/>
      <c r="S78" s="58"/>
      <c r="T78" s="58"/>
      <c r="U78" s="58"/>
      <c r="V78" s="58"/>
      <c r="W78" s="58"/>
      <c r="X78" s="58"/>
      <c r="Y78" s="58"/>
      <c r="Z78" s="58"/>
      <c r="AA78" s="58"/>
      <c r="AB78" s="58"/>
      <c r="AC78" s="58"/>
    </row>
    <row r="79">
      <c r="A79" s="300" t="str">
        <f t="shared" si="1"/>
        <v>O-74</v>
      </c>
      <c r="B79" s="301" t="s">
        <v>178</v>
      </c>
      <c r="C79" s="205" t="str">
        <f t="array" ref="C79">IF(B79:B1408="", "", XLOOKUP(B79:B1408, 'Equipment Registry'!$A$2:$A$154, 'Equipment Registry'!$B$2:$B$154, "Not Found"))</f>
        <v>Kiln Bearing </v>
      </c>
      <c r="D79" s="302" t="str">
        <f t="array" ref="D79">IF(B79:B1408="", "", XLOOKUP(B79:B1408, 'Equipment Registry'!$A$2:$A$154, 'Equipment Registry'!$E$2:$E$154, "Not Found"))</f>
        <v>MOBILGEAR 600 XP 1000</v>
      </c>
      <c r="E79" s="303">
        <v>46107.0</v>
      </c>
      <c r="F79" s="304">
        <v>46082.0</v>
      </c>
      <c r="G79" s="305" t="s">
        <v>97</v>
      </c>
      <c r="H79" s="306" t="s">
        <v>1094</v>
      </c>
      <c r="I79" s="302"/>
      <c r="J79" s="307" t="s">
        <v>1000</v>
      </c>
      <c r="K79" s="308" t="s">
        <v>1095</v>
      </c>
      <c r="L79" s="309" t="s">
        <v>1002</v>
      </c>
      <c r="M79" s="310">
        <v>46113.0</v>
      </c>
      <c r="N79" s="200" t="s">
        <v>1092</v>
      </c>
      <c r="O79" s="311" t="s">
        <v>1096</v>
      </c>
      <c r="P79" s="200" t="s">
        <v>1093</v>
      </c>
      <c r="Q79" s="200"/>
      <c r="R79" s="58"/>
      <c r="S79" s="58"/>
      <c r="T79" s="58"/>
      <c r="U79" s="58"/>
      <c r="V79" s="58"/>
      <c r="W79" s="58"/>
      <c r="X79" s="58"/>
      <c r="Y79" s="58"/>
      <c r="Z79" s="58"/>
      <c r="AA79" s="58"/>
      <c r="AB79" s="58"/>
      <c r="AC79" s="58"/>
    </row>
    <row r="80">
      <c r="A80" s="300" t="str">
        <f t="shared" si="1"/>
        <v>O-75</v>
      </c>
      <c r="B80" s="301" t="s">
        <v>179</v>
      </c>
      <c r="C80" s="205" t="str">
        <f t="array" ref="C80">IF(B80:B1408="", "", XLOOKUP(B80:B1408, 'Equipment Registry'!$A$2:$A$154, 'Equipment Registry'!$B$2:$B$154, "Not Found"))</f>
        <v>Kiln Bearing </v>
      </c>
      <c r="D80" s="302" t="str">
        <f t="array" ref="D80">IF(B80:B1408="", "", XLOOKUP(B80:B1408, 'Equipment Registry'!$A$2:$A$154, 'Equipment Registry'!$E$2:$E$154, "Not Found"))</f>
        <v>MOBILGEAR 600 XP 1000</v>
      </c>
      <c r="E80" s="303">
        <v>46107.0</v>
      </c>
      <c r="F80" s="304"/>
      <c r="G80" s="312"/>
      <c r="H80" s="306"/>
      <c r="I80" s="302"/>
      <c r="J80" s="307" t="s">
        <v>1000</v>
      </c>
      <c r="K80" s="313"/>
      <c r="L80" s="309" t="s">
        <v>1002</v>
      </c>
      <c r="M80" s="310">
        <v>46113.0</v>
      </c>
      <c r="N80" s="200" t="s">
        <v>1092</v>
      </c>
      <c r="O80" s="311"/>
      <c r="P80" s="200" t="s">
        <v>1093</v>
      </c>
      <c r="Q80" s="200"/>
      <c r="R80" s="58"/>
      <c r="S80" s="58"/>
      <c r="T80" s="58"/>
      <c r="U80" s="58"/>
      <c r="V80" s="58"/>
      <c r="W80" s="58"/>
      <c r="X80" s="58"/>
      <c r="Y80" s="58"/>
      <c r="Z80" s="58"/>
      <c r="AA80" s="58"/>
      <c r="AB80" s="58"/>
      <c r="AC80" s="58"/>
    </row>
    <row r="81">
      <c r="A81" s="300" t="str">
        <f t="shared" si="1"/>
        <v>O-76</v>
      </c>
      <c r="B81" s="301" t="s">
        <v>180</v>
      </c>
      <c r="C81" s="205" t="str">
        <f t="array" ref="C81">IF(B81:B1408="", "", XLOOKUP(B81:B1408, 'Equipment Registry'!$A$2:$A$154, 'Equipment Registry'!$B$2:$B$154, "Not Found"))</f>
        <v>Kiln Bearing </v>
      </c>
      <c r="D81" s="302" t="str">
        <f t="array" ref="D81">IF(B81:B1408="", "", XLOOKUP(B81:B1408, 'Equipment Registry'!$A$2:$A$154, 'Equipment Registry'!$E$2:$E$154, "Not Found"))</f>
        <v>MOBILGEAR 600 XP 1000</v>
      </c>
      <c r="E81" s="303">
        <v>46107.0</v>
      </c>
      <c r="F81" s="304">
        <v>46082.0</v>
      </c>
      <c r="G81" s="305" t="s">
        <v>97</v>
      </c>
      <c r="H81" s="306" t="s">
        <v>1097</v>
      </c>
      <c r="I81" s="302"/>
      <c r="J81" s="307" t="s">
        <v>1000</v>
      </c>
      <c r="K81" s="308" t="s">
        <v>1095</v>
      </c>
      <c r="L81" s="309" t="s">
        <v>1002</v>
      </c>
      <c r="M81" s="310">
        <v>46113.0</v>
      </c>
      <c r="N81" s="200" t="s">
        <v>1092</v>
      </c>
      <c r="O81" s="311" t="s">
        <v>1096</v>
      </c>
      <c r="P81" s="200" t="s">
        <v>1093</v>
      </c>
      <c r="Q81" s="200"/>
      <c r="R81" s="58"/>
      <c r="S81" s="58"/>
      <c r="T81" s="58"/>
      <c r="U81" s="58"/>
      <c r="V81" s="58"/>
      <c r="W81" s="58"/>
      <c r="X81" s="58"/>
      <c r="Y81" s="58"/>
      <c r="Z81" s="58"/>
      <c r="AA81" s="58"/>
      <c r="AB81" s="58"/>
      <c r="AC81" s="58"/>
    </row>
    <row r="82">
      <c r="A82" s="300" t="str">
        <f t="shared" si="1"/>
        <v>O-77</v>
      </c>
      <c r="B82" s="301" t="s">
        <v>181</v>
      </c>
      <c r="C82" s="205" t="str">
        <f t="array" ref="C82">IF(B82:B1408="", "", XLOOKUP(B82:B1408, 'Equipment Registry'!$A$2:$A$154, 'Equipment Registry'!$B$2:$B$154, "Not Found"))</f>
        <v>Kiln Bearing </v>
      </c>
      <c r="D82" s="302" t="str">
        <f t="array" ref="D82">IF(B82:B1408="", "", XLOOKUP(B82:B1408, 'Equipment Registry'!$A$2:$A$154, 'Equipment Registry'!$E$2:$E$154, "Not Found"))</f>
        <v>MOBILGEAR 600 XP 1000</v>
      </c>
      <c r="E82" s="303">
        <v>46107.0</v>
      </c>
      <c r="F82" s="304"/>
      <c r="G82" s="312"/>
      <c r="H82" s="306"/>
      <c r="I82" s="302"/>
      <c r="J82" s="307" t="s">
        <v>1000</v>
      </c>
      <c r="K82" s="313"/>
      <c r="L82" s="309" t="s">
        <v>1002</v>
      </c>
      <c r="M82" s="310">
        <v>46113.0</v>
      </c>
      <c r="N82" s="200" t="s">
        <v>1092</v>
      </c>
      <c r="O82" s="311"/>
      <c r="P82" s="200" t="s">
        <v>1093</v>
      </c>
      <c r="Q82" s="200"/>
      <c r="R82" s="58"/>
      <c r="S82" s="58"/>
      <c r="T82" s="58"/>
      <c r="U82" s="58"/>
      <c r="V82" s="58"/>
      <c r="W82" s="58"/>
      <c r="X82" s="58"/>
      <c r="Y82" s="58"/>
      <c r="Z82" s="58"/>
      <c r="AA82" s="58"/>
      <c r="AB82" s="58"/>
      <c r="AC82" s="58"/>
    </row>
    <row r="83">
      <c r="A83" s="300" t="str">
        <f t="shared" si="1"/>
        <v>O-78</v>
      </c>
      <c r="B83" s="301" t="s">
        <v>182</v>
      </c>
      <c r="C83" s="205" t="str">
        <f t="array" ref="C83">IF(B83:B1408="", "", XLOOKUP(B83:B1408, 'Equipment Registry'!$A$2:$A$154, 'Equipment Registry'!$B$2:$B$154, "Not Found"))</f>
        <v>Kiln Bearing </v>
      </c>
      <c r="D83" s="302" t="str">
        <f t="array" ref="D83">IF(B83:B1408="", "", XLOOKUP(B83:B1408, 'Equipment Registry'!$A$2:$A$154, 'Equipment Registry'!$E$2:$E$154, "Not Found"))</f>
        <v>MOBILGEAR 600 XP 1000</v>
      </c>
      <c r="E83" s="303">
        <v>46107.0</v>
      </c>
      <c r="F83" s="304"/>
      <c r="G83" s="312"/>
      <c r="H83" s="306"/>
      <c r="I83" s="302"/>
      <c r="J83" s="307" t="s">
        <v>1000</v>
      </c>
      <c r="K83" s="313"/>
      <c r="L83" s="309" t="s">
        <v>1002</v>
      </c>
      <c r="M83" s="310">
        <v>46113.0</v>
      </c>
      <c r="N83" s="200" t="s">
        <v>1092</v>
      </c>
      <c r="O83" s="311"/>
      <c r="P83" s="200" t="s">
        <v>1093</v>
      </c>
      <c r="Q83" s="200"/>
      <c r="R83" s="58"/>
      <c r="S83" s="58"/>
      <c r="T83" s="58"/>
      <c r="U83" s="58"/>
      <c r="V83" s="58"/>
      <c r="W83" s="58"/>
      <c r="X83" s="58"/>
      <c r="Y83" s="58"/>
      <c r="Z83" s="58"/>
      <c r="AA83" s="58"/>
      <c r="AB83" s="58"/>
      <c r="AC83" s="58"/>
    </row>
    <row r="84">
      <c r="A84" s="300" t="str">
        <f t="shared" si="1"/>
        <v>O-79</v>
      </c>
      <c r="B84" s="301" t="s">
        <v>183</v>
      </c>
      <c r="C84" s="205" t="str">
        <f t="array" ref="C84">IF(B84:B1408="", "", XLOOKUP(B84:B1408, 'Equipment Registry'!$A$2:$A$154, 'Equipment Registry'!$B$2:$B$154, "Not Found"))</f>
        <v>Kiln Bearing </v>
      </c>
      <c r="D84" s="302" t="str">
        <f t="array" ref="D84">IF(B84:B1408="", "", XLOOKUP(B84:B1408, 'Equipment Registry'!$A$2:$A$154, 'Equipment Registry'!$E$2:$E$154, "Not Found"))</f>
        <v>MOBILGEAR 600 XP 1000</v>
      </c>
      <c r="E84" s="303">
        <v>46107.0</v>
      </c>
      <c r="F84" s="304"/>
      <c r="G84" s="312"/>
      <c r="H84" s="306"/>
      <c r="I84" s="302"/>
      <c r="J84" s="307" t="s">
        <v>1000</v>
      </c>
      <c r="K84" s="313"/>
      <c r="L84" s="309" t="s">
        <v>1002</v>
      </c>
      <c r="M84" s="310">
        <v>46113.0</v>
      </c>
      <c r="N84" s="200" t="s">
        <v>1092</v>
      </c>
      <c r="O84" s="311"/>
      <c r="P84" s="200" t="s">
        <v>1093</v>
      </c>
      <c r="Q84" s="200"/>
      <c r="R84" s="58"/>
      <c r="S84" s="58"/>
      <c r="T84" s="58"/>
      <c r="U84" s="58"/>
      <c r="V84" s="58"/>
      <c r="W84" s="58"/>
      <c r="X84" s="58"/>
      <c r="Y84" s="58"/>
      <c r="Z84" s="58"/>
      <c r="AA84" s="58"/>
      <c r="AB84" s="58"/>
      <c r="AC84" s="58"/>
    </row>
    <row r="85">
      <c r="A85" s="300" t="str">
        <f t="shared" si="1"/>
        <v>O-80</v>
      </c>
      <c r="B85" s="301" t="s">
        <v>184</v>
      </c>
      <c r="C85" s="205" t="str">
        <f t="array" ref="C85">IF(B85:B1408="", "", XLOOKUP(B85:B1408, 'Equipment Registry'!$A$2:$A$154, 'Equipment Registry'!$B$2:$B$154, "Not Found"))</f>
        <v>Kiln Bearing </v>
      </c>
      <c r="D85" s="302" t="str">
        <f t="array" ref="D85">IF(B85:B1408="", "", XLOOKUP(B85:B1408, 'Equipment Registry'!$A$2:$A$154, 'Equipment Registry'!$E$2:$E$154, "Not Found"))</f>
        <v>MOBILGEAR 600 XP 1000</v>
      </c>
      <c r="E85" s="303">
        <v>46107.0</v>
      </c>
      <c r="F85" s="304">
        <v>46082.0</v>
      </c>
      <c r="G85" s="305" t="s">
        <v>97</v>
      </c>
      <c r="H85" s="306" t="s">
        <v>1098</v>
      </c>
      <c r="I85" s="302"/>
      <c r="J85" s="307" t="s">
        <v>1000</v>
      </c>
      <c r="K85" s="308" t="s">
        <v>1095</v>
      </c>
      <c r="L85" s="309" t="s">
        <v>1002</v>
      </c>
      <c r="M85" s="310">
        <v>46113.0</v>
      </c>
      <c r="N85" s="200" t="s">
        <v>1092</v>
      </c>
      <c r="O85" s="311" t="s">
        <v>1099</v>
      </c>
      <c r="P85" s="200" t="s">
        <v>1093</v>
      </c>
      <c r="Q85" s="200"/>
      <c r="R85" s="58"/>
      <c r="S85" s="58"/>
      <c r="T85" s="58"/>
      <c r="U85" s="58"/>
      <c r="V85" s="58"/>
      <c r="W85" s="58"/>
      <c r="X85" s="58"/>
      <c r="Y85" s="58"/>
      <c r="Z85" s="58"/>
      <c r="AA85" s="58"/>
      <c r="AB85" s="58"/>
      <c r="AC85" s="58"/>
    </row>
    <row r="86">
      <c r="A86" s="300" t="str">
        <f t="shared" si="1"/>
        <v>O-81</v>
      </c>
      <c r="B86" s="301" t="s">
        <v>185</v>
      </c>
      <c r="C86" s="205" t="str">
        <f t="array" ref="C86">IF(B86:B1408="", "", XLOOKUP(B86:B1408, 'Equipment Registry'!$A$2:$A$154, 'Equipment Registry'!$B$2:$B$154, "Not Found"))</f>
        <v>Kiln Bearing </v>
      </c>
      <c r="D86" s="302" t="str">
        <f t="array" ref="D86">IF(B86:B1408="", "", XLOOKUP(B86:B1408, 'Equipment Registry'!$A$2:$A$154, 'Equipment Registry'!$E$2:$E$154, "Not Found"))</f>
        <v>MOBILGEAR 600 XP 1000</v>
      </c>
      <c r="E86" s="303">
        <v>46107.0</v>
      </c>
      <c r="F86" s="304"/>
      <c r="G86" s="312"/>
      <c r="H86" s="306"/>
      <c r="I86" s="302"/>
      <c r="J86" s="307" t="s">
        <v>1000</v>
      </c>
      <c r="K86" s="313"/>
      <c r="L86" s="309" t="s">
        <v>1002</v>
      </c>
      <c r="M86" s="310">
        <v>46113.0</v>
      </c>
      <c r="N86" s="200" t="s">
        <v>1092</v>
      </c>
      <c r="O86" s="311"/>
      <c r="P86" s="200" t="s">
        <v>1093</v>
      </c>
      <c r="Q86" s="200"/>
      <c r="R86" s="58"/>
      <c r="S86" s="58"/>
      <c r="T86" s="58"/>
      <c r="U86" s="58"/>
      <c r="V86" s="58"/>
      <c r="W86" s="58"/>
      <c r="X86" s="58"/>
      <c r="Y86" s="58"/>
      <c r="Z86" s="58"/>
      <c r="AA86" s="58"/>
      <c r="AB86" s="58"/>
      <c r="AC86" s="58"/>
    </row>
    <row r="87">
      <c r="A87" s="300" t="str">
        <f t="shared" si="1"/>
        <v>O-82</v>
      </c>
      <c r="B87" s="301" t="s">
        <v>186</v>
      </c>
      <c r="C87" s="205" t="str">
        <f t="array" ref="C87">IF(B87:B1408="", "", XLOOKUP(B87:B1408, 'Equipment Registry'!$A$2:$A$154, 'Equipment Registry'!$B$2:$B$154, "Not Found"))</f>
        <v>Kiln Bearing </v>
      </c>
      <c r="D87" s="302" t="str">
        <f t="array" ref="D87">IF(B87:B1408="", "", XLOOKUP(B87:B1408, 'Equipment Registry'!$A$2:$A$154, 'Equipment Registry'!$E$2:$E$154, "Not Found"))</f>
        <v>MOBILGEAR 600 XP 1000</v>
      </c>
      <c r="E87" s="303">
        <v>46107.0</v>
      </c>
      <c r="F87" s="304"/>
      <c r="G87" s="312"/>
      <c r="H87" s="306"/>
      <c r="I87" s="302"/>
      <c r="J87" s="307" t="s">
        <v>1000</v>
      </c>
      <c r="K87" s="313"/>
      <c r="L87" s="309" t="s">
        <v>1002</v>
      </c>
      <c r="M87" s="310">
        <v>46113.0</v>
      </c>
      <c r="N87" s="200" t="s">
        <v>1092</v>
      </c>
      <c r="O87" s="311"/>
      <c r="P87" s="200" t="s">
        <v>1093</v>
      </c>
      <c r="Q87" s="200"/>
      <c r="R87" s="58"/>
      <c r="S87" s="58"/>
      <c r="T87" s="58"/>
      <c r="U87" s="58"/>
      <c r="V87" s="58"/>
      <c r="W87" s="58"/>
      <c r="X87" s="58"/>
      <c r="Y87" s="58"/>
      <c r="Z87" s="58"/>
      <c r="AA87" s="58"/>
      <c r="AB87" s="58"/>
      <c r="AC87" s="58"/>
    </row>
    <row r="88">
      <c r="A88" s="300" t="str">
        <f t="shared" si="1"/>
        <v>O-83</v>
      </c>
      <c r="B88" s="301" t="s">
        <v>187</v>
      </c>
      <c r="C88" s="205" t="str">
        <f t="array" ref="C88">IF(B88:B1408="", "", XLOOKUP(B88:B1408, 'Equipment Registry'!$A$2:$A$154, 'Equipment Registry'!$B$2:$B$154, "Not Found"))</f>
        <v>Kiln Bearing </v>
      </c>
      <c r="D88" s="302" t="str">
        <f t="array" ref="D88">IF(B88:B1408="", "", XLOOKUP(B88:B1408, 'Equipment Registry'!$A$2:$A$154, 'Equipment Registry'!$E$2:$E$154, "Not Found"))</f>
        <v>MOBILGEAR 600 XP 1000</v>
      </c>
      <c r="E88" s="303">
        <v>46107.0</v>
      </c>
      <c r="F88" s="304">
        <v>46082.0</v>
      </c>
      <c r="G88" s="305" t="s">
        <v>96</v>
      </c>
      <c r="H88" s="306" t="s">
        <v>1005</v>
      </c>
      <c r="I88" s="302"/>
      <c r="J88" s="307" t="s">
        <v>1000</v>
      </c>
      <c r="K88" s="308" t="s">
        <v>1095</v>
      </c>
      <c r="L88" s="309" t="s">
        <v>1002</v>
      </c>
      <c r="M88" s="310">
        <v>46113.0</v>
      </c>
      <c r="N88" s="200" t="s">
        <v>1092</v>
      </c>
      <c r="O88" s="311" t="s">
        <v>1007</v>
      </c>
      <c r="P88" s="200" t="s">
        <v>1093</v>
      </c>
      <c r="Q88" s="200"/>
      <c r="R88" s="58"/>
      <c r="S88" s="58"/>
      <c r="T88" s="58"/>
      <c r="U88" s="58"/>
      <c r="V88" s="58"/>
      <c r="W88" s="58"/>
      <c r="X88" s="58"/>
      <c r="Y88" s="58"/>
      <c r="Z88" s="58"/>
      <c r="AA88" s="58"/>
      <c r="AB88" s="58"/>
      <c r="AC88" s="58"/>
    </row>
    <row r="89">
      <c r="A89" s="300" t="str">
        <f t="shared" si="1"/>
        <v>O-84</v>
      </c>
      <c r="B89" s="301" t="s">
        <v>188</v>
      </c>
      <c r="C89" s="205" t="str">
        <f t="array" ref="C89">IF(B89:B1408="", "", XLOOKUP(B89:B1408, 'Equipment Registry'!$A$2:$A$154, 'Equipment Registry'!$B$2:$B$154, "Not Found"))</f>
        <v>Kiln Bearing </v>
      </c>
      <c r="D89" s="302" t="str">
        <f t="array" ref="D89">IF(B89:B1408="", "", XLOOKUP(B89:B1408, 'Equipment Registry'!$A$2:$A$154, 'Equipment Registry'!$E$2:$E$154, "Not Found"))</f>
        <v>MOBILGEAR 600 XP 1000</v>
      </c>
      <c r="E89" s="303">
        <v>46107.0</v>
      </c>
      <c r="F89" s="304">
        <v>46082.0</v>
      </c>
      <c r="G89" s="305" t="s">
        <v>97</v>
      </c>
      <c r="H89" s="306" t="s">
        <v>1100</v>
      </c>
      <c r="I89" s="302"/>
      <c r="J89" s="307" t="s">
        <v>1000</v>
      </c>
      <c r="K89" s="308" t="s">
        <v>1095</v>
      </c>
      <c r="L89" s="309" t="s">
        <v>1002</v>
      </c>
      <c r="M89" s="310">
        <v>46113.0</v>
      </c>
      <c r="N89" s="200" t="s">
        <v>1092</v>
      </c>
      <c r="O89" s="311" t="s">
        <v>1096</v>
      </c>
      <c r="P89" s="200" t="s">
        <v>1093</v>
      </c>
      <c r="Q89" s="200"/>
      <c r="R89" s="58"/>
      <c r="S89" s="58"/>
      <c r="T89" s="58"/>
      <c r="U89" s="58"/>
      <c r="V89" s="58"/>
      <c r="W89" s="58"/>
      <c r="X89" s="58"/>
      <c r="Y89" s="58"/>
      <c r="Z89" s="58"/>
      <c r="AA89" s="58"/>
      <c r="AB89" s="58"/>
      <c r="AC89" s="58"/>
    </row>
    <row r="90">
      <c r="A90" s="300" t="str">
        <f t="shared" si="1"/>
        <v>O-85</v>
      </c>
      <c r="B90" s="301" t="s">
        <v>189</v>
      </c>
      <c r="C90" s="205" t="str">
        <f t="array" ref="C90">IF(B90:B1408="", "", XLOOKUP(B90:B1408, 'Equipment Registry'!$A$2:$A$154, 'Equipment Registry'!$B$2:$B$154, "Not Found"))</f>
        <v>Kiln Main drive gearbox W.S side</v>
      </c>
      <c r="D90" s="302" t="str">
        <f t="array" ref="D90">IF(B90:B1408="", "", XLOOKUP(B90:B1408, 'Equipment Registry'!$A$2:$A$154, 'Equipment Registry'!$E$2:$E$154, "Not Found"))</f>
        <v>MOBILGEAR 600 XP 320</v>
      </c>
      <c r="E90" s="303">
        <v>46107.0</v>
      </c>
      <c r="F90" s="304">
        <v>46082.0</v>
      </c>
      <c r="G90" s="305" t="s">
        <v>96</v>
      </c>
      <c r="H90" s="306" t="s">
        <v>1005</v>
      </c>
      <c r="I90" s="302"/>
      <c r="J90" s="307" t="s">
        <v>1000</v>
      </c>
      <c r="K90" s="308" t="s">
        <v>1057</v>
      </c>
      <c r="L90" s="309" t="s">
        <v>1002</v>
      </c>
      <c r="M90" s="310">
        <v>46113.0</v>
      </c>
      <c r="N90" s="200" t="s">
        <v>1101</v>
      </c>
      <c r="O90" s="311" t="s">
        <v>1045</v>
      </c>
      <c r="P90" s="200" t="s">
        <v>1102</v>
      </c>
      <c r="Q90" s="200"/>
      <c r="R90" s="58"/>
      <c r="S90" s="58"/>
      <c r="T90" s="58"/>
      <c r="U90" s="58"/>
      <c r="V90" s="58"/>
      <c r="W90" s="58"/>
      <c r="X90" s="58"/>
      <c r="Y90" s="58"/>
      <c r="Z90" s="58"/>
      <c r="AA90" s="58"/>
      <c r="AB90" s="58"/>
      <c r="AC90" s="58"/>
    </row>
    <row r="91">
      <c r="A91" s="300" t="str">
        <f t="shared" si="1"/>
        <v>O-86</v>
      </c>
      <c r="B91" s="301" t="s">
        <v>190</v>
      </c>
      <c r="C91" s="205" t="str">
        <f t="array" ref="C91">IF(B91:B1408="", "", XLOOKUP(B91:B1408, 'Equipment Registry'!$A$2:$A$154, 'Equipment Registry'!$B$2:$B$154, "Not Found"))</f>
        <v>Kiln Main drive gearbox CCR side</v>
      </c>
      <c r="D91" s="302" t="str">
        <f t="array" ref="D91">IF(B91:B1408="", "", XLOOKUP(B91:B1408, 'Equipment Registry'!$A$2:$A$154, 'Equipment Registry'!$E$2:$E$154, "Not Found"))</f>
        <v>MOBIL SHC 634</v>
      </c>
      <c r="E91" s="303">
        <v>46107.0</v>
      </c>
      <c r="F91" s="304">
        <v>46082.0</v>
      </c>
      <c r="G91" s="305" t="s">
        <v>97</v>
      </c>
      <c r="H91" s="306" t="s">
        <v>1103</v>
      </c>
      <c r="I91" s="302"/>
      <c r="J91" s="307" t="s">
        <v>1000</v>
      </c>
      <c r="K91" s="308" t="s">
        <v>1104</v>
      </c>
      <c r="L91" s="309" t="s">
        <v>1002</v>
      </c>
      <c r="M91" s="310">
        <v>46113.0</v>
      </c>
      <c r="N91" s="200" t="s">
        <v>1101</v>
      </c>
      <c r="O91" s="311" t="s">
        <v>1105</v>
      </c>
      <c r="P91" s="200" t="s">
        <v>1102</v>
      </c>
      <c r="Q91" s="200"/>
      <c r="R91" s="58"/>
      <c r="S91" s="58"/>
      <c r="T91" s="58"/>
      <c r="U91" s="58"/>
      <c r="V91" s="58"/>
      <c r="W91" s="58"/>
      <c r="X91" s="58"/>
      <c r="Y91" s="58"/>
      <c r="Z91" s="58"/>
      <c r="AA91" s="58"/>
      <c r="AB91" s="58"/>
      <c r="AC91" s="58"/>
    </row>
    <row r="92">
      <c r="A92" s="300" t="str">
        <f t="shared" si="1"/>
        <v>O-87</v>
      </c>
      <c r="B92" s="301" t="s">
        <v>3</v>
      </c>
      <c r="C92" s="205" t="str">
        <f t="array" ref="C92">IF(B92:B1408="", "", XLOOKUP(B92:B1408, 'Equipment Registry'!$A$2:$A$154, 'Equipment Registry'!$B$2:$B$154, "Not Found"))</f>
        <v>Kiln Bearing </v>
      </c>
      <c r="D92" s="302" t="str">
        <f t="array" ref="D92">IF(B92:B1408="", "", XLOOKUP(B92:B1408, 'Equipment Registry'!$A$2:$A$154, 'Equipment Registry'!$E$2:$E$154, "Not Found"))</f>
        <v>MOBILGEAR 600 XP 1000</v>
      </c>
      <c r="E92" s="303">
        <v>46107.0</v>
      </c>
      <c r="F92" s="304"/>
      <c r="G92" s="305" t="s">
        <v>99</v>
      </c>
      <c r="H92" s="306"/>
      <c r="I92" s="302"/>
      <c r="J92" s="307" t="s">
        <v>1000</v>
      </c>
      <c r="K92" s="313"/>
      <c r="L92" s="309" t="s">
        <v>1002</v>
      </c>
      <c r="M92" s="310">
        <v>46113.0</v>
      </c>
      <c r="N92" s="200" t="s">
        <v>1092</v>
      </c>
      <c r="O92" s="311" t="s">
        <v>1067</v>
      </c>
      <c r="P92" s="200" t="s">
        <v>1093</v>
      </c>
      <c r="Q92" s="200"/>
      <c r="R92" s="58"/>
      <c r="S92" s="58"/>
      <c r="T92" s="58"/>
      <c r="U92" s="58"/>
      <c r="V92" s="58"/>
      <c r="W92" s="58"/>
      <c r="X92" s="58"/>
      <c r="Y92" s="58"/>
      <c r="Z92" s="58"/>
      <c r="AA92" s="58"/>
      <c r="AB92" s="58"/>
      <c r="AC92" s="58"/>
    </row>
    <row r="93">
      <c r="A93" s="300" t="str">
        <f t="shared" si="1"/>
        <v>O-88</v>
      </c>
      <c r="B93" s="301" t="s">
        <v>193</v>
      </c>
      <c r="C93" s="205" t="str">
        <f t="array" ref="C93">IF(B93:B1408="", "", XLOOKUP(B93:B1408, 'Equipment Registry'!$A$2:$A$154, 'Equipment Registry'!$B$2:$B$154, "Not Found"))</f>
        <v>Kiln Bearing </v>
      </c>
      <c r="D93" s="302" t="str">
        <f t="array" ref="D93">IF(B93:B1408="", "", XLOOKUP(B93:B1408, 'Equipment Registry'!$A$2:$A$154, 'Equipment Registry'!$E$2:$E$154, "Not Found"))</f>
        <v>MOBILGEAR 600 XP 1000</v>
      </c>
      <c r="E93" s="303">
        <v>46107.0</v>
      </c>
      <c r="F93" s="304"/>
      <c r="G93" s="305" t="s">
        <v>99</v>
      </c>
      <c r="H93" s="306"/>
      <c r="I93" s="302"/>
      <c r="J93" s="307" t="s">
        <v>1000</v>
      </c>
      <c r="K93" s="313"/>
      <c r="L93" s="309" t="s">
        <v>1002</v>
      </c>
      <c r="M93" s="310">
        <v>46113.0</v>
      </c>
      <c r="N93" s="200" t="s">
        <v>1092</v>
      </c>
      <c r="O93" s="311" t="s">
        <v>1067</v>
      </c>
      <c r="P93" s="200" t="s">
        <v>1093</v>
      </c>
      <c r="Q93" s="200"/>
      <c r="R93" s="58"/>
      <c r="S93" s="58"/>
      <c r="T93" s="58"/>
      <c r="U93" s="58"/>
      <c r="V93" s="58"/>
      <c r="W93" s="58"/>
      <c r="X93" s="58"/>
      <c r="Y93" s="58"/>
      <c r="Z93" s="58"/>
      <c r="AA93" s="58"/>
      <c r="AB93" s="58"/>
      <c r="AC93" s="58"/>
    </row>
    <row r="94">
      <c r="A94" s="300" t="str">
        <f t="shared" si="1"/>
        <v>O-89</v>
      </c>
      <c r="B94" s="301" t="s">
        <v>194</v>
      </c>
      <c r="C94" s="205" t="str">
        <f t="array" ref="C94">IF(B94:B1408="", "", XLOOKUP(B94:B1408, 'Equipment Registry'!$A$2:$A$154, 'Equipment Registry'!$B$2:$B$154, "Not Found"))</f>
        <v>Kiln Bearing </v>
      </c>
      <c r="D94" s="302" t="str">
        <f t="array" ref="D94">IF(B94:B1408="", "", XLOOKUP(B94:B1408, 'Equipment Registry'!$A$2:$A$154, 'Equipment Registry'!$E$2:$E$154, "Not Found"))</f>
        <v>MOBILGEAR 600 XP 1000</v>
      </c>
      <c r="E94" s="303">
        <v>46107.0</v>
      </c>
      <c r="F94" s="304"/>
      <c r="G94" s="305" t="s">
        <v>99</v>
      </c>
      <c r="H94" s="306"/>
      <c r="I94" s="302"/>
      <c r="J94" s="307" t="s">
        <v>1000</v>
      </c>
      <c r="K94" s="313"/>
      <c r="L94" s="309" t="s">
        <v>1002</v>
      </c>
      <c r="M94" s="310">
        <v>46113.0</v>
      </c>
      <c r="N94" s="200" t="s">
        <v>1092</v>
      </c>
      <c r="O94" s="311" t="s">
        <v>1067</v>
      </c>
      <c r="P94" s="200" t="s">
        <v>1093</v>
      </c>
      <c r="Q94" s="200"/>
      <c r="R94" s="58"/>
      <c r="S94" s="58"/>
      <c r="T94" s="58"/>
      <c r="U94" s="58"/>
      <c r="V94" s="58"/>
      <c r="W94" s="58"/>
      <c r="X94" s="58"/>
      <c r="Y94" s="58"/>
      <c r="Z94" s="58"/>
      <c r="AA94" s="58"/>
      <c r="AB94" s="58"/>
      <c r="AC94" s="58"/>
    </row>
    <row r="95">
      <c r="A95" s="300" t="str">
        <f t="shared" si="1"/>
        <v>O-90</v>
      </c>
      <c r="B95" s="301" t="s">
        <v>195</v>
      </c>
      <c r="C95" s="205" t="str">
        <f t="array" ref="C95">IF(B95:B1408="", "", XLOOKUP(B95:B1408, 'Equipment Registry'!$A$2:$A$154, 'Equipment Registry'!$B$2:$B$154, "Not Found"))</f>
        <v>Kiln Bearing </v>
      </c>
      <c r="D95" s="302" t="str">
        <f t="array" ref="D95">IF(B95:B1408="", "", XLOOKUP(B95:B1408, 'Equipment Registry'!$A$2:$A$154, 'Equipment Registry'!$E$2:$E$154, "Not Found"))</f>
        <v>MOBILGEAR 600 XP 1000</v>
      </c>
      <c r="E95" s="303">
        <v>46107.0</v>
      </c>
      <c r="F95" s="304">
        <v>46082.0</v>
      </c>
      <c r="G95" s="305" t="s">
        <v>97</v>
      </c>
      <c r="H95" s="306" t="s">
        <v>1106</v>
      </c>
      <c r="I95" s="302"/>
      <c r="J95" s="307" t="s">
        <v>1000</v>
      </c>
      <c r="K95" s="308" t="s">
        <v>1095</v>
      </c>
      <c r="L95" s="309" t="s">
        <v>1002</v>
      </c>
      <c r="M95" s="310">
        <v>46113.0</v>
      </c>
      <c r="N95" s="200" t="s">
        <v>1092</v>
      </c>
      <c r="O95" s="311" t="s">
        <v>1107</v>
      </c>
      <c r="P95" s="200" t="s">
        <v>1093</v>
      </c>
      <c r="Q95" s="200"/>
      <c r="R95" s="58"/>
      <c r="S95" s="58"/>
      <c r="T95" s="58"/>
      <c r="U95" s="58"/>
      <c r="V95" s="58"/>
      <c r="W95" s="58"/>
      <c r="X95" s="58"/>
      <c r="Y95" s="58"/>
      <c r="Z95" s="58"/>
      <c r="AA95" s="58"/>
      <c r="AB95" s="58"/>
      <c r="AC95" s="58"/>
    </row>
    <row r="96">
      <c r="A96" s="300" t="str">
        <f t="shared" si="1"/>
        <v>O-91</v>
      </c>
      <c r="B96" s="301" t="s">
        <v>196</v>
      </c>
      <c r="C96" s="205" t="str">
        <f t="array" ref="C96">IF(B96:B1408="", "", XLOOKUP(B96:B1408, 'Equipment Registry'!$A$2:$A$154, 'Equipment Registry'!$B$2:$B$154, "Not Found"))</f>
        <v>Kiln Bearing </v>
      </c>
      <c r="D96" s="302" t="str">
        <f t="array" ref="D96">IF(B96:B1408="", "", XLOOKUP(B96:B1408, 'Equipment Registry'!$A$2:$A$154, 'Equipment Registry'!$E$2:$E$154, "Not Found"))</f>
        <v>MOBILGEAR 600 XP 1000</v>
      </c>
      <c r="E96" s="303">
        <v>46107.0</v>
      </c>
      <c r="F96" s="304"/>
      <c r="G96" s="305" t="s">
        <v>99</v>
      </c>
      <c r="H96" s="306"/>
      <c r="I96" s="302"/>
      <c r="J96" s="307" t="s">
        <v>1000</v>
      </c>
      <c r="K96" s="313"/>
      <c r="L96" s="309" t="s">
        <v>1002</v>
      </c>
      <c r="M96" s="310">
        <v>46113.0</v>
      </c>
      <c r="N96" s="200" t="s">
        <v>1092</v>
      </c>
      <c r="O96" s="311" t="s">
        <v>1067</v>
      </c>
      <c r="P96" s="200" t="s">
        <v>1093</v>
      </c>
      <c r="Q96" s="200"/>
      <c r="R96" s="58"/>
      <c r="S96" s="58"/>
      <c r="T96" s="58"/>
      <c r="U96" s="58"/>
      <c r="V96" s="58"/>
      <c r="W96" s="58"/>
      <c r="X96" s="58"/>
      <c r="Y96" s="58"/>
      <c r="Z96" s="58"/>
      <c r="AA96" s="58"/>
      <c r="AB96" s="58"/>
      <c r="AC96" s="58"/>
    </row>
    <row r="97">
      <c r="A97" s="300" t="str">
        <f t="shared" si="1"/>
        <v>O-92</v>
      </c>
      <c r="B97" s="301" t="s">
        <v>197</v>
      </c>
      <c r="C97" s="205" t="str">
        <f t="array" ref="C97">IF(B97:B1408="", "", XLOOKUP(B97:B1408, 'Equipment Registry'!$A$2:$A$154, 'Equipment Registry'!$B$2:$B$154, "Not Found"))</f>
        <v>Kiln Bearing </v>
      </c>
      <c r="D97" s="302" t="str">
        <f t="array" ref="D97">IF(B97:B1408="", "", XLOOKUP(B97:B1408, 'Equipment Registry'!$A$2:$A$154, 'Equipment Registry'!$E$2:$E$154, "Not Found"))</f>
        <v>MOBILGEAR 600 XP 1000</v>
      </c>
      <c r="E97" s="303">
        <v>46107.0</v>
      </c>
      <c r="F97" s="304"/>
      <c r="G97" s="305" t="s">
        <v>99</v>
      </c>
      <c r="H97" s="306"/>
      <c r="I97" s="302"/>
      <c r="J97" s="307" t="s">
        <v>1000</v>
      </c>
      <c r="K97" s="313"/>
      <c r="L97" s="309" t="s">
        <v>1002</v>
      </c>
      <c r="M97" s="310">
        <v>46113.0</v>
      </c>
      <c r="N97" s="200" t="s">
        <v>1092</v>
      </c>
      <c r="O97" s="311" t="s">
        <v>1067</v>
      </c>
      <c r="P97" s="200" t="s">
        <v>1093</v>
      </c>
      <c r="Q97" s="200"/>
      <c r="R97" s="58"/>
      <c r="S97" s="58"/>
      <c r="T97" s="58"/>
      <c r="U97" s="58"/>
      <c r="V97" s="58"/>
      <c r="W97" s="58"/>
      <c r="X97" s="58"/>
      <c r="Y97" s="58"/>
      <c r="Z97" s="58"/>
      <c r="AA97" s="58"/>
      <c r="AB97" s="58"/>
      <c r="AC97" s="58"/>
    </row>
    <row r="98">
      <c r="A98" s="300" t="str">
        <f t="shared" si="1"/>
        <v>O-93</v>
      </c>
      <c r="B98" s="301" t="s">
        <v>198</v>
      </c>
      <c r="C98" s="205" t="str">
        <f t="array" ref="C98">IF(B98:B1408="", "", XLOOKUP(B98:B1408, 'Equipment Registry'!$A$2:$A$154, 'Equipment Registry'!$B$2:$B$154, "Not Found"))</f>
        <v>Kiln Bearing </v>
      </c>
      <c r="D98" s="302" t="str">
        <f t="array" ref="D98">IF(B98:B1408="", "", XLOOKUP(B98:B1408, 'Equipment Registry'!$A$2:$A$154, 'Equipment Registry'!$E$2:$E$154, "Not Found"))</f>
        <v>MOBILGEAR 600 XP 1000</v>
      </c>
      <c r="E98" s="303">
        <v>46107.0</v>
      </c>
      <c r="F98" s="304"/>
      <c r="G98" s="305" t="s">
        <v>99</v>
      </c>
      <c r="H98" s="306"/>
      <c r="I98" s="302"/>
      <c r="J98" s="307" t="s">
        <v>1000</v>
      </c>
      <c r="K98" s="313"/>
      <c r="L98" s="309" t="s">
        <v>1002</v>
      </c>
      <c r="M98" s="310">
        <v>46113.0</v>
      </c>
      <c r="N98" s="200" t="s">
        <v>1092</v>
      </c>
      <c r="O98" s="311" t="s">
        <v>1067</v>
      </c>
      <c r="P98" s="200" t="s">
        <v>1093</v>
      </c>
      <c r="Q98" s="200"/>
      <c r="R98" s="58"/>
      <c r="S98" s="58"/>
      <c r="T98" s="58"/>
      <c r="U98" s="58"/>
      <c r="V98" s="58"/>
      <c r="W98" s="58"/>
      <c r="X98" s="58"/>
      <c r="Y98" s="58"/>
      <c r="Z98" s="58"/>
      <c r="AA98" s="58"/>
      <c r="AB98" s="58"/>
      <c r="AC98" s="58"/>
    </row>
    <row r="99">
      <c r="A99" s="300" t="str">
        <f t="shared" si="1"/>
        <v>O-94</v>
      </c>
      <c r="B99" s="301" t="s">
        <v>199</v>
      </c>
      <c r="C99" s="205" t="str">
        <f t="array" ref="C99">IF(B99:B1408="", "", XLOOKUP(B99:B1408, 'Equipment Registry'!$A$2:$A$154, 'Equipment Registry'!$B$2:$B$154, "Not Found"))</f>
        <v>Kiln Bearing </v>
      </c>
      <c r="D99" s="302" t="str">
        <f t="array" ref="D99">IF(B99:B1408="", "", XLOOKUP(B99:B1408, 'Equipment Registry'!$A$2:$A$154, 'Equipment Registry'!$E$2:$E$154, "Not Found"))</f>
        <v>MOBILGEAR 600 XP 1000</v>
      </c>
      <c r="E99" s="303">
        <v>46107.0</v>
      </c>
      <c r="F99" s="304">
        <v>46082.0</v>
      </c>
      <c r="G99" s="305" t="s">
        <v>96</v>
      </c>
      <c r="H99" s="306" t="s">
        <v>1005</v>
      </c>
      <c r="I99" s="302"/>
      <c r="J99" s="307" t="s">
        <v>1000</v>
      </c>
      <c r="K99" s="308" t="s">
        <v>1095</v>
      </c>
      <c r="L99" s="309" t="s">
        <v>1002</v>
      </c>
      <c r="M99" s="310">
        <v>46113.0</v>
      </c>
      <c r="N99" s="200" t="s">
        <v>1092</v>
      </c>
      <c r="O99" s="311" t="s">
        <v>1007</v>
      </c>
      <c r="P99" s="200" t="s">
        <v>1093</v>
      </c>
      <c r="Q99" s="200"/>
      <c r="R99" s="58"/>
      <c r="S99" s="58"/>
      <c r="T99" s="58"/>
      <c r="U99" s="58"/>
      <c r="V99" s="58"/>
      <c r="W99" s="58"/>
      <c r="X99" s="58"/>
      <c r="Y99" s="58"/>
      <c r="Z99" s="58"/>
      <c r="AA99" s="58"/>
      <c r="AB99" s="58"/>
      <c r="AC99" s="58"/>
    </row>
    <row r="100">
      <c r="A100" s="300" t="str">
        <f t="shared" si="1"/>
        <v>O-95</v>
      </c>
      <c r="B100" s="301" t="s">
        <v>200</v>
      </c>
      <c r="C100" s="205" t="str">
        <f t="array" ref="C100">IF(B100:B1408="", "", XLOOKUP(B100:B1408, 'Equipment Registry'!$A$2:$A$154, 'Equipment Registry'!$B$2:$B$154, "Not Found"))</f>
        <v>Kiln Bearing </v>
      </c>
      <c r="D100" s="302" t="str">
        <f t="array" ref="D100">IF(B100:B1408="", "", XLOOKUP(B100:B1408, 'Equipment Registry'!$A$2:$A$154, 'Equipment Registry'!$E$2:$E$154, "Not Found"))</f>
        <v>MOBILGEAR 600 XP 1000</v>
      </c>
      <c r="E100" s="303">
        <v>46107.0</v>
      </c>
      <c r="F100" s="304"/>
      <c r="G100" s="305" t="s">
        <v>99</v>
      </c>
      <c r="H100" s="306"/>
      <c r="I100" s="302"/>
      <c r="J100" s="307" t="s">
        <v>1000</v>
      </c>
      <c r="K100" s="313"/>
      <c r="L100" s="309" t="s">
        <v>1002</v>
      </c>
      <c r="M100" s="310">
        <v>46113.0</v>
      </c>
      <c r="N100" s="200" t="s">
        <v>1092</v>
      </c>
      <c r="O100" s="311" t="s">
        <v>1067</v>
      </c>
      <c r="P100" s="200" t="s">
        <v>1093</v>
      </c>
      <c r="Q100" s="200"/>
      <c r="R100" s="58"/>
      <c r="S100" s="58"/>
      <c r="T100" s="58"/>
      <c r="U100" s="58"/>
      <c r="V100" s="58"/>
      <c r="W100" s="58"/>
      <c r="X100" s="58"/>
      <c r="Y100" s="58"/>
      <c r="Z100" s="58"/>
      <c r="AA100" s="58"/>
      <c r="AB100" s="58"/>
      <c r="AC100" s="58"/>
    </row>
    <row r="101">
      <c r="A101" s="300" t="str">
        <f t="shared" si="1"/>
        <v>O-96</v>
      </c>
      <c r="B101" s="301" t="s">
        <v>201</v>
      </c>
      <c r="C101" s="205" t="str">
        <f t="array" ref="C101">IF(B101:B1408="", "", XLOOKUP(B101:B1408, 'Equipment Registry'!$A$2:$A$154, 'Equipment Registry'!$B$2:$B$154, "Not Found"))</f>
        <v>Kiln Bearing </v>
      </c>
      <c r="D101" s="302" t="str">
        <f t="array" ref="D101">IF(B101:B1408="", "", XLOOKUP(B101:B1408, 'Equipment Registry'!$A$2:$A$154, 'Equipment Registry'!$E$2:$E$154, "Not Found"))</f>
        <v>MOBILGEAR 600 XP 1000</v>
      </c>
      <c r="E101" s="303">
        <v>46107.0</v>
      </c>
      <c r="F101" s="304">
        <v>46082.0</v>
      </c>
      <c r="G101" s="305" t="s">
        <v>96</v>
      </c>
      <c r="H101" s="306" t="s">
        <v>1005</v>
      </c>
      <c r="I101" s="302"/>
      <c r="J101" s="307" t="s">
        <v>1000</v>
      </c>
      <c r="K101" s="308" t="s">
        <v>1095</v>
      </c>
      <c r="L101" s="309" t="s">
        <v>1002</v>
      </c>
      <c r="M101" s="310">
        <v>46113.0</v>
      </c>
      <c r="N101" s="200" t="s">
        <v>1092</v>
      </c>
      <c r="O101" s="311" t="s">
        <v>1007</v>
      </c>
      <c r="P101" s="200" t="s">
        <v>1093</v>
      </c>
      <c r="Q101" s="200"/>
      <c r="R101" s="58"/>
      <c r="S101" s="58"/>
      <c r="T101" s="58"/>
      <c r="U101" s="58"/>
      <c r="V101" s="58"/>
      <c r="W101" s="58"/>
      <c r="X101" s="58"/>
      <c r="Y101" s="58"/>
      <c r="Z101" s="58"/>
      <c r="AA101" s="58"/>
      <c r="AB101" s="58"/>
      <c r="AC101" s="58"/>
    </row>
    <row r="102">
      <c r="A102" s="300" t="str">
        <f t="shared" si="1"/>
        <v>O-97</v>
      </c>
      <c r="B102" s="301" t="s">
        <v>202</v>
      </c>
      <c r="C102" s="205" t="str">
        <f t="array" ref="C102">IF(B102:B1408="", "", XLOOKUP(B102:B1408, 'Equipment Registry'!$A$2:$A$154, 'Equipment Registry'!$B$2:$B$154, "Not Found"))</f>
        <v>Kiln Bearing </v>
      </c>
      <c r="D102" s="302" t="str">
        <f t="array" ref="D102">IF(B102:B1408="", "", XLOOKUP(B102:B1408, 'Equipment Registry'!$A$2:$A$154, 'Equipment Registry'!$E$2:$E$154, "Not Found"))</f>
        <v>MOBILGEAR 600 XP 1000</v>
      </c>
      <c r="E102" s="303">
        <v>46107.0</v>
      </c>
      <c r="F102" s="304">
        <v>46082.0</v>
      </c>
      <c r="G102" s="305" t="s">
        <v>97</v>
      </c>
      <c r="H102" s="306" t="s">
        <v>1108</v>
      </c>
      <c r="I102" s="302"/>
      <c r="J102" s="307" t="s">
        <v>1000</v>
      </c>
      <c r="K102" s="308" t="s">
        <v>1095</v>
      </c>
      <c r="L102" s="309" t="s">
        <v>1002</v>
      </c>
      <c r="M102" s="310">
        <v>46113.0</v>
      </c>
      <c r="N102" s="200" t="s">
        <v>1092</v>
      </c>
      <c r="O102" s="311" t="s">
        <v>1007</v>
      </c>
      <c r="P102" s="200" t="s">
        <v>1093</v>
      </c>
      <c r="Q102" s="200"/>
      <c r="R102" s="58"/>
      <c r="S102" s="58"/>
      <c r="T102" s="58"/>
      <c r="U102" s="58"/>
      <c r="V102" s="58"/>
      <c r="W102" s="58"/>
      <c r="X102" s="58"/>
      <c r="Y102" s="58"/>
      <c r="Z102" s="58"/>
      <c r="AA102" s="58"/>
      <c r="AB102" s="58"/>
      <c r="AC102" s="58"/>
    </row>
    <row r="103">
      <c r="A103" s="300" t="str">
        <f t="shared" si="1"/>
        <v>O-98</v>
      </c>
      <c r="B103" s="301" t="s">
        <v>203</v>
      </c>
      <c r="C103" s="205" t="str">
        <f t="array" ref="C103">IF(B103:B1408="", "", XLOOKUP(B103:B1408, 'Equipment Registry'!$A$2:$A$154, 'Equipment Registry'!$B$2:$B$154, "Not Found"))</f>
        <v>Kiln Bearing </v>
      </c>
      <c r="D103" s="302" t="str">
        <f t="array" ref="D103">IF(B103:B1408="", "", XLOOKUP(B103:B1408, 'Equipment Registry'!$A$2:$A$154, 'Equipment Registry'!$E$2:$E$154, "Not Found"))</f>
        <v>MOBILGEAR 600 XP 1000</v>
      </c>
      <c r="E103" s="303">
        <v>46107.0</v>
      </c>
      <c r="F103" s="304">
        <v>46082.0</v>
      </c>
      <c r="G103" s="305" t="s">
        <v>96</v>
      </c>
      <c r="H103" s="306" t="s">
        <v>1109</v>
      </c>
      <c r="I103" s="302"/>
      <c r="J103" s="307" t="s">
        <v>1000</v>
      </c>
      <c r="K103" s="308" t="s">
        <v>1095</v>
      </c>
      <c r="L103" s="309" t="s">
        <v>1002</v>
      </c>
      <c r="M103" s="310">
        <v>46113.0</v>
      </c>
      <c r="N103" s="200" t="s">
        <v>1092</v>
      </c>
      <c r="O103" s="311" t="s">
        <v>1007</v>
      </c>
      <c r="P103" s="200" t="s">
        <v>1093</v>
      </c>
      <c r="Q103" s="200"/>
      <c r="R103" s="58"/>
      <c r="S103" s="58"/>
      <c r="T103" s="58"/>
      <c r="U103" s="58"/>
      <c r="V103" s="58"/>
      <c r="W103" s="58"/>
      <c r="X103" s="58"/>
      <c r="Y103" s="58"/>
      <c r="Z103" s="58"/>
      <c r="AA103" s="58"/>
      <c r="AB103" s="58"/>
      <c r="AC103" s="58"/>
    </row>
    <row r="104">
      <c r="A104" s="300" t="str">
        <f t="shared" si="1"/>
        <v>O-99</v>
      </c>
      <c r="B104" s="301" t="s">
        <v>205</v>
      </c>
      <c r="C104" s="205" t="str">
        <f t="array" ref="C104">IF(B104:B1408="", "", XLOOKUP(B104:B1408, 'Equipment Registry'!$A$2:$A$154, 'Equipment Registry'!$B$2:$B$154, "Not Found"))</f>
        <v>Kiln #2 Main drive gearbox (N32)</v>
      </c>
      <c r="D104" s="302" t="str">
        <f t="array" ref="D104">IF(B104:B1408="", "", XLOOKUP(B104:B1408, 'Equipment Registry'!$A$2:$A$154, 'Equipment Registry'!$E$2:$E$154, "Not Found"))</f>
        <v>MOBILGEAR 600 XP 460</v>
      </c>
      <c r="E104" s="303">
        <v>46107.0</v>
      </c>
      <c r="F104" s="304">
        <v>46082.0</v>
      </c>
      <c r="G104" s="305" t="s">
        <v>96</v>
      </c>
      <c r="H104" s="306" t="s">
        <v>1005</v>
      </c>
      <c r="I104" s="302"/>
      <c r="J104" s="307" t="s">
        <v>1000</v>
      </c>
      <c r="K104" s="308" t="s">
        <v>1110</v>
      </c>
      <c r="L104" s="309" t="s">
        <v>1002</v>
      </c>
      <c r="M104" s="310">
        <v>46113.0</v>
      </c>
      <c r="N104" s="200" t="s">
        <v>1101</v>
      </c>
      <c r="O104" s="311" t="s">
        <v>1007</v>
      </c>
      <c r="P104" s="200" t="s">
        <v>1102</v>
      </c>
      <c r="Q104" s="200"/>
      <c r="R104" s="58"/>
      <c r="S104" s="58"/>
      <c r="T104" s="58"/>
      <c r="U104" s="58"/>
      <c r="V104" s="58"/>
      <c r="W104" s="58"/>
      <c r="X104" s="58"/>
      <c r="Y104" s="58"/>
      <c r="Z104" s="58"/>
      <c r="AA104" s="58"/>
      <c r="AB104" s="58"/>
      <c r="AC104" s="58"/>
    </row>
    <row r="105">
      <c r="A105" s="300" t="str">
        <f t="shared" si="1"/>
        <v>O-100</v>
      </c>
      <c r="B105" s="301" t="s">
        <v>206</v>
      </c>
      <c r="C105" s="205" t="str">
        <f t="array" ref="C105">IF(B105:B1408="", "", XLOOKUP(B105:B1408, 'Equipment Registry'!$A$2:$A$154, 'Equipment Registry'!$B$2:$B$154, "Not Found"))</f>
        <v>Clinker Cooler filter Fan</v>
      </c>
      <c r="D105" s="302" t="str">
        <f t="array" ref="D105">IF(B105:B1408="", "", XLOOKUP(B105:B1408, 'Equipment Registry'!$A$2:$A$154, 'Equipment Registry'!$E$2:$E$154, "Not Found"))</f>
        <v>MOBIL SHC 632</v>
      </c>
      <c r="E105" s="303">
        <v>46107.0</v>
      </c>
      <c r="F105" s="304"/>
      <c r="G105" s="312"/>
      <c r="H105" s="306"/>
      <c r="I105" s="302"/>
      <c r="J105" s="307" t="s">
        <v>1000</v>
      </c>
      <c r="K105" s="313"/>
      <c r="L105" s="309" t="s">
        <v>1002</v>
      </c>
      <c r="M105" s="310">
        <v>46113.0</v>
      </c>
      <c r="N105" s="200" t="s">
        <v>1044</v>
      </c>
      <c r="O105" s="311"/>
      <c r="P105" s="200" t="s">
        <v>1102</v>
      </c>
      <c r="Q105" s="200"/>
      <c r="R105" s="58"/>
      <c r="S105" s="58"/>
      <c r="T105" s="58"/>
      <c r="U105" s="58"/>
      <c r="V105" s="58"/>
      <c r="W105" s="58"/>
      <c r="X105" s="58"/>
      <c r="Y105" s="58"/>
      <c r="Z105" s="58"/>
      <c r="AA105" s="58"/>
      <c r="AB105" s="58"/>
      <c r="AC105" s="58"/>
    </row>
    <row r="106">
      <c r="A106" s="300" t="str">
        <f t="shared" si="1"/>
        <v>O-101</v>
      </c>
      <c r="B106" s="301" t="s">
        <v>208</v>
      </c>
      <c r="C106" s="205" t="str">
        <f t="array" ref="C106">IF(B106:B1408="", "", XLOOKUP(B106:B1408, 'Equipment Registry'!$A$2:$A$154, 'Equipment Registry'!$B$2:$B$154, "Not Found"))</f>
        <v>Clinker Cooler L#2 filter fan </v>
      </c>
      <c r="D106" s="302" t="str">
        <f t="array" ref="D106">IF(B106:B1408="", "", XLOOKUP(B106:B1408, 'Equipment Registry'!$A$2:$A$154, 'Equipment Registry'!$E$2:$E$154, "Not Found"))</f>
        <v>MOBIL SHC 632</v>
      </c>
      <c r="E106" s="303">
        <v>46107.0</v>
      </c>
      <c r="F106" s="304"/>
      <c r="G106" s="312"/>
      <c r="H106" s="306"/>
      <c r="I106" s="302"/>
      <c r="J106" s="307" t="s">
        <v>1000</v>
      </c>
      <c r="K106" s="313"/>
      <c r="L106" s="309" t="s">
        <v>1002</v>
      </c>
      <c r="M106" s="310">
        <v>46113.0</v>
      </c>
      <c r="N106" s="200" t="s">
        <v>1044</v>
      </c>
      <c r="O106" s="311"/>
      <c r="P106" s="200" t="s">
        <v>1087</v>
      </c>
      <c r="Q106" s="200"/>
      <c r="R106" s="58"/>
      <c r="S106" s="58"/>
      <c r="T106" s="58"/>
      <c r="U106" s="58"/>
      <c r="V106" s="58"/>
      <c r="W106" s="58"/>
      <c r="X106" s="58"/>
      <c r="Y106" s="58"/>
      <c r="Z106" s="58"/>
      <c r="AA106" s="58"/>
      <c r="AB106" s="58"/>
      <c r="AC106" s="58"/>
    </row>
    <row r="107">
      <c r="A107" s="300" t="str">
        <f t="shared" si="1"/>
        <v>O-102</v>
      </c>
      <c r="B107" s="301" t="s">
        <v>213</v>
      </c>
      <c r="C107" s="205" t="str">
        <f t="array" ref="C107">IF(B107:B1408="", "", XLOOKUP(B107:B1408, 'Equipment Registry'!$A$2:$A$154, 'Equipment Registry'!$B$2:$B$154, "Not Found"))</f>
        <v>Coal Mill 1 Hyd. tensioning sys.</v>
      </c>
      <c r="D107" s="302" t="str">
        <f t="array" ref="D107">IF(B107:B1408="", "", XLOOKUP(B107:B1408, 'Equipment Registry'!$A$2:$A$154, 'Equipment Registry'!$E$2:$E$154, "Not Found"))</f>
        <v>MOBIL DTE 25</v>
      </c>
      <c r="E107" s="303">
        <v>46107.0</v>
      </c>
      <c r="F107" s="304">
        <v>46082.0</v>
      </c>
      <c r="G107" s="305" t="s">
        <v>96</v>
      </c>
      <c r="H107" s="306" t="s">
        <v>1005</v>
      </c>
      <c r="I107" s="302"/>
      <c r="J107" s="307" t="s">
        <v>1000</v>
      </c>
      <c r="K107" s="308" t="s">
        <v>1061</v>
      </c>
      <c r="L107" s="309" t="s">
        <v>1002</v>
      </c>
      <c r="M107" s="310">
        <v>46113.0</v>
      </c>
      <c r="N107" s="200" t="s">
        <v>1044</v>
      </c>
      <c r="O107" s="311" t="s">
        <v>1007</v>
      </c>
      <c r="P107" s="200" t="s">
        <v>1111</v>
      </c>
      <c r="Q107" s="200"/>
      <c r="R107" s="58"/>
      <c r="S107" s="58"/>
      <c r="T107" s="58"/>
      <c r="U107" s="58"/>
      <c r="V107" s="58"/>
      <c r="W107" s="58"/>
      <c r="X107" s="58"/>
      <c r="Y107" s="58"/>
      <c r="Z107" s="58"/>
      <c r="AA107" s="58"/>
      <c r="AB107" s="58"/>
      <c r="AC107" s="58"/>
    </row>
    <row r="108">
      <c r="A108" s="314" t="s">
        <v>1112</v>
      </c>
      <c r="B108" s="301" t="s">
        <v>214</v>
      </c>
      <c r="C108" s="200" t="s">
        <v>445</v>
      </c>
      <c r="D108" s="301" t="s">
        <v>1113</v>
      </c>
      <c r="E108" s="303">
        <v>46107.0</v>
      </c>
      <c r="F108" s="304"/>
      <c r="G108" s="305"/>
      <c r="H108" s="306" t="s">
        <v>1114</v>
      </c>
      <c r="I108" s="315">
        <v>46138.0</v>
      </c>
      <c r="J108" s="307" t="s">
        <v>1000</v>
      </c>
      <c r="K108" s="308" t="s">
        <v>1001</v>
      </c>
      <c r="L108" s="309" t="s">
        <v>1002</v>
      </c>
      <c r="M108" s="310">
        <v>46138.0</v>
      </c>
      <c r="N108" s="200" t="s">
        <v>1115</v>
      </c>
      <c r="O108" s="311" t="s">
        <v>1116</v>
      </c>
      <c r="P108" s="200" t="s">
        <v>1117</v>
      </c>
      <c r="Q108" s="200" t="s">
        <v>1118</v>
      </c>
      <c r="R108" s="58"/>
      <c r="S108" s="58"/>
      <c r="T108" s="58"/>
      <c r="U108" s="58"/>
      <c r="V108" s="58"/>
      <c r="W108" s="58"/>
      <c r="X108" s="58"/>
      <c r="Y108" s="58"/>
      <c r="Z108" s="58"/>
      <c r="AA108" s="58"/>
      <c r="AB108" s="58"/>
      <c r="AC108" s="58"/>
    </row>
    <row r="109">
      <c r="A109" s="300" t="str">
        <f t="shared" ref="A109:A215" si="2">IF(C109:C1408="", "", "O-" &amp; (ROW(C109:C1408)-5))</f>
        <v>O-104</v>
      </c>
      <c r="B109" s="301" t="s">
        <v>215</v>
      </c>
      <c r="C109" s="205" t="str">
        <f t="array" ref="C109">IF(B109:B1408="", "", XLOOKUP(B109:B1408, 'Equipment Registry'!$A$2:$A$154, 'Equipment Registry'!$B$2:$B$154, "Not Found"))</f>
        <v>Coal Mill 1 Gear box</v>
      </c>
      <c r="D109" s="302" t="str">
        <f t="array" ref="D109">IF(B109:B1408="", "", XLOOKUP(B109:B1408, 'Equipment Registry'!$A$2:$A$154, 'Equipment Registry'!$E$2:$E$154, "Not Found"))</f>
        <v>MOBILGEAR 600 XP 320</v>
      </c>
      <c r="E109" s="303">
        <v>46107.0</v>
      </c>
      <c r="F109" s="304">
        <v>46082.0</v>
      </c>
      <c r="G109" s="305" t="s">
        <v>96</v>
      </c>
      <c r="H109" s="306" t="s">
        <v>1119</v>
      </c>
      <c r="I109" s="302"/>
      <c r="J109" s="307" t="s">
        <v>1000</v>
      </c>
      <c r="K109" s="308" t="s">
        <v>1120</v>
      </c>
      <c r="L109" s="309" t="s">
        <v>1002</v>
      </c>
      <c r="M109" s="310">
        <v>46113.0</v>
      </c>
      <c r="N109" s="205"/>
      <c r="O109" s="311"/>
      <c r="P109" s="200" t="s">
        <v>1121</v>
      </c>
      <c r="Q109" s="200"/>
      <c r="R109" s="58"/>
      <c r="S109" s="58"/>
      <c r="T109" s="58"/>
      <c r="U109" s="58"/>
      <c r="V109" s="58"/>
      <c r="W109" s="58"/>
      <c r="X109" s="58"/>
      <c r="Y109" s="58"/>
      <c r="Z109" s="58"/>
      <c r="AA109" s="58"/>
      <c r="AB109" s="58"/>
      <c r="AC109" s="58"/>
    </row>
    <row r="110">
      <c r="A110" s="300" t="str">
        <f t="shared" si="2"/>
        <v>O-105</v>
      </c>
      <c r="B110" s="301" t="s">
        <v>216</v>
      </c>
      <c r="C110" s="205" t="str">
        <f t="array" ref="C110">IF(B110:B1408="", "", XLOOKUP(B110:B1408, 'Equipment Registry'!$A$2:$A$154, 'Equipment Registry'!$B$2:$B$154, "Not Found"))</f>
        <v>Coal Mill#1 Separator Gear Box</v>
      </c>
      <c r="D110" s="302" t="str">
        <f t="array" ref="D110">IF(B110:B1408="", "", XLOOKUP(B110:B1408, 'Equipment Registry'!$A$2:$A$154, 'Equipment Registry'!$E$2:$E$154, "Not Found"))</f>
        <v>MOBILGEAR 600 XP 320</v>
      </c>
      <c r="E110" s="303">
        <v>46107.0</v>
      </c>
      <c r="F110" s="304"/>
      <c r="G110" s="312"/>
      <c r="H110" s="306"/>
      <c r="I110" s="302"/>
      <c r="J110" s="307" t="s">
        <v>1080</v>
      </c>
      <c r="K110" s="313"/>
      <c r="L110" s="309" t="s">
        <v>1002</v>
      </c>
      <c r="M110" s="310">
        <v>46113.0</v>
      </c>
      <c r="N110" s="200" t="s">
        <v>1006</v>
      </c>
      <c r="O110" s="311"/>
      <c r="P110" s="200" t="s">
        <v>1089</v>
      </c>
      <c r="Q110" s="200"/>
      <c r="R110" s="58"/>
      <c r="S110" s="58"/>
      <c r="T110" s="58"/>
      <c r="U110" s="58"/>
      <c r="V110" s="58"/>
      <c r="W110" s="58"/>
      <c r="X110" s="58"/>
      <c r="Y110" s="58"/>
      <c r="Z110" s="58"/>
      <c r="AA110" s="58"/>
      <c r="AB110" s="58"/>
      <c r="AC110" s="58"/>
    </row>
    <row r="111">
      <c r="A111" s="300" t="str">
        <f t="shared" si="2"/>
        <v>O-106</v>
      </c>
      <c r="B111" s="301" t="s">
        <v>217</v>
      </c>
      <c r="C111" s="205" t="str">
        <f t="array" ref="C111">IF(B111:B1408="", "", XLOOKUP(B111:B1408, 'Equipment Registry'!$A$2:$A$154, 'Equipment Registry'!$B$2:$B$154, "Not Found"))</f>
        <v>Coal#1 - Air Compressor</v>
      </c>
      <c r="D111" s="302" t="str">
        <f t="array" ref="D111">IF(B111:B1408="", "", XLOOKUP(B111:B1408, 'Equipment Registry'!$A$2:$A$154, 'Equipment Registry'!$E$2:$E$154, "Not Found"))</f>
        <v>MOBIL SHC RARUS 68</v>
      </c>
      <c r="E111" s="303">
        <v>46107.0</v>
      </c>
      <c r="F111" s="304">
        <v>46082.0</v>
      </c>
      <c r="G111" s="305" t="s">
        <v>97</v>
      </c>
      <c r="H111" s="306" t="s">
        <v>1122</v>
      </c>
      <c r="I111" s="302"/>
      <c r="J111" s="307" t="s">
        <v>1000</v>
      </c>
      <c r="K111" s="308" t="s">
        <v>1123</v>
      </c>
      <c r="L111" s="309" t="s">
        <v>1002</v>
      </c>
      <c r="M111" s="310">
        <v>46113.0</v>
      </c>
      <c r="N111" s="200" t="s">
        <v>1124</v>
      </c>
      <c r="O111" s="311" t="s">
        <v>1125</v>
      </c>
      <c r="P111" s="200" t="s">
        <v>1126</v>
      </c>
      <c r="Q111" s="200"/>
      <c r="R111" s="58"/>
      <c r="S111" s="58"/>
      <c r="T111" s="58"/>
      <c r="U111" s="58"/>
      <c r="V111" s="58"/>
      <c r="W111" s="58"/>
      <c r="X111" s="58"/>
      <c r="Y111" s="58"/>
      <c r="Z111" s="58"/>
      <c r="AA111" s="58"/>
      <c r="AB111" s="58"/>
      <c r="AC111" s="58"/>
    </row>
    <row r="112">
      <c r="A112" s="300" t="str">
        <f t="shared" si="2"/>
        <v>O-107</v>
      </c>
      <c r="B112" s="301" t="s">
        <v>218</v>
      </c>
      <c r="C112" s="205" t="str">
        <f t="array" ref="C112">IF(B112:B1408="", "", XLOOKUP(B112:B1408, 'Equipment Registry'!$A$2:$A$154, 'Equipment Registry'!$B$2:$B$154, "Not Found"))</f>
        <v>Coal#1 - Air Compressor</v>
      </c>
      <c r="D112" s="302" t="str">
        <f t="array" ref="D112">IF(B112:B1408="", "", XLOOKUP(B112:B1408, 'Equipment Registry'!$A$2:$A$154, 'Equipment Registry'!$E$2:$E$154, "Not Found"))</f>
        <v>MOBIL SHC RARUS 68</v>
      </c>
      <c r="E112" s="303">
        <v>46107.0</v>
      </c>
      <c r="F112" s="304">
        <v>46082.0</v>
      </c>
      <c r="G112" s="305" t="s">
        <v>98</v>
      </c>
      <c r="H112" s="306"/>
      <c r="I112" s="302"/>
      <c r="J112" s="307" t="s">
        <v>1000</v>
      </c>
      <c r="K112" s="313"/>
      <c r="L112" s="309" t="s">
        <v>1002</v>
      </c>
      <c r="M112" s="310">
        <v>46113.0</v>
      </c>
      <c r="N112" s="200" t="s">
        <v>1127</v>
      </c>
      <c r="O112" s="311"/>
      <c r="P112" s="200" t="s">
        <v>1128</v>
      </c>
      <c r="Q112" s="200"/>
      <c r="R112" s="58"/>
      <c r="S112" s="58"/>
      <c r="T112" s="58"/>
      <c r="U112" s="58"/>
      <c r="V112" s="58"/>
      <c r="W112" s="58"/>
      <c r="X112" s="58"/>
      <c r="Y112" s="58"/>
      <c r="Z112" s="58"/>
      <c r="AA112" s="58"/>
      <c r="AB112" s="58"/>
      <c r="AC112" s="58"/>
    </row>
    <row r="113">
      <c r="A113" s="300" t="str">
        <f t="shared" si="2"/>
        <v>O-108</v>
      </c>
      <c r="B113" s="301" t="s">
        <v>222</v>
      </c>
      <c r="C113" s="205" t="str">
        <f t="array" ref="C113">IF(B113:B1408="", "", XLOOKUP(B113:B1408, 'Equipment Registry'!$A$2:$A$154, 'Equipment Registry'!$B$2:$B$154, "Not Found"))</f>
        <v>Coal Mill 2 (T)</v>
      </c>
      <c r="D113" s="302" t="str">
        <f t="array" ref="D113">IF(B113:B1408="", "", XLOOKUP(B113:B1408, 'Equipment Registry'!$A$2:$A$154, 'Equipment Registry'!$E$2:$E$154, "Not Found"))</f>
        <v>MOBILGEAR 600 XP 320</v>
      </c>
      <c r="E113" s="303">
        <v>46107.0</v>
      </c>
      <c r="F113" s="304">
        <v>46082.0</v>
      </c>
      <c r="G113" s="305" t="s">
        <v>96</v>
      </c>
      <c r="H113" s="306" t="s">
        <v>1119</v>
      </c>
      <c r="I113" s="302"/>
      <c r="J113" s="307" t="s">
        <v>1000</v>
      </c>
      <c r="K113" s="308" t="s">
        <v>1069</v>
      </c>
      <c r="L113" s="309" t="s">
        <v>1002</v>
      </c>
      <c r="M113" s="310">
        <v>46113.0</v>
      </c>
      <c r="N113" s="200" t="s">
        <v>1082</v>
      </c>
      <c r="O113" s="311" t="s">
        <v>1007</v>
      </c>
      <c r="P113" s="200" t="s">
        <v>1129</v>
      </c>
      <c r="Q113" s="200"/>
      <c r="R113" s="58"/>
      <c r="S113" s="58"/>
      <c r="T113" s="58"/>
      <c r="U113" s="58"/>
      <c r="V113" s="58"/>
      <c r="W113" s="58"/>
      <c r="X113" s="58"/>
      <c r="Y113" s="58"/>
      <c r="Z113" s="58"/>
      <c r="AA113" s="58"/>
      <c r="AB113" s="58"/>
      <c r="AC113" s="58"/>
    </row>
    <row r="114">
      <c r="A114" s="300" t="str">
        <f t="shared" si="2"/>
        <v>O-109</v>
      </c>
      <c r="B114" s="301" t="s">
        <v>223</v>
      </c>
      <c r="C114" s="205" t="str">
        <f t="array" ref="C114">IF(B114:B1408="", "", XLOOKUP(B114:B1408, 'Equipment Registry'!$A$2:$A$154, 'Equipment Registry'!$B$2:$B$154, "Not Found"))</f>
        <v>Coal Mill 2 Separator Gear Box</v>
      </c>
      <c r="D114" s="302" t="str">
        <f t="array" ref="D114">IF(B114:B1408="", "", XLOOKUP(B114:B1408, 'Equipment Registry'!$A$2:$A$154, 'Equipment Registry'!$E$2:$E$154, "Not Found"))</f>
        <v>MOBIL SHC 632</v>
      </c>
      <c r="E114" s="303">
        <v>46107.0</v>
      </c>
      <c r="F114" s="304"/>
      <c r="G114" s="305" t="s">
        <v>99</v>
      </c>
      <c r="H114" s="306"/>
      <c r="I114" s="302"/>
      <c r="J114" s="307" t="s">
        <v>1000</v>
      </c>
      <c r="K114" s="313"/>
      <c r="L114" s="309" t="s">
        <v>1002</v>
      </c>
      <c r="M114" s="310">
        <v>46113.0</v>
      </c>
      <c r="N114" s="200" t="s">
        <v>1082</v>
      </c>
      <c r="O114" s="311" t="s">
        <v>1067</v>
      </c>
      <c r="P114" s="200" t="s">
        <v>1130</v>
      </c>
      <c r="Q114" s="200"/>
      <c r="R114" s="58"/>
      <c r="S114" s="58"/>
      <c r="T114" s="58"/>
      <c r="U114" s="58"/>
      <c r="V114" s="58"/>
      <c r="W114" s="58"/>
      <c r="X114" s="58"/>
      <c r="Y114" s="58"/>
      <c r="Z114" s="58"/>
      <c r="AA114" s="58"/>
      <c r="AB114" s="58"/>
      <c r="AC114" s="58"/>
    </row>
    <row r="115">
      <c r="A115" s="300" t="str">
        <f t="shared" si="2"/>
        <v>O-110</v>
      </c>
      <c r="B115" s="301" t="s">
        <v>224</v>
      </c>
      <c r="C115" s="205" t="str">
        <f t="array" ref="C115">IF(B115:B1408="", "", XLOOKUP(B115:B1408, 'Equipment Registry'!$A$2:$A$154, 'Equipment Registry'!$B$2:$B$154, "Not Found"))</f>
        <v>Pan Conveyor Main drive gearbox</v>
      </c>
      <c r="D115" s="302" t="str">
        <f t="array" ref="D115">IF(B115:B1408="", "", XLOOKUP(B115:B1408, 'Equipment Registry'!$A$2:$A$154, 'Equipment Registry'!$E$2:$E$154, "Not Found"))</f>
        <v>MOBIL GLYGOYLE 220</v>
      </c>
      <c r="E115" s="303">
        <v>46107.0</v>
      </c>
      <c r="F115" s="304"/>
      <c r="G115" s="312"/>
      <c r="H115" s="306"/>
      <c r="I115" s="302"/>
      <c r="J115" s="307" t="s">
        <v>1000</v>
      </c>
      <c r="K115" s="313"/>
      <c r="L115" s="309" t="s">
        <v>1002</v>
      </c>
      <c r="M115" s="310">
        <v>46113.0</v>
      </c>
      <c r="N115" s="200" t="s">
        <v>1073</v>
      </c>
      <c r="O115" s="311"/>
      <c r="P115" s="200" t="s">
        <v>1003</v>
      </c>
      <c r="Q115" s="200"/>
      <c r="R115" s="58"/>
      <c r="S115" s="58"/>
      <c r="T115" s="58"/>
      <c r="U115" s="58"/>
      <c r="V115" s="58"/>
      <c r="W115" s="58"/>
      <c r="X115" s="58"/>
      <c r="Y115" s="58"/>
      <c r="Z115" s="58"/>
      <c r="AA115" s="58"/>
      <c r="AB115" s="58"/>
      <c r="AC115" s="58"/>
    </row>
    <row r="116">
      <c r="A116" s="300" t="str">
        <f t="shared" si="2"/>
        <v>O-111</v>
      </c>
      <c r="B116" s="301" t="s">
        <v>225</v>
      </c>
      <c r="C116" s="205" t="str">
        <f t="array" ref="C116">IF(B116:B1408="", "", XLOOKUP(B116:B1408, 'Equipment Registry'!$A$2:$A$154, 'Equipment Registry'!$B$2:$B$154, "Not Found"))</f>
        <v>Drag chain geared motor</v>
      </c>
      <c r="D116" s="302" t="str">
        <f t="array" ref="D116">IF(B116:B1408="", "", XLOOKUP(B116:B1408, 'Equipment Registry'!$A$2:$A$154, 'Equipment Registry'!$E$2:$E$154, "Not Found"))</f>
        <v>MOBIL SHC 632</v>
      </c>
      <c r="E116" s="303">
        <v>46107.0</v>
      </c>
      <c r="F116" s="304"/>
      <c r="G116" s="312"/>
      <c r="H116" s="306"/>
      <c r="I116" s="302"/>
      <c r="J116" s="307" t="s">
        <v>1000</v>
      </c>
      <c r="K116" s="313"/>
      <c r="L116" s="309" t="s">
        <v>1002</v>
      </c>
      <c r="M116" s="310">
        <v>46113.0</v>
      </c>
      <c r="N116" s="200" t="s">
        <v>1073</v>
      </c>
      <c r="O116" s="311"/>
      <c r="P116" s="200" t="s">
        <v>1003</v>
      </c>
      <c r="Q116" s="200"/>
      <c r="R116" s="58"/>
      <c r="S116" s="58"/>
      <c r="T116" s="58"/>
      <c r="U116" s="58"/>
      <c r="V116" s="58"/>
      <c r="W116" s="58"/>
      <c r="X116" s="58"/>
      <c r="Y116" s="58"/>
      <c r="Z116" s="58"/>
      <c r="AA116" s="58"/>
      <c r="AB116" s="58"/>
      <c r="AC116" s="58"/>
    </row>
    <row r="117">
      <c r="A117" s="300" t="str">
        <f t="shared" si="2"/>
        <v>O-112</v>
      </c>
      <c r="B117" s="301" t="s">
        <v>226</v>
      </c>
      <c r="C117" s="205" t="str">
        <f t="array" ref="C117">IF(B117:B1408="", "", XLOOKUP(B117:B1408, 'Equipment Registry'!$A$2:$A$154, 'Equipment Registry'!$B$2:$B$154, "Not Found"))</f>
        <v>Pan Conv. #2 Main drive gearbox</v>
      </c>
      <c r="D117" s="302" t="str">
        <f t="array" ref="D117">IF(B117:B1408="", "", XLOOKUP(B117:B1408, 'Equipment Registry'!$A$2:$A$154, 'Equipment Registry'!$E$2:$E$154, "Not Found"))</f>
        <v>MOBIL SHC 630</v>
      </c>
      <c r="E117" s="303">
        <v>46107.0</v>
      </c>
      <c r="F117" s="304"/>
      <c r="G117" s="312"/>
      <c r="H117" s="306"/>
      <c r="I117" s="302"/>
      <c r="J117" s="307" t="s">
        <v>1000</v>
      </c>
      <c r="K117" s="313"/>
      <c r="L117" s="309" t="s">
        <v>1002</v>
      </c>
      <c r="M117" s="310">
        <v>46113.0</v>
      </c>
      <c r="N117" s="200" t="s">
        <v>1131</v>
      </c>
      <c r="O117" s="311"/>
      <c r="P117" s="200" t="s">
        <v>1075</v>
      </c>
      <c r="Q117" s="200"/>
      <c r="R117" s="58"/>
      <c r="S117" s="58"/>
      <c r="T117" s="58"/>
      <c r="U117" s="58"/>
      <c r="V117" s="58"/>
      <c r="W117" s="58"/>
      <c r="X117" s="58"/>
      <c r="Y117" s="58"/>
      <c r="Z117" s="58"/>
      <c r="AA117" s="58"/>
      <c r="AB117" s="58"/>
      <c r="AC117" s="58"/>
    </row>
    <row r="118">
      <c r="A118" s="300" t="str">
        <f t="shared" si="2"/>
        <v>O-113</v>
      </c>
      <c r="B118" s="301" t="s">
        <v>64</v>
      </c>
      <c r="C118" s="205" t="str">
        <f t="array" ref="C118">IF(B118:B1408="", "", XLOOKUP(B118:B1408, 'Equipment Registry'!$A$2:$A$154, 'Equipment Registry'!$B$2:$B$154, "Not Found"))</f>
        <v>Clay apron feeder left geared motor</v>
      </c>
      <c r="D118" s="302" t="str">
        <f t="array" ref="D118">IF(B118:B1408="", "", XLOOKUP(B118:B1408, 'Equipment Registry'!$A$2:$A$154, 'Equipment Registry'!$E$2:$E$154, "Not Found"))</f>
        <v>MOBIL SHC 630</v>
      </c>
      <c r="E118" s="303">
        <v>46138.0</v>
      </c>
      <c r="F118" s="304">
        <v>46113.0</v>
      </c>
      <c r="G118" s="305" t="s">
        <v>96</v>
      </c>
      <c r="H118" s="306" t="s">
        <v>1132</v>
      </c>
      <c r="I118" s="302"/>
      <c r="J118" s="307" t="s">
        <v>1000</v>
      </c>
      <c r="K118" s="308" t="s">
        <v>1057</v>
      </c>
      <c r="L118" s="309" t="s">
        <v>1002</v>
      </c>
      <c r="M118" s="316"/>
      <c r="N118" s="200" t="s">
        <v>1037</v>
      </c>
      <c r="O118" s="311" t="s">
        <v>1102</v>
      </c>
      <c r="P118" s="200" t="s">
        <v>1133</v>
      </c>
      <c r="Q118" s="200"/>
      <c r="R118" s="58"/>
      <c r="S118" s="58"/>
      <c r="T118" s="58"/>
      <c r="U118" s="58"/>
      <c r="V118" s="58"/>
      <c r="W118" s="58"/>
      <c r="X118" s="58"/>
      <c r="Y118" s="58"/>
      <c r="Z118" s="58"/>
      <c r="AA118" s="58"/>
      <c r="AB118" s="58"/>
      <c r="AC118" s="58"/>
    </row>
    <row r="119">
      <c r="A119" s="300" t="str">
        <f t="shared" si="2"/>
        <v>O-114</v>
      </c>
      <c r="B119" s="301" t="s">
        <v>103</v>
      </c>
      <c r="C119" s="205" t="str">
        <f t="array" ref="C119">IF(B119:B1408="", "", XLOOKUP(B119:B1408, 'Equipment Registry'!$A$2:$A$154, 'Equipment Registry'!$B$2:$B$154, "Not Found"))</f>
        <v>Clay apron feeder right gearbox</v>
      </c>
      <c r="D119" s="302" t="str">
        <f t="array" ref="D119">IF(B119:B1408="", "", XLOOKUP(B119:B1408, 'Equipment Registry'!$A$2:$A$154, 'Equipment Registry'!$E$2:$E$154, "Not Found"))</f>
        <v>MOBIL SHC 630</v>
      </c>
      <c r="E119" s="303">
        <v>46138.0</v>
      </c>
      <c r="F119" s="304">
        <v>46113.0</v>
      </c>
      <c r="G119" s="305" t="s">
        <v>97</v>
      </c>
      <c r="H119" s="306" t="s">
        <v>1134</v>
      </c>
      <c r="I119" s="302"/>
      <c r="J119" s="307" t="s">
        <v>1135</v>
      </c>
      <c r="K119" s="308" t="s">
        <v>1136</v>
      </c>
      <c r="L119" s="309" t="s">
        <v>1002</v>
      </c>
      <c r="M119" s="316"/>
      <c r="N119" s="205"/>
      <c r="O119" s="311" t="s">
        <v>1003</v>
      </c>
      <c r="P119" s="200" t="s">
        <v>1137</v>
      </c>
      <c r="Q119" s="200"/>
      <c r="R119" s="58"/>
      <c r="S119" s="58"/>
      <c r="T119" s="58"/>
      <c r="U119" s="58"/>
      <c r="V119" s="58"/>
      <c r="W119" s="58"/>
      <c r="X119" s="58"/>
      <c r="Y119" s="58"/>
      <c r="Z119" s="58"/>
      <c r="AA119" s="58"/>
      <c r="AB119" s="58"/>
      <c r="AC119" s="58"/>
    </row>
    <row r="120">
      <c r="A120" s="300" t="str">
        <f t="shared" si="2"/>
        <v>O-115</v>
      </c>
      <c r="B120" s="301" t="s">
        <v>104</v>
      </c>
      <c r="C120" s="205" t="str">
        <f t="array" ref="C120">IF(B120:B1408="", "", XLOOKUP(B120:B1408, 'Equipment Registry'!$A$2:$A$154, 'Equipment Registry'!$B$2:$B$154, "Not Found"))</f>
        <v>Limestone Apron Feeder Left Gear Box</v>
      </c>
      <c r="D120" s="302" t="str">
        <f t="array" ref="D120">IF(B120:B1408="", "", XLOOKUP(B120:B1408, 'Equipment Registry'!$A$2:$A$154, 'Equipment Registry'!$E$2:$E$154, "Not Found"))</f>
        <v>MOBIL SHC 630</v>
      </c>
      <c r="E120" s="303">
        <v>46138.0</v>
      </c>
      <c r="F120" s="304">
        <v>46113.0</v>
      </c>
      <c r="G120" s="305" t="s">
        <v>98</v>
      </c>
      <c r="H120" s="306"/>
      <c r="I120" s="302"/>
      <c r="J120" s="307" t="s">
        <v>1000</v>
      </c>
      <c r="K120" s="308" t="s">
        <v>1138</v>
      </c>
      <c r="L120" s="309" t="s">
        <v>1002</v>
      </c>
      <c r="M120" s="316"/>
      <c r="N120" s="200" t="s">
        <v>1037</v>
      </c>
      <c r="O120" s="311"/>
      <c r="P120" s="200"/>
      <c r="Q120" s="200"/>
      <c r="R120" s="58"/>
      <c r="S120" s="58"/>
      <c r="T120" s="58"/>
      <c r="U120" s="58"/>
      <c r="V120" s="58"/>
      <c r="W120" s="58"/>
      <c r="X120" s="58"/>
      <c r="Y120" s="58"/>
      <c r="Z120" s="58"/>
      <c r="AA120" s="58"/>
      <c r="AB120" s="58"/>
      <c r="AC120" s="58"/>
    </row>
    <row r="121">
      <c r="A121" s="300" t="str">
        <f t="shared" si="2"/>
        <v>O-116</v>
      </c>
      <c r="B121" s="301" t="s">
        <v>105</v>
      </c>
      <c r="C121" s="205" t="str">
        <f t="array" ref="C121">IF(B121:B1408="", "", XLOOKUP(B121:B1408, 'Equipment Registry'!$A$2:$A$154, 'Equipment Registry'!$B$2:$B$154, "Not Found"))</f>
        <v>Limestone Apron Feeder right Gear Box- BREVINI</v>
      </c>
      <c r="D121" s="302" t="str">
        <f t="array" ref="D121">IF(B121:B1408="", "", XLOOKUP(B121:B1408, 'Equipment Registry'!$A$2:$A$154, 'Equipment Registry'!$E$2:$E$154, "Not Found"))</f>
        <v>MOBIL SHC 630</v>
      </c>
      <c r="E121" s="303">
        <v>46138.0</v>
      </c>
      <c r="F121" s="304">
        <v>46082.0</v>
      </c>
      <c r="G121" s="305" t="s">
        <v>1139</v>
      </c>
      <c r="H121" s="306"/>
      <c r="I121" s="317">
        <v>46113.0</v>
      </c>
      <c r="J121" s="307" t="s">
        <v>1000</v>
      </c>
      <c r="K121" s="308" t="s">
        <v>106</v>
      </c>
      <c r="L121" s="309" t="s">
        <v>1002</v>
      </c>
      <c r="M121" s="316"/>
      <c r="N121" s="200" t="s">
        <v>1003</v>
      </c>
      <c r="O121" s="311"/>
      <c r="P121" s="200"/>
      <c r="Q121" s="200"/>
      <c r="R121" s="58"/>
      <c r="S121" s="58"/>
      <c r="T121" s="58"/>
      <c r="U121" s="58"/>
      <c r="V121" s="58"/>
      <c r="W121" s="58"/>
      <c r="X121" s="58"/>
      <c r="Y121" s="58"/>
      <c r="Z121" s="58"/>
      <c r="AA121" s="58"/>
      <c r="AB121" s="58"/>
      <c r="AC121" s="58"/>
    </row>
    <row r="122">
      <c r="A122" s="300" t="str">
        <f t="shared" si="2"/>
        <v>O-117</v>
      </c>
      <c r="B122" s="301" t="s">
        <v>107</v>
      </c>
      <c r="C122" s="205" t="str">
        <f t="array" ref="C122">IF(B122:B1408="", "", XLOOKUP(B122:B1408, 'Equipment Registry'!$A$2:$A$154, 'Equipment Registry'!$B$2:$B$154, "Not Found"))</f>
        <v>Belt Conveyor Gearbox - Rossi</v>
      </c>
      <c r="D122" s="302" t="str">
        <f t="array" ref="D122">IF(B122:B1408="", "", XLOOKUP(B122:B1408, 'Equipment Registry'!$A$2:$A$154, 'Equipment Registry'!$E$2:$E$154, "Not Found"))</f>
        <v>MOBIL SHC 632</v>
      </c>
      <c r="E122" s="303">
        <v>46138.0</v>
      </c>
      <c r="F122" s="304">
        <v>46082.0</v>
      </c>
      <c r="G122" s="305" t="s">
        <v>1139</v>
      </c>
      <c r="H122" s="306"/>
      <c r="I122" s="317">
        <v>46113.0</v>
      </c>
      <c r="J122" s="307" t="s">
        <v>1000</v>
      </c>
      <c r="K122" s="308" t="s">
        <v>106</v>
      </c>
      <c r="L122" s="309" t="s">
        <v>1002</v>
      </c>
      <c r="M122" s="316"/>
      <c r="N122" s="200" t="s">
        <v>1042</v>
      </c>
      <c r="O122" s="311"/>
      <c r="P122" s="200"/>
      <c r="Q122" s="200"/>
      <c r="R122" s="58"/>
      <c r="S122" s="58"/>
      <c r="T122" s="58"/>
      <c r="U122" s="58"/>
      <c r="V122" s="58"/>
      <c r="W122" s="58"/>
      <c r="X122" s="58"/>
      <c r="Y122" s="58"/>
      <c r="Z122" s="58"/>
      <c r="AA122" s="58"/>
      <c r="AB122" s="58"/>
      <c r="AC122" s="58"/>
    </row>
    <row r="123">
      <c r="A123" s="300" t="str">
        <f t="shared" si="2"/>
        <v>O-118</v>
      </c>
      <c r="B123" s="301" t="s">
        <v>108</v>
      </c>
      <c r="C123" s="205" t="str">
        <f t="array" ref="C123">IF(B123:B1408="", "", XLOOKUP(B123:B1408, 'Equipment Registry'!$A$2:$A$154, 'Equipment Registry'!$B$2:$B$154, "Not Found"))</f>
        <v>Belt conveyor first left Gearbox</v>
      </c>
      <c r="D123" s="302" t="str">
        <f t="array" ref="D123">IF(B123:B1408="", "", XLOOKUP(B123:B1408, 'Equipment Registry'!$A$2:$A$154, 'Equipment Registry'!$E$2:$E$154, "Not Found"))</f>
        <v>MOBIL SHC 630</v>
      </c>
      <c r="E123" s="303">
        <v>46138.0</v>
      </c>
      <c r="F123" s="304">
        <v>46082.0</v>
      </c>
      <c r="G123" s="305" t="s">
        <v>96</v>
      </c>
      <c r="H123" s="306" t="s">
        <v>1140</v>
      </c>
      <c r="I123" s="317"/>
      <c r="J123" s="307" t="s">
        <v>1141</v>
      </c>
      <c r="K123" s="308" t="s">
        <v>1057</v>
      </c>
      <c r="L123" s="309" t="s">
        <v>1002</v>
      </c>
      <c r="M123" s="316"/>
      <c r="N123" s="200" t="s">
        <v>1037</v>
      </c>
      <c r="O123" s="311" t="s">
        <v>1102</v>
      </c>
      <c r="P123" s="200" t="s">
        <v>1102</v>
      </c>
      <c r="Q123" s="200"/>
      <c r="R123" s="58"/>
      <c r="S123" s="58"/>
      <c r="T123" s="58"/>
      <c r="U123" s="58"/>
      <c r="V123" s="58"/>
      <c r="W123" s="58"/>
      <c r="X123" s="58"/>
      <c r="Y123" s="58"/>
      <c r="Z123" s="58"/>
      <c r="AA123" s="58"/>
      <c r="AB123" s="58"/>
      <c r="AC123" s="58"/>
    </row>
    <row r="124">
      <c r="A124" s="300" t="str">
        <f t="shared" si="2"/>
        <v>O-119</v>
      </c>
      <c r="B124" s="301" t="s">
        <v>112</v>
      </c>
      <c r="C124" s="205" t="str">
        <f t="array" ref="C124">IF(B124:B1408="", "", XLOOKUP(B124:B1408, 'Equipment Registry'!$A$2:$A$154, 'Equipment Registry'!$B$2:$B$154, "Not Found"))</f>
        <v>Belt conveyor second right Gearbox</v>
      </c>
      <c r="D124" s="302" t="str">
        <f t="array" ref="D124">IF(B124:B1408="", "", XLOOKUP(B124:B1408, 'Equipment Registry'!$A$2:$A$154, 'Equipment Registry'!$E$2:$E$154, "Not Found"))</f>
        <v>MOBIL SHC 630</v>
      </c>
      <c r="E124" s="303">
        <v>46138.0</v>
      </c>
      <c r="F124" s="304">
        <v>46113.0</v>
      </c>
      <c r="G124" s="305" t="s">
        <v>98</v>
      </c>
      <c r="H124" s="306"/>
      <c r="I124" s="302"/>
      <c r="J124" s="307" t="s">
        <v>1000</v>
      </c>
      <c r="K124" s="308" t="s">
        <v>1138</v>
      </c>
      <c r="L124" s="309" t="s">
        <v>1002</v>
      </c>
      <c r="M124" s="316"/>
      <c r="N124" s="200" t="s">
        <v>1037</v>
      </c>
      <c r="O124" s="311"/>
      <c r="P124" s="200"/>
      <c r="Q124" s="200"/>
      <c r="R124" s="58"/>
      <c r="S124" s="58"/>
      <c r="T124" s="58"/>
      <c r="U124" s="58"/>
      <c r="V124" s="58"/>
      <c r="W124" s="58"/>
      <c r="X124" s="58"/>
      <c r="Y124" s="58"/>
      <c r="Z124" s="58"/>
      <c r="AA124" s="58"/>
      <c r="AB124" s="58"/>
      <c r="AC124" s="58"/>
    </row>
    <row r="125">
      <c r="A125" s="300" t="str">
        <f t="shared" si="2"/>
        <v>O-120</v>
      </c>
      <c r="B125" s="301" t="s">
        <v>114</v>
      </c>
      <c r="C125" s="205" t="str">
        <f t="array" ref="C125">IF(B125:B1408="", "", XLOOKUP(B125:B1408, 'Equipment Registry'!$A$2:$A$154, 'Equipment Registry'!$B$2:$B$154, "Not Found"))</f>
        <v>Inlet Roller Gear Box</v>
      </c>
      <c r="D125" s="302" t="str">
        <f t="array" ref="D125">IF(B125:B1408="", "", XLOOKUP(B125:B1408, 'Equipment Registry'!$A$2:$A$154, 'Equipment Registry'!$E$2:$E$154, "Not Found"))</f>
        <v>MOBILGEAR 600 XP 320</v>
      </c>
      <c r="E125" s="303">
        <v>46138.0</v>
      </c>
      <c r="F125" s="304">
        <v>45931.0</v>
      </c>
      <c r="G125" s="305" t="s">
        <v>1139</v>
      </c>
      <c r="H125" s="306"/>
      <c r="I125" s="317">
        <v>46113.0</v>
      </c>
      <c r="J125" s="307" t="s">
        <v>1000</v>
      </c>
      <c r="K125" s="308" t="s">
        <v>106</v>
      </c>
      <c r="L125" s="309" t="s">
        <v>1002</v>
      </c>
      <c r="M125" s="316"/>
      <c r="N125" s="200" t="s">
        <v>1003</v>
      </c>
      <c r="O125" s="311"/>
      <c r="P125" s="200"/>
      <c r="Q125" s="200"/>
      <c r="R125" s="58"/>
      <c r="S125" s="58"/>
      <c r="T125" s="58"/>
      <c r="U125" s="58"/>
      <c r="V125" s="58"/>
      <c r="W125" s="58"/>
      <c r="X125" s="58"/>
      <c r="Y125" s="58"/>
      <c r="Z125" s="58"/>
      <c r="AA125" s="58"/>
      <c r="AB125" s="58"/>
      <c r="AC125" s="58"/>
    </row>
    <row r="126">
      <c r="A126" s="300" t="str">
        <f t="shared" si="2"/>
        <v>O-121</v>
      </c>
      <c r="B126" s="301" t="s">
        <v>115</v>
      </c>
      <c r="C126" s="205" t="str">
        <f t="array" ref="C126">IF(B126:B1408="", "", XLOOKUP(B126:B1408, 'Equipment Registry'!$A$2:$A$154, 'Equipment Registry'!$B$2:$B$154, "Not Found"))</f>
        <v>Hammer Crusher Rotor Gear Box</v>
      </c>
      <c r="D126" s="302" t="str">
        <f t="array" ref="D126">IF(B126:B1408="", "", XLOOKUP(B126:B1408, 'Equipment Registry'!$A$2:$A$154, 'Equipment Registry'!$E$2:$E$154, "Not Found"))</f>
        <v>MOBILGEAR 600 XP 320</v>
      </c>
      <c r="E126" s="303">
        <v>46138.0</v>
      </c>
      <c r="F126" s="304">
        <v>45931.0</v>
      </c>
      <c r="G126" s="305" t="s">
        <v>1139</v>
      </c>
      <c r="H126" s="306"/>
      <c r="I126" s="317">
        <v>46113.0</v>
      </c>
      <c r="J126" s="307" t="s">
        <v>1000</v>
      </c>
      <c r="K126" s="308" t="s">
        <v>106</v>
      </c>
      <c r="L126" s="309" t="s">
        <v>1002</v>
      </c>
      <c r="M126" s="316"/>
      <c r="N126" s="200" t="s">
        <v>1003</v>
      </c>
      <c r="O126" s="311"/>
      <c r="P126" s="200"/>
      <c r="Q126" s="200"/>
      <c r="R126" s="58"/>
      <c r="S126" s="58"/>
      <c r="T126" s="58"/>
      <c r="U126" s="58"/>
      <c r="V126" s="58"/>
      <c r="W126" s="58"/>
      <c r="X126" s="58"/>
      <c r="Y126" s="58"/>
      <c r="Z126" s="58"/>
      <c r="AA126" s="58"/>
      <c r="AB126" s="58"/>
      <c r="AC126" s="58"/>
    </row>
    <row r="127">
      <c r="A127" s="300" t="str">
        <f t="shared" si="2"/>
        <v>O-122</v>
      </c>
      <c r="B127" s="301" t="s">
        <v>117</v>
      </c>
      <c r="C127" s="205" t="str">
        <f t="array" ref="C127">IF(B127:B1408="", "", XLOOKUP(B127:B1408, 'Equipment Registry'!$A$2:$A$154, 'Equipment Registry'!$B$2:$B$154, "Not Found"))</f>
        <v>Belt Conveyor Gearbox</v>
      </c>
      <c r="D127" s="302" t="str">
        <f t="array" ref="D127">IF(B127:B1408="", "", XLOOKUP(B127:B1408, 'Equipment Registry'!$A$2:$A$154, 'Equipment Registry'!$E$2:$E$154, "Not Found"))</f>
        <v>MOBIL SHC 630</v>
      </c>
      <c r="E127" s="303">
        <v>46138.0</v>
      </c>
      <c r="F127" s="304">
        <v>46082.0</v>
      </c>
      <c r="G127" s="305" t="s">
        <v>1139</v>
      </c>
      <c r="H127" s="306"/>
      <c r="I127" s="318">
        <v>46143.0</v>
      </c>
      <c r="J127" s="307" t="s">
        <v>1000</v>
      </c>
      <c r="K127" s="308" t="s">
        <v>106</v>
      </c>
      <c r="L127" s="309" t="s">
        <v>1002</v>
      </c>
      <c r="M127" s="316"/>
      <c r="N127" s="200" t="s">
        <v>1046</v>
      </c>
      <c r="O127" s="311"/>
      <c r="P127" s="200"/>
      <c r="Q127" s="200"/>
      <c r="R127" s="58"/>
      <c r="S127" s="58"/>
      <c r="T127" s="58"/>
      <c r="U127" s="58"/>
      <c r="V127" s="58"/>
      <c r="W127" s="58"/>
      <c r="X127" s="58"/>
      <c r="Y127" s="58"/>
      <c r="Z127" s="58"/>
      <c r="AA127" s="58"/>
      <c r="AB127" s="58"/>
      <c r="AC127" s="58"/>
    </row>
    <row r="128">
      <c r="A128" s="300" t="str">
        <f t="shared" si="2"/>
        <v>O-123</v>
      </c>
      <c r="B128" s="301" t="s">
        <v>119</v>
      </c>
      <c r="C128" s="205" t="str">
        <f t="array" ref="C128">IF(B128:B1408="", "", XLOOKUP(B128:B1408, 'Equipment Registry'!$A$2:$A$154, 'Equipment Registry'!$B$2:$B$154, "Not Found"))</f>
        <v>Belt Conveyor Gearbox</v>
      </c>
      <c r="D128" s="302" t="str">
        <f t="array" ref="D128">IF(B128:B1408="", "", XLOOKUP(B128:B1408, 'Equipment Registry'!$A$2:$A$154, 'Equipment Registry'!$E$2:$E$154, "Not Found"))</f>
        <v>MOBIL SHC 630</v>
      </c>
      <c r="E128" s="303">
        <v>46138.0</v>
      </c>
      <c r="F128" s="304">
        <v>46082.0</v>
      </c>
      <c r="G128" s="305" t="s">
        <v>1139</v>
      </c>
      <c r="H128" s="306"/>
      <c r="I128" s="317">
        <v>46113.0</v>
      </c>
      <c r="J128" s="307" t="s">
        <v>1000</v>
      </c>
      <c r="K128" s="308" t="s">
        <v>106</v>
      </c>
      <c r="L128" s="309" t="s">
        <v>1002</v>
      </c>
      <c r="M128" s="316"/>
      <c r="N128" s="200" t="s">
        <v>1003</v>
      </c>
      <c r="O128" s="311"/>
      <c r="P128" s="200"/>
      <c r="Q128" s="200"/>
      <c r="R128" s="58"/>
      <c r="S128" s="58"/>
      <c r="T128" s="58"/>
      <c r="U128" s="58"/>
      <c r="V128" s="58"/>
      <c r="W128" s="58"/>
      <c r="X128" s="58"/>
      <c r="Y128" s="58"/>
      <c r="Z128" s="58"/>
      <c r="AA128" s="58"/>
      <c r="AB128" s="58"/>
      <c r="AC128" s="58"/>
    </row>
    <row r="129">
      <c r="A129" s="300" t="str">
        <f t="shared" si="2"/>
        <v>O-124</v>
      </c>
      <c r="B129" s="301" t="s">
        <v>120</v>
      </c>
      <c r="C129" s="205" t="str">
        <f t="array" ref="C129">IF(B129:B1408="", "", XLOOKUP(B129:B1408, 'Equipment Registry'!$A$2:$A$154, 'Equipment Registry'!$B$2:$B$154, "Not Found"))</f>
        <v>Belt Conveyor Gearbox</v>
      </c>
      <c r="D129" s="302" t="str">
        <f t="array" ref="D129">IF(B129:B1408="", "", XLOOKUP(B129:B1408, 'Equipment Registry'!$A$2:$A$154, 'Equipment Registry'!$E$2:$E$154, "Not Found"))</f>
        <v>MOBIL SHC 630</v>
      </c>
      <c r="E129" s="303">
        <v>46138.0</v>
      </c>
      <c r="F129" s="304">
        <v>46082.0</v>
      </c>
      <c r="G129" s="305" t="s">
        <v>1139</v>
      </c>
      <c r="H129" s="306"/>
      <c r="I129" s="317">
        <v>46113.0</v>
      </c>
      <c r="J129" s="307" t="s">
        <v>1000</v>
      </c>
      <c r="K129" s="308" t="s">
        <v>106</v>
      </c>
      <c r="L129" s="309" t="s">
        <v>1002</v>
      </c>
      <c r="M129" s="316"/>
      <c r="N129" s="200" t="s">
        <v>1003</v>
      </c>
      <c r="O129" s="311"/>
      <c r="P129" s="200"/>
      <c r="Q129" s="200"/>
      <c r="R129" s="58"/>
      <c r="S129" s="58"/>
      <c r="T129" s="58"/>
      <c r="U129" s="58"/>
      <c r="V129" s="58"/>
      <c r="W129" s="58"/>
      <c r="X129" s="58"/>
      <c r="Y129" s="58"/>
      <c r="Z129" s="58"/>
      <c r="AA129" s="58"/>
      <c r="AB129" s="58"/>
      <c r="AC129" s="58"/>
    </row>
    <row r="130">
      <c r="A130" s="300" t="str">
        <f t="shared" si="2"/>
        <v>O-125</v>
      </c>
      <c r="B130" s="301" t="s">
        <v>121</v>
      </c>
      <c r="C130" s="205" t="str">
        <f t="array" ref="C130">IF(B130:B1408="", "", XLOOKUP(B130:B1408, 'Equipment Registry'!$A$2:$A$154, 'Equipment Registry'!$B$2:$B$154, "Not Found"))</f>
        <v>Take up unit Tank for Scraper Chain</v>
      </c>
      <c r="D130" s="302" t="str">
        <f t="array" ref="D130">IF(B130:B1408="", "", XLOOKUP(B130:B1408, 'Equipment Registry'!$A$2:$A$154, 'Equipment Registry'!$E$2:$E$154, "Not Found"))</f>
        <v>MOBIL DTE 25</v>
      </c>
      <c r="E130" s="303">
        <v>46138.0</v>
      </c>
      <c r="F130" s="304">
        <v>45962.0</v>
      </c>
      <c r="G130" s="305" t="s">
        <v>1139</v>
      </c>
      <c r="H130" s="306"/>
      <c r="I130" s="317">
        <v>46113.0</v>
      </c>
      <c r="J130" s="307" t="s">
        <v>1000</v>
      </c>
      <c r="K130" s="308" t="s">
        <v>106</v>
      </c>
      <c r="L130" s="309" t="s">
        <v>1002</v>
      </c>
      <c r="M130" s="316"/>
      <c r="N130" s="200" t="s">
        <v>1003</v>
      </c>
      <c r="O130" s="311"/>
      <c r="P130" s="200"/>
      <c r="Q130" s="200"/>
      <c r="R130" s="58"/>
      <c r="S130" s="58"/>
      <c r="T130" s="58"/>
      <c r="U130" s="58"/>
      <c r="V130" s="58"/>
      <c r="W130" s="58"/>
      <c r="X130" s="58"/>
      <c r="Y130" s="58"/>
      <c r="Z130" s="58"/>
      <c r="AA130" s="58"/>
      <c r="AB130" s="58"/>
      <c r="AC130" s="58"/>
    </row>
    <row r="131">
      <c r="A131" s="300" t="str">
        <f t="shared" si="2"/>
        <v>O-126</v>
      </c>
      <c r="B131" s="301" t="s">
        <v>122</v>
      </c>
      <c r="C131" s="205" t="str">
        <f t="array" ref="C131">IF(B131:B1408="", "", XLOOKUP(B131:B1408, 'Equipment Registry'!$A$2:$A$154, 'Equipment Registry'!$B$2:$B$154, "Not Found"))</f>
        <v>Reclaimer Chain Scraper gearbox</v>
      </c>
      <c r="D131" s="302" t="str">
        <f t="array" ref="D131">IF(B131:B1408="", "", XLOOKUP(B131:B1408, 'Equipment Registry'!$A$2:$A$154, 'Equipment Registry'!$E$2:$E$154, "Not Found"))</f>
        <v>MOBILGEAR 600 XP 320</v>
      </c>
      <c r="E131" s="303">
        <v>46138.0</v>
      </c>
      <c r="F131" s="304">
        <v>45962.0</v>
      </c>
      <c r="G131" s="305" t="s">
        <v>1139</v>
      </c>
      <c r="H131" s="306"/>
      <c r="I131" s="317">
        <v>46113.0</v>
      </c>
      <c r="J131" s="307" t="s">
        <v>1000</v>
      </c>
      <c r="K131" s="308" t="s">
        <v>106</v>
      </c>
      <c r="L131" s="309" t="s">
        <v>1002</v>
      </c>
      <c r="M131" s="316"/>
      <c r="N131" s="200" t="s">
        <v>1003</v>
      </c>
      <c r="O131" s="311"/>
      <c r="P131" s="200"/>
      <c r="Q131" s="200"/>
      <c r="R131" s="58"/>
      <c r="S131" s="58"/>
      <c r="T131" s="58"/>
      <c r="U131" s="58"/>
      <c r="V131" s="58"/>
      <c r="W131" s="58"/>
      <c r="X131" s="58"/>
      <c r="Y131" s="58"/>
      <c r="Z131" s="58"/>
      <c r="AA131" s="58"/>
      <c r="AB131" s="58"/>
      <c r="AC131" s="58"/>
    </row>
    <row r="132">
      <c r="A132" s="300" t="str">
        <f t="shared" si="2"/>
        <v>O-127</v>
      </c>
      <c r="B132" s="301" t="s">
        <v>123</v>
      </c>
      <c r="C132" s="205" t="str">
        <f t="array" ref="C132">IF(B132:B1408="", "", XLOOKUP(B132:B1408, 'Equipment Registry'!$A$2:$A$154, 'Equipment Registry'!$B$2:$B$154, "Not Found"))</f>
        <v>Reclaimer Chain Scraper gearbox</v>
      </c>
      <c r="D132" s="302" t="str">
        <f t="array" ref="D132">IF(B132:B1408="", "", XLOOKUP(B132:B1408, 'Equipment Registry'!$A$2:$A$154, 'Equipment Registry'!$E$2:$E$154, "Not Found"))</f>
        <v>MOBILGEAR 600 XP 320</v>
      </c>
      <c r="E132" s="303">
        <v>46138.0</v>
      </c>
      <c r="F132" s="304">
        <v>45931.0</v>
      </c>
      <c r="G132" s="305" t="s">
        <v>1139</v>
      </c>
      <c r="H132" s="306"/>
      <c r="I132" s="317">
        <v>46113.0</v>
      </c>
      <c r="J132" s="307" t="s">
        <v>1000</v>
      </c>
      <c r="K132" s="308" t="s">
        <v>106</v>
      </c>
      <c r="L132" s="309" t="s">
        <v>1002</v>
      </c>
      <c r="M132" s="316"/>
      <c r="N132" s="200" t="s">
        <v>1003</v>
      </c>
      <c r="O132" s="311"/>
      <c r="P132" s="200"/>
      <c r="Q132" s="200"/>
      <c r="R132" s="58"/>
      <c r="S132" s="58"/>
      <c r="T132" s="58"/>
      <c r="U132" s="58"/>
      <c r="V132" s="58"/>
      <c r="W132" s="58"/>
      <c r="X132" s="58"/>
      <c r="Y132" s="58"/>
      <c r="Z132" s="58"/>
      <c r="AA132" s="58"/>
      <c r="AB132" s="58"/>
      <c r="AC132" s="58"/>
    </row>
    <row r="133">
      <c r="A133" s="300" t="str">
        <f t="shared" si="2"/>
        <v>O-128</v>
      </c>
      <c r="B133" s="301" t="s">
        <v>124</v>
      </c>
      <c r="C133" s="205" t="str">
        <f t="array" ref="C133">IF(B133:B1408="", "", XLOOKUP(B133:B1408, 'Equipment Registry'!$A$2:$A$154, 'Equipment Registry'!$B$2:$B$154, "Not Found"))</f>
        <v>Jib arm Hydraulic Pump Station </v>
      </c>
      <c r="D133" s="302" t="str">
        <f t="array" ref="D133">IF(B133:B1408="", "", XLOOKUP(B133:B1408, 'Equipment Registry'!$A$2:$A$154, 'Equipment Registry'!$E$2:$E$154, "Not Found"))</f>
        <v>MOBIL DTE 25</v>
      </c>
      <c r="E133" s="303">
        <v>46138.0</v>
      </c>
      <c r="F133" s="304">
        <v>45962.0</v>
      </c>
      <c r="G133" s="305" t="s">
        <v>1139</v>
      </c>
      <c r="H133" s="306"/>
      <c r="I133" s="317">
        <v>46113.0</v>
      </c>
      <c r="J133" s="307" t="s">
        <v>1000</v>
      </c>
      <c r="K133" s="308" t="s">
        <v>106</v>
      </c>
      <c r="L133" s="309" t="s">
        <v>1002</v>
      </c>
      <c r="M133" s="316"/>
      <c r="N133" s="200" t="s">
        <v>1047</v>
      </c>
      <c r="O133" s="311"/>
      <c r="P133" s="200"/>
      <c r="Q133" s="200"/>
      <c r="R133" s="58"/>
      <c r="S133" s="58"/>
      <c r="T133" s="58"/>
      <c r="U133" s="58"/>
      <c r="V133" s="58"/>
      <c r="W133" s="58"/>
      <c r="X133" s="58"/>
      <c r="Y133" s="58"/>
      <c r="Z133" s="58"/>
      <c r="AA133" s="58"/>
      <c r="AB133" s="58"/>
      <c r="AC133" s="58"/>
    </row>
    <row r="134">
      <c r="A134" s="300" t="str">
        <f t="shared" si="2"/>
        <v>O-129</v>
      </c>
      <c r="B134" s="301" t="s">
        <v>125</v>
      </c>
      <c r="C134" s="205" t="str">
        <f t="array" ref="C134">IF(B134:B1408="", "", XLOOKUP(B134:B1408, 'Equipment Registry'!$A$2:$A$154, 'Equipment Registry'!$B$2:$B$154, "Not Found"))</f>
        <v>Stacker Belt gearbox</v>
      </c>
      <c r="D134" s="302" t="str">
        <f t="array" ref="D134">IF(B134:B1408="", "", XLOOKUP(B134:B1408, 'Equipment Registry'!$A$2:$A$154, 'Equipment Registry'!$E$2:$E$154, "Not Found"))</f>
        <v>MOBILGEAR 600 XP 320</v>
      </c>
      <c r="E134" s="303">
        <v>46138.0</v>
      </c>
      <c r="F134" s="304">
        <v>46054.0</v>
      </c>
      <c r="G134" s="305" t="s">
        <v>1139</v>
      </c>
      <c r="H134" s="306"/>
      <c r="I134" s="317">
        <v>46113.0</v>
      </c>
      <c r="J134" s="307" t="s">
        <v>1000</v>
      </c>
      <c r="K134" s="308" t="s">
        <v>106</v>
      </c>
      <c r="L134" s="309" t="s">
        <v>1002</v>
      </c>
      <c r="M134" s="316"/>
      <c r="N134" s="200" t="s">
        <v>1051</v>
      </c>
      <c r="O134" s="311"/>
      <c r="P134" s="200"/>
      <c r="Q134" s="200"/>
      <c r="R134" s="58"/>
      <c r="S134" s="58"/>
      <c r="T134" s="58"/>
      <c r="U134" s="58"/>
      <c r="V134" s="58"/>
      <c r="W134" s="58"/>
      <c r="X134" s="58"/>
      <c r="Y134" s="58"/>
      <c r="Z134" s="58"/>
      <c r="AA134" s="58"/>
      <c r="AB134" s="58"/>
      <c r="AC134" s="58"/>
    </row>
    <row r="135">
      <c r="A135" s="300" t="str">
        <f t="shared" si="2"/>
        <v>O-130</v>
      </c>
      <c r="B135" s="301" t="s">
        <v>126</v>
      </c>
      <c r="C135" s="205" t="str">
        <f t="array" ref="C135">IF(B135:B1408="", "", XLOOKUP(B135:B1408, 'Equipment Registry'!$A$2:$A$154, 'Equipment Registry'!$B$2:$B$154, "Not Found"))</f>
        <v>Stacker Belt gearbox</v>
      </c>
      <c r="D135" s="302" t="str">
        <f t="array" ref="D135">IF(B135:B1408="", "", XLOOKUP(B135:B1408, 'Equipment Registry'!$A$2:$A$154, 'Equipment Registry'!$E$2:$E$154, "Not Found"))</f>
        <v>MOBILGEAR 600 XP 320</v>
      </c>
      <c r="E135" s="303">
        <v>46138.0</v>
      </c>
      <c r="F135" s="304">
        <v>46054.0</v>
      </c>
      <c r="G135" s="305" t="s">
        <v>1139</v>
      </c>
      <c r="H135" s="306"/>
      <c r="I135" s="317">
        <v>46113.0</v>
      </c>
      <c r="J135" s="307" t="s">
        <v>1000</v>
      </c>
      <c r="K135" s="308" t="s">
        <v>106</v>
      </c>
      <c r="L135" s="309" t="s">
        <v>1002</v>
      </c>
      <c r="M135" s="316"/>
      <c r="N135" s="200" t="s">
        <v>1051</v>
      </c>
      <c r="O135" s="311"/>
      <c r="P135" s="200"/>
      <c r="Q135" s="200"/>
      <c r="R135" s="58"/>
      <c r="S135" s="58"/>
      <c r="T135" s="58"/>
      <c r="U135" s="58"/>
      <c r="V135" s="58"/>
      <c r="W135" s="58"/>
      <c r="X135" s="58"/>
      <c r="Y135" s="58"/>
      <c r="Z135" s="58"/>
      <c r="AA135" s="58"/>
      <c r="AB135" s="58"/>
      <c r="AC135" s="58"/>
    </row>
    <row r="136">
      <c r="A136" s="300" t="str">
        <f t="shared" si="2"/>
        <v>O-131</v>
      </c>
      <c r="B136" s="301" t="s">
        <v>130</v>
      </c>
      <c r="C136" s="205" t="str">
        <f t="array" ref="C136">IF(B136:B1408="", "", XLOOKUP(B136:B1408, 'Equipment Registry'!$A$2:$A$154, 'Equipment Registry'!$B$2:$B$154, "Not Found"))</f>
        <v>Cargo floor hydraulic tank</v>
      </c>
      <c r="D136" s="302" t="str">
        <f t="array" ref="D136">IF(B136:B1408="", "", XLOOKUP(B136:B1408, 'Equipment Registry'!$A$2:$A$154, 'Equipment Registry'!$E$2:$E$154, "Not Found"))</f>
        <v>MOBIL DTE 25</v>
      </c>
      <c r="E136" s="303">
        <v>46138.0</v>
      </c>
      <c r="F136" s="304">
        <v>46113.0</v>
      </c>
      <c r="G136" s="305" t="s">
        <v>97</v>
      </c>
      <c r="H136" s="306" t="s">
        <v>1142</v>
      </c>
      <c r="I136" s="302"/>
      <c r="J136" s="307" t="s">
        <v>1080</v>
      </c>
      <c r="K136" s="308" t="s">
        <v>1089</v>
      </c>
      <c r="L136" s="309" t="s">
        <v>1002</v>
      </c>
      <c r="M136" s="316"/>
      <c r="N136" s="200" t="s">
        <v>1055</v>
      </c>
      <c r="O136" s="311" t="s">
        <v>1003</v>
      </c>
      <c r="P136" s="200" t="s">
        <v>1143</v>
      </c>
      <c r="Q136" s="200"/>
      <c r="R136" s="58"/>
      <c r="S136" s="58"/>
      <c r="T136" s="58"/>
      <c r="U136" s="58"/>
      <c r="V136" s="58"/>
      <c r="W136" s="58"/>
      <c r="X136" s="58"/>
      <c r="Y136" s="58"/>
      <c r="Z136" s="58"/>
      <c r="AA136" s="58"/>
      <c r="AB136" s="58"/>
      <c r="AC136" s="58"/>
    </row>
    <row r="137">
      <c r="A137" s="300" t="str">
        <f t="shared" si="2"/>
        <v>O-132</v>
      </c>
      <c r="B137" s="301" t="s">
        <v>133</v>
      </c>
      <c r="C137" s="205" t="str">
        <f t="array" ref="C137">IF(B137:B1408="", "", XLOOKUP(B137:B1408, 'Equipment Registry'!$A$2:$A$154, 'Equipment Registry'!$B$2:$B$154, "Not Found"))</f>
        <v>Raw Mill free bearing</v>
      </c>
      <c r="D137" s="302" t="str">
        <f t="array" ref="D137">IF(B137:B1408="", "", XLOOKUP(B137:B1408, 'Equipment Registry'!$A$2:$A$154, 'Equipment Registry'!$E$2:$E$154, "Not Found"))</f>
        <v>MOBIL DTE 26</v>
      </c>
      <c r="E137" s="303">
        <v>46138.0</v>
      </c>
      <c r="F137" s="304">
        <v>46113.0</v>
      </c>
      <c r="G137" s="305" t="s">
        <v>1139</v>
      </c>
      <c r="H137" s="306"/>
      <c r="I137" s="317">
        <v>46113.0</v>
      </c>
      <c r="J137" s="307" t="s">
        <v>1000</v>
      </c>
      <c r="K137" s="308" t="s">
        <v>1144</v>
      </c>
      <c r="L137" s="309" t="s">
        <v>1002</v>
      </c>
      <c r="M137" s="316"/>
      <c r="N137" s="200" t="s">
        <v>1060</v>
      </c>
      <c r="O137" s="311" t="s">
        <v>1145</v>
      </c>
      <c r="P137" s="200" t="s">
        <v>1146</v>
      </c>
      <c r="Q137" s="200"/>
      <c r="R137" s="58"/>
      <c r="S137" s="58"/>
      <c r="T137" s="58"/>
      <c r="U137" s="58"/>
      <c r="V137" s="58"/>
      <c r="W137" s="58"/>
      <c r="X137" s="58"/>
      <c r="Y137" s="58"/>
      <c r="Z137" s="58"/>
      <c r="AA137" s="58"/>
      <c r="AB137" s="58"/>
      <c r="AC137" s="58"/>
    </row>
    <row r="138">
      <c r="A138" s="300" t="str">
        <f t="shared" si="2"/>
        <v>O-133</v>
      </c>
      <c r="B138" s="301" t="s">
        <v>134</v>
      </c>
      <c r="C138" s="205" t="str">
        <f t="array" ref="C138">IF(B138:B1408="", "", XLOOKUP(B138:B1408, 'Equipment Registry'!$A$2:$A$154, 'Equipment Registry'!$B$2:$B$154, "Not Found"))</f>
        <v>Raw Mill fan fixed bearing</v>
      </c>
      <c r="D138" s="302" t="str">
        <f t="array" ref="D138">IF(B138:B1408="", "", XLOOKUP(B138:B1408, 'Equipment Registry'!$A$2:$A$154, 'Equipment Registry'!$E$2:$E$154, "Not Found"))</f>
        <v>MOBIL DTE 26</v>
      </c>
      <c r="E138" s="303">
        <v>46138.0</v>
      </c>
      <c r="F138" s="304">
        <v>46113.0</v>
      </c>
      <c r="G138" s="305" t="s">
        <v>1139</v>
      </c>
      <c r="H138" s="306"/>
      <c r="I138" s="317">
        <v>46113.0</v>
      </c>
      <c r="J138" s="307" t="s">
        <v>1000</v>
      </c>
      <c r="K138" s="308" t="s">
        <v>1144</v>
      </c>
      <c r="L138" s="309" t="s">
        <v>1002</v>
      </c>
      <c r="M138" s="316"/>
      <c r="N138" s="200" t="s">
        <v>1060</v>
      </c>
      <c r="O138" s="311" t="s">
        <v>1145</v>
      </c>
      <c r="P138" s="200" t="s">
        <v>1146</v>
      </c>
      <c r="Q138" s="200"/>
      <c r="R138" s="58"/>
      <c r="S138" s="58"/>
      <c r="T138" s="58"/>
      <c r="U138" s="58"/>
      <c r="V138" s="58"/>
      <c r="W138" s="58"/>
      <c r="X138" s="58"/>
      <c r="Y138" s="58"/>
      <c r="Z138" s="58"/>
      <c r="AA138" s="58"/>
      <c r="AB138" s="58"/>
      <c r="AC138" s="58"/>
    </row>
    <row r="139">
      <c r="A139" s="300" t="str">
        <f t="shared" si="2"/>
        <v>O-134</v>
      </c>
      <c r="B139" s="301" t="s">
        <v>135</v>
      </c>
      <c r="C139" s="205" t="str">
        <f t="array" ref="C139">IF(B139:B1408="", "", XLOOKUP(B139:B1408, 'Equipment Registry'!$A$2:$A$154, 'Equipment Registry'!$B$2:$B$154, "Not Found"))</f>
        <v>Hydraulic tensioning system for mill</v>
      </c>
      <c r="D139" s="302" t="str">
        <f t="array" ref="D139">IF(B139:B1408="", "", XLOOKUP(B139:B1408, 'Equipment Registry'!$A$2:$A$154, 'Equipment Registry'!$E$2:$E$154, "Not Found"))</f>
        <v>MOBIL DTE 25</v>
      </c>
      <c r="E139" s="303">
        <v>46138.0</v>
      </c>
      <c r="F139" s="304">
        <v>46113.0</v>
      </c>
      <c r="G139" s="305" t="s">
        <v>96</v>
      </c>
      <c r="H139" s="306" t="s">
        <v>1147</v>
      </c>
      <c r="I139" s="302"/>
      <c r="J139" s="307" t="s">
        <v>1141</v>
      </c>
      <c r="K139" s="308" t="s">
        <v>1148</v>
      </c>
      <c r="L139" s="309" t="s">
        <v>1002</v>
      </c>
      <c r="M139" s="316"/>
      <c r="N139" s="200" t="s">
        <v>1062</v>
      </c>
      <c r="O139" s="311" t="s">
        <v>1149</v>
      </c>
      <c r="P139" s="200" t="s">
        <v>1102</v>
      </c>
      <c r="Q139" s="200"/>
      <c r="R139" s="58"/>
      <c r="S139" s="58"/>
      <c r="T139" s="58"/>
      <c r="U139" s="58"/>
      <c r="V139" s="58"/>
      <c r="W139" s="58"/>
      <c r="X139" s="58"/>
      <c r="Y139" s="58"/>
      <c r="Z139" s="58"/>
      <c r="AA139" s="58"/>
      <c r="AB139" s="58"/>
      <c r="AC139" s="58"/>
    </row>
    <row r="140">
      <c r="A140" s="300" t="str">
        <f t="shared" si="2"/>
        <v>O-135</v>
      </c>
      <c r="B140" s="301" t="s">
        <v>1150</v>
      </c>
      <c r="C140" s="205" t="str">
        <f t="array" ref="C140">IF(B140:B1408="", "", XLOOKUP(B140:B1408, 'Equipment Registry'!$A$2:$A$154, 'Equipment Registry'!$B$2:$B$154, "Not Found"))</f>
        <v>Not Found</v>
      </c>
      <c r="D140" s="302" t="str">
        <f t="array" ref="D140">IF(B140:B1408="", "", XLOOKUP(B140:B1408, 'Equipment Registry'!$A$2:$A$154, 'Equipment Registry'!$E$2:$E$154, "Not Found"))</f>
        <v>Not Found</v>
      </c>
      <c r="E140" s="303">
        <v>46138.0</v>
      </c>
      <c r="F140" s="304">
        <v>46113.0</v>
      </c>
      <c r="G140" s="305" t="s">
        <v>96</v>
      </c>
      <c r="H140" s="306" t="s">
        <v>1151</v>
      </c>
      <c r="I140" s="302"/>
      <c r="J140" s="307" t="s">
        <v>1135</v>
      </c>
      <c r="K140" s="308" t="s">
        <v>1152</v>
      </c>
      <c r="L140" s="309" t="s">
        <v>1002</v>
      </c>
      <c r="M140" s="316"/>
      <c r="N140" s="200" t="s">
        <v>1067</v>
      </c>
      <c r="O140" s="311" t="s">
        <v>1153</v>
      </c>
      <c r="P140" s="200" t="s">
        <v>1154</v>
      </c>
      <c r="Q140" s="200"/>
      <c r="R140" s="58"/>
      <c r="S140" s="58"/>
      <c r="T140" s="58"/>
      <c r="U140" s="58"/>
      <c r="V140" s="58"/>
      <c r="W140" s="58"/>
      <c r="X140" s="58"/>
      <c r="Y140" s="58"/>
      <c r="Z140" s="58"/>
      <c r="AA140" s="58"/>
      <c r="AB140" s="58"/>
      <c r="AC140" s="58"/>
    </row>
    <row r="141">
      <c r="A141" s="300" t="str">
        <f t="shared" si="2"/>
        <v>O-136</v>
      </c>
      <c r="B141" s="301" t="s">
        <v>1155</v>
      </c>
      <c r="C141" s="205" t="str">
        <f t="array" ref="C141">IF(B141:B1408="", "", XLOOKUP(B141:B1408, 'Equipment Registry'!$A$2:$A$154, 'Equipment Registry'!$B$2:$B$154, "Not Found"))</f>
        <v>Not Found</v>
      </c>
      <c r="D141" s="302" t="str">
        <f t="array" ref="D141">IF(B141:B1408="", "", XLOOKUP(B141:B1408, 'Equipment Registry'!$A$2:$A$154, 'Equipment Registry'!$E$2:$E$154, "Not Found"))</f>
        <v>Not Found</v>
      </c>
      <c r="E141" s="303">
        <v>46138.0</v>
      </c>
      <c r="F141" s="304">
        <v>46113.0</v>
      </c>
      <c r="G141" s="305" t="s">
        <v>97</v>
      </c>
      <c r="H141" s="306" t="s">
        <v>1156</v>
      </c>
      <c r="I141" s="302"/>
      <c r="J141" s="307" t="s">
        <v>1080</v>
      </c>
      <c r="K141" s="308" t="s">
        <v>1157</v>
      </c>
      <c r="L141" s="309" t="s">
        <v>1002</v>
      </c>
      <c r="M141" s="316"/>
      <c r="N141" s="200" t="s">
        <v>1072</v>
      </c>
      <c r="O141" s="311" t="s">
        <v>1050</v>
      </c>
      <c r="P141" s="200" t="s">
        <v>1158</v>
      </c>
      <c r="Q141" s="200"/>
      <c r="R141" s="58"/>
      <c r="S141" s="58"/>
      <c r="T141" s="58"/>
      <c r="U141" s="58"/>
      <c r="V141" s="58"/>
      <c r="W141" s="58"/>
      <c r="X141" s="58"/>
      <c r="Y141" s="58"/>
      <c r="Z141" s="58"/>
      <c r="AA141" s="58"/>
      <c r="AB141" s="58"/>
      <c r="AC141" s="58"/>
    </row>
    <row r="142">
      <c r="A142" s="300" t="str">
        <f t="shared" si="2"/>
        <v>O-137</v>
      </c>
      <c r="B142" s="301" t="s">
        <v>142</v>
      </c>
      <c r="C142" s="205" t="str">
        <f t="array" ref="C142">IF(B142:B1408="", "", XLOOKUP(B142:B1408, 'Equipment Registry'!$A$2:$A$154, 'Equipment Registry'!$B$2:$B$154, "Not Found"))</f>
        <v>Gear lubrication pump station Tank</v>
      </c>
      <c r="D142" s="302" t="str">
        <f t="array" ref="D142">IF(B142:B1408="", "", XLOOKUP(B142:B1408, 'Equipment Registry'!$A$2:$A$154, 'Equipment Registry'!$E$2:$E$154, "Not Found"))</f>
        <v>MOBILGEAR 600 XP 320</v>
      </c>
      <c r="E142" s="303">
        <v>46138.0</v>
      </c>
      <c r="F142" s="304">
        <v>46113.0</v>
      </c>
      <c r="G142" s="305" t="s">
        <v>98</v>
      </c>
      <c r="H142" s="306"/>
      <c r="I142" s="302"/>
      <c r="J142" s="307" t="s">
        <v>1000</v>
      </c>
      <c r="K142" s="308" t="s">
        <v>1138</v>
      </c>
      <c r="L142" s="309" t="s">
        <v>1159</v>
      </c>
      <c r="M142" s="316"/>
      <c r="N142" s="200" t="s">
        <v>1072</v>
      </c>
      <c r="O142" s="311"/>
      <c r="P142" s="200"/>
      <c r="Q142" s="200"/>
      <c r="R142" s="58"/>
      <c r="S142" s="58"/>
      <c r="T142" s="58"/>
      <c r="U142" s="58"/>
      <c r="V142" s="58"/>
      <c r="W142" s="58"/>
      <c r="X142" s="58"/>
      <c r="Y142" s="58"/>
      <c r="Z142" s="58"/>
      <c r="AA142" s="58"/>
      <c r="AB142" s="58"/>
      <c r="AC142" s="58"/>
    </row>
    <row r="143">
      <c r="A143" s="300" t="str">
        <f t="shared" si="2"/>
        <v>O-138</v>
      </c>
      <c r="B143" s="301" t="s">
        <v>143</v>
      </c>
      <c r="C143" s="205" t="str">
        <f t="array" ref="C143">IF(B143:B1408="", "", XLOOKUP(B143:B1408, 'Equipment Registry'!$A$2:$A$154, 'Equipment Registry'!$B$2:$B$154, "Not Found"))</f>
        <v>Dynamic Separator Gearbox </v>
      </c>
      <c r="D143" s="302" t="str">
        <f t="array" ref="D143">IF(B143:B1408="", "", XLOOKUP(B143:B1408, 'Equipment Registry'!$A$2:$A$154, 'Equipment Registry'!$E$2:$E$154, "Not Found"))</f>
        <v>MOBIL SHC 632</v>
      </c>
      <c r="E143" s="303">
        <v>46138.0</v>
      </c>
      <c r="F143" s="304">
        <v>45962.0</v>
      </c>
      <c r="G143" s="305" t="s">
        <v>1139</v>
      </c>
      <c r="H143" s="306"/>
      <c r="I143" s="317">
        <v>46113.0</v>
      </c>
      <c r="J143" s="307" t="s">
        <v>1000</v>
      </c>
      <c r="K143" s="308" t="s">
        <v>106</v>
      </c>
      <c r="L143" s="309" t="s">
        <v>1159</v>
      </c>
      <c r="M143" s="316"/>
      <c r="N143" s="200" t="s">
        <v>1003</v>
      </c>
      <c r="O143" s="311"/>
      <c r="P143" s="200"/>
      <c r="Q143" s="200"/>
      <c r="R143" s="58"/>
      <c r="S143" s="58"/>
      <c r="T143" s="58"/>
      <c r="U143" s="58"/>
      <c r="V143" s="58"/>
      <c r="W143" s="58"/>
      <c r="X143" s="58"/>
      <c r="Y143" s="58"/>
      <c r="Z143" s="58"/>
      <c r="AA143" s="58"/>
      <c r="AB143" s="58"/>
      <c r="AC143" s="58"/>
    </row>
    <row r="144">
      <c r="A144" s="300" t="str">
        <f t="shared" si="2"/>
        <v>O-139</v>
      </c>
      <c r="B144" s="301" t="s">
        <v>145</v>
      </c>
      <c r="C144" s="205" t="str">
        <f t="array" ref="C144">IF(B144:B1408="", "", XLOOKUP(B144:B1408, 'Equipment Registry'!$A$2:$A$154, 'Equipment Registry'!$B$2:$B$154, "Not Found"))</f>
        <v>R2 Bucket  Elevator Gearbox </v>
      </c>
      <c r="D144" s="302" t="str">
        <f t="array" ref="D144">IF(B144:B1408="", "", XLOOKUP(B144:B1408, 'Equipment Registry'!$A$2:$A$154, 'Equipment Registry'!$E$2:$E$154, "Not Found"))</f>
        <v>MOBILGEAR 600 XP 320</v>
      </c>
      <c r="E144" s="303">
        <v>46138.0</v>
      </c>
      <c r="F144" s="304">
        <v>45962.0</v>
      </c>
      <c r="G144" s="305" t="s">
        <v>1139</v>
      </c>
      <c r="H144" s="306"/>
      <c r="I144" s="317">
        <v>46113.0</v>
      </c>
      <c r="J144" s="307" t="s">
        <v>1000</v>
      </c>
      <c r="K144" s="308" t="s">
        <v>106</v>
      </c>
      <c r="L144" s="309" t="s">
        <v>1159</v>
      </c>
      <c r="M144" s="316"/>
      <c r="N144" s="200" t="s">
        <v>1003</v>
      </c>
      <c r="O144" s="311"/>
      <c r="P144" s="200"/>
      <c r="Q144" s="200"/>
      <c r="R144" s="58"/>
      <c r="S144" s="58"/>
      <c r="T144" s="58"/>
      <c r="U144" s="58"/>
      <c r="V144" s="58"/>
      <c r="W144" s="58"/>
      <c r="X144" s="58"/>
      <c r="Y144" s="58"/>
      <c r="Z144" s="58"/>
      <c r="AA144" s="58"/>
      <c r="AB144" s="58"/>
      <c r="AC144" s="58"/>
    </row>
    <row r="145">
      <c r="A145" s="300" t="str">
        <f t="shared" si="2"/>
        <v>O-140</v>
      </c>
      <c r="B145" s="301" t="s">
        <v>148</v>
      </c>
      <c r="C145" s="205" t="str">
        <f t="array" ref="C145">IF(B145:B1408="", "", XLOOKUP(B145:B1408, 'Equipment Registry'!$A$2:$A$154, 'Equipment Registry'!$B$2:$B$154, "Not Found"))</f>
        <v>Hydraulic tensioning sys. Mill 2</v>
      </c>
      <c r="D145" s="302" t="str">
        <f t="array" ref="D145">IF(B145:B1408="", "", XLOOKUP(B145:B1408, 'Equipment Registry'!$A$2:$A$154, 'Equipment Registry'!$E$2:$E$154, "Not Found"))</f>
        <v>MOBIL DTE 25</v>
      </c>
      <c r="E145" s="303">
        <v>46138.0</v>
      </c>
      <c r="F145" s="304">
        <v>46113.0</v>
      </c>
      <c r="G145" s="305" t="s">
        <v>96</v>
      </c>
      <c r="H145" s="306" t="s">
        <v>1160</v>
      </c>
      <c r="I145" s="302"/>
      <c r="J145" s="307" t="s">
        <v>1141</v>
      </c>
      <c r="K145" s="308" t="s">
        <v>1148</v>
      </c>
      <c r="L145" s="309" t="s">
        <v>1002</v>
      </c>
      <c r="M145" s="316"/>
      <c r="N145" s="205"/>
      <c r="O145" s="311" t="s">
        <v>1161</v>
      </c>
      <c r="P145" s="200" t="s">
        <v>1162</v>
      </c>
      <c r="Q145" s="200"/>
      <c r="R145" s="58"/>
      <c r="S145" s="58"/>
      <c r="T145" s="58"/>
      <c r="U145" s="58"/>
      <c r="V145" s="58"/>
      <c r="W145" s="58"/>
      <c r="X145" s="58"/>
      <c r="Y145" s="58"/>
      <c r="Z145" s="58"/>
      <c r="AA145" s="58"/>
      <c r="AB145" s="58"/>
      <c r="AC145" s="58"/>
    </row>
    <row r="146">
      <c r="A146" s="300" t="str">
        <f t="shared" si="2"/>
        <v>O-141</v>
      </c>
      <c r="B146" s="301" t="s">
        <v>152</v>
      </c>
      <c r="C146" s="205" t="str">
        <f t="array" ref="C146">IF(B146:B1408="", "", XLOOKUP(B146:B1408, 'Equipment Registry'!$A$2:$A$154, 'Equipment Registry'!$B$2:$B$154, "Not Found"))</f>
        <v>Roller Lubrication Unit (Tank)</v>
      </c>
      <c r="D146" s="302" t="str">
        <f t="array" ref="D146">IF(B146:B1408="", "", XLOOKUP(B146:B1408, 'Equipment Registry'!$A$2:$A$154, 'Equipment Registry'!$E$2:$E$154, "Not Found"))</f>
        <v>MOBIL SHC 639</v>
      </c>
      <c r="E146" s="303">
        <v>46138.0</v>
      </c>
      <c r="F146" s="304">
        <v>46113.0</v>
      </c>
      <c r="G146" s="305" t="s">
        <v>96</v>
      </c>
      <c r="H146" s="306" t="s">
        <v>1163</v>
      </c>
      <c r="I146" s="317">
        <v>46082.0</v>
      </c>
      <c r="J146" s="307" t="s">
        <v>1141</v>
      </c>
      <c r="K146" s="308" t="s">
        <v>1164</v>
      </c>
      <c r="L146" s="309" t="s">
        <v>1002</v>
      </c>
      <c r="M146" s="316"/>
      <c r="N146" s="200" t="s">
        <v>1077</v>
      </c>
      <c r="O146" s="311" t="s">
        <v>1165</v>
      </c>
      <c r="P146" s="200" t="s">
        <v>1166</v>
      </c>
      <c r="Q146" s="200"/>
      <c r="R146" s="58"/>
      <c r="S146" s="58"/>
      <c r="T146" s="58"/>
      <c r="U146" s="58"/>
      <c r="V146" s="58"/>
      <c r="W146" s="58"/>
      <c r="X146" s="58"/>
      <c r="Y146" s="58"/>
      <c r="Z146" s="58"/>
      <c r="AA146" s="58"/>
      <c r="AB146" s="58"/>
      <c r="AC146" s="58"/>
    </row>
    <row r="147">
      <c r="A147" s="300" t="str">
        <f t="shared" si="2"/>
        <v>O-142</v>
      </c>
      <c r="B147" s="301" t="s">
        <v>153</v>
      </c>
      <c r="C147" s="205" t="str">
        <f t="array" ref="C147">IF(B147:B1408="", "", XLOOKUP(B147:B1408, 'Equipment Registry'!$A$2:$A$154, 'Equipment Registry'!$B$2:$B$154, "Not Found"))</f>
        <v>Mill 2 gear Box</v>
      </c>
      <c r="D147" s="302" t="str">
        <f t="array" ref="D147">IF(B147:B1408="", "", XLOOKUP(B147:B1408, 'Equipment Registry'!$A$2:$A$154, 'Equipment Registry'!$E$2:$E$154, "Not Found"))</f>
        <v>MOBILGEAR 600 XP 320</v>
      </c>
      <c r="E147" s="303">
        <v>46138.0</v>
      </c>
      <c r="F147" s="304">
        <v>46113.0</v>
      </c>
      <c r="G147" s="305" t="s">
        <v>96</v>
      </c>
      <c r="H147" s="306" t="s">
        <v>1160</v>
      </c>
      <c r="I147" s="302"/>
      <c r="J147" s="307" t="s">
        <v>1141</v>
      </c>
      <c r="K147" s="308" t="s">
        <v>1057</v>
      </c>
      <c r="L147" s="309" t="s">
        <v>1002</v>
      </c>
      <c r="M147" s="316"/>
      <c r="N147" s="200" t="s">
        <v>1078</v>
      </c>
      <c r="O147" s="311" t="s">
        <v>1167</v>
      </c>
      <c r="P147" s="200" t="s">
        <v>1102</v>
      </c>
      <c r="Q147" s="200"/>
      <c r="R147" s="58"/>
      <c r="S147" s="58"/>
      <c r="T147" s="58"/>
      <c r="U147" s="58"/>
      <c r="V147" s="58"/>
      <c r="W147" s="58"/>
      <c r="X147" s="58"/>
      <c r="Y147" s="58"/>
      <c r="Z147" s="58"/>
      <c r="AA147" s="58"/>
      <c r="AB147" s="58"/>
      <c r="AC147" s="58"/>
    </row>
    <row r="148">
      <c r="A148" s="300" t="str">
        <f t="shared" si="2"/>
        <v>O-143</v>
      </c>
      <c r="B148" s="301" t="s">
        <v>154</v>
      </c>
      <c r="C148" s="205" t="str">
        <f t="array" ref="C148">IF(B148:B1408="", "", XLOOKUP(B148:B1408, 'Equipment Registry'!$A$2:$A$154, 'Equipment Registry'!$B$2:$B$154, "Not Found"))</f>
        <v>Mill2 gear Lub pump station tank</v>
      </c>
      <c r="D148" s="302" t="str">
        <f t="array" ref="D148">IF(B148:B1408="", "", XLOOKUP(B148:B1408, 'Equipment Registry'!$A$2:$A$154, 'Equipment Registry'!$E$2:$E$154, "Not Found"))</f>
        <v>MOBILGEAR 600 XP 320</v>
      </c>
      <c r="E148" s="303">
        <v>46138.0</v>
      </c>
      <c r="F148" s="304">
        <v>46113.0</v>
      </c>
      <c r="G148" s="305" t="s">
        <v>98</v>
      </c>
      <c r="H148" s="306"/>
      <c r="I148" s="302"/>
      <c r="J148" s="307" t="s">
        <v>1000</v>
      </c>
      <c r="K148" s="308" t="s">
        <v>1138</v>
      </c>
      <c r="L148" s="309" t="s">
        <v>1159</v>
      </c>
      <c r="M148" s="316"/>
      <c r="N148" s="200" t="s">
        <v>1078</v>
      </c>
      <c r="O148" s="311"/>
      <c r="P148" s="200"/>
      <c r="Q148" s="200"/>
      <c r="R148" s="58"/>
      <c r="S148" s="58"/>
      <c r="T148" s="58"/>
      <c r="U148" s="58"/>
      <c r="V148" s="58"/>
      <c r="W148" s="58"/>
      <c r="X148" s="58"/>
      <c r="Y148" s="58"/>
      <c r="Z148" s="58"/>
      <c r="AA148" s="58"/>
      <c r="AB148" s="58"/>
      <c r="AC148" s="58"/>
    </row>
    <row r="149">
      <c r="A149" s="300" t="str">
        <f t="shared" si="2"/>
        <v>O-144</v>
      </c>
      <c r="B149" s="301" t="s">
        <v>155</v>
      </c>
      <c r="C149" s="205" t="str">
        <f t="array" ref="C149">IF(B149:B1408="", "", XLOOKUP(B149:B1408, 'Equipment Registry'!$A$2:$A$154, 'Equipment Registry'!$B$2:$B$154, "Not Found"))</f>
        <v>Dynamic Separator Gearbox L#2</v>
      </c>
      <c r="D149" s="302" t="str">
        <f t="array" ref="D149">IF(B149:B1408="", "", XLOOKUP(B149:B1408, 'Equipment Registry'!$A$2:$A$154, 'Equipment Registry'!$E$2:$E$154, "Not Found"))</f>
        <v>MOBIL SHC 632</v>
      </c>
      <c r="E149" s="303">
        <v>46138.0</v>
      </c>
      <c r="F149" s="304">
        <v>45931.0</v>
      </c>
      <c r="G149" s="305" t="s">
        <v>1139</v>
      </c>
      <c r="H149" s="306"/>
      <c r="I149" s="318">
        <v>46143.0</v>
      </c>
      <c r="J149" s="307" t="s">
        <v>1000</v>
      </c>
      <c r="K149" s="308" t="s">
        <v>1168</v>
      </c>
      <c r="L149" s="309" t="s">
        <v>1002</v>
      </c>
      <c r="M149" s="316"/>
      <c r="N149" s="200" t="s">
        <v>1081</v>
      </c>
      <c r="O149" s="311" t="s">
        <v>1003</v>
      </c>
      <c r="P149" s="200" t="s">
        <v>1146</v>
      </c>
      <c r="Q149" s="200"/>
      <c r="R149" s="58"/>
      <c r="S149" s="58"/>
      <c r="T149" s="58"/>
      <c r="U149" s="58"/>
      <c r="V149" s="58"/>
      <c r="W149" s="58"/>
      <c r="X149" s="58"/>
      <c r="Y149" s="58"/>
      <c r="Z149" s="58"/>
      <c r="AA149" s="58"/>
      <c r="AB149" s="58"/>
      <c r="AC149" s="58"/>
    </row>
    <row r="150">
      <c r="A150" s="300" t="str">
        <f t="shared" si="2"/>
        <v>O-145</v>
      </c>
      <c r="B150" s="301" t="s">
        <v>156</v>
      </c>
      <c r="C150" s="205" t="str">
        <f t="array" ref="C150">IF(B150:B1408="", "", XLOOKUP(B150:B1408, 'Equipment Registry'!$A$2:$A$154, 'Equipment Registry'!$B$2:$B$154, "Not Found"))</f>
        <v>Rotary feeder Gear Box</v>
      </c>
      <c r="D150" s="302" t="str">
        <f t="array" ref="D150">IF(B150:B1408="", "", XLOOKUP(B150:B1408, 'Equipment Registry'!$A$2:$A$154, 'Equipment Registry'!$E$2:$E$154, "Not Found"))</f>
        <v>MOBIL SHC 639</v>
      </c>
      <c r="E150" s="303">
        <v>46138.0</v>
      </c>
      <c r="F150" s="304">
        <v>46113.0</v>
      </c>
      <c r="G150" s="305" t="s">
        <v>96</v>
      </c>
      <c r="H150" s="306" t="s">
        <v>1169</v>
      </c>
      <c r="I150" s="302"/>
      <c r="J150" s="307" t="s">
        <v>1080</v>
      </c>
      <c r="K150" s="308" t="s">
        <v>1089</v>
      </c>
      <c r="L150" s="309" t="s">
        <v>1002</v>
      </c>
      <c r="M150" s="316"/>
      <c r="N150" s="200" t="s">
        <v>1043</v>
      </c>
      <c r="O150" s="311" t="s">
        <v>1003</v>
      </c>
      <c r="P150" s="200" t="s">
        <v>1170</v>
      </c>
      <c r="Q150" s="200"/>
      <c r="R150" s="58"/>
      <c r="S150" s="58"/>
      <c r="T150" s="58"/>
      <c r="U150" s="58"/>
      <c r="V150" s="58"/>
      <c r="W150" s="58"/>
      <c r="X150" s="58"/>
      <c r="Y150" s="58"/>
      <c r="Z150" s="58"/>
      <c r="AA150" s="58"/>
      <c r="AB150" s="58"/>
      <c r="AC150" s="58"/>
    </row>
    <row r="151">
      <c r="A151" s="300" t="str">
        <f t="shared" si="2"/>
        <v>O-146</v>
      </c>
      <c r="B151" s="301" t="s">
        <v>157</v>
      </c>
      <c r="C151" s="205" t="str">
        <f t="array" ref="C151">IF(B151:B1408="", "", XLOOKUP(B151:B1408, 'Equipment Registry'!$A$2:$A$154, 'Equipment Registry'!$B$2:$B$154, "Not Found"))</f>
        <v>ID fan free bearing</v>
      </c>
      <c r="D151" s="302" t="str">
        <f t="array" ref="D151">IF(B151:B1408="", "", XLOOKUP(B151:B1408, 'Equipment Registry'!$A$2:$A$154, 'Equipment Registry'!$E$2:$E$154, "Not Found"))</f>
        <v>MOBIL DTE 26</v>
      </c>
      <c r="E151" s="303">
        <v>46138.0</v>
      </c>
      <c r="F151" s="304">
        <v>46113.0</v>
      </c>
      <c r="G151" s="305" t="s">
        <v>1139</v>
      </c>
      <c r="H151" s="306"/>
      <c r="I151" s="317">
        <v>46113.0</v>
      </c>
      <c r="J151" s="307" t="s">
        <v>1000</v>
      </c>
      <c r="K151" s="308" t="s">
        <v>1144</v>
      </c>
      <c r="L151" s="309" t="s">
        <v>1002</v>
      </c>
      <c r="M151" s="316"/>
      <c r="N151" s="200" t="s">
        <v>1083</v>
      </c>
      <c r="O151" s="311" t="s">
        <v>1145</v>
      </c>
      <c r="P151" s="200" t="s">
        <v>1171</v>
      </c>
      <c r="Q151" s="200"/>
      <c r="R151" s="58"/>
      <c r="S151" s="58"/>
      <c r="T151" s="58"/>
      <c r="U151" s="58"/>
      <c r="V151" s="58"/>
      <c r="W151" s="58"/>
      <c r="X151" s="58"/>
      <c r="Y151" s="58"/>
      <c r="Z151" s="58"/>
      <c r="AA151" s="58"/>
      <c r="AB151" s="58"/>
      <c r="AC151" s="58"/>
    </row>
    <row r="152">
      <c r="A152" s="300" t="str">
        <f t="shared" si="2"/>
        <v>O-147</v>
      </c>
      <c r="B152" s="301" t="s">
        <v>158</v>
      </c>
      <c r="C152" s="205" t="str">
        <f t="array" ref="C152">IF(B152:B1408="", "", XLOOKUP(B152:B1408, 'Equipment Registry'!$A$2:$A$154, 'Equipment Registry'!$B$2:$B$154, "Not Found"))</f>
        <v>ID fan fixed bearing</v>
      </c>
      <c r="D152" s="302" t="str">
        <f t="array" ref="D152">IF(B152:B1408="", "", XLOOKUP(B152:B1408, 'Equipment Registry'!$A$2:$A$154, 'Equipment Registry'!$E$2:$E$154, "Not Found"))</f>
        <v>MOBIL DTE 26</v>
      </c>
      <c r="E152" s="303">
        <v>46138.0</v>
      </c>
      <c r="F152" s="304">
        <v>46113.0</v>
      </c>
      <c r="G152" s="305" t="s">
        <v>1139</v>
      </c>
      <c r="H152" s="306"/>
      <c r="I152" s="317">
        <v>46113.0</v>
      </c>
      <c r="J152" s="307" t="s">
        <v>1000</v>
      </c>
      <c r="K152" s="308" t="s">
        <v>1144</v>
      </c>
      <c r="L152" s="309" t="s">
        <v>1002</v>
      </c>
      <c r="M152" s="316"/>
      <c r="N152" s="200" t="s">
        <v>1083</v>
      </c>
      <c r="O152" s="311" t="s">
        <v>1145</v>
      </c>
      <c r="P152" s="200" t="s">
        <v>1171</v>
      </c>
      <c r="Q152" s="200"/>
      <c r="R152" s="58"/>
      <c r="S152" s="58"/>
      <c r="T152" s="58"/>
      <c r="U152" s="58"/>
      <c r="V152" s="58"/>
      <c r="W152" s="58"/>
      <c r="X152" s="58"/>
      <c r="Y152" s="58"/>
      <c r="Z152" s="58"/>
      <c r="AA152" s="58"/>
      <c r="AB152" s="58"/>
      <c r="AC152" s="58"/>
    </row>
    <row r="153">
      <c r="A153" s="300" t="str">
        <f t="shared" si="2"/>
        <v>O-148</v>
      </c>
      <c r="B153" s="301" t="s">
        <v>1172</v>
      </c>
      <c r="C153" s="205" t="str">
        <f t="array" ref="C153">IF(B153:B1408="", "", XLOOKUP(B153:B1408, 'Equipment Registry'!$A$2:$A$154, 'Equipment Registry'!$B$2:$B$154, "Not Found"))</f>
        <v>Main EP Fan Gear drive L#2</v>
      </c>
      <c r="D153" s="302" t="str">
        <f t="array" ref="D153">IF(B153:B1408="", "", XLOOKUP(B153:B1408, 'Equipment Registry'!$A$2:$A$154, 'Equipment Registry'!$E$2:$E$154, "Not Found"))</f>
        <v>MOBIL SHC 632</v>
      </c>
      <c r="E153" s="303">
        <v>46138.0</v>
      </c>
      <c r="F153" s="304">
        <v>46113.0</v>
      </c>
      <c r="G153" s="305" t="s">
        <v>97</v>
      </c>
      <c r="H153" s="306" t="s">
        <v>1169</v>
      </c>
      <c r="I153" s="302"/>
      <c r="J153" s="307" t="s">
        <v>1135</v>
      </c>
      <c r="K153" s="308" t="s">
        <v>1083</v>
      </c>
      <c r="L153" s="309" t="s">
        <v>1002</v>
      </c>
      <c r="M153" s="316"/>
      <c r="N153" s="205"/>
      <c r="O153" s="311" t="s">
        <v>1003</v>
      </c>
      <c r="P153" s="200" t="s">
        <v>1173</v>
      </c>
      <c r="Q153" s="200"/>
      <c r="R153" s="58"/>
      <c r="S153" s="58"/>
      <c r="T153" s="58"/>
      <c r="U153" s="58"/>
      <c r="V153" s="58"/>
      <c r="W153" s="58"/>
      <c r="X153" s="58"/>
      <c r="Y153" s="58"/>
      <c r="Z153" s="58"/>
      <c r="AA153" s="58"/>
      <c r="AB153" s="58"/>
      <c r="AC153" s="58"/>
    </row>
    <row r="154">
      <c r="A154" s="300" t="str">
        <f t="shared" si="2"/>
        <v>O-149</v>
      </c>
      <c r="B154" s="301" t="s">
        <v>163</v>
      </c>
      <c r="C154" s="205" t="str">
        <f t="array" ref="C154">IF(B154:B1408="", "", XLOOKUP(B154:B1408, 'Equipment Registry'!$A$2:$A$154, 'Equipment Registry'!$B$2:$B$154, "Not Found"))</f>
        <v>Bucket Elevator GB - L</v>
      </c>
      <c r="D154" s="302" t="str">
        <f t="array" ref="D154">IF(B154:B1408="", "", XLOOKUP(B154:B1408, 'Equipment Registry'!$A$2:$A$154, 'Equipment Registry'!$E$2:$E$154, "Not Found"))</f>
        <v>MOBIL SHC 632</v>
      </c>
      <c r="E154" s="303">
        <v>46138.0</v>
      </c>
      <c r="F154" s="304">
        <v>46113.0</v>
      </c>
      <c r="G154" s="305" t="s">
        <v>98</v>
      </c>
      <c r="H154" s="306"/>
      <c r="I154" s="302"/>
      <c r="J154" s="307" t="s">
        <v>1000</v>
      </c>
      <c r="K154" s="308"/>
      <c r="L154" s="309" t="s">
        <v>1159</v>
      </c>
      <c r="M154" s="316"/>
      <c r="N154" s="205"/>
      <c r="O154" s="311"/>
      <c r="P154" s="200"/>
      <c r="Q154" s="200"/>
      <c r="R154" s="58"/>
      <c r="S154" s="58"/>
      <c r="T154" s="58"/>
      <c r="U154" s="58"/>
      <c r="V154" s="58"/>
      <c r="W154" s="58"/>
      <c r="X154" s="58"/>
      <c r="Y154" s="58"/>
      <c r="Z154" s="58"/>
      <c r="AA154" s="58"/>
      <c r="AB154" s="58"/>
      <c r="AC154" s="58"/>
    </row>
    <row r="155">
      <c r="A155" s="300" t="str">
        <f t="shared" si="2"/>
        <v>O-150</v>
      </c>
      <c r="B155" s="301" t="s">
        <v>164</v>
      </c>
      <c r="C155" s="205" t="str">
        <f t="array" ref="C155">IF(B155:B1408="", "", XLOOKUP(B155:B1408, 'Equipment Registry'!$A$2:$A$154, 'Equipment Registry'!$B$2:$B$154, "Not Found"))</f>
        <v>Bucket Elevator GB - R</v>
      </c>
      <c r="D155" s="302" t="str">
        <f t="array" ref="D155">IF(B155:B1408="", "", XLOOKUP(B155:B1408, 'Equipment Registry'!$A$2:$A$154, 'Equipment Registry'!$E$2:$E$154, "Not Found"))</f>
        <v>MOBIL SHC 632</v>
      </c>
      <c r="E155" s="303">
        <v>46138.0</v>
      </c>
      <c r="F155" s="304">
        <v>45962.0</v>
      </c>
      <c r="G155" s="305" t="s">
        <v>1139</v>
      </c>
      <c r="H155" s="306"/>
      <c r="I155" s="317">
        <v>46113.0</v>
      </c>
      <c r="J155" s="307" t="s">
        <v>1000</v>
      </c>
      <c r="K155" s="308" t="s">
        <v>106</v>
      </c>
      <c r="L155" s="309" t="s">
        <v>1159</v>
      </c>
      <c r="M155" s="316"/>
      <c r="N155" s="200" t="s">
        <v>1089</v>
      </c>
      <c r="O155" s="311"/>
      <c r="P155" s="200"/>
      <c r="Q155" s="200"/>
      <c r="R155" s="58"/>
      <c r="S155" s="58"/>
      <c r="T155" s="58"/>
      <c r="U155" s="58"/>
      <c r="V155" s="58"/>
      <c r="W155" s="58"/>
      <c r="X155" s="58"/>
      <c r="Y155" s="58"/>
      <c r="Z155" s="58"/>
      <c r="AA155" s="58"/>
      <c r="AB155" s="58"/>
      <c r="AC155" s="58"/>
    </row>
    <row r="156">
      <c r="A156" s="300" t="str">
        <f t="shared" si="2"/>
        <v>O-151</v>
      </c>
      <c r="B156" s="301" t="s">
        <v>166</v>
      </c>
      <c r="C156" s="205" t="str">
        <f t="array" ref="C156">IF(B156:B1408="", "", XLOOKUP(B156:B1408, 'Equipment Registry'!$A$2:$A$154, 'Equipment Registry'!$B$2:$B$154, "Not Found"))</f>
        <v>Bucket Elevator GB - R</v>
      </c>
      <c r="D156" s="302" t="str">
        <f t="array" ref="D156">IF(B156:B1408="", "", XLOOKUP(B156:B1408, 'Equipment Registry'!$A$2:$A$154, 'Equipment Registry'!$E$2:$E$154, "Not Found"))</f>
        <v>MOBIL SHC 632</v>
      </c>
      <c r="E156" s="303">
        <v>46138.0</v>
      </c>
      <c r="F156" s="304">
        <v>46082.0</v>
      </c>
      <c r="G156" s="305" t="s">
        <v>96</v>
      </c>
      <c r="H156" s="306" t="s">
        <v>1174</v>
      </c>
      <c r="I156" s="302"/>
      <c r="J156" s="307" t="s">
        <v>1141</v>
      </c>
      <c r="K156" s="308" t="s">
        <v>1089</v>
      </c>
      <c r="L156" s="309" t="s">
        <v>1002</v>
      </c>
      <c r="M156" s="316"/>
      <c r="N156" s="200" t="s">
        <v>1089</v>
      </c>
      <c r="O156" s="311" t="s">
        <v>1003</v>
      </c>
      <c r="P156" s="200" t="s">
        <v>1175</v>
      </c>
      <c r="Q156" s="200"/>
      <c r="R156" s="58"/>
      <c r="S156" s="58"/>
      <c r="T156" s="58"/>
      <c r="U156" s="58"/>
      <c r="V156" s="58"/>
      <c r="W156" s="58"/>
      <c r="X156" s="58"/>
      <c r="Y156" s="58"/>
      <c r="Z156" s="58"/>
      <c r="AA156" s="58"/>
      <c r="AB156" s="58"/>
      <c r="AC156" s="58"/>
    </row>
    <row r="157">
      <c r="A157" s="300" t="str">
        <f t="shared" si="2"/>
        <v>O-152</v>
      </c>
      <c r="B157" s="301" t="s">
        <v>167</v>
      </c>
      <c r="C157" s="205" t="str">
        <f t="array" ref="C157">IF(B157:B1408="", "", XLOOKUP(B157:B1408, 'Equipment Registry'!$A$2:$A$154, 'Equipment Registry'!$B$2:$B$154, "Not Found"))</f>
        <v>Bucket Elevator GB - L</v>
      </c>
      <c r="D157" s="302" t="str">
        <f t="array" ref="D157">IF(B157:B1408="", "", XLOOKUP(B157:B1408, 'Equipment Registry'!$A$2:$A$154, 'Equipment Registry'!$E$2:$E$154, "Not Found"))</f>
        <v>MOBIL SHC 632</v>
      </c>
      <c r="E157" s="303">
        <v>46138.0</v>
      </c>
      <c r="F157" s="304">
        <v>46082.0</v>
      </c>
      <c r="G157" s="305" t="s">
        <v>96</v>
      </c>
      <c r="H157" s="306" t="s">
        <v>1160</v>
      </c>
      <c r="I157" s="302"/>
      <c r="J157" s="307" t="s">
        <v>1141</v>
      </c>
      <c r="K157" s="308" t="s">
        <v>1057</v>
      </c>
      <c r="L157" s="309" t="s">
        <v>1002</v>
      </c>
      <c r="M157" s="316"/>
      <c r="N157" s="205"/>
      <c r="O157" s="311" t="s">
        <v>1176</v>
      </c>
      <c r="P157" s="200" t="s">
        <v>1043</v>
      </c>
      <c r="Q157" s="200"/>
      <c r="R157" s="58"/>
      <c r="S157" s="58"/>
      <c r="T157" s="58"/>
      <c r="U157" s="58"/>
      <c r="V157" s="58"/>
      <c r="W157" s="58"/>
      <c r="X157" s="58"/>
      <c r="Y157" s="58"/>
      <c r="Z157" s="58"/>
      <c r="AA157" s="58"/>
      <c r="AB157" s="58"/>
      <c r="AC157" s="58"/>
    </row>
    <row r="158">
      <c r="A158" s="300" t="str">
        <f t="shared" si="2"/>
        <v>O-153</v>
      </c>
      <c r="B158" s="301" t="s">
        <v>170</v>
      </c>
      <c r="C158" s="205" t="str">
        <f t="array" ref="C158">IF(B158:B1408="", "", XLOOKUP(B158:B1408, 'Equipment Registry'!$A$2:$A$154, 'Equipment Registry'!$B$2:$B$154, "Not Found"))</f>
        <v>Bucket Elevator GB - R</v>
      </c>
      <c r="D158" s="302" t="str">
        <f t="array" ref="D158">IF(B158:B1408="", "", XLOOKUP(B158:B1408, 'Equipment Registry'!$A$2:$A$154, 'Equipment Registry'!$E$2:$E$154, "Not Found"))</f>
        <v>MOBIL SHC 632</v>
      </c>
      <c r="E158" s="303">
        <v>46138.0</v>
      </c>
      <c r="F158" s="304">
        <v>46113.0</v>
      </c>
      <c r="G158" s="305" t="s">
        <v>97</v>
      </c>
      <c r="H158" s="306" t="s">
        <v>1177</v>
      </c>
      <c r="I158" s="302"/>
      <c r="J158" s="307" t="s">
        <v>1141</v>
      </c>
      <c r="K158" s="308" t="s">
        <v>1178</v>
      </c>
      <c r="L158" s="309" t="s">
        <v>1002</v>
      </c>
      <c r="M158" s="316"/>
      <c r="N158" s="200" t="s">
        <v>1087</v>
      </c>
      <c r="O158" s="311" t="s">
        <v>1145</v>
      </c>
      <c r="P158" s="200" t="s">
        <v>1179</v>
      </c>
      <c r="Q158" s="200"/>
      <c r="R158" s="58"/>
      <c r="S158" s="58"/>
      <c r="T158" s="58"/>
      <c r="U158" s="58"/>
      <c r="V158" s="58"/>
      <c r="W158" s="58"/>
      <c r="X158" s="58"/>
      <c r="Y158" s="58"/>
      <c r="Z158" s="58"/>
      <c r="AA158" s="58"/>
      <c r="AB158" s="58"/>
      <c r="AC158" s="58"/>
    </row>
    <row r="159">
      <c r="A159" s="300" t="str">
        <f t="shared" si="2"/>
        <v>O-154</v>
      </c>
      <c r="B159" s="301" t="s">
        <v>172</v>
      </c>
      <c r="C159" s="205" t="str">
        <f t="array" ref="C159">IF(B159:B1408="", "", XLOOKUP(B159:B1408, 'Equipment Registry'!$A$2:$A$154, 'Equipment Registry'!$B$2:$B$154, "Not Found"))</f>
        <v>HOTDISC Drive M01</v>
      </c>
      <c r="D159" s="302" t="str">
        <f t="array" ref="D159">IF(B159:B1408="", "", XLOOKUP(B159:B1408, 'Equipment Registry'!$A$2:$A$154, 'Equipment Registry'!$E$2:$E$154, "Not Found"))</f>
        <v>MOBIL SHC 630</v>
      </c>
      <c r="E159" s="303">
        <v>46138.0</v>
      </c>
      <c r="F159" s="304">
        <v>46113.0</v>
      </c>
      <c r="G159" s="305" t="s">
        <v>98</v>
      </c>
      <c r="H159" s="306"/>
      <c r="I159" s="302"/>
      <c r="J159" s="307" t="s">
        <v>1000</v>
      </c>
      <c r="K159" s="308"/>
      <c r="L159" s="309" t="s">
        <v>1159</v>
      </c>
      <c r="M159" s="316"/>
      <c r="N159" s="205"/>
      <c r="O159" s="311"/>
      <c r="P159" s="200"/>
      <c r="Q159" s="200"/>
      <c r="R159" s="58"/>
      <c r="S159" s="58"/>
      <c r="T159" s="58"/>
      <c r="U159" s="58"/>
      <c r="V159" s="58"/>
      <c r="W159" s="58"/>
      <c r="X159" s="58"/>
      <c r="Y159" s="58"/>
      <c r="Z159" s="58"/>
      <c r="AA159" s="58"/>
      <c r="AB159" s="58"/>
      <c r="AC159" s="58"/>
    </row>
    <row r="160">
      <c r="A160" s="300" t="str">
        <f t="shared" si="2"/>
        <v>O-155</v>
      </c>
      <c r="B160" s="301" t="s">
        <v>175</v>
      </c>
      <c r="C160" s="205" t="str">
        <f t="array" ref="C160">IF(B160:B1408="", "", XLOOKUP(B160:B1408, 'Equipment Registry'!$A$2:$A$154, 'Equipment Registry'!$B$2:$B$154, "Not Found"))</f>
        <v>Hydraulic thrust bearing</v>
      </c>
      <c r="D160" s="302" t="str">
        <f t="array" ref="D160">IF(B160:B1408="", "", XLOOKUP(B160:B1408, 'Equipment Registry'!$A$2:$A$154, 'Equipment Registry'!$E$2:$E$154, "Not Found"))</f>
        <v>MOBIL SHC 639</v>
      </c>
      <c r="E160" s="303">
        <v>46138.0</v>
      </c>
      <c r="F160" s="304">
        <v>46082.0</v>
      </c>
      <c r="G160" s="305" t="s">
        <v>96</v>
      </c>
      <c r="H160" s="306" t="s">
        <v>1180</v>
      </c>
      <c r="I160" s="302"/>
      <c r="J160" s="307" t="s">
        <v>1141</v>
      </c>
      <c r="K160" s="308" t="s">
        <v>1057</v>
      </c>
      <c r="L160" s="309" t="s">
        <v>1002</v>
      </c>
      <c r="M160" s="316"/>
      <c r="N160" s="200" t="s">
        <v>1091</v>
      </c>
      <c r="O160" s="311" t="s">
        <v>1181</v>
      </c>
      <c r="P160" s="200" t="s">
        <v>1182</v>
      </c>
      <c r="Q160" s="200"/>
      <c r="R160" s="58"/>
      <c r="S160" s="58"/>
      <c r="T160" s="58"/>
      <c r="U160" s="58"/>
      <c r="V160" s="58"/>
      <c r="W160" s="58"/>
      <c r="X160" s="58"/>
      <c r="Y160" s="58"/>
      <c r="Z160" s="58"/>
      <c r="AA160" s="58"/>
      <c r="AB160" s="58"/>
      <c r="AC160" s="58"/>
    </row>
    <row r="161">
      <c r="A161" s="300" t="str">
        <f t="shared" si="2"/>
        <v>O-156</v>
      </c>
      <c r="B161" s="301" t="s">
        <v>176</v>
      </c>
      <c r="C161" s="205" t="str">
        <f t="array" ref="C161">IF(B161:B1408="", "", XLOOKUP(B161:B1408, 'Equipment Registry'!$A$2:$A$154, 'Equipment Registry'!$B$2:$B$154, "Not Found"))</f>
        <v>Kiln Bearing </v>
      </c>
      <c r="D161" s="302" t="str">
        <f t="array" ref="D161">IF(B161:B1408="", "", XLOOKUP(B161:B1408, 'Equipment Registry'!$A$2:$A$154, 'Equipment Registry'!$E$2:$E$154, "Not Found"))</f>
        <v>MOBILGEAR 600 XP 1000</v>
      </c>
      <c r="E161" s="303">
        <v>46138.0</v>
      </c>
      <c r="F161" s="304">
        <v>45992.0</v>
      </c>
      <c r="G161" s="305" t="s">
        <v>99</v>
      </c>
      <c r="H161" s="306"/>
      <c r="I161" s="302"/>
      <c r="J161" s="307" t="s">
        <v>1080</v>
      </c>
      <c r="K161" s="308" t="s">
        <v>1183</v>
      </c>
      <c r="L161" s="309" t="s">
        <v>1002</v>
      </c>
      <c r="M161" s="316"/>
      <c r="N161" s="200" t="s">
        <v>1093</v>
      </c>
      <c r="O161" s="311"/>
      <c r="P161" s="200"/>
      <c r="Q161" s="200"/>
      <c r="R161" s="58"/>
      <c r="S161" s="58"/>
      <c r="T161" s="58"/>
      <c r="U161" s="58"/>
      <c r="V161" s="58"/>
      <c r="W161" s="58"/>
      <c r="X161" s="58"/>
      <c r="Y161" s="58"/>
      <c r="Z161" s="58"/>
      <c r="AA161" s="58"/>
      <c r="AB161" s="58"/>
      <c r="AC161" s="58"/>
    </row>
    <row r="162">
      <c r="A162" s="300" t="str">
        <f t="shared" si="2"/>
        <v>O-157</v>
      </c>
      <c r="B162" s="301" t="s">
        <v>179</v>
      </c>
      <c r="C162" s="205" t="str">
        <f t="array" ref="C162">IF(B162:B1408="", "", XLOOKUP(B162:B1408, 'Equipment Registry'!$A$2:$A$154, 'Equipment Registry'!$B$2:$B$154, "Not Found"))</f>
        <v>Kiln Bearing </v>
      </c>
      <c r="D162" s="302" t="str">
        <f t="array" ref="D162">IF(B162:B1408="", "", XLOOKUP(B162:B1408, 'Equipment Registry'!$A$2:$A$154, 'Equipment Registry'!$E$2:$E$154, "Not Found"))</f>
        <v>MOBILGEAR 600 XP 1000</v>
      </c>
      <c r="E162" s="303">
        <v>46138.0</v>
      </c>
      <c r="F162" s="304">
        <v>45992.0</v>
      </c>
      <c r="G162" s="305" t="s">
        <v>99</v>
      </c>
      <c r="H162" s="306"/>
      <c r="I162" s="302"/>
      <c r="J162" s="307" t="s">
        <v>1080</v>
      </c>
      <c r="K162" s="308" t="s">
        <v>1183</v>
      </c>
      <c r="L162" s="309" t="s">
        <v>1002</v>
      </c>
      <c r="M162" s="316"/>
      <c r="N162" s="200" t="s">
        <v>1093</v>
      </c>
      <c r="O162" s="311"/>
      <c r="P162" s="200"/>
      <c r="Q162" s="200"/>
      <c r="R162" s="58"/>
      <c r="S162" s="58"/>
      <c r="T162" s="58"/>
      <c r="U162" s="58"/>
      <c r="V162" s="58"/>
      <c r="W162" s="58"/>
      <c r="X162" s="58"/>
      <c r="Y162" s="58"/>
      <c r="Z162" s="58"/>
      <c r="AA162" s="58"/>
      <c r="AB162" s="58"/>
      <c r="AC162" s="58"/>
    </row>
    <row r="163">
      <c r="A163" s="300" t="str">
        <f t="shared" si="2"/>
        <v>O-158</v>
      </c>
      <c r="B163" s="301" t="s">
        <v>181</v>
      </c>
      <c r="C163" s="205" t="str">
        <f t="array" ref="C163">IF(B163:B1408="", "", XLOOKUP(B163:B1408, 'Equipment Registry'!$A$2:$A$154, 'Equipment Registry'!$B$2:$B$154, "Not Found"))</f>
        <v>Kiln Bearing </v>
      </c>
      <c r="D163" s="302" t="str">
        <f t="array" ref="D163">IF(B163:B1408="", "", XLOOKUP(B163:B1408, 'Equipment Registry'!$A$2:$A$154, 'Equipment Registry'!$E$2:$E$154, "Not Found"))</f>
        <v>MOBILGEAR 600 XP 1000</v>
      </c>
      <c r="E163" s="303">
        <v>46138.0</v>
      </c>
      <c r="F163" s="304">
        <v>45992.0</v>
      </c>
      <c r="G163" s="305" t="s">
        <v>99</v>
      </c>
      <c r="H163" s="306"/>
      <c r="I163" s="302"/>
      <c r="J163" s="307" t="s">
        <v>1080</v>
      </c>
      <c r="K163" s="308" t="s">
        <v>1183</v>
      </c>
      <c r="L163" s="309" t="s">
        <v>1002</v>
      </c>
      <c r="M163" s="316"/>
      <c r="N163" s="200" t="s">
        <v>1093</v>
      </c>
      <c r="O163" s="311"/>
      <c r="P163" s="200"/>
      <c r="Q163" s="200"/>
      <c r="R163" s="58"/>
      <c r="S163" s="58"/>
      <c r="T163" s="58"/>
      <c r="U163" s="58"/>
      <c r="V163" s="58"/>
      <c r="W163" s="58"/>
      <c r="X163" s="58"/>
      <c r="Y163" s="58"/>
      <c r="Z163" s="58"/>
      <c r="AA163" s="58"/>
      <c r="AB163" s="58"/>
      <c r="AC163" s="58"/>
    </row>
    <row r="164">
      <c r="A164" s="300" t="str">
        <f t="shared" si="2"/>
        <v>O-159</v>
      </c>
      <c r="B164" s="301" t="s">
        <v>182</v>
      </c>
      <c r="C164" s="205" t="str">
        <f t="array" ref="C164">IF(B164:B1408="", "", XLOOKUP(B164:B1408, 'Equipment Registry'!$A$2:$A$154, 'Equipment Registry'!$B$2:$B$154, "Not Found"))</f>
        <v>Kiln Bearing </v>
      </c>
      <c r="D164" s="302" t="str">
        <f t="array" ref="D164">IF(B164:B1408="", "", XLOOKUP(B164:B1408, 'Equipment Registry'!$A$2:$A$154, 'Equipment Registry'!$E$2:$E$154, "Not Found"))</f>
        <v>MOBILGEAR 600 XP 1000</v>
      </c>
      <c r="E164" s="303">
        <v>46138.0</v>
      </c>
      <c r="F164" s="304">
        <v>45992.0</v>
      </c>
      <c r="G164" s="305" t="s">
        <v>99</v>
      </c>
      <c r="H164" s="306"/>
      <c r="I164" s="302"/>
      <c r="J164" s="307" t="s">
        <v>1080</v>
      </c>
      <c r="K164" s="308" t="s">
        <v>1183</v>
      </c>
      <c r="L164" s="309" t="s">
        <v>1002</v>
      </c>
      <c r="M164" s="316"/>
      <c r="N164" s="200" t="s">
        <v>1093</v>
      </c>
      <c r="O164" s="311"/>
      <c r="P164" s="200"/>
      <c r="Q164" s="200"/>
      <c r="R164" s="58"/>
      <c r="S164" s="58"/>
      <c r="T164" s="58"/>
      <c r="U164" s="58"/>
      <c r="V164" s="58"/>
      <c r="W164" s="58"/>
      <c r="X164" s="58"/>
      <c r="Y164" s="58"/>
      <c r="Z164" s="58"/>
      <c r="AA164" s="58"/>
      <c r="AB164" s="58"/>
      <c r="AC164" s="58"/>
    </row>
    <row r="165">
      <c r="A165" s="300" t="str">
        <f t="shared" si="2"/>
        <v>O-160</v>
      </c>
      <c r="B165" s="301" t="s">
        <v>183</v>
      </c>
      <c r="C165" s="205" t="str">
        <f t="array" ref="C165">IF(B165:B1408="", "", XLOOKUP(B165:B1408, 'Equipment Registry'!$A$2:$A$154, 'Equipment Registry'!$B$2:$B$154, "Not Found"))</f>
        <v>Kiln Bearing </v>
      </c>
      <c r="D165" s="302" t="str">
        <f t="array" ref="D165">IF(B165:B1408="", "", XLOOKUP(B165:B1408, 'Equipment Registry'!$A$2:$A$154, 'Equipment Registry'!$E$2:$E$154, "Not Found"))</f>
        <v>MOBILGEAR 600 XP 1000</v>
      </c>
      <c r="E165" s="303">
        <v>46138.0</v>
      </c>
      <c r="F165" s="304">
        <v>45992.0</v>
      </c>
      <c r="G165" s="305" t="s">
        <v>99</v>
      </c>
      <c r="H165" s="306"/>
      <c r="I165" s="317"/>
      <c r="J165" s="307" t="s">
        <v>1080</v>
      </c>
      <c r="K165" s="308" t="s">
        <v>1183</v>
      </c>
      <c r="L165" s="309" t="s">
        <v>1002</v>
      </c>
      <c r="M165" s="316"/>
      <c r="N165" s="200" t="s">
        <v>1093</v>
      </c>
      <c r="O165" s="311"/>
      <c r="P165" s="200"/>
      <c r="Q165" s="200"/>
      <c r="R165" s="58"/>
      <c r="S165" s="58"/>
      <c r="T165" s="58"/>
      <c r="U165" s="58"/>
      <c r="V165" s="58"/>
      <c r="W165" s="58"/>
      <c r="X165" s="58"/>
      <c r="Y165" s="58"/>
      <c r="Z165" s="58"/>
      <c r="AA165" s="58"/>
      <c r="AB165" s="58"/>
      <c r="AC165" s="58"/>
    </row>
    <row r="166">
      <c r="A166" s="300" t="str">
        <f t="shared" si="2"/>
        <v>O-161</v>
      </c>
      <c r="B166" s="301" t="s">
        <v>185</v>
      </c>
      <c r="C166" s="205" t="str">
        <f t="array" ref="C166">IF(B166:B1408="", "", XLOOKUP(B166:B1408, 'Equipment Registry'!$A$2:$A$154, 'Equipment Registry'!$B$2:$B$154, "Not Found"))</f>
        <v>Kiln Bearing </v>
      </c>
      <c r="D166" s="302" t="str">
        <f t="array" ref="D166">IF(B166:B1408="", "", XLOOKUP(B166:B1408, 'Equipment Registry'!$A$2:$A$154, 'Equipment Registry'!$E$2:$E$154, "Not Found"))</f>
        <v>MOBILGEAR 600 XP 1000</v>
      </c>
      <c r="E166" s="303">
        <v>46138.0</v>
      </c>
      <c r="F166" s="304">
        <v>45992.0</v>
      </c>
      <c r="G166" s="305" t="s">
        <v>99</v>
      </c>
      <c r="H166" s="306"/>
      <c r="I166" s="302"/>
      <c r="J166" s="307" t="s">
        <v>1080</v>
      </c>
      <c r="K166" s="308" t="s">
        <v>1183</v>
      </c>
      <c r="L166" s="309" t="s">
        <v>1002</v>
      </c>
      <c r="M166" s="316"/>
      <c r="N166" s="200" t="s">
        <v>1093</v>
      </c>
      <c r="O166" s="311"/>
      <c r="P166" s="200"/>
      <c r="Q166" s="200"/>
      <c r="R166" s="58"/>
      <c r="S166" s="58"/>
      <c r="T166" s="58"/>
      <c r="U166" s="58"/>
      <c r="V166" s="58"/>
      <c r="W166" s="58"/>
      <c r="X166" s="58"/>
      <c r="Y166" s="58"/>
      <c r="Z166" s="58"/>
      <c r="AA166" s="58"/>
      <c r="AB166" s="58"/>
      <c r="AC166" s="58"/>
    </row>
    <row r="167">
      <c r="A167" s="300" t="str">
        <f t="shared" si="2"/>
        <v>O-162</v>
      </c>
      <c r="B167" s="301" t="s">
        <v>186</v>
      </c>
      <c r="C167" s="205" t="str">
        <f t="array" ref="C167">IF(B167:B1408="", "", XLOOKUP(B167:B1408, 'Equipment Registry'!$A$2:$A$154, 'Equipment Registry'!$B$2:$B$154, "Not Found"))</f>
        <v>Kiln Bearing </v>
      </c>
      <c r="D167" s="302" t="str">
        <f t="array" ref="D167">IF(B167:B1408="", "", XLOOKUP(B167:B1408, 'Equipment Registry'!$A$2:$A$154, 'Equipment Registry'!$E$2:$E$154, "Not Found"))</f>
        <v>MOBILGEAR 600 XP 1000</v>
      </c>
      <c r="E167" s="303">
        <v>46138.0</v>
      </c>
      <c r="F167" s="304">
        <v>45992.0</v>
      </c>
      <c r="G167" s="305" t="s">
        <v>99</v>
      </c>
      <c r="H167" s="306"/>
      <c r="I167" s="302"/>
      <c r="J167" s="307" t="s">
        <v>1080</v>
      </c>
      <c r="K167" s="308" t="s">
        <v>1183</v>
      </c>
      <c r="L167" s="309" t="s">
        <v>1002</v>
      </c>
      <c r="M167" s="316"/>
      <c r="N167" s="200" t="s">
        <v>1093</v>
      </c>
      <c r="O167" s="311"/>
      <c r="P167" s="200"/>
      <c r="Q167" s="200"/>
      <c r="R167" s="58"/>
      <c r="S167" s="58"/>
      <c r="T167" s="58"/>
      <c r="U167" s="58"/>
      <c r="V167" s="58"/>
      <c r="W167" s="58"/>
      <c r="X167" s="58"/>
      <c r="Y167" s="58"/>
      <c r="Z167" s="58"/>
      <c r="AA167" s="58"/>
      <c r="AB167" s="58"/>
      <c r="AC167" s="58"/>
    </row>
    <row r="168">
      <c r="A168" s="300" t="str">
        <f t="shared" si="2"/>
        <v>O-163</v>
      </c>
      <c r="B168" s="301" t="s">
        <v>189</v>
      </c>
      <c r="C168" s="205" t="str">
        <f t="array" ref="C168">IF(B168:B1408="", "", XLOOKUP(B168:B1408, 'Equipment Registry'!$A$2:$A$154, 'Equipment Registry'!$B$2:$B$154, "Not Found"))</f>
        <v>Kiln Main drive gearbox W.S side</v>
      </c>
      <c r="D168" s="302" t="str">
        <f t="array" ref="D168">IF(B168:B1408="", "", XLOOKUP(B168:B1408, 'Equipment Registry'!$A$2:$A$154, 'Equipment Registry'!$E$2:$E$154, "Not Found"))</f>
        <v>MOBILGEAR 600 XP 320</v>
      </c>
      <c r="E168" s="303">
        <v>46138.0</v>
      </c>
      <c r="F168" s="304">
        <v>46113.0</v>
      </c>
      <c r="G168" s="305" t="s">
        <v>98</v>
      </c>
      <c r="H168" s="306"/>
      <c r="I168" s="302"/>
      <c r="J168" s="307" t="s">
        <v>1000</v>
      </c>
      <c r="K168" s="308" t="s">
        <v>1138</v>
      </c>
      <c r="L168" s="309" t="s">
        <v>1002</v>
      </c>
      <c r="M168" s="316"/>
      <c r="N168" s="200" t="s">
        <v>1102</v>
      </c>
      <c r="O168" s="311"/>
      <c r="P168" s="200"/>
      <c r="Q168" s="200"/>
      <c r="R168" s="58"/>
      <c r="S168" s="58"/>
      <c r="T168" s="58"/>
      <c r="U168" s="58"/>
      <c r="V168" s="58"/>
      <c r="W168" s="58"/>
      <c r="X168" s="58"/>
      <c r="Y168" s="58"/>
      <c r="Z168" s="58"/>
      <c r="AA168" s="58"/>
      <c r="AB168" s="58"/>
      <c r="AC168" s="58"/>
    </row>
    <row r="169">
      <c r="A169" s="300" t="str">
        <f t="shared" si="2"/>
        <v>O-164</v>
      </c>
      <c r="B169" s="301" t="s">
        <v>190</v>
      </c>
      <c r="C169" s="205" t="str">
        <f t="array" ref="C169">IF(B169:B1408="", "", XLOOKUP(B169:B1408, 'Equipment Registry'!$A$2:$A$154, 'Equipment Registry'!$B$2:$B$154, "Not Found"))</f>
        <v>Kiln Main drive gearbox CCR side</v>
      </c>
      <c r="D169" s="302" t="str">
        <f t="array" ref="D169">IF(B169:B1408="", "", XLOOKUP(B169:B1408, 'Equipment Registry'!$A$2:$A$154, 'Equipment Registry'!$E$2:$E$154, "Not Found"))</f>
        <v>MOBIL SHC 634</v>
      </c>
      <c r="E169" s="303">
        <v>46138.0</v>
      </c>
      <c r="F169" s="304">
        <v>46113.0</v>
      </c>
      <c r="G169" s="305" t="s">
        <v>98</v>
      </c>
      <c r="H169" s="306"/>
      <c r="I169" s="302"/>
      <c r="J169" s="307" t="s">
        <v>1000</v>
      </c>
      <c r="K169" s="308" t="s">
        <v>1138</v>
      </c>
      <c r="L169" s="309" t="s">
        <v>1002</v>
      </c>
      <c r="M169" s="316"/>
      <c r="N169" s="200" t="s">
        <v>1102</v>
      </c>
      <c r="O169" s="311"/>
      <c r="P169" s="200"/>
      <c r="Q169" s="200"/>
      <c r="R169" s="58"/>
      <c r="S169" s="58"/>
      <c r="T169" s="58"/>
      <c r="U169" s="58"/>
      <c r="V169" s="58"/>
      <c r="W169" s="58"/>
      <c r="X169" s="58"/>
      <c r="Y169" s="58"/>
      <c r="Z169" s="58"/>
      <c r="AA169" s="58"/>
      <c r="AB169" s="58"/>
      <c r="AC169" s="58"/>
    </row>
    <row r="170">
      <c r="A170" s="300" t="str">
        <f t="shared" si="2"/>
        <v>O-165</v>
      </c>
      <c r="B170" s="301" t="s">
        <v>3</v>
      </c>
      <c r="C170" s="205" t="str">
        <f t="array" ref="C170">IF(B170:B1408="", "", XLOOKUP(B170:B1408, 'Equipment Registry'!$A$2:$A$154, 'Equipment Registry'!$B$2:$B$154, "Not Found"))</f>
        <v>Kiln Bearing </v>
      </c>
      <c r="D170" s="302" t="str">
        <f t="array" ref="D170">IF(B170:B1408="", "", XLOOKUP(B170:B1408, 'Equipment Registry'!$A$2:$A$154, 'Equipment Registry'!$E$2:$E$154, "Not Found"))</f>
        <v>MOBILGEAR 600 XP 1000</v>
      </c>
      <c r="E170" s="303">
        <v>46138.0</v>
      </c>
      <c r="F170" s="304">
        <v>45901.0</v>
      </c>
      <c r="G170" s="305" t="s">
        <v>99</v>
      </c>
      <c r="H170" s="306"/>
      <c r="I170" s="302"/>
      <c r="J170" s="307" t="s">
        <v>1080</v>
      </c>
      <c r="K170" s="308" t="s">
        <v>1183</v>
      </c>
      <c r="L170" s="309" t="s">
        <v>1002</v>
      </c>
      <c r="M170" s="316"/>
      <c r="N170" s="200" t="s">
        <v>1093</v>
      </c>
      <c r="O170" s="311"/>
      <c r="P170" s="200"/>
      <c r="Q170" s="200"/>
      <c r="R170" s="58"/>
      <c r="S170" s="58"/>
      <c r="T170" s="58"/>
      <c r="U170" s="58"/>
      <c r="V170" s="58"/>
      <c r="W170" s="58"/>
      <c r="X170" s="58"/>
      <c r="Y170" s="58"/>
      <c r="Z170" s="58"/>
      <c r="AA170" s="58"/>
      <c r="AB170" s="58"/>
      <c r="AC170" s="58"/>
    </row>
    <row r="171">
      <c r="A171" s="300" t="str">
        <f t="shared" si="2"/>
        <v>O-166</v>
      </c>
      <c r="B171" s="301" t="s">
        <v>193</v>
      </c>
      <c r="C171" s="205" t="str">
        <f t="array" ref="C171">IF(B171:B1408="", "", XLOOKUP(B171:B1408, 'Equipment Registry'!$A$2:$A$154, 'Equipment Registry'!$B$2:$B$154, "Not Found"))</f>
        <v>Kiln Bearing </v>
      </c>
      <c r="D171" s="302" t="str">
        <f t="array" ref="D171">IF(B171:B1408="", "", XLOOKUP(B171:B1408, 'Equipment Registry'!$A$2:$A$154, 'Equipment Registry'!$E$2:$E$154, "Not Found"))</f>
        <v>MOBILGEAR 600 XP 1000</v>
      </c>
      <c r="E171" s="303">
        <v>46138.0</v>
      </c>
      <c r="F171" s="304">
        <v>45901.0</v>
      </c>
      <c r="G171" s="305" t="s">
        <v>99</v>
      </c>
      <c r="H171" s="306"/>
      <c r="I171" s="302"/>
      <c r="J171" s="307" t="s">
        <v>1080</v>
      </c>
      <c r="K171" s="308" t="s">
        <v>1183</v>
      </c>
      <c r="L171" s="309" t="s">
        <v>1002</v>
      </c>
      <c r="M171" s="316"/>
      <c r="N171" s="200" t="s">
        <v>1093</v>
      </c>
      <c r="O171" s="311"/>
      <c r="P171" s="200"/>
      <c r="Q171" s="200"/>
      <c r="R171" s="58"/>
      <c r="S171" s="58"/>
      <c r="T171" s="58"/>
      <c r="U171" s="58"/>
      <c r="V171" s="58"/>
      <c r="W171" s="58"/>
      <c r="X171" s="58"/>
      <c r="Y171" s="58"/>
      <c r="Z171" s="58"/>
      <c r="AA171" s="58"/>
      <c r="AB171" s="58"/>
      <c r="AC171" s="58"/>
    </row>
    <row r="172">
      <c r="A172" s="300" t="str">
        <f t="shared" si="2"/>
        <v>O-167</v>
      </c>
      <c r="B172" s="301" t="s">
        <v>194</v>
      </c>
      <c r="C172" s="205" t="str">
        <f t="array" ref="C172">IF(B172:B1408="", "", XLOOKUP(B172:B1408, 'Equipment Registry'!$A$2:$A$154, 'Equipment Registry'!$B$2:$B$154, "Not Found"))</f>
        <v>Kiln Bearing </v>
      </c>
      <c r="D172" s="302" t="str">
        <f t="array" ref="D172">IF(B172:B1408="", "", XLOOKUP(B172:B1408, 'Equipment Registry'!$A$2:$A$154, 'Equipment Registry'!$E$2:$E$154, "Not Found"))</f>
        <v>MOBILGEAR 600 XP 1000</v>
      </c>
      <c r="E172" s="303">
        <v>46138.0</v>
      </c>
      <c r="F172" s="304">
        <v>45901.0</v>
      </c>
      <c r="G172" s="305" t="s">
        <v>99</v>
      </c>
      <c r="H172" s="306"/>
      <c r="I172" s="302"/>
      <c r="J172" s="307" t="s">
        <v>1080</v>
      </c>
      <c r="K172" s="308" t="s">
        <v>1183</v>
      </c>
      <c r="L172" s="309" t="s">
        <v>1002</v>
      </c>
      <c r="M172" s="316"/>
      <c r="N172" s="200" t="s">
        <v>1093</v>
      </c>
      <c r="O172" s="311"/>
      <c r="P172" s="200"/>
      <c r="Q172" s="200"/>
      <c r="R172" s="58"/>
      <c r="S172" s="58"/>
      <c r="T172" s="58"/>
      <c r="U172" s="58"/>
      <c r="V172" s="58"/>
      <c r="W172" s="58"/>
      <c r="X172" s="58"/>
      <c r="Y172" s="58"/>
      <c r="Z172" s="58"/>
      <c r="AA172" s="58"/>
      <c r="AB172" s="58"/>
      <c r="AC172" s="58"/>
    </row>
    <row r="173">
      <c r="A173" s="300" t="str">
        <f t="shared" si="2"/>
        <v>O-168</v>
      </c>
      <c r="B173" s="301" t="s">
        <v>196</v>
      </c>
      <c r="C173" s="205" t="str">
        <f t="array" ref="C173">IF(B173:B1408="", "", XLOOKUP(B173:B1408, 'Equipment Registry'!$A$2:$A$154, 'Equipment Registry'!$B$2:$B$154, "Not Found"))</f>
        <v>Kiln Bearing </v>
      </c>
      <c r="D173" s="302" t="str">
        <f t="array" ref="D173">IF(B173:B1408="", "", XLOOKUP(B173:B1408, 'Equipment Registry'!$A$2:$A$154, 'Equipment Registry'!$E$2:$E$154, "Not Found"))</f>
        <v>MOBILGEAR 600 XP 1000</v>
      </c>
      <c r="E173" s="303">
        <v>46138.0</v>
      </c>
      <c r="F173" s="304">
        <v>45901.0</v>
      </c>
      <c r="G173" s="305" t="s">
        <v>99</v>
      </c>
      <c r="H173" s="306"/>
      <c r="I173" s="302"/>
      <c r="J173" s="307" t="s">
        <v>1080</v>
      </c>
      <c r="K173" s="308" t="s">
        <v>1183</v>
      </c>
      <c r="L173" s="309" t="s">
        <v>1002</v>
      </c>
      <c r="M173" s="316"/>
      <c r="N173" s="200" t="s">
        <v>1093</v>
      </c>
      <c r="O173" s="311"/>
      <c r="P173" s="200"/>
      <c r="Q173" s="200"/>
      <c r="R173" s="58"/>
      <c r="S173" s="58"/>
      <c r="T173" s="58"/>
      <c r="U173" s="58"/>
      <c r="V173" s="58"/>
      <c r="W173" s="58"/>
      <c r="X173" s="58"/>
      <c r="Y173" s="58"/>
      <c r="Z173" s="58"/>
      <c r="AA173" s="58"/>
      <c r="AB173" s="58"/>
      <c r="AC173" s="58"/>
    </row>
    <row r="174">
      <c r="A174" s="300" t="str">
        <f t="shared" si="2"/>
        <v>O-169</v>
      </c>
      <c r="B174" s="301" t="s">
        <v>197</v>
      </c>
      <c r="C174" s="205" t="str">
        <f t="array" ref="C174">IF(B174:B1408="", "", XLOOKUP(B174:B1408, 'Equipment Registry'!$A$2:$A$154, 'Equipment Registry'!$B$2:$B$154, "Not Found"))</f>
        <v>Kiln Bearing </v>
      </c>
      <c r="D174" s="302" t="str">
        <f t="array" ref="D174">IF(B174:B1408="", "", XLOOKUP(B174:B1408, 'Equipment Registry'!$A$2:$A$154, 'Equipment Registry'!$E$2:$E$154, "Not Found"))</f>
        <v>MOBILGEAR 600 XP 1000</v>
      </c>
      <c r="E174" s="303">
        <v>46138.0</v>
      </c>
      <c r="F174" s="304">
        <v>45901.0</v>
      </c>
      <c r="G174" s="305" t="s">
        <v>99</v>
      </c>
      <c r="H174" s="306"/>
      <c r="I174" s="302"/>
      <c r="J174" s="307" t="s">
        <v>1080</v>
      </c>
      <c r="K174" s="308" t="s">
        <v>1183</v>
      </c>
      <c r="L174" s="309" t="s">
        <v>1002</v>
      </c>
      <c r="M174" s="316"/>
      <c r="N174" s="200" t="s">
        <v>1093</v>
      </c>
      <c r="O174" s="311"/>
      <c r="P174" s="200"/>
      <c r="Q174" s="200"/>
      <c r="R174" s="58"/>
      <c r="S174" s="58"/>
      <c r="T174" s="58"/>
      <c r="U174" s="58"/>
      <c r="V174" s="58"/>
      <c r="W174" s="58"/>
      <c r="X174" s="58"/>
      <c r="Y174" s="58"/>
      <c r="Z174" s="58"/>
      <c r="AA174" s="58"/>
      <c r="AB174" s="58"/>
      <c r="AC174" s="58"/>
    </row>
    <row r="175">
      <c r="A175" s="300" t="str">
        <f t="shared" si="2"/>
        <v>O-170</v>
      </c>
      <c r="B175" s="301" t="s">
        <v>198</v>
      </c>
      <c r="C175" s="205" t="str">
        <f t="array" ref="C175">IF(B175:B1408="", "", XLOOKUP(B175:B1408, 'Equipment Registry'!$A$2:$A$154, 'Equipment Registry'!$B$2:$B$154, "Not Found"))</f>
        <v>Kiln Bearing </v>
      </c>
      <c r="D175" s="302" t="str">
        <f t="array" ref="D175">IF(B175:B1408="", "", XLOOKUP(B175:B1408, 'Equipment Registry'!$A$2:$A$154, 'Equipment Registry'!$E$2:$E$154, "Not Found"))</f>
        <v>MOBILGEAR 600 XP 1000</v>
      </c>
      <c r="E175" s="303">
        <v>46138.0</v>
      </c>
      <c r="F175" s="304">
        <v>45901.0</v>
      </c>
      <c r="G175" s="305" t="s">
        <v>99</v>
      </c>
      <c r="H175" s="306"/>
      <c r="I175" s="302"/>
      <c r="J175" s="307" t="s">
        <v>1080</v>
      </c>
      <c r="K175" s="308" t="s">
        <v>1183</v>
      </c>
      <c r="L175" s="309" t="s">
        <v>1002</v>
      </c>
      <c r="M175" s="316"/>
      <c r="N175" s="200" t="s">
        <v>1093</v>
      </c>
      <c r="O175" s="311"/>
      <c r="P175" s="200"/>
      <c r="Q175" s="200"/>
      <c r="R175" s="58"/>
      <c r="S175" s="58"/>
      <c r="T175" s="58"/>
      <c r="U175" s="58"/>
      <c r="V175" s="58"/>
      <c r="W175" s="58"/>
      <c r="X175" s="58"/>
      <c r="Y175" s="58"/>
      <c r="Z175" s="58"/>
      <c r="AA175" s="58"/>
      <c r="AB175" s="58"/>
      <c r="AC175" s="58"/>
    </row>
    <row r="176">
      <c r="A176" s="300" t="str">
        <f t="shared" si="2"/>
        <v>O-171</v>
      </c>
      <c r="B176" s="301" t="s">
        <v>200</v>
      </c>
      <c r="C176" s="205" t="str">
        <f t="array" ref="C176">IF(B176:B1408="", "", XLOOKUP(B176:B1408, 'Equipment Registry'!$A$2:$A$154, 'Equipment Registry'!$B$2:$B$154, "Not Found"))</f>
        <v>Kiln Bearing </v>
      </c>
      <c r="D176" s="302" t="str">
        <f t="array" ref="D176">IF(B176:B1408="", "", XLOOKUP(B176:B1408, 'Equipment Registry'!$A$2:$A$154, 'Equipment Registry'!$E$2:$E$154, "Not Found"))</f>
        <v>MOBILGEAR 600 XP 1000</v>
      </c>
      <c r="E176" s="303">
        <v>46138.0</v>
      </c>
      <c r="F176" s="304">
        <v>45901.0</v>
      </c>
      <c r="G176" s="305" t="s">
        <v>99</v>
      </c>
      <c r="H176" s="306"/>
      <c r="I176" s="302"/>
      <c r="J176" s="307" t="s">
        <v>1080</v>
      </c>
      <c r="K176" s="308" t="s">
        <v>1183</v>
      </c>
      <c r="L176" s="309" t="s">
        <v>1002</v>
      </c>
      <c r="M176" s="316"/>
      <c r="N176" s="200" t="s">
        <v>1093</v>
      </c>
      <c r="O176" s="311"/>
      <c r="P176" s="200"/>
      <c r="Q176" s="200"/>
      <c r="R176" s="58"/>
      <c r="S176" s="58"/>
      <c r="T176" s="58"/>
      <c r="U176" s="58"/>
      <c r="V176" s="58"/>
      <c r="W176" s="58"/>
      <c r="X176" s="58"/>
      <c r="Y176" s="58"/>
      <c r="Z176" s="58"/>
      <c r="AA176" s="58"/>
      <c r="AB176" s="58"/>
      <c r="AC176" s="58"/>
    </row>
    <row r="177">
      <c r="A177" s="300" t="str">
        <f t="shared" si="2"/>
        <v>O-172</v>
      </c>
      <c r="B177" s="301" t="s">
        <v>205</v>
      </c>
      <c r="C177" s="205" t="str">
        <f t="array" ref="C177">IF(B177:B1408="", "", XLOOKUP(B177:B1408, 'Equipment Registry'!$A$2:$A$154, 'Equipment Registry'!$B$2:$B$154, "Not Found"))</f>
        <v>Kiln #2 Main drive gearbox (N32)</v>
      </c>
      <c r="D177" s="302" t="str">
        <f t="array" ref="D177">IF(B177:B1408="", "", XLOOKUP(B177:B1408, 'Equipment Registry'!$A$2:$A$154, 'Equipment Registry'!$E$2:$E$154, "Not Found"))</f>
        <v>MOBILGEAR 600 XP 460</v>
      </c>
      <c r="E177" s="303">
        <v>46138.0</v>
      </c>
      <c r="F177" s="304">
        <v>46113.0</v>
      </c>
      <c r="G177" s="305" t="s">
        <v>96</v>
      </c>
      <c r="H177" s="306" t="s">
        <v>1184</v>
      </c>
      <c r="I177" s="302"/>
      <c r="J177" s="307" t="s">
        <v>1135</v>
      </c>
      <c r="K177" s="308" t="s">
        <v>1185</v>
      </c>
      <c r="L177" s="309" t="s">
        <v>1002</v>
      </c>
      <c r="M177" s="316"/>
      <c r="N177" s="200" t="s">
        <v>1102</v>
      </c>
      <c r="O177" s="311" t="s">
        <v>1186</v>
      </c>
      <c r="P177" s="200" t="s">
        <v>1185</v>
      </c>
      <c r="Q177" s="200"/>
      <c r="R177" s="58"/>
      <c r="S177" s="58"/>
      <c r="T177" s="58"/>
      <c r="U177" s="58"/>
      <c r="V177" s="58"/>
      <c r="W177" s="58"/>
      <c r="X177" s="58"/>
      <c r="Y177" s="58"/>
      <c r="Z177" s="58"/>
      <c r="AA177" s="58"/>
      <c r="AB177" s="58"/>
      <c r="AC177" s="58"/>
    </row>
    <row r="178">
      <c r="A178" s="300" t="str">
        <f t="shared" si="2"/>
        <v>O-173</v>
      </c>
      <c r="B178" s="301" t="s">
        <v>206</v>
      </c>
      <c r="C178" s="205" t="str">
        <f t="array" ref="C178">IF(B178:B1408="", "", XLOOKUP(B178:B1408, 'Equipment Registry'!$A$2:$A$154, 'Equipment Registry'!$B$2:$B$154, "Not Found"))</f>
        <v>Clinker Cooler filter Fan</v>
      </c>
      <c r="D178" s="302" t="str">
        <f t="array" ref="D178">IF(B178:B1408="", "", XLOOKUP(B178:B1408, 'Equipment Registry'!$A$2:$A$154, 'Equipment Registry'!$E$2:$E$154, "Not Found"))</f>
        <v>MOBIL SHC 632</v>
      </c>
      <c r="E178" s="303">
        <v>46138.0</v>
      </c>
      <c r="F178" s="304">
        <v>46082.0</v>
      </c>
      <c r="G178" s="305" t="s">
        <v>96</v>
      </c>
      <c r="H178" s="306" t="s">
        <v>1187</v>
      </c>
      <c r="I178" s="302"/>
      <c r="J178" s="307" t="s">
        <v>1135</v>
      </c>
      <c r="K178" s="308" t="s">
        <v>1185</v>
      </c>
      <c r="L178" s="309" t="s">
        <v>1002</v>
      </c>
      <c r="M178" s="316"/>
      <c r="N178" s="200" t="s">
        <v>1102</v>
      </c>
      <c r="O178" s="311" t="s">
        <v>1083</v>
      </c>
      <c r="P178" s="200" t="s">
        <v>1185</v>
      </c>
      <c r="Q178" s="200"/>
      <c r="R178" s="58"/>
      <c r="S178" s="58"/>
      <c r="T178" s="58"/>
      <c r="U178" s="58"/>
      <c r="V178" s="58"/>
      <c r="W178" s="58"/>
      <c r="X178" s="58"/>
      <c r="Y178" s="58"/>
      <c r="Z178" s="58"/>
      <c r="AA178" s="58"/>
      <c r="AB178" s="58"/>
      <c r="AC178" s="58"/>
    </row>
    <row r="179">
      <c r="A179" s="300" t="str">
        <f t="shared" si="2"/>
        <v>O-174</v>
      </c>
      <c r="B179" s="301" t="s">
        <v>207</v>
      </c>
      <c r="C179" s="205" t="str">
        <f t="array" ref="C179">IF(B179:B1408="", "", XLOOKUP(B179:B1408, 'Equipment Registry'!$A$2:$A$154, 'Equipment Registry'!$B$2:$B$154, "Not Found"))</f>
        <v>Clinker Cooler Drive L#1 ( Tank )</v>
      </c>
      <c r="D179" s="302" t="str">
        <f t="array" ref="D179">IF(B179:B1408="", "", XLOOKUP(B179:B1408, 'Equipment Registry'!$A$2:$A$154, 'Equipment Registry'!$E$2:$E$154, "Not Found"))</f>
        <v>MOBIL DTE 25</v>
      </c>
      <c r="E179" s="303">
        <v>46138.0</v>
      </c>
      <c r="F179" s="304">
        <v>46082.0</v>
      </c>
      <c r="G179" s="305" t="s">
        <v>99</v>
      </c>
      <c r="H179" s="306"/>
      <c r="I179" s="302"/>
      <c r="J179" s="307" t="s">
        <v>1000</v>
      </c>
      <c r="K179" s="313"/>
      <c r="L179" s="309" t="s">
        <v>1002</v>
      </c>
      <c r="M179" s="316"/>
      <c r="N179" s="200" t="s">
        <v>1188</v>
      </c>
      <c r="O179" s="311" t="s">
        <v>1189</v>
      </c>
      <c r="P179" s="200" t="s">
        <v>1190</v>
      </c>
      <c r="Q179" s="200"/>
      <c r="R179" s="58"/>
      <c r="S179" s="58"/>
      <c r="T179" s="58"/>
      <c r="U179" s="58"/>
      <c r="V179" s="58"/>
      <c r="W179" s="58"/>
      <c r="X179" s="58"/>
      <c r="Y179" s="58"/>
      <c r="Z179" s="58"/>
      <c r="AA179" s="58"/>
      <c r="AB179" s="58"/>
      <c r="AC179" s="58"/>
    </row>
    <row r="180">
      <c r="A180" s="300" t="str">
        <f t="shared" si="2"/>
        <v>O-175</v>
      </c>
      <c r="B180" s="301" t="s">
        <v>209</v>
      </c>
      <c r="C180" s="205" t="str">
        <f t="array" ref="C180">IF(B180:B1408="", "", XLOOKUP(B180:B1408, 'Equipment Registry'!$A$2:$A$154, 'Equipment Registry'!$B$2:$B$154, "Not Found"))</f>
        <v>Clinker Cooler Drive L#2 ( Tank )</v>
      </c>
      <c r="D180" s="302" t="str">
        <f t="array" ref="D180">IF(B180:B1408="", "", XLOOKUP(B180:B1408, 'Equipment Registry'!$A$2:$A$154, 'Equipment Registry'!$E$2:$E$154, "Not Found"))</f>
        <v>MOBIL DTE 25</v>
      </c>
      <c r="E180" s="303">
        <v>46138.0</v>
      </c>
      <c r="F180" s="304">
        <v>46082.0</v>
      </c>
      <c r="G180" s="305" t="s">
        <v>99</v>
      </c>
      <c r="H180" s="306"/>
      <c r="I180" s="302"/>
      <c r="J180" s="307" t="s">
        <v>1000</v>
      </c>
      <c r="K180" s="313"/>
      <c r="L180" s="309" t="s">
        <v>1002</v>
      </c>
      <c r="M180" s="316"/>
      <c r="N180" s="200" t="s">
        <v>1188</v>
      </c>
      <c r="O180" s="311" t="s">
        <v>1189</v>
      </c>
      <c r="P180" s="200" t="s">
        <v>1190</v>
      </c>
      <c r="Q180" s="200"/>
      <c r="R180" s="58"/>
      <c r="S180" s="58"/>
      <c r="T180" s="58"/>
      <c r="U180" s="58"/>
      <c r="V180" s="58"/>
      <c r="W180" s="58"/>
      <c r="X180" s="58"/>
      <c r="Y180" s="58"/>
      <c r="Z180" s="58"/>
      <c r="AA180" s="58"/>
      <c r="AB180" s="58"/>
      <c r="AC180" s="58"/>
    </row>
    <row r="181">
      <c r="A181" s="300" t="str">
        <f t="shared" si="2"/>
        <v>O-176</v>
      </c>
      <c r="B181" s="301" t="s">
        <v>210</v>
      </c>
      <c r="C181" s="205" t="str">
        <f t="array" ref="C181">IF(B181:B1408="", "", XLOOKUP(B181:B1408, 'Equipment Registry'!$A$2:$A$154, 'Equipment Registry'!$B$2:$B$154, "Not Found"))</f>
        <v>Coal#1 - Air Compressor</v>
      </c>
      <c r="D181" s="302" t="str">
        <f t="array" ref="D181">IF(B181:B1408="", "", XLOOKUP(B181:B1408, 'Equipment Registry'!$A$2:$A$154, 'Equipment Registry'!$E$2:$E$154, "Not Found"))</f>
        <v>MOBIL SHC RARUS 68</v>
      </c>
      <c r="E181" s="303">
        <v>46138.0</v>
      </c>
      <c r="F181" s="304">
        <v>46113.0</v>
      </c>
      <c r="G181" s="305" t="s">
        <v>98</v>
      </c>
      <c r="H181" s="306"/>
      <c r="I181" s="302"/>
      <c r="J181" s="307" t="s">
        <v>1000</v>
      </c>
      <c r="K181" s="313"/>
      <c r="L181" s="319"/>
      <c r="M181" s="316"/>
      <c r="N181" s="205"/>
      <c r="O181" s="311"/>
      <c r="P181" s="200"/>
      <c r="Q181" s="200"/>
      <c r="R181" s="58"/>
      <c r="S181" s="58"/>
      <c r="T181" s="58"/>
      <c r="U181" s="58"/>
      <c r="V181" s="58"/>
      <c r="W181" s="58"/>
      <c r="X181" s="58"/>
      <c r="Y181" s="58"/>
      <c r="Z181" s="58"/>
      <c r="AA181" s="58"/>
      <c r="AB181" s="58"/>
      <c r="AC181" s="58"/>
    </row>
    <row r="182">
      <c r="A182" s="300" t="str">
        <f t="shared" si="2"/>
        <v>O-177</v>
      </c>
      <c r="B182" s="301" t="s">
        <v>213</v>
      </c>
      <c r="C182" s="205" t="str">
        <f t="array" ref="C182">IF(B182:B1408="", "", XLOOKUP(B182:B1408, 'Equipment Registry'!$A$2:$A$154, 'Equipment Registry'!$B$2:$B$154, "Not Found"))</f>
        <v>Coal Mill 1 Hyd. tensioning sys.</v>
      </c>
      <c r="D182" s="302" t="str">
        <f t="array" ref="D182">IF(B182:B1408="", "", XLOOKUP(B182:B1408, 'Equipment Registry'!$A$2:$A$154, 'Equipment Registry'!$E$2:$E$154, "Not Found"))</f>
        <v>MOBIL DTE 25</v>
      </c>
      <c r="E182" s="303">
        <v>46138.0</v>
      </c>
      <c r="F182" s="304">
        <v>46113.0</v>
      </c>
      <c r="G182" s="305" t="s">
        <v>96</v>
      </c>
      <c r="H182" s="306" t="s">
        <v>1191</v>
      </c>
      <c r="I182" s="302"/>
      <c r="J182" s="307" t="s">
        <v>1135</v>
      </c>
      <c r="K182" s="308" t="s">
        <v>1192</v>
      </c>
      <c r="L182" s="309" t="s">
        <v>1002</v>
      </c>
      <c r="M182" s="316"/>
      <c r="N182" s="200" t="s">
        <v>1111</v>
      </c>
      <c r="O182" s="311" t="s">
        <v>1193</v>
      </c>
      <c r="P182" s="200" t="s">
        <v>1194</v>
      </c>
      <c r="Q182" s="200"/>
      <c r="R182" s="58"/>
      <c r="S182" s="58"/>
      <c r="T182" s="58"/>
      <c r="U182" s="58"/>
      <c r="V182" s="58"/>
      <c r="W182" s="58"/>
      <c r="X182" s="58"/>
      <c r="Y182" s="58"/>
      <c r="Z182" s="58"/>
      <c r="AA182" s="58"/>
      <c r="AB182" s="58"/>
      <c r="AC182" s="58"/>
    </row>
    <row r="183">
      <c r="A183" s="300" t="str">
        <f t="shared" si="2"/>
        <v>O-178</v>
      </c>
      <c r="B183" s="301" t="s">
        <v>214</v>
      </c>
      <c r="C183" s="205" t="str">
        <f t="array" ref="C183">IF(B183:B1408="", "", XLOOKUP(B183:B1408, 'Equipment Registry'!$A$2:$A$154, 'Equipment Registry'!$B$2:$B$154, "Not Found"))</f>
        <v>Coal Mill 1 Roller Lub. Unit (Tank)</v>
      </c>
      <c r="D183" s="302" t="str">
        <f t="array" ref="D183">IF(B183:B1408="", "", XLOOKUP(B183:B1408, 'Equipment Registry'!$A$2:$A$154, 'Equipment Registry'!$E$2:$E$154, "Not Found"))</f>
        <v>MOBIL SHC 639</v>
      </c>
      <c r="E183" s="303">
        <v>46138.0</v>
      </c>
      <c r="F183" s="304">
        <v>46113.0</v>
      </c>
      <c r="G183" s="305" t="s">
        <v>97</v>
      </c>
      <c r="H183" s="306"/>
      <c r="I183" s="317">
        <v>46113.0</v>
      </c>
      <c r="J183" s="307" t="s">
        <v>1141</v>
      </c>
      <c r="K183" s="308" t="s">
        <v>1195</v>
      </c>
      <c r="L183" s="309" t="s">
        <v>1002</v>
      </c>
      <c r="M183" s="316"/>
      <c r="N183" s="200" t="s">
        <v>1117</v>
      </c>
      <c r="O183" s="311" t="s">
        <v>1145</v>
      </c>
      <c r="P183" s="200" t="s">
        <v>1196</v>
      </c>
      <c r="Q183" s="200"/>
      <c r="R183" s="58"/>
      <c r="S183" s="58"/>
      <c r="T183" s="58"/>
      <c r="U183" s="58"/>
      <c r="V183" s="58"/>
      <c r="W183" s="58"/>
      <c r="X183" s="58"/>
      <c r="Y183" s="58"/>
      <c r="Z183" s="58"/>
      <c r="AA183" s="58"/>
      <c r="AB183" s="58"/>
      <c r="AC183" s="58"/>
    </row>
    <row r="184">
      <c r="A184" s="300" t="str">
        <f t="shared" si="2"/>
        <v>O-179</v>
      </c>
      <c r="B184" s="301" t="s">
        <v>215</v>
      </c>
      <c r="C184" s="205" t="str">
        <f t="array" ref="C184">IF(B184:B1408="", "", XLOOKUP(B184:B1408, 'Equipment Registry'!$A$2:$A$154, 'Equipment Registry'!$B$2:$B$154, "Not Found"))</f>
        <v>Coal Mill 1 Gear box</v>
      </c>
      <c r="D184" s="302" t="str">
        <f t="array" ref="D184">IF(B184:B1408="", "", XLOOKUP(B184:B1408, 'Equipment Registry'!$A$2:$A$154, 'Equipment Registry'!$E$2:$E$154, "Not Found"))</f>
        <v>MOBILGEAR 600 XP 320</v>
      </c>
      <c r="E184" s="303">
        <v>46138.0</v>
      </c>
      <c r="F184" s="304">
        <v>46113.0</v>
      </c>
      <c r="G184" s="305" t="s">
        <v>98</v>
      </c>
      <c r="H184" s="306"/>
      <c r="I184" s="302"/>
      <c r="J184" s="307" t="s">
        <v>1000</v>
      </c>
      <c r="K184" s="308" t="s">
        <v>1138</v>
      </c>
      <c r="L184" s="319"/>
      <c r="M184" s="316"/>
      <c r="N184" s="200" t="s">
        <v>1121</v>
      </c>
      <c r="O184" s="311"/>
      <c r="P184" s="200"/>
      <c r="Q184" s="200"/>
      <c r="R184" s="58"/>
      <c r="S184" s="58"/>
      <c r="T184" s="58"/>
      <c r="U184" s="58"/>
      <c r="V184" s="58"/>
      <c r="W184" s="58"/>
      <c r="X184" s="58"/>
      <c r="Y184" s="58"/>
      <c r="Z184" s="58"/>
      <c r="AA184" s="58"/>
      <c r="AB184" s="58"/>
      <c r="AC184" s="58"/>
    </row>
    <row r="185">
      <c r="A185" s="300" t="str">
        <f t="shared" si="2"/>
        <v>O-180</v>
      </c>
      <c r="B185" s="301" t="s">
        <v>216</v>
      </c>
      <c r="C185" s="205" t="str">
        <f t="array" ref="C185">IF(B185:B1408="", "", XLOOKUP(B185:B1408, 'Equipment Registry'!$A$2:$A$154, 'Equipment Registry'!$B$2:$B$154, "Not Found"))</f>
        <v>Coal Mill#1 Separator Gear Box</v>
      </c>
      <c r="D185" s="302" t="str">
        <f t="array" ref="D185">IF(B185:B1408="", "", XLOOKUP(B185:B1408, 'Equipment Registry'!$A$2:$A$154, 'Equipment Registry'!$E$2:$E$154, "Not Found"))</f>
        <v>MOBILGEAR 600 XP 320</v>
      </c>
      <c r="E185" s="303">
        <v>46138.0</v>
      </c>
      <c r="F185" s="304">
        <v>45931.0</v>
      </c>
      <c r="G185" s="305" t="s">
        <v>1139</v>
      </c>
      <c r="H185" s="306"/>
      <c r="I185" s="317">
        <v>46113.0</v>
      </c>
      <c r="J185" s="307" t="s">
        <v>1000</v>
      </c>
      <c r="K185" s="308" t="s">
        <v>106</v>
      </c>
      <c r="L185" s="319"/>
      <c r="M185" s="316"/>
      <c r="N185" s="200" t="s">
        <v>1089</v>
      </c>
      <c r="O185" s="311"/>
      <c r="P185" s="200"/>
      <c r="Q185" s="200"/>
      <c r="R185" s="58"/>
      <c r="S185" s="58"/>
      <c r="T185" s="58"/>
      <c r="U185" s="58"/>
      <c r="V185" s="58"/>
      <c r="W185" s="58"/>
      <c r="X185" s="58"/>
      <c r="Y185" s="58"/>
      <c r="Z185" s="58"/>
      <c r="AA185" s="58"/>
      <c r="AB185" s="58"/>
      <c r="AC185" s="58"/>
    </row>
    <row r="186">
      <c r="A186" s="300" t="str">
        <f t="shared" si="2"/>
        <v>O-181</v>
      </c>
      <c r="B186" s="301" t="s">
        <v>217</v>
      </c>
      <c r="C186" s="205" t="str">
        <f t="array" ref="C186">IF(B186:B1408="", "", XLOOKUP(B186:B1408, 'Equipment Registry'!$A$2:$A$154, 'Equipment Registry'!$B$2:$B$154, "Not Found"))</f>
        <v>Coal#1 - Air Compressor</v>
      </c>
      <c r="D186" s="302" t="str">
        <f t="array" ref="D186">IF(B186:B1408="", "", XLOOKUP(B186:B1408, 'Equipment Registry'!$A$2:$A$154, 'Equipment Registry'!$E$2:$E$154, "Not Found"))</f>
        <v>MOBIL SHC RARUS 68</v>
      </c>
      <c r="E186" s="303">
        <v>46138.0</v>
      </c>
      <c r="F186" s="304">
        <v>46082.0</v>
      </c>
      <c r="G186" s="305" t="s">
        <v>1139</v>
      </c>
      <c r="H186" s="306"/>
      <c r="I186" s="317">
        <v>46113.0</v>
      </c>
      <c r="J186" s="307" t="s">
        <v>1000</v>
      </c>
      <c r="K186" s="308" t="s">
        <v>106</v>
      </c>
      <c r="L186" s="319"/>
      <c r="M186" s="316"/>
      <c r="N186" s="200" t="s">
        <v>1126</v>
      </c>
      <c r="O186" s="311"/>
      <c r="P186" s="200"/>
      <c r="Q186" s="200"/>
      <c r="R186" s="58"/>
      <c r="S186" s="58"/>
      <c r="T186" s="58"/>
      <c r="U186" s="58"/>
      <c r="V186" s="58"/>
      <c r="W186" s="58"/>
      <c r="X186" s="58"/>
      <c r="Y186" s="58"/>
      <c r="Z186" s="58"/>
      <c r="AA186" s="58"/>
      <c r="AB186" s="58"/>
      <c r="AC186" s="58"/>
    </row>
    <row r="187">
      <c r="A187" s="300" t="str">
        <f t="shared" si="2"/>
        <v>O-182</v>
      </c>
      <c r="B187" s="301" t="s">
        <v>218</v>
      </c>
      <c r="C187" s="205" t="str">
        <f t="array" ref="C187">IF(B187:B1408="", "", XLOOKUP(B187:B1408, 'Equipment Registry'!$A$2:$A$154, 'Equipment Registry'!$B$2:$B$154, "Not Found"))</f>
        <v>Coal#1 - Air Compressor</v>
      </c>
      <c r="D187" s="302" t="str">
        <f t="array" ref="D187">IF(B187:B1408="", "", XLOOKUP(B187:B1408, 'Equipment Registry'!$A$2:$A$154, 'Equipment Registry'!$E$2:$E$154, "Not Found"))</f>
        <v>MOBIL SHC RARUS 68</v>
      </c>
      <c r="E187" s="303">
        <v>46138.0</v>
      </c>
      <c r="F187" s="304">
        <v>46082.0</v>
      </c>
      <c r="G187" s="305" t="s">
        <v>98</v>
      </c>
      <c r="H187" s="306"/>
      <c r="I187" s="302"/>
      <c r="J187" s="307" t="s">
        <v>1000</v>
      </c>
      <c r="K187" s="308" t="s">
        <v>1197</v>
      </c>
      <c r="L187" s="319"/>
      <c r="M187" s="316"/>
      <c r="N187" s="200" t="s">
        <v>1128</v>
      </c>
      <c r="O187" s="311"/>
      <c r="P187" s="200"/>
      <c r="Q187" s="200"/>
      <c r="R187" s="58"/>
      <c r="S187" s="58"/>
      <c r="T187" s="58"/>
      <c r="U187" s="58"/>
      <c r="V187" s="58"/>
      <c r="W187" s="58"/>
      <c r="X187" s="58"/>
      <c r="Y187" s="58"/>
      <c r="Z187" s="58"/>
      <c r="AA187" s="58"/>
      <c r="AB187" s="58"/>
      <c r="AC187" s="58"/>
    </row>
    <row r="188">
      <c r="A188" s="300" t="str">
        <f t="shared" si="2"/>
        <v>O-183</v>
      </c>
      <c r="B188" s="301" t="s">
        <v>220</v>
      </c>
      <c r="C188" s="205" t="str">
        <f t="array" ref="C188">IF(B188:B1408="", "", XLOOKUP(B188:B1408, 'Equipment Registry'!$A$2:$A$154, 'Equipment Registry'!$B$2:$B$154, "Not Found"))</f>
        <v>Coal Mill 2 Hyd. tensioning sys.</v>
      </c>
      <c r="D188" s="302" t="str">
        <f t="array" ref="D188">IF(B188:B1408="", "", XLOOKUP(B188:B1408, 'Equipment Registry'!$A$2:$A$154, 'Equipment Registry'!$E$2:$E$154, "Not Found"))</f>
        <v>MOBIL DTE 25</v>
      </c>
      <c r="E188" s="303">
        <v>46138.0</v>
      </c>
      <c r="F188" s="304">
        <v>46113.0</v>
      </c>
      <c r="G188" s="305" t="s">
        <v>98</v>
      </c>
      <c r="H188" s="306"/>
      <c r="I188" s="302"/>
      <c r="J188" s="307" t="s">
        <v>1000</v>
      </c>
      <c r="K188" s="313"/>
      <c r="L188" s="319"/>
      <c r="M188" s="316"/>
      <c r="N188" s="205"/>
      <c r="O188" s="311"/>
      <c r="P188" s="200"/>
      <c r="Q188" s="200"/>
      <c r="R188" s="58"/>
      <c r="S188" s="58"/>
      <c r="T188" s="58"/>
      <c r="U188" s="58"/>
      <c r="V188" s="58"/>
      <c r="W188" s="58"/>
      <c r="X188" s="58"/>
      <c r="Y188" s="58"/>
      <c r="Z188" s="58"/>
      <c r="AA188" s="58"/>
      <c r="AB188" s="58"/>
      <c r="AC188" s="58"/>
    </row>
    <row r="189">
      <c r="A189" s="300" t="str">
        <f t="shared" si="2"/>
        <v>O-184</v>
      </c>
      <c r="B189" s="301" t="s">
        <v>221</v>
      </c>
      <c r="C189" s="205" t="str">
        <f t="array" ref="C189">IF(B189:B1408="", "", XLOOKUP(B189:B1408, 'Equipment Registry'!$A$2:$A$154, 'Equipment Registry'!$B$2:$B$154, "Not Found"))</f>
        <v>Coal Mill 2 Roller Lub. Unit (Tank)</v>
      </c>
      <c r="D189" s="302" t="str">
        <f t="array" ref="D189">IF(B189:B1408="", "", XLOOKUP(B189:B1408, 'Equipment Registry'!$A$2:$A$154, 'Equipment Registry'!$E$2:$E$154, "Not Found"))</f>
        <v>MOBIL SHC 639</v>
      </c>
      <c r="E189" s="303">
        <v>46138.0</v>
      </c>
      <c r="F189" s="304">
        <v>46113.0</v>
      </c>
      <c r="G189" s="305" t="s">
        <v>97</v>
      </c>
      <c r="H189" s="306" t="s">
        <v>1198</v>
      </c>
      <c r="I189" s="302"/>
      <c r="J189" s="307" t="s">
        <v>1135</v>
      </c>
      <c r="K189" s="308" t="s">
        <v>1136</v>
      </c>
      <c r="L189" s="309" t="s">
        <v>1002</v>
      </c>
      <c r="M189" s="316"/>
      <c r="N189" s="205"/>
      <c r="O189" s="311" t="s">
        <v>1199</v>
      </c>
      <c r="P189" s="200" t="s">
        <v>1200</v>
      </c>
      <c r="Q189" s="200"/>
      <c r="R189" s="58"/>
      <c r="S189" s="58"/>
      <c r="T189" s="58"/>
      <c r="U189" s="58"/>
      <c r="V189" s="58"/>
      <c r="W189" s="58"/>
      <c r="X189" s="58"/>
      <c r="Y189" s="58"/>
      <c r="Z189" s="58"/>
      <c r="AA189" s="58"/>
      <c r="AB189" s="58"/>
      <c r="AC189" s="58"/>
    </row>
    <row r="190">
      <c r="A190" s="300" t="str">
        <f t="shared" si="2"/>
        <v>O-185</v>
      </c>
      <c r="B190" s="301" t="s">
        <v>222</v>
      </c>
      <c r="C190" s="205" t="str">
        <f t="array" ref="C190">IF(B190:B1408="", "", XLOOKUP(B190:B1408, 'Equipment Registry'!$A$2:$A$154, 'Equipment Registry'!$B$2:$B$154, "Not Found"))</f>
        <v>Coal Mill 2 (T)</v>
      </c>
      <c r="D190" s="302" t="str">
        <f t="array" ref="D190">IF(B190:B1408="", "", XLOOKUP(B190:B1408, 'Equipment Registry'!$A$2:$A$154, 'Equipment Registry'!$E$2:$E$154, "Not Found"))</f>
        <v>MOBILGEAR 600 XP 320</v>
      </c>
      <c r="E190" s="303">
        <v>46138.0</v>
      </c>
      <c r="F190" s="304">
        <v>46113.0</v>
      </c>
      <c r="G190" s="305" t="s">
        <v>98</v>
      </c>
      <c r="H190" s="306"/>
      <c r="I190" s="302"/>
      <c r="J190" s="307" t="s">
        <v>1141</v>
      </c>
      <c r="K190" s="308" t="s">
        <v>1183</v>
      </c>
      <c r="L190" s="309" t="s">
        <v>1002</v>
      </c>
      <c r="M190" s="316"/>
      <c r="N190" s="200" t="s">
        <v>1129</v>
      </c>
      <c r="O190" s="311"/>
      <c r="P190" s="200"/>
      <c r="Q190" s="200"/>
      <c r="R190" s="58"/>
      <c r="S190" s="58"/>
      <c r="T190" s="58"/>
      <c r="U190" s="58"/>
      <c r="V190" s="58"/>
      <c r="W190" s="58"/>
      <c r="X190" s="58"/>
      <c r="Y190" s="58"/>
      <c r="Z190" s="58"/>
      <c r="AA190" s="58"/>
      <c r="AB190" s="58"/>
      <c r="AC190" s="58"/>
    </row>
    <row r="191">
      <c r="A191" s="300" t="str">
        <f t="shared" si="2"/>
        <v>O-186</v>
      </c>
      <c r="B191" s="301" t="s">
        <v>223</v>
      </c>
      <c r="C191" s="205" t="str">
        <f t="array" ref="C191">IF(B191:B1408="", "", XLOOKUP(B191:B1408, 'Equipment Registry'!$A$2:$A$154, 'Equipment Registry'!$B$2:$B$154, "Not Found"))</f>
        <v>Coal Mill 2 Separator Gear Box</v>
      </c>
      <c r="D191" s="302" t="str">
        <f t="array" ref="D191">IF(B191:B1408="", "", XLOOKUP(B191:B1408, 'Equipment Registry'!$A$2:$A$154, 'Equipment Registry'!$E$2:$E$154, "Not Found"))</f>
        <v>MOBIL SHC 632</v>
      </c>
      <c r="E191" s="303">
        <v>46138.0</v>
      </c>
      <c r="F191" s="304">
        <v>46113.0</v>
      </c>
      <c r="G191" s="305" t="s">
        <v>97</v>
      </c>
      <c r="H191" s="306" t="s">
        <v>1201</v>
      </c>
      <c r="I191" s="302"/>
      <c r="J191" s="307" t="s">
        <v>1080</v>
      </c>
      <c r="K191" s="308" t="s">
        <v>1089</v>
      </c>
      <c r="L191" s="309" t="s">
        <v>1002</v>
      </c>
      <c r="M191" s="316"/>
      <c r="N191" s="200" t="s">
        <v>1130</v>
      </c>
      <c r="O191" s="311" t="s">
        <v>1042</v>
      </c>
      <c r="P191" s="200" t="s">
        <v>1089</v>
      </c>
      <c r="Q191" s="200"/>
      <c r="R191" s="58"/>
      <c r="S191" s="58"/>
      <c r="T191" s="58"/>
      <c r="U191" s="58"/>
      <c r="V191" s="58"/>
      <c r="W191" s="58"/>
      <c r="X191" s="58"/>
      <c r="Y191" s="58"/>
      <c r="Z191" s="58"/>
      <c r="AA191" s="58"/>
      <c r="AB191" s="58"/>
      <c r="AC191" s="58"/>
    </row>
    <row r="192">
      <c r="A192" s="300" t="str">
        <f t="shared" si="2"/>
        <v>O-187</v>
      </c>
      <c r="B192" s="301" t="s">
        <v>226</v>
      </c>
      <c r="C192" s="205" t="str">
        <f t="array" ref="C192">IF(B192:B1408="", "", XLOOKUP(B192:B1408, 'Equipment Registry'!$A$2:$A$154, 'Equipment Registry'!$B$2:$B$154, "Not Found"))</f>
        <v>Pan Conv. #2 Main drive gearbox</v>
      </c>
      <c r="D192" s="302" t="str">
        <f t="array" ref="D192">IF(B192:B1408="", "", XLOOKUP(B192:B1408, 'Equipment Registry'!$A$2:$A$154, 'Equipment Registry'!$E$2:$E$154, "Not Found"))</f>
        <v>MOBIL SHC 630</v>
      </c>
      <c r="E192" s="303">
        <v>46138.0</v>
      </c>
      <c r="F192" s="304">
        <v>46113.0</v>
      </c>
      <c r="G192" s="305" t="s">
        <v>96</v>
      </c>
      <c r="H192" s="306" t="s">
        <v>1147</v>
      </c>
      <c r="I192" s="302"/>
      <c r="J192" s="307" t="s">
        <v>1141</v>
      </c>
      <c r="K192" s="308" t="s">
        <v>1057</v>
      </c>
      <c r="L192" s="309" t="s">
        <v>1002</v>
      </c>
      <c r="M192" s="316"/>
      <c r="N192" s="200" t="s">
        <v>1075</v>
      </c>
      <c r="O192" s="311" t="s">
        <v>1085</v>
      </c>
      <c r="P192" s="200" t="s">
        <v>1202</v>
      </c>
      <c r="Q192" s="200"/>
      <c r="R192" s="58"/>
      <c r="S192" s="58"/>
      <c r="T192" s="58"/>
      <c r="U192" s="58"/>
      <c r="V192" s="58"/>
      <c r="W192" s="58"/>
      <c r="X192" s="58"/>
      <c r="Y192" s="58"/>
      <c r="Z192" s="58"/>
      <c r="AA192" s="58"/>
      <c r="AB192" s="58"/>
      <c r="AC192" s="58"/>
    </row>
    <row r="193">
      <c r="A193" s="300" t="str">
        <f t="shared" si="2"/>
        <v>O-188</v>
      </c>
      <c r="B193" s="301" t="s">
        <v>230</v>
      </c>
      <c r="C193" s="205" t="str">
        <f t="array" ref="C193">IF(B193:B1408="", "", XLOOKUP(B193:B1408, 'Equipment Registry'!$A$2:$A$154, 'Equipment Registry'!$B$2:$B$154, "Not Found"))</f>
        <v>Bucket Elevator BM#1 GB.</v>
      </c>
      <c r="D193" s="302" t="str">
        <f t="array" ref="D193">IF(B193:B1408="", "", XLOOKUP(B193:B1408, 'Equipment Registry'!$A$2:$A$154, 'Equipment Registry'!$E$2:$E$154, "Not Found"))</f>
        <v>MOBILGEAR 600 XP 320</v>
      </c>
      <c r="E193" s="303">
        <v>46138.0</v>
      </c>
      <c r="F193" s="304">
        <v>46113.0</v>
      </c>
      <c r="G193" s="305" t="s">
        <v>96</v>
      </c>
      <c r="H193" s="306"/>
      <c r="I193" s="302"/>
      <c r="J193" s="307" t="s">
        <v>1141</v>
      </c>
      <c r="K193" s="308" t="s">
        <v>1203</v>
      </c>
      <c r="L193" s="309" t="s">
        <v>1159</v>
      </c>
      <c r="M193" s="316"/>
      <c r="N193" s="205"/>
      <c r="O193" s="311" t="s">
        <v>1085</v>
      </c>
      <c r="P193" s="200"/>
      <c r="Q193" s="200"/>
      <c r="R193" s="58"/>
      <c r="S193" s="58"/>
      <c r="T193" s="58"/>
      <c r="U193" s="58"/>
      <c r="V193" s="58"/>
      <c r="W193" s="58"/>
      <c r="X193" s="58"/>
      <c r="Y193" s="58"/>
      <c r="Z193" s="58"/>
      <c r="AA193" s="58"/>
      <c r="AB193" s="58"/>
      <c r="AC193" s="58"/>
    </row>
    <row r="194">
      <c r="A194" s="300" t="str">
        <f t="shared" si="2"/>
        <v>O-189</v>
      </c>
      <c r="B194" s="301" t="s">
        <v>231</v>
      </c>
      <c r="C194" s="205" t="str">
        <f t="array" ref="C194">IF(B194:B1408="", "", XLOOKUP(B194:B1408, 'Equipment Registry'!$A$2:$A$154, 'Equipment Registry'!$B$2:$B$154, "Not Found"))</f>
        <v>Cement Mill Inlet Slide Shoe Bearing LUB.</v>
      </c>
      <c r="D194" s="302" t="str">
        <f t="array" ref="D194">IF(B194:B1408="", "", XLOOKUP(B194:B1408, 'Equipment Registry'!$A$2:$A$154, 'Equipment Registry'!$E$2:$E$154, "Not Found"))</f>
        <v>MOBILGEAR 600 XP 460</v>
      </c>
      <c r="E194" s="303">
        <v>46138.0</v>
      </c>
      <c r="F194" s="304">
        <v>46113.0</v>
      </c>
      <c r="G194" s="305" t="s">
        <v>97</v>
      </c>
      <c r="H194" s="306"/>
      <c r="I194" s="302"/>
      <c r="J194" s="307" t="s">
        <v>1080</v>
      </c>
      <c r="K194" s="308" t="s">
        <v>1204</v>
      </c>
      <c r="L194" s="309" t="s">
        <v>1159</v>
      </c>
      <c r="M194" s="316"/>
      <c r="N194" s="205"/>
      <c r="O194" s="311" t="s">
        <v>1003</v>
      </c>
      <c r="P194" s="200"/>
      <c r="Q194" s="200"/>
      <c r="R194" s="58"/>
      <c r="S194" s="58"/>
      <c r="T194" s="58"/>
      <c r="U194" s="58"/>
      <c r="V194" s="58"/>
      <c r="W194" s="58"/>
      <c r="X194" s="58"/>
      <c r="Y194" s="58"/>
      <c r="Z194" s="58"/>
      <c r="AA194" s="58"/>
      <c r="AB194" s="58"/>
      <c r="AC194" s="58"/>
    </row>
    <row r="195">
      <c r="A195" s="300" t="str">
        <f t="shared" si="2"/>
        <v>O-190</v>
      </c>
      <c r="B195" s="301" t="s">
        <v>232</v>
      </c>
      <c r="C195" s="205" t="str">
        <f t="array" ref="C195">IF(B195:B1408="", "", XLOOKUP(B195:B1408, 'Equipment Registry'!$A$2:$A$154, 'Equipment Registry'!$B$2:$B$154, "Not Found"))</f>
        <v>Cement Mill Outlet Slide Shoe Bearing LUB.</v>
      </c>
      <c r="D195" s="302" t="str">
        <f t="array" ref="D195">IF(B195:B1408="", "", XLOOKUP(B195:B1408, 'Equipment Registry'!$A$2:$A$154, 'Equipment Registry'!$E$2:$E$154, "Not Found"))</f>
        <v>MOBILGEAR 600 XP 460</v>
      </c>
      <c r="E195" s="303">
        <v>46138.0</v>
      </c>
      <c r="F195" s="304">
        <v>46113.0</v>
      </c>
      <c r="G195" s="305" t="s">
        <v>97</v>
      </c>
      <c r="H195" s="306"/>
      <c r="I195" s="302"/>
      <c r="J195" s="307" t="s">
        <v>1080</v>
      </c>
      <c r="K195" s="308" t="s">
        <v>1204</v>
      </c>
      <c r="L195" s="309" t="s">
        <v>1159</v>
      </c>
      <c r="M195" s="316"/>
      <c r="N195" s="205"/>
      <c r="O195" s="311" t="s">
        <v>1003</v>
      </c>
      <c r="P195" s="200"/>
      <c r="Q195" s="200"/>
      <c r="R195" s="58"/>
      <c r="S195" s="58"/>
      <c r="T195" s="58"/>
      <c r="U195" s="58"/>
      <c r="V195" s="58"/>
      <c r="W195" s="58"/>
      <c r="X195" s="58"/>
      <c r="Y195" s="58"/>
      <c r="Z195" s="58"/>
      <c r="AA195" s="58"/>
      <c r="AB195" s="58"/>
      <c r="AC195" s="58"/>
    </row>
    <row r="196">
      <c r="A196" s="300" t="str">
        <f t="shared" si="2"/>
        <v>O-191</v>
      </c>
      <c r="B196" s="301" t="s">
        <v>233</v>
      </c>
      <c r="C196" s="205" t="str">
        <f t="array" ref="C196">IF(B196:B1408="", "", XLOOKUP(B196:B1408, 'Equipment Registry'!$A$2:$A$154, 'Equipment Registry'!$B$2:$B$154, "Not Found"))</f>
        <v>Cement Mill #1 Gear box</v>
      </c>
      <c r="D196" s="302" t="str">
        <f t="array" ref="D196">IF(B196:B1408="", "", XLOOKUP(B196:B1408, 'Equipment Registry'!$A$2:$A$154, 'Equipment Registry'!$E$2:$E$154, "Not Found"))</f>
        <v>MOBILGEAR 600 XP 460</v>
      </c>
      <c r="E196" s="303">
        <v>46138.0</v>
      </c>
      <c r="F196" s="304">
        <v>46113.0</v>
      </c>
      <c r="G196" s="305" t="s">
        <v>97</v>
      </c>
      <c r="H196" s="306"/>
      <c r="I196" s="302"/>
      <c r="J196" s="307" t="s">
        <v>1080</v>
      </c>
      <c r="K196" s="308" t="s">
        <v>1204</v>
      </c>
      <c r="L196" s="309" t="s">
        <v>1159</v>
      </c>
      <c r="M196" s="316"/>
      <c r="N196" s="205"/>
      <c r="O196" s="311" t="s">
        <v>1003</v>
      </c>
      <c r="P196" s="200"/>
      <c r="Q196" s="200"/>
      <c r="R196" s="58"/>
      <c r="S196" s="58"/>
      <c r="T196" s="58"/>
      <c r="U196" s="58"/>
      <c r="V196" s="58"/>
      <c r="W196" s="58"/>
      <c r="X196" s="58"/>
      <c r="Y196" s="58"/>
      <c r="Z196" s="58"/>
      <c r="AA196" s="58"/>
      <c r="AB196" s="58"/>
      <c r="AC196" s="58"/>
    </row>
    <row r="197">
      <c r="A197" s="300" t="str">
        <f t="shared" si="2"/>
        <v>O-192</v>
      </c>
      <c r="B197" s="301" t="s">
        <v>236</v>
      </c>
      <c r="C197" s="205" t="str">
        <f t="array" ref="C197">IF(B197:B1408="", "", XLOOKUP(B197:B1408, 'Equipment Registry'!$A$2:$A$154, 'Equipment Registry'!$B$2:$B$154, "Not Found"))</f>
        <v>Cement Mill #1 Separator GB</v>
      </c>
      <c r="D197" s="302" t="str">
        <f t="array" ref="D197">IF(B197:B1408="", "", XLOOKUP(B197:B1408, 'Equipment Registry'!$A$2:$A$154, 'Equipment Registry'!$E$2:$E$154, "Not Found"))</f>
        <v>MOBIL SHC 632</v>
      </c>
      <c r="E197" s="303">
        <v>46138.0</v>
      </c>
      <c r="F197" s="304">
        <v>46113.0</v>
      </c>
      <c r="G197" s="305" t="s">
        <v>97</v>
      </c>
      <c r="H197" s="306"/>
      <c r="I197" s="302"/>
      <c r="J197" s="307" t="s">
        <v>1141</v>
      </c>
      <c r="K197" s="308" t="s">
        <v>1203</v>
      </c>
      <c r="L197" s="309" t="s">
        <v>1159</v>
      </c>
      <c r="M197" s="316"/>
      <c r="N197" s="205"/>
      <c r="O197" s="311" t="s">
        <v>1085</v>
      </c>
      <c r="P197" s="200"/>
      <c r="Q197" s="200"/>
      <c r="R197" s="58"/>
      <c r="S197" s="58"/>
      <c r="T197" s="58"/>
      <c r="U197" s="58"/>
      <c r="V197" s="58"/>
      <c r="W197" s="58"/>
      <c r="X197" s="58"/>
      <c r="Y197" s="58"/>
      <c r="Z197" s="58"/>
      <c r="AA197" s="58"/>
      <c r="AB197" s="58"/>
      <c r="AC197" s="58"/>
    </row>
    <row r="198">
      <c r="A198" s="300" t="str">
        <f t="shared" si="2"/>
        <v>O-193</v>
      </c>
      <c r="B198" s="301" t="s">
        <v>237</v>
      </c>
      <c r="C198" s="205" t="str">
        <f t="array" ref="C198">IF(B198:B1408="", "", XLOOKUP(B198:B1408, 'Equipment Registry'!$A$2:$A$154, 'Equipment Registry'!$B$2:$B$154, "Not Found"))</f>
        <v>Bucket Elevator BM#2 GB.</v>
      </c>
      <c r="D198" s="302" t="str">
        <f t="array" ref="D198">IF(B198:B1408="", "", XLOOKUP(B198:B1408, 'Equipment Registry'!$A$2:$A$154, 'Equipment Registry'!$E$2:$E$154, "Not Found"))</f>
        <v>MOBILGEAR 600 XP 320</v>
      </c>
      <c r="E198" s="303">
        <v>46138.0</v>
      </c>
      <c r="F198" s="304">
        <v>46113.0</v>
      </c>
      <c r="G198" s="305" t="s">
        <v>97</v>
      </c>
      <c r="H198" s="306"/>
      <c r="I198" s="302"/>
      <c r="J198" s="307" t="s">
        <v>1080</v>
      </c>
      <c r="K198" s="308" t="s">
        <v>1204</v>
      </c>
      <c r="L198" s="309" t="s">
        <v>1159</v>
      </c>
      <c r="M198" s="316"/>
      <c r="N198" s="205"/>
      <c r="O198" s="311" t="s">
        <v>1003</v>
      </c>
      <c r="P198" s="200"/>
      <c r="Q198" s="200"/>
      <c r="R198" s="58"/>
      <c r="S198" s="58"/>
      <c r="T198" s="58"/>
      <c r="U198" s="58"/>
      <c r="V198" s="58"/>
      <c r="W198" s="58"/>
      <c r="X198" s="58"/>
      <c r="Y198" s="58"/>
      <c r="Z198" s="58"/>
      <c r="AA198" s="58"/>
      <c r="AB198" s="58"/>
      <c r="AC198" s="58"/>
    </row>
    <row r="199">
      <c r="A199" s="300" t="str">
        <f t="shared" si="2"/>
        <v>O-194</v>
      </c>
      <c r="B199" s="301" t="s">
        <v>238</v>
      </c>
      <c r="C199" s="205" t="str">
        <f t="array" ref="C199">IF(B199:B1408="", "", XLOOKUP(B199:B1408, 'Equipment Registry'!$A$2:$A$154, 'Equipment Registry'!$B$2:$B$154, "Not Found"))</f>
        <v>Cement Mill Inlet Slide Shoe Bearing LUB.</v>
      </c>
      <c r="D199" s="302" t="str">
        <f t="array" ref="D199">IF(B199:B1408="", "", XLOOKUP(B199:B1408, 'Equipment Registry'!$A$2:$A$154, 'Equipment Registry'!$E$2:$E$154, "Not Found"))</f>
        <v>MOBILGEAR 600 XP 460</v>
      </c>
      <c r="E199" s="303">
        <v>46138.0</v>
      </c>
      <c r="F199" s="304">
        <v>46113.0</v>
      </c>
      <c r="G199" s="305" t="s">
        <v>97</v>
      </c>
      <c r="H199" s="306"/>
      <c r="I199" s="302"/>
      <c r="J199" s="307" t="s">
        <v>1080</v>
      </c>
      <c r="K199" s="308" t="s">
        <v>1204</v>
      </c>
      <c r="L199" s="309" t="s">
        <v>1159</v>
      </c>
      <c r="M199" s="316"/>
      <c r="N199" s="205"/>
      <c r="O199" s="311" t="s">
        <v>1003</v>
      </c>
      <c r="P199" s="200"/>
      <c r="Q199" s="200"/>
      <c r="R199" s="58"/>
      <c r="S199" s="58"/>
      <c r="T199" s="58"/>
      <c r="U199" s="58"/>
      <c r="V199" s="58"/>
      <c r="W199" s="58"/>
      <c r="X199" s="58"/>
      <c r="Y199" s="58"/>
      <c r="Z199" s="58"/>
      <c r="AA199" s="58"/>
      <c r="AB199" s="58"/>
      <c r="AC199" s="58"/>
    </row>
    <row r="200">
      <c r="A200" s="300" t="str">
        <f t="shared" si="2"/>
        <v>O-195</v>
      </c>
      <c r="B200" s="301" t="s">
        <v>239</v>
      </c>
      <c r="C200" s="205" t="str">
        <f t="array" ref="C200">IF(B200:B1408="", "", XLOOKUP(B200:B1408, 'Equipment Registry'!$A$2:$A$154, 'Equipment Registry'!$B$2:$B$154, "Not Found"))</f>
        <v>Cement Mill Outlet Slide Shoe Bearing LUB.</v>
      </c>
      <c r="D200" s="302" t="str">
        <f t="array" ref="D200">IF(B200:B1408="", "", XLOOKUP(B200:B1408, 'Equipment Registry'!$A$2:$A$154, 'Equipment Registry'!$E$2:$E$154, "Not Found"))</f>
        <v>MOBILGEAR 600 XP 460</v>
      </c>
      <c r="E200" s="303">
        <v>46138.0</v>
      </c>
      <c r="F200" s="304">
        <v>46113.0</v>
      </c>
      <c r="G200" s="305" t="s">
        <v>97</v>
      </c>
      <c r="H200" s="306"/>
      <c r="I200" s="302"/>
      <c r="J200" s="307" t="s">
        <v>1080</v>
      </c>
      <c r="K200" s="308" t="s">
        <v>1204</v>
      </c>
      <c r="L200" s="309" t="s">
        <v>1159</v>
      </c>
      <c r="M200" s="316"/>
      <c r="N200" s="205"/>
      <c r="O200" s="311" t="s">
        <v>1003</v>
      </c>
      <c r="P200" s="200"/>
      <c r="Q200" s="200"/>
      <c r="R200" s="58"/>
      <c r="S200" s="58"/>
      <c r="T200" s="58"/>
      <c r="U200" s="58"/>
      <c r="V200" s="58"/>
      <c r="W200" s="58"/>
      <c r="X200" s="58"/>
      <c r="Y200" s="58"/>
      <c r="Z200" s="58"/>
      <c r="AA200" s="58"/>
      <c r="AB200" s="58"/>
      <c r="AC200" s="58"/>
    </row>
    <row r="201">
      <c r="A201" s="300" t="str">
        <f t="shared" si="2"/>
        <v>O-196</v>
      </c>
      <c r="B201" s="301" t="s">
        <v>240</v>
      </c>
      <c r="C201" s="205" t="str">
        <f t="array" ref="C201">IF(B201:B1408="", "", XLOOKUP(B201:B1408, 'Equipment Registry'!$A$2:$A$154, 'Equipment Registry'!$B$2:$B$154, "Not Found"))</f>
        <v>Cement Mill #2 Gear box</v>
      </c>
      <c r="D201" s="302" t="str">
        <f t="array" ref="D201">IF(B201:B1408="", "", XLOOKUP(B201:B1408, 'Equipment Registry'!$A$2:$A$154, 'Equipment Registry'!$E$2:$E$154, "Not Found"))</f>
        <v>MOBILGEAR 600 XP 460</v>
      </c>
      <c r="E201" s="303">
        <v>46138.0</v>
      </c>
      <c r="F201" s="304">
        <v>46113.0</v>
      </c>
      <c r="G201" s="305" t="s">
        <v>97</v>
      </c>
      <c r="H201" s="306"/>
      <c r="I201" s="302"/>
      <c r="J201" s="307" t="s">
        <v>1141</v>
      </c>
      <c r="K201" s="308" t="s">
        <v>1203</v>
      </c>
      <c r="L201" s="309" t="s">
        <v>1159</v>
      </c>
      <c r="M201" s="316"/>
      <c r="N201" s="205"/>
      <c r="O201" s="311" t="s">
        <v>1085</v>
      </c>
      <c r="P201" s="200"/>
      <c r="Q201" s="200"/>
      <c r="R201" s="58"/>
      <c r="S201" s="58"/>
      <c r="T201" s="58"/>
      <c r="U201" s="58"/>
      <c r="V201" s="58"/>
      <c r="W201" s="58"/>
      <c r="X201" s="58"/>
      <c r="Y201" s="58"/>
      <c r="Z201" s="58"/>
      <c r="AA201" s="58"/>
      <c r="AB201" s="58"/>
      <c r="AC201" s="58"/>
    </row>
    <row r="202">
      <c r="A202" s="300" t="str">
        <f t="shared" si="2"/>
        <v>O-197</v>
      </c>
      <c r="B202" s="301" t="s">
        <v>242</v>
      </c>
      <c r="C202" s="205" t="str">
        <f t="array" ref="C202">IF(B202:B1408="", "", XLOOKUP(B202:B1408, 'Equipment Registry'!$A$2:$A$154, 'Equipment Registry'!$B$2:$B$154, "Not Found"))</f>
        <v>Cement Mill #2 separator Gear box</v>
      </c>
      <c r="D202" s="302" t="str">
        <f t="array" ref="D202">IF(B202:B1408="", "", XLOOKUP(B202:B1408, 'Equipment Registry'!$A$2:$A$154, 'Equipment Registry'!$E$2:$E$154, "Not Found"))</f>
        <v>MOBIL SHC 632</v>
      </c>
      <c r="E202" s="303">
        <v>46138.0</v>
      </c>
      <c r="F202" s="304">
        <v>46113.0</v>
      </c>
      <c r="G202" s="305" t="s">
        <v>96</v>
      </c>
      <c r="H202" s="306"/>
      <c r="I202" s="302"/>
      <c r="J202" s="307" t="s">
        <v>1141</v>
      </c>
      <c r="K202" s="308" t="s">
        <v>1203</v>
      </c>
      <c r="L202" s="309" t="s">
        <v>1159</v>
      </c>
      <c r="M202" s="316"/>
      <c r="N202" s="205"/>
      <c r="O202" s="311" t="s">
        <v>1085</v>
      </c>
      <c r="P202" s="200"/>
      <c r="Q202" s="200"/>
      <c r="R202" s="58"/>
      <c r="S202" s="58"/>
      <c r="T202" s="58"/>
      <c r="U202" s="58"/>
      <c r="V202" s="58"/>
      <c r="W202" s="58"/>
      <c r="X202" s="58"/>
      <c r="Y202" s="58"/>
      <c r="Z202" s="58"/>
      <c r="AA202" s="58"/>
      <c r="AB202" s="58"/>
      <c r="AC202" s="58"/>
    </row>
    <row r="203">
      <c r="A203" s="300" t="str">
        <f t="shared" si="2"/>
        <v>O-198</v>
      </c>
      <c r="B203" s="301" t="s">
        <v>244</v>
      </c>
      <c r="C203" s="205" t="str">
        <f t="array" ref="C203">IF(B203:B1408="", "", XLOOKUP(B203:B1408, 'Equipment Registry'!$A$2:$A$154, 'Equipment Registry'!$B$2:$B$154, "Not Found"))</f>
        <v>Cement Mill Inlet Slide Shoe Bearing LUB.</v>
      </c>
      <c r="D203" s="302" t="str">
        <f t="array" ref="D203">IF(B203:B1408="", "", XLOOKUP(B203:B1408, 'Equipment Registry'!$A$2:$A$154, 'Equipment Registry'!$E$2:$E$154, "Not Found"))</f>
        <v>MOBILGEAR 600 XP 460</v>
      </c>
      <c r="E203" s="303">
        <v>46138.0</v>
      </c>
      <c r="F203" s="304">
        <v>46113.0</v>
      </c>
      <c r="G203" s="305" t="s">
        <v>97</v>
      </c>
      <c r="H203" s="306"/>
      <c r="I203" s="302"/>
      <c r="J203" s="307" t="s">
        <v>1080</v>
      </c>
      <c r="K203" s="308" t="s">
        <v>1204</v>
      </c>
      <c r="L203" s="309" t="s">
        <v>1159</v>
      </c>
      <c r="M203" s="316"/>
      <c r="N203" s="205"/>
      <c r="O203" s="311" t="s">
        <v>1003</v>
      </c>
      <c r="P203" s="200"/>
      <c r="Q203" s="200"/>
      <c r="R203" s="58"/>
      <c r="S203" s="58"/>
      <c r="T203" s="58"/>
      <c r="U203" s="58"/>
      <c r="V203" s="58"/>
      <c r="W203" s="58"/>
      <c r="X203" s="58"/>
      <c r="Y203" s="58"/>
      <c r="Z203" s="58"/>
      <c r="AA203" s="58"/>
      <c r="AB203" s="58"/>
      <c r="AC203" s="58"/>
    </row>
    <row r="204">
      <c r="A204" s="300" t="str">
        <f t="shared" si="2"/>
        <v>O-199</v>
      </c>
      <c r="B204" s="301" t="s">
        <v>245</v>
      </c>
      <c r="C204" s="205" t="str">
        <f t="array" ref="C204">IF(B204:B1408="", "", XLOOKUP(B204:B1408, 'Equipment Registry'!$A$2:$A$154, 'Equipment Registry'!$B$2:$B$154, "Not Found"))</f>
        <v>Cement Mill Outlet Slide Shoe Bearing LUB.</v>
      </c>
      <c r="D204" s="302" t="str">
        <f t="array" ref="D204">IF(B204:B1408="", "", XLOOKUP(B204:B1408, 'Equipment Registry'!$A$2:$A$154, 'Equipment Registry'!$E$2:$E$154, "Not Found"))</f>
        <v>MOBILGEAR 600 XP 460</v>
      </c>
      <c r="E204" s="303">
        <v>46138.0</v>
      </c>
      <c r="F204" s="304">
        <v>46113.0</v>
      </c>
      <c r="G204" s="305" t="s">
        <v>97</v>
      </c>
      <c r="H204" s="306"/>
      <c r="I204" s="302"/>
      <c r="J204" s="307" t="s">
        <v>1080</v>
      </c>
      <c r="K204" s="308" t="s">
        <v>1204</v>
      </c>
      <c r="L204" s="309" t="s">
        <v>1159</v>
      </c>
      <c r="M204" s="316"/>
      <c r="N204" s="205"/>
      <c r="O204" s="311" t="s">
        <v>1003</v>
      </c>
      <c r="P204" s="200"/>
      <c r="Q204" s="200"/>
      <c r="R204" s="58"/>
      <c r="S204" s="58"/>
      <c r="T204" s="58"/>
      <c r="U204" s="58"/>
      <c r="V204" s="58"/>
      <c r="W204" s="58"/>
      <c r="X204" s="58"/>
      <c r="Y204" s="58"/>
      <c r="Z204" s="58"/>
      <c r="AA204" s="58"/>
      <c r="AB204" s="58"/>
      <c r="AC204" s="58"/>
    </row>
    <row r="205">
      <c r="A205" s="300" t="str">
        <f t="shared" si="2"/>
        <v>O-200</v>
      </c>
      <c r="B205" s="301" t="s">
        <v>246</v>
      </c>
      <c r="C205" s="205" t="str">
        <f t="array" ref="C205">IF(B205:B1408="", "", XLOOKUP(B205:B1408, 'Equipment Registry'!$A$2:$A$154, 'Equipment Registry'!$B$2:$B$154, "Not Found"))</f>
        <v>Cement Mill #3 Gear box</v>
      </c>
      <c r="D205" s="302" t="str">
        <f t="array" ref="D205">IF(B205:B1408="", "", XLOOKUP(B205:B1408, 'Equipment Registry'!$A$2:$A$154, 'Equipment Registry'!$E$2:$E$154, "Not Found"))</f>
        <v>MOBILGEAR 600 XP 460</v>
      </c>
      <c r="E205" s="303">
        <v>46138.0</v>
      </c>
      <c r="F205" s="304">
        <v>46113.0</v>
      </c>
      <c r="G205" s="305" t="s">
        <v>97</v>
      </c>
      <c r="H205" s="306"/>
      <c r="I205" s="302"/>
      <c r="J205" s="307" t="s">
        <v>1080</v>
      </c>
      <c r="K205" s="308" t="s">
        <v>1204</v>
      </c>
      <c r="L205" s="309" t="s">
        <v>1159</v>
      </c>
      <c r="M205" s="316"/>
      <c r="N205" s="205"/>
      <c r="O205" s="311" t="s">
        <v>1003</v>
      </c>
      <c r="P205" s="200"/>
      <c r="Q205" s="200"/>
      <c r="R205" s="58"/>
      <c r="S205" s="58"/>
      <c r="T205" s="58"/>
      <c r="U205" s="58"/>
      <c r="V205" s="58"/>
      <c r="W205" s="58"/>
      <c r="X205" s="58"/>
      <c r="Y205" s="58"/>
      <c r="Z205" s="58"/>
      <c r="AA205" s="58"/>
      <c r="AB205" s="58"/>
      <c r="AC205" s="58"/>
    </row>
    <row r="206">
      <c r="A206" s="300" t="str">
        <f t="shared" si="2"/>
        <v>O-201</v>
      </c>
      <c r="B206" s="301" t="s">
        <v>247</v>
      </c>
      <c r="C206" s="205" t="str">
        <f t="array" ref="C206">IF(B206:B1408="", "", XLOOKUP(B206:B1408, 'Equipment Registry'!$A$2:$A$154, 'Equipment Registry'!$B$2:$B$154, "Not Found"))</f>
        <v>Cement Mill #3 Separator Gear box</v>
      </c>
      <c r="D206" s="302" t="str">
        <f t="array" ref="D206">IF(B206:B1408="", "", XLOOKUP(B206:B1408, 'Equipment Registry'!$A$2:$A$154, 'Equipment Registry'!$E$2:$E$154, "Not Found"))</f>
        <v>MOBIL SHC 630</v>
      </c>
      <c r="E206" s="303">
        <v>46138.0</v>
      </c>
      <c r="F206" s="304">
        <v>46113.0</v>
      </c>
      <c r="G206" s="305" t="s">
        <v>96</v>
      </c>
      <c r="H206" s="306"/>
      <c r="I206" s="302"/>
      <c r="J206" s="307" t="s">
        <v>1141</v>
      </c>
      <c r="K206" s="308" t="s">
        <v>1203</v>
      </c>
      <c r="L206" s="309" t="s">
        <v>1159</v>
      </c>
      <c r="M206" s="316"/>
      <c r="N206" s="205"/>
      <c r="O206" s="311" t="s">
        <v>1085</v>
      </c>
      <c r="P206" s="200"/>
      <c r="Q206" s="200"/>
      <c r="R206" s="58"/>
      <c r="S206" s="58"/>
      <c r="T206" s="58"/>
      <c r="U206" s="58"/>
      <c r="V206" s="58"/>
      <c r="W206" s="58"/>
      <c r="X206" s="58"/>
      <c r="Y206" s="58"/>
      <c r="Z206" s="58"/>
      <c r="AA206" s="58"/>
      <c r="AB206" s="58"/>
      <c r="AC206" s="58"/>
    </row>
    <row r="207">
      <c r="A207" s="300" t="str">
        <f t="shared" si="2"/>
        <v>O-202</v>
      </c>
      <c r="B207" s="301" t="s">
        <v>249</v>
      </c>
      <c r="C207" s="205" t="str">
        <f t="array" ref="C207">IF(B207:B1408="", "", XLOOKUP(B207:B1408, 'Equipment Registry'!$A$2:$A$154, 'Equipment Registry'!$B$2:$B$154, "Not Found"))</f>
        <v>Cement Mill Outlet Slide Shoe Bearing LUB.</v>
      </c>
      <c r="D207" s="302" t="str">
        <f t="array" ref="D207">IF(B207:B1408="", "", XLOOKUP(B207:B1408, 'Equipment Registry'!$A$2:$A$154, 'Equipment Registry'!$E$2:$E$154, "Not Found"))</f>
        <v>MOBILGEAR 600 XP 460</v>
      </c>
      <c r="E207" s="303">
        <v>46138.0</v>
      </c>
      <c r="F207" s="304">
        <v>46113.0</v>
      </c>
      <c r="G207" s="305" t="s">
        <v>97</v>
      </c>
      <c r="H207" s="306"/>
      <c r="I207" s="302"/>
      <c r="J207" s="307" t="s">
        <v>1080</v>
      </c>
      <c r="K207" s="308" t="s">
        <v>1204</v>
      </c>
      <c r="L207" s="309" t="s">
        <v>1159</v>
      </c>
      <c r="M207" s="316"/>
      <c r="N207" s="205"/>
      <c r="O207" s="311" t="s">
        <v>1003</v>
      </c>
      <c r="P207" s="200"/>
      <c r="Q207" s="200"/>
      <c r="R207" s="58"/>
      <c r="S207" s="58"/>
      <c r="T207" s="58"/>
      <c r="U207" s="58"/>
      <c r="V207" s="58"/>
      <c r="W207" s="58"/>
      <c r="X207" s="58"/>
      <c r="Y207" s="58"/>
      <c r="Z207" s="58"/>
      <c r="AA207" s="58"/>
      <c r="AB207" s="58"/>
      <c r="AC207" s="58"/>
    </row>
    <row r="208">
      <c r="A208" s="300" t="str">
        <f t="shared" si="2"/>
        <v>O-203</v>
      </c>
      <c r="B208" s="301" t="s">
        <v>250</v>
      </c>
      <c r="C208" s="205" t="str">
        <f t="array" ref="C208">IF(B208:B1408="", "", XLOOKUP(B208:B1408, 'Equipment Registry'!$A$2:$A$154, 'Equipment Registry'!$B$2:$B$154, "Not Found"))</f>
        <v>Cement Mill Inlet Slide Shoe Bearing LUB.</v>
      </c>
      <c r="D208" s="302" t="str">
        <f t="array" ref="D208">IF(B208:B1408="", "", XLOOKUP(B208:B1408, 'Equipment Registry'!$A$2:$A$154, 'Equipment Registry'!$E$2:$E$154, "Not Found"))</f>
        <v>MOBILGEAR 600 XP 460</v>
      </c>
      <c r="E208" s="303">
        <v>46138.0</v>
      </c>
      <c r="F208" s="304">
        <v>46113.0</v>
      </c>
      <c r="G208" s="305" t="s">
        <v>97</v>
      </c>
      <c r="H208" s="306"/>
      <c r="I208" s="302"/>
      <c r="J208" s="307" t="s">
        <v>1080</v>
      </c>
      <c r="K208" s="308" t="s">
        <v>1204</v>
      </c>
      <c r="L208" s="309" t="s">
        <v>1159</v>
      </c>
      <c r="M208" s="316"/>
      <c r="N208" s="205"/>
      <c r="O208" s="311" t="s">
        <v>1003</v>
      </c>
      <c r="P208" s="200"/>
      <c r="Q208" s="200"/>
      <c r="R208" s="58"/>
      <c r="S208" s="58"/>
      <c r="T208" s="58"/>
      <c r="U208" s="58"/>
      <c r="V208" s="58"/>
      <c r="W208" s="58"/>
      <c r="X208" s="58"/>
      <c r="Y208" s="58"/>
      <c r="Z208" s="58"/>
      <c r="AA208" s="58"/>
      <c r="AB208" s="58"/>
      <c r="AC208" s="58"/>
    </row>
    <row r="209">
      <c r="A209" s="300" t="str">
        <f t="shared" si="2"/>
        <v>O-204</v>
      </c>
      <c r="B209" s="301" t="s">
        <v>251</v>
      </c>
      <c r="C209" s="205" t="str">
        <f t="array" ref="C209">IF(B209:B1408="", "", XLOOKUP(B209:B1408, 'Equipment Registry'!$A$2:$A$154, 'Equipment Registry'!$B$2:$B$154, "Not Found"))</f>
        <v>Cement Mill #4 Girth Gear</v>
      </c>
      <c r="D209" s="302" t="str">
        <f t="array" ref="D209">IF(B209:B1408="", "", XLOOKUP(B209:B1408, 'Equipment Registry'!$A$2:$A$154, 'Equipment Registry'!$E$2:$E$154, "Not Found"))</f>
        <v>MOBILGEAR 600 XP 460</v>
      </c>
      <c r="E209" s="303">
        <v>46138.0</v>
      </c>
      <c r="F209" s="304">
        <v>46113.0</v>
      </c>
      <c r="G209" s="305" t="s">
        <v>97</v>
      </c>
      <c r="H209" s="306"/>
      <c r="I209" s="302"/>
      <c r="J209" s="307" t="s">
        <v>1080</v>
      </c>
      <c r="K209" s="308" t="s">
        <v>1204</v>
      </c>
      <c r="L209" s="309" t="s">
        <v>1159</v>
      </c>
      <c r="M209" s="316"/>
      <c r="N209" s="205"/>
      <c r="O209" s="311" t="s">
        <v>1003</v>
      </c>
      <c r="P209" s="200"/>
      <c r="Q209" s="200"/>
      <c r="R209" s="58"/>
      <c r="S209" s="58"/>
      <c r="T209" s="58"/>
      <c r="U209" s="58"/>
      <c r="V209" s="58"/>
      <c r="W209" s="58"/>
      <c r="X209" s="58"/>
      <c r="Y209" s="58"/>
      <c r="Z209" s="58"/>
      <c r="AA209" s="58"/>
      <c r="AB209" s="58"/>
      <c r="AC209" s="58"/>
    </row>
    <row r="210">
      <c r="A210" s="300" t="str">
        <f t="shared" si="2"/>
        <v>O-205</v>
      </c>
      <c r="B210" s="301" t="s">
        <v>252</v>
      </c>
      <c r="C210" s="205" t="str">
        <f t="array" ref="C210">IF(B210:B1408="", "", XLOOKUP(B210:B1408, 'Equipment Registry'!$A$2:$A$154, 'Equipment Registry'!$B$2:$B$154, "Not Found"))</f>
        <v>Cement Mill #4 Gear box</v>
      </c>
      <c r="D210" s="302" t="str">
        <f t="array" ref="D210">IF(B210:B1408="", "", XLOOKUP(B210:B1408, 'Equipment Registry'!$A$2:$A$154, 'Equipment Registry'!$E$2:$E$154, "Not Found"))</f>
        <v>MOBILGEAR 600 XP 460</v>
      </c>
      <c r="E210" s="303">
        <v>46138.0</v>
      </c>
      <c r="F210" s="304">
        <v>46113.0</v>
      </c>
      <c r="G210" s="305" t="s">
        <v>97</v>
      </c>
      <c r="H210" s="306"/>
      <c r="I210" s="302"/>
      <c r="J210" s="307" t="s">
        <v>1080</v>
      </c>
      <c r="K210" s="308" t="s">
        <v>1204</v>
      </c>
      <c r="L210" s="309" t="s">
        <v>1159</v>
      </c>
      <c r="M210" s="316"/>
      <c r="N210" s="205"/>
      <c r="O210" s="311" t="s">
        <v>1003</v>
      </c>
      <c r="P210" s="200"/>
      <c r="Q210" s="200"/>
      <c r="R210" s="58"/>
      <c r="S210" s="58"/>
      <c r="T210" s="58"/>
      <c r="U210" s="58"/>
      <c r="V210" s="58"/>
      <c r="W210" s="58"/>
      <c r="X210" s="58"/>
      <c r="Y210" s="58"/>
      <c r="Z210" s="58"/>
      <c r="AA210" s="58"/>
      <c r="AB210" s="58"/>
      <c r="AC210" s="58"/>
    </row>
    <row r="211">
      <c r="A211" s="300" t="str">
        <f t="shared" si="2"/>
        <v>O-206</v>
      </c>
      <c r="B211" s="301" t="s">
        <v>253</v>
      </c>
      <c r="C211" s="205" t="str">
        <f t="array" ref="C211">IF(B211:B1408="", "", XLOOKUP(B211:B1408, 'Equipment Registry'!$A$2:$A$154, 'Equipment Registry'!$B$2:$B$154, "Not Found"))</f>
        <v>Cement Mill #4 Separator GB</v>
      </c>
      <c r="D211" s="302" t="str">
        <f t="array" ref="D211">IF(B211:B1408="", "", XLOOKUP(B211:B1408, 'Equipment Registry'!$A$2:$A$154, 'Equipment Registry'!$E$2:$E$154, "Not Found"))</f>
        <v>MOBIL SHC 632</v>
      </c>
      <c r="E211" s="303">
        <v>46138.0</v>
      </c>
      <c r="F211" s="304">
        <v>46113.0</v>
      </c>
      <c r="G211" s="305" t="s">
        <v>97</v>
      </c>
      <c r="H211" s="306"/>
      <c r="I211" s="302"/>
      <c r="J211" s="307" t="s">
        <v>1141</v>
      </c>
      <c r="K211" s="308" t="s">
        <v>1203</v>
      </c>
      <c r="L211" s="309" t="s">
        <v>1159</v>
      </c>
      <c r="M211" s="316"/>
      <c r="N211" s="205"/>
      <c r="O211" s="311" t="s">
        <v>1085</v>
      </c>
      <c r="P211" s="200"/>
      <c r="Q211" s="200"/>
      <c r="R211" s="58"/>
      <c r="S211" s="58"/>
      <c r="T211" s="58"/>
      <c r="U211" s="58"/>
      <c r="V211" s="58"/>
      <c r="W211" s="58"/>
      <c r="X211" s="58"/>
      <c r="Y211" s="58"/>
      <c r="Z211" s="58"/>
      <c r="AA211" s="58"/>
      <c r="AB211" s="58"/>
      <c r="AC211" s="58"/>
    </row>
    <row r="212">
      <c r="A212" s="300" t="str">
        <f t="shared" si="2"/>
        <v>O-207</v>
      </c>
      <c r="B212" s="301" t="s">
        <v>254</v>
      </c>
      <c r="C212" s="205" t="str">
        <f t="array" ref="C212">IF(B212:B1408="", "", XLOOKUP(B212:B1408, 'Equipment Registry'!$A$2:$A$154, 'Equipment Registry'!$B$2:$B$154, "Not Found"))</f>
        <v>Bucket Elevator Cem. Silo#1 GB.</v>
      </c>
      <c r="D212" s="302" t="str">
        <f t="array" ref="D212">IF(B212:B1408="", "", XLOOKUP(B212:B1408, 'Equipment Registry'!$A$2:$A$154, 'Equipment Registry'!$E$2:$E$154, "Not Found"))</f>
        <v>MOBIL SHC 632</v>
      </c>
      <c r="E212" s="303">
        <v>46138.0</v>
      </c>
      <c r="F212" s="304">
        <v>46113.0</v>
      </c>
      <c r="G212" s="305" t="s">
        <v>97</v>
      </c>
      <c r="H212" s="306"/>
      <c r="I212" s="302"/>
      <c r="J212" s="307" t="s">
        <v>1141</v>
      </c>
      <c r="K212" s="308" t="s">
        <v>1203</v>
      </c>
      <c r="L212" s="309" t="s">
        <v>1159</v>
      </c>
      <c r="M212" s="316"/>
      <c r="N212" s="205"/>
      <c r="O212" s="311" t="s">
        <v>1085</v>
      </c>
      <c r="P212" s="200"/>
      <c r="Q212" s="200"/>
      <c r="R212" s="58"/>
      <c r="S212" s="58"/>
      <c r="T212" s="58"/>
      <c r="U212" s="58"/>
      <c r="V212" s="58"/>
      <c r="W212" s="58"/>
      <c r="X212" s="58"/>
      <c r="Y212" s="58"/>
      <c r="Z212" s="58"/>
      <c r="AA212" s="58"/>
      <c r="AB212" s="58"/>
      <c r="AC212" s="58"/>
    </row>
    <row r="213">
      <c r="A213" s="300" t="str">
        <f t="shared" si="2"/>
        <v>O-208</v>
      </c>
      <c r="B213" s="301" t="s">
        <v>255</v>
      </c>
      <c r="C213" s="205" t="str">
        <f t="array" ref="C213">IF(B213:B1408="", "", XLOOKUP(B213:B1408, 'Equipment Registry'!$A$2:$A$154, 'Equipment Registry'!$B$2:$B$154, "Not Found"))</f>
        <v>Bucket Elevator Cem. Silo#2 GB.</v>
      </c>
      <c r="D213" s="302" t="str">
        <f t="array" ref="D213">IF(B213:B1408="", "", XLOOKUP(B213:B1408, 'Equipment Registry'!$A$2:$A$154, 'Equipment Registry'!$E$2:$E$154, "Not Found"))</f>
        <v>MOBIL SHC 632</v>
      </c>
      <c r="E213" s="303">
        <v>46138.0</v>
      </c>
      <c r="F213" s="304">
        <v>46113.0</v>
      </c>
      <c r="G213" s="305" t="s">
        <v>96</v>
      </c>
      <c r="H213" s="306"/>
      <c r="I213" s="302"/>
      <c r="J213" s="307" t="s">
        <v>1141</v>
      </c>
      <c r="K213" s="308" t="s">
        <v>1203</v>
      </c>
      <c r="L213" s="309" t="s">
        <v>1159</v>
      </c>
      <c r="M213" s="316"/>
      <c r="N213" s="205"/>
      <c r="O213" s="311" t="s">
        <v>1085</v>
      </c>
      <c r="P213" s="200"/>
      <c r="Q213" s="200"/>
      <c r="R213" s="58"/>
      <c r="S213" s="58"/>
      <c r="T213" s="58"/>
      <c r="U213" s="58"/>
      <c r="V213" s="58"/>
      <c r="W213" s="58"/>
      <c r="X213" s="58"/>
      <c r="Y213" s="58"/>
      <c r="Z213" s="58"/>
      <c r="AA213" s="58"/>
      <c r="AB213" s="58"/>
      <c r="AC213" s="58"/>
    </row>
    <row r="214">
      <c r="A214" s="300" t="str">
        <f t="shared" si="2"/>
        <v>O-209</v>
      </c>
      <c r="B214" s="301" t="s">
        <v>256</v>
      </c>
      <c r="C214" s="205" t="str">
        <f t="array" ref="C214">IF(B214:B1408="", "", XLOOKUP(B214:B1408, 'Equipment Registry'!$A$2:$A$154, 'Equipment Registry'!$B$2:$B$154, "Not Found"))</f>
        <v>Bucket Elevator Cem. Silo#3 GB.</v>
      </c>
      <c r="D214" s="302" t="str">
        <f t="array" ref="D214">IF(B214:B1408="", "", XLOOKUP(B214:B1408, 'Equipment Registry'!$A$2:$A$154, 'Equipment Registry'!$E$2:$E$154, "Not Found"))</f>
        <v>MOBIL SHC 632</v>
      </c>
      <c r="E214" s="303">
        <v>46138.0</v>
      </c>
      <c r="F214" s="304">
        <v>46113.0</v>
      </c>
      <c r="G214" s="305" t="s">
        <v>96</v>
      </c>
      <c r="H214" s="306"/>
      <c r="I214" s="302"/>
      <c r="J214" s="307" t="s">
        <v>1141</v>
      </c>
      <c r="K214" s="308" t="s">
        <v>1203</v>
      </c>
      <c r="L214" s="309" t="s">
        <v>1159</v>
      </c>
      <c r="M214" s="316"/>
      <c r="N214" s="205"/>
      <c r="O214" s="311" t="s">
        <v>1085</v>
      </c>
      <c r="P214" s="200"/>
      <c r="Q214" s="200"/>
      <c r="R214" s="58"/>
      <c r="S214" s="58"/>
      <c r="T214" s="58"/>
      <c r="U214" s="58"/>
      <c r="V214" s="58"/>
      <c r="W214" s="58"/>
      <c r="X214" s="58"/>
      <c r="Y214" s="58"/>
      <c r="Z214" s="58"/>
      <c r="AA214" s="58"/>
      <c r="AB214" s="58"/>
      <c r="AC214" s="58"/>
    </row>
    <row r="215">
      <c r="A215" s="300" t="str">
        <f t="shared" si="2"/>
        <v>O-210</v>
      </c>
      <c r="B215" s="301" t="s">
        <v>257</v>
      </c>
      <c r="C215" s="205" t="str">
        <f t="array" ref="C215">IF(B215:B1408="", "", XLOOKUP(B215:B1408, 'Equipment Registry'!$A$2:$A$154, 'Equipment Registry'!$B$2:$B$154, "Not Found"))</f>
        <v>Bucket Elevator Cem. Silo#4 GB.</v>
      </c>
      <c r="D215" s="302" t="str">
        <f t="array" ref="D215">IF(B215:B1408="", "", XLOOKUP(B215:B1408, 'Equipment Registry'!$A$2:$A$154, 'Equipment Registry'!$E$2:$E$154, "Not Found"))</f>
        <v>MOBIL SHC 632</v>
      </c>
      <c r="E215" s="303">
        <v>46138.0</v>
      </c>
      <c r="F215" s="304">
        <v>46113.0</v>
      </c>
      <c r="G215" s="305" t="s">
        <v>96</v>
      </c>
      <c r="H215" s="306"/>
      <c r="I215" s="302"/>
      <c r="J215" s="307" t="s">
        <v>1141</v>
      </c>
      <c r="K215" s="308" t="s">
        <v>1203</v>
      </c>
      <c r="L215" s="309" t="s">
        <v>1159</v>
      </c>
      <c r="M215" s="316"/>
      <c r="N215" s="205"/>
      <c r="O215" s="311" t="s">
        <v>1085</v>
      </c>
      <c r="P215" s="200"/>
      <c r="Q215" s="200"/>
      <c r="R215" s="58"/>
      <c r="S215" s="58"/>
      <c r="T215" s="58"/>
      <c r="U215" s="58"/>
      <c r="V215" s="58"/>
      <c r="W215" s="58"/>
      <c r="X215" s="58"/>
      <c r="Y215" s="58"/>
      <c r="Z215" s="58"/>
      <c r="AA215" s="58"/>
      <c r="AB215" s="58"/>
      <c r="AC215" s="58"/>
    </row>
    <row r="216">
      <c r="A216" s="320"/>
      <c r="B216" s="301"/>
      <c r="C216" s="205"/>
      <c r="D216" s="302" t="str">
        <f t="array" ref="D216">IF(B216:B1408="", "", XLOOKUP(B216:B1408, 'Equipment Registry'!$A$2:$A$154, 'Equipment Registry'!$E$2:$E$154, "Not Found"))</f>
        <v/>
      </c>
      <c r="E216" s="303"/>
      <c r="F216" s="304"/>
      <c r="G216" s="312"/>
      <c r="H216" s="306"/>
      <c r="I216" s="302"/>
      <c r="J216" s="307"/>
      <c r="K216" s="313"/>
      <c r="L216" s="319"/>
      <c r="M216" s="316"/>
      <c r="N216" s="205"/>
      <c r="O216" s="311"/>
      <c r="P216" s="200"/>
      <c r="Q216" s="200"/>
      <c r="R216" s="58"/>
      <c r="S216" s="58"/>
      <c r="T216" s="58"/>
      <c r="U216" s="58"/>
      <c r="V216" s="58"/>
      <c r="W216" s="58"/>
      <c r="X216" s="58"/>
      <c r="Y216" s="58"/>
      <c r="Z216" s="58"/>
      <c r="AA216" s="58"/>
      <c r="AB216" s="58"/>
      <c r="AC216" s="58"/>
    </row>
    <row r="217">
      <c r="A217" s="320"/>
      <c r="B217" s="301"/>
      <c r="C217" s="205"/>
      <c r="D217" s="302" t="str">
        <f t="array" ref="D217">IF(B217:B1408="", "", XLOOKUP(B217:B1408, 'Equipment Registry'!$A$2:$A$154, 'Equipment Registry'!$E$2:$E$154, "Not Found"))</f>
        <v/>
      </c>
      <c r="E217" s="303"/>
      <c r="F217" s="304"/>
      <c r="G217" s="312"/>
      <c r="H217" s="306"/>
      <c r="I217" s="302"/>
      <c r="J217" s="307"/>
      <c r="K217" s="313"/>
      <c r="L217" s="319"/>
      <c r="M217" s="316"/>
      <c r="N217" s="205"/>
      <c r="O217" s="311"/>
      <c r="P217" s="200"/>
      <c r="Q217" s="200"/>
      <c r="R217" s="58"/>
      <c r="S217" s="58"/>
      <c r="T217" s="58"/>
      <c r="U217" s="58"/>
      <c r="V217" s="58"/>
      <c r="W217" s="58"/>
      <c r="X217" s="58"/>
      <c r="Y217" s="58"/>
      <c r="Z217" s="58"/>
      <c r="AA217" s="58"/>
      <c r="AB217" s="58"/>
      <c r="AC217" s="58"/>
    </row>
    <row r="218">
      <c r="A218" s="320"/>
      <c r="B218" s="301"/>
      <c r="C218" s="205"/>
      <c r="D218" s="302" t="str">
        <f t="array" ref="D218">IF(B218:B1408="", "", XLOOKUP(B218:B1408, 'Equipment Registry'!$A$2:$A$154, 'Equipment Registry'!$E$2:$E$154, "Not Found"))</f>
        <v/>
      </c>
      <c r="E218" s="303"/>
      <c r="F218" s="304"/>
      <c r="G218" s="312"/>
      <c r="H218" s="306"/>
      <c r="I218" s="302"/>
      <c r="J218" s="307"/>
      <c r="K218" s="313"/>
      <c r="L218" s="319"/>
      <c r="M218" s="316"/>
      <c r="N218" s="205"/>
      <c r="O218" s="311"/>
      <c r="P218" s="200"/>
      <c r="Q218" s="200"/>
      <c r="R218" s="58"/>
      <c r="S218" s="58"/>
      <c r="T218" s="58"/>
      <c r="U218" s="58"/>
      <c r="V218" s="58"/>
      <c r="W218" s="58"/>
      <c r="X218" s="58"/>
      <c r="Y218" s="58"/>
      <c r="Z218" s="58"/>
      <c r="AA218" s="58"/>
      <c r="AB218" s="58"/>
      <c r="AC218" s="58"/>
    </row>
    <row r="219">
      <c r="A219" s="320"/>
      <c r="B219" s="301"/>
      <c r="C219" s="205"/>
      <c r="D219" s="302" t="str">
        <f t="array" ref="D219">IF(B219:B1408="", "", XLOOKUP(B219:B1408, 'Equipment Registry'!$A$2:$A$154, 'Equipment Registry'!$E$2:$E$154, "Not Found"))</f>
        <v/>
      </c>
      <c r="E219" s="303"/>
      <c r="F219" s="304"/>
      <c r="G219" s="312"/>
      <c r="H219" s="306"/>
      <c r="I219" s="302"/>
      <c r="J219" s="307"/>
      <c r="K219" s="313"/>
      <c r="L219" s="319"/>
      <c r="M219" s="316"/>
      <c r="N219" s="205"/>
      <c r="O219" s="311"/>
      <c r="P219" s="200"/>
      <c r="Q219" s="200"/>
      <c r="R219" s="58"/>
      <c r="S219" s="58"/>
      <c r="T219" s="58"/>
      <c r="U219" s="58"/>
      <c r="V219" s="58"/>
      <c r="W219" s="58"/>
      <c r="X219" s="58"/>
      <c r="Y219" s="58"/>
      <c r="Z219" s="58"/>
      <c r="AA219" s="58"/>
      <c r="AB219" s="58"/>
      <c r="AC219" s="58"/>
    </row>
    <row r="220">
      <c r="A220" s="320"/>
      <c r="B220" s="301"/>
      <c r="C220" s="205"/>
      <c r="D220" s="302" t="str">
        <f t="array" ref="D220">IF(B220:B1408="", "", XLOOKUP(B220:B1408, 'Equipment Registry'!$A$2:$A$154, 'Equipment Registry'!$E$2:$E$154, "Not Found"))</f>
        <v/>
      </c>
      <c r="E220" s="303"/>
      <c r="F220" s="304"/>
      <c r="G220" s="312"/>
      <c r="H220" s="306"/>
      <c r="I220" s="302"/>
      <c r="J220" s="307"/>
      <c r="K220" s="313"/>
      <c r="L220" s="319"/>
      <c r="M220" s="316"/>
      <c r="N220" s="205"/>
      <c r="O220" s="311"/>
      <c r="P220" s="200"/>
      <c r="Q220" s="200"/>
      <c r="R220" s="58"/>
      <c r="S220" s="58"/>
      <c r="T220" s="58"/>
      <c r="U220" s="58"/>
      <c r="V220" s="58"/>
      <c r="W220" s="58"/>
      <c r="X220" s="58"/>
      <c r="Y220" s="58"/>
      <c r="Z220" s="58"/>
      <c r="AA220" s="58"/>
      <c r="AB220" s="58"/>
      <c r="AC220" s="58"/>
    </row>
    <row r="221">
      <c r="A221" s="320"/>
      <c r="B221" s="301"/>
      <c r="C221" s="205"/>
      <c r="D221" s="302" t="str">
        <f t="array" ref="D221">IF(B221:B1408="", "", XLOOKUP(B221:B1408, 'Equipment Registry'!$A$2:$A$154, 'Equipment Registry'!$E$2:$E$154, "Not Found"))</f>
        <v/>
      </c>
      <c r="E221" s="303"/>
      <c r="F221" s="304"/>
      <c r="G221" s="312"/>
      <c r="H221" s="306"/>
      <c r="I221" s="302"/>
      <c r="J221" s="307"/>
      <c r="K221" s="313"/>
      <c r="L221" s="319"/>
      <c r="M221" s="316"/>
      <c r="N221" s="205"/>
      <c r="O221" s="311"/>
      <c r="P221" s="200"/>
      <c r="Q221" s="200"/>
      <c r="R221" s="58"/>
      <c r="S221" s="58"/>
      <c r="T221" s="58"/>
      <c r="U221" s="58"/>
      <c r="V221" s="58"/>
      <c r="W221" s="58"/>
      <c r="X221" s="58"/>
      <c r="Y221" s="58"/>
      <c r="Z221" s="58"/>
      <c r="AA221" s="58"/>
      <c r="AB221" s="58"/>
      <c r="AC221" s="58"/>
    </row>
    <row r="222">
      <c r="A222" s="320"/>
      <c r="B222" s="301"/>
      <c r="C222" s="205"/>
      <c r="D222" s="302" t="str">
        <f t="array" ref="D222">IF(B222:B1408="", "", XLOOKUP(B222:B1408, 'Equipment Registry'!$A$2:$A$154, 'Equipment Registry'!$E$2:$E$154, "Not Found"))</f>
        <v/>
      </c>
      <c r="E222" s="303"/>
      <c r="F222" s="304"/>
      <c r="G222" s="312"/>
      <c r="H222" s="306"/>
      <c r="I222" s="302"/>
      <c r="J222" s="307"/>
      <c r="K222" s="313"/>
      <c r="L222" s="319"/>
      <c r="M222" s="316"/>
      <c r="N222" s="205"/>
      <c r="O222" s="311"/>
      <c r="P222" s="200"/>
      <c r="Q222" s="200"/>
      <c r="R222" s="58"/>
      <c r="S222" s="58"/>
      <c r="T222" s="58"/>
      <c r="U222" s="58"/>
      <c r="V222" s="58"/>
      <c r="W222" s="58"/>
      <c r="X222" s="58"/>
      <c r="Y222" s="58"/>
      <c r="Z222" s="58"/>
      <c r="AA222" s="58"/>
      <c r="AB222" s="58"/>
      <c r="AC222" s="58"/>
    </row>
    <row r="223">
      <c r="A223" s="320"/>
      <c r="B223" s="301"/>
      <c r="C223" s="205"/>
      <c r="D223" s="302" t="str">
        <f t="array" ref="D223">IF(B223:B1408="", "", XLOOKUP(B223:B1408, 'Equipment Registry'!$A$2:$A$154, 'Equipment Registry'!$E$2:$E$154, "Not Found"))</f>
        <v/>
      </c>
      <c r="E223" s="303"/>
      <c r="F223" s="304"/>
      <c r="G223" s="312"/>
      <c r="H223" s="306"/>
      <c r="I223" s="302"/>
      <c r="J223" s="307"/>
      <c r="K223" s="313"/>
      <c r="L223" s="319"/>
      <c r="M223" s="316"/>
      <c r="N223" s="205"/>
      <c r="O223" s="311"/>
      <c r="P223" s="200"/>
      <c r="Q223" s="200"/>
      <c r="R223" s="58"/>
      <c r="S223" s="58"/>
      <c r="T223" s="58"/>
      <c r="U223" s="58"/>
      <c r="V223" s="58"/>
      <c r="W223" s="58"/>
      <c r="X223" s="58"/>
      <c r="Y223" s="58"/>
      <c r="Z223" s="58"/>
      <c r="AA223" s="58"/>
      <c r="AB223" s="58"/>
      <c r="AC223" s="58"/>
    </row>
    <row r="224">
      <c r="A224" s="320"/>
      <c r="B224" s="301"/>
      <c r="C224" s="205"/>
      <c r="D224" s="302" t="str">
        <f t="array" ref="D224">IF(B224:B1408="", "", XLOOKUP(B224:B1408, 'Equipment Registry'!$A$2:$A$154, 'Equipment Registry'!$E$2:$E$154, "Not Found"))</f>
        <v/>
      </c>
      <c r="E224" s="303"/>
      <c r="F224" s="304"/>
      <c r="G224" s="312"/>
      <c r="H224" s="306"/>
      <c r="I224" s="302"/>
      <c r="J224" s="307"/>
      <c r="K224" s="313"/>
      <c r="L224" s="319"/>
      <c r="M224" s="316"/>
      <c r="N224" s="205"/>
      <c r="O224" s="311"/>
      <c r="P224" s="200"/>
      <c r="Q224" s="200"/>
      <c r="R224" s="58"/>
      <c r="S224" s="58"/>
      <c r="T224" s="58"/>
      <c r="U224" s="58"/>
      <c r="V224" s="58"/>
      <c r="W224" s="58"/>
      <c r="X224" s="58"/>
      <c r="Y224" s="58"/>
      <c r="Z224" s="58"/>
      <c r="AA224" s="58"/>
      <c r="AB224" s="58"/>
      <c r="AC224" s="58"/>
    </row>
    <row r="225">
      <c r="A225" s="309"/>
      <c r="B225" s="301"/>
      <c r="C225" s="200"/>
      <c r="D225" s="301"/>
      <c r="E225" s="303"/>
      <c r="F225" s="304"/>
      <c r="G225" s="305"/>
      <c r="H225" s="306"/>
      <c r="I225" s="315"/>
      <c r="J225" s="307"/>
      <c r="K225" s="308"/>
      <c r="L225" s="309"/>
      <c r="M225" s="316"/>
      <c r="N225" s="200"/>
      <c r="O225" s="311"/>
      <c r="P225" s="200"/>
      <c r="Q225" s="200"/>
      <c r="R225" s="58"/>
      <c r="S225" s="58"/>
      <c r="T225" s="58"/>
      <c r="U225" s="58"/>
      <c r="V225" s="58"/>
      <c r="W225" s="58"/>
      <c r="X225" s="58"/>
      <c r="Y225" s="58"/>
      <c r="Z225" s="58"/>
      <c r="AA225" s="58"/>
      <c r="AB225" s="58"/>
      <c r="AC225" s="58"/>
    </row>
    <row r="226">
      <c r="A226" s="320"/>
      <c r="B226" s="301"/>
      <c r="C226" s="205"/>
      <c r="D226" s="302"/>
      <c r="E226" s="303"/>
      <c r="F226" s="304"/>
      <c r="G226" s="312"/>
      <c r="H226" s="306"/>
      <c r="I226" s="302"/>
      <c r="J226" s="307"/>
      <c r="K226" s="313"/>
      <c r="L226" s="319"/>
      <c r="M226" s="316"/>
      <c r="N226" s="205"/>
      <c r="O226" s="311"/>
      <c r="P226" s="200"/>
      <c r="Q226" s="200"/>
      <c r="R226" s="58"/>
      <c r="S226" s="58"/>
      <c r="T226" s="58"/>
      <c r="U226" s="58"/>
      <c r="V226" s="58"/>
      <c r="W226" s="58"/>
      <c r="X226" s="58"/>
      <c r="Y226" s="58"/>
      <c r="Z226" s="58"/>
      <c r="AA226" s="58"/>
      <c r="AB226" s="58"/>
      <c r="AC226" s="58"/>
    </row>
    <row r="227">
      <c r="A227" s="320"/>
      <c r="B227" s="301"/>
      <c r="C227" s="205"/>
      <c r="D227" s="302"/>
      <c r="E227" s="303"/>
      <c r="F227" s="304"/>
      <c r="G227" s="312"/>
      <c r="H227" s="306"/>
      <c r="I227" s="302"/>
      <c r="J227" s="307"/>
      <c r="K227" s="313"/>
      <c r="L227" s="319"/>
      <c r="M227" s="316"/>
      <c r="N227" s="205"/>
      <c r="O227" s="311"/>
      <c r="P227" s="200"/>
      <c r="Q227" s="200"/>
      <c r="R227" s="58"/>
      <c r="S227" s="58"/>
      <c r="T227" s="58"/>
      <c r="U227" s="58"/>
      <c r="V227" s="58"/>
      <c r="W227" s="58"/>
      <c r="X227" s="58"/>
      <c r="Y227" s="58"/>
      <c r="Z227" s="58"/>
      <c r="AA227" s="58"/>
      <c r="AB227" s="58"/>
      <c r="AC227" s="58"/>
    </row>
    <row r="228">
      <c r="A228" s="320"/>
      <c r="B228" s="301"/>
      <c r="C228" s="205"/>
      <c r="D228" s="302"/>
      <c r="E228" s="303"/>
      <c r="F228" s="304"/>
      <c r="G228" s="312"/>
      <c r="H228" s="306"/>
      <c r="I228" s="302"/>
      <c r="J228" s="307"/>
      <c r="K228" s="313"/>
      <c r="L228" s="319"/>
      <c r="M228" s="316"/>
      <c r="N228" s="205"/>
      <c r="O228" s="311"/>
      <c r="P228" s="200"/>
      <c r="Q228" s="200"/>
      <c r="R228" s="58"/>
      <c r="S228" s="58"/>
      <c r="T228" s="58"/>
      <c r="U228" s="58"/>
      <c r="V228" s="58"/>
      <c r="W228" s="58"/>
      <c r="X228" s="58"/>
      <c r="Y228" s="58"/>
      <c r="Z228" s="58"/>
      <c r="AA228" s="58"/>
      <c r="AB228" s="58"/>
      <c r="AC228" s="58"/>
    </row>
    <row r="229">
      <c r="A229" s="320"/>
      <c r="B229" s="301"/>
      <c r="C229" s="205"/>
      <c r="D229" s="302"/>
      <c r="E229" s="303"/>
      <c r="F229" s="304"/>
      <c r="G229" s="312"/>
      <c r="H229" s="306"/>
      <c r="I229" s="302"/>
      <c r="J229" s="307"/>
      <c r="K229" s="313"/>
      <c r="L229" s="319"/>
      <c r="M229" s="316"/>
      <c r="N229" s="205"/>
      <c r="O229" s="311"/>
      <c r="P229" s="200"/>
      <c r="Q229" s="200"/>
      <c r="R229" s="58"/>
      <c r="S229" s="58"/>
      <c r="T229" s="58"/>
      <c r="U229" s="58"/>
      <c r="V229" s="58"/>
      <c r="W229" s="58"/>
      <c r="X229" s="58"/>
      <c r="Y229" s="58"/>
      <c r="Z229" s="58"/>
      <c r="AA229" s="58"/>
      <c r="AB229" s="58"/>
      <c r="AC229" s="58"/>
    </row>
    <row r="230">
      <c r="A230" s="320"/>
      <c r="B230" s="301"/>
      <c r="C230" s="205"/>
      <c r="D230" s="302"/>
      <c r="E230" s="303"/>
      <c r="F230" s="304"/>
      <c r="G230" s="312"/>
      <c r="H230" s="306"/>
      <c r="I230" s="302"/>
      <c r="J230" s="307"/>
      <c r="K230" s="313"/>
      <c r="L230" s="319"/>
      <c r="M230" s="316"/>
      <c r="N230" s="205"/>
      <c r="O230" s="311"/>
      <c r="P230" s="200"/>
      <c r="Q230" s="200"/>
      <c r="R230" s="58"/>
      <c r="S230" s="58"/>
      <c r="T230" s="58"/>
      <c r="U230" s="58"/>
      <c r="V230" s="58"/>
      <c r="W230" s="58"/>
      <c r="X230" s="58"/>
      <c r="Y230" s="58"/>
      <c r="Z230" s="58"/>
      <c r="AA230" s="58"/>
      <c r="AB230" s="58"/>
      <c r="AC230" s="58"/>
    </row>
    <row r="231">
      <c r="A231" s="320"/>
      <c r="B231" s="301"/>
      <c r="C231" s="205"/>
      <c r="D231" s="302"/>
      <c r="E231" s="303"/>
      <c r="F231" s="304"/>
      <c r="G231" s="312"/>
      <c r="H231" s="306"/>
      <c r="I231" s="302"/>
      <c r="J231" s="307"/>
      <c r="K231" s="313"/>
      <c r="L231" s="319"/>
      <c r="M231" s="316"/>
      <c r="N231" s="205"/>
      <c r="O231" s="311"/>
      <c r="P231" s="200"/>
      <c r="Q231" s="200"/>
      <c r="R231" s="58"/>
      <c r="S231" s="58"/>
      <c r="T231" s="58"/>
      <c r="U231" s="58"/>
      <c r="V231" s="58"/>
      <c r="W231" s="58"/>
      <c r="X231" s="58"/>
      <c r="Y231" s="58"/>
      <c r="Z231" s="58"/>
      <c r="AA231" s="58"/>
      <c r="AB231" s="58"/>
      <c r="AC231" s="58"/>
    </row>
    <row r="232">
      <c r="A232" s="320"/>
      <c r="B232" s="301"/>
      <c r="C232" s="205"/>
      <c r="D232" s="302"/>
      <c r="E232" s="303"/>
      <c r="F232" s="304"/>
      <c r="G232" s="312"/>
      <c r="H232" s="306"/>
      <c r="I232" s="302"/>
      <c r="J232" s="307"/>
      <c r="K232" s="313"/>
      <c r="L232" s="319"/>
      <c r="M232" s="316"/>
      <c r="N232" s="205"/>
      <c r="O232" s="311"/>
      <c r="P232" s="200"/>
      <c r="Q232" s="200"/>
      <c r="R232" s="58"/>
      <c r="S232" s="58"/>
      <c r="T232" s="58"/>
      <c r="U232" s="58"/>
      <c r="V232" s="58"/>
      <c r="W232" s="58"/>
      <c r="X232" s="58"/>
      <c r="Y232" s="58"/>
      <c r="Z232" s="58"/>
      <c r="AA232" s="58"/>
      <c r="AB232" s="58"/>
      <c r="AC232" s="58"/>
    </row>
    <row r="233">
      <c r="A233" s="320"/>
      <c r="B233" s="301"/>
      <c r="C233" s="205"/>
      <c r="D233" s="302"/>
      <c r="E233" s="303"/>
      <c r="F233" s="304"/>
      <c r="G233" s="312"/>
      <c r="H233" s="306"/>
      <c r="I233" s="302"/>
      <c r="J233" s="307"/>
      <c r="K233" s="313"/>
      <c r="L233" s="319"/>
      <c r="M233" s="316"/>
      <c r="N233" s="205"/>
      <c r="O233" s="311"/>
      <c r="P233" s="200"/>
      <c r="Q233" s="200"/>
      <c r="R233" s="58"/>
      <c r="S233" s="58"/>
      <c r="T233" s="58"/>
      <c r="U233" s="58"/>
      <c r="V233" s="58"/>
      <c r="W233" s="58"/>
      <c r="X233" s="58"/>
      <c r="Y233" s="58"/>
      <c r="Z233" s="58"/>
      <c r="AA233" s="58"/>
      <c r="AB233" s="58"/>
      <c r="AC233" s="58"/>
    </row>
    <row r="234">
      <c r="A234" s="320"/>
      <c r="B234" s="301"/>
      <c r="C234" s="205"/>
      <c r="D234" s="302"/>
      <c r="E234" s="303"/>
      <c r="F234" s="304"/>
      <c r="G234" s="312"/>
      <c r="H234" s="306"/>
      <c r="I234" s="302"/>
      <c r="J234" s="307"/>
      <c r="K234" s="313"/>
      <c r="L234" s="319"/>
      <c r="M234" s="316"/>
      <c r="N234" s="205"/>
      <c r="O234" s="311"/>
      <c r="P234" s="200"/>
      <c r="Q234" s="200"/>
      <c r="R234" s="58"/>
      <c r="S234" s="58"/>
      <c r="T234" s="58"/>
      <c r="U234" s="58"/>
      <c r="V234" s="58"/>
      <c r="W234" s="58"/>
      <c r="X234" s="58"/>
      <c r="Y234" s="58"/>
      <c r="Z234" s="58"/>
      <c r="AA234" s="58"/>
      <c r="AB234" s="58"/>
      <c r="AC234" s="58"/>
    </row>
    <row r="235">
      <c r="A235" s="320"/>
      <c r="B235" s="301"/>
      <c r="C235" s="205"/>
      <c r="D235" s="302"/>
      <c r="E235" s="303"/>
      <c r="F235" s="304"/>
      <c r="G235" s="312"/>
      <c r="H235" s="306"/>
      <c r="I235" s="302"/>
      <c r="J235" s="307"/>
      <c r="K235" s="313"/>
      <c r="L235" s="319"/>
      <c r="M235" s="316"/>
      <c r="N235" s="205"/>
      <c r="O235" s="311"/>
      <c r="P235" s="200"/>
      <c r="Q235" s="200"/>
      <c r="R235" s="58"/>
      <c r="S235" s="58"/>
      <c r="T235" s="58"/>
      <c r="U235" s="58"/>
      <c r="V235" s="58"/>
      <c r="W235" s="58"/>
      <c r="X235" s="58"/>
      <c r="Y235" s="58"/>
      <c r="Z235" s="58"/>
      <c r="AA235" s="58"/>
      <c r="AB235" s="58"/>
      <c r="AC235" s="58"/>
    </row>
    <row r="236">
      <c r="A236" s="320"/>
      <c r="B236" s="301"/>
      <c r="C236" s="205"/>
      <c r="D236" s="302"/>
      <c r="E236" s="303"/>
      <c r="F236" s="304"/>
      <c r="G236" s="312"/>
      <c r="H236" s="306"/>
      <c r="I236" s="302"/>
      <c r="J236" s="307"/>
      <c r="K236" s="313"/>
      <c r="L236" s="319"/>
      <c r="M236" s="316"/>
      <c r="N236" s="205"/>
      <c r="O236" s="311"/>
      <c r="P236" s="200"/>
      <c r="Q236" s="200"/>
      <c r="R236" s="58"/>
      <c r="S236" s="58"/>
      <c r="T236" s="58"/>
      <c r="U236" s="58"/>
      <c r="V236" s="58"/>
      <c r="W236" s="58"/>
      <c r="X236" s="58"/>
      <c r="Y236" s="58"/>
      <c r="Z236" s="58"/>
      <c r="AA236" s="58"/>
      <c r="AB236" s="58"/>
      <c r="AC236" s="58"/>
    </row>
    <row r="237">
      <c r="A237" s="320"/>
      <c r="B237" s="301"/>
      <c r="C237" s="205"/>
      <c r="D237" s="302"/>
      <c r="E237" s="303"/>
      <c r="F237" s="304"/>
      <c r="G237" s="312"/>
      <c r="H237" s="306"/>
      <c r="I237" s="302"/>
      <c r="J237" s="307"/>
      <c r="K237" s="313"/>
      <c r="L237" s="319"/>
      <c r="M237" s="316"/>
      <c r="N237" s="205"/>
      <c r="O237" s="311"/>
      <c r="P237" s="200"/>
      <c r="Q237" s="200"/>
      <c r="R237" s="58"/>
      <c r="S237" s="58"/>
      <c r="T237" s="58"/>
      <c r="U237" s="58"/>
      <c r="V237" s="58"/>
      <c r="W237" s="58"/>
      <c r="X237" s="58"/>
      <c r="Y237" s="58"/>
      <c r="Z237" s="58"/>
      <c r="AA237" s="58"/>
      <c r="AB237" s="58"/>
      <c r="AC237" s="58"/>
    </row>
    <row r="238">
      <c r="A238" s="320"/>
      <c r="B238" s="301"/>
      <c r="C238" s="205"/>
      <c r="D238" s="302"/>
      <c r="E238" s="303"/>
      <c r="F238" s="304"/>
      <c r="G238" s="312"/>
      <c r="H238" s="306"/>
      <c r="I238" s="302"/>
      <c r="J238" s="307"/>
      <c r="K238" s="313"/>
      <c r="L238" s="319"/>
      <c r="M238" s="316"/>
      <c r="N238" s="205"/>
      <c r="O238" s="311"/>
      <c r="P238" s="200"/>
      <c r="Q238" s="200"/>
      <c r="R238" s="58"/>
      <c r="S238" s="58"/>
      <c r="T238" s="58"/>
      <c r="U238" s="58"/>
      <c r="V238" s="58"/>
      <c r="W238" s="58"/>
      <c r="X238" s="58"/>
      <c r="Y238" s="58"/>
      <c r="Z238" s="58"/>
      <c r="AA238" s="58"/>
      <c r="AB238" s="58"/>
      <c r="AC238" s="58"/>
    </row>
    <row r="239">
      <c r="A239" s="320"/>
      <c r="B239" s="301"/>
      <c r="C239" s="205"/>
      <c r="D239" s="302"/>
      <c r="E239" s="303"/>
      <c r="F239" s="304"/>
      <c r="G239" s="312"/>
      <c r="H239" s="306"/>
      <c r="I239" s="302"/>
      <c r="J239" s="307"/>
      <c r="K239" s="313"/>
      <c r="L239" s="319"/>
      <c r="M239" s="316"/>
      <c r="N239" s="205"/>
      <c r="O239" s="311"/>
      <c r="P239" s="200"/>
      <c r="Q239" s="200"/>
      <c r="R239" s="58"/>
      <c r="S239" s="58"/>
      <c r="T239" s="58"/>
      <c r="U239" s="58"/>
      <c r="V239" s="58"/>
      <c r="W239" s="58"/>
      <c r="X239" s="58"/>
      <c r="Y239" s="58"/>
      <c r="Z239" s="58"/>
      <c r="AA239" s="58"/>
      <c r="AB239" s="58"/>
      <c r="AC239" s="58"/>
    </row>
    <row r="240">
      <c r="A240" s="320"/>
      <c r="B240" s="301"/>
      <c r="C240" s="205"/>
      <c r="D240" s="302"/>
      <c r="E240" s="303"/>
      <c r="F240" s="304"/>
      <c r="G240" s="312"/>
      <c r="H240" s="306"/>
      <c r="I240" s="302"/>
      <c r="J240" s="307"/>
      <c r="K240" s="313"/>
      <c r="L240" s="319"/>
      <c r="M240" s="316"/>
      <c r="N240" s="205"/>
      <c r="O240" s="311"/>
      <c r="P240" s="200"/>
      <c r="Q240" s="200"/>
      <c r="R240" s="58"/>
      <c r="S240" s="58"/>
      <c r="T240" s="58"/>
      <c r="U240" s="58"/>
      <c r="V240" s="58"/>
      <c r="W240" s="58"/>
      <c r="X240" s="58"/>
      <c r="Y240" s="58"/>
      <c r="Z240" s="58"/>
      <c r="AA240" s="58"/>
      <c r="AB240" s="58"/>
      <c r="AC240" s="58"/>
    </row>
    <row r="241">
      <c r="A241" s="320"/>
      <c r="B241" s="301"/>
      <c r="C241" s="205"/>
      <c r="D241" s="302"/>
      <c r="E241" s="303"/>
      <c r="F241" s="304"/>
      <c r="G241" s="312"/>
      <c r="H241" s="306"/>
      <c r="I241" s="302"/>
      <c r="J241" s="307"/>
      <c r="K241" s="313"/>
      <c r="L241" s="319"/>
      <c r="M241" s="316"/>
      <c r="N241" s="205"/>
      <c r="O241" s="311"/>
      <c r="P241" s="200"/>
      <c r="Q241" s="200"/>
      <c r="R241" s="58"/>
      <c r="S241" s="58"/>
      <c r="T241" s="58"/>
      <c r="U241" s="58"/>
      <c r="V241" s="58"/>
      <c r="W241" s="58"/>
      <c r="X241" s="58"/>
      <c r="Y241" s="58"/>
      <c r="Z241" s="58"/>
      <c r="AA241" s="58"/>
      <c r="AB241" s="58"/>
      <c r="AC241" s="58"/>
    </row>
    <row r="242">
      <c r="A242" s="320"/>
      <c r="B242" s="301"/>
      <c r="C242" s="205"/>
      <c r="D242" s="302"/>
      <c r="E242" s="303"/>
      <c r="F242" s="304"/>
      <c r="G242" s="312"/>
      <c r="H242" s="306"/>
      <c r="I242" s="302"/>
      <c r="J242" s="307"/>
      <c r="K242" s="313"/>
      <c r="L242" s="319"/>
      <c r="M242" s="316"/>
      <c r="N242" s="205"/>
      <c r="O242" s="311"/>
      <c r="P242" s="200"/>
      <c r="Q242" s="200"/>
      <c r="R242" s="58"/>
      <c r="S242" s="58"/>
      <c r="T242" s="58"/>
      <c r="U242" s="58"/>
      <c r="V242" s="58"/>
      <c r="W242" s="58"/>
      <c r="X242" s="58"/>
      <c r="Y242" s="58"/>
      <c r="Z242" s="58"/>
      <c r="AA242" s="58"/>
      <c r="AB242" s="58"/>
      <c r="AC242" s="58"/>
    </row>
    <row r="243">
      <c r="A243" s="320"/>
      <c r="B243" s="301"/>
      <c r="C243" s="205"/>
      <c r="D243" s="302"/>
      <c r="E243" s="303"/>
      <c r="F243" s="304"/>
      <c r="G243" s="312"/>
      <c r="H243" s="306"/>
      <c r="I243" s="302"/>
      <c r="J243" s="307"/>
      <c r="K243" s="313"/>
      <c r="L243" s="319"/>
      <c r="M243" s="316"/>
      <c r="N243" s="205"/>
      <c r="O243" s="311"/>
      <c r="P243" s="200"/>
      <c r="Q243" s="200"/>
      <c r="R243" s="58"/>
      <c r="S243" s="58"/>
      <c r="T243" s="58"/>
      <c r="U243" s="58"/>
      <c r="V243" s="58"/>
      <c r="W243" s="58"/>
      <c r="X243" s="58"/>
      <c r="Y243" s="58"/>
      <c r="Z243" s="58"/>
      <c r="AA243" s="58"/>
      <c r="AB243" s="58"/>
      <c r="AC243" s="58"/>
    </row>
    <row r="244">
      <c r="A244" s="320"/>
      <c r="B244" s="301"/>
      <c r="C244" s="205"/>
      <c r="D244" s="302"/>
      <c r="E244" s="303"/>
      <c r="F244" s="304"/>
      <c r="G244" s="312"/>
      <c r="H244" s="306"/>
      <c r="I244" s="302"/>
      <c r="J244" s="307"/>
      <c r="K244" s="313"/>
      <c r="L244" s="319"/>
      <c r="M244" s="316"/>
      <c r="N244" s="205"/>
      <c r="O244" s="311"/>
      <c r="P244" s="200"/>
      <c r="Q244" s="200"/>
      <c r="R244" s="58"/>
      <c r="S244" s="58"/>
      <c r="T244" s="58"/>
      <c r="U244" s="58"/>
      <c r="V244" s="58"/>
      <c r="W244" s="58"/>
      <c r="X244" s="58"/>
      <c r="Y244" s="58"/>
      <c r="Z244" s="58"/>
      <c r="AA244" s="58"/>
      <c r="AB244" s="58"/>
      <c r="AC244" s="58"/>
    </row>
    <row r="245">
      <c r="A245" s="320"/>
      <c r="B245" s="301"/>
      <c r="C245" s="205"/>
      <c r="D245" s="302"/>
      <c r="E245" s="303"/>
      <c r="F245" s="304"/>
      <c r="G245" s="312"/>
      <c r="H245" s="306"/>
      <c r="I245" s="302"/>
      <c r="J245" s="307"/>
      <c r="K245" s="313"/>
      <c r="L245" s="319"/>
      <c r="M245" s="316"/>
      <c r="N245" s="205"/>
      <c r="O245" s="311"/>
      <c r="P245" s="200"/>
      <c r="Q245" s="200"/>
      <c r="R245" s="58"/>
      <c r="S245" s="58"/>
      <c r="T245" s="58"/>
      <c r="U245" s="58"/>
      <c r="V245" s="58"/>
      <c r="W245" s="58"/>
      <c r="X245" s="58"/>
      <c r="Y245" s="58"/>
      <c r="Z245" s="58"/>
      <c r="AA245" s="58"/>
      <c r="AB245" s="58"/>
      <c r="AC245" s="58"/>
    </row>
    <row r="246">
      <c r="A246" s="320"/>
      <c r="B246" s="301"/>
      <c r="C246" s="205"/>
      <c r="D246" s="302"/>
      <c r="E246" s="303"/>
      <c r="F246" s="304"/>
      <c r="G246" s="312"/>
      <c r="H246" s="306"/>
      <c r="I246" s="302"/>
      <c r="J246" s="307"/>
      <c r="K246" s="313"/>
      <c r="L246" s="319"/>
      <c r="M246" s="316"/>
      <c r="N246" s="205"/>
      <c r="O246" s="311"/>
      <c r="P246" s="200"/>
      <c r="Q246" s="200"/>
      <c r="R246" s="58"/>
      <c r="S246" s="58"/>
      <c r="T246" s="58"/>
      <c r="U246" s="58"/>
      <c r="V246" s="58"/>
      <c r="W246" s="58"/>
      <c r="X246" s="58"/>
      <c r="Y246" s="58"/>
      <c r="Z246" s="58"/>
      <c r="AA246" s="58"/>
      <c r="AB246" s="58"/>
      <c r="AC246" s="58"/>
    </row>
    <row r="247">
      <c r="A247" s="320"/>
      <c r="B247" s="301"/>
      <c r="C247" s="205"/>
      <c r="D247" s="302"/>
      <c r="E247" s="303"/>
      <c r="F247" s="304"/>
      <c r="G247" s="312"/>
      <c r="H247" s="306"/>
      <c r="I247" s="302"/>
      <c r="J247" s="307"/>
      <c r="K247" s="313"/>
      <c r="L247" s="319"/>
      <c r="M247" s="316"/>
      <c r="N247" s="205"/>
      <c r="O247" s="311"/>
      <c r="P247" s="200"/>
      <c r="Q247" s="200"/>
      <c r="R247" s="58"/>
      <c r="S247" s="58"/>
      <c r="T247" s="58"/>
      <c r="U247" s="58"/>
      <c r="V247" s="58"/>
      <c r="W247" s="58"/>
      <c r="X247" s="58"/>
      <c r="Y247" s="58"/>
      <c r="Z247" s="58"/>
      <c r="AA247" s="58"/>
      <c r="AB247" s="58"/>
      <c r="AC247" s="58"/>
    </row>
    <row r="248">
      <c r="A248" s="320"/>
      <c r="B248" s="301"/>
      <c r="C248" s="205"/>
      <c r="D248" s="302"/>
      <c r="E248" s="303"/>
      <c r="F248" s="304"/>
      <c r="G248" s="312"/>
      <c r="H248" s="306"/>
      <c r="I248" s="302"/>
      <c r="J248" s="307"/>
      <c r="K248" s="313"/>
      <c r="L248" s="319"/>
      <c r="M248" s="316"/>
      <c r="N248" s="205"/>
      <c r="O248" s="311"/>
      <c r="P248" s="200"/>
      <c r="Q248" s="200"/>
      <c r="R248" s="58"/>
      <c r="S248" s="58"/>
      <c r="T248" s="58"/>
      <c r="U248" s="58"/>
      <c r="V248" s="58"/>
      <c r="W248" s="58"/>
      <c r="X248" s="58"/>
      <c r="Y248" s="58"/>
      <c r="Z248" s="58"/>
      <c r="AA248" s="58"/>
      <c r="AB248" s="58"/>
      <c r="AC248" s="58"/>
    </row>
    <row r="249">
      <c r="A249" s="320"/>
      <c r="B249" s="301"/>
      <c r="C249" s="205"/>
      <c r="D249" s="302"/>
      <c r="E249" s="303"/>
      <c r="F249" s="304"/>
      <c r="G249" s="312"/>
      <c r="H249" s="306"/>
      <c r="I249" s="302"/>
      <c r="J249" s="307"/>
      <c r="K249" s="313"/>
      <c r="L249" s="319"/>
      <c r="M249" s="316"/>
      <c r="N249" s="205"/>
      <c r="O249" s="311"/>
      <c r="P249" s="200"/>
      <c r="Q249" s="200"/>
      <c r="R249" s="58"/>
      <c r="S249" s="58"/>
      <c r="T249" s="58"/>
      <c r="U249" s="58"/>
      <c r="V249" s="58"/>
      <c r="W249" s="58"/>
      <c r="X249" s="58"/>
      <c r="Y249" s="58"/>
      <c r="Z249" s="58"/>
      <c r="AA249" s="58"/>
      <c r="AB249" s="58"/>
      <c r="AC249" s="58"/>
    </row>
    <row r="250">
      <c r="A250" s="320"/>
      <c r="B250" s="301"/>
      <c r="C250" s="205"/>
      <c r="D250" s="302"/>
      <c r="E250" s="303"/>
      <c r="F250" s="304"/>
      <c r="G250" s="312"/>
      <c r="H250" s="306"/>
      <c r="I250" s="302"/>
      <c r="J250" s="307"/>
      <c r="K250" s="313"/>
      <c r="L250" s="319"/>
      <c r="M250" s="316"/>
      <c r="N250" s="205"/>
      <c r="O250" s="311"/>
      <c r="P250" s="200"/>
      <c r="Q250" s="200"/>
      <c r="R250" s="58"/>
      <c r="S250" s="58"/>
      <c r="T250" s="58"/>
      <c r="U250" s="58"/>
      <c r="V250" s="58"/>
      <c r="W250" s="58"/>
      <c r="X250" s="58"/>
      <c r="Y250" s="58"/>
      <c r="Z250" s="58"/>
      <c r="AA250" s="58"/>
      <c r="AB250" s="58"/>
      <c r="AC250" s="58"/>
    </row>
    <row r="251">
      <c r="A251" s="320"/>
      <c r="B251" s="301"/>
      <c r="C251" s="205"/>
      <c r="D251" s="302"/>
      <c r="E251" s="303"/>
      <c r="F251" s="304"/>
      <c r="G251" s="312"/>
      <c r="H251" s="306"/>
      <c r="I251" s="302"/>
      <c r="J251" s="307"/>
      <c r="K251" s="313"/>
      <c r="L251" s="319"/>
      <c r="M251" s="316"/>
      <c r="N251" s="205"/>
      <c r="O251" s="311"/>
      <c r="P251" s="200"/>
      <c r="Q251" s="200"/>
      <c r="R251" s="58"/>
      <c r="S251" s="58"/>
      <c r="T251" s="58"/>
      <c r="U251" s="58"/>
      <c r="V251" s="58"/>
      <c r="W251" s="58"/>
      <c r="X251" s="58"/>
      <c r="Y251" s="58"/>
      <c r="Z251" s="58"/>
      <c r="AA251" s="58"/>
      <c r="AB251" s="58"/>
      <c r="AC251" s="58"/>
    </row>
    <row r="252">
      <c r="A252" s="320"/>
      <c r="B252" s="301"/>
      <c r="C252" s="205"/>
      <c r="D252" s="302"/>
      <c r="E252" s="303"/>
      <c r="F252" s="304"/>
      <c r="G252" s="312"/>
      <c r="H252" s="306"/>
      <c r="I252" s="302"/>
      <c r="J252" s="307"/>
      <c r="K252" s="313"/>
      <c r="L252" s="319"/>
      <c r="M252" s="316"/>
      <c r="N252" s="205"/>
      <c r="O252" s="311"/>
      <c r="P252" s="200"/>
      <c r="Q252" s="200"/>
      <c r="R252" s="58"/>
      <c r="S252" s="58"/>
      <c r="T252" s="58"/>
      <c r="U252" s="58"/>
      <c r="V252" s="58"/>
      <c r="W252" s="58"/>
      <c r="X252" s="58"/>
      <c r="Y252" s="58"/>
      <c r="Z252" s="58"/>
      <c r="AA252" s="58"/>
      <c r="AB252" s="58"/>
      <c r="AC252" s="58"/>
    </row>
    <row r="253">
      <c r="A253" s="320"/>
      <c r="B253" s="301"/>
      <c r="C253" s="205"/>
      <c r="D253" s="302"/>
      <c r="E253" s="303"/>
      <c r="F253" s="304"/>
      <c r="G253" s="312"/>
      <c r="H253" s="306"/>
      <c r="I253" s="302"/>
      <c r="J253" s="307"/>
      <c r="K253" s="313"/>
      <c r="L253" s="319"/>
      <c r="M253" s="316"/>
      <c r="N253" s="205"/>
      <c r="O253" s="311"/>
      <c r="P253" s="200"/>
      <c r="Q253" s="200"/>
      <c r="R253" s="58"/>
      <c r="S253" s="58"/>
      <c r="T253" s="58"/>
      <c r="U253" s="58"/>
      <c r="V253" s="58"/>
      <c r="W253" s="58"/>
      <c r="X253" s="58"/>
      <c r="Y253" s="58"/>
      <c r="Z253" s="58"/>
      <c r="AA253" s="58"/>
      <c r="AB253" s="58"/>
      <c r="AC253" s="58"/>
    </row>
    <row r="254">
      <c r="A254" s="320"/>
      <c r="B254" s="301"/>
      <c r="C254" s="205"/>
      <c r="D254" s="302"/>
      <c r="E254" s="303"/>
      <c r="F254" s="304"/>
      <c r="G254" s="312"/>
      <c r="H254" s="306"/>
      <c r="I254" s="302"/>
      <c r="J254" s="307"/>
      <c r="K254" s="313"/>
      <c r="L254" s="319"/>
      <c r="M254" s="316"/>
      <c r="N254" s="205"/>
      <c r="O254" s="311"/>
      <c r="P254" s="200"/>
      <c r="Q254" s="200"/>
      <c r="R254" s="58"/>
      <c r="S254" s="58"/>
      <c r="T254" s="58"/>
      <c r="U254" s="58"/>
      <c r="V254" s="58"/>
      <c r="W254" s="58"/>
      <c r="X254" s="58"/>
      <c r="Y254" s="58"/>
      <c r="Z254" s="58"/>
      <c r="AA254" s="58"/>
      <c r="AB254" s="58"/>
      <c r="AC254" s="58"/>
    </row>
    <row r="255">
      <c r="A255" s="320"/>
      <c r="B255" s="301"/>
      <c r="C255" s="205"/>
      <c r="D255" s="302"/>
      <c r="E255" s="303"/>
      <c r="F255" s="304"/>
      <c r="G255" s="312"/>
      <c r="H255" s="306"/>
      <c r="I255" s="302"/>
      <c r="J255" s="307"/>
      <c r="K255" s="313"/>
      <c r="L255" s="319"/>
      <c r="M255" s="316"/>
      <c r="N255" s="205"/>
      <c r="O255" s="311"/>
      <c r="P255" s="200"/>
      <c r="Q255" s="200"/>
      <c r="R255" s="58"/>
      <c r="S255" s="58"/>
      <c r="T255" s="58"/>
      <c r="U255" s="58"/>
      <c r="V255" s="58"/>
      <c r="W255" s="58"/>
      <c r="X255" s="58"/>
      <c r="Y255" s="58"/>
      <c r="Z255" s="58"/>
      <c r="AA255" s="58"/>
      <c r="AB255" s="58"/>
      <c r="AC255" s="58"/>
    </row>
    <row r="256">
      <c r="A256" s="320"/>
      <c r="B256" s="301"/>
      <c r="C256" s="205"/>
      <c r="D256" s="302"/>
      <c r="E256" s="303"/>
      <c r="F256" s="304"/>
      <c r="G256" s="312"/>
      <c r="H256" s="306"/>
      <c r="I256" s="302"/>
      <c r="J256" s="307"/>
      <c r="K256" s="313"/>
      <c r="L256" s="319"/>
      <c r="M256" s="316"/>
      <c r="N256" s="205"/>
      <c r="O256" s="311"/>
      <c r="P256" s="200"/>
      <c r="Q256" s="200"/>
      <c r="R256" s="58"/>
      <c r="S256" s="58"/>
      <c r="T256" s="58"/>
      <c r="U256" s="58"/>
      <c r="V256" s="58"/>
      <c r="W256" s="58"/>
      <c r="X256" s="58"/>
      <c r="Y256" s="58"/>
      <c r="Z256" s="58"/>
      <c r="AA256" s="58"/>
      <c r="AB256" s="58"/>
      <c r="AC256" s="58"/>
    </row>
    <row r="257">
      <c r="A257" s="320"/>
      <c r="B257" s="301"/>
      <c r="C257" s="205"/>
      <c r="D257" s="302"/>
      <c r="E257" s="303"/>
      <c r="F257" s="304"/>
      <c r="G257" s="312"/>
      <c r="H257" s="306"/>
      <c r="I257" s="302"/>
      <c r="J257" s="307"/>
      <c r="K257" s="313"/>
      <c r="L257" s="319"/>
      <c r="M257" s="316"/>
      <c r="N257" s="205"/>
      <c r="O257" s="311"/>
      <c r="P257" s="200"/>
      <c r="Q257" s="200"/>
      <c r="R257" s="58"/>
      <c r="S257" s="58"/>
      <c r="T257" s="58"/>
      <c r="U257" s="58"/>
      <c r="V257" s="58"/>
      <c r="W257" s="58"/>
      <c r="X257" s="58"/>
      <c r="Y257" s="58"/>
      <c r="Z257" s="58"/>
      <c r="AA257" s="58"/>
      <c r="AB257" s="58"/>
      <c r="AC257" s="58"/>
    </row>
    <row r="258">
      <c r="A258" s="320"/>
      <c r="B258" s="301"/>
      <c r="C258" s="205"/>
      <c r="D258" s="302"/>
      <c r="E258" s="303"/>
      <c r="F258" s="304"/>
      <c r="G258" s="312"/>
      <c r="H258" s="306"/>
      <c r="I258" s="302"/>
      <c r="J258" s="307"/>
      <c r="K258" s="313"/>
      <c r="L258" s="319"/>
      <c r="M258" s="316"/>
      <c r="N258" s="205"/>
      <c r="O258" s="311"/>
      <c r="P258" s="200"/>
      <c r="Q258" s="200"/>
      <c r="R258" s="58"/>
      <c r="S258" s="58"/>
      <c r="T258" s="58"/>
      <c r="U258" s="58"/>
      <c r="V258" s="58"/>
      <c r="W258" s="58"/>
      <c r="X258" s="58"/>
      <c r="Y258" s="58"/>
      <c r="Z258" s="58"/>
      <c r="AA258" s="58"/>
      <c r="AB258" s="58"/>
      <c r="AC258" s="58"/>
    </row>
    <row r="259">
      <c r="A259" s="320"/>
      <c r="B259" s="301"/>
      <c r="C259" s="205"/>
      <c r="D259" s="302"/>
      <c r="E259" s="303"/>
      <c r="F259" s="304"/>
      <c r="G259" s="312"/>
      <c r="H259" s="306"/>
      <c r="I259" s="302"/>
      <c r="J259" s="307"/>
      <c r="K259" s="313"/>
      <c r="L259" s="319"/>
      <c r="M259" s="316"/>
      <c r="N259" s="205"/>
      <c r="O259" s="311"/>
      <c r="P259" s="200"/>
      <c r="Q259" s="200"/>
      <c r="R259" s="58"/>
      <c r="S259" s="58"/>
      <c r="T259" s="58"/>
      <c r="U259" s="58"/>
      <c r="V259" s="58"/>
      <c r="W259" s="58"/>
      <c r="X259" s="58"/>
      <c r="Y259" s="58"/>
      <c r="Z259" s="58"/>
      <c r="AA259" s="58"/>
      <c r="AB259" s="58"/>
      <c r="AC259" s="58"/>
    </row>
    <row r="260">
      <c r="A260" s="320"/>
      <c r="B260" s="301"/>
      <c r="C260" s="205"/>
      <c r="D260" s="302"/>
      <c r="E260" s="303"/>
      <c r="F260" s="304"/>
      <c r="G260" s="312"/>
      <c r="H260" s="306"/>
      <c r="I260" s="302"/>
      <c r="J260" s="307"/>
      <c r="K260" s="313"/>
      <c r="L260" s="319"/>
      <c r="M260" s="316"/>
      <c r="N260" s="205"/>
      <c r="O260" s="311"/>
      <c r="P260" s="200"/>
      <c r="Q260" s="200"/>
      <c r="R260" s="58"/>
      <c r="S260" s="58"/>
      <c r="T260" s="58"/>
      <c r="U260" s="58"/>
      <c r="V260" s="58"/>
      <c r="W260" s="58"/>
      <c r="X260" s="58"/>
      <c r="Y260" s="58"/>
      <c r="Z260" s="58"/>
      <c r="AA260" s="58"/>
      <c r="AB260" s="58"/>
      <c r="AC260" s="58"/>
    </row>
    <row r="261">
      <c r="A261" s="320"/>
      <c r="B261" s="301"/>
      <c r="C261" s="205"/>
      <c r="D261" s="302"/>
      <c r="E261" s="303"/>
      <c r="F261" s="304"/>
      <c r="G261" s="312"/>
      <c r="H261" s="306"/>
      <c r="I261" s="302"/>
      <c r="J261" s="307"/>
      <c r="K261" s="313"/>
      <c r="L261" s="319"/>
      <c r="M261" s="316"/>
      <c r="N261" s="205"/>
      <c r="O261" s="311"/>
      <c r="P261" s="200"/>
      <c r="Q261" s="200"/>
      <c r="R261" s="58"/>
      <c r="S261" s="58"/>
      <c r="T261" s="58"/>
      <c r="U261" s="58"/>
      <c r="V261" s="58"/>
      <c r="W261" s="58"/>
      <c r="X261" s="58"/>
      <c r="Y261" s="58"/>
      <c r="Z261" s="58"/>
      <c r="AA261" s="58"/>
      <c r="AB261" s="58"/>
      <c r="AC261" s="58"/>
    </row>
    <row r="262">
      <c r="A262" s="320"/>
      <c r="B262" s="301"/>
      <c r="C262" s="205"/>
      <c r="D262" s="302"/>
      <c r="E262" s="303"/>
      <c r="F262" s="304"/>
      <c r="G262" s="312"/>
      <c r="H262" s="306"/>
      <c r="I262" s="302"/>
      <c r="J262" s="307"/>
      <c r="K262" s="313"/>
      <c r="L262" s="319"/>
      <c r="M262" s="316"/>
      <c r="N262" s="205"/>
      <c r="O262" s="311"/>
      <c r="P262" s="200"/>
      <c r="Q262" s="200"/>
      <c r="R262" s="58"/>
      <c r="S262" s="58"/>
      <c r="T262" s="58"/>
      <c r="U262" s="58"/>
      <c r="V262" s="58"/>
      <c r="W262" s="58"/>
      <c r="X262" s="58"/>
      <c r="Y262" s="58"/>
      <c r="Z262" s="58"/>
      <c r="AA262" s="58"/>
      <c r="AB262" s="58"/>
      <c r="AC262" s="58"/>
    </row>
    <row r="263">
      <c r="A263" s="320"/>
      <c r="B263" s="301"/>
      <c r="C263" s="205"/>
      <c r="D263" s="302"/>
      <c r="E263" s="303"/>
      <c r="F263" s="304"/>
      <c r="G263" s="312"/>
      <c r="H263" s="306"/>
      <c r="I263" s="302"/>
      <c r="J263" s="307"/>
      <c r="K263" s="313"/>
      <c r="L263" s="319"/>
      <c r="M263" s="316"/>
      <c r="N263" s="205"/>
      <c r="O263" s="311"/>
      <c r="P263" s="200"/>
      <c r="Q263" s="200"/>
      <c r="R263" s="58"/>
      <c r="S263" s="58"/>
      <c r="T263" s="58"/>
      <c r="U263" s="58"/>
      <c r="V263" s="58"/>
      <c r="W263" s="58"/>
      <c r="X263" s="58"/>
      <c r="Y263" s="58"/>
      <c r="Z263" s="58"/>
      <c r="AA263" s="58"/>
      <c r="AB263" s="58"/>
      <c r="AC263" s="58"/>
    </row>
    <row r="264">
      <c r="A264" s="320"/>
      <c r="B264" s="301"/>
      <c r="C264" s="205"/>
      <c r="D264" s="302"/>
      <c r="E264" s="303"/>
      <c r="F264" s="304"/>
      <c r="G264" s="312"/>
      <c r="H264" s="306"/>
      <c r="I264" s="302"/>
      <c r="J264" s="307"/>
      <c r="K264" s="313"/>
      <c r="L264" s="319"/>
      <c r="M264" s="316"/>
      <c r="N264" s="205"/>
      <c r="O264" s="311"/>
      <c r="P264" s="200"/>
      <c r="Q264" s="200"/>
      <c r="R264" s="58"/>
      <c r="S264" s="58"/>
      <c r="T264" s="58"/>
      <c r="U264" s="58"/>
      <c r="V264" s="58"/>
      <c r="W264" s="58"/>
      <c r="X264" s="58"/>
      <c r="Y264" s="58"/>
      <c r="Z264" s="58"/>
      <c r="AA264" s="58"/>
      <c r="AB264" s="58"/>
      <c r="AC264" s="58"/>
    </row>
    <row r="265">
      <c r="A265" s="320"/>
      <c r="B265" s="301"/>
      <c r="C265" s="205"/>
      <c r="D265" s="302"/>
      <c r="E265" s="303"/>
      <c r="F265" s="304"/>
      <c r="G265" s="312"/>
      <c r="H265" s="306"/>
      <c r="I265" s="302"/>
      <c r="J265" s="307"/>
      <c r="K265" s="313"/>
      <c r="L265" s="319"/>
      <c r="M265" s="316"/>
      <c r="N265" s="205"/>
      <c r="O265" s="311"/>
      <c r="P265" s="200"/>
      <c r="Q265" s="200"/>
      <c r="R265" s="58"/>
      <c r="S265" s="58"/>
      <c r="T265" s="58"/>
      <c r="U265" s="58"/>
      <c r="V265" s="58"/>
      <c r="W265" s="58"/>
      <c r="X265" s="58"/>
      <c r="Y265" s="58"/>
      <c r="Z265" s="58"/>
      <c r="AA265" s="58"/>
      <c r="AB265" s="58"/>
      <c r="AC265" s="58"/>
    </row>
    <row r="266">
      <c r="A266" s="320"/>
      <c r="B266" s="301"/>
      <c r="C266" s="205"/>
      <c r="D266" s="302"/>
      <c r="E266" s="303"/>
      <c r="F266" s="304"/>
      <c r="G266" s="312"/>
      <c r="H266" s="306"/>
      <c r="I266" s="302"/>
      <c r="J266" s="307"/>
      <c r="K266" s="313"/>
      <c r="L266" s="319"/>
      <c r="M266" s="316"/>
      <c r="N266" s="205"/>
      <c r="O266" s="311"/>
      <c r="P266" s="200"/>
      <c r="Q266" s="200"/>
      <c r="R266" s="58"/>
      <c r="S266" s="58"/>
      <c r="T266" s="58"/>
      <c r="U266" s="58"/>
      <c r="V266" s="58"/>
      <c r="W266" s="58"/>
      <c r="X266" s="58"/>
      <c r="Y266" s="58"/>
      <c r="Z266" s="58"/>
      <c r="AA266" s="58"/>
      <c r="AB266" s="58"/>
      <c r="AC266" s="58"/>
    </row>
    <row r="267">
      <c r="A267" s="320"/>
      <c r="B267" s="301"/>
      <c r="C267" s="205"/>
      <c r="D267" s="302"/>
      <c r="E267" s="303"/>
      <c r="F267" s="304"/>
      <c r="G267" s="312"/>
      <c r="H267" s="306"/>
      <c r="I267" s="302"/>
      <c r="J267" s="307"/>
      <c r="K267" s="313"/>
      <c r="L267" s="319"/>
      <c r="M267" s="316"/>
      <c r="N267" s="205"/>
      <c r="O267" s="311"/>
      <c r="P267" s="200"/>
      <c r="Q267" s="200"/>
      <c r="R267" s="58"/>
      <c r="S267" s="58"/>
      <c r="T267" s="58"/>
      <c r="U267" s="58"/>
      <c r="V267" s="58"/>
      <c r="W267" s="58"/>
      <c r="X267" s="58"/>
      <c r="Y267" s="58"/>
      <c r="Z267" s="58"/>
      <c r="AA267" s="58"/>
      <c r="AB267" s="58"/>
      <c r="AC267" s="58"/>
    </row>
    <row r="268">
      <c r="A268" s="320"/>
      <c r="B268" s="301"/>
      <c r="C268" s="205"/>
      <c r="D268" s="302"/>
      <c r="E268" s="303"/>
      <c r="F268" s="304"/>
      <c r="G268" s="312"/>
      <c r="H268" s="306"/>
      <c r="I268" s="302"/>
      <c r="J268" s="307"/>
      <c r="K268" s="313"/>
      <c r="L268" s="319"/>
      <c r="M268" s="316"/>
      <c r="N268" s="205"/>
      <c r="O268" s="311"/>
      <c r="P268" s="200"/>
      <c r="Q268" s="200"/>
      <c r="R268" s="58"/>
      <c r="S268" s="58"/>
      <c r="T268" s="58"/>
      <c r="U268" s="58"/>
      <c r="V268" s="58"/>
      <c r="W268" s="58"/>
      <c r="X268" s="58"/>
      <c r="Y268" s="58"/>
      <c r="Z268" s="58"/>
      <c r="AA268" s="58"/>
      <c r="AB268" s="58"/>
      <c r="AC268" s="58"/>
    </row>
    <row r="269">
      <c r="A269" s="320"/>
      <c r="B269" s="301"/>
      <c r="C269" s="205"/>
      <c r="D269" s="302"/>
      <c r="E269" s="303"/>
      <c r="F269" s="304"/>
      <c r="G269" s="312"/>
      <c r="H269" s="306"/>
      <c r="I269" s="302"/>
      <c r="J269" s="307"/>
      <c r="K269" s="313"/>
      <c r="L269" s="319"/>
      <c r="M269" s="316"/>
      <c r="N269" s="205"/>
      <c r="O269" s="311"/>
      <c r="P269" s="200"/>
      <c r="Q269" s="200"/>
      <c r="R269" s="58"/>
      <c r="S269" s="58"/>
      <c r="T269" s="58"/>
      <c r="U269" s="58"/>
      <c r="V269" s="58"/>
      <c r="W269" s="58"/>
      <c r="X269" s="58"/>
      <c r="Y269" s="58"/>
      <c r="Z269" s="58"/>
      <c r="AA269" s="58"/>
      <c r="AB269" s="58"/>
      <c r="AC269" s="58"/>
    </row>
    <row r="270">
      <c r="A270" s="320"/>
      <c r="B270" s="301"/>
      <c r="C270" s="205"/>
      <c r="D270" s="302"/>
      <c r="E270" s="303"/>
      <c r="F270" s="304"/>
      <c r="G270" s="312"/>
      <c r="H270" s="306"/>
      <c r="I270" s="302"/>
      <c r="J270" s="307"/>
      <c r="K270" s="313"/>
      <c r="L270" s="319"/>
      <c r="M270" s="316"/>
      <c r="N270" s="205"/>
      <c r="O270" s="311"/>
      <c r="P270" s="200"/>
      <c r="Q270" s="200"/>
      <c r="R270" s="58"/>
      <c r="S270" s="58"/>
      <c r="T270" s="58"/>
      <c r="U270" s="58"/>
      <c r="V270" s="58"/>
      <c r="W270" s="58"/>
      <c r="X270" s="58"/>
      <c r="Y270" s="58"/>
      <c r="Z270" s="58"/>
      <c r="AA270" s="58"/>
      <c r="AB270" s="58"/>
      <c r="AC270" s="58"/>
    </row>
    <row r="271">
      <c r="A271" s="320"/>
      <c r="B271" s="301"/>
      <c r="C271" s="205"/>
      <c r="D271" s="302"/>
      <c r="E271" s="303"/>
      <c r="F271" s="304"/>
      <c r="G271" s="312"/>
      <c r="H271" s="306"/>
      <c r="I271" s="302"/>
      <c r="J271" s="307"/>
      <c r="K271" s="313"/>
      <c r="L271" s="319"/>
      <c r="M271" s="316"/>
      <c r="N271" s="205"/>
      <c r="O271" s="311"/>
      <c r="P271" s="200"/>
      <c r="Q271" s="200"/>
      <c r="R271" s="58"/>
      <c r="S271" s="58"/>
      <c r="T271" s="58"/>
      <c r="U271" s="58"/>
      <c r="V271" s="58"/>
      <c r="W271" s="58"/>
      <c r="X271" s="58"/>
      <c r="Y271" s="58"/>
      <c r="Z271" s="58"/>
      <c r="AA271" s="58"/>
      <c r="AB271" s="58"/>
      <c r="AC271" s="58"/>
    </row>
    <row r="272">
      <c r="A272" s="320"/>
      <c r="B272" s="301"/>
      <c r="C272" s="205"/>
      <c r="D272" s="302"/>
      <c r="E272" s="303"/>
      <c r="F272" s="304"/>
      <c r="G272" s="312"/>
      <c r="H272" s="306"/>
      <c r="I272" s="302"/>
      <c r="J272" s="307"/>
      <c r="K272" s="313"/>
      <c r="L272" s="319"/>
      <c r="M272" s="316"/>
      <c r="N272" s="205"/>
      <c r="O272" s="311"/>
      <c r="P272" s="200"/>
      <c r="Q272" s="200"/>
      <c r="R272" s="58"/>
      <c r="S272" s="58"/>
      <c r="T272" s="58"/>
      <c r="U272" s="58"/>
      <c r="V272" s="58"/>
      <c r="W272" s="58"/>
      <c r="X272" s="58"/>
      <c r="Y272" s="58"/>
      <c r="Z272" s="58"/>
      <c r="AA272" s="58"/>
      <c r="AB272" s="58"/>
      <c r="AC272" s="58"/>
    </row>
    <row r="273">
      <c r="A273" s="320"/>
      <c r="B273" s="301"/>
      <c r="C273" s="205"/>
      <c r="D273" s="302"/>
      <c r="E273" s="303"/>
      <c r="F273" s="304"/>
      <c r="G273" s="312"/>
      <c r="H273" s="306"/>
      <c r="I273" s="302"/>
      <c r="J273" s="307"/>
      <c r="K273" s="313"/>
      <c r="L273" s="319"/>
      <c r="M273" s="316"/>
      <c r="N273" s="205"/>
      <c r="O273" s="311"/>
      <c r="P273" s="200"/>
      <c r="Q273" s="200"/>
      <c r="R273" s="58"/>
      <c r="S273" s="58"/>
      <c r="T273" s="58"/>
      <c r="U273" s="58"/>
      <c r="V273" s="58"/>
      <c r="W273" s="58"/>
      <c r="X273" s="58"/>
      <c r="Y273" s="58"/>
      <c r="Z273" s="58"/>
      <c r="AA273" s="58"/>
      <c r="AB273" s="58"/>
      <c r="AC273" s="58"/>
    </row>
    <row r="274">
      <c r="A274" s="320"/>
      <c r="B274" s="301"/>
      <c r="C274" s="205"/>
      <c r="D274" s="302"/>
      <c r="E274" s="303"/>
      <c r="F274" s="304"/>
      <c r="G274" s="312"/>
      <c r="H274" s="306"/>
      <c r="I274" s="302"/>
      <c r="J274" s="307"/>
      <c r="K274" s="313"/>
      <c r="L274" s="319"/>
      <c r="M274" s="316"/>
      <c r="N274" s="205"/>
      <c r="O274" s="311"/>
      <c r="P274" s="200"/>
      <c r="Q274" s="200"/>
      <c r="R274" s="58"/>
      <c r="S274" s="58"/>
      <c r="T274" s="58"/>
      <c r="U274" s="58"/>
      <c r="V274" s="58"/>
      <c r="W274" s="58"/>
      <c r="X274" s="58"/>
      <c r="Y274" s="58"/>
      <c r="Z274" s="58"/>
      <c r="AA274" s="58"/>
      <c r="AB274" s="58"/>
      <c r="AC274" s="58"/>
    </row>
    <row r="275">
      <c r="A275" s="320"/>
      <c r="B275" s="301"/>
      <c r="C275" s="205"/>
      <c r="D275" s="302"/>
      <c r="E275" s="303"/>
      <c r="F275" s="304"/>
      <c r="G275" s="312"/>
      <c r="H275" s="306"/>
      <c r="I275" s="302"/>
      <c r="J275" s="307"/>
      <c r="K275" s="313"/>
      <c r="L275" s="319"/>
      <c r="M275" s="316"/>
      <c r="N275" s="205"/>
      <c r="O275" s="311"/>
      <c r="P275" s="200"/>
      <c r="Q275" s="200"/>
      <c r="R275" s="58"/>
      <c r="S275" s="58"/>
      <c r="T275" s="58"/>
      <c r="U275" s="58"/>
      <c r="V275" s="58"/>
      <c r="W275" s="58"/>
      <c r="X275" s="58"/>
      <c r="Y275" s="58"/>
      <c r="Z275" s="58"/>
      <c r="AA275" s="58"/>
      <c r="AB275" s="58"/>
      <c r="AC275" s="58"/>
    </row>
    <row r="276">
      <c r="A276" s="320"/>
      <c r="B276" s="301"/>
      <c r="C276" s="205"/>
      <c r="D276" s="302"/>
      <c r="E276" s="303"/>
      <c r="F276" s="304"/>
      <c r="G276" s="312"/>
      <c r="H276" s="306"/>
      <c r="I276" s="302"/>
      <c r="J276" s="307"/>
      <c r="K276" s="313"/>
      <c r="L276" s="319"/>
      <c r="M276" s="316"/>
      <c r="N276" s="205"/>
      <c r="O276" s="311"/>
      <c r="P276" s="200"/>
      <c r="Q276" s="200"/>
      <c r="R276" s="58"/>
      <c r="S276" s="58"/>
      <c r="T276" s="58"/>
      <c r="U276" s="58"/>
      <c r="V276" s="58"/>
      <c r="W276" s="58"/>
      <c r="X276" s="58"/>
      <c r="Y276" s="58"/>
      <c r="Z276" s="58"/>
      <c r="AA276" s="58"/>
      <c r="AB276" s="58"/>
      <c r="AC276" s="58"/>
    </row>
    <row r="277">
      <c r="A277" s="320"/>
      <c r="B277" s="301"/>
      <c r="C277" s="205"/>
      <c r="D277" s="302"/>
      <c r="E277" s="303"/>
      <c r="F277" s="304"/>
      <c r="G277" s="312"/>
      <c r="H277" s="306"/>
      <c r="I277" s="302"/>
      <c r="J277" s="307"/>
      <c r="K277" s="313"/>
      <c r="L277" s="319"/>
      <c r="M277" s="316"/>
      <c r="N277" s="205"/>
      <c r="O277" s="311"/>
      <c r="P277" s="200"/>
      <c r="Q277" s="200"/>
      <c r="R277" s="58"/>
      <c r="S277" s="58"/>
      <c r="T277" s="58"/>
      <c r="U277" s="58"/>
      <c r="V277" s="58"/>
      <c r="W277" s="58"/>
      <c r="X277" s="58"/>
      <c r="Y277" s="58"/>
      <c r="Z277" s="58"/>
      <c r="AA277" s="58"/>
      <c r="AB277" s="58"/>
      <c r="AC277" s="58"/>
    </row>
    <row r="278">
      <c r="A278" s="320"/>
      <c r="B278" s="301"/>
      <c r="C278" s="205"/>
      <c r="D278" s="302"/>
      <c r="E278" s="303"/>
      <c r="F278" s="304"/>
      <c r="G278" s="312"/>
      <c r="H278" s="306"/>
      <c r="I278" s="302"/>
      <c r="J278" s="307"/>
      <c r="K278" s="313"/>
      <c r="L278" s="319"/>
      <c r="M278" s="316"/>
      <c r="N278" s="205"/>
      <c r="O278" s="311"/>
      <c r="P278" s="200"/>
      <c r="Q278" s="200"/>
      <c r="R278" s="58"/>
      <c r="S278" s="58"/>
      <c r="T278" s="58"/>
      <c r="U278" s="58"/>
      <c r="V278" s="58"/>
      <c r="W278" s="58"/>
      <c r="X278" s="58"/>
      <c r="Y278" s="58"/>
      <c r="Z278" s="58"/>
      <c r="AA278" s="58"/>
      <c r="AB278" s="58"/>
      <c r="AC278" s="58"/>
    </row>
    <row r="279">
      <c r="A279" s="320"/>
      <c r="B279" s="301"/>
      <c r="C279" s="205"/>
      <c r="D279" s="302"/>
      <c r="E279" s="303"/>
      <c r="F279" s="304"/>
      <c r="G279" s="312"/>
      <c r="H279" s="306"/>
      <c r="I279" s="302"/>
      <c r="J279" s="307"/>
      <c r="K279" s="313"/>
      <c r="L279" s="319"/>
      <c r="M279" s="316"/>
      <c r="N279" s="205"/>
      <c r="O279" s="311"/>
      <c r="P279" s="200"/>
      <c r="Q279" s="200"/>
      <c r="R279" s="58"/>
      <c r="S279" s="58"/>
      <c r="T279" s="58"/>
      <c r="U279" s="58"/>
      <c r="V279" s="58"/>
      <c r="W279" s="58"/>
      <c r="X279" s="58"/>
      <c r="Y279" s="58"/>
      <c r="Z279" s="58"/>
      <c r="AA279" s="58"/>
      <c r="AB279" s="58"/>
      <c r="AC279" s="58"/>
    </row>
    <row r="280">
      <c r="A280" s="320"/>
      <c r="B280" s="301"/>
      <c r="C280" s="205"/>
      <c r="D280" s="302"/>
      <c r="E280" s="303"/>
      <c r="F280" s="304"/>
      <c r="G280" s="312"/>
      <c r="H280" s="306"/>
      <c r="I280" s="302"/>
      <c r="J280" s="307"/>
      <c r="K280" s="313"/>
      <c r="L280" s="319"/>
      <c r="M280" s="316"/>
      <c r="N280" s="205"/>
      <c r="O280" s="311"/>
      <c r="P280" s="200"/>
      <c r="Q280" s="200"/>
      <c r="R280" s="58"/>
      <c r="S280" s="58"/>
      <c r="T280" s="58"/>
      <c r="U280" s="58"/>
      <c r="V280" s="58"/>
      <c r="W280" s="58"/>
      <c r="X280" s="58"/>
      <c r="Y280" s="58"/>
      <c r="Z280" s="58"/>
      <c r="AA280" s="58"/>
      <c r="AB280" s="58"/>
      <c r="AC280" s="58"/>
    </row>
    <row r="281">
      <c r="A281" s="320"/>
      <c r="B281" s="301"/>
      <c r="C281" s="205"/>
      <c r="D281" s="302"/>
      <c r="E281" s="303"/>
      <c r="F281" s="304"/>
      <c r="G281" s="312"/>
      <c r="H281" s="306"/>
      <c r="I281" s="302"/>
      <c r="J281" s="307"/>
      <c r="K281" s="313"/>
      <c r="L281" s="319"/>
      <c r="M281" s="316"/>
      <c r="N281" s="205"/>
      <c r="O281" s="311"/>
      <c r="P281" s="200"/>
      <c r="Q281" s="200"/>
      <c r="R281" s="58"/>
      <c r="S281" s="58"/>
      <c r="T281" s="58"/>
      <c r="U281" s="58"/>
      <c r="V281" s="58"/>
      <c r="W281" s="58"/>
      <c r="X281" s="58"/>
      <c r="Y281" s="58"/>
      <c r="Z281" s="58"/>
      <c r="AA281" s="58"/>
      <c r="AB281" s="58"/>
      <c r="AC281" s="58"/>
    </row>
    <row r="282">
      <c r="A282" s="320"/>
      <c r="B282" s="301"/>
      <c r="C282" s="205"/>
      <c r="D282" s="302"/>
      <c r="E282" s="303"/>
      <c r="F282" s="304"/>
      <c r="G282" s="312"/>
      <c r="H282" s="306"/>
      <c r="I282" s="302"/>
      <c r="J282" s="307"/>
      <c r="K282" s="313"/>
      <c r="L282" s="319"/>
      <c r="M282" s="316"/>
      <c r="N282" s="205"/>
      <c r="O282" s="311"/>
      <c r="P282" s="200"/>
      <c r="Q282" s="200"/>
      <c r="R282" s="58"/>
      <c r="S282" s="58"/>
      <c r="T282" s="58"/>
      <c r="U282" s="58"/>
      <c r="V282" s="58"/>
      <c r="W282" s="58"/>
      <c r="X282" s="58"/>
      <c r="Y282" s="58"/>
      <c r="Z282" s="58"/>
      <c r="AA282" s="58"/>
      <c r="AB282" s="58"/>
      <c r="AC282" s="58"/>
    </row>
    <row r="283">
      <c r="A283" s="320"/>
      <c r="B283" s="301"/>
      <c r="C283" s="205"/>
      <c r="D283" s="302"/>
      <c r="E283" s="303"/>
      <c r="F283" s="304"/>
      <c r="G283" s="312"/>
      <c r="H283" s="306"/>
      <c r="I283" s="302"/>
      <c r="J283" s="307"/>
      <c r="K283" s="313"/>
      <c r="L283" s="319"/>
      <c r="M283" s="316"/>
      <c r="N283" s="205"/>
      <c r="O283" s="311"/>
      <c r="P283" s="200"/>
      <c r="Q283" s="200"/>
      <c r="R283" s="58"/>
      <c r="S283" s="58"/>
      <c r="T283" s="58"/>
      <c r="U283" s="58"/>
      <c r="V283" s="58"/>
      <c r="W283" s="58"/>
      <c r="X283" s="58"/>
      <c r="Y283" s="58"/>
      <c r="Z283" s="58"/>
      <c r="AA283" s="58"/>
      <c r="AB283" s="58"/>
      <c r="AC283" s="58"/>
    </row>
    <row r="284">
      <c r="A284" s="320"/>
      <c r="B284" s="301"/>
      <c r="C284" s="205"/>
      <c r="D284" s="302"/>
      <c r="E284" s="303"/>
      <c r="F284" s="304"/>
      <c r="G284" s="312"/>
      <c r="H284" s="306"/>
      <c r="I284" s="302"/>
      <c r="J284" s="307"/>
      <c r="K284" s="313"/>
      <c r="L284" s="319"/>
      <c r="M284" s="316"/>
      <c r="N284" s="205"/>
      <c r="O284" s="311"/>
      <c r="P284" s="200"/>
      <c r="Q284" s="200"/>
      <c r="R284" s="58"/>
      <c r="S284" s="58"/>
      <c r="T284" s="58"/>
      <c r="U284" s="58"/>
      <c r="V284" s="58"/>
      <c r="W284" s="58"/>
      <c r="X284" s="58"/>
      <c r="Y284" s="58"/>
      <c r="Z284" s="58"/>
      <c r="AA284" s="58"/>
      <c r="AB284" s="58"/>
      <c r="AC284" s="58"/>
    </row>
    <row r="285">
      <c r="A285" s="320"/>
      <c r="B285" s="301"/>
      <c r="C285" s="205"/>
      <c r="D285" s="302"/>
      <c r="E285" s="303"/>
      <c r="F285" s="304"/>
      <c r="G285" s="312"/>
      <c r="H285" s="306"/>
      <c r="I285" s="302"/>
      <c r="J285" s="307"/>
      <c r="K285" s="313"/>
      <c r="L285" s="319"/>
      <c r="M285" s="316"/>
      <c r="N285" s="205"/>
      <c r="O285" s="311"/>
      <c r="P285" s="200"/>
      <c r="Q285" s="200"/>
      <c r="R285" s="58"/>
      <c r="S285" s="58"/>
      <c r="T285" s="58"/>
      <c r="U285" s="58"/>
      <c r="V285" s="58"/>
      <c r="W285" s="58"/>
      <c r="X285" s="58"/>
      <c r="Y285" s="58"/>
      <c r="Z285" s="58"/>
      <c r="AA285" s="58"/>
      <c r="AB285" s="58"/>
      <c r="AC285" s="58"/>
    </row>
    <row r="286">
      <c r="A286" s="320"/>
      <c r="B286" s="301"/>
      <c r="C286" s="205"/>
      <c r="D286" s="302"/>
      <c r="E286" s="303"/>
      <c r="F286" s="304"/>
      <c r="G286" s="312"/>
      <c r="H286" s="306"/>
      <c r="I286" s="302"/>
      <c r="J286" s="307"/>
      <c r="K286" s="313"/>
      <c r="L286" s="319"/>
      <c r="M286" s="316"/>
      <c r="N286" s="205"/>
      <c r="O286" s="311"/>
      <c r="P286" s="200"/>
      <c r="Q286" s="200"/>
      <c r="R286" s="58"/>
      <c r="S286" s="58"/>
      <c r="T286" s="58"/>
      <c r="U286" s="58"/>
      <c r="V286" s="58"/>
      <c r="W286" s="58"/>
      <c r="X286" s="58"/>
      <c r="Y286" s="58"/>
      <c r="Z286" s="58"/>
      <c r="AA286" s="58"/>
      <c r="AB286" s="58"/>
      <c r="AC286" s="58"/>
    </row>
    <row r="287">
      <c r="A287" s="320"/>
      <c r="B287" s="301"/>
      <c r="C287" s="205"/>
      <c r="D287" s="302"/>
      <c r="E287" s="303"/>
      <c r="F287" s="304"/>
      <c r="G287" s="312"/>
      <c r="H287" s="306"/>
      <c r="I287" s="302"/>
      <c r="J287" s="307"/>
      <c r="K287" s="313"/>
      <c r="L287" s="319"/>
      <c r="M287" s="316"/>
      <c r="N287" s="205"/>
      <c r="O287" s="311"/>
      <c r="P287" s="200"/>
      <c r="Q287" s="200"/>
      <c r="R287" s="58"/>
      <c r="S287" s="58"/>
      <c r="T287" s="58"/>
      <c r="U287" s="58"/>
      <c r="V287" s="58"/>
      <c r="W287" s="58"/>
      <c r="X287" s="58"/>
      <c r="Y287" s="58"/>
      <c r="Z287" s="58"/>
      <c r="AA287" s="58"/>
      <c r="AB287" s="58"/>
      <c r="AC287" s="58"/>
    </row>
    <row r="288">
      <c r="A288" s="320"/>
      <c r="B288" s="301"/>
      <c r="C288" s="205"/>
      <c r="D288" s="302"/>
      <c r="E288" s="303"/>
      <c r="F288" s="304"/>
      <c r="G288" s="312"/>
      <c r="H288" s="306"/>
      <c r="I288" s="302"/>
      <c r="J288" s="307"/>
      <c r="K288" s="313"/>
      <c r="L288" s="319"/>
      <c r="M288" s="316"/>
      <c r="N288" s="205"/>
      <c r="O288" s="311"/>
      <c r="P288" s="200"/>
      <c r="Q288" s="200"/>
      <c r="R288" s="58"/>
      <c r="S288" s="58"/>
      <c r="T288" s="58"/>
      <c r="U288" s="58"/>
      <c r="V288" s="58"/>
      <c r="W288" s="58"/>
      <c r="X288" s="58"/>
      <c r="Y288" s="58"/>
      <c r="Z288" s="58"/>
      <c r="AA288" s="58"/>
      <c r="AB288" s="58"/>
      <c r="AC288" s="58"/>
    </row>
    <row r="289">
      <c r="A289" s="320"/>
      <c r="B289" s="301"/>
      <c r="C289" s="205"/>
      <c r="D289" s="302"/>
      <c r="E289" s="303"/>
      <c r="F289" s="304"/>
      <c r="G289" s="312"/>
      <c r="H289" s="306"/>
      <c r="I289" s="302"/>
      <c r="J289" s="307"/>
      <c r="K289" s="313"/>
      <c r="L289" s="319"/>
      <c r="M289" s="316"/>
      <c r="N289" s="205"/>
      <c r="O289" s="311"/>
      <c r="P289" s="200"/>
      <c r="Q289" s="200"/>
      <c r="R289" s="58"/>
      <c r="S289" s="58"/>
      <c r="T289" s="58"/>
      <c r="U289" s="58"/>
      <c r="V289" s="58"/>
      <c r="W289" s="58"/>
      <c r="X289" s="58"/>
      <c r="Y289" s="58"/>
      <c r="Z289" s="58"/>
      <c r="AA289" s="58"/>
      <c r="AB289" s="58"/>
      <c r="AC289" s="58"/>
    </row>
    <row r="290">
      <c r="A290" s="320"/>
      <c r="B290" s="301"/>
      <c r="C290" s="205"/>
      <c r="D290" s="302"/>
      <c r="E290" s="303"/>
      <c r="F290" s="304"/>
      <c r="G290" s="312"/>
      <c r="H290" s="306"/>
      <c r="I290" s="302"/>
      <c r="J290" s="307"/>
      <c r="K290" s="313"/>
      <c r="L290" s="319"/>
      <c r="M290" s="316"/>
      <c r="N290" s="205"/>
      <c r="O290" s="311"/>
      <c r="P290" s="200"/>
      <c r="Q290" s="200"/>
      <c r="R290" s="58"/>
      <c r="S290" s="58"/>
      <c r="T290" s="58"/>
      <c r="U290" s="58"/>
      <c r="V290" s="58"/>
      <c r="W290" s="58"/>
      <c r="X290" s="58"/>
      <c r="Y290" s="58"/>
      <c r="Z290" s="58"/>
      <c r="AA290" s="58"/>
      <c r="AB290" s="58"/>
      <c r="AC290" s="58"/>
    </row>
    <row r="291">
      <c r="A291" s="320"/>
      <c r="B291" s="301"/>
      <c r="C291" s="205"/>
      <c r="D291" s="302"/>
      <c r="E291" s="303"/>
      <c r="F291" s="304"/>
      <c r="G291" s="312"/>
      <c r="H291" s="306"/>
      <c r="I291" s="302"/>
      <c r="J291" s="307"/>
      <c r="K291" s="313"/>
      <c r="L291" s="319"/>
      <c r="M291" s="316"/>
      <c r="N291" s="205"/>
      <c r="O291" s="311"/>
      <c r="P291" s="200"/>
      <c r="Q291" s="200"/>
      <c r="R291" s="58"/>
      <c r="S291" s="58"/>
      <c r="T291" s="58"/>
      <c r="U291" s="58"/>
      <c r="V291" s="58"/>
      <c r="W291" s="58"/>
      <c r="X291" s="58"/>
      <c r="Y291" s="58"/>
      <c r="Z291" s="58"/>
      <c r="AA291" s="58"/>
      <c r="AB291" s="58"/>
      <c r="AC291" s="58"/>
    </row>
    <row r="292">
      <c r="A292" s="320"/>
      <c r="B292" s="301"/>
      <c r="C292" s="205"/>
      <c r="D292" s="302"/>
      <c r="E292" s="303"/>
      <c r="F292" s="304"/>
      <c r="G292" s="312"/>
      <c r="H292" s="306"/>
      <c r="I292" s="302"/>
      <c r="J292" s="307"/>
      <c r="K292" s="313"/>
      <c r="L292" s="319"/>
      <c r="M292" s="316"/>
      <c r="N292" s="205"/>
      <c r="O292" s="311"/>
      <c r="P292" s="200"/>
      <c r="Q292" s="200"/>
      <c r="R292" s="58"/>
      <c r="S292" s="58"/>
      <c r="T292" s="58"/>
      <c r="U292" s="58"/>
      <c r="V292" s="58"/>
      <c r="W292" s="58"/>
      <c r="X292" s="58"/>
      <c r="Y292" s="58"/>
      <c r="Z292" s="58"/>
      <c r="AA292" s="58"/>
      <c r="AB292" s="58"/>
      <c r="AC292" s="58"/>
    </row>
    <row r="293">
      <c r="A293" s="320"/>
      <c r="B293" s="301"/>
      <c r="C293" s="205"/>
      <c r="D293" s="302"/>
      <c r="E293" s="303"/>
      <c r="F293" s="304"/>
      <c r="G293" s="312"/>
      <c r="H293" s="306"/>
      <c r="I293" s="302"/>
      <c r="J293" s="307"/>
      <c r="K293" s="313"/>
      <c r="L293" s="319"/>
      <c r="M293" s="316"/>
      <c r="N293" s="205"/>
      <c r="O293" s="311"/>
      <c r="P293" s="200"/>
      <c r="Q293" s="200"/>
      <c r="R293" s="58"/>
      <c r="S293" s="58"/>
      <c r="T293" s="58"/>
      <c r="U293" s="58"/>
      <c r="V293" s="58"/>
      <c r="W293" s="58"/>
      <c r="X293" s="58"/>
      <c r="Y293" s="58"/>
      <c r="Z293" s="58"/>
      <c r="AA293" s="58"/>
      <c r="AB293" s="58"/>
      <c r="AC293" s="58"/>
    </row>
    <row r="294">
      <c r="A294" s="320"/>
      <c r="B294" s="301"/>
      <c r="C294" s="205"/>
      <c r="D294" s="302"/>
      <c r="E294" s="303"/>
      <c r="F294" s="304"/>
      <c r="G294" s="312"/>
      <c r="H294" s="306"/>
      <c r="I294" s="302"/>
      <c r="J294" s="307"/>
      <c r="K294" s="313"/>
      <c r="L294" s="319"/>
      <c r="M294" s="316"/>
      <c r="N294" s="205"/>
      <c r="O294" s="311"/>
      <c r="P294" s="200"/>
      <c r="Q294" s="200"/>
      <c r="R294" s="58"/>
      <c r="S294" s="58"/>
      <c r="T294" s="58"/>
      <c r="U294" s="58"/>
      <c r="V294" s="58"/>
      <c r="W294" s="58"/>
      <c r="X294" s="58"/>
      <c r="Y294" s="58"/>
      <c r="Z294" s="58"/>
      <c r="AA294" s="58"/>
      <c r="AB294" s="58"/>
      <c r="AC294" s="58"/>
    </row>
    <row r="295">
      <c r="A295" s="320"/>
      <c r="B295" s="301"/>
      <c r="C295" s="205"/>
      <c r="D295" s="302"/>
      <c r="E295" s="303"/>
      <c r="F295" s="304"/>
      <c r="G295" s="312"/>
      <c r="H295" s="306"/>
      <c r="I295" s="302"/>
      <c r="J295" s="307"/>
      <c r="K295" s="313"/>
      <c r="L295" s="319"/>
      <c r="M295" s="316"/>
      <c r="N295" s="205"/>
      <c r="O295" s="311"/>
      <c r="P295" s="200"/>
      <c r="Q295" s="200"/>
      <c r="R295" s="58"/>
      <c r="S295" s="58"/>
      <c r="T295" s="58"/>
      <c r="U295" s="58"/>
      <c r="V295" s="58"/>
      <c r="W295" s="58"/>
      <c r="X295" s="58"/>
      <c r="Y295" s="58"/>
      <c r="Z295" s="58"/>
      <c r="AA295" s="58"/>
      <c r="AB295" s="58"/>
      <c r="AC295" s="58"/>
    </row>
    <row r="296">
      <c r="A296" s="320"/>
      <c r="B296" s="301"/>
      <c r="C296" s="205"/>
      <c r="D296" s="302"/>
      <c r="E296" s="303"/>
      <c r="F296" s="304"/>
      <c r="G296" s="312"/>
      <c r="H296" s="306"/>
      <c r="I296" s="302"/>
      <c r="J296" s="307"/>
      <c r="K296" s="313"/>
      <c r="L296" s="319"/>
      <c r="M296" s="316"/>
      <c r="N296" s="205"/>
      <c r="O296" s="311"/>
      <c r="P296" s="200"/>
      <c r="Q296" s="200"/>
      <c r="R296" s="58"/>
      <c r="S296" s="58"/>
      <c r="T296" s="58"/>
      <c r="U296" s="58"/>
      <c r="V296" s="58"/>
      <c r="W296" s="58"/>
      <c r="X296" s="58"/>
      <c r="Y296" s="58"/>
      <c r="Z296" s="58"/>
      <c r="AA296" s="58"/>
      <c r="AB296" s="58"/>
      <c r="AC296" s="58"/>
    </row>
    <row r="297">
      <c r="A297" s="320"/>
      <c r="B297" s="301"/>
      <c r="C297" s="205"/>
      <c r="D297" s="302"/>
      <c r="E297" s="303"/>
      <c r="F297" s="304"/>
      <c r="G297" s="312"/>
      <c r="H297" s="306"/>
      <c r="I297" s="302"/>
      <c r="J297" s="307"/>
      <c r="K297" s="313"/>
      <c r="L297" s="319"/>
      <c r="M297" s="316"/>
      <c r="N297" s="205"/>
      <c r="O297" s="311"/>
      <c r="P297" s="200"/>
      <c r="Q297" s="200"/>
      <c r="R297" s="58"/>
      <c r="S297" s="58"/>
      <c r="T297" s="58"/>
      <c r="U297" s="58"/>
      <c r="V297" s="58"/>
      <c r="W297" s="58"/>
      <c r="X297" s="58"/>
      <c r="Y297" s="58"/>
      <c r="Z297" s="58"/>
      <c r="AA297" s="58"/>
      <c r="AB297" s="58"/>
      <c r="AC297" s="58"/>
    </row>
    <row r="298">
      <c r="A298" s="320"/>
      <c r="B298" s="301"/>
      <c r="C298" s="205"/>
      <c r="D298" s="302"/>
      <c r="E298" s="303"/>
      <c r="F298" s="304"/>
      <c r="G298" s="312"/>
      <c r="H298" s="306"/>
      <c r="I298" s="302"/>
      <c r="J298" s="307"/>
      <c r="K298" s="313"/>
      <c r="L298" s="319"/>
      <c r="M298" s="316"/>
      <c r="N298" s="205"/>
      <c r="O298" s="311"/>
      <c r="P298" s="200"/>
      <c r="Q298" s="200"/>
      <c r="R298" s="58"/>
      <c r="S298" s="58"/>
      <c r="T298" s="58"/>
      <c r="U298" s="58"/>
      <c r="V298" s="58"/>
      <c r="W298" s="58"/>
      <c r="X298" s="58"/>
      <c r="Y298" s="58"/>
      <c r="Z298" s="58"/>
      <c r="AA298" s="58"/>
      <c r="AB298" s="58"/>
      <c r="AC298" s="58"/>
    </row>
    <row r="299">
      <c r="A299" s="320"/>
      <c r="B299" s="301"/>
      <c r="C299" s="205"/>
      <c r="D299" s="302"/>
      <c r="E299" s="303"/>
      <c r="F299" s="304"/>
      <c r="G299" s="312"/>
      <c r="H299" s="306"/>
      <c r="I299" s="302"/>
      <c r="J299" s="307"/>
      <c r="K299" s="313"/>
      <c r="L299" s="319"/>
      <c r="M299" s="316"/>
      <c r="N299" s="205"/>
      <c r="O299" s="311"/>
      <c r="P299" s="200"/>
      <c r="Q299" s="200"/>
      <c r="R299" s="58"/>
      <c r="S299" s="58"/>
      <c r="T299" s="58"/>
      <c r="U299" s="58"/>
      <c r="V299" s="58"/>
      <c r="W299" s="58"/>
      <c r="X299" s="58"/>
      <c r="Y299" s="58"/>
      <c r="Z299" s="58"/>
      <c r="AA299" s="58"/>
      <c r="AB299" s="58"/>
      <c r="AC299" s="58"/>
    </row>
    <row r="300">
      <c r="A300" s="320"/>
      <c r="B300" s="301"/>
      <c r="C300" s="205"/>
      <c r="D300" s="302"/>
      <c r="E300" s="303"/>
      <c r="F300" s="304"/>
      <c r="G300" s="312"/>
      <c r="H300" s="306"/>
      <c r="I300" s="302"/>
      <c r="J300" s="307"/>
      <c r="K300" s="313"/>
      <c r="L300" s="319"/>
      <c r="M300" s="316"/>
      <c r="N300" s="205"/>
      <c r="O300" s="311"/>
      <c r="P300" s="200"/>
      <c r="Q300" s="200"/>
      <c r="R300" s="58"/>
      <c r="S300" s="58"/>
      <c r="T300" s="58"/>
      <c r="U300" s="58"/>
      <c r="V300" s="58"/>
      <c r="W300" s="58"/>
      <c r="X300" s="58"/>
      <c r="Y300" s="58"/>
      <c r="Z300" s="58"/>
      <c r="AA300" s="58"/>
      <c r="AB300" s="58"/>
      <c r="AC300" s="58"/>
    </row>
    <row r="301">
      <c r="A301" s="320"/>
      <c r="B301" s="301"/>
      <c r="C301" s="205"/>
      <c r="D301" s="302"/>
      <c r="E301" s="303"/>
      <c r="F301" s="304"/>
      <c r="G301" s="312"/>
      <c r="H301" s="306"/>
      <c r="I301" s="302"/>
      <c r="J301" s="307"/>
      <c r="K301" s="313"/>
      <c r="L301" s="319"/>
      <c r="M301" s="316"/>
      <c r="N301" s="205"/>
      <c r="O301" s="311"/>
      <c r="P301" s="200"/>
      <c r="Q301" s="200"/>
      <c r="R301" s="58"/>
      <c r="S301" s="58"/>
      <c r="T301" s="58"/>
      <c r="U301" s="58"/>
      <c r="V301" s="58"/>
      <c r="W301" s="58"/>
      <c r="X301" s="58"/>
      <c r="Y301" s="58"/>
      <c r="Z301" s="58"/>
      <c r="AA301" s="58"/>
      <c r="AB301" s="58"/>
      <c r="AC301" s="58"/>
    </row>
    <row r="302">
      <c r="A302" s="320"/>
      <c r="B302" s="301"/>
      <c r="C302" s="205"/>
      <c r="D302" s="302"/>
      <c r="E302" s="303"/>
      <c r="F302" s="304"/>
      <c r="G302" s="312"/>
      <c r="H302" s="306"/>
      <c r="I302" s="302"/>
      <c r="J302" s="307"/>
      <c r="K302" s="313"/>
      <c r="L302" s="319"/>
      <c r="M302" s="316"/>
      <c r="N302" s="205"/>
      <c r="O302" s="311"/>
      <c r="P302" s="200"/>
      <c r="Q302" s="200"/>
      <c r="R302" s="58"/>
      <c r="S302" s="58"/>
      <c r="T302" s="58"/>
      <c r="U302" s="58"/>
      <c r="V302" s="58"/>
      <c r="W302" s="58"/>
      <c r="X302" s="58"/>
      <c r="Y302" s="58"/>
      <c r="Z302" s="58"/>
      <c r="AA302" s="58"/>
      <c r="AB302" s="58"/>
      <c r="AC302" s="58"/>
    </row>
    <row r="303">
      <c r="A303" s="320"/>
      <c r="B303" s="301"/>
      <c r="C303" s="205"/>
      <c r="D303" s="302"/>
      <c r="E303" s="303"/>
      <c r="F303" s="304"/>
      <c r="G303" s="312"/>
      <c r="H303" s="306"/>
      <c r="I303" s="302"/>
      <c r="J303" s="307"/>
      <c r="K303" s="313"/>
      <c r="L303" s="319"/>
      <c r="M303" s="316"/>
      <c r="N303" s="205"/>
      <c r="O303" s="311"/>
      <c r="P303" s="200"/>
      <c r="Q303" s="200"/>
      <c r="R303" s="58"/>
      <c r="S303" s="58"/>
      <c r="T303" s="58"/>
      <c r="U303" s="58"/>
      <c r="V303" s="58"/>
      <c r="W303" s="58"/>
      <c r="X303" s="58"/>
      <c r="Y303" s="58"/>
      <c r="Z303" s="58"/>
      <c r="AA303" s="58"/>
      <c r="AB303" s="58"/>
      <c r="AC303" s="58"/>
    </row>
    <row r="304">
      <c r="A304" s="320"/>
      <c r="B304" s="301"/>
      <c r="C304" s="205"/>
      <c r="D304" s="302"/>
      <c r="E304" s="303"/>
      <c r="F304" s="304"/>
      <c r="G304" s="312"/>
      <c r="H304" s="306"/>
      <c r="I304" s="302"/>
      <c r="J304" s="307"/>
      <c r="K304" s="313"/>
      <c r="L304" s="319"/>
      <c r="M304" s="316"/>
      <c r="N304" s="205"/>
      <c r="O304" s="311"/>
      <c r="P304" s="200"/>
      <c r="Q304" s="200"/>
      <c r="R304" s="58"/>
      <c r="S304" s="58"/>
      <c r="T304" s="58"/>
      <c r="U304" s="58"/>
      <c r="V304" s="58"/>
      <c r="W304" s="58"/>
      <c r="X304" s="58"/>
      <c r="Y304" s="58"/>
      <c r="Z304" s="58"/>
      <c r="AA304" s="58"/>
      <c r="AB304" s="58"/>
      <c r="AC304" s="58"/>
    </row>
    <row r="305">
      <c r="A305" s="320"/>
      <c r="B305" s="301"/>
      <c r="C305" s="205"/>
      <c r="D305" s="302"/>
      <c r="E305" s="303"/>
      <c r="F305" s="304"/>
      <c r="G305" s="312"/>
      <c r="H305" s="306"/>
      <c r="I305" s="302"/>
      <c r="J305" s="307"/>
      <c r="K305" s="313"/>
      <c r="L305" s="319"/>
      <c r="M305" s="316"/>
      <c r="N305" s="205"/>
      <c r="O305" s="311"/>
      <c r="P305" s="200"/>
      <c r="Q305" s="200"/>
      <c r="R305" s="58"/>
      <c r="S305" s="58"/>
      <c r="T305" s="58"/>
      <c r="U305" s="58"/>
      <c r="V305" s="58"/>
      <c r="W305" s="58"/>
      <c r="X305" s="58"/>
      <c r="Y305" s="58"/>
      <c r="Z305" s="58"/>
      <c r="AA305" s="58"/>
      <c r="AB305" s="58"/>
      <c r="AC305" s="58"/>
    </row>
    <row r="306">
      <c r="A306" s="320"/>
      <c r="B306" s="301"/>
      <c r="C306" s="205"/>
      <c r="D306" s="302"/>
      <c r="E306" s="303"/>
      <c r="F306" s="304"/>
      <c r="G306" s="312"/>
      <c r="H306" s="306"/>
      <c r="I306" s="302"/>
      <c r="J306" s="307"/>
      <c r="K306" s="313"/>
      <c r="L306" s="319"/>
      <c r="M306" s="316"/>
      <c r="N306" s="205"/>
      <c r="O306" s="311"/>
      <c r="P306" s="200"/>
      <c r="Q306" s="200"/>
      <c r="R306" s="58"/>
      <c r="S306" s="58"/>
      <c r="T306" s="58"/>
      <c r="U306" s="58"/>
      <c r="V306" s="58"/>
      <c r="W306" s="58"/>
      <c r="X306" s="58"/>
      <c r="Y306" s="58"/>
      <c r="Z306" s="58"/>
      <c r="AA306" s="58"/>
      <c r="AB306" s="58"/>
      <c r="AC306" s="58"/>
    </row>
    <row r="307">
      <c r="A307" s="320"/>
      <c r="B307" s="301"/>
      <c r="C307" s="205"/>
      <c r="D307" s="302"/>
      <c r="E307" s="303"/>
      <c r="F307" s="304"/>
      <c r="G307" s="312"/>
      <c r="H307" s="306"/>
      <c r="I307" s="302"/>
      <c r="J307" s="307"/>
      <c r="K307" s="313"/>
      <c r="L307" s="319"/>
      <c r="M307" s="316"/>
      <c r="N307" s="205"/>
      <c r="O307" s="311"/>
      <c r="P307" s="200"/>
      <c r="Q307" s="200"/>
      <c r="R307" s="58"/>
      <c r="S307" s="58"/>
      <c r="T307" s="58"/>
      <c r="U307" s="58"/>
      <c r="V307" s="58"/>
      <c r="W307" s="58"/>
      <c r="X307" s="58"/>
      <c r="Y307" s="58"/>
      <c r="Z307" s="58"/>
      <c r="AA307" s="58"/>
      <c r="AB307" s="58"/>
      <c r="AC307" s="58"/>
    </row>
    <row r="308">
      <c r="A308" s="320"/>
      <c r="B308" s="301"/>
      <c r="C308" s="205"/>
      <c r="D308" s="302"/>
      <c r="E308" s="303"/>
      <c r="F308" s="304"/>
      <c r="G308" s="312"/>
      <c r="H308" s="306"/>
      <c r="I308" s="302"/>
      <c r="J308" s="307"/>
      <c r="K308" s="313"/>
      <c r="L308" s="319"/>
      <c r="M308" s="316"/>
      <c r="N308" s="205"/>
      <c r="O308" s="311"/>
      <c r="P308" s="200"/>
      <c r="Q308" s="200"/>
      <c r="R308" s="58"/>
      <c r="S308" s="58"/>
      <c r="T308" s="58"/>
      <c r="U308" s="58"/>
      <c r="V308" s="58"/>
      <c r="W308" s="58"/>
      <c r="X308" s="58"/>
      <c r="Y308" s="58"/>
      <c r="Z308" s="58"/>
      <c r="AA308" s="58"/>
      <c r="AB308" s="58"/>
      <c r="AC308" s="58"/>
    </row>
    <row r="309">
      <c r="A309" s="320"/>
      <c r="B309" s="301"/>
      <c r="C309" s="205"/>
      <c r="D309" s="302"/>
      <c r="E309" s="303"/>
      <c r="F309" s="304"/>
      <c r="G309" s="312"/>
      <c r="H309" s="306"/>
      <c r="I309" s="302"/>
      <c r="J309" s="307"/>
      <c r="K309" s="313"/>
      <c r="L309" s="319"/>
      <c r="M309" s="316"/>
      <c r="N309" s="205"/>
      <c r="O309" s="311"/>
      <c r="P309" s="200"/>
      <c r="Q309" s="200"/>
      <c r="R309" s="58"/>
      <c r="S309" s="58"/>
      <c r="T309" s="58"/>
      <c r="U309" s="58"/>
      <c r="V309" s="58"/>
      <c r="W309" s="58"/>
      <c r="X309" s="58"/>
      <c r="Y309" s="58"/>
      <c r="Z309" s="58"/>
      <c r="AA309" s="58"/>
      <c r="AB309" s="58"/>
      <c r="AC309" s="58"/>
    </row>
    <row r="310">
      <c r="A310" s="320"/>
      <c r="B310" s="301"/>
      <c r="C310" s="205"/>
      <c r="D310" s="302"/>
      <c r="E310" s="303"/>
      <c r="F310" s="304"/>
      <c r="G310" s="312"/>
      <c r="H310" s="306"/>
      <c r="I310" s="302"/>
      <c r="J310" s="307"/>
      <c r="K310" s="313"/>
      <c r="L310" s="319"/>
      <c r="M310" s="316"/>
      <c r="N310" s="205"/>
      <c r="O310" s="311"/>
      <c r="P310" s="200"/>
      <c r="Q310" s="200"/>
      <c r="R310" s="58"/>
      <c r="S310" s="58"/>
      <c r="T310" s="58"/>
      <c r="U310" s="58"/>
      <c r="V310" s="58"/>
      <c r="W310" s="58"/>
      <c r="X310" s="58"/>
      <c r="Y310" s="58"/>
      <c r="Z310" s="58"/>
      <c r="AA310" s="58"/>
      <c r="AB310" s="58"/>
      <c r="AC310" s="58"/>
    </row>
    <row r="311">
      <c r="A311" s="320"/>
      <c r="B311" s="301"/>
      <c r="C311" s="205"/>
      <c r="D311" s="302"/>
      <c r="E311" s="303"/>
      <c r="F311" s="304"/>
      <c r="G311" s="312"/>
      <c r="H311" s="306"/>
      <c r="I311" s="302"/>
      <c r="J311" s="307"/>
      <c r="K311" s="313"/>
      <c r="L311" s="319"/>
      <c r="M311" s="316"/>
      <c r="N311" s="205"/>
      <c r="O311" s="311"/>
      <c r="P311" s="200"/>
      <c r="Q311" s="200"/>
      <c r="R311" s="58"/>
      <c r="S311" s="58"/>
      <c r="T311" s="58"/>
      <c r="U311" s="58"/>
      <c r="V311" s="58"/>
      <c r="W311" s="58"/>
      <c r="X311" s="58"/>
      <c r="Y311" s="58"/>
      <c r="Z311" s="58"/>
      <c r="AA311" s="58"/>
      <c r="AB311" s="58"/>
      <c r="AC311" s="58"/>
    </row>
    <row r="312">
      <c r="A312" s="320"/>
      <c r="B312" s="301"/>
      <c r="C312" s="205"/>
      <c r="D312" s="302"/>
      <c r="E312" s="303"/>
      <c r="F312" s="304"/>
      <c r="G312" s="312"/>
      <c r="H312" s="306"/>
      <c r="I312" s="302"/>
      <c r="J312" s="307"/>
      <c r="K312" s="313"/>
      <c r="L312" s="319"/>
      <c r="M312" s="316"/>
      <c r="N312" s="205"/>
      <c r="O312" s="311"/>
      <c r="P312" s="200"/>
      <c r="Q312" s="200"/>
      <c r="R312" s="58"/>
      <c r="S312" s="58"/>
      <c r="T312" s="58"/>
      <c r="U312" s="58"/>
      <c r="V312" s="58"/>
      <c r="W312" s="58"/>
      <c r="X312" s="58"/>
      <c r="Y312" s="58"/>
      <c r="Z312" s="58"/>
      <c r="AA312" s="58"/>
      <c r="AB312" s="58"/>
      <c r="AC312" s="58"/>
    </row>
    <row r="313">
      <c r="A313" s="320"/>
      <c r="B313" s="301"/>
      <c r="C313" s="205"/>
      <c r="D313" s="302"/>
      <c r="E313" s="303"/>
      <c r="F313" s="304"/>
      <c r="G313" s="312"/>
      <c r="H313" s="306"/>
      <c r="I313" s="302"/>
      <c r="J313" s="307"/>
      <c r="K313" s="313"/>
      <c r="L313" s="319"/>
      <c r="M313" s="316"/>
      <c r="N313" s="205"/>
      <c r="O313" s="311"/>
      <c r="P313" s="200"/>
      <c r="Q313" s="200"/>
      <c r="R313" s="58"/>
      <c r="S313" s="58"/>
      <c r="T313" s="58"/>
      <c r="U313" s="58"/>
      <c r="V313" s="58"/>
      <c r="W313" s="58"/>
      <c r="X313" s="58"/>
      <c r="Y313" s="58"/>
      <c r="Z313" s="58"/>
      <c r="AA313" s="58"/>
      <c r="AB313" s="58"/>
      <c r="AC313" s="58"/>
    </row>
    <row r="314">
      <c r="A314" s="320"/>
      <c r="B314" s="301"/>
      <c r="C314" s="205"/>
      <c r="D314" s="302"/>
      <c r="E314" s="303"/>
      <c r="F314" s="304"/>
      <c r="G314" s="312"/>
      <c r="H314" s="306"/>
      <c r="I314" s="302"/>
      <c r="J314" s="307"/>
      <c r="K314" s="313"/>
      <c r="L314" s="319"/>
      <c r="M314" s="316"/>
      <c r="N314" s="205"/>
      <c r="O314" s="311"/>
      <c r="P314" s="200"/>
      <c r="Q314" s="200"/>
      <c r="R314" s="58"/>
      <c r="S314" s="58"/>
      <c r="T314" s="58"/>
      <c r="U314" s="58"/>
      <c r="V314" s="58"/>
      <c r="W314" s="58"/>
      <c r="X314" s="58"/>
      <c r="Y314" s="58"/>
      <c r="Z314" s="58"/>
      <c r="AA314" s="58"/>
      <c r="AB314" s="58"/>
      <c r="AC314" s="58"/>
    </row>
    <row r="315">
      <c r="A315" s="320"/>
      <c r="B315" s="301"/>
      <c r="C315" s="205"/>
      <c r="D315" s="302"/>
      <c r="E315" s="303"/>
      <c r="F315" s="304"/>
      <c r="G315" s="312"/>
      <c r="H315" s="306"/>
      <c r="I315" s="302"/>
      <c r="J315" s="307"/>
      <c r="K315" s="313"/>
      <c r="L315" s="319"/>
      <c r="M315" s="316"/>
      <c r="N315" s="205"/>
      <c r="O315" s="311"/>
      <c r="P315" s="200"/>
      <c r="Q315" s="200"/>
      <c r="R315" s="58"/>
      <c r="S315" s="58"/>
      <c r="T315" s="58"/>
      <c r="U315" s="58"/>
      <c r="V315" s="58"/>
      <c r="W315" s="58"/>
      <c r="X315" s="58"/>
      <c r="Y315" s="58"/>
      <c r="Z315" s="58"/>
      <c r="AA315" s="58"/>
      <c r="AB315" s="58"/>
      <c r="AC315" s="58"/>
    </row>
    <row r="316">
      <c r="A316" s="320"/>
      <c r="B316" s="301"/>
      <c r="C316" s="205"/>
      <c r="D316" s="302"/>
      <c r="E316" s="303"/>
      <c r="F316" s="304"/>
      <c r="G316" s="312"/>
      <c r="H316" s="306"/>
      <c r="I316" s="302"/>
      <c r="J316" s="307"/>
      <c r="K316" s="313"/>
      <c r="L316" s="319"/>
      <c r="M316" s="316"/>
      <c r="N316" s="205"/>
      <c r="O316" s="311"/>
      <c r="P316" s="200"/>
      <c r="Q316" s="200"/>
      <c r="R316" s="58"/>
      <c r="S316" s="58"/>
      <c r="T316" s="58"/>
      <c r="U316" s="58"/>
      <c r="V316" s="58"/>
      <c r="W316" s="58"/>
      <c r="X316" s="58"/>
      <c r="Y316" s="58"/>
      <c r="Z316" s="58"/>
      <c r="AA316" s="58"/>
      <c r="AB316" s="58"/>
      <c r="AC316" s="58"/>
    </row>
    <row r="317">
      <c r="A317" s="320"/>
      <c r="B317" s="301"/>
      <c r="C317" s="205"/>
      <c r="D317" s="302"/>
      <c r="E317" s="303"/>
      <c r="F317" s="304"/>
      <c r="G317" s="312"/>
      <c r="H317" s="306"/>
      <c r="I317" s="302"/>
      <c r="J317" s="307"/>
      <c r="K317" s="313"/>
      <c r="L317" s="319"/>
      <c r="M317" s="316"/>
      <c r="N317" s="205"/>
      <c r="O317" s="311"/>
      <c r="P317" s="200"/>
      <c r="Q317" s="200"/>
      <c r="R317" s="58"/>
      <c r="S317" s="58"/>
      <c r="T317" s="58"/>
      <c r="U317" s="58"/>
      <c r="V317" s="58"/>
      <c r="W317" s="58"/>
      <c r="X317" s="58"/>
      <c r="Y317" s="58"/>
      <c r="Z317" s="58"/>
      <c r="AA317" s="58"/>
      <c r="AB317" s="58"/>
      <c r="AC317" s="58"/>
    </row>
    <row r="318">
      <c r="A318" s="320"/>
      <c r="B318" s="301"/>
      <c r="C318" s="205"/>
      <c r="D318" s="302"/>
      <c r="E318" s="303"/>
      <c r="F318" s="304"/>
      <c r="G318" s="312"/>
      <c r="H318" s="306"/>
      <c r="I318" s="302"/>
      <c r="J318" s="307"/>
      <c r="K318" s="313"/>
      <c r="L318" s="319"/>
      <c r="M318" s="316"/>
      <c r="N318" s="205"/>
      <c r="O318" s="311"/>
      <c r="P318" s="200"/>
      <c r="Q318" s="200"/>
      <c r="R318" s="58"/>
      <c r="S318" s="58"/>
      <c r="T318" s="58"/>
      <c r="U318" s="58"/>
      <c r="V318" s="58"/>
      <c r="W318" s="58"/>
      <c r="X318" s="58"/>
      <c r="Y318" s="58"/>
      <c r="Z318" s="58"/>
      <c r="AA318" s="58"/>
      <c r="AB318" s="58"/>
      <c r="AC318" s="58"/>
    </row>
    <row r="319">
      <c r="A319" s="320"/>
      <c r="B319" s="301"/>
      <c r="C319" s="205"/>
      <c r="D319" s="302"/>
      <c r="E319" s="303"/>
      <c r="F319" s="304"/>
      <c r="G319" s="312"/>
      <c r="H319" s="306"/>
      <c r="I319" s="302"/>
      <c r="J319" s="307"/>
      <c r="K319" s="313"/>
      <c r="L319" s="319"/>
      <c r="M319" s="316"/>
      <c r="N319" s="205"/>
      <c r="O319" s="311"/>
      <c r="P319" s="200"/>
      <c r="Q319" s="200"/>
      <c r="R319" s="58"/>
      <c r="S319" s="58"/>
      <c r="T319" s="58"/>
      <c r="U319" s="58"/>
      <c r="V319" s="58"/>
      <c r="W319" s="58"/>
      <c r="X319" s="58"/>
      <c r="Y319" s="58"/>
      <c r="Z319" s="58"/>
      <c r="AA319" s="58"/>
      <c r="AB319" s="58"/>
      <c r="AC319" s="58"/>
    </row>
    <row r="320">
      <c r="A320" s="320"/>
      <c r="B320" s="301"/>
      <c r="C320" s="205"/>
      <c r="D320" s="302"/>
      <c r="E320" s="303"/>
      <c r="F320" s="304"/>
      <c r="G320" s="312"/>
      <c r="H320" s="306"/>
      <c r="I320" s="302"/>
      <c r="J320" s="307"/>
      <c r="K320" s="313"/>
      <c r="L320" s="319"/>
      <c r="M320" s="316"/>
      <c r="N320" s="205"/>
      <c r="O320" s="311"/>
      <c r="P320" s="200"/>
      <c r="Q320" s="200"/>
      <c r="R320" s="58"/>
      <c r="S320" s="58"/>
      <c r="T320" s="58"/>
      <c r="U320" s="58"/>
      <c r="V320" s="58"/>
      <c r="W320" s="58"/>
      <c r="X320" s="58"/>
      <c r="Y320" s="58"/>
      <c r="Z320" s="58"/>
      <c r="AA320" s="58"/>
      <c r="AB320" s="58"/>
      <c r="AC320" s="58"/>
    </row>
    <row r="321">
      <c r="A321" s="320"/>
      <c r="B321" s="301"/>
      <c r="C321" s="205"/>
      <c r="D321" s="302"/>
      <c r="E321" s="303"/>
      <c r="F321" s="304"/>
      <c r="G321" s="312"/>
      <c r="H321" s="306"/>
      <c r="I321" s="302"/>
      <c r="J321" s="307"/>
      <c r="K321" s="313"/>
      <c r="L321" s="319"/>
      <c r="M321" s="316"/>
      <c r="N321" s="205"/>
      <c r="O321" s="311"/>
      <c r="P321" s="200"/>
      <c r="Q321" s="200"/>
      <c r="R321" s="58"/>
      <c r="S321" s="58"/>
      <c r="T321" s="58"/>
      <c r="U321" s="58"/>
      <c r="V321" s="58"/>
      <c r="W321" s="58"/>
      <c r="X321" s="58"/>
      <c r="Y321" s="58"/>
      <c r="Z321" s="58"/>
      <c r="AA321" s="58"/>
      <c r="AB321" s="58"/>
      <c r="AC321" s="58"/>
    </row>
    <row r="322">
      <c r="A322" s="320"/>
      <c r="B322" s="301"/>
      <c r="C322" s="205"/>
      <c r="D322" s="302"/>
      <c r="E322" s="303"/>
      <c r="F322" s="304"/>
      <c r="G322" s="312"/>
      <c r="H322" s="306"/>
      <c r="I322" s="302"/>
      <c r="J322" s="307"/>
      <c r="K322" s="313"/>
      <c r="L322" s="319"/>
      <c r="M322" s="316"/>
      <c r="N322" s="205"/>
      <c r="O322" s="311"/>
      <c r="P322" s="200"/>
      <c r="Q322" s="200"/>
      <c r="R322" s="58"/>
      <c r="S322" s="58"/>
      <c r="T322" s="58"/>
      <c r="U322" s="58"/>
      <c r="V322" s="58"/>
      <c r="W322" s="58"/>
      <c r="X322" s="58"/>
      <c r="Y322" s="58"/>
      <c r="Z322" s="58"/>
      <c r="AA322" s="58"/>
      <c r="AB322" s="58"/>
      <c r="AC322" s="58"/>
    </row>
    <row r="323">
      <c r="A323" s="320"/>
      <c r="B323" s="301"/>
      <c r="C323" s="205"/>
      <c r="D323" s="302"/>
      <c r="E323" s="303"/>
      <c r="F323" s="304"/>
      <c r="G323" s="312"/>
      <c r="H323" s="306"/>
      <c r="I323" s="302"/>
      <c r="J323" s="307"/>
      <c r="K323" s="313"/>
      <c r="L323" s="319"/>
      <c r="M323" s="316"/>
      <c r="N323" s="205"/>
      <c r="O323" s="311"/>
      <c r="P323" s="200"/>
      <c r="Q323" s="200"/>
      <c r="R323" s="58"/>
      <c r="S323" s="58"/>
      <c r="T323" s="58"/>
      <c r="U323" s="58"/>
      <c r="V323" s="58"/>
      <c r="W323" s="58"/>
      <c r="X323" s="58"/>
      <c r="Y323" s="58"/>
      <c r="Z323" s="58"/>
      <c r="AA323" s="58"/>
      <c r="AB323" s="58"/>
      <c r="AC323" s="58"/>
    </row>
    <row r="324">
      <c r="A324" s="320"/>
      <c r="B324" s="301"/>
      <c r="C324" s="205"/>
      <c r="D324" s="302"/>
      <c r="E324" s="303"/>
      <c r="F324" s="304"/>
      <c r="G324" s="312"/>
      <c r="H324" s="306"/>
      <c r="I324" s="302"/>
      <c r="J324" s="307"/>
      <c r="K324" s="313"/>
      <c r="L324" s="319"/>
      <c r="M324" s="316"/>
      <c r="N324" s="205"/>
      <c r="O324" s="311"/>
      <c r="P324" s="200"/>
      <c r="Q324" s="200"/>
      <c r="R324" s="58"/>
      <c r="S324" s="58"/>
      <c r="T324" s="58"/>
      <c r="U324" s="58"/>
      <c r="V324" s="58"/>
      <c r="W324" s="58"/>
      <c r="X324" s="58"/>
      <c r="Y324" s="58"/>
      <c r="Z324" s="58"/>
      <c r="AA324" s="58"/>
      <c r="AB324" s="58"/>
      <c r="AC324" s="58"/>
    </row>
    <row r="325">
      <c r="A325" s="320"/>
      <c r="B325" s="301"/>
      <c r="C325" s="205"/>
      <c r="D325" s="302"/>
      <c r="E325" s="303"/>
      <c r="F325" s="304"/>
      <c r="G325" s="312"/>
      <c r="H325" s="306"/>
      <c r="I325" s="302"/>
      <c r="J325" s="307"/>
      <c r="K325" s="313"/>
      <c r="L325" s="319"/>
      <c r="M325" s="316"/>
      <c r="N325" s="205"/>
      <c r="O325" s="311"/>
      <c r="P325" s="200"/>
      <c r="Q325" s="200"/>
      <c r="R325" s="58"/>
      <c r="S325" s="58"/>
      <c r="T325" s="58"/>
      <c r="U325" s="58"/>
      <c r="V325" s="58"/>
      <c r="W325" s="58"/>
      <c r="X325" s="58"/>
      <c r="Y325" s="58"/>
      <c r="Z325" s="58"/>
      <c r="AA325" s="58"/>
      <c r="AB325" s="58"/>
      <c r="AC325" s="58"/>
    </row>
    <row r="326">
      <c r="A326" s="320"/>
      <c r="B326" s="301"/>
      <c r="C326" s="205"/>
      <c r="D326" s="302"/>
      <c r="E326" s="303"/>
      <c r="F326" s="304"/>
      <c r="G326" s="312"/>
      <c r="H326" s="306"/>
      <c r="I326" s="302"/>
      <c r="J326" s="307"/>
      <c r="K326" s="313"/>
      <c r="L326" s="319"/>
      <c r="M326" s="316"/>
      <c r="N326" s="205"/>
      <c r="O326" s="311"/>
      <c r="P326" s="200"/>
      <c r="Q326" s="200"/>
      <c r="R326" s="58"/>
      <c r="S326" s="58"/>
      <c r="T326" s="58"/>
      <c r="U326" s="58"/>
      <c r="V326" s="58"/>
      <c r="W326" s="58"/>
      <c r="X326" s="58"/>
      <c r="Y326" s="58"/>
      <c r="Z326" s="58"/>
      <c r="AA326" s="58"/>
      <c r="AB326" s="58"/>
      <c r="AC326" s="58"/>
    </row>
    <row r="327">
      <c r="A327" s="320"/>
      <c r="B327" s="301"/>
      <c r="C327" s="205"/>
      <c r="D327" s="302"/>
      <c r="E327" s="303"/>
      <c r="F327" s="304"/>
      <c r="G327" s="312"/>
      <c r="H327" s="306"/>
      <c r="I327" s="302"/>
      <c r="J327" s="307"/>
      <c r="K327" s="313"/>
      <c r="L327" s="319"/>
      <c r="M327" s="316"/>
      <c r="N327" s="205"/>
      <c r="O327" s="311"/>
      <c r="P327" s="200"/>
      <c r="Q327" s="200"/>
      <c r="R327" s="58"/>
      <c r="S327" s="58"/>
      <c r="T327" s="58"/>
      <c r="U327" s="58"/>
      <c r="V327" s="58"/>
      <c r="W327" s="58"/>
      <c r="X327" s="58"/>
      <c r="Y327" s="58"/>
      <c r="Z327" s="58"/>
      <c r="AA327" s="58"/>
      <c r="AB327" s="58"/>
      <c r="AC327" s="58"/>
    </row>
    <row r="328">
      <c r="A328" s="320"/>
      <c r="B328" s="301"/>
      <c r="C328" s="205"/>
      <c r="D328" s="302"/>
      <c r="E328" s="303"/>
      <c r="F328" s="304"/>
      <c r="G328" s="312"/>
      <c r="H328" s="306"/>
      <c r="I328" s="302"/>
      <c r="J328" s="307"/>
      <c r="K328" s="313"/>
      <c r="L328" s="319"/>
      <c r="M328" s="316"/>
      <c r="N328" s="205"/>
      <c r="O328" s="311"/>
      <c r="P328" s="200"/>
      <c r="Q328" s="200"/>
      <c r="R328" s="58"/>
      <c r="S328" s="58"/>
      <c r="T328" s="58"/>
      <c r="U328" s="58"/>
      <c r="V328" s="58"/>
      <c r="W328" s="58"/>
      <c r="X328" s="58"/>
      <c r="Y328" s="58"/>
      <c r="Z328" s="58"/>
      <c r="AA328" s="58"/>
      <c r="AB328" s="58"/>
      <c r="AC328" s="58"/>
    </row>
    <row r="329">
      <c r="A329" s="320"/>
      <c r="B329" s="301"/>
      <c r="C329" s="205"/>
      <c r="D329" s="302"/>
      <c r="E329" s="303"/>
      <c r="F329" s="304"/>
      <c r="G329" s="312"/>
      <c r="H329" s="306"/>
      <c r="I329" s="302"/>
      <c r="J329" s="307"/>
      <c r="K329" s="313"/>
      <c r="L329" s="319"/>
      <c r="M329" s="316"/>
      <c r="N329" s="205"/>
      <c r="O329" s="311"/>
      <c r="P329" s="200"/>
      <c r="Q329" s="200"/>
      <c r="R329" s="58"/>
      <c r="S329" s="58"/>
      <c r="T329" s="58"/>
      <c r="U329" s="58"/>
      <c r="V329" s="58"/>
      <c r="W329" s="58"/>
      <c r="X329" s="58"/>
      <c r="Y329" s="58"/>
      <c r="Z329" s="58"/>
      <c r="AA329" s="58"/>
      <c r="AB329" s="58"/>
      <c r="AC329" s="58"/>
    </row>
    <row r="330">
      <c r="A330" s="320"/>
      <c r="B330" s="301"/>
      <c r="C330" s="205"/>
      <c r="D330" s="302"/>
      <c r="E330" s="303"/>
      <c r="F330" s="304"/>
      <c r="G330" s="312"/>
      <c r="H330" s="306"/>
      <c r="I330" s="302"/>
      <c r="J330" s="307"/>
      <c r="K330" s="313"/>
      <c r="L330" s="319"/>
      <c r="M330" s="316"/>
      <c r="N330" s="205"/>
      <c r="O330" s="311"/>
      <c r="P330" s="200"/>
      <c r="Q330" s="200"/>
      <c r="R330" s="58"/>
      <c r="S330" s="58"/>
      <c r="T330" s="58"/>
      <c r="U330" s="58"/>
      <c r="V330" s="58"/>
      <c r="W330" s="58"/>
      <c r="X330" s="58"/>
      <c r="Y330" s="58"/>
      <c r="Z330" s="58"/>
      <c r="AA330" s="58"/>
      <c r="AB330" s="58"/>
      <c r="AC330" s="58"/>
    </row>
    <row r="331">
      <c r="A331" s="320"/>
      <c r="B331" s="301"/>
      <c r="C331" s="205"/>
      <c r="D331" s="302"/>
      <c r="E331" s="303"/>
      <c r="F331" s="304"/>
      <c r="G331" s="312"/>
      <c r="H331" s="306"/>
      <c r="I331" s="302"/>
      <c r="J331" s="307"/>
      <c r="K331" s="313"/>
      <c r="L331" s="319"/>
      <c r="M331" s="316"/>
      <c r="N331" s="205"/>
      <c r="O331" s="311"/>
      <c r="P331" s="200"/>
      <c r="Q331" s="200"/>
      <c r="R331" s="58"/>
      <c r="S331" s="58"/>
      <c r="T331" s="58"/>
      <c r="U331" s="58"/>
      <c r="V331" s="58"/>
      <c r="W331" s="58"/>
      <c r="X331" s="58"/>
      <c r="Y331" s="58"/>
      <c r="Z331" s="58"/>
      <c r="AA331" s="58"/>
      <c r="AB331" s="58"/>
      <c r="AC331" s="58"/>
    </row>
    <row r="332">
      <c r="A332" s="320"/>
      <c r="B332" s="301"/>
      <c r="C332" s="205"/>
      <c r="D332" s="302"/>
      <c r="E332" s="303"/>
      <c r="F332" s="304"/>
      <c r="G332" s="312"/>
      <c r="H332" s="306"/>
      <c r="I332" s="302"/>
      <c r="J332" s="307"/>
      <c r="K332" s="313"/>
      <c r="L332" s="319"/>
      <c r="M332" s="316"/>
      <c r="N332" s="205"/>
      <c r="O332" s="311"/>
      <c r="P332" s="200"/>
      <c r="Q332" s="200"/>
      <c r="R332" s="58"/>
      <c r="S332" s="58"/>
      <c r="T332" s="58"/>
      <c r="U332" s="58"/>
      <c r="V332" s="58"/>
      <c r="W332" s="58"/>
      <c r="X332" s="58"/>
      <c r="Y332" s="58"/>
      <c r="Z332" s="58"/>
      <c r="AA332" s="58"/>
      <c r="AB332" s="58"/>
      <c r="AC332" s="58"/>
    </row>
    <row r="333">
      <c r="A333" s="320"/>
      <c r="B333" s="301"/>
      <c r="C333" s="205"/>
      <c r="D333" s="302"/>
      <c r="E333" s="303"/>
      <c r="F333" s="304"/>
      <c r="G333" s="312"/>
      <c r="H333" s="306"/>
      <c r="I333" s="302"/>
      <c r="J333" s="307"/>
      <c r="K333" s="313"/>
      <c r="L333" s="319"/>
      <c r="M333" s="316"/>
      <c r="N333" s="205"/>
      <c r="O333" s="311"/>
      <c r="P333" s="200"/>
      <c r="Q333" s="200"/>
      <c r="R333" s="58"/>
      <c r="S333" s="58"/>
      <c r="T333" s="58"/>
      <c r="U333" s="58"/>
      <c r="V333" s="58"/>
      <c r="W333" s="58"/>
      <c r="X333" s="58"/>
      <c r="Y333" s="58"/>
      <c r="Z333" s="58"/>
      <c r="AA333" s="58"/>
      <c r="AB333" s="58"/>
      <c r="AC333" s="58"/>
    </row>
    <row r="334">
      <c r="A334" s="320"/>
      <c r="B334" s="301"/>
      <c r="C334" s="205"/>
      <c r="D334" s="302"/>
      <c r="E334" s="303"/>
      <c r="F334" s="304"/>
      <c r="G334" s="312"/>
      <c r="H334" s="306"/>
      <c r="I334" s="302"/>
      <c r="J334" s="307"/>
      <c r="K334" s="313"/>
      <c r="L334" s="319"/>
      <c r="M334" s="316"/>
      <c r="N334" s="205"/>
      <c r="O334" s="311"/>
      <c r="P334" s="200"/>
      <c r="Q334" s="200"/>
      <c r="R334" s="58"/>
      <c r="S334" s="58"/>
      <c r="T334" s="58"/>
      <c r="U334" s="58"/>
      <c r="V334" s="58"/>
      <c r="W334" s="58"/>
      <c r="X334" s="58"/>
      <c r="Y334" s="58"/>
      <c r="Z334" s="58"/>
      <c r="AA334" s="58"/>
      <c r="AB334" s="58"/>
      <c r="AC334" s="58"/>
    </row>
    <row r="335">
      <c r="A335" s="320"/>
      <c r="B335" s="301"/>
      <c r="C335" s="205"/>
      <c r="D335" s="302"/>
      <c r="E335" s="303"/>
      <c r="F335" s="304"/>
      <c r="G335" s="312"/>
      <c r="H335" s="306"/>
      <c r="I335" s="302"/>
      <c r="J335" s="307"/>
      <c r="K335" s="313"/>
      <c r="L335" s="319"/>
      <c r="M335" s="316"/>
      <c r="N335" s="205"/>
      <c r="O335" s="311"/>
      <c r="P335" s="200"/>
      <c r="Q335" s="200"/>
      <c r="R335" s="58"/>
      <c r="S335" s="58"/>
      <c r="T335" s="58"/>
      <c r="U335" s="58"/>
      <c r="V335" s="58"/>
      <c r="W335" s="58"/>
      <c r="X335" s="58"/>
      <c r="Y335" s="58"/>
      <c r="Z335" s="58"/>
      <c r="AA335" s="58"/>
      <c r="AB335" s="58"/>
      <c r="AC335" s="58"/>
    </row>
    <row r="336">
      <c r="A336" s="320"/>
      <c r="B336" s="301"/>
      <c r="C336" s="205"/>
      <c r="D336" s="302"/>
      <c r="E336" s="303"/>
      <c r="F336" s="304"/>
      <c r="G336" s="312"/>
      <c r="H336" s="306"/>
      <c r="I336" s="302"/>
      <c r="J336" s="307"/>
      <c r="K336" s="313"/>
      <c r="L336" s="319"/>
      <c r="M336" s="316"/>
      <c r="N336" s="205"/>
      <c r="O336" s="311"/>
      <c r="P336" s="200"/>
      <c r="Q336" s="200"/>
      <c r="R336" s="58"/>
      <c r="S336" s="58"/>
      <c r="T336" s="58"/>
      <c r="U336" s="58"/>
      <c r="V336" s="58"/>
      <c r="W336" s="58"/>
      <c r="X336" s="58"/>
      <c r="Y336" s="58"/>
      <c r="Z336" s="58"/>
      <c r="AA336" s="58"/>
      <c r="AB336" s="58"/>
      <c r="AC336" s="58"/>
    </row>
    <row r="337">
      <c r="A337" s="320"/>
      <c r="B337" s="301"/>
      <c r="C337" s="205"/>
      <c r="D337" s="302"/>
      <c r="E337" s="303"/>
      <c r="F337" s="304"/>
      <c r="G337" s="312"/>
      <c r="H337" s="306"/>
      <c r="I337" s="302"/>
      <c r="J337" s="307"/>
      <c r="K337" s="313"/>
      <c r="L337" s="319"/>
      <c r="M337" s="316"/>
      <c r="N337" s="205"/>
      <c r="O337" s="311"/>
      <c r="P337" s="200"/>
      <c r="Q337" s="200"/>
      <c r="R337" s="58"/>
      <c r="S337" s="58"/>
      <c r="T337" s="58"/>
      <c r="U337" s="58"/>
      <c r="V337" s="58"/>
      <c r="W337" s="58"/>
      <c r="X337" s="58"/>
      <c r="Y337" s="58"/>
      <c r="Z337" s="58"/>
      <c r="AA337" s="58"/>
      <c r="AB337" s="58"/>
      <c r="AC337" s="58"/>
    </row>
    <row r="338">
      <c r="A338" s="320"/>
      <c r="B338" s="301"/>
      <c r="C338" s="205"/>
      <c r="D338" s="302"/>
      <c r="E338" s="303"/>
      <c r="F338" s="304"/>
      <c r="G338" s="312"/>
      <c r="H338" s="306"/>
      <c r="I338" s="302"/>
      <c r="J338" s="307"/>
      <c r="K338" s="313"/>
      <c r="L338" s="319"/>
      <c r="M338" s="316"/>
      <c r="N338" s="205"/>
      <c r="O338" s="311"/>
      <c r="P338" s="200"/>
      <c r="Q338" s="200"/>
      <c r="R338" s="58"/>
      <c r="S338" s="58"/>
      <c r="T338" s="58"/>
      <c r="U338" s="58"/>
      <c r="V338" s="58"/>
      <c r="W338" s="58"/>
      <c r="X338" s="58"/>
      <c r="Y338" s="58"/>
      <c r="Z338" s="58"/>
      <c r="AA338" s="58"/>
      <c r="AB338" s="58"/>
      <c r="AC338" s="58"/>
    </row>
    <row r="339">
      <c r="A339" s="320"/>
      <c r="B339" s="301"/>
      <c r="C339" s="205"/>
      <c r="D339" s="302"/>
      <c r="E339" s="303"/>
      <c r="F339" s="304"/>
      <c r="G339" s="312"/>
      <c r="H339" s="306"/>
      <c r="I339" s="302"/>
      <c r="J339" s="307"/>
      <c r="K339" s="313"/>
      <c r="L339" s="319"/>
      <c r="M339" s="316"/>
      <c r="N339" s="205"/>
      <c r="O339" s="311"/>
      <c r="P339" s="200"/>
      <c r="Q339" s="200"/>
      <c r="R339" s="58"/>
      <c r="S339" s="58"/>
      <c r="T339" s="58"/>
      <c r="U339" s="58"/>
      <c r="V339" s="58"/>
      <c r="W339" s="58"/>
      <c r="X339" s="58"/>
      <c r="Y339" s="58"/>
      <c r="Z339" s="58"/>
      <c r="AA339" s="58"/>
      <c r="AB339" s="58"/>
      <c r="AC339" s="58"/>
    </row>
    <row r="340">
      <c r="A340" s="320"/>
      <c r="B340" s="301"/>
      <c r="C340" s="205"/>
      <c r="D340" s="302"/>
      <c r="E340" s="303"/>
      <c r="F340" s="304"/>
      <c r="G340" s="312"/>
      <c r="H340" s="306"/>
      <c r="I340" s="302"/>
      <c r="J340" s="307"/>
      <c r="K340" s="313"/>
      <c r="L340" s="319"/>
      <c r="M340" s="316"/>
      <c r="N340" s="205"/>
      <c r="O340" s="311"/>
      <c r="P340" s="200"/>
      <c r="Q340" s="200"/>
      <c r="R340" s="58"/>
      <c r="S340" s="58"/>
      <c r="T340" s="58"/>
      <c r="U340" s="58"/>
      <c r="V340" s="58"/>
      <c r="W340" s="58"/>
      <c r="X340" s="58"/>
      <c r="Y340" s="58"/>
      <c r="Z340" s="58"/>
      <c r="AA340" s="58"/>
      <c r="AB340" s="58"/>
      <c r="AC340" s="58"/>
    </row>
    <row r="341">
      <c r="A341" s="320"/>
      <c r="B341" s="301"/>
      <c r="C341" s="205"/>
      <c r="D341" s="302"/>
      <c r="E341" s="303"/>
      <c r="F341" s="304"/>
      <c r="G341" s="312"/>
      <c r="H341" s="306"/>
      <c r="I341" s="302"/>
      <c r="J341" s="307"/>
      <c r="K341" s="313"/>
      <c r="L341" s="319"/>
      <c r="M341" s="316"/>
      <c r="N341" s="205"/>
      <c r="O341" s="311"/>
      <c r="P341" s="200"/>
      <c r="Q341" s="200"/>
      <c r="R341" s="58"/>
      <c r="S341" s="58"/>
      <c r="T341" s="58"/>
      <c r="U341" s="58"/>
      <c r="V341" s="58"/>
      <c r="W341" s="58"/>
      <c r="X341" s="58"/>
      <c r="Y341" s="58"/>
      <c r="Z341" s="58"/>
      <c r="AA341" s="58"/>
      <c r="AB341" s="58"/>
      <c r="AC341" s="58"/>
    </row>
    <row r="342">
      <c r="A342" s="320"/>
      <c r="B342" s="301"/>
      <c r="C342" s="205"/>
      <c r="D342" s="302"/>
      <c r="E342" s="303"/>
      <c r="F342" s="304"/>
      <c r="G342" s="312"/>
      <c r="H342" s="306"/>
      <c r="I342" s="302"/>
      <c r="J342" s="307"/>
      <c r="K342" s="313"/>
      <c r="L342" s="319"/>
      <c r="M342" s="316"/>
      <c r="N342" s="205"/>
      <c r="O342" s="311"/>
      <c r="P342" s="200"/>
      <c r="Q342" s="200"/>
      <c r="R342" s="58"/>
      <c r="S342" s="58"/>
      <c r="T342" s="58"/>
      <c r="U342" s="58"/>
      <c r="V342" s="58"/>
      <c r="W342" s="58"/>
      <c r="X342" s="58"/>
      <c r="Y342" s="58"/>
      <c r="Z342" s="58"/>
      <c r="AA342" s="58"/>
      <c r="AB342" s="58"/>
      <c r="AC342" s="58"/>
    </row>
    <row r="343">
      <c r="A343" s="320"/>
      <c r="B343" s="301"/>
      <c r="C343" s="205"/>
      <c r="D343" s="302"/>
      <c r="E343" s="303"/>
      <c r="F343" s="304"/>
      <c r="G343" s="312"/>
      <c r="H343" s="306"/>
      <c r="I343" s="302"/>
      <c r="J343" s="307"/>
      <c r="K343" s="313"/>
      <c r="L343" s="319"/>
      <c r="M343" s="316"/>
      <c r="N343" s="205"/>
      <c r="O343" s="311"/>
      <c r="P343" s="200"/>
      <c r="Q343" s="200"/>
      <c r="R343" s="58"/>
      <c r="S343" s="58"/>
      <c r="T343" s="58"/>
      <c r="U343" s="58"/>
      <c r="V343" s="58"/>
      <c r="W343" s="58"/>
      <c r="X343" s="58"/>
      <c r="Y343" s="58"/>
      <c r="Z343" s="58"/>
      <c r="AA343" s="58"/>
      <c r="AB343" s="58"/>
      <c r="AC343" s="58"/>
    </row>
    <row r="344">
      <c r="A344" s="320"/>
      <c r="B344" s="301"/>
      <c r="C344" s="205"/>
      <c r="D344" s="302"/>
      <c r="E344" s="303"/>
      <c r="F344" s="304"/>
      <c r="G344" s="312"/>
      <c r="H344" s="306"/>
      <c r="I344" s="302"/>
      <c r="J344" s="307"/>
      <c r="K344" s="313"/>
      <c r="L344" s="319"/>
      <c r="M344" s="316"/>
      <c r="N344" s="205"/>
      <c r="O344" s="311"/>
      <c r="P344" s="200"/>
      <c r="Q344" s="200"/>
      <c r="R344" s="58"/>
      <c r="S344" s="58"/>
      <c r="T344" s="58"/>
      <c r="U344" s="58"/>
      <c r="V344" s="58"/>
      <c r="W344" s="58"/>
      <c r="X344" s="58"/>
      <c r="Y344" s="58"/>
      <c r="Z344" s="58"/>
      <c r="AA344" s="58"/>
      <c r="AB344" s="58"/>
      <c r="AC344" s="58"/>
    </row>
    <row r="345">
      <c r="A345" s="320"/>
      <c r="B345" s="301"/>
      <c r="C345" s="205"/>
      <c r="D345" s="302"/>
      <c r="E345" s="303"/>
      <c r="F345" s="304"/>
      <c r="G345" s="312"/>
      <c r="H345" s="306"/>
      <c r="I345" s="302"/>
      <c r="J345" s="307"/>
      <c r="K345" s="313"/>
      <c r="L345" s="319"/>
      <c r="M345" s="316"/>
      <c r="N345" s="205"/>
      <c r="O345" s="311"/>
      <c r="P345" s="200"/>
      <c r="Q345" s="200"/>
      <c r="R345" s="58"/>
      <c r="S345" s="58"/>
      <c r="T345" s="58"/>
      <c r="U345" s="58"/>
      <c r="V345" s="58"/>
      <c r="W345" s="58"/>
      <c r="X345" s="58"/>
      <c r="Y345" s="58"/>
      <c r="Z345" s="58"/>
      <c r="AA345" s="58"/>
      <c r="AB345" s="58"/>
      <c r="AC345" s="58"/>
    </row>
    <row r="346">
      <c r="A346" s="320"/>
      <c r="B346" s="301"/>
      <c r="C346" s="205"/>
      <c r="D346" s="302"/>
      <c r="E346" s="303"/>
      <c r="F346" s="304"/>
      <c r="G346" s="312"/>
      <c r="H346" s="306"/>
      <c r="I346" s="302"/>
      <c r="J346" s="307"/>
      <c r="K346" s="313"/>
      <c r="L346" s="319"/>
      <c r="M346" s="316"/>
      <c r="N346" s="205"/>
      <c r="O346" s="311"/>
      <c r="P346" s="200"/>
      <c r="Q346" s="200"/>
      <c r="R346" s="58"/>
      <c r="S346" s="58"/>
      <c r="T346" s="58"/>
      <c r="U346" s="58"/>
      <c r="V346" s="58"/>
      <c r="W346" s="58"/>
      <c r="X346" s="58"/>
      <c r="Y346" s="58"/>
      <c r="Z346" s="58"/>
      <c r="AA346" s="58"/>
      <c r="AB346" s="58"/>
      <c r="AC346" s="58"/>
    </row>
    <row r="347">
      <c r="A347" s="320"/>
      <c r="B347" s="301"/>
      <c r="C347" s="205"/>
      <c r="D347" s="302"/>
      <c r="E347" s="303"/>
      <c r="F347" s="304"/>
      <c r="G347" s="312"/>
      <c r="H347" s="306"/>
      <c r="I347" s="302"/>
      <c r="J347" s="307"/>
      <c r="K347" s="313"/>
      <c r="L347" s="319"/>
      <c r="M347" s="316"/>
      <c r="N347" s="205"/>
      <c r="O347" s="311"/>
      <c r="P347" s="200"/>
      <c r="Q347" s="200"/>
      <c r="R347" s="58"/>
      <c r="S347" s="58"/>
      <c r="T347" s="58"/>
      <c r="U347" s="58"/>
      <c r="V347" s="58"/>
      <c r="W347" s="58"/>
      <c r="X347" s="58"/>
      <c r="Y347" s="58"/>
      <c r="Z347" s="58"/>
      <c r="AA347" s="58"/>
      <c r="AB347" s="58"/>
      <c r="AC347" s="58"/>
    </row>
    <row r="348">
      <c r="A348" s="320"/>
      <c r="B348" s="301"/>
      <c r="C348" s="205"/>
      <c r="D348" s="302"/>
      <c r="E348" s="303"/>
      <c r="F348" s="304"/>
      <c r="G348" s="312"/>
      <c r="H348" s="306"/>
      <c r="I348" s="302"/>
      <c r="J348" s="307"/>
      <c r="K348" s="313"/>
      <c r="L348" s="319"/>
      <c r="M348" s="316"/>
      <c r="N348" s="205"/>
      <c r="O348" s="311"/>
      <c r="P348" s="200"/>
      <c r="Q348" s="200"/>
      <c r="R348" s="58"/>
      <c r="S348" s="58"/>
      <c r="T348" s="58"/>
      <c r="U348" s="58"/>
      <c r="V348" s="58"/>
      <c r="W348" s="58"/>
      <c r="X348" s="58"/>
      <c r="Y348" s="58"/>
      <c r="Z348" s="58"/>
      <c r="AA348" s="58"/>
      <c r="AB348" s="58"/>
      <c r="AC348" s="58"/>
    </row>
    <row r="349">
      <c r="A349" s="320"/>
      <c r="B349" s="301"/>
      <c r="C349" s="205"/>
      <c r="D349" s="302"/>
      <c r="E349" s="303"/>
      <c r="F349" s="304"/>
      <c r="G349" s="312"/>
      <c r="H349" s="306"/>
      <c r="I349" s="302"/>
      <c r="J349" s="307"/>
      <c r="K349" s="313"/>
      <c r="L349" s="319"/>
      <c r="M349" s="316"/>
      <c r="N349" s="205"/>
      <c r="O349" s="311"/>
      <c r="P349" s="200"/>
      <c r="Q349" s="200"/>
      <c r="R349" s="58"/>
      <c r="S349" s="58"/>
      <c r="T349" s="58"/>
      <c r="U349" s="58"/>
      <c r="V349" s="58"/>
      <c r="W349" s="58"/>
      <c r="X349" s="58"/>
      <c r="Y349" s="58"/>
      <c r="Z349" s="58"/>
      <c r="AA349" s="58"/>
      <c r="AB349" s="58"/>
      <c r="AC349" s="58"/>
    </row>
    <row r="350">
      <c r="A350" s="320"/>
      <c r="B350" s="301"/>
      <c r="C350" s="205"/>
      <c r="D350" s="302"/>
      <c r="E350" s="303"/>
      <c r="F350" s="304"/>
      <c r="G350" s="312"/>
      <c r="H350" s="306"/>
      <c r="I350" s="302"/>
      <c r="J350" s="307"/>
      <c r="K350" s="313"/>
      <c r="L350" s="319"/>
      <c r="M350" s="316"/>
      <c r="N350" s="205"/>
      <c r="O350" s="311"/>
      <c r="P350" s="200"/>
      <c r="Q350" s="200"/>
      <c r="R350" s="58"/>
      <c r="S350" s="58"/>
      <c r="T350" s="58"/>
      <c r="U350" s="58"/>
      <c r="V350" s="58"/>
      <c r="W350" s="58"/>
      <c r="X350" s="58"/>
      <c r="Y350" s="58"/>
      <c r="Z350" s="58"/>
      <c r="AA350" s="58"/>
      <c r="AB350" s="58"/>
      <c r="AC350" s="58"/>
    </row>
    <row r="351">
      <c r="A351" s="320"/>
      <c r="B351" s="301"/>
      <c r="C351" s="205"/>
      <c r="D351" s="302"/>
      <c r="E351" s="303"/>
      <c r="F351" s="304"/>
      <c r="G351" s="312"/>
      <c r="H351" s="306"/>
      <c r="I351" s="302"/>
      <c r="J351" s="307"/>
      <c r="K351" s="313"/>
      <c r="L351" s="319"/>
      <c r="M351" s="316"/>
      <c r="N351" s="205"/>
      <c r="O351" s="311"/>
      <c r="P351" s="200"/>
      <c r="Q351" s="200"/>
      <c r="R351" s="58"/>
      <c r="S351" s="58"/>
      <c r="T351" s="58"/>
      <c r="U351" s="58"/>
      <c r="V351" s="58"/>
      <c r="W351" s="58"/>
      <c r="X351" s="58"/>
      <c r="Y351" s="58"/>
      <c r="Z351" s="58"/>
      <c r="AA351" s="58"/>
      <c r="AB351" s="58"/>
      <c r="AC351" s="58"/>
    </row>
    <row r="352">
      <c r="A352" s="320"/>
      <c r="B352" s="301"/>
      <c r="C352" s="205"/>
      <c r="D352" s="302"/>
      <c r="E352" s="303"/>
      <c r="F352" s="304"/>
      <c r="G352" s="312"/>
      <c r="H352" s="306"/>
      <c r="I352" s="302"/>
      <c r="J352" s="307"/>
      <c r="K352" s="313"/>
      <c r="L352" s="319"/>
      <c r="M352" s="316"/>
      <c r="N352" s="205"/>
      <c r="O352" s="311"/>
      <c r="P352" s="200"/>
      <c r="Q352" s="200"/>
      <c r="R352" s="58"/>
      <c r="S352" s="58"/>
      <c r="T352" s="58"/>
      <c r="U352" s="58"/>
      <c r="V352" s="58"/>
      <c r="W352" s="58"/>
      <c r="X352" s="58"/>
      <c r="Y352" s="58"/>
      <c r="Z352" s="58"/>
      <c r="AA352" s="58"/>
      <c r="AB352" s="58"/>
      <c r="AC352" s="58"/>
    </row>
    <row r="353">
      <c r="A353" s="320"/>
      <c r="B353" s="301"/>
      <c r="C353" s="205"/>
      <c r="D353" s="302"/>
      <c r="E353" s="303"/>
      <c r="F353" s="304"/>
      <c r="G353" s="312"/>
      <c r="H353" s="306"/>
      <c r="I353" s="302"/>
      <c r="J353" s="307"/>
      <c r="K353" s="313"/>
      <c r="L353" s="319"/>
      <c r="M353" s="316"/>
      <c r="N353" s="205"/>
      <c r="O353" s="311"/>
      <c r="P353" s="200"/>
      <c r="Q353" s="200"/>
      <c r="R353" s="58"/>
      <c r="S353" s="58"/>
      <c r="T353" s="58"/>
      <c r="U353" s="58"/>
      <c r="V353" s="58"/>
      <c r="W353" s="58"/>
      <c r="X353" s="58"/>
      <c r="Y353" s="58"/>
      <c r="Z353" s="58"/>
      <c r="AA353" s="58"/>
      <c r="AB353" s="58"/>
      <c r="AC353" s="58"/>
    </row>
    <row r="354">
      <c r="A354" s="320"/>
      <c r="B354" s="301"/>
      <c r="C354" s="205"/>
      <c r="D354" s="302"/>
      <c r="E354" s="303"/>
      <c r="F354" s="304"/>
      <c r="G354" s="312"/>
      <c r="H354" s="306"/>
      <c r="I354" s="302"/>
      <c r="J354" s="307"/>
      <c r="K354" s="313"/>
      <c r="L354" s="319"/>
      <c r="M354" s="316"/>
      <c r="N354" s="205"/>
      <c r="O354" s="311"/>
      <c r="P354" s="200"/>
      <c r="Q354" s="200"/>
      <c r="R354" s="58"/>
      <c r="S354" s="58"/>
      <c r="T354" s="58"/>
      <c r="U354" s="58"/>
      <c r="V354" s="58"/>
      <c r="W354" s="58"/>
      <c r="X354" s="58"/>
      <c r="Y354" s="58"/>
      <c r="Z354" s="58"/>
      <c r="AA354" s="58"/>
      <c r="AB354" s="58"/>
      <c r="AC354" s="58"/>
    </row>
    <row r="355">
      <c r="A355" s="320"/>
      <c r="B355" s="301"/>
      <c r="C355" s="205"/>
      <c r="D355" s="302"/>
      <c r="E355" s="303"/>
      <c r="F355" s="304"/>
      <c r="G355" s="312"/>
      <c r="H355" s="306"/>
      <c r="I355" s="302"/>
      <c r="J355" s="307"/>
      <c r="K355" s="313"/>
      <c r="L355" s="319"/>
      <c r="M355" s="316"/>
      <c r="N355" s="205"/>
      <c r="O355" s="311"/>
      <c r="P355" s="200"/>
      <c r="Q355" s="200"/>
      <c r="R355" s="58"/>
      <c r="S355" s="58"/>
      <c r="T355" s="58"/>
      <c r="U355" s="58"/>
      <c r="V355" s="58"/>
      <c r="W355" s="58"/>
      <c r="X355" s="58"/>
      <c r="Y355" s="58"/>
      <c r="Z355" s="58"/>
      <c r="AA355" s="58"/>
      <c r="AB355" s="58"/>
      <c r="AC355" s="58"/>
    </row>
    <row r="356">
      <c r="A356" s="320"/>
      <c r="B356" s="301"/>
      <c r="C356" s="205"/>
      <c r="D356" s="302"/>
      <c r="E356" s="303"/>
      <c r="F356" s="304"/>
      <c r="G356" s="312"/>
      <c r="H356" s="306"/>
      <c r="I356" s="302"/>
      <c r="J356" s="307"/>
      <c r="K356" s="313"/>
      <c r="L356" s="319"/>
      <c r="M356" s="316"/>
      <c r="N356" s="205"/>
      <c r="O356" s="311"/>
      <c r="P356" s="200"/>
      <c r="Q356" s="200"/>
      <c r="R356" s="58"/>
      <c r="S356" s="58"/>
      <c r="T356" s="58"/>
      <c r="U356" s="58"/>
      <c r="V356" s="58"/>
      <c r="W356" s="58"/>
      <c r="X356" s="58"/>
      <c r="Y356" s="58"/>
      <c r="Z356" s="58"/>
      <c r="AA356" s="58"/>
      <c r="AB356" s="58"/>
      <c r="AC356" s="58"/>
    </row>
    <row r="357">
      <c r="A357" s="320"/>
      <c r="B357" s="301"/>
      <c r="C357" s="205"/>
      <c r="D357" s="302"/>
      <c r="E357" s="303"/>
      <c r="F357" s="304"/>
      <c r="G357" s="312"/>
      <c r="H357" s="306"/>
      <c r="I357" s="302"/>
      <c r="J357" s="307"/>
      <c r="K357" s="313"/>
      <c r="L357" s="319"/>
      <c r="M357" s="316"/>
      <c r="N357" s="205"/>
      <c r="O357" s="311"/>
      <c r="P357" s="200"/>
      <c r="Q357" s="200"/>
      <c r="R357" s="58"/>
      <c r="S357" s="58"/>
      <c r="T357" s="58"/>
      <c r="U357" s="58"/>
      <c r="V357" s="58"/>
      <c r="W357" s="58"/>
      <c r="X357" s="58"/>
      <c r="Y357" s="58"/>
      <c r="Z357" s="58"/>
      <c r="AA357" s="58"/>
      <c r="AB357" s="58"/>
      <c r="AC357" s="58"/>
    </row>
    <row r="358">
      <c r="A358" s="320"/>
      <c r="B358" s="301"/>
      <c r="C358" s="205"/>
      <c r="D358" s="302"/>
      <c r="E358" s="303"/>
      <c r="F358" s="304"/>
      <c r="G358" s="312"/>
      <c r="H358" s="306"/>
      <c r="I358" s="302"/>
      <c r="J358" s="307"/>
      <c r="K358" s="313"/>
      <c r="L358" s="319"/>
      <c r="M358" s="316"/>
      <c r="N358" s="205"/>
      <c r="O358" s="311"/>
      <c r="P358" s="200"/>
      <c r="Q358" s="200"/>
      <c r="R358" s="58"/>
      <c r="S358" s="58"/>
      <c r="T358" s="58"/>
      <c r="U358" s="58"/>
      <c r="V358" s="58"/>
      <c r="W358" s="58"/>
      <c r="X358" s="58"/>
      <c r="Y358" s="58"/>
      <c r="Z358" s="58"/>
      <c r="AA358" s="58"/>
      <c r="AB358" s="58"/>
      <c r="AC358" s="58"/>
    </row>
    <row r="359">
      <c r="A359" s="320"/>
      <c r="B359" s="301"/>
      <c r="C359" s="205"/>
      <c r="D359" s="302"/>
      <c r="E359" s="303"/>
      <c r="F359" s="304"/>
      <c r="G359" s="312"/>
      <c r="H359" s="306"/>
      <c r="I359" s="302"/>
      <c r="J359" s="307"/>
      <c r="K359" s="313"/>
      <c r="L359" s="319"/>
      <c r="M359" s="316"/>
      <c r="N359" s="205"/>
      <c r="O359" s="311"/>
      <c r="P359" s="200"/>
      <c r="Q359" s="200"/>
      <c r="R359" s="58"/>
      <c r="S359" s="58"/>
      <c r="T359" s="58"/>
      <c r="U359" s="58"/>
      <c r="V359" s="58"/>
      <c r="W359" s="58"/>
      <c r="X359" s="58"/>
      <c r="Y359" s="58"/>
      <c r="Z359" s="58"/>
      <c r="AA359" s="58"/>
      <c r="AB359" s="58"/>
      <c r="AC359" s="58"/>
    </row>
    <row r="360">
      <c r="A360" s="320"/>
      <c r="B360" s="301"/>
      <c r="C360" s="205"/>
      <c r="D360" s="302"/>
      <c r="E360" s="303"/>
      <c r="F360" s="304"/>
      <c r="G360" s="312"/>
      <c r="H360" s="306"/>
      <c r="I360" s="302"/>
      <c r="J360" s="307"/>
      <c r="K360" s="313"/>
      <c r="L360" s="319"/>
      <c r="M360" s="316"/>
      <c r="N360" s="205"/>
      <c r="O360" s="311"/>
      <c r="P360" s="200"/>
      <c r="Q360" s="200"/>
      <c r="R360" s="58"/>
      <c r="S360" s="58"/>
      <c r="T360" s="58"/>
      <c r="U360" s="58"/>
      <c r="V360" s="58"/>
      <c r="W360" s="58"/>
      <c r="X360" s="58"/>
      <c r="Y360" s="58"/>
      <c r="Z360" s="58"/>
      <c r="AA360" s="58"/>
      <c r="AB360" s="58"/>
      <c r="AC360" s="58"/>
    </row>
    <row r="361">
      <c r="A361" s="320"/>
      <c r="B361" s="301"/>
      <c r="C361" s="205"/>
      <c r="D361" s="302"/>
      <c r="E361" s="303"/>
      <c r="F361" s="304"/>
      <c r="G361" s="312"/>
      <c r="H361" s="306"/>
      <c r="I361" s="302"/>
      <c r="J361" s="307"/>
      <c r="K361" s="313"/>
      <c r="L361" s="319"/>
      <c r="M361" s="316"/>
      <c r="N361" s="205"/>
      <c r="O361" s="311"/>
      <c r="P361" s="200"/>
      <c r="Q361" s="200"/>
      <c r="R361" s="58"/>
      <c r="S361" s="58"/>
      <c r="T361" s="58"/>
      <c r="U361" s="58"/>
      <c r="V361" s="58"/>
      <c r="W361" s="58"/>
      <c r="X361" s="58"/>
      <c r="Y361" s="58"/>
      <c r="Z361" s="58"/>
      <c r="AA361" s="58"/>
      <c r="AB361" s="58"/>
      <c r="AC361" s="58"/>
    </row>
    <row r="362">
      <c r="A362" s="320"/>
      <c r="B362" s="301"/>
      <c r="C362" s="205"/>
      <c r="D362" s="302"/>
      <c r="E362" s="303"/>
      <c r="F362" s="304"/>
      <c r="G362" s="312"/>
      <c r="H362" s="306"/>
      <c r="I362" s="302"/>
      <c r="J362" s="307"/>
      <c r="K362" s="313"/>
      <c r="L362" s="319"/>
      <c r="M362" s="316"/>
      <c r="N362" s="205"/>
      <c r="O362" s="311"/>
      <c r="P362" s="200"/>
      <c r="Q362" s="200"/>
      <c r="R362" s="58"/>
      <c r="S362" s="58"/>
      <c r="T362" s="58"/>
      <c r="U362" s="58"/>
      <c r="V362" s="58"/>
      <c r="W362" s="58"/>
      <c r="X362" s="58"/>
      <c r="Y362" s="58"/>
      <c r="Z362" s="58"/>
      <c r="AA362" s="58"/>
      <c r="AB362" s="58"/>
      <c r="AC362" s="58"/>
    </row>
    <row r="363">
      <c r="A363" s="320"/>
      <c r="B363" s="301"/>
      <c r="C363" s="205"/>
      <c r="D363" s="302"/>
      <c r="E363" s="303"/>
      <c r="F363" s="304"/>
      <c r="G363" s="312"/>
      <c r="H363" s="306"/>
      <c r="I363" s="302"/>
      <c r="J363" s="307"/>
      <c r="K363" s="313"/>
      <c r="L363" s="319"/>
      <c r="M363" s="316"/>
      <c r="N363" s="205"/>
      <c r="O363" s="311"/>
      <c r="P363" s="200"/>
      <c r="Q363" s="200"/>
      <c r="R363" s="58"/>
      <c r="S363" s="58"/>
      <c r="T363" s="58"/>
      <c r="U363" s="58"/>
      <c r="V363" s="58"/>
      <c r="W363" s="58"/>
      <c r="X363" s="58"/>
      <c r="Y363" s="58"/>
      <c r="Z363" s="58"/>
      <c r="AA363" s="58"/>
      <c r="AB363" s="58"/>
      <c r="AC363" s="58"/>
    </row>
    <row r="364">
      <c r="A364" s="320"/>
      <c r="B364" s="301"/>
      <c r="C364" s="205"/>
      <c r="D364" s="302"/>
      <c r="E364" s="303"/>
      <c r="F364" s="304"/>
      <c r="G364" s="312"/>
      <c r="H364" s="306"/>
      <c r="I364" s="302"/>
      <c r="J364" s="307"/>
      <c r="K364" s="313"/>
      <c r="L364" s="319"/>
      <c r="M364" s="316"/>
      <c r="N364" s="205"/>
      <c r="O364" s="311"/>
      <c r="P364" s="200"/>
      <c r="Q364" s="200"/>
      <c r="R364" s="58"/>
      <c r="S364" s="58"/>
      <c r="T364" s="58"/>
      <c r="U364" s="58"/>
      <c r="V364" s="58"/>
      <c r="W364" s="58"/>
      <c r="X364" s="58"/>
      <c r="Y364" s="58"/>
      <c r="Z364" s="58"/>
      <c r="AA364" s="58"/>
      <c r="AB364" s="58"/>
      <c r="AC364" s="58"/>
    </row>
    <row r="365">
      <c r="A365" s="320"/>
      <c r="B365" s="301"/>
      <c r="C365" s="205"/>
      <c r="D365" s="302"/>
      <c r="E365" s="303"/>
      <c r="F365" s="304"/>
      <c r="G365" s="312"/>
      <c r="H365" s="306"/>
      <c r="I365" s="302"/>
      <c r="J365" s="307"/>
      <c r="K365" s="313"/>
      <c r="L365" s="319"/>
      <c r="M365" s="316"/>
      <c r="N365" s="205"/>
      <c r="O365" s="311"/>
      <c r="P365" s="200"/>
      <c r="Q365" s="200"/>
      <c r="R365" s="58"/>
      <c r="S365" s="58"/>
      <c r="T365" s="58"/>
      <c r="U365" s="58"/>
      <c r="V365" s="58"/>
      <c r="W365" s="58"/>
      <c r="X365" s="58"/>
      <c r="Y365" s="58"/>
      <c r="Z365" s="58"/>
      <c r="AA365" s="58"/>
      <c r="AB365" s="58"/>
      <c r="AC365" s="58"/>
    </row>
    <row r="366">
      <c r="A366" s="320"/>
      <c r="B366" s="301"/>
      <c r="C366" s="205"/>
      <c r="D366" s="302"/>
      <c r="E366" s="303"/>
      <c r="F366" s="304"/>
      <c r="G366" s="312"/>
      <c r="H366" s="306"/>
      <c r="I366" s="302"/>
      <c r="J366" s="307"/>
      <c r="K366" s="313"/>
      <c r="L366" s="319"/>
      <c r="M366" s="316"/>
      <c r="N366" s="205"/>
      <c r="O366" s="311"/>
      <c r="P366" s="200"/>
      <c r="Q366" s="200"/>
      <c r="R366" s="58"/>
      <c r="S366" s="58"/>
      <c r="T366" s="58"/>
      <c r="U366" s="58"/>
      <c r="V366" s="58"/>
      <c r="W366" s="58"/>
      <c r="X366" s="58"/>
      <c r="Y366" s="58"/>
      <c r="Z366" s="58"/>
      <c r="AA366" s="58"/>
      <c r="AB366" s="58"/>
      <c r="AC366" s="58"/>
    </row>
    <row r="367">
      <c r="A367" s="320"/>
      <c r="B367" s="301"/>
      <c r="C367" s="205"/>
      <c r="D367" s="302"/>
      <c r="E367" s="303"/>
      <c r="F367" s="304"/>
      <c r="G367" s="312"/>
      <c r="H367" s="306"/>
      <c r="I367" s="302"/>
      <c r="J367" s="307"/>
      <c r="K367" s="313"/>
      <c r="L367" s="319"/>
      <c r="M367" s="316"/>
      <c r="N367" s="205"/>
      <c r="O367" s="311"/>
      <c r="P367" s="200"/>
      <c r="Q367" s="200"/>
      <c r="R367" s="58"/>
      <c r="S367" s="58"/>
      <c r="T367" s="58"/>
      <c r="U367" s="58"/>
      <c r="V367" s="58"/>
      <c r="W367" s="58"/>
      <c r="X367" s="58"/>
      <c r="Y367" s="58"/>
      <c r="Z367" s="58"/>
      <c r="AA367" s="58"/>
      <c r="AB367" s="58"/>
      <c r="AC367" s="58"/>
    </row>
    <row r="368">
      <c r="A368" s="320"/>
      <c r="B368" s="301"/>
      <c r="C368" s="205"/>
      <c r="D368" s="302"/>
      <c r="E368" s="303"/>
      <c r="F368" s="304"/>
      <c r="G368" s="312"/>
      <c r="H368" s="306"/>
      <c r="I368" s="302"/>
      <c r="J368" s="307"/>
      <c r="K368" s="313"/>
      <c r="L368" s="319"/>
      <c r="M368" s="316"/>
      <c r="N368" s="205"/>
      <c r="O368" s="311"/>
      <c r="P368" s="200"/>
      <c r="Q368" s="200"/>
      <c r="R368" s="58"/>
      <c r="S368" s="58"/>
      <c r="T368" s="58"/>
      <c r="U368" s="58"/>
      <c r="V368" s="58"/>
      <c r="W368" s="58"/>
      <c r="X368" s="58"/>
      <c r="Y368" s="58"/>
      <c r="Z368" s="58"/>
      <c r="AA368" s="58"/>
      <c r="AB368" s="58"/>
      <c r="AC368" s="58"/>
    </row>
    <row r="369">
      <c r="A369" s="320"/>
      <c r="B369" s="301"/>
      <c r="C369" s="205"/>
      <c r="D369" s="302"/>
      <c r="E369" s="303"/>
      <c r="F369" s="304"/>
      <c r="G369" s="312"/>
      <c r="H369" s="306"/>
      <c r="I369" s="302"/>
      <c r="J369" s="307"/>
      <c r="K369" s="313"/>
      <c r="L369" s="319"/>
      <c r="M369" s="316"/>
      <c r="N369" s="205"/>
      <c r="O369" s="311"/>
      <c r="P369" s="200"/>
      <c r="Q369" s="200"/>
      <c r="R369" s="58"/>
      <c r="S369" s="58"/>
      <c r="T369" s="58"/>
      <c r="U369" s="58"/>
      <c r="V369" s="58"/>
      <c r="W369" s="58"/>
      <c r="X369" s="58"/>
      <c r="Y369" s="58"/>
      <c r="Z369" s="58"/>
      <c r="AA369" s="58"/>
      <c r="AB369" s="58"/>
      <c r="AC369" s="58"/>
    </row>
    <row r="370">
      <c r="A370" s="320"/>
      <c r="B370" s="301"/>
      <c r="C370" s="205"/>
      <c r="D370" s="302"/>
      <c r="E370" s="303"/>
      <c r="F370" s="304"/>
      <c r="G370" s="312"/>
      <c r="H370" s="306"/>
      <c r="I370" s="302"/>
      <c r="J370" s="307"/>
      <c r="K370" s="313"/>
      <c r="L370" s="319"/>
      <c r="M370" s="316"/>
      <c r="N370" s="205"/>
      <c r="O370" s="311"/>
      <c r="P370" s="200"/>
      <c r="Q370" s="200"/>
      <c r="R370" s="58"/>
      <c r="S370" s="58"/>
      <c r="T370" s="58"/>
      <c r="U370" s="58"/>
      <c r="V370" s="58"/>
      <c r="W370" s="58"/>
      <c r="X370" s="58"/>
      <c r="Y370" s="58"/>
      <c r="Z370" s="58"/>
      <c r="AA370" s="58"/>
      <c r="AB370" s="58"/>
      <c r="AC370" s="58"/>
    </row>
    <row r="371">
      <c r="A371" s="320"/>
      <c r="B371" s="301"/>
      <c r="C371" s="205"/>
      <c r="D371" s="302"/>
      <c r="E371" s="303"/>
      <c r="F371" s="304"/>
      <c r="G371" s="312"/>
      <c r="H371" s="306"/>
      <c r="I371" s="302"/>
      <c r="J371" s="307"/>
      <c r="K371" s="313"/>
      <c r="L371" s="319"/>
      <c r="M371" s="316"/>
      <c r="N371" s="205"/>
      <c r="O371" s="311"/>
      <c r="P371" s="200"/>
      <c r="Q371" s="200"/>
      <c r="R371" s="58"/>
      <c r="S371" s="58"/>
      <c r="T371" s="58"/>
      <c r="U371" s="58"/>
      <c r="V371" s="58"/>
      <c r="W371" s="58"/>
      <c r="X371" s="58"/>
      <c r="Y371" s="58"/>
      <c r="Z371" s="58"/>
      <c r="AA371" s="58"/>
      <c r="AB371" s="58"/>
      <c r="AC371" s="58"/>
    </row>
    <row r="372">
      <c r="A372" s="320"/>
      <c r="B372" s="301"/>
      <c r="C372" s="205"/>
      <c r="D372" s="302"/>
      <c r="E372" s="303"/>
      <c r="F372" s="304"/>
      <c r="G372" s="312"/>
      <c r="H372" s="306"/>
      <c r="I372" s="302"/>
      <c r="J372" s="307"/>
      <c r="K372" s="313"/>
      <c r="L372" s="319"/>
      <c r="M372" s="316"/>
      <c r="N372" s="205"/>
      <c r="O372" s="311"/>
      <c r="P372" s="200"/>
      <c r="Q372" s="200"/>
      <c r="R372" s="58"/>
      <c r="S372" s="58"/>
      <c r="T372" s="58"/>
      <c r="U372" s="58"/>
      <c r="V372" s="58"/>
      <c r="W372" s="58"/>
      <c r="X372" s="58"/>
      <c r="Y372" s="58"/>
      <c r="Z372" s="58"/>
      <c r="AA372" s="58"/>
      <c r="AB372" s="58"/>
      <c r="AC372" s="58"/>
    </row>
    <row r="373">
      <c r="A373" s="320"/>
      <c r="B373" s="301"/>
      <c r="C373" s="205"/>
      <c r="D373" s="302"/>
      <c r="E373" s="303"/>
      <c r="F373" s="304"/>
      <c r="G373" s="312"/>
      <c r="H373" s="306"/>
      <c r="I373" s="302"/>
      <c r="J373" s="307"/>
      <c r="K373" s="313"/>
      <c r="L373" s="319"/>
      <c r="M373" s="316"/>
      <c r="N373" s="205"/>
      <c r="O373" s="311"/>
      <c r="P373" s="200"/>
      <c r="Q373" s="200"/>
      <c r="R373" s="58"/>
      <c r="S373" s="58"/>
      <c r="T373" s="58"/>
      <c r="U373" s="58"/>
      <c r="V373" s="58"/>
      <c r="W373" s="58"/>
      <c r="X373" s="58"/>
      <c r="Y373" s="58"/>
      <c r="Z373" s="58"/>
      <c r="AA373" s="58"/>
      <c r="AB373" s="58"/>
      <c r="AC373" s="58"/>
    </row>
    <row r="374">
      <c r="A374" s="320"/>
      <c r="B374" s="301"/>
      <c r="C374" s="205"/>
      <c r="D374" s="302"/>
      <c r="E374" s="303"/>
      <c r="F374" s="304"/>
      <c r="G374" s="312"/>
      <c r="H374" s="306"/>
      <c r="I374" s="302"/>
      <c r="J374" s="307"/>
      <c r="K374" s="313"/>
      <c r="L374" s="319"/>
      <c r="M374" s="316"/>
      <c r="N374" s="205"/>
      <c r="O374" s="311"/>
      <c r="P374" s="200"/>
      <c r="Q374" s="200"/>
      <c r="R374" s="58"/>
      <c r="S374" s="58"/>
      <c r="T374" s="58"/>
      <c r="U374" s="58"/>
      <c r="V374" s="58"/>
      <c r="W374" s="58"/>
      <c r="X374" s="58"/>
      <c r="Y374" s="58"/>
      <c r="Z374" s="58"/>
      <c r="AA374" s="58"/>
      <c r="AB374" s="58"/>
      <c r="AC374" s="58"/>
    </row>
    <row r="375">
      <c r="A375" s="320"/>
      <c r="B375" s="301"/>
      <c r="C375" s="205"/>
      <c r="D375" s="302"/>
      <c r="E375" s="303"/>
      <c r="F375" s="304"/>
      <c r="G375" s="312"/>
      <c r="H375" s="306"/>
      <c r="I375" s="302"/>
      <c r="J375" s="307"/>
      <c r="K375" s="313"/>
      <c r="L375" s="319"/>
      <c r="M375" s="316"/>
      <c r="N375" s="205"/>
      <c r="O375" s="311"/>
      <c r="P375" s="200"/>
      <c r="Q375" s="200"/>
      <c r="R375" s="58"/>
      <c r="S375" s="58"/>
      <c r="T375" s="58"/>
      <c r="U375" s="58"/>
      <c r="V375" s="58"/>
      <c r="W375" s="58"/>
      <c r="X375" s="58"/>
      <c r="Y375" s="58"/>
      <c r="Z375" s="58"/>
      <c r="AA375" s="58"/>
      <c r="AB375" s="58"/>
      <c r="AC375" s="58"/>
    </row>
    <row r="376">
      <c r="A376" s="320"/>
      <c r="B376" s="301"/>
      <c r="C376" s="205"/>
      <c r="D376" s="302"/>
      <c r="E376" s="303"/>
      <c r="F376" s="304"/>
      <c r="G376" s="312"/>
      <c r="H376" s="306"/>
      <c r="I376" s="302"/>
      <c r="J376" s="307"/>
      <c r="K376" s="313"/>
      <c r="L376" s="319"/>
      <c r="M376" s="316"/>
      <c r="N376" s="205"/>
      <c r="O376" s="311"/>
      <c r="P376" s="200"/>
      <c r="Q376" s="200"/>
      <c r="R376" s="58"/>
      <c r="S376" s="58"/>
      <c r="T376" s="58"/>
      <c r="U376" s="58"/>
      <c r="V376" s="58"/>
      <c r="W376" s="58"/>
      <c r="X376" s="58"/>
      <c r="Y376" s="58"/>
      <c r="Z376" s="58"/>
      <c r="AA376" s="58"/>
      <c r="AB376" s="58"/>
      <c r="AC376" s="58"/>
    </row>
    <row r="377">
      <c r="A377" s="320"/>
      <c r="B377" s="301"/>
      <c r="C377" s="205"/>
      <c r="D377" s="302"/>
      <c r="E377" s="303"/>
      <c r="F377" s="304"/>
      <c r="G377" s="312"/>
      <c r="H377" s="306"/>
      <c r="I377" s="302"/>
      <c r="J377" s="307"/>
      <c r="K377" s="313"/>
      <c r="L377" s="319"/>
      <c r="M377" s="316"/>
      <c r="N377" s="205"/>
      <c r="O377" s="311"/>
      <c r="P377" s="200"/>
      <c r="Q377" s="200"/>
      <c r="R377" s="58"/>
      <c r="S377" s="58"/>
      <c r="T377" s="58"/>
      <c r="U377" s="58"/>
      <c r="V377" s="58"/>
      <c r="W377" s="58"/>
      <c r="X377" s="58"/>
      <c r="Y377" s="58"/>
      <c r="Z377" s="58"/>
      <c r="AA377" s="58"/>
      <c r="AB377" s="58"/>
      <c r="AC377" s="58"/>
    </row>
    <row r="378">
      <c r="A378" s="320"/>
      <c r="B378" s="301"/>
      <c r="C378" s="205"/>
      <c r="D378" s="302"/>
      <c r="E378" s="303"/>
      <c r="F378" s="304"/>
      <c r="G378" s="312"/>
      <c r="H378" s="306"/>
      <c r="I378" s="302"/>
      <c r="J378" s="307"/>
      <c r="K378" s="313"/>
      <c r="L378" s="319"/>
      <c r="M378" s="316"/>
      <c r="N378" s="205"/>
      <c r="O378" s="311"/>
      <c r="P378" s="200"/>
      <c r="Q378" s="200"/>
      <c r="R378" s="58"/>
      <c r="S378" s="58"/>
      <c r="T378" s="58"/>
      <c r="U378" s="58"/>
      <c r="V378" s="58"/>
      <c r="W378" s="58"/>
      <c r="X378" s="58"/>
      <c r="Y378" s="58"/>
      <c r="Z378" s="58"/>
      <c r="AA378" s="58"/>
      <c r="AB378" s="58"/>
      <c r="AC378" s="58"/>
    </row>
    <row r="379">
      <c r="A379" s="320"/>
      <c r="B379" s="301"/>
      <c r="C379" s="205"/>
      <c r="D379" s="302"/>
      <c r="E379" s="303"/>
      <c r="F379" s="304"/>
      <c r="G379" s="312"/>
      <c r="H379" s="306"/>
      <c r="I379" s="302"/>
      <c r="J379" s="307"/>
      <c r="K379" s="313"/>
      <c r="L379" s="319"/>
      <c r="M379" s="316"/>
      <c r="N379" s="205"/>
      <c r="O379" s="311"/>
      <c r="P379" s="200"/>
      <c r="Q379" s="200"/>
      <c r="R379" s="58"/>
      <c r="S379" s="58"/>
      <c r="T379" s="58"/>
      <c r="U379" s="58"/>
      <c r="V379" s="58"/>
      <c r="W379" s="58"/>
      <c r="X379" s="58"/>
      <c r="Y379" s="58"/>
      <c r="Z379" s="58"/>
      <c r="AA379" s="58"/>
      <c r="AB379" s="58"/>
      <c r="AC379" s="58"/>
    </row>
    <row r="380">
      <c r="A380" s="320"/>
      <c r="B380" s="301"/>
      <c r="C380" s="205"/>
      <c r="D380" s="302"/>
      <c r="E380" s="303"/>
      <c r="F380" s="304"/>
      <c r="G380" s="312"/>
      <c r="H380" s="306"/>
      <c r="I380" s="302"/>
      <c r="J380" s="307"/>
      <c r="K380" s="313"/>
      <c r="L380" s="319"/>
      <c r="M380" s="316"/>
      <c r="N380" s="205"/>
      <c r="O380" s="311"/>
      <c r="P380" s="200"/>
      <c r="Q380" s="200"/>
      <c r="R380" s="58"/>
      <c r="S380" s="58"/>
      <c r="T380" s="58"/>
      <c r="U380" s="58"/>
      <c r="V380" s="58"/>
      <c r="W380" s="58"/>
      <c r="X380" s="58"/>
      <c r="Y380" s="58"/>
      <c r="Z380" s="58"/>
      <c r="AA380" s="58"/>
      <c r="AB380" s="58"/>
      <c r="AC380" s="58"/>
    </row>
    <row r="381">
      <c r="A381" s="320"/>
      <c r="B381" s="301"/>
      <c r="C381" s="205"/>
      <c r="D381" s="302"/>
      <c r="E381" s="303"/>
      <c r="F381" s="304"/>
      <c r="G381" s="312"/>
      <c r="H381" s="306"/>
      <c r="I381" s="302"/>
      <c r="J381" s="307"/>
      <c r="K381" s="313"/>
      <c r="L381" s="319"/>
      <c r="M381" s="316"/>
      <c r="N381" s="205"/>
      <c r="O381" s="311"/>
      <c r="P381" s="200"/>
      <c r="Q381" s="200"/>
      <c r="R381" s="58"/>
      <c r="S381" s="58"/>
      <c r="T381" s="58"/>
      <c r="U381" s="58"/>
      <c r="V381" s="58"/>
      <c r="W381" s="58"/>
      <c r="X381" s="58"/>
      <c r="Y381" s="58"/>
      <c r="Z381" s="58"/>
      <c r="AA381" s="58"/>
      <c r="AB381" s="58"/>
      <c r="AC381" s="58"/>
    </row>
    <row r="382">
      <c r="A382" s="320"/>
      <c r="B382" s="301"/>
      <c r="C382" s="205"/>
      <c r="D382" s="302"/>
      <c r="E382" s="303"/>
      <c r="F382" s="304"/>
      <c r="G382" s="312"/>
      <c r="H382" s="306"/>
      <c r="I382" s="302"/>
      <c r="J382" s="307"/>
      <c r="K382" s="313"/>
      <c r="L382" s="319"/>
      <c r="M382" s="316"/>
      <c r="N382" s="205"/>
      <c r="O382" s="311"/>
      <c r="P382" s="200"/>
      <c r="Q382" s="200"/>
      <c r="R382" s="58"/>
      <c r="S382" s="58"/>
      <c r="T382" s="58"/>
      <c r="U382" s="58"/>
      <c r="V382" s="58"/>
      <c r="W382" s="58"/>
      <c r="X382" s="58"/>
      <c r="Y382" s="58"/>
      <c r="Z382" s="58"/>
      <c r="AA382" s="58"/>
      <c r="AB382" s="58"/>
      <c r="AC382" s="58"/>
    </row>
    <row r="383">
      <c r="A383" s="320"/>
      <c r="B383" s="301"/>
      <c r="C383" s="205"/>
      <c r="D383" s="302"/>
      <c r="E383" s="303"/>
      <c r="F383" s="304"/>
      <c r="G383" s="312"/>
      <c r="H383" s="306"/>
      <c r="I383" s="302"/>
      <c r="J383" s="307"/>
      <c r="K383" s="313"/>
      <c r="L383" s="319"/>
      <c r="M383" s="316"/>
      <c r="N383" s="205"/>
      <c r="O383" s="311"/>
      <c r="P383" s="200"/>
      <c r="Q383" s="200"/>
      <c r="R383" s="58"/>
      <c r="S383" s="58"/>
      <c r="T383" s="58"/>
      <c r="U383" s="58"/>
      <c r="V383" s="58"/>
      <c r="W383" s="58"/>
      <c r="X383" s="58"/>
      <c r="Y383" s="58"/>
      <c r="Z383" s="58"/>
      <c r="AA383" s="58"/>
      <c r="AB383" s="58"/>
      <c r="AC383" s="58"/>
    </row>
    <row r="384">
      <c r="A384" s="320"/>
      <c r="B384" s="301"/>
      <c r="C384" s="205"/>
      <c r="D384" s="302"/>
      <c r="E384" s="303"/>
      <c r="F384" s="304"/>
      <c r="G384" s="312"/>
      <c r="H384" s="306"/>
      <c r="I384" s="302"/>
      <c r="J384" s="307"/>
      <c r="K384" s="313"/>
      <c r="L384" s="319"/>
      <c r="M384" s="316"/>
      <c r="N384" s="205"/>
      <c r="O384" s="311"/>
      <c r="P384" s="200"/>
      <c r="Q384" s="200"/>
      <c r="R384" s="58"/>
      <c r="S384" s="58"/>
      <c r="T384" s="58"/>
      <c r="U384" s="58"/>
      <c r="V384" s="58"/>
      <c r="W384" s="58"/>
      <c r="X384" s="58"/>
      <c r="Y384" s="58"/>
      <c r="Z384" s="58"/>
      <c r="AA384" s="58"/>
      <c r="AB384" s="58"/>
      <c r="AC384" s="58"/>
    </row>
    <row r="385">
      <c r="A385" s="320"/>
      <c r="B385" s="301"/>
      <c r="C385" s="205"/>
      <c r="D385" s="302"/>
      <c r="E385" s="303"/>
      <c r="F385" s="304"/>
      <c r="G385" s="312"/>
      <c r="H385" s="306"/>
      <c r="I385" s="302"/>
      <c r="J385" s="307"/>
      <c r="K385" s="313"/>
      <c r="L385" s="319"/>
      <c r="M385" s="316"/>
      <c r="N385" s="205"/>
      <c r="O385" s="311"/>
      <c r="P385" s="200"/>
      <c r="Q385" s="200"/>
      <c r="R385" s="58"/>
      <c r="S385" s="58"/>
      <c r="T385" s="58"/>
      <c r="U385" s="58"/>
      <c r="V385" s="58"/>
      <c r="W385" s="58"/>
      <c r="X385" s="58"/>
      <c r="Y385" s="58"/>
      <c r="Z385" s="58"/>
      <c r="AA385" s="58"/>
      <c r="AB385" s="58"/>
      <c r="AC385" s="58"/>
    </row>
    <row r="386">
      <c r="A386" s="320"/>
      <c r="B386" s="301"/>
      <c r="C386" s="205"/>
      <c r="D386" s="302"/>
      <c r="E386" s="303"/>
      <c r="F386" s="304"/>
      <c r="G386" s="312"/>
      <c r="H386" s="306"/>
      <c r="I386" s="302"/>
      <c r="J386" s="307"/>
      <c r="K386" s="313"/>
      <c r="L386" s="319"/>
      <c r="M386" s="316"/>
      <c r="N386" s="205"/>
      <c r="O386" s="311"/>
      <c r="P386" s="200"/>
      <c r="Q386" s="200"/>
      <c r="R386" s="58"/>
      <c r="S386" s="58"/>
      <c r="T386" s="58"/>
      <c r="U386" s="58"/>
      <c r="V386" s="58"/>
      <c r="W386" s="58"/>
      <c r="X386" s="58"/>
      <c r="Y386" s="58"/>
      <c r="Z386" s="58"/>
      <c r="AA386" s="58"/>
      <c r="AB386" s="58"/>
      <c r="AC386" s="58"/>
    </row>
    <row r="387">
      <c r="A387" s="320"/>
      <c r="B387" s="301"/>
      <c r="C387" s="205"/>
      <c r="D387" s="302"/>
      <c r="E387" s="303"/>
      <c r="F387" s="304"/>
      <c r="G387" s="312"/>
      <c r="H387" s="306"/>
      <c r="I387" s="302"/>
      <c r="J387" s="307"/>
      <c r="K387" s="313"/>
      <c r="L387" s="319"/>
      <c r="M387" s="316"/>
      <c r="N387" s="205"/>
      <c r="O387" s="311"/>
      <c r="P387" s="200"/>
      <c r="Q387" s="200"/>
      <c r="R387" s="58"/>
      <c r="S387" s="58"/>
      <c r="T387" s="58"/>
      <c r="U387" s="58"/>
      <c r="V387" s="58"/>
      <c r="W387" s="58"/>
      <c r="X387" s="58"/>
      <c r="Y387" s="58"/>
      <c r="Z387" s="58"/>
      <c r="AA387" s="58"/>
      <c r="AB387" s="58"/>
      <c r="AC387" s="58"/>
    </row>
    <row r="388">
      <c r="A388" s="320"/>
      <c r="B388" s="301"/>
      <c r="C388" s="205"/>
      <c r="D388" s="302"/>
      <c r="E388" s="303"/>
      <c r="F388" s="304"/>
      <c r="G388" s="312"/>
      <c r="H388" s="306"/>
      <c r="I388" s="302"/>
      <c r="J388" s="307"/>
      <c r="K388" s="313"/>
      <c r="L388" s="319"/>
      <c r="M388" s="316"/>
      <c r="N388" s="205"/>
      <c r="O388" s="311"/>
      <c r="P388" s="200"/>
      <c r="Q388" s="200"/>
      <c r="R388" s="58"/>
      <c r="S388" s="58"/>
      <c r="T388" s="58"/>
      <c r="U388" s="58"/>
      <c r="V388" s="58"/>
      <c r="W388" s="58"/>
      <c r="X388" s="58"/>
      <c r="Y388" s="58"/>
      <c r="Z388" s="58"/>
      <c r="AA388" s="58"/>
      <c r="AB388" s="58"/>
      <c r="AC388" s="58"/>
    </row>
    <row r="389">
      <c r="A389" s="320"/>
      <c r="B389" s="301"/>
      <c r="C389" s="205"/>
      <c r="D389" s="302"/>
      <c r="E389" s="303"/>
      <c r="F389" s="304"/>
      <c r="G389" s="312"/>
      <c r="H389" s="306"/>
      <c r="I389" s="302"/>
      <c r="J389" s="307"/>
      <c r="K389" s="313"/>
      <c r="L389" s="319"/>
      <c r="M389" s="316"/>
      <c r="N389" s="205"/>
      <c r="O389" s="311"/>
      <c r="P389" s="200"/>
      <c r="Q389" s="200"/>
      <c r="R389" s="58"/>
      <c r="S389" s="58"/>
      <c r="T389" s="58"/>
      <c r="U389" s="58"/>
      <c r="V389" s="58"/>
      <c r="W389" s="58"/>
      <c r="X389" s="58"/>
      <c r="Y389" s="58"/>
      <c r="Z389" s="58"/>
      <c r="AA389" s="58"/>
      <c r="AB389" s="58"/>
      <c r="AC389" s="58"/>
    </row>
    <row r="390">
      <c r="A390" s="320"/>
      <c r="B390" s="301"/>
      <c r="C390" s="205"/>
      <c r="D390" s="302"/>
      <c r="E390" s="303"/>
      <c r="F390" s="304"/>
      <c r="G390" s="312"/>
      <c r="H390" s="306"/>
      <c r="I390" s="302"/>
      <c r="J390" s="307"/>
      <c r="K390" s="313"/>
      <c r="L390" s="319"/>
      <c r="M390" s="316"/>
      <c r="N390" s="205"/>
      <c r="O390" s="311"/>
      <c r="P390" s="200"/>
      <c r="Q390" s="200"/>
      <c r="R390" s="58"/>
      <c r="S390" s="58"/>
      <c r="T390" s="58"/>
      <c r="U390" s="58"/>
      <c r="V390" s="58"/>
      <c r="W390" s="58"/>
      <c r="X390" s="58"/>
      <c r="Y390" s="58"/>
      <c r="Z390" s="58"/>
      <c r="AA390" s="58"/>
      <c r="AB390" s="58"/>
      <c r="AC390" s="58"/>
    </row>
    <row r="391">
      <c r="A391" s="320"/>
      <c r="B391" s="301"/>
      <c r="C391" s="205"/>
      <c r="D391" s="302"/>
      <c r="E391" s="303"/>
      <c r="F391" s="304"/>
      <c r="G391" s="312"/>
      <c r="H391" s="306"/>
      <c r="I391" s="302"/>
      <c r="J391" s="307"/>
      <c r="K391" s="313"/>
      <c r="L391" s="319"/>
      <c r="M391" s="316"/>
      <c r="N391" s="205"/>
      <c r="O391" s="311"/>
      <c r="P391" s="200"/>
      <c r="Q391" s="200"/>
      <c r="R391" s="58"/>
      <c r="S391" s="58"/>
      <c r="T391" s="58"/>
      <c r="U391" s="58"/>
      <c r="V391" s="58"/>
      <c r="W391" s="58"/>
      <c r="X391" s="58"/>
      <c r="Y391" s="58"/>
      <c r="Z391" s="58"/>
      <c r="AA391" s="58"/>
      <c r="AB391" s="58"/>
      <c r="AC391" s="58"/>
    </row>
    <row r="392">
      <c r="A392" s="320"/>
      <c r="B392" s="301"/>
      <c r="C392" s="205"/>
      <c r="D392" s="302"/>
      <c r="E392" s="303"/>
      <c r="F392" s="304"/>
      <c r="G392" s="312"/>
      <c r="H392" s="306"/>
      <c r="I392" s="302"/>
      <c r="J392" s="307"/>
      <c r="K392" s="313"/>
      <c r="L392" s="319"/>
      <c r="M392" s="316"/>
      <c r="N392" s="205"/>
      <c r="O392" s="311"/>
      <c r="P392" s="200"/>
      <c r="Q392" s="200"/>
      <c r="R392" s="58"/>
      <c r="S392" s="58"/>
      <c r="T392" s="58"/>
      <c r="U392" s="58"/>
      <c r="V392" s="58"/>
      <c r="W392" s="58"/>
      <c r="X392" s="58"/>
      <c r="Y392" s="58"/>
      <c r="Z392" s="58"/>
      <c r="AA392" s="58"/>
      <c r="AB392" s="58"/>
      <c r="AC392" s="58"/>
    </row>
    <row r="393">
      <c r="A393" s="320"/>
      <c r="B393" s="301"/>
      <c r="C393" s="205"/>
      <c r="D393" s="302"/>
      <c r="E393" s="303"/>
      <c r="F393" s="304"/>
      <c r="G393" s="312"/>
      <c r="H393" s="306"/>
      <c r="I393" s="302"/>
      <c r="J393" s="307"/>
      <c r="K393" s="313"/>
      <c r="L393" s="319"/>
      <c r="M393" s="316"/>
      <c r="N393" s="205"/>
      <c r="O393" s="311"/>
      <c r="P393" s="200"/>
      <c r="Q393" s="200"/>
      <c r="R393" s="58"/>
      <c r="S393" s="58"/>
      <c r="T393" s="58"/>
      <c r="U393" s="58"/>
      <c r="V393" s="58"/>
      <c r="W393" s="58"/>
      <c r="X393" s="58"/>
      <c r="Y393" s="58"/>
      <c r="Z393" s="58"/>
      <c r="AA393" s="58"/>
      <c r="AB393" s="58"/>
      <c r="AC393" s="58"/>
    </row>
    <row r="394">
      <c r="A394" s="320"/>
      <c r="B394" s="301"/>
      <c r="C394" s="205"/>
      <c r="D394" s="302"/>
      <c r="E394" s="303"/>
      <c r="F394" s="304"/>
      <c r="G394" s="312"/>
      <c r="H394" s="306"/>
      <c r="I394" s="302"/>
      <c r="J394" s="307"/>
      <c r="K394" s="313"/>
      <c r="L394" s="319"/>
      <c r="M394" s="316"/>
      <c r="N394" s="205"/>
      <c r="O394" s="311"/>
      <c r="P394" s="200"/>
      <c r="Q394" s="200"/>
      <c r="R394" s="58"/>
      <c r="S394" s="58"/>
      <c r="T394" s="58"/>
      <c r="U394" s="58"/>
      <c r="V394" s="58"/>
      <c r="W394" s="58"/>
      <c r="X394" s="58"/>
      <c r="Y394" s="58"/>
      <c r="Z394" s="58"/>
      <c r="AA394" s="58"/>
      <c r="AB394" s="58"/>
      <c r="AC394" s="58"/>
    </row>
    <row r="395">
      <c r="A395" s="320"/>
      <c r="B395" s="301"/>
      <c r="C395" s="205"/>
      <c r="D395" s="302"/>
      <c r="E395" s="303"/>
      <c r="F395" s="304"/>
      <c r="G395" s="312"/>
      <c r="H395" s="306"/>
      <c r="I395" s="302"/>
      <c r="J395" s="307"/>
      <c r="K395" s="313"/>
      <c r="L395" s="319"/>
      <c r="M395" s="316"/>
      <c r="N395" s="205"/>
      <c r="O395" s="311"/>
      <c r="P395" s="200"/>
      <c r="Q395" s="200"/>
      <c r="R395" s="58"/>
      <c r="S395" s="58"/>
      <c r="T395" s="58"/>
      <c r="U395" s="58"/>
      <c r="V395" s="58"/>
      <c r="W395" s="58"/>
      <c r="X395" s="58"/>
      <c r="Y395" s="58"/>
      <c r="Z395" s="58"/>
      <c r="AA395" s="58"/>
      <c r="AB395" s="58"/>
      <c r="AC395" s="58"/>
    </row>
    <row r="396">
      <c r="A396" s="320"/>
      <c r="B396" s="301"/>
      <c r="C396" s="205"/>
      <c r="D396" s="302"/>
      <c r="E396" s="303"/>
      <c r="F396" s="304"/>
      <c r="G396" s="312"/>
      <c r="H396" s="306"/>
      <c r="I396" s="302"/>
      <c r="J396" s="307"/>
      <c r="K396" s="313"/>
      <c r="L396" s="319"/>
      <c r="M396" s="316"/>
      <c r="N396" s="205"/>
      <c r="O396" s="311"/>
      <c r="P396" s="200"/>
      <c r="Q396" s="200"/>
      <c r="R396" s="58"/>
      <c r="S396" s="58"/>
      <c r="T396" s="58"/>
      <c r="U396" s="58"/>
      <c r="V396" s="58"/>
      <c r="W396" s="58"/>
      <c r="X396" s="58"/>
      <c r="Y396" s="58"/>
      <c r="Z396" s="58"/>
      <c r="AA396" s="58"/>
      <c r="AB396" s="58"/>
      <c r="AC396" s="58"/>
    </row>
    <row r="397">
      <c r="A397" s="320"/>
      <c r="B397" s="301"/>
      <c r="C397" s="205"/>
      <c r="D397" s="302"/>
      <c r="E397" s="303"/>
      <c r="F397" s="304"/>
      <c r="G397" s="312"/>
      <c r="H397" s="306"/>
      <c r="I397" s="302"/>
      <c r="J397" s="307"/>
      <c r="K397" s="313"/>
      <c r="L397" s="319"/>
      <c r="M397" s="316"/>
      <c r="N397" s="205"/>
      <c r="O397" s="311"/>
      <c r="P397" s="200"/>
      <c r="Q397" s="200"/>
      <c r="R397" s="58"/>
      <c r="S397" s="58"/>
      <c r="T397" s="58"/>
      <c r="U397" s="58"/>
      <c r="V397" s="58"/>
      <c r="W397" s="58"/>
      <c r="X397" s="58"/>
      <c r="Y397" s="58"/>
      <c r="Z397" s="58"/>
      <c r="AA397" s="58"/>
      <c r="AB397" s="58"/>
      <c r="AC397" s="58"/>
    </row>
    <row r="398">
      <c r="A398" s="320"/>
      <c r="B398" s="301"/>
      <c r="C398" s="205"/>
      <c r="D398" s="302"/>
      <c r="E398" s="303"/>
      <c r="F398" s="304"/>
      <c r="G398" s="312"/>
      <c r="H398" s="306"/>
      <c r="I398" s="302"/>
      <c r="J398" s="307"/>
      <c r="K398" s="313"/>
      <c r="L398" s="319"/>
      <c r="M398" s="316"/>
      <c r="N398" s="205"/>
      <c r="O398" s="311"/>
      <c r="P398" s="200"/>
      <c r="Q398" s="200"/>
      <c r="R398" s="58"/>
      <c r="S398" s="58"/>
      <c r="T398" s="58"/>
      <c r="U398" s="58"/>
      <c r="V398" s="58"/>
      <c r="W398" s="58"/>
      <c r="X398" s="58"/>
      <c r="Y398" s="58"/>
      <c r="Z398" s="58"/>
      <c r="AA398" s="58"/>
      <c r="AB398" s="58"/>
      <c r="AC398" s="58"/>
    </row>
    <row r="399">
      <c r="A399" s="320"/>
      <c r="B399" s="301"/>
      <c r="C399" s="205"/>
      <c r="D399" s="302"/>
      <c r="E399" s="303"/>
      <c r="F399" s="304"/>
      <c r="G399" s="312"/>
      <c r="H399" s="306"/>
      <c r="I399" s="302"/>
      <c r="J399" s="307"/>
      <c r="K399" s="313"/>
      <c r="L399" s="319"/>
      <c r="M399" s="316"/>
      <c r="N399" s="205"/>
      <c r="O399" s="311"/>
      <c r="P399" s="200"/>
      <c r="Q399" s="200"/>
      <c r="R399" s="58"/>
      <c r="S399" s="58"/>
      <c r="T399" s="58"/>
      <c r="U399" s="58"/>
      <c r="V399" s="58"/>
      <c r="W399" s="58"/>
      <c r="X399" s="58"/>
      <c r="Y399" s="58"/>
      <c r="Z399" s="58"/>
      <c r="AA399" s="58"/>
      <c r="AB399" s="58"/>
      <c r="AC399" s="58"/>
    </row>
    <row r="400">
      <c r="A400" s="320"/>
      <c r="B400" s="301"/>
      <c r="C400" s="205"/>
      <c r="D400" s="302"/>
      <c r="E400" s="303"/>
      <c r="F400" s="304"/>
      <c r="G400" s="312"/>
      <c r="H400" s="306"/>
      <c r="I400" s="302"/>
      <c r="J400" s="307"/>
      <c r="K400" s="313"/>
      <c r="L400" s="319"/>
      <c r="M400" s="316"/>
      <c r="N400" s="205"/>
      <c r="O400" s="311"/>
      <c r="P400" s="200"/>
      <c r="Q400" s="200"/>
      <c r="R400" s="58"/>
      <c r="S400" s="58"/>
      <c r="T400" s="58"/>
      <c r="U400" s="58"/>
      <c r="V400" s="58"/>
      <c r="W400" s="58"/>
      <c r="X400" s="58"/>
      <c r="Y400" s="58"/>
      <c r="Z400" s="58"/>
      <c r="AA400" s="58"/>
      <c r="AB400" s="58"/>
      <c r="AC400" s="58"/>
    </row>
    <row r="401">
      <c r="A401" s="320"/>
      <c r="B401" s="301"/>
      <c r="C401" s="205"/>
      <c r="D401" s="302"/>
      <c r="E401" s="303"/>
      <c r="F401" s="304"/>
      <c r="G401" s="312"/>
      <c r="H401" s="306"/>
      <c r="I401" s="302"/>
      <c r="J401" s="307"/>
      <c r="K401" s="313"/>
      <c r="L401" s="319"/>
      <c r="M401" s="316"/>
      <c r="N401" s="205"/>
      <c r="O401" s="311"/>
      <c r="P401" s="200"/>
      <c r="Q401" s="200"/>
      <c r="R401" s="58"/>
      <c r="S401" s="58"/>
      <c r="T401" s="58"/>
      <c r="U401" s="58"/>
      <c r="V401" s="58"/>
      <c r="W401" s="58"/>
      <c r="X401" s="58"/>
      <c r="Y401" s="58"/>
      <c r="Z401" s="58"/>
      <c r="AA401" s="58"/>
      <c r="AB401" s="58"/>
      <c r="AC401" s="58"/>
    </row>
    <row r="402">
      <c r="A402" s="320"/>
      <c r="B402" s="301"/>
      <c r="C402" s="205"/>
      <c r="D402" s="302"/>
      <c r="E402" s="303"/>
      <c r="F402" s="304"/>
      <c r="G402" s="312"/>
      <c r="H402" s="306"/>
      <c r="I402" s="302"/>
      <c r="J402" s="307"/>
      <c r="K402" s="313"/>
      <c r="L402" s="319"/>
      <c r="M402" s="316"/>
      <c r="N402" s="205"/>
      <c r="O402" s="311"/>
      <c r="P402" s="200"/>
      <c r="Q402" s="200"/>
      <c r="R402" s="58"/>
      <c r="S402" s="58"/>
      <c r="T402" s="58"/>
      <c r="U402" s="58"/>
      <c r="V402" s="58"/>
      <c r="W402" s="58"/>
      <c r="X402" s="58"/>
      <c r="Y402" s="58"/>
      <c r="Z402" s="58"/>
      <c r="AA402" s="58"/>
      <c r="AB402" s="58"/>
      <c r="AC402" s="58"/>
    </row>
    <row r="403">
      <c r="A403" s="320"/>
      <c r="B403" s="301"/>
      <c r="C403" s="205"/>
      <c r="D403" s="302"/>
      <c r="E403" s="303"/>
      <c r="F403" s="304"/>
      <c r="G403" s="312"/>
      <c r="H403" s="306"/>
      <c r="I403" s="302"/>
      <c r="J403" s="307"/>
      <c r="K403" s="313"/>
      <c r="L403" s="319"/>
      <c r="M403" s="316"/>
      <c r="N403" s="205"/>
      <c r="O403" s="311"/>
      <c r="P403" s="200"/>
      <c r="Q403" s="200"/>
      <c r="R403" s="58"/>
      <c r="S403" s="58"/>
      <c r="T403" s="58"/>
      <c r="U403" s="58"/>
      <c r="V403" s="58"/>
      <c r="W403" s="58"/>
      <c r="X403" s="58"/>
      <c r="Y403" s="58"/>
      <c r="Z403" s="58"/>
      <c r="AA403" s="58"/>
      <c r="AB403" s="58"/>
      <c r="AC403" s="58"/>
    </row>
    <row r="404">
      <c r="A404" s="320"/>
      <c r="B404" s="301"/>
      <c r="C404" s="205"/>
      <c r="D404" s="302"/>
      <c r="E404" s="303"/>
      <c r="F404" s="304"/>
      <c r="G404" s="312"/>
      <c r="H404" s="306"/>
      <c r="I404" s="302"/>
      <c r="J404" s="307"/>
      <c r="K404" s="313"/>
      <c r="L404" s="319"/>
      <c r="M404" s="316"/>
      <c r="N404" s="205"/>
      <c r="O404" s="311"/>
      <c r="P404" s="200"/>
      <c r="Q404" s="200"/>
      <c r="R404" s="58"/>
      <c r="S404" s="58"/>
      <c r="T404" s="58"/>
      <c r="U404" s="58"/>
      <c r="V404" s="58"/>
      <c r="W404" s="58"/>
      <c r="X404" s="58"/>
      <c r="Y404" s="58"/>
      <c r="Z404" s="58"/>
      <c r="AA404" s="58"/>
      <c r="AB404" s="58"/>
      <c r="AC404" s="58"/>
    </row>
    <row r="405">
      <c r="A405" s="320"/>
      <c r="B405" s="301"/>
      <c r="C405" s="205"/>
      <c r="D405" s="302"/>
      <c r="E405" s="303"/>
      <c r="F405" s="304"/>
      <c r="G405" s="312"/>
      <c r="H405" s="306"/>
      <c r="I405" s="302"/>
      <c r="J405" s="307"/>
      <c r="K405" s="313"/>
      <c r="L405" s="319"/>
      <c r="M405" s="316"/>
      <c r="N405" s="205"/>
      <c r="O405" s="311"/>
      <c r="P405" s="200"/>
      <c r="Q405" s="200"/>
      <c r="R405" s="58"/>
      <c r="S405" s="58"/>
      <c r="T405" s="58"/>
      <c r="U405" s="58"/>
      <c r="V405" s="58"/>
      <c r="W405" s="58"/>
      <c r="X405" s="58"/>
      <c r="Y405" s="58"/>
      <c r="Z405" s="58"/>
      <c r="AA405" s="58"/>
      <c r="AB405" s="58"/>
      <c r="AC405" s="58"/>
    </row>
    <row r="406">
      <c r="A406" s="320"/>
      <c r="B406" s="301"/>
      <c r="C406" s="205"/>
      <c r="D406" s="302"/>
      <c r="E406" s="303"/>
      <c r="F406" s="304"/>
      <c r="G406" s="312"/>
      <c r="H406" s="306"/>
      <c r="I406" s="302"/>
      <c r="J406" s="307"/>
      <c r="K406" s="313"/>
      <c r="L406" s="319"/>
      <c r="M406" s="316"/>
      <c r="N406" s="205"/>
      <c r="O406" s="311"/>
      <c r="P406" s="200"/>
      <c r="Q406" s="200"/>
      <c r="R406" s="58"/>
      <c r="S406" s="58"/>
      <c r="T406" s="58"/>
      <c r="U406" s="58"/>
      <c r="V406" s="58"/>
      <c r="W406" s="58"/>
      <c r="X406" s="58"/>
      <c r="Y406" s="58"/>
      <c r="Z406" s="58"/>
      <c r="AA406" s="58"/>
      <c r="AB406" s="58"/>
      <c r="AC406" s="58"/>
    </row>
    <row r="407">
      <c r="A407" s="320"/>
      <c r="B407" s="301"/>
      <c r="C407" s="205"/>
      <c r="D407" s="302"/>
      <c r="E407" s="303"/>
      <c r="F407" s="304"/>
      <c r="G407" s="312"/>
      <c r="H407" s="306"/>
      <c r="I407" s="302"/>
      <c r="J407" s="307"/>
      <c r="K407" s="313"/>
      <c r="L407" s="319"/>
      <c r="M407" s="316"/>
      <c r="N407" s="205"/>
      <c r="O407" s="311"/>
      <c r="P407" s="200"/>
      <c r="Q407" s="200"/>
      <c r="R407" s="58"/>
      <c r="S407" s="58"/>
      <c r="T407" s="58"/>
      <c r="U407" s="58"/>
      <c r="V407" s="58"/>
      <c r="W407" s="58"/>
      <c r="X407" s="58"/>
      <c r="Y407" s="58"/>
      <c r="Z407" s="58"/>
      <c r="AA407" s="58"/>
      <c r="AB407" s="58"/>
      <c r="AC407" s="58"/>
    </row>
    <row r="408">
      <c r="A408" s="320"/>
      <c r="B408" s="301"/>
      <c r="C408" s="205"/>
      <c r="D408" s="302"/>
      <c r="E408" s="303"/>
      <c r="F408" s="304"/>
      <c r="G408" s="312"/>
      <c r="H408" s="306"/>
      <c r="I408" s="302"/>
      <c r="J408" s="307"/>
      <c r="K408" s="313"/>
      <c r="L408" s="319"/>
      <c r="M408" s="316"/>
      <c r="N408" s="205"/>
      <c r="O408" s="311"/>
      <c r="P408" s="200"/>
      <c r="Q408" s="200"/>
      <c r="R408" s="58"/>
      <c r="S408" s="58"/>
      <c r="T408" s="58"/>
      <c r="U408" s="58"/>
      <c r="V408" s="58"/>
      <c r="W408" s="58"/>
      <c r="X408" s="58"/>
      <c r="Y408" s="58"/>
      <c r="Z408" s="58"/>
      <c r="AA408" s="58"/>
      <c r="AB408" s="58"/>
      <c r="AC408" s="58"/>
    </row>
    <row r="409">
      <c r="A409" s="320"/>
      <c r="B409" s="301"/>
      <c r="C409" s="205"/>
      <c r="D409" s="302"/>
      <c r="E409" s="303"/>
      <c r="F409" s="304"/>
      <c r="G409" s="312"/>
      <c r="H409" s="306"/>
      <c r="I409" s="302"/>
      <c r="J409" s="307"/>
      <c r="K409" s="313"/>
      <c r="L409" s="319"/>
      <c r="M409" s="316"/>
      <c r="N409" s="205"/>
      <c r="O409" s="311"/>
      <c r="P409" s="200"/>
      <c r="Q409" s="200"/>
      <c r="R409" s="58"/>
      <c r="S409" s="58"/>
      <c r="T409" s="58"/>
      <c r="U409" s="58"/>
      <c r="V409" s="58"/>
      <c r="W409" s="58"/>
      <c r="X409" s="58"/>
      <c r="Y409" s="58"/>
      <c r="Z409" s="58"/>
      <c r="AA409" s="58"/>
      <c r="AB409" s="58"/>
      <c r="AC409" s="58"/>
    </row>
    <row r="410">
      <c r="A410" s="320"/>
      <c r="B410" s="301"/>
      <c r="C410" s="205"/>
      <c r="D410" s="302"/>
      <c r="E410" s="303"/>
      <c r="F410" s="304"/>
      <c r="G410" s="312"/>
      <c r="H410" s="306"/>
      <c r="I410" s="302"/>
      <c r="J410" s="307"/>
      <c r="K410" s="313"/>
      <c r="L410" s="319"/>
      <c r="M410" s="316"/>
      <c r="N410" s="205"/>
      <c r="O410" s="311"/>
      <c r="P410" s="200"/>
      <c r="Q410" s="200"/>
      <c r="R410" s="58"/>
      <c r="S410" s="58"/>
      <c r="T410" s="58"/>
      <c r="U410" s="58"/>
      <c r="V410" s="58"/>
      <c r="W410" s="58"/>
      <c r="X410" s="58"/>
      <c r="Y410" s="58"/>
      <c r="Z410" s="58"/>
      <c r="AA410" s="58"/>
      <c r="AB410" s="58"/>
      <c r="AC410" s="58"/>
    </row>
    <row r="411">
      <c r="A411" s="320"/>
      <c r="B411" s="301"/>
      <c r="C411" s="205"/>
      <c r="D411" s="302"/>
      <c r="E411" s="303"/>
      <c r="F411" s="304"/>
      <c r="G411" s="312"/>
      <c r="H411" s="306"/>
      <c r="I411" s="302"/>
      <c r="J411" s="307"/>
      <c r="K411" s="313"/>
      <c r="L411" s="319"/>
      <c r="M411" s="316"/>
      <c r="N411" s="205"/>
      <c r="O411" s="311"/>
      <c r="P411" s="200"/>
      <c r="Q411" s="200"/>
      <c r="R411" s="58"/>
      <c r="S411" s="58"/>
      <c r="T411" s="58"/>
      <c r="U411" s="58"/>
      <c r="V411" s="58"/>
      <c r="W411" s="58"/>
      <c r="X411" s="58"/>
      <c r="Y411" s="58"/>
      <c r="Z411" s="58"/>
      <c r="AA411" s="58"/>
      <c r="AB411" s="58"/>
      <c r="AC411" s="58"/>
    </row>
    <row r="412">
      <c r="A412" s="320"/>
      <c r="B412" s="301"/>
      <c r="C412" s="205"/>
      <c r="D412" s="302"/>
      <c r="E412" s="303"/>
      <c r="F412" s="304"/>
      <c r="G412" s="312"/>
      <c r="H412" s="306"/>
      <c r="I412" s="302"/>
      <c r="J412" s="307"/>
      <c r="K412" s="313"/>
      <c r="L412" s="319"/>
      <c r="M412" s="316"/>
      <c r="N412" s="205"/>
      <c r="O412" s="311"/>
      <c r="P412" s="200"/>
      <c r="Q412" s="200"/>
      <c r="R412" s="58"/>
      <c r="S412" s="58"/>
      <c r="T412" s="58"/>
      <c r="U412" s="58"/>
      <c r="V412" s="58"/>
      <c r="W412" s="58"/>
      <c r="X412" s="58"/>
      <c r="Y412" s="58"/>
      <c r="Z412" s="58"/>
      <c r="AA412" s="58"/>
      <c r="AB412" s="58"/>
      <c r="AC412" s="58"/>
    </row>
    <row r="413">
      <c r="A413" s="320"/>
      <c r="B413" s="301"/>
      <c r="C413" s="205"/>
      <c r="D413" s="302"/>
      <c r="E413" s="303"/>
      <c r="F413" s="304"/>
      <c r="G413" s="312"/>
      <c r="H413" s="306"/>
      <c r="I413" s="302"/>
      <c r="J413" s="307"/>
      <c r="K413" s="313"/>
      <c r="L413" s="319"/>
      <c r="M413" s="316"/>
      <c r="N413" s="205"/>
      <c r="O413" s="311"/>
      <c r="P413" s="200"/>
      <c r="Q413" s="200"/>
      <c r="R413" s="58"/>
      <c r="S413" s="58"/>
      <c r="T413" s="58"/>
      <c r="U413" s="58"/>
      <c r="V413" s="58"/>
      <c r="W413" s="58"/>
      <c r="X413" s="58"/>
      <c r="Y413" s="58"/>
      <c r="Z413" s="58"/>
      <c r="AA413" s="58"/>
      <c r="AB413" s="58"/>
      <c r="AC413" s="58"/>
    </row>
    <row r="414">
      <c r="A414" s="320"/>
      <c r="B414" s="301"/>
      <c r="C414" s="205"/>
      <c r="D414" s="302"/>
      <c r="E414" s="303"/>
      <c r="F414" s="304"/>
      <c r="G414" s="312"/>
      <c r="H414" s="306"/>
      <c r="I414" s="302"/>
      <c r="J414" s="307"/>
      <c r="K414" s="313"/>
      <c r="L414" s="319"/>
      <c r="M414" s="316"/>
      <c r="N414" s="205"/>
      <c r="O414" s="311"/>
      <c r="P414" s="200"/>
      <c r="Q414" s="200"/>
      <c r="R414" s="58"/>
      <c r="S414" s="58"/>
      <c r="T414" s="58"/>
      <c r="U414" s="58"/>
      <c r="V414" s="58"/>
      <c r="W414" s="58"/>
      <c r="X414" s="58"/>
      <c r="Y414" s="58"/>
      <c r="Z414" s="58"/>
      <c r="AA414" s="58"/>
      <c r="AB414" s="58"/>
      <c r="AC414" s="58"/>
    </row>
    <row r="415">
      <c r="A415" s="320"/>
      <c r="B415" s="301"/>
      <c r="C415" s="205"/>
      <c r="D415" s="302"/>
      <c r="E415" s="303"/>
      <c r="F415" s="304"/>
      <c r="G415" s="312"/>
      <c r="H415" s="306"/>
      <c r="I415" s="302"/>
      <c r="J415" s="307"/>
      <c r="K415" s="313"/>
      <c r="L415" s="319"/>
      <c r="M415" s="316"/>
      <c r="N415" s="205"/>
      <c r="O415" s="311"/>
      <c r="P415" s="200"/>
      <c r="Q415" s="200"/>
      <c r="R415" s="58"/>
      <c r="S415" s="58"/>
      <c r="T415" s="58"/>
      <c r="U415" s="58"/>
      <c r="V415" s="58"/>
      <c r="W415" s="58"/>
      <c r="X415" s="58"/>
      <c r="Y415" s="58"/>
      <c r="Z415" s="58"/>
      <c r="AA415" s="58"/>
      <c r="AB415" s="58"/>
      <c r="AC415" s="58"/>
    </row>
    <row r="416">
      <c r="A416" s="320"/>
      <c r="B416" s="301"/>
      <c r="C416" s="205"/>
      <c r="D416" s="302"/>
      <c r="E416" s="303"/>
      <c r="F416" s="304"/>
      <c r="G416" s="312"/>
      <c r="H416" s="306"/>
      <c r="I416" s="302"/>
      <c r="J416" s="307"/>
      <c r="K416" s="313"/>
      <c r="L416" s="319"/>
      <c r="M416" s="316"/>
      <c r="N416" s="205"/>
      <c r="O416" s="311"/>
      <c r="P416" s="200"/>
      <c r="Q416" s="200"/>
      <c r="R416" s="58"/>
      <c r="S416" s="58"/>
      <c r="T416" s="58"/>
      <c r="U416" s="58"/>
      <c r="V416" s="58"/>
      <c r="W416" s="58"/>
      <c r="X416" s="58"/>
      <c r="Y416" s="58"/>
      <c r="Z416" s="58"/>
      <c r="AA416" s="58"/>
      <c r="AB416" s="58"/>
      <c r="AC416" s="58"/>
    </row>
    <row r="417">
      <c r="A417" s="320"/>
      <c r="B417" s="301"/>
      <c r="C417" s="205"/>
      <c r="D417" s="302"/>
      <c r="E417" s="303"/>
      <c r="F417" s="304"/>
      <c r="G417" s="312"/>
      <c r="H417" s="306"/>
      <c r="I417" s="302"/>
      <c r="J417" s="307"/>
      <c r="K417" s="313"/>
      <c r="L417" s="319"/>
      <c r="M417" s="316"/>
      <c r="N417" s="205"/>
      <c r="O417" s="311"/>
      <c r="P417" s="200"/>
      <c r="Q417" s="200"/>
      <c r="R417" s="58"/>
      <c r="S417" s="58"/>
      <c r="T417" s="58"/>
      <c r="U417" s="58"/>
      <c r="V417" s="58"/>
      <c r="W417" s="58"/>
      <c r="X417" s="58"/>
      <c r="Y417" s="58"/>
      <c r="Z417" s="58"/>
      <c r="AA417" s="58"/>
      <c r="AB417" s="58"/>
      <c r="AC417" s="58"/>
    </row>
    <row r="418">
      <c r="A418" s="320"/>
      <c r="B418" s="301"/>
      <c r="C418" s="205"/>
      <c r="D418" s="302"/>
      <c r="E418" s="303"/>
      <c r="F418" s="304"/>
      <c r="G418" s="312"/>
      <c r="H418" s="306"/>
      <c r="I418" s="302"/>
      <c r="J418" s="307"/>
      <c r="K418" s="313"/>
      <c r="L418" s="319"/>
      <c r="M418" s="316"/>
      <c r="N418" s="205"/>
      <c r="O418" s="311"/>
      <c r="P418" s="200"/>
      <c r="Q418" s="200"/>
      <c r="R418" s="58"/>
      <c r="S418" s="58"/>
      <c r="T418" s="58"/>
      <c r="U418" s="58"/>
      <c r="V418" s="58"/>
      <c r="W418" s="58"/>
      <c r="X418" s="58"/>
      <c r="Y418" s="58"/>
      <c r="Z418" s="58"/>
      <c r="AA418" s="58"/>
      <c r="AB418" s="58"/>
      <c r="AC418" s="58"/>
    </row>
    <row r="419">
      <c r="A419" s="320"/>
      <c r="B419" s="301"/>
      <c r="C419" s="205"/>
      <c r="D419" s="302"/>
      <c r="E419" s="303"/>
      <c r="F419" s="304"/>
      <c r="G419" s="312"/>
      <c r="H419" s="306"/>
      <c r="I419" s="302"/>
      <c r="J419" s="307"/>
      <c r="K419" s="313"/>
      <c r="L419" s="319"/>
      <c r="M419" s="316"/>
      <c r="N419" s="205"/>
      <c r="O419" s="311"/>
      <c r="P419" s="200"/>
      <c r="Q419" s="200"/>
      <c r="R419" s="58"/>
      <c r="S419" s="58"/>
      <c r="T419" s="58"/>
      <c r="U419" s="58"/>
      <c r="V419" s="58"/>
      <c r="W419" s="58"/>
      <c r="X419" s="58"/>
      <c r="Y419" s="58"/>
      <c r="Z419" s="58"/>
      <c r="AA419" s="58"/>
      <c r="AB419" s="58"/>
      <c r="AC419" s="58"/>
    </row>
    <row r="420">
      <c r="A420" s="320"/>
      <c r="B420" s="301"/>
      <c r="C420" s="205"/>
      <c r="D420" s="302"/>
      <c r="E420" s="303"/>
      <c r="F420" s="304"/>
      <c r="G420" s="312"/>
      <c r="H420" s="306"/>
      <c r="I420" s="302"/>
      <c r="J420" s="307"/>
      <c r="K420" s="313"/>
      <c r="L420" s="319"/>
      <c r="M420" s="316"/>
      <c r="N420" s="205"/>
      <c r="O420" s="311"/>
      <c r="P420" s="200"/>
      <c r="Q420" s="200"/>
      <c r="R420" s="58"/>
      <c r="S420" s="58"/>
      <c r="T420" s="58"/>
      <c r="U420" s="58"/>
      <c r="V420" s="58"/>
      <c r="W420" s="58"/>
      <c r="X420" s="58"/>
      <c r="Y420" s="58"/>
      <c r="Z420" s="58"/>
      <c r="AA420" s="58"/>
      <c r="AB420" s="58"/>
      <c r="AC420" s="58"/>
    </row>
    <row r="421">
      <c r="A421" s="320"/>
      <c r="B421" s="301"/>
      <c r="C421" s="205"/>
      <c r="D421" s="302"/>
      <c r="E421" s="303"/>
      <c r="F421" s="304"/>
      <c r="G421" s="312"/>
      <c r="H421" s="306"/>
      <c r="I421" s="302"/>
      <c r="J421" s="307"/>
      <c r="K421" s="313"/>
      <c r="L421" s="319"/>
      <c r="M421" s="316"/>
      <c r="N421" s="205"/>
      <c r="O421" s="311"/>
      <c r="P421" s="200"/>
      <c r="Q421" s="200"/>
      <c r="R421" s="58"/>
      <c r="S421" s="58"/>
      <c r="T421" s="58"/>
      <c r="U421" s="58"/>
      <c r="V421" s="58"/>
      <c r="W421" s="58"/>
      <c r="X421" s="58"/>
      <c r="Y421" s="58"/>
      <c r="Z421" s="58"/>
      <c r="AA421" s="58"/>
      <c r="AB421" s="58"/>
      <c r="AC421" s="58"/>
    </row>
    <row r="422">
      <c r="A422" s="320"/>
      <c r="B422" s="301"/>
      <c r="C422" s="205"/>
      <c r="D422" s="302"/>
      <c r="E422" s="303"/>
      <c r="F422" s="304"/>
      <c r="G422" s="312"/>
      <c r="H422" s="306"/>
      <c r="I422" s="302"/>
      <c r="J422" s="307"/>
      <c r="K422" s="313"/>
      <c r="L422" s="319"/>
      <c r="M422" s="316"/>
      <c r="N422" s="205"/>
      <c r="O422" s="311"/>
      <c r="P422" s="200"/>
      <c r="Q422" s="200"/>
      <c r="R422" s="58"/>
      <c r="S422" s="58"/>
      <c r="T422" s="58"/>
      <c r="U422" s="58"/>
      <c r="V422" s="58"/>
      <c r="W422" s="58"/>
      <c r="X422" s="58"/>
      <c r="Y422" s="58"/>
      <c r="Z422" s="58"/>
      <c r="AA422" s="58"/>
      <c r="AB422" s="58"/>
      <c r="AC422" s="58"/>
    </row>
    <row r="423">
      <c r="A423" s="320"/>
      <c r="B423" s="301"/>
      <c r="C423" s="205"/>
      <c r="D423" s="302"/>
      <c r="E423" s="303"/>
      <c r="F423" s="304"/>
      <c r="G423" s="312"/>
      <c r="H423" s="306"/>
      <c r="I423" s="302"/>
      <c r="J423" s="307"/>
      <c r="K423" s="313"/>
      <c r="L423" s="319"/>
      <c r="M423" s="316"/>
      <c r="N423" s="205"/>
      <c r="O423" s="311"/>
      <c r="P423" s="200"/>
      <c r="Q423" s="200"/>
      <c r="R423" s="58"/>
      <c r="S423" s="58"/>
      <c r="T423" s="58"/>
      <c r="U423" s="58"/>
      <c r="V423" s="58"/>
      <c r="W423" s="58"/>
      <c r="X423" s="58"/>
      <c r="Y423" s="58"/>
      <c r="Z423" s="58"/>
      <c r="AA423" s="58"/>
      <c r="AB423" s="58"/>
      <c r="AC423" s="58"/>
    </row>
    <row r="424">
      <c r="A424" s="320"/>
      <c r="B424" s="301"/>
      <c r="C424" s="205"/>
      <c r="D424" s="302"/>
      <c r="E424" s="303"/>
      <c r="F424" s="304"/>
      <c r="G424" s="312"/>
      <c r="H424" s="306"/>
      <c r="I424" s="302"/>
      <c r="J424" s="307"/>
      <c r="K424" s="313"/>
      <c r="L424" s="319"/>
      <c r="M424" s="316"/>
      <c r="N424" s="205"/>
      <c r="O424" s="311"/>
      <c r="P424" s="200"/>
      <c r="Q424" s="200"/>
      <c r="R424" s="58"/>
      <c r="S424" s="58"/>
      <c r="T424" s="58"/>
      <c r="U424" s="58"/>
      <c r="V424" s="58"/>
      <c r="W424" s="58"/>
      <c r="X424" s="58"/>
      <c r="Y424" s="58"/>
      <c r="Z424" s="58"/>
      <c r="AA424" s="58"/>
      <c r="AB424" s="58"/>
      <c r="AC424" s="58"/>
    </row>
    <row r="425">
      <c r="A425" s="320"/>
      <c r="B425" s="301"/>
      <c r="C425" s="205"/>
      <c r="D425" s="302"/>
      <c r="E425" s="303"/>
      <c r="F425" s="304"/>
      <c r="G425" s="312"/>
      <c r="H425" s="306"/>
      <c r="I425" s="302"/>
      <c r="J425" s="307"/>
      <c r="K425" s="313"/>
      <c r="L425" s="319"/>
      <c r="M425" s="316"/>
      <c r="N425" s="205"/>
      <c r="O425" s="311"/>
      <c r="P425" s="200"/>
      <c r="Q425" s="200"/>
      <c r="R425" s="58"/>
      <c r="S425" s="58"/>
      <c r="T425" s="58"/>
      <c r="U425" s="58"/>
      <c r="V425" s="58"/>
      <c r="W425" s="58"/>
      <c r="X425" s="58"/>
      <c r="Y425" s="58"/>
      <c r="Z425" s="58"/>
      <c r="AA425" s="58"/>
      <c r="AB425" s="58"/>
      <c r="AC425" s="58"/>
    </row>
    <row r="426">
      <c r="A426" s="320"/>
      <c r="B426" s="301"/>
      <c r="C426" s="205"/>
      <c r="D426" s="302"/>
      <c r="E426" s="303"/>
      <c r="F426" s="304"/>
      <c r="G426" s="312"/>
      <c r="H426" s="306"/>
      <c r="I426" s="302"/>
      <c r="J426" s="307"/>
      <c r="K426" s="313"/>
      <c r="L426" s="319"/>
      <c r="M426" s="316"/>
      <c r="N426" s="205"/>
      <c r="O426" s="311"/>
      <c r="P426" s="200"/>
      <c r="Q426" s="200"/>
      <c r="R426" s="58"/>
      <c r="S426" s="58"/>
      <c r="T426" s="58"/>
      <c r="U426" s="58"/>
      <c r="V426" s="58"/>
      <c r="W426" s="58"/>
      <c r="X426" s="58"/>
      <c r="Y426" s="58"/>
      <c r="Z426" s="58"/>
      <c r="AA426" s="58"/>
      <c r="AB426" s="58"/>
      <c r="AC426" s="58"/>
    </row>
    <row r="427">
      <c r="A427" s="320"/>
      <c r="B427" s="301"/>
      <c r="C427" s="205"/>
      <c r="D427" s="302"/>
      <c r="E427" s="303"/>
      <c r="F427" s="304"/>
      <c r="G427" s="312"/>
      <c r="H427" s="306"/>
      <c r="I427" s="302"/>
      <c r="J427" s="307"/>
      <c r="K427" s="313"/>
      <c r="L427" s="319"/>
      <c r="M427" s="316"/>
      <c r="N427" s="205"/>
      <c r="O427" s="311"/>
      <c r="P427" s="200"/>
      <c r="Q427" s="200"/>
      <c r="R427" s="58"/>
      <c r="S427" s="58"/>
      <c r="T427" s="58"/>
      <c r="U427" s="58"/>
      <c r="V427" s="58"/>
      <c r="W427" s="58"/>
      <c r="X427" s="58"/>
      <c r="Y427" s="58"/>
      <c r="Z427" s="58"/>
      <c r="AA427" s="58"/>
      <c r="AB427" s="58"/>
      <c r="AC427" s="58"/>
    </row>
    <row r="428">
      <c r="A428" s="320"/>
      <c r="B428" s="301"/>
      <c r="C428" s="205"/>
      <c r="D428" s="302"/>
      <c r="E428" s="303"/>
      <c r="F428" s="304"/>
      <c r="G428" s="312"/>
      <c r="H428" s="306"/>
      <c r="I428" s="302"/>
      <c r="J428" s="307"/>
      <c r="K428" s="313"/>
      <c r="L428" s="319"/>
      <c r="M428" s="316"/>
      <c r="N428" s="205"/>
      <c r="O428" s="311"/>
      <c r="P428" s="200"/>
      <c r="Q428" s="200"/>
      <c r="R428" s="58"/>
      <c r="S428" s="58"/>
      <c r="T428" s="58"/>
      <c r="U428" s="58"/>
      <c r="V428" s="58"/>
      <c r="W428" s="58"/>
      <c r="X428" s="58"/>
      <c r="Y428" s="58"/>
      <c r="Z428" s="58"/>
      <c r="AA428" s="58"/>
      <c r="AB428" s="58"/>
      <c r="AC428" s="58"/>
    </row>
    <row r="429">
      <c r="A429" s="320"/>
      <c r="B429" s="301"/>
      <c r="C429" s="205"/>
      <c r="D429" s="302"/>
      <c r="E429" s="303"/>
      <c r="F429" s="304"/>
      <c r="G429" s="312"/>
      <c r="H429" s="306"/>
      <c r="I429" s="302"/>
      <c r="J429" s="307"/>
      <c r="K429" s="313"/>
      <c r="L429" s="319"/>
      <c r="M429" s="316"/>
      <c r="N429" s="205"/>
      <c r="O429" s="311"/>
      <c r="P429" s="200"/>
      <c r="Q429" s="200"/>
      <c r="R429" s="58"/>
      <c r="S429" s="58"/>
      <c r="T429" s="58"/>
      <c r="U429" s="58"/>
      <c r="V429" s="58"/>
      <c r="W429" s="58"/>
      <c r="X429" s="58"/>
      <c r="Y429" s="58"/>
      <c r="Z429" s="58"/>
      <c r="AA429" s="58"/>
      <c r="AB429" s="58"/>
      <c r="AC429" s="58"/>
    </row>
    <row r="430">
      <c r="A430" s="320"/>
      <c r="B430" s="301"/>
      <c r="C430" s="205"/>
      <c r="D430" s="302"/>
      <c r="E430" s="303"/>
      <c r="F430" s="304"/>
      <c r="G430" s="312"/>
      <c r="H430" s="306"/>
      <c r="I430" s="302"/>
      <c r="J430" s="307"/>
      <c r="K430" s="313"/>
      <c r="L430" s="319"/>
      <c r="M430" s="316"/>
      <c r="N430" s="205"/>
      <c r="O430" s="311"/>
      <c r="P430" s="200"/>
      <c r="Q430" s="200"/>
      <c r="R430" s="58"/>
      <c r="S430" s="58"/>
      <c r="T430" s="58"/>
      <c r="U430" s="58"/>
      <c r="V430" s="58"/>
      <c r="W430" s="58"/>
      <c r="X430" s="58"/>
      <c r="Y430" s="58"/>
      <c r="Z430" s="58"/>
      <c r="AA430" s="58"/>
      <c r="AB430" s="58"/>
      <c r="AC430" s="58"/>
    </row>
    <row r="431">
      <c r="A431" s="320"/>
      <c r="B431" s="301"/>
      <c r="C431" s="205"/>
      <c r="D431" s="302"/>
      <c r="E431" s="303"/>
      <c r="F431" s="304"/>
      <c r="G431" s="312"/>
      <c r="H431" s="306"/>
      <c r="I431" s="302"/>
      <c r="J431" s="307"/>
      <c r="K431" s="313"/>
      <c r="L431" s="319"/>
      <c r="M431" s="316"/>
      <c r="N431" s="205"/>
      <c r="O431" s="311"/>
      <c r="P431" s="200"/>
      <c r="Q431" s="200"/>
      <c r="R431" s="58"/>
      <c r="S431" s="58"/>
      <c r="T431" s="58"/>
      <c r="U431" s="58"/>
      <c r="V431" s="58"/>
      <c r="W431" s="58"/>
      <c r="X431" s="58"/>
      <c r="Y431" s="58"/>
      <c r="Z431" s="58"/>
      <c r="AA431" s="58"/>
      <c r="AB431" s="58"/>
      <c r="AC431" s="58"/>
    </row>
    <row r="432">
      <c r="A432" s="320"/>
      <c r="B432" s="301"/>
      <c r="C432" s="205"/>
      <c r="D432" s="302"/>
      <c r="E432" s="303"/>
      <c r="F432" s="304"/>
      <c r="G432" s="312"/>
      <c r="H432" s="306"/>
      <c r="I432" s="302"/>
      <c r="J432" s="307"/>
      <c r="K432" s="313"/>
      <c r="L432" s="319"/>
      <c r="M432" s="316"/>
      <c r="N432" s="205"/>
      <c r="O432" s="311"/>
      <c r="P432" s="200"/>
      <c r="Q432" s="200"/>
      <c r="R432" s="58"/>
      <c r="S432" s="58"/>
      <c r="T432" s="58"/>
      <c r="U432" s="58"/>
      <c r="V432" s="58"/>
      <c r="W432" s="58"/>
      <c r="X432" s="58"/>
      <c r="Y432" s="58"/>
      <c r="Z432" s="58"/>
      <c r="AA432" s="58"/>
      <c r="AB432" s="58"/>
      <c r="AC432" s="58"/>
    </row>
    <row r="433">
      <c r="A433" s="320"/>
      <c r="B433" s="301"/>
      <c r="C433" s="205"/>
      <c r="D433" s="302"/>
      <c r="E433" s="303"/>
      <c r="F433" s="304"/>
      <c r="G433" s="312"/>
      <c r="H433" s="306"/>
      <c r="I433" s="302"/>
      <c r="J433" s="307"/>
      <c r="K433" s="313"/>
      <c r="L433" s="319"/>
      <c r="M433" s="316"/>
      <c r="N433" s="205"/>
      <c r="O433" s="311"/>
      <c r="P433" s="200"/>
      <c r="Q433" s="200"/>
      <c r="R433" s="58"/>
      <c r="S433" s="58"/>
      <c r="T433" s="58"/>
      <c r="U433" s="58"/>
      <c r="V433" s="58"/>
      <c r="W433" s="58"/>
      <c r="X433" s="58"/>
      <c r="Y433" s="58"/>
      <c r="Z433" s="58"/>
      <c r="AA433" s="58"/>
      <c r="AB433" s="58"/>
      <c r="AC433" s="58"/>
    </row>
    <row r="434">
      <c r="A434" s="320"/>
      <c r="B434" s="301"/>
      <c r="C434" s="205"/>
      <c r="D434" s="302"/>
      <c r="E434" s="303"/>
      <c r="F434" s="304"/>
      <c r="G434" s="312"/>
      <c r="H434" s="306"/>
      <c r="I434" s="302"/>
      <c r="J434" s="307"/>
      <c r="K434" s="313"/>
      <c r="L434" s="319"/>
      <c r="M434" s="316"/>
      <c r="N434" s="205"/>
      <c r="O434" s="311"/>
      <c r="P434" s="200"/>
      <c r="Q434" s="200"/>
      <c r="R434" s="58"/>
      <c r="S434" s="58"/>
      <c r="T434" s="58"/>
      <c r="U434" s="58"/>
      <c r="V434" s="58"/>
      <c r="W434" s="58"/>
      <c r="X434" s="58"/>
      <c r="Y434" s="58"/>
      <c r="Z434" s="58"/>
      <c r="AA434" s="58"/>
      <c r="AB434" s="58"/>
      <c r="AC434" s="58"/>
    </row>
    <row r="435">
      <c r="A435" s="320"/>
      <c r="B435" s="301"/>
      <c r="C435" s="205"/>
      <c r="D435" s="302"/>
      <c r="E435" s="303"/>
      <c r="F435" s="304"/>
      <c r="G435" s="312"/>
      <c r="H435" s="306"/>
      <c r="I435" s="302"/>
      <c r="J435" s="307"/>
      <c r="K435" s="313"/>
      <c r="L435" s="319"/>
      <c r="M435" s="316"/>
      <c r="N435" s="205"/>
      <c r="O435" s="311"/>
      <c r="P435" s="200"/>
      <c r="Q435" s="200"/>
      <c r="R435" s="58"/>
      <c r="S435" s="58"/>
      <c r="T435" s="58"/>
      <c r="U435" s="58"/>
      <c r="V435" s="58"/>
      <c r="W435" s="58"/>
      <c r="X435" s="58"/>
      <c r="Y435" s="58"/>
      <c r="Z435" s="58"/>
      <c r="AA435" s="58"/>
      <c r="AB435" s="58"/>
      <c r="AC435" s="58"/>
    </row>
    <row r="436">
      <c r="A436" s="320"/>
      <c r="B436" s="301"/>
      <c r="C436" s="205"/>
      <c r="D436" s="302"/>
      <c r="E436" s="303"/>
      <c r="F436" s="304"/>
      <c r="G436" s="312"/>
      <c r="H436" s="306"/>
      <c r="I436" s="302"/>
      <c r="J436" s="307"/>
      <c r="K436" s="313"/>
      <c r="L436" s="319"/>
      <c r="M436" s="316"/>
      <c r="N436" s="205"/>
      <c r="O436" s="311"/>
      <c r="P436" s="200"/>
      <c r="Q436" s="200"/>
      <c r="R436" s="58"/>
      <c r="S436" s="58"/>
      <c r="T436" s="58"/>
      <c r="U436" s="58"/>
      <c r="V436" s="58"/>
      <c r="W436" s="58"/>
      <c r="X436" s="58"/>
      <c r="Y436" s="58"/>
      <c r="Z436" s="58"/>
      <c r="AA436" s="58"/>
      <c r="AB436" s="58"/>
      <c r="AC436" s="58"/>
    </row>
    <row r="437">
      <c r="A437" s="320"/>
      <c r="B437" s="301"/>
      <c r="C437" s="205"/>
      <c r="D437" s="302"/>
      <c r="E437" s="303"/>
      <c r="F437" s="304"/>
      <c r="G437" s="312"/>
      <c r="H437" s="306"/>
      <c r="I437" s="302"/>
      <c r="J437" s="307"/>
      <c r="K437" s="313"/>
      <c r="L437" s="319"/>
      <c r="M437" s="316"/>
      <c r="N437" s="205"/>
      <c r="O437" s="311"/>
      <c r="P437" s="200"/>
      <c r="Q437" s="200"/>
      <c r="R437" s="58"/>
      <c r="S437" s="58"/>
      <c r="T437" s="58"/>
      <c r="U437" s="58"/>
      <c r="V437" s="58"/>
      <c r="W437" s="58"/>
      <c r="X437" s="58"/>
      <c r="Y437" s="58"/>
      <c r="Z437" s="58"/>
      <c r="AA437" s="58"/>
      <c r="AB437" s="58"/>
      <c r="AC437" s="58"/>
    </row>
    <row r="438">
      <c r="A438" s="320"/>
      <c r="B438" s="301"/>
      <c r="C438" s="205"/>
      <c r="D438" s="302"/>
      <c r="E438" s="303"/>
      <c r="F438" s="304"/>
      <c r="G438" s="312"/>
      <c r="H438" s="306"/>
      <c r="I438" s="302"/>
      <c r="J438" s="307"/>
      <c r="K438" s="313"/>
      <c r="L438" s="319"/>
      <c r="M438" s="316"/>
      <c r="N438" s="205"/>
      <c r="O438" s="311"/>
      <c r="P438" s="200"/>
      <c r="Q438" s="200"/>
      <c r="R438" s="58"/>
      <c r="S438" s="58"/>
      <c r="T438" s="58"/>
      <c r="U438" s="58"/>
      <c r="V438" s="58"/>
      <c r="W438" s="58"/>
      <c r="X438" s="58"/>
      <c r="Y438" s="58"/>
      <c r="Z438" s="58"/>
      <c r="AA438" s="58"/>
      <c r="AB438" s="58"/>
      <c r="AC438" s="58"/>
    </row>
    <row r="439">
      <c r="A439" s="320"/>
      <c r="B439" s="301"/>
      <c r="C439" s="205"/>
      <c r="D439" s="302"/>
      <c r="E439" s="303"/>
      <c r="F439" s="304"/>
      <c r="G439" s="312"/>
      <c r="H439" s="306"/>
      <c r="I439" s="302"/>
      <c r="J439" s="307"/>
      <c r="K439" s="313"/>
      <c r="L439" s="319"/>
      <c r="M439" s="316"/>
      <c r="N439" s="205"/>
      <c r="O439" s="311"/>
      <c r="P439" s="200"/>
      <c r="Q439" s="200"/>
      <c r="R439" s="58"/>
      <c r="S439" s="58"/>
      <c r="T439" s="58"/>
      <c r="U439" s="58"/>
      <c r="V439" s="58"/>
      <c r="W439" s="58"/>
      <c r="X439" s="58"/>
      <c r="Y439" s="58"/>
      <c r="Z439" s="58"/>
      <c r="AA439" s="58"/>
      <c r="AB439" s="58"/>
      <c r="AC439" s="58"/>
    </row>
    <row r="440">
      <c r="A440" s="320"/>
      <c r="B440" s="301"/>
      <c r="C440" s="205"/>
      <c r="D440" s="302"/>
      <c r="E440" s="303"/>
      <c r="F440" s="304"/>
      <c r="G440" s="312"/>
      <c r="H440" s="306"/>
      <c r="I440" s="302"/>
      <c r="J440" s="307"/>
      <c r="K440" s="313"/>
      <c r="L440" s="319"/>
      <c r="M440" s="316"/>
      <c r="N440" s="205"/>
      <c r="O440" s="311"/>
      <c r="P440" s="200"/>
      <c r="Q440" s="200"/>
      <c r="R440" s="58"/>
      <c r="S440" s="58"/>
      <c r="T440" s="58"/>
      <c r="U440" s="58"/>
      <c r="V440" s="58"/>
      <c r="W440" s="58"/>
      <c r="X440" s="58"/>
      <c r="Y440" s="58"/>
      <c r="Z440" s="58"/>
      <c r="AA440" s="58"/>
      <c r="AB440" s="58"/>
      <c r="AC440" s="58"/>
    </row>
    <row r="441">
      <c r="A441" s="320"/>
      <c r="B441" s="301"/>
      <c r="C441" s="205"/>
      <c r="D441" s="302"/>
      <c r="E441" s="303"/>
      <c r="F441" s="304"/>
      <c r="G441" s="312"/>
      <c r="H441" s="306"/>
      <c r="I441" s="302"/>
      <c r="J441" s="307"/>
      <c r="K441" s="313"/>
      <c r="L441" s="319"/>
      <c r="M441" s="316"/>
      <c r="N441" s="205"/>
      <c r="O441" s="311"/>
      <c r="P441" s="200"/>
      <c r="Q441" s="200"/>
      <c r="R441" s="58"/>
      <c r="S441" s="58"/>
      <c r="T441" s="58"/>
      <c r="U441" s="58"/>
      <c r="V441" s="58"/>
      <c r="W441" s="58"/>
      <c r="X441" s="58"/>
      <c r="Y441" s="58"/>
      <c r="Z441" s="58"/>
      <c r="AA441" s="58"/>
      <c r="AB441" s="58"/>
      <c r="AC441" s="58"/>
    </row>
    <row r="442">
      <c r="A442" s="320"/>
      <c r="B442" s="301"/>
      <c r="C442" s="205"/>
      <c r="D442" s="302"/>
      <c r="E442" s="303"/>
      <c r="F442" s="304"/>
      <c r="G442" s="312"/>
      <c r="H442" s="306"/>
      <c r="I442" s="302"/>
      <c r="J442" s="307"/>
      <c r="K442" s="313"/>
      <c r="L442" s="319"/>
      <c r="M442" s="316"/>
      <c r="N442" s="205"/>
      <c r="O442" s="311"/>
      <c r="P442" s="200"/>
      <c r="Q442" s="200"/>
      <c r="R442" s="58"/>
      <c r="S442" s="58"/>
      <c r="T442" s="58"/>
      <c r="U442" s="58"/>
      <c r="V442" s="58"/>
      <c r="W442" s="58"/>
      <c r="X442" s="58"/>
      <c r="Y442" s="58"/>
      <c r="Z442" s="58"/>
      <c r="AA442" s="58"/>
      <c r="AB442" s="58"/>
      <c r="AC442" s="58"/>
    </row>
    <row r="443">
      <c r="A443" s="320"/>
      <c r="B443" s="301"/>
      <c r="C443" s="205"/>
      <c r="D443" s="302"/>
      <c r="E443" s="303"/>
      <c r="F443" s="304"/>
      <c r="G443" s="312"/>
      <c r="H443" s="306"/>
      <c r="I443" s="302"/>
      <c r="J443" s="307"/>
      <c r="K443" s="313"/>
      <c r="L443" s="319"/>
      <c r="M443" s="316"/>
      <c r="N443" s="205"/>
      <c r="O443" s="311"/>
      <c r="P443" s="200"/>
      <c r="Q443" s="200"/>
      <c r="R443" s="58"/>
      <c r="S443" s="58"/>
      <c r="T443" s="58"/>
      <c r="U443" s="58"/>
      <c r="V443" s="58"/>
      <c r="W443" s="58"/>
      <c r="X443" s="58"/>
      <c r="Y443" s="58"/>
      <c r="Z443" s="58"/>
      <c r="AA443" s="58"/>
      <c r="AB443" s="58"/>
      <c r="AC443" s="58"/>
    </row>
    <row r="444">
      <c r="A444" s="320"/>
      <c r="B444" s="301"/>
      <c r="C444" s="205"/>
      <c r="D444" s="302"/>
      <c r="E444" s="303"/>
      <c r="F444" s="304"/>
      <c r="G444" s="312"/>
      <c r="H444" s="306"/>
      <c r="I444" s="302"/>
      <c r="J444" s="307"/>
      <c r="K444" s="313"/>
      <c r="L444" s="319"/>
      <c r="M444" s="316"/>
      <c r="N444" s="205"/>
      <c r="O444" s="311"/>
      <c r="P444" s="200"/>
      <c r="Q444" s="200"/>
      <c r="R444" s="58"/>
      <c r="S444" s="58"/>
      <c r="T444" s="58"/>
      <c r="U444" s="58"/>
      <c r="V444" s="58"/>
      <c r="W444" s="58"/>
      <c r="X444" s="58"/>
      <c r="Y444" s="58"/>
      <c r="Z444" s="58"/>
      <c r="AA444" s="58"/>
      <c r="AB444" s="58"/>
      <c r="AC444" s="58"/>
    </row>
    <row r="445">
      <c r="A445" s="320"/>
      <c r="B445" s="301"/>
      <c r="C445" s="205"/>
      <c r="D445" s="302"/>
      <c r="E445" s="303"/>
      <c r="F445" s="304"/>
      <c r="G445" s="312"/>
      <c r="H445" s="306"/>
      <c r="I445" s="302"/>
      <c r="J445" s="307"/>
      <c r="K445" s="313"/>
      <c r="L445" s="319"/>
      <c r="M445" s="316"/>
      <c r="N445" s="205"/>
      <c r="O445" s="311"/>
      <c r="P445" s="200"/>
      <c r="Q445" s="200"/>
      <c r="R445" s="58"/>
      <c r="S445" s="58"/>
      <c r="T445" s="58"/>
      <c r="U445" s="58"/>
      <c r="V445" s="58"/>
      <c r="W445" s="58"/>
      <c r="X445" s="58"/>
      <c r="Y445" s="58"/>
      <c r="Z445" s="58"/>
      <c r="AA445" s="58"/>
      <c r="AB445" s="58"/>
      <c r="AC445" s="58"/>
    </row>
    <row r="446">
      <c r="A446" s="320"/>
      <c r="B446" s="301"/>
      <c r="C446" s="205"/>
      <c r="D446" s="302"/>
      <c r="E446" s="303"/>
      <c r="F446" s="304"/>
      <c r="G446" s="312"/>
      <c r="H446" s="306"/>
      <c r="I446" s="302"/>
      <c r="J446" s="307"/>
      <c r="K446" s="313"/>
      <c r="L446" s="319"/>
      <c r="M446" s="316"/>
      <c r="N446" s="205"/>
      <c r="O446" s="311"/>
      <c r="P446" s="200"/>
      <c r="Q446" s="200"/>
      <c r="R446" s="58"/>
      <c r="S446" s="58"/>
      <c r="T446" s="58"/>
      <c r="U446" s="58"/>
      <c r="V446" s="58"/>
      <c r="W446" s="58"/>
      <c r="X446" s="58"/>
      <c r="Y446" s="58"/>
      <c r="Z446" s="58"/>
      <c r="AA446" s="58"/>
      <c r="AB446" s="58"/>
      <c r="AC446" s="58"/>
    </row>
    <row r="447">
      <c r="A447" s="320"/>
      <c r="B447" s="301"/>
      <c r="C447" s="205"/>
      <c r="D447" s="302"/>
      <c r="E447" s="303"/>
      <c r="F447" s="304"/>
      <c r="G447" s="312"/>
      <c r="H447" s="306"/>
      <c r="I447" s="302"/>
      <c r="J447" s="307"/>
      <c r="K447" s="313"/>
      <c r="L447" s="319"/>
      <c r="M447" s="316"/>
      <c r="N447" s="205"/>
      <c r="O447" s="311"/>
      <c r="P447" s="200"/>
      <c r="Q447" s="200"/>
      <c r="R447" s="58"/>
      <c r="S447" s="58"/>
      <c r="T447" s="58"/>
      <c r="U447" s="58"/>
      <c r="V447" s="58"/>
      <c r="W447" s="58"/>
      <c r="X447" s="58"/>
      <c r="Y447" s="58"/>
      <c r="Z447" s="58"/>
      <c r="AA447" s="58"/>
      <c r="AB447" s="58"/>
      <c r="AC447" s="58"/>
    </row>
    <row r="448">
      <c r="A448" s="320"/>
      <c r="B448" s="301"/>
      <c r="C448" s="205"/>
      <c r="D448" s="302"/>
      <c r="E448" s="303"/>
      <c r="F448" s="304"/>
      <c r="G448" s="312"/>
      <c r="H448" s="306"/>
      <c r="I448" s="302"/>
      <c r="J448" s="307"/>
      <c r="K448" s="313"/>
      <c r="L448" s="319"/>
      <c r="M448" s="316"/>
      <c r="N448" s="205"/>
      <c r="O448" s="311"/>
      <c r="P448" s="200"/>
      <c r="Q448" s="200"/>
      <c r="R448" s="58"/>
      <c r="S448" s="58"/>
      <c r="T448" s="58"/>
      <c r="U448" s="58"/>
      <c r="V448" s="58"/>
      <c r="W448" s="58"/>
      <c r="X448" s="58"/>
      <c r="Y448" s="58"/>
      <c r="Z448" s="58"/>
      <c r="AA448" s="58"/>
      <c r="AB448" s="58"/>
      <c r="AC448" s="58"/>
    </row>
    <row r="449">
      <c r="A449" s="320"/>
      <c r="B449" s="301"/>
      <c r="C449" s="205"/>
      <c r="D449" s="302"/>
      <c r="E449" s="303"/>
      <c r="F449" s="304"/>
      <c r="G449" s="312"/>
      <c r="H449" s="306"/>
      <c r="I449" s="302"/>
      <c r="J449" s="307"/>
      <c r="K449" s="313"/>
      <c r="L449" s="319"/>
      <c r="M449" s="316"/>
      <c r="N449" s="205"/>
      <c r="O449" s="311"/>
      <c r="P449" s="200"/>
      <c r="Q449" s="200"/>
      <c r="R449" s="58"/>
      <c r="S449" s="58"/>
      <c r="T449" s="58"/>
      <c r="U449" s="58"/>
      <c r="V449" s="58"/>
      <c r="W449" s="58"/>
      <c r="X449" s="58"/>
      <c r="Y449" s="58"/>
      <c r="Z449" s="58"/>
      <c r="AA449" s="58"/>
      <c r="AB449" s="58"/>
      <c r="AC449" s="58"/>
    </row>
    <row r="450">
      <c r="A450" s="320"/>
      <c r="B450" s="301"/>
      <c r="C450" s="205"/>
      <c r="D450" s="302"/>
      <c r="E450" s="303"/>
      <c r="F450" s="304"/>
      <c r="G450" s="312"/>
      <c r="H450" s="306"/>
      <c r="I450" s="302"/>
      <c r="J450" s="307"/>
      <c r="K450" s="313"/>
      <c r="L450" s="319"/>
      <c r="M450" s="316"/>
      <c r="N450" s="205"/>
      <c r="O450" s="311"/>
      <c r="P450" s="200"/>
      <c r="Q450" s="200"/>
      <c r="R450" s="58"/>
      <c r="S450" s="58"/>
      <c r="T450" s="58"/>
      <c r="U450" s="58"/>
      <c r="V450" s="58"/>
      <c r="W450" s="58"/>
      <c r="X450" s="58"/>
      <c r="Y450" s="58"/>
      <c r="Z450" s="58"/>
      <c r="AA450" s="58"/>
      <c r="AB450" s="58"/>
      <c r="AC450" s="58"/>
    </row>
    <row r="451">
      <c r="A451" s="320"/>
      <c r="B451" s="301"/>
      <c r="C451" s="205"/>
      <c r="D451" s="302"/>
      <c r="E451" s="303"/>
      <c r="F451" s="304"/>
      <c r="G451" s="312"/>
      <c r="H451" s="306"/>
      <c r="I451" s="302"/>
      <c r="J451" s="307"/>
      <c r="K451" s="313"/>
      <c r="L451" s="319"/>
      <c r="M451" s="316"/>
      <c r="N451" s="205"/>
      <c r="O451" s="311"/>
      <c r="P451" s="200"/>
      <c r="Q451" s="200"/>
      <c r="R451" s="58"/>
      <c r="S451" s="58"/>
      <c r="T451" s="58"/>
      <c r="U451" s="58"/>
      <c r="V451" s="58"/>
      <c r="W451" s="58"/>
      <c r="X451" s="58"/>
      <c r="Y451" s="58"/>
      <c r="Z451" s="58"/>
      <c r="AA451" s="58"/>
      <c r="AB451" s="58"/>
      <c r="AC451" s="58"/>
    </row>
    <row r="452">
      <c r="A452" s="320"/>
      <c r="B452" s="301"/>
      <c r="C452" s="205"/>
      <c r="D452" s="302"/>
      <c r="E452" s="303"/>
      <c r="F452" s="304"/>
      <c r="G452" s="312"/>
      <c r="H452" s="306"/>
      <c r="I452" s="302"/>
      <c r="J452" s="307"/>
      <c r="K452" s="313"/>
      <c r="L452" s="319"/>
      <c r="M452" s="316"/>
      <c r="N452" s="205"/>
      <c r="O452" s="311"/>
      <c r="P452" s="200"/>
      <c r="Q452" s="200"/>
      <c r="R452" s="58"/>
      <c r="S452" s="58"/>
      <c r="T452" s="58"/>
      <c r="U452" s="58"/>
      <c r="V452" s="58"/>
      <c r="W452" s="58"/>
      <c r="X452" s="58"/>
      <c r="Y452" s="58"/>
      <c r="Z452" s="58"/>
      <c r="AA452" s="58"/>
      <c r="AB452" s="58"/>
      <c r="AC452" s="58"/>
    </row>
    <row r="453">
      <c r="A453" s="320"/>
      <c r="B453" s="301"/>
      <c r="C453" s="205"/>
      <c r="D453" s="302"/>
      <c r="E453" s="303"/>
      <c r="F453" s="304"/>
      <c r="G453" s="312"/>
      <c r="H453" s="306"/>
      <c r="I453" s="302"/>
      <c r="J453" s="307"/>
      <c r="K453" s="313"/>
      <c r="L453" s="319"/>
      <c r="M453" s="316"/>
      <c r="N453" s="205"/>
      <c r="O453" s="311"/>
      <c r="P453" s="200"/>
      <c r="Q453" s="200"/>
      <c r="R453" s="58"/>
      <c r="S453" s="58"/>
      <c r="T453" s="58"/>
      <c r="U453" s="58"/>
      <c r="V453" s="58"/>
      <c r="W453" s="58"/>
      <c r="X453" s="58"/>
      <c r="Y453" s="58"/>
      <c r="Z453" s="58"/>
      <c r="AA453" s="58"/>
      <c r="AB453" s="58"/>
      <c r="AC453" s="58"/>
    </row>
    <row r="454">
      <c r="A454" s="320"/>
      <c r="B454" s="301"/>
      <c r="C454" s="205"/>
      <c r="D454" s="302"/>
      <c r="E454" s="303"/>
      <c r="F454" s="304"/>
      <c r="G454" s="312"/>
      <c r="H454" s="306"/>
      <c r="I454" s="302"/>
      <c r="J454" s="307"/>
      <c r="K454" s="313"/>
      <c r="L454" s="319"/>
      <c r="M454" s="316"/>
      <c r="N454" s="205"/>
      <c r="O454" s="311"/>
      <c r="P454" s="200"/>
      <c r="Q454" s="200"/>
      <c r="R454" s="58"/>
      <c r="S454" s="58"/>
      <c r="T454" s="58"/>
      <c r="U454" s="58"/>
      <c r="V454" s="58"/>
      <c r="W454" s="58"/>
      <c r="X454" s="58"/>
      <c r="Y454" s="58"/>
      <c r="Z454" s="58"/>
      <c r="AA454" s="58"/>
      <c r="AB454" s="58"/>
      <c r="AC454" s="58"/>
    </row>
    <row r="455">
      <c r="A455" s="320"/>
      <c r="B455" s="301"/>
      <c r="C455" s="205"/>
      <c r="D455" s="302"/>
      <c r="E455" s="303"/>
      <c r="F455" s="304"/>
      <c r="G455" s="312"/>
      <c r="H455" s="306"/>
      <c r="I455" s="302"/>
      <c r="J455" s="307"/>
      <c r="K455" s="313"/>
      <c r="L455" s="319"/>
      <c r="M455" s="316"/>
      <c r="N455" s="205"/>
      <c r="O455" s="311"/>
      <c r="P455" s="200"/>
      <c r="Q455" s="200"/>
      <c r="R455" s="58"/>
      <c r="S455" s="58"/>
      <c r="T455" s="58"/>
      <c r="U455" s="58"/>
      <c r="V455" s="58"/>
      <c r="W455" s="58"/>
      <c r="X455" s="58"/>
      <c r="Y455" s="58"/>
      <c r="Z455" s="58"/>
      <c r="AA455" s="58"/>
      <c r="AB455" s="58"/>
      <c r="AC455" s="58"/>
    </row>
    <row r="456">
      <c r="A456" s="320"/>
      <c r="B456" s="301"/>
      <c r="C456" s="205"/>
      <c r="D456" s="302"/>
      <c r="E456" s="303"/>
      <c r="F456" s="304"/>
      <c r="G456" s="312"/>
      <c r="H456" s="306"/>
      <c r="I456" s="302"/>
      <c r="J456" s="307"/>
      <c r="K456" s="313"/>
      <c r="L456" s="319"/>
      <c r="M456" s="316"/>
      <c r="N456" s="205"/>
      <c r="O456" s="311"/>
      <c r="P456" s="200"/>
      <c r="Q456" s="200"/>
      <c r="R456" s="58"/>
      <c r="S456" s="58"/>
      <c r="T456" s="58"/>
      <c r="U456" s="58"/>
      <c r="V456" s="58"/>
      <c r="W456" s="58"/>
      <c r="X456" s="58"/>
      <c r="Y456" s="58"/>
      <c r="Z456" s="58"/>
      <c r="AA456" s="58"/>
      <c r="AB456" s="58"/>
      <c r="AC456" s="58"/>
    </row>
    <row r="457">
      <c r="A457" s="320"/>
      <c r="B457" s="301"/>
      <c r="C457" s="205"/>
      <c r="D457" s="302"/>
      <c r="E457" s="303"/>
      <c r="F457" s="304"/>
      <c r="G457" s="312"/>
      <c r="H457" s="306"/>
      <c r="I457" s="302"/>
      <c r="J457" s="307"/>
      <c r="K457" s="313"/>
      <c r="L457" s="319"/>
      <c r="M457" s="316"/>
      <c r="N457" s="205"/>
      <c r="O457" s="311"/>
      <c r="P457" s="200"/>
      <c r="Q457" s="200"/>
      <c r="R457" s="58"/>
      <c r="S457" s="58"/>
      <c r="T457" s="58"/>
      <c r="U457" s="58"/>
      <c r="V457" s="58"/>
      <c r="W457" s="58"/>
      <c r="X457" s="58"/>
      <c r="Y457" s="58"/>
      <c r="Z457" s="58"/>
      <c r="AA457" s="58"/>
      <c r="AB457" s="58"/>
      <c r="AC457" s="58"/>
    </row>
    <row r="458">
      <c r="A458" s="320"/>
      <c r="B458" s="301"/>
      <c r="C458" s="205"/>
      <c r="D458" s="302"/>
      <c r="E458" s="303"/>
      <c r="F458" s="304"/>
      <c r="G458" s="312"/>
      <c r="H458" s="306"/>
      <c r="I458" s="302"/>
      <c r="J458" s="307"/>
      <c r="K458" s="313"/>
      <c r="L458" s="319"/>
      <c r="M458" s="316"/>
      <c r="N458" s="205"/>
      <c r="O458" s="311"/>
      <c r="P458" s="200"/>
      <c r="Q458" s="200"/>
      <c r="R458" s="58"/>
      <c r="S458" s="58"/>
      <c r="T458" s="58"/>
      <c r="U458" s="58"/>
      <c r="V458" s="58"/>
      <c r="W458" s="58"/>
      <c r="X458" s="58"/>
      <c r="Y458" s="58"/>
      <c r="Z458" s="58"/>
      <c r="AA458" s="58"/>
      <c r="AB458" s="58"/>
      <c r="AC458" s="58"/>
    </row>
    <row r="459">
      <c r="A459" s="320"/>
      <c r="B459" s="301"/>
      <c r="C459" s="205"/>
      <c r="D459" s="302"/>
      <c r="E459" s="303"/>
      <c r="F459" s="304"/>
      <c r="G459" s="312"/>
      <c r="H459" s="306"/>
      <c r="I459" s="302"/>
      <c r="J459" s="307"/>
      <c r="K459" s="313"/>
      <c r="L459" s="319"/>
      <c r="M459" s="316"/>
      <c r="N459" s="205"/>
      <c r="O459" s="311"/>
      <c r="P459" s="200"/>
      <c r="Q459" s="200"/>
      <c r="R459" s="58"/>
      <c r="S459" s="58"/>
      <c r="T459" s="58"/>
      <c r="U459" s="58"/>
      <c r="V459" s="58"/>
      <c r="W459" s="58"/>
      <c r="X459" s="58"/>
      <c r="Y459" s="58"/>
      <c r="Z459" s="58"/>
      <c r="AA459" s="58"/>
      <c r="AB459" s="58"/>
      <c r="AC459" s="58"/>
    </row>
    <row r="460">
      <c r="A460" s="320"/>
      <c r="B460" s="301"/>
      <c r="C460" s="205"/>
      <c r="D460" s="302"/>
      <c r="E460" s="303"/>
      <c r="F460" s="304"/>
      <c r="G460" s="312"/>
      <c r="H460" s="306"/>
      <c r="I460" s="302"/>
      <c r="J460" s="307"/>
      <c r="K460" s="313"/>
      <c r="L460" s="319"/>
      <c r="M460" s="316"/>
      <c r="N460" s="205"/>
      <c r="O460" s="311"/>
      <c r="P460" s="200"/>
      <c r="Q460" s="200"/>
      <c r="R460" s="58"/>
      <c r="S460" s="58"/>
      <c r="T460" s="58"/>
      <c r="U460" s="58"/>
      <c r="V460" s="58"/>
      <c r="W460" s="58"/>
      <c r="X460" s="58"/>
      <c r="Y460" s="58"/>
      <c r="Z460" s="58"/>
      <c r="AA460" s="58"/>
      <c r="AB460" s="58"/>
      <c r="AC460" s="58"/>
    </row>
    <row r="461">
      <c r="A461" s="320"/>
      <c r="B461" s="301"/>
      <c r="C461" s="205"/>
      <c r="D461" s="302"/>
      <c r="E461" s="303"/>
      <c r="F461" s="304"/>
      <c r="G461" s="312"/>
      <c r="H461" s="306"/>
      <c r="I461" s="302"/>
      <c r="J461" s="307"/>
      <c r="K461" s="313"/>
      <c r="L461" s="319"/>
      <c r="M461" s="316"/>
      <c r="N461" s="205"/>
      <c r="O461" s="311"/>
      <c r="P461" s="200"/>
      <c r="Q461" s="200"/>
      <c r="R461" s="58"/>
      <c r="S461" s="58"/>
      <c r="T461" s="58"/>
      <c r="U461" s="58"/>
      <c r="V461" s="58"/>
      <c r="W461" s="58"/>
      <c r="X461" s="58"/>
      <c r="Y461" s="58"/>
      <c r="Z461" s="58"/>
      <c r="AA461" s="58"/>
      <c r="AB461" s="58"/>
      <c r="AC461" s="58"/>
    </row>
    <row r="462">
      <c r="A462" s="320"/>
      <c r="B462" s="301"/>
      <c r="C462" s="205"/>
      <c r="D462" s="302"/>
      <c r="E462" s="303"/>
      <c r="F462" s="304"/>
      <c r="G462" s="312"/>
      <c r="H462" s="306"/>
      <c r="I462" s="302"/>
      <c r="J462" s="307"/>
      <c r="K462" s="313"/>
      <c r="L462" s="319"/>
      <c r="M462" s="316"/>
      <c r="N462" s="205"/>
      <c r="O462" s="311"/>
      <c r="P462" s="200"/>
      <c r="Q462" s="200"/>
      <c r="R462" s="58"/>
      <c r="S462" s="58"/>
      <c r="T462" s="58"/>
      <c r="U462" s="58"/>
      <c r="V462" s="58"/>
      <c r="W462" s="58"/>
      <c r="X462" s="58"/>
      <c r="Y462" s="58"/>
      <c r="Z462" s="58"/>
      <c r="AA462" s="58"/>
      <c r="AB462" s="58"/>
      <c r="AC462" s="58"/>
    </row>
    <row r="463">
      <c r="A463" s="320"/>
      <c r="B463" s="301"/>
      <c r="C463" s="205"/>
      <c r="D463" s="302"/>
      <c r="E463" s="303"/>
      <c r="F463" s="304"/>
      <c r="G463" s="312"/>
      <c r="H463" s="306"/>
      <c r="I463" s="302"/>
      <c r="J463" s="307"/>
      <c r="K463" s="313"/>
      <c r="L463" s="319"/>
      <c r="M463" s="316"/>
      <c r="N463" s="205"/>
      <c r="O463" s="311"/>
      <c r="P463" s="200"/>
      <c r="Q463" s="200"/>
      <c r="R463" s="58"/>
      <c r="S463" s="58"/>
      <c r="T463" s="58"/>
      <c r="U463" s="58"/>
      <c r="V463" s="58"/>
      <c r="W463" s="58"/>
      <c r="X463" s="58"/>
      <c r="Y463" s="58"/>
      <c r="Z463" s="58"/>
      <c r="AA463" s="58"/>
      <c r="AB463" s="58"/>
      <c r="AC463" s="58"/>
    </row>
    <row r="464">
      <c r="A464" s="320"/>
      <c r="B464" s="301"/>
      <c r="C464" s="205"/>
      <c r="D464" s="302"/>
      <c r="E464" s="303"/>
      <c r="F464" s="304"/>
      <c r="G464" s="312"/>
      <c r="H464" s="306"/>
      <c r="I464" s="302"/>
      <c r="J464" s="307"/>
      <c r="K464" s="313"/>
      <c r="L464" s="319"/>
      <c r="M464" s="316"/>
      <c r="N464" s="205"/>
      <c r="O464" s="311"/>
      <c r="P464" s="200"/>
      <c r="Q464" s="200"/>
      <c r="R464" s="58"/>
      <c r="S464" s="58"/>
      <c r="T464" s="58"/>
      <c r="U464" s="58"/>
      <c r="V464" s="58"/>
      <c r="W464" s="58"/>
      <c r="X464" s="58"/>
      <c r="Y464" s="58"/>
      <c r="Z464" s="58"/>
      <c r="AA464" s="58"/>
      <c r="AB464" s="58"/>
      <c r="AC464" s="58"/>
    </row>
    <row r="465">
      <c r="A465" s="320"/>
      <c r="B465" s="301"/>
      <c r="C465" s="205"/>
      <c r="D465" s="302"/>
      <c r="E465" s="303"/>
      <c r="F465" s="304"/>
      <c r="G465" s="312"/>
      <c r="H465" s="306"/>
      <c r="I465" s="302"/>
      <c r="J465" s="307"/>
      <c r="K465" s="313"/>
      <c r="L465" s="319"/>
      <c r="M465" s="316"/>
      <c r="N465" s="205"/>
      <c r="O465" s="311"/>
      <c r="P465" s="200"/>
      <c r="Q465" s="200"/>
      <c r="R465" s="58"/>
      <c r="S465" s="58"/>
      <c r="T465" s="58"/>
      <c r="U465" s="58"/>
      <c r="V465" s="58"/>
      <c r="W465" s="58"/>
      <c r="X465" s="58"/>
      <c r="Y465" s="58"/>
      <c r="Z465" s="58"/>
      <c r="AA465" s="58"/>
      <c r="AB465" s="58"/>
      <c r="AC465" s="58"/>
    </row>
    <row r="466">
      <c r="A466" s="320"/>
      <c r="B466" s="301"/>
      <c r="C466" s="205"/>
      <c r="D466" s="302"/>
      <c r="E466" s="303"/>
      <c r="F466" s="304"/>
      <c r="G466" s="312"/>
      <c r="H466" s="306"/>
      <c r="I466" s="302"/>
      <c r="J466" s="307"/>
      <c r="K466" s="313"/>
      <c r="L466" s="319"/>
      <c r="M466" s="316"/>
      <c r="N466" s="205"/>
      <c r="O466" s="311"/>
      <c r="P466" s="200"/>
      <c r="Q466" s="200"/>
      <c r="R466" s="58"/>
      <c r="S466" s="58"/>
      <c r="T466" s="58"/>
      <c r="U466" s="58"/>
      <c r="V466" s="58"/>
      <c r="W466" s="58"/>
      <c r="X466" s="58"/>
      <c r="Y466" s="58"/>
      <c r="Z466" s="58"/>
      <c r="AA466" s="58"/>
      <c r="AB466" s="58"/>
      <c r="AC466" s="58"/>
    </row>
    <row r="467">
      <c r="A467" s="320"/>
      <c r="B467" s="301"/>
      <c r="C467" s="205"/>
      <c r="D467" s="302"/>
      <c r="E467" s="303"/>
      <c r="F467" s="304"/>
      <c r="G467" s="312"/>
      <c r="H467" s="306"/>
      <c r="I467" s="302"/>
      <c r="J467" s="307"/>
      <c r="K467" s="313"/>
      <c r="L467" s="319"/>
      <c r="M467" s="316"/>
      <c r="N467" s="205"/>
      <c r="O467" s="311"/>
      <c r="P467" s="200"/>
      <c r="Q467" s="200"/>
      <c r="R467" s="58"/>
      <c r="S467" s="58"/>
      <c r="T467" s="58"/>
      <c r="U467" s="58"/>
      <c r="V467" s="58"/>
      <c r="W467" s="58"/>
      <c r="X467" s="58"/>
      <c r="Y467" s="58"/>
      <c r="Z467" s="58"/>
      <c r="AA467" s="58"/>
      <c r="AB467" s="58"/>
      <c r="AC467" s="58"/>
    </row>
    <row r="468">
      <c r="A468" s="320"/>
      <c r="B468" s="301"/>
      <c r="C468" s="205"/>
      <c r="D468" s="302"/>
      <c r="E468" s="303"/>
      <c r="F468" s="304"/>
      <c r="G468" s="312"/>
      <c r="H468" s="306"/>
      <c r="I468" s="302"/>
      <c r="J468" s="307"/>
      <c r="K468" s="313"/>
      <c r="L468" s="319"/>
      <c r="M468" s="316"/>
      <c r="N468" s="205"/>
      <c r="O468" s="311"/>
      <c r="P468" s="200"/>
      <c r="Q468" s="200"/>
      <c r="R468" s="58"/>
      <c r="S468" s="58"/>
      <c r="T468" s="58"/>
      <c r="U468" s="58"/>
      <c r="V468" s="58"/>
      <c r="W468" s="58"/>
      <c r="X468" s="58"/>
      <c r="Y468" s="58"/>
      <c r="Z468" s="58"/>
      <c r="AA468" s="58"/>
      <c r="AB468" s="58"/>
      <c r="AC468" s="58"/>
    </row>
    <row r="469">
      <c r="A469" s="320"/>
      <c r="B469" s="301"/>
      <c r="C469" s="205"/>
      <c r="D469" s="302"/>
      <c r="E469" s="303"/>
      <c r="F469" s="304"/>
      <c r="G469" s="312"/>
      <c r="H469" s="306"/>
      <c r="I469" s="302"/>
      <c r="J469" s="307"/>
      <c r="K469" s="313"/>
      <c r="L469" s="319"/>
      <c r="M469" s="316"/>
      <c r="N469" s="205"/>
      <c r="O469" s="311"/>
      <c r="P469" s="200"/>
      <c r="Q469" s="200"/>
      <c r="R469" s="58"/>
      <c r="S469" s="58"/>
      <c r="T469" s="58"/>
      <c r="U469" s="58"/>
      <c r="V469" s="58"/>
      <c r="W469" s="58"/>
      <c r="X469" s="58"/>
      <c r="Y469" s="58"/>
      <c r="Z469" s="58"/>
      <c r="AA469" s="58"/>
      <c r="AB469" s="58"/>
      <c r="AC469" s="58"/>
    </row>
    <row r="470">
      <c r="A470" s="320"/>
      <c r="B470" s="301"/>
      <c r="C470" s="205"/>
      <c r="D470" s="302"/>
      <c r="E470" s="303"/>
      <c r="F470" s="304"/>
      <c r="G470" s="312"/>
      <c r="H470" s="306"/>
      <c r="I470" s="302"/>
      <c r="J470" s="307"/>
      <c r="K470" s="313"/>
      <c r="L470" s="319"/>
      <c r="M470" s="316"/>
      <c r="N470" s="205"/>
      <c r="O470" s="311"/>
      <c r="P470" s="200"/>
      <c r="Q470" s="200"/>
      <c r="R470" s="58"/>
      <c r="S470" s="58"/>
      <c r="T470" s="58"/>
      <c r="U470" s="58"/>
      <c r="V470" s="58"/>
      <c r="W470" s="58"/>
      <c r="X470" s="58"/>
      <c r="Y470" s="58"/>
      <c r="Z470" s="58"/>
      <c r="AA470" s="58"/>
      <c r="AB470" s="58"/>
      <c r="AC470" s="58"/>
    </row>
    <row r="471">
      <c r="A471" s="320"/>
      <c r="B471" s="301"/>
      <c r="C471" s="205"/>
      <c r="D471" s="302"/>
      <c r="E471" s="303"/>
      <c r="F471" s="304"/>
      <c r="G471" s="312"/>
      <c r="H471" s="306"/>
      <c r="I471" s="302"/>
      <c r="J471" s="307"/>
      <c r="K471" s="313"/>
      <c r="L471" s="319"/>
      <c r="M471" s="316"/>
      <c r="N471" s="205"/>
      <c r="O471" s="311"/>
      <c r="P471" s="200"/>
      <c r="Q471" s="200"/>
      <c r="R471" s="58"/>
      <c r="S471" s="58"/>
      <c r="T471" s="58"/>
      <c r="U471" s="58"/>
      <c r="V471" s="58"/>
      <c r="W471" s="58"/>
      <c r="X471" s="58"/>
      <c r="Y471" s="58"/>
      <c r="Z471" s="58"/>
      <c r="AA471" s="58"/>
      <c r="AB471" s="58"/>
      <c r="AC471" s="58"/>
    </row>
    <row r="472">
      <c r="A472" s="320"/>
      <c r="B472" s="301"/>
      <c r="C472" s="205"/>
      <c r="D472" s="302"/>
      <c r="E472" s="303"/>
      <c r="F472" s="304"/>
      <c r="G472" s="312"/>
      <c r="H472" s="306"/>
      <c r="I472" s="302"/>
      <c r="J472" s="307"/>
      <c r="K472" s="313"/>
      <c r="L472" s="319"/>
      <c r="M472" s="316"/>
      <c r="N472" s="205"/>
      <c r="O472" s="311"/>
      <c r="P472" s="200"/>
      <c r="Q472" s="200"/>
      <c r="R472" s="58"/>
      <c r="S472" s="58"/>
      <c r="T472" s="58"/>
      <c r="U472" s="58"/>
      <c r="V472" s="58"/>
      <c r="W472" s="58"/>
      <c r="X472" s="58"/>
      <c r="Y472" s="58"/>
      <c r="Z472" s="58"/>
      <c r="AA472" s="58"/>
      <c r="AB472" s="58"/>
      <c r="AC472" s="58"/>
    </row>
    <row r="473">
      <c r="A473" s="320"/>
      <c r="B473" s="301"/>
      <c r="C473" s="205"/>
      <c r="D473" s="302"/>
      <c r="E473" s="303"/>
      <c r="F473" s="304"/>
      <c r="G473" s="312"/>
      <c r="H473" s="306"/>
      <c r="I473" s="302"/>
      <c r="J473" s="307"/>
      <c r="K473" s="313"/>
      <c r="L473" s="319"/>
      <c r="M473" s="316"/>
      <c r="N473" s="205"/>
      <c r="O473" s="311"/>
      <c r="P473" s="200"/>
      <c r="Q473" s="200"/>
      <c r="R473" s="58"/>
      <c r="S473" s="58"/>
      <c r="T473" s="58"/>
      <c r="U473" s="58"/>
      <c r="V473" s="58"/>
      <c r="W473" s="58"/>
      <c r="X473" s="58"/>
      <c r="Y473" s="58"/>
      <c r="Z473" s="58"/>
      <c r="AA473" s="58"/>
      <c r="AB473" s="58"/>
      <c r="AC473" s="58"/>
    </row>
    <row r="474">
      <c r="A474" s="320"/>
      <c r="B474" s="301"/>
      <c r="C474" s="205"/>
      <c r="D474" s="302"/>
      <c r="E474" s="303"/>
      <c r="F474" s="304"/>
      <c r="G474" s="312"/>
      <c r="H474" s="306"/>
      <c r="I474" s="302"/>
      <c r="J474" s="307"/>
      <c r="K474" s="313"/>
      <c r="L474" s="319"/>
      <c r="M474" s="316"/>
      <c r="N474" s="205"/>
      <c r="O474" s="311"/>
      <c r="P474" s="200"/>
      <c r="Q474" s="200"/>
      <c r="R474" s="58"/>
      <c r="S474" s="58"/>
      <c r="T474" s="58"/>
      <c r="U474" s="58"/>
      <c r="V474" s="58"/>
      <c r="W474" s="58"/>
      <c r="X474" s="58"/>
      <c r="Y474" s="58"/>
      <c r="Z474" s="58"/>
      <c r="AA474" s="58"/>
      <c r="AB474" s="58"/>
      <c r="AC474" s="58"/>
    </row>
    <row r="475">
      <c r="A475" s="320"/>
      <c r="B475" s="301"/>
      <c r="C475" s="205"/>
      <c r="D475" s="302"/>
      <c r="E475" s="303"/>
      <c r="F475" s="304"/>
      <c r="G475" s="312"/>
      <c r="H475" s="306"/>
      <c r="I475" s="302"/>
      <c r="J475" s="307"/>
      <c r="K475" s="313"/>
      <c r="L475" s="319"/>
      <c r="M475" s="316"/>
      <c r="N475" s="205"/>
      <c r="O475" s="311"/>
      <c r="P475" s="200"/>
      <c r="Q475" s="200"/>
      <c r="R475" s="58"/>
      <c r="S475" s="58"/>
      <c r="T475" s="58"/>
      <c r="U475" s="58"/>
      <c r="V475" s="58"/>
      <c r="W475" s="58"/>
      <c r="X475" s="58"/>
      <c r="Y475" s="58"/>
      <c r="Z475" s="58"/>
      <c r="AA475" s="58"/>
      <c r="AB475" s="58"/>
      <c r="AC475" s="58"/>
    </row>
    <row r="476">
      <c r="A476" s="320"/>
      <c r="B476" s="301"/>
      <c r="C476" s="205"/>
      <c r="D476" s="302"/>
      <c r="E476" s="303"/>
      <c r="F476" s="304"/>
      <c r="G476" s="312"/>
      <c r="H476" s="306"/>
      <c r="I476" s="302"/>
      <c r="J476" s="307"/>
      <c r="K476" s="313"/>
      <c r="L476" s="319"/>
      <c r="M476" s="316"/>
      <c r="N476" s="205"/>
      <c r="O476" s="311"/>
      <c r="P476" s="200"/>
      <c r="Q476" s="200"/>
      <c r="R476" s="58"/>
      <c r="S476" s="58"/>
      <c r="T476" s="58"/>
      <c r="U476" s="58"/>
      <c r="V476" s="58"/>
      <c r="W476" s="58"/>
      <c r="X476" s="58"/>
      <c r="Y476" s="58"/>
      <c r="Z476" s="58"/>
      <c r="AA476" s="58"/>
      <c r="AB476" s="58"/>
      <c r="AC476" s="58"/>
    </row>
    <row r="477">
      <c r="A477" s="320"/>
      <c r="B477" s="301"/>
      <c r="C477" s="205"/>
      <c r="D477" s="302"/>
      <c r="E477" s="303"/>
      <c r="F477" s="304"/>
      <c r="G477" s="312"/>
      <c r="H477" s="306"/>
      <c r="I477" s="302"/>
      <c r="J477" s="307"/>
      <c r="K477" s="313"/>
      <c r="L477" s="319"/>
      <c r="M477" s="316"/>
      <c r="N477" s="205"/>
      <c r="O477" s="311"/>
      <c r="P477" s="200"/>
      <c r="Q477" s="200"/>
      <c r="R477" s="58"/>
      <c r="S477" s="58"/>
      <c r="T477" s="58"/>
      <c r="U477" s="58"/>
      <c r="V477" s="58"/>
      <c r="W477" s="58"/>
      <c r="X477" s="58"/>
      <c r="Y477" s="58"/>
      <c r="Z477" s="58"/>
      <c r="AA477" s="58"/>
      <c r="AB477" s="58"/>
      <c r="AC477" s="58"/>
    </row>
    <row r="478">
      <c r="A478" s="320"/>
      <c r="B478" s="301"/>
      <c r="C478" s="205"/>
      <c r="D478" s="302"/>
      <c r="E478" s="303"/>
      <c r="F478" s="304"/>
      <c r="G478" s="312"/>
      <c r="H478" s="306"/>
      <c r="I478" s="302"/>
      <c r="J478" s="307"/>
      <c r="K478" s="313"/>
      <c r="L478" s="319"/>
      <c r="M478" s="316"/>
      <c r="N478" s="205"/>
      <c r="O478" s="311"/>
      <c r="P478" s="200"/>
      <c r="Q478" s="200"/>
      <c r="R478" s="58"/>
      <c r="S478" s="58"/>
      <c r="T478" s="58"/>
      <c r="U478" s="58"/>
      <c r="V478" s="58"/>
      <c r="W478" s="58"/>
      <c r="X478" s="58"/>
      <c r="Y478" s="58"/>
      <c r="Z478" s="58"/>
      <c r="AA478" s="58"/>
      <c r="AB478" s="58"/>
      <c r="AC478" s="58"/>
    </row>
    <row r="479">
      <c r="A479" s="320"/>
      <c r="B479" s="301"/>
      <c r="C479" s="205"/>
      <c r="D479" s="302"/>
      <c r="E479" s="303"/>
      <c r="F479" s="304"/>
      <c r="G479" s="312"/>
      <c r="H479" s="306"/>
      <c r="I479" s="302"/>
      <c r="J479" s="307"/>
      <c r="K479" s="313"/>
      <c r="L479" s="319"/>
      <c r="M479" s="316"/>
      <c r="N479" s="205"/>
      <c r="O479" s="311"/>
      <c r="P479" s="200"/>
      <c r="Q479" s="200"/>
      <c r="R479" s="58"/>
      <c r="S479" s="58"/>
      <c r="T479" s="58"/>
      <c r="U479" s="58"/>
      <c r="V479" s="58"/>
      <c r="W479" s="58"/>
      <c r="X479" s="58"/>
      <c r="Y479" s="58"/>
      <c r="Z479" s="58"/>
      <c r="AA479" s="58"/>
      <c r="AB479" s="58"/>
      <c r="AC479" s="58"/>
    </row>
    <row r="480">
      <c r="A480" s="320"/>
      <c r="B480" s="301"/>
      <c r="C480" s="205"/>
      <c r="D480" s="302"/>
      <c r="E480" s="303"/>
      <c r="F480" s="304"/>
      <c r="G480" s="312"/>
      <c r="H480" s="306"/>
      <c r="I480" s="302"/>
      <c r="J480" s="307"/>
      <c r="K480" s="313"/>
      <c r="L480" s="319"/>
      <c r="M480" s="316"/>
      <c r="N480" s="205"/>
      <c r="O480" s="311"/>
      <c r="P480" s="200"/>
      <c r="Q480" s="200"/>
      <c r="R480" s="58"/>
      <c r="S480" s="58"/>
      <c r="T480" s="58"/>
      <c r="U480" s="58"/>
      <c r="V480" s="58"/>
      <c r="W480" s="58"/>
      <c r="X480" s="58"/>
      <c r="Y480" s="58"/>
      <c r="Z480" s="58"/>
      <c r="AA480" s="58"/>
      <c r="AB480" s="58"/>
      <c r="AC480" s="58"/>
    </row>
    <row r="481">
      <c r="A481" s="320"/>
      <c r="B481" s="301"/>
      <c r="C481" s="205"/>
      <c r="D481" s="302"/>
      <c r="E481" s="303"/>
      <c r="F481" s="304"/>
      <c r="G481" s="312"/>
      <c r="H481" s="306"/>
      <c r="I481" s="302"/>
      <c r="J481" s="307"/>
      <c r="K481" s="313"/>
      <c r="L481" s="319"/>
      <c r="M481" s="316"/>
      <c r="N481" s="205"/>
      <c r="O481" s="311"/>
      <c r="P481" s="200"/>
      <c r="Q481" s="200"/>
      <c r="R481" s="58"/>
      <c r="S481" s="58"/>
      <c r="T481" s="58"/>
      <c r="U481" s="58"/>
      <c r="V481" s="58"/>
      <c r="W481" s="58"/>
      <c r="X481" s="58"/>
      <c r="Y481" s="58"/>
      <c r="Z481" s="58"/>
      <c r="AA481" s="58"/>
      <c r="AB481" s="58"/>
      <c r="AC481" s="58"/>
    </row>
    <row r="482">
      <c r="A482" s="320"/>
      <c r="B482" s="301"/>
      <c r="C482" s="205"/>
      <c r="D482" s="302"/>
      <c r="E482" s="303"/>
      <c r="F482" s="304"/>
      <c r="G482" s="312"/>
      <c r="H482" s="306"/>
      <c r="I482" s="302"/>
      <c r="J482" s="307"/>
      <c r="K482" s="313"/>
      <c r="L482" s="319"/>
      <c r="M482" s="316"/>
      <c r="N482" s="205"/>
      <c r="O482" s="311"/>
      <c r="P482" s="200"/>
      <c r="Q482" s="200"/>
      <c r="R482" s="58"/>
      <c r="S482" s="58"/>
      <c r="T482" s="58"/>
      <c r="U482" s="58"/>
      <c r="V482" s="58"/>
      <c r="W482" s="58"/>
      <c r="X482" s="58"/>
      <c r="Y482" s="58"/>
      <c r="Z482" s="58"/>
      <c r="AA482" s="58"/>
      <c r="AB482" s="58"/>
      <c r="AC482" s="58"/>
    </row>
    <row r="483">
      <c r="A483" s="320"/>
      <c r="B483" s="301"/>
      <c r="C483" s="205"/>
      <c r="D483" s="302"/>
      <c r="E483" s="303"/>
      <c r="F483" s="304"/>
      <c r="G483" s="312"/>
      <c r="H483" s="306"/>
      <c r="I483" s="302"/>
      <c r="J483" s="307"/>
      <c r="K483" s="313"/>
      <c r="L483" s="319"/>
      <c r="M483" s="316"/>
      <c r="N483" s="205"/>
      <c r="O483" s="311"/>
      <c r="P483" s="200"/>
      <c r="Q483" s="200"/>
      <c r="R483" s="58"/>
      <c r="S483" s="58"/>
      <c r="T483" s="58"/>
      <c r="U483" s="58"/>
      <c r="V483" s="58"/>
      <c r="W483" s="58"/>
      <c r="X483" s="58"/>
      <c r="Y483" s="58"/>
      <c r="Z483" s="58"/>
      <c r="AA483" s="58"/>
      <c r="AB483" s="58"/>
      <c r="AC483" s="58"/>
    </row>
    <row r="484">
      <c r="A484" s="320"/>
      <c r="B484" s="301"/>
      <c r="C484" s="205"/>
      <c r="D484" s="302"/>
      <c r="E484" s="303"/>
      <c r="F484" s="304"/>
      <c r="G484" s="312"/>
      <c r="H484" s="306"/>
      <c r="I484" s="302"/>
      <c r="J484" s="307"/>
      <c r="K484" s="313"/>
      <c r="L484" s="319"/>
      <c r="M484" s="316"/>
      <c r="N484" s="205"/>
      <c r="O484" s="311"/>
      <c r="P484" s="200"/>
      <c r="Q484" s="200"/>
      <c r="R484" s="58"/>
      <c r="S484" s="58"/>
      <c r="T484" s="58"/>
      <c r="U484" s="58"/>
      <c r="V484" s="58"/>
      <c r="W484" s="58"/>
      <c r="X484" s="58"/>
      <c r="Y484" s="58"/>
      <c r="Z484" s="58"/>
      <c r="AA484" s="58"/>
      <c r="AB484" s="58"/>
      <c r="AC484" s="58"/>
    </row>
    <row r="485">
      <c r="A485" s="320"/>
      <c r="B485" s="301"/>
      <c r="C485" s="205"/>
      <c r="D485" s="302"/>
      <c r="E485" s="303"/>
      <c r="F485" s="304"/>
      <c r="G485" s="312"/>
      <c r="H485" s="306"/>
      <c r="I485" s="302"/>
      <c r="J485" s="307"/>
      <c r="K485" s="313"/>
      <c r="L485" s="319"/>
      <c r="M485" s="316"/>
      <c r="N485" s="205"/>
      <c r="O485" s="311"/>
      <c r="P485" s="200"/>
      <c r="Q485" s="200"/>
      <c r="R485" s="58"/>
      <c r="S485" s="58"/>
      <c r="T485" s="58"/>
      <c r="U485" s="58"/>
      <c r="V485" s="58"/>
      <c r="W485" s="58"/>
      <c r="X485" s="58"/>
      <c r="Y485" s="58"/>
      <c r="Z485" s="58"/>
      <c r="AA485" s="58"/>
      <c r="AB485" s="58"/>
      <c r="AC485" s="58"/>
    </row>
    <row r="486">
      <c r="A486" s="320"/>
      <c r="B486" s="301"/>
      <c r="C486" s="205"/>
      <c r="D486" s="302"/>
      <c r="E486" s="303"/>
      <c r="F486" s="304"/>
      <c r="G486" s="312"/>
      <c r="H486" s="306"/>
      <c r="I486" s="302"/>
      <c r="J486" s="307"/>
      <c r="K486" s="313"/>
      <c r="L486" s="319"/>
      <c r="M486" s="316"/>
      <c r="N486" s="205"/>
      <c r="O486" s="311"/>
      <c r="P486" s="200"/>
      <c r="Q486" s="200"/>
      <c r="R486" s="58"/>
      <c r="S486" s="58"/>
      <c r="T486" s="58"/>
      <c r="U486" s="58"/>
      <c r="V486" s="58"/>
      <c r="W486" s="58"/>
      <c r="X486" s="58"/>
      <c r="Y486" s="58"/>
      <c r="Z486" s="58"/>
      <c r="AA486" s="58"/>
      <c r="AB486" s="58"/>
      <c r="AC486" s="58"/>
    </row>
    <row r="487">
      <c r="A487" s="320"/>
      <c r="B487" s="301"/>
      <c r="C487" s="205"/>
      <c r="D487" s="302"/>
      <c r="E487" s="303"/>
      <c r="F487" s="304"/>
      <c r="G487" s="312"/>
      <c r="H487" s="306"/>
      <c r="I487" s="302"/>
      <c r="J487" s="307"/>
      <c r="K487" s="313"/>
      <c r="L487" s="319"/>
      <c r="M487" s="316"/>
      <c r="N487" s="205"/>
      <c r="O487" s="311"/>
      <c r="P487" s="200"/>
      <c r="Q487" s="200"/>
      <c r="R487" s="58"/>
      <c r="S487" s="58"/>
      <c r="T487" s="58"/>
      <c r="U487" s="58"/>
      <c r="V487" s="58"/>
      <c r="W487" s="58"/>
      <c r="X487" s="58"/>
      <c r="Y487" s="58"/>
      <c r="Z487" s="58"/>
      <c r="AA487" s="58"/>
      <c r="AB487" s="58"/>
      <c r="AC487" s="58"/>
    </row>
    <row r="488">
      <c r="A488" s="320"/>
      <c r="B488" s="301"/>
      <c r="C488" s="205"/>
      <c r="D488" s="302"/>
      <c r="E488" s="303"/>
      <c r="F488" s="304"/>
      <c r="G488" s="312"/>
      <c r="H488" s="306"/>
      <c r="I488" s="302"/>
      <c r="J488" s="307"/>
      <c r="K488" s="313"/>
      <c r="L488" s="319"/>
      <c r="M488" s="316"/>
      <c r="N488" s="205"/>
      <c r="O488" s="311"/>
      <c r="P488" s="200"/>
      <c r="Q488" s="200"/>
      <c r="R488" s="58"/>
      <c r="S488" s="58"/>
      <c r="T488" s="58"/>
      <c r="U488" s="58"/>
      <c r="V488" s="58"/>
      <c r="W488" s="58"/>
      <c r="X488" s="58"/>
      <c r="Y488" s="58"/>
      <c r="Z488" s="58"/>
      <c r="AA488" s="58"/>
      <c r="AB488" s="58"/>
      <c r="AC488" s="58"/>
    </row>
    <row r="489">
      <c r="A489" s="320"/>
      <c r="B489" s="301"/>
      <c r="C489" s="205"/>
      <c r="D489" s="302"/>
      <c r="E489" s="303"/>
      <c r="F489" s="304"/>
      <c r="G489" s="312"/>
      <c r="H489" s="306"/>
      <c r="I489" s="302"/>
      <c r="J489" s="307"/>
      <c r="K489" s="313"/>
      <c r="L489" s="319"/>
      <c r="M489" s="316"/>
      <c r="N489" s="205"/>
      <c r="O489" s="311"/>
      <c r="P489" s="200"/>
      <c r="Q489" s="200"/>
      <c r="R489" s="58"/>
      <c r="S489" s="58"/>
      <c r="T489" s="58"/>
      <c r="U489" s="58"/>
      <c r="V489" s="58"/>
      <c r="W489" s="58"/>
      <c r="X489" s="58"/>
      <c r="Y489" s="58"/>
      <c r="Z489" s="58"/>
      <c r="AA489" s="58"/>
      <c r="AB489" s="58"/>
      <c r="AC489" s="58"/>
    </row>
    <row r="490">
      <c r="A490" s="320"/>
      <c r="B490" s="301"/>
      <c r="C490" s="205"/>
      <c r="D490" s="302"/>
      <c r="E490" s="303"/>
      <c r="F490" s="304"/>
      <c r="G490" s="312"/>
      <c r="H490" s="306"/>
      <c r="I490" s="302"/>
      <c r="J490" s="307"/>
      <c r="K490" s="313"/>
      <c r="L490" s="319"/>
      <c r="M490" s="316"/>
      <c r="N490" s="205"/>
      <c r="O490" s="311"/>
      <c r="P490" s="200"/>
      <c r="Q490" s="200"/>
      <c r="R490" s="58"/>
      <c r="S490" s="58"/>
      <c r="T490" s="58"/>
      <c r="U490" s="58"/>
      <c r="V490" s="58"/>
      <c r="W490" s="58"/>
      <c r="X490" s="58"/>
      <c r="Y490" s="58"/>
      <c r="Z490" s="58"/>
      <c r="AA490" s="58"/>
      <c r="AB490" s="58"/>
      <c r="AC490" s="58"/>
    </row>
    <row r="491">
      <c r="A491" s="320"/>
      <c r="B491" s="301"/>
      <c r="C491" s="205"/>
      <c r="D491" s="302"/>
      <c r="E491" s="303"/>
      <c r="F491" s="304"/>
      <c r="G491" s="312"/>
      <c r="H491" s="306"/>
      <c r="I491" s="302"/>
      <c r="J491" s="307"/>
      <c r="K491" s="313"/>
      <c r="L491" s="319"/>
      <c r="M491" s="316"/>
      <c r="N491" s="205"/>
      <c r="O491" s="311"/>
      <c r="P491" s="200"/>
      <c r="Q491" s="200"/>
      <c r="R491" s="58"/>
      <c r="S491" s="58"/>
      <c r="T491" s="58"/>
      <c r="U491" s="58"/>
      <c r="V491" s="58"/>
      <c r="W491" s="58"/>
      <c r="X491" s="58"/>
      <c r="Y491" s="58"/>
      <c r="Z491" s="58"/>
      <c r="AA491" s="58"/>
      <c r="AB491" s="58"/>
      <c r="AC491" s="58"/>
    </row>
    <row r="492">
      <c r="A492" s="320"/>
      <c r="B492" s="301"/>
      <c r="C492" s="205"/>
      <c r="D492" s="302"/>
      <c r="E492" s="303"/>
      <c r="F492" s="304"/>
      <c r="G492" s="312"/>
      <c r="H492" s="306"/>
      <c r="I492" s="302"/>
      <c r="J492" s="307"/>
      <c r="K492" s="313"/>
      <c r="L492" s="319"/>
      <c r="M492" s="316"/>
      <c r="N492" s="205"/>
      <c r="O492" s="311"/>
      <c r="P492" s="200"/>
      <c r="Q492" s="200"/>
      <c r="R492" s="58"/>
      <c r="S492" s="58"/>
      <c r="T492" s="58"/>
      <c r="U492" s="58"/>
      <c r="V492" s="58"/>
      <c r="W492" s="58"/>
      <c r="X492" s="58"/>
      <c r="Y492" s="58"/>
      <c r="Z492" s="58"/>
      <c r="AA492" s="58"/>
      <c r="AB492" s="58"/>
      <c r="AC492" s="58"/>
    </row>
    <row r="493">
      <c r="A493" s="320"/>
      <c r="B493" s="301"/>
      <c r="C493" s="205"/>
      <c r="D493" s="302"/>
      <c r="E493" s="303"/>
      <c r="F493" s="304"/>
      <c r="G493" s="312"/>
      <c r="H493" s="306"/>
      <c r="I493" s="302"/>
      <c r="J493" s="307"/>
      <c r="K493" s="313"/>
      <c r="L493" s="319"/>
      <c r="M493" s="316"/>
      <c r="N493" s="205"/>
      <c r="O493" s="311"/>
      <c r="P493" s="200"/>
      <c r="Q493" s="200"/>
      <c r="R493" s="58"/>
      <c r="S493" s="58"/>
      <c r="T493" s="58"/>
      <c r="U493" s="58"/>
      <c r="V493" s="58"/>
      <c r="W493" s="58"/>
      <c r="X493" s="58"/>
      <c r="Y493" s="58"/>
      <c r="Z493" s="58"/>
      <c r="AA493" s="58"/>
      <c r="AB493" s="58"/>
      <c r="AC493" s="58"/>
    </row>
    <row r="494">
      <c r="A494" s="320"/>
      <c r="B494" s="301"/>
      <c r="C494" s="205"/>
      <c r="D494" s="302"/>
      <c r="E494" s="303"/>
      <c r="F494" s="304"/>
      <c r="G494" s="312"/>
      <c r="H494" s="306"/>
      <c r="I494" s="302"/>
      <c r="J494" s="307"/>
      <c r="K494" s="313"/>
      <c r="L494" s="319"/>
      <c r="M494" s="316"/>
      <c r="N494" s="205"/>
      <c r="O494" s="311"/>
      <c r="P494" s="200"/>
      <c r="Q494" s="200"/>
      <c r="R494" s="58"/>
      <c r="S494" s="58"/>
      <c r="T494" s="58"/>
      <c r="U494" s="58"/>
      <c r="V494" s="58"/>
      <c r="W494" s="58"/>
      <c r="X494" s="58"/>
      <c r="Y494" s="58"/>
      <c r="Z494" s="58"/>
      <c r="AA494" s="58"/>
      <c r="AB494" s="58"/>
      <c r="AC494" s="58"/>
    </row>
    <row r="495">
      <c r="A495" s="320"/>
      <c r="B495" s="301"/>
      <c r="C495" s="205"/>
      <c r="D495" s="302"/>
      <c r="E495" s="303"/>
      <c r="F495" s="304"/>
      <c r="G495" s="312"/>
      <c r="H495" s="306"/>
      <c r="I495" s="302"/>
      <c r="J495" s="307"/>
      <c r="K495" s="313"/>
      <c r="L495" s="319"/>
      <c r="M495" s="316"/>
      <c r="N495" s="205"/>
      <c r="O495" s="311"/>
      <c r="P495" s="200"/>
      <c r="Q495" s="200"/>
      <c r="R495" s="58"/>
      <c r="S495" s="58"/>
      <c r="T495" s="58"/>
      <c r="U495" s="58"/>
      <c r="V495" s="58"/>
      <c r="W495" s="58"/>
      <c r="X495" s="58"/>
      <c r="Y495" s="58"/>
      <c r="Z495" s="58"/>
      <c r="AA495" s="58"/>
      <c r="AB495" s="58"/>
      <c r="AC495" s="58"/>
    </row>
    <row r="496">
      <c r="A496" s="320"/>
      <c r="B496" s="301"/>
      <c r="C496" s="205"/>
      <c r="D496" s="302"/>
      <c r="E496" s="303"/>
      <c r="F496" s="304"/>
      <c r="G496" s="312"/>
      <c r="H496" s="306"/>
      <c r="I496" s="302"/>
      <c r="J496" s="307"/>
      <c r="K496" s="313"/>
      <c r="L496" s="319"/>
      <c r="M496" s="316"/>
      <c r="N496" s="205"/>
      <c r="O496" s="311"/>
      <c r="P496" s="200"/>
      <c r="Q496" s="200"/>
      <c r="R496" s="58"/>
      <c r="S496" s="58"/>
      <c r="T496" s="58"/>
      <c r="U496" s="58"/>
      <c r="V496" s="58"/>
      <c r="W496" s="58"/>
      <c r="X496" s="58"/>
      <c r="Y496" s="58"/>
      <c r="Z496" s="58"/>
      <c r="AA496" s="58"/>
      <c r="AB496" s="58"/>
      <c r="AC496" s="58"/>
    </row>
    <row r="497">
      <c r="A497" s="320"/>
      <c r="B497" s="301"/>
      <c r="C497" s="205"/>
      <c r="D497" s="302"/>
      <c r="E497" s="303"/>
      <c r="F497" s="304"/>
      <c r="G497" s="312"/>
      <c r="H497" s="306"/>
      <c r="I497" s="302"/>
      <c r="J497" s="307"/>
      <c r="K497" s="313"/>
      <c r="L497" s="319"/>
      <c r="M497" s="316"/>
      <c r="N497" s="205"/>
      <c r="O497" s="311"/>
      <c r="P497" s="200"/>
      <c r="Q497" s="200"/>
      <c r="R497" s="58"/>
      <c r="S497" s="58"/>
      <c r="T497" s="58"/>
      <c r="U497" s="58"/>
      <c r="V497" s="58"/>
      <c r="W497" s="58"/>
      <c r="X497" s="58"/>
      <c r="Y497" s="58"/>
      <c r="Z497" s="58"/>
      <c r="AA497" s="58"/>
      <c r="AB497" s="58"/>
      <c r="AC497" s="58"/>
    </row>
    <row r="498">
      <c r="A498" s="320"/>
      <c r="B498" s="301"/>
      <c r="C498" s="205"/>
      <c r="D498" s="302"/>
      <c r="E498" s="303"/>
      <c r="F498" s="304"/>
      <c r="G498" s="312"/>
      <c r="H498" s="306"/>
      <c r="I498" s="302"/>
      <c r="J498" s="307"/>
      <c r="K498" s="313"/>
      <c r="L498" s="319"/>
      <c r="M498" s="316"/>
      <c r="N498" s="205"/>
      <c r="O498" s="311"/>
      <c r="P498" s="200"/>
      <c r="Q498" s="200"/>
      <c r="R498" s="58"/>
      <c r="S498" s="58"/>
      <c r="T498" s="58"/>
      <c r="U498" s="58"/>
      <c r="V498" s="58"/>
      <c r="W498" s="58"/>
      <c r="X498" s="58"/>
      <c r="Y498" s="58"/>
      <c r="Z498" s="58"/>
      <c r="AA498" s="58"/>
      <c r="AB498" s="58"/>
      <c r="AC498" s="58"/>
    </row>
    <row r="499">
      <c r="A499" s="320"/>
      <c r="B499" s="301"/>
      <c r="C499" s="205"/>
      <c r="D499" s="302"/>
      <c r="E499" s="303"/>
      <c r="F499" s="304"/>
      <c r="G499" s="312"/>
      <c r="H499" s="306"/>
      <c r="I499" s="302"/>
      <c r="J499" s="307"/>
      <c r="K499" s="313"/>
      <c r="L499" s="319"/>
      <c r="M499" s="316"/>
      <c r="N499" s="205"/>
      <c r="O499" s="311"/>
      <c r="P499" s="200"/>
      <c r="Q499" s="200"/>
      <c r="R499" s="58"/>
      <c r="S499" s="58"/>
      <c r="T499" s="58"/>
      <c r="U499" s="58"/>
      <c r="V499" s="58"/>
      <c r="W499" s="58"/>
      <c r="X499" s="58"/>
      <c r="Y499" s="58"/>
      <c r="Z499" s="58"/>
      <c r="AA499" s="58"/>
      <c r="AB499" s="58"/>
      <c r="AC499" s="58"/>
    </row>
    <row r="500">
      <c r="A500" s="320"/>
      <c r="B500" s="301"/>
      <c r="C500" s="205"/>
      <c r="D500" s="302"/>
      <c r="E500" s="303"/>
      <c r="F500" s="304"/>
      <c r="G500" s="312"/>
      <c r="H500" s="306"/>
      <c r="I500" s="302"/>
      <c r="J500" s="307"/>
      <c r="K500" s="313"/>
      <c r="L500" s="319"/>
      <c r="M500" s="316"/>
      <c r="N500" s="205"/>
      <c r="O500" s="311"/>
      <c r="P500" s="200"/>
      <c r="Q500" s="200"/>
      <c r="R500" s="58"/>
      <c r="S500" s="58"/>
      <c r="T500" s="58"/>
      <c r="U500" s="58"/>
      <c r="V500" s="58"/>
      <c r="W500" s="58"/>
      <c r="X500" s="58"/>
      <c r="Y500" s="58"/>
      <c r="Z500" s="58"/>
      <c r="AA500" s="58"/>
      <c r="AB500" s="58"/>
      <c r="AC500" s="58"/>
    </row>
    <row r="501">
      <c r="A501" s="320"/>
      <c r="B501" s="301"/>
      <c r="C501" s="205"/>
      <c r="D501" s="302"/>
      <c r="E501" s="303"/>
      <c r="F501" s="304"/>
      <c r="G501" s="312"/>
      <c r="H501" s="306"/>
      <c r="I501" s="302"/>
      <c r="J501" s="307"/>
      <c r="K501" s="313"/>
      <c r="L501" s="319"/>
      <c r="M501" s="316"/>
      <c r="N501" s="205"/>
      <c r="O501" s="311"/>
      <c r="P501" s="200"/>
      <c r="Q501" s="200"/>
      <c r="R501" s="58"/>
      <c r="S501" s="58"/>
      <c r="T501" s="58"/>
      <c r="U501" s="58"/>
      <c r="V501" s="58"/>
      <c r="W501" s="58"/>
      <c r="X501" s="58"/>
      <c r="Y501" s="58"/>
      <c r="Z501" s="58"/>
      <c r="AA501" s="58"/>
      <c r="AB501" s="58"/>
      <c r="AC501" s="58"/>
    </row>
    <row r="502">
      <c r="A502" s="320"/>
      <c r="B502" s="301"/>
      <c r="C502" s="205"/>
      <c r="D502" s="302"/>
      <c r="E502" s="303"/>
      <c r="F502" s="304"/>
      <c r="G502" s="312"/>
      <c r="H502" s="306"/>
      <c r="I502" s="302"/>
      <c r="J502" s="307"/>
      <c r="K502" s="313"/>
      <c r="L502" s="319"/>
      <c r="M502" s="316"/>
      <c r="N502" s="205"/>
      <c r="O502" s="311"/>
      <c r="P502" s="200"/>
      <c r="Q502" s="200"/>
      <c r="R502" s="58"/>
      <c r="S502" s="58"/>
      <c r="T502" s="58"/>
      <c r="U502" s="58"/>
      <c r="V502" s="58"/>
      <c r="W502" s="58"/>
      <c r="X502" s="58"/>
      <c r="Y502" s="58"/>
      <c r="Z502" s="58"/>
      <c r="AA502" s="58"/>
      <c r="AB502" s="58"/>
      <c r="AC502" s="58"/>
    </row>
    <row r="503">
      <c r="A503" s="320"/>
      <c r="B503" s="301"/>
      <c r="C503" s="205"/>
      <c r="D503" s="302"/>
      <c r="E503" s="303"/>
      <c r="F503" s="304"/>
      <c r="G503" s="312"/>
      <c r="H503" s="306"/>
      <c r="I503" s="302"/>
      <c r="J503" s="307"/>
      <c r="K503" s="313"/>
      <c r="L503" s="319"/>
      <c r="M503" s="316"/>
      <c r="N503" s="205"/>
      <c r="O503" s="311"/>
      <c r="P503" s="200"/>
      <c r="Q503" s="200"/>
      <c r="R503" s="58"/>
      <c r="S503" s="58"/>
      <c r="T503" s="58"/>
      <c r="U503" s="58"/>
      <c r="V503" s="58"/>
      <c r="W503" s="58"/>
      <c r="X503" s="58"/>
      <c r="Y503" s="58"/>
      <c r="Z503" s="58"/>
      <c r="AA503" s="58"/>
      <c r="AB503" s="58"/>
      <c r="AC503" s="58"/>
    </row>
    <row r="504">
      <c r="A504" s="320"/>
      <c r="B504" s="301"/>
      <c r="C504" s="205"/>
      <c r="D504" s="302"/>
      <c r="E504" s="303"/>
      <c r="F504" s="304"/>
      <c r="G504" s="312"/>
      <c r="H504" s="306"/>
      <c r="I504" s="302"/>
      <c r="J504" s="307"/>
      <c r="K504" s="313"/>
      <c r="L504" s="319"/>
      <c r="M504" s="316"/>
      <c r="N504" s="205"/>
      <c r="O504" s="311"/>
      <c r="P504" s="200"/>
      <c r="Q504" s="200"/>
      <c r="R504" s="58"/>
      <c r="S504" s="58"/>
      <c r="T504" s="58"/>
      <c r="U504" s="58"/>
      <c r="V504" s="58"/>
      <c r="W504" s="58"/>
      <c r="X504" s="58"/>
      <c r="Y504" s="58"/>
      <c r="Z504" s="58"/>
      <c r="AA504" s="58"/>
      <c r="AB504" s="58"/>
      <c r="AC504" s="58"/>
    </row>
    <row r="505">
      <c r="A505" s="320"/>
      <c r="B505" s="301"/>
      <c r="C505" s="205"/>
      <c r="D505" s="302"/>
      <c r="E505" s="303"/>
      <c r="F505" s="304"/>
      <c r="G505" s="312"/>
      <c r="H505" s="306"/>
      <c r="I505" s="302"/>
      <c r="J505" s="307"/>
      <c r="K505" s="313"/>
      <c r="L505" s="319"/>
      <c r="M505" s="316"/>
      <c r="N505" s="205"/>
      <c r="O505" s="311"/>
      <c r="P505" s="200"/>
      <c r="Q505" s="200"/>
      <c r="R505" s="58"/>
      <c r="S505" s="58"/>
      <c r="T505" s="58"/>
      <c r="U505" s="58"/>
      <c r="V505" s="58"/>
      <c r="W505" s="58"/>
      <c r="X505" s="58"/>
      <c r="Y505" s="58"/>
      <c r="Z505" s="58"/>
      <c r="AA505" s="58"/>
      <c r="AB505" s="58"/>
      <c r="AC505" s="58"/>
    </row>
    <row r="506">
      <c r="A506" s="320"/>
      <c r="B506" s="301"/>
      <c r="C506" s="205"/>
      <c r="D506" s="302"/>
      <c r="E506" s="303"/>
      <c r="F506" s="304"/>
      <c r="G506" s="312"/>
      <c r="H506" s="306"/>
      <c r="I506" s="302"/>
      <c r="J506" s="307"/>
      <c r="K506" s="313"/>
      <c r="L506" s="319"/>
      <c r="M506" s="316"/>
      <c r="N506" s="205"/>
      <c r="O506" s="311"/>
      <c r="P506" s="200"/>
      <c r="Q506" s="200"/>
      <c r="R506" s="58"/>
      <c r="S506" s="58"/>
      <c r="T506" s="58"/>
      <c r="U506" s="58"/>
      <c r="V506" s="58"/>
      <c r="W506" s="58"/>
      <c r="X506" s="58"/>
      <c r="Y506" s="58"/>
      <c r="Z506" s="58"/>
      <c r="AA506" s="58"/>
      <c r="AB506" s="58"/>
      <c r="AC506" s="58"/>
    </row>
    <row r="507">
      <c r="A507" s="320"/>
      <c r="B507" s="301"/>
      <c r="C507" s="205"/>
      <c r="D507" s="302"/>
      <c r="E507" s="303"/>
      <c r="F507" s="304"/>
      <c r="G507" s="312"/>
      <c r="H507" s="306"/>
      <c r="I507" s="302"/>
      <c r="J507" s="307"/>
      <c r="K507" s="313"/>
      <c r="L507" s="319"/>
      <c r="M507" s="316"/>
      <c r="N507" s="205"/>
      <c r="O507" s="311"/>
      <c r="P507" s="200"/>
      <c r="Q507" s="200"/>
      <c r="R507" s="58"/>
      <c r="S507" s="58"/>
      <c r="T507" s="58"/>
      <c r="U507" s="58"/>
      <c r="V507" s="58"/>
      <c r="W507" s="58"/>
      <c r="X507" s="58"/>
      <c r="Y507" s="58"/>
      <c r="Z507" s="58"/>
      <c r="AA507" s="58"/>
      <c r="AB507" s="58"/>
      <c r="AC507" s="58"/>
    </row>
    <row r="508">
      <c r="A508" s="320"/>
      <c r="B508" s="301"/>
      <c r="C508" s="205"/>
      <c r="D508" s="302"/>
      <c r="E508" s="303"/>
      <c r="F508" s="304"/>
      <c r="G508" s="312"/>
      <c r="H508" s="306"/>
      <c r="I508" s="302"/>
      <c r="J508" s="307"/>
      <c r="K508" s="313"/>
      <c r="L508" s="319"/>
      <c r="M508" s="316"/>
      <c r="N508" s="205"/>
      <c r="O508" s="311"/>
      <c r="P508" s="200"/>
      <c r="Q508" s="200"/>
      <c r="R508" s="58"/>
      <c r="S508" s="58"/>
      <c r="T508" s="58"/>
      <c r="U508" s="58"/>
      <c r="V508" s="58"/>
      <c r="W508" s="58"/>
      <c r="X508" s="58"/>
      <c r="Y508" s="58"/>
      <c r="Z508" s="58"/>
      <c r="AA508" s="58"/>
      <c r="AB508" s="58"/>
      <c r="AC508" s="58"/>
    </row>
    <row r="509">
      <c r="A509" s="320"/>
      <c r="B509" s="301"/>
      <c r="C509" s="205"/>
      <c r="D509" s="302"/>
      <c r="E509" s="303"/>
      <c r="F509" s="304"/>
      <c r="G509" s="312"/>
      <c r="H509" s="306"/>
      <c r="I509" s="302"/>
      <c r="J509" s="307"/>
      <c r="K509" s="313"/>
      <c r="L509" s="319"/>
      <c r="M509" s="316"/>
      <c r="N509" s="205"/>
      <c r="O509" s="311"/>
      <c r="P509" s="200"/>
      <c r="Q509" s="200"/>
      <c r="R509" s="58"/>
      <c r="S509" s="58"/>
      <c r="T509" s="58"/>
      <c r="U509" s="58"/>
      <c r="V509" s="58"/>
      <c r="W509" s="58"/>
      <c r="X509" s="58"/>
      <c r="Y509" s="58"/>
      <c r="Z509" s="58"/>
      <c r="AA509" s="58"/>
      <c r="AB509" s="58"/>
      <c r="AC509" s="58"/>
    </row>
    <row r="510">
      <c r="A510" s="320"/>
      <c r="B510" s="301"/>
      <c r="C510" s="205"/>
      <c r="D510" s="302"/>
      <c r="E510" s="303"/>
      <c r="F510" s="304"/>
      <c r="G510" s="312"/>
      <c r="H510" s="306"/>
      <c r="I510" s="302"/>
      <c r="J510" s="307"/>
      <c r="K510" s="313"/>
      <c r="L510" s="319"/>
      <c r="M510" s="316"/>
      <c r="N510" s="205"/>
      <c r="O510" s="311"/>
      <c r="P510" s="200"/>
      <c r="Q510" s="200"/>
      <c r="R510" s="58"/>
      <c r="S510" s="58"/>
      <c r="T510" s="58"/>
      <c r="U510" s="58"/>
      <c r="V510" s="58"/>
      <c r="W510" s="58"/>
      <c r="X510" s="58"/>
      <c r="Y510" s="58"/>
      <c r="Z510" s="58"/>
      <c r="AA510" s="58"/>
      <c r="AB510" s="58"/>
      <c r="AC510" s="58"/>
    </row>
    <row r="511">
      <c r="A511" s="320"/>
      <c r="B511" s="301"/>
      <c r="C511" s="205"/>
      <c r="D511" s="302"/>
      <c r="E511" s="303"/>
      <c r="F511" s="304"/>
      <c r="G511" s="312"/>
      <c r="H511" s="306"/>
      <c r="I511" s="302"/>
      <c r="J511" s="307"/>
      <c r="K511" s="313"/>
      <c r="L511" s="319"/>
      <c r="M511" s="316"/>
      <c r="N511" s="205"/>
      <c r="O511" s="311"/>
      <c r="P511" s="200"/>
      <c r="Q511" s="200"/>
      <c r="R511" s="58"/>
      <c r="S511" s="58"/>
      <c r="T511" s="58"/>
      <c r="U511" s="58"/>
      <c r="V511" s="58"/>
      <c r="W511" s="58"/>
      <c r="X511" s="58"/>
      <c r="Y511" s="58"/>
      <c r="Z511" s="58"/>
      <c r="AA511" s="58"/>
      <c r="AB511" s="58"/>
      <c r="AC511" s="58"/>
    </row>
    <row r="512">
      <c r="A512" s="320"/>
      <c r="B512" s="301"/>
      <c r="C512" s="205"/>
      <c r="D512" s="302"/>
      <c r="E512" s="303"/>
      <c r="F512" s="304"/>
      <c r="G512" s="312"/>
      <c r="H512" s="306"/>
      <c r="I512" s="302"/>
      <c r="J512" s="307"/>
      <c r="K512" s="313"/>
      <c r="L512" s="319"/>
      <c r="M512" s="316"/>
      <c r="N512" s="205"/>
      <c r="O512" s="311"/>
      <c r="P512" s="200"/>
      <c r="Q512" s="200"/>
      <c r="R512" s="58"/>
      <c r="S512" s="58"/>
      <c r="T512" s="58"/>
      <c r="U512" s="58"/>
      <c r="V512" s="58"/>
      <c r="W512" s="58"/>
      <c r="X512" s="58"/>
      <c r="Y512" s="58"/>
      <c r="Z512" s="58"/>
      <c r="AA512" s="58"/>
      <c r="AB512" s="58"/>
      <c r="AC512" s="58"/>
    </row>
    <row r="513">
      <c r="A513" s="320"/>
      <c r="B513" s="301"/>
      <c r="C513" s="205"/>
      <c r="D513" s="302"/>
      <c r="E513" s="303"/>
      <c r="F513" s="304"/>
      <c r="G513" s="312"/>
      <c r="H513" s="306"/>
      <c r="I513" s="302"/>
      <c r="J513" s="307"/>
      <c r="K513" s="313"/>
      <c r="L513" s="319"/>
      <c r="M513" s="316"/>
      <c r="N513" s="205"/>
      <c r="O513" s="311"/>
      <c r="P513" s="200"/>
      <c r="Q513" s="200"/>
      <c r="R513" s="58"/>
      <c r="S513" s="58"/>
      <c r="T513" s="58"/>
      <c r="U513" s="58"/>
      <c r="V513" s="58"/>
      <c r="W513" s="58"/>
      <c r="X513" s="58"/>
      <c r="Y513" s="58"/>
      <c r="Z513" s="58"/>
      <c r="AA513" s="58"/>
      <c r="AB513" s="58"/>
      <c r="AC513" s="58"/>
    </row>
    <row r="514">
      <c r="A514" s="320"/>
      <c r="B514" s="301"/>
      <c r="C514" s="205"/>
      <c r="D514" s="302"/>
      <c r="E514" s="303"/>
      <c r="F514" s="304"/>
      <c r="G514" s="312"/>
      <c r="H514" s="306"/>
      <c r="I514" s="302"/>
      <c r="J514" s="307"/>
      <c r="K514" s="313"/>
      <c r="L514" s="319"/>
      <c r="M514" s="316"/>
      <c r="N514" s="205"/>
      <c r="O514" s="311"/>
      <c r="P514" s="200"/>
      <c r="Q514" s="200"/>
      <c r="R514" s="58"/>
      <c r="S514" s="58"/>
      <c r="T514" s="58"/>
      <c r="U514" s="58"/>
      <c r="V514" s="58"/>
      <c r="W514" s="58"/>
      <c r="X514" s="58"/>
      <c r="Y514" s="58"/>
      <c r="Z514" s="58"/>
      <c r="AA514" s="58"/>
      <c r="AB514" s="58"/>
      <c r="AC514" s="58"/>
    </row>
    <row r="515">
      <c r="A515" s="320"/>
      <c r="B515" s="301"/>
      <c r="C515" s="205"/>
      <c r="D515" s="302"/>
      <c r="E515" s="303"/>
      <c r="F515" s="304"/>
      <c r="G515" s="312"/>
      <c r="H515" s="306"/>
      <c r="I515" s="302"/>
      <c r="J515" s="307"/>
      <c r="K515" s="313"/>
      <c r="L515" s="319"/>
      <c r="M515" s="316"/>
      <c r="N515" s="205"/>
      <c r="O515" s="311"/>
      <c r="P515" s="200"/>
      <c r="Q515" s="200"/>
      <c r="R515" s="58"/>
      <c r="S515" s="58"/>
      <c r="T515" s="58"/>
      <c r="U515" s="58"/>
      <c r="V515" s="58"/>
      <c r="W515" s="58"/>
      <c r="X515" s="58"/>
      <c r="Y515" s="58"/>
      <c r="Z515" s="58"/>
      <c r="AA515" s="58"/>
      <c r="AB515" s="58"/>
      <c r="AC515" s="58"/>
    </row>
    <row r="516">
      <c r="A516" s="320"/>
      <c r="B516" s="301"/>
      <c r="C516" s="205"/>
      <c r="D516" s="302"/>
      <c r="E516" s="303"/>
      <c r="F516" s="304"/>
      <c r="G516" s="312"/>
      <c r="H516" s="306"/>
      <c r="I516" s="302"/>
      <c r="J516" s="307"/>
      <c r="K516" s="313"/>
      <c r="L516" s="319"/>
      <c r="M516" s="316"/>
      <c r="N516" s="205"/>
      <c r="O516" s="311"/>
      <c r="P516" s="200"/>
      <c r="Q516" s="200"/>
      <c r="R516" s="58"/>
      <c r="S516" s="58"/>
      <c r="T516" s="58"/>
      <c r="U516" s="58"/>
      <c r="V516" s="58"/>
      <c r="W516" s="58"/>
      <c r="X516" s="58"/>
      <c r="Y516" s="58"/>
      <c r="Z516" s="58"/>
      <c r="AA516" s="58"/>
      <c r="AB516" s="58"/>
      <c r="AC516" s="58"/>
    </row>
    <row r="517">
      <c r="A517" s="320"/>
      <c r="B517" s="301"/>
      <c r="C517" s="205"/>
      <c r="D517" s="302"/>
      <c r="E517" s="303"/>
      <c r="F517" s="304"/>
      <c r="G517" s="312"/>
      <c r="H517" s="306"/>
      <c r="I517" s="302"/>
      <c r="J517" s="307"/>
      <c r="K517" s="313"/>
      <c r="L517" s="319"/>
      <c r="M517" s="316"/>
      <c r="N517" s="205"/>
      <c r="O517" s="311"/>
      <c r="P517" s="200"/>
      <c r="Q517" s="200"/>
      <c r="R517" s="58"/>
      <c r="S517" s="58"/>
      <c r="T517" s="58"/>
      <c r="U517" s="58"/>
      <c r="V517" s="58"/>
      <c r="W517" s="58"/>
      <c r="X517" s="58"/>
      <c r="Y517" s="58"/>
      <c r="Z517" s="58"/>
      <c r="AA517" s="58"/>
      <c r="AB517" s="58"/>
      <c r="AC517" s="58"/>
    </row>
    <row r="518">
      <c r="A518" s="320"/>
      <c r="B518" s="301"/>
      <c r="C518" s="205"/>
      <c r="D518" s="302"/>
      <c r="E518" s="303"/>
      <c r="F518" s="304"/>
      <c r="G518" s="312"/>
      <c r="H518" s="306"/>
      <c r="I518" s="302"/>
      <c r="J518" s="307"/>
      <c r="K518" s="313"/>
      <c r="L518" s="319"/>
      <c r="M518" s="316"/>
      <c r="N518" s="205"/>
      <c r="O518" s="311"/>
      <c r="P518" s="200"/>
      <c r="Q518" s="200"/>
      <c r="R518" s="58"/>
      <c r="S518" s="58"/>
      <c r="T518" s="58"/>
      <c r="U518" s="58"/>
      <c r="V518" s="58"/>
      <c r="W518" s="58"/>
      <c r="X518" s="58"/>
      <c r="Y518" s="58"/>
      <c r="Z518" s="58"/>
      <c r="AA518" s="58"/>
      <c r="AB518" s="58"/>
      <c r="AC518" s="58"/>
    </row>
    <row r="519">
      <c r="A519" s="320"/>
      <c r="B519" s="301"/>
      <c r="C519" s="205"/>
      <c r="D519" s="302"/>
      <c r="E519" s="303"/>
      <c r="F519" s="304"/>
      <c r="G519" s="312"/>
      <c r="H519" s="306"/>
      <c r="I519" s="302"/>
      <c r="J519" s="307"/>
      <c r="K519" s="313"/>
      <c r="L519" s="319"/>
      <c r="M519" s="316"/>
      <c r="N519" s="205"/>
      <c r="O519" s="311"/>
      <c r="P519" s="200"/>
      <c r="Q519" s="200"/>
      <c r="R519" s="58"/>
      <c r="S519" s="58"/>
      <c r="T519" s="58"/>
      <c r="U519" s="58"/>
      <c r="V519" s="58"/>
      <c r="W519" s="58"/>
      <c r="X519" s="58"/>
      <c r="Y519" s="58"/>
      <c r="Z519" s="58"/>
      <c r="AA519" s="58"/>
      <c r="AB519" s="58"/>
      <c r="AC519" s="58"/>
    </row>
    <row r="520">
      <c r="A520" s="320"/>
      <c r="B520" s="301"/>
      <c r="C520" s="205"/>
      <c r="D520" s="302"/>
      <c r="E520" s="303"/>
      <c r="F520" s="304"/>
      <c r="G520" s="312"/>
      <c r="H520" s="306"/>
      <c r="I520" s="302"/>
      <c r="J520" s="307"/>
      <c r="K520" s="313"/>
      <c r="L520" s="319"/>
      <c r="M520" s="316"/>
      <c r="N520" s="205"/>
      <c r="O520" s="311"/>
      <c r="P520" s="200"/>
      <c r="Q520" s="200"/>
      <c r="R520" s="58"/>
      <c r="S520" s="58"/>
      <c r="T520" s="58"/>
      <c r="U520" s="58"/>
      <c r="V520" s="58"/>
      <c r="W520" s="58"/>
      <c r="X520" s="58"/>
      <c r="Y520" s="58"/>
      <c r="Z520" s="58"/>
      <c r="AA520" s="58"/>
      <c r="AB520" s="58"/>
      <c r="AC520" s="58"/>
    </row>
    <row r="521">
      <c r="A521" s="320"/>
      <c r="B521" s="301"/>
      <c r="C521" s="205"/>
      <c r="D521" s="302"/>
      <c r="E521" s="303"/>
      <c r="F521" s="304"/>
      <c r="G521" s="312"/>
      <c r="H521" s="306"/>
      <c r="I521" s="302"/>
      <c r="J521" s="307"/>
      <c r="K521" s="313"/>
      <c r="L521" s="319"/>
      <c r="M521" s="316"/>
      <c r="N521" s="205"/>
      <c r="O521" s="311"/>
      <c r="P521" s="200"/>
      <c r="Q521" s="200"/>
      <c r="R521" s="58"/>
      <c r="S521" s="58"/>
      <c r="T521" s="58"/>
      <c r="U521" s="58"/>
      <c r="V521" s="58"/>
      <c r="W521" s="58"/>
      <c r="X521" s="58"/>
      <c r="Y521" s="58"/>
      <c r="Z521" s="58"/>
      <c r="AA521" s="58"/>
      <c r="AB521" s="58"/>
      <c r="AC521" s="58"/>
    </row>
    <row r="522">
      <c r="A522" s="320"/>
      <c r="B522" s="301"/>
      <c r="C522" s="205"/>
      <c r="D522" s="302"/>
      <c r="E522" s="303"/>
      <c r="F522" s="304"/>
      <c r="G522" s="312"/>
      <c r="H522" s="306"/>
      <c r="I522" s="302"/>
      <c r="J522" s="307"/>
      <c r="K522" s="313"/>
      <c r="L522" s="319"/>
      <c r="M522" s="316"/>
      <c r="N522" s="205"/>
      <c r="O522" s="311"/>
      <c r="P522" s="200"/>
      <c r="Q522" s="200"/>
      <c r="R522" s="58"/>
      <c r="S522" s="58"/>
      <c r="T522" s="58"/>
      <c r="U522" s="58"/>
      <c r="V522" s="58"/>
      <c r="W522" s="58"/>
      <c r="X522" s="58"/>
      <c r="Y522" s="58"/>
      <c r="Z522" s="58"/>
      <c r="AA522" s="58"/>
      <c r="AB522" s="58"/>
      <c r="AC522" s="58"/>
    </row>
    <row r="523">
      <c r="A523" s="320"/>
      <c r="B523" s="301"/>
      <c r="C523" s="205"/>
      <c r="D523" s="302"/>
      <c r="E523" s="303"/>
      <c r="F523" s="304"/>
      <c r="G523" s="312"/>
      <c r="H523" s="306"/>
      <c r="I523" s="302"/>
      <c r="J523" s="307"/>
      <c r="K523" s="313"/>
      <c r="L523" s="319"/>
      <c r="M523" s="316"/>
      <c r="N523" s="205"/>
      <c r="O523" s="311"/>
      <c r="P523" s="200"/>
      <c r="Q523" s="200"/>
      <c r="R523" s="58"/>
      <c r="S523" s="58"/>
      <c r="T523" s="58"/>
      <c r="U523" s="58"/>
      <c r="V523" s="58"/>
      <c r="W523" s="58"/>
      <c r="X523" s="58"/>
      <c r="Y523" s="58"/>
      <c r="Z523" s="58"/>
      <c r="AA523" s="58"/>
      <c r="AB523" s="58"/>
      <c r="AC523" s="58"/>
    </row>
    <row r="524">
      <c r="A524" s="320"/>
      <c r="B524" s="301"/>
      <c r="C524" s="205"/>
      <c r="D524" s="302"/>
      <c r="E524" s="303"/>
      <c r="F524" s="304"/>
      <c r="G524" s="312"/>
      <c r="H524" s="306"/>
      <c r="I524" s="302"/>
      <c r="J524" s="307"/>
      <c r="K524" s="313"/>
      <c r="L524" s="319"/>
      <c r="M524" s="316"/>
      <c r="N524" s="205"/>
      <c r="O524" s="311"/>
      <c r="P524" s="200"/>
      <c r="Q524" s="200"/>
      <c r="R524" s="58"/>
      <c r="S524" s="58"/>
      <c r="T524" s="58"/>
      <c r="U524" s="58"/>
      <c r="V524" s="58"/>
      <c r="W524" s="58"/>
      <c r="X524" s="58"/>
      <c r="Y524" s="58"/>
      <c r="Z524" s="58"/>
      <c r="AA524" s="58"/>
      <c r="AB524" s="58"/>
      <c r="AC524" s="58"/>
    </row>
    <row r="525">
      <c r="A525" s="320"/>
      <c r="B525" s="301"/>
      <c r="C525" s="205"/>
      <c r="D525" s="302"/>
      <c r="E525" s="303"/>
      <c r="F525" s="304"/>
      <c r="G525" s="312"/>
      <c r="H525" s="306"/>
      <c r="I525" s="302"/>
      <c r="J525" s="307"/>
      <c r="K525" s="313"/>
      <c r="L525" s="319"/>
      <c r="M525" s="316"/>
      <c r="N525" s="205"/>
      <c r="O525" s="311"/>
      <c r="P525" s="200"/>
      <c r="Q525" s="200"/>
      <c r="R525" s="58"/>
      <c r="S525" s="58"/>
      <c r="T525" s="58"/>
      <c r="U525" s="58"/>
      <c r="V525" s="58"/>
      <c r="W525" s="58"/>
      <c r="X525" s="58"/>
      <c r="Y525" s="58"/>
      <c r="Z525" s="58"/>
      <c r="AA525" s="58"/>
      <c r="AB525" s="58"/>
      <c r="AC525" s="58"/>
    </row>
    <row r="526">
      <c r="A526" s="320"/>
      <c r="B526" s="301"/>
      <c r="C526" s="205"/>
      <c r="D526" s="302"/>
      <c r="E526" s="303"/>
      <c r="F526" s="304"/>
      <c r="G526" s="312"/>
      <c r="H526" s="306"/>
      <c r="I526" s="302"/>
      <c r="J526" s="307"/>
      <c r="K526" s="313"/>
      <c r="L526" s="319"/>
      <c r="M526" s="316"/>
      <c r="N526" s="205"/>
      <c r="O526" s="311"/>
      <c r="P526" s="200"/>
      <c r="Q526" s="200"/>
      <c r="R526" s="58"/>
      <c r="S526" s="58"/>
      <c r="T526" s="58"/>
      <c r="U526" s="58"/>
      <c r="V526" s="58"/>
      <c r="W526" s="58"/>
      <c r="X526" s="58"/>
      <c r="Y526" s="58"/>
      <c r="Z526" s="58"/>
      <c r="AA526" s="58"/>
      <c r="AB526" s="58"/>
      <c r="AC526" s="58"/>
    </row>
    <row r="527">
      <c r="A527" s="320"/>
      <c r="B527" s="301"/>
      <c r="C527" s="205"/>
      <c r="D527" s="302"/>
      <c r="E527" s="303"/>
      <c r="F527" s="304"/>
      <c r="G527" s="312"/>
      <c r="H527" s="306"/>
      <c r="I527" s="302"/>
      <c r="J527" s="307"/>
      <c r="K527" s="313"/>
      <c r="L527" s="319"/>
      <c r="M527" s="316"/>
      <c r="N527" s="205"/>
      <c r="O527" s="311"/>
      <c r="P527" s="200"/>
      <c r="Q527" s="200"/>
      <c r="R527" s="58"/>
      <c r="S527" s="58"/>
      <c r="T527" s="58"/>
      <c r="U527" s="58"/>
      <c r="V527" s="58"/>
      <c r="W527" s="58"/>
      <c r="X527" s="58"/>
      <c r="Y527" s="58"/>
      <c r="Z527" s="58"/>
      <c r="AA527" s="58"/>
      <c r="AB527" s="58"/>
      <c r="AC527" s="58"/>
    </row>
    <row r="528">
      <c r="A528" s="320"/>
      <c r="B528" s="301"/>
      <c r="C528" s="205"/>
      <c r="D528" s="302"/>
      <c r="E528" s="303"/>
      <c r="F528" s="304"/>
      <c r="G528" s="312"/>
      <c r="H528" s="306"/>
      <c r="I528" s="302"/>
      <c r="J528" s="307"/>
      <c r="K528" s="313"/>
      <c r="L528" s="319"/>
      <c r="M528" s="316"/>
      <c r="N528" s="205"/>
      <c r="O528" s="311"/>
      <c r="P528" s="200"/>
      <c r="Q528" s="200"/>
      <c r="R528" s="58"/>
      <c r="S528" s="58"/>
      <c r="T528" s="58"/>
      <c r="U528" s="58"/>
      <c r="V528" s="58"/>
      <c r="W528" s="58"/>
      <c r="X528" s="58"/>
      <c r="Y528" s="58"/>
      <c r="Z528" s="58"/>
      <c r="AA528" s="58"/>
      <c r="AB528" s="58"/>
      <c r="AC528" s="58"/>
    </row>
    <row r="529">
      <c r="A529" s="320"/>
      <c r="B529" s="301"/>
      <c r="C529" s="205"/>
      <c r="D529" s="302"/>
      <c r="E529" s="303"/>
      <c r="F529" s="304"/>
      <c r="G529" s="312"/>
      <c r="H529" s="306"/>
      <c r="I529" s="302"/>
      <c r="J529" s="307"/>
      <c r="K529" s="313"/>
      <c r="L529" s="319"/>
      <c r="M529" s="316"/>
      <c r="N529" s="205"/>
      <c r="O529" s="311"/>
      <c r="P529" s="200"/>
      <c r="Q529" s="200"/>
      <c r="R529" s="58"/>
      <c r="S529" s="58"/>
      <c r="T529" s="58"/>
      <c r="U529" s="58"/>
      <c r="V529" s="58"/>
      <c r="W529" s="58"/>
      <c r="X529" s="58"/>
      <c r="Y529" s="58"/>
      <c r="Z529" s="58"/>
      <c r="AA529" s="58"/>
      <c r="AB529" s="58"/>
      <c r="AC529" s="58"/>
    </row>
    <row r="530">
      <c r="A530" s="320"/>
      <c r="B530" s="301"/>
      <c r="C530" s="205"/>
      <c r="D530" s="302"/>
      <c r="E530" s="303"/>
      <c r="F530" s="304"/>
      <c r="G530" s="312"/>
      <c r="H530" s="306"/>
      <c r="I530" s="302"/>
      <c r="J530" s="307"/>
      <c r="K530" s="313"/>
      <c r="L530" s="319"/>
      <c r="M530" s="316"/>
      <c r="N530" s="205"/>
      <c r="O530" s="311"/>
      <c r="P530" s="200"/>
      <c r="Q530" s="200"/>
      <c r="R530" s="58"/>
      <c r="S530" s="58"/>
      <c r="T530" s="58"/>
      <c r="U530" s="58"/>
      <c r="V530" s="58"/>
      <c r="W530" s="58"/>
      <c r="X530" s="58"/>
      <c r="Y530" s="58"/>
      <c r="Z530" s="58"/>
      <c r="AA530" s="58"/>
      <c r="AB530" s="58"/>
      <c r="AC530" s="58"/>
    </row>
    <row r="531">
      <c r="A531" s="320"/>
      <c r="B531" s="301"/>
      <c r="C531" s="205"/>
      <c r="D531" s="302"/>
      <c r="E531" s="303"/>
      <c r="F531" s="304"/>
      <c r="G531" s="312"/>
      <c r="H531" s="306"/>
      <c r="I531" s="302"/>
      <c r="J531" s="307"/>
      <c r="K531" s="313"/>
      <c r="L531" s="319"/>
      <c r="M531" s="316"/>
      <c r="N531" s="205"/>
      <c r="O531" s="311"/>
      <c r="P531" s="200"/>
      <c r="Q531" s="200"/>
      <c r="R531" s="58"/>
      <c r="S531" s="58"/>
      <c r="T531" s="58"/>
      <c r="U531" s="58"/>
      <c r="V531" s="58"/>
      <c r="W531" s="58"/>
      <c r="X531" s="58"/>
      <c r="Y531" s="58"/>
      <c r="Z531" s="58"/>
      <c r="AA531" s="58"/>
      <c r="AB531" s="58"/>
      <c r="AC531" s="58"/>
    </row>
    <row r="532">
      <c r="A532" s="320"/>
      <c r="B532" s="301"/>
      <c r="C532" s="205"/>
      <c r="D532" s="302"/>
      <c r="E532" s="303"/>
      <c r="F532" s="304"/>
      <c r="G532" s="312"/>
      <c r="H532" s="306"/>
      <c r="I532" s="302"/>
      <c r="J532" s="307"/>
      <c r="K532" s="313"/>
      <c r="L532" s="319"/>
      <c r="M532" s="316"/>
      <c r="N532" s="205"/>
      <c r="O532" s="311"/>
      <c r="P532" s="200"/>
      <c r="Q532" s="200"/>
      <c r="R532" s="58"/>
      <c r="S532" s="58"/>
      <c r="T532" s="58"/>
      <c r="U532" s="58"/>
      <c r="V532" s="58"/>
      <c r="W532" s="58"/>
      <c r="X532" s="58"/>
      <c r="Y532" s="58"/>
      <c r="Z532" s="58"/>
      <c r="AA532" s="58"/>
      <c r="AB532" s="58"/>
      <c r="AC532" s="58"/>
    </row>
    <row r="533">
      <c r="A533" s="320"/>
      <c r="B533" s="301"/>
      <c r="C533" s="205"/>
      <c r="D533" s="302"/>
      <c r="E533" s="303"/>
      <c r="F533" s="304"/>
      <c r="G533" s="312"/>
      <c r="H533" s="306"/>
      <c r="I533" s="302"/>
      <c r="J533" s="307"/>
      <c r="K533" s="313"/>
      <c r="L533" s="319"/>
      <c r="M533" s="316"/>
      <c r="N533" s="205"/>
      <c r="O533" s="311"/>
      <c r="P533" s="200"/>
      <c r="Q533" s="200"/>
      <c r="R533" s="58"/>
      <c r="S533" s="58"/>
      <c r="T533" s="58"/>
      <c r="U533" s="58"/>
      <c r="V533" s="58"/>
      <c r="W533" s="58"/>
      <c r="X533" s="58"/>
      <c r="Y533" s="58"/>
      <c r="Z533" s="58"/>
      <c r="AA533" s="58"/>
      <c r="AB533" s="58"/>
      <c r="AC533" s="58"/>
    </row>
    <row r="534">
      <c r="A534" s="320"/>
      <c r="B534" s="301"/>
      <c r="C534" s="205"/>
      <c r="D534" s="302"/>
      <c r="E534" s="303"/>
      <c r="F534" s="304"/>
      <c r="G534" s="312"/>
      <c r="H534" s="306"/>
      <c r="I534" s="302"/>
      <c r="J534" s="307"/>
      <c r="K534" s="313"/>
      <c r="L534" s="319"/>
      <c r="M534" s="316"/>
      <c r="N534" s="205"/>
      <c r="O534" s="311"/>
      <c r="P534" s="200"/>
      <c r="Q534" s="200"/>
      <c r="R534" s="58"/>
      <c r="S534" s="58"/>
      <c r="T534" s="58"/>
      <c r="U534" s="58"/>
      <c r="V534" s="58"/>
      <c r="W534" s="58"/>
      <c r="X534" s="58"/>
      <c r="Y534" s="58"/>
      <c r="Z534" s="58"/>
      <c r="AA534" s="58"/>
      <c r="AB534" s="58"/>
      <c r="AC534" s="58"/>
    </row>
    <row r="535">
      <c r="A535" s="320"/>
      <c r="B535" s="301"/>
      <c r="C535" s="205"/>
      <c r="D535" s="302"/>
      <c r="E535" s="303"/>
      <c r="F535" s="304"/>
      <c r="G535" s="312"/>
      <c r="H535" s="306"/>
      <c r="I535" s="302"/>
      <c r="J535" s="307"/>
      <c r="K535" s="313"/>
      <c r="L535" s="319"/>
      <c r="M535" s="316"/>
      <c r="N535" s="205"/>
      <c r="O535" s="311"/>
      <c r="P535" s="200"/>
      <c r="Q535" s="200"/>
      <c r="R535" s="58"/>
      <c r="S535" s="58"/>
      <c r="T535" s="58"/>
      <c r="U535" s="58"/>
      <c r="V535" s="58"/>
      <c r="W535" s="58"/>
      <c r="X535" s="58"/>
      <c r="Y535" s="58"/>
      <c r="Z535" s="58"/>
      <c r="AA535" s="58"/>
      <c r="AB535" s="58"/>
      <c r="AC535" s="58"/>
    </row>
    <row r="536">
      <c r="A536" s="320"/>
      <c r="B536" s="301"/>
      <c r="C536" s="205"/>
      <c r="D536" s="302"/>
      <c r="E536" s="303"/>
      <c r="F536" s="304"/>
      <c r="G536" s="312"/>
      <c r="H536" s="306"/>
      <c r="I536" s="302"/>
      <c r="J536" s="307"/>
      <c r="K536" s="313"/>
      <c r="L536" s="319"/>
      <c r="M536" s="316"/>
      <c r="N536" s="205"/>
      <c r="O536" s="311"/>
      <c r="P536" s="200"/>
      <c r="Q536" s="200"/>
      <c r="R536" s="58"/>
      <c r="S536" s="58"/>
      <c r="T536" s="58"/>
      <c r="U536" s="58"/>
      <c r="V536" s="58"/>
      <c r="W536" s="58"/>
      <c r="X536" s="58"/>
      <c r="Y536" s="58"/>
      <c r="Z536" s="58"/>
      <c r="AA536" s="58"/>
      <c r="AB536" s="58"/>
      <c r="AC536" s="58"/>
    </row>
    <row r="537">
      <c r="A537" s="320"/>
      <c r="B537" s="301"/>
      <c r="C537" s="205"/>
      <c r="D537" s="302"/>
      <c r="E537" s="303"/>
      <c r="F537" s="304"/>
      <c r="G537" s="312"/>
      <c r="H537" s="306"/>
      <c r="I537" s="302"/>
      <c r="J537" s="307"/>
      <c r="K537" s="313"/>
      <c r="L537" s="319"/>
      <c r="M537" s="316"/>
      <c r="N537" s="205"/>
      <c r="O537" s="311"/>
      <c r="P537" s="200"/>
      <c r="Q537" s="200"/>
      <c r="R537" s="58"/>
      <c r="S537" s="58"/>
      <c r="T537" s="58"/>
      <c r="U537" s="58"/>
      <c r="V537" s="58"/>
      <c r="W537" s="58"/>
      <c r="X537" s="58"/>
      <c r="Y537" s="58"/>
      <c r="Z537" s="58"/>
      <c r="AA537" s="58"/>
      <c r="AB537" s="58"/>
      <c r="AC537" s="58"/>
    </row>
    <row r="538">
      <c r="A538" s="320"/>
      <c r="B538" s="301"/>
      <c r="C538" s="205"/>
      <c r="D538" s="302"/>
      <c r="E538" s="303"/>
      <c r="F538" s="304"/>
      <c r="G538" s="312"/>
      <c r="H538" s="306"/>
      <c r="I538" s="302"/>
      <c r="J538" s="307"/>
      <c r="K538" s="313"/>
      <c r="L538" s="319"/>
      <c r="M538" s="316"/>
      <c r="N538" s="205"/>
      <c r="O538" s="311"/>
      <c r="P538" s="200"/>
      <c r="Q538" s="200"/>
      <c r="R538" s="58"/>
      <c r="S538" s="58"/>
      <c r="T538" s="58"/>
      <c r="U538" s="58"/>
      <c r="V538" s="58"/>
      <c r="W538" s="58"/>
      <c r="X538" s="58"/>
      <c r="Y538" s="58"/>
      <c r="Z538" s="58"/>
      <c r="AA538" s="58"/>
      <c r="AB538" s="58"/>
      <c r="AC538" s="58"/>
    </row>
    <row r="539">
      <c r="A539" s="320"/>
      <c r="B539" s="301"/>
      <c r="C539" s="205"/>
      <c r="D539" s="302"/>
      <c r="E539" s="303"/>
      <c r="F539" s="304"/>
      <c r="G539" s="312"/>
      <c r="H539" s="306"/>
      <c r="I539" s="302"/>
      <c r="J539" s="307"/>
      <c r="K539" s="313"/>
      <c r="L539" s="319"/>
      <c r="M539" s="316"/>
      <c r="N539" s="205"/>
      <c r="O539" s="311"/>
      <c r="P539" s="200"/>
      <c r="Q539" s="200"/>
      <c r="R539" s="58"/>
      <c r="S539" s="58"/>
      <c r="T539" s="58"/>
      <c r="U539" s="58"/>
      <c r="V539" s="58"/>
      <c r="W539" s="58"/>
      <c r="X539" s="58"/>
      <c r="Y539" s="58"/>
      <c r="Z539" s="58"/>
      <c r="AA539" s="58"/>
      <c r="AB539" s="58"/>
      <c r="AC539" s="58"/>
    </row>
    <row r="540">
      <c r="A540" s="320"/>
      <c r="B540" s="301"/>
      <c r="C540" s="205"/>
      <c r="D540" s="302"/>
      <c r="E540" s="303"/>
      <c r="F540" s="304"/>
      <c r="G540" s="312"/>
      <c r="H540" s="306"/>
      <c r="I540" s="302"/>
      <c r="J540" s="307"/>
      <c r="K540" s="313"/>
      <c r="L540" s="319"/>
      <c r="M540" s="316"/>
      <c r="N540" s="205"/>
      <c r="O540" s="311"/>
      <c r="P540" s="200"/>
      <c r="Q540" s="200"/>
      <c r="R540" s="58"/>
      <c r="S540" s="58"/>
      <c r="T540" s="58"/>
      <c r="U540" s="58"/>
      <c r="V540" s="58"/>
      <c r="W540" s="58"/>
      <c r="X540" s="58"/>
      <c r="Y540" s="58"/>
      <c r="Z540" s="58"/>
      <c r="AA540" s="58"/>
      <c r="AB540" s="58"/>
      <c r="AC540" s="58"/>
    </row>
    <row r="541">
      <c r="A541" s="320"/>
      <c r="B541" s="301"/>
      <c r="C541" s="205"/>
      <c r="D541" s="302"/>
      <c r="E541" s="303"/>
      <c r="F541" s="304"/>
      <c r="G541" s="312"/>
      <c r="H541" s="306"/>
      <c r="I541" s="302"/>
      <c r="J541" s="307"/>
      <c r="K541" s="313"/>
      <c r="L541" s="319"/>
      <c r="M541" s="316"/>
      <c r="N541" s="205"/>
      <c r="O541" s="311"/>
      <c r="P541" s="200"/>
      <c r="Q541" s="200"/>
      <c r="R541" s="58"/>
      <c r="S541" s="58"/>
      <c r="T541" s="58"/>
      <c r="U541" s="58"/>
      <c r="V541" s="58"/>
      <c r="W541" s="58"/>
      <c r="X541" s="58"/>
      <c r="Y541" s="58"/>
      <c r="Z541" s="58"/>
      <c r="AA541" s="58"/>
      <c r="AB541" s="58"/>
      <c r="AC541" s="58"/>
    </row>
    <row r="542">
      <c r="A542" s="320"/>
      <c r="B542" s="301"/>
      <c r="C542" s="205"/>
      <c r="D542" s="302"/>
      <c r="E542" s="303"/>
      <c r="F542" s="304"/>
      <c r="G542" s="312"/>
      <c r="H542" s="306"/>
      <c r="I542" s="302"/>
      <c r="J542" s="307"/>
      <c r="K542" s="313"/>
      <c r="L542" s="319"/>
      <c r="M542" s="316"/>
      <c r="N542" s="205"/>
      <c r="O542" s="311"/>
      <c r="P542" s="200"/>
      <c r="Q542" s="200"/>
      <c r="R542" s="58"/>
      <c r="S542" s="58"/>
      <c r="T542" s="58"/>
      <c r="U542" s="58"/>
      <c r="V542" s="58"/>
      <c r="W542" s="58"/>
      <c r="X542" s="58"/>
      <c r="Y542" s="58"/>
      <c r="Z542" s="58"/>
      <c r="AA542" s="58"/>
      <c r="AB542" s="58"/>
      <c r="AC542" s="58"/>
    </row>
    <row r="543">
      <c r="A543" s="320"/>
      <c r="B543" s="301"/>
      <c r="C543" s="205"/>
      <c r="D543" s="302"/>
      <c r="E543" s="303"/>
      <c r="F543" s="304"/>
      <c r="G543" s="312"/>
      <c r="H543" s="306"/>
      <c r="I543" s="302"/>
      <c r="J543" s="307"/>
      <c r="K543" s="313"/>
      <c r="L543" s="319"/>
      <c r="M543" s="316"/>
      <c r="N543" s="205"/>
      <c r="O543" s="311"/>
      <c r="P543" s="200"/>
      <c r="Q543" s="200"/>
      <c r="R543" s="58"/>
      <c r="S543" s="58"/>
      <c r="T543" s="58"/>
      <c r="U543" s="58"/>
      <c r="V543" s="58"/>
      <c r="W543" s="58"/>
      <c r="X543" s="58"/>
      <c r="Y543" s="58"/>
      <c r="Z543" s="58"/>
      <c r="AA543" s="58"/>
      <c r="AB543" s="58"/>
      <c r="AC543" s="58"/>
    </row>
    <row r="544">
      <c r="A544" s="320"/>
      <c r="B544" s="301"/>
      <c r="C544" s="205"/>
      <c r="D544" s="302"/>
      <c r="E544" s="303"/>
      <c r="F544" s="304"/>
      <c r="G544" s="312"/>
      <c r="H544" s="306"/>
      <c r="I544" s="302"/>
      <c r="J544" s="307"/>
      <c r="K544" s="313"/>
      <c r="L544" s="319"/>
      <c r="M544" s="316"/>
      <c r="N544" s="205"/>
      <c r="O544" s="311"/>
      <c r="P544" s="200"/>
      <c r="Q544" s="200"/>
      <c r="R544" s="58"/>
      <c r="S544" s="58"/>
      <c r="T544" s="58"/>
      <c r="U544" s="58"/>
      <c r="V544" s="58"/>
      <c r="W544" s="58"/>
      <c r="X544" s="58"/>
      <c r="Y544" s="58"/>
      <c r="Z544" s="58"/>
      <c r="AA544" s="58"/>
      <c r="AB544" s="58"/>
      <c r="AC544" s="58"/>
    </row>
    <row r="545">
      <c r="A545" s="320"/>
      <c r="B545" s="301"/>
      <c r="C545" s="205"/>
      <c r="D545" s="302"/>
      <c r="E545" s="303"/>
      <c r="F545" s="304"/>
      <c r="G545" s="312"/>
      <c r="H545" s="306"/>
      <c r="I545" s="302"/>
      <c r="J545" s="307"/>
      <c r="K545" s="313"/>
      <c r="L545" s="319"/>
      <c r="M545" s="316"/>
      <c r="N545" s="205"/>
      <c r="O545" s="311"/>
      <c r="P545" s="200"/>
      <c r="Q545" s="200"/>
      <c r="R545" s="58"/>
      <c r="S545" s="58"/>
      <c r="T545" s="58"/>
      <c r="U545" s="58"/>
      <c r="V545" s="58"/>
      <c r="W545" s="58"/>
      <c r="X545" s="58"/>
      <c r="Y545" s="58"/>
      <c r="Z545" s="58"/>
      <c r="AA545" s="58"/>
      <c r="AB545" s="58"/>
      <c r="AC545" s="58"/>
    </row>
    <row r="546">
      <c r="A546" s="320"/>
      <c r="B546" s="301"/>
      <c r="C546" s="205"/>
      <c r="D546" s="302"/>
      <c r="E546" s="303"/>
      <c r="F546" s="304"/>
      <c r="G546" s="312"/>
      <c r="H546" s="306"/>
      <c r="I546" s="302"/>
      <c r="J546" s="307"/>
      <c r="K546" s="313"/>
      <c r="L546" s="319"/>
      <c r="M546" s="316"/>
      <c r="N546" s="205"/>
      <c r="O546" s="311"/>
      <c r="P546" s="200"/>
      <c r="Q546" s="200"/>
      <c r="R546" s="58"/>
      <c r="S546" s="58"/>
      <c r="T546" s="58"/>
      <c r="U546" s="58"/>
      <c r="V546" s="58"/>
      <c r="W546" s="58"/>
      <c r="X546" s="58"/>
      <c r="Y546" s="58"/>
      <c r="Z546" s="58"/>
      <c r="AA546" s="58"/>
      <c r="AB546" s="58"/>
      <c r="AC546" s="58"/>
    </row>
    <row r="547">
      <c r="A547" s="320"/>
      <c r="B547" s="301"/>
      <c r="C547" s="205"/>
      <c r="D547" s="302"/>
      <c r="E547" s="303"/>
      <c r="F547" s="304"/>
      <c r="G547" s="312"/>
      <c r="H547" s="306"/>
      <c r="I547" s="302"/>
      <c r="J547" s="307"/>
      <c r="K547" s="313"/>
      <c r="L547" s="319"/>
      <c r="M547" s="316"/>
      <c r="N547" s="205"/>
      <c r="O547" s="311"/>
      <c r="P547" s="200"/>
      <c r="Q547" s="200"/>
      <c r="R547" s="58"/>
      <c r="S547" s="58"/>
      <c r="T547" s="58"/>
      <c r="U547" s="58"/>
      <c r="V547" s="58"/>
      <c r="W547" s="58"/>
      <c r="X547" s="58"/>
      <c r="Y547" s="58"/>
      <c r="Z547" s="58"/>
      <c r="AA547" s="58"/>
      <c r="AB547" s="58"/>
      <c r="AC547" s="58"/>
    </row>
    <row r="548">
      <c r="A548" s="320"/>
      <c r="B548" s="301"/>
      <c r="C548" s="205"/>
      <c r="D548" s="302"/>
      <c r="E548" s="303"/>
      <c r="F548" s="304"/>
      <c r="G548" s="312"/>
      <c r="H548" s="306"/>
      <c r="I548" s="302"/>
      <c r="J548" s="307"/>
      <c r="K548" s="313"/>
      <c r="L548" s="319"/>
      <c r="M548" s="316"/>
      <c r="N548" s="205"/>
      <c r="O548" s="311"/>
      <c r="P548" s="200"/>
      <c r="Q548" s="200"/>
      <c r="R548" s="58"/>
      <c r="S548" s="58"/>
      <c r="T548" s="58"/>
      <c r="U548" s="58"/>
      <c r="V548" s="58"/>
      <c r="W548" s="58"/>
      <c r="X548" s="58"/>
      <c r="Y548" s="58"/>
      <c r="Z548" s="58"/>
      <c r="AA548" s="58"/>
      <c r="AB548" s="58"/>
      <c r="AC548" s="58"/>
    </row>
    <row r="549">
      <c r="A549" s="320"/>
      <c r="B549" s="301"/>
      <c r="C549" s="205"/>
      <c r="D549" s="302"/>
      <c r="E549" s="303"/>
      <c r="F549" s="304"/>
      <c r="G549" s="312"/>
      <c r="H549" s="306"/>
      <c r="I549" s="302"/>
      <c r="J549" s="307"/>
      <c r="K549" s="313"/>
      <c r="L549" s="319"/>
      <c r="M549" s="316"/>
      <c r="N549" s="205"/>
      <c r="O549" s="311"/>
      <c r="P549" s="200"/>
      <c r="Q549" s="200"/>
      <c r="R549" s="58"/>
      <c r="S549" s="58"/>
      <c r="T549" s="58"/>
      <c r="U549" s="58"/>
      <c r="V549" s="58"/>
      <c r="W549" s="58"/>
      <c r="X549" s="58"/>
      <c r="Y549" s="58"/>
      <c r="Z549" s="58"/>
      <c r="AA549" s="58"/>
      <c r="AB549" s="58"/>
      <c r="AC549" s="58"/>
    </row>
    <row r="550">
      <c r="A550" s="320"/>
      <c r="B550" s="301"/>
      <c r="C550" s="205"/>
      <c r="D550" s="302"/>
      <c r="E550" s="303"/>
      <c r="F550" s="304"/>
      <c r="G550" s="312"/>
      <c r="H550" s="306"/>
      <c r="I550" s="302"/>
      <c r="J550" s="307"/>
      <c r="K550" s="313"/>
      <c r="L550" s="319"/>
      <c r="M550" s="316"/>
      <c r="N550" s="205"/>
      <c r="O550" s="311"/>
      <c r="P550" s="200"/>
      <c r="Q550" s="200"/>
      <c r="R550" s="58"/>
      <c r="S550" s="58"/>
      <c r="T550" s="58"/>
      <c r="U550" s="58"/>
      <c r="V550" s="58"/>
      <c r="W550" s="58"/>
      <c r="X550" s="58"/>
      <c r="Y550" s="58"/>
      <c r="Z550" s="58"/>
      <c r="AA550" s="58"/>
      <c r="AB550" s="58"/>
      <c r="AC550" s="58"/>
    </row>
    <row r="551">
      <c r="A551" s="320"/>
      <c r="B551" s="301"/>
      <c r="C551" s="205"/>
      <c r="D551" s="302"/>
      <c r="E551" s="303"/>
      <c r="F551" s="304"/>
      <c r="G551" s="312"/>
      <c r="H551" s="306"/>
      <c r="I551" s="302"/>
      <c r="J551" s="307"/>
      <c r="K551" s="313"/>
      <c r="L551" s="319"/>
      <c r="M551" s="316"/>
      <c r="N551" s="205"/>
      <c r="O551" s="311"/>
      <c r="P551" s="200"/>
      <c r="Q551" s="200"/>
      <c r="R551" s="58"/>
      <c r="S551" s="58"/>
      <c r="T551" s="58"/>
      <c r="U551" s="58"/>
      <c r="V551" s="58"/>
      <c r="W551" s="58"/>
      <c r="X551" s="58"/>
      <c r="Y551" s="58"/>
      <c r="Z551" s="58"/>
      <c r="AA551" s="58"/>
      <c r="AB551" s="58"/>
      <c r="AC551" s="58"/>
    </row>
    <row r="552">
      <c r="A552" s="320"/>
      <c r="B552" s="301"/>
      <c r="C552" s="205"/>
      <c r="D552" s="302"/>
      <c r="E552" s="303"/>
      <c r="F552" s="304"/>
      <c r="G552" s="312"/>
      <c r="H552" s="306"/>
      <c r="I552" s="302"/>
      <c r="J552" s="307"/>
      <c r="K552" s="313"/>
      <c r="L552" s="319"/>
      <c r="M552" s="316"/>
      <c r="N552" s="205"/>
      <c r="O552" s="311"/>
      <c r="P552" s="200"/>
      <c r="Q552" s="200"/>
      <c r="R552" s="58"/>
      <c r="S552" s="58"/>
      <c r="T552" s="58"/>
      <c r="U552" s="58"/>
      <c r="V552" s="58"/>
      <c r="W552" s="58"/>
      <c r="X552" s="58"/>
      <c r="Y552" s="58"/>
      <c r="Z552" s="58"/>
      <c r="AA552" s="58"/>
      <c r="AB552" s="58"/>
      <c r="AC552" s="58"/>
    </row>
    <row r="553">
      <c r="A553" s="320"/>
      <c r="B553" s="301"/>
      <c r="C553" s="205"/>
      <c r="D553" s="302"/>
      <c r="E553" s="303"/>
      <c r="F553" s="304"/>
      <c r="G553" s="312"/>
      <c r="H553" s="306"/>
      <c r="I553" s="302"/>
      <c r="J553" s="307"/>
      <c r="K553" s="313"/>
      <c r="L553" s="319"/>
      <c r="M553" s="316"/>
      <c r="N553" s="205"/>
      <c r="O553" s="311"/>
      <c r="P553" s="200"/>
      <c r="Q553" s="200"/>
      <c r="R553" s="58"/>
      <c r="S553" s="58"/>
      <c r="T553" s="58"/>
      <c r="U553" s="58"/>
      <c r="V553" s="58"/>
      <c r="W553" s="58"/>
      <c r="X553" s="58"/>
      <c r="Y553" s="58"/>
      <c r="Z553" s="58"/>
      <c r="AA553" s="58"/>
      <c r="AB553" s="58"/>
      <c r="AC553" s="58"/>
    </row>
    <row r="554">
      <c r="A554" s="320"/>
      <c r="B554" s="301"/>
      <c r="C554" s="205"/>
      <c r="D554" s="302"/>
      <c r="E554" s="303"/>
      <c r="F554" s="304"/>
      <c r="G554" s="312"/>
      <c r="H554" s="306"/>
      <c r="I554" s="302"/>
      <c r="J554" s="307"/>
      <c r="K554" s="313"/>
      <c r="L554" s="319"/>
      <c r="M554" s="316"/>
      <c r="N554" s="205"/>
      <c r="O554" s="311"/>
      <c r="P554" s="200"/>
      <c r="Q554" s="200"/>
      <c r="R554" s="58"/>
      <c r="S554" s="58"/>
      <c r="T554" s="58"/>
      <c r="U554" s="58"/>
      <c r="V554" s="58"/>
      <c r="W554" s="58"/>
      <c r="X554" s="58"/>
      <c r="Y554" s="58"/>
      <c r="Z554" s="58"/>
      <c r="AA554" s="58"/>
      <c r="AB554" s="58"/>
      <c r="AC554" s="58"/>
    </row>
    <row r="555">
      <c r="A555" s="320"/>
      <c r="B555" s="301"/>
      <c r="C555" s="205"/>
      <c r="D555" s="302"/>
      <c r="E555" s="303"/>
      <c r="F555" s="304"/>
      <c r="G555" s="312"/>
      <c r="H555" s="306"/>
      <c r="I555" s="302"/>
      <c r="J555" s="307"/>
      <c r="K555" s="313"/>
      <c r="L555" s="319"/>
      <c r="M555" s="316"/>
      <c r="N555" s="205"/>
      <c r="O555" s="311"/>
      <c r="P555" s="200"/>
      <c r="Q555" s="200"/>
      <c r="R555" s="58"/>
      <c r="S555" s="58"/>
      <c r="T555" s="58"/>
      <c r="U555" s="58"/>
      <c r="V555" s="58"/>
      <c r="W555" s="58"/>
      <c r="X555" s="58"/>
      <c r="Y555" s="58"/>
      <c r="Z555" s="58"/>
      <c r="AA555" s="58"/>
      <c r="AB555" s="58"/>
      <c r="AC555" s="58"/>
    </row>
    <row r="556">
      <c r="A556" s="320"/>
      <c r="B556" s="301"/>
      <c r="C556" s="205"/>
      <c r="D556" s="302"/>
      <c r="E556" s="303"/>
      <c r="F556" s="304"/>
      <c r="G556" s="312"/>
      <c r="H556" s="306"/>
      <c r="I556" s="302"/>
      <c r="J556" s="307"/>
      <c r="K556" s="313"/>
      <c r="L556" s="319"/>
      <c r="M556" s="316"/>
      <c r="N556" s="205"/>
      <c r="O556" s="311"/>
      <c r="P556" s="200"/>
      <c r="Q556" s="200"/>
      <c r="R556" s="58"/>
      <c r="S556" s="58"/>
      <c r="T556" s="58"/>
      <c r="U556" s="58"/>
      <c r="V556" s="58"/>
      <c r="W556" s="58"/>
      <c r="X556" s="58"/>
      <c r="Y556" s="58"/>
      <c r="Z556" s="58"/>
      <c r="AA556" s="58"/>
      <c r="AB556" s="58"/>
      <c r="AC556" s="58"/>
    </row>
    <row r="557">
      <c r="A557" s="320"/>
      <c r="B557" s="301"/>
      <c r="C557" s="205"/>
      <c r="D557" s="302"/>
      <c r="E557" s="303"/>
      <c r="F557" s="304"/>
      <c r="G557" s="312"/>
      <c r="H557" s="306"/>
      <c r="I557" s="302"/>
      <c r="J557" s="307"/>
      <c r="K557" s="313"/>
      <c r="L557" s="319"/>
      <c r="M557" s="316"/>
      <c r="N557" s="205"/>
      <c r="O557" s="311"/>
      <c r="P557" s="200"/>
      <c r="Q557" s="200"/>
      <c r="R557" s="58"/>
      <c r="S557" s="58"/>
      <c r="T557" s="58"/>
      <c r="U557" s="58"/>
      <c r="V557" s="58"/>
      <c r="W557" s="58"/>
      <c r="X557" s="58"/>
      <c r="Y557" s="58"/>
      <c r="Z557" s="58"/>
      <c r="AA557" s="58"/>
      <c r="AB557" s="58"/>
      <c r="AC557" s="58"/>
    </row>
    <row r="558">
      <c r="A558" s="320"/>
      <c r="B558" s="301"/>
      <c r="C558" s="205"/>
      <c r="D558" s="302"/>
      <c r="E558" s="303"/>
      <c r="F558" s="304"/>
      <c r="G558" s="312"/>
      <c r="H558" s="306"/>
      <c r="I558" s="302"/>
      <c r="J558" s="307"/>
      <c r="K558" s="313"/>
      <c r="L558" s="319"/>
      <c r="M558" s="316"/>
      <c r="N558" s="205"/>
      <c r="O558" s="311"/>
      <c r="P558" s="200"/>
      <c r="Q558" s="200"/>
      <c r="R558" s="58"/>
      <c r="S558" s="58"/>
      <c r="T558" s="58"/>
      <c r="U558" s="58"/>
      <c r="V558" s="58"/>
      <c r="W558" s="58"/>
      <c r="X558" s="58"/>
      <c r="Y558" s="58"/>
      <c r="Z558" s="58"/>
      <c r="AA558" s="58"/>
      <c r="AB558" s="58"/>
      <c r="AC558" s="58"/>
    </row>
    <row r="559">
      <c r="A559" s="320"/>
      <c r="B559" s="301"/>
      <c r="C559" s="205"/>
      <c r="D559" s="302"/>
      <c r="E559" s="303"/>
      <c r="F559" s="304"/>
      <c r="G559" s="312"/>
      <c r="H559" s="306"/>
      <c r="I559" s="302"/>
      <c r="J559" s="307"/>
      <c r="K559" s="313"/>
      <c r="L559" s="319"/>
      <c r="M559" s="316"/>
      <c r="N559" s="205"/>
      <c r="O559" s="311"/>
      <c r="P559" s="200"/>
      <c r="Q559" s="200"/>
      <c r="R559" s="58"/>
      <c r="S559" s="58"/>
      <c r="T559" s="58"/>
      <c r="U559" s="58"/>
      <c r="V559" s="58"/>
      <c r="W559" s="58"/>
      <c r="X559" s="58"/>
      <c r="Y559" s="58"/>
      <c r="Z559" s="58"/>
      <c r="AA559" s="58"/>
      <c r="AB559" s="58"/>
      <c r="AC559" s="58"/>
    </row>
    <row r="560">
      <c r="A560" s="320"/>
      <c r="B560" s="301"/>
      <c r="C560" s="205"/>
      <c r="D560" s="302"/>
      <c r="E560" s="303"/>
      <c r="F560" s="304"/>
      <c r="G560" s="312"/>
      <c r="H560" s="306"/>
      <c r="I560" s="302"/>
      <c r="J560" s="307"/>
      <c r="K560" s="313"/>
      <c r="L560" s="319"/>
      <c r="M560" s="316"/>
      <c r="N560" s="205"/>
      <c r="O560" s="311"/>
      <c r="P560" s="200"/>
      <c r="Q560" s="200"/>
      <c r="R560" s="58"/>
      <c r="S560" s="58"/>
      <c r="T560" s="58"/>
      <c r="U560" s="58"/>
      <c r="V560" s="58"/>
      <c r="W560" s="58"/>
      <c r="X560" s="58"/>
      <c r="Y560" s="58"/>
      <c r="Z560" s="58"/>
      <c r="AA560" s="58"/>
      <c r="AB560" s="58"/>
      <c r="AC560" s="58"/>
    </row>
    <row r="561">
      <c r="A561" s="320"/>
      <c r="B561" s="301"/>
      <c r="C561" s="205"/>
      <c r="D561" s="302"/>
      <c r="E561" s="303"/>
      <c r="F561" s="304"/>
      <c r="G561" s="312"/>
      <c r="H561" s="306"/>
      <c r="I561" s="302"/>
      <c r="J561" s="307"/>
      <c r="K561" s="313"/>
      <c r="L561" s="319"/>
      <c r="M561" s="316"/>
      <c r="N561" s="205"/>
      <c r="O561" s="311"/>
      <c r="P561" s="200"/>
      <c r="Q561" s="200"/>
      <c r="R561" s="58"/>
      <c r="S561" s="58"/>
      <c r="T561" s="58"/>
      <c r="U561" s="58"/>
      <c r="V561" s="58"/>
      <c r="W561" s="58"/>
      <c r="X561" s="58"/>
      <c r="Y561" s="58"/>
      <c r="Z561" s="58"/>
      <c r="AA561" s="58"/>
      <c r="AB561" s="58"/>
      <c r="AC561" s="58"/>
    </row>
    <row r="562">
      <c r="A562" s="320"/>
      <c r="B562" s="301"/>
      <c r="C562" s="205"/>
      <c r="D562" s="302"/>
      <c r="E562" s="303"/>
      <c r="F562" s="304"/>
      <c r="G562" s="312"/>
      <c r="H562" s="306"/>
      <c r="I562" s="302"/>
      <c r="J562" s="307"/>
      <c r="K562" s="313"/>
      <c r="L562" s="319"/>
      <c r="M562" s="316"/>
      <c r="N562" s="205"/>
      <c r="O562" s="311"/>
      <c r="P562" s="200"/>
      <c r="Q562" s="200"/>
      <c r="R562" s="58"/>
      <c r="S562" s="58"/>
      <c r="T562" s="58"/>
      <c r="U562" s="58"/>
      <c r="V562" s="58"/>
      <c r="W562" s="58"/>
      <c r="X562" s="58"/>
      <c r="Y562" s="58"/>
      <c r="Z562" s="58"/>
      <c r="AA562" s="58"/>
      <c r="AB562" s="58"/>
      <c r="AC562" s="58"/>
    </row>
    <row r="563">
      <c r="A563" s="320"/>
      <c r="B563" s="301"/>
      <c r="C563" s="205"/>
      <c r="D563" s="302"/>
      <c r="E563" s="303"/>
      <c r="F563" s="304"/>
      <c r="G563" s="312"/>
      <c r="H563" s="306"/>
      <c r="I563" s="302"/>
      <c r="J563" s="307"/>
      <c r="K563" s="313"/>
      <c r="L563" s="319"/>
      <c r="M563" s="316"/>
      <c r="N563" s="205"/>
      <c r="O563" s="311"/>
      <c r="P563" s="200"/>
      <c r="Q563" s="200"/>
      <c r="R563" s="58"/>
      <c r="S563" s="58"/>
      <c r="T563" s="58"/>
      <c r="U563" s="58"/>
      <c r="V563" s="58"/>
      <c r="W563" s="58"/>
      <c r="X563" s="58"/>
      <c r="Y563" s="58"/>
      <c r="Z563" s="58"/>
      <c r="AA563" s="58"/>
      <c r="AB563" s="58"/>
      <c r="AC563" s="58"/>
    </row>
    <row r="564">
      <c r="A564" s="320"/>
      <c r="B564" s="301"/>
      <c r="C564" s="205"/>
      <c r="D564" s="302"/>
      <c r="E564" s="303"/>
      <c r="F564" s="304"/>
      <c r="G564" s="312"/>
      <c r="H564" s="306"/>
      <c r="I564" s="302"/>
      <c r="J564" s="307"/>
      <c r="K564" s="313"/>
      <c r="L564" s="319"/>
      <c r="M564" s="316"/>
      <c r="N564" s="205"/>
      <c r="O564" s="311"/>
      <c r="P564" s="200"/>
      <c r="Q564" s="200"/>
      <c r="R564" s="58"/>
      <c r="S564" s="58"/>
      <c r="T564" s="58"/>
      <c r="U564" s="58"/>
      <c r="V564" s="58"/>
      <c r="W564" s="58"/>
      <c r="X564" s="58"/>
      <c r="Y564" s="58"/>
      <c r="Z564" s="58"/>
      <c r="AA564" s="58"/>
      <c r="AB564" s="58"/>
      <c r="AC564" s="58"/>
    </row>
    <row r="565">
      <c r="A565" s="320"/>
      <c r="B565" s="301"/>
      <c r="C565" s="205"/>
      <c r="D565" s="302"/>
      <c r="E565" s="303"/>
      <c r="F565" s="304"/>
      <c r="G565" s="312"/>
      <c r="H565" s="306"/>
      <c r="I565" s="302"/>
      <c r="J565" s="307"/>
      <c r="K565" s="313"/>
      <c r="L565" s="319"/>
      <c r="M565" s="316"/>
      <c r="N565" s="205"/>
      <c r="O565" s="311"/>
      <c r="P565" s="200"/>
      <c r="Q565" s="200"/>
      <c r="R565" s="58"/>
      <c r="S565" s="58"/>
      <c r="T565" s="58"/>
      <c r="U565" s="58"/>
      <c r="V565" s="58"/>
      <c r="W565" s="58"/>
      <c r="X565" s="58"/>
      <c r="Y565" s="58"/>
      <c r="Z565" s="58"/>
      <c r="AA565" s="58"/>
      <c r="AB565" s="58"/>
      <c r="AC565" s="58"/>
    </row>
    <row r="566">
      <c r="A566" s="320"/>
      <c r="B566" s="301"/>
      <c r="C566" s="205"/>
      <c r="D566" s="302"/>
      <c r="E566" s="303"/>
      <c r="F566" s="304"/>
      <c r="G566" s="312"/>
      <c r="H566" s="306"/>
      <c r="I566" s="302"/>
      <c r="J566" s="307"/>
      <c r="K566" s="313"/>
      <c r="L566" s="319"/>
      <c r="M566" s="316"/>
      <c r="N566" s="205"/>
      <c r="O566" s="311"/>
      <c r="P566" s="200"/>
      <c r="Q566" s="200"/>
      <c r="R566" s="58"/>
      <c r="S566" s="58"/>
      <c r="T566" s="58"/>
      <c r="U566" s="58"/>
      <c r="V566" s="58"/>
      <c r="W566" s="58"/>
      <c r="X566" s="58"/>
      <c r="Y566" s="58"/>
      <c r="Z566" s="58"/>
      <c r="AA566" s="58"/>
      <c r="AB566" s="58"/>
      <c r="AC566" s="58"/>
    </row>
    <row r="567">
      <c r="A567" s="320"/>
      <c r="B567" s="301"/>
      <c r="C567" s="205"/>
      <c r="D567" s="302"/>
      <c r="E567" s="303"/>
      <c r="F567" s="304"/>
      <c r="G567" s="312"/>
      <c r="H567" s="306"/>
      <c r="I567" s="302"/>
      <c r="J567" s="307"/>
      <c r="K567" s="313"/>
      <c r="L567" s="319"/>
      <c r="M567" s="316"/>
      <c r="N567" s="205"/>
      <c r="O567" s="311"/>
      <c r="P567" s="200"/>
      <c r="Q567" s="200"/>
      <c r="R567" s="58"/>
      <c r="S567" s="58"/>
      <c r="T567" s="58"/>
      <c r="U567" s="58"/>
      <c r="V567" s="58"/>
      <c r="W567" s="58"/>
      <c r="X567" s="58"/>
      <c r="Y567" s="58"/>
      <c r="Z567" s="58"/>
      <c r="AA567" s="58"/>
      <c r="AB567" s="58"/>
      <c r="AC567" s="58"/>
    </row>
    <row r="568">
      <c r="A568" s="320"/>
      <c r="B568" s="301"/>
      <c r="C568" s="205"/>
      <c r="D568" s="302"/>
      <c r="E568" s="303"/>
      <c r="F568" s="304"/>
      <c r="G568" s="312"/>
      <c r="H568" s="306"/>
      <c r="I568" s="302"/>
      <c r="J568" s="307"/>
      <c r="K568" s="313"/>
      <c r="L568" s="319"/>
      <c r="M568" s="316"/>
      <c r="N568" s="205"/>
      <c r="O568" s="311"/>
      <c r="P568" s="200"/>
      <c r="Q568" s="200"/>
      <c r="R568" s="58"/>
      <c r="S568" s="58"/>
      <c r="T568" s="58"/>
      <c r="U568" s="58"/>
      <c r="V568" s="58"/>
      <c r="W568" s="58"/>
      <c r="X568" s="58"/>
      <c r="Y568" s="58"/>
      <c r="Z568" s="58"/>
      <c r="AA568" s="58"/>
      <c r="AB568" s="58"/>
      <c r="AC568" s="58"/>
    </row>
    <row r="569">
      <c r="A569" s="320"/>
      <c r="B569" s="301"/>
      <c r="C569" s="205"/>
      <c r="D569" s="302"/>
      <c r="E569" s="303"/>
      <c r="F569" s="304"/>
      <c r="G569" s="312"/>
      <c r="H569" s="306"/>
      <c r="I569" s="302"/>
      <c r="J569" s="307"/>
      <c r="K569" s="313"/>
      <c r="L569" s="319"/>
      <c r="M569" s="316"/>
      <c r="N569" s="205"/>
      <c r="O569" s="311"/>
      <c r="P569" s="200"/>
      <c r="Q569" s="200"/>
      <c r="R569" s="58"/>
      <c r="S569" s="58"/>
      <c r="T569" s="58"/>
      <c r="U569" s="58"/>
      <c r="V569" s="58"/>
      <c r="W569" s="58"/>
      <c r="X569" s="58"/>
      <c r="Y569" s="58"/>
      <c r="Z569" s="58"/>
      <c r="AA569" s="58"/>
      <c r="AB569" s="58"/>
      <c r="AC569" s="58"/>
    </row>
    <row r="570">
      <c r="A570" s="320"/>
      <c r="B570" s="301"/>
      <c r="C570" s="205"/>
      <c r="D570" s="302"/>
      <c r="E570" s="303"/>
      <c r="F570" s="304"/>
      <c r="G570" s="312"/>
      <c r="H570" s="306"/>
      <c r="I570" s="302"/>
      <c r="J570" s="307"/>
      <c r="K570" s="313"/>
      <c r="L570" s="319"/>
      <c r="M570" s="316"/>
      <c r="N570" s="205"/>
      <c r="O570" s="311"/>
      <c r="P570" s="200"/>
      <c r="Q570" s="200"/>
      <c r="R570" s="58"/>
      <c r="S570" s="58"/>
      <c r="T570" s="58"/>
      <c r="U570" s="58"/>
      <c r="V570" s="58"/>
      <c r="W570" s="58"/>
      <c r="X570" s="58"/>
      <c r="Y570" s="58"/>
      <c r="Z570" s="58"/>
      <c r="AA570" s="58"/>
      <c r="AB570" s="58"/>
      <c r="AC570" s="58"/>
    </row>
    <row r="571">
      <c r="A571" s="320"/>
      <c r="B571" s="301"/>
      <c r="C571" s="205"/>
      <c r="D571" s="302"/>
      <c r="E571" s="303"/>
      <c r="F571" s="304"/>
      <c r="G571" s="312"/>
      <c r="H571" s="306"/>
      <c r="I571" s="302"/>
      <c r="J571" s="307"/>
      <c r="K571" s="313"/>
      <c r="L571" s="319"/>
      <c r="M571" s="316"/>
      <c r="N571" s="205"/>
      <c r="O571" s="311"/>
      <c r="P571" s="200"/>
      <c r="Q571" s="200"/>
      <c r="R571" s="58"/>
      <c r="S571" s="58"/>
      <c r="T571" s="58"/>
      <c r="U571" s="58"/>
      <c r="V571" s="58"/>
      <c r="W571" s="58"/>
      <c r="X571" s="58"/>
      <c r="Y571" s="58"/>
      <c r="Z571" s="58"/>
      <c r="AA571" s="58"/>
      <c r="AB571" s="58"/>
      <c r="AC571" s="58"/>
    </row>
    <row r="572">
      <c r="A572" s="320"/>
      <c r="B572" s="301"/>
      <c r="C572" s="205"/>
      <c r="D572" s="302"/>
      <c r="E572" s="303"/>
      <c r="F572" s="304"/>
      <c r="G572" s="312"/>
      <c r="H572" s="306"/>
      <c r="I572" s="302"/>
      <c r="J572" s="307"/>
      <c r="K572" s="313"/>
      <c r="L572" s="319"/>
      <c r="M572" s="316"/>
      <c r="N572" s="205"/>
      <c r="O572" s="311"/>
      <c r="P572" s="200"/>
      <c r="Q572" s="200"/>
      <c r="R572" s="58"/>
      <c r="S572" s="58"/>
      <c r="T572" s="58"/>
      <c r="U572" s="58"/>
      <c r="V572" s="58"/>
      <c r="W572" s="58"/>
      <c r="X572" s="58"/>
      <c r="Y572" s="58"/>
      <c r="Z572" s="58"/>
      <c r="AA572" s="58"/>
      <c r="AB572" s="58"/>
      <c r="AC572" s="58"/>
    </row>
    <row r="573">
      <c r="A573" s="320"/>
      <c r="B573" s="301"/>
      <c r="C573" s="205"/>
      <c r="D573" s="302"/>
      <c r="E573" s="303"/>
      <c r="F573" s="304"/>
      <c r="G573" s="312"/>
      <c r="H573" s="306"/>
      <c r="I573" s="302"/>
      <c r="J573" s="307"/>
      <c r="K573" s="313"/>
      <c r="L573" s="319"/>
      <c r="M573" s="316"/>
      <c r="N573" s="205"/>
      <c r="O573" s="311"/>
      <c r="P573" s="200"/>
      <c r="Q573" s="200"/>
      <c r="R573" s="58"/>
      <c r="S573" s="58"/>
      <c r="T573" s="58"/>
      <c r="U573" s="58"/>
      <c r="V573" s="58"/>
      <c r="W573" s="58"/>
      <c r="X573" s="58"/>
      <c r="Y573" s="58"/>
      <c r="Z573" s="58"/>
      <c r="AA573" s="58"/>
      <c r="AB573" s="58"/>
      <c r="AC573" s="58"/>
    </row>
    <row r="574">
      <c r="A574" s="320"/>
      <c r="B574" s="301"/>
      <c r="C574" s="205"/>
      <c r="D574" s="302"/>
      <c r="E574" s="303"/>
      <c r="F574" s="304"/>
      <c r="G574" s="312"/>
      <c r="H574" s="306"/>
      <c r="I574" s="302"/>
      <c r="J574" s="307"/>
      <c r="K574" s="313"/>
      <c r="L574" s="319"/>
      <c r="M574" s="316"/>
      <c r="N574" s="205"/>
      <c r="O574" s="311"/>
      <c r="P574" s="200"/>
      <c r="Q574" s="200"/>
      <c r="R574" s="58"/>
      <c r="S574" s="58"/>
      <c r="T574" s="58"/>
      <c r="U574" s="58"/>
      <c r="V574" s="58"/>
      <c r="W574" s="58"/>
      <c r="X574" s="58"/>
      <c r="Y574" s="58"/>
      <c r="Z574" s="58"/>
      <c r="AA574" s="58"/>
      <c r="AB574" s="58"/>
      <c r="AC574" s="58"/>
    </row>
    <row r="575">
      <c r="A575" s="320"/>
      <c r="B575" s="301"/>
      <c r="C575" s="205"/>
      <c r="D575" s="302"/>
      <c r="E575" s="303"/>
      <c r="F575" s="304"/>
      <c r="G575" s="312"/>
      <c r="H575" s="306"/>
      <c r="I575" s="302"/>
      <c r="J575" s="307"/>
      <c r="K575" s="313"/>
      <c r="L575" s="319"/>
      <c r="M575" s="316"/>
      <c r="N575" s="205"/>
      <c r="O575" s="311"/>
      <c r="P575" s="200"/>
      <c r="Q575" s="200"/>
      <c r="R575" s="58"/>
      <c r="S575" s="58"/>
      <c r="T575" s="58"/>
      <c r="U575" s="58"/>
      <c r="V575" s="58"/>
      <c r="W575" s="58"/>
      <c r="X575" s="58"/>
      <c r="Y575" s="58"/>
      <c r="Z575" s="58"/>
      <c r="AA575" s="58"/>
      <c r="AB575" s="58"/>
      <c r="AC575" s="58"/>
    </row>
    <row r="576">
      <c r="A576" s="320"/>
      <c r="B576" s="301"/>
      <c r="C576" s="205"/>
      <c r="D576" s="302"/>
      <c r="E576" s="303"/>
      <c r="F576" s="304"/>
      <c r="G576" s="312"/>
      <c r="H576" s="306"/>
      <c r="I576" s="302"/>
      <c r="J576" s="307"/>
      <c r="K576" s="313"/>
      <c r="L576" s="319"/>
      <c r="M576" s="316"/>
      <c r="N576" s="205"/>
      <c r="O576" s="311"/>
      <c r="P576" s="200"/>
      <c r="Q576" s="200"/>
      <c r="R576" s="58"/>
      <c r="S576" s="58"/>
      <c r="T576" s="58"/>
      <c r="U576" s="58"/>
      <c r="V576" s="58"/>
      <c r="W576" s="58"/>
      <c r="X576" s="58"/>
      <c r="Y576" s="58"/>
      <c r="Z576" s="58"/>
      <c r="AA576" s="58"/>
      <c r="AB576" s="58"/>
      <c r="AC576" s="58"/>
    </row>
    <row r="577">
      <c r="A577" s="320"/>
      <c r="B577" s="301"/>
      <c r="C577" s="205"/>
      <c r="D577" s="302"/>
      <c r="E577" s="303"/>
      <c r="F577" s="304"/>
      <c r="G577" s="312"/>
      <c r="H577" s="306"/>
      <c r="I577" s="302"/>
      <c r="J577" s="307"/>
      <c r="K577" s="313"/>
      <c r="L577" s="319"/>
      <c r="M577" s="316"/>
      <c r="N577" s="205"/>
      <c r="O577" s="311"/>
      <c r="P577" s="200"/>
      <c r="Q577" s="200"/>
      <c r="R577" s="58"/>
      <c r="S577" s="58"/>
      <c r="T577" s="58"/>
      <c r="U577" s="58"/>
      <c r="V577" s="58"/>
      <c r="W577" s="58"/>
      <c r="X577" s="58"/>
      <c r="Y577" s="58"/>
      <c r="Z577" s="58"/>
      <c r="AA577" s="58"/>
      <c r="AB577" s="58"/>
      <c r="AC577" s="58"/>
    </row>
    <row r="578">
      <c r="A578" s="320"/>
      <c r="B578" s="301"/>
      <c r="C578" s="205"/>
      <c r="D578" s="302"/>
      <c r="E578" s="303"/>
      <c r="F578" s="304"/>
      <c r="G578" s="312"/>
      <c r="H578" s="306"/>
      <c r="I578" s="302"/>
      <c r="J578" s="307"/>
      <c r="K578" s="313"/>
      <c r="L578" s="319"/>
      <c r="M578" s="316"/>
      <c r="N578" s="205"/>
      <c r="O578" s="311"/>
      <c r="P578" s="200"/>
      <c r="Q578" s="200"/>
      <c r="R578" s="58"/>
      <c r="S578" s="58"/>
      <c r="T578" s="58"/>
      <c r="U578" s="58"/>
      <c r="V578" s="58"/>
      <c r="W578" s="58"/>
      <c r="X578" s="58"/>
      <c r="Y578" s="58"/>
      <c r="Z578" s="58"/>
      <c r="AA578" s="58"/>
      <c r="AB578" s="58"/>
      <c r="AC578" s="58"/>
    </row>
    <row r="579">
      <c r="A579" s="320"/>
      <c r="B579" s="301"/>
      <c r="C579" s="205"/>
      <c r="D579" s="302"/>
      <c r="E579" s="303"/>
      <c r="F579" s="304"/>
      <c r="G579" s="312"/>
      <c r="H579" s="306"/>
      <c r="I579" s="302"/>
      <c r="J579" s="307"/>
      <c r="K579" s="313"/>
      <c r="L579" s="319"/>
      <c r="M579" s="316"/>
      <c r="N579" s="205"/>
      <c r="O579" s="311"/>
      <c r="P579" s="200"/>
      <c r="Q579" s="200"/>
      <c r="R579" s="58"/>
      <c r="S579" s="58"/>
      <c r="T579" s="58"/>
      <c r="U579" s="58"/>
      <c r="V579" s="58"/>
      <c r="W579" s="58"/>
      <c r="X579" s="58"/>
      <c r="Y579" s="58"/>
      <c r="Z579" s="58"/>
      <c r="AA579" s="58"/>
      <c r="AB579" s="58"/>
      <c r="AC579" s="58"/>
    </row>
    <row r="580">
      <c r="A580" s="320"/>
      <c r="B580" s="301"/>
      <c r="C580" s="205"/>
      <c r="D580" s="302"/>
      <c r="E580" s="303"/>
      <c r="F580" s="304"/>
      <c r="G580" s="312"/>
      <c r="H580" s="306"/>
      <c r="I580" s="302"/>
      <c r="J580" s="307"/>
      <c r="K580" s="313"/>
      <c r="L580" s="319"/>
      <c r="M580" s="316"/>
      <c r="N580" s="205"/>
      <c r="O580" s="311"/>
      <c r="P580" s="200"/>
      <c r="Q580" s="200"/>
      <c r="R580" s="58"/>
      <c r="S580" s="58"/>
      <c r="T580" s="58"/>
      <c r="U580" s="58"/>
      <c r="V580" s="58"/>
      <c r="W580" s="58"/>
      <c r="X580" s="58"/>
      <c r="Y580" s="58"/>
      <c r="Z580" s="58"/>
      <c r="AA580" s="58"/>
      <c r="AB580" s="58"/>
      <c r="AC580" s="58"/>
    </row>
    <row r="581">
      <c r="A581" s="320"/>
      <c r="B581" s="301"/>
      <c r="C581" s="205"/>
      <c r="D581" s="302"/>
      <c r="E581" s="303"/>
      <c r="F581" s="304"/>
      <c r="G581" s="312"/>
      <c r="H581" s="306"/>
      <c r="I581" s="302"/>
      <c r="J581" s="307"/>
      <c r="K581" s="313"/>
      <c r="L581" s="319"/>
      <c r="M581" s="316"/>
      <c r="N581" s="205"/>
      <c r="O581" s="311"/>
      <c r="P581" s="200"/>
      <c r="Q581" s="200"/>
      <c r="R581" s="58"/>
      <c r="S581" s="58"/>
      <c r="T581" s="58"/>
      <c r="U581" s="58"/>
      <c r="V581" s="58"/>
      <c r="W581" s="58"/>
      <c r="X581" s="58"/>
      <c r="Y581" s="58"/>
      <c r="Z581" s="58"/>
      <c r="AA581" s="58"/>
      <c r="AB581" s="58"/>
      <c r="AC581" s="58"/>
    </row>
    <row r="582">
      <c r="A582" s="320"/>
      <c r="B582" s="301"/>
      <c r="C582" s="205"/>
      <c r="D582" s="302"/>
      <c r="E582" s="303"/>
      <c r="F582" s="304"/>
      <c r="G582" s="312"/>
      <c r="H582" s="306"/>
      <c r="I582" s="302"/>
      <c r="J582" s="307"/>
      <c r="K582" s="313"/>
      <c r="L582" s="319"/>
      <c r="M582" s="316"/>
      <c r="N582" s="205"/>
      <c r="O582" s="311"/>
      <c r="P582" s="200"/>
      <c r="Q582" s="200"/>
      <c r="R582" s="58"/>
      <c r="S582" s="58"/>
      <c r="T582" s="58"/>
      <c r="U582" s="58"/>
      <c r="V582" s="58"/>
      <c r="W582" s="58"/>
      <c r="X582" s="58"/>
      <c r="Y582" s="58"/>
      <c r="Z582" s="58"/>
      <c r="AA582" s="58"/>
      <c r="AB582" s="58"/>
      <c r="AC582" s="58"/>
    </row>
    <row r="583">
      <c r="A583" s="320"/>
      <c r="B583" s="301"/>
      <c r="C583" s="205"/>
      <c r="D583" s="302"/>
      <c r="E583" s="303"/>
      <c r="F583" s="304"/>
      <c r="G583" s="312"/>
      <c r="H583" s="306"/>
      <c r="I583" s="302"/>
      <c r="J583" s="307"/>
      <c r="K583" s="313"/>
      <c r="L583" s="319"/>
      <c r="M583" s="316"/>
      <c r="N583" s="205"/>
      <c r="O583" s="311"/>
      <c r="P583" s="200"/>
      <c r="Q583" s="200"/>
      <c r="R583" s="58"/>
      <c r="S583" s="58"/>
      <c r="T583" s="58"/>
      <c r="U583" s="58"/>
      <c r="V583" s="58"/>
      <c r="W583" s="58"/>
      <c r="X583" s="58"/>
      <c r="Y583" s="58"/>
      <c r="Z583" s="58"/>
      <c r="AA583" s="58"/>
      <c r="AB583" s="58"/>
      <c r="AC583" s="58"/>
    </row>
    <row r="584">
      <c r="A584" s="320"/>
      <c r="B584" s="301"/>
      <c r="C584" s="205"/>
      <c r="D584" s="302"/>
      <c r="E584" s="303"/>
      <c r="F584" s="304"/>
      <c r="G584" s="312"/>
      <c r="H584" s="306"/>
      <c r="I584" s="302"/>
      <c r="J584" s="307"/>
      <c r="K584" s="313"/>
      <c r="L584" s="319"/>
      <c r="M584" s="316"/>
      <c r="N584" s="205"/>
      <c r="O584" s="311"/>
      <c r="P584" s="200"/>
      <c r="Q584" s="200"/>
      <c r="R584" s="58"/>
      <c r="S584" s="58"/>
      <c r="T584" s="58"/>
      <c r="U584" s="58"/>
      <c r="V584" s="58"/>
      <c r="W584" s="58"/>
      <c r="X584" s="58"/>
      <c r="Y584" s="58"/>
      <c r="Z584" s="58"/>
      <c r="AA584" s="58"/>
      <c r="AB584" s="58"/>
      <c r="AC584" s="58"/>
    </row>
    <row r="585">
      <c r="A585" s="320"/>
      <c r="B585" s="301"/>
      <c r="C585" s="205"/>
      <c r="D585" s="302"/>
      <c r="E585" s="303"/>
      <c r="F585" s="304"/>
      <c r="G585" s="312"/>
      <c r="H585" s="306"/>
      <c r="I585" s="302"/>
      <c r="J585" s="307"/>
      <c r="K585" s="313"/>
      <c r="L585" s="319"/>
      <c r="M585" s="316"/>
      <c r="N585" s="205"/>
      <c r="O585" s="311"/>
      <c r="P585" s="200"/>
      <c r="Q585" s="200"/>
      <c r="R585" s="58"/>
      <c r="S585" s="58"/>
      <c r="T585" s="58"/>
      <c r="U585" s="58"/>
      <c r="V585" s="58"/>
      <c r="W585" s="58"/>
      <c r="X585" s="58"/>
      <c r="Y585" s="58"/>
      <c r="Z585" s="58"/>
      <c r="AA585" s="58"/>
      <c r="AB585" s="58"/>
      <c r="AC585" s="58"/>
    </row>
    <row r="586">
      <c r="A586" s="320"/>
      <c r="B586" s="301"/>
      <c r="C586" s="205"/>
      <c r="D586" s="302"/>
      <c r="E586" s="303"/>
      <c r="F586" s="304"/>
      <c r="G586" s="312"/>
      <c r="H586" s="306"/>
      <c r="I586" s="302"/>
      <c r="J586" s="307"/>
      <c r="K586" s="313"/>
      <c r="L586" s="319"/>
      <c r="M586" s="316"/>
      <c r="N586" s="205"/>
      <c r="O586" s="311"/>
      <c r="P586" s="200"/>
      <c r="Q586" s="200"/>
      <c r="R586" s="58"/>
      <c r="S586" s="58"/>
      <c r="T586" s="58"/>
      <c r="U586" s="58"/>
      <c r="V586" s="58"/>
      <c r="W586" s="58"/>
      <c r="X586" s="58"/>
      <c r="Y586" s="58"/>
      <c r="Z586" s="58"/>
      <c r="AA586" s="58"/>
      <c r="AB586" s="58"/>
      <c r="AC586" s="58"/>
    </row>
    <row r="587">
      <c r="A587" s="320"/>
      <c r="B587" s="301"/>
      <c r="C587" s="205"/>
      <c r="D587" s="302"/>
      <c r="E587" s="303"/>
      <c r="F587" s="304"/>
      <c r="G587" s="312"/>
      <c r="H587" s="306"/>
      <c r="I587" s="302"/>
      <c r="J587" s="307"/>
      <c r="K587" s="313"/>
      <c r="L587" s="319"/>
      <c r="M587" s="316"/>
      <c r="N587" s="205"/>
      <c r="O587" s="311"/>
      <c r="P587" s="200"/>
      <c r="Q587" s="200"/>
      <c r="R587" s="58"/>
      <c r="S587" s="58"/>
      <c r="T587" s="58"/>
      <c r="U587" s="58"/>
      <c r="V587" s="58"/>
      <c r="W587" s="58"/>
      <c r="X587" s="58"/>
      <c r="Y587" s="58"/>
      <c r="Z587" s="58"/>
      <c r="AA587" s="58"/>
      <c r="AB587" s="58"/>
      <c r="AC587" s="58"/>
    </row>
    <row r="588">
      <c r="A588" s="320"/>
      <c r="B588" s="301"/>
      <c r="C588" s="205"/>
      <c r="D588" s="302"/>
      <c r="E588" s="303"/>
      <c r="F588" s="304"/>
      <c r="G588" s="312"/>
      <c r="H588" s="306"/>
      <c r="I588" s="302"/>
      <c r="J588" s="307"/>
      <c r="K588" s="313"/>
      <c r="L588" s="319"/>
      <c r="M588" s="316"/>
      <c r="N588" s="205"/>
      <c r="O588" s="311"/>
      <c r="P588" s="200"/>
      <c r="Q588" s="200"/>
      <c r="R588" s="58"/>
      <c r="S588" s="58"/>
      <c r="T588" s="58"/>
      <c r="U588" s="58"/>
      <c r="V588" s="58"/>
      <c r="W588" s="58"/>
      <c r="X588" s="58"/>
      <c r="Y588" s="58"/>
      <c r="Z588" s="58"/>
      <c r="AA588" s="58"/>
      <c r="AB588" s="58"/>
      <c r="AC588" s="58"/>
    </row>
    <row r="589">
      <c r="A589" s="320"/>
      <c r="B589" s="301"/>
      <c r="C589" s="205"/>
      <c r="D589" s="302"/>
      <c r="E589" s="303"/>
      <c r="F589" s="304"/>
      <c r="G589" s="312"/>
      <c r="H589" s="306"/>
      <c r="I589" s="302"/>
      <c r="J589" s="307"/>
      <c r="K589" s="313"/>
      <c r="L589" s="319"/>
      <c r="M589" s="316"/>
      <c r="N589" s="205"/>
      <c r="O589" s="311"/>
      <c r="P589" s="200"/>
      <c r="Q589" s="200"/>
      <c r="R589" s="58"/>
      <c r="S589" s="58"/>
      <c r="T589" s="58"/>
      <c r="U589" s="58"/>
      <c r="V589" s="58"/>
      <c r="W589" s="58"/>
      <c r="X589" s="58"/>
      <c r="Y589" s="58"/>
      <c r="Z589" s="58"/>
      <c r="AA589" s="58"/>
      <c r="AB589" s="58"/>
      <c r="AC589" s="58"/>
    </row>
    <row r="590">
      <c r="A590" s="320"/>
      <c r="B590" s="301"/>
      <c r="C590" s="205"/>
      <c r="D590" s="302"/>
      <c r="E590" s="303"/>
      <c r="F590" s="304"/>
      <c r="G590" s="312"/>
      <c r="H590" s="306"/>
      <c r="I590" s="302"/>
      <c r="J590" s="307"/>
      <c r="K590" s="313"/>
      <c r="L590" s="319"/>
      <c r="M590" s="316"/>
      <c r="N590" s="205"/>
      <c r="O590" s="311"/>
      <c r="P590" s="200"/>
      <c r="Q590" s="200"/>
      <c r="R590" s="58"/>
      <c r="S590" s="58"/>
      <c r="T590" s="58"/>
      <c r="U590" s="58"/>
      <c r="V590" s="58"/>
      <c r="W590" s="58"/>
      <c r="X590" s="58"/>
      <c r="Y590" s="58"/>
      <c r="Z590" s="58"/>
      <c r="AA590" s="58"/>
      <c r="AB590" s="58"/>
      <c r="AC590" s="58"/>
    </row>
    <row r="591">
      <c r="A591" s="320"/>
      <c r="B591" s="301"/>
      <c r="C591" s="205"/>
      <c r="D591" s="302"/>
      <c r="E591" s="303"/>
      <c r="F591" s="304"/>
      <c r="G591" s="312"/>
      <c r="H591" s="306"/>
      <c r="I591" s="302"/>
      <c r="J591" s="307"/>
      <c r="K591" s="313"/>
      <c r="L591" s="319"/>
      <c r="M591" s="316"/>
      <c r="N591" s="205"/>
      <c r="O591" s="311"/>
      <c r="P591" s="200"/>
      <c r="Q591" s="200"/>
      <c r="R591" s="58"/>
      <c r="S591" s="58"/>
      <c r="T591" s="58"/>
      <c r="U591" s="58"/>
      <c r="V591" s="58"/>
      <c r="W591" s="58"/>
      <c r="X591" s="58"/>
      <c r="Y591" s="58"/>
      <c r="Z591" s="58"/>
      <c r="AA591" s="58"/>
      <c r="AB591" s="58"/>
      <c r="AC591" s="58"/>
    </row>
    <row r="592">
      <c r="A592" s="320"/>
      <c r="B592" s="301"/>
      <c r="C592" s="205"/>
      <c r="D592" s="302"/>
      <c r="E592" s="303"/>
      <c r="F592" s="304"/>
      <c r="G592" s="312"/>
      <c r="H592" s="306"/>
      <c r="I592" s="302"/>
      <c r="J592" s="307"/>
      <c r="K592" s="313"/>
      <c r="L592" s="319"/>
      <c r="M592" s="316"/>
      <c r="N592" s="205"/>
      <c r="O592" s="311"/>
      <c r="P592" s="200"/>
      <c r="Q592" s="200"/>
      <c r="R592" s="58"/>
      <c r="S592" s="58"/>
      <c r="T592" s="58"/>
      <c r="U592" s="58"/>
      <c r="V592" s="58"/>
      <c r="W592" s="58"/>
      <c r="X592" s="58"/>
      <c r="Y592" s="58"/>
      <c r="Z592" s="58"/>
      <c r="AA592" s="58"/>
      <c r="AB592" s="58"/>
      <c r="AC592" s="58"/>
    </row>
    <row r="593">
      <c r="A593" s="320"/>
      <c r="B593" s="301"/>
      <c r="C593" s="205"/>
      <c r="D593" s="302"/>
      <c r="E593" s="303"/>
      <c r="F593" s="304"/>
      <c r="G593" s="312"/>
      <c r="H593" s="306"/>
      <c r="I593" s="302"/>
      <c r="J593" s="307"/>
      <c r="K593" s="313"/>
      <c r="L593" s="319"/>
      <c r="M593" s="316"/>
      <c r="N593" s="205"/>
      <c r="O593" s="311"/>
      <c r="P593" s="200"/>
      <c r="Q593" s="200"/>
      <c r="R593" s="58"/>
      <c r="S593" s="58"/>
      <c r="T593" s="58"/>
      <c r="U593" s="58"/>
      <c r="V593" s="58"/>
      <c r="W593" s="58"/>
      <c r="X593" s="58"/>
      <c r="Y593" s="58"/>
      <c r="Z593" s="58"/>
      <c r="AA593" s="58"/>
      <c r="AB593" s="58"/>
      <c r="AC593" s="58"/>
    </row>
    <row r="594">
      <c r="A594" s="320"/>
      <c r="B594" s="301"/>
      <c r="C594" s="205"/>
      <c r="D594" s="302"/>
      <c r="E594" s="303"/>
      <c r="F594" s="304"/>
      <c r="G594" s="312"/>
      <c r="H594" s="306"/>
      <c r="I594" s="302"/>
      <c r="J594" s="307"/>
      <c r="K594" s="313"/>
      <c r="L594" s="319"/>
      <c r="M594" s="316"/>
      <c r="N594" s="205"/>
      <c r="O594" s="311"/>
      <c r="P594" s="200"/>
      <c r="Q594" s="200"/>
      <c r="R594" s="58"/>
      <c r="S594" s="58"/>
      <c r="T594" s="58"/>
      <c r="U594" s="58"/>
      <c r="V594" s="58"/>
      <c r="W594" s="58"/>
      <c r="X594" s="58"/>
      <c r="Y594" s="58"/>
      <c r="Z594" s="58"/>
      <c r="AA594" s="58"/>
      <c r="AB594" s="58"/>
      <c r="AC594" s="58"/>
    </row>
    <row r="595">
      <c r="A595" s="320"/>
      <c r="B595" s="301"/>
      <c r="C595" s="205"/>
      <c r="D595" s="302"/>
      <c r="E595" s="303"/>
      <c r="F595" s="304"/>
      <c r="G595" s="312"/>
      <c r="H595" s="306"/>
      <c r="I595" s="302"/>
      <c r="J595" s="307"/>
      <c r="K595" s="313"/>
      <c r="L595" s="319"/>
      <c r="M595" s="316"/>
      <c r="N595" s="205"/>
      <c r="O595" s="311"/>
      <c r="P595" s="200"/>
      <c r="Q595" s="200"/>
      <c r="R595" s="58"/>
      <c r="S595" s="58"/>
      <c r="T595" s="58"/>
      <c r="U595" s="58"/>
      <c r="V595" s="58"/>
      <c r="W595" s="58"/>
      <c r="X595" s="58"/>
      <c r="Y595" s="58"/>
      <c r="Z595" s="58"/>
      <c r="AA595" s="58"/>
      <c r="AB595" s="58"/>
      <c r="AC595" s="58"/>
    </row>
    <row r="596">
      <c r="A596" s="320"/>
      <c r="B596" s="301"/>
      <c r="C596" s="205"/>
      <c r="D596" s="302"/>
      <c r="E596" s="303"/>
      <c r="F596" s="304"/>
      <c r="G596" s="312"/>
      <c r="H596" s="306"/>
      <c r="I596" s="302"/>
      <c r="J596" s="307"/>
      <c r="K596" s="313"/>
      <c r="L596" s="319"/>
      <c r="M596" s="316"/>
      <c r="N596" s="205"/>
      <c r="O596" s="311"/>
      <c r="P596" s="200"/>
      <c r="Q596" s="200"/>
      <c r="R596" s="58"/>
      <c r="S596" s="58"/>
      <c r="T596" s="58"/>
      <c r="U596" s="58"/>
      <c r="V596" s="58"/>
      <c r="W596" s="58"/>
      <c r="X596" s="58"/>
      <c r="Y596" s="58"/>
      <c r="Z596" s="58"/>
      <c r="AA596" s="58"/>
      <c r="AB596" s="58"/>
      <c r="AC596" s="58"/>
    </row>
    <row r="597">
      <c r="A597" s="320"/>
      <c r="B597" s="301"/>
      <c r="C597" s="205"/>
      <c r="D597" s="302"/>
      <c r="E597" s="303"/>
      <c r="F597" s="304"/>
      <c r="G597" s="312"/>
      <c r="H597" s="306"/>
      <c r="I597" s="302"/>
      <c r="J597" s="307"/>
      <c r="K597" s="313"/>
      <c r="L597" s="319"/>
      <c r="M597" s="316"/>
      <c r="N597" s="205"/>
      <c r="O597" s="311"/>
      <c r="P597" s="200"/>
      <c r="Q597" s="200"/>
      <c r="R597" s="58"/>
      <c r="S597" s="58"/>
      <c r="T597" s="58"/>
      <c r="U597" s="58"/>
      <c r="V597" s="58"/>
      <c r="W597" s="58"/>
      <c r="X597" s="58"/>
      <c r="Y597" s="58"/>
      <c r="Z597" s="58"/>
      <c r="AA597" s="58"/>
      <c r="AB597" s="58"/>
      <c r="AC597" s="58"/>
    </row>
    <row r="598">
      <c r="A598" s="320"/>
      <c r="B598" s="301"/>
      <c r="C598" s="205"/>
      <c r="D598" s="302"/>
      <c r="E598" s="303"/>
      <c r="F598" s="304"/>
      <c r="G598" s="312"/>
      <c r="H598" s="306"/>
      <c r="I598" s="302"/>
      <c r="J598" s="307"/>
      <c r="K598" s="313"/>
      <c r="L598" s="319"/>
      <c r="M598" s="316"/>
      <c r="N598" s="205"/>
      <c r="O598" s="311"/>
      <c r="P598" s="200"/>
      <c r="Q598" s="200"/>
      <c r="R598" s="58"/>
      <c r="S598" s="58"/>
      <c r="T598" s="58"/>
      <c r="U598" s="58"/>
      <c r="V598" s="58"/>
      <c r="W598" s="58"/>
      <c r="X598" s="58"/>
      <c r="Y598" s="58"/>
      <c r="Z598" s="58"/>
      <c r="AA598" s="58"/>
      <c r="AB598" s="58"/>
      <c r="AC598" s="58"/>
    </row>
    <row r="599">
      <c r="A599" s="320"/>
      <c r="B599" s="301"/>
      <c r="C599" s="205"/>
      <c r="D599" s="302"/>
      <c r="E599" s="303"/>
      <c r="F599" s="304"/>
      <c r="G599" s="312"/>
      <c r="H599" s="306"/>
      <c r="I599" s="302"/>
      <c r="J599" s="307"/>
      <c r="K599" s="313"/>
      <c r="L599" s="319"/>
      <c r="M599" s="316"/>
      <c r="N599" s="205"/>
      <c r="O599" s="311"/>
      <c r="P599" s="200"/>
      <c r="Q599" s="200"/>
      <c r="R599" s="58"/>
      <c r="S599" s="58"/>
      <c r="T599" s="58"/>
      <c r="U599" s="58"/>
      <c r="V599" s="58"/>
      <c r="W599" s="58"/>
      <c r="X599" s="58"/>
      <c r="Y599" s="58"/>
      <c r="Z599" s="58"/>
      <c r="AA599" s="58"/>
      <c r="AB599" s="58"/>
      <c r="AC599" s="58"/>
    </row>
    <row r="600">
      <c r="A600" s="320"/>
      <c r="B600" s="301"/>
      <c r="C600" s="205"/>
      <c r="D600" s="302"/>
      <c r="E600" s="303"/>
      <c r="F600" s="304"/>
      <c r="G600" s="312"/>
      <c r="H600" s="306"/>
      <c r="I600" s="302"/>
      <c r="J600" s="307"/>
      <c r="K600" s="313"/>
      <c r="L600" s="319"/>
      <c r="M600" s="316"/>
      <c r="N600" s="205"/>
      <c r="O600" s="311"/>
      <c r="P600" s="200"/>
      <c r="Q600" s="200"/>
      <c r="R600" s="58"/>
      <c r="S600" s="58"/>
      <c r="T600" s="58"/>
      <c r="U600" s="58"/>
      <c r="V600" s="58"/>
      <c r="W600" s="58"/>
      <c r="X600" s="58"/>
      <c r="Y600" s="58"/>
      <c r="Z600" s="58"/>
      <c r="AA600" s="58"/>
      <c r="AB600" s="58"/>
      <c r="AC600" s="58"/>
    </row>
    <row r="601">
      <c r="A601" s="320"/>
      <c r="B601" s="301"/>
      <c r="C601" s="205"/>
      <c r="D601" s="302"/>
      <c r="E601" s="303"/>
      <c r="F601" s="304"/>
      <c r="G601" s="312"/>
      <c r="H601" s="306"/>
      <c r="I601" s="302"/>
      <c r="J601" s="307"/>
      <c r="K601" s="313"/>
      <c r="L601" s="319"/>
      <c r="M601" s="316"/>
      <c r="N601" s="205"/>
      <c r="O601" s="311"/>
      <c r="P601" s="200"/>
      <c r="Q601" s="200"/>
      <c r="R601" s="58"/>
      <c r="S601" s="58"/>
      <c r="T601" s="58"/>
      <c r="U601" s="58"/>
      <c r="V601" s="58"/>
      <c r="W601" s="58"/>
      <c r="X601" s="58"/>
      <c r="Y601" s="58"/>
      <c r="Z601" s="58"/>
      <c r="AA601" s="58"/>
      <c r="AB601" s="58"/>
      <c r="AC601" s="58"/>
    </row>
    <row r="602">
      <c r="A602" s="320"/>
      <c r="B602" s="301"/>
      <c r="C602" s="205"/>
      <c r="D602" s="302"/>
      <c r="E602" s="303"/>
      <c r="F602" s="304"/>
      <c r="G602" s="312"/>
      <c r="H602" s="306"/>
      <c r="I602" s="302"/>
      <c r="J602" s="307"/>
      <c r="K602" s="313"/>
      <c r="L602" s="319"/>
      <c r="M602" s="316"/>
      <c r="N602" s="205"/>
      <c r="O602" s="311"/>
      <c r="P602" s="200"/>
      <c r="Q602" s="200"/>
      <c r="R602" s="58"/>
      <c r="S602" s="58"/>
      <c r="T602" s="58"/>
      <c r="U602" s="58"/>
      <c r="V602" s="58"/>
      <c r="W602" s="58"/>
      <c r="X602" s="58"/>
      <c r="Y602" s="58"/>
      <c r="Z602" s="58"/>
      <c r="AA602" s="58"/>
      <c r="AB602" s="58"/>
      <c r="AC602" s="58"/>
    </row>
    <row r="603">
      <c r="A603" s="320"/>
      <c r="B603" s="301"/>
      <c r="C603" s="205"/>
      <c r="D603" s="302"/>
      <c r="E603" s="303"/>
      <c r="F603" s="304"/>
      <c r="G603" s="312"/>
      <c r="H603" s="306"/>
      <c r="I603" s="302"/>
      <c r="J603" s="307"/>
      <c r="K603" s="313"/>
      <c r="L603" s="319"/>
      <c r="M603" s="316"/>
      <c r="N603" s="205"/>
      <c r="O603" s="311"/>
      <c r="P603" s="200"/>
      <c r="Q603" s="200"/>
      <c r="R603" s="58"/>
      <c r="S603" s="58"/>
      <c r="T603" s="58"/>
      <c r="U603" s="58"/>
      <c r="V603" s="58"/>
      <c r="W603" s="58"/>
      <c r="X603" s="58"/>
      <c r="Y603" s="58"/>
      <c r="Z603" s="58"/>
      <c r="AA603" s="58"/>
      <c r="AB603" s="58"/>
      <c r="AC603" s="58"/>
    </row>
    <row r="604">
      <c r="A604" s="320"/>
      <c r="B604" s="301"/>
      <c r="C604" s="205"/>
      <c r="D604" s="302"/>
      <c r="E604" s="303"/>
      <c r="F604" s="304"/>
      <c r="G604" s="312"/>
      <c r="H604" s="306"/>
      <c r="I604" s="302"/>
      <c r="J604" s="307"/>
      <c r="K604" s="313"/>
      <c r="L604" s="319"/>
      <c r="M604" s="316"/>
      <c r="N604" s="205"/>
      <c r="O604" s="311"/>
      <c r="P604" s="200"/>
      <c r="Q604" s="200"/>
      <c r="R604" s="58"/>
      <c r="S604" s="58"/>
      <c r="T604" s="58"/>
      <c r="U604" s="58"/>
      <c r="V604" s="58"/>
      <c r="W604" s="58"/>
      <c r="X604" s="58"/>
      <c r="Y604" s="58"/>
      <c r="Z604" s="58"/>
      <c r="AA604" s="58"/>
      <c r="AB604" s="58"/>
      <c r="AC604" s="58"/>
    </row>
    <row r="605">
      <c r="A605" s="320"/>
      <c r="B605" s="301"/>
      <c r="C605" s="205"/>
      <c r="D605" s="302"/>
      <c r="E605" s="303"/>
      <c r="F605" s="304"/>
      <c r="G605" s="312"/>
      <c r="H605" s="306"/>
      <c r="I605" s="302"/>
      <c r="J605" s="307"/>
      <c r="K605" s="313"/>
      <c r="L605" s="319"/>
      <c r="M605" s="316"/>
      <c r="N605" s="205"/>
      <c r="O605" s="311"/>
      <c r="P605" s="200"/>
      <c r="Q605" s="200"/>
      <c r="R605" s="58"/>
      <c r="S605" s="58"/>
      <c r="T605" s="58"/>
      <c r="U605" s="58"/>
      <c r="V605" s="58"/>
      <c r="W605" s="58"/>
      <c r="X605" s="58"/>
      <c r="Y605" s="58"/>
      <c r="Z605" s="58"/>
      <c r="AA605" s="58"/>
      <c r="AB605" s="58"/>
      <c r="AC605" s="58"/>
    </row>
    <row r="606">
      <c r="A606" s="320"/>
      <c r="B606" s="301"/>
      <c r="C606" s="205"/>
      <c r="D606" s="302"/>
      <c r="E606" s="303"/>
      <c r="F606" s="304"/>
      <c r="G606" s="312"/>
      <c r="H606" s="306"/>
      <c r="I606" s="302"/>
      <c r="J606" s="307"/>
      <c r="K606" s="313"/>
      <c r="L606" s="319"/>
      <c r="M606" s="316"/>
      <c r="N606" s="205"/>
      <c r="O606" s="311"/>
      <c r="P606" s="200"/>
      <c r="Q606" s="200"/>
      <c r="R606" s="58"/>
      <c r="S606" s="58"/>
      <c r="T606" s="58"/>
      <c r="U606" s="58"/>
      <c r="V606" s="58"/>
      <c r="W606" s="58"/>
      <c r="X606" s="58"/>
      <c r="Y606" s="58"/>
      <c r="Z606" s="58"/>
      <c r="AA606" s="58"/>
      <c r="AB606" s="58"/>
      <c r="AC606" s="58"/>
    </row>
    <row r="607">
      <c r="A607" s="320"/>
      <c r="B607" s="301"/>
      <c r="C607" s="205"/>
      <c r="D607" s="302"/>
      <c r="E607" s="303"/>
      <c r="F607" s="304"/>
      <c r="G607" s="312"/>
      <c r="H607" s="306"/>
      <c r="I607" s="302"/>
      <c r="J607" s="307"/>
      <c r="K607" s="313"/>
      <c r="L607" s="319"/>
      <c r="M607" s="316"/>
      <c r="N607" s="205"/>
      <c r="O607" s="311"/>
      <c r="P607" s="200"/>
      <c r="Q607" s="200"/>
      <c r="R607" s="58"/>
      <c r="S607" s="58"/>
      <c r="T607" s="58"/>
      <c r="U607" s="58"/>
      <c r="V607" s="58"/>
      <c r="W607" s="58"/>
      <c r="X607" s="58"/>
      <c r="Y607" s="58"/>
      <c r="Z607" s="58"/>
      <c r="AA607" s="58"/>
      <c r="AB607" s="58"/>
      <c r="AC607" s="58"/>
    </row>
    <row r="608">
      <c r="A608" s="320"/>
      <c r="B608" s="301"/>
      <c r="C608" s="205"/>
      <c r="D608" s="302"/>
      <c r="E608" s="303"/>
      <c r="F608" s="304"/>
      <c r="G608" s="312"/>
      <c r="H608" s="306"/>
      <c r="I608" s="302"/>
      <c r="J608" s="307"/>
      <c r="K608" s="313"/>
      <c r="L608" s="319"/>
      <c r="M608" s="316"/>
      <c r="N608" s="205"/>
      <c r="O608" s="311"/>
      <c r="P608" s="200"/>
      <c r="Q608" s="200"/>
      <c r="R608" s="58"/>
      <c r="S608" s="58"/>
      <c r="T608" s="58"/>
      <c r="U608" s="58"/>
      <c r="V608" s="58"/>
      <c r="W608" s="58"/>
      <c r="X608" s="58"/>
      <c r="Y608" s="58"/>
      <c r="Z608" s="58"/>
      <c r="AA608" s="58"/>
      <c r="AB608" s="58"/>
      <c r="AC608" s="58"/>
    </row>
    <row r="609">
      <c r="A609" s="320"/>
      <c r="B609" s="301"/>
      <c r="C609" s="205"/>
      <c r="D609" s="302"/>
      <c r="E609" s="303"/>
      <c r="F609" s="304"/>
      <c r="G609" s="312"/>
      <c r="H609" s="306"/>
      <c r="I609" s="302"/>
      <c r="J609" s="307"/>
      <c r="K609" s="313"/>
      <c r="L609" s="319"/>
      <c r="M609" s="316"/>
      <c r="N609" s="205"/>
      <c r="O609" s="311"/>
      <c r="P609" s="200"/>
      <c r="Q609" s="200"/>
      <c r="R609" s="58"/>
      <c r="S609" s="58"/>
      <c r="T609" s="58"/>
      <c r="U609" s="58"/>
      <c r="V609" s="58"/>
      <c r="W609" s="58"/>
      <c r="X609" s="58"/>
      <c r="Y609" s="58"/>
      <c r="Z609" s="58"/>
      <c r="AA609" s="58"/>
      <c r="AB609" s="58"/>
      <c r="AC609" s="58"/>
    </row>
    <row r="610">
      <c r="A610" s="320"/>
      <c r="B610" s="301"/>
      <c r="C610" s="205"/>
      <c r="D610" s="302"/>
      <c r="E610" s="303"/>
      <c r="F610" s="304"/>
      <c r="G610" s="312"/>
      <c r="H610" s="306"/>
      <c r="I610" s="302"/>
      <c r="J610" s="307"/>
      <c r="K610" s="313"/>
      <c r="L610" s="319"/>
      <c r="M610" s="316"/>
      <c r="N610" s="205"/>
      <c r="O610" s="311"/>
      <c r="P610" s="200"/>
      <c r="Q610" s="200"/>
      <c r="R610" s="58"/>
      <c r="S610" s="58"/>
      <c r="T610" s="58"/>
      <c r="U610" s="58"/>
      <c r="V610" s="58"/>
      <c r="W610" s="58"/>
      <c r="X610" s="58"/>
      <c r="Y610" s="58"/>
      <c r="Z610" s="58"/>
      <c r="AA610" s="58"/>
      <c r="AB610" s="58"/>
      <c r="AC610" s="58"/>
    </row>
    <row r="611">
      <c r="A611" s="320"/>
      <c r="B611" s="301"/>
      <c r="C611" s="205"/>
      <c r="D611" s="302"/>
      <c r="E611" s="303"/>
      <c r="F611" s="304"/>
      <c r="G611" s="312"/>
      <c r="H611" s="306"/>
      <c r="I611" s="302"/>
      <c r="J611" s="307"/>
      <c r="K611" s="313"/>
      <c r="L611" s="319"/>
      <c r="M611" s="316"/>
      <c r="N611" s="205"/>
      <c r="O611" s="311"/>
      <c r="P611" s="200"/>
      <c r="Q611" s="200"/>
      <c r="R611" s="58"/>
      <c r="S611" s="58"/>
      <c r="T611" s="58"/>
      <c r="U611" s="58"/>
      <c r="V611" s="58"/>
      <c r="W611" s="58"/>
      <c r="X611" s="58"/>
      <c r="Y611" s="58"/>
      <c r="Z611" s="58"/>
      <c r="AA611" s="58"/>
      <c r="AB611" s="58"/>
      <c r="AC611" s="58"/>
    </row>
    <row r="612">
      <c r="A612" s="320"/>
      <c r="B612" s="301"/>
      <c r="C612" s="205"/>
      <c r="D612" s="302"/>
      <c r="E612" s="303"/>
      <c r="F612" s="304"/>
      <c r="G612" s="312"/>
      <c r="H612" s="306"/>
      <c r="I612" s="302"/>
      <c r="J612" s="307"/>
      <c r="K612" s="313"/>
      <c r="L612" s="319"/>
      <c r="M612" s="316"/>
      <c r="N612" s="205"/>
      <c r="O612" s="311"/>
      <c r="P612" s="200"/>
      <c r="Q612" s="200"/>
      <c r="R612" s="58"/>
      <c r="S612" s="58"/>
      <c r="T612" s="58"/>
      <c r="U612" s="58"/>
      <c r="V612" s="58"/>
      <c r="W612" s="58"/>
      <c r="X612" s="58"/>
      <c r="Y612" s="58"/>
      <c r="Z612" s="58"/>
      <c r="AA612" s="58"/>
      <c r="AB612" s="58"/>
      <c r="AC612" s="58"/>
    </row>
    <row r="613">
      <c r="A613" s="320"/>
      <c r="B613" s="301"/>
      <c r="C613" s="205"/>
      <c r="D613" s="302"/>
      <c r="E613" s="303"/>
      <c r="F613" s="304"/>
      <c r="G613" s="312"/>
      <c r="H613" s="306"/>
      <c r="I613" s="302"/>
      <c r="J613" s="307"/>
      <c r="K613" s="313"/>
      <c r="L613" s="319"/>
      <c r="M613" s="316"/>
      <c r="N613" s="205"/>
      <c r="O613" s="311"/>
      <c r="P613" s="200"/>
      <c r="Q613" s="200"/>
      <c r="R613" s="58"/>
      <c r="S613" s="58"/>
      <c r="T613" s="58"/>
      <c r="U613" s="58"/>
      <c r="V613" s="58"/>
      <c r="W613" s="58"/>
      <c r="X613" s="58"/>
      <c r="Y613" s="58"/>
      <c r="Z613" s="58"/>
      <c r="AA613" s="58"/>
      <c r="AB613" s="58"/>
      <c r="AC613" s="58"/>
    </row>
    <row r="614">
      <c r="A614" s="320"/>
      <c r="B614" s="301"/>
      <c r="C614" s="205"/>
      <c r="D614" s="302"/>
      <c r="E614" s="303"/>
      <c r="F614" s="304"/>
      <c r="G614" s="312"/>
      <c r="H614" s="306"/>
      <c r="I614" s="302"/>
      <c r="J614" s="307"/>
      <c r="K614" s="313"/>
      <c r="L614" s="319"/>
      <c r="M614" s="316"/>
      <c r="N614" s="205"/>
      <c r="O614" s="311"/>
      <c r="P614" s="200"/>
      <c r="Q614" s="200"/>
      <c r="R614" s="58"/>
      <c r="S614" s="58"/>
      <c r="T614" s="58"/>
      <c r="U614" s="58"/>
      <c r="V614" s="58"/>
      <c r="W614" s="58"/>
      <c r="X614" s="58"/>
      <c r="Y614" s="58"/>
      <c r="Z614" s="58"/>
      <c r="AA614" s="58"/>
      <c r="AB614" s="58"/>
      <c r="AC614" s="58"/>
    </row>
    <row r="615">
      <c r="A615" s="320"/>
      <c r="B615" s="301"/>
      <c r="C615" s="205"/>
      <c r="D615" s="302"/>
      <c r="E615" s="303"/>
      <c r="F615" s="304"/>
      <c r="G615" s="312"/>
      <c r="H615" s="306"/>
      <c r="I615" s="302"/>
      <c r="J615" s="307"/>
      <c r="K615" s="313"/>
      <c r="L615" s="319"/>
      <c r="M615" s="316"/>
      <c r="N615" s="205"/>
      <c r="O615" s="311"/>
      <c r="P615" s="200"/>
      <c r="Q615" s="200"/>
      <c r="R615" s="58"/>
      <c r="S615" s="58"/>
      <c r="T615" s="58"/>
      <c r="U615" s="58"/>
      <c r="V615" s="58"/>
      <c r="W615" s="58"/>
      <c r="X615" s="58"/>
      <c r="Y615" s="58"/>
      <c r="Z615" s="58"/>
      <c r="AA615" s="58"/>
      <c r="AB615" s="58"/>
      <c r="AC615" s="58"/>
    </row>
    <row r="616">
      <c r="A616" s="320"/>
      <c r="B616" s="301"/>
      <c r="C616" s="205"/>
      <c r="D616" s="302"/>
      <c r="E616" s="303"/>
      <c r="F616" s="304"/>
      <c r="G616" s="312"/>
      <c r="H616" s="306"/>
      <c r="I616" s="302"/>
      <c r="J616" s="307"/>
      <c r="K616" s="313"/>
      <c r="L616" s="319"/>
      <c r="M616" s="316"/>
      <c r="N616" s="205"/>
      <c r="O616" s="311"/>
      <c r="P616" s="200"/>
      <c r="Q616" s="200"/>
      <c r="R616" s="58"/>
      <c r="S616" s="58"/>
      <c r="T616" s="58"/>
      <c r="U616" s="58"/>
      <c r="V616" s="58"/>
      <c r="W616" s="58"/>
      <c r="X616" s="58"/>
      <c r="Y616" s="58"/>
      <c r="Z616" s="58"/>
      <c r="AA616" s="58"/>
      <c r="AB616" s="58"/>
      <c r="AC616" s="58"/>
    </row>
    <row r="617">
      <c r="A617" s="320"/>
      <c r="B617" s="301"/>
      <c r="C617" s="205"/>
      <c r="D617" s="302"/>
      <c r="E617" s="303"/>
      <c r="F617" s="304"/>
      <c r="G617" s="312"/>
      <c r="H617" s="306"/>
      <c r="I617" s="302"/>
      <c r="J617" s="307"/>
      <c r="K617" s="313"/>
      <c r="L617" s="319"/>
      <c r="M617" s="316"/>
      <c r="N617" s="205"/>
      <c r="O617" s="311"/>
      <c r="P617" s="200"/>
      <c r="Q617" s="200"/>
      <c r="R617" s="58"/>
      <c r="S617" s="58"/>
      <c r="T617" s="58"/>
      <c r="U617" s="58"/>
      <c r="V617" s="58"/>
      <c r="W617" s="58"/>
      <c r="X617" s="58"/>
      <c r="Y617" s="58"/>
      <c r="Z617" s="58"/>
      <c r="AA617" s="58"/>
      <c r="AB617" s="58"/>
      <c r="AC617" s="58"/>
    </row>
    <row r="618">
      <c r="A618" s="320"/>
      <c r="B618" s="301"/>
      <c r="C618" s="205"/>
      <c r="D618" s="302"/>
      <c r="E618" s="303"/>
      <c r="F618" s="304"/>
      <c r="G618" s="312"/>
      <c r="H618" s="306"/>
      <c r="I618" s="302"/>
      <c r="J618" s="307"/>
      <c r="K618" s="313"/>
      <c r="L618" s="319"/>
      <c r="M618" s="316"/>
      <c r="N618" s="205"/>
      <c r="O618" s="311"/>
      <c r="P618" s="200"/>
      <c r="Q618" s="200"/>
      <c r="R618" s="58"/>
      <c r="S618" s="58"/>
      <c r="T618" s="58"/>
      <c r="U618" s="58"/>
      <c r="V618" s="58"/>
      <c r="W618" s="58"/>
      <c r="X618" s="58"/>
      <c r="Y618" s="58"/>
      <c r="Z618" s="58"/>
      <c r="AA618" s="58"/>
      <c r="AB618" s="58"/>
      <c r="AC618" s="58"/>
    </row>
    <row r="619">
      <c r="A619" s="320"/>
      <c r="B619" s="301"/>
      <c r="C619" s="205"/>
      <c r="D619" s="302"/>
      <c r="E619" s="303"/>
      <c r="F619" s="304"/>
      <c r="G619" s="312"/>
      <c r="H619" s="306"/>
      <c r="I619" s="302"/>
      <c r="J619" s="307"/>
      <c r="K619" s="313"/>
      <c r="L619" s="319"/>
      <c r="M619" s="316"/>
      <c r="N619" s="205"/>
      <c r="O619" s="311"/>
      <c r="P619" s="200"/>
      <c r="Q619" s="200"/>
      <c r="R619" s="58"/>
      <c r="S619" s="58"/>
      <c r="T619" s="58"/>
      <c r="U619" s="58"/>
      <c r="V619" s="58"/>
      <c r="W619" s="58"/>
      <c r="X619" s="58"/>
      <c r="Y619" s="58"/>
      <c r="Z619" s="58"/>
      <c r="AA619" s="58"/>
      <c r="AB619" s="58"/>
      <c r="AC619" s="58"/>
    </row>
    <row r="620">
      <c r="A620" s="320"/>
      <c r="B620" s="301"/>
      <c r="C620" s="205"/>
      <c r="D620" s="302"/>
      <c r="E620" s="303"/>
      <c r="F620" s="304"/>
      <c r="G620" s="312"/>
      <c r="H620" s="306"/>
      <c r="I620" s="302"/>
      <c r="J620" s="307"/>
      <c r="K620" s="313"/>
      <c r="L620" s="319"/>
      <c r="M620" s="316"/>
      <c r="N620" s="205"/>
      <c r="O620" s="311"/>
      <c r="P620" s="200"/>
      <c r="Q620" s="200"/>
      <c r="R620" s="58"/>
      <c r="S620" s="58"/>
      <c r="T620" s="58"/>
      <c r="U620" s="58"/>
      <c r="V620" s="58"/>
      <c r="W620" s="58"/>
      <c r="X620" s="58"/>
      <c r="Y620" s="58"/>
      <c r="Z620" s="58"/>
      <c r="AA620" s="58"/>
      <c r="AB620" s="58"/>
      <c r="AC620" s="58"/>
    </row>
    <row r="621">
      <c r="A621" s="320"/>
      <c r="B621" s="301"/>
      <c r="C621" s="205"/>
      <c r="D621" s="302"/>
      <c r="E621" s="303"/>
      <c r="F621" s="304"/>
      <c r="G621" s="312"/>
      <c r="H621" s="306"/>
      <c r="I621" s="302"/>
      <c r="J621" s="307"/>
      <c r="K621" s="313"/>
      <c r="L621" s="319"/>
      <c r="M621" s="316"/>
      <c r="N621" s="205"/>
      <c r="O621" s="311"/>
      <c r="P621" s="200"/>
      <c r="Q621" s="200"/>
      <c r="R621" s="58"/>
      <c r="S621" s="58"/>
      <c r="T621" s="58"/>
      <c r="U621" s="58"/>
      <c r="V621" s="58"/>
      <c r="W621" s="58"/>
      <c r="X621" s="58"/>
      <c r="Y621" s="58"/>
      <c r="Z621" s="58"/>
      <c r="AA621" s="58"/>
      <c r="AB621" s="58"/>
      <c r="AC621" s="58"/>
    </row>
    <row r="622">
      <c r="A622" s="320"/>
      <c r="B622" s="301"/>
      <c r="C622" s="205"/>
      <c r="D622" s="302"/>
      <c r="E622" s="303"/>
      <c r="F622" s="304"/>
      <c r="G622" s="312"/>
      <c r="H622" s="306"/>
      <c r="I622" s="302"/>
      <c r="J622" s="307"/>
      <c r="K622" s="313"/>
      <c r="L622" s="319"/>
      <c r="M622" s="316"/>
      <c r="N622" s="205"/>
      <c r="O622" s="311"/>
      <c r="P622" s="200"/>
      <c r="Q622" s="200"/>
      <c r="R622" s="58"/>
      <c r="S622" s="58"/>
      <c r="T622" s="58"/>
      <c r="U622" s="58"/>
      <c r="V622" s="58"/>
      <c r="W622" s="58"/>
      <c r="X622" s="58"/>
      <c r="Y622" s="58"/>
      <c r="Z622" s="58"/>
      <c r="AA622" s="58"/>
      <c r="AB622" s="58"/>
      <c r="AC622" s="58"/>
    </row>
    <row r="623">
      <c r="A623" s="320"/>
      <c r="B623" s="301"/>
      <c r="C623" s="205"/>
      <c r="D623" s="302"/>
      <c r="E623" s="303"/>
      <c r="F623" s="304"/>
      <c r="G623" s="312"/>
      <c r="H623" s="306"/>
      <c r="I623" s="302"/>
      <c r="J623" s="307"/>
      <c r="K623" s="313"/>
      <c r="L623" s="319"/>
      <c r="M623" s="316"/>
      <c r="N623" s="205"/>
      <c r="O623" s="311"/>
      <c r="P623" s="200"/>
      <c r="Q623" s="200"/>
      <c r="R623" s="58"/>
      <c r="S623" s="58"/>
      <c r="T623" s="58"/>
      <c r="U623" s="58"/>
      <c r="V623" s="58"/>
      <c r="W623" s="58"/>
      <c r="X623" s="58"/>
      <c r="Y623" s="58"/>
      <c r="Z623" s="58"/>
      <c r="AA623" s="58"/>
      <c r="AB623" s="58"/>
      <c r="AC623" s="58"/>
    </row>
    <row r="624">
      <c r="A624" s="320"/>
      <c r="B624" s="301"/>
      <c r="C624" s="205"/>
      <c r="D624" s="302"/>
      <c r="E624" s="303"/>
      <c r="F624" s="304"/>
      <c r="G624" s="312"/>
      <c r="H624" s="306"/>
      <c r="I624" s="302"/>
      <c r="J624" s="307"/>
      <c r="K624" s="313"/>
      <c r="L624" s="319"/>
      <c r="M624" s="316"/>
      <c r="N624" s="205"/>
      <c r="O624" s="311"/>
      <c r="P624" s="200"/>
      <c r="Q624" s="200"/>
      <c r="R624" s="58"/>
      <c r="S624" s="58"/>
      <c r="T624" s="58"/>
      <c r="U624" s="58"/>
      <c r="V624" s="58"/>
      <c r="W624" s="58"/>
      <c r="X624" s="58"/>
      <c r="Y624" s="58"/>
      <c r="Z624" s="58"/>
      <c r="AA624" s="58"/>
      <c r="AB624" s="58"/>
      <c r="AC624" s="58"/>
    </row>
    <row r="625">
      <c r="A625" s="320"/>
      <c r="B625" s="301"/>
      <c r="C625" s="205"/>
      <c r="D625" s="302"/>
      <c r="E625" s="303"/>
      <c r="F625" s="304"/>
      <c r="G625" s="312"/>
      <c r="H625" s="306"/>
      <c r="I625" s="302"/>
      <c r="J625" s="307"/>
      <c r="K625" s="313"/>
      <c r="L625" s="319"/>
      <c r="M625" s="316"/>
      <c r="N625" s="205"/>
      <c r="O625" s="311"/>
      <c r="P625" s="200"/>
      <c r="Q625" s="200"/>
      <c r="R625" s="58"/>
      <c r="S625" s="58"/>
      <c r="T625" s="58"/>
      <c r="U625" s="58"/>
      <c r="V625" s="58"/>
      <c r="W625" s="58"/>
      <c r="X625" s="58"/>
      <c r="Y625" s="58"/>
      <c r="Z625" s="58"/>
      <c r="AA625" s="58"/>
      <c r="AB625" s="58"/>
      <c r="AC625" s="58"/>
    </row>
    <row r="626">
      <c r="A626" s="320"/>
      <c r="B626" s="301"/>
      <c r="C626" s="205"/>
      <c r="D626" s="302"/>
      <c r="E626" s="303"/>
      <c r="F626" s="304"/>
      <c r="G626" s="312"/>
      <c r="H626" s="306"/>
      <c r="I626" s="302"/>
      <c r="J626" s="307"/>
      <c r="K626" s="313"/>
      <c r="L626" s="319"/>
      <c r="M626" s="316"/>
      <c r="N626" s="205"/>
      <c r="O626" s="311"/>
      <c r="P626" s="200"/>
      <c r="Q626" s="200"/>
      <c r="R626" s="58"/>
      <c r="S626" s="58"/>
      <c r="T626" s="58"/>
      <c r="U626" s="58"/>
      <c r="V626" s="58"/>
      <c r="W626" s="58"/>
      <c r="X626" s="58"/>
      <c r="Y626" s="58"/>
      <c r="Z626" s="58"/>
      <c r="AA626" s="58"/>
      <c r="AB626" s="58"/>
      <c r="AC626" s="58"/>
    </row>
    <row r="627">
      <c r="A627" s="320"/>
      <c r="B627" s="301"/>
      <c r="C627" s="205"/>
      <c r="D627" s="302"/>
      <c r="E627" s="303"/>
      <c r="F627" s="304"/>
      <c r="G627" s="312"/>
      <c r="H627" s="306"/>
      <c r="I627" s="302"/>
      <c r="J627" s="307"/>
      <c r="K627" s="313"/>
      <c r="L627" s="319"/>
      <c r="M627" s="316"/>
      <c r="N627" s="205"/>
      <c r="O627" s="311"/>
      <c r="P627" s="200"/>
      <c r="Q627" s="200"/>
      <c r="R627" s="58"/>
      <c r="S627" s="58"/>
      <c r="T627" s="58"/>
      <c r="U627" s="58"/>
      <c r="V627" s="58"/>
      <c r="W627" s="58"/>
      <c r="X627" s="58"/>
      <c r="Y627" s="58"/>
      <c r="Z627" s="58"/>
      <c r="AA627" s="58"/>
      <c r="AB627" s="58"/>
      <c r="AC627" s="58"/>
    </row>
    <row r="628">
      <c r="A628" s="320"/>
      <c r="B628" s="301"/>
      <c r="C628" s="205"/>
      <c r="D628" s="302"/>
      <c r="E628" s="303"/>
      <c r="F628" s="304"/>
      <c r="G628" s="312"/>
      <c r="H628" s="306"/>
      <c r="I628" s="302"/>
      <c r="J628" s="307"/>
      <c r="K628" s="313"/>
      <c r="L628" s="319"/>
      <c r="M628" s="316"/>
      <c r="N628" s="205"/>
      <c r="O628" s="311"/>
      <c r="P628" s="200"/>
      <c r="Q628" s="200"/>
      <c r="R628" s="58"/>
      <c r="S628" s="58"/>
      <c r="T628" s="58"/>
      <c r="U628" s="58"/>
      <c r="V628" s="58"/>
      <c r="W628" s="58"/>
      <c r="X628" s="58"/>
      <c r="Y628" s="58"/>
      <c r="Z628" s="58"/>
      <c r="AA628" s="58"/>
      <c r="AB628" s="58"/>
      <c r="AC628" s="58"/>
    </row>
    <row r="629">
      <c r="A629" s="320"/>
      <c r="B629" s="301"/>
      <c r="C629" s="205"/>
      <c r="D629" s="302"/>
      <c r="E629" s="303"/>
      <c r="F629" s="304"/>
      <c r="G629" s="312"/>
      <c r="H629" s="306"/>
      <c r="I629" s="302"/>
      <c r="J629" s="307"/>
      <c r="K629" s="313"/>
      <c r="L629" s="319"/>
      <c r="M629" s="316"/>
      <c r="N629" s="205"/>
      <c r="O629" s="311"/>
      <c r="P629" s="200"/>
      <c r="Q629" s="200"/>
      <c r="R629" s="58"/>
      <c r="S629" s="58"/>
      <c r="T629" s="58"/>
      <c r="U629" s="58"/>
      <c r="V629" s="58"/>
      <c r="W629" s="58"/>
      <c r="X629" s="58"/>
      <c r="Y629" s="58"/>
      <c r="Z629" s="58"/>
      <c r="AA629" s="58"/>
      <c r="AB629" s="58"/>
      <c r="AC629" s="58"/>
    </row>
    <row r="630">
      <c r="A630" s="320"/>
      <c r="B630" s="301"/>
      <c r="C630" s="205"/>
      <c r="D630" s="302"/>
      <c r="E630" s="303"/>
      <c r="F630" s="304"/>
      <c r="G630" s="312"/>
      <c r="H630" s="306"/>
      <c r="I630" s="302"/>
      <c r="J630" s="307"/>
      <c r="K630" s="313"/>
      <c r="L630" s="319"/>
      <c r="M630" s="316"/>
      <c r="N630" s="205"/>
      <c r="O630" s="311"/>
      <c r="P630" s="200"/>
      <c r="Q630" s="200"/>
      <c r="R630" s="58"/>
      <c r="S630" s="58"/>
      <c r="T630" s="58"/>
      <c r="U630" s="58"/>
      <c r="V630" s="58"/>
      <c r="W630" s="58"/>
      <c r="X630" s="58"/>
      <c r="Y630" s="58"/>
      <c r="Z630" s="58"/>
      <c r="AA630" s="58"/>
      <c r="AB630" s="58"/>
      <c r="AC630" s="58"/>
    </row>
    <row r="631">
      <c r="A631" s="320"/>
      <c r="B631" s="301"/>
      <c r="C631" s="205"/>
      <c r="D631" s="302"/>
      <c r="E631" s="303"/>
      <c r="F631" s="304"/>
      <c r="G631" s="312"/>
      <c r="H631" s="306"/>
      <c r="I631" s="302"/>
      <c r="J631" s="307"/>
      <c r="K631" s="313"/>
      <c r="L631" s="319"/>
      <c r="M631" s="316"/>
      <c r="N631" s="205"/>
      <c r="O631" s="311"/>
      <c r="P631" s="200"/>
      <c r="Q631" s="200"/>
      <c r="R631" s="58"/>
      <c r="S631" s="58"/>
      <c r="T631" s="58"/>
      <c r="U631" s="58"/>
      <c r="V631" s="58"/>
      <c r="W631" s="58"/>
      <c r="X631" s="58"/>
      <c r="Y631" s="58"/>
      <c r="Z631" s="58"/>
      <c r="AA631" s="58"/>
      <c r="AB631" s="58"/>
      <c r="AC631" s="58"/>
    </row>
    <row r="632">
      <c r="A632" s="320"/>
      <c r="B632" s="301"/>
      <c r="C632" s="205"/>
      <c r="D632" s="302"/>
      <c r="E632" s="303"/>
      <c r="F632" s="304"/>
      <c r="G632" s="312"/>
      <c r="H632" s="306"/>
      <c r="I632" s="302"/>
      <c r="J632" s="307"/>
      <c r="K632" s="313"/>
      <c r="L632" s="319"/>
      <c r="M632" s="316"/>
      <c r="N632" s="205"/>
      <c r="O632" s="311"/>
      <c r="P632" s="200"/>
      <c r="Q632" s="200"/>
      <c r="R632" s="58"/>
      <c r="S632" s="58"/>
      <c r="T632" s="58"/>
      <c r="U632" s="58"/>
      <c r="V632" s="58"/>
      <c r="W632" s="58"/>
      <c r="X632" s="58"/>
      <c r="Y632" s="58"/>
      <c r="Z632" s="58"/>
      <c r="AA632" s="58"/>
      <c r="AB632" s="58"/>
      <c r="AC632" s="58"/>
    </row>
    <row r="633">
      <c r="A633" s="320"/>
      <c r="B633" s="301"/>
      <c r="C633" s="205"/>
      <c r="D633" s="302"/>
      <c r="E633" s="303"/>
      <c r="F633" s="304"/>
      <c r="G633" s="312"/>
      <c r="H633" s="306"/>
      <c r="I633" s="302"/>
      <c r="J633" s="307"/>
      <c r="K633" s="313"/>
      <c r="L633" s="319"/>
      <c r="M633" s="316"/>
      <c r="N633" s="205"/>
      <c r="O633" s="311"/>
      <c r="P633" s="200"/>
      <c r="Q633" s="200"/>
      <c r="R633" s="58"/>
      <c r="S633" s="58"/>
      <c r="T633" s="58"/>
      <c r="U633" s="58"/>
      <c r="V633" s="58"/>
      <c r="W633" s="58"/>
      <c r="X633" s="58"/>
      <c r="Y633" s="58"/>
      <c r="Z633" s="58"/>
      <c r="AA633" s="58"/>
      <c r="AB633" s="58"/>
      <c r="AC633" s="58"/>
    </row>
    <row r="634">
      <c r="A634" s="320"/>
      <c r="B634" s="301"/>
      <c r="C634" s="205"/>
      <c r="D634" s="302"/>
      <c r="E634" s="303"/>
      <c r="F634" s="304"/>
      <c r="G634" s="312"/>
      <c r="H634" s="306"/>
      <c r="I634" s="302"/>
      <c r="J634" s="307"/>
      <c r="K634" s="313"/>
      <c r="L634" s="319"/>
      <c r="M634" s="316"/>
      <c r="N634" s="205"/>
      <c r="O634" s="311"/>
      <c r="P634" s="200"/>
      <c r="Q634" s="200"/>
      <c r="R634" s="58"/>
      <c r="S634" s="58"/>
      <c r="T634" s="58"/>
      <c r="U634" s="58"/>
      <c r="V634" s="58"/>
      <c r="W634" s="58"/>
      <c r="X634" s="58"/>
      <c r="Y634" s="58"/>
      <c r="Z634" s="58"/>
      <c r="AA634" s="58"/>
      <c r="AB634" s="58"/>
      <c r="AC634" s="58"/>
    </row>
    <row r="635">
      <c r="A635" s="320"/>
      <c r="B635" s="301"/>
      <c r="C635" s="205"/>
      <c r="D635" s="302"/>
      <c r="E635" s="303"/>
      <c r="F635" s="304"/>
      <c r="G635" s="312"/>
      <c r="H635" s="306"/>
      <c r="I635" s="302"/>
      <c r="J635" s="307"/>
      <c r="K635" s="313"/>
      <c r="L635" s="319"/>
      <c r="M635" s="316"/>
      <c r="N635" s="205"/>
      <c r="O635" s="311"/>
      <c r="P635" s="200"/>
      <c r="Q635" s="200"/>
      <c r="R635" s="58"/>
      <c r="S635" s="58"/>
      <c r="T635" s="58"/>
      <c r="U635" s="58"/>
      <c r="V635" s="58"/>
      <c r="W635" s="58"/>
      <c r="X635" s="58"/>
      <c r="Y635" s="58"/>
      <c r="Z635" s="58"/>
      <c r="AA635" s="58"/>
      <c r="AB635" s="58"/>
      <c r="AC635" s="58"/>
    </row>
    <row r="636">
      <c r="A636" s="320"/>
      <c r="B636" s="301"/>
      <c r="C636" s="205"/>
      <c r="D636" s="302"/>
      <c r="E636" s="303"/>
      <c r="F636" s="304"/>
      <c r="G636" s="312"/>
      <c r="H636" s="306"/>
      <c r="I636" s="302"/>
      <c r="J636" s="307"/>
      <c r="K636" s="313"/>
      <c r="L636" s="319"/>
      <c r="M636" s="316"/>
      <c r="N636" s="205"/>
      <c r="O636" s="311"/>
      <c r="P636" s="200"/>
      <c r="Q636" s="200"/>
      <c r="R636" s="58"/>
      <c r="S636" s="58"/>
      <c r="T636" s="58"/>
      <c r="U636" s="58"/>
      <c r="V636" s="58"/>
      <c r="W636" s="58"/>
      <c r="X636" s="58"/>
      <c r="Y636" s="58"/>
      <c r="Z636" s="58"/>
      <c r="AA636" s="58"/>
      <c r="AB636" s="58"/>
      <c r="AC636" s="58"/>
    </row>
    <row r="637">
      <c r="A637" s="320"/>
      <c r="B637" s="301"/>
      <c r="C637" s="205"/>
      <c r="D637" s="302"/>
      <c r="E637" s="303"/>
      <c r="F637" s="304"/>
      <c r="G637" s="312"/>
      <c r="H637" s="306"/>
      <c r="I637" s="302"/>
      <c r="J637" s="307"/>
      <c r="K637" s="313"/>
      <c r="L637" s="319"/>
      <c r="M637" s="316"/>
      <c r="N637" s="205"/>
      <c r="O637" s="311"/>
      <c r="P637" s="200"/>
      <c r="Q637" s="200"/>
      <c r="R637" s="58"/>
      <c r="S637" s="58"/>
      <c r="T637" s="58"/>
      <c r="U637" s="58"/>
      <c r="V637" s="58"/>
      <c r="W637" s="58"/>
      <c r="X637" s="58"/>
      <c r="Y637" s="58"/>
      <c r="Z637" s="58"/>
      <c r="AA637" s="58"/>
      <c r="AB637" s="58"/>
      <c r="AC637" s="58"/>
    </row>
    <row r="638">
      <c r="A638" s="320"/>
      <c r="B638" s="301"/>
      <c r="C638" s="205"/>
      <c r="D638" s="302"/>
      <c r="E638" s="303"/>
      <c r="F638" s="304"/>
      <c r="G638" s="312"/>
      <c r="H638" s="306"/>
      <c r="I638" s="302"/>
      <c r="J638" s="307"/>
      <c r="K638" s="313"/>
      <c r="L638" s="319"/>
      <c r="M638" s="316"/>
      <c r="N638" s="205"/>
      <c r="O638" s="311"/>
      <c r="P638" s="200"/>
      <c r="Q638" s="200"/>
      <c r="R638" s="58"/>
      <c r="S638" s="58"/>
      <c r="T638" s="58"/>
      <c r="U638" s="58"/>
      <c r="V638" s="58"/>
      <c r="W638" s="58"/>
      <c r="X638" s="58"/>
      <c r="Y638" s="58"/>
      <c r="Z638" s="58"/>
      <c r="AA638" s="58"/>
      <c r="AB638" s="58"/>
      <c r="AC638" s="58"/>
    </row>
    <row r="639">
      <c r="A639" s="320"/>
      <c r="B639" s="301"/>
      <c r="C639" s="205"/>
      <c r="D639" s="302"/>
      <c r="E639" s="303"/>
      <c r="F639" s="304"/>
      <c r="G639" s="312"/>
      <c r="H639" s="306"/>
      <c r="I639" s="302"/>
      <c r="J639" s="307"/>
      <c r="K639" s="313"/>
      <c r="L639" s="319"/>
      <c r="M639" s="316"/>
      <c r="N639" s="205"/>
      <c r="O639" s="311"/>
      <c r="P639" s="200"/>
      <c r="Q639" s="200"/>
      <c r="R639" s="58"/>
      <c r="S639" s="58"/>
      <c r="T639" s="58"/>
      <c r="U639" s="58"/>
      <c r="V639" s="58"/>
      <c r="W639" s="58"/>
      <c r="X639" s="58"/>
      <c r="Y639" s="58"/>
      <c r="Z639" s="58"/>
      <c r="AA639" s="58"/>
      <c r="AB639" s="58"/>
      <c r="AC639" s="58"/>
    </row>
    <row r="640">
      <c r="A640" s="320"/>
      <c r="B640" s="301"/>
      <c r="C640" s="205"/>
      <c r="D640" s="302"/>
      <c r="E640" s="303"/>
      <c r="F640" s="304"/>
      <c r="G640" s="312"/>
      <c r="H640" s="306"/>
      <c r="I640" s="302"/>
      <c r="J640" s="307"/>
      <c r="K640" s="313"/>
      <c r="L640" s="319"/>
      <c r="M640" s="316"/>
      <c r="N640" s="205"/>
      <c r="O640" s="311"/>
      <c r="P640" s="200"/>
      <c r="Q640" s="200"/>
      <c r="R640" s="58"/>
      <c r="S640" s="58"/>
      <c r="T640" s="58"/>
      <c r="U640" s="58"/>
      <c r="V640" s="58"/>
      <c r="W640" s="58"/>
      <c r="X640" s="58"/>
      <c r="Y640" s="58"/>
      <c r="Z640" s="58"/>
      <c r="AA640" s="58"/>
      <c r="AB640" s="58"/>
      <c r="AC640" s="58"/>
    </row>
    <row r="641">
      <c r="A641" s="320"/>
      <c r="B641" s="301"/>
      <c r="C641" s="205"/>
      <c r="D641" s="302"/>
      <c r="E641" s="303"/>
      <c r="F641" s="304"/>
      <c r="G641" s="312"/>
      <c r="H641" s="306"/>
      <c r="I641" s="302"/>
      <c r="J641" s="307"/>
      <c r="K641" s="313"/>
      <c r="L641" s="319"/>
      <c r="M641" s="316"/>
      <c r="N641" s="205"/>
      <c r="O641" s="311"/>
      <c r="P641" s="200"/>
      <c r="Q641" s="200"/>
      <c r="R641" s="58"/>
      <c r="S641" s="58"/>
      <c r="T641" s="58"/>
      <c r="U641" s="58"/>
      <c r="V641" s="58"/>
      <c r="W641" s="58"/>
      <c r="X641" s="58"/>
      <c r="Y641" s="58"/>
      <c r="Z641" s="58"/>
      <c r="AA641" s="58"/>
      <c r="AB641" s="58"/>
      <c r="AC641" s="58"/>
    </row>
    <row r="642">
      <c r="A642" s="320"/>
      <c r="B642" s="301"/>
      <c r="C642" s="205"/>
      <c r="D642" s="302"/>
      <c r="E642" s="303"/>
      <c r="F642" s="304"/>
      <c r="G642" s="312"/>
      <c r="H642" s="306"/>
      <c r="I642" s="302"/>
      <c r="J642" s="307"/>
      <c r="K642" s="313"/>
      <c r="L642" s="319"/>
      <c r="M642" s="316"/>
      <c r="N642" s="205"/>
      <c r="O642" s="311"/>
      <c r="P642" s="200"/>
      <c r="Q642" s="200"/>
      <c r="R642" s="58"/>
      <c r="S642" s="58"/>
      <c r="T642" s="58"/>
      <c r="U642" s="58"/>
      <c r="V642" s="58"/>
      <c r="W642" s="58"/>
      <c r="X642" s="58"/>
      <c r="Y642" s="58"/>
      <c r="Z642" s="58"/>
      <c r="AA642" s="58"/>
      <c r="AB642" s="58"/>
      <c r="AC642" s="58"/>
    </row>
    <row r="643">
      <c r="A643" s="320"/>
      <c r="B643" s="301"/>
      <c r="C643" s="205"/>
      <c r="D643" s="302"/>
      <c r="E643" s="303"/>
      <c r="F643" s="304"/>
      <c r="G643" s="312"/>
      <c r="H643" s="306"/>
      <c r="I643" s="302"/>
      <c r="J643" s="307"/>
      <c r="K643" s="313"/>
      <c r="L643" s="319"/>
      <c r="M643" s="316"/>
      <c r="N643" s="205"/>
      <c r="O643" s="311"/>
      <c r="P643" s="200"/>
      <c r="Q643" s="200"/>
      <c r="R643" s="58"/>
      <c r="S643" s="58"/>
      <c r="T643" s="58"/>
      <c r="U643" s="58"/>
      <c r="V643" s="58"/>
      <c r="W643" s="58"/>
      <c r="X643" s="58"/>
      <c r="Y643" s="58"/>
      <c r="Z643" s="58"/>
      <c r="AA643" s="58"/>
      <c r="AB643" s="58"/>
      <c r="AC643" s="58"/>
    </row>
    <row r="644">
      <c r="A644" s="320"/>
      <c r="B644" s="301"/>
      <c r="C644" s="205"/>
      <c r="D644" s="302"/>
      <c r="E644" s="303"/>
      <c r="F644" s="304"/>
      <c r="G644" s="312"/>
      <c r="H644" s="306"/>
      <c r="I644" s="302"/>
      <c r="J644" s="307"/>
      <c r="K644" s="313"/>
      <c r="L644" s="319"/>
      <c r="M644" s="316"/>
      <c r="N644" s="205"/>
      <c r="O644" s="311"/>
      <c r="P644" s="200"/>
      <c r="Q644" s="200"/>
      <c r="R644" s="58"/>
      <c r="S644" s="58"/>
      <c r="T644" s="58"/>
      <c r="U644" s="58"/>
      <c r="V644" s="58"/>
      <c r="W644" s="58"/>
      <c r="X644" s="58"/>
      <c r="Y644" s="58"/>
      <c r="Z644" s="58"/>
      <c r="AA644" s="58"/>
      <c r="AB644" s="58"/>
      <c r="AC644" s="58"/>
    </row>
    <row r="645">
      <c r="A645" s="320"/>
      <c r="B645" s="301"/>
      <c r="C645" s="205"/>
      <c r="D645" s="302"/>
      <c r="E645" s="303"/>
      <c r="F645" s="304"/>
      <c r="G645" s="312"/>
      <c r="H645" s="306"/>
      <c r="I645" s="302"/>
      <c r="J645" s="307"/>
      <c r="K645" s="313"/>
      <c r="L645" s="319"/>
      <c r="M645" s="316"/>
      <c r="N645" s="205"/>
      <c r="O645" s="311"/>
      <c r="P645" s="200"/>
      <c r="Q645" s="200"/>
      <c r="R645" s="58"/>
      <c r="S645" s="58"/>
      <c r="T645" s="58"/>
      <c r="U645" s="58"/>
      <c r="V645" s="58"/>
      <c r="W645" s="58"/>
      <c r="X645" s="58"/>
      <c r="Y645" s="58"/>
      <c r="Z645" s="58"/>
      <c r="AA645" s="58"/>
      <c r="AB645" s="58"/>
      <c r="AC645" s="58"/>
    </row>
    <row r="646">
      <c r="A646" s="320"/>
      <c r="B646" s="301"/>
      <c r="C646" s="205"/>
      <c r="D646" s="302"/>
      <c r="E646" s="303"/>
      <c r="F646" s="304"/>
      <c r="G646" s="312"/>
      <c r="H646" s="306"/>
      <c r="I646" s="302"/>
      <c r="J646" s="307"/>
      <c r="K646" s="313"/>
      <c r="L646" s="319"/>
      <c r="M646" s="316"/>
      <c r="N646" s="205"/>
      <c r="O646" s="311"/>
      <c r="P646" s="200"/>
      <c r="Q646" s="200"/>
      <c r="R646" s="58"/>
      <c r="S646" s="58"/>
      <c r="T646" s="58"/>
      <c r="U646" s="58"/>
      <c r="V646" s="58"/>
      <c r="W646" s="58"/>
      <c r="X646" s="58"/>
      <c r="Y646" s="58"/>
      <c r="Z646" s="58"/>
      <c r="AA646" s="58"/>
      <c r="AB646" s="58"/>
      <c r="AC646" s="58"/>
    </row>
    <row r="647">
      <c r="A647" s="320"/>
      <c r="B647" s="301"/>
      <c r="C647" s="205"/>
      <c r="D647" s="302"/>
      <c r="E647" s="303"/>
      <c r="F647" s="304"/>
      <c r="G647" s="312"/>
      <c r="H647" s="306"/>
      <c r="I647" s="302"/>
      <c r="J647" s="307"/>
      <c r="K647" s="313"/>
      <c r="L647" s="319"/>
      <c r="M647" s="316"/>
      <c r="N647" s="205"/>
      <c r="O647" s="311"/>
      <c r="P647" s="200"/>
      <c r="Q647" s="200"/>
      <c r="R647" s="58"/>
      <c r="S647" s="58"/>
      <c r="T647" s="58"/>
      <c r="U647" s="58"/>
      <c r="V647" s="58"/>
      <c r="W647" s="58"/>
      <c r="X647" s="58"/>
      <c r="Y647" s="58"/>
      <c r="Z647" s="58"/>
      <c r="AA647" s="58"/>
      <c r="AB647" s="58"/>
      <c r="AC647" s="58"/>
    </row>
    <row r="648">
      <c r="A648" s="320"/>
      <c r="B648" s="301"/>
      <c r="C648" s="205"/>
      <c r="D648" s="302"/>
      <c r="E648" s="303"/>
      <c r="F648" s="304"/>
      <c r="G648" s="312"/>
      <c r="H648" s="306"/>
      <c r="I648" s="302"/>
      <c r="J648" s="307"/>
      <c r="K648" s="313"/>
      <c r="L648" s="319"/>
      <c r="M648" s="316"/>
      <c r="N648" s="205"/>
      <c r="O648" s="311"/>
      <c r="P648" s="200"/>
      <c r="Q648" s="200"/>
      <c r="R648" s="58"/>
      <c r="S648" s="58"/>
      <c r="T648" s="58"/>
      <c r="U648" s="58"/>
      <c r="V648" s="58"/>
      <c r="W648" s="58"/>
      <c r="X648" s="58"/>
      <c r="Y648" s="58"/>
      <c r="Z648" s="58"/>
      <c r="AA648" s="58"/>
      <c r="AB648" s="58"/>
      <c r="AC648" s="58"/>
    </row>
    <row r="649">
      <c r="A649" s="320"/>
      <c r="B649" s="301"/>
      <c r="C649" s="205"/>
      <c r="D649" s="302"/>
      <c r="E649" s="303"/>
      <c r="F649" s="304"/>
      <c r="G649" s="312"/>
      <c r="H649" s="306"/>
      <c r="I649" s="302"/>
      <c r="J649" s="307"/>
      <c r="K649" s="313"/>
      <c r="L649" s="319"/>
      <c r="M649" s="316"/>
      <c r="N649" s="205"/>
      <c r="O649" s="311"/>
      <c r="P649" s="200"/>
      <c r="Q649" s="200"/>
      <c r="R649" s="58"/>
      <c r="S649" s="58"/>
      <c r="T649" s="58"/>
      <c r="U649" s="58"/>
      <c r="V649" s="58"/>
      <c r="W649" s="58"/>
      <c r="X649" s="58"/>
      <c r="Y649" s="58"/>
      <c r="Z649" s="58"/>
      <c r="AA649" s="58"/>
      <c r="AB649" s="58"/>
      <c r="AC649" s="58"/>
    </row>
    <row r="650">
      <c r="A650" s="320"/>
      <c r="B650" s="301"/>
      <c r="C650" s="205"/>
      <c r="D650" s="302"/>
      <c r="E650" s="303"/>
      <c r="F650" s="304"/>
      <c r="G650" s="312"/>
      <c r="H650" s="306"/>
      <c r="I650" s="302"/>
      <c r="J650" s="307"/>
      <c r="K650" s="313"/>
      <c r="L650" s="319"/>
      <c r="M650" s="316"/>
      <c r="N650" s="205"/>
      <c r="O650" s="311"/>
      <c r="P650" s="200"/>
      <c r="Q650" s="200"/>
      <c r="R650" s="58"/>
      <c r="S650" s="58"/>
      <c r="T650" s="58"/>
      <c r="U650" s="58"/>
      <c r="V650" s="58"/>
      <c r="W650" s="58"/>
      <c r="X650" s="58"/>
      <c r="Y650" s="58"/>
      <c r="Z650" s="58"/>
      <c r="AA650" s="58"/>
      <c r="AB650" s="58"/>
      <c r="AC650" s="58"/>
    </row>
    <row r="651">
      <c r="A651" s="320"/>
      <c r="B651" s="301"/>
      <c r="C651" s="205"/>
      <c r="D651" s="302"/>
      <c r="E651" s="303"/>
      <c r="F651" s="304"/>
      <c r="G651" s="312"/>
      <c r="H651" s="306"/>
      <c r="I651" s="302"/>
      <c r="J651" s="307"/>
      <c r="K651" s="313"/>
      <c r="L651" s="319"/>
      <c r="M651" s="316"/>
      <c r="N651" s="205"/>
      <c r="O651" s="311"/>
      <c r="P651" s="200"/>
      <c r="Q651" s="200"/>
      <c r="R651" s="58"/>
      <c r="S651" s="58"/>
      <c r="T651" s="58"/>
      <c r="U651" s="58"/>
      <c r="V651" s="58"/>
      <c r="W651" s="58"/>
      <c r="X651" s="58"/>
      <c r="Y651" s="58"/>
      <c r="Z651" s="58"/>
      <c r="AA651" s="58"/>
      <c r="AB651" s="58"/>
      <c r="AC651" s="58"/>
    </row>
    <row r="652">
      <c r="A652" s="320"/>
      <c r="B652" s="301"/>
      <c r="C652" s="205"/>
      <c r="D652" s="302"/>
      <c r="E652" s="303"/>
      <c r="F652" s="304"/>
      <c r="G652" s="312"/>
      <c r="H652" s="306"/>
      <c r="I652" s="302"/>
      <c r="J652" s="307"/>
      <c r="K652" s="313"/>
      <c r="L652" s="319"/>
      <c r="M652" s="316"/>
      <c r="N652" s="205"/>
      <c r="O652" s="311"/>
      <c r="P652" s="200"/>
      <c r="Q652" s="200"/>
      <c r="R652" s="58"/>
      <c r="S652" s="58"/>
      <c r="T652" s="58"/>
      <c r="U652" s="58"/>
      <c r="V652" s="58"/>
      <c r="W652" s="58"/>
      <c r="X652" s="58"/>
      <c r="Y652" s="58"/>
      <c r="Z652" s="58"/>
      <c r="AA652" s="58"/>
      <c r="AB652" s="58"/>
      <c r="AC652" s="58"/>
    </row>
    <row r="653">
      <c r="A653" s="320"/>
      <c r="B653" s="301"/>
      <c r="C653" s="205"/>
      <c r="D653" s="302"/>
      <c r="E653" s="303"/>
      <c r="F653" s="304"/>
      <c r="G653" s="312"/>
      <c r="H653" s="306"/>
      <c r="I653" s="302"/>
      <c r="J653" s="307"/>
      <c r="K653" s="313"/>
      <c r="L653" s="319"/>
      <c r="M653" s="316"/>
      <c r="N653" s="205"/>
      <c r="O653" s="311"/>
      <c r="P653" s="200"/>
      <c r="Q653" s="200"/>
      <c r="R653" s="58"/>
      <c r="S653" s="58"/>
      <c r="T653" s="58"/>
      <c r="U653" s="58"/>
      <c r="V653" s="58"/>
      <c r="W653" s="58"/>
      <c r="X653" s="58"/>
      <c r="Y653" s="58"/>
      <c r="Z653" s="58"/>
      <c r="AA653" s="58"/>
      <c r="AB653" s="58"/>
      <c r="AC653" s="58"/>
    </row>
    <row r="654">
      <c r="A654" s="320"/>
      <c r="B654" s="301"/>
      <c r="C654" s="205"/>
      <c r="D654" s="302"/>
      <c r="E654" s="303"/>
      <c r="F654" s="304"/>
      <c r="G654" s="312"/>
      <c r="H654" s="306"/>
      <c r="I654" s="302"/>
      <c r="J654" s="307"/>
      <c r="K654" s="313"/>
      <c r="L654" s="319"/>
      <c r="M654" s="316"/>
      <c r="N654" s="205"/>
      <c r="O654" s="311"/>
      <c r="P654" s="200"/>
      <c r="Q654" s="200"/>
      <c r="R654" s="58"/>
      <c r="S654" s="58"/>
      <c r="T654" s="58"/>
      <c r="U654" s="58"/>
      <c r="V654" s="58"/>
      <c r="W654" s="58"/>
      <c r="X654" s="58"/>
      <c r="Y654" s="58"/>
      <c r="Z654" s="58"/>
      <c r="AA654" s="58"/>
      <c r="AB654" s="58"/>
      <c r="AC654" s="58"/>
    </row>
    <row r="655">
      <c r="A655" s="320"/>
      <c r="B655" s="301"/>
      <c r="C655" s="205"/>
      <c r="D655" s="302"/>
      <c r="E655" s="303"/>
      <c r="F655" s="304"/>
      <c r="G655" s="312"/>
      <c r="H655" s="306"/>
      <c r="I655" s="302"/>
      <c r="J655" s="307"/>
      <c r="K655" s="313"/>
      <c r="L655" s="319"/>
      <c r="M655" s="316"/>
      <c r="N655" s="205"/>
      <c r="O655" s="311"/>
      <c r="P655" s="200"/>
      <c r="Q655" s="200"/>
      <c r="R655" s="58"/>
      <c r="S655" s="58"/>
      <c r="T655" s="58"/>
      <c r="U655" s="58"/>
      <c r="V655" s="58"/>
      <c r="W655" s="58"/>
      <c r="X655" s="58"/>
      <c r="Y655" s="58"/>
      <c r="Z655" s="58"/>
      <c r="AA655" s="58"/>
      <c r="AB655" s="58"/>
      <c r="AC655" s="58"/>
    </row>
    <row r="656">
      <c r="A656" s="320"/>
      <c r="B656" s="301"/>
      <c r="C656" s="205"/>
      <c r="D656" s="302"/>
      <c r="E656" s="303"/>
      <c r="F656" s="304"/>
      <c r="G656" s="312"/>
      <c r="H656" s="306"/>
      <c r="I656" s="302"/>
      <c r="J656" s="307"/>
      <c r="K656" s="313"/>
      <c r="L656" s="319"/>
      <c r="M656" s="316"/>
      <c r="N656" s="205"/>
      <c r="O656" s="311"/>
      <c r="P656" s="200"/>
      <c r="Q656" s="200"/>
      <c r="R656" s="58"/>
      <c r="S656" s="58"/>
      <c r="T656" s="58"/>
      <c r="U656" s="58"/>
      <c r="V656" s="58"/>
      <c r="W656" s="58"/>
      <c r="X656" s="58"/>
      <c r="Y656" s="58"/>
      <c r="Z656" s="58"/>
      <c r="AA656" s="58"/>
      <c r="AB656" s="58"/>
      <c r="AC656" s="58"/>
    </row>
    <row r="657">
      <c r="A657" s="320"/>
      <c r="B657" s="301"/>
      <c r="C657" s="205"/>
      <c r="D657" s="302"/>
      <c r="E657" s="303"/>
      <c r="F657" s="304"/>
      <c r="G657" s="312"/>
      <c r="H657" s="306"/>
      <c r="I657" s="302"/>
      <c r="J657" s="307"/>
      <c r="K657" s="313"/>
      <c r="L657" s="319"/>
      <c r="M657" s="316"/>
      <c r="N657" s="205"/>
      <c r="O657" s="311"/>
      <c r="P657" s="200"/>
      <c r="Q657" s="200"/>
      <c r="R657" s="58"/>
      <c r="S657" s="58"/>
      <c r="T657" s="58"/>
      <c r="U657" s="58"/>
      <c r="V657" s="58"/>
      <c r="W657" s="58"/>
      <c r="X657" s="58"/>
      <c r="Y657" s="58"/>
      <c r="Z657" s="58"/>
      <c r="AA657" s="58"/>
      <c r="AB657" s="58"/>
      <c r="AC657" s="58"/>
    </row>
    <row r="658">
      <c r="A658" s="320"/>
      <c r="B658" s="301"/>
      <c r="C658" s="205"/>
      <c r="D658" s="302"/>
      <c r="E658" s="303"/>
      <c r="F658" s="304"/>
      <c r="G658" s="312"/>
      <c r="H658" s="306"/>
      <c r="I658" s="302"/>
      <c r="J658" s="307"/>
      <c r="K658" s="313"/>
      <c r="L658" s="319"/>
      <c r="M658" s="316"/>
      <c r="N658" s="205"/>
      <c r="O658" s="311"/>
      <c r="P658" s="200"/>
      <c r="Q658" s="200"/>
      <c r="R658" s="58"/>
      <c r="S658" s="58"/>
      <c r="T658" s="58"/>
      <c r="U658" s="58"/>
      <c r="V658" s="58"/>
      <c r="W658" s="58"/>
      <c r="X658" s="58"/>
      <c r="Y658" s="58"/>
      <c r="Z658" s="58"/>
      <c r="AA658" s="58"/>
      <c r="AB658" s="58"/>
      <c r="AC658" s="58"/>
    </row>
    <row r="659">
      <c r="A659" s="320"/>
      <c r="B659" s="301"/>
      <c r="C659" s="205"/>
      <c r="D659" s="302"/>
      <c r="E659" s="303"/>
      <c r="F659" s="304"/>
      <c r="G659" s="312"/>
      <c r="H659" s="306"/>
      <c r="I659" s="302"/>
      <c r="J659" s="307"/>
      <c r="K659" s="313"/>
      <c r="L659" s="319"/>
      <c r="M659" s="316"/>
      <c r="N659" s="205"/>
      <c r="O659" s="311"/>
      <c r="P659" s="200"/>
      <c r="Q659" s="200"/>
      <c r="R659" s="58"/>
      <c r="S659" s="58"/>
      <c r="T659" s="58"/>
      <c r="U659" s="58"/>
      <c r="V659" s="58"/>
      <c r="W659" s="58"/>
      <c r="X659" s="58"/>
      <c r="Y659" s="58"/>
      <c r="Z659" s="58"/>
      <c r="AA659" s="58"/>
      <c r="AB659" s="58"/>
      <c r="AC659" s="58"/>
    </row>
    <row r="660">
      <c r="A660" s="320"/>
      <c r="B660" s="301"/>
      <c r="C660" s="205"/>
      <c r="D660" s="302"/>
      <c r="E660" s="303"/>
      <c r="F660" s="304"/>
      <c r="G660" s="312"/>
      <c r="H660" s="306"/>
      <c r="I660" s="302"/>
      <c r="J660" s="307"/>
      <c r="K660" s="313"/>
      <c r="L660" s="319"/>
      <c r="M660" s="316"/>
      <c r="N660" s="205"/>
      <c r="O660" s="311"/>
      <c r="P660" s="200"/>
      <c r="Q660" s="200"/>
      <c r="R660" s="58"/>
      <c r="S660" s="58"/>
      <c r="T660" s="58"/>
      <c r="U660" s="58"/>
      <c r="V660" s="58"/>
      <c r="W660" s="58"/>
      <c r="X660" s="58"/>
      <c r="Y660" s="58"/>
      <c r="Z660" s="58"/>
      <c r="AA660" s="58"/>
      <c r="AB660" s="58"/>
      <c r="AC660" s="58"/>
    </row>
    <row r="661">
      <c r="A661" s="320"/>
      <c r="B661" s="301"/>
      <c r="C661" s="205"/>
      <c r="D661" s="302"/>
      <c r="E661" s="303"/>
      <c r="F661" s="304"/>
      <c r="G661" s="312"/>
      <c r="H661" s="306"/>
      <c r="I661" s="302"/>
      <c r="J661" s="307"/>
      <c r="K661" s="313"/>
      <c r="L661" s="319"/>
      <c r="M661" s="316"/>
      <c r="N661" s="205"/>
      <c r="O661" s="311"/>
      <c r="P661" s="200"/>
      <c r="Q661" s="200"/>
      <c r="R661" s="58"/>
      <c r="S661" s="58"/>
      <c r="T661" s="58"/>
      <c r="U661" s="58"/>
      <c r="V661" s="58"/>
      <c r="W661" s="58"/>
      <c r="X661" s="58"/>
      <c r="Y661" s="58"/>
      <c r="Z661" s="58"/>
      <c r="AA661" s="58"/>
      <c r="AB661" s="58"/>
      <c r="AC661" s="58"/>
    </row>
    <row r="662">
      <c r="A662" s="320"/>
      <c r="B662" s="301"/>
      <c r="C662" s="205"/>
      <c r="D662" s="302"/>
      <c r="E662" s="303"/>
      <c r="F662" s="304"/>
      <c r="G662" s="312"/>
      <c r="H662" s="306"/>
      <c r="I662" s="302"/>
      <c r="J662" s="307"/>
      <c r="K662" s="313"/>
      <c r="L662" s="319"/>
      <c r="M662" s="316"/>
      <c r="N662" s="205"/>
      <c r="O662" s="311"/>
      <c r="P662" s="200"/>
      <c r="Q662" s="200"/>
      <c r="R662" s="58"/>
      <c r="S662" s="58"/>
      <c r="T662" s="58"/>
      <c r="U662" s="58"/>
      <c r="V662" s="58"/>
      <c r="W662" s="58"/>
      <c r="X662" s="58"/>
      <c r="Y662" s="58"/>
      <c r="Z662" s="58"/>
      <c r="AA662" s="58"/>
      <c r="AB662" s="58"/>
      <c r="AC662" s="58"/>
    </row>
    <row r="663">
      <c r="A663" s="320"/>
      <c r="B663" s="301"/>
      <c r="C663" s="205"/>
      <c r="D663" s="302"/>
      <c r="E663" s="303"/>
      <c r="F663" s="304"/>
      <c r="G663" s="312"/>
      <c r="H663" s="306"/>
      <c r="I663" s="302"/>
      <c r="J663" s="307"/>
      <c r="K663" s="313"/>
      <c r="L663" s="319"/>
      <c r="M663" s="316"/>
      <c r="N663" s="205"/>
      <c r="O663" s="311"/>
      <c r="P663" s="200"/>
      <c r="Q663" s="200"/>
      <c r="R663" s="58"/>
      <c r="S663" s="58"/>
      <c r="T663" s="58"/>
      <c r="U663" s="58"/>
      <c r="V663" s="58"/>
      <c r="W663" s="58"/>
      <c r="X663" s="58"/>
      <c r="Y663" s="58"/>
      <c r="Z663" s="58"/>
      <c r="AA663" s="58"/>
      <c r="AB663" s="58"/>
      <c r="AC663" s="58"/>
    </row>
    <row r="664">
      <c r="A664" s="320"/>
      <c r="B664" s="301"/>
      <c r="C664" s="205"/>
      <c r="D664" s="302"/>
      <c r="E664" s="303"/>
      <c r="F664" s="304"/>
      <c r="G664" s="312"/>
      <c r="H664" s="306"/>
      <c r="I664" s="302"/>
      <c r="J664" s="307"/>
      <c r="K664" s="313"/>
      <c r="L664" s="319"/>
      <c r="M664" s="316"/>
      <c r="N664" s="205"/>
      <c r="O664" s="311"/>
      <c r="P664" s="200"/>
      <c r="Q664" s="200"/>
      <c r="R664" s="58"/>
      <c r="S664" s="58"/>
      <c r="T664" s="58"/>
      <c r="U664" s="58"/>
      <c r="V664" s="58"/>
      <c r="W664" s="58"/>
      <c r="X664" s="58"/>
      <c r="Y664" s="58"/>
      <c r="Z664" s="58"/>
      <c r="AA664" s="58"/>
      <c r="AB664" s="58"/>
      <c r="AC664" s="58"/>
    </row>
    <row r="665">
      <c r="A665" s="320"/>
      <c r="B665" s="301"/>
      <c r="C665" s="205"/>
      <c r="D665" s="302"/>
      <c r="E665" s="303"/>
      <c r="F665" s="304"/>
      <c r="G665" s="312"/>
      <c r="H665" s="306"/>
      <c r="I665" s="302"/>
      <c r="J665" s="307"/>
      <c r="K665" s="313"/>
      <c r="L665" s="319"/>
      <c r="M665" s="316"/>
      <c r="N665" s="205"/>
      <c r="O665" s="311"/>
      <c r="P665" s="200"/>
      <c r="Q665" s="200"/>
      <c r="R665" s="58"/>
      <c r="S665" s="58"/>
      <c r="T665" s="58"/>
      <c r="U665" s="58"/>
      <c r="V665" s="58"/>
      <c r="W665" s="58"/>
      <c r="X665" s="58"/>
      <c r="Y665" s="58"/>
      <c r="Z665" s="58"/>
      <c r="AA665" s="58"/>
      <c r="AB665" s="58"/>
      <c r="AC665" s="58"/>
    </row>
    <row r="666">
      <c r="A666" s="320"/>
      <c r="B666" s="301"/>
      <c r="C666" s="205"/>
      <c r="D666" s="302"/>
      <c r="E666" s="303"/>
      <c r="F666" s="304"/>
      <c r="G666" s="312"/>
      <c r="H666" s="306"/>
      <c r="I666" s="302"/>
      <c r="J666" s="307"/>
      <c r="K666" s="313"/>
      <c r="L666" s="319"/>
      <c r="M666" s="316"/>
      <c r="N666" s="205"/>
      <c r="O666" s="311"/>
      <c r="P666" s="200"/>
      <c r="Q666" s="200"/>
      <c r="R666" s="58"/>
      <c r="S666" s="58"/>
      <c r="T666" s="58"/>
      <c r="U666" s="58"/>
      <c r="V666" s="58"/>
      <c r="W666" s="58"/>
      <c r="X666" s="58"/>
      <c r="Y666" s="58"/>
      <c r="Z666" s="58"/>
      <c r="AA666" s="58"/>
      <c r="AB666" s="58"/>
      <c r="AC666" s="58"/>
    </row>
    <row r="667">
      <c r="A667" s="320"/>
      <c r="B667" s="301"/>
      <c r="C667" s="205"/>
      <c r="D667" s="302"/>
      <c r="E667" s="303"/>
      <c r="F667" s="304"/>
      <c r="G667" s="312"/>
      <c r="H667" s="306"/>
      <c r="I667" s="302"/>
      <c r="J667" s="307"/>
      <c r="K667" s="313"/>
      <c r="L667" s="319"/>
      <c r="M667" s="316"/>
      <c r="N667" s="205"/>
      <c r="O667" s="311"/>
      <c r="P667" s="200"/>
      <c r="Q667" s="200"/>
      <c r="R667" s="58"/>
      <c r="S667" s="58"/>
      <c r="T667" s="58"/>
      <c r="U667" s="58"/>
      <c r="V667" s="58"/>
      <c r="W667" s="58"/>
      <c r="X667" s="58"/>
      <c r="Y667" s="58"/>
      <c r="Z667" s="58"/>
      <c r="AA667" s="58"/>
      <c r="AB667" s="58"/>
      <c r="AC667" s="58"/>
    </row>
    <row r="668">
      <c r="A668" s="320"/>
      <c r="B668" s="301"/>
      <c r="C668" s="205"/>
      <c r="D668" s="302"/>
      <c r="E668" s="303"/>
      <c r="F668" s="304"/>
      <c r="G668" s="312"/>
      <c r="H668" s="306"/>
      <c r="I668" s="302"/>
      <c r="J668" s="307"/>
      <c r="K668" s="313"/>
      <c r="L668" s="319"/>
      <c r="M668" s="316"/>
      <c r="N668" s="205"/>
      <c r="O668" s="311"/>
      <c r="P668" s="200"/>
      <c r="Q668" s="200"/>
      <c r="R668" s="58"/>
      <c r="S668" s="58"/>
      <c r="T668" s="58"/>
      <c r="U668" s="58"/>
      <c r="V668" s="58"/>
      <c r="W668" s="58"/>
      <c r="X668" s="58"/>
      <c r="Y668" s="58"/>
      <c r="Z668" s="58"/>
      <c r="AA668" s="58"/>
      <c r="AB668" s="58"/>
      <c r="AC668" s="58"/>
    </row>
    <row r="669">
      <c r="A669" s="320"/>
      <c r="B669" s="301"/>
      <c r="C669" s="205"/>
      <c r="D669" s="302"/>
      <c r="E669" s="303"/>
      <c r="F669" s="304"/>
      <c r="G669" s="312"/>
      <c r="H669" s="306"/>
      <c r="I669" s="302"/>
      <c r="J669" s="307"/>
      <c r="K669" s="313"/>
      <c r="L669" s="319"/>
      <c r="M669" s="316"/>
      <c r="N669" s="205"/>
      <c r="O669" s="311"/>
      <c r="P669" s="200"/>
      <c r="Q669" s="200"/>
      <c r="R669" s="58"/>
      <c r="S669" s="58"/>
      <c r="T669" s="58"/>
      <c r="U669" s="58"/>
      <c r="V669" s="58"/>
      <c r="W669" s="58"/>
      <c r="X669" s="58"/>
      <c r="Y669" s="58"/>
      <c r="Z669" s="58"/>
      <c r="AA669" s="58"/>
      <c r="AB669" s="58"/>
      <c r="AC669" s="58"/>
    </row>
    <row r="670">
      <c r="A670" s="320"/>
      <c r="B670" s="301"/>
      <c r="C670" s="205"/>
      <c r="D670" s="302"/>
      <c r="E670" s="303"/>
      <c r="F670" s="304"/>
      <c r="G670" s="312"/>
      <c r="H670" s="306"/>
      <c r="I670" s="302"/>
      <c r="J670" s="307"/>
      <c r="K670" s="313"/>
      <c r="L670" s="319"/>
      <c r="M670" s="316"/>
      <c r="N670" s="205"/>
      <c r="O670" s="311"/>
      <c r="P670" s="200"/>
      <c r="Q670" s="200"/>
      <c r="R670" s="58"/>
      <c r="S670" s="58"/>
      <c r="T670" s="58"/>
      <c r="U670" s="58"/>
      <c r="V670" s="58"/>
      <c r="W670" s="58"/>
      <c r="X670" s="58"/>
      <c r="Y670" s="58"/>
      <c r="Z670" s="58"/>
      <c r="AA670" s="58"/>
      <c r="AB670" s="58"/>
      <c r="AC670" s="58"/>
    </row>
    <row r="671">
      <c r="A671" s="320"/>
      <c r="B671" s="301"/>
      <c r="C671" s="205"/>
      <c r="D671" s="302"/>
      <c r="E671" s="303"/>
      <c r="F671" s="304"/>
      <c r="G671" s="312"/>
      <c r="H671" s="306"/>
      <c r="I671" s="302"/>
      <c r="J671" s="307"/>
      <c r="K671" s="313"/>
      <c r="L671" s="319"/>
      <c r="M671" s="316"/>
      <c r="N671" s="205"/>
      <c r="O671" s="311"/>
      <c r="P671" s="200"/>
      <c r="Q671" s="200"/>
      <c r="R671" s="58"/>
      <c r="S671" s="58"/>
      <c r="T671" s="58"/>
      <c r="U671" s="58"/>
      <c r="V671" s="58"/>
      <c r="W671" s="58"/>
      <c r="X671" s="58"/>
      <c r="Y671" s="58"/>
      <c r="Z671" s="58"/>
      <c r="AA671" s="58"/>
      <c r="AB671" s="58"/>
      <c r="AC671" s="58"/>
    </row>
    <row r="672">
      <c r="A672" s="320"/>
      <c r="B672" s="301"/>
      <c r="C672" s="205"/>
      <c r="D672" s="302"/>
      <c r="E672" s="303"/>
      <c r="F672" s="304"/>
      <c r="G672" s="312"/>
      <c r="H672" s="306"/>
      <c r="I672" s="302"/>
      <c r="J672" s="307"/>
      <c r="K672" s="313"/>
      <c r="L672" s="319"/>
      <c r="M672" s="316"/>
      <c r="N672" s="205"/>
      <c r="O672" s="311"/>
      <c r="P672" s="200"/>
      <c r="Q672" s="200"/>
      <c r="R672" s="58"/>
      <c r="S672" s="58"/>
      <c r="T672" s="58"/>
      <c r="U672" s="58"/>
      <c r="V672" s="58"/>
      <c r="W672" s="58"/>
      <c r="X672" s="58"/>
      <c r="Y672" s="58"/>
      <c r="Z672" s="58"/>
      <c r="AA672" s="58"/>
      <c r="AB672" s="58"/>
      <c r="AC672" s="58"/>
    </row>
    <row r="673">
      <c r="A673" s="320"/>
      <c r="B673" s="301"/>
      <c r="C673" s="205"/>
      <c r="D673" s="302"/>
      <c r="E673" s="303"/>
      <c r="F673" s="304"/>
      <c r="G673" s="312"/>
      <c r="H673" s="306"/>
      <c r="I673" s="302"/>
      <c r="J673" s="307"/>
      <c r="K673" s="313"/>
      <c r="L673" s="319"/>
      <c r="M673" s="316"/>
      <c r="N673" s="205"/>
      <c r="O673" s="311"/>
      <c r="P673" s="200"/>
      <c r="Q673" s="200"/>
      <c r="R673" s="58"/>
      <c r="S673" s="58"/>
      <c r="T673" s="58"/>
      <c r="U673" s="58"/>
      <c r="V673" s="58"/>
      <c r="W673" s="58"/>
      <c r="X673" s="58"/>
      <c r="Y673" s="58"/>
      <c r="Z673" s="58"/>
      <c r="AA673" s="58"/>
      <c r="AB673" s="58"/>
      <c r="AC673" s="58"/>
    </row>
    <row r="674">
      <c r="A674" s="320"/>
      <c r="B674" s="301"/>
      <c r="C674" s="205"/>
      <c r="D674" s="302"/>
      <c r="E674" s="303"/>
      <c r="F674" s="304"/>
      <c r="G674" s="312"/>
      <c r="H674" s="306"/>
      <c r="I674" s="302"/>
      <c r="J674" s="307"/>
      <c r="K674" s="313"/>
      <c r="L674" s="319"/>
      <c r="M674" s="316"/>
      <c r="N674" s="205"/>
      <c r="O674" s="311"/>
      <c r="P674" s="200"/>
      <c r="Q674" s="200"/>
      <c r="R674" s="58"/>
      <c r="S674" s="58"/>
      <c r="T674" s="58"/>
      <c r="U674" s="58"/>
      <c r="V674" s="58"/>
      <c r="W674" s="58"/>
      <c r="X674" s="58"/>
      <c r="Y674" s="58"/>
      <c r="Z674" s="58"/>
      <c r="AA674" s="58"/>
      <c r="AB674" s="58"/>
      <c r="AC674" s="58"/>
    </row>
    <row r="675">
      <c r="A675" s="320"/>
      <c r="B675" s="301"/>
      <c r="C675" s="205"/>
      <c r="D675" s="302"/>
      <c r="E675" s="303"/>
      <c r="F675" s="304"/>
      <c r="G675" s="312"/>
      <c r="H675" s="306"/>
      <c r="I675" s="302"/>
      <c r="J675" s="307"/>
      <c r="K675" s="313"/>
      <c r="L675" s="319"/>
      <c r="M675" s="316"/>
      <c r="N675" s="205"/>
      <c r="O675" s="311"/>
      <c r="P675" s="200"/>
      <c r="Q675" s="200"/>
      <c r="R675" s="58"/>
      <c r="S675" s="58"/>
      <c r="T675" s="58"/>
      <c r="U675" s="58"/>
      <c r="V675" s="58"/>
      <c r="W675" s="58"/>
      <c r="X675" s="58"/>
      <c r="Y675" s="58"/>
      <c r="Z675" s="58"/>
      <c r="AA675" s="58"/>
      <c r="AB675" s="58"/>
      <c r="AC675" s="58"/>
    </row>
    <row r="676">
      <c r="A676" s="320"/>
      <c r="B676" s="301"/>
      <c r="C676" s="205"/>
      <c r="D676" s="302"/>
      <c r="E676" s="303"/>
      <c r="F676" s="304"/>
      <c r="G676" s="312"/>
      <c r="H676" s="306"/>
      <c r="I676" s="302"/>
      <c r="J676" s="307"/>
      <c r="K676" s="313"/>
      <c r="L676" s="319"/>
      <c r="M676" s="316"/>
      <c r="N676" s="205"/>
      <c r="O676" s="311"/>
      <c r="P676" s="200"/>
      <c r="Q676" s="200"/>
      <c r="R676" s="58"/>
      <c r="S676" s="58"/>
      <c r="T676" s="58"/>
      <c r="U676" s="58"/>
      <c r="V676" s="58"/>
      <c r="W676" s="58"/>
      <c r="X676" s="58"/>
      <c r="Y676" s="58"/>
      <c r="Z676" s="58"/>
      <c r="AA676" s="58"/>
      <c r="AB676" s="58"/>
      <c r="AC676" s="58"/>
    </row>
    <row r="677">
      <c r="A677" s="320"/>
      <c r="B677" s="301"/>
      <c r="C677" s="205"/>
      <c r="D677" s="302"/>
      <c r="E677" s="303"/>
      <c r="F677" s="304"/>
      <c r="G677" s="312"/>
      <c r="H677" s="306"/>
      <c r="I677" s="302"/>
      <c r="J677" s="307"/>
      <c r="K677" s="313"/>
      <c r="L677" s="319"/>
      <c r="M677" s="316"/>
      <c r="N677" s="205"/>
      <c r="O677" s="311"/>
      <c r="P677" s="200"/>
      <c r="Q677" s="200"/>
      <c r="R677" s="58"/>
      <c r="S677" s="58"/>
      <c r="T677" s="58"/>
      <c r="U677" s="58"/>
      <c r="V677" s="58"/>
      <c r="W677" s="58"/>
      <c r="X677" s="58"/>
      <c r="Y677" s="58"/>
      <c r="Z677" s="58"/>
      <c r="AA677" s="58"/>
      <c r="AB677" s="58"/>
      <c r="AC677" s="58"/>
    </row>
    <row r="678">
      <c r="A678" s="320"/>
      <c r="B678" s="301"/>
      <c r="C678" s="205"/>
      <c r="D678" s="302"/>
      <c r="E678" s="303"/>
      <c r="F678" s="304"/>
      <c r="G678" s="312"/>
      <c r="H678" s="306"/>
      <c r="I678" s="302"/>
      <c r="J678" s="307"/>
      <c r="K678" s="313"/>
      <c r="L678" s="319"/>
      <c r="M678" s="316"/>
      <c r="N678" s="205"/>
      <c r="O678" s="311"/>
      <c r="P678" s="200"/>
      <c r="Q678" s="200"/>
      <c r="R678" s="58"/>
      <c r="S678" s="58"/>
      <c r="T678" s="58"/>
      <c r="U678" s="58"/>
      <c r="V678" s="58"/>
      <c r="W678" s="58"/>
      <c r="X678" s="58"/>
      <c r="Y678" s="58"/>
      <c r="Z678" s="58"/>
      <c r="AA678" s="58"/>
      <c r="AB678" s="58"/>
      <c r="AC678" s="58"/>
    </row>
    <row r="679">
      <c r="A679" s="320"/>
      <c r="B679" s="301"/>
      <c r="C679" s="205"/>
      <c r="D679" s="302"/>
      <c r="E679" s="303"/>
      <c r="F679" s="304"/>
      <c r="G679" s="312"/>
      <c r="H679" s="306"/>
      <c r="I679" s="302"/>
      <c r="J679" s="307"/>
      <c r="K679" s="313"/>
      <c r="L679" s="319"/>
      <c r="M679" s="316"/>
      <c r="N679" s="205"/>
      <c r="O679" s="311"/>
      <c r="P679" s="200"/>
      <c r="Q679" s="200"/>
      <c r="R679" s="58"/>
      <c r="S679" s="58"/>
      <c r="T679" s="58"/>
      <c r="U679" s="58"/>
      <c r="V679" s="58"/>
      <c r="W679" s="58"/>
      <c r="X679" s="58"/>
      <c r="Y679" s="58"/>
      <c r="Z679" s="58"/>
      <c r="AA679" s="58"/>
      <c r="AB679" s="58"/>
      <c r="AC679" s="58"/>
    </row>
    <row r="680">
      <c r="A680" s="320"/>
      <c r="B680" s="301"/>
      <c r="C680" s="205"/>
      <c r="D680" s="302"/>
      <c r="E680" s="303"/>
      <c r="F680" s="304"/>
      <c r="G680" s="312"/>
      <c r="H680" s="306"/>
      <c r="I680" s="302"/>
      <c r="J680" s="307"/>
      <c r="K680" s="313"/>
      <c r="L680" s="319"/>
      <c r="M680" s="316"/>
      <c r="N680" s="205"/>
      <c r="O680" s="311"/>
      <c r="P680" s="200"/>
      <c r="Q680" s="200"/>
      <c r="R680" s="58"/>
      <c r="S680" s="58"/>
      <c r="T680" s="58"/>
      <c r="U680" s="58"/>
      <c r="V680" s="58"/>
      <c r="W680" s="58"/>
      <c r="X680" s="58"/>
      <c r="Y680" s="58"/>
      <c r="Z680" s="58"/>
      <c r="AA680" s="58"/>
      <c r="AB680" s="58"/>
      <c r="AC680" s="58"/>
    </row>
    <row r="681">
      <c r="A681" s="320"/>
      <c r="B681" s="301"/>
      <c r="C681" s="205"/>
      <c r="D681" s="302"/>
      <c r="E681" s="303"/>
      <c r="F681" s="304"/>
      <c r="G681" s="312"/>
      <c r="H681" s="306"/>
      <c r="I681" s="302"/>
      <c r="J681" s="307"/>
      <c r="K681" s="313"/>
      <c r="L681" s="319"/>
      <c r="M681" s="316"/>
      <c r="N681" s="205"/>
      <c r="O681" s="311"/>
      <c r="P681" s="200"/>
      <c r="Q681" s="200"/>
      <c r="R681" s="58"/>
      <c r="S681" s="58"/>
      <c r="T681" s="58"/>
      <c r="U681" s="58"/>
      <c r="V681" s="58"/>
      <c r="W681" s="58"/>
      <c r="X681" s="58"/>
      <c r="Y681" s="58"/>
      <c r="Z681" s="58"/>
      <c r="AA681" s="58"/>
      <c r="AB681" s="58"/>
      <c r="AC681" s="58"/>
    </row>
    <row r="682">
      <c r="A682" s="320"/>
      <c r="B682" s="301"/>
      <c r="C682" s="205"/>
      <c r="D682" s="302"/>
      <c r="E682" s="303"/>
      <c r="F682" s="304"/>
      <c r="G682" s="312"/>
      <c r="H682" s="306"/>
      <c r="I682" s="302"/>
      <c r="J682" s="307"/>
      <c r="K682" s="313"/>
      <c r="L682" s="319"/>
      <c r="M682" s="316"/>
      <c r="N682" s="205"/>
      <c r="O682" s="311"/>
      <c r="P682" s="200"/>
      <c r="Q682" s="200"/>
      <c r="R682" s="58"/>
      <c r="S682" s="58"/>
      <c r="T682" s="58"/>
      <c r="U682" s="58"/>
      <c r="V682" s="58"/>
      <c r="W682" s="58"/>
      <c r="X682" s="58"/>
      <c r="Y682" s="58"/>
      <c r="Z682" s="58"/>
      <c r="AA682" s="58"/>
      <c r="AB682" s="58"/>
      <c r="AC682" s="58"/>
    </row>
    <row r="683">
      <c r="A683" s="320"/>
      <c r="B683" s="301"/>
      <c r="C683" s="205"/>
      <c r="D683" s="302"/>
      <c r="E683" s="303"/>
      <c r="F683" s="304"/>
      <c r="G683" s="312"/>
      <c r="H683" s="306"/>
      <c r="I683" s="302"/>
      <c r="J683" s="307"/>
      <c r="K683" s="313"/>
      <c r="L683" s="319"/>
      <c r="M683" s="316"/>
      <c r="N683" s="205"/>
      <c r="O683" s="311"/>
      <c r="P683" s="200"/>
      <c r="Q683" s="200"/>
      <c r="R683" s="58"/>
      <c r="S683" s="58"/>
      <c r="T683" s="58"/>
      <c r="U683" s="58"/>
      <c r="V683" s="58"/>
      <c r="W683" s="58"/>
      <c r="X683" s="58"/>
      <c r="Y683" s="58"/>
      <c r="Z683" s="58"/>
      <c r="AA683" s="58"/>
      <c r="AB683" s="58"/>
      <c r="AC683" s="58"/>
    </row>
    <row r="684">
      <c r="A684" s="320"/>
      <c r="B684" s="301"/>
      <c r="C684" s="205"/>
      <c r="D684" s="302"/>
      <c r="E684" s="303"/>
      <c r="F684" s="304"/>
      <c r="G684" s="312"/>
      <c r="H684" s="306"/>
      <c r="I684" s="302"/>
      <c r="J684" s="307"/>
      <c r="K684" s="313"/>
      <c r="L684" s="319"/>
      <c r="M684" s="316"/>
      <c r="N684" s="205"/>
      <c r="O684" s="311"/>
      <c r="P684" s="200"/>
      <c r="Q684" s="200"/>
      <c r="R684" s="58"/>
      <c r="S684" s="58"/>
      <c r="T684" s="58"/>
      <c r="U684" s="58"/>
      <c r="V684" s="58"/>
      <c r="W684" s="58"/>
      <c r="X684" s="58"/>
      <c r="Y684" s="58"/>
      <c r="Z684" s="58"/>
      <c r="AA684" s="58"/>
      <c r="AB684" s="58"/>
      <c r="AC684" s="58"/>
    </row>
    <row r="685">
      <c r="A685" s="320"/>
      <c r="B685" s="301"/>
      <c r="C685" s="205"/>
      <c r="D685" s="302"/>
      <c r="E685" s="303"/>
      <c r="F685" s="304"/>
      <c r="G685" s="312"/>
      <c r="H685" s="306"/>
      <c r="I685" s="302"/>
      <c r="J685" s="307"/>
      <c r="K685" s="313"/>
      <c r="L685" s="319"/>
      <c r="M685" s="316"/>
      <c r="N685" s="205"/>
      <c r="O685" s="311"/>
      <c r="P685" s="200"/>
      <c r="Q685" s="200"/>
      <c r="R685" s="58"/>
      <c r="S685" s="58"/>
      <c r="T685" s="58"/>
      <c r="U685" s="58"/>
      <c r="V685" s="58"/>
      <c r="W685" s="58"/>
      <c r="X685" s="58"/>
      <c r="Y685" s="58"/>
      <c r="Z685" s="58"/>
      <c r="AA685" s="58"/>
      <c r="AB685" s="58"/>
      <c r="AC685" s="58"/>
    </row>
    <row r="686">
      <c r="A686" s="320"/>
      <c r="B686" s="301"/>
      <c r="C686" s="205"/>
      <c r="D686" s="302"/>
      <c r="E686" s="303"/>
      <c r="F686" s="304"/>
      <c r="G686" s="312"/>
      <c r="H686" s="306"/>
      <c r="I686" s="302"/>
      <c r="J686" s="307"/>
      <c r="K686" s="313"/>
      <c r="L686" s="319"/>
      <c r="M686" s="316"/>
      <c r="N686" s="205"/>
      <c r="O686" s="311"/>
      <c r="P686" s="200"/>
      <c r="Q686" s="200"/>
      <c r="R686" s="58"/>
      <c r="S686" s="58"/>
      <c r="T686" s="58"/>
      <c r="U686" s="58"/>
      <c r="V686" s="58"/>
      <c r="W686" s="58"/>
      <c r="X686" s="58"/>
      <c r="Y686" s="58"/>
      <c r="Z686" s="58"/>
      <c r="AA686" s="58"/>
      <c r="AB686" s="58"/>
      <c r="AC686" s="58"/>
    </row>
    <row r="687">
      <c r="A687" s="320"/>
      <c r="B687" s="301"/>
      <c r="C687" s="205"/>
      <c r="D687" s="302"/>
      <c r="E687" s="303"/>
      <c r="F687" s="304"/>
      <c r="G687" s="312"/>
      <c r="H687" s="306"/>
      <c r="I687" s="302"/>
      <c r="J687" s="307"/>
      <c r="K687" s="313"/>
      <c r="L687" s="319"/>
      <c r="M687" s="316"/>
      <c r="N687" s="205"/>
      <c r="O687" s="311"/>
      <c r="P687" s="200"/>
      <c r="Q687" s="200"/>
      <c r="R687" s="58"/>
      <c r="S687" s="58"/>
      <c r="T687" s="58"/>
      <c r="U687" s="58"/>
      <c r="V687" s="58"/>
      <c r="W687" s="58"/>
      <c r="X687" s="58"/>
      <c r="Y687" s="58"/>
      <c r="Z687" s="58"/>
      <c r="AA687" s="58"/>
      <c r="AB687" s="58"/>
      <c r="AC687" s="58"/>
    </row>
    <row r="688">
      <c r="A688" s="320"/>
      <c r="B688" s="301"/>
      <c r="C688" s="205"/>
      <c r="D688" s="302"/>
      <c r="E688" s="303"/>
      <c r="F688" s="304"/>
      <c r="G688" s="312"/>
      <c r="H688" s="306"/>
      <c r="I688" s="302"/>
      <c r="J688" s="307"/>
      <c r="K688" s="313"/>
      <c r="L688" s="319"/>
      <c r="M688" s="316"/>
      <c r="N688" s="205"/>
      <c r="O688" s="311"/>
      <c r="P688" s="200"/>
      <c r="Q688" s="200"/>
      <c r="R688" s="58"/>
      <c r="S688" s="58"/>
      <c r="T688" s="58"/>
      <c r="U688" s="58"/>
      <c r="V688" s="58"/>
      <c r="W688" s="58"/>
      <c r="X688" s="58"/>
      <c r="Y688" s="58"/>
      <c r="Z688" s="58"/>
      <c r="AA688" s="58"/>
      <c r="AB688" s="58"/>
      <c r="AC688" s="58"/>
    </row>
    <row r="689">
      <c r="A689" s="320"/>
      <c r="B689" s="301"/>
      <c r="C689" s="205"/>
      <c r="D689" s="302"/>
      <c r="E689" s="303"/>
      <c r="F689" s="304"/>
      <c r="G689" s="312"/>
      <c r="H689" s="306"/>
      <c r="I689" s="302"/>
      <c r="J689" s="307"/>
      <c r="K689" s="313"/>
      <c r="L689" s="319"/>
      <c r="M689" s="316"/>
      <c r="N689" s="205"/>
      <c r="O689" s="311"/>
      <c r="P689" s="200"/>
      <c r="Q689" s="200"/>
      <c r="R689" s="58"/>
      <c r="S689" s="58"/>
      <c r="T689" s="58"/>
      <c r="U689" s="58"/>
      <c r="V689" s="58"/>
      <c r="W689" s="58"/>
      <c r="X689" s="58"/>
      <c r="Y689" s="58"/>
      <c r="Z689" s="58"/>
      <c r="AA689" s="58"/>
      <c r="AB689" s="58"/>
      <c r="AC689" s="58"/>
    </row>
    <row r="690">
      <c r="A690" s="320"/>
      <c r="B690" s="301"/>
      <c r="C690" s="205"/>
      <c r="D690" s="302"/>
      <c r="E690" s="303"/>
      <c r="F690" s="304"/>
      <c r="G690" s="312"/>
      <c r="H690" s="306"/>
      <c r="I690" s="302"/>
      <c r="J690" s="307"/>
      <c r="K690" s="313"/>
      <c r="L690" s="319"/>
      <c r="M690" s="316"/>
      <c r="N690" s="205"/>
      <c r="O690" s="311"/>
      <c r="P690" s="200"/>
      <c r="Q690" s="200"/>
      <c r="R690" s="58"/>
      <c r="S690" s="58"/>
      <c r="T690" s="58"/>
      <c r="U690" s="58"/>
      <c r="V690" s="58"/>
      <c r="W690" s="58"/>
      <c r="X690" s="58"/>
      <c r="Y690" s="58"/>
      <c r="Z690" s="58"/>
      <c r="AA690" s="58"/>
      <c r="AB690" s="58"/>
      <c r="AC690" s="58"/>
    </row>
    <row r="691">
      <c r="A691" s="320"/>
      <c r="B691" s="301"/>
      <c r="C691" s="205"/>
      <c r="D691" s="302"/>
      <c r="E691" s="303"/>
      <c r="F691" s="304"/>
      <c r="G691" s="312"/>
      <c r="H691" s="306"/>
      <c r="I691" s="302"/>
      <c r="J691" s="307"/>
      <c r="K691" s="313"/>
      <c r="L691" s="319"/>
      <c r="M691" s="316"/>
      <c r="N691" s="205"/>
      <c r="O691" s="311"/>
      <c r="P691" s="200"/>
      <c r="Q691" s="200"/>
      <c r="R691" s="58"/>
      <c r="S691" s="58"/>
      <c r="T691" s="58"/>
      <c r="U691" s="58"/>
      <c r="V691" s="58"/>
      <c r="W691" s="58"/>
      <c r="X691" s="58"/>
      <c r="Y691" s="58"/>
      <c r="Z691" s="58"/>
      <c r="AA691" s="58"/>
      <c r="AB691" s="58"/>
      <c r="AC691" s="58"/>
    </row>
    <row r="692">
      <c r="A692" s="320"/>
      <c r="B692" s="301"/>
      <c r="C692" s="205"/>
      <c r="D692" s="302"/>
      <c r="E692" s="303"/>
      <c r="F692" s="304"/>
      <c r="G692" s="312"/>
      <c r="H692" s="306"/>
      <c r="I692" s="302"/>
      <c r="J692" s="307"/>
      <c r="K692" s="313"/>
      <c r="L692" s="319"/>
      <c r="M692" s="316"/>
      <c r="N692" s="205"/>
      <c r="O692" s="311"/>
      <c r="P692" s="200"/>
      <c r="Q692" s="200"/>
      <c r="R692" s="58"/>
      <c r="S692" s="58"/>
      <c r="T692" s="58"/>
      <c r="U692" s="58"/>
      <c r="V692" s="58"/>
      <c r="W692" s="58"/>
      <c r="X692" s="58"/>
      <c r="Y692" s="58"/>
      <c r="Z692" s="58"/>
      <c r="AA692" s="58"/>
      <c r="AB692" s="58"/>
      <c r="AC692" s="58"/>
    </row>
    <row r="693">
      <c r="A693" s="320"/>
      <c r="B693" s="301"/>
      <c r="C693" s="205"/>
      <c r="D693" s="302"/>
      <c r="E693" s="303"/>
      <c r="F693" s="304"/>
      <c r="G693" s="312"/>
      <c r="H693" s="306"/>
      <c r="I693" s="302"/>
      <c r="J693" s="307"/>
      <c r="K693" s="313"/>
      <c r="L693" s="319"/>
      <c r="M693" s="316"/>
      <c r="N693" s="205"/>
      <c r="O693" s="311"/>
      <c r="P693" s="200"/>
      <c r="Q693" s="200"/>
      <c r="R693" s="58"/>
      <c r="S693" s="58"/>
      <c r="T693" s="58"/>
      <c r="U693" s="58"/>
      <c r="V693" s="58"/>
      <c r="W693" s="58"/>
      <c r="X693" s="58"/>
      <c r="Y693" s="58"/>
      <c r="Z693" s="58"/>
      <c r="AA693" s="58"/>
      <c r="AB693" s="58"/>
      <c r="AC693" s="58"/>
    </row>
    <row r="694">
      <c r="A694" s="320"/>
      <c r="B694" s="301"/>
      <c r="C694" s="205"/>
      <c r="D694" s="302"/>
      <c r="E694" s="303"/>
      <c r="F694" s="304"/>
      <c r="G694" s="312"/>
      <c r="H694" s="306"/>
      <c r="I694" s="302"/>
      <c r="J694" s="307"/>
      <c r="K694" s="313"/>
      <c r="L694" s="319"/>
      <c r="M694" s="316"/>
      <c r="N694" s="205"/>
      <c r="O694" s="311"/>
      <c r="P694" s="200"/>
      <c r="Q694" s="200"/>
      <c r="R694" s="58"/>
      <c r="S694" s="58"/>
      <c r="T694" s="58"/>
      <c r="U694" s="58"/>
      <c r="V694" s="58"/>
      <c r="W694" s="58"/>
      <c r="X694" s="58"/>
      <c r="Y694" s="58"/>
      <c r="Z694" s="58"/>
      <c r="AA694" s="58"/>
      <c r="AB694" s="58"/>
      <c r="AC694" s="58"/>
    </row>
    <row r="695">
      <c r="A695" s="320"/>
      <c r="B695" s="301"/>
      <c r="C695" s="205"/>
      <c r="D695" s="302"/>
      <c r="E695" s="303"/>
      <c r="F695" s="304"/>
      <c r="G695" s="312"/>
      <c r="H695" s="306"/>
      <c r="I695" s="302"/>
      <c r="J695" s="307"/>
      <c r="K695" s="313"/>
      <c r="L695" s="319"/>
      <c r="M695" s="316"/>
      <c r="N695" s="205"/>
      <c r="O695" s="311"/>
      <c r="P695" s="200"/>
      <c r="Q695" s="200"/>
      <c r="R695" s="58"/>
      <c r="S695" s="58"/>
      <c r="T695" s="58"/>
      <c r="U695" s="58"/>
      <c r="V695" s="58"/>
      <c r="W695" s="58"/>
      <c r="X695" s="58"/>
      <c r="Y695" s="58"/>
      <c r="Z695" s="58"/>
      <c r="AA695" s="58"/>
      <c r="AB695" s="58"/>
      <c r="AC695" s="58"/>
    </row>
    <row r="696">
      <c r="A696" s="320"/>
      <c r="B696" s="301"/>
      <c r="C696" s="205"/>
      <c r="D696" s="302"/>
      <c r="E696" s="303"/>
      <c r="F696" s="304"/>
      <c r="G696" s="312"/>
      <c r="H696" s="306"/>
      <c r="I696" s="302"/>
      <c r="J696" s="307"/>
      <c r="K696" s="313"/>
      <c r="L696" s="319"/>
      <c r="M696" s="316"/>
      <c r="N696" s="205"/>
      <c r="O696" s="311"/>
      <c r="P696" s="200"/>
      <c r="Q696" s="200"/>
      <c r="R696" s="58"/>
      <c r="S696" s="58"/>
      <c r="T696" s="58"/>
      <c r="U696" s="58"/>
      <c r="V696" s="58"/>
      <c r="W696" s="58"/>
      <c r="X696" s="58"/>
      <c r="Y696" s="58"/>
      <c r="Z696" s="58"/>
      <c r="AA696" s="58"/>
      <c r="AB696" s="58"/>
      <c r="AC696" s="58"/>
    </row>
    <row r="697">
      <c r="A697" s="320"/>
      <c r="B697" s="301"/>
      <c r="C697" s="205"/>
      <c r="D697" s="302"/>
      <c r="E697" s="303"/>
      <c r="F697" s="304"/>
      <c r="G697" s="312"/>
      <c r="H697" s="306"/>
      <c r="I697" s="302"/>
      <c r="J697" s="307"/>
      <c r="K697" s="313"/>
      <c r="L697" s="319"/>
      <c r="M697" s="316"/>
      <c r="N697" s="205"/>
      <c r="O697" s="311"/>
      <c r="P697" s="200"/>
      <c r="Q697" s="200"/>
      <c r="R697" s="58"/>
      <c r="S697" s="58"/>
      <c r="T697" s="58"/>
      <c r="U697" s="58"/>
      <c r="V697" s="58"/>
      <c r="W697" s="58"/>
      <c r="X697" s="58"/>
      <c r="Y697" s="58"/>
      <c r="Z697" s="58"/>
      <c r="AA697" s="58"/>
      <c r="AB697" s="58"/>
      <c r="AC697" s="58"/>
    </row>
    <row r="698">
      <c r="A698" s="320"/>
      <c r="B698" s="301"/>
      <c r="C698" s="205"/>
      <c r="D698" s="302"/>
      <c r="E698" s="303"/>
      <c r="F698" s="304"/>
      <c r="G698" s="312"/>
      <c r="H698" s="306"/>
      <c r="I698" s="302"/>
      <c r="J698" s="307"/>
      <c r="K698" s="313"/>
      <c r="L698" s="319"/>
      <c r="M698" s="316"/>
      <c r="N698" s="205"/>
      <c r="O698" s="311"/>
      <c r="P698" s="200"/>
      <c r="Q698" s="200"/>
      <c r="R698" s="58"/>
      <c r="S698" s="58"/>
      <c r="T698" s="58"/>
      <c r="U698" s="58"/>
      <c r="V698" s="58"/>
      <c r="W698" s="58"/>
      <c r="X698" s="58"/>
      <c r="Y698" s="58"/>
      <c r="Z698" s="58"/>
      <c r="AA698" s="58"/>
      <c r="AB698" s="58"/>
      <c r="AC698" s="58"/>
    </row>
    <row r="699">
      <c r="A699" s="320"/>
      <c r="B699" s="301"/>
      <c r="C699" s="205"/>
      <c r="D699" s="302"/>
      <c r="E699" s="303"/>
      <c r="F699" s="304"/>
      <c r="G699" s="312"/>
      <c r="H699" s="306"/>
      <c r="I699" s="302"/>
      <c r="J699" s="307"/>
      <c r="K699" s="313"/>
      <c r="L699" s="319"/>
      <c r="M699" s="316"/>
      <c r="N699" s="205"/>
      <c r="O699" s="311"/>
      <c r="P699" s="200"/>
      <c r="Q699" s="200"/>
      <c r="R699" s="58"/>
      <c r="S699" s="58"/>
      <c r="T699" s="58"/>
      <c r="U699" s="58"/>
      <c r="V699" s="58"/>
      <c r="W699" s="58"/>
      <c r="X699" s="58"/>
      <c r="Y699" s="58"/>
      <c r="Z699" s="58"/>
      <c r="AA699" s="58"/>
      <c r="AB699" s="58"/>
      <c r="AC699" s="58"/>
    </row>
    <row r="700">
      <c r="A700" s="320"/>
      <c r="B700" s="301"/>
      <c r="C700" s="205"/>
      <c r="D700" s="302"/>
      <c r="E700" s="303"/>
      <c r="F700" s="304"/>
      <c r="G700" s="312"/>
      <c r="H700" s="306"/>
      <c r="I700" s="302"/>
      <c r="J700" s="307"/>
      <c r="K700" s="313"/>
      <c r="L700" s="319"/>
      <c r="M700" s="316"/>
      <c r="N700" s="205"/>
      <c r="O700" s="311"/>
      <c r="P700" s="200"/>
      <c r="Q700" s="200"/>
      <c r="R700" s="58"/>
      <c r="S700" s="58"/>
      <c r="T700" s="58"/>
      <c r="U700" s="58"/>
      <c r="V700" s="58"/>
      <c r="W700" s="58"/>
      <c r="X700" s="58"/>
      <c r="Y700" s="58"/>
      <c r="Z700" s="58"/>
      <c r="AA700" s="58"/>
      <c r="AB700" s="58"/>
      <c r="AC700" s="58"/>
    </row>
    <row r="701">
      <c r="A701" s="320"/>
      <c r="B701" s="301"/>
      <c r="C701" s="205"/>
      <c r="D701" s="302"/>
      <c r="E701" s="303"/>
      <c r="F701" s="304"/>
      <c r="G701" s="312"/>
      <c r="H701" s="306"/>
      <c r="I701" s="302"/>
      <c r="J701" s="307"/>
      <c r="K701" s="313"/>
      <c r="L701" s="319"/>
      <c r="M701" s="316"/>
      <c r="N701" s="205"/>
      <c r="O701" s="311"/>
      <c r="P701" s="200"/>
      <c r="Q701" s="200"/>
      <c r="R701" s="58"/>
      <c r="S701" s="58"/>
      <c r="T701" s="58"/>
      <c r="U701" s="58"/>
      <c r="V701" s="58"/>
      <c r="W701" s="58"/>
      <c r="X701" s="58"/>
      <c r="Y701" s="58"/>
      <c r="Z701" s="58"/>
      <c r="AA701" s="58"/>
      <c r="AB701" s="58"/>
      <c r="AC701" s="58"/>
    </row>
    <row r="702">
      <c r="A702" s="320"/>
      <c r="B702" s="301"/>
      <c r="C702" s="205"/>
      <c r="D702" s="302"/>
      <c r="E702" s="303"/>
      <c r="F702" s="304"/>
      <c r="G702" s="312"/>
      <c r="H702" s="306"/>
      <c r="I702" s="302"/>
      <c r="J702" s="307"/>
      <c r="K702" s="313"/>
      <c r="L702" s="319"/>
      <c r="M702" s="316"/>
      <c r="N702" s="205"/>
      <c r="O702" s="311"/>
      <c r="P702" s="200"/>
      <c r="Q702" s="200"/>
      <c r="R702" s="58"/>
      <c r="S702" s="58"/>
      <c r="T702" s="58"/>
      <c r="U702" s="58"/>
      <c r="V702" s="58"/>
      <c r="W702" s="58"/>
      <c r="X702" s="58"/>
      <c r="Y702" s="58"/>
      <c r="Z702" s="58"/>
      <c r="AA702" s="58"/>
      <c r="AB702" s="58"/>
      <c r="AC702" s="58"/>
    </row>
    <row r="703">
      <c r="A703" s="320"/>
      <c r="B703" s="301"/>
      <c r="C703" s="205"/>
      <c r="D703" s="302"/>
      <c r="E703" s="303"/>
      <c r="F703" s="304"/>
      <c r="G703" s="312"/>
      <c r="H703" s="306"/>
      <c r="I703" s="302"/>
      <c r="J703" s="307"/>
      <c r="K703" s="313"/>
      <c r="L703" s="319"/>
      <c r="M703" s="316"/>
      <c r="N703" s="205"/>
      <c r="O703" s="311"/>
      <c r="P703" s="200"/>
      <c r="Q703" s="200"/>
      <c r="R703" s="58"/>
      <c r="S703" s="58"/>
      <c r="T703" s="58"/>
      <c r="U703" s="58"/>
      <c r="V703" s="58"/>
      <c r="W703" s="58"/>
      <c r="X703" s="58"/>
      <c r="Y703" s="58"/>
      <c r="Z703" s="58"/>
      <c r="AA703" s="58"/>
      <c r="AB703" s="58"/>
      <c r="AC703" s="58"/>
    </row>
    <row r="704">
      <c r="A704" s="320"/>
      <c r="B704" s="301"/>
      <c r="C704" s="205"/>
      <c r="D704" s="302"/>
      <c r="E704" s="303"/>
      <c r="F704" s="304"/>
      <c r="G704" s="312"/>
      <c r="H704" s="306"/>
      <c r="I704" s="302"/>
      <c r="J704" s="307"/>
      <c r="K704" s="313"/>
      <c r="L704" s="319"/>
      <c r="M704" s="316"/>
      <c r="N704" s="205"/>
      <c r="O704" s="311"/>
      <c r="P704" s="200"/>
      <c r="Q704" s="200"/>
      <c r="R704" s="58"/>
      <c r="S704" s="58"/>
      <c r="T704" s="58"/>
      <c r="U704" s="58"/>
      <c r="V704" s="58"/>
      <c r="W704" s="58"/>
      <c r="X704" s="58"/>
      <c r="Y704" s="58"/>
      <c r="Z704" s="58"/>
      <c r="AA704" s="58"/>
      <c r="AB704" s="58"/>
      <c r="AC704" s="58"/>
    </row>
    <row r="705">
      <c r="A705" s="320"/>
      <c r="B705" s="301"/>
      <c r="C705" s="205"/>
      <c r="D705" s="302"/>
      <c r="E705" s="303"/>
      <c r="F705" s="304"/>
      <c r="G705" s="312"/>
      <c r="H705" s="306"/>
      <c r="I705" s="302"/>
      <c r="J705" s="307"/>
      <c r="K705" s="313"/>
      <c r="L705" s="319"/>
      <c r="M705" s="316"/>
      <c r="N705" s="205"/>
      <c r="O705" s="311"/>
      <c r="P705" s="200"/>
      <c r="Q705" s="200"/>
      <c r="R705" s="58"/>
      <c r="S705" s="58"/>
      <c r="T705" s="58"/>
      <c r="U705" s="58"/>
      <c r="V705" s="58"/>
      <c r="W705" s="58"/>
      <c r="X705" s="58"/>
      <c r="Y705" s="58"/>
      <c r="Z705" s="58"/>
      <c r="AA705" s="58"/>
      <c r="AB705" s="58"/>
      <c r="AC705" s="58"/>
    </row>
    <row r="706">
      <c r="A706" s="320"/>
      <c r="B706" s="301"/>
      <c r="C706" s="205"/>
      <c r="D706" s="302"/>
      <c r="E706" s="303"/>
      <c r="F706" s="304"/>
      <c r="G706" s="312"/>
      <c r="H706" s="306"/>
      <c r="I706" s="302"/>
      <c r="J706" s="307"/>
      <c r="K706" s="313"/>
      <c r="L706" s="319"/>
      <c r="M706" s="316"/>
      <c r="N706" s="205"/>
      <c r="O706" s="311"/>
      <c r="P706" s="200"/>
      <c r="Q706" s="200"/>
      <c r="R706" s="58"/>
      <c r="S706" s="58"/>
      <c r="T706" s="58"/>
      <c r="U706" s="58"/>
      <c r="V706" s="58"/>
      <c r="W706" s="58"/>
      <c r="X706" s="58"/>
      <c r="Y706" s="58"/>
      <c r="Z706" s="58"/>
      <c r="AA706" s="58"/>
      <c r="AB706" s="58"/>
      <c r="AC706" s="58"/>
    </row>
    <row r="707">
      <c r="A707" s="320"/>
      <c r="B707" s="301"/>
      <c r="C707" s="205"/>
      <c r="D707" s="302"/>
      <c r="E707" s="303"/>
      <c r="F707" s="304"/>
      <c r="G707" s="312"/>
      <c r="H707" s="306"/>
      <c r="I707" s="302"/>
      <c r="J707" s="307"/>
      <c r="K707" s="313"/>
      <c r="L707" s="319"/>
      <c r="M707" s="316"/>
      <c r="N707" s="205"/>
      <c r="O707" s="311"/>
      <c r="P707" s="200"/>
      <c r="Q707" s="200"/>
      <c r="R707" s="58"/>
      <c r="S707" s="58"/>
      <c r="T707" s="58"/>
      <c r="U707" s="58"/>
      <c r="V707" s="58"/>
      <c r="W707" s="58"/>
      <c r="X707" s="58"/>
      <c r="Y707" s="58"/>
      <c r="Z707" s="58"/>
      <c r="AA707" s="58"/>
      <c r="AB707" s="58"/>
      <c r="AC707" s="58"/>
    </row>
    <row r="708">
      <c r="A708" s="320"/>
      <c r="B708" s="301"/>
      <c r="C708" s="205"/>
      <c r="D708" s="302"/>
      <c r="E708" s="303"/>
      <c r="F708" s="304"/>
      <c r="G708" s="312"/>
      <c r="H708" s="306"/>
      <c r="I708" s="302"/>
      <c r="J708" s="307"/>
      <c r="K708" s="313"/>
      <c r="L708" s="319"/>
      <c r="M708" s="316"/>
      <c r="N708" s="205"/>
      <c r="O708" s="311"/>
      <c r="P708" s="200"/>
      <c r="Q708" s="200"/>
      <c r="R708" s="58"/>
      <c r="S708" s="58"/>
      <c r="T708" s="58"/>
      <c r="U708" s="58"/>
      <c r="V708" s="58"/>
      <c r="W708" s="58"/>
      <c r="X708" s="58"/>
      <c r="Y708" s="58"/>
      <c r="Z708" s="58"/>
      <c r="AA708" s="58"/>
      <c r="AB708" s="58"/>
      <c r="AC708" s="58"/>
    </row>
    <row r="709">
      <c r="A709" s="320"/>
      <c r="B709" s="301"/>
      <c r="C709" s="205"/>
      <c r="D709" s="302"/>
      <c r="E709" s="303"/>
      <c r="F709" s="304"/>
      <c r="G709" s="312"/>
      <c r="H709" s="306"/>
      <c r="I709" s="302"/>
      <c r="J709" s="307"/>
      <c r="K709" s="313"/>
      <c r="L709" s="319"/>
      <c r="M709" s="316"/>
      <c r="N709" s="205"/>
      <c r="O709" s="311"/>
      <c r="P709" s="200"/>
      <c r="Q709" s="200"/>
      <c r="R709" s="58"/>
      <c r="S709" s="58"/>
      <c r="T709" s="58"/>
      <c r="U709" s="58"/>
      <c r="V709" s="58"/>
      <c r="W709" s="58"/>
      <c r="X709" s="58"/>
      <c r="Y709" s="58"/>
      <c r="Z709" s="58"/>
      <c r="AA709" s="58"/>
      <c r="AB709" s="58"/>
      <c r="AC709" s="58"/>
    </row>
    <row r="710">
      <c r="A710" s="320"/>
      <c r="B710" s="301"/>
      <c r="C710" s="205"/>
      <c r="D710" s="302"/>
      <c r="E710" s="303"/>
      <c r="F710" s="304"/>
      <c r="G710" s="312"/>
      <c r="H710" s="306"/>
      <c r="I710" s="302"/>
      <c r="J710" s="307"/>
      <c r="K710" s="313"/>
      <c r="L710" s="319"/>
      <c r="M710" s="316"/>
      <c r="N710" s="205"/>
      <c r="O710" s="311"/>
      <c r="P710" s="200"/>
      <c r="Q710" s="200"/>
      <c r="R710" s="58"/>
      <c r="S710" s="58"/>
      <c r="T710" s="58"/>
      <c r="U710" s="58"/>
      <c r="V710" s="58"/>
      <c r="W710" s="58"/>
      <c r="X710" s="58"/>
      <c r="Y710" s="58"/>
      <c r="Z710" s="58"/>
      <c r="AA710" s="58"/>
      <c r="AB710" s="58"/>
      <c r="AC710" s="58"/>
    </row>
    <row r="711">
      <c r="A711" s="320"/>
      <c r="B711" s="301"/>
      <c r="C711" s="205"/>
      <c r="D711" s="302"/>
      <c r="E711" s="303"/>
      <c r="F711" s="304"/>
      <c r="G711" s="312"/>
      <c r="H711" s="306"/>
      <c r="I711" s="302"/>
      <c r="J711" s="307"/>
      <c r="K711" s="313"/>
      <c r="L711" s="319"/>
      <c r="M711" s="316"/>
      <c r="N711" s="205"/>
      <c r="O711" s="311"/>
      <c r="P711" s="200"/>
      <c r="Q711" s="200"/>
      <c r="R711" s="58"/>
      <c r="S711" s="58"/>
      <c r="T711" s="58"/>
      <c r="U711" s="58"/>
      <c r="V711" s="58"/>
      <c r="W711" s="58"/>
      <c r="X711" s="58"/>
      <c r="Y711" s="58"/>
      <c r="Z711" s="58"/>
      <c r="AA711" s="58"/>
      <c r="AB711" s="58"/>
      <c r="AC711" s="58"/>
    </row>
    <row r="712">
      <c r="A712" s="320"/>
      <c r="B712" s="301"/>
      <c r="C712" s="205"/>
      <c r="D712" s="302"/>
      <c r="E712" s="303"/>
      <c r="F712" s="304"/>
      <c r="G712" s="312"/>
      <c r="H712" s="306"/>
      <c r="I712" s="302"/>
      <c r="J712" s="307"/>
      <c r="K712" s="313"/>
      <c r="L712" s="319"/>
      <c r="M712" s="316"/>
      <c r="N712" s="205"/>
      <c r="O712" s="311"/>
      <c r="P712" s="200"/>
      <c r="Q712" s="200"/>
      <c r="R712" s="58"/>
      <c r="S712" s="58"/>
      <c r="T712" s="58"/>
      <c r="U712" s="58"/>
      <c r="V712" s="58"/>
      <c r="W712" s="58"/>
      <c r="X712" s="58"/>
      <c r="Y712" s="58"/>
      <c r="Z712" s="58"/>
      <c r="AA712" s="58"/>
      <c r="AB712" s="58"/>
      <c r="AC712" s="58"/>
    </row>
    <row r="713">
      <c r="A713" s="320"/>
      <c r="B713" s="301"/>
      <c r="C713" s="205"/>
      <c r="D713" s="302"/>
      <c r="E713" s="303"/>
      <c r="F713" s="304"/>
      <c r="G713" s="312"/>
      <c r="H713" s="306"/>
      <c r="I713" s="302"/>
      <c r="J713" s="307"/>
      <c r="K713" s="313"/>
      <c r="L713" s="319"/>
      <c r="M713" s="316"/>
      <c r="N713" s="205"/>
      <c r="O713" s="311"/>
      <c r="P713" s="200"/>
      <c r="Q713" s="200"/>
      <c r="R713" s="58"/>
      <c r="S713" s="58"/>
      <c r="T713" s="58"/>
      <c r="U713" s="58"/>
      <c r="V713" s="58"/>
      <c r="W713" s="58"/>
      <c r="X713" s="58"/>
      <c r="Y713" s="58"/>
      <c r="Z713" s="58"/>
      <c r="AA713" s="58"/>
      <c r="AB713" s="58"/>
      <c r="AC713" s="58"/>
    </row>
    <row r="714">
      <c r="A714" s="320"/>
      <c r="B714" s="301"/>
      <c r="C714" s="205"/>
      <c r="D714" s="302"/>
      <c r="E714" s="303"/>
      <c r="F714" s="304"/>
      <c r="G714" s="312"/>
      <c r="H714" s="306"/>
      <c r="I714" s="302"/>
      <c r="J714" s="307"/>
      <c r="K714" s="313"/>
      <c r="L714" s="319"/>
      <c r="M714" s="316"/>
      <c r="N714" s="205"/>
      <c r="O714" s="311"/>
      <c r="P714" s="200"/>
      <c r="Q714" s="200"/>
      <c r="R714" s="58"/>
      <c r="S714" s="58"/>
      <c r="T714" s="58"/>
      <c r="U714" s="58"/>
      <c r="V714" s="58"/>
      <c r="W714" s="58"/>
      <c r="X714" s="58"/>
      <c r="Y714" s="58"/>
      <c r="Z714" s="58"/>
      <c r="AA714" s="58"/>
      <c r="AB714" s="58"/>
      <c r="AC714" s="58"/>
    </row>
    <row r="715">
      <c r="A715" s="320"/>
      <c r="B715" s="301"/>
      <c r="C715" s="205"/>
      <c r="D715" s="302"/>
      <c r="E715" s="303"/>
      <c r="F715" s="304"/>
      <c r="G715" s="312"/>
      <c r="H715" s="306"/>
      <c r="I715" s="302"/>
      <c r="J715" s="307"/>
      <c r="K715" s="313"/>
      <c r="L715" s="319"/>
      <c r="M715" s="316"/>
      <c r="N715" s="205"/>
      <c r="O715" s="311"/>
      <c r="P715" s="200"/>
      <c r="Q715" s="200"/>
      <c r="R715" s="58"/>
      <c r="S715" s="58"/>
      <c r="T715" s="58"/>
      <c r="U715" s="58"/>
      <c r="V715" s="58"/>
      <c r="W715" s="58"/>
      <c r="X715" s="58"/>
      <c r="Y715" s="58"/>
      <c r="Z715" s="58"/>
      <c r="AA715" s="58"/>
      <c r="AB715" s="58"/>
      <c r="AC715" s="58"/>
    </row>
    <row r="716">
      <c r="A716" s="320"/>
      <c r="B716" s="301"/>
      <c r="C716" s="205"/>
      <c r="D716" s="302"/>
      <c r="E716" s="303"/>
      <c r="F716" s="304"/>
      <c r="G716" s="312"/>
      <c r="H716" s="306"/>
      <c r="I716" s="302"/>
      <c r="J716" s="307"/>
      <c r="K716" s="313"/>
      <c r="L716" s="319"/>
      <c r="M716" s="316"/>
      <c r="N716" s="205"/>
      <c r="O716" s="311"/>
      <c r="P716" s="200"/>
      <c r="Q716" s="200"/>
      <c r="R716" s="58"/>
      <c r="S716" s="58"/>
      <c r="T716" s="58"/>
      <c r="U716" s="58"/>
      <c r="V716" s="58"/>
      <c r="W716" s="58"/>
      <c r="X716" s="58"/>
      <c r="Y716" s="58"/>
      <c r="Z716" s="58"/>
      <c r="AA716" s="58"/>
      <c r="AB716" s="58"/>
      <c r="AC716" s="58"/>
    </row>
    <row r="717">
      <c r="A717" s="320"/>
      <c r="B717" s="301"/>
      <c r="C717" s="205"/>
      <c r="D717" s="302"/>
      <c r="E717" s="303"/>
      <c r="F717" s="304"/>
      <c r="G717" s="312"/>
      <c r="H717" s="306"/>
      <c r="I717" s="302"/>
      <c r="J717" s="307"/>
      <c r="K717" s="313"/>
      <c r="L717" s="319"/>
      <c r="M717" s="316"/>
      <c r="N717" s="205"/>
      <c r="O717" s="311"/>
      <c r="P717" s="200"/>
      <c r="Q717" s="200"/>
      <c r="R717" s="58"/>
      <c r="S717" s="58"/>
      <c r="T717" s="58"/>
      <c r="U717" s="58"/>
      <c r="V717" s="58"/>
      <c r="W717" s="58"/>
      <c r="X717" s="58"/>
      <c r="Y717" s="58"/>
      <c r="Z717" s="58"/>
      <c r="AA717" s="58"/>
      <c r="AB717" s="58"/>
      <c r="AC717" s="58"/>
    </row>
    <row r="718">
      <c r="A718" s="320"/>
      <c r="B718" s="301"/>
      <c r="C718" s="205"/>
      <c r="D718" s="302"/>
      <c r="E718" s="303"/>
      <c r="F718" s="304"/>
      <c r="G718" s="312"/>
      <c r="H718" s="306"/>
      <c r="I718" s="302"/>
      <c r="J718" s="307"/>
      <c r="K718" s="313"/>
      <c r="L718" s="319"/>
      <c r="M718" s="316"/>
      <c r="N718" s="205"/>
      <c r="O718" s="311"/>
      <c r="P718" s="200"/>
      <c r="Q718" s="200"/>
      <c r="R718" s="58"/>
      <c r="S718" s="58"/>
      <c r="T718" s="58"/>
      <c r="U718" s="58"/>
      <c r="V718" s="58"/>
      <c r="W718" s="58"/>
      <c r="X718" s="58"/>
      <c r="Y718" s="58"/>
      <c r="Z718" s="58"/>
      <c r="AA718" s="58"/>
      <c r="AB718" s="58"/>
      <c r="AC718" s="58"/>
    </row>
    <row r="719">
      <c r="A719" s="320"/>
      <c r="B719" s="301"/>
      <c r="C719" s="205"/>
      <c r="D719" s="302"/>
      <c r="E719" s="303"/>
      <c r="F719" s="304"/>
      <c r="G719" s="312"/>
      <c r="H719" s="306"/>
      <c r="I719" s="302"/>
      <c r="J719" s="307"/>
      <c r="K719" s="313"/>
      <c r="L719" s="319"/>
      <c r="M719" s="316"/>
      <c r="N719" s="205"/>
      <c r="O719" s="311"/>
      <c r="P719" s="200"/>
      <c r="Q719" s="200"/>
      <c r="R719" s="58"/>
      <c r="S719" s="58"/>
      <c r="T719" s="58"/>
      <c r="U719" s="58"/>
      <c r="V719" s="58"/>
      <c r="W719" s="58"/>
      <c r="X719" s="58"/>
      <c r="Y719" s="58"/>
      <c r="Z719" s="58"/>
      <c r="AA719" s="58"/>
      <c r="AB719" s="58"/>
      <c r="AC719" s="58"/>
    </row>
    <row r="720">
      <c r="A720" s="320"/>
      <c r="B720" s="301"/>
      <c r="C720" s="205"/>
      <c r="D720" s="302"/>
      <c r="E720" s="303"/>
      <c r="F720" s="304"/>
      <c r="G720" s="312"/>
      <c r="H720" s="306"/>
      <c r="I720" s="302"/>
      <c r="J720" s="307"/>
      <c r="K720" s="313"/>
      <c r="L720" s="319"/>
      <c r="M720" s="316"/>
      <c r="N720" s="205"/>
      <c r="O720" s="311"/>
      <c r="P720" s="200"/>
      <c r="Q720" s="200"/>
      <c r="R720" s="58"/>
      <c r="S720" s="58"/>
      <c r="T720" s="58"/>
      <c r="U720" s="58"/>
      <c r="V720" s="58"/>
      <c r="W720" s="58"/>
      <c r="X720" s="58"/>
      <c r="Y720" s="58"/>
      <c r="Z720" s="58"/>
      <c r="AA720" s="58"/>
      <c r="AB720" s="58"/>
      <c r="AC720" s="58"/>
    </row>
    <row r="721">
      <c r="A721" s="320"/>
      <c r="B721" s="301"/>
      <c r="C721" s="205"/>
      <c r="D721" s="302"/>
      <c r="E721" s="303"/>
      <c r="F721" s="304"/>
      <c r="G721" s="312"/>
      <c r="H721" s="306"/>
      <c r="I721" s="302"/>
      <c r="J721" s="307"/>
      <c r="K721" s="313"/>
      <c r="L721" s="319"/>
      <c r="M721" s="316"/>
      <c r="N721" s="205"/>
      <c r="O721" s="311"/>
      <c r="P721" s="200"/>
      <c r="Q721" s="200"/>
      <c r="R721" s="58"/>
      <c r="S721" s="58"/>
      <c r="T721" s="58"/>
      <c r="U721" s="58"/>
      <c r="V721" s="58"/>
      <c r="W721" s="58"/>
      <c r="X721" s="58"/>
      <c r="Y721" s="58"/>
      <c r="Z721" s="58"/>
      <c r="AA721" s="58"/>
      <c r="AB721" s="58"/>
      <c r="AC721" s="58"/>
    </row>
    <row r="722">
      <c r="A722" s="320"/>
      <c r="B722" s="301"/>
      <c r="C722" s="205"/>
      <c r="D722" s="302"/>
      <c r="E722" s="303"/>
      <c r="F722" s="304"/>
      <c r="G722" s="312"/>
      <c r="H722" s="306"/>
      <c r="I722" s="302"/>
      <c r="J722" s="307"/>
      <c r="K722" s="313"/>
      <c r="L722" s="319"/>
      <c r="M722" s="316"/>
      <c r="N722" s="205"/>
      <c r="O722" s="311"/>
      <c r="P722" s="200"/>
      <c r="Q722" s="200"/>
      <c r="R722" s="58"/>
      <c r="S722" s="58"/>
      <c r="T722" s="58"/>
      <c r="U722" s="58"/>
      <c r="V722" s="58"/>
      <c r="W722" s="58"/>
      <c r="X722" s="58"/>
      <c r="Y722" s="58"/>
      <c r="Z722" s="58"/>
      <c r="AA722" s="58"/>
      <c r="AB722" s="58"/>
      <c r="AC722" s="58"/>
    </row>
    <row r="723">
      <c r="A723" s="320"/>
      <c r="B723" s="301"/>
      <c r="C723" s="205"/>
      <c r="D723" s="302"/>
      <c r="E723" s="303"/>
      <c r="F723" s="304"/>
      <c r="G723" s="312"/>
      <c r="H723" s="306"/>
      <c r="I723" s="302"/>
      <c r="J723" s="307"/>
      <c r="K723" s="313"/>
      <c r="L723" s="319"/>
      <c r="M723" s="316"/>
      <c r="N723" s="205"/>
      <c r="O723" s="311"/>
      <c r="P723" s="200"/>
      <c r="Q723" s="200"/>
      <c r="R723" s="58"/>
      <c r="S723" s="58"/>
      <c r="T723" s="58"/>
      <c r="U723" s="58"/>
      <c r="V723" s="58"/>
      <c r="W723" s="58"/>
      <c r="X723" s="58"/>
      <c r="Y723" s="58"/>
      <c r="Z723" s="58"/>
      <c r="AA723" s="58"/>
      <c r="AB723" s="58"/>
      <c r="AC723" s="58"/>
    </row>
    <row r="724">
      <c r="A724" s="320"/>
      <c r="B724" s="301"/>
      <c r="C724" s="205"/>
      <c r="D724" s="302"/>
      <c r="E724" s="303"/>
      <c r="F724" s="304"/>
      <c r="G724" s="312"/>
      <c r="H724" s="306"/>
      <c r="I724" s="302"/>
      <c r="J724" s="307"/>
      <c r="K724" s="313"/>
      <c r="L724" s="319"/>
      <c r="M724" s="316"/>
      <c r="N724" s="205"/>
      <c r="O724" s="311"/>
      <c r="P724" s="200"/>
      <c r="Q724" s="200"/>
      <c r="R724" s="58"/>
      <c r="S724" s="58"/>
      <c r="T724" s="58"/>
      <c r="U724" s="58"/>
      <c r="V724" s="58"/>
      <c r="W724" s="58"/>
      <c r="X724" s="58"/>
      <c r="Y724" s="58"/>
      <c r="Z724" s="58"/>
      <c r="AA724" s="58"/>
      <c r="AB724" s="58"/>
      <c r="AC724" s="58"/>
    </row>
    <row r="725">
      <c r="A725" s="320"/>
      <c r="B725" s="301"/>
      <c r="C725" s="205"/>
      <c r="D725" s="302"/>
      <c r="E725" s="303"/>
      <c r="F725" s="304"/>
      <c r="G725" s="312"/>
      <c r="H725" s="306"/>
      <c r="I725" s="302"/>
      <c r="J725" s="307"/>
      <c r="K725" s="313"/>
      <c r="L725" s="319"/>
      <c r="M725" s="316"/>
      <c r="N725" s="205"/>
      <c r="O725" s="311"/>
      <c r="P725" s="200"/>
      <c r="Q725" s="200"/>
      <c r="R725" s="58"/>
      <c r="S725" s="58"/>
      <c r="T725" s="58"/>
      <c r="U725" s="58"/>
      <c r="V725" s="58"/>
      <c r="W725" s="58"/>
      <c r="X725" s="58"/>
      <c r="Y725" s="58"/>
      <c r="Z725" s="58"/>
      <c r="AA725" s="58"/>
      <c r="AB725" s="58"/>
      <c r="AC725" s="58"/>
    </row>
    <row r="726">
      <c r="A726" s="320"/>
      <c r="B726" s="301"/>
      <c r="C726" s="205"/>
      <c r="D726" s="302"/>
      <c r="E726" s="303"/>
      <c r="F726" s="304"/>
      <c r="G726" s="312"/>
      <c r="H726" s="306"/>
      <c r="I726" s="302"/>
      <c r="J726" s="307"/>
      <c r="K726" s="313"/>
      <c r="L726" s="319"/>
      <c r="M726" s="316"/>
      <c r="N726" s="205"/>
      <c r="O726" s="311"/>
      <c r="P726" s="200"/>
      <c r="Q726" s="200"/>
      <c r="R726" s="58"/>
      <c r="S726" s="58"/>
      <c r="T726" s="58"/>
      <c r="U726" s="58"/>
      <c r="V726" s="58"/>
      <c r="W726" s="58"/>
      <c r="X726" s="58"/>
      <c r="Y726" s="58"/>
      <c r="Z726" s="58"/>
      <c r="AA726" s="58"/>
      <c r="AB726" s="58"/>
      <c r="AC726" s="58"/>
    </row>
    <row r="727">
      <c r="A727" s="320"/>
      <c r="B727" s="301"/>
      <c r="C727" s="205"/>
      <c r="D727" s="302"/>
      <c r="E727" s="303"/>
      <c r="F727" s="304"/>
      <c r="G727" s="312"/>
      <c r="H727" s="306"/>
      <c r="I727" s="302"/>
      <c r="J727" s="307"/>
      <c r="K727" s="313"/>
      <c r="L727" s="319"/>
      <c r="M727" s="316"/>
      <c r="N727" s="205"/>
      <c r="O727" s="311"/>
      <c r="P727" s="200"/>
      <c r="Q727" s="200"/>
      <c r="R727" s="58"/>
      <c r="S727" s="58"/>
      <c r="T727" s="58"/>
      <c r="U727" s="58"/>
      <c r="V727" s="58"/>
      <c r="W727" s="58"/>
      <c r="X727" s="58"/>
      <c r="Y727" s="58"/>
      <c r="Z727" s="58"/>
      <c r="AA727" s="58"/>
      <c r="AB727" s="58"/>
      <c r="AC727" s="58"/>
    </row>
    <row r="728">
      <c r="A728" s="320"/>
      <c r="B728" s="301"/>
      <c r="C728" s="205"/>
      <c r="D728" s="302"/>
      <c r="E728" s="303"/>
      <c r="F728" s="304"/>
      <c r="G728" s="312"/>
      <c r="H728" s="306"/>
      <c r="I728" s="302"/>
      <c r="J728" s="307"/>
      <c r="K728" s="313"/>
      <c r="L728" s="319"/>
      <c r="M728" s="316"/>
      <c r="N728" s="205"/>
      <c r="O728" s="311"/>
      <c r="P728" s="200"/>
      <c r="Q728" s="200"/>
      <c r="R728" s="58"/>
      <c r="S728" s="58"/>
      <c r="T728" s="58"/>
      <c r="U728" s="58"/>
      <c r="V728" s="58"/>
      <c r="W728" s="58"/>
      <c r="X728" s="58"/>
      <c r="Y728" s="58"/>
      <c r="Z728" s="58"/>
      <c r="AA728" s="58"/>
      <c r="AB728" s="58"/>
      <c r="AC728" s="58"/>
    </row>
    <row r="729">
      <c r="A729" s="320"/>
      <c r="B729" s="301"/>
      <c r="C729" s="205"/>
      <c r="D729" s="302"/>
      <c r="E729" s="303"/>
      <c r="F729" s="304"/>
      <c r="G729" s="312"/>
      <c r="H729" s="306"/>
      <c r="I729" s="302"/>
      <c r="J729" s="307"/>
      <c r="K729" s="313"/>
      <c r="L729" s="319"/>
      <c r="M729" s="316"/>
      <c r="N729" s="205"/>
      <c r="O729" s="311"/>
      <c r="P729" s="200"/>
      <c r="Q729" s="200"/>
      <c r="R729" s="58"/>
      <c r="S729" s="58"/>
      <c r="T729" s="58"/>
      <c r="U729" s="58"/>
      <c r="V729" s="58"/>
      <c r="W729" s="58"/>
      <c r="X729" s="58"/>
      <c r="Y729" s="58"/>
      <c r="Z729" s="58"/>
      <c r="AA729" s="58"/>
      <c r="AB729" s="58"/>
      <c r="AC729" s="58"/>
    </row>
    <row r="730">
      <c r="A730" s="320"/>
      <c r="B730" s="301"/>
      <c r="C730" s="205"/>
      <c r="D730" s="302"/>
      <c r="E730" s="303"/>
      <c r="F730" s="304"/>
      <c r="G730" s="312"/>
      <c r="H730" s="306"/>
      <c r="I730" s="302"/>
      <c r="J730" s="307"/>
      <c r="K730" s="313"/>
      <c r="L730" s="319"/>
      <c r="M730" s="316"/>
      <c r="N730" s="205"/>
      <c r="O730" s="311"/>
      <c r="P730" s="200"/>
      <c r="Q730" s="200"/>
      <c r="R730" s="58"/>
      <c r="S730" s="58"/>
      <c r="T730" s="58"/>
      <c r="U730" s="58"/>
      <c r="V730" s="58"/>
      <c r="W730" s="58"/>
      <c r="X730" s="58"/>
      <c r="Y730" s="58"/>
      <c r="Z730" s="58"/>
      <c r="AA730" s="58"/>
      <c r="AB730" s="58"/>
      <c r="AC730" s="58"/>
    </row>
    <row r="731">
      <c r="A731" s="320"/>
      <c r="B731" s="301"/>
      <c r="C731" s="205"/>
      <c r="D731" s="302"/>
      <c r="E731" s="303"/>
      <c r="F731" s="304"/>
      <c r="G731" s="312"/>
      <c r="H731" s="306"/>
      <c r="I731" s="302"/>
      <c r="J731" s="307"/>
      <c r="K731" s="313"/>
      <c r="L731" s="319"/>
      <c r="M731" s="316"/>
      <c r="N731" s="205"/>
      <c r="O731" s="311"/>
      <c r="P731" s="200"/>
      <c r="Q731" s="200"/>
      <c r="R731" s="58"/>
      <c r="S731" s="58"/>
      <c r="T731" s="58"/>
      <c r="U731" s="58"/>
      <c r="V731" s="58"/>
      <c r="W731" s="58"/>
      <c r="X731" s="58"/>
      <c r="Y731" s="58"/>
      <c r="Z731" s="58"/>
      <c r="AA731" s="58"/>
      <c r="AB731" s="58"/>
      <c r="AC731" s="58"/>
    </row>
    <row r="732">
      <c r="A732" s="320"/>
      <c r="B732" s="301"/>
      <c r="C732" s="205"/>
      <c r="D732" s="302"/>
      <c r="E732" s="303"/>
      <c r="F732" s="304"/>
      <c r="G732" s="312"/>
      <c r="H732" s="306"/>
      <c r="I732" s="302"/>
      <c r="J732" s="307"/>
      <c r="K732" s="313"/>
      <c r="L732" s="319"/>
      <c r="M732" s="316"/>
      <c r="N732" s="205"/>
      <c r="O732" s="311"/>
      <c r="P732" s="200"/>
      <c r="Q732" s="200"/>
      <c r="R732" s="58"/>
      <c r="S732" s="58"/>
      <c r="T732" s="58"/>
      <c r="U732" s="58"/>
      <c r="V732" s="58"/>
      <c r="W732" s="58"/>
      <c r="X732" s="58"/>
      <c r="Y732" s="58"/>
      <c r="Z732" s="58"/>
      <c r="AA732" s="58"/>
      <c r="AB732" s="58"/>
      <c r="AC732" s="58"/>
    </row>
    <row r="733">
      <c r="A733" s="320"/>
      <c r="B733" s="301"/>
      <c r="C733" s="205"/>
      <c r="D733" s="302"/>
      <c r="E733" s="303"/>
      <c r="F733" s="304"/>
      <c r="G733" s="312"/>
      <c r="H733" s="306"/>
      <c r="I733" s="302"/>
      <c r="J733" s="307"/>
      <c r="K733" s="313"/>
      <c r="L733" s="319"/>
      <c r="M733" s="316"/>
      <c r="N733" s="205"/>
      <c r="O733" s="311"/>
      <c r="P733" s="200"/>
      <c r="Q733" s="200"/>
      <c r="R733" s="58"/>
      <c r="S733" s="58"/>
      <c r="T733" s="58"/>
      <c r="U733" s="58"/>
      <c r="V733" s="58"/>
      <c r="W733" s="58"/>
      <c r="X733" s="58"/>
      <c r="Y733" s="58"/>
      <c r="Z733" s="58"/>
      <c r="AA733" s="58"/>
      <c r="AB733" s="58"/>
      <c r="AC733" s="58"/>
    </row>
    <row r="734">
      <c r="A734" s="320"/>
      <c r="B734" s="301"/>
      <c r="C734" s="205"/>
      <c r="D734" s="302"/>
      <c r="E734" s="303"/>
      <c r="F734" s="304"/>
      <c r="G734" s="312"/>
      <c r="H734" s="306"/>
      <c r="I734" s="302"/>
      <c r="J734" s="307"/>
      <c r="K734" s="313"/>
      <c r="L734" s="319"/>
      <c r="M734" s="316"/>
      <c r="N734" s="205"/>
      <c r="O734" s="311"/>
      <c r="P734" s="200"/>
      <c r="Q734" s="200"/>
      <c r="R734" s="58"/>
      <c r="S734" s="58"/>
      <c r="T734" s="58"/>
      <c r="U734" s="58"/>
      <c r="V734" s="58"/>
      <c r="W734" s="58"/>
      <c r="X734" s="58"/>
      <c r="Y734" s="58"/>
      <c r="Z734" s="58"/>
      <c r="AA734" s="58"/>
      <c r="AB734" s="58"/>
      <c r="AC734" s="58"/>
    </row>
    <row r="735">
      <c r="A735" s="320"/>
      <c r="B735" s="301"/>
      <c r="C735" s="205"/>
      <c r="D735" s="302"/>
      <c r="E735" s="303"/>
      <c r="F735" s="304"/>
      <c r="G735" s="312"/>
      <c r="H735" s="306"/>
      <c r="I735" s="302"/>
      <c r="J735" s="307"/>
      <c r="K735" s="313"/>
      <c r="L735" s="319"/>
      <c r="M735" s="316"/>
      <c r="N735" s="205"/>
      <c r="O735" s="311"/>
      <c r="P735" s="200"/>
      <c r="Q735" s="200"/>
      <c r="R735" s="58"/>
      <c r="S735" s="58"/>
      <c r="T735" s="58"/>
      <c r="U735" s="58"/>
      <c r="V735" s="58"/>
      <c r="W735" s="58"/>
      <c r="X735" s="58"/>
      <c r="Y735" s="58"/>
      <c r="Z735" s="58"/>
      <c r="AA735" s="58"/>
      <c r="AB735" s="58"/>
      <c r="AC735" s="58"/>
    </row>
    <row r="736">
      <c r="A736" s="320"/>
      <c r="B736" s="301"/>
      <c r="C736" s="205"/>
      <c r="D736" s="302"/>
      <c r="E736" s="303"/>
      <c r="F736" s="304"/>
      <c r="G736" s="312"/>
      <c r="H736" s="306"/>
      <c r="I736" s="302"/>
      <c r="J736" s="307"/>
      <c r="K736" s="313"/>
      <c r="L736" s="319"/>
      <c r="M736" s="316"/>
      <c r="N736" s="205"/>
      <c r="O736" s="311"/>
      <c r="P736" s="200"/>
      <c r="Q736" s="200"/>
      <c r="R736" s="58"/>
      <c r="S736" s="58"/>
      <c r="T736" s="58"/>
      <c r="U736" s="58"/>
      <c r="V736" s="58"/>
      <c r="W736" s="58"/>
      <c r="X736" s="58"/>
      <c r="Y736" s="58"/>
      <c r="Z736" s="58"/>
      <c r="AA736" s="58"/>
      <c r="AB736" s="58"/>
      <c r="AC736" s="58"/>
    </row>
    <row r="737">
      <c r="A737" s="320"/>
      <c r="B737" s="301"/>
      <c r="C737" s="205"/>
      <c r="D737" s="302"/>
      <c r="E737" s="303"/>
      <c r="F737" s="304"/>
      <c r="G737" s="312"/>
      <c r="H737" s="306"/>
      <c r="I737" s="302"/>
      <c r="J737" s="307"/>
      <c r="K737" s="313"/>
      <c r="L737" s="319"/>
      <c r="M737" s="316"/>
      <c r="N737" s="205"/>
      <c r="O737" s="311"/>
      <c r="P737" s="200"/>
      <c r="Q737" s="200"/>
      <c r="R737" s="58"/>
      <c r="S737" s="58"/>
      <c r="T737" s="58"/>
      <c r="U737" s="58"/>
      <c r="V737" s="58"/>
      <c r="W737" s="58"/>
      <c r="X737" s="58"/>
      <c r="Y737" s="58"/>
      <c r="Z737" s="58"/>
      <c r="AA737" s="58"/>
      <c r="AB737" s="58"/>
      <c r="AC737" s="58"/>
    </row>
    <row r="738">
      <c r="A738" s="320"/>
      <c r="B738" s="301"/>
      <c r="C738" s="205"/>
      <c r="D738" s="302"/>
      <c r="E738" s="303"/>
      <c r="F738" s="304"/>
      <c r="G738" s="312"/>
      <c r="H738" s="306"/>
      <c r="I738" s="302"/>
      <c r="J738" s="307"/>
      <c r="K738" s="313"/>
      <c r="L738" s="319"/>
      <c r="M738" s="316"/>
      <c r="N738" s="205"/>
      <c r="O738" s="311"/>
      <c r="P738" s="200"/>
      <c r="Q738" s="200"/>
      <c r="R738" s="58"/>
      <c r="S738" s="58"/>
      <c r="T738" s="58"/>
      <c r="U738" s="58"/>
      <c r="V738" s="58"/>
      <c r="W738" s="58"/>
      <c r="X738" s="58"/>
      <c r="Y738" s="58"/>
      <c r="Z738" s="58"/>
      <c r="AA738" s="58"/>
      <c r="AB738" s="58"/>
      <c r="AC738" s="58"/>
    </row>
    <row r="739">
      <c r="A739" s="320"/>
      <c r="B739" s="301"/>
      <c r="C739" s="205"/>
      <c r="D739" s="302"/>
      <c r="E739" s="303"/>
      <c r="F739" s="304"/>
      <c r="G739" s="312"/>
      <c r="H739" s="306"/>
      <c r="I739" s="302"/>
      <c r="J739" s="307"/>
      <c r="K739" s="313"/>
      <c r="L739" s="319"/>
      <c r="M739" s="316"/>
      <c r="N739" s="205"/>
      <c r="O739" s="311"/>
      <c r="P739" s="200"/>
      <c r="Q739" s="200"/>
      <c r="R739" s="58"/>
      <c r="S739" s="58"/>
      <c r="T739" s="58"/>
      <c r="U739" s="58"/>
      <c r="V739" s="58"/>
      <c r="W739" s="58"/>
      <c r="X739" s="58"/>
      <c r="Y739" s="58"/>
      <c r="Z739" s="58"/>
      <c r="AA739" s="58"/>
      <c r="AB739" s="58"/>
      <c r="AC739" s="58"/>
    </row>
    <row r="740">
      <c r="A740" s="320"/>
      <c r="B740" s="301"/>
      <c r="C740" s="205"/>
      <c r="D740" s="302"/>
      <c r="E740" s="303"/>
      <c r="F740" s="304"/>
      <c r="G740" s="312"/>
      <c r="H740" s="306"/>
      <c r="I740" s="302"/>
      <c r="J740" s="307"/>
      <c r="K740" s="313"/>
      <c r="L740" s="319"/>
      <c r="M740" s="316"/>
      <c r="N740" s="205"/>
      <c r="O740" s="311"/>
      <c r="P740" s="200"/>
      <c r="Q740" s="200"/>
      <c r="R740" s="58"/>
      <c r="S740" s="58"/>
      <c r="T740" s="58"/>
      <c r="U740" s="58"/>
      <c r="V740" s="58"/>
      <c r="W740" s="58"/>
      <c r="X740" s="58"/>
      <c r="Y740" s="58"/>
      <c r="Z740" s="58"/>
      <c r="AA740" s="58"/>
      <c r="AB740" s="58"/>
      <c r="AC740" s="58"/>
    </row>
    <row r="741">
      <c r="A741" s="320"/>
      <c r="B741" s="301"/>
      <c r="C741" s="205"/>
      <c r="D741" s="302"/>
      <c r="E741" s="303"/>
      <c r="F741" s="304"/>
      <c r="G741" s="312"/>
      <c r="H741" s="306"/>
      <c r="I741" s="302"/>
      <c r="J741" s="307"/>
      <c r="K741" s="313"/>
      <c r="L741" s="319"/>
      <c r="M741" s="316"/>
      <c r="N741" s="205"/>
      <c r="O741" s="311"/>
      <c r="P741" s="200"/>
      <c r="Q741" s="200"/>
      <c r="R741" s="58"/>
      <c r="S741" s="58"/>
      <c r="T741" s="58"/>
      <c r="U741" s="58"/>
      <c r="V741" s="58"/>
      <c r="W741" s="58"/>
      <c r="X741" s="58"/>
      <c r="Y741" s="58"/>
      <c r="Z741" s="58"/>
      <c r="AA741" s="58"/>
      <c r="AB741" s="58"/>
      <c r="AC741" s="58"/>
    </row>
    <row r="742">
      <c r="A742" s="320"/>
      <c r="B742" s="301"/>
      <c r="C742" s="205"/>
      <c r="D742" s="302"/>
      <c r="E742" s="303"/>
      <c r="F742" s="304"/>
      <c r="G742" s="312"/>
      <c r="H742" s="306"/>
      <c r="I742" s="302"/>
      <c r="J742" s="307"/>
      <c r="K742" s="313"/>
      <c r="L742" s="319"/>
      <c r="M742" s="316"/>
      <c r="N742" s="205"/>
      <c r="O742" s="311"/>
      <c r="P742" s="200"/>
      <c r="Q742" s="200"/>
      <c r="R742" s="58"/>
      <c r="S742" s="58"/>
      <c r="T742" s="58"/>
      <c r="U742" s="58"/>
      <c r="V742" s="58"/>
      <c r="W742" s="58"/>
      <c r="X742" s="58"/>
      <c r="Y742" s="58"/>
      <c r="Z742" s="58"/>
      <c r="AA742" s="58"/>
      <c r="AB742" s="58"/>
      <c r="AC742" s="58"/>
    </row>
    <row r="743">
      <c r="A743" s="320"/>
      <c r="B743" s="301"/>
      <c r="C743" s="205"/>
      <c r="D743" s="302"/>
      <c r="E743" s="303"/>
      <c r="F743" s="304"/>
      <c r="G743" s="312"/>
      <c r="H743" s="306"/>
      <c r="I743" s="302"/>
      <c r="J743" s="307"/>
      <c r="K743" s="313"/>
      <c r="L743" s="319"/>
      <c r="M743" s="316"/>
      <c r="N743" s="205"/>
      <c r="O743" s="311"/>
      <c r="P743" s="200"/>
      <c r="Q743" s="200"/>
      <c r="R743" s="58"/>
      <c r="S743" s="58"/>
      <c r="T743" s="58"/>
      <c r="U743" s="58"/>
      <c r="V743" s="58"/>
      <c r="W743" s="58"/>
      <c r="X743" s="58"/>
      <c r="Y743" s="58"/>
      <c r="Z743" s="58"/>
      <c r="AA743" s="58"/>
      <c r="AB743" s="58"/>
      <c r="AC743" s="58"/>
    </row>
    <row r="744">
      <c r="A744" s="320"/>
      <c r="B744" s="301"/>
      <c r="C744" s="205"/>
      <c r="D744" s="302"/>
      <c r="E744" s="303"/>
      <c r="F744" s="304"/>
      <c r="G744" s="312"/>
      <c r="H744" s="306"/>
      <c r="I744" s="302"/>
      <c r="J744" s="307"/>
      <c r="K744" s="313"/>
      <c r="L744" s="319"/>
      <c r="M744" s="316"/>
      <c r="N744" s="205"/>
      <c r="O744" s="311"/>
      <c r="P744" s="200"/>
      <c r="Q744" s="200"/>
      <c r="R744" s="58"/>
      <c r="S744" s="58"/>
      <c r="T744" s="58"/>
      <c r="U744" s="58"/>
      <c r="V744" s="58"/>
      <c r="W744" s="58"/>
      <c r="X744" s="58"/>
      <c r="Y744" s="58"/>
      <c r="Z744" s="58"/>
      <c r="AA744" s="58"/>
      <c r="AB744" s="58"/>
      <c r="AC744" s="58"/>
    </row>
    <row r="745">
      <c r="A745" s="320"/>
      <c r="B745" s="301"/>
      <c r="C745" s="205"/>
      <c r="D745" s="302"/>
      <c r="E745" s="303"/>
      <c r="F745" s="304"/>
      <c r="G745" s="312"/>
      <c r="H745" s="306"/>
      <c r="I745" s="302"/>
      <c r="J745" s="307"/>
      <c r="K745" s="313"/>
      <c r="L745" s="319"/>
      <c r="M745" s="316"/>
      <c r="N745" s="205"/>
      <c r="O745" s="311"/>
      <c r="P745" s="200"/>
      <c r="Q745" s="200"/>
      <c r="R745" s="58"/>
      <c r="S745" s="58"/>
      <c r="T745" s="58"/>
      <c r="U745" s="58"/>
      <c r="V745" s="58"/>
      <c r="W745" s="58"/>
      <c r="X745" s="58"/>
      <c r="Y745" s="58"/>
      <c r="Z745" s="58"/>
      <c r="AA745" s="58"/>
      <c r="AB745" s="58"/>
      <c r="AC745" s="58"/>
    </row>
    <row r="746">
      <c r="A746" s="320"/>
      <c r="B746" s="301"/>
      <c r="C746" s="205"/>
      <c r="D746" s="302"/>
      <c r="E746" s="303"/>
      <c r="F746" s="304"/>
      <c r="G746" s="312"/>
      <c r="H746" s="306"/>
      <c r="I746" s="302"/>
      <c r="J746" s="307"/>
      <c r="K746" s="313"/>
      <c r="L746" s="319"/>
      <c r="M746" s="316"/>
      <c r="N746" s="205"/>
      <c r="O746" s="311"/>
      <c r="P746" s="200"/>
      <c r="Q746" s="200"/>
      <c r="R746" s="58"/>
      <c r="S746" s="58"/>
      <c r="T746" s="58"/>
      <c r="U746" s="58"/>
      <c r="V746" s="58"/>
      <c r="W746" s="58"/>
      <c r="X746" s="58"/>
      <c r="Y746" s="58"/>
      <c r="Z746" s="58"/>
      <c r="AA746" s="58"/>
      <c r="AB746" s="58"/>
      <c r="AC746" s="58"/>
    </row>
    <row r="747">
      <c r="A747" s="320"/>
      <c r="B747" s="301"/>
      <c r="C747" s="205"/>
      <c r="D747" s="302"/>
      <c r="E747" s="303"/>
      <c r="F747" s="304"/>
      <c r="G747" s="312"/>
      <c r="H747" s="306"/>
      <c r="I747" s="302"/>
      <c r="J747" s="307"/>
      <c r="K747" s="313"/>
      <c r="L747" s="319"/>
      <c r="M747" s="316"/>
      <c r="N747" s="205"/>
      <c r="O747" s="311"/>
      <c r="P747" s="200"/>
      <c r="Q747" s="200"/>
      <c r="R747" s="58"/>
      <c r="S747" s="58"/>
      <c r="T747" s="58"/>
      <c r="U747" s="58"/>
      <c r="V747" s="58"/>
      <c r="W747" s="58"/>
      <c r="X747" s="58"/>
      <c r="Y747" s="58"/>
      <c r="Z747" s="58"/>
      <c r="AA747" s="58"/>
      <c r="AB747" s="58"/>
      <c r="AC747" s="58"/>
    </row>
    <row r="748">
      <c r="A748" s="320"/>
      <c r="B748" s="301"/>
      <c r="C748" s="205"/>
      <c r="D748" s="302"/>
      <c r="E748" s="303"/>
      <c r="F748" s="304"/>
      <c r="G748" s="312"/>
      <c r="H748" s="306"/>
      <c r="I748" s="302"/>
      <c r="J748" s="307"/>
      <c r="K748" s="313"/>
      <c r="L748" s="319"/>
      <c r="M748" s="316"/>
      <c r="N748" s="205"/>
      <c r="O748" s="311"/>
      <c r="P748" s="200"/>
      <c r="Q748" s="200"/>
      <c r="R748" s="58"/>
      <c r="S748" s="58"/>
      <c r="T748" s="58"/>
      <c r="U748" s="58"/>
      <c r="V748" s="58"/>
      <c r="W748" s="58"/>
      <c r="X748" s="58"/>
      <c r="Y748" s="58"/>
      <c r="Z748" s="58"/>
      <c r="AA748" s="58"/>
      <c r="AB748" s="58"/>
      <c r="AC748" s="58"/>
    </row>
    <row r="749">
      <c r="A749" s="320"/>
      <c r="B749" s="301"/>
      <c r="C749" s="205"/>
      <c r="D749" s="302"/>
      <c r="E749" s="303"/>
      <c r="F749" s="304"/>
      <c r="G749" s="312"/>
      <c r="H749" s="306"/>
      <c r="I749" s="302"/>
      <c r="J749" s="307"/>
      <c r="K749" s="313"/>
      <c r="L749" s="319"/>
      <c r="M749" s="316"/>
      <c r="N749" s="205"/>
      <c r="O749" s="311"/>
      <c r="P749" s="200"/>
      <c r="Q749" s="200"/>
      <c r="R749" s="58"/>
      <c r="S749" s="58"/>
      <c r="T749" s="58"/>
      <c r="U749" s="58"/>
      <c r="V749" s="58"/>
      <c r="W749" s="58"/>
      <c r="X749" s="58"/>
      <c r="Y749" s="58"/>
      <c r="Z749" s="58"/>
      <c r="AA749" s="58"/>
      <c r="AB749" s="58"/>
      <c r="AC749" s="58"/>
    </row>
    <row r="750">
      <c r="A750" s="320"/>
      <c r="B750" s="301"/>
      <c r="C750" s="205"/>
      <c r="D750" s="302"/>
      <c r="E750" s="303"/>
      <c r="F750" s="304"/>
      <c r="G750" s="312"/>
      <c r="H750" s="306"/>
      <c r="I750" s="302"/>
      <c r="J750" s="307"/>
      <c r="K750" s="313"/>
      <c r="L750" s="319"/>
      <c r="M750" s="316"/>
      <c r="N750" s="205"/>
      <c r="O750" s="311"/>
      <c r="P750" s="200"/>
      <c r="Q750" s="200"/>
      <c r="R750" s="58"/>
      <c r="S750" s="58"/>
      <c r="T750" s="58"/>
      <c r="U750" s="58"/>
      <c r="V750" s="58"/>
      <c r="W750" s="58"/>
      <c r="X750" s="58"/>
      <c r="Y750" s="58"/>
      <c r="Z750" s="58"/>
      <c r="AA750" s="58"/>
      <c r="AB750" s="58"/>
      <c r="AC750" s="58"/>
    </row>
    <row r="751">
      <c r="A751" s="320"/>
      <c r="B751" s="301"/>
      <c r="C751" s="205"/>
      <c r="D751" s="302"/>
      <c r="E751" s="303"/>
      <c r="F751" s="304"/>
      <c r="G751" s="312"/>
      <c r="H751" s="306"/>
      <c r="I751" s="302"/>
      <c r="J751" s="307"/>
      <c r="K751" s="313"/>
      <c r="L751" s="319"/>
      <c r="M751" s="316"/>
      <c r="N751" s="205"/>
      <c r="O751" s="311"/>
      <c r="P751" s="200"/>
      <c r="Q751" s="200"/>
      <c r="R751" s="58"/>
      <c r="S751" s="58"/>
      <c r="T751" s="58"/>
      <c r="U751" s="58"/>
      <c r="V751" s="58"/>
      <c r="W751" s="58"/>
      <c r="X751" s="58"/>
      <c r="Y751" s="58"/>
      <c r="Z751" s="58"/>
      <c r="AA751" s="58"/>
      <c r="AB751" s="58"/>
      <c r="AC751" s="58"/>
    </row>
    <row r="752">
      <c r="A752" s="320"/>
      <c r="B752" s="301"/>
      <c r="C752" s="205"/>
      <c r="D752" s="302"/>
      <c r="E752" s="303"/>
      <c r="F752" s="304"/>
      <c r="G752" s="312"/>
      <c r="H752" s="306"/>
      <c r="I752" s="302"/>
      <c r="J752" s="307"/>
      <c r="K752" s="313"/>
      <c r="L752" s="319"/>
      <c r="M752" s="316"/>
      <c r="N752" s="205"/>
      <c r="O752" s="311"/>
      <c r="P752" s="200"/>
      <c r="Q752" s="200"/>
      <c r="R752" s="58"/>
      <c r="S752" s="58"/>
      <c r="T752" s="58"/>
      <c r="U752" s="58"/>
      <c r="V752" s="58"/>
      <c r="W752" s="58"/>
      <c r="X752" s="58"/>
      <c r="Y752" s="58"/>
      <c r="Z752" s="58"/>
      <c r="AA752" s="58"/>
      <c r="AB752" s="58"/>
      <c r="AC752" s="58"/>
    </row>
    <row r="753">
      <c r="A753" s="320"/>
      <c r="B753" s="301"/>
      <c r="C753" s="205"/>
      <c r="D753" s="302"/>
      <c r="E753" s="303"/>
      <c r="F753" s="304"/>
      <c r="G753" s="312"/>
      <c r="H753" s="306"/>
      <c r="I753" s="302"/>
      <c r="J753" s="307"/>
      <c r="K753" s="313"/>
      <c r="L753" s="319"/>
      <c r="M753" s="316"/>
      <c r="N753" s="205"/>
      <c r="O753" s="311"/>
      <c r="P753" s="200"/>
      <c r="Q753" s="200"/>
      <c r="R753" s="58"/>
      <c r="S753" s="58"/>
      <c r="T753" s="58"/>
      <c r="U753" s="58"/>
      <c r="V753" s="58"/>
      <c r="W753" s="58"/>
      <c r="X753" s="58"/>
      <c r="Y753" s="58"/>
      <c r="Z753" s="58"/>
      <c r="AA753" s="58"/>
      <c r="AB753" s="58"/>
      <c r="AC753" s="58"/>
    </row>
    <row r="754">
      <c r="A754" s="320"/>
      <c r="B754" s="301"/>
      <c r="C754" s="205"/>
      <c r="D754" s="302"/>
      <c r="E754" s="303"/>
      <c r="F754" s="304"/>
      <c r="G754" s="312"/>
      <c r="H754" s="306"/>
      <c r="I754" s="302"/>
      <c r="J754" s="307"/>
      <c r="K754" s="313"/>
      <c r="L754" s="319"/>
      <c r="M754" s="316"/>
      <c r="N754" s="205"/>
      <c r="O754" s="311"/>
      <c r="P754" s="200"/>
      <c r="Q754" s="200"/>
      <c r="R754" s="58"/>
      <c r="S754" s="58"/>
      <c r="T754" s="58"/>
      <c r="U754" s="58"/>
      <c r="V754" s="58"/>
      <c r="W754" s="58"/>
      <c r="X754" s="58"/>
      <c r="Y754" s="58"/>
      <c r="Z754" s="58"/>
      <c r="AA754" s="58"/>
      <c r="AB754" s="58"/>
      <c r="AC754" s="58"/>
    </row>
    <row r="755">
      <c r="A755" s="320"/>
      <c r="B755" s="301"/>
      <c r="C755" s="205"/>
      <c r="D755" s="302"/>
      <c r="E755" s="303"/>
      <c r="F755" s="304"/>
      <c r="G755" s="312"/>
      <c r="H755" s="306"/>
      <c r="I755" s="302"/>
      <c r="J755" s="307"/>
      <c r="K755" s="313"/>
      <c r="L755" s="319"/>
      <c r="M755" s="316"/>
      <c r="N755" s="205"/>
      <c r="O755" s="311"/>
      <c r="P755" s="200"/>
      <c r="Q755" s="200"/>
      <c r="R755" s="58"/>
      <c r="S755" s="58"/>
      <c r="T755" s="58"/>
      <c r="U755" s="58"/>
      <c r="V755" s="58"/>
      <c r="W755" s="58"/>
      <c r="X755" s="58"/>
      <c r="Y755" s="58"/>
      <c r="Z755" s="58"/>
      <c r="AA755" s="58"/>
      <c r="AB755" s="58"/>
      <c r="AC755" s="58"/>
    </row>
    <row r="756">
      <c r="A756" s="320"/>
      <c r="B756" s="301"/>
      <c r="C756" s="205"/>
      <c r="D756" s="302"/>
      <c r="E756" s="303"/>
      <c r="F756" s="304"/>
      <c r="G756" s="312"/>
      <c r="H756" s="306"/>
      <c r="I756" s="302"/>
      <c r="J756" s="307"/>
      <c r="K756" s="313"/>
      <c r="L756" s="319"/>
      <c r="M756" s="316"/>
      <c r="N756" s="205"/>
      <c r="O756" s="311"/>
      <c r="P756" s="200"/>
      <c r="Q756" s="200"/>
      <c r="R756" s="58"/>
      <c r="S756" s="58"/>
      <c r="T756" s="58"/>
      <c r="U756" s="58"/>
      <c r="V756" s="58"/>
      <c r="W756" s="58"/>
      <c r="X756" s="58"/>
      <c r="Y756" s="58"/>
      <c r="Z756" s="58"/>
      <c r="AA756" s="58"/>
      <c r="AB756" s="58"/>
      <c r="AC756" s="58"/>
    </row>
    <row r="757">
      <c r="A757" s="320"/>
      <c r="B757" s="301"/>
      <c r="C757" s="205"/>
      <c r="D757" s="302"/>
      <c r="E757" s="303"/>
      <c r="F757" s="304"/>
      <c r="G757" s="312"/>
      <c r="H757" s="306"/>
      <c r="I757" s="302"/>
      <c r="J757" s="307"/>
      <c r="K757" s="313"/>
      <c r="L757" s="319"/>
      <c r="M757" s="316"/>
      <c r="N757" s="205"/>
      <c r="O757" s="311"/>
      <c r="P757" s="200"/>
      <c r="Q757" s="200"/>
      <c r="R757" s="58"/>
      <c r="S757" s="58"/>
      <c r="T757" s="58"/>
      <c r="U757" s="58"/>
      <c r="V757" s="58"/>
      <c r="W757" s="58"/>
      <c r="X757" s="58"/>
      <c r="Y757" s="58"/>
      <c r="Z757" s="58"/>
      <c r="AA757" s="58"/>
      <c r="AB757" s="58"/>
      <c r="AC757" s="58"/>
    </row>
    <row r="758">
      <c r="A758" s="320"/>
      <c r="B758" s="301"/>
      <c r="C758" s="205"/>
      <c r="D758" s="302"/>
      <c r="E758" s="303"/>
      <c r="F758" s="304"/>
      <c r="G758" s="312"/>
      <c r="H758" s="306"/>
      <c r="I758" s="302"/>
      <c r="J758" s="307"/>
      <c r="K758" s="313"/>
      <c r="L758" s="319"/>
      <c r="M758" s="316"/>
      <c r="N758" s="205"/>
      <c r="O758" s="311"/>
      <c r="P758" s="200"/>
      <c r="Q758" s="200"/>
      <c r="R758" s="58"/>
      <c r="S758" s="58"/>
      <c r="T758" s="58"/>
      <c r="U758" s="58"/>
      <c r="V758" s="58"/>
      <c r="W758" s="58"/>
      <c r="X758" s="58"/>
      <c r="Y758" s="58"/>
      <c r="Z758" s="58"/>
      <c r="AA758" s="58"/>
      <c r="AB758" s="58"/>
      <c r="AC758" s="58"/>
    </row>
    <row r="759">
      <c r="A759" s="320"/>
      <c r="B759" s="301"/>
      <c r="C759" s="205"/>
      <c r="D759" s="302"/>
      <c r="E759" s="303"/>
      <c r="F759" s="304"/>
      <c r="G759" s="312"/>
      <c r="H759" s="306"/>
      <c r="I759" s="302"/>
      <c r="J759" s="307"/>
      <c r="K759" s="313"/>
      <c r="L759" s="319"/>
      <c r="M759" s="316"/>
      <c r="N759" s="205"/>
      <c r="O759" s="311"/>
      <c r="P759" s="200"/>
      <c r="Q759" s="200"/>
      <c r="R759" s="58"/>
      <c r="S759" s="58"/>
      <c r="T759" s="58"/>
      <c r="U759" s="58"/>
      <c r="V759" s="58"/>
      <c r="W759" s="58"/>
      <c r="X759" s="58"/>
      <c r="Y759" s="58"/>
      <c r="Z759" s="58"/>
      <c r="AA759" s="58"/>
      <c r="AB759" s="58"/>
      <c r="AC759" s="58"/>
    </row>
    <row r="760">
      <c r="A760" s="320"/>
      <c r="B760" s="301"/>
      <c r="C760" s="205"/>
      <c r="D760" s="302"/>
      <c r="E760" s="303"/>
      <c r="F760" s="304"/>
      <c r="G760" s="312"/>
      <c r="H760" s="306"/>
      <c r="I760" s="302"/>
      <c r="J760" s="307"/>
      <c r="K760" s="313"/>
      <c r="L760" s="319"/>
      <c r="M760" s="316"/>
      <c r="N760" s="205"/>
      <c r="O760" s="311"/>
      <c r="P760" s="200"/>
      <c r="Q760" s="200"/>
      <c r="R760" s="58"/>
      <c r="S760" s="58"/>
      <c r="T760" s="58"/>
      <c r="U760" s="58"/>
      <c r="V760" s="58"/>
      <c r="W760" s="58"/>
      <c r="X760" s="58"/>
      <c r="Y760" s="58"/>
      <c r="Z760" s="58"/>
      <c r="AA760" s="58"/>
      <c r="AB760" s="58"/>
      <c r="AC760" s="58"/>
    </row>
    <row r="761">
      <c r="A761" s="320"/>
      <c r="B761" s="301"/>
      <c r="C761" s="205"/>
      <c r="D761" s="302"/>
      <c r="E761" s="303"/>
      <c r="F761" s="304"/>
      <c r="G761" s="312"/>
      <c r="H761" s="306"/>
      <c r="I761" s="302"/>
      <c r="J761" s="307"/>
      <c r="K761" s="313"/>
      <c r="L761" s="319"/>
      <c r="M761" s="316"/>
      <c r="N761" s="205"/>
      <c r="O761" s="311"/>
      <c r="P761" s="200"/>
      <c r="Q761" s="200"/>
      <c r="R761" s="58"/>
      <c r="S761" s="58"/>
      <c r="T761" s="58"/>
      <c r="U761" s="58"/>
      <c r="V761" s="58"/>
      <c r="W761" s="58"/>
      <c r="X761" s="58"/>
      <c r="Y761" s="58"/>
      <c r="Z761" s="58"/>
      <c r="AA761" s="58"/>
      <c r="AB761" s="58"/>
      <c r="AC761" s="58"/>
    </row>
    <row r="762">
      <c r="A762" s="320"/>
      <c r="B762" s="301"/>
      <c r="C762" s="205"/>
      <c r="D762" s="302"/>
      <c r="E762" s="303"/>
      <c r="F762" s="304"/>
      <c r="G762" s="312"/>
      <c r="H762" s="306"/>
      <c r="I762" s="302"/>
      <c r="J762" s="307"/>
      <c r="K762" s="313"/>
      <c r="L762" s="319"/>
      <c r="M762" s="316"/>
      <c r="N762" s="205"/>
      <c r="O762" s="311"/>
      <c r="P762" s="200"/>
      <c r="Q762" s="200"/>
      <c r="R762" s="58"/>
      <c r="S762" s="58"/>
      <c r="T762" s="58"/>
      <c r="U762" s="58"/>
      <c r="V762" s="58"/>
      <c r="W762" s="58"/>
      <c r="X762" s="58"/>
      <c r="Y762" s="58"/>
      <c r="Z762" s="58"/>
      <c r="AA762" s="58"/>
      <c r="AB762" s="58"/>
      <c r="AC762" s="58"/>
    </row>
    <row r="763">
      <c r="A763" s="320"/>
      <c r="B763" s="301"/>
      <c r="C763" s="205"/>
      <c r="D763" s="302"/>
      <c r="E763" s="303"/>
      <c r="F763" s="304"/>
      <c r="G763" s="312"/>
      <c r="H763" s="306"/>
      <c r="I763" s="302"/>
      <c r="J763" s="307"/>
      <c r="K763" s="313"/>
      <c r="L763" s="319"/>
      <c r="M763" s="316"/>
      <c r="N763" s="205"/>
      <c r="O763" s="311"/>
      <c r="P763" s="200"/>
      <c r="Q763" s="200"/>
      <c r="R763" s="58"/>
      <c r="S763" s="58"/>
      <c r="T763" s="58"/>
      <c r="U763" s="58"/>
      <c r="V763" s="58"/>
      <c r="W763" s="58"/>
      <c r="X763" s="58"/>
      <c r="Y763" s="58"/>
      <c r="Z763" s="58"/>
      <c r="AA763" s="58"/>
      <c r="AB763" s="58"/>
      <c r="AC763" s="58"/>
    </row>
    <row r="764">
      <c r="A764" s="320"/>
      <c r="B764" s="301"/>
      <c r="C764" s="205"/>
      <c r="D764" s="302"/>
      <c r="E764" s="303"/>
      <c r="F764" s="304"/>
      <c r="G764" s="312"/>
      <c r="H764" s="306"/>
      <c r="I764" s="302"/>
      <c r="J764" s="307"/>
      <c r="K764" s="313"/>
      <c r="L764" s="319"/>
      <c r="M764" s="316"/>
      <c r="N764" s="205"/>
      <c r="O764" s="311"/>
      <c r="P764" s="200"/>
      <c r="Q764" s="200"/>
      <c r="R764" s="58"/>
      <c r="S764" s="58"/>
      <c r="T764" s="58"/>
      <c r="U764" s="58"/>
      <c r="V764" s="58"/>
      <c r="W764" s="58"/>
      <c r="X764" s="58"/>
      <c r="Y764" s="58"/>
      <c r="Z764" s="58"/>
      <c r="AA764" s="58"/>
      <c r="AB764" s="58"/>
      <c r="AC764" s="58"/>
    </row>
    <row r="765">
      <c r="A765" s="320"/>
      <c r="B765" s="301"/>
      <c r="C765" s="205"/>
      <c r="D765" s="302"/>
      <c r="E765" s="303"/>
      <c r="F765" s="304"/>
      <c r="G765" s="312"/>
      <c r="H765" s="306"/>
      <c r="I765" s="302"/>
      <c r="J765" s="307"/>
      <c r="K765" s="313"/>
      <c r="L765" s="319"/>
      <c r="M765" s="316"/>
      <c r="N765" s="205"/>
      <c r="O765" s="311"/>
      <c r="P765" s="200"/>
      <c r="Q765" s="200"/>
      <c r="R765" s="58"/>
      <c r="S765" s="58"/>
      <c r="T765" s="58"/>
      <c r="U765" s="58"/>
      <c r="V765" s="58"/>
      <c r="W765" s="58"/>
      <c r="X765" s="58"/>
      <c r="Y765" s="58"/>
      <c r="Z765" s="58"/>
      <c r="AA765" s="58"/>
      <c r="AB765" s="58"/>
      <c r="AC765" s="58"/>
    </row>
    <row r="766">
      <c r="A766" s="320"/>
      <c r="B766" s="301"/>
      <c r="C766" s="205"/>
      <c r="D766" s="302"/>
      <c r="E766" s="303"/>
      <c r="F766" s="304"/>
      <c r="G766" s="312"/>
      <c r="H766" s="306"/>
      <c r="I766" s="302"/>
      <c r="J766" s="307"/>
      <c r="K766" s="313"/>
      <c r="L766" s="319"/>
      <c r="M766" s="316"/>
      <c r="N766" s="205"/>
      <c r="O766" s="311"/>
      <c r="P766" s="200"/>
      <c r="Q766" s="200"/>
      <c r="R766" s="58"/>
      <c r="S766" s="58"/>
      <c r="T766" s="58"/>
      <c r="U766" s="58"/>
      <c r="V766" s="58"/>
      <c r="W766" s="58"/>
      <c r="X766" s="58"/>
      <c r="Y766" s="58"/>
      <c r="Z766" s="58"/>
      <c r="AA766" s="58"/>
      <c r="AB766" s="58"/>
      <c r="AC766" s="58"/>
    </row>
    <row r="767">
      <c r="A767" s="320"/>
      <c r="B767" s="301"/>
      <c r="C767" s="205"/>
      <c r="D767" s="302"/>
      <c r="E767" s="303"/>
      <c r="F767" s="304"/>
      <c r="G767" s="312"/>
      <c r="H767" s="306"/>
      <c r="I767" s="302"/>
      <c r="J767" s="307"/>
      <c r="K767" s="313"/>
      <c r="L767" s="319"/>
      <c r="M767" s="316"/>
      <c r="N767" s="205"/>
      <c r="O767" s="311"/>
      <c r="P767" s="200"/>
      <c r="Q767" s="200"/>
      <c r="R767" s="58"/>
      <c r="S767" s="58"/>
      <c r="T767" s="58"/>
      <c r="U767" s="58"/>
      <c r="V767" s="58"/>
      <c r="W767" s="58"/>
      <c r="X767" s="58"/>
      <c r="Y767" s="58"/>
      <c r="Z767" s="58"/>
      <c r="AA767" s="58"/>
      <c r="AB767" s="58"/>
      <c r="AC767" s="58"/>
    </row>
    <row r="768">
      <c r="A768" s="320"/>
      <c r="B768" s="301"/>
      <c r="C768" s="205"/>
      <c r="D768" s="302"/>
      <c r="E768" s="303"/>
      <c r="F768" s="304"/>
      <c r="G768" s="312"/>
      <c r="H768" s="306"/>
      <c r="I768" s="302"/>
      <c r="J768" s="307"/>
      <c r="K768" s="313"/>
      <c r="L768" s="319"/>
      <c r="M768" s="316"/>
      <c r="N768" s="205"/>
      <c r="O768" s="311"/>
      <c r="P768" s="200"/>
      <c r="Q768" s="200"/>
      <c r="R768" s="58"/>
      <c r="S768" s="58"/>
      <c r="T768" s="58"/>
      <c r="U768" s="58"/>
      <c r="V768" s="58"/>
      <c r="W768" s="58"/>
      <c r="X768" s="58"/>
      <c r="Y768" s="58"/>
      <c r="Z768" s="58"/>
      <c r="AA768" s="58"/>
      <c r="AB768" s="58"/>
      <c r="AC768" s="58"/>
    </row>
    <row r="769">
      <c r="A769" s="320"/>
      <c r="B769" s="301"/>
      <c r="C769" s="205"/>
      <c r="D769" s="302"/>
      <c r="E769" s="303"/>
      <c r="F769" s="304"/>
      <c r="G769" s="312"/>
      <c r="H769" s="306"/>
      <c r="I769" s="302"/>
      <c r="J769" s="307"/>
      <c r="K769" s="313"/>
      <c r="L769" s="319"/>
      <c r="M769" s="316"/>
      <c r="N769" s="205"/>
      <c r="O769" s="311"/>
      <c r="P769" s="200"/>
      <c r="Q769" s="200"/>
      <c r="R769" s="58"/>
      <c r="S769" s="58"/>
      <c r="T769" s="58"/>
      <c r="U769" s="58"/>
      <c r="V769" s="58"/>
      <c r="W769" s="58"/>
      <c r="X769" s="58"/>
      <c r="Y769" s="58"/>
      <c r="Z769" s="58"/>
      <c r="AA769" s="58"/>
      <c r="AB769" s="58"/>
      <c r="AC769" s="58"/>
    </row>
    <row r="770">
      <c r="A770" s="320"/>
      <c r="B770" s="301"/>
      <c r="C770" s="205"/>
      <c r="D770" s="302"/>
      <c r="E770" s="303"/>
      <c r="F770" s="304"/>
      <c r="G770" s="312"/>
      <c r="H770" s="306"/>
      <c r="I770" s="302"/>
      <c r="J770" s="307"/>
      <c r="K770" s="313"/>
      <c r="L770" s="319"/>
      <c r="M770" s="316"/>
      <c r="N770" s="205"/>
      <c r="O770" s="311"/>
      <c r="P770" s="200"/>
      <c r="Q770" s="200"/>
      <c r="R770" s="58"/>
      <c r="S770" s="58"/>
      <c r="T770" s="58"/>
      <c r="U770" s="58"/>
      <c r="V770" s="58"/>
      <c r="W770" s="58"/>
      <c r="X770" s="58"/>
      <c r="Y770" s="58"/>
      <c r="Z770" s="58"/>
      <c r="AA770" s="58"/>
      <c r="AB770" s="58"/>
      <c r="AC770" s="58"/>
    </row>
    <row r="771">
      <c r="A771" s="320"/>
      <c r="B771" s="301"/>
      <c r="C771" s="205"/>
      <c r="D771" s="302"/>
      <c r="E771" s="303"/>
      <c r="F771" s="304"/>
      <c r="G771" s="312"/>
      <c r="H771" s="306"/>
      <c r="I771" s="302"/>
      <c r="J771" s="307"/>
      <c r="K771" s="313"/>
      <c r="L771" s="319"/>
      <c r="M771" s="316"/>
      <c r="N771" s="205"/>
      <c r="O771" s="311"/>
      <c r="P771" s="200"/>
      <c r="Q771" s="200"/>
      <c r="R771" s="58"/>
      <c r="S771" s="58"/>
      <c r="T771" s="58"/>
      <c r="U771" s="58"/>
      <c r="V771" s="58"/>
      <c r="W771" s="58"/>
      <c r="X771" s="58"/>
      <c r="Y771" s="58"/>
      <c r="Z771" s="58"/>
      <c r="AA771" s="58"/>
      <c r="AB771" s="58"/>
      <c r="AC771" s="58"/>
    </row>
    <row r="772">
      <c r="A772" s="320"/>
      <c r="B772" s="301"/>
      <c r="C772" s="205"/>
      <c r="D772" s="302"/>
      <c r="E772" s="303"/>
      <c r="F772" s="304"/>
      <c r="G772" s="312"/>
      <c r="H772" s="306"/>
      <c r="I772" s="302"/>
      <c r="J772" s="307"/>
      <c r="K772" s="313"/>
      <c r="L772" s="319"/>
      <c r="M772" s="316"/>
      <c r="N772" s="205"/>
      <c r="O772" s="311"/>
      <c r="P772" s="200"/>
      <c r="Q772" s="200"/>
      <c r="R772" s="58"/>
      <c r="S772" s="58"/>
      <c r="T772" s="58"/>
      <c r="U772" s="58"/>
      <c r="V772" s="58"/>
      <c r="W772" s="58"/>
      <c r="X772" s="58"/>
      <c r="Y772" s="58"/>
      <c r="Z772" s="58"/>
      <c r="AA772" s="58"/>
      <c r="AB772" s="58"/>
      <c r="AC772" s="58"/>
    </row>
    <row r="773">
      <c r="A773" s="320"/>
      <c r="B773" s="301"/>
      <c r="C773" s="205"/>
      <c r="D773" s="302"/>
      <c r="E773" s="303"/>
      <c r="F773" s="304"/>
      <c r="G773" s="312"/>
      <c r="H773" s="306"/>
      <c r="I773" s="302"/>
      <c r="J773" s="307"/>
      <c r="K773" s="313"/>
      <c r="L773" s="319"/>
      <c r="M773" s="316"/>
      <c r="N773" s="205"/>
      <c r="O773" s="311"/>
      <c r="P773" s="200"/>
      <c r="Q773" s="200"/>
      <c r="R773" s="58"/>
      <c r="S773" s="58"/>
      <c r="T773" s="58"/>
      <c r="U773" s="58"/>
      <c r="V773" s="58"/>
      <c r="W773" s="58"/>
      <c r="X773" s="58"/>
      <c r="Y773" s="58"/>
      <c r="Z773" s="58"/>
      <c r="AA773" s="58"/>
      <c r="AB773" s="58"/>
      <c r="AC773" s="58"/>
    </row>
    <row r="774">
      <c r="A774" s="320"/>
      <c r="B774" s="301"/>
      <c r="C774" s="205"/>
      <c r="D774" s="302"/>
      <c r="E774" s="303"/>
      <c r="F774" s="304"/>
      <c r="G774" s="312"/>
      <c r="H774" s="306"/>
      <c r="I774" s="302"/>
      <c r="J774" s="307"/>
      <c r="K774" s="313"/>
      <c r="L774" s="319"/>
      <c r="M774" s="316"/>
      <c r="N774" s="205"/>
      <c r="O774" s="311"/>
      <c r="P774" s="200"/>
      <c r="Q774" s="200"/>
      <c r="R774" s="58"/>
      <c r="S774" s="58"/>
      <c r="T774" s="58"/>
      <c r="U774" s="58"/>
      <c r="V774" s="58"/>
      <c r="W774" s="58"/>
      <c r="X774" s="58"/>
      <c r="Y774" s="58"/>
      <c r="Z774" s="58"/>
      <c r="AA774" s="58"/>
      <c r="AB774" s="58"/>
      <c r="AC774" s="58"/>
    </row>
    <row r="775">
      <c r="A775" s="320"/>
      <c r="B775" s="301"/>
      <c r="C775" s="205"/>
      <c r="D775" s="302"/>
      <c r="E775" s="303"/>
      <c r="F775" s="304"/>
      <c r="G775" s="312"/>
      <c r="H775" s="306"/>
      <c r="I775" s="302"/>
      <c r="J775" s="307"/>
      <c r="K775" s="313"/>
      <c r="L775" s="319"/>
      <c r="M775" s="316"/>
      <c r="N775" s="205"/>
      <c r="O775" s="311"/>
      <c r="P775" s="200"/>
      <c r="Q775" s="200"/>
      <c r="R775" s="58"/>
      <c r="S775" s="58"/>
      <c r="T775" s="58"/>
      <c r="U775" s="58"/>
      <c r="V775" s="58"/>
      <c r="W775" s="58"/>
      <c r="X775" s="58"/>
      <c r="Y775" s="58"/>
      <c r="Z775" s="58"/>
      <c r="AA775" s="58"/>
      <c r="AB775" s="58"/>
      <c r="AC775" s="58"/>
    </row>
    <row r="776">
      <c r="A776" s="320"/>
      <c r="B776" s="301"/>
      <c r="C776" s="205"/>
      <c r="D776" s="302"/>
      <c r="E776" s="303"/>
      <c r="F776" s="304"/>
      <c r="G776" s="312"/>
      <c r="H776" s="306"/>
      <c r="I776" s="302"/>
      <c r="J776" s="307"/>
      <c r="K776" s="313"/>
      <c r="L776" s="319"/>
      <c r="M776" s="316"/>
      <c r="N776" s="205"/>
      <c r="O776" s="311"/>
      <c r="P776" s="200"/>
      <c r="Q776" s="200"/>
      <c r="R776" s="58"/>
      <c r="S776" s="58"/>
      <c r="T776" s="58"/>
      <c r="U776" s="58"/>
      <c r="V776" s="58"/>
      <c r="W776" s="58"/>
      <c r="X776" s="58"/>
      <c r="Y776" s="58"/>
      <c r="Z776" s="58"/>
      <c r="AA776" s="58"/>
      <c r="AB776" s="58"/>
      <c r="AC776" s="58"/>
    </row>
    <row r="777">
      <c r="A777" s="320"/>
      <c r="B777" s="301"/>
      <c r="C777" s="205"/>
      <c r="D777" s="302"/>
      <c r="E777" s="303"/>
      <c r="F777" s="304"/>
      <c r="G777" s="312"/>
      <c r="H777" s="306"/>
      <c r="I777" s="302"/>
      <c r="J777" s="307"/>
      <c r="K777" s="313"/>
      <c r="L777" s="319"/>
      <c r="M777" s="316"/>
      <c r="N777" s="205"/>
      <c r="O777" s="311"/>
      <c r="P777" s="200"/>
      <c r="Q777" s="200"/>
      <c r="R777" s="58"/>
      <c r="S777" s="58"/>
      <c r="T777" s="58"/>
      <c r="U777" s="58"/>
      <c r="V777" s="58"/>
      <c r="W777" s="58"/>
      <c r="X777" s="58"/>
      <c r="Y777" s="58"/>
      <c r="Z777" s="58"/>
      <c r="AA777" s="58"/>
      <c r="AB777" s="58"/>
      <c r="AC777" s="58"/>
    </row>
    <row r="778">
      <c r="A778" s="320"/>
      <c r="B778" s="301"/>
      <c r="C778" s="205"/>
      <c r="D778" s="302"/>
      <c r="E778" s="303"/>
      <c r="F778" s="304"/>
      <c r="G778" s="312"/>
      <c r="H778" s="306"/>
      <c r="I778" s="302"/>
      <c r="J778" s="307"/>
      <c r="K778" s="313"/>
      <c r="L778" s="319"/>
      <c r="M778" s="316"/>
      <c r="N778" s="205"/>
      <c r="O778" s="311"/>
      <c r="P778" s="200"/>
      <c r="Q778" s="200"/>
      <c r="R778" s="58"/>
      <c r="S778" s="58"/>
      <c r="T778" s="58"/>
      <c r="U778" s="58"/>
      <c r="V778" s="58"/>
      <c r="W778" s="58"/>
      <c r="X778" s="58"/>
      <c r="Y778" s="58"/>
      <c r="Z778" s="58"/>
      <c r="AA778" s="58"/>
      <c r="AB778" s="58"/>
      <c r="AC778" s="58"/>
    </row>
    <row r="779">
      <c r="A779" s="320"/>
      <c r="B779" s="301"/>
      <c r="C779" s="205"/>
      <c r="D779" s="302"/>
      <c r="E779" s="303"/>
      <c r="F779" s="304"/>
      <c r="G779" s="312"/>
      <c r="H779" s="306"/>
      <c r="I779" s="302"/>
      <c r="J779" s="307"/>
      <c r="K779" s="313"/>
      <c r="L779" s="319"/>
      <c r="M779" s="316"/>
      <c r="N779" s="205"/>
      <c r="O779" s="311"/>
      <c r="P779" s="200"/>
      <c r="Q779" s="200"/>
      <c r="R779" s="58"/>
      <c r="S779" s="58"/>
      <c r="T779" s="58"/>
      <c r="U779" s="58"/>
      <c r="V779" s="58"/>
      <c r="W779" s="58"/>
      <c r="X779" s="58"/>
      <c r="Y779" s="58"/>
      <c r="Z779" s="58"/>
      <c r="AA779" s="58"/>
      <c r="AB779" s="58"/>
      <c r="AC779" s="58"/>
    </row>
    <row r="780">
      <c r="A780" s="320"/>
      <c r="B780" s="301"/>
      <c r="C780" s="205"/>
      <c r="D780" s="302"/>
      <c r="E780" s="303"/>
      <c r="F780" s="304"/>
      <c r="G780" s="312"/>
      <c r="H780" s="306"/>
      <c r="I780" s="302"/>
      <c r="J780" s="307"/>
      <c r="K780" s="313"/>
      <c r="L780" s="319"/>
      <c r="M780" s="316"/>
      <c r="N780" s="205"/>
      <c r="O780" s="311"/>
      <c r="P780" s="200"/>
      <c r="Q780" s="200"/>
      <c r="R780" s="58"/>
      <c r="S780" s="58"/>
      <c r="T780" s="58"/>
      <c r="U780" s="58"/>
      <c r="V780" s="58"/>
      <c r="W780" s="58"/>
      <c r="X780" s="58"/>
      <c r="Y780" s="58"/>
      <c r="Z780" s="58"/>
      <c r="AA780" s="58"/>
      <c r="AB780" s="58"/>
      <c r="AC780" s="58"/>
    </row>
    <row r="781">
      <c r="A781" s="320"/>
      <c r="B781" s="301"/>
      <c r="C781" s="205"/>
      <c r="D781" s="302"/>
      <c r="E781" s="303"/>
      <c r="F781" s="304"/>
      <c r="G781" s="312"/>
      <c r="H781" s="306"/>
      <c r="I781" s="302"/>
      <c r="J781" s="307"/>
      <c r="K781" s="313"/>
      <c r="L781" s="319"/>
      <c r="M781" s="316"/>
      <c r="N781" s="205"/>
      <c r="O781" s="311"/>
      <c r="P781" s="200"/>
      <c r="Q781" s="200"/>
      <c r="R781" s="58"/>
      <c r="S781" s="58"/>
      <c r="T781" s="58"/>
      <c r="U781" s="58"/>
      <c r="V781" s="58"/>
      <c r="W781" s="58"/>
      <c r="X781" s="58"/>
      <c r="Y781" s="58"/>
      <c r="Z781" s="58"/>
      <c r="AA781" s="58"/>
      <c r="AB781" s="58"/>
      <c r="AC781" s="58"/>
    </row>
    <row r="782">
      <c r="A782" s="320"/>
      <c r="B782" s="301"/>
      <c r="C782" s="205"/>
      <c r="D782" s="302"/>
      <c r="E782" s="303"/>
      <c r="F782" s="304"/>
      <c r="G782" s="312"/>
      <c r="H782" s="306"/>
      <c r="I782" s="302"/>
      <c r="J782" s="307"/>
      <c r="K782" s="313"/>
      <c r="L782" s="319"/>
      <c r="M782" s="316"/>
      <c r="N782" s="205"/>
      <c r="O782" s="311"/>
      <c r="P782" s="200"/>
      <c r="Q782" s="200"/>
      <c r="R782" s="58"/>
      <c r="S782" s="58"/>
      <c r="T782" s="58"/>
      <c r="U782" s="58"/>
      <c r="V782" s="58"/>
      <c r="W782" s="58"/>
      <c r="X782" s="58"/>
      <c r="Y782" s="58"/>
      <c r="Z782" s="58"/>
      <c r="AA782" s="58"/>
      <c r="AB782" s="58"/>
      <c r="AC782" s="58"/>
    </row>
    <row r="783">
      <c r="A783" s="320"/>
      <c r="B783" s="301"/>
      <c r="C783" s="205"/>
      <c r="D783" s="302"/>
      <c r="E783" s="303"/>
      <c r="F783" s="304"/>
      <c r="G783" s="312"/>
      <c r="H783" s="306"/>
      <c r="I783" s="302"/>
      <c r="J783" s="307"/>
      <c r="K783" s="313"/>
      <c r="L783" s="319"/>
      <c r="M783" s="316"/>
      <c r="N783" s="205"/>
      <c r="O783" s="311"/>
      <c r="P783" s="200"/>
      <c r="Q783" s="200"/>
      <c r="R783" s="58"/>
      <c r="S783" s="58"/>
      <c r="T783" s="58"/>
      <c r="U783" s="58"/>
      <c r="V783" s="58"/>
      <c r="W783" s="58"/>
      <c r="X783" s="58"/>
      <c r="Y783" s="58"/>
      <c r="Z783" s="58"/>
      <c r="AA783" s="58"/>
      <c r="AB783" s="58"/>
      <c r="AC783" s="58"/>
    </row>
    <row r="784">
      <c r="A784" s="320"/>
      <c r="B784" s="301"/>
      <c r="C784" s="205"/>
      <c r="D784" s="302"/>
      <c r="E784" s="303"/>
      <c r="F784" s="304"/>
      <c r="G784" s="312"/>
      <c r="H784" s="306"/>
      <c r="I784" s="302"/>
      <c r="J784" s="307"/>
      <c r="K784" s="313"/>
      <c r="L784" s="319"/>
      <c r="M784" s="316"/>
      <c r="N784" s="205"/>
      <c r="O784" s="311"/>
      <c r="P784" s="200"/>
      <c r="Q784" s="200"/>
      <c r="R784" s="58"/>
      <c r="S784" s="58"/>
      <c r="T784" s="58"/>
      <c r="U784" s="58"/>
      <c r="V784" s="58"/>
      <c r="W784" s="58"/>
      <c r="X784" s="58"/>
      <c r="Y784" s="58"/>
      <c r="Z784" s="58"/>
      <c r="AA784" s="58"/>
      <c r="AB784" s="58"/>
      <c r="AC784" s="58"/>
    </row>
    <row r="785">
      <c r="A785" s="320"/>
      <c r="B785" s="301"/>
      <c r="C785" s="205"/>
      <c r="D785" s="302"/>
      <c r="E785" s="303"/>
      <c r="F785" s="304"/>
      <c r="G785" s="312"/>
      <c r="H785" s="306"/>
      <c r="I785" s="302"/>
      <c r="J785" s="307"/>
      <c r="K785" s="313"/>
      <c r="L785" s="319"/>
      <c r="M785" s="316"/>
      <c r="N785" s="205"/>
      <c r="O785" s="311"/>
      <c r="P785" s="200"/>
      <c r="Q785" s="200"/>
      <c r="R785" s="58"/>
      <c r="S785" s="58"/>
      <c r="T785" s="58"/>
      <c r="U785" s="58"/>
      <c r="V785" s="58"/>
      <c r="W785" s="58"/>
      <c r="X785" s="58"/>
      <c r="Y785" s="58"/>
      <c r="Z785" s="58"/>
      <c r="AA785" s="58"/>
      <c r="AB785" s="58"/>
      <c r="AC785" s="58"/>
    </row>
    <row r="786">
      <c r="A786" s="320"/>
      <c r="B786" s="301"/>
      <c r="C786" s="205"/>
      <c r="D786" s="302"/>
      <c r="E786" s="303"/>
      <c r="F786" s="304"/>
      <c r="G786" s="312"/>
      <c r="H786" s="306"/>
      <c r="I786" s="302"/>
      <c r="J786" s="307"/>
      <c r="K786" s="313"/>
      <c r="L786" s="319"/>
      <c r="M786" s="316"/>
      <c r="N786" s="205"/>
      <c r="O786" s="311"/>
      <c r="P786" s="200"/>
      <c r="Q786" s="200"/>
      <c r="R786" s="58"/>
      <c r="S786" s="58"/>
      <c r="T786" s="58"/>
      <c r="U786" s="58"/>
      <c r="V786" s="58"/>
      <c r="W786" s="58"/>
      <c r="X786" s="58"/>
      <c r="Y786" s="58"/>
      <c r="Z786" s="58"/>
      <c r="AA786" s="58"/>
      <c r="AB786" s="58"/>
      <c r="AC786" s="58"/>
    </row>
    <row r="787">
      <c r="A787" s="320"/>
      <c r="B787" s="301"/>
      <c r="C787" s="205"/>
      <c r="D787" s="302"/>
      <c r="E787" s="303"/>
      <c r="F787" s="304"/>
      <c r="G787" s="312"/>
      <c r="H787" s="306"/>
      <c r="I787" s="302"/>
      <c r="J787" s="307"/>
      <c r="K787" s="313"/>
      <c r="L787" s="319"/>
      <c r="M787" s="316"/>
      <c r="N787" s="205"/>
      <c r="O787" s="311"/>
      <c r="P787" s="200"/>
      <c r="Q787" s="200"/>
      <c r="R787" s="58"/>
      <c r="S787" s="58"/>
      <c r="T787" s="58"/>
      <c r="U787" s="58"/>
      <c r="V787" s="58"/>
      <c r="W787" s="58"/>
      <c r="X787" s="58"/>
      <c r="Y787" s="58"/>
      <c r="Z787" s="58"/>
      <c r="AA787" s="58"/>
      <c r="AB787" s="58"/>
      <c r="AC787" s="58"/>
    </row>
    <row r="788">
      <c r="A788" s="320"/>
      <c r="B788" s="301"/>
      <c r="C788" s="205"/>
      <c r="D788" s="302"/>
      <c r="E788" s="303"/>
      <c r="F788" s="304"/>
      <c r="G788" s="312"/>
      <c r="H788" s="306"/>
      <c r="I788" s="302"/>
      <c r="J788" s="307"/>
      <c r="K788" s="313"/>
      <c r="L788" s="319"/>
      <c r="M788" s="316"/>
      <c r="N788" s="205"/>
      <c r="O788" s="311"/>
      <c r="P788" s="200"/>
      <c r="Q788" s="200"/>
      <c r="R788" s="58"/>
      <c r="S788" s="58"/>
      <c r="T788" s="58"/>
      <c r="U788" s="58"/>
      <c r="V788" s="58"/>
      <c r="W788" s="58"/>
      <c r="X788" s="58"/>
      <c r="Y788" s="58"/>
      <c r="Z788" s="58"/>
      <c r="AA788" s="58"/>
      <c r="AB788" s="58"/>
      <c r="AC788" s="58"/>
    </row>
    <row r="789">
      <c r="A789" s="320"/>
      <c r="B789" s="301"/>
      <c r="C789" s="205"/>
      <c r="D789" s="302"/>
      <c r="E789" s="303"/>
      <c r="F789" s="304"/>
      <c r="G789" s="312"/>
      <c r="H789" s="306"/>
      <c r="I789" s="302"/>
      <c r="J789" s="307"/>
      <c r="K789" s="313"/>
      <c r="L789" s="319"/>
      <c r="M789" s="316"/>
      <c r="N789" s="205"/>
      <c r="O789" s="311"/>
      <c r="P789" s="200"/>
      <c r="Q789" s="200"/>
      <c r="R789" s="58"/>
      <c r="S789" s="58"/>
      <c r="T789" s="58"/>
      <c r="U789" s="58"/>
      <c r="V789" s="58"/>
      <c r="W789" s="58"/>
      <c r="X789" s="58"/>
      <c r="Y789" s="58"/>
      <c r="Z789" s="58"/>
      <c r="AA789" s="58"/>
      <c r="AB789" s="58"/>
      <c r="AC789" s="58"/>
    </row>
    <row r="790">
      <c r="A790" s="320"/>
      <c r="B790" s="301"/>
      <c r="C790" s="205"/>
      <c r="D790" s="302"/>
      <c r="E790" s="303"/>
      <c r="F790" s="304"/>
      <c r="G790" s="312"/>
      <c r="H790" s="306"/>
      <c r="I790" s="302"/>
      <c r="J790" s="307"/>
      <c r="K790" s="313"/>
      <c r="L790" s="319"/>
      <c r="M790" s="316"/>
      <c r="N790" s="205"/>
      <c r="O790" s="311"/>
      <c r="P790" s="200"/>
      <c r="Q790" s="200"/>
      <c r="R790" s="58"/>
      <c r="S790" s="58"/>
      <c r="T790" s="58"/>
      <c r="U790" s="58"/>
      <c r="V790" s="58"/>
      <c r="W790" s="58"/>
      <c r="X790" s="58"/>
      <c r="Y790" s="58"/>
      <c r="Z790" s="58"/>
      <c r="AA790" s="58"/>
      <c r="AB790" s="58"/>
      <c r="AC790" s="58"/>
    </row>
    <row r="791">
      <c r="A791" s="320"/>
      <c r="B791" s="301"/>
      <c r="C791" s="205"/>
      <c r="D791" s="302"/>
      <c r="E791" s="303"/>
      <c r="F791" s="304"/>
      <c r="G791" s="312"/>
      <c r="H791" s="306"/>
      <c r="I791" s="302"/>
      <c r="J791" s="307"/>
      <c r="K791" s="313"/>
      <c r="L791" s="319"/>
      <c r="M791" s="316"/>
      <c r="N791" s="205"/>
      <c r="O791" s="311"/>
      <c r="P791" s="200"/>
      <c r="Q791" s="200"/>
      <c r="R791" s="58"/>
      <c r="S791" s="58"/>
      <c r="T791" s="58"/>
      <c r="U791" s="58"/>
      <c r="V791" s="58"/>
      <c r="W791" s="58"/>
      <c r="X791" s="58"/>
      <c r="Y791" s="58"/>
      <c r="Z791" s="58"/>
      <c r="AA791" s="58"/>
      <c r="AB791" s="58"/>
      <c r="AC791" s="58"/>
    </row>
    <row r="792">
      <c r="A792" s="320"/>
      <c r="B792" s="301"/>
      <c r="C792" s="205"/>
      <c r="D792" s="302"/>
      <c r="E792" s="303"/>
      <c r="F792" s="304"/>
      <c r="G792" s="312"/>
      <c r="H792" s="306"/>
      <c r="I792" s="302"/>
      <c r="J792" s="307"/>
      <c r="K792" s="313"/>
      <c r="L792" s="319"/>
      <c r="M792" s="316"/>
      <c r="N792" s="205"/>
      <c r="O792" s="311"/>
      <c r="P792" s="200"/>
      <c r="Q792" s="200"/>
      <c r="R792" s="58"/>
      <c r="S792" s="58"/>
      <c r="T792" s="58"/>
      <c r="U792" s="58"/>
      <c r="V792" s="58"/>
      <c r="W792" s="58"/>
      <c r="X792" s="58"/>
      <c r="Y792" s="58"/>
      <c r="Z792" s="58"/>
      <c r="AA792" s="58"/>
      <c r="AB792" s="58"/>
      <c r="AC792" s="58"/>
    </row>
    <row r="793">
      <c r="A793" s="320"/>
      <c r="B793" s="301"/>
      <c r="C793" s="205"/>
      <c r="D793" s="302"/>
      <c r="E793" s="303"/>
      <c r="F793" s="304"/>
      <c r="G793" s="312"/>
      <c r="H793" s="306"/>
      <c r="I793" s="302"/>
      <c r="J793" s="307"/>
      <c r="K793" s="313"/>
      <c r="L793" s="319"/>
      <c r="M793" s="316"/>
      <c r="N793" s="205"/>
      <c r="O793" s="311"/>
      <c r="P793" s="200"/>
      <c r="Q793" s="200"/>
      <c r="R793" s="58"/>
      <c r="S793" s="58"/>
      <c r="T793" s="58"/>
      <c r="U793" s="58"/>
      <c r="V793" s="58"/>
      <c r="W793" s="58"/>
      <c r="X793" s="58"/>
      <c r="Y793" s="58"/>
      <c r="Z793" s="58"/>
      <c r="AA793" s="58"/>
      <c r="AB793" s="58"/>
      <c r="AC793" s="58"/>
    </row>
    <row r="794">
      <c r="A794" s="320"/>
      <c r="B794" s="301"/>
      <c r="C794" s="205"/>
      <c r="D794" s="302"/>
      <c r="E794" s="303"/>
      <c r="F794" s="304"/>
      <c r="G794" s="312"/>
      <c r="H794" s="306"/>
      <c r="I794" s="302"/>
      <c r="J794" s="307"/>
      <c r="K794" s="313"/>
      <c r="L794" s="319"/>
      <c r="M794" s="316"/>
      <c r="N794" s="205"/>
      <c r="O794" s="311"/>
      <c r="P794" s="200"/>
      <c r="Q794" s="200"/>
      <c r="R794" s="58"/>
      <c r="S794" s="58"/>
      <c r="T794" s="58"/>
      <c r="U794" s="58"/>
      <c r="V794" s="58"/>
      <c r="W794" s="58"/>
      <c r="X794" s="58"/>
      <c r="Y794" s="58"/>
      <c r="Z794" s="58"/>
      <c r="AA794" s="58"/>
      <c r="AB794" s="58"/>
      <c r="AC794" s="58"/>
    </row>
    <row r="795">
      <c r="A795" s="320"/>
      <c r="B795" s="301"/>
      <c r="C795" s="205"/>
      <c r="D795" s="302"/>
      <c r="E795" s="303"/>
      <c r="F795" s="304"/>
      <c r="G795" s="312"/>
      <c r="H795" s="306"/>
      <c r="I795" s="302"/>
      <c r="J795" s="307"/>
      <c r="K795" s="313"/>
      <c r="L795" s="319"/>
      <c r="M795" s="316"/>
      <c r="N795" s="205"/>
      <c r="O795" s="311"/>
      <c r="P795" s="200"/>
      <c r="Q795" s="200"/>
      <c r="R795" s="58"/>
      <c r="S795" s="58"/>
      <c r="T795" s="58"/>
      <c r="U795" s="58"/>
      <c r="V795" s="58"/>
      <c r="W795" s="58"/>
      <c r="X795" s="58"/>
      <c r="Y795" s="58"/>
      <c r="Z795" s="58"/>
      <c r="AA795" s="58"/>
      <c r="AB795" s="58"/>
      <c r="AC795" s="58"/>
    </row>
    <row r="796">
      <c r="A796" s="320"/>
      <c r="B796" s="301"/>
      <c r="C796" s="205"/>
      <c r="D796" s="302"/>
      <c r="E796" s="303"/>
      <c r="F796" s="304"/>
      <c r="G796" s="312"/>
      <c r="H796" s="306"/>
      <c r="I796" s="302"/>
      <c r="J796" s="307"/>
      <c r="K796" s="313"/>
      <c r="L796" s="319"/>
      <c r="M796" s="316"/>
      <c r="N796" s="205"/>
      <c r="O796" s="311"/>
      <c r="P796" s="200"/>
      <c r="Q796" s="200"/>
      <c r="R796" s="58"/>
      <c r="S796" s="58"/>
      <c r="T796" s="58"/>
      <c r="U796" s="58"/>
      <c r="V796" s="58"/>
      <c r="W796" s="58"/>
      <c r="X796" s="58"/>
      <c r="Y796" s="58"/>
      <c r="Z796" s="58"/>
      <c r="AA796" s="58"/>
      <c r="AB796" s="58"/>
      <c r="AC796" s="58"/>
    </row>
    <row r="797">
      <c r="A797" s="320"/>
      <c r="B797" s="301"/>
      <c r="C797" s="205"/>
      <c r="D797" s="302"/>
      <c r="E797" s="303"/>
      <c r="F797" s="304"/>
      <c r="G797" s="312"/>
      <c r="H797" s="306"/>
      <c r="I797" s="302"/>
      <c r="J797" s="307"/>
      <c r="K797" s="313"/>
      <c r="L797" s="319"/>
      <c r="M797" s="316"/>
      <c r="N797" s="205"/>
      <c r="O797" s="311"/>
      <c r="P797" s="200"/>
      <c r="Q797" s="200"/>
      <c r="R797" s="58"/>
      <c r="S797" s="58"/>
      <c r="T797" s="58"/>
      <c r="U797" s="58"/>
      <c r="V797" s="58"/>
      <c r="W797" s="58"/>
      <c r="X797" s="58"/>
      <c r="Y797" s="58"/>
      <c r="Z797" s="58"/>
      <c r="AA797" s="58"/>
      <c r="AB797" s="58"/>
      <c r="AC797" s="58"/>
    </row>
    <row r="798">
      <c r="A798" s="320"/>
      <c r="B798" s="301"/>
      <c r="C798" s="205"/>
      <c r="D798" s="302"/>
      <c r="E798" s="303"/>
      <c r="F798" s="304"/>
      <c r="G798" s="312"/>
      <c r="H798" s="306"/>
      <c r="I798" s="302"/>
      <c r="J798" s="307"/>
      <c r="K798" s="313"/>
      <c r="L798" s="319"/>
      <c r="M798" s="316"/>
      <c r="N798" s="205"/>
      <c r="O798" s="311"/>
      <c r="P798" s="200"/>
      <c r="Q798" s="200"/>
      <c r="R798" s="58"/>
      <c r="S798" s="58"/>
      <c r="T798" s="58"/>
      <c r="U798" s="58"/>
      <c r="V798" s="58"/>
      <c r="W798" s="58"/>
      <c r="X798" s="58"/>
      <c r="Y798" s="58"/>
      <c r="Z798" s="58"/>
      <c r="AA798" s="58"/>
      <c r="AB798" s="58"/>
      <c r="AC798" s="58"/>
    </row>
    <row r="799">
      <c r="A799" s="320"/>
      <c r="B799" s="301"/>
      <c r="C799" s="205"/>
      <c r="D799" s="302"/>
      <c r="E799" s="303"/>
      <c r="F799" s="304"/>
      <c r="G799" s="312"/>
      <c r="H799" s="306"/>
      <c r="I799" s="302"/>
      <c r="J799" s="307"/>
      <c r="K799" s="313"/>
      <c r="L799" s="319"/>
      <c r="M799" s="316"/>
      <c r="N799" s="205"/>
      <c r="O799" s="311"/>
      <c r="P799" s="200"/>
      <c r="Q799" s="200"/>
      <c r="R799" s="58"/>
      <c r="S799" s="58"/>
      <c r="T799" s="58"/>
      <c r="U799" s="58"/>
      <c r="V799" s="58"/>
      <c r="W799" s="58"/>
      <c r="X799" s="58"/>
      <c r="Y799" s="58"/>
      <c r="Z799" s="58"/>
      <c r="AA799" s="58"/>
      <c r="AB799" s="58"/>
      <c r="AC799" s="58"/>
    </row>
    <row r="800">
      <c r="A800" s="320"/>
      <c r="B800" s="301"/>
      <c r="C800" s="205"/>
      <c r="D800" s="302"/>
      <c r="E800" s="303"/>
      <c r="F800" s="304"/>
      <c r="G800" s="312"/>
      <c r="H800" s="306"/>
      <c r="I800" s="302"/>
      <c r="J800" s="307"/>
      <c r="K800" s="313"/>
      <c r="L800" s="319"/>
      <c r="M800" s="316"/>
      <c r="N800" s="205"/>
      <c r="O800" s="311"/>
      <c r="P800" s="200"/>
      <c r="Q800" s="200"/>
      <c r="R800" s="58"/>
      <c r="S800" s="58"/>
      <c r="T800" s="58"/>
      <c r="U800" s="58"/>
      <c r="V800" s="58"/>
      <c r="W800" s="58"/>
      <c r="X800" s="58"/>
      <c r="Y800" s="58"/>
      <c r="Z800" s="58"/>
      <c r="AA800" s="58"/>
      <c r="AB800" s="58"/>
      <c r="AC800" s="58"/>
    </row>
    <row r="801">
      <c r="A801" s="320"/>
      <c r="B801" s="301"/>
      <c r="C801" s="205"/>
      <c r="D801" s="302"/>
      <c r="E801" s="303"/>
      <c r="F801" s="304"/>
      <c r="G801" s="312"/>
      <c r="H801" s="306"/>
      <c r="I801" s="302"/>
      <c r="J801" s="307"/>
      <c r="K801" s="313"/>
      <c r="L801" s="319"/>
      <c r="M801" s="316"/>
      <c r="N801" s="205"/>
      <c r="O801" s="311"/>
      <c r="P801" s="200"/>
      <c r="Q801" s="200"/>
      <c r="R801" s="58"/>
      <c r="S801" s="58"/>
      <c r="T801" s="58"/>
      <c r="U801" s="58"/>
      <c r="V801" s="58"/>
      <c r="W801" s="58"/>
      <c r="X801" s="58"/>
      <c r="Y801" s="58"/>
      <c r="Z801" s="58"/>
      <c r="AA801" s="58"/>
      <c r="AB801" s="58"/>
      <c r="AC801" s="58"/>
    </row>
    <row r="802">
      <c r="A802" s="320"/>
      <c r="B802" s="301"/>
      <c r="C802" s="205"/>
      <c r="D802" s="302"/>
      <c r="E802" s="303"/>
      <c r="F802" s="304"/>
      <c r="G802" s="312"/>
      <c r="H802" s="306"/>
      <c r="I802" s="302"/>
      <c r="J802" s="307"/>
      <c r="K802" s="313"/>
      <c r="L802" s="319"/>
      <c r="M802" s="316"/>
      <c r="N802" s="205"/>
      <c r="O802" s="311"/>
      <c r="P802" s="200"/>
      <c r="Q802" s="200"/>
      <c r="R802" s="58"/>
      <c r="S802" s="58"/>
      <c r="T802" s="58"/>
      <c r="U802" s="58"/>
      <c r="V802" s="58"/>
      <c r="W802" s="58"/>
      <c r="X802" s="58"/>
      <c r="Y802" s="58"/>
      <c r="Z802" s="58"/>
      <c r="AA802" s="58"/>
      <c r="AB802" s="58"/>
      <c r="AC802" s="58"/>
    </row>
    <row r="803">
      <c r="A803" s="320"/>
      <c r="B803" s="301"/>
      <c r="C803" s="205"/>
      <c r="D803" s="302"/>
      <c r="E803" s="303"/>
      <c r="F803" s="304"/>
      <c r="G803" s="312"/>
      <c r="H803" s="306"/>
      <c r="I803" s="302"/>
      <c r="J803" s="307"/>
      <c r="K803" s="313"/>
      <c r="L803" s="319"/>
      <c r="M803" s="316"/>
      <c r="N803" s="205"/>
      <c r="O803" s="311"/>
      <c r="P803" s="200"/>
      <c r="Q803" s="200"/>
      <c r="R803" s="58"/>
      <c r="S803" s="58"/>
      <c r="T803" s="58"/>
      <c r="U803" s="58"/>
      <c r="V803" s="58"/>
      <c r="W803" s="58"/>
      <c r="X803" s="58"/>
      <c r="Y803" s="58"/>
      <c r="Z803" s="58"/>
      <c r="AA803" s="58"/>
      <c r="AB803" s="58"/>
      <c r="AC803" s="58"/>
    </row>
    <row r="804">
      <c r="A804" s="320"/>
      <c r="B804" s="301"/>
      <c r="C804" s="205"/>
      <c r="D804" s="302"/>
      <c r="E804" s="303"/>
      <c r="F804" s="304"/>
      <c r="G804" s="312"/>
      <c r="H804" s="306"/>
      <c r="I804" s="302"/>
      <c r="J804" s="307"/>
      <c r="K804" s="313"/>
      <c r="L804" s="319"/>
      <c r="M804" s="316"/>
      <c r="N804" s="205"/>
      <c r="O804" s="311"/>
      <c r="P804" s="200"/>
      <c r="Q804" s="200"/>
      <c r="R804" s="58"/>
      <c r="S804" s="58"/>
      <c r="T804" s="58"/>
      <c r="U804" s="58"/>
      <c r="V804" s="58"/>
      <c r="W804" s="58"/>
      <c r="X804" s="58"/>
      <c r="Y804" s="58"/>
      <c r="Z804" s="58"/>
      <c r="AA804" s="58"/>
      <c r="AB804" s="58"/>
      <c r="AC804" s="58"/>
    </row>
    <row r="805">
      <c r="A805" s="320"/>
      <c r="B805" s="301"/>
      <c r="C805" s="205"/>
      <c r="D805" s="302"/>
      <c r="E805" s="303"/>
      <c r="F805" s="304"/>
      <c r="G805" s="312"/>
      <c r="H805" s="306"/>
      <c r="I805" s="302"/>
      <c r="J805" s="307"/>
      <c r="K805" s="313"/>
      <c r="L805" s="319"/>
      <c r="M805" s="316"/>
      <c r="N805" s="205"/>
      <c r="O805" s="311"/>
      <c r="P805" s="200"/>
      <c r="Q805" s="200"/>
      <c r="R805" s="58"/>
      <c r="S805" s="58"/>
      <c r="T805" s="58"/>
      <c r="U805" s="58"/>
      <c r="V805" s="58"/>
      <c r="W805" s="58"/>
      <c r="X805" s="58"/>
      <c r="Y805" s="58"/>
      <c r="Z805" s="58"/>
      <c r="AA805" s="58"/>
      <c r="AB805" s="58"/>
      <c r="AC805" s="58"/>
    </row>
    <row r="806">
      <c r="A806" s="320"/>
      <c r="B806" s="301"/>
      <c r="C806" s="205"/>
      <c r="D806" s="302"/>
      <c r="E806" s="303"/>
      <c r="F806" s="304"/>
      <c r="G806" s="312"/>
      <c r="H806" s="306"/>
      <c r="I806" s="302"/>
      <c r="J806" s="307"/>
      <c r="K806" s="313"/>
      <c r="L806" s="319"/>
      <c r="M806" s="316"/>
      <c r="N806" s="205"/>
      <c r="O806" s="311"/>
      <c r="P806" s="200"/>
      <c r="Q806" s="200"/>
      <c r="R806" s="58"/>
      <c r="S806" s="58"/>
      <c r="T806" s="58"/>
      <c r="U806" s="58"/>
      <c r="V806" s="58"/>
      <c r="W806" s="58"/>
      <c r="X806" s="58"/>
      <c r="Y806" s="58"/>
      <c r="Z806" s="58"/>
      <c r="AA806" s="58"/>
      <c r="AB806" s="58"/>
      <c r="AC806" s="58"/>
    </row>
    <row r="807">
      <c r="A807" s="320"/>
      <c r="B807" s="301"/>
      <c r="C807" s="205"/>
      <c r="D807" s="302"/>
      <c r="E807" s="303"/>
      <c r="F807" s="304"/>
      <c r="G807" s="312"/>
      <c r="H807" s="306"/>
      <c r="I807" s="302"/>
      <c r="J807" s="307"/>
      <c r="K807" s="313"/>
      <c r="L807" s="319"/>
      <c r="M807" s="316"/>
      <c r="N807" s="205"/>
      <c r="O807" s="311"/>
      <c r="P807" s="200"/>
      <c r="Q807" s="200"/>
      <c r="R807" s="58"/>
      <c r="S807" s="58"/>
      <c r="T807" s="58"/>
      <c r="U807" s="58"/>
      <c r="V807" s="58"/>
      <c r="W807" s="58"/>
      <c r="X807" s="58"/>
      <c r="Y807" s="58"/>
      <c r="Z807" s="58"/>
      <c r="AA807" s="58"/>
      <c r="AB807" s="58"/>
      <c r="AC807" s="58"/>
    </row>
    <row r="808">
      <c r="A808" s="320"/>
      <c r="B808" s="301"/>
      <c r="C808" s="205"/>
      <c r="D808" s="302"/>
      <c r="E808" s="303"/>
      <c r="F808" s="304"/>
      <c r="G808" s="312"/>
      <c r="H808" s="306"/>
      <c r="I808" s="302"/>
      <c r="J808" s="307"/>
      <c r="K808" s="313"/>
      <c r="L808" s="319"/>
      <c r="M808" s="316"/>
      <c r="N808" s="205"/>
      <c r="O808" s="311"/>
      <c r="P808" s="200"/>
      <c r="Q808" s="200"/>
      <c r="R808" s="58"/>
      <c r="S808" s="58"/>
      <c r="T808" s="58"/>
      <c r="U808" s="58"/>
      <c r="V808" s="58"/>
      <c r="W808" s="58"/>
      <c r="X808" s="58"/>
      <c r="Y808" s="58"/>
      <c r="Z808" s="58"/>
      <c r="AA808" s="58"/>
      <c r="AB808" s="58"/>
      <c r="AC808" s="58"/>
    </row>
    <row r="809">
      <c r="A809" s="320"/>
      <c r="B809" s="301"/>
      <c r="C809" s="205"/>
      <c r="D809" s="302"/>
      <c r="E809" s="303"/>
      <c r="F809" s="304"/>
      <c r="G809" s="312"/>
      <c r="H809" s="306"/>
      <c r="I809" s="302"/>
      <c r="J809" s="307"/>
      <c r="K809" s="313"/>
      <c r="L809" s="319"/>
      <c r="M809" s="316"/>
      <c r="N809" s="205"/>
      <c r="O809" s="311"/>
      <c r="P809" s="200"/>
      <c r="Q809" s="200"/>
      <c r="R809" s="58"/>
      <c r="S809" s="58"/>
      <c r="T809" s="58"/>
      <c r="U809" s="58"/>
      <c r="V809" s="58"/>
      <c r="W809" s="58"/>
      <c r="X809" s="58"/>
      <c r="Y809" s="58"/>
      <c r="Z809" s="58"/>
      <c r="AA809" s="58"/>
      <c r="AB809" s="58"/>
      <c r="AC809" s="58"/>
    </row>
    <row r="810">
      <c r="A810" s="320"/>
      <c r="B810" s="301"/>
      <c r="C810" s="205"/>
      <c r="D810" s="302"/>
      <c r="E810" s="303"/>
      <c r="F810" s="304"/>
      <c r="G810" s="312"/>
      <c r="H810" s="306"/>
      <c r="I810" s="302"/>
      <c r="J810" s="307"/>
      <c r="K810" s="313"/>
      <c r="L810" s="319"/>
      <c r="M810" s="316"/>
      <c r="N810" s="205"/>
      <c r="O810" s="311"/>
      <c r="P810" s="200"/>
      <c r="Q810" s="200"/>
      <c r="R810" s="58"/>
      <c r="S810" s="58"/>
      <c r="T810" s="58"/>
      <c r="U810" s="58"/>
      <c r="V810" s="58"/>
      <c r="W810" s="58"/>
      <c r="X810" s="58"/>
      <c r="Y810" s="58"/>
      <c r="Z810" s="58"/>
      <c r="AA810" s="58"/>
      <c r="AB810" s="58"/>
      <c r="AC810" s="58"/>
    </row>
    <row r="811">
      <c r="A811" s="320"/>
      <c r="B811" s="301"/>
      <c r="C811" s="205"/>
      <c r="D811" s="302"/>
      <c r="E811" s="303"/>
      <c r="F811" s="304"/>
      <c r="G811" s="312"/>
      <c r="H811" s="306"/>
      <c r="I811" s="302"/>
      <c r="J811" s="307"/>
      <c r="K811" s="313"/>
      <c r="L811" s="319"/>
      <c r="M811" s="316"/>
      <c r="N811" s="205"/>
      <c r="O811" s="311"/>
      <c r="P811" s="200"/>
      <c r="Q811" s="200"/>
      <c r="R811" s="58"/>
      <c r="S811" s="58"/>
      <c r="T811" s="58"/>
      <c r="U811" s="58"/>
      <c r="V811" s="58"/>
      <c r="W811" s="58"/>
      <c r="X811" s="58"/>
      <c r="Y811" s="58"/>
      <c r="Z811" s="58"/>
      <c r="AA811" s="58"/>
      <c r="AB811" s="58"/>
      <c r="AC811" s="58"/>
    </row>
    <row r="812">
      <c r="A812" s="320"/>
      <c r="B812" s="301"/>
      <c r="C812" s="205"/>
      <c r="D812" s="302"/>
      <c r="E812" s="303"/>
      <c r="F812" s="304"/>
      <c r="G812" s="312"/>
      <c r="H812" s="306"/>
      <c r="I812" s="302"/>
      <c r="J812" s="307"/>
      <c r="K812" s="313"/>
      <c r="L812" s="319"/>
      <c r="M812" s="316"/>
      <c r="N812" s="205"/>
      <c r="O812" s="311"/>
      <c r="P812" s="200"/>
      <c r="Q812" s="200"/>
      <c r="R812" s="58"/>
      <c r="S812" s="58"/>
      <c r="T812" s="58"/>
      <c r="U812" s="58"/>
      <c r="V812" s="58"/>
      <c r="W812" s="58"/>
      <c r="X812" s="58"/>
      <c r="Y812" s="58"/>
      <c r="Z812" s="58"/>
      <c r="AA812" s="58"/>
      <c r="AB812" s="58"/>
      <c r="AC812" s="58"/>
    </row>
    <row r="813">
      <c r="A813" s="320"/>
      <c r="B813" s="301"/>
      <c r="C813" s="205"/>
      <c r="D813" s="302"/>
      <c r="E813" s="303"/>
      <c r="F813" s="304"/>
      <c r="G813" s="312"/>
      <c r="H813" s="306"/>
      <c r="I813" s="302"/>
      <c r="J813" s="307"/>
      <c r="K813" s="313"/>
      <c r="L813" s="319"/>
      <c r="M813" s="316"/>
      <c r="N813" s="205"/>
      <c r="O813" s="311"/>
      <c r="P813" s="200"/>
      <c r="Q813" s="200"/>
      <c r="R813" s="58"/>
      <c r="S813" s="58"/>
      <c r="T813" s="58"/>
      <c r="U813" s="58"/>
      <c r="V813" s="58"/>
      <c r="W813" s="58"/>
      <c r="X813" s="58"/>
      <c r="Y813" s="58"/>
      <c r="Z813" s="58"/>
      <c r="AA813" s="58"/>
      <c r="AB813" s="58"/>
      <c r="AC813" s="58"/>
    </row>
    <row r="814">
      <c r="A814" s="320"/>
      <c r="B814" s="301"/>
      <c r="C814" s="205"/>
      <c r="D814" s="302"/>
      <c r="E814" s="303"/>
      <c r="F814" s="304"/>
      <c r="G814" s="312"/>
      <c r="H814" s="306"/>
      <c r="I814" s="302"/>
      <c r="J814" s="307"/>
      <c r="K814" s="313"/>
      <c r="L814" s="319"/>
      <c r="M814" s="316"/>
      <c r="N814" s="205"/>
      <c r="O814" s="311"/>
      <c r="P814" s="200"/>
      <c r="Q814" s="200"/>
      <c r="R814" s="58"/>
      <c r="S814" s="58"/>
      <c r="T814" s="58"/>
      <c r="U814" s="58"/>
      <c r="V814" s="58"/>
      <c r="W814" s="58"/>
      <c r="X814" s="58"/>
      <c r="Y814" s="58"/>
      <c r="Z814" s="58"/>
      <c r="AA814" s="58"/>
      <c r="AB814" s="58"/>
      <c r="AC814" s="58"/>
    </row>
    <row r="815">
      <c r="A815" s="320"/>
      <c r="B815" s="301"/>
      <c r="C815" s="205"/>
      <c r="D815" s="302"/>
      <c r="E815" s="303"/>
      <c r="F815" s="304"/>
      <c r="G815" s="312"/>
      <c r="H815" s="306"/>
      <c r="I815" s="302"/>
      <c r="J815" s="307"/>
      <c r="K815" s="313"/>
      <c r="L815" s="319"/>
      <c r="M815" s="316"/>
      <c r="N815" s="205"/>
      <c r="O815" s="311"/>
      <c r="P815" s="200"/>
      <c r="Q815" s="200"/>
      <c r="R815" s="58"/>
      <c r="S815" s="58"/>
      <c r="T815" s="58"/>
      <c r="U815" s="58"/>
      <c r="V815" s="58"/>
      <c r="W815" s="58"/>
      <c r="X815" s="58"/>
      <c r="Y815" s="58"/>
      <c r="Z815" s="58"/>
      <c r="AA815" s="58"/>
      <c r="AB815" s="58"/>
      <c r="AC815" s="58"/>
    </row>
    <row r="816">
      <c r="A816" s="320"/>
      <c r="B816" s="301"/>
      <c r="C816" s="205"/>
      <c r="D816" s="302"/>
      <c r="E816" s="303"/>
      <c r="F816" s="304"/>
      <c r="G816" s="312"/>
      <c r="H816" s="306"/>
      <c r="I816" s="302"/>
      <c r="J816" s="307"/>
      <c r="K816" s="313"/>
      <c r="L816" s="319"/>
      <c r="M816" s="316"/>
      <c r="N816" s="205"/>
      <c r="O816" s="311"/>
      <c r="P816" s="200"/>
      <c r="Q816" s="200"/>
      <c r="R816" s="58"/>
      <c r="S816" s="58"/>
      <c r="T816" s="58"/>
      <c r="U816" s="58"/>
      <c r="V816" s="58"/>
      <c r="W816" s="58"/>
      <c r="X816" s="58"/>
      <c r="Y816" s="58"/>
      <c r="Z816" s="58"/>
      <c r="AA816" s="58"/>
      <c r="AB816" s="58"/>
      <c r="AC816" s="58"/>
    </row>
    <row r="817">
      <c r="A817" s="320"/>
      <c r="B817" s="301"/>
      <c r="C817" s="205"/>
      <c r="D817" s="302"/>
      <c r="E817" s="303"/>
      <c r="F817" s="304"/>
      <c r="G817" s="312"/>
      <c r="H817" s="306"/>
      <c r="I817" s="302"/>
      <c r="J817" s="307"/>
      <c r="K817" s="313"/>
      <c r="L817" s="319"/>
      <c r="M817" s="316"/>
      <c r="N817" s="205"/>
      <c r="O817" s="311"/>
      <c r="P817" s="200"/>
      <c r="Q817" s="200"/>
      <c r="R817" s="58"/>
      <c r="S817" s="58"/>
      <c r="T817" s="58"/>
      <c r="U817" s="58"/>
      <c r="V817" s="58"/>
      <c r="W817" s="58"/>
      <c r="X817" s="58"/>
      <c r="Y817" s="58"/>
      <c r="Z817" s="58"/>
      <c r="AA817" s="58"/>
      <c r="AB817" s="58"/>
      <c r="AC817" s="58"/>
    </row>
    <row r="818">
      <c r="A818" s="320"/>
      <c r="B818" s="301"/>
      <c r="C818" s="205"/>
      <c r="D818" s="302"/>
      <c r="E818" s="303"/>
      <c r="F818" s="304"/>
      <c r="G818" s="312"/>
      <c r="H818" s="306"/>
      <c r="I818" s="302"/>
      <c r="J818" s="307"/>
      <c r="K818" s="313"/>
      <c r="L818" s="319"/>
      <c r="M818" s="316"/>
      <c r="N818" s="205"/>
      <c r="O818" s="311"/>
      <c r="P818" s="200"/>
      <c r="Q818" s="200"/>
      <c r="R818" s="58"/>
      <c r="S818" s="58"/>
      <c r="T818" s="58"/>
      <c r="U818" s="58"/>
      <c r="V818" s="58"/>
      <c r="W818" s="58"/>
      <c r="X818" s="58"/>
      <c r="Y818" s="58"/>
      <c r="Z818" s="58"/>
      <c r="AA818" s="58"/>
      <c r="AB818" s="58"/>
      <c r="AC818" s="58"/>
    </row>
    <row r="819">
      <c r="A819" s="320"/>
      <c r="B819" s="301"/>
      <c r="C819" s="205"/>
      <c r="D819" s="302"/>
      <c r="E819" s="303"/>
      <c r="F819" s="304"/>
      <c r="G819" s="312"/>
      <c r="H819" s="306"/>
      <c r="I819" s="302"/>
      <c r="J819" s="307"/>
      <c r="K819" s="313"/>
      <c r="L819" s="319"/>
      <c r="M819" s="316"/>
      <c r="N819" s="205"/>
      <c r="O819" s="311"/>
      <c r="P819" s="200"/>
      <c r="Q819" s="200"/>
      <c r="R819" s="58"/>
      <c r="S819" s="58"/>
      <c r="T819" s="58"/>
      <c r="U819" s="58"/>
      <c r="V819" s="58"/>
      <c r="W819" s="58"/>
      <c r="X819" s="58"/>
      <c r="Y819" s="58"/>
      <c r="Z819" s="58"/>
      <c r="AA819" s="58"/>
      <c r="AB819" s="58"/>
      <c r="AC819" s="58"/>
    </row>
    <row r="820">
      <c r="A820" s="320"/>
      <c r="B820" s="301"/>
      <c r="C820" s="205"/>
      <c r="D820" s="302"/>
      <c r="E820" s="303"/>
      <c r="F820" s="304"/>
      <c r="G820" s="312"/>
      <c r="H820" s="306"/>
      <c r="I820" s="302"/>
      <c r="J820" s="307"/>
      <c r="K820" s="313"/>
      <c r="L820" s="319"/>
      <c r="M820" s="316"/>
      <c r="N820" s="205"/>
      <c r="O820" s="311"/>
      <c r="P820" s="200"/>
      <c r="Q820" s="200"/>
      <c r="R820" s="58"/>
      <c r="S820" s="58"/>
      <c r="T820" s="58"/>
      <c r="U820" s="58"/>
      <c r="V820" s="58"/>
      <c r="W820" s="58"/>
      <c r="X820" s="58"/>
      <c r="Y820" s="58"/>
      <c r="Z820" s="58"/>
      <c r="AA820" s="58"/>
      <c r="AB820" s="58"/>
      <c r="AC820" s="58"/>
    </row>
    <row r="821">
      <c r="A821" s="320"/>
      <c r="B821" s="301"/>
      <c r="C821" s="205"/>
      <c r="D821" s="302"/>
      <c r="E821" s="303"/>
      <c r="F821" s="304"/>
      <c r="G821" s="312"/>
      <c r="H821" s="306"/>
      <c r="I821" s="302"/>
      <c r="J821" s="307"/>
      <c r="K821" s="313"/>
      <c r="L821" s="319"/>
      <c r="M821" s="316"/>
      <c r="N821" s="205"/>
      <c r="O821" s="311"/>
      <c r="P821" s="200"/>
      <c r="Q821" s="200"/>
      <c r="R821" s="58"/>
      <c r="S821" s="58"/>
      <c r="T821" s="58"/>
      <c r="U821" s="58"/>
      <c r="V821" s="58"/>
      <c r="W821" s="58"/>
      <c r="X821" s="58"/>
      <c r="Y821" s="58"/>
      <c r="Z821" s="58"/>
      <c r="AA821" s="58"/>
      <c r="AB821" s="58"/>
      <c r="AC821" s="58"/>
    </row>
    <row r="822">
      <c r="A822" s="320"/>
      <c r="B822" s="301"/>
      <c r="C822" s="205"/>
      <c r="D822" s="302"/>
      <c r="E822" s="303"/>
      <c r="F822" s="304"/>
      <c r="G822" s="312"/>
      <c r="H822" s="306"/>
      <c r="I822" s="302"/>
      <c r="J822" s="307"/>
      <c r="K822" s="313"/>
      <c r="L822" s="319"/>
      <c r="M822" s="316"/>
      <c r="N822" s="205"/>
      <c r="O822" s="311"/>
      <c r="P822" s="200"/>
      <c r="Q822" s="200"/>
      <c r="R822" s="58"/>
      <c r="S822" s="58"/>
      <c r="T822" s="58"/>
      <c r="U822" s="58"/>
      <c r="V822" s="58"/>
      <c r="W822" s="58"/>
      <c r="X822" s="58"/>
      <c r="Y822" s="58"/>
      <c r="Z822" s="58"/>
      <c r="AA822" s="58"/>
      <c r="AB822" s="58"/>
      <c r="AC822" s="58"/>
    </row>
    <row r="823">
      <c r="A823" s="320"/>
      <c r="B823" s="301"/>
      <c r="C823" s="205"/>
      <c r="D823" s="302"/>
      <c r="E823" s="303"/>
      <c r="F823" s="304"/>
      <c r="G823" s="312"/>
      <c r="H823" s="306"/>
      <c r="I823" s="302"/>
      <c r="J823" s="307"/>
      <c r="K823" s="313"/>
      <c r="L823" s="319"/>
      <c r="M823" s="316"/>
      <c r="N823" s="205"/>
      <c r="O823" s="311"/>
      <c r="P823" s="200"/>
      <c r="Q823" s="200"/>
      <c r="R823" s="58"/>
      <c r="S823" s="58"/>
      <c r="T823" s="58"/>
      <c r="U823" s="58"/>
      <c r="V823" s="58"/>
      <c r="W823" s="58"/>
      <c r="X823" s="58"/>
      <c r="Y823" s="58"/>
      <c r="Z823" s="58"/>
      <c r="AA823" s="58"/>
      <c r="AB823" s="58"/>
      <c r="AC823" s="58"/>
    </row>
    <row r="824">
      <c r="A824" s="320"/>
      <c r="B824" s="301"/>
      <c r="C824" s="205"/>
      <c r="D824" s="302"/>
      <c r="E824" s="303"/>
      <c r="F824" s="304"/>
      <c r="G824" s="312"/>
      <c r="H824" s="306"/>
      <c r="I824" s="302"/>
      <c r="J824" s="307"/>
      <c r="K824" s="313"/>
      <c r="L824" s="319"/>
      <c r="M824" s="316"/>
      <c r="N824" s="205"/>
      <c r="O824" s="311"/>
      <c r="P824" s="200"/>
      <c r="Q824" s="200"/>
      <c r="R824" s="58"/>
      <c r="S824" s="58"/>
      <c r="T824" s="58"/>
      <c r="U824" s="58"/>
      <c r="V824" s="58"/>
      <c r="W824" s="58"/>
      <c r="X824" s="58"/>
      <c r="Y824" s="58"/>
      <c r="Z824" s="58"/>
      <c r="AA824" s="58"/>
      <c r="AB824" s="58"/>
      <c r="AC824" s="58"/>
    </row>
    <row r="825">
      <c r="A825" s="320"/>
      <c r="B825" s="301"/>
      <c r="C825" s="205"/>
      <c r="D825" s="302"/>
      <c r="E825" s="303"/>
      <c r="F825" s="304"/>
      <c r="G825" s="312"/>
      <c r="H825" s="306"/>
      <c r="I825" s="302"/>
      <c r="J825" s="307"/>
      <c r="K825" s="313"/>
      <c r="L825" s="319"/>
      <c r="M825" s="316"/>
      <c r="N825" s="205"/>
      <c r="O825" s="311"/>
      <c r="P825" s="200"/>
      <c r="Q825" s="200"/>
      <c r="R825" s="58"/>
      <c r="S825" s="58"/>
      <c r="T825" s="58"/>
      <c r="U825" s="58"/>
      <c r="V825" s="58"/>
      <c r="W825" s="58"/>
      <c r="X825" s="58"/>
      <c r="Y825" s="58"/>
      <c r="Z825" s="58"/>
      <c r="AA825" s="58"/>
      <c r="AB825" s="58"/>
      <c r="AC825" s="58"/>
    </row>
    <row r="826">
      <c r="A826" s="320"/>
      <c r="B826" s="301"/>
      <c r="C826" s="205"/>
      <c r="D826" s="302"/>
      <c r="E826" s="303"/>
      <c r="F826" s="304"/>
      <c r="G826" s="312"/>
      <c r="H826" s="306"/>
      <c r="I826" s="302"/>
      <c r="J826" s="307"/>
      <c r="K826" s="313"/>
      <c r="L826" s="319"/>
      <c r="M826" s="316"/>
      <c r="N826" s="205"/>
      <c r="O826" s="311"/>
      <c r="P826" s="200"/>
      <c r="Q826" s="200"/>
      <c r="R826" s="58"/>
      <c r="S826" s="58"/>
      <c r="T826" s="58"/>
      <c r="U826" s="58"/>
      <c r="V826" s="58"/>
      <c r="W826" s="58"/>
      <c r="X826" s="58"/>
      <c r="Y826" s="58"/>
      <c r="Z826" s="58"/>
      <c r="AA826" s="58"/>
      <c r="AB826" s="58"/>
      <c r="AC826" s="58"/>
    </row>
    <row r="827">
      <c r="A827" s="320"/>
      <c r="B827" s="301"/>
      <c r="C827" s="205"/>
      <c r="D827" s="302"/>
      <c r="E827" s="303"/>
      <c r="F827" s="304"/>
      <c r="G827" s="312"/>
      <c r="H827" s="306"/>
      <c r="I827" s="302"/>
      <c r="J827" s="307"/>
      <c r="K827" s="313"/>
      <c r="L827" s="319"/>
      <c r="M827" s="316"/>
      <c r="N827" s="205"/>
      <c r="O827" s="311"/>
      <c r="P827" s="200"/>
      <c r="Q827" s="200"/>
      <c r="R827" s="58"/>
      <c r="S827" s="58"/>
      <c r="T827" s="58"/>
      <c r="U827" s="58"/>
      <c r="V827" s="58"/>
      <c r="W827" s="58"/>
      <c r="X827" s="58"/>
      <c r="Y827" s="58"/>
      <c r="Z827" s="58"/>
      <c r="AA827" s="58"/>
      <c r="AB827" s="58"/>
      <c r="AC827" s="58"/>
    </row>
    <row r="828">
      <c r="A828" s="320"/>
      <c r="B828" s="301"/>
      <c r="C828" s="205"/>
      <c r="D828" s="302"/>
      <c r="E828" s="303"/>
      <c r="F828" s="304"/>
      <c r="G828" s="312"/>
      <c r="H828" s="306"/>
      <c r="I828" s="302"/>
      <c r="J828" s="307"/>
      <c r="K828" s="313"/>
      <c r="L828" s="319"/>
      <c r="M828" s="316"/>
      <c r="N828" s="205"/>
      <c r="O828" s="311"/>
      <c r="P828" s="200"/>
      <c r="Q828" s="200"/>
      <c r="R828" s="58"/>
      <c r="S828" s="58"/>
      <c r="T828" s="58"/>
      <c r="U828" s="58"/>
      <c r="V828" s="58"/>
      <c r="W828" s="58"/>
      <c r="X828" s="58"/>
      <c r="Y828" s="58"/>
      <c r="Z828" s="58"/>
      <c r="AA828" s="58"/>
      <c r="AB828" s="58"/>
      <c r="AC828" s="58"/>
    </row>
    <row r="829">
      <c r="A829" s="320"/>
      <c r="B829" s="301"/>
      <c r="C829" s="205"/>
      <c r="D829" s="302"/>
      <c r="E829" s="303"/>
      <c r="F829" s="304"/>
      <c r="G829" s="312"/>
      <c r="H829" s="306"/>
      <c r="I829" s="302"/>
      <c r="J829" s="307"/>
      <c r="K829" s="313"/>
      <c r="L829" s="319"/>
      <c r="M829" s="316"/>
      <c r="N829" s="205"/>
      <c r="O829" s="311"/>
      <c r="P829" s="200"/>
      <c r="Q829" s="200"/>
      <c r="R829" s="58"/>
      <c r="S829" s="58"/>
      <c r="T829" s="58"/>
      <c r="U829" s="58"/>
      <c r="V829" s="58"/>
      <c r="W829" s="58"/>
      <c r="X829" s="58"/>
      <c r="Y829" s="58"/>
      <c r="Z829" s="58"/>
      <c r="AA829" s="58"/>
      <c r="AB829" s="58"/>
      <c r="AC829" s="58"/>
    </row>
    <row r="830">
      <c r="A830" s="320"/>
      <c r="B830" s="301"/>
      <c r="C830" s="205"/>
      <c r="D830" s="302"/>
      <c r="E830" s="303"/>
      <c r="F830" s="304"/>
      <c r="G830" s="312"/>
      <c r="H830" s="306"/>
      <c r="I830" s="302"/>
      <c r="J830" s="307"/>
      <c r="K830" s="313"/>
      <c r="L830" s="319"/>
      <c r="M830" s="316"/>
      <c r="N830" s="205"/>
      <c r="O830" s="311"/>
      <c r="P830" s="200"/>
      <c r="Q830" s="200"/>
      <c r="R830" s="58"/>
      <c r="S830" s="58"/>
      <c r="T830" s="58"/>
      <c r="U830" s="58"/>
      <c r="V830" s="58"/>
      <c r="W830" s="58"/>
      <c r="X830" s="58"/>
      <c r="Y830" s="58"/>
      <c r="Z830" s="58"/>
      <c r="AA830" s="58"/>
      <c r="AB830" s="58"/>
      <c r="AC830" s="58"/>
    </row>
    <row r="831">
      <c r="A831" s="320"/>
      <c r="B831" s="301"/>
      <c r="C831" s="205"/>
      <c r="D831" s="302"/>
      <c r="E831" s="303"/>
      <c r="F831" s="304"/>
      <c r="G831" s="312"/>
      <c r="H831" s="306"/>
      <c r="I831" s="302"/>
      <c r="J831" s="307"/>
      <c r="K831" s="313"/>
      <c r="L831" s="319"/>
      <c r="M831" s="316"/>
      <c r="N831" s="205"/>
      <c r="O831" s="311"/>
      <c r="P831" s="200"/>
      <c r="Q831" s="200"/>
      <c r="R831" s="58"/>
      <c r="S831" s="58"/>
      <c r="T831" s="58"/>
      <c r="U831" s="58"/>
      <c r="V831" s="58"/>
      <c r="W831" s="58"/>
      <c r="X831" s="58"/>
      <c r="Y831" s="58"/>
      <c r="Z831" s="58"/>
      <c r="AA831" s="58"/>
      <c r="AB831" s="58"/>
      <c r="AC831" s="58"/>
    </row>
    <row r="832">
      <c r="A832" s="320"/>
      <c r="B832" s="301"/>
      <c r="C832" s="205"/>
      <c r="D832" s="302"/>
      <c r="E832" s="303"/>
      <c r="F832" s="304"/>
      <c r="G832" s="312"/>
      <c r="H832" s="306"/>
      <c r="I832" s="302"/>
      <c r="J832" s="307"/>
      <c r="K832" s="313"/>
      <c r="L832" s="319"/>
      <c r="M832" s="316"/>
      <c r="N832" s="205"/>
      <c r="O832" s="311"/>
      <c r="P832" s="200"/>
      <c r="Q832" s="200"/>
      <c r="R832" s="58"/>
      <c r="S832" s="58"/>
      <c r="T832" s="58"/>
      <c r="U832" s="58"/>
      <c r="V832" s="58"/>
      <c r="W832" s="58"/>
      <c r="X832" s="58"/>
      <c r="Y832" s="58"/>
      <c r="Z832" s="58"/>
      <c r="AA832" s="58"/>
      <c r="AB832" s="58"/>
      <c r="AC832" s="58"/>
    </row>
    <row r="833">
      <c r="A833" s="320"/>
      <c r="B833" s="301"/>
      <c r="C833" s="205"/>
      <c r="D833" s="302"/>
      <c r="E833" s="303"/>
      <c r="F833" s="304"/>
      <c r="G833" s="312"/>
      <c r="H833" s="306"/>
      <c r="I833" s="302"/>
      <c r="J833" s="307"/>
      <c r="K833" s="313"/>
      <c r="L833" s="319"/>
      <c r="M833" s="316"/>
      <c r="N833" s="205"/>
      <c r="O833" s="311"/>
      <c r="P833" s="200"/>
      <c r="Q833" s="200"/>
      <c r="R833" s="58"/>
      <c r="S833" s="58"/>
      <c r="T833" s="58"/>
      <c r="U833" s="58"/>
      <c r="V833" s="58"/>
      <c r="W833" s="58"/>
      <c r="X833" s="58"/>
      <c r="Y833" s="58"/>
      <c r="Z833" s="58"/>
      <c r="AA833" s="58"/>
      <c r="AB833" s="58"/>
      <c r="AC833" s="58"/>
    </row>
    <row r="834">
      <c r="A834" s="320"/>
      <c r="B834" s="301"/>
      <c r="C834" s="205"/>
      <c r="D834" s="302"/>
      <c r="E834" s="303"/>
      <c r="F834" s="304"/>
      <c r="G834" s="312"/>
      <c r="H834" s="306"/>
      <c r="I834" s="302"/>
      <c r="J834" s="307"/>
      <c r="K834" s="313"/>
      <c r="L834" s="319"/>
      <c r="M834" s="316"/>
      <c r="N834" s="205"/>
      <c r="O834" s="311"/>
      <c r="P834" s="200"/>
      <c r="Q834" s="200"/>
      <c r="R834" s="58"/>
      <c r="S834" s="58"/>
      <c r="T834" s="58"/>
      <c r="U834" s="58"/>
      <c r="V834" s="58"/>
      <c r="W834" s="58"/>
      <c r="X834" s="58"/>
      <c r="Y834" s="58"/>
      <c r="Z834" s="58"/>
      <c r="AA834" s="58"/>
      <c r="AB834" s="58"/>
      <c r="AC834" s="58"/>
    </row>
    <row r="835">
      <c r="A835" s="320"/>
      <c r="B835" s="301"/>
      <c r="C835" s="205"/>
      <c r="D835" s="302"/>
      <c r="E835" s="303"/>
      <c r="F835" s="304"/>
      <c r="G835" s="312"/>
      <c r="H835" s="306"/>
      <c r="I835" s="302"/>
      <c r="J835" s="307"/>
      <c r="K835" s="313"/>
      <c r="L835" s="319"/>
      <c r="M835" s="316"/>
      <c r="N835" s="205"/>
      <c r="O835" s="311"/>
      <c r="P835" s="200"/>
      <c r="Q835" s="200"/>
      <c r="R835" s="58"/>
      <c r="S835" s="58"/>
      <c r="T835" s="58"/>
      <c r="U835" s="58"/>
      <c r="V835" s="58"/>
      <c r="W835" s="58"/>
      <c r="X835" s="58"/>
      <c r="Y835" s="58"/>
      <c r="Z835" s="58"/>
      <c r="AA835" s="58"/>
      <c r="AB835" s="58"/>
      <c r="AC835" s="58"/>
    </row>
    <row r="836">
      <c r="A836" s="320"/>
      <c r="B836" s="301"/>
      <c r="C836" s="205"/>
      <c r="D836" s="302"/>
      <c r="E836" s="303"/>
      <c r="F836" s="304"/>
      <c r="G836" s="312"/>
      <c r="H836" s="306"/>
      <c r="I836" s="302"/>
      <c r="J836" s="307"/>
      <c r="K836" s="313"/>
      <c r="L836" s="319"/>
      <c r="M836" s="316"/>
      <c r="N836" s="205"/>
      <c r="O836" s="311"/>
      <c r="P836" s="200"/>
      <c r="Q836" s="200"/>
      <c r="R836" s="58"/>
      <c r="S836" s="58"/>
      <c r="T836" s="58"/>
      <c r="U836" s="58"/>
      <c r="V836" s="58"/>
      <c r="W836" s="58"/>
      <c r="X836" s="58"/>
      <c r="Y836" s="58"/>
      <c r="Z836" s="58"/>
      <c r="AA836" s="58"/>
      <c r="AB836" s="58"/>
      <c r="AC836" s="58"/>
    </row>
    <row r="837">
      <c r="A837" s="320"/>
      <c r="B837" s="301"/>
      <c r="C837" s="205"/>
      <c r="D837" s="302"/>
      <c r="E837" s="303"/>
      <c r="F837" s="304"/>
      <c r="G837" s="312"/>
      <c r="H837" s="306"/>
      <c r="I837" s="302"/>
      <c r="J837" s="307"/>
      <c r="K837" s="313"/>
      <c r="L837" s="319"/>
      <c r="M837" s="316"/>
      <c r="N837" s="205"/>
      <c r="O837" s="311"/>
      <c r="P837" s="200"/>
      <c r="Q837" s="200"/>
      <c r="R837" s="58"/>
      <c r="S837" s="58"/>
      <c r="T837" s="58"/>
      <c r="U837" s="58"/>
      <c r="V837" s="58"/>
      <c r="W837" s="58"/>
      <c r="X837" s="58"/>
      <c r="Y837" s="58"/>
      <c r="Z837" s="58"/>
      <c r="AA837" s="58"/>
      <c r="AB837" s="58"/>
      <c r="AC837" s="58"/>
    </row>
    <row r="838">
      <c r="A838" s="320"/>
      <c r="B838" s="301"/>
      <c r="C838" s="205"/>
      <c r="D838" s="302"/>
      <c r="E838" s="303"/>
      <c r="F838" s="304"/>
      <c r="G838" s="312"/>
      <c r="H838" s="306"/>
      <c r="I838" s="302"/>
      <c r="J838" s="307"/>
      <c r="K838" s="313"/>
      <c r="L838" s="319"/>
      <c r="M838" s="316"/>
      <c r="N838" s="205"/>
      <c r="O838" s="311"/>
      <c r="P838" s="200"/>
      <c r="Q838" s="200"/>
      <c r="R838" s="58"/>
      <c r="S838" s="58"/>
      <c r="T838" s="58"/>
      <c r="U838" s="58"/>
      <c r="V838" s="58"/>
      <c r="W838" s="58"/>
      <c r="X838" s="58"/>
      <c r="Y838" s="58"/>
      <c r="Z838" s="58"/>
      <c r="AA838" s="58"/>
      <c r="AB838" s="58"/>
      <c r="AC838" s="58"/>
    </row>
    <row r="839">
      <c r="A839" s="320"/>
      <c r="B839" s="301"/>
      <c r="C839" s="205"/>
      <c r="D839" s="302"/>
      <c r="E839" s="303"/>
      <c r="F839" s="304"/>
      <c r="G839" s="312"/>
      <c r="H839" s="306"/>
      <c r="I839" s="302"/>
      <c r="J839" s="307"/>
      <c r="K839" s="313"/>
      <c r="L839" s="319"/>
      <c r="M839" s="316"/>
      <c r="N839" s="205"/>
      <c r="O839" s="311"/>
      <c r="P839" s="200"/>
      <c r="Q839" s="200"/>
      <c r="R839" s="58"/>
      <c r="S839" s="58"/>
      <c r="T839" s="58"/>
      <c r="U839" s="58"/>
      <c r="V839" s="58"/>
      <c r="W839" s="58"/>
      <c r="X839" s="58"/>
      <c r="Y839" s="58"/>
      <c r="Z839" s="58"/>
      <c r="AA839" s="58"/>
      <c r="AB839" s="58"/>
      <c r="AC839" s="58"/>
    </row>
    <row r="840">
      <c r="A840" s="320"/>
      <c r="B840" s="301"/>
      <c r="C840" s="205"/>
      <c r="D840" s="302"/>
      <c r="E840" s="303"/>
      <c r="F840" s="304"/>
      <c r="G840" s="312"/>
      <c r="H840" s="306"/>
      <c r="I840" s="302"/>
      <c r="J840" s="307"/>
      <c r="K840" s="313"/>
      <c r="L840" s="319"/>
      <c r="M840" s="316"/>
      <c r="N840" s="205"/>
      <c r="O840" s="311"/>
      <c r="P840" s="200"/>
      <c r="Q840" s="200"/>
      <c r="R840" s="58"/>
      <c r="S840" s="58"/>
      <c r="T840" s="58"/>
      <c r="U840" s="58"/>
      <c r="V840" s="58"/>
      <c r="W840" s="58"/>
      <c r="X840" s="58"/>
      <c r="Y840" s="58"/>
      <c r="Z840" s="58"/>
      <c r="AA840" s="58"/>
      <c r="AB840" s="58"/>
      <c r="AC840" s="58"/>
    </row>
    <row r="841">
      <c r="A841" s="320"/>
      <c r="B841" s="301"/>
      <c r="C841" s="205"/>
      <c r="D841" s="302"/>
      <c r="E841" s="303"/>
      <c r="F841" s="304"/>
      <c r="G841" s="312"/>
      <c r="H841" s="306"/>
      <c r="I841" s="302"/>
      <c r="J841" s="307"/>
      <c r="K841" s="313"/>
      <c r="L841" s="319"/>
      <c r="M841" s="316"/>
      <c r="N841" s="205"/>
      <c r="O841" s="311"/>
      <c r="P841" s="200"/>
      <c r="Q841" s="200"/>
      <c r="R841" s="58"/>
      <c r="S841" s="58"/>
      <c r="T841" s="58"/>
      <c r="U841" s="58"/>
      <c r="V841" s="58"/>
      <c r="W841" s="58"/>
      <c r="X841" s="58"/>
      <c r="Y841" s="58"/>
      <c r="Z841" s="58"/>
      <c r="AA841" s="58"/>
      <c r="AB841" s="58"/>
      <c r="AC841" s="58"/>
    </row>
    <row r="842">
      <c r="A842" s="320"/>
      <c r="B842" s="301"/>
      <c r="C842" s="205"/>
      <c r="D842" s="302"/>
      <c r="E842" s="303"/>
      <c r="F842" s="304"/>
      <c r="G842" s="312"/>
      <c r="H842" s="306"/>
      <c r="I842" s="302"/>
      <c r="J842" s="307"/>
      <c r="K842" s="313"/>
      <c r="L842" s="319"/>
      <c r="M842" s="316"/>
      <c r="N842" s="205"/>
      <c r="O842" s="311"/>
      <c r="P842" s="200"/>
      <c r="Q842" s="200"/>
      <c r="R842" s="58"/>
      <c r="S842" s="58"/>
      <c r="T842" s="58"/>
      <c r="U842" s="58"/>
      <c r="V842" s="58"/>
      <c r="W842" s="58"/>
      <c r="X842" s="58"/>
      <c r="Y842" s="58"/>
      <c r="Z842" s="58"/>
      <c r="AA842" s="58"/>
      <c r="AB842" s="58"/>
      <c r="AC842" s="58"/>
    </row>
    <row r="843">
      <c r="A843" s="320"/>
      <c r="B843" s="301"/>
      <c r="C843" s="205"/>
      <c r="D843" s="302"/>
      <c r="E843" s="303"/>
      <c r="F843" s="304"/>
      <c r="G843" s="312"/>
      <c r="H843" s="306"/>
      <c r="I843" s="302"/>
      <c r="J843" s="307"/>
      <c r="K843" s="313"/>
      <c r="L843" s="319"/>
      <c r="M843" s="316"/>
      <c r="N843" s="205"/>
      <c r="O843" s="311"/>
      <c r="P843" s="200"/>
      <c r="Q843" s="200"/>
      <c r="R843" s="58"/>
      <c r="S843" s="58"/>
      <c r="T843" s="58"/>
      <c r="U843" s="58"/>
      <c r="V843" s="58"/>
      <c r="W843" s="58"/>
      <c r="X843" s="58"/>
      <c r="Y843" s="58"/>
      <c r="Z843" s="58"/>
      <c r="AA843" s="58"/>
      <c r="AB843" s="58"/>
      <c r="AC843" s="58"/>
    </row>
    <row r="844">
      <c r="A844" s="320"/>
      <c r="B844" s="301"/>
      <c r="C844" s="205"/>
      <c r="D844" s="302"/>
      <c r="E844" s="303"/>
      <c r="F844" s="304"/>
      <c r="G844" s="312"/>
      <c r="H844" s="306"/>
      <c r="I844" s="302"/>
      <c r="J844" s="307"/>
      <c r="K844" s="313"/>
      <c r="L844" s="319"/>
      <c r="M844" s="316"/>
      <c r="N844" s="205"/>
      <c r="O844" s="311"/>
      <c r="P844" s="200"/>
      <c r="Q844" s="200"/>
      <c r="R844" s="58"/>
      <c r="S844" s="58"/>
      <c r="T844" s="58"/>
      <c r="U844" s="58"/>
      <c r="V844" s="58"/>
      <c r="W844" s="58"/>
      <c r="X844" s="58"/>
      <c r="Y844" s="58"/>
      <c r="Z844" s="58"/>
      <c r="AA844" s="58"/>
      <c r="AB844" s="58"/>
      <c r="AC844" s="58"/>
    </row>
    <row r="845">
      <c r="A845" s="320"/>
      <c r="B845" s="301"/>
      <c r="C845" s="205"/>
      <c r="D845" s="302"/>
      <c r="E845" s="303"/>
      <c r="F845" s="304"/>
      <c r="G845" s="312"/>
      <c r="H845" s="306"/>
      <c r="I845" s="302"/>
      <c r="J845" s="307"/>
      <c r="K845" s="313"/>
      <c r="L845" s="319"/>
      <c r="M845" s="316"/>
      <c r="N845" s="205"/>
      <c r="O845" s="311"/>
      <c r="P845" s="200"/>
      <c r="Q845" s="200"/>
      <c r="R845" s="58"/>
      <c r="S845" s="58"/>
      <c r="T845" s="58"/>
      <c r="U845" s="58"/>
      <c r="V845" s="58"/>
      <c r="W845" s="58"/>
      <c r="X845" s="58"/>
      <c r="Y845" s="58"/>
      <c r="Z845" s="58"/>
      <c r="AA845" s="58"/>
      <c r="AB845" s="58"/>
      <c r="AC845" s="58"/>
    </row>
    <row r="846">
      <c r="A846" s="320"/>
      <c r="B846" s="301"/>
      <c r="C846" s="205"/>
      <c r="D846" s="302"/>
      <c r="E846" s="303"/>
      <c r="F846" s="304"/>
      <c r="G846" s="312"/>
      <c r="H846" s="306"/>
      <c r="I846" s="302"/>
      <c r="J846" s="307"/>
      <c r="K846" s="313"/>
      <c r="L846" s="319"/>
      <c r="M846" s="316"/>
      <c r="N846" s="205"/>
      <c r="O846" s="311"/>
      <c r="P846" s="200"/>
      <c r="Q846" s="200"/>
      <c r="R846" s="58"/>
      <c r="S846" s="58"/>
      <c r="T846" s="58"/>
      <c r="U846" s="58"/>
      <c r="V846" s="58"/>
      <c r="W846" s="58"/>
      <c r="X846" s="58"/>
      <c r="Y846" s="58"/>
      <c r="Z846" s="58"/>
      <c r="AA846" s="58"/>
      <c r="AB846" s="58"/>
      <c r="AC846" s="58"/>
    </row>
    <row r="847">
      <c r="A847" s="320"/>
      <c r="B847" s="301"/>
      <c r="C847" s="205"/>
      <c r="D847" s="302"/>
      <c r="E847" s="303"/>
      <c r="F847" s="304"/>
      <c r="G847" s="312"/>
      <c r="H847" s="306"/>
      <c r="I847" s="302"/>
      <c r="J847" s="307"/>
      <c r="K847" s="313"/>
      <c r="L847" s="319"/>
      <c r="M847" s="316"/>
      <c r="N847" s="205"/>
      <c r="O847" s="311"/>
      <c r="P847" s="200"/>
      <c r="Q847" s="200"/>
      <c r="R847" s="58"/>
      <c r="S847" s="58"/>
      <c r="T847" s="58"/>
      <c r="U847" s="58"/>
      <c r="V847" s="58"/>
      <c r="W847" s="58"/>
      <c r="X847" s="58"/>
      <c r="Y847" s="58"/>
      <c r="Z847" s="58"/>
      <c r="AA847" s="58"/>
      <c r="AB847" s="58"/>
      <c r="AC847" s="58"/>
    </row>
    <row r="848">
      <c r="A848" s="320"/>
      <c r="B848" s="301"/>
      <c r="C848" s="205"/>
      <c r="D848" s="302"/>
      <c r="E848" s="303"/>
      <c r="F848" s="304"/>
      <c r="G848" s="312"/>
      <c r="H848" s="306"/>
      <c r="I848" s="302"/>
      <c r="J848" s="307"/>
      <c r="K848" s="313"/>
      <c r="L848" s="319"/>
      <c r="M848" s="316"/>
      <c r="N848" s="205"/>
      <c r="O848" s="311"/>
      <c r="P848" s="200"/>
      <c r="Q848" s="200"/>
      <c r="R848" s="58"/>
      <c r="S848" s="58"/>
      <c r="T848" s="58"/>
      <c r="U848" s="58"/>
      <c r="V848" s="58"/>
      <c r="W848" s="58"/>
      <c r="X848" s="58"/>
      <c r="Y848" s="58"/>
      <c r="Z848" s="58"/>
      <c r="AA848" s="58"/>
      <c r="AB848" s="58"/>
      <c r="AC848" s="58"/>
    </row>
    <row r="849">
      <c r="A849" s="320"/>
      <c r="B849" s="301"/>
      <c r="C849" s="205"/>
      <c r="D849" s="302"/>
      <c r="E849" s="303"/>
      <c r="F849" s="304"/>
      <c r="G849" s="312"/>
      <c r="H849" s="306"/>
      <c r="I849" s="302"/>
      <c r="J849" s="307"/>
      <c r="K849" s="313"/>
      <c r="L849" s="319"/>
      <c r="M849" s="316"/>
      <c r="N849" s="205"/>
      <c r="O849" s="311"/>
      <c r="P849" s="200"/>
      <c r="Q849" s="200"/>
      <c r="R849" s="58"/>
      <c r="S849" s="58"/>
      <c r="T849" s="58"/>
      <c r="U849" s="58"/>
      <c r="V849" s="58"/>
      <c r="W849" s="58"/>
      <c r="X849" s="58"/>
      <c r="Y849" s="58"/>
      <c r="Z849" s="58"/>
      <c r="AA849" s="58"/>
      <c r="AB849" s="58"/>
      <c r="AC849" s="58"/>
    </row>
    <row r="850">
      <c r="A850" s="320"/>
      <c r="B850" s="301"/>
      <c r="C850" s="205"/>
      <c r="D850" s="302"/>
      <c r="E850" s="303"/>
      <c r="F850" s="304"/>
      <c r="G850" s="312"/>
      <c r="H850" s="306"/>
      <c r="I850" s="302"/>
      <c r="J850" s="307"/>
      <c r="K850" s="313"/>
      <c r="L850" s="319"/>
      <c r="M850" s="316"/>
      <c r="N850" s="205"/>
      <c r="O850" s="311"/>
      <c r="P850" s="200"/>
      <c r="Q850" s="200"/>
      <c r="R850" s="58"/>
      <c r="S850" s="58"/>
      <c r="T850" s="58"/>
      <c r="U850" s="58"/>
      <c r="V850" s="58"/>
      <c r="W850" s="58"/>
      <c r="X850" s="58"/>
      <c r="Y850" s="58"/>
      <c r="Z850" s="58"/>
      <c r="AA850" s="58"/>
      <c r="AB850" s="58"/>
      <c r="AC850" s="58"/>
    </row>
    <row r="851">
      <c r="A851" s="320"/>
      <c r="B851" s="301"/>
      <c r="C851" s="205"/>
      <c r="D851" s="302"/>
      <c r="E851" s="303"/>
      <c r="F851" s="304"/>
      <c r="G851" s="312"/>
      <c r="H851" s="306"/>
      <c r="I851" s="302"/>
      <c r="J851" s="307"/>
      <c r="K851" s="313"/>
      <c r="L851" s="319"/>
      <c r="M851" s="316"/>
      <c r="N851" s="205"/>
      <c r="O851" s="311"/>
      <c r="P851" s="200"/>
      <c r="Q851" s="200"/>
      <c r="R851" s="58"/>
      <c r="S851" s="58"/>
      <c r="T851" s="58"/>
      <c r="U851" s="58"/>
      <c r="V851" s="58"/>
      <c r="W851" s="58"/>
      <c r="X851" s="58"/>
      <c r="Y851" s="58"/>
      <c r="Z851" s="58"/>
      <c r="AA851" s="58"/>
      <c r="AB851" s="58"/>
      <c r="AC851" s="58"/>
    </row>
    <row r="852">
      <c r="A852" s="320"/>
      <c r="B852" s="301"/>
      <c r="C852" s="205"/>
      <c r="D852" s="302"/>
      <c r="E852" s="303"/>
      <c r="F852" s="304"/>
      <c r="G852" s="312"/>
      <c r="H852" s="306"/>
      <c r="I852" s="302"/>
      <c r="J852" s="307"/>
      <c r="K852" s="313"/>
      <c r="L852" s="319"/>
      <c r="M852" s="316"/>
      <c r="N852" s="205"/>
      <c r="O852" s="311"/>
      <c r="P852" s="200"/>
      <c r="Q852" s="200"/>
      <c r="R852" s="58"/>
      <c r="S852" s="58"/>
      <c r="T852" s="58"/>
      <c r="U852" s="58"/>
      <c r="V852" s="58"/>
      <c r="W852" s="58"/>
      <c r="X852" s="58"/>
      <c r="Y852" s="58"/>
      <c r="Z852" s="58"/>
      <c r="AA852" s="58"/>
      <c r="AB852" s="58"/>
      <c r="AC852" s="58"/>
    </row>
    <row r="853">
      <c r="A853" s="320"/>
      <c r="B853" s="301"/>
      <c r="C853" s="205"/>
      <c r="D853" s="302"/>
      <c r="E853" s="303"/>
      <c r="F853" s="304"/>
      <c r="G853" s="312"/>
      <c r="H853" s="306"/>
      <c r="I853" s="302"/>
      <c r="J853" s="307"/>
      <c r="K853" s="313"/>
      <c r="L853" s="319"/>
      <c r="M853" s="316"/>
      <c r="N853" s="205"/>
      <c r="O853" s="311"/>
      <c r="P853" s="200"/>
      <c r="Q853" s="200"/>
      <c r="R853" s="58"/>
      <c r="S853" s="58"/>
      <c r="T853" s="58"/>
      <c r="U853" s="58"/>
      <c r="V853" s="58"/>
      <c r="W853" s="58"/>
      <c r="X853" s="58"/>
      <c r="Y853" s="58"/>
      <c r="Z853" s="58"/>
      <c r="AA853" s="58"/>
      <c r="AB853" s="58"/>
      <c r="AC853" s="58"/>
    </row>
    <row r="854">
      <c r="A854" s="320"/>
      <c r="B854" s="301"/>
      <c r="C854" s="205"/>
      <c r="D854" s="302"/>
      <c r="E854" s="303"/>
      <c r="F854" s="304"/>
      <c r="G854" s="312"/>
      <c r="H854" s="306"/>
      <c r="I854" s="302"/>
      <c r="J854" s="307"/>
      <c r="K854" s="313"/>
      <c r="L854" s="319"/>
      <c r="M854" s="316"/>
      <c r="N854" s="205"/>
      <c r="O854" s="311"/>
      <c r="P854" s="200"/>
      <c r="Q854" s="200"/>
      <c r="R854" s="58"/>
      <c r="S854" s="58"/>
      <c r="T854" s="58"/>
      <c r="U854" s="58"/>
      <c r="V854" s="58"/>
      <c r="W854" s="58"/>
      <c r="X854" s="58"/>
      <c r="Y854" s="58"/>
      <c r="Z854" s="58"/>
      <c r="AA854" s="58"/>
      <c r="AB854" s="58"/>
      <c r="AC854" s="58"/>
    </row>
    <row r="855">
      <c r="A855" s="320"/>
      <c r="B855" s="301"/>
      <c r="C855" s="205"/>
      <c r="D855" s="302"/>
      <c r="E855" s="303"/>
      <c r="F855" s="304"/>
      <c r="G855" s="312"/>
      <c r="H855" s="306"/>
      <c r="I855" s="302"/>
      <c r="J855" s="307"/>
      <c r="K855" s="313"/>
      <c r="L855" s="319"/>
      <c r="M855" s="316"/>
      <c r="N855" s="205"/>
      <c r="O855" s="311"/>
      <c r="P855" s="200"/>
      <c r="Q855" s="200"/>
      <c r="R855" s="58"/>
      <c r="S855" s="58"/>
      <c r="T855" s="58"/>
      <c r="U855" s="58"/>
      <c r="V855" s="58"/>
      <c r="W855" s="58"/>
      <c r="X855" s="58"/>
      <c r="Y855" s="58"/>
      <c r="Z855" s="58"/>
      <c r="AA855" s="58"/>
      <c r="AB855" s="58"/>
      <c r="AC855" s="58"/>
    </row>
    <row r="856">
      <c r="A856" s="320"/>
      <c r="B856" s="301"/>
      <c r="C856" s="205"/>
      <c r="D856" s="302"/>
      <c r="E856" s="303"/>
      <c r="F856" s="304"/>
      <c r="G856" s="312"/>
      <c r="H856" s="306"/>
      <c r="I856" s="302"/>
      <c r="J856" s="307"/>
      <c r="K856" s="313"/>
      <c r="L856" s="319"/>
      <c r="M856" s="316"/>
      <c r="N856" s="205"/>
      <c r="O856" s="311"/>
      <c r="P856" s="200"/>
      <c r="Q856" s="200"/>
      <c r="R856" s="58"/>
      <c r="S856" s="58"/>
      <c r="T856" s="58"/>
      <c r="U856" s="58"/>
      <c r="V856" s="58"/>
      <c r="W856" s="58"/>
      <c r="X856" s="58"/>
      <c r="Y856" s="58"/>
      <c r="Z856" s="58"/>
      <c r="AA856" s="58"/>
      <c r="AB856" s="58"/>
      <c r="AC856" s="58"/>
    </row>
    <row r="857">
      <c r="A857" s="320"/>
      <c r="B857" s="301"/>
      <c r="C857" s="205"/>
      <c r="D857" s="302"/>
      <c r="E857" s="303"/>
      <c r="F857" s="304"/>
      <c r="G857" s="312"/>
      <c r="H857" s="306"/>
      <c r="I857" s="302"/>
      <c r="J857" s="307"/>
      <c r="K857" s="313"/>
      <c r="L857" s="319"/>
      <c r="M857" s="316"/>
      <c r="N857" s="205"/>
      <c r="O857" s="311"/>
      <c r="P857" s="200"/>
      <c r="Q857" s="200"/>
      <c r="R857" s="58"/>
      <c r="S857" s="58"/>
      <c r="T857" s="58"/>
      <c r="U857" s="58"/>
      <c r="V857" s="58"/>
      <c r="W857" s="58"/>
      <c r="X857" s="58"/>
      <c r="Y857" s="58"/>
      <c r="Z857" s="58"/>
      <c r="AA857" s="58"/>
      <c r="AB857" s="58"/>
      <c r="AC857" s="58"/>
    </row>
    <row r="858">
      <c r="A858" s="320"/>
      <c r="B858" s="301"/>
      <c r="C858" s="205"/>
      <c r="D858" s="302"/>
      <c r="E858" s="303"/>
      <c r="F858" s="304"/>
      <c r="G858" s="312"/>
      <c r="H858" s="306"/>
      <c r="I858" s="302"/>
      <c r="J858" s="307"/>
      <c r="K858" s="313"/>
      <c r="L858" s="319"/>
      <c r="M858" s="316"/>
      <c r="N858" s="205"/>
      <c r="O858" s="311"/>
      <c r="P858" s="200"/>
      <c r="Q858" s="200"/>
      <c r="R858" s="58"/>
      <c r="S858" s="58"/>
      <c r="T858" s="58"/>
      <c r="U858" s="58"/>
      <c r="V858" s="58"/>
      <c r="W858" s="58"/>
      <c r="X858" s="58"/>
      <c r="Y858" s="58"/>
      <c r="Z858" s="58"/>
      <c r="AA858" s="58"/>
      <c r="AB858" s="58"/>
      <c r="AC858" s="58"/>
    </row>
    <row r="859">
      <c r="A859" s="320"/>
      <c r="B859" s="301"/>
      <c r="C859" s="205"/>
      <c r="D859" s="302"/>
      <c r="E859" s="303"/>
      <c r="F859" s="304"/>
      <c r="G859" s="312"/>
      <c r="H859" s="306"/>
      <c r="I859" s="302"/>
      <c r="J859" s="307"/>
      <c r="K859" s="313"/>
      <c r="L859" s="319"/>
      <c r="M859" s="316"/>
      <c r="N859" s="205"/>
      <c r="O859" s="311"/>
      <c r="P859" s="200"/>
      <c r="Q859" s="200"/>
      <c r="R859" s="58"/>
      <c r="S859" s="58"/>
      <c r="T859" s="58"/>
      <c r="U859" s="58"/>
      <c r="V859" s="58"/>
      <c r="W859" s="58"/>
      <c r="X859" s="58"/>
      <c r="Y859" s="58"/>
      <c r="Z859" s="58"/>
      <c r="AA859" s="58"/>
      <c r="AB859" s="58"/>
      <c r="AC859" s="58"/>
    </row>
    <row r="860">
      <c r="A860" s="320"/>
      <c r="B860" s="301"/>
      <c r="C860" s="205"/>
      <c r="D860" s="302"/>
      <c r="E860" s="303"/>
      <c r="F860" s="304"/>
      <c r="G860" s="312"/>
      <c r="H860" s="306"/>
      <c r="I860" s="302"/>
      <c r="J860" s="307"/>
      <c r="K860" s="313"/>
      <c r="L860" s="319"/>
      <c r="M860" s="316"/>
      <c r="N860" s="205"/>
      <c r="O860" s="311"/>
      <c r="P860" s="200"/>
      <c r="Q860" s="200"/>
      <c r="R860" s="58"/>
      <c r="S860" s="58"/>
      <c r="T860" s="58"/>
      <c r="U860" s="58"/>
      <c r="V860" s="58"/>
      <c r="W860" s="58"/>
      <c r="X860" s="58"/>
      <c r="Y860" s="58"/>
      <c r="Z860" s="58"/>
      <c r="AA860" s="58"/>
      <c r="AB860" s="58"/>
      <c r="AC860" s="58"/>
    </row>
    <row r="861">
      <c r="A861" s="320"/>
      <c r="B861" s="301"/>
      <c r="C861" s="205"/>
      <c r="D861" s="302"/>
      <c r="E861" s="303"/>
      <c r="F861" s="304"/>
      <c r="G861" s="312"/>
      <c r="H861" s="306"/>
      <c r="I861" s="302"/>
      <c r="J861" s="307"/>
      <c r="K861" s="313"/>
      <c r="L861" s="319"/>
      <c r="M861" s="316"/>
      <c r="N861" s="205"/>
      <c r="O861" s="311"/>
      <c r="P861" s="200"/>
      <c r="Q861" s="200"/>
      <c r="R861" s="58"/>
      <c r="S861" s="58"/>
      <c r="T861" s="58"/>
      <c r="U861" s="58"/>
      <c r="V861" s="58"/>
      <c r="W861" s="58"/>
      <c r="X861" s="58"/>
      <c r="Y861" s="58"/>
      <c r="Z861" s="58"/>
      <c r="AA861" s="58"/>
      <c r="AB861" s="58"/>
      <c r="AC861" s="58"/>
    </row>
    <row r="862">
      <c r="A862" s="320"/>
      <c r="B862" s="301"/>
      <c r="C862" s="205"/>
      <c r="D862" s="302"/>
      <c r="E862" s="303"/>
      <c r="F862" s="304"/>
      <c r="G862" s="312"/>
      <c r="H862" s="306"/>
      <c r="I862" s="302"/>
      <c r="J862" s="307"/>
      <c r="K862" s="313"/>
      <c r="L862" s="319"/>
      <c r="M862" s="316"/>
      <c r="N862" s="205"/>
      <c r="O862" s="311"/>
      <c r="P862" s="200"/>
      <c r="Q862" s="200"/>
      <c r="R862" s="58"/>
      <c r="S862" s="58"/>
      <c r="T862" s="58"/>
      <c r="U862" s="58"/>
      <c r="V862" s="58"/>
      <c r="W862" s="58"/>
      <c r="X862" s="58"/>
      <c r="Y862" s="58"/>
      <c r="Z862" s="58"/>
      <c r="AA862" s="58"/>
      <c r="AB862" s="58"/>
      <c r="AC862" s="58"/>
    </row>
    <row r="863">
      <c r="A863" s="320"/>
      <c r="B863" s="301"/>
      <c r="C863" s="205"/>
      <c r="D863" s="302"/>
      <c r="E863" s="303"/>
      <c r="F863" s="304"/>
      <c r="G863" s="312"/>
      <c r="H863" s="306"/>
      <c r="I863" s="302"/>
      <c r="J863" s="307"/>
      <c r="K863" s="313"/>
      <c r="L863" s="319"/>
      <c r="M863" s="316"/>
      <c r="N863" s="205"/>
      <c r="O863" s="311"/>
      <c r="P863" s="200"/>
      <c r="Q863" s="200"/>
      <c r="R863" s="58"/>
      <c r="S863" s="58"/>
      <c r="T863" s="58"/>
      <c r="U863" s="58"/>
      <c r="V863" s="58"/>
      <c r="W863" s="58"/>
      <c r="X863" s="58"/>
      <c r="Y863" s="58"/>
      <c r="Z863" s="58"/>
      <c r="AA863" s="58"/>
      <c r="AB863" s="58"/>
      <c r="AC863" s="58"/>
    </row>
    <row r="864">
      <c r="A864" s="320"/>
      <c r="B864" s="301"/>
      <c r="C864" s="205"/>
      <c r="D864" s="302"/>
      <c r="E864" s="303"/>
      <c r="F864" s="304"/>
      <c r="G864" s="312"/>
      <c r="H864" s="306"/>
      <c r="I864" s="302"/>
      <c r="J864" s="307"/>
      <c r="K864" s="313"/>
      <c r="L864" s="319"/>
      <c r="M864" s="316"/>
      <c r="N864" s="205"/>
      <c r="O864" s="311"/>
      <c r="P864" s="200"/>
      <c r="Q864" s="200"/>
      <c r="R864" s="58"/>
      <c r="S864" s="58"/>
      <c r="T864" s="58"/>
      <c r="U864" s="58"/>
      <c r="V864" s="58"/>
      <c r="W864" s="58"/>
      <c r="X864" s="58"/>
      <c r="Y864" s="58"/>
      <c r="Z864" s="58"/>
      <c r="AA864" s="58"/>
      <c r="AB864" s="58"/>
      <c r="AC864" s="58"/>
    </row>
    <row r="865">
      <c r="A865" s="320"/>
      <c r="B865" s="301"/>
      <c r="C865" s="205"/>
      <c r="D865" s="302"/>
      <c r="E865" s="303"/>
      <c r="F865" s="304"/>
      <c r="G865" s="312"/>
      <c r="H865" s="306"/>
      <c r="I865" s="302"/>
      <c r="J865" s="307"/>
      <c r="K865" s="313"/>
      <c r="L865" s="319"/>
      <c r="M865" s="316"/>
      <c r="N865" s="205"/>
      <c r="O865" s="311"/>
      <c r="P865" s="200"/>
      <c r="Q865" s="200"/>
      <c r="R865" s="58"/>
      <c r="S865" s="58"/>
      <c r="T865" s="58"/>
      <c r="U865" s="58"/>
      <c r="V865" s="58"/>
      <c r="W865" s="58"/>
      <c r="X865" s="58"/>
      <c r="Y865" s="58"/>
      <c r="Z865" s="58"/>
      <c r="AA865" s="58"/>
      <c r="AB865" s="58"/>
      <c r="AC865" s="58"/>
    </row>
    <row r="866">
      <c r="A866" s="320"/>
      <c r="B866" s="301"/>
      <c r="C866" s="205"/>
      <c r="D866" s="302"/>
      <c r="E866" s="303"/>
      <c r="F866" s="304"/>
      <c r="G866" s="312"/>
      <c r="H866" s="306"/>
      <c r="I866" s="302"/>
      <c r="J866" s="307"/>
      <c r="K866" s="313"/>
      <c r="L866" s="319"/>
      <c r="M866" s="316"/>
      <c r="N866" s="205"/>
      <c r="O866" s="311"/>
      <c r="P866" s="200"/>
      <c r="Q866" s="200"/>
      <c r="R866" s="58"/>
      <c r="S866" s="58"/>
      <c r="T866" s="58"/>
      <c r="U866" s="58"/>
      <c r="V866" s="58"/>
      <c r="W866" s="58"/>
      <c r="X866" s="58"/>
      <c r="Y866" s="58"/>
      <c r="Z866" s="58"/>
      <c r="AA866" s="58"/>
      <c r="AB866" s="58"/>
      <c r="AC866" s="58"/>
    </row>
    <row r="867">
      <c r="A867" s="320"/>
      <c r="B867" s="301"/>
      <c r="C867" s="205"/>
      <c r="D867" s="302"/>
      <c r="E867" s="303"/>
      <c r="F867" s="304"/>
      <c r="G867" s="312"/>
      <c r="H867" s="306"/>
      <c r="I867" s="302"/>
      <c r="J867" s="307"/>
      <c r="K867" s="313"/>
      <c r="L867" s="319"/>
      <c r="M867" s="316"/>
      <c r="N867" s="205"/>
      <c r="O867" s="311"/>
      <c r="P867" s="200"/>
      <c r="Q867" s="200"/>
      <c r="R867" s="58"/>
      <c r="S867" s="58"/>
      <c r="T867" s="58"/>
      <c r="U867" s="58"/>
      <c r="V867" s="58"/>
      <c r="W867" s="58"/>
      <c r="X867" s="58"/>
      <c r="Y867" s="58"/>
      <c r="Z867" s="58"/>
      <c r="AA867" s="58"/>
      <c r="AB867" s="58"/>
      <c r="AC867" s="58"/>
    </row>
    <row r="868">
      <c r="A868" s="320"/>
      <c r="B868" s="301"/>
      <c r="C868" s="205"/>
      <c r="D868" s="302"/>
      <c r="E868" s="303"/>
      <c r="F868" s="304"/>
      <c r="G868" s="312"/>
      <c r="H868" s="306"/>
      <c r="I868" s="302"/>
      <c r="J868" s="307"/>
      <c r="K868" s="313"/>
      <c r="L868" s="319"/>
      <c r="M868" s="316"/>
      <c r="N868" s="205"/>
      <c r="O868" s="311"/>
      <c r="P868" s="200"/>
      <c r="Q868" s="200"/>
      <c r="R868" s="58"/>
      <c r="S868" s="58"/>
      <c r="T868" s="58"/>
      <c r="U868" s="58"/>
      <c r="V868" s="58"/>
      <c r="W868" s="58"/>
      <c r="X868" s="58"/>
      <c r="Y868" s="58"/>
      <c r="Z868" s="58"/>
      <c r="AA868" s="58"/>
      <c r="AB868" s="58"/>
      <c r="AC868" s="58"/>
    </row>
    <row r="869">
      <c r="A869" s="320"/>
      <c r="B869" s="301"/>
      <c r="C869" s="205"/>
      <c r="D869" s="302"/>
      <c r="E869" s="303"/>
      <c r="F869" s="304"/>
      <c r="G869" s="312"/>
      <c r="H869" s="306"/>
      <c r="I869" s="302"/>
      <c r="J869" s="307"/>
      <c r="K869" s="313"/>
      <c r="L869" s="319"/>
      <c r="M869" s="316"/>
      <c r="N869" s="205"/>
      <c r="O869" s="311"/>
      <c r="P869" s="200"/>
      <c r="Q869" s="200"/>
      <c r="R869" s="58"/>
      <c r="S869" s="58"/>
      <c r="T869" s="58"/>
      <c r="U869" s="58"/>
      <c r="V869" s="58"/>
      <c r="W869" s="58"/>
      <c r="X869" s="58"/>
      <c r="Y869" s="58"/>
      <c r="Z869" s="58"/>
      <c r="AA869" s="58"/>
      <c r="AB869" s="58"/>
      <c r="AC869" s="58"/>
    </row>
    <row r="870">
      <c r="A870" s="320"/>
      <c r="B870" s="301"/>
      <c r="C870" s="205"/>
      <c r="D870" s="302"/>
      <c r="E870" s="303"/>
      <c r="F870" s="304"/>
      <c r="G870" s="312"/>
      <c r="H870" s="306"/>
      <c r="I870" s="302"/>
      <c r="J870" s="307"/>
      <c r="K870" s="313"/>
      <c r="L870" s="319"/>
      <c r="M870" s="316"/>
      <c r="N870" s="205"/>
      <c r="O870" s="311"/>
      <c r="P870" s="200"/>
      <c r="Q870" s="200"/>
      <c r="R870" s="58"/>
      <c r="S870" s="58"/>
      <c r="T870" s="58"/>
      <c r="U870" s="58"/>
      <c r="V870" s="58"/>
      <c r="W870" s="58"/>
      <c r="X870" s="58"/>
      <c r="Y870" s="58"/>
      <c r="Z870" s="58"/>
      <c r="AA870" s="58"/>
      <c r="AB870" s="58"/>
      <c r="AC870" s="58"/>
    </row>
    <row r="871">
      <c r="A871" s="320"/>
      <c r="B871" s="301"/>
      <c r="C871" s="205"/>
      <c r="D871" s="302"/>
      <c r="E871" s="303"/>
      <c r="F871" s="304"/>
      <c r="G871" s="312"/>
      <c r="H871" s="306"/>
      <c r="I871" s="302"/>
      <c r="J871" s="307"/>
      <c r="K871" s="313"/>
      <c r="L871" s="319"/>
      <c r="M871" s="316"/>
      <c r="N871" s="205"/>
      <c r="O871" s="311"/>
      <c r="P871" s="200"/>
      <c r="Q871" s="200"/>
      <c r="R871" s="58"/>
      <c r="S871" s="58"/>
      <c r="T871" s="58"/>
      <c r="U871" s="58"/>
      <c r="V871" s="58"/>
      <c r="W871" s="58"/>
      <c r="X871" s="58"/>
      <c r="Y871" s="58"/>
      <c r="Z871" s="58"/>
      <c r="AA871" s="58"/>
      <c r="AB871" s="58"/>
      <c r="AC871" s="58"/>
    </row>
    <row r="872">
      <c r="A872" s="320"/>
      <c r="B872" s="301"/>
      <c r="C872" s="205"/>
      <c r="D872" s="302"/>
      <c r="E872" s="303"/>
      <c r="F872" s="304"/>
      <c r="G872" s="312"/>
      <c r="H872" s="306"/>
      <c r="I872" s="302"/>
      <c r="J872" s="307"/>
      <c r="K872" s="313"/>
      <c r="L872" s="319"/>
      <c r="M872" s="316"/>
      <c r="N872" s="205"/>
      <c r="O872" s="311"/>
      <c r="P872" s="200"/>
      <c r="Q872" s="200"/>
      <c r="R872" s="58"/>
      <c r="S872" s="58"/>
      <c r="T872" s="58"/>
      <c r="U872" s="58"/>
      <c r="V872" s="58"/>
      <c r="W872" s="58"/>
      <c r="X872" s="58"/>
      <c r="Y872" s="58"/>
      <c r="Z872" s="58"/>
      <c r="AA872" s="58"/>
      <c r="AB872" s="58"/>
      <c r="AC872" s="58"/>
    </row>
    <row r="873">
      <c r="A873" s="320"/>
      <c r="B873" s="301"/>
      <c r="C873" s="205"/>
      <c r="D873" s="302"/>
      <c r="E873" s="303"/>
      <c r="F873" s="304"/>
      <c r="G873" s="312"/>
      <c r="H873" s="306"/>
      <c r="I873" s="302"/>
      <c r="J873" s="307"/>
      <c r="K873" s="313"/>
      <c r="L873" s="319"/>
      <c r="M873" s="316"/>
      <c r="N873" s="205"/>
      <c r="O873" s="311"/>
      <c r="P873" s="200"/>
      <c r="Q873" s="200"/>
      <c r="R873" s="58"/>
      <c r="S873" s="58"/>
      <c r="T873" s="58"/>
      <c r="U873" s="58"/>
      <c r="V873" s="58"/>
      <c r="W873" s="58"/>
      <c r="X873" s="58"/>
      <c r="Y873" s="58"/>
      <c r="Z873" s="58"/>
      <c r="AA873" s="58"/>
      <c r="AB873" s="58"/>
      <c r="AC873" s="58"/>
    </row>
    <row r="874">
      <c r="A874" s="320"/>
      <c r="B874" s="301"/>
      <c r="C874" s="205"/>
      <c r="D874" s="302"/>
      <c r="E874" s="303"/>
      <c r="F874" s="304"/>
      <c r="G874" s="312"/>
      <c r="H874" s="306"/>
      <c r="I874" s="302"/>
      <c r="J874" s="307"/>
      <c r="K874" s="313"/>
      <c r="L874" s="319"/>
      <c r="M874" s="316"/>
      <c r="N874" s="205"/>
      <c r="O874" s="311"/>
      <c r="P874" s="200"/>
      <c r="Q874" s="200"/>
      <c r="R874" s="58"/>
      <c r="S874" s="58"/>
      <c r="T874" s="58"/>
      <c r="U874" s="58"/>
      <c r="V874" s="58"/>
      <c r="W874" s="58"/>
      <c r="X874" s="58"/>
      <c r="Y874" s="58"/>
      <c r="Z874" s="58"/>
      <c r="AA874" s="58"/>
      <c r="AB874" s="58"/>
      <c r="AC874" s="58"/>
    </row>
    <row r="875">
      <c r="A875" s="320"/>
      <c r="B875" s="301"/>
      <c r="C875" s="205"/>
      <c r="D875" s="302"/>
      <c r="E875" s="303"/>
      <c r="F875" s="304"/>
      <c r="G875" s="312"/>
      <c r="H875" s="306"/>
      <c r="I875" s="302"/>
      <c r="J875" s="307"/>
      <c r="K875" s="313"/>
      <c r="L875" s="319"/>
      <c r="M875" s="316"/>
      <c r="N875" s="205"/>
      <c r="O875" s="311"/>
      <c r="P875" s="200"/>
      <c r="Q875" s="200"/>
      <c r="R875" s="58"/>
      <c r="S875" s="58"/>
      <c r="T875" s="58"/>
      <c r="U875" s="58"/>
      <c r="V875" s="58"/>
      <c r="W875" s="58"/>
      <c r="X875" s="58"/>
      <c r="Y875" s="58"/>
      <c r="Z875" s="58"/>
      <c r="AA875" s="58"/>
      <c r="AB875" s="58"/>
      <c r="AC875" s="58"/>
    </row>
    <row r="876">
      <c r="A876" s="320"/>
      <c r="B876" s="301"/>
      <c r="C876" s="205"/>
      <c r="D876" s="302"/>
      <c r="E876" s="303"/>
      <c r="F876" s="304"/>
      <c r="G876" s="312"/>
      <c r="H876" s="306"/>
      <c r="I876" s="302"/>
      <c r="J876" s="307"/>
      <c r="K876" s="313"/>
      <c r="L876" s="319"/>
      <c r="M876" s="316"/>
      <c r="N876" s="205"/>
      <c r="O876" s="311"/>
      <c r="P876" s="200"/>
      <c r="Q876" s="200"/>
      <c r="R876" s="58"/>
      <c r="S876" s="58"/>
      <c r="T876" s="58"/>
      <c r="U876" s="58"/>
      <c r="V876" s="58"/>
      <c r="W876" s="58"/>
      <c r="X876" s="58"/>
      <c r="Y876" s="58"/>
      <c r="Z876" s="58"/>
      <c r="AA876" s="58"/>
      <c r="AB876" s="58"/>
      <c r="AC876" s="58"/>
    </row>
    <row r="877">
      <c r="A877" s="320"/>
      <c r="B877" s="301"/>
      <c r="C877" s="205"/>
      <c r="D877" s="302"/>
      <c r="E877" s="303"/>
      <c r="F877" s="304"/>
      <c r="G877" s="312"/>
      <c r="H877" s="306"/>
      <c r="I877" s="302"/>
      <c r="J877" s="307"/>
      <c r="K877" s="313"/>
      <c r="L877" s="319"/>
      <c r="M877" s="316"/>
      <c r="N877" s="205"/>
      <c r="O877" s="311"/>
      <c r="P877" s="200"/>
      <c r="Q877" s="200"/>
      <c r="R877" s="58"/>
      <c r="S877" s="58"/>
      <c r="T877" s="58"/>
      <c r="U877" s="58"/>
      <c r="V877" s="58"/>
      <c r="W877" s="58"/>
      <c r="X877" s="58"/>
      <c r="Y877" s="58"/>
      <c r="Z877" s="58"/>
      <c r="AA877" s="58"/>
      <c r="AB877" s="58"/>
      <c r="AC877" s="58"/>
    </row>
    <row r="878">
      <c r="A878" s="320"/>
      <c r="B878" s="301"/>
      <c r="C878" s="205"/>
      <c r="D878" s="302"/>
      <c r="E878" s="303"/>
      <c r="F878" s="304"/>
      <c r="G878" s="312"/>
      <c r="H878" s="306"/>
      <c r="I878" s="302"/>
      <c r="J878" s="307"/>
      <c r="K878" s="313"/>
      <c r="L878" s="319"/>
      <c r="M878" s="316"/>
      <c r="N878" s="205"/>
      <c r="O878" s="311"/>
      <c r="P878" s="200"/>
      <c r="Q878" s="200"/>
      <c r="R878" s="58"/>
      <c r="S878" s="58"/>
      <c r="T878" s="58"/>
      <c r="U878" s="58"/>
      <c r="V878" s="58"/>
      <c r="W878" s="58"/>
      <c r="X878" s="58"/>
      <c r="Y878" s="58"/>
      <c r="Z878" s="58"/>
      <c r="AA878" s="58"/>
      <c r="AB878" s="58"/>
      <c r="AC878" s="58"/>
    </row>
    <row r="879">
      <c r="A879" s="320"/>
      <c r="B879" s="301"/>
      <c r="C879" s="205"/>
      <c r="D879" s="302"/>
      <c r="E879" s="303"/>
      <c r="F879" s="304"/>
      <c r="G879" s="312"/>
      <c r="H879" s="306"/>
      <c r="I879" s="302"/>
      <c r="J879" s="307"/>
      <c r="K879" s="313"/>
      <c r="L879" s="319"/>
      <c r="M879" s="316"/>
      <c r="N879" s="205"/>
      <c r="O879" s="311"/>
      <c r="P879" s="200"/>
      <c r="Q879" s="200"/>
      <c r="R879" s="58"/>
      <c r="S879" s="58"/>
      <c r="T879" s="58"/>
      <c r="U879" s="58"/>
      <c r="V879" s="58"/>
      <c r="W879" s="58"/>
      <c r="X879" s="58"/>
      <c r="Y879" s="58"/>
      <c r="Z879" s="58"/>
      <c r="AA879" s="58"/>
      <c r="AB879" s="58"/>
      <c r="AC879" s="58"/>
    </row>
    <row r="880">
      <c r="A880" s="320"/>
      <c r="B880" s="301"/>
      <c r="C880" s="205"/>
      <c r="D880" s="302"/>
      <c r="E880" s="303"/>
      <c r="F880" s="304"/>
      <c r="G880" s="312"/>
      <c r="H880" s="306"/>
      <c r="I880" s="302"/>
      <c r="J880" s="307"/>
      <c r="K880" s="313"/>
      <c r="L880" s="319"/>
      <c r="M880" s="316"/>
      <c r="N880" s="205"/>
      <c r="O880" s="311"/>
      <c r="P880" s="200"/>
      <c r="Q880" s="200"/>
      <c r="R880" s="58"/>
      <c r="S880" s="58"/>
      <c r="T880" s="58"/>
      <c r="U880" s="58"/>
      <c r="V880" s="58"/>
      <c r="W880" s="58"/>
      <c r="X880" s="58"/>
      <c r="Y880" s="58"/>
      <c r="Z880" s="58"/>
      <c r="AA880" s="58"/>
      <c r="AB880" s="58"/>
      <c r="AC880" s="58"/>
    </row>
    <row r="881">
      <c r="A881" s="320"/>
      <c r="B881" s="301"/>
      <c r="C881" s="205"/>
      <c r="D881" s="302"/>
      <c r="E881" s="303"/>
      <c r="F881" s="304"/>
      <c r="G881" s="312"/>
      <c r="H881" s="306"/>
      <c r="I881" s="302"/>
      <c r="J881" s="307"/>
      <c r="K881" s="313"/>
      <c r="L881" s="319"/>
      <c r="M881" s="316"/>
      <c r="N881" s="205"/>
      <c r="O881" s="311"/>
      <c r="P881" s="200"/>
      <c r="Q881" s="200"/>
      <c r="R881" s="58"/>
      <c r="S881" s="58"/>
      <c r="T881" s="58"/>
      <c r="U881" s="58"/>
      <c r="V881" s="58"/>
      <c r="W881" s="58"/>
      <c r="X881" s="58"/>
      <c r="Y881" s="58"/>
      <c r="Z881" s="58"/>
      <c r="AA881" s="58"/>
      <c r="AB881" s="58"/>
      <c r="AC881" s="58"/>
    </row>
    <row r="882">
      <c r="A882" s="320"/>
      <c r="B882" s="301"/>
      <c r="C882" s="205"/>
      <c r="D882" s="302"/>
      <c r="E882" s="303"/>
      <c r="F882" s="304"/>
      <c r="G882" s="312"/>
      <c r="H882" s="306"/>
      <c r="I882" s="302"/>
      <c r="J882" s="307"/>
      <c r="K882" s="313"/>
      <c r="L882" s="319"/>
      <c r="M882" s="316"/>
      <c r="N882" s="205"/>
      <c r="O882" s="311"/>
      <c r="P882" s="200"/>
      <c r="Q882" s="200"/>
      <c r="R882" s="58"/>
      <c r="S882" s="58"/>
      <c r="T882" s="58"/>
      <c r="U882" s="58"/>
      <c r="V882" s="58"/>
      <c r="W882" s="58"/>
      <c r="X882" s="58"/>
      <c r="Y882" s="58"/>
      <c r="Z882" s="58"/>
      <c r="AA882" s="58"/>
      <c r="AB882" s="58"/>
      <c r="AC882" s="58"/>
    </row>
    <row r="883">
      <c r="A883" s="320"/>
      <c r="B883" s="301"/>
      <c r="C883" s="205"/>
      <c r="D883" s="302"/>
      <c r="E883" s="303"/>
      <c r="F883" s="304"/>
      <c r="G883" s="312"/>
      <c r="H883" s="306"/>
      <c r="I883" s="302"/>
      <c r="J883" s="307"/>
      <c r="K883" s="313"/>
      <c r="L883" s="319"/>
      <c r="M883" s="316"/>
      <c r="N883" s="205"/>
      <c r="O883" s="311"/>
      <c r="P883" s="200"/>
      <c r="Q883" s="200"/>
      <c r="R883" s="58"/>
      <c r="S883" s="58"/>
      <c r="T883" s="58"/>
      <c r="U883" s="58"/>
      <c r="V883" s="58"/>
      <c r="W883" s="58"/>
      <c r="X883" s="58"/>
      <c r="Y883" s="58"/>
      <c r="Z883" s="58"/>
      <c r="AA883" s="58"/>
      <c r="AB883" s="58"/>
      <c r="AC883" s="58"/>
    </row>
    <row r="884">
      <c r="A884" s="320"/>
      <c r="B884" s="301"/>
      <c r="C884" s="205"/>
      <c r="D884" s="302"/>
      <c r="E884" s="303"/>
      <c r="F884" s="304"/>
      <c r="G884" s="312"/>
      <c r="H884" s="306"/>
      <c r="I884" s="302"/>
      <c r="J884" s="307"/>
      <c r="K884" s="313"/>
      <c r="L884" s="319"/>
      <c r="M884" s="316"/>
      <c r="N884" s="205"/>
      <c r="O884" s="311"/>
      <c r="P884" s="200"/>
      <c r="Q884" s="200"/>
      <c r="R884" s="58"/>
      <c r="S884" s="58"/>
      <c r="T884" s="58"/>
      <c r="U884" s="58"/>
      <c r="V884" s="58"/>
      <c r="W884" s="58"/>
      <c r="X884" s="58"/>
      <c r="Y884" s="58"/>
      <c r="Z884" s="58"/>
      <c r="AA884" s="58"/>
      <c r="AB884" s="58"/>
      <c r="AC884" s="58"/>
    </row>
    <row r="885">
      <c r="A885" s="320"/>
      <c r="B885" s="301"/>
      <c r="C885" s="205"/>
      <c r="D885" s="302"/>
      <c r="E885" s="303"/>
      <c r="F885" s="304"/>
      <c r="G885" s="312"/>
      <c r="H885" s="306"/>
      <c r="I885" s="302"/>
      <c r="J885" s="307"/>
      <c r="K885" s="313"/>
      <c r="L885" s="319"/>
      <c r="M885" s="316"/>
      <c r="N885" s="205"/>
      <c r="O885" s="311"/>
      <c r="P885" s="200"/>
      <c r="Q885" s="200"/>
      <c r="R885" s="58"/>
      <c r="S885" s="58"/>
      <c r="T885" s="58"/>
      <c r="U885" s="58"/>
      <c r="V885" s="58"/>
      <c r="W885" s="58"/>
      <c r="X885" s="58"/>
      <c r="Y885" s="58"/>
      <c r="Z885" s="58"/>
      <c r="AA885" s="58"/>
      <c r="AB885" s="58"/>
      <c r="AC885" s="58"/>
    </row>
    <row r="886">
      <c r="A886" s="320"/>
      <c r="B886" s="301"/>
      <c r="C886" s="205"/>
      <c r="D886" s="302"/>
      <c r="E886" s="303"/>
      <c r="F886" s="304"/>
      <c r="G886" s="312"/>
      <c r="H886" s="306"/>
      <c r="I886" s="302"/>
      <c r="J886" s="307"/>
      <c r="K886" s="313"/>
      <c r="L886" s="319"/>
      <c r="M886" s="316"/>
      <c r="N886" s="205"/>
      <c r="O886" s="311"/>
      <c r="P886" s="200"/>
      <c r="Q886" s="200"/>
      <c r="R886" s="58"/>
      <c r="S886" s="58"/>
      <c r="T886" s="58"/>
      <c r="U886" s="58"/>
      <c r="V886" s="58"/>
      <c r="W886" s="58"/>
      <c r="X886" s="58"/>
      <c r="Y886" s="58"/>
      <c r="Z886" s="58"/>
      <c r="AA886" s="58"/>
      <c r="AB886" s="58"/>
      <c r="AC886" s="58"/>
    </row>
    <row r="887">
      <c r="A887" s="320"/>
      <c r="B887" s="301"/>
      <c r="C887" s="205"/>
      <c r="D887" s="302"/>
      <c r="E887" s="303"/>
      <c r="F887" s="304"/>
      <c r="G887" s="312"/>
      <c r="H887" s="306"/>
      <c r="I887" s="302"/>
      <c r="J887" s="307"/>
      <c r="K887" s="313"/>
      <c r="L887" s="319"/>
      <c r="M887" s="316"/>
      <c r="N887" s="205"/>
      <c r="O887" s="311"/>
      <c r="P887" s="200"/>
      <c r="Q887" s="200"/>
      <c r="R887" s="58"/>
      <c r="S887" s="58"/>
      <c r="T887" s="58"/>
      <c r="U887" s="58"/>
      <c r="V887" s="58"/>
      <c r="W887" s="58"/>
      <c r="X887" s="58"/>
      <c r="Y887" s="58"/>
      <c r="Z887" s="58"/>
      <c r="AA887" s="58"/>
      <c r="AB887" s="58"/>
      <c r="AC887" s="58"/>
    </row>
    <row r="888">
      <c r="A888" s="320"/>
      <c r="B888" s="301"/>
      <c r="C888" s="205"/>
      <c r="D888" s="302"/>
      <c r="E888" s="303"/>
      <c r="F888" s="304"/>
      <c r="G888" s="312"/>
      <c r="H888" s="306"/>
      <c r="I888" s="302"/>
      <c r="J888" s="307"/>
      <c r="K888" s="313"/>
      <c r="L888" s="319"/>
      <c r="M888" s="316"/>
      <c r="N888" s="205"/>
      <c r="O888" s="311"/>
      <c r="P888" s="200"/>
      <c r="Q888" s="200"/>
      <c r="R888" s="58"/>
      <c r="S888" s="58"/>
      <c r="T888" s="58"/>
      <c r="U888" s="58"/>
      <c r="V888" s="58"/>
      <c r="W888" s="58"/>
      <c r="X888" s="58"/>
      <c r="Y888" s="58"/>
      <c r="Z888" s="58"/>
      <c r="AA888" s="58"/>
      <c r="AB888" s="58"/>
      <c r="AC888" s="58"/>
    </row>
    <row r="889">
      <c r="A889" s="320"/>
      <c r="B889" s="301"/>
      <c r="C889" s="205"/>
      <c r="D889" s="302"/>
      <c r="E889" s="303"/>
      <c r="F889" s="304"/>
      <c r="G889" s="312"/>
      <c r="H889" s="306"/>
      <c r="I889" s="302"/>
      <c r="J889" s="307"/>
      <c r="K889" s="313"/>
      <c r="L889" s="319"/>
      <c r="M889" s="316"/>
      <c r="N889" s="205"/>
      <c r="O889" s="311"/>
      <c r="P889" s="200"/>
      <c r="Q889" s="200"/>
      <c r="R889" s="58"/>
      <c r="S889" s="58"/>
      <c r="T889" s="58"/>
      <c r="U889" s="58"/>
      <c r="V889" s="58"/>
      <c r="W889" s="58"/>
      <c r="X889" s="58"/>
      <c r="Y889" s="58"/>
      <c r="Z889" s="58"/>
      <c r="AA889" s="58"/>
      <c r="AB889" s="58"/>
      <c r="AC889" s="58"/>
    </row>
    <row r="890">
      <c r="A890" s="320"/>
      <c r="B890" s="301"/>
      <c r="C890" s="205"/>
      <c r="D890" s="302"/>
      <c r="E890" s="303"/>
      <c r="F890" s="304"/>
      <c r="G890" s="312"/>
      <c r="H890" s="306"/>
      <c r="I890" s="302"/>
      <c r="J890" s="307"/>
      <c r="K890" s="313"/>
      <c r="L890" s="319"/>
      <c r="M890" s="316"/>
      <c r="N890" s="205"/>
      <c r="O890" s="311"/>
      <c r="P890" s="200"/>
      <c r="Q890" s="200"/>
      <c r="R890" s="58"/>
      <c r="S890" s="58"/>
      <c r="T890" s="58"/>
      <c r="U890" s="58"/>
      <c r="V890" s="58"/>
      <c r="W890" s="58"/>
      <c r="X890" s="58"/>
      <c r="Y890" s="58"/>
      <c r="Z890" s="58"/>
      <c r="AA890" s="58"/>
      <c r="AB890" s="58"/>
      <c r="AC890" s="58"/>
    </row>
    <row r="891">
      <c r="A891" s="320"/>
      <c r="B891" s="301"/>
      <c r="C891" s="205"/>
      <c r="D891" s="302"/>
      <c r="E891" s="303"/>
      <c r="F891" s="304"/>
      <c r="G891" s="312"/>
      <c r="H891" s="306"/>
      <c r="I891" s="302"/>
      <c r="J891" s="307"/>
      <c r="K891" s="313"/>
      <c r="L891" s="319"/>
      <c r="M891" s="316"/>
      <c r="N891" s="205"/>
      <c r="O891" s="311"/>
      <c r="P891" s="200"/>
      <c r="Q891" s="200"/>
      <c r="R891" s="58"/>
      <c r="S891" s="58"/>
      <c r="T891" s="58"/>
      <c r="U891" s="58"/>
      <c r="V891" s="58"/>
      <c r="W891" s="58"/>
      <c r="X891" s="58"/>
      <c r="Y891" s="58"/>
      <c r="Z891" s="58"/>
      <c r="AA891" s="58"/>
      <c r="AB891" s="58"/>
      <c r="AC891" s="58"/>
    </row>
    <row r="892">
      <c r="A892" s="320"/>
      <c r="B892" s="301"/>
      <c r="C892" s="205"/>
      <c r="D892" s="302"/>
      <c r="E892" s="303"/>
      <c r="F892" s="304"/>
      <c r="G892" s="312"/>
      <c r="H892" s="306"/>
      <c r="I892" s="302"/>
      <c r="J892" s="307"/>
      <c r="K892" s="313"/>
      <c r="L892" s="319"/>
      <c r="M892" s="316"/>
      <c r="N892" s="205"/>
      <c r="O892" s="311"/>
      <c r="P892" s="200"/>
      <c r="Q892" s="200"/>
      <c r="R892" s="58"/>
      <c r="S892" s="58"/>
      <c r="T892" s="58"/>
      <c r="U892" s="58"/>
      <c r="V892" s="58"/>
      <c r="W892" s="58"/>
      <c r="X892" s="58"/>
      <c r="Y892" s="58"/>
      <c r="Z892" s="58"/>
      <c r="AA892" s="58"/>
      <c r="AB892" s="58"/>
      <c r="AC892" s="58"/>
    </row>
    <row r="893">
      <c r="A893" s="320"/>
      <c r="B893" s="301"/>
      <c r="C893" s="205"/>
      <c r="D893" s="302"/>
      <c r="E893" s="303"/>
      <c r="F893" s="304"/>
      <c r="G893" s="312"/>
      <c r="H893" s="306"/>
      <c r="I893" s="302"/>
      <c r="J893" s="307"/>
      <c r="K893" s="313"/>
      <c r="L893" s="319"/>
      <c r="M893" s="316"/>
      <c r="N893" s="205"/>
      <c r="O893" s="311"/>
      <c r="P893" s="200"/>
      <c r="Q893" s="200"/>
      <c r="R893" s="58"/>
      <c r="S893" s="58"/>
      <c r="T893" s="58"/>
      <c r="U893" s="58"/>
      <c r="V893" s="58"/>
      <c r="W893" s="58"/>
      <c r="X893" s="58"/>
      <c r="Y893" s="58"/>
      <c r="Z893" s="58"/>
      <c r="AA893" s="58"/>
      <c r="AB893" s="58"/>
      <c r="AC893" s="58"/>
    </row>
    <row r="894">
      <c r="A894" s="320"/>
      <c r="B894" s="301"/>
      <c r="C894" s="205"/>
      <c r="D894" s="302"/>
      <c r="E894" s="303"/>
      <c r="F894" s="304"/>
      <c r="G894" s="312"/>
      <c r="H894" s="306"/>
      <c r="I894" s="302"/>
      <c r="J894" s="307"/>
      <c r="K894" s="313"/>
      <c r="L894" s="319"/>
      <c r="M894" s="316"/>
      <c r="N894" s="205"/>
      <c r="O894" s="311"/>
      <c r="P894" s="200"/>
      <c r="Q894" s="200"/>
      <c r="R894" s="58"/>
      <c r="S894" s="58"/>
      <c r="T894" s="58"/>
      <c r="U894" s="58"/>
      <c r="V894" s="58"/>
      <c r="W894" s="58"/>
      <c r="X894" s="58"/>
      <c r="Y894" s="58"/>
      <c r="Z894" s="58"/>
      <c r="AA894" s="58"/>
      <c r="AB894" s="58"/>
      <c r="AC894" s="58"/>
    </row>
    <row r="895">
      <c r="A895" s="320"/>
      <c r="B895" s="301"/>
      <c r="C895" s="205"/>
      <c r="D895" s="302"/>
      <c r="E895" s="303"/>
      <c r="F895" s="304"/>
      <c r="G895" s="312"/>
      <c r="H895" s="306"/>
      <c r="I895" s="302"/>
      <c r="J895" s="307"/>
      <c r="K895" s="313"/>
      <c r="L895" s="319"/>
      <c r="M895" s="316"/>
      <c r="N895" s="205"/>
      <c r="O895" s="311"/>
      <c r="P895" s="200"/>
      <c r="Q895" s="200"/>
      <c r="R895" s="58"/>
      <c r="S895" s="58"/>
      <c r="T895" s="58"/>
      <c r="U895" s="58"/>
      <c r="V895" s="58"/>
      <c r="W895" s="58"/>
      <c r="X895" s="58"/>
      <c r="Y895" s="58"/>
      <c r="Z895" s="58"/>
      <c r="AA895" s="58"/>
      <c r="AB895" s="58"/>
      <c r="AC895" s="58"/>
    </row>
    <row r="896">
      <c r="A896" s="320"/>
      <c r="B896" s="301"/>
      <c r="C896" s="205"/>
      <c r="D896" s="302"/>
      <c r="E896" s="303"/>
      <c r="F896" s="304"/>
      <c r="G896" s="312"/>
      <c r="H896" s="306"/>
      <c r="I896" s="302"/>
      <c r="J896" s="307"/>
      <c r="K896" s="313"/>
      <c r="L896" s="319"/>
      <c r="M896" s="316"/>
      <c r="N896" s="205"/>
      <c r="O896" s="311"/>
      <c r="P896" s="200"/>
      <c r="Q896" s="200"/>
      <c r="R896" s="58"/>
      <c r="S896" s="58"/>
      <c r="T896" s="58"/>
      <c r="U896" s="58"/>
      <c r="V896" s="58"/>
      <c r="W896" s="58"/>
      <c r="X896" s="58"/>
      <c r="Y896" s="58"/>
      <c r="Z896" s="58"/>
      <c r="AA896" s="58"/>
      <c r="AB896" s="58"/>
      <c r="AC896" s="58"/>
    </row>
    <row r="897">
      <c r="A897" s="320"/>
      <c r="B897" s="301"/>
      <c r="C897" s="205"/>
      <c r="D897" s="302"/>
      <c r="E897" s="303"/>
      <c r="F897" s="304"/>
      <c r="G897" s="312"/>
      <c r="H897" s="306"/>
      <c r="I897" s="302"/>
      <c r="J897" s="307"/>
      <c r="K897" s="313"/>
      <c r="L897" s="319"/>
      <c r="M897" s="316"/>
      <c r="N897" s="205"/>
      <c r="O897" s="311"/>
      <c r="P897" s="200"/>
      <c r="Q897" s="200"/>
      <c r="R897" s="58"/>
      <c r="S897" s="58"/>
      <c r="T897" s="58"/>
      <c r="U897" s="58"/>
      <c r="V897" s="58"/>
      <c r="W897" s="58"/>
      <c r="X897" s="58"/>
      <c r="Y897" s="58"/>
      <c r="Z897" s="58"/>
      <c r="AA897" s="58"/>
      <c r="AB897" s="58"/>
      <c r="AC897" s="58"/>
    </row>
    <row r="898">
      <c r="A898" s="320"/>
      <c r="B898" s="301"/>
      <c r="C898" s="205"/>
      <c r="D898" s="302"/>
      <c r="E898" s="303"/>
      <c r="F898" s="304"/>
      <c r="G898" s="312"/>
      <c r="H898" s="306"/>
      <c r="I898" s="302"/>
      <c r="J898" s="307"/>
      <c r="K898" s="313"/>
      <c r="L898" s="319"/>
      <c r="M898" s="316"/>
      <c r="N898" s="205"/>
      <c r="O898" s="311"/>
      <c r="P898" s="200"/>
      <c r="Q898" s="200"/>
      <c r="R898" s="58"/>
      <c r="S898" s="58"/>
      <c r="T898" s="58"/>
      <c r="U898" s="58"/>
      <c r="V898" s="58"/>
      <c r="W898" s="58"/>
      <c r="X898" s="58"/>
      <c r="Y898" s="58"/>
      <c r="Z898" s="58"/>
      <c r="AA898" s="58"/>
      <c r="AB898" s="58"/>
      <c r="AC898" s="58"/>
    </row>
    <row r="899">
      <c r="A899" s="320"/>
      <c r="B899" s="301"/>
      <c r="C899" s="205"/>
      <c r="D899" s="302"/>
      <c r="E899" s="303"/>
      <c r="F899" s="304"/>
      <c r="G899" s="312"/>
      <c r="H899" s="306"/>
      <c r="I899" s="302"/>
      <c r="J899" s="307"/>
      <c r="K899" s="313"/>
      <c r="L899" s="319"/>
      <c r="M899" s="316"/>
      <c r="N899" s="205"/>
      <c r="O899" s="311"/>
      <c r="P899" s="200"/>
      <c r="Q899" s="200"/>
      <c r="R899" s="58"/>
      <c r="S899" s="58"/>
      <c r="T899" s="58"/>
      <c r="U899" s="58"/>
      <c r="V899" s="58"/>
      <c r="W899" s="58"/>
      <c r="X899" s="58"/>
      <c r="Y899" s="58"/>
      <c r="Z899" s="58"/>
      <c r="AA899" s="58"/>
      <c r="AB899" s="58"/>
      <c r="AC899" s="58"/>
    </row>
    <row r="900">
      <c r="A900" s="320"/>
      <c r="B900" s="301"/>
      <c r="C900" s="205"/>
      <c r="D900" s="302"/>
      <c r="E900" s="303"/>
      <c r="F900" s="304"/>
      <c r="G900" s="312"/>
      <c r="H900" s="306"/>
      <c r="I900" s="302"/>
      <c r="J900" s="307"/>
      <c r="K900" s="313"/>
      <c r="L900" s="319"/>
      <c r="M900" s="316"/>
      <c r="N900" s="205"/>
      <c r="O900" s="311"/>
      <c r="P900" s="200"/>
      <c r="Q900" s="200"/>
      <c r="R900" s="58"/>
      <c r="S900" s="58"/>
      <c r="T900" s="58"/>
      <c r="U900" s="58"/>
      <c r="V900" s="58"/>
      <c r="W900" s="58"/>
      <c r="X900" s="58"/>
      <c r="Y900" s="58"/>
      <c r="Z900" s="58"/>
      <c r="AA900" s="58"/>
      <c r="AB900" s="58"/>
      <c r="AC900" s="58"/>
    </row>
    <row r="901">
      <c r="A901" s="320"/>
      <c r="B901" s="301"/>
      <c r="C901" s="205"/>
      <c r="D901" s="302"/>
      <c r="E901" s="303"/>
      <c r="F901" s="304"/>
      <c r="G901" s="312"/>
      <c r="H901" s="306"/>
      <c r="I901" s="302"/>
      <c r="J901" s="307"/>
      <c r="K901" s="313"/>
      <c r="L901" s="319"/>
      <c r="M901" s="316"/>
      <c r="N901" s="205"/>
      <c r="O901" s="311"/>
      <c r="P901" s="200"/>
      <c r="Q901" s="200"/>
      <c r="R901" s="58"/>
      <c r="S901" s="58"/>
      <c r="T901" s="58"/>
      <c r="U901" s="58"/>
      <c r="V901" s="58"/>
      <c r="W901" s="58"/>
      <c r="X901" s="58"/>
      <c r="Y901" s="58"/>
      <c r="Z901" s="58"/>
      <c r="AA901" s="58"/>
      <c r="AB901" s="58"/>
      <c r="AC901" s="58"/>
    </row>
    <row r="902">
      <c r="A902" s="320"/>
      <c r="B902" s="301"/>
      <c r="C902" s="205"/>
      <c r="D902" s="302"/>
      <c r="E902" s="303"/>
      <c r="F902" s="304"/>
      <c r="G902" s="312"/>
      <c r="H902" s="306"/>
      <c r="I902" s="302"/>
      <c r="J902" s="307"/>
      <c r="K902" s="313"/>
      <c r="L902" s="319"/>
      <c r="M902" s="316"/>
      <c r="N902" s="205"/>
      <c r="O902" s="311"/>
      <c r="P902" s="200"/>
      <c r="Q902" s="200"/>
      <c r="R902" s="58"/>
      <c r="S902" s="58"/>
      <c r="T902" s="58"/>
      <c r="U902" s="58"/>
      <c r="V902" s="58"/>
      <c r="W902" s="58"/>
      <c r="X902" s="58"/>
      <c r="Y902" s="58"/>
      <c r="Z902" s="58"/>
      <c r="AA902" s="58"/>
      <c r="AB902" s="58"/>
      <c r="AC902" s="58"/>
    </row>
    <row r="903">
      <c r="A903" s="320"/>
      <c r="B903" s="301"/>
      <c r="C903" s="205"/>
      <c r="D903" s="302"/>
      <c r="E903" s="303"/>
      <c r="F903" s="304"/>
      <c r="G903" s="312"/>
      <c r="H903" s="306"/>
      <c r="I903" s="302"/>
      <c r="J903" s="307"/>
      <c r="K903" s="313"/>
      <c r="L903" s="319"/>
      <c r="M903" s="316"/>
      <c r="N903" s="205"/>
      <c r="O903" s="311"/>
      <c r="P903" s="200"/>
      <c r="Q903" s="200"/>
      <c r="R903" s="58"/>
      <c r="S903" s="58"/>
      <c r="T903" s="58"/>
      <c r="U903" s="58"/>
      <c r="V903" s="58"/>
      <c r="W903" s="58"/>
      <c r="X903" s="58"/>
      <c r="Y903" s="58"/>
      <c r="Z903" s="58"/>
      <c r="AA903" s="58"/>
      <c r="AB903" s="58"/>
      <c r="AC903" s="58"/>
    </row>
    <row r="904">
      <c r="A904" s="320"/>
      <c r="B904" s="301"/>
      <c r="C904" s="205"/>
      <c r="D904" s="302"/>
      <c r="E904" s="303"/>
      <c r="F904" s="304"/>
      <c r="G904" s="312"/>
      <c r="H904" s="306"/>
      <c r="I904" s="302"/>
      <c r="J904" s="307"/>
      <c r="K904" s="313"/>
      <c r="L904" s="319"/>
      <c r="M904" s="316"/>
      <c r="N904" s="205"/>
      <c r="O904" s="311"/>
      <c r="P904" s="200"/>
      <c r="Q904" s="200"/>
      <c r="R904" s="58"/>
      <c r="S904" s="58"/>
      <c r="T904" s="58"/>
      <c r="U904" s="58"/>
      <c r="V904" s="58"/>
      <c r="W904" s="58"/>
      <c r="X904" s="58"/>
      <c r="Y904" s="58"/>
      <c r="Z904" s="58"/>
      <c r="AA904" s="58"/>
      <c r="AB904" s="58"/>
      <c r="AC904" s="58"/>
    </row>
    <row r="905">
      <c r="A905" s="320"/>
      <c r="B905" s="301"/>
      <c r="C905" s="205"/>
      <c r="D905" s="302"/>
      <c r="E905" s="303"/>
      <c r="F905" s="304"/>
      <c r="G905" s="312"/>
      <c r="H905" s="306"/>
      <c r="I905" s="302"/>
      <c r="J905" s="307"/>
      <c r="K905" s="313"/>
      <c r="L905" s="319"/>
      <c r="M905" s="316"/>
      <c r="N905" s="205"/>
      <c r="O905" s="311"/>
      <c r="P905" s="200"/>
      <c r="Q905" s="200"/>
      <c r="R905" s="58"/>
      <c r="S905" s="58"/>
      <c r="T905" s="58"/>
      <c r="U905" s="58"/>
      <c r="V905" s="58"/>
      <c r="W905" s="58"/>
      <c r="X905" s="58"/>
      <c r="Y905" s="58"/>
      <c r="Z905" s="58"/>
      <c r="AA905" s="58"/>
      <c r="AB905" s="58"/>
      <c r="AC905" s="58"/>
    </row>
    <row r="906">
      <c r="A906" s="320"/>
      <c r="B906" s="301"/>
      <c r="C906" s="205"/>
      <c r="D906" s="302"/>
      <c r="E906" s="303"/>
      <c r="F906" s="304"/>
      <c r="G906" s="312"/>
      <c r="H906" s="306"/>
      <c r="I906" s="302"/>
      <c r="J906" s="307"/>
      <c r="K906" s="313"/>
      <c r="L906" s="319"/>
      <c r="M906" s="316"/>
      <c r="N906" s="205"/>
      <c r="O906" s="311"/>
      <c r="P906" s="200"/>
      <c r="Q906" s="200"/>
      <c r="R906" s="58"/>
      <c r="S906" s="58"/>
      <c r="T906" s="58"/>
      <c r="U906" s="58"/>
      <c r="V906" s="58"/>
      <c r="W906" s="58"/>
      <c r="X906" s="58"/>
      <c r="Y906" s="58"/>
      <c r="Z906" s="58"/>
      <c r="AA906" s="58"/>
      <c r="AB906" s="58"/>
      <c r="AC906" s="58"/>
    </row>
    <row r="907">
      <c r="A907" s="320"/>
      <c r="B907" s="301"/>
      <c r="C907" s="205"/>
      <c r="D907" s="302"/>
      <c r="E907" s="303"/>
      <c r="F907" s="304"/>
      <c r="G907" s="312"/>
      <c r="H907" s="306"/>
      <c r="I907" s="302"/>
      <c r="J907" s="307"/>
      <c r="K907" s="313"/>
      <c r="L907" s="319"/>
      <c r="M907" s="316"/>
      <c r="N907" s="205"/>
      <c r="O907" s="311"/>
      <c r="P907" s="200"/>
      <c r="Q907" s="200"/>
      <c r="R907" s="58"/>
      <c r="S907" s="58"/>
      <c r="T907" s="58"/>
      <c r="U907" s="58"/>
      <c r="V907" s="58"/>
      <c r="W907" s="58"/>
      <c r="X907" s="58"/>
      <c r="Y907" s="58"/>
      <c r="Z907" s="58"/>
      <c r="AA907" s="58"/>
      <c r="AB907" s="58"/>
      <c r="AC907" s="58"/>
    </row>
    <row r="908">
      <c r="A908" s="320"/>
      <c r="B908" s="301"/>
      <c r="C908" s="205"/>
      <c r="D908" s="302"/>
      <c r="E908" s="303"/>
      <c r="F908" s="304"/>
      <c r="G908" s="312"/>
      <c r="H908" s="306"/>
      <c r="I908" s="302"/>
      <c r="J908" s="307"/>
      <c r="K908" s="313"/>
      <c r="L908" s="319"/>
      <c r="M908" s="316"/>
      <c r="N908" s="205"/>
      <c r="O908" s="311"/>
      <c r="P908" s="200"/>
      <c r="Q908" s="200"/>
      <c r="R908" s="58"/>
      <c r="S908" s="58"/>
      <c r="T908" s="58"/>
      <c r="U908" s="58"/>
      <c r="V908" s="58"/>
      <c r="W908" s="58"/>
      <c r="X908" s="58"/>
      <c r="Y908" s="58"/>
      <c r="Z908" s="58"/>
      <c r="AA908" s="58"/>
      <c r="AB908" s="58"/>
      <c r="AC908" s="58"/>
    </row>
    <row r="909">
      <c r="A909" s="320"/>
      <c r="B909" s="301"/>
      <c r="C909" s="205"/>
      <c r="D909" s="302"/>
      <c r="E909" s="303"/>
      <c r="F909" s="304"/>
      <c r="G909" s="312"/>
      <c r="H909" s="306"/>
      <c r="I909" s="302"/>
      <c r="J909" s="307"/>
      <c r="K909" s="313"/>
      <c r="L909" s="319"/>
      <c r="M909" s="316"/>
      <c r="N909" s="205"/>
      <c r="O909" s="311"/>
      <c r="P909" s="200"/>
      <c r="Q909" s="200"/>
      <c r="R909" s="58"/>
      <c r="S909" s="58"/>
      <c r="T909" s="58"/>
      <c r="U909" s="58"/>
      <c r="V909" s="58"/>
      <c r="W909" s="58"/>
      <c r="X909" s="58"/>
      <c r="Y909" s="58"/>
      <c r="Z909" s="58"/>
      <c r="AA909" s="58"/>
      <c r="AB909" s="58"/>
      <c r="AC909" s="58"/>
    </row>
    <row r="910">
      <c r="A910" s="320"/>
      <c r="B910" s="301"/>
      <c r="C910" s="205"/>
      <c r="D910" s="302"/>
      <c r="E910" s="303"/>
      <c r="F910" s="304"/>
      <c r="G910" s="312"/>
      <c r="H910" s="306"/>
      <c r="I910" s="302"/>
      <c r="J910" s="307"/>
      <c r="K910" s="313"/>
      <c r="L910" s="319"/>
      <c r="M910" s="316"/>
      <c r="N910" s="205"/>
      <c r="O910" s="311"/>
      <c r="P910" s="200"/>
      <c r="Q910" s="200"/>
      <c r="R910" s="58"/>
      <c r="S910" s="58"/>
      <c r="T910" s="58"/>
      <c r="U910" s="58"/>
      <c r="V910" s="58"/>
      <c r="W910" s="58"/>
      <c r="X910" s="58"/>
      <c r="Y910" s="58"/>
      <c r="Z910" s="58"/>
      <c r="AA910" s="58"/>
      <c r="AB910" s="58"/>
      <c r="AC910" s="58"/>
    </row>
    <row r="911">
      <c r="A911" s="320"/>
      <c r="B911" s="301"/>
      <c r="C911" s="205"/>
      <c r="D911" s="302"/>
      <c r="E911" s="303"/>
      <c r="F911" s="304"/>
      <c r="G911" s="312"/>
      <c r="H911" s="306"/>
      <c r="I911" s="302"/>
      <c r="J911" s="307"/>
      <c r="K911" s="313"/>
      <c r="L911" s="319"/>
      <c r="M911" s="316"/>
      <c r="N911" s="205"/>
      <c r="O911" s="311"/>
      <c r="P911" s="200"/>
      <c r="Q911" s="200"/>
      <c r="R911" s="58"/>
      <c r="S911" s="58"/>
      <c r="T911" s="58"/>
      <c r="U911" s="58"/>
      <c r="V911" s="58"/>
      <c r="W911" s="58"/>
      <c r="X911" s="58"/>
      <c r="Y911" s="58"/>
      <c r="Z911" s="58"/>
      <c r="AA911" s="58"/>
      <c r="AB911" s="58"/>
      <c r="AC911" s="58"/>
    </row>
    <row r="912">
      <c r="A912" s="320"/>
      <c r="B912" s="301"/>
      <c r="C912" s="205"/>
      <c r="D912" s="302"/>
      <c r="E912" s="303"/>
      <c r="F912" s="304"/>
      <c r="G912" s="312"/>
      <c r="H912" s="306"/>
      <c r="I912" s="302"/>
      <c r="J912" s="307"/>
      <c r="K912" s="313"/>
      <c r="L912" s="319"/>
      <c r="M912" s="316"/>
      <c r="N912" s="205"/>
      <c r="O912" s="311"/>
      <c r="P912" s="200"/>
      <c r="Q912" s="200"/>
      <c r="R912" s="58"/>
      <c r="S912" s="58"/>
      <c r="T912" s="58"/>
      <c r="U912" s="58"/>
      <c r="V912" s="58"/>
      <c r="W912" s="58"/>
      <c r="X912" s="58"/>
      <c r="Y912" s="58"/>
      <c r="Z912" s="58"/>
      <c r="AA912" s="58"/>
      <c r="AB912" s="58"/>
      <c r="AC912" s="58"/>
    </row>
    <row r="913">
      <c r="A913" s="320"/>
      <c r="B913" s="301"/>
      <c r="C913" s="205"/>
      <c r="D913" s="302"/>
      <c r="E913" s="303"/>
      <c r="F913" s="304"/>
      <c r="G913" s="312"/>
      <c r="H913" s="306"/>
      <c r="I913" s="302"/>
      <c r="J913" s="307"/>
      <c r="K913" s="313"/>
      <c r="L913" s="319"/>
      <c r="M913" s="316"/>
      <c r="N913" s="205"/>
      <c r="O913" s="311"/>
      <c r="P913" s="200"/>
      <c r="Q913" s="200"/>
      <c r="R913" s="58"/>
      <c r="S913" s="58"/>
      <c r="T913" s="58"/>
      <c r="U913" s="58"/>
      <c r="V913" s="58"/>
      <c r="W913" s="58"/>
      <c r="X913" s="58"/>
      <c r="Y913" s="58"/>
      <c r="Z913" s="58"/>
      <c r="AA913" s="58"/>
      <c r="AB913" s="58"/>
      <c r="AC913" s="58"/>
    </row>
    <row r="914">
      <c r="A914" s="320"/>
      <c r="B914" s="301"/>
      <c r="C914" s="205"/>
      <c r="D914" s="302"/>
      <c r="E914" s="303"/>
      <c r="F914" s="304"/>
      <c r="G914" s="312"/>
      <c r="H914" s="306"/>
      <c r="I914" s="302"/>
      <c r="J914" s="307"/>
      <c r="K914" s="313"/>
      <c r="L914" s="319"/>
      <c r="M914" s="316"/>
      <c r="N914" s="205"/>
      <c r="O914" s="311"/>
      <c r="P914" s="200"/>
      <c r="Q914" s="200"/>
      <c r="R914" s="58"/>
      <c r="S914" s="58"/>
      <c r="T914" s="58"/>
      <c r="U914" s="58"/>
      <c r="V914" s="58"/>
      <c r="W914" s="58"/>
      <c r="X914" s="58"/>
      <c r="Y914" s="58"/>
      <c r="Z914" s="58"/>
      <c r="AA914" s="58"/>
      <c r="AB914" s="58"/>
      <c r="AC914" s="58"/>
    </row>
    <row r="915">
      <c r="A915" s="320"/>
      <c r="B915" s="301"/>
      <c r="C915" s="205"/>
      <c r="D915" s="302"/>
      <c r="E915" s="303"/>
      <c r="F915" s="304"/>
      <c r="G915" s="312"/>
      <c r="H915" s="306"/>
      <c r="I915" s="302"/>
      <c r="J915" s="307"/>
      <c r="K915" s="313"/>
      <c r="L915" s="319"/>
      <c r="M915" s="316"/>
      <c r="N915" s="205"/>
      <c r="O915" s="311"/>
      <c r="P915" s="200"/>
      <c r="Q915" s="200"/>
      <c r="R915" s="58"/>
      <c r="S915" s="58"/>
      <c r="T915" s="58"/>
      <c r="U915" s="58"/>
      <c r="V915" s="58"/>
      <c r="W915" s="58"/>
      <c r="X915" s="58"/>
      <c r="Y915" s="58"/>
      <c r="Z915" s="58"/>
      <c r="AA915" s="58"/>
      <c r="AB915" s="58"/>
      <c r="AC915" s="58"/>
    </row>
    <row r="916">
      <c r="A916" s="320"/>
      <c r="B916" s="301"/>
      <c r="C916" s="205"/>
      <c r="D916" s="302"/>
      <c r="E916" s="303"/>
      <c r="F916" s="304"/>
      <c r="G916" s="312"/>
      <c r="H916" s="306"/>
      <c r="I916" s="302"/>
      <c r="J916" s="307"/>
      <c r="K916" s="313"/>
      <c r="L916" s="319"/>
      <c r="M916" s="316"/>
      <c r="N916" s="205"/>
      <c r="O916" s="311"/>
      <c r="P916" s="200"/>
      <c r="Q916" s="200"/>
      <c r="R916" s="58"/>
      <c r="S916" s="58"/>
      <c r="T916" s="58"/>
      <c r="U916" s="58"/>
      <c r="V916" s="58"/>
      <c r="W916" s="58"/>
      <c r="X916" s="58"/>
      <c r="Y916" s="58"/>
      <c r="Z916" s="58"/>
      <c r="AA916" s="58"/>
      <c r="AB916" s="58"/>
      <c r="AC916" s="58"/>
    </row>
    <row r="917">
      <c r="A917" s="320"/>
      <c r="B917" s="301"/>
      <c r="C917" s="205"/>
      <c r="D917" s="302"/>
      <c r="E917" s="303"/>
      <c r="F917" s="304"/>
      <c r="G917" s="312"/>
      <c r="H917" s="306"/>
      <c r="I917" s="302"/>
      <c r="J917" s="307"/>
      <c r="K917" s="313"/>
      <c r="L917" s="319"/>
      <c r="M917" s="316"/>
      <c r="N917" s="205"/>
      <c r="O917" s="311"/>
      <c r="P917" s="200"/>
      <c r="Q917" s="200"/>
      <c r="R917" s="58"/>
      <c r="S917" s="58"/>
      <c r="T917" s="58"/>
      <c r="U917" s="58"/>
      <c r="V917" s="58"/>
      <c r="W917" s="58"/>
      <c r="X917" s="58"/>
      <c r="Y917" s="58"/>
      <c r="Z917" s="58"/>
      <c r="AA917" s="58"/>
      <c r="AB917" s="58"/>
      <c r="AC917" s="58"/>
    </row>
    <row r="918">
      <c r="A918" s="320"/>
      <c r="B918" s="301"/>
      <c r="C918" s="205"/>
      <c r="D918" s="302"/>
      <c r="E918" s="303"/>
      <c r="F918" s="304"/>
      <c r="G918" s="312"/>
      <c r="H918" s="306"/>
      <c r="I918" s="302"/>
      <c r="J918" s="307"/>
      <c r="K918" s="313"/>
      <c r="L918" s="319"/>
      <c r="M918" s="316"/>
      <c r="N918" s="205"/>
      <c r="O918" s="311"/>
      <c r="P918" s="200"/>
      <c r="Q918" s="200"/>
      <c r="R918" s="58"/>
      <c r="S918" s="58"/>
      <c r="T918" s="58"/>
      <c r="U918" s="58"/>
      <c r="V918" s="58"/>
      <c r="W918" s="58"/>
      <c r="X918" s="58"/>
      <c r="Y918" s="58"/>
      <c r="Z918" s="58"/>
      <c r="AA918" s="58"/>
      <c r="AB918" s="58"/>
      <c r="AC918" s="58"/>
    </row>
    <row r="919">
      <c r="A919" s="320"/>
      <c r="B919" s="301"/>
      <c r="C919" s="205"/>
      <c r="D919" s="302"/>
      <c r="E919" s="303"/>
      <c r="F919" s="304"/>
      <c r="G919" s="312"/>
      <c r="H919" s="306"/>
      <c r="I919" s="302"/>
      <c r="J919" s="307"/>
      <c r="K919" s="313"/>
      <c r="L919" s="319"/>
      <c r="M919" s="316"/>
      <c r="N919" s="205"/>
      <c r="O919" s="311"/>
      <c r="P919" s="200"/>
      <c r="Q919" s="200"/>
      <c r="R919" s="58"/>
      <c r="S919" s="58"/>
      <c r="T919" s="58"/>
      <c r="U919" s="58"/>
      <c r="V919" s="58"/>
      <c r="W919" s="58"/>
      <c r="X919" s="58"/>
      <c r="Y919" s="58"/>
      <c r="Z919" s="58"/>
      <c r="AA919" s="58"/>
      <c r="AB919" s="58"/>
      <c r="AC919" s="58"/>
    </row>
    <row r="920">
      <c r="A920" s="320"/>
      <c r="B920" s="301"/>
      <c r="C920" s="205"/>
      <c r="D920" s="302"/>
      <c r="E920" s="303"/>
      <c r="F920" s="304"/>
      <c r="G920" s="312"/>
      <c r="H920" s="306"/>
      <c r="I920" s="302"/>
      <c r="J920" s="307"/>
      <c r="K920" s="313"/>
      <c r="L920" s="319"/>
      <c r="M920" s="316"/>
      <c r="N920" s="205"/>
      <c r="O920" s="311"/>
      <c r="P920" s="200"/>
      <c r="Q920" s="200"/>
      <c r="R920" s="58"/>
      <c r="S920" s="58"/>
      <c r="T920" s="58"/>
      <c r="U920" s="58"/>
      <c r="V920" s="58"/>
      <c r="W920" s="58"/>
      <c r="X920" s="58"/>
      <c r="Y920" s="58"/>
      <c r="Z920" s="58"/>
      <c r="AA920" s="58"/>
      <c r="AB920" s="58"/>
      <c r="AC920" s="58"/>
    </row>
    <row r="921">
      <c r="A921" s="320"/>
      <c r="B921" s="301"/>
      <c r="C921" s="205"/>
      <c r="D921" s="302"/>
      <c r="E921" s="303"/>
      <c r="F921" s="304"/>
      <c r="G921" s="312"/>
      <c r="H921" s="306"/>
      <c r="I921" s="302"/>
      <c r="J921" s="307"/>
      <c r="K921" s="313"/>
      <c r="L921" s="319"/>
      <c r="M921" s="316"/>
      <c r="N921" s="205"/>
      <c r="O921" s="311"/>
      <c r="P921" s="200"/>
      <c r="Q921" s="200"/>
      <c r="R921" s="58"/>
      <c r="S921" s="58"/>
      <c r="T921" s="58"/>
      <c r="U921" s="58"/>
      <c r="V921" s="58"/>
      <c r="W921" s="58"/>
      <c r="X921" s="58"/>
      <c r="Y921" s="58"/>
      <c r="Z921" s="58"/>
      <c r="AA921" s="58"/>
      <c r="AB921" s="58"/>
      <c r="AC921" s="58"/>
    </row>
    <row r="922">
      <c r="A922" s="320"/>
      <c r="B922" s="301"/>
      <c r="C922" s="205"/>
      <c r="D922" s="302"/>
      <c r="E922" s="303"/>
      <c r="F922" s="304"/>
      <c r="G922" s="312"/>
      <c r="H922" s="306"/>
      <c r="I922" s="302"/>
      <c r="J922" s="307"/>
      <c r="K922" s="313"/>
      <c r="L922" s="319"/>
      <c r="M922" s="316"/>
      <c r="N922" s="205"/>
      <c r="O922" s="311"/>
      <c r="P922" s="200"/>
      <c r="Q922" s="200"/>
      <c r="R922" s="58"/>
      <c r="S922" s="58"/>
      <c r="T922" s="58"/>
      <c r="U922" s="58"/>
      <c r="V922" s="58"/>
      <c r="W922" s="58"/>
      <c r="X922" s="58"/>
      <c r="Y922" s="58"/>
      <c r="Z922" s="58"/>
      <c r="AA922" s="58"/>
      <c r="AB922" s="58"/>
      <c r="AC922" s="58"/>
    </row>
    <row r="923">
      <c r="A923" s="320"/>
      <c r="B923" s="301"/>
      <c r="C923" s="205"/>
      <c r="D923" s="302"/>
      <c r="E923" s="303"/>
      <c r="F923" s="304"/>
      <c r="G923" s="312"/>
      <c r="H923" s="306"/>
      <c r="I923" s="302"/>
      <c r="J923" s="307"/>
      <c r="K923" s="313"/>
      <c r="L923" s="319"/>
      <c r="M923" s="316"/>
      <c r="N923" s="205"/>
      <c r="O923" s="311"/>
      <c r="P923" s="200"/>
      <c r="Q923" s="200"/>
      <c r="R923" s="58"/>
      <c r="S923" s="58"/>
      <c r="T923" s="58"/>
      <c r="U923" s="58"/>
      <c r="V923" s="58"/>
      <c r="W923" s="58"/>
      <c r="X923" s="58"/>
      <c r="Y923" s="58"/>
      <c r="Z923" s="58"/>
      <c r="AA923" s="58"/>
      <c r="AB923" s="58"/>
      <c r="AC923" s="58"/>
    </row>
    <row r="924">
      <c r="A924" s="320"/>
      <c r="B924" s="301"/>
      <c r="C924" s="205"/>
      <c r="D924" s="302"/>
      <c r="E924" s="303"/>
      <c r="F924" s="304"/>
      <c r="G924" s="312"/>
      <c r="H924" s="306"/>
      <c r="I924" s="302"/>
      <c r="J924" s="307"/>
      <c r="K924" s="313"/>
      <c r="L924" s="319"/>
      <c r="M924" s="316"/>
      <c r="N924" s="205"/>
      <c r="O924" s="311"/>
      <c r="P924" s="200"/>
      <c r="Q924" s="200"/>
      <c r="R924" s="58"/>
      <c r="S924" s="58"/>
      <c r="T924" s="58"/>
      <c r="U924" s="58"/>
      <c r="V924" s="58"/>
      <c r="W924" s="58"/>
      <c r="X924" s="58"/>
      <c r="Y924" s="58"/>
      <c r="Z924" s="58"/>
      <c r="AA924" s="58"/>
      <c r="AB924" s="58"/>
      <c r="AC924" s="58"/>
    </row>
    <row r="925">
      <c r="A925" s="320"/>
      <c r="B925" s="301"/>
      <c r="C925" s="205"/>
      <c r="D925" s="302"/>
      <c r="E925" s="303"/>
      <c r="F925" s="304"/>
      <c r="G925" s="312"/>
      <c r="H925" s="306"/>
      <c r="I925" s="302"/>
      <c r="J925" s="307"/>
      <c r="K925" s="313"/>
      <c r="L925" s="319"/>
      <c r="M925" s="316"/>
      <c r="N925" s="205"/>
      <c r="O925" s="311"/>
      <c r="P925" s="200"/>
      <c r="Q925" s="200"/>
      <c r="R925" s="58"/>
      <c r="S925" s="58"/>
      <c r="T925" s="58"/>
      <c r="U925" s="58"/>
      <c r="V925" s="58"/>
      <c r="W925" s="58"/>
      <c r="X925" s="58"/>
      <c r="Y925" s="58"/>
      <c r="Z925" s="58"/>
      <c r="AA925" s="58"/>
      <c r="AB925" s="58"/>
      <c r="AC925" s="58"/>
    </row>
    <row r="926">
      <c r="A926" s="320"/>
      <c r="B926" s="301"/>
      <c r="C926" s="205"/>
      <c r="D926" s="302"/>
      <c r="E926" s="303"/>
      <c r="F926" s="304"/>
      <c r="G926" s="312"/>
      <c r="H926" s="306"/>
      <c r="I926" s="302"/>
      <c r="J926" s="307"/>
      <c r="K926" s="313"/>
      <c r="L926" s="319"/>
      <c r="M926" s="316"/>
      <c r="N926" s="205"/>
      <c r="O926" s="311"/>
      <c r="P926" s="200"/>
      <c r="Q926" s="200"/>
      <c r="R926" s="58"/>
      <c r="S926" s="58"/>
      <c r="T926" s="58"/>
      <c r="U926" s="58"/>
      <c r="V926" s="58"/>
      <c r="W926" s="58"/>
      <c r="X926" s="58"/>
      <c r="Y926" s="58"/>
      <c r="Z926" s="58"/>
      <c r="AA926" s="58"/>
      <c r="AB926" s="58"/>
      <c r="AC926" s="58"/>
    </row>
    <row r="927">
      <c r="A927" s="320"/>
      <c r="B927" s="301"/>
      <c r="C927" s="205"/>
      <c r="D927" s="302"/>
      <c r="E927" s="303"/>
      <c r="F927" s="304"/>
      <c r="G927" s="312"/>
      <c r="H927" s="306"/>
      <c r="I927" s="302"/>
      <c r="J927" s="307"/>
      <c r="K927" s="313"/>
      <c r="L927" s="319"/>
      <c r="M927" s="316"/>
      <c r="N927" s="205"/>
      <c r="O927" s="311"/>
      <c r="P927" s="200"/>
      <c r="Q927" s="200"/>
      <c r="R927" s="58"/>
      <c r="S927" s="58"/>
      <c r="T927" s="58"/>
      <c r="U927" s="58"/>
      <c r="V927" s="58"/>
      <c r="W927" s="58"/>
      <c r="X927" s="58"/>
      <c r="Y927" s="58"/>
      <c r="Z927" s="58"/>
      <c r="AA927" s="58"/>
      <c r="AB927" s="58"/>
      <c r="AC927" s="58"/>
    </row>
    <row r="928">
      <c r="A928" s="320"/>
      <c r="B928" s="301"/>
      <c r="C928" s="205"/>
      <c r="D928" s="302"/>
      <c r="E928" s="303"/>
      <c r="F928" s="304"/>
      <c r="G928" s="312"/>
      <c r="H928" s="306"/>
      <c r="I928" s="302"/>
      <c r="J928" s="307"/>
      <c r="K928" s="313"/>
      <c r="L928" s="319"/>
      <c r="M928" s="316"/>
      <c r="N928" s="205"/>
      <c r="O928" s="311"/>
      <c r="P928" s="200"/>
      <c r="Q928" s="200"/>
      <c r="R928" s="58"/>
      <c r="S928" s="58"/>
      <c r="T928" s="58"/>
      <c r="U928" s="58"/>
      <c r="V928" s="58"/>
      <c r="W928" s="58"/>
      <c r="X928" s="58"/>
      <c r="Y928" s="58"/>
      <c r="Z928" s="58"/>
      <c r="AA928" s="58"/>
      <c r="AB928" s="58"/>
      <c r="AC928" s="58"/>
    </row>
    <row r="929">
      <c r="A929" s="320"/>
      <c r="B929" s="301"/>
      <c r="C929" s="205"/>
      <c r="D929" s="302"/>
      <c r="E929" s="303"/>
      <c r="F929" s="304"/>
      <c r="G929" s="312"/>
      <c r="H929" s="306"/>
      <c r="I929" s="302"/>
      <c r="J929" s="307"/>
      <c r="K929" s="313"/>
      <c r="L929" s="319"/>
      <c r="M929" s="316"/>
      <c r="N929" s="205"/>
      <c r="O929" s="311"/>
      <c r="P929" s="200"/>
      <c r="Q929" s="200"/>
      <c r="R929" s="58"/>
      <c r="S929" s="58"/>
      <c r="T929" s="58"/>
      <c r="U929" s="58"/>
      <c r="V929" s="58"/>
      <c r="W929" s="58"/>
      <c r="X929" s="58"/>
      <c r="Y929" s="58"/>
      <c r="Z929" s="58"/>
      <c r="AA929" s="58"/>
      <c r="AB929" s="58"/>
      <c r="AC929" s="58"/>
    </row>
    <row r="930">
      <c r="A930" s="320"/>
      <c r="B930" s="301"/>
      <c r="C930" s="205"/>
      <c r="D930" s="302"/>
      <c r="E930" s="303"/>
      <c r="F930" s="304"/>
      <c r="G930" s="312"/>
      <c r="H930" s="306"/>
      <c r="I930" s="302"/>
      <c r="J930" s="307"/>
      <c r="K930" s="313"/>
      <c r="L930" s="319"/>
      <c r="M930" s="316"/>
      <c r="N930" s="205"/>
      <c r="O930" s="311"/>
      <c r="P930" s="200"/>
      <c r="Q930" s="200"/>
      <c r="R930" s="58"/>
      <c r="S930" s="58"/>
      <c r="T930" s="58"/>
      <c r="U930" s="58"/>
      <c r="V930" s="58"/>
      <c r="W930" s="58"/>
      <c r="X930" s="58"/>
      <c r="Y930" s="58"/>
      <c r="Z930" s="58"/>
      <c r="AA930" s="58"/>
      <c r="AB930" s="58"/>
      <c r="AC930" s="58"/>
    </row>
    <row r="931">
      <c r="A931" s="320"/>
      <c r="B931" s="301"/>
      <c r="C931" s="205"/>
      <c r="D931" s="302"/>
      <c r="E931" s="303"/>
      <c r="F931" s="304"/>
      <c r="G931" s="312"/>
      <c r="H931" s="306"/>
      <c r="I931" s="302"/>
      <c r="J931" s="307"/>
      <c r="K931" s="313"/>
      <c r="L931" s="319"/>
      <c r="M931" s="316"/>
      <c r="N931" s="205"/>
      <c r="O931" s="311"/>
      <c r="P931" s="200"/>
      <c r="Q931" s="200"/>
      <c r="R931" s="58"/>
      <c r="S931" s="58"/>
      <c r="T931" s="58"/>
      <c r="U931" s="58"/>
      <c r="V931" s="58"/>
      <c r="W931" s="58"/>
      <c r="X931" s="58"/>
      <c r="Y931" s="58"/>
      <c r="Z931" s="58"/>
      <c r="AA931" s="58"/>
      <c r="AB931" s="58"/>
      <c r="AC931" s="58"/>
    </row>
    <row r="932">
      <c r="A932" s="320"/>
      <c r="B932" s="301"/>
      <c r="C932" s="205"/>
      <c r="D932" s="302"/>
      <c r="E932" s="303"/>
      <c r="F932" s="304"/>
      <c r="G932" s="312"/>
      <c r="H932" s="306"/>
      <c r="I932" s="302"/>
      <c r="J932" s="307"/>
      <c r="K932" s="313"/>
      <c r="L932" s="319"/>
      <c r="M932" s="316"/>
      <c r="N932" s="205"/>
      <c r="O932" s="311"/>
      <c r="P932" s="200"/>
      <c r="Q932" s="200"/>
      <c r="R932" s="58"/>
      <c r="S932" s="58"/>
      <c r="T932" s="58"/>
      <c r="U932" s="58"/>
      <c r="V932" s="58"/>
      <c r="W932" s="58"/>
      <c r="X932" s="58"/>
      <c r="Y932" s="58"/>
      <c r="Z932" s="58"/>
      <c r="AA932" s="58"/>
      <c r="AB932" s="58"/>
      <c r="AC932" s="58"/>
    </row>
    <row r="933">
      <c r="A933" s="320"/>
      <c r="B933" s="301"/>
      <c r="C933" s="205"/>
      <c r="D933" s="302"/>
      <c r="E933" s="303"/>
      <c r="F933" s="304"/>
      <c r="G933" s="312"/>
      <c r="H933" s="306"/>
      <c r="I933" s="302"/>
      <c r="J933" s="307"/>
      <c r="K933" s="313"/>
      <c r="L933" s="319"/>
      <c r="M933" s="316"/>
      <c r="N933" s="205"/>
      <c r="O933" s="311"/>
      <c r="P933" s="200"/>
      <c r="Q933" s="200"/>
      <c r="R933" s="58"/>
      <c r="S933" s="58"/>
      <c r="T933" s="58"/>
      <c r="U933" s="58"/>
      <c r="V933" s="58"/>
      <c r="W933" s="58"/>
      <c r="X933" s="58"/>
      <c r="Y933" s="58"/>
      <c r="Z933" s="58"/>
      <c r="AA933" s="58"/>
      <c r="AB933" s="58"/>
      <c r="AC933" s="58"/>
    </row>
    <row r="934">
      <c r="A934" s="320"/>
      <c r="B934" s="301"/>
      <c r="C934" s="205"/>
      <c r="D934" s="302"/>
      <c r="E934" s="303"/>
      <c r="F934" s="304"/>
      <c r="G934" s="312"/>
      <c r="H934" s="306"/>
      <c r="I934" s="302"/>
      <c r="J934" s="307"/>
      <c r="K934" s="313"/>
      <c r="L934" s="319"/>
      <c r="M934" s="316"/>
      <c r="N934" s="205"/>
      <c r="O934" s="311"/>
      <c r="P934" s="200"/>
      <c r="Q934" s="200"/>
      <c r="R934" s="58"/>
      <c r="S934" s="58"/>
      <c r="T934" s="58"/>
      <c r="U934" s="58"/>
      <c r="V934" s="58"/>
      <c r="W934" s="58"/>
      <c r="X934" s="58"/>
      <c r="Y934" s="58"/>
      <c r="Z934" s="58"/>
      <c r="AA934" s="58"/>
      <c r="AB934" s="58"/>
      <c r="AC934" s="58"/>
    </row>
    <row r="935">
      <c r="A935" s="320"/>
      <c r="B935" s="301"/>
      <c r="C935" s="205"/>
      <c r="D935" s="302"/>
      <c r="E935" s="303"/>
      <c r="F935" s="304"/>
      <c r="G935" s="312"/>
      <c r="H935" s="306"/>
      <c r="I935" s="302"/>
      <c r="J935" s="307"/>
      <c r="K935" s="313"/>
      <c r="L935" s="319"/>
      <c r="M935" s="316"/>
      <c r="N935" s="205"/>
      <c r="O935" s="311"/>
      <c r="P935" s="200"/>
      <c r="Q935" s="200"/>
      <c r="R935" s="58"/>
      <c r="S935" s="58"/>
      <c r="T935" s="58"/>
      <c r="U935" s="58"/>
      <c r="V935" s="58"/>
      <c r="W935" s="58"/>
      <c r="X935" s="58"/>
      <c r="Y935" s="58"/>
      <c r="Z935" s="58"/>
      <c r="AA935" s="58"/>
      <c r="AB935" s="58"/>
      <c r="AC935" s="58"/>
    </row>
    <row r="936">
      <c r="A936" s="320"/>
      <c r="B936" s="301"/>
      <c r="C936" s="205"/>
      <c r="D936" s="302"/>
      <c r="E936" s="303"/>
      <c r="F936" s="304"/>
      <c r="G936" s="312"/>
      <c r="H936" s="306"/>
      <c r="I936" s="302"/>
      <c r="J936" s="307"/>
      <c r="K936" s="313"/>
      <c r="L936" s="319"/>
      <c r="M936" s="316"/>
      <c r="N936" s="205"/>
      <c r="O936" s="311"/>
      <c r="P936" s="200"/>
      <c r="Q936" s="200"/>
      <c r="R936" s="58"/>
      <c r="S936" s="58"/>
      <c r="T936" s="58"/>
      <c r="U936" s="58"/>
      <c r="V936" s="58"/>
      <c r="W936" s="58"/>
      <c r="X936" s="58"/>
      <c r="Y936" s="58"/>
      <c r="Z936" s="58"/>
      <c r="AA936" s="58"/>
      <c r="AB936" s="58"/>
      <c r="AC936" s="58"/>
    </row>
    <row r="937">
      <c r="A937" s="320"/>
      <c r="B937" s="301"/>
      <c r="C937" s="205"/>
      <c r="D937" s="302"/>
      <c r="E937" s="303"/>
      <c r="F937" s="304"/>
      <c r="G937" s="312"/>
      <c r="H937" s="306"/>
      <c r="I937" s="302"/>
      <c r="J937" s="307"/>
      <c r="K937" s="313"/>
      <c r="L937" s="319"/>
      <c r="M937" s="316"/>
      <c r="N937" s="205"/>
      <c r="O937" s="311"/>
      <c r="P937" s="200"/>
      <c r="Q937" s="200"/>
      <c r="R937" s="58"/>
      <c r="S937" s="58"/>
      <c r="T937" s="58"/>
      <c r="U937" s="58"/>
      <c r="V937" s="58"/>
      <c r="W937" s="58"/>
      <c r="X937" s="58"/>
      <c r="Y937" s="58"/>
      <c r="Z937" s="58"/>
      <c r="AA937" s="58"/>
      <c r="AB937" s="58"/>
      <c r="AC937" s="58"/>
    </row>
    <row r="938">
      <c r="A938" s="320"/>
      <c r="B938" s="301"/>
      <c r="C938" s="205"/>
      <c r="D938" s="302"/>
      <c r="E938" s="303"/>
      <c r="F938" s="304"/>
      <c r="G938" s="312"/>
      <c r="H938" s="306"/>
      <c r="I938" s="302"/>
      <c r="J938" s="307"/>
      <c r="K938" s="313"/>
      <c r="L938" s="319"/>
      <c r="M938" s="316"/>
      <c r="N938" s="205"/>
      <c r="O938" s="311"/>
      <c r="P938" s="200"/>
      <c r="Q938" s="200"/>
      <c r="R938" s="58"/>
      <c r="S938" s="58"/>
      <c r="T938" s="58"/>
      <c r="U938" s="58"/>
      <c r="V938" s="58"/>
      <c r="W938" s="58"/>
      <c r="X938" s="58"/>
      <c r="Y938" s="58"/>
      <c r="Z938" s="58"/>
      <c r="AA938" s="58"/>
      <c r="AB938" s="58"/>
      <c r="AC938" s="58"/>
    </row>
    <row r="939">
      <c r="A939" s="320"/>
      <c r="B939" s="301"/>
      <c r="C939" s="205"/>
      <c r="D939" s="302"/>
      <c r="E939" s="303"/>
      <c r="F939" s="304"/>
      <c r="G939" s="312"/>
      <c r="H939" s="306"/>
      <c r="I939" s="302"/>
      <c r="J939" s="307"/>
      <c r="K939" s="313"/>
      <c r="L939" s="319"/>
      <c r="M939" s="316"/>
      <c r="N939" s="205"/>
      <c r="O939" s="311"/>
      <c r="P939" s="200"/>
      <c r="Q939" s="200"/>
      <c r="R939" s="58"/>
      <c r="S939" s="58"/>
      <c r="T939" s="58"/>
      <c r="U939" s="58"/>
      <c r="V939" s="58"/>
      <c r="W939" s="58"/>
      <c r="X939" s="58"/>
      <c r="Y939" s="58"/>
      <c r="Z939" s="58"/>
      <c r="AA939" s="58"/>
      <c r="AB939" s="58"/>
      <c r="AC939" s="58"/>
    </row>
    <row r="940">
      <c r="A940" s="320"/>
      <c r="B940" s="301"/>
      <c r="C940" s="205"/>
      <c r="D940" s="302"/>
      <c r="E940" s="303"/>
      <c r="F940" s="304"/>
      <c r="G940" s="312"/>
      <c r="H940" s="306"/>
      <c r="I940" s="302"/>
      <c r="J940" s="307"/>
      <c r="K940" s="313"/>
      <c r="L940" s="319"/>
      <c r="M940" s="316"/>
      <c r="N940" s="205"/>
      <c r="O940" s="311"/>
      <c r="P940" s="200"/>
      <c r="Q940" s="200"/>
      <c r="R940" s="58"/>
      <c r="S940" s="58"/>
      <c r="T940" s="58"/>
      <c r="U940" s="58"/>
      <c r="V940" s="58"/>
      <c r="W940" s="58"/>
      <c r="X940" s="58"/>
      <c r="Y940" s="58"/>
      <c r="Z940" s="58"/>
      <c r="AA940" s="58"/>
      <c r="AB940" s="58"/>
      <c r="AC940" s="58"/>
    </row>
    <row r="941">
      <c r="A941" s="320"/>
      <c r="B941" s="301"/>
      <c r="C941" s="205"/>
      <c r="D941" s="302"/>
      <c r="E941" s="303"/>
      <c r="F941" s="304"/>
      <c r="G941" s="312"/>
      <c r="H941" s="306"/>
      <c r="I941" s="302"/>
      <c r="J941" s="307"/>
      <c r="K941" s="313"/>
      <c r="L941" s="319"/>
      <c r="M941" s="316"/>
      <c r="N941" s="205"/>
      <c r="O941" s="311"/>
      <c r="P941" s="200"/>
      <c r="Q941" s="200"/>
      <c r="R941" s="58"/>
      <c r="S941" s="58"/>
      <c r="T941" s="58"/>
      <c r="U941" s="58"/>
      <c r="V941" s="58"/>
      <c r="W941" s="58"/>
      <c r="X941" s="58"/>
      <c r="Y941" s="58"/>
      <c r="Z941" s="58"/>
      <c r="AA941" s="58"/>
      <c r="AB941" s="58"/>
      <c r="AC941" s="58"/>
    </row>
    <row r="942">
      <c r="A942" s="320"/>
      <c r="B942" s="301"/>
      <c r="C942" s="205"/>
      <c r="D942" s="302"/>
      <c r="E942" s="303"/>
      <c r="F942" s="304"/>
      <c r="G942" s="312"/>
      <c r="H942" s="306"/>
      <c r="I942" s="302"/>
      <c r="J942" s="307"/>
      <c r="K942" s="313"/>
      <c r="L942" s="319"/>
      <c r="M942" s="316"/>
      <c r="N942" s="205"/>
      <c r="O942" s="311"/>
      <c r="P942" s="200"/>
      <c r="Q942" s="200"/>
      <c r="R942" s="58"/>
      <c r="S942" s="58"/>
      <c r="T942" s="58"/>
      <c r="U942" s="58"/>
      <c r="V942" s="58"/>
      <c r="W942" s="58"/>
      <c r="X942" s="58"/>
      <c r="Y942" s="58"/>
      <c r="Z942" s="58"/>
      <c r="AA942" s="58"/>
      <c r="AB942" s="58"/>
      <c r="AC942" s="58"/>
    </row>
    <row r="943">
      <c r="A943" s="320"/>
      <c r="B943" s="301"/>
      <c r="C943" s="205"/>
      <c r="D943" s="302"/>
      <c r="E943" s="303"/>
      <c r="F943" s="304"/>
      <c r="G943" s="312"/>
      <c r="H943" s="306"/>
      <c r="I943" s="302"/>
      <c r="J943" s="307"/>
      <c r="K943" s="313"/>
      <c r="L943" s="319"/>
      <c r="M943" s="316"/>
      <c r="N943" s="205"/>
      <c r="O943" s="311"/>
      <c r="P943" s="200"/>
      <c r="Q943" s="200"/>
      <c r="R943" s="58"/>
      <c r="S943" s="58"/>
      <c r="T943" s="58"/>
      <c r="U943" s="58"/>
      <c r="V943" s="58"/>
      <c r="W943" s="58"/>
      <c r="X943" s="58"/>
      <c r="Y943" s="58"/>
      <c r="Z943" s="58"/>
      <c r="AA943" s="58"/>
      <c r="AB943" s="58"/>
      <c r="AC943" s="58"/>
    </row>
    <row r="944">
      <c r="A944" s="320"/>
      <c r="B944" s="301"/>
      <c r="C944" s="205"/>
      <c r="D944" s="302"/>
      <c r="E944" s="303"/>
      <c r="F944" s="304"/>
      <c r="G944" s="312"/>
      <c r="H944" s="306"/>
      <c r="I944" s="302"/>
      <c r="J944" s="307"/>
      <c r="K944" s="313"/>
      <c r="L944" s="319"/>
      <c r="M944" s="316"/>
      <c r="N944" s="205"/>
      <c r="O944" s="311"/>
      <c r="P944" s="200"/>
      <c r="Q944" s="200"/>
      <c r="R944" s="58"/>
      <c r="S944" s="58"/>
      <c r="T944" s="58"/>
      <c r="U944" s="58"/>
      <c r="V944" s="58"/>
      <c r="W944" s="58"/>
      <c r="X944" s="58"/>
      <c r="Y944" s="58"/>
      <c r="Z944" s="58"/>
      <c r="AA944" s="58"/>
      <c r="AB944" s="58"/>
      <c r="AC944" s="58"/>
    </row>
    <row r="945">
      <c r="A945" s="320"/>
      <c r="B945" s="301"/>
      <c r="C945" s="205"/>
      <c r="D945" s="302"/>
      <c r="E945" s="303"/>
      <c r="F945" s="304"/>
      <c r="G945" s="312"/>
      <c r="H945" s="306"/>
      <c r="I945" s="302"/>
      <c r="J945" s="307"/>
      <c r="K945" s="313"/>
      <c r="L945" s="319"/>
      <c r="M945" s="316"/>
      <c r="N945" s="205"/>
      <c r="O945" s="311"/>
      <c r="P945" s="200"/>
      <c r="Q945" s="200"/>
      <c r="R945" s="58"/>
      <c r="S945" s="58"/>
      <c r="T945" s="58"/>
      <c r="U945" s="58"/>
      <c r="V945" s="58"/>
      <c r="W945" s="58"/>
      <c r="X945" s="58"/>
      <c r="Y945" s="58"/>
      <c r="Z945" s="58"/>
      <c r="AA945" s="58"/>
      <c r="AB945" s="58"/>
      <c r="AC945" s="58"/>
    </row>
    <row r="946">
      <c r="A946" s="320"/>
      <c r="B946" s="301"/>
      <c r="C946" s="205"/>
      <c r="D946" s="302"/>
      <c r="E946" s="303"/>
      <c r="F946" s="304"/>
      <c r="G946" s="312"/>
      <c r="H946" s="306"/>
      <c r="I946" s="302"/>
      <c r="J946" s="307"/>
      <c r="K946" s="313"/>
      <c r="L946" s="319"/>
      <c r="M946" s="316"/>
      <c r="N946" s="205"/>
      <c r="O946" s="311"/>
      <c r="P946" s="200"/>
      <c r="Q946" s="200"/>
      <c r="R946" s="58"/>
      <c r="S946" s="58"/>
      <c r="T946" s="58"/>
      <c r="U946" s="58"/>
      <c r="V946" s="58"/>
      <c r="W946" s="58"/>
      <c r="X946" s="58"/>
      <c r="Y946" s="58"/>
      <c r="Z946" s="58"/>
      <c r="AA946" s="58"/>
      <c r="AB946" s="58"/>
      <c r="AC946" s="58"/>
    </row>
    <row r="947">
      <c r="A947" s="320"/>
      <c r="B947" s="301"/>
      <c r="C947" s="205"/>
      <c r="D947" s="302"/>
      <c r="E947" s="303"/>
      <c r="F947" s="304"/>
      <c r="G947" s="312"/>
      <c r="H947" s="306"/>
      <c r="I947" s="302"/>
      <c r="J947" s="307"/>
      <c r="K947" s="313"/>
      <c r="L947" s="319"/>
      <c r="M947" s="316"/>
      <c r="N947" s="205"/>
      <c r="O947" s="311"/>
      <c r="P947" s="200"/>
      <c r="Q947" s="200"/>
      <c r="R947" s="58"/>
      <c r="S947" s="58"/>
      <c r="T947" s="58"/>
      <c r="U947" s="58"/>
      <c r="V947" s="58"/>
      <c r="W947" s="58"/>
      <c r="X947" s="58"/>
      <c r="Y947" s="58"/>
      <c r="Z947" s="58"/>
      <c r="AA947" s="58"/>
      <c r="AB947" s="58"/>
      <c r="AC947" s="58"/>
    </row>
    <row r="948">
      <c r="A948" s="320"/>
      <c r="B948" s="301"/>
      <c r="C948" s="205"/>
      <c r="D948" s="302"/>
      <c r="E948" s="303"/>
      <c r="F948" s="304"/>
      <c r="G948" s="312"/>
      <c r="H948" s="306"/>
      <c r="I948" s="302"/>
      <c r="J948" s="307"/>
      <c r="K948" s="313"/>
      <c r="L948" s="319"/>
      <c r="M948" s="316"/>
      <c r="N948" s="205"/>
      <c r="O948" s="311"/>
      <c r="P948" s="200"/>
      <c r="Q948" s="200"/>
      <c r="R948" s="58"/>
      <c r="S948" s="58"/>
      <c r="T948" s="58"/>
      <c r="U948" s="58"/>
      <c r="V948" s="58"/>
      <c r="W948" s="58"/>
      <c r="X948" s="58"/>
      <c r="Y948" s="58"/>
      <c r="Z948" s="58"/>
      <c r="AA948" s="58"/>
      <c r="AB948" s="58"/>
      <c r="AC948" s="58"/>
    </row>
    <row r="949">
      <c r="A949" s="320"/>
      <c r="B949" s="301"/>
      <c r="C949" s="205"/>
      <c r="D949" s="302"/>
      <c r="E949" s="303"/>
      <c r="F949" s="304"/>
      <c r="G949" s="312"/>
      <c r="H949" s="306"/>
      <c r="I949" s="302"/>
      <c r="J949" s="307"/>
      <c r="K949" s="313"/>
      <c r="L949" s="319"/>
      <c r="M949" s="316"/>
      <c r="N949" s="205"/>
      <c r="O949" s="311"/>
      <c r="P949" s="200"/>
      <c r="Q949" s="200"/>
      <c r="R949" s="58"/>
      <c r="S949" s="58"/>
      <c r="T949" s="58"/>
      <c r="U949" s="58"/>
      <c r="V949" s="58"/>
      <c r="W949" s="58"/>
      <c r="X949" s="58"/>
      <c r="Y949" s="58"/>
      <c r="Z949" s="58"/>
      <c r="AA949" s="58"/>
      <c r="AB949" s="58"/>
      <c r="AC949" s="58"/>
    </row>
    <row r="950">
      <c r="A950" s="320"/>
      <c r="B950" s="301"/>
      <c r="C950" s="205"/>
      <c r="D950" s="302"/>
      <c r="E950" s="303"/>
      <c r="F950" s="304"/>
      <c r="G950" s="312"/>
      <c r="H950" s="306"/>
      <c r="I950" s="302"/>
      <c r="J950" s="307"/>
      <c r="K950" s="313"/>
      <c r="L950" s="319"/>
      <c r="M950" s="316"/>
      <c r="N950" s="205"/>
      <c r="O950" s="311"/>
      <c r="P950" s="200"/>
      <c r="Q950" s="200"/>
      <c r="R950" s="58"/>
      <c r="S950" s="58"/>
      <c r="T950" s="58"/>
      <c r="U950" s="58"/>
      <c r="V950" s="58"/>
      <c r="W950" s="58"/>
      <c r="X950" s="58"/>
      <c r="Y950" s="58"/>
      <c r="Z950" s="58"/>
      <c r="AA950" s="58"/>
      <c r="AB950" s="58"/>
      <c r="AC950" s="58"/>
    </row>
    <row r="951">
      <c r="A951" s="320"/>
      <c r="B951" s="301"/>
      <c r="C951" s="205"/>
      <c r="D951" s="302"/>
      <c r="E951" s="303"/>
      <c r="F951" s="304"/>
      <c r="G951" s="312"/>
      <c r="H951" s="306"/>
      <c r="I951" s="302"/>
      <c r="J951" s="307"/>
      <c r="K951" s="313"/>
      <c r="L951" s="319"/>
      <c r="M951" s="316"/>
      <c r="N951" s="205"/>
      <c r="O951" s="311"/>
      <c r="P951" s="200"/>
      <c r="Q951" s="200"/>
      <c r="R951" s="58"/>
      <c r="S951" s="58"/>
      <c r="T951" s="58"/>
      <c r="U951" s="58"/>
      <c r="V951" s="58"/>
      <c r="W951" s="58"/>
      <c r="X951" s="58"/>
      <c r="Y951" s="58"/>
      <c r="Z951" s="58"/>
      <c r="AA951" s="58"/>
      <c r="AB951" s="58"/>
      <c r="AC951" s="58"/>
    </row>
    <row r="952">
      <c r="A952" s="320"/>
      <c r="B952" s="301"/>
      <c r="C952" s="205"/>
      <c r="D952" s="302"/>
      <c r="E952" s="303"/>
      <c r="F952" s="304"/>
      <c r="G952" s="312"/>
      <c r="H952" s="306"/>
      <c r="I952" s="302"/>
      <c r="J952" s="307"/>
      <c r="K952" s="313"/>
      <c r="L952" s="319"/>
      <c r="M952" s="316"/>
      <c r="N952" s="205"/>
      <c r="O952" s="311"/>
      <c r="P952" s="200"/>
      <c r="Q952" s="200"/>
      <c r="R952" s="58"/>
      <c r="S952" s="58"/>
      <c r="T952" s="58"/>
      <c r="U952" s="58"/>
      <c r="V952" s="58"/>
      <c r="W952" s="58"/>
      <c r="X952" s="58"/>
      <c r="Y952" s="58"/>
      <c r="Z952" s="58"/>
      <c r="AA952" s="58"/>
      <c r="AB952" s="58"/>
      <c r="AC952" s="58"/>
    </row>
    <row r="953">
      <c r="A953" s="320"/>
      <c r="B953" s="301"/>
      <c r="C953" s="205"/>
      <c r="D953" s="302"/>
      <c r="E953" s="303"/>
      <c r="F953" s="304"/>
      <c r="G953" s="312"/>
      <c r="H953" s="306"/>
      <c r="I953" s="302"/>
      <c r="J953" s="307"/>
      <c r="K953" s="313"/>
      <c r="L953" s="319"/>
      <c r="M953" s="316"/>
      <c r="N953" s="205"/>
      <c r="O953" s="311"/>
      <c r="P953" s="200"/>
      <c r="Q953" s="200"/>
      <c r="R953" s="58"/>
      <c r="S953" s="58"/>
      <c r="T953" s="58"/>
      <c r="U953" s="58"/>
      <c r="V953" s="58"/>
      <c r="W953" s="58"/>
      <c r="X953" s="58"/>
      <c r="Y953" s="58"/>
      <c r="Z953" s="58"/>
      <c r="AA953" s="58"/>
      <c r="AB953" s="58"/>
      <c r="AC953" s="58"/>
    </row>
    <row r="954">
      <c r="A954" s="320"/>
      <c r="B954" s="301"/>
      <c r="C954" s="205"/>
      <c r="D954" s="302"/>
      <c r="E954" s="303"/>
      <c r="F954" s="304"/>
      <c r="G954" s="312"/>
      <c r="H954" s="306"/>
      <c r="I954" s="302"/>
      <c r="J954" s="307"/>
      <c r="K954" s="313"/>
      <c r="L954" s="319"/>
      <c r="M954" s="316"/>
      <c r="N954" s="205"/>
      <c r="O954" s="311"/>
      <c r="P954" s="200"/>
      <c r="Q954" s="200"/>
      <c r="R954" s="58"/>
      <c r="S954" s="58"/>
      <c r="T954" s="58"/>
      <c r="U954" s="58"/>
      <c r="V954" s="58"/>
      <c r="W954" s="58"/>
      <c r="X954" s="58"/>
      <c r="Y954" s="58"/>
      <c r="Z954" s="58"/>
      <c r="AA954" s="58"/>
      <c r="AB954" s="58"/>
      <c r="AC954" s="58"/>
    </row>
    <row r="955">
      <c r="A955" s="320"/>
      <c r="B955" s="301"/>
      <c r="C955" s="205"/>
      <c r="D955" s="302"/>
      <c r="E955" s="303"/>
      <c r="F955" s="304"/>
      <c r="G955" s="312"/>
      <c r="H955" s="306"/>
      <c r="I955" s="302"/>
      <c r="J955" s="307"/>
      <c r="K955" s="313"/>
      <c r="L955" s="319"/>
      <c r="M955" s="316"/>
      <c r="N955" s="205"/>
      <c r="O955" s="311"/>
      <c r="P955" s="200"/>
      <c r="Q955" s="200"/>
      <c r="R955" s="58"/>
      <c r="S955" s="58"/>
      <c r="T955" s="58"/>
      <c r="U955" s="58"/>
      <c r="V955" s="58"/>
      <c r="W955" s="58"/>
      <c r="X955" s="58"/>
      <c r="Y955" s="58"/>
      <c r="Z955" s="58"/>
      <c r="AA955" s="58"/>
      <c r="AB955" s="58"/>
      <c r="AC955" s="58"/>
    </row>
    <row r="956">
      <c r="A956" s="320"/>
      <c r="B956" s="301"/>
      <c r="C956" s="205"/>
      <c r="D956" s="302"/>
      <c r="E956" s="303"/>
      <c r="F956" s="304"/>
      <c r="G956" s="312"/>
      <c r="H956" s="306"/>
      <c r="I956" s="302"/>
      <c r="J956" s="307"/>
      <c r="K956" s="313"/>
      <c r="L956" s="319"/>
      <c r="M956" s="316"/>
      <c r="N956" s="205"/>
      <c r="O956" s="311"/>
      <c r="P956" s="200"/>
      <c r="Q956" s="200"/>
      <c r="R956" s="58"/>
      <c r="S956" s="58"/>
      <c r="T956" s="58"/>
      <c r="U956" s="58"/>
      <c r="V956" s="58"/>
      <c r="W956" s="58"/>
      <c r="X956" s="58"/>
      <c r="Y956" s="58"/>
      <c r="Z956" s="58"/>
      <c r="AA956" s="58"/>
      <c r="AB956" s="58"/>
      <c r="AC956" s="58"/>
    </row>
    <row r="957">
      <c r="A957" s="320"/>
      <c r="B957" s="301"/>
      <c r="C957" s="205"/>
      <c r="D957" s="302"/>
      <c r="E957" s="303"/>
      <c r="F957" s="304"/>
      <c r="G957" s="312"/>
      <c r="H957" s="306"/>
      <c r="I957" s="302"/>
      <c r="J957" s="307"/>
      <c r="K957" s="313"/>
      <c r="L957" s="319"/>
      <c r="M957" s="316"/>
      <c r="N957" s="205"/>
      <c r="O957" s="311"/>
      <c r="P957" s="200"/>
      <c r="Q957" s="200"/>
      <c r="R957" s="58"/>
      <c r="S957" s="58"/>
      <c r="T957" s="58"/>
      <c r="U957" s="58"/>
      <c r="V957" s="58"/>
      <c r="W957" s="58"/>
      <c r="X957" s="58"/>
      <c r="Y957" s="58"/>
      <c r="Z957" s="58"/>
      <c r="AA957" s="58"/>
      <c r="AB957" s="58"/>
      <c r="AC957" s="58"/>
    </row>
    <row r="958">
      <c r="A958" s="320"/>
      <c r="B958" s="301"/>
      <c r="C958" s="205"/>
      <c r="D958" s="302"/>
      <c r="E958" s="303"/>
      <c r="F958" s="304"/>
      <c r="G958" s="312"/>
      <c r="H958" s="306"/>
      <c r="I958" s="302"/>
      <c r="J958" s="307"/>
      <c r="K958" s="313"/>
      <c r="L958" s="319"/>
      <c r="M958" s="316"/>
      <c r="N958" s="205"/>
      <c r="O958" s="311"/>
      <c r="P958" s="200"/>
      <c r="Q958" s="200"/>
      <c r="R958" s="58"/>
      <c r="S958" s="58"/>
      <c r="T958" s="58"/>
      <c r="U958" s="58"/>
      <c r="V958" s="58"/>
      <c r="W958" s="58"/>
      <c r="X958" s="58"/>
      <c r="Y958" s="58"/>
      <c r="Z958" s="58"/>
      <c r="AA958" s="58"/>
      <c r="AB958" s="58"/>
      <c r="AC958" s="58"/>
    </row>
    <row r="959">
      <c r="A959" s="320"/>
      <c r="B959" s="301"/>
      <c r="C959" s="205"/>
      <c r="D959" s="302"/>
      <c r="E959" s="303"/>
      <c r="F959" s="304"/>
      <c r="G959" s="312"/>
      <c r="H959" s="306"/>
      <c r="I959" s="302"/>
      <c r="J959" s="307"/>
      <c r="K959" s="313"/>
      <c r="L959" s="319"/>
      <c r="M959" s="316"/>
      <c r="N959" s="205"/>
      <c r="O959" s="311"/>
      <c r="P959" s="200"/>
      <c r="Q959" s="200"/>
      <c r="R959" s="58"/>
      <c r="S959" s="58"/>
      <c r="T959" s="58"/>
      <c r="U959" s="58"/>
      <c r="V959" s="58"/>
      <c r="W959" s="58"/>
      <c r="X959" s="58"/>
      <c r="Y959" s="58"/>
      <c r="Z959" s="58"/>
      <c r="AA959" s="58"/>
      <c r="AB959" s="58"/>
      <c r="AC959" s="58"/>
    </row>
    <row r="960">
      <c r="A960" s="320"/>
      <c r="B960" s="301"/>
      <c r="C960" s="205"/>
      <c r="D960" s="302"/>
      <c r="E960" s="303"/>
      <c r="F960" s="304"/>
      <c r="G960" s="312"/>
      <c r="H960" s="306"/>
      <c r="I960" s="302"/>
      <c r="J960" s="307"/>
      <c r="K960" s="313"/>
      <c r="L960" s="319"/>
      <c r="M960" s="316"/>
      <c r="N960" s="205"/>
      <c r="O960" s="311"/>
      <c r="P960" s="200"/>
      <c r="Q960" s="200"/>
      <c r="R960" s="58"/>
      <c r="S960" s="58"/>
      <c r="T960" s="58"/>
      <c r="U960" s="58"/>
      <c r="V960" s="58"/>
      <c r="W960" s="58"/>
      <c r="X960" s="58"/>
      <c r="Y960" s="58"/>
      <c r="Z960" s="58"/>
      <c r="AA960" s="58"/>
      <c r="AB960" s="58"/>
      <c r="AC960" s="58"/>
    </row>
    <row r="961">
      <c r="A961" s="320"/>
      <c r="B961" s="301"/>
      <c r="C961" s="205"/>
      <c r="D961" s="302"/>
      <c r="E961" s="303"/>
      <c r="F961" s="304"/>
      <c r="G961" s="312"/>
      <c r="H961" s="306"/>
      <c r="I961" s="302"/>
      <c r="J961" s="307"/>
      <c r="K961" s="313"/>
      <c r="L961" s="319"/>
      <c r="M961" s="316"/>
      <c r="N961" s="205"/>
      <c r="O961" s="311"/>
      <c r="P961" s="200"/>
      <c r="Q961" s="200"/>
      <c r="R961" s="58"/>
      <c r="S961" s="58"/>
      <c r="T961" s="58"/>
      <c r="U961" s="58"/>
      <c r="V961" s="58"/>
      <c r="W961" s="58"/>
      <c r="X961" s="58"/>
      <c r="Y961" s="58"/>
      <c r="Z961" s="58"/>
      <c r="AA961" s="58"/>
      <c r="AB961" s="58"/>
      <c r="AC961" s="58"/>
    </row>
    <row r="962">
      <c r="A962" s="320"/>
      <c r="B962" s="301"/>
      <c r="C962" s="205"/>
      <c r="D962" s="302"/>
      <c r="E962" s="303"/>
      <c r="F962" s="304"/>
      <c r="G962" s="312"/>
      <c r="H962" s="306"/>
      <c r="I962" s="302"/>
      <c r="J962" s="307"/>
      <c r="K962" s="313"/>
      <c r="L962" s="319"/>
      <c r="M962" s="316"/>
      <c r="N962" s="205"/>
      <c r="O962" s="311"/>
      <c r="P962" s="200"/>
      <c r="Q962" s="200"/>
      <c r="R962" s="58"/>
      <c r="S962" s="58"/>
      <c r="T962" s="58"/>
      <c r="U962" s="58"/>
      <c r="V962" s="58"/>
      <c r="W962" s="58"/>
      <c r="X962" s="58"/>
      <c r="Y962" s="58"/>
      <c r="Z962" s="58"/>
      <c r="AA962" s="58"/>
      <c r="AB962" s="58"/>
      <c r="AC962" s="58"/>
    </row>
    <row r="963">
      <c r="A963" s="320"/>
      <c r="B963" s="301"/>
      <c r="C963" s="205"/>
      <c r="D963" s="302"/>
      <c r="E963" s="303"/>
      <c r="F963" s="304"/>
      <c r="G963" s="312"/>
      <c r="H963" s="306"/>
      <c r="I963" s="302"/>
      <c r="J963" s="307"/>
      <c r="K963" s="313"/>
      <c r="L963" s="319"/>
      <c r="M963" s="316"/>
      <c r="N963" s="205"/>
      <c r="O963" s="311"/>
      <c r="P963" s="200"/>
      <c r="Q963" s="200"/>
      <c r="R963" s="58"/>
      <c r="S963" s="58"/>
      <c r="T963" s="58"/>
      <c r="U963" s="58"/>
      <c r="V963" s="58"/>
      <c r="W963" s="58"/>
      <c r="X963" s="58"/>
      <c r="Y963" s="58"/>
      <c r="Z963" s="58"/>
      <c r="AA963" s="58"/>
      <c r="AB963" s="58"/>
      <c r="AC963" s="58"/>
    </row>
    <row r="964">
      <c r="A964" s="320"/>
      <c r="B964" s="301"/>
      <c r="C964" s="205"/>
      <c r="D964" s="302"/>
      <c r="E964" s="303"/>
      <c r="F964" s="304"/>
      <c r="G964" s="312"/>
      <c r="H964" s="306"/>
      <c r="I964" s="302"/>
      <c r="J964" s="307"/>
      <c r="K964" s="313"/>
      <c r="L964" s="319"/>
      <c r="M964" s="316"/>
      <c r="N964" s="205"/>
      <c r="O964" s="311"/>
      <c r="P964" s="200"/>
      <c r="Q964" s="200"/>
      <c r="R964" s="58"/>
      <c r="S964" s="58"/>
      <c r="T964" s="58"/>
      <c r="U964" s="58"/>
      <c r="V964" s="58"/>
      <c r="W964" s="58"/>
      <c r="X964" s="58"/>
      <c r="Y964" s="58"/>
      <c r="Z964" s="58"/>
      <c r="AA964" s="58"/>
      <c r="AB964" s="58"/>
      <c r="AC964" s="58"/>
    </row>
    <row r="965">
      <c r="A965" s="320"/>
      <c r="B965" s="301"/>
      <c r="C965" s="205"/>
      <c r="D965" s="302"/>
      <c r="E965" s="303"/>
      <c r="F965" s="304"/>
      <c r="G965" s="312"/>
      <c r="H965" s="306"/>
      <c r="I965" s="302"/>
      <c r="J965" s="307"/>
      <c r="K965" s="313"/>
      <c r="L965" s="319"/>
      <c r="M965" s="316"/>
      <c r="N965" s="205"/>
      <c r="O965" s="311"/>
      <c r="P965" s="200"/>
      <c r="Q965" s="200"/>
      <c r="R965" s="58"/>
      <c r="S965" s="58"/>
      <c r="T965" s="58"/>
      <c r="U965" s="58"/>
      <c r="V965" s="58"/>
      <c r="W965" s="58"/>
      <c r="X965" s="58"/>
      <c r="Y965" s="58"/>
      <c r="Z965" s="58"/>
      <c r="AA965" s="58"/>
      <c r="AB965" s="58"/>
      <c r="AC965" s="58"/>
    </row>
    <row r="966">
      <c r="A966" s="320"/>
      <c r="B966" s="301"/>
      <c r="C966" s="205"/>
      <c r="D966" s="302"/>
      <c r="E966" s="303"/>
      <c r="F966" s="304"/>
      <c r="G966" s="312"/>
      <c r="H966" s="306"/>
      <c r="I966" s="302"/>
      <c r="J966" s="307"/>
      <c r="K966" s="313"/>
      <c r="L966" s="319"/>
      <c r="M966" s="316"/>
      <c r="N966" s="205"/>
      <c r="O966" s="311"/>
      <c r="P966" s="200"/>
      <c r="Q966" s="200"/>
      <c r="R966" s="58"/>
      <c r="S966" s="58"/>
      <c r="T966" s="58"/>
      <c r="U966" s="58"/>
      <c r="V966" s="58"/>
      <c r="W966" s="58"/>
      <c r="X966" s="58"/>
      <c r="Y966" s="58"/>
      <c r="Z966" s="58"/>
      <c r="AA966" s="58"/>
      <c r="AB966" s="58"/>
      <c r="AC966" s="58"/>
    </row>
    <row r="967">
      <c r="A967" s="320"/>
      <c r="B967" s="301"/>
      <c r="C967" s="205"/>
      <c r="D967" s="302"/>
      <c r="E967" s="303"/>
      <c r="F967" s="304"/>
      <c r="G967" s="312"/>
      <c r="H967" s="306"/>
      <c r="I967" s="302"/>
      <c r="J967" s="307"/>
      <c r="K967" s="313"/>
      <c r="L967" s="319"/>
      <c r="M967" s="316"/>
      <c r="N967" s="205"/>
      <c r="O967" s="311"/>
      <c r="P967" s="200"/>
      <c r="Q967" s="200"/>
      <c r="R967" s="58"/>
      <c r="S967" s="58"/>
      <c r="T967" s="58"/>
      <c r="U967" s="58"/>
      <c r="V967" s="58"/>
      <c r="W967" s="58"/>
      <c r="X967" s="58"/>
      <c r="Y967" s="58"/>
      <c r="Z967" s="58"/>
      <c r="AA967" s="58"/>
      <c r="AB967" s="58"/>
      <c r="AC967" s="58"/>
    </row>
    <row r="968">
      <c r="A968" s="320"/>
      <c r="B968" s="301"/>
      <c r="C968" s="205"/>
      <c r="D968" s="302"/>
      <c r="E968" s="303"/>
      <c r="F968" s="304"/>
      <c r="G968" s="312"/>
      <c r="H968" s="306"/>
      <c r="I968" s="302"/>
      <c r="J968" s="307"/>
      <c r="K968" s="313"/>
      <c r="L968" s="319"/>
      <c r="M968" s="316"/>
      <c r="N968" s="205"/>
      <c r="O968" s="311"/>
      <c r="P968" s="200"/>
      <c r="Q968" s="200"/>
      <c r="R968" s="58"/>
      <c r="S968" s="58"/>
      <c r="T968" s="58"/>
      <c r="U968" s="58"/>
      <c r="V968" s="58"/>
      <c r="W968" s="58"/>
      <c r="X968" s="58"/>
      <c r="Y968" s="58"/>
      <c r="Z968" s="58"/>
      <c r="AA968" s="58"/>
      <c r="AB968" s="58"/>
      <c r="AC968" s="58"/>
    </row>
    <row r="969">
      <c r="A969" s="320"/>
      <c r="B969" s="301"/>
      <c r="C969" s="205"/>
      <c r="D969" s="302"/>
      <c r="E969" s="303"/>
      <c r="F969" s="304"/>
      <c r="G969" s="312"/>
      <c r="H969" s="306"/>
      <c r="I969" s="302"/>
      <c r="J969" s="307"/>
      <c r="K969" s="313"/>
      <c r="L969" s="319"/>
      <c r="M969" s="316"/>
      <c r="N969" s="205"/>
      <c r="O969" s="311"/>
      <c r="P969" s="200"/>
      <c r="Q969" s="200"/>
      <c r="R969" s="58"/>
      <c r="S969" s="58"/>
      <c r="T969" s="58"/>
      <c r="U969" s="58"/>
      <c r="V969" s="58"/>
      <c r="W969" s="58"/>
      <c r="X969" s="58"/>
      <c r="Y969" s="58"/>
      <c r="Z969" s="58"/>
      <c r="AA969" s="58"/>
      <c r="AB969" s="58"/>
      <c r="AC969" s="58"/>
    </row>
    <row r="970">
      <c r="A970" s="320"/>
      <c r="B970" s="301"/>
      <c r="C970" s="205"/>
      <c r="D970" s="302"/>
      <c r="E970" s="303"/>
      <c r="F970" s="304"/>
      <c r="G970" s="312"/>
      <c r="H970" s="306"/>
      <c r="I970" s="302"/>
      <c r="J970" s="307"/>
      <c r="K970" s="313"/>
      <c r="L970" s="319"/>
      <c r="M970" s="316"/>
      <c r="N970" s="205"/>
      <c r="O970" s="311"/>
      <c r="P970" s="200"/>
      <c r="Q970" s="200"/>
      <c r="R970" s="58"/>
      <c r="S970" s="58"/>
      <c r="T970" s="58"/>
      <c r="U970" s="58"/>
      <c r="V970" s="58"/>
      <c r="W970" s="58"/>
      <c r="X970" s="58"/>
      <c r="Y970" s="58"/>
      <c r="Z970" s="58"/>
      <c r="AA970" s="58"/>
      <c r="AB970" s="58"/>
      <c r="AC970" s="58"/>
    </row>
    <row r="971">
      <c r="A971" s="320"/>
      <c r="B971" s="301"/>
      <c r="C971" s="205"/>
      <c r="D971" s="302"/>
      <c r="E971" s="303"/>
      <c r="F971" s="304"/>
      <c r="G971" s="312"/>
      <c r="H971" s="306"/>
      <c r="I971" s="302"/>
      <c r="J971" s="307"/>
      <c r="K971" s="313"/>
      <c r="L971" s="319"/>
      <c r="M971" s="316"/>
      <c r="N971" s="205"/>
      <c r="O971" s="311"/>
      <c r="P971" s="200"/>
      <c r="Q971" s="200"/>
      <c r="R971" s="58"/>
      <c r="S971" s="58"/>
      <c r="T971" s="58"/>
      <c r="U971" s="58"/>
      <c r="V971" s="58"/>
      <c r="W971" s="58"/>
      <c r="X971" s="58"/>
      <c r="Y971" s="58"/>
      <c r="Z971" s="58"/>
      <c r="AA971" s="58"/>
      <c r="AB971" s="58"/>
      <c r="AC971" s="58"/>
    </row>
    <row r="972">
      <c r="A972" s="320"/>
      <c r="B972" s="301"/>
      <c r="C972" s="205"/>
      <c r="D972" s="302"/>
      <c r="E972" s="303"/>
      <c r="F972" s="304"/>
      <c r="G972" s="312"/>
      <c r="H972" s="306"/>
      <c r="I972" s="302"/>
      <c r="J972" s="307"/>
      <c r="K972" s="313"/>
      <c r="L972" s="319"/>
      <c r="M972" s="316"/>
      <c r="N972" s="205"/>
      <c r="O972" s="311"/>
      <c r="P972" s="200"/>
      <c r="Q972" s="200"/>
      <c r="R972" s="58"/>
      <c r="S972" s="58"/>
      <c r="T972" s="58"/>
      <c r="U972" s="58"/>
      <c r="V972" s="58"/>
      <c r="W972" s="58"/>
      <c r="X972" s="58"/>
      <c r="Y972" s="58"/>
      <c r="Z972" s="58"/>
      <c r="AA972" s="58"/>
      <c r="AB972" s="58"/>
      <c r="AC972" s="58"/>
    </row>
    <row r="973">
      <c r="A973" s="320"/>
      <c r="B973" s="301"/>
      <c r="C973" s="205"/>
      <c r="D973" s="302"/>
      <c r="E973" s="303"/>
      <c r="F973" s="304"/>
      <c r="G973" s="312"/>
      <c r="H973" s="306"/>
      <c r="I973" s="302"/>
      <c r="J973" s="307"/>
      <c r="K973" s="313"/>
      <c r="L973" s="319"/>
      <c r="M973" s="316"/>
      <c r="N973" s="205"/>
      <c r="O973" s="311"/>
      <c r="P973" s="200"/>
      <c r="Q973" s="200"/>
      <c r="R973" s="58"/>
      <c r="S973" s="58"/>
      <c r="T973" s="58"/>
      <c r="U973" s="58"/>
      <c r="V973" s="58"/>
      <c r="W973" s="58"/>
      <c r="X973" s="58"/>
      <c r="Y973" s="58"/>
      <c r="Z973" s="58"/>
      <c r="AA973" s="58"/>
      <c r="AB973" s="58"/>
      <c r="AC973" s="58"/>
    </row>
    <row r="974">
      <c r="A974" s="320"/>
      <c r="B974" s="301"/>
      <c r="C974" s="205"/>
      <c r="D974" s="302"/>
      <c r="E974" s="303"/>
      <c r="F974" s="304"/>
      <c r="G974" s="312"/>
      <c r="H974" s="306"/>
      <c r="I974" s="302"/>
      <c r="J974" s="307"/>
      <c r="K974" s="313"/>
      <c r="L974" s="319"/>
      <c r="M974" s="316"/>
      <c r="N974" s="205"/>
      <c r="O974" s="311"/>
      <c r="P974" s="200"/>
      <c r="Q974" s="200"/>
      <c r="R974" s="58"/>
      <c r="S974" s="58"/>
      <c r="T974" s="58"/>
      <c r="U974" s="58"/>
      <c r="V974" s="58"/>
      <c r="W974" s="58"/>
      <c r="X974" s="58"/>
      <c r="Y974" s="58"/>
      <c r="Z974" s="58"/>
      <c r="AA974" s="58"/>
      <c r="AB974" s="58"/>
      <c r="AC974" s="58"/>
    </row>
    <row r="975">
      <c r="A975" s="320"/>
      <c r="B975" s="301"/>
      <c r="C975" s="205"/>
      <c r="D975" s="302"/>
      <c r="E975" s="303"/>
      <c r="F975" s="304"/>
      <c r="G975" s="312"/>
      <c r="H975" s="306"/>
      <c r="I975" s="302"/>
      <c r="J975" s="307"/>
      <c r="K975" s="313"/>
      <c r="L975" s="319"/>
      <c r="M975" s="316"/>
      <c r="N975" s="205"/>
      <c r="O975" s="311"/>
      <c r="P975" s="200"/>
      <c r="Q975" s="200"/>
      <c r="R975" s="58"/>
      <c r="S975" s="58"/>
      <c r="T975" s="58"/>
      <c r="U975" s="58"/>
      <c r="V975" s="58"/>
      <c r="W975" s="58"/>
      <c r="X975" s="58"/>
      <c r="Y975" s="58"/>
      <c r="Z975" s="58"/>
      <c r="AA975" s="58"/>
      <c r="AB975" s="58"/>
      <c r="AC975" s="58"/>
    </row>
    <row r="976">
      <c r="A976" s="320"/>
      <c r="B976" s="301"/>
      <c r="C976" s="205"/>
      <c r="D976" s="302"/>
      <c r="E976" s="303"/>
      <c r="F976" s="304"/>
      <c r="G976" s="312"/>
      <c r="H976" s="306"/>
      <c r="I976" s="302"/>
      <c r="J976" s="307"/>
      <c r="K976" s="313"/>
      <c r="L976" s="319"/>
      <c r="M976" s="316"/>
      <c r="N976" s="205"/>
      <c r="O976" s="311"/>
      <c r="P976" s="200"/>
      <c r="Q976" s="200"/>
      <c r="R976" s="58"/>
      <c r="S976" s="58"/>
      <c r="T976" s="58"/>
      <c r="U976" s="58"/>
      <c r="V976" s="58"/>
      <c r="W976" s="58"/>
      <c r="X976" s="58"/>
      <c r="Y976" s="58"/>
      <c r="Z976" s="58"/>
      <c r="AA976" s="58"/>
      <c r="AB976" s="58"/>
      <c r="AC976" s="58"/>
    </row>
    <row r="977">
      <c r="A977" s="320"/>
      <c r="B977" s="301"/>
      <c r="C977" s="205"/>
      <c r="D977" s="302"/>
      <c r="E977" s="303"/>
      <c r="F977" s="304"/>
      <c r="G977" s="312"/>
      <c r="H977" s="306"/>
      <c r="I977" s="302"/>
      <c r="J977" s="307"/>
      <c r="K977" s="313"/>
      <c r="L977" s="319"/>
      <c r="M977" s="316"/>
      <c r="N977" s="205"/>
      <c r="O977" s="311"/>
      <c r="P977" s="200"/>
      <c r="Q977" s="200"/>
      <c r="R977" s="58"/>
      <c r="S977" s="58"/>
      <c r="T977" s="58"/>
      <c r="U977" s="58"/>
      <c r="V977" s="58"/>
      <c r="W977" s="58"/>
      <c r="X977" s="58"/>
      <c r="Y977" s="58"/>
      <c r="Z977" s="58"/>
      <c r="AA977" s="58"/>
      <c r="AB977" s="58"/>
      <c r="AC977" s="58"/>
    </row>
    <row r="978">
      <c r="A978" s="320"/>
      <c r="B978" s="301"/>
      <c r="C978" s="205"/>
      <c r="D978" s="302"/>
      <c r="E978" s="303"/>
      <c r="F978" s="304"/>
      <c r="G978" s="312"/>
      <c r="H978" s="306"/>
      <c r="I978" s="302"/>
      <c r="J978" s="307"/>
      <c r="K978" s="313"/>
      <c r="L978" s="319"/>
      <c r="M978" s="316"/>
      <c r="N978" s="205"/>
      <c r="O978" s="311"/>
      <c r="P978" s="200"/>
      <c r="Q978" s="200"/>
      <c r="R978" s="58"/>
      <c r="S978" s="58"/>
      <c r="T978" s="58"/>
      <c r="U978" s="58"/>
      <c r="V978" s="58"/>
      <c r="W978" s="58"/>
      <c r="X978" s="58"/>
      <c r="Y978" s="58"/>
      <c r="Z978" s="58"/>
      <c r="AA978" s="58"/>
      <c r="AB978" s="58"/>
      <c r="AC978" s="58"/>
    </row>
    <row r="979">
      <c r="A979" s="320"/>
      <c r="B979" s="301"/>
      <c r="C979" s="205"/>
      <c r="D979" s="302"/>
      <c r="E979" s="303"/>
      <c r="F979" s="304"/>
      <c r="G979" s="312"/>
      <c r="H979" s="306"/>
      <c r="I979" s="302"/>
      <c r="J979" s="307"/>
      <c r="K979" s="313"/>
      <c r="L979" s="319"/>
      <c r="M979" s="316"/>
      <c r="N979" s="205"/>
      <c r="O979" s="311"/>
      <c r="P979" s="200"/>
      <c r="Q979" s="200"/>
      <c r="R979" s="58"/>
      <c r="S979" s="58"/>
      <c r="T979" s="58"/>
      <c r="U979" s="58"/>
      <c r="V979" s="58"/>
      <c r="W979" s="58"/>
      <c r="X979" s="58"/>
      <c r="Y979" s="58"/>
      <c r="Z979" s="58"/>
      <c r="AA979" s="58"/>
      <c r="AB979" s="58"/>
      <c r="AC979" s="58"/>
    </row>
    <row r="980">
      <c r="A980" s="320"/>
      <c r="B980" s="301"/>
      <c r="C980" s="205"/>
      <c r="D980" s="302"/>
      <c r="E980" s="303"/>
      <c r="F980" s="304"/>
      <c r="G980" s="312"/>
      <c r="H980" s="306"/>
      <c r="I980" s="302"/>
      <c r="J980" s="307"/>
      <c r="K980" s="313"/>
      <c r="L980" s="319"/>
      <c r="M980" s="316"/>
      <c r="N980" s="205"/>
      <c r="O980" s="311"/>
      <c r="P980" s="200"/>
      <c r="Q980" s="200"/>
      <c r="R980" s="58"/>
      <c r="S980" s="58"/>
      <c r="T980" s="58"/>
      <c r="U980" s="58"/>
      <c r="V980" s="58"/>
      <c r="W980" s="58"/>
      <c r="X980" s="58"/>
      <c r="Y980" s="58"/>
      <c r="Z980" s="58"/>
      <c r="AA980" s="58"/>
      <c r="AB980" s="58"/>
      <c r="AC980" s="58"/>
    </row>
    <row r="981">
      <c r="A981" s="320"/>
      <c r="B981" s="301"/>
      <c r="C981" s="205"/>
      <c r="D981" s="302"/>
      <c r="E981" s="303"/>
      <c r="F981" s="304"/>
      <c r="G981" s="312"/>
      <c r="H981" s="306"/>
      <c r="I981" s="302"/>
      <c r="J981" s="307"/>
      <c r="K981" s="313"/>
      <c r="L981" s="319"/>
      <c r="M981" s="316"/>
      <c r="N981" s="205"/>
      <c r="O981" s="311"/>
      <c r="P981" s="200"/>
      <c r="Q981" s="200"/>
      <c r="R981" s="58"/>
      <c r="S981" s="58"/>
      <c r="T981" s="58"/>
      <c r="U981" s="58"/>
      <c r="V981" s="58"/>
      <c r="W981" s="58"/>
      <c r="X981" s="58"/>
      <c r="Y981" s="58"/>
      <c r="Z981" s="58"/>
      <c r="AA981" s="58"/>
      <c r="AB981" s="58"/>
      <c r="AC981" s="58"/>
    </row>
    <row r="982">
      <c r="A982" s="320"/>
      <c r="B982" s="301"/>
      <c r="C982" s="205"/>
      <c r="D982" s="302"/>
      <c r="E982" s="303"/>
      <c r="F982" s="304"/>
      <c r="G982" s="312"/>
      <c r="H982" s="306"/>
      <c r="I982" s="302"/>
      <c r="J982" s="307"/>
      <c r="K982" s="313"/>
      <c r="L982" s="319"/>
      <c r="M982" s="316"/>
      <c r="N982" s="205"/>
      <c r="O982" s="311"/>
      <c r="P982" s="200"/>
      <c r="Q982" s="200"/>
      <c r="R982" s="58"/>
      <c r="S982" s="58"/>
      <c r="T982" s="58"/>
      <c r="U982" s="58"/>
      <c r="V982" s="58"/>
      <c r="W982" s="58"/>
      <c r="X982" s="58"/>
      <c r="Y982" s="58"/>
      <c r="Z982" s="58"/>
      <c r="AA982" s="58"/>
      <c r="AB982" s="58"/>
      <c r="AC982" s="58"/>
    </row>
    <row r="983">
      <c r="A983" s="320"/>
      <c r="B983" s="301"/>
      <c r="C983" s="205"/>
      <c r="D983" s="302"/>
      <c r="E983" s="303"/>
      <c r="F983" s="304"/>
      <c r="G983" s="312"/>
      <c r="H983" s="306"/>
      <c r="I983" s="302"/>
      <c r="J983" s="307"/>
      <c r="K983" s="313"/>
      <c r="L983" s="319"/>
      <c r="M983" s="316"/>
      <c r="N983" s="205"/>
      <c r="O983" s="311"/>
      <c r="P983" s="200"/>
      <c r="Q983" s="200"/>
      <c r="R983" s="58"/>
      <c r="S983" s="58"/>
      <c r="T983" s="58"/>
      <c r="U983" s="58"/>
      <c r="V983" s="58"/>
      <c r="W983" s="58"/>
      <c r="X983" s="58"/>
      <c r="Y983" s="58"/>
      <c r="Z983" s="58"/>
      <c r="AA983" s="58"/>
      <c r="AB983" s="58"/>
      <c r="AC983" s="58"/>
    </row>
    <row r="984">
      <c r="A984" s="320"/>
      <c r="B984" s="301"/>
      <c r="C984" s="205"/>
      <c r="D984" s="302"/>
      <c r="E984" s="303"/>
      <c r="F984" s="304"/>
      <c r="G984" s="312"/>
      <c r="H984" s="306"/>
      <c r="I984" s="302"/>
      <c r="J984" s="307"/>
      <c r="K984" s="313"/>
      <c r="L984" s="319"/>
      <c r="M984" s="316"/>
      <c r="N984" s="205"/>
      <c r="O984" s="311"/>
      <c r="P984" s="200"/>
      <c r="Q984" s="200"/>
      <c r="R984" s="58"/>
      <c r="S984" s="58"/>
      <c r="T984" s="58"/>
      <c r="U984" s="58"/>
      <c r="V984" s="58"/>
      <c r="W984" s="58"/>
      <c r="X984" s="58"/>
      <c r="Y984" s="58"/>
      <c r="Z984" s="58"/>
      <c r="AA984" s="58"/>
      <c r="AB984" s="58"/>
      <c r="AC984" s="58"/>
    </row>
    <row r="985">
      <c r="A985" s="320"/>
      <c r="B985" s="301"/>
      <c r="C985" s="205"/>
      <c r="D985" s="302"/>
      <c r="E985" s="303"/>
      <c r="F985" s="304"/>
      <c r="G985" s="312"/>
      <c r="H985" s="306"/>
      <c r="I985" s="302"/>
      <c r="J985" s="307"/>
      <c r="K985" s="313"/>
      <c r="L985" s="319"/>
      <c r="M985" s="316"/>
      <c r="N985" s="205"/>
      <c r="O985" s="311"/>
      <c r="P985" s="200"/>
      <c r="Q985" s="200"/>
      <c r="R985" s="58"/>
      <c r="S985" s="58"/>
      <c r="T985" s="58"/>
      <c r="U985" s="58"/>
      <c r="V985" s="58"/>
      <c r="W985" s="58"/>
      <c r="X985" s="58"/>
      <c r="Y985" s="58"/>
      <c r="Z985" s="58"/>
      <c r="AA985" s="58"/>
      <c r="AB985" s="58"/>
      <c r="AC985" s="58"/>
    </row>
    <row r="986">
      <c r="A986" s="320"/>
      <c r="B986" s="301"/>
      <c r="C986" s="205"/>
      <c r="D986" s="302"/>
      <c r="E986" s="303"/>
      <c r="F986" s="304"/>
      <c r="G986" s="312"/>
      <c r="H986" s="306"/>
      <c r="I986" s="302"/>
      <c r="J986" s="307"/>
      <c r="K986" s="313"/>
      <c r="L986" s="319"/>
      <c r="M986" s="316"/>
      <c r="N986" s="205"/>
      <c r="O986" s="311"/>
      <c r="P986" s="200"/>
      <c r="Q986" s="200"/>
      <c r="R986" s="58"/>
      <c r="S986" s="58"/>
      <c r="T986" s="58"/>
      <c r="U986" s="58"/>
      <c r="V986" s="58"/>
      <c r="W986" s="58"/>
      <c r="X986" s="58"/>
      <c r="Y986" s="58"/>
      <c r="Z986" s="58"/>
      <c r="AA986" s="58"/>
      <c r="AB986" s="58"/>
      <c r="AC986" s="58"/>
    </row>
    <row r="987">
      <c r="A987" s="320"/>
      <c r="B987" s="301"/>
      <c r="C987" s="205"/>
      <c r="D987" s="302"/>
      <c r="E987" s="303"/>
      <c r="F987" s="304"/>
      <c r="G987" s="312"/>
      <c r="H987" s="306"/>
      <c r="I987" s="302"/>
      <c r="J987" s="307"/>
      <c r="K987" s="313"/>
      <c r="L987" s="319"/>
      <c r="M987" s="316"/>
      <c r="N987" s="205"/>
      <c r="O987" s="311"/>
      <c r="P987" s="200"/>
      <c r="Q987" s="200"/>
      <c r="R987" s="58"/>
      <c r="S987" s="58"/>
      <c r="T987" s="58"/>
      <c r="U987" s="58"/>
      <c r="V987" s="58"/>
      <c r="W987" s="58"/>
      <c r="X987" s="58"/>
      <c r="Y987" s="58"/>
      <c r="Z987" s="58"/>
      <c r="AA987" s="58"/>
      <c r="AB987" s="58"/>
      <c r="AC987" s="58"/>
    </row>
    <row r="988">
      <c r="A988" s="320"/>
      <c r="B988" s="301"/>
      <c r="C988" s="205"/>
      <c r="D988" s="302"/>
      <c r="E988" s="303"/>
      <c r="F988" s="304"/>
      <c r="G988" s="312"/>
      <c r="H988" s="306"/>
      <c r="I988" s="302"/>
      <c r="J988" s="307"/>
      <c r="K988" s="313"/>
      <c r="L988" s="319"/>
      <c r="M988" s="316"/>
      <c r="N988" s="205"/>
      <c r="O988" s="311"/>
      <c r="P988" s="200"/>
      <c r="Q988" s="200"/>
      <c r="R988" s="58"/>
      <c r="S988" s="58"/>
      <c r="T988" s="58"/>
      <c r="U988" s="58"/>
      <c r="V988" s="58"/>
      <c r="W988" s="58"/>
      <c r="X988" s="58"/>
      <c r="Y988" s="58"/>
      <c r="Z988" s="58"/>
      <c r="AA988" s="58"/>
      <c r="AB988" s="58"/>
      <c r="AC988" s="58"/>
    </row>
    <row r="989">
      <c r="A989" s="320"/>
      <c r="B989" s="301"/>
      <c r="C989" s="205"/>
      <c r="D989" s="302"/>
      <c r="E989" s="303"/>
      <c r="F989" s="304"/>
      <c r="G989" s="312"/>
      <c r="H989" s="306"/>
      <c r="I989" s="302"/>
      <c r="J989" s="307"/>
      <c r="K989" s="313"/>
      <c r="L989" s="319"/>
      <c r="M989" s="316"/>
      <c r="N989" s="205"/>
      <c r="O989" s="311"/>
      <c r="P989" s="200"/>
      <c r="Q989" s="200"/>
      <c r="R989" s="58"/>
      <c r="S989" s="58"/>
      <c r="T989" s="58"/>
      <c r="U989" s="58"/>
      <c r="V989" s="58"/>
      <c r="W989" s="58"/>
      <c r="X989" s="58"/>
      <c r="Y989" s="58"/>
      <c r="Z989" s="58"/>
      <c r="AA989" s="58"/>
      <c r="AB989" s="58"/>
      <c r="AC989" s="58"/>
    </row>
    <row r="990">
      <c r="A990" s="320"/>
      <c r="B990" s="301"/>
      <c r="C990" s="205"/>
      <c r="D990" s="302"/>
      <c r="E990" s="303"/>
      <c r="F990" s="304"/>
      <c r="G990" s="312"/>
      <c r="H990" s="306"/>
      <c r="I990" s="302"/>
      <c r="J990" s="307"/>
      <c r="K990" s="313"/>
      <c r="L990" s="319"/>
      <c r="M990" s="316"/>
      <c r="N990" s="205"/>
      <c r="O990" s="311"/>
      <c r="P990" s="200"/>
      <c r="Q990" s="200"/>
      <c r="R990" s="58"/>
      <c r="S990" s="58"/>
      <c r="T990" s="58"/>
      <c r="U990" s="58"/>
      <c r="V990" s="58"/>
      <c r="W990" s="58"/>
      <c r="X990" s="58"/>
      <c r="Y990" s="58"/>
      <c r="Z990" s="58"/>
      <c r="AA990" s="58"/>
      <c r="AB990" s="58"/>
      <c r="AC990" s="58"/>
    </row>
    <row r="991">
      <c r="A991" s="320"/>
      <c r="B991" s="301"/>
      <c r="C991" s="205"/>
      <c r="D991" s="302"/>
      <c r="E991" s="303"/>
      <c r="F991" s="304"/>
      <c r="G991" s="312"/>
      <c r="H991" s="306"/>
      <c r="I991" s="302"/>
      <c r="J991" s="307"/>
      <c r="K991" s="313"/>
      <c r="L991" s="319"/>
      <c r="M991" s="316"/>
      <c r="N991" s="205"/>
      <c r="O991" s="311"/>
      <c r="P991" s="200"/>
      <c r="Q991" s="200"/>
      <c r="R991" s="58"/>
      <c r="S991" s="58"/>
      <c r="T991" s="58"/>
      <c r="U991" s="58"/>
      <c r="V991" s="58"/>
      <c r="W991" s="58"/>
      <c r="X991" s="58"/>
      <c r="Y991" s="58"/>
      <c r="Z991" s="58"/>
      <c r="AA991" s="58"/>
      <c r="AB991" s="58"/>
      <c r="AC991" s="58"/>
    </row>
    <row r="992">
      <c r="A992" s="320"/>
      <c r="B992" s="301"/>
      <c r="C992" s="205"/>
      <c r="D992" s="302"/>
      <c r="E992" s="303"/>
      <c r="F992" s="304"/>
      <c r="G992" s="312"/>
      <c r="H992" s="306"/>
      <c r="I992" s="302"/>
      <c r="J992" s="307"/>
      <c r="K992" s="313"/>
      <c r="L992" s="319"/>
      <c r="M992" s="316"/>
      <c r="N992" s="205"/>
      <c r="O992" s="311"/>
      <c r="P992" s="200"/>
      <c r="Q992" s="200"/>
      <c r="R992" s="58"/>
      <c r="S992" s="58"/>
      <c r="T992" s="58"/>
      <c r="U992" s="58"/>
      <c r="V992" s="58"/>
      <c r="W992" s="58"/>
      <c r="X992" s="58"/>
      <c r="Y992" s="58"/>
      <c r="Z992" s="58"/>
      <c r="AA992" s="58"/>
      <c r="AB992" s="58"/>
      <c r="AC992" s="58"/>
    </row>
    <row r="993">
      <c r="A993" s="320"/>
      <c r="B993" s="301"/>
      <c r="C993" s="205"/>
      <c r="D993" s="302"/>
      <c r="E993" s="303"/>
      <c r="F993" s="304"/>
      <c r="G993" s="312"/>
      <c r="H993" s="306"/>
      <c r="I993" s="302"/>
      <c r="J993" s="307"/>
      <c r="K993" s="313"/>
      <c r="L993" s="319"/>
      <c r="M993" s="316"/>
      <c r="N993" s="205"/>
      <c r="O993" s="311"/>
      <c r="P993" s="200"/>
      <c r="Q993" s="200"/>
      <c r="R993" s="58"/>
      <c r="S993" s="58"/>
      <c r="T993" s="58"/>
      <c r="U993" s="58"/>
      <c r="V993" s="58"/>
      <c r="W993" s="58"/>
      <c r="X993" s="58"/>
      <c r="Y993" s="58"/>
      <c r="Z993" s="58"/>
      <c r="AA993" s="58"/>
      <c r="AB993" s="58"/>
      <c r="AC993" s="58"/>
    </row>
    <row r="994">
      <c r="A994" s="320"/>
      <c r="B994" s="301"/>
      <c r="C994" s="205"/>
      <c r="D994" s="302"/>
      <c r="E994" s="303"/>
      <c r="F994" s="304"/>
      <c r="G994" s="312"/>
      <c r="H994" s="306"/>
      <c r="I994" s="302"/>
      <c r="J994" s="307"/>
      <c r="K994" s="313"/>
      <c r="L994" s="319"/>
      <c r="M994" s="316"/>
      <c r="N994" s="205"/>
      <c r="O994" s="311"/>
      <c r="P994" s="200"/>
      <c r="Q994" s="200"/>
      <c r="R994" s="58"/>
      <c r="S994" s="58"/>
      <c r="T994" s="58"/>
      <c r="U994" s="58"/>
      <c r="V994" s="58"/>
      <c r="W994" s="58"/>
      <c r="X994" s="58"/>
      <c r="Y994" s="58"/>
      <c r="Z994" s="58"/>
      <c r="AA994" s="58"/>
      <c r="AB994" s="58"/>
      <c r="AC994" s="58"/>
    </row>
    <row r="995">
      <c r="A995" s="320"/>
      <c r="B995" s="301"/>
      <c r="C995" s="205"/>
      <c r="D995" s="302"/>
      <c r="E995" s="303"/>
      <c r="F995" s="304"/>
      <c r="G995" s="312"/>
      <c r="H995" s="306"/>
      <c r="I995" s="302"/>
      <c r="J995" s="307"/>
      <c r="K995" s="313"/>
      <c r="L995" s="319"/>
      <c r="M995" s="316"/>
      <c r="N995" s="205"/>
      <c r="O995" s="311"/>
      <c r="P995" s="200"/>
      <c r="Q995" s="200"/>
      <c r="R995" s="58"/>
      <c r="S995" s="58"/>
      <c r="T995" s="58"/>
      <c r="U995" s="58"/>
      <c r="V995" s="58"/>
      <c r="W995" s="58"/>
      <c r="X995" s="58"/>
      <c r="Y995" s="58"/>
      <c r="Z995" s="58"/>
      <c r="AA995" s="58"/>
      <c r="AB995" s="58"/>
      <c r="AC995" s="58"/>
    </row>
    <row r="996">
      <c r="A996" s="320"/>
      <c r="B996" s="301"/>
      <c r="C996" s="205"/>
      <c r="D996" s="302"/>
      <c r="E996" s="303"/>
      <c r="F996" s="304"/>
      <c r="G996" s="312"/>
      <c r="H996" s="306"/>
      <c r="I996" s="302"/>
      <c r="J996" s="307"/>
      <c r="K996" s="313"/>
      <c r="L996" s="319"/>
      <c r="M996" s="316"/>
      <c r="N996" s="205"/>
      <c r="O996" s="311"/>
      <c r="P996" s="200"/>
      <c r="Q996" s="200"/>
      <c r="R996" s="58"/>
      <c r="S996" s="58"/>
      <c r="T996" s="58"/>
      <c r="U996" s="58"/>
      <c r="V996" s="58"/>
      <c r="W996" s="58"/>
      <c r="X996" s="58"/>
      <c r="Y996" s="58"/>
      <c r="Z996" s="58"/>
      <c r="AA996" s="58"/>
      <c r="AB996" s="58"/>
      <c r="AC996" s="58"/>
    </row>
    <row r="997">
      <c r="A997" s="320"/>
      <c r="B997" s="301"/>
      <c r="C997" s="205"/>
      <c r="D997" s="302"/>
      <c r="E997" s="303"/>
      <c r="F997" s="304"/>
      <c r="G997" s="312"/>
      <c r="H997" s="306"/>
      <c r="I997" s="302"/>
      <c r="J997" s="307"/>
      <c r="K997" s="313"/>
      <c r="L997" s="319"/>
      <c r="M997" s="316"/>
      <c r="N997" s="205"/>
      <c r="O997" s="311"/>
      <c r="P997" s="200"/>
      <c r="Q997" s="200"/>
      <c r="R997" s="58"/>
      <c r="S997" s="58"/>
      <c r="T997" s="58"/>
      <c r="U997" s="58"/>
      <c r="V997" s="58"/>
      <c r="W997" s="58"/>
      <c r="X997" s="58"/>
      <c r="Y997" s="58"/>
      <c r="Z997" s="58"/>
      <c r="AA997" s="58"/>
      <c r="AB997" s="58"/>
      <c r="AC997" s="58"/>
    </row>
    <row r="998">
      <c r="A998" s="320"/>
      <c r="B998" s="301"/>
      <c r="C998" s="205"/>
      <c r="D998" s="302"/>
      <c r="E998" s="303"/>
      <c r="F998" s="304"/>
      <c r="G998" s="312"/>
      <c r="H998" s="306"/>
      <c r="I998" s="302"/>
      <c r="J998" s="307"/>
      <c r="K998" s="313"/>
      <c r="L998" s="319"/>
      <c r="M998" s="316"/>
      <c r="N998" s="205"/>
      <c r="O998" s="311"/>
      <c r="P998" s="200"/>
      <c r="Q998" s="200"/>
      <c r="R998" s="58"/>
      <c r="S998" s="58"/>
      <c r="T998" s="58"/>
      <c r="U998" s="58"/>
      <c r="V998" s="58"/>
      <c r="W998" s="58"/>
      <c r="X998" s="58"/>
      <c r="Y998" s="58"/>
      <c r="Z998" s="58"/>
      <c r="AA998" s="58"/>
      <c r="AB998" s="58"/>
      <c r="AC998" s="58"/>
    </row>
    <row r="999">
      <c r="A999" s="320"/>
      <c r="B999" s="301"/>
      <c r="C999" s="205"/>
      <c r="D999" s="302"/>
      <c r="E999" s="303"/>
      <c r="F999" s="304"/>
      <c r="G999" s="312"/>
      <c r="H999" s="306"/>
      <c r="I999" s="302"/>
      <c r="J999" s="307"/>
      <c r="K999" s="313"/>
      <c r="L999" s="319"/>
      <c r="M999" s="316"/>
      <c r="N999" s="205"/>
      <c r="O999" s="311"/>
      <c r="P999" s="200"/>
      <c r="Q999" s="200"/>
      <c r="R999" s="58"/>
      <c r="S999" s="58"/>
      <c r="T999" s="58"/>
      <c r="U999" s="58"/>
      <c r="V999" s="58"/>
      <c r="W999" s="58"/>
      <c r="X999" s="58"/>
      <c r="Y999" s="58"/>
      <c r="Z999" s="58"/>
      <c r="AA999" s="58"/>
      <c r="AB999" s="58"/>
      <c r="AC999" s="58"/>
    </row>
    <row r="1000">
      <c r="A1000" s="320"/>
      <c r="B1000" s="301"/>
      <c r="C1000" s="205"/>
      <c r="D1000" s="302"/>
      <c r="E1000" s="303"/>
      <c r="F1000" s="304"/>
      <c r="G1000" s="312"/>
      <c r="H1000" s="306"/>
      <c r="I1000" s="302"/>
      <c r="J1000" s="307"/>
      <c r="K1000" s="313"/>
      <c r="L1000" s="319"/>
      <c r="M1000" s="316"/>
      <c r="N1000" s="205"/>
      <c r="O1000" s="311"/>
      <c r="P1000" s="200"/>
      <c r="Q1000" s="200"/>
      <c r="R1000" s="58"/>
      <c r="S1000" s="58"/>
      <c r="T1000" s="58"/>
      <c r="U1000" s="58"/>
      <c r="V1000" s="58"/>
      <c r="W1000" s="58"/>
      <c r="X1000" s="58"/>
      <c r="Y1000" s="58"/>
      <c r="Z1000" s="58"/>
      <c r="AA1000" s="58"/>
      <c r="AB1000" s="58"/>
      <c r="AC1000" s="58"/>
    </row>
    <row r="1001">
      <c r="A1001" s="320"/>
      <c r="B1001" s="301"/>
      <c r="C1001" s="205"/>
      <c r="D1001" s="302"/>
      <c r="E1001" s="303"/>
      <c r="F1001" s="304"/>
      <c r="G1001" s="312"/>
      <c r="H1001" s="306"/>
      <c r="I1001" s="302"/>
      <c r="J1001" s="307"/>
      <c r="K1001" s="313"/>
      <c r="L1001" s="319"/>
      <c r="M1001" s="316"/>
      <c r="N1001" s="205"/>
      <c r="O1001" s="311"/>
      <c r="P1001" s="200"/>
      <c r="Q1001" s="200"/>
      <c r="R1001" s="58"/>
      <c r="S1001" s="58"/>
      <c r="T1001" s="58"/>
      <c r="U1001" s="58"/>
      <c r="V1001" s="58"/>
      <c r="W1001" s="58"/>
      <c r="X1001" s="58"/>
      <c r="Y1001" s="58"/>
      <c r="Z1001" s="58"/>
      <c r="AA1001" s="58"/>
      <c r="AB1001" s="58"/>
      <c r="AC1001" s="58"/>
    </row>
    <row r="1002">
      <c r="A1002" s="320"/>
      <c r="B1002" s="301"/>
      <c r="C1002" s="205"/>
      <c r="D1002" s="302"/>
      <c r="E1002" s="303"/>
      <c r="F1002" s="304"/>
      <c r="G1002" s="312"/>
      <c r="H1002" s="306"/>
      <c r="I1002" s="302"/>
      <c r="J1002" s="307"/>
      <c r="K1002" s="313"/>
      <c r="L1002" s="319"/>
      <c r="M1002" s="316"/>
      <c r="N1002" s="205"/>
      <c r="O1002" s="311"/>
      <c r="P1002" s="200"/>
      <c r="Q1002" s="200"/>
      <c r="R1002" s="58"/>
      <c r="S1002" s="58"/>
      <c r="T1002" s="58"/>
      <c r="U1002" s="58"/>
      <c r="V1002" s="58"/>
      <c r="W1002" s="58"/>
      <c r="X1002" s="58"/>
      <c r="Y1002" s="58"/>
      <c r="Z1002" s="58"/>
      <c r="AA1002" s="58"/>
      <c r="AB1002" s="58"/>
      <c r="AC1002" s="58"/>
    </row>
    <row r="1003">
      <c r="A1003" s="320"/>
      <c r="B1003" s="301"/>
      <c r="C1003" s="205"/>
      <c r="D1003" s="302"/>
      <c r="E1003" s="303"/>
      <c r="F1003" s="304"/>
      <c r="G1003" s="312"/>
      <c r="H1003" s="306"/>
      <c r="I1003" s="302"/>
      <c r="J1003" s="307"/>
      <c r="K1003" s="313"/>
      <c r="L1003" s="319"/>
      <c r="M1003" s="316"/>
      <c r="N1003" s="205"/>
      <c r="O1003" s="311"/>
      <c r="P1003" s="200"/>
      <c r="Q1003" s="200"/>
      <c r="R1003" s="58"/>
      <c r="S1003" s="58"/>
      <c r="T1003" s="58"/>
      <c r="U1003" s="58"/>
      <c r="V1003" s="58"/>
      <c r="W1003" s="58"/>
      <c r="X1003" s="58"/>
      <c r="Y1003" s="58"/>
      <c r="Z1003" s="58"/>
      <c r="AA1003" s="58"/>
      <c r="AB1003" s="58"/>
      <c r="AC1003" s="58"/>
    </row>
    <row r="1004">
      <c r="A1004" s="320"/>
      <c r="B1004" s="301"/>
      <c r="C1004" s="205"/>
      <c r="D1004" s="302"/>
      <c r="E1004" s="303"/>
      <c r="F1004" s="304"/>
      <c r="G1004" s="312"/>
      <c r="H1004" s="306"/>
      <c r="I1004" s="302"/>
      <c r="J1004" s="307"/>
      <c r="K1004" s="313"/>
      <c r="L1004" s="319"/>
      <c r="M1004" s="316"/>
      <c r="N1004" s="205"/>
      <c r="O1004" s="311"/>
      <c r="P1004" s="200"/>
      <c r="Q1004" s="200"/>
      <c r="R1004" s="58"/>
      <c r="S1004" s="58"/>
      <c r="T1004" s="58"/>
      <c r="U1004" s="58"/>
      <c r="V1004" s="58"/>
      <c r="W1004" s="58"/>
      <c r="X1004" s="58"/>
      <c r="Y1004" s="58"/>
      <c r="Z1004" s="58"/>
      <c r="AA1004" s="58"/>
      <c r="AB1004" s="58"/>
      <c r="AC1004" s="58"/>
    </row>
    <row r="1005">
      <c r="A1005" s="320"/>
      <c r="B1005" s="301"/>
      <c r="C1005" s="205"/>
      <c r="D1005" s="302"/>
      <c r="E1005" s="303"/>
      <c r="F1005" s="304"/>
      <c r="G1005" s="312"/>
      <c r="H1005" s="306"/>
      <c r="I1005" s="302"/>
      <c r="J1005" s="307"/>
      <c r="K1005" s="313"/>
      <c r="L1005" s="319"/>
      <c r="M1005" s="316"/>
      <c r="N1005" s="205"/>
      <c r="O1005" s="311"/>
      <c r="P1005" s="200"/>
      <c r="Q1005" s="200"/>
      <c r="R1005" s="58"/>
      <c r="S1005" s="58"/>
      <c r="T1005" s="58"/>
      <c r="U1005" s="58"/>
      <c r="V1005" s="58"/>
      <c r="W1005" s="58"/>
      <c r="X1005" s="58"/>
      <c r="Y1005" s="58"/>
      <c r="Z1005" s="58"/>
      <c r="AA1005" s="58"/>
      <c r="AB1005" s="58"/>
      <c r="AC1005" s="58"/>
    </row>
    <row r="1006">
      <c r="A1006" s="320"/>
      <c r="B1006" s="301"/>
      <c r="C1006" s="205"/>
      <c r="D1006" s="302"/>
      <c r="E1006" s="303"/>
      <c r="F1006" s="304"/>
      <c r="G1006" s="312"/>
      <c r="H1006" s="306"/>
      <c r="I1006" s="302"/>
      <c r="J1006" s="307"/>
      <c r="K1006" s="313"/>
      <c r="L1006" s="319"/>
      <c r="M1006" s="316"/>
      <c r="N1006" s="205"/>
      <c r="O1006" s="311"/>
      <c r="P1006" s="200"/>
      <c r="Q1006" s="200"/>
      <c r="R1006" s="58"/>
      <c r="S1006" s="58"/>
      <c r="T1006" s="58"/>
      <c r="U1006" s="58"/>
      <c r="V1006" s="58"/>
      <c r="W1006" s="58"/>
      <c r="X1006" s="58"/>
      <c r="Y1006" s="58"/>
      <c r="Z1006" s="58"/>
      <c r="AA1006" s="58"/>
      <c r="AB1006" s="58"/>
      <c r="AC1006" s="58"/>
    </row>
    <row r="1007">
      <c r="A1007" s="320"/>
      <c r="B1007" s="301"/>
      <c r="C1007" s="205"/>
      <c r="D1007" s="302"/>
      <c r="E1007" s="303"/>
      <c r="F1007" s="304"/>
      <c r="G1007" s="312"/>
      <c r="H1007" s="306"/>
      <c r="I1007" s="302"/>
      <c r="J1007" s="307"/>
      <c r="K1007" s="313"/>
      <c r="L1007" s="319"/>
      <c r="M1007" s="316"/>
      <c r="N1007" s="205"/>
      <c r="O1007" s="311"/>
      <c r="P1007" s="200"/>
      <c r="Q1007" s="200"/>
      <c r="R1007" s="58"/>
      <c r="S1007" s="58"/>
      <c r="T1007" s="58"/>
      <c r="U1007" s="58"/>
      <c r="V1007" s="58"/>
      <c r="W1007" s="58"/>
      <c r="X1007" s="58"/>
      <c r="Y1007" s="58"/>
      <c r="Z1007" s="58"/>
      <c r="AA1007" s="58"/>
      <c r="AB1007" s="58"/>
      <c r="AC1007" s="58"/>
    </row>
    <row r="1008">
      <c r="A1008" s="320"/>
      <c r="B1008" s="301"/>
      <c r="C1008" s="205"/>
      <c r="D1008" s="302"/>
      <c r="E1008" s="303"/>
      <c r="F1008" s="304"/>
      <c r="G1008" s="312"/>
      <c r="H1008" s="306"/>
      <c r="I1008" s="302"/>
      <c r="J1008" s="307"/>
      <c r="K1008" s="313"/>
      <c r="L1008" s="319"/>
      <c r="M1008" s="316"/>
      <c r="N1008" s="205"/>
      <c r="O1008" s="311"/>
      <c r="P1008" s="200"/>
      <c r="Q1008" s="200"/>
      <c r="R1008" s="58"/>
      <c r="S1008" s="58"/>
      <c r="T1008" s="58"/>
      <c r="U1008" s="58"/>
      <c r="V1008" s="58"/>
      <c r="W1008" s="58"/>
      <c r="X1008" s="58"/>
      <c r="Y1008" s="58"/>
      <c r="Z1008" s="58"/>
      <c r="AA1008" s="58"/>
      <c r="AB1008" s="58"/>
      <c r="AC1008" s="58"/>
    </row>
    <row r="1009">
      <c r="A1009" s="320"/>
      <c r="B1009" s="301"/>
      <c r="C1009" s="205"/>
      <c r="D1009" s="302"/>
      <c r="E1009" s="303"/>
      <c r="F1009" s="304"/>
      <c r="G1009" s="312"/>
      <c r="H1009" s="306"/>
      <c r="I1009" s="302"/>
      <c r="J1009" s="307"/>
      <c r="K1009" s="313"/>
      <c r="L1009" s="319"/>
      <c r="M1009" s="316"/>
      <c r="N1009" s="205"/>
      <c r="O1009" s="311"/>
      <c r="P1009" s="200"/>
      <c r="Q1009" s="200"/>
      <c r="R1009" s="58"/>
      <c r="S1009" s="58"/>
      <c r="T1009" s="58"/>
      <c r="U1009" s="58"/>
      <c r="V1009" s="58"/>
      <c r="W1009" s="58"/>
      <c r="X1009" s="58"/>
      <c r="Y1009" s="58"/>
      <c r="Z1009" s="58"/>
      <c r="AA1009" s="58"/>
      <c r="AB1009" s="58"/>
      <c r="AC1009" s="58"/>
    </row>
    <row r="1010">
      <c r="A1010" s="320"/>
      <c r="B1010" s="301"/>
      <c r="C1010" s="205"/>
      <c r="D1010" s="302"/>
      <c r="E1010" s="303"/>
      <c r="F1010" s="304"/>
      <c r="G1010" s="312"/>
      <c r="H1010" s="306"/>
      <c r="I1010" s="302"/>
      <c r="J1010" s="307"/>
      <c r="K1010" s="313"/>
      <c r="L1010" s="319"/>
      <c r="M1010" s="316"/>
      <c r="N1010" s="205"/>
      <c r="O1010" s="311"/>
      <c r="P1010" s="200"/>
      <c r="Q1010" s="200"/>
      <c r="R1010" s="58"/>
      <c r="S1010" s="58"/>
      <c r="T1010" s="58"/>
      <c r="U1010" s="58"/>
      <c r="V1010" s="58"/>
      <c r="W1010" s="58"/>
      <c r="X1010" s="58"/>
      <c r="Y1010" s="58"/>
      <c r="Z1010" s="58"/>
      <c r="AA1010" s="58"/>
      <c r="AB1010" s="58"/>
      <c r="AC1010" s="58"/>
    </row>
    <row r="1011">
      <c r="A1011" s="320"/>
      <c r="B1011" s="301"/>
      <c r="C1011" s="205"/>
      <c r="D1011" s="302"/>
      <c r="E1011" s="303"/>
      <c r="F1011" s="304"/>
      <c r="G1011" s="312"/>
      <c r="H1011" s="306"/>
      <c r="I1011" s="302"/>
      <c r="J1011" s="307"/>
      <c r="K1011" s="313"/>
      <c r="L1011" s="319"/>
      <c r="M1011" s="316"/>
      <c r="N1011" s="205"/>
      <c r="O1011" s="311"/>
      <c r="P1011" s="200"/>
      <c r="Q1011" s="200"/>
      <c r="R1011" s="58"/>
      <c r="S1011" s="58"/>
      <c r="T1011" s="58"/>
      <c r="U1011" s="58"/>
      <c r="V1011" s="58"/>
      <c r="W1011" s="58"/>
      <c r="X1011" s="58"/>
      <c r="Y1011" s="58"/>
      <c r="Z1011" s="58"/>
      <c r="AA1011" s="58"/>
      <c r="AB1011" s="58"/>
      <c r="AC1011" s="58"/>
    </row>
    <row r="1012">
      <c r="A1012" s="320"/>
      <c r="B1012" s="301"/>
      <c r="C1012" s="205"/>
      <c r="D1012" s="302"/>
      <c r="E1012" s="303"/>
      <c r="F1012" s="304"/>
      <c r="G1012" s="312"/>
      <c r="H1012" s="306"/>
      <c r="I1012" s="302"/>
      <c r="J1012" s="307"/>
      <c r="K1012" s="313"/>
      <c r="L1012" s="319"/>
      <c r="M1012" s="316"/>
      <c r="N1012" s="205"/>
      <c r="O1012" s="311"/>
      <c r="P1012" s="200"/>
      <c r="Q1012" s="200"/>
      <c r="R1012" s="58"/>
      <c r="S1012" s="58"/>
      <c r="T1012" s="58"/>
      <c r="U1012" s="58"/>
      <c r="V1012" s="58"/>
      <c r="W1012" s="58"/>
      <c r="X1012" s="58"/>
      <c r="Y1012" s="58"/>
      <c r="Z1012" s="58"/>
      <c r="AA1012" s="58"/>
      <c r="AB1012" s="58"/>
      <c r="AC1012" s="58"/>
    </row>
    <row r="1013">
      <c r="A1013" s="320"/>
      <c r="B1013" s="301"/>
      <c r="C1013" s="205"/>
      <c r="D1013" s="302"/>
      <c r="E1013" s="303"/>
      <c r="F1013" s="304"/>
      <c r="G1013" s="312"/>
      <c r="H1013" s="306"/>
      <c r="I1013" s="302"/>
      <c r="J1013" s="307"/>
      <c r="K1013" s="313"/>
      <c r="L1013" s="319"/>
      <c r="M1013" s="316"/>
      <c r="N1013" s="205"/>
      <c r="O1013" s="311"/>
      <c r="P1013" s="200"/>
      <c r="Q1013" s="200"/>
      <c r="R1013" s="58"/>
      <c r="S1013" s="58"/>
      <c r="T1013" s="58"/>
      <c r="U1013" s="58"/>
      <c r="V1013" s="58"/>
      <c r="W1013" s="58"/>
      <c r="X1013" s="58"/>
      <c r="Y1013" s="58"/>
      <c r="Z1013" s="58"/>
      <c r="AA1013" s="58"/>
      <c r="AB1013" s="58"/>
      <c r="AC1013" s="58"/>
    </row>
    <row r="1014">
      <c r="A1014" s="320"/>
      <c r="B1014" s="301"/>
      <c r="C1014" s="205"/>
      <c r="D1014" s="302"/>
      <c r="E1014" s="303"/>
      <c r="F1014" s="304"/>
      <c r="G1014" s="312"/>
      <c r="H1014" s="306"/>
      <c r="I1014" s="302"/>
      <c r="J1014" s="307"/>
      <c r="K1014" s="313"/>
      <c r="L1014" s="319"/>
      <c r="M1014" s="316"/>
      <c r="N1014" s="205"/>
      <c r="O1014" s="311"/>
      <c r="P1014" s="200"/>
      <c r="Q1014" s="200"/>
      <c r="R1014" s="58"/>
      <c r="S1014" s="58"/>
      <c r="T1014" s="58"/>
      <c r="U1014" s="58"/>
      <c r="V1014" s="58"/>
      <c r="W1014" s="58"/>
      <c r="X1014" s="58"/>
      <c r="Y1014" s="58"/>
      <c r="Z1014" s="58"/>
      <c r="AA1014" s="58"/>
      <c r="AB1014" s="58"/>
      <c r="AC1014" s="58"/>
    </row>
    <row r="1015">
      <c r="A1015" s="320"/>
      <c r="B1015" s="301"/>
      <c r="C1015" s="205"/>
      <c r="D1015" s="302"/>
      <c r="E1015" s="303"/>
      <c r="F1015" s="304"/>
      <c r="G1015" s="312"/>
      <c r="H1015" s="306"/>
      <c r="I1015" s="302"/>
      <c r="J1015" s="307"/>
      <c r="K1015" s="313"/>
      <c r="L1015" s="319"/>
      <c r="M1015" s="316"/>
      <c r="N1015" s="205"/>
      <c r="O1015" s="311"/>
      <c r="P1015" s="200"/>
      <c r="Q1015" s="200"/>
      <c r="R1015" s="58"/>
      <c r="S1015" s="58"/>
      <c r="T1015" s="58"/>
      <c r="U1015" s="58"/>
      <c r="V1015" s="58"/>
      <c r="W1015" s="58"/>
      <c r="X1015" s="58"/>
      <c r="Y1015" s="58"/>
      <c r="Z1015" s="58"/>
      <c r="AA1015" s="58"/>
      <c r="AB1015" s="58"/>
      <c r="AC1015" s="58"/>
    </row>
    <row r="1016">
      <c r="A1016" s="320"/>
      <c r="B1016" s="301"/>
      <c r="C1016" s="205"/>
      <c r="D1016" s="302"/>
      <c r="E1016" s="303"/>
      <c r="F1016" s="304"/>
      <c r="G1016" s="312"/>
      <c r="H1016" s="306"/>
      <c r="I1016" s="302"/>
      <c r="J1016" s="307"/>
      <c r="K1016" s="313"/>
      <c r="L1016" s="319"/>
      <c r="M1016" s="316"/>
      <c r="N1016" s="205"/>
      <c r="O1016" s="311"/>
      <c r="P1016" s="200"/>
      <c r="Q1016" s="200"/>
      <c r="R1016" s="58"/>
      <c r="S1016" s="58"/>
      <c r="T1016" s="58"/>
      <c r="U1016" s="58"/>
      <c r="V1016" s="58"/>
      <c r="W1016" s="58"/>
      <c r="X1016" s="58"/>
      <c r="Y1016" s="58"/>
      <c r="Z1016" s="58"/>
      <c r="AA1016" s="58"/>
      <c r="AB1016" s="58"/>
      <c r="AC1016" s="58"/>
    </row>
    <row r="1017">
      <c r="A1017" s="320"/>
      <c r="B1017" s="301"/>
      <c r="C1017" s="205"/>
      <c r="D1017" s="302"/>
      <c r="E1017" s="303"/>
      <c r="F1017" s="304"/>
      <c r="G1017" s="312"/>
      <c r="H1017" s="306"/>
      <c r="I1017" s="302"/>
      <c r="J1017" s="307"/>
      <c r="K1017" s="313"/>
      <c r="L1017" s="319"/>
      <c r="M1017" s="316"/>
      <c r="N1017" s="205"/>
      <c r="O1017" s="311"/>
      <c r="P1017" s="200"/>
      <c r="Q1017" s="200"/>
      <c r="R1017" s="58"/>
      <c r="S1017" s="58"/>
      <c r="T1017" s="58"/>
      <c r="U1017" s="58"/>
      <c r="V1017" s="58"/>
      <c r="W1017" s="58"/>
      <c r="X1017" s="58"/>
      <c r="Y1017" s="58"/>
      <c r="Z1017" s="58"/>
      <c r="AA1017" s="58"/>
      <c r="AB1017" s="58"/>
      <c r="AC1017" s="58"/>
    </row>
    <row r="1018">
      <c r="A1018" s="320"/>
      <c r="B1018" s="301"/>
      <c r="C1018" s="205"/>
      <c r="D1018" s="302"/>
      <c r="E1018" s="303"/>
      <c r="F1018" s="304"/>
      <c r="G1018" s="312"/>
      <c r="H1018" s="306"/>
      <c r="I1018" s="302"/>
      <c r="J1018" s="307"/>
      <c r="K1018" s="313"/>
      <c r="L1018" s="319"/>
      <c r="M1018" s="316"/>
      <c r="N1018" s="205"/>
      <c r="O1018" s="311"/>
      <c r="P1018" s="200"/>
      <c r="Q1018" s="200"/>
      <c r="R1018" s="58"/>
      <c r="S1018" s="58"/>
      <c r="T1018" s="58"/>
      <c r="U1018" s="58"/>
      <c r="V1018" s="58"/>
      <c r="W1018" s="58"/>
      <c r="X1018" s="58"/>
      <c r="Y1018" s="58"/>
      <c r="Z1018" s="58"/>
      <c r="AA1018" s="58"/>
      <c r="AB1018" s="58"/>
      <c r="AC1018" s="58"/>
    </row>
    <row r="1019">
      <c r="A1019" s="320"/>
      <c r="B1019" s="301"/>
      <c r="C1019" s="205"/>
      <c r="D1019" s="302"/>
      <c r="E1019" s="303"/>
      <c r="F1019" s="304"/>
      <c r="G1019" s="312"/>
      <c r="H1019" s="306"/>
      <c r="I1019" s="302"/>
      <c r="J1019" s="307"/>
      <c r="K1019" s="313"/>
      <c r="L1019" s="319"/>
      <c r="M1019" s="316"/>
      <c r="N1019" s="205"/>
      <c r="O1019" s="311"/>
      <c r="P1019" s="200"/>
      <c r="Q1019" s="200"/>
      <c r="R1019" s="58"/>
      <c r="S1019" s="58"/>
      <c r="T1019" s="58"/>
      <c r="U1019" s="58"/>
      <c r="V1019" s="58"/>
      <c r="W1019" s="58"/>
      <c r="X1019" s="58"/>
      <c r="Y1019" s="58"/>
      <c r="Z1019" s="58"/>
      <c r="AA1019" s="58"/>
      <c r="AB1019" s="58"/>
      <c r="AC1019" s="58"/>
    </row>
    <row r="1020">
      <c r="A1020" s="320"/>
      <c r="B1020" s="301"/>
      <c r="C1020" s="205"/>
      <c r="D1020" s="302"/>
      <c r="E1020" s="303"/>
      <c r="F1020" s="304"/>
      <c r="G1020" s="312"/>
      <c r="H1020" s="306"/>
      <c r="I1020" s="302"/>
      <c r="J1020" s="307"/>
      <c r="K1020" s="313"/>
      <c r="L1020" s="319"/>
      <c r="M1020" s="316"/>
      <c r="N1020" s="205"/>
      <c r="O1020" s="311"/>
      <c r="P1020" s="200"/>
      <c r="Q1020" s="200"/>
      <c r="R1020" s="58"/>
      <c r="S1020" s="58"/>
      <c r="T1020" s="58"/>
      <c r="U1020" s="58"/>
      <c r="V1020" s="58"/>
      <c r="W1020" s="58"/>
      <c r="X1020" s="58"/>
      <c r="Y1020" s="58"/>
      <c r="Z1020" s="58"/>
      <c r="AA1020" s="58"/>
      <c r="AB1020" s="58"/>
      <c r="AC1020" s="58"/>
    </row>
    <row r="1021">
      <c r="A1021" s="320"/>
      <c r="B1021" s="301"/>
      <c r="C1021" s="205"/>
      <c r="D1021" s="302"/>
      <c r="E1021" s="303"/>
      <c r="F1021" s="304"/>
      <c r="G1021" s="312"/>
      <c r="H1021" s="306"/>
      <c r="I1021" s="302"/>
      <c r="J1021" s="307"/>
      <c r="K1021" s="313"/>
      <c r="L1021" s="319"/>
      <c r="M1021" s="316"/>
      <c r="N1021" s="205"/>
      <c r="O1021" s="311"/>
      <c r="P1021" s="200"/>
      <c r="Q1021" s="200"/>
      <c r="R1021" s="58"/>
      <c r="S1021" s="58"/>
      <c r="T1021" s="58"/>
      <c r="U1021" s="58"/>
      <c r="V1021" s="58"/>
      <c r="W1021" s="58"/>
      <c r="X1021" s="58"/>
      <c r="Y1021" s="58"/>
      <c r="Z1021" s="58"/>
      <c r="AA1021" s="58"/>
      <c r="AB1021" s="58"/>
      <c r="AC1021" s="58"/>
    </row>
    <row r="1022">
      <c r="A1022" s="320"/>
      <c r="B1022" s="301"/>
      <c r="C1022" s="205"/>
      <c r="D1022" s="302"/>
      <c r="E1022" s="303"/>
      <c r="F1022" s="304"/>
      <c r="G1022" s="312"/>
      <c r="H1022" s="306"/>
      <c r="I1022" s="302"/>
      <c r="J1022" s="307"/>
      <c r="K1022" s="313"/>
      <c r="L1022" s="319"/>
      <c r="M1022" s="316"/>
      <c r="N1022" s="205"/>
      <c r="O1022" s="311"/>
      <c r="P1022" s="200"/>
      <c r="Q1022" s="200"/>
      <c r="R1022" s="58"/>
      <c r="S1022" s="58"/>
      <c r="T1022" s="58"/>
      <c r="U1022" s="58"/>
      <c r="V1022" s="58"/>
      <c r="W1022" s="58"/>
      <c r="X1022" s="58"/>
      <c r="Y1022" s="58"/>
      <c r="Z1022" s="58"/>
      <c r="AA1022" s="58"/>
      <c r="AB1022" s="58"/>
      <c r="AC1022" s="58"/>
    </row>
    <row r="1023">
      <c r="A1023" s="320"/>
      <c r="B1023" s="301"/>
      <c r="C1023" s="205"/>
      <c r="D1023" s="302"/>
      <c r="E1023" s="303"/>
      <c r="F1023" s="304"/>
      <c r="G1023" s="312"/>
      <c r="H1023" s="306"/>
      <c r="I1023" s="302"/>
      <c r="J1023" s="307"/>
      <c r="K1023" s="313"/>
      <c r="L1023" s="319"/>
      <c r="M1023" s="316"/>
      <c r="N1023" s="205"/>
      <c r="O1023" s="311"/>
      <c r="P1023" s="200"/>
      <c r="Q1023" s="200"/>
      <c r="R1023" s="58"/>
      <c r="S1023" s="58"/>
      <c r="T1023" s="58"/>
      <c r="U1023" s="58"/>
      <c r="V1023" s="58"/>
      <c r="W1023" s="58"/>
      <c r="X1023" s="58"/>
      <c r="Y1023" s="58"/>
      <c r="Z1023" s="58"/>
      <c r="AA1023" s="58"/>
      <c r="AB1023" s="58"/>
      <c r="AC1023" s="58"/>
    </row>
    <row r="1024">
      <c r="A1024" s="320"/>
      <c r="B1024" s="301"/>
      <c r="C1024" s="205"/>
      <c r="D1024" s="302"/>
      <c r="E1024" s="303"/>
      <c r="F1024" s="304"/>
      <c r="G1024" s="312"/>
      <c r="H1024" s="306"/>
      <c r="I1024" s="302"/>
      <c r="J1024" s="307"/>
      <c r="K1024" s="313"/>
      <c r="L1024" s="319"/>
      <c r="M1024" s="316"/>
      <c r="N1024" s="205"/>
      <c r="O1024" s="311"/>
      <c r="P1024" s="200"/>
      <c r="Q1024" s="200"/>
      <c r="R1024" s="58"/>
      <c r="S1024" s="58"/>
      <c r="T1024" s="58"/>
      <c r="U1024" s="58"/>
      <c r="V1024" s="58"/>
      <c r="W1024" s="58"/>
      <c r="X1024" s="58"/>
      <c r="Y1024" s="58"/>
      <c r="Z1024" s="58"/>
      <c r="AA1024" s="58"/>
      <c r="AB1024" s="58"/>
      <c r="AC1024" s="58"/>
    </row>
    <row r="1025">
      <c r="A1025" s="320"/>
      <c r="B1025" s="301"/>
      <c r="C1025" s="205"/>
      <c r="D1025" s="302"/>
      <c r="E1025" s="303"/>
      <c r="F1025" s="304"/>
      <c r="G1025" s="312"/>
      <c r="H1025" s="306"/>
      <c r="I1025" s="302"/>
      <c r="J1025" s="307"/>
      <c r="K1025" s="313"/>
      <c r="L1025" s="319"/>
      <c r="M1025" s="316"/>
      <c r="N1025" s="205"/>
      <c r="O1025" s="311"/>
      <c r="P1025" s="200"/>
      <c r="Q1025" s="200"/>
      <c r="R1025" s="58"/>
      <c r="S1025" s="58"/>
      <c r="T1025" s="58"/>
      <c r="U1025" s="58"/>
      <c r="V1025" s="58"/>
      <c r="W1025" s="58"/>
      <c r="X1025" s="58"/>
      <c r="Y1025" s="58"/>
      <c r="Z1025" s="58"/>
      <c r="AA1025" s="58"/>
      <c r="AB1025" s="58"/>
      <c r="AC1025" s="58"/>
    </row>
    <row r="1026">
      <c r="A1026" s="320"/>
      <c r="B1026" s="301"/>
      <c r="C1026" s="205"/>
      <c r="D1026" s="302"/>
      <c r="E1026" s="303"/>
      <c r="F1026" s="304"/>
      <c r="G1026" s="312"/>
      <c r="H1026" s="306"/>
      <c r="I1026" s="302"/>
      <c r="J1026" s="307"/>
      <c r="K1026" s="313"/>
      <c r="L1026" s="319"/>
      <c r="M1026" s="316"/>
      <c r="N1026" s="205"/>
      <c r="O1026" s="311"/>
      <c r="P1026" s="200"/>
      <c r="Q1026" s="200"/>
      <c r="R1026" s="58"/>
      <c r="S1026" s="58"/>
      <c r="T1026" s="58"/>
      <c r="U1026" s="58"/>
      <c r="V1026" s="58"/>
      <c r="W1026" s="58"/>
      <c r="X1026" s="58"/>
      <c r="Y1026" s="58"/>
      <c r="Z1026" s="58"/>
      <c r="AA1026" s="58"/>
      <c r="AB1026" s="58"/>
      <c r="AC1026" s="58"/>
    </row>
    <row r="1027">
      <c r="A1027" s="320"/>
      <c r="B1027" s="301"/>
      <c r="C1027" s="205"/>
      <c r="D1027" s="302"/>
      <c r="E1027" s="303"/>
      <c r="F1027" s="304"/>
      <c r="G1027" s="312"/>
      <c r="H1027" s="306"/>
      <c r="I1027" s="302"/>
      <c r="J1027" s="307"/>
      <c r="K1027" s="313"/>
      <c r="L1027" s="319"/>
      <c r="M1027" s="316"/>
      <c r="N1027" s="205"/>
      <c r="O1027" s="311"/>
      <c r="P1027" s="200"/>
      <c r="Q1027" s="200"/>
      <c r="R1027" s="58"/>
      <c r="S1027" s="58"/>
      <c r="T1027" s="58"/>
      <c r="U1027" s="58"/>
      <c r="V1027" s="58"/>
      <c r="W1027" s="58"/>
      <c r="X1027" s="58"/>
      <c r="Y1027" s="58"/>
      <c r="Z1027" s="58"/>
      <c r="AA1027" s="58"/>
      <c r="AB1027" s="58"/>
      <c r="AC1027" s="58"/>
    </row>
    <row r="1028">
      <c r="A1028" s="320"/>
      <c r="B1028" s="301"/>
      <c r="C1028" s="205"/>
      <c r="D1028" s="302"/>
      <c r="E1028" s="303"/>
      <c r="F1028" s="304"/>
      <c r="G1028" s="312"/>
      <c r="H1028" s="306"/>
      <c r="I1028" s="302"/>
      <c r="J1028" s="307"/>
      <c r="K1028" s="313"/>
      <c r="L1028" s="319"/>
      <c r="M1028" s="316"/>
      <c r="N1028" s="205"/>
      <c r="O1028" s="311"/>
      <c r="P1028" s="200"/>
      <c r="Q1028" s="200"/>
      <c r="R1028" s="58"/>
      <c r="S1028" s="58"/>
      <c r="T1028" s="58"/>
      <c r="U1028" s="58"/>
      <c r="V1028" s="58"/>
      <c r="W1028" s="58"/>
      <c r="X1028" s="58"/>
      <c r="Y1028" s="58"/>
      <c r="Z1028" s="58"/>
      <c r="AA1028" s="58"/>
      <c r="AB1028" s="58"/>
      <c r="AC1028" s="58"/>
    </row>
    <row r="1029">
      <c r="A1029" s="320"/>
      <c r="B1029" s="301"/>
      <c r="C1029" s="205"/>
      <c r="D1029" s="302"/>
      <c r="E1029" s="303"/>
      <c r="F1029" s="304"/>
      <c r="G1029" s="312"/>
      <c r="H1029" s="306"/>
      <c r="I1029" s="302"/>
      <c r="J1029" s="307"/>
      <c r="K1029" s="313"/>
      <c r="L1029" s="319"/>
      <c r="M1029" s="316"/>
      <c r="N1029" s="205"/>
      <c r="O1029" s="311"/>
      <c r="P1029" s="200"/>
      <c r="Q1029" s="200"/>
      <c r="R1029" s="58"/>
      <c r="S1029" s="58"/>
      <c r="T1029" s="58"/>
      <c r="U1029" s="58"/>
      <c r="V1029" s="58"/>
      <c r="W1029" s="58"/>
      <c r="X1029" s="58"/>
      <c r="Y1029" s="58"/>
      <c r="Z1029" s="58"/>
      <c r="AA1029" s="58"/>
      <c r="AB1029" s="58"/>
      <c r="AC1029" s="58"/>
    </row>
    <row r="1030">
      <c r="A1030" s="320"/>
      <c r="B1030" s="301"/>
      <c r="C1030" s="205"/>
      <c r="D1030" s="302"/>
      <c r="E1030" s="303"/>
      <c r="F1030" s="304"/>
      <c r="G1030" s="312"/>
      <c r="H1030" s="306"/>
      <c r="I1030" s="302"/>
      <c r="J1030" s="307"/>
      <c r="K1030" s="313"/>
      <c r="L1030" s="319"/>
      <c r="M1030" s="316"/>
      <c r="N1030" s="205"/>
      <c r="O1030" s="311"/>
      <c r="P1030" s="200"/>
      <c r="Q1030" s="200"/>
      <c r="R1030" s="58"/>
      <c r="S1030" s="58"/>
      <c r="T1030" s="58"/>
      <c r="U1030" s="58"/>
      <c r="V1030" s="58"/>
      <c r="W1030" s="58"/>
      <c r="X1030" s="58"/>
      <c r="Y1030" s="58"/>
      <c r="Z1030" s="58"/>
      <c r="AA1030" s="58"/>
      <c r="AB1030" s="58"/>
      <c r="AC1030" s="58"/>
    </row>
    <row r="1031">
      <c r="A1031" s="320"/>
      <c r="B1031" s="301"/>
      <c r="C1031" s="205"/>
      <c r="D1031" s="302"/>
      <c r="E1031" s="303"/>
      <c r="F1031" s="304"/>
      <c r="G1031" s="312"/>
      <c r="H1031" s="306"/>
      <c r="I1031" s="302"/>
      <c r="J1031" s="307"/>
      <c r="K1031" s="313"/>
      <c r="L1031" s="319"/>
      <c r="M1031" s="316"/>
      <c r="N1031" s="205"/>
      <c r="O1031" s="311"/>
      <c r="P1031" s="200"/>
      <c r="Q1031" s="200"/>
      <c r="R1031" s="58"/>
      <c r="S1031" s="58"/>
      <c r="T1031" s="58"/>
      <c r="U1031" s="58"/>
      <c r="V1031" s="58"/>
      <c r="W1031" s="58"/>
      <c r="X1031" s="58"/>
      <c r="Y1031" s="58"/>
      <c r="Z1031" s="58"/>
      <c r="AA1031" s="58"/>
      <c r="AB1031" s="58"/>
      <c r="AC1031" s="58"/>
    </row>
    <row r="1032">
      <c r="A1032" s="320"/>
      <c r="B1032" s="301"/>
      <c r="C1032" s="205"/>
      <c r="D1032" s="302"/>
      <c r="E1032" s="303"/>
      <c r="F1032" s="304"/>
      <c r="G1032" s="312"/>
      <c r="H1032" s="306"/>
      <c r="I1032" s="302"/>
      <c r="J1032" s="307"/>
      <c r="K1032" s="313"/>
      <c r="L1032" s="319"/>
      <c r="M1032" s="316"/>
      <c r="N1032" s="205"/>
      <c r="O1032" s="311"/>
      <c r="P1032" s="200"/>
      <c r="Q1032" s="200"/>
      <c r="R1032" s="58"/>
      <c r="S1032" s="58"/>
      <c r="T1032" s="58"/>
      <c r="U1032" s="58"/>
      <c r="V1032" s="58"/>
      <c r="W1032" s="58"/>
      <c r="X1032" s="58"/>
      <c r="Y1032" s="58"/>
      <c r="Z1032" s="58"/>
      <c r="AA1032" s="58"/>
      <c r="AB1032" s="58"/>
      <c r="AC1032" s="58"/>
    </row>
    <row r="1033">
      <c r="A1033" s="320"/>
      <c r="B1033" s="301"/>
      <c r="C1033" s="205"/>
      <c r="D1033" s="302"/>
      <c r="E1033" s="303"/>
      <c r="F1033" s="304"/>
      <c r="G1033" s="312"/>
      <c r="H1033" s="306"/>
      <c r="I1033" s="302"/>
      <c r="J1033" s="307"/>
      <c r="K1033" s="313"/>
      <c r="L1033" s="319"/>
      <c r="M1033" s="316"/>
      <c r="N1033" s="205"/>
      <c r="O1033" s="311"/>
      <c r="P1033" s="200"/>
      <c r="Q1033" s="200"/>
      <c r="R1033" s="58"/>
      <c r="S1033" s="58"/>
      <c r="T1033" s="58"/>
      <c r="U1033" s="58"/>
      <c r="V1033" s="58"/>
      <c r="W1033" s="58"/>
      <c r="X1033" s="58"/>
      <c r="Y1033" s="58"/>
      <c r="Z1033" s="58"/>
      <c r="AA1033" s="58"/>
      <c r="AB1033" s="58"/>
      <c r="AC1033" s="58"/>
    </row>
    <row r="1034">
      <c r="A1034" s="320"/>
      <c r="B1034" s="301"/>
      <c r="C1034" s="205"/>
      <c r="D1034" s="302"/>
      <c r="E1034" s="303"/>
      <c r="F1034" s="304"/>
      <c r="G1034" s="312"/>
      <c r="H1034" s="306"/>
      <c r="I1034" s="302"/>
      <c r="J1034" s="307"/>
      <c r="K1034" s="313"/>
      <c r="L1034" s="319"/>
      <c r="M1034" s="316"/>
      <c r="N1034" s="205"/>
      <c r="O1034" s="311"/>
      <c r="P1034" s="200"/>
      <c r="Q1034" s="200"/>
      <c r="R1034" s="58"/>
      <c r="S1034" s="58"/>
      <c r="T1034" s="58"/>
      <c r="U1034" s="58"/>
      <c r="V1034" s="58"/>
      <c r="W1034" s="58"/>
      <c r="X1034" s="58"/>
      <c r="Y1034" s="58"/>
      <c r="Z1034" s="58"/>
      <c r="AA1034" s="58"/>
      <c r="AB1034" s="58"/>
      <c r="AC1034" s="58"/>
    </row>
    <row r="1035">
      <c r="A1035" s="320"/>
      <c r="B1035" s="301"/>
      <c r="C1035" s="205"/>
      <c r="D1035" s="302"/>
      <c r="E1035" s="303"/>
      <c r="F1035" s="304"/>
      <c r="G1035" s="312"/>
      <c r="H1035" s="306"/>
      <c r="I1035" s="302"/>
      <c r="J1035" s="307"/>
      <c r="K1035" s="313"/>
      <c r="L1035" s="319"/>
      <c r="M1035" s="316"/>
      <c r="N1035" s="205"/>
      <c r="O1035" s="311"/>
      <c r="P1035" s="200"/>
      <c r="Q1035" s="200"/>
      <c r="R1035" s="58"/>
      <c r="S1035" s="58"/>
      <c r="T1035" s="58"/>
      <c r="U1035" s="58"/>
      <c r="V1035" s="58"/>
      <c r="W1035" s="58"/>
      <c r="X1035" s="58"/>
      <c r="Y1035" s="58"/>
      <c r="Z1035" s="58"/>
      <c r="AA1035" s="58"/>
      <c r="AB1035" s="58"/>
      <c r="AC1035" s="58"/>
    </row>
    <row r="1036">
      <c r="A1036" s="320"/>
      <c r="B1036" s="301"/>
      <c r="C1036" s="205"/>
      <c r="D1036" s="302"/>
      <c r="E1036" s="303"/>
      <c r="F1036" s="304"/>
      <c r="G1036" s="312"/>
      <c r="H1036" s="306"/>
      <c r="I1036" s="302"/>
      <c r="J1036" s="307"/>
      <c r="K1036" s="313"/>
      <c r="L1036" s="319"/>
      <c r="M1036" s="316"/>
      <c r="N1036" s="205"/>
      <c r="O1036" s="311"/>
      <c r="P1036" s="200"/>
      <c r="Q1036" s="200"/>
      <c r="R1036" s="58"/>
      <c r="S1036" s="58"/>
      <c r="T1036" s="58"/>
      <c r="U1036" s="58"/>
      <c r="V1036" s="58"/>
      <c r="W1036" s="58"/>
      <c r="X1036" s="58"/>
      <c r="Y1036" s="58"/>
      <c r="Z1036" s="58"/>
      <c r="AA1036" s="58"/>
      <c r="AB1036" s="58"/>
      <c r="AC1036" s="58"/>
    </row>
    <row r="1037">
      <c r="A1037" s="320"/>
      <c r="B1037" s="301"/>
      <c r="C1037" s="205"/>
      <c r="D1037" s="302"/>
      <c r="E1037" s="303"/>
      <c r="F1037" s="304"/>
      <c r="G1037" s="312"/>
      <c r="H1037" s="306"/>
      <c r="I1037" s="302"/>
      <c r="J1037" s="307"/>
      <c r="K1037" s="313"/>
      <c r="L1037" s="319"/>
      <c r="M1037" s="316"/>
      <c r="N1037" s="205"/>
      <c r="O1037" s="311"/>
      <c r="P1037" s="200"/>
      <c r="Q1037" s="200"/>
      <c r="R1037" s="58"/>
      <c r="S1037" s="58"/>
      <c r="T1037" s="58"/>
      <c r="U1037" s="58"/>
      <c r="V1037" s="58"/>
      <c r="W1037" s="58"/>
      <c r="X1037" s="58"/>
      <c r="Y1037" s="58"/>
      <c r="Z1037" s="58"/>
      <c r="AA1037" s="58"/>
      <c r="AB1037" s="58"/>
      <c r="AC1037" s="58"/>
    </row>
    <row r="1038">
      <c r="A1038" s="320"/>
      <c r="B1038" s="301"/>
      <c r="C1038" s="205"/>
      <c r="D1038" s="302"/>
      <c r="E1038" s="303"/>
      <c r="F1038" s="304"/>
      <c r="G1038" s="312"/>
      <c r="H1038" s="306"/>
      <c r="I1038" s="302"/>
      <c r="J1038" s="307"/>
      <c r="K1038" s="313"/>
      <c r="L1038" s="319"/>
      <c r="M1038" s="316"/>
      <c r="N1038" s="205"/>
      <c r="O1038" s="311"/>
      <c r="P1038" s="200"/>
      <c r="Q1038" s="200"/>
      <c r="R1038" s="58"/>
      <c r="S1038" s="58"/>
      <c r="T1038" s="58"/>
      <c r="U1038" s="58"/>
      <c r="V1038" s="58"/>
      <c r="W1038" s="58"/>
      <c r="X1038" s="58"/>
      <c r="Y1038" s="58"/>
      <c r="Z1038" s="58"/>
      <c r="AA1038" s="58"/>
      <c r="AB1038" s="58"/>
      <c r="AC1038" s="58"/>
    </row>
    <row r="1039">
      <c r="A1039" s="320"/>
      <c r="B1039" s="301"/>
      <c r="C1039" s="205"/>
      <c r="D1039" s="302"/>
      <c r="E1039" s="303"/>
      <c r="F1039" s="304"/>
      <c r="G1039" s="312"/>
      <c r="H1039" s="306"/>
      <c r="I1039" s="302"/>
      <c r="J1039" s="307"/>
      <c r="K1039" s="313"/>
      <c r="L1039" s="319"/>
      <c r="M1039" s="316"/>
      <c r="N1039" s="205"/>
      <c r="O1039" s="311"/>
      <c r="P1039" s="200"/>
      <c r="Q1039" s="200"/>
      <c r="R1039" s="58"/>
      <c r="S1039" s="58"/>
      <c r="T1039" s="58"/>
      <c r="U1039" s="58"/>
      <c r="V1039" s="58"/>
      <c r="W1039" s="58"/>
      <c r="X1039" s="58"/>
      <c r="Y1039" s="58"/>
      <c r="Z1039" s="58"/>
      <c r="AA1039" s="58"/>
      <c r="AB1039" s="58"/>
      <c r="AC1039" s="58"/>
    </row>
    <row r="1040">
      <c r="A1040" s="320"/>
      <c r="B1040" s="301"/>
      <c r="C1040" s="205"/>
      <c r="D1040" s="302"/>
      <c r="E1040" s="303"/>
      <c r="F1040" s="304"/>
      <c r="G1040" s="312"/>
      <c r="H1040" s="306"/>
      <c r="I1040" s="302"/>
      <c r="J1040" s="307"/>
      <c r="K1040" s="313"/>
      <c r="L1040" s="319"/>
      <c r="M1040" s="316"/>
      <c r="N1040" s="205"/>
      <c r="O1040" s="311"/>
      <c r="P1040" s="200"/>
      <c r="Q1040" s="200"/>
      <c r="R1040" s="58"/>
      <c r="S1040" s="58"/>
      <c r="T1040" s="58"/>
      <c r="U1040" s="58"/>
      <c r="V1040" s="58"/>
      <c r="W1040" s="58"/>
      <c r="X1040" s="58"/>
      <c r="Y1040" s="58"/>
      <c r="Z1040" s="58"/>
      <c r="AA1040" s="58"/>
      <c r="AB1040" s="58"/>
      <c r="AC1040" s="58"/>
    </row>
    <row r="1041">
      <c r="A1041" s="320"/>
      <c r="B1041" s="301"/>
      <c r="C1041" s="205"/>
      <c r="D1041" s="302"/>
      <c r="E1041" s="303"/>
      <c r="F1041" s="304"/>
      <c r="G1041" s="312"/>
      <c r="H1041" s="306"/>
      <c r="I1041" s="302"/>
      <c r="J1041" s="307"/>
      <c r="K1041" s="313"/>
      <c r="L1041" s="319"/>
      <c r="M1041" s="316"/>
      <c r="N1041" s="205"/>
      <c r="O1041" s="311"/>
      <c r="P1041" s="200"/>
      <c r="Q1041" s="200"/>
      <c r="R1041" s="58"/>
      <c r="S1041" s="58"/>
      <c r="T1041" s="58"/>
      <c r="U1041" s="58"/>
      <c r="V1041" s="58"/>
      <c r="W1041" s="58"/>
      <c r="X1041" s="58"/>
      <c r="Y1041" s="58"/>
      <c r="Z1041" s="58"/>
      <c r="AA1041" s="58"/>
      <c r="AB1041" s="58"/>
      <c r="AC1041" s="58"/>
    </row>
    <row r="1042">
      <c r="A1042" s="320"/>
      <c r="B1042" s="301"/>
      <c r="C1042" s="205"/>
      <c r="D1042" s="302"/>
      <c r="E1042" s="303"/>
      <c r="F1042" s="304"/>
      <c r="G1042" s="312"/>
      <c r="H1042" s="306"/>
      <c r="I1042" s="302"/>
      <c r="J1042" s="307"/>
      <c r="K1042" s="313"/>
      <c r="L1042" s="319"/>
      <c r="M1042" s="316"/>
      <c r="N1042" s="205"/>
      <c r="O1042" s="311"/>
      <c r="P1042" s="200"/>
      <c r="Q1042" s="200"/>
      <c r="R1042" s="58"/>
      <c r="S1042" s="58"/>
      <c r="T1042" s="58"/>
      <c r="U1042" s="58"/>
      <c r="V1042" s="58"/>
      <c r="W1042" s="58"/>
      <c r="X1042" s="58"/>
      <c r="Y1042" s="58"/>
      <c r="Z1042" s="58"/>
      <c r="AA1042" s="58"/>
      <c r="AB1042" s="58"/>
      <c r="AC1042" s="58"/>
    </row>
    <row r="1043">
      <c r="A1043" s="320"/>
      <c r="B1043" s="301"/>
      <c r="C1043" s="205"/>
      <c r="D1043" s="302"/>
      <c r="E1043" s="303"/>
      <c r="F1043" s="304"/>
      <c r="G1043" s="312"/>
      <c r="H1043" s="306"/>
      <c r="I1043" s="302"/>
      <c r="J1043" s="307"/>
      <c r="K1043" s="313"/>
      <c r="L1043" s="319"/>
      <c r="M1043" s="316"/>
      <c r="N1043" s="205"/>
      <c r="O1043" s="311"/>
      <c r="P1043" s="200"/>
      <c r="Q1043" s="200"/>
      <c r="R1043" s="58"/>
      <c r="S1043" s="58"/>
      <c r="T1043" s="58"/>
      <c r="U1043" s="58"/>
      <c r="V1043" s="58"/>
      <c r="W1043" s="58"/>
      <c r="X1043" s="58"/>
      <c r="Y1043" s="58"/>
      <c r="Z1043" s="58"/>
      <c r="AA1043" s="58"/>
      <c r="AB1043" s="58"/>
      <c r="AC1043" s="58"/>
    </row>
    <row r="1044">
      <c r="A1044" s="320"/>
      <c r="B1044" s="301"/>
      <c r="C1044" s="205"/>
      <c r="D1044" s="302"/>
      <c r="E1044" s="303"/>
      <c r="F1044" s="304"/>
      <c r="G1044" s="312"/>
      <c r="H1044" s="306"/>
      <c r="I1044" s="302"/>
      <c r="J1044" s="307"/>
      <c r="K1044" s="313"/>
      <c r="L1044" s="319"/>
      <c r="M1044" s="316"/>
      <c r="N1044" s="205"/>
      <c r="O1044" s="311"/>
      <c r="P1044" s="200"/>
      <c r="Q1044" s="200"/>
      <c r="R1044" s="58"/>
      <c r="S1044" s="58"/>
      <c r="T1044" s="58"/>
      <c r="U1044" s="58"/>
      <c r="V1044" s="58"/>
      <c r="W1044" s="58"/>
      <c r="X1044" s="58"/>
      <c r="Y1044" s="58"/>
      <c r="Z1044" s="58"/>
      <c r="AA1044" s="58"/>
      <c r="AB1044" s="58"/>
      <c r="AC1044" s="58"/>
    </row>
    <row r="1045">
      <c r="A1045" s="320"/>
      <c r="B1045" s="301"/>
      <c r="C1045" s="205"/>
      <c r="D1045" s="302"/>
      <c r="E1045" s="303"/>
      <c r="F1045" s="304"/>
      <c r="G1045" s="312"/>
      <c r="H1045" s="306"/>
      <c r="I1045" s="302"/>
      <c r="J1045" s="307"/>
      <c r="K1045" s="313"/>
      <c r="L1045" s="319"/>
      <c r="M1045" s="316"/>
      <c r="N1045" s="205"/>
      <c r="O1045" s="311"/>
      <c r="P1045" s="200"/>
      <c r="Q1045" s="200"/>
      <c r="R1045" s="58"/>
      <c r="S1045" s="58"/>
      <c r="T1045" s="58"/>
      <c r="U1045" s="58"/>
      <c r="V1045" s="58"/>
      <c r="W1045" s="58"/>
      <c r="X1045" s="58"/>
      <c r="Y1045" s="58"/>
      <c r="Z1045" s="58"/>
      <c r="AA1045" s="58"/>
      <c r="AB1045" s="58"/>
      <c r="AC1045" s="58"/>
    </row>
    <row r="1046">
      <c r="A1046" s="320"/>
      <c r="B1046" s="301"/>
      <c r="C1046" s="205"/>
      <c r="D1046" s="302"/>
      <c r="E1046" s="303"/>
      <c r="F1046" s="304"/>
      <c r="G1046" s="312"/>
      <c r="H1046" s="306"/>
      <c r="I1046" s="302"/>
      <c r="J1046" s="307"/>
      <c r="K1046" s="313"/>
      <c r="L1046" s="319"/>
      <c r="M1046" s="316"/>
      <c r="N1046" s="205"/>
      <c r="O1046" s="311"/>
      <c r="P1046" s="200"/>
      <c r="Q1046" s="200"/>
      <c r="R1046" s="58"/>
      <c r="S1046" s="58"/>
      <c r="T1046" s="58"/>
      <c r="U1046" s="58"/>
      <c r="V1046" s="58"/>
      <c r="W1046" s="58"/>
      <c r="X1046" s="58"/>
      <c r="Y1046" s="58"/>
      <c r="Z1046" s="58"/>
      <c r="AA1046" s="58"/>
      <c r="AB1046" s="58"/>
      <c r="AC1046" s="58"/>
    </row>
    <row r="1047">
      <c r="A1047" s="320"/>
      <c r="B1047" s="301"/>
      <c r="C1047" s="205"/>
      <c r="D1047" s="302"/>
      <c r="E1047" s="303"/>
      <c r="F1047" s="304"/>
      <c r="G1047" s="312"/>
      <c r="H1047" s="306"/>
      <c r="I1047" s="302"/>
      <c r="J1047" s="307"/>
      <c r="K1047" s="313"/>
      <c r="L1047" s="319"/>
      <c r="M1047" s="316"/>
      <c r="N1047" s="205"/>
      <c r="O1047" s="311"/>
      <c r="P1047" s="200"/>
      <c r="Q1047" s="200"/>
      <c r="R1047" s="58"/>
      <c r="S1047" s="58"/>
      <c r="T1047" s="58"/>
      <c r="U1047" s="58"/>
      <c r="V1047" s="58"/>
      <c r="W1047" s="58"/>
      <c r="X1047" s="58"/>
      <c r="Y1047" s="58"/>
      <c r="Z1047" s="58"/>
      <c r="AA1047" s="58"/>
      <c r="AB1047" s="58"/>
      <c r="AC1047" s="58"/>
    </row>
    <row r="1048">
      <c r="A1048" s="320"/>
      <c r="B1048" s="301"/>
      <c r="C1048" s="205"/>
      <c r="D1048" s="302"/>
      <c r="E1048" s="303"/>
      <c r="F1048" s="304"/>
      <c r="G1048" s="312"/>
      <c r="H1048" s="306"/>
      <c r="I1048" s="302"/>
      <c r="J1048" s="307"/>
      <c r="K1048" s="313"/>
      <c r="L1048" s="319"/>
      <c r="M1048" s="316"/>
      <c r="N1048" s="205"/>
      <c r="O1048" s="311"/>
      <c r="P1048" s="200"/>
      <c r="Q1048" s="200"/>
      <c r="R1048" s="58"/>
      <c r="S1048" s="58"/>
      <c r="T1048" s="58"/>
      <c r="U1048" s="58"/>
      <c r="V1048" s="58"/>
      <c r="W1048" s="58"/>
      <c r="X1048" s="58"/>
      <c r="Y1048" s="58"/>
      <c r="Z1048" s="58"/>
      <c r="AA1048" s="58"/>
      <c r="AB1048" s="58"/>
      <c r="AC1048" s="58"/>
    </row>
    <row r="1049">
      <c r="A1049" s="320"/>
      <c r="B1049" s="301"/>
      <c r="C1049" s="205"/>
      <c r="D1049" s="302"/>
      <c r="E1049" s="303"/>
      <c r="F1049" s="304"/>
      <c r="G1049" s="312"/>
      <c r="H1049" s="306"/>
      <c r="I1049" s="302"/>
      <c r="J1049" s="307"/>
      <c r="K1049" s="313"/>
      <c r="L1049" s="319"/>
      <c r="M1049" s="316"/>
      <c r="N1049" s="205"/>
      <c r="O1049" s="311"/>
      <c r="P1049" s="200"/>
      <c r="Q1049" s="200"/>
      <c r="R1049" s="58"/>
      <c r="S1049" s="58"/>
      <c r="T1049" s="58"/>
      <c r="U1049" s="58"/>
      <c r="V1049" s="58"/>
      <c r="W1049" s="58"/>
      <c r="X1049" s="58"/>
      <c r="Y1049" s="58"/>
      <c r="Z1049" s="58"/>
      <c r="AA1049" s="58"/>
      <c r="AB1049" s="58"/>
      <c r="AC1049" s="58"/>
    </row>
    <row r="1050">
      <c r="A1050" s="320"/>
      <c r="B1050" s="301"/>
      <c r="C1050" s="205"/>
      <c r="D1050" s="302"/>
      <c r="E1050" s="303"/>
      <c r="F1050" s="304"/>
      <c r="G1050" s="312"/>
      <c r="H1050" s="306"/>
      <c r="I1050" s="302"/>
      <c r="J1050" s="307"/>
      <c r="K1050" s="313"/>
      <c r="L1050" s="319"/>
      <c r="M1050" s="316"/>
      <c r="N1050" s="205"/>
      <c r="O1050" s="311"/>
      <c r="P1050" s="200"/>
      <c r="Q1050" s="200"/>
      <c r="R1050" s="58"/>
      <c r="S1050" s="58"/>
      <c r="T1050" s="58"/>
      <c r="U1050" s="58"/>
      <c r="V1050" s="58"/>
      <c r="W1050" s="58"/>
      <c r="X1050" s="58"/>
      <c r="Y1050" s="58"/>
      <c r="Z1050" s="58"/>
      <c r="AA1050" s="58"/>
      <c r="AB1050" s="58"/>
      <c r="AC1050" s="58"/>
    </row>
    <row r="1051">
      <c r="A1051" s="320"/>
      <c r="B1051" s="301"/>
      <c r="C1051" s="205"/>
      <c r="D1051" s="302"/>
      <c r="E1051" s="303"/>
      <c r="F1051" s="304"/>
      <c r="G1051" s="312"/>
      <c r="H1051" s="306"/>
      <c r="I1051" s="302"/>
      <c r="J1051" s="307"/>
      <c r="K1051" s="313"/>
      <c r="L1051" s="319"/>
      <c r="M1051" s="316"/>
      <c r="N1051" s="205"/>
      <c r="O1051" s="311"/>
      <c r="P1051" s="200"/>
      <c r="Q1051" s="200"/>
      <c r="R1051" s="58"/>
      <c r="S1051" s="58"/>
      <c r="T1051" s="58"/>
      <c r="U1051" s="58"/>
      <c r="V1051" s="58"/>
      <c r="W1051" s="58"/>
      <c r="X1051" s="58"/>
      <c r="Y1051" s="58"/>
      <c r="Z1051" s="58"/>
      <c r="AA1051" s="58"/>
      <c r="AB1051" s="58"/>
      <c r="AC1051" s="58"/>
    </row>
    <row r="1052">
      <c r="A1052" s="320"/>
      <c r="B1052" s="301"/>
      <c r="C1052" s="205"/>
      <c r="D1052" s="302"/>
      <c r="E1052" s="303"/>
      <c r="F1052" s="304"/>
      <c r="G1052" s="312"/>
      <c r="H1052" s="306"/>
      <c r="I1052" s="302"/>
      <c r="J1052" s="307"/>
      <c r="K1052" s="313"/>
      <c r="L1052" s="319"/>
      <c r="M1052" s="316"/>
      <c r="N1052" s="205"/>
      <c r="O1052" s="311"/>
      <c r="P1052" s="200"/>
      <c r="Q1052" s="200"/>
      <c r="R1052" s="58"/>
      <c r="S1052" s="58"/>
      <c r="T1052" s="58"/>
      <c r="U1052" s="58"/>
      <c r="V1052" s="58"/>
      <c r="W1052" s="58"/>
      <c r="X1052" s="58"/>
      <c r="Y1052" s="58"/>
      <c r="Z1052" s="58"/>
      <c r="AA1052" s="58"/>
      <c r="AB1052" s="58"/>
      <c r="AC1052" s="58"/>
    </row>
    <row r="1053">
      <c r="A1053" s="320"/>
      <c r="B1053" s="301"/>
      <c r="C1053" s="205"/>
      <c r="D1053" s="302"/>
      <c r="E1053" s="303"/>
      <c r="F1053" s="304"/>
      <c r="G1053" s="312"/>
      <c r="H1053" s="306"/>
      <c r="I1053" s="302"/>
      <c r="J1053" s="307"/>
      <c r="K1053" s="313"/>
      <c r="L1053" s="319"/>
      <c r="M1053" s="316"/>
      <c r="N1053" s="205"/>
      <c r="O1053" s="311"/>
      <c r="P1053" s="200"/>
      <c r="Q1053" s="200"/>
      <c r="R1053" s="58"/>
      <c r="S1053" s="58"/>
      <c r="T1053" s="58"/>
      <c r="U1053" s="58"/>
      <c r="V1053" s="58"/>
      <c r="W1053" s="58"/>
      <c r="X1053" s="58"/>
      <c r="Y1053" s="58"/>
      <c r="Z1053" s="58"/>
      <c r="AA1053" s="58"/>
      <c r="AB1053" s="58"/>
      <c r="AC1053" s="58"/>
    </row>
    <row r="1054">
      <c r="A1054" s="320"/>
      <c r="B1054" s="301"/>
      <c r="C1054" s="205"/>
      <c r="D1054" s="302"/>
      <c r="E1054" s="303"/>
      <c r="F1054" s="304"/>
      <c r="G1054" s="312"/>
      <c r="H1054" s="306"/>
      <c r="I1054" s="302"/>
      <c r="J1054" s="307"/>
      <c r="K1054" s="313"/>
      <c r="L1054" s="319"/>
      <c r="M1054" s="316"/>
      <c r="N1054" s="205"/>
      <c r="O1054" s="311"/>
      <c r="P1054" s="200"/>
      <c r="Q1054" s="200"/>
      <c r="R1054" s="58"/>
      <c r="S1054" s="58"/>
      <c r="T1054" s="58"/>
      <c r="U1054" s="58"/>
      <c r="V1054" s="58"/>
      <c r="W1054" s="58"/>
      <c r="X1054" s="58"/>
      <c r="Y1054" s="58"/>
      <c r="Z1054" s="58"/>
      <c r="AA1054" s="58"/>
      <c r="AB1054" s="58"/>
      <c r="AC1054" s="58"/>
    </row>
    <row r="1055">
      <c r="A1055" s="320"/>
      <c r="B1055" s="301"/>
      <c r="C1055" s="205"/>
      <c r="D1055" s="302"/>
      <c r="E1055" s="303"/>
      <c r="F1055" s="304"/>
      <c r="G1055" s="312"/>
      <c r="H1055" s="306"/>
      <c r="I1055" s="302"/>
      <c r="J1055" s="307"/>
      <c r="K1055" s="313"/>
      <c r="L1055" s="319"/>
      <c r="M1055" s="316"/>
      <c r="N1055" s="205"/>
      <c r="O1055" s="311"/>
      <c r="P1055" s="200"/>
      <c r="Q1055" s="200"/>
      <c r="R1055" s="58"/>
      <c r="S1055" s="58"/>
      <c r="T1055" s="58"/>
      <c r="U1055" s="58"/>
      <c r="V1055" s="58"/>
      <c r="W1055" s="58"/>
      <c r="X1055" s="58"/>
      <c r="Y1055" s="58"/>
      <c r="Z1055" s="58"/>
      <c r="AA1055" s="58"/>
      <c r="AB1055" s="58"/>
      <c r="AC1055" s="58"/>
    </row>
    <row r="1056">
      <c r="A1056" s="320"/>
      <c r="B1056" s="301"/>
      <c r="C1056" s="205"/>
      <c r="D1056" s="302"/>
      <c r="E1056" s="303"/>
      <c r="F1056" s="304"/>
      <c r="G1056" s="312"/>
      <c r="H1056" s="306"/>
      <c r="I1056" s="302"/>
      <c r="J1056" s="307"/>
      <c r="K1056" s="313"/>
      <c r="L1056" s="319"/>
      <c r="M1056" s="316"/>
      <c r="N1056" s="205"/>
      <c r="O1056" s="311"/>
      <c r="P1056" s="200"/>
      <c r="Q1056" s="200"/>
      <c r="R1056" s="58"/>
      <c r="S1056" s="58"/>
      <c r="T1056" s="58"/>
      <c r="U1056" s="58"/>
      <c r="V1056" s="58"/>
      <c r="W1056" s="58"/>
      <c r="X1056" s="58"/>
      <c r="Y1056" s="58"/>
      <c r="Z1056" s="58"/>
      <c r="AA1056" s="58"/>
      <c r="AB1056" s="58"/>
      <c r="AC1056" s="58"/>
    </row>
    <row r="1057">
      <c r="A1057" s="320"/>
      <c r="B1057" s="301"/>
      <c r="C1057" s="205"/>
      <c r="D1057" s="302"/>
      <c r="E1057" s="303"/>
      <c r="F1057" s="304"/>
      <c r="G1057" s="312"/>
      <c r="H1057" s="306"/>
      <c r="I1057" s="302"/>
      <c r="J1057" s="307"/>
      <c r="K1057" s="313"/>
      <c r="L1057" s="319"/>
      <c r="M1057" s="316"/>
      <c r="N1057" s="205"/>
      <c r="O1057" s="311"/>
      <c r="P1057" s="200"/>
      <c r="Q1057" s="200"/>
      <c r="R1057" s="58"/>
      <c r="S1057" s="58"/>
      <c r="T1057" s="58"/>
      <c r="U1057" s="58"/>
      <c r="V1057" s="58"/>
      <c r="W1057" s="58"/>
      <c r="X1057" s="58"/>
      <c r="Y1057" s="58"/>
      <c r="Z1057" s="58"/>
      <c r="AA1057" s="58"/>
      <c r="AB1057" s="58"/>
      <c r="AC1057" s="58"/>
    </row>
    <row r="1058">
      <c r="A1058" s="320"/>
      <c r="B1058" s="301"/>
      <c r="C1058" s="205"/>
      <c r="D1058" s="302"/>
      <c r="E1058" s="303"/>
      <c r="F1058" s="304"/>
      <c r="G1058" s="312"/>
      <c r="H1058" s="306"/>
      <c r="I1058" s="302"/>
      <c r="J1058" s="307"/>
      <c r="K1058" s="313"/>
      <c r="L1058" s="319"/>
      <c r="M1058" s="316"/>
      <c r="N1058" s="205"/>
      <c r="O1058" s="311"/>
      <c r="P1058" s="200"/>
      <c r="Q1058" s="200"/>
      <c r="R1058" s="58"/>
      <c r="S1058" s="58"/>
      <c r="T1058" s="58"/>
      <c r="U1058" s="58"/>
      <c r="V1058" s="58"/>
      <c r="W1058" s="58"/>
      <c r="X1058" s="58"/>
      <c r="Y1058" s="58"/>
      <c r="Z1058" s="58"/>
      <c r="AA1058" s="58"/>
      <c r="AB1058" s="58"/>
      <c r="AC1058" s="58"/>
    </row>
    <row r="1059">
      <c r="A1059" s="320"/>
      <c r="B1059" s="301"/>
      <c r="C1059" s="205"/>
      <c r="D1059" s="302"/>
      <c r="E1059" s="303"/>
      <c r="F1059" s="304"/>
      <c r="G1059" s="312"/>
      <c r="H1059" s="306"/>
      <c r="I1059" s="302"/>
      <c r="J1059" s="307"/>
      <c r="K1059" s="313"/>
      <c r="L1059" s="319"/>
      <c r="M1059" s="316"/>
      <c r="N1059" s="205"/>
      <c r="O1059" s="311"/>
      <c r="P1059" s="200"/>
      <c r="Q1059" s="200"/>
      <c r="R1059" s="58"/>
      <c r="S1059" s="58"/>
      <c r="T1059" s="58"/>
      <c r="U1059" s="58"/>
      <c r="V1059" s="58"/>
      <c r="W1059" s="58"/>
      <c r="X1059" s="58"/>
      <c r="Y1059" s="58"/>
      <c r="Z1059" s="58"/>
      <c r="AA1059" s="58"/>
      <c r="AB1059" s="58"/>
      <c r="AC1059" s="58"/>
    </row>
    <row r="1060">
      <c r="A1060" s="320"/>
      <c r="B1060" s="301"/>
      <c r="C1060" s="205"/>
      <c r="D1060" s="302"/>
      <c r="E1060" s="303"/>
      <c r="F1060" s="304"/>
      <c r="G1060" s="312"/>
      <c r="H1060" s="306"/>
      <c r="I1060" s="302"/>
      <c r="J1060" s="307"/>
      <c r="K1060" s="313"/>
      <c r="L1060" s="319"/>
      <c r="M1060" s="316"/>
      <c r="N1060" s="205"/>
      <c r="O1060" s="311"/>
      <c r="P1060" s="200"/>
      <c r="Q1060" s="200"/>
      <c r="R1060" s="58"/>
      <c r="S1060" s="58"/>
      <c r="T1060" s="58"/>
      <c r="U1060" s="58"/>
      <c r="V1060" s="58"/>
      <c r="W1060" s="58"/>
      <c r="X1060" s="58"/>
      <c r="Y1060" s="58"/>
      <c r="Z1060" s="58"/>
      <c r="AA1060" s="58"/>
      <c r="AB1060" s="58"/>
      <c r="AC1060" s="58"/>
    </row>
    <row r="1061">
      <c r="A1061" s="320"/>
      <c r="B1061" s="301"/>
      <c r="C1061" s="205"/>
      <c r="D1061" s="302"/>
      <c r="E1061" s="303"/>
      <c r="F1061" s="304"/>
      <c r="G1061" s="312"/>
      <c r="H1061" s="306"/>
      <c r="I1061" s="302"/>
      <c r="J1061" s="307"/>
      <c r="K1061" s="313"/>
      <c r="L1061" s="319"/>
      <c r="M1061" s="316"/>
      <c r="N1061" s="205"/>
      <c r="O1061" s="311"/>
      <c r="P1061" s="200"/>
      <c r="Q1061" s="200"/>
      <c r="R1061" s="58"/>
      <c r="S1061" s="58"/>
      <c r="T1061" s="58"/>
      <c r="U1061" s="58"/>
      <c r="V1061" s="58"/>
      <c r="W1061" s="58"/>
      <c r="X1061" s="58"/>
      <c r="Y1061" s="58"/>
      <c r="Z1061" s="58"/>
      <c r="AA1061" s="58"/>
      <c r="AB1061" s="58"/>
      <c r="AC1061" s="58"/>
    </row>
    <row r="1062">
      <c r="A1062" s="320"/>
      <c r="B1062" s="301"/>
      <c r="C1062" s="205"/>
      <c r="D1062" s="302"/>
      <c r="E1062" s="303"/>
      <c r="F1062" s="304"/>
      <c r="G1062" s="312"/>
      <c r="H1062" s="306"/>
      <c r="I1062" s="302"/>
      <c r="J1062" s="307"/>
      <c r="K1062" s="313"/>
      <c r="L1062" s="319"/>
      <c r="M1062" s="316"/>
      <c r="N1062" s="205"/>
      <c r="O1062" s="311"/>
      <c r="P1062" s="200"/>
      <c r="Q1062" s="200"/>
      <c r="R1062" s="58"/>
      <c r="S1062" s="58"/>
      <c r="T1062" s="58"/>
      <c r="U1062" s="58"/>
      <c r="V1062" s="58"/>
      <c r="W1062" s="58"/>
      <c r="X1062" s="58"/>
      <c r="Y1062" s="58"/>
      <c r="Z1062" s="58"/>
      <c r="AA1062" s="58"/>
      <c r="AB1062" s="58"/>
      <c r="AC1062" s="58"/>
    </row>
    <row r="1063">
      <c r="A1063" s="320"/>
      <c r="B1063" s="301"/>
      <c r="C1063" s="205"/>
      <c r="D1063" s="302"/>
      <c r="E1063" s="303"/>
      <c r="F1063" s="304"/>
      <c r="G1063" s="312"/>
      <c r="H1063" s="306"/>
      <c r="I1063" s="302"/>
      <c r="J1063" s="307"/>
      <c r="K1063" s="313"/>
      <c r="L1063" s="319"/>
      <c r="M1063" s="316"/>
      <c r="N1063" s="205"/>
      <c r="O1063" s="311"/>
      <c r="P1063" s="200"/>
      <c r="Q1063" s="200"/>
      <c r="R1063" s="58"/>
      <c r="S1063" s="58"/>
      <c r="T1063" s="58"/>
      <c r="U1063" s="58"/>
      <c r="V1063" s="58"/>
      <c r="W1063" s="58"/>
      <c r="X1063" s="58"/>
      <c r="Y1063" s="58"/>
      <c r="Z1063" s="58"/>
      <c r="AA1063" s="58"/>
      <c r="AB1063" s="58"/>
      <c r="AC1063" s="58"/>
    </row>
    <row r="1064">
      <c r="A1064" s="320"/>
      <c r="B1064" s="301"/>
      <c r="C1064" s="205"/>
      <c r="D1064" s="302"/>
      <c r="E1064" s="303"/>
      <c r="F1064" s="304"/>
      <c r="G1064" s="312"/>
      <c r="H1064" s="306"/>
      <c r="I1064" s="302"/>
      <c r="J1064" s="307"/>
      <c r="K1064" s="313"/>
      <c r="L1064" s="319"/>
      <c r="M1064" s="316"/>
      <c r="N1064" s="205"/>
      <c r="O1064" s="311"/>
      <c r="P1064" s="200"/>
      <c r="Q1064" s="200"/>
      <c r="R1064" s="58"/>
      <c r="S1064" s="58"/>
      <c r="T1064" s="58"/>
      <c r="U1064" s="58"/>
      <c r="V1064" s="58"/>
      <c r="W1064" s="58"/>
      <c r="X1064" s="58"/>
      <c r="Y1064" s="58"/>
      <c r="Z1064" s="58"/>
      <c r="AA1064" s="58"/>
      <c r="AB1064" s="58"/>
      <c r="AC1064" s="58"/>
    </row>
    <row r="1065">
      <c r="A1065" s="320"/>
      <c r="B1065" s="301"/>
      <c r="C1065" s="205"/>
      <c r="D1065" s="302"/>
      <c r="E1065" s="303"/>
      <c r="F1065" s="304"/>
      <c r="G1065" s="312"/>
      <c r="H1065" s="306"/>
      <c r="I1065" s="302"/>
      <c r="J1065" s="307"/>
      <c r="K1065" s="313"/>
      <c r="L1065" s="319"/>
      <c r="M1065" s="316"/>
      <c r="N1065" s="205"/>
      <c r="O1065" s="311"/>
      <c r="P1065" s="200"/>
      <c r="Q1065" s="200"/>
      <c r="R1065" s="58"/>
      <c r="S1065" s="58"/>
      <c r="T1065" s="58"/>
      <c r="U1065" s="58"/>
      <c r="V1065" s="58"/>
      <c r="W1065" s="58"/>
      <c r="X1065" s="58"/>
      <c r="Y1065" s="58"/>
      <c r="Z1065" s="58"/>
      <c r="AA1065" s="58"/>
      <c r="AB1065" s="58"/>
      <c r="AC1065" s="58"/>
    </row>
    <row r="1066">
      <c r="A1066" s="320"/>
      <c r="B1066" s="301"/>
      <c r="C1066" s="205"/>
      <c r="D1066" s="302"/>
      <c r="E1066" s="303"/>
      <c r="F1066" s="304"/>
      <c r="G1066" s="312"/>
      <c r="H1066" s="306"/>
      <c r="I1066" s="302"/>
      <c r="J1066" s="307"/>
      <c r="K1066" s="313"/>
      <c r="L1066" s="319"/>
      <c r="M1066" s="316"/>
      <c r="N1066" s="205"/>
      <c r="O1066" s="311"/>
      <c r="P1066" s="200"/>
      <c r="Q1066" s="200"/>
      <c r="R1066" s="58"/>
      <c r="S1066" s="58"/>
      <c r="T1066" s="58"/>
      <c r="U1066" s="58"/>
      <c r="V1066" s="58"/>
      <c r="W1066" s="58"/>
      <c r="X1066" s="58"/>
      <c r="Y1066" s="58"/>
      <c r="Z1066" s="58"/>
      <c r="AA1066" s="58"/>
      <c r="AB1066" s="58"/>
      <c r="AC1066" s="58"/>
    </row>
    <row r="1067">
      <c r="A1067" s="320"/>
      <c r="B1067" s="301"/>
      <c r="C1067" s="205"/>
      <c r="D1067" s="302"/>
      <c r="E1067" s="303"/>
      <c r="F1067" s="304"/>
      <c r="G1067" s="312"/>
      <c r="H1067" s="306"/>
      <c r="I1067" s="302"/>
      <c r="J1067" s="307"/>
      <c r="K1067" s="313"/>
      <c r="L1067" s="319"/>
      <c r="M1067" s="316"/>
      <c r="N1067" s="205"/>
      <c r="O1067" s="311"/>
      <c r="P1067" s="200"/>
      <c r="Q1067" s="200"/>
      <c r="R1067" s="58"/>
      <c r="S1067" s="58"/>
      <c r="T1067" s="58"/>
      <c r="U1067" s="58"/>
      <c r="V1067" s="58"/>
      <c r="W1067" s="58"/>
      <c r="X1067" s="58"/>
      <c r="Y1067" s="58"/>
      <c r="Z1067" s="58"/>
      <c r="AA1067" s="58"/>
      <c r="AB1067" s="58"/>
      <c r="AC1067" s="58"/>
    </row>
    <row r="1068">
      <c r="A1068" s="320"/>
      <c r="B1068" s="301"/>
      <c r="C1068" s="205"/>
      <c r="D1068" s="302"/>
      <c r="E1068" s="303"/>
      <c r="F1068" s="304"/>
      <c r="G1068" s="312"/>
      <c r="H1068" s="306"/>
      <c r="I1068" s="302"/>
      <c r="J1068" s="307"/>
      <c r="K1068" s="313"/>
      <c r="L1068" s="319"/>
      <c r="M1068" s="316"/>
      <c r="N1068" s="205"/>
      <c r="O1068" s="311"/>
      <c r="P1068" s="200"/>
      <c r="Q1068" s="200"/>
      <c r="R1068" s="58"/>
      <c r="S1068" s="58"/>
      <c r="T1068" s="58"/>
      <c r="U1068" s="58"/>
      <c r="V1068" s="58"/>
      <c r="W1068" s="58"/>
      <c r="X1068" s="58"/>
      <c r="Y1068" s="58"/>
      <c r="Z1068" s="58"/>
      <c r="AA1068" s="58"/>
      <c r="AB1068" s="58"/>
      <c r="AC1068" s="58"/>
    </row>
    <row r="1069">
      <c r="A1069" s="320"/>
      <c r="B1069" s="301"/>
      <c r="C1069" s="205"/>
      <c r="D1069" s="302"/>
      <c r="E1069" s="303"/>
      <c r="F1069" s="304"/>
      <c r="G1069" s="312"/>
      <c r="H1069" s="306"/>
      <c r="I1069" s="302"/>
      <c r="J1069" s="307"/>
      <c r="K1069" s="313"/>
      <c r="L1069" s="319"/>
      <c r="M1069" s="316"/>
      <c r="N1069" s="205"/>
      <c r="O1069" s="311"/>
      <c r="P1069" s="200"/>
      <c r="Q1069" s="200"/>
      <c r="R1069" s="58"/>
      <c r="S1069" s="58"/>
      <c r="T1069" s="58"/>
      <c r="U1069" s="58"/>
      <c r="V1069" s="58"/>
      <c r="W1069" s="58"/>
      <c r="X1069" s="58"/>
      <c r="Y1069" s="58"/>
      <c r="Z1069" s="58"/>
      <c r="AA1069" s="58"/>
      <c r="AB1069" s="58"/>
      <c r="AC1069" s="58"/>
    </row>
    <row r="1070">
      <c r="A1070" s="320"/>
      <c r="B1070" s="301"/>
      <c r="C1070" s="205"/>
      <c r="D1070" s="302"/>
      <c r="E1070" s="303"/>
      <c r="F1070" s="304"/>
      <c r="G1070" s="312"/>
      <c r="H1070" s="306"/>
      <c r="I1070" s="302"/>
      <c r="J1070" s="307"/>
      <c r="K1070" s="313"/>
      <c r="L1070" s="319"/>
      <c r="M1070" s="316"/>
      <c r="N1070" s="205"/>
      <c r="O1070" s="311"/>
      <c r="P1070" s="200"/>
      <c r="Q1070" s="200"/>
      <c r="R1070" s="58"/>
      <c r="S1070" s="58"/>
      <c r="T1070" s="58"/>
      <c r="U1070" s="58"/>
      <c r="V1070" s="58"/>
      <c r="W1070" s="58"/>
      <c r="X1070" s="58"/>
      <c r="Y1070" s="58"/>
      <c r="Z1070" s="58"/>
      <c r="AA1070" s="58"/>
      <c r="AB1070" s="58"/>
      <c r="AC1070" s="58"/>
    </row>
    <row r="1071">
      <c r="A1071" s="320"/>
      <c r="B1071" s="301"/>
      <c r="C1071" s="205"/>
      <c r="D1071" s="302"/>
      <c r="E1071" s="303"/>
      <c r="F1071" s="304"/>
      <c r="G1071" s="312"/>
      <c r="H1071" s="306"/>
      <c r="I1071" s="302"/>
      <c r="J1071" s="307"/>
      <c r="K1071" s="313"/>
      <c r="L1071" s="319"/>
      <c r="M1071" s="316"/>
      <c r="N1071" s="205"/>
      <c r="O1071" s="311"/>
      <c r="P1071" s="200"/>
      <c r="Q1071" s="200"/>
      <c r="R1071" s="58"/>
      <c r="S1071" s="58"/>
      <c r="T1071" s="58"/>
      <c r="U1071" s="58"/>
      <c r="V1071" s="58"/>
      <c r="W1071" s="58"/>
      <c r="X1071" s="58"/>
      <c r="Y1071" s="58"/>
      <c r="Z1071" s="58"/>
      <c r="AA1071" s="58"/>
      <c r="AB1071" s="58"/>
      <c r="AC1071" s="58"/>
    </row>
    <row r="1072">
      <c r="A1072" s="320"/>
      <c r="B1072" s="301"/>
      <c r="C1072" s="205"/>
      <c r="D1072" s="302"/>
      <c r="E1072" s="303"/>
      <c r="F1072" s="304"/>
      <c r="G1072" s="312"/>
      <c r="H1072" s="306"/>
      <c r="I1072" s="302"/>
      <c r="J1072" s="307"/>
      <c r="K1072" s="313"/>
      <c r="L1072" s="319"/>
      <c r="M1072" s="316"/>
      <c r="N1072" s="205"/>
      <c r="O1072" s="311"/>
      <c r="P1072" s="200"/>
      <c r="Q1072" s="200"/>
      <c r="R1072" s="58"/>
      <c r="S1072" s="58"/>
      <c r="T1072" s="58"/>
      <c r="U1072" s="58"/>
      <c r="V1072" s="58"/>
      <c r="W1072" s="58"/>
      <c r="X1072" s="58"/>
      <c r="Y1072" s="58"/>
      <c r="Z1072" s="58"/>
      <c r="AA1072" s="58"/>
      <c r="AB1072" s="58"/>
      <c r="AC1072" s="58"/>
    </row>
    <row r="1073">
      <c r="A1073" s="320"/>
      <c r="B1073" s="301"/>
      <c r="C1073" s="205"/>
      <c r="D1073" s="302"/>
      <c r="E1073" s="303"/>
      <c r="F1073" s="304"/>
      <c r="G1073" s="312"/>
      <c r="H1073" s="306"/>
      <c r="I1073" s="302"/>
      <c r="J1073" s="307"/>
      <c r="K1073" s="313"/>
      <c r="L1073" s="319"/>
      <c r="M1073" s="316"/>
      <c r="N1073" s="205"/>
      <c r="O1073" s="311"/>
      <c r="P1073" s="200"/>
      <c r="Q1073" s="200"/>
      <c r="R1073" s="58"/>
      <c r="S1073" s="58"/>
      <c r="T1073" s="58"/>
      <c r="U1073" s="58"/>
      <c r="V1073" s="58"/>
      <c r="W1073" s="58"/>
      <c r="X1073" s="58"/>
      <c r="Y1073" s="58"/>
      <c r="Z1073" s="58"/>
      <c r="AA1073" s="58"/>
      <c r="AB1073" s="58"/>
      <c r="AC1073" s="58"/>
    </row>
    <row r="1074">
      <c r="A1074" s="320"/>
      <c r="B1074" s="301"/>
      <c r="C1074" s="205"/>
      <c r="D1074" s="302"/>
      <c r="E1074" s="303"/>
      <c r="F1074" s="304"/>
      <c r="G1074" s="312"/>
      <c r="H1074" s="306"/>
      <c r="I1074" s="302"/>
      <c r="J1074" s="307"/>
      <c r="K1074" s="313"/>
      <c r="L1074" s="319"/>
      <c r="M1074" s="316"/>
      <c r="N1074" s="205"/>
      <c r="O1074" s="311"/>
      <c r="P1074" s="200"/>
      <c r="Q1074" s="200"/>
      <c r="R1074" s="58"/>
      <c r="S1074" s="58"/>
      <c r="T1074" s="58"/>
      <c r="U1074" s="58"/>
      <c r="V1074" s="58"/>
      <c r="W1074" s="58"/>
      <c r="X1074" s="58"/>
      <c r="Y1074" s="58"/>
      <c r="Z1074" s="58"/>
      <c r="AA1074" s="58"/>
      <c r="AB1074" s="58"/>
      <c r="AC1074" s="58"/>
    </row>
    <row r="1075">
      <c r="A1075" s="320"/>
      <c r="B1075" s="301"/>
      <c r="C1075" s="205"/>
      <c r="D1075" s="302"/>
      <c r="E1075" s="303"/>
      <c r="F1075" s="304"/>
      <c r="G1075" s="312"/>
      <c r="H1075" s="306"/>
      <c r="I1075" s="302"/>
      <c r="J1075" s="307"/>
      <c r="K1075" s="313"/>
      <c r="L1075" s="319"/>
      <c r="M1075" s="316"/>
      <c r="N1075" s="205"/>
      <c r="O1075" s="311"/>
      <c r="P1075" s="200"/>
      <c r="Q1075" s="200"/>
      <c r="R1075" s="58"/>
      <c r="S1075" s="58"/>
      <c r="T1075" s="58"/>
      <c r="U1075" s="58"/>
      <c r="V1075" s="58"/>
      <c r="W1075" s="58"/>
      <c r="X1075" s="58"/>
      <c r="Y1075" s="58"/>
      <c r="Z1075" s="58"/>
      <c r="AA1075" s="58"/>
      <c r="AB1075" s="58"/>
      <c r="AC1075" s="58"/>
    </row>
    <row r="1076">
      <c r="A1076" s="320"/>
      <c r="B1076" s="301"/>
      <c r="C1076" s="205"/>
      <c r="D1076" s="302"/>
      <c r="E1076" s="303"/>
      <c r="F1076" s="304"/>
      <c r="G1076" s="312"/>
      <c r="H1076" s="306"/>
      <c r="I1076" s="302"/>
      <c r="J1076" s="307"/>
      <c r="K1076" s="313"/>
      <c r="L1076" s="319"/>
      <c r="M1076" s="316"/>
      <c r="N1076" s="205"/>
      <c r="O1076" s="311"/>
      <c r="P1076" s="200"/>
      <c r="Q1076" s="200"/>
      <c r="R1076" s="58"/>
      <c r="S1076" s="58"/>
      <c r="T1076" s="58"/>
      <c r="U1076" s="58"/>
      <c r="V1076" s="58"/>
      <c r="W1076" s="58"/>
      <c r="X1076" s="58"/>
      <c r="Y1076" s="58"/>
      <c r="Z1076" s="58"/>
      <c r="AA1076" s="58"/>
      <c r="AB1076" s="58"/>
      <c r="AC1076" s="58"/>
    </row>
    <row r="1077">
      <c r="A1077" s="320"/>
      <c r="B1077" s="301"/>
      <c r="C1077" s="205"/>
      <c r="D1077" s="302"/>
      <c r="E1077" s="303"/>
      <c r="F1077" s="304"/>
      <c r="G1077" s="312"/>
      <c r="H1077" s="306"/>
      <c r="I1077" s="302"/>
      <c r="J1077" s="307"/>
      <c r="K1077" s="313"/>
      <c r="L1077" s="319"/>
      <c r="M1077" s="316"/>
      <c r="N1077" s="205"/>
      <c r="O1077" s="311"/>
      <c r="P1077" s="200"/>
      <c r="Q1077" s="200"/>
      <c r="R1077" s="58"/>
      <c r="S1077" s="58"/>
      <c r="T1077" s="58"/>
      <c r="U1077" s="58"/>
      <c r="V1077" s="58"/>
      <c r="W1077" s="58"/>
      <c r="X1077" s="58"/>
      <c r="Y1077" s="58"/>
      <c r="Z1077" s="58"/>
      <c r="AA1077" s="58"/>
      <c r="AB1077" s="58"/>
      <c r="AC1077" s="58"/>
    </row>
    <row r="1078">
      <c r="A1078" s="320"/>
      <c r="B1078" s="301"/>
      <c r="C1078" s="205"/>
      <c r="D1078" s="302"/>
      <c r="E1078" s="303"/>
      <c r="F1078" s="304"/>
      <c r="G1078" s="312"/>
      <c r="H1078" s="306"/>
      <c r="I1078" s="302"/>
      <c r="J1078" s="307"/>
      <c r="K1078" s="313"/>
      <c r="L1078" s="319"/>
      <c r="M1078" s="316"/>
      <c r="N1078" s="205"/>
      <c r="O1078" s="311"/>
      <c r="P1078" s="200"/>
      <c r="Q1078" s="200"/>
      <c r="R1078" s="58"/>
      <c r="S1078" s="58"/>
      <c r="T1078" s="58"/>
      <c r="U1078" s="58"/>
      <c r="V1078" s="58"/>
      <c r="W1078" s="58"/>
      <c r="X1078" s="58"/>
      <c r="Y1078" s="58"/>
      <c r="Z1078" s="58"/>
      <c r="AA1078" s="58"/>
      <c r="AB1078" s="58"/>
      <c r="AC1078" s="58"/>
    </row>
    <row r="1079">
      <c r="A1079" s="320"/>
      <c r="B1079" s="301"/>
      <c r="C1079" s="205"/>
      <c r="D1079" s="302"/>
      <c r="E1079" s="303"/>
      <c r="F1079" s="304"/>
      <c r="G1079" s="312"/>
      <c r="H1079" s="306"/>
      <c r="I1079" s="302"/>
      <c r="J1079" s="307"/>
      <c r="K1079" s="313"/>
      <c r="L1079" s="319"/>
      <c r="M1079" s="316"/>
      <c r="N1079" s="205"/>
      <c r="O1079" s="311"/>
      <c r="P1079" s="200"/>
      <c r="Q1079" s="200"/>
      <c r="R1079" s="58"/>
      <c r="S1079" s="58"/>
      <c r="T1079" s="58"/>
      <c r="U1079" s="58"/>
      <c r="V1079" s="58"/>
      <c r="W1079" s="58"/>
      <c r="X1079" s="58"/>
      <c r="Y1079" s="58"/>
      <c r="Z1079" s="58"/>
      <c r="AA1079" s="58"/>
      <c r="AB1079" s="58"/>
      <c r="AC1079" s="58"/>
    </row>
    <row r="1080">
      <c r="A1080" s="320"/>
      <c r="B1080" s="301"/>
      <c r="C1080" s="205"/>
      <c r="D1080" s="302"/>
      <c r="E1080" s="303"/>
      <c r="F1080" s="304"/>
      <c r="G1080" s="312"/>
      <c r="H1080" s="306"/>
      <c r="I1080" s="302"/>
      <c r="J1080" s="307"/>
      <c r="K1080" s="313"/>
      <c r="L1080" s="319"/>
      <c r="M1080" s="316"/>
      <c r="N1080" s="205"/>
      <c r="O1080" s="311"/>
      <c r="P1080" s="200"/>
      <c r="Q1080" s="200"/>
      <c r="R1080" s="58"/>
      <c r="S1080" s="58"/>
      <c r="T1080" s="58"/>
      <c r="U1080" s="58"/>
      <c r="V1080" s="58"/>
      <c r="W1080" s="58"/>
      <c r="X1080" s="58"/>
      <c r="Y1080" s="58"/>
      <c r="Z1080" s="58"/>
      <c r="AA1080" s="58"/>
      <c r="AB1080" s="58"/>
      <c r="AC1080" s="58"/>
    </row>
    <row r="1081">
      <c r="A1081" s="320"/>
      <c r="B1081" s="301"/>
      <c r="C1081" s="205"/>
      <c r="D1081" s="302"/>
      <c r="E1081" s="303"/>
      <c r="F1081" s="304"/>
      <c r="G1081" s="312"/>
      <c r="H1081" s="306"/>
      <c r="I1081" s="302"/>
      <c r="J1081" s="307"/>
      <c r="K1081" s="313"/>
      <c r="L1081" s="319"/>
      <c r="M1081" s="316"/>
      <c r="N1081" s="205"/>
      <c r="O1081" s="311"/>
      <c r="P1081" s="200"/>
      <c r="Q1081" s="200"/>
      <c r="R1081" s="58"/>
      <c r="S1081" s="58"/>
      <c r="T1081" s="58"/>
      <c r="U1081" s="58"/>
      <c r="V1081" s="58"/>
      <c r="W1081" s="58"/>
      <c r="X1081" s="58"/>
      <c r="Y1081" s="58"/>
      <c r="Z1081" s="58"/>
      <c r="AA1081" s="58"/>
      <c r="AB1081" s="58"/>
      <c r="AC1081" s="58"/>
    </row>
    <row r="1082">
      <c r="A1082" s="320"/>
      <c r="B1082" s="301"/>
      <c r="C1082" s="205"/>
      <c r="D1082" s="302"/>
      <c r="E1082" s="303"/>
      <c r="F1082" s="304"/>
      <c r="G1082" s="312"/>
      <c r="H1082" s="306"/>
      <c r="I1082" s="302"/>
      <c r="J1082" s="307"/>
      <c r="K1082" s="313"/>
      <c r="L1082" s="319"/>
      <c r="M1082" s="316"/>
      <c r="N1082" s="205"/>
      <c r="O1082" s="311"/>
      <c r="P1082" s="200"/>
      <c r="Q1082" s="200"/>
      <c r="R1082" s="58"/>
      <c r="S1082" s="58"/>
      <c r="T1082" s="58"/>
      <c r="U1082" s="58"/>
      <c r="V1082" s="58"/>
      <c r="W1082" s="58"/>
      <c r="X1082" s="58"/>
      <c r="Y1082" s="58"/>
      <c r="Z1082" s="58"/>
      <c r="AA1082" s="58"/>
      <c r="AB1082" s="58"/>
      <c r="AC1082" s="58"/>
    </row>
    <row r="1083">
      <c r="A1083" s="320"/>
      <c r="B1083" s="301"/>
      <c r="C1083" s="205"/>
      <c r="D1083" s="302"/>
      <c r="E1083" s="303"/>
      <c r="F1083" s="304"/>
      <c r="G1083" s="312"/>
      <c r="H1083" s="306"/>
      <c r="I1083" s="302"/>
      <c r="J1083" s="307"/>
      <c r="K1083" s="313"/>
      <c r="L1083" s="319"/>
      <c r="M1083" s="316"/>
      <c r="N1083" s="205"/>
      <c r="O1083" s="311"/>
      <c r="P1083" s="200"/>
      <c r="Q1083" s="200"/>
      <c r="R1083" s="58"/>
      <c r="S1083" s="58"/>
      <c r="T1083" s="58"/>
      <c r="U1083" s="58"/>
      <c r="V1083" s="58"/>
      <c r="W1083" s="58"/>
      <c r="X1083" s="58"/>
      <c r="Y1083" s="58"/>
      <c r="Z1083" s="58"/>
      <c r="AA1083" s="58"/>
      <c r="AB1083" s="58"/>
      <c r="AC1083" s="58"/>
    </row>
    <row r="1084">
      <c r="A1084" s="320"/>
      <c r="B1084" s="301"/>
      <c r="C1084" s="205"/>
      <c r="D1084" s="302"/>
      <c r="E1084" s="303"/>
      <c r="F1084" s="304"/>
      <c r="G1084" s="312"/>
      <c r="H1084" s="306"/>
      <c r="I1084" s="302"/>
      <c r="J1084" s="307"/>
      <c r="K1084" s="313"/>
      <c r="L1084" s="319"/>
      <c r="M1084" s="316"/>
      <c r="N1084" s="205"/>
      <c r="O1084" s="311"/>
      <c r="P1084" s="200"/>
      <c r="Q1084" s="200"/>
      <c r="R1084" s="58"/>
      <c r="S1084" s="58"/>
      <c r="T1084" s="58"/>
      <c r="U1084" s="58"/>
      <c r="V1084" s="58"/>
      <c r="W1084" s="58"/>
      <c r="X1084" s="58"/>
      <c r="Y1084" s="58"/>
      <c r="Z1084" s="58"/>
      <c r="AA1084" s="58"/>
      <c r="AB1084" s="58"/>
      <c r="AC1084" s="58"/>
    </row>
    <row r="1085">
      <c r="A1085" s="320"/>
      <c r="B1085" s="301"/>
      <c r="C1085" s="205"/>
      <c r="D1085" s="302"/>
      <c r="E1085" s="303"/>
      <c r="F1085" s="304"/>
      <c r="G1085" s="312"/>
      <c r="H1085" s="306"/>
      <c r="I1085" s="302"/>
      <c r="J1085" s="307"/>
      <c r="K1085" s="313"/>
      <c r="L1085" s="319"/>
      <c r="M1085" s="316"/>
      <c r="N1085" s="205"/>
      <c r="O1085" s="311"/>
      <c r="P1085" s="200"/>
      <c r="Q1085" s="200"/>
      <c r="R1085" s="58"/>
      <c r="S1085" s="58"/>
      <c r="T1085" s="58"/>
      <c r="U1085" s="58"/>
      <c r="V1085" s="58"/>
      <c r="W1085" s="58"/>
      <c r="X1085" s="58"/>
      <c r="Y1085" s="58"/>
      <c r="Z1085" s="58"/>
      <c r="AA1085" s="58"/>
      <c r="AB1085" s="58"/>
      <c r="AC1085" s="58"/>
    </row>
    <row r="1086">
      <c r="A1086" s="320"/>
      <c r="B1086" s="301"/>
      <c r="C1086" s="205"/>
      <c r="D1086" s="302"/>
      <c r="E1086" s="303"/>
      <c r="F1086" s="304"/>
      <c r="G1086" s="312"/>
      <c r="H1086" s="306"/>
      <c r="I1086" s="302"/>
      <c r="J1086" s="307"/>
      <c r="K1086" s="313"/>
      <c r="L1086" s="319"/>
      <c r="M1086" s="316"/>
      <c r="N1086" s="205"/>
      <c r="O1086" s="311"/>
      <c r="P1086" s="200"/>
      <c r="Q1086" s="200"/>
      <c r="R1086" s="58"/>
      <c r="S1086" s="58"/>
      <c r="T1086" s="58"/>
      <c r="U1086" s="58"/>
      <c r="V1086" s="58"/>
      <c r="W1086" s="58"/>
      <c r="X1086" s="58"/>
      <c r="Y1086" s="58"/>
      <c r="Z1086" s="58"/>
      <c r="AA1086" s="58"/>
      <c r="AB1086" s="58"/>
      <c r="AC1086" s="58"/>
    </row>
    <row r="1087">
      <c r="A1087" s="320"/>
      <c r="B1087" s="301"/>
      <c r="C1087" s="205"/>
      <c r="D1087" s="302"/>
      <c r="E1087" s="303"/>
      <c r="F1087" s="304"/>
      <c r="G1087" s="312"/>
      <c r="H1087" s="306"/>
      <c r="I1087" s="302"/>
      <c r="J1087" s="307"/>
      <c r="K1087" s="313"/>
      <c r="L1087" s="319"/>
      <c r="M1087" s="316"/>
      <c r="N1087" s="205"/>
      <c r="O1087" s="311"/>
      <c r="P1087" s="200"/>
      <c r="Q1087" s="200"/>
      <c r="R1087" s="58"/>
      <c r="S1087" s="58"/>
      <c r="T1087" s="58"/>
      <c r="U1087" s="58"/>
      <c r="V1087" s="58"/>
      <c r="W1087" s="58"/>
      <c r="X1087" s="58"/>
      <c r="Y1087" s="58"/>
      <c r="Z1087" s="58"/>
      <c r="AA1087" s="58"/>
      <c r="AB1087" s="58"/>
      <c r="AC1087" s="58"/>
    </row>
    <row r="1088">
      <c r="A1088" s="320"/>
      <c r="B1088" s="301"/>
      <c r="C1088" s="205"/>
      <c r="D1088" s="302"/>
      <c r="E1088" s="303"/>
      <c r="F1088" s="304"/>
      <c r="G1088" s="312"/>
      <c r="H1088" s="306"/>
      <c r="I1088" s="302"/>
      <c r="J1088" s="307"/>
      <c r="K1088" s="313"/>
      <c r="L1088" s="319"/>
      <c r="M1088" s="316"/>
      <c r="N1088" s="205"/>
      <c r="O1088" s="311"/>
      <c r="P1088" s="200"/>
      <c r="Q1088" s="200"/>
      <c r="R1088" s="58"/>
      <c r="S1088" s="58"/>
      <c r="T1088" s="58"/>
      <c r="U1088" s="58"/>
      <c r="V1088" s="58"/>
      <c r="W1088" s="58"/>
      <c r="X1088" s="58"/>
      <c r="Y1088" s="58"/>
      <c r="Z1088" s="58"/>
      <c r="AA1088" s="58"/>
      <c r="AB1088" s="58"/>
      <c r="AC1088" s="58"/>
    </row>
    <row r="1089">
      <c r="A1089" s="320"/>
      <c r="B1089" s="301"/>
      <c r="C1089" s="205"/>
      <c r="D1089" s="302"/>
      <c r="E1089" s="303"/>
      <c r="F1089" s="304"/>
      <c r="G1089" s="312"/>
      <c r="H1089" s="306"/>
      <c r="I1089" s="302"/>
      <c r="J1089" s="307"/>
      <c r="K1089" s="313"/>
      <c r="L1089" s="319"/>
      <c r="M1089" s="316"/>
      <c r="N1089" s="205"/>
      <c r="O1089" s="311"/>
      <c r="P1089" s="200"/>
      <c r="Q1089" s="200"/>
      <c r="R1089" s="58"/>
      <c r="S1089" s="58"/>
      <c r="T1089" s="58"/>
      <c r="U1089" s="58"/>
      <c r="V1089" s="58"/>
      <c r="W1089" s="58"/>
      <c r="X1089" s="58"/>
      <c r="Y1089" s="58"/>
      <c r="Z1089" s="58"/>
      <c r="AA1089" s="58"/>
      <c r="AB1089" s="58"/>
      <c r="AC1089" s="58"/>
    </row>
    <row r="1090">
      <c r="A1090" s="320"/>
      <c r="B1090" s="301"/>
      <c r="C1090" s="205"/>
      <c r="D1090" s="302"/>
      <c r="E1090" s="303"/>
      <c r="F1090" s="304"/>
      <c r="G1090" s="312"/>
      <c r="H1090" s="306"/>
      <c r="I1090" s="302"/>
      <c r="J1090" s="307"/>
      <c r="K1090" s="313"/>
      <c r="L1090" s="319"/>
      <c r="M1090" s="316"/>
      <c r="N1090" s="205"/>
      <c r="O1090" s="311"/>
      <c r="P1090" s="200"/>
      <c r="Q1090" s="200"/>
      <c r="R1090" s="58"/>
      <c r="S1090" s="58"/>
      <c r="T1090" s="58"/>
      <c r="U1090" s="58"/>
      <c r="V1090" s="58"/>
      <c r="W1090" s="58"/>
      <c r="X1090" s="58"/>
      <c r="Y1090" s="58"/>
      <c r="Z1090" s="58"/>
      <c r="AA1090" s="58"/>
      <c r="AB1090" s="58"/>
      <c r="AC1090" s="58"/>
    </row>
    <row r="1091">
      <c r="A1091" s="320"/>
      <c r="B1091" s="301"/>
      <c r="C1091" s="205"/>
      <c r="D1091" s="302"/>
      <c r="E1091" s="303"/>
      <c r="F1091" s="304"/>
      <c r="G1091" s="312"/>
      <c r="H1091" s="306"/>
      <c r="I1091" s="302"/>
      <c r="J1091" s="307"/>
      <c r="K1091" s="313"/>
      <c r="L1091" s="319"/>
      <c r="M1091" s="316"/>
      <c r="N1091" s="205"/>
      <c r="O1091" s="311"/>
      <c r="P1091" s="200"/>
      <c r="Q1091" s="200"/>
      <c r="R1091" s="58"/>
      <c r="S1091" s="58"/>
      <c r="T1091" s="58"/>
      <c r="U1091" s="58"/>
      <c r="V1091" s="58"/>
      <c r="W1091" s="58"/>
      <c r="X1091" s="58"/>
      <c r="Y1091" s="58"/>
      <c r="Z1091" s="58"/>
      <c r="AA1091" s="58"/>
      <c r="AB1091" s="58"/>
      <c r="AC1091" s="58"/>
    </row>
    <row r="1092">
      <c r="A1092" s="320"/>
      <c r="B1092" s="301"/>
      <c r="C1092" s="205"/>
      <c r="D1092" s="302"/>
      <c r="E1092" s="303"/>
      <c r="F1092" s="304"/>
      <c r="G1092" s="312"/>
      <c r="H1092" s="306"/>
      <c r="I1092" s="302"/>
      <c r="J1092" s="307"/>
      <c r="K1092" s="313"/>
      <c r="L1092" s="319"/>
      <c r="M1092" s="316"/>
      <c r="N1092" s="205"/>
      <c r="O1092" s="311"/>
      <c r="P1092" s="200"/>
      <c r="Q1092" s="200"/>
      <c r="R1092" s="58"/>
      <c r="S1092" s="58"/>
      <c r="T1092" s="58"/>
      <c r="U1092" s="58"/>
      <c r="V1092" s="58"/>
      <c r="W1092" s="58"/>
      <c r="X1092" s="58"/>
      <c r="Y1092" s="58"/>
      <c r="Z1092" s="58"/>
      <c r="AA1092" s="58"/>
      <c r="AB1092" s="58"/>
      <c r="AC1092" s="58"/>
    </row>
    <row r="1093">
      <c r="A1093" s="320"/>
      <c r="B1093" s="301"/>
      <c r="C1093" s="205"/>
      <c r="D1093" s="302"/>
      <c r="E1093" s="303"/>
      <c r="F1093" s="304"/>
      <c r="G1093" s="312"/>
      <c r="H1093" s="306"/>
      <c r="I1093" s="302"/>
      <c r="J1093" s="307"/>
      <c r="K1093" s="313"/>
      <c r="L1093" s="319"/>
      <c r="M1093" s="316"/>
      <c r="N1093" s="205"/>
      <c r="O1093" s="311"/>
      <c r="P1093" s="200"/>
      <c r="Q1093" s="200"/>
      <c r="R1093" s="58"/>
      <c r="S1093" s="58"/>
      <c r="T1093" s="58"/>
      <c r="U1093" s="58"/>
      <c r="V1093" s="58"/>
      <c r="W1093" s="58"/>
      <c r="X1093" s="58"/>
      <c r="Y1093" s="58"/>
      <c r="Z1093" s="58"/>
      <c r="AA1093" s="58"/>
      <c r="AB1093" s="58"/>
      <c r="AC1093" s="58"/>
    </row>
    <row r="1094">
      <c r="A1094" s="320"/>
      <c r="B1094" s="301"/>
      <c r="C1094" s="205"/>
      <c r="D1094" s="302"/>
      <c r="E1094" s="303"/>
      <c r="F1094" s="304"/>
      <c r="G1094" s="312"/>
      <c r="H1094" s="306"/>
      <c r="I1094" s="302"/>
      <c r="J1094" s="307"/>
      <c r="K1094" s="313"/>
      <c r="L1094" s="319"/>
      <c r="M1094" s="316"/>
      <c r="N1094" s="205"/>
      <c r="O1094" s="311"/>
      <c r="P1094" s="200"/>
      <c r="Q1094" s="200"/>
      <c r="R1094" s="58"/>
      <c r="S1094" s="58"/>
      <c r="T1094" s="58"/>
      <c r="U1094" s="58"/>
      <c r="V1094" s="58"/>
      <c r="W1094" s="58"/>
      <c r="X1094" s="58"/>
      <c r="Y1094" s="58"/>
      <c r="Z1094" s="58"/>
      <c r="AA1094" s="58"/>
      <c r="AB1094" s="58"/>
      <c r="AC1094" s="58"/>
    </row>
    <row r="1095">
      <c r="A1095" s="320"/>
      <c r="B1095" s="301"/>
      <c r="C1095" s="205"/>
      <c r="D1095" s="302"/>
      <c r="E1095" s="303"/>
      <c r="F1095" s="304"/>
      <c r="G1095" s="312"/>
      <c r="H1095" s="306"/>
      <c r="I1095" s="302"/>
      <c r="J1095" s="307"/>
      <c r="K1095" s="313"/>
      <c r="L1095" s="319"/>
      <c r="M1095" s="316"/>
      <c r="N1095" s="205"/>
      <c r="O1095" s="311"/>
      <c r="P1095" s="200"/>
      <c r="Q1095" s="200"/>
      <c r="R1095" s="58"/>
      <c r="S1095" s="58"/>
      <c r="T1095" s="58"/>
      <c r="U1095" s="58"/>
      <c r="V1095" s="58"/>
      <c r="W1095" s="58"/>
      <c r="X1095" s="58"/>
      <c r="Y1095" s="58"/>
      <c r="Z1095" s="58"/>
      <c r="AA1095" s="58"/>
      <c r="AB1095" s="58"/>
      <c r="AC1095" s="58"/>
    </row>
    <row r="1096">
      <c r="A1096" s="320"/>
      <c r="B1096" s="301"/>
      <c r="C1096" s="205"/>
      <c r="D1096" s="302"/>
      <c r="E1096" s="303"/>
      <c r="F1096" s="304"/>
      <c r="G1096" s="312"/>
      <c r="H1096" s="306"/>
      <c r="I1096" s="302"/>
      <c r="J1096" s="307"/>
      <c r="K1096" s="313"/>
      <c r="L1096" s="319"/>
      <c r="M1096" s="316"/>
      <c r="N1096" s="205"/>
      <c r="O1096" s="311"/>
      <c r="P1096" s="200"/>
      <c r="Q1096" s="200"/>
      <c r="R1096" s="58"/>
      <c r="S1096" s="58"/>
      <c r="T1096" s="58"/>
      <c r="U1096" s="58"/>
      <c r="V1096" s="58"/>
      <c r="W1096" s="58"/>
      <c r="X1096" s="58"/>
      <c r="Y1096" s="58"/>
      <c r="Z1096" s="58"/>
      <c r="AA1096" s="58"/>
      <c r="AB1096" s="58"/>
      <c r="AC1096" s="58"/>
    </row>
    <row r="1097">
      <c r="A1097" s="320"/>
      <c r="B1097" s="301"/>
      <c r="C1097" s="205"/>
      <c r="D1097" s="302"/>
      <c r="E1097" s="303"/>
      <c r="F1097" s="304"/>
      <c r="G1097" s="312"/>
      <c r="H1097" s="306"/>
      <c r="I1097" s="302"/>
      <c r="J1097" s="307"/>
      <c r="K1097" s="313"/>
      <c r="L1097" s="319"/>
      <c r="M1097" s="316"/>
      <c r="N1097" s="205"/>
      <c r="O1097" s="311"/>
      <c r="P1097" s="200"/>
      <c r="Q1097" s="200"/>
      <c r="R1097" s="58"/>
      <c r="S1097" s="58"/>
      <c r="T1097" s="58"/>
      <c r="U1097" s="58"/>
      <c r="V1097" s="58"/>
      <c r="W1097" s="58"/>
      <c r="X1097" s="58"/>
      <c r="Y1097" s="58"/>
      <c r="Z1097" s="58"/>
      <c r="AA1097" s="58"/>
      <c r="AB1097" s="58"/>
      <c r="AC1097" s="58"/>
    </row>
    <row r="1098">
      <c r="A1098" s="320"/>
      <c r="B1098" s="301"/>
      <c r="C1098" s="205"/>
      <c r="D1098" s="302"/>
      <c r="E1098" s="303"/>
      <c r="F1098" s="304"/>
      <c r="G1098" s="312"/>
      <c r="H1098" s="306"/>
      <c r="I1098" s="302"/>
      <c r="J1098" s="307"/>
      <c r="K1098" s="313"/>
      <c r="L1098" s="319"/>
      <c r="M1098" s="316"/>
      <c r="N1098" s="205"/>
      <c r="O1098" s="311"/>
      <c r="P1098" s="200"/>
      <c r="Q1098" s="200"/>
      <c r="R1098" s="58"/>
      <c r="S1098" s="58"/>
      <c r="T1098" s="58"/>
      <c r="U1098" s="58"/>
      <c r="V1098" s="58"/>
      <c r="W1098" s="58"/>
      <c r="X1098" s="58"/>
      <c r="Y1098" s="58"/>
      <c r="Z1098" s="58"/>
      <c r="AA1098" s="58"/>
      <c r="AB1098" s="58"/>
      <c r="AC1098" s="58"/>
    </row>
    <row r="1099">
      <c r="A1099" s="320"/>
      <c r="B1099" s="301"/>
      <c r="C1099" s="205"/>
      <c r="D1099" s="302"/>
      <c r="E1099" s="303"/>
      <c r="F1099" s="304"/>
      <c r="G1099" s="312"/>
      <c r="H1099" s="306"/>
      <c r="I1099" s="302"/>
      <c r="J1099" s="307"/>
      <c r="K1099" s="313"/>
      <c r="L1099" s="319"/>
      <c r="M1099" s="316"/>
      <c r="N1099" s="205"/>
      <c r="O1099" s="311"/>
      <c r="P1099" s="200"/>
      <c r="Q1099" s="200"/>
      <c r="R1099" s="58"/>
      <c r="S1099" s="58"/>
      <c r="T1099" s="58"/>
      <c r="U1099" s="58"/>
      <c r="V1099" s="58"/>
      <c r="W1099" s="58"/>
      <c r="X1099" s="58"/>
      <c r="Y1099" s="58"/>
      <c r="Z1099" s="58"/>
      <c r="AA1099" s="58"/>
      <c r="AB1099" s="58"/>
      <c r="AC1099" s="58"/>
    </row>
    <row r="1100">
      <c r="A1100" s="320"/>
      <c r="B1100" s="301"/>
      <c r="C1100" s="205"/>
      <c r="D1100" s="302"/>
      <c r="E1100" s="303"/>
      <c r="F1100" s="304"/>
      <c r="G1100" s="312"/>
      <c r="H1100" s="306"/>
      <c r="I1100" s="302"/>
      <c r="J1100" s="307"/>
      <c r="K1100" s="313"/>
      <c r="L1100" s="319"/>
      <c r="M1100" s="316"/>
      <c r="N1100" s="205"/>
      <c r="O1100" s="311"/>
      <c r="P1100" s="200"/>
      <c r="Q1100" s="200"/>
      <c r="R1100" s="58"/>
      <c r="S1100" s="58"/>
      <c r="T1100" s="58"/>
      <c r="U1100" s="58"/>
      <c r="V1100" s="58"/>
      <c r="W1100" s="58"/>
      <c r="X1100" s="58"/>
      <c r="Y1100" s="58"/>
      <c r="Z1100" s="58"/>
      <c r="AA1100" s="58"/>
      <c r="AB1100" s="58"/>
      <c r="AC1100" s="58"/>
    </row>
    <row r="1101">
      <c r="A1101" s="320"/>
      <c r="B1101" s="301"/>
      <c r="C1101" s="205"/>
      <c r="D1101" s="302"/>
      <c r="E1101" s="303"/>
      <c r="F1101" s="304"/>
      <c r="G1101" s="312"/>
      <c r="H1101" s="306"/>
      <c r="I1101" s="302"/>
      <c r="J1101" s="307"/>
      <c r="K1101" s="313"/>
      <c r="L1101" s="319"/>
      <c r="M1101" s="316"/>
      <c r="N1101" s="205"/>
      <c r="O1101" s="311"/>
      <c r="P1101" s="200"/>
      <c r="Q1101" s="200"/>
      <c r="R1101" s="58"/>
      <c r="S1101" s="58"/>
      <c r="T1101" s="58"/>
      <c r="U1101" s="58"/>
      <c r="V1101" s="58"/>
      <c r="W1101" s="58"/>
      <c r="X1101" s="58"/>
      <c r="Y1101" s="58"/>
      <c r="Z1101" s="58"/>
      <c r="AA1101" s="58"/>
      <c r="AB1101" s="58"/>
      <c r="AC1101" s="58"/>
    </row>
    <row r="1102">
      <c r="A1102" s="320"/>
      <c r="B1102" s="301"/>
      <c r="C1102" s="205"/>
      <c r="D1102" s="302"/>
      <c r="E1102" s="303"/>
      <c r="F1102" s="304"/>
      <c r="G1102" s="312"/>
      <c r="H1102" s="306"/>
      <c r="I1102" s="302"/>
      <c r="J1102" s="307"/>
      <c r="K1102" s="313"/>
      <c r="L1102" s="319"/>
      <c r="M1102" s="316"/>
      <c r="N1102" s="205"/>
      <c r="O1102" s="311"/>
      <c r="P1102" s="200"/>
      <c r="Q1102" s="200"/>
      <c r="R1102" s="58"/>
      <c r="S1102" s="58"/>
      <c r="T1102" s="58"/>
      <c r="U1102" s="58"/>
      <c r="V1102" s="58"/>
      <c r="W1102" s="58"/>
      <c r="X1102" s="58"/>
      <c r="Y1102" s="58"/>
      <c r="Z1102" s="58"/>
      <c r="AA1102" s="58"/>
      <c r="AB1102" s="58"/>
      <c r="AC1102" s="58"/>
    </row>
    <row r="1103">
      <c r="A1103" s="320"/>
      <c r="B1103" s="301"/>
      <c r="C1103" s="205"/>
      <c r="D1103" s="302"/>
      <c r="E1103" s="303"/>
      <c r="F1103" s="304"/>
      <c r="G1103" s="312"/>
      <c r="H1103" s="306"/>
      <c r="I1103" s="302"/>
      <c r="J1103" s="307"/>
      <c r="K1103" s="313"/>
      <c r="L1103" s="319"/>
      <c r="M1103" s="316"/>
      <c r="N1103" s="205"/>
      <c r="O1103" s="311"/>
      <c r="P1103" s="200"/>
      <c r="Q1103" s="200"/>
      <c r="R1103" s="58"/>
      <c r="S1103" s="58"/>
      <c r="T1103" s="58"/>
      <c r="U1103" s="58"/>
      <c r="V1103" s="58"/>
      <c r="W1103" s="58"/>
      <c r="X1103" s="58"/>
      <c r="Y1103" s="58"/>
      <c r="Z1103" s="58"/>
      <c r="AA1103" s="58"/>
      <c r="AB1103" s="58"/>
      <c r="AC1103" s="58"/>
    </row>
    <row r="1104">
      <c r="A1104" s="320"/>
      <c r="B1104" s="301"/>
      <c r="C1104" s="205"/>
      <c r="D1104" s="302"/>
      <c r="E1104" s="303"/>
      <c r="F1104" s="304"/>
      <c r="G1104" s="312"/>
      <c r="H1104" s="306"/>
      <c r="I1104" s="302"/>
      <c r="J1104" s="307"/>
      <c r="K1104" s="313"/>
      <c r="L1104" s="319"/>
      <c r="M1104" s="316"/>
      <c r="N1104" s="205"/>
      <c r="O1104" s="311"/>
      <c r="P1104" s="200"/>
      <c r="Q1104" s="200"/>
      <c r="R1104" s="58"/>
      <c r="S1104" s="58"/>
      <c r="T1104" s="58"/>
      <c r="U1104" s="58"/>
      <c r="V1104" s="58"/>
      <c r="W1104" s="58"/>
      <c r="X1104" s="58"/>
      <c r="Y1104" s="58"/>
      <c r="Z1104" s="58"/>
      <c r="AA1104" s="58"/>
      <c r="AB1104" s="58"/>
      <c r="AC1104" s="58"/>
    </row>
    <row r="1105">
      <c r="A1105" s="320"/>
      <c r="B1105" s="301"/>
      <c r="C1105" s="205"/>
      <c r="D1105" s="302"/>
      <c r="E1105" s="303"/>
      <c r="F1105" s="304"/>
      <c r="G1105" s="312"/>
      <c r="H1105" s="306"/>
      <c r="I1105" s="302"/>
      <c r="J1105" s="307"/>
      <c r="K1105" s="313"/>
      <c r="L1105" s="319"/>
      <c r="M1105" s="316"/>
      <c r="N1105" s="205"/>
      <c r="O1105" s="311"/>
      <c r="P1105" s="200"/>
      <c r="Q1105" s="200"/>
      <c r="R1105" s="58"/>
      <c r="S1105" s="58"/>
      <c r="T1105" s="58"/>
      <c r="U1105" s="58"/>
      <c r="V1105" s="58"/>
      <c r="W1105" s="58"/>
      <c r="X1105" s="58"/>
      <c r="Y1105" s="58"/>
      <c r="Z1105" s="58"/>
      <c r="AA1105" s="58"/>
      <c r="AB1105" s="58"/>
      <c r="AC1105" s="58"/>
    </row>
    <row r="1106">
      <c r="A1106" s="320"/>
      <c r="B1106" s="301"/>
      <c r="C1106" s="205"/>
      <c r="D1106" s="302"/>
      <c r="E1106" s="303"/>
      <c r="F1106" s="304"/>
      <c r="G1106" s="312"/>
      <c r="H1106" s="306"/>
      <c r="I1106" s="302"/>
      <c r="J1106" s="307"/>
      <c r="K1106" s="313"/>
      <c r="L1106" s="319"/>
      <c r="M1106" s="316"/>
      <c r="N1106" s="205"/>
      <c r="O1106" s="311"/>
      <c r="P1106" s="200"/>
      <c r="Q1106" s="200"/>
      <c r="R1106" s="58"/>
      <c r="S1106" s="58"/>
      <c r="T1106" s="58"/>
      <c r="U1106" s="58"/>
      <c r="V1106" s="58"/>
      <c r="W1106" s="58"/>
      <c r="X1106" s="58"/>
      <c r="Y1106" s="58"/>
      <c r="Z1106" s="58"/>
      <c r="AA1106" s="58"/>
      <c r="AB1106" s="58"/>
      <c r="AC1106" s="58"/>
    </row>
    <row r="1107">
      <c r="A1107" s="320"/>
      <c r="B1107" s="301"/>
      <c r="C1107" s="205"/>
      <c r="D1107" s="302"/>
      <c r="E1107" s="303"/>
      <c r="F1107" s="304"/>
      <c r="G1107" s="312"/>
      <c r="H1107" s="306"/>
      <c r="I1107" s="302"/>
      <c r="J1107" s="307"/>
      <c r="K1107" s="313"/>
      <c r="L1107" s="319"/>
      <c r="M1107" s="316"/>
      <c r="N1107" s="205"/>
      <c r="O1107" s="311"/>
      <c r="P1107" s="200"/>
      <c r="Q1107" s="200"/>
      <c r="R1107" s="58"/>
      <c r="S1107" s="58"/>
      <c r="T1107" s="58"/>
      <c r="U1107" s="58"/>
      <c r="V1107" s="58"/>
      <c r="W1107" s="58"/>
      <c r="X1107" s="58"/>
      <c r="Y1107" s="58"/>
      <c r="Z1107" s="58"/>
      <c r="AA1107" s="58"/>
      <c r="AB1107" s="58"/>
      <c r="AC1107" s="58"/>
    </row>
    <row r="1108">
      <c r="A1108" s="320"/>
      <c r="B1108" s="301"/>
      <c r="C1108" s="205"/>
      <c r="D1108" s="302"/>
      <c r="E1108" s="303"/>
      <c r="F1108" s="304"/>
      <c r="G1108" s="312"/>
      <c r="H1108" s="306"/>
      <c r="I1108" s="302"/>
      <c r="J1108" s="307"/>
      <c r="K1108" s="313"/>
      <c r="L1108" s="319"/>
      <c r="M1108" s="316"/>
      <c r="N1108" s="205"/>
      <c r="O1108" s="311"/>
      <c r="P1108" s="200"/>
      <c r="Q1108" s="200"/>
      <c r="R1108" s="58"/>
      <c r="S1108" s="58"/>
      <c r="T1108" s="58"/>
      <c r="U1108" s="58"/>
      <c r="V1108" s="58"/>
      <c r="W1108" s="58"/>
      <c r="X1108" s="58"/>
      <c r="Y1108" s="58"/>
      <c r="Z1108" s="58"/>
      <c r="AA1108" s="58"/>
      <c r="AB1108" s="58"/>
      <c r="AC1108" s="58"/>
    </row>
    <row r="1109">
      <c r="A1109" s="320"/>
      <c r="B1109" s="301"/>
      <c r="C1109" s="205"/>
      <c r="D1109" s="302"/>
      <c r="E1109" s="303"/>
      <c r="F1109" s="304"/>
      <c r="G1109" s="312"/>
      <c r="H1109" s="306"/>
      <c r="I1109" s="302"/>
      <c r="J1109" s="307"/>
      <c r="K1109" s="313"/>
      <c r="L1109" s="319"/>
      <c r="M1109" s="316"/>
      <c r="N1109" s="205"/>
      <c r="O1109" s="311"/>
      <c r="P1109" s="200"/>
      <c r="Q1109" s="200"/>
      <c r="R1109" s="58"/>
      <c r="S1109" s="58"/>
      <c r="T1109" s="58"/>
      <c r="U1109" s="58"/>
      <c r="V1109" s="58"/>
      <c r="W1109" s="58"/>
      <c r="X1109" s="58"/>
      <c r="Y1109" s="58"/>
      <c r="Z1109" s="58"/>
      <c r="AA1109" s="58"/>
      <c r="AB1109" s="58"/>
      <c r="AC1109" s="58"/>
    </row>
    <row r="1110">
      <c r="A1110" s="320"/>
      <c r="B1110" s="301"/>
      <c r="C1110" s="205"/>
      <c r="D1110" s="302"/>
      <c r="E1110" s="303"/>
      <c r="F1110" s="304"/>
      <c r="G1110" s="312"/>
      <c r="H1110" s="306"/>
      <c r="I1110" s="302"/>
      <c r="J1110" s="307"/>
      <c r="K1110" s="313"/>
      <c r="L1110" s="319"/>
      <c r="M1110" s="316"/>
      <c r="N1110" s="205"/>
      <c r="O1110" s="311"/>
      <c r="P1110" s="200"/>
      <c r="Q1110" s="200"/>
      <c r="R1110" s="58"/>
      <c r="S1110" s="58"/>
      <c r="T1110" s="58"/>
      <c r="U1110" s="58"/>
      <c r="V1110" s="58"/>
      <c r="W1110" s="58"/>
      <c r="X1110" s="58"/>
      <c r="Y1110" s="58"/>
      <c r="Z1110" s="58"/>
      <c r="AA1110" s="58"/>
      <c r="AB1110" s="58"/>
      <c r="AC1110" s="58"/>
    </row>
    <row r="1111">
      <c r="A1111" s="320"/>
      <c r="B1111" s="301"/>
      <c r="C1111" s="205"/>
      <c r="D1111" s="302"/>
      <c r="E1111" s="303"/>
      <c r="F1111" s="304"/>
      <c r="G1111" s="312"/>
      <c r="H1111" s="306"/>
      <c r="I1111" s="302"/>
      <c r="J1111" s="307"/>
      <c r="K1111" s="313"/>
      <c r="L1111" s="319"/>
      <c r="M1111" s="316"/>
      <c r="N1111" s="205"/>
      <c r="O1111" s="311"/>
      <c r="P1111" s="200"/>
      <c r="Q1111" s="200"/>
      <c r="R1111" s="58"/>
      <c r="S1111" s="58"/>
      <c r="T1111" s="58"/>
      <c r="U1111" s="58"/>
      <c r="V1111" s="58"/>
      <c r="W1111" s="58"/>
      <c r="X1111" s="58"/>
      <c r="Y1111" s="58"/>
      <c r="Z1111" s="58"/>
      <c r="AA1111" s="58"/>
      <c r="AB1111" s="58"/>
      <c r="AC1111" s="58"/>
    </row>
    <row r="1112">
      <c r="A1112" s="320"/>
      <c r="B1112" s="301"/>
      <c r="C1112" s="205"/>
      <c r="D1112" s="302"/>
      <c r="E1112" s="303"/>
      <c r="F1112" s="304"/>
      <c r="G1112" s="312"/>
      <c r="H1112" s="306"/>
      <c r="I1112" s="302"/>
      <c r="J1112" s="307"/>
      <c r="K1112" s="313"/>
      <c r="L1112" s="319"/>
      <c r="M1112" s="316"/>
      <c r="N1112" s="205"/>
      <c r="O1112" s="311"/>
      <c r="P1112" s="200"/>
      <c r="Q1112" s="200"/>
      <c r="R1112" s="58"/>
      <c r="S1112" s="58"/>
      <c r="T1112" s="58"/>
      <c r="U1112" s="58"/>
      <c r="V1112" s="58"/>
      <c r="W1112" s="58"/>
      <c r="X1112" s="58"/>
      <c r="Y1112" s="58"/>
      <c r="Z1112" s="58"/>
      <c r="AA1112" s="58"/>
      <c r="AB1112" s="58"/>
      <c r="AC1112" s="58"/>
    </row>
    <row r="1113">
      <c r="A1113" s="320"/>
      <c r="B1113" s="301"/>
      <c r="C1113" s="205"/>
      <c r="D1113" s="302"/>
      <c r="E1113" s="303"/>
      <c r="F1113" s="304"/>
      <c r="G1113" s="312"/>
      <c r="H1113" s="306"/>
      <c r="I1113" s="302"/>
      <c r="J1113" s="307"/>
      <c r="K1113" s="313"/>
      <c r="L1113" s="319"/>
      <c r="M1113" s="316"/>
      <c r="N1113" s="205"/>
      <c r="O1113" s="311"/>
      <c r="P1113" s="200"/>
      <c r="Q1113" s="200"/>
      <c r="R1113" s="58"/>
      <c r="S1113" s="58"/>
      <c r="T1113" s="58"/>
      <c r="U1113" s="58"/>
      <c r="V1113" s="58"/>
      <c r="W1113" s="58"/>
      <c r="X1113" s="58"/>
      <c r="Y1113" s="58"/>
      <c r="Z1113" s="58"/>
      <c r="AA1113" s="58"/>
      <c r="AB1113" s="58"/>
      <c r="AC1113" s="58"/>
    </row>
    <row r="1114">
      <c r="A1114" s="320"/>
      <c r="B1114" s="301"/>
      <c r="C1114" s="205"/>
      <c r="D1114" s="302"/>
      <c r="E1114" s="303"/>
      <c r="F1114" s="304"/>
      <c r="G1114" s="312"/>
      <c r="H1114" s="306"/>
      <c r="I1114" s="302"/>
      <c r="J1114" s="307"/>
      <c r="K1114" s="313"/>
      <c r="L1114" s="319"/>
      <c r="M1114" s="316"/>
      <c r="N1114" s="205"/>
      <c r="O1114" s="311"/>
      <c r="P1114" s="200"/>
      <c r="Q1114" s="200"/>
      <c r="R1114" s="58"/>
      <c r="S1114" s="58"/>
      <c r="T1114" s="58"/>
      <c r="U1114" s="58"/>
      <c r="V1114" s="58"/>
      <c r="W1114" s="58"/>
      <c r="X1114" s="58"/>
      <c r="Y1114" s="58"/>
      <c r="Z1114" s="58"/>
      <c r="AA1114" s="58"/>
      <c r="AB1114" s="58"/>
      <c r="AC1114" s="58"/>
    </row>
    <row r="1115">
      <c r="A1115" s="320"/>
      <c r="B1115" s="301"/>
      <c r="C1115" s="205"/>
      <c r="D1115" s="302"/>
      <c r="E1115" s="303"/>
      <c r="F1115" s="304"/>
      <c r="G1115" s="312"/>
      <c r="H1115" s="306"/>
      <c r="I1115" s="302"/>
      <c r="J1115" s="307"/>
      <c r="K1115" s="313"/>
      <c r="L1115" s="319"/>
      <c r="M1115" s="316"/>
      <c r="N1115" s="205"/>
      <c r="O1115" s="311"/>
      <c r="P1115" s="200"/>
      <c r="Q1115" s="200"/>
      <c r="R1115" s="58"/>
      <c r="S1115" s="58"/>
      <c r="T1115" s="58"/>
      <c r="U1115" s="58"/>
      <c r="V1115" s="58"/>
      <c r="W1115" s="58"/>
      <c r="X1115" s="58"/>
      <c r="Y1115" s="58"/>
      <c r="Z1115" s="58"/>
      <c r="AA1115" s="58"/>
      <c r="AB1115" s="58"/>
      <c r="AC1115" s="58"/>
    </row>
    <row r="1116">
      <c r="A1116" s="320"/>
      <c r="B1116" s="301"/>
      <c r="C1116" s="205"/>
      <c r="D1116" s="302"/>
      <c r="E1116" s="303"/>
      <c r="F1116" s="304"/>
      <c r="G1116" s="312"/>
      <c r="H1116" s="306"/>
      <c r="I1116" s="302"/>
      <c r="J1116" s="307"/>
      <c r="K1116" s="313"/>
      <c r="L1116" s="319"/>
      <c r="M1116" s="316"/>
      <c r="N1116" s="205"/>
      <c r="O1116" s="311"/>
      <c r="P1116" s="200"/>
      <c r="Q1116" s="200"/>
      <c r="R1116" s="58"/>
      <c r="S1116" s="58"/>
      <c r="T1116" s="58"/>
      <c r="U1116" s="58"/>
      <c r="V1116" s="58"/>
      <c r="W1116" s="58"/>
      <c r="X1116" s="58"/>
      <c r="Y1116" s="58"/>
      <c r="Z1116" s="58"/>
      <c r="AA1116" s="58"/>
      <c r="AB1116" s="58"/>
      <c r="AC1116" s="58"/>
    </row>
    <row r="1117">
      <c r="A1117" s="320"/>
      <c r="B1117" s="301"/>
      <c r="C1117" s="205"/>
      <c r="D1117" s="302"/>
      <c r="E1117" s="303"/>
      <c r="F1117" s="304"/>
      <c r="G1117" s="312"/>
      <c r="H1117" s="306"/>
      <c r="I1117" s="302"/>
      <c r="J1117" s="307"/>
      <c r="K1117" s="313"/>
      <c r="L1117" s="319"/>
      <c r="M1117" s="316"/>
      <c r="N1117" s="205"/>
      <c r="O1117" s="311"/>
      <c r="P1117" s="200"/>
      <c r="Q1117" s="200"/>
      <c r="R1117" s="58"/>
      <c r="S1117" s="58"/>
      <c r="T1117" s="58"/>
      <c r="U1117" s="58"/>
      <c r="V1117" s="58"/>
      <c r="W1117" s="58"/>
      <c r="X1117" s="58"/>
      <c r="Y1117" s="58"/>
      <c r="Z1117" s="58"/>
      <c r="AA1117" s="58"/>
      <c r="AB1117" s="58"/>
      <c r="AC1117" s="58"/>
    </row>
    <row r="1118">
      <c r="A1118" s="320"/>
      <c r="B1118" s="301"/>
      <c r="C1118" s="205"/>
      <c r="D1118" s="302"/>
      <c r="E1118" s="303"/>
      <c r="F1118" s="304"/>
      <c r="G1118" s="312"/>
      <c r="H1118" s="306"/>
      <c r="I1118" s="302"/>
      <c r="J1118" s="307"/>
      <c r="K1118" s="313"/>
      <c r="L1118" s="319"/>
      <c r="M1118" s="316"/>
      <c r="N1118" s="205"/>
      <c r="O1118" s="311"/>
      <c r="P1118" s="200"/>
      <c r="Q1118" s="200"/>
      <c r="R1118" s="58"/>
      <c r="S1118" s="58"/>
      <c r="T1118" s="58"/>
      <c r="U1118" s="58"/>
      <c r="V1118" s="58"/>
      <c r="W1118" s="58"/>
      <c r="X1118" s="58"/>
      <c r="Y1118" s="58"/>
      <c r="Z1118" s="58"/>
      <c r="AA1118" s="58"/>
      <c r="AB1118" s="58"/>
      <c r="AC1118" s="58"/>
    </row>
    <row r="1119">
      <c r="A1119" s="320"/>
      <c r="B1119" s="301"/>
      <c r="C1119" s="205"/>
      <c r="D1119" s="302"/>
      <c r="E1119" s="303"/>
      <c r="F1119" s="304"/>
      <c r="G1119" s="312"/>
      <c r="H1119" s="306"/>
      <c r="I1119" s="302"/>
      <c r="J1119" s="307"/>
      <c r="K1119" s="313"/>
      <c r="L1119" s="319"/>
      <c r="M1119" s="316"/>
      <c r="N1119" s="205"/>
      <c r="O1119" s="311"/>
      <c r="P1119" s="200"/>
      <c r="Q1119" s="200"/>
      <c r="R1119" s="58"/>
      <c r="S1119" s="58"/>
      <c r="T1119" s="58"/>
      <c r="U1119" s="58"/>
      <c r="V1119" s="58"/>
      <c r="W1119" s="58"/>
      <c r="X1119" s="58"/>
      <c r="Y1119" s="58"/>
      <c r="Z1119" s="58"/>
      <c r="AA1119" s="58"/>
      <c r="AB1119" s="58"/>
      <c r="AC1119" s="58"/>
    </row>
    <row r="1120">
      <c r="A1120" s="320"/>
      <c r="B1120" s="301"/>
      <c r="C1120" s="205"/>
      <c r="D1120" s="302"/>
      <c r="E1120" s="303"/>
      <c r="F1120" s="304"/>
      <c r="G1120" s="312"/>
      <c r="H1120" s="306"/>
      <c r="I1120" s="302"/>
      <c r="J1120" s="307"/>
      <c r="K1120" s="313"/>
      <c r="L1120" s="319"/>
      <c r="M1120" s="316"/>
      <c r="N1120" s="205"/>
      <c r="O1120" s="311"/>
      <c r="P1120" s="200"/>
      <c r="Q1120" s="200"/>
      <c r="R1120" s="58"/>
      <c r="S1120" s="58"/>
      <c r="T1120" s="58"/>
      <c r="U1120" s="58"/>
      <c r="V1120" s="58"/>
      <c r="W1120" s="58"/>
      <c r="X1120" s="58"/>
      <c r="Y1120" s="58"/>
      <c r="Z1120" s="58"/>
      <c r="AA1120" s="58"/>
      <c r="AB1120" s="58"/>
      <c r="AC1120" s="58"/>
    </row>
    <row r="1121">
      <c r="A1121" s="320"/>
      <c r="B1121" s="301"/>
      <c r="C1121" s="205"/>
      <c r="D1121" s="302"/>
      <c r="E1121" s="303"/>
      <c r="F1121" s="304"/>
      <c r="G1121" s="312"/>
      <c r="H1121" s="306"/>
      <c r="I1121" s="302"/>
      <c r="J1121" s="307"/>
      <c r="K1121" s="313"/>
      <c r="L1121" s="319"/>
      <c r="M1121" s="316"/>
      <c r="N1121" s="205"/>
      <c r="O1121" s="311"/>
      <c r="P1121" s="200"/>
      <c r="Q1121" s="200"/>
      <c r="R1121" s="58"/>
      <c r="S1121" s="58"/>
      <c r="T1121" s="58"/>
      <c r="U1121" s="58"/>
      <c r="V1121" s="58"/>
      <c r="W1121" s="58"/>
      <c r="X1121" s="58"/>
      <c r="Y1121" s="58"/>
      <c r="Z1121" s="58"/>
      <c r="AA1121" s="58"/>
      <c r="AB1121" s="58"/>
      <c r="AC1121" s="58"/>
    </row>
    <row r="1122">
      <c r="A1122" s="320"/>
      <c r="B1122" s="301"/>
      <c r="C1122" s="205"/>
      <c r="D1122" s="302"/>
      <c r="E1122" s="303"/>
      <c r="F1122" s="304"/>
      <c r="G1122" s="312"/>
      <c r="H1122" s="306"/>
      <c r="I1122" s="302"/>
      <c r="J1122" s="307"/>
      <c r="K1122" s="313"/>
      <c r="L1122" s="319"/>
      <c r="M1122" s="316"/>
      <c r="N1122" s="205"/>
      <c r="O1122" s="311"/>
      <c r="P1122" s="200"/>
      <c r="Q1122" s="200"/>
      <c r="R1122" s="58"/>
      <c r="S1122" s="58"/>
      <c r="T1122" s="58"/>
      <c r="U1122" s="58"/>
      <c r="V1122" s="58"/>
      <c r="W1122" s="58"/>
      <c r="X1122" s="58"/>
      <c r="Y1122" s="58"/>
      <c r="Z1122" s="58"/>
      <c r="AA1122" s="58"/>
      <c r="AB1122" s="58"/>
      <c r="AC1122" s="58"/>
    </row>
    <row r="1123">
      <c r="A1123" s="320"/>
      <c r="B1123" s="301"/>
      <c r="C1123" s="205"/>
      <c r="D1123" s="302"/>
      <c r="E1123" s="303"/>
      <c r="F1123" s="304"/>
      <c r="G1123" s="312"/>
      <c r="H1123" s="306"/>
      <c r="I1123" s="302"/>
      <c r="J1123" s="307"/>
      <c r="K1123" s="313"/>
      <c r="L1123" s="319"/>
      <c r="M1123" s="316"/>
      <c r="N1123" s="205"/>
      <c r="O1123" s="311"/>
      <c r="P1123" s="200"/>
      <c r="Q1123" s="200"/>
      <c r="R1123" s="58"/>
      <c r="S1123" s="58"/>
      <c r="T1123" s="58"/>
      <c r="U1123" s="58"/>
      <c r="V1123" s="58"/>
      <c r="W1123" s="58"/>
      <c r="X1123" s="58"/>
      <c r="Y1123" s="58"/>
      <c r="Z1123" s="58"/>
      <c r="AA1123" s="58"/>
      <c r="AB1123" s="58"/>
      <c r="AC1123" s="58"/>
    </row>
    <row r="1124">
      <c r="A1124" s="320"/>
      <c r="B1124" s="301"/>
      <c r="C1124" s="205"/>
      <c r="D1124" s="302"/>
      <c r="E1124" s="303"/>
      <c r="F1124" s="304"/>
      <c r="G1124" s="312"/>
      <c r="H1124" s="306"/>
      <c r="I1124" s="302"/>
      <c r="J1124" s="307"/>
      <c r="K1124" s="313"/>
      <c r="L1124" s="319"/>
      <c r="M1124" s="316"/>
      <c r="N1124" s="205"/>
      <c r="O1124" s="311"/>
      <c r="P1124" s="200"/>
      <c r="Q1124" s="200"/>
      <c r="R1124" s="58"/>
      <c r="S1124" s="58"/>
      <c r="T1124" s="58"/>
      <c r="U1124" s="58"/>
      <c r="V1124" s="58"/>
      <c r="W1124" s="58"/>
      <c r="X1124" s="58"/>
      <c r="Y1124" s="58"/>
      <c r="Z1124" s="58"/>
      <c r="AA1124" s="58"/>
      <c r="AB1124" s="58"/>
      <c r="AC1124" s="58"/>
    </row>
    <row r="1125">
      <c r="A1125" s="320"/>
      <c r="B1125" s="301"/>
      <c r="C1125" s="205"/>
      <c r="D1125" s="302"/>
      <c r="E1125" s="303"/>
      <c r="F1125" s="304"/>
      <c r="G1125" s="312"/>
      <c r="H1125" s="306"/>
      <c r="I1125" s="302"/>
      <c r="J1125" s="307"/>
      <c r="K1125" s="313"/>
      <c r="L1125" s="319"/>
      <c r="M1125" s="316"/>
      <c r="N1125" s="205"/>
      <c r="O1125" s="311"/>
      <c r="P1125" s="200"/>
      <c r="Q1125" s="200"/>
      <c r="R1125" s="58"/>
      <c r="S1125" s="58"/>
      <c r="T1125" s="58"/>
      <c r="U1125" s="58"/>
      <c r="V1125" s="58"/>
      <c r="W1125" s="58"/>
      <c r="X1125" s="58"/>
      <c r="Y1125" s="58"/>
      <c r="Z1125" s="58"/>
      <c r="AA1125" s="58"/>
      <c r="AB1125" s="58"/>
      <c r="AC1125" s="58"/>
    </row>
    <row r="1126">
      <c r="A1126" s="320"/>
      <c r="B1126" s="301"/>
      <c r="C1126" s="205"/>
      <c r="D1126" s="302"/>
      <c r="E1126" s="303"/>
      <c r="F1126" s="304"/>
      <c r="G1126" s="312"/>
      <c r="H1126" s="306"/>
      <c r="I1126" s="302"/>
      <c r="J1126" s="307"/>
      <c r="K1126" s="313"/>
      <c r="L1126" s="319"/>
      <c r="M1126" s="316"/>
      <c r="N1126" s="205"/>
      <c r="O1126" s="311"/>
      <c r="P1126" s="200"/>
      <c r="Q1126" s="200"/>
      <c r="R1126" s="58"/>
      <c r="S1126" s="58"/>
      <c r="T1126" s="58"/>
      <c r="U1126" s="58"/>
      <c r="V1126" s="58"/>
      <c r="W1126" s="58"/>
      <c r="X1126" s="58"/>
      <c r="Y1126" s="58"/>
      <c r="Z1126" s="58"/>
      <c r="AA1126" s="58"/>
      <c r="AB1126" s="58"/>
      <c r="AC1126" s="58"/>
    </row>
    <row r="1127">
      <c r="A1127" s="320"/>
      <c r="B1127" s="301"/>
      <c r="C1127" s="205"/>
      <c r="D1127" s="302"/>
      <c r="E1127" s="303"/>
      <c r="F1127" s="304"/>
      <c r="G1127" s="312"/>
      <c r="H1127" s="306"/>
      <c r="I1127" s="302"/>
      <c r="J1127" s="307"/>
      <c r="K1127" s="313"/>
      <c r="L1127" s="319"/>
      <c r="M1127" s="316"/>
      <c r="N1127" s="205"/>
      <c r="O1127" s="311"/>
      <c r="P1127" s="200"/>
      <c r="Q1127" s="200"/>
      <c r="R1127" s="58"/>
      <c r="S1127" s="58"/>
      <c r="T1127" s="58"/>
      <c r="U1127" s="58"/>
      <c r="V1127" s="58"/>
      <c r="W1127" s="58"/>
      <c r="X1127" s="58"/>
      <c r="Y1127" s="58"/>
      <c r="Z1127" s="58"/>
      <c r="AA1127" s="58"/>
      <c r="AB1127" s="58"/>
      <c r="AC1127" s="58"/>
    </row>
    <row r="1128">
      <c r="A1128" s="320"/>
      <c r="B1128" s="301"/>
      <c r="C1128" s="205"/>
      <c r="D1128" s="302"/>
      <c r="E1128" s="303"/>
      <c r="F1128" s="304"/>
      <c r="G1128" s="312"/>
      <c r="H1128" s="306"/>
      <c r="I1128" s="302"/>
      <c r="J1128" s="307"/>
      <c r="K1128" s="313"/>
      <c r="L1128" s="319"/>
      <c r="M1128" s="316"/>
      <c r="N1128" s="205"/>
      <c r="O1128" s="311"/>
      <c r="P1128" s="200"/>
      <c r="Q1128" s="200"/>
      <c r="R1128" s="58"/>
      <c r="S1128" s="58"/>
      <c r="T1128" s="58"/>
      <c r="U1128" s="58"/>
      <c r="V1128" s="58"/>
      <c r="W1128" s="58"/>
      <c r="X1128" s="58"/>
      <c r="Y1128" s="58"/>
      <c r="Z1128" s="58"/>
      <c r="AA1128" s="58"/>
      <c r="AB1128" s="58"/>
      <c r="AC1128" s="58"/>
    </row>
    <row r="1129">
      <c r="A1129" s="320"/>
      <c r="B1129" s="301"/>
      <c r="C1129" s="205"/>
      <c r="D1129" s="302"/>
      <c r="E1129" s="303"/>
      <c r="F1129" s="304"/>
      <c r="G1129" s="312"/>
      <c r="H1129" s="306"/>
      <c r="I1129" s="302"/>
      <c r="J1129" s="307"/>
      <c r="K1129" s="313"/>
      <c r="L1129" s="319"/>
      <c r="M1129" s="316"/>
      <c r="N1129" s="205"/>
      <c r="O1129" s="311"/>
      <c r="P1129" s="200"/>
      <c r="Q1129" s="200"/>
      <c r="R1129" s="58"/>
      <c r="S1129" s="58"/>
      <c r="T1129" s="58"/>
      <c r="U1129" s="58"/>
      <c r="V1129" s="58"/>
      <c r="W1129" s="58"/>
      <c r="X1129" s="58"/>
      <c r="Y1129" s="58"/>
      <c r="Z1129" s="58"/>
      <c r="AA1129" s="58"/>
      <c r="AB1129" s="58"/>
      <c r="AC1129" s="58"/>
    </row>
    <row r="1130">
      <c r="A1130" s="320"/>
      <c r="B1130" s="301"/>
      <c r="C1130" s="205"/>
      <c r="D1130" s="302"/>
      <c r="E1130" s="303"/>
      <c r="F1130" s="304"/>
      <c r="G1130" s="312"/>
      <c r="H1130" s="306"/>
      <c r="I1130" s="302"/>
      <c r="J1130" s="307"/>
      <c r="K1130" s="313"/>
      <c r="L1130" s="319"/>
      <c r="M1130" s="316"/>
      <c r="N1130" s="205"/>
      <c r="O1130" s="311"/>
      <c r="P1130" s="200"/>
      <c r="Q1130" s="200"/>
      <c r="R1130" s="58"/>
      <c r="S1130" s="58"/>
      <c r="T1130" s="58"/>
      <c r="U1130" s="58"/>
      <c r="V1130" s="58"/>
      <c r="W1130" s="58"/>
      <c r="X1130" s="58"/>
      <c r="Y1130" s="58"/>
      <c r="Z1130" s="58"/>
      <c r="AA1130" s="58"/>
      <c r="AB1130" s="58"/>
      <c r="AC1130" s="58"/>
    </row>
    <row r="1131">
      <c r="A1131" s="320"/>
      <c r="B1131" s="301"/>
      <c r="C1131" s="205"/>
      <c r="D1131" s="302"/>
      <c r="E1131" s="303"/>
      <c r="F1131" s="304"/>
      <c r="G1131" s="312"/>
      <c r="H1131" s="306"/>
      <c r="I1131" s="302"/>
      <c r="J1131" s="307"/>
      <c r="K1131" s="313"/>
      <c r="L1131" s="319"/>
      <c r="M1131" s="316"/>
      <c r="N1131" s="205"/>
      <c r="O1131" s="311"/>
      <c r="P1131" s="200"/>
      <c r="Q1131" s="200"/>
      <c r="R1131" s="58"/>
      <c r="S1131" s="58"/>
      <c r="T1131" s="58"/>
      <c r="U1131" s="58"/>
      <c r="V1131" s="58"/>
      <c r="W1131" s="58"/>
      <c r="X1131" s="58"/>
      <c r="Y1131" s="58"/>
      <c r="Z1131" s="58"/>
      <c r="AA1131" s="58"/>
      <c r="AB1131" s="58"/>
      <c r="AC1131" s="58"/>
    </row>
    <row r="1132">
      <c r="A1132" s="320"/>
      <c r="B1132" s="301"/>
      <c r="C1132" s="205"/>
      <c r="D1132" s="302"/>
      <c r="E1132" s="303"/>
      <c r="F1132" s="304"/>
      <c r="G1132" s="312"/>
      <c r="H1132" s="306"/>
      <c r="I1132" s="302"/>
      <c r="J1132" s="307"/>
      <c r="K1132" s="313"/>
      <c r="L1132" s="319"/>
      <c r="M1132" s="316"/>
      <c r="N1132" s="205"/>
      <c r="O1132" s="311"/>
      <c r="P1132" s="200"/>
      <c r="Q1132" s="200"/>
      <c r="R1132" s="58"/>
      <c r="S1132" s="58"/>
      <c r="T1132" s="58"/>
      <c r="U1132" s="58"/>
      <c r="V1132" s="58"/>
      <c r="W1132" s="58"/>
      <c r="X1132" s="58"/>
      <c r="Y1132" s="58"/>
      <c r="Z1132" s="58"/>
      <c r="AA1132" s="58"/>
      <c r="AB1132" s="58"/>
      <c r="AC1132" s="58"/>
    </row>
    <row r="1133">
      <c r="A1133" s="320"/>
      <c r="B1133" s="301"/>
      <c r="C1133" s="205"/>
      <c r="D1133" s="302"/>
      <c r="E1133" s="303"/>
      <c r="F1133" s="304"/>
      <c r="G1133" s="312"/>
      <c r="H1133" s="306"/>
      <c r="I1133" s="302"/>
      <c r="J1133" s="307"/>
      <c r="K1133" s="313"/>
      <c r="L1133" s="319"/>
      <c r="M1133" s="316"/>
      <c r="N1133" s="205"/>
      <c r="O1133" s="311"/>
      <c r="P1133" s="200"/>
      <c r="Q1133" s="200"/>
      <c r="R1133" s="58"/>
      <c r="S1133" s="58"/>
      <c r="T1133" s="58"/>
      <c r="U1133" s="58"/>
      <c r="V1133" s="58"/>
      <c r="W1133" s="58"/>
      <c r="X1133" s="58"/>
      <c r="Y1133" s="58"/>
      <c r="Z1133" s="58"/>
      <c r="AA1133" s="58"/>
      <c r="AB1133" s="58"/>
      <c r="AC1133" s="58"/>
    </row>
    <row r="1134">
      <c r="A1134" s="320"/>
      <c r="B1134" s="301"/>
      <c r="C1134" s="205"/>
      <c r="D1134" s="302"/>
      <c r="E1134" s="303"/>
      <c r="F1134" s="304"/>
      <c r="G1134" s="312"/>
      <c r="H1134" s="306"/>
      <c r="I1134" s="302"/>
      <c r="J1134" s="307"/>
      <c r="K1134" s="313"/>
      <c r="L1134" s="319"/>
      <c r="M1134" s="316"/>
      <c r="N1134" s="205"/>
      <c r="O1134" s="311"/>
      <c r="P1134" s="200"/>
      <c r="Q1134" s="200"/>
      <c r="R1134" s="58"/>
      <c r="S1134" s="58"/>
      <c r="T1134" s="58"/>
      <c r="U1134" s="58"/>
      <c r="V1134" s="58"/>
      <c r="W1134" s="58"/>
      <c r="X1134" s="58"/>
      <c r="Y1134" s="58"/>
      <c r="Z1134" s="58"/>
      <c r="AA1134" s="58"/>
      <c r="AB1134" s="58"/>
      <c r="AC1134" s="58"/>
    </row>
    <row r="1135">
      <c r="A1135" s="320"/>
      <c r="B1135" s="301"/>
      <c r="C1135" s="205"/>
      <c r="D1135" s="302"/>
      <c r="E1135" s="303"/>
      <c r="F1135" s="304"/>
      <c r="G1135" s="312"/>
      <c r="H1135" s="306"/>
      <c r="I1135" s="302"/>
      <c r="J1135" s="307"/>
      <c r="K1135" s="313"/>
      <c r="L1135" s="319"/>
      <c r="M1135" s="316"/>
      <c r="N1135" s="205"/>
      <c r="O1135" s="311"/>
      <c r="P1135" s="200"/>
      <c r="Q1135" s="200"/>
      <c r="R1135" s="58"/>
      <c r="S1135" s="58"/>
      <c r="T1135" s="58"/>
      <c r="U1135" s="58"/>
      <c r="V1135" s="58"/>
      <c r="W1135" s="58"/>
      <c r="X1135" s="58"/>
      <c r="Y1135" s="58"/>
      <c r="Z1135" s="58"/>
      <c r="AA1135" s="58"/>
      <c r="AB1135" s="58"/>
      <c r="AC1135" s="58"/>
    </row>
    <row r="1136">
      <c r="A1136" s="320"/>
      <c r="B1136" s="301"/>
      <c r="C1136" s="205"/>
      <c r="D1136" s="302"/>
      <c r="E1136" s="303"/>
      <c r="F1136" s="304"/>
      <c r="G1136" s="312"/>
      <c r="H1136" s="306"/>
      <c r="I1136" s="302"/>
      <c r="J1136" s="307"/>
      <c r="K1136" s="313"/>
      <c r="L1136" s="319"/>
      <c r="M1136" s="316"/>
      <c r="N1136" s="205"/>
      <c r="O1136" s="311"/>
      <c r="P1136" s="200"/>
      <c r="Q1136" s="200"/>
      <c r="R1136" s="58"/>
      <c r="S1136" s="58"/>
      <c r="T1136" s="58"/>
      <c r="U1136" s="58"/>
      <c r="V1136" s="58"/>
      <c r="W1136" s="58"/>
      <c r="X1136" s="58"/>
      <c r="Y1136" s="58"/>
      <c r="Z1136" s="58"/>
      <c r="AA1136" s="58"/>
      <c r="AB1136" s="58"/>
      <c r="AC1136" s="58"/>
    </row>
    <row r="1137">
      <c r="A1137" s="320"/>
      <c r="B1137" s="301"/>
      <c r="C1137" s="205"/>
      <c r="D1137" s="302"/>
      <c r="E1137" s="303"/>
      <c r="F1137" s="304"/>
      <c r="G1137" s="312"/>
      <c r="H1137" s="306"/>
      <c r="I1137" s="302"/>
      <c r="J1137" s="307"/>
      <c r="K1137" s="313"/>
      <c r="L1137" s="319"/>
      <c r="M1137" s="316"/>
      <c r="N1137" s="205"/>
      <c r="O1137" s="311"/>
      <c r="P1137" s="200"/>
      <c r="Q1137" s="200"/>
      <c r="R1137" s="58"/>
      <c r="S1137" s="58"/>
      <c r="T1137" s="58"/>
      <c r="U1137" s="58"/>
      <c r="V1137" s="58"/>
      <c r="W1137" s="58"/>
      <c r="X1137" s="58"/>
      <c r="Y1137" s="58"/>
      <c r="Z1137" s="58"/>
      <c r="AA1137" s="58"/>
      <c r="AB1137" s="58"/>
      <c r="AC1137" s="58"/>
    </row>
    <row r="1138">
      <c r="A1138" s="320"/>
      <c r="B1138" s="301"/>
      <c r="C1138" s="205"/>
      <c r="D1138" s="302"/>
      <c r="E1138" s="303"/>
      <c r="F1138" s="304"/>
      <c r="G1138" s="312"/>
      <c r="H1138" s="306"/>
      <c r="I1138" s="302"/>
      <c r="J1138" s="307"/>
      <c r="K1138" s="313"/>
      <c r="L1138" s="319"/>
      <c r="M1138" s="316"/>
      <c r="N1138" s="205"/>
      <c r="O1138" s="311"/>
      <c r="P1138" s="200"/>
      <c r="Q1138" s="200"/>
      <c r="R1138" s="58"/>
      <c r="S1138" s="58"/>
      <c r="T1138" s="58"/>
      <c r="U1138" s="58"/>
      <c r="V1138" s="58"/>
      <c r="W1138" s="58"/>
      <c r="X1138" s="58"/>
      <c r="Y1138" s="58"/>
      <c r="Z1138" s="58"/>
      <c r="AA1138" s="58"/>
      <c r="AB1138" s="58"/>
      <c r="AC1138" s="58"/>
    </row>
    <row r="1139">
      <c r="A1139" s="320"/>
      <c r="B1139" s="301"/>
      <c r="C1139" s="205"/>
      <c r="D1139" s="302"/>
      <c r="E1139" s="303"/>
      <c r="F1139" s="304"/>
      <c r="G1139" s="312"/>
      <c r="H1139" s="306"/>
      <c r="I1139" s="302"/>
      <c r="J1139" s="307"/>
      <c r="K1139" s="313"/>
      <c r="L1139" s="319"/>
      <c r="M1139" s="316"/>
      <c r="N1139" s="205"/>
      <c r="O1139" s="311"/>
      <c r="P1139" s="200"/>
      <c r="Q1139" s="200"/>
      <c r="R1139" s="58"/>
      <c r="S1139" s="58"/>
      <c r="T1139" s="58"/>
      <c r="U1139" s="58"/>
      <c r="V1139" s="58"/>
      <c r="W1139" s="58"/>
      <c r="X1139" s="58"/>
      <c r="Y1139" s="58"/>
      <c r="Z1139" s="58"/>
      <c r="AA1139" s="58"/>
      <c r="AB1139" s="58"/>
      <c r="AC1139" s="58"/>
    </row>
    <row r="1140">
      <c r="A1140" s="320"/>
      <c r="B1140" s="301"/>
      <c r="C1140" s="205"/>
      <c r="D1140" s="302"/>
      <c r="E1140" s="303"/>
      <c r="F1140" s="304"/>
      <c r="G1140" s="312"/>
      <c r="H1140" s="306"/>
      <c r="I1140" s="302"/>
      <c r="J1140" s="307"/>
      <c r="K1140" s="313"/>
      <c r="L1140" s="319"/>
      <c r="M1140" s="316"/>
      <c r="N1140" s="205"/>
      <c r="O1140" s="311"/>
      <c r="P1140" s="200"/>
      <c r="Q1140" s="200"/>
      <c r="R1140" s="58"/>
      <c r="S1140" s="58"/>
      <c r="T1140" s="58"/>
      <c r="U1140" s="58"/>
      <c r="V1140" s="58"/>
      <c r="W1140" s="58"/>
      <c r="X1140" s="58"/>
      <c r="Y1140" s="58"/>
      <c r="Z1140" s="58"/>
      <c r="AA1140" s="58"/>
      <c r="AB1140" s="58"/>
      <c r="AC1140" s="58"/>
    </row>
    <row r="1141">
      <c r="A1141" s="320"/>
      <c r="B1141" s="301"/>
      <c r="C1141" s="205"/>
      <c r="D1141" s="302"/>
      <c r="E1141" s="303"/>
      <c r="F1141" s="304"/>
      <c r="G1141" s="312"/>
      <c r="H1141" s="306"/>
      <c r="I1141" s="302"/>
      <c r="J1141" s="307"/>
      <c r="K1141" s="313"/>
      <c r="L1141" s="319"/>
      <c r="M1141" s="316"/>
      <c r="N1141" s="205"/>
      <c r="O1141" s="311"/>
      <c r="P1141" s="200"/>
      <c r="Q1141" s="200"/>
      <c r="R1141" s="58"/>
      <c r="S1141" s="58"/>
      <c r="T1141" s="58"/>
      <c r="U1141" s="58"/>
      <c r="V1141" s="58"/>
      <c r="W1141" s="58"/>
      <c r="X1141" s="58"/>
      <c r="Y1141" s="58"/>
      <c r="Z1141" s="58"/>
      <c r="AA1141" s="58"/>
      <c r="AB1141" s="58"/>
      <c r="AC1141" s="58"/>
    </row>
    <row r="1142">
      <c r="A1142" s="320"/>
      <c r="B1142" s="301"/>
      <c r="C1142" s="205"/>
      <c r="D1142" s="302"/>
      <c r="E1142" s="303"/>
      <c r="F1142" s="304"/>
      <c r="G1142" s="312"/>
      <c r="H1142" s="306"/>
      <c r="I1142" s="302"/>
      <c r="J1142" s="307"/>
      <c r="K1142" s="313"/>
      <c r="L1142" s="319"/>
      <c r="M1142" s="316"/>
      <c r="N1142" s="205"/>
      <c r="O1142" s="311"/>
      <c r="P1142" s="200"/>
      <c r="Q1142" s="200"/>
      <c r="R1142" s="58"/>
      <c r="S1142" s="58"/>
      <c r="T1142" s="58"/>
      <c r="U1142" s="58"/>
      <c r="V1142" s="58"/>
      <c r="W1142" s="58"/>
      <c r="X1142" s="58"/>
      <c r="Y1142" s="58"/>
      <c r="Z1142" s="58"/>
      <c r="AA1142" s="58"/>
      <c r="AB1142" s="58"/>
      <c r="AC1142" s="58"/>
    </row>
    <row r="1143">
      <c r="A1143" s="320"/>
      <c r="B1143" s="301"/>
      <c r="C1143" s="205"/>
      <c r="D1143" s="302"/>
      <c r="E1143" s="303"/>
      <c r="F1143" s="304"/>
      <c r="G1143" s="312"/>
      <c r="H1143" s="306"/>
      <c r="I1143" s="302"/>
      <c r="J1143" s="307"/>
      <c r="K1143" s="313"/>
      <c r="L1143" s="319"/>
      <c r="M1143" s="316"/>
      <c r="N1143" s="205"/>
      <c r="O1143" s="311"/>
      <c r="P1143" s="200"/>
      <c r="Q1143" s="200"/>
      <c r="R1143" s="58"/>
      <c r="S1143" s="58"/>
      <c r="T1143" s="58"/>
      <c r="U1143" s="58"/>
      <c r="V1143" s="58"/>
      <c r="W1143" s="58"/>
      <c r="X1143" s="58"/>
      <c r="Y1143" s="58"/>
      <c r="Z1143" s="58"/>
      <c r="AA1143" s="58"/>
      <c r="AB1143" s="58"/>
      <c r="AC1143" s="58"/>
    </row>
    <row r="1144">
      <c r="A1144" s="320"/>
      <c r="B1144" s="301"/>
      <c r="C1144" s="205"/>
      <c r="D1144" s="302"/>
      <c r="E1144" s="303"/>
      <c r="F1144" s="304"/>
      <c r="G1144" s="312"/>
      <c r="H1144" s="306"/>
      <c r="I1144" s="302"/>
      <c r="J1144" s="307"/>
      <c r="K1144" s="313"/>
      <c r="L1144" s="319"/>
      <c r="M1144" s="316"/>
      <c r="N1144" s="205"/>
      <c r="O1144" s="311"/>
      <c r="P1144" s="200"/>
      <c r="Q1144" s="200"/>
      <c r="R1144" s="58"/>
      <c r="S1144" s="58"/>
      <c r="T1144" s="58"/>
      <c r="U1144" s="58"/>
      <c r="V1144" s="58"/>
      <c r="W1144" s="58"/>
      <c r="X1144" s="58"/>
      <c r="Y1144" s="58"/>
      <c r="Z1144" s="58"/>
      <c r="AA1144" s="58"/>
      <c r="AB1144" s="58"/>
      <c r="AC1144" s="58"/>
    </row>
    <row r="1145">
      <c r="A1145" s="320"/>
      <c r="B1145" s="301"/>
      <c r="C1145" s="205"/>
      <c r="D1145" s="302"/>
      <c r="E1145" s="303"/>
      <c r="F1145" s="304"/>
      <c r="G1145" s="312"/>
      <c r="H1145" s="306"/>
      <c r="I1145" s="302"/>
      <c r="J1145" s="307"/>
      <c r="K1145" s="313"/>
      <c r="L1145" s="319"/>
      <c r="M1145" s="316"/>
      <c r="N1145" s="205"/>
      <c r="O1145" s="311"/>
      <c r="P1145" s="200"/>
      <c r="Q1145" s="200"/>
      <c r="R1145" s="58"/>
      <c r="S1145" s="58"/>
      <c r="T1145" s="58"/>
      <c r="U1145" s="58"/>
      <c r="V1145" s="58"/>
      <c r="W1145" s="58"/>
      <c r="X1145" s="58"/>
      <c r="Y1145" s="58"/>
      <c r="Z1145" s="58"/>
      <c r="AA1145" s="58"/>
      <c r="AB1145" s="58"/>
      <c r="AC1145" s="58"/>
    </row>
    <row r="1146">
      <c r="A1146" s="320"/>
      <c r="B1146" s="301"/>
      <c r="C1146" s="205"/>
      <c r="D1146" s="302"/>
      <c r="E1146" s="303"/>
      <c r="F1146" s="304"/>
      <c r="G1146" s="312"/>
      <c r="H1146" s="306"/>
      <c r="I1146" s="302"/>
      <c r="J1146" s="307"/>
      <c r="K1146" s="313"/>
      <c r="L1146" s="319"/>
      <c r="M1146" s="316"/>
      <c r="N1146" s="205"/>
      <c r="O1146" s="311"/>
      <c r="P1146" s="200"/>
      <c r="Q1146" s="200"/>
      <c r="R1146" s="58"/>
      <c r="S1146" s="58"/>
      <c r="T1146" s="58"/>
      <c r="U1146" s="58"/>
      <c r="V1146" s="58"/>
      <c r="W1146" s="58"/>
      <c r="X1146" s="58"/>
      <c r="Y1146" s="58"/>
      <c r="Z1146" s="58"/>
      <c r="AA1146" s="58"/>
      <c r="AB1146" s="58"/>
      <c r="AC1146" s="58"/>
    </row>
    <row r="1147">
      <c r="A1147" s="320"/>
      <c r="B1147" s="301"/>
      <c r="C1147" s="205"/>
      <c r="D1147" s="302"/>
      <c r="E1147" s="303"/>
      <c r="F1147" s="304"/>
      <c r="G1147" s="312"/>
      <c r="H1147" s="306"/>
      <c r="I1147" s="302"/>
      <c r="J1147" s="307"/>
      <c r="K1147" s="313"/>
      <c r="L1147" s="319"/>
      <c r="M1147" s="316"/>
      <c r="N1147" s="205"/>
      <c r="O1147" s="311"/>
      <c r="P1147" s="200"/>
      <c r="Q1147" s="200"/>
      <c r="R1147" s="58"/>
      <c r="S1147" s="58"/>
      <c r="T1147" s="58"/>
      <c r="U1147" s="58"/>
      <c r="V1147" s="58"/>
      <c r="W1147" s="58"/>
      <c r="X1147" s="58"/>
      <c r="Y1147" s="58"/>
      <c r="Z1147" s="58"/>
      <c r="AA1147" s="58"/>
      <c r="AB1147" s="58"/>
      <c r="AC1147" s="58"/>
    </row>
    <row r="1148">
      <c r="A1148" s="320"/>
      <c r="B1148" s="301"/>
      <c r="C1148" s="205"/>
      <c r="D1148" s="302"/>
      <c r="E1148" s="303"/>
      <c r="F1148" s="304"/>
      <c r="G1148" s="312"/>
      <c r="H1148" s="306"/>
      <c r="I1148" s="302"/>
      <c r="J1148" s="307"/>
      <c r="K1148" s="313"/>
      <c r="L1148" s="319"/>
      <c r="M1148" s="316"/>
      <c r="N1148" s="205"/>
      <c r="O1148" s="311"/>
      <c r="P1148" s="200"/>
      <c r="Q1148" s="200"/>
      <c r="R1148" s="58"/>
      <c r="S1148" s="58"/>
      <c r="T1148" s="58"/>
      <c r="U1148" s="58"/>
      <c r="V1148" s="58"/>
      <c r="W1148" s="58"/>
      <c r="X1148" s="58"/>
      <c r="Y1148" s="58"/>
      <c r="Z1148" s="58"/>
      <c r="AA1148" s="58"/>
      <c r="AB1148" s="58"/>
      <c r="AC1148" s="58"/>
    </row>
    <row r="1149">
      <c r="A1149" s="320"/>
      <c r="B1149" s="301"/>
      <c r="C1149" s="205"/>
      <c r="D1149" s="302"/>
      <c r="E1149" s="303"/>
      <c r="F1149" s="304"/>
      <c r="G1149" s="312"/>
      <c r="H1149" s="306"/>
      <c r="I1149" s="302"/>
      <c r="J1149" s="307"/>
      <c r="K1149" s="313"/>
      <c r="L1149" s="319"/>
      <c r="M1149" s="316"/>
      <c r="N1149" s="205"/>
      <c r="O1149" s="311"/>
      <c r="P1149" s="200"/>
      <c r="Q1149" s="200"/>
      <c r="R1149" s="58"/>
      <c r="S1149" s="58"/>
      <c r="T1149" s="58"/>
      <c r="U1149" s="58"/>
      <c r="V1149" s="58"/>
      <c r="W1149" s="58"/>
      <c r="X1149" s="58"/>
      <c r="Y1149" s="58"/>
      <c r="Z1149" s="58"/>
      <c r="AA1149" s="58"/>
      <c r="AB1149" s="58"/>
      <c r="AC1149" s="58"/>
    </row>
    <row r="1150">
      <c r="A1150" s="320"/>
      <c r="B1150" s="301"/>
      <c r="C1150" s="205"/>
      <c r="D1150" s="302"/>
      <c r="E1150" s="303"/>
      <c r="F1150" s="304"/>
      <c r="G1150" s="312"/>
      <c r="H1150" s="306"/>
      <c r="I1150" s="302"/>
      <c r="J1150" s="307"/>
      <c r="K1150" s="313"/>
      <c r="L1150" s="319"/>
      <c r="M1150" s="316"/>
      <c r="N1150" s="205"/>
      <c r="O1150" s="311"/>
      <c r="P1150" s="200"/>
      <c r="Q1150" s="200"/>
      <c r="R1150" s="58"/>
      <c r="S1150" s="58"/>
      <c r="T1150" s="58"/>
      <c r="U1150" s="58"/>
      <c r="V1150" s="58"/>
      <c r="W1150" s="58"/>
      <c r="X1150" s="58"/>
      <c r="Y1150" s="58"/>
      <c r="Z1150" s="58"/>
      <c r="AA1150" s="58"/>
      <c r="AB1150" s="58"/>
      <c r="AC1150" s="58"/>
    </row>
    <row r="1151">
      <c r="A1151" s="320"/>
      <c r="B1151" s="301"/>
      <c r="C1151" s="205"/>
      <c r="D1151" s="302"/>
      <c r="E1151" s="303"/>
      <c r="F1151" s="304"/>
      <c r="G1151" s="312"/>
      <c r="H1151" s="306"/>
      <c r="I1151" s="302"/>
      <c r="J1151" s="307"/>
      <c r="K1151" s="313"/>
      <c r="L1151" s="319"/>
      <c r="M1151" s="316"/>
      <c r="N1151" s="205"/>
      <c r="O1151" s="311"/>
      <c r="P1151" s="200"/>
      <c r="Q1151" s="200"/>
      <c r="R1151" s="58"/>
      <c r="S1151" s="58"/>
      <c r="T1151" s="58"/>
      <c r="U1151" s="58"/>
      <c r="V1151" s="58"/>
      <c r="W1151" s="58"/>
      <c r="X1151" s="58"/>
      <c r="Y1151" s="58"/>
      <c r="Z1151" s="58"/>
      <c r="AA1151" s="58"/>
      <c r="AB1151" s="58"/>
      <c r="AC1151" s="58"/>
    </row>
    <row r="1152">
      <c r="A1152" s="320"/>
      <c r="B1152" s="301"/>
      <c r="C1152" s="205"/>
      <c r="D1152" s="302"/>
      <c r="E1152" s="303"/>
      <c r="F1152" s="304"/>
      <c r="G1152" s="312"/>
      <c r="H1152" s="306"/>
      <c r="I1152" s="302"/>
      <c r="J1152" s="307"/>
      <c r="K1152" s="313"/>
      <c r="L1152" s="319"/>
      <c r="M1152" s="316"/>
      <c r="N1152" s="205"/>
      <c r="O1152" s="311"/>
      <c r="P1152" s="200"/>
      <c r="Q1152" s="200"/>
      <c r="R1152" s="58"/>
      <c r="S1152" s="58"/>
      <c r="T1152" s="58"/>
      <c r="U1152" s="58"/>
      <c r="V1152" s="58"/>
      <c r="W1152" s="58"/>
      <c r="X1152" s="58"/>
      <c r="Y1152" s="58"/>
      <c r="Z1152" s="58"/>
      <c r="AA1152" s="58"/>
      <c r="AB1152" s="58"/>
      <c r="AC1152" s="58"/>
    </row>
    <row r="1153">
      <c r="A1153" s="320"/>
      <c r="B1153" s="301"/>
      <c r="C1153" s="205"/>
      <c r="D1153" s="302"/>
      <c r="E1153" s="303"/>
      <c r="F1153" s="304"/>
      <c r="G1153" s="312"/>
      <c r="H1153" s="306"/>
      <c r="I1153" s="302"/>
      <c r="J1153" s="307"/>
      <c r="K1153" s="313"/>
      <c r="L1153" s="319"/>
      <c r="M1153" s="316"/>
      <c r="N1153" s="205"/>
      <c r="O1153" s="311"/>
      <c r="P1153" s="200"/>
      <c r="Q1153" s="200"/>
      <c r="R1153" s="58"/>
      <c r="S1153" s="58"/>
      <c r="T1153" s="58"/>
      <c r="U1153" s="58"/>
      <c r="V1153" s="58"/>
      <c r="W1153" s="58"/>
      <c r="X1153" s="58"/>
      <c r="Y1153" s="58"/>
      <c r="Z1153" s="58"/>
      <c r="AA1153" s="58"/>
      <c r="AB1153" s="58"/>
      <c r="AC1153" s="58"/>
    </row>
    <row r="1154">
      <c r="A1154" s="320"/>
      <c r="B1154" s="301"/>
      <c r="C1154" s="205"/>
      <c r="D1154" s="302"/>
      <c r="E1154" s="303"/>
      <c r="F1154" s="304"/>
      <c r="G1154" s="312"/>
      <c r="H1154" s="306"/>
      <c r="I1154" s="302"/>
      <c r="J1154" s="307"/>
      <c r="K1154" s="313"/>
      <c r="L1154" s="319"/>
      <c r="M1154" s="316"/>
      <c r="N1154" s="205"/>
      <c r="O1154" s="311"/>
      <c r="P1154" s="200"/>
      <c r="Q1154" s="200"/>
      <c r="R1154" s="58"/>
      <c r="S1154" s="58"/>
      <c r="T1154" s="58"/>
      <c r="U1154" s="58"/>
      <c r="V1154" s="58"/>
      <c r="W1154" s="58"/>
      <c r="X1154" s="58"/>
      <c r="Y1154" s="58"/>
      <c r="Z1154" s="58"/>
      <c r="AA1154" s="58"/>
      <c r="AB1154" s="58"/>
      <c r="AC1154" s="58"/>
    </row>
    <row r="1155">
      <c r="A1155" s="320"/>
      <c r="B1155" s="301"/>
      <c r="C1155" s="205"/>
      <c r="D1155" s="302"/>
      <c r="E1155" s="303"/>
      <c r="F1155" s="304"/>
      <c r="G1155" s="312"/>
      <c r="H1155" s="306"/>
      <c r="I1155" s="302"/>
      <c r="J1155" s="307"/>
      <c r="K1155" s="313"/>
      <c r="L1155" s="319"/>
      <c r="M1155" s="316"/>
      <c r="N1155" s="205"/>
      <c r="O1155" s="311"/>
      <c r="P1155" s="200"/>
      <c r="Q1155" s="200"/>
      <c r="R1155" s="58"/>
      <c r="S1155" s="58"/>
      <c r="T1155" s="58"/>
      <c r="U1155" s="58"/>
      <c r="V1155" s="58"/>
      <c r="W1155" s="58"/>
      <c r="X1155" s="58"/>
      <c r="Y1155" s="58"/>
      <c r="Z1155" s="58"/>
      <c r="AA1155" s="58"/>
      <c r="AB1155" s="58"/>
      <c r="AC1155" s="58"/>
    </row>
    <row r="1156">
      <c r="A1156" s="320"/>
      <c r="B1156" s="301"/>
      <c r="C1156" s="205"/>
      <c r="D1156" s="302"/>
      <c r="E1156" s="303"/>
      <c r="F1156" s="304"/>
      <c r="G1156" s="312"/>
      <c r="H1156" s="306"/>
      <c r="I1156" s="302"/>
      <c r="J1156" s="307"/>
      <c r="K1156" s="313"/>
      <c r="L1156" s="319"/>
      <c r="M1156" s="316"/>
      <c r="N1156" s="205"/>
      <c r="O1156" s="311"/>
      <c r="P1156" s="200"/>
      <c r="Q1156" s="200"/>
      <c r="R1156" s="58"/>
      <c r="S1156" s="58"/>
      <c r="T1156" s="58"/>
      <c r="U1156" s="58"/>
      <c r="V1156" s="58"/>
      <c r="W1156" s="58"/>
      <c r="X1156" s="58"/>
      <c r="Y1156" s="58"/>
      <c r="Z1156" s="58"/>
      <c r="AA1156" s="58"/>
      <c r="AB1156" s="58"/>
      <c r="AC1156" s="58"/>
    </row>
    <row r="1157">
      <c r="A1157" s="320"/>
      <c r="B1157" s="301"/>
      <c r="C1157" s="205"/>
      <c r="D1157" s="302"/>
      <c r="E1157" s="303"/>
      <c r="F1157" s="304"/>
      <c r="G1157" s="312"/>
      <c r="H1157" s="306"/>
      <c r="I1157" s="302"/>
      <c r="J1157" s="307"/>
      <c r="K1157" s="313"/>
      <c r="L1157" s="319"/>
      <c r="M1157" s="316"/>
      <c r="N1157" s="205"/>
      <c r="O1157" s="311"/>
      <c r="P1157" s="200"/>
      <c r="Q1157" s="200"/>
      <c r="R1157" s="58"/>
      <c r="S1157" s="58"/>
      <c r="T1157" s="58"/>
      <c r="U1157" s="58"/>
      <c r="V1157" s="58"/>
      <c r="W1157" s="58"/>
      <c r="X1157" s="58"/>
      <c r="Y1157" s="58"/>
      <c r="Z1157" s="58"/>
      <c r="AA1157" s="58"/>
      <c r="AB1157" s="58"/>
      <c r="AC1157" s="58"/>
    </row>
    <row r="1158">
      <c r="A1158" s="320"/>
      <c r="B1158" s="301"/>
      <c r="C1158" s="205"/>
      <c r="D1158" s="302"/>
      <c r="E1158" s="303"/>
      <c r="F1158" s="304"/>
      <c r="G1158" s="312"/>
      <c r="H1158" s="306"/>
      <c r="I1158" s="302"/>
      <c r="J1158" s="307"/>
      <c r="K1158" s="313"/>
      <c r="L1158" s="319"/>
      <c r="M1158" s="316"/>
      <c r="N1158" s="205"/>
      <c r="O1158" s="311"/>
      <c r="P1158" s="200"/>
      <c r="Q1158" s="200"/>
      <c r="R1158" s="58"/>
      <c r="S1158" s="58"/>
      <c r="T1158" s="58"/>
      <c r="U1158" s="58"/>
      <c r="V1158" s="58"/>
      <c r="W1158" s="58"/>
      <c r="X1158" s="58"/>
      <c r="Y1158" s="58"/>
      <c r="Z1158" s="58"/>
      <c r="AA1158" s="58"/>
      <c r="AB1158" s="58"/>
      <c r="AC1158" s="58"/>
    </row>
    <row r="1159">
      <c r="A1159" s="320"/>
      <c r="B1159" s="301"/>
      <c r="C1159" s="205"/>
      <c r="D1159" s="302"/>
      <c r="E1159" s="303"/>
      <c r="F1159" s="304"/>
      <c r="G1159" s="312"/>
      <c r="H1159" s="306"/>
      <c r="I1159" s="302"/>
      <c r="J1159" s="307"/>
      <c r="K1159" s="313"/>
      <c r="L1159" s="319"/>
      <c r="M1159" s="316"/>
      <c r="N1159" s="205"/>
      <c r="O1159" s="311"/>
      <c r="P1159" s="200"/>
      <c r="Q1159" s="200"/>
      <c r="R1159" s="58"/>
      <c r="S1159" s="58"/>
      <c r="T1159" s="58"/>
      <c r="U1159" s="58"/>
      <c r="V1159" s="58"/>
      <c r="W1159" s="58"/>
      <c r="X1159" s="58"/>
      <c r="Y1159" s="58"/>
      <c r="Z1159" s="58"/>
      <c r="AA1159" s="58"/>
      <c r="AB1159" s="58"/>
      <c r="AC1159" s="58"/>
    </row>
    <row r="1160">
      <c r="A1160" s="320"/>
      <c r="B1160" s="301"/>
      <c r="C1160" s="205"/>
      <c r="D1160" s="302"/>
      <c r="E1160" s="303"/>
      <c r="F1160" s="304"/>
      <c r="G1160" s="312"/>
      <c r="H1160" s="306"/>
      <c r="I1160" s="302"/>
      <c r="J1160" s="307"/>
      <c r="K1160" s="313"/>
      <c r="L1160" s="319"/>
      <c r="M1160" s="316"/>
      <c r="N1160" s="205"/>
      <c r="O1160" s="311"/>
      <c r="P1160" s="200"/>
      <c r="Q1160" s="200"/>
      <c r="R1160" s="58"/>
      <c r="S1160" s="58"/>
      <c r="T1160" s="58"/>
      <c r="U1160" s="58"/>
      <c r="V1160" s="58"/>
      <c r="W1160" s="58"/>
      <c r="X1160" s="58"/>
      <c r="Y1160" s="58"/>
      <c r="Z1160" s="58"/>
      <c r="AA1160" s="58"/>
      <c r="AB1160" s="58"/>
      <c r="AC1160" s="58"/>
    </row>
    <row r="1161">
      <c r="A1161" s="320"/>
      <c r="B1161" s="301"/>
      <c r="C1161" s="205"/>
      <c r="D1161" s="302"/>
      <c r="E1161" s="303"/>
      <c r="F1161" s="304"/>
      <c r="G1161" s="312"/>
      <c r="H1161" s="306"/>
      <c r="I1161" s="302"/>
      <c r="J1161" s="307"/>
      <c r="K1161" s="313"/>
      <c r="L1161" s="319"/>
      <c r="M1161" s="316"/>
      <c r="N1161" s="205"/>
      <c r="O1161" s="311"/>
      <c r="P1161" s="200"/>
      <c r="Q1161" s="200"/>
      <c r="R1161" s="58"/>
      <c r="S1161" s="58"/>
      <c r="T1161" s="58"/>
      <c r="U1161" s="58"/>
      <c r="V1161" s="58"/>
      <c r="W1161" s="58"/>
      <c r="X1161" s="58"/>
      <c r="Y1161" s="58"/>
      <c r="Z1161" s="58"/>
      <c r="AA1161" s="58"/>
      <c r="AB1161" s="58"/>
      <c r="AC1161" s="58"/>
    </row>
    <row r="1162">
      <c r="A1162" s="320"/>
      <c r="B1162" s="301"/>
      <c r="C1162" s="205"/>
      <c r="D1162" s="302"/>
      <c r="E1162" s="303"/>
      <c r="F1162" s="304"/>
      <c r="G1162" s="312"/>
      <c r="H1162" s="306"/>
      <c r="I1162" s="302"/>
      <c r="J1162" s="307"/>
      <c r="K1162" s="313"/>
      <c r="L1162" s="319"/>
      <c r="M1162" s="316"/>
      <c r="N1162" s="205"/>
      <c r="O1162" s="311"/>
      <c r="P1162" s="200"/>
      <c r="Q1162" s="200"/>
      <c r="R1162" s="58"/>
      <c r="S1162" s="58"/>
      <c r="T1162" s="58"/>
      <c r="U1162" s="58"/>
      <c r="V1162" s="58"/>
      <c r="W1162" s="58"/>
      <c r="X1162" s="58"/>
      <c r="Y1162" s="58"/>
      <c r="Z1162" s="58"/>
      <c r="AA1162" s="58"/>
      <c r="AB1162" s="58"/>
      <c r="AC1162" s="58"/>
    </row>
    <row r="1163">
      <c r="A1163" s="320"/>
      <c r="B1163" s="301"/>
      <c r="C1163" s="205"/>
      <c r="D1163" s="302"/>
      <c r="E1163" s="303"/>
      <c r="F1163" s="304"/>
      <c r="G1163" s="312"/>
      <c r="H1163" s="306"/>
      <c r="I1163" s="302"/>
      <c r="J1163" s="307"/>
      <c r="K1163" s="313"/>
      <c r="L1163" s="319"/>
      <c r="M1163" s="316"/>
      <c r="N1163" s="205"/>
      <c r="O1163" s="311"/>
      <c r="P1163" s="200"/>
      <c r="Q1163" s="200"/>
      <c r="R1163" s="58"/>
      <c r="S1163" s="58"/>
      <c r="T1163" s="58"/>
      <c r="U1163" s="58"/>
      <c r="V1163" s="58"/>
      <c r="W1163" s="58"/>
      <c r="X1163" s="58"/>
      <c r="Y1163" s="58"/>
      <c r="Z1163" s="58"/>
      <c r="AA1163" s="58"/>
      <c r="AB1163" s="58"/>
      <c r="AC1163" s="58"/>
    </row>
    <row r="1164">
      <c r="A1164" s="320"/>
      <c r="B1164" s="301"/>
      <c r="C1164" s="205"/>
      <c r="D1164" s="302"/>
      <c r="E1164" s="303"/>
      <c r="F1164" s="304"/>
      <c r="G1164" s="312"/>
      <c r="H1164" s="306"/>
      <c r="I1164" s="302"/>
      <c r="J1164" s="307"/>
      <c r="K1164" s="313"/>
      <c r="L1164" s="319"/>
      <c r="M1164" s="316"/>
      <c r="N1164" s="205"/>
      <c r="O1164" s="311"/>
      <c r="P1164" s="200"/>
      <c r="Q1164" s="200"/>
      <c r="R1164" s="58"/>
      <c r="S1164" s="58"/>
      <c r="T1164" s="58"/>
      <c r="U1164" s="58"/>
      <c r="V1164" s="58"/>
      <c r="W1164" s="58"/>
      <c r="X1164" s="58"/>
      <c r="Y1164" s="58"/>
      <c r="Z1164" s="58"/>
      <c r="AA1164" s="58"/>
      <c r="AB1164" s="58"/>
      <c r="AC1164" s="58"/>
    </row>
    <row r="1165">
      <c r="A1165" s="320"/>
      <c r="B1165" s="301"/>
      <c r="C1165" s="205"/>
      <c r="D1165" s="302"/>
      <c r="E1165" s="303"/>
      <c r="F1165" s="304"/>
      <c r="G1165" s="312"/>
      <c r="H1165" s="306"/>
      <c r="I1165" s="302"/>
      <c r="J1165" s="307"/>
      <c r="K1165" s="313"/>
      <c r="L1165" s="319"/>
      <c r="M1165" s="316"/>
      <c r="N1165" s="205"/>
      <c r="O1165" s="311"/>
      <c r="P1165" s="200"/>
      <c r="Q1165" s="200"/>
      <c r="R1165" s="58"/>
      <c r="S1165" s="58"/>
      <c r="T1165" s="58"/>
      <c r="U1165" s="58"/>
      <c r="V1165" s="58"/>
      <c r="W1165" s="58"/>
      <c r="X1165" s="58"/>
      <c r="Y1165" s="58"/>
      <c r="Z1165" s="58"/>
      <c r="AA1165" s="58"/>
      <c r="AB1165" s="58"/>
      <c r="AC1165" s="58"/>
    </row>
    <row r="1166">
      <c r="A1166" s="320"/>
      <c r="B1166" s="301"/>
      <c r="C1166" s="205"/>
      <c r="D1166" s="302"/>
      <c r="E1166" s="303"/>
      <c r="F1166" s="304"/>
      <c r="G1166" s="312"/>
      <c r="H1166" s="306"/>
      <c r="I1166" s="302"/>
      <c r="J1166" s="307"/>
      <c r="K1166" s="313"/>
      <c r="L1166" s="319"/>
      <c r="M1166" s="316"/>
      <c r="N1166" s="205"/>
      <c r="O1166" s="311"/>
      <c r="P1166" s="200"/>
      <c r="Q1166" s="200"/>
      <c r="R1166" s="58"/>
      <c r="S1166" s="58"/>
      <c r="T1166" s="58"/>
      <c r="U1166" s="58"/>
      <c r="V1166" s="58"/>
      <c r="W1166" s="58"/>
      <c r="X1166" s="58"/>
      <c r="Y1166" s="58"/>
      <c r="Z1166" s="58"/>
      <c r="AA1166" s="58"/>
      <c r="AB1166" s="58"/>
      <c r="AC1166" s="58"/>
    </row>
    <row r="1167">
      <c r="A1167" s="320"/>
      <c r="B1167" s="301"/>
      <c r="C1167" s="205"/>
      <c r="D1167" s="302"/>
      <c r="E1167" s="303"/>
      <c r="F1167" s="304"/>
      <c r="G1167" s="312"/>
      <c r="H1167" s="306"/>
      <c r="I1167" s="302"/>
      <c r="J1167" s="307"/>
      <c r="K1167" s="313"/>
      <c r="L1167" s="319"/>
      <c r="M1167" s="316"/>
      <c r="N1167" s="205"/>
      <c r="O1167" s="311"/>
      <c r="P1167" s="200"/>
      <c r="Q1167" s="200"/>
      <c r="R1167" s="58"/>
      <c r="S1167" s="58"/>
      <c r="T1167" s="58"/>
      <c r="U1167" s="58"/>
      <c r="V1167" s="58"/>
      <c r="W1167" s="58"/>
      <c r="X1167" s="58"/>
      <c r="Y1167" s="58"/>
      <c r="Z1167" s="58"/>
      <c r="AA1167" s="58"/>
      <c r="AB1167" s="58"/>
      <c r="AC1167" s="58"/>
    </row>
    <row r="1168">
      <c r="A1168" s="320"/>
      <c r="B1168" s="301"/>
      <c r="C1168" s="205"/>
      <c r="D1168" s="302"/>
      <c r="E1168" s="303"/>
      <c r="F1168" s="304"/>
      <c r="G1168" s="312"/>
      <c r="H1168" s="306"/>
      <c r="I1168" s="302"/>
      <c r="J1168" s="307"/>
      <c r="K1168" s="313"/>
      <c r="L1168" s="319"/>
      <c r="M1168" s="316"/>
      <c r="N1168" s="205"/>
      <c r="O1168" s="311"/>
      <c r="P1168" s="200"/>
      <c r="Q1168" s="200"/>
      <c r="R1168" s="58"/>
      <c r="S1168" s="58"/>
      <c r="T1168" s="58"/>
      <c r="U1168" s="58"/>
      <c r="V1168" s="58"/>
      <c r="W1168" s="58"/>
      <c r="X1168" s="58"/>
      <c r="Y1168" s="58"/>
      <c r="Z1168" s="58"/>
      <c r="AA1168" s="58"/>
      <c r="AB1168" s="58"/>
      <c r="AC1168" s="58"/>
    </row>
    <row r="1169">
      <c r="A1169" s="320"/>
      <c r="B1169" s="301"/>
      <c r="C1169" s="205"/>
      <c r="D1169" s="302"/>
      <c r="E1169" s="303"/>
      <c r="F1169" s="304"/>
      <c r="G1169" s="312"/>
      <c r="H1169" s="306"/>
      <c r="I1169" s="302"/>
      <c r="J1169" s="307"/>
      <c r="K1169" s="313"/>
      <c r="L1169" s="319"/>
      <c r="M1169" s="316"/>
      <c r="N1169" s="205"/>
      <c r="O1169" s="311"/>
      <c r="P1169" s="200"/>
      <c r="Q1169" s="200"/>
      <c r="R1169" s="58"/>
      <c r="S1169" s="58"/>
      <c r="T1169" s="58"/>
      <c r="U1169" s="58"/>
      <c r="V1169" s="58"/>
      <c r="W1169" s="58"/>
      <c r="X1169" s="58"/>
      <c r="Y1169" s="58"/>
      <c r="Z1169" s="58"/>
      <c r="AA1169" s="58"/>
      <c r="AB1169" s="58"/>
      <c r="AC1169" s="58"/>
    </row>
    <row r="1170">
      <c r="A1170" s="320"/>
      <c r="B1170" s="301"/>
      <c r="C1170" s="205"/>
      <c r="D1170" s="302"/>
      <c r="E1170" s="303"/>
      <c r="F1170" s="304"/>
      <c r="G1170" s="312"/>
      <c r="H1170" s="306"/>
      <c r="I1170" s="302"/>
      <c r="J1170" s="307"/>
      <c r="K1170" s="313"/>
      <c r="L1170" s="319"/>
      <c r="M1170" s="316"/>
      <c r="N1170" s="205"/>
      <c r="O1170" s="311"/>
      <c r="P1170" s="200"/>
      <c r="Q1170" s="200"/>
      <c r="R1170" s="58"/>
      <c r="S1170" s="58"/>
      <c r="T1170" s="58"/>
      <c r="U1170" s="58"/>
      <c r="V1170" s="58"/>
      <c r="W1170" s="58"/>
      <c r="X1170" s="58"/>
      <c r="Y1170" s="58"/>
      <c r="Z1170" s="58"/>
      <c r="AA1170" s="58"/>
      <c r="AB1170" s="58"/>
      <c r="AC1170" s="58"/>
    </row>
    <row r="1171">
      <c r="A1171" s="320"/>
      <c r="B1171" s="301"/>
      <c r="C1171" s="205"/>
      <c r="D1171" s="302"/>
      <c r="E1171" s="303"/>
      <c r="F1171" s="304"/>
      <c r="G1171" s="312"/>
      <c r="H1171" s="306"/>
      <c r="I1171" s="302"/>
      <c r="J1171" s="307"/>
      <c r="K1171" s="313"/>
      <c r="L1171" s="319"/>
      <c r="M1171" s="316"/>
      <c r="N1171" s="205"/>
      <c r="O1171" s="311"/>
      <c r="P1171" s="200"/>
      <c r="Q1171" s="200"/>
      <c r="R1171" s="58"/>
      <c r="S1171" s="58"/>
      <c r="T1171" s="58"/>
      <c r="U1171" s="58"/>
      <c r="V1171" s="58"/>
      <c r="W1171" s="58"/>
      <c r="X1171" s="58"/>
      <c r="Y1171" s="58"/>
      <c r="Z1171" s="58"/>
      <c r="AA1171" s="58"/>
      <c r="AB1171" s="58"/>
      <c r="AC1171" s="58"/>
    </row>
    <row r="1172">
      <c r="A1172" s="320"/>
      <c r="B1172" s="301"/>
      <c r="C1172" s="205"/>
      <c r="D1172" s="302"/>
      <c r="E1172" s="303"/>
      <c r="F1172" s="304"/>
      <c r="G1172" s="312"/>
      <c r="H1172" s="306"/>
      <c r="I1172" s="302"/>
      <c r="J1172" s="307"/>
      <c r="K1172" s="313"/>
      <c r="L1172" s="319"/>
      <c r="M1172" s="316"/>
      <c r="N1172" s="205"/>
      <c r="O1172" s="311"/>
      <c r="P1172" s="200"/>
      <c r="Q1172" s="200"/>
      <c r="R1172" s="58"/>
      <c r="S1172" s="58"/>
      <c r="T1172" s="58"/>
      <c r="U1172" s="58"/>
      <c r="V1172" s="58"/>
      <c r="W1172" s="58"/>
      <c r="X1172" s="58"/>
      <c r="Y1172" s="58"/>
      <c r="Z1172" s="58"/>
      <c r="AA1172" s="58"/>
      <c r="AB1172" s="58"/>
      <c r="AC1172" s="58"/>
    </row>
    <row r="1173">
      <c r="A1173" s="320"/>
      <c r="B1173" s="301"/>
      <c r="C1173" s="205"/>
      <c r="D1173" s="302"/>
      <c r="E1173" s="303"/>
      <c r="F1173" s="304"/>
      <c r="G1173" s="312"/>
      <c r="H1173" s="306"/>
      <c r="I1173" s="302"/>
      <c r="J1173" s="307"/>
      <c r="K1173" s="313"/>
      <c r="L1173" s="319"/>
      <c r="M1173" s="316"/>
      <c r="N1173" s="205"/>
      <c r="O1173" s="311"/>
      <c r="P1173" s="200"/>
      <c r="Q1173" s="200"/>
      <c r="R1173" s="58"/>
      <c r="S1173" s="58"/>
      <c r="T1173" s="58"/>
      <c r="U1173" s="58"/>
      <c r="V1173" s="58"/>
      <c r="W1173" s="58"/>
      <c r="X1173" s="58"/>
      <c r="Y1173" s="58"/>
      <c r="Z1173" s="58"/>
      <c r="AA1173" s="58"/>
      <c r="AB1173" s="58"/>
      <c r="AC1173" s="58"/>
    </row>
    <row r="1174">
      <c r="A1174" s="320"/>
      <c r="B1174" s="301"/>
      <c r="C1174" s="205"/>
      <c r="D1174" s="302"/>
      <c r="E1174" s="303"/>
      <c r="F1174" s="304"/>
      <c r="G1174" s="312"/>
      <c r="H1174" s="306"/>
      <c r="I1174" s="302"/>
      <c r="J1174" s="307"/>
      <c r="K1174" s="313"/>
      <c r="L1174" s="319"/>
      <c r="M1174" s="316"/>
      <c r="N1174" s="205"/>
      <c r="O1174" s="311"/>
      <c r="P1174" s="200"/>
      <c r="Q1174" s="200"/>
      <c r="R1174" s="58"/>
      <c r="S1174" s="58"/>
      <c r="T1174" s="58"/>
      <c r="U1174" s="58"/>
      <c r="V1174" s="58"/>
      <c r="W1174" s="58"/>
      <c r="X1174" s="58"/>
      <c r="Y1174" s="58"/>
      <c r="Z1174" s="58"/>
      <c r="AA1174" s="58"/>
      <c r="AB1174" s="58"/>
      <c r="AC1174" s="58"/>
    </row>
    <row r="1175">
      <c r="A1175" s="320"/>
      <c r="B1175" s="301"/>
      <c r="C1175" s="205"/>
      <c r="D1175" s="302"/>
      <c r="E1175" s="303"/>
      <c r="F1175" s="304"/>
      <c r="G1175" s="312"/>
      <c r="H1175" s="306"/>
      <c r="I1175" s="302"/>
      <c r="J1175" s="307"/>
      <c r="K1175" s="313"/>
      <c r="L1175" s="319"/>
      <c r="M1175" s="316"/>
      <c r="N1175" s="205"/>
      <c r="O1175" s="311"/>
      <c r="P1175" s="200"/>
      <c r="Q1175" s="200"/>
      <c r="R1175" s="58"/>
      <c r="S1175" s="58"/>
      <c r="T1175" s="58"/>
      <c r="U1175" s="58"/>
      <c r="V1175" s="58"/>
      <c r="W1175" s="58"/>
      <c r="X1175" s="58"/>
      <c r="Y1175" s="58"/>
      <c r="Z1175" s="58"/>
      <c r="AA1175" s="58"/>
      <c r="AB1175" s="58"/>
      <c r="AC1175" s="58"/>
    </row>
    <row r="1176">
      <c r="A1176" s="320"/>
      <c r="B1176" s="301"/>
      <c r="C1176" s="205"/>
      <c r="D1176" s="302"/>
      <c r="E1176" s="303"/>
      <c r="F1176" s="304"/>
      <c r="G1176" s="312"/>
      <c r="H1176" s="306"/>
      <c r="I1176" s="302"/>
      <c r="J1176" s="307"/>
      <c r="K1176" s="313"/>
      <c r="L1176" s="319"/>
      <c r="M1176" s="316"/>
      <c r="N1176" s="205"/>
      <c r="O1176" s="311"/>
      <c r="P1176" s="200"/>
      <c r="Q1176" s="200"/>
      <c r="R1176" s="58"/>
      <c r="S1176" s="58"/>
      <c r="T1176" s="58"/>
      <c r="U1176" s="58"/>
      <c r="V1176" s="58"/>
      <c r="W1176" s="58"/>
      <c r="X1176" s="58"/>
      <c r="Y1176" s="58"/>
      <c r="Z1176" s="58"/>
      <c r="AA1176" s="58"/>
      <c r="AB1176" s="58"/>
      <c r="AC1176" s="58"/>
    </row>
    <row r="1177">
      <c r="A1177" s="320"/>
      <c r="B1177" s="301"/>
      <c r="C1177" s="205"/>
      <c r="D1177" s="302"/>
      <c r="E1177" s="303"/>
      <c r="F1177" s="304"/>
      <c r="G1177" s="312"/>
      <c r="H1177" s="306"/>
      <c r="I1177" s="302"/>
      <c r="J1177" s="307"/>
      <c r="K1177" s="313"/>
      <c r="L1177" s="319"/>
      <c r="M1177" s="316"/>
      <c r="N1177" s="205"/>
      <c r="O1177" s="311"/>
      <c r="P1177" s="200"/>
      <c r="Q1177" s="200"/>
      <c r="R1177" s="58"/>
      <c r="S1177" s="58"/>
      <c r="T1177" s="58"/>
      <c r="U1177" s="58"/>
      <c r="V1177" s="58"/>
      <c r="W1177" s="58"/>
      <c r="X1177" s="58"/>
      <c r="Y1177" s="58"/>
      <c r="Z1177" s="58"/>
      <c r="AA1177" s="58"/>
      <c r="AB1177" s="58"/>
      <c r="AC1177" s="58"/>
    </row>
    <row r="1178">
      <c r="A1178" s="320"/>
      <c r="B1178" s="301"/>
      <c r="C1178" s="205"/>
      <c r="D1178" s="302"/>
      <c r="E1178" s="303"/>
      <c r="F1178" s="304"/>
      <c r="G1178" s="312"/>
      <c r="H1178" s="306"/>
      <c r="I1178" s="302"/>
      <c r="J1178" s="307"/>
      <c r="K1178" s="313"/>
      <c r="L1178" s="319"/>
      <c r="M1178" s="316"/>
      <c r="N1178" s="205"/>
      <c r="O1178" s="311"/>
      <c r="P1178" s="200"/>
      <c r="Q1178" s="200"/>
      <c r="R1178" s="58"/>
      <c r="S1178" s="58"/>
      <c r="T1178" s="58"/>
      <c r="U1178" s="58"/>
      <c r="V1178" s="58"/>
      <c r="W1178" s="58"/>
      <c r="X1178" s="58"/>
      <c r="Y1178" s="58"/>
      <c r="Z1178" s="58"/>
      <c r="AA1178" s="58"/>
      <c r="AB1178" s="58"/>
      <c r="AC1178" s="58"/>
    </row>
    <row r="1179">
      <c r="A1179" s="320"/>
      <c r="B1179" s="301"/>
      <c r="C1179" s="205"/>
      <c r="D1179" s="302"/>
      <c r="E1179" s="303"/>
      <c r="F1179" s="304"/>
      <c r="G1179" s="312"/>
      <c r="H1179" s="306"/>
      <c r="I1179" s="302"/>
      <c r="J1179" s="307"/>
      <c r="K1179" s="313"/>
      <c r="L1179" s="319"/>
      <c r="M1179" s="316"/>
      <c r="N1179" s="205"/>
      <c r="O1179" s="311"/>
      <c r="P1179" s="200"/>
      <c r="Q1179" s="200"/>
      <c r="R1179" s="58"/>
      <c r="S1179" s="58"/>
      <c r="T1179" s="58"/>
      <c r="U1179" s="58"/>
      <c r="V1179" s="58"/>
      <c r="W1179" s="58"/>
      <c r="X1179" s="58"/>
      <c r="Y1179" s="58"/>
      <c r="Z1179" s="58"/>
      <c r="AA1179" s="58"/>
      <c r="AB1179" s="58"/>
      <c r="AC1179" s="58"/>
    </row>
    <row r="1180">
      <c r="A1180" s="320"/>
      <c r="B1180" s="301"/>
      <c r="C1180" s="205"/>
      <c r="D1180" s="302"/>
      <c r="E1180" s="303"/>
      <c r="F1180" s="304"/>
      <c r="G1180" s="312"/>
      <c r="H1180" s="306"/>
      <c r="I1180" s="302"/>
      <c r="J1180" s="307"/>
      <c r="K1180" s="313"/>
      <c r="L1180" s="319"/>
      <c r="M1180" s="316"/>
      <c r="N1180" s="205"/>
      <c r="O1180" s="311"/>
      <c r="P1180" s="200"/>
      <c r="Q1180" s="200"/>
      <c r="R1180" s="58"/>
      <c r="S1180" s="58"/>
      <c r="T1180" s="58"/>
      <c r="U1180" s="58"/>
      <c r="V1180" s="58"/>
      <c r="W1180" s="58"/>
      <c r="X1180" s="58"/>
      <c r="Y1180" s="58"/>
      <c r="Z1180" s="58"/>
      <c r="AA1180" s="58"/>
      <c r="AB1180" s="58"/>
      <c r="AC1180" s="58"/>
    </row>
    <row r="1181">
      <c r="A1181" s="320"/>
      <c r="B1181" s="301"/>
      <c r="C1181" s="205"/>
      <c r="D1181" s="302"/>
      <c r="E1181" s="303"/>
      <c r="F1181" s="304"/>
      <c r="G1181" s="312"/>
      <c r="H1181" s="306"/>
      <c r="I1181" s="302"/>
      <c r="J1181" s="307"/>
      <c r="K1181" s="313"/>
      <c r="L1181" s="319"/>
      <c r="M1181" s="316"/>
      <c r="N1181" s="205"/>
      <c r="O1181" s="311"/>
      <c r="P1181" s="200"/>
      <c r="Q1181" s="200"/>
      <c r="R1181" s="58"/>
      <c r="S1181" s="58"/>
      <c r="T1181" s="58"/>
      <c r="U1181" s="58"/>
      <c r="V1181" s="58"/>
      <c r="W1181" s="58"/>
      <c r="X1181" s="58"/>
      <c r="Y1181" s="58"/>
      <c r="Z1181" s="58"/>
      <c r="AA1181" s="58"/>
      <c r="AB1181" s="58"/>
      <c r="AC1181" s="58"/>
    </row>
    <row r="1182">
      <c r="A1182" s="320"/>
      <c r="B1182" s="301"/>
      <c r="C1182" s="205"/>
      <c r="D1182" s="302"/>
      <c r="E1182" s="303"/>
      <c r="F1182" s="304"/>
      <c r="G1182" s="312"/>
      <c r="H1182" s="306"/>
      <c r="I1182" s="302"/>
      <c r="J1182" s="307"/>
      <c r="K1182" s="313"/>
      <c r="L1182" s="319"/>
      <c r="M1182" s="316"/>
      <c r="N1182" s="205"/>
      <c r="O1182" s="311"/>
      <c r="P1182" s="200"/>
      <c r="Q1182" s="200"/>
      <c r="R1182" s="58"/>
      <c r="S1182" s="58"/>
      <c r="T1182" s="58"/>
      <c r="U1182" s="58"/>
      <c r="V1182" s="58"/>
      <c r="W1182" s="58"/>
      <c r="X1182" s="58"/>
      <c r="Y1182" s="58"/>
      <c r="Z1182" s="58"/>
      <c r="AA1182" s="58"/>
      <c r="AB1182" s="58"/>
      <c r="AC1182" s="58"/>
    </row>
    <row r="1183">
      <c r="A1183" s="320"/>
      <c r="B1183" s="301"/>
      <c r="C1183" s="205"/>
      <c r="D1183" s="302"/>
      <c r="E1183" s="303"/>
      <c r="F1183" s="304"/>
      <c r="G1183" s="312"/>
      <c r="H1183" s="306"/>
      <c r="I1183" s="302"/>
      <c r="J1183" s="307"/>
      <c r="K1183" s="313"/>
      <c r="L1183" s="319"/>
      <c r="M1183" s="316"/>
      <c r="N1183" s="205"/>
      <c r="O1183" s="311"/>
      <c r="P1183" s="200"/>
      <c r="Q1183" s="200"/>
      <c r="R1183" s="58"/>
      <c r="S1183" s="58"/>
      <c r="T1183" s="58"/>
      <c r="U1183" s="58"/>
      <c r="V1183" s="58"/>
      <c r="W1183" s="58"/>
      <c r="X1183" s="58"/>
      <c r="Y1183" s="58"/>
      <c r="Z1183" s="58"/>
      <c r="AA1183" s="58"/>
      <c r="AB1183" s="58"/>
      <c r="AC1183" s="58"/>
    </row>
    <row r="1184">
      <c r="A1184" s="320"/>
      <c r="B1184" s="301"/>
      <c r="C1184" s="205"/>
      <c r="D1184" s="302"/>
      <c r="E1184" s="303"/>
      <c r="F1184" s="304"/>
      <c r="G1184" s="312"/>
      <c r="H1184" s="306"/>
      <c r="I1184" s="302"/>
      <c r="J1184" s="307"/>
      <c r="K1184" s="313"/>
      <c r="L1184" s="319"/>
      <c r="M1184" s="316"/>
      <c r="N1184" s="205"/>
      <c r="O1184" s="311"/>
      <c r="P1184" s="200"/>
      <c r="Q1184" s="200"/>
      <c r="R1184" s="58"/>
      <c r="S1184" s="58"/>
      <c r="T1184" s="58"/>
      <c r="U1184" s="58"/>
      <c r="V1184" s="58"/>
      <c r="W1184" s="58"/>
      <c r="X1184" s="58"/>
      <c r="Y1184" s="58"/>
      <c r="Z1184" s="58"/>
      <c r="AA1184" s="58"/>
      <c r="AB1184" s="58"/>
      <c r="AC1184" s="58"/>
    </row>
    <row r="1185">
      <c r="A1185" s="320"/>
      <c r="B1185" s="301"/>
      <c r="C1185" s="205"/>
      <c r="D1185" s="302"/>
      <c r="E1185" s="303"/>
      <c r="F1185" s="304"/>
      <c r="G1185" s="312"/>
      <c r="H1185" s="306"/>
      <c r="I1185" s="302"/>
      <c r="J1185" s="307"/>
      <c r="K1185" s="313"/>
      <c r="L1185" s="319"/>
      <c r="M1185" s="316"/>
      <c r="N1185" s="205"/>
      <c r="O1185" s="311"/>
      <c r="P1185" s="200"/>
      <c r="Q1185" s="200"/>
      <c r="R1185" s="58"/>
      <c r="S1185" s="58"/>
      <c r="T1185" s="58"/>
      <c r="U1185" s="58"/>
      <c r="V1185" s="58"/>
      <c r="W1185" s="58"/>
      <c r="X1185" s="58"/>
      <c r="Y1185" s="58"/>
      <c r="Z1185" s="58"/>
      <c r="AA1185" s="58"/>
      <c r="AB1185" s="58"/>
      <c r="AC1185" s="58"/>
    </row>
    <row r="1186">
      <c r="A1186" s="320"/>
      <c r="B1186" s="301"/>
      <c r="C1186" s="205"/>
      <c r="D1186" s="302"/>
      <c r="E1186" s="303"/>
      <c r="F1186" s="304"/>
      <c r="G1186" s="312"/>
      <c r="H1186" s="306"/>
      <c r="I1186" s="302"/>
      <c r="J1186" s="307"/>
      <c r="K1186" s="313"/>
      <c r="L1186" s="319"/>
      <c r="M1186" s="316"/>
      <c r="N1186" s="205"/>
      <c r="O1186" s="311"/>
      <c r="P1186" s="200"/>
      <c r="Q1186" s="200"/>
      <c r="R1186" s="58"/>
      <c r="S1186" s="58"/>
      <c r="T1186" s="58"/>
      <c r="U1186" s="58"/>
      <c r="V1186" s="58"/>
      <c r="W1186" s="58"/>
      <c r="X1186" s="58"/>
      <c r="Y1186" s="58"/>
      <c r="Z1186" s="58"/>
      <c r="AA1186" s="58"/>
      <c r="AB1186" s="58"/>
      <c r="AC1186" s="58"/>
    </row>
    <row r="1187">
      <c r="A1187" s="320"/>
      <c r="B1187" s="301"/>
      <c r="C1187" s="205"/>
      <c r="D1187" s="302"/>
      <c r="E1187" s="303"/>
      <c r="F1187" s="304"/>
      <c r="G1187" s="312"/>
      <c r="H1187" s="306"/>
      <c r="I1187" s="302"/>
      <c r="J1187" s="307"/>
      <c r="K1187" s="313"/>
      <c r="L1187" s="319"/>
      <c r="M1187" s="316"/>
      <c r="N1187" s="205"/>
      <c r="O1187" s="311"/>
      <c r="P1187" s="200"/>
      <c r="Q1187" s="200"/>
      <c r="R1187" s="58"/>
      <c r="S1187" s="58"/>
      <c r="T1187" s="58"/>
      <c r="U1187" s="58"/>
      <c r="V1187" s="58"/>
      <c r="W1187" s="58"/>
      <c r="X1187" s="58"/>
      <c r="Y1187" s="58"/>
      <c r="Z1187" s="58"/>
      <c r="AA1187" s="58"/>
      <c r="AB1187" s="58"/>
      <c r="AC1187" s="58"/>
    </row>
    <row r="1188">
      <c r="A1188" s="320"/>
      <c r="B1188" s="301"/>
      <c r="C1188" s="205"/>
      <c r="D1188" s="302"/>
      <c r="E1188" s="303"/>
      <c r="F1188" s="304"/>
      <c r="G1188" s="312"/>
      <c r="H1188" s="306"/>
      <c r="I1188" s="302"/>
      <c r="J1188" s="307"/>
      <c r="K1188" s="313"/>
      <c r="L1188" s="319"/>
      <c r="M1188" s="316"/>
      <c r="N1188" s="205"/>
      <c r="O1188" s="311"/>
      <c r="P1188" s="200"/>
      <c r="Q1188" s="200"/>
      <c r="R1188" s="58"/>
      <c r="S1188" s="58"/>
      <c r="T1188" s="58"/>
      <c r="U1188" s="58"/>
      <c r="V1188" s="58"/>
      <c r="W1188" s="58"/>
      <c r="X1188" s="58"/>
      <c r="Y1188" s="58"/>
      <c r="Z1188" s="58"/>
      <c r="AA1188" s="58"/>
      <c r="AB1188" s="58"/>
      <c r="AC1188" s="58"/>
    </row>
    <row r="1189">
      <c r="A1189" s="320"/>
      <c r="B1189" s="301"/>
      <c r="C1189" s="205"/>
      <c r="D1189" s="302"/>
      <c r="E1189" s="303"/>
      <c r="F1189" s="304"/>
      <c r="G1189" s="312"/>
      <c r="H1189" s="306"/>
      <c r="I1189" s="302"/>
      <c r="J1189" s="307"/>
      <c r="K1189" s="313"/>
      <c r="L1189" s="319"/>
      <c r="M1189" s="316"/>
      <c r="N1189" s="205"/>
      <c r="O1189" s="311"/>
      <c r="P1189" s="200"/>
      <c r="Q1189" s="200"/>
      <c r="R1189" s="58"/>
      <c r="S1189" s="58"/>
      <c r="T1189" s="58"/>
      <c r="U1189" s="58"/>
      <c r="V1189" s="58"/>
      <c r="W1189" s="58"/>
      <c r="X1189" s="58"/>
      <c r="Y1189" s="58"/>
      <c r="Z1189" s="58"/>
      <c r="AA1189" s="58"/>
      <c r="AB1189" s="58"/>
      <c r="AC1189" s="58"/>
    </row>
    <row r="1190">
      <c r="A1190" s="320"/>
      <c r="B1190" s="301"/>
      <c r="C1190" s="205"/>
      <c r="D1190" s="302"/>
      <c r="E1190" s="303"/>
      <c r="F1190" s="304"/>
      <c r="G1190" s="312"/>
      <c r="H1190" s="306"/>
      <c r="I1190" s="302"/>
      <c r="J1190" s="307"/>
      <c r="K1190" s="313"/>
      <c r="L1190" s="319"/>
      <c r="M1190" s="316"/>
      <c r="N1190" s="205"/>
      <c r="O1190" s="311"/>
      <c r="P1190" s="200"/>
      <c r="Q1190" s="200"/>
      <c r="R1190" s="58"/>
      <c r="S1190" s="58"/>
      <c r="T1190" s="58"/>
      <c r="U1190" s="58"/>
      <c r="V1190" s="58"/>
      <c r="W1190" s="58"/>
      <c r="X1190" s="58"/>
      <c r="Y1190" s="58"/>
      <c r="Z1190" s="58"/>
      <c r="AA1190" s="58"/>
      <c r="AB1190" s="58"/>
      <c r="AC1190" s="58"/>
    </row>
    <row r="1191">
      <c r="A1191" s="320"/>
      <c r="B1191" s="301"/>
      <c r="C1191" s="205"/>
      <c r="D1191" s="302"/>
      <c r="E1191" s="303"/>
      <c r="F1191" s="304"/>
      <c r="G1191" s="312"/>
      <c r="H1191" s="306"/>
      <c r="I1191" s="302"/>
      <c r="J1191" s="307"/>
      <c r="K1191" s="313"/>
      <c r="L1191" s="319"/>
      <c r="M1191" s="316"/>
      <c r="N1191" s="205"/>
      <c r="O1191" s="311"/>
      <c r="P1191" s="200"/>
      <c r="Q1191" s="200"/>
      <c r="R1191" s="58"/>
      <c r="S1191" s="58"/>
      <c r="T1191" s="58"/>
      <c r="U1191" s="58"/>
      <c r="V1191" s="58"/>
      <c r="W1191" s="58"/>
      <c r="X1191" s="58"/>
      <c r="Y1191" s="58"/>
      <c r="Z1191" s="58"/>
      <c r="AA1191" s="58"/>
      <c r="AB1191" s="58"/>
      <c r="AC1191" s="58"/>
    </row>
    <row r="1192">
      <c r="A1192" s="320"/>
      <c r="B1192" s="301"/>
      <c r="C1192" s="205"/>
      <c r="D1192" s="302"/>
      <c r="E1192" s="303"/>
      <c r="F1192" s="304"/>
      <c r="G1192" s="312"/>
      <c r="H1192" s="306"/>
      <c r="I1192" s="302"/>
      <c r="J1192" s="307"/>
      <c r="K1192" s="313"/>
      <c r="L1192" s="319"/>
      <c r="M1192" s="316"/>
      <c r="N1192" s="205"/>
      <c r="O1192" s="311"/>
      <c r="P1192" s="200"/>
      <c r="Q1192" s="200"/>
      <c r="R1192" s="58"/>
      <c r="S1192" s="58"/>
      <c r="T1192" s="58"/>
      <c r="U1192" s="58"/>
      <c r="V1192" s="58"/>
      <c r="W1192" s="58"/>
      <c r="X1192" s="58"/>
      <c r="Y1192" s="58"/>
      <c r="Z1192" s="58"/>
      <c r="AA1192" s="58"/>
      <c r="AB1192" s="58"/>
      <c r="AC1192" s="58"/>
    </row>
    <row r="1193">
      <c r="A1193" s="320"/>
      <c r="B1193" s="301"/>
      <c r="C1193" s="205"/>
      <c r="D1193" s="302"/>
      <c r="E1193" s="303"/>
      <c r="F1193" s="304"/>
      <c r="G1193" s="312"/>
      <c r="H1193" s="306"/>
      <c r="I1193" s="302"/>
      <c r="J1193" s="307"/>
      <c r="K1193" s="313"/>
      <c r="L1193" s="319"/>
      <c r="M1193" s="316"/>
      <c r="N1193" s="205"/>
      <c r="O1193" s="311"/>
      <c r="P1193" s="200"/>
      <c r="Q1193" s="200"/>
      <c r="R1193" s="58"/>
      <c r="S1193" s="58"/>
      <c r="T1193" s="58"/>
      <c r="U1193" s="58"/>
      <c r="V1193" s="58"/>
      <c r="W1193" s="58"/>
      <c r="X1193" s="58"/>
      <c r="Y1193" s="58"/>
      <c r="Z1193" s="58"/>
      <c r="AA1193" s="58"/>
      <c r="AB1193" s="58"/>
      <c r="AC1193" s="58"/>
    </row>
    <row r="1194">
      <c r="A1194" s="320"/>
      <c r="B1194" s="301"/>
      <c r="C1194" s="205"/>
      <c r="D1194" s="302"/>
      <c r="E1194" s="303"/>
      <c r="F1194" s="304"/>
      <c r="G1194" s="312"/>
      <c r="H1194" s="306"/>
      <c r="I1194" s="302"/>
      <c r="J1194" s="307"/>
      <c r="K1194" s="313"/>
      <c r="L1194" s="319"/>
      <c r="M1194" s="316"/>
      <c r="N1194" s="205"/>
      <c r="O1194" s="311"/>
      <c r="P1194" s="200"/>
      <c r="Q1194" s="200"/>
      <c r="R1194" s="58"/>
      <c r="S1194" s="58"/>
      <c r="T1194" s="58"/>
      <c r="U1194" s="58"/>
      <c r="V1194" s="58"/>
      <c r="W1194" s="58"/>
      <c r="X1194" s="58"/>
      <c r="Y1194" s="58"/>
      <c r="Z1194" s="58"/>
      <c r="AA1194" s="58"/>
      <c r="AB1194" s="58"/>
      <c r="AC1194" s="58"/>
    </row>
    <row r="1195">
      <c r="A1195" s="320"/>
      <c r="B1195" s="301"/>
      <c r="C1195" s="205"/>
      <c r="D1195" s="302"/>
      <c r="E1195" s="303"/>
      <c r="F1195" s="304"/>
      <c r="G1195" s="312"/>
      <c r="H1195" s="306"/>
      <c r="I1195" s="302"/>
      <c r="J1195" s="307"/>
      <c r="K1195" s="313"/>
      <c r="L1195" s="319"/>
      <c r="M1195" s="316"/>
      <c r="N1195" s="205"/>
      <c r="O1195" s="311"/>
      <c r="P1195" s="200"/>
      <c r="Q1195" s="200"/>
      <c r="R1195" s="58"/>
      <c r="S1195" s="58"/>
      <c r="T1195" s="58"/>
      <c r="U1195" s="58"/>
      <c r="V1195" s="58"/>
      <c r="W1195" s="58"/>
      <c r="X1195" s="58"/>
      <c r="Y1195" s="58"/>
      <c r="Z1195" s="58"/>
      <c r="AA1195" s="58"/>
      <c r="AB1195" s="58"/>
      <c r="AC1195" s="58"/>
    </row>
    <row r="1196">
      <c r="A1196" s="320"/>
      <c r="B1196" s="301"/>
      <c r="C1196" s="205"/>
      <c r="D1196" s="302"/>
      <c r="E1196" s="303"/>
      <c r="F1196" s="304"/>
      <c r="G1196" s="312"/>
      <c r="H1196" s="306"/>
      <c r="I1196" s="302"/>
      <c r="J1196" s="307"/>
      <c r="K1196" s="313"/>
      <c r="L1196" s="319"/>
      <c r="M1196" s="316"/>
      <c r="N1196" s="205"/>
      <c r="O1196" s="311"/>
      <c r="P1196" s="200"/>
      <c r="Q1196" s="200"/>
      <c r="R1196" s="58"/>
      <c r="S1196" s="58"/>
      <c r="T1196" s="58"/>
      <c r="U1196" s="58"/>
      <c r="V1196" s="58"/>
      <c r="W1196" s="58"/>
      <c r="X1196" s="58"/>
      <c r="Y1196" s="58"/>
      <c r="Z1196" s="58"/>
      <c r="AA1196" s="58"/>
      <c r="AB1196" s="58"/>
      <c r="AC1196" s="58"/>
    </row>
    <row r="1197">
      <c r="A1197" s="320"/>
      <c r="B1197" s="301"/>
      <c r="C1197" s="205"/>
      <c r="D1197" s="302"/>
      <c r="E1197" s="303"/>
      <c r="F1197" s="304"/>
      <c r="G1197" s="312"/>
      <c r="H1197" s="306"/>
      <c r="I1197" s="302"/>
      <c r="J1197" s="307"/>
      <c r="K1197" s="313"/>
      <c r="L1197" s="319"/>
      <c r="M1197" s="316"/>
      <c r="N1197" s="205"/>
      <c r="O1197" s="311"/>
      <c r="P1197" s="200"/>
      <c r="Q1197" s="200"/>
      <c r="R1197" s="58"/>
      <c r="S1197" s="58"/>
      <c r="T1197" s="58"/>
      <c r="U1197" s="58"/>
      <c r="V1197" s="58"/>
      <c r="W1197" s="58"/>
      <c r="X1197" s="58"/>
      <c r="Y1197" s="58"/>
      <c r="Z1197" s="58"/>
      <c r="AA1197" s="58"/>
      <c r="AB1197" s="58"/>
      <c r="AC1197" s="58"/>
    </row>
    <row r="1198">
      <c r="A1198" s="320"/>
      <c r="B1198" s="301"/>
      <c r="C1198" s="205"/>
      <c r="D1198" s="302"/>
      <c r="E1198" s="303"/>
      <c r="F1198" s="304"/>
      <c r="G1198" s="312"/>
      <c r="H1198" s="306"/>
      <c r="I1198" s="302"/>
      <c r="J1198" s="307"/>
      <c r="K1198" s="313"/>
      <c r="L1198" s="319"/>
      <c r="M1198" s="316"/>
      <c r="N1198" s="205"/>
      <c r="O1198" s="311"/>
      <c r="P1198" s="200"/>
      <c r="Q1198" s="200"/>
      <c r="R1198" s="58"/>
      <c r="S1198" s="58"/>
      <c r="T1198" s="58"/>
      <c r="U1198" s="58"/>
      <c r="V1198" s="58"/>
      <c r="W1198" s="58"/>
      <c r="X1198" s="58"/>
      <c r="Y1198" s="58"/>
      <c r="Z1198" s="58"/>
      <c r="AA1198" s="58"/>
      <c r="AB1198" s="58"/>
      <c r="AC1198" s="58"/>
    </row>
    <row r="1199">
      <c r="A1199" s="320"/>
      <c r="B1199" s="301"/>
      <c r="C1199" s="205"/>
      <c r="D1199" s="302"/>
      <c r="E1199" s="303"/>
      <c r="F1199" s="304"/>
      <c r="G1199" s="312"/>
      <c r="H1199" s="306"/>
      <c r="I1199" s="302"/>
      <c r="J1199" s="307"/>
      <c r="K1199" s="313"/>
      <c r="L1199" s="319"/>
      <c r="M1199" s="316"/>
      <c r="N1199" s="205"/>
      <c r="O1199" s="311"/>
      <c r="P1199" s="200"/>
      <c r="Q1199" s="200"/>
      <c r="R1199" s="58"/>
      <c r="S1199" s="58"/>
      <c r="T1199" s="58"/>
      <c r="U1199" s="58"/>
      <c r="V1199" s="58"/>
      <c r="W1199" s="58"/>
      <c r="X1199" s="58"/>
      <c r="Y1199" s="58"/>
      <c r="Z1199" s="58"/>
      <c r="AA1199" s="58"/>
      <c r="AB1199" s="58"/>
      <c r="AC1199" s="58"/>
    </row>
    <row r="1200">
      <c r="A1200" s="320"/>
      <c r="B1200" s="301"/>
      <c r="C1200" s="205"/>
      <c r="D1200" s="302"/>
      <c r="E1200" s="303"/>
      <c r="F1200" s="304"/>
      <c r="G1200" s="312"/>
      <c r="H1200" s="306"/>
      <c r="I1200" s="302"/>
      <c r="J1200" s="307"/>
      <c r="K1200" s="313"/>
      <c r="L1200" s="319"/>
      <c r="M1200" s="316"/>
      <c r="N1200" s="205"/>
      <c r="O1200" s="311"/>
      <c r="P1200" s="200"/>
      <c r="Q1200" s="200"/>
      <c r="R1200" s="58"/>
      <c r="S1200" s="58"/>
      <c r="T1200" s="58"/>
      <c r="U1200" s="58"/>
      <c r="V1200" s="58"/>
      <c r="W1200" s="58"/>
      <c r="X1200" s="58"/>
      <c r="Y1200" s="58"/>
      <c r="Z1200" s="58"/>
      <c r="AA1200" s="58"/>
      <c r="AB1200" s="58"/>
      <c r="AC1200" s="58"/>
    </row>
    <row r="1201">
      <c r="A1201" s="320"/>
      <c r="B1201" s="301"/>
      <c r="C1201" s="205"/>
      <c r="D1201" s="302"/>
      <c r="E1201" s="303"/>
      <c r="F1201" s="304"/>
      <c r="G1201" s="312"/>
      <c r="H1201" s="306"/>
      <c r="I1201" s="302"/>
      <c r="J1201" s="307"/>
      <c r="K1201" s="313"/>
      <c r="L1201" s="319"/>
      <c r="M1201" s="316"/>
      <c r="N1201" s="205"/>
      <c r="O1201" s="311"/>
      <c r="P1201" s="200"/>
      <c r="Q1201" s="200"/>
      <c r="R1201" s="58"/>
      <c r="S1201" s="58"/>
      <c r="T1201" s="58"/>
      <c r="U1201" s="58"/>
      <c r="V1201" s="58"/>
      <c r="W1201" s="58"/>
      <c r="X1201" s="58"/>
      <c r="Y1201" s="58"/>
      <c r="Z1201" s="58"/>
      <c r="AA1201" s="58"/>
      <c r="AB1201" s="58"/>
      <c r="AC1201" s="58"/>
    </row>
    <row r="1202">
      <c r="A1202" s="320"/>
      <c r="B1202" s="301"/>
      <c r="C1202" s="205"/>
      <c r="D1202" s="302"/>
      <c r="E1202" s="303"/>
      <c r="F1202" s="304"/>
      <c r="G1202" s="312"/>
      <c r="H1202" s="306"/>
      <c r="I1202" s="302"/>
      <c r="J1202" s="307"/>
      <c r="K1202" s="313"/>
      <c r="L1202" s="319"/>
      <c r="M1202" s="316"/>
      <c r="N1202" s="205"/>
      <c r="O1202" s="311"/>
      <c r="P1202" s="200"/>
      <c r="Q1202" s="200"/>
      <c r="R1202" s="58"/>
      <c r="S1202" s="58"/>
      <c r="T1202" s="58"/>
      <c r="U1202" s="58"/>
      <c r="V1202" s="58"/>
      <c r="W1202" s="58"/>
      <c r="X1202" s="58"/>
      <c r="Y1202" s="58"/>
      <c r="Z1202" s="58"/>
      <c r="AA1202" s="58"/>
      <c r="AB1202" s="58"/>
      <c r="AC1202" s="58"/>
    </row>
    <row r="1203">
      <c r="A1203" s="320"/>
      <c r="B1203" s="301"/>
      <c r="C1203" s="205"/>
      <c r="D1203" s="302"/>
      <c r="E1203" s="303"/>
      <c r="F1203" s="304"/>
      <c r="G1203" s="312"/>
      <c r="H1203" s="306"/>
      <c r="I1203" s="302"/>
      <c r="J1203" s="307"/>
      <c r="K1203" s="313"/>
      <c r="L1203" s="319"/>
      <c r="M1203" s="316"/>
      <c r="N1203" s="205"/>
      <c r="O1203" s="311"/>
      <c r="P1203" s="200"/>
      <c r="Q1203" s="200"/>
      <c r="R1203" s="58"/>
      <c r="S1203" s="58"/>
      <c r="T1203" s="58"/>
      <c r="U1203" s="58"/>
      <c r="V1203" s="58"/>
      <c r="W1203" s="58"/>
      <c r="X1203" s="58"/>
      <c r="Y1203" s="58"/>
      <c r="Z1203" s="58"/>
      <c r="AA1203" s="58"/>
      <c r="AB1203" s="58"/>
      <c r="AC1203" s="58"/>
    </row>
    <row r="1204">
      <c r="A1204" s="320"/>
      <c r="B1204" s="301"/>
      <c r="C1204" s="205"/>
      <c r="D1204" s="302"/>
      <c r="E1204" s="303"/>
      <c r="F1204" s="304"/>
      <c r="G1204" s="312"/>
      <c r="H1204" s="306"/>
      <c r="I1204" s="302"/>
      <c r="J1204" s="307"/>
      <c r="K1204" s="313"/>
      <c r="L1204" s="319"/>
      <c r="M1204" s="316"/>
      <c r="N1204" s="205"/>
      <c r="O1204" s="311"/>
      <c r="P1204" s="200"/>
      <c r="Q1204" s="200"/>
      <c r="R1204" s="58"/>
      <c r="S1204" s="58"/>
      <c r="T1204" s="58"/>
      <c r="U1204" s="58"/>
      <c r="V1204" s="58"/>
      <c r="W1204" s="58"/>
      <c r="X1204" s="58"/>
      <c r="Y1204" s="58"/>
      <c r="Z1204" s="58"/>
      <c r="AA1204" s="58"/>
      <c r="AB1204" s="58"/>
      <c r="AC1204" s="58"/>
    </row>
    <row r="1205">
      <c r="A1205" s="320"/>
      <c r="B1205" s="301"/>
      <c r="C1205" s="205"/>
      <c r="D1205" s="302"/>
      <c r="E1205" s="303"/>
      <c r="F1205" s="304"/>
      <c r="G1205" s="312"/>
      <c r="H1205" s="306"/>
      <c r="I1205" s="302"/>
      <c r="J1205" s="307"/>
      <c r="K1205" s="313"/>
      <c r="L1205" s="319"/>
      <c r="M1205" s="316"/>
      <c r="N1205" s="205"/>
      <c r="O1205" s="311"/>
      <c r="P1205" s="200"/>
      <c r="Q1205" s="200"/>
      <c r="R1205" s="58"/>
      <c r="S1205" s="58"/>
      <c r="T1205" s="58"/>
      <c r="U1205" s="58"/>
      <c r="V1205" s="58"/>
      <c r="W1205" s="58"/>
      <c r="X1205" s="58"/>
      <c r="Y1205" s="58"/>
      <c r="Z1205" s="58"/>
      <c r="AA1205" s="58"/>
      <c r="AB1205" s="58"/>
      <c r="AC1205" s="58"/>
    </row>
    <row r="1206">
      <c r="A1206" s="320"/>
      <c r="B1206" s="301"/>
      <c r="C1206" s="205"/>
      <c r="D1206" s="302"/>
      <c r="E1206" s="303"/>
      <c r="F1206" s="304"/>
      <c r="G1206" s="312"/>
      <c r="H1206" s="306"/>
      <c r="I1206" s="302"/>
      <c r="J1206" s="307"/>
      <c r="K1206" s="313"/>
      <c r="L1206" s="319"/>
      <c r="M1206" s="316"/>
      <c r="N1206" s="205"/>
      <c r="O1206" s="311"/>
      <c r="P1206" s="200"/>
      <c r="Q1206" s="200"/>
      <c r="R1206" s="58"/>
      <c r="S1206" s="58"/>
      <c r="T1206" s="58"/>
      <c r="U1206" s="58"/>
      <c r="V1206" s="58"/>
      <c r="W1206" s="58"/>
      <c r="X1206" s="58"/>
      <c r="Y1206" s="58"/>
      <c r="Z1206" s="58"/>
      <c r="AA1206" s="58"/>
      <c r="AB1206" s="58"/>
      <c r="AC1206" s="58"/>
    </row>
    <row r="1207">
      <c r="A1207" s="320"/>
      <c r="B1207" s="301"/>
      <c r="C1207" s="205"/>
      <c r="D1207" s="302"/>
      <c r="E1207" s="303"/>
      <c r="F1207" s="304"/>
      <c r="G1207" s="312"/>
      <c r="H1207" s="306"/>
      <c r="I1207" s="302"/>
      <c r="J1207" s="307"/>
      <c r="K1207" s="313"/>
      <c r="L1207" s="319"/>
      <c r="M1207" s="316"/>
      <c r="N1207" s="205"/>
      <c r="O1207" s="311"/>
      <c r="P1207" s="200"/>
      <c r="Q1207" s="200"/>
      <c r="R1207" s="58"/>
      <c r="S1207" s="58"/>
      <c r="T1207" s="58"/>
      <c r="U1207" s="58"/>
      <c r="V1207" s="58"/>
      <c r="W1207" s="58"/>
      <c r="X1207" s="58"/>
      <c r="Y1207" s="58"/>
      <c r="Z1207" s="58"/>
      <c r="AA1207" s="58"/>
      <c r="AB1207" s="58"/>
      <c r="AC1207" s="58"/>
    </row>
    <row r="1208">
      <c r="A1208" s="320"/>
      <c r="B1208" s="301"/>
      <c r="C1208" s="205"/>
      <c r="D1208" s="302"/>
      <c r="E1208" s="303"/>
      <c r="F1208" s="304"/>
      <c r="G1208" s="312"/>
      <c r="H1208" s="306"/>
      <c r="I1208" s="302"/>
      <c r="J1208" s="307"/>
      <c r="K1208" s="313"/>
      <c r="L1208" s="319"/>
      <c r="M1208" s="316"/>
      <c r="N1208" s="205"/>
      <c r="O1208" s="311"/>
      <c r="P1208" s="200"/>
      <c r="Q1208" s="200"/>
      <c r="R1208" s="58"/>
      <c r="S1208" s="58"/>
      <c r="T1208" s="58"/>
      <c r="U1208" s="58"/>
      <c r="V1208" s="58"/>
      <c r="W1208" s="58"/>
      <c r="X1208" s="58"/>
      <c r="Y1208" s="58"/>
      <c r="Z1208" s="58"/>
      <c r="AA1208" s="58"/>
      <c r="AB1208" s="58"/>
      <c r="AC1208" s="58"/>
    </row>
    <row r="1209">
      <c r="A1209" s="320"/>
      <c r="B1209" s="301"/>
      <c r="C1209" s="205"/>
      <c r="D1209" s="302"/>
      <c r="E1209" s="303"/>
      <c r="F1209" s="304"/>
      <c r="G1209" s="312"/>
      <c r="H1209" s="306"/>
      <c r="I1209" s="302"/>
      <c r="J1209" s="307"/>
      <c r="K1209" s="313"/>
      <c r="L1209" s="319"/>
      <c r="M1209" s="316"/>
      <c r="N1209" s="205"/>
      <c r="O1209" s="311"/>
      <c r="P1209" s="200"/>
      <c r="Q1209" s="200"/>
      <c r="R1209" s="58"/>
      <c r="S1209" s="58"/>
      <c r="T1209" s="58"/>
      <c r="U1209" s="58"/>
      <c r="V1209" s="58"/>
      <c r="W1209" s="58"/>
      <c r="X1209" s="58"/>
      <c r="Y1209" s="58"/>
      <c r="Z1209" s="58"/>
      <c r="AA1209" s="58"/>
      <c r="AB1209" s="58"/>
      <c r="AC1209" s="58"/>
    </row>
    <row r="1210">
      <c r="A1210" s="320"/>
      <c r="B1210" s="301"/>
      <c r="C1210" s="205"/>
      <c r="D1210" s="302"/>
      <c r="E1210" s="303"/>
      <c r="F1210" s="304"/>
      <c r="G1210" s="312"/>
      <c r="H1210" s="306"/>
      <c r="I1210" s="302"/>
      <c r="J1210" s="307"/>
      <c r="K1210" s="313"/>
      <c r="L1210" s="319"/>
      <c r="M1210" s="316"/>
      <c r="N1210" s="205"/>
      <c r="O1210" s="311"/>
      <c r="P1210" s="200"/>
      <c r="Q1210" s="200"/>
      <c r="R1210" s="58"/>
      <c r="S1210" s="58"/>
      <c r="T1210" s="58"/>
      <c r="U1210" s="58"/>
      <c r="V1210" s="58"/>
      <c r="W1210" s="58"/>
      <c r="X1210" s="58"/>
      <c r="Y1210" s="58"/>
      <c r="Z1210" s="58"/>
      <c r="AA1210" s="58"/>
      <c r="AB1210" s="58"/>
      <c r="AC1210" s="58"/>
    </row>
    <row r="1211">
      <c r="A1211" s="320"/>
      <c r="B1211" s="301"/>
      <c r="C1211" s="205"/>
      <c r="D1211" s="302"/>
      <c r="E1211" s="303"/>
      <c r="F1211" s="304"/>
      <c r="G1211" s="312"/>
      <c r="H1211" s="306"/>
      <c r="I1211" s="302"/>
      <c r="J1211" s="307"/>
      <c r="K1211" s="313"/>
      <c r="L1211" s="319"/>
      <c r="M1211" s="316"/>
      <c r="N1211" s="205"/>
      <c r="O1211" s="311"/>
      <c r="P1211" s="200"/>
      <c r="Q1211" s="200"/>
      <c r="R1211" s="58"/>
      <c r="S1211" s="58"/>
      <c r="T1211" s="58"/>
      <c r="U1211" s="58"/>
      <c r="V1211" s="58"/>
      <c r="W1211" s="58"/>
      <c r="X1211" s="58"/>
      <c r="Y1211" s="58"/>
      <c r="Z1211" s="58"/>
      <c r="AA1211" s="58"/>
      <c r="AB1211" s="58"/>
      <c r="AC1211" s="58"/>
    </row>
    <row r="1212">
      <c r="A1212" s="320"/>
      <c r="B1212" s="301"/>
      <c r="C1212" s="205"/>
      <c r="D1212" s="302"/>
      <c r="E1212" s="303"/>
      <c r="F1212" s="304"/>
      <c r="G1212" s="312"/>
      <c r="H1212" s="306"/>
      <c r="I1212" s="302"/>
      <c r="J1212" s="307"/>
      <c r="K1212" s="313"/>
      <c r="L1212" s="319"/>
      <c r="M1212" s="316"/>
      <c r="N1212" s="205"/>
      <c r="O1212" s="311"/>
      <c r="P1212" s="200"/>
      <c r="Q1212" s="200"/>
      <c r="R1212" s="58"/>
      <c r="S1212" s="58"/>
      <c r="T1212" s="58"/>
      <c r="U1212" s="58"/>
      <c r="V1212" s="58"/>
      <c r="W1212" s="58"/>
      <c r="X1212" s="58"/>
      <c r="Y1212" s="58"/>
      <c r="Z1212" s="58"/>
      <c r="AA1212" s="58"/>
      <c r="AB1212" s="58"/>
      <c r="AC1212" s="58"/>
    </row>
    <row r="1213">
      <c r="A1213" s="320"/>
      <c r="B1213" s="301"/>
      <c r="C1213" s="205"/>
      <c r="D1213" s="302"/>
      <c r="E1213" s="303"/>
      <c r="F1213" s="304"/>
      <c r="G1213" s="312"/>
      <c r="H1213" s="306"/>
      <c r="I1213" s="302"/>
      <c r="J1213" s="307"/>
      <c r="K1213" s="313"/>
      <c r="L1213" s="319"/>
      <c r="M1213" s="316"/>
      <c r="N1213" s="205"/>
      <c r="O1213" s="311"/>
      <c r="P1213" s="200"/>
      <c r="Q1213" s="200"/>
      <c r="R1213" s="58"/>
      <c r="S1213" s="58"/>
      <c r="T1213" s="58"/>
      <c r="U1213" s="58"/>
      <c r="V1213" s="58"/>
      <c r="W1213" s="58"/>
      <c r="X1213" s="58"/>
      <c r="Y1213" s="58"/>
      <c r="Z1213" s="58"/>
      <c r="AA1213" s="58"/>
      <c r="AB1213" s="58"/>
      <c r="AC1213" s="58"/>
    </row>
    <row r="1214">
      <c r="A1214" s="320"/>
      <c r="B1214" s="301"/>
      <c r="C1214" s="205"/>
      <c r="D1214" s="302"/>
      <c r="E1214" s="303"/>
      <c r="F1214" s="304"/>
      <c r="G1214" s="312"/>
      <c r="H1214" s="306"/>
      <c r="I1214" s="302"/>
      <c r="J1214" s="307"/>
      <c r="K1214" s="313"/>
      <c r="L1214" s="319"/>
      <c r="M1214" s="316"/>
      <c r="N1214" s="205"/>
      <c r="O1214" s="311"/>
      <c r="P1214" s="200"/>
      <c r="Q1214" s="200"/>
      <c r="R1214" s="58"/>
      <c r="S1214" s="58"/>
      <c r="T1214" s="58"/>
      <c r="U1214" s="58"/>
      <c r="V1214" s="58"/>
      <c r="W1214" s="58"/>
      <c r="X1214" s="58"/>
      <c r="Y1214" s="58"/>
      <c r="Z1214" s="58"/>
      <c r="AA1214" s="58"/>
      <c r="AB1214" s="58"/>
      <c r="AC1214" s="58"/>
    </row>
    <row r="1215">
      <c r="A1215" s="320"/>
      <c r="B1215" s="301"/>
      <c r="C1215" s="205"/>
      <c r="D1215" s="302"/>
      <c r="E1215" s="303"/>
      <c r="F1215" s="304"/>
      <c r="G1215" s="312"/>
      <c r="H1215" s="306"/>
      <c r="I1215" s="302"/>
      <c r="J1215" s="307"/>
      <c r="K1215" s="313"/>
      <c r="L1215" s="319"/>
      <c r="M1215" s="316"/>
      <c r="N1215" s="205"/>
      <c r="O1215" s="311"/>
      <c r="P1215" s="200"/>
      <c r="Q1215" s="200"/>
      <c r="R1215" s="58"/>
      <c r="S1215" s="58"/>
      <c r="T1215" s="58"/>
      <c r="U1215" s="58"/>
      <c r="V1215" s="58"/>
      <c r="W1215" s="58"/>
      <c r="X1215" s="58"/>
      <c r="Y1215" s="58"/>
      <c r="Z1215" s="58"/>
      <c r="AA1215" s="58"/>
      <c r="AB1215" s="58"/>
      <c r="AC1215" s="58"/>
    </row>
    <row r="1216">
      <c r="A1216" s="320"/>
      <c r="B1216" s="301"/>
      <c r="C1216" s="205"/>
      <c r="D1216" s="302"/>
      <c r="E1216" s="303"/>
      <c r="F1216" s="304"/>
      <c r="G1216" s="312"/>
      <c r="H1216" s="306"/>
      <c r="I1216" s="302"/>
      <c r="J1216" s="307"/>
      <c r="K1216" s="313"/>
      <c r="L1216" s="319"/>
      <c r="M1216" s="316"/>
      <c r="N1216" s="205"/>
      <c r="O1216" s="311"/>
      <c r="P1216" s="200"/>
      <c r="Q1216" s="200"/>
      <c r="R1216" s="58"/>
      <c r="S1216" s="58"/>
      <c r="T1216" s="58"/>
      <c r="U1216" s="58"/>
      <c r="V1216" s="58"/>
      <c r="W1216" s="58"/>
      <c r="X1216" s="58"/>
      <c r="Y1216" s="58"/>
      <c r="Z1216" s="58"/>
      <c r="AA1216" s="58"/>
      <c r="AB1216" s="58"/>
      <c r="AC1216" s="58"/>
    </row>
    <row r="1217">
      <c r="A1217" s="320"/>
      <c r="B1217" s="301"/>
      <c r="C1217" s="205"/>
      <c r="D1217" s="302"/>
      <c r="E1217" s="303"/>
      <c r="F1217" s="304"/>
      <c r="G1217" s="312"/>
      <c r="H1217" s="306"/>
      <c r="I1217" s="302"/>
      <c r="J1217" s="307"/>
      <c r="K1217" s="313"/>
      <c r="L1217" s="319"/>
      <c r="M1217" s="316"/>
      <c r="N1217" s="205"/>
      <c r="O1217" s="311"/>
      <c r="P1217" s="200"/>
      <c r="Q1217" s="200"/>
      <c r="R1217" s="58"/>
      <c r="S1217" s="58"/>
      <c r="T1217" s="58"/>
      <c r="U1217" s="58"/>
      <c r="V1217" s="58"/>
      <c r="W1217" s="58"/>
      <c r="X1217" s="58"/>
      <c r="Y1217" s="58"/>
      <c r="Z1217" s="58"/>
      <c r="AA1217" s="58"/>
      <c r="AB1217" s="58"/>
      <c r="AC1217" s="58"/>
    </row>
    <row r="1218">
      <c r="A1218" s="320"/>
      <c r="B1218" s="301"/>
      <c r="C1218" s="205"/>
      <c r="D1218" s="302"/>
      <c r="E1218" s="303"/>
      <c r="F1218" s="304"/>
      <c r="G1218" s="312"/>
      <c r="H1218" s="306"/>
      <c r="I1218" s="302"/>
      <c r="J1218" s="307"/>
      <c r="K1218" s="313"/>
      <c r="L1218" s="319"/>
      <c r="M1218" s="316"/>
      <c r="N1218" s="205"/>
      <c r="O1218" s="311"/>
      <c r="P1218" s="200"/>
      <c r="Q1218" s="200"/>
      <c r="R1218" s="58"/>
      <c r="S1218" s="58"/>
      <c r="T1218" s="58"/>
      <c r="U1218" s="58"/>
      <c r="V1218" s="58"/>
      <c r="W1218" s="58"/>
      <c r="X1218" s="58"/>
      <c r="Y1218" s="58"/>
      <c r="Z1218" s="58"/>
      <c r="AA1218" s="58"/>
      <c r="AB1218" s="58"/>
      <c r="AC1218" s="58"/>
    </row>
    <row r="1219">
      <c r="A1219" s="320"/>
      <c r="B1219" s="301"/>
      <c r="C1219" s="205"/>
      <c r="D1219" s="302"/>
      <c r="E1219" s="303"/>
      <c r="F1219" s="304"/>
      <c r="G1219" s="312"/>
      <c r="H1219" s="306"/>
      <c r="I1219" s="302"/>
      <c r="J1219" s="307"/>
      <c r="K1219" s="313"/>
      <c r="L1219" s="319"/>
      <c r="M1219" s="316"/>
      <c r="N1219" s="205"/>
      <c r="O1219" s="311"/>
      <c r="P1219" s="200"/>
      <c r="Q1219" s="200"/>
      <c r="R1219" s="58"/>
      <c r="S1219" s="58"/>
      <c r="T1219" s="58"/>
      <c r="U1219" s="58"/>
      <c r="V1219" s="58"/>
      <c r="W1219" s="58"/>
      <c r="X1219" s="58"/>
      <c r="Y1219" s="58"/>
      <c r="Z1219" s="58"/>
      <c r="AA1219" s="58"/>
      <c r="AB1219" s="58"/>
      <c r="AC1219" s="58"/>
    </row>
    <row r="1220">
      <c r="A1220" s="320"/>
      <c r="B1220" s="301"/>
      <c r="C1220" s="205"/>
      <c r="D1220" s="302"/>
      <c r="E1220" s="303"/>
      <c r="F1220" s="304"/>
      <c r="G1220" s="312"/>
      <c r="H1220" s="306"/>
      <c r="I1220" s="302"/>
      <c r="J1220" s="307"/>
      <c r="K1220" s="313"/>
      <c r="L1220" s="319"/>
      <c r="M1220" s="316"/>
      <c r="N1220" s="205"/>
      <c r="O1220" s="311"/>
      <c r="P1220" s="200"/>
      <c r="Q1220" s="200"/>
      <c r="R1220" s="58"/>
      <c r="S1220" s="58"/>
      <c r="T1220" s="58"/>
      <c r="U1220" s="58"/>
      <c r="V1220" s="58"/>
      <c r="W1220" s="58"/>
      <c r="X1220" s="58"/>
      <c r="Y1220" s="58"/>
      <c r="Z1220" s="58"/>
      <c r="AA1220" s="58"/>
      <c r="AB1220" s="58"/>
      <c r="AC1220" s="58"/>
    </row>
    <row r="1221">
      <c r="A1221" s="320"/>
      <c r="B1221" s="301"/>
      <c r="C1221" s="205"/>
      <c r="D1221" s="302"/>
      <c r="E1221" s="303"/>
      <c r="F1221" s="304"/>
      <c r="G1221" s="312"/>
      <c r="H1221" s="306"/>
      <c r="I1221" s="302"/>
      <c r="J1221" s="307"/>
      <c r="K1221" s="313"/>
      <c r="L1221" s="319"/>
      <c r="M1221" s="316"/>
      <c r="N1221" s="205"/>
      <c r="O1221" s="311"/>
      <c r="P1221" s="200"/>
      <c r="Q1221" s="200"/>
      <c r="R1221" s="58"/>
      <c r="S1221" s="58"/>
      <c r="T1221" s="58"/>
      <c r="U1221" s="58"/>
      <c r="V1221" s="58"/>
      <c r="W1221" s="58"/>
      <c r="X1221" s="58"/>
      <c r="Y1221" s="58"/>
      <c r="Z1221" s="58"/>
      <c r="AA1221" s="58"/>
      <c r="AB1221" s="58"/>
      <c r="AC1221" s="58"/>
    </row>
    <row r="1222">
      <c r="A1222" s="320"/>
      <c r="B1222" s="301"/>
      <c r="C1222" s="205"/>
      <c r="D1222" s="302"/>
      <c r="E1222" s="303"/>
      <c r="F1222" s="304"/>
      <c r="G1222" s="312"/>
      <c r="H1222" s="306"/>
      <c r="I1222" s="302"/>
      <c r="J1222" s="307"/>
      <c r="K1222" s="313"/>
      <c r="L1222" s="319"/>
      <c r="M1222" s="316"/>
      <c r="N1222" s="205"/>
      <c r="O1222" s="311"/>
      <c r="P1222" s="200"/>
      <c r="Q1222" s="200"/>
      <c r="R1222" s="58"/>
      <c r="S1222" s="58"/>
      <c r="T1222" s="58"/>
      <c r="U1222" s="58"/>
      <c r="V1222" s="58"/>
      <c r="W1222" s="58"/>
      <c r="X1222" s="58"/>
      <c r="Y1222" s="58"/>
      <c r="Z1222" s="58"/>
      <c r="AA1222" s="58"/>
      <c r="AB1222" s="58"/>
      <c r="AC1222" s="58"/>
    </row>
    <row r="1223">
      <c r="A1223" s="320"/>
      <c r="B1223" s="301"/>
      <c r="C1223" s="205"/>
      <c r="D1223" s="302"/>
      <c r="E1223" s="303"/>
      <c r="F1223" s="304"/>
      <c r="G1223" s="312"/>
      <c r="H1223" s="306"/>
      <c r="I1223" s="302"/>
      <c r="J1223" s="307"/>
      <c r="K1223" s="313"/>
      <c r="L1223" s="319"/>
      <c r="M1223" s="316"/>
      <c r="N1223" s="205"/>
      <c r="O1223" s="311"/>
      <c r="P1223" s="200"/>
      <c r="Q1223" s="200"/>
      <c r="R1223" s="58"/>
      <c r="S1223" s="58"/>
      <c r="T1223" s="58"/>
      <c r="U1223" s="58"/>
      <c r="V1223" s="58"/>
      <c r="W1223" s="58"/>
      <c r="X1223" s="58"/>
      <c r="Y1223" s="58"/>
      <c r="Z1223" s="58"/>
      <c r="AA1223" s="58"/>
      <c r="AB1223" s="58"/>
      <c r="AC1223" s="58"/>
    </row>
    <row r="1224">
      <c r="A1224" s="320"/>
      <c r="B1224" s="301"/>
      <c r="C1224" s="205"/>
      <c r="D1224" s="302"/>
      <c r="E1224" s="303"/>
      <c r="F1224" s="304"/>
      <c r="G1224" s="312"/>
      <c r="H1224" s="306"/>
      <c r="I1224" s="302"/>
      <c r="J1224" s="307"/>
      <c r="K1224" s="313"/>
      <c r="L1224" s="319"/>
      <c r="M1224" s="316"/>
      <c r="N1224" s="205"/>
      <c r="O1224" s="311"/>
      <c r="P1224" s="200"/>
      <c r="Q1224" s="200"/>
      <c r="R1224" s="58"/>
      <c r="S1224" s="58"/>
      <c r="T1224" s="58"/>
      <c r="U1224" s="58"/>
      <c r="V1224" s="58"/>
      <c r="W1224" s="58"/>
      <c r="X1224" s="58"/>
      <c r="Y1224" s="58"/>
      <c r="Z1224" s="58"/>
      <c r="AA1224" s="58"/>
      <c r="AB1224" s="58"/>
      <c r="AC1224" s="58"/>
    </row>
    <row r="1225">
      <c r="A1225" s="320"/>
      <c r="B1225" s="301"/>
      <c r="C1225" s="205"/>
      <c r="D1225" s="302"/>
      <c r="E1225" s="303"/>
      <c r="F1225" s="304"/>
      <c r="G1225" s="312"/>
      <c r="H1225" s="306"/>
      <c r="I1225" s="302"/>
      <c r="J1225" s="307"/>
      <c r="K1225" s="313"/>
      <c r="L1225" s="319"/>
      <c r="M1225" s="316"/>
      <c r="N1225" s="205"/>
      <c r="O1225" s="311"/>
      <c r="P1225" s="200"/>
      <c r="Q1225" s="200"/>
      <c r="R1225" s="58"/>
      <c r="S1225" s="58"/>
      <c r="T1225" s="58"/>
      <c r="U1225" s="58"/>
      <c r="V1225" s="58"/>
      <c r="W1225" s="58"/>
      <c r="X1225" s="58"/>
      <c r="Y1225" s="58"/>
      <c r="Z1225" s="58"/>
      <c r="AA1225" s="58"/>
      <c r="AB1225" s="58"/>
      <c r="AC1225" s="58"/>
    </row>
    <row r="1226">
      <c r="A1226" s="320"/>
      <c r="B1226" s="301"/>
      <c r="C1226" s="205"/>
      <c r="D1226" s="302"/>
      <c r="E1226" s="303"/>
      <c r="F1226" s="304"/>
      <c r="G1226" s="312"/>
      <c r="H1226" s="306"/>
      <c r="I1226" s="302"/>
      <c r="J1226" s="307"/>
      <c r="K1226" s="313"/>
      <c r="L1226" s="319"/>
      <c r="M1226" s="316"/>
      <c r="N1226" s="205"/>
      <c r="O1226" s="311"/>
      <c r="P1226" s="200"/>
      <c r="Q1226" s="200"/>
      <c r="R1226" s="58"/>
      <c r="S1226" s="58"/>
      <c r="T1226" s="58"/>
      <c r="U1226" s="58"/>
      <c r="V1226" s="58"/>
      <c r="W1226" s="58"/>
      <c r="X1226" s="58"/>
      <c r="Y1226" s="58"/>
      <c r="Z1226" s="58"/>
      <c r="AA1226" s="58"/>
      <c r="AB1226" s="58"/>
      <c r="AC1226" s="58"/>
    </row>
    <row r="1227">
      <c r="A1227" s="320"/>
      <c r="B1227" s="301"/>
      <c r="C1227" s="205"/>
      <c r="D1227" s="302"/>
      <c r="E1227" s="303"/>
      <c r="F1227" s="304"/>
      <c r="G1227" s="312"/>
      <c r="H1227" s="306"/>
      <c r="I1227" s="302"/>
      <c r="J1227" s="307"/>
      <c r="K1227" s="313"/>
      <c r="L1227" s="319"/>
      <c r="M1227" s="316"/>
      <c r="N1227" s="205"/>
      <c r="O1227" s="311"/>
      <c r="P1227" s="200"/>
      <c r="Q1227" s="200"/>
      <c r="R1227" s="58"/>
      <c r="S1227" s="58"/>
      <c r="T1227" s="58"/>
      <c r="U1227" s="58"/>
      <c r="V1227" s="58"/>
      <c r="W1227" s="58"/>
      <c r="X1227" s="58"/>
      <c r="Y1227" s="58"/>
      <c r="Z1227" s="58"/>
      <c r="AA1227" s="58"/>
      <c r="AB1227" s="58"/>
      <c r="AC1227" s="58"/>
    </row>
    <row r="1228">
      <c r="A1228" s="320"/>
      <c r="B1228" s="301"/>
      <c r="C1228" s="205"/>
      <c r="D1228" s="302"/>
      <c r="E1228" s="303"/>
      <c r="F1228" s="304"/>
      <c r="G1228" s="312"/>
      <c r="H1228" s="306"/>
      <c r="I1228" s="302"/>
      <c r="J1228" s="307"/>
      <c r="K1228" s="313"/>
      <c r="L1228" s="319"/>
      <c r="M1228" s="316"/>
      <c r="N1228" s="205"/>
      <c r="O1228" s="311"/>
      <c r="P1228" s="200"/>
      <c r="Q1228" s="200"/>
      <c r="R1228" s="58"/>
      <c r="S1228" s="58"/>
      <c r="T1228" s="58"/>
      <c r="U1228" s="58"/>
      <c r="V1228" s="58"/>
      <c r="W1228" s="58"/>
      <c r="X1228" s="58"/>
      <c r="Y1228" s="58"/>
      <c r="Z1228" s="58"/>
      <c r="AA1228" s="58"/>
      <c r="AB1228" s="58"/>
      <c r="AC1228" s="58"/>
    </row>
    <row r="1229">
      <c r="A1229" s="320"/>
      <c r="B1229" s="301"/>
      <c r="C1229" s="205"/>
      <c r="D1229" s="302"/>
      <c r="E1229" s="303"/>
      <c r="F1229" s="304"/>
      <c r="G1229" s="312"/>
      <c r="H1229" s="306"/>
      <c r="I1229" s="302"/>
      <c r="J1229" s="307"/>
      <c r="K1229" s="313"/>
      <c r="L1229" s="319"/>
      <c r="M1229" s="316"/>
      <c r="N1229" s="205"/>
      <c r="O1229" s="311"/>
      <c r="P1229" s="200"/>
      <c r="Q1229" s="200"/>
      <c r="R1229" s="58"/>
      <c r="S1229" s="58"/>
      <c r="T1229" s="58"/>
      <c r="U1229" s="58"/>
      <c r="V1229" s="58"/>
      <c r="W1229" s="58"/>
      <c r="X1229" s="58"/>
      <c r="Y1229" s="58"/>
      <c r="Z1229" s="58"/>
      <c r="AA1229" s="58"/>
      <c r="AB1229" s="58"/>
      <c r="AC1229" s="58"/>
    </row>
    <row r="1230">
      <c r="A1230" s="320"/>
      <c r="B1230" s="301"/>
      <c r="C1230" s="205"/>
      <c r="D1230" s="302"/>
      <c r="E1230" s="303"/>
      <c r="F1230" s="304"/>
      <c r="G1230" s="312"/>
      <c r="H1230" s="306"/>
      <c r="I1230" s="302"/>
      <c r="J1230" s="307"/>
      <c r="K1230" s="313"/>
      <c r="L1230" s="319"/>
      <c r="M1230" s="316"/>
      <c r="N1230" s="205"/>
      <c r="O1230" s="311"/>
      <c r="P1230" s="200"/>
      <c r="Q1230" s="200"/>
      <c r="R1230" s="58"/>
      <c r="S1230" s="58"/>
      <c r="T1230" s="58"/>
      <c r="U1230" s="58"/>
      <c r="V1230" s="58"/>
      <c r="W1230" s="58"/>
      <c r="X1230" s="58"/>
      <c r="Y1230" s="58"/>
      <c r="Z1230" s="58"/>
      <c r="AA1230" s="58"/>
      <c r="AB1230" s="58"/>
      <c r="AC1230" s="58"/>
    </row>
    <row r="1231">
      <c r="A1231" s="320"/>
      <c r="B1231" s="301"/>
      <c r="C1231" s="205"/>
      <c r="D1231" s="302"/>
      <c r="E1231" s="303"/>
      <c r="F1231" s="304"/>
      <c r="G1231" s="312"/>
      <c r="H1231" s="306"/>
      <c r="I1231" s="302"/>
      <c r="J1231" s="307"/>
      <c r="K1231" s="313"/>
      <c r="L1231" s="319"/>
      <c r="M1231" s="316"/>
      <c r="N1231" s="205"/>
      <c r="O1231" s="311"/>
      <c r="P1231" s="200"/>
      <c r="Q1231" s="200"/>
      <c r="R1231" s="58"/>
      <c r="S1231" s="58"/>
      <c r="T1231" s="58"/>
      <c r="U1231" s="58"/>
      <c r="V1231" s="58"/>
      <c r="W1231" s="58"/>
      <c r="X1231" s="58"/>
      <c r="Y1231" s="58"/>
      <c r="Z1231" s="58"/>
      <c r="AA1231" s="58"/>
      <c r="AB1231" s="58"/>
      <c r="AC1231" s="58"/>
    </row>
    <row r="1232">
      <c r="A1232" s="320"/>
      <c r="B1232" s="301"/>
      <c r="C1232" s="205"/>
      <c r="D1232" s="302"/>
      <c r="E1232" s="303"/>
      <c r="F1232" s="304"/>
      <c r="G1232" s="312"/>
      <c r="H1232" s="306"/>
      <c r="I1232" s="302"/>
      <c r="J1232" s="307"/>
      <c r="K1232" s="313"/>
      <c r="L1232" s="319"/>
      <c r="M1232" s="316"/>
      <c r="N1232" s="205"/>
      <c r="O1232" s="311"/>
      <c r="P1232" s="200"/>
      <c r="Q1232" s="200"/>
      <c r="R1232" s="58"/>
      <c r="S1232" s="58"/>
      <c r="T1232" s="58"/>
      <c r="U1232" s="58"/>
      <c r="V1232" s="58"/>
      <c r="W1232" s="58"/>
      <c r="X1232" s="58"/>
      <c r="Y1232" s="58"/>
      <c r="Z1232" s="58"/>
      <c r="AA1232" s="58"/>
      <c r="AB1232" s="58"/>
      <c r="AC1232" s="58"/>
    </row>
    <row r="1233">
      <c r="A1233" s="320"/>
      <c r="B1233" s="301"/>
      <c r="C1233" s="205"/>
      <c r="D1233" s="302"/>
      <c r="E1233" s="303"/>
      <c r="F1233" s="304"/>
      <c r="G1233" s="312"/>
      <c r="H1233" s="306"/>
      <c r="I1233" s="302"/>
      <c r="J1233" s="307"/>
      <c r="K1233" s="313"/>
      <c r="L1233" s="319"/>
      <c r="M1233" s="316"/>
      <c r="N1233" s="205"/>
      <c r="O1233" s="311"/>
      <c r="P1233" s="200"/>
      <c r="Q1233" s="200"/>
      <c r="R1233" s="58"/>
      <c r="S1233" s="58"/>
      <c r="T1233" s="58"/>
      <c r="U1233" s="58"/>
      <c r="V1233" s="58"/>
      <c r="W1233" s="58"/>
      <c r="X1233" s="58"/>
      <c r="Y1233" s="58"/>
      <c r="Z1233" s="58"/>
      <c r="AA1233" s="58"/>
      <c r="AB1233" s="58"/>
      <c r="AC1233" s="58"/>
    </row>
    <row r="1234">
      <c r="A1234" s="320"/>
      <c r="B1234" s="301"/>
      <c r="C1234" s="205"/>
      <c r="D1234" s="302"/>
      <c r="E1234" s="303"/>
      <c r="F1234" s="304"/>
      <c r="G1234" s="312"/>
      <c r="H1234" s="306"/>
      <c r="I1234" s="302"/>
      <c r="J1234" s="307"/>
      <c r="K1234" s="313"/>
      <c r="L1234" s="319"/>
      <c r="M1234" s="316"/>
      <c r="N1234" s="205"/>
      <c r="O1234" s="311"/>
      <c r="P1234" s="200"/>
      <c r="Q1234" s="200"/>
      <c r="R1234" s="58"/>
      <c r="S1234" s="58"/>
      <c r="T1234" s="58"/>
      <c r="U1234" s="58"/>
      <c r="V1234" s="58"/>
      <c r="W1234" s="58"/>
      <c r="X1234" s="58"/>
      <c r="Y1234" s="58"/>
      <c r="Z1234" s="58"/>
      <c r="AA1234" s="58"/>
      <c r="AB1234" s="58"/>
      <c r="AC1234" s="58"/>
    </row>
    <row r="1235">
      <c r="A1235" s="320"/>
      <c r="B1235" s="301"/>
      <c r="C1235" s="205"/>
      <c r="D1235" s="302"/>
      <c r="E1235" s="303"/>
      <c r="F1235" s="304"/>
      <c r="G1235" s="312"/>
      <c r="H1235" s="306"/>
      <c r="I1235" s="302"/>
      <c r="J1235" s="307"/>
      <c r="K1235" s="313"/>
      <c r="L1235" s="319"/>
      <c r="M1235" s="316"/>
      <c r="N1235" s="205"/>
      <c r="O1235" s="311"/>
      <c r="P1235" s="200"/>
      <c r="Q1235" s="200"/>
      <c r="R1235" s="58"/>
      <c r="S1235" s="58"/>
      <c r="T1235" s="58"/>
      <c r="U1235" s="58"/>
      <c r="V1235" s="58"/>
      <c r="W1235" s="58"/>
      <c r="X1235" s="58"/>
      <c r="Y1235" s="58"/>
      <c r="Z1235" s="58"/>
      <c r="AA1235" s="58"/>
      <c r="AB1235" s="58"/>
      <c r="AC1235" s="58"/>
    </row>
    <row r="1236">
      <c r="A1236" s="320"/>
      <c r="B1236" s="301"/>
      <c r="C1236" s="205"/>
      <c r="D1236" s="302"/>
      <c r="E1236" s="303"/>
      <c r="F1236" s="304"/>
      <c r="G1236" s="312"/>
      <c r="H1236" s="306"/>
      <c r="I1236" s="302"/>
      <c r="J1236" s="307"/>
      <c r="K1236" s="313"/>
      <c r="L1236" s="319"/>
      <c r="M1236" s="316"/>
      <c r="N1236" s="205"/>
      <c r="O1236" s="311"/>
      <c r="P1236" s="200"/>
      <c r="Q1236" s="200"/>
      <c r="R1236" s="58"/>
      <c r="S1236" s="58"/>
      <c r="T1236" s="58"/>
      <c r="U1236" s="58"/>
      <c r="V1236" s="58"/>
      <c r="W1236" s="58"/>
      <c r="X1236" s="58"/>
      <c r="Y1236" s="58"/>
      <c r="Z1236" s="58"/>
      <c r="AA1236" s="58"/>
      <c r="AB1236" s="58"/>
      <c r="AC1236" s="58"/>
    </row>
    <row r="1237">
      <c r="A1237" s="320"/>
      <c r="B1237" s="301"/>
      <c r="C1237" s="205"/>
      <c r="D1237" s="302"/>
      <c r="E1237" s="303"/>
      <c r="F1237" s="304"/>
      <c r="G1237" s="312"/>
      <c r="H1237" s="306"/>
      <c r="I1237" s="302"/>
      <c r="J1237" s="307"/>
      <c r="K1237" s="313"/>
      <c r="L1237" s="319"/>
      <c r="M1237" s="316"/>
      <c r="N1237" s="205"/>
      <c r="O1237" s="311"/>
      <c r="P1237" s="200"/>
      <c r="Q1237" s="200"/>
      <c r="R1237" s="58"/>
      <c r="S1237" s="58"/>
      <c r="T1237" s="58"/>
      <c r="U1237" s="58"/>
      <c r="V1237" s="58"/>
      <c r="W1237" s="58"/>
      <c r="X1237" s="58"/>
      <c r="Y1237" s="58"/>
      <c r="Z1237" s="58"/>
      <c r="AA1237" s="58"/>
      <c r="AB1237" s="58"/>
      <c r="AC1237" s="58"/>
    </row>
    <row r="1238">
      <c r="A1238" s="320"/>
      <c r="B1238" s="301"/>
      <c r="C1238" s="205"/>
      <c r="D1238" s="302"/>
      <c r="E1238" s="303"/>
      <c r="F1238" s="304"/>
      <c r="G1238" s="312"/>
      <c r="H1238" s="306"/>
      <c r="I1238" s="302"/>
      <c r="J1238" s="307"/>
      <c r="K1238" s="313"/>
      <c r="L1238" s="319"/>
      <c r="M1238" s="316"/>
      <c r="N1238" s="205"/>
      <c r="O1238" s="311"/>
      <c r="P1238" s="200"/>
      <c r="Q1238" s="200"/>
      <c r="R1238" s="58"/>
      <c r="S1238" s="58"/>
      <c r="T1238" s="58"/>
      <c r="U1238" s="58"/>
      <c r="V1238" s="58"/>
      <c r="W1238" s="58"/>
      <c r="X1238" s="58"/>
      <c r="Y1238" s="58"/>
      <c r="Z1238" s="58"/>
      <c r="AA1238" s="58"/>
      <c r="AB1238" s="58"/>
      <c r="AC1238" s="58"/>
    </row>
    <row r="1239">
      <c r="A1239" s="320"/>
      <c r="B1239" s="301"/>
      <c r="C1239" s="205"/>
      <c r="D1239" s="302"/>
      <c r="E1239" s="303"/>
      <c r="F1239" s="304"/>
      <c r="G1239" s="312"/>
      <c r="H1239" s="306"/>
      <c r="I1239" s="302"/>
      <c r="J1239" s="307"/>
      <c r="K1239" s="313"/>
      <c r="L1239" s="319"/>
      <c r="M1239" s="316"/>
      <c r="N1239" s="205"/>
      <c r="O1239" s="311"/>
      <c r="P1239" s="200"/>
      <c r="Q1239" s="200"/>
      <c r="R1239" s="58"/>
      <c r="S1239" s="58"/>
      <c r="T1239" s="58"/>
      <c r="U1239" s="58"/>
      <c r="V1239" s="58"/>
      <c r="W1239" s="58"/>
      <c r="X1239" s="58"/>
      <c r="Y1239" s="58"/>
      <c r="Z1239" s="58"/>
      <c r="AA1239" s="58"/>
      <c r="AB1239" s="58"/>
      <c r="AC1239" s="58"/>
    </row>
    <row r="1240">
      <c r="A1240" s="320"/>
      <c r="B1240" s="301"/>
      <c r="C1240" s="205"/>
      <c r="D1240" s="302"/>
      <c r="E1240" s="303"/>
      <c r="F1240" s="304"/>
      <c r="G1240" s="312"/>
      <c r="H1240" s="306"/>
      <c r="I1240" s="302"/>
      <c r="J1240" s="307"/>
      <c r="K1240" s="313"/>
      <c r="L1240" s="319"/>
      <c r="M1240" s="316"/>
      <c r="N1240" s="205"/>
      <c r="O1240" s="311"/>
      <c r="P1240" s="200"/>
      <c r="Q1240" s="200"/>
      <c r="R1240" s="58"/>
      <c r="S1240" s="58"/>
      <c r="T1240" s="58"/>
      <c r="U1240" s="58"/>
      <c r="V1240" s="58"/>
      <c r="W1240" s="58"/>
      <c r="X1240" s="58"/>
      <c r="Y1240" s="58"/>
      <c r="Z1240" s="58"/>
      <c r="AA1240" s="58"/>
      <c r="AB1240" s="58"/>
      <c r="AC1240" s="58"/>
    </row>
    <row r="1241">
      <c r="A1241" s="320"/>
      <c r="B1241" s="301"/>
      <c r="C1241" s="205"/>
      <c r="D1241" s="302"/>
      <c r="E1241" s="303"/>
      <c r="F1241" s="304"/>
      <c r="G1241" s="312"/>
      <c r="H1241" s="306"/>
      <c r="I1241" s="302"/>
      <c r="J1241" s="307"/>
      <c r="K1241" s="313"/>
      <c r="L1241" s="319"/>
      <c r="M1241" s="316"/>
      <c r="N1241" s="205"/>
      <c r="O1241" s="311"/>
      <c r="P1241" s="200"/>
      <c r="Q1241" s="200"/>
      <c r="R1241" s="58"/>
      <c r="S1241" s="58"/>
      <c r="T1241" s="58"/>
      <c r="U1241" s="58"/>
      <c r="V1241" s="58"/>
      <c r="W1241" s="58"/>
      <c r="X1241" s="58"/>
      <c r="Y1241" s="58"/>
      <c r="Z1241" s="58"/>
      <c r="AA1241" s="58"/>
      <c r="AB1241" s="58"/>
      <c r="AC1241" s="58"/>
    </row>
    <row r="1242">
      <c r="A1242" s="320"/>
      <c r="B1242" s="301"/>
      <c r="C1242" s="205"/>
      <c r="D1242" s="302"/>
      <c r="E1242" s="303"/>
      <c r="F1242" s="304"/>
      <c r="G1242" s="312"/>
      <c r="H1242" s="306"/>
      <c r="I1242" s="302"/>
      <c r="J1242" s="307"/>
      <c r="K1242" s="313"/>
      <c r="L1242" s="319"/>
      <c r="M1242" s="316"/>
      <c r="N1242" s="205"/>
      <c r="O1242" s="311"/>
      <c r="P1242" s="200"/>
      <c r="Q1242" s="200"/>
      <c r="R1242" s="58"/>
      <c r="S1242" s="58"/>
      <c r="T1242" s="58"/>
      <c r="U1242" s="58"/>
      <c r="V1242" s="58"/>
      <c r="W1242" s="58"/>
      <c r="X1242" s="58"/>
      <c r="Y1242" s="58"/>
      <c r="Z1242" s="58"/>
      <c r="AA1242" s="58"/>
      <c r="AB1242" s="58"/>
      <c r="AC1242" s="58"/>
    </row>
    <row r="1243">
      <c r="A1243" s="320"/>
      <c r="B1243" s="301"/>
      <c r="C1243" s="205"/>
      <c r="D1243" s="302"/>
      <c r="E1243" s="303"/>
      <c r="F1243" s="304"/>
      <c r="G1243" s="312"/>
      <c r="H1243" s="306"/>
      <c r="I1243" s="302"/>
      <c r="J1243" s="307"/>
      <c r="K1243" s="313"/>
      <c r="L1243" s="319"/>
      <c r="M1243" s="316"/>
      <c r="N1243" s="205"/>
      <c r="O1243" s="311"/>
      <c r="P1243" s="200"/>
      <c r="Q1243" s="200"/>
      <c r="R1243" s="58"/>
      <c r="S1243" s="58"/>
      <c r="T1243" s="58"/>
      <c r="U1243" s="58"/>
      <c r="V1243" s="58"/>
      <c r="W1243" s="58"/>
      <c r="X1243" s="58"/>
      <c r="Y1243" s="58"/>
      <c r="Z1243" s="58"/>
      <c r="AA1243" s="58"/>
      <c r="AB1243" s="58"/>
      <c r="AC1243" s="58"/>
    </row>
    <row r="1244">
      <c r="A1244" s="320"/>
      <c r="B1244" s="301"/>
      <c r="C1244" s="205"/>
      <c r="D1244" s="302"/>
      <c r="E1244" s="303"/>
      <c r="F1244" s="304"/>
      <c r="G1244" s="312"/>
      <c r="H1244" s="306"/>
      <c r="I1244" s="302"/>
      <c r="J1244" s="307"/>
      <c r="K1244" s="313"/>
      <c r="L1244" s="319"/>
      <c r="M1244" s="316"/>
      <c r="N1244" s="205"/>
      <c r="O1244" s="311"/>
      <c r="P1244" s="200"/>
      <c r="Q1244" s="200"/>
      <c r="R1244" s="58"/>
      <c r="S1244" s="58"/>
      <c r="T1244" s="58"/>
      <c r="U1244" s="58"/>
      <c r="V1244" s="58"/>
      <c r="W1244" s="58"/>
      <c r="X1244" s="58"/>
      <c r="Y1244" s="58"/>
      <c r="Z1244" s="58"/>
      <c r="AA1244" s="58"/>
      <c r="AB1244" s="58"/>
      <c r="AC1244" s="58"/>
    </row>
    <row r="1245">
      <c r="A1245" s="320"/>
      <c r="B1245" s="301"/>
      <c r="C1245" s="205"/>
      <c r="D1245" s="302"/>
      <c r="E1245" s="303"/>
      <c r="F1245" s="304"/>
      <c r="G1245" s="312"/>
      <c r="H1245" s="306"/>
      <c r="I1245" s="302"/>
      <c r="J1245" s="307"/>
      <c r="K1245" s="313"/>
      <c r="L1245" s="319"/>
      <c r="M1245" s="316"/>
      <c r="N1245" s="205"/>
      <c r="O1245" s="311"/>
      <c r="P1245" s="200"/>
      <c r="Q1245" s="200"/>
      <c r="R1245" s="58"/>
      <c r="S1245" s="58"/>
      <c r="T1245" s="58"/>
      <c r="U1245" s="58"/>
      <c r="V1245" s="58"/>
      <c r="W1245" s="58"/>
      <c r="X1245" s="58"/>
      <c r="Y1245" s="58"/>
      <c r="Z1245" s="58"/>
      <c r="AA1245" s="58"/>
      <c r="AB1245" s="58"/>
      <c r="AC1245" s="58"/>
    </row>
    <row r="1246">
      <c r="A1246" s="320"/>
      <c r="B1246" s="301"/>
      <c r="C1246" s="205"/>
      <c r="D1246" s="302"/>
      <c r="E1246" s="303"/>
      <c r="F1246" s="304"/>
      <c r="G1246" s="312"/>
      <c r="H1246" s="306"/>
      <c r="I1246" s="302"/>
      <c r="J1246" s="307"/>
      <c r="K1246" s="313"/>
      <c r="L1246" s="319"/>
      <c r="M1246" s="316"/>
      <c r="N1246" s="205"/>
      <c r="O1246" s="311"/>
      <c r="P1246" s="200"/>
      <c r="Q1246" s="200"/>
      <c r="R1246" s="58"/>
      <c r="S1246" s="58"/>
      <c r="T1246" s="58"/>
      <c r="U1246" s="58"/>
      <c r="V1246" s="58"/>
      <c r="W1246" s="58"/>
      <c r="X1246" s="58"/>
      <c r="Y1246" s="58"/>
      <c r="Z1246" s="58"/>
      <c r="AA1246" s="58"/>
      <c r="AB1246" s="58"/>
      <c r="AC1246" s="58"/>
    </row>
    <row r="1247">
      <c r="A1247" s="320"/>
      <c r="B1247" s="301"/>
      <c r="C1247" s="205"/>
      <c r="D1247" s="302"/>
      <c r="E1247" s="303"/>
      <c r="F1247" s="304"/>
      <c r="G1247" s="312"/>
      <c r="H1247" s="306"/>
      <c r="I1247" s="302"/>
      <c r="J1247" s="307"/>
      <c r="K1247" s="313"/>
      <c r="L1247" s="319"/>
      <c r="M1247" s="316"/>
      <c r="N1247" s="205"/>
      <c r="O1247" s="311"/>
      <c r="P1247" s="200"/>
      <c r="Q1247" s="200"/>
      <c r="R1247" s="58"/>
      <c r="S1247" s="58"/>
      <c r="T1247" s="58"/>
      <c r="U1247" s="58"/>
      <c r="V1247" s="58"/>
      <c r="W1247" s="58"/>
      <c r="X1247" s="58"/>
      <c r="Y1247" s="58"/>
      <c r="Z1247" s="58"/>
      <c r="AA1247" s="58"/>
      <c r="AB1247" s="58"/>
      <c r="AC1247" s="58"/>
    </row>
    <row r="1248">
      <c r="A1248" s="320"/>
      <c r="B1248" s="301"/>
      <c r="C1248" s="205"/>
      <c r="D1248" s="302"/>
      <c r="E1248" s="303"/>
      <c r="F1248" s="304"/>
      <c r="G1248" s="312"/>
      <c r="H1248" s="306"/>
      <c r="I1248" s="302"/>
      <c r="J1248" s="307"/>
      <c r="K1248" s="313"/>
      <c r="L1248" s="319"/>
      <c r="M1248" s="316"/>
      <c r="N1248" s="205"/>
      <c r="O1248" s="311"/>
      <c r="P1248" s="200"/>
      <c r="Q1248" s="200"/>
      <c r="R1248" s="58"/>
      <c r="S1248" s="58"/>
      <c r="T1248" s="58"/>
      <c r="U1248" s="58"/>
      <c r="V1248" s="58"/>
      <c r="W1248" s="58"/>
      <c r="X1248" s="58"/>
      <c r="Y1248" s="58"/>
      <c r="Z1248" s="58"/>
      <c r="AA1248" s="58"/>
      <c r="AB1248" s="58"/>
      <c r="AC1248" s="58"/>
    </row>
    <row r="1249">
      <c r="A1249" s="320"/>
      <c r="B1249" s="301"/>
      <c r="C1249" s="205"/>
      <c r="D1249" s="302"/>
      <c r="E1249" s="303"/>
      <c r="F1249" s="304"/>
      <c r="G1249" s="312"/>
      <c r="H1249" s="306"/>
      <c r="I1249" s="302"/>
      <c r="J1249" s="307"/>
      <c r="K1249" s="313"/>
      <c r="L1249" s="319"/>
      <c r="M1249" s="316"/>
      <c r="N1249" s="205"/>
      <c r="O1249" s="311"/>
      <c r="P1249" s="200"/>
      <c r="Q1249" s="200"/>
      <c r="R1249" s="58"/>
      <c r="S1249" s="58"/>
      <c r="T1249" s="58"/>
      <c r="U1249" s="58"/>
      <c r="V1249" s="58"/>
      <c r="W1249" s="58"/>
      <c r="X1249" s="58"/>
      <c r="Y1249" s="58"/>
      <c r="Z1249" s="58"/>
      <c r="AA1249" s="58"/>
      <c r="AB1249" s="58"/>
      <c r="AC1249" s="58"/>
    </row>
    <row r="1250">
      <c r="A1250" s="320"/>
      <c r="B1250" s="301"/>
      <c r="C1250" s="205"/>
      <c r="D1250" s="302"/>
      <c r="E1250" s="303"/>
      <c r="F1250" s="304"/>
      <c r="G1250" s="312"/>
      <c r="H1250" s="306"/>
      <c r="I1250" s="302"/>
      <c r="J1250" s="307"/>
      <c r="K1250" s="313"/>
      <c r="L1250" s="319"/>
      <c r="M1250" s="316"/>
      <c r="N1250" s="205"/>
      <c r="O1250" s="311"/>
      <c r="P1250" s="200"/>
      <c r="Q1250" s="200"/>
      <c r="R1250" s="58"/>
      <c r="S1250" s="58"/>
      <c r="T1250" s="58"/>
      <c r="U1250" s="58"/>
      <c r="V1250" s="58"/>
      <c r="W1250" s="58"/>
      <c r="X1250" s="58"/>
      <c r="Y1250" s="58"/>
      <c r="Z1250" s="58"/>
      <c r="AA1250" s="58"/>
      <c r="AB1250" s="58"/>
      <c r="AC1250" s="58"/>
    </row>
    <row r="1251">
      <c r="A1251" s="320"/>
      <c r="B1251" s="301"/>
      <c r="C1251" s="205"/>
      <c r="D1251" s="302"/>
      <c r="E1251" s="303"/>
      <c r="F1251" s="304"/>
      <c r="G1251" s="312"/>
      <c r="H1251" s="306"/>
      <c r="I1251" s="302"/>
      <c r="J1251" s="307"/>
      <c r="K1251" s="313"/>
      <c r="L1251" s="319"/>
      <c r="M1251" s="316"/>
      <c r="N1251" s="205"/>
      <c r="O1251" s="311"/>
      <c r="P1251" s="200"/>
      <c r="Q1251" s="200"/>
      <c r="R1251" s="58"/>
      <c r="S1251" s="58"/>
      <c r="T1251" s="58"/>
      <c r="U1251" s="58"/>
      <c r="V1251" s="58"/>
      <c r="W1251" s="58"/>
      <c r="X1251" s="58"/>
      <c r="Y1251" s="58"/>
      <c r="Z1251" s="58"/>
      <c r="AA1251" s="58"/>
      <c r="AB1251" s="58"/>
      <c r="AC1251" s="58"/>
    </row>
    <row r="1252">
      <c r="A1252" s="320"/>
      <c r="B1252" s="301"/>
      <c r="C1252" s="205"/>
      <c r="D1252" s="302"/>
      <c r="E1252" s="303"/>
      <c r="F1252" s="304"/>
      <c r="G1252" s="312"/>
      <c r="H1252" s="306"/>
      <c r="I1252" s="302"/>
      <c r="J1252" s="307"/>
      <c r="K1252" s="313"/>
      <c r="L1252" s="319"/>
      <c r="M1252" s="316"/>
      <c r="N1252" s="205"/>
      <c r="O1252" s="311"/>
      <c r="P1252" s="200"/>
      <c r="Q1252" s="200"/>
      <c r="R1252" s="58"/>
      <c r="S1252" s="58"/>
      <c r="T1252" s="58"/>
      <c r="U1252" s="58"/>
      <c r="V1252" s="58"/>
      <c r="W1252" s="58"/>
      <c r="X1252" s="58"/>
      <c r="Y1252" s="58"/>
      <c r="Z1252" s="58"/>
      <c r="AA1252" s="58"/>
      <c r="AB1252" s="58"/>
      <c r="AC1252" s="58"/>
    </row>
    <row r="1253">
      <c r="A1253" s="320"/>
      <c r="B1253" s="301"/>
      <c r="C1253" s="205"/>
      <c r="D1253" s="302"/>
      <c r="E1253" s="303"/>
      <c r="F1253" s="304"/>
      <c r="G1253" s="312"/>
      <c r="H1253" s="306"/>
      <c r="I1253" s="302"/>
      <c r="J1253" s="307"/>
      <c r="K1253" s="313"/>
      <c r="L1253" s="319"/>
      <c r="M1253" s="316"/>
      <c r="N1253" s="205"/>
      <c r="O1253" s="311"/>
      <c r="P1253" s="200"/>
      <c r="Q1253" s="200"/>
      <c r="R1253" s="58"/>
      <c r="S1253" s="58"/>
      <c r="T1253" s="58"/>
      <c r="U1253" s="58"/>
      <c r="V1253" s="58"/>
      <c r="W1253" s="58"/>
      <c r="X1253" s="58"/>
      <c r="Y1253" s="58"/>
      <c r="Z1253" s="58"/>
      <c r="AA1253" s="58"/>
      <c r="AB1253" s="58"/>
      <c r="AC1253" s="58"/>
    </row>
    <row r="1254">
      <c r="A1254" s="320"/>
      <c r="B1254" s="301"/>
      <c r="C1254" s="205"/>
      <c r="D1254" s="302"/>
      <c r="E1254" s="303"/>
      <c r="F1254" s="304"/>
      <c r="G1254" s="312"/>
      <c r="H1254" s="306"/>
      <c r="I1254" s="302"/>
      <c r="J1254" s="307"/>
      <c r="K1254" s="313"/>
      <c r="L1254" s="319"/>
      <c r="M1254" s="316"/>
      <c r="N1254" s="205"/>
      <c r="O1254" s="311"/>
      <c r="P1254" s="200"/>
      <c r="Q1254" s="200"/>
      <c r="R1254" s="58"/>
      <c r="S1254" s="58"/>
      <c r="T1254" s="58"/>
      <c r="U1254" s="58"/>
      <c r="V1254" s="58"/>
      <c r="W1254" s="58"/>
      <c r="X1254" s="58"/>
      <c r="Y1254" s="58"/>
      <c r="Z1254" s="58"/>
      <c r="AA1254" s="58"/>
      <c r="AB1254" s="58"/>
      <c r="AC1254" s="58"/>
    </row>
    <row r="1255">
      <c r="A1255" s="320"/>
      <c r="B1255" s="301"/>
      <c r="C1255" s="205"/>
      <c r="D1255" s="302"/>
      <c r="E1255" s="303"/>
      <c r="F1255" s="304"/>
      <c r="G1255" s="312"/>
      <c r="H1255" s="306"/>
      <c r="I1255" s="302"/>
      <c r="J1255" s="307"/>
      <c r="K1255" s="313"/>
      <c r="L1255" s="319"/>
      <c r="M1255" s="316"/>
      <c r="N1255" s="205"/>
      <c r="O1255" s="311"/>
      <c r="P1255" s="200"/>
      <c r="Q1255" s="200"/>
      <c r="R1255" s="58"/>
      <c r="S1255" s="58"/>
      <c r="T1255" s="58"/>
      <c r="U1255" s="58"/>
      <c r="V1255" s="58"/>
      <c r="W1255" s="58"/>
      <c r="X1255" s="58"/>
      <c r="Y1255" s="58"/>
      <c r="Z1255" s="58"/>
      <c r="AA1255" s="58"/>
      <c r="AB1255" s="58"/>
      <c r="AC1255" s="58"/>
    </row>
    <row r="1256">
      <c r="A1256" s="320"/>
      <c r="B1256" s="301"/>
      <c r="C1256" s="205"/>
      <c r="D1256" s="302"/>
      <c r="E1256" s="303"/>
      <c r="F1256" s="304"/>
      <c r="G1256" s="312"/>
      <c r="H1256" s="306"/>
      <c r="I1256" s="302"/>
      <c r="J1256" s="307"/>
      <c r="K1256" s="313"/>
      <c r="L1256" s="319"/>
      <c r="M1256" s="316"/>
      <c r="N1256" s="205"/>
      <c r="O1256" s="311"/>
      <c r="P1256" s="200"/>
      <c r="Q1256" s="200"/>
      <c r="R1256" s="58"/>
      <c r="S1256" s="58"/>
      <c r="T1256" s="58"/>
      <c r="U1256" s="58"/>
      <c r="V1256" s="58"/>
      <c r="W1256" s="58"/>
      <c r="X1256" s="58"/>
      <c r="Y1256" s="58"/>
      <c r="Z1256" s="58"/>
      <c r="AA1256" s="58"/>
      <c r="AB1256" s="58"/>
      <c r="AC1256" s="58"/>
    </row>
    <row r="1257">
      <c r="A1257" s="320"/>
      <c r="B1257" s="301"/>
      <c r="C1257" s="205"/>
      <c r="D1257" s="302"/>
      <c r="E1257" s="303"/>
      <c r="F1257" s="304"/>
      <c r="G1257" s="312"/>
      <c r="H1257" s="306"/>
      <c r="I1257" s="302"/>
      <c r="J1257" s="307"/>
      <c r="K1257" s="313"/>
      <c r="L1257" s="319"/>
      <c r="M1257" s="316"/>
      <c r="N1257" s="205"/>
      <c r="O1257" s="311"/>
      <c r="P1257" s="200"/>
      <c r="Q1257" s="200"/>
      <c r="R1257" s="58"/>
      <c r="S1257" s="58"/>
      <c r="T1257" s="58"/>
      <c r="U1257" s="58"/>
      <c r="V1257" s="58"/>
      <c r="W1257" s="58"/>
      <c r="X1257" s="58"/>
      <c r="Y1257" s="58"/>
      <c r="Z1257" s="58"/>
      <c r="AA1257" s="58"/>
      <c r="AB1257" s="58"/>
      <c r="AC1257" s="58"/>
    </row>
    <row r="1258">
      <c r="A1258" s="320"/>
      <c r="B1258" s="301"/>
      <c r="C1258" s="205"/>
      <c r="D1258" s="302"/>
      <c r="E1258" s="303"/>
      <c r="F1258" s="304"/>
      <c r="G1258" s="312"/>
      <c r="H1258" s="306"/>
      <c r="I1258" s="302"/>
      <c r="J1258" s="307"/>
      <c r="K1258" s="313"/>
      <c r="L1258" s="319"/>
      <c r="M1258" s="316"/>
      <c r="N1258" s="205"/>
      <c r="O1258" s="311"/>
      <c r="P1258" s="200"/>
      <c r="Q1258" s="200"/>
      <c r="R1258" s="58"/>
      <c r="S1258" s="58"/>
      <c r="T1258" s="58"/>
      <c r="U1258" s="58"/>
      <c r="V1258" s="58"/>
      <c r="W1258" s="58"/>
      <c r="X1258" s="58"/>
      <c r="Y1258" s="58"/>
      <c r="Z1258" s="58"/>
      <c r="AA1258" s="58"/>
      <c r="AB1258" s="58"/>
      <c r="AC1258" s="58"/>
    </row>
    <row r="1259">
      <c r="A1259" s="320"/>
      <c r="B1259" s="301"/>
      <c r="C1259" s="205"/>
      <c r="D1259" s="302"/>
      <c r="E1259" s="303"/>
      <c r="F1259" s="304"/>
      <c r="G1259" s="312"/>
      <c r="H1259" s="306"/>
      <c r="I1259" s="302"/>
      <c r="J1259" s="307"/>
      <c r="K1259" s="313"/>
      <c r="L1259" s="319"/>
      <c r="M1259" s="316"/>
      <c r="N1259" s="205"/>
      <c r="O1259" s="311"/>
      <c r="P1259" s="200"/>
      <c r="Q1259" s="200"/>
      <c r="R1259" s="58"/>
      <c r="S1259" s="58"/>
      <c r="T1259" s="58"/>
      <c r="U1259" s="58"/>
      <c r="V1259" s="58"/>
      <c r="W1259" s="58"/>
      <c r="X1259" s="58"/>
      <c r="Y1259" s="58"/>
      <c r="Z1259" s="58"/>
      <c r="AA1259" s="58"/>
      <c r="AB1259" s="58"/>
      <c r="AC1259" s="58"/>
    </row>
    <row r="1260">
      <c r="A1260" s="320"/>
      <c r="B1260" s="301"/>
      <c r="C1260" s="205"/>
      <c r="D1260" s="302"/>
      <c r="E1260" s="303"/>
      <c r="F1260" s="304"/>
      <c r="G1260" s="312"/>
      <c r="H1260" s="306"/>
      <c r="I1260" s="302"/>
      <c r="J1260" s="307"/>
      <c r="K1260" s="313"/>
      <c r="L1260" s="319"/>
      <c r="M1260" s="316"/>
      <c r="N1260" s="205"/>
      <c r="O1260" s="311"/>
      <c r="P1260" s="200"/>
      <c r="Q1260" s="200"/>
      <c r="R1260" s="58"/>
      <c r="S1260" s="58"/>
      <c r="T1260" s="58"/>
      <c r="U1260" s="58"/>
      <c r="V1260" s="58"/>
      <c r="W1260" s="58"/>
      <c r="X1260" s="58"/>
      <c r="Y1260" s="58"/>
      <c r="Z1260" s="58"/>
      <c r="AA1260" s="58"/>
      <c r="AB1260" s="58"/>
      <c r="AC1260" s="58"/>
    </row>
    <row r="1261">
      <c r="A1261" s="320"/>
      <c r="B1261" s="301"/>
      <c r="C1261" s="205"/>
      <c r="D1261" s="302"/>
      <c r="E1261" s="303"/>
      <c r="F1261" s="304"/>
      <c r="G1261" s="312"/>
      <c r="H1261" s="306"/>
      <c r="I1261" s="302"/>
      <c r="J1261" s="307"/>
      <c r="K1261" s="313"/>
      <c r="L1261" s="319"/>
      <c r="M1261" s="316"/>
      <c r="N1261" s="205"/>
      <c r="O1261" s="311"/>
      <c r="P1261" s="200"/>
      <c r="Q1261" s="200"/>
      <c r="R1261" s="58"/>
      <c r="S1261" s="58"/>
      <c r="T1261" s="58"/>
      <c r="U1261" s="58"/>
      <c r="V1261" s="58"/>
      <c r="W1261" s="58"/>
      <c r="X1261" s="58"/>
      <c r="Y1261" s="58"/>
      <c r="Z1261" s="58"/>
      <c r="AA1261" s="58"/>
      <c r="AB1261" s="58"/>
      <c r="AC1261" s="58"/>
    </row>
    <row r="1262">
      <c r="A1262" s="320"/>
      <c r="B1262" s="301"/>
      <c r="C1262" s="205"/>
      <c r="D1262" s="302"/>
      <c r="E1262" s="303"/>
      <c r="F1262" s="304"/>
      <c r="G1262" s="312"/>
      <c r="H1262" s="306"/>
      <c r="I1262" s="302"/>
      <c r="J1262" s="307"/>
      <c r="K1262" s="313"/>
      <c r="L1262" s="319"/>
      <c r="M1262" s="316"/>
      <c r="N1262" s="205"/>
      <c r="O1262" s="311"/>
      <c r="P1262" s="200"/>
      <c r="Q1262" s="200"/>
      <c r="R1262" s="58"/>
      <c r="S1262" s="58"/>
      <c r="T1262" s="58"/>
      <c r="U1262" s="58"/>
      <c r="V1262" s="58"/>
      <c r="W1262" s="58"/>
      <c r="X1262" s="58"/>
      <c r="Y1262" s="58"/>
      <c r="Z1262" s="58"/>
      <c r="AA1262" s="58"/>
      <c r="AB1262" s="58"/>
      <c r="AC1262" s="58"/>
    </row>
    <row r="1263">
      <c r="A1263" s="320"/>
      <c r="B1263" s="301"/>
      <c r="C1263" s="205"/>
      <c r="D1263" s="302"/>
      <c r="E1263" s="303"/>
      <c r="F1263" s="304"/>
      <c r="G1263" s="312"/>
      <c r="H1263" s="306"/>
      <c r="I1263" s="302"/>
      <c r="J1263" s="307"/>
      <c r="K1263" s="313"/>
      <c r="L1263" s="319"/>
      <c r="M1263" s="316"/>
      <c r="N1263" s="205"/>
      <c r="O1263" s="311"/>
      <c r="P1263" s="200"/>
      <c r="Q1263" s="200"/>
      <c r="R1263" s="58"/>
      <c r="S1263" s="58"/>
      <c r="T1263" s="58"/>
      <c r="U1263" s="58"/>
      <c r="V1263" s="58"/>
      <c r="W1263" s="58"/>
      <c r="X1263" s="58"/>
      <c r="Y1263" s="58"/>
      <c r="Z1263" s="58"/>
      <c r="AA1263" s="58"/>
      <c r="AB1263" s="58"/>
      <c r="AC1263" s="58"/>
    </row>
    <row r="1264">
      <c r="A1264" s="320"/>
      <c r="B1264" s="301"/>
      <c r="C1264" s="205"/>
      <c r="D1264" s="302"/>
      <c r="E1264" s="303"/>
      <c r="F1264" s="304"/>
      <c r="G1264" s="312"/>
      <c r="H1264" s="306"/>
      <c r="I1264" s="302"/>
      <c r="J1264" s="307"/>
      <c r="K1264" s="313"/>
      <c r="L1264" s="319"/>
      <c r="M1264" s="316"/>
      <c r="N1264" s="205"/>
      <c r="O1264" s="311"/>
      <c r="P1264" s="200"/>
      <c r="Q1264" s="200"/>
      <c r="R1264" s="58"/>
      <c r="S1264" s="58"/>
      <c r="T1264" s="58"/>
      <c r="U1264" s="58"/>
      <c r="V1264" s="58"/>
      <c r="W1264" s="58"/>
      <c r="X1264" s="58"/>
      <c r="Y1264" s="58"/>
      <c r="Z1264" s="58"/>
      <c r="AA1264" s="58"/>
      <c r="AB1264" s="58"/>
      <c r="AC1264" s="58"/>
    </row>
    <row r="1265">
      <c r="A1265" s="320"/>
      <c r="B1265" s="301"/>
      <c r="C1265" s="205"/>
      <c r="D1265" s="302"/>
      <c r="E1265" s="303"/>
      <c r="F1265" s="304"/>
      <c r="G1265" s="312"/>
      <c r="H1265" s="306"/>
      <c r="I1265" s="302"/>
      <c r="J1265" s="307"/>
      <c r="K1265" s="313"/>
      <c r="L1265" s="319"/>
      <c r="M1265" s="316"/>
      <c r="N1265" s="205"/>
      <c r="O1265" s="311"/>
      <c r="P1265" s="200"/>
      <c r="Q1265" s="200"/>
      <c r="R1265" s="58"/>
      <c r="S1265" s="58"/>
      <c r="T1265" s="58"/>
      <c r="U1265" s="58"/>
      <c r="V1265" s="58"/>
      <c r="W1265" s="58"/>
      <c r="X1265" s="58"/>
      <c r="Y1265" s="58"/>
      <c r="Z1265" s="58"/>
      <c r="AA1265" s="58"/>
      <c r="AB1265" s="58"/>
      <c r="AC1265" s="58"/>
    </row>
    <row r="1266">
      <c r="A1266" s="320"/>
      <c r="B1266" s="301"/>
      <c r="C1266" s="205"/>
      <c r="D1266" s="302"/>
      <c r="E1266" s="303"/>
      <c r="F1266" s="304"/>
      <c r="G1266" s="312"/>
      <c r="H1266" s="306"/>
      <c r="I1266" s="302"/>
      <c r="J1266" s="307"/>
      <c r="K1266" s="313"/>
      <c r="L1266" s="319"/>
      <c r="M1266" s="316"/>
      <c r="N1266" s="205"/>
      <c r="O1266" s="311"/>
      <c r="P1266" s="200"/>
      <c r="Q1266" s="200"/>
      <c r="R1266" s="58"/>
      <c r="S1266" s="58"/>
      <c r="T1266" s="58"/>
      <c r="U1266" s="58"/>
      <c r="V1266" s="58"/>
      <c r="W1266" s="58"/>
      <c r="X1266" s="58"/>
      <c r="Y1266" s="58"/>
      <c r="Z1266" s="58"/>
      <c r="AA1266" s="58"/>
      <c r="AB1266" s="58"/>
      <c r="AC1266" s="58"/>
    </row>
    <row r="1267">
      <c r="A1267" s="320"/>
      <c r="B1267" s="301"/>
      <c r="C1267" s="205"/>
      <c r="D1267" s="302"/>
      <c r="E1267" s="303"/>
      <c r="F1267" s="304"/>
      <c r="G1267" s="312"/>
      <c r="H1267" s="306"/>
      <c r="I1267" s="302"/>
      <c r="J1267" s="307"/>
      <c r="K1267" s="313"/>
      <c r="L1267" s="319"/>
      <c r="M1267" s="316"/>
      <c r="N1267" s="205"/>
      <c r="O1267" s="311"/>
      <c r="P1267" s="200"/>
      <c r="Q1267" s="200"/>
      <c r="R1267" s="58"/>
      <c r="S1267" s="58"/>
      <c r="T1267" s="58"/>
      <c r="U1267" s="58"/>
      <c r="V1267" s="58"/>
      <c r="W1267" s="58"/>
      <c r="X1267" s="58"/>
      <c r="Y1267" s="58"/>
      <c r="Z1267" s="58"/>
      <c r="AA1267" s="58"/>
      <c r="AB1267" s="58"/>
      <c r="AC1267" s="58"/>
    </row>
    <row r="1268">
      <c r="A1268" s="320"/>
      <c r="B1268" s="301"/>
      <c r="C1268" s="205"/>
      <c r="D1268" s="302"/>
      <c r="E1268" s="303"/>
      <c r="F1268" s="304"/>
      <c r="G1268" s="312"/>
      <c r="H1268" s="306"/>
      <c r="I1268" s="302"/>
      <c r="J1268" s="307"/>
      <c r="K1268" s="313"/>
      <c r="L1268" s="319"/>
      <c r="M1268" s="316"/>
      <c r="N1268" s="205"/>
      <c r="O1268" s="311"/>
      <c r="P1268" s="200"/>
      <c r="Q1268" s="200"/>
      <c r="R1268" s="58"/>
      <c r="S1268" s="58"/>
      <c r="T1268" s="58"/>
      <c r="U1268" s="58"/>
      <c r="V1268" s="58"/>
      <c r="W1268" s="58"/>
      <c r="X1268" s="58"/>
      <c r="Y1268" s="58"/>
      <c r="Z1268" s="58"/>
      <c r="AA1268" s="58"/>
      <c r="AB1268" s="58"/>
      <c r="AC1268" s="58"/>
    </row>
    <row r="1269">
      <c r="A1269" s="320"/>
      <c r="B1269" s="301"/>
      <c r="C1269" s="205"/>
      <c r="D1269" s="302"/>
      <c r="E1269" s="303"/>
      <c r="F1269" s="304"/>
      <c r="G1269" s="312"/>
      <c r="H1269" s="306"/>
      <c r="I1269" s="302"/>
      <c r="J1269" s="307"/>
      <c r="K1269" s="313"/>
      <c r="L1269" s="319"/>
      <c r="M1269" s="316"/>
      <c r="N1269" s="205"/>
      <c r="O1269" s="311"/>
      <c r="P1269" s="200"/>
      <c r="Q1269" s="200"/>
      <c r="R1269" s="58"/>
      <c r="S1269" s="58"/>
      <c r="T1269" s="58"/>
      <c r="U1269" s="58"/>
      <c r="V1269" s="58"/>
      <c r="W1269" s="58"/>
      <c r="X1269" s="58"/>
      <c r="Y1269" s="58"/>
      <c r="Z1269" s="58"/>
      <c r="AA1269" s="58"/>
      <c r="AB1269" s="58"/>
      <c r="AC1269" s="58"/>
    </row>
    <row r="1270">
      <c r="A1270" s="320"/>
      <c r="B1270" s="301"/>
      <c r="C1270" s="205"/>
      <c r="D1270" s="302"/>
      <c r="E1270" s="303"/>
      <c r="F1270" s="304"/>
      <c r="G1270" s="312"/>
      <c r="H1270" s="306"/>
      <c r="I1270" s="302"/>
      <c r="J1270" s="307"/>
      <c r="K1270" s="313"/>
      <c r="L1270" s="319"/>
      <c r="M1270" s="316"/>
      <c r="N1270" s="205"/>
      <c r="O1270" s="311"/>
      <c r="P1270" s="200"/>
      <c r="Q1270" s="200"/>
      <c r="R1270" s="58"/>
      <c r="S1270" s="58"/>
      <c r="T1270" s="58"/>
      <c r="U1270" s="58"/>
      <c r="V1270" s="58"/>
      <c r="W1270" s="58"/>
      <c r="X1270" s="58"/>
      <c r="Y1270" s="58"/>
      <c r="Z1270" s="58"/>
      <c r="AA1270" s="58"/>
      <c r="AB1270" s="58"/>
      <c r="AC1270" s="58"/>
    </row>
    <row r="1271">
      <c r="A1271" s="320"/>
      <c r="B1271" s="301"/>
      <c r="C1271" s="205"/>
      <c r="D1271" s="302"/>
      <c r="E1271" s="303"/>
      <c r="F1271" s="304"/>
      <c r="G1271" s="312"/>
      <c r="H1271" s="306"/>
      <c r="I1271" s="302"/>
      <c r="J1271" s="307"/>
      <c r="K1271" s="313"/>
      <c r="L1271" s="319"/>
      <c r="M1271" s="316"/>
      <c r="N1271" s="205"/>
      <c r="O1271" s="311"/>
      <c r="P1271" s="200"/>
      <c r="Q1271" s="200"/>
      <c r="R1271" s="58"/>
      <c r="S1271" s="58"/>
      <c r="T1271" s="58"/>
      <c r="U1271" s="58"/>
      <c r="V1271" s="58"/>
      <c r="W1271" s="58"/>
      <c r="X1271" s="58"/>
      <c r="Y1271" s="58"/>
      <c r="Z1271" s="58"/>
      <c r="AA1271" s="58"/>
      <c r="AB1271" s="58"/>
      <c r="AC1271" s="58"/>
    </row>
    <row r="1272">
      <c r="A1272" s="320"/>
      <c r="B1272" s="301"/>
      <c r="C1272" s="205"/>
      <c r="D1272" s="302"/>
      <c r="E1272" s="303"/>
      <c r="F1272" s="304"/>
      <c r="G1272" s="312"/>
      <c r="H1272" s="306"/>
      <c r="I1272" s="302"/>
      <c r="J1272" s="307"/>
      <c r="K1272" s="313"/>
      <c r="L1272" s="319"/>
      <c r="M1272" s="316"/>
      <c r="N1272" s="205"/>
      <c r="O1272" s="311"/>
      <c r="P1272" s="200"/>
      <c r="Q1272" s="200"/>
      <c r="R1272" s="58"/>
      <c r="S1272" s="58"/>
      <c r="T1272" s="58"/>
      <c r="U1272" s="58"/>
      <c r="V1272" s="58"/>
      <c r="W1272" s="58"/>
      <c r="X1272" s="58"/>
      <c r="Y1272" s="58"/>
      <c r="Z1272" s="58"/>
      <c r="AA1272" s="58"/>
      <c r="AB1272" s="58"/>
      <c r="AC1272" s="58"/>
    </row>
    <row r="1273">
      <c r="A1273" s="320"/>
      <c r="B1273" s="301"/>
      <c r="C1273" s="205"/>
      <c r="D1273" s="302"/>
      <c r="E1273" s="303"/>
      <c r="F1273" s="304"/>
      <c r="G1273" s="312"/>
      <c r="H1273" s="306"/>
      <c r="I1273" s="302"/>
      <c r="J1273" s="307"/>
      <c r="K1273" s="313"/>
      <c r="L1273" s="319"/>
      <c r="M1273" s="316"/>
      <c r="N1273" s="205"/>
      <c r="O1273" s="311"/>
      <c r="P1273" s="200"/>
      <c r="Q1273" s="200"/>
      <c r="R1273" s="58"/>
      <c r="S1273" s="58"/>
      <c r="T1273" s="58"/>
      <c r="U1273" s="58"/>
      <c r="V1273" s="58"/>
      <c r="W1273" s="58"/>
      <c r="X1273" s="58"/>
      <c r="Y1273" s="58"/>
      <c r="Z1273" s="58"/>
      <c r="AA1273" s="58"/>
      <c r="AB1273" s="58"/>
      <c r="AC1273" s="58"/>
    </row>
    <row r="1274">
      <c r="A1274" s="320"/>
      <c r="B1274" s="301"/>
      <c r="C1274" s="205"/>
      <c r="D1274" s="302"/>
      <c r="E1274" s="303"/>
      <c r="F1274" s="304"/>
      <c r="G1274" s="312"/>
      <c r="H1274" s="306"/>
      <c r="I1274" s="302"/>
      <c r="J1274" s="307"/>
      <c r="K1274" s="313"/>
      <c r="L1274" s="319"/>
      <c r="M1274" s="316"/>
      <c r="N1274" s="205"/>
      <c r="O1274" s="311"/>
      <c r="P1274" s="200"/>
      <c r="Q1274" s="200"/>
      <c r="R1274" s="58"/>
      <c r="S1274" s="58"/>
      <c r="T1274" s="58"/>
      <c r="U1274" s="58"/>
      <c r="V1274" s="58"/>
      <c r="W1274" s="58"/>
      <c r="X1274" s="58"/>
      <c r="Y1274" s="58"/>
      <c r="Z1274" s="58"/>
      <c r="AA1274" s="58"/>
      <c r="AB1274" s="58"/>
      <c r="AC1274" s="58"/>
    </row>
    <row r="1275">
      <c r="A1275" s="320"/>
      <c r="B1275" s="301"/>
      <c r="C1275" s="205"/>
      <c r="D1275" s="302"/>
      <c r="E1275" s="303"/>
      <c r="F1275" s="304"/>
      <c r="G1275" s="312"/>
      <c r="H1275" s="306"/>
      <c r="I1275" s="302"/>
      <c r="J1275" s="307"/>
      <c r="K1275" s="313"/>
      <c r="L1275" s="319"/>
      <c r="M1275" s="316"/>
      <c r="N1275" s="205"/>
      <c r="O1275" s="311"/>
      <c r="P1275" s="200"/>
      <c r="Q1275" s="200"/>
      <c r="R1275" s="58"/>
      <c r="S1275" s="58"/>
      <c r="T1275" s="58"/>
      <c r="U1275" s="58"/>
      <c r="V1275" s="58"/>
      <c r="W1275" s="58"/>
      <c r="X1275" s="58"/>
      <c r="Y1275" s="58"/>
      <c r="Z1275" s="58"/>
      <c r="AA1275" s="58"/>
      <c r="AB1275" s="58"/>
      <c r="AC1275" s="58"/>
    </row>
    <row r="1276">
      <c r="A1276" s="320"/>
      <c r="B1276" s="301"/>
      <c r="C1276" s="205"/>
      <c r="D1276" s="302"/>
      <c r="E1276" s="303"/>
      <c r="F1276" s="304"/>
      <c r="G1276" s="312"/>
      <c r="H1276" s="306"/>
      <c r="I1276" s="302"/>
      <c r="J1276" s="307"/>
      <c r="K1276" s="313"/>
      <c r="L1276" s="319"/>
      <c r="M1276" s="316"/>
      <c r="N1276" s="205"/>
      <c r="O1276" s="311"/>
      <c r="P1276" s="200"/>
      <c r="Q1276" s="200"/>
      <c r="R1276" s="58"/>
      <c r="S1276" s="58"/>
      <c r="T1276" s="58"/>
      <c r="U1276" s="58"/>
      <c r="V1276" s="58"/>
      <c r="W1276" s="58"/>
      <c r="X1276" s="58"/>
      <c r="Y1276" s="58"/>
      <c r="Z1276" s="58"/>
      <c r="AA1276" s="58"/>
      <c r="AB1276" s="58"/>
      <c r="AC1276" s="58"/>
    </row>
    <row r="1277">
      <c r="A1277" s="320"/>
      <c r="B1277" s="301"/>
      <c r="C1277" s="205"/>
      <c r="D1277" s="302"/>
      <c r="E1277" s="303"/>
      <c r="F1277" s="304"/>
      <c r="G1277" s="312"/>
      <c r="H1277" s="306"/>
      <c r="I1277" s="302"/>
      <c r="J1277" s="307"/>
      <c r="K1277" s="313"/>
      <c r="L1277" s="319"/>
      <c r="M1277" s="316"/>
      <c r="N1277" s="205"/>
      <c r="O1277" s="311"/>
      <c r="P1277" s="200"/>
      <c r="Q1277" s="200"/>
      <c r="R1277" s="58"/>
      <c r="S1277" s="58"/>
      <c r="T1277" s="58"/>
      <c r="U1277" s="58"/>
      <c r="V1277" s="58"/>
      <c r="W1277" s="58"/>
      <c r="X1277" s="58"/>
      <c r="Y1277" s="58"/>
      <c r="Z1277" s="58"/>
      <c r="AA1277" s="58"/>
      <c r="AB1277" s="58"/>
      <c r="AC1277" s="58"/>
    </row>
    <row r="1278">
      <c r="A1278" s="320"/>
      <c r="B1278" s="301"/>
      <c r="C1278" s="205"/>
      <c r="D1278" s="302"/>
      <c r="E1278" s="303"/>
      <c r="F1278" s="304"/>
      <c r="G1278" s="312"/>
      <c r="H1278" s="306"/>
      <c r="I1278" s="302"/>
      <c r="J1278" s="307"/>
      <c r="K1278" s="313"/>
      <c r="L1278" s="319"/>
      <c r="M1278" s="316"/>
      <c r="N1278" s="205"/>
      <c r="O1278" s="311"/>
      <c r="P1278" s="200"/>
      <c r="Q1278" s="200"/>
      <c r="R1278" s="58"/>
      <c r="S1278" s="58"/>
      <c r="T1278" s="58"/>
      <c r="U1278" s="58"/>
      <c r="V1278" s="58"/>
      <c r="W1278" s="58"/>
      <c r="X1278" s="58"/>
      <c r="Y1278" s="58"/>
      <c r="Z1278" s="58"/>
      <c r="AA1278" s="58"/>
      <c r="AB1278" s="58"/>
      <c r="AC1278" s="58"/>
    </row>
    <row r="1279">
      <c r="A1279" s="320"/>
      <c r="B1279" s="301"/>
      <c r="C1279" s="205"/>
      <c r="D1279" s="302"/>
      <c r="E1279" s="303"/>
      <c r="F1279" s="304"/>
      <c r="G1279" s="312"/>
      <c r="H1279" s="306"/>
      <c r="I1279" s="302"/>
      <c r="J1279" s="307"/>
      <c r="K1279" s="313"/>
      <c r="L1279" s="319"/>
      <c r="M1279" s="316"/>
      <c r="N1279" s="205"/>
      <c r="O1279" s="311"/>
      <c r="P1279" s="200"/>
      <c r="Q1279" s="200"/>
      <c r="R1279" s="58"/>
      <c r="S1279" s="58"/>
      <c r="T1279" s="58"/>
      <c r="U1279" s="58"/>
      <c r="V1279" s="58"/>
      <c r="W1279" s="58"/>
      <c r="X1279" s="58"/>
      <c r="Y1279" s="58"/>
      <c r="Z1279" s="58"/>
      <c r="AA1279" s="58"/>
      <c r="AB1279" s="58"/>
      <c r="AC1279" s="58"/>
    </row>
    <row r="1280">
      <c r="A1280" s="320"/>
      <c r="B1280" s="301"/>
      <c r="C1280" s="205"/>
      <c r="D1280" s="302"/>
      <c r="E1280" s="303"/>
      <c r="F1280" s="304"/>
      <c r="G1280" s="312"/>
      <c r="H1280" s="306"/>
      <c r="I1280" s="302"/>
      <c r="J1280" s="307"/>
      <c r="K1280" s="313"/>
      <c r="L1280" s="319"/>
      <c r="M1280" s="316"/>
      <c r="N1280" s="205"/>
      <c r="O1280" s="311"/>
      <c r="P1280" s="200"/>
      <c r="Q1280" s="200"/>
      <c r="R1280" s="58"/>
      <c r="S1280" s="58"/>
      <c r="T1280" s="58"/>
      <c r="U1280" s="58"/>
      <c r="V1280" s="58"/>
      <c r="W1280" s="58"/>
      <c r="X1280" s="58"/>
      <c r="Y1280" s="58"/>
      <c r="Z1280" s="58"/>
      <c r="AA1280" s="58"/>
      <c r="AB1280" s="58"/>
      <c r="AC1280" s="58"/>
    </row>
    <row r="1281">
      <c r="A1281" s="320"/>
      <c r="B1281" s="301"/>
      <c r="C1281" s="205"/>
      <c r="D1281" s="302"/>
      <c r="E1281" s="303"/>
      <c r="F1281" s="304"/>
      <c r="G1281" s="312"/>
      <c r="H1281" s="306"/>
      <c r="I1281" s="302"/>
      <c r="J1281" s="307"/>
      <c r="K1281" s="313"/>
      <c r="L1281" s="319"/>
      <c r="M1281" s="316"/>
      <c r="N1281" s="205"/>
      <c r="O1281" s="311"/>
      <c r="P1281" s="200"/>
      <c r="Q1281" s="200"/>
      <c r="R1281" s="58"/>
      <c r="S1281" s="58"/>
      <c r="T1281" s="58"/>
      <c r="U1281" s="58"/>
      <c r="V1281" s="58"/>
      <c r="W1281" s="58"/>
      <c r="X1281" s="58"/>
      <c r="Y1281" s="58"/>
      <c r="Z1281" s="58"/>
      <c r="AA1281" s="58"/>
      <c r="AB1281" s="58"/>
      <c r="AC1281" s="58"/>
    </row>
    <row r="1282">
      <c r="A1282" s="320"/>
      <c r="B1282" s="301"/>
      <c r="C1282" s="205"/>
      <c r="D1282" s="302"/>
      <c r="E1282" s="303"/>
      <c r="F1282" s="304"/>
      <c r="G1282" s="312"/>
      <c r="H1282" s="306"/>
      <c r="I1282" s="302"/>
      <c r="J1282" s="307"/>
      <c r="K1282" s="313"/>
      <c r="L1282" s="319"/>
      <c r="M1282" s="316"/>
      <c r="N1282" s="205"/>
      <c r="O1282" s="311"/>
      <c r="P1282" s="200"/>
      <c r="Q1282" s="200"/>
      <c r="R1282" s="58"/>
      <c r="S1282" s="58"/>
      <c r="T1282" s="58"/>
      <c r="U1282" s="58"/>
      <c r="V1282" s="58"/>
      <c r="W1282" s="58"/>
      <c r="X1282" s="58"/>
      <c r="Y1282" s="58"/>
      <c r="Z1282" s="58"/>
      <c r="AA1282" s="58"/>
      <c r="AB1282" s="58"/>
      <c r="AC1282" s="58"/>
    </row>
    <row r="1283">
      <c r="A1283" s="320"/>
      <c r="B1283" s="301"/>
      <c r="C1283" s="205"/>
      <c r="D1283" s="302"/>
      <c r="E1283" s="303"/>
      <c r="F1283" s="304"/>
      <c r="G1283" s="312"/>
      <c r="H1283" s="306"/>
      <c r="I1283" s="302"/>
      <c r="J1283" s="307"/>
      <c r="K1283" s="313"/>
      <c r="L1283" s="319"/>
      <c r="M1283" s="316"/>
      <c r="N1283" s="205"/>
      <c r="O1283" s="311"/>
      <c r="P1283" s="200"/>
      <c r="Q1283" s="200"/>
      <c r="R1283" s="58"/>
      <c r="S1283" s="58"/>
      <c r="T1283" s="58"/>
      <c r="U1283" s="58"/>
      <c r="V1283" s="58"/>
      <c r="W1283" s="58"/>
      <c r="X1283" s="58"/>
      <c r="Y1283" s="58"/>
      <c r="Z1283" s="58"/>
      <c r="AA1283" s="58"/>
      <c r="AB1283" s="58"/>
      <c r="AC1283" s="58"/>
    </row>
    <row r="1284">
      <c r="A1284" s="320"/>
      <c r="B1284" s="301"/>
      <c r="C1284" s="205"/>
      <c r="D1284" s="302"/>
      <c r="E1284" s="303"/>
      <c r="F1284" s="304"/>
      <c r="G1284" s="312"/>
      <c r="H1284" s="306"/>
      <c r="I1284" s="302"/>
      <c r="J1284" s="307"/>
      <c r="K1284" s="313"/>
      <c r="L1284" s="319"/>
      <c r="M1284" s="316"/>
      <c r="N1284" s="205"/>
      <c r="O1284" s="311"/>
      <c r="P1284" s="200"/>
      <c r="Q1284" s="200"/>
      <c r="R1284" s="58"/>
      <c r="S1284" s="58"/>
      <c r="T1284" s="58"/>
      <c r="U1284" s="58"/>
      <c r="V1284" s="58"/>
      <c r="W1284" s="58"/>
      <c r="X1284" s="58"/>
      <c r="Y1284" s="58"/>
      <c r="Z1284" s="58"/>
      <c r="AA1284" s="58"/>
      <c r="AB1284" s="58"/>
      <c r="AC1284" s="58"/>
    </row>
    <row r="1285">
      <c r="A1285" s="320"/>
      <c r="B1285" s="301"/>
      <c r="C1285" s="205"/>
      <c r="D1285" s="302"/>
      <c r="E1285" s="303"/>
      <c r="F1285" s="304"/>
      <c r="G1285" s="312"/>
      <c r="H1285" s="306"/>
      <c r="I1285" s="302"/>
      <c r="J1285" s="307"/>
      <c r="K1285" s="313"/>
      <c r="L1285" s="319"/>
      <c r="M1285" s="316"/>
      <c r="N1285" s="205"/>
      <c r="O1285" s="311"/>
      <c r="P1285" s="200"/>
      <c r="Q1285" s="200"/>
      <c r="R1285" s="58"/>
      <c r="S1285" s="58"/>
      <c r="T1285" s="58"/>
      <c r="U1285" s="58"/>
      <c r="V1285" s="58"/>
      <c r="W1285" s="58"/>
      <c r="X1285" s="58"/>
      <c r="Y1285" s="58"/>
      <c r="Z1285" s="58"/>
      <c r="AA1285" s="58"/>
      <c r="AB1285" s="58"/>
      <c r="AC1285" s="58"/>
    </row>
    <row r="1286">
      <c r="A1286" s="320"/>
      <c r="B1286" s="301"/>
      <c r="C1286" s="205"/>
      <c r="D1286" s="302"/>
      <c r="E1286" s="303"/>
      <c r="F1286" s="304"/>
      <c r="G1286" s="312"/>
      <c r="H1286" s="306"/>
      <c r="I1286" s="302"/>
      <c r="J1286" s="307"/>
      <c r="K1286" s="313"/>
      <c r="L1286" s="319"/>
      <c r="M1286" s="316"/>
      <c r="N1286" s="205"/>
      <c r="O1286" s="311"/>
      <c r="P1286" s="200"/>
      <c r="Q1286" s="200"/>
      <c r="R1286" s="58"/>
      <c r="S1286" s="58"/>
      <c r="T1286" s="58"/>
      <c r="U1286" s="58"/>
      <c r="V1286" s="58"/>
      <c r="W1286" s="58"/>
      <c r="X1286" s="58"/>
      <c r="Y1286" s="58"/>
      <c r="Z1286" s="58"/>
      <c r="AA1286" s="58"/>
      <c r="AB1286" s="58"/>
      <c r="AC1286" s="58"/>
    </row>
    <row r="1287">
      <c r="A1287" s="320"/>
      <c r="B1287" s="301"/>
      <c r="C1287" s="205"/>
      <c r="D1287" s="302"/>
      <c r="E1287" s="303"/>
      <c r="F1287" s="304"/>
      <c r="G1287" s="312"/>
      <c r="H1287" s="306"/>
      <c r="I1287" s="302"/>
      <c r="J1287" s="307"/>
      <c r="K1287" s="313"/>
      <c r="L1287" s="319"/>
      <c r="M1287" s="316"/>
      <c r="N1287" s="205"/>
      <c r="O1287" s="311"/>
      <c r="P1287" s="200"/>
      <c r="Q1287" s="200"/>
      <c r="R1287" s="58"/>
      <c r="S1287" s="58"/>
      <c r="T1287" s="58"/>
      <c r="U1287" s="58"/>
      <c r="V1287" s="58"/>
      <c r="W1287" s="58"/>
      <c r="X1287" s="58"/>
      <c r="Y1287" s="58"/>
      <c r="Z1287" s="58"/>
      <c r="AA1287" s="58"/>
      <c r="AB1287" s="58"/>
      <c r="AC1287" s="58"/>
    </row>
    <row r="1288">
      <c r="A1288" s="320"/>
      <c r="B1288" s="301"/>
      <c r="C1288" s="205"/>
      <c r="D1288" s="302"/>
      <c r="E1288" s="303"/>
      <c r="F1288" s="304"/>
      <c r="G1288" s="312"/>
      <c r="H1288" s="306"/>
      <c r="I1288" s="302"/>
      <c r="J1288" s="307"/>
      <c r="K1288" s="313"/>
      <c r="L1288" s="319"/>
      <c r="M1288" s="316"/>
      <c r="N1288" s="205"/>
      <c r="O1288" s="311"/>
      <c r="P1288" s="200"/>
      <c r="Q1288" s="200"/>
      <c r="R1288" s="58"/>
      <c r="S1288" s="58"/>
      <c r="T1288" s="58"/>
      <c r="U1288" s="58"/>
      <c r="V1288" s="58"/>
      <c r="W1288" s="58"/>
      <c r="X1288" s="58"/>
      <c r="Y1288" s="58"/>
      <c r="Z1288" s="58"/>
      <c r="AA1288" s="58"/>
      <c r="AB1288" s="58"/>
      <c r="AC1288" s="58"/>
    </row>
    <row r="1289">
      <c r="A1289" s="320"/>
      <c r="B1289" s="301"/>
      <c r="C1289" s="205"/>
      <c r="D1289" s="302"/>
      <c r="E1289" s="303"/>
      <c r="F1289" s="304"/>
      <c r="G1289" s="312"/>
      <c r="H1289" s="306"/>
      <c r="I1289" s="302"/>
      <c r="J1289" s="307"/>
      <c r="K1289" s="313"/>
      <c r="L1289" s="319"/>
      <c r="M1289" s="316"/>
      <c r="N1289" s="205"/>
      <c r="O1289" s="311"/>
      <c r="P1289" s="200"/>
      <c r="Q1289" s="200"/>
      <c r="R1289" s="58"/>
      <c r="S1289" s="58"/>
      <c r="T1289" s="58"/>
      <c r="U1289" s="58"/>
      <c r="V1289" s="58"/>
      <c r="W1289" s="58"/>
      <c r="X1289" s="58"/>
      <c r="Y1289" s="58"/>
      <c r="Z1289" s="58"/>
      <c r="AA1289" s="58"/>
      <c r="AB1289" s="58"/>
      <c r="AC1289" s="58"/>
    </row>
    <row r="1290">
      <c r="A1290" s="320"/>
      <c r="B1290" s="301"/>
      <c r="C1290" s="205"/>
      <c r="D1290" s="302"/>
      <c r="E1290" s="303"/>
      <c r="F1290" s="304"/>
      <c r="G1290" s="312"/>
      <c r="H1290" s="306"/>
      <c r="I1290" s="302"/>
      <c r="J1290" s="307"/>
      <c r="K1290" s="313"/>
      <c r="L1290" s="319"/>
      <c r="M1290" s="316"/>
      <c r="N1290" s="205"/>
      <c r="O1290" s="311"/>
      <c r="P1290" s="200"/>
      <c r="Q1290" s="200"/>
      <c r="R1290" s="58"/>
      <c r="S1290" s="58"/>
      <c r="T1290" s="58"/>
      <c r="U1290" s="58"/>
      <c r="V1290" s="58"/>
      <c r="W1290" s="58"/>
      <c r="X1290" s="58"/>
      <c r="Y1290" s="58"/>
      <c r="Z1290" s="58"/>
      <c r="AA1290" s="58"/>
      <c r="AB1290" s="58"/>
      <c r="AC1290" s="58"/>
    </row>
    <row r="1291">
      <c r="A1291" s="320"/>
      <c r="B1291" s="301"/>
      <c r="C1291" s="205"/>
      <c r="D1291" s="302"/>
      <c r="E1291" s="303"/>
      <c r="F1291" s="304"/>
      <c r="G1291" s="312"/>
      <c r="H1291" s="306"/>
      <c r="I1291" s="302"/>
      <c r="J1291" s="307"/>
      <c r="K1291" s="313"/>
      <c r="L1291" s="319"/>
      <c r="M1291" s="316"/>
      <c r="N1291" s="205"/>
      <c r="O1291" s="311"/>
      <c r="P1291" s="200"/>
      <c r="Q1291" s="200"/>
      <c r="R1291" s="58"/>
      <c r="S1291" s="58"/>
      <c r="T1291" s="58"/>
      <c r="U1291" s="58"/>
      <c r="V1291" s="58"/>
      <c r="W1291" s="58"/>
      <c r="X1291" s="58"/>
      <c r="Y1291" s="58"/>
      <c r="Z1291" s="58"/>
      <c r="AA1291" s="58"/>
      <c r="AB1291" s="58"/>
      <c r="AC1291" s="58"/>
    </row>
    <row r="1292">
      <c r="A1292" s="320"/>
      <c r="B1292" s="301"/>
      <c r="C1292" s="205"/>
      <c r="D1292" s="302"/>
      <c r="E1292" s="303"/>
      <c r="F1292" s="304"/>
      <c r="G1292" s="312"/>
      <c r="H1292" s="306"/>
      <c r="I1292" s="302"/>
      <c r="J1292" s="307"/>
      <c r="K1292" s="313"/>
      <c r="L1292" s="319"/>
      <c r="M1292" s="316"/>
      <c r="N1292" s="205"/>
      <c r="O1292" s="311"/>
      <c r="P1292" s="200"/>
      <c r="Q1292" s="200"/>
      <c r="R1292" s="58"/>
      <c r="S1292" s="58"/>
      <c r="T1292" s="58"/>
      <c r="U1292" s="58"/>
      <c r="V1292" s="58"/>
      <c r="W1292" s="58"/>
      <c r="X1292" s="58"/>
      <c r="Y1292" s="58"/>
      <c r="Z1292" s="58"/>
      <c r="AA1292" s="58"/>
      <c r="AB1292" s="58"/>
      <c r="AC1292" s="58"/>
    </row>
    <row r="1293">
      <c r="A1293" s="320"/>
      <c r="B1293" s="301"/>
      <c r="C1293" s="205"/>
      <c r="D1293" s="302"/>
      <c r="E1293" s="303"/>
      <c r="F1293" s="304"/>
      <c r="G1293" s="312"/>
      <c r="H1293" s="306"/>
      <c r="I1293" s="302"/>
      <c r="J1293" s="307"/>
      <c r="K1293" s="313"/>
      <c r="L1293" s="319"/>
      <c r="M1293" s="316"/>
      <c r="N1293" s="205"/>
      <c r="O1293" s="311"/>
      <c r="P1293" s="200"/>
      <c r="Q1293" s="200"/>
      <c r="R1293" s="58"/>
      <c r="S1293" s="58"/>
      <c r="T1293" s="58"/>
      <c r="U1293" s="58"/>
      <c r="V1293" s="58"/>
      <c r="W1293" s="58"/>
      <c r="X1293" s="58"/>
      <c r="Y1293" s="58"/>
      <c r="Z1293" s="58"/>
      <c r="AA1293" s="58"/>
      <c r="AB1293" s="58"/>
      <c r="AC1293" s="58"/>
    </row>
    <row r="1294">
      <c r="A1294" s="320"/>
      <c r="B1294" s="301"/>
      <c r="C1294" s="205"/>
      <c r="D1294" s="302"/>
      <c r="E1294" s="303"/>
      <c r="F1294" s="304"/>
      <c r="G1294" s="312"/>
      <c r="H1294" s="306"/>
      <c r="I1294" s="302"/>
      <c r="J1294" s="307"/>
      <c r="K1294" s="313"/>
      <c r="L1294" s="319"/>
      <c r="M1294" s="316"/>
      <c r="N1294" s="205"/>
      <c r="O1294" s="311"/>
      <c r="P1294" s="200"/>
      <c r="Q1294" s="200"/>
      <c r="R1294" s="58"/>
      <c r="S1294" s="58"/>
      <c r="T1294" s="58"/>
      <c r="U1294" s="58"/>
      <c r="V1294" s="58"/>
      <c r="W1294" s="58"/>
      <c r="X1294" s="58"/>
      <c r="Y1294" s="58"/>
      <c r="Z1294" s="58"/>
      <c r="AA1294" s="58"/>
      <c r="AB1294" s="58"/>
      <c r="AC1294" s="58"/>
    </row>
    <row r="1295">
      <c r="A1295" s="320"/>
      <c r="B1295" s="301"/>
      <c r="C1295" s="205"/>
      <c r="D1295" s="302"/>
      <c r="E1295" s="303"/>
      <c r="F1295" s="304"/>
      <c r="G1295" s="312"/>
      <c r="H1295" s="306"/>
      <c r="I1295" s="302"/>
      <c r="J1295" s="307"/>
      <c r="K1295" s="313"/>
      <c r="L1295" s="319"/>
      <c r="M1295" s="316"/>
      <c r="N1295" s="205"/>
      <c r="O1295" s="311"/>
      <c r="P1295" s="200"/>
      <c r="Q1295" s="200"/>
      <c r="R1295" s="58"/>
      <c r="S1295" s="58"/>
      <c r="T1295" s="58"/>
      <c r="U1295" s="58"/>
      <c r="V1295" s="58"/>
      <c r="W1295" s="58"/>
      <c r="X1295" s="58"/>
      <c r="Y1295" s="58"/>
      <c r="Z1295" s="58"/>
      <c r="AA1295" s="58"/>
      <c r="AB1295" s="58"/>
      <c r="AC1295" s="58"/>
    </row>
    <row r="1296">
      <c r="A1296" s="320"/>
      <c r="B1296" s="301"/>
      <c r="C1296" s="205"/>
      <c r="D1296" s="302"/>
      <c r="E1296" s="303"/>
      <c r="F1296" s="304"/>
      <c r="G1296" s="312"/>
      <c r="H1296" s="306"/>
      <c r="I1296" s="302"/>
      <c r="J1296" s="307"/>
      <c r="K1296" s="313"/>
      <c r="L1296" s="319"/>
      <c r="M1296" s="316"/>
      <c r="N1296" s="205"/>
      <c r="O1296" s="311"/>
      <c r="P1296" s="200"/>
      <c r="Q1296" s="200"/>
      <c r="R1296" s="58"/>
      <c r="S1296" s="58"/>
      <c r="T1296" s="58"/>
      <c r="U1296" s="58"/>
      <c r="V1296" s="58"/>
      <c r="W1296" s="58"/>
      <c r="X1296" s="58"/>
      <c r="Y1296" s="58"/>
      <c r="Z1296" s="58"/>
      <c r="AA1296" s="58"/>
      <c r="AB1296" s="58"/>
      <c r="AC1296" s="58"/>
    </row>
    <row r="1297">
      <c r="A1297" s="320"/>
      <c r="B1297" s="301"/>
      <c r="C1297" s="205"/>
      <c r="D1297" s="302"/>
      <c r="E1297" s="303"/>
      <c r="F1297" s="304"/>
      <c r="G1297" s="312"/>
      <c r="H1297" s="306"/>
      <c r="I1297" s="302"/>
      <c r="J1297" s="307"/>
      <c r="K1297" s="313"/>
      <c r="L1297" s="319"/>
      <c r="M1297" s="316"/>
      <c r="N1297" s="205"/>
      <c r="O1297" s="311"/>
      <c r="P1297" s="200"/>
      <c r="Q1297" s="200"/>
      <c r="R1297" s="58"/>
      <c r="S1297" s="58"/>
      <c r="T1297" s="58"/>
      <c r="U1297" s="58"/>
      <c r="V1297" s="58"/>
      <c r="W1297" s="58"/>
      <c r="X1297" s="58"/>
      <c r="Y1297" s="58"/>
      <c r="Z1297" s="58"/>
      <c r="AA1297" s="58"/>
      <c r="AB1297" s="58"/>
      <c r="AC1297" s="58"/>
    </row>
    <row r="1298">
      <c r="A1298" s="320"/>
      <c r="B1298" s="301"/>
      <c r="C1298" s="205"/>
      <c r="D1298" s="302"/>
      <c r="E1298" s="303"/>
      <c r="F1298" s="304"/>
      <c r="G1298" s="312"/>
      <c r="H1298" s="306"/>
      <c r="I1298" s="302"/>
      <c r="J1298" s="307"/>
      <c r="K1298" s="313"/>
      <c r="L1298" s="319"/>
      <c r="M1298" s="316"/>
      <c r="N1298" s="205"/>
      <c r="O1298" s="311"/>
      <c r="P1298" s="200"/>
      <c r="Q1298" s="200"/>
      <c r="R1298" s="58"/>
      <c r="S1298" s="58"/>
      <c r="T1298" s="58"/>
      <c r="U1298" s="58"/>
      <c r="V1298" s="58"/>
      <c r="W1298" s="58"/>
      <c r="X1298" s="58"/>
      <c r="Y1298" s="58"/>
      <c r="Z1298" s="58"/>
      <c r="AA1298" s="58"/>
      <c r="AB1298" s="58"/>
      <c r="AC1298" s="58"/>
    </row>
    <row r="1299">
      <c r="A1299" s="320"/>
      <c r="B1299" s="301"/>
      <c r="C1299" s="205"/>
      <c r="D1299" s="302"/>
      <c r="E1299" s="303"/>
      <c r="F1299" s="304"/>
      <c r="G1299" s="312"/>
      <c r="H1299" s="306"/>
      <c r="I1299" s="302"/>
      <c r="J1299" s="307"/>
      <c r="K1299" s="313"/>
      <c r="L1299" s="319"/>
      <c r="M1299" s="316"/>
      <c r="N1299" s="205"/>
      <c r="O1299" s="311"/>
      <c r="P1299" s="200"/>
      <c r="Q1299" s="200"/>
      <c r="R1299" s="58"/>
      <c r="S1299" s="58"/>
      <c r="T1299" s="58"/>
      <c r="U1299" s="58"/>
      <c r="V1299" s="58"/>
      <c r="W1299" s="58"/>
      <c r="X1299" s="58"/>
      <c r="Y1299" s="58"/>
      <c r="Z1299" s="58"/>
      <c r="AA1299" s="58"/>
      <c r="AB1299" s="58"/>
      <c r="AC1299" s="58"/>
    </row>
    <row r="1300">
      <c r="A1300" s="320"/>
      <c r="B1300" s="301"/>
      <c r="C1300" s="205"/>
      <c r="D1300" s="302"/>
      <c r="E1300" s="303"/>
      <c r="F1300" s="304"/>
      <c r="G1300" s="312"/>
      <c r="H1300" s="306"/>
      <c r="I1300" s="302"/>
      <c r="J1300" s="307"/>
      <c r="K1300" s="313"/>
      <c r="L1300" s="319"/>
      <c r="M1300" s="316"/>
      <c r="N1300" s="205"/>
      <c r="O1300" s="311"/>
      <c r="P1300" s="200"/>
      <c r="Q1300" s="200"/>
      <c r="R1300" s="58"/>
      <c r="S1300" s="58"/>
      <c r="T1300" s="58"/>
      <c r="U1300" s="58"/>
      <c r="V1300" s="58"/>
      <c r="W1300" s="58"/>
      <c r="X1300" s="58"/>
      <c r="Y1300" s="58"/>
      <c r="Z1300" s="58"/>
      <c r="AA1300" s="58"/>
      <c r="AB1300" s="58"/>
      <c r="AC1300" s="58"/>
    </row>
    <row r="1301">
      <c r="A1301" s="320"/>
      <c r="B1301" s="301"/>
      <c r="C1301" s="205"/>
      <c r="D1301" s="302"/>
      <c r="E1301" s="303"/>
      <c r="F1301" s="304"/>
      <c r="G1301" s="312"/>
      <c r="H1301" s="306"/>
      <c r="I1301" s="302"/>
      <c r="J1301" s="307"/>
      <c r="K1301" s="313"/>
      <c r="L1301" s="319"/>
      <c r="M1301" s="316"/>
      <c r="N1301" s="205"/>
      <c r="O1301" s="311"/>
      <c r="P1301" s="200"/>
      <c r="Q1301" s="200"/>
      <c r="R1301" s="58"/>
      <c r="S1301" s="58"/>
      <c r="T1301" s="58"/>
      <c r="U1301" s="58"/>
      <c r="V1301" s="58"/>
      <c r="W1301" s="58"/>
      <c r="X1301" s="58"/>
      <c r="Y1301" s="58"/>
      <c r="Z1301" s="58"/>
      <c r="AA1301" s="58"/>
      <c r="AB1301" s="58"/>
      <c r="AC1301" s="58"/>
    </row>
    <row r="1302">
      <c r="A1302" s="320"/>
      <c r="B1302" s="301"/>
      <c r="C1302" s="205"/>
      <c r="D1302" s="302"/>
      <c r="E1302" s="303"/>
      <c r="F1302" s="304"/>
      <c r="G1302" s="312"/>
      <c r="H1302" s="306"/>
      <c r="I1302" s="302"/>
      <c r="J1302" s="307"/>
      <c r="K1302" s="313"/>
      <c r="L1302" s="319"/>
      <c r="M1302" s="316"/>
      <c r="N1302" s="205"/>
      <c r="O1302" s="311"/>
      <c r="P1302" s="200"/>
      <c r="Q1302" s="200"/>
      <c r="R1302" s="58"/>
      <c r="S1302" s="58"/>
      <c r="T1302" s="58"/>
      <c r="U1302" s="58"/>
      <c r="V1302" s="58"/>
      <c r="W1302" s="58"/>
      <c r="X1302" s="58"/>
      <c r="Y1302" s="58"/>
      <c r="Z1302" s="58"/>
      <c r="AA1302" s="58"/>
      <c r="AB1302" s="58"/>
      <c r="AC1302" s="58"/>
    </row>
    <row r="1303">
      <c r="A1303" s="320"/>
      <c r="B1303" s="301"/>
      <c r="C1303" s="205"/>
      <c r="D1303" s="302"/>
      <c r="E1303" s="303"/>
      <c r="F1303" s="304"/>
      <c r="G1303" s="312"/>
      <c r="H1303" s="306"/>
      <c r="I1303" s="302"/>
      <c r="J1303" s="307"/>
      <c r="K1303" s="313"/>
      <c r="L1303" s="319"/>
      <c r="M1303" s="316"/>
      <c r="N1303" s="205"/>
      <c r="O1303" s="311"/>
      <c r="P1303" s="200"/>
      <c r="Q1303" s="200"/>
      <c r="R1303" s="58"/>
      <c r="S1303" s="58"/>
      <c r="T1303" s="58"/>
      <c r="U1303" s="58"/>
      <c r="V1303" s="58"/>
      <c r="W1303" s="58"/>
      <c r="X1303" s="58"/>
      <c r="Y1303" s="58"/>
      <c r="Z1303" s="58"/>
      <c r="AA1303" s="58"/>
      <c r="AB1303" s="58"/>
      <c r="AC1303" s="58"/>
    </row>
    <row r="1304">
      <c r="A1304" s="320"/>
      <c r="B1304" s="301"/>
      <c r="C1304" s="205"/>
      <c r="D1304" s="302"/>
      <c r="E1304" s="303"/>
      <c r="F1304" s="304"/>
      <c r="G1304" s="312"/>
      <c r="H1304" s="306"/>
      <c r="I1304" s="302"/>
      <c r="J1304" s="307"/>
      <c r="K1304" s="313"/>
      <c r="L1304" s="319"/>
      <c r="M1304" s="316"/>
      <c r="N1304" s="205"/>
      <c r="O1304" s="311"/>
      <c r="P1304" s="200"/>
      <c r="Q1304" s="200"/>
      <c r="R1304" s="58"/>
      <c r="S1304" s="58"/>
      <c r="T1304" s="58"/>
      <c r="U1304" s="58"/>
      <c r="V1304" s="58"/>
      <c r="W1304" s="58"/>
      <c r="X1304" s="58"/>
      <c r="Y1304" s="58"/>
      <c r="Z1304" s="58"/>
      <c r="AA1304" s="58"/>
      <c r="AB1304" s="58"/>
      <c r="AC1304" s="58"/>
    </row>
    <row r="1305">
      <c r="A1305" s="320"/>
      <c r="B1305" s="301"/>
      <c r="C1305" s="205"/>
      <c r="D1305" s="302"/>
      <c r="E1305" s="303"/>
      <c r="F1305" s="304"/>
      <c r="G1305" s="312"/>
      <c r="H1305" s="306"/>
      <c r="I1305" s="302"/>
      <c r="J1305" s="307"/>
      <c r="K1305" s="313"/>
      <c r="L1305" s="319"/>
      <c r="M1305" s="316"/>
      <c r="N1305" s="205"/>
      <c r="O1305" s="311"/>
      <c r="P1305" s="200"/>
      <c r="Q1305" s="200"/>
      <c r="R1305" s="58"/>
      <c r="S1305" s="58"/>
      <c r="T1305" s="58"/>
      <c r="U1305" s="58"/>
      <c r="V1305" s="58"/>
      <c r="W1305" s="58"/>
      <c r="X1305" s="58"/>
      <c r="Y1305" s="58"/>
      <c r="Z1305" s="58"/>
      <c r="AA1305" s="58"/>
      <c r="AB1305" s="58"/>
      <c r="AC1305" s="58"/>
    </row>
    <row r="1306">
      <c r="A1306" s="320"/>
      <c r="B1306" s="301"/>
      <c r="C1306" s="205"/>
      <c r="D1306" s="302"/>
      <c r="E1306" s="303"/>
      <c r="F1306" s="304"/>
      <c r="G1306" s="312"/>
      <c r="H1306" s="306"/>
      <c r="I1306" s="302"/>
      <c r="J1306" s="307"/>
      <c r="K1306" s="313"/>
      <c r="L1306" s="319"/>
      <c r="M1306" s="316"/>
      <c r="N1306" s="205"/>
      <c r="O1306" s="311"/>
      <c r="P1306" s="200"/>
      <c r="Q1306" s="200"/>
      <c r="R1306" s="58"/>
      <c r="S1306" s="58"/>
      <c r="T1306" s="58"/>
      <c r="U1306" s="58"/>
      <c r="V1306" s="58"/>
      <c r="W1306" s="58"/>
      <c r="X1306" s="58"/>
      <c r="Y1306" s="58"/>
      <c r="Z1306" s="58"/>
      <c r="AA1306" s="58"/>
      <c r="AB1306" s="58"/>
      <c r="AC1306" s="58"/>
    </row>
    <row r="1307">
      <c r="A1307" s="320"/>
      <c r="B1307" s="301"/>
      <c r="C1307" s="205"/>
      <c r="D1307" s="302"/>
      <c r="E1307" s="303"/>
      <c r="F1307" s="304"/>
      <c r="G1307" s="312"/>
      <c r="H1307" s="306"/>
      <c r="I1307" s="302"/>
      <c r="J1307" s="307"/>
      <c r="K1307" s="313"/>
      <c r="L1307" s="319"/>
      <c r="M1307" s="316"/>
      <c r="N1307" s="205"/>
      <c r="O1307" s="311"/>
      <c r="P1307" s="200"/>
      <c r="Q1307" s="200"/>
      <c r="R1307" s="58"/>
      <c r="S1307" s="58"/>
      <c r="T1307" s="58"/>
      <c r="U1307" s="58"/>
      <c r="V1307" s="58"/>
      <c r="W1307" s="58"/>
      <c r="X1307" s="58"/>
      <c r="Y1307" s="58"/>
      <c r="Z1307" s="58"/>
      <c r="AA1307" s="58"/>
      <c r="AB1307" s="58"/>
      <c r="AC1307" s="58"/>
    </row>
    <row r="1308">
      <c r="A1308" s="320"/>
      <c r="B1308" s="301"/>
      <c r="C1308" s="205"/>
      <c r="D1308" s="302"/>
      <c r="E1308" s="303"/>
      <c r="F1308" s="304"/>
      <c r="G1308" s="312"/>
      <c r="H1308" s="306"/>
      <c r="I1308" s="302"/>
      <c r="J1308" s="307"/>
      <c r="K1308" s="313"/>
      <c r="L1308" s="319"/>
      <c r="M1308" s="316"/>
      <c r="N1308" s="205"/>
      <c r="O1308" s="311"/>
      <c r="P1308" s="200"/>
      <c r="Q1308" s="200"/>
      <c r="R1308" s="58"/>
      <c r="S1308" s="58"/>
      <c r="T1308" s="58"/>
      <c r="U1308" s="58"/>
      <c r="V1308" s="58"/>
      <c r="W1308" s="58"/>
      <c r="X1308" s="58"/>
      <c r="Y1308" s="58"/>
      <c r="Z1308" s="58"/>
      <c r="AA1308" s="58"/>
      <c r="AB1308" s="58"/>
      <c r="AC1308" s="58"/>
    </row>
    <row r="1309">
      <c r="A1309" s="320"/>
      <c r="B1309" s="301"/>
      <c r="C1309" s="205"/>
      <c r="D1309" s="302"/>
      <c r="E1309" s="303"/>
      <c r="F1309" s="304"/>
      <c r="G1309" s="312"/>
      <c r="H1309" s="306"/>
      <c r="I1309" s="302"/>
      <c r="J1309" s="307"/>
      <c r="K1309" s="313"/>
      <c r="L1309" s="319"/>
      <c r="M1309" s="316"/>
      <c r="N1309" s="205"/>
      <c r="O1309" s="311"/>
      <c r="P1309" s="200"/>
      <c r="Q1309" s="200"/>
      <c r="R1309" s="58"/>
      <c r="S1309" s="58"/>
      <c r="T1309" s="58"/>
      <c r="U1309" s="58"/>
      <c r="V1309" s="58"/>
      <c r="W1309" s="58"/>
      <c r="X1309" s="58"/>
      <c r="Y1309" s="58"/>
      <c r="Z1309" s="58"/>
      <c r="AA1309" s="58"/>
      <c r="AB1309" s="58"/>
      <c r="AC1309" s="58"/>
    </row>
    <row r="1310">
      <c r="A1310" s="320"/>
      <c r="B1310" s="301"/>
      <c r="C1310" s="205"/>
      <c r="D1310" s="302"/>
      <c r="E1310" s="303"/>
      <c r="F1310" s="304"/>
      <c r="G1310" s="312"/>
      <c r="H1310" s="306"/>
      <c r="I1310" s="302"/>
      <c r="J1310" s="307"/>
      <c r="K1310" s="313"/>
      <c r="L1310" s="319"/>
      <c r="M1310" s="316"/>
      <c r="N1310" s="205"/>
      <c r="O1310" s="311"/>
      <c r="P1310" s="200"/>
      <c r="Q1310" s="200"/>
      <c r="R1310" s="58"/>
      <c r="S1310" s="58"/>
      <c r="T1310" s="58"/>
      <c r="U1310" s="58"/>
      <c r="V1310" s="58"/>
      <c r="W1310" s="58"/>
      <c r="X1310" s="58"/>
      <c r="Y1310" s="58"/>
      <c r="Z1310" s="58"/>
      <c r="AA1310" s="58"/>
      <c r="AB1310" s="58"/>
      <c r="AC1310" s="58"/>
    </row>
    <row r="1311">
      <c r="A1311" s="320"/>
      <c r="B1311" s="301"/>
      <c r="C1311" s="205"/>
      <c r="D1311" s="302"/>
      <c r="E1311" s="303"/>
      <c r="F1311" s="304"/>
      <c r="G1311" s="312"/>
      <c r="H1311" s="306"/>
      <c r="I1311" s="302"/>
      <c r="J1311" s="307"/>
      <c r="K1311" s="313"/>
      <c r="L1311" s="319"/>
      <c r="M1311" s="316"/>
      <c r="N1311" s="205"/>
      <c r="O1311" s="311"/>
      <c r="P1311" s="200"/>
      <c r="Q1311" s="200"/>
      <c r="R1311" s="58"/>
      <c r="S1311" s="58"/>
      <c r="T1311" s="58"/>
      <c r="U1311" s="58"/>
      <c r="V1311" s="58"/>
      <c r="W1311" s="58"/>
      <c r="X1311" s="58"/>
      <c r="Y1311" s="58"/>
      <c r="Z1311" s="58"/>
      <c r="AA1311" s="58"/>
      <c r="AB1311" s="58"/>
      <c r="AC1311" s="58"/>
    </row>
    <row r="1312">
      <c r="A1312" s="320"/>
      <c r="B1312" s="301"/>
      <c r="C1312" s="205"/>
      <c r="D1312" s="302"/>
      <c r="E1312" s="303"/>
      <c r="F1312" s="304"/>
      <c r="G1312" s="312"/>
      <c r="H1312" s="306"/>
      <c r="I1312" s="302"/>
      <c r="J1312" s="307"/>
      <c r="K1312" s="313"/>
      <c r="L1312" s="319"/>
      <c r="M1312" s="316"/>
      <c r="N1312" s="205"/>
      <c r="O1312" s="311"/>
      <c r="P1312" s="200"/>
      <c r="Q1312" s="200"/>
      <c r="R1312" s="58"/>
      <c r="S1312" s="58"/>
      <c r="T1312" s="58"/>
      <c r="U1312" s="58"/>
      <c r="V1312" s="58"/>
      <c r="W1312" s="58"/>
      <c r="X1312" s="58"/>
      <c r="Y1312" s="58"/>
      <c r="Z1312" s="58"/>
      <c r="AA1312" s="58"/>
      <c r="AB1312" s="58"/>
      <c r="AC1312" s="58"/>
    </row>
    <row r="1313">
      <c r="A1313" s="320"/>
      <c r="B1313" s="301"/>
      <c r="C1313" s="205"/>
      <c r="D1313" s="302"/>
      <c r="E1313" s="303"/>
      <c r="F1313" s="304"/>
      <c r="G1313" s="312"/>
      <c r="H1313" s="306"/>
      <c r="I1313" s="302"/>
      <c r="J1313" s="307"/>
      <c r="K1313" s="313"/>
      <c r="L1313" s="319"/>
      <c r="M1313" s="316"/>
      <c r="N1313" s="205"/>
      <c r="O1313" s="311"/>
      <c r="P1313" s="200"/>
      <c r="Q1313" s="200"/>
      <c r="R1313" s="58"/>
      <c r="S1313" s="58"/>
      <c r="T1313" s="58"/>
      <c r="U1313" s="58"/>
      <c r="V1313" s="58"/>
      <c r="W1313" s="58"/>
      <c r="X1313" s="58"/>
      <c r="Y1313" s="58"/>
      <c r="Z1313" s="58"/>
      <c r="AA1313" s="58"/>
      <c r="AB1313" s="58"/>
      <c r="AC1313" s="58"/>
    </row>
    <row r="1314">
      <c r="A1314" s="320"/>
      <c r="B1314" s="301"/>
      <c r="C1314" s="205"/>
      <c r="D1314" s="302"/>
      <c r="E1314" s="303"/>
      <c r="F1314" s="304"/>
      <c r="G1314" s="312"/>
      <c r="H1314" s="306"/>
      <c r="I1314" s="302"/>
      <c r="J1314" s="307"/>
      <c r="K1314" s="313"/>
      <c r="L1314" s="319"/>
      <c r="M1314" s="316"/>
      <c r="N1314" s="205"/>
      <c r="O1314" s="311"/>
      <c r="P1314" s="200"/>
      <c r="Q1314" s="200"/>
      <c r="R1314" s="58"/>
      <c r="S1314" s="58"/>
      <c r="T1314" s="58"/>
      <c r="U1314" s="58"/>
      <c r="V1314" s="58"/>
      <c r="W1314" s="58"/>
      <c r="X1314" s="58"/>
      <c r="Y1314" s="58"/>
      <c r="Z1314" s="58"/>
      <c r="AA1314" s="58"/>
      <c r="AB1314" s="58"/>
      <c r="AC1314" s="58"/>
    </row>
    <row r="1315">
      <c r="A1315" s="320"/>
      <c r="B1315" s="301"/>
      <c r="C1315" s="205"/>
      <c r="D1315" s="302"/>
      <c r="E1315" s="303"/>
      <c r="F1315" s="304"/>
      <c r="G1315" s="312"/>
      <c r="H1315" s="306"/>
      <c r="I1315" s="302"/>
      <c r="J1315" s="307"/>
      <c r="K1315" s="313"/>
      <c r="L1315" s="319"/>
      <c r="M1315" s="316"/>
      <c r="N1315" s="205"/>
      <c r="O1315" s="311"/>
      <c r="P1315" s="200"/>
      <c r="Q1315" s="200"/>
      <c r="R1315" s="58"/>
      <c r="S1315" s="58"/>
      <c r="T1315" s="58"/>
      <c r="U1315" s="58"/>
      <c r="V1315" s="58"/>
      <c r="W1315" s="58"/>
      <c r="X1315" s="58"/>
      <c r="Y1315" s="58"/>
      <c r="Z1315" s="58"/>
      <c r="AA1315" s="58"/>
      <c r="AB1315" s="58"/>
      <c r="AC1315" s="58"/>
    </row>
    <row r="1316">
      <c r="A1316" s="320"/>
      <c r="B1316" s="301"/>
      <c r="C1316" s="205"/>
      <c r="D1316" s="302"/>
      <c r="E1316" s="303"/>
      <c r="F1316" s="304"/>
      <c r="G1316" s="312"/>
      <c r="H1316" s="306"/>
      <c r="I1316" s="302"/>
      <c r="J1316" s="307"/>
      <c r="K1316" s="313"/>
      <c r="L1316" s="319"/>
      <c r="M1316" s="316"/>
      <c r="N1316" s="205"/>
      <c r="O1316" s="311"/>
      <c r="P1316" s="200"/>
      <c r="Q1316" s="200"/>
      <c r="R1316" s="58"/>
      <c r="S1316" s="58"/>
      <c r="T1316" s="58"/>
      <c r="U1316" s="58"/>
      <c r="V1316" s="58"/>
      <c r="W1316" s="58"/>
      <c r="X1316" s="58"/>
      <c r="Y1316" s="58"/>
      <c r="Z1316" s="58"/>
      <c r="AA1316" s="58"/>
      <c r="AB1316" s="58"/>
      <c r="AC1316" s="58"/>
    </row>
    <row r="1317">
      <c r="A1317" s="320"/>
      <c r="B1317" s="301"/>
      <c r="C1317" s="205"/>
      <c r="D1317" s="302"/>
      <c r="E1317" s="303"/>
      <c r="F1317" s="304"/>
      <c r="G1317" s="312"/>
      <c r="H1317" s="306"/>
      <c r="I1317" s="302"/>
      <c r="J1317" s="307"/>
      <c r="K1317" s="313"/>
      <c r="L1317" s="319"/>
      <c r="M1317" s="316"/>
      <c r="N1317" s="205"/>
      <c r="O1317" s="311"/>
      <c r="P1317" s="200"/>
      <c r="Q1317" s="200"/>
      <c r="R1317" s="58"/>
      <c r="S1317" s="58"/>
      <c r="T1317" s="58"/>
      <c r="U1317" s="58"/>
      <c r="V1317" s="58"/>
      <c r="W1317" s="58"/>
      <c r="X1317" s="58"/>
      <c r="Y1317" s="58"/>
      <c r="Z1317" s="58"/>
      <c r="AA1317" s="58"/>
      <c r="AB1317" s="58"/>
      <c r="AC1317" s="58"/>
    </row>
    <row r="1318">
      <c r="A1318" s="320"/>
      <c r="B1318" s="301"/>
      <c r="C1318" s="205"/>
      <c r="D1318" s="302"/>
      <c r="E1318" s="303"/>
      <c r="F1318" s="304"/>
      <c r="G1318" s="312"/>
      <c r="H1318" s="306"/>
      <c r="I1318" s="302"/>
      <c r="J1318" s="307"/>
      <c r="K1318" s="313"/>
      <c r="L1318" s="319"/>
      <c r="M1318" s="316"/>
      <c r="N1318" s="205"/>
      <c r="O1318" s="311"/>
      <c r="P1318" s="200"/>
      <c r="Q1318" s="200"/>
      <c r="R1318" s="58"/>
      <c r="S1318" s="58"/>
      <c r="T1318" s="58"/>
      <c r="U1318" s="58"/>
      <c r="V1318" s="58"/>
      <c r="W1318" s="58"/>
      <c r="X1318" s="58"/>
      <c r="Y1318" s="58"/>
      <c r="Z1318" s="58"/>
      <c r="AA1318" s="58"/>
      <c r="AB1318" s="58"/>
      <c r="AC1318" s="58"/>
    </row>
    <row r="1319">
      <c r="A1319" s="320"/>
      <c r="B1319" s="301"/>
      <c r="C1319" s="205"/>
      <c r="D1319" s="302"/>
      <c r="E1319" s="303"/>
      <c r="F1319" s="304"/>
      <c r="G1319" s="312"/>
      <c r="H1319" s="306"/>
      <c r="I1319" s="302"/>
      <c r="J1319" s="307"/>
      <c r="K1319" s="313"/>
      <c r="L1319" s="319"/>
      <c r="M1319" s="316"/>
      <c r="N1319" s="205"/>
      <c r="O1319" s="311"/>
      <c r="P1319" s="200"/>
      <c r="Q1319" s="200"/>
      <c r="R1319" s="58"/>
      <c r="S1319" s="58"/>
      <c r="T1319" s="58"/>
      <c r="U1319" s="58"/>
      <c r="V1319" s="58"/>
      <c r="W1319" s="58"/>
      <c r="X1319" s="58"/>
      <c r="Y1319" s="58"/>
      <c r="Z1319" s="58"/>
      <c r="AA1319" s="58"/>
      <c r="AB1319" s="58"/>
      <c r="AC1319" s="58"/>
    </row>
    <row r="1320">
      <c r="A1320" s="320"/>
      <c r="B1320" s="301"/>
      <c r="C1320" s="205"/>
      <c r="D1320" s="302"/>
      <c r="E1320" s="303"/>
      <c r="F1320" s="304"/>
      <c r="G1320" s="312"/>
      <c r="H1320" s="306"/>
      <c r="I1320" s="302"/>
      <c r="J1320" s="307"/>
      <c r="K1320" s="313"/>
      <c r="L1320" s="319"/>
      <c r="M1320" s="316"/>
      <c r="N1320" s="205"/>
      <c r="O1320" s="311"/>
      <c r="P1320" s="200"/>
      <c r="Q1320" s="200"/>
      <c r="R1320" s="58"/>
      <c r="S1320" s="58"/>
      <c r="T1320" s="58"/>
      <c r="U1320" s="58"/>
      <c r="V1320" s="58"/>
      <c r="W1320" s="58"/>
      <c r="X1320" s="58"/>
      <c r="Y1320" s="58"/>
      <c r="Z1320" s="58"/>
      <c r="AA1320" s="58"/>
      <c r="AB1320" s="58"/>
      <c r="AC1320" s="58"/>
    </row>
    <row r="1321">
      <c r="A1321" s="320"/>
      <c r="B1321" s="301"/>
      <c r="C1321" s="205"/>
      <c r="D1321" s="302"/>
      <c r="E1321" s="303"/>
      <c r="F1321" s="304"/>
      <c r="G1321" s="312"/>
      <c r="H1321" s="306"/>
      <c r="I1321" s="302"/>
      <c r="J1321" s="307"/>
      <c r="K1321" s="313"/>
      <c r="L1321" s="319"/>
      <c r="M1321" s="316"/>
      <c r="N1321" s="205"/>
      <c r="O1321" s="311"/>
      <c r="P1321" s="200"/>
      <c r="Q1321" s="200"/>
      <c r="R1321" s="58"/>
      <c r="S1321" s="58"/>
      <c r="T1321" s="58"/>
      <c r="U1321" s="58"/>
      <c r="V1321" s="58"/>
      <c r="W1321" s="58"/>
      <c r="X1321" s="58"/>
      <c r="Y1321" s="58"/>
      <c r="Z1321" s="58"/>
      <c r="AA1321" s="58"/>
      <c r="AB1321" s="58"/>
      <c r="AC1321" s="58"/>
    </row>
    <row r="1322">
      <c r="A1322" s="320"/>
      <c r="B1322" s="301"/>
      <c r="C1322" s="205"/>
      <c r="D1322" s="302"/>
      <c r="E1322" s="303"/>
      <c r="F1322" s="304"/>
      <c r="G1322" s="312"/>
      <c r="H1322" s="306"/>
      <c r="I1322" s="302"/>
      <c r="J1322" s="307"/>
      <c r="K1322" s="313"/>
      <c r="L1322" s="319"/>
      <c r="M1322" s="316"/>
      <c r="N1322" s="205"/>
      <c r="O1322" s="311"/>
      <c r="P1322" s="200"/>
      <c r="Q1322" s="200"/>
      <c r="R1322" s="58"/>
      <c r="S1322" s="58"/>
      <c r="T1322" s="58"/>
      <c r="U1322" s="58"/>
      <c r="V1322" s="58"/>
      <c r="W1322" s="58"/>
      <c r="X1322" s="58"/>
      <c r="Y1322" s="58"/>
      <c r="Z1322" s="58"/>
      <c r="AA1322" s="58"/>
      <c r="AB1322" s="58"/>
      <c r="AC1322" s="58"/>
    </row>
    <row r="1323">
      <c r="A1323" s="320"/>
      <c r="B1323" s="301"/>
      <c r="C1323" s="205"/>
      <c r="D1323" s="302"/>
      <c r="E1323" s="303"/>
      <c r="F1323" s="304"/>
      <c r="G1323" s="312"/>
      <c r="H1323" s="306"/>
      <c r="I1323" s="302"/>
      <c r="J1323" s="307"/>
      <c r="K1323" s="313"/>
      <c r="L1323" s="319"/>
      <c r="M1323" s="316"/>
      <c r="N1323" s="205"/>
      <c r="O1323" s="311"/>
      <c r="P1323" s="200"/>
      <c r="Q1323" s="200"/>
      <c r="R1323" s="58"/>
      <c r="S1323" s="58"/>
      <c r="T1323" s="58"/>
      <c r="U1323" s="58"/>
      <c r="V1323" s="58"/>
      <c r="W1323" s="58"/>
      <c r="X1323" s="58"/>
      <c r="Y1323" s="58"/>
      <c r="Z1323" s="58"/>
      <c r="AA1323" s="58"/>
      <c r="AB1323" s="58"/>
      <c r="AC1323" s="58"/>
    </row>
    <row r="1324">
      <c r="A1324" s="320"/>
      <c r="B1324" s="301"/>
      <c r="C1324" s="205"/>
      <c r="D1324" s="302"/>
      <c r="E1324" s="303"/>
      <c r="F1324" s="304"/>
      <c r="G1324" s="312"/>
      <c r="H1324" s="306"/>
      <c r="I1324" s="302"/>
      <c r="J1324" s="307"/>
      <c r="K1324" s="313"/>
      <c r="L1324" s="319"/>
      <c r="M1324" s="316"/>
      <c r="N1324" s="205"/>
      <c r="O1324" s="311"/>
      <c r="P1324" s="200"/>
      <c r="Q1324" s="200"/>
      <c r="R1324" s="58"/>
      <c r="S1324" s="58"/>
      <c r="T1324" s="58"/>
      <c r="U1324" s="58"/>
      <c r="V1324" s="58"/>
      <c r="W1324" s="58"/>
      <c r="X1324" s="58"/>
      <c r="Y1324" s="58"/>
      <c r="Z1324" s="58"/>
      <c r="AA1324" s="58"/>
      <c r="AB1324" s="58"/>
      <c r="AC1324" s="58"/>
    </row>
    <row r="1325">
      <c r="A1325" s="320"/>
      <c r="B1325" s="301"/>
      <c r="C1325" s="205"/>
      <c r="D1325" s="302"/>
      <c r="E1325" s="303"/>
      <c r="F1325" s="304"/>
      <c r="G1325" s="312"/>
      <c r="H1325" s="306"/>
      <c r="I1325" s="302"/>
      <c r="J1325" s="307"/>
      <c r="K1325" s="313"/>
      <c r="L1325" s="319"/>
      <c r="M1325" s="316"/>
      <c r="N1325" s="205"/>
      <c r="O1325" s="311"/>
      <c r="P1325" s="200"/>
      <c r="Q1325" s="200"/>
      <c r="R1325" s="58"/>
      <c r="S1325" s="58"/>
      <c r="T1325" s="58"/>
      <c r="U1325" s="58"/>
      <c r="V1325" s="58"/>
      <c r="W1325" s="58"/>
      <c r="X1325" s="58"/>
      <c r="Y1325" s="58"/>
      <c r="Z1325" s="58"/>
      <c r="AA1325" s="58"/>
      <c r="AB1325" s="58"/>
      <c r="AC1325" s="58"/>
    </row>
    <row r="1326">
      <c r="A1326" s="320"/>
      <c r="B1326" s="301"/>
      <c r="C1326" s="205"/>
      <c r="D1326" s="302"/>
      <c r="E1326" s="303"/>
      <c r="F1326" s="304"/>
      <c r="G1326" s="312"/>
      <c r="H1326" s="306"/>
      <c r="I1326" s="302"/>
      <c r="J1326" s="307"/>
      <c r="K1326" s="313"/>
      <c r="L1326" s="319"/>
      <c r="M1326" s="316"/>
      <c r="N1326" s="205"/>
      <c r="O1326" s="311"/>
      <c r="P1326" s="200"/>
      <c r="Q1326" s="200"/>
      <c r="R1326" s="58"/>
      <c r="S1326" s="58"/>
      <c r="T1326" s="58"/>
      <c r="U1326" s="58"/>
      <c r="V1326" s="58"/>
      <c r="W1326" s="58"/>
      <c r="X1326" s="58"/>
      <c r="Y1326" s="58"/>
      <c r="Z1326" s="58"/>
      <c r="AA1326" s="58"/>
      <c r="AB1326" s="58"/>
      <c r="AC1326" s="58"/>
    </row>
    <row r="1327">
      <c r="A1327" s="320"/>
      <c r="B1327" s="301"/>
      <c r="C1327" s="205"/>
      <c r="D1327" s="302"/>
      <c r="E1327" s="303"/>
      <c r="F1327" s="304"/>
      <c r="G1327" s="312"/>
      <c r="H1327" s="306"/>
      <c r="I1327" s="302"/>
      <c r="J1327" s="307"/>
      <c r="K1327" s="313"/>
      <c r="L1327" s="319"/>
      <c r="M1327" s="316"/>
      <c r="N1327" s="205"/>
      <c r="O1327" s="311"/>
      <c r="P1327" s="200"/>
      <c r="Q1327" s="200"/>
      <c r="R1327" s="58"/>
      <c r="S1327" s="58"/>
      <c r="T1327" s="58"/>
      <c r="U1327" s="58"/>
      <c r="V1327" s="58"/>
      <c r="W1327" s="58"/>
      <c r="X1327" s="58"/>
      <c r="Y1327" s="58"/>
      <c r="Z1327" s="58"/>
      <c r="AA1327" s="58"/>
      <c r="AB1327" s="58"/>
      <c r="AC1327" s="58"/>
    </row>
    <row r="1328">
      <c r="A1328" s="320"/>
      <c r="B1328" s="301"/>
      <c r="C1328" s="205"/>
      <c r="D1328" s="302"/>
      <c r="E1328" s="303"/>
      <c r="F1328" s="304"/>
      <c r="G1328" s="312"/>
      <c r="H1328" s="306"/>
      <c r="I1328" s="302"/>
      <c r="J1328" s="307"/>
      <c r="K1328" s="313"/>
      <c r="L1328" s="319"/>
      <c r="M1328" s="316"/>
      <c r="N1328" s="205"/>
      <c r="O1328" s="311"/>
      <c r="P1328" s="200"/>
      <c r="Q1328" s="200"/>
      <c r="R1328" s="58"/>
      <c r="S1328" s="58"/>
      <c r="T1328" s="58"/>
      <c r="U1328" s="58"/>
      <c r="V1328" s="58"/>
      <c r="W1328" s="58"/>
      <c r="X1328" s="58"/>
      <c r="Y1328" s="58"/>
      <c r="Z1328" s="58"/>
      <c r="AA1328" s="58"/>
      <c r="AB1328" s="58"/>
      <c r="AC1328" s="58"/>
    </row>
    <row r="1329">
      <c r="A1329" s="320"/>
      <c r="B1329" s="301"/>
      <c r="C1329" s="205"/>
      <c r="D1329" s="302"/>
      <c r="E1329" s="303"/>
      <c r="F1329" s="304"/>
      <c r="G1329" s="312"/>
      <c r="H1329" s="306"/>
      <c r="I1329" s="302"/>
      <c r="J1329" s="307"/>
      <c r="K1329" s="313"/>
      <c r="L1329" s="319"/>
      <c r="M1329" s="316"/>
      <c r="N1329" s="205"/>
      <c r="O1329" s="311"/>
      <c r="P1329" s="200"/>
      <c r="Q1329" s="200"/>
      <c r="R1329" s="58"/>
      <c r="S1329" s="58"/>
      <c r="T1329" s="58"/>
      <c r="U1329" s="58"/>
      <c r="V1329" s="58"/>
      <c r="W1329" s="58"/>
      <c r="X1329" s="58"/>
      <c r="Y1329" s="58"/>
      <c r="Z1329" s="58"/>
      <c r="AA1329" s="58"/>
      <c r="AB1329" s="58"/>
      <c r="AC1329" s="58"/>
    </row>
    <row r="1330">
      <c r="A1330" s="320"/>
      <c r="B1330" s="301"/>
      <c r="C1330" s="205"/>
      <c r="D1330" s="302"/>
      <c r="E1330" s="303"/>
      <c r="F1330" s="304"/>
      <c r="G1330" s="312"/>
      <c r="H1330" s="306"/>
      <c r="I1330" s="302"/>
      <c r="J1330" s="307"/>
      <c r="K1330" s="313"/>
      <c r="L1330" s="319"/>
      <c r="M1330" s="316"/>
      <c r="N1330" s="205"/>
      <c r="O1330" s="311"/>
      <c r="P1330" s="200"/>
      <c r="Q1330" s="200"/>
      <c r="R1330" s="58"/>
      <c r="S1330" s="58"/>
      <c r="T1330" s="58"/>
      <c r="U1330" s="58"/>
      <c r="V1330" s="58"/>
      <c r="W1330" s="58"/>
      <c r="X1330" s="58"/>
      <c r="Y1330" s="58"/>
      <c r="Z1330" s="58"/>
      <c r="AA1330" s="58"/>
      <c r="AB1330" s="58"/>
      <c r="AC1330" s="58"/>
    </row>
    <row r="1331">
      <c r="A1331" s="320"/>
      <c r="B1331" s="301"/>
      <c r="C1331" s="205"/>
      <c r="D1331" s="302"/>
      <c r="E1331" s="303"/>
      <c r="F1331" s="304"/>
      <c r="G1331" s="312"/>
      <c r="H1331" s="306"/>
      <c r="I1331" s="302"/>
      <c r="J1331" s="307"/>
      <c r="K1331" s="313"/>
      <c r="L1331" s="319"/>
      <c r="M1331" s="316"/>
      <c r="N1331" s="205"/>
      <c r="O1331" s="311"/>
      <c r="P1331" s="200"/>
      <c r="Q1331" s="200"/>
      <c r="R1331" s="58"/>
      <c r="S1331" s="58"/>
      <c r="T1331" s="58"/>
      <c r="U1331" s="58"/>
      <c r="V1331" s="58"/>
      <c r="W1331" s="58"/>
      <c r="X1331" s="58"/>
      <c r="Y1331" s="58"/>
      <c r="Z1331" s="58"/>
      <c r="AA1331" s="58"/>
      <c r="AB1331" s="58"/>
      <c r="AC1331" s="58"/>
    </row>
    <row r="1332">
      <c r="A1332" s="320"/>
      <c r="B1332" s="301"/>
      <c r="C1332" s="205"/>
      <c r="D1332" s="302"/>
      <c r="E1332" s="303"/>
      <c r="F1332" s="304"/>
      <c r="G1332" s="312"/>
      <c r="H1332" s="306"/>
      <c r="I1332" s="302"/>
      <c r="J1332" s="307"/>
      <c r="K1332" s="313"/>
      <c r="L1332" s="319"/>
      <c r="M1332" s="316"/>
      <c r="N1332" s="205"/>
      <c r="O1332" s="311"/>
      <c r="P1332" s="200"/>
      <c r="Q1332" s="200"/>
      <c r="R1332" s="58"/>
      <c r="S1332" s="58"/>
      <c r="T1332" s="58"/>
      <c r="U1332" s="58"/>
      <c r="V1332" s="58"/>
      <c r="W1332" s="58"/>
      <c r="X1332" s="58"/>
      <c r="Y1332" s="58"/>
      <c r="Z1332" s="58"/>
      <c r="AA1332" s="58"/>
      <c r="AB1332" s="58"/>
      <c r="AC1332" s="58"/>
    </row>
    <row r="1333">
      <c r="A1333" s="320"/>
      <c r="B1333" s="301"/>
      <c r="C1333" s="205"/>
      <c r="D1333" s="302"/>
      <c r="E1333" s="303"/>
      <c r="F1333" s="304"/>
      <c r="G1333" s="312"/>
      <c r="H1333" s="306"/>
      <c r="I1333" s="302"/>
      <c r="J1333" s="307"/>
      <c r="K1333" s="313"/>
      <c r="L1333" s="319"/>
      <c r="M1333" s="316"/>
      <c r="N1333" s="205"/>
      <c r="O1333" s="311"/>
      <c r="P1333" s="200"/>
      <c r="Q1333" s="200"/>
      <c r="R1333" s="58"/>
      <c r="S1333" s="58"/>
      <c r="T1333" s="58"/>
      <c r="U1333" s="58"/>
      <c r="V1333" s="58"/>
      <c r="W1333" s="58"/>
      <c r="X1333" s="58"/>
      <c r="Y1333" s="58"/>
      <c r="Z1333" s="58"/>
      <c r="AA1333" s="58"/>
      <c r="AB1333" s="58"/>
      <c r="AC1333" s="58"/>
    </row>
    <row r="1334">
      <c r="A1334" s="320"/>
      <c r="B1334" s="301"/>
      <c r="C1334" s="205"/>
      <c r="D1334" s="302"/>
      <c r="E1334" s="303"/>
      <c r="F1334" s="304"/>
      <c r="G1334" s="312"/>
      <c r="H1334" s="306"/>
      <c r="I1334" s="302"/>
      <c r="J1334" s="307"/>
      <c r="K1334" s="313"/>
      <c r="L1334" s="319"/>
      <c r="M1334" s="316"/>
      <c r="N1334" s="205"/>
      <c r="O1334" s="311"/>
      <c r="P1334" s="200"/>
      <c r="Q1334" s="200"/>
      <c r="R1334" s="58"/>
      <c r="S1334" s="58"/>
      <c r="T1334" s="58"/>
      <c r="U1334" s="58"/>
      <c r="V1334" s="58"/>
      <c r="W1334" s="58"/>
      <c r="X1334" s="58"/>
      <c r="Y1334" s="58"/>
      <c r="Z1334" s="58"/>
      <c r="AA1334" s="58"/>
      <c r="AB1334" s="58"/>
      <c r="AC1334" s="58"/>
    </row>
    <row r="1335">
      <c r="A1335" s="320"/>
      <c r="B1335" s="301"/>
      <c r="C1335" s="205"/>
      <c r="D1335" s="302"/>
      <c r="E1335" s="303"/>
      <c r="F1335" s="304"/>
      <c r="G1335" s="312"/>
      <c r="H1335" s="306"/>
      <c r="I1335" s="302"/>
      <c r="J1335" s="307"/>
      <c r="K1335" s="313"/>
      <c r="L1335" s="319"/>
      <c r="M1335" s="316"/>
      <c r="N1335" s="205"/>
      <c r="O1335" s="311"/>
      <c r="P1335" s="200"/>
      <c r="Q1335" s="200"/>
      <c r="R1335" s="58"/>
      <c r="S1335" s="58"/>
      <c r="T1335" s="58"/>
      <c r="U1335" s="58"/>
      <c r="V1335" s="58"/>
      <c r="W1335" s="58"/>
      <c r="X1335" s="58"/>
      <c r="Y1335" s="58"/>
      <c r="Z1335" s="58"/>
      <c r="AA1335" s="58"/>
      <c r="AB1335" s="58"/>
      <c r="AC1335" s="58"/>
    </row>
    <row r="1336">
      <c r="A1336" s="320"/>
      <c r="B1336" s="301"/>
      <c r="C1336" s="205"/>
      <c r="D1336" s="302"/>
      <c r="E1336" s="303"/>
      <c r="F1336" s="304"/>
      <c r="G1336" s="312"/>
      <c r="H1336" s="306"/>
      <c r="I1336" s="302"/>
      <c r="J1336" s="307"/>
      <c r="K1336" s="313"/>
      <c r="L1336" s="319"/>
      <c r="M1336" s="316"/>
      <c r="N1336" s="205"/>
      <c r="O1336" s="311"/>
      <c r="P1336" s="200"/>
      <c r="Q1336" s="200"/>
      <c r="R1336" s="58"/>
      <c r="S1336" s="58"/>
      <c r="T1336" s="58"/>
      <c r="U1336" s="58"/>
      <c r="V1336" s="58"/>
      <c r="W1336" s="58"/>
      <c r="X1336" s="58"/>
      <c r="Y1336" s="58"/>
      <c r="Z1336" s="58"/>
      <c r="AA1336" s="58"/>
      <c r="AB1336" s="58"/>
      <c r="AC1336" s="58"/>
    </row>
    <row r="1337">
      <c r="A1337" s="320"/>
      <c r="B1337" s="301"/>
      <c r="C1337" s="205"/>
      <c r="D1337" s="302"/>
      <c r="E1337" s="303"/>
      <c r="F1337" s="304"/>
      <c r="G1337" s="312"/>
      <c r="H1337" s="306"/>
      <c r="I1337" s="302"/>
      <c r="J1337" s="307"/>
      <c r="K1337" s="313"/>
      <c r="L1337" s="319"/>
      <c r="M1337" s="316"/>
      <c r="N1337" s="205"/>
      <c r="O1337" s="311"/>
      <c r="P1337" s="200"/>
      <c r="Q1337" s="200"/>
      <c r="R1337" s="58"/>
      <c r="S1337" s="58"/>
      <c r="T1337" s="58"/>
      <c r="U1337" s="58"/>
      <c r="V1337" s="58"/>
      <c r="W1337" s="58"/>
      <c r="X1337" s="58"/>
      <c r="Y1337" s="58"/>
      <c r="Z1337" s="58"/>
      <c r="AA1337" s="58"/>
      <c r="AB1337" s="58"/>
      <c r="AC1337" s="58"/>
    </row>
    <row r="1338">
      <c r="A1338" s="320"/>
      <c r="B1338" s="301"/>
      <c r="C1338" s="205"/>
      <c r="D1338" s="302"/>
      <c r="E1338" s="303"/>
      <c r="F1338" s="304"/>
      <c r="G1338" s="312"/>
      <c r="H1338" s="306"/>
      <c r="I1338" s="302"/>
      <c r="J1338" s="307"/>
      <c r="K1338" s="313"/>
      <c r="L1338" s="319"/>
      <c r="M1338" s="316"/>
      <c r="N1338" s="205"/>
      <c r="O1338" s="311"/>
      <c r="P1338" s="200"/>
      <c r="Q1338" s="200"/>
      <c r="R1338" s="58"/>
      <c r="S1338" s="58"/>
      <c r="T1338" s="58"/>
      <c r="U1338" s="58"/>
      <c r="V1338" s="58"/>
      <c r="W1338" s="58"/>
      <c r="X1338" s="58"/>
      <c r="Y1338" s="58"/>
      <c r="Z1338" s="58"/>
      <c r="AA1338" s="58"/>
      <c r="AB1338" s="58"/>
      <c r="AC1338" s="58"/>
    </row>
    <row r="1339">
      <c r="A1339" s="320"/>
      <c r="B1339" s="301"/>
      <c r="C1339" s="205"/>
      <c r="D1339" s="302"/>
      <c r="E1339" s="303"/>
      <c r="F1339" s="304"/>
      <c r="G1339" s="312"/>
      <c r="H1339" s="306"/>
      <c r="I1339" s="302"/>
      <c r="J1339" s="307"/>
      <c r="K1339" s="313"/>
      <c r="L1339" s="319"/>
      <c r="M1339" s="316"/>
      <c r="N1339" s="205"/>
      <c r="O1339" s="311"/>
      <c r="P1339" s="200"/>
      <c r="Q1339" s="200"/>
      <c r="R1339" s="58"/>
      <c r="S1339" s="58"/>
      <c r="T1339" s="58"/>
      <c r="U1339" s="58"/>
      <c r="V1339" s="58"/>
      <c r="W1339" s="58"/>
      <c r="X1339" s="58"/>
      <c r="Y1339" s="58"/>
      <c r="Z1339" s="58"/>
      <c r="AA1339" s="58"/>
      <c r="AB1339" s="58"/>
      <c r="AC1339" s="58"/>
    </row>
    <row r="1340">
      <c r="A1340" s="320"/>
      <c r="B1340" s="301"/>
      <c r="C1340" s="205"/>
      <c r="D1340" s="302"/>
      <c r="E1340" s="303"/>
      <c r="F1340" s="304"/>
      <c r="G1340" s="312"/>
      <c r="H1340" s="306"/>
      <c r="I1340" s="302"/>
      <c r="J1340" s="307"/>
      <c r="K1340" s="313"/>
      <c r="L1340" s="319"/>
      <c r="M1340" s="316"/>
      <c r="N1340" s="205"/>
      <c r="O1340" s="311"/>
      <c r="P1340" s="200"/>
      <c r="Q1340" s="200"/>
      <c r="R1340" s="58"/>
      <c r="S1340" s="58"/>
      <c r="T1340" s="58"/>
      <c r="U1340" s="58"/>
      <c r="V1340" s="58"/>
      <c r="W1340" s="58"/>
      <c r="X1340" s="58"/>
      <c r="Y1340" s="58"/>
      <c r="Z1340" s="58"/>
      <c r="AA1340" s="58"/>
      <c r="AB1340" s="58"/>
      <c r="AC1340" s="58"/>
    </row>
    <row r="1341">
      <c r="A1341" s="320"/>
      <c r="B1341" s="301"/>
      <c r="C1341" s="205"/>
      <c r="D1341" s="302"/>
      <c r="E1341" s="303"/>
      <c r="F1341" s="304"/>
      <c r="G1341" s="312"/>
      <c r="H1341" s="306"/>
      <c r="I1341" s="302"/>
      <c r="J1341" s="307"/>
      <c r="K1341" s="313"/>
      <c r="L1341" s="319"/>
      <c r="M1341" s="316"/>
      <c r="N1341" s="205"/>
      <c r="O1341" s="311"/>
      <c r="P1341" s="200"/>
      <c r="Q1341" s="200"/>
      <c r="R1341" s="58"/>
      <c r="S1341" s="58"/>
      <c r="T1341" s="58"/>
      <c r="U1341" s="58"/>
      <c r="V1341" s="58"/>
      <c r="W1341" s="58"/>
      <c r="X1341" s="58"/>
      <c r="Y1341" s="58"/>
      <c r="Z1341" s="58"/>
      <c r="AA1341" s="58"/>
      <c r="AB1341" s="58"/>
      <c r="AC1341" s="58"/>
    </row>
    <row r="1342">
      <c r="A1342" s="320"/>
      <c r="B1342" s="301"/>
      <c r="C1342" s="205"/>
      <c r="D1342" s="302"/>
      <c r="E1342" s="303"/>
      <c r="F1342" s="304"/>
      <c r="G1342" s="312"/>
      <c r="H1342" s="306"/>
      <c r="I1342" s="302"/>
      <c r="J1342" s="307"/>
      <c r="K1342" s="313"/>
      <c r="L1342" s="319"/>
      <c r="M1342" s="316"/>
      <c r="N1342" s="205"/>
      <c r="O1342" s="311"/>
      <c r="P1342" s="200"/>
      <c r="Q1342" s="200"/>
      <c r="R1342" s="58"/>
      <c r="S1342" s="58"/>
      <c r="T1342" s="58"/>
      <c r="U1342" s="58"/>
      <c r="V1342" s="58"/>
      <c r="W1342" s="58"/>
      <c r="X1342" s="58"/>
      <c r="Y1342" s="58"/>
      <c r="Z1342" s="58"/>
      <c r="AA1342" s="58"/>
      <c r="AB1342" s="58"/>
      <c r="AC1342" s="58"/>
    </row>
    <row r="1343">
      <c r="A1343" s="320"/>
      <c r="B1343" s="301"/>
      <c r="C1343" s="205"/>
      <c r="D1343" s="302"/>
      <c r="E1343" s="303"/>
      <c r="F1343" s="304"/>
      <c r="G1343" s="312"/>
      <c r="H1343" s="306"/>
      <c r="I1343" s="302"/>
      <c r="J1343" s="307"/>
      <c r="K1343" s="313"/>
      <c r="L1343" s="319"/>
      <c r="M1343" s="316"/>
      <c r="N1343" s="205"/>
      <c r="O1343" s="311"/>
      <c r="P1343" s="200"/>
      <c r="Q1343" s="200"/>
      <c r="R1343" s="58"/>
      <c r="S1343" s="58"/>
      <c r="T1343" s="58"/>
      <c r="U1343" s="58"/>
      <c r="V1343" s="58"/>
      <c r="W1343" s="58"/>
      <c r="X1343" s="58"/>
      <c r="Y1343" s="58"/>
      <c r="Z1343" s="58"/>
      <c r="AA1343" s="58"/>
      <c r="AB1343" s="58"/>
      <c r="AC1343" s="58"/>
    </row>
    <row r="1344">
      <c r="A1344" s="320"/>
      <c r="B1344" s="301"/>
      <c r="C1344" s="205"/>
      <c r="D1344" s="302"/>
      <c r="E1344" s="303"/>
      <c r="F1344" s="304"/>
      <c r="G1344" s="312"/>
      <c r="H1344" s="306"/>
      <c r="I1344" s="302"/>
      <c r="J1344" s="307"/>
      <c r="K1344" s="313"/>
      <c r="L1344" s="319"/>
      <c r="M1344" s="316"/>
      <c r="N1344" s="205"/>
      <c r="O1344" s="311"/>
      <c r="P1344" s="200"/>
      <c r="Q1344" s="200"/>
      <c r="R1344" s="58"/>
      <c r="S1344" s="58"/>
      <c r="T1344" s="58"/>
      <c r="U1344" s="58"/>
      <c r="V1344" s="58"/>
      <c r="W1344" s="58"/>
      <c r="X1344" s="58"/>
      <c r="Y1344" s="58"/>
      <c r="Z1344" s="58"/>
      <c r="AA1344" s="58"/>
      <c r="AB1344" s="58"/>
      <c r="AC1344" s="58"/>
    </row>
    <row r="1345">
      <c r="A1345" s="320"/>
      <c r="B1345" s="301"/>
      <c r="C1345" s="205"/>
      <c r="D1345" s="302"/>
      <c r="E1345" s="303"/>
      <c r="F1345" s="304"/>
      <c r="G1345" s="312"/>
      <c r="H1345" s="306"/>
      <c r="I1345" s="302"/>
      <c r="J1345" s="307"/>
      <c r="K1345" s="313"/>
      <c r="L1345" s="319"/>
      <c r="M1345" s="316"/>
      <c r="N1345" s="205"/>
      <c r="O1345" s="311"/>
      <c r="P1345" s="200"/>
      <c r="Q1345" s="200"/>
      <c r="R1345" s="58"/>
      <c r="S1345" s="58"/>
      <c r="T1345" s="58"/>
      <c r="U1345" s="58"/>
      <c r="V1345" s="58"/>
      <c r="W1345" s="58"/>
      <c r="X1345" s="58"/>
      <c r="Y1345" s="58"/>
      <c r="Z1345" s="58"/>
      <c r="AA1345" s="58"/>
      <c r="AB1345" s="58"/>
      <c r="AC1345" s="58"/>
    </row>
    <row r="1346">
      <c r="A1346" s="320"/>
      <c r="B1346" s="301"/>
      <c r="C1346" s="205"/>
      <c r="D1346" s="302"/>
      <c r="E1346" s="303"/>
      <c r="F1346" s="304"/>
      <c r="G1346" s="312"/>
      <c r="H1346" s="306"/>
      <c r="I1346" s="302"/>
      <c r="J1346" s="307"/>
      <c r="K1346" s="313"/>
      <c r="L1346" s="319"/>
      <c r="M1346" s="316"/>
      <c r="N1346" s="205"/>
      <c r="O1346" s="311"/>
      <c r="P1346" s="200"/>
      <c r="Q1346" s="200"/>
      <c r="R1346" s="58"/>
      <c r="S1346" s="58"/>
      <c r="T1346" s="58"/>
      <c r="U1346" s="58"/>
      <c r="V1346" s="58"/>
      <c r="W1346" s="58"/>
      <c r="X1346" s="58"/>
      <c r="Y1346" s="58"/>
      <c r="Z1346" s="58"/>
      <c r="AA1346" s="58"/>
      <c r="AB1346" s="58"/>
      <c r="AC1346" s="58"/>
    </row>
    <row r="1347">
      <c r="A1347" s="320"/>
      <c r="B1347" s="301"/>
      <c r="C1347" s="205"/>
      <c r="D1347" s="302"/>
      <c r="E1347" s="303"/>
      <c r="F1347" s="304"/>
      <c r="G1347" s="312"/>
      <c r="H1347" s="306"/>
      <c r="I1347" s="302"/>
      <c r="J1347" s="307"/>
      <c r="K1347" s="313"/>
      <c r="L1347" s="319"/>
      <c r="M1347" s="316"/>
      <c r="N1347" s="205"/>
      <c r="O1347" s="311"/>
      <c r="P1347" s="200"/>
      <c r="Q1347" s="200"/>
      <c r="R1347" s="58"/>
      <c r="S1347" s="58"/>
      <c r="T1347" s="58"/>
      <c r="U1347" s="58"/>
      <c r="V1347" s="58"/>
      <c r="W1347" s="58"/>
      <c r="X1347" s="58"/>
      <c r="Y1347" s="58"/>
      <c r="Z1347" s="58"/>
      <c r="AA1347" s="58"/>
      <c r="AB1347" s="58"/>
      <c r="AC1347" s="58"/>
    </row>
    <row r="1348">
      <c r="A1348" s="320"/>
      <c r="B1348" s="301"/>
      <c r="C1348" s="205"/>
      <c r="D1348" s="302"/>
      <c r="E1348" s="303"/>
      <c r="F1348" s="304"/>
      <c r="G1348" s="312"/>
      <c r="H1348" s="306"/>
      <c r="I1348" s="302"/>
      <c r="J1348" s="307"/>
      <c r="K1348" s="313"/>
      <c r="L1348" s="319"/>
      <c r="M1348" s="316"/>
      <c r="N1348" s="205"/>
      <c r="O1348" s="311"/>
      <c r="P1348" s="200"/>
      <c r="Q1348" s="200"/>
      <c r="R1348" s="58"/>
      <c r="S1348" s="58"/>
      <c r="T1348" s="58"/>
      <c r="U1348" s="58"/>
      <c r="V1348" s="58"/>
      <c r="W1348" s="58"/>
      <c r="X1348" s="58"/>
      <c r="Y1348" s="58"/>
      <c r="Z1348" s="58"/>
      <c r="AA1348" s="58"/>
      <c r="AB1348" s="58"/>
      <c r="AC1348" s="58"/>
    </row>
    <row r="1349">
      <c r="A1349" s="320"/>
      <c r="B1349" s="301"/>
      <c r="C1349" s="205"/>
      <c r="D1349" s="302"/>
      <c r="E1349" s="303"/>
      <c r="F1349" s="304"/>
      <c r="G1349" s="312"/>
      <c r="H1349" s="306"/>
      <c r="I1349" s="302"/>
      <c r="J1349" s="307"/>
      <c r="K1349" s="313"/>
      <c r="L1349" s="319"/>
      <c r="M1349" s="316"/>
      <c r="N1349" s="205"/>
      <c r="O1349" s="311"/>
      <c r="P1349" s="200"/>
      <c r="Q1349" s="200"/>
      <c r="R1349" s="58"/>
      <c r="S1349" s="58"/>
      <c r="T1349" s="58"/>
      <c r="U1349" s="58"/>
      <c r="V1349" s="58"/>
      <c r="W1349" s="58"/>
      <c r="X1349" s="58"/>
      <c r="Y1349" s="58"/>
      <c r="Z1349" s="58"/>
      <c r="AA1349" s="58"/>
      <c r="AB1349" s="58"/>
      <c r="AC1349" s="58"/>
    </row>
    <row r="1350">
      <c r="A1350" s="320"/>
      <c r="B1350" s="301"/>
      <c r="C1350" s="205"/>
      <c r="D1350" s="302"/>
      <c r="E1350" s="303"/>
      <c r="F1350" s="304"/>
      <c r="G1350" s="312"/>
      <c r="H1350" s="306"/>
      <c r="I1350" s="302"/>
      <c r="J1350" s="307"/>
      <c r="K1350" s="313"/>
      <c r="L1350" s="319"/>
      <c r="M1350" s="316"/>
      <c r="N1350" s="205"/>
      <c r="O1350" s="311"/>
      <c r="P1350" s="200"/>
      <c r="Q1350" s="200"/>
      <c r="R1350" s="58"/>
      <c r="S1350" s="58"/>
      <c r="T1350" s="58"/>
      <c r="U1350" s="58"/>
      <c r="V1350" s="58"/>
      <c r="W1350" s="58"/>
      <c r="X1350" s="58"/>
      <c r="Y1350" s="58"/>
      <c r="Z1350" s="58"/>
      <c r="AA1350" s="58"/>
      <c r="AB1350" s="58"/>
      <c r="AC1350" s="58"/>
    </row>
    <row r="1351">
      <c r="A1351" s="320"/>
      <c r="B1351" s="301"/>
      <c r="C1351" s="205"/>
      <c r="D1351" s="302"/>
      <c r="E1351" s="303"/>
      <c r="F1351" s="304"/>
      <c r="G1351" s="312"/>
      <c r="H1351" s="306"/>
      <c r="I1351" s="302"/>
      <c r="J1351" s="307"/>
      <c r="K1351" s="313"/>
      <c r="L1351" s="319"/>
      <c r="M1351" s="316"/>
      <c r="N1351" s="205"/>
      <c r="O1351" s="311"/>
      <c r="P1351" s="200"/>
      <c r="Q1351" s="200"/>
      <c r="R1351" s="58"/>
      <c r="S1351" s="58"/>
      <c r="T1351" s="58"/>
      <c r="U1351" s="58"/>
      <c r="V1351" s="58"/>
      <c r="W1351" s="58"/>
      <c r="X1351" s="58"/>
      <c r="Y1351" s="58"/>
      <c r="Z1351" s="58"/>
      <c r="AA1351" s="58"/>
      <c r="AB1351" s="58"/>
      <c r="AC1351" s="58"/>
    </row>
    <row r="1352">
      <c r="A1352" s="320"/>
      <c r="B1352" s="301"/>
      <c r="C1352" s="205"/>
      <c r="D1352" s="302"/>
      <c r="E1352" s="303"/>
      <c r="F1352" s="304"/>
      <c r="G1352" s="312"/>
      <c r="H1352" s="306"/>
      <c r="I1352" s="302"/>
      <c r="J1352" s="307"/>
      <c r="K1352" s="313"/>
      <c r="L1352" s="319"/>
      <c r="M1352" s="316"/>
      <c r="N1352" s="205"/>
      <c r="O1352" s="311"/>
      <c r="P1352" s="200"/>
      <c r="Q1352" s="200"/>
      <c r="R1352" s="58"/>
      <c r="S1352" s="58"/>
      <c r="T1352" s="58"/>
      <c r="U1352" s="58"/>
      <c r="V1352" s="58"/>
      <c r="W1352" s="58"/>
      <c r="X1352" s="58"/>
      <c r="Y1352" s="58"/>
      <c r="Z1352" s="58"/>
      <c r="AA1352" s="58"/>
      <c r="AB1352" s="58"/>
      <c r="AC1352" s="58"/>
    </row>
    <row r="1353">
      <c r="A1353" s="320"/>
      <c r="B1353" s="301"/>
      <c r="C1353" s="205"/>
      <c r="D1353" s="302"/>
      <c r="E1353" s="303"/>
      <c r="F1353" s="304"/>
      <c r="G1353" s="312"/>
      <c r="H1353" s="306"/>
      <c r="I1353" s="302"/>
      <c r="J1353" s="307"/>
      <c r="K1353" s="313"/>
      <c r="L1353" s="319"/>
      <c r="M1353" s="316"/>
      <c r="N1353" s="205"/>
      <c r="O1353" s="311"/>
      <c r="P1353" s="200"/>
      <c r="Q1353" s="200"/>
      <c r="R1353" s="58"/>
      <c r="S1353" s="58"/>
      <c r="T1353" s="58"/>
      <c r="U1353" s="58"/>
      <c r="V1353" s="58"/>
      <c r="W1353" s="58"/>
      <c r="X1353" s="58"/>
      <c r="Y1353" s="58"/>
      <c r="Z1353" s="58"/>
      <c r="AA1353" s="58"/>
      <c r="AB1353" s="58"/>
      <c r="AC1353" s="58"/>
    </row>
    <row r="1354">
      <c r="A1354" s="320"/>
      <c r="B1354" s="301"/>
      <c r="C1354" s="205"/>
      <c r="D1354" s="302"/>
      <c r="E1354" s="303"/>
      <c r="F1354" s="304"/>
      <c r="G1354" s="312"/>
      <c r="H1354" s="306"/>
      <c r="I1354" s="302"/>
      <c r="J1354" s="307"/>
      <c r="K1354" s="313"/>
      <c r="L1354" s="319"/>
      <c r="M1354" s="316"/>
      <c r="N1354" s="205"/>
      <c r="O1354" s="311"/>
      <c r="P1354" s="200"/>
      <c r="Q1354" s="200"/>
      <c r="R1354" s="58"/>
      <c r="S1354" s="58"/>
      <c r="T1354" s="58"/>
      <c r="U1354" s="58"/>
      <c r="V1354" s="58"/>
      <c r="W1354" s="58"/>
      <c r="X1354" s="58"/>
      <c r="Y1354" s="58"/>
      <c r="Z1354" s="58"/>
      <c r="AA1354" s="58"/>
      <c r="AB1354" s="58"/>
      <c r="AC1354" s="58"/>
    </row>
    <row r="1355">
      <c r="A1355" s="320"/>
      <c r="B1355" s="301"/>
      <c r="C1355" s="205"/>
      <c r="D1355" s="302"/>
      <c r="E1355" s="303"/>
      <c r="F1355" s="304"/>
      <c r="G1355" s="312"/>
      <c r="H1355" s="306"/>
      <c r="I1355" s="302"/>
      <c r="J1355" s="307"/>
      <c r="K1355" s="313"/>
      <c r="L1355" s="319"/>
      <c r="M1355" s="316"/>
      <c r="N1355" s="205"/>
      <c r="O1355" s="311"/>
      <c r="P1355" s="200"/>
      <c r="Q1355" s="200"/>
      <c r="R1355" s="58"/>
      <c r="S1355" s="58"/>
      <c r="T1355" s="58"/>
      <c r="U1355" s="58"/>
      <c r="V1355" s="58"/>
      <c r="W1355" s="58"/>
      <c r="X1355" s="58"/>
      <c r="Y1355" s="58"/>
      <c r="Z1355" s="58"/>
      <c r="AA1355" s="58"/>
      <c r="AB1355" s="58"/>
      <c r="AC1355" s="58"/>
    </row>
    <row r="1356">
      <c r="A1356" s="320"/>
      <c r="B1356" s="301"/>
      <c r="C1356" s="205"/>
      <c r="D1356" s="302"/>
      <c r="E1356" s="303"/>
      <c r="F1356" s="304"/>
      <c r="G1356" s="312"/>
      <c r="H1356" s="306"/>
      <c r="I1356" s="302"/>
      <c r="J1356" s="307"/>
      <c r="K1356" s="313"/>
      <c r="L1356" s="319"/>
      <c r="M1356" s="316"/>
      <c r="N1356" s="205"/>
      <c r="O1356" s="311"/>
      <c r="P1356" s="200"/>
      <c r="Q1356" s="200"/>
      <c r="R1356" s="58"/>
      <c r="S1356" s="58"/>
      <c r="T1356" s="58"/>
      <c r="U1356" s="58"/>
      <c r="V1356" s="58"/>
      <c r="W1356" s="58"/>
      <c r="X1356" s="58"/>
      <c r="Y1356" s="58"/>
      <c r="Z1356" s="58"/>
      <c r="AA1356" s="58"/>
      <c r="AB1356" s="58"/>
      <c r="AC1356" s="58"/>
    </row>
    <row r="1357">
      <c r="A1357" s="320"/>
      <c r="B1357" s="301"/>
      <c r="C1357" s="205"/>
      <c r="D1357" s="302"/>
      <c r="E1357" s="303"/>
      <c r="F1357" s="304"/>
      <c r="G1357" s="312"/>
      <c r="H1357" s="306"/>
      <c r="I1357" s="302"/>
      <c r="J1357" s="307"/>
      <c r="K1357" s="313"/>
      <c r="L1357" s="319"/>
      <c r="M1357" s="316"/>
      <c r="N1357" s="205"/>
      <c r="O1357" s="311"/>
      <c r="P1357" s="200"/>
      <c r="Q1357" s="200"/>
      <c r="R1357" s="58"/>
      <c r="S1357" s="58"/>
      <c r="T1357" s="58"/>
      <c r="U1357" s="58"/>
      <c r="V1357" s="58"/>
      <c r="W1357" s="58"/>
      <c r="X1357" s="58"/>
      <c r="Y1357" s="58"/>
      <c r="Z1357" s="58"/>
      <c r="AA1357" s="58"/>
      <c r="AB1357" s="58"/>
      <c r="AC1357" s="58"/>
    </row>
    <row r="1358">
      <c r="A1358" s="320"/>
      <c r="B1358" s="301"/>
      <c r="C1358" s="205"/>
      <c r="D1358" s="302"/>
      <c r="E1358" s="303"/>
      <c r="F1358" s="304"/>
      <c r="G1358" s="312"/>
      <c r="H1358" s="306"/>
      <c r="I1358" s="302"/>
      <c r="J1358" s="307"/>
      <c r="K1358" s="313"/>
      <c r="L1358" s="319"/>
      <c r="M1358" s="316"/>
      <c r="N1358" s="205"/>
      <c r="O1358" s="311"/>
      <c r="P1358" s="200"/>
      <c r="Q1358" s="200"/>
      <c r="R1358" s="58"/>
      <c r="S1358" s="58"/>
      <c r="T1358" s="58"/>
      <c r="U1358" s="58"/>
      <c r="V1358" s="58"/>
      <c r="W1358" s="58"/>
      <c r="X1358" s="58"/>
      <c r="Y1358" s="58"/>
      <c r="Z1358" s="58"/>
      <c r="AA1358" s="58"/>
      <c r="AB1358" s="58"/>
      <c r="AC1358" s="58"/>
    </row>
    <row r="1359">
      <c r="A1359" s="320"/>
      <c r="B1359" s="301"/>
      <c r="C1359" s="205"/>
      <c r="D1359" s="302"/>
      <c r="E1359" s="303"/>
      <c r="F1359" s="304"/>
      <c r="G1359" s="312"/>
      <c r="H1359" s="306"/>
      <c r="I1359" s="302"/>
      <c r="J1359" s="307"/>
      <c r="K1359" s="313"/>
      <c r="L1359" s="319"/>
      <c r="M1359" s="316"/>
      <c r="N1359" s="205"/>
      <c r="O1359" s="311"/>
      <c r="P1359" s="200"/>
      <c r="Q1359" s="200"/>
      <c r="R1359" s="58"/>
      <c r="S1359" s="58"/>
      <c r="T1359" s="58"/>
      <c r="U1359" s="58"/>
      <c r="V1359" s="58"/>
      <c r="W1359" s="58"/>
      <c r="X1359" s="58"/>
      <c r="Y1359" s="58"/>
      <c r="Z1359" s="58"/>
      <c r="AA1359" s="58"/>
      <c r="AB1359" s="58"/>
      <c r="AC1359" s="58"/>
    </row>
    <row r="1360">
      <c r="A1360" s="320"/>
      <c r="B1360" s="301"/>
      <c r="C1360" s="205"/>
      <c r="D1360" s="302"/>
      <c r="E1360" s="303"/>
      <c r="F1360" s="304"/>
      <c r="G1360" s="312"/>
      <c r="H1360" s="306"/>
      <c r="I1360" s="302"/>
      <c r="J1360" s="307"/>
      <c r="K1360" s="313"/>
      <c r="L1360" s="319"/>
      <c r="M1360" s="316"/>
      <c r="N1360" s="205"/>
      <c r="O1360" s="311"/>
      <c r="P1360" s="200"/>
      <c r="Q1360" s="200"/>
      <c r="R1360" s="58"/>
      <c r="S1360" s="58"/>
      <c r="T1360" s="58"/>
      <c r="U1360" s="58"/>
      <c r="V1360" s="58"/>
      <c r="W1360" s="58"/>
      <c r="X1360" s="58"/>
      <c r="Y1360" s="58"/>
      <c r="Z1360" s="58"/>
      <c r="AA1360" s="58"/>
      <c r="AB1360" s="58"/>
      <c r="AC1360" s="58"/>
    </row>
    <row r="1361">
      <c r="A1361" s="320"/>
      <c r="B1361" s="301"/>
      <c r="C1361" s="205"/>
      <c r="D1361" s="302"/>
      <c r="E1361" s="303"/>
      <c r="F1361" s="304"/>
      <c r="G1361" s="312"/>
      <c r="H1361" s="306"/>
      <c r="I1361" s="302"/>
      <c r="J1361" s="307"/>
      <c r="K1361" s="313"/>
      <c r="L1361" s="319"/>
      <c r="M1361" s="316"/>
      <c r="N1361" s="205"/>
      <c r="O1361" s="311"/>
      <c r="P1361" s="200"/>
      <c r="Q1361" s="200"/>
      <c r="R1361" s="58"/>
      <c r="S1361" s="58"/>
      <c r="T1361" s="58"/>
      <c r="U1361" s="58"/>
      <c r="V1361" s="58"/>
      <c r="W1361" s="58"/>
      <c r="X1361" s="58"/>
      <c r="Y1361" s="58"/>
      <c r="Z1361" s="58"/>
      <c r="AA1361" s="58"/>
      <c r="AB1361" s="58"/>
      <c r="AC1361" s="58"/>
    </row>
    <row r="1362">
      <c r="A1362" s="320"/>
      <c r="B1362" s="301"/>
      <c r="C1362" s="205"/>
      <c r="D1362" s="302"/>
      <c r="E1362" s="303"/>
      <c r="F1362" s="304"/>
      <c r="G1362" s="312"/>
      <c r="H1362" s="306"/>
      <c r="I1362" s="302"/>
      <c r="J1362" s="307"/>
      <c r="K1362" s="313"/>
      <c r="L1362" s="319"/>
      <c r="M1362" s="316"/>
      <c r="N1362" s="205"/>
      <c r="O1362" s="311"/>
      <c r="P1362" s="200"/>
      <c r="Q1362" s="200"/>
      <c r="R1362" s="58"/>
      <c r="S1362" s="58"/>
      <c r="T1362" s="58"/>
      <c r="U1362" s="58"/>
      <c r="V1362" s="58"/>
      <c r="W1362" s="58"/>
      <c r="X1362" s="58"/>
      <c r="Y1362" s="58"/>
      <c r="Z1362" s="58"/>
      <c r="AA1362" s="58"/>
      <c r="AB1362" s="58"/>
      <c r="AC1362" s="58"/>
    </row>
    <row r="1363">
      <c r="A1363" s="320"/>
      <c r="B1363" s="301"/>
      <c r="C1363" s="205"/>
      <c r="D1363" s="302"/>
      <c r="E1363" s="303"/>
      <c r="F1363" s="304"/>
      <c r="G1363" s="312"/>
      <c r="H1363" s="306"/>
      <c r="I1363" s="302"/>
      <c r="J1363" s="307"/>
      <c r="K1363" s="313"/>
      <c r="L1363" s="319"/>
      <c r="M1363" s="316"/>
      <c r="N1363" s="205"/>
      <c r="O1363" s="311"/>
      <c r="P1363" s="200"/>
      <c r="Q1363" s="200"/>
      <c r="R1363" s="58"/>
      <c r="S1363" s="58"/>
      <c r="T1363" s="58"/>
      <c r="U1363" s="58"/>
      <c r="V1363" s="58"/>
      <c r="W1363" s="58"/>
      <c r="X1363" s="58"/>
      <c r="Y1363" s="58"/>
      <c r="Z1363" s="58"/>
      <c r="AA1363" s="58"/>
      <c r="AB1363" s="58"/>
      <c r="AC1363" s="58"/>
    </row>
    <row r="1364">
      <c r="A1364" s="320"/>
      <c r="B1364" s="301"/>
      <c r="C1364" s="205"/>
      <c r="D1364" s="302"/>
      <c r="E1364" s="303"/>
      <c r="F1364" s="304"/>
      <c r="G1364" s="312"/>
      <c r="H1364" s="306"/>
      <c r="I1364" s="302"/>
      <c r="J1364" s="307"/>
      <c r="K1364" s="313"/>
      <c r="L1364" s="319"/>
      <c r="M1364" s="316"/>
      <c r="N1364" s="205"/>
      <c r="O1364" s="311"/>
      <c r="P1364" s="200"/>
      <c r="Q1364" s="200"/>
      <c r="R1364" s="58"/>
      <c r="S1364" s="58"/>
      <c r="T1364" s="58"/>
      <c r="U1364" s="58"/>
      <c r="V1364" s="58"/>
      <c r="W1364" s="58"/>
      <c r="X1364" s="58"/>
      <c r="Y1364" s="58"/>
      <c r="Z1364" s="58"/>
      <c r="AA1364" s="58"/>
      <c r="AB1364" s="58"/>
      <c r="AC1364" s="58"/>
    </row>
    <row r="1365">
      <c r="A1365" s="320"/>
      <c r="B1365" s="301"/>
      <c r="C1365" s="205"/>
      <c r="D1365" s="302"/>
      <c r="E1365" s="303"/>
      <c r="F1365" s="304"/>
      <c r="G1365" s="312"/>
      <c r="H1365" s="306"/>
      <c r="I1365" s="302"/>
      <c r="J1365" s="307"/>
      <c r="K1365" s="313"/>
      <c r="L1365" s="319"/>
      <c r="M1365" s="316"/>
      <c r="N1365" s="205"/>
      <c r="O1365" s="311"/>
      <c r="P1365" s="200"/>
      <c r="Q1365" s="200"/>
      <c r="R1365" s="58"/>
      <c r="S1365" s="58"/>
      <c r="T1365" s="58"/>
      <c r="U1365" s="58"/>
      <c r="V1365" s="58"/>
      <c r="W1365" s="58"/>
      <c r="X1365" s="58"/>
      <c r="Y1365" s="58"/>
      <c r="Z1365" s="58"/>
      <c r="AA1365" s="58"/>
      <c r="AB1365" s="58"/>
      <c r="AC1365" s="58"/>
    </row>
    <row r="1366">
      <c r="A1366" s="320"/>
      <c r="B1366" s="301"/>
      <c r="C1366" s="205"/>
      <c r="D1366" s="302"/>
      <c r="E1366" s="303"/>
      <c r="F1366" s="304"/>
      <c r="G1366" s="312"/>
      <c r="H1366" s="306"/>
      <c r="I1366" s="302"/>
      <c r="J1366" s="307"/>
      <c r="K1366" s="313"/>
      <c r="L1366" s="319"/>
      <c r="M1366" s="316"/>
      <c r="N1366" s="205"/>
      <c r="O1366" s="311"/>
      <c r="P1366" s="200"/>
      <c r="Q1366" s="200"/>
      <c r="R1366" s="58"/>
      <c r="S1366" s="58"/>
      <c r="T1366" s="58"/>
      <c r="U1366" s="58"/>
      <c r="V1366" s="58"/>
      <c r="W1366" s="58"/>
      <c r="X1366" s="58"/>
      <c r="Y1366" s="58"/>
      <c r="Z1366" s="58"/>
      <c r="AA1366" s="58"/>
      <c r="AB1366" s="58"/>
      <c r="AC1366" s="58"/>
    </row>
    <row r="1367">
      <c r="A1367" s="320"/>
      <c r="B1367" s="301"/>
      <c r="C1367" s="205"/>
      <c r="D1367" s="302"/>
      <c r="E1367" s="303"/>
      <c r="F1367" s="304"/>
      <c r="G1367" s="312"/>
      <c r="H1367" s="306"/>
      <c r="I1367" s="302"/>
      <c r="J1367" s="307"/>
      <c r="K1367" s="313"/>
      <c r="L1367" s="319"/>
      <c r="M1367" s="316"/>
      <c r="N1367" s="205"/>
      <c r="O1367" s="311"/>
      <c r="P1367" s="200"/>
      <c r="Q1367" s="200"/>
      <c r="R1367" s="58"/>
      <c r="S1367" s="58"/>
      <c r="T1367" s="58"/>
      <c r="U1367" s="58"/>
      <c r="V1367" s="58"/>
      <c r="W1367" s="58"/>
      <c r="X1367" s="58"/>
      <c r="Y1367" s="58"/>
      <c r="Z1367" s="58"/>
      <c r="AA1367" s="58"/>
      <c r="AB1367" s="58"/>
      <c r="AC1367" s="58"/>
    </row>
    <row r="1368">
      <c r="A1368" s="320"/>
      <c r="B1368" s="301"/>
      <c r="C1368" s="205"/>
      <c r="D1368" s="302"/>
      <c r="E1368" s="303"/>
      <c r="F1368" s="304"/>
      <c r="G1368" s="312"/>
      <c r="H1368" s="306"/>
      <c r="I1368" s="302"/>
      <c r="J1368" s="307"/>
      <c r="K1368" s="313"/>
      <c r="L1368" s="319"/>
      <c r="M1368" s="316"/>
      <c r="N1368" s="205"/>
      <c r="O1368" s="311"/>
      <c r="P1368" s="200"/>
      <c r="Q1368" s="200"/>
      <c r="R1368" s="58"/>
      <c r="S1368" s="58"/>
      <c r="T1368" s="58"/>
      <c r="U1368" s="58"/>
      <c r="V1368" s="58"/>
      <c r="W1368" s="58"/>
      <c r="X1368" s="58"/>
      <c r="Y1368" s="58"/>
      <c r="Z1368" s="58"/>
      <c r="AA1368" s="58"/>
      <c r="AB1368" s="58"/>
      <c r="AC1368" s="58"/>
    </row>
    <row r="1369">
      <c r="A1369" s="320"/>
      <c r="B1369" s="301"/>
      <c r="C1369" s="205"/>
      <c r="D1369" s="302"/>
      <c r="E1369" s="303"/>
      <c r="F1369" s="304"/>
      <c r="G1369" s="312"/>
      <c r="H1369" s="306"/>
      <c r="I1369" s="302"/>
      <c r="J1369" s="307"/>
      <c r="K1369" s="313"/>
      <c r="L1369" s="319"/>
      <c r="M1369" s="316"/>
      <c r="N1369" s="205"/>
      <c r="O1369" s="311"/>
      <c r="P1369" s="200"/>
      <c r="Q1369" s="200"/>
      <c r="R1369" s="58"/>
      <c r="S1369" s="58"/>
      <c r="T1369" s="58"/>
      <c r="U1369" s="58"/>
      <c r="V1369" s="58"/>
      <c r="W1369" s="58"/>
      <c r="X1369" s="58"/>
      <c r="Y1369" s="58"/>
      <c r="Z1369" s="58"/>
      <c r="AA1369" s="58"/>
      <c r="AB1369" s="58"/>
      <c r="AC1369" s="58"/>
    </row>
    <row r="1370">
      <c r="A1370" s="320"/>
      <c r="B1370" s="301"/>
      <c r="C1370" s="205"/>
      <c r="D1370" s="302"/>
      <c r="E1370" s="303"/>
      <c r="F1370" s="304"/>
      <c r="G1370" s="312"/>
      <c r="H1370" s="306"/>
      <c r="I1370" s="302"/>
      <c r="J1370" s="307"/>
      <c r="K1370" s="313"/>
      <c r="L1370" s="319"/>
      <c r="M1370" s="316"/>
      <c r="N1370" s="205"/>
      <c r="O1370" s="311"/>
      <c r="P1370" s="200"/>
      <c r="Q1370" s="200"/>
      <c r="R1370" s="58"/>
      <c r="S1370" s="58"/>
      <c r="T1370" s="58"/>
      <c r="U1370" s="58"/>
      <c r="V1370" s="58"/>
      <c r="W1370" s="58"/>
      <c r="X1370" s="58"/>
      <c r="Y1370" s="58"/>
      <c r="Z1370" s="58"/>
      <c r="AA1370" s="58"/>
      <c r="AB1370" s="58"/>
      <c r="AC1370" s="58"/>
    </row>
    <row r="1371">
      <c r="A1371" s="320"/>
      <c r="B1371" s="301"/>
      <c r="C1371" s="205"/>
      <c r="D1371" s="302"/>
      <c r="E1371" s="303"/>
      <c r="F1371" s="304"/>
      <c r="G1371" s="312"/>
      <c r="H1371" s="306"/>
      <c r="I1371" s="302"/>
      <c r="J1371" s="307"/>
      <c r="K1371" s="313"/>
      <c r="L1371" s="319"/>
      <c r="M1371" s="316"/>
      <c r="N1371" s="205"/>
      <c r="O1371" s="311"/>
      <c r="P1371" s="200"/>
      <c r="Q1371" s="200"/>
      <c r="R1371" s="58"/>
      <c r="S1371" s="58"/>
      <c r="T1371" s="58"/>
      <c r="U1371" s="58"/>
      <c r="V1371" s="58"/>
      <c r="W1371" s="58"/>
      <c r="X1371" s="58"/>
      <c r="Y1371" s="58"/>
      <c r="Z1371" s="58"/>
      <c r="AA1371" s="58"/>
      <c r="AB1371" s="58"/>
      <c r="AC1371" s="58"/>
    </row>
    <row r="1372">
      <c r="A1372" s="320"/>
      <c r="B1372" s="301"/>
      <c r="C1372" s="205"/>
      <c r="D1372" s="302"/>
      <c r="E1372" s="303"/>
      <c r="F1372" s="304"/>
      <c r="G1372" s="312"/>
      <c r="H1372" s="306"/>
      <c r="I1372" s="302"/>
      <c r="J1372" s="307"/>
      <c r="K1372" s="313"/>
      <c r="L1372" s="319"/>
      <c r="M1372" s="316"/>
      <c r="N1372" s="205"/>
      <c r="O1372" s="311"/>
      <c r="P1372" s="200"/>
      <c r="Q1372" s="200"/>
      <c r="R1372" s="58"/>
      <c r="S1372" s="58"/>
      <c r="T1372" s="58"/>
      <c r="U1372" s="58"/>
      <c r="V1372" s="58"/>
      <c r="W1372" s="58"/>
      <c r="X1372" s="58"/>
      <c r="Y1372" s="58"/>
      <c r="Z1372" s="58"/>
      <c r="AA1372" s="58"/>
      <c r="AB1372" s="58"/>
      <c r="AC1372" s="58"/>
    </row>
    <row r="1373">
      <c r="A1373" s="320"/>
      <c r="B1373" s="301"/>
      <c r="C1373" s="205"/>
      <c r="D1373" s="302"/>
      <c r="E1373" s="303"/>
      <c r="F1373" s="304"/>
      <c r="G1373" s="312"/>
      <c r="H1373" s="306"/>
      <c r="I1373" s="302"/>
      <c r="J1373" s="307"/>
      <c r="K1373" s="313"/>
      <c r="L1373" s="319"/>
      <c r="M1373" s="316"/>
      <c r="N1373" s="205"/>
      <c r="O1373" s="311"/>
      <c r="P1373" s="200"/>
      <c r="Q1373" s="200"/>
      <c r="R1373" s="58"/>
      <c r="S1373" s="58"/>
      <c r="T1373" s="58"/>
      <c r="U1373" s="58"/>
      <c r="V1373" s="58"/>
      <c r="W1373" s="58"/>
      <c r="X1373" s="58"/>
      <c r="Y1373" s="58"/>
      <c r="Z1373" s="58"/>
      <c r="AA1373" s="58"/>
      <c r="AB1373" s="58"/>
      <c r="AC1373" s="58"/>
    </row>
    <row r="1374">
      <c r="A1374" s="320"/>
      <c r="B1374" s="301"/>
      <c r="C1374" s="205"/>
      <c r="D1374" s="302"/>
      <c r="E1374" s="303"/>
      <c r="F1374" s="304"/>
      <c r="G1374" s="312"/>
      <c r="H1374" s="306"/>
      <c r="I1374" s="302"/>
      <c r="J1374" s="307"/>
      <c r="K1374" s="313"/>
      <c r="L1374" s="319"/>
      <c r="M1374" s="316"/>
      <c r="N1374" s="205"/>
      <c r="O1374" s="311"/>
      <c r="P1374" s="200"/>
      <c r="Q1374" s="200"/>
      <c r="R1374" s="58"/>
      <c r="S1374" s="58"/>
      <c r="T1374" s="58"/>
      <c r="U1374" s="58"/>
      <c r="V1374" s="58"/>
      <c r="W1374" s="58"/>
      <c r="X1374" s="58"/>
      <c r="Y1374" s="58"/>
      <c r="Z1374" s="58"/>
      <c r="AA1374" s="58"/>
      <c r="AB1374" s="58"/>
      <c r="AC1374" s="58"/>
    </row>
    <row r="1375">
      <c r="A1375" s="320"/>
      <c r="B1375" s="301"/>
      <c r="C1375" s="205"/>
      <c r="D1375" s="302"/>
      <c r="E1375" s="303"/>
      <c r="F1375" s="304"/>
      <c r="G1375" s="312"/>
      <c r="H1375" s="306"/>
      <c r="I1375" s="302"/>
      <c r="J1375" s="307"/>
      <c r="K1375" s="313"/>
      <c r="L1375" s="319"/>
      <c r="M1375" s="316"/>
      <c r="N1375" s="205"/>
      <c r="O1375" s="311"/>
      <c r="P1375" s="200"/>
      <c r="Q1375" s="200"/>
      <c r="R1375" s="58"/>
      <c r="S1375" s="58"/>
      <c r="T1375" s="58"/>
      <c r="U1375" s="58"/>
      <c r="V1375" s="58"/>
      <c r="W1375" s="58"/>
      <c r="X1375" s="58"/>
      <c r="Y1375" s="58"/>
      <c r="Z1375" s="58"/>
      <c r="AA1375" s="58"/>
      <c r="AB1375" s="58"/>
      <c r="AC1375" s="58"/>
    </row>
    <row r="1376">
      <c r="A1376" s="320"/>
      <c r="B1376" s="301"/>
      <c r="C1376" s="205"/>
      <c r="D1376" s="302"/>
      <c r="E1376" s="303"/>
      <c r="F1376" s="304"/>
      <c r="G1376" s="312"/>
      <c r="H1376" s="306"/>
      <c r="I1376" s="302"/>
      <c r="J1376" s="307"/>
      <c r="K1376" s="313"/>
      <c r="L1376" s="319"/>
      <c r="M1376" s="316"/>
      <c r="N1376" s="205"/>
      <c r="O1376" s="311"/>
      <c r="P1376" s="200"/>
      <c r="Q1376" s="200"/>
      <c r="R1376" s="58"/>
      <c r="S1376" s="58"/>
      <c r="T1376" s="58"/>
      <c r="U1376" s="58"/>
      <c r="V1376" s="58"/>
      <c r="W1376" s="58"/>
      <c r="X1376" s="58"/>
      <c r="Y1376" s="58"/>
      <c r="Z1376" s="58"/>
      <c r="AA1376" s="58"/>
      <c r="AB1376" s="58"/>
      <c r="AC1376" s="58"/>
    </row>
    <row r="1377">
      <c r="A1377" s="320"/>
      <c r="B1377" s="301"/>
      <c r="C1377" s="205"/>
      <c r="D1377" s="302"/>
      <c r="E1377" s="303"/>
      <c r="F1377" s="304"/>
      <c r="G1377" s="312"/>
      <c r="H1377" s="306"/>
      <c r="I1377" s="302"/>
      <c r="J1377" s="307"/>
      <c r="K1377" s="313"/>
      <c r="L1377" s="319"/>
      <c r="M1377" s="316"/>
      <c r="N1377" s="205"/>
      <c r="O1377" s="311"/>
      <c r="P1377" s="200"/>
      <c r="Q1377" s="200"/>
      <c r="R1377" s="58"/>
      <c r="S1377" s="58"/>
      <c r="T1377" s="58"/>
      <c r="U1377" s="58"/>
      <c r="V1377" s="58"/>
      <c r="W1377" s="58"/>
      <c r="X1377" s="58"/>
      <c r="Y1377" s="58"/>
      <c r="Z1377" s="58"/>
      <c r="AA1377" s="58"/>
      <c r="AB1377" s="58"/>
      <c r="AC1377" s="58"/>
    </row>
    <row r="1378">
      <c r="A1378" s="320"/>
      <c r="B1378" s="301"/>
      <c r="C1378" s="205"/>
      <c r="D1378" s="302"/>
      <c r="E1378" s="303"/>
      <c r="F1378" s="304"/>
      <c r="G1378" s="312"/>
      <c r="H1378" s="306"/>
      <c r="I1378" s="302"/>
      <c r="J1378" s="307"/>
      <c r="K1378" s="313"/>
      <c r="L1378" s="319"/>
      <c r="M1378" s="316"/>
      <c r="N1378" s="205"/>
      <c r="O1378" s="311"/>
      <c r="P1378" s="200"/>
      <c r="Q1378" s="200"/>
      <c r="R1378" s="58"/>
      <c r="S1378" s="58"/>
      <c r="T1378" s="58"/>
      <c r="U1378" s="58"/>
      <c r="V1378" s="58"/>
      <c r="W1378" s="58"/>
      <c r="X1378" s="58"/>
      <c r="Y1378" s="58"/>
      <c r="Z1378" s="58"/>
      <c r="AA1378" s="58"/>
      <c r="AB1378" s="58"/>
      <c r="AC1378" s="58"/>
    </row>
    <row r="1379">
      <c r="A1379" s="320"/>
      <c r="B1379" s="301"/>
      <c r="C1379" s="205"/>
      <c r="D1379" s="302"/>
      <c r="E1379" s="303"/>
      <c r="F1379" s="304"/>
      <c r="G1379" s="312"/>
      <c r="H1379" s="306"/>
      <c r="I1379" s="302"/>
      <c r="J1379" s="307"/>
      <c r="K1379" s="313"/>
      <c r="L1379" s="319"/>
      <c r="M1379" s="316"/>
      <c r="N1379" s="205"/>
      <c r="O1379" s="311"/>
      <c r="P1379" s="200"/>
      <c r="Q1379" s="200"/>
      <c r="R1379" s="58"/>
      <c r="S1379" s="58"/>
      <c r="T1379" s="58"/>
      <c r="U1379" s="58"/>
      <c r="V1379" s="58"/>
      <c r="W1379" s="58"/>
      <c r="X1379" s="58"/>
      <c r="Y1379" s="58"/>
      <c r="Z1379" s="58"/>
      <c r="AA1379" s="58"/>
      <c r="AB1379" s="58"/>
      <c r="AC1379" s="58"/>
    </row>
    <row r="1380">
      <c r="A1380" s="320"/>
      <c r="B1380" s="301"/>
      <c r="C1380" s="205"/>
      <c r="D1380" s="302"/>
      <c r="E1380" s="303"/>
      <c r="F1380" s="304"/>
      <c r="G1380" s="312"/>
      <c r="H1380" s="306"/>
      <c r="I1380" s="302"/>
      <c r="J1380" s="307"/>
      <c r="K1380" s="313"/>
      <c r="L1380" s="319"/>
      <c r="M1380" s="316"/>
      <c r="N1380" s="205"/>
      <c r="O1380" s="311"/>
      <c r="P1380" s="200"/>
      <c r="Q1380" s="200"/>
      <c r="R1380" s="58"/>
      <c r="S1380" s="58"/>
      <c r="T1380" s="58"/>
      <c r="U1380" s="58"/>
      <c r="V1380" s="58"/>
      <c r="W1380" s="58"/>
      <c r="X1380" s="58"/>
      <c r="Y1380" s="58"/>
      <c r="Z1380" s="58"/>
      <c r="AA1380" s="58"/>
      <c r="AB1380" s="58"/>
      <c r="AC1380" s="58"/>
    </row>
    <row r="1381">
      <c r="A1381" s="320"/>
      <c r="B1381" s="301"/>
      <c r="C1381" s="205"/>
      <c r="D1381" s="302"/>
      <c r="E1381" s="303"/>
      <c r="F1381" s="304"/>
      <c r="G1381" s="312"/>
      <c r="H1381" s="306"/>
      <c r="I1381" s="302"/>
      <c r="J1381" s="307"/>
      <c r="K1381" s="313"/>
      <c r="L1381" s="319"/>
      <c r="M1381" s="316"/>
      <c r="N1381" s="205"/>
      <c r="O1381" s="311"/>
      <c r="P1381" s="200"/>
      <c r="Q1381" s="200"/>
      <c r="R1381" s="58"/>
      <c r="S1381" s="58"/>
      <c r="T1381" s="58"/>
      <c r="U1381" s="58"/>
      <c r="V1381" s="58"/>
      <c r="W1381" s="58"/>
      <c r="X1381" s="58"/>
      <c r="Y1381" s="58"/>
      <c r="Z1381" s="58"/>
      <c r="AA1381" s="58"/>
      <c r="AB1381" s="58"/>
      <c r="AC1381" s="58"/>
    </row>
    <row r="1382">
      <c r="A1382" s="320"/>
      <c r="B1382" s="301"/>
      <c r="C1382" s="205"/>
      <c r="D1382" s="302"/>
      <c r="E1382" s="303"/>
      <c r="F1382" s="304"/>
      <c r="G1382" s="312"/>
      <c r="H1382" s="306"/>
      <c r="I1382" s="302"/>
      <c r="J1382" s="307"/>
      <c r="K1382" s="313"/>
      <c r="L1382" s="319"/>
      <c r="M1382" s="316"/>
      <c r="N1382" s="205"/>
      <c r="O1382" s="311"/>
      <c r="P1382" s="200"/>
      <c r="Q1382" s="200"/>
      <c r="R1382" s="58"/>
      <c r="S1382" s="58"/>
      <c r="T1382" s="58"/>
      <c r="U1382" s="58"/>
      <c r="V1382" s="58"/>
      <c r="W1382" s="58"/>
      <c r="X1382" s="58"/>
      <c r="Y1382" s="58"/>
      <c r="Z1382" s="58"/>
      <c r="AA1382" s="58"/>
      <c r="AB1382" s="58"/>
      <c r="AC1382" s="58"/>
    </row>
    <row r="1383">
      <c r="A1383" s="320"/>
      <c r="B1383" s="301"/>
      <c r="C1383" s="205"/>
      <c r="D1383" s="302"/>
      <c r="E1383" s="303"/>
      <c r="F1383" s="304"/>
      <c r="G1383" s="312"/>
      <c r="H1383" s="306"/>
      <c r="I1383" s="302"/>
      <c r="J1383" s="307"/>
      <c r="K1383" s="313"/>
      <c r="L1383" s="319"/>
      <c r="M1383" s="316"/>
      <c r="N1383" s="205"/>
      <c r="O1383" s="311"/>
      <c r="P1383" s="200"/>
      <c r="Q1383" s="200"/>
      <c r="R1383" s="58"/>
      <c r="S1383" s="58"/>
      <c r="T1383" s="58"/>
      <c r="U1383" s="58"/>
      <c r="V1383" s="58"/>
      <c r="W1383" s="58"/>
      <c r="X1383" s="58"/>
      <c r="Y1383" s="58"/>
      <c r="Z1383" s="58"/>
      <c r="AA1383" s="58"/>
      <c r="AB1383" s="58"/>
      <c r="AC1383" s="58"/>
    </row>
    <row r="1384">
      <c r="A1384" s="320"/>
      <c r="B1384" s="301"/>
      <c r="C1384" s="205"/>
      <c r="D1384" s="302"/>
      <c r="E1384" s="303"/>
      <c r="F1384" s="304"/>
      <c r="G1384" s="312"/>
      <c r="H1384" s="306"/>
      <c r="I1384" s="302"/>
      <c r="J1384" s="307"/>
      <c r="K1384" s="313"/>
      <c r="L1384" s="319"/>
      <c r="M1384" s="316"/>
      <c r="N1384" s="205"/>
      <c r="O1384" s="311"/>
      <c r="P1384" s="200"/>
      <c r="Q1384" s="200"/>
      <c r="R1384" s="58"/>
      <c r="S1384" s="58"/>
      <c r="T1384" s="58"/>
      <c r="U1384" s="58"/>
      <c r="V1384" s="58"/>
      <c r="W1384" s="58"/>
      <c r="X1384" s="58"/>
      <c r="Y1384" s="58"/>
      <c r="Z1384" s="58"/>
      <c r="AA1384" s="58"/>
      <c r="AB1384" s="58"/>
      <c r="AC1384" s="58"/>
    </row>
    <row r="1385">
      <c r="A1385" s="320"/>
      <c r="B1385" s="301"/>
      <c r="C1385" s="205"/>
      <c r="D1385" s="302"/>
      <c r="E1385" s="303"/>
      <c r="F1385" s="304"/>
      <c r="G1385" s="312"/>
      <c r="H1385" s="306"/>
      <c r="I1385" s="302"/>
      <c r="J1385" s="307"/>
      <c r="K1385" s="313"/>
      <c r="L1385" s="319"/>
      <c r="M1385" s="316"/>
      <c r="N1385" s="205"/>
      <c r="O1385" s="311"/>
      <c r="P1385" s="200"/>
      <c r="Q1385" s="200"/>
      <c r="R1385" s="58"/>
      <c r="S1385" s="58"/>
      <c r="T1385" s="58"/>
      <c r="U1385" s="58"/>
      <c r="V1385" s="58"/>
      <c r="W1385" s="58"/>
      <c r="X1385" s="58"/>
      <c r="Y1385" s="58"/>
      <c r="Z1385" s="58"/>
      <c r="AA1385" s="58"/>
      <c r="AB1385" s="58"/>
      <c r="AC1385" s="58"/>
    </row>
    <row r="1386">
      <c r="A1386" s="320"/>
      <c r="B1386" s="301"/>
      <c r="C1386" s="205"/>
      <c r="D1386" s="302"/>
      <c r="E1386" s="303"/>
      <c r="F1386" s="304"/>
      <c r="G1386" s="312"/>
      <c r="H1386" s="306"/>
      <c r="I1386" s="302"/>
      <c r="J1386" s="307"/>
      <c r="K1386" s="313"/>
      <c r="L1386" s="319"/>
      <c r="M1386" s="316"/>
      <c r="N1386" s="205"/>
      <c r="O1386" s="311"/>
      <c r="P1386" s="200"/>
      <c r="Q1386" s="200"/>
      <c r="R1386" s="58"/>
      <c r="S1386" s="58"/>
      <c r="T1386" s="58"/>
      <c r="U1386" s="58"/>
      <c r="V1386" s="58"/>
      <c r="W1386" s="58"/>
      <c r="X1386" s="58"/>
      <c r="Y1386" s="58"/>
      <c r="Z1386" s="58"/>
      <c r="AA1386" s="58"/>
      <c r="AB1386" s="58"/>
      <c r="AC1386" s="58"/>
    </row>
    <row r="1387">
      <c r="A1387" s="320"/>
      <c r="B1387" s="301"/>
      <c r="C1387" s="205"/>
      <c r="D1387" s="302"/>
      <c r="E1387" s="303"/>
      <c r="F1387" s="304"/>
      <c r="G1387" s="312"/>
      <c r="H1387" s="306"/>
      <c r="I1387" s="302"/>
      <c r="J1387" s="307"/>
      <c r="K1387" s="313"/>
      <c r="L1387" s="319"/>
      <c r="M1387" s="316"/>
      <c r="N1387" s="205"/>
      <c r="O1387" s="311"/>
      <c r="P1387" s="200"/>
      <c r="Q1387" s="200"/>
      <c r="R1387" s="58"/>
      <c r="S1387" s="58"/>
      <c r="T1387" s="58"/>
      <c r="U1387" s="58"/>
      <c r="V1387" s="58"/>
      <c r="W1387" s="58"/>
      <c r="X1387" s="58"/>
      <c r="Y1387" s="58"/>
      <c r="Z1387" s="58"/>
      <c r="AA1387" s="58"/>
      <c r="AB1387" s="58"/>
      <c r="AC1387" s="58"/>
    </row>
    <row r="1388">
      <c r="A1388" s="320"/>
      <c r="B1388" s="301"/>
      <c r="C1388" s="205"/>
      <c r="D1388" s="302"/>
      <c r="E1388" s="303"/>
      <c r="F1388" s="304"/>
      <c r="G1388" s="312"/>
      <c r="H1388" s="306"/>
      <c r="I1388" s="302"/>
      <c r="J1388" s="307"/>
      <c r="K1388" s="313"/>
      <c r="L1388" s="319"/>
      <c r="M1388" s="316"/>
      <c r="N1388" s="205"/>
      <c r="O1388" s="311"/>
      <c r="P1388" s="200"/>
      <c r="Q1388" s="200"/>
      <c r="R1388" s="58"/>
      <c r="S1388" s="58"/>
      <c r="T1388" s="58"/>
      <c r="U1388" s="58"/>
      <c r="V1388" s="58"/>
      <c r="W1388" s="58"/>
      <c r="X1388" s="58"/>
      <c r="Y1388" s="58"/>
      <c r="Z1388" s="58"/>
      <c r="AA1388" s="58"/>
      <c r="AB1388" s="58"/>
      <c r="AC1388" s="58"/>
    </row>
    <row r="1389">
      <c r="A1389" s="320"/>
      <c r="B1389" s="301"/>
      <c r="C1389" s="205"/>
      <c r="D1389" s="302"/>
      <c r="E1389" s="303"/>
      <c r="F1389" s="304"/>
      <c r="G1389" s="312"/>
      <c r="H1389" s="306"/>
      <c r="I1389" s="302"/>
      <c r="J1389" s="307"/>
      <c r="K1389" s="313"/>
      <c r="L1389" s="319"/>
      <c r="M1389" s="316"/>
      <c r="N1389" s="205"/>
      <c r="O1389" s="311"/>
      <c r="P1389" s="200"/>
      <c r="Q1389" s="200"/>
      <c r="R1389" s="58"/>
      <c r="S1389" s="58"/>
      <c r="T1389" s="58"/>
      <c r="U1389" s="58"/>
      <c r="V1389" s="58"/>
      <c r="W1389" s="58"/>
      <c r="X1389" s="58"/>
      <c r="Y1389" s="58"/>
      <c r="Z1389" s="58"/>
      <c r="AA1389" s="58"/>
      <c r="AB1389" s="58"/>
      <c r="AC1389" s="58"/>
    </row>
    <row r="1390">
      <c r="A1390" s="320"/>
      <c r="B1390" s="301"/>
      <c r="C1390" s="205"/>
      <c r="D1390" s="302"/>
      <c r="E1390" s="303"/>
      <c r="F1390" s="304"/>
      <c r="G1390" s="312"/>
      <c r="H1390" s="306"/>
      <c r="I1390" s="302"/>
      <c r="J1390" s="307"/>
      <c r="K1390" s="313"/>
      <c r="L1390" s="319"/>
      <c r="M1390" s="316"/>
      <c r="N1390" s="205"/>
      <c r="O1390" s="311"/>
      <c r="P1390" s="200"/>
      <c r="Q1390" s="200"/>
      <c r="R1390" s="58"/>
      <c r="S1390" s="58"/>
      <c r="T1390" s="58"/>
      <c r="U1390" s="58"/>
      <c r="V1390" s="58"/>
      <c r="W1390" s="58"/>
      <c r="X1390" s="58"/>
      <c r="Y1390" s="58"/>
      <c r="Z1390" s="58"/>
      <c r="AA1390" s="58"/>
      <c r="AB1390" s="58"/>
      <c r="AC1390" s="58"/>
    </row>
    <row r="1391">
      <c r="A1391" s="320"/>
      <c r="B1391" s="301"/>
      <c r="C1391" s="205"/>
      <c r="D1391" s="302"/>
      <c r="E1391" s="303"/>
      <c r="F1391" s="304"/>
      <c r="G1391" s="312"/>
      <c r="H1391" s="306"/>
      <c r="I1391" s="302"/>
      <c r="J1391" s="307"/>
      <c r="K1391" s="313"/>
      <c r="L1391" s="319"/>
      <c r="M1391" s="316"/>
      <c r="N1391" s="205"/>
      <c r="O1391" s="311"/>
      <c r="P1391" s="200"/>
      <c r="Q1391" s="200"/>
      <c r="R1391" s="58"/>
      <c r="S1391" s="58"/>
      <c r="T1391" s="58"/>
      <c r="U1391" s="58"/>
      <c r="V1391" s="58"/>
      <c r="W1391" s="58"/>
      <c r="X1391" s="58"/>
      <c r="Y1391" s="58"/>
      <c r="Z1391" s="58"/>
      <c r="AA1391" s="58"/>
      <c r="AB1391" s="58"/>
      <c r="AC1391" s="58"/>
    </row>
    <row r="1392">
      <c r="A1392" s="320"/>
      <c r="B1392" s="301"/>
      <c r="C1392" s="205"/>
      <c r="D1392" s="302"/>
      <c r="E1392" s="303"/>
      <c r="F1392" s="304"/>
      <c r="G1392" s="312"/>
      <c r="H1392" s="306"/>
      <c r="I1392" s="302"/>
      <c r="J1392" s="307"/>
      <c r="K1392" s="313"/>
      <c r="L1392" s="319"/>
      <c r="M1392" s="316"/>
      <c r="N1392" s="205"/>
      <c r="O1392" s="311"/>
      <c r="P1392" s="200"/>
      <c r="Q1392" s="200"/>
      <c r="R1392" s="58"/>
      <c r="S1392" s="58"/>
      <c r="T1392" s="58"/>
      <c r="U1392" s="58"/>
      <c r="V1392" s="58"/>
      <c r="W1392" s="58"/>
      <c r="X1392" s="58"/>
      <c r="Y1392" s="58"/>
      <c r="Z1392" s="58"/>
      <c r="AA1392" s="58"/>
      <c r="AB1392" s="58"/>
      <c r="AC1392" s="58"/>
    </row>
    <row r="1393">
      <c r="A1393" s="320"/>
      <c r="B1393" s="301"/>
      <c r="C1393" s="205"/>
      <c r="D1393" s="302"/>
      <c r="E1393" s="303"/>
      <c r="F1393" s="304"/>
      <c r="G1393" s="312"/>
      <c r="H1393" s="306"/>
      <c r="I1393" s="302"/>
      <c r="J1393" s="307"/>
      <c r="K1393" s="313"/>
      <c r="L1393" s="319"/>
      <c r="M1393" s="316"/>
      <c r="N1393" s="205"/>
      <c r="O1393" s="311"/>
      <c r="P1393" s="200"/>
      <c r="Q1393" s="200"/>
      <c r="R1393" s="58"/>
      <c r="S1393" s="58"/>
      <c r="T1393" s="58"/>
      <c r="U1393" s="58"/>
      <c r="V1393" s="58"/>
      <c r="W1393" s="58"/>
      <c r="X1393" s="58"/>
      <c r="Y1393" s="58"/>
      <c r="Z1393" s="58"/>
      <c r="AA1393" s="58"/>
      <c r="AB1393" s="58"/>
      <c r="AC1393" s="58"/>
    </row>
    <row r="1394">
      <c r="A1394" s="320"/>
      <c r="B1394" s="301"/>
      <c r="C1394" s="205"/>
      <c r="D1394" s="302"/>
      <c r="E1394" s="303"/>
      <c r="F1394" s="304"/>
      <c r="G1394" s="312"/>
      <c r="H1394" s="306"/>
      <c r="I1394" s="302"/>
      <c r="J1394" s="307"/>
      <c r="K1394" s="313"/>
      <c r="L1394" s="319"/>
      <c r="M1394" s="316"/>
      <c r="N1394" s="205"/>
      <c r="O1394" s="311"/>
      <c r="P1394" s="200"/>
      <c r="Q1394" s="200"/>
      <c r="R1394" s="58"/>
      <c r="S1394" s="58"/>
      <c r="T1394" s="58"/>
      <c r="U1394" s="58"/>
      <c r="V1394" s="58"/>
      <c r="W1394" s="58"/>
      <c r="X1394" s="58"/>
      <c r="Y1394" s="58"/>
      <c r="Z1394" s="58"/>
      <c r="AA1394" s="58"/>
      <c r="AB1394" s="58"/>
      <c r="AC1394" s="58"/>
    </row>
    <row r="1395">
      <c r="A1395" s="320"/>
      <c r="B1395" s="301"/>
      <c r="C1395" s="205"/>
      <c r="D1395" s="302"/>
      <c r="E1395" s="303"/>
      <c r="F1395" s="304"/>
      <c r="G1395" s="312"/>
      <c r="H1395" s="306"/>
      <c r="I1395" s="302"/>
      <c r="J1395" s="307"/>
      <c r="K1395" s="313"/>
      <c r="L1395" s="319"/>
      <c r="M1395" s="316"/>
      <c r="N1395" s="205"/>
      <c r="O1395" s="311"/>
      <c r="P1395" s="200"/>
      <c r="Q1395" s="200"/>
      <c r="R1395" s="58"/>
      <c r="S1395" s="58"/>
      <c r="T1395" s="58"/>
      <c r="U1395" s="58"/>
      <c r="V1395" s="58"/>
      <c r="W1395" s="58"/>
      <c r="X1395" s="58"/>
      <c r="Y1395" s="58"/>
      <c r="Z1395" s="58"/>
      <c r="AA1395" s="58"/>
      <c r="AB1395" s="58"/>
      <c r="AC1395" s="58"/>
    </row>
    <row r="1396">
      <c r="A1396" s="320"/>
      <c r="B1396" s="301"/>
      <c r="C1396" s="205"/>
      <c r="D1396" s="302"/>
      <c r="E1396" s="303"/>
      <c r="F1396" s="304"/>
      <c r="G1396" s="312"/>
      <c r="H1396" s="306"/>
      <c r="I1396" s="302"/>
      <c r="J1396" s="307"/>
      <c r="K1396" s="313"/>
      <c r="L1396" s="319"/>
      <c r="M1396" s="316"/>
      <c r="N1396" s="205"/>
      <c r="O1396" s="311"/>
      <c r="P1396" s="200"/>
      <c r="Q1396" s="200"/>
      <c r="R1396" s="58"/>
      <c r="S1396" s="58"/>
      <c r="T1396" s="58"/>
      <c r="U1396" s="58"/>
      <c r="V1396" s="58"/>
      <c r="W1396" s="58"/>
      <c r="X1396" s="58"/>
      <c r="Y1396" s="58"/>
      <c r="Z1396" s="58"/>
      <c r="AA1396" s="58"/>
      <c r="AB1396" s="58"/>
      <c r="AC1396" s="58"/>
    </row>
    <row r="1397">
      <c r="A1397" s="320"/>
      <c r="B1397" s="301"/>
      <c r="C1397" s="205"/>
      <c r="D1397" s="302"/>
      <c r="E1397" s="303"/>
      <c r="F1397" s="304"/>
      <c r="G1397" s="312"/>
      <c r="H1397" s="306"/>
      <c r="I1397" s="302"/>
      <c r="J1397" s="307"/>
      <c r="K1397" s="313"/>
      <c r="L1397" s="319"/>
      <c r="M1397" s="316"/>
      <c r="N1397" s="205"/>
      <c r="O1397" s="311"/>
      <c r="P1397" s="200"/>
      <c r="Q1397" s="200"/>
      <c r="R1397" s="58"/>
      <c r="S1397" s="58"/>
      <c r="T1397" s="58"/>
      <c r="U1397" s="58"/>
      <c r="V1397" s="58"/>
      <c r="W1397" s="58"/>
      <c r="X1397" s="58"/>
      <c r="Y1397" s="58"/>
      <c r="Z1397" s="58"/>
      <c r="AA1397" s="58"/>
      <c r="AB1397" s="58"/>
      <c r="AC1397" s="58"/>
    </row>
    <row r="1398">
      <c r="A1398" s="320"/>
      <c r="B1398" s="301"/>
      <c r="C1398" s="205"/>
      <c r="D1398" s="302"/>
      <c r="E1398" s="303"/>
      <c r="F1398" s="304"/>
      <c r="G1398" s="312"/>
      <c r="H1398" s="306"/>
      <c r="I1398" s="302"/>
      <c r="J1398" s="307"/>
      <c r="K1398" s="313"/>
      <c r="L1398" s="319"/>
      <c r="M1398" s="316"/>
      <c r="N1398" s="205"/>
      <c r="O1398" s="311"/>
      <c r="P1398" s="200"/>
      <c r="Q1398" s="200"/>
      <c r="R1398" s="58"/>
      <c r="S1398" s="58"/>
      <c r="T1398" s="58"/>
      <c r="U1398" s="58"/>
      <c r="V1398" s="58"/>
      <c r="W1398" s="58"/>
      <c r="X1398" s="58"/>
      <c r="Y1398" s="58"/>
      <c r="Z1398" s="58"/>
      <c r="AA1398" s="58"/>
      <c r="AB1398" s="58"/>
      <c r="AC1398" s="58"/>
    </row>
    <row r="1399">
      <c r="A1399" s="320"/>
      <c r="B1399" s="301"/>
      <c r="C1399" s="205"/>
      <c r="D1399" s="302"/>
      <c r="E1399" s="303"/>
      <c r="F1399" s="304"/>
      <c r="G1399" s="312"/>
      <c r="H1399" s="306"/>
      <c r="I1399" s="302"/>
      <c r="J1399" s="307"/>
      <c r="K1399" s="313"/>
      <c r="L1399" s="319"/>
      <c r="M1399" s="316"/>
      <c r="N1399" s="205"/>
      <c r="O1399" s="311"/>
      <c r="P1399" s="200"/>
      <c r="Q1399" s="200"/>
      <c r="R1399" s="58"/>
      <c r="S1399" s="58"/>
      <c r="T1399" s="58"/>
      <c r="U1399" s="58"/>
      <c r="V1399" s="58"/>
      <c r="W1399" s="58"/>
      <c r="X1399" s="58"/>
      <c r="Y1399" s="58"/>
      <c r="Z1399" s="58"/>
      <c r="AA1399" s="58"/>
      <c r="AB1399" s="58"/>
      <c r="AC1399" s="58"/>
    </row>
    <row r="1400">
      <c r="A1400" s="320"/>
      <c r="B1400" s="301"/>
      <c r="C1400" s="205"/>
      <c r="D1400" s="302"/>
      <c r="E1400" s="303"/>
      <c r="F1400" s="304"/>
      <c r="G1400" s="312"/>
      <c r="H1400" s="306"/>
      <c r="I1400" s="302"/>
      <c r="J1400" s="307"/>
      <c r="K1400" s="313"/>
      <c r="L1400" s="319"/>
      <c r="M1400" s="316"/>
      <c r="N1400" s="205"/>
      <c r="O1400" s="311"/>
      <c r="P1400" s="200"/>
      <c r="Q1400" s="200"/>
      <c r="R1400" s="58"/>
      <c r="S1400" s="58"/>
      <c r="T1400" s="58"/>
      <c r="U1400" s="58"/>
      <c r="V1400" s="58"/>
      <c r="W1400" s="58"/>
      <c r="X1400" s="58"/>
      <c r="Y1400" s="58"/>
      <c r="Z1400" s="58"/>
      <c r="AA1400" s="58"/>
      <c r="AB1400" s="58"/>
      <c r="AC1400" s="58"/>
    </row>
    <row r="1401">
      <c r="A1401" s="320"/>
      <c r="B1401" s="301"/>
      <c r="C1401" s="205"/>
      <c r="D1401" s="302"/>
      <c r="E1401" s="303"/>
      <c r="F1401" s="304"/>
      <c r="G1401" s="312"/>
      <c r="H1401" s="306"/>
      <c r="I1401" s="302"/>
      <c r="J1401" s="307"/>
      <c r="K1401" s="313"/>
      <c r="L1401" s="319"/>
      <c r="M1401" s="316"/>
      <c r="N1401" s="205"/>
      <c r="O1401" s="311"/>
      <c r="P1401" s="200"/>
      <c r="Q1401" s="200"/>
      <c r="R1401" s="58"/>
      <c r="S1401" s="58"/>
      <c r="T1401" s="58"/>
      <c r="U1401" s="58"/>
      <c r="V1401" s="58"/>
      <c r="W1401" s="58"/>
      <c r="X1401" s="58"/>
      <c r="Y1401" s="58"/>
      <c r="Z1401" s="58"/>
      <c r="AA1401" s="58"/>
      <c r="AB1401" s="58"/>
      <c r="AC1401" s="58"/>
    </row>
    <row r="1402">
      <c r="A1402" s="320"/>
      <c r="B1402" s="301"/>
      <c r="C1402" s="205"/>
      <c r="D1402" s="302"/>
      <c r="E1402" s="303"/>
      <c r="F1402" s="304"/>
      <c r="G1402" s="312"/>
      <c r="H1402" s="306"/>
      <c r="I1402" s="302"/>
      <c r="J1402" s="307"/>
      <c r="K1402" s="313"/>
      <c r="L1402" s="319"/>
      <c r="M1402" s="316"/>
      <c r="N1402" s="205"/>
      <c r="O1402" s="311"/>
      <c r="P1402" s="200"/>
      <c r="Q1402" s="200"/>
      <c r="R1402" s="58"/>
      <c r="S1402" s="58"/>
      <c r="T1402" s="58"/>
      <c r="U1402" s="58"/>
      <c r="V1402" s="58"/>
      <c r="W1402" s="58"/>
      <c r="X1402" s="58"/>
      <c r="Y1402" s="58"/>
      <c r="Z1402" s="58"/>
      <c r="AA1402" s="58"/>
      <c r="AB1402" s="58"/>
      <c r="AC1402" s="58"/>
    </row>
    <row r="1403">
      <c r="A1403" s="320"/>
      <c r="B1403" s="301"/>
      <c r="C1403" s="205"/>
      <c r="D1403" s="302"/>
      <c r="E1403" s="303"/>
      <c r="F1403" s="304"/>
      <c r="G1403" s="312"/>
      <c r="H1403" s="306"/>
      <c r="I1403" s="302"/>
      <c r="J1403" s="307"/>
      <c r="K1403" s="313"/>
      <c r="L1403" s="319"/>
      <c r="M1403" s="316"/>
      <c r="N1403" s="205"/>
      <c r="O1403" s="311"/>
      <c r="P1403" s="200"/>
      <c r="Q1403" s="200"/>
      <c r="R1403" s="58"/>
      <c r="S1403" s="58"/>
      <c r="T1403" s="58"/>
      <c r="U1403" s="58"/>
      <c r="V1403" s="58"/>
      <c r="W1403" s="58"/>
      <c r="X1403" s="58"/>
      <c r="Y1403" s="58"/>
      <c r="Z1403" s="58"/>
      <c r="AA1403" s="58"/>
      <c r="AB1403" s="58"/>
      <c r="AC1403" s="58"/>
    </row>
    <row r="1404">
      <c r="A1404" s="320"/>
      <c r="B1404" s="301"/>
      <c r="C1404" s="205"/>
      <c r="D1404" s="302"/>
      <c r="E1404" s="303"/>
      <c r="F1404" s="304"/>
      <c r="G1404" s="312"/>
      <c r="H1404" s="306"/>
      <c r="I1404" s="302"/>
      <c r="J1404" s="307"/>
      <c r="K1404" s="313"/>
      <c r="L1404" s="319"/>
      <c r="M1404" s="316"/>
      <c r="N1404" s="205"/>
      <c r="O1404" s="311"/>
      <c r="P1404" s="200"/>
      <c r="Q1404" s="200"/>
      <c r="R1404" s="58"/>
      <c r="S1404" s="58"/>
      <c r="T1404" s="58"/>
      <c r="U1404" s="58"/>
      <c r="V1404" s="58"/>
      <c r="W1404" s="58"/>
      <c r="X1404" s="58"/>
      <c r="Y1404" s="58"/>
      <c r="Z1404" s="58"/>
      <c r="AA1404" s="58"/>
      <c r="AB1404" s="58"/>
      <c r="AC1404" s="58"/>
    </row>
    <row r="1405">
      <c r="A1405" s="320"/>
      <c r="B1405" s="301"/>
      <c r="C1405" s="205"/>
      <c r="D1405" s="302"/>
      <c r="E1405" s="303"/>
      <c r="F1405" s="304"/>
      <c r="G1405" s="312"/>
      <c r="H1405" s="306"/>
      <c r="I1405" s="302"/>
      <c r="J1405" s="307"/>
      <c r="K1405" s="313"/>
      <c r="L1405" s="319"/>
      <c r="M1405" s="316"/>
      <c r="N1405" s="205"/>
      <c r="O1405" s="311"/>
      <c r="P1405" s="200"/>
      <c r="Q1405" s="200"/>
      <c r="R1405" s="58"/>
      <c r="S1405" s="58"/>
      <c r="T1405" s="58"/>
      <c r="U1405" s="58"/>
      <c r="V1405" s="58"/>
      <c r="W1405" s="58"/>
      <c r="X1405" s="58"/>
      <c r="Y1405" s="58"/>
      <c r="Z1405" s="58"/>
      <c r="AA1405" s="58"/>
      <c r="AB1405" s="58"/>
      <c r="AC1405" s="58"/>
    </row>
    <row r="1406">
      <c r="A1406" s="320"/>
      <c r="B1406" s="301"/>
      <c r="C1406" s="205"/>
      <c r="D1406" s="302"/>
      <c r="E1406" s="303"/>
      <c r="F1406" s="304"/>
      <c r="G1406" s="312"/>
      <c r="H1406" s="306"/>
      <c r="I1406" s="302"/>
      <c r="J1406" s="307"/>
      <c r="K1406" s="313"/>
      <c r="L1406" s="319"/>
      <c r="M1406" s="316"/>
      <c r="N1406" s="205"/>
      <c r="O1406" s="311"/>
      <c r="P1406" s="200"/>
      <c r="Q1406" s="200"/>
      <c r="R1406" s="58"/>
      <c r="S1406" s="58"/>
      <c r="T1406" s="58"/>
      <c r="U1406" s="58"/>
      <c r="V1406" s="58"/>
      <c r="W1406" s="58"/>
      <c r="X1406" s="58"/>
      <c r="Y1406" s="58"/>
      <c r="Z1406" s="58"/>
      <c r="AA1406" s="58"/>
      <c r="AB1406" s="58"/>
      <c r="AC1406" s="58"/>
    </row>
    <row r="1407">
      <c r="A1407" s="320"/>
      <c r="B1407" s="301"/>
      <c r="C1407" s="205"/>
      <c r="D1407" s="302"/>
      <c r="E1407" s="303"/>
      <c r="F1407" s="304"/>
      <c r="G1407" s="312"/>
      <c r="H1407" s="306"/>
      <c r="I1407" s="302"/>
      <c r="J1407" s="307"/>
      <c r="K1407" s="313"/>
      <c r="L1407" s="319"/>
      <c r="M1407" s="316"/>
      <c r="N1407" s="205"/>
      <c r="O1407" s="311"/>
      <c r="P1407" s="200"/>
      <c r="Q1407" s="200"/>
      <c r="R1407" s="58"/>
      <c r="S1407" s="58"/>
      <c r="T1407" s="58"/>
      <c r="U1407" s="58"/>
      <c r="V1407" s="58"/>
      <c r="W1407" s="58"/>
      <c r="X1407" s="58"/>
      <c r="Y1407" s="58"/>
      <c r="Z1407" s="58"/>
      <c r="AA1407" s="58"/>
      <c r="AB1407" s="58"/>
      <c r="AC1407" s="58"/>
    </row>
    <row r="1408">
      <c r="A1408" s="320"/>
      <c r="B1408" s="301"/>
      <c r="C1408" s="205"/>
      <c r="D1408" s="302"/>
      <c r="E1408" s="303"/>
      <c r="F1408" s="304"/>
      <c r="G1408" s="312"/>
      <c r="H1408" s="306"/>
      <c r="I1408" s="302"/>
      <c r="J1408" s="307"/>
      <c r="K1408" s="313"/>
      <c r="L1408" s="319"/>
      <c r="M1408" s="316"/>
      <c r="N1408" s="205"/>
      <c r="O1408" s="311"/>
      <c r="P1408" s="200"/>
      <c r="Q1408" s="200"/>
      <c r="R1408" s="58"/>
      <c r="S1408" s="58"/>
      <c r="T1408" s="58"/>
      <c r="U1408" s="58"/>
      <c r="V1408" s="58"/>
      <c r="W1408" s="58"/>
      <c r="X1408" s="58"/>
      <c r="Y1408" s="58"/>
      <c r="Z1408" s="58"/>
      <c r="AA1408" s="58"/>
      <c r="AB1408" s="58"/>
      <c r="AC1408" s="58"/>
    </row>
  </sheetData>
  <sheetProtection sheet="1" objects="1" scenarios="1" selectLockedCells="1" selectUnlockedCells="1"/>
  <autoFilter ref="$A$5:$P$641"/>
  <mergeCells count="4">
    <mergeCell ref="C1:P1"/>
    <mergeCell ref="C2:D2"/>
    <mergeCell ref="E2:F2"/>
    <mergeCell ref="G2:O2"/>
  </mergeCells>
  <conditionalFormatting sqref="A6:Q1408">
    <cfRule type="expression" dxfId="5" priority="1">
      <formula>$J6="Open"</formula>
    </cfRule>
  </conditionalFormatting>
  <conditionalFormatting sqref="A6:Q1408">
    <cfRule type="expression" dxfId="3" priority="2">
      <formula>$J6="Closed"</formula>
    </cfRule>
  </conditionalFormatting>
  <conditionalFormatting sqref="A6:Q1408">
    <cfRule type="expression" dxfId="4" priority="3">
      <formula>$J6="In Progress"</formula>
    </cfRule>
  </conditionalFormatting>
  <conditionalFormatting sqref="A6:Q1408">
    <cfRule type="expression" dxfId="20" priority="4">
      <formula>$J6="Waiting Stoppage"</formula>
    </cfRule>
  </conditionalFormatting>
  <dataValidations>
    <dataValidation type="list" allowBlank="1" sqref="C2">
      <formula1>"All Years,2024,2025,2026,2027"</formula1>
    </dataValidation>
    <dataValidation type="list" allowBlank="1" sqref="E2">
      <formula1>"All Months,January,February,March,April,May,June,July,August,September,October,November,December"</formula1>
    </dataValidation>
    <dataValidation type="list" allowBlank="1" sqref="B6:B1408">
      <formula1>'Equipment Registry'!$A$3:$A$154</formula1>
    </dataValidation>
    <dataValidation type="list" allowBlank="1" showErrorMessage="1" sqref="G6:G1408">
      <formula1>"CAUTION,NORMAL,ALERT,MISSING,Insufficient Sample,Oil Changed"</formula1>
    </dataValidation>
    <dataValidation type="list" allowBlank="1" sqref="J6:J1408">
      <formula1>"Open,In Progress,Waiting Stoppage,Closed"</formula1>
    </dataValidation>
  </dataValidations>
  <printOptions/>
  <pageMargins bottom="1.0" footer="0.0" header="0.0" left="0.75" right="0.75" top="1.0"/>
  <pageSetup paperSize="9" orientation="portrait"/>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AD47"/>
    <pageSetUpPr/>
  </sheetPr>
  <sheetViews>
    <sheetView workbookViewId="0"/>
  </sheetViews>
  <sheetFormatPr customHeight="1" defaultColWidth="14.43" defaultRowHeight="15.0"/>
  <cols>
    <col customWidth="1" min="1" max="1" width="20.0"/>
    <col customWidth="1" min="2" max="2" width="28.14"/>
    <col customWidth="1" min="3" max="3" width="11.43"/>
    <col customWidth="1" min="4" max="4" width="15.43"/>
    <col customWidth="1" min="5" max="5" width="22.71"/>
    <col customWidth="1" min="6" max="7" width="14.86"/>
    <col customWidth="1" min="8" max="8" width="40.14"/>
    <col customWidth="1" min="9" max="9" width="11.86"/>
  </cols>
  <sheetData>
    <row r="1">
      <c r="A1" s="321" t="s">
        <v>1205</v>
      </c>
      <c r="B1" s="2"/>
      <c r="C1" s="2"/>
      <c r="D1" s="2"/>
      <c r="E1" s="2"/>
      <c r="F1" s="2"/>
      <c r="G1" s="2"/>
      <c r="H1" s="2"/>
      <c r="I1" s="3"/>
      <c r="J1" s="322"/>
      <c r="K1" s="322"/>
      <c r="L1" s="322"/>
      <c r="M1" s="322"/>
      <c r="N1" s="322"/>
      <c r="O1" s="322"/>
      <c r="P1" s="322"/>
      <c r="Q1" s="322"/>
      <c r="R1" s="322"/>
      <c r="S1" s="322"/>
      <c r="T1" s="322"/>
      <c r="U1" s="322"/>
      <c r="V1" s="322"/>
      <c r="W1" s="322"/>
      <c r="X1" s="322"/>
      <c r="Y1" s="322"/>
      <c r="Z1" s="322"/>
      <c r="AA1" s="322"/>
      <c r="AB1" s="322"/>
    </row>
    <row r="2">
      <c r="A2" s="323" t="s">
        <v>499</v>
      </c>
      <c r="B2" s="324" t="s">
        <v>500</v>
      </c>
      <c r="C2" s="323" t="s">
        <v>1206</v>
      </c>
      <c r="D2" s="323" t="s">
        <v>1207</v>
      </c>
      <c r="E2" s="324" t="s">
        <v>1208</v>
      </c>
      <c r="F2" s="325" t="s">
        <v>1209</v>
      </c>
      <c r="G2" s="325" t="s">
        <v>1210</v>
      </c>
      <c r="H2" s="325" t="s">
        <v>1211</v>
      </c>
      <c r="I2" s="325" t="s">
        <v>1212</v>
      </c>
      <c r="J2" s="322"/>
      <c r="K2" s="322"/>
      <c r="L2" s="322"/>
      <c r="M2" s="322"/>
      <c r="N2" s="322"/>
      <c r="O2" s="322"/>
      <c r="P2" s="322"/>
      <c r="Q2" s="322"/>
      <c r="R2" s="322"/>
      <c r="S2" s="322"/>
      <c r="T2" s="322"/>
      <c r="U2" s="322"/>
      <c r="V2" s="322"/>
      <c r="W2" s="322"/>
      <c r="X2" s="322"/>
      <c r="Y2" s="322"/>
      <c r="Z2" s="322"/>
      <c r="AA2" s="322"/>
      <c r="AB2" s="322"/>
    </row>
    <row r="3">
      <c r="A3" s="199" t="s">
        <v>64</v>
      </c>
      <c r="B3" s="309" t="s">
        <v>587</v>
      </c>
      <c r="C3" s="199">
        <v>3.0921624E7</v>
      </c>
      <c r="D3" s="199" t="s">
        <v>1213</v>
      </c>
      <c r="E3" s="309" t="s">
        <v>1214</v>
      </c>
      <c r="F3" s="199" t="s">
        <v>95</v>
      </c>
      <c r="G3" s="199" t="s">
        <v>1215</v>
      </c>
      <c r="H3" s="199" t="s">
        <v>1216</v>
      </c>
      <c r="I3" s="199" t="s">
        <v>1217</v>
      </c>
      <c r="J3" s="322"/>
      <c r="K3" s="322"/>
      <c r="L3" s="322"/>
      <c r="M3" s="322"/>
      <c r="N3" s="322"/>
      <c r="O3" s="322"/>
      <c r="P3" s="322"/>
      <c r="Q3" s="322"/>
      <c r="R3" s="322"/>
      <c r="S3" s="322"/>
      <c r="T3" s="322"/>
      <c r="U3" s="322"/>
      <c r="V3" s="322"/>
      <c r="W3" s="322"/>
      <c r="X3" s="322"/>
      <c r="Y3" s="322"/>
      <c r="Z3" s="322"/>
      <c r="AA3" s="322"/>
      <c r="AB3" s="322"/>
    </row>
    <row r="4">
      <c r="A4" s="326" t="s">
        <v>103</v>
      </c>
      <c r="B4" s="327" t="s">
        <v>332</v>
      </c>
      <c r="C4" s="326">
        <v>3.0921623E7</v>
      </c>
      <c r="D4" s="326" t="s">
        <v>1213</v>
      </c>
      <c r="E4" s="327" t="s">
        <v>1214</v>
      </c>
      <c r="F4" s="326" t="s">
        <v>95</v>
      </c>
      <c r="G4" s="326" t="s">
        <v>1215</v>
      </c>
      <c r="H4" s="326" t="s">
        <v>1216</v>
      </c>
      <c r="I4" s="326" t="s">
        <v>1217</v>
      </c>
      <c r="J4" s="322"/>
      <c r="K4" s="322"/>
      <c r="L4" s="322"/>
      <c r="M4" s="322"/>
      <c r="N4" s="322"/>
      <c r="O4" s="322"/>
      <c r="P4" s="322"/>
      <c r="Q4" s="322"/>
      <c r="R4" s="322"/>
      <c r="S4" s="322"/>
      <c r="T4" s="322"/>
      <c r="U4" s="322"/>
      <c r="V4" s="322"/>
      <c r="W4" s="322"/>
      <c r="X4" s="322"/>
      <c r="Y4" s="322"/>
      <c r="Z4" s="322"/>
      <c r="AA4" s="322"/>
      <c r="AB4" s="322"/>
    </row>
    <row r="5">
      <c r="A5" s="199" t="s">
        <v>104</v>
      </c>
      <c r="B5" s="309" t="s">
        <v>333</v>
      </c>
      <c r="C5" s="199">
        <v>3.0690505E7</v>
      </c>
      <c r="D5" s="199" t="s">
        <v>1213</v>
      </c>
      <c r="E5" s="309" t="s">
        <v>1214</v>
      </c>
      <c r="F5" s="199" t="s">
        <v>95</v>
      </c>
      <c r="G5" s="199" t="s">
        <v>1215</v>
      </c>
      <c r="H5" s="199" t="s">
        <v>1218</v>
      </c>
      <c r="I5" s="199" t="s">
        <v>1217</v>
      </c>
      <c r="J5" s="322"/>
      <c r="K5" s="322"/>
      <c r="L5" s="322"/>
      <c r="M5" s="322"/>
      <c r="N5" s="322"/>
      <c r="O5" s="322"/>
      <c r="P5" s="322"/>
      <c r="Q5" s="322"/>
      <c r="R5" s="322"/>
      <c r="S5" s="322"/>
      <c r="T5" s="322"/>
      <c r="U5" s="322"/>
      <c r="V5" s="322"/>
      <c r="W5" s="322"/>
      <c r="X5" s="322"/>
      <c r="Y5" s="322"/>
      <c r="Z5" s="322"/>
      <c r="AA5" s="322"/>
      <c r="AB5" s="322"/>
    </row>
    <row r="6">
      <c r="A6" s="326" t="s">
        <v>105</v>
      </c>
      <c r="B6" s="327" t="s">
        <v>334</v>
      </c>
      <c r="C6" s="326">
        <v>3.0690504E7</v>
      </c>
      <c r="D6" s="326" t="s">
        <v>1213</v>
      </c>
      <c r="E6" s="327" t="s">
        <v>1214</v>
      </c>
      <c r="F6" s="326" t="s">
        <v>95</v>
      </c>
      <c r="G6" s="326" t="s">
        <v>76</v>
      </c>
      <c r="H6" s="326" t="s">
        <v>76</v>
      </c>
      <c r="I6" s="326" t="s">
        <v>1217</v>
      </c>
      <c r="J6" s="322"/>
      <c r="K6" s="322"/>
      <c r="L6" s="322"/>
      <c r="M6" s="322"/>
      <c r="N6" s="322"/>
      <c r="O6" s="322"/>
      <c r="P6" s="322"/>
      <c r="Q6" s="322"/>
      <c r="R6" s="322"/>
      <c r="S6" s="322"/>
      <c r="T6" s="322"/>
      <c r="U6" s="322"/>
      <c r="V6" s="322"/>
      <c r="W6" s="322"/>
      <c r="X6" s="322"/>
      <c r="Y6" s="322"/>
      <c r="Z6" s="322"/>
      <c r="AA6" s="322"/>
      <c r="AB6" s="322"/>
    </row>
    <row r="7">
      <c r="A7" s="199" t="s">
        <v>107</v>
      </c>
      <c r="B7" s="309" t="s">
        <v>336</v>
      </c>
      <c r="C7" s="199">
        <v>3.0958404E7</v>
      </c>
      <c r="D7" s="199" t="s">
        <v>1213</v>
      </c>
      <c r="E7" s="309" t="s">
        <v>1219</v>
      </c>
      <c r="F7" s="199" t="s">
        <v>95</v>
      </c>
      <c r="G7" s="199" t="s">
        <v>1220</v>
      </c>
      <c r="H7" s="199" t="s">
        <v>1221</v>
      </c>
      <c r="I7" s="199" t="s">
        <v>1217</v>
      </c>
      <c r="J7" s="322"/>
      <c r="K7" s="322"/>
      <c r="L7" s="322"/>
      <c r="M7" s="322"/>
      <c r="N7" s="322"/>
      <c r="O7" s="322"/>
      <c r="P7" s="322"/>
      <c r="Q7" s="322"/>
      <c r="R7" s="322"/>
      <c r="S7" s="322"/>
      <c r="T7" s="322"/>
      <c r="U7" s="322"/>
      <c r="V7" s="322"/>
      <c r="W7" s="322"/>
      <c r="X7" s="322"/>
      <c r="Y7" s="322"/>
      <c r="Z7" s="322"/>
      <c r="AA7" s="322"/>
      <c r="AB7" s="322"/>
    </row>
    <row r="8">
      <c r="A8" s="326" t="s">
        <v>108</v>
      </c>
      <c r="B8" s="327" t="s">
        <v>338</v>
      </c>
      <c r="C8" s="326">
        <v>3.0767436E7</v>
      </c>
      <c r="D8" s="326" t="s">
        <v>1213</v>
      </c>
      <c r="E8" s="327" t="s">
        <v>1214</v>
      </c>
      <c r="F8" s="326" t="s">
        <v>109</v>
      </c>
      <c r="G8" s="326" t="s">
        <v>1220</v>
      </c>
      <c r="H8" s="326" t="s">
        <v>1222</v>
      </c>
      <c r="I8" s="326" t="s">
        <v>1217</v>
      </c>
      <c r="J8" s="322"/>
      <c r="K8" s="322"/>
      <c r="L8" s="322"/>
      <c r="M8" s="322"/>
      <c r="N8" s="322"/>
      <c r="O8" s="322"/>
      <c r="P8" s="322"/>
      <c r="Q8" s="322"/>
      <c r="R8" s="322"/>
      <c r="S8" s="322"/>
      <c r="T8" s="322"/>
      <c r="U8" s="322"/>
      <c r="V8" s="322"/>
      <c r="W8" s="322"/>
      <c r="X8" s="322"/>
      <c r="Y8" s="322"/>
      <c r="Z8" s="322"/>
      <c r="AA8" s="322"/>
      <c r="AB8" s="322"/>
    </row>
    <row r="9">
      <c r="A9" s="199" t="s">
        <v>110</v>
      </c>
      <c r="B9" s="309" t="s">
        <v>339</v>
      </c>
      <c r="C9" s="199">
        <v>3.0767438E7</v>
      </c>
      <c r="D9" s="199" t="s">
        <v>1213</v>
      </c>
      <c r="E9" s="309" t="s">
        <v>1214</v>
      </c>
      <c r="F9" s="199" t="s">
        <v>109</v>
      </c>
      <c r="G9" s="199" t="s">
        <v>1220</v>
      </c>
      <c r="H9" s="199" t="s">
        <v>1222</v>
      </c>
      <c r="I9" s="199" t="s">
        <v>1217</v>
      </c>
      <c r="J9" s="322"/>
      <c r="K9" s="322"/>
      <c r="L9" s="322"/>
      <c r="M9" s="322"/>
      <c r="N9" s="322"/>
      <c r="O9" s="322"/>
      <c r="P9" s="322"/>
      <c r="Q9" s="322"/>
      <c r="R9" s="322"/>
      <c r="S9" s="322"/>
      <c r="T9" s="322"/>
      <c r="U9" s="322"/>
      <c r="V9" s="322"/>
      <c r="W9" s="322"/>
      <c r="X9" s="322"/>
      <c r="Y9" s="322"/>
      <c r="Z9" s="322"/>
      <c r="AA9" s="322"/>
      <c r="AB9" s="322"/>
    </row>
    <row r="10">
      <c r="A10" s="326" t="s">
        <v>111</v>
      </c>
      <c r="B10" s="327" t="s">
        <v>340</v>
      </c>
      <c r="C10" s="326">
        <v>3.0767435E7</v>
      </c>
      <c r="D10" s="326" t="s">
        <v>1213</v>
      </c>
      <c r="E10" s="327" t="s">
        <v>1214</v>
      </c>
      <c r="F10" s="326" t="s">
        <v>109</v>
      </c>
      <c r="G10" s="326" t="s">
        <v>1220</v>
      </c>
      <c r="H10" s="326" t="s">
        <v>1222</v>
      </c>
      <c r="I10" s="326" t="s">
        <v>1217</v>
      </c>
      <c r="J10" s="322"/>
      <c r="K10" s="322"/>
      <c r="L10" s="322"/>
      <c r="M10" s="322"/>
      <c r="N10" s="322"/>
      <c r="O10" s="322"/>
      <c r="P10" s="322"/>
      <c r="Q10" s="322"/>
      <c r="R10" s="322"/>
      <c r="S10" s="322"/>
      <c r="T10" s="322"/>
      <c r="U10" s="322"/>
      <c r="V10" s="322"/>
      <c r="W10" s="322"/>
      <c r="X10" s="322"/>
      <c r="Y10" s="322"/>
      <c r="Z10" s="322"/>
      <c r="AA10" s="322"/>
      <c r="AB10" s="322"/>
    </row>
    <row r="11">
      <c r="A11" s="199" t="s">
        <v>112</v>
      </c>
      <c r="B11" s="309" t="s">
        <v>341</v>
      </c>
      <c r="C11" s="199">
        <v>3.0767437E7</v>
      </c>
      <c r="D11" s="199" t="s">
        <v>1213</v>
      </c>
      <c r="E11" s="309" t="s">
        <v>1214</v>
      </c>
      <c r="F11" s="199" t="s">
        <v>109</v>
      </c>
      <c r="G11" s="199" t="s">
        <v>1220</v>
      </c>
      <c r="H11" s="199" t="s">
        <v>1222</v>
      </c>
      <c r="I11" s="199" t="s">
        <v>1217</v>
      </c>
      <c r="J11" s="322"/>
      <c r="K11" s="322"/>
      <c r="L11" s="322"/>
      <c r="M11" s="322"/>
      <c r="N11" s="322"/>
      <c r="O11" s="322"/>
      <c r="P11" s="322"/>
      <c r="Q11" s="322"/>
      <c r="R11" s="322"/>
      <c r="S11" s="322"/>
      <c r="T11" s="322"/>
      <c r="U11" s="322"/>
      <c r="V11" s="322"/>
      <c r="W11" s="322"/>
      <c r="X11" s="322"/>
      <c r="Y11" s="322"/>
      <c r="Z11" s="322"/>
      <c r="AA11" s="322"/>
      <c r="AB11" s="322"/>
    </row>
    <row r="12">
      <c r="A12" s="326" t="s">
        <v>113</v>
      </c>
      <c r="B12" s="327" t="s">
        <v>343</v>
      </c>
      <c r="C12" s="326">
        <v>3.0958405E7</v>
      </c>
      <c r="D12" s="326" t="s">
        <v>1223</v>
      </c>
      <c r="E12" s="327" t="s">
        <v>1224</v>
      </c>
      <c r="F12" s="326" t="s">
        <v>95</v>
      </c>
      <c r="G12" s="326" t="s">
        <v>76</v>
      </c>
      <c r="H12" s="326" t="s">
        <v>76</v>
      </c>
      <c r="I12" s="326" t="s">
        <v>1217</v>
      </c>
      <c r="J12" s="322"/>
      <c r="K12" s="322"/>
      <c r="L12" s="322"/>
      <c r="M12" s="322"/>
      <c r="N12" s="322"/>
      <c r="O12" s="322"/>
      <c r="P12" s="322"/>
      <c r="Q12" s="322"/>
      <c r="R12" s="322"/>
      <c r="S12" s="322"/>
      <c r="T12" s="322"/>
      <c r="U12" s="322"/>
      <c r="V12" s="322"/>
      <c r="W12" s="322"/>
      <c r="X12" s="322"/>
      <c r="Y12" s="322"/>
      <c r="Z12" s="322"/>
      <c r="AA12" s="322"/>
      <c r="AB12" s="322"/>
    </row>
    <row r="13">
      <c r="A13" s="199" t="s">
        <v>114</v>
      </c>
      <c r="B13" s="309" t="s">
        <v>345</v>
      </c>
      <c r="C13" s="199">
        <v>3.0958406E7</v>
      </c>
      <c r="D13" s="199" t="s">
        <v>1213</v>
      </c>
      <c r="E13" s="309" t="s">
        <v>1225</v>
      </c>
      <c r="F13" s="199" t="s">
        <v>109</v>
      </c>
      <c r="G13" s="199" t="s">
        <v>1226</v>
      </c>
      <c r="H13" s="199" t="s">
        <v>1227</v>
      </c>
      <c r="I13" s="199" t="s">
        <v>1217</v>
      </c>
      <c r="J13" s="322"/>
      <c r="K13" s="322"/>
      <c r="L13" s="322"/>
      <c r="M13" s="322"/>
      <c r="N13" s="322"/>
      <c r="O13" s="322"/>
      <c r="P13" s="322"/>
      <c r="Q13" s="322"/>
      <c r="R13" s="322"/>
      <c r="S13" s="322"/>
      <c r="T13" s="322"/>
      <c r="U13" s="322"/>
      <c r="V13" s="322"/>
      <c r="W13" s="322"/>
      <c r="X13" s="322"/>
      <c r="Y13" s="322"/>
      <c r="Z13" s="322"/>
      <c r="AA13" s="322"/>
      <c r="AB13" s="322"/>
    </row>
    <row r="14">
      <c r="A14" s="326" t="s">
        <v>115</v>
      </c>
      <c r="B14" s="327" t="s">
        <v>348</v>
      </c>
      <c r="C14" s="326">
        <v>3.0690503E7</v>
      </c>
      <c r="D14" s="326" t="s">
        <v>1213</v>
      </c>
      <c r="E14" s="327" t="s">
        <v>1225</v>
      </c>
      <c r="F14" s="326" t="s">
        <v>109</v>
      </c>
      <c r="G14" s="326" t="s">
        <v>1226</v>
      </c>
      <c r="H14" s="326" t="s">
        <v>1228</v>
      </c>
      <c r="I14" s="326" t="s">
        <v>1217</v>
      </c>
      <c r="J14" s="322"/>
      <c r="K14" s="322"/>
      <c r="L14" s="322"/>
      <c r="M14" s="322"/>
      <c r="N14" s="322"/>
      <c r="O14" s="322"/>
      <c r="P14" s="322"/>
      <c r="Q14" s="322"/>
      <c r="R14" s="322"/>
      <c r="S14" s="322"/>
      <c r="T14" s="322"/>
      <c r="U14" s="322"/>
      <c r="V14" s="322"/>
      <c r="W14" s="322"/>
      <c r="X14" s="322"/>
      <c r="Y14" s="322"/>
      <c r="Z14" s="322"/>
      <c r="AA14" s="322"/>
      <c r="AB14" s="322"/>
    </row>
    <row r="15">
      <c r="A15" s="199" t="s">
        <v>116</v>
      </c>
      <c r="B15" s="309" t="s">
        <v>349</v>
      </c>
      <c r="C15" s="199">
        <v>3.0958407E7</v>
      </c>
      <c r="D15" s="199" t="s">
        <v>1213</v>
      </c>
      <c r="E15" s="309" t="s">
        <v>1214</v>
      </c>
      <c r="F15" s="199" t="s">
        <v>95</v>
      </c>
      <c r="G15" s="199" t="s">
        <v>1220</v>
      </c>
      <c r="H15" s="199" t="s">
        <v>1229</v>
      </c>
      <c r="I15" s="199" t="s">
        <v>1217</v>
      </c>
      <c r="J15" s="322"/>
      <c r="K15" s="322"/>
      <c r="L15" s="322"/>
      <c r="M15" s="322"/>
      <c r="N15" s="322"/>
      <c r="O15" s="322"/>
      <c r="P15" s="322"/>
      <c r="Q15" s="322"/>
      <c r="R15" s="322"/>
      <c r="S15" s="322"/>
      <c r="T15" s="322"/>
      <c r="U15" s="322"/>
      <c r="V15" s="322"/>
      <c r="W15" s="322"/>
      <c r="X15" s="322"/>
      <c r="Y15" s="322"/>
      <c r="Z15" s="322"/>
      <c r="AA15" s="322"/>
      <c r="AB15" s="322"/>
    </row>
    <row r="16">
      <c r="A16" s="326" t="s">
        <v>117</v>
      </c>
      <c r="B16" s="327" t="s">
        <v>350</v>
      </c>
      <c r="C16" s="326">
        <v>3.0958408E7</v>
      </c>
      <c r="D16" s="326" t="s">
        <v>1213</v>
      </c>
      <c r="E16" s="327" t="s">
        <v>1214</v>
      </c>
      <c r="F16" s="326" t="s">
        <v>95</v>
      </c>
      <c r="G16" s="326" t="s">
        <v>1220</v>
      </c>
      <c r="H16" s="326" t="s">
        <v>1230</v>
      </c>
      <c r="I16" s="326" t="s">
        <v>1217</v>
      </c>
      <c r="J16" s="322"/>
      <c r="K16" s="322"/>
      <c r="L16" s="322"/>
      <c r="M16" s="322"/>
      <c r="N16" s="322"/>
      <c r="O16" s="322"/>
      <c r="P16" s="322"/>
      <c r="Q16" s="322"/>
      <c r="R16" s="322"/>
      <c r="S16" s="322"/>
      <c r="T16" s="322"/>
      <c r="U16" s="322"/>
      <c r="V16" s="322"/>
      <c r="W16" s="322"/>
      <c r="X16" s="322"/>
      <c r="Y16" s="322"/>
      <c r="Z16" s="322"/>
      <c r="AA16" s="322"/>
      <c r="AB16" s="322"/>
    </row>
    <row r="17">
      <c r="A17" s="199" t="s">
        <v>118</v>
      </c>
      <c r="B17" s="309" t="s">
        <v>350</v>
      </c>
      <c r="C17" s="199">
        <v>3.0958409E7</v>
      </c>
      <c r="D17" s="199" t="s">
        <v>1213</v>
      </c>
      <c r="E17" s="309" t="s">
        <v>1214</v>
      </c>
      <c r="F17" s="199" t="s">
        <v>95</v>
      </c>
      <c r="G17" s="199" t="s">
        <v>1220</v>
      </c>
      <c r="H17" s="199" t="s">
        <v>1231</v>
      </c>
      <c r="I17" s="199" t="s">
        <v>1217</v>
      </c>
      <c r="J17" s="322"/>
      <c r="K17" s="322"/>
      <c r="L17" s="322"/>
      <c r="M17" s="322"/>
      <c r="N17" s="322"/>
      <c r="O17" s="322"/>
      <c r="P17" s="322"/>
      <c r="Q17" s="322"/>
      <c r="R17" s="322"/>
      <c r="S17" s="322"/>
      <c r="T17" s="322"/>
      <c r="U17" s="322"/>
      <c r="V17" s="322"/>
      <c r="W17" s="322"/>
      <c r="X17" s="322"/>
      <c r="Y17" s="322"/>
      <c r="Z17" s="322"/>
      <c r="AA17" s="322"/>
      <c r="AB17" s="322"/>
    </row>
    <row r="18">
      <c r="A18" s="326" t="s">
        <v>119</v>
      </c>
      <c r="B18" s="327" t="s">
        <v>350</v>
      </c>
      <c r="C18" s="326">
        <v>3.095841E7</v>
      </c>
      <c r="D18" s="326" t="s">
        <v>1213</v>
      </c>
      <c r="E18" s="327" t="s">
        <v>1214</v>
      </c>
      <c r="F18" s="326" t="s">
        <v>95</v>
      </c>
      <c r="G18" s="326" t="s">
        <v>1220</v>
      </c>
      <c r="H18" s="326" t="s">
        <v>1232</v>
      </c>
      <c r="I18" s="326" t="s">
        <v>1217</v>
      </c>
      <c r="J18" s="322"/>
      <c r="K18" s="322"/>
      <c r="L18" s="322"/>
      <c r="M18" s="322"/>
      <c r="N18" s="322"/>
      <c r="O18" s="322"/>
      <c r="P18" s="322"/>
      <c r="Q18" s="322"/>
      <c r="R18" s="322"/>
      <c r="S18" s="322"/>
      <c r="T18" s="322"/>
      <c r="U18" s="322"/>
      <c r="V18" s="322"/>
      <c r="W18" s="322"/>
      <c r="X18" s="322"/>
      <c r="Y18" s="322"/>
      <c r="Z18" s="322"/>
      <c r="AA18" s="322"/>
      <c r="AB18" s="322"/>
    </row>
    <row r="19">
      <c r="A19" s="199" t="s">
        <v>120</v>
      </c>
      <c r="B19" s="309" t="s">
        <v>350</v>
      </c>
      <c r="C19" s="199">
        <v>5.044888E7</v>
      </c>
      <c r="D19" s="199" t="s">
        <v>1213</v>
      </c>
      <c r="E19" s="309" t="s">
        <v>1214</v>
      </c>
      <c r="F19" s="199" t="s">
        <v>95</v>
      </c>
      <c r="G19" s="199" t="s">
        <v>1220</v>
      </c>
      <c r="H19" s="199" t="s">
        <v>1232</v>
      </c>
      <c r="I19" s="199" t="s">
        <v>1217</v>
      </c>
      <c r="J19" s="322"/>
      <c r="K19" s="322"/>
      <c r="L19" s="322"/>
      <c r="M19" s="322"/>
      <c r="N19" s="322"/>
      <c r="O19" s="322"/>
      <c r="P19" s="322"/>
      <c r="Q19" s="322"/>
      <c r="R19" s="322"/>
      <c r="S19" s="322"/>
      <c r="T19" s="322"/>
      <c r="U19" s="322"/>
      <c r="V19" s="322"/>
      <c r="W19" s="322"/>
      <c r="X19" s="322"/>
      <c r="Y19" s="322"/>
      <c r="Z19" s="322"/>
      <c r="AA19" s="322"/>
      <c r="AB19" s="322"/>
    </row>
    <row r="20">
      <c r="A20" s="326" t="s">
        <v>121</v>
      </c>
      <c r="B20" s="327" t="s">
        <v>352</v>
      </c>
      <c r="C20" s="326">
        <v>3.0958411E7</v>
      </c>
      <c r="D20" s="326" t="s">
        <v>1223</v>
      </c>
      <c r="E20" s="327" t="s">
        <v>1224</v>
      </c>
      <c r="F20" s="326" t="s">
        <v>95</v>
      </c>
      <c r="G20" s="326" t="s">
        <v>76</v>
      </c>
      <c r="H20" s="326" t="s">
        <v>76</v>
      </c>
      <c r="I20" s="326" t="s">
        <v>1217</v>
      </c>
      <c r="J20" s="322"/>
      <c r="K20" s="322"/>
      <c r="L20" s="322"/>
      <c r="M20" s="322"/>
      <c r="N20" s="322"/>
      <c r="O20" s="322"/>
      <c r="P20" s="322"/>
      <c r="Q20" s="322"/>
      <c r="R20" s="322"/>
      <c r="S20" s="322"/>
      <c r="T20" s="322"/>
      <c r="U20" s="322"/>
      <c r="V20" s="322"/>
      <c r="W20" s="322"/>
      <c r="X20" s="322"/>
      <c r="Y20" s="322"/>
      <c r="Z20" s="322"/>
      <c r="AA20" s="322"/>
      <c r="AB20" s="322"/>
    </row>
    <row r="21" ht="15.75" customHeight="1">
      <c r="A21" s="199" t="s">
        <v>122</v>
      </c>
      <c r="B21" s="309" t="s">
        <v>354</v>
      </c>
      <c r="C21" s="199">
        <v>5.0609993E7</v>
      </c>
      <c r="D21" s="199" t="s">
        <v>1213</v>
      </c>
      <c r="E21" s="309" t="s">
        <v>1225</v>
      </c>
      <c r="F21" s="199" t="s">
        <v>95</v>
      </c>
      <c r="G21" s="199" t="s">
        <v>1220</v>
      </c>
      <c r="H21" s="199" t="s">
        <v>1233</v>
      </c>
      <c r="I21" s="199" t="s">
        <v>1217</v>
      </c>
      <c r="J21" s="322"/>
      <c r="K21" s="322"/>
      <c r="L21" s="322"/>
      <c r="M21" s="322"/>
      <c r="N21" s="322"/>
      <c r="O21" s="322"/>
      <c r="P21" s="322"/>
      <c r="Q21" s="322"/>
      <c r="R21" s="322"/>
      <c r="S21" s="322"/>
      <c r="T21" s="322"/>
      <c r="U21" s="322"/>
      <c r="V21" s="322"/>
      <c r="W21" s="322"/>
      <c r="X21" s="322"/>
      <c r="Y21" s="322"/>
      <c r="Z21" s="322"/>
      <c r="AA21" s="322"/>
      <c r="AB21" s="322"/>
    </row>
    <row r="22" ht="15.75" customHeight="1">
      <c r="A22" s="326" t="s">
        <v>123</v>
      </c>
      <c r="B22" s="327" t="s">
        <v>354</v>
      </c>
      <c r="C22" s="326">
        <v>3.0825024E7</v>
      </c>
      <c r="D22" s="326" t="s">
        <v>1213</v>
      </c>
      <c r="E22" s="327" t="s">
        <v>1225</v>
      </c>
      <c r="F22" s="326" t="s">
        <v>95</v>
      </c>
      <c r="G22" s="326" t="s">
        <v>1220</v>
      </c>
      <c r="H22" s="326" t="s">
        <v>1233</v>
      </c>
      <c r="I22" s="326" t="s">
        <v>1217</v>
      </c>
      <c r="J22" s="322"/>
      <c r="K22" s="322"/>
      <c r="L22" s="322"/>
      <c r="M22" s="322"/>
      <c r="N22" s="322"/>
      <c r="O22" s="322"/>
      <c r="P22" s="322"/>
      <c r="Q22" s="322"/>
      <c r="R22" s="322"/>
      <c r="S22" s="322"/>
      <c r="T22" s="322"/>
      <c r="U22" s="322"/>
      <c r="V22" s="322"/>
      <c r="W22" s="322"/>
      <c r="X22" s="322"/>
      <c r="Y22" s="322"/>
      <c r="Z22" s="322"/>
      <c r="AA22" s="322"/>
      <c r="AB22" s="322"/>
    </row>
    <row r="23" ht="15.75" customHeight="1">
      <c r="A23" s="199" t="s">
        <v>124</v>
      </c>
      <c r="B23" s="309" t="s">
        <v>356</v>
      </c>
      <c r="C23" s="199">
        <v>3.0958412E7</v>
      </c>
      <c r="D23" s="199" t="s">
        <v>1223</v>
      </c>
      <c r="E23" s="309" t="s">
        <v>1224</v>
      </c>
      <c r="F23" s="199" t="s">
        <v>95</v>
      </c>
      <c r="G23" s="199" t="s">
        <v>76</v>
      </c>
      <c r="H23" s="199" t="s">
        <v>76</v>
      </c>
      <c r="I23" s="199" t="s">
        <v>1217</v>
      </c>
      <c r="J23" s="322"/>
      <c r="K23" s="322"/>
      <c r="L23" s="322"/>
      <c r="M23" s="322"/>
      <c r="N23" s="322"/>
      <c r="O23" s="322"/>
      <c r="P23" s="322"/>
      <c r="Q23" s="322"/>
      <c r="R23" s="322"/>
      <c r="S23" s="322"/>
      <c r="T23" s="322"/>
      <c r="U23" s="322"/>
      <c r="V23" s="322"/>
      <c r="W23" s="322"/>
      <c r="X23" s="322"/>
      <c r="Y23" s="322"/>
      <c r="Z23" s="322"/>
      <c r="AA23" s="322"/>
      <c r="AB23" s="322"/>
    </row>
    <row r="24" ht="15.75" customHeight="1">
      <c r="A24" s="326" t="s">
        <v>125</v>
      </c>
      <c r="B24" s="327" t="s">
        <v>357</v>
      </c>
      <c r="C24" s="326">
        <v>3.0829918E7</v>
      </c>
      <c r="D24" s="326" t="s">
        <v>1213</v>
      </c>
      <c r="E24" s="327" t="s">
        <v>1225</v>
      </c>
      <c r="F24" s="326" t="s">
        <v>95</v>
      </c>
      <c r="G24" s="326" t="s">
        <v>1220</v>
      </c>
      <c r="H24" s="326" t="s">
        <v>1234</v>
      </c>
      <c r="I24" s="326" t="s">
        <v>1217</v>
      </c>
      <c r="J24" s="322"/>
      <c r="K24" s="322"/>
      <c r="L24" s="322"/>
      <c r="M24" s="322"/>
      <c r="N24" s="322"/>
      <c r="O24" s="322"/>
      <c r="P24" s="322"/>
      <c r="Q24" s="322"/>
      <c r="R24" s="322"/>
      <c r="S24" s="322"/>
      <c r="T24" s="322"/>
      <c r="U24" s="322"/>
      <c r="V24" s="322"/>
      <c r="W24" s="322"/>
      <c r="X24" s="322"/>
      <c r="Y24" s="322"/>
      <c r="Z24" s="322"/>
      <c r="AA24" s="322"/>
      <c r="AB24" s="322"/>
    </row>
    <row r="25" ht="15.75" customHeight="1">
      <c r="A25" s="199" t="s">
        <v>126</v>
      </c>
      <c r="B25" s="309" t="s">
        <v>357</v>
      </c>
      <c r="C25" s="199">
        <v>3.0829919E7</v>
      </c>
      <c r="D25" s="199" t="s">
        <v>1213</v>
      </c>
      <c r="E25" s="309" t="s">
        <v>1225</v>
      </c>
      <c r="F25" s="199" t="s">
        <v>95</v>
      </c>
      <c r="G25" s="199" t="s">
        <v>1220</v>
      </c>
      <c r="H25" s="199" t="s">
        <v>1234</v>
      </c>
      <c r="I25" s="199" t="s">
        <v>1217</v>
      </c>
      <c r="J25" s="322"/>
      <c r="K25" s="322"/>
      <c r="L25" s="322"/>
      <c r="M25" s="322"/>
      <c r="N25" s="322"/>
      <c r="O25" s="322"/>
      <c r="P25" s="322"/>
      <c r="Q25" s="322"/>
      <c r="R25" s="322"/>
      <c r="S25" s="322"/>
      <c r="T25" s="322"/>
      <c r="U25" s="322"/>
      <c r="V25" s="322"/>
      <c r="W25" s="322"/>
      <c r="X25" s="322"/>
      <c r="Y25" s="322"/>
      <c r="Z25" s="322"/>
      <c r="AA25" s="322"/>
      <c r="AB25" s="322"/>
    </row>
    <row r="26" ht="15.75" customHeight="1">
      <c r="A26" s="326" t="s">
        <v>127</v>
      </c>
      <c r="B26" s="327" t="s">
        <v>360</v>
      </c>
      <c r="C26" s="326">
        <v>5.1800223E7</v>
      </c>
      <c r="D26" s="326" t="s">
        <v>1213</v>
      </c>
      <c r="E26" s="327" t="s">
        <v>1214</v>
      </c>
      <c r="F26" s="326" t="s">
        <v>128</v>
      </c>
      <c r="G26" s="326" t="s">
        <v>76</v>
      </c>
      <c r="H26" s="326" t="s">
        <v>76</v>
      </c>
      <c r="I26" s="326" t="s">
        <v>1217</v>
      </c>
      <c r="J26" s="322"/>
      <c r="K26" s="322"/>
      <c r="L26" s="322"/>
      <c r="M26" s="322"/>
      <c r="N26" s="322"/>
      <c r="O26" s="322"/>
      <c r="P26" s="322"/>
      <c r="Q26" s="322"/>
      <c r="R26" s="322"/>
      <c r="S26" s="322"/>
      <c r="T26" s="322"/>
      <c r="U26" s="322"/>
      <c r="V26" s="322"/>
      <c r="W26" s="322"/>
      <c r="X26" s="322"/>
      <c r="Y26" s="322"/>
      <c r="Z26" s="322"/>
      <c r="AA26" s="322"/>
      <c r="AB26" s="322"/>
    </row>
    <row r="27" ht="15.75" customHeight="1">
      <c r="A27" s="199" t="s">
        <v>129</v>
      </c>
      <c r="B27" s="309" t="s">
        <v>362</v>
      </c>
      <c r="C27" s="199">
        <v>4.0435944E7</v>
      </c>
      <c r="D27" s="199" t="s">
        <v>1223</v>
      </c>
      <c r="E27" s="309" t="s">
        <v>1224</v>
      </c>
      <c r="F27" s="199" t="s">
        <v>128</v>
      </c>
      <c r="G27" s="199" t="s">
        <v>76</v>
      </c>
      <c r="H27" s="199" t="s">
        <v>1235</v>
      </c>
      <c r="I27" s="199" t="s">
        <v>1217</v>
      </c>
      <c r="J27" s="322"/>
      <c r="K27" s="322"/>
      <c r="L27" s="322"/>
      <c r="M27" s="322"/>
      <c r="N27" s="322"/>
      <c r="O27" s="322"/>
      <c r="P27" s="322"/>
      <c r="Q27" s="322"/>
      <c r="R27" s="322"/>
      <c r="S27" s="322"/>
      <c r="T27" s="322"/>
      <c r="U27" s="322"/>
      <c r="V27" s="322"/>
      <c r="W27" s="322"/>
      <c r="X27" s="322"/>
      <c r="Y27" s="322"/>
      <c r="Z27" s="322"/>
      <c r="AA27" s="322"/>
      <c r="AB27" s="322"/>
    </row>
    <row r="28" ht="15.75" customHeight="1">
      <c r="A28" s="326" t="s">
        <v>130</v>
      </c>
      <c r="B28" s="327" t="s">
        <v>364</v>
      </c>
      <c r="C28" s="326">
        <v>5.1370276E7</v>
      </c>
      <c r="D28" s="326" t="s">
        <v>1223</v>
      </c>
      <c r="E28" s="327" t="s">
        <v>1224</v>
      </c>
      <c r="F28" s="326" t="s">
        <v>128</v>
      </c>
      <c r="G28" s="326" t="s">
        <v>1220</v>
      </c>
      <c r="H28" s="326" t="s">
        <v>1236</v>
      </c>
      <c r="I28" s="326" t="s">
        <v>1217</v>
      </c>
      <c r="J28" s="322"/>
      <c r="K28" s="322"/>
      <c r="L28" s="322"/>
      <c r="M28" s="322"/>
      <c r="N28" s="322"/>
      <c r="O28" s="322"/>
      <c r="P28" s="322"/>
      <c r="Q28" s="322"/>
      <c r="R28" s="322"/>
      <c r="S28" s="322"/>
      <c r="T28" s="322"/>
      <c r="U28" s="322"/>
      <c r="V28" s="322"/>
      <c r="W28" s="322"/>
      <c r="X28" s="322"/>
      <c r="Y28" s="322"/>
      <c r="Z28" s="322"/>
      <c r="AA28" s="322"/>
      <c r="AB28" s="322"/>
    </row>
    <row r="29" ht="15.75" customHeight="1">
      <c r="A29" s="199" t="s">
        <v>131</v>
      </c>
      <c r="B29" s="309" t="s">
        <v>366</v>
      </c>
      <c r="C29" s="199">
        <v>3.0920702E7</v>
      </c>
      <c r="D29" s="199" t="s">
        <v>1213</v>
      </c>
      <c r="E29" s="309" t="s">
        <v>1237</v>
      </c>
      <c r="F29" s="199" t="s">
        <v>95</v>
      </c>
      <c r="G29" s="199" t="s">
        <v>1226</v>
      </c>
      <c r="H29" s="199" t="s">
        <v>1238</v>
      </c>
      <c r="I29" s="199" t="s">
        <v>1217</v>
      </c>
      <c r="J29" s="322"/>
      <c r="K29" s="322"/>
      <c r="L29" s="322"/>
      <c r="M29" s="322"/>
      <c r="N29" s="322"/>
      <c r="O29" s="322"/>
      <c r="P29" s="322"/>
      <c r="Q29" s="322"/>
      <c r="R29" s="322"/>
      <c r="S29" s="322"/>
      <c r="T29" s="322"/>
      <c r="U29" s="322"/>
      <c r="V29" s="322"/>
      <c r="W29" s="322"/>
      <c r="X29" s="322"/>
      <c r="Y29" s="322"/>
      <c r="Z29" s="322"/>
      <c r="AA29" s="322"/>
      <c r="AB29" s="322"/>
    </row>
    <row r="30" ht="15.75" customHeight="1">
      <c r="A30" s="326" t="s">
        <v>133</v>
      </c>
      <c r="B30" s="327" t="s">
        <v>368</v>
      </c>
      <c r="C30" s="326">
        <v>3.0990149E7</v>
      </c>
      <c r="D30" s="326" t="s">
        <v>72</v>
      </c>
      <c r="E30" s="327" t="s">
        <v>1239</v>
      </c>
      <c r="F30" s="326" t="s">
        <v>95</v>
      </c>
      <c r="G30" s="326" t="s">
        <v>76</v>
      </c>
      <c r="H30" s="326" t="s">
        <v>76</v>
      </c>
      <c r="I30" s="326" t="s">
        <v>1217</v>
      </c>
      <c r="J30" s="322"/>
      <c r="K30" s="322"/>
      <c r="L30" s="322"/>
      <c r="M30" s="322"/>
      <c r="N30" s="322"/>
      <c r="O30" s="322"/>
      <c r="P30" s="322"/>
      <c r="Q30" s="322"/>
      <c r="R30" s="322"/>
      <c r="S30" s="322"/>
      <c r="T30" s="322"/>
      <c r="U30" s="322"/>
      <c r="V30" s="322"/>
      <c r="W30" s="322"/>
      <c r="X30" s="322"/>
      <c r="Y30" s="322"/>
      <c r="Z30" s="322"/>
      <c r="AA30" s="322"/>
      <c r="AB30" s="322"/>
    </row>
    <row r="31" ht="15.75" customHeight="1">
      <c r="A31" s="199" t="s">
        <v>134</v>
      </c>
      <c r="B31" s="309" t="s">
        <v>371</v>
      </c>
      <c r="C31" s="199">
        <v>3.0990148E7</v>
      </c>
      <c r="D31" s="199" t="s">
        <v>72</v>
      </c>
      <c r="E31" s="309" t="s">
        <v>1239</v>
      </c>
      <c r="F31" s="199" t="s">
        <v>95</v>
      </c>
      <c r="G31" s="199" t="s">
        <v>76</v>
      </c>
      <c r="H31" s="199" t="s">
        <v>76</v>
      </c>
      <c r="I31" s="199" t="s">
        <v>1217</v>
      </c>
      <c r="J31" s="322"/>
      <c r="K31" s="322"/>
      <c r="L31" s="322"/>
      <c r="M31" s="322"/>
      <c r="N31" s="322"/>
      <c r="O31" s="322"/>
      <c r="P31" s="322"/>
      <c r="Q31" s="322"/>
      <c r="R31" s="322"/>
      <c r="S31" s="322"/>
      <c r="T31" s="322"/>
      <c r="U31" s="322"/>
      <c r="V31" s="322"/>
      <c r="W31" s="322"/>
      <c r="X31" s="322"/>
      <c r="Y31" s="322"/>
      <c r="Z31" s="322"/>
      <c r="AA31" s="322"/>
      <c r="AB31" s="322"/>
    </row>
    <row r="32" ht="15.75" customHeight="1">
      <c r="A32" s="326" t="s">
        <v>135</v>
      </c>
      <c r="B32" s="327" t="s">
        <v>373</v>
      </c>
      <c r="C32" s="326">
        <v>3.0767432E7</v>
      </c>
      <c r="D32" s="326" t="s">
        <v>1223</v>
      </c>
      <c r="E32" s="327" t="s">
        <v>1224</v>
      </c>
      <c r="F32" s="326" t="s">
        <v>136</v>
      </c>
      <c r="G32" s="326" t="s">
        <v>1240</v>
      </c>
      <c r="H32" s="326" t="s">
        <v>1241</v>
      </c>
      <c r="I32" s="326" t="s">
        <v>1217</v>
      </c>
      <c r="J32" s="322"/>
      <c r="K32" s="322"/>
      <c r="L32" s="322"/>
      <c r="M32" s="322"/>
      <c r="N32" s="322"/>
      <c r="O32" s="322"/>
      <c r="P32" s="322"/>
      <c r="Q32" s="322"/>
      <c r="R32" s="322"/>
      <c r="S32" s="322"/>
      <c r="T32" s="322"/>
      <c r="U32" s="322"/>
      <c r="V32" s="322"/>
      <c r="W32" s="322"/>
      <c r="X32" s="322"/>
      <c r="Y32" s="322"/>
      <c r="Z32" s="322"/>
      <c r="AA32" s="322"/>
      <c r="AB32" s="322"/>
    </row>
    <row r="33" ht="15.75" customHeight="1">
      <c r="A33" s="199" t="s">
        <v>137</v>
      </c>
      <c r="B33" s="309" t="s">
        <v>376</v>
      </c>
      <c r="C33" s="199"/>
      <c r="D33" s="199" t="s">
        <v>72</v>
      </c>
      <c r="E33" s="309" t="s">
        <v>1113</v>
      </c>
      <c r="F33" s="199" t="s">
        <v>128</v>
      </c>
      <c r="G33" s="199" t="s">
        <v>76</v>
      </c>
      <c r="H33" s="199" t="s">
        <v>76</v>
      </c>
      <c r="I33" s="199" t="s">
        <v>1217</v>
      </c>
      <c r="J33" s="322"/>
      <c r="K33" s="322"/>
      <c r="L33" s="322"/>
      <c r="M33" s="322"/>
      <c r="N33" s="322"/>
      <c r="O33" s="322"/>
      <c r="P33" s="322"/>
      <c r="Q33" s="322"/>
      <c r="R33" s="322"/>
      <c r="S33" s="322"/>
      <c r="T33" s="322"/>
      <c r="U33" s="322"/>
      <c r="V33" s="322"/>
      <c r="W33" s="322"/>
      <c r="X33" s="322"/>
      <c r="Y33" s="322"/>
      <c r="Z33" s="322"/>
      <c r="AA33" s="322"/>
      <c r="AB33" s="322"/>
    </row>
    <row r="34" ht="15.75" customHeight="1">
      <c r="A34" s="326" t="s">
        <v>138</v>
      </c>
      <c r="B34" s="327" t="s">
        <v>378</v>
      </c>
      <c r="C34" s="326"/>
      <c r="D34" s="326" t="s">
        <v>72</v>
      </c>
      <c r="E34" s="327" t="s">
        <v>1113</v>
      </c>
      <c r="F34" s="326" t="s">
        <v>128</v>
      </c>
      <c r="G34" s="326" t="s">
        <v>76</v>
      </c>
      <c r="H34" s="326" t="s">
        <v>76</v>
      </c>
      <c r="I34" s="326" t="s">
        <v>1217</v>
      </c>
      <c r="J34" s="322"/>
      <c r="K34" s="322"/>
      <c r="L34" s="322"/>
      <c r="M34" s="322"/>
      <c r="N34" s="322"/>
      <c r="O34" s="322"/>
      <c r="P34" s="322"/>
      <c r="Q34" s="322"/>
      <c r="R34" s="322"/>
      <c r="S34" s="322"/>
      <c r="T34" s="322"/>
      <c r="U34" s="322"/>
      <c r="V34" s="322"/>
      <c r="W34" s="322"/>
      <c r="X34" s="322"/>
      <c r="Y34" s="322"/>
      <c r="Z34" s="322"/>
      <c r="AA34" s="322"/>
      <c r="AB34" s="322"/>
    </row>
    <row r="35" ht="15.75" customHeight="1">
      <c r="A35" s="199" t="s">
        <v>139</v>
      </c>
      <c r="B35" s="309" t="s">
        <v>379</v>
      </c>
      <c r="C35" s="199">
        <v>3.0629913E7</v>
      </c>
      <c r="D35" s="199" t="s">
        <v>72</v>
      </c>
      <c r="E35" s="309" t="s">
        <v>1113</v>
      </c>
      <c r="F35" s="199" t="s">
        <v>128</v>
      </c>
      <c r="G35" s="199" t="s">
        <v>76</v>
      </c>
      <c r="H35" s="199" t="s">
        <v>76</v>
      </c>
      <c r="I35" s="199" t="s">
        <v>1217</v>
      </c>
      <c r="J35" s="322"/>
      <c r="K35" s="322"/>
      <c r="L35" s="322"/>
      <c r="M35" s="322"/>
      <c r="N35" s="322"/>
      <c r="O35" s="322"/>
      <c r="P35" s="322"/>
      <c r="Q35" s="322"/>
      <c r="R35" s="322"/>
      <c r="S35" s="322"/>
      <c r="T35" s="322"/>
      <c r="U35" s="322"/>
      <c r="V35" s="322"/>
      <c r="W35" s="322"/>
      <c r="X35" s="322"/>
      <c r="Y35" s="322"/>
      <c r="Z35" s="322"/>
      <c r="AA35" s="322"/>
      <c r="AB35" s="322"/>
    </row>
    <row r="36" ht="15.75" customHeight="1">
      <c r="A36" s="326" t="s">
        <v>140</v>
      </c>
      <c r="B36" s="327" t="s">
        <v>381</v>
      </c>
      <c r="C36" s="326">
        <v>3.0626957E7</v>
      </c>
      <c r="D36" s="326" t="s">
        <v>72</v>
      </c>
      <c r="E36" s="327" t="s">
        <v>1113</v>
      </c>
      <c r="F36" s="326" t="s">
        <v>136</v>
      </c>
      <c r="G36" s="326" t="s">
        <v>1242</v>
      </c>
      <c r="H36" s="326"/>
      <c r="I36" s="326" t="s">
        <v>1217</v>
      </c>
      <c r="J36" s="322"/>
      <c r="K36" s="322"/>
      <c r="L36" s="322"/>
      <c r="M36" s="322"/>
      <c r="N36" s="322"/>
      <c r="O36" s="322"/>
      <c r="P36" s="322"/>
      <c r="Q36" s="322"/>
      <c r="R36" s="322"/>
      <c r="S36" s="322"/>
      <c r="T36" s="322"/>
      <c r="U36" s="322"/>
      <c r="V36" s="322"/>
      <c r="W36" s="322"/>
      <c r="X36" s="322"/>
      <c r="Y36" s="322"/>
      <c r="Z36" s="322"/>
      <c r="AA36" s="322"/>
      <c r="AB36" s="322"/>
    </row>
    <row r="37" ht="15.75" customHeight="1">
      <c r="A37" s="199" t="s">
        <v>141</v>
      </c>
      <c r="B37" s="309" t="s">
        <v>383</v>
      </c>
      <c r="C37" s="199">
        <v>5.016182E7</v>
      </c>
      <c r="D37" s="199" t="s">
        <v>72</v>
      </c>
      <c r="E37" s="309" t="s">
        <v>1225</v>
      </c>
      <c r="F37" s="199" t="s">
        <v>136</v>
      </c>
      <c r="G37" s="199" t="s">
        <v>1242</v>
      </c>
      <c r="H37" s="199" t="s">
        <v>1243</v>
      </c>
      <c r="I37" s="199" t="s">
        <v>1217</v>
      </c>
      <c r="J37" s="322"/>
      <c r="K37" s="322"/>
      <c r="L37" s="322"/>
      <c r="M37" s="322"/>
      <c r="N37" s="322"/>
      <c r="O37" s="322"/>
      <c r="P37" s="322"/>
      <c r="Q37" s="322"/>
      <c r="R37" s="322"/>
      <c r="S37" s="322"/>
      <c r="T37" s="322"/>
      <c r="U37" s="322"/>
      <c r="V37" s="322"/>
      <c r="W37" s="322"/>
      <c r="X37" s="322"/>
      <c r="Y37" s="322"/>
      <c r="Z37" s="322"/>
      <c r="AA37" s="322"/>
      <c r="AB37" s="322"/>
    </row>
    <row r="38" ht="15.75" customHeight="1">
      <c r="A38" s="326" t="s">
        <v>142</v>
      </c>
      <c r="B38" s="327" t="s">
        <v>384</v>
      </c>
      <c r="C38" s="326">
        <v>3.0767433E7</v>
      </c>
      <c r="D38" s="326" t="s">
        <v>72</v>
      </c>
      <c r="E38" s="327" t="s">
        <v>1225</v>
      </c>
      <c r="F38" s="326" t="s">
        <v>128</v>
      </c>
      <c r="G38" s="326" t="s">
        <v>1242</v>
      </c>
      <c r="H38" s="326" t="s">
        <v>1243</v>
      </c>
      <c r="I38" s="326" t="s">
        <v>1217</v>
      </c>
      <c r="J38" s="322"/>
      <c r="K38" s="322"/>
      <c r="L38" s="322"/>
      <c r="M38" s="322"/>
      <c r="N38" s="322"/>
      <c r="O38" s="322"/>
      <c r="P38" s="322"/>
      <c r="Q38" s="322"/>
      <c r="R38" s="322"/>
      <c r="S38" s="322"/>
      <c r="T38" s="322"/>
      <c r="U38" s="322"/>
      <c r="V38" s="322"/>
      <c r="W38" s="322"/>
      <c r="X38" s="322"/>
      <c r="Y38" s="322"/>
      <c r="Z38" s="322"/>
      <c r="AA38" s="322"/>
      <c r="AB38" s="322"/>
    </row>
    <row r="39" ht="15.75" customHeight="1">
      <c r="A39" s="199" t="s">
        <v>143</v>
      </c>
      <c r="B39" s="309" t="s">
        <v>386</v>
      </c>
      <c r="C39" s="199">
        <v>3.0767434E7</v>
      </c>
      <c r="D39" s="199" t="s">
        <v>1213</v>
      </c>
      <c r="E39" s="309" t="s">
        <v>1219</v>
      </c>
      <c r="F39" s="199" t="s">
        <v>95</v>
      </c>
      <c r="G39" s="199" t="s">
        <v>1226</v>
      </c>
      <c r="H39" s="199" t="s">
        <v>1244</v>
      </c>
      <c r="I39" s="199" t="s">
        <v>1217</v>
      </c>
      <c r="J39" s="322"/>
      <c r="K39" s="322"/>
      <c r="L39" s="322"/>
      <c r="M39" s="322"/>
      <c r="N39" s="322"/>
      <c r="O39" s="322"/>
      <c r="P39" s="322"/>
      <c r="Q39" s="322"/>
      <c r="R39" s="322"/>
      <c r="S39" s="322"/>
      <c r="T39" s="322"/>
      <c r="U39" s="322"/>
      <c r="V39" s="322"/>
      <c r="W39" s="322"/>
      <c r="X39" s="322"/>
      <c r="Y39" s="322"/>
      <c r="Z39" s="322"/>
      <c r="AA39" s="322"/>
      <c r="AB39" s="322"/>
    </row>
    <row r="40" ht="15.75" customHeight="1">
      <c r="A40" s="326" t="s">
        <v>144</v>
      </c>
      <c r="B40" s="327" t="s">
        <v>388</v>
      </c>
      <c r="C40" s="326">
        <v>3.0958413E7</v>
      </c>
      <c r="D40" s="326" t="s">
        <v>1213</v>
      </c>
      <c r="E40" s="327" t="s">
        <v>1113</v>
      </c>
      <c r="F40" s="326" t="s">
        <v>95</v>
      </c>
      <c r="G40" s="326" t="s">
        <v>1226</v>
      </c>
      <c r="H40" s="326" t="s">
        <v>1245</v>
      </c>
      <c r="I40" s="326" t="s">
        <v>1217</v>
      </c>
      <c r="J40" s="322"/>
      <c r="K40" s="322"/>
      <c r="L40" s="322"/>
      <c r="M40" s="322"/>
      <c r="N40" s="322"/>
      <c r="O40" s="322"/>
      <c r="P40" s="322"/>
      <c r="Q40" s="322"/>
      <c r="R40" s="322"/>
      <c r="S40" s="322"/>
      <c r="T40" s="322"/>
      <c r="U40" s="322"/>
      <c r="V40" s="322"/>
      <c r="W40" s="322"/>
      <c r="X40" s="322"/>
      <c r="Y40" s="322"/>
      <c r="Z40" s="322"/>
      <c r="AA40" s="322"/>
      <c r="AB40" s="322"/>
    </row>
    <row r="41" ht="15.75" customHeight="1">
      <c r="A41" s="199" t="s">
        <v>145</v>
      </c>
      <c r="B41" s="309" t="s">
        <v>389</v>
      </c>
      <c r="C41" s="199">
        <v>4.0104845E7</v>
      </c>
      <c r="D41" s="199" t="s">
        <v>1213</v>
      </c>
      <c r="E41" s="309" t="s">
        <v>1225</v>
      </c>
      <c r="F41" s="199" t="s">
        <v>95</v>
      </c>
      <c r="G41" s="199" t="s">
        <v>1226</v>
      </c>
      <c r="H41" s="199" t="s">
        <v>1238</v>
      </c>
      <c r="I41" s="199" t="s">
        <v>1217</v>
      </c>
      <c r="J41" s="322"/>
      <c r="K41" s="322"/>
      <c r="L41" s="322"/>
      <c r="M41" s="322"/>
      <c r="N41" s="322"/>
      <c r="O41" s="322"/>
      <c r="P41" s="322"/>
      <c r="Q41" s="322"/>
      <c r="R41" s="322"/>
      <c r="S41" s="322"/>
      <c r="T41" s="322"/>
      <c r="U41" s="322"/>
      <c r="V41" s="322"/>
      <c r="W41" s="322"/>
      <c r="X41" s="322"/>
      <c r="Y41" s="322"/>
      <c r="Z41" s="322"/>
      <c r="AA41" s="322"/>
      <c r="AB41" s="322"/>
    </row>
    <row r="42" ht="15.75" customHeight="1">
      <c r="A42" s="326" t="s">
        <v>390</v>
      </c>
      <c r="B42" s="327" t="s">
        <v>391</v>
      </c>
      <c r="C42" s="326">
        <v>4.0110632E7</v>
      </c>
      <c r="D42" s="326" t="s">
        <v>72</v>
      </c>
      <c r="E42" s="327" t="s">
        <v>1246</v>
      </c>
      <c r="F42" s="326" t="s">
        <v>95</v>
      </c>
      <c r="G42" s="326" t="s">
        <v>76</v>
      </c>
      <c r="H42" s="326" t="s">
        <v>76</v>
      </c>
      <c r="I42" s="326" t="s">
        <v>1217</v>
      </c>
      <c r="J42" s="322"/>
      <c r="K42" s="322"/>
      <c r="L42" s="322"/>
      <c r="M42" s="322"/>
      <c r="N42" s="322"/>
      <c r="O42" s="322"/>
      <c r="P42" s="322"/>
      <c r="Q42" s="322"/>
      <c r="R42" s="322"/>
      <c r="S42" s="322"/>
      <c r="T42" s="322"/>
      <c r="U42" s="322"/>
      <c r="V42" s="322"/>
      <c r="W42" s="322"/>
      <c r="X42" s="322"/>
      <c r="Y42" s="322"/>
      <c r="Z42" s="322"/>
      <c r="AA42" s="322"/>
      <c r="AB42" s="322"/>
    </row>
    <row r="43" ht="15.75" customHeight="1">
      <c r="A43" s="199" t="s">
        <v>392</v>
      </c>
      <c r="B43" s="309" t="s">
        <v>393</v>
      </c>
      <c r="C43" s="199">
        <v>4.0110637E7</v>
      </c>
      <c r="D43" s="199" t="s">
        <v>72</v>
      </c>
      <c r="E43" s="309" t="s">
        <v>1246</v>
      </c>
      <c r="F43" s="199" t="s">
        <v>95</v>
      </c>
      <c r="G43" s="199" t="s">
        <v>76</v>
      </c>
      <c r="H43" s="199" t="s">
        <v>76</v>
      </c>
      <c r="I43" s="199" t="s">
        <v>1217</v>
      </c>
      <c r="J43" s="322"/>
      <c r="K43" s="322"/>
      <c r="L43" s="322"/>
      <c r="M43" s="322"/>
      <c r="N43" s="322"/>
      <c r="O43" s="322"/>
      <c r="P43" s="322"/>
      <c r="Q43" s="322"/>
      <c r="R43" s="322"/>
      <c r="S43" s="322"/>
      <c r="T43" s="322"/>
      <c r="U43" s="322"/>
      <c r="V43" s="322"/>
      <c r="W43" s="322"/>
      <c r="X43" s="322"/>
      <c r="Y43" s="322"/>
      <c r="Z43" s="322"/>
      <c r="AA43" s="322"/>
      <c r="AB43" s="322"/>
    </row>
    <row r="44" ht="15.75" customHeight="1">
      <c r="A44" s="326" t="s">
        <v>148</v>
      </c>
      <c r="B44" s="327" t="s">
        <v>394</v>
      </c>
      <c r="C44" s="326">
        <v>4.0047885E7</v>
      </c>
      <c r="D44" s="326" t="s">
        <v>1223</v>
      </c>
      <c r="E44" s="327" t="s">
        <v>1224</v>
      </c>
      <c r="F44" s="326" t="s">
        <v>136</v>
      </c>
      <c r="G44" s="326" t="s">
        <v>76</v>
      </c>
      <c r="H44" s="326" t="s">
        <v>76</v>
      </c>
      <c r="I44" s="326" t="s">
        <v>1217</v>
      </c>
      <c r="J44" s="322"/>
      <c r="K44" s="322"/>
      <c r="L44" s="322"/>
      <c r="M44" s="322"/>
      <c r="N44" s="322"/>
      <c r="O44" s="322"/>
      <c r="P44" s="322"/>
      <c r="Q44" s="322"/>
      <c r="R44" s="322"/>
      <c r="S44" s="322"/>
      <c r="T44" s="322"/>
      <c r="U44" s="322"/>
      <c r="V44" s="322"/>
      <c r="W44" s="322"/>
      <c r="X44" s="322"/>
      <c r="Y44" s="322"/>
      <c r="Z44" s="322"/>
      <c r="AA44" s="322"/>
      <c r="AB44" s="322"/>
    </row>
    <row r="45" ht="15.75" customHeight="1">
      <c r="A45" s="199" t="s">
        <v>149</v>
      </c>
      <c r="B45" s="309" t="s">
        <v>395</v>
      </c>
      <c r="C45" s="199">
        <v>4.0109829E7</v>
      </c>
      <c r="D45" s="199" t="s">
        <v>72</v>
      </c>
      <c r="E45" s="309" t="s">
        <v>1113</v>
      </c>
      <c r="F45" s="199" t="s">
        <v>128</v>
      </c>
      <c r="G45" s="199" t="s">
        <v>76</v>
      </c>
      <c r="H45" s="199" t="s">
        <v>76</v>
      </c>
      <c r="I45" s="199" t="s">
        <v>1217</v>
      </c>
      <c r="J45" s="322"/>
      <c r="K45" s="322"/>
      <c r="L45" s="322"/>
      <c r="M45" s="322"/>
      <c r="N45" s="322"/>
      <c r="O45" s="322"/>
      <c r="P45" s="322"/>
      <c r="Q45" s="322"/>
      <c r="R45" s="322"/>
      <c r="S45" s="322"/>
      <c r="T45" s="322"/>
      <c r="U45" s="322"/>
      <c r="V45" s="322"/>
      <c r="W45" s="322"/>
      <c r="X45" s="322"/>
      <c r="Y45" s="322"/>
      <c r="Z45" s="322"/>
      <c r="AA45" s="322"/>
      <c r="AB45" s="322"/>
    </row>
    <row r="46" ht="15.75" customHeight="1">
      <c r="A46" s="326" t="s">
        <v>150</v>
      </c>
      <c r="B46" s="327" t="s">
        <v>396</v>
      </c>
      <c r="C46" s="326">
        <v>4.0110623E7</v>
      </c>
      <c r="D46" s="326" t="s">
        <v>72</v>
      </c>
      <c r="E46" s="327" t="s">
        <v>1113</v>
      </c>
      <c r="F46" s="326" t="s">
        <v>128</v>
      </c>
      <c r="G46" s="326" t="s">
        <v>76</v>
      </c>
      <c r="H46" s="326" t="s">
        <v>76</v>
      </c>
      <c r="I46" s="326" t="s">
        <v>1217</v>
      </c>
      <c r="J46" s="322"/>
      <c r="K46" s="322"/>
      <c r="L46" s="322"/>
      <c r="M46" s="322"/>
      <c r="N46" s="322"/>
      <c r="O46" s="322"/>
      <c r="P46" s="322"/>
      <c r="Q46" s="322"/>
      <c r="R46" s="322"/>
      <c r="S46" s="322"/>
      <c r="T46" s="322"/>
      <c r="U46" s="322"/>
      <c r="V46" s="322"/>
      <c r="W46" s="322"/>
      <c r="X46" s="322"/>
      <c r="Y46" s="322"/>
      <c r="Z46" s="322"/>
      <c r="AA46" s="322"/>
      <c r="AB46" s="322"/>
    </row>
    <row r="47" ht="15.75" customHeight="1">
      <c r="A47" s="199" t="s">
        <v>151</v>
      </c>
      <c r="B47" s="309" t="s">
        <v>397</v>
      </c>
      <c r="C47" s="199">
        <v>4.0110624E7</v>
      </c>
      <c r="D47" s="199" t="s">
        <v>72</v>
      </c>
      <c r="E47" s="309" t="s">
        <v>1113</v>
      </c>
      <c r="F47" s="199" t="s">
        <v>128</v>
      </c>
      <c r="G47" s="199" t="s">
        <v>76</v>
      </c>
      <c r="H47" s="199" t="s">
        <v>76</v>
      </c>
      <c r="I47" s="199" t="s">
        <v>1217</v>
      </c>
      <c r="J47" s="322"/>
      <c r="K47" s="322"/>
      <c r="L47" s="322"/>
      <c r="M47" s="322"/>
      <c r="N47" s="322"/>
      <c r="O47" s="322"/>
      <c r="P47" s="322"/>
      <c r="Q47" s="322"/>
      <c r="R47" s="322"/>
      <c r="S47" s="322"/>
      <c r="T47" s="322"/>
      <c r="U47" s="322"/>
      <c r="V47" s="322"/>
      <c r="W47" s="322"/>
      <c r="X47" s="322"/>
      <c r="Y47" s="322"/>
      <c r="Z47" s="322"/>
      <c r="AA47" s="322"/>
      <c r="AB47" s="322"/>
    </row>
    <row r="48" ht="15.75" customHeight="1">
      <c r="A48" s="326" t="s">
        <v>152</v>
      </c>
      <c r="B48" s="327" t="s">
        <v>381</v>
      </c>
      <c r="C48" s="326">
        <v>4.0047887E7</v>
      </c>
      <c r="D48" s="326" t="s">
        <v>72</v>
      </c>
      <c r="E48" s="327" t="s">
        <v>1113</v>
      </c>
      <c r="F48" s="326" t="s">
        <v>136</v>
      </c>
      <c r="G48" s="326" t="s">
        <v>76</v>
      </c>
      <c r="H48" s="326" t="s">
        <v>76</v>
      </c>
      <c r="I48" s="326" t="s">
        <v>1217</v>
      </c>
      <c r="J48" s="322"/>
      <c r="K48" s="322"/>
      <c r="L48" s="322"/>
      <c r="M48" s="322"/>
      <c r="N48" s="322"/>
      <c r="O48" s="322"/>
      <c r="P48" s="322"/>
      <c r="Q48" s="322"/>
      <c r="R48" s="322"/>
      <c r="S48" s="322"/>
      <c r="T48" s="322"/>
      <c r="U48" s="322"/>
      <c r="V48" s="322"/>
      <c r="W48" s="322"/>
      <c r="X48" s="322"/>
      <c r="Y48" s="322"/>
      <c r="Z48" s="322"/>
      <c r="AA48" s="322"/>
      <c r="AB48" s="322"/>
    </row>
    <row r="49" ht="15.75" customHeight="1">
      <c r="A49" s="199" t="s">
        <v>153</v>
      </c>
      <c r="B49" s="309" t="s">
        <v>400</v>
      </c>
      <c r="C49" s="199">
        <v>5.0161821E7</v>
      </c>
      <c r="D49" s="199" t="s">
        <v>72</v>
      </c>
      <c r="E49" s="309" t="s">
        <v>1225</v>
      </c>
      <c r="F49" s="199" t="s">
        <v>136</v>
      </c>
      <c r="G49" s="199" t="s">
        <v>1242</v>
      </c>
      <c r="H49" s="199" t="s">
        <v>1243</v>
      </c>
      <c r="I49" s="199" t="s">
        <v>1217</v>
      </c>
      <c r="J49" s="322"/>
      <c r="K49" s="322"/>
      <c r="L49" s="322"/>
      <c r="M49" s="322"/>
      <c r="N49" s="322"/>
      <c r="O49" s="322"/>
      <c r="P49" s="322"/>
      <c r="Q49" s="322"/>
      <c r="R49" s="322"/>
      <c r="S49" s="322"/>
      <c r="T49" s="322"/>
      <c r="U49" s="322"/>
      <c r="V49" s="322"/>
      <c r="W49" s="322"/>
      <c r="X49" s="322"/>
      <c r="Y49" s="322"/>
      <c r="Z49" s="322"/>
      <c r="AA49" s="322"/>
      <c r="AB49" s="322"/>
    </row>
    <row r="50" ht="15.75" customHeight="1">
      <c r="A50" s="326" t="s">
        <v>154</v>
      </c>
      <c r="B50" s="327" t="s">
        <v>398</v>
      </c>
      <c r="C50" s="326">
        <v>4.0047888E7</v>
      </c>
      <c r="D50" s="326" t="s">
        <v>72</v>
      </c>
      <c r="E50" s="327" t="s">
        <v>1225</v>
      </c>
      <c r="F50" s="326" t="s">
        <v>128</v>
      </c>
      <c r="G50" s="326" t="s">
        <v>1242</v>
      </c>
      <c r="H50" s="326" t="s">
        <v>1243</v>
      </c>
      <c r="I50" s="326" t="s">
        <v>1217</v>
      </c>
      <c r="J50" s="322"/>
      <c r="K50" s="322"/>
      <c r="L50" s="322"/>
      <c r="M50" s="322"/>
      <c r="N50" s="322"/>
      <c r="O50" s="322"/>
      <c r="P50" s="322"/>
      <c r="Q50" s="322"/>
      <c r="R50" s="322"/>
      <c r="S50" s="322"/>
      <c r="T50" s="322"/>
      <c r="U50" s="322"/>
      <c r="V50" s="322"/>
      <c r="W50" s="322"/>
      <c r="X50" s="322"/>
      <c r="Y50" s="322"/>
      <c r="Z50" s="322"/>
      <c r="AA50" s="322"/>
      <c r="AB50" s="322"/>
    </row>
    <row r="51" ht="15.75" customHeight="1">
      <c r="A51" s="199" t="s">
        <v>155</v>
      </c>
      <c r="B51" s="309" t="s">
        <v>401</v>
      </c>
      <c r="C51" s="199">
        <v>4.011063E7</v>
      </c>
      <c r="D51" s="199" t="s">
        <v>1213</v>
      </c>
      <c r="E51" s="309" t="s">
        <v>1219</v>
      </c>
      <c r="F51" s="199" t="s">
        <v>95</v>
      </c>
      <c r="G51" s="199" t="s">
        <v>1226</v>
      </c>
      <c r="H51" s="199" t="s">
        <v>1247</v>
      </c>
      <c r="I51" s="199" t="s">
        <v>1217</v>
      </c>
      <c r="J51" s="322"/>
      <c r="K51" s="322"/>
      <c r="L51" s="322"/>
      <c r="M51" s="322"/>
      <c r="N51" s="322"/>
      <c r="O51" s="322"/>
      <c r="P51" s="322"/>
      <c r="Q51" s="322"/>
      <c r="R51" s="322"/>
      <c r="S51" s="322"/>
      <c r="T51" s="322"/>
      <c r="U51" s="322"/>
      <c r="V51" s="322"/>
      <c r="W51" s="322"/>
      <c r="X51" s="322"/>
      <c r="Y51" s="322"/>
      <c r="Z51" s="322"/>
      <c r="AA51" s="322"/>
      <c r="AB51" s="322"/>
    </row>
    <row r="52" ht="15.75" customHeight="1">
      <c r="A52" s="326" t="s">
        <v>156</v>
      </c>
      <c r="B52" s="327" t="s">
        <v>388</v>
      </c>
      <c r="C52" s="326">
        <v>4.0110631E7</v>
      </c>
      <c r="D52" s="326" t="s">
        <v>1213</v>
      </c>
      <c r="E52" s="327" t="s">
        <v>1113</v>
      </c>
      <c r="F52" s="326" t="s">
        <v>95</v>
      </c>
      <c r="G52" s="326" t="s">
        <v>1226</v>
      </c>
      <c r="H52" s="326" t="s">
        <v>1245</v>
      </c>
      <c r="I52" s="326" t="s">
        <v>1217</v>
      </c>
      <c r="J52" s="322"/>
      <c r="K52" s="322"/>
      <c r="L52" s="322"/>
      <c r="M52" s="322"/>
      <c r="N52" s="322"/>
      <c r="O52" s="322"/>
      <c r="P52" s="322"/>
      <c r="Q52" s="322"/>
      <c r="R52" s="322"/>
      <c r="S52" s="322"/>
      <c r="T52" s="322"/>
      <c r="U52" s="322"/>
      <c r="V52" s="322"/>
      <c r="W52" s="322"/>
      <c r="X52" s="322"/>
      <c r="Y52" s="322"/>
      <c r="Z52" s="322"/>
      <c r="AA52" s="322"/>
      <c r="AB52" s="322"/>
    </row>
    <row r="53" ht="15.75" customHeight="1">
      <c r="A53" s="199" t="s">
        <v>157</v>
      </c>
      <c r="B53" s="309" t="s">
        <v>403</v>
      </c>
      <c r="C53" s="199">
        <v>3.0990151E7</v>
      </c>
      <c r="D53" s="199" t="s">
        <v>72</v>
      </c>
      <c r="E53" s="309" t="s">
        <v>1239</v>
      </c>
      <c r="F53" s="199" t="s">
        <v>95</v>
      </c>
      <c r="G53" s="199" t="s">
        <v>76</v>
      </c>
      <c r="H53" s="199" t="s">
        <v>76</v>
      </c>
      <c r="I53" s="199" t="s">
        <v>1217</v>
      </c>
      <c r="J53" s="322"/>
      <c r="K53" s="322"/>
      <c r="L53" s="322"/>
      <c r="M53" s="322"/>
      <c r="N53" s="322"/>
      <c r="O53" s="322"/>
      <c r="P53" s="322"/>
      <c r="Q53" s="322"/>
      <c r="R53" s="322"/>
      <c r="S53" s="322"/>
      <c r="T53" s="322"/>
      <c r="U53" s="322"/>
      <c r="V53" s="322"/>
      <c r="W53" s="322"/>
      <c r="X53" s="322"/>
      <c r="Y53" s="322"/>
      <c r="Z53" s="322"/>
      <c r="AA53" s="322"/>
      <c r="AB53" s="322"/>
    </row>
    <row r="54" ht="15.75" customHeight="1">
      <c r="A54" s="326" t="s">
        <v>158</v>
      </c>
      <c r="B54" s="327" t="s">
        <v>404</v>
      </c>
      <c r="C54" s="326">
        <v>3.099015E7</v>
      </c>
      <c r="D54" s="326" t="s">
        <v>72</v>
      </c>
      <c r="E54" s="327" t="s">
        <v>1239</v>
      </c>
      <c r="F54" s="326" t="s">
        <v>95</v>
      </c>
      <c r="G54" s="326" t="s">
        <v>76</v>
      </c>
      <c r="H54" s="326" t="s">
        <v>76</v>
      </c>
      <c r="I54" s="326" t="s">
        <v>1217</v>
      </c>
      <c r="J54" s="322"/>
      <c r="K54" s="322"/>
      <c r="L54" s="322"/>
      <c r="M54" s="322"/>
      <c r="N54" s="322"/>
      <c r="O54" s="322"/>
      <c r="P54" s="322"/>
      <c r="Q54" s="322"/>
      <c r="R54" s="322"/>
      <c r="S54" s="322"/>
      <c r="T54" s="322"/>
      <c r="U54" s="322"/>
      <c r="V54" s="322"/>
      <c r="W54" s="322"/>
      <c r="X54" s="322"/>
      <c r="Y54" s="322"/>
      <c r="Z54" s="322"/>
      <c r="AA54" s="322"/>
      <c r="AB54" s="322"/>
    </row>
    <row r="55" ht="15.75" customHeight="1">
      <c r="A55" s="199" t="s">
        <v>159</v>
      </c>
      <c r="B55" s="309" t="s">
        <v>406</v>
      </c>
      <c r="C55" s="199">
        <v>3.0771739E7</v>
      </c>
      <c r="D55" s="199" t="s">
        <v>1213</v>
      </c>
      <c r="E55" s="309" t="s">
        <v>1219</v>
      </c>
      <c r="F55" s="199" t="s">
        <v>95</v>
      </c>
      <c r="G55" s="199" t="s">
        <v>1226</v>
      </c>
      <c r="H55" s="199" t="s">
        <v>1248</v>
      </c>
      <c r="I55" s="199" t="s">
        <v>1217</v>
      </c>
      <c r="J55" s="322"/>
      <c r="K55" s="322"/>
      <c r="L55" s="322"/>
      <c r="M55" s="322"/>
      <c r="N55" s="322"/>
      <c r="O55" s="322"/>
      <c r="P55" s="322"/>
      <c r="Q55" s="322"/>
      <c r="R55" s="322"/>
      <c r="S55" s="322"/>
      <c r="T55" s="322"/>
      <c r="U55" s="322"/>
      <c r="V55" s="322"/>
      <c r="W55" s="322"/>
      <c r="X55" s="322"/>
      <c r="Y55" s="322"/>
      <c r="Z55" s="322"/>
      <c r="AA55" s="322"/>
      <c r="AB55" s="322"/>
    </row>
    <row r="56" ht="15.75" customHeight="1">
      <c r="A56" s="326" t="s">
        <v>160</v>
      </c>
      <c r="B56" s="327" t="s">
        <v>407</v>
      </c>
      <c r="C56" s="326">
        <v>4.0104887E7</v>
      </c>
      <c r="D56" s="326" t="s">
        <v>72</v>
      </c>
      <c r="E56" s="327" t="s">
        <v>1249</v>
      </c>
      <c r="F56" s="326" t="s">
        <v>95</v>
      </c>
      <c r="G56" s="326" t="s">
        <v>76</v>
      </c>
      <c r="H56" s="326" t="s">
        <v>76</v>
      </c>
      <c r="I56" s="326" t="s">
        <v>1217</v>
      </c>
      <c r="J56" s="322"/>
      <c r="K56" s="322"/>
      <c r="L56" s="322"/>
      <c r="M56" s="322"/>
      <c r="N56" s="322"/>
      <c r="O56" s="322"/>
      <c r="P56" s="322"/>
      <c r="Q56" s="322"/>
      <c r="R56" s="322"/>
      <c r="S56" s="322"/>
      <c r="T56" s="322"/>
      <c r="U56" s="322"/>
      <c r="V56" s="322"/>
      <c r="W56" s="322"/>
      <c r="X56" s="322"/>
      <c r="Y56" s="322"/>
      <c r="Z56" s="322"/>
      <c r="AA56" s="322"/>
      <c r="AB56" s="322"/>
    </row>
    <row r="57" ht="15.75" customHeight="1">
      <c r="A57" s="199" t="s">
        <v>161</v>
      </c>
      <c r="B57" s="309" t="s">
        <v>408</v>
      </c>
      <c r="C57" s="199">
        <v>4.0104889E7</v>
      </c>
      <c r="D57" s="199" t="s">
        <v>72</v>
      </c>
      <c r="E57" s="309" t="s">
        <v>1249</v>
      </c>
      <c r="F57" s="199" t="s">
        <v>95</v>
      </c>
      <c r="G57" s="199" t="s">
        <v>76</v>
      </c>
      <c r="H57" s="199" t="s">
        <v>76</v>
      </c>
      <c r="I57" s="199" t="s">
        <v>1217</v>
      </c>
      <c r="J57" s="322"/>
      <c r="K57" s="322"/>
      <c r="L57" s="322"/>
      <c r="M57" s="322"/>
      <c r="N57" s="322"/>
      <c r="O57" s="322"/>
      <c r="P57" s="322"/>
      <c r="Q57" s="322"/>
      <c r="R57" s="322"/>
      <c r="S57" s="322"/>
      <c r="T57" s="322"/>
      <c r="U57" s="322"/>
      <c r="V57" s="322"/>
      <c r="W57" s="322"/>
      <c r="X57" s="322"/>
      <c r="Y57" s="322"/>
      <c r="Z57" s="322"/>
      <c r="AA57" s="322"/>
      <c r="AB57" s="322"/>
    </row>
    <row r="58" ht="15.75" customHeight="1">
      <c r="A58" s="326" t="s">
        <v>1172</v>
      </c>
      <c r="B58" s="327" t="s">
        <v>1250</v>
      </c>
      <c r="C58" s="326">
        <v>4.0109781E7</v>
      </c>
      <c r="D58" s="326" t="s">
        <v>1213</v>
      </c>
      <c r="E58" s="327" t="s">
        <v>1219</v>
      </c>
      <c r="F58" s="326" t="s">
        <v>95</v>
      </c>
      <c r="G58" s="326" t="s">
        <v>1226</v>
      </c>
      <c r="H58" s="326" t="s">
        <v>1248</v>
      </c>
      <c r="I58" s="326" t="s">
        <v>1217</v>
      </c>
      <c r="J58" s="322"/>
      <c r="K58" s="322"/>
      <c r="L58" s="322"/>
      <c r="M58" s="322"/>
      <c r="N58" s="322"/>
      <c r="O58" s="322"/>
      <c r="P58" s="322"/>
      <c r="Q58" s="322"/>
      <c r="R58" s="322"/>
      <c r="S58" s="322"/>
      <c r="T58" s="322"/>
      <c r="U58" s="322"/>
      <c r="V58" s="322"/>
      <c r="W58" s="322"/>
      <c r="X58" s="322"/>
      <c r="Y58" s="322"/>
      <c r="Z58" s="322"/>
      <c r="AA58" s="322"/>
      <c r="AB58" s="322"/>
    </row>
    <row r="59" ht="15.75" customHeight="1">
      <c r="A59" s="199" t="s">
        <v>311</v>
      </c>
      <c r="B59" s="309" t="s">
        <v>1251</v>
      </c>
      <c r="C59" s="199">
        <v>5.2183168E7</v>
      </c>
      <c r="D59" s="199" t="s">
        <v>72</v>
      </c>
      <c r="E59" s="309" t="s">
        <v>1249</v>
      </c>
      <c r="F59" s="326" t="s">
        <v>95</v>
      </c>
      <c r="G59" s="199" t="s">
        <v>76</v>
      </c>
      <c r="H59" s="199" t="s">
        <v>76</v>
      </c>
      <c r="I59" s="199" t="s">
        <v>1217</v>
      </c>
      <c r="J59" s="322"/>
      <c r="K59" s="322"/>
      <c r="L59" s="322"/>
      <c r="M59" s="322"/>
      <c r="N59" s="322"/>
      <c r="O59" s="322"/>
      <c r="P59" s="322"/>
      <c r="Q59" s="322"/>
      <c r="R59" s="322"/>
      <c r="S59" s="322"/>
      <c r="T59" s="322"/>
      <c r="U59" s="322"/>
      <c r="V59" s="322"/>
      <c r="W59" s="322"/>
      <c r="X59" s="322"/>
      <c r="Y59" s="322"/>
      <c r="Z59" s="322"/>
      <c r="AA59" s="322"/>
      <c r="AB59" s="322"/>
    </row>
    <row r="60" ht="15.75" customHeight="1">
      <c r="A60" s="326" t="s">
        <v>312</v>
      </c>
      <c r="B60" s="327" t="s">
        <v>1252</v>
      </c>
      <c r="C60" s="326">
        <v>5.2183173E7</v>
      </c>
      <c r="D60" s="326" t="s">
        <v>72</v>
      </c>
      <c r="E60" s="327" t="s">
        <v>1249</v>
      </c>
      <c r="F60" s="326" t="s">
        <v>95</v>
      </c>
      <c r="G60" s="326" t="s">
        <v>76</v>
      </c>
      <c r="H60" s="326" t="s">
        <v>76</v>
      </c>
      <c r="I60" s="326" t="s">
        <v>1217</v>
      </c>
      <c r="J60" s="322"/>
      <c r="K60" s="322"/>
      <c r="L60" s="322"/>
      <c r="M60" s="322"/>
      <c r="N60" s="322"/>
      <c r="O60" s="322"/>
      <c r="P60" s="322"/>
      <c r="Q60" s="322"/>
      <c r="R60" s="322"/>
      <c r="S60" s="322"/>
      <c r="T60" s="322"/>
      <c r="U60" s="322"/>
      <c r="V60" s="322"/>
      <c r="W60" s="322"/>
      <c r="X60" s="322"/>
      <c r="Y60" s="322"/>
      <c r="Z60" s="322"/>
      <c r="AA60" s="322"/>
      <c r="AB60" s="322"/>
    </row>
    <row r="61" ht="15.75" customHeight="1">
      <c r="A61" s="199" t="s">
        <v>163</v>
      </c>
      <c r="B61" s="309" t="s">
        <v>410</v>
      </c>
      <c r="C61" s="199">
        <v>5.1526791E7</v>
      </c>
      <c r="D61" s="199" t="s">
        <v>1213</v>
      </c>
      <c r="E61" s="309" t="s">
        <v>1219</v>
      </c>
      <c r="F61" s="199" t="s">
        <v>95</v>
      </c>
      <c r="G61" s="199" t="s">
        <v>1226</v>
      </c>
      <c r="H61" s="199" t="s">
        <v>76</v>
      </c>
      <c r="I61" s="199" t="s">
        <v>1217</v>
      </c>
      <c r="J61" s="322"/>
      <c r="K61" s="322"/>
      <c r="L61" s="322"/>
      <c r="M61" s="322"/>
      <c r="N61" s="322"/>
      <c r="O61" s="322"/>
      <c r="P61" s="322"/>
      <c r="Q61" s="322"/>
      <c r="R61" s="322"/>
      <c r="S61" s="322"/>
      <c r="T61" s="322"/>
      <c r="U61" s="322"/>
      <c r="V61" s="322"/>
      <c r="W61" s="322"/>
      <c r="X61" s="322"/>
      <c r="Y61" s="322"/>
      <c r="Z61" s="322"/>
      <c r="AA61" s="322"/>
      <c r="AB61" s="322"/>
    </row>
    <row r="62" ht="15.75" customHeight="1">
      <c r="A62" s="326" t="s">
        <v>164</v>
      </c>
      <c r="B62" s="327" t="s">
        <v>412</v>
      </c>
      <c r="C62" s="326">
        <v>5.1526792E7</v>
      </c>
      <c r="D62" s="326" t="s">
        <v>1213</v>
      </c>
      <c r="E62" s="327" t="s">
        <v>1219</v>
      </c>
      <c r="F62" s="326" t="s">
        <v>95</v>
      </c>
      <c r="G62" s="326" t="s">
        <v>1226</v>
      </c>
      <c r="H62" s="326" t="s">
        <v>76</v>
      </c>
      <c r="I62" s="326" t="s">
        <v>1217</v>
      </c>
      <c r="J62" s="322"/>
      <c r="K62" s="322"/>
      <c r="L62" s="322"/>
      <c r="M62" s="322"/>
      <c r="N62" s="322"/>
      <c r="O62" s="322"/>
      <c r="P62" s="322"/>
      <c r="Q62" s="322"/>
      <c r="R62" s="322"/>
      <c r="S62" s="322"/>
      <c r="T62" s="322"/>
      <c r="U62" s="322"/>
      <c r="V62" s="322"/>
      <c r="W62" s="322"/>
      <c r="X62" s="322"/>
      <c r="Y62" s="322"/>
      <c r="Z62" s="322"/>
      <c r="AA62" s="322"/>
      <c r="AB62" s="322"/>
    </row>
    <row r="63" ht="15.75" customHeight="1">
      <c r="A63" s="199" t="s">
        <v>165</v>
      </c>
      <c r="B63" s="309" t="s">
        <v>410</v>
      </c>
      <c r="C63" s="199">
        <v>5.1526794E7</v>
      </c>
      <c r="D63" s="199" t="s">
        <v>1213</v>
      </c>
      <c r="E63" s="309" t="s">
        <v>1219</v>
      </c>
      <c r="F63" s="199" t="s">
        <v>95</v>
      </c>
      <c r="G63" s="199" t="s">
        <v>1226</v>
      </c>
      <c r="H63" s="199" t="s">
        <v>76</v>
      </c>
      <c r="I63" s="199" t="s">
        <v>1217</v>
      </c>
      <c r="J63" s="322"/>
      <c r="K63" s="322"/>
      <c r="L63" s="322"/>
      <c r="M63" s="322"/>
      <c r="N63" s="322"/>
      <c r="O63" s="322"/>
      <c r="P63" s="322"/>
      <c r="Q63" s="322"/>
      <c r="R63" s="322"/>
      <c r="S63" s="322"/>
      <c r="T63" s="322"/>
      <c r="U63" s="322"/>
      <c r="V63" s="322"/>
      <c r="W63" s="322"/>
      <c r="X63" s="322"/>
      <c r="Y63" s="322"/>
      <c r="Z63" s="322"/>
      <c r="AA63" s="322"/>
      <c r="AB63" s="322"/>
    </row>
    <row r="64" ht="15.75" customHeight="1">
      <c r="A64" s="326" t="s">
        <v>166</v>
      </c>
      <c r="B64" s="327" t="s">
        <v>412</v>
      </c>
      <c r="C64" s="326">
        <v>5.1526793E7</v>
      </c>
      <c r="D64" s="326" t="s">
        <v>1213</v>
      </c>
      <c r="E64" s="327" t="s">
        <v>1219</v>
      </c>
      <c r="F64" s="326" t="s">
        <v>95</v>
      </c>
      <c r="G64" s="326" t="s">
        <v>1226</v>
      </c>
      <c r="H64" s="326" t="s">
        <v>76</v>
      </c>
      <c r="I64" s="326" t="s">
        <v>1217</v>
      </c>
      <c r="J64" s="322"/>
      <c r="K64" s="322"/>
      <c r="L64" s="322"/>
      <c r="M64" s="322"/>
      <c r="N64" s="322"/>
      <c r="O64" s="322"/>
      <c r="P64" s="322"/>
      <c r="Q64" s="322"/>
      <c r="R64" s="322"/>
      <c r="S64" s="322"/>
      <c r="T64" s="322"/>
      <c r="U64" s="322"/>
      <c r="V64" s="322"/>
      <c r="W64" s="322"/>
      <c r="X64" s="322"/>
      <c r="Y64" s="322"/>
      <c r="Z64" s="322"/>
      <c r="AA64" s="322"/>
      <c r="AB64" s="322"/>
    </row>
    <row r="65" ht="15.75" customHeight="1">
      <c r="A65" s="199" t="s">
        <v>167</v>
      </c>
      <c r="B65" s="309" t="s">
        <v>410</v>
      </c>
      <c r="C65" s="199">
        <v>5.152679E7</v>
      </c>
      <c r="D65" s="199" t="s">
        <v>1213</v>
      </c>
      <c r="E65" s="309" t="s">
        <v>1219</v>
      </c>
      <c r="F65" s="199" t="s">
        <v>95</v>
      </c>
      <c r="G65" s="199" t="s">
        <v>1226</v>
      </c>
      <c r="H65" s="199" t="s">
        <v>76</v>
      </c>
      <c r="I65" s="199" t="s">
        <v>1217</v>
      </c>
      <c r="J65" s="322"/>
      <c r="K65" s="322"/>
      <c r="L65" s="322"/>
      <c r="M65" s="322"/>
      <c r="N65" s="322"/>
      <c r="O65" s="322"/>
      <c r="P65" s="322"/>
      <c r="Q65" s="322"/>
      <c r="R65" s="322"/>
      <c r="S65" s="322"/>
      <c r="T65" s="322"/>
      <c r="U65" s="322"/>
      <c r="V65" s="322"/>
      <c r="W65" s="322"/>
      <c r="X65" s="322"/>
      <c r="Y65" s="322"/>
      <c r="Z65" s="322"/>
      <c r="AA65" s="322"/>
      <c r="AB65" s="322"/>
    </row>
    <row r="66" ht="15.75" customHeight="1">
      <c r="A66" s="326" t="s">
        <v>168</v>
      </c>
      <c r="B66" s="327" t="s">
        <v>412</v>
      </c>
      <c r="C66" s="326">
        <v>5.1526789E7</v>
      </c>
      <c r="D66" s="326" t="s">
        <v>1213</v>
      </c>
      <c r="E66" s="327" t="s">
        <v>1219</v>
      </c>
      <c r="F66" s="326" t="s">
        <v>95</v>
      </c>
      <c r="G66" s="326" t="s">
        <v>1226</v>
      </c>
      <c r="H66" s="326" t="s">
        <v>76</v>
      </c>
      <c r="I66" s="326" t="s">
        <v>1217</v>
      </c>
      <c r="J66" s="322"/>
      <c r="K66" s="322"/>
      <c r="L66" s="322"/>
      <c r="M66" s="322"/>
      <c r="N66" s="322"/>
      <c r="O66" s="322"/>
      <c r="P66" s="322"/>
      <c r="Q66" s="322"/>
      <c r="R66" s="322"/>
      <c r="S66" s="322"/>
      <c r="T66" s="322"/>
      <c r="U66" s="322"/>
      <c r="V66" s="322"/>
      <c r="W66" s="322"/>
      <c r="X66" s="322"/>
      <c r="Y66" s="322"/>
      <c r="Z66" s="322"/>
      <c r="AA66" s="322"/>
      <c r="AB66" s="322"/>
    </row>
    <row r="67" ht="15.75" customHeight="1">
      <c r="A67" s="199" t="s">
        <v>169</v>
      </c>
      <c r="B67" s="309" t="s">
        <v>410</v>
      </c>
      <c r="C67" s="199">
        <v>5.1526802E7</v>
      </c>
      <c r="D67" s="199" t="s">
        <v>1213</v>
      </c>
      <c r="E67" s="309" t="s">
        <v>1219</v>
      </c>
      <c r="F67" s="199" t="s">
        <v>95</v>
      </c>
      <c r="G67" s="199" t="s">
        <v>1226</v>
      </c>
      <c r="H67" s="199" t="s">
        <v>76</v>
      </c>
      <c r="I67" s="199" t="s">
        <v>1217</v>
      </c>
      <c r="J67" s="322"/>
      <c r="K67" s="322"/>
      <c r="L67" s="322"/>
      <c r="M67" s="322"/>
      <c r="N67" s="322"/>
      <c r="O67" s="322"/>
      <c r="P67" s="322"/>
      <c r="Q67" s="322"/>
      <c r="R67" s="322"/>
      <c r="S67" s="322"/>
      <c r="T67" s="322"/>
      <c r="U67" s="322"/>
      <c r="V67" s="322"/>
      <c r="W67" s="322"/>
      <c r="X67" s="322"/>
      <c r="Y67" s="322"/>
      <c r="Z67" s="322"/>
      <c r="AA67" s="322"/>
      <c r="AB67" s="322"/>
    </row>
    <row r="68" ht="15.75" customHeight="1">
      <c r="A68" s="326" t="s">
        <v>170</v>
      </c>
      <c r="B68" s="327" t="s">
        <v>412</v>
      </c>
      <c r="C68" s="326">
        <v>5.1526804E7</v>
      </c>
      <c r="D68" s="326" t="s">
        <v>1213</v>
      </c>
      <c r="E68" s="327" t="s">
        <v>1219</v>
      </c>
      <c r="F68" s="326" t="s">
        <v>95</v>
      </c>
      <c r="G68" s="326" t="s">
        <v>1226</v>
      </c>
      <c r="H68" s="326" t="s">
        <v>76</v>
      </c>
      <c r="I68" s="326" t="s">
        <v>1217</v>
      </c>
      <c r="J68" s="322"/>
      <c r="K68" s="322"/>
      <c r="L68" s="322"/>
      <c r="M68" s="322"/>
      <c r="N68" s="322"/>
      <c r="O68" s="322"/>
      <c r="P68" s="322"/>
      <c r="Q68" s="322"/>
      <c r="R68" s="322"/>
      <c r="S68" s="322"/>
      <c r="T68" s="322"/>
      <c r="U68" s="322"/>
      <c r="V68" s="322"/>
      <c r="W68" s="322"/>
      <c r="X68" s="322"/>
      <c r="Y68" s="322"/>
      <c r="Z68" s="322"/>
      <c r="AA68" s="322"/>
      <c r="AB68" s="322"/>
    </row>
    <row r="69" ht="15.75" customHeight="1">
      <c r="A69" s="199" t="s">
        <v>171</v>
      </c>
      <c r="B69" s="309" t="s">
        <v>414</v>
      </c>
      <c r="C69" s="199">
        <v>4.0603951E7</v>
      </c>
      <c r="D69" s="199" t="s">
        <v>1223</v>
      </c>
      <c r="E69" s="309" t="s">
        <v>1224</v>
      </c>
      <c r="F69" s="199" t="s">
        <v>128</v>
      </c>
      <c r="G69" s="199" t="s">
        <v>1235</v>
      </c>
      <c r="H69" s="199" t="s">
        <v>1253</v>
      </c>
      <c r="I69" s="199" t="s">
        <v>1217</v>
      </c>
      <c r="J69" s="322"/>
      <c r="K69" s="322"/>
      <c r="L69" s="322"/>
      <c r="M69" s="322"/>
      <c r="N69" s="322"/>
      <c r="O69" s="322"/>
      <c r="P69" s="322"/>
      <c r="Q69" s="322"/>
      <c r="R69" s="322"/>
      <c r="S69" s="322"/>
      <c r="T69" s="322"/>
      <c r="U69" s="322"/>
      <c r="V69" s="322"/>
      <c r="W69" s="322"/>
      <c r="X69" s="322"/>
      <c r="Y69" s="322"/>
      <c r="Z69" s="322"/>
      <c r="AA69" s="322"/>
      <c r="AB69" s="322"/>
    </row>
    <row r="70" ht="15.75" customHeight="1">
      <c r="A70" s="326" t="s">
        <v>172</v>
      </c>
      <c r="B70" s="327" t="s">
        <v>418</v>
      </c>
      <c r="C70" s="326">
        <v>5.1801026E7</v>
      </c>
      <c r="D70" s="326" t="s">
        <v>1213</v>
      </c>
      <c r="E70" s="327" t="s">
        <v>1214</v>
      </c>
      <c r="F70" s="326" t="s">
        <v>128</v>
      </c>
      <c r="G70" s="326" t="s">
        <v>1254</v>
      </c>
      <c r="H70" s="326" t="s">
        <v>76</v>
      </c>
      <c r="I70" s="326" t="s">
        <v>1217</v>
      </c>
      <c r="J70" s="322"/>
      <c r="K70" s="322"/>
      <c r="L70" s="322"/>
      <c r="M70" s="322"/>
      <c r="N70" s="322"/>
      <c r="O70" s="322"/>
      <c r="P70" s="322"/>
      <c r="Q70" s="322"/>
      <c r="R70" s="322"/>
      <c r="S70" s="322"/>
      <c r="T70" s="322"/>
      <c r="U70" s="322"/>
      <c r="V70" s="322"/>
      <c r="W70" s="322"/>
      <c r="X70" s="322"/>
      <c r="Y70" s="322"/>
      <c r="Z70" s="322"/>
      <c r="AA70" s="322"/>
      <c r="AB70" s="322"/>
    </row>
    <row r="71" ht="15.75" customHeight="1">
      <c r="A71" s="199" t="s">
        <v>173</v>
      </c>
      <c r="B71" s="309" t="s">
        <v>420</v>
      </c>
      <c r="C71" s="199">
        <v>5.1801025E7</v>
      </c>
      <c r="D71" s="199" t="s">
        <v>1213</v>
      </c>
      <c r="E71" s="309" t="s">
        <v>1214</v>
      </c>
      <c r="F71" s="199" t="s">
        <v>128</v>
      </c>
      <c r="G71" s="199" t="s">
        <v>1254</v>
      </c>
      <c r="H71" s="199" t="s">
        <v>76</v>
      </c>
      <c r="I71" s="199" t="s">
        <v>1217</v>
      </c>
      <c r="J71" s="322"/>
      <c r="K71" s="322"/>
      <c r="L71" s="322"/>
      <c r="M71" s="322"/>
      <c r="N71" s="322"/>
      <c r="O71" s="322"/>
      <c r="P71" s="322"/>
      <c r="Q71" s="322"/>
      <c r="R71" s="322"/>
      <c r="S71" s="322"/>
      <c r="T71" s="322"/>
      <c r="U71" s="322"/>
      <c r="V71" s="322"/>
      <c r="W71" s="322"/>
      <c r="X71" s="322"/>
      <c r="Y71" s="322"/>
      <c r="Z71" s="322"/>
      <c r="AA71" s="322"/>
      <c r="AB71" s="322"/>
    </row>
    <row r="72" ht="15.75" customHeight="1">
      <c r="A72" s="326" t="s">
        <v>174</v>
      </c>
      <c r="B72" s="327" t="s">
        <v>422</v>
      </c>
      <c r="C72" s="326">
        <v>3.0913116E7</v>
      </c>
      <c r="D72" s="326" t="s">
        <v>1223</v>
      </c>
      <c r="E72" s="327" t="s">
        <v>1224</v>
      </c>
      <c r="F72" s="326" t="s">
        <v>109</v>
      </c>
      <c r="G72" s="326" t="s">
        <v>1255</v>
      </c>
      <c r="H72" s="326" t="s">
        <v>76</v>
      </c>
      <c r="I72" s="326" t="s">
        <v>1217</v>
      </c>
      <c r="J72" s="322"/>
      <c r="K72" s="322"/>
      <c r="L72" s="322"/>
      <c r="M72" s="322"/>
      <c r="N72" s="322"/>
      <c r="O72" s="322"/>
      <c r="P72" s="322"/>
      <c r="Q72" s="322"/>
      <c r="R72" s="322"/>
      <c r="S72" s="322"/>
      <c r="T72" s="322"/>
      <c r="U72" s="322"/>
      <c r="V72" s="322"/>
      <c r="W72" s="322"/>
      <c r="X72" s="322"/>
      <c r="Y72" s="322"/>
      <c r="Z72" s="322"/>
      <c r="AA72" s="322"/>
      <c r="AB72" s="322"/>
    </row>
    <row r="73" ht="15.75" customHeight="1">
      <c r="A73" s="199" t="s">
        <v>175</v>
      </c>
      <c r="B73" s="309" t="s">
        <v>423</v>
      </c>
      <c r="C73" s="199">
        <v>3.091312E7</v>
      </c>
      <c r="D73" s="199" t="s">
        <v>72</v>
      </c>
      <c r="E73" s="309" t="s">
        <v>1113</v>
      </c>
      <c r="F73" s="199" t="s">
        <v>109</v>
      </c>
      <c r="G73" s="199" t="s">
        <v>76</v>
      </c>
      <c r="H73" s="199" t="s">
        <v>76</v>
      </c>
      <c r="I73" s="199" t="s">
        <v>1217</v>
      </c>
      <c r="J73" s="322"/>
      <c r="K73" s="322"/>
      <c r="L73" s="322"/>
      <c r="M73" s="322"/>
      <c r="N73" s="322"/>
      <c r="O73" s="322"/>
      <c r="P73" s="322"/>
      <c r="Q73" s="322"/>
      <c r="R73" s="322"/>
      <c r="S73" s="322"/>
      <c r="T73" s="322"/>
      <c r="U73" s="322"/>
      <c r="V73" s="322"/>
      <c r="W73" s="322"/>
      <c r="X73" s="322"/>
      <c r="Y73" s="322"/>
      <c r="Z73" s="322"/>
      <c r="AA73" s="322"/>
      <c r="AB73" s="322"/>
    </row>
    <row r="74" ht="15.75" customHeight="1">
      <c r="A74" s="326" t="s">
        <v>176</v>
      </c>
      <c r="B74" s="327" t="s">
        <v>425</v>
      </c>
      <c r="C74" s="326">
        <v>3.0654022E7</v>
      </c>
      <c r="D74" s="326" t="s">
        <v>72</v>
      </c>
      <c r="E74" s="327" t="s">
        <v>1256</v>
      </c>
      <c r="F74" s="326" t="s">
        <v>177</v>
      </c>
      <c r="G74" s="326" t="s">
        <v>76</v>
      </c>
      <c r="H74" s="326" t="s">
        <v>76</v>
      </c>
      <c r="I74" s="326" t="s">
        <v>1217</v>
      </c>
      <c r="J74" s="322"/>
      <c r="K74" s="322"/>
      <c r="L74" s="322"/>
      <c r="M74" s="322"/>
      <c r="N74" s="322"/>
      <c r="O74" s="322"/>
      <c r="P74" s="322"/>
      <c r="Q74" s="322"/>
      <c r="R74" s="322"/>
      <c r="S74" s="322"/>
      <c r="T74" s="322"/>
      <c r="U74" s="322"/>
      <c r="V74" s="322"/>
      <c r="W74" s="322"/>
      <c r="X74" s="322"/>
      <c r="Y74" s="322"/>
      <c r="Z74" s="322"/>
      <c r="AA74" s="322"/>
      <c r="AB74" s="322"/>
    </row>
    <row r="75" ht="15.75" customHeight="1">
      <c r="A75" s="199" t="s">
        <v>178</v>
      </c>
      <c r="B75" s="309" t="s">
        <v>425</v>
      </c>
      <c r="C75" s="199">
        <v>3.0654005E7</v>
      </c>
      <c r="D75" s="199" t="s">
        <v>72</v>
      </c>
      <c r="E75" s="309" t="s">
        <v>1256</v>
      </c>
      <c r="F75" s="199" t="s">
        <v>177</v>
      </c>
      <c r="G75" s="199" t="s">
        <v>76</v>
      </c>
      <c r="H75" s="199" t="s">
        <v>76</v>
      </c>
      <c r="I75" s="199" t="s">
        <v>1217</v>
      </c>
      <c r="J75" s="322"/>
      <c r="K75" s="322"/>
      <c r="L75" s="322"/>
      <c r="M75" s="322"/>
      <c r="N75" s="322"/>
      <c r="O75" s="322"/>
      <c r="P75" s="322"/>
      <c r="Q75" s="322"/>
      <c r="R75" s="322"/>
      <c r="S75" s="322"/>
      <c r="T75" s="322"/>
      <c r="U75" s="322"/>
      <c r="V75" s="322"/>
      <c r="W75" s="322"/>
      <c r="X75" s="322"/>
      <c r="Y75" s="322"/>
      <c r="Z75" s="322"/>
      <c r="AA75" s="322"/>
      <c r="AB75" s="322"/>
    </row>
    <row r="76" ht="15.75" customHeight="1">
      <c r="A76" s="326" t="s">
        <v>179</v>
      </c>
      <c r="B76" s="327" t="s">
        <v>425</v>
      </c>
      <c r="C76" s="326">
        <v>3.0654021E7</v>
      </c>
      <c r="D76" s="326" t="s">
        <v>72</v>
      </c>
      <c r="E76" s="327" t="s">
        <v>1256</v>
      </c>
      <c r="F76" s="326" t="s">
        <v>177</v>
      </c>
      <c r="G76" s="326" t="s">
        <v>76</v>
      </c>
      <c r="H76" s="326" t="s">
        <v>76</v>
      </c>
      <c r="I76" s="326" t="s">
        <v>1217</v>
      </c>
      <c r="J76" s="322"/>
      <c r="K76" s="322"/>
      <c r="L76" s="322"/>
      <c r="M76" s="322"/>
      <c r="N76" s="322"/>
      <c r="O76" s="322"/>
      <c r="P76" s="322"/>
      <c r="Q76" s="322"/>
      <c r="R76" s="322"/>
      <c r="S76" s="322"/>
      <c r="T76" s="322"/>
      <c r="U76" s="322"/>
      <c r="V76" s="322"/>
      <c r="W76" s="322"/>
      <c r="X76" s="322"/>
      <c r="Y76" s="322"/>
      <c r="Z76" s="322"/>
      <c r="AA76" s="322"/>
      <c r="AB76" s="322"/>
    </row>
    <row r="77" ht="15.75" customHeight="1">
      <c r="A77" s="199" t="s">
        <v>180</v>
      </c>
      <c r="B77" s="309" t="s">
        <v>425</v>
      </c>
      <c r="C77" s="199">
        <v>3.0654006E7</v>
      </c>
      <c r="D77" s="199" t="s">
        <v>72</v>
      </c>
      <c r="E77" s="309" t="s">
        <v>1256</v>
      </c>
      <c r="F77" s="199" t="s">
        <v>177</v>
      </c>
      <c r="G77" s="199" t="s">
        <v>76</v>
      </c>
      <c r="H77" s="199" t="s">
        <v>76</v>
      </c>
      <c r="I77" s="199" t="s">
        <v>1217</v>
      </c>
      <c r="J77" s="322"/>
      <c r="K77" s="322"/>
      <c r="L77" s="322"/>
      <c r="M77" s="322"/>
      <c r="N77" s="322"/>
      <c r="O77" s="322"/>
      <c r="P77" s="322"/>
      <c r="Q77" s="322"/>
      <c r="R77" s="322"/>
      <c r="S77" s="322"/>
      <c r="T77" s="322"/>
      <c r="U77" s="322"/>
      <c r="V77" s="322"/>
      <c r="W77" s="322"/>
      <c r="X77" s="322"/>
      <c r="Y77" s="322"/>
      <c r="Z77" s="322"/>
      <c r="AA77" s="322"/>
      <c r="AB77" s="322"/>
    </row>
    <row r="78" ht="15.75" customHeight="1">
      <c r="A78" s="326" t="s">
        <v>181</v>
      </c>
      <c r="B78" s="327" t="s">
        <v>425</v>
      </c>
      <c r="C78" s="326">
        <v>3.0654023E7</v>
      </c>
      <c r="D78" s="326" t="s">
        <v>72</v>
      </c>
      <c r="E78" s="327" t="s">
        <v>1256</v>
      </c>
      <c r="F78" s="326" t="s">
        <v>177</v>
      </c>
      <c r="G78" s="326" t="s">
        <v>76</v>
      </c>
      <c r="H78" s="326" t="s">
        <v>76</v>
      </c>
      <c r="I78" s="326" t="s">
        <v>1217</v>
      </c>
      <c r="J78" s="322"/>
      <c r="K78" s="322"/>
      <c r="L78" s="322"/>
      <c r="M78" s="322"/>
      <c r="N78" s="322"/>
      <c r="O78" s="322"/>
      <c r="P78" s="322"/>
      <c r="Q78" s="322"/>
      <c r="R78" s="322"/>
      <c r="S78" s="322"/>
      <c r="T78" s="322"/>
      <c r="U78" s="322"/>
      <c r="V78" s="322"/>
      <c r="W78" s="322"/>
      <c r="X78" s="322"/>
      <c r="Y78" s="322"/>
      <c r="Z78" s="322"/>
      <c r="AA78" s="322"/>
      <c r="AB78" s="322"/>
    </row>
    <row r="79" ht="15.75" customHeight="1">
      <c r="A79" s="199" t="s">
        <v>182</v>
      </c>
      <c r="B79" s="309" t="s">
        <v>425</v>
      </c>
      <c r="C79" s="199">
        <v>3.0654047E7</v>
      </c>
      <c r="D79" s="199" t="s">
        <v>72</v>
      </c>
      <c r="E79" s="309" t="s">
        <v>1256</v>
      </c>
      <c r="F79" s="199" t="s">
        <v>177</v>
      </c>
      <c r="G79" s="199" t="s">
        <v>76</v>
      </c>
      <c r="H79" s="199" t="s">
        <v>76</v>
      </c>
      <c r="I79" s="199" t="s">
        <v>1217</v>
      </c>
      <c r="J79" s="322"/>
      <c r="K79" s="322"/>
      <c r="L79" s="322"/>
      <c r="M79" s="322"/>
      <c r="N79" s="322"/>
      <c r="O79" s="322"/>
      <c r="P79" s="322"/>
      <c r="Q79" s="322"/>
      <c r="R79" s="322"/>
      <c r="S79" s="322"/>
      <c r="T79" s="322"/>
      <c r="U79" s="322"/>
      <c r="V79" s="322"/>
      <c r="W79" s="322"/>
      <c r="X79" s="322"/>
      <c r="Y79" s="322"/>
      <c r="Z79" s="322"/>
      <c r="AA79" s="322"/>
      <c r="AB79" s="322"/>
    </row>
    <row r="80" ht="15.75" customHeight="1">
      <c r="A80" s="326" t="s">
        <v>183</v>
      </c>
      <c r="B80" s="327" t="s">
        <v>425</v>
      </c>
      <c r="C80" s="326">
        <v>3.0654048E7</v>
      </c>
      <c r="D80" s="326" t="s">
        <v>72</v>
      </c>
      <c r="E80" s="327" t="s">
        <v>1256</v>
      </c>
      <c r="F80" s="326" t="s">
        <v>177</v>
      </c>
      <c r="G80" s="326" t="s">
        <v>76</v>
      </c>
      <c r="H80" s="326" t="s">
        <v>76</v>
      </c>
      <c r="I80" s="326" t="s">
        <v>1217</v>
      </c>
      <c r="J80" s="322"/>
      <c r="K80" s="322"/>
      <c r="L80" s="322"/>
      <c r="M80" s="322"/>
      <c r="N80" s="322"/>
      <c r="O80" s="322"/>
      <c r="P80" s="322"/>
      <c r="Q80" s="322"/>
      <c r="R80" s="322"/>
      <c r="S80" s="322"/>
      <c r="T80" s="322"/>
      <c r="U80" s="322"/>
      <c r="V80" s="322"/>
      <c r="W80" s="322"/>
      <c r="X80" s="322"/>
      <c r="Y80" s="322"/>
      <c r="Z80" s="322"/>
      <c r="AA80" s="322"/>
      <c r="AB80" s="322"/>
    </row>
    <row r="81" ht="15.75" customHeight="1">
      <c r="A81" s="199" t="s">
        <v>184</v>
      </c>
      <c r="B81" s="309" t="s">
        <v>425</v>
      </c>
      <c r="C81" s="199">
        <v>3.0654049E7</v>
      </c>
      <c r="D81" s="199" t="s">
        <v>72</v>
      </c>
      <c r="E81" s="309" t="s">
        <v>1256</v>
      </c>
      <c r="F81" s="199" t="s">
        <v>177</v>
      </c>
      <c r="G81" s="199" t="s">
        <v>76</v>
      </c>
      <c r="H81" s="199" t="s">
        <v>76</v>
      </c>
      <c r="I81" s="199" t="s">
        <v>1217</v>
      </c>
      <c r="J81" s="322"/>
      <c r="K81" s="322"/>
      <c r="L81" s="322"/>
      <c r="M81" s="322"/>
      <c r="N81" s="322"/>
      <c r="O81" s="322"/>
      <c r="P81" s="322"/>
      <c r="Q81" s="322"/>
      <c r="R81" s="322"/>
      <c r="S81" s="322"/>
      <c r="T81" s="322"/>
      <c r="U81" s="322"/>
      <c r="V81" s="322"/>
      <c r="W81" s="322"/>
      <c r="X81" s="322"/>
      <c r="Y81" s="322"/>
      <c r="Z81" s="322"/>
      <c r="AA81" s="322"/>
      <c r="AB81" s="322"/>
    </row>
    <row r="82" ht="15.75" customHeight="1">
      <c r="A82" s="326" t="s">
        <v>185</v>
      </c>
      <c r="B82" s="327" t="s">
        <v>425</v>
      </c>
      <c r="C82" s="326">
        <v>3.065405E7</v>
      </c>
      <c r="D82" s="326" t="s">
        <v>72</v>
      </c>
      <c r="E82" s="327" t="s">
        <v>1256</v>
      </c>
      <c r="F82" s="326" t="s">
        <v>177</v>
      </c>
      <c r="G82" s="326" t="s">
        <v>76</v>
      </c>
      <c r="H82" s="326" t="s">
        <v>76</v>
      </c>
      <c r="I82" s="326" t="s">
        <v>1217</v>
      </c>
      <c r="J82" s="322"/>
      <c r="K82" s="322"/>
      <c r="L82" s="322"/>
      <c r="M82" s="322"/>
      <c r="N82" s="322"/>
      <c r="O82" s="322"/>
      <c r="P82" s="322"/>
      <c r="Q82" s="322"/>
      <c r="R82" s="322"/>
      <c r="S82" s="322"/>
      <c r="T82" s="322"/>
      <c r="U82" s="322"/>
      <c r="V82" s="322"/>
      <c r="W82" s="322"/>
      <c r="X82" s="322"/>
      <c r="Y82" s="322"/>
      <c r="Z82" s="322"/>
      <c r="AA82" s="322"/>
      <c r="AB82" s="322"/>
    </row>
    <row r="83" ht="15.75" customHeight="1">
      <c r="A83" s="199" t="s">
        <v>186</v>
      </c>
      <c r="B83" s="309" t="s">
        <v>425</v>
      </c>
      <c r="C83" s="199">
        <v>3.0654057E7</v>
      </c>
      <c r="D83" s="199" t="s">
        <v>72</v>
      </c>
      <c r="E83" s="309" t="s">
        <v>1256</v>
      </c>
      <c r="F83" s="199" t="s">
        <v>177</v>
      </c>
      <c r="G83" s="199" t="s">
        <v>76</v>
      </c>
      <c r="H83" s="199" t="s">
        <v>76</v>
      </c>
      <c r="I83" s="199" t="s">
        <v>1217</v>
      </c>
      <c r="J83" s="322"/>
      <c r="K83" s="322"/>
      <c r="L83" s="322"/>
      <c r="M83" s="322"/>
      <c r="N83" s="322"/>
      <c r="O83" s="322"/>
      <c r="P83" s="322"/>
      <c r="Q83" s="322"/>
      <c r="R83" s="322"/>
      <c r="S83" s="322"/>
      <c r="T83" s="322"/>
      <c r="U83" s="322"/>
      <c r="V83" s="322"/>
      <c r="W83" s="322"/>
      <c r="X83" s="322"/>
      <c r="Y83" s="322"/>
      <c r="Z83" s="322"/>
      <c r="AA83" s="322"/>
      <c r="AB83" s="322"/>
    </row>
    <row r="84" ht="15.75" customHeight="1">
      <c r="A84" s="326" t="s">
        <v>187</v>
      </c>
      <c r="B84" s="327" t="s">
        <v>425</v>
      </c>
      <c r="C84" s="326">
        <v>3.0654051E7</v>
      </c>
      <c r="D84" s="326" t="s">
        <v>72</v>
      </c>
      <c r="E84" s="327" t="s">
        <v>1256</v>
      </c>
      <c r="F84" s="326" t="s">
        <v>177</v>
      </c>
      <c r="G84" s="326" t="s">
        <v>76</v>
      </c>
      <c r="H84" s="326" t="s">
        <v>76</v>
      </c>
      <c r="I84" s="326" t="s">
        <v>1217</v>
      </c>
      <c r="J84" s="322"/>
      <c r="K84" s="322"/>
      <c r="L84" s="322"/>
      <c r="M84" s="322"/>
      <c r="N84" s="322"/>
      <c r="O84" s="322"/>
      <c r="P84" s="322"/>
      <c r="Q84" s="322"/>
      <c r="R84" s="322"/>
      <c r="S84" s="322"/>
      <c r="T84" s="322"/>
      <c r="U84" s="322"/>
      <c r="V84" s="322"/>
      <c r="W84" s="322"/>
      <c r="X84" s="322"/>
      <c r="Y84" s="322"/>
      <c r="Z84" s="322"/>
      <c r="AA84" s="322"/>
      <c r="AB84" s="322"/>
    </row>
    <row r="85" ht="15.75" customHeight="1">
      <c r="A85" s="199" t="s">
        <v>188</v>
      </c>
      <c r="B85" s="309" t="s">
        <v>425</v>
      </c>
      <c r="C85" s="199">
        <v>3.0654053E7</v>
      </c>
      <c r="D85" s="199" t="s">
        <v>72</v>
      </c>
      <c r="E85" s="309" t="s">
        <v>1256</v>
      </c>
      <c r="F85" s="199" t="s">
        <v>177</v>
      </c>
      <c r="G85" s="199" t="s">
        <v>76</v>
      </c>
      <c r="H85" s="199" t="s">
        <v>76</v>
      </c>
      <c r="I85" s="199" t="s">
        <v>1217</v>
      </c>
      <c r="J85" s="322"/>
      <c r="K85" s="322"/>
      <c r="L85" s="322"/>
      <c r="M85" s="322"/>
      <c r="N85" s="322"/>
      <c r="O85" s="322"/>
      <c r="P85" s="322"/>
      <c r="Q85" s="322"/>
      <c r="R85" s="322"/>
      <c r="S85" s="322"/>
      <c r="T85" s="322"/>
      <c r="U85" s="322"/>
      <c r="V85" s="322"/>
      <c r="W85" s="322"/>
      <c r="X85" s="322"/>
      <c r="Y85" s="322"/>
      <c r="Z85" s="322"/>
      <c r="AA85" s="322"/>
      <c r="AB85" s="322"/>
    </row>
    <row r="86" ht="15.75" customHeight="1">
      <c r="A86" s="326" t="s">
        <v>189</v>
      </c>
      <c r="B86" s="327" t="s">
        <v>430</v>
      </c>
      <c r="C86" s="326">
        <v>3.0662749E7</v>
      </c>
      <c r="D86" s="326" t="s">
        <v>1213</v>
      </c>
      <c r="E86" s="327" t="s">
        <v>1225</v>
      </c>
      <c r="F86" s="326" t="s">
        <v>177</v>
      </c>
      <c r="G86" s="326" t="s">
        <v>1226</v>
      </c>
      <c r="H86" s="326" t="s">
        <v>1257</v>
      </c>
      <c r="I86" s="326" t="s">
        <v>1217</v>
      </c>
      <c r="J86" s="322"/>
      <c r="K86" s="322"/>
      <c r="L86" s="322"/>
      <c r="M86" s="322"/>
      <c r="N86" s="322"/>
      <c r="O86" s="322"/>
      <c r="P86" s="322"/>
      <c r="Q86" s="322"/>
      <c r="R86" s="322"/>
      <c r="S86" s="322"/>
      <c r="T86" s="322"/>
      <c r="U86" s="322"/>
      <c r="V86" s="322"/>
      <c r="W86" s="322"/>
      <c r="X86" s="322"/>
      <c r="Y86" s="322"/>
      <c r="Z86" s="322"/>
      <c r="AA86" s="322"/>
      <c r="AB86" s="322"/>
    </row>
    <row r="87" ht="15.75" customHeight="1">
      <c r="A87" s="199" t="s">
        <v>190</v>
      </c>
      <c r="B87" s="309" t="s">
        <v>431</v>
      </c>
      <c r="C87" s="199">
        <v>3.066275E7</v>
      </c>
      <c r="D87" s="199" t="s">
        <v>1213</v>
      </c>
      <c r="E87" s="309" t="s">
        <v>1258</v>
      </c>
      <c r="F87" s="199" t="s">
        <v>177</v>
      </c>
      <c r="G87" s="199" t="s">
        <v>1226</v>
      </c>
      <c r="H87" s="199" t="s">
        <v>1257</v>
      </c>
      <c r="I87" s="199" t="s">
        <v>1217</v>
      </c>
      <c r="J87" s="322"/>
      <c r="K87" s="322"/>
      <c r="L87" s="322"/>
      <c r="M87" s="322"/>
      <c r="N87" s="322"/>
      <c r="O87" s="322"/>
      <c r="P87" s="322"/>
      <c r="Q87" s="322"/>
      <c r="R87" s="322"/>
      <c r="S87" s="322"/>
      <c r="T87" s="322"/>
      <c r="U87" s="322"/>
      <c r="V87" s="322"/>
      <c r="W87" s="322"/>
      <c r="X87" s="322"/>
      <c r="Y87" s="322"/>
      <c r="Z87" s="322"/>
      <c r="AA87" s="322"/>
      <c r="AB87" s="322"/>
    </row>
    <row r="88" ht="15.75" customHeight="1">
      <c r="A88" s="326" t="s">
        <v>191</v>
      </c>
      <c r="B88" s="327" t="s">
        <v>432</v>
      </c>
      <c r="C88" s="326">
        <v>4.0110628E7</v>
      </c>
      <c r="D88" s="326" t="s">
        <v>1223</v>
      </c>
      <c r="E88" s="327" t="s">
        <v>1224</v>
      </c>
      <c r="F88" s="326" t="s">
        <v>109</v>
      </c>
      <c r="G88" s="326" t="s">
        <v>1255</v>
      </c>
      <c r="H88" s="326" t="s">
        <v>76</v>
      </c>
      <c r="I88" s="326" t="s">
        <v>1217</v>
      </c>
      <c r="J88" s="322"/>
      <c r="K88" s="322"/>
      <c r="L88" s="322"/>
      <c r="M88" s="322"/>
      <c r="N88" s="322"/>
      <c r="O88" s="322"/>
      <c r="P88" s="322"/>
      <c r="Q88" s="322"/>
      <c r="R88" s="322"/>
      <c r="S88" s="322"/>
      <c r="T88" s="322"/>
      <c r="U88" s="322"/>
      <c r="V88" s="322"/>
      <c r="W88" s="322"/>
      <c r="X88" s="322"/>
      <c r="Y88" s="322"/>
      <c r="Z88" s="322"/>
      <c r="AA88" s="322"/>
      <c r="AB88" s="322"/>
    </row>
    <row r="89" ht="15.75" customHeight="1">
      <c r="A89" s="199" t="s">
        <v>192</v>
      </c>
      <c r="B89" s="309" t="s">
        <v>433</v>
      </c>
      <c r="C89" s="199">
        <v>4.0110626E7</v>
      </c>
      <c r="D89" s="199" t="s">
        <v>72</v>
      </c>
      <c r="E89" s="309" t="s">
        <v>1113</v>
      </c>
      <c r="F89" s="199" t="s">
        <v>109</v>
      </c>
      <c r="G89" s="199" t="s">
        <v>76</v>
      </c>
      <c r="H89" s="199" t="s">
        <v>76</v>
      </c>
      <c r="I89" s="199" t="s">
        <v>1217</v>
      </c>
      <c r="J89" s="322"/>
      <c r="K89" s="322"/>
      <c r="L89" s="322"/>
      <c r="M89" s="322"/>
      <c r="N89" s="322"/>
      <c r="O89" s="322"/>
      <c r="P89" s="322"/>
      <c r="Q89" s="322"/>
      <c r="R89" s="322"/>
      <c r="S89" s="322"/>
      <c r="T89" s="322"/>
      <c r="U89" s="322"/>
      <c r="V89" s="322"/>
      <c r="W89" s="322"/>
      <c r="X89" s="322"/>
      <c r="Y89" s="322"/>
      <c r="Z89" s="322"/>
      <c r="AA89" s="322"/>
      <c r="AB89" s="322"/>
    </row>
    <row r="90" ht="15.75" customHeight="1">
      <c r="A90" s="326" t="s">
        <v>3</v>
      </c>
      <c r="B90" s="327" t="s">
        <v>425</v>
      </c>
      <c r="C90" s="326">
        <v>4.0104806E7</v>
      </c>
      <c r="D90" s="326" t="s">
        <v>72</v>
      </c>
      <c r="E90" s="327" t="s">
        <v>1256</v>
      </c>
      <c r="F90" s="326" t="s">
        <v>177</v>
      </c>
      <c r="G90" s="326" t="s">
        <v>76</v>
      </c>
      <c r="H90" s="326" t="s">
        <v>76</v>
      </c>
      <c r="I90" s="326" t="s">
        <v>1217</v>
      </c>
      <c r="J90" s="322"/>
      <c r="K90" s="322"/>
      <c r="L90" s="322"/>
      <c r="M90" s="322"/>
      <c r="N90" s="322"/>
      <c r="O90" s="322"/>
      <c r="P90" s="322"/>
      <c r="Q90" s="322"/>
      <c r="R90" s="322"/>
      <c r="S90" s="322"/>
      <c r="T90" s="322"/>
      <c r="U90" s="322"/>
      <c r="V90" s="322"/>
      <c r="W90" s="322"/>
      <c r="X90" s="322"/>
      <c r="Y90" s="322"/>
      <c r="Z90" s="322"/>
      <c r="AA90" s="322"/>
      <c r="AB90" s="322"/>
    </row>
    <row r="91" ht="15.75" customHeight="1">
      <c r="A91" s="199" t="s">
        <v>193</v>
      </c>
      <c r="B91" s="309" t="s">
        <v>425</v>
      </c>
      <c r="C91" s="199">
        <v>4.0104814E7</v>
      </c>
      <c r="D91" s="199" t="s">
        <v>72</v>
      </c>
      <c r="E91" s="309" t="s">
        <v>1256</v>
      </c>
      <c r="F91" s="199" t="s">
        <v>177</v>
      </c>
      <c r="G91" s="199" t="s">
        <v>76</v>
      </c>
      <c r="H91" s="199" t="s">
        <v>76</v>
      </c>
      <c r="I91" s="199" t="s">
        <v>1217</v>
      </c>
      <c r="J91" s="322"/>
      <c r="K91" s="322"/>
      <c r="L91" s="322"/>
      <c r="M91" s="322"/>
      <c r="N91" s="322"/>
      <c r="O91" s="322"/>
      <c r="P91" s="322"/>
      <c r="Q91" s="322"/>
      <c r="R91" s="322"/>
      <c r="S91" s="322"/>
      <c r="T91" s="322"/>
      <c r="U91" s="322"/>
      <c r="V91" s="322"/>
      <c r="W91" s="322"/>
      <c r="X91" s="322"/>
      <c r="Y91" s="322"/>
      <c r="Z91" s="322"/>
      <c r="AA91" s="322"/>
      <c r="AB91" s="322"/>
    </row>
    <row r="92" ht="15.75" customHeight="1">
      <c r="A92" s="326" t="s">
        <v>194</v>
      </c>
      <c r="B92" s="327" t="s">
        <v>425</v>
      </c>
      <c r="C92" s="326">
        <v>4.0104815E7</v>
      </c>
      <c r="D92" s="326" t="s">
        <v>72</v>
      </c>
      <c r="E92" s="327" t="s">
        <v>1256</v>
      </c>
      <c r="F92" s="326" t="s">
        <v>177</v>
      </c>
      <c r="G92" s="326" t="s">
        <v>76</v>
      </c>
      <c r="H92" s="326" t="s">
        <v>76</v>
      </c>
      <c r="I92" s="326" t="s">
        <v>1217</v>
      </c>
      <c r="J92" s="322"/>
      <c r="K92" s="322"/>
      <c r="L92" s="322"/>
      <c r="M92" s="322"/>
      <c r="N92" s="322"/>
      <c r="O92" s="322"/>
      <c r="P92" s="322"/>
      <c r="Q92" s="322"/>
      <c r="R92" s="322"/>
      <c r="S92" s="322"/>
      <c r="T92" s="322"/>
      <c r="U92" s="322"/>
      <c r="V92" s="322"/>
      <c r="W92" s="322"/>
      <c r="X92" s="322"/>
      <c r="Y92" s="322"/>
      <c r="Z92" s="322"/>
      <c r="AA92" s="322"/>
      <c r="AB92" s="322"/>
    </row>
    <row r="93" ht="15.75" customHeight="1">
      <c r="A93" s="199" t="s">
        <v>195</v>
      </c>
      <c r="B93" s="309" t="s">
        <v>425</v>
      </c>
      <c r="C93" s="199">
        <v>4.0104816E7</v>
      </c>
      <c r="D93" s="199" t="s">
        <v>72</v>
      </c>
      <c r="E93" s="309" t="s">
        <v>1256</v>
      </c>
      <c r="F93" s="199" t="s">
        <v>177</v>
      </c>
      <c r="G93" s="199" t="s">
        <v>76</v>
      </c>
      <c r="H93" s="199" t="s">
        <v>76</v>
      </c>
      <c r="I93" s="199" t="s">
        <v>1217</v>
      </c>
      <c r="J93" s="322"/>
      <c r="K93" s="322"/>
      <c r="L93" s="322"/>
      <c r="M93" s="322"/>
      <c r="N93" s="322"/>
      <c r="O93" s="322"/>
      <c r="P93" s="322"/>
      <c r="Q93" s="322"/>
      <c r="R93" s="322"/>
      <c r="S93" s="322"/>
      <c r="T93" s="322"/>
      <c r="U93" s="322"/>
      <c r="V93" s="322"/>
      <c r="W93" s="322"/>
      <c r="X93" s="322"/>
      <c r="Y93" s="322"/>
      <c r="Z93" s="322"/>
      <c r="AA93" s="322"/>
      <c r="AB93" s="322"/>
    </row>
    <row r="94" ht="15.75" customHeight="1">
      <c r="A94" s="326" t="s">
        <v>196</v>
      </c>
      <c r="B94" s="327" t="s">
        <v>425</v>
      </c>
      <c r="C94" s="326">
        <v>4.0104834E7</v>
      </c>
      <c r="D94" s="326" t="s">
        <v>72</v>
      </c>
      <c r="E94" s="327" t="s">
        <v>1256</v>
      </c>
      <c r="F94" s="326" t="s">
        <v>177</v>
      </c>
      <c r="G94" s="326" t="s">
        <v>76</v>
      </c>
      <c r="H94" s="326" t="s">
        <v>76</v>
      </c>
      <c r="I94" s="326" t="s">
        <v>1217</v>
      </c>
      <c r="J94" s="322"/>
      <c r="K94" s="322"/>
      <c r="L94" s="322"/>
      <c r="M94" s="322"/>
      <c r="N94" s="322"/>
      <c r="O94" s="322"/>
      <c r="P94" s="322"/>
      <c r="Q94" s="322"/>
      <c r="R94" s="322"/>
      <c r="S94" s="322"/>
      <c r="T94" s="322"/>
      <c r="U94" s="322"/>
      <c r="V94" s="322"/>
      <c r="W94" s="322"/>
      <c r="X94" s="322"/>
      <c r="Y94" s="322"/>
      <c r="Z94" s="322"/>
      <c r="AA94" s="322"/>
      <c r="AB94" s="322"/>
    </row>
    <row r="95" ht="15.75" customHeight="1">
      <c r="A95" s="199" t="s">
        <v>197</v>
      </c>
      <c r="B95" s="309" t="s">
        <v>425</v>
      </c>
      <c r="C95" s="199">
        <v>4.0104823E7</v>
      </c>
      <c r="D95" s="199" t="s">
        <v>72</v>
      </c>
      <c r="E95" s="309" t="s">
        <v>1256</v>
      </c>
      <c r="F95" s="199" t="s">
        <v>177</v>
      </c>
      <c r="G95" s="199" t="s">
        <v>76</v>
      </c>
      <c r="H95" s="199" t="s">
        <v>76</v>
      </c>
      <c r="I95" s="199" t="s">
        <v>1217</v>
      </c>
      <c r="J95" s="322"/>
      <c r="K95" s="322"/>
      <c r="L95" s="322"/>
      <c r="M95" s="322"/>
      <c r="N95" s="322"/>
      <c r="O95" s="322"/>
      <c r="P95" s="322"/>
      <c r="Q95" s="322"/>
      <c r="R95" s="322"/>
      <c r="S95" s="322"/>
      <c r="T95" s="322"/>
      <c r="U95" s="322"/>
      <c r="V95" s="322"/>
      <c r="W95" s="322"/>
      <c r="X95" s="322"/>
      <c r="Y95" s="322"/>
      <c r="Z95" s="322"/>
      <c r="AA95" s="322"/>
      <c r="AB95" s="322"/>
    </row>
    <row r="96" ht="15.75" customHeight="1">
      <c r="A96" s="326" t="s">
        <v>198</v>
      </c>
      <c r="B96" s="327" t="s">
        <v>425</v>
      </c>
      <c r="C96" s="326">
        <v>4.0104824E7</v>
      </c>
      <c r="D96" s="326" t="s">
        <v>72</v>
      </c>
      <c r="E96" s="327" t="s">
        <v>1256</v>
      </c>
      <c r="F96" s="326" t="s">
        <v>177</v>
      </c>
      <c r="G96" s="326" t="s">
        <v>76</v>
      </c>
      <c r="H96" s="326" t="s">
        <v>76</v>
      </c>
      <c r="I96" s="326" t="s">
        <v>1217</v>
      </c>
      <c r="J96" s="322"/>
      <c r="K96" s="322"/>
      <c r="L96" s="322"/>
      <c r="M96" s="322"/>
      <c r="N96" s="322"/>
      <c r="O96" s="322"/>
      <c r="P96" s="322"/>
      <c r="Q96" s="322"/>
      <c r="R96" s="322"/>
      <c r="S96" s="322"/>
      <c r="T96" s="322"/>
      <c r="U96" s="322"/>
      <c r="V96" s="322"/>
      <c r="W96" s="322"/>
      <c r="X96" s="322"/>
      <c r="Y96" s="322"/>
      <c r="Z96" s="322"/>
      <c r="AA96" s="322"/>
      <c r="AB96" s="322"/>
    </row>
    <row r="97" ht="15.75" customHeight="1">
      <c r="A97" s="199" t="s">
        <v>199</v>
      </c>
      <c r="B97" s="309" t="s">
        <v>425</v>
      </c>
      <c r="C97" s="199">
        <v>4.0104821E7</v>
      </c>
      <c r="D97" s="199" t="s">
        <v>72</v>
      </c>
      <c r="E97" s="309" t="s">
        <v>1256</v>
      </c>
      <c r="F97" s="199" t="s">
        <v>177</v>
      </c>
      <c r="G97" s="199" t="s">
        <v>76</v>
      </c>
      <c r="H97" s="199" t="s">
        <v>76</v>
      </c>
      <c r="I97" s="199" t="s">
        <v>1217</v>
      </c>
      <c r="J97" s="322"/>
      <c r="K97" s="322"/>
      <c r="L97" s="322"/>
      <c r="M97" s="322"/>
      <c r="N97" s="322"/>
      <c r="O97" s="322"/>
      <c r="P97" s="322"/>
      <c r="Q97" s="322"/>
      <c r="R97" s="322"/>
      <c r="S97" s="322"/>
      <c r="T97" s="322"/>
      <c r="U97" s="322"/>
      <c r="V97" s="322"/>
      <c r="W97" s="322"/>
      <c r="X97" s="322"/>
      <c r="Y97" s="322"/>
      <c r="Z97" s="322"/>
      <c r="AA97" s="322"/>
      <c r="AB97" s="322"/>
    </row>
    <row r="98" ht="15.75" customHeight="1">
      <c r="A98" s="326" t="s">
        <v>200</v>
      </c>
      <c r="B98" s="327" t="s">
        <v>425</v>
      </c>
      <c r="C98" s="326">
        <v>4.010482E7</v>
      </c>
      <c r="D98" s="326" t="s">
        <v>72</v>
      </c>
      <c r="E98" s="327" t="s">
        <v>1256</v>
      </c>
      <c r="F98" s="326" t="s">
        <v>177</v>
      </c>
      <c r="G98" s="326" t="s">
        <v>76</v>
      </c>
      <c r="H98" s="326" t="s">
        <v>76</v>
      </c>
      <c r="I98" s="326" t="s">
        <v>1217</v>
      </c>
      <c r="J98" s="322"/>
      <c r="K98" s="322"/>
      <c r="L98" s="322"/>
      <c r="M98" s="322"/>
      <c r="N98" s="322"/>
      <c r="O98" s="322"/>
      <c r="P98" s="322"/>
      <c r="Q98" s="322"/>
      <c r="R98" s="322"/>
      <c r="S98" s="322"/>
      <c r="T98" s="322"/>
      <c r="U98" s="322"/>
      <c r="V98" s="322"/>
      <c r="W98" s="322"/>
      <c r="X98" s="322"/>
      <c r="Y98" s="322"/>
      <c r="Z98" s="322"/>
      <c r="AA98" s="322"/>
      <c r="AB98" s="322"/>
    </row>
    <row r="99" ht="15.75" customHeight="1">
      <c r="A99" s="199" t="s">
        <v>201</v>
      </c>
      <c r="B99" s="309" t="s">
        <v>425</v>
      </c>
      <c r="C99" s="199">
        <v>4.0104827E7</v>
      </c>
      <c r="D99" s="199" t="s">
        <v>72</v>
      </c>
      <c r="E99" s="309" t="s">
        <v>1256</v>
      </c>
      <c r="F99" s="199" t="s">
        <v>177</v>
      </c>
      <c r="G99" s="199" t="s">
        <v>76</v>
      </c>
      <c r="H99" s="199" t="s">
        <v>76</v>
      </c>
      <c r="I99" s="199" t="s">
        <v>1217</v>
      </c>
      <c r="J99" s="322"/>
      <c r="K99" s="322"/>
      <c r="L99" s="322"/>
      <c r="M99" s="322"/>
      <c r="N99" s="322"/>
      <c r="O99" s="322"/>
      <c r="P99" s="322"/>
      <c r="Q99" s="322"/>
      <c r="R99" s="322"/>
      <c r="S99" s="322"/>
      <c r="T99" s="322"/>
      <c r="U99" s="322"/>
      <c r="V99" s="322"/>
      <c r="W99" s="322"/>
      <c r="X99" s="322"/>
      <c r="Y99" s="322"/>
      <c r="Z99" s="322"/>
      <c r="AA99" s="322"/>
      <c r="AB99" s="322"/>
    </row>
    <row r="100" ht="15.75" customHeight="1">
      <c r="A100" s="326" t="s">
        <v>202</v>
      </c>
      <c r="B100" s="327" t="s">
        <v>425</v>
      </c>
      <c r="C100" s="326">
        <v>4.0104829E7</v>
      </c>
      <c r="D100" s="326" t="s">
        <v>72</v>
      </c>
      <c r="E100" s="327" t="s">
        <v>1256</v>
      </c>
      <c r="F100" s="326" t="s">
        <v>177</v>
      </c>
      <c r="G100" s="326" t="s">
        <v>76</v>
      </c>
      <c r="H100" s="326" t="s">
        <v>76</v>
      </c>
      <c r="I100" s="326" t="s">
        <v>1217</v>
      </c>
      <c r="J100" s="322"/>
      <c r="K100" s="322"/>
      <c r="L100" s="322"/>
      <c r="M100" s="322"/>
      <c r="N100" s="322"/>
      <c r="O100" s="322"/>
      <c r="P100" s="322"/>
      <c r="Q100" s="322"/>
      <c r="R100" s="322"/>
      <c r="S100" s="322"/>
      <c r="T100" s="322"/>
      <c r="U100" s="322"/>
      <c r="V100" s="322"/>
      <c r="W100" s="322"/>
      <c r="X100" s="322"/>
      <c r="Y100" s="322"/>
      <c r="Z100" s="322"/>
      <c r="AA100" s="322"/>
      <c r="AB100" s="322"/>
    </row>
    <row r="101" ht="15.75" customHeight="1">
      <c r="A101" s="199" t="s">
        <v>203</v>
      </c>
      <c r="B101" s="309" t="s">
        <v>425</v>
      </c>
      <c r="C101" s="199">
        <v>4.0104832E7</v>
      </c>
      <c r="D101" s="199" t="s">
        <v>72</v>
      </c>
      <c r="E101" s="309" t="s">
        <v>1256</v>
      </c>
      <c r="F101" s="199" t="s">
        <v>177</v>
      </c>
      <c r="G101" s="199" t="s">
        <v>76</v>
      </c>
      <c r="H101" s="199" t="s">
        <v>76</v>
      </c>
      <c r="I101" s="199" t="s">
        <v>1217</v>
      </c>
      <c r="J101" s="322"/>
      <c r="K101" s="322"/>
      <c r="L101" s="322"/>
      <c r="M101" s="322"/>
      <c r="N101" s="322"/>
      <c r="O101" s="322"/>
      <c r="P101" s="322"/>
      <c r="Q101" s="322"/>
      <c r="R101" s="322"/>
      <c r="S101" s="322"/>
      <c r="T101" s="322"/>
      <c r="U101" s="322"/>
      <c r="V101" s="322"/>
      <c r="W101" s="322"/>
      <c r="X101" s="322"/>
      <c r="Y101" s="322"/>
      <c r="Z101" s="322"/>
      <c r="AA101" s="322"/>
      <c r="AB101" s="322"/>
    </row>
    <row r="102" ht="15.75" customHeight="1">
      <c r="A102" s="326" t="s">
        <v>204</v>
      </c>
      <c r="B102" s="327" t="s">
        <v>434</v>
      </c>
      <c r="C102" s="326">
        <v>4.0109809E7</v>
      </c>
      <c r="D102" s="326" t="s">
        <v>1213</v>
      </c>
      <c r="E102" s="327" t="s">
        <v>1259</v>
      </c>
      <c r="F102" s="326" t="s">
        <v>177</v>
      </c>
      <c r="G102" s="326" t="s">
        <v>1226</v>
      </c>
      <c r="H102" s="326" t="s">
        <v>1257</v>
      </c>
      <c r="I102" s="326" t="s">
        <v>1217</v>
      </c>
      <c r="J102" s="322"/>
      <c r="K102" s="322"/>
      <c r="L102" s="322"/>
      <c r="M102" s="322"/>
      <c r="N102" s="322"/>
      <c r="O102" s="322"/>
      <c r="P102" s="322"/>
      <c r="Q102" s="322"/>
      <c r="R102" s="322"/>
      <c r="S102" s="322"/>
      <c r="T102" s="322"/>
      <c r="U102" s="322"/>
      <c r="V102" s="322"/>
      <c r="W102" s="322"/>
      <c r="X102" s="322"/>
      <c r="Y102" s="322"/>
      <c r="Z102" s="322"/>
      <c r="AA102" s="322"/>
      <c r="AB102" s="322"/>
    </row>
    <row r="103" ht="15.75" customHeight="1">
      <c r="A103" s="199" t="s">
        <v>205</v>
      </c>
      <c r="B103" s="309" t="s">
        <v>435</v>
      </c>
      <c r="C103" s="199">
        <v>4.0109808E7</v>
      </c>
      <c r="D103" s="199" t="s">
        <v>1213</v>
      </c>
      <c r="E103" s="309" t="s">
        <v>1259</v>
      </c>
      <c r="F103" s="199" t="s">
        <v>177</v>
      </c>
      <c r="G103" s="199" t="s">
        <v>1226</v>
      </c>
      <c r="H103" s="199" t="s">
        <v>1257</v>
      </c>
      <c r="I103" s="199" t="s">
        <v>1217</v>
      </c>
      <c r="J103" s="322"/>
      <c r="K103" s="322"/>
      <c r="L103" s="322"/>
      <c r="M103" s="322"/>
      <c r="N103" s="322"/>
      <c r="O103" s="322"/>
      <c r="P103" s="322"/>
      <c r="Q103" s="322"/>
      <c r="R103" s="322"/>
      <c r="S103" s="322"/>
      <c r="T103" s="322"/>
      <c r="U103" s="322"/>
      <c r="V103" s="322"/>
      <c r="W103" s="322"/>
      <c r="X103" s="322"/>
      <c r="Y103" s="322"/>
      <c r="Z103" s="322"/>
      <c r="AA103" s="322"/>
      <c r="AB103" s="322"/>
    </row>
    <row r="104" ht="15.75" customHeight="1">
      <c r="A104" s="326" t="s">
        <v>206</v>
      </c>
      <c r="B104" s="327" t="s">
        <v>437</v>
      </c>
      <c r="C104" s="326">
        <v>3.0771884E7</v>
      </c>
      <c r="D104" s="326" t="s">
        <v>1213</v>
      </c>
      <c r="E104" s="327" t="s">
        <v>1219</v>
      </c>
      <c r="F104" s="326" t="s">
        <v>95</v>
      </c>
      <c r="G104" s="326" t="s">
        <v>1226</v>
      </c>
      <c r="H104" s="326" t="s">
        <v>1260</v>
      </c>
      <c r="I104" s="326" t="s">
        <v>1217</v>
      </c>
      <c r="J104" s="322"/>
      <c r="K104" s="322"/>
      <c r="L104" s="322"/>
      <c r="M104" s="322"/>
      <c r="N104" s="322"/>
      <c r="O104" s="322"/>
      <c r="P104" s="322"/>
      <c r="Q104" s="322"/>
      <c r="R104" s="322"/>
      <c r="S104" s="322"/>
      <c r="T104" s="322"/>
      <c r="U104" s="322"/>
      <c r="V104" s="322"/>
      <c r="W104" s="322"/>
      <c r="X104" s="322"/>
      <c r="Y104" s="322"/>
      <c r="Z104" s="322"/>
      <c r="AA104" s="322"/>
      <c r="AB104" s="322"/>
    </row>
    <row r="105" ht="15.75" customHeight="1">
      <c r="A105" s="199" t="s">
        <v>207</v>
      </c>
      <c r="B105" s="309" t="s">
        <v>439</v>
      </c>
      <c r="C105" s="199">
        <v>3.0920769E7</v>
      </c>
      <c r="D105" s="199" t="s">
        <v>1223</v>
      </c>
      <c r="E105" s="309" t="s">
        <v>1224</v>
      </c>
      <c r="F105" s="199" t="s">
        <v>136</v>
      </c>
      <c r="G105" s="199" t="s">
        <v>1261</v>
      </c>
      <c r="H105" s="199" t="s">
        <v>1236</v>
      </c>
      <c r="I105" s="199" t="s">
        <v>1217</v>
      </c>
      <c r="J105" s="322"/>
      <c r="K105" s="322"/>
      <c r="L105" s="322"/>
      <c r="M105" s="322"/>
      <c r="N105" s="322"/>
      <c r="O105" s="322"/>
      <c r="P105" s="322"/>
      <c r="Q105" s="322"/>
      <c r="R105" s="322"/>
      <c r="S105" s="322"/>
      <c r="T105" s="322"/>
      <c r="U105" s="322"/>
      <c r="V105" s="322"/>
      <c r="W105" s="322"/>
      <c r="X105" s="322"/>
      <c r="Y105" s="322"/>
      <c r="Z105" s="322"/>
      <c r="AA105" s="322"/>
      <c r="AB105" s="322"/>
    </row>
    <row r="106" ht="15.75" customHeight="1">
      <c r="A106" s="326" t="s">
        <v>208</v>
      </c>
      <c r="B106" s="327" t="s">
        <v>440</v>
      </c>
      <c r="C106" s="326">
        <v>4.0104838E7</v>
      </c>
      <c r="D106" s="326" t="s">
        <v>1213</v>
      </c>
      <c r="E106" s="327" t="s">
        <v>1219</v>
      </c>
      <c r="F106" s="326" t="s">
        <v>95</v>
      </c>
      <c r="G106" s="326" t="s">
        <v>1226</v>
      </c>
      <c r="H106" s="326" t="s">
        <v>1260</v>
      </c>
      <c r="I106" s="326" t="s">
        <v>1217</v>
      </c>
      <c r="J106" s="322"/>
      <c r="K106" s="322"/>
      <c r="L106" s="322"/>
      <c r="M106" s="322"/>
      <c r="N106" s="322"/>
      <c r="O106" s="322"/>
      <c r="P106" s="322"/>
      <c r="Q106" s="322"/>
      <c r="R106" s="322"/>
      <c r="S106" s="322"/>
      <c r="T106" s="322"/>
      <c r="U106" s="322"/>
      <c r="V106" s="322"/>
      <c r="W106" s="322"/>
      <c r="X106" s="322"/>
      <c r="Y106" s="322"/>
      <c r="Z106" s="322"/>
      <c r="AA106" s="322"/>
      <c r="AB106" s="322"/>
    </row>
    <row r="107" ht="15.75" customHeight="1">
      <c r="A107" s="199" t="s">
        <v>209</v>
      </c>
      <c r="B107" s="309" t="s">
        <v>441</v>
      </c>
      <c r="C107" s="199">
        <v>4.0047886E7</v>
      </c>
      <c r="D107" s="199" t="s">
        <v>1223</v>
      </c>
      <c r="E107" s="309" t="s">
        <v>1224</v>
      </c>
      <c r="F107" s="199" t="s">
        <v>136</v>
      </c>
      <c r="G107" s="199" t="s">
        <v>1261</v>
      </c>
      <c r="H107" s="199" t="s">
        <v>1236</v>
      </c>
      <c r="I107" s="199" t="s">
        <v>1217</v>
      </c>
      <c r="J107" s="322"/>
      <c r="K107" s="322"/>
      <c r="L107" s="322"/>
      <c r="M107" s="322"/>
      <c r="N107" s="322"/>
      <c r="O107" s="322"/>
      <c r="P107" s="322"/>
      <c r="Q107" s="322"/>
      <c r="R107" s="322"/>
      <c r="S107" s="322"/>
      <c r="T107" s="322"/>
      <c r="U107" s="322"/>
      <c r="V107" s="322"/>
      <c r="W107" s="322"/>
      <c r="X107" s="322"/>
      <c r="Y107" s="322"/>
      <c r="Z107" s="322"/>
      <c r="AA107" s="322"/>
      <c r="AB107" s="322"/>
    </row>
    <row r="108" ht="15.75" customHeight="1">
      <c r="A108" s="326" t="s">
        <v>210</v>
      </c>
      <c r="B108" s="327" t="s">
        <v>442</v>
      </c>
      <c r="C108" s="326">
        <v>5.1905342E7</v>
      </c>
      <c r="D108" s="326" t="s">
        <v>1223</v>
      </c>
      <c r="E108" s="327" t="s">
        <v>1262</v>
      </c>
      <c r="F108" s="326" t="s">
        <v>128</v>
      </c>
      <c r="G108" s="326" t="s">
        <v>1263</v>
      </c>
      <c r="H108" s="326"/>
      <c r="I108" s="326" t="s">
        <v>1217</v>
      </c>
      <c r="J108" s="322"/>
      <c r="K108" s="322"/>
      <c r="L108" s="322"/>
      <c r="M108" s="322"/>
      <c r="N108" s="322"/>
      <c r="O108" s="322"/>
      <c r="P108" s="322"/>
      <c r="Q108" s="322"/>
      <c r="R108" s="322"/>
      <c r="S108" s="322"/>
      <c r="T108" s="322"/>
      <c r="U108" s="322"/>
      <c r="V108" s="322"/>
      <c r="W108" s="322"/>
      <c r="X108" s="322"/>
      <c r="Y108" s="322"/>
      <c r="Z108" s="322"/>
      <c r="AA108" s="322"/>
      <c r="AB108" s="322"/>
    </row>
    <row r="109" ht="15.75" customHeight="1">
      <c r="A109" s="199" t="s">
        <v>211</v>
      </c>
      <c r="B109" s="309" t="s">
        <v>442</v>
      </c>
      <c r="C109" s="199">
        <v>5.1905344E7</v>
      </c>
      <c r="D109" s="199" t="s">
        <v>1223</v>
      </c>
      <c r="E109" s="309" t="s">
        <v>1262</v>
      </c>
      <c r="F109" s="326" t="s">
        <v>128</v>
      </c>
      <c r="G109" s="199" t="s">
        <v>1263</v>
      </c>
      <c r="H109" s="199"/>
      <c r="I109" s="199" t="s">
        <v>1217</v>
      </c>
      <c r="J109" s="322"/>
      <c r="K109" s="322"/>
      <c r="L109" s="322"/>
      <c r="M109" s="322"/>
      <c r="N109" s="322"/>
      <c r="O109" s="322"/>
      <c r="P109" s="322"/>
      <c r="Q109" s="322"/>
      <c r="R109" s="322"/>
      <c r="S109" s="322"/>
      <c r="T109" s="322"/>
      <c r="U109" s="322"/>
      <c r="V109" s="322"/>
      <c r="W109" s="322"/>
      <c r="X109" s="322"/>
      <c r="Y109" s="322"/>
      <c r="Z109" s="322"/>
      <c r="AA109" s="322"/>
      <c r="AB109" s="322"/>
    </row>
    <row r="110" ht="15.75" customHeight="1">
      <c r="A110" s="326" t="s">
        <v>212</v>
      </c>
      <c r="B110" s="327" t="s">
        <v>442</v>
      </c>
      <c r="C110" s="326">
        <v>5.1905345E7</v>
      </c>
      <c r="D110" s="326" t="s">
        <v>1223</v>
      </c>
      <c r="E110" s="327" t="s">
        <v>1262</v>
      </c>
      <c r="F110" s="326" t="s">
        <v>128</v>
      </c>
      <c r="G110" s="326" t="s">
        <v>1263</v>
      </c>
      <c r="H110" s="326"/>
      <c r="I110" s="326" t="s">
        <v>1217</v>
      </c>
      <c r="J110" s="322"/>
      <c r="K110" s="322"/>
      <c r="L110" s="322"/>
      <c r="M110" s="322"/>
      <c r="N110" s="322"/>
      <c r="O110" s="322"/>
      <c r="P110" s="322"/>
      <c r="Q110" s="322"/>
      <c r="R110" s="322"/>
      <c r="S110" s="322"/>
      <c r="T110" s="322"/>
      <c r="U110" s="322"/>
      <c r="V110" s="322"/>
      <c r="W110" s="322"/>
      <c r="X110" s="322"/>
      <c r="Y110" s="322"/>
      <c r="Z110" s="322"/>
      <c r="AA110" s="322"/>
      <c r="AB110" s="322"/>
    </row>
    <row r="111" ht="15.75" customHeight="1">
      <c r="A111" s="199" t="s">
        <v>213</v>
      </c>
      <c r="B111" s="309" t="s">
        <v>443</v>
      </c>
      <c r="C111" s="199">
        <v>4.0584341E7</v>
      </c>
      <c r="D111" s="199" t="s">
        <v>1223</v>
      </c>
      <c r="E111" s="309" t="s">
        <v>1224</v>
      </c>
      <c r="F111" s="199" t="s">
        <v>136</v>
      </c>
      <c r="G111" s="199" t="s">
        <v>1235</v>
      </c>
      <c r="H111" s="199" t="s">
        <v>1264</v>
      </c>
      <c r="I111" s="199" t="s">
        <v>1217</v>
      </c>
      <c r="J111" s="322"/>
      <c r="K111" s="322"/>
      <c r="L111" s="322"/>
      <c r="M111" s="322"/>
      <c r="N111" s="322"/>
      <c r="O111" s="322"/>
      <c r="P111" s="322"/>
      <c r="Q111" s="322"/>
      <c r="R111" s="322"/>
      <c r="S111" s="322"/>
      <c r="T111" s="322"/>
      <c r="U111" s="322"/>
      <c r="V111" s="322"/>
      <c r="W111" s="322"/>
      <c r="X111" s="322"/>
      <c r="Y111" s="322"/>
      <c r="Z111" s="322"/>
      <c r="AA111" s="322"/>
      <c r="AB111" s="322"/>
    </row>
    <row r="112" ht="15.75" customHeight="1">
      <c r="A112" s="326" t="s">
        <v>214</v>
      </c>
      <c r="B112" s="327" t="s">
        <v>445</v>
      </c>
      <c r="C112" s="326">
        <v>4.0584265E7</v>
      </c>
      <c r="D112" s="326" t="s">
        <v>72</v>
      </c>
      <c r="E112" s="327" t="s">
        <v>1113</v>
      </c>
      <c r="F112" s="326" t="s">
        <v>136</v>
      </c>
      <c r="G112" s="326" t="s">
        <v>76</v>
      </c>
      <c r="H112" s="326" t="s">
        <v>76</v>
      </c>
      <c r="I112" s="326" t="s">
        <v>1217</v>
      </c>
      <c r="J112" s="322"/>
      <c r="K112" s="322"/>
      <c r="L112" s="322"/>
      <c r="M112" s="322"/>
      <c r="N112" s="322"/>
      <c r="O112" s="322"/>
      <c r="P112" s="322"/>
      <c r="Q112" s="322"/>
      <c r="R112" s="322"/>
      <c r="S112" s="322"/>
      <c r="T112" s="322"/>
      <c r="U112" s="322"/>
      <c r="V112" s="322"/>
      <c r="W112" s="322"/>
      <c r="X112" s="322"/>
      <c r="Y112" s="322"/>
      <c r="Z112" s="322"/>
      <c r="AA112" s="322"/>
      <c r="AB112" s="322"/>
    </row>
    <row r="113" ht="15.75" customHeight="1">
      <c r="A113" s="199" t="s">
        <v>215</v>
      </c>
      <c r="B113" s="309" t="s">
        <v>447</v>
      </c>
      <c r="C113" s="199">
        <v>4.0584264E7</v>
      </c>
      <c r="D113" s="199" t="s">
        <v>72</v>
      </c>
      <c r="E113" s="309" t="s">
        <v>1225</v>
      </c>
      <c r="F113" s="199" t="s">
        <v>136</v>
      </c>
      <c r="G113" s="199" t="s">
        <v>1242</v>
      </c>
      <c r="H113" s="199" t="s">
        <v>1265</v>
      </c>
      <c r="I113" s="199" t="s">
        <v>1217</v>
      </c>
      <c r="J113" s="322"/>
      <c r="K113" s="322"/>
      <c r="L113" s="322"/>
      <c r="M113" s="322"/>
      <c r="N113" s="322"/>
      <c r="O113" s="322"/>
      <c r="P113" s="322"/>
      <c r="Q113" s="322"/>
      <c r="R113" s="322"/>
      <c r="S113" s="322"/>
      <c r="T113" s="322"/>
      <c r="U113" s="322"/>
      <c r="V113" s="322"/>
      <c r="W113" s="322"/>
      <c r="X113" s="322"/>
      <c r="Y113" s="322"/>
      <c r="Z113" s="322"/>
      <c r="AA113" s="322"/>
      <c r="AB113" s="322"/>
    </row>
    <row r="114" ht="15.75" customHeight="1">
      <c r="A114" s="326" t="s">
        <v>216</v>
      </c>
      <c r="B114" s="327" t="s">
        <v>448</v>
      </c>
      <c r="C114" s="326">
        <v>5.0841292E7</v>
      </c>
      <c r="D114" s="326" t="s">
        <v>72</v>
      </c>
      <c r="E114" s="327" t="s">
        <v>1225</v>
      </c>
      <c r="F114" s="326" t="s">
        <v>95</v>
      </c>
      <c r="G114" s="326" t="s">
        <v>1242</v>
      </c>
      <c r="H114" s="326" t="s">
        <v>1265</v>
      </c>
      <c r="I114" s="326" t="s">
        <v>1217</v>
      </c>
      <c r="J114" s="322"/>
      <c r="K114" s="322"/>
      <c r="L114" s="322"/>
      <c r="M114" s="322"/>
      <c r="N114" s="322"/>
      <c r="O114" s="322"/>
      <c r="P114" s="322"/>
      <c r="Q114" s="322"/>
      <c r="R114" s="322"/>
      <c r="S114" s="322"/>
      <c r="T114" s="322"/>
      <c r="U114" s="322"/>
      <c r="V114" s="322"/>
      <c r="W114" s="322"/>
      <c r="X114" s="322"/>
      <c r="Y114" s="322"/>
      <c r="Z114" s="322"/>
      <c r="AA114" s="322"/>
      <c r="AB114" s="322"/>
    </row>
    <row r="115" ht="15.75" customHeight="1">
      <c r="A115" s="199" t="s">
        <v>217</v>
      </c>
      <c r="B115" s="309" t="s">
        <v>442</v>
      </c>
      <c r="C115" s="199">
        <v>5.1905347E7</v>
      </c>
      <c r="D115" s="199" t="s">
        <v>1223</v>
      </c>
      <c r="E115" s="309" t="s">
        <v>1262</v>
      </c>
      <c r="F115" s="199" t="s">
        <v>128</v>
      </c>
      <c r="G115" s="199" t="s">
        <v>1263</v>
      </c>
      <c r="H115" s="199"/>
      <c r="I115" s="199" t="s">
        <v>1217</v>
      </c>
      <c r="J115" s="322"/>
      <c r="K115" s="322"/>
      <c r="L115" s="322"/>
      <c r="M115" s="322"/>
      <c r="N115" s="322"/>
      <c r="O115" s="322"/>
      <c r="P115" s="322"/>
      <c r="Q115" s="322"/>
      <c r="R115" s="322"/>
      <c r="S115" s="322"/>
      <c r="T115" s="322"/>
      <c r="U115" s="322"/>
      <c r="V115" s="322"/>
      <c r="W115" s="322"/>
      <c r="X115" s="322"/>
      <c r="Y115" s="322"/>
      <c r="Z115" s="322"/>
      <c r="AA115" s="322"/>
      <c r="AB115" s="322"/>
    </row>
    <row r="116" ht="15.75" customHeight="1">
      <c r="A116" s="326" t="s">
        <v>218</v>
      </c>
      <c r="B116" s="327" t="s">
        <v>442</v>
      </c>
      <c r="C116" s="326">
        <v>5.1905348E7</v>
      </c>
      <c r="D116" s="326" t="s">
        <v>1223</v>
      </c>
      <c r="E116" s="327" t="s">
        <v>1262</v>
      </c>
      <c r="F116" s="326" t="s">
        <v>128</v>
      </c>
      <c r="G116" s="326" t="s">
        <v>1263</v>
      </c>
      <c r="H116" s="326"/>
      <c r="I116" s="326" t="s">
        <v>1217</v>
      </c>
      <c r="J116" s="322"/>
      <c r="K116" s="322"/>
      <c r="L116" s="322"/>
      <c r="M116" s="322"/>
      <c r="N116" s="322"/>
      <c r="O116" s="322"/>
      <c r="P116" s="322"/>
      <c r="Q116" s="322"/>
      <c r="R116" s="322"/>
      <c r="S116" s="322"/>
      <c r="T116" s="322"/>
      <c r="U116" s="322"/>
      <c r="V116" s="322"/>
      <c r="W116" s="322"/>
      <c r="X116" s="322"/>
      <c r="Y116" s="322"/>
      <c r="Z116" s="322"/>
      <c r="AA116" s="322"/>
      <c r="AB116" s="322"/>
    </row>
    <row r="117" ht="15.75" customHeight="1">
      <c r="A117" s="199" t="s">
        <v>219</v>
      </c>
      <c r="B117" s="309" t="s">
        <v>442</v>
      </c>
      <c r="C117" s="199">
        <v>5.1905349E7</v>
      </c>
      <c r="D117" s="199" t="s">
        <v>1223</v>
      </c>
      <c r="E117" s="309" t="s">
        <v>1262</v>
      </c>
      <c r="F117" s="199" t="s">
        <v>128</v>
      </c>
      <c r="G117" s="199" t="s">
        <v>1263</v>
      </c>
      <c r="H117" s="199"/>
      <c r="I117" s="199" t="s">
        <v>1217</v>
      </c>
      <c r="J117" s="322"/>
      <c r="K117" s="322"/>
      <c r="L117" s="322"/>
      <c r="M117" s="322"/>
      <c r="N117" s="322"/>
      <c r="O117" s="322"/>
      <c r="P117" s="322"/>
      <c r="Q117" s="322"/>
      <c r="R117" s="322"/>
      <c r="S117" s="322"/>
      <c r="T117" s="322"/>
      <c r="U117" s="322"/>
      <c r="V117" s="322"/>
      <c r="W117" s="322"/>
      <c r="X117" s="322"/>
      <c r="Y117" s="322"/>
      <c r="Z117" s="322"/>
      <c r="AA117" s="322"/>
      <c r="AB117" s="322"/>
    </row>
    <row r="118" ht="15.75" customHeight="1">
      <c r="A118" s="326" t="s">
        <v>220</v>
      </c>
      <c r="B118" s="327" t="s">
        <v>449</v>
      </c>
      <c r="C118" s="326">
        <v>5.0343158E7</v>
      </c>
      <c r="D118" s="326" t="s">
        <v>1223</v>
      </c>
      <c r="E118" s="327" t="s">
        <v>1224</v>
      </c>
      <c r="F118" s="326" t="s">
        <v>136</v>
      </c>
      <c r="G118" s="326" t="s">
        <v>1235</v>
      </c>
      <c r="H118" s="326" t="s">
        <v>1264</v>
      </c>
      <c r="I118" s="326" t="s">
        <v>1217</v>
      </c>
      <c r="J118" s="322"/>
      <c r="K118" s="322"/>
      <c r="L118" s="322"/>
      <c r="M118" s="322"/>
      <c r="N118" s="322"/>
      <c r="O118" s="322"/>
      <c r="P118" s="322"/>
      <c r="Q118" s="322"/>
      <c r="R118" s="322"/>
      <c r="S118" s="322"/>
      <c r="T118" s="322"/>
      <c r="U118" s="322"/>
      <c r="V118" s="322"/>
      <c r="W118" s="322"/>
      <c r="X118" s="322"/>
      <c r="Y118" s="322"/>
      <c r="Z118" s="322"/>
      <c r="AA118" s="322"/>
      <c r="AB118" s="322"/>
    </row>
    <row r="119" ht="15.75" customHeight="1">
      <c r="A119" s="199" t="s">
        <v>221</v>
      </c>
      <c r="B119" s="309" t="s">
        <v>451</v>
      </c>
      <c r="C119" s="199">
        <v>5.0343163E7</v>
      </c>
      <c r="D119" s="199" t="s">
        <v>72</v>
      </c>
      <c r="E119" s="309" t="s">
        <v>1113</v>
      </c>
      <c r="F119" s="199" t="s">
        <v>136</v>
      </c>
      <c r="G119" s="199" t="s">
        <v>76</v>
      </c>
      <c r="H119" s="199" t="s">
        <v>76</v>
      </c>
      <c r="I119" s="199" t="s">
        <v>1217</v>
      </c>
      <c r="J119" s="322"/>
      <c r="K119" s="322"/>
      <c r="L119" s="322"/>
      <c r="M119" s="322"/>
      <c r="N119" s="322"/>
      <c r="O119" s="322"/>
      <c r="P119" s="322"/>
      <c r="Q119" s="322"/>
      <c r="R119" s="322"/>
      <c r="S119" s="322"/>
      <c r="T119" s="322"/>
      <c r="U119" s="322"/>
      <c r="V119" s="322"/>
      <c r="W119" s="322"/>
      <c r="X119" s="322"/>
      <c r="Y119" s="322"/>
      <c r="Z119" s="322"/>
      <c r="AA119" s="322"/>
      <c r="AB119" s="322"/>
    </row>
    <row r="120" ht="15.75" customHeight="1">
      <c r="A120" s="326" t="s">
        <v>222</v>
      </c>
      <c r="B120" s="327" t="s">
        <v>452</v>
      </c>
      <c r="C120" s="326">
        <v>5.0343159E7</v>
      </c>
      <c r="D120" s="326" t="s">
        <v>72</v>
      </c>
      <c r="E120" s="327" t="s">
        <v>1225</v>
      </c>
      <c r="F120" s="326" t="s">
        <v>136</v>
      </c>
      <c r="G120" s="326" t="s">
        <v>1242</v>
      </c>
      <c r="H120" s="326" t="s">
        <v>1265</v>
      </c>
      <c r="I120" s="326" t="s">
        <v>1217</v>
      </c>
      <c r="J120" s="322"/>
      <c r="K120" s="322"/>
      <c r="L120" s="322"/>
      <c r="M120" s="322"/>
      <c r="N120" s="322"/>
      <c r="O120" s="322"/>
      <c r="P120" s="322"/>
      <c r="Q120" s="322"/>
      <c r="R120" s="322"/>
      <c r="S120" s="322"/>
      <c r="T120" s="322"/>
      <c r="U120" s="322"/>
      <c r="V120" s="322"/>
      <c r="W120" s="322"/>
      <c r="X120" s="322"/>
      <c r="Y120" s="322"/>
      <c r="Z120" s="322"/>
      <c r="AA120" s="322"/>
      <c r="AB120" s="322"/>
    </row>
    <row r="121" ht="15.75" customHeight="1">
      <c r="A121" s="199" t="s">
        <v>223</v>
      </c>
      <c r="B121" s="309" t="s">
        <v>453</v>
      </c>
      <c r="C121" s="199">
        <v>5.0841293E7</v>
      </c>
      <c r="D121" s="199" t="s">
        <v>72</v>
      </c>
      <c r="E121" s="309" t="s">
        <v>1219</v>
      </c>
      <c r="F121" s="199" t="s">
        <v>95</v>
      </c>
      <c r="G121" s="199" t="s">
        <v>1242</v>
      </c>
      <c r="H121" s="199" t="s">
        <v>1265</v>
      </c>
      <c r="I121" s="199" t="s">
        <v>1217</v>
      </c>
      <c r="J121" s="322"/>
      <c r="K121" s="322"/>
      <c r="L121" s="322"/>
      <c r="M121" s="322"/>
      <c r="N121" s="322"/>
      <c r="O121" s="322"/>
      <c r="P121" s="322"/>
      <c r="Q121" s="322"/>
      <c r="R121" s="322"/>
      <c r="S121" s="322"/>
      <c r="T121" s="322"/>
      <c r="U121" s="322"/>
      <c r="V121" s="322"/>
      <c r="W121" s="322"/>
      <c r="X121" s="322"/>
      <c r="Y121" s="322"/>
      <c r="Z121" s="322"/>
      <c r="AA121" s="322"/>
      <c r="AB121" s="322"/>
    </row>
    <row r="122" ht="15.75" customHeight="1">
      <c r="A122" s="326" t="s">
        <v>224</v>
      </c>
      <c r="B122" s="327" t="s">
        <v>455</v>
      </c>
      <c r="C122" s="326">
        <v>3.0662752E7</v>
      </c>
      <c r="D122" s="326" t="s">
        <v>1213</v>
      </c>
      <c r="E122" s="327" t="s">
        <v>1266</v>
      </c>
      <c r="F122" s="326" t="s">
        <v>95</v>
      </c>
      <c r="G122" s="326" t="s">
        <v>1226</v>
      </c>
      <c r="H122" s="326" t="s">
        <v>1267</v>
      </c>
      <c r="I122" s="326" t="s">
        <v>1217</v>
      </c>
      <c r="J122" s="322"/>
      <c r="K122" s="322"/>
      <c r="L122" s="322"/>
      <c r="M122" s="322"/>
      <c r="N122" s="322"/>
      <c r="O122" s="322"/>
      <c r="P122" s="322"/>
      <c r="Q122" s="322"/>
      <c r="R122" s="322"/>
      <c r="S122" s="322"/>
      <c r="T122" s="322"/>
      <c r="U122" s="322"/>
      <c r="V122" s="322"/>
      <c r="W122" s="322"/>
      <c r="X122" s="322"/>
      <c r="Y122" s="322"/>
      <c r="Z122" s="322"/>
      <c r="AA122" s="322"/>
      <c r="AB122" s="322"/>
    </row>
    <row r="123" ht="15.75" customHeight="1">
      <c r="A123" s="199" t="s">
        <v>225</v>
      </c>
      <c r="B123" s="309" t="s">
        <v>457</v>
      </c>
      <c r="C123" s="199">
        <v>3.0958414E7</v>
      </c>
      <c r="D123" s="199" t="s">
        <v>1213</v>
      </c>
      <c r="E123" s="309" t="s">
        <v>1219</v>
      </c>
      <c r="F123" s="199" t="s">
        <v>95</v>
      </c>
      <c r="G123" s="199" t="s">
        <v>1215</v>
      </c>
      <c r="H123" s="199" t="s">
        <v>1268</v>
      </c>
      <c r="I123" s="199" t="s">
        <v>1217</v>
      </c>
      <c r="J123" s="322"/>
      <c r="K123" s="322"/>
      <c r="L123" s="322"/>
      <c r="M123" s="322"/>
      <c r="N123" s="322"/>
      <c r="O123" s="322"/>
      <c r="P123" s="322"/>
      <c r="Q123" s="322"/>
      <c r="R123" s="322"/>
      <c r="S123" s="322"/>
      <c r="T123" s="322"/>
      <c r="U123" s="322"/>
      <c r="V123" s="322"/>
      <c r="W123" s="322"/>
      <c r="X123" s="322"/>
      <c r="Y123" s="322"/>
      <c r="Z123" s="322"/>
      <c r="AA123" s="322"/>
      <c r="AB123" s="322"/>
    </row>
    <row r="124" ht="15.75" customHeight="1">
      <c r="A124" s="326" t="s">
        <v>226</v>
      </c>
      <c r="B124" s="327" t="s">
        <v>458</v>
      </c>
      <c r="C124" s="326">
        <v>4.0109824E7</v>
      </c>
      <c r="D124" s="326" t="s">
        <v>1213</v>
      </c>
      <c r="E124" s="327" t="s">
        <v>1214</v>
      </c>
      <c r="F124" s="326" t="s">
        <v>95</v>
      </c>
      <c r="G124" s="326" t="s">
        <v>1226</v>
      </c>
      <c r="H124" s="326" t="s">
        <v>1267</v>
      </c>
      <c r="I124" s="326" t="s">
        <v>1217</v>
      </c>
      <c r="J124" s="322"/>
      <c r="K124" s="322"/>
      <c r="L124" s="322"/>
      <c r="M124" s="322"/>
      <c r="N124" s="322"/>
      <c r="O124" s="322"/>
      <c r="P124" s="322"/>
      <c r="Q124" s="322"/>
      <c r="R124" s="322"/>
      <c r="S124" s="322"/>
      <c r="T124" s="322"/>
      <c r="U124" s="322"/>
      <c r="V124" s="322"/>
      <c r="W124" s="322"/>
      <c r="X124" s="322"/>
      <c r="Y124" s="322"/>
      <c r="Z124" s="322"/>
      <c r="AA124" s="322"/>
      <c r="AB124" s="322"/>
    </row>
    <row r="125" ht="15.75" customHeight="1">
      <c r="A125" s="199" t="s">
        <v>227</v>
      </c>
      <c r="B125" s="309" t="s">
        <v>459</v>
      </c>
      <c r="C125" s="199">
        <v>4.0109815E7</v>
      </c>
      <c r="D125" s="199" t="s">
        <v>1213</v>
      </c>
      <c r="E125" s="309" t="s">
        <v>1219</v>
      </c>
      <c r="F125" s="199" t="s">
        <v>95</v>
      </c>
      <c r="G125" s="199" t="s">
        <v>1215</v>
      </c>
      <c r="H125" s="199" t="s">
        <v>1268</v>
      </c>
      <c r="I125" s="199" t="s">
        <v>1269</v>
      </c>
      <c r="J125" s="322"/>
      <c r="K125" s="322"/>
      <c r="L125" s="322"/>
      <c r="M125" s="322"/>
      <c r="N125" s="322"/>
      <c r="O125" s="322"/>
      <c r="P125" s="322"/>
      <c r="Q125" s="322"/>
      <c r="R125" s="322"/>
      <c r="S125" s="322"/>
      <c r="T125" s="322"/>
      <c r="U125" s="322"/>
      <c r="V125" s="322"/>
      <c r="W125" s="322"/>
      <c r="X125" s="322"/>
      <c r="Y125" s="322"/>
      <c r="Z125" s="322"/>
      <c r="AA125" s="322"/>
      <c r="AB125" s="322"/>
    </row>
    <row r="126" ht="15.75" customHeight="1">
      <c r="A126" s="326" t="s">
        <v>228</v>
      </c>
      <c r="B126" s="327" t="s">
        <v>349</v>
      </c>
      <c r="C126" s="326">
        <v>3.0958415E7</v>
      </c>
      <c r="D126" s="326" t="s">
        <v>1213</v>
      </c>
      <c r="E126" s="327" t="s">
        <v>1214</v>
      </c>
      <c r="F126" s="326" t="s">
        <v>95</v>
      </c>
      <c r="G126" s="326" t="s">
        <v>1220</v>
      </c>
      <c r="H126" s="326" t="s">
        <v>1270</v>
      </c>
      <c r="I126" s="326" t="s">
        <v>1269</v>
      </c>
      <c r="J126" s="322"/>
      <c r="K126" s="322"/>
      <c r="L126" s="322"/>
      <c r="M126" s="322"/>
      <c r="N126" s="322"/>
      <c r="O126" s="322"/>
      <c r="P126" s="322"/>
      <c r="Q126" s="322"/>
      <c r="R126" s="322"/>
      <c r="S126" s="322"/>
      <c r="T126" s="322"/>
      <c r="U126" s="322"/>
      <c r="V126" s="322"/>
      <c r="W126" s="322"/>
      <c r="X126" s="322"/>
      <c r="Y126" s="322"/>
      <c r="Z126" s="322"/>
      <c r="AA126" s="322"/>
      <c r="AB126" s="322"/>
    </row>
    <row r="127" ht="15.75" customHeight="1">
      <c r="A127" s="199" t="s">
        <v>229</v>
      </c>
      <c r="B127" s="309" t="s">
        <v>349</v>
      </c>
      <c r="C127" s="199">
        <v>4.0695765E7</v>
      </c>
      <c r="D127" s="199" t="s">
        <v>1213</v>
      </c>
      <c r="E127" s="309" t="s">
        <v>1214</v>
      </c>
      <c r="F127" s="199" t="s">
        <v>95</v>
      </c>
      <c r="G127" s="199" t="s">
        <v>1220</v>
      </c>
      <c r="H127" s="199" t="s">
        <v>1270</v>
      </c>
      <c r="I127" s="199" t="s">
        <v>1269</v>
      </c>
      <c r="J127" s="322"/>
      <c r="K127" s="322"/>
      <c r="L127" s="322"/>
      <c r="M127" s="322"/>
      <c r="N127" s="322"/>
      <c r="O127" s="322"/>
      <c r="P127" s="322"/>
      <c r="Q127" s="322"/>
      <c r="R127" s="322"/>
      <c r="S127" s="322"/>
      <c r="T127" s="322"/>
      <c r="U127" s="322"/>
      <c r="V127" s="322"/>
      <c r="W127" s="322"/>
      <c r="X127" s="322"/>
      <c r="Y127" s="322"/>
      <c r="Z127" s="322"/>
      <c r="AA127" s="322"/>
      <c r="AB127" s="322"/>
    </row>
    <row r="128" ht="15.75" customHeight="1">
      <c r="A128" s="326" t="s">
        <v>230</v>
      </c>
      <c r="B128" s="327" t="s">
        <v>461</v>
      </c>
      <c r="C128" s="326">
        <v>4.0695862E7</v>
      </c>
      <c r="D128" s="326" t="s">
        <v>1213</v>
      </c>
      <c r="E128" s="327" t="s">
        <v>1225</v>
      </c>
      <c r="F128" s="326" t="s">
        <v>95</v>
      </c>
      <c r="G128" s="326" t="s">
        <v>1226</v>
      </c>
      <c r="H128" s="326" t="s">
        <v>76</v>
      </c>
      <c r="I128" s="326" t="s">
        <v>1269</v>
      </c>
      <c r="J128" s="322"/>
      <c r="K128" s="322"/>
      <c r="L128" s="322"/>
      <c r="M128" s="322"/>
      <c r="N128" s="322"/>
      <c r="O128" s="322"/>
      <c r="P128" s="322"/>
      <c r="Q128" s="322"/>
      <c r="R128" s="322"/>
      <c r="S128" s="322"/>
      <c r="T128" s="322"/>
      <c r="U128" s="322"/>
      <c r="V128" s="322"/>
      <c r="W128" s="322"/>
      <c r="X128" s="322"/>
      <c r="Y128" s="322"/>
      <c r="Z128" s="322"/>
      <c r="AA128" s="322"/>
      <c r="AB128" s="322"/>
    </row>
    <row r="129" ht="15.75" customHeight="1">
      <c r="A129" s="199" t="s">
        <v>231</v>
      </c>
      <c r="B129" s="309" t="s">
        <v>463</v>
      </c>
      <c r="C129" s="199">
        <v>4.0695763E7</v>
      </c>
      <c r="D129" s="199" t="s">
        <v>72</v>
      </c>
      <c r="E129" s="309" t="s">
        <v>1259</v>
      </c>
      <c r="F129" s="199" t="s">
        <v>136</v>
      </c>
      <c r="G129" s="199" t="s">
        <v>1271</v>
      </c>
      <c r="H129" s="199" t="s">
        <v>1271</v>
      </c>
      <c r="I129" s="199" t="s">
        <v>1269</v>
      </c>
      <c r="J129" s="322"/>
      <c r="K129" s="322"/>
      <c r="L129" s="322"/>
      <c r="M129" s="322"/>
      <c r="N129" s="322"/>
      <c r="O129" s="322"/>
      <c r="P129" s="322"/>
      <c r="Q129" s="322"/>
      <c r="R129" s="322"/>
      <c r="S129" s="322"/>
      <c r="T129" s="322"/>
      <c r="U129" s="322"/>
      <c r="V129" s="322"/>
      <c r="W129" s="322"/>
      <c r="X129" s="322"/>
      <c r="Y129" s="322"/>
      <c r="Z129" s="322"/>
      <c r="AA129" s="322"/>
      <c r="AB129" s="322"/>
    </row>
    <row r="130" ht="15.75" customHeight="1">
      <c r="A130" s="326" t="s">
        <v>232</v>
      </c>
      <c r="B130" s="327" t="s">
        <v>466</v>
      </c>
      <c r="C130" s="326">
        <v>4.0695731E7</v>
      </c>
      <c r="D130" s="326" t="s">
        <v>72</v>
      </c>
      <c r="E130" s="327" t="s">
        <v>1259</v>
      </c>
      <c r="F130" s="326" t="s">
        <v>136</v>
      </c>
      <c r="G130" s="326" t="s">
        <v>1271</v>
      </c>
      <c r="H130" s="326" t="s">
        <v>1271</v>
      </c>
      <c r="I130" s="326" t="s">
        <v>1269</v>
      </c>
      <c r="J130" s="322"/>
      <c r="K130" s="322"/>
      <c r="L130" s="322"/>
      <c r="M130" s="322"/>
      <c r="N130" s="322"/>
      <c r="O130" s="322"/>
      <c r="P130" s="322"/>
      <c r="Q130" s="322"/>
      <c r="R130" s="322"/>
      <c r="S130" s="322"/>
      <c r="T130" s="322"/>
      <c r="U130" s="322"/>
      <c r="V130" s="322"/>
      <c r="W130" s="322"/>
      <c r="X130" s="322"/>
      <c r="Y130" s="322"/>
      <c r="Z130" s="322"/>
      <c r="AA130" s="322"/>
      <c r="AB130" s="322"/>
    </row>
    <row r="131" ht="15.75" customHeight="1">
      <c r="A131" s="199" t="s">
        <v>233</v>
      </c>
      <c r="B131" s="309" t="s">
        <v>468</v>
      </c>
      <c r="C131" s="199">
        <v>4.0617897E7</v>
      </c>
      <c r="D131" s="199" t="s">
        <v>72</v>
      </c>
      <c r="E131" s="309" t="s">
        <v>1259</v>
      </c>
      <c r="F131" s="199" t="s">
        <v>136</v>
      </c>
      <c r="G131" s="199" t="s">
        <v>1271</v>
      </c>
      <c r="H131" s="199" t="s">
        <v>1271</v>
      </c>
      <c r="I131" s="199" t="s">
        <v>1269</v>
      </c>
      <c r="J131" s="322"/>
      <c r="K131" s="322"/>
      <c r="L131" s="322"/>
      <c r="M131" s="322"/>
      <c r="N131" s="322"/>
      <c r="O131" s="322"/>
      <c r="P131" s="322"/>
      <c r="Q131" s="322"/>
      <c r="R131" s="322"/>
      <c r="S131" s="322"/>
      <c r="T131" s="322"/>
      <c r="U131" s="322"/>
      <c r="V131" s="322"/>
      <c r="W131" s="322"/>
      <c r="X131" s="322"/>
      <c r="Y131" s="322"/>
      <c r="Z131" s="322"/>
      <c r="AA131" s="322"/>
      <c r="AB131" s="322"/>
    </row>
    <row r="132" ht="15.75" customHeight="1">
      <c r="A132" s="326" t="s">
        <v>235</v>
      </c>
      <c r="B132" s="327" t="s">
        <v>470</v>
      </c>
      <c r="C132" s="326">
        <v>5.1523211E7</v>
      </c>
      <c r="D132" s="326" t="s">
        <v>72</v>
      </c>
      <c r="E132" s="327" t="s">
        <v>1272</v>
      </c>
      <c r="F132" s="326" t="s">
        <v>128</v>
      </c>
      <c r="G132" s="326" t="s">
        <v>1271</v>
      </c>
      <c r="H132" s="326" t="s">
        <v>76</v>
      </c>
      <c r="I132" s="326" t="s">
        <v>1269</v>
      </c>
      <c r="J132" s="322"/>
      <c r="K132" s="322"/>
      <c r="L132" s="322"/>
      <c r="M132" s="322"/>
      <c r="N132" s="322"/>
      <c r="O132" s="322"/>
      <c r="P132" s="322"/>
      <c r="Q132" s="322"/>
      <c r="R132" s="322"/>
      <c r="S132" s="322"/>
      <c r="T132" s="322"/>
      <c r="U132" s="322"/>
      <c r="V132" s="322"/>
      <c r="W132" s="322"/>
      <c r="X132" s="322"/>
      <c r="Y132" s="322"/>
      <c r="Z132" s="322"/>
      <c r="AA132" s="322"/>
      <c r="AB132" s="322"/>
    </row>
    <row r="133" ht="15.75" customHeight="1">
      <c r="A133" s="199" t="s">
        <v>236</v>
      </c>
      <c r="B133" s="309" t="s">
        <v>473</v>
      </c>
      <c r="C133" s="199">
        <v>5.0841436E7</v>
      </c>
      <c r="D133" s="199" t="s">
        <v>1213</v>
      </c>
      <c r="E133" s="309" t="s">
        <v>1219</v>
      </c>
      <c r="F133" s="199" t="s">
        <v>109</v>
      </c>
      <c r="G133" s="199" t="s">
        <v>76</v>
      </c>
      <c r="H133" s="199" t="s">
        <v>76</v>
      </c>
      <c r="I133" s="199" t="s">
        <v>1269</v>
      </c>
      <c r="J133" s="322"/>
      <c r="K133" s="322"/>
      <c r="L133" s="322"/>
      <c r="M133" s="322"/>
      <c r="N133" s="322"/>
      <c r="O133" s="322"/>
      <c r="P133" s="322"/>
      <c r="Q133" s="322"/>
      <c r="R133" s="322"/>
      <c r="S133" s="322"/>
      <c r="T133" s="322"/>
      <c r="U133" s="322"/>
      <c r="V133" s="322"/>
      <c r="W133" s="322"/>
      <c r="X133" s="322"/>
      <c r="Y133" s="322"/>
      <c r="Z133" s="322"/>
      <c r="AA133" s="322"/>
      <c r="AB133" s="322"/>
    </row>
    <row r="134" ht="15.75" customHeight="1">
      <c r="A134" s="326" t="s">
        <v>237</v>
      </c>
      <c r="B134" s="327" t="s">
        <v>474</v>
      </c>
      <c r="C134" s="326">
        <v>4.0695864E7</v>
      </c>
      <c r="D134" s="326" t="s">
        <v>1213</v>
      </c>
      <c r="E134" s="327" t="s">
        <v>1225</v>
      </c>
      <c r="F134" s="326" t="s">
        <v>95</v>
      </c>
      <c r="G134" s="326" t="s">
        <v>1226</v>
      </c>
      <c r="H134" s="326" t="s">
        <v>76</v>
      </c>
      <c r="I134" s="326" t="s">
        <v>1269</v>
      </c>
      <c r="J134" s="322"/>
      <c r="K134" s="322"/>
      <c r="L134" s="322"/>
      <c r="M134" s="322"/>
      <c r="N134" s="322"/>
      <c r="O134" s="322"/>
      <c r="P134" s="322"/>
      <c r="Q134" s="322"/>
      <c r="R134" s="322"/>
      <c r="S134" s="322"/>
      <c r="T134" s="322"/>
      <c r="U134" s="322"/>
      <c r="V134" s="322"/>
      <c r="W134" s="322"/>
      <c r="X134" s="322"/>
      <c r="Y134" s="322"/>
      <c r="Z134" s="322"/>
      <c r="AA134" s="322"/>
      <c r="AB134" s="322"/>
    </row>
    <row r="135" ht="15.75" customHeight="1">
      <c r="A135" s="199" t="s">
        <v>238</v>
      </c>
      <c r="B135" s="309" t="s">
        <v>463</v>
      </c>
      <c r="C135" s="199">
        <v>4.0695762E7</v>
      </c>
      <c r="D135" s="199" t="s">
        <v>72</v>
      </c>
      <c r="E135" s="309" t="s">
        <v>1259</v>
      </c>
      <c r="F135" s="199" t="s">
        <v>95</v>
      </c>
      <c r="G135" s="199" t="s">
        <v>1271</v>
      </c>
      <c r="H135" s="199" t="s">
        <v>1271</v>
      </c>
      <c r="I135" s="199" t="s">
        <v>1269</v>
      </c>
      <c r="J135" s="322"/>
      <c r="K135" s="322"/>
      <c r="L135" s="322"/>
      <c r="M135" s="322"/>
      <c r="N135" s="322"/>
      <c r="O135" s="322"/>
      <c r="P135" s="322"/>
      <c r="Q135" s="322"/>
      <c r="R135" s="322"/>
      <c r="S135" s="322"/>
      <c r="T135" s="322"/>
      <c r="U135" s="322"/>
      <c r="V135" s="322"/>
      <c r="W135" s="322"/>
      <c r="X135" s="322"/>
      <c r="Y135" s="322"/>
      <c r="Z135" s="322"/>
      <c r="AA135" s="322"/>
      <c r="AB135" s="322"/>
    </row>
    <row r="136" ht="15.75" customHeight="1">
      <c r="A136" s="326" t="s">
        <v>239</v>
      </c>
      <c r="B136" s="327" t="s">
        <v>466</v>
      </c>
      <c r="C136" s="326">
        <v>4.0695738E7</v>
      </c>
      <c r="D136" s="326" t="s">
        <v>72</v>
      </c>
      <c r="E136" s="327" t="s">
        <v>1259</v>
      </c>
      <c r="F136" s="326" t="s">
        <v>136</v>
      </c>
      <c r="G136" s="326" t="s">
        <v>1271</v>
      </c>
      <c r="H136" s="326" t="s">
        <v>1271</v>
      </c>
      <c r="I136" s="326" t="s">
        <v>1269</v>
      </c>
      <c r="J136" s="322"/>
      <c r="K136" s="322"/>
      <c r="L136" s="322"/>
      <c r="M136" s="322"/>
      <c r="N136" s="322"/>
      <c r="O136" s="322"/>
      <c r="P136" s="322"/>
      <c r="Q136" s="322"/>
      <c r="R136" s="322"/>
      <c r="S136" s="322"/>
      <c r="T136" s="322"/>
      <c r="U136" s="322"/>
      <c r="V136" s="322"/>
      <c r="W136" s="322"/>
      <c r="X136" s="322"/>
      <c r="Y136" s="322"/>
      <c r="Z136" s="322"/>
      <c r="AA136" s="322"/>
      <c r="AB136" s="322"/>
    </row>
    <row r="137" ht="15.75" customHeight="1">
      <c r="A137" s="199" t="s">
        <v>240</v>
      </c>
      <c r="B137" s="309" t="s">
        <v>475</v>
      </c>
      <c r="C137" s="199">
        <v>4.0695787E7</v>
      </c>
      <c r="D137" s="199" t="s">
        <v>72</v>
      </c>
      <c r="E137" s="309" t="s">
        <v>1259</v>
      </c>
      <c r="F137" s="199" t="s">
        <v>136</v>
      </c>
      <c r="G137" s="199" t="s">
        <v>1271</v>
      </c>
      <c r="H137" s="199" t="s">
        <v>1271</v>
      </c>
      <c r="I137" s="199" t="s">
        <v>1269</v>
      </c>
      <c r="J137" s="322"/>
      <c r="K137" s="322"/>
      <c r="L137" s="322"/>
      <c r="M137" s="322"/>
      <c r="N137" s="322"/>
      <c r="O137" s="322"/>
      <c r="P137" s="322"/>
      <c r="Q137" s="322"/>
      <c r="R137" s="322"/>
      <c r="S137" s="322"/>
      <c r="T137" s="322"/>
      <c r="U137" s="322"/>
      <c r="V137" s="322"/>
      <c r="W137" s="322"/>
      <c r="X137" s="322"/>
      <c r="Y137" s="322"/>
      <c r="Z137" s="322"/>
      <c r="AA137" s="322"/>
      <c r="AB137" s="322"/>
    </row>
    <row r="138" ht="15.75" customHeight="1">
      <c r="A138" s="326" t="s">
        <v>241</v>
      </c>
      <c r="B138" s="327" t="s">
        <v>470</v>
      </c>
      <c r="C138" s="326">
        <v>5.1523212E7</v>
      </c>
      <c r="D138" s="326" t="s">
        <v>72</v>
      </c>
      <c r="E138" s="327" t="s">
        <v>1272</v>
      </c>
      <c r="F138" s="326" t="s">
        <v>136</v>
      </c>
      <c r="G138" s="326" t="s">
        <v>1271</v>
      </c>
      <c r="H138" s="326" t="s">
        <v>1271</v>
      </c>
      <c r="I138" s="326" t="s">
        <v>1269</v>
      </c>
      <c r="J138" s="322"/>
      <c r="K138" s="322"/>
      <c r="L138" s="322"/>
      <c r="M138" s="322"/>
      <c r="N138" s="322"/>
      <c r="O138" s="322"/>
      <c r="P138" s="322"/>
      <c r="Q138" s="322"/>
      <c r="R138" s="322"/>
      <c r="S138" s="322"/>
      <c r="T138" s="322"/>
      <c r="U138" s="322"/>
      <c r="V138" s="322"/>
      <c r="W138" s="322"/>
      <c r="X138" s="322"/>
      <c r="Y138" s="322"/>
      <c r="Z138" s="322"/>
      <c r="AA138" s="322"/>
      <c r="AB138" s="322"/>
    </row>
    <row r="139" ht="15.75" customHeight="1">
      <c r="A139" s="199" t="s">
        <v>242</v>
      </c>
      <c r="B139" s="309" t="s">
        <v>476</v>
      </c>
      <c r="C139" s="199">
        <v>5.0641427E7</v>
      </c>
      <c r="D139" s="199" t="s">
        <v>1213</v>
      </c>
      <c r="E139" s="309" t="s">
        <v>1219</v>
      </c>
      <c r="F139" s="199" t="s">
        <v>109</v>
      </c>
      <c r="G139" s="199" t="s">
        <v>1271</v>
      </c>
      <c r="H139" s="199" t="s">
        <v>76</v>
      </c>
      <c r="I139" s="199" t="s">
        <v>1269</v>
      </c>
      <c r="J139" s="322"/>
      <c r="K139" s="322"/>
      <c r="L139" s="322"/>
      <c r="M139" s="322"/>
      <c r="N139" s="322"/>
      <c r="O139" s="322"/>
      <c r="P139" s="322"/>
      <c r="Q139" s="322"/>
      <c r="R139" s="322"/>
      <c r="S139" s="322"/>
      <c r="T139" s="322"/>
      <c r="U139" s="322"/>
      <c r="V139" s="322"/>
      <c r="W139" s="322"/>
      <c r="X139" s="322"/>
      <c r="Y139" s="322"/>
      <c r="Z139" s="322"/>
      <c r="AA139" s="322"/>
      <c r="AB139" s="322"/>
    </row>
    <row r="140" ht="15.75" customHeight="1">
      <c r="A140" s="326" t="s">
        <v>243</v>
      </c>
      <c r="B140" s="327" t="s">
        <v>477</v>
      </c>
      <c r="C140" s="326">
        <v>5.1562415E7</v>
      </c>
      <c r="D140" s="326" t="s">
        <v>1213</v>
      </c>
      <c r="E140" s="327" t="s">
        <v>1225</v>
      </c>
      <c r="F140" s="326" t="s">
        <v>95</v>
      </c>
      <c r="G140" s="326" t="s">
        <v>1226</v>
      </c>
      <c r="H140" s="326" t="s">
        <v>76</v>
      </c>
      <c r="I140" s="326" t="s">
        <v>1269</v>
      </c>
      <c r="J140" s="322"/>
      <c r="K140" s="322"/>
      <c r="L140" s="322"/>
      <c r="M140" s="322"/>
      <c r="N140" s="322"/>
      <c r="O140" s="322"/>
      <c r="P140" s="322"/>
      <c r="Q140" s="322"/>
      <c r="R140" s="322"/>
      <c r="S140" s="322"/>
      <c r="T140" s="322"/>
      <c r="U140" s="322"/>
      <c r="V140" s="322"/>
      <c r="W140" s="322"/>
      <c r="X140" s="322"/>
      <c r="Y140" s="322"/>
      <c r="Z140" s="322"/>
      <c r="AA140" s="322"/>
      <c r="AB140" s="322"/>
    </row>
    <row r="141" ht="15.75" customHeight="1">
      <c r="A141" s="199" t="s">
        <v>244</v>
      </c>
      <c r="B141" s="309" t="s">
        <v>463</v>
      </c>
      <c r="C141" s="199">
        <v>4.0695759E7</v>
      </c>
      <c r="D141" s="199" t="s">
        <v>72</v>
      </c>
      <c r="E141" s="309" t="s">
        <v>1259</v>
      </c>
      <c r="F141" s="199" t="s">
        <v>95</v>
      </c>
      <c r="G141" s="199" t="s">
        <v>1271</v>
      </c>
      <c r="H141" s="199" t="s">
        <v>1271</v>
      </c>
      <c r="I141" s="199" t="s">
        <v>1269</v>
      </c>
      <c r="J141" s="322"/>
      <c r="K141" s="322"/>
      <c r="L141" s="322"/>
      <c r="M141" s="322"/>
      <c r="N141" s="322"/>
      <c r="O141" s="322"/>
      <c r="P141" s="322"/>
      <c r="Q141" s="322"/>
      <c r="R141" s="322"/>
      <c r="S141" s="322"/>
      <c r="T141" s="322"/>
      <c r="U141" s="322"/>
      <c r="V141" s="322"/>
      <c r="W141" s="322"/>
      <c r="X141" s="322"/>
      <c r="Y141" s="322"/>
      <c r="Z141" s="322"/>
      <c r="AA141" s="322"/>
      <c r="AB141" s="322"/>
    </row>
    <row r="142" ht="15.75" customHeight="1">
      <c r="A142" s="326" t="s">
        <v>245</v>
      </c>
      <c r="B142" s="327" t="s">
        <v>466</v>
      </c>
      <c r="C142" s="326">
        <v>4.0695741E7</v>
      </c>
      <c r="D142" s="326" t="s">
        <v>72</v>
      </c>
      <c r="E142" s="327" t="s">
        <v>1259</v>
      </c>
      <c r="F142" s="326" t="s">
        <v>136</v>
      </c>
      <c r="G142" s="326" t="s">
        <v>1271</v>
      </c>
      <c r="H142" s="326" t="s">
        <v>1271</v>
      </c>
      <c r="I142" s="326" t="s">
        <v>1269</v>
      </c>
      <c r="J142" s="322"/>
      <c r="K142" s="322"/>
      <c r="L142" s="322"/>
      <c r="M142" s="322"/>
      <c r="N142" s="322"/>
      <c r="O142" s="322"/>
      <c r="P142" s="322"/>
      <c r="Q142" s="322"/>
      <c r="R142" s="322"/>
      <c r="S142" s="322"/>
      <c r="T142" s="322"/>
      <c r="U142" s="322"/>
      <c r="V142" s="322"/>
      <c r="W142" s="322"/>
      <c r="X142" s="322"/>
      <c r="Y142" s="322"/>
      <c r="Z142" s="322"/>
      <c r="AA142" s="322"/>
      <c r="AB142" s="322"/>
    </row>
    <row r="143" ht="15.75" customHeight="1">
      <c r="A143" s="199" t="s">
        <v>246</v>
      </c>
      <c r="B143" s="309" t="s">
        <v>478</v>
      </c>
      <c r="C143" s="199">
        <v>4.0695795E7</v>
      </c>
      <c r="D143" s="199" t="s">
        <v>72</v>
      </c>
      <c r="E143" s="309" t="s">
        <v>1259</v>
      </c>
      <c r="F143" s="199" t="s">
        <v>136</v>
      </c>
      <c r="G143" s="199" t="s">
        <v>1271</v>
      </c>
      <c r="H143" s="199" t="s">
        <v>1271</v>
      </c>
      <c r="I143" s="199" t="s">
        <v>1269</v>
      </c>
      <c r="J143" s="322"/>
      <c r="K143" s="322"/>
      <c r="L143" s="322"/>
      <c r="M143" s="322"/>
      <c r="N143" s="322"/>
      <c r="O143" s="322"/>
      <c r="P143" s="322"/>
      <c r="Q143" s="322"/>
      <c r="R143" s="322"/>
      <c r="S143" s="322"/>
      <c r="T143" s="322"/>
      <c r="U143" s="322"/>
      <c r="V143" s="322"/>
      <c r="W143" s="322"/>
      <c r="X143" s="322"/>
      <c r="Y143" s="322"/>
      <c r="Z143" s="322"/>
      <c r="AA143" s="322"/>
      <c r="AB143" s="322"/>
    </row>
    <row r="144" ht="15.75" customHeight="1">
      <c r="A144" s="326" t="s">
        <v>247</v>
      </c>
      <c r="B144" s="327" t="s">
        <v>480</v>
      </c>
      <c r="C144" s="326">
        <v>5.0841294E7</v>
      </c>
      <c r="D144" s="326" t="s">
        <v>1213</v>
      </c>
      <c r="E144" s="327" t="s">
        <v>1214</v>
      </c>
      <c r="F144" s="326" t="s">
        <v>136</v>
      </c>
      <c r="G144" s="326" t="s">
        <v>76</v>
      </c>
      <c r="H144" s="326" t="s">
        <v>76</v>
      </c>
      <c r="I144" s="326" t="s">
        <v>1269</v>
      </c>
      <c r="J144" s="322"/>
      <c r="K144" s="322"/>
      <c r="L144" s="322"/>
      <c r="M144" s="322"/>
      <c r="N144" s="322"/>
      <c r="O144" s="322"/>
      <c r="P144" s="322"/>
      <c r="Q144" s="322"/>
      <c r="R144" s="322"/>
      <c r="S144" s="322"/>
      <c r="T144" s="322"/>
      <c r="U144" s="322"/>
      <c r="V144" s="322"/>
      <c r="W144" s="322"/>
      <c r="X144" s="322"/>
      <c r="Y144" s="322"/>
      <c r="Z144" s="322"/>
      <c r="AA144" s="322"/>
      <c r="AB144" s="322"/>
    </row>
    <row r="145" ht="15.75" customHeight="1">
      <c r="A145" s="199" t="s">
        <v>248</v>
      </c>
      <c r="B145" s="309" t="s">
        <v>481</v>
      </c>
      <c r="C145" s="199">
        <v>5.1562416E7</v>
      </c>
      <c r="D145" s="199" t="s">
        <v>1213</v>
      </c>
      <c r="E145" s="309" t="s">
        <v>1225</v>
      </c>
      <c r="F145" s="199" t="s">
        <v>95</v>
      </c>
      <c r="G145" s="199" t="s">
        <v>1226</v>
      </c>
      <c r="H145" s="199" t="s">
        <v>76</v>
      </c>
      <c r="I145" s="199" t="s">
        <v>1269</v>
      </c>
      <c r="J145" s="322"/>
      <c r="K145" s="322"/>
      <c r="L145" s="322"/>
      <c r="M145" s="322"/>
      <c r="N145" s="322"/>
      <c r="O145" s="322"/>
      <c r="P145" s="322"/>
      <c r="Q145" s="322"/>
      <c r="R145" s="322"/>
      <c r="S145" s="322"/>
      <c r="T145" s="322"/>
      <c r="U145" s="322"/>
      <c r="V145" s="322"/>
      <c r="W145" s="322"/>
      <c r="X145" s="322"/>
      <c r="Y145" s="322"/>
      <c r="Z145" s="322"/>
      <c r="AA145" s="322"/>
      <c r="AB145" s="322"/>
    </row>
    <row r="146" ht="15.75" customHeight="1">
      <c r="A146" s="326" t="s">
        <v>249</v>
      </c>
      <c r="B146" s="327" t="s">
        <v>466</v>
      </c>
      <c r="C146" s="326">
        <v>3.102183E7</v>
      </c>
      <c r="D146" s="326" t="s">
        <v>72</v>
      </c>
      <c r="E146" s="327" t="s">
        <v>1259</v>
      </c>
      <c r="F146" s="326" t="s">
        <v>95</v>
      </c>
      <c r="G146" s="326" t="s">
        <v>1271</v>
      </c>
      <c r="H146" s="326" t="s">
        <v>1271</v>
      </c>
      <c r="I146" s="326" t="s">
        <v>1269</v>
      </c>
      <c r="J146" s="322"/>
      <c r="K146" s="322"/>
      <c r="L146" s="322"/>
      <c r="M146" s="322"/>
      <c r="N146" s="322"/>
      <c r="O146" s="322"/>
      <c r="P146" s="322"/>
      <c r="Q146" s="322"/>
      <c r="R146" s="322"/>
      <c r="S146" s="322"/>
      <c r="T146" s="322"/>
      <c r="U146" s="322"/>
      <c r="V146" s="322"/>
      <c r="W146" s="322"/>
      <c r="X146" s="322"/>
      <c r="Y146" s="322"/>
      <c r="Z146" s="322"/>
      <c r="AA146" s="322"/>
      <c r="AB146" s="322"/>
    </row>
    <row r="147" ht="15.75" customHeight="1">
      <c r="A147" s="199" t="s">
        <v>250</v>
      </c>
      <c r="B147" s="309" t="s">
        <v>463</v>
      </c>
      <c r="C147" s="199">
        <v>3.1021831E7</v>
      </c>
      <c r="D147" s="199" t="s">
        <v>72</v>
      </c>
      <c r="E147" s="309" t="s">
        <v>1259</v>
      </c>
      <c r="F147" s="199" t="s">
        <v>136</v>
      </c>
      <c r="G147" s="199" t="s">
        <v>1271</v>
      </c>
      <c r="H147" s="199" t="s">
        <v>1271</v>
      </c>
      <c r="I147" s="199" t="s">
        <v>1269</v>
      </c>
      <c r="J147" s="322"/>
      <c r="K147" s="322"/>
      <c r="L147" s="322"/>
      <c r="M147" s="322"/>
      <c r="N147" s="322"/>
      <c r="O147" s="322"/>
      <c r="P147" s="322"/>
      <c r="Q147" s="322"/>
      <c r="R147" s="322"/>
      <c r="S147" s="322"/>
      <c r="T147" s="322"/>
      <c r="U147" s="322"/>
      <c r="V147" s="322"/>
      <c r="W147" s="322"/>
      <c r="X147" s="322"/>
      <c r="Y147" s="322"/>
      <c r="Z147" s="322"/>
      <c r="AA147" s="322"/>
      <c r="AB147" s="322"/>
    </row>
    <row r="148" ht="15.75" customHeight="1">
      <c r="A148" s="326" t="s">
        <v>251</v>
      </c>
      <c r="B148" s="327" t="s">
        <v>483</v>
      </c>
      <c r="C148" s="326">
        <v>4.06958E7</v>
      </c>
      <c r="D148" s="326" t="s">
        <v>72</v>
      </c>
      <c r="E148" s="327" t="s">
        <v>1259</v>
      </c>
      <c r="F148" s="326" t="s">
        <v>136</v>
      </c>
      <c r="G148" s="326" t="s">
        <v>1271</v>
      </c>
      <c r="H148" s="326" t="s">
        <v>1271</v>
      </c>
      <c r="I148" s="326" t="s">
        <v>1269</v>
      </c>
      <c r="J148" s="322"/>
      <c r="K148" s="322"/>
      <c r="L148" s="322"/>
      <c r="M148" s="322"/>
      <c r="N148" s="322"/>
      <c r="O148" s="322"/>
      <c r="P148" s="322"/>
      <c r="Q148" s="322"/>
      <c r="R148" s="322"/>
      <c r="S148" s="322"/>
      <c r="T148" s="322"/>
      <c r="U148" s="322"/>
      <c r="V148" s="322"/>
      <c r="W148" s="322"/>
      <c r="X148" s="322"/>
      <c r="Y148" s="322"/>
      <c r="Z148" s="322"/>
      <c r="AA148" s="322"/>
      <c r="AB148" s="322"/>
    </row>
    <row r="149" ht="15.75" customHeight="1">
      <c r="A149" s="199" t="s">
        <v>252</v>
      </c>
      <c r="B149" s="309" t="s">
        <v>485</v>
      </c>
      <c r="C149" s="199">
        <v>5.1856783E7</v>
      </c>
      <c r="D149" s="199" t="s">
        <v>72</v>
      </c>
      <c r="E149" s="309" t="s">
        <v>1259</v>
      </c>
      <c r="F149" s="199" t="s">
        <v>136</v>
      </c>
      <c r="G149" s="199" t="s">
        <v>1271</v>
      </c>
      <c r="H149" s="199" t="s">
        <v>1271</v>
      </c>
      <c r="I149" s="199" t="s">
        <v>1269</v>
      </c>
      <c r="J149" s="322"/>
      <c r="K149" s="322"/>
      <c r="L149" s="322"/>
      <c r="M149" s="322"/>
      <c r="N149" s="322"/>
      <c r="O149" s="322"/>
      <c r="P149" s="322"/>
      <c r="Q149" s="322"/>
      <c r="R149" s="322"/>
      <c r="S149" s="322"/>
      <c r="T149" s="322"/>
      <c r="U149" s="322"/>
      <c r="V149" s="322"/>
      <c r="W149" s="322"/>
      <c r="X149" s="322"/>
      <c r="Y149" s="322"/>
      <c r="Z149" s="322"/>
      <c r="AA149" s="322"/>
      <c r="AB149" s="322"/>
    </row>
    <row r="150" ht="15.75" customHeight="1">
      <c r="A150" s="326" t="s">
        <v>253</v>
      </c>
      <c r="B150" s="327" t="s">
        <v>486</v>
      </c>
      <c r="C150" s="326">
        <v>5.0841459E7</v>
      </c>
      <c r="D150" s="326" t="s">
        <v>1213</v>
      </c>
      <c r="E150" s="327" t="s">
        <v>1219</v>
      </c>
      <c r="F150" s="326" t="s">
        <v>95</v>
      </c>
      <c r="G150" s="326" t="s">
        <v>76</v>
      </c>
      <c r="H150" s="326" t="s">
        <v>76</v>
      </c>
      <c r="I150" s="326" t="s">
        <v>1269</v>
      </c>
      <c r="J150" s="322"/>
      <c r="K150" s="322"/>
      <c r="L150" s="322"/>
      <c r="M150" s="322"/>
      <c r="N150" s="322"/>
      <c r="O150" s="322"/>
      <c r="P150" s="322"/>
      <c r="Q150" s="322"/>
      <c r="R150" s="322"/>
      <c r="S150" s="322"/>
      <c r="T150" s="322"/>
      <c r="U150" s="322"/>
      <c r="V150" s="322"/>
      <c r="W150" s="322"/>
      <c r="X150" s="322"/>
      <c r="Y150" s="322"/>
      <c r="Z150" s="322"/>
      <c r="AA150" s="322"/>
      <c r="AB150" s="322"/>
    </row>
    <row r="151" ht="15.75" customHeight="1">
      <c r="A151" s="199" t="s">
        <v>254</v>
      </c>
      <c r="B151" s="309" t="s">
        <v>487</v>
      </c>
      <c r="C151" s="199">
        <v>5.1562433E7</v>
      </c>
      <c r="D151" s="199" t="s">
        <v>1213</v>
      </c>
      <c r="E151" s="309" t="s">
        <v>1219</v>
      </c>
      <c r="F151" s="199" t="s">
        <v>95</v>
      </c>
      <c r="G151" s="199" t="s">
        <v>1226</v>
      </c>
      <c r="H151" s="199" t="s">
        <v>76</v>
      </c>
      <c r="I151" s="199" t="s">
        <v>1269</v>
      </c>
      <c r="J151" s="322"/>
      <c r="K151" s="322"/>
      <c r="L151" s="322"/>
      <c r="M151" s="322"/>
      <c r="N151" s="322"/>
      <c r="O151" s="322"/>
      <c r="P151" s="322"/>
      <c r="Q151" s="322"/>
      <c r="R151" s="322"/>
      <c r="S151" s="322"/>
      <c r="T151" s="322"/>
      <c r="U151" s="322"/>
      <c r="V151" s="322"/>
      <c r="W151" s="322"/>
      <c r="X151" s="322"/>
      <c r="Y151" s="322"/>
      <c r="Z151" s="322"/>
      <c r="AA151" s="322"/>
      <c r="AB151" s="322"/>
    </row>
    <row r="152" ht="15.75" customHeight="1">
      <c r="A152" s="326" t="s">
        <v>255</v>
      </c>
      <c r="B152" s="327" t="s">
        <v>488</v>
      </c>
      <c r="C152" s="326">
        <v>5.1562423E7</v>
      </c>
      <c r="D152" s="326" t="s">
        <v>1213</v>
      </c>
      <c r="E152" s="327" t="s">
        <v>1219</v>
      </c>
      <c r="F152" s="326" t="s">
        <v>95</v>
      </c>
      <c r="G152" s="326" t="s">
        <v>1226</v>
      </c>
      <c r="H152" s="326" t="s">
        <v>76</v>
      </c>
      <c r="I152" s="326" t="s">
        <v>1269</v>
      </c>
      <c r="J152" s="322"/>
      <c r="K152" s="322"/>
      <c r="L152" s="322"/>
      <c r="M152" s="322"/>
      <c r="N152" s="322"/>
      <c r="O152" s="322"/>
      <c r="P152" s="322"/>
      <c r="Q152" s="322"/>
      <c r="R152" s="322"/>
      <c r="S152" s="322"/>
      <c r="T152" s="322"/>
      <c r="U152" s="322"/>
      <c r="V152" s="322"/>
      <c r="W152" s="322"/>
      <c r="X152" s="322"/>
      <c r="Y152" s="322"/>
      <c r="Z152" s="322"/>
      <c r="AA152" s="322"/>
      <c r="AB152" s="322"/>
    </row>
    <row r="153" ht="15.75" customHeight="1">
      <c r="A153" s="199" t="s">
        <v>256</v>
      </c>
      <c r="B153" s="309" t="s">
        <v>489</v>
      </c>
      <c r="C153" s="199">
        <v>5.1562425E7</v>
      </c>
      <c r="D153" s="199" t="s">
        <v>1213</v>
      </c>
      <c r="E153" s="309" t="s">
        <v>1219</v>
      </c>
      <c r="F153" s="199" t="s">
        <v>95</v>
      </c>
      <c r="G153" s="199" t="s">
        <v>1226</v>
      </c>
      <c r="H153" s="199" t="s">
        <v>76</v>
      </c>
      <c r="I153" s="199" t="s">
        <v>1269</v>
      </c>
      <c r="J153" s="322"/>
      <c r="K153" s="322"/>
      <c r="L153" s="322"/>
      <c r="M153" s="322"/>
      <c r="N153" s="322"/>
      <c r="O153" s="322"/>
      <c r="P153" s="322"/>
      <c r="Q153" s="322"/>
      <c r="R153" s="322"/>
      <c r="S153" s="322"/>
      <c r="T153" s="322"/>
      <c r="U153" s="322"/>
      <c r="V153" s="322"/>
      <c r="W153" s="322"/>
      <c r="X153" s="322"/>
      <c r="Y153" s="322"/>
      <c r="Z153" s="322"/>
      <c r="AA153" s="322"/>
      <c r="AB153" s="322"/>
    </row>
    <row r="154" ht="15.75" customHeight="1">
      <c r="A154" s="326" t="s">
        <v>257</v>
      </c>
      <c r="B154" s="327" t="s">
        <v>490</v>
      </c>
      <c r="C154" s="326">
        <v>5.1562429E7</v>
      </c>
      <c r="D154" s="326" t="s">
        <v>1213</v>
      </c>
      <c r="E154" s="327" t="s">
        <v>1219</v>
      </c>
      <c r="F154" s="326" t="s">
        <v>95</v>
      </c>
      <c r="G154" s="326" t="s">
        <v>1226</v>
      </c>
      <c r="H154" s="326" t="s">
        <v>76</v>
      </c>
      <c r="I154" s="326" t="s">
        <v>1269</v>
      </c>
      <c r="J154" s="322"/>
      <c r="K154" s="322"/>
      <c r="L154" s="322"/>
      <c r="M154" s="322"/>
      <c r="N154" s="322"/>
      <c r="O154" s="322"/>
      <c r="P154" s="322"/>
      <c r="Q154" s="322"/>
      <c r="R154" s="322"/>
      <c r="S154" s="322"/>
      <c r="T154" s="322"/>
      <c r="U154" s="322"/>
      <c r="V154" s="322"/>
      <c r="W154" s="322"/>
      <c r="X154" s="322"/>
      <c r="Y154" s="322"/>
      <c r="Z154" s="322"/>
      <c r="AA154" s="322"/>
      <c r="AB154" s="322"/>
    </row>
    <row r="155" ht="15.75" customHeight="1">
      <c r="A155" s="328"/>
      <c r="B155" s="329"/>
      <c r="C155" s="328"/>
      <c r="D155" s="328"/>
      <c r="E155" s="329"/>
      <c r="F155" s="328"/>
      <c r="G155" s="328"/>
      <c r="H155" s="328"/>
      <c r="I155" s="328"/>
      <c r="J155" s="322"/>
      <c r="K155" s="322"/>
      <c r="L155" s="322"/>
      <c r="M155" s="322"/>
      <c r="N155" s="322"/>
      <c r="O155" s="322"/>
      <c r="P155" s="322"/>
      <c r="Q155" s="322"/>
      <c r="R155" s="322"/>
      <c r="S155" s="322"/>
      <c r="T155" s="322"/>
      <c r="U155" s="322"/>
      <c r="V155" s="322"/>
      <c r="W155" s="322"/>
      <c r="X155" s="322"/>
      <c r="Y155" s="322"/>
      <c r="Z155" s="322"/>
      <c r="AA155" s="322"/>
      <c r="AB155" s="322"/>
    </row>
    <row r="156" ht="15.75" customHeight="1">
      <c r="A156" s="328"/>
      <c r="B156" s="329"/>
      <c r="C156" s="328"/>
      <c r="D156" s="328"/>
      <c r="E156" s="329"/>
      <c r="F156" s="328"/>
      <c r="G156" s="328"/>
      <c r="H156" s="328"/>
      <c r="I156" s="328"/>
      <c r="J156" s="322"/>
      <c r="K156" s="322"/>
      <c r="L156" s="322"/>
      <c r="M156" s="322"/>
      <c r="N156" s="322"/>
      <c r="O156" s="322"/>
      <c r="P156" s="322"/>
      <c r="Q156" s="322"/>
      <c r="R156" s="322"/>
      <c r="S156" s="322"/>
      <c r="T156" s="322"/>
      <c r="U156" s="322"/>
      <c r="V156" s="322"/>
      <c r="W156" s="322"/>
      <c r="X156" s="322"/>
      <c r="Y156" s="322"/>
      <c r="Z156" s="322"/>
      <c r="AA156" s="322"/>
      <c r="AB156" s="322"/>
    </row>
    <row r="157" ht="15.75" customHeight="1">
      <c r="A157" s="328"/>
      <c r="B157" s="329"/>
      <c r="C157" s="328"/>
      <c r="D157" s="328"/>
      <c r="E157" s="329"/>
      <c r="F157" s="328"/>
      <c r="G157" s="328"/>
      <c r="H157" s="328"/>
      <c r="I157" s="328"/>
      <c r="J157" s="322"/>
      <c r="K157" s="322"/>
      <c r="L157" s="322"/>
      <c r="M157" s="322"/>
      <c r="N157" s="322"/>
      <c r="O157" s="322"/>
      <c r="P157" s="322"/>
      <c r="Q157" s="322"/>
      <c r="R157" s="322"/>
      <c r="S157" s="322"/>
      <c r="T157" s="322"/>
      <c r="U157" s="322"/>
      <c r="V157" s="322"/>
      <c r="W157" s="322"/>
      <c r="X157" s="322"/>
      <c r="Y157" s="322"/>
      <c r="Z157" s="322"/>
      <c r="AA157" s="322"/>
      <c r="AB157" s="322"/>
    </row>
    <row r="158" ht="15.75" customHeight="1">
      <c r="A158" s="328"/>
      <c r="B158" s="329"/>
      <c r="C158" s="328"/>
      <c r="D158" s="328"/>
      <c r="E158" s="329"/>
      <c r="F158" s="328"/>
      <c r="G158" s="328"/>
      <c r="H158" s="328"/>
      <c r="I158" s="328"/>
      <c r="J158" s="322"/>
      <c r="K158" s="322"/>
      <c r="L158" s="322"/>
      <c r="M158" s="322"/>
      <c r="N158" s="322"/>
      <c r="O158" s="322"/>
      <c r="P158" s="322"/>
      <c r="Q158" s="322"/>
      <c r="R158" s="322"/>
      <c r="S158" s="322"/>
      <c r="T158" s="322"/>
      <c r="U158" s="322"/>
      <c r="V158" s="322"/>
      <c r="W158" s="322"/>
      <c r="X158" s="322"/>
      <c r="Y158" s="322"/>
      <c r="Z158" s="322"/>
      <c r="AA158" s="322"/>
      <c r="AB158" s="322"/>
    </row>
    <row r="159" ht="15.75" customHeight="1">
      <c r="A159" s="328"/>
      <c r="B159" s="329"/>
      <c r="C159" s="328"/>
      <c r="D159" s="328"/>
      <c r="E159" s="329"/>
      <c r="F159" s="328"/>
      <c r="G159" s="328"/>
      <c r="H159" s="328"/>
      <c r="I159" s="328"/>
      <c r="J159" s="322"/>
      <c r="K159" s="322"/>
      <c r="L159" s="322"/>
      <c r="M159" s="322"/>
      <c r="N159" s="322"/>
      <c r="O159" s="322"/>
      <c r="P159" s="322"/>
      <c r="Q159" s="322"/>
      <c r="R159" s="322"/>
      <c r="S159" s="322"/>
      <c r="T159" s="322"/>
      <c r="U159" s="322"/>
      <c r="V159" s="322"/>
      <c r="W159" s="322"/>
      <c r="X159" s="322"/>
      <c r="Y159" s="322"/>
      <c r="Z159" s="322"/>
      <c r="AA159" s="322"/>
      <c r="AB159" s="322"/>
    </row>
    <row r="160" ht="15.75" customHeight="1">
      <c r="A160" s="328"/>
      <c r="B160" s="329"/>
      <c r="C160" s="328"/>
      <c r="D160" s="328"/>
      <c r="E160" s="329"/>
      <c r="F160" s="328"/>
      <c r="G160" s="328"/>
      <c r="H160" s="328"/>
      <c r="I160" s="328"/>
      <c r="J160" s="322"/>
      <c r="K160" s="322"/>
      <c r="L160" s="322"/>
      <c r="M160" s="322"/>
      <c r="N160" s="322"/>
      <c r="O160" s="322"/>
      <c r="P160" s="322"/>
      <c r="Q160" s="322"/>
      <c r="R160" s="322"/>
      <c r="S160" s="322"/>
      <c r="T160" s="322"/>
      <c r="U160" s="322"/>
      <c r="V160" s="322"/>
      <c r="W160" s="322"/>
      <c r="X160" s="322"/>
      <c r="Y160" s="322"/>
      <c r="Z160" s="322"/>
      <c r="AA160" s="322"/>
      <c r="AB160" s="322"/>
    </row>
    <row r="161" ht="15.75" customHeight="1">
      <c r="A161" s="328"/>
      <c r="B161" s="329"/>
      <c r="C161" s="328"/>
      <c r="D161" s="328"/>
      <c r="E161" s="329"/>
      <c r="F161" s="328"/>
      <c r="G161" s="328"/>
      <c r="H161" s="328"/>
      <c r="I161" s="328"/>
      <c r="J161" s="322"/>
      <c r="K161" s="322"/>
      <c r="L161" s="322"/>
      <c r="M161" s="322"/>
      <c r="N161" s="322"/>
      <c r="O161" s="322"/>
      <c r="P161" s="322"/>
      <c r="Q161" s="322"/>
      <c r="R161" s="322"/>
      <c r="S161" s="322"/>
      <c r="T161" s="322"/>
      <c r="U161" s="322"/>
      <c r="V161" s="322"/>
      <c r="W161" s="322"/>
      <c r="X161" s="322"/>
      <c r="Y161" s="322"/>
      <c r="Z161" s="322"/>
      <c r="AA161" s="322"/>
      <c r="AB161" s="322"/>
    </row>
    <row r="162" ht="15.75" customHeight="1">
      <c r="A162" s="328"/>
      <c r="B162" s="329"/>
      <c r="C162" s="328"/>
      <c r="D162" s="328"/>
      <c r="E162" s="329"/>
      <c r="F162" s="328"/>
      <c r="G162" s="328"/>
      <c r="H162" s="328"/>
      <c r="I162" s="328"/>
      <c r="J162" s="322"/>
      <c r="K162" s="322"/>
      <c r="L162" s="322"/>
      <c r="M162" s="322"/>
      <c r="N162" s="322"/>
      <c r="O162" s="322"/>
      <c r="P162" s="322"/>
      <c r="Q162" s="322"/>
      <c r="R162" s="322"/>
      <c r="S162" s="322"/>
      <c r="T162" s="322"/>
      <c r="U162" s="322"/>
      <c r="V162" s="322"/>
      <c r="W162" s="322"/>
      <c r="X162" s="322"/>
      <c r="Y162" s="322"/>
      <c r="Z162" s="322"/>
      <c r="AA162" s="322"/>
      <c r="AB162" s="322"/>
    </row>
    <row r="163" ht="15.75" customHeight="1">
      <c r="A163" s="328"/>
      <c r="B163" s="329"/>
      <c r="C163" s="328"/>
      <c r="D163" s="328"/>
      <c r="E163" s="329"/>
      <c r="F163" s="328"/>
      <c r="G163" s="328"/>
      <c r="H163" s="328"/>
      <c r="I163" s="328"/>
      <c r="J163" s="322"/>
      <c r="K163" s="322"/>
      <c r="L163" s="322"/>
      <c r="M163" s="322"/>
      <c r="N163" s="322"/>
      <c r="O163" s="322"/>
      <c r="P163" s="322"/>
      <c r="Q163" s="322"/>
      <c r="R163" s="322"/>
      <c r="S163" s="322"/>
      <c r="T163" s="322"/>
      <c r="U163" s="322"/>
      <c r="V163" s="322"/>
      <c r="W163" s="322"/>
      <c r="X163" s="322"/>
      <c r="Y163" s="322"/>
      <c r="Z163" s="322"/>
      <c r="AA163" s="322"/>
      <c r="AB163" s="322"/>
    </row>
    <row r="164" ht="15.75" customHeight="1">
      <c r="A164" s="328"/>
      <c r="B164" s="329"/>
      <c r="C164" s="328"/>
      <c r="D164" s="328"/>
      <c r="E164" s="329"/>
      <c r="F164" s="328"/>
      <c r="G164" s="328"/>
      <c r="H164" s="328"/>
      <c r="I164" s="328"/>
      <c r="J164" s="322"/>
      <c r="K164" s="322"/>
      <c r="L164" s="322"/>
      <c r="M164" s="322"/>
      <c r="N164" s="322"/>
      <c r="O164" s="322"/>
      <c r="P164" s="322"/>
      <c r="Q164" s="322"/>
      <c r="R164" s="322"/>
      <c r="S164" s="322"/>
      <c r="T164" s="322"/>
      <c r="U164" s="322"/>
      <c r="V164" s="322"/>
      <c r="W164" s="322"/>
      <c r="X164" s="322"/>
      <c r="Y164" s="322"/>
      <c r="Z164" s="322"/>
      <c r="AA164" s="322"/>
      <c r="AB164" s="322"/>
    </row>
    <row r="165" ht="15.75" customHeight="1">
      <c r="A165" s="328"/>
      <c r="B165" s="329"/>
      <c r="C165" s="328"/>
      <c r="D165" s="328"/>
      <c r="E165" s="329"/>
      <c r="F165" s="328"/>
      <c r="G165" s="328"/>
      <c r="H165" s="328"/>
      <c r="I165" s="328"/>
      <c r="J165" s="322"/>
      <c r="K165" s="322"/>
      <c r="L165" s="322"/>
      <c r="M165" s="322"/>
      <c r="N165" s="322"/>
      <c r="O165" s="322"/>
      <c r="P165" s="322"/>
      <c r="Q165" s="322"/>
      <c r="R165" s="322"/>
      <c r="S165" s="322"/>
      <c r="T165" s="322"/>
      <c r="U165" s="322"/>
      <c r="V165" s="322"/>
      <c r="W165" s="322"/>
      <c r="X165" s="322"/>
      <c r="Y165" s="322"/>
      <c r="Z165" s="322"/>
      <c r="AA165" s="322"/>
      <c r="AB165" s="322"/>
    </row>
    <row r="166" ht="15.75" customHeight="1">
      <c r="A166" s="328"/>
      <c r="B166" s="329"/>
      <c r="C166" s="328"/>
      <c r="D166" s="328"/>
      <c r="E166" s="329"/>
      <c r="F166" s="328"/>
      <c r="G166" s="328"/>
      <c r="H166" s="328"/>
      <c r="I166" s="328"/>
      <c r="J166" s="322"/>
      <c r="K166" s="322"/>
      <c r="L166" s="322"/>
      <c r="M166" s="322"/>
      <c r="N166" s="322"/>
      <c r="O166" s="322"/>
      <c r="P166" s="322"/>
      <c r="Q166" s="322"/>
      <c r="R166" s="322"/>
      <c r="S166" s="322"/>
      <c r="T166" s="322"/>
      <c r="U166" s="322"/>
      <c r="V166" s="322"/>
      <c r="W166" s="322"/>
      <c r="X166" s="322"/>
      <c r="Y166" s="322"/>
      <c r="Z166" s="322"/>
      <c r="AA166" s="322"/>
      <c r="AB166" s="322"/>
    </row>
    <row r="167" ht="15.75" customHeight="1">
      <c r="A167" s="328"/>
      <c r="B167" s="329"/>
      <c r="C167" s="328"/>
      <c r="D167" s="328"/>
      <c r="E167" s="329"/>
      <c r="F167" s="328"/>
      <c r="G167" s="328"/>
      <c r="H167" s="328"/>
      <c r="I167" s="328"/>
      <c r="J167" s="322"/>
      <c r="K167" s="322"/>
      <c r="L167" s="322"/>
      <c r="M167" s="322"/>
      <c r="N167" s="322"/>
      <c r="O167" s="322"/>
      <c r="P167" s="322"/>
      <c r="Q167" s="322"/>
      <c r="R167" s="322"/>
      <c r="S167" s="322"/>
      <c r="T167" s="322"/>
      <c r="U167" s="322"/>
      <c r="V167" s="322"/>
      <c r="W167" s="322"/>
      <c r="X167" s="322"/>
      <c r="Y167" s="322"/>
      <c r="Z167" s="322"/>
      <c r="AA167" s="322"/>
      <c r="AB167" s="322"/>
    </row>
    <row r="168" ht="15.75" customHeight="1">
      <c r="A168" s="328"/>
      <c r="B168" s="329"/>
      <c r="C168" s="328"/>
      <c r="D168" s="328"/>
      <c r="E168" s="329"/>
      <c r="F168" s="328"/>
      <c r="G168" s="328"/>
      <c r="H168" s="328"/>
      <c r="I168" s="328"/>
      <c r="J168" s="322"/>
      <c r="K168" s="322"/>
      <c r="L168" s="322"/>
      <c r="M168" s="322"/>
      <c r="N168" s="322"/>
      <c r="O168" s="322"/>
      <c r="P168" s="322"/>
      <c r="Q168" s="322"/>
      <c r="R168" s="322"/>
      <c r="S168" s="322"/>
      <c r="T168" s="322"/>
      <c r="U168" s="322"/>
      <c r="V168" s="322"/>
      <c r="W168" s="322"/>
      <c r="X168" s="322"/>
      <c r="Y168" s="322"/>
      <c r="Z168" s="322"/>
      <c r="AA168" s="322"/>
      <c r="AB168" s="322"/>
    </row>
    <row r="169" ht="15.75" customHeight="1">
      <c r="A169" s="328"/>
      <c r="B169" s="329"/>
      <c r="C169" s="328"/>
      <c r="D169" s="328"/>
      <c r="E169" s="329"/>
      <c r="F169" s="328"/>
      <c r="G169" s="328"/>
      <c r="H169" s="328"/>
      <c r="I169" s="328"/>
      <c r="J169" s="322"/>
      <c r="K169" s="322"/>
      <c r="L169" s="322"/>
      <c r="M169" s="322"/>
      <c r="N169" s="322"/>
      <c r="O169" s="322"/>
      <c r="P169" s="322"/>
      <c r="Q169" s="322"/>
      <c r="R169" s="322"/>
      <c r="S169" s="322"/>
      <c r="T169" s="322"/>
      <c r="U169" s="322"/>
      <c r="V169" s="322"/>
      <c r="W169" s="322"/>
      <c r="X169" s="322"/>
      <c r="Y169" s="322"/>
      <c r="Z169" s="322"/>
      <c r="AA169" s="322"/>
      <c r="AB169" s="322"/>
    </row>
    <row r="170" ht="15.75" customHeight="1">
      <c r="A170" s="328"/>
      <c r="B170" s="329"/>
      <c r="C170" s="328"/>
      <c r="D170" s="328"/>
      <c r="E170" s="329"/>
      <c r="F170" s="328"/>
      <c r="G170" s="328"/>
      <c r="H170" s="328"/>
      <c r="I170" s="328"/>
      <c r="J170" s="322"/>
      <c r="K170" s="322"/>
      <c r="L170" s="322"/>
      <c r="M170" s="322"/>
      <c r="N170" s="322"/>
      <c r="O170" s="322"/>
      <c r="P170" s="322"/>
      <c r="Q170" s="322"/>
      <c r="R170" s="322"/>
      <c r="S170" s="322"/>
      <c r="T170" s="322"/>
      <c r="U170" s="322"/>
      <c r="V170" s="322"/>
      <c r="W170" s="322"/>
      <c r="X170" s="322"/>
      <c r="Y170" s="322"/>
      <c r="Z170" s="322"/>
      <c r="AA170" s="322"/>
      <c r="AB170" s="322"/>
    </row>
    <row r="171" ht="15.75" customHeight="1">
      <c r="A171" s="328"/>
      <c r="B171" s="329"/>
      <c r="C171" s="328"/>
      <c r="D171" s="328"/>
      <c r="E171" s="329"/>
      <c r="F171" s="328"/>
      <c r="G171" s="328"/>
      <c r="H171" s="328"/>
      <c r="I171" s="328"/>
      <c r="J171" s="322"/>
      <c r="K171" s="322"/>
      <c r="L171" s="322"/>
      <c r="M171" s="322"/>
      <c r="N171" s="322"/>
      <c r="O171" s="322"/>
      <c r="P171" s="322"/>
      <c r="Q171" s="322"/>
      <c r="R171" s="322"/>
      <c r="S171" s="322"/>
      <c r="T171" s="322"/>
      <c r="U171" s="322"/>
      <c r="V171" s="322"/>
      <c r="W171" s="322"/>
      <c r="X171" s="322"/>
      <c r="Y171" s="322"/>
      <c r="Z171" s="322"/>
      <c r="AA171" s="322"/>
      <c r="AB171" s="322"/>
    </row>
    <row r="172" ht="15.75" customHeight="1">
      <c r="A172" s="328"/>
      <c r="B172" s="329"/>
      <c r="C172" s="328"/>
      <c r="D172" s="328"/>
      <c r="E172" s="329"/>
      <c r="F172" s="328"/>
      <c r="G172" s="328"/>
      <c r="H172" s="328"/>
      <c r="I172" s="328"/>
      <c r="J172" s="322"/>
      <c r="K172" s="322"/>
      <c r="L172" s="322"/>
      <c r="M172" s="322"/>
      <c r="N172" s="322"/>
      <c r="O172" s="322"/>
      <c r="P172" s="322"/>
      <c r="Q172" s="322"/>
      <c r="R172" s="322"/>
      <c r="S172" s="322"/>
      <c r="T172" s="322"/>
      <c r="U172" s="322"/>
      <c r="V172" s="322"/>
      <c r="W172" s="322"/>
      <c r="X172" s="322"/>
      <c r="Y172" s="322"/>
      <c r="Z172" s="322"/>
      <c r="AA172" s="322"/>
      <c r="AB172" s="322"/>
    </row>
    <row r="173" ht="15.75" customHeight="1">
      <c r="A173" s="328"/>
      <c r="B173" s="329"/>
      <c r="C173" s="328"/>
      <c r="D173" s="328"/>
      <c r="E173" s="329"/>
      <c r="F173" s="328"/>
      <c r="G173" s="328"/>
      <c r="H173" s="328"/>
      <c r="I173" s="328"/>
      <c r="J173" s="322"/>
      <c r="K173" s="322"/>
      <c r="L173" s="322"/>
      <c r="M173" s="322"/>
      <c r="N173" s="322"/>
      <c r="O173" s="322"/>
      <c r="P173" s="322"/>
      <c r="Q173" s="322"/>
      <c r="R173" s="322"/>
      <c r="S173" s="322"/>
      <c r="T173" s="322"/>
      <c r="U173" s="322"/>
      <c r="V173" s="322"/>
      <c r="W173" s="322"/>
      <c r="X173" s="322"/>
      <c r="Y173" s="322"/>
      <c r="Z173" s="322"/>
      <c r="AA173" s="322"/>
      <c r="AB173" s="322"/>
    </row>
    <row r="174" ht="15.75" customHeight="1">
      <c r="A174" s="328"/>
      <c r="B174" s="329"/>
      <c r="C174" s="328"/>
      <c r="D174" s="328"/>
      <c r="E174" s="329"/>
      <c r="F174" s="328"/>
      <c r="G174" s="328"/>
      <c r="H174" s="328"/>
      <c r="I174" s="328"/>
      <c r="J174" s="322"/>
      <c r="K174" s="322"/>
      <c r="L174" s="322"/>
      <c r="M174" s="322"/>
      <c r="N174" s="322"/>
      <c r="O174" s="322"/>
      <c r="P174" s="322"/>
      <c r="Q174" s="322"/>
      <c r="R174" s="322"/>
      <c r="S174" s="322"/>
      <c r="T174" s="322"/>
      <c r="U174" s="322"/>
      <c r="V174" s="322"/>
      <c r="W174" s="322"/>
      <c r="X174" s="322"/>
      <c r="Y174" s="322"/>
      <c r="Z174" s="322"/>
      <c r="AA174" s="322"/>
      <c r="AB174" s="322"/>
    </row>
    <row r="175" ht="15.75" customHeight="1">
      <c r="A175" s="328"/>
      <c r="B175" s="329"/>
      <c r="C175" s="328"/>
      <c r="D175" s="328"/>
      <c r="E175" s="329"/>
      <c r="F175" s="328"/>
      <c r="G175" s="328"/>
      <c r="H175" s="328"/>
      <c r="I175" s="328"/>
      <c r="J175" s="322"/>
      <c r="K175" s="322"/>
      <c r="L175" s="322"/>
      <c r="M175" s="322"/>
      <c r="N175" s="322"/>
      <c r="O175" s="322"/>
      <c r="P175" s="322"/>
      <c r="Q175" s="322"/>
      <c r="R175" s="322"/>
      <c r="S175" s="322"/>
      <c r="T175" s="322"/>
      <c r="U175" s="322"/>
      <c r="V175" s="322"/>
      <c r="W175" s="322"/>
      <c r="X175" s="322"/>
      <c r="Y175" s="322"/>
      <c r="Z175" s="322"/>
      <c r="AA175" s="322"/>
      <c r="AB175" s="322"/>
    </row>
    <row r="176" ht="15.75" customHeight="1">
      <c r="A176" s="328"/>
      <c r="B176" s="329"/>
      <c r="C176" s="328"/>
      <c r="D176" s="328"/>
      <c r="E176" s="329"/>
      <c r="F176" s="328"/>
      <c r="G176" s="328"/>
      <c r="H176" s="328"/>
      <c r="I176" s="328"/>
      <c r="J176" s="322"/>
      <c r="K176" s="322"/>
      <c r="L176" s="322"/>
      <c r="M176" s="322"/>
      <c r="N176" s="322"/>
      <c r="O176" s="322"/>
      <c r="P176" s="322"/>
      <c r="Q176" s="322"/>
      <c r="R176" s="322"/>
      <c r="S176" s="322"/>
      <c r="T176" s="322"/>
      <c r="U176" s="322"/>
      <c r="V176" s="322"/>
      <c r="W176" s="322"/>
      <c r="X176" s="322"/>
      <c r="Y176" s="322"/>
      <c r="Z176" s="322"/>
      <c r="AA176" s="322"/>
      <c r="AB176" s="322"/>
    </row>
    <row r="177" ht="15.75" customHeight="1">
      <c r="A177" s="328"/>
      <c r="B177" s="329"/>
      <c r="C177" s="328"/>
      <c r="D177" s="328"/>
      <c r="E177" s="329"/>
      <c r="F177" s="328"/>
      <c r="G177" s="328"/>
      <c r="H177" s="328"/>
      <c r="I177" s="328"/>
      <c r="J177" s="322"/>
      <c r="K177" s="322"/>
      <c r="L177" s="322"/>
      <c r="M177" s="322"/>
      <c r="N177" s="322"/>
      <c r="O177" s="322"/>
      <c r="P177" s="322"/>
      <c r="Q177" s="322"/>
      <c r="R177" s="322"/>
      <c r="S177" s="322"/>
      <c r="T177" s="322"/>
      <c r="U177" s="322"/>
      <c r="V177" s="322"/>
      <c r="W177" s="322"/>
      <c r="X177" s="322"/>
      <c r="Y177" s="322"/>
      <c r="Z177" s="322"/>
      <c r="AA177" s="322"/>
      <c r="AB177" s="322"/>
    </row>
    <row r="178" ht="15.75" customHeight="1">
      <c r="A178" s="328"/>
      <c r="B178" s="329"/>
      <c r="C178" s="328"/>
      <c r="D178" s="328"/>
      <c r="E178" s="329"/>
      <c r="F178" s="328"/>
      <c r="G178" s="328"/>
      <c r="H178" s="328"/>
      <c r="I178" s="328"/>
      <c r="J178" s="322"/>
      <c r="K178" s="322"/>
      <c r="L178" s="322"/>
      <c r="M178" s="322"/>
      <c r="N178" s="322"/>
      <c r="O178" s="322"/>
      <c r="P178" s="322"/>
      <c r="Q178" s="322"/>
      <c r="R178" s="322"/>
      <c r="S178" s="322"/>
      <c r="T178" s="322"/>
      <c r="U178" s="322"/>
      <c r="V178" s="322"/>
      <c r="W178" s="322"/>
      <c r="X178" s="322"/>
      <c r="Y178" s="322"/>
      <c r="Z178" s="322"/>
      <c r="AA178" s="322"/>
      <c r="AB178" s="322"/>
    </row>
    <row r="179" ht="15.75" customHeight="1">
      <c r="A179" s="328"/>
      <c r="B179" s="329"/>
      <c r="C179" s="328"/>
      <c r="D179" s="328"/>
      <c r="E179" s="329"/>
      <c r="F179" s="328"/>
      <c r="G179" s="328"/>
      <c r="H179" s="328"/>
      <c r="I179" s="328"/>
      <c r="J179" s="322"/>
      <c r="K179" s="322"/>
      <c r="L179" s="322"/>
      <c r="M179" s="322"/>
      <c r="N179" s="322"/>
      <c r="O179" s="322"/>
      <c r="P179" s="322"/>
      <c r="Q179" s="322"/>
      <c r="R179" s="322"/>
      <c r="S179" s="322"/>
      <c r="T179" s="322"/>
      <c r="U179" s="322"/>
      <c r="V179" s="322"/>
      <c r="W179" s="322"/>
      <c r="X179" s="322"/>
      <c r="Y179" s="322"/>
      <c r="Z179" s="322"/>
      <c r="AA179" s="322"/>
      <c r="AB179" s="322"/>
    </row>
    <row r="180" ht="15.75" customHeight="1">
      <c r="A180" s="328"/>
      <c r="B180" s="329"/>
      <c r="C180" s="328"/>
      <c r="D180" s="328"/>
      <c r="E180" s="329"/>
      <c r="F180" s="328"/>
      <c r="G180" s="328"/>
      <c r="H180" s="328"/>
      <c r="I180" s="328"/>
      <c r="J180" s="322"/>
      <c r="K180" s="322"/>
      <c r="L180" s="322"/>
      <c r="M180" s="322"/>
      <c r="N180" s="322"/>
      <c r="O180" s="322"/>
      <c r="P180" s="322"/>
      <c r="Q180" s="322"/>
      <c r="R180" s="322"/>
      <c r="S180" s="322"/>
      <c r="T180" s="322"/>
      <c r="U180" s="322"/>
      <c r="V180" s="322"/>
      <c r="W180" s="322"/>
      <c r="X180" s="322"/>
      <c r="Y180" s="322"/>
      <c r="Z180" s="322"/>
      <c r="AA180" s="322"/>
      <c r="AB180" s="322"/>
    </row>
    <row r="181" ht="15.75" customHeight="1">
      <c r="A181" s="328"/>
      <c r="B181" s="329"/>
      <c r="C181" s="328"/>
      <c r="D181" s="328"/>
      <c r="E181" s="329"/>
      <c r="F181" s="328"/>
      <c r="G181" s="328"/>
      <c r="H181" s="328"/>
      <c r="I181" s="328"/>
      <c r="J181" s="322"/>
      <c r="K181" s="322"/>
      <c r="L181" s="322"/>
      <c r="M181" s="322"/>
      <c r="N181" s="322"/>
      <c r="O181" s="322"/>
      <c r="P181" s="322"/>
      <c r="Q181" s="322"/>
      <c r="R181" s="322"/>
      <c r="S181" s="322"/>
      <c r="T181" s="322"/>
      <c r="U181" s="322"/>
      <c r="V181" s="322"/>
      <c r="W181" s="322"/>
      <c r="X181" s="322"/>
      <c r="Y181" s="322"/>
      <c r="Z181" s="322"/>
      <c r="AA181" s="322"/>
      <c r="AB181" s="322"/>
    </row>
    <row r="182" ht="15.75" customHeight="1">
      <c r="A182" s="328"/>
      <c r="B182" s="329"/>
      <c r="C182" s="328"/>
      <c r="D182" s="328"/>
      <c r="E182" s="329"/>
      <c r="F182" s="328"/>
      <c r="G182" s="328"/>
      <c r="H182" s="328"/>
      <c r="I182" s="328"/>
      <c r="J182" s="322"/>
      <c r="K182" s="322"/>
      <c r="L182" s="322"/>
      <c r="M182" s="322"/>
      <c r="N182" s="322"/>
      <c r="O182" s="322"/>
      <c r="P182" s="322"/>
      <c r="Q182" s="322"/>
      <c r="R182" s="322"/>
      <c r="S182" s="322"/>
      <c r="T182" s="322"/>
      <c r="U182" s="322"/>
      <c r="V182" s="322"/>
      <c r="W182" s="322"/>
      <c r="X182" s="322"/>
      <c r="Y182" s="322"/>
      <c r="Z182" s="322"/>
      <c r="AA182" s="322"/>
      <c r="AB182" s="322"/>
    </row>
    <row r="183" ht="15.75" customHeight="1">
      <c r="A183" s="328"/>
      <c r="B183" s="329"/>
      <c r="C183" s="328"/>
      <c r="D183" s="328"/>
      <c r="E183" s="329"/>
      <c r="F183" s="328"/>
      <c r="G183" s="328"/>
      <c r="H183" s="328"/>
      <c r="I183" s="328"/>
      <c r="J183" s="322"/>
      <c r="K183" s="322"/>
      <c r="L183" s="322"/>
      <c r="M183" s="322"/>
      <c r="N183" s="322"/>
      <c r="O183" s="322"/>
      <c r="P183" s="322"/>
      <c r="Q183" s="322"/>
      <c r="R183" s="322"/>
      <c r="S183" s="322"/>
      <c r="T183" s="322"/>
      <c r="U183" s="322"/>
      <c r="V183" s="322"/>
      <c r="W183" s="322"/>
      <c r="X183" s="322"/>
      <c r="Y183" s="322"/>
      <c r="Z183" s="322"/>
      <c r="AA183" s="322"/>
      <c r="AB183" s="322"/>
    </row>
    <row r="184" ht="15.75" customHeight="1">
      <c r="A184" s="328"/>
      <c r="B184" s="329"/>
      <c r="C184" s="328"/>
      <c r="D184" s="328"/>
      <c r="E184" s="329"/>
      <c r="F184" s="328"/>
      <c r="G184" s="328"/>
      <c r="H184" s="328"/>
      <c r="I184" s="328"/>
      <c r="J184" s="322"/>
      <c r="K184" s="322"/>
      <c r="L184" s="322"/>
      <c r="M184" s="322"/>
      <c r="N184" s="322"/>
      <c r="O184" s="322"/>
      <c r="P184" s="322"/>
      <c r="Q184" s="322"/>
      <c r="R184" s="322"/>
      <c r="S184" s="322"/>
      <c r="T184" s="322"/>
      <c r="U184" s="322"/>
      <c r="V184" s="322"/>
      <c r="W184" s="322"/>
      <c r="X184" s="322"/>
      <c r="Y184" s="322"/>
      <c r="Z184" s="322"/>
      <c r="AA184" s="322"/>
      <c r="AB184" s="322"/>
    </row>
    <row r="185" ht="15.75" customHeight="1">
      <c r="A185" s="328"/>
      <c r="B185" s="329"/>
      <c r="C185" s="328"/>
      <c r="D185" s="328"/>
      <c r="E185" s="329"/>
      <c r="F185" s="328"/>
      <c r="G185" s="328"/>
      <c r="H185" s="328"/>
      <c r="I185" s="328"/>
      <c r="J185" s="322"/>
      <c r="K185" s="322"/>
      <c r="L185" s="322"/>
      <c r="M185" s="322"/>
      <c r="N185" s="322"/>
      <c r="O185" s="322"/>
      <c r="P185" s="322"/>
      <c r="Q185" s="322"/>
      <c r="R185" s="322"/>
      <c r="S185" s="322"/>
      <c r="T185" s="322"/>
      <c r="U185" s="322"/>
      <c r="V185" s="322"/>
      <c r="W185" s="322"/>
      <c r="X185" s="322"/>
      <c r="Y185" s="322"/>
      <c r="Z185" s="322"/>
      <c r="AA185" s="322"/>
      <c r="AB185" s="322"/>
    </row>
    <row r="186" ht="15.75" customHeight="1">
      <c r="A186" s="328"/>
      <c r="B186" s="329"/>
      <c r="C186" s="328"/>
      <c r="D186" s="328"/>
      <c r="E186" s="329"/>
      <c r="F186" s="328"/>
      <c r="G186" s="328"/>
      <c r="H186" s="328"/>
      <c r="I186" s="328"/>
      <c r="J186" s="322"/>
      <c r="K186" s="322"/>
      <c r="L186" s="322"/>
      <c r="M186" s="322"/>
      <c r="N186" s="322"/>
      <c r="O186" s="322"/>
      <c r="P186" s="322"/>
      <c r="Q186" s="322"/>
      <c r="R186" s="322"/>
      <c r="S186" s="322"/>
      <c r="T186" s="322"/>
      <c r="U186" s="322"/>
      <c r="V186" s="322"/>
      <c r="W186" s="322"/>
      <c r="X186" s="322"/>
      <c r="Y186" s="322"/>
      <c r="Z186" s="322"/>
      <c r="AA186" s="322"/>
      <c r="AB186" s="322"/>
    </row>
    <row r="187" ht="15.75" customHeight="1">
      <c r="A187" s="328"/>
      <c r="B187" s="329"/>
      <c r="C187" s="328"/>
      <c r="D187" s="328"/>
      <c r="E187" s="329"/>
      <c r="F187" s="328"/>
      <c r="G187" s="328"/>
      <c r="H187" s="328"/>
      <c r="I187" s="328"/>
      <c r="J187" s="322"/>
      <c r="K187" s="322"/>
      <c r="L187" s="322"/>
      <c r="M187" s="322"/>
      <c r="N187" s="322"/>
      <c r="O187" s="322"/>
      <c r="P187" s="322"/>
      <c r="Q187" s="322"/>
      <c r="R187" s="322"/>
      <c r="S187" s="322"/>
      <c r="T187" s="322"/>
      <c r="U187" s="322"/>
      <c r="V187" s="322"/>
      <c r="W187" s="322"/>
      <c r="X187" s="322"/>
      <c r="Y187" s="322"/>
      <c r="Z187" s="322"/>
      <c r="AA187" s="322"/>
      <c r="AB187" s="322"/>
    </row>
    <row r="188" ht="15.75" customHeight="1">
      <c r="A188" s="328"/>
      <c r="B188" s="329"/>
      <c r="C188" s="328"/>
      <c r="D188" s="328"/>
      <c r="E188" s="329"/>
      <c r="F188" s="328"/>
      <c r="G188" s="328"/>
      <c r="H188" s="328"/>
      <c r="I188" s="328"/>
      <c r="J188" s="322"/>
      <c r="K188" s="322"/>
      <c r="L188" s="322"/>
      <c r="M188" s="322"/>
      <c r="N188" s="322"/>
      <c r="O188" s="322"/>
      <c r="P188" s="322"/>
      <c r="Q188" s="322"/>
      <c r="R188" s="322"/>
      <c r="S188" s="322"/>
      <c r="T188" s="322"/>
      <c r="U188" s="322"/>
      <c r="V188" s="322"/>
      <c r="W188" s="322"/>
      <c r="X188" s="322"/>
      <c r="Y188" s="322"/>
      <c r="Z188" s="322"/>
      <c r="AA188" s="322"/>
      <c r="AB188" s="322"/>
    </row>
    <row r="189" ht="15.75" customHeight="1">
      <c r="A189" s="328"/>
      <c r="B189" s="329"/>
      <c r="C189" s="328"/>
      <c r="D189" s="328"/>
      <c r="E189" s="329"/>
      <c r="F189" s="328"/>
      <c r="G189" s="328"/>
      <c r="H189" s="328"/>
      <c r="I189" s="328"/>
      <c r="J189" s="322"/>
      <c r="K189" s="322"/>
      <c r="L189" s="322"/>
      <c r="M189" s="322"/>
      <c r="N189" s="322"/>
      <c r="O189" s="322"/>
      <c r="P189" s="322"/>
      <c r="Q189" s="322"/>
      <c r="R189" s="322"/>
      <c r="S189" s="322"/>
      <c r="T189" s="322"/>
      <c r="U189" s="322"/>
      <c r="V189" s="322"/>
      <c r="W189" s="322"/>
      <c r="X189" s="322"/>
      <c r="Y189" s="322"/>
      <c r="Z189" s="322"/>
      <c r="AA189" s="322"/>
      <c r="AB189" s="322"/>
    </row>
    <row r="190" ht="15.75" customHeight="1">
      <c r="A190" s="328"/>
      <c r="B190" s="329"/>
      <c r="C190" s="328"/>
      <c r="D190" s="328"/>
      <c r="E190" s="329"/>
      <c r="F190" s="328"/>
      <c r="G190" s="328"/>
      <c r="H190" s="328"/>
      <c r="I190" s="328"/>
      <c r="J190" s="322"/>
      <c r="K190" s="322"/>
      <c r="L190" s="322"/>
      <c r="M190" s="322"/>
      <c r="N190" s="322"/>
      <c r="O190" s="322"/>
      <c r="P190" s="322"/>
      <c r="Q190" s="322"/>
      <c r="R190" s="322"/>
      <c r="S190" s="322"/>
      <c r="T190" s="322"/>
      <c r="U190" s="322"/>
      <c r="V190" s="322"/>
      <c r="W190" s="322"/>
      <c r="X190" s="322"/>
      <c r="Y190" s="322"/>
      <c r="Z190" s="322"/>
      <c r="AA190" s="322"/>
      <c r="AB190" s="322"/>
    </row>
    <row r="191" ht="15.75" customHeight="1">
      <c r="A191" s="328"/>
      <c r="B191" s="329"/>
      <c r="C191" s="328"/>
      <c r="D191" s="328"/>
      <c r="E191" s="329"/>
      <c r="F191" s="328"/>
      <c r="G191" s="328"/>
      <c r="H191" s="328"/>
      <c r="I191" s="328"/>
      <c r="J191" s="322"/>
      <c r="K191" s="322"/>
      <c r="L191" s="322"/>
      <c r="M191" s="322"/>
      <c r="N191" s="322"/>
      <c r="O191" s="322"/>
      <c r="P191" s="322"/>
      <c r="Q191" s="322"/>
      <c r="R191" s="322"/>
      <c r="S191" s="322"/>
      <c r="T191" s="322"/>
      <c r="U191" s="322"/>
      <c r="V191" s="322"/>
      <c r="W191" s="322"/>
      <c r="X191" s="322"/>
      <c r="Y191" s="322"/>
      <c r="Z191" s="322"/>
      <c r="AA191" s="322"/>
      <c r="AB191" s="322"/>
    </row>
    <row r="192" ht="15.75" customHeight="1">
      <c r="A192" s="328"/>
      <c r="B192" s="329"/>
      <c r="C192" s="328"/>
      <c r="D192" s="328"/>
      <c r="E192" s="329"/>
      <c r="F192" s="328"/>
      <c r="G192" s="328"/>
      <c r="H192" s="328"/>
      <c r="I192" s="328"/>
      <c r="J192" s="322"/>
      <c r="K192" s="322"/>
      <c r="L192" s="322"/>
      <c r="M192" s="322"/>
      <c r="N192" s="322"/>
      <c r="O192" s="322"/>
      <c r="P192" s="322"/>
      <c r="Q192" s="322"/>
      <c r="R192" s="322"/>
      <c r="S192" s="322"/>
      <c r="T192" s="322"/>
      <c r="U192" s="322"/>
      <c r="V192" s="322"/>
      <c r="W192" s="322"/>
      <c r="X192" s="322"/>
      <c r="Y192" s="322"/>
      <c r="Z192" s="322"/>
      <c r="AA192" s="322"/>
      <c r="AB192" s="322"/>
    </row>
    <row r="193" ht="15.75" customHeight="1">
      <c r="A193" s="328"/>
      <c r="B193" s="329"/>
      <c r="C193" s="328"/>
      <c r="D193" s="328"/>
      <c r="E193" s="329"/>
      <c r="F193" s="328"/>
      <c r="G193" s="328"/>
      <c r="H193" s="328"/>
      <c r="I193" s="328"/>
      <c r="J193" s="322"/>
      <c r="K193" s="322"/>
      <c r="L193" s="322"/>
      <c r="M193" s="322"/>
      <c r="N193" s="322"/>
      <c r="O193" s="322"/>
      <c r="P193" s="322"/>
      <c r="Q193" s="322"/>
      <c r="R193" s="322"/>
      <c r="S193" s="322"/>
      <c r="T193" s="322"/>
      <c r="U193" s="322"/>
      <c r="V193" s="322"/>
      <c r="W193" s="322"/>
      <c r="X193" s="322"/>
      <c r="Y193" s="322"/>
      <c r="Z193" s="322"/>
      <c r="AA193" s="322"/>
      <c r="AB193" s="322"/>
    </row>
    <row r="194" ht="15.75" customHeight="1">
      <c r="A194" s="328"/>
      <c r="B194" s="329"/>
      <c r="C194" s="328"/>
      <c r="D194" s="328"/>
      <c r="E194" s="329"/>
      <c r="F194" s="328"/>
      <c r="G194" s="328"/>
      <c r="H194" s="328"/>
      <c r="I194" s="328"/>
      <c r="J194" s="322"/>
      <c r="K194" s="322"/>
      <c r="L194" s="322"/>
      <c r="M194" s="322"/>
      <c r="N194" s="322"/>
      <c r="O194" s="322"/>
      <c r="P194" s="322"/>
      <c r="Q194" s="322"/>
      <c r="R194" s="322"/>
      <c r="S194" s="322"/>
      <c r="T194" s="322"/>
      <c r="U194" s="322"/>
      <c r="V194" s="322"/>
      <c r="W194" s="322"/>
      <c r="X194" s="322"/>
      <c r="Y194" s="322"/>
      <c r="Z194" s="322"/>
      <c r="AA194" s="322"/>
      <c r="AB194" s="322"/>
    </row>
    <row r="195" ht="15.75" customHeight="1">
      <c r="A195" s="328"/>
      <c r="B195" s="329"/>
      <c r="C195" s="328"/>
      <c r="D195" s="328"/>
      <c r="E195" s="329"/>
      <c r="F195" s="328"/>
      <c r="G195" s="328"/>
      <c r="H195" s="328"/>
      <c r="I195" s="328"/>
      <c r="J195" s="322"/>
      <c r="K195" s="322"/>
      <c r="L195" s="322"/>
      <c r="M195" s="322"/>
      <c r="N195" s="322"/>
      <c r="O195" s="322"/>
      <c r="P195" s="322"/>
      <c r="Q195" s="322"/>
      <c r="R195" s="322"/>
      <c r="S195" s="322"/>
      <c r="T195" s="322"/>
      <c r="U195" s="322"/>
      <c r="V195" s="322"/>
      <c r="W195" s="322"/>
      <c r="X195" s="322"/>
      <c r="Y195" s="322"/>
      <c r="Z195" s="322"/>
      <c r="AA195" s="322"/>
      <c r="AB195" s="322"/>
    </row>
    <row r="196" ht="15.75" customHeight="1">
      <c r="A196" s="328"/>
      <c r="B196" s="329"/>
      <c r="C196" s="328"/>
      <c r="D196" s="328"/>
      <c r="E196" s="329"/>
      <c r="F196" s="328"/>
      <c r="G196" s="328"/>
      <c r="H196" s="328"/>
      <c r="I196" s="328"/>
      <c r="J196" s="322"/>
      <c r="K196" s="322"/>
      <c r="L196" s="322"/>
      <c r="M196" s="322"/>
      <c r="N196" s="322"/>
      <c r="O196" s="322"/>
      <c r="P196" s="322"/>
      <c r="Q196" s="322"/>
      <c r="R196" s="322"/>
      <c r="S196" s="322"/>
      <c r="T196" s="322"/>
      <c r="U196" s="322"/>
      <c r="V196" s="322"/>
      <c r="W196" s="322"/>
      <c r="X196" s="322"/>
      <c r="Y196" s="322"/>
      <c r="Z196" s="322"/>
      <c r="AA196" s="322"/>
      <c r="AB196" s="322"/>
    </row>
    <row r="197" ht="15.75" customHeight="1">
      <c r="A197" s="328"/>
      <c r="B197" s="329"/>
      <c r="C197" s="328"/>
      <c r="D197" s="328"/>
      <c r="E197" s="329"/>
      <c r="F197" s="328"/>
      <c r="G197" s="328"/>
      <c r="H197" s="328"/>
      <c r="I197" s="328"/>
      <c r="J197" s="322"/>
      <c r="K197" s="322"/>
      <c r="L197" s="322"/>
      <c r="M197" s="322"/>
      <c r="N197" s="322"/>
      <c r="O197" s="322"/>
      <c r="P197" s="322"/>
      <c r="Q197" s="322"/>
      <c r="R197" s="322"/>
      <c r="S197" s="322"/>
      <c r="T197" s="322"/>
      <c r="U197" s="322"/>
      <c r="V197" s="322"/>
      <c r="W197" s="322"/>
      <c r="X197" s="322"/>
      <c r="Y197" s="322"/>
      <c r="Z197" s="322"/>
      <c r="AA197" s="322"/>
      <c r="AB197" s="322"/>
    </row>
    <row r="198" ht="15.75" customHeight="1">
      <c r="A198" s="328"/>
      <c r="B198" s="329"/>
      <c r="C198" s="328"/>
      <c r="D198" s="328"/>
      <c r="E198" s="329"/>
      <c r="F198" s="328"/>
      <c r="G198" s="328"/>
      <c r="H198" s="328"/>
      <c r="I198" s="328"/>
      <c r="J198" s="322"/>
      <c r="K198" s="322"/>
      <c r="L198" s="322"/>
      <c r="M198" s="322"/>
      <c r="N198" s="322"/>
      <c r="O198" s="322"/>
      <c r="P198" s="322"/>
      <c r="Q198" s="322"/>
      <c r="R198" s="322"/>
      <c r="S198" s="322"/>
      <c r="T198" s="322"/>
      <c r="U198" s="322"/>
      <c r="V198" s="322"/>
      <c r="W198" s="322"/>
      <c r="X198" s="322"/>
      <c r="Y198" s="322"/>
      <c r="Z198" s="322"/>
      <c r="AA198" s="322"/>
      <c r="AB198" s="322"/>
    </row>
    <row r="199" ht="15.75" customHeight="1">
      <c r="A199" s="328"/>
      <c r="B199" s="329"/>
      <c r="C199" s="328"/>
      <c r="D199" s="328"/>
      <c r="E199" s="329"/>
      <c r="F199" s="328"/>
      <c r="G199" s="328"/>
      <c r="H199" s="328"/>
      <c r="I199" s="328"/>
      <c r="J199" s="322"/>
      <c r="K199" s="322"/>
      <c r="L199" s="322"/>
      <c r="M199" s="322"/>
      <c r="N199" s="322"/>
      <c r="O199" s="322"/>
      <c r="P199" s="322"/>
      <c r="Q199" s="322"/>
      <c r="R199" s="322"/>
      <c r="S199" s="322"/>
      <c r="T199" s="322"/>
      <c r="U199" s="322"/>
      <c r="V199" s="322"/>
      <c r="W199" s="322"/>
      <c r="X199" s="322"/>
      <c r="Y199" s="322"/>
      <c r="Z199" s="322"/>
      <c r="AA199" s="322"/>
      <c r="AB199" s="322"/>
    </row>
    <row r="200" ht="15.75" customHeight="1">
      <c r="A200" s="328"/>
      <c r="B200" s="329"/>
      <c r="C200" s="328"/>
      <c r="D200" s="328"/>
      <c r="E200" s="329"/>
      <c r="F200" s="328"/>
      <c r="G200" s="328"/>
      <c r="H200" s="328"/>
      <c r="I200" s="328"/>
      <c r="J200" s="322"/>
      <c r="K200" s="322"/>
      <c r="L200" s="322"/>
      <c r="M200" s="322"/>
      <c r="N200" s="322"/>
      <c r="O200" s="322"/>
      <c r="P200" s="322"/>
      <c r="Q200" s="322"/>
      <c r="R200" s="322"/>
      <c r="S200" s="322"/>
      <c r="T200" s="322"/>
      <c r="U200" s="322"/>
      <c r="V200" s="322"/>
      <c r="W200" s="322"/>
      <c r="X200" s="322"/>
      <c r="Y200" s="322"/>
      <c r="Z200" s="322"/>
      <c r="AA200" s="322"/>
      <c r="AB200" s="322"/>
    </row>
    <row r="201" ht="15.75" customHeight="1">
      <c r="A201" s="328"/>
      <c r="B201" s="329"/>
      <c r="C201" s="328"/>
      <c r="D201" s="328"/>
      <c r="E201" s="329"/>
      <c r="F201" s="328"/>
      <c r="G201" s="328"/>
      <c r="H201" s="328"/>
      <c r="I201" s="328"/>
      <c r="J201" s="322"/>
      <c r="K201" s="322"/>
      <c r="L201" s="322"/>
      <c r="M201" s="322"/>
      <c r="N201" s="322"/>
      <c r="O201" s="322"/>
      <c r="P201" s="322"/>
      <c r="Q201" s="322"/>
      <c r="R201" s="322"/>
      <c r="S201" s="322"/>
      <c r="T201" s="322"/>
      <c r="U201" s="322"/>
      <c r="V201" s="322"/>
      <c r="W201" s="322"/>
      <c r="X201" s="322"/>
      <c r="Y201" s="322"/>
      <c r="Z201" s="322"/>
      <c r="AA201" s="322"/>
      <c r="AB201" s="322"/>
    </row>
    <row r="202" ht="15.75" customHeight="1">
      <c r="A202" s="328"/>
      <c r="B202" s="329"/>
      <c r="C202" s="328"/>
      <c r="D202" s="328"/>
      <c r="E202" s="329"/>
      <c r="F202" s="328"/>
      <c r="G202" s="328"/>
      <c r="H202" s="328"/>
      <c r="I202" s="328"/>
      <c r="J202" s="322"/>
      <c r="K202" s="322"/>
      <c r="L202" s="322"/>
      <c r="M202" s="322"/>
      <c r="N202" s="322"/>
      <c r="O202" s="322"/>
      <c r="P202" s="322"/>
      <c r="Q202" s="322"/>
      <c r="R202" s="322"/>
      <c r="S202" s="322"/>
      <c r="T202" s="322"/>
      <c r="U202" s="322"/>
      <c r="V202" s="322"/>
      <c r="W202" s="322"/>
      <c r="X202" s="322"/>
      <c r="Y202" s="322"/>
      <c r="Z202" s="322"/>
      <c r="AA202" s="322"/>
      <c r="AB202" s="322"/>
    </row>
    <row r="203" ht="15.75" customHeight="1">
      <c r="A203" s="328"/>
      <c r="B203" s="329"/>
      <c r="C203" s="328"/>
      <c r="D203" s="328"/>
      <c r="E203" s="329"/>
      <c r="F203" s="328"/>
      <c r="G203" s="328"/>
      <c r="H203" s="328"/>
      <c r="I203" s="328"/>
      <c r="J203" s="322"/>
      <c r="K203" s="322"/>
      <c r="L203" s="322"/>
      <c r="M203" s="322"/>
      <c r="N203" s="322"/>
      <c r="O203" s="322"/>
      <c r="P203" s="322"/>
      <c r="Q203" s="322"/>
      <c r="R203" s="322"/>
      <c r="S203" s="322"/>
      <c r="T203" s="322"/>
      <c r="U203" s="322"/>
      <c r="V203" s="322"/>
      <c r="W203" s="322"/>
      <c r="X203" s="322"/>
      <c r="Y203" s="322"/>
      <c r="Z203" s="322"/>
      <c r="AA203" s="322"/>
      <c r="AB203" s="322"/>
    </row>
    <row r="204" ht="15.75" customHeight="1">
      <c r="A204" s="328"/>
      <c r="B204" s="329"/>
      <c r="C204" s="328"/>
      <c r="D204" s="328"/>
      <c r="E204" s="329"/>
      <c r="F204" s="328"/>
      <c r="G204" s="328"/>
      <c r="H204" s="328"/>
      <c r="I204" s="328"/>
      <c r="J204" s="322"/>
      <c r="K204" s="322"/>
      <c r="L204" s="322"/>
      <c r="M204" s="322"/>
      <c r="N204" s="322"/>
      <c r="O204" s="322"/>
      <c r="P204" s="322"/>
      <c r="Q204" s="322"/>
      <c r="R204" s="322"/>
      <c r="S204" s="322"/>
      <c r="T204" s="322"/>
      <c r="U204" s="322"/>
      <c r="V204" s="322"/>
      <c r="W204" s="322"/>
      <c r="X204" s="322"/>
      <c r="Y204" s="322"/>
      <c r="Z204" s="322"/>
      <c r="AA204" s="322"/>
      <c r="AB204" s="322"/>
    </row>
    <row r="205" ht="15.75" customHeight="1">
      <c r="A205" s="328"/>
      <c r="B205" s="329"/>
      <c r="C205" s="328"/>
      <c r="D205" s="328"/>
      <c r="E205" s="329"/>
      <c r="F205" s="328"/>
      <c r="G205" s="328"/>
      <c r="H205" s="328"/>
      <c r="I205" s="328"/>
      <c r="J205" s="322"/>
      <c r="K205" s="322"/>
      <c r="L205" s="322"/>
      <c r="M205" s="322"/>
      <c r="N205" s="322"/>
      <c r="O205" s="322"/>
      <c r="P205" s="322"/>
      <c r="Q205" s="322"/>
      <c r="R205" s="322"/>
      <c r="S205" s="322"/>
      <c r="T205" s="322"/>
      <c r="U205" s="322"/>
      <c r="V205" s="322"/>
      <c r="W205" s="322"/>
      <c r="X205" s="322"/>
      <c r="Y205" s="322"/>
      <c r="Z205" s="322"/>
      <c r="AA205" s="322"/>
      <c r="AB205" s="322"/>
    </row>
    <row r="206" ht="15.75" customHeight="1">
      <c r="A206" s="328"/>
      <c r="B206" s="329"/>
      <c r="C206" s="328"/>
      <c r="D206" s="328"/>
      <c r="E206" s="329"/>
      <c r="F206" s="328"/>
      <c r="G206" s="328"/>
      <c r="H206" s="328"/>
      <c r="I206" s="328"/>
      <c r="J206" s="322"/>
      <c r="K206" s="322"/>
      <c r="L206" s="322"/>
      <c r="M206" s="322"/>
      <c r="N206" s="322"/>
      <c r="O206" s="322"/>
      <c r="P206" s="322"/>
      <c r="Q206" s="322"/>
      <c r="R206" s="322"/>
      <c r="S206" s="322"/>
      <c r="T206" s="322"/>
      <c r="U206" s="322"/>
      <c r="V206" s="322"/>
      <c r="W206" s="322"/>
      <c r="X206" s="322"/>
      <c r="Y206" s="322"/>
      <c r="Z206" s="322"/>
      <c r="AA206" s="322"/>
      <c r="AB206" s="322"/>
    </row>
    <row r="207" ht="15.75" customHeight="1">
      <c r="A207" s="328"/>
      <c r="B207" s="329"/>
      <c r="C207" s="328"/>
      <c r="D207" s="328"/>
      <c r="E207" s="329"/>
      <c r="F207" s="328"/>
      <c r="G207" s="328"/>
      <c r="H207" s="328"/>
      <c r="I207" s="328"/>
      <c r="J207" s="322"/>
      <c r="K207" s="322"/>
      <c r="L207" s="322"/>
      <c r="M207" s="322"/>
      <c r="N207" s="322"/>
      <c r="O207" s="322"/>
      <c r="P207" s="322"/>
      <c r="Q207" s="322"/>
      <c r="R207" s="322"/>
      <c r="S207" s="322"/>
      <c r="T207" s="322"/>
      <c r="U207" s="322"/>
      <c r="V207" s="322"/>
      <c r="W207" s="322"/>
      <c r="X207" s="322"/>
      <c r="Y207" s="322"/>
      <c r="Z207" s="322"/>
      <c r="AA207" s="322"/>
      <c r="AB207" s="322"/>
    </row>
    <row r="208" ht="15.75" customHeight="1">
      <c r="A208" s="328"/>
      <c r="B208" s="329"/>
      <c r="C208" s="328"/>
      <c r="D208" s="328"/>
      <c r="E208" s="329"/>
      <c r="F208" s="328"/>
      <c r="G208" s="328"/>
      <c r="H208" s="328"/>
      <c r="I208" s="328"/>
      <c r="J208" s="322"/>
      <c r="K208" s="322"/>
      <c r="L208" s="322"/>
      <c r="M208" s="322"/>
      <c r="N208" s="322"/>
      <c r="O208" s="322"/>
      <c r="P208" s="322"/>
      <c r="Q208" s="322"/>
      <c r="R208" s="322"/>
      <c r="S208" s="322"/>
      <c r="T208" s="322"/>
      <c r="U208" s="322"/>
      <c r="V208" s="322"/>
      <c r="W208" s="322"/>
      <c r="X208" s="322"/>
      <c r="Y208" s="322"/>
      <c r="Z208" s="322"/>
      <c r="AA208" s="322"/>
      <c r="AB208" s="322"/>
    </row>
    <row r="209" ht="15.75" customHeight="1">
      <c r="A209" s="328"/>
      <c r="B209" s="329"/>
      <c r="C209" s="328"/>
      <c r="D209" s="328"/>
      <c r="E209" s="329"/>
      <c r="F209" s="328"/>
      <c r="G209" s="328"/>
      <c r="H209" s="328"/>
      <c r="I209" s="328"/>
      <c r="J209" s="322"/>
      <c r="K209" s="322"/>
      <c r="L209" s="322"/>
      <c r="M209" s="322"/>
      <c r="N209" s="322"/>
      <c r="O209" s="322"/>
      <c r="P209" s="322"/>
      <c r="Q209" s="322"/>
      <c r="R209" s="322"/>
      <c r="S209" s="322"/>
      <c r="T209" s="322"/>
      <c r="U209" s="322"/>
      <c r="V209" s="322"/>
      <c r="W209" s="322"/>
      <c r="X209" s="322"/>
      <c r="Y209" s="322"/>
      <c r="Z209" s="322"/>
      <c r="AA209" s="322"/>
      <c r="AB209" s="322"/>
    </row>
    <row r="210" ht="15.75" customHeight="1">
      <c r="A210" s="328"/>
      <c r="B210" s="329"/>
      <c r="C210" s="328"/>
      <c r="D210" s="328"/>
      <c r="E210" s="329"/>
      <c r="F210" s="328"/>
      <c r="G210" s="328"/>
      <c r="H210" s="328"/>
      <c r="I210" s="328"/>
      <c r="J210" s="322"/>
      <c r="K210" s="322"/>
      <c r="L210" s="322"/>
      <c r="M210" s="322"/>
      <c r="N210" s="322"/>
      <c r="O210" s="322"/>
      <c r="P210" s="322"/>
      <c r="Q210" s="322"/>
      <c r="R210" s="322"/>
      <c r="S210" s="322"/>
      <c r="T210" s="322"/>
      <c r="U210" s="322"/>
      <c r="V210" s="322"/>
      <c r="W210" s="322"/>
      <c r="X210" s="322"/>
      <c r="Y210" s="322"/>
      <c r="Z210" s="322"/>
      <c r="AA210" s="322"/>
      <c r="AB210" s="322"/>
    </row>
    <row r="211" ht="15.75" customHeight="1">
      <c r="A211" s="328"/>
      <c r="B211" s="329"/>
      <c r="C211" s="328"/>
      <c r="D211" s="328"/>
      <c r="E211" s="329"/>
      <c r="F211" s="328"/>
      <c r="G211" s="328"/>
      <c r="H211" s="328"/>
      <c r="I211" s="328"/>
      <c r="J211" s="322"/>
      <c r="K211" s="322"/>
      <c r="L211" s="322"/>
      <c r="M211" s="322"/>
      <c r="N211" s="322"/>
      <c r="O211" s="322"/>
      <c r="P211" s="322"/>
      <c r="Q211" s="322"/>
      <c r="R211" s="322"/>
      <c r="S211" s="322"/>
      <c r="T211" s="322"/>
      <c r="U211" s="322"/>
      <c r="V211" s="322"/>
      <c r="W211" s="322"/>
      <c r="X211" s="322"/>
      <c r="Y211" s="322"/>
      <c r="Z211" s="322"/>
      <c r="AA211" s="322"/>
      <c r="AB211" s="322"/>
    </row>
    <row r="212" ht="15.75" customHeight="1">
      <c r="A212" s="328"/>
      <c r="B212" s="329"/>
      <c r="C212" s="328"/>
      <c r="D212" s="328"/>
      <c r="E212" s="329"/>
      <c r="F212" s="328"/>
      <c r="G212" s="328"/>
      <c r="H212" s="328"/>
      <c r="I212" s="328"/>
      <c r="J212" s="322"/>
      <c r="K212" s="322"/>
      <c r="L212" s="322"/>
      <c r="M212" s="322"/>
      <c r="N212" s="322"/>
      <c r="O212" s="322"/>
      <c r="P212" s="322"/>
      <c r="Q212" s="322"/>
      <c r="R212" s="322"/>
      <c r="S212" s="322"/>
      <c r="T212" s="322"/>
      <c r="U212" s="322"/>
      <c r="V212" s="322"/>
      <c r="W212" s="322"/>
      <c r="X212" s="322"/>
      <c r="Y212" s="322"/>
      <c r="Z212" s="322"/>
      <c r="AA212" s="322"/>
      <c r="AB212" s="322"/>
    </row>
    <row r="213" ht="15.75" customHeight="1">
      <c r="A213" s="328"/>
      <c r="B213" s="329"/>
      <c r="C213" s="328"/>
      <c r="D213" s="328"/>
      <c r="E213" s="329"/>
      <c r="F213" s="328"/>
      <c r="G213" s="328"/>
      <c r="H213" s="328"/>
      <c r="I213" s="328"/>
      <c r="J213" s="322"/>
      <c r="K213" s="322"/>
      <c r="L213" s="322"/>
      <c r="M213" s="322"/>
      <c r="N213" s="322"/>
      <c r="O213" s="322"/>
      <c r="P213" s="322"/>
      <c r="Q213" s="322"/>
      <c r="R213" s="322"/>
      <c r="S213" s="322"/>
      <c r="T213" s="322"/>
      <c r="U213" s="322"/>
      <c r="V213" s="322"/>
      <c r="W213" s="322"/>
      <c r="X213" s="322"/>
      <c r="Y213" s="322"/>
      <c r="Z213" s="322"/>
      <c r="AA213" s="322"/>
      <c r="AB213" s="322"/>
    </row>
    <row r="214" ht="15.75" customHeight="1">
      <c r="A214" s="328"/>
      <c r="B214" s="329"/>
      <c r="C214" s="328"/>
      <c r="D214" s="328"/>
      <c r="E214" s="329"/>
      <c r="F214" s="328"/>
      <c r="G214" s="328"/>
      <c r="H214" s="328"/>
      <c r="I214" s="328"/>
      <c r="J214" s="322"/>
      <c r="K214" s="322"/>
      <c r="L214" s="322"/>
      <c r="M214" s="322"/>
      <c r="N214" s="322"/>
      <c r="O214" s="322"/>
      <c r="P214" s="322"/>
      <c r="Q214" s="322"/>
      <c r="R214" s="322"/>
      <c r="S214" s="322"/>
      <c r="T214" s="322"/>
      <c r="U214" s="322"/>
      <c r="V214" s="322"/>
      <c r="W214" s="322"/>
      <c r="X214" s="322"/>
      <c r="Y214" s="322"/>
      <c r="Z214" s="322"/>
      <c r="AA214" s="322"/>
      <c r="AB214" s="322"/>
    </row>
    <row r="215" ht="15.75" customHeight="1">
      <c r="A215" s="328"/>
      <c r="B215" s="329"/>
      <c r="C215" s="328"/>
      <c r="D215" s="328"/>
      <c r="E215" s="329"/>
      <c r="F215" s="328"/>
      <c r="G215" s="328"/>
      <c r="H215" s="328"/>
      <c r="I215" s="328"/>
      <c r="J215" s="322"/>
      <c r="K215" s="322"/>
      <c r="L215" s="322"/>
      <c r="M215" s="322"/>
      <c r="N215" s="322"/>
      <c r="O215" s="322"/>
      <c r="P215" s="322"/>
      <c r="Q215" s="322"/>
      <c r="R215" s="322"/>
      <c r="S215" s="322"/>
      <c r="T215" s="322"/>
      <c r="U215" s="322"/>
      <c r="V215" s="322"/>
      <c r="W215" s="322"/>
      <c r="X215" s="322"/>
      <c r="Y215" s="322"/>
      <c r="Z215" s="322"/>
      <c r="AA215" s="322"/>
      <c r="AB215" s="322"/>
    </row>
    <row r="216" ht="15.75" customHeight="1">
      <c r="A216" s="328"/>
      <c r="B216" s="329"/>
      <c r="C216" s="328"/>
      <c r="D216" s="328"/>
      <c r="E216" s="329"/>
      <c r="F216" s="328"/>
      <c r="G216" s="328"/>
      <c r="H216" s="328"/>
      <c r="I216" s="328"/>
      <c r="J216" s="322"/>
      <c r="K216" s="322"/>
      <c r="L216" s="322"/>
      <c r="M216" s="322"/>
      <c r="N216" s="322"/>
      <c r="O216" s="322"/>
      <c r="P216" s="322"/>
      <c r="Q216" s="322"/>
      <c r="R216" s="322"/>
      <c r="S216" s="322"/>
      <c r="T216" s="322"/>
      <c r="U216" s="322"/>
      <c r="V216" s="322"/>
      <c r="W216" s="322"/>
      <c r="X216" s="322"/>
      <c r="Y216" s="322"/>
      <c r="Z216" s="322"/>
      <c r="AA216" s="322"/>
      <c r="AB216" s="322"/>
    </row>
    <row r="217" ht="15.75" customHeight="1">
      <c r="A217" s="328"/>
      <c r="B217" s="329"/>
      <c r="C217" s="328"/>
      <c r="D217" s="328"/>
      <c r="E217" s="329"/>
      <c r="F217" s="328"/>
      <c r="G217" s="328"/>
      <c r="H217" s="328"/>
      <c r="I217" s="328"/>
      <c r="J217" s="322"/>
      <c r="K217" s="322"/>
      <c r="L217" s="322"/>
      <c r="M217" s="322"/>
      <c r="N217" s="322"/>
      <c r="O217" s="322"/>
      <c r="P217" s="322"/>
      <c r="Q217" s="322"/>
      <c r="R217" s="322"/>
      <c r="S217" s="322"/>
      <c r="T217" s="322"/>
      <c r="U217" s="322"/>
      <c r="V217" s="322"/>
      <c r="W217" s="322"/>
      <c r="X217" s="322"/>
      <c r="Y217" s="322"/>
      <c r="Z217" s="322"/>
      <c r="AA217" s="322"/>
      <c r="AB217" s="322"/>
    </row>
    <row r="218" ht="15.75" customHeight="1">
      <c r="A218" s="328"/>
      <c r="B218" s="329"/>
      <c r="C218" s="328"/>
      <c r="D218" s="328"/>
      <c r="E218" s="329"/>
      <c r="F218" s="328"/>
      <c r="G218" s="328"/>
      <c r="H218" s="328"/>
      <c r="I218" s="328"/>
      <c r="J218" s="322"/>
      <c r="K218" s="322"/>
      <c r="L218" s="322"/>
      <c r="M218" s="322"/>
      <c r="N218" s="322"/>
      <c r="O218" s="322"/>
      <c r="P218" s="322"/>
      <c r="Q218" s="322"/>
      <c r="R218" s="322"/>
      <c r="S218" s="322"/>
      <c r="T218" s="322"/>
      <c r="U218" s="322"/>
      <c r="V218" s="322"/>
      <c r="W218" s="322"/>
      <c r="X218" s="322"/>
      <c r="Y218" s="322"/>
      <c r="Z218" s="322"/>
      <c r="AA218" s="322"/>
      <c r="AB218" s="322"/>
    </row>
    <row r="219" ht="15.75" customHeight="1">
      <c r="A219" s="328"/>
      <c r="B219" s="329"/>
      <c r="C219" s="328"/>
      <c r="D219" s="328"/>
      <c r="E219" s="329"/>
      <c r="F219" s="328"/>
      <c r="G219" s="328"/>
      <c r="H219" s="328"/>
      <c r="I219" s="328"/>
      <c r="J219" s="322"/>
      <c r="K219" s="322"/>
      <c r="L219" s="322"/>
      <c r="M219" s="322"/>
      <c r="N219" s="322"/>
      <c r="O219" s="322"/>
      <c r="P219" s="322"/>
      <c r="Q219" s="322"/>
      <c r="R219" s="322"/>
      <c r="S219" s="322"/>
      <c r="T219" s="322"/>
      <c r="U219" s="322"/>
      <c r="V219" s="322"/>
      <c r="W219" s="322"/>
      <c r="X219" s="322"/>
      <c r="Y219" s="322"/>
      <c r="Z219" s="322"/>
      <c r="AA219" s="322"/>
      <c r="AB219" s="322"/>
    </row>
    <row r="220" ht="15.75" customHeight="1">
      <c r="A220" s="328"/>
      <c r="B220" s="329"/>
      <c r="C220" s="328"/>
      <c r="D220" s="328"/>
      <c r="E220" s="329"/>
      <c r="F220" s="328"/>
      <c r="G220" s="328"/>
      <c r="H220" s="328"/>
      <c r="I220" s="328"/>
      <c r="J220" s="322"/>
      <c r="K220" s="322"/>
      <c r="L220" s="322"/>
      <c r="M220" s="322"/>
      <c r="N220" s="322"/>
      <c r="O220" s="322"/>
      <c r="P220" s="322"/>
      <c r="Q220" s="322"/>
      <c r="R220" s="322"/>
      <c r="S220" s="322"/>
      <c r="T220" s="322"/>
      <c r="U220" s="322"/>
      <c r="V220" s="322"/>
      <c r="W220" s="322"/>
      <c r="X220" s="322"/>
      <c r="Y220" s="322"/>
      <c r="Z220" s="322"/>
      <c r="AA220" s="322"/>
      <c r="AB220" s="322"/>
    </row>
    <row r="221" ht="15.75" customHeight="1">
      <c r="A221" s="328"/>
      <c r="B221" s="329"/>
      <c r="C221" s="328"/>
      <c r="D221" s="328"/>
      <c r="E221" s="329"/>
      <c r="F221" s="328"/>
      <c r="G221" s="328"/>
      <c r="H221" s="328"/>
      <c r="I221" s="328"/>
      <c r="J221" s="322"/>
      <c r="K221" s="322"/>
      <c r="L221" s="322"/>
      <c r="M221" s="322"/>
      <c r="N221" s="322"/>
      <c r="O221" s="322"/>
      <c r="P221" s="322"/>
      <c r="Q221" s="322"/>
      <c r="R221" s="322"/>
      <c r="S221" s="322"/>
      <c r="T221" s="322"/>
      <c r="U221" s="322"/>
      <c r="V221" s="322"/>
      <c r="W221" s="322"/>
      <c r="X221" s="322"/>
      <c r="Y221" s="322"/>
      <c r="Z221" s="322"/>
      <c r="AA221" s="322"/>
      <c r="AB221" s="322"/>
    </row>
    <row r="222" ht="15.75" customHeight="1">
      <c r="A222" s="328"/>
      <c r="B222" s="329"/>
      <c r="C222" s="328"/>
      <c r="D222" s="328"/>
      <c r="E222" s="329"/>
      <c r="F222" s="328"/>
      <c r="G222" s="328"/>
      <c r="H222" s="328"/>
      <c r="I222" s="328"/>
      <c r="J222" s="322"/>
      <c r="K222" s="322"/>
      <c r="L222" s="322"/>
      <c r="M222" s="322"/>
      <c r="N222" s="322"/>
      <c r="O222" s="322"/>
      <c r="P222" s="322"/>
      <c r="Q222" s="322"/>
      <c r="R222" s="322"/>
      <c r="S222" s="322"/>
      <c r="T222" s="322"/>
      <c r="U222" s="322"/>
      <c r="V222" s="322"/>
      <c r="W222" s="322"/>
      <c r="X222" s="322"/>
      <c r="Y222" s="322"/>
      <c r="Z222" s="322"/>
      <c r="AA222" s="322"/>
      <c r="AB222" s="322"/>
    </row>
    <row r="223" ht="15.75" customHeight="1">
      <c r="A223" s="328"/>
      <c r="B223" s="329"/>
      <c r="C223" s="328"/>
      <c r="D223" s="328"/>
      <c r="E223" s="329"/>
      <c r="F223" s="328"/>
      <c r="G223" s="328"/>
      <c r="H223" s="328"/>
      <c r="I223" s="328"/>
      <c r="J223" s="322"/>
      <c r="K223" s="322"/>
      <c r="L223" s="322"/>
      <c r="M223" s="322"/>
      <c r="N223" s="322"/>
      <c r="O223" s="322"/>
      <c r="P223" s="322"/>
      <c r="Q223" s="322"/>
      <c r="R223" s="322"/>
      <c r="S223" s="322"/>
      <c r="T223" s="322"/>
      <c r="U223" s="322"/>
      <c r="V223" s="322"/>
      <c r="W223" s="322"/>
      <c r="X223" s="322"/>
      <c r="Y223" s="322"/>
      <c r="Z223" s="322"/>
      <c r="AA223" s="322"/>
      <c r="AB223" s="322"/>
    </row>
    <row r="224" ht="15.75" customHeight="1">
      <c r="A224" s="328"/>
      <c r="B224" s="329"/>
      <c r="C224" s="328"/>
      <c r="D224" s="328"/>
      <c r="E224" s="329"/>
      <c r="F224" s="328"/>
      <c r="G224" s="328"/>
      <c r="H224" s="328"/>
      <c r="I224" s="328"/>
      <c r="J224" s="322"/>
      <c r="K224" s="322"/>
      <c r="L224" s="322"/>
      <c r="M224" s="322"/>
      <c r="N224" s="322"/>
      <c r="O224" s="322"/>
      <c r="P224" s="322"/>
      <c r="Q224" s="322"/>
      <c r="R224" s="322"/>
      <c r="S224" s="322"/>
      <c r="T224" s="322"/>
      <c r="U224" s="322"/>
      <c r="V224" s="322"/>
      <c r="W224" s="322"/>
      <c r="X224" s="322"/>
      <c r="Y224" s="322"/>
      <c r="Z224" s="322"/>
      <c r="AA224" s="322"/>
      <c r="AB224" s="322"/>
    </row>
    <row r="225" ht="15.75" customHeight="1">
      <c r="A225" s="328"/>
      <c r="B225" s="329"/>
      <c r="C225" s="328"/>
      <c r="D225" s="328"/>
      <c r="E225" s="329"/>
      <c r="F225" s="328"/>
      <c r="G225" s="328"/>
      <c r="H225" s="328"/>
      <c r="I225" s="328"/>
      <c r="J225" s="322"/>
      <c r="K225" s="322"/>
      <c r="L225" s="322"/>
      <c r="M225" s="322"/>
      <c r="N225" s="322"/>
      <c r="O225" s="322"/>
      <c r="P225" s="322"/>
      <c r="Q225" s="322"/>
      <c r="R225" s="322"/>
      <c r="S225" s="322"/>
      <c r="T225" s="322"/>
      <c r="U225" s="322"/>
      <c r="V225" s="322"/>
      <c r="W225" s="322"/>
      <c r="X225" s="322"/>
      <c r="Y225" s="322"/>
      <c r="Z225" s="322"/>
      <c r="AA225" s="322"/>
      <c r="AB225" s="322"/>
    </row>
    <row r="226" ht="15.75" customHeight="1">
      <c r="A226" s="328"/>
      <c r="B226" s="329"/>
      <c r="C226" s="328"/>
      <c r="D226" s="328"/>
      <c r="E226" s="329"/>
      <c r="F226" s="328"/>
      <c r="G226" s="328"/>
      <c r="H226" s="328"/>
      <c r="I226" s="328"/>
      <c r="J226" s="322"/>
      <c r="K226" s="322"/>
      <c r="L226" s="322"/>
      <c r="M226" s="322"/>
      <c r="N226" s="322"/>
      <c r="O226" s="322"/>
      <c r="P226" s="322"/>
      <c r="Q226" s="322"/>
      <c r="R226" s="322"/>
      <c r="S226" s="322"/>
      <c r="T226" s="322"/>
      <c r="U226" s="322"/>
      <c r="V226" s="322"/>
      <c r="W226" s="322"/>
      <c r="X226" s="322"/>
      <c r="Y226" s="322"/>
      <c r="Z226" s="322"/>
      <c r="AA226" s="322"/>
      <c r="AB226" s="322"/>
    </row>
    <row r="227" ht="15.75" customHeight="1">
      <c r="A227" s="328"/>
      <c r="B227" s="329"/>
      <c r="C227" s="328"/>
      <c r="D227" s="328"/>
      <c r="E227" s="329"/>
      <c r="F227" s="328"/>
      <c r="G227" s="328"/>
      <c r="H227" s="328"/>
      <c r="I227" s="328"/>
      <c r="J227" s="322"/>
      <c r="K227" s="322"/>
      <c r="L227" s="322"/>
      <c r="M227" s="322"/>
      <c r="N227" s="322"/>
      <c r="O227" s="322"/>
      <c r="P227" s="322"/>
      <c r="Q227" s="322"/>
      <c r="R227" s="322"/>
      <c r="S227" s="322"/>
      <c r="T227" s="322"/>
      <c r="U227" s="322"/>
      <c r="V227" s="322"/>
      <c r="W227" s="322"/>
      <c r="X227" s="322"/>
      <c r="Y227" s="322"/>
      <c r="Z227" s="322"/>
      <c r="AA227" s="322"/>
      <c r="AB227" s="322"/>
    </row>
    <row r="228" ht="15.75" customHeight="1">
      <c r="A228" s="328"/>
      <c r="B228" s="329"/>
      <c r="C228" s="328"/>
      <c r="D228" s="328"/>
      <c r="E228" s="329"/>
      <c r="F228" s="328"/>
      <c r="G228" s="328"/>
      <c r="H228" s="328"/>
      <c r="I228" s="328"/>
      <c r="J228" s="322"/>
      <c r="K228" s="322"/>
      <c r="L228" s="322"/>
      <c r="M228" s="322"/>
      <c r="N228" s="322"/>
      <c r="O228" s="322"/>
      <c r="P228" s="322"/>
      <c r="Q228" s="322"/>
      <c r="R228" s="322"/>
      <c r="S228" s="322"/>
      <c r="T228" s="322"/>
      <c r="U228" s="322"/>
      <c r="V228" s="322"/>
      <c r="W228" s="322"/>
      <c r="X228" s="322"/>
      <c r="Y228" s="322"/>
      <c r="Z228" s="322"/>
      <c r="AA228" s="322"/>
      <c r="AB228" s="322"/>
    </row>
    <row r="229" ht="15.75" customHeight="1">
      <c r="A229" s="328"/>
      <c r="B229" s="329"/>
      <c r="C229" s="328"/>
      <c r="D229" s="328"/>
      <c r="E229" s="329"/>
      <c r="F229" s="328"/>
      <c r="G229" s="328"/>
      <c r="H229" s="328"/>
      <c r="I229" s="328"/>
      <c r="J229" s="322"/>
      <c r="K229" s="322"/>
      <c r="L229" s="322"/>
      <c r="M229" s="322"/>
      <c r="N229" s="322"/>
      <c r="O229" s="322"/>
      <c r="P229" s="322"/>
      <c r="Q229" s="322"/>
      <c r="R229" s="322"/>
      <c r="S229" s="322"/>
      <c r="T229" s="322"/>
      <c r="U229" s="322"/>
      <c r="V229" s="322"/>
      <c r="W229" s="322"/>
      <c r="X229" s="322"/>
      <c r="Y229" s="322"/>
      <c r="Z229" s="322"/>
      <c r="AA229" s="322"/>
      <c r="AB229" s="322"/>
    </row>
    <row r="230" ht="15.75" customHeight="1">
      <c r="A230" s="328"/>
      <c r="B230" s="329"/>
      <c r="C230" s="328"/>
      <c r="D230" s="328"/>
      <c r="E230" s="329"/>
      <c r="F230" s="328"/>
      <c r="G230" s="328"/>
      <c r="H230" s="328"/>
      <c r="I230" s="328"/>
      <c r="J230" s="322"/>
      <c r="K230" s="322"/>
      <c r="L230" s="322"/>
      <c r="M230" s="322"/>
      <c r="N230" s="322"/>
      <c r="O230" s="322"/>
      <c r="P230" s="322"/>
      <c r="Q230" s="322"/>
      <c r="R230" s="322"/>
      <c r="S230" s="322"/>
      <c r="T230" s="322"/>
      <c r="U230" s="322"/>
      <c r="V230" s="322"/>
      <c r="W230" s="322"/>
      <c r="X230" s="322"/>
      <c r="Y230" s="322"/>
      <c r="Z230" s="322"/>
      <c r="AA230" s="322"/>
      <c r="AB230" s="322"/>
    </row>
    <row r="231" ht="15.75" customHeight="1">
      <c r="A231" s="328"/>
      <c r="B231" s="329"/>
      <c r="C231" s="328"/>
      <c r="D231" s="328"/>
      <c r="E231" s="329"/>
      <c r="F231" s="328"/>
      <c r="G231" s="328"/>
      <c r="H231" s="328"/>
      <c r="I231" s="328"/>
      <c r="J231" s="322"/>
      <c r="K231" s="322"/>
      <c r="L231" s="322"/>
      <c r="M231" s="322"/>
      <c r="N231" s="322"/>
      <c r="O231" s="322"/>
      <c r="P231" s="322"/>
      <c r="Q231" s="322"/>
      <c r="R231" s="322"/>
      <c r="S231" s="322"/>
      <c r="T231" s="322"/>
      <c r="U231" s="322"/>
      <c r="V231" s="322"/>
      <c r="W231" s="322"/>
      <c r="X231" s="322"/>
      <c r="Y231" s="322"/>
      <c r="Z231" s="322"/>
      <c r="AA231" s="322"/>
      <c r="AB231" s="322"/>
    </row>
    <row r="232" ht="15.75" customHeight="1">
      <c r="A232" s="328"/>
      <c r="B232" s="329"/>
      <c r="C232" s="328"/>
      <c r="D232" s="328"/>
      <c r="E232" s="329"/>
      <c r="F232" s="328"/>
      <c r="G232" s="328"/>
      <c r="H232" s="328"/>
      <c r="I232" s="328"/>
      <c r="J232" s="322"/>
      <c r="K232" s="322"/>
      <c r="L232" s="322"/>
      <c r="M232" s="322"/>
      <c r="N232" s="322"/>
      <c r="O232" s="322"/>
      <c r="P232" s="322"/>
      <c r="Q232" s="322"/>
      <c r="R232" s="322"/>
      <c r="S232" s="322"/>
      <c r="T232" s="322"/>
      <c r="U232" s="322"/>
      <c r="V232" s="322"/>
      <c r="W232" s="322"/>
      <c r="X232" s="322"/>
      <c r="Y232" s="322"/>
      <c r="Z232" s="322"/>
      <c r="AA232" s="322"/>
      <c r="AB232" s="322"/>
    </row>
    <row r="233" ht="15.75" customHeight="1">
      <c r="A233" s="328"/>
      <c r="B233" s="329"/>
      <c r="C233" s="328"/>
      <c r="D233" s="328"/>
      <c r="E233" s="329"/>
      <c r="F233" s="328"/>
      <c r="G233" s="328"/>
      <c r="H233" s="328"/>
      <c r="I233" s="328"/>
      <c r="J233" s="322"/>
      <c r="K233" s="322"/>
      <c r="L233" s="322"/>
      <c r="M233" s="322"/>
      <c r="N233" s="322"/>
      <c r="O233" s="322"/>
      <c r="P233" s="322"/>
      <c r="Q233" s="322"/>
      <c r="R233" s="322"/>
      <c r="S233" s="322"/>
      <c r="T233" s="322"/>
      <c r="U233" s="322"/>
      <c r="V233" s="322"/>
      <c r="W233" s="322"/>
      <c r="X233" s="322"/>
      <c r="Y233" s="322"/>
      <c r="Z233" s="322"/>
      <c r="AA233" s="322"/>
      <c r="AB233" s="322"/>
    </row>
    <row r="234" ht="15.75" customHeight="1">
      <c r="A234" s="328"/>
      <c r="B234" s="329"/>
      <c r="C234" s="328"/>
      <c r="D234" s="328"/>
      <c r="E234" s="329"/>
      <c r="F234" s="328"/>
      <c r="G234" s="328"/>
      <c r="H234" s="328"/>
      <c r="I234" s="328"/>
      <c r="J234" s="322"/>
      <c r="K234" s="322"/>
      <c r="L234" s="322"/>
      <c r="M234" s="322"/>
      <c r="N234" s="322"/>
      <c r="O234" s="322"/>
      <c r="P234" s="322"/>
      <c r="Q234" s="322"/>
      <c r="R234" s="322"/>
      <c r="S234" s="322"/>
      <c r="T234" s="322"/>
      <c r="U234" s="322"/>
      <c r="V234" s="322"/>
      <c r="W234" s="322"/>
      <c r="X234" s="322"/>
      <c r="Y234" s="322"/>
      <c r="Z234" s="322"/>
      <c r="AA234" s="322"/>
      <c r="AB234" s="322"/>
    </row>
    <row r="235" ht="15.75" customHeight="1">
      <c r="A235" s="328"/>
      <c r="B235" s="329"/>
      <c r="C235" s="328"/>
      <c r="D235" s="328"/>
      <c r="E235" s="329"/>
      <c r="F235" s="328"/>
      <c r="G235" s="328"/>
      <c r="H235" s="328"/>
      <c r="I235" s="328"/>
      <c r="J235" s="322"/>
      <c r="K235" s="322"/>
      <c r="L235" s="322"/>
      <c r="M235" s="322"/>
      <c r="N235" s="322"/>
      <c r="O235" s="322"/>
      <c r="P235" s="322"/>
      <c r="Q235" s="322"/>
      <c r="R235" s="322"/>
      <c r="S235" s="322"/>
      <c r="T235" s="322"/>
      <c r="U235" s="322"/>
      <c r="V235" s="322"/>
      <c r="W235" s="322"/>
      <c r="X235" s="322"/>
      <c r="Y235" s="322"/>
      <c r="Z235" s="322"/>
      <c r="AA235" s="322"/>
      <c r="AB235" s="322"/>
    </row>
    <row r="236" ht="15.75" customHeight="1">
      <c r="A236" s="328"/>
      <c r="B236" s="329"/>
      <c r="C236" s="328"/>
      <c r="D236" s="328"/>
      <c r="E236" s="329"/>
      <c r="F236" s="328"/>
      <c r="G236" s="328"/>
      <c r="H236" s="328"/>
      <c r="I236" s="328"/>
      <c r="J236" s="322"/>
      <c r="K236" s="322"/>
      <c r="L236" s="322"/>
      <c r="M236" s="322"/>
      <c r="N236" s="322"/>
      <c r="O236" s="322"/>
      <c r="P236" s="322"/>
      <c r="Q236" s="322"/>
      <c r="R236" s="322"/>
      <c r="S236" s="322"/>
      <c r="T236" s="322"/>
      <c r="U236" s="322"/>
      <c r="V236" s="322"/>
      <c r="W236" s="322"/>
      <c r="X236" s="322"/>
      <c r="Y236" s="322"/>
      <c r="Z236" s="322"/>
      <c r="AA236" s="322"/>
      <c r="AB236" s="322"/>
    </row>
    <row r="237" ht="15.75" customHeight="1">
      <c r="A237" s="328"/>
      <c r="B237" s="329"/>
      <c r="C237" s="328"/>
      <c r="D237" s="328"/>
      <c r="E237" s="329"/>
      <c r="F237" s="328"/>
      <c r="G237" s="328"/>
      <c r="H237" s="328"/>
      <c r="I237" s="328"/>
      <c r="J237" s="322"/>
      <c r="K237" s="322"/>
      <c r="L237" s="322"/>
      <c r="M237" s="322"/>
      <c r="N237" s="322"/>
      <c r="O237" s="322"/>
      <c r="P237" s="322"/>
      <c r="Q237" s="322"/>
      <c r="R237" s="322"/>
      <c r="S237" s="322"/>
      <c r="T237" s="322"/>
      <c r="U237" s="322"/>
      <c r="V237" s="322"/>
      <c r="W237" s="322"/>
      <c r="X237" s="322"/>
      <c r="Y237" s="322"/>
      <c r="Z237" s="322"/>
      <c r="AA237" s="322"/>
      <c r="AB237" s="322"/>
    </row>
    <row r="238" ht="15.75" customHeight="1">
      <c r="A238" s="328"/>
      <c r="B238" s="329"/>
      <c r="C238" s="328"/>
      <c r="D238" s="328"/>
      <c r="E238" s="329"/>
      <c r="F238" s="328"/>
      <c r="G238" s="328"/>
      <c r="H238" s="328"/>
      <c r="I238" s="328"/>
      <c r="J238" s="322"/>
      <c r="K238" s="322"/>
      <c r="L238" s="322"/>
      <c r="M238" s="322"/>
      <c r="N238" s="322"/>
      <c r="O238" s="322"/>
      <c r="P238" s="322"/>
      <c r="Q238" s="322"/>
      <c r="R238" s="322"/>
      <c r="S238" s="322"/>
      <c r="T238" s="322"/>
      <c r="U238" s="322"/>
      <c r="V238" s="322"/>
      <c r="W238" s="322"/>
      <c r="X238" s="322"/>
      <c r="Y238" s="322"/>
      <c r="Z238" s="322"/>
      <c r="AA238" s="322"/>
      <c r="AB238" s="322"/>
    </row>
    <row r="239" ht="15.75" customHeight="1">
      <c r="A239" s="328"/>
      <c r="B239" s="329"/>
      <c r="C239" s="328"/>
      <c r="D239" s="328"/>
      <c r="E239" s="329"/>
      <c r="F239" s="328"/>
      <c r="G239" s="328"/>
      <c r="H239" s="328"/>
      <c r="I239" s="328"/>
      <c r="J239" s="322"/>
      <c r="K239" s="322"/>
      <c r="L239" s="322"/>
      <c r="M239" s="322"/>
      <c r="N239" s="322"/>
      <c r="O239" s="322"/>
      <c r="P239" s="322"/>
      <c r="Q239" s="322"/>
      <c r="R239" s="322"/>
      <c r="S239" s="322"/>
      <c r="T239" s="322"/>
      <c r="U239" s="322"/>
      <c r="V239" s="322"/>
      <c r="W239" s="322"/>
      <c r="X239" s="322"/>
      <c r="Y239" s="322"/>
      <c r="Z239" s="322"/>
      <c r="AA239" s="322"/>
      <c r="AB239" s="322"/>
    </row>
    <row r="240" ht="15.75" customHeight="1">
      <c r="A240" s="328"/>
      <c r="B240" s="329"/>
      <c r="C240" s="328"/>
      <c r="D240" s="328"/>
      <c r="E240" s="329"/>
      <c r="F240" s="328"/>
      <c r="G240" s="328"/>
      <c r="H240" s="328"/>
      <c r="I240" s="328"/>
      <c r="J240" s="322"/>
      <c r="K240" s="322"/>
      <c r="L240" s="322"/>
      <c r="M240" s="322"/>
      <c r="N240" s="322"/>
      <c r="O240" s="322"/>
      <c r="P240" s="322"/>
      <c r="Q240" s="322"/>
      <c r="R240" s="322"/>
      <c r="S240" s="322"/>
      <c r="T240" s="322"/>
      <c r="U240" s="322"/>
      <c r="V240" s="322"/>
      <c r="W240" s="322"/>
      <c r="X240" s="322"/>
      <c r="Y240" s="322"/>
      <c r="Z240" s="322"/>
      <c r="AA240" s="322"/>
      <c r="AB240" s="322"/>
    </row>
    <row r="241" ht="15.75" customHeight="1">
      <c r="A241" s="328"/>
      <c r="B241" s="329"/>
      <c r="C241" s="328"/>
      <c r="D241" s="328"/>
      <c r="E241" s="329"/>
      <c r="F241" s="328"/>
      <c r="G241" s="328"/>
      <c r="H241" s="328"/>
      <c r="I241" s="328"/>
      <c r="J241" s="322"/>
      <c r="K241" s="322"/>
      <c r="L241" s="322"/>
      <c r="M241" s="322"/>
      <c r="N241" s="322"/>
      <c r="O241" s="322"/>
      <c r="P241" s="322"/>
      <c r="Q241" s="322"/>
      <c r="R241" s="322"/>
      <c r="S241" s="322"/>
      <c r="T241" s="322"/>
      <c r="U241" s="322"/>
      <c r="V241" s="322"/>
      <c r="W241" s="322"/>
      <c r="X241" s="322"/>
      <c r="Y241" s="322"/>
      <c r="Z241" s="322"/>
      <c r="AA241" s="322"/>
      <c r="AB241" s="322"/>
    </row>
    <row r="242" ht="15.75" customHeight="1">
      <c r="A242" s="328"/>
      <c r="B242" s="329"/>
      <c r="C242" s="328"/>
      <c r="D242" s="328"/>
      <c r="E242" s="329"/>
      <c r="F242" s="328"/>
      <c r="G242" s="328"/>
      <c r="H242" s="328"/>
      <c r="I242" s="328"/>
      <c r="J242" s="322"/>
      <c r="K242" s="322"/>
      <c r="L242" s="322"/>
      <c r="M242" s="322"/>
      <c r="N242" s="322"/>
      <c r="O242" s="322"/>
      <c r="P242" s="322"/>
      <c r="Q242" s="322"/>
      <c r="R242" s="322"/>
      <c r="S242" s="322"/>
      <c r="T242" s="322"/>
      <c r="U242" s="322"/>
      <c r="V242" s="322"/>
      <c r="W242" s="322"/>
      <c r="X242" s="322"/>
      <c r="Y242" s="322"/>
      <c r="Z242" s="322"/>
      <c r="AA242" s="322"/>
      <c r="AB242" s="322"/>
    </row>
    <row r="243" ht="15.75" customHeight="1">
      <c r="A243" s="328"/>
      <c r="B243" s="329"/>
      <c r="C243" s="328"/>
      <c r="D243" s="328"/>
      <c r="E243" s="329"/>
      <c r="F243" s="328"/>
      <c r="G243" s="328"/>
      <c r="H243" s="328"/>
      <c r="I243" s="328"/>
      <c r="J243" s="322"/>
      <c r="K243" s="322"/>
      <c r="L243" s="322"/>
      <c r="M243" s="322"/>
      <c r="N243" s="322"/>
      <c r="O243" s="322"/>
      <c r="P243" s="322"/>
      <c r="Q243" s="322"/>
      <c r="R243" s="322"/>
      <c r="S243" s="322"/>
      <c r="T243" s="322"/>
      <c r="U243" s="322"/>
      <c r="V243" s="322"/>
      <c r="W243" s="322"/>
      <c r="X243" s="322"/>
      <c r="Y243" s="322"/>
      <c r="Z243" s="322"/>
      <c r="AA243" s="322"/>
      <c r="AB243" s="322"/>
    </row>
    <row r="244" ht="15.75" customHeight="1">
      <c r="A244" s="328"/>
      <c r="B244" s="329"/>
      <c r="C244" s="328"/>
      <c r="D244" s="328"/>
      <c r="E244" s="329"/>
      <c r="F244" s="328"/>
      <c r="G244" s="328"/>
      <c r="H244" s="328"/>
      <c r="I244" s="328"/>
      <c r="J244" s="322"/>
      <c r="K244" s="322"/>
      <c r="L244" s="322"/>
      <c r="M244" s="322"/>
      <c r="N244" s="322"/>
      <c r="O244" s="322"/>
      <c r="P244" s="322"/>
      <c r="Q244" s="322"/>
      <c r="R244" s="322"/>
      <c r="S244" s="322"/>
      <c r="T244" s="322"/>
      <c r="U244" s="322"/>
      <c r="V244" s="322"/>
      <c r="W244" s="322"/>
      <c r="X244" s="322"/>
      <c r="Y244" s="322"/>
      <c r="Z244" s="322"/>
      <c r="AA244" s="322"/>
      <c r="AB244" s="322"/>
    </row>
    <row r="245" ht="15.75" customHeight="1">
      <c r="A245" s="328"/>
      <c r="B245" s="329"/>
      <c r="C245" s="328"/>
      <c r="D245" s="328"/>
      <c r="E245" s="329"/>
      <c r="F245" s="328"/>
      <c r="G245" s="328"/>
      <c r="H245" s="328"/>
      <c r="I245" s="328"/>
      <c r="J245" s="322"/>
      <c r="K245" s="322"/>
      <c r="L245" s="322"/>
      <c r="M245" s="322"/>
      <c r="N245" s="322"/>
      <c r="O245" s="322"/>
      <c r="P245" s="322"/>
      <c r="Q245" s="322"/>
      <c r="R245" s="322"/>
      <c r="S245" s="322"/>
      <c r="T245" s="322"/>
      <c r="U245" s="322"/>
      <c r="V245" s="322"/>
      <c r="W245" s="322"/>
      <c r="X245" s="322"/>
      <c r="Y245" s="322"/>
      <c r="Z245" s="322"/>
      <c r="AA245" s="322"/>
      <c r="AB245" s="322"/>
    </row>
    <row r="246" ht="15.75" customHeight="1">
      <c r="A246" s="328"/>
      <c r="B246" s="329"/>
      <c r="C246" s="328"/>
      <c r="D246" s="328"/>
      <c r="E246" s="329"/>
      <c r="F246" s="328"/>
      <c r="G246" s="328"/>
      <c r="H246" s="328"/>
      <c r="I246" s="328"/>
      <c r="J246" s="322"/>
      <c r="K246" s="322"/>
      <c r="L246" s="322"/>
      <c r="M246" s="322"/>
      <c r="N246" s="322"/>
      <c r="O246" s="322"/>
      <c r="P246" s="322"/>
      <c r="Q246" s="322"/>
      <c r="R246" s="322"/>
      <c r="S246" s="322"/>
      <c r="T246" s="322"/>
      <c r="U246" s="322"/>
      <c r="V246" s="322"/>
      <c r="W246" s="322"/>
      <c r="X246" s="322"/>
      <c r="Y246" s="322"/>
      <c r="Z246" s="322"/>
      <c r="AA246" s="322"/>
      <c r="AB246" s="322"/>
    </row>
    <row r="247" ht="15.75" customHeight="1">
      <c r="A247" s="328"/>
      <c r="B247" s="329"/>
      <c r="C247" s="328"/>
      <c r="D247" s="328"/>
      <c r="E247" s="329"/>
      <c r="F247" s="328"/>
      <c r="G247" s="328"/>
      <c r="H247" s="328"/>
      <c r="I247" s="328"/>
      <c r="J247" s="322"/>
      <c r="K247" s="322"/>
      <c r="L247" s="322"/>
      <c r="M247" s="322"/>
      <c r="N247" s="322"/>
      <c r="O247" s="322"/>
      <c r="P247" s="322"/>
      <c r="Q247" s="322"/>
      <c r="R247" s="322"/>
      <c r="S247" s="322"/>
      <c r="T247" s="322"/>
      <c r="U247" s="322"/>
      <c r="V247" s="322"/>
      <c r="W247" s="322"/>
      <c r="X247" s="322"/>
      <c r="Y247" s="322"/>
      <c r="Z247" s="322"/>
      <c r="AA247" s="322"/>
      <c r="AB247" s="322"/>
    </row>
    <row r="248" ht="15.75" customHeight="1">
      <c r="A248" s="328"/>
      <c r="B248" s="329"/>
      <c r="C248" s="328"/>
      <c r="D248" s="328"/>
      <c r="E248" s="329"/>
      <c r="F248" s="328"/>
      <c r="G248" s="328"/>
      <c r="H248" s="328"/>
      <c r="I248" s="328"/>
      <c r="J248" s="322"/>
      <c r="K248" s="322"/>
      <c r="L248" s="322"/>
      <c r="M248" s="322"/>
      <c r="N248" s="322"/>
      <c r="O248" s="322"/>
      <c r="P248" s="322"/>
      <c r="Q248" s="322"/>
      <c r="R248" s="322"/>
      <c r="S248" s="322"/>
      <c r="T248" s="322"/>
      <c r="U248" s="322"/>
      <c r="V248" s="322"/>
      <c r="W248" s="322"/>
      <c r="X248" s="322"/>
      <c r="Y248" s="322"/>
      <c r="Z248" s="322"/>
      <c r="AA248" s="322"/>
      <c r="AB248" s="322"/>
    </row>
    <row r="249" ht="15.75" customHeight="1">
      <c r="A249" s="328"/>
      <c r="B249" s="329"/>
      <c r="C249" s="328"/>
      <c r="D249" s="328"/>
      <c r="E249" s="329"/>
      <c r="F249" s="328"/>
      <c r="G249" s="328"/>
      <c r="H249" s="328"/>
      <c r="I249" s="328"/>
      <c r="J249" s="322"/>
      <c r="K249" s="322"/>
      <c r="L249" s="322"/>
      <c r="M249" s="322"/>
      <c r="N249" s="322"/>
      <c r="O249" s="322"/>
      <c r="P249" s="322"/>
      <c r="Q249" s="322"/>
      <c r="R249" s="322"/>
      <c r="S249" s="322"/>
      <c r="T249" s="322"/>
      <c r="U249" s="322"/>
      <c r="V249" s="322"/>
      <c r="W249" s="322"/>
      <c r="X249" s="322"/>
      <c r="Y249" s="322"/>
      <c r="Z249" s="322"/>
      <c r="AA249" s="322"/>
      <c r="AB249" s="322"/>
    </row>
    <row r="250" ht="15.75" customHeight="1">
      <c r="A250" s="328"/>
      <c r="B250" s="329"/>
      <c r="C250" s="328"/>
      <c r="D250" s="328"/>
      <c r="E250" s="329"/>
      <c r="F250" s="328"/>
      <c r="G250" s="328"/>
      <c r="H250" s="328"/>
      <c r="I250" s="328"/>
      <c r="J250" s="322"/>
      <c r="K250" s="322"/>
      <c r="L250" s="322"/>
      <c r="M250" s="322"/>
      <c r="N250" s="322"/>
      <c r="O250" s="322"/>
      <c r="P250" s="322"/>
      <c r="Q250" s="322"/>
      <c r="R250" s="322"/>
      <c r="S250" s="322"/>
      <c r="T250" s="322"/>
      <c r="U250" s="322"/>
      <c r="V250" s="322"/>
      <c r="W250" s="322"/>
      <c r="X250" s="322"/>
      <c r="Y250" s="322"/>
      <c r="Z250" s="322"/>
      <c r="AA250" s="322"/>
      <c r="AB250" s="322"/>
    </row>
    <row r="251" ht="15.75" customHeight="1">
      <c r="A251" s="328"/>
      <c r="B251" s="329"/>
      <c r="C251" s="328"/>
      <c r="D251" s="328"/>
      <c r="E251" s="329"/>
      <c r="F251" s="328"/>
      <c r="G251" s="328"/>
      <c r="H251" s="328"/>
      <c r="I251" s="328"/>
      <c r="J251" s="322"/>
      <c r="K251" s="322"/>
      <c r="L251" s="322"/>
      <c r="M251" s="322"/>
      <c r="N251" s="322"/>
      <c r="O251" s="322"/>
      <c r="P251" s="322"/>
      <c r="Q251" s="322"/>
      <c r="R251" s="322"/>
      <c r="S251" s="322"/>
      <c r="T251" s="322"/>
      <c r="U251" s="322"/>
      <c r="V251" s="322"/>
      <c r="W251" s="322"/>
      <c r="X251" s="322"/>
      <c r="Y251" s="322"/>
      <c r="Z251" s="322"/>
      <c r="AA251" s="322"/>
      <c r="AB251" s="322"/>
    </row>
    <row r="252" ht="15.75" customHeight="1">
      <c r="A252" s="328"/>
      <c r="B252" s="329"/>
      <c r="C252" s="328"/>
      <c r="D252" s="328"/>
      <c r="E252" s="329"/>
      <c r="F252" s="328"/>
      <c r="G252" s="328"/>
      <c r="H252" s="328"/>
      <c r="I252" s="328"/>
      <c r="J252" s="322"/>
      <c r="K252" s="322"/>
      <c r="L252" s="322"/>
      <c r="M252" s="322"/>
      <c r="N252" s="322"/>
      <c r="O252" s="322"/>
      <c r="P252" s="322"/>
      <c r="Q252" s="322"/>
      <c r="R252" s="322"/>
      <c r="S252" s="322"/>
      <c r="T252" s="322"/>
      <c r="U252" s="322"/>
      <c r="V252" s="322"/>
      <c r="W252" s="322"/>
      <c r="X252" s="322"/>
      <c r="Y252" s="322"/>
      <c r="Z252" s="322"/>
      <c r="AA252" s="322"/>
      <c r="AB252" s="322"/>
    </row>
    <row r="253" ht="15.75" customHeight="1">
      <c r="A253" s="328"/>
      <c r="B253" s="329"/>
      <c r="C253" s="328"/>
      <c r="D253" s="328"/>
      <c r="E253" s="329"/>
      <c r="F253" s="328"/>
      <c r="G253" s="328"/>
      <c r="H253" s="328"/>
      <c r="I253" s="328"/>
      <c r="J253" s="322"/>
      <c r="K253" s="322"/>
      <c r="L253" s="322"/>
      <c r="M253" s="322"/>
      <c r="N253" s="322"/>
      <c r="O253" s="322"/>
      <c r="P253" s="322"/>
      <c r="Q253" s="322"/>
      <c r="R253" s="322"/>
      <c r="S253" s="322"/>
      <c r="T253" s="322"/>
      <c r="U253" s="322"/>
      <c r="V253" s="322"/>
      <c r="W253" s="322"/>
      <c r="X253" s="322"/>
      <c r="Y253" s="322"/>
      <c r="Z253" s="322"/>
      <c r="AA253" s="322"/>
      <c r="AB253" s="322"/>
    </row>
    <row r="254" ht="15.75" customHeight="1">
      <c r="A254" s="328"/>
      <c r="B254" s="329"/>
      <c r="C254" s="328"/>
      <c r="D254" s="328"/>
      <c r="E254" s="329"/>
      <c r="F254" s="328"/>
      <c r="G254" s="328"/>
      <c r="H254" s="328"/>
      <c r="I254" s="328"/>
      <c r="J254" s="322"/>
      <c r="K254" s="322"/>
      <c r="L254" s="322"/>
      <c r="M254" s="322"/>
      <c r="N254" s="322"/>
      <c r="O254" s="322"/>
      <c r="P254" s="322"/>
      <c r="Q254" s="322"/>
      <c r="R254" s="322"/>
      <c r="S254" s="322"/>
      <c r="T254" s="322"/>
      <c r="U254" s="322"/>
      <c r="V254" s="322"/>
      <c r="W254" s="322"/>
      <c r="X254" s="322"/>
      <c r="Y254" s="322"/>
      <c r="Z254" s="322"/>
      <c r="AA254" s="322"/>
      <c r="AB254" s="322"/>
    </row>
    <row r="255" ht="15.75" customHeight="1">
      <c r="A255" s="328"/>
      <c r="B255" s="329"/>
      <c r="C255" s="328"/>
      <c r="D255" s="328"/>
      <c r="E255" s="329"/>
      <c r="F255" s="328"/>
      <c r="G255" s="328"/>
      <c r="H255" s="328"/>
      <c r="I255" s="328"/>
      <c r="J255" s="322"/>
      <c r="K255" s="322"/>
      <c r="L255" s="322"/>
      <c r="M255" s="322"/>
      <c r="N255" s="322"/>
      <c r="O255" s="322"/>
      <c r="P255" s="322"/>
      <c r="Q255" s="322"/>
      <c r="R255" s="322"/>
      <c r="S255" s="322"/>
      <c r="T255" s="322"/>
      <c r="U255" s="322"/>
      <c r="V255" s="322"/>
      <c r="W255" s="322"/>
      <c r="X255" s="322"/>
      <c r="Y255" s="322"/>
      <c r="Z255" s="322"/>
      <c r="AA255" s="322"/>
      <c r="AB255" s="322"/>
    </row>
    <row r="256" ht="15.75" customHeight="1">
      <c r="A256" s="328"/>
      <c r="B256" s="329"/>
      <c r="C256" s="328"/>
      <c r="D256" s="328"/>
      <c r="E256" s="329"/>
      <c r="F256" s="328"/>
      <c r="G256" s="328"/>
      <c r="H256" s="328"/>
      <c r="I256" s="328"/>
      <c r="J256" s="322"/>
      <c r="K256" s="322"/>
      <c r="L256" s="322"/>
      <c r="M256" s="322"/>
      <c r="N256" s="322"/>
      <c r="O256" s="322"/>
      <c r="P256" s="322"/>
      <c r="Q256" s="322"/>
      <c r="R256" s="322"/>
      <c r="S256" s="322"/>
      <c r="T256" s="322"/>
      <c r="U256" s="322"/>
      <c r="V256" s="322"/>
      <c r="W256" s="322"/>
      <c r="X256" s="322"/>
      <c r="Y256" s="322"/>
      <c r="Z256" s="322"/>
      <c r="AA256" s="322"/>
      <c r="AB256" s="322"/>
    </row>
    <row r="257" ht="15.75" customHeight="1">
      <c r="A257" s="328"/>
      <c r="B257" s="329"/>
      <c r="C257" s="328"/>
      <c r="D257" s="328"/>
      <c r="E257" s="329"/>
      <c r="F257" s="328"/>
      <c r="G257" s="328"/>
      <c r="H257" s="328"/>
      <c r="I257" s="328"/>
      <c r="J257" s="322"/>
      <c r="K257" s="322"/>
      <c r="L257" s="322"/>
      <c r="M257" s="322"/>
      <c r="N257" s="322"/>
      <c r="O257" s="322"/>
      <c r="P257" s="322"/>
      <c r="Q257" s="322"/>
      <c r="R257" s="322"/>
      <c r="S257" s="322"/>
      <c r="T257" s="322"/>
      <c r="U257" s="322"/>
      <c r="V257" s="322"/>
      <c r="W257" s="322"/>
      <c r="X257" s="322"/>
      <c r="Y257" s="322"/>
      <c r="Z257" s="322"/>
      <c r="AA257" s="322"/>
      <c r="AB257" s="322"/>
    </row>
    <row r="258" ht="15.75" customHeight="1">
      <c r="A258" s="328"/>
      <c r="B258" s="329"/>
      <c r="C258" s="328"/>
      <c r="D258" s="328"/>
      <c r="E258" s="329"/>
      <c r="F258" s="328"/>
      <c r="G258" s="328"/>
      <c r="H258" s="328"/>
      <c r="I258" s="328"/>
      <c r="J258" s="322"/>
      <c r="K258" s="322"/>
      <c r="L258" s="322"/>
      <c r="M258" s="322"/>
      <c r="N258" s="322"/>
      <c r="O258" s="322"/>
      <c r="P258" s="322"/>
      <c r="Q258" s="322"/>
      <c r="R258" s="322"/>
      <c r="S258" s="322"/>
      <c r="T258" s="322"/>
      <c r="U258" s="322"/>
      <c r="V258" s="322"/>
      <c r="W258" s="322"/>
      <c r="X258" s="322"/>
      <c r="Y258" s="322"/>
      <c r="Z258" s="322"/>
      <c r="AA258" s="322"/>
      <c r="AB258" s="322"/>
    </row>
    <row r="259" ht="15.75" customHeight="1">
      <c r="A259" s="328"/>
      <c r="B259" s="329"/>
      <c r="C259" s="328"/>
      <c r="D259" s="328"/>
      <c r="E259" s="329"/>
      <c r="F259" s="328"/>
      <c r="G259" s="328"/>
      <c r="H259" s="328"/>
      <c r="I259" s="328"/>
      <c r="J259" s="322"/>
      <c r="K259" s="322"/>
      <c r="L259" s="322"/>
      <c r="M259" s="322"/>
      <c r="N259" s="322"/>
      <c r="O259" s="322"/>
      <c r="P259" s="322"/>
      <c r="Q259" s="322"/>
      <c r="R259" s="322"/>
      <c r="S259" s="322"/>
      <c r="T259" s="322"/>
      <c r="U259" s="322"/>
      <c r="V259" s="322"/>
      <c r="W259" s="322"/>
      <c r="X259" s="322"/>
      <c r="Y259" s="322"/>
      <c r="Z259" s="322"/>
      <c r="AA259" s="322"/>
      <c r="AB259" s="322"/>
    </row>
    <row r="260" ht="15.75" customHeight="1">
      <c r="A260" s="328"/>
      <c r="B260" s="329"/>
      <c r="C260" s="328"/>
      <c r="D260" s="328"/>
      <c r="E260" s="329"/>
      <c r="F260" s="328"/>
      <c r="G260" s="328"/>
      <c r="H260" s="328"/>
      <c r="I260" s="328"/>
      <c r="J260" s="322"/>
      <c r="K260" s="322"/>
      <c r="L260" s="322"/>
      <c r="M260" s="322"/>
      <c r="N260" s="322"/>
      <c r="O260" s="322"/>
      <c r="P260" s="322"/>
      <c r="Q260" s="322"/>
      <c r="R260" s="322"/>
      <c r="S260" s="322"/>
      <c r="T260" s="322"/>
      <c r="U260" s="322"/>
      <c r="V260" s="322"/>
      <c r="W260" s="322"/>
      <c r="X260" s="322"/>
      <c r="Y260" s="322"/>
      <c r="Z260" s="322"/>
      <c r="AA260" s="322"/>
      <c r="AB260" s="322"/>
    </row>
    <row r="261" ht="15.75" customHeight="1">
      <c r="A261" s="328"/>
      <c r="B261" s="329"/>
      <c r="C261" s="328"/>
      <c r="D261" s="328"/>
      <c r="E261" s="329"/>
      <c r="F261" s="328"/>
      <c r="G261" s="328"/>
      <c r="H261" s="328"/>
      <c r="I261" s="328"/>
      <c r="J261" s="322"/>
      <c r="K261" s="322"/>
      <c r="L261" s="322"/>
      <c r="M261" s="322"/>
      <c r="N261" s="322"/>
      <c r="O261" s="322"/>
      <c r="P261" s="322"/>
      <c r="Q261" s="322"/>
      <c r="R261" s="322"/>
      <c r="S261" s="322"/>
      <c r="T261" s="322"/>
      <c r="U261" s="322"/>
      <c r="V261" s="322"/>
      <c r="W261" s="322"/>
      <c r="X261" s="322"/>
      <c r="Y261" s="322"/>
      <c r="Z261" s="322"/>
      <c r="AA261" s="322"/>
      <c r="AB261" s="322"/>
    </row>
    <row r="262" ht="15.75" customHeight="1">
      <c r="A262" s="328"/>
      <c r="B262" s="329"/>
      <c r="C262" s="328"/>
      <c r="D262" s="328"/>
      <c r="E262" s="329"/>
      <c r="F262" s="328"/>
      <c r="G262" s="328"/>
      <c r="H262" s="328"/>
      <c r="I262" s="328"/>
      <c r="J262" s="322"/>
      <c r="K262" s="322"/>
      <c r="L262" s="322"/>
      <c r="M262" s="322"/>
      <c r="N262" s="322"/>
      <c r="O262" s="322"/>
      <c r="P262" s="322"/>
      <c r="Q262" s="322"/>
      <c r="R262" s="322"/>
      <c r="S262" s="322"/>
      <c r="T262" s="322"/>
      <c r="U262" s="322"/>
      <c r="V262" s="322"/>
      <c r="W262" s="322"/>
      <c r="X262" s="322"/>
      <c r="Y262" s="322"/>
      <c r="Z262" s="322"/>
      <c r="AA262" s="322"/>
      <c r="AB262" s="322"/>
    </row>
    <row r="263" ht="15.75" customHeight="1">
      <c r="A263" s="328"/>
      <c r="B263" s="329"/>
      <c r="C263" s="328"/>
      <c r="D263" s="328"/>
      <c r="E263" s="329"/>
      <c r="F263" s="328"/>
      <c r="G263" s="328"/>
      <c r="H263" s="328"/>
      <c r="I263" s="328"/>
      <c r="J263" s="322"/>
      <c r="K263" s="322"/>
      <c r="L263" s="322"/>
      <c r="M263" s="322"/>
      <c r="N263" s="322"/>
      <c r="O263" s="322"/>
      <c r="P263" s="322"/>
      <c r="Q263" s="322"/>
      <c r="R263" s="322"/>
      <c r="S263" s="322"/>
      <c r="T263" s="322"/>
      <c r="U263" s="322"/>
      <c r="V263" s="322"/>
      <c r="W263" s="322"/>
      <c r="X263" s="322"/>
      <c r="Y263" s="322"/>
      <c r="Z263" s="322"/>
      <c r="AA263" s="322"/>
      <c r="AB263" s="322"/>
    </row>
    <row r="264" ht="15.75" customHeight="1">
      <c r="A264" s="328"/>
      <c r="B264" s="329"/>
      <c r="C264" s="328"/>
      <c r="D264" s="328"/>
      <c r="E264" s="329"/>
      <c r="F264" s="328"/>
      <c r="G264" s="328"/>
      <c r="H264" s="328"/>
      <c r="I264" s="328"/>
      <c r="J264" s="322"/>
      <c r="K264" s="322"/>
      <c r="L264" s="322"/>
      <c r="M264" s="322"/>
      <c r="N264" s="322"/>
      <c r="O264" s="322"/>
      <c r="P264" s="322"/>
      <c r="Q264" s="322"/>
      <c r="R264" s="322"/>
      <c r="S264" s="322"/>
      <c r="T264" s="322"/>
      <c r="U264" s="322"/>
      <c r="V264" s="322"/>
      <c r="W264" s="322"/>
      <c r="X264" s="322"/>
      <c r="Y264" s="322"/>
      <c r="Z264" s="322"/>
      <c r="AA264" s="322"/>
      <c r="AB264" s="322"/>
    </row>
    <row r="265" ht="15.75" customHeight="1">
      <c r="A265" s="328"/>
      <c r="B265" s="329"/>
      <c r="C265" s="328"/>
      <c r="D265" s="328"/>
      <c r="E265" s="329"/>
      <c r="F265" s="328"/>
      <c r="G265" s="328"/>
      <c r="H265" s="328"/>
      <c r="I265" s="328"/>
      <c r="J265" s="322"/>
      <c r="K265" s="322"/>
      <c r="L265" s="322"/>
      <c r="M265" s="322"/>
      <c r="N265" s="322"/>
      <c r="O265" s="322"/>
      <c r="P265" s="322"/>
      <c r="Q265" s="322"/>
      <c r="R265" s="322"/>
      <c r="S265" s="322"/>
      <c r="T265" s="322"/>
      <c r="U265" s="322"/>
      <c r="V265" s="322"/>
      <c r="W265" s="322"/>
      <c r="X265" s="322"/>
      <c r="Y265" s="322"/>
      <c r="Z265" s="322"/>
      <c r="AA265" s="322"/>
      <c r="AB265" s="322"/>
    </row>
    <row r="266" ht="15.75" customHeight="1">
      <c r="A266" s="328"/>
      <c r="B266" s="329"/>
      <c r="C266" s="328"/>
      <c r="D266" s="328"/>
      <c r="E266" s="329"/>
      <c r="F266" s="328"/>
      <c r="G266" s="328"/>
      <c r="H266" s="328"/>
      <c r="I266" s="328"/>
      <c r="J266" s="322"/>
      <c r="K266" s="322"/>
      <c r="L266" s="322"/>
      <c r="M266" s="322"/>
      <c r="N266" s="322"/>
      <c r="O266" s="322"/>
      <c r="P266" s="322"/>
      <c r="Q266" s="322"/>
      <c r="R266" s="322"/>
      <c r="S266" s="322"/>
      <c r="T266" s="322"/>
      <c r="U266" s="322"/>
      <c r="V266" s="322"/>
      <c r="W266" s="322"/>
      <c r="X266" s="322"/>
      <c r="Y266" s="322"/>
      <c r="Z266" s="322"/>
      <c r="AA266" s="322"/>
      <c r="AB266" s="322"/>
    </row>
    <row r="267" ht="15.75" customHeight="1">
      <c r="A267" s="328"/>
      <c r="B267" s="329"/>
      <c r="C267" s="328"/>
      <c r="D267" s="328"/>
      <c r="E267" s="329"/>
      <c r="F267" s="328"/>
      <c r="G267" s="328"/>
      <c r="H267" s="328"/>
      <c r="I267" s="328"/>
      <c r="J267" s="322"/>
      <c r="K267" s="322"/>
      <c r="L267" s="322"/>
      <c r="M267" s="322"/>
      <c r="N267" s="322"/>
      <c r="O267" s="322"/>
      <c r="P267" s="322"/>
      <c r="Q267" s="322"/>
      <c r="R267" s="322"/>
      <c r="S267" s="322"/>
      <c r="T267" s="322"/>
      <c r="U267" s="322"/>
      <c r="V267" s="322"/>
      <c r="W267" s="322"/>
      <c r="X267" s="322"/>
      <c r="Y267" s="322"/>
      <c r="Z267" s="322"/>
      <c r="AA267" s="322"/>
      <c r="AB267" s="322"/>
    </row>
    <row r="268" ht="15.75" customHeight="1">
      <c r="A268" s="328"/>
      <c r="B268" s="329"/>
      <c r="C268" s="328"/>
      <c r="D268" s="328"/>
      <c r="E268" s="329"/>
      <c r="F268" s="328"/>
      <c r="G268" s="328"/>
      <c r="H268" s="328"/>
      <c r="I268" s="328"/>
      <c r="J268" s="322"/>
      <c r="K268" s="322"/>
      <c r="L268" s="322"/>
      <c r="M268" s="322"/>
      <c r="N268" s="322"/>
      <c r="O268" s="322"/>
      <c r="P268" s="322"/>
      <c r="Q268" s="322"/>
      <c r="R268" s="322"/>
      <c r="S268" s="322"/>
      <c r="T268" s="322"/>
      <c r="U268" s="322"/>
      <c r="V268" s="322"/>
      <c r="W268" s="322"/>
      <c r="X268" s="322"/>
      <c r="Y268" s="322"/>
      <c r="Z268" s="322"/>
      <c r="AA268" s="322"/>
      <c r="AB268" s="322"/>
    </row>
    <row r="269" ht="15.75" customHeight="1">
      <c r="A269" s="328"/>
      <c r="B269" s="329"/>
      <c r="C269" s="328"/>
      <c r="D269" s="328"/>
      <c r="E269" s="329"/>
      <c r="F269" s="328"/>
      <c r="G269" s="328"/>
      <c r="H269" s="328"/>
      <c r="I269" s="328"/>
      <c r="J269" s="322"/>
      <c r="K269" s="322"/>
      <c r="L269" s="322"/>
      <c r="M269" s="322"/>
      <c r="N269" s="322"/>
      <c r="O269" s="322"/>
      <c r="P269" s="322"/>
      <c r="Q269" s="322"/>
      <c r="R269" s="322"/>
      <c r="S269" s="322"/>
      <c r="T269" s="322"/>
      <c r="U269" s="322"/>
      <c r="V269" s="322"/>
      <c r="W269" s="322"/>
      <c r="X269" s="322"/>
      <c r="Y269" s="322"/>
      <c r="Z269" s="322"/>
      <c r="AA269" s="322"/>
      <c r="AB269" s="322"/>
    </row>
    <row r="270" ht="15.75" customHeight="1">
      <c r="A270" s="328"/>
      <c r="B270" s="329"/>
      <c r="C270" s="328"/>
      <c r="D270" s="328"/>
      <c r="E270" s="329"/>
      <c r="F270" s="328"/>
      <c r="G270" s="328"/>
      <c r="H270" s="328"/>
      <c r="I270" s="328"/>
      <c r="J270" s="322"/>
      <c r="K270" s="322"/>
      <c r="L270" s="322"/>
      <c r="M270" s="322"/>
      <c r="N270" s="322"/>
      <c r="O270" s="322"/>
      <c r="P270" s="322"/>
      <c r="Q270" s="322"/>
      <c r="R270" s="322"/>
      <c r="S270" s="322"/>
      <c r="T270" s="322"/>
      <c r="U270" s="322"/>
      <c r="V270" s="322"/>
      <c r="W270" s="322"/>
      <c r="X270" s="322"/>
      <c r="Y270" s="322"/>
      <c r="Z270" s="322"/>
      <c r="AA270" s="322"/>
      <c r="AB270" s="322"/>
    </row>
    <row r="271" ht="15.75" customHeight="1">
      <c r="A271" s="328"/>
      <c r="B271" s="329"/>
      <c r="C271" s="328"/>
      <c r="D271" s="328"/>
      <c r="E271" s="329"/>
      <c r="F271" s="328"/>
      <c r="G271" s="328"/>
      <c r="H271" s="328"/>
      <c r="I271" s="328"/>
      <c r="J271" s="322"/>
      <c r="K271" s="322"/>
      <c r="L271" s="322"/>
      <c r="M271" s="322"/>
      <c r="N271" s="322"/>
      <c r="O271" s="322"/>
      <c r="P271" s="322"/>
      <c r="Q271" s="322"/>
      <c r="R271" s="322"/>
      <c r="S271" s="322"/>
      <c r="T271" s="322"/>
      <c r="U271" s="322"/>
      <c r="V271" s="322"/>
      <c r="W271" s="322"/>
      <c r="X271" s="322"/>
      <c r="Y271" s="322"/>
      <c r="Z271" s="322"/>
      <c r="AA271" s="322"/>
      <c r="AB271" s="322"/>
    </row>
    <row r="272" ht="15.75" customHeight="1">
      <c r="A272" s="328"/>
      <c r="B272" s="329"/>
      <c r="C272" s="328"/>
      <c r="D272" s="328"/>
      <c r="E272" s="329"/>
      <c r="F272" s="328"/>
      <c r="G272" s="328"/>
      <c r="H272" s="328"/>
      <c r="I272" s="328"/>
      <c r="J272" s="322"/>
      <c r="K272" s="322"/>
      <c r="L272" s="322"/>
      <c r="M272" s="322"/>
      <c r="N272" s="322"/>
      <c r="O272" s="322"/>
      <c r="P272" s="322"/>
      <c r="Q272" s="322"/>
      <c r="R272" s="322"/>
      <c r="S272" s="322"/>
      <c r="T272" s="322"/>
      <c r="U272" s="322"/>
      <c r="V272" s="322"/>
      <c r="W272" s="322"/>
      <c r="X272" s="322"/>
      <c r="Y272" s="322"/>
      <c r="Z272" s="322"/>
      <c r="AA272" s="322"/>
      <c r="AB272" s="322"/>
    </row>
    <row r="273" ht="15.75" customHeight="1">
      <c r="A273" s="328"/>
      <c r="B273" s="329"/>
      <c r="C273" s="328"/>
      <c r="D273" s="328"/>
      <c r="E273" s="329"/>
      <c r="F273" s="328"/>
      <c r="G273" s="328"/>
      <c r="H273" s="328"/>
      <c r="I273" s="328"/>
      <c r="J273" s="322"/>
      <c r="K273" s="322"/>
      <c r="L273" s="322"/>
      <c r="M273" s="322"/>
      <c r="N273" s="322"/>
      <c r="O273" s="322"/>
      <c r="P273" s="322"/>
      <c r="Q273" s="322"/>
      <c r="R273" s="322"/>
      <c r="S273" s="322"/>
      <c r="T273" s="322"/>
      <c r="U273" s="322"/>
      <c r="V273" s="322"/>
      <c r="W273" s="322"/>
      <c r="X273" s="322"/>
      <c r="Y273" s="322"/>
      <c r="Z273" s="322"/>
      <c r="AA273" s="322"/>
      <c r="AB273" s="322"/>
    </row>
    <row r="274" ht="15.75" customHeight="1">
      <c r="A274" s="328"/>
      <c r="B274" s="329"/>
      <c r="C274" s="328"/>
      <c r="D274" s="328"/>
      <c r="E274" s="329"/>
      <c r="F274" s="328"/>
      <c r="G274" s="328"/>
      <c r="H274" s="328"/>
      <c r="I274" s="328"/>
      <c r="J274" s="322"/>
      <c r="K274" s="322"/>
      <c r="L274" s="322"/>
      <c r="M274" s="322"/>
      <c r="N274" s="322"/>
      <c r="O274" s="322"/>
      <c r="P274" s="322"/>
      <c r="Q274" s="322"/>
      <c r="R274" s="322"/>
      <c r="S274" s="322"/>
      <c r="T274" s="322"/>
      <c r="U274" s="322"/>
      <c r="V274" s="322"/>
      <c r="W274" s="322"/>
      <c r="X274" s="322"/>
      <c r="Y274" s="322"/>
      <c r="Z274" s="322"/>
      <c r="AA274" s="322"/>
      <c r="AB274" s="322"/>
    </row>
    <row r="275" ht="15.75" customHeight="1">
      <c r="A275" s="328"/>
      <c r="B275" s="329"/>
      <c r="C275" s="328"/>
      <c r="D275" s="328"/>
      <c r="E275" s="329"/>
      <c r="F275" s="328"/>
      <c r="G275" s="328"/>
      <c r="H275" s="328"/>
      <c r="I275" s="328"/>
      <c r="J275" s="322"/>
      <c r="K275" s="322"/>
      <c r="L275" s="322"/>
      <c r="M275" s="322"/>
      <c r="N275" s="322"/>
      <c r="O275" s="322"/>
      <c r="P275" s="322"/>
      <c r="Q275" s="322"/>
      <c r="R275" s="322"/>
      <c r="S275" s="322"/>
      <c r="T275" s="322"/>
      <c r="U275" s="322"/>
      <c r="V275" s="322"/>
      <c r="W275" s="322"/>
      <c r="X275" s="322"/>
      <c r="Y275" s="322"/>
      <c r="Z275" s="322"/>
      <c r="AA275" s="322"/>
      <c r="AB275" s="322"/>
    </row>
    <row r="276" ht="15.75" customHeight="1">
      <c r="A276" s="328"/>
      <c r="B276" s="329"/>
      <c r="C276" s="328"/>
      <c r="D276" s="328"/>
      <c r="E276" s="329"/>
      <c r="F276" s="328"/>
      <c r="G276" s="328"/>
      <c r="H276" s="328"/>
      <c r="I276" s="328"/>
      <c r="J276" s="322"/>
      <c r="K276" s="322"/>
      <c r="L276" s="322"/>
      <c r="M276" s="322"/>
      <c r="N276" s="322"/>
      <c r="O276" s="322"/>
      <c r="P276" s="322"/>
      <c r="Q276" s="322"/>
      <c r="R276" s="322"/>
      <c r="S276" s="322"/>
      <c r="T276" s="322"/>
      <c r="U276" s="322"/>
      <c r="V276" s="322"/>
      <c r="W276" s="322"/>
      <c r="X276" s="322"/>
      <c r="Y276" s="322"/>
      <c r="Z276" s="322"/>
      <c r="AA276" s="322"/>
      <c r="AB276" s="322"/>
    </row>
    <row r="277" ht="15.75" customHeight="1">
      <c r="A277" s="328"/>
      <c r="B277" s="329"/>
      <c r="C277" s="328"/>
      <c r="D277" s="328"/>
      <c r="E277" s="329"/>
      <c r="F277" s="328"/>
      <c r="G277" s="328"/>
      <c r="H277" s="328"/>
      <c r="I277" s="328"/>
      <c r="J277" s="322"/>
      <c r="K277" s="322"/>
      <c r="L277" s="322"/>
      <c r="M277" s="322"/>
      <c r="N277" s="322"/>
      <c r="O277" s="322"/>
      <c r="P277" s="322"/>
      <c r="Q277" s="322"/>
      <c r="R277" s="322"/>
      <c r="S277" s="322"/>
      <c r="T277" s="322"/>
      <c r="U277" s="322"/>
      <c r="V277" s="322"/>
      <c r="W277" s="322"/>
      <c r="X277" s="322"/>
      <c r="Y277" s="322"/>
      <c r="Z277" s="322"/>
      <c r="AA277" s="322"/>
      <c r="AB277" s="322"/>
    </row>
    <row r="278" ht="15.75" customHeight="1">
      <c r="A278" s="328"/>
      <c r="B278" s="329"/>
      <c r="C278" s="328"/>
      <c r="D278" s="328"/>
      <c r="E278" s="329"/>
      <c r="F278" s="328"/>
      <c r="G278" s="328"/>
      <c r="H278" s="328"/>
      <c r="I278" s="328"/>
      <c r="J278" s="322"/>
      <c r="K278" s="322"/>
      <c r="L278" s="322"/>
      <c r="M278" s="322"/>
      <c r="N278" s="322"/>
      <c r="O278" s="322"/>
      <c r="P278" s="322"/>
      <c r="Q278" s="322"/>
      <c r="R278" s="322"/>
      <c r="S278" s="322"/>
      <c r="T278" s="322"/>
      <c r="U278" s="322"/>
      <c r="V278" s="322"/>
      <c r="W278" s="322"/>
      <c r="X278" s="322"/>
      <c r="Y278" s="322"/>
      <c r="Z278" s="322"/>
      <c r="AA278" s="322"/>
      <c r="AB278" s="322"/>
    </row>
    <row r="279" ht="15.75" customHeight="1">
      <c r="A279" s="328"/>
      <c r="B279" s="329"/>
      <c r="C279" s="328"/>
      <c r="D279" s="328"/>
      <c r="E279" s="329"/>
      <c r="F279" s="328"/>
      <c r="G279" s="328"/>
      <c r="H279" s="328"/>
      <c r="I279" s="328"/>
      <c r="J279" s="322"/>
      <c r="K279" s="322"/>
      <c r="L279" s="322"/>
      <c r="M279" s="322"/>
      <c r="N279" s="322"/>
      <c r="O279" s="322"/>
      <c r="P279" s="322"/>
      <c r="Q279" s="322"/>
      <c r="R279" s="322"/>
      <c r="S279" s="322"/>
      <c r="T279" s="322"/>
      <c r="U279" s="322"/>
      <c r="V279" s="322"/>
      <c r="W279" s="322"/>
      <c r="X279" s="322"/>
      <c r="Y279" s="322"/>
      <c r="Z279" s="322"/>
      <c r="AA279" s="322"/>
      <c r="AB279" s="322"/>
    </row>
    <row r="280" ht="15.75" customHeight="1">
      <c r="A280" s="328"/>
      <c r="B280" s="329"/>
      <c r="C280" s="328"/>
      <c r="D280" s="328"/>
      <c r="E280" s="329"/>
      <c r="F280" s="328"/>
      <c r="G280" s="328"/>
      <c r="H280" s="328"/>
      <c r="I280" s="328"/>
      <c r="J280" s="322"/>
      <c r="K280" s="322"/>
      <c r="L280" s="322"/>
      <c r="M280" s="322"/>
      <c r="N280" s="322"/>
      <c r="O280" s="322"/>
      <c r="P280" s="322"/>
      <c r="Q280" s="322"/>
      <c r="R280" s="322"/>
      <c r="S280" s="322"/>
      <c r="T280" s="322"/>
      <c r="U280" s="322"/>
      <c r="V280" s="322"/>
      <c r="W280" s="322"/>
      <c r="X280" s="322"/>
      <c r="Y280" s="322"/>
      <c r="Z280" s="322"/>
      <c r="AA280" s="322"/>
      <c r="AB280" s="322"/>
    </row>
    <row r="281" ht="15.75" customHeight="1">
      <c r="A281" s="328"/>
      <c r="B281" s="329"/>
      <c r="C281" s="328"/>
      <c r="D281" s="328"/>
      <c r="E281" s="329"/>
      <c r="F281" s="328"/>
      <c r="G281" s="328"/>
      <c r="H281" s="328"/>
      <c r="I281" s="328"/>
      <c r="J281" s="322"/>
      <c r="K281" s="322"/>
      <c r="L281" s="322"/>
      <c r="M281" s="322"/>
      <c r="N281" s="322"/>
      <c r="O281" s="322"/>
      <c r="P281" s="322"/>
      <c r="Q281" s="322"/>
      <c r="R281" s="322"/>
      <c r="S281" s="322"/>
      <c r="T281" s="322"/>
      <c r="U281" s="322"/>
      <c r="V281" s="322"/>
      <c r="W281" s="322"/>
      <c r="X281" s="322"/>
      <c r="Y281" s="322"/>
      <c r="Z281" s="322"/>
      <c r="AA281" s="322"/>
      <c r="AB281" s="322"/>
    </row>
    <row r="282" ht="15.75" customHeight="1">
      <c r="A282" s="328"/>
      <c r="B282" s="329"/>
      <c r="C282" s="328"/>
      <c r="D282" s="328"/>
      <c r="E282" s="329"/>
      <c r="F282" s="328"/>
      <c r="G282" s="328"/>
      <c r="H282" s="328"/>
      <c r="I282" s="328"/>
      <c r="J282" s="322"/>
      <c r="K282" s="322"/>
      <c r="L282" s="322"/>
      <c r="M282" s="322"/>
      <c r="N282" s="322"/>
      <c r="O282" s="322"/>
      <c r="P282" s="322"/>
      <c r="Q282" s="322"/>
      <c r="R282" s="322"/>
      <c r="S282" s="322"/>
      <c r="T282" s="322"/>
      <c r="U282" s="322"/>
      <c r="V282" s="322"/>
      <c r="W282" s="322"/>
      <c r="X282" s="322"/>
      <c r="Y282" s="322"/>
      <c r="Z282" s="322"/>
      <c r="AA282" s="322"/>
      <c r="AB282" s="322"/>
    </row>
    <row r="283" ht="15.75" customHeight="1">
      <c r="A283" s="328"/>
      <c r="B283" s="329"/>
      <c r="C283" s="328"/>
      <c r="D283" s="328"/>
      <c r="E283" s="329"/>
      <c r="F283" s="328"/>
      <c r="G283" s="328"/>
      <c r="H283" s="328"/>
      <c r="I283" s="328"/>
      <c r="J283" s="322"/>
      <c r="K283" s="322"/>
      <c r="L283" s="322"/>
      <c r="M283" s="322"/>
      <c r="N283" s="322"/>
      <c r="O283" s="322"/>
      <c r="P283" s="322"/>
      <c r="Q283" s="322"/>
      <c r="R283" s="322"/>
      <c r="S283" s="322"/>
      <c r="T283" s="322"/>
      <c r="U283" s="322"/>
      <c r="V283" s="322"/>
      <c r="W283" s="322"/>
      <c r="X283" s="322"/>
      <c r="Y283" s="322"/>
      <c r="Z283" s="322"/>
      <c r="AA283" s="322"/>
      <c r="AB283" s="322"/>
    </row>
    <row r="284" ht="15.75" customHeight="1">
      <c r="A284" s="328"/>
      <c r="B284" s="329"/>
      <c r="C284" s="328"/>
      <c r="D284" s="328"/>
      <c r="E284" s="329"/>
      <c r="F284" s="328"/>
      <c r="G284" s="328"/>
      <c r="H284" s="328"/>
      <c r="I284" s="328"/>
      <c r="J284" s="322"/>
      <c r="K284" s="322"/>
      <c r="L284" s="322"/>
      <c r="M284" s="322"/>
      <c r="N284" s="322"/>
      <c r="O284" s="322"/>
      <c r="P284" s="322"/>
      <c r="Q284" s="322"/>
      <c r="R284" s="322"/>
      <c r="S284" s="322"/>
      <c r="T284" s="322"/>
      <c r="U284" s="322"/>
      <c r="V284" s="322"/>
      <c r="W284" s="322"/>
      <c r="X284" s="322"/>
      <c r="Y284" s="322"/>
      <c r="Z284" s="322"/>
      <c r="AA284" s="322"/>
      <c r="AB284" s="322"/>
    </row>
    <row r="285" ht="15.75" customHeight="1">
      <c r="A285" s="328"/>
      <c r="B285" s="329"/>
      <c r="C285" s="328"/>
      <c r="D285" s="328"/>
      <c r="E285" s="329"/>
      <c r="F285" s="328"/>
      <c r="G285" s="328"/>
      <c r="H285" s="328"/>
      <c r="I285" s="328"/>
      <c r="J285" s="322"/>
      <c r="K285" s="322"/>
      <c r="L285" s="322"/>
      <c r="M285" s="322"/>
      <c r="N285" s="322"/>
      <c r="O285" s="322"/>
      <c r="P285" s="322"/>
      <c r="Q285" s="322"/>
      <c r="R285" s="322"/>
      <c r="S285" s="322"/>
      <c r="T285" s="322"/>
      <c r="U285" s="322"/>
      <c r="V285" s="322"/>
      <c r="W285" s="322"/>
      <c r="X285" s="322"/>
      <c r="Y285" s="322"/>
      <c r="Z285" s="322"/>
      <c r="AA285" s="322"/>
      <c r="AB285" s="322"/>
    </row>
    <row r="286" ht="15.75" customHeight="1">
      <c r="A286" s="328"/>
      <c r="B286" s="329"/>
      <c r="C286" s="328"/>
      <c r="D286" s="328"/>
      <c r="E286" s="329"/>
      <c r="F286" s="328"/>
      <c r="G286" s="328"/>
      <c r="H286" s="328"/>
      <c r="I286" s="328"/>
      <c r="J286" s="322"/>
      <c r="K286" s="322"/>
      <c r="L286" s="322"/>
      <c r="M286" s="322"/>
      <c r="N286" s="322"/>
      <c r="O286" s="322"/>
      <c r="P286" s="322"/>
      <c r="Q286" s="322"/>
      <c r="R286" s="322"/>
      <c r="S286" s="322"/>
      <c r="T286" s="322"/>
      <c r="U286" s="322"/>
      <c r="V286" s="322"/>
      <c r="W286" s="322"/>
      <c r="X286" s="322"/>
      <c r="Y286" s="322"/>
      <c r="Z286" s="322"/>
      <c r="AA286" s="322"/>
      <c r="AB286" s="322"/>
    </row>
    <row r="287" ht="15.75" customHeight="1">
      <c r="A287" s="328"/>
      <c r="B287" s="329"/>
      <c r="C287" s="328"/>
      <c r="D287" s="328"/>
      <c r="E287" s="329"/>
      <c r="F287" s="328"/>
      <c r="G287" s="328"/>
      <c r="H287" s="328"/>
      <c r="I287" s="328"/>
      <c r="J287" s="322"/>
      <c r="K287" s="322"/>
      <c r="L287" s="322"/>
      <c r="M287" s="322"/>
      <c r="N287" s="322"/>
      <c r="O287" s="322"/>
      <c r="P287" s="322"/>
      <c r="Q287" s="322"/>
      <c r="R287" s="322"/>
      <c r="S287" s="322"/>
      <c r="T287" s="322"/>
      <c r="U287" s="322"/>
      <c r="V287" s="322"/>
      <c r="W287" s="322"/>
      <c r="X287" s="322"/>
      <c r="Y287" s="322"/>
      <c r="Z287" s="322"/>
      <c r="AA287" s="322"/>
      <c r="AB287" s="322"/>
    </row>
    <row r="288" ht="15.75" customHeight="1">
      <c r="A288" s="328"/>
      <c r="B288" s="329"/>
      <c r="C288" s="328"/>
      <c r="D288" s="328"/>
      <c r="E288" s="329"/>
      <c r="F288" s="328"/>
      <c r="G288" s="328"/>
      <c r="H288" s="328"/>
      <c r="I288" s="328"/>
      <c r="J288" s="322"/>
      <c r="K288" s="322"/>
      <c r="L288" s="322"/>
      <c r="M288" s="322"/>
      <c r="N288" s="322"/>
      <c r="O288" s="322"/>
      <c r="P288" s="322"/>
      <c r="Q288" s="322"/>
      <c r="R288" s="322"/>
      <c r="S288" s="322"/>
      <c r="T288" s="322"/>
      <c r="U288" s="322"/>
      <c r="V288" s="322"/>
      <c r="W288" s="322"/>
      <c r="X288" s="322"/>
      <c r="Y288" s="322"/>
      <c r="Z288" s="322"/>
      <c r="AA288" s="322"/>
      <c r="AB288" s="322"/>
    </row>
    <row r="289" ht="15.75" customHeight="1">
      <c r="A289" s="328"/>
      <c r="B289" s="329"/>
      <c r="C289" s="328"/>
      <c r="D289" s="328"/>
      <c r="E289" s="329"/>
      <c r="F289" s="328"/>
      <c r="G289" s="328"/>
      <c r="H289" s="328"/>
      <c r="I289" s="328"/>
      <c r="J289" s="322"/>
      <c r="K289" s="322"/>
      <c r="L289" s="322"/>
      <c r="M289" s="322"/>
      <c r="N289" s="322"/>
      <c r="O289" s="322"/>
      <c r="P289" s="322"/>
      <c r="Q289" s="322"/>
      <c r="R289" s="322"/>
      <c r="S289" s="322"/>
      <c r="T289" s="322"/>
      <c r="U289" s="322"/>
      <c r="V289" s="322"/>
      <c r="W289" s="322"/>
      <c r="X289" s="322"/>
      <c r="Y289" s="322"/>
      <c r="Z289" s="322"/>
      <c r="AA289" s="322"/>
      <c r="AB289" s="322"/>
    </row>
    <row r="290" ht="15.75" customHeight="1">
      <c r="A290" s="328"/>
      <c r="B290" s="329"/>
      <c r="C290" s="328"/>
      <c r="D290" s="328"/>
      <c r="E290" s="329"/>
      <c r="F290" s="328"/>
      <c r="G290" s="328"/>
      <c r="H290" s="328"/>
      <c r="I290" s="328"/>
      <c r="J290" s="322"/>
      <c r="K290" s="322"/>
      <c r="L290" s="322"/>
      <c r="M290" s="322"/>
      <c r="N290" s="322"/>
      <c r="O290" s="322"/>
      <c r="P290" s="322"/>
      <c r="Q290" s="322"/>
      <c r="R290" s="322"/>
      <c r="S290" s="322"/>
      <c r="T290" s="322"/>
      <c r="U290" s="322"/>
      <c r="V290" s="322"/>
      <c r="W290" s="322"/>
      <c r="X290" s="322"/>
      <c r="Y290" s="322"/>
      <c r="Z290" s="322"/>
      <c r="AA290" s="322"/>
      <c r="AB290" s="322"/>
    </row>
    <row r="291" ht="15.75" customHeight="1">
      <c r="A291" s="328"/>
      <c r="B291" s="329"/>
      <c r="C291" s="328"/>
      <c r="D291" s="328"/>
      <c r="E291" s="329"/>
      <c r="F291" s="328"/>
      <c r="G291" s="328"/>
      <c r="H291" s="328"/>
      <c r="I291" s="328"/>
      <c r="J291" s="322"/>
      <c r="K291" s="322"/>
      <c r="L291" s="322"/>
      <c r="M291" s="322"/>
      <c r="N291" s="322"/>
      <c r="O291" s="322"/>
      <c r="P291" s="322"/>
      <c r="Q291" s="322"/>
      <c r="R291" s="322"/>
      <c r="S291" s="322"/>
      <c r="T291" s="322"/>
      <c r="U291" s="322"/>
      <c r="V291" s="322"/>
      <c r="W291" s="322"/>
      <c r="X291" s="322"/>
      <c r="Y291" s="322"/>
      <c r="Z291" s="322"/>
      <c r="AA291" s="322"/>
      <c r="AB291" s="322"/>
    </row>
    <row r="292" ht="15.75" customHeight="1">
      <c r="A292" s="328"/>
      <c r="B292" s="329"/>
      <c r="C292" s="328"/>
      <c r="D292" s="328"/>
      <c r="E292" s="329"/>
      <c r="F292" s="328"/>
      <c r="G292" s="328"/>
      <c r="H292" s="328"/>
      <c r="I292" s="328"/>
      <c r="J292" s="322"/>
      <c r="K292" s="322"/>
      <c r="L292" s="322"/>
      <c r="M292" s="322"/>
      <c r="N292" s="322"/>
      <c r="O292" s="322"/>
      <c r="P292" s="322"/>
      <c r="Q292" s="322"/>
      <c r="R292" s="322"/>
      <c r="S292" s="322"/>
      <c r="T292" s="322"/>
      <c r="U292" s="322"/>
      <c r="V292" s="322"/>
      <c r="W292" s="322"/>
      <c r="X292" s="322"/>
      <c r="Y292" s="322"/>
      <c r="Z292" s="322"/>
      <c r="AA292" s="322"/>
      <c r="AB292" s="322"/>
    </row>
    <row r="293" ht="15.75" customHeight="1">
      <c r="A293" s="328"/>
      <c r="B293" s="329"/>
      <c r="C293" s="328"/>
      <c r="D293" s="328"/>
      <c r="E293" s="329"/>
      <c r="F293" s="328"/>
      <c r="G293" s="328"/>
      <c r="H293" s="328"/>
      <c r="I293" s="328"/>
      <c r="J293" s="322"/>
      <c r="K293" s="322"/>
      <c r="L293" s="322"/>
      <c r="M293" s="322"/>
      <c r="N293" s="322"/>
      <c r="O293" s="322"/>
      <c r="P293" s="322"/>
      <c r="Q293" s="322"/>
      <c r="R293" s="322"/>
      <c r="S293" s="322"/>
      <c r="T293" s="322"/>
      <c r="U293" s="322"/>
      <c r="V293" s="322"/>
      <c r="W293" s="322"/>
      <c r="X293" s="322"/>
      <c r="Y293" s="322"/>
      <c r="Z293" s="322"/>
      <c r="AA293" s="322"/>
      <c r="AB293" s="322"/>
    </row>
    <row r="294" ht="15.75" customHeight="1">
      <c r="A294" s="328"/>
      <c r="B294" s="329"/>
      <c r="C294" s="328"/>
      <c r="D294" s="328"/>
      <c r="E294" s="329"/>
      <c r="F294" s="328"/>
      <c r="G294" s="328"/>
      <c r="H294" s="328"/>
      <c r="I294" s="328"/>
      <c r="J294" s="322"/>
      <c r="K294" s="322"/>
      <c r="L294" s="322"/>
      <c r="M294" s="322"/>
      <c r="N294" s="322"/>
      <c r="O294" s="322"/>
      <c r="P294" s="322"/>
      <c r="Q294" s="322"/>
      <c r="R294" s="322"/>
      <c r="S294" s="322"/>
      <c r="T294" s="322"/>
      <c r="U294" s="322"/>
      <c r="V294" s="322"/>
      <c r="W294" s="322"/>
      <c r="X294" s="322"/>
      <c r="Y294" s="322"/>
      <c r="Z294" s="322"/>
      <c r="AA294" s="322"/>
      <c r="AB294" s="322"/>
    </row>
    <row r="295" ht="15.75" customHeight="1">
      <c r="A295" s="328"/>
      <c r="B295" s="329"/>
      <c r="C295" s="328"/>
      <c r="D295" s="328"/>
      <c r="E295" s="329"/>
      <c r="F295" s="328"/>
      <c r="G295" s="328"/>
      <c r="H295" s="328"/>
      <c r="I295" s="328"/>
      <c r="J295" s="322"/>
      <c r="K295" s="322"/>
      <c r="L295" s="322"/>
      <c r="M295" s="322"/>
      <c r="N295" s="322"/>
      <c r="O295" s="322"/>
      <c r="P295" s="322"/>
      <c r="Q295" s="322"/>
      <c r="R295" s="322"/>
      <c r="S295" s="322"/>
      <c r="T295" s="322"/>
      <c r="U295" s="322"/>
      <c r="V295" s="322"/>
      <c r="W295" s="322"/>
      <c r="X295" s="322"/>
      <c r="Y295" s="322"/>
      <c r="Z295" s="322"/>
      <c r="AA295" s="322"/>
      <c r="AB295" s="322"/>
    </row>
    <row r="296" ht="15.75" customHeight="1">
      <c r="A296" s="328"/>
      <c r="B296" s="329"/>
      <c r="C296" s="328"/>
      <c r="D296" s="328"/>
      <c r="E296" s="329"/>
      <c r="F296" s="328"/>
      <c r="G296" s="328"/>
      <c r="H296" s="328"/>
      <c r="I296" s="328"/>
      <c r="J296" s="322"/>
      <c r="K296" s="322"/>
      <c r="L296" s="322"/>
      <c r="M296" s="322"/>
      <c r="N296" s="322"/>
      <c r="O296" s="322"/>
      <c r="P296" s="322"/>
      <c r="Q296" s="322"/>
      <c r="R296" s="322"/>
      <c r="S296" s="322"/>
      <c r="T296" s="322"/>
      <c r="U296" s="322"/>
      <c r="V296" s="322"/>
      <c r="W296" s="322"/>
      <c r="X296" s="322"/>
      <c r="Y296" s="322"/>
      <c r="Z296" s="322"/>
      <c r="AA296" s="322"/>
      <c r="AB296" s="322"/>
    </row>
    <row r="297" ht="15.75" customHeight="1">
      <c r="A297" s="328"/>
      <c r="B297" s="329"/>
      <c r="C297" s="328"/>
      <c r="D297" s="328"/>
      <c r="E297" s="329"/>
      <c r="F297" s="328"/>
      <c r="G297" s="328"/>
      <c r="H297" s="328"/>
      <c r="I297" s="328"/>
      <c r="J297" s="322"/>
      <c r="K297" s="322"/>
      <c r="L297" s="322"/>
      <c r="M297" s="322"/>
      <c r="N297" s="322"/>
      <c r="O297" s="322"/>
      <c r="P297" s="322"/>
      <c r="Q297" s="322"/>
      <c r="R297" s="322"/>
      <c r="S297" s="322"/>
      <c r="T297" s="322"/>
      <c r="U297" s="322"/>
      <c r="V297" s="322"/>
      <c r="W297" s="322"/>
      <c r="X297" s="322"/>
      <c r="Y297" s="322"/>
      <c r="Z297" s="322"/>
      <c r="AA297" s="322"/>
      <c r="AB297" s="322"/>
    </row>
    <row r="298" ht="15.75" customHeight="1">
      <c r="A298" s="328"/>
      <c r="B298" s="329"/>
      <c r="C298" s="328"/>
      <c r="D298" s="328"/>
      <c r="E298" s="329"/>
      <c r="F298" s="328"/>
      <c r="G298" s="328"/>
      <c r="H298" s="328"/>
      <c r="I298" s="328"/>
      <c r="J298" s="322"/>
      <c r="K298" s="322"/>
      <c r="L298" s="322"/>
      <c r="M298" s="322"/>
      <c r="N298" s="322"/>
      <c r="O298" s="322"/>
      <c r="P298" s="322"/>
      <c r="Q298" s="322"/>
      <c r="R298" s="322"/>
      <c r="S298" s="322"/>
      <c r="T298" s="322"/>
      <c r="U298" s="322"/>
      <c r="V298" s="322"/>
      <c r="W298" s="322"/>
      <c r="X298" s="322"/>
      <c r="Y298" s="322"/>
      <c r="Z298" s="322"/>
      <c r="AA298" s="322"/>
      <c r="AB298" s="322"/>
    </row>
    <row r="299" ht="15.75" customHeight="1">
      <c r="A299" s="328"/>
      <c r="B299" s="329"/>
      <c r="C299" s="328"/>
      <c r="D299" s="328"/>
      <c r="E299" s="329"/>
      <c r="F299" s="328"/>
      <c r="G299" s="328"/>
      <c r="H299" s="328"/>
      <c r="I299" s="328"/>
      <c r="J299" s="322"/>
      <c r="K299" s="322"/>
      <c r="L299" s="322"/>
      <c r="M299" s="322"/>
      <c r="N299" s="322"/>
      <c r="O299" s="322"/>
      <c r="P299" s="322"/>
      <c r="Q299" s="322"/>
      <c r="R299" s="322"/>
      <c r="S299" s="322"/>
      <c r="T299" s="322"/>
      <c r="U299" s="322"/>
      <c r="V299" s="322"/>
      <c r="W299" s="322"/>
      <c r="X299" s="322"/>
      <c r="Y299" s="322"/>
      <c r="Z299" s="322"/>
      <c r="AA299" s="322"/>
      <c r="AB299" s="322"/>
    </row>
    <row r="300" ht="15.75" customHeight="1">
      <c r="A300" s="328"/>
      <c r="B300" s="329"/>
      <c r="C300" s="328"/>
      <c r="D300" s="328"/>
      <c r="E300" s="329"/>
      <c r="F300" s="328"/>
      <c r="G300" s="328"/>
      <c r="H300" s="328"/>
      <c r="I300" s="328"/>
      <c r="J300" s="322"/>
      <c r="K300" s="322"/>
      <c r="L300" s="322"/>
      <c r="M300" s="322"/>
      <c r="N300" s="322"/>
      <c r="O300" s="322"/>
      <c r="P300" s="322"/>
      <c r="Q300" s="322"/>
      <c r="R300" s="322"/>
      <c r="S300" s="322"/>
      <c r="T300" s="322"/>
      <c r="U300" s="322"/>
      <c r="V300" s="322"/>
      <c r="W300" s="322"/>
      <c r="X300" s="322"/>
      <c r="Y300" s="322"/>
      <c r="Z300" s="322"/>
      <c r="AA300" s="322"/>
      <c r="AB300" s="322"/>
    </row>
    <row r="301" ht="15.75" customHeight="1">
      <c r="A301" s="328"/>
      <c r="B301" s="329"/>
      <c r="C301" s="328"/>
      <c r="D301" s="328"/>
      <c r="E301" s="329"/>
      <c r="F301" s="328"/>
      <c r="G301" s="328"/>
      <c r="H301" s="328"/>
      <c r="I301" s="328"/>
      <c r="J301" s="322"/>
      <c r="K301" s="322"/>
      <c r="L301" s="322"/>
      <c r="M301" s="322"/>
      <c r="N301" s="322"/>
      <c r="O301" s="322"/>
      <c r="P301" s="322"/>
      <c r="Q301" s="322"/>
      <c r="R301" s="322"/>
      <c r="S301" s="322"/>
      <c r="T301" s="322"/>
      <c r="U301" s="322"/>
      <c r="V301" s="322"/>
      <c r="W301" s="322"/>
      <c r="X301" s="322"/>
      <c r="Y301" s="322"/>
      <c r="Z301" s="322"/>
      <c r="AA301" s="322"/>
      <c r="AB301" s="322"/>
    </row>
    <row r="302" ht="15.75" customHeight="1">
      <c r="A302" s="328"/>
      <c r="B302" s="329"/>
      <c r="C302" s="328"/>
      <c r="D302" s="328"/>
      <c r="E302" s="329"/>
      <c r="F302" s="328"/>
      <c r="G302" s="328"/>
      <c r="H302" s="328"/>
      <c r="I302" s="328"/>
      <c r="J302" s="322"/>
      <c r="K302" s="322"/>
      <c r="L302" s="322"/>
      <c r="M302" s="322"/>
      <c r="N302" s="322"/>
      <c r="O302" s="322"/>
      <c r="P302" s="322"/>
      <c r="Q302" s="322"/>
      <c r="R302" s="322"/>
      <c r="S302" s="322"/>
      <c r="T302" s="322"/>
      <c r="U302" s="322"/>
      <c r="V302" s="322"/>
      <c r="W302" s="322"/>
      <c r="X302" s="322"/>
      <c r="Y302" s="322"/>
      <c r="Z302" s="322"/>
      <c r="AA302" s="322"/>
      <c r="AB302" s="322"/>
    </row>
    <row r="303" ht="15.75" customHeight="1">
      <c r="A303" s="328"/>
      <c r="B303" s="329"/>
      <c r="C303" s="328"/>
      <c r="D303" s="328"/>
      <c r="E303" s="329"/>
      <c r="F303" s="328"/>
      <c r="G303" s="328"/>
      <c r="H303" s="328"/>
      <c r="I303" s="328"/>
      <c r="J303" s="322"/>
      <c r="K303" s="322"/>
      <c r="L303" s="322"/>
      <c r="M303" s="322"/>
      <c r="N303" s="322"/>
      <c r="O303" s="322"/>
      <c r="P303" s="322"/>
      <c r="Q303" s="322"/>
      <c r="R303" s="322"/>
      <c r="S303" s="322"/>
      <c r="T303" s="322"/>
      <c r="U303" s="322"/>
      <c r="V303" s="322"/>
      <c r="W303" s="322"/>
      <c r="X303" s="322"/>
      <c r="Y303" s="322"/>
      <c r="Z303" s="322"/>
      <c r="AA303" s="322"/>
      <c r="AB303" s="322"/>
    </row>
    <row r="304" ht="15.75" customHeight="1">
      <c r="A304" s="328"/>
      <c r="B304" s="329"/>
      <c r="C304" s="328"/>
      <c r="D304" s="328"/>
      <c r="E304" s="329"/>
      <c r="F304" s="328"/>
      <c r="G304" s="328"/>
      <c r="H304" s="328"/>
      <c r="I304" s="328"/>
      <c r="J304" s="322"/>
      <c r="K304" s="322"/>
      <c r="L304" s="322"/>
      <c r="M304" s="322"/>
      <c r="N304" s="322"/>
      <c r="O304" s="322"/>
      <c r="P304" s="322"/>
      <c r="Q304" s="322"/>
      <c r="R304" s="322"/>
      <c r="S304" s="322"/>
      <c r="T304" s="322"/>
      <c r="U304" s="322"/>
      <c r="V304" s="322"/>
      <c r="W304" s="322"/>
      <c r="X304" s="322"/>
      <c r="Y304" s="322"/>
      <c r="Z304" s="322"/>
      <c r="AA304" s="322"/>
      <c r="AB304" s="322"/>
    </row>
    <row r="305" ht="15.75" customHeight="1">
      <c r="A305" s="328"/>
      <c r="B305" s="329"/>
      <c r="C305" s="328"/>
      <c r="D305" s="328"/>
      <c r="E305" s="329"/>
      <c r="F305" s="328"/>
      <c r="G305" s="328"/>
      <c r="H305" s="328"/>
      <c r="I305" s="328"/>
      <c r="J305" s="322"/>
      <c r="K305" s="322"/>
      <c r="L305" s="322"/>
      <c r="M305" s="322"/>
      <c r="N305" s="322"/>
      <c r="O305" s="322"/>
      <c r="P305" s="322"/>
      <c r="Q305" s="322"/>
      <c r="R305" s="322"/>
      <c r="S305" s="322"/>
      <c r="T305" s="322"/>
      <c r="U305" s="322"/>
      <c r="V305" s="322"/>
      <c r="W305" s="322"/>
      <c r="X305" s="322"/>
      <c r="Y305" s="322"/>
      <c r="Z305" s="322"/>
      <c r="AA305" s="322"/>
      <c r="AB305" s="322"/>
    </row>
    <row r="306" ht="15.75" customHeight="1">
      <c r="A306" s="328"/>
      <c r="B306" s="329"/>
      <c r="C306" s="328"/>
      <c r="D306" s="328"/>
      <c r="E306" s="329"/>
      <c r="F306" s="328"/>
      <c r="G306" s="328"/>
      <c r="H306" s="328"/>
      <c r="I306" s="328"/>
      <c r="J306" s="322"/>
      <c r="K306" s="322"/>
      <c r="L306" s="322"/>
      <c r="M306" s="322"/>
      <c r="N306" s="322"/>
      <c r="O306" s="322"/>
      <c r="P306" s="322"/>
      <c r="Q306" s="322"/>
      <c r="R306" s="322"/>
      <c r="S306" s="322"/>
      <c r="T306" s="322"/>
      <c r="U306" s="322"/>
      <c r="V306" s="322"/>
      <c r="W306" s="322"/>
      <c r="X306" s="322"/>
      <c r="Y306" s="322"/>
      <c r="Z306" s="322"/>
      <c r="AA306" s="322"/>
      <c r="AB306" s="322"/>
    </row>
    <row r="307" ht="15.75" customHeight="1">
      <c r="A307" s="328"/>
      <c r="B307" s="329"/>
      <c r="C307" s="328"/>
      <c r="D307" s="328"/>
      <c r="E307" s="329"/>
      <c r="F307" s="328"/>
      <c r="G307" s="328"/>
      <c r="H307" s="328"/>
      <c r="I307" s="328"/>
      <c r="J307" s="322"/>
      <c r="K307" s="322"/>
      <c r="L307" s="322"/>
      <c r="M307" s="322"/>
      <c r="N307" s="322"/>
      <c r="O307" s="322"/>
      <c r="P307" s="322"/>
      <c r="Q307" s="322"/>
      <c r="R307" s="322"/>
      <c r="S307" s="322"/>
      <c r="T307" s="322"/>
      <c r="U307" s="322"/>
      <c r="V307" s="322"/>
      <c r="W307" s="322"/>
      <c r="X307" s="322"/>
      <c r="Y307" s="322"/>
      <c r="Z307" s="322"/>
      <c r="AA307" s="322"/>
      <c r="AB307" s="322"/>
    </row>
    <row r="308" ht="15.75" customHeight="1">
      <c r="A308" s="328"/>
      <c r="B308" s="329"/>
      <c r="C308" s="328"/>
      <c r="D308" s="328"/>
      <c r="E308" s="329"/>
      <c r="F308" s="328"/>
      <c r="G308" s="328"/>
      <c r="H308" s="328"/>
      <c r="I308" s="328"/>
      <c r="J308" s="322"/>
      <c r="K308" s="322"/>
      <c r="L308" s="322"/>
      <c r="M308" s="322"/>
      <c r="N308" s="322"/>
      <c r="O308" s="322"/>
      <c r="P308" s="322"/>
      <c r="Q308" s="322"/>
      <c r="R308" s="322"/>
      <c r="S308" s="322"/>
      <c r="T308" s="322"/>
      <c r="U308" s="322"/>
      <c r="V308" s="322"/>
      <c r="W308" s="322"/>
      <c r="X308" s="322"/>
      <c r="Y308" s="322"/>
      <c r="Z308" s="322"/>
      <c r="AA308" s="322"/>
      <c r="AB308" s="322"/>
    </row>
    <row r="309" ht="15.75" customHeight="1">
      <c r="A309" s="328"/>
      <c r="B309" s="329"/>
      <c r="C309" s="328"/>
      <c r="D309" s="328"/>
      <c r="E309" s="329"/>
      <c r="F309" s="328"/>
      <c r="G309" s="328"/>
      <c r="H309" s="328"/>
      <c r="I309" s="328"/>
      <c r="J309" s="322"/>
      <c r="K309" s="322"/>
      <c r="L309" s="322"/>
      <c r="M309" s="322"/>
      <c r="N309" s="322"/>
      <c r="O309" s="322"/>
      <c r="P309" s="322"/>
      <c r="Q309" s="322"/>
      <c r="R309" s="322"/>
      <c r="S309" s="322"/>
      <c r="T309" s="322"/>
      <c r="U309" s="322"/>
      <c r="V309" s="322"/>
      <c r="W309" s="322"/>
      <c r="X309" s="322"/>
      <c r="Y309" s="322"/>
      <c r="Z309" s="322"/>
      <c r="AA309" s="322"/>
      <c r="AB309" s="322"/>
    </row>
    <row r="310" ht="15.75" customHeight="1">
      <c r="A310" s="328"/>
      <c r="B310" s="329"/>
      <c r="C310" s="328"/>
      <c r="D310" s="328"/>
      <c r="E310" s="329"/>
      <c r="F310" s="328"/>
      <c r="G310" s="328"/>
      <c r="H310" s="328"/>
      <c r="I310" s="328"/>
      <c r="J310" s="322"/>
      <c r="K310" s="322"/>
      <c r="L310" s="322"/>
      <c r="M310" s="322"/>
      <c r="N310" s="322"/>
      <c r="O310" s="322"/>
      <c r="P310" s="322"/>
      <c r="Q310" s="322"/>
      <c r="R310" s="322"/>
      <c r="S310" s="322"/>
      <c r="T310" s="322"/>
      <c r="U310" s="322"/>
      <c r="V310" s="322"/>
      <c r="W310" s="322"/>
      <c r="X310" s="322"/>
      <c r="Y310" s="322"/>
      <c r="Z310" s="322"/>
      <c r="AA310" s="322"/>
      <c r="AB310" s="322"/>
    </row>
    <row r="311" ht="15.75" customHeight="1">
      <c r="A311" s="328"/>
      <c r="B311" s="329"/>
      <c r="C311" s="328"/>
      <c r="D311" s="328"/>
      <c r="E311" s="329"/>
      <c r="F311" s="328"/>
      <c r="G311" s="328"/>
      <c r="H311" s="328"/>
      <c r="I311" s="328"/>
      <c r="J311" s="322"/>
      <c r="K311" s="322"/>
      <c r="L311" s="322"/>
      <c r="M311" s="322"/>
      <c r="N311" s="322"/>
      <c r="O311" s="322"/>
      <c r="P311" s="322"/>
      <c r="Q311" s="322"/>
      <c r="R311" s="322"/>
      <c r="S311" s="322"/>
      <c r="T311" s="322"/>
      <c r="U311" s="322"/>
      <c r="V311" s="322"/>
      <c r="W311" s="322"/>
      <c r="X311" s="322"/>
      <c r="Y311" s="322"/>
      <c r="Z311" s="322"/>
      <c r="AA311" s="322"/>
      <c r="AB311" s="322"/>
    </row>
    <row r="312" ht="15.75" customHeight="1">
      <c r="A312" s="328"/>
      <c r="B312" s="329"/>
      <c r="C312" s="328"/>
      <c r="D312" s="328"/>
      <c r="E312" s="329"/>
      <c r="F312" s="328"/>
      <c r="G312" s="328"/>
      <c r="H312" s="328"/>
      <c r="I312" s="328"/>
      <c r="J312" s="322"/>
      <c r="K312" s="322"/>
      <c r="L312" s="322"/>
      <c r="M312" s="322"/>
      <c r="N312" s="322"/>
      <c r="O312" s="322"/>
      <c r="P312" s="322"/>
      <c r="Q312" s="322"/>
      <c r="R312" s="322"/>
      <c r="S312" s="322"/>
      <c r="T312" s="322"/>
      <c r="U312" s="322"/>
      <c r="V312" s="322"/>
      <c r="W312" s="322"/>
      <c r="X312" s="322"/>
      <c r="Y312" s="322"/>
      <c r="Z312" s="322"/>
      <c r="AA312" s="322"/>
      <c r="AB312" s="322"/>
    </row>
    <row r="313" ht="15.75" customHeight="1">
      <c r="A313" s="328"/>
      <c r="B313" s="329"/>
      <c r="C313" s="328"/>
      <c r="D313" s="328"/>
      <c r="E313" s="329"/>
      <c r="F313" s="328"/>
      <c r="G313" s="328"/>
      <c r="H313" s="328"/>
      <c r="I313" s="328"/>
      <c r="J313" s="322"/>
      <c r="K313" s="322"/>
      <c r="L313" s="322"/>
      <c r="M313" s="322"/>
      <c r="N313" s="322"/>
      <c r="O313" s="322"/>
      <c r="P313" s="322"/>
      <c r="Q313" s="322"/>
      <c r="R313" s="322"/>
      <c r="S313" s="322"/>
      <c r="T313" s="322"/>
      <c r="U313" s="322"/>
      <c r="V313" s="322"/>
      <c r="W313" s="322"/>
      <c r="X313" s="322"/>
      <c r="Y313" s="322"/>
      <c r="Z313" s="322"/>
      <c r="AA313" s="322"/>
      <c r="AB313" s="322"/>
    </row>
    <row r="314" ht="15.75" customHeight="1">
      <c r="A314" s="328"/>
      <c r="B314" s="329"/>
      <c r="C314" s="328"/>
      <c r="D314" s="328"/>
      <c r="E314" s="329"/>
      <c r="F314" s="328"/>
      <c r="G314" s="328"/>
      <c r="H314" s="328"/>
      <c r="I314" s="328"/>
      <c r="J314" s="322"/>
      <c r="K314" s="322"/>
      <c r="L314" s="322"/>
      <c r="M314" s="322"/>
      <c r="N314" s="322"/>
      <c r="O314" s="322"/>
      <c r="P314" s="322"/>
      <c r="Q314" s="322"/>
      <c r="R314" s="322"/>
      <c r="S314" s="322"/>
      <c r="T314" s="322"/>
      <c r="U314" s="322"/>
      <c r="V314" s="322"/>
      <c r="W314" s="322"/>
      <c r="X314" s="322"/>
      <c r="Y314" s="322"/>
      <c r="Z314" s="322"/>
      <c r="AA314" s="322"/>
      <c r="AB314" s="322"/>
    </row>
    <row r="315" ht="15.75" customHeight="1">
      <c r="A315" s="328"/>
      <c r="B315" s="329"/>
      <c r="C315" s="328"/>
      <c r="D315" s="328"/>
      <c r="E315" s="329"/>
      <c r="F315" s="328"/>
      <c r="G315" s="328"/>
      <c r="H315" s="328"/>
      <c r="I315" s="328"/>
      <c r="J315" s="322"/>
      <c r="K315" s="322"/>
      <c r="L315" s="322"/>
      <c r="M315" s="322"/>
      <c r="N315" s="322"/>
      <c r="O315" s="322"/>
      <c r="P315" s="322"/>
      <c r="Q315" s="322"/>
      <c r="R315" s="322"/>
      <c r="S315" s="322"/>
      <c r="T315" s="322"/>
      <c r="U315" s="322"/>
      <c r="V315" s="322"/>
      <c r="W315" s="322"/>
      <c r="X315" s="322"/>
      <c r="Y315" s="322"/>
      <c r="Z315" s="322"/>
      <c r="AA315" s="322"/>
      <c r="AB315" s="322"/>
    </row>
    <row r="316" ht="15.75" customHeight="1">
      <c r="A316" s="328"/>
      <c r="B316" s="329"/>
      <c r="C316" s="328"/>
      <c r="D316" s="328"/>
      <c r="E316" s="329"/>
      <c r="F316" s="328"/>
      <c r="G316" s="328"/>
      <c r="H316" s="328"/>
      <c r="I316" s="328"/>
      <c r="J316" s="322"/>
      <c r="K316" s="322"/>
      <c r="L316" s="322"/>
      <c r="M316" s="322"/>
      <c r="N316" s="322"/>
      <c r="O316" s="322"/>
      <c r="P316" s="322"/>
      <c r="Q316" s="322"/>
      <c r="R316" s="322"/>
      <c r="S316" s="322"/>
      <c r="T316" s="322"/>
      <c r="U316" s="322"/>
      <c r="V316" s="322"/>
      <c r="W316" s="322"/>
      <c r="X316" s="322"/>
      <c r="Y316" s="322"/>
      <c r="Z316" s="322"/>
      <c r="AA316" s="322"/>
      <c r="AB316" s="322"/>
    </row>
    <row r="317" ht="15.75" customHeight="1">
      <c r="A317" s="328"/>
      <c r="B317" s="329"/>
      <c r="C317" s="328"/>
      <c r="D317" s="328"/>
      <c r="E317" s="329"/>
      <c r="F317" s="328"/>
      <c r="G317" s="328"/>
      <c r="H317" s="328"/>
      <c r="I317" s="328"/>
      <c r="J317" s="322"/>
      <c r="K317" s="322"/>
      <c r="L317" s="322"/>
      <c r="M317" s="322"/>
      <c r="N317" s="322"/>
      <c r="O317" s="322"/>
      <c r="P317" s="322"/>
      <c r="Q317" s="322"/>
      <c r="R317" s="322"/>
      <c r="S317" s="322"/>
      <c r="T317" s="322"/>
      <c r="U317" s="322"/>
      <c r="V317" s="322"/>
      <c r="W317" s="322"/>
      <c r="X317" s="322"/>
      <c r="Y317" s="322"/>
      <c r="Z317" s="322"/>
      <c r="AA317" s="322"/>
      <c r="AB317" s="322"/>
    </row>
    <row r="318" ht="15.75" customHeight="1">
      <c r="A318" s="328"/>
      <c r="B318" s="329"/>
      <c r="C318" s="328"/>
      <c r="D318" s="328"/>
      <c r="E318" s="329"/>
      <c r="F318" s="328"/>
      <c r="G318" s="328"/>
      <c r="H318" s="328"/>
      <c r="I318" s="328"/>
      <c r="J318" s="322"/>
      <c r="K318" s="322"/>
      <c r="L318" s="322"/>
      <c r="M318" s="322"/>
      <c r="N318" s="322"/>
      <c r="O318" s="322"/>
      <c r="P318" s="322"/>
      <c r="Q318" s="322"/>
      <c r="R318" s="322"/>
      <c r="S318" s="322"/>
      <c r="T318" s="322"/>
      <c r="U318" s="322"/>
      <c r="V318" s="322"/>
      <c r="W318" s="322"/>
      <c r="X318" s="322"/>
      <c r="Y318" s="322"/>
      <c r="Z318" s="322"/>
      <c r="AA318" s="322"/>
      <c r="AB318" s="322"/>
    </row>
    <row r="319" ht="15.75" customHeight="1">
      <c r="A319" s="328"/>
      <c r="B319" s="329"/>
      <c r="C319" s="328"/>
      <c r="D319" s="328"/>
      <c r="E319" s="329"/>
      <c r="F319" s="328"/>
      <c r="G319" s="328"/>
      <c r="H319" s="328"/>
      <c r="I319" s="328"/>
      <c r="J319" s="322"/>
      <c r="K319" s="322"/>
      <c r="L319" s="322"/>
      <c r="M319" s="322"/>
      <c r="N319" s="322"/>
      <c r="O319" s="322"/>
      <c r="P319" s="322"/>
      <c r="Q319" s="322"/>
      <c r="R319" s="322"/>
      <c r="S319" s="322"/>
      <c r="T319" s="322"/>
      <c r="U319" s="322"/>
      <c r="V319" s="322"/>
      <c r="W319" s="322"/>
      <c r="X319" s="322"/>
      <c r="Y319" s="322"/>
      <c r="Z319" s="322"/>
      <c r="AA319" s="322"/>
      <c r="AB319" s="322"/>
    </row>
    <row r="320" ht="15.75" customHeight="1">
      <c r="A320" s="328"/>
      <c r="B320" s="329"/>
      <c r="C320" s="328"/>
      <c r="D320" s="328"/>
      <c r="E320" s="329"/>
      <c r="F320" s="328"/>
      <c r="G320" s="328"/>
      <c r="H320" s="328"/>
      <c r="I320" s="328"/>
      <c r="J320" s="322"/>
      <c r="K320" s="322"/>
      <c r="L320" s="322"/>
      <c r="M320" s="322"/>
      <c r="N320" s="322"/>
      <c r="O320" s="322"/>
      <c r="P320" s="322"/>
      <c r="Q320" s="322"/>
      <c r="R320" s="322"/>
      <c r="S320" s="322"/>
      <c r="T320" s="322"/>
      <c r="U320" s="322"/>
      <c r="V320" s="322"/>
      <c r="W320" s="322"/>
      <c r="X320" s="322"/>
      <c r="Y320" s="322"/>
      <c r="Z320" s="322"/>
      <c r="AA320" s="322"/>
      <c r="AB320" s="322"/>
    </row>
    <row r="321" ht="15.75" customHeight="1">
      <c r="A321" s="328"/>
      <c r="B321" s="329"/>
      <c r="C321" s="328"/>
      <c r="D321" s="328"/>
      <c r="E321" s="329"/>
      <c r="F321" s="328"/>
      <c r="G321" s="328"/>
      <c r="H321" s="328"/>
      <c r="I321" s="328"/>
      <c r="J321" s="322"/>
      <c r="K321" s="322"/>
      <c r="L321" s="322"/>
      <c r="M321" s="322"/>
      <c r="N321" s="322"/>
      <c r="O321" s="322"/>
      <c r="P321" s="322"/>
      <c r="Q321" s="322"/>
      <c r="R321" s="322"/>
      <c r="S321" s="322"/>
      <c r="T321" s="322"/>
      <c r="U321" s="322"/>
      <c r="V321" s="322"/>
      <c r="W321" s="322"/>
      <c r="X321" s="322"/>
      <c r="Y321" s="322"/>
      <c r="Z321" s="322"/>
      <c r="AA321" s="322"/>
      <c r="AB321" s="322"/>
    </row>
    <row r="322" ht="15.75" customHeight="1">
      <c r="A322" s="328"/>
      <c r="B322" s="329"/>
      <c r="C322" s="328"/>
      <c r="D322" s="328"/>
      <c r="E322" s="329"/>
      <c r="F322" s="328"/>
      <c r="G322" s="328"/>
      <c r="H322" s="328"/>
      <c r="I322" s="328"/>
      <c r="J322" s="322"/>
      <c r="K322" s="322"/>
      <c r="L322" s="322"/>
      <c r="M322" s="322"/>
      <c r="N322" s="322"/>
      <c r="O322" s="322"/>
      <c r="P322" s="322"/>
      <c r="Q322" s="322"/>
      <c r="R322" s="322"/>
      <c r="S322" s="322"/>
      <c r="T322" s="322"/>
      <c r="U322" s="322"/>
      <c r="V322" s="322"/>
      <c r="W322" s="322"/>
      <c r="X322" s="322"/>
      <c r="Y322" s="322"/>
      <c r="Z322" s="322"/>
      <c r="AA322" s="322"/>
      <c r="AB322" s="322"/>
    </row>
    <row r="323" ht="15.75" customHeight="1">
      <c r="A323" s="328"/>
      <c r="B323" s="329"/>
      <c r="C323" s="328"/>
      <c r="D323" s="328"/>
      <c r="E323" s="329"/>
      <c r="F323" s="328"/>
      <c r="G323" s="328"/>
      <c r="H323" s="328"/>
      <c r="I323" s="328"/>
      <c r="J323" s="322"/>
      <c r="K323" s="322"/>
      <c r="L323" s="322"/>
      <c r="M323" s="322"/>
      <c r="N323" s="322"/>
      <c r="O323" s="322"/>
      <c r="P323" s="322"/>
      <c r="Q323" s="322"/>
      <c r="R323" s="322"/>
      <c r="S323" s="322"/>
      <c r="T323" s="322"/>
      <c r="U323" s="322"/>
      <c r="V323" s="322"/>
      <c r="W323" s="322"/>
      <c r="X323" s="322"/>
      <c r="Y323" s="322"/>
      <c r="Z323" s="322"/>
      <c r="AA323" s="322"/>
      <c r="AB323" s="322"/>
    </row>
    <row r="324" ht="15.75" customHeight="1">
      <c r="A324" s="328"/>
      <c r="B324" s="329"/>
      <c r="C324" s="328"/>
      <c r="D324" s="328"/>
      <c r="E324" s="329"/>
      <c r="F324" s="328"/>
      <c r="G324" s="328"/>
      <c r="H324" s="328"/>
      <c r="I324" s="328"/>
      <c r="J324" s="322"/>
      <c r="K324" s="322"/>
      <c r="L324" s="322"/>
      <c r="M324" s="322"/>
      <c r="N324" s="322"/>
      <c r="O324" s="322"/>
      <c r="P324" s="322"/>
      <c r="Q324" s="322"/>
      <c r="R324" s="322"/>
      <c r="S324" s="322"/>
      <c r="T324" s="322"/>
      <c r="U324" s="322"/>
      <c r="V324" s="322"/>
      <c r="W324" s="322"/>
      <c r="X324" s="322"/>
      <c r="Y324" s="322"/>
      <c r="Z324" s="322"/>
      <c r="AA324" s="322"/>
      <c r="AB324" s="322"/>
    </row>
    <row r="325" ht="15.75" customHeight="1">
      <c r="A325" s="328"/>
      <c r="B325" s="329"/>
      <c r="C325" s="328"/>
      <c r="D325" s="328"/>
      <c r="E325" s="329"/>
      <c r="F325" s="328"/>
      <c r="G325" s="328"/>
      <c r="H325" s="328"/>
      <c r="I325" s="328"/>
      <c r="J325" s="322"/>
      <c r="K325" s="322"/>
      <c r="L325" s="322"/>
      <c r="M325" s="322"/>
      <c r="N325" s="322"/>
      <c r="O325" s="322"/>
      <c r="P325" s="322"/>
      <c r="Q325" s="322"/>
      <c r="R325" s="322"/>
      <c r="S325" s="322"/>
      <c r="T325" s="322"/>
      <c r="U325" s="322"/>
      <c r="V325" s="322"/>
      <c r="W325" s="322"/>
      <c r="X325" s="322"/>
      <c r="Y325" s="322"/>
      <c r="Z325" s="322"/>
      <c r="AA325" s="322"/>
      <c r="AB325" s="322"/>
    </row>
    <row r="326" ht="15.75" customHeight="1">
      <c r="A326" s="328"/>
      <c r="B326" s="329"/>
      <c r="C326" s="328"/>
      <c r="D326" s="328"/>
      <c r="E326" s="329"/>
      <c r="F326" s="328"/>
      <c r="G326" s="328"/>
      <c r="H326" s="328"/>
      <c r="I326" s="328"/>
      <c r="J326" s="322"/>
      <c r="K326" s="322"/>
      <c r="L326" s="322"/>
      <c r="M326" s="322"/>
      <c r="N326" s="322"/>
      <c r="O326" s="322"/>
      <c r="P326" s="322"/>
      <c r="Q326" s="322"/>
      <c r="R326" s="322"/>
      <c r="S326" s="322"/>
      <c r="T326" s="322"/>
      <c r="U326" s="322"/>
      <c r="V326" s="322"/>
      <c r="W326" s="322"/>
      <c r="X326" s="322"/>
      <c r="Y326" s="322"/>
      <c r="Z326" s="322"/>
      <c r="AA326" s="322"/>
      <c r="AB326" s="322"/>
    </row>
    <row r="327" ht="15.75" customHeight="1">
      <c r="A327" s="328"/>
      <c r="B327" s="329"/>
      <c r="C327" s="328"/>
      <c r="D327" s="328"/>
      <c r="E327" s="329"/>
      <c r="F327" s="328"/>
      <c r="G327" s="328"/>
      <c r="H327" s="328"/>
      <c r="I327" s="328"/>
      <c r="J327" s="322"/>
      <c r="K327" s="322"/>
      <c r="L327" s="322"/>
      <c r="M327" s="322"/>
      <c r="N327" s="322"/>
      <c r="O327" s="322"/>
      <c r="P327" s="322"/>
      <c r="Q327" s="322"/>
      <c r="R327" s="322"/>
      <c r="S327" s="322"/>
      <c r="T327" s="322"/>
      <c r="U327" s="322"/>
      <c r="V327" s="322"/>
      <c r="W327" s="322"/>
      <c r="X327" s="322"/>
      <c r="Y327" s="322"/>
      <c r="Z327" s="322"/>
      <c r="AA327" s="322"/>
      <c r="AB327" s="322"/>
    </row>
    <row r="328" ht="15.75" customHeight="1">
      <c r="A328" s="328"/>
      <c r="B328" s="329"/>
      <c r="C328" s="328"/>
      <c r="D328" s="328"/>
      <c r="E328" s="329"/>
      <c r="F328" s="328"/>
      <c r="G328" s="328"/>
      <c r="H328" s="328"/>
      <c r="I328" s="328"/>
      <c r="J328" s="322"/>
      <c r="K328" s="322"/>
      <c r="L328" s="322"/>
      <c r="M328" s="322"/>
      <c r="N328" s="322"/>
      <c r="O328" s="322"/>
      <c r="P328" s="322"/>
      <c r="Q328" s="322"/>
      <c r="R328" s="322"/>
      <c r="S328" s="322"/>
      <c r="T328" s="322"/>
      <c r="U328" s="322"/>
      <c r="V328" s="322"/>
      <c r="W328" s="322"/>
      <c r="X328" s="322"/>
      <c r="Y328" s="322"/>
      <c r="Z328" s="322"/>
      <c r="AA328" s="322"/>
      <c r="AB328" s="322"/>
    </row>
    <row r="329" ht="15.75" customHeight="1">
      <c r="A329" s="328"/>
      <c r="B329" s="329"/>
      <c r="C329" s="328"/>
      <c r="D329" s="328"/>
      <c r="E329" s="329"/>
      <c r="F329" s="328"/>
      <c r="G329" s="328"/>
      <c r="H329" s="328"/>
      <c r="I329" s="328"/>
      <c r="J329" s="322"/>
      <c r="K329" s="322"/>
      <c r="L329" s="322"/>
      <c r="M329" s="322"/>
      <c r="N329" s="322"/>
      <c r="O329" s="322"/>
      <c r="P329" s="322"/>
      <c r="Q329" s="322"/>
      <c r="R329" s="322"/>
      <c r="S329" s="322"/>
      <c r="T329" s="322"/>
      <c r="U329" s="322"/>
      <c r="V329" s="322"/>
      <c r="W329" s="322"/>
      <c r="X329" s="322"/>
      <c r="Y329" s="322"/>
      <c r="Z329" s="322"/>
      <c r="AA329" s="322"/>
      <c r="AB329" s="322"/>
    </row>
    <row r="330" ht="15.75" customHeight="1">
      <c r="A330" s="328"/>
      <c r="B330" s="329"/>
      <c r="C330" s="328"/>
      <c r="D330" s="328"/>
      <c r="E330" s="329"/>
      <c r="F330" s="328"/>
      <c r="G330" s="328"/>
      <c r="H330" s="328"/>
      <c r="I330" s="328"/>
      <c r="J330" s="322"/>
      <c r="K330" s="322"/>
      <c r="L330" s="322"/>
      <c r="M330" s="322"/>
      <c r="N330" s="322"/>
      <c r="O330" s="322"/>
      <c r="P330" s="322"/>
      <c r="Q330" s="322"/>
      <c r="R330" s="322"/>
      <c r="S330" s="322"/>
      <c r="T330" s="322"/>
      <c r="U330" s="322"/>
      <c r="V330" s="322"/>
      <c r="W330" s="322"/>
      <c r="X330" s="322"/>
      <c r="Y330" s="322"/>
      <c r="Z330" s="322"/>
      <c r="AA330" s="322"/>
      <c r="AB330" s="322"/>
    </row>
    <row r="331" ht="15.75" customHeight="1">
      <c r="A331" s="328"/>
      <c r="B331" s="329"/>
      <c r="C331" s="328"/>
      <c r="D331" s="328"/>
      <c r="E331" s="329"/>
      <c r="F331" s="328"/>
      <c r="G331" s="328"/>
      <c r="H331" s="328"/>
      <c r="I331" s="328"/>
      <c r="J331" s="322"/>
      <c r="K331" s="322"/>
      <c r="L331" s="322"/>
      <c r="M331" s="322"/>
      <c r="N331" s="322"/>
      <c r="O331" s="322"/>
      <c r="P331" s="322"/>
      <c r="Q331" s="322"/>
      <c r="R331" s="322"/>
      <c r="S331" s="322"/>
      <c r="T331" s="322"/>
      <c r="U331" s="322"/>
      <c r="V331" s="322"/>
      <c r="W331" s="322"/>
      <c r="X331" s="322"/>
      <c r="Y331" s="322"/>
      <c r="Z331" s="322"/>
      <c r="AA331" s="322"/>
      <c r="AB331" s="322"/>
    </row>
    <row r="332" ht="15.75" customHeight="1">
      <c r="A332" s="328"/>
      <c r="B332" s="329"/>
      <c r="C332" s="328"/>
      <c r="D332" s="328"/>
      <c r="E332" s="329"/>
      <c r="F332" s="328"/>
      <c r="G332" s="328"/>
      <c r="H332" s="328"/>
      <c r="I332" s="328"/>
      <c r="J332" s="322"/>
      <c r="K332" s="322"/>
      <c r="L332" s="322"/>
      <c r="M332" s="322"/>
      <c r="N332" s="322"/>
      <c r="O332" s="322"/>
      <c r="P332" s="322"/>
      <c r="Q332" s="322"/>
      <c r="R332" s="322"/>
      <c r="S332" s="322"/>
      <c r="T332" s="322"/>
      <c r="U332" s="322"/>
      <c r="V332" s="322"/>
      <c r="W332" s="322"/>
      <c r="X332" s="322"/>
      <c r="Y332" s="322"/>
      <c r="Z332" s="322"/>
      <c r="AA332" s="322"/>
      <c r="AB332" s="322"/>
    </row>
    <row r="333" ht="15.75" customHeight="1">
      <c r="A333" s="328"/>
      <c r="B333" s="329"/>
      <c r="C333" s="328"/>
      <c r="D333" s="328"/>
      <c r="E333" s="329"/>
      <c r="F333" s="328"/>
      <c r="G333" s="328"/>
      <c r="H333" s="328"/>
      <c r="I333" s="328"/>
      <c r="J333" s="322"/>
      <c r="K333" s="322"/>
      <c r="L333" s="322"/>
      <c r="M333" s="322"/>
      <c r="N333" s="322"/>
      <c r="O333" s="322"/>
      <c r="P333" s="322"/>
      <c r="Q333" s="322"/>
      <c r="R333" s="322"/>
      <c r="S333" s="322"/>
      <c r="T333" s="322"/>
      <c r="U333" s="322"/>
      <c r="V333" s="322"/>
      <c r="W333" s="322"/>
      <c r="X333" s="322"/>
      <c r="Y333" s="322"/>
      <c r="Z333" s="322"/>
      <c r="AA333" s="322"/>
      <c r="AB333" s="322"/>
    </row>
    <row r="334" ht="15.75" customHeight="1">
      <c r="A334" s="328"/>
      <c r="B334" s="329"/>
      <c r="C334" s="328"/>
      <c r="D334" s="328"/>
      <c r="E334" s="329"/>
      <c r="F334" s="328"/>
      <c r="G334" s="328"/>
      <c r="H334" s="328"/>
      <c r="I334" s="328"/>
      <c r="J334" s="322"/>
      <c r="K334" s="322"/>
      <c r="L334" s="322"/>
      <c r="M334" s="322"/>
      <c r="N334" s="322"/>
      <c r="O334" s="322"/>
      <c r="P334" s="322"/>
      <c r="Q334" s="322"/>
      <c r="R334" s="322"/>
      <c r="S334" s="322"/>
      <c r="T334" s="322"/>
      <c r="U334" s="322"/>
      <c r="V334" s="322"/>
      <c r="W334" s="322"/>
      <c r="X334" s="322"/>
      <c r="Y334" s="322"/>
      <c r="Z334" s="322"/>
      <c r="AA334" s="322"/>
      <c r="AB334" s="322"/>
    </row>
    <row r="335" ht="15.75" customHeight="1">
      <c r="A335" s="328"/>
      <c r="B335" s="329"/>
      <c r="C335" s="328"/>
      <c r="D335" s="328"/>
      <c r="E335" s="329"/>
      <c r="F335" s="328"/>
      <c r="G335" s="328"/>
      <c r="H335" s="328"/>
      <c r="I335" s="328"/>
      <c r="J335" s="322"/>
      <c r="K335" s="322"/>
      <c r="L335" s="322"/>
      <c r="M335" s="322"/>
      <c r="N335" s="322"/>
      <c r="O335" s="322"/>
      <c r="P335" s="322"/>
      <c r="Q335" s="322"/>
      <c r="R335" s="322"/>
      <c r="S335" s="322"/>
      <c r="T335" s="322"/>
      <c r="U335" s="322"/>
      <c r="V335" s="322"/>
      <c r="W335" s="322"/>
      <c r="X335" s="322"/>
      <c r="Y335" s="322"/>
      <c r="Z335" s="322"/>
      <c r="AA335" s="322"/>
      <c r="AB335" s="322"/>
    </row>
    <row r="336" ht="15.75" customHeight="1">
      <c r="A336" s="328"/>
      <c r="B336" s="329"/>
      <c r="C336" s="328"/>
      <c r="D336" s="328"/>
      <c r="E336" s="329"/>
      <c r="F336" s="328"/>
      <c r="G336" s="328"/>
      <c r="H336" s="328"/>
      <c r="I336" s="328"/>
      <c r="J336" s="322"/>
      <c r="K336" s="322"/>
      <c r="L336" s="322"/>
      <c r="M336" s="322"/>
      <c r="N336" s="322"/>
      <c r="O336" s="322"/>
      <c r="P336" s="322"/>
      <c r="Q336" s="322"/>
      <c r="R336" s="322"/>
      <c r="S336" s="322"/>
      <c r="T336" s="322"/>
      <c r="U336" s="322"/>
      <c r="V336" s="322"/>
      <c r="W336" s="322"/>
      <c r="X336" s="322"/>
      <c r="Y336" s="322"/>
      <c r="Z336" s="322"/>
      <c r="AA336" s="322"/>
      <c r="AB336" s="322"/>
    </row>
    <row r="337" ht="15.75" customHeight="1">
      <c r="A337" s="328"/>
      <c r="B337" s="329"/>
      <c r="C337" s="328"/>
      <c r="D337" s="328"/>
      <c r="E337" s="329"/>
      <c r="F337" s="328"/>
      <c r="G337" s="328"/>
      <c r="H337" s="328"/>
      <c r="I337" s="328"/>
      <c r="J337" s="322"/>
      <c r="K337" s="322"/>
      <c r="L337" s="322"/>
      <c r="M337" s="322"/>
      <c r="N337" s="322"/>
      <c r="O337" s="322"/>
      <c r="P337" s="322"/>
      <c r="Q337" s="322"/>
      <c r="R337" s="322"/>
      <c r="S337" s="322"/>
      <c r="T337" s="322"/>
      <c r="U337" s="322"/>
      <c r="V337" s="322"/>
      <c r="W337" s="322"/>
      <c r="X337" s="322"/>
      <c r="Y337" s="322"/>
      <c r="Z337" s="322"/>
      <c r="AA337" s="322"/>
      <c r="AB337" s="322"/>
    </row>
    <row r="338" ht="15.75" customHeight="1">
      <c r="A338" s="328"/>
      <c r="B338" s="329"/>
      <c r="C338" s="328"/>
      <c r="D338" s="328"/>
      <c r="E338" s="329"/>
      <c r="F338" s="328"/>
      <c r="G338" s="328"/>
      <c r="H338" s="328"/>
      <c r="I338" s="328"/>
      <c r="J338" s="322"/>
      <c r="K338" s="322"/>
      <c r="L338" s="322"/>
      <c r="M338" s="322"/>
      <c r="N338" s="322"/>
      <c r="O338" s="322"/>
      <c r="P338" s="322"/>
      <c r="Q338" s="322"/>
      <c r="R338" s="322"/>
      <c r="S338" s="322"/>
      <c r="T338" s="322"/>
      <c r="U338" s="322"/>
      <c r="V338" s="322"/>
      <c r="W338" s="322"/>
      <c r="X338" s="322"/>
      <c r="Y338" s="322"/>
      <c r="Z338" s="322"/>
      <c r="AA338" s="322"/>
      <c r="AB338" s="322"/>
    </row>
    <row r="339" ht="15.75" customHeight="1">
      <c r="A339" s="328"/>
      <c r="B339" s="329"/>
      <c r="C339" s="328"/>
      <c r="D339" s="328"/>
      <c r="E339" s="329"/>
      <c r="F339" s="328"/>
      <c r="G339" s="328"/>
      <c r="H339" s="328"/>
      <c r="I339" s="328"/>
      <c r="J339" s="322"/>
      <c r="K339" s="322"/>
      <c r="L339" s="322"/>
      <c r="M339" s="322"/>
      <c r="N339" s="322"/>
      <c r="O339" s="322"/>
      <c r="P339" s="322"/>
      <c r="Q339" s="322"/>
      <c r="R339" s="322"/>
      <c r="S339" s="322"/>
      <c r="T339" s="322"/>
      <c r="U339" s="322"/>
      <c r="V339" s="322"/>
      <c r="W339" s="322"/>
      <c r="X339" s="322"/>
      <c r="Y339" s="322"/>
      <c r="Z339" s="322"/>
      <c r="AA339" s="322"/>
      <c r="AB339" s="322"/>
    </row>
    <row r="340" ht="15.75" customHeight="1">
      <c r="A340" s="328"/>
      <c r="B340" s="329"/>
      <c r="C340" s="328"/>
      <c r="D340" s="328"/>
      <c r="E340" s="329"/>
      <c r="F340" s="328"/>
      <c r="G340" s="328"/>
      <c r="H340" s="328"/>
      <c r="I340" s="328"/>
      <c r="J340" s="322"/>
      <c r="K340" s="322"/>
      <c r="L340" s="322"/>
      <c r="M340" s="322"/>
      <c r="N340" s="322"/>
      <c r="O340" s="322"/>
      <c r="P340" s="322"/>
      <c r="Q340" s="322"/>
      <c r="R340" s="322"/>
      <c r="S340" s="322"/>
      <c r="T340" s="322"/>
      <c r="U340" s="322"/>
      <c r="V340" s="322"/>
      <c r="W340" s="322"/>
      <c r="X340" s="322"/>
      <c r="Y340" s="322"/>
      <c r="Z340" s="322"/>
      <c r="AA340" s="322"/>
      <c r="AB340" s="322"/>
    </row>
    <row r="341" ht="15.75" customHeight="1">
      <c r="A341" s="328"/>
      <c r="B341" s="329"/>
      <c r="C341" s="328"/>
      <c r="D341" s="328"/>
      <c r="E341" s="329"/>
      <c r="F341" s="328"/>
      <c r="G341" s="328"/>
      <c r="H341" s="328"/>
      <c r="I341" s="328"/>
      <c r="J341" s="322"/>
      <c r="K341" s="322"/>
      <c r="L341" s="322"/>
      <c r="M341" s="322"/>
      <c r="N341" s="322"/>
      <c r="O341" s="322"/>
      <c r="P341" s="322"/>
      <c r="Q341" s="322"/>
      <c r="R341" s="322"/>
      <c r="S341" s="322"/>
      <c r="T341" s="322"/>
      <c r="U341" s="322"/>
      <c r="V341" s="322"/>
      <c r="W341" s="322"/>
      <c r="X341" s="322"/>
      <c r="Y341" s="322"/>
      <c r="Z341" s="322"/>
      <c r="AA341" s="322"/>
      <c r="AB341" s="322"/>
    </row>
    <row r="342" ht="15.75" customHeight="1">
      <c r="A342" s="328"/>
      <c r="B342" s="329"/>
      <c r="C342" s="328"/>
      <c r="D342" s="328"/>
      <c r="E342" s="329"/>
      <c r="F342" s="328"/>
      <c r="G342" s="328"/>
      <c r="H342" s="328"/>
      <c r="I342" s="328"/>
      <c r="J342" s="322"/>
      <c r="K342" s="322"/>
      <c r="L342" s="322"/>
      <c r="M342" s="322"/>
      <c r="N342" s="322"/>
      <c r="O342" s="322"/>
      <c r="P342" s="322"/>
      <c r="Q342" s="322"/>
      <c r="R342" s="322"/>
      <c r="S342" s="322"/>
      <c r="T342" s="322"/>
      <c r="U342" s="322"/>
      <c r="V342" s="322"/>
      <c r="W342" s="322"/>
      <c r="X342" s="322"/>
      <c r="Y342" s="322"/>
      <c r="Z342" s="322"/>
      <c r="AA342" s="322"/>
      <c r="AB342" s="322"/>
    </row>
    <row r="343" ht="15.75" customHeight="1">
      <c r="A343" s="328"/>
      <c r="B343" s="329"/>
      <c r="C343" s="328"/>
      <c r="D343" s="328"/>
      <c r="E343" s="329"/>
      <c r="F343" s="328"/>
      <c r="G343" s="328"/>
      <c r="H343" s="328"/>
      <c r="I343" s="328"/>
      <c r="J343" s="322"/>
      <c r="K343" s="322"/>
      <c r="L343" s="322"/>
      <c r="M343" s="322"/>
      <c r="N343" s="322"/>
      <c r="O343" s="322"/>
      <c r="P343" s="322"/>
      <c r="Q343" s="322"/>
      <c r="R343" s="322"/>
      <c r="S343" s="322"/>
      <c r="T343" s="322"/>
      <c r="U343" s="322"/>
      <c r="V343" s="322"/>
      <c r="W343" s="322"/>
      <c r="X343" s="322"/>
      <c r="Y343" s="322"/>
      <c r="Z343" s="322"/>
      <c r="AA343" s="322"/>
      <c r="AB343" s="322"/>
    </row>
    <row r="344" ht="15.75" customHeight="1">
      <c r="A344" s="328"/>
      <c r="B344" s="329"/>
      <c r="C344" s="328"/>
      <c r="D344" s="328"/>
      <c r="E344" s="329"/>
      <c r="F344" s="328"/>
      <c r="G344" s="328"/>
      <c r="H344" s="328"/>
      <c r="I344" s="328"/>
      <c r="J344" s="322"/>
      <c r="K344" s="322"/>
      <c r="L344" s="322"/>
      <c r="M344" s="322"/>
      <c r="N344" s="322"/>
      <c r="O344" s="322"/>
      <c r="P344" s="322"/>
      <c r="Q344" s="322"/>
      <c r="R344" s="322"/>
      <c r="S344" s="322"/>
      <c r="T344" s="322"/>
      <c r="U344" s="322"/>
      <c r="V344" s="322"/>
      <c r="W344" s="322"/>
      <c r="X344" s="322"/>
      <c r="Y344" s="322"/>
      <c r="Z344" s="322"/>
      <c r="AA344" s="322"/>
      <c r="AB344" s="322"/>
    </row>
    <row r="345" ht="15.75" customHeight="1">
      <c r="A345" s="328"/>
      <c r="B345" s="329"/>
      <c r="C345" s="328"/>
      <c r="D345" s="328"/>
      <c r="E345" s="329"/>
      <c r="F345" s="328"/>
      <c r="G345" s="328"/>
      <c r="H345" s="328"/>
      <c r="I345" s="328"/>
      <c r="J345" s="322"/>
      <c r="K345" s="322"/>
      <c r="L345" s="322"/>
      <c r="M345" s="322"/>
      <c r="N345" s="322"/>
      <c r="O345" s="322"/>
      <c r="P345" s="322"/>
      <c r="Q345" s="322"/>
      <c r="R345" s="322"/>
      <c r="S345" s="322"/>
      <c r="T345" s="322"/>
      <c r="U345" s="322"/>
      <c r="V345" s="322"/>
      <c r="W345" s="322"/>
      <c r="X345" s="322"/>
      <c r="Y345" s="322"/>
      <c r="Z345" s="322"/>
      <c r="AA345" s="322"/>
      <c r="AB345" s="322"/>
    </row>
    <row r="346" ht="15.75" customHeight="1">
      <c r="A346" s="328"/>
      <c r="B346" s="329"/>
      <c r="C346" s="328"/>
      <c r="D346" s="328"/>
      <c r="E346" s="329"/>
      <c r="F346" s="328"/>
      <c r="G346" s="328"/>
      <c r="H346" s="328"/>
      <c r="I346" s="328"/>
      <c r="J346" s="322"/>
      <c r="K346" s="322"/>
      <c r="L346" s="322"/>
      <c r="M346" s="322"/>
      <c r="N346" s="322"/>
      <c r="O346" s="322"/>
      <c r="P346" s="322"/>
      <c r="Q346" s="322"/>
      <c r="R346" s="322"/>
      <c r="S346" s="322"/>
      <c r="T346" s="322"/>
      <c r="U346" s="322"/>
      <c r="V346" s="322"/>
      <c r="W346" s="322"/>
      <c r="X346" s="322"/>
      <c r="Y346" s="322"/>
      <c r="Z346" s="322"/>
      <c r="AA346" s="322"/>
      <c r="AB346" s="322"/>
    </row>
    <row r="347" ht="15.75" customHeight="1">
      <c r="A347" s="328"/>
      <c r="B347" s="329"/>
      <c r="C347" s="328"/>
      <c r="D347" s="328"/>
      <c r="E347" s="329"/>
      <c r="F347" s="328"/>
      <c r="G347" s="328"/>
      <c r="H347" s="328"/>
      <c r="I347" s="328"/>
      <c r="J347" s="322"/>
      <c r="K347" s="322"/>
      <c r="L347" s="322"/>
      <c r="M347" s="322"/>
      <c r="N347" s="322"/>
      <c r="O347" s="322"/>
      <c r="P347" s="322"/>
      <c r="Q347" s="322"/>
      <c r="R347" s="322"/>
      <c r="S347" s="322"/>
      <c r="T347" s="322"/>
      <c r="U347" s="322"/>
      <c r="V347" s="322"/>
      <c r="W347" s="322"/>
      <c r="X347" s="322"/>
      <c r="Y347" s="322"/>
      <c r="Z347" s="322"/>
      <c r="AA347" s="322"/>
      <c r="AB347" s="322"/>
    </row>
    <row r="348" ht="15.75" customHeight="1">
      <c r="A348" s="328"/>
      <c r="B348" s="329"/>
      <c r="C348" s="328"/>
      <c r="D348" s="328"/>
      <c r="E348" s="329"/>
      <c r="F348" s="328"/>
      <c r="G348" s="328"/>
      <c r="H348" s="328"/>
      <c r="I348" s="328"/>
      <c r="J348" s="322"/>
      <c r="K348" s="322"/>
      <c r="L348" s="322"/>
      <c r="M348" s="322"/>
      <c r="N348" s="322"/>
      <c r="O348" s="322"/>
      <c r="P348" s="322"/>
      <c r="Q348" s="322"/>
      <c r="R348" s="322"/>
      <c r="S348" s="322"/>
      <c r="T348" s="322"/>
      <c r="U348" s="322"/>
      <c r="V348" s="322"/>
      <c r="W348" s="322"/>
      <c r="X348" s="322"/>
      <c r="Y348" s="322"/>
      <c r="Z348" s="322"/>
      <c r="AA348" s="322"/>
      <c r="AB348" s="322"/>
    </row>
    <row r="349" ht="15.75" customHeight="1">
      <c r="A349" s="328"/>
      <c r="B349" s="329"/>
      <c r="C349" s="328"/>
      <c r="D349" s="328"/>
      <c r="E349" s="329"/>
      <c r="F349" s="328"/>
      <c r="G349" s="328"/>
      <c r="H349" s="328"/>
      <c r="I349" s="328"/>
      <c r="J349" s="322"/>
      <c r="K349" s="322"/>
      <c r="L349" s="322"/>
      <c r="M349" s="322"/>
      <c r="N349" s="322"/>
      <c r="O349" s="322"/>
      <c r="P349" s="322"/>
      <c r="Q349" s="322"/>
      <c r="R349" s="322"/>
      <c r="S349" s="322"/>
      <c r="T349" s="322"/>
      <c r="U349" s="322"/>
      <c r="V349" s="322"/>
      <c r="W349" s="322"/>
      <c r="X349" s="322"/>
      <c r="Y349" s="322"/>
      <c r="Z349" s="322"/>
      <c r="AA349" s="322"/>
      <c r="AB349" s="322"/>
    </row>
    <row r="350" ht="15.75" customHeight="1">
      <c r="A350" s="328"/>
      <c r="B350" s="329"/>
      <c r="C350" s="328"/>
      <c r="D350" s="328"/>
      <c r="E350" s="329"/>
      <c r="F350" s="328"/>
      <c r="G350" s="328"/>
      <c r="H350" s="328"/>
      <c r="I350" s="328"/>
      <c r="J350" s="322"/>
      <c r="K350" s="322"/>
      <c r="L350" s="322"/>
      <c r="M350" s="322"/>
      <c r="N350" s="322"/>
      <c r="O350" s="322"/>
      <c r="P350" s="322"/>
      <c r="Q350" s="322"/>
      <c r="R350" s="322"/>
      <c r="S350" s="322"/>
      <c r="T350" s="322"/>
      <c r="U350" s="322"/>
      <c r="V350" s="322"/>
      <c r="W350" s="322"/>
      <c r="X350" s="322"/>
      <c r="Y350" s="322"/>
      <c r="Z350" s="322"/>
      <c r="AA350" s="322"/>
      <c r="AB350" s="322"/>
    </row>
    <row r="351" ht="15.75" customHeight="1">
      <c r="A351" s="328"/>
      <c r="B351" s="329"/>
      <c r="C351" s="328"/>
      <c r="D351" s="328"/>
      <c r="E351" s="329"/>
      <c r="F351" s="328"/>
      <c r="G351" s="328"/>
      <c r="H351" s="328"/>
      <c r="I351" s="328"/>
      <c r="J351" s="322"/>
      <c r="K351" s="322"/>
      <c r="L351" s="322"/>
      <c r="M351" s="322"/>
      <c r="N351" s="322"/>
      <c r="O351" s="322"/>
      <c r="P351" s="322"/>
      <c r="Q351" s="322"/>
      <c r="R351" s="322"/>
      <c r="S351" s="322"/>
      <c r="T351" s="322"/>
      <c r="U351" s="322"/>
      <c r="V351" s="322"/>
      <c r="W351" s="322"/>
      <c r="X351" s="322"/>
      <c r="Y351" s="322"/>
      <c r="Z351" s="322"/>
      <c r="AA351" s="322"/>
      <c r="AB351" s="322"/>
    </row>
    <row r="352" ht="15.75" customHeight="1">
      <c r="A352" s="328"/>
      <c r="B352" s="329"/>
      <c r="C352" s="328"/>
      <c r="D352" s="328"/>
      <c r="E352" s="329"/>
      <c r="F352" s="328"/>
      <c r="G352" s="328"/>
      <c r="H352" s="328"/>
      <c r="I352" s="328"/>
      <c r="J352" s="322"/>
      <c r="K352" s="322"/>
      <c r="L352" s="322"/>
      <c r="M352" s="322"/>
      <c r="N352" s="322"/>
      <c r="O352" s="322"/>
      <c r="P352" s="322"/>
      <c r="Q352" s="322"/>
      <c r="R352" s="322"/>
      <c r="S352" s="322"/>
      <c r="T352" s="322"/>
      <c r="U352" s="322"/>
      <c r="V352" s="322"/>
      <c r="W352" s="322"/>
      <c r="X352" s="322"/>
      <c r="Y352" s="322"/>
      <c r="Z352" s="322"/>
      <c r="AA352" s="322"/>
      <c r="AB352" s="322"/>
    </row>
    <row r="353" ht="15.75" customHeight="1">
      <c r="A353" s="328"/>
      <c r="B353" s="329"/>
      <c r="C353" s="328"/>
      <c r="D353" s="328"/>
      <c r="E353" s="329"/>
      <c r="F353" s="328"/>
      <c r="G353" s="328"/>
      <c r="H353" s="328"/>
      <c r="I353" s="328"/>
      <c r="J353" s="322"/>
      <c r="K353" s="322"/>
      <c r="L353" s="322"/>
      <c r="M353" s="322"/>
      <c r="N353" s="322"/>
      <c r="O353" s="322"/>
      <c r="P353" s="322"/>
      <c r="Q353" s="322"/>
      <c r="R353" s="322"/>
      <c r="S353" s="322"/>
      <c r="T353" s="322"/>
      <c r="U353" s="322"/>
      <c r="V353" s="322"/>
      <c r="W353" s="322"/>
      <c r="X353" s="322"/>
      <c r="Y353" s="322"/>
      <c r="Z353" s="322"/>
      <c r="AA353" s="322"/>
      <c r="AB353" s="322"/>
    </row>
    <row r="354" ht="15.75" customHeight="1">
      <c r="A354" s="328"/>
      <c r="B354" s="329"/>
      <c r="C354" s="328"/>
      <c r="D354" s="328"/>
      <c r="E354" s="329"/>
      <c r="F354" s="328"/>
      <c r="G354" s="328"/>
      <c r="H354" s="328"/>
      <c r="I354" s="328"/>
      <c r="J354" s="322"/>
      <c r="K354" s="322"/>
      <c r="L354" s="322"/>
      <c r="M354" s="322"/>
      <c r="N354" s="322"/>
      <c r="O354" s="322"/>
      <c r="P354" s="322"/>
      <c r="Q354" s="322"/>
      <c r="R354" s="322"/>
      <c r="S354" s="322"/>
      <c r="T354" s="322"/>
      <c r="U354" s="322"/>
      <c r="V354" s="322"/>
      <c r="W354" s="322"/>
      <c r="X354" s="322"/>
      <c r="Y354" s="322"/>
      <c r="Z354" s="322"/>
      <c r="AA354" s="322"/>
      <c r="AB354" s="322"/>
    </row>
    <row r="355" ht="15.75" customHeight="1">
      <c r="A355" s="322"/>
      <c r="B355" s="322"/>
      <c r="C355" s="322"/>
      <c r="D355" s="322"/>
      <c r="E355" s="330"/>
      <c r="F355" s="322"/>
      <c r="G355" s="322"/>
      <c r="H355" s="322"/>
      <c r="I355" s="322"/>
      <c r="J355" s="322"/>
      <c r="K355" s="322"/>
      <c r="L355" s="322"/>
      <c r="M355" s="322"/>
      <c r="N355" s="322"/>
      <c r="O355" s="322"/>
      <c r="P355" s="322"/>
      <c r="Q355" s="322"/>
      <c r="R355" s="322"/>
      <c r="S355" s="322"/>
      <c r="T355" s="322"/>
      <c r="U355" s="322"/>
      <c r="V355" s="322"/>
      <c r="W355" s="322"/>
      <c r="X355" s="322"/>
      <c r="Y355" s="322"/>
      <c r="Z355" s="322"/>
      <c r="AA355" s="322"/>
      <c r="AB355" s="322"/>
    </row>
    <row r="356" ht="15.75" customHeight="1">
      <c r="A356" s="322"/>
      <c r="B356" s="322"/>
      <c r="C356" s="322"/>
      <c r="D356" s="322"/>
      <c r="E356" s="330"/>
      <c r="F356" s="322"/>
      <c r="G356" s="322"/>
      <c r="H356" s="322"/>
      <c r="I356" s="322"/>
      <c r="J356" s="322"/>
      <c r="K356" s="322"/>
      <c r="L356" s="322"/>
      <c r="M356" s="322"/>
      <c r="N356" s="322"/>
      <c r="O356" s="322"/>
      <c r="P356" s="322"/>
      <c r="Q356" s="322"/>
      <c r="R356" s="322"/>
      <c r="S356" s="322"/>
      <c r="T356" s="322"/>
      <c r="U356" s="322"/>
      <c r="V356" s="322"/>
      <c r="W356" s="322"/>
      <c r="X356" s="322"/>
      <c r="Y356" s="322"/>
      <c r="Z356" s="322"/>
      <c r="AA356" s="322"/>
      <c r="AB356" s="322"/>
    </row>
    <row r="357" ht="15.75" customHeight="1">
      <c r="A357" s="322"/>
      <c r="B357" s="322"/>
      <c r="C357" s="322"/>
      <c r="D357" s="322"/>
      <c r="E357" s="330"/>
      <c r="F357" s="322"/>
      <c r="G357" s="322"/>
      <c r="H357" s="322"/>
      <c r="I357" s="322"/>
      <c r="J357" s="322"/>
      <c r="K357" s="322"/>
      <c r="L357" s="322"/>
      <c r="M357" s="322"/>
      <c r="N357" s="322"/>
      <c r="O357" s="322"/>
      <c r="P357" s="322"/>
      <c r="Q357" s="322"/>
      <c r="R357" s="322"/>
      <c r="S357" s="322"/>
      <c r="T357" s="322"/>
      <c r="U357" s="322"/>
      <c r="V357" s="322"/>
      <c r="W357" s="322"/>
      <c r="X357" s="322"/>
      <c r="Y357" s="322"/>
      <c r="Z357" s="322"/>
      <c r="AA357" s="322"/>
      <c r="AB357" s="322"/>
    </row>
    <row r="358" ht="15.75" customHeight="1">
      <c r="A358" s="322"/>
      <c r="B358" s="322"/>
      <c r="C358" s="322"/>
      <c r="D358" s="322"/>
      <c r="E358" s="330"/>
      <c r="F358" s="322"/>
      <c r="G358" s="322"/>
      <c r="H358" s="322"/>
      <c r="I358" s="322"/>
      <c r="J358" s="322"/>
      <c r="K358" s="322"/>
      <c r="L358" s="322"/>
      <c r="M358" s="322"/>
      <c r="N358" s="322"/>
      <c r="O358" s="322"/>
      <c r="P358" s="322"/>
      <c r="Q358" s="322"/>
      <c r="R358" s="322"/>
      <c r="S358" s="322"/>
      <c r="T358" s="322"/>
      <c r="U358" s="322"/>
      <c r="V358" s="322"/>
      <c r="W358" s="322"/>
      <c r="X358" s="322"/>
      <c r="Y358" s="322"/>
      <c r="Z358" s="322"/>
      <c r="AA358" s="322"/>
      <c r="AB358" s="322"/>
    </row>
    <row r="359" ht="15.75" customHeight="1">
      <c r="A359" s="322"/>
      <c r="B359" s="322"/>
      <c r="C359" s="322"/>
      <c r="D359" s="322"/>
      <c r="E359" s="330"/>
      <c r="F359" s="322"/>
      <c r="G359" s="322"/>
      <c r="H359" s="322"/>
      <c r="I359" s="322"/>
      <c r="J359" s="322"/>
      <c r="K359" s="322"/>
      <c r="L359" s="322"/>
      <c r="M359" s="322"/>
      <c r="N359" s="322"/>
      <c r="O359" s="322"/>
      <c r="P359" s="322"/>
      <c r="Q359" s="322"/>
      <c r="R359" s="322"/>
      <c r="S359" s="322"/>
      <c r="T359" s="322"/>
      <c r="U359" s="322"/>
      <c r="V359" s="322"/>
      <c r="W359" s="322"/>
      <c r="X359" s="322"/>
      <c r="Y359" s="322"/>
      <c r="Z359" s="322"/>
      <c r="AA359" s="322"/>
      <c r="AB359" s="322"/>
    </row>
    <row r="360" ht="15.75" customHeight="1">
      <c r="A360" s="322"/>
      <c r="B360" s="322"/>
      <c r="C360" s="322"/>
      <c r="D360" s="322"/>
      <c r="E360" s="330"/>
      <c r="F360" s="322"/>
      <c r="G360" s="322"/>
      <c r="H360" s="322"/>
      <c r="I360" s="322"/>
      <c r="J360" s="322"/>
      <c r="K360" s="322"/>
      <c r="L360" s="322"/>
      <c r="M360" s="322"/>
      <c r="N360" s="322"/>
      <c r="O360" s="322"/>
      <c r="P360" s="322"/>
      <c r="Q360" s="322"/>
      <c r="R360" s="322"/>
      <c r="S360" s="322"/>
      <c r="T360" s="322"/>
      <c r="U360" s="322"/>
      <c r="V360" s="322"/>
      <c r="W360" s="322"/>
      <c r="X360" s="322"/>
      <c r="Y360" s="322"/>
      <c r="Z360" s="322"/>
      <c r="AA360" s="322"/>
      <c r="AB360" s="322"/>
    </row>
    <row r="361" ht="15.75" customHeight="1">
      <c r="A361" s="322"/>
      <c r="B361" s="322"/>
      <c r="C361" s="322"/>
      <c r="D361" s="322"/>
      <c r="E361" s="330"/>
      <c r="F361" s="322"/>
      <c r="G361" s="322"/>
      <c r="H361" s="322"/>
      <c r="I361" s="322"/>
      <c r="J361" s="322"/>
      <c r="K361" s="322"/>
      <c r="L361" s="322"/>
      <c r="M361" s="322"/>
      <c r="N361" s="322"/>
      <c r="O361" s="322"/>
      <c r="P361" s="322"/>
      <c r="Q361" s="322"/>
      <c r="R361" s="322"/>
      <c r="S361" s="322"/>
      <c r="T361" s="322"/>
      <c r="U361" s="322"/>
      <c r="V361" s="322"/>
      <c r="W361" s="322"/>
      <c r="X361" s="322"/>
      <c r="Y361" s="322"/>
      <c r="Z361" s="322"/>
      <c r="AA361" s="322"/>
      <c r="AB361" s="322"/>
    </row>
    <row r="362" ht="15.75" customHeight="1">
      <c r="A362" s="322"/>
      <c r="B362" s="322"/>
      <c r="C362" s="322"/>
      <c r="D362" s="322"/>
      <c r="E362" s="330"/>
      <c r="F362" s="322"/>
      <c r="G362" s="322"/>
      <c r="H362" s="322"/>
      <c r="I362" s="322"/>
      <c r="J362" s="322"/>
      <c r="K362" s="322"/>
      <c r="L362" s="322"/>
      <c r="M362" s="322"/>
      <c r="N362" s="322"/>
      <c r="O362" s="322"/>
      <c r="P362" s="322"/>
      <c r="Q362" s="322"/>
      <c r="R362" s="322"/>
      <c r="S362" s="322"/>
      <c r="T362" s="322"/>
      <c r="U362" s="322"/>
      <c r="V362" s="322"/>
      <c r="W362" s="322"/>
      <c r="X362" s="322"/>
      <c r="Y362" s="322"/>
      <c r="Z362" s="322"/>
      <c r="AA362" s="322"/>
      <c r="AB362" s="322"/>
    </row>
    <row r="363" ht="15.75" customHeight="1">
      <c r="A363" s="322"/>
      <c r="B363" s="322"/>
      <c r="C363" s="322"/>
      <c r="D363" s="322"/>
      <c r="E363" s="330"/>
      <c r="F363" s="322"/>
      <c r="G363" s="322"/>
      <c r="H363" s="322"/>
      <c r="I363" s="322"/>
      <c r="J363" s="322"/>
      <c r="K363" s="322"/>
      <c r="L363" s="322"/>
      <c r="M363" s="322"/>
      <c r="N363" s="322"/>
      <c r="O363" s="322"/>
      <c r="P363" s="322"/>
      <c r="Q363" s="322"/>
      <c r="R363" s="322"/>
      <c r="S363" s="322"/>
      <c r="T363" s="322"/>
      <c r="U363" s="322"/>
      <c r="V363" s="322"/>
      <c r="W363" s="322"/>
      <c r="X363" s="322"/>
      <c r="Y363" s="322"/>
      <c r="Z363" s="322"/>
      <c r="AA363" s="322"/>
      <c r="AB363" s="322"/>
    </row>
    <row r="364" ht="15.75" customHeight="1">
      <c r="A364" s="322"/>
      <c r="B364" s="322"/>
      <c r="C364" s="322"/>
      <c r="D364" s="322"/>
      <c r="E364" s="330"/>
      <c r="F364" s="322"/>
      <c r="G364" s="322"/>
      <c r="H364" s="322"/>
      <c r="I364" s="322"/>
      <c r="J364" s="322"/>
      <c r="K364" s="322"/>
      <c r="L364" s="322"/>
      <c r="M364" s="322"/>
      <c r="N364" s="322"/>
      <c r="O364" s="322"/>
      <c r="P364" s="322"/>
      <c r="Q364" s="322"/>
      <c r="R364" s="322"/>
      <c r="S364" s="322"/>
      <c r="T364" s="322"/>
      <c r="U364" s="322"/>
      <c r="V364" s="322"/>
      <c r="W364" s="322"/>
      <c r="X364" s="322"/>
      <c r="Y364" s="322"/>
      <c r="Z364" s="322"/>
      <c r="AA364" s="322"/>
      <c r="AB364" s="322"/>
    </row>
    <row r="365" ht="15.75" customHeight="1">
      <c r="A365" s="322"/>
      <c r="B365" s="322"/>
      <c r="C365" s="322"/>
      <c r="D365" s="322"/>
      <c r="E365" s="330"/>
      <c r="F365" s="322"/>
      <c r="G365" s="322"/>
      <c r="H365" s="322"/>
      <c r="I365" s="322"/>
      <c r="J365" s="322"/>
      <c r="K365" s="322"/>
      <c r="L365" s="322"/>
      <c r="M365" s="322"/>
      <c r="N365" s="322"/>
      <c r="O365" s="322"/>
      <c r="P365" s="322"/>
      <c r="Q365" s="322"/>
      <c r="R365" s="322"/>
      <c r="S365" s="322"/>
      <c r="T365" s="322"/>
      <c r="U365" s="322"/>
      <c r="V365" s="322"/>
      <c r="W365" s="322"/>
      <c r="X365" s="322"/>
      <c r="Y365" s="322"/>
      <c r="Z365" s="322"/>
      <c r="AA365" s="322"/>
      <c r="AB365" s="322"/>
    </row>
    <row r="366" ht="15.75" customHeight="1">
      <c r="A366" s="322"/>
      <c r="B366" s="322"/>
      <c r="C366" s="322"/>
      <c r="D366" s="322"/>
      <c r="E366" s="330"/>
      <c r="F366" s="322"/>
      <c r="G366" s="322"/>
      <c r="H366" s="322"/>
      <c r="I366" s="322"/>
      <c r="J366" s="322"/>
      <c r="K366" s="322"/>
      <c r="L366" s="322"/>
      <c r="M366" s="322"/>
      <c r="N366" s="322"/>
      <c r="O366" s="322"/>
      <c r="P366" s="322"/>
      <c r="Q366" s="322"/>
      <c r="R366" s="322"/>
      <c r="S366" s="322"/>
      <c r="T366" s="322"/>
      <c r="U366" s="322"/>
      <c r="V366" s="322"/>
      <c r="W366" s="322"/>
      <c r="X366" s="322"/>
      <c r="Y366" s="322"/>
      <c r="Z366" s="322"/>
      <c r="AA366" s="322"/>
      <c r="AB366" s="322"/>
    </row>
    <row r="367" ht="15.75" customHeight="1">
      <c r="A367" s="322"/>
      <c r="B367" s="322"/>
      <c r="C367" s="322"/>
      <c r="D367" s="322"/>
      <c r="E367" s="330"/>
      <c r="F367" s="322"/>
      <c r="G367" s="322"/>
      <c r="H367" s="322"/>
      <c r="I367" s="322"/>
      <c r="J367" s="322"/>
      <c r="K367" s="322"/>
      <c r="L367" s="322"/>
      <c r="M367" s="322"/>
      <c r="N367" s="322"/>
      <c r="O367" s="322"/>
      <c r="P367" s="322"/>
      <c r="Q367" s="322"/>
      <c r="R367" s="322"/>
      <c r="S367" s="322"/>
      <c r="T367" s="322"/>
      <c r="U367" s="322"/>
      <c r="V367" s="322"/>
      <c r="W367" s="322"/>
      <c r="X367" s="322"/>
      <c r="Y367" s="322"/>
      <c r="Z367" s="322"/>
      <c r="AA367" s="322"/>
      <c r="AB367" s="322"/>
    </row>
    <row r="368" ht="15.75" customHeight="1">
      <c r="A368" s="322"/>
      <c r="B368" s="322"/>
      <c r="C368" s="322"/>
      <c r="D368" s="322"/>
      <c r="E368" s="330"/>
      <c r="F368" s="322"/>
      <c r="G368" s="322"/>
      <c r="H368" s="322"/>
      <c r="I368" s="322"/>
      <c r="J368" s="322"/>
      <c r="K368" s="322"/>
      <c r="L368" s="322"/>
      <c r="M368" s="322"/>
      <c r="N368" s="322"/>
      <c r="O368" s="322"/>
      <c r="P368" s="322"/>
      <c r="Q368" s="322"/>
      <c r="R368" s="322"/>
      <c r="S368" s="322"/>
      <c r="T368" s="322"/>
      <c r="U368" s="322"/>
      <c r="V368" s="322"/>
      <c r="W368" s="322"/>
      <c r="X368" s="322"/>
      <c r="Y368" s="322"/>
      <c r="Z368" s="322"/>
      <c r="AA368" s="322"/>
      <c r="AB368" s="322"/>
    </row>
    <row r="369" ht="15.75" customHeight="1">
      <c r="A369" s="322"/>
      <c r="B369" s="322"/>
      <c r="C369" s="322"/>
      <c r="D369" s="322"/>
      <c r="E369" s="330"/>
      <c r="F369" s="322"/>
      <c r="G369" s="322"/>
      <c r="H369" s="322"/>
      <c r="I369" s="322"/>
      <c r="J369" s="322"/>
      <c r="K369" s="322"/>
      <c r="L369" s="322"/>
      <c r="M369" s="322"/>
      <c r="N369" s="322"/>
      <c r="O369" s="322"/>
      <c r="P369" s="322"/>
      <c r="Q369" s="322"/>
      <c r="R369" s="322"/>
      <c r="S369" s="322"/>
      <c r="T369" s="322"/>
      <c r="U369" s="322"/>
      <c r="V369" s="322"/>
      <c r="W369" s="322"/>
      <c r="X369" s="322"/>
      <c r="Y369" s="322"/>
      <c r="Z369" s="322"/>
      <c r="AA369" s="322"/>
      <c r="AB369" s="322"/>
    </row>
    <row r="370" ht="15.75" customHeight="1">
      <c r="A370" s="322"/>
      <c r="B370" s="322"/>
      <c r="C370" s="322"/>
      <c r="D370" s="322"/>
      <c r="E370" s="330"/>
      <c r="F370" s="322"/>
      <c r="G370" s="322"/>
      <c r="H370" s="322"/>
      <c r="I370" s="322"/>
      <c r="J370" s="322"/>
      <c r="K370" s="322"/>
      <c r="L370" s="322"/>
      <c r="M370" s="322"/>
      <c r="N370" s="322"/>
      <c r="O370" s="322"/>
      <c r="P370" s="322"/>
      <c r="Q370" s="322"/>
      <c r="R370" s="322"/>
      <c r="S370" s="322"/>
      <c r="T370" s="322"/>
      <c r="U370" s="322"/>
      <c r="V370" s="322"/>
      <c r="W370" s="322"/>
      <c r="X370" s="322"/>
      <c r="Y370" s="322"/>
      <c r="Z370" s="322"/>
      <c r="AA370" s="322"/>
      <c r="AB370" s="322"/>
    </row>
    <row r="371" ht="15.75" customHeight="1">
      <c r="A371" s="322"/>
      <c r="B371" s="322"/>
      <c r="C371" s="322"/>
      <c r="D371" s="322"/>
      <c r="E371" s="330"/>
      <c r="F371" s="322"/>
      <c r="G371" s="322"/>
      <c r="H371" s="322"/>
      <c r="I371" s="322"/>
      <c r="J371" s="322"/>
      <c r="K371" s="322"/>
      <c r="L371" s="322"/>
      <c r="M371" s="322"/>
      <c r="N371" s="322"/>
      <c r="O371" s="322"/>
      <c r="P371" s="322"/>
      <c r="Q371" s="322"/>
      <c r="R371" s="322"/>
      <c r="S371" s="322"/>
      <c r="T371" s="322"/>
      <c r="U371" s="322"/>
      <c r="V371" s="322"/>
      <c r="W371" s="322"/>
      <c r="X371" s="322"/>
      <c r="Y371" s="322"/>
      <c r="Z371" s="322"/>
      <c r="AA371" s="322"/>
      <c r="AB371" s="322"/>
    </row>
    <row r="372" ht="15.75" customHeight="1">
      <c r="A372" s="322"/>
      <c r="B372" s="322"/>
      <c r="C372" s="322"/>
      <c r="D372" s="322"/>
      <c r="E372" s="330"/>
      <c r="F372" s="322"/>
      <c r="G372" s="322"/>
      <c r="H372" s="322"/>
      <c r="I372" s="322"/>
      <c r="J372" s="322"/>
      <c r="K372" s="322"/>
      <c r="L372" s="322"/>
      <c r="M372" s="322"/>
      <c r="N372" s="322"/>
      <c r="O372" s="322"/>
      <c r="P372" s="322"/>
      <c r="Q372" s="322"/>
      <c r="R372" s="322"/>
      <c r="S372" s="322"/>
      <c r="T372" s="322"/>
      <c r="U372" s="322"/>
      <c r="V372" s="322"/>
      <c r="W372" s="322"/>
      <c r="X372" s="322"/>
      <c r="Y372" s="322"/>
      <c r="Z372" s="322"/>
      <c r="AA372" s="322"/>
      <c r="AB372" s="322"/>
    </row>
    <row r="373" ht="15.75" customHeight="1">
      <c r="A373" s="322"/>
      <c r="B373" s="322"/>
      <c r="C373" s="322"/>
      <c r="D373" s="322"/>
      <c r="E373" s="330"/>
      <c r="F373" s="322"/>
      <c r="G373" s="322"/>
      <c r="H373" s="322"/>
      <c r="I373" s="322"/>
      <c r="J373" s="322"/>
      <c r="K373" s="322"/>
      <c r="L373" s="322"/>
      <c r="M373" s="322"/>
      <c r="N373" s="322"/>
      <c r="O373" s="322"/>
      <c r="P373" s="322"/>
      <c r="Q373" s="322"/>
      <c r="R373" s="322"/>
      <c r="S373" s="322"/>
      <c r="T373" s="322"/>
      <c r="U373" s="322"/>
      <c r="V373" s="322"/>
      <c r="W373" s="322"/>
      <c r="X373" s="322"/>
      <c r="Y373" s="322"/>
      <c r="Z373" s="322"/>
      <c r="AA373" s="322"/>
      <c r="AB373" s="322"/>
    </row>
    <row r="374" ht="15.75" customHeight="1">
      <c r="A374" s="322"/>
      <c r="B374" s="322"/>
      <c r="C374" s="322"/>
      <c r="D374" s="322"/>
      <c r="E374" s="330"/>
      <c r="F374" s="322"/>
      <c r="G374" s="322"/>
      <c r="H374" s="322"/>
      <c r="I374" s="322"/>
      <c r="J374" s="322"/>
      <c r="K374" s="322"/>
      <c r="L374" s="322"/>
      <c r="M374" s="322"/>
      <c r="N374" s="322"/>
      <c r="O374" s="322"/>
      <c r="P374" s="322"/>
      <c r="Q374" s="322"/>
      <c r="R374" s="322"/>
      <c r="S374" s="322"/>
      <c r="T374" s="322"/>
      <c r="U374" s="322"/>
      <c r="V374" s="322"/>
      <c r="W374" s="322"/>
      <c r="X374" s="322"/>
      <c r="Y374" s="322"/>
      <c r="Z374" s="322"/>
      <c r="AA374" s="322"/>
      <c r="AB374" s="322"/>
    </row>
    <row r="375" ht="15.75" customHeight="1">
      <c r="A375" s="322"/>
      <c r="B375" s="322"/>
      <c r="C375" s="322"/>
      <c r="D375" s="322"/>
      <c r="E375" s="330"/>
      <c r="F375" s="322"/>
      <c r="G375" s="322"/>
      <c r="H375" s="322"/>
      <c r="I375" s="322"/>
      <c r="J375" s="322"/>
      <c r="K375" s="322"/>
      <c r="L375" s="322"/>
      <c r="M375" s="322"/>
      <c r="N375" s="322"/>
      <c r="O375" s="322"/>
      <c r="P375" s="322"/>
      <c r="Q375" s="322"/>
      <c r="R375" s="322"/>
      <c r="S375" s="322"/>
      <c r="T375" s="322"/>
      <c r="U375" s="322"/>
      <c r="V375" s="322"/>
      <c r="W375" s="322"/>
      <c r="X375" s="322"/>
      <c r="Y375" s="322"/>
      <c r="Z375" s="322"/>
      <c r="AA375" s="322"/>
      <c r="AB375" s="322"/>
    </row>
    <row r="376" ht="15.75" customHeight="1">
      <c r="A376" s="322"/>
      <c r="B376" s="322"/>
      <c r="C376" s="322"/>
      <c r="D376" s="322"/>
      <c r="E376" s="330"/>
      <c r="F376" s="322"/>
      <c r="G376" s="322"/>
      <c r="H376" s="322"/>
      <c r="I376" s="322"/>
      <c r="J376" s="322"/>
      <c r="K376" s="322"/>
      <c r="L376" s="322"/>
      <c r="M376" s="322"/>
      <c r="N376" s="322"/>
      <c r="O376" s="322"/>
      <c r="P376" s="322"/>
      <c r="Q376" s="322"/>
      <c r="R376" s="322"/>
      <c r="S376" s="322"/>
      <c r="T376" s="322"/>
      <c r="U376" s="322"/>
      <c r="V376" s="322"/>
      <c r="W376" s="322"/>
      <c r="X376" s="322"/>
      <c r="Y376" s="322"/>
      <c r="Z376" s="322"/>
      <c r="AA376" s="322"/>
      <c r="AB376" s="322"/>
    </row>
    <row r="377" ht="15.75" customHeight="1">
      <c r="A377" s="322"/>
      <c r="B377" s="322"/>
      <c r="C377" s="322"/>
      <c r="D377" s="322"/>
      <c r="E377" s="330"/>
      <c r="F377" s="322"/>
      <c r="G377" s="322"/>
      <c r="H377" s="322"/>
      <c r="I377" s="322"/>
      <c r="J377" s="322"/>
      <c r="K377" s="322"/>
      <c r="L377" s="322"/>
      <c r="M377" s="322"/>
      <c r="N377" s="322"/>
      <c r="O377" s="322"/>
      <c r="P377" s="322"/>
      <c r="Q377" s="322"/>
      <c r="R377" s="322"/>
      <c r="S377" s="322"/>
      <c r="T377" s="322"/>
      <c r="U377" s="322"/>
      <c r="V377" s="322"/>
      <c r="W377" s="322"/>
      <c r="X377" s="322"/>
      <c r="Y377" s="322"/>
      <c r="Z377" s="322"/>
      <c r="AA377" s="322"/>
      <c r="AB377" s="322"/>
    </row>
    <row r="378" ht="15.75" customHeight="1">
      <c r="A378" s="322"/>
      <c r="B378" s="322"/>
      <c r="C378" s="322"/>
      <c r="D378" s="322"/>
      <c r="E378" s="330"/>
      <c r="F378" s="322"/>
      <c r="G378" s="322"/>
      <c r="H378" s="322"/>
      <c r="I378" s="322"/>
      <c r="J378" s="322"/>
      <c r="K378" s="322"/>
      <c r="L378" s="322"/>
      <c r="M378" s="322"/>
      <c r="N378" s="322"/>
      <c r="O378" s="322"/>
      <c r="P378" s="322"/>
      <c r="Q378" s="322"/>
      <c r="R378" s="322"/>
      <c r="S378" s="322"/>
      <c r="T378" s="322"/>
      <c r="U378" s="322"/>
      <c r="V378" s="322"/>
      <c r="W378" s="322"/>
      <c r="X378" s="322"/>
      <c r="Y378" s="322"/>
      <c r="Z378" s="322"/>
      <c r="AA378" s="322"/>
      <c r="AB378" s="322"/>
    </row>
    <row r="379" ht="15.75" customHeight="1">
      <c r="A379" s="322"/>
      <c r="B379" s="322"/>
      <c r="C379" s="322"/>
      <c r="D379" s="322"/>
      <c r="E379" s="330"/>
      <c r="F379" s="322"/>
      <c r="G379" s="322"/>
      <c r="H379" s="322"/>
      <c r="I379" s="322"/>
      <c r="J379" s="322"/>
      <c r="K379" s="322"/>
      <c r="L379" s="322"/>
      <c r="M379" s="322"/>
      <c r="N379" s="322"/>
      <c r="O379" s="322"/>
      <c r="P379" s="322"/>
      <c r="Q379" s="322"/>
      <c r="R379" s="322"/>
      <c r="S379" s="322"/>
      <c r="T379" s="322"/>
      <c r="U379" s="322"/>
      <c r="V379" s="322"/>
      <c r="W379" s="322"/>
      <c r="X379" s="322"/>
      <c r="Y379" s="322"/>
      <c r="Z379" s="322"/>
      <c r="AA379" s="322"/>
      <c r="AB379" s="322"/>
    </row>
    <row r="380" ht="15.75" customHeight="1">
      <c r="A380" s="322"/>
      <c r="B380" s="322"/>
      <c r="C380" s="322"/>
      <c r="D380" s="322"/>
      <c r="E380" s="330"/>
      <c r="F380" s="322"/>
      <c r="G380" s="322"/>
      <c r="H380" s="322"/>
      <c r="I380" s="322"/>
      <c r="J380" s="322"/>
      <c r="K380" s="322"/>
      <c r="L380" s="322"/>
      <c r="M380" s="322"/>
      <c r="N380" s="322"/>
      <c r="O380" s="322"/>
      <c r="P380" s="322"/>
      <c r="Q380" s="322"/>
      <c r="R380" s="322"/>
      <c r="S380" s="322"/>
      <c r="T380" s="322"/>
      <c r="U380" s="322"/>
      <c r="V380" s="322"/>
      <c r="W380" s="322"/>
      <c r="X380" s="322"/>
      <c r="Y380" s="322"/>
      <c r="Z380" s="322"/>
      <c r="AA380" s="322"/>
      <c r="AB380" s="322"/>
    </row>
    <row r="381" ht="15.75" customHeight="1">
      <c r="A381" s="322"/>
      <c r="B381" s="322"/>
      <c r="C381" s="322"/>
      <c r="D381" s="322"/>
      <c r="E381" s="330"/>
      <c r="F381" s="322"/>
      <c r="G381" s="322"/>
      <c r="H381" s="322"/>
      <c r="I381" s="322"/>
      <c r="J381" s="322"/>
      <c r="K381" s="322"/>
      <c r="L381" s="322"/>
      <c r="M381" s="322"/>
      <c r="N381" s="322"/>
      <c r="O381" s="322"/>
      <c r="P381" s="322"/>
      <c r="Q381" s="322"/>
      <c r="R381" s="322"/>
      <c r="S381" s="322"/>
      <c r="T381" s="322"/>
      <c r="U381" s="322"/>
      <c r="V381" s="322"/>
      <c r="W381" s="322"/>
      <c r="X381" s="322"/>
      <c r="Y381" s="322"/>
      <c r="Z381" s="322"/>
      <c r="AA381" s="322"/>
      <c r="AB381" s="322"/>
    </row>
    <row r="382" ht="15.75" customHeight="1">
      <c r="A382" s="322"/>
      <c r="B382" s="322"/>
      <c r="C382" s="322"/>
      <c r="D382" s="322"/>
      <c r="E382" s="330"/>
      <c r="F382" s="322"/>
      <c r="G382" s="322"/>
      <c r="H382" s="322"/>
      <c r="I382" s="322"/>
      <c r="J382" s="322"/>
      <c r="K382" s="322"/>
      <c r="L382" s="322"/>
      <c r="M382" s="322"/>
      <c r="N382" s="322"/>
      <c r="O382" s="322"/>
      <c r="P382" s="322"/>
      <c r="Q382" s="322"/>
      <c r="R382" s="322"/>
      <c r="S382" s="322"/>
      <c r="T382" s="322"/>
      <c r="U382" s="322"/>
      <c r="V382" s="322"/>
      <c r="W382" s="322"/>
      <c r="X382" s="322"/>
      <c r="Y382" s="322"/>
      <c r="Z382" s="322"/>
      <c r="AA382" s="322"/>
      <c r="AB382" s="322"/>
    </row>
    <row r="383" ht="15.75" customHeight="1">
      <c r="A383" s="322"/>
      <c r="B383" s="322"/>
      <c r="C383" s="322"/>
      <c r="D383" s="322"/>
      <c r="E383" s="330"/>
      <c r="F383" s="322"/>
      <c r="G383" s="322"/>
      <c r="H383" s="322"/>
      <c r="I383" s="322"/>
      <c r="J383" s="322"/>
      <c r="K383" s="322"/>
      <c r="L383" s="322"/>
      <c r="M383" s="322"/>
      <c r="N383" s="322"/>
      <c r="O383" s="322"/>
      <c r="P383" s="322"/>
      <c r="Q383" s="322"/>
      <c r="R383" s="322"/>
      <c r="S383" s="322"/>
      <c r="T383" s="322"/>
      <c r="U383" s="322"/>
      <c r="V383" s="322"/>
      <c r="W383" s="322"/>
      <c r="X383" s="322"/>
      <c r="Y383" s="322"/>
      <c r="Z383" s="322"/>
      <c r="AA383" s="322"/>
      <c r="AB383" s="322"/>
    </row>
    <row r="384" ht="15.75" customHeight="1">
      <c r="A384" s="322"/>
      <c r="B384" s="322"/>
      <c r="C384" s="322"/>
      <c r="D384" s="322"/>
      <c r="E384" s="330"/>
      <c r="F384" s="322"/>
      <c r="G384" s="322"/>
      <c r="H384" s="322"/>
      <c r="I384" s="322"/>
      <c r="J384" s="322"/>
      <c r="K384" s="322"/>
      <c r="L384" s="322"/>
      <c r="M384" s="322"/>
      <c r="N384" s="322"/>
      <c r="O384" s="322"/>
      <c r="P384" s="322"/>
      <c r="Q384" s="322"/>
      <c r="R384" s="322"/>
      <c r="S384" s="322"/>
      <c r="T384" s="322"/>
      <c r="U384" s="322"/>
      <c r="V384" s="322"/>
      <c r="W384" s="322"/>
      <c r="X384" s="322"/>
      <c r="Y384" s="322"/>
      <c r="Z384" s="322"/>
      <c r="AA384" s="322"/>
      <c r="AB384" s="322"/>
    </row>
    <row r="385" ht="15.75" customHeight="1">
      <c r="A385" s="322"/>
      <c r="B385" s="322"/>
      <c r="C385" s="322"/>
      <c r="D385" s="322"/>
      <c r="E385" s="330"/>
      <c r="F385" s="322"/>
      <c r="G385" s="322"/>
      <c r="H385" s="322"/>
      <c r="I385" s="322"/>
      <c r="J385" s="322"/>
      <c r="K385" s="322"/>
      <c r="L385" s="322"/>
      <c r="M385" s="322"/>
      <c r="N385" s="322"/>
      <c r="O385" s="322"/>
      <c r="P385" s="322"/>
      <c r="Q385" s="322"/>
      <c r="R385" s="322"/>
      <c r="S385" s="322"/>
      <c r="T385" s="322"/>
      <c r="U385" s="322"/>
      <c r="V385" s="322"/>
      <c r="W385" s="322"/>
      <c r="X385" s="322"/>
      <c r="Y385" s="322"/>
      <c r="Z385" s="322"/>
      <c r="AA385" s="322"/>
      <c r="AB385" s="322"/>
    </row>
    <row r="386" ht="15.75" customHeight="1">
      <c r="A386" s="322"/>
      <c r="B386" s="322"/>
      <c r="C386" s="322"/>
      <c r="D386" s="322"/>
      <c r="E386" s="330"/>
      <c r="F386" s="322"/>
      <c r="G386" s="322"/>
      <c r="H386" s="322"/>
      <c r="I386" s="322"/>
      <c r="J386" s="322"/>
      <c r="K386" s="322"/>
      <c r="L386" s="322"/>
      <c r="M386" s="322"/>
      <c r="N386" s="322"/>
      <c r="O386" s="322"/>
      <c r="P386" s="322"/>
      <c r="Q386" s="322"/>
      <c r="R386" s="322"/>
      <c r="S386" s="322"/>
      <c r="T386" s="322"/>
      <c r="U386" s="322"/>
      <c r="V386" s="322"/>
      <c r="W386" s="322"/>
      <c r="X386" s="322"/>
      <c r="Y386" s="322"/>
      <c r="Z386" s="322"/>
      <c r="AA386" s="322"/>
      <c r="AB386" s="322"/>
    </row>
    <row r="387" ht="15.75" customHeight="1">
      <c r="A387" s="322"/>
      <c r="B387" s="322"/>
      <c r="C387" s="322"/>
      <c r="D387" s="322"/>
      <c r="E387" s="330"/>
      <c r="F387" s="322"/>
      <c r="G387" s="322"/>
      <c r="H387" s="322"/>
      <c r="I387" s="322"/>
      <c r="J387" s="322"/>
      <c r="K387" s="322"/>
      <c r="L387" s="322"/>
      <c r="M387" s="322"/>
      <c r="N387" s="322"/>
      <c r="O387" s="322"/>
      <c r="P387" s="322"/>
      <c r="Q387" s="322"/>
      <c r="R387" s="322"/>
      <c r="S387" s="322"/>
      <c r="T387" s="322"/>
      <c r="U387" s="322"/>
      <c r="V387" s="322"/>
      <c r="W387" s="322"/>
      <c r="X387" s="322"/>
      <c r="Y387" s="322"/>
      <c r="Z387" s="322"/>
      <c r="AA387" s="322"/>
      <c r="AB387" s="322"/>
    </row>
    <row r="388" ht="15.75" customHeight="1">
      <c r="A388" s="322"/>
      <c r="B388" s="322"/>
      <c r="C388" s="322"/>
      <c r="D388" s="322"/>
      <c r="E388" s="330"/>
      <c r="F388" s="322"/>
      <c r="G388" s="322"/>
      <c r="H388" s="322"/>
      <c r="I388" s="322"/>
      <c r="J388" s="322"/>
      <c r="K388" s="322"/>
      <c r="L388" s="322"/>
      <c r="M388" s="322"/>
      <c r="N388" s="322"/>
      <c r="O388" s="322"/>
      <c r="P388" s="322"/>
      <c r="Q388" s="322"/>
      <c r="R388" s="322"/>
      <c r="S388" s="322"/>
      <c r="T388" s="322"/>
      <c r="U388" s="322"/>
      <c r="V388" s="322"/>
      <c r="W388" s="322"/>
      <c r="X388" s="322"/>
      <c r="Y388" s="322"/>
      <c r="Z388" s="322"/>
      <c r="AA388" s="322"/>
      <c r="AB388" s="322"/>
    </row>
    <row r="389" ht="15.75" customHeight="1">
      <c r="A389" s="322"/>
      <c r="B389" s="322"/>
      <c r="C389" s="322"/>
      <c r="D389" s="322"/>
      <c r="E389" s="330"/>
      <c r="F389" s="322"/>
      <c r="G389" s="322"/>
      <c r="H389" s="322"/>
      <c r="I389" s="322"/>
      <c r="J389" s="322"/>
      <c r="K389" s="322"/>
      <c r="L389" s="322"/>
      <c r="M389" s="322"/>
      <c r="N389" s="322"/>
      <c r="O389" s="322"/>
      <c r="P389" s="322"/>
      <c r="Q389" s="322"/>
      <c r="R389" s="322"/>
      <c r="S389" s="322"/>
      <c r="T389" s="322"/>
      <c r="U389" s="322"/>
      <c r="V389" s="322"/>
      <c r="W389" s="322"/>
      <c r="X389" s="322"/>
      <c r="Y389" s="322"/>
      <c r="Z389" s="322"/>
      <c r="AA389" s="322"/>
      <c r="AB389" s="322"/>
    </row>
    <row r="390" ht="15.75" customHeight="1">
      <c r="A390" s="322"/>
      <c r="B390" s="322"/>
      <c r="C390" s="322"/>
      <c r="D390" s="322"/>
      <c r="E390" s="330"/>
      <c r="F390" s="322"/>
      <c r="G390" s="322"/>
      <c r="H390" s="322"/>
      <c r="I390" s="322"/>
      <c r="J390" s="322"/>
      <c r="K390" s="322"/>
      <c r="L390" s="322"/>
      <c r="M390" s="322"/>
      <c r="N390" s="322"/>
      <c r="O390" s="322"/>
      <c r="P390" s="322"/>
      <c r="Q390" s="322"/>
      <c r="R390" s="322"/>
      <c r="S390" s="322"/>
      <c r="T390" s="322"/>
      <c r="U390" s="322"/>
      <c r="V390" s="322"/>
      <c r="W390" s="322"/>
      <c r="X390" s="322"/>
      <c r="Y390" s="322"/>
      <c r="Z390" s="322"/>
      <c r="AA390" s="322"/>
      <c r="AB390" s="322"/>
    </row>
    <row r="391" ht="15.75" customHeight="1">
      <c r="A391" s="322"/>
      <c r="B391" s="322"/>
      <c r="C391" s="322"/>
      <c r="D391" s="322"/>
      <c r="E391" s="330"/>
      <c r="F391" s="322"/>
      <c r="G391" s="322"/>
      <c r="H391" s="322"/>
      <c r="I391" s="322"/>
      <c r="J391" s="322"/>
      <c r="K391" s="322"/>
      <c r="L391" s="322"/>
      <c r="M391" s="322"/>
      <c r="N391" s="322"/>
      <c r="O391" s="322"/>
      <c r="P391" s="322"/>
      <c r="Q391" s="322"/>
      <c r="R391" s="322"/>
      <c r="S391" s="322"/>
      <c r="T391" s="322"/>
      <c r="U391" s="322"/>
      <c r="V391" s="322"/>
      <c r="W391" s="322"/>
      <c r="X391" s="322"/>
      <c r="Y391" s="322"/>
      <c r="Z391" s="322"/>
      <c r="AA391" s="322"/>
      <c r="AB391" s="322"/>
    </row>
    <row r="392" ht="15.75" customHeight="1">
      <c r="A392" s="322"/>
      <c r="B392" s="322"/>
      <c r="C392" s="322"/>
      <c r="D392" s="322"/>
      <c r="E392" s="330"/>
      <c r="F392" s="322"/>
      <c r="G392" s="322"/>
      <c r="H392" s="322"/>
      <c r="I392" s="322"/>
      <c r="J392" s="322"/>
      <c r="K392" s="322"/>
      <c r="L392" s="322"/>
      <c r="M392" s="322"/>
      <c r="N392" s="322"/>
      <c r="O392" s="322"/>
      <c r="P392" s="322"/>
      <c r="Q392" s="322"/>
      <c r="R392" s="322"/>
      <c r="S392" s="322"/>
      <c r="T392" s="322"/>
      <c r="U392" s="322"/>
      <c r="V392" s="322"/>
      <c r="W392" s="322"/>
      <c r="X392" s="322"/>
      <c r="Y392" s="322"/>
      <c r="Z392" s="322"/>
      <c r="AA392" s="322"/>
      <c r="AB392" s="322"/>
    </row>
    <row r="393" ht="15.75" customHeight="1">
      <c r="A393" s="322"/>
      <c r="B393" s="322"/>
      <c r="C393" s="322"/>
      <c r="D393" s="322"/>
      <c r="E393" s="330"/>
      <c r="F393" s="322"/>
      <c r="G393" s="322"/>
      <c r="H393" s="322"/>
      <c r="I393" s="322"/>
      <c r="J393" s="322"/>
      <c r="K393" s="322"/>
      <c r="L393" s="322"/>
      <c r="M393" s="322"/>
      <c r="N393" s="322"/>
      <c r="O393" s="322"/>
      <c r="P393" s="322"/>
      <c r="Q393" s="322"/>
      <c r="R393" s="322"/>
      <c r="S393" s="322"/>
      <c r="T393" s="322"/>
      <c r="U393" s="322"/>
      <c r="V393" s="322"/>
      <c r="W393" s="322"/>
      <c r="X393" s="322"/>
      <c r="Y393" s="322"/>
      <c r="Z393" s="322"/>
      <c r="AA393" s="322"/>
      <c r="AB393" s="322"/>
    </row>
    <row r="394" ht="15.75" customHeight="1">
      <c r="A394" s="322"/>
      <c r="B394" s="322"/>
      <c r="C394" s="322"/>
      <c r="D394" s="322"/>
      <c r="E394" s="330"/>
      <c r="F394" s="322"/>
      <c r="G394" s="322"/>
      <c r="H394" s="322"/>
      <c r="I394" s="322"/>
      <c r="J394" s="322"/>
      <c r="K394" s="322"/>
      <c r="L394" s="322"/>
      <c r="M394" s="322"/>
      <c r="N394" s="322"/>
      <c r="O394" s="322"/>
      <c r="P394" s="322"/>
      <c r="Q394" s="322"/>
      <c r="R394" s="322"/>
      <c r="S394" s="322"/>
      <c r="T394" s="322"/>
      <c r="U394" s="322"/>
      <c r="V394" s="322"/>
      <c r="W394" s="322"/>
      <c r="X394" s="322"/>
      <c r="Y394" s="322"/>
      <c r="Z394" s="322"/>
      <c r="AA394" s="322"/>
      <c r="AB394" s="322"/>
    </row>
    <row r="395" ht="15.75" customHeight="1">
      <c r="A395" s="322"/>
      <c r="B395" s="322"/>
      <c r="C395" s="322"/>
      <c r="D395" s="322"/>
      <c r="E395" s="330"/>
      <c r="F395" s="322"/>
      <c r="G395" s="322"/>
      <c r="H395" s="322"/>
      <c r="I395" s="322"/>
      <c r="J395" s="322"/>
      <c r="K395" s="322"/>
      <c r="L395" s="322"/>
      <c r="M395" s="322"/>
      <c r="N395" s="322"/>
      <c r="O395" s="322"/>
      <c r="P395" s="322"/>
      <c r="Q395" s="322"/>
      <c r="R395" s="322"/>
      <c r="S395" s="322"/>
      <c r="T395" s="322"/>
      <c r="U395" s="322"/>
      <c r="V395" s="322"/>
      <c r="W395" s="322"/>
      <c r="X395" s="322"/>
      <c r="Y395" s="322"/>
      <c r="Z395" s="322"/>
      <c r="AA395" s="322"/>
      <c r="AB395" s="322"/>
    </row>
    <row r="396" ht="15.75" customHeight="1">
      <c r="A396" s="322"/>
      <c r="B396" s="322"/>
      <c r="C396" s="322"/>
      <c r="D396" s="322"/>
      <c r="E396" s="330"/>
      <c r="F396" s="322"/>
      <c r="G396" s="322"/>
      <c r="H396" s="322"/>
      <c r="I396" s="322"/>
      <c r="J396" s="322"/>
      <c r="K396" s="322"/>
      <c r="L396" s="322"/>
      <c r="M396" s="322"/>
      <c r="N396" s="322"/>
      <c r="O396" s="322"/>
      <c r="P396" s="322"/>
      <c r="Q396" s="322"/>
      <c r="R396" s="322"/>
      <c r="S396" s="322"/>
      <c r="T396" s="322"/>
      <c r="U396" s="322"/>
      <c r="V396" s="322"/>
      <c r="W396" s="322"/>
      <c r="X396" s="322"/>
      <c r="Y396" s="322"/>
      <c r="Z396" s="322"/>
      <c r="AA396" s="322"/>
      <c r="AB396" s="322"/>
    </row>
    <row r="397" ht="15.75" customHeight="1">
      <c r="A397" s="322"/>
      <c r="B397" s="322"/>
      <c r="C397" s="322"/>
      <c r="D397" s="322"/>
      <c r="E397" s="330"/>
      <c r="F397" s="322"/>
      <c r="G397" s="322"/>
      <c r="H397" s="322"/>
      <c r="I397" s="322"/>
      <c r="J397" s="322"/>
      <c r="K397" s="322"/>
      <c r="L397" s="322"/>
      <c r="M397" s="322"/>
      <c r="N397" s="322"/>
      <c r="O397" s="322"/>
      <c r="P397" s="322"/>
      <c r="Q397" s="322"/>
      <c r="R397" s="322"/>
      <c r="S397" s="322"/>
      <c r="T397" s="322"/>
      <c r="U397" s="322"/>
      <c r="V397" s="322"/>
      <c r="W397" s="322"/>
      <c r="X397" s="322"/>
      <c r="Y397" s="322"/>
      <c r="Z397" s="322"/>
      <c r="AA397" s="322"/>
      <c r="AB397" s="322"/>
    </row>
    <row r="398" ht="15.75" customHeight="1">
      <c r="A398" s="322"/>
      <c r="B398" s="322"/>
      <c r="C398" s="322"/>
      <c r="D398" s="322"/>
      <c r="E398" s="330"/>
      <c r="F398" s="322"/>
      <c r="G398" s="322"/>
      <c r="H398" s="322"/>
      <c r="I398" s="322"/>
      <c r="J398" s="322"/>
      <c r="K398" s="322"/>
      <c r="L398" s="322"/>
      <c r="M398" s="322"/>
      <c r="N398" s="322"/>
      <c r="O398" s="322"/>
      <c r="P398" s="322"/>
      <c r="Q398" s="322"/>
      <c r="R398" s="322"/>
      <c r="S398" s="322"/>
      <c r="T398" s="322"/>
      <c r="U398" s="322"/>
      <c r="V398" s="322"/>
      <c r="W398" s="322"/>
      <c r="X398" s="322"/>
      <c r="Y398" s="322"/>
      <c r="Z398" s="322"/>
      <c r="AA398" s="322"/>
      <c r="AB398" s="322"/>
    </row>
    <row r="399" ht="15.75" customHeight="1">
      <c r="A399" s="322"/>
      <c r="B399" s="322"/>
      <c r="C399" s="322"/>
      <c r="D399" s="322"/>
      <c r="E399" s="330"/>
      <c r="F399" s="322"/>
      <c r="G399" s="322"/>
      <c r="H399" s="322"/>
      <c r="I399" s="322"/>
      <c r="J399" s="322"/>
      <c r="K399" s="322"/>
      <c r="L399" s="322"/>
      <c r="M399" s="322"/>
      <c r="N399" s="322"/>
      <c r="O399" s="322"/>
      <c r="P399" s="322"/>
      <c r="Q399" s="322"/>
      <c r="R399" s="322"/>
      <c r="S399" s="322"/>
      <c r="T399" s="322"/>
      <c r="U399" s="322"/>
      <c r="V399" s="322"/>
      <c r="W399" s="322"/>
      <c r="X399" s="322"/>
      <c r="Y399" s="322"/>
      <c r="Z399" s="322"/>
      <c r="AA399" s="322"/>
      <c r="AB399" s="322"/>
    </row>
    <row r="400" ht="15.75" customHeight="1">
      <c r="A400" s="322"/>
      <c r="B400" s="322"/>
      <c r="C400" s="322"/>
      <c r="D400" s="322"/>
      <c r="E400" s="330"/>
      <c r="F400" s="322"/>
      <c r="G400" s="322"/>
      <c r="H400" s="322"/>
      <c r="I400" s="322"/>
      <c r="J400" s="322"/>
      <c r="K400" s="322"/>
      <c r="L400" s="322"/>
      <c r="M400" s="322"/>
      <c r="N400" s="322"/>
      <c r="O400" s="322"/>
      <c r="P400" s="322"/>
      <c r="Q400" s="322"/>
      <c r="R400" s="322"/>
      <c r="S400" s="322"/>
      <c r="T400" s="322"/>
      <c r="U400" s="322"/>
      <c r="V400" s="322"/>
      <c r="W400" s="322"/>
      <c r="X400" s="322"/>
      <c r="Y400" s="322"/>
      <c r="Z400" s="322"/>
      <c r="AA400" s="322"/>
      <c r="AB400" s="322"/>
    </row>
    <row r="401" ht="15.75" customHeight="1">
      <c r="A401" s="322"/>
      <c r="B401" s="322"/>
      <c r="C401" s="322"/>
      <c r="D401" s="322"/>
      <c r="E401" s="330"/>
      <c r="F401" s="322"/>
      <c r="G401" s="322"/>
      <c r="H401" s="322"/>
      <c r="I401" s="322"/>
      <c r="J401" s="322"/>
      <c r="K401" s="322"/>
      <c r="L401" s="322"/>
      <c r="M401" s="322"/>
      <c r="N401" s="322"/>
      <c r="O401" s="322"/>
      <c r="P401" s="322"/>
      <c r="Q401" s="322"/>
      <c r="R401" s="322"/>
      <c r="S401" s="322"/>
      <c r="T401" s="322"/>
      <c r="U401" s="322"/>
      <c r="V401" s="322"/>
      <c r="W401" s="322"/>
      <c r="X401" s="322"/>
      <c r="Y401" s="322"/>
      <c r="Z401" s="322"/>
      <c r="AA401" s="322"/>
      <c r="AB401" s="322"/>
    </row>
    <row r="402" ht="15.75" customHeight="1">
      <c r="A402" s="322"/>
      <c r="B402" s="322"/>
      <c r="C402" s="322"/>
      <c r="D402" s="322"/>
      <c r="E402" s="330"/>
      <c r="F402" s="322"/>
      <c r="G402" s="322"/>
      <c r="H402" s="322"/>
      <c r="I402" s="322"/>
      <c r="J402" s="322"/>
      <c r="K402" s="322"/>
      <c r="L402" s="322"/>
      <c r="M402" s="322"/>
      <c r="N402" s="322"/>
      <c r="O402" s="322"/>
      <c r="P402" s="322"/>
      <c r="Q402" s="322"/>
      <c r="R402" s="322"/>
      <c r="S402" s="322"/>
      <c r="T402" s="322"/>
      <c r="U402" s="322"/>
      <c r="V402" s="322"/>
      <c r="W402" s="322"/>
      <c r="X402" s="322"/>
      <c r="Y402" s="322"/>
      <c r="Z402" s="322"/>
      <c r="AA402" s="322"/>
      <c r="AB402" s="322"/>
    </row>
    <row r="403" ht="15.75" customHeight="1">
      <c r="A403" s="322"/>
      <c r="B403" s="322"/>
      <c r="C403" s="322"/>
      <c r="D403" s="322"/>
      <c r="E403" s="330"/>
      <c r="F403" s="322"/>
      <c r="G403" s="322"/>
      <c r="H403" s="322"/>
      <c r="I403" s="322"/>
      <c r="J403" s="322"/>
      <c r="K403" s="322"/>
      <c r="L403" s="322"/>
      <c r="M403" s="322"/>
      <c r="N403" s="322"/>
      <c r="O403" s="322"/>
      <c r="P403" s="322"/>
      <c r="Q403" s="322"/>
      <c r="R403" s="322"/>
      <c r="S403" s="322"/>
      <c r="T403" s="322"/>
      <c r="U403" s="322"/>
      <c r="V403" s="322"/>
      <c r="W403" s="322"/>
      <c r="X403" s="322"/>
      <c r="Y403" s="322"/>
      <c r="Z403" s="322"/>
      <c r="AA403" s="322"/>
      <c r="AB403" s="322"/>
    </row>
    <row r="404" ht="15.75" customHeight="1">
      <c r="A404" s="322"/>
      <c r="B404" s="322"/>
      <c r="C404" s="322"/>
      <c r="D404" s="322"/>
      <c r="E404" s="330"/>
      <c r="F404" s="322"/>
      <c r="G404" s="322"/>
      <c r="H404" s="322"/>
      <c r="I404" s="322"/>
      <c r="J404" s="322"/>
      <c r="K404" s="322"/>
      <c r="L404" s="322"/>
      <c r="M404" s="322"/>
      <c r="N404" s="322"/>
      <c r="O404" s="322"/>
      <c r="P404" s="322"/>
      <c r="Q404" s="322"/>
      <c r="R404" s="322"/>
      <c r="S404" s="322"/>
      <c r="T404" s="322"/>
      <c r="U404" s="322"/>
      <c r="V404" s="322"/>
      <c r="W404" s="322"/>
      <c r="X404" s="322"/>
      <c r="Y404" s="322"/>
      <c r="Z404" s="322"/>
      <c r="AA404" s="322"/>
      <c r="AB404" s="322"/>
    </row>
    <row r="405" ht="15.75" customHeight="1">
      <c r="A405" s="322"/>
      <c r="B405" s="322"/>
      <c r="C405" s="322"/>
      <c r="D405" s="322"/>
      <c r="E405" s="330"/>
      <c r="F405" s="322"/>
      <c r="G405" s="322"/>
      <c r="H405" s="322"/>
      <c r="I405" s="322"/>
      <c r="J405" s="322"/>
      <c r="K405" s="322"/>
      <c r="L405" s="322"/>
      <c r="M405" s="322"/>
      <c r="N405" s="322"/>
      <c r="O405" s="322"/>
      <c r="P405" s="322"/>
      <c r="Q405" s="322"/>
      <c r="R405" s="322"/>
      <c r="S405" s="322"/>
      <c r="T405" s="322"/>
      <c r="U405" s="322"/>
      <c r="V405" s="322"/>
      <c r="W405" s="322"/>
      <c r="X405" s="322"/>
      <c r="Y405" s="322"/>
      <c r="Z405" s="322"/>
      <c r="AA405" s="322"/>
      <c r="AB405" s="322"/>
    </row>
    <row r="406" ht="15.75" customHeight="1">
      <c r="A406" s="322"/>
      <c r="B406" s="322"/>
      <c r="C406" s="322"/>
      <c r="D406" s="322"/>
      <c r="E406" s="330"/>
      <c r="F406" s="322"/>
      <c r="G406" s="322"/>
      <c r="H406" s="322"/>
      <c r="I406" s="322"/>
      <c r="J406" s="322"/>
      <c r="K406" s="322"/>
      <c r="L406" s="322"/>
      <c r="M406" s="322"/>
      <c r="N406" s="322"/>
      <c r="O406" s="322"/>
      <c r="P406" s="322"/>
      <c r="Q406" s="322"/>
      <c r="R406" s="322"/>
      <c r="S406" s="322"/>
      <c r="T406" s="322"/>
      <c r="U406" s="322"/>
      <c r="V406" s="322"/>
      <c r="W406" s="322"/>
      <c r="X406" s="322"/>
      <c r="Y406" s="322"/>
      <c r="Z406" s="322"/>
      <c r="AA406" s="322"/>
      <c r="AB406" s="322"/>
    </row>
    <row r="407" ht="15.75" customHeight="1">
      <c r="A407" s="322"/>
      <c r="B407" s="322"/>
      <c r="C407" s="322"/>
      <c r="D407" s="322"/>
      <c r="E407" s="330"/>
      <c r="F407" s="322"/>
      <c r="G407" s="322"/>
      <c r="H407" s="322"/>
      <c r="I407" s="322"/>
      <c r="J407" s="322"/>
      <c r="K407" s="322"/>
      <c r="L407" s="322"/>
      <c r="M407" s="322"/>
      <c r="N407" s="322"/>
      <c r="O407" s="322"/>
      <c r="P407" s="322"/>
      <c r="Q407" s="322"/>
      <c r="R407" s="322"/>
      <c r="S407" s="322"/>
      <c r="T407" s="322"/>
      <c r="U407" s="322"/>
      <c r="V407" s="322"/>
      <c r="W407" s="322"/>
      <c r="X407" s="322"/>
      <c r="Y407" s="322"/>
      <c r="Z407" s="322"/>
      <c r="AA407" s="322"/>
      <c r="AB407" s="322"/>
    </row>
    <row r="408" ht="15.75" customHeight="1">
      <c r="A408" s="322"/>
      <c r="B408" s="322"/>
      <c r="C408" s="322"/>
      <c r="D408" s="322"/>
      <c r="E408" s="330"/>
      <c r="F408" s="322"/>
      <c r="G408" s="322"/>
      <c r="H408" s="322"/>
      <c r="I408" s="322"/>
      <c r="J408" s="322"/>
      <c r="K408" s="322"/>
      <c r="L408" s="322"/>
      <c r="M408" s="322"/>
      <c r="N408" s="322"/>
      <c r="O408" s="322"/>
      <c r="P408" s="322"/>
      <c r="Q408" s="322"/>
      <c r="R408" s="322"/>
      <c r="S408" s="322"/>
      <c r="T408" s="322"/>
      <c r="U408" s="322"/>
      <c r="V408" s="322"/>
      <c r="W408" s="322"/>
      <c r="X408" s="322"/>
      <c r="Y408" s="322"/>
      <c r="Z408" s="322"/>
      <c r="AA408" s="322"/>
      <c r="AB408" s="322"/>
    </row>
    <row r="409" ht="15.75" customHeight="1">
      <c r="A409" s="322"/>
      <c r="B409" s="322"/>
      <c r="C409" s="322"/>
      <c r="D409" s="322"/>
      <c r="E409" s="330"/>
      <c r="F409" s="322"/>
      <c r="G409" s="322"/>
      <c r="H409" s="322"/>
      <c r="I409" s="322"/>
      <c r="J409" s="322"/>
      <c r="K409" s="322"/>
      <c r="L409" s="322"/>
      <c r="M409" s="322"/>
      <c r="N409" s="322"/>
      <c r="O409" s="322"/>
      <c r="P409" s="322"/>
      <c r="Q409" s="322"/>
      <c r="R409" s="322"/>
      <c r="S409" s="322"/>
      <c r="T409" s="322"/>
      <c r="U409" s="322"/>
      <c r="V409" s="322"/>
      <c r="W409" s="322"/>
      <c r="X409" s="322"/>
      <c r="Y409" s="322"/>
      <c r="Z409" s="322"/>
      <c r="AA409" s="322"/>
      <c r="AB409" s="322"/>
    </row>
    <row r="410" ht="15.75" customHeight="1">
      <c r="A410" s="322"/>
      <c r="B410" s="322"/>
      <c r="C410" s="322"/>
      <c r="D410" s="322"/>
      <c r="E410" s="330"/>
      <c r="F410" s="322"/>
      <c r="G410" s="322"/>
      <c r="H410" s="322"/>
      <c r="I410" s="322"/>
      <c r="J410" s="322"/>
      <c r="K410" s="322"/>
      <c r="L410" s="322"/>
      <c r="M410" s="322"/>
      <c r="N410" s="322"/>
      <c r="O410" s="322"/>
      <c r="P410" s="322"/>
      <c r="Q410" s="322"/>
      <c r="R410" s="322"/>
      <c r="S410" s="322"/>
      <c r="T410" s="322"/>
      <c r="U410" s="322"/>
      <c r="V410" s="322"/>
      <c r="W410" s="322"/>
      <c r="X410" s="322"/>
      <c r="Y410" s="322"/>
      <c r="Z410" s="322"/>
      <c r="AA410" s="322"/>
      <c r="AB410" s="322"/>
    </row>
    <row r="411" ht="15.75" customHeight="1">
      <c r="A411" s="322"/>
      <c r="B411" s="322"/>
      <c r="C411" s="322"/>
      <c r="D411" s="322"/>
      <c r="E411" s="330"/>
      <c r="F411" s="322"/>
      <c r="G411" s="322"/>
      <c r="H411" s="322"/>
      <c r="I411" s="322"/>
      <c r="J411" s="322"/>
      <c r="K411" s="322"/>
      <c r="L411" s="322"/>
      <c r="M411" s="322"/>
      <c r="N411" s="322"/>
      <c r="O411" s="322"/>
      <c r="P411" s="322"/>
      <c r="Q411" s="322"/>
      <c r="R411" s="322"/>
      <c r="S411" s="322"/>
      <c r="T411" s="322"/>
      <c r="U411" s="322"/>
      <c r="V411" s="322"/>
      <c r="W411" s="322"/>
      <c r="X411" s="322"/>
      <c r="Y411" s="322"/>
      <c r="Z411" s="322"/>
      <c r="AA411" s="322"/>
      <c r="AB411" s="322"/>
    </row>
    <row r="412" ht="15.75" customHeight="1">
      <c r="A412" s="322"/>
      <c r="B412" s="322"/>
      <c r="C412" s="322"/>
      <c r="D412" s="322"/>
      <c r="E412" s="330"/>
      <c r="F412" s="322"/>
      <c r="G412" s="322"/>
      <c r="H412" s="322"/>
      <c r="I412" s="322"/>
      <c r="J412" s="322"/>
      <c r="K412" s="322"/>
      <c r="L412" s="322"/>
      <c r="M412" s="322"/>
      <c r="N412" s="322"/>
      <c r="O412" s="322"/>
      <c r="P412" s="322"/>
      <c r="Q412" s="322"/>
      <c r="R412" s="322"/>
      <c r="S412" s="322"/>
      <c r="T412" s="322"/>
      <c r="U412" s="322"/>
      <c r="V412" s="322"/>
      <c r="W412" s="322"/>
      <c r="X412" s="322"/>
      <c r="Y412" s="322"/>
      <c r="Z412" s="322"/>
      <c r="AA412" s="322"/>
      <c r="AB412" s="322"/>
    </row>
    <row r="413" ht="15.75" customHeight="1">
      <c r="A413" s="322"/>
      <c r="B413" s="322"/>
      <c r="C413" s="322"/>
      <c r="D413" s="322"/>
      <c r="E413" s="330"/>
      <c r="F413" s="322"/>
      <c r="G413" s="322"/>
      <c r="H413" s="322"/>
      <c r="I413" s="322"/>
      <c r="J413" s="322"/>
      <c r="K413" s="322"/>
      <c r="L413" s="322"/>
      <c r="M413" s="322"/>
      <c r="N413" s="322"/>
      <c r="O413" s="322"/>
      <c r="P413" s="322"/>
      <c r="Q413" s="322"/>
      <c r="R413" s="322"/>
      <c r="S413" s="322"/>
      <c r="T413" s="322"/>
      <c r="U413" s="322"/>
      <c r="V413" s="322"/>
      <c r="W413" s="322"/>
      <c r="X413" s="322"/>
      <c r="Y413" s="322"/>
      <c r="Z413" s="322"/>
      <c r="AA413" s="322"/>
      <c r="AB413" s="322"/>
    </row>
    <row r="414" ht="15.75" customHeight="1">
      <c r="A414" s="322"/>
      <c r="B414" s="322"/>
      <c r="C414" s="322"/>
      <c r="D414" s="322"/>
      <c r="E414" s="330"/>
      <c r="F414" s="322"/>
      <c r="G414" s="322"/>
      <c r="H414" s="322"/>
      <c r="I414" s="322"/>
      <c r="J414" s="322"/>
      <c r="K414" s="322"/>
      <c r="L414" s="322"/>
      <c r="M414" s="322"/>
      <c r="N414" s="322"/>
      <c r="O414" s="322"/>
      <c r="P414" s="322"/>
      <c r="Q414" s="322"/>
      <c r="R414" s="322"/>
      <c r="S414" s="322"/>
      <c r="T414" s="322"/>
      <c r="U414" s="322"/>
      <c r="V414" s="322"/>
      <c r="W414" s="322"/>
      <c r="X414" s="322"/>
      <c r="Y414" s="322"/>
      <c r="Z414" s="322"/>
      <c r="AA414" s="322"/>
      <c r="AB414" s="322"/>
    </row>
    <row r="415" ht="15.75" customHeight="1">
      <c r="A415" s="322"/>
      <c r="B415" s="322"/>
      <c r="C415" s="322"/>
      <c r="D415" s="322"/>
      <c r="E415" s="330"/>
      <c r="F415" s="322"/>
      <c r="G415" s="322"/>
      <c r="H415" s="322"/>
      <c r="I415" s="322"/>
      <c r="J415" s="322"/>
      <c r="K415" s="322"/>
      <c r="L415" s="322"/>
      <c r="M415" s="322"/>
      <c r="N415" s="322"/>
      <c r="O415" s="322"/>
      <c r="P415" s="322"/>
      <c r="Q415" s="322"/>
      <c r="R415" s="322"/>
      <c r="S415" s="322"/>
      <c r="T415" s="322"/>
      <c r="U415" s="322"/>
      <c r="V415" s="322"/>
      <c r="W415" s="322"/>
      <c r="X415" s="322"/>
      <c r="Y415" s="322"/>
      <c r="Z415" s="322"/>
      <c r="AA415" s="322"/>
      <c r="AB415" s="322"/>
    </row>
    <row r="416" ht="15.75" customHeight="1">
      <c r="A416" s="322"/>
      <c r="B416" s="322"/>
      <c r="C416" s="322"/>
      <c r="D416" s="322"/>
      <c r="E416" s="330"/>
      <c r="F416" s="322"/>
      <c r="G416" s="322"/>
      <c r="H416" s="322"/>
      <c r="I416" s="322"/>
      <c r="J416" s="322"/>
      <c r="K416" s="322"/>
      <c r="L416" s="322"/>
      <c r="M416" s="322"/>
      <c r="N416" s="322"/>
      <c r="O416" s="322"/>
      <c r="P416" s="322"/>
      <c r="Q416" s="322"/>
      <c r="R416" s="322"/>
      <c r="S416" s="322"/>
      <c r="T416" s="322"/>
      <c r="U416" s="322"/>
      <c r="V416" s="322"/>
      <c r="W416" s="322"/>
      <c r="X416" s="322"/>
      <c r="Y416" s="322"/>
      <c r="Z416" s="322"/>
      <c r="AA416" s="322"/>
      <c r="AB416" s="322"/>
    </row>
    <row r="417" ht="15.75" customHeight="1">
      <c r="A417" s="322"/>
      <c r="B417" s="322"/>
      <c r="C417" s="322"/>
      <c r="D417" s="322"/>
      <c r="E417" s="330"/>
      <c r="F417" s="322"/>
      <c r="G417" s="322"/>
      <c r="H417" s="322"/>
      <c r="I417" s="322"/>
      <c r="J417" s="322"/>
      <c r="K417" s="322"/>
      <c r="L417" s="322"/>
      <c r="M417" s="322"/>
      <c r="N417" s="322"/>
      <c r="O417" s="322"/>
      <c r="P417" s="322"/>
      <c r="Q417" s="322"/>
      <c r="R417" s="322"/>
      <c r="S417" s="322"/>
      <c r="T417" s="322"/>
      <c r="U417" s="322"/>
      <c r="V417" s="322"/>
      <c r="W417" s="322"/>
      <c r="X417" s="322"/>
      <c r="Y417" s="322"/>
      <c r="Z417" s="322"/>
      <c r="AA417" s="322"/>
      <c r="AB417" s="322"/>
    </row>
    <row r="418" ht="15.75" customHeight="1">
      <c r="A418" s="322"/>
      <c r="B418" s="322"/>
      <c r="C418" s="322"/>
      <c r="D418" s="322"/>
      <c r="E418" s="330"/>
      <c r="F418" s="322"/>
      <c r="G418" s="322"/>
      <c r="H418" s="322"/>
      <c r="I418" s="322"/>
      <c r="J418" s="322"/>
      <c r="K418" s="322"/>
      <c r="L418" s="322"/>
      <c r="M418" s="322"/>
      <c r="N418" s="322"/>
      <c r="O418" s="322"/>
      <c r="P418" s="322"/>
      <c r="Q418" s="322"/>
      <c r="R418" s="322"/>
      <c r="S418" s="322"/>
      <c r="T418" s="322"/>
      <c r="U418" s="322"/>
      <c r="V418" s="322"/>
      <c r="W418" s="322"/>
      <c r="X418" s="322"/>
      <c r="Y418" s="322"/>
      <c r="Z418" s="322"/>
      <c r="AA418" s="322"/>
      <c r="AB418" s="322"/>
    </row>
    <row r="419" ht="15.75" customHeight="1">
      <c r="A419" s="322"/>
      <c r="B419" s="322"/>
      <c r="C419" s="322"/>
      <c r="D419" s="322"/>
      <c r="E419" s="330"/>
      <c r="F419" s="322"/>
      <c r="G419" s="322"/>
      <c r="H419" s="322"/>
      <c r="I419" s="322"/>
      <c r="J419" s="322"/>
      <c r="K419" s="322"/>
      <c r="L419" s="322"/>
      <c r="M419" s="322"/>
      <c r="N419" s="322"/>
      <c r="O419" s="322"/>
      <c r="P419" s="322"/>
      <c r="Q419" s="322"/>
      <c r="R419" s="322"/>
      <c r="S419" s="322"/>
      <c r="T419" s="322"/>
      <c r="U419" s="322"/>
      <c r="V419" s="322"/>
      <c r="W419" s="322"/>
      <c r="X419" s="322"/>
      <c r="Y419" s="322"/>
      <c r="Z419" s="322"/>
      <c r="AA419" s="322"/>
      <c r="AB419" s="322"/>
    </row>
    <row r="420" ht="15.75" customHeight="1">
      <c r="A420" s="322"/>
      <c r="B420" s="322"/>
      <c r="C420" s="322"/>
      <c r="D420" s="322"/>
      <c r="E420" s="330"/>
      <c r="F420" s="322"/>
      <c r="G420" s="322"/>
      <c r="H420" s="322"/>
      <c r="I420" s="322"/>
      <c r="J420" s="322"/>
      <c r="K420" s="322"/>
      <c r="L420" s="322"/>
      <c r="M420" s="322"/>
      <c r="N420" s="322"/>
      <c r="O420" s="322"/>
      <c r="P420" s="322"/>
      <c r="Q420" s="322"/>
      <c r="R420" s="322"/>
      <c r="S420" s="322"/>
      <c r="T420" s="322"/>
      <c r="U420" s="322"/>
      <c r="V420" s="322"/>
      <c r="W420" s="322"/>
      <c r="X420" s="322"/>
      <c r="Y420" s="322"/>
      <c r="Z420" s="322"/>
      <c r="AA420" s="322"/>
      <c r="AB420" s="322"/>
    </row>
    <row r="421" ht="15.75" customHeight="1">
      <c r="A421" s="322"/>
      <c r="B421" s="322"/>
      <c r="C421" s="322"/>
      <c r="D421" s="322"/>
      <c r="E421" s="330"/>
      <c r="F421" s="322"/>
      <c r="G421" s="322"/>
      <c r="H421" s="322"/>
      <c r="I421" s="322"/>
      <c r="J421" s="322"/>
      <c r="K421" s="322"/>
      <c r="L421" s="322"/>
      <c r="M421" s="322"/>
      <c r="N421" s="322"/>
      <c r="O421" s="322"/>
      <c r="P421" s="322"/>
      <c r="Q421" s="322"/>
      <c r="R421" s="322"/>
      <c r="S421" s="322"/>
      <c r="T421" s="322"/>
      <c r="U421" s="322"/>
      <c r="V421" s="322"/>
      <c r="W421" s="322"/>
      <c r="X421" s="322"/>
      <c r="Y421" s="322"/>
      <c r="Z421" s="322"/>
      <c r="AA421" s="322"/>
      <c r="AB421" s="322"/>
    </row>
    <row r="422" ht="15.75" customHeight="1">
      <c r="A422" s="322"/>
      <c r="B422" s="322"/>
      <c r="C422" s="322"/>
      <c r="D422" s="322"/>
      <c r="E422" s="330"/>
      <c r="F422" s="322"/>
      <c r="G422" s="322"/>
      <c r="H422" s="322"/>
      <c r="I422" s="322"/>
      <c r="J422" s="322"/>
      <c r="K422" s="322"/>
      <c r="L422" s="322"/>
      <c r="M422" s="322"/>
      <c r="N422" s="322"/>
      <c r="O422" s="322"/>
      <c r="P422" s="322"/>
      <c r="Q422" s="322"/>
      <c r="R422" s="322"/>
      <c r="S422" s="322"/>
      <c r="T422" s="322"/>
      <c r="U422" s="322"/>
      <c r="V422" s="322"/>
      <c r="W422" s="322"/>
      <c r="X422" s="322"/>
      <c r="Y422" s="322"/>
      <c r="Z422" s="322"/>
      <c r="AA422" s="322"/>
      <c r="AB422" s="322"/>
    </row>
    <row r="423" ht="15.75" customHeight="1">
      <c r="A423" s="322"/>
      <c r="B423" s="322"/>
      <c r="C423" s="322"/>
      <c r="D423" s="322"/>
      <c r="E423" s="330"/>
      <c r="F423" s="322"/>
      <c r="G423" s="322"/>
      <c r="H423" s="322"/>
      <c r="I423" s="322"/>
      <c r="J423" s="322"/>
      <c r="K423" s="322"/>
      <c r="L423" s="322"/>
      <c r="M423" s="322"/>
      <c r="N423" s="322"/>
      <c r="O423" s="322"/>
      <c r="P423" s="322"/>
      <c r="Q423" s="322"/>
      <c r="R423" s="322"/>
      <c r="S423" s="322"/>
      <c r="T423" s="322"/>
      <c r="U423" s="322"/>
      <c r="V423" s="322"/>
      <c r="W423" s="322"/>
      <c r="X423" s="322"/>
      <c r="Y423" s="322"/>
      <c r="Z423" s="322"/>
      <c r="AA423" s="322"/>
      <c r="AB423" s="322"/>
    </row>
    <row r="424" ht="15.75" customHeight="1">
      <c r="A424" s="322"/>
      <c r="B424" s="322"/>
      <c r="C424" s="322"/>
      <c r="D424" s="322"/>
      <c r="E424" s="330"/>
      <c r="F424" s="322"/>
      <c r="G424" s="322"/>
      <c r="H424" s="322"/>
      <c r="I424" s="322"/>
      <c r="J424" s="322"/>
      <c r="K424" s="322"/>
      <c r="L424" s="322"/>
      <c r="M424" s="322"/>
      <c r="N424" s="322"/>
      <c r="O424" s="322"/>
      <c r="P424" s="322"/>
      <c r="Q424" s="322"/>
      <c r="R424" s="322"/>
      <c r="S424" s="322"/>
      <c r="T424" s="322"/>
      <c r="U424" s="322"/>
      <c r="V424" s="322"/>
      <c r="W424" s="322"/>
      <c r="X424" s="322"/>
      <c r="Y424" s="322"/>
      <c r="Z424" s="322"/>
      <c r="AA424" s="322"/>
      <c r="AB424" s="322"/>
    </row>
    <row r="425" ht="15.75" customHeight="1">
      <c r="A425" s="322"/>
      <c r="B425" s="322"/>
      <c r="C425" s="322"/>
      <c r="D425" s="322"/>
      <c r="E425" s="330"/>
      <c r="F425" s="322"/>
      <c r="G425" s="322"/>
      <c r="H425" s="322"/>
      <c r="I425" s="322"/>
      <c r="J425" s="322"/>
      <c r="K425" s="322"/>
      <c r="L425" s="322"/>
      <c r="M425" s="322"/>
      <c r="N425" s="322"/>
      <c r="O425" s="322"/>
      <c r="P425" s="322"/>
      <c r="Q425" s="322"/>
      <c r="R425" s="322"/>
      <c r="S425" s="322"/>
      <c r="T425" s="322"/>
      <c r="U425" s="322"/>
      <c r="V425" s="322"/>
      <c r="W425" s="322"/>
      <c r="X425" s="322"/>
      <c r="Y425" s="322"/>
      <c r="Z425" s="322"/>
      <c r="AA425" s="322"/>
      <c r="AB425" s="322"/>
    </row>
    <row r="426" ht="15.75" customHeight="1">
      <c r="A426" s="322"/>
      <c r="B426" s="322"/>
      <c r="C426" s="322"/>
      <c r="D426" s="322"/>
      <c r="E426" s="330"/>
      <c r="F426" s="322"/>
      <c r="G426" s="322"/>
      <c r="H426" s="322"/>
      <c r="I426" s="322"/>
      <c r="J426" s="322"/>
      <c r="K426" s="322"/>
      <c r="L426" s="322"/>
      <c r="M426" s="322"/>
      <c r="N426" s="322"/>
      <c r="O426" s="322"/>
      <c r="P426" s="322"/>
      <c r="Q426" s="322"/>
      <c r="R426" s="322"/>
      <c r="S426" s="322"/>
      <c r="T426" s="322"/>
      <c r="U426" s="322"/>
      <c r="V426" s="322"/>
      <c r="W426" s="322"/>
      <c r="X426" s="322"/>
      <c r="Y426" s="322"/>
      <c r="Z426" s="322"/>
      <c r="AA426" s="322"/>
      <c r="AB426" s="322"/>
    </row>
    <row r="427" ht="15.75" customHeight="1">
      <c r="A427" s="322"/>
      <c r="B427" s="322"/>
      <c r="C427" s="322"/>
      <c r="D427" s="322"/>
      <c r="E427" s="330"/>
      <c r="F427" s="322"/>
      <c r="G427" s="322"/>
      <c r="H427" s="322"/>
      <c r="I427" s="322"/>
      <c r="J427" s="322"/>
      <c r="K427" s="322"/>
      <c r="L427" s="322"/>
      <c r="M427" s="322"/>
      <c r="N427" s="322"/>
      <c r="O427" s="322"/>
      <c r="P427" s="322"/>
      <c r="Q427" s="322"/>
      <c r="R427" s="322"/>
      <c r="S427" s="322"/>
      <c r="T427" s="322"/>
      <c r="U427" s="322"/>
      <c r="V427" s="322"/>
      <c r="W427" s="322"/>
      <c r="X427" s="322"/>
      <c r="Y427" s="322"/>
      <c r="Z427" s="322"/>
      <c r="AA427" s="322"/>
      <c r="AB427" s="322"/>
    </row>
    <row r="428" ht="15.75" customHeight="1">
      <c r="A428" s="322"/>
      <c r="B428" s="322"/>
      <c r="C428" s="322"/>
      <c r="D428" s="322"/>
      <c r="E428" s="330"/>
      <c r="F428" s="322"/>
      <c r="G428" s="322"/>
      <c r="H428" s="322"/>
      <c r="I428" s="322"/>
      <c r="J428" s="322"/>
      <c r="K428" s="322"/>
      <c r="L428" s="322"/>
      <c r="M428" s="322"/>
      <c r="N428" s="322"/>
      <c r="O428" s="322"/>
      <c r="P428" s="322"/>
      <c r="Q428" s="322"/>
      <c r="R428" s="322"/>
      <c r="S428" s="322"/>
      <c r="T428" s="322"/>
      <c r="U428" s="322"/>
      <c r="V428" s="322"/>
      <c r="W428" s="322"/>
      <c r="X428" s="322"/>
      <c r="Y428" s="322"/>
      <c r="Z428" s="322"/>
      <c r="AA428" s="322"/>
      <c r="AB428" s="322"/>
    </row>
    <row r="429" ht="15.75" customHeight="1">
      <c r="A429" s="322"/>
      <c r="B429" s="322"/>
      <c r="C429" s="322"/>
      <c r="D429" s="322"/>
      <c r="E429" s="330"/>
      <c r="F429" s="322"/>
      <c r="G429" s="322"/>
      <c r="H429" s="322"/>
      <c r="I429" s="322"/>
      <c r="J429" s="322"/>
      <c r="K429" s="322"/>
      <c r="L429" s="322"/>
      <c r="M429" s="322"/>
      <c r="N429" s="322"/>
      <c r="O429" s="322"/>
      <c r="P429" s="322"/>
      <c r="Q429" s="322"/>
      <c r="R429" s="322"/>
      <c r="S429" s="322"/>
      <c r="T429" s="322"/>
      <c r="U429" s="322"/>
      <c r="V429" s="322"/>
      <c r="W429" s="322"/>
      <c r="X429" s="322"/>
      <c r="Y429" s="322"/>
      <c r="Z429" s="322"/>
      <c r="AA429" s="322"/>
      <c r="AB429" s="322"/>
    </row>
    <row r="430" ht="15.75" customHeight="1">
      <c r="A430" s="322"/>
      <c r="B430" s="322"/>
      <c r="C430" s="322"/>
      <c r="D430" s="322"/>
      <c r="E430" s="330"/>
      <c r="F430" s="322"/>
      <c r="G430" s="322"/>
      <c r="H430" s="322"/>
      <c r="I430" s="322"/>
      <c r="J430" s="322"/>
      <c r="K430" s="322"/>
      <c r="L430" s="322"/>
      <c r="M430" s="322"/>
      <c r="N430" s="322"/>
      <c r="O430" s="322"/>
      <c r="P430" s="322"/>
      <c r="Q430" s="322"/>
      <c r="R430" s="322"/>
      <c r="S430" s="322"/>
      <c r="T430" s="322"/>
      <c r="U430" s="322"/>
      <c r="V430" s="322"/>
      <c r="W430" s="322"/>
      <c r="X430" s="322"/>
      <c r="Y430" s="322"/>
      <c r="Z430" s="322"/>
      <c r="AA430" s="322"/>
      <c r="AB430" s="322"/>
    </row>
    <row r="431" ht="15.75" customHeight="1">
      <c r="A431" s="322"/>
      <c r="B431" s="322"/>
      <c r="C431" s="322"/>
      <c r="D431" s="322"/>
      <c r="E431" s="330"/>
      <c r="F431" s="322"/>
      <c r="G431" s="322"/>
      <c r="H431" s="322"/>
      <c r="I431" s="322"/>
      <c r="J431" s="322"/>
      <c r="K431" s="322"/>
      <c r="L431" s="322"/>
      <c r="M431" s="322"/>
      <c r="N431" s="322"/>
      <c r="O431" s="322"/>
      <c r="P431" s="322"/>
      <c r="Q431" s="322"/>
      <c r="R431" s="322"/>
      <c r="S431" s="322"/>
      <c r="T431" s="322"/>
      <c r="U431" s="322"/>
      <c r="V431" s="322"/>
      <c r="W431" s="322"/>
      <c r="X431" s="322"/>
      <c r="Y431" s="322"/>
      <c r="Z431" s="322"/>
      <c r="AA431" s="322"/>
      <c r="AB431" s="322"/>
    </row>
    <row r="432" ht="15.75" customHeight="1">
      <c r="A432" s="322"/>
      <c r="B432" s="322"/>
      <c r="C432" s="322"/>
      <c r="D432" s="322"/>
      <c r="E432" s="330"/>
      <c r="F432" s="322"/>
      <c r="G432" s="322"/>
      <c r="H432" s="322"/>
      <c r="I432" s="322"/>
      <c r="J432" s="322"/>
      <c r="K432" s="322"/>
      <c r="L432" s="322"/>
      <c r="M432" s="322"/>
      <c r="N432" s="322"/>
      <c r="O432" s="322"/>
      <c r="P432" s="322"/>
      <c r="Q432" s="322"/>
      <c r="R432" s="322"/>
      <c r="S432" s="322"/>
      <c r="T432" s="322"/>
      <c r="U432" s="322"/>
      <c r="V432" s="322"/>
      <c r="W432" s="322"/>
      <c r="X432" s="322"/>
      <c r="Y432" s="322"/>
      <c r="Z432" s="322"/>
      <c r="AA432" s="322"/>
      <c r="AB432" s="322"/>
    </row>
    <row r="433" ht="15.75" customHeight="1">
      <c r="A433" s="322"/>
      <c r="B433" s="322"/>
      <c r="C433" s="322"/>
      <c r="D433" s="322"/>
      <c r="E433" s="330"/>
      <c r="F433" s="322"/>
      <c r="G433" s="322"/>
      <c r="H433" s="322"/>
      <c r="I433" s="322"/>
      <c r="J433" s="322"/>
      <c r="K433" s="322"/>
      <c r="L433" s="322"/>
      <c r="M433" s="322"/>
      <c r="N433" s="322"/>
      <c r="O433" s="322"/>
      <c r="P433" s="322"/>
      <c r="Q433" s="322"/>
      <c r="R433" s="322"/>
      <c r="S433" s="322"/>
      <c r="T433" s="322"/>
      <c r="U433" s="322"/>
      <c r="V433" s="322"/>
      <c r="W433" s="322"/>
      <c r="X433" s="322"/>
      <c r="Y433" s="322"/>
      <c r="Z433" s="322"/>
      <c r="AA433" s="322"/>
      <c r="AB433" s="322"/>
    </row>
    <row r="434" ht="15.75" customHeight="1">
      <c r="A434" s="322"/>
      <c r="B434" s="322"/>
      <c r="C434" s="322"/>
      <c r="D434" s="322"/>
      <c r="E434" s="330"/>
      <c r="F434" s="322"/>
      <c r="G434" s="322"/>
      <c r="H434" s="322"/>
      <c r="I434" s="322"/>
      <c r="J434" s="322"/>
      <c r="K434" s="322"/>
      <c r="L434" s="322"/>
      <c r="M434" s="322"/>
      <c r="N434" s="322"/>
      <c r="O434" s="322"/>
      <c r="P434" s="322"/>
      <c r="Q434" s="322"/>
      <c r="R434" s="322"/>
      <c r="S434" s="322"/>
      <c r="T434" s="322"/>
      <c r="U434" s="322"/>
      <c r="V434" s="322"/>
      <c r="W434" s="322"/>
      <c r="X434" s="322"/>
      <c r="Y434" s="322"/>
      <c r="Z434" s="322"/>
      <c r="AA434" s="322"/>
      <c r="AB434" s="322"/>
    </row>
    <row r="435" ht="15.75" customHeight="1">
      <c r="A435" s="322"/>
      <c r="B435" s="322"/>
      <c r="C435" s="322"/>
      <c r="D435" s="322"/>
      <c r="E435" s="330"/>
      <c r="F435" s="322"/>
      <c r="G435" s="322"/>
      <c r="H435" s="322"/>
      <c r="I435" s="322"/>
      <c r="J435" s="322"/>
      <c r="K435" s="322"/>
      <c r="L435" s="322"/>
      <c r="M435" s="322"/>
      <c r="N435" s="322"/>
      <c r="O435" s="322"/>
      <c r="P435" s="322"/>
      <c r="Q435" s="322"/>
      <c r="R435" s="322"/>
      <c r="S435" s="322"/>
      <c r="T435" s="322"/>
      <c r="U435" s="322"/>
      <c r="V435" s="322"/>
      <c r="W435" s="322"/>
      <c r="X435" s="322"/>
      <c r="Y435" s="322"/>
      <c r="Z435" s="322"/>
      <c r="AA435" s="322"/>
      <c r="AB435" s="322"/>
    </row>
    <row r="436" ht="15.75" customHeight="1">
      <c r="A436" s="322"/>
      <c r="B436" s="322"/>
      <c r="C436" s="322"/>
      <c r="D436" s="322"/>
      <c r="E436" s="330"/>
      <c r="F436" s="322"/>
      <c r="G436" s="322"/>
      <c r="H436" s="322"/>
      <c r="I436" s="322"/>
      <c r="J436" s="322"/>
      <c r="K436" s="322"/>
      <c r="L436" s="322"/>
      <c r="M436" s="322"/>
      <c r="N436" s="322"/>
      <c r="O436" s="322"/>
      <c r="P436" s="322"/>
      <c r="Q436" s="322"/>
      <c r="R436" s="322"/>
      <c r="S436" s="322"/>
      <c r="T436" s="322"/>
      <c r="U436" s="322"/>
      <c r="V436" s="322"/>
      <c r="W436" s="322"/>
      <c r="X436" s="322"/>
      <c r="Y436" s="322"/>
      <c r="Z436" s="322"/>
      <c r="AA436" s="322"/>
      <c r="AB436" s="322"/>
    </row>
    <row r="437" ht="15.75" customHeight="1">
      <c r="A437" s="322"/>
      <c r="B437" s="322"/>
      <c r="C437" s="322"/>
      <c r="D437" s="322"/>
      <c r="E437" s="330"/>
      <c r="F437" s="322"/>
      <c r="G437" s="322"/>
      <c r="H437" s="322"/>
      <c r="I437" s="322"/>
      <c r="J437" s="322"/>
      <c r="K437" s="322"/>
      <c r="L437" s="322"/>
      <c r="M437" s="322"/>
      <c r="N437" s="322"/>
      <c r="O437" s="322"/>
      <c r="P437" s="322"/>
      <c r="Q437" s="322"/>
      <c r="R437" s="322"/>
      <c r="S437" s="322"/>
      <c r="T437" s="322"/>
      <c r="U437" s="322"/>
      <c r="V437" s="322"/>
      <c r="W437" s="322"/>
      <c r="X437" s="322"/>
      <c r="Y437" s="322"/>
      <c r="Z437" s="322"/>
      <c r="AA437" s="322"/>
      <c r="AB437" s="322"/>
    </row>
    <row r="438" ht="15.75" customHeight="1">
      <c r="A438" s="322"/>
      <c r="B438" s="322"/>
      <c r="C438" s="322"/>
      <c r="D438" s="322"/>
      <c r="E438" s="330"/>
      <c r="F438" s="322"/>
      <c r="G438" s="322"/>
      <c r="H438" s="322"/>
      <c r="I438" s="322"/>
      <c r="J438" s="322"/>
      <c r="K438" s="322"/>
      <c r="L438" s="322"/>
      <c r="M438" s="322"/>
      <c r="N438" s="322"/>
      <c r="O438" s="322"/>
      <c r="P438" s="322"/>
      <c r="Q438" s="322"/>
      <c r="R438" s="322"/>
      <c r="S438" s="322"/>
      <c r="T438" s="322"/>
      <c r="U438" s="322"/>
      <c r="V438" s="322"/>
      <c r="W438" s="322"/>
      <c r="X438" s="322"/>
      <c r="Y438" s="322"/>
      <c r="Z438" s="322"/>
      <c r="AA438" s="322"/>
      <c r="AB438" s="322"/>
    </row>
    <row r="439" ht="15.75" customHeight="1">
      <c r="A439" s="322"/>
      <c r="B439" s="322"/>
      <c r="C439" s="322"/>
      <c r="D439" s="322"/>
      <c r="E439" s="330"/>
      <c r="F439" s="322"/>
      <c r="G439" s="322"/>
      <c r="H439" s="322"/>
      <c r="I439" s="322"/>
      <c r="J439" s="322"/>
      <c r="K439" s="322"/>
      <c r="L439" s="322"/>
      <c r="M439" s="322"/>
      <c r="N439" s="322"/>
      <c r="O439" s="322"/>
      <c r="P439" s="322"/>
      <c r="Q439" s="322"/>
      <c r="R439" s="322"/>
      <c r="S439" s="322"/>
      <c r="T439" s="322"/>
      <c r="U439" s="322"/>
      <c r="V439" s="322"/>
      <c r="W439" s="322"/>
      <c r="X439" s="322"/>
      <c r="Y439" s="322"/>
      <c r="Z439" s="322"/>
      <c r="AA439" s="322"/>
      <c r="AB439" s="322"/>
    </row>
    <row r="440" ht="15.75" customHeight="1">
      <c r="A440" s="322"/>
      <c r="B440" s="322"/>
      <c r="C440" s="322"/>
      <c r="D440" s="322"/>
      <c r="E440" s="330"/>
      <c r="F440" s="322"/>
      <c r="G440" s="322"/>
      <c r="H440" s="322"/>
      <c r="I440" s="322"/>
      <c r="J440" s="322"/>
      <c r="K440" s="322"/>
      <c r="L440" s="322"/>
      <c r="M440" s="322"/>
      <c r="N440" s="322"/>
      <c r="O440" s="322"/>
      <c r="P440" s="322"/>
      <c r="Q440" s="322"/>
      <c r="R440" s="322"/>
      <c r="S440" s="322"/>
      <c r="T440" s="322"/>
      <c r="U440" s="322"/>
      <c r="V440" s="322"/>
      <c r="W440" s="322"/>
      <c r="X440" s="322"/>
      <c r="Y440" s="322"/>
      <c r="Z440" s="322"/>
      <c r="AA440" s="322"/>
      <c r="AB440" s="322"/>
    </row>
    <row r="441" ht="15.75" customHeight="1">
      <c r="A441" s="322"/>
      <c r="B441" s="322"/>
      <c r="C441" s="322"/>
      <c r="D441" s="322"/>
      <c r="E441" s="330"/>
      <c r="F441" s="322"/>
      <c r="G441" s="322"/>
      <c r="H441" s="322"/>
      <c r="I441" s="322"/>
      <c r="J441" s="322"/>
      <c r="K441" s="322"/>
      <c r="L441" s="322"/>
      <c r="M441" s="322"/>
      <c r="N441" s="322"/>
      <c r="O441" s="322"/>
      <c r="P441" s="322"/>
      <c r="Q441" s="322"/>
      <c r="R441" s="322"/>
      <c r="S441" s="322"/>
      <c r="T441" s="322"/>
      <c r="U441" s="322"/>
      <c r="V441" s="322"/>
      <c r="W441" s="322"/>
      <c r="X441" s="322"/>
      <c r="Y441" s="322"/>
      <c r="Z441" s="322"/>
      <c r="AA441" s="322"/>
      <c r="AB441" s="322"/>
    </row>
    <row r="442" ht="15.75" customHeight="1">
      <c r="A442" s="322"/>
      <c r="B442" s="322"/>
      <c r="C442" s="322"/>
      <c r="D442" s="322"/>
      <c r="E442" s="330"/>
      <c r="F442" s="322"/>
      <c r="G442" s="322"/>
      <c r="H442" s="322"/>
      <c r="I442" s="322"/>
      <c r="J442" s="322"/>
      <c r="K442" s="322"/>
      <c r="L442" s="322"/>
      <c r="M442" s="322"/>
      <c r="N442" s="322"/>
      <c r="O442" s="322"/>
      <c r="P442" s="322"/>
      <c r="Q442" s="322"/>
      <c r="R442" s="322"/>
      <c r="S442" s="322"/>
      <c r="T442" s="322"/>
      <c r="U442" s="322"/>
      <c r="V442" s="322"/>
      <c r="W442" s="322"/>
      <c r="X442" s="322"/>
      <c r="Y442" s="322"/>
      <c r="Z442" s="322"/>
      <c r="AA442" s="322"/>
      <c r="AB442" s="322"/>
    </row>
    <row r="443" ht="15.75" customHeight="1">
      <c r="A443" s="322"/>
      <c r="B443" s="322"/>
      <c r="C443" s="322"/>
      <c r="D443" s="322"/>
      <c r="E443" s="330"/>
      <c r="F443" s="322"/>
      <c r="G443" s="322"/>
      <c r="H443" s="322"/>
      <c r="I443" s="322"/>
      <c r="J443" s="322"/>
      <c r="K443" s="322"/>
      <c r="L443" s="322"/>
      <c r="M443" s="322"/>
      <c r="N443" s="322"/>
      <c r="O443" s="322"/>
      <c r="P443" s="322"/>
      <c r="Q443" s="322"/>
      <c r="R443" s="322"/>
      <c r="S443" s="322"/>
      <c r="T443" s="322"/>
      <c r="U443" s="322"/>
      <c r="V443" s="322"/>
      <c r="W443" s="322"/>
      <c r="X443" s="322"/>
      <c r="Y443" s="322"/>
      <c r="Z443" s="322"/>
      <c r="AA443" s="322"/>
      <c r="AB443" s="322"/>
    </row>
    <row r="444" ht="15.75" customHeight="1">
      <c r="A444" s="322"/>
      <c r="B444" s="322"/>
      <c r="C444" s="322"/>
      <c r="D444" s="322"/>
      <c r="E444" s="330"/>
      <c r="F444" s="322"/>
      <c r="G444" s="322"/>
      <c r="H444" s="322"/>
      <c r="I444" s="322"/>
      <c r="J444" s="322"/>
      <c r="K444" s="322"/>
      <c r="L444" s="322"/>
      <c r="M444" s="322"/>
      <c r="N444" s="322"/>
      <c r="O444" s="322"/>
      <c r="P444" s="322"/>
      <c r="Q444" s="322"/>
      <c r="R444" s="322"/>
      <c r="S444" s="322"/>
      <c r="T444" s="322"/>
      <c r="U444" s="322"/>
      <c r="V444" s="322"/>
      <c r="W444" s="322"/>
      <c r="X444" s="322"/>
      <c r="Y444" s="322"/>
      <c r="Z444" s="322"/>
      <c r="AA444" s="322"/>
      <c r="AB444" s="322"/>
    </row>
    <row r="445" ht="15.75" customHeight="1">
      <c r="A445" s="322"/>
      <c r="B445" s="322"/>
      <c r="C445" s="322"/>
      <c r="D445" s="322"/>
      <c r="E445" s="330"/>
      <c r="F445" s="322"/>
      <c r="G445" s="322"/>
      <c r="H445" s="322"/>
      <c r="I445" s="322"/>
      <c r="J445" s="322"/>
      <c r="K445" s="322"/>
      <c r="L445" s="322"/>
      <c r="M445" s="322"/>
      <c r="N445" s="322"/>
      <c r="O445" s="322"/>
      <c r="P445" s="322"/>
      <c r="Q445" s="322"/>
      <c r="R445" s="322"/>
      <c r="S445" s="322"/>
      <c r="T445" s="322"/>
      <c r="U445" s="322"/>
      <c r="V445" s="322"/>
      <c r="W445" s="322"/>
      <c r="X445" s="322"/>
      <c r="Y445" s="322"/>
      <c r="Z445" s="322"/>
      <c r="AA445" s="322"/>
      <c r="AB445" s="322"/>
    </row>
    <row r="446" ht="15.75" customHeight="1">
      <c r="A446" s="322"/>
      <c r="B446" s="322"/>
      <c r="C446" s="322"/>
      <c r="D446" s="322"/>
      <c r="E446" s="330"/>
      <c r="F446" s="322"/>
      <c r="G446" s="322"/>
      <c r="H446" s="322"/>
      <c r="I446" s="322"/>
      <c r="J446" s="322"/>
      <c r="K446" s="322"/>
      <c r="L446" s="322"/>
      <c r="M446" s="322"/>
      <c r="N446" s="322"/>
      <c r="O446" s="322"/>
      <c r="P446" s="322"/>
      <c r="Q446" s="322"/>
      <c r="R446" s="322"/>
      <c r="S446" s="322"/>
      <c r="T446" s="322"/>
      <c r="U446" s="322"/>
      <c r="V446" s="322"/>
      <c r="W446" s="322"/>
      <c r="X446" s="322"/>
      <c r="Y446" s="322"/>
      <c r="Z446" s="322"/>
      <c r="AA446" s="322"/>
      <c r="AB446" s="322"/>
    </row>
    <row r="447" ht="15.75" customHeight="1">
      <c r="A447" s="322"/>
      <c r="B447" s="322"/>
      <c r="C447" s="322"/>
      <c r="D447" s="322"/>
      <c r="E447" s="330"/>
      <c r="F447" s="322"/>
      <c r="G447" s="322"/>
      <c r="H447" s="322"/>
      <c r="I447" s="322"/>
      <c r="J447" s="322"/>
      <c r="K447" s="322"/>
      <c r="L447" s="322"/>
      <c r="M447" s="322"/>
      <c r="N447" s="322"/>
      <c r="O447" s="322"/>
      <c r="P447" s="322"/>
      <c r="Q447" s="322"/>
      <c r="R447" s="322"/>
      <c r="S447" s="322"/>
      <c r="T447" s="322"/>
      <c r="U447" s="322"/>
      <c r="V447" s="322"/>
      <c r="W447" s="322"/>
      <c r="X447" s="322"/>
      <c r="Y447" s="322"/>
      <c r="Z447" s="322"/>
      <c r="AA447" s="322"/>
      <c r="AB447" s="322"/>
    </row>
    <row r="448" ht="15.75" customHeight="1">
      <c r="A448" s="322"/>
      <c r="B448" s="322"/>
      <c r="C448" s="322"/>
      <c r="D448" s="322"/>
      <c r="E448" s="330"/>
      <c r="F448" s="322"/>
      <c r="G448" s="322"/>
      <c r="H448" s="322"/>
      <c r="I448" s="322"/>
      <c r="J448" s="322"/>
      <c r="K448" s="322"/>
      <c r="L448" s="322"/>
      <c r="M448" s="322"/>
      <c r="N448" s="322"/>
      <c r="O448" s="322"/>
      <c r="P448" s="322"/>
      <c r="Q448" s="322"/>
      <c r="R448" s="322"/>
      <c r="S448" s="322"/>
      <c r="T448" s="322"/>
      <c r="U448" s="322"/>
      <c r="V448" s="322"/>
      <c r="W448" s="322"/>
      <c r="X448" s="322"/>
      <c r="Y448" s="322"/>
      <c r="Z448" s="322"/>
      <c r="AA448" s="322"/>
      <c r="AB448" s="322"/>
    </row>
    <row r="449" ht="15.75" customHeight="1">
      <c r="A449" s="322"/>
      <c r="B449" s="322"/>
      <c r="C449" s="322"/>
      <c r="D449" s="322"/>
      <c r="E449" s="330"/>
      <c r="F449" s="322"/>
      <c r="G449" s="322"/>
      <c r="H449" s="322"/>
      <c r="I449" s="322"/>
      <c r="J449" s="322"/>
      <c r="K449" s="322"/>
      <c r="L449" s="322"/>
      <c r="M449" s="322"/>
      <c r="N449" s="322"/>
      <c r="O449" s="322"/>
      <c r="P449" s="322"/>
      <c r="Q449" s="322"/>
      <c r="R449" s="322"/>
      <c r="S449" s="322"/>
      <c r="T449" s="322"/>
      <c r="U449" s="322"/>
      <c r="V449" s="322"/>
      <c r="W449" s="322"/>
      <c r="X449" s="322"/>
      <c r="Y449" s="322"/>
      <c r="Z449" s="322"/>
      <c r="AA449" s="322"/>
      <c r="AB449" s="322"/>
    </row>
    <row r="450" ht="15.75" customHeight="1">
      <c r="A450" s="322"/>
      <c r="B450" s="322"/>
      <c r="C450" s="322"/>
      <c r="D450" s="322"/>
      <c r="E450" s="330"/>
      <c r="F450" s="322"/>
      <c r="G450" s="322"/>
      <c r="H450" s="322"/>
      <c r="I450" s="322"/>
      <c r="J450" s="322"/>
      <c r="K450" s="322"/>
      <c r="L450" s="322"/>
      <c r="M450" s="322"/>
      <c r="N450" s="322"/>
      <c r="O450" s="322"/>
      <c r="P450" s="322"/>
      <c r="Q450" s="322"/>
      <c r="R450" s="322"/>
      <c r="S450" s="322"/>
      <c r="T450" s="322"/>
      <c r="U450" s="322"/>
      <c r="V450" s="322"/>
      <c r="W450" s="322"/>
      <c r="X450" s="322"/>
      <c r="Y450" s="322"/>
      <c r="Z450" s="322"/>
      <c r="AA450" s="322"/>
      <c r="AB450" s="322"/>
    </row>
    <row r="451" ht="15.75" customHeight="1">
      <c r="A451" s="322"/>
      <c r="B451" s="322"/>
      <c r="C451" s="322"/>
      <c r="D451" s="322"/>
      <c r="E451" s="330"/>
      <c r="F451" s="322"/>
      <c r="G451" s="322"/>
      <c r="H451" s="322"/>
      <c r="I451" s="322"/>
      <c r="J451" s="322"/>
      <c r="K451" s="322"/>
      <c r="L451" s="322"/>
      <c r="M451" s="322"/>
      <c r="N451" s="322"/>
      <c r="O451" s="322"/>
      <c r="P451" s="322"/>
      <c r="Q451" s="322"/>
      <c r="R451" s="322"/>
      <c r="S451" s="322"/>
      <c r="T451" s="322"/>
      <c r="U451" s="322"/>
      <c r="V451" s="322"/>
      <c r="W451" s="322"/>
      <c r="X451" s="322"/>
      <c r="Y451" s="322"/>
      <c r="Z451" s="322"/>
      <c r="AA451" s="322"/>
      <c r="AB451" s="322"/>
    </row>
    <row r="452" ht="15.75" customHeight="1">
      <c r="A452" s="322"/>
      <c r="B452" s="322"/>
      <c r="C452" s="322"/>
      <c r="D452" s="322"/>
      <c r="E452" s="330"/>
      <c r="F452" s="322"/>
      <c r="G452" s="322"/>
      <c r="H452" s="322"/>
      <c r="I452" s="322"/>
      <c r="J452" s="322"/>
      <c r="K452" s="322"/>
      <c r="L452" s="322"/>
      <c r="M452" s="322"/>
      <c r="N452" s="322"/>
      <c r="O452" s="322"/>
      <c r="P452" s="322"/>
      <c r="Q452" s="322"/>
      <c r="R452" s="322"/>
      <c r="S452" s="322"/>
      <c r="T452" s="322"/>
      <c r="U452" s="322"/>
      <c r="V452" s="322"/>
      <c r="W452" s="322"/>
      <c r="X452" s="322"/>
      <c r="Y452" s="322"/>
      <c r="Z452" s="322"/>
      <c r="AA452" s="322"/>
      <c r="AB452" s="322"/>
    </row>
    <row r="453" ht="15.75" customHeight="1">
      <c r="A453" s="322"/>
      <c r="B453" s="322"/>
      <c r="C453" s="322"/>
      <c r="D453" s="322"/>
      <c r="E453" s="330"/>
      <c r="F453" s="322"/>
      <c r="G453" s="322"/>
      <c r="H453" s="322"/>
      <c r="I453" s="322"/>
      <c r="J453" s="322"/>
      <c r="K453" s="322"/>
      <c r="L453" s="322"/>
      <c r="M453" s="322"/>
      <c r="N453" s="322"/>
      <c r="O453" s="322"/>
      <c r="P453" s="322"/>
      <c r="Q453" s="322"/>
      <c r="R453" s="322"/>
      <c r="S453" s="322"/>
      <c r="T453" s="322"/>
      <c r="U453" s="322"/>
      <c r="V453" s="322"/>
      <c r="W453" s="322"/>
      <c r="X453" s="322"/>
      <c r="Y453" s="322"/>
      <c r="Z453" s="322"/>
      <c r="AA453" s="322"/>
      <c r="AB453" s="322"/>
    </row>
    <row r="454" ht="15.75" customHeight="1">
      <c r="A454" s="322"/>
      <c r="B454" s="322"/>
      <c r="C454" s="322"/>
      <c r="D454" s="322"/>
      <c r="E454" s="330"/>
      <c r="F454" s="322"/>
      <c r="G454" s="322"/>
      <c r="H454" s="322"/>
      <c r="I454" s="322"/>
      <c r="J454" s="322"/>
      <c r="K454" s="322"/>
      <c r="L454" s="322"/>
      <c r="M454" s="322"/>
      <c r="N454" s="322"/>
      <c r="O454" s="322"/>
      <c r="P454" s="322"/>
      <c r="Q454" s="322"/>
      <c r="R454" s="322"/>
      <c r="S454" s="322"/>
      <c r="T454" s="322"/>
      <c r="U454" s="322"/>
      <c r="V454" s="322"/>
      <c r="W454" s="322"/>
      <c r="X454" s="322"/>
      <c r="Y454" s="322"/>
      <c r="Z454" s="322"/>
      <c r="AA454" s="322"/>
      <c r="AB454" s="322"/>
    </row>
    <row r="455" ht="15.75" customHeight="1">
      <c r="A455" s="322"/>
      <c r="B455" s="322"/>
      <c r="C455" s="322"/>
      <c r="D455" s="322"/>
      <c r="E455" s="330"/>
      <c r="F455" s="322"/>
      <c r="G455" s="322"/>
      <c r="H455" s="322"/>
      <c r="I455" s="322"/>
      <c r="J455" s="322"/>
      <c r="K455" s="322"/>
      <c r="L455" s="322"/>
      <c r="M455" s="322"/>
      <c r="N455" s="322"/>
      <c r="O455" s="322"/>
      <c r="P455" s="322"/>
      <c r="Q455" s="322"/>
      <c r="R455" s="322"/>
      <c r="S455" s="322"/>
      <c r="T455" s="322"/>
      <c r="U455" s="322"/>
      <c r="V455" s="322"/>
      <c r="W455" s="322"/>
      <c r="X455" s="322"/>
      <c r="Y455" s="322"/>
      <c r="Z455" s="322"/>
      <c r="AA455" s="322"/>
      <c r="AB455" s="322"/>
    </row>
    <row r="456" ht="15.75" customHeight="1">
      <c r="A456" s="322"/>
      <c r="B456" s="322"/>
      <c r="C456" s="322"/>
      <c r="D456" s="322"/>
      <c r="E456" s="330"/>
      <c r="F456" s="322"/>
      <c r="G456" s="322"/>
      <c r="H456" s="322"/>
      <c r="I456" s="322"/>
      <c r="J456" s="322"/>
      <c r="K456" s="322"/>
      <c r="L456" s="322"/>
      <c r="M456" s="322"/>
      <c r="N456" s="322"/>
      <c r="O456" s="322"/>
      <c r="P456" s="322"/>
      <c r="Q456" s="322"/>
      <c r="R456" s="322"/>
      <c r="S456" s="322"/>
      <c r="T456" s="322"/>
      <c r="U456" s="322"/>
      <c r="V456" s="322"/>
      <c r="W456" s="322"/>
      <c r="X456" s="322"/>
      <c r="Y456" s="322"/>
      <c r="Z456" s="322"/>
      <c r="AA456" s="322"/>
      <c r="AB456" s="322"/>
    </row>
    <row r="457" ht="15.75" customHeight="1">
      <c r="A457" s="322"/>
      <c r="B457" s="322"/>
      <c r="C457" s="322"/>
      <c r="D457" s="322"/>
      <c r="E457" s="330"/>
      <c r="F457" s="322"/>
      <c r="G457" s="322"/>
      <c r="H457" s="322"/>
      <c r="I457" s="322"/>
      <c r="J457" s="322"/>
      <c r="K457" s="322"/>
      <c r="L457" s="322"/>
      <c r="M457" s="322"/>
      <c r="N457" s="322"/>
      <c r="O457" s="322"/>
      <c r="P457" s="322"/>
      <c r="Q457" s="322"/>
      <c r="R457" s="322"/>
      <c r="S457" s="322"/>
      <c r="T457" s="322"/>
      <c r="U457" s="322"/>
      <c r="V457" s="322"/>
      <c r="W457" s="322"/>
      <c r="X457" s="322"/>
      <c r="Y457" s="322"/>
      <c r="Z457" s="322"/>
      <c r="AA457" s="322"/>
      <c r="AB457" s="322"/>
    </row>
    <row r="458" ht="15.75" customHeight="1">
      <c r="A458" s="322"/>
      <c r="B458" s="322"/>
      <c r="C458" s="322"/>
      <c r="D458" s="322"/>
      <c r="E458" s="330"/>
      <c r="F458" s="322"/>
      <c r="G458" s="322"/>
      <c r="H458" s="322"/>
      <c r="I458" s="322"/>
      <c r="J458" s="322"/>
      <c r="K458" s="322"/>
      <c r="L458" s="322"/>
      <c r="M458" s="322"/>
      <c r="N458" s="322"/>
      <c r="O458" s="322"/>
      <c r="P458" s="322"/>
      <c r="Q458" s="322"/>
      <c r="R458" s="322"/>
      <c r="S458" s="322"/>
      <c r="T458" s="322"/>
      <c r="U458" s="322"/>
      <c r="V458" s="322"/>
      <c r="W458" s="322"/>
      <c r="X458" s="322"/>
      <c r="Y458" s="322"/>
      <c r="Z458" s="322"/>
      <c r="AA458" s="322"/>
      <c r="AB458" s="322"/>
    </row>
    <row r="459" ht="15.75" customHeight="1">
      <c r="A459" s="322"/>
      <c r="B459" s="322"/>
      <c r="C459" s="322"/>
      <c r="D459" s="322"/>
      <c r="E459" s="330"/>
      <c r="F459" s="322"/>
      <c r="G459" s="322"/>
      <c r="H459" s="322"/>
      <c r="I459" s="322"/>
      <c r="J459" s="322"/>
      <c r="K459" s="322"/>
      <c r="L459" s="322"/>
      <c r="M459" s="322"/>
      <c r="N459" s="322"/>
      <c r="O459" s="322"/>
      <c r="P459" s="322"/>
      <c r="Q459" s="322"/>
      <c r="R459" s="322"/>
      <c r="S459" s="322"/>
      <c r="T459" s="322"/>
      <c r="U459" s="322"/>
      <c r="V459" s="322"/>
      <c r="W459" s="322"/>
      <c r="X459" s="322"/>
      <c r="Y459" s="322"/>
      <c r="Z459" s="322"/>
      <c r="AA459" s="322"/>
      <c r="AB459" s="322"/>
    </row>
    <row r="460" ht="15.75" customHeight="1">
      <c r="A460" s="322"/>
      <c r="B460" s="322"/>
      <c r="C460" s="322"/>
      <c r="D460" s="322"/>
      <c r="E460" s="330"/>
      <c r="F460" s="322"/>
      <c r="G460" s="322"/>
      <c r="H460" s="322"/>
      <c r="I460" s="322"/>
      <c r="J460" s="322"/>
      <c r="K460" s="322"/>
      <c r="L460" s="322"/>
      <c r="M460" s="322"/>
      <c r="N460" s="322"/>
      <c r="O460" s="322"/>
      <c r="P460" s="322"/>
      <c r="Q460" s="322"/>
      <c r="R460" s="322"/>
      <c r="S460" s="322"/>
      <c r="T460" s="322"/>
      <c r="U460" s="322"/>
      <c r="V460" s="322"/>
      <c r="W460" s="322"/>
      <c r="X460" s="322"/>
      <c r="Y460" s="322"/>
      <c r="Z460" s="322"/>
      <c r="AA460" s="322"/>
      <c r="AB460" s="322"/>
    </row>
    <row r="461" ht="15.75" customHeight="1">
      <c r="A461" s="322"/>
      <c r="B461" s="322"/>
      <c r="C461" s="322"/>
      <c r="D461" s="322"/>
      <c r="E461" s="330"/>
      <c r="F461" s="322"/>
      <c r="G461" s="322"/>
      <c r="H461" s="322"/>
      <c r="I461" s="322"/>
      <c r="J461" s="322"/>
      <c r="K461" s="322"/>
      <c r="L461" s="322"/>
      <c r="M461" s="322"/>
      <c r="N461" s="322"/>
      <c r="O461" s="322"/>
      <c r="P461" s="322"/>
      <c r="Q461" s="322"/>
      <c r="R461" s="322"/>
      <c r="S461" s="322"/>
      <c r="T461" s="322"/>
      <c r="U461" s="322"/>
      <c r="V461" s="322"/>
      <c r="W461" s="322"/>
      <c r="X461" s="322"/>
      <c r="Y461" s="322"/>
      <c r="Z461" s="322"/>
      <c r="AA461" s="322"/>
      <c r="AB461" s="322"/>
    </row>
    <row r="462" ht="15.75" customHeight="1">
      <c r="A462" s="322"/>
      <c r="B462" s="322"/>
      <c r="C462" s="322"/>
      <c r="D462" s="322"/>
      <c r="E462" s="330"/>
      <c r="F462" s="322"/>
      <c r="G462" s="322"/>
      <c r="H462" s="322"/>
      <c r="I462" s="322"/>
      <c r="J462" s="322"/>
      <c r="K462" s="322"/>
      <c r="L462" s="322"/>
      <c r="M462" s="322"/>
      <c r="N462" s="322"/>
      <c r="O462" s="322"/>
      <c r="P462" s="322"/>
      <c r="Q462" s="322"/>
      <c r="R462" s="322"/>
      <c r="S462" s="322"/>
      <c r="T462" s="322"/>
      <c r="U462" s="322"/>
      <c r="V462" s="322"/>
      <c r="W462" s="322"/>
      <c r="X462" s="322"/>
      <c r="Y462" s="322"/>
      <c r="Z462" s="322"/>
      <c r="AA462" s="322"/>
      <c r="AB462" s="322"/>
    </row>
    <row r="463" ht="15.75" customHeight="1">
      <c r="A463" s="322"/>
      <c r="B463" s="322"/>
      <c r="C463" s="322"/>
      <c r="D463" s="322"/>
      <c r="E463" s="330"/>
      <c r="F463" s="322"/>
      <c r="G463" s="322"/>
      <c r="H463" s="322"/>
      <c r="I463" s="322"/>
      <c r="J463" s="322"/>
      <c r="K463" s="322"/>
      <c r="L463" s="322"/>
      <c r="M463" s="322"/>
      <c r="N463" s="322"/>
      <c r="O463" s="322"/>
      <c r="P463" s="322"/>
      <c r="Q463" s="322"/>
      <c r="R463" s="322"/>
      <c r="S463" s="322"/>
      <c r="T463" s="322"/>
      <c r="U463" s="322"/>
      <c r="V463" s="322"/>
      <c r="W463" s="322"/>
      <c r="X463" s="322"/>
      <c r="Y463" s="322"/>
      <c r="Z463" s="322"/>
      <c r="AA463" s="322"/>
      <c r="AB463" s="322"/>
    </row>
    <row r="464" ht="15.75" customHeight="1">
      <c r="A464" s="322"/>
      <c r="B464" s="322"/>
      <c r="C464" s="322"/>
      <c r="D464" s="322"/>
      <c r="E464" s="330"/>
      <c r="F464" s="322"/>
      <c r="G464" s="322"/>
      <c r="H464" s="322"/>
      <c r="I464" s="322"/>
      <c r="J464" s="322"/>
      <c r="K464" s="322"/>
      <c r="L464" s="322"/>
      <c r="M464" s="322"/>
      <c r="N464" s="322"/>
      <c r="O464" s="322"/>
      <c r="P464" s="322"/>
      <c r="Q464" s="322"/>
      <c r="R464" s="322"/>
      <c r="S464" s="322"/>
      <c r="T464" s="322"/>
      <c r="U464" s="322"/>
      <c r="V464" s="322"/>
      <c r="W464" s="322"/>
      <c r="X464" s="322"/>
      <c r="Y464" s="322"/>
      <c r="Z464" s="322"/>
      <c r="AA464" s="322"/>
      <c r="AB464" s="322"/>
    </row>
    <row r="465" ht="15.75" customHeight="1">
      <c r="A465" s="322"/>
      <c r="B465" s="322"/>
      <c r="C465" s="322"/>
      <c r="D465" s="322"/>
      <c r="E465" s="330"/>
      <c r="F465" s="322"/>
      <c r="G465" s="322"/>
      <c r="H465" s="322"/>
      <c r="I465" s="322"/>
      <c r="J465" s="322"/>
      <c r="K465" s="322"/>
      <c r="L465" s="322"/>
      <c r="M465" s="322"/>
      <c r="N465" s="322"/>
      <c r="O465" s="322"/>
      <c r="P465" s="322"/>
      <c r="Q465" s="322"/>
      <c r="R465" s="322"/>
      <c r="S465" s="322"/>
      <c r="T465" s="322"/>
      <c r="U465" s="322"/>
      <c r="V465" s="322"/>
      <c r="W465" s="322"/>
      <c r="X465" s="322"/>
      <c r="Y465" s="322"/>
      <c r="Z465" s="322"/>
      <c r="AA465" s="322"/>
      <c r="AB465" s="322"/>
    </row>
    <row r="466" ht="15.75" customHeight="1">
      <c r="A466" s="322"/>
      <c r="B466" s="322"/>
      <c r="C466" s="322"/>
      <c r="D466" s="322"/>
      <c r="E466" s="330"/>
      <c r="F466" s="322"/>
      <c r="G466" s="322"/>
      <c r="H466" s="322"/>
      <c r="I466" s="322"/>
      <c r="J466" s="322"/>
      <c r="K466" s="322"/>
      <c r="L466" s="322"/>
      <c r="M466" s="322"/>
      <c r="N466" s="322"/>
      <c r="O466" s="322"/>
      <c r="P466" s="322"/>
      <c r="Q466" s="322"/>
      <c r="R466" s="322"/>
      <c r="S466" s="322"/>
      <c r="T466" s="322"/>
      <c r="U466" s="322"/>
      <c r="V466" s="322"/>
      <c r="W466" s="322"/>
      <c r="X466" s="322"/>
      <c r="Y466" s="322"/>
      <c r="Z466" s="322"/>
      <c r="AA466" s="322"/>
      <c r="AB466" s="322"/>
    </row>
    <row r="467" ht="15.75" customHeight="1">
      <c r="A467" s="322"/>
      <c r="B467" s="322"/>
      <c r="C467" s="322"/>
      <c r="D467" s="322"/>
      <c r="E467" s="330"/>
      <c r="F467" s="322"/>
      <c r="G467" s="322"/>
      <c r="H467" s="322"/>
      <c r="I467" s="322"/>
      <c r="J467" s="322"/>
      <c r="K467" s="322"/>
      <c r="L467" s="322"/>
      <c r="M467" s="322"/>
      <c r="N467" s="322"/>
      <c r="O467" s="322"/>
      <c r="P467" s="322"/>
      <c r="Q467" s="322"/>
      <c r="R467" s="322"/>
      <c r="S467" s="322"/>
      <c r="T467" s="322"/>
      <c r="U467" s="322"/>
      <c r="V467" s="322"/>
      <c r="W467" s="322"/>
      <c r="X467" s="322"/>
      <c r="Y467" s="322"/>
      <c r="Z467" s="322"/>
      <c r="AA467" s="322"/>
      <c r="AB467" s="322"/>
    </row>
    <row r="468" ht="15.75" customHeight="1">
      <c r="A468" s="322"/>
      <c r="B468" s="322"/>
      <c r="C468" s="322"/>
      <c r="D468" s="322"/>
      <c r="E468" s="330"/>
      <c r="F468" s="322"/>
      <c r="G468" s="322"/>
      <c r="H468" s="322"/>
      <c r="I468" s="322"/>
      <c r="J468" s="322"/>
      <c r="K468" s="322"/>
      <c r="L468" s="322"/>
      <c r="M468" s="322"/>
      <c r="N468" s="322"/>
      <c r="O468" s="322"/>
      <c r="P468" s="322"/>
      <c r="Q468" s="322"/>
      <c r="R468" s="322"/>
      <c r="S468" s="322"/>
      <c r="T468" s="322"/>
      <c r="U468" s="322"/>
      <c r="V468" s="322"/>
      <c r="W468" s="322"/>
      <c r="X468" s="322"/>
      <c r="Y468" s="322"/>
      <c r="Z468" s="322"/>
      <c r="AA468" s="322"/>
      <c r="AB468" s="322"/>
    </row>
    <row r="469" ht="15.75" customHeight="1">
      <c r="A469" s="322"/>
      <c r="B469" s="322"/>
      <c r="C469" s="322"/>
      <c r="D469" s="322"/>
      <c r="E469" s="330"/>
      <c r="F469" s="322"/>
      <c r="G469" s="322"/>
      <c r="H469" s="322"/>
      <c r="I469" s="322"/>
      <c r="J469" s="322"/>
      <c r="K469" s="322"/>
      <c r="L469" s="322"/>
      <c r="M469" s="322"/>
      <c r="N469" s="322"/>
      <c r="O469" s="322"/>
      <c r="P469" s="322"/>
      <c r="Q469" s="322"/>
      <c r="R469" s="322"/>
      <c r="S469" s="322"/>
      <c r="T469" s="322"/>
      <c r="U469" s="322"/>
      <c r="V469" s="322"/>
      <c r="W469" s="322"/>
      <c r="X469" s="322"/>
      <c r="Y469" s="322"/>
      <c r="Z469" s="322"/>
      <c r="AA469" s="322"/>
      <c r="AB469" s="322"/>
    </row>
    <row r="470" ht="15.75" customHeight="1">
      <c r="A470" s="322"/>
      <c r="B470" s="322"/>
      <c r="C470" s="322"/>
      <c r="D470" s="322"/>
      <c r="E470" s="330"/>
      <c r="F470" s="322"/>
      <c r="G470" s="322"/>
      <c r="H470" s="322"/>
      <c r="I470" s="322"/>
      <c r="J470" s="322"/>
      <c r="K470" s="322"/>
      <c r="L470" s="322"/>
      <c r="M470" s="322"/>
      <c r="N470" s="322"/>
      <c r="O470" s="322"/>
      <c r="P470" s="322"/>
      <c r="Q470" s="322"/>
      <c r="R470" s="322"/>
      <c r="S470" s="322"/>
      <c r="T470" s="322"/>
      <c r="U470" s="322"/>
      <c r="V470" s="322"/>
      <c r="W470" s="322"/>
      <c r="X470" s="322"/>
      <c r="Y470" s="322"/>
      <c r="Z470" s="322"/>
      <c r="AA470" s="322"/>
      <c r="AB470" s="322"/>
    </row>
    <row r="471" ht="15.75" customHeight="1">
      <c r="A471" s="322"/>
      <c r="B471" s="322"/>
      <c r="C471" s="322"/>
      <c r="D471" s="322"/>
      <c r="E471" s="330"/>
      <c r="F471" s="322"/>
      <c r="G471" s="322"/>
      <c r="H471" s="322"/>
      <c r="I471" s="322"/>
      <c r="J471" s="322"/>
      <c r="K471" s="322"/>
      <c r="L471" s="322"/>
      <c r="M471" s="322"/>
      <c r="N471" s="322"/>
      <c r="O471" s="322"/>
      <c r="P471" s="322"/>
      <c r="Q471" s="322"/>
      <c r="R471" s="322"/>
      <c r="S471" s="322"/>
      <c r="T471" s="322"/>
      <c r="U471" s="322"/>
      <c r="V471" s="322"/>
      <c r="W471" s="322"/>
      <c r="X471" s="322"/>
      <c r="Y471" s="322"/>
      <c r="Z471" s="322"/>
      <c r="AA471" s="322"/>
      <c r="AB471" s="322"/>
    </row>
    <row r="472" ht="15.75" customHeight="1">
      <c r="A472" s="322"/>
      <c r="B472" s="322"/>
      <c r="C472" s="322"/>
      <c r="D472" s="322"/>
      <c r="E472" s="330"/>
      <c r="F472" s="322"/>
      <c r="G472" s="322"/>
      <c r="H472" s="322"/>
      <c r="I472" s="322"/>
      <c r="J472" s="322"/>
      <c r="K472" s="322"/>
      <c r="L472" s="322"/>
      <c r="M472" s="322"/>
      <c r="N472" s="322"/>
      <c r="O472" s="322"/>
      <c r="P472" s="322"/>
      <c r="Q472" s="322"/>
      <c r="R472" s="322"/>
      <c r="S472" s="322"/>
      <c r="T472" s="322"/>
      <c r="U472" s="322"/>
      <c r="V472" s="322"/>
      <c r="W472" s="322"/>
      <c r="X472" s="322"/>
      <c r="Y472" s="322"/>
      <c r="Z472" s="322"/>
      <c r="AA472" s="322"/>
      <c r="AB472" s="322"/>
    </row>
    <row r="473" ht="15.75" customHeight="1">
      <c r="A473" s="322"/>
      <c r="B473" s="322"/>
      <c r="C473" s="322"/>
      <c r="D473" s="322"/>
      <c r="E473" s="330"/>
      <c r="F473" s="322"/>
      <c r="G473" s="322"/>
      <c r="H473" s="322"/>
      <c r="I473" s="322"/>
      <c r="J473" s="322"/>
      <c r="K473" s="322"/>
      <c r="L473" s="322"/>
      <c r="M473" s="322"/>
      <c r="N473" s="322"/>
      <c r="O473" s="322"/>
      <c r="P473" s="322"/>
      <c r="Q473" s="322"/>
      <c r="R473" s="322"/>
      <c r="S473" s="322"/>
      <c r="T473" s="322"/>
      <c r="U473" s="322"/>
      <c r="V473" s="322"/>
      <c r="W473" s="322"/>
      <c r="X473" s="322"/>
      <c r="Y473" s="322"/>
      <c r="Z473" s="322"/>
      <c r="AA473" s="322"/>
      <c r="AB473" s="322"/>
    </row>
    <row r="474" ht="15.75" customHeight="1">
      <c r="A474" s="322"/>
      <c r="B474" s="322"/>
      <c r="C474" s="322"/>
      <c r="D474" s="322"/>
      <c r="E474" s="330"/>
      <c r="F474" s="322"/>
      <c r="G474" s="322"/>
      <c r="H474" s="322"/>
      <c r="I474" s="322"/>
      <c r="J474" s="322"/>
      <c r="K474" s="322"/>
      <c r="L474" s="322"/>
      <c r="M474" s="322"/>
      <c r="N474" s="322"/>
      <c r="O474" s="322"/>
      <c r="P474" s="322"/>
      <c r="Q474" s="322"/>
      <c r="R474" s="322"/>
      <c r="S474" s="322"/>
      <c r="T474" s="322"/>
      <c r="U474" s="322"/>
      <c r="V474" s="322"/>
      <c r="W474" s="322"/>
      <c r="X474" s="322"/>
      <c r="Y474" s="322"/>
      <c r="Z474" s="322"/>
      <c r="AA474" s="322"/>
      <c r="AB474" s="322"/>
    </row>
    <row r="475" ht="15.75" customHeight="1">
      <c r="A475" s="322"/>
      <c r="B475" s="322"/>
      <c r="C475" s="322"/>
      <c r="D475" s="322"/>
      <c r="E475" s="330"/>
      <c r="F475" s="322"/>
      <c r="G475" s="322"/>
      <c r="H475" s="322"/>
      <c r="I475" s="322"/>
      <c r="J475" s="322"/>
      <c r="K475" s="322"/>
      <c r="L475" s="322"/>
      <c r="M475" s="322"/>
      <c r="N475" s="322"/>
      <c r="O475" s="322"/>
      <c r="P475" s="322"/>
      <c r="Q475" s="322"/>
      <c r="R475" s="322"/>
      <c r="S475" s="322"/>
      <c r="T475" s="322"/>
      <c r="U475" s="322"/>
      <c r="V475" s="322"/>
      <c r="W475" s="322"/>
      <c r="X475" s="322"/>
      <c r="Y475" s="322"/>
      <c r="Z475" s="322"/>
      <c r="AA475" s="322"/>
      <c r="AB475" s="322"/>
    </row>
    <row r="476" ht="15.75" customHeight="1">
      <c r="A476" s="322"/>
      <c r="B476" s="322"/>
      <c r="C476" s="322"/>
      <c r="D476" s="322"/>
      <c r="E476" s="330"/>
      <c r="F476" s="322"/>
      <c r="G476" s="322"/>
      <c r="H476" s="322"/>
      <c r="I476" s="322"/>
      <c r="J476" s="322"/>
      <c r="K476" s="322"/>
      <c r="L476" s="322"/>
      <c r="M476" s="322"/>
      <c r="N476" s="322"/>
      <c r="O476" s="322"/>
      <c r="P476" s="322"/>
      <c r="Q476" s="322"/>
      <c r="R476" s="322"/>
      <c r="S476" s="322"/>
      <c r="T476" s="322"/>
      <c r="U476" s="322"/>
      <c r="V476" s="322"/>
      <c r="W476" s="322"/>
      <c r="X476" s="322"/>
      <c r="Y476" s="322"/>
      <c r="Z476" s="322"/>
      <c r="AA476" s="322"/>
      <c r="AB476" s="322"/>
    </row>
    <row r="477" ht="15.75" customHeight="1">
      <c r="A477" s="322"/>
      <c r="B477" s="322"/>
      <c r="C477" s="322"/>
      <c r="D477" s="322"/>
      <c r="E477" s="330"/>
      <c r="F477" s="322"/>
      <c r="G477" s="322"/>
      <c r="H477" s="322"/>
      <c r="I477" s="322"/>
      <c r="J477" s="322"/>
      <c r="K477" s="322"/>
      <c r="L477" s="322"/>
      <c r="M477" s="322"/>
      <c r="N477" s="322"/>
      <c r="O477" s="322"/>
      <c r="P477" s="322"/>
      <c r="Q477" s="322"/>
      <c r="R477" s="322"/>
      <c r="S477" s="322"/>
      <c r="T477" s="322"/>
      <c r="U477" s="322"/>
      <c r="V477" s="322"/>
      <c r="W477" s="322"/>
      <c r="X477" s="322"/>
      <c r="Y477" s="322"/>
      <c r="Z477" s="322"/>
      <c r="AA477" s="322"/>
      <c r="AB477" s="322"/>
    </row>
    <row r="478" ht="15.75" customHeight="1">
      <c r="A478" s="322"/>
      <c r="B478" s="322"/>
      <c r="C478" s="322"/>
      <c r="D478" s="322"/>
      <c r="E478" s="330"/>
      <c r="F478" s="322"/>
      <c r="G478" s="322"/>
      <c r="H478" s="322"/>
      <c r="I478" s="322"/>
      <c r="J478" s="322"/>
      <c r="K478" s="322"/>
      <c r="L478" s="322"/>
      <c r="M478" s="322"/>
      <c r="N478" s="322"/>
      <c r="O478" s="322"/>
      <c r="P478" s="322"/>
      <c r="Q478" s="322"/>
      <c r="R478" s="322"/>
      <c r="S478" s="322"/>
      <c r="T478" s="322"/>
      <c r="U478" s="322"/>
      <c r="V478" s="322"/>
      <c r="W478" s="322"/>
      <c r="X478" s="322"/>
      <c r="Y478" s="322"/>
      <c r="Z478" s="322"/>
      <c r="AA478" s="322"/>
      <c r="AB478" s="322"/>
    </row>
    <row r="479" ht="15.75" customHeight="1">
      <c r="A479" s="322"/>
      <c r="B479" s="322"/>
      <c r="C479" s="322"/>
      <c r="D479" s="322"/>
      <c r="E479" s="330"/>
      <c r="F479" s="322"/>
      <c r="G479" s="322"/>
      <c r="H479" s="322"/>
      <c r="I479" s="322"/>
      <c r="J479" s="322"/>
      <c r="K479" s="322"/>
      <c r="L479" s="322"/>
      <c r="M479" s="322"/>
      <c r="N479" s="322"/>
      <c r="O479" s="322"/>
      <c r="P479" s="322"/>
      <c r="Q479" s="322"/>
      <c r="R479" s="322"/>
      <c r="S479" s="322"/>
      <c r="T479" s="322"/>
      <c r="U479" s="322"/>
      <c r="V479" s="322"/>
      <c r="W479" s="322"/>
      <c r="X479" s="322"/>
      <c r="Y479" s="322"/>
      <c r="Z479" s="322"/>
      <c r="AA479" s="322"/>
      <c r="AB479" s="322"/>
    </row>
    <row r="480" ht="15.75" customHeight="1">
      <c r="A480" s="322"/>
      <c r="B480" s="322"/>
      <c r="C480" s="322"/>
      <c r="D480" s="322"/>
      <c r="E480" s="330"/>
      <c r="F480" s="322"/>
      <c r="G480" s="322"/>
      <c r="H480" s="322"/>
      <c r="I480" s="322"/>
      <c r="J480" s="322"/>
      <c r="K480" s="322"/>
      <c r="L480" s="322"/>
      <c r="M480" s="322"/>
      <c r="N480" s="322"/>
      <c r="O480" s="322"/>
      <c r="P480" s="322"/>
      <c r="Q480" s="322"/>
      <c r="R480" s="322"/>
      <c r="S480" s="322"/>
      <c r="T480" s="322"/>
      <c r="U480" s="322"/>
      <c r="V480" s="322"/>
      <c r="W480" s="322"/>
      <c r="X480" s="322"/>
      <c r="Y480" s="322"/>
      <c r="Z480" s="322"/>
      <c r="AA480" s="322"/>
      <c r="AB480" s="322"/>
    </row>
    <row r="481" ht="15.75" customHeight="1">
      <c r="A481" s="322"/>
      <c r="B481" s="322"/>
      <c r="C481" s="322"/>
      <c r="D481" s="322"/>
      <c r="E481" s="330"/>
      <c r="F481" s="322"/>
      <c r="G481" s="322"/>
      <c r="H481" s="322"/>
      <c r="I481" s="322"/>
      <c r="J481" s="322"/>
      <c r="K481" s="322"/>
      <c r="L481" s="322"/>
      <c r="M481" s="322"/>
      <c r="N481" s="322"/>
      <c r="O481" s="322"/>
      <c r="P481" s="322"/>
      <c r="Q481" s="322"/>
      <c r="R481" s="322"/>
      <c r="S481" s="322"/>
      <c r="T481" s="322"/>
      <c r="U481" s="322"/>
      <c r="V481" s="322"/>
      <c r="W481" s="322"/>
      <c r="X481" s="322"/>
      <c r="Y481" s="322"/>
      <c r="Z481" s="322"/>
      <c r="AA481" s="322"/>
      <c r="AB481" s="322"/>
    </row>
    <row r="482" ht="15.75" customHeight="1">
      <c r="A482" s="322"/>
      <c r="B482" s="322"/>
      <c r="C482" s="322"/>
      <c r="D482" s="322"/>
      <c r="E482" s="330"/>
      <c r="F482" s="322"/>
      <c r="G482" s="322"/>
      <c r="H482" s="322"/>
      <c r="I482" s="322"/>
      <c r="J482" s="322"/>
      <c r="K482" s="322"/>
      <c r="L482" s="322"/>
      <c r="M482" s="322"/>
      <c r="N482" s="322"/>
      <c r="O482" s="322"/>
      <c r="P482" s="322"/>
      <c r="Q482" s="322"/>
      <c r="R482" s="322"/>
      <c r="S482" s="322"/>
      <c r="T482" s="322"/>
      <c r="U482" s="322"/>
      <c r="V482" s="322"/>
      <c r="W482" s="322"/>
      <c r="X482" s="322"/>
      <c r="Y482" s="322"/>
      <c r="Z482" s="322"/>
      <c r="AA482" s="322"/>
      <c r="AB482" s="322"/>
    </row>
    <row r="483" ht="15.75" customHeight="1">
      <c r="A483" s="322"/>
      <c r="B483" s="322"/>
      <c r="C483" s="322"/>
      <c r="D483" s="322"/>
      <c r="E483" s="330"/>
      <c r="F483" s="322"/>
      <c r="G483" s="322"/>
      <c r="H483" s="322"/>
      <c r="I483" s="322"/>
      <c r="J483" s="322"/>
      <c r="K483" s="322"/>
      <c r="L483" s="322"/>
      <c r="M483" s="322"/>
      <c r="N483" s="322"/>
      <c r="O483" s="322"/>
      <c r="P483" s="322"/>
      <c r="Q483" s="322"/>
      <c r="R483" s="322"/>
      <c r="S483" s="322"/>
      <c r="T483" s="322"/>
      <c r="U483" s="322"/>
      <c r="V483" s="322"/>
      <c r="W483" s="322"/>
      <c r="X483" s="322"/>
      <c r="Y483" s="322"/>
      <c r="Z483" s="322"/>
      <c r="AA483" s="322"/>
      <c r="AB483" s="322"/>
    </row>
    <row r="484" ht="15.75" customHeight="1">
      <c r="A484" s="322"/>
      <c r="B484" s="322"/>
      <c r="C484" s="322"/>
      <c r="D484" s="322"/>
      <c r="E484" s="330"/>
      <c r="F484" s="322"/>
      <c r="G484" s="322"/>
      <c r="H484" s="322"/>
      <c r="I484" s="322"/>
      <c r="J484" s="322"/>
      <c r="K484" s="322"/>
      <c r="L484" s="322"/>
      <c r="M484" s="322"/>
      <c r="N484" s="322"/>
      <c r="O484" s="322"/>
      <c r="P484" s="322"/>
      <c r="Q484" s="322"/>
      <c r="R484" s="322"/>
      <c r="S484" s="322"/>
      <c r="T484" s="322"/>
      <c r="U484" s="322"/>
      <c r="V484" s="322"/>
      <c r="W484" s="322"/>
      <c r="X484" s="322"/>
      <c r="Y484" s="322"/>
      <c r="Z484" s="322"/>
      <c r="AA484" s="322"/>
      <c r="AB484" s="322"/>
    </row>
    <row r="485" ht="15.75" customHeight="1">
      <c r="A485" s="322"/>
      <c r="B485" s="322"/>
      <c r="C485" s="322"/>
      <c r="D485" s="322"/>
      <c r="E485" s="330"/>
      <c r="F485" s="322"/>
      <c r="G485" s="322"/>
      <c r="H485" s="322"/>
      <c r="I485" s="322"/>
      <c r="J485" s="322"/>
      <c r="K485" s="322"/>
      <c r="L485" s="322"/>
      <c r="M485" s="322"/>
      <c r="N485" s="322"/>
      <c r="O485" s="322"/>
      <c r="P485" s="322"/>
      <c r="Q485" s="322"/>
      <c r="R485" s="322"/>
      <c r="S485" s="322"/>
      <c r="T485" s="322"/>
      <c r="U485" s="322"/>
      <c r="V485" s="322"/>
      <c r="W485" s="322"/>
      <c r="X485" s="322"/>
      <c r="Y485" s="322"/>
      <c r="Z485" s="322"/>
      <c r="AA485" s="322"/>
      <c r="AB485" s="322"/>
    </row>
    <row r="486" ht="15.75" customHeight="1">
      <c r="A486" s="322"/>
      <c r="B486" s="322"/>
      <c r="C486" s="322"/>
      <c r="D486" s="322"/>
      <c r="E486" s="330"/>
      <c r="F486" s="322"/>
      <c r="G486" s="322"/>
      <c r="H486" s="322"/>
      <c r="I486" s="322"/>
      <c r="J486" s="322"/>
      <c r="K486" s="322"/>
      <c r="L486" s="322"/>
      <c r="M486" s="322"/>
      <c r="N486" s="322"/>
      <c r="O486" s="322"/>
      <c r="P486" s="322"/>
      <c r="Q486" s="322"/>
      <c r="R486" s="322"/>
      <c r="S486" s="322"/>
      <c r="T486" s="322"/>
      <c r="U486" s="322"/>
      <c r="V486" s="322"/>
      <c r="W486" s="322"/>
      <c r="X486" s="322"/>
      <c r="Y486" s="322"/>
      <c r="Z486" s="322"/>
      <c r="AA486" s="322"/>
      <c r="AB486" s="322"/>
    </row>
    <row r="487" ht="15.75" customHeight="1">
      <c r="A487" s="322"/>
      <c r="B487" s="322"/>
      <c r="C487" s="322"/>
      <c r="D487" s="322"/>
      <c r="E487" s="330"/>
      <c r="F487" s="322"/>
      <c r="G487" s="322"/>
      <c r="H487" s="322"/>
      <c r="I487" s="322"/>
      <c r="J487" s="322"/>
      <c r="K487" s="322"/>
      <c r="L487" s="322"/>
      <c r="M487" s="322"/>
      <c r="N487" s="322"/>
      <c r="O487" s="322"/>
      <c r="P487" s="322"/>
      <c r="Q487" s="322"/>
      <c r="R487" s="322"/>
      <c r="S487" s="322"/>
      <c r="T487" s="322"/>
      <c r="U487" s="322"/>
      <c r="V487" s="322"/>
      <c r="W487" s="322"/>
      <c r="X487" s="322"/>
      <c r="Y487" s="322"/>
      <c r="Z487" s="322"/>
      <c r="AA487" s="322"/>
      <c r="AB487" s="322"/>
    </row>
    <row r="488" ht="15.75" customHeight="1">
      <c r="A488" s="322"/>
      <c r="B488" s="322"/>
      <c r="C488" s="322"/>
      <c r="D488" s="322"/>
      <c r="E488" s="330"/>
      <c r="F488" s="322"/>
      <c r="G488" s="322"/>
      <c r="H488" s="322"/>
      <c r="I488" s="322"/>
      <c r="J488" s="322"/>
      <c r="K488" s="322"/>
      <c r="L488" s="322"/>
      <c r="M488" s="322"/>
      <c r="N488" s="322"/>
      <c r="O488" s="322"/>
      <c r="P488" s="322"/>
      <c r="Q488" s="322"/>
      <c r="R488" s="322"/>
      <c r="S488" s="322"/>
      <c r="T488" s="322"/>
      <c r="U488" s="322"/>
      <c r="V488" s="322"/>
      <c r="W488" s="322"/>
      <c r="X488" s="322"/>
      <c r="Y488" s="322"/>
      <c r="Z488" s="322"/>
      <c r="AA488" s="322"/>
      <c r="AB488" s="322"/>
    </row>
    <row r="489" ht="15.75" customHeight="1">
      <c r="A489" s="322"/>
      <c r="B489" s="322"/>
      <c r="C489" s="322"/>
      <c r="D489" s="322"/>
      <c r="E489" s="330"/>
      <c r="F489" s="322"/>
      <c r="G489" s="322"/>
      <c r="H489" s="322"/>
      <c r="I489" s="322"/>
      <c r="J489" s="322"/>
      <c r="K489" s="322"/>
      <c r="L489" s="322"/>
      <c r="M489" s="322"/>
      <c r="N489" s="322"/>
      <c r="O489" s="322"/>
      <c r="P489" s="322"/>
      <c r="Q489" s="322"/>
      <c r="R489" s="322"/>
      <c r="S489" s="322"/>
      <c r="T489" s="322"/>
      <c r="U489" s="322"/>
      <c r="V489" s="322"/>
      <c r="W489" s="322"/>
      <c r="X489" s="322"/>
      <c r="Y489" s="322"/>
      <c r="Z489" s="322"/>
      <c r="AA489" s="322"/>
      <c r="AB489" s="322"/>
    </row>
    <row r="490" ht="15.75" customHeight="1">
      <c r="A490" s="322"/>
      <c r="B490" s="322"/>
      <c r="C490" s="322"/>
      <c r="D490" s="322"/>
      <c r="E490" s="330"/>
      <c r="F490" s="322"/>
      <c r="G490" s="322"/>
      <c r="H490" s="322"/>
      <c r="I490" s="322"/>
      <c r="J490" s="322"/>
      <c r="K490" s="322"/>
      <c r="L490" s="322"/>
      <c r="M490" s="322"/>
      <c r="N490" s="322"/>
      <c r="O490" s="322"/>
      <c r="P490" s="322"/>
      <c r="Q490" s="322"/>
      <c r="R490" s="322"/>
      <c r="S490" s="322"/>
      <c r="T490" s="322"/>
      <c r="U490" s="322"/>
      <c r="V490" s="322"/>
      <c r="W490" s="322"/>
      <c r="X490" s="322"/>
      <c r="Y490" s="322"/>
      <c r="Z490" s="322"/>
      <c r="AA490" s="322"/>
      <c r="AB490" s="322"/>
    </row>
    <row r="491" ht="15.75" customHeight="1">
      <c r="A491" s="322"/>
      <c r="B491" s="322"/>
      <c r="C491" s="322"/>
      <c r="D491" s="322"/>
      <c r="E491" s="330"/>
      <c r="F491" s="322"/>
      <c r="G491" s="322"/>
      <c r="H491" s="322"/>
      <c r="I491" s="322"/>
      <c r="J491" s="322"/>
      <c r="K491" s="322"/>
      <c r="L491" s="322"/>
      <c r="M491" s="322"/>
      <c r="N491" s="322"/>
      <c r="O491" s="322"/>
      <c r="P491" s="322"/>
      <c r="Q491" s="322"/>
      <c r="R491" s="322"/>
      <c r="S491" s="322"/>
      <c r="T491" s="322"/>
      <c r="U491" s="322"/>
      <c r="V491" s="322"/>
      <c r="W491" s="322"/>
      <c r="X491" s="322"/>
      <c r="Y491" s="322"/>
      <c r="Z491" s="322"/>
      <c r="AA491" s="322"/>
      <c r="AB491" s="322"/>
    </row>
    <row r="492" ht="15.75" customHeight="1">
      <c r="A492" s="322"/>
      <c r="B492" s="322"/>
      <c r="C492" s="322"/>
      <c r="D492" s="322"/>
      <c r="E492" s="330"/>
      <c r="F492" s="322"/>
      <c r="G492" s="322"/>
      <c r="H492" s="322"/>
      <c r="I492" s="322"/>
      <c r="J492" s="322"/>
      <c r="K492" s="322"/>
      <c r="L492" s="322"/>
      <c r="M492" s="322"/>
      <c r="N492" s="322"/>
      <c r="O492" s="322"/>
      <c r="P492" s="322"/>
      <c r="Q492" s="322"/>
      <c r="R492" s="322"/>
      <c r="S492" s="322"/>
      <c r="T492" s="322"/>
      <c r="U492" s="322"/>
      <c r="V492" s="322"/>
      <c r="W492" s="322"/>
      <c r="X492" s="322"/>
      <c r="Y492" s="322"/>
      <c r="Z492" s="322"/>
      <c r="AA492" s="322"/>
      <c r="AB492" s="322"/>
    </row>
    <row r="493" ht="15.75" customHeight="1">
      <c r="A493" s="322"/>
      <c r="B493" s="322"/>
      <c r="C493" s="322"/>
      <c r="D493" s="322"/>
      <c r="E493" s="330"/>
      <c r="F493" s="322"/>
      <c r="G493" s="322"/>
      <c r="H493" s="322"/>
      <c r="I493" s="322"/>
      <c r="J493" s="322"/>
      <c r="K493" s="322"/>
      <c r="L493" s="322"/>
      <c r="M493" s="322"/>
      <c r="N493" s="322"/>
      <c r="O493" s="322"/>
      <c r="P493" s="322"/>
      <c r="Q493" s="322"/>
      <c r="R493" s="322"/>
      <c r="S493" s="322"/>
      <c r="T493" s="322"/>
      <c r="U493" s="322"/>
      <c r="V493" s="322"/>
      <c r="W493" s="322"/>
      <c r="X493" s="322"/>
      <c r="Y493" s="322"/>
      <c r="Z493" s="322"/>
      <c r="AA493" s="322"/>
      <c r="AB493" s="322"/>
    </row>
    <row r="494" ht="15.75" customHeight="1">
      <c r="A494" s="322"/>
      <c r="B494" s="322"/>
      <c r="C494" s="322"/>
      <c r="D494" s="322"/>
      <c r="E494" s="330"/>
      <c r="F494" s="322"/>
      <c r="G494" s="322"/>
      <c r="H494" s="322"/>
      <c r="I494" s="322"/>
      <c r="J494" s="322"/>
      <c r="K494" s="322"/>
      <c r="L494" s="322"/>
      <c r="M494" s="322"/>
      <c r="N494" s="322"/>
      <c r="O494" s="322"/>
      <c r="P494" s="322"/>
      <c r="Q494" s="322"/>
      <c r="R494" s="322"/>
      <c r="S494" s="322"/>
      <c r="T494" s="322"/>
      <c r="U494" s="322"/>
      <c r="V494" s="322"/>
      <c r="W494" s="322"/>
      <c r="X494" s="322"/>
      <c r="Y494" s="322"/>
      <c r="Z494" s="322"/>
      <c r="AA494" s="322"/>
      <c r="AB494" s="322"/>
    </row>
    <row r="495" ht="15.75" customHeight="1">
      <c r="A495" s="322"/>
      <c r="B495" s="322"/>
      <c r="C495" s="322"/>
      <c r="D495" s="322"/>
      <c r="E495" s="330"/>
      <c r="F495" s="322"/>
      <c r="G495" s="322"/>
      <c r="H495" s="322"/>
      <c r="I495" s="322"/>
      <c r="J495" s="322"/>
      <c r="K495" s="322"/>
      <c r="L495" s="322"/>
      <c r="M495" s="322"/>
      <c r="N495" s="322"/>
      <c r="O495" s="322"/>
      <c r="P495" s="322"/>
      <c r="Q495" s="322"/>
      <c r="R495" s="322"/>
      <c r="S495" s="322"/>
      <c r="T495" s="322"/>
      <c r="U495" s="322"/>
      <c r="V495" s="322"/>
      <c r="W495" s="322"/>
      <c r="X495" s="322"/>
      <c r="Y495" s="322"/>
      <c r="Z495" s="322"/>
      <c r="AA495" s="322"/>
      <c r="AB495" s="322"/>
    </row>
    <row r="496" ht="15.75" customHeight="1">
      <c r="A496" s="322"/>
      <c r="B496" s="322"/>
      <c r="C496" s="322"/>
      <c r="D496" s="322"/>
      <c r="E496" s="330"/>
      <c r="F496" s="322"/>
      <c r="G496" s="322"/>
      <c r="H496" s="322"/>
      <c r="I496" s="322"/>
      <c r="J496" s="322"/>
      <c r="K496" s="322"/>
      <c r="L496" s="322"/>
      <c r="M496" s="322"/>
      <c r="N496" s="322"/>
      <c r="O496" s="322"/>
      <c r="P496" s="322"/>
      <c r="Q496" s="322"/>
      <c r="R496" s="322"/>
      <c r="S496" s="322"/>
      <c r="T496" s="322"/>
      <c r="U496" s="322"/>
      <c r="V496" s="322"/>
      <c r="W496" s="322"/>
      <c r="X496" s="322"/>
      <c r="Y496" s="322"/>
      <c r="Z496" s="322"/>
      <c r="AA496" s="322"/>
      <c r="AB496" s="322"/>
    </row>
    <row r="497" ht="15.75" customHeight="1">
      <c r="A497" s="322"/>
      <c r="B497" s="322"/>
      <c r="C497" s="322"/>
      <c r="D497" s="322"/>
      <c r="E497" s="330"/>
      <c r="F497" s="322"/>
      <c r="G497" s="322"/>
      <c r="H497" s="322"/>
      <c r="I497" s="322"/>
      <c r="J497" s="322"/>
      <c r="K497" s="322"/>
      <c r="L497" s="322"/>
      <c r="M497" s="322"/>
      <c r="N497" s="322"/>
      <c r="O497" s="322"/>
      <c r="P497" s="322"/>
      <c r="Q497" s="322"/>
      <c r="R497" s="322"/>
      <c r="S497" s="322"/>
      <c r="T497" s="322"/>
      <c r="U497" s="322"/>
      <c r="V497" s="322"/>
      <c r="W497" s="322"/>
      <c r="X497" s="322"/>
      <c r="Y497" s="322"/>
      <c r="Z497" s="322"/>
      <c r="AA497" s="322"/>
      <c r="AB497" s="322"/>
    </row>
    <row r="498" ht="15.75" customHeight="1">
      <c r="A498" s="322"/>
      <c r="B498" s="322"/>
      <c r="C498" s="322"/>
      <c r="D498" s="322"/>
      <c r="E498" s="330"/>
      <c r="F498" s="322"/>
      <c r="G498" s="322"/>
      <c r="H498" s="322"/>
      <c r="I498" s="322"/>
      <c r="J498" s="322"/>
      <c r="K498" s="322"/>
      <c r="L498" s="322"/>
      <c r="M498" s="322"/>
      <c r="N498" s="322"/>
      <c r="O498" s="322"/>
      <c r="P498" s="322"/>
      <c r="Q498" s="322"/>
      <c r="R498" s="322"/>
      <c r="S498" s="322"/>
      <c r="T498" s="322"/>
      <c r="U498" s="322"/>
      <c r="V498" s="322"/>
      <c r="W498" s="322"/>
      <c r="X498" s="322"/>
      <c r="Y498" s="322"/>
      <c r="Z498" s="322"/>
      <c r="AA498" s="322"/>
      <c r="AB498" s="322"/>
    </row>
    <row r="499" ht="15.75" customHeight="1">
      <c r="A499" s="322"/>
      <c r="B499" s="322"/>
      <c r="C499" s="322"/>
      <c r="D499" s="322"/>
      <c r="E499" s="330"/>
      <c r="F499" s="322"/>
      <c r="G499" s="322"/>
      <c r="H499" s="322"/>
      <c r="I499" s="322"/>
      <c r="J499" s="322"/>
      <c r="K499" s="322"/>
      <c r="L499" s="322"/>
      <c r="M499" s="322"/>
      <c r="N499" s="322"/>
      <c r="O499" s="322"/>
      <c r="P499" s="322"/>
      <c r="Q499" s="322"/>
      <c r="R499" s="322"/>
      <c r="S499" s="322"/>
      <c r="T499" s="322"/>
      <c r="U499" s="322"/>
      <c r="V499" s="322"/>
      <c r="W499" s="322"/>
      <c r="X499" s="322"/>
      <c r="Y499" s="322"/>
      <c r="Z499" s="322"/>
      <c r="AA499" s="322"/>
      <c r="AB499" s="322"/>
    </row>
    <row r="500" ht="15.75" customHeight="1">
      <c r="A500" s="322"/>
      <c r="B500" s="322"/>
      <c r="C500" s="322"/>
      <c r="D500" s="322"/>
      <c r="E500" s="330"/>
      <c r="F500" s="322"/>
      <c r="G500" s="322"/>
      <c r="H500" s="322"/>
      <c r="I500" s="322"/>
      <c r="J500" s="322"/>
      <c r="K500" s="322"/>
      <c r="L500" s="322"/>
      <c r="M500" s="322"/>
      <c r="N500" s="322"/>
      <c r="O500" s="322"/>
      <c r="P500" s="322"/>
      <c r="Q500" s="322"/>
      <c r="R500" s="322"/>
      <c r="S500" s="322"/>
      <c r="T500" s="322"/>
      <c r="U500" s="322"/>
      <c r="V500" s="322"/>
      <c r="W500" s="322"/>
      <c r="X500" s="322"/>
      <c r="Y500" s="322"/>
      <c r="Z500" s="322"/>
      <c r="AA500" s="322"/>
      <c r="AB500" s="322"/>
    </row>
    <row r="501" ht="15.75" customHeight="1">
      <c r="A501" s="322"/>
      <c r="B501" s="322"/>
      <c r="C501" s="322"/>
      <c r="D501" s="322"/>
      <c r="E501" s="330"/>
      <c r="F501" s="322"/>
      <c r="G501" s="322"/>
      <c r="H501" s="322"/>
      <c r="I501" s="322"/>
      <c r="J501" s="322"/>
      <c r="K501" s="322"/>
      <c r="L501" s="322"/>
      <c r="M501" s="322"/>
      <c r="N501" s="322"/>
      <c r="O501" s="322"/>
      <c r="P501" s="322"/>
      <c r="Q501" s="322"/>
      <c r="R501" s="322"/>
      <c r="S501" s="322"/>
      <c r="T501" s="322"/>
      <c r="U501" s="322"/>
      <c r="V501" s="322"/>
      <c r="W501" s="322"/>
      <c r="X501" s="322"/>
      <c r="Y501" s="322"/>
      <c r="Z501" s="322"/>
      <c r="AA501" s="322"/>
      <c r="AB501" s="322"/>
    </row>
    <row r="502" ht="15.75" customHeight="1">
      <c r="A502" s="322"/>
      <c r="B502" s="322"/>
      <c r="C502" s="322"/>
      <c r="D502" s="322"/>
      <c r="E502" s="330"/>
      <c r="F502" s="322"/>
      <c r="G502" s="322"/>
      <c r="H502" s="322"/>
      <c r="I502" s="322"/>
      <c r="J502" s="322"/>
      <c r="K502" s="322"/>
      <c r="L502" s="322"/>
      <c r="M502" s="322"/>
      <c r="N502" s="322"/>
      <c r="O502" s="322"/>
      <c r="P502" s="322"/>
      <c r="Q502" s="322"/>
      <c r="R502" s="322"/>
      <c r="S502" s="322"/>
      <c r="T502" s="322"/>
      <c r="U502" s="322"/>
      <c r="V502" s="322"/>
      <c r="W502" s="322"/>
      <c r="X502" s="322"/>
      <c r="Y502" s="322"/>
      <c r="Z502" s="322"/>
      <c r="AA502" s="322"/>
      <c r="AB502" s="322"/>
    </row>
    <row r="503" ht="15.75" customHeight="1">
      <c r="A503" s="322"/>
      <c r="B503" s="322"/>
      <c r="C503" s="322"/>
      <c r="D503" s="322"/>
      <c r="E503" s="330"/>
      <c r="F503" s="322"/>
      <c r="G503" s="322"/>
      <c r="H503" s="322"/>
      <c r="I503" s="322"/>
      <c r="J503" s="322"/>
      <c r="K503" s="322"/>
      <c r="L503" s="322"/>
      <c r="M503" s="322"/>
      <c r="N503" s="322"/>
      <c r="O503" s="322"/>
      <c r="P503" s="322"/>
      <c r="Q503" s="322"/>
      <c r="R503" s="322"/>
      <c r="S503" s="322"/>
      <c r="T503" s="322"/>
      <c r="U503" s="322"/>
      <c r="V503" s="322"/>
      <c r="W503" s="322"/>
      <c r="X503" s="322"/>
      <c r="Y503" s="322"/>
      <c r="Z503" s="322"/>
      <c r="AA503" s="322"/>
      <c r="AB503" s="322"/>
    </row>
    <row r="504" ht="15.75" customHeight="1">
      <c r="A504" s="322"/>
      <c r="B504" s="322"/>
      <c r="C504" s="322"/>
      <c r="D504" s="322"/>
      <c r="E504" s="330"/>
      <c r="F504" s="322"/>
      <c r="G504" s="322"/>
      <c r="H504" s="322"/>
      <c r="I504" s="322"/>
      <c r="J504" s="322"/>
      <c r="K504" s="322"/>
      <c r="L504" s="322"/>
      <c r="M504" s="322"/>
      <c r="N504" s="322"/>
      <c r="O504" s="322"/>
      <c r="P504" s="322"/>
      <c r="Q504" s="322"/>
      <c r="R504" s="322"/>
      <c r="S504" s="322"/>
      <c r="T504" s="322"/>
      <c r="U504" s="322"/>
      <c r="V504" s="322"/>
      <c r="W504" s="322"/>
      <c r="X504" s="322"/>
      <c r="Y504" s="322"/>
      <c r="Z504" s="322"/>
      <c r="AA504" s="322"/>
      <c r="AB504" s="322"/>
    </row>
    <row r="505" ht="15.75" customHeight="1">
      <c r="A505" s="322"/>
      <c r="B505" s="322"/>
      <c r="C505" s="322"/>
      <c r="D505" s="322"/>
      <c r="E505" s="330"/>
      <c r="F505" s="322"/>
      <c r="G505" s="322"/>
      <c r="H505" s="322"/>
      <c r="I505" s="322"/>
      <c r="J505" s="322"/>
      <c r="K505" s="322"/>
      <c r="L505" s="322"/>
      <c r="M505" s="322"/>
      <c r="N505" s="322"/>
      <c r="O505" s="322"/>
      <c r="P505" s="322"/>
      <c r="Q505" s="322"/>
      <c r="R505" s="322"/>
      <c r="S505" s="322"/>
      <c r="T505" s="322"/>
      <c r="U505" s="322"/>
      <c r="V505" s="322"/>
      <c r="W505" s="322"/>
      <c r="X505" s="322"/>
      <c r="Y505" s="322"/>
      <c r="Z505" s="322"/>
      <c r="AA505" s="322"/>
      <c r="AB505" s="322"/>
    </row>
    <row r="506" ht="15.75" customHeight="1">
      <c r="A506" s="322"/>
      <c r="B506" s="322"/>
      <c r="C506" s="322"/>
      <c r="D506" s="322"/>
      <c r="E506" s="330"/>
      <c r="F506" s="322"/>
      <c r="G506" s="322"/>
      <c r="H506" s="322"/>
      <c r="I506" s="322"/>
      <c r="J506" s="322"/>
      <c r="K506" s="322"/>
      <c r="L506" s="322"/>
      <c r="M506" s="322"/>
      <c r="N506" s="322"/>
      <c r="O506" s="322"/>
      <c r="P506" s="322"/>
      <c r="Q506" s="322"/>
      <c r="R506" s="322"/>
      <c r="S506" s="322"/>
      <c r="T506" s="322"/>
      <c r="U506" s="322"/>
      <c r="V506" s="322"/>
      <c r="W506" s="322"/>
      <c r="X506" s="322"/>
      <c r="Y506" s="322"/>
      <c r="Z506" s="322"/>
      <c r="AA506" s="322"/>
      <c r="AB506" s="322"/>
    </row>
    <row r="507" ht="15.75" customHeight="1">
      <c r="A507" s="322"/>
      <c r="B507" s="322"/>
      <c r="C507" s="322"/>
      <c r="D507" s="322"/>
      <c r="E507" s="330"/>
      <c r="F507" s="322"/>
      <c r="G507" s="322"/>
      <c r="H507" s="322"/>
      <c r="I507" s="322"/>
      <c r="J507" s="322"/>
      <c r="K507" s="322"/>
      <c r="L507" s="322"/>
      <c r="M507" s="322"/>
      <c r="N507" s="322"/>
      <c r="O507" s="322"/>
      <c r="P507" s="322"/>
      <c r="Q507" s="322"/>
      <c r="R507" s="322"/>
      <c r="S507" s="322"/>
      <c r="T507" s="322"/>
      <c r="U507" s="322"/>
      <c r="V507" s="322"/>
      <c r="W507" s="322"/>
      <c r="X507" s="322"/>
      <c r="Y507" s="322"/>
      <c r="Z507" s="322"/>
      <c r="AA507" s="322"/>
      <c r="AB507" s="322"/>
    </row>
    <row r="508" ht="15.75" customHeight="1">
      <c r="A508" s="322"/>
      <c r="B508" s="322"/>
      <c r="C508" s="322"/>
      <c r="D508" s="322"/>
      <c r="E508" s="330"/>
      <c r="F508" s="322"/>
      <c r="G508" s="322"/>
      <c r="H508" s="322"/>
      <c r="I508" s="322"/>
      <c r="J508" s="322"/>
      <c r="K508" s="322"/>
      <c r="L508" s="322"/>
      <c r="M508" s="322"/>
      <c r="N508" s="322"/>
      <c r="O508" s="322"/>
      <c r="P508" s="322"/>
      <c r="Q508" s="322"/>
      <c r="R508" s="322"/>
      <c r="S508" s="322"/>
      <c r="T508" s="322"/>
      <c r="U508" s="322"/>
      <c r="V508" s="322"/>
      <c r="W508" s="322"/>
      <c r="X508" s="322"/>
      <c r="Y508" s="322"/>
      <c r="Z508" s="322"/>
      <c r="AA508" s="322"/>
      <c r="AB508" s="322"/>
    </row>
    <row r="509" ht="15.75" customHeight="1">
      <c r="A509" s="322"/>
      <c r="B509" s="322"/>
      <c r="C509" s="322"/>
      <c r="D509" s="322"/>
      <c r="E509" s="330"/>
      <c r="F509" s="322"/>
      <c r="G509" s="322"/>
      <c r="H509" s="322"/>
      <c r="I509" s="322"/>
      <c r="J509" s="322"/>
      <c r="K509" s="322"/>
      <c r="L509" s="322"/>
      <c r="M509" s="322"/>
      <c r="N509" s="322"/>
      <c r="O509" s="322"/>
      <c r="P509" s="322"/>
      <c r="Q509" s="322"/>
      <c r="R509" s="322"/>
      <c r="S509" s="322"/>
      <c r="T509" s="322"/>
      <c r="U509" s="322"/>
      <c r="V509" s="322"/>
      <c r="W509" s="322"/>
      <c r="X509" s="322"/>
      <c r="Y509" s="322"/>
      <c r="Z509" s="322"/>
      <c r="AA509" s="322"/>
      <c r="AB509" s="322"/>
    </row>
    <row r="510" ht="15.75" customHeight="1">
      <c r="A510" s="322"/>
      <c r="B510" s="322"/>
      <c r="C510" s="322"/>
      <c r="D510" s="322"/>
      <c r="E510" s="330"/>
      <c r="F510" s="322"/>
      <c r="G510" s="322"/>
      <c r="H510" s="322"/>
      <c r="I510" s="322"/>
      <c r="J510" s="322"/>
      <c r="K510" s="322"/>
      <c r="L510" s="322"/>
      <c r="M510" s="322"/>
      <c r="N510" s="322"/>
      <c r="O510" s="322"/>
      <c r="P510" s="322"/>
      <c r="Q510" s="322"/>
      <c r="R510" s="322"/>
      <c r="S510" s="322"/>
      <c r="T510" s="322"/>
      <c r="U510" s="322"/>
      <c r="V510" s="322"/>
      <c r="W510" s="322"/>
      <c r="X510" s="322"/>
      <c r="Y510" s="322"/>
      <c r="Z510" s="322"/>
      <c r="AA510" s="322"/>
      <c r="AB510" s="322"/>
    </row>
    <row r="511" ht="15.75" customHeight="1">
      <c r="A511" s="322"/>
      <c r="B511" s="322"/>
      <c r="C511" s="322"/>
      <c r="D511" s="322"/>
      <c r="E511" s="330"/>
      <c r="F511" s="322"/>
      <c r="G511" s="322"/>
      <c r="H511" s="322"/>
      <c r="I511" s="322"/>
      <c r="J511" s="322"/>
      <c r="K511" s="322"/>
      <c r="L511" s="322"/>
      <c r="M511" s="322"/>
      <c r="N511" s="322"/>
      <c r="O511" s="322"/>
      <c r="P511" s="322"/>
      <c r="Q511" s="322"/>
      <c r="R511" s="322"/>
      <c r="S511" s="322"/>
      <c r="T511" s="322"/>
      <c r="U511" s="322"/>
      <c r="V511" s="322"/>
      <c r="W511" s="322"/>
      <c r="X511" s="322"/>
      <c r="Y511" s="322"/>
      <c r="Z511" s="322"/>
      <c r="AA511" s="322"/>
      <c r="AB511" s="322"/>
    </row>
    <row r="512" ht="15.75" customHeight="1">
      <c r="A512" s="322"/>
      <c r="B512" s="322"/>
      <c r="C512" s="322"/>
      <c r="D512" s="322"/>
      <c r="E512" s="330"/>
      <c r="F512" s="322"/>
      <c r="G512" s="322"/>
      <c r="H512" s="322"/>
      <c r="I512" s="322"/>
      <c r="J512" s="322"/>
      <c r="K512" s="322"/>
      <c r="L512" s="322"/>
      <c r="M512" s="322"/>
      <c r="N512" s="322"/>
      <c r="O512" s="322"/>
      <c r="P512" s="322"/>
      <c r="Q512" s="322"/>
      <c r="R512" s="322"/>
      <c r="S512" s="322"/>
      <c r="T512" s="322"/>
      <c r="U512" s="322"/>
      <c r="V512" s="322"/>
      <c r="W512" s="322"/>
      <c r="X512" s="322"/>
      <c r="Y512" s="322"/>
      <c r="Z512" s="322"/>
      <c r="AA512" s="322"/>
      <c r="AB512" s="322"/>
    </row>
    <row r="513" ht="15.75" customHeight="1">
      <c r="A513" s="322"/>
      <c r="B513" s="322"/>
      <c r="C513" s="322"/>
      <c r="D513" s="322"/>
      <c r="E513" s="330"/>
      <c r="F513" s="322"/>
      <c r="G513" s="322"/>
      <c r="H513" s="322"/>
      <c r="I513" s="322"/>
      <c r="J513" s="322"/>
      <c r="K513" s="322"/>
      <c r="L513" s="322"/>
      <c r="M513" s="322"/>
      <c r="N513" s="322"/>
      <c r="O513" s="322"/>
      <c r="P513" s="322"/>
      <c r="Q513" s="322"/>
      <c r="R513" s="322"/>
      <c r="S513" s="322"/>
      <c r="T513" s="322"/>
      <c r="U513" s="322"/>
      <c r="V513" s="322"/>
      <c r="W513" s="322"/>
      <c r="X513" s="322"/>
      <c r="Y513" s="322"/>
      <c r="Z513" s="322"/>
      <c r="AA513" s="322"/>
      <c r="AB513" s="322"/>
    </row>
    <row r="514" ht="15.75" customHeight="1">
      <c r="A514" s="322"/>
      <c r="B514" s="322"/>
      <c r="C514" s="322"/>
      <c r="D514" s="322"/>
      <c r="E514" s="330"/>
      <c r="F514" s="322"/>
      <c r="G514" s="322"/>
      <c r="H514" s="322"/>
      <c r="I514" s="322"/>
      <c r="J514" s="322"/>
      <c r="K514" s="322"/>
      <c r="L514" s="322"/>
      <c r="M514" s="322"/>
      <c r="N514" s="322"/>
      <c r="O514" s="322"/>
      <c r="P514" s="322"/>
      <c r="Q514" s="322"/>
      <c r="R514" s="322"/>
      <c r="S514" s="322"/>
      <c r="T514" s="322"/>
      <c r="U514" s="322"/>
      <c r="V514" s="322"/>
      <c r="W514" s="322"/>
      <c r="X514" s="322"/>
      <c r="Y514" s="322"/>
      <c r="Z514" s="322"/>
      <c r="AA514" s="322"/>
      <c r="AB514" s="322"/>
    </row>
    <row r="515" ht="15.75" customHeight="1">
      <c r="A515" s="322"/>
      <c r="B515" s="322"/>
      <c r="C515" s="322"/>
      <c r="D515" s="322"/>
      <c r="E515" s="330"/>
      <c r="F515" s="322"/>
      <c r="G515" s="322"/>
      <c r="H515" s="322"/>
      <c r="I515" s="322"/>
      <c r="J515" s="322"/>
      <c r="K515" s="322"/>
      <c r="L515" s="322"/>
      <c r="M515" s="322"/>
      <c r="N515" s="322"/>
      <c r="O515" s="322"/>
      <c r="P515" s="322"/>
      <c r="Q515" s="322"/>
      <c r="R515" s="322"/>
      <c r="S515" s="322"/>
      <c r="T515" s="322"/>
      <c r="U515" s="322"/>
      <c r="V515" s="322"/>
      <c r="W515" s="322"/>
      <c r="X515" s="322"/>
      <c r="Y515" s="322"/>
      <c r="Z515" s="322"/>
      <c r="AA515" s="322"/>
      <c r="AB515" s="322"/>
    </row>
    <row r="516" ht="15.75" customHeight="1">
      <c r="A516" s="322"/>
      <c r="B516" s="322"/>
      <c r="C516" s="322"/>
      <c r="D516" s="322"/>
      <c r="E516" s="330"/>
      <c r="F516" s="322"/>
      <c r="G516" s="322"/>
      <c r="H516" s="322"/>
      <c r="I516" s="322"/>
      <c r="J516" s="322"/>
      <c r="K516" s="322"/>
      <c r="L516" s="322"/>
      <c r="M516" s="322"/>
      <c r="N516" s="322"/>
      <c r="O516" s="322"/>
      <c r="P516" s="322"/>
      <c r="Q516" s="322"/>
      <c r="R516" s="322"/>
      <c r="S516" s="322"/>
      <c r="T516" s="322"/>
      <c r="U516" s="322"/>
      <c r="V516" s="322"/>
      <c r="W516" s="322"/>
      <c r="X516" s="322"/>
      <c r="Y516" s="322"/>
      <c r="Z516" s="322"/>
      <c r="AA516" s="322"/>
      <c r="AB516" s="322"/>
    </row>
    <row r="517" ht="15.75" customHeight="1">
      <c r="A517" s="322"/>
      <c r="B517" s="322"/>
      <c r="C517" s="322"/>
      <c r="D517" s="322"/>
      <c r="E517" s="330"/>
      <c r="F517" s="322"/>
      <c r="G517" s="322"/>
      <c r="H517" s="322"/>
      <c r="I517" s="322"/>
      <c r="J517" s="322"/>
      <c r="K517" s="322"/>
      <c r="L517" s="322"/>
      <c r="M517" s="322"/>
      <c r="N517" s="322"/>
      <c r="O517" s="322"/>
      <c r="P517" s="322"/>
      <c r="Q517" s="322"/>
      <c r="R517" s="322"/>
      <c r="S517" s="322"/>
      <c r="T517" s="322"/>
      <c r="U517" s="322"/>
      <c r="V517" s="322"/>
      <c r="W517" s="322"/>
      <c r="X517" s="322"/>
      <c r="Y517" s="322"/>
      <c r="Z517" s="322"/>
      <c r="AA517" s="322"/>
      <c r="AB517" s="322"/>
    </row>
    <row r="518" ht="15.75" customHeight="1">
      <c r="A518" s="322"/>
      <c r="B518" s="322"/>
      <c r="C518" s="322"/>
      <c r="D518" s="322"/>
      <c r="E518" s="330"/>
      <c r="F518" s="322"/>
      <c r="G518" s="322"/>
      <c r="H518" s="322"/>
      <c r="I518" s="322"/>
      <c r="J518" s="322"/>
      <c r="K518" s="322"/>
      <c r="L518" s="322"/>
      <c r="M518" s="322"/>
      <c r="N518" s="322"/>
      <c r="O518" s="322"/>
      <c r="P518" s="322"/>
      <c r="Q518" s="322"/>
      <c r="R518" s="322"/>
      <c r="S518" s="322"/>
      <c r="T518" s="322"/>
      <c r="U518" s="322"/>
      <c r="V518" s="322"/>
      <c r="W518" s="322"/>
      <c r="X518" s="322"/>
      <c r="Y518" s="322"/>
      <c r="Z518" s="322"/>
      <c r="AA518" s="322"/>
      <c r="AB518" s="322"/>
    </row>
    <row r="519" ht="15.75" customHeight="1">
      <c r="A519" s="322"/>
      <c r="B519" s="322"/>
      <c r="C519" s="322"/>
      <c r="D519" s="322"/>
      <c r="E519" s="330"/>
      <c r="F519" s="322"/>
      <c r="G519" s="322"/>
      <c r="H519" s="322"/>
      <c r="I519" s="322"/>
      <c r="J519" s="322"/>
      <c r="K519" s="322"/>
      <c r="L519" s="322"/>
      <c r="M519" s="322"/>
      <c r="N519" s="322"/>
      <c r="O519" s="322"/>
      <c r="P519" s="322"/>
      <c r="Q519" s="322"/>
      <c r="R519" s="322"/>
      <c r="S519" s="322"/>
      <c r="T519" s="322"/>
      <c r="U519" s="322"/>
      <c r="V519" s="322"/>
      <c r="W519" s="322"/>
      <c r="X519" s="322"/>
      <c r="Y519" s="322"/>
      <c r="Z519" s="322"/>
      <c r="AA519" s="322"/>
      <c r="AB519" s="322"/>
    </row>
    <row r="520" ht="15.75" customHeight="1">
      <c r="A520" s="322"/>
      <c r="B520" s="322"/>
      <c r="C520" s="322"/>
      <c r="D520" s="322"/>
      <c r="E520" s="330"/>
      <c r="F520" s="322"/>
      <c r="G520" s="322"/>
      <c r="H520" s="322"/>
      <c r="I520" s="322"/>
      <c r="J520" s="322"/>
      <c r="K520" s="322"/>
      <c r="L520" s="322"/>
      <c r="M520" s="322"/>
      <c r="N520" s="322"/>
      <c r="O520" s="322"/>
      <c r="P520" s="322"/>
      <c r="Q520" s="322"/>
      <c r="R520" s="322"/>
      <c r="S520" s="322"/>
      <c r="T520" s="322"/>
      <c r="U520" s="322"/>
      <c r="V520" s="322"/>
      <c r="W520" s="322"/>
      <c r="X520" s="322"/>
      <c r="Y520" s="322"/>
      <c r="Z520" s="322"/>
      <c r="AA520" s="322"/>
      <c r="AB520" s="322"/>
    </row>
    <row r="521" ht="15.75" customHeight="1">
      <c r="A521" s="322"/>
      <c r="B521" s="322"/>
      <c r="C521" s="322"/>
      <c r="D521" s="322"/>
      <c r="E521" s="330"/>
      <c r="F521" s="322"/>
      <c r="G521" s="322"/>
      <c r="H521" s="322"/>
      <c r="I521" s="322"/>
      <c r="J521" s="322"/>
      <c r="K521" s="322"/>
      <c r="L521" s="322"/>
      <c r="M521" s="322"/>
      <c r="N521" s="322"/>
      <c r="O521" s="322"/>
      <c r="P521" s="322"/>
      <c r="Q521" s="322"/>
      <c r="R521" s="322"/>
      <c r="S521" s="322"/>
      <c r="T521" s="322"/>
      <c r="U521" s="322"/>
      <c r="V521" s="322"/>
      <c r="W521" s="322"/>
      <c r="X521" s="322"/>
      <c r="Y521" s="322"/>
      <c r="Z521" s="322"/>
      <c r="AA521" s="322"/>
      <c r="AB521" s="322"/>
    </row>
    <row r="522" ht="15.75" customHeight="1">
      <c r="A522" s="322"/>
      <c r="B522" s="322"/>
      <c r="C522" s="322"/>
      <c r="D522" s="322"/>
      <c r="E522" s="330"/>
      <c r="F522" s="322"/>
      <c r="G522" s="322"/>
      <c r="H522" s="322"/>
      <c r="I522" s="322"/>
      <c r="J522" s="322"/>
      <c r="K522" s="322"/>
      <c r="L522" s="322"/>
      <c r="M522" s="322"/>
      <c r="N522" s="322"/>
      <c r="O522" s="322"/>
      <c r="P522" s="322"/>
      <c r="Q522" s="322"/>
      <c r="R522" s="322"/>
      <c r="S522" s="322"/>
      <c r="T522" s="322"/>
      <c r="U522" s="322"/>
      <c r="V522" s="322"/>
      <c r="W522" s="322"/>
      <c r="X522" s="322"/>
      <c r="Y522" s="322"/>
      <c r="Z522" s="322"/>
      <c r="AA522" s="322"/>
      <c r="AB522" s="322"/>
    </row>
    <row r="523" ht="15.75" customHeight="1">
      <c r="A523" s="322"/>
      <c r="B523" s="322"/>
      <c r="C523" s="322"/>
      <c r="D523" s="322"/>
      <c r="E523" s="330"/>
      <c r="F523" s="322"/>
      <c r="G523" s="322"/>
      <c r="H523" s="322"/>
      <c r="I523" s="322"/>
      <c r="J523" s="322"/>
      <c r="K523" s="322"/>
      <c r="L523" s="322"/>
      <c r="M523" s="322"/>
      <c r="N523" s="322"/>
      <c r="O523" s="322"/>
      <c r="P523" s="322"/>
      <c r="Q523" s="322"/>
      <c r="R523" s="322"/>
      <c r="S523" s="322"/>
      <c r="T523" s="322"/>
      <c r="U523" s="322"/>
      <c r="V523" s="322"/>
      <c r="W523" s="322"/>
      <c r="X523" s="322"/>
      <c r="Y523" s="322"/>
      <c r="Z523" s="322"/>
      <c r="AA523" s="322"/>
      <c r="AB523" s="322"/>
    </row>
    <row r="524" ht="15.75" customHeight="1">
      <c r="A524" s="322"/>
      <c r="B524" s="322"/>
      <c r="C524" s="322"/>
      <c r="D524" s="322"/>
      <c r="E524" s="330"/>
      <c r="F524" s="322"/>
      <c r="G524" s="322"/>
      <c r="H524" s="322"/>
      <c r="I524" s="322"/>
      <c r="J524" s="322"/>
      <c r="K524" s="322"/>
      <c r="L524" s="322"/>
      <c r="M524" s="322"/>
      <c r="N524" s="322"/>
      <c r="O524" s="322"/>
      <c r="P524" s="322"/>
      <c r="Q524" s="322"/>
      <c r="R524" s="322"/>
      <c r="S524" s="322"/>
      <c r="T524" s="322"/>
      <c r="U524" s="322"/>
      <c r="V524" s="322"/>
      <c r="W524" s="322"/>
      <c r="X524" s="322"/>
      <c r="Y524" s="322"/>
      <c r="Z524" s="322"/>
      <c r="AA524" s="322"/>
      <c r="AB524" s="322"/>
    </row>
    <row r="525" ht="15.75" customHeight="1">
      <c r="A525" s="322"/>
      <c r="B525" s="322"/>
      <c r="C525" s="322"/>
      <c r="D525" s="322"/>
      <c r="E525" s="330"/>
      <c r="F525" s="322"/>
      <c r="G525" s="322"/>
      <c r="H525" s="322"/>
      <c r="I525" s="322"/>
      <c r="J525" s="322"/>
      <c r="K525" s="322"/>
      <c r="L525" s="322"/>
      <c r="M525" s="322"/>
      <c r="N525" s="322"/>
      <c r="O525" s="322"/>
      <c r="P525" s="322"/>
      <c r="Q525" s="322"/>
      <c r="R525" s="322"/>
      <c r="S525" s="322"/>
      <c r="T525" s="322"/>
      <c r="U525" s="322"/>
      <c r="V525" s="322"/>
      <c r="W525" s="322"/>
      <c r="X525" s="322"/>
      <c r="Y525" s="322"/>
      <c r="Z525" s="322"/>
      <c r="AA525" s="322"/>
      <c r="AB525" s="322"/>
    </row>
    <row r="526" ht="15.75" customHeight="1">
      <c r="A526" s="322"/>
      <c r="B526" s="322"/>
      <c r="C526" s="322"/>
      <c r="D526" s="322"/>
      <c r="E526" s="330"/>
      <c r="F526" s="322"/>
      <c r="G526" s="322"/>
      <c r="H526" s="322"/>
      <c r="I526" s="322"/>
      <c r="J526" s="322"/>
      <c r="K526" s="322"/>
      <c r="L526" s="322"/>
      <c r="M526" s="322"/>
      <c r="N526" s="322"/>
      <c r="O526" s="322"/>
      <c r="P526" s="322"/>
      <c r="Q526" s="322"/>
      <c r="R526" s="322"/>
      <c r="S526" s="322"/>
      <c r="T526" s="322"/>
      <c r="U526" s="322"/>
      <c r="V526" s="322"/>
      <c r="W526" s="322"/>
      <c r="X526" s="322"/>
      <c r="Y526" s="322"/>
      <c r="Z526" s="322"/>
      <c r="AA526" s="322"/>
      <c r="AB526" s="322"/>
    </row>
    <row r="527" ht="15.75" customHeight="1">
      <c r="A527" s="322"/>
      <c r="B527" s="322"/>
      <c r="C527" s="322"/>
      <c r="D527" s="322"/>
      <c r="E527" s="330"/>
      <c r="F527" s="322"/>
      <c r="G527" s="322"/>
      <c r="H527" s="322"/>
      <c r="I527" s="322"/>
      <c r="J527" s="322"/>
      <c r="K527" s="322"/>
      <c r="L527" s="322"/>
      <c r="M527" s="322"/>
      <c r="N527" s="322"/>
      <c r="O527" s="322"/>
      <c r="P527" s="322"/>
      <c r="Q527" s="322"/>
      <c r="R527" s="322"/>
      <c r="S527" s="322"/>
      <c r="T527" s="322"/>
      <c r="U527" s="322"/>
      <c r="V527" s="322"/>
      <c r="W527" s="322"/>
      <c r="X527" s="322"/>
      <c r="Y527" s="322"/>
      <c r="Z527" s="322"/>
      <c r="AA527" s="322"/>
      <c r="AB527" s="322"/>
    </row>
    <row r="528" ht="15.75" customHeight="1">
      <c r="A528" s="322"/>
      <c r="B528" s="322"/>
      <c r="C528" s="322"/>
      <c r="D528" s="322"/>
      <c r="E528" s="330"/>
      <c r="F528" s="322"/>
      <c r="G528" s="322"/>
      <c r="H528" s="322"/>
      <c r="I528" s="322"/>
      <c r="J528" s="322"/>
      <c r="K528" s="322"/>
      <c r="L528" s="322"/>
      <c r="M528" s="322"/>
      <c r="N528" s="322"/>
      <c r="O528" s="322"/>
      <c r="P528" s="322"/>
      <c r="Q528" s="322"/>
      <c r="R528" s="322"/>
      <c r="S528" s="322"/>
      <c r="T528" s="322"/>
      <c r="U528" s="322"/>
      <c r="V528" s="322"/>
      <c r="W528" s="322"/>
      <c r="X528" s="322"/>
      <c r="Y528" s="322"/>
      <c r="Z528" s="322"/>
      <c r="AA528" s="322"/>
      <c r="AB528" s="322"/>
    </row>
    <row r="529" ht="15.75" customHeight="1">
      <c r="A529" s="322"/>
      <c r="B529" s="322"/>
      <c r="C529" s="322"/>
      <c r="D529" s="322"/>
      <c r="E529" s="330"/>
      <c r="F529" s="322"/>
      <c r="G529" s="322"/>
      <c r="H529" s="322"/>
      <c r="I529" s="322"/>
      <c r="J529" s="322"/>
      <c r="K529" s="322"/>
      <c r="L529" s="322"/>
      <c r="M529" s="322"/>
      <c r="N529" s="322"/>
      <c r="O529" s="322"/>
      <c r="P529" s="322"/>
      <c r="Q529" s="322"/>
      <c r="R529" s="322"/>
      <c r="S529" s="322"/>
      <c r="T529" s="322"/>
      <c r="U529" s="322"/>
      <c r="V529" s="322"/>
      <c r="W529" s="322"/>
      <c r="X529" s="322"/>
      <c r="Y529" s="322"/>
      <c r="Z529" s="322"/>
      <c r="AA529" s="322"/>
      <c r="AB529" s="322"/>
    </row>
    <row r="530" ht="15.75" customHeight="1">
      <c r="A530" s="322"/>
      <c r="B530" s="322"/>
      <c r="C530" s="322"/>
      <c r="D530" s="322"/>
      <c r="E530" s="330"/>
      <c r="F530" s="322"/>
      <c r="G530" s="322"/>
      <c r="H530" s="322"/>
      <c r="I530" s="322"/>
      <c r="J530" s="322"/>
      <c r="K530" s="322"/>
      <c r="L530" s="322"/>
      <c r="M530" s="322"/>
      <c r="N530" s="322"/>
      <c r="O530" s="322"/>
      <c r="P530" s="322"/>
      <c r="Q530" s="322"/>
      <c r="R530" s="322"/>
      <c r="S530" s="322"/>
      <c r="T530" s="322"/>
      <c r="U530" s="322"/>
      <c r="V530" s="322"/>
      <c r="W530" s="322"/>
      <c r="X530" s="322"/>
      <c r="Y530" s="322"/>
      <c r="Z530" s="322"/>
      <c r="AA530" s="322"/>
      <c r="AB530" s="322"/>
    </row>
    <row r="531" ht="15.75" customHeight="1">
      <c r="A531" s="322"/>
      <c r="B531" s="322"/>
      <c r="C531" s="322"/>
      <c r="D531" s="322"/>
      <c r="E531" s="330"/>
      <c r="F531" s="322"/>
      <c r="G531" s="322"/>
      <c r="H531" s="322"/>
      <c r="I531" s="322"/>
      <c r="J531" s="322"/>
      <c r="K531" s="322"/>
      <c r="L531" s="322"/>
      <c r="M531" s="322"/>
      <c r="N531" s="322"/>
      <c r="O531" s="322"/>
      <c r="P531" s="322"/>
      <c r="Q531" s="322"/>
      <c r="R531" s="322"/>
      <c r="S531" s="322"/>
      <c r="T531" s="322"/>
      <c r="U531" s="322"/>
      <c r="V531" s="322"/>
      <c r="W531" s="322"/>
      <c r="X531" s="322"/>
      <c r="Y531" s="322"/>
      <c r="Z531" s="322"/>
      <c r="AA531" s="322"/>
      <c r="AB531" s="322"/>
    </row>
    <row r="532" ht="15.75" customHeight="1">
      <c r="A532" s="322"/>
      <c r="B532" s="322"/>
      <c r="C532" s="322"/>
      <c r="D532" s="322"/>
      <c r="E532" s="330"/>
      <c r="F532" s="322"/>
      <c r="G532" s="322"/>
      <c r="H532" s="322"/>
      <c r="I532" s="322"/>
      <c r="J532" s="322"/>
      <c r="K532" s="322"/>
      <c r="L532" s="322"/>
      <c r="M532" s="322"/>
      <c r="N532" s="322"/>
      <c r="O532" s="322"/>
      <c r="P532" s="322"/>
      <c r="Q532" s="322"/>
      <c r="R532" s="322"/>
      <c r="S532" s="322"/>
      <c r="T532" s="322"/>
      <c r="U532" s="322"/>
      <c r="V532" s="322"/>
      <c r="W532" s="322"/>
      <c r="X532" s="322"/>
      <c r="Y532" s="322"/>
      <c r="Z532" s="322"/>
      <c r="AA532" s="322"/>
      <c r="AB532" s="322"/>
    </row>
    <row r="533" ht="15.75" customHeight="1">
      <c r="A533" s="322"/>
      <c r="B533" s="322"/>
      <c r="C533" s="322"/>
      <c r="D533" s="322"/>
      <c r="E533" s="330"/>
      <c r="F533" s="322"/>
      <c r="G533" s="322"/>
      <c r="H533" s="322"/>
      <c r="I533" s="322"/>
      <c r="J533" s="322"/>
      <c r="K533" s="322"/>
      <c r="L533" s="322"/>
      <c r="M533" s="322"/>
      <c r="N533" s="322"/>
      <c r="O533" s="322"/>
      <c r="P533" s="322"/>
      <c r="Q533" s="322"/>
      <c r="R533" s="322"/>
      <c r="S533" s="322"/>
      <c r="T533" s="322"/>
      <c r="U533" s="322"/>
      <c r="V533" s="322"/>
      <c r="W533" s="322"/>
      <c r="X533" s="322"/>
      <c r="Y533" s="322"/>
      <c r="Z533" s="322"/>
      <c r="AA533" s="322"/>
      <c r="AB533" s="322"/>
    </row>
    <row r="534" ht="15.75" customHeight="1">
      <c r="A534" s="322"/>
      <c r="B534" s="322"/>
      <c r="C534" s="322"/>
      <c r="D534" s="322"/>
      <c r="E534" s="330"/>
      <c r="F534" s="322"/>
      <c r="G534" s="322"/>
      <c r="H534" s="322"/>
      <c r="I534" s="322"/>
      <c r="J534" s="322"/>
      <c r="K534" s="322"/>
      <c r="L534" s="322"/>
      <c r="M534" s="322"/>
      <c r="N534" s="322"/>
      <c r="O534" s="322"/>
      <c r="P534" s="322"/>
      <c r="Q534" s="322"/>
      <c r="R534" s="322"/>
      <c r="S534" s="322"/>
      <c r="T534" s="322"/>
      <c r="U534" s="322"/>
      <c r="V534" s="322"/>
      <c r="W534" s="322"/>
      <c r="X534" s="322"/>
      <c r="Y534" s="322"/>
      <c r="Z534" s="322"/>
      <c r="AA534" s="322"/>
      <c r="AB534" s="322"/>
    </row>
    <row r="535" ht="15.75" customHeight="1">
      <c r="A535" s="322"/>
      <c r="B535" s="322"/>
      <c r="C535" s="322"/>
      <c r="D535" s="322"/>
      <c r="E535" s="330"/>
      <c r="F535" s="322"/>
      <c r="G535" s="322"/>
      <c r="H535" s="322"/>
      <c r="I535" s="322"/>
      <c r="J535" s="322"/>
      <c r="K535" s="322"/>
      <c r="L535" s="322"/>
      <c r="M535" s="322"/>
      <c r="N535" s="322"/>
      <c r="O535" s="322"/>
      <c r="P535" s="322"/>
      <c r="Q535" s="322"/>
      <c r="R535" s="322"/>
      <c r="S535" s="322"/>
      <c r="T535" s="322"/>
      <c r="U535" s="322"/>
      <c r="V535" s="322"/>
      <c r="W535" s="322"/>
      <c r="X535" s="322"/>
      <c r="Y535" s="322"/>
      <c r="Z535" s="322"/>
      <c r="AA535" s="322"/>
      <c r="AB535" s="322"/>
    </row>
    <row r="536" ht="15.75" customHeight="1">
      <c r="A536" s="322"/>
      <c r="B536" s="322"/>
      <c r="C536" s="322"/>
      <c r="D536" s="322"/>
      <c r="E536" s="330"/>
      <c r="F536" s="322"/>
      <c r="G536" s="322"/>
      <c r="H536" s="322"/>
      <c r="I536" s="322"/>
      <c r="J536" s="322"/>
      <c r="K536" s="322"/>
      <c r="L536" s="322"/>
      <c r="M536" s="322"/>
      <c r="N536" s="322"/>
      <c r="O536" s="322"/>
      <c r="P536" s="322"/>
      <c r="Q536" s="322"/>
      <c r="R536" s="322"/>
      <c r="S536" s="322"/>
      <c r="T536" s="322"/>
      <c r="U536" s="322"/>
      <c r="V536" s="322"/>
      <c r="W536" s="322"/>
      <c r="X536" s="322"/>
      <c r="Y536" s="322"/>
      <c r="Z536" s="322"/>
      <c r="AA536" s="322"/>
      <c r="AB536" s="322"/>
    </row>
    <row r="537" ht="15.75" customHeight="1">
      <c r="A537" s="322"/>
      <c r="B537" s="322"/>
      <c r="C537" s="322"/>
      <c r="D537" s="322"/>
      <c r="E537" s="330"/>
      <c r="F537" s="322"/>
      <c r="G537" s="322"/>
      <c r="H537" s="322"/>
      <c r="I537" s="322"/>
      <c r="J537" s="322"/>
      <c r="K537" s="322"/>
      <c r="L537" s="322"/>
      <c r="M537" s="322"/>
      <c r="N537" s="322"/>
      <c r="O537" s="322"/>
      <c r="P537" s="322"/>
      <c r="Q537" s="322"/>
      <c r="R537" s="322"/>
      <c r="S537" s="322"/>
      <c r="T537" s="322"/>
      <c r="U537" s="322"/>
      <c r="V537" s="322"/>
      <c r="W537" s="322"/>
      <c r="X537" s="322"/>
      <c r="Y537" s="322"/>
      <c r="Z537" s="322"/>
      <c r="AA537" s="322"/>
      <c r="AB537" s="322"/>
    </row>
    <row r="538" ht="15.75" customHeight="1">
      <c r="A538" s="322"/>
      <c r="B538" s="322"/>
      <c r="C538" s="322"/>
      <c r="D538" s="322"/>
      <c r="E538" s="330"/>
      <c r="F538" s="322"/>
      <c r="G538" s="322"/>
      <c r="H538" s="322"/>
      <c r="I538" s="322"/>
      <c r="J538" s="322"/>
      <c r="K538" s="322"/>
      <c r="L538" s="322"/>
      <c r="M538" s="322"/>
      <c r="N538" s="322"/>
      <c r="O538" s="322"/>
      <c r="P538" s="322"/>
      <c r="Q538" s="322"/>
      <c r="R538" s="322"/>
      <c r="S538" s="322"/>
      <c r="T538" s="322"/>
      <c r="U538" s="322"/>
      <c r="V538" s="322"/>
      <c r="W538" s="322"/>
      <c r="X538" s="322"/>
      <c r="Y538" s="322"/>
      <c r="Z538" s="322"/>
      <c r="AA538" s="322"/>
      <c r="AB538" s="322"/>
    </row>
    <row r="539" ht="15.75" customHeight="1">
      <c r="A539" s="322"/>
      <c r="B539" s="322"/>
      <c r="C539" s="322"/>
      <c r="D539" s="322"/>
      <c r="E539" s="330"/>
      <c r="F539" s="322"/>
      <c r="G539" s="322"/>
      <c r="H539" s="322"/>
      <c r="I539" s="322"/>
      <c r="J539" s="322"/>
      <c r="K539" s="322"/>
      <c r="L539" s="322"/>
      <c r="M539" s="322"/>
      <c r="N539" s="322"/>
      <c r="O539" s="322"/>
      <c r="P539" s="322"/>
      <c r="Q539" s="322"/>
      <c r="R539" s="322"/>
      <c r="S539" s="322"/>
      <c r="T539" s="322"/>
      <c r="U539" s="322"/>
      <c r="V539" s="322"/>
      <c r="W539" s="322"/>
      <c r="X539" s="322"/>
      <c r="Y539" s="322"/>
      <c r="Z539" s="322"/>
      <c r="AA539" s="322"/>
      <c r="AB539" s="322"/>
    </row>
    <row r="540" ht="15.75" customHeight="1">
      <c r="A540" s="322"/>
      <c r="B540" s="322"/>
      <c r="C540" s="322"/>
      <c r="D540" s="322"/>
      <c r="E540" s="330"/>
      <c r="F540" s="322"/>
      <c r="G540" s="322"/>
      <c r="H540" s="322"/>
      <c r="I540" s="322"/>
      <c r="J540" s="322"/>
      <c r="K540" s="322"/>
      <c r="L540" s="322"/>
      <c r="M540" s="322"/>
      <c r="N540" s="322"/>
      <c r="O540" s="322"/>
      <c r="P540" s="322"/>
      <c r="Q540" s="322"/>
      <c r="R540" s="322"/>
      <c r="S540" s="322"/>
      <c r="T540" s="322"/>
      <c r="U540" s="322"/>
      <c r="V540" s="322"/>
      <c r="W540" s="322"/>
      <c r="X540" s="322"/>
      <c r="Y540" s="322"/>
      <c r="Z540" s="322"/>
      <c r="AA540" s="322"/>
      <c r="AB540" s="322"/>
    </row>
    <row r="541" ht="15.75" customHeight="1">
      <c r="A541" s="322"/>
      <c r="B541" s="322"/>
      <c r="C541" s="322"/>
      <c r="D541" s="322"/>
      <c r="E541" s="330"/>
      <c r="F541" s="322"/>
      <c r="G541" s="322"/>
      <c r="H541" s="322"/>
      <c r="I541" s="322"/>
      <c r="J541" s="322"/>
      <c r="K541" s="322"/>
      <c r="L541" s="322"/>
      <c r="M541" s="322"/>
      <c r="N541" s="322"/>
      <c r="O541" s="322"/>
      <c r="P541" s="322"/>
      <c r="Q541" s="322"/>
      <c r="R541" s="322"/>
      <c r="S541" s="322"/>
      <c r="T541" s="322"/>
      <c r="U541" s="322"/>
      <c r="V541" s="322"/>
      <c r="W541" s="322"/>
      <c r="X541" s="322"/>
      <c r="Y541" s="322"/>
      <c r="Z541" s="322"/>
      <c r="AA541" s="322"/>
      <c r="AB541" s="322"/>
    </row>
    <row r="542" ht="15.75" customHeight="1">
      <c r="A542" s="322"/>
      <c r="B542" s="322"/>
      <c r="C542" s="322"/>
      <c r="D542" s="322"/>
      <c r="E542" s="330"/>
      <c r="F542" s="322"/>
      <c r="G542" s="322"/>
      <c r="H542" s="322"/>
      <c r="I542" s="322"/>
      <c r="J542" s="322"/>
      <c r="K542" s="322"/>
      <c r="L542" s="322"/>
      <c r="M542" s="322"/>
      <c r="N542" s="322"/>
      <c r="O542" s="322"/>
      <c r="P542" s="322"/>
      <c r="Q542" s="322"/>
      <c r="R542" s="322"/>
      <c r="S542" s="322"/>
      <c r="T542" s="322"/>
      <c r="U542" s="322"/>
      <c r="V542" s="322"/>
      <c r="W542" s="322"/>
      <c r="X542" s="322"/>
      <c r="Y542" s="322"/>
      <c r="Z542" s="322"/>
      <c r="AA542" s="322"/>
      <c r="AB542" s="322"/>
    </row>
    <row r="543" ht="15.75" customHeight="1">
      <c r="A543" s="322"/>
      <c r="B543" s="322"/>
      <c r="C543" s="322"/>
      <c r="D543" s="322"/>
      <c r="E543" s="330"/>
      <c r="F543" s="322"/>
      <c r="G543" s="322"/>
      <c r="H543" s="322"/>
      <c r="I543" s="322"/>
      <c r="J543" s="322"/>
      <c r="K543" s="322"/>
      <c r="L543" s="322"/>
      <c r="M543" s="322"/>
      <c r="N543" s="322"/>
      <c r="O543" s="322"/>
      <c r="P543" s="322"/>
      <c r="Q543" s="322"/>
      <c r="R543" s="322"/>
      <c r="S543" s="322"/>
      <c r="T543" s="322"/>
      <c r="U543" s="322"/>
      <c r="V543" s="322"/>
      <c r="W543" s="322"/>
      <c r="X543" s="322"/>
      <c r="Y543" s="322"/>
      <c r="Z543" s="322"/>
      <c r="AA543" s="322"/>
      <c r="AB543" s="322"/>
    </row>
    <row r="544" ht="15.75" customHeight="1">
      <c r="A544" s="322"/>
      <c r="B544" s="322"/>
      <c r="C544" s="322"/>
      <c r="D544" s="322"/>
      <c r="E544" s="330"/>
      <c r="F544" s="322"/>
      <c r="G544" s="322"/>
      <c r="H544" s="322"/>
      <c r="I544" s="322"/>
      <c r="J544" s="322"/>
      <c r="K544" s="322"/>
      <c r="L544" s="322"/>
      <c r="M544" s="322"/>
      <c r="N544" s="322"/>
      <c r="O544" s="322"/>
      <c r="P544" s="322"/>
      <c r="Q544" s="322"/>
      <c r="R544" s="322"/>
      <c r="S544" s="322"/>
      <c r="T544" s="322"/>
      <c r="U544" s="322"/>
      <c r="V544" s="322"/>
      <c r="W544" s="322"/>
      <c r="X544" s="322"/>
      <c r="Y544" s="322"/>
      <c r="Z544" s="322"/>
      <c r="AA544" s="322"/>
      <c r="AB544" s="322"/>
    </row>
    <row r="545" ht="15.75" customHeight="1">
      <c r="A545" s="322"/>
      <c r="B545" s="322"/>
      <c r="C545" s="322"/>
      <c r="D545" s="322"/>
      <c r="E545" s="330"/>
      <c r="F545" s="322"/>
      <c r="G545" s="322"/>
      <c r="H545" s="322"/>
      <c r="I545" s="322"/>
      <c r="J545" s="322"/>
      <c r="K545" s="322"/>
      <c r="L545" s="322"/>
      <c r="M545" s="322"/>
      <c r="N545" s="322"/>
      <c r="O545" s="322"/>
      <c r="P545" s="322"/>
      <c r="Q545" s="322"/>
      <c r="R545" s="322"/>
      <c r="S545" s="322"/>
      <c r="T545" s="322"/>
      <c r="U545" s="322"/>
      <c r="V545" s="322"/>
      <c r="W545" s="322"/>
      <c r="X545" s="322"/>
      <c r="Y545" s="322"/>
      <c r="Z545" s="322"/>
      <c r="AA545" s="322"/>
      <c r="AB545" s="322"/>
    </row>
    <row r="546" ht="15.75" customHeight="1">
      <c r="A546" s="322"/>
      <c r="B546" s="322"/>
      <c r="C546" s="322"/>
      <c r="D546" s="322"/>
      <c r="E546" s="330"/>
      <c r="F546" s="322"/>
      <c r="G546" s="322"/>
      <c r="H546" s="322"/>
      <c r="I546" s="322"/>
      <c r="J546" s="322"/>
      <c r="K546" s="322"/>
      <c r="L546" s="322"/>
      <c r="M546" s="322"/>
      <c r="N546" s="322"/>
      <c r="O546" s="322"/>
      <c r="P546" s="322"/>
      <c r="Q546" s="322"/>
      <c r="R546" s="322"/>
      <c r="S546" s="322"/>
      <c r="T546" s="322"/>
      <c r="U546" s="322"/>
      <c r="V546" s="322"/>
      <c r="W546" s="322"/>
      <c r="X546" s="322"/>
      <c r="Y546" s="322"/>
      <c r="Z546" s="322"/>
      <c r="AA546" s="322"/>
      <c r="AB546" s="322"/>
    </row>
    <row r="547" ht="15.75" customHeight="1">
      <c r="A547" s="322"/>
      <c r="B547" s="322"/>
      <c r="C547" s="322"/>
      <c r="D547" s="322"/>
      <c r="E547" s="330"/>
      <c r="F547" s="322"/>
      <c r="G547" s="322"/>
      <c r="H547" s="322"/>
      <c r="I547" s="322"/>
      <c r="J547" s="322"/>
      <c r="K547" s="322"/>
      <c r="L547" s="322"/>
      <c r="M547" s="322"/>
      <c r="N547" s="322"/>
      <c r="O547" s="322"/>
      <c r="P547" s="322"/>
      <c r="Q547" s="322"/>
      <c r="R547" s="322"/>
      <c r="S547" s="322"/>
      <c r="T547" s="322"/>
      <c r="U547" s="322"/>
      <c r="V547" s="322"/>
      <c r="W547" s="322"/>
      <c r="X547" s="322"/>
      <c r="Y547" s="322"/>
      <c r="Z547" s="322"/>
      <c r="AA547" s="322"/>
      <c r="AB547" s="322"/>
    </row>
    <row r="548" ht="15.75" customHeight="1">
      <c r="A548" s="322"/>
      <c r="B548" s="322"/>
      <c r="C548" s="322"/>
      <c r="D548" s="322"/>
      <c r="E548" s="330"/>
      <c r="F548" s="322"/>
      <c r="G548" s="322"/>
      <c r="H548" s="322"/>
      <c r="I548" s="322"/>
      <c r="J548" s="322"/>
      <c r="K548" s="322"/>
      <c r="L548" s="322"/>
      <c r="M548" s="322"/>
      <c r="N548" s="322"/>
      <c r="O548" s="322"/>
      <c r="P548" s="322"/>
      <c r="Q548" s="322"/>
      <c r="R548" s="322"/>
      <c r="S548" s="322"/>
      <c r="T548" s="322"/>
      <c r="U548" s="322"/>
      <c r="V548" s="322"/>
      <c r="W548" s="322"/>
      <c r="X548" s="322"/>
      <c r="Y548" s="322"/>
      <c r="Z548" s="322"/>
      <c r="AA548" s="322"/>
      <c r="AB548" s="322"/>
    </row>
    <row r="549" ht="15.75" customHeight="1">
      <c r="A549" s="322"/>
      <c r="B549" s="322"/>
      <c r="C549" s="322"/>
      <c r="D549" s="322"/>
      <c r="E549" s="330"/>
      <c r="F549" s="322"/>
      <c r="G549" s="322"/>
      <c r="H549" s="322"/>
      <c r="I549" s="322"/>
      <c r="J549" s="322"/>
      <c r="K549" s="322"/>
      <c r="L549" s="322"/>
      <c r="M549" s="322"/>
      <c r="N549" s="322"/>
      <c r="O549" s="322"/>
      <c r="P549" s="322"/>
      <c r="Q549" s="322"/>
      <c r="R549" s="322"/>
      <c r="S549" s="322"/>
      <c r="T549" s="322"/>
      <c r="U549" s="322"/>
      <c r="V549" s="322"/>
      <c r="W549" s="322"/>
      <c r="X549" s="322"/>
      <c r="Y549" s="322"/>
      <c r="Z549" s="322"/>
      <c r="AA549" s="322"/>
      <c r="AB549" s="322"/>
    </row>
    <row r="550" ht="15.75" customHeight="1">
      <c r="A550" s="322"/>
      <c r="B550" s="322"/>
      <c r="C550" s="322"/>
      <c r="D550" s="322"/>
      <c r="E550" s="330"/>
      <c r="F550" s="322"/>
      <c r="G550" s="322"/>
      <c r="H550" s="322"/>
      <c r="I550" s="322"/>
      <c r="J550" s="322"/>
      <c r="K550" s="322"/>
      <c r="L550" s="322"/>
      <c r="M550" s="322"/>
      <c r="N550" s="322"/>
      <c r="O550" s="322"/>
      <c r="P550" s="322"/>
      <c r="Q550" s="322"/>
      <c r="R550" s="322"/>
      <c r="S550" s="322"/>
      <c r="T550" s="322"/>
      <c r="U550" s="322"/>
      <c r="V550" s="322"/>
      <c r="W550" s="322"/>
      <c r="X550" s="322"/>
      <c r="Y550" s="322"/>
      <c r="Z550" s="322"/>
      <c r="AA550" s="322"/>
      <c r="AB550" s="322"/>
    </row>
    <row r="551" ht="15.75" customHeight="1">
      <c r="A551" s="322"/>
      <c r="B551" s="322"/>
      <c r="C551" s="322"/>
      <c r="D551" s="322"/>
      <c r="E551" s="330"/>
      <c r="F551" s="322"/>
      <c r="G551" s="322"/>
      <c r="H551" s="322"/>
      <c r="I551" s="322"/>
      <c r="J551" s="322"/>
      <c r="K551" s="322"/>
      <c r="L551" s="322"/>
      <c r="M551" s="322"/>
      <c r="N551" s="322"/>
      <c r="O551" s="322"/>
      <c r="P551" s="322"/>
      <c r="Q551" s="322"/>
      <c r="R551" s="322"/>
      <c r="S551" s="322"/>
      <c r="T551" s="322"/>
      <c r="U551" s="322"/>
      <c r="V551" s="322"/>
      <c r="W551" s="322"/>
      <c r="X551" s="322"/>
      <c r="Y551" s="322"/>
      <c r="Z551" s="322"/>
      <c r="AA551" s="322"/>
      <c r="AB551" s="322"/>
    </row>
    <row r="552" ht="15.75" customHeight="1">
      <c r="A552" s="322"/>
      <c r="B552" s="322"/>
      <c r="C552" s="322"/>
      <c r="D552" s="322"/>
      <c r="E552" s="330"/>
      <c r="F552" s="322"/>
      <c r="G552" s="322"/>
      <c r="H552" s="322"/>
      <c r="I552" s="322"/>
      <c r="J552" s="322"/>
      <c r="K552" s="322"/>
      <c r="L552" s="322"/>
      <c r="M552" s="322"/>
      <c r="N552" s="322"/>
      <c r="O552" s="322"/>
      <c r="P552" s="322"/>
      <c r="Q552" s="322"/>
      <c r="R552" s="322"/>
      <c r="S552" s="322"/>
      <c r="T552" s="322"/>
      <c r="U552" s="322"/>
      <c r="V552" s="322"/>
      <c r="W552" s="322"/>
      <c r="X552" s="322"/>
      <c r="Y552" s="322"/>
      <c r="Z552" s="322"/>
      <c r="AA552" s="322"/>
      <c r="AB552" s="322"/>
    </row>
    <row r="553" ht="15.75" customHeight="1">
      <c r="A553" s="322"/>
      <c r="B553" s="322"/>
      <c r="C553" s="322"/>
      <c r="D553" s="322"/>
      <c r="E553" s="330"/>
      <c r="F553" s="322"/>
      <c r="G553" s="322"/>
      <c r="H553" s="322"/>
      <c r="I553" s="322"/>
      <c r="J553" s="322"/>
      <c r="K553" s="322"/>
      <c r="L553" s="322"/>
      <c r="M553" s="322"/>
      <c r="N553" s="322"/>
      <c r="O553" s="322"/>
      <c r="P553" s="322"/>
      <c r="Q553" s="322"/>
      <c r="R553" s="322"/>
      <c r="S553" s="322"/>
      <c r="T553" s="322"/>
      <c r="U553" s="322"/>
      <c r="V553" s="322"/>
      <c r="W553" s="322"/>
      <c r="X553" s="322"/>
      <c r="Y553" s="322"/>
      <c r="Z553" s="322"/>
      <c r="AA553" s="322"/>
      <c r="AB553" s="322"/>
    </row>
    <row r="554" ht="15.75" customHeight="1">
      <c r="A554" s="322"/>
      <c r="B554" s="322"/>
      <c r="C554" s="322"/>
      <c r="D554" s="322"/>
      <c r="E554" s="330"/>
      <c r="F554" s="322"/>
      <c r="G554" s="322"/>
      <c r="H554" s="322"/>
      <c r="I554" s="322"/>
      <c r="J554" s="322"/>
      <c r="K554" s="322"/>
      <c r="L554" s="322"/>
      <c r="M554" s="322"/>
      <c r="N554" s="322"/>
      <c r="O554" s="322"/>
      <c r="P554" s="322"/>
      <c r="Q554" s="322"/>
      <c r="R554" s="322"/>
      <c r="S554" s="322"/>
      <c r="T554" s="322"/>
      <c r="U554" s="322"/>
      <c r="V554" s="322"/>
      <c r="W554" s="322"/>
      <c r="X554" s="322"/>
      <c r="Y554" s="322"/>
      <c r="Z554" s="322"/>
      <c r="AA554" s="322"/>
      <c r="AB554" s="322"/>
    </row>
    <row r="555" ht="15.75" customHeight="1">
      <c r="A555" s="322"/>
      <c r="B555" s="322"/>
      <c r="C555" s="322"/>
      <c r="D555" s="322"/>
      <c r="E555" s="330"/>
      <c r="F555" s="322"/>
      <c r="G555" s="322"/>
      <c r="H555" s="322"/>
      <c r="I555" s="322"/>
      <c r="J555" s="322"/>
      <c r="K555" s="322"/>
      <c r="L555" s="322"/>
      <c r="M555" s="322"/>
      <c r="N555" s="322"/>
      <c r="O555" s="322"/>
      <c r="P555" s="322"/>
      <c r="Q555" s="322"/>
      <c r="R555" s="322"/>
      <c r="S555" s="322"/>
      <c r="T555" s="322"/>
      <c r="U555" s="322"/>
      <c r="V555" s="322"/>
      <c r="W555" s="322"/>
      <c r="X555" s="322"/>
      <c r="Y555" s="322"/>
      <c r="Z555" s="322"/>
      <c r="AA555" s="322"/>
      <c r="AB555" s="322"/>
    </row>
    <row r="556" ht="15.75" customHeight="1">
      <c r="A556" s="322"/>
      <c r="B556" s="322"/>
      <c r="C556" s="322"/>
      <c r="D556" s="322"/>
      <c r="E556" s="330"/>
      <c r="F556" s="322"/>
      <c r="G556" s="322"/>
      <c r="H556" s="322"/>
      <c r="I556" s="322"/>
      <c r="J556" s="322"/>
      <c r="K556" s="322"/>
      <c r="L556" s="322"/>
      <c r="M556" s="322"/>
      <c r="N556" s="322"/>
      <c r="O556" s="322"/>
      <c r="P556" s="322"/>
      <c r="Q556" s="322"/>
      <c r="R556" s="322"/>
      <c r="S556" s="322"/>
      <c r="T556" s="322"/>
      <c r="U556" s="322"/>
      <c r="V556" s="322"/>
      <c r="W556" s="322"/>
      <c r="X556" s="322"/>
      <c r="Y556" s="322"/>
      <c r="Z556" s="322"/>
      <c r="AA556" s="322"/>
      <c r="AB556" s="322"/>
    </row>
    <row r="557" ht="15.75" customHeight="1">
      <c r="A557" s="322"/>
      <c r="B557" s="322"/>
      <c r="C557" s="322"/>
      <c r="D557" s="322"/>
      <c r="E557" s="330"/>
      <c r="F557" s="322"/>
      <c r="G557" s="322"/>
      <c r="H557" s="322"/>
      <c r="I557" s="322"/>
      <c r="J557" s="322"/>
      <c r="K557" s="322"/>
      <c r="L557" s="322"/>
      <c r="M557" s="322"/>
      <c r="N557" s="322"/>
      <c r="O557" s="322"/>
      <c r="P557" s="322"/>
      <c r="Q557" s="322"/>
      <c r="R557" s="322"/>
      <c r="S557" s="322"/>
      <c r="T557" s="322"/>
      <c r="U557" s="322"/>
      <c r="V557" s="322"/>
      <c r="W557" s="322"/>
      <c r="X557" s="322"/>
      <c r="Y557" s="322"/>
      <c r="Z557" s="322"/>
      <c r="AA557" s="322"/>
      <c r="AB557" s="322"/>
    </row>
    <row r="558" ht="15.75" customHeight="1">
      <c r="A558" s="322"/>
      <c r="B558" s="322"/>
      <c r="C558" s="322"/>
      <c r="D558" s="322"/>
      <c r="E558" s="330"/>
      <c r="F558" s="322"/>
      <c r="G558" s="322"/>
      <c r="H558" s="322"/>
      <c r="I558" s="322"/>
      <c r="J558" s="322"/>
      <c r="K558" s="322"/>
      <c r="L558" s="322"/>
      <c r="M558" s="322"/>
      <c r="N558" s="322"/>
      <c r="O558" s="322"/>
      <c r="P558" s="322"/>
      <c r="Q558" s="322"/>
      <c r="R558" s="322"/>
      <c r="S558" s="322"/>
      <c r="T558" s="322"/>
      <c r="U558" s="322"/>
      <c r="V558" s="322"/>
      <c r="W558" s="322"/>
      <c r="X558" s="322"/>
      <c r="Y558" s="322"/>
      <c r="Z558" s="322"/>
      <c r="AA558" s="322"/>
      <c r="AB558" s="322"/>
    </row>
    <row r="559" ht="15.75" customHeight="1">
      <c r="A559" s="322"/>
      <c r="B559" s="322"/>
      <c r="C559" s="322"/>
      <c r="D559" s="322"/>
      <c r="E559" s="330"/>
      <c r="F559" s="322"/>
      <c r="G559" s="322"/>
      <c r="H559" s="322"/>
      <c r="I559" s="322"/>
      <c r="J559" s="322"/>
      <c r="K559" s="322"/>
      <c r="L559" s="322"/>
      <c r="M559" s="322"/>
      <c r="N559" s="322"/>
      <c r="O559" s="322"/>
      <c r="P559" s="322"/>
      <c r="Q559" s="322"/>
      <c r="R559" s="322"/>
      <c r="S559" s="322"/>
      <c r="T559" s="322"/>
      <c r="U559" s="322"/>
      <c r="V559" s="322"/>
      <c r="W559" s="322"/>
      <c r="X559" s="322"/>
      <c r="Y559" s="322"/>
      <c r="Z559" s="322"/>
      <c r="AA559" s="322"/>
      <c r="AB559" s="322"/>
    </row>
    <row r="560" ht="15.75" customHeight="1">
      <c r="A560" s="322"/>
      <c r="B560" s="322"/>
      <c r="C560" s="322"/>
      <c r="D560" s="322"/>
      <c r="E560" s="330"/>
      <c r="F560" s="322"/>
      <c r="G560" s="322"/>
      <c r="H560" s="322"/>
      <c r="I560" s="322"/>
      <c r="J560" s="322"/>
      <c r="K560" s="322"/>
      <c r="L560" s="322"/>
      <c r="M560" s="322"/>
      <c r="N560" s="322"/>
      <c r="O560" s="322"/>
      <c r="P560" s="322"/>
      <c r="Q560" s="322"/>
      <c r="R560" s="322"/>
      <c r="S560" s="322"/>
      <c r="T560" s="322"/>
      <c r="U560" s="322"/>
      <c r="V560" s="322"/>
      <c r="W560" s="322"/>
      <c r="X560" s="322"/>
      <c r="Y560" s="322"/>
      <c r="Z560" s="322"/>
      <c r="AA560" s="322"/>
      <c r="AB560" s="322"/>
    </row>
    <row r="561" ht="15.75" customHeight="1">
      <c r="A561" s="322"/>
      <c r="B561" s="322"/>
      <c r="C561" s="322"/>
      <c r="D561" s="322"/>
      <c r="E561" s="330"/>
      <c r="F561" s="322"/>
      <c r="G561" s="322"/>
      <c r="H561" s="322"/>
      <c r="I561" s="322"/>
      <c r="J561" s="322"/>
      <c r="K561" s="322"/>
      <c r="L561" s="322"/>
      <c r="M561" s="322"/>
      <c r="N561" s="322"/>
      <c r="O561" s="322"/>
      <c r="P561" s="322"/>
      <c r="Q561" s="322"/>
      <c r="R561" s="322"/>
      <c r="S561" s="322"/>
      <c r="T561" s="322"/>
      <c r="U561" s="322"/>
      <c r="V561" s="322"/>
      <c r="W561" s="322"/>
      <c r="X561" s="322"/>
      <c r="Y561" s="322"/>
      <c r="Z561" s="322"/>
      <c r="AA561" s="322"/>
      <c r="AB561" s="322"/>
    </row>
    <row r="562" ht="15.75" customHeight="1">
      <c r="A562" s="322"/>
      <c r="B562" s="322"/>
      <c r="C562" s="322"/>
      <c r="D562" s="322"/>
      <c r="E562" s="330"/>
      <c r="F562" s="322"/>
      <c r="G562" s="322"/>
      <c r="H562" s="322"/>
      <c r="I562" s="322"/>
      <c r="J562" s="322"/>
      <c r="K562" s="322"/>
      <c r="L562" s="322"/>
      <c r="M562" s="322"/>
      <c r="N562" s="322"/>
      <c r="O562" s="322"/>
      <c r="P562" s="322"/>
      <c r="Q562" s="322"/>
      <c r="R562" s="322"/>
      <c r="S562" s="322"/>
      <c r="T562" s="322"/>
      <c r="U562" s="322"/>
      <c r="V562" s="322"/>
      <c r="W562" s="322"/>
      <c r="X562" s="322"/>
      <c r="Y562" s="322"/>
      <c r="Z562" s="322"/>
      <c r="AA562" s="322"/>
      <c r="AB562" s="322"/>
    </row>
    <row r="563" ht="15.75" customHeight="1">
      <c r="A563" s="322"/>
      <c r="B563" s="322"/>
      <c r="C563" s="322"/>
      <c r="D563" s="322"/>
      <c r="E563" s="330"/>
      <c r="F563" s="322"/>
      <c r="G563" s="322"/>
      <c r="H563" s="322"/>
      <c r="I563" s="322"/>
      <c r="J563" s="322"/>
      <c r="K563" s="322"/>
      <c r="L563" s="322"/>
      <c r="M563" s="322"/>
      <c r="N563" s="322"/>
      <c r="O563" s="322"/>
      <c r="P563" s="322"/>
      <c r="Q563" s="322"/>
      <c r="R563" s="322"/>
      <c r="S563" s="322"/>
      <c r="T563" s="322"/>
      <c r="U563" s="322"/>
      <c r="V563" s="322"/>
      <c r="W563" s="322"/>
      <c r="X563" s="322"/>
      <c r="Y563" s="322"/>
      <c r="Z563" s="322"/>
      <c r="AA563" s="322"/>
      <c r="AB563" s="322"/>
    </row>
    <row r="564" ht="15.75" customHeight="1">
      <c r="A564" s="322"/>
      <c r="B564" s="322"/>
      <c r="C564" s="322"/>
      <c r="D564" s="322"/>
      <c r="E564" s="330"/>
      <c r="F564" s="322"/>
      <c r="G564" s="322"/>
      <c r="H564" s="322"/>
      <c r="I564" s="322"/>
      <c r="J564" s="322"/>
      <c r="K564" s="322"/>
      <c r="L564" s="322"/>
      <c r="M564" s="322"/>
      <c r="N564" s="322"/>
      <c r="O564" s="322"/>
      <c r="P564" s="322"/>
      <c r="Q564" s="322"/>
      <c r="R564" s="322"/>
      <c r="S564" s="322"/>
      <c r="T564" s="322"/>
      <c r="U564" s="322"/>
      <c r="V564" s="322"/>
      <c r="W564" s="322"/>
      <c r="X564" s="322"/>
      <c r="Y564" s="322"/>
      <c r="Z564" s="322"/>
      <c r="AA564" s="322"/>
      <c r="AB564" s="322"/>
    </row>
    <row r="565" ht="15.75" customHeight="1">
      <c r="A565" s="322"/>
      <c r="B565" s="322"/>
      <c r="C565" s="322"/>
      <c r="D565" s="322"/>
      <c r="E565" s="330"/>
      <c r="F565" s="322"/>
      <c r="G565" s="322"/>
      <c r="H565" s="322"/>
      <c r="I565" s="322"/>
      <c r="J565" s="322"/>
      <c r="K565" s="322"/>
      <c r="L565" s="322"/>
      <c r="M565" s="322"/>
      <c r="N565" s="322"/>
      <c r="O565" s="322"/>
      <c r="P565" s="322"/>
      <c r="Q565" s="322"/>
      <c r="R565" s="322"/>
      <c r="S565" s="322"/>
      <c r="T565" s="322"/>
      <c r="U565" s="322"/>
      <c r="V565" s="322"/>
      <c r="W565" s="322"/>
      <c r="X565" s="322"/>
      <c r="Y565" s="322"/>
      <c r="Z565" s="322"/>
      <c r="AA565" s="322"/>
      <c r="AB565" s="322"/>
    </row>
    <row r="566" ht="15.75" customHeight="1">
      <c r="A566" s="322"/>
      <c r="B566" s="322"/>
      <c r="C566" s="322"/>
      <c r="D566" s="322"/>
      <c r="E566" s="330"/>
      <c r="F566" s="322"/>
      <c r="G566" s="322"/>
      <c r="H566" s="322"/>
      <c r="I566" s="322"/>
      <c r="J566" s="322"/>
      <c r="K566" s="322"/>
      <c r="L566" s="322"/>
      <c r="M566" s="322"/>
      <c r="N566" s="322"/>
      <c r="O566" s="322"/>
      <c r="P566" s="322"/>
      <c r="Q566" s="322"/>
      <c r="R566" s="322"/>
      <c r="S566" s="322"/>
      <c r="T566" s="322"/>
      <c r="U566" s="322"/>
      <c r="V566" s="322"/>
      <c r="W566" s="322"/>
      <c r="X566" s="322"/>
      <c r="Y566" s="322"/>
      <c r="Z566" s="322"/>
      <c r="AA566" s="322"/>
      <c r="AB566" s="322"/>
    </row>
    <row r="567" ht="15.75" customHeight="1">
      <c r="A567" s="322"/>
      <c r="B567" s="322"/>
      <c r="C567" s="322"/>
      <c r="D567" s="322"/>
      <c r="E567" s="330"/>
      <c r="F567" s="322"/>
      <c r="G567" s="322"/>
      <c r="H567" s="322"/>
      <c r="I567" s="322"/>
      <c r="J567" s="322"/>
      <c r="K567" s="322"/>
      <c r="L567" s="322"/>
      <c r="M567" s="322"/>
      <c r="N567" s="322"/>
      <c r="O567" s="322"/>
      <c r="P567" s="322"/>
      <c r="Q567" s="322"/>
      <c r="R567" s="322"/>
      <c r="S567" s="322"/>
      <c r="T567" s="322"/>
      <c r="U567" s="322"/>
      <c r="V567" s="322"/>
      <c r="W567" s="322"/>
      <c r="X567" s="322"/>
      <c r="Y567" s="322"/>
      <c r="Z567" s="322"/>
      <c r="AA567" s="322"/>
      <c r="AB567" s="322"/>
    </row>
    <row r="568" ht="15.75" customHeight="1">
      <c r="A568" s="322"/>
      <c r="B568" s="322"/>
      <c r="C568" s="322"/>
      <c r="D568" s="322"/>
      <c r="E568" s="330"/>
      <c r="F568" s="322"/>
      <c r="G568" s="322"/>
      <c r="H568" s="322"/>
      <c r="I568" s="322"/>
      <c r="J568" s="322"/>
      <c r="K568" s="322"/>
      <c r="L568" s="322"/>
      <c r="M568" s="322"/>
      <c r="N568" s="322"/>
      <c r="O568" s="322"/>
      <c r="P568" s="322"/>
      <c r="Q568" s="322"/>
      <c r="R568" s="322"/>
      <c r="S568" s="322"/>
      <c r="T568" s="322"/>
      <c r="U568" s="322"/>
      <c r="V568" s="322"/>
      <c r="W568" s="322"/>
      <c r="X568" s="322"/>
      <c r="Y568" s="322"/>
      <c r="Z568" s="322"/>
      <c r="AA568" s="322"/>
      <c r="AB568" s="322"/>
    </row>
    <row r="569" ht="15.75" customHeight="1">
      <c r="A569" s="322"/>
      <c r="B569" s="322"/>
      <c r="C569" s="322"/>
      <c r="D569" s="322"/>
      <c r="E569" s="330"/>
      <c r="F569" s="322"/>
      <c r="G569" s="322"/>
      <c r="H569" s="322"/>
      <c r="I569" s="322"/>
      <c r="J569" s="322"/>
      <c r="K569" s="322"/>
      <c r="L569" s="322"/>
      <c r="M569" s="322"/>
      <c r="N569" s="322"/>
      <c r="O569" s="322"/>
      <c r="P569" s="322"/>
      <c r="Q569" s="322"/>
      <c r="R569" s="322"/>
      <c r="S569" s="322"/>
      <c r="T569" s="322"/>
      <c r="U569" s="322"/>
      <c r="V569" s="322"/>
      <c r="W569" s="322"/>
      <c r="X569" s="322"/>
      <c r="Y569" s="322"/>
      <c r="Z569" s="322"/>
      <c r="AA569" s="322"/>
      <c r="AB569" s="322"/>
    </row>
    <row r="570" ht="15.75" customHeight="1">
      <c r="A570" s="322"/>
      <c r="B570" s="322"/>
      <c r="C570" s="322"/>
      <c r="D570" s="322"/>
      <c r="E570" s="330"/>
      <c r="F570" s="322"/>
      <c r="G570" s="322"/>
      <c r="H570" s="322"/>
      <c r="I570" s="322"/>
      <c r="J570" s="322"/>
      <c r="K570" s="322"/>
      <c r="L570" s="322"/>
      <c r="M570" s="322"/>
      <c r="N570" s="322"/>
      <c r="O570" s="322"/>
      <c r="P570" s="322"/>
      <c r="Q570" s="322"/>
      <c r="R570" s="322"/>
      <c r="S570" s="322"/>
      <c r="T570" s="322"/>
      <c r="U570" s="322"/>
      <c r="V570" s="322"/>
      <c r="W570" s="322"/>
      <c r="X570" s="322"/>
      <c r="Y570" s="322"/>
      <c r="Z570" s="322"/>
      <c r="AA570" s="322"/>
      <c r="AB570" s="322"/>
    </row>
    <row r="571" ht="15.75" customHeight="1">
      <c r="A571" s="322"/>
      <c r="B571" s="322"/>
      <c r="C571" s="322"/>
      <c r="D571" s="322"/>
      <c r="E571" s="330"/>
      <c r="F571" s="322"/>
      <c r="G571" s="322"/>
      <c r="H571" s="322"/>
      <c r="I571" s="322"/>
      <c r="J571" s="322"/>
      <c r="K571" s="322"/>
      <c r="L571" s="322"/>
      <c r="M571" s="322"/>
      <c r="N571" s="322"/>
      <c r="O571" s="322"/>
      <c r="P571" s="322"/>
      <c r="Q571" s="322"/>
      <c r="R571" s="322"/>
      <c r="S571" s="322"/>
      <c r="T571" s="322"/>
      <c r="U571" s="322"/>
      <c r="V571" s="322"/>
      <c r="W571" s="322"/>
      <c r="X571" s="322"/>
      <c r="Y571" s="322"/>
      <c r="Z571" s="322"/>
      <c r="AA571" s="322"/>
      <c r="AB571" s="322"/>
    </row>
    <row r="572" ht="15.75" customHeight="1">
      <c r="A572" s="322"/>
      <c r="B572" s="322"/>
      <c r="C572" s="322"/>
      <c r="D572" s="322"/>
      <c r="E572" s="330"/>
      <c r="F572" s="322"/>
      <c r="G572" s="322"/>
      <c r="H572" s="322"/>
      <c r="I572" s="322"/>
      <c r="J572" s="322"/>
      <c r="K572" s="322"/>
      <c r="L572" s="322"/>
      <c r="M572" s="322"/>
      <c r="N572" s="322"/>
      <c r="O572" s="322"/>
      <c r="P572" s="322"/>
      <c r="Q572" s="322"/>
      <c r="R572" s="322"/>
      <c r="S572" s="322"/>
      <c r="T572" s="322"/>
      <c r="U572" s="322"/>
      <c r="V572" s="322"/>
      <c r="W572" s="322"/>
      <c r="X572" s="322"/>
      <c r="Y572" s="322"/>
      <c r="Z572" s="322"/>
      <c r="AA572" s="322"/>
      <c r="AB572" s="322"/>
    </row>
    <row r="573" ht="15.75" customHeight="1">
      <c r="A573" s="322"/>
      <c r="B573" s="322"/>
      <c r="C573" s="322"/>
      <c r="D573" s="322"/>
      <c r="E573" s="330"/>
      <c r="F573" s="322"/>
      <c r="G573" s="322"/>
      <c r="H573" s="322"/>
      <c r="I573" s="322"/>
      <c r="J573" s="322"/>
      <c r="K573" s="322"/>
      <c r="L573" s="322"/>
      <c r="M573" s="322"/>
      <c r="N573" s="322"/>
      <c r="O573" s="322"/>
      <c r="P573" s="322"/>
      <c r="Q573" s="322"/>
      <c r="R573" s="322"/>
      <c r="S573" s="322"/>
      <c r="T573" s="322"/>
      <c r="U573" s="322"/>
      <c r="V573" s="322"/>
      <c r="W573" s="322"/>
      <c r="X573" s="322"/>
      <c r="Y573" s="322"/>
      <c r="Z573" s="322"/>
      <c r="AA573" s="322"/>
      <c r="AB573" s="322"/>
    </row>
    <row r="574" ht="15.75" customHeight="1">
      <c r="A574" s="322"/>
      <c r="B574" s="322"/>
      <c r="C574" s="322"/>
      <c r="D574" s="322"/>
      <c r="E574" s="330"/>
      <c r="F574" s="322"/>
      <c r="G574" s="322"/>
      <c r="H574" s="322"/>
      <c r="I574" s="322"/>
      <c r="J574" s="322"/>
      <c r="K574" s="322"/>
      <c r="L574" s="322"/>
      <c r="M574" s="322"/>
      <c r="N574" s="322"/>
      <c r="O574" s="322"/>
      <c r="P574" s="322"/>
      <c r="Q574" s="322"/>
      <c r="R574" s="322"/>
      <c r="S574" s="322"/>
      <c r="T574" s="322"/>
      <c r="U574" s="322"/>
      <c r="V574" s="322"/>
      <c r="W574" s="322"/>
      <c r="X574" s="322"/>
      <c r="Y574" s="322"/>
      <c r="Z574" s="322"/>
      <c r="AA574" s="322"/>
      <c r="AB574" s="322"/>
    </row>
    <row r="575" ht="15.75" customHeight="1">
      <c r="A575" s="322"/>
      <c r="B575" s="322"/>
      <c r="C575" s="322"/>
      <c r="D575" s="322"/>
      <c r="E575" s="330"/>
      <c r="F575" s="322"/>
      <c r="G575" s="322"/>
      <c r="H575" s="322"/>
      <c r="I575" s="322"/>
      <c r="J575" s="322"/>
      <c r="K575" s="322"/>
      <c r="L575" s="322"/>
      <c r="M575" s="322"/>
      <c r="N575" s="322"/>
      <c r="O575" s="322"/>
      <c r="P575" s="322"/>
      <c r="Q575" s="322"/>
      <c r="R575" s="322"/>
      <c r="S575" s="322"/>
      <c r="T575" s="322"/>
      <c r="U575" s="322"/>
      <c r="V575" s="322"/>
      <c r="W575" s="322"/>
      <c r="X575" s="322"/>
      <c r="Y575" s="322"/>
      <c r="Z575" s="322"/>
      <c r="AA575" s="322"/>
      <c r="AB575" s="322"/>
    </row>
    <row r="576" ht="15.75" customHeight="1">
      <c r="A576" s="322"/>
      <c r="B576" s="322"/>
      <c r="C576" s="322"/>
      <c r="D576" s="322"/>
      <c r="E576" s="330"/>
      <c r="F576" s="322"/>
      <c r="G576" s="322"/>
      <c r="H576" s="322"/>
      <c r="I576" s="322"/>
      <c r="J576" s="322"/>
      <c r="K576" s="322"/>
      <c r="L576" s="322"/>
      <c r="M576" s="322"/>
      <c r="N576" s="322"/>
      <c r="O576" s="322"/>
      <c r="P576" s="322"/>
      <c r="Q576" s="322"/>
      <c r="R576" s="322"/>
      <c r="S576" s="322"/>
      <c r="T576" s="322"/>
      <c r="U576" s="322"/>
      <c r="V576" s="322"/>
      <c r="W576" s="322"/>
      <c r="X576" s="322"/>
      <c r="Y576" s="322"/>
      <c r="Z576" s="322"/>
      <c r="AA576" s="322"/>
      <c r="AB576" s="322"/>
    </row>
    <row r="577" ht="15.75" customHeight="1">
      <c r="A577" s="322"/>
      <c r="B577" s="322"/>
      <c r="C577" s="322"/>
      <c r="D577" s="322"/>
      <c r="E577" s="330"/>
      <c r="F577" s="322"/>
      <c r="G577" s="322"/>
      <c r="H577" s="322"/>
      <c r="I577" s="322"/>
      <c r="J577" s="322"/>
      <c r="K577" s="322"/>
      <c r="L577" s="322"/>
      <c r="M577" s="322"/>
      <c r="N577" s="322"/>
      <c r="O577" s="322"/>
      <c r="P577" s="322"/>
      <c r="Q577" s="322"/>
      <c r="R577" s="322"/>
      <c r="S577" s="322"/>
      <c r="T577" s="322"/>
      <c r="U577" s="322"/>
      <c r="V577" s="322"/>
      <c r="W577" s="322"/>
      <c r="X577" s="322"/>
      <c r="Y577" s="322"/>
      <c r="Z577" s="322"/>
      <c r="AA577" s="322"/>
      <c r="AB577" s="322"/>
    </row>
    <row r="578" ht="15.75" customHeight="1">
      <c r="A578" s="322"/>
      <c r="B578" s="322"/>
      <c r="C578" s="322"/>
      <c r="D578" s="322"/>
      <c r="E578" s="330"/>
      <c r="F578" s="322"/>
      <c r="G578" s="322"/>
      <c r="H578" s="322"/>
      <c r="I578" s="322"/>
      <c r="J578" s="322"/>
      <c r="K578" s="322"/>
      <c r="L578" s="322"/>
      <c r="M578" s="322"/>
      <c r="N578" s="322"/>
      <c r="O578" s="322"/>
      <c r="P578" s="322"/>
      <c r="Q578" s="322"/>
      <c r="R578" s="322"/>
      <c r="S578" s="322"/>
      <c r="T578" s="322"/>
      <c r="U578" s="322"/>
      <c r="V578" s="322"/>
      <c r="W578" s="322"/>
      <c r="X578" s="322"/>
      <c r="Y578" s="322"/>
      <c r="Z578" s="322"/>
      <c r="AA578" s="322"/>
      <c r="AB578" s="322"/>
    </row>
    <row r="579" ht="15.75" customHeight="1">
      <c r="A579" s="322"/>
      <c r="B579" s="322"/>
      <c r="C579" s="322"/>
      <c r="D579" s="322"/>
      <c r="E579" s="330"/>
      <c r="F579" s="322"/>
      <c r="G579" s="322"/>
      <c r="H579" s="322"/>
      <c r="I579" s="322"/>
      <c r="J579" s="322"/>
      <c r="K579" s="322"/>
      <c r="L579" s="322"/>
      <c r="M579" s="322"/>
      <c r="N579" s="322"/>
      <c r="O579" s="322"/>
      <c r="P579" s="322"/>
      <c r="Q579" s="322"/>
      <c r="R579" s="322"/>
      <c r="S579" s="322"/>
      <c r="T579" s="322"/>
      <c r="U579" s="322"/>
      <c r="V579" s="322"/>
      <c r="W579" s="322"/>
      <c r="X579" s="322"/>
      <c r="Y579" s="322"/>
      <c r="Z579" s="322"/>
      <c r="AA579" s="322"/>
      <c r="AB579" s="322"/>
    </row>
    <row r="580" ht="15.75" customHeight="1">
      <c r="A580" s="322"/>
      <c r="B580" s="322"/>
      <c r="C580" s="322"/>
      <c r="D580" s="322"/>
      <c r="E580" s="330"/>
      <c r="F580" s="322"/>
      <c r="G580" s="322"/>
      <c r="H580" s="322"/>
      <c r="I580" s="322"/>
      <c r="J580" s="322"/>
      <c r="K580" s="322"/>
      <c r="L580" s="322"/>
      <c r="M580" s="322"/>
      <c r="N580" s="322"/>
      <c r="O580" s="322"/>
      <c r="P580" s="322"/>
      <c r="Q580" s="322"/>
      <c r="R580" s="322"/>
      <c r="S580" s="322"/>
      <c r="T580" s="322"/>
      <c r="U580" s="322"/>
      <c r="V580" s="322"/>
      <c r="W580" s="322"/>
      <c r="X580" s="322"/>
      <c r="Y580" s="322"/>
      <c r="Z580" s="322"/>
      <c r="AA580" s="322"/>
      <c r="AB580" s="322"/>
    </row>
    <row r="581" ht="15.75" customHeight="1">
      <c r="A581" s="322"/>
      <c r="B581" s="322"/>
      <c r="C581" s="322"/>
      <c r="D581" s="322"/>
      <c r="E581" s="330"/>
      <c r="F581" s="322"/>
      <c r="G581" s="322"/>
      <c r="H581" s="322"/>
      <c r="I581" s="322"/>
      <c r="J581" s="322"/>
      <c r="K581" s="322"/>
      <c r="L581" s="322"/>
      <c r="M581" s="322"/>
      <c r="N581" s="322"/>
      <c r="O581" s="322"/>
      <c r="P581" s="322"/>
      <c r="Q581" s="322"/>
      <c r="R581" s="322"/>
      <c r="S581" s="322"/>
      <c r="T581" s="322"/>
      <c r="U581" s="322"/>
      <c r="V581" s="322"/>
      <c r="W581" s="322"/>
      <c r="X581" s="322"/>
      <c r="Y581" s="322"/>
      <c r="Z581" s="322"/>
      <c r="AA581" s="322"/>
      <c r="AB581" s="322"/>
    </row>
    <row r="582" ht="15.75" customHeight="1">
      <c r="A582" s="322"/>
      <c r="B582" s="322"/>
      <c r="C582" s="322"/>
      <c r="D582" s="322"/>
      <c r="E582" s="330"/>
      <c r="F582" s="322"/>
      <c r="G582" s="322"/>
      <c r="H582" s="322"/>
      <c r="I582" s="322"/>
      <c r="J582" s="322"/>
      <c r="K582" s="322"/>
      <c r="L582" s="322"/>
      <c r="M582" s="322"/>
      <c r="N582" s="322"/>
      <c r="O582" s="322"/>
      <c r="P582" s="322"/>
      <c r="Q582" s="322"/>
      <c r="R582" s="322"/>
      <c r="S582" s="322"/>
      <c r="T582" s="322"/>
      <c r="U582" s="322"/>
      <c r="V582" s="322"/>
      <c r="W582" s="322"/>
      <c r="X582" s="322"/>
      <c r="Y582" s="322"/>
      <c r="Z582" s="322"/>
      <c r="AA582" s="322"/>
      <c r="AB582" s="322"/>
    </row>
    <row r="583" ht="15.75" customHeight="1">
      <c r="A583" s="322"/>
      <c r="B583" s="322"/>
      <c r="C583" s="322"/>
      <c r="D583" s="322"/>
      <c r="E583" s="330"/>
      <c r="F583" s="322"/>
      <c r="G583" s="322"/>
      <c r="H583" s="322"/>
      <c r="I583" s="322"/>
      <c r="J583" s="322"/>
      <c r="K583" s="322"/>
      <c r="L583" s="322"/>
      <c r="M583" s="322"/>
      <c r="N583" s="322"/>
      <c r="O583" s="322"/>
      <c r="P583" s="322"/>
      <c r="Q583" s="322"/>
      <c r="R583" s="322"/>
      <c r="S583" s="322"/>
      <c r="T583" s="322"/>
      <c r="U583" s="322"/>
      <c r="V583" s="322"/>
      <c r="W583" s="322"/>
      <c r="X583" s="322"/>
      <c r="Y583" s="322"/>
      <c r="Z583" s="322"/>
      <c r="AA583" s="322"/>
      <c r="AB583" s="322"/>
    </row>
    <row r="584" ht="15.75" customHeight="1">
      <c r="A584" s="322"/>
      <c r="B584" s="322"/>
      <c r="C584" s="322"/>
      <c r="D584" s="322"/>
      <c r="E584" s="330"/>
      <c r="F584" s="322"/>
      <c r="G584" s="322"/>
      <c r="H584" s="322"/>
      <c r="I584" s="322"/>
      <c r="J584" s="322"/>
      <c r="K584" s="322"/>
      <c r="L584" s="322"/>
      <c r="M584" s="322"/>
      <c r="N584" s="322"/>
      <c r="O584" s="322"/>
      <c r="P584" s="322"/>
      <c r="Q584" s="322"/>
      <c r="R584" s="322"/>
      <c r="S584" s="322"/>
      <c r="T584" s="322"/>
      <c r="U584" s="322"/>
      <c r="V584" s="322"/>
      <c r="W584" s="322"/>
      <c r="X584" s="322"/>
      <c r="Y584" s="322"/>
      <c r="Z584" s="322"/>
      <c r="AA584" s="322"/>
      <c r="AB584" s="322"/>
    </row>
    <row r="585" ht="15.75" customHeight="1">
      <c r="A585" s="322"/>
      <c r="B585" s="322"/>
      <c r="C585" s="322"/>
      <c r="D585" s="322"/>
      <c r="E585" s="330"/>
      <c r="F585" s="322"/>
      <c r="G585" s="322"/>
      <c r="H585" s="322"/>
      <c r="I585" s="322"/>
      <c r="J585" s="322"/>
      <c r="K585" s="322"/>
      <c r="L585" s="322"/>
      <c r="M585" s="322"/>
      <c r="N585" s="322"/>
      <c r="O585" s="322"/>
      <c r="P585" s="322"/>
      <c r="Q585" s="322"/>
      <c r="R585" s="322"/>
      <c r="S585" s="322"/>
      <c r="T585" s="322"/>
      <c r="U585" s="322"/>
      <c r="V585" s="322"/>
      <c r="W585" s="322"/>
      <c r="X585" s="322"/>
      <c r="Y585" s="322"/>
      <c r="Z585" s="322"/>
      <c r="AA585" s="322"/>
      <c r="AB585" s="322"/>
    </row>
    <row r="586" ht="15.75" customHeight="1">
      <c r="A586" s="322"/>
      <c r="B586" s="322"/>
      <c r="C586" s="322"/>
      <c r="D586" s="322"/>
      <c r="E586" s="330"/>
      <c r="F586" s="322"/>
      <c r="G586" s="322"/>
      <c r="H586" s="322"/>
      <c r="I586" s="322"/>
      <c r="J586" s="322"/>
      <c r="K586" s="322"/>
      <c r="L586" s="322"/>
      <c r="M586" s="322"/>
      <c r="N586" s="322"/>
      <c r="O586" s="322"/>
      <c r="P586" s="322"/>
      <c r="Q586" s="322"/>
      <c r="R586" s="322"/>
      <c r="S586" s="322"/>
      <c r="T586" s="322"/>
      <c r="U586" s="322"/>
      <c r="V586" s="322"/>
      <c r="W586" s="322"/>
      <c r="X586" s="322"/>
      <c r="Y586" s="322"/>
      <c r="Z586" s="322"/>
      <c r="AA586" s="322"/>
      <c r="AB586" s="322"/>
    </row>
    <row r="587" ht="15.75" customHeight="1">
      <c r="A587" s="322"/>
      <c r="B587" s="322"/>
      <c r="C587" s="322"/>
      <c r="D587" s="322"/>
      <c r="E587" s="330"/>
      <c r="F587" s="322"/>
      <c r="G587" s="322"/>
      <c r="H587" s="322"/>
      <c r="I587" s="322"/>
      <c r="J587" s="322"/>
      <c r="K587" s="322"/>
      <c r="L587" s="322"/>
      <c r="M587" s="322"/>
      <c r="N587" s="322"/>
      <c r="O587" s="322"/>
      <c r="P587" s="322"/>
      <c r="Q587" s="322"/>
      <c r="R587" s="322"/>
      <c r="S587" s="322"/>
      <c r="T587" s="322"/>
      <c r="U587" s="322"/>
      <c r="V587" s="322"/>
      <c r="W587" s="322"/>
      <c r="X587" s="322"/>
      <c r="Y587" s="322"/>
      <c r="Z587" s="322"/>
      <c r="AA587" s="322"/>
      <c r="AB587" s="322"/>
    </row>
    <row r="588" ht="15.75" customHeight="1">
      <c r="A588" s="322"/>
      <c r="B588" s="322"/>
      <c r="C588" s="322"/>
      <c r="D588" s="322"/>
      <c r="E588" s="330"/>
      <c r="F588" s="322"/>
      <c r="G588" s="322"/>
      <c r="H588" s="322"/>
      <c r="I588" s="322"/>
      <c r="J588" s="322"/>
      <c r="K588" s="322"/>
      <c r="L588" s="322"/>
      <c r="M588" s="322"/>
      <c r="N588" s="322"/>
      <c r="O588" s="322"/>
      <c r="P588" s="322"/>
      <c r="Q588" s="322"/>
      <c r="R588" s="322"/>
      <c r="S588" s="322"/>
      <c r="T588" s="322"/>
      <c r="U588" s="322"/>
      <c r="V588" s="322"/>
      <c r="W588" s="322"/>
      <c r="X588" s="322"/>
      <c r="Y588" s="322"/>
      <c r="Z588" s="322"/>
      <c r="AA588" s="322"/>
      <c r="AB588" s="322"/>
    </row>
    <row r="589" ht="15.75" customHeight="1">
      <c r="A589" s="322"/>
      <c r="B589" s="322"/>
      <c r="C589" s="322"/>
      <c r="D589" s="322"/>
      <c r="E589" s="330"/>
      <c r="F589" s="322"/>
      <c r="G589" s="322"/>
      <c r="H589" s="322"/>
      <c r="I589" s="322"/>
      <c r="J589" s="322"/>
      <c r="K589" s="322"/>
      <c r="L589" s="322"/>
      <c r="M589" s="322"/>
      <c r="N589" s="322"/>
      <c r="O589" s="322"/>
      <c r="P589" s="322"/>
      <c r="Q589" s="322"/>
      <c r="R589" s="322"/>
      <c r="S589" s="322"/>
      <c r="T589" s="322"/>
      <c r="U589" s="322"/>
      <c r="V589" s="322"/>
      <c r="W589" s="322"/>
      <c r="X589" s="322"/>
      <c r="Y589" s="322"/>
      <c r="Z589" s="322"/>
      <c r="AA589" s="322"/>
      <c r="AB589" s="322"/>
    </row>
    <row r="590" ht="15.75" customHeight="1">
      <c r="A590" s="322"/>
      <c r="B590" s="322"/>
      <c r="C590" s="322"/>
      <c r="D590" s="322"/>
      <c r="E590" s="330"/>
      <c r="F590" s="322"/>
      <c r="G590" s="322"/>
      <c r="H590" s="322"/>
      <c r="I590" s="322"/>
      <c r="J590" s="322"/>
      <c r="K590" s="322"/>
      <c r="L590" s="322"/>
      <c r="M590" s="322"/>
      <c r="N590" s="322"/>
      <c r="O590" s="322"/>
      <c r="P590" s="322"/>
      <c r="Q590" s="322"/>
      <c r="R590" s="322"/>
      <c r="S590" s="322"/>
      <c r="T590" s="322"/>
      <c r="U590" s="322"/>
      <c r="V590" s="322"/>
      <c r="W590" s="322"/>
      <c r="X590" s="322"/>
      <c r="Y590" s="322"/>
      <c r="Z590" s="322"/>
      <c r="AA590" s="322"/>
      <c r="AB590" s="322"/>
    </row>
    <row r="591" ht="15.75" customHeight="1">
      <c r="A591" s="322"/>
      <c r="B591" s="322"/>
      <c r="C591" s="322"/>
      <c r="D591" s="322"/>
      <c r="E591" s="330"/>
      <c r="F591" s="322"/>
      <c r="G591" s="322"/>
      <c r="H591" s="322"/>
      <c r="I591" s="322"/>
      <c r="J591" s="322"/>
      <c r="K591" s="322"/>
      <c r="L591" s="322"/>
      <c r="M591" s="322"/>
      <c r="N591" s="322"/>
      <c r="O591" s="322"/>
      <c r="P591" s="322"/>
      <c r="Q591" s="322"/>
      <c r="R591" s="322"/>
      <c r="S591" s="322"/>
      <c r="T591" s="322"/>
      <c r="U591" s="322"/>
      <c r="V591" s="322"/>
      <c r="W591" s="322"/>
      <c r="X591" s="322"/>
      <c r="Y591" s="322"/>
      <c r="Z591" s="322"/>
      <c r="AA591" s="322"/>
      <c r="AB591" s="322"/>
    </row>
    <row r="592" ht="15.75" customHeight="1">
      <c r="A592" s="322"/>
      <c r="B592" s="322"/>
      <c r="C592" s="322"/>
      <c r="D592" s="322"/>
      <c r="E592" s="330"/>
      <c r="F592" s="322"/>
      <c r="G592" s="322"/>
      <c r="H592" s="322"/>
      <c r="I592" s="322"/>
      <c r="J592" s="322"/>
      <c r="K592" s="322"/>
      <c r="L592" s="322"/>
      <c r="M592" s="322"/>
      <c r="N592" s="322"/>
      <c r="O592" s="322"/>
      <c r="P592" s="322"/>
      <c r="Q592" s="322"/>
      <c r="R592" s="322"/>
      <c r="S592" s="322"/>
      <c r="T592" s="322"/>
      <c r="U592" s="322"/>
      <c r="V592" s="322"/>
      <c r="W592" s="322"/>
      <c r="X592" s="322"/>
      <c r="Y592" s="322"/>
      <c r="Z592" s="322"/>
      <c r="AA592" s="322"/>
      <c r="AB592" s="322"/>
    </row>
    <row r="593" ht="15.75" customHeight="1">
      <c r="A593" s="322"/>
      <c r="B593" s="322"/>
      <c r="C593" s="322"/>
      <c r="D593" s="322"/>
      <c r="E593" s="330"/>
      <c r="F593" s="322"/>
      <c r="G593" s="322"/>
      <c r="H593" s="322"/>
      <c r="I593" s="322"/>
      <c r="J593" s="322"/>
      <c r="K593" s="322"/>
      <c r="L593" s="322"/>
      <c r="M593" s="322"/>
      <c r="N593" s="322"/>
      <c r="O593" s="322"/>
      <c r="P593" s="322"/>
      <c r="Q593" s="322"/>
      <c r="R593" s="322"/>
      <c r="S593" s="322"/>
      <c r="T593" s="322"/>
      <c r="U593" s="322"/>
      <c r="V593" s="322"/>
      <c r="W593" s="322"/>
      <c r="X593" s="322"/>
      <c r="Y593" s="322"/>
      <c r="Z593" s="322"/>
      <c r="AA593" s="322"/>
      <c r="AB593" s="322"/>
    </row>
    <row r="594" ht="15.75" customHeight="1">
      <c r="A594" s="322"/>
      <c r="B594" s="322"/>
      <c r="C594" s="322"/>
      <c r="D594" s="322"/>
      <c r="E594" s="330"/>
      <c r="F594" s="322"/>
      <c r="G594" s="322"/>
      <c r="H594" s="322"/>
      <c r="I594" s="322"/>
      <c r="J594" s="322"/>
      <c r="K594" s="322"/>
      <c r="L594" s="322"/>
      <c r="M594" s="322"/>
      <c r="N594" s="322"/>
      <c r="O594" s="322"/>
      <c r="P594" s="322"/>
      <c r="Q594" s="322"/>
      <c r="R594" s="322"/>
      <c r="S594" s="322"/>
      <c r="T594" s="322"/>
      <c r="U594" s="322"/>
      <c r="V594" s="322"/>
      <c r="W594" s="322"/>
      <c r="X594" s="322"/>
      <c r="Y594" s="322"/>
      <c r="Z594" s="322"/>
      <c r="AA594" s="322"/>
      <c r="AB594" s="322"/>
    </row>
    <row r="595" ht="15.75" customHeight="1">
      <c r="A595" s="322"/>
      <c r="B595" s="322"/>
      <c r="C595" s="322"/>
      <c r="D595" s="322"/>
      <c r="E595" s="330"/>
      <c r="F595" s="322"/>
      <c r="G595" s="322"/>
      <c r="H595" s="322"/>
      <c r="I595" s="322"/>
      <c r="J595" s="322"/>
      <c r="K595" s="322"/>
      <c r="L595" s="322"/>
      <c r="M595" s="322"/>
      <c r="N595" s="322"/>
      <c r="O595" s="322"/>
      <c r="P595" s="322"/>
      <c r="Q595" s="322"/>
      <c r="R595" s="322"/>
      <c r="S595" s="322"/>
      <c r="T595" s="322"/>
      <c r="U595" s="322"/>
      <c r="V595" s="322"/>
      <c r="W595" s="322"/>
      <c r="X595" s="322"/>
      <c r="Y595" s="322"/>
      <c r="Z595" s="322"/>
      <c r="AA595" s="322"/>
      <c r="AB595" s="322"/>
    </row>
    <row r="596" ht="15.75" customHeight="1">
      <c r="A596" s="322"/>
      <c r="B596" s="322"/>
      <c r="C596" s="322"/>
      <c r="D596" s="322"/>
      <c r="E596" s="330"/>
      <c r="F596" s="322"/>
      <c r="G596" s="322"/>
      <c r="H596" s="322"/>
      <c r="I596" s="322"/>
      <c r="J596" s="322"/>
      <c r="K596" s="322"/>
      <c r="L596" s="322"/>
      <c r="M596" s="322"/>
      <c r="N596" s="322"/>
      <c r="O596" s="322"/>
      <c r="P596" s="322"/>
      <c r="Q596" s="322"/>
      <c r="R596" s="322"/>
      <c r="S596" s="322"/>
      <c r="T596" s="322"/>
      <c r="U596" s="322"/>
      <c r="V596" s="322"/>
      <c r="W596" s="322"/>
      <c r="X596" s="322"/>
      <c r="Y596" s="322"/>
      <c r="Z596" s="322"/>
      <c r="AA596" s="322"/>
      <c r="AB596" s="322"/>
    </row>
    <row r="597" ht="15.75" customHeight="1">
      <c r="A597" s="322"/>
      <c r="B597" s="322"/>
      <c r="C597" s="322"/>
      <c r="D597" s="322"/>
      <c r="E597" s="330"/>
      <c r="F597" s="322"/>
      <c r="G597" s="322"/>
      <c r="H597" s="322"/>
      <c r="I597" s="322"/>
      <c r="J597" s="322"/>
      <c r="K597" s="322"/>
      <c r="L597" s="322"/>
      <c r="M597" s="322"/>
      <c r="N597" s="322"/>
      <c r="O597" s="322"/>
      <c r="P597" s="322"/>
      <c r="Q597" s="322"/>
      <c r="R597" s="322"/>
      <c r="S597" s="322"/>
      <c r="T597" s="322"/>
      <c r="U597" s="322"/>
      <c r="V597" s="322"/>
      <c r="W597" s="322"/>
      <c r="X597" s="322"/>
      <c r="Y597" s="322"/>
      <c r="Z597" s="322"/>
      <c r="AA597" s="322"/>
      <c r="AB597" s="322"/>
    </row>
    <row r="598" ht="15.75" customHeight="1">
      <c r="A598" s="322"/>
      <c r="B598" s="322"/>
      <c r="C598" s="322"/>
      <c r="D598" s="322"/>
      <c r="E598" s="330"/>
      <c r="F598" s="322"/>
      <c r="G598" s="322"/>
      <c r="H598" s="322"/>
      <c r="I598" s="322"/>
      <c r="J598" s="322"/>
      <c r="K598" s="322"/>
      <c r="L598" s="322"/>
      <c r="M598" s="322"/>
      <c r="N598" s="322"/>
      <c r="O598" s="322"/>
      <c r="P598" s="322"/>
      <c r="Q598" s="322"/>
      <c r="R598" s="322"/>
      <c r="S598" s="322"/>
      <c r="T598" s="322"/>
      <c r="U598" s="322"/>
      <c r="V598" s="322"/>
      <c r="W598" s="322"/>
      <c r="X598" s="322"/>
      <c r="Y598" s="322"/>
      <c r="Z598" s="322"/>
      <c r="AA598" s="322"/>
      <c r="AB598" s="322"/>
    </row>
    <row r="599" ht="15.75" customHeight="1">
      <c r="A599" s="322"/>
      <c r="B599" s="322"/>
      <c r="C599" s="322"/>
      <c r="D599" s="322"/>
      <c r="E599" s="330"/>
      <c r="F599" s="322"/>
      <c r="G599" s="322"/>
      <c r="H599" s="322"/>
      <c r="I599" s="322"/>
      <c r="J599" s="322"/>
      <c r="K599" s="322"/>
      <c r="L599" s="322"/>
      <c r="M599" s="322"/>
      <c r="N599" s="322"/>
      <c r="O599" s="322"/>
      <c r="P599" s="322"/>
      <c r="Q599" s="322"/>
      <c r="R599" s="322"/>
      <c r="S599" s="322"/>
      <c r="T599" s="322"/>
      <c r="U599" s="322"/>
      <c r="V599" s="322"/>
      <c r="W599" s="322"/>
      <c r="X599" s="322"/>
      <c r="Y599" s="322"/>
      <c r="Z599" s="322"/>
      <c r="AA599" s="322"/>
      <c r="AB599" s="322"/>
    </row>
    <row r="600" ht="15.75" customHeight="1">
      <c r="A600" s="322"/>
      <c r="B600" s="322"/>
      <c r="C600" s="322"/>
      <c r="D600" s="322"/>
      <c r="E600" s="330"/>
      <c r="F600" s="322"/>
      <c r="G600" s="322"/>
      <c r="H600" s="322"/>
      <c r="I600" s="322"/>
      <c r="J600" s="322"/>
      <c r="K600" s="322"/>
      <c r="L600" s="322"/>
      <c r="M600" s="322"/>
      <c r="N600" s="322"/>
      <c r="O600" s="322"/>
      <c r="P600" s="322"/>
      <c r="Q600" s="322"/>
      <c r="R600" s="322"/>
      <c r="S600" s="322"/>
      <c r="T600" s="322"/>
      <c r="U600" s="322"/>
      <c r="V600" s="322"/>
      <c r="W600" s="322"/>
      <c r="X600" s="322"/>
      <c r="Y600" s="322"/>
      <c r="Z600" s="322"/>
      <c r="AA600" s="322"/>
      <c r="AB600" s="322"/>
    </row>
    <row r="601" ht="15.75" customHeight="1">
      <c r="A601" s="322"/>
      <c r="B601" s="322"/>
      <c r="C601" s="322"/>
      <c r="D601" s="322"/>
      <c r="E601" s="330"/>
      <c r="F601" s="322"/>
      <c r="G601" s="322"/>
      <c r="H601" s="322"/>
      <c r="I601" s="322"/>
      <c r="J601" s="322"/>
      <c r="K601" s="322"/>
      <c r="L601" s="322"/>
      <c r="M601" s="322"/>
      <c r="N601" s="322"/>
      <c r="O601" s="322"/>
      <c r="P601" s="322"/>
      <c r="Q601" s="322"/>
      <c r="R601" s="322"/>
      <c r="S601" s="322"/>
      <c r="T601" s="322"/>
      <c r="U601" s="322"/>
      <c r="V601" s="322"/>
      <c r="W601" s="322"/>
      <c r="X601" s="322"/>
      <c r="Y601" s="322"/>
      <c r="Z601" s="322"/>
      <c r="AA601" s="322"/>
      <c r="AB601" s="322"/>
    </row>
    <row r="602" ht="15.75" customHeight="1">
      <c r="A602" s="322"/>
      <c r="B602" s="322"/>
      <c r="C602" s="322"/>
      <c r="D602" s="322"/>
      <c r="E602" s="330"/>
      <c r="F602" s="322"/>
      <c r="G602" s="322"/>
      <c r="H602" s="322"/>
      <c r="I602" s="322"/>
      <c r="J602" s="322"/>
      <c r="K602" s="322"/>
      <c r="L602" s="322"/>
      <c r="M602" s="322"/>
      <c r="N602" s="322"/>
      <c r="O602" s="322"/>
      <c r="P602" s="322"/>
      <c r="Q602" s="322"/>
      <c r="R602" s="322"/>
      <c r="S602" s="322"/>
      <c r="T602" s="322"/>
      <c r="U602" s="322"/>
      <c r="V602" s="322"/>
      <c r="W602" s="322"/>
      <c r="X602" s="322"/>
      <c r="Y602" s="322"/>
      <c r="Z602" s="322"/>
      <c r="AA602" s="322"/>
      <c r="AB602" s="322"/>
    </row>
    <row r="603" ht="15.75" customHeight="1">
      <c r="A603" s="322"/>
      <c r="B603" s="322"/>
      <c r="C603" s="322"/>
      <c r="D603" s="322"/>
      <c r="E603" s="330"/>
      <c r="F603" s="322"/>
      <c r="G603" s="322"/>
      <c r="H603" s="322"/>
      <c r="I603" s="322"/>
      <c r="J603" s="322"/>
      <c r="K603" s="322"/>
      <c r="L603" s="322"/>
      <c r="M603" s="322"/>
      <c r="N603" s="322"/>
      <c r="O603" s="322"/>
      <c r="P603" s="322"/>
      <c r="Q603" s="322"/>
      <c r="R603" s="322"/>
      <c r="S603" s="322"/>
      <c r="T603" s="322"/>
      <c r="U603" s="322"/>
      <c r="V603" s="322"/>
      <c r="W603" s="322"/>
      <c r="X603" s="322"/>
      <c r="Y603" s="322"/>
      <c r="Z603" s="322"/>
      <c r="AA603" s="322"/>
      <c r="AB603" s="322"/>
    </row>
    <row r="604" ht="15.75" customHeight="1">
      <c r="A604" s="322"/>
      <c r="B604" s="322"/>
      <c r="C604" s="322"/>
      <c r="D604" s="322"/>
      <c r="E604" s="330"/>
      <c r="F604" s="322"/>
      <c r="G604" s="322"/>
      <c r="H604" s="322"/>
      <c r="I604" s="322"/>
      <c r="J604" s="322"/>
      <c r="K604" s="322"/>
      <c r="L604" s="322"/>
      <c r="M604" s="322"/>
      <c r="N604" s="322"/>
      <c r="O604" s="322"/>
      <c r="P604" s="322"/>
      <c r="Q604" s="322"/>
      <c r="R604" s="322"/>
      <c r="S604" s="322"/>
      <c r="T604" s="322"/>
      <c r="U604" s="322"/>
      <c r="V604" s="322"/>
      <c r="W604" s="322"/>
      <c r="X604" s="322"/>
      <c r="Y604" s="322"/>
      <c r="Z604" s="322"/>
      <c r="AA604" s="322"/>
      <c r="AB604" s="322"/>
    </row>
    <row r="605" ht="15.75" customHeight="1">
      <c r="A605" s="322"/>
      <c r="B605" s="322"/>
      <c r="C605" s="322"/>
      <c r="D605" s="322"/>
      <c r="E605" s="330"/>
      <c r="F605" s="322"/>
      <c r="G605" s="322"/>
      <c r="H605" s="322"/>
      <c r="I605" s="322"/>
      <c r="J605" s="322"/>
      <c r="K605" s="322"/>
      <c r="L605" s="322"/>
      <c r="M605" s="322"/>
      <c r="N605" s="322"/>
      <c r="O605" s="322"/>
      <c r="P605" s="322"/>
      <c r="Q605" s="322"/>
      <c r="R605" s="322"/>
      <c r="S605" s="322"/>
      <c r="T605" s="322"/>
      <c r="U605" s="322"/>
      <c r="V605" s="322"/>
      <c r="W605" s="322"/>
      <c r="X605" s="322"/>
      <c r="Y605" s="322"/>
      <c r="Z605" s="322"/>
      <c r="AA605" s="322"/>
      <c r="AB605" s="322"/>
    </row>
    <row r="606" ht="15.75" customHeight="1">
      <c r="A606" s="322"/>
      <c r="B606" s="322"/>
      <c r="C606" s="322"/>
      <c r="D606" s="322"/>
      <c r="E606" s="330"/>
      <c r="F606" s="322"/>
      <c r="G606" s="322"/>
      <c r="H606" s="322"/>
      <c r="I606" s="322"/>
      <c r="J606" s="322"/>
      <c r="K606" s="322"/>
      <c r="L606" s="322"/>
      <c r="M606" s="322"/>
      <c r="N606" s="322"/>
      <c r="O606" s="322"/>
      <c r="P606" s="322"/>
      <c r="Q606" s="322"/>
      <c r="R606" s="322"/>
      <c r="S606" s="322"/>
      <c r="T606" s="322"/>
      <c r="U606" s="322"/>
      <c r="V606" s="322"/>
      <c r="W606" s="322"/>
      <c r="X606" s="322"/>
      <c r="Y606" s="322"/>
      <c r="Z606" s="322"/>
      <c r="AA606" s="322"/>
      <c r="AB606" s="322"/>
    </row>
    <row r="607" ht="15.75" customHeight="1">
      <c r="A607" s="322"/>
      <c r="B607" s="322"/>
      <c r="C607" s="322"/>
      <c r="D607" s="322"/>
      <c r="E607" s="330"/>
      <c r="F607" s="322"/>
      <c r="G607" s="322"/>
      <c r="H607" s="322"/>
      <c r="I607" s="322"/>
      <c r="J607" s="322"/>
      <c r="K607" s="322"/>
      <c r="L607" s="322"/>
      <c r="M607" s="322"/>
      <c r="N607" s="322"/>
      <c r="O607" s="322"/>
      <c r="P607" s="322"/>
      <c r="Q607" s="322"/>
      <c r="R607" s="322"/>
      <c r="S607" s="322"/>
      <c r="T607" s="322"/>
      <c r="U607" s="322"/>
      <c r="V607" s="322"/>
      <c r="W607" s="322"/>
      <c r="X607" s="322"/>
      <c r="Y607" s="322"/>
      <c r="Z607" s="322"/>
      <c r="AA607" s="322"/>
      <c r="AB607" s="322"/>
    </row>
    <row r="608" ht="15.75" customHeight="1">
      <c r="A608" s="322"/>
      <c r="B608" s="322"/>
      <c r="C608" s="322"/>
      <c r="D608" s="322"/>
      <c r="E608" s="330"/>
      <c r="F608" s="322"/>
      <c r="G608" s="322"/>
      <c r="H608" s="322"/>
      <c r="I608" s="322"/>
      <c r="J608" s="322"/>
      <c r="K608" s="322"/>
      <c r="L608" s="322"/>
      <c r="M608" s="322"/>
      <c r="N608" s="322"/>
      <c r="O608" s="322"/>
      <c r="P608" s="322"/>
      <c r="Q608" s="322"/>
      <c r="R608" s="322"/>
      <c r="S608" s="322"/>
      <c r="T608" s="322"/>
      <c r="U608" s="322"/>
      <c r="V608" s="322"/>
      <c r="W608" s="322"/>
      <c r="X608" s="322"/>
      <c r="Y608" s="322"/>
      <c r="Z608" s="322"/>
      <c r="AA608" s="322"/>
      <c r="AB608" s="322"/>
    </row>
    <row r="609" ht="15.75" customHeight="1">
      <c r="A609" s="322"/>
      <c r="B609" s="322"/>
      <c r="C609" s="322"/>
      <c r="D609" s="322"/>
      <c r="E609" s="330"/>
      <c r="F609" s="322"/>
      <c r="G609" s="322"/>
      <c r="H609" s="322"/>
      <c r="I609" s="322"/>
      <c r="J609" s="322"/>
      <c r="K609" s="322"/>
      <c r="L609" s="322"/>
      <c r="M609" s="322"/>
      <c r="N609" s="322"/>
      <c r="O609" s="322"/>
      <c r="P609" s="322"/>
      <c r="Q609" s="322"/>
      <c r="R609" s="322"/>
      <c r="S609" s="322"/>
      <c r="T609" s="322"/>
      <c r="U609" s="322"/>
      <c r="V609" s="322"/>
      <c r="W609" s="322"/>
      <c r="X609" s="322"/>
      <c r="Y609" s="322"/>
      <c r="Z609" s="322"/>
      <c r="AA609" s="322"/>
      <c r="AB609" s="322"/>
    </row>
    <row r="610" ht="15.75" customHeight="1">
      <c r="A610" s="322"/>
      <c r="B610" s="322"/>
      <c r="C610" s="322"/>
      <c r="D610" s="322"/>
      <c r="E610" s="330"/>
      <c r="F610" s="322"/>
      <c r="G610" s="322"/>
      <c r="H610" s="322"/>
      <c r="I610" s="322"/>
      <c r="J610" s="322"/>
      <c r="K610" s="322"/>
      <c r="L610" s="322"/>
      <c r="M610" s="322"/>
      <c r="N610" s="322"/>
      <c r="O610" s="322"/>
      <c r="P610" s="322"/>
      <c r="Q610" s="322"/>
      <c r="R610" s="322"/>
      <c r="S610" s="322"/>
      <c r="T610" s="322"/>
      <c r="U610" s="322"/>
      <c r="V610" s="322"/>
      <c r="W610" s="322"/>
      <c r="X610" s="322"/>
      <c r="Y610" s="322"/>
      <c r="Z610" s="322"/>
      <c r="AA610" s="322"/>
      <c r="AB610" s="322"/>
    </row>
    <row r="611" ht="15.75" customHeight="1">
      <c r="A611" s="322"/>
      <c r="B611" s="322"/>
      <c r="C611" s="322"/>
      <c r="D611" s="322"/>
      <c r="E611" s="330"/>
      <c r="F611" s="322"/>
      <c r="G611" s="322"/>
      <c r="H611" s="322"/>
      <c r="I611" s="322"/>
      <c r="J611" s="322"/>
      <c r="K611" s="322"/>
      <c r="L611" s="322"/>
      <c r="M611" s="322"/>
      <c r="N611" s="322"/>
      <c r="O611" s="322"/>
      <c r="P611" s="322"/>
      <c r="Q611" s="322"/>
      <c r="R611" s="322"/>
      <c r="S611" s="322"/>
      <c r="T611" s="322"/>
      <c r="U611" s="322"/>
      <c r="V611" s="322"/>
      <c r="W611" s="322"/>
      <c r="X611" s="322"/>
      <c r="Y611" s="322"/>
      <c r="Z611" s="322"/>
      <c r="AA611" s="322"/>
      <c r="AB611" s="322"/>
    </row>
    <row r="612" ht="15.75" customHeight="1">
      <c r="A612" s="322"/>
      <c r="B612" s="322"/>
      <c r="C612" s="322"/>
      <c r="D612" s="322"/>
      <c r="E612" s="330"/>
      <c r="F612" s="322"/>
      <c r="G612" s="322"/>
      <c r="H612" s="322"/>
      <c r="I612" s="322"/>
      <c r="J612" s="322"/>
      <c r="K612" s="322"/>
      <c r="L612" s="322"/>
      <c r="M612" s="322"/>
      <c r="N612" s="322"/>
      <c r="O612" s="322"/>
      <c r="P612" s="322"/>
      <c r="Q612" s="322"/>
      <c r="R612" s="322"/>
      <c r="S612" s="322"/>
      <c r="T612" s="322"/>
      <c r="U612" s="322"/>
      <c r="V612" s="322"/>
      <c r="W612" s="322"/>
      <c r="X612" s="322"/>
      <c r="Y612" s="322"/>
      <c r="Z612" s="322"/>
      <c r="AA612" s="322"/>
      <c r="AB612" s="322"/>
    </row>
    <row r="613" ht="15.75" customHeight="1">
      <c r="A613" s="322"/>
      <c r="B613" s="322"/>
      <c r="C613" s="322"/>
      <c r="D613" s="322"/>
      <c r="E613" s="330"/>
      <c r="F613" s="322"/>
      <c r="G613" s="322"/>
      <c r="H613" s="322"/>
      <c r="I613" s="322"/>
      <c r="J613" s="322"/>
      <c r="K613" s="322"/>
      <c r="L613" s="322"/>
      <c r="M613" s="322"/>
      <c r="N613" s="322"/>
      <c r="O613" s="322"/>
      <c r="P613" s="322"/>
      <c r="Q613" s="322"/>
      <c r="R613" s="322"/>
      <c r="S613" s="322"/>
      <c r="T613" s="322"/>
      <c r="U613" s="322"/>
      <c r="V613" s="322"/>
      <c r="W613" s="322"/>
      <c r="X613" s="322"/>
      <c r="Y613" s="322"/>
      <c r="Z613" s="322"/>
      <c r="AA613" s="322"/>
      <c r="AB613" s="322"/>
    </row>
    <row r="614" ht="15.75" customHeight="1">
      <c r="A614" s="322"/>
      <c r="B614" s="322"/>
      <c r="C614" s="322"/>
      <c r="D614" s="322"/>
      <c r="E614" s="330"/>
      <c r="F614" s="322"/>
      <c r="G614" s="322"/>
      <c r="H614" s="322"/>
      <c r="I614" s="322"/>
      <c r="J614" s="322"/>
      <c r="K614" s="322"/>
      <c r="L614" s="322"/>
      <c r="M614" s="322"/>
      <c r="N614" s="322"/>
      <c r="O614" s="322"/>
      <c r="P614" s="322"/>
      <c r="Q614" s="322"/>
      <c r="R614" s="322"/>
      <c r="S614" s="322"/>
      <c r="T614" s="322"/>
      <c r="U614" s="322"/>
      <c r="V614" s="322"/>
      <c r="W614" s="322"/>
      <c r="X614" s="322"/>
      <c r="Y614" s="322"/>
      <c r="Z614" s="322"/>
      <c r="AA614" s="322"/>
      <c r="AB614" s="322"/>
    </row>
    <row r="615" ht="15.75" customHeight="1">
      <c r="A615" s="322"/>
      <c r="B615" s="322"/>
      <c r="C615" s="322"/>
      <c r="D615" s="322"/>
      <c r="E615" s="330"/>
      <c r="F615" s="322"/>
      <c r="G615" s="322"/>
      <c r="H615" s="322"/>
      <c r="I615" s="322"/>
      <c r="J615" s="322"/>
      <c r="K615" s="322"/>
      <c r="L615" s="322"/>
      <c r="M615" s="322"/>
      <c r="N615" s="322"/>
      <c r="O615" s="322"/>
      <c r="P615" s="322"/>
      <c r="Q615" s="322"/>
      <c r="R615" s="322"/>
      <c r="S615" s="322"/>
      <c r="T615" s="322"/>
      <c r="U615" s="322"/>
      <c r="V615" s="322"/>
      <c r="W615" s="322"/>
      <c r="X615" s="322"/>
      <c r="Y615" s="322"/>
      <c r="Z615" s="322"/>
      <c r="AA615" s="322"/>
      <c r="AB615" s="322"/>
    </row>
    <row r="616" ht="15.75" customHeight="1">
      <c r="A616" s="322"/>
      <c r="B616" s="322"/>
      <c r="C616" s="322"/>
      <c r="D616" s="322"/>
      <c r="E616" s="330"/>
      <c r="F616" s="322"/>
      <c r="G616" s="322"/>
      <c r="H616" s="322"/>
      <c r="I616" s="322"/>
      <c r="J616" s="322"/>
      <c r="K616" s="322"/>
      <c r="L616" s="322"/>
      <c r="M616" s="322"/>
      <c r="N616" s="322"/>
      <c r="O616" s="322"/>
      <c r="P616" s="322"/>
      <c r="Q616" s="322"/>
      <c r="R616" s="322"/>
      <c r="S616" s="322"/>
      <c r="T616" s="322"/>
      <c r="U616" s="322"/>
      <c r="V616" s="322"/>
      <c r="W616" s="322"/>
      <c r="X616" s="322"/>
      <c r="Y616" s="322"/>
      <c r="Z616" s="322"/>
      <c r="AA616" s="322"/>
      <c r="AB616" s="322"/>
    </row>
    <row r="617" ht="15.75" customHeight="1">
      <c r="A617" s="322"/>
      <c r="B617" s="322"/>
      <c r="C617" s="322"/>
      <c r="D617" s="322"/>
      <c r="E617" s="330"/>
      <c r="F617" s="322"/>
      <c r="G617" s="322"/>
      <c r="H617" s="322"/>
      <c r="I617" s="322"/>
      <c r="J617" s="322"/>
      <c r="K617" s="322"/>
      <c r="L617" s="322"/>
      <c r="M617" s="322"/>
      <c r="N617" s="322"/>
      <c r="O617" s="322"/>
      <c r="P617" s="322"/>
      <c r="Q617" s="322"/>
      <c r="R617" s="322"/>
      <c r="S617" s="322"/>
      <c r="T617" s="322"/>
      <c r="U617" s="322"/>
      <c r="V617" s="322"/>
      <c r="W617" s="322"/>
      <c r="X617" s="322"/>
      <c r="Y617" s="322"/>
      <c r="Z617" s="322"/>
      <c r="AA617" s="322"/>
      <c r="AB617" s="322"/>
    </row>
    <row r="618" ht="15.75" customHeight="1">
      <c r="A618" s="322"/>
      <c r="B618" s="322"/>
      <c r="C618" s="322"/>
      <c r="D618" s="322"/>
      <c r="E618" s="330"/>
      <c r="F618" s="322"/>
      <c r="G618" s="322"/>
      <c r="H618" s="322"/>
      <c r="I618" s="322"/>
      <c r="J618" s="322"/>
      <c r="K618" s="322"/>
      <c r="L618" s="322"/>
      <c r="M618" s="322"/>
      <c r="N618" s="322"/>
      <c r="O618" s="322"/>
      <c r="P618" s="322"/>
      <c r="Q618" s="322"/>
      <c r="R618" s="322"/>
      <c r="S618" s="322"/>
      <c r="T618" s="322"/>
      <c r="U618" s="322"/>
      <c r="V618" s="322"/>
      <c r="W618" s="322"/>
      <c r="X618" s="322"/>
      <c r="Y618" s="322"/>
      <c r="Z618" s="322"/>
      <c r="AA618" s="322"/>
      <c r="AB618" s="322"/>
    </row>
    <row r="619" ht="15.75" customHeight="1">
      <c r="A619" s="322"/>
      <c r="B619" s="322"/>
      <c r="C619" s="322"/>
      <c r="D619" s="322"/>
      <c r="E619" s="330"/>
      <c r="F619" s="322"/>
      <c r="G619" s="322"/>
      <c r="H619" s="322"/>
      <c r="I619" s="322"/>
      <c r="J619" s="322"/>
      <c r="K619" s="322"/>
      <c r="L619" s="322"/>
      <c r="M619" s="322"/>
      <c r="N619" s="322"/>
      <c r="O619" s="322"/>
      <c r="P619" s="322"/>
      <c r="Q619" s="322"/>
      <c r="R619" s="322"/>
      <c r="S619" s="322"/>
      <c r="T619" s="322"/>
      <c r="U619" s="322"/>
      <c r="V619" s="322"/>
      <c r="W619" s="322"/>
      <c r="X619" s="322"/>
      <c r="Y619" s="322"/>
      <c r="Z619" s="322"/>
      <c r="AA619" s="322"/>
      <c r="AB619" s="322"/>
    </row>
    <row r="620" ht="15.75" customHeight="1">
      <c r="A620" s="322"/>
      <c r="B620" s="322"/>
      <c r="C620" s="322"/>
      <c r="D620" s="322"/>
      <c r="E620" s="330"/>
      <c r="F620" s="322"/>
      <c r="G620" s="322"/>
      <c r="H620" s="322"/>
      <c r="I620" s="322"/>
      <c r="J620" s="322"/>
      <c r="K620" s="322"/>
      <c r="L620" s="322"/>
      <c r="M620" s="322"/>
      <c r="N620" s="322"/>
      <c r="O620" s="322"/>
      <c r="P620" s="322"/>
      <c r="Q620" s="322"/>
      <c r="R620" s="322"/>
      <c r="S620" s="322"/>
      <c r="T620" s="322"/>
      <c r="U620" s="322"/>
      <c r="V620" s="322"/>
      <c r="W620" s="322"/>
      <c r="X620" s="322"/>
      <c r="Y620" s="322"/>
      <c r="Z620" s="322"/>
      <c r="AA620" s="322"/>
      <c r="AB620" s="322"/>
    </row>
    <row r="621" ht="15.75" customHeight="1">
      <c r="A621" s="322"/>
      <c r="B621" s="322"/>
      <c r="C621" s="322"/>
      <c r="D621" s="322"/>
      <c r="E621" s="330"/>
      <c r="F621" s="322"/>
      <c r="G621" s="322"/>
      <c r="H621" s="322"/>
      <c r="I621" s="322"/>
      <c r="J621" s="322"/>
      <c r="K621" s="322"/>
      <c r="L621" s="322"/>
      <c r="M621" s="322"/>
      <c r="N621" s="322"/>
      <c r="O621" s="322"/>
      <c r="P621" s="322"/>
      <c r="Q621" s="322"/>
      <c r="R621" s="322"/>
      <c r="S621" s="322"/>
      <c r="T621" s="322"/>
      <c r="U621" s="322"/>
      <c r="V621" s="322"/>
      <c r="W621" s="322"/>
      <c r="X621" s="322"/>
      <c r="Y621" s="322"/>
      <c r="Z621" s="322"/>
      <c r="AA621" s="322"/>
      <c r="AB621" s="322"/>
    </row>
    <row r="622" ht="15.75" customHeight="1">
      <c r="A622" s="322"/>
      <c r="B622" s="322"/>
      <c r="C622" s="322"/>
      <c r="D622" s="322"/>
      <c r="E622" s="330"/>
      <c r="F622" s="322"/>
      <c r="G622" s="322"/>
      <c r="H622" s="322"/>
      <c r="I622" s="322"/>
      <c r="J622" s="322"/>
      <c r="K622" s="322"/>
      <c r="L622" s="322"/>
      <c r="M622" s="322"/>
      <c r="N622" s="322"/>
      <c r="O622" s="322"/>
      <c r="P622" s="322"/>
      <c r="Q622" s="322"/>
      <c r="R622" s="322"/>
      <c r="S622" s="322"/>
      <c r="T622" s="322"/>
      <c r="U622" s="322"/>
      <c r="V622" s="322"/>
      <c r="W622" s="322"/>
      <c r="X622" s="322"/>
      <c r="Y622" s="322"/>
      <c r="Z622" s="322"/>
      <c r="AA622" s="322"/>
      <c r="AB622" s="322"/>
    </row>
    <row r="623" ht="15.75" customHeight="1">
      <c r="A623" s="322"/>
      <c r="B623" s="322"/>
      <c r="C623" s="322"/>
      <c r="D623" s="322"/>
      <c r="E623" s="330"/>
      <c r="F623" s="322"/>
      <c r="G623" s="322"/>
      <c r="H623" s="322"/>
      <c r="I623" s="322"/>
      <c r="J623" s="322"/>
      <c r="K623" s="322"/>
      <c r="L623" s="322"/>
      <c r="M623" s="322"/>
      <c r="N623" s="322"/>
      <c r="O623" s="322"/>
      <c r="P623" s="322"/>
      <c r="Q623" s="322"/>
      <c r="R623" s="322"/>
      <c r="S623" s="322"/>
      <c r="T623" s="322"/>
      <c r="U623" s="322"/>
      <c r="V623" s="322"/>
      <c r="W623" s="322"/>
      <c r="X623" s="322"/>
      <c r="Y623" s="322"/>
      <c r="Z623" s="322"/>
      <c r="AA623" s="322"/>
      <c r="AB623" s="322"/>
    </row>
    <row r="624" ht="15.75" customHeight="1">
      <c r="A624" s="322"/>
      <c r="B624" s="322"/>
      <c r="C624" s="322"/>
      <c r="D624" s="322"/>
      <c r="E624" s="330"/>
      <c r="F624" s="322"/>
      <c r="G624" s="322"/>
      <c r="H624" s="322"/>
      <c r="I624" s="322"/>
      <c r="J624" s="322"/>
      <c r="K624" s="322"/>
      <c r="L624" s="322"/>
      <c r="M624" s="322"/>
      <c r="N624" s="322"/>
      <c r="O624" s="322"/>
      <c r="P624" s="322"/>
      <c r="Q624" s="322"/>
      <c r="R624" s="322"/>
      <c r="S624" s="322"/>
      <c r="T624" s="322"/>
      <c r="U624" s="322"/>
      <c r="V624" s="322"/>
      <c r="W624" s="322"/>
      <c r="X624" s="322"/>
      <c r="Y624" s="322"/>
      <c r="Z624" s="322"/>
      <c r="AA624" s="322"/>
      <c r="AB624" s="322"/>
    </row>
    <row r="625" ht="15.75" customHeight="1">
      <c r="A625" s="322"/>
      <c r="B625" s="322"/>
      <c r="C625" s="322"/>
      <c r="D625" s="322"/>
      <c r="E625" s="330"/>
      <c r="F625" s="322"/>
      <c r="G625" s="322"/>
      <c r="H625" s="322"/>
      <c r="I625" s="322"/>
      <c r="J625" s="322"/>
      <c r="K625" s="322"/>
      <c r="L625" s="322"/>
      <c r="M625" s="322"/>
      <c r="N625" s="322"/>
      <c r="O625" s="322"/>
      <c r="P625" s="322"/>
      <c r="Q625" s="322"/>
      <c r="R625" s="322"/>
      <c r="S625" s="322"/>
      <c r="T625" s="322"/>
      <c r="U625" s="322"/>
      <c r="V625" s="322"/>
      <c r="W625" s="322"/>
      <c r="X625" s="322"/>
      <c r="Y625" s="322"/>
      <c r="Z625" s="322"/>
      <c r="AA625" s="322"/>
      <c r="AB625" s="322"/>
    </row>
    <row r="626" ht="15.75" customHeight="1">
      <c r="A626" s="322"/>
      <c r="B626" s="322"/>
      <c r="C626" s="322"/>
      <c r="D626" s="322"/>
      <c r="E626" s="330"/>
      <c r="F626" s="322"/>
      <c r="G626" s="322"/>
      <c r="H626" s="322"/>
      <c r="I626" s="322"/>
      <c r="J626" s="322"/>
      <c r="K626" s="322"/>
      <c r="L626" s="322"/>
      <c r="M626" s="322"/>
      <c r="N626" s="322"/>
      <c r="O626" s="322"/>
      <c r="P626" s="322"/>
      <c r="Q626" s="322"/>
      <c r="R626" s="322"/>
      <c r="S626" s="322"/>
      <c r="T626" s="322"/>
      <c r="U626" s="322"/>
      <c r="V626" s="322"/>
      <c r="W626" s="322"/>
      <c r="X626" s="322"/>
      <c r="Y626" s="322"/>
      <c r="Z626" s="322"/>
      <c r="AA626" s="322"/>
      <c r="AB626" s="322"/>
    </row>
    <row r="627" ht="15.75" customHeight="1">
      <c r="A627" s="322"/>
      <c r="B627" s="322"/>
      <c r="C627" s="322"/>
      <c r="D627" s="322"/>
      <c r="E627" s="330"/>
      <c r="F627" s="322"/>
      <c r="G627" s="322"/>
      <c r="H627" s="322"/>
      <c r="I627" s="322"/>
      <c r="J627" s="322"/>
      <c r="K627" s="322"/>
      <c r="L627" s="322"/>
      <c r="M627" s="322"/>
      <c r="N627" s="322"/>
      <c r="O627" s="322"/>
      <c r="P627" s="322"/>
      <c r="Q627" s="322"/>
      <c r="R627" s="322"/>
      <c r="S627" s="322"/>
      <c r="T627" s="322"/>
      <c r="U627" s="322"/>
      <c r="V627" s="322"/>
      <c r="W627" s="322"/>
      <c r="X627" s="322"/>
      <c r="Y627" s="322"/>
      <c r="Z627" s="322"/>
      <c r="AA627" s="322"/>
      <c r="AB627" s="322"/>
    </row>
    <row r="628" ht="15.75" customHeight="1">
      <c r="A628" s="322"/>
      <c r="B628" s="322"/>
      <c r="C628" s="322"/>
      <c r="D628" s="322"/>
      <c r="E628" s="330"/>
      <c r="F628" s="322"/>
      <c r="G628" s="322"/>
      <c r="H628" s="322"/>
      <c r="I628" s="322"/>
      <c r="J628" s="322"/>
      <c r="K628" s="322"/>
      <c r="L628" s="322"/>
      <c r="M628" s="322"/>
      <c r="N628" s="322"/>
      <c r="O628" s="322"/>
      <c r="P628" s="322"/>
      <c r="Q628" s="322"/>
      <c r="R628" s="322"/>
      <c r="S628" s="322"/>
      <c r="T628" s="322"/>
      <c r="U628" s="322"/>
      <c r="V628" s="322"/>
      <c r="W628" s="322"/>
      <c r="X628" s="322"/>
      <c r="Y628" s="322"/>
      <c r="Z628" s="322"/>
      <c r="AA628" s="322"/>
      <c r="AB628" s="322"/>
    </row>
    <row r="629" ht="15.75" customHeight="1">
      <c r="A629" s="322"/>
      <c r="B629" s="322"/>
      <c r="C629" s="322"/>
      <c r="D629" s="322"/>
      <c r="E629" s="330"/>
      <c r="F629" s="322"/>
      <c r="G629" s="322"/>
      <c r="H629" s="322"/>
      <c r="I629" s="322"/>
      <c r="J629" s="322"/>
      <c r="K629" s="322"/>
      <c r="L629" s="322"/>
      <c r="M629" s="322"/>
      <c r="N629" s="322"/>
      <c r="O629" s="322"/>
      <c r="P629" s="322"/>
      <c r="Q629" s="322"/>
      <c r="R629" s="322"/>
      <c r="S629" s="322"/>
      <c r="T629" s="322"/>
      <c r="U629" s="322"/>
      <c r="V629" s="322"/>
      <c r="W629" s="322"/>
      <c r="X629" s="322"/>
      <c r="Y629" s="322"/>
      <c r="Z629" s="322"/>
      <c r="AA629" s="322"/>
      <c r="AB629" s="322"/>
    </row>
    <row r="630" ht="15.75" customHeight="1">
      <c r="A630" s="322"/>
      <c r="B630" s="322"/>
      <c r="C630" s="322"/>
      <c r="D630" s="322"/>
      <c r="E630" s="330"/>
      <c r="F630" s="322"/>
      <c r="G630" s="322"/>
      <c r="H630" s="322"/>
      <c r="I630" s="322"/>
      <c r="J630" s="322"/>
      <c r="K630" s="322"/>
      <c r="L630" s="322"/>
      <c r="M630" s="322"/>
      <c r="N630" s="322"/>
      <c r="O630" s="322"/>
      <c r="P630" s="322"/>
      <c r="Q630" s="322"/>
      <c r="R630" s="322"/>
      <c r="S630" s="322"/>
      <c r="T630" s="322"/>
      <c r="U630" s="322"/>
      <c r="V630" s="322"/>
      <c r="W630" s="322"/>
      <c r="X630" s="322"/>
      <c r="Y630" s="322"/>
      <c r="Z630" s="322"/>
      <c r="AA630" s="322"/>
      <c r="AB630" s="322"/>
    </row>
    <row r="631" ht="15.75" customHeight="1">
      <c r="A631" s="322"/>
      <c r="B631" s="322"/>
      <c r="C631" s="322"/>
      <c r="D631" s="322"/>
      <c r="E631" s="330"/>
      <c r="F631" s="322"/>
      <c r="G631" s="322"/>
      <c r="H631" s="322"/>
      <c r="I631" s="322"/>
      <c r="J631" s="322"/>
      <c r="K631" s="322"/>
      <c r="L631" s="322"/>
      <c r="M631" s="322"/>
      <c r="N631" s="322"/>
      <c r="O631" s="322"/>
      <c r="P631" s="322"/>
      <c r="Q631" s="322"/>
      <c r="R631" s="322"/>
      <c r="S631" s="322"/>
      <c r="T631" s="322"/>
      <c r="U631" s="322"/>
      <c r="V631" s="322"/>
      <c r="W631" s="322"/>
      <c r="X631" s="322"/>
      <c r="Y631" s="322"/>
      <c r="Z631" s="322"/>
      <c r="AA631" s="322"/>
      <c r="AB631" s="322"/>
    </row>
    <row r="632" ht="15.75" customHeight="1">
      <c r="A632" s="322"/>
      <c r="B632" s="322"/>
      <c r="C632" s="322"/>
      <c r="D632" s="322"/>
      <c r="E632" s="330"/>
      <c r="F632" s="322"/>
      <c r="G632" s="322"/>
      <c r="H632" s="322"/>
      <c r="I632" s="322"/>
      <c r="J632" s="322"/>
      <c r="K632" s="322"/>
      <c r="L632" s="322"/>
      <c r="M632" s="322"/>
      <c r="N632" s="322"/>
      <c r="O632" s="322"/>
      <c r="P632" s="322"/>
      <c r="Q632" s="322"/>
      <c r="R632" s="322"/>
      <c r="S632" s="322"/>
      <c r="T632" s="322"/>
      <c r="U632" s="322"/>
      <c r="V632" s="322"/>
      <c r="W632" s="322"/>
      <c r="X632" s="322"/>
      <c r="Y632" s="322"/>
      <c r="Z632" s="322"/>
      <c r="AA632" s="322"/>
      <c r="AB632" s="322"/>
    </row>
    <row r="633" ht="15.75" customHeight="1">
      <c r="A633" s="322"/>
      <c r="B633" s="322"/>
      <c r="C633" s="322"/>
      <c r="D633" s="322"/>
      <c r="E633" s="330"/>
      <c r="F633" s="322"/>
      <c r="G633" s="322"/>
      <c r="H633" s="322"/>
      <c r="I633" s="322"/>
      <c r="J633" s="322"/>
      <c r="K633" s="322"/>
      <c r="L633" s="322"/>
      <c r="M633" s="322"/>
      <c r="N633" s="322"/>
      <c r="O633" s="322"/>
      <c r="P633" s="322"/>
      <c r="Q633" s="322"/>
      <c r="R633" s="322"/>
      <c r="S633" s="322"/>
      <c r="T633" s="322"/>
      <c r="U633" s="322"/>
      <c r="V633" s="322"/>
      <c r="W633" s="322"/>
      <c r="X633" s="322"/>
      <c r="Y633" s="322"/>
      <c r="Z633" s="322"/>
      <c r="AA633" s="322"/>
      <c r="AB633" s="322"/>
    </row>
    <row r="634" ht="15.75" customHeight="1">
      <c r="A634" s="322"/>
      <c r="B634" s="322"/>
      <c r="C634" s="322"/>
      <c r="D634" s="322"/>
      <c r="E634" s="330"/>
      <c r="F634" s="322"/>
      <c r="G634" s="322"/>
      <c r="H634" s="322"/>
      <c r="I634" s="322"/>
      <c r="J634" s="322"/>
      <c r="K634" s="322"/>
      <c r="L634" s="322"/>
      <c r="M634" s="322"/>
      <c r="N634" s="322"/>
      <c r="O634" s="322"/>
      <c r="P634" s="322"/>
      <c r="Q634" s="322"/>
      <c r="R634" s="322"/>
      <c r="S634" s="322"/>
      <c r="T634" s="322"/>
      <c r="U634" s="322"/>
      <c r="V634" s="322"/>
      <c r="W634" s="322"/>
      <c r="X634" s="322"/>
      <c r="Y634" s="322"/>
      <c r="Z634" s="322"/>
      <c r="AA634" s="322"/>
      <c r="AB634" s="322"/>
    </row>
    <row r="635" ht="15.75" customHeight="1">
      <c r="A635" s="322"/>
      <c r="B635" s="322"/>
      <c r="C635" s="322"/>
      <c r="D635" s="322"/>
      <c r="E635" s="330"/>
      <c r="F635" s="322"/>
      <c r="G635" s="322"/>
      <c r="H635" s="322"/>
      <c r="I635" s="322"/>
      <c r="J635" s="322"/>
      <c r="K635" s="322"/>
      <c r="L635" s="322"/>
      <c r="M635" s="322"/>
      <c r="N635" s="322"/>
      <c r="O635" s="322"/>
      <c r="P635" s="322"/>
      <c r="Q635" s="322"/>
      <c r="R635" s="322"/>
      <c r="S635" s="322"/>
      <c r="T635" s="322"/>
      <c r="U635" s="322"/>
      <c r="V635" s="322"/>
      <c r="W635" s="322"/>
      <c r="X635" s="322"/>
      <c r="Y635" s="322"/>
      <c r="Z635" s="322"/>
      <c r="AA635" s="322"/>
      <c r="AB635" s="322"/>
    </row>
    <row r="636" ht="15.75" customHeight="1">
      <c r="A636" s="322"/>
      <c r="B636" s="322"/>
      <c r="C636" s="322"/>
      <c r="D636" s="322"/>
      <c r="E636" s="330"/>
      <c r="F636" s="322"/>
      <c r="G636" s="322"/>
      <c r="H636" s="322"/>
      <c r="I636" s="322"/>
      <c r="J636" s="322"/>
      <c r="K636" s="322"/>
      <c r="L636" s="322"/>
      <c r="M636" s="322"/>
      <c r="N636" s="322"/>
      <c r="O636" s="322"/>
      <c r="P636" s="322"/>
      <c r="Q636" s="322"/>
      <c r="R636" s="322"/>
      <c r="S636" s="322"/>
      <c r="T636" s="322"/>
      <c r="U636" s="322"/>
      <c r="V636" s="322"/>
      <c r="W636" s="322"/>
      <c r="X636" s="322"/>
      <c r="Y636" s="322"/>
      <c r="Z636" s="322"/>
      <c r="AA636" s="322"/>
      <c r="AB636" s="322"/>
    </row>
    <row r="637" ht="15.75" customHeight="1">
      <c r="A637" s="322"/>
      <c r="B637" s="322"/>
      <c r="C637" s="322"/>
      <c r="D637" s="322"/>
      <c r="E637" s="330"/>
      <c r="F637" s="322"/>
      <c r="G637" s="322"/>
      <c r="H637" s="322"/>
      <c r="I637" s="322"/>
      <c r="J637" s="322"/>
      <c r="K637" s="322"/>
      <c r="L637" s="322"/>
      <c r="M637" s="322"/>
      <c r="N637" s="322"/>
      <c r="O637" s="322"/>
      <c r="P637" s="322"/>
      <c r="Q637" s="322"/>
      <c r="R637" s="322"/>
      <c r="S637" s="322"/>
      <c r="T637" s="322"/>
      <c r="U637" s="322"/>
      <c r="V637" s="322"/>
      <c r="W637" s="322"/>
      <c r="X637" s="322"/>
      <c r="Y637" s="322"/>
      <c r="Z637" s="322"/>
      <c r="AA637" s="322"/>
      <c r="AB637" s="322"/>
    </row>
    <row r="638" ht="15.75" customHeight="1">
      <c r="A638" s="322"/>
      <c r="B638" s="322"/>
      <c r="C638" s="322"/>
      <c r="D638" s="322"/>
      <c r="E638" s="330"/>
      <c r="F638" s="322"/>
      <c r="G638" s="322"/>
      <c r="H638" s="322"/>
      <c r="I638" s="322"/>
      <c r="J638" s="322"/>
      <c r="K638" s="322"/>
      <c r="L638" s="322"/>
      <c r="M638" s="322"/>
      <c r="N638" s="322"/>
      <c r="O638" s="322"/>
      <c r="P638" s="322"/>
      <c r="Q638" s="322"/>
      <c r="R638" s="322"/>
      <c r="S638" s="322"/>
      <c r="T638" s="322"/>
      <c r="U638" s="322"/>
      <c r="V638" s="322"/>
      <c r="W638" s="322"/>
      <c r="X638" s="322"/>
      <c r="Y638" s="322"/>
      <c r="Z638" s="322"/>
      <c r="AA638" s="322"/>
      <c r="AB638" s="322"/>
    </row>
    <row r="639" ht="15.75" customHeight="1">
      <c r="A639" s="322"/>
      <c r="B639" s="322"/>
      <c r="C639" s="322"/>
      <c r="D639" s="322"/>
      <c r="E639" s="330"/>
      <c r="F639" s="322"/>
      <c r="G639" s="322"/>
      <c r="H639" s="322"/>
      <c r="I639" s="322"/>
      <c r="J639" s="322"/>
      <c r="K639" s="322"/>
      <c r="L639" s="322"/>
      <c r="M639" s="322"/>
      <c r="N639" s="322"/>
      <c r="O639" s="322"/>
      <c r="P639" s="322"/>
      <c r="Q639" s="322"/>
      <c r="R639" s="322"/>
      <c r="S639" s="322"/>
      <c r="T639" s="322"/>
      <c r="U639" s="322"/>
      <c r="V639" s="322"/>
      <c r="W639" s="322"/>
      <c r="X639" s="322"/>
      <c r="Y639" s="322"/>
      <c r="Z639" s="322"/>
      <c r="AA639" s="322"/>
      <c r="AB639" s="322"/>
    </row>
    <row r="640" ht="15.75" customHeight="1">
      <c r="A640" s="322"/>
      <c r="B640" s="322"/>
      <c r="C640" s="322"/>
      <c r="D640" s="322"/>
      <c r="E640" s="330"/>
      <c r="F640" s="322"/>
      <c r="G640" s="322"/>
      <c r="H640" s="322"/>
      <c r="I640" s="322"/>
      <c r="J640" s="322"/>
      <c r="K640" s="322"/>
      <c r="L640" s="322"/>
      <c r="M640" s="322"/>
      <c r="N640" s="322"/>
      <c r="O640" s="322"/>
      <c r="P640" s="322"/>
      <c r="Q640" s="322"/>
      <c r="R640" s="322"/>
      <c r="S640" s="322"/>
      <c r="T640" s="322"/>
      <c r="U640" s="322"/>
      <c r="V640" s="322"/>
      <c r="W640" s="322"/>
      <c r="X640" s="322"/>
      <c r="Y640" s="322"/>
      <c r="Z640" s="322"/>
      <c r="AA640" s="322"/>
      <c r="AB640" s="322"/>
    </row>
    <row r="641" ht="15.75" customHeight="1">
      <c r="A641" s="322"/>
      <c r="B641" s="322"/>
      <c r="C641" s="322"/>
      <c r="D641" s="322"/>
      <c r="E641" s="330"/>
      <c r="F641" s="322"/>
      <c r="G641" s="322"/>
      <c r="H641" s="322"/>
      <c r="I641" s="322"/>
      <c r="J641" s="322"/>
      <c r="K641" s="322"/>
      <c r="L641" s="322"/>
      <c r="M641" s="322"/>
      <c r="N641" s="322"/>
      <c r="O641" s="322"/>
      <c r="P641" s="322"/>
      <c r="Q641" s="322"/>
      <c r="R641" s="322"/>
      <c r="S641" s="322"/>
      <c r="T641" s="322"/>
      <c r="U641" s="322"/>
      <c r="V641" s="322"/>
      <c r="W641" s="322"/>
      <c r="X641" s="322"/>
      <c r="Y641" s="322"/>
      <c r="Z641" s="322"/>
      <c r="AA641" s="322"/>
      <c r="AB641" s="322"/>
    </row>
    <row r="642" ht="15.75" customHeight="1">
      <c r="A642" s="322"/>
      <c r="B642" s="322"/>
      <c r="C642" s="322"/>
      <c r="D642" s="322"/>
      <c r="E642" s="330"/>
      <c r="F642" s="322"/>
      <c r="G642" s="322"/>
      <c r="H642" s="322"/>
      <c r="I642" s="322"/>
      <c r="J642" s="322"/>
      <c r="K642" s="322"/>
      <c r="L642" s="322"/>
      <c r="M642" s="322"/>
      <c r="N642" s="322"/>
      <c r="O642" s="322"/>
      <c r="P642" s="322"/>
      <c r="Q642" s="322"/>
      <c r="R642" s="322"/>
      <c r="S642" s="322"/>
      <c r="T642" s="322"/>
      <c r="U642" s="322"/>
      <c r="V642" s="322"/>
      <c r="W642" s="322"/>
      <c r="X642" s="322"/>
      <c r="Y642" s="322"/>
      <c r="Z642" s="322"/>
      <c r="AA642" s="322"/>
      <c r="AB642" s="322"/>
    </row>
    <row r="643" ht="15.75" customHeight="1">
      <c r="A643" s="322"/>
      <c r="B643" s="322"/>
      <c r="C643" s="322"/>
      <c r="D643" s="322"/>
      <c r="E643" s="330"/>
      <c r="F643" s="322"/>
      <c r="G643" s="322"/>
      <c r="H643" s="322"/>
      <c r="I643" s="322"/>
      <c r="J643" s="322"/>
      <c r="K643" s="322"/>
      <c r="L643" s="322"/>
      <c r="M643" s="322"/>
      <c r="N643" s="322"/>
      <c r="O643" s="322"/>
      <c r="P643" s="322"/>
      <c r="Q643" s="322"/>
      <c r="R643" s="322"/>
      <c r="S643" s="322"/>
      <c r="T643" s="322"/>
      <c r="U643" s="322"/>
      <c r="V643" s="322"/>
      <c r="W643" s="322"/>
      <c r="X643" s="322"/>
      <c r="Y643" s="322"/>
      <c r="Z643" s="322"/>
      <c r="AA643" s="322"/>
      <c r="AB643" s="322"/>
    </row>
    <row r="644" ht="15.75" customHeight="1">
      <c r="A644" s="322"/>
      <c r="B644" s="322"/>
      <c r="C644" s="322"/>
      <c r="D644" s="322"/>
      <c r="E644" s="330"/>
      <c r="F644" s="322"/>
      <c r="G644" s="322"/>
      <c r="H644" s="322"/>
      <c r="I644" s="322"/>
      <c r="J644" s="322"/>
      <c r="K644" s="322"/>
      <c r="L644" s="322"/>
      <c r="M644" s="322"/>
      <c r="N644" s="322"/>
      <c r="O644" s="322"/>
      <c r="P644" s="322"/>
      <c r="Q644" s="322"/>
      <c r="R644" s="322"/>
      <c r="S644" s="322"/>
      <c r="T644" s="322"/>
      <c r="U644" s="322"/>
      <c r="V644" s="322"/>
      <c r="W644" s="322"/>
      <c r="X644" s="322"/>
      <c r="Y644" s="322"/>
      <c r="Z644" s="322"/>
      <c r="AA644" s="322"/>
      <c r="AB644" s="322"/>
    </row>
    <row r="645" ht="15.75" customHeight="1">
      <c r="A645" s="322"/>
      <c r="B645" s="322"/>
      <c r="C645" s="322"/>
      <c r="D645" s="322"/>
      <c r="E645" s="330"/>
      <c r="F645" s="322"/>
      <c r="G645" s="322"/>
      <c r="H645" s="322"/>
      <c r="I645" s="322"/>
      <c r="J645" s="322"/>
      <c r="K645" s="322"/>
      <c r="L645" s="322"/>
      <c r="M645" s="322"/>
      <c r="N645" s="322"/>
      <c r="O645" s="322"/>
      <c r="P645" s="322"/>
      <c r="Q645" s="322"/>
      <c r="R645" s="322"/>
      <c r="S645" s="322"/>
      <c r="T645" s="322"/>
      <c r="U645" s="322"/>
      <c r="V645" s="322"/>
      <c r="W645" s="322"/>
      <c r="X645" s="322"/>
      <c r="Y645" s="322"/>
      <c r="Z645" s="322"/>
      <c r="AA645" s="322"/>
      <c r="AB645" s="322"/>
    </row>
    <row r="646" ht="15.75" customHeight="1">
      <c r="A646" s="322"/>
      <c r="B646" s="322"/>
      <c r="C646" s="322"/>
      <c r="D646" s="322"/>
      <c r="E646" s="330"/>
      <c r="F646" s="322"/>
      <c r="G646" s="322"/>
      <c r="H646" s="322"/>
      <c r="I646" s="322"/>
      <c r="J646" s="322"/>
      <c r="K646" s="322"/>
      <c r="L646" s="322"/>
      <c r="M646" s="322"/>
      <c r="N646" s="322"/>
      <c r="O646" s="322"/>
      <c r="P646" s="322"/>
      <c r="Q646" s="322"/>
      <c r="R646" s="322"/>
      <c r="S646" s="322"/>
      <c r="T646" s="322"/>
      <c r="U646" s="322"/>
      <c r="V646" s="322"/>
      <c r="W646" s="322"/>
      <c r="X646" s="322"/>
      <c r="Y646" s="322"/>
      <c r="Z646" s="322"/>
      <c r="AA646" s="322"/>
      <c r="AB646" s="322"/>
    </row>
    <row r="647" ht="15.75" customHeight="1">
      <c r="A647" s="322"/>
      <c r="B647" s="322"/>
      <c r="C647" s="322"/>
      <c r="D647" s="322"/>
      <c r="E647" s="330"/>
      <c r="F647" s="322"/>
      <c r="G647" s="322"/>
      <c r="H647" s="322"/>
      <c r="I647" s="322"/>
      <c r="J647" s="322"/>
      <c r="K647" s="322"/>
      <c r="L647" s="322"/>
      <c r="M647" s="322"/>
      <c r="N647" s="322"/>
      <c r="O647" s="322"/>
      <c r="P647" s="322"/>
      <c r="Q647" s="322"/>
      <c r="R647" s="322"/>
      <c r="S647" s="322"/>
      <c r="T647" s="322"/>
      <c r="U647" s="322"/>
      <c r="V647" s="322"/>
      <c r="W647" s="322"/>
      <c r="X647" s="322"/>
      <c r="Y647" s="322"/>
      <c r="Z647" s="322"/>
      <c r="AA647" s="322"/>
      <c r="AB647" s="322"/>
    </row>
    <row r="648" ht="15.75" customHeight="1">
      <c r="A648" s="322"/>
      <c r="B648" s="322"/>
      <c r="C648" s="322"/>
      <c r="D648" s="322"/>
      <c r="E648" s="330"/>
      <c r="F648" s="322"/>
      <c r="G648" s="322"/>
      <c r="H648" s="322"/>
      <c r="I648" s="322"/>
      <c r="J648" s="322"/>
      <c r="K648" s="322"/>
      <c r="L648" s="322"/>
      <c r="M648" s="322"/>
      <c r="N648" s="322"/>
      <c r="O648" s="322"/>
      <c r="P648" s="322"/>
      <c r="Q648" s="322"/>
      <c r="R648" s="322"/>
      <c r="S648" s="322"/>
      <c r="T648" s="322"/>
      <c r="U648" s="322"/>
      <c r="V648" s="322"/>
      <c r="W648" s="322"/>
      <c r="X648" s="322"/>
      <c r="Y648" s="322"/>
      <c r="Z648" s="322"/>
      <c r="AA648" s="322"/>
      <c r="AB648" s="322"/>
    </row>
    <row r="649" ht="15.75" customHeight="1">
      <c r="A649" s="322"/>
      <c r="B649" s="322"/>
      <c r="C649" s="322"/>
      <c r="D649" s="322"/>
      <c r="E649" s="330"/>
      <c r="F649" s="322"/>
      <c r="G649" s="322"/>
      <c r="H649" s="322"/>
      <c r="I649" s="322"/>
      <c r="J649" s="322"/>
      <c r="K649" s="322"/>
      <c r="L649" s="322"/>
      <c r="M649" s="322"/>
      <c r="N649" s="322"/>
      <c r="O649" s="322"/>
      <c r="P649" s="322"/>
      <c r="Q649" s="322"/>
      <c r="R649" s="322"/>
      <c r="S649" s="322"/>
      <c r="T649" s="322"/>
      <c r="U649" s="322"/>
      <c r="V649" s="322"/>
      <c r="W649" s="322"/>
      <c r="X649" s="322"/>
      <c r="Y649" s="322"/>
      <c r="Z649" s="322"/>
      <c r="AA649" s="322"/>
      <c r="AB649" s="322"/>
    </row>
    <row r="650" ht="15.75" customHeight="1">
      <c r="A650" s="322"/>
      <c r="B650" s="322"/>
      <c r="C650" s="322"/>
      <c r="D650" s="322"/>
      <c r="E650" s="330"/>
      <c r="F650" s="322"/>
      <c r="G650" s="322"/>
      <c r="H650" s="322"/>
      <c r="I650" s="322"/>
      <c r="J650" s="322"/>
      <c r="K650" s="322"/>
      <c r="L650" s="322"/>
      <c r="M650" s="322"/>
      <c r="N650" s="322"/>
      <c r="O650" s="322"/>
      <c r="P650" s="322"/>
      <c r="Q650" s="322"/>
      <c r="R650" s="322"/>
      <c r="S650" s="322"/>
      <c r="T650" s="322"/>
      <c r="U650" s="322"/>
      <c r="V650" s="322"/>
      <c r="W650" s="322"/>
      <c r="X650" s="322"/>
      <c r="Y650" s="322"/>
      <c r="Z650" s="322"/>
      <c r="AA650" s="322"/>
      <c r="AB650" s="322"/>
    </row>
    <row r="651" ht="15.75" customHeight="1">
      <c r="A651" s="322"/>
      <c r="B651" s="322"/>
      <c r="C651" s="322"/>
      <c r="D651" s="322"/>
      <c r="E651" s="330"/>
      <c r="F651" s="322"/>
      <c r="G651" s="322"/>
      <c r="H651" s="322"/>
      <c r="I651" s="322"/>
      <c r="J651" s="322"/>
      <c r="K651" s="322"/>
      <c r="L651" s="322"/>
      <c r="M651" s="322"/>
      <c r="N651" s="322"/>
      <c r="O651" s="322"/>
      <c r="P651" s="322"/>
      <c r="Q651" s="322"/>
      <c r="R651" s="322"/>
      <c r="S651" s="322"/>
      <c r="T651" s="322"/>
      <c r="U651" s="322"/>
      <c r="V651" s="322"/>
      <c r="W651" s="322"/>
      <c r="X651" s="322"/>
      <c r="Y651" s="322"/>
      <c r="Z651" s="322"/>
      <c r="AA651" s="322"/>
      <c r="AB651" s="322"/>
    </row>
    <row r="652" ht="15.75" customHeight="1">
      <c r="A652" s="322"/>
      <c r="B652" s="322"/>
      <c r="C652" s="322"/>
      <c r="D652" s="322"/>
      <c r="E652" s="330"/>
      <c r="F652" s="322"/>
      <c r="G652" s="322"/>
      <c r="H652" s="322"/>
      <c r="I652" s="322"/>
      <c r="J652" s="322"/>
      <c r="K652" s="322"/>
      <c r="L652" s="322"/>
      <c r="M652" s="322"/>
      <c r="N652" s="322"/>
      <c r="O652" s="322"/>
      <c r="P652" s="322"/>
      <c r="Q652" s="322"/>
      <c r="R652" s="322"/>
      <c r="S652" s="322"/>
      <c r="T652" s="322"/>
      <c r="U652" s="322"/>
      <c r="V652" s="322"/>
      <c r="W652" s="322"/>
      <c r="X652" s="322"/>
      <c r="Y652" s="322"/>
      <c r="Z652" s="322"/>
      <c r="AA652" s="322"/>
      <c r="AB652" s="322"/>
    </row>
    <row r="653" ht="15.75" customHeight="1">
      <c r="A653" s="322"/>
      <c r="B653" s="322"/>
      <c r="C653" s="322"/>
      <c r="D653" s="322"/>
      <c r="E653" s="330"/>
      <c r="F653" s="322"/>
      <c r="G653" s="322"/>
      <c r="H653" s="322"/>
      <c r="I653" s="322"/>
      <c r="J653" s="322"/>
      <c r="K653" s="322"/>
      <c r="L653" s="322"/>
      <c r="M653" s="322"/>
      <c r="N653" s="322"/>
      <c r="O653" s="322"/>
      <c r="P653" s="322"/>
      <c r="Q653" s="322"/>
      <c r="R653" s="322"/>
      <c r="S653" s="322"/>
      <c r="T653" s="322"/>
      <c r="U653" s="322"/>
      <c r="V653" s="322"/>
      <c r="W653" s="322"/>
      <c r="X653" s="322"/>
      <c r="Y653" s="322"/>
      <c r="Z653" s="322"/>
      <c r="AA653" s="322"/>
      <c r="AB653" s="322"/>
    </row>
    <row r="654" ht="15.75" customHeight="1">
      <c r="A654" s="322"/>
      <c r="B654" s="322"/>
      <c r="C654" s="322"/>
      <c r="D654" s="322"/>
      <c r="E654" s="330"/>
      <c r="F654" s="322"/>
      <c r="G654" s="322"/>
      <c r="H654" s="322"/>
      <c r="I654" s="322"/>
      <c r="J654" s="322"/>
      <c r="K654" s="322"/>
      <c r="L654" s="322"/>
      <c r="M654" s="322"/>
      <c r="N654" s="322"/>
      <c r="O654" s="322"/>
      <c r="P654" s="322"/>
      <c r="Q654" s="322"/>
      <c r="R654" s="322"/>
      <c r="S654" s="322"/>
      <c r="T654" s="322"/>
      <c r="U654" s="322"/>
      <c r="V654" s="322"/>
      <c r="W654" s="322"/>
      <c r="X654" s="322"/>
      <c r="Y654" s="322"/>
      <c r="Z654" s="322"/>
      <c r="AA654" s="322"/>
      <c r="AB654" s="322"/>
    </row>
    <row r="655" ht="15.75" customHeight="1">
      <c r="A655" s="322"/>
      <c r="B655" s="322"/>
      <c r="C655" s="322"/>
      <c r="D655" s="322"/>
      <c r="E655" s="330"/>
      <c r="F655" s="322"/>
      <c r="G655" s="322"/>
      <c r="H655" s="322"/>
      <c r="I655" s="322"/>
      <c r="J655" s="322"/>
      <c r="K655" s="322"/>
      <c r="L655" s="322"/>
      <c r="M655" s="322"/>
      <c r="N655" s="322"/>
      <c r="O655" s="322"/>
      <c r="P655" s="322"/>
      <c r="Q655" s="322"/>
      <c r="R655" s="322"/>
      <c r="S655" s="322"/>
      <c r="T655" s="322"/>
      <c r="U655" s="322"/>
      <c r="V655" s="322"/>
      <c r="W655" s="322"/>
      <c r="X655" s="322"/>
      <c r="Y655" s="322"/>
      <c r="Z655" s="322"/>
      <c r="AA655" s="322"/>
      <c r="AB655" s="322"/>
    </row>
    <row r="656" ht="15.75" customHeight="1">
      <c r="A656" s="322"/>
      <c r="B656" s="322"/>
      <c r="C656" s="322"/>
      <c r="D656" s="322"/>
      <c r="E656" s="330"/>
      <c r="F656" s="322"/>
      <c r="G656" s="322"/>
      <c r="H656" s="322"/>
      <c r="I656" s="322"/>
      <c r="J656" s="322"/>
      <c r="K656" s="322"/>
      <c r="L656" s="322"/>
      <c r="M656" s="322"/>
      <c r="N656" s="322"/>
      <c r="O656" s="322"/>
      <c r="P656" s="322"/>
      <c r="Q656" s="322"/>
      <c r="R656" s="322"/>
      <c r="S656" s="322"/>
      <c r="T656" s="322"/>
      <c r="U656" s="322"/>
      <c r="V656" s="322"/>
      <c r="W656" s="322"/>
      <c r="X656" s="322"/>
      <c r="Y656" s="322"/>
      <c r="Z656" s="322"/>
      <c r="AA656" s="322"/>
      <c r="AB656" s="322"/>
    </row>
    <row r="657" ht="15.75" customHeight="1">
      <c r="A657" s="322"/>
      <c r="B657" s="322"/>
      <c r="C657" s="322"/>
      <c r="D657" s="322"/>
      <c r="E657" s="330"/>
      <c r="F657" s="322"/>
      <c r="G657" s="322"/>
      <c r="H657" s="322"/>
      <c r="I657" s="322"/>
      <c r="J657" s="322"/>
      <c r="K657" s="322"/>
      <c r="L657" s="322"/>
      <c r="M657" s="322"/>
      <c r="N657" s="322"/>
      <c r="O657" s="322"/>
      <c r="P657" s="322"/>
      <c r="Q657" s="322"/>
      <c r="R657" s="322"/>
      <c r="S657" s="322"/>
      <c r="T657" s="322"/>
      <c r="U657" s="322"/>
      <c r="V657" s="322"/>
      <c r="W657" s="322"/>
      <c r="X657" s="322"/>
      <c r="Y657" s="322"/>
      <c r="Z657" s="322"/>
      <c r="AA657" s="322"/>
      <c r="AB657" s="322"/>
    </row>
    <row r="658" ht="15.75" customHeight="1">
      <c r="A658" s="322"/>
      <c r="B658" s="322"/>
      <c r="C658" s="322"/>
      <c r="D658" s="322"/>
      <c r="E658" s="330"/>
      <c r="F658" s="322"/>
      <c r="G658" s="322"/>
      <c r="H658" s="322"/>
      <c r="I658" s="322"/>
      <c r="J658" s="322"/>
      <c r="K658" s="322"/>
      <c r="L658" s="322"/>
      <c r="M658" s="322"/>
      <c r="N658" s="322"/>
      <c r="O658" s="322"/>
      <c r="P658" s="322"/>
      <c r="Q658" s="322"/>
      <c r="R658" s="322"/>
      <c r="S658" s="322"/>
      <c r="T658" s="322"/>
      <c r="U658" s="322"/>
      <c r="V658" s="322"/>
      <c r="W658" s="322"/>
      <c r="X658" s="322"/>
      <c r="Y658" s="322"/>
      <c r="Z658" s="322"/>
      <c r="AA658" s="322"/>
      <c r="AB658" s="322"/>
    </row>
    <row r="659" ht="15.75" customHeight="1">
      <c r="A659" s="322"/>
      <c r="B659" s="322"/>
      <c r="C659" s="322"/>
      <c r="D659" s="322"/>
      <c r="E659" s="330"/>
      <c r="F659" s="322"/>
      <c r="G659" s="322"/>
      <c r="H659" s="322"/>
      <c r="I659" s="322"/>
      <c r="J659" s="322"/>
      <c r="K659" s="322"/>
      <c r="L659" s="322"/>
      <c r="M659" s="322"/>
      <c r="N659" s="322"/>
      <c r="O659" s="322"/>
      <c r="P659" s="322"/>
      <c r="Q659" s="322"/>
      <c r="R659" s="322"/>
      <c r="S659" s="322"/>
      <c r="T659" s="322"/>
      <c r="U659" s="322"/>
      <c r="V659" s="322"/>
      <c r="W659" s="322"/>
      <c r="X659" s="322"/>
      <c r="Y659" s="322"/>
      <c r="Z659" s="322"/>
      <c r="AA659" s="322"/>
      <c r="AB659" s="322"/>
    </row>
    <row r="660" ht="15.75" customHeight="1">
      <c r="A660" s="322"/>
      <c r="B660" s="322"/>
      <c r="C660" s="322"/>
      <c r="D660" s="322"/>
      <c r="E660" s="330"/>
      <c r="F660" s="322"/>
      <c r="G660" s="322"/>
      <c r="H660" s="322"/>
      <c r="I660" s="322"/>
      <c r="J660" s="322"/>
      <c r="K660" s="322"/>
      <c r="L660" s="322"/>
      <c r="M660" s="322"/>
      <c r="N660" s="322"/>
      <c r="O660" s="322"/>
      <c r="P660" s="322"/>
      <c r="Q660" s="322"/>
      <c r="R660" s="322"/>
      <c r="S660" s="322"/>
      <c r="T660" s="322"/>
      <c r="U660" s="322"/>
      <c r="V660" s="322"/>
      <c r="W660" s="322"/>
      <c r="X660" s="322"/>
      <c r="Y660" s="322"/>
      <c r="Z660" s="322"/>
      <c r="AA660" s="322"/>
      <c r="AB660" s="322"/>
    </row>
    <row r="661" ht="15.75" customHeight="1">
      <c r="A661" s="322"/>
      <c r="B661" s="322"/>
      <c r="C661" s="322"/>
      <c r="D661" s="322"/>
      <c r="E661" s="330"/>
      <c r="F661" s="322"/>
      <c r="G661" s="322"/>
      <c r="H661" s="322"/>
      <c r="I661" s="322"/>
      <c r="J661" s="322"/>
      <c r="K661" s="322"/>
      <c r="L661" s="322"/>
      <c r="M661" s="322"/>
      <c r="N661" s="322"/>
      <c r="O661" s="322"/>
      <c r="P661" s="322"/>
      <c r="Q661" s="322"/>
      <c r="R661" s="322"/>
      <c r="S661" s="322"/>
      <c r="T661" s="322"/>
      <c r="U661" s="322"/>
      <c r="V661" s="322"/>
      <c r="W661" s="322"/>
      <c r="X661" s="322"/>
      <c r="Y661" s="322"/>
      <c r="Z661" s="322"/>
      <c r="AA661" s="322"/>
      <c r="AB661" s="322"/>
    </row>
    <row r="662" ht="15.75" customHeight="1">
      <c r="A662" s="322"/>
      <c r="B662" s="322"/>
      <c r="C662" s="322"/>
      <c r="D662" s="322"/>
      <c r="E662" s="330"/>
      <c r="F662" s="322"/>
      <c r="G662" s="322"/>
      <c r="H662" s="322"/>
      <c r="I662" s="322"/>
      <c r="J662" s="322"/>
      <c r="K662" s="322"/>
      <c r="L662" s="322"/>
      <c r="M662" s="322"/>
      <c r="N662" s="322"/>
      <c r="O662" s="322"/>
      <c r="P662" s="322"/>
      <c r="Q662" s="322"/>
      <c r="R662" s="322"/>
      <c r="S662" s="322"/>
      <c r="T662" s="322"/>
      <c r="U662" s="322"/>
      <c r="V662" s="322"/>
      <c r="W662" s="322"/>
      <c r="X662" s="322"/>
      <c r="Y662" s="322"/>
      <c r="Z662" s="322"/>
      <c r="AA662" s="322"/>
      <c r="AB662" s="322"/>
    </row>
    <row r="663" ht="15.75" customHeight="1">
      <c r="A663" s="322"/>
      <c r="B663" s="322"/>
      <c r="C663" s="322"/>
      <c r="D663" s="322"/>
      <c r="E663" s="330"/>
      <c r="F663" s="322"/>
      <c r="G663" s="322"/>
      <c r="H663" s="322"/>
      <c r="I663" s="322"/>
      <c r="J663" s="322"/>
      <c r="K663" s="322"/>
      <c r="L663" s="322"/>
      <c r="M663" s="322"/>
      <c r="N663" s="322"/>
      <c r="O663" s="322"/>
      <c r="P663" s="322"/>
      <c r="Q663" s="322"/>
      <c r="R663" s="322"/>
      <c r="S663" s="322"/>
      <c r="T663" s="322"/>
      <c r="U663" s="322"/>
      <c r="V663" s="322"/>
      <c r="W663" s="322"/>
      <c r="X663" s="322"/>
      <c r="Y663" s="322"/>
      <c r="Z663" s="322"/>
      <c r="AA663" s="322"/>
      <c r="AB663" s="322"/>
    </row>
    <row r="664" ht="15.75" customHeight="1">
      <c r="A664" s="322"/>
      <c r="B664" s="322"/>
      <c r="C664" s="322"/>
      <c r="D664" s="322"/>
      <c r="E664" s="330"/>
      <c r="F664" s="322"/>
      <c r="G664" s="322"/>
      <c r="H664" s="322"/>
      <c r="I664" s="322"/>
      <c r="J664" s="322"/>
      <c r="K664" s="322"/>
      <c r="L664" s="322"/>
      <c r="M664" s="322"/>
      <c r="N664" s="322"/>
      <c r="O664" s="322"/>
      <c r="P664" s="322"/>
      <c r="Q664" s="322"/>
      <c r="R664" s="322"/>
      <c r="S664" s="322"/>
      <c r="T664" s="322"/>
      <c r="U664" s="322"/>
      <c r="V664" s="322"/>
      <c r="W664" s="322"/>
      <c r="X664" s="322"/>
      <c r="Y664" s="322"/>
      <c r="Z664" s="322"/>
      <c r="AA664" s="322"/>
      <c r="AB664" s="322"/>
    </row>
    <row r="665" ht="15.75" customHeight="1">
      <c r="A665" s="322"/>
      <c r="B665" s="322"/>
      <c r="C665" s="322"/>
      <c r="D665" s="322"/>
      <c r="E665" s="330"/>
      <c r="F665" s="322"/>
      <c r="G665" s="322"/>
      <c r="H665" s="322"/>
      <c r="I665" s="322"/>
      <c r="J665" s="322"/>
      <c r="K665" s="322"/>
      <c r="L665" s="322"/>
      <c r="M665" s="322"/>
      <c r="N665" s="322"/>
      <c r="O665" s="322"/>
      <c r="P665" s="322"/>
      <c r="Q665" s="322"/>
      <c r="R665" s="322"/>
      <c r="S665" s="322"/>
      <c r="T665" s="322"/>
      <c r="U665" s="322"/>
      <c r="V665" s="322"/>
      <c r="W665" s="322"/>
      <c r="X665" s="322"/>
      <c r="Y665" s="322"/>
      <c r="Z665" s="322"/>
      <c r="AA665" s="322"/>
      <c r="AB665" s="322"/>
    </row>
    <row r="666" ht="15.75" customHeight="1">
      <c r="A666" s="322"/>
      <c r="B666" s="322"/>
      <c r="C666" s="322"/>
      <c r="D666" s="322"/>
      <c r="E666" s="330"/>
      <c r="F666" s="322"/>
      <c r="G666" s="322"/>
      <c r="H666" s="322"/>
      <c r="I666" s="322"/>
      <c r="J666" s="322"/>
      <c r="K666" s="322"/>
      <c r="L666" s="322"/>
      <c r="M666" s="322"/>
      <c r="N666" s="322"/>
      <c r="O666" s="322"/>
      <c r="P666" s="322"/>
      <c r="Q666" s="322"/>
      <c r="R666" s="322"/>
      <c r="S666" s="322"/>
      <c r="T666" s="322"/>
      <c r="U666" s="322"/>
      <c r="V666" s="322"/>
      <c r="W666" s="322"/>
      <c r="X666" s="322"/>
      <c r="Y666" s="322"/>
      <c r="Z666" s="322"/>
      <c r="AA666" s="322"/>
      <c r="AB666" s="322"/>
    </row>
    <row r="667" ht="15.75" customHeight="1">
      <c r="A667" s="322"/>
      <c r="B667" s="322"/>
      <c r="C667" s="322"/>
      <c r="D667" s="322"/>
      <c r="E667" s="330"/>
      <c r="F667" s="322"/>
      <c r="G667" s="322"/>
      <c r="H667" s="322"/>
      <c r="I667" s="322"/>
      <c r="J667" s="322"/>
      <c r="K667" s="322"/>
      <c r="L667" s="322"/>
      <c r="M667" s="322"/>
      <c r="N667" s="322"/>
      <c r="O667" s="322"/>
      <c r="P667" s="322"/>
      <c r="Q667" s="322"/>
      <c r="R667" s="322"/>
      <c r="S667" s="322"/>
      <c r="T667" s="322"/>
      <c r="U667" s="322"/>
      <c r="V667" s="322"/>
      <c r="W667" s="322"/>
      <c r="X667" s="322"/>
      <c r="Y667" s="322"/>
      <c r="Z667" s="322"/>
      <c r="AA667" s="322"/>
      <c r="AB667" s="322"/>
    </row>
    <row r="668" ht="15.75" customHeight="1">
      <c r="A668" s="322"/>
      <c r="B668" s="322"/>
      <c r="C668" s="322"/>
      <c r="D668" s="322"/>
      <c r="E668" s="330"/>
      <c r="F668" s="322"/>
      <c r="G668" s="322"/>
      <c r="H668" s="322"/>
      <c r="I668" s="322"/>
      <c r="J668" s="322"/>
      <c r="K668" s="322"/>
      <c r="L668" s="322"/>
      <c r="M668" s="322"/>
      <c r="N668" s="322"/>
      <c r="O668" s="322"/>
      <c r="P668" s="322"/>
      <c r="Q668" s="322"/>
      <c r="R668" s="322"/>
      <c r="S668" s="322"/>
      <c r="T668" s="322"/>
      <c r="U668" s="322"/>
      <c r="V668" s="322"/>
      <c r="W668" s="322"/>
      <c r="X668" s="322"/>
      <c r="Y668" s="322"/>
      <c r="Z668" s="322"/>
      <c r="AA668" s="322"/>
      <c r="AB668" s="322"/>
    </row>
    <row r="669" ht="15.75" customHeight="1">
      <c r="A669" s="322"/>
      <c r="B669" s="322"/>
      <c r="C669" s="322"/>
      <c r="D669" s="322"/>
      <c r="E669" s="330"/>
      <c r="F669" s="322"/>
      <c r="G669" s="322"/>
      <c r="H669" s="322"/>
      <c r="I669" s="322"/>
      <c r="J669" s="322"/>
      <c r="K669" s="322"/>
      <c r="L669" s="322"/>
      <c r="M669" s="322"/>
      <c r="N669" s="322"/>
      <c r="O669" s="322"/>
      <c r="P669" s="322"/>
      <c r="Q669" s="322"/>
      <c r="R669" s="322"/>
      <c r="S669" s="322"/>
      <c r="T669" s="322"/>
      <c r="U669" s="322"/>
      <c r="V669" s="322"/>
      <c r="W669" s="322"/>
      <c r="X669" s="322"/>
      <c r="Y669" s="322"/>
      <c r="Z669" s="322"/>
      <c r="AA669" s="322"/>
      <c r="AB669" s="322"/>
    </row>
    <row r="670" ht="15.75" customHeight="1">
      <c r="A670" s="322"/>
      <c r="B670" s="322"/>
      <c r="C670" s="322"/>
      <c r="D670" s="322"/>
      <c r="E670" s="330"/>
      <c r="F670" s="322"/>
      <c r="G670" s="322"/>
      <c r="H670" s="322"/>
      <c r="I670" s="322"/>
      <c r="J670" s="322"/>
      <c r="K670" s="322"/>
      <c r="L670" s="322"/>
      <c r="M670" s="322"/>
      <c r="N670" s="322"/>
      <c r="O670" s="322"/>
      <c r="P670" s="322"/>
      <c r="Q670" s="322"/>
      <c r="R670" s="322"/>
      <c r="S670" s="322"/>
      <c r="T670" s="322"/>
      <c r="U670" s="322"/>
      <c r="V670" s="322"/>
      <c r="W670" s="322"/>
      <c r="X670" s="322"/>
      <c r="Y670" s="322"/>
      <c r="Z670" s="322"/>
      <c r="AA670" s="322"/>
      <c r="AB670" s="322"/>
    </row>
    <row r="671" ht="15.75" customHeight="1">
      <c r="A671" s="322"/>
      <c r="B671" s="322"/>
      <c r="C671" s="322"/>
      <c r="D671" s="322"/>
      <c r="E671" s="330"/>
      <c r="F671" s="322"/>
      <c r="G671" s="322"/>
      <c r="H671" s="322"/>
      <c r="I671" s="322"/>
      <c r="J671" s="322"/>
      <c r="K671" s="322"/>
      <c r="L671" s="322"/>
      <c r="M671" s="322"/>
      <c r="N671" s="322"/>
      <c r="O671" s="322"/>
      <c r="P671" s="322"/>
      <c r="Q671" s="322"/>
      <c r="R671" s="322"/>
      <c r="S671" s="322"/>
      <c r="T671" s="322"/>
      <c r="U671" s="322"/>
      <c r="V671" s="322"/>
      <c r="W671" s="322"/>
      <c r="X671" s="322"/>
      <c r="Y671" s="322"/>
      <c r="Z671" s="322"/>
      <c r="AA671" s="322"/>
      <c r="AB671" s="322"/>
    </row>
    <row r="672" ht="15.75" customHeight="1">
      <c r="A672" s="322"/>
      <c r="B672" s="322"/>
      <c r="C672" s="322"/>
      <c r="D672" s="322"/>
      <c r="E672" s="330"/>
      <c r="F672" s="322"/>
      <c r="G672" s="322"/>
      <c r="H672" s="322"/>
      <c r="I672" s="322"/>
      <c r="J672" s="322"/>
      <c r="K672" s="322"/>
      <c r="L672" s="322"/>
      <c r="M672" s="322"/>
      <c r="N672" s="322"/>
      <c r="O672" s="322"/>
      <c r="P672" s="322"/>
      <c r="Q672" s="322"/>
      <c r="R672" s="322"/>
      <c r="S672" s="322"/>
      <c r="T672" s="322"/>
      <c r="U672" s="322"/>
      <c r="V672" s="322"/>
      <c r="W672" s="322"/>
      <c r="X672" s="322"/>
      <c r="Y672" s="322"/>
      <c r="Z672" s="322"/>
      <c r="AA672" s="322"/>
      <c r="AB672" s="322"/>
    </row>
    <row r="673" ht="15.75" customHeight="1">
      <c r="A673" s="322"/>
      <c r="B673" s="322"/>
      <c r="C673" s="322"/>
      <c r="D673" s="322"/>
      <c r="E673" s="330"/>
      <c r="F673" s="322"/>
      <c r="G673" s="322"/>
      <c r="H673" s="322"/>
      <c r="I673" s="322"/>
      <c r="J673" s="322"/>
      <c r="K673" s="322"/>
      <c r="L673" s="322"/>
      <c r="M673" s="322"/>
      <c r="N673" s="322"/>
      <c r="O673" s="322"/>
      <c r="P673" s="322"/>
      <c r="Q673" s="322"/>
      <c r="R673" s="322"/>
      <c r="S673" s="322"/>
      <c r="T673" s="322"/>
      <c r="U673" s="322"/>
      <c r="V673" s="322"/>
      <c r="W673" s="322"/>
      <c r="X673" s="322"/>
      <c r="Y673" s="322"/>
      <c r="Z673" s="322"/>
      <c r="AA673" s="322"/>
      <c r="AB673" s="322"/>
    </row>
    <row r="674" ht="15.75" customHeight="1">
      <c r="A674" s="322"/>
      <c r="B674" s="322"/>
      <c r="C674" s="322"/>
      <c r="D674" s="322"/>
      <c r="E674" s="330"/>
      <c r="F674" s="322"/>
      <c r="G674" s="322"/>
      <c r="H674" s="322"/>
      <c r="I674" s="322"/>
      <c r="J674" s="322"/>
      <c r="K674" s="322"/>
      <c r="L674" s="322"/>
      <c r="M674" s="322"/>
      <c r="N674" s="322"/>
      <c r="O674" s="322"/>
      <c r="P674" s="322"/>
      <c r="Q674" s="322"/>
      <c r="R674" s="322"/>
      <c r="S674" s="322"/>
      <c r="T674" s="322"/>
      <c r="U674" s="322"/>
      <c r="V674" s="322"/>
      <c r="W674" s="322"/>
      <c r="X674" s="322"/>
      <c r="Y674" s="322"/>
      <c r="Z674" s="322"/>
      <c r="AA674" s="322"/>
      <c r="AB674" s="322"/>
    </row>
    <row r="675" ht="15.75" customHeight="1">
      <c r="A675" s="322"/>
      <c r="B675" s="322"/>
      <c r="C675" s="322"/>
      <c r="D675" s="322"/>
      <c r="E675" s="330"/>
      <c r="F675" s="322"/>
      <c r="G675" s="322"/>
      <c r="H675" s="322"/>
      <c r="I675" s="322"/>
      <c r="J675" s="322"/>
      <c r="K675" s="322"/>
      <c r="L675" s="322"/>
      <c r="M675" s="322"/>
      <c r="N675" s="322"/>
      <c r="O675" s="322"/>
      <c r="P675" s="322"/>
      <c r="Q675" s="322"/>
      <c r="R675" s="322"/>
      <c r="S675" s="322"/>
      <c r="T675" s="322"/>
      <c r="U675" s="322"/>
      <c r="V675" s="322"/>
      <c r="W675" s="322"/>
      <c r="X675" s="322"/>
      <c r="Y675" s="322"/>
      <c r="Z675" s="322"/>
      <c r="AA675" s="322"/>
      <c r="AB675" s="322"/>
    </row>
    <row r="676" ht="15.75" customHeight="1">
      <c r="A676" s="322"/>
      <c r="B676" s="322"/>
      <c r="C676" s="322"/>
      <c r="D676" s="322"/>
      <c r="E676" s="330"/>
      <c r="F676" s="322"/>
      <c r="G676" s="322"/>
      <c r="H676" s="322"/>
      <c r="I676" s="322"/>
      <c r="J676" s="322"/>
      <c r="K676" s="322"/>
      <c r="L676" s="322"/>
      <c r="M676" s="322"/>
      <c r="N676" s="322"/>
      <c r="O676" s="322"/>
      <c r="P676" s="322"/>
      <c r="Q676" s="322"/>
      <c r="R676" s="322"/>
      <c r="S676" s="322"/>
      <c r="T676" s="322"/>
      <c r="U676" s="322"/>
      <c r="V676" s="322"/>
      <c r="W676" s="322"/>
      <c r="X676" s="322"/>
      <c r="Y676" s="322"/>
      <c r="Z676" s="322"/>
      <c r="AA676" s="322"/>
      <c r="AB676" s="322"/>
    </row>
    <row r="677" ht="15.75" customHeight="1">
      <c r="A677" s="322"/>
      <c r="B677" s="322"/>
      <c r="C677" s="322"/>
      <c r="D677" s="322"/>
      <c r="E677" s="330"/>
      <c r="F677" s="322"/>
      <c r="G677" s="322"/>
      <c r="H677" s="322"/>
      <c r="I677" s="322"/>
      <c r="J677" s="322"/>
      <c r="K677" s="322"/>
      <c r="L677" s="322"/>
      <c r="M677" s="322"/>
      <c r="N677" s="322"/>
      <c r="O677" s="322"/>
      <c r="P677" s="322"/>
      <c r="Q677" s="322"/>
      <c r="R677" s="322"/>
      <c r="S677" s="322"/>
      <c r="T677" s="322"/>
      <c r="U677" s="322"/>
      <c r="V677" s="322"/>
      <c r="W677" s="322"/>
      <c r="X677" s="322"/>
      <c r="Y677" s="322"/>
      <c r="Z677" s="322"/>
      <c r="AA677" s="322"/>
      <c r="AB677" s="322"/>
    </row>
    <row r="678" ht="15.75" customHeight="1">
      <c r="A678" s="322"/>
      <c r="B678" s="322"/>
      <c r="C678" s="322"/>
      <c r="D678" s="322"/>
      <c r="E678" s="330"/>
      <c r="F678" s="322"/>
      <c r="G678" s="322"/>
      <c r="H678" s="322"/>
      <c r="I678" s="322"/>
      <c r="J678" s="322"/>
      <c r="K678" s="322"/>
      <c r="L678" s="322"/>
      <c r="M678" s="322"/>
      <c r="N678" s="322"/>
      <c r="O678" s="322"/>
      <c r="P678" s="322"/>
      <c r="Q678" s="322"/>
      <c r="R678" s="322"/>
      <c r="S678" s="322"/>
      <c r="T678" s="322"/>
      <c r="U678" s="322"/>
      <c r="V678" s="322"/>
      <c r="W678" s="322"/>
      <c r="X678" s="322"/>
      <c r="Y678" s="322"/>
      <c r="Z678" s="322"/>
      <c r="AA678" s="322"/>
      <c r="AB678" s="322"/>
    </row>
    <row r="679" ht="15.75" customHeight="1">
      <c r="A679" s="322"/>
      <c r="B679" s="322"/>
      <c r="C679" s="322"/>
      <c r="D679" s="322"/>
      <c r="E679" s="330"/>
      <c r="F679" s="322"/>
      <c r="G679" s="322"/>
      <c r="H679" s="322"/>
      <c r="I679" s="322"/>
      <c r="J679" s="322"/>
      <c r="K679" s="322"/>
      <c r="L679" s="322"/>
      <c r="M679" s="322"/>
      <c r="N679" s="322"/>
      <c r="O679" s="322"/>
      <c r="P679" s="322"/>
      <c r="Q679" s="322"/>
      <c r="R679" s="322"/>
      <c r="S679" s="322"/>
      <c r="T679" s="322"/>
      <c r="U679" s="322"/>
      <c r="V679" s="322"/>
      <c r="W679" s="322"/>
      <c r="X679" s="322"/>
      <c r="Y679" s="322"/>
      <c r="Z679" s="322"/>
      <c r="AA679" s="322"/>
      <c r="AB679" s="322"/>
    </row>
    <row r="680" ht="15.75" customHeight="1">
      <c r="A680" s="322"/>
      <c r="B680" s="322"/>
      <c r="C680" s="322"/>
      <c r="D680" s="322"/>
      <c r="E680" s="330"/>
      <c r="F680" s="322"/>
      <c r="G680" s="322"/>
      <c r="H680" s="322"/>
      <c r="I680" s="322"/>
      <c r="J680" s="322"/>
      <c r="K680" s="322"/>
      <c r="L680" s="322"/>
      <c r="M680" s="322"/>
      <c r="N680" s="322"/>
      <c r="O680" s="322"/>
      <c r="P680" s="322"/>
      <c r="Q680" s="322"/>
      <c r="R680" s="322"/>
      <c r="S680" s="322"/>
      <c r="T680" s="322"/>
      <c r="U680" s="322"/>
      <c r="V680" s="322"/>
      <c r="W680" s="322"/>
      <c r="X680" s="322"/>
      <c r="Y680" s="322"/>
      <c r="Z680" s="322"/>
      <c r="AA680" s="322"/>
      <c r="AB680" s="322"/>
    </row>
    <row r="681" ht="15.75" customHeight="1">
      <c r="A681" s="322"/>
      <c r="B681" s="322"/>
      <c r="C681" s="322"/>
      <c r="D681" s="322"/>
      <c r="E681" s="330"/>
      <c r="F681" s="322"/>
      <c r="G681" s="322"/>
      <c r="H681" s="322"/>
      <c r="I681" s="322"/>
      <c r="J681" s="322"/>
      <c r="K681" s="322"/>
      <c r="L681" s="322"/>
      <c r="M681" s="322"/>
      <c r="N681" s="322"/>
      <c r="O681" s="322"/>
      <c r="P681" s="322"/>
      <c r="Q681" s="322"/>
      <c r="R681" s="322"/>
      <c r="S681" s="322"/>
      <c r="T681" s="322"/>
      <c r="U681" s="322"/>
      <c r="V681" s="322"/>
      <c r="W681" s="322"/>
      <c r="X681" s="322"/>
      <c r="Y681" s="322"/>
      <c r="Z681" s="322"/>
      <c r="AA681" s="322"/>
      <c r="AB681" s="322"/>
    </row>
    <row r="682" ht="15.75" customHeight="1">
      <c r="A682" s="322"/>
      <c r="B682" s="322"/>
      <c r="C682" s="322"/>
      <c r="D682" s="322"/>
      <c r="E682" s="330"/>
      <c r="F682" s="322"/>
      <c r="G682" s="322"/>
      <c r="H682" s="322"/>
      <c r="I682" s="322"/>
      <c r="J682" s="322"/>
      <c r="K682" s="322"/>
      <c r="L682" s="322"/>
      <c r="M682" s="322"/>
      <c r="N682" s="322"/>
      <c r="O682" s="322"/>
      <c r="P682" s="322"/>
      <c r="Q682" s="322"/>
      <c r="R682" s="322"/>
      <c r="S682" s="322"/>
      <c r="T682" s="322"/>
      <c r="U682" s="322"/>
      <c r="V682" s="322"/>
      <c r="W682" s="322"/>
      <c r="X682" s="322"/>
      <c r="Y682" s="322"/>
      <c r="Z682" s="322"/>
      <c r="AA682" s="322"/>
      <c r="AB682" s="322"/>
    </row>
    <row r="683" ht="15.75" customHeight="1">
      <c r="A683" s="322"/>
      <c r="B683" s="322"/>
      <c r="C683" s="322"/>
      <c r="D683" s="322"/>
      <c r="E683" s="330"/>
      <c r="F683" s="322"/>
      <c r="G683" s="322"/>
      <c r="H683" s="322"/>
      <c r="I683" s="322"/>
      <c r="J683" s="322"/>
      <c r="K683" s="322"/>
      <c r="L683" s="322"/>
      <c r="M683" s="322"/>
      <c r="N683" s="322"/>
      <c r="O683" s="322"/>
      <c r="P683" s="322"/>
      <c r="Q683" s="322"/>
      <c r="R683" s="322"/>
      <c r="S683" s="322"/>
      <c r="T683" s="322"/>
      <c r="U683" s="322"/>
      <c r="V683" s="322"/>
      <c r="W683" s="322"/>
      <c r="X683" s="322"/>
      <c r="Y683" s="322"/>
      <c r="Z683" s="322"/>
      <c r="AA683" s="322"/>
      <c r="AB683" s="322"/>
    </row>
    <row r="684" ht="15.75" customHeight="1">
      <c r="A684" s="322"/>
      <c r="B684" s="322"/>
      <c r="C684" s="322"/>
      <c r="D684" s="322"/>
      <c r="E684" s="330"/>
      <c r="F684" s="322"/>
      <c r="G684" s="322"/>
      <c r="H684" s="322"/>
      <c r="I684" s="322"/>
      <c r="J684" s="322"/>
      <c r="K684" s="322"/>
      <c r="L684" s="322"/>
      <c r="M684" s="322"/>
      <c r="N684" s="322"/>
      <c r="O684" s="322"/>
      <c r="P684" s="322"/>
      <c r="Q684" s="322"/>
      <c r="R684" s="322"/>
      <c r="S684" s="322"/>
      <c r="T684" s="322"/>
      <c r="U684" s="322"/>
      <c r="V684" s="322"/>
      <c r="W684" s="322"/>
      <c r="X684" s="322"/>
      <c r="Y684" s="322"/>
      <c r="Z684" s="322"/>
      <c r="AA684" s="322"/>
      <c r="AB684" s="322"/>
    </row>
    <row r="685" ht="15.75" customHeight="1">
      <c r="A685" s="322"/>
      <c r="B685" s="322"/>
      <c r="C685" s="322"/>
      <c r="D685" s="322"/>
      <c r="E685" s="330"/>
      <c r="F685" s="322"/>
      <c r="G685" s="322"/>
      <c r="H685" s="322"/>
      <c r="I685" s="322"/>
      <c r="J685" s="322"/>
      <c r="K685" s="322"/>
      <c r="L685" s="322"/>
      <c r="M685" s="322"/>
      <c r="N685" s="322"/>
      <c r="O685" s="322"/>
      <c r="P685" s="322"/>
      <c r="Q685" s="322"/>
      <c r="R685" s="322"/>
      <c r="S685" s="322"/>
      <c r="T685" s="322"/>
      <c r="U685" s="322"/>
      <c r="V685" s="322"/>
      <c r="W685" s="322"/>
      <c r="X685" s="322"/>
      <c r="Y685" s="322"/>
      <c r="Z685" s="322"/>
      <c r="AA685" s="322"/>
      <c r="AB685" s="322"/>
    </row>
    <row r="686" ht="15.75" customHeight="1">
      <c r="A686" s="322"/>
      <c r="B686" s="322"/>
      <c r="C686" s="322"/>
      <c r="D686" s="322"/>
      <c r="E686" s="330"/>
      <c r="F686" s="322"/>
      <c r="G686" s="322"/>
      <c r="H686" s="322"/>
      <c r="I686" s="322"/>
      <c r="J686" s="322"/>
      <c r="K686" s="322"/>
      <c r="L686" s="322"/>
      <c r="M686" s="322"/>
      <c r="N686" s="322"/>
      <c r="O686" s="322"/>
      <c r="P686" s="322"/>
      <c r="Q686" s="322"/>
      <c r="R686" s="322"/>
      <c r="S686" s="322"/>
      <c r="T686" s="322"/>
      <c r="U686" s="322"/>
      <c r="V686" s="322"/>
      <c r="W686" s="322"/>
      <c r="X686" s="322"/>
      <c r="Y686" s="322"/>
      <c r="Z686" s="322"/>
      <c r="AA686" s="322"/>
      <c r="AB686" s="322"/>
    </row>
    <row r="687" ht="15.75" customHeight="1">
      <c r="A687" s="322"/>
      <c r="B687" s="322"/>
      <c r="C687" s="322"/>
      <c r="D687" s="322"/>
      <c r="E687" s="330"/>
      <c r="F687" s="322"/>
      <c r="G687" s="322"/>
      <c r="H687" s="322"/>
      <c r="I687" s="322"/>
      <c r="J687" s="322"/>
      <c r="K687" s="322"/>
      <c r="L687" s="322"/>
      <c r="M687" s="322"/>
      <c r="N687" s="322"/>
      <c r="O687" s="322"/>
      <c r="P687" s="322"/>
      <c r="Q687" s="322"/>
      <c r="R687" s="322"/>
      <c r="S687" s="322"/>
      <c r="T687" s="322"/>
      <c r="U687" s="322"/>
      <c r="V687" s="322"/>
      <c r="W687" s="322"/>
      <c r="X687" s="322"/>
      <c r="Y687" s="322"/>
      <c r="Z687" s="322"/>
      <c r="AA687" s="322"/>
      <c r="AB687" s="322"/>
    </row>
    <row r="688" ht="15.75" customHeight="1">
      <c r="A688" s="322"/>
      <c r="B688" s="322"/>
      <c r="C688" s="322"/>
      <c r="D688" s="322"/>
      <c r="E688" s="330"/>
      <c r="F688" s="322"/>
      <c r="G688" s="322"/>
      <c r="H688" s="322"/>
      <c r="I688" s="322"/>
      <c r="J688" s="322"/>
      <c r="K688" s="322"/>
      <c r="L688" s="322"/>
      <c r="M688" s="322"/>
      <c r="N688" s="322"/>
      <c r="O688" s="322"/>
      <c r="P688" s="322"/>
      <c r="Q688" s="322"/>
      <c r="R688" s="322"/>
      <c r="S688" s="322"/>
      <c r="T688" s="322"/>
      <c r="U688" s="322"/>
      <c r="V688" s="322"/>
      <c r="W688" s="322"/>
      <c r="X688" s="322"/>
      <c r="Y688" s="322"/>
      <c r="Z688" s="322"/>
      <c r="AA688" s="322"/>
      <c r="AB688" s="322"/>
    </row>
    <row r="689" ht="15.75" customHeight="1">
      <c r="A689" s="322"/>
      <c r="B689" s="322"/>
      <c r="C689" s="322"/>
      <c r="D689" s="322"/>
      <c r="E689" s="330"/>
      <c r="F689" s="322"/>
      <c r="G689" s="322"/>
      <c r="H689" s="322"/>
      <c r="I689" s="322"/>
      <c r="J689" s="322"/>
      <c r="K689" s="322"/>
      <c r="L689" s="322"/>
      <c r="M689" s="322"/>
      <c r="N689" s="322"/>
      <c r="O689" s="322"/>
      <c r="P689" s="322"/>
      <c r="Q689" s="322"/>
      <c r="R689" s="322"/>
      <c r="S689" s="322"/>
      <c r="T689" s="322"/>
      <c r="U689" s="322"/>
      <c r="V689" s="322"/>
      <c r="W689" s="322"/>
      <c r="X689" s="322"/>
      <c r="Y689" s="322"/>
      <c r="Z689" s="322"/>
      <c r="AA689" s="322"/>
      <c r="AB689" s="322"/>
    </row>
    <row r="690" ht="15.75" customHeight="1">
      <c r="A690" s="322"/>
      <c r="B690" s="322"/>
      <c r="C690" s="322"/>
      <c r="D690" s="322"/>
      <c r="E690" s="330"/>
      <c r="F690" s="322"/>
      <c r="G690" s="322"/>
      <c r="H690" s="322"/>
      <c r="I690" s="322"/>
      <c r="J690" s="322"/>
      <c r="K690" s="322"/>
      <c r="L690" s="322"/>
      <c r="M690" s="322"/>
      <c r="N690" s="322"/>
      <c r="O690" s="322"/>
      <c r="P690" s="322"/>
      <c r="Q690" s="322"/>
      <c r="R690" s="322"/>
      <c r="S690" s="322"/>
      <c r="T690" s="322"/>
      <c r="U690" s="322"/>
      <c r="V690" s="322"/>
      <c r="W690" s="322"/>
      <c r="X690" s="322"/>
      <c r="Y690" s="322"/>
      <c r="Z690" s="322"/>
      <c r="AA690" s="322"/>
      <c r="AB690" s="322"/>
    </row>
    <row r="691" ht="15.75" customHeight="1">
      <c r="A691" s="322"/>
      <c r="B691" s="322"/>
      <c r="C691" s="322"/>
      <c r="D691" s="322"/>
      <c r="E691" s="330"/>
      <c r="F691" s="322"/>
      <c r="G691" s="322"/>
      <c r="H691" s="322"/>
      <c r="I691" s="322"/>
      <c r="J691" s="322"/>
      <c r="K691" s="322"/>
      <c r="L691" s="322"/>
      <c r="M691" s="322"/>
      <c r="N691" s="322"/>
      <c r="O691" s="322"/>
      <c r="P691" s="322"/>
      <c r="Q691" s="322"/>
      <c r="R691" s="322"/>
      <c r="S691" s="322"/>
      <c r="T691" s="322"/>
      <c r="U691" s="322"/>
      <c r="V691" s="322"/>
      <c r="W691" s="322"/>
      <c r="X691" s="322"/>
      <c r="Y691" s="322"/>
      <c r="Z691" s="322"/>
      <c r="AA691" s="322"/>
      <c r="AB691" s="322"/>
    </row>
    <row r="692" ht="15.75" customHeight="1">
      <c r="A692" s="322"/>
      <c r="B692" s="322"/>
      <c r="C692" s="322"/>
      <c r="D692" s="322"/>
      <c r="E692" s="330"/>
      <c r="F692" s="322"/>
      <c r="G692" s="322"/>
      <c r="H692" s="322"/>
      <c r="I692" s="322"/>
      <c r="J692" s="322"/>
      <c r="K692" s="322"/>
      <c r="L692" s="322"/>
      <c r="M692" s="322"/>
      <c r="N692" s="322"/>
      <c r="O692" s="322"/>
      <c r="P692" s="322"/>
      <c r="Q692" s="322"/>
      <c r="R692" s="322"/>
      <c r="S692" s="322"/>
      <c r="T692" s="322"/>
      <c r="U692" s="322"/>
      <c r="V692" s="322"/>
      <c r="W692" s="322"/>
      <c r="X692" s="322"/>
      <c r="Y692" s="322"/>
      <c r="Z692" s="322"/>
      <c r="AA692" s="322"/>
      <c r="AB692" s="322"/>
    </row>
    <row r="693" ht="15.75" customHeight="1">
      <c r="A693" s="322"/>
      <c r="B693" s="322"/>
      <c r="C693" s="322"/>
      <c r="D693" s="322"/>
      <c r="E693" s="330"/>
      <c r="F693" s="322"/>
      <c r="G693" s="322"/>
      <c r="H693" s="322"/>
      <c r="I693" s="322"/>
      <c r="J693" s="322"/>
      <c r="K693" s="322"/>
      <c r="L693" s="322"/>
      <c r="M693" s="322"/>
      <c r="N693" s="322"/>
      <c r="O693" s="322"/>
      <c r="P693" s="322"/>
      <c r="Q693" s="322"/>
      <c r="R693" s="322"/>
      <c r="S693" s="322"/>
      <c r="T693" s="322"/>
      <c r="U693" s="322"/>
      <c r="V693" s="322"/>
      <c r="W693" s="322"/>
      <c r="X693" s="322"/>
      <c r="Y693" s="322"/>
      <c r="Z693" s="322"/>
      <c r="AA693" s="322"/>
      <c r="AB693" s="322"/>
    </row>
    <row r="694" ht="15.75" customHeight="1">
      <c r="A694" s="322"/>
      <c r="B694" s="322"/>
      <c r="C694" s="322"/>
      <c r="D694" s="322"/>
      <c r="E694" s="330"/>
      <c r="F694" s="322"/>
      <c r="G694" s="322"/>
      <c r="H694" s="322"/>
      <c r="I694" s="322"/>
      <c r="J694" s="322"/>
      <c r="K694" s="322"/>
      <c r="L694" s="322"/>
      <c r="M694" s="322"/>
      <c r="N694" s="322"/>
      <c r="O694" s="322"/>
      <c r="P694" s="322"/>
      <c r="Q694" s="322"/>
      <c r="R694" s="322"/>
      <c r="S694" s="322"/>
      <c r="T694" s="322"/>
      <c r="U694" s="322"/>
      <c r="V694" s="322"/>
      <c r="W694" s="322"/>
      <c r="X694" s="322"/>
      <c r="Y694" s="322"/>
      <c r="Z694" s="322"/>
      <c r="AA694" s="322"/>
      <c r="AB694" s="322"/>
    </row>
    <row r="695" ht="15.75" customHeight="1">
      <c r="A695" s="322"/>
      <c r="B695" s="322"/>
      <c r="C695" s="322"/>
      <c r="D695" s="322"/>
      <c r="E695" s="330"/>
      <c r="F695" s="322"/>
      <c r="G695" s="322"/>
      <c r="H695" s="322"/>
      <c r="I695" s="322"/>
      <c r="J695" s="322"/>
      <c r="K695" s="322"/>
      <c r="L695" s="322"/>
      <c r="M695" s="322"/>
      <c r="N695" s="322"/>
      <c r="O695" s="322"/>
      <c r="P695" s="322"/>
      <c r="Q695" s="322"/>
      <c r="R695" s="322"/>
      <c r="S695" s="322"/>
      <c r="T695" s="322"/>
      <c r="U695" s="322"/>
      <c r="V695" s="322"/>
      <c r="W695" s="322"/>
      <c r="X695" s="322"/>
      <c r="Y695" s="322"/>
      <c r="Z695" s="322"/>
      <c r="AA695" s="322"/>
      <c r="AB695" s="322"/>
    </row>
    <row r="696" ht="15.75" customHeight="1">
      <c r="A696" s="322"/>
      <c r="B696" s="322"/>
      <c r="C696" s="322"/>
      <c r="D696" s="322"/>
      <c r="E696" s="330"/>
      <c r="F696" s="322"/>
      <c r="G696" s="322"/>
      <c r="H696" s="322"/>
      <c r="I696" s="322"/>
      <c r="J696" s="322"/>
      <c r="K696" s="322"/>
      <c r="L696" s="322"/>
      <c r="M696" s="322"/>
      <c r="N696" s="322"/>
      <c r="O696" s="322"/>
      <c r="P696" s="322"/>
      <c r="Q696" s="322"/>
      <c r="R696" s="322"/>
      <c r="S696" s="322"/>
      <c r="T696" s="322"/>
      <c r="U696" s="322"/>
      <c r="V696" s="322"/>
      <c r="W696" s="322"/>
      <c r="X696" s="322"/>
      <c r="Y696" s="322"/>
      <c r="Z696" s="322"/>
      <c r="AA696" s="322"/>
      <c r="AB696" s="322"/>
    </row>
    <row r="697" ht="15.75" customHeight="1">
      <c r="A697" s="322"/>
      <c r="B697" s="322"/>
      <c r="C697" s="322"/>
      <c r="D697" s="322"/>
      <c r="E697" s="330"/>
      <c r="F697" s="322"/>
      <c r="G697" s="322"/>
      <c r="H697" s="322"/>
      <c r="I697" s="322"/>
      <c r="J697" s="322"/>
      <c r="K697" s="322"/>
      <c r="L697" s="322"/>
      <c r="M697" s="322"/>
      <c r="N697" s="322"/>
      <c r="O697" s="322"/>
      <c r="P697" s="322"/>
      <c r="Q697" s="322"/>
      <c r="R697" s="322"/>
      <c r="S697" s="322"/>
      <c r="T697" s="322"/>
      <c r="U697" s="322"/>
      <c r="V697" s="322"/>
      <c r="W697" s="322"/>
      <c r="X697" s="322"/>
      <c r="Y697" s="322"/>
      <c r="Z697" s="322"/>
      <c r="AA697" s="322"/>
      <c r="AB697" s="322"/>
    </row>
    <row r="698" ht="15.75" customHeight="1">
      <c r="A698" s="322"/>
      <c r="B698" s="322"/>
      <c r="C698" s="322"/>
      <c r="D698" s="322"/>
      <c r="E698" s="330"/>
      <c r="F698" s="322"/>
      <c r="G698" s="322"/>
      <c r="H698" s="322"/>
      <c r="I698" s="322"/>
      <c r="J698" s="322"/>
      <c r="K698" s="322"/>
      <c r="L698" s="322"/>
      <c r="M698" s="322"/>
      <c r="N698" s="322"/>
      <c r="O698" s="322"/>
      <c r="P698" s="322"/>
      <c r="Q698" s="322"/>
      <c r="R698" s="322"/>
      <c r="S698" s="322"/>
      <c r="T698" s="322"/>
      <c r="U698" s="322"/>
      <c r="V698" s="322"/>
      <c r="W698" s="322"/>
      <c r="X698" s="322"/>
      <c r="Y698" s="322"/>
      <c r="Z698" s="322"/>
      <c r="AA698" s="322"/>
      <c r="AB698" s="322"/>
    </row>
    <row r="699" ht="15.75" customHeight="1">
      <c r="A699" s="322"/>
      <c r="B699" s="322"/>
      <c r="C699" s="322"/>
      <c r="D699" s="322"/>
      <c r="E699" s="330"/>
      <c r="F699" s="322"/>
      <c r="G699" s="322"/>
      <c r="H699" s="322"/>
      <c r="I699" s="322"/>
      <c r="J699" s="322"/>
      <c r="K699" s="322"/>
      <c r="L699" s="322"/>
      <c r="M699" s="322"/>
      <c r="N699" s="322"/>
      <c r="O699" s="322"/>
      <c r="P699" s="322"/>
      <c r="Q699" s="322"/>
      <c r="R699" s="322"/>
      <c r="S699" s="322"/>
      <c r="T699" s="322"/>
      <c r="U699" s="322"/>
      <c r="V699" s="322"/>
      <c r="W699" s="322"/>
      <c r="X699" s="322"/>
      <c r="Y699" s="322"/>
      <c r="Z699" s="322"/>
      <c r="AA699" s="322"/>
      <c r="AB699" s="322"/>
    </row>
    <row r="700" ht="15.75" customHeight="1">
      <c r="A700" s="322"/>
      <c r="B700" s="322"/>
      <c r="C700" s="322"/>
      <c r="D700" s="322"/>
      <c r="E700" s="330"/>
      <c r="F700" s="322"/>
      <c r="G700" s="322"/>
      <c r="H700" s="322"/>
      <c r="I700" s="322"/>
      <c r="J700" s="322"/>
      <c r="K700" s="322"/>
      <c r="L700" s="322"/>
      <c r="M700" s="322"/>
      <c r="N700" s="322"/>
      <c r="O700" s="322"/>
      <c r="P700" s="322"/>
      <c r="Q700" s="322"/>
      <c r="R700" s="322"/>
      <c r="S700" s="322"/>
      <c r="T700" s="322"/>
      <c r="U700" s="322"/>
      <c r="V700" s="322"/>
      <c r="W700" s="322"/>
      <c r="X700" s="322"/>
      <c r="Y700" s="322"/>
      <c r="Z700" s="322"/>
      <c r="AA700" s="322"/>
      <c r="AB700" s="322"/>
    </row>
    <row r="701" ht="15.75" customHeight="1">
      <c r="A701" s="322"/>
      <c r="B701" s="322"/>
      <c r="C701" s="322"/>
      <c r="D701" s="322"/>
      <c r="E701" s="330"/>
      <c r="F701" s="322"/>
      <c r="G701" s="322"/>
      <c r="H701" s="322"/>
      <c r="I701" s="322"/>
      <c r="J701" s="322"/>
      <c r="K701" s="322"/>
      <c r="L701" s="322"/>
      <c r="M701" s="322"/>
      <c r="N701" s="322"/>
      <c r="O701" s="322"/>
      <c r="P701" s="322"/>
      <c r="Q701" s="322"/>
      <c r="R701" s="322"/>
      <c r="S701" s="322"/>
      <c r="T701" s="322"/>
      <c r="U701" s="322"/>
      <c r="V701" s="322"/>
      <c r="W701" s="322"/>
      <c r="X701" s="322"/>
      <c r="Y701" s="322"/>
      <c r="Z701" s="322"/>
      <c r="AA701" s="322"/>
      <c r="AB701" s="322"/>
    </row>
    <row r="702" ht="15.75" customHeight="1">
      <c r="A702" s="322"/>
      <c r="B702" s="322"/>
      <c r="C702" s="322"/>
      <c r="D702" s="322"/>
      <c r="E702" s="330"/>
      <c r="F702" s="322"/>
      <c r="G702" s="322"/>
      <c r="H702" s="322"/>
      <c r="I702" s="322"/>
      <c r="J702" s="322"/>
      <c r="K702" s="322"/>
      <c r="L702" s="322"/>
      <c r="M702" s="322"/>
      <c r="N702" s="322"/>
      <c r="O702" s="322"/>
      <c r="P702" s="322"/>
      <c r="Q702" s="322"/>
      <c r="R702" s="322"/>
      <c r="S702" s="322"/>
      <c r="T702" s="322"/>
      <c r="U702" s="322"/>
      <c r="V702" s="322"/>
      <c r="W702" s="322"/>
      <c r="X702" s="322"/>
      <c r="Y702" s="322"/>
      <c r="Z702" s="322"/>
      <c r="AA702" s="322"/>
      <c r="AB702" s="322"/>
    </row>
    <row r="703" ht="15.75" customHeight="1">
      <c r="A703" s="322"/>
      <c r="B703" s="322"/>
      <c r="C703" s="322"/>
      <c r="D703" s="322"/>
      <c r="E703" s="330"/>
      <c r="F703" s="322"/>
      <c r="G703" s="322"/>
      <c r="H703" s="322"/>
      <c r="I703" s="322"/>
      <c r="J703" s="322"/>
      <c r="K703" s="322"/>
      <c r="L703" s="322"/>
      <c r="M703" s="322"/>
      <c r="N703" s="322"/>
      <c r="O703" s="322"/>
      <c r="P703" s="322"/>
      <c r="Q703" s="322"/>
      <c r="R703" s="322"/>
      <c r="S703" s="322"/>
      <c r="T703" s="322"/>
      <c r="U703" s="322"/>
      <c r="V703" s="322"/>
      <c r="W703" s="322"/>
      <c r="X703" s="322"/>
      <c r="Y703" s="322"/>
      <c r="Z703" s="322"/>
      <c r="AA703" s="322"/>
      <c r="AB703" s="322"/>
    </row>
    <row r="704" ht="15.75" customHeight="1">
      <c r="A704" s="322"/>
      <c r="B704" s="322"/>
      <c r="C704" s="322"/>
      <c r="D704" s="322"/>
      <c r="E704" s="330"/>
      <c r="F704" s="322"/>
      <c r="G704" s="322"/>
      <c r="H704" s="322"/>
      <c r="I704" s="322"/>
      <c r="J704" s="322"/>
      <c r="K704" s="322"/>
      <c r="L704" s="322"/>
      <c r="M704" s="322"/>
      <c r="N704" s="322"/>
      <c r="O704" s="322"/>
      <c r="P704" s="322"/>
      <c r="Q704" s="322"/>
      <c r="R704" s="322"/>
      <c r="S704" s="322"/>
      <c r="T704" s="322"/>
      <c r="U704" s="322"/>
      <c r="V704" s="322"/>
      <c r="W704" s="322"/>
      <c r="X704" s="322"/>
      <c r="Y704" s="322"/>
      <c r="Z704" s="322"/>
      <c r="AA704" s="322"/>
      <c r="AB704" s="322"/>
    </row>
    <row r="705" ht="15.75" customHeight="1">
      <c r="A705" s="322"/>
      <c r="B705" s="322"/>
      <c r="C705" s="322"/>
      <c r="D705" s="322"/>
      <c r="E705" s="330"/>
      <c r="F705" s="322"/>
      <c r="G705" s="322"/>
      <c r="H705" s="322"/>
      <c r="I705" s="322"/>
      <c r="J705" s="322"/>
      <c r="K705" s="322"/>
      <c r="L705" s="322"/>
      <c r="M705" s="322"/>
      <c r="N705" s="322"/>
      <c r="O705" s="322"/>
      <c r="P705" s="322"/>
      <c r="Q705" s="322"/>
      <c r="R705" s="322"/>
      <c r="S705" s="322"/>
      <c r="T705" s="322"/>
      <c r="U705" s="322"/>
      <c r="V705" s="322"/>
      <c r="W705" s="322"/>
      <c r="X705" s="322"/>
      <c r="Y705" s="322"/>
      <c r="Z705" s="322"/>
      <c r="AA705" s="322"/>
      <c r="AB705" s="322"/>
    </row>
    <row r="706" ht="15.75" customHeight="1">
      <c r="A706" s="322"/>
      <c r="B706" s="322"/>
      <c r="C706" s="322"/>
      <c r="D706" s="322"/>
      <c r="E706" s="330"/>
      <c r="F706" s="322"/>
      <c r="G706" s="322"/>
      <c r="H706" s="322"/>
      <c r="I706" s="322"/>
      <c r="J706" s="322"/>
      <c r="K706" s="322"/>
      <c r="L706" s="322"/>
      <c r="M706" s="322"/>
      <c r="N706" s="322"/>
      <c r="O706" s="322"/>
      <c r="P706" s="322"/>
      <c r="Q706" s="322"/>
      <c r="R706" s="322"/>
      <c r="S706" s="322"/>
      <c r="T706" s="322"/>
      <c r="U706" s="322"/>
      <c r="V706" s="322"/>
      <c r="W706" s="322"/>
      <c r="X706" s="322"/>
      <c r="Y706" s="322"/>
      <c r="Z706" s="322"/>
      <c r="AA706" s="322"/>
      <c r="AB706" s="322"/>
    </row>
    <row r="707" ht="15.75" customHeight="1">
      <c r="A707" s="322"/>
      <c r="B707" s="322"/>
      <c r="C707" s="322"/>
      <c r="D707" s="322"/>
      <c r="E707" s="330"/>
      <c r="F707" s="322"/>
      <c r="G707" s="322"/>
      <c r="H707" s="322"/>
      <c r="I707" s="322"/>
      <c r="J707" s="322"/>
      <c r="K707" s="322"/>
      <c r="L707" s="322"/>
      <c r="M707" s="322"/>
      <c r="N707" s="322"/>
      <c r="O707" s="322"/>
      <c r="P707" s="322"/>
      <c r="Q707" s="322"/>
      <c r="R707" s="322"/>
      <c r="S707" s="322"/>
      <c r="T707" s="322"/>
      <c r="U707" s="322"/>
      <c r="V707" s="322"/>
      <c r="W707" s="322"/>
      <c r="X707" s="322"/>
      <c r="Y707" s="322"/>
      <c r="Z707" s="322"/>
      <c r="AA707" s="322"/>
      <c r="AB707" s="322"/>
    </row>
    <row r="708" ht="15.75" customHeight="1">
      <c r="A708" s="322"/>
      <c r="B708" s="322"/>
      <c r="C708" s="322"/>
      <c r="D708" s="322"/>
      <c r="E708" s="330"/>
      <c r="F708" s="322"/>
      <c r="G708" s="322"/>
      <c r="H708" s="322"/>
      <c r="I708" s="322"/>
      <c r="J708" s="322"/>
      <c r="K708" s="322"/>
      <c r="L708" s="322"/>
      <c r="M708" s="322"/>
      <c r="N708" s="322"/>
      <c r="O708" s="322"/>
      <c r="P708" s="322"/>
      <c r="Q708" s="322"/>
      <c r="R708" s="322"/>
      <c r="S708" s="322"/>
      <c r="T708" s="322"/>
      <c r="U708" s="322"/>
      <c r="V708" s="322"/>
      <c r="W708" s="322"/>
      <c r="X708" s="322"/>
      <c r="Y708" s="322"/>
      <c r="Z708" s="322"/>
      <c r="AA708" s="322"/>
      <c r="AB708" s="322"/>
    </row>
    <row r="709" ht="15.75" customHeight="1">
      <c r="A709" s="322"/>
      <c r="B709" s="322"/>
      <c r="C709" s="322"/>
      <c r="D709" s="322"/>
      <c r="E709" s="330"/>
      <c r="F709" s="322"/>
      <c r="G709" s="322"/>
      <c r="H709" s="322"/>
      <c r="I709" s="322"/>
      <c r="J709" s="322"/>
      <c r="K709" s="322"/>
      <c r="L709" s="322"/>
      <c r="M709" s="322"/>
      <c r="N709" s="322"/>
      <c r="O709" s="322"/>
      <c r="P709" s="322"/>
      <c r="Q709" s="322"/>
      <c r="R709" s="322"/>
      <c r="S709" s="322"/>
      <c r="T709" s="322"/>
      <c r="U709" s="322"/>
      <c r="V709" s="322"/>
      <c r="W709" s="322"/>
      <c r="X709" s="322"/>
      <c r="Y709" s="322"/>
      <c r="Z709" s="322"/>
      <c r="AA709" s="322"/>
      <c r="AB709" s="322"/>
    </row>
    <row r="710" ht="15.75" customHeight="1">
      <c r="A710" s="322"/>
      <c r="B710" s="322"/>
      <c r="C710" s="322"/>
      <c r="D710" s="322"/>
      <c r="E710" s="330"/>
      <c r="F710" s="322"/>
      <c r="G710" s="322"/>
      <c r="H710" s="322"/>
      <c r="I710" s="322"/>
      <c r="J710" s="322"/>
      <c r="K710" s="322"/>
      <c r="L710" s="322"/>
      <c r="M710" s="322"/>
      <c r="N710" s="322"/>
      <c r="O710" s="322"/>
      <c r="P710" s="322"/>
      <c r="Q710" s="322"/>
      <c r="R710" s="322"/>
      <c r="S710" s="322"/>
      <c r="T710" s="322"/>
      <c r="U710" s="322"/>
      <c r="V710" s="322"/>
      <c r="W710" s="322"/>
      <c r="X710" s="322"/>
      <c r="Y710" s="322"/>
      <c r="Z710" s="322"/>
      <c r="AA710" s="322"/>
      <c r="AB710" s="322"/>
    </row>
    <row r="711" ht="15.75" customHeight="1">
      <c r="A711" s="322"/>
      <c r="B711" s="322"/>
      <c r="C711" s="322"/>
      <c r="D711" s="322"/>
      <c r="E711" s="330"/>
      <c r="F711" s="322"/>
      <c r="G711" s="322"/>
      <c r="H711" s="322"/>
      <c r="I711" s="322"/>
      <c r="J711" s="322"/>
      <c r="K711" s="322"/>
      <c r="L711" s="322"/>
      <c r="M711" s="322"/>
      <c r="N711" s="322"/>
      <c r="O711" s="322"/>
      <c r="P711" s="322"/>
      <c r="Q711" s="322"/>
      <c r="R711" s="322"/>
      <c r="S711" s="322"/>
      <c r="T711" s="322"/>
      <c r="U711" s="322"/>
      <c r="V711" s="322"/>
      <c r="W711" s="322"/>
      <c r="X711" s="322"/>
      <c r="Y711" s="322"/>
      <c r="Z711" s="322"/>
      <c r="AA711" s="322"/>
      <c r="AB711" s="322"/>
    </row>
    <row r="712" ht="15.75" customHeight="1">
      <c r="A712" s="322"/>
      <c r="B712" s="322"/>
      <c r="C712" s="322"/>
      <c r="D712" s="322"/>
      <c r="E712" s="330"/>
      <c r="F712" s="322"/>
      <c r="G712" s="322"/>
      <c r="H712" s="322"/>
      <c r="I712" s="322"/>
      <c r="J712" s="322"/>
      <c r="K712" s="322"/>
      <c r="L712" s="322"/>
      <c r="M712" s="322"/>
      <c r="N712" s="322"/>
      <c r="O712" s="322"/>
      <c r="P712" s="322"/>
      <c r="Q712" s="322"/>
      <c r="R712" s="322"/>
      <c r="S712" s="322"/>
      <c r="T712" s="322"/>
      <c r="U712" s="322"/>
      <c r="V712" s="322"/>
      <c r="W712" s="322"/>
      <c r="X712" s="322"/>
      <c r="Y712" s="322"/>
      <c r="Z712" s="322"/>
      <c r="AA712" s="322"/>
      <c r="AB712" s="322"/>
    </row>
    <row r="713" ht="15.75" customHeight="1">
      <c r="A713" s="322"/>
      <c r="B713" s="322"/>
      <c r="C713" s="322"/>
      <c r="D713" s="322"/>
      <c r="E713" s="330"/>
      <c r="F713" s="322"/>
      <c r="G713" s="322"/>
      <c r="H713" s="322"/>
      <c r="I713" s="322"/>
      <c r="J713" s="322"/>
      <c r="K713" s="322"/>
      <c r="L713" s="322"/>
      <c r="M713" s="322"/>
      <c r="N713" s="322"/>
      <c r="O713" s="322"/>
      <c r="P713" s="322"/>
      <c r="Q713" s="322"/>
      <c r="R713" s="322"/>
      <c r="S713" s="322"/>
      <c r="T713" s="322"/>
      <c r="U713" s="322"/>
      <c r="V713" s="322"/>
      <c r="W713" s="322"/>
      <c r="X713" s="322"/>
      <c r="Y713" s="322"/>
      <c r="Z713" s="322"/>
      <c r="AA713" s="322"/>
      <c r="AB713" s="322"/>
    </row>
    <row r="714" ht="15.75" customHeight="1">
      <c r="A714" s="322"/>
      <c r="B714" s="322"/>
      <c r="C714" s="322"/>
      <c r="D714" s="322"/>
      <c r="E714" s="330"/>
      <c r="F714" s="322"/>
      <c r="G714" s="322"/>
      <c r="H714" s="322"/>
      <c r="I714" s="322"/>
      <c r="J714" s="322"/>
      <c r="K714" s="322"/>
      <c r="L714" s="322"/>
      <c r="M714" s="322"/>
      <c r="N714" s="322"/>
      <c r="O714" s="322"/>
      <c r="P714" s="322"/>
      <c r="Q714" s="322"/>
      <c r="R714" s="322"/>
      <c r="S714" s="322"/>
      <c r="T714" s="322"/>
      <c r="U714" s="322"/>
      <c r="V714" s="322"/>
      <c r="W714" s="322"/>
      <c r="X714" s="322"/>
      <c r="Y714" s="322"/>
      <c r="Z714" s="322"/>
      <c r="AA714" s="322"/>
      <c r="AB714" s="322"/>
    </row>
    <row r="715" ht="15.75" customHeight="1">
      <c r="A715" s="322"/>
      <c r="B715" s="322"/>
      <c r="C715" s="322"/>
      <c r="D715" s="322"/>
      <c r="E715" s="330"/>
      <c r="F715" s="322"/>
      <c r="G715" s="322"/>
      <c r="H715" s="322"/>
      <c r="I715" s="322"/>
      <c r="J715" s="322"/>
      <c r="K715" s="322"/>
      <c r="L715" s="322"/>
      <c r="M715" s="322"/>
      <c r="N715" s="322"/>
      <c r="O715" s="322"/>
      <c r="P715" s="322"/>
      <c r="Q715" s="322"/>
      <c r="R715" s="322"/>
      <c r="S715" s="322"/>
      <c r="T715" s="322"/>
      <c r="U715" s="322"/>
      <c r="V715" s="322"/>
      <c r="W715" s="322"/>
      <c r="X715" s="322"/>
      <c r="Y715" s="322"/>
      <c r="Z715" s="322"/>
      <c r="AA715" s="322"/>
      <c r="AB715" s="322"/>
    </row>
    <row r="716" ht="15.75" customHeight="1">
      <c r="A716" s="322"/>
      <c r="B716" s="322"/>
      <c r="C716" s="322"/>
      <c r="D716" s="322"/>
      <c r="E716" s="330"/>
      <c r="F716" s="322"/>
      <c r="G716" s="322"/>
      <c r="H716" s="322"/>
      <c r="I716" s="322"/>
      <c r="J716" s="322"/>
      <c r="K716" s="322"/>
      <c r="L716" s="322"/>
      <c r="M716" s="322"/>
      <c r="N716" s="322"/>
      <c r="O716" s="322"/>
      <c r="P716" s="322"/>
      <c r="Q716" s="322"/>
      <c r="R716" s="322"/>
      <c r="S716" s="322"/>
      <c r="T716" s="322"/>
      <c r="U716" s="322"/>
      <c r="V716" s="322"/>
      <c r="W716" s="322"/>
      <c r="X716" s="322"/>
      <c r="Y716" s="322"/>
      <c r="Z716" s="322"/>
      <c r="AA716" s="322"/>
      <c r="AB716" s="322"/>
    </row>
    <row r="717" ht="15.75" customHeight="1">
      <c r="A717" s="322"/>
      <c r="B717" s="322"/>
      <c r="C717" s="322"/>
      <c r="D717" s="322"/>
      <c r="E717" s="330"/>
      <c r="F717" s="322"/>
      <c r="G717" s="322"/>
      <c r="H717" s="322"/>
      <c r="I717" s="322"/>
      <c r="J717" s="322"/>
      <c r="K717" s="322"/>
      <c r="L717" s="322"/>
      <c r="M717" s="322"/>
      <c r="N717" s="322"/>
      <c r="O717" s="322"/>
      <c r="P717" s="322"/>
      <c r="Q717" s="322"/>
      <c r="R717" s="322"/>
      <c r="S717" s="322"/>
      <c r="T717" s="322"/>
      <c r="U717" s="322"/>
      <c r="V717" s="322"/>
      <c r="W717" s="322"/>
      <c r="X717" s="322"/>
      <c r="Y717" s="322"/>
      <c r="Z717" s="322"/>
      <c r="AA717" s="322"/>
      <c r="AB717" s="322"/>
    </row>
    <row r="718" ht="15.75" customHeight="1">
      <c r="A718" s="322"/>
      <c r="B718" s="322"/>
      <c r="C718" s="322"/>
      <c r="D718" s="322"/>
      <c r="E718" s="330"/>
      <c r="F718" s="322"/>
      <c r="G718" s="322"/>
      <c r="H718" s="322"/>
      <c r="I718" s="322"/>
      <c r="J718" s="322"/>
      <c r="K718" s="322"/>
      <c r="L718" s="322"/>
      <c r="M718" s="322"/>
      <c r="N718" s="322"/>
      <c r="O718" s="322"/>
      <c r="P718" s="322"/>
      <c r="Q718" s="322"/>
      <c r="R718" s="322"/>
      <c r="S718" s="322"/>
      <c r="T718" s="322"/>
      <c r="U718" s="322"/>
      <c r="V718" s="322"/>
      <c r="W718" s="322"/>
      <c r="X718" s="322"/>
      <c r="Y718" s="322"/>
      <c r="Z718" s="322"/>
      <c r="AA718" s="322"/>
      <c r="AB718" s="322"/>
    </row>
    <row r="719" ht="15.75" customHeight="1">
      <c r="A719" s="322"/>
      <c r="B719" s="322"/>
      <c r="C719" s="322"/>
      <c r="D719" s="322"/>
      <c r="E719" s="330"/>
      <c r="F719" s="322"/>
      <c r="G719" s="322"/>
      <c r="H719" s="322"/>
      <c r="I719" s="322"/>
      <c r="J719" s="322"/>
      <c r="K719" s="322"/>
      <c r="L719" s="322"/>
      <c r="M719" s="322"/>
      <c r="N719" s="322"/>
      <c r="O719" s="322"/>
      <c r="P719" s="322"/>
      <c r="Q719" s="322"/>
      <c r="R719" s="322"/>
      <c r="S719" s="322"/>
      <c r="T719" s="322"/>
      <c r="U719" s="322"/>
      <c r="V719" s="322"/>
      <c r="W719" s="322"/>
      <c r="X719" s="322"/>
      <c r="Y719" s="322"/>
      <c r="Z719" s="322"/>
      <c r="AA719" s="322"/>
      <c r="AB719" s="322"/>
    </row>
    <row r="720" ht="15.75" customHeight="1">
      <c r="A720" s="322"/>
      <c r="B720" s="322"/>
      <c r="C720" s="322"/>
      <c r="D720" s="322"/>
      <c r="E720" s="330"/>
      <c r="F720" s="322"/>
      <c r="G720" s="322"/>
      <c r="H720" s="322"/>
      <c r="I720" s="322"/>
      <c r="J720" s="322"/>
      <c r="K720" s="322"/>
      <c r="L720" s="322"/>
      <c r="M720" s="322"/>
      <c r="N720" s="322"/>
      <c r="O720" s="322"/>
      <c r="P720" s="322"/>
      <c r="Q720" s="322"/>
      <c r="R720" s="322"/>
      <c r="S720" s="322"/>
      <c r="T720" s="322"/>
      <c r="U720" s="322"/>
      <c r="V720" s="322"/>
      <c r="W720" s="322"/>
      <c r="X720" s="322"/>
      <c r="Y720" s="322"/>
      <c r="Z720" s="322"/>
      <c r="AA720" s="322"/>
      <c r="AB720" s="322"/>
    </row>
    <row r="721" ht="15.75" customHeight="1">
      <c r="A721" s="322"/>
      <c r="B721" s="322"/>
      <c r="C721" s="322"/>
      <c r="D721" s="322"/>
      <c r="E721" s="330"/>
      <c r="F721" s="322"/>
      <c r="G721" s="322"/>
      <c r="H721" s="322"/>
      <c r="I721" s="322"/>
      <c r="J721" s="322"/>
      <c r="K721" s="322"/>
      <c r="L721" s="322"/>
      <c r="M721" s="322"/>
      <c r="N721" s="322"/>
      <c r="O721" s="322"/>
      <c r="P721" s="322"/>
      <c r="Q721" s="322"/>
      <c r="R721" s="322"/>
      <c r="S721" s="322"/>
      <c r="T721" s="322"/>
      <c r="U721" s="322"/>
      <c r="V721" s="322"/>
      <c r="W721" s="322"/>
      <c r="X721" s="322"/>
      <c r="Y721" s="322"/>
      <c r="Z721" s="322"/>
      <c r="AA721" s="322"/>
      <c r="AB721" s="322"/>
    </row>
    <row r="722" ht="15.75" customHeight="1">
      <c r="A722" s="322"/>
      <c r="B722" s="322"/>
      <c r="C722" s="322"/>
      <c r="D722" s="322"/>
      <c r="E722" s="330"/>
      <c r="F722" s="322"/>
      <c r="G722" s="322"/>
      <c r="H722" s="322"/>
      <c r="I722" s="322"/>
      <c r="J722" s="322"/>
      <c r="K722" s="322"/>
      <c r="L722" s="322"/>
      <c r="M722" s="322"/>
      <c r="N722" s="322"/>
      <c r="O722" s="322"/>
      <c r="P722" s="322"/>
      <c r="Q722" s="322"/>
      <c r="R722" s="322"/>
      <c r="S722" s="322"/>
      <c r="T722" s="322"/>
      <c r="U722" s="322"/>
      <c r="V722" s="322"/>
      <c r="W722" s="322"/>
      <c r="X722" s="322"/>
      <c r="Y722" s="322"/>
      <c r="Z722" s="322"/>
      <c r="AA722" s="322"/>
      <c r="AB722" s="322"/>
    </row>
    <row r="723" ht="15.75" customHeight="1">
      <c r="A723" s="322"/>
      <c r="B723" s="322"/>
      <c r="C723" s="322"/>
      <c r="D723" s="322"/>
      <c r="E723" s="330"/>
      <c r="F723" s="322"/>
      <c r="G723" s="322"/>
      <c r="H723" s="322"/>
      <c r="I723" s="322"/>
      <c r="J723" s="322"/>
      <c r="K723" s="322"/>
      <c r="L723" s="322"/>
      <c r="M723" s="322"/>
      <c r="N723" s="322"/>
      <c r="O723" s="322"/>
      <c r="P723" s="322"/>
      <c r="Q723" s="322"/>
      <c r="R723" s="322"/>
      <c r="S723" s="322"/>
      <c r="T723" s="322"/>
      <c r="U723" s="322"/>
      <c r="V723" s="322"/>
      <c r="W723" s="322"/>
      <c r="X723" s="322"/>
      <c r="Y723" s="322"/>
      <c r="Z723" s="322"/>
      <c r="AA723" s="322"/>
      <c r="AB723" s="322"/>
    </row>
    <row r="724" ht="15.75" customHeight="1">
      <c r="A724" s="322"/>
      <c r="B724" s="322"/>
      <c r="C724" s="322"/>
      <c r="D724" s="322"/>
      <c r="E724" s="330"/>
      <c r="F724" s="322"/>
      <c r="G724" s="322"/>
      <c r="H724" s="322"/>
      <c r="I724" s="322"/>
      <c r="J724" s="322"/>
      <c r="K724" s="322"/>
      <c r="L724" s="322"/>
      <c r="M724" s="322"/>
      <c r="N724" s="322"/>
      <c r="O724" s="322"/>
      <c r="P724" s="322"/>
      <c r="Q724" s="322"/>
      <c r="R724" s="322"/>
      <c r="S724" s="322"/>
      <c r="T724" s="322"/>
      <c r="U724" s="322"/>
      <c r="V724" s="322"/>
      <c r="W724" s="322"/>
      <c r="X724" s="322"/>
      <c r="Y724" s="322"/>
      <c r="Z724" s="322"/>
      <c r="AA724" s="322"/>
      <c r="AB724" s="322"/>
    </row>
    <row r="725" ht="15.75" customHeight="1">
      <c r="A725" s="322"/>
      <c r="B725" s="322"/>
      <c r="C725" s="322"/>
      <c r="D725" s="322"/>
      <c r="E725" s="330"/>
      <c r="F725" s="322"/>
      <c r="G725" s="322"/>
      <c r="H725" s="322"/>
      <c r="I725" s="322"/>
      <c r="J725" s="322"/>
      <c r="K725" s="322"/>
      <c r="L725" s="322"/>
      <c r="M725" s="322"/>
      <c r="N725" s="322"/>
      <c r="O725" s="322"/>
      <c r="P725" s="322"/>
      <c r="Q725" s="322"/>
      <c r="R725" s="322"/>
      <c r="S725" s="322"/>
      <c r="T725" s="322"/>
      <c r="U725" s="322"/>
      <c r="V725" s="322"/>
      <c r="W725" s="322"/>
      <c r="X725" s="322"/>
      <c r="Y725" s="322"/>
      <c r="Z725" s="322"/>
      <c r="AA725" s="322"/>
      <c r="AB725" s="322"/>
    </row>
    <row r="726" ht="15.75" customHeight="1">
      <c r="A726" s="322"/>
      <c r="B726" s="322"/>
      <c r="C726" s="322"/>
      <c r="D726" s="322"/>
      <c r="E726" s="330"/>
      <c r="F726" s="322"/>
      <c r="G726" s="322"/>
      <c r="H726" s="322"/>
      <c r="I726" s="322"/>
      <c r="J726" s="322"/>
      <c r="K726" s="322"/>
      <c r="L726" s="322"/>
      <c r="M726" s="322"/>
      <c r="N726" s="322"/>
      <c r="O726" s="322"/>
      <c r="P726" s="322"/>
      <c r="Q726" s="322"/>
      <c r="R726" s="322"/>
      <c r="S726" s="322"/>
      <c r="T726" s="322"/>
      <c r="U726" s="322"/>
      <c r="V726" s="322"/>
      <c r="W726" s="322"/>
      <c r="X726" s="322"/>
      <c r="Y726" s="322"/>
      <c r="Z726" s="322"/>
      <c r="AA726" s="322"/>
      <c r="AB726" s="322"/>
    </row>
    <row r="727" ht="15.75" customHeight="1">
      <c r="A727" s="322"/>
      <c r="B727" s="322"/>
      <c r="C727" s="322"/>
      <c r="D727" s="322"/>
      <c r="E727" s="330"/>
      <c r="F727" s="322"/>
      <c r="G727" s="322"/>
      <c r="H727" s="322"/>
      <c r="I727" s="322"/>
      <c r="J727" s="322"/>
      <c r="K727" s="322"/>
      <c r="L727" s="322"/>
      <c r="M727" s="322"/>
      <c r="N727" s="322"/>
      <c r="O727" s="322"/>
      <c r="P727" s="322"/>
      <c r="Q727" s="322"/>
      <c r="R727" s="322"/>
      <c r="S727" s="322"/>
      <c r="T727" s="322"/>
      <c r="U727" s="322"/>
      <c r="V727" s="322"/>
      <c r="W727" s="322"/>
      <c r="X727" s="322"/>
      <c r="Y727" s="322"/>
      <c r="Z727" s="322"/>
      <c r="AA727" s="322"/>
      <c r="AB727" s="322"/>
    </row>
    <row r="728" ht="15.75" customHeight="1">
      <c r="A728" s="322"/>
      <c r="B728" s="322"/>
      <c r="C728" s="322"/>
      <c r="D728" s="322"/>
      <c r="E728" s="330"/>
      <c r="F728" s="322"/>
      <c r="G728" s="322"/>
      <c r="H728" s="322"/>
      <c r="I728" s="322"/>
      <c r="J728" s="322"/>
      <c r="K728" s="322"/>
      <c r="L728" s="322"/>
      <c r="M728" s="322"/>
      <c r="N728" s="322"/>
      <c r="O728" s="322"/>
      <c r="P728" s="322"/>
      <c r="Q728" s="322"/>
      <c r="R728" s="322"/>
      <c r="S728" s="322"/>
      <c r="T728" s="322"/>
      <c r="U728" s="322"/>
      <c r="V728" s="322"/>
      <c r="W728" s="322"/>
      <c r="X728" s="322"/>
      <c r="Y728" s="322"/>
      <c r="Z728" s="322"/>
      <c r="AA728" s="322"/>
      <c r="AB728" s="322"/>
    </row>
    <row r="729" ht="15.75" customHeight="1">
      <c r="A729" s="322"/>
      <c r="B729" s="322"/>
      <c r="C729" s="322"/>
      <c r="D729" s="322"/>
      <c r="E729" s="330"/>
      <c r="F729" s="322"/>
      <c r="G729" s="322"/>
      <c r="H729" s="322"/>
      <c r="I729" s="322"/>
      <c r="J729" s="322"/>
      <c r="K729" s="322"/>
      <c r="L729" s="322"/>
      <c r="M729" s="322"/>
      <c r="N729" s="322"/>
      <c r="O729" s="322"/>
      <c r="P729" s="322"/>
      <c r="Q729" s="322"/>
      <c r="R729" s="322"/>
      <c r="S729" s="322"/>
      <c r="T729" s="322"/>
      <c r="U729" s="322"/>
      <c r="V729" s="322"/>
      <c r="W729" s="322"/>
      <c r="X729" s="322"/>
      <c r="Y729" s="322"/>
      <c r="Z729" s="322"/>
      <c r="AA729" s="322"/>
      <c r="AB729" s="322"/>
    </row>
    <row r="730" ht="15.75" customHeight="1">
      <c r="A730" s="322"/>
      <c r="B730" s="322"/>
      <c r="C730" s="322"/>
      <c r="D730" s="322"/>
      <c r="E730" s="330"/>
      <c r="F730" s="322"/>
      <c r="G730" s="322"/>
      <c r="H730" s="322"/>
      <c r="I730" s="322"/>
      <c r="J730" s="322"/>
      <c r="K730" s="322"/>
      <c r="L730" s="322"/>
      <c r="M730" s="322"/>
      <c r="N730" s="322"/>
      <c r="O730" s="322"/>
      <c r="P730" s="322"/>
      <c r="Q730" s="322"/>
      <c r="R730" s="322"/>
      <c r="S730" s="322"/>
      <c r="T730" s="322"/>
      <c r="U730" s="322"/>
      <c r="V730" s="322"/>
      <c r="W730" s="322"/>
      <c r="X730" s="322"/>
      <c r="Y730" s="322"/>
      <c r="Z730" s="322"/>
      <c r="AA730" s="322"/>
      <c r="AB730" s="322"/>
    </row>
    <row r="731" ht="15.75" customHeight="1">
      <c r="A731" s="322"/>
      <c r="B731" s="322"/>
      <c r="C731" s="322"/>
      <c r="D731" s="322"/>
      <c r="E731" s="330"/>
      <c r="F731" s="322"/>
      <c r="G731" s="322"/>
      <c r="H731" s="322"/>
      <c r="I731" s="322"/>
      <c r="J731" s="322"/>
      <c r="K731" s="322"/>
      <c r="L731" s="322"/>
      <c r="M731" s="322"/>
      <c r="N731" s="322"/>
      <c r="O731" s="322"/>
      <c r="P731" s="322"/>
      <c r="Q731" s="322"/>
      <c r="R731" s="322"/>
      <c r="S731" s="322"/>
      <c r="T731" s="322"/>
      <c r="U731" s="322"/>
      <c r="V731" s="322"/>
      <c r="W731" s="322"/>
      <c r="X731" s="322"/>
      <c r="Y731" s="322"/>
      <c r="Z731" s="322"/>
      <c r="AA731" s="322"/>
      <c r="AB731" s="322"/>
    </row>
    <row r="732" ht="15.75" customHeight="1">
      <c r="A732" s="322"/>
      <c r="B732" s="322"/>
      <c r="C732" s="322"/>
      <c r="D732" s="322"/>
      <c r="E732" s="330"/>
      <c r="F732" s="322"/>
      <c r="G732" s="322"/>
      <c r="H732" s="322"/>
      <c r="I732" s="322"/>
      <c r="J732" s="322"/>
      <c r="K732" s="322"/>
      <c r="L732" s="322"/>
      <c r="M732" s="322"/>
      <c r="N732" s="322"/>
      <c r="O732" s="322"/>
      <c r="P732" s="322"/>
      <c r="Q732" s="322"/>
      <c r="R732" s="322"/>
      <c r="S732" s="322"/>
      <c r="T732" s="322"/>
      <c r="U732" s="322"/>
      <c r="V732" s="322"/>
      <c r="W732" s="322"/>
      <c r="X732" s="322"/>
      <c r="Y732" s="322"/>
      <c r="Z732" s="322"/>
      <c r="AA732" s="322"/>
      <c r="AB732" s="322"/>
    </row>
    <row r="733" ht="15.75" customHeight="1">
      <c r="A733" s="322"/>
      <c r="B733" s="322"/>
      <c r="C733" s="322"/>
      <c r="D733" s="322"/>
      <c r="E733" s="330"/>
      <c r="F733" s="322"/>
      <c r="G733" s="322"/>
      <c r="H733" s="322"/>
      <c r="I733" s="322"/>
      <c r="J733" s="322"/>
      <c r="K733" s="322"/>
      <c r="L733" s="322"/>
      <c r="M733" s="322"/>
      <c r="N733" s="322"/>
      <c r="O733" s="322"/>
      <c r="P733" s="322"/>
      <c r="Q733" s="322"/>
      <c r="R733" s="322"/>
      <c r="S733" s="322"/>
      <c r="T733" s="322"/>
      <c r="U733" s="322"/>
      <c r="V733" s="322"/>
      <c r="W733" s="322"/>
      <c r="X733" s="322"/>
      <c r="Y733" s="322"/>
      <c r="Z733" s="322"/>
      <c r="AA733" s="322"/>
      <c r="AB733" s="322"/>
    </row>
    <row r="734" ht="15.75" customHeight="1">
      <c r="A734" s="322"/>
      <c r="B734" s="322"/>
      <c r="C734" s="322"/>
      <c r="D734" s="322"/>
      <c r="E734" s="330"/>
      <c r="F734" s="322"/>
      <c r="G734" s="322"/>
      <c r="H734" s="322"/>
      <c r="I734" s="322"/>
      <c r="J734" s="322"/>
      <c r="K734" s="322"/>
      <c r="L734" s="322"/>
      <c r="M734" s="322"/>
      <c r="N734" s="322"/>
      <c r="O734" s="322"/>
      <c r="P734" s="322"/>
      <c r="Q734" s="322"/>
      <c r="R734" s="322"/>
      <c r="S734" s="322"/>
      <c r="T734" s="322"/>
      <c r="U734" s="322"/>
      <c r="V734" s="322"/>
      <c r="W734" s="322"/>
      <c r="X734" s="322"/>
      <c r="Y734" s="322"/>
      <c r="Z734" s="322"/>
      <c r="AA734" s="322"/>
      <c r="AB734" s="322"/>
    </row>
    <row r="735" ht="15.75" customHeight="1">
      <c r="A735" s="322"/>
      <c r="B735" s="322"/>
      <c r="C735" s="322"/>
      <c r="D735" s="322"/>
      <c r="E735" s="330"/>
      <c r="F735" s="322"/>
      <c r="G735" s="322"/>
      <c r="H735" s="322"/>
      <c r="I735" s="322"/>
      <c r="J735" s="322"/>
      <c r="K735" s="322"/>
      <c r="L735" s="322"/>
      <c r="M735" s="322"/>
      <c r="N735" s="322"/>
      <c r="O735" s="322"/>
      <c r="P735" s="322"/>
      <c r="Q735" s="322"/>
      <c r="R735" s="322"/>
      <c r="S735" s="322"/>
      <c r="T735" s="322"/>
      <c r="U735" s="322"/>
      <c r="V735" s="322"/>
      <c r="W735" s="322"/>
      <c r="X735" s="322"/>
      <c r="Y735" s="322"/>
      <c r="Z735" s="322"/>
      <c r="AA735" s="322"/>
      <c r="AB735" s="322"/>
    </row>
    <row r="736" ht="15.75" customHeight="1">
      <c r="A736" s="322"/>
      <c r="B736" s="322"/>
      <c r="C736" s="322"/>
      <c r="D736" s="322"/>
      <c r="E736" s="330"/>
      <c r="F736" s="322"/>
      <c r="G736" s="322"/>
      <c r="H736" s="322"/>
      <c r="I736" s="322"/>
      <c r="J736" s="322"/>
      <c r="K736" s="322"/>
      <c r="L736" s="322"/>
      <c r="M736" s="322"/>
      <c r="N736" s="322"/>
      <c r="O736" s="322"/>
      <c r="P736" s="322"/>
      <c r="Q736" s="322"/>
      <c r="R736" s="322"/>
      <c r="S736" s="322"/>
      <c r="T736" s="322"/>
      <c r="U736" s="322"/>
      <c r="V736" s="322"/>
      <c r="W736" s="322"/>
      <c r="X736" s="322"/>
      <c r="Y736" s="322"/>
      <c r="Z736" s="322"/>
      <c r="AA736" s="322"/>
      <c r="AB736" s="322"/>
    </row>
    <row r="737" ht="15.75" customHeight="1">
      <c r="A737" s="322"/>
      <c r="B737" s="322"/>
      <c r="C737" s="322"/>
      <c r="D737" s="322"/>
      <c r="E737" s="330"/>
      <c r="F737" s="322"/>
      <c r="G737" s="322"/>
      <c r="H737" s="322"/>
      <c r="I737" s="322"/>
      <c r="J737" s="322"/>
      <c r="K737" s="322"/>
      <c r="L737" s="322"/>
      <c r="M737" s="322"/>
      <c r="N737" s="322"/>
      <c r="O737" s="322"/>
      <c r="P737" s="322"/>
      <c r="Q737" s="322"/>
      <c r="R737" s="322"/>
      <c r="S737" s="322"/>
      <c r="T737" s="322"/>
      <c r="U737" s="322"/>
      <c r="V737" s="322"/>
      <c r="W737" s="322"/>
      <c r="X737" s="322"/>
      <c r="Y737" s="322"/>
      <c r="Z737" s="322"/>
      <c r="AA737" s="322"/>
      <c r="AB737" s="322"/>
    </row>
    <row r="738" ht="15.75" customHeight="1">
      <c r="A738" s="322"/>
      <c r="B738" s="322"/>
      <c r="C738" s="322"/>
      <c r="D738" s="322"/>
      <c r="E738" s="330"/>
      <c r="F738" s="322"/>
      <c r="G738" s="322"/>
      <c r="H738" s="322"/>
      <c r="I738" s="322"/>
      <c r="J738" s="322"/>
      <c r="K738" s="322"/>
      <c r="L738" s="322"/>
      <c r="M738" s="322"/>
      <c r="N738" s="322"/>
      <c r="O738" s="322"/>
      <c r="P738" s="322"/>
      <c r="Q738" s="322"/>
      <c r="R738" s="322"/>
      <c r="S738" s="322"/>
      <c r="T738" s="322"/>
      <c r="U738" s="322"/>
      <c r="V738" s="322"/>
      <c r="W738" s="322"/>
      <c r="X738" s="322"/>
      <c r="Y738" s="322"/>
      <c r="Z738" s="322"/>
      <c r="AA738" s="322"/>
      <c r="AB738" s="322"/>
    </row>
    <row r="739" ht="15.75" customHeight="1">
      <c r="A739" s="322"/>
      <c r="B739" s="322"/>
      <c r="C739" s="322"/>
      <c r="D739" s="322"/>
      <c r="E739" s="330"/>
      <c r="F739" s="322"/>
      <c r="G739" s="322"/>
      <c r="H739" s="322"/>
      <c r="I739" s="322"/>
      <c r="J739" s="322"/>
      <c r="K739" s="322"/>
      <c r="L739" s="322"/>
      <c r="M739" s="322"/>
      <c r="N739" s="322"/>
      <c r="O739" s="322"/>
      <c r="P739" s="322"/>
      <c r="Q739" s="322"/>
      <c r="R739" s="322"/>
      <c r="S739" s="322"/>
      <c r="T739" s="322"/>
      <c r="U739" s="322"/>
      <c r="V739" s="322"/>
      <c r="W739" s="322"/>
      <c r="X739" s="322"/>
      <c r="Y739" s="322"/>
      <c r="Z739" s="322"/>
      <c r="AA739" s="322"/>
      <c r="AB739" s="322"/>
    </row>
    <row r="740" ht="15.75" customHeight="1">
      <c r="A740" s="322"/>
      <c r="B740" s="322"/>
      <c r="C740" s="322"/>
      <c r="D740" s="322"/>
      <c r="E740" s="330"/>
      <c r="F740" s="322"/>
      <c r="G740" s="322"/>
      <c r="H740" s="322"/>
      <c r="I740" s="322"/>
      <c r="J740" s="322"/>
      <c r="K740" s="322"/>
      <c r="L740" s="322"/>
      <c r="M740" s="322"/>
      <c r="N740" s="322"/>
      <c r="O740" s="322"/>
      <c r="P740" s="322"/>
      <c r="Q740" s="322"/>
      <c r="R740" s="322"/>
      <c r="S740" s="322"/>
      <c r="T740" s="322"/>
      <c r="U740" s="322"/>
      <c r="V740" s="322"/>
      <c r="W740" s="322"/>
      <c r="X740" s="322"/>
      <c r="Y740" s="322"/>
      <c r="Z740" s="322"/>
      <c r="AA740" s="322"/>
      <c r="AB740" s="322"/>
    </row>
    <row r="741" ht="15.75" customHeight="1">
      <c r="A741" s="322"/>
      <c r="B741" s="322"/>
      <c r="C741" s="322"/>
      <c r="D741" s="322"/>
      <c r="E741" s="330"/>
      <c r="F741" s="322"/>
      <c r="G741" s="322"/>
      <c r="H741" s="322"/>
      <c r="I741" s="322"/>
      <c r="J741" s="322"/>
      <c r="K741" s="322"/>
      <c r="L741" s="322"/>
      <c r="M741" s="322"/>
      <c r="N741" s="322"/>
      <c r="O741" s="322"/>
      <c r="P741" s="322"/>
      <c r="Q741" s="322"/>
      <c r="R741" s="322"/>
      <c r="S741" s="322"/>
      <c r="T741" s="322"/>
      <c r="U741" s="322"/>
      <c r="V741" s="322"/>
      <c r="W741" s="322"/>
      <c r="X741" s="322"/>
      <c r="Y741" s="322"/>
      <c r="Z741" s="322"/>
      <c r="AA741" s="322"/>
      <c r="AB741" s="322"/>
    </row>
    <row r="742" ht="15.75" customHeight="1">
      <c r="A742" s="322"/>
      <c r="B742" s="322"/>
      <c r="C742" s="322"/>
      <c r="D742" s="322"/>
      <c r="E742" s="330"/>
      <c r="F742" s="322"/>
      <c r="G742" s="322"/>
      <c r="H742" s="322"/>
      <c r="I742" s="322"/>
      <c r="J742" s="322"/>
      <c r="K742" s="322"/>
      <c r="L742" s="322"/>
      <c r="M742" s="322"/>
      <c r="N742" s="322"/>
      <c r="O742" s="322"/>
      <c r="P742" s="322"/>
      <c r="Q742" s="322"/>
      <c r="R742" s="322"/>
      <c r="S742" s="322"/>
      <c r="T742" s="322"/>
      <c r="U742" s="322"/>
      <c r="V742" s="322"/>
      <c r="W742" s="322"/>
      <c r="X742" s="322"/>
      <c r="Y742" s="322"/>
      <c r="Z742" s="322"/>
      <c r="AA742" s="322"/>
      <c r="AB742" s="322"/>
    </row>
    <row r="743" ht="15.75" customHeight="1">
      <c r="A743" s="322"/>
      <c r="B743" s="322"/>
      <c r="C743" s="322"/>
      <c r="D743" s="322"/>
      <c r="E743" s="330"/>
      <c r="F743" s="322"/>
      <c r="G743" s="322"/>
      <c r="H743" s="322"/>
      <c r="I743" s="322"/>
      <c r="J743" s="322"/>
      <c r="K743" s="322"/>
      <c r="L743" s="322"/>
      <c r="M743" s="322"/>
      <c r="N743" s="322"/>
      <c r="O743" s="322"/>
      <c r="P743" s="322"/>
      <c r="Q743" s="322"/>
      <c r="R743" s="322"/>
      <c r="S743" s="322"/>
      <c r="T743" s="322"/>
      <c r="U743" s="322"/>
      <c r="V743" s="322"/>
      <c r="W743" s="322"/>
      <c r="X743" s="322"/>
      <c r="Y743" s="322"/>
      <c r="Z743" s="322"/>
      <c r="AA743" s="322"/>
      <c r="AB743" s="322"/>
    </row>
    <row r="744" ht="15.75" customHeight="1">
      <c r="A744" s="322"/>
      <c r="B744" s="322"/>
      <c r="C744" s="322"/>
      <c r="D744" s="322"/>
      <c r="E744" s="330"/>
      <c r="F744" s="322"/>
      <c r="G744" s="322"/>
      <c r="H744" s="322"/>
      <c r="I744" s="322"/>
      <c r="J744" s="322"/>
      <c r="K744" s="322"/>
      <c r="L744" s="322"/>
      <c r="M744" s="322"/>
      <c r="N744" s="322"/>
      <c r="O744" s="322"/>
      <c r="P744" s="322"/>
      <c r="Q744" s="322"/>
      <c r="R744" s="322"/>
      <c r="S744" s="322"/>
      <c r="T744" s="322"/>
      <c r="U744" s="322"/>
      <c r="V744" s="322"/>
      <c r="W744" s="322"/>
      <c r="X744" s="322"/>
      <c r="Y744" s="322"/>
      <c r="Z744" s="322"/>
      <c r="AA744" s="322"/>
      <c r="AB744" s="322"/>
    </row>
    <row r="745" ht="15.75" customHeight="1">
      <c r="A745" s="322"/>
      <c r="B745" s="322"/>
      <c r="C745" s="322"/>
      <c r="D745" s="322"/>
      <c r="E745" s="330"/>
      <c r="F745" s="322"/>
      <c r="G745" s="322"/>
      <c r="H745" s="322"/>
      <c r="I745" s="322"/>
      <c r="J745" s="322"/>
      <c r="K745" s="322"/>
      <c r="L745" s="322"/>
      <c r="M745" s="322"/>
      <c r="N745" s="322"/>
      <c r="O745" s="322"/>
      <c r="P745" s="322"/>
      <c r="Q745" s="322"/>
      <c r="R745" s="322"/>
      <c r="S745" s="322"/>
      <c r="T745" s="322"/>
      <c r="U745" s="322"/>
      <c r="V745" s="322"/>
      <c r="W745" s="322"/>
      <c r="X745" s="322"/>
      <c r="Y745" s="322"/>
      <c r="Z745" s="322"/>
      <c r="AA745" s="322"/>
      <c r="AB745" s="322"/>
    </row>
    <row r="746" ht="15.75" customHeight="1">
      <c r="A746" s="322"/>
      <c r="B746" s="322"/>
      <c r="C746" s="322"/>
      <c r="D746" s="322"/>
      <c r="E746" s="330"/>
      <c r="F746" s="322"/>
      <c r="G746" s="322"/>
      <c r="H746" s="322"/>
      <c r="I746" s="322"/>
      <c r="J746" s="322"/>
      <c r="K746" s="322"/>
      <c r="L746" s="322"/>
      <c r="M746" s="322"/>
      <c r="N746" s="322"/>
      <c r="O746" s="322"/>
      <c r="P746" s="322"/>
      <c r="Q746" s="322"/>
      <c r="R746" s="322"/>
      <c r="S746" s="322"/>
      <c r="T746" s="322"/>
      <c r="U746" s="322"/>
      <c r="V746" s="322"/>
      <c r="W746" s="322"/>
      <c r="X746" s="322"/>
      <c r="Y746" s="322"/>
      <c r="Z746" s="322"/>
      <c r="AA746" s="322"/>
      <c r="AB746" s="322"/>
    </row>
    <row r="747" ht="15.75" customHeight="1">
      <c r="A747" s="322"/>
      <c r="B747" s="322"/>
      <c r="C747" s="322"/>
      <c r="D747" s="322"/>
      <c r="E747" s="330"/>
      <c r="F747" s="322"/>
      <c r="G747" s="322"/>
      <c r="H747" s="322"/>
      <c r="I747" s="322"/>
      <c r="J747" s="322"/>
      <c r="K747" s="322"/>
      <c r="L747" s="322"/>
      <c r="M747" s="322"/>
      <c r="N747" s="322"/>
      <c r="O747" s="322"/>
      <c r="P747" s="322"/>
      <c r="Q747" s="322"/>
      <c r="R747" s="322"/>
      <c r="S747" s="322"/>
      <c r="T747" s="322"/>
      <c r="U747" s="322"/>
      <c r="V747" s="322"/>
      <c r="W747" s="322"/>
      <c r="X747" s="322"/>
      <c r="Y747" s="322"/>
      <c r="Z747" s="322"/>
      <c r="AA747" s="322"/>
      <c r="AB747" s="322"/>
    </row>
    <row r="748" ht="15.75" customHeight="1">
      <c r="A748" s="322"/>
      <c r="B748" s="322"/>
      <c r="C748" s="322"/>
      <c r="D748" s="322"/>
      <c r="E748" s="330"/>
      <c r="F748" s="322"/>
      <c r="G748" s="322"/>
      <c r="H748" s="322"/>
      <c r="I748" s="322"/>
      <c r="J748" s="322"/>
      <c r="K748" s="322"/>
      <c r="L748" s="322"/>
      <c r="M748" s="322"/>
      <c r="N748" s="322"/>
      <c r="O748" s="322"/>
      <c r="P748" s="322"/>
      <c r="Q748" s="322"/>
      <c r="R748" s="322"/>
      <c r="S748" s="322"/>
      <c r="T748" s="322"/>
      <c r="U748" s="322"/>
      <c r="V748" s="322"/>
      <c r="W748" s="322"/>
      <c r="X748" s="322"/>
      <c r="Y748" s="322"/>
      <c r="Z748" s="322"/>
      <c r="AA748" s="322"/>
      <c r="AB748" s="322"/>
    </row>
    <row r="749" ht="15.75" customHeight="1">
      <c r="A749" s="322"/>
      <c r="B749" s="322"/>
      <c r="C749" s="322"/>
      <c r="D749" s="322"/>
      <c r="E749" s="330"/>
      <c r="F749" s="322"/>
      <c r="G749" s="322"/>
      <c r="H749" s="322"/>
      <c r="I749" s="322"/>
      <c r="J749" s="322"/>
      <c r="K749" s="322"/>
      <c r="L749" s="322"/>
      <c r="M749" s="322"/>
      <c r="N749" s="322"/>
      <c r="O749" s="322"/>
      <c r="P749" s="322"/>
      <c r="Q749" s="322"/>
      <c r="R749" s="322"/>
      <c r="S749" s="322"/>
      <c r="T749" s="322"/>
      <c r="U749" s="322"/>
      <c r="V749" s="322"/>
      <c r="W749" s="322"/>
      <c r="X749" s="322"/>
      <c r="Y749" s="322"/>
      <c r="Z749" s="322"/>
      <c r="AA749" s="322"/>
      <c r="AB749" s="322"/>
    </row>
    <row r="750" ht="15.75" customHeight="1">
      <c r="A750" s="322"/>
      <c r="B750" s="322"/>
      <c r="C750" s="322"/>
      <c r="D750" s="322"/>
      <c r="E750" s="330"/>
      <c r="F750" s="322"/>
      <c r="G750" s="322"/>
      <c r="H750" s="322"/>
      <c r="I750" s="322"/>
      <c r="J750" s="322"/>
      <c r="K750" s="322"/>
      <c r="L750" s="322"/>
      <c r="M750" s="322"/>
      <c r="N750" s="322"/>
      <c r="O750" s="322"/>
      <c r="P750" s="322"/>
      <c r="Q750" s="322"/>
      <c r="R750" s="322"/>
      <c r="S750" s="322"/>
      <c r="T750" s="322"/>
      <c r="U750" s="322"/>
      <c r="V750" s="322"/>
      <c r="W750" s="322"/>
      <c r="X750" s="322"/>
      <c r="Y750" s="322"/>
      <c r="Z750" s="322"/>
      <c r="AA750" s="322"/>
      <c r="AB750" s="322"/>
    </row>
    <row r="751" ht="15.75" customHeight="1">
      <c r="A751" s="322"/>
      <c r="B751" s="322"/>
      <c r="C751" s="322"/>
      <c r="D751" s="322"/>
      <c r="E751" s="330"/>
      <c r="F751" s="322"/>
      <c r="G751" s="322"/>
      <c r="H751" s="322"/>
      <c r="I751" s="322"/>
      <c r="J751" s="322"/>
      <c r="K751" s="322"/>
      <c r="L751" s="322"/>
      <c r="M751" s="322"/>
      <c r="N751" s="322"/>
      <c r="O751" s="322"/>
      <c r="P751" s="322"/>
      <c r="Q751" s="322"/>
      <c r="R751" s="322"/>
      <c r="S751" s="322"/>
      <c r="T751" s="322"/>
      <c r="U751" s="322"/>
      <c r="V751" s="322"/>
      <c r="W751" s="322"/>
      <c r="X751" s="322"/>
      <c r="Y751" s="322"/>
      <c r="Z751" s="322"/>
      <c r="AA751" s="322"/>
      <c r="AB751" s="322"/>
    </row>
    <row r="752" ht="15.75" customHeight="1">
      <c r="A752" s="322"/>
      <c r="B752" s="322"/>
      <c r="C752" s="322"/>
      <c r="D752" s="322"/>
      <c r="E752" s="330"/>
      <c r="F752" s="322"/>
      <c r="G752" s="322"/>
      <c r="H752" s="322"/>
      <c r="I752" s="322"/>
      <c r="J752" s="322"/>
      <c r="K752" s="322"/>
      <c r="L752" s="322"/>
      <c r="M752" s="322"/>
      <c r="N752" s="322"/>
      <c r="O752" s="322"/>
      <c r="P752" s="322"/>
      <c r="Q752" s="322"/>
      <c r="R752" s="322"/>
      <c r="S752" s="322"/>
      <c r="T752" s="322"/>
      <c r="U752" s="322"/>
      <c r="V752" s="322"/>
      <c r="W752" s="322"/>
      <c r="X752" s="322"/>
      <c r="Y752" s="322"/>
      <c r="Z752" s="322"/>
      <c r="AA752" s="322"/>
      <c r="AB752" s="322"/>
    </row>
    <row r="753" ht="15.75" customHeight="1">
      <c r="A753" s="322"/>
      <c r="B753" s="322"/>
      <c r="C753" s="322"/>
      <c r="D753" s="322"/>
      <c r="E753" s="330"/>
      <c r="F753" s="322"/>
      <c r="G753" s="322"/>
      <c r="H753" s="322"/>
      <c r="I753" s="322"/>
      <c r="J753" s="322"/>
      <c r="K753" s="322"/>
      <c r="L753" s="322"/>
      <c r="M753" s="322"/>
      <c r="N753" s="322"/>
      <c r="O753" s="322"/>
      <c r="P753" s="322"/>
      <c r="Q753" s="322"/>
      <c r="R753" s="322"/>
      <c r="S753" s="322"/>
      <c r="T753" s="322"/>
      <c r="U753" s="322"/>
      <c r="V753" s="322"/>
      <c r="W753" s="322"/>
      <c r="X753" s="322"/>
      <c r="Y753" s="322"/>
      <c r="Z753" s="322"/>
      <c r="AA753" s="322"/>
      <c r="AB753" s="322"/>
    </row>
    <row r="754" ht="15.75" customHeight="1">
      <c r="A754" s="322"/>
      <c r="B754" s="322"/>
      <c r="C754" s="322"/>
      <c r="D754" s="322"/>
      <c r="E754" s="330"/>
      <c r="F754" s="322"/>
      <c r="G754" s="322"/>
      <c r="H754" s="322"/>
      <c r="I754" s="322"/>
      <c r="J754" s="322"/>
      <c r="K754" s="322"/>
      <c r="L754" s="322"/>
      <c r="M754" s="322"/>
      <c r="N754" s="322"/>
      <c r="O754" s="322"/>
      <c r="P754" s="322"/>
      <c r="Q754" s="322"/>
      <c r="R754" s="322"/>
      <c r="S754" s="322"/>
      <c r="T754" s="322"/>
      <c r="U754" s="322"/>
      <c r="V754" s="322"/>
      <c r="W754" s="322"/>
      <c r="X754" s="322"/>
      <c r="Y754" s="322"/>
      <c r="Z754" s="322"/>
      <c r="AA754" s="322"/>
      <c r="AB754" s="322"/>
    </row>
    <row r="755" ht="15.75" customHeight="1">
      <c r="A755" s="322"/>
      <c r="B755" s="322"/>
      <c r="C755" s="322"/>
      <c r="D755" s="322"/>
      <c r="E755" s="330"/>
      <c r="F755" s="322"/>
      <c r="G755" s="322"/>
      <c r="H755" s="322"/>
      <c r="I755" s="322"/>
      <c r="J755" s="322"/>
      <c r="K755" s="322"/>
      <c r="L755" s="322"/>
      <c r="M755" s="322"/>
      <c r="N755" s="322"/>
      <c r="O755" s="322"/>
      <c r="P755" s="322"/>
      <c r="Q755" s="322"/>
      <c r="R755" s="322"/>
      <c r="S755" s="322"/>
      <c r="T755" s="322"/>
      <c r="U755" s="322"/>
      <c r="V755" s="322"/>
      <c r="W755" s="322"/>
      <c r="X755" s="322"/>
      <c r="Y755" s="322"/>
      <c r="Z755" s="322"/>
      <c r="AA755" s="322"/>
      <c r="AB755" s="322"/>
    </row>
    <row r="756" ht="15.75" customHeight="1">
      <c r="A756" s="322"/>
      <c r="B756" s="322"/>
      <c r="C756" s="322"/>
      <c r="D756" s="322"/>
      <c r="E756" s="330"/>
      <c r="F756" s="322"/>
      <c r="G756" s="322"/>
      <c r="H756" s="322"/>
      <c r="I756" s="322"/>
      <c r="J756" s="322"/>
      <c r="K756" s="322"/>
      <c r="L756" s="322"/>
      <c r="M756" s="322"/>
      <c r="N756" s="322"/>
      <c r="O756" s="322"/>
      <c r="P756" s="322"/>
      <c r="Q756" s="322"/>
      <c r="R756" s="322"/>
      <c r="S756" s="322"/>
      <c r="T756" s="322"/>
      <c r="U756" s="322"/>
      <c r="V756" s="322"/>
      <c r="W756" s="322"/>
      <c r="X756" s="322"/>
      <c r="Y756" s="322"/>
      <c r="Z756" s="322"/>
      <c r="AA756" s="322"/>
      <c r="AB756" s="322"/>
    </row>
    <row r="757" ht="15.75" customHeight="1">
      <c r="A757" s="322"/>
      <c r="B757" s="322"/>
      <c r="C757" s="322"/>
      <c r="D757" s="322"/>
      <c r="E757" s="330"/>
      <c r="F757" s="322"/>
      <c r="G757" s="322"/>
      <c r="H757" s="322"/>
      <c r="I757" s="322"/>
      <c r="J757" s="322"/>
      <c r="K757" s="322"/>
      <c r="L757" s="322"/>
      <c r="M757" s="322"/>
      <c r="N757" s="322"/>
      <c r="O757" s="322"/>
      <c r="P757" s="322"/>
      <c r="Q757" s="322"/>
      <c r="R757" s="322"/>
      <c r="S757" s="322"/>
      <c r="T757" s="322"/>
      <c r="U757" s="322"/>
      <c r="V757" s="322"/>
      <c r="W757" s="322"/>
      <c r="X757" s="322"/>
      <c r="Y757" s="322"/>
      <c r="Z757" s="322"/>
      <c r="AA757" s="322"/>
      <c r="AB757" s="322"/>
    </row>
    <row r="758" ht="15.75" customHeight="1">
      <c r="A758" s="322"/>
      <c r="B758" s="322"/>
      <c r="C758" s="322"/>
      <c r="D758" s="322"/>
      <c r="E758" s="330"/>
      <c r="F758" s="322"/>
      <c r="G758" s="322"/>
      <c r="H758" s="322"/>
      <c r="I758" s="322"/>
      <c r="J758" s="322"/>
      <c r="K758" s="322"/>
      <c r="L758" s="322"/>
      <c r="M758" s="322"/>
      <c r="N758" s="322"/>
      <c r="O758" s="322"/>
      <c r="P758" s="322"/>
      <c r="Q758" s="322"/>
      <c r="R758" s="322"/>
      <c r="S758" s="322"/>
      <c r="T758" s="322"/>
      <c r="U758" s="322"/>
      <c r="V758" s="322"/>
      <c r="W758" s="322"/>
      <c r="X758" s="322"/>
      <c r="Y758" s="322"/>
      <c r="Z758" s="322"/>
      <c r="AA758" s="322"/>
      <c r="AB758" s="322"/>
    </row>
    <row r="759" ht="15.75" customHeight="1">
      <c r="A759" s="322"/>
      <c r="B759" s="322"/>
      <c r="C759" s="322"/>
      <c r="D759" s="322"/>
      <c r="E759" s="330"/>
      <c r="F759" s="322"/>
      <c r="G759" s="322"/>
      <c r="H759" s="322"/>
      <c r="I759" s="322"/>
      <c r="J759" s="322"/>
      <c r="K759" s="322"/>
      <c r="L759" s="322"/>
      <c r="M759" s="322"/>
      <c r="N759" s="322"/>
      <c r="O759" s="322"/>
      <c r="P759" s="322"/>
      <c r="Q759" s="322"/>
      <c r="R759" s="322"/>
      <c r="S759" s="322"/>
      <c r="T759" s="322"/>
      <c r="U759" s="322"/>
      <c r="V759" s="322"/>
      <c r="W759" s="322"/>
      <c r="X759" s="322"/>
      <c r="Y759" s="322"/>
      <c r="Z759" s="322"/>
      <c r="AA759" s="322"/>
      <c r="AB759" s="322"/>
    </row>
    <row r="760" ht="15.75" customHeight="1">
      <c r="A760" s="322"/>
      <c r="B760" s="322"/>
      <c r="C760" s="322"/>
      <c r="D760" s="322"/>
      <c r="E760" s="330"/>
      <c r="F760" s="322"/>
      <c r="G760" s="322"/>
      <c r="H760" s="322"/>
      <c r="I760" s="322"/>
      <c r="J760" s="322"/>
      <c r="K760" s="322"/>
      <c r="L760" s="322"/>
      <c r="M760" s="322"/>
      <c r="N760" s="322"/>
      <c r="O760" s="322"/>
      <c r="P760" s="322"/>
      <c r="Q760" s="322"/>
      <c r="R760" s="322"/>
      <c r="S760" s="322"/>
      <c r="T760" s="322"/>
      <c r="U760" s="322"/>
      <c r="V760" s="322"/>
      <c r="W760" s="322"/>
      <c r="X760" s="322"/>
      <c r="Y760" s="322"/>
      <c r="Z760" s="322"/>
      <c r="AA760" s="322"/>
      <c r="AB760" s="322"/>
    </row>
    <row r="761" ht="15.75" customHeight="1">
      <c r="A761" s="322"/>
      <c r="B761" s="322"/>
      <c r="C761" s="322"/>
      <c r="D761" s="322"/>
      <c r="E761" s="330"/>
      <c r="F761" s="322"/>
      <c r="G761" s="322"/>
      <c r="H761" s="322"/>
      <c r="I761" s="322"/>
      <c r="J761" s="322"/>
      <c r="K761" s="322"/>
      <c r="L761" s="322"/>
      <c r="M761" s="322"/>
      <c r="N761" s="322"/>
      <c r="O761" s="322"/>
      <c r="P761" s="322"/>
      <c r="Q761" s="322"/>
      <c r="R761" s="322"/>
      <c r="S761" s="322"/>
      <c r="T761" s="322"/>
      <c r="U761" s="322"/>
      <c r="V761" s="322"/>
      <c r="W761" s="322"/>
      <c r="X761" s="322"/>
      <c r="Y761" s="322"/>
      <c r="Z761" s="322"/>
      <c r="AA761" s="322"/>
      <c r="AB761" s="322"/>
    </row>
    <row r="762" ht="15.75" customHeight="1">
      <c r="A762" s="322"/>
      <c r="B762" s="322"/>
      <c r="C762" s="322"/>
      <c r="D762" s="322"/>
      <c r="E762" s="330"/>
      <c r="F762" s="322"/>
      <c r="G762" s="322"/>
      <c r="H762" s="322"/>
      <c r="I762" s="322"/>
      <c r="J762" s="322"/>
      <c r="K762" s="322"/>
      <c r="L762" s="322"/>
      <c r="M762" s="322"/>
      <c r="N762" s="322"/>
      <c r="O762" s="322"/>
      <c r="P762" s="322"/>
      <c r="Q762" s="322"/>
      <c r="R762" s="322"/>
      <c r="S762" s="322"/>
      <c r="T762" s="322"/>
      <c r="U762" s="322"/>
      <c r="V762" s="322"/>
      <c r="W762" s="322"/>
      <c r="X762" s="322"/>
      <c r="Y762" s="322"/>
      <c r="Z762" s="322"/>
      <c r="AA762" s="322"/>
      <c r="AB762" s="322"/>
    </row>
    <row r="763" ht="15.75" customHeight="1">
      <c r="A763" s="322"/>
      <c r="B763" s="322"/>
      <c r="C763" s="322"/>
      <c r="D763" s="322"/>
      <c r="E763" s="330"/>
      <c r="F763" s="322"/>
      <c r="G763" s="322"/>
      <c r="H763" s="322"/>
      <c r="I763" s="322"/>
      <c r="J763" s="322"/>
      <c r="K763" s="322"/>
      <c r="L763" s="322"/>
      <c r="M763" s="322"/>
      <c r="N763" s="322"/>
      <c r="O763" s="322"/>
      <c r="P763" s="322"/>
      <c r="Q763" s="322"/>
      <c r="R763" s="322"/>
      <c r="S763" s="322"/>
      <c r="T763" s="322"/>
      <c r="U763" s="322"/>
      <c r="V763" s="322"/>
      <c r="W763" s="322"/>
      <c r="X763" s="322"/>
      <c r="Y763" s="322"/>
      <c r="Z763" s="322"/>
      <c r="AA763" s="322"/>
      <c r="AB763" s="322"/>
    </row>
    <row r="764" ht="15.75" customHeight="1">
      <c r="A764" s="322"/>
      <c r="B764" s="322"/>
      <c r="C764" s="322"/>
      <c r="D764" s="322"/>
      <c r="E764" s="330"/>
      <c r="F764" s="322"/>
      <c r="G764" s="322"/>
      <c r="H764" s="322"/>
      <c r="I764" s="322"/>
      <c r="J764" s="322"/>
      <c r="K764" s="322"/>
      <c r="L764" s="322"/>
      <c r="M764" s="322"/>
      <c r="N764" s="322"/>
      <c r="O764" s="322"/>
      <c r="P764" s="322"/>
      <c r="Q764" s="322"/>
      <c r="R764" s="322"/>
      <c r="S764" s="322"/>
      <c r="T764" s="322"/>
      <c r="U764" s="322"/>
      <c r="V764" s="322"/>
      <c r="W764" s="322"/>
      <c r="X764" s="322"/>
      <c r="Y764" s="322"/>
      <c r="Z764" s="322"/>
      <c r="AA764" s="322"/>
      <c r="AB764" s="322"/>
    </row>
    <row r="765" ht="15.75" customHeight="1">
      <c r="A765" s="322"/>
      <c r="B765" s="322"/>
      <c r="C765" s="322"/>
      <c r="D765" s="322"/>
      <c r="E765" s="330"/>
      <c r="F765" s="322"/>
      <c r="G765" s="322"/>
      <c r="H765" s="322"/>
      <c r="I765" s="322"/>
      <c r="J765" s="322"/>
      <c r="K765" s="322"/>
      <c r="L765" s="322"/>
      <c r="M765" s="322"/>
      <c r="N765" s="322"/>
      <c r="O765" s="322"/>
      <c r="P765" s="322"/>
      <c r="Q765" s="322"/>
      <c r="R765" s="322"/>
      <c r="S765" s="322"/>
      <c r="T765" s="322"/>
      <c r="U765" s="322"/>
      <c r="V765" s="322"/>
      <c r="W765" s="322"/>
      <c r="X765" s="322"/>
      <c r="Y765" s="322"/>
      <c r="Z765" s="322"/>
      <c r="AA765" s="322"/>
      <c r="AB765" s="322"/>
    </row>
    <row r="766" ht="15.75" customHeight="1">
      <c r="A766" s="322"/>
      <c r="B766" s="322"/>
      <c r="C766" s="322"/>
      <c r="D766" s="322"/>
      <c r="E766" s="330"/>
      <c r="F766" s="322"/>
      <c r="G766" s="322"/>
      <c r="H766" s="322"/>
      <c r="I766" s="322"/>
      <c r="J766" s="322"/>
      <c r="K766" s="322"/>
      <c r="L766" s="322"/>
      <c r="M766" s="322"/>
      <c r="N766" s="322"/>
      <c r="O766" s="322"/>
      <c r="P766" s="322"/>
      <c r="Q766" s="322"/>
      <c r="R766" s="322"/>
      <c r="S766" s="322"/>
      <c r="T766" s="322"/>
      <c r="U766" s="322"/>
      <c r="V766" s="322"/>
      <c r="W766" s="322"/>
      <c r="X766" s="322"/>
      <c r="Y766" s="322"/>
      <c r="Z766" s="322"/>
      <c r="AA766" s="322"/>
      <c r="AB766" s="322"/>
    </row>
    <row r="767" ht="15.75" customHeight="1">
      <c r="A767" s="322"/>
      <c r="B767" s="322"/>
      <c r="C767" s="322"/>
      <c r="D767" s="322"/>
      <c r="E767" s="330"/>
      <c r="F767" s="322"/>
      <c r="G767" s="322"/>
      <c r="H767" s="322"/>
      <c r="I767" s="322"/>
      <c r="J767" s="322"/>
      <c r="K767" s="322"/>
      <c r="L767" s="322"/>
      <c r="M767" s="322"/>
      <c r="N767" s="322"/>
      <c r="O767" s="322"/>
      <c r="P767" s="322"/>
      <c r="Q767" s="322"/>
      <c r="R767" s="322"/>
      <c r="S767" s="322"/>
      <c r="T767" s="322"/>
      <c r="U767" s="322"/>
      <c r="V767" s="322"/>
      <c r="W767" s="322"/>
      <c r="X767" s="322"/>
      <c r="Y767" s="322"/>
      <c r="Z767" s="322"/>
      <c r="AA767" s="322"/>
      <c r="AB767" s="322"/>
    </row>
    <row r="768" ht="15.75" customHeight="1">
      <c r="A768" s="322"/>
      <c r="B768" s="322"/>
      <c r="C768" s="322"/>
      <c r="D768" s="322"/>
      <c r="E768" s="330"/>
      <c r="F768" s="322"/>
      <c r="G768" s="322"/>
      <c r="H768" s="322"/>
      <c r="I768" s="322"/>
      <c r="J768" s="322"/>
      <c r="K768" s="322"/>
      <c r="L768" s="322"/>
      <c r="M768" s="322"/>
      <c r="N768" s="322"/>
      <c r="O768" s="322"/>
      <c r="P768" s="322"/>
      <c r="Q768" s="322"/>
      <c r="R768" s="322"/>
      <c r="S768" s="322"/>
      <c r="T768" s="322"/>
      <c r="U768" s="322"/>
      <c r="V768" s="322"/>
      <c r="W768" s="322"/>
      <c r="X768" s="322"/>
      <c r="Y768" s="322"/>
      <c r="Z768" s="322"/>
      <c r="AA768" s="322"/>
      <c r="AB768" s="322"/>
    </row>
    <row r="769" ht="15.75" customHeight="1">
      <c r="A769" s="322"/>
      <c r="B769" s="322"/>
      <c r="C769" s="322"/>
      <c r="D769" s="322"/>
      <c r="E769" s="330"/>
      <c r="F769" s="322"/>
      <c r="G769" s="322"/>
      <c r="H769" s="322"/>
      <c r="I769" s="322"/>
      <c r="J769" s="322"/>
      <c r="K769" s="322"/>
      <c r="L769" s="322"/>
      <c r="M769" s="322"/>
      <c r="N769" s="322"/>
      <c r="O769" s="322"/>
      <c r="P769" s="322"/>
      <c r="Q769" s="322"/>
      <c r="R769" s="322"/>
      <c r="S769" s="322"/>
      <c r="T769" s="322"/>
      <c r="U769" s="322"/>
      <c r="V769" s="322"/>
      <c r="W769" s="322"/>
      <c r="X769" s="322"/>
      <c r="Y769" s="322"/>
      <c r="Z769" s="322"/>
      <c r="AA769" s="322"/>
      <c r="AB769" s="322"/>
    </row>
    <row r="770" ht="15.75" customHeight="1">
      <c r="A770" s="322"/>
      <c r="B770" s="322"/>
      <c r="C770" s="322"/>
      <c r="D770" s="322"/>
      <c r="E770" s="330"/>
      <c r="F770" s="322"/>
      <c r="G770" s="322"/>
      <c r="H770" s="322"/>
      <c r="I770" s="322"/>
      <c r="J770" s="322"/>
      <c r="K770" s="322"/>
      <c r="L770" s="322"/>
      <c r="M770" s="322"/>
      <c r="N770" s="322"/>
      <c r="O770" s="322"/>
      <c r="P770" s="322"/>
      <c r="Q770" s="322"/>
      <c r="R770" s="322"/>
      <c r="S770" s="322"/>
      <c r="T770" s="322"/>
      <c r="U770" s="322"/>
      <c r="V770" s="322"/>
      <c r="W770" s="322"/>
      <c r="X770" s="322"/>
      <c r="Y770" s="322"/>
      <c r="Z770" s="322"/>
      <c r="AA770" s="322"/>
      <c r="AB770" s="322"/>
    </row>
    <row r="771" ht="15.75" customHeight="1">
      <c r="A771" s="322"/>
      <c r="B771" s="322"/>
      <c r="C771" s="322"/>
      <c r="D771" s="322"/>
      <c r="E771" s="330"/>
      <c r="F771" s="322"/>
      <c r="G771" s="322"/>
      <c r="H771" s="322"/>
      <c r="I771" s="322"/>
      <c r="J771" s="322"/>
      <c r="K771" s="322"/>
      <c r="L771" s="322"/>
      <c r="M771" s="322"/>
      <c r="N771" s="322"/>
      <c r="O771" s="322"/>
      <c r="P771" s="322"/>
      <c r="Q771" s="322"/>
      <c r="R771" s="322"/>
      <c r="S771" s="322"/>
      <c r="T771" s="322"/>
      <c r="U771" s="322"/>
      <c r="V771" s="322"/>
      <c r="W771" s="322"/>
      <c r="X771" s="322"/>
      <c r="Y771" s="322"/>
      <c r="Z771" s="322"/>
      <c r="AA771" s="322"/>
      <c r="AB771" s="322"/>
    </row>
    <row r="772" ht="15.75" customHeight="1">
      <c r="A772" s="322"/>
      <c r="B772" s="322"/>
      <c r="C772" s="322"/>
      <c r="D772" s="322"/>
      <c r="E772" s="330"/>
      <c r="F772" s="322"/>
      <c r="G772" s="322"/>
      <c r="H772" s="322"/>
      <c r="I772" s="322"/>
      <c r="J772" s="322"/>
      <c r="K772" s="322"/>
      <c r="L772" s="322"/>
      <c r="M772" s="322"/>
      <c r="N772" s="322"/>
      <c r="O772" s="322"/>
      <c r="P772" s="322"/>
      <c r="Q772" s="322"/>
      <c r="R772" s="322"/>
      <c r="S772" s="322"/>
      <c r="T772" s="322"/>
      <c r="U772" s="322"/>
      <c r="V772" s="322"/>
      <c r="W772" s="322"/>
      <c r="X772" s="322"/>
      <c r="Y772" s="322"/>
      <c r="Z772" s="322"/>
      <c r="AA772" s="322"/>
      <c r="AB772" s="322"/>
    </row>
    <row r="773" ht="15.75" customHeight="1">
      <c r="A773" s="322"/>
      <c r="B773" s="322"/>
      <c r="C773" s="322"/>
      <c r="D773" s="322"/>
      <c r="E773" s="330"/>
      <c r="F773" s="322"/>
      <c r="G773" s="322"/>
      <c r="H773" s="322"/>
      <c r="I773" s="322"/>
      <c r="J773" s="322"/>
      <c r="K773" s="322"/>
      <c r="L773" s="322"/>
      <c r="M773" s="322"/>
      <c r="N773" s="322"/>
      <c r="O773" s="322"/>
      <c r="P773" s="322"/>
      <c r="Q773" s="322"/>
      <c r="R773" s="322"/>
      <c r="S773" s="322"/>
      <c r="T773" s="322"/>
      <c r="U773" s="322"/>
      <c r="V773" s="322"/>
      <c r="W773" s="322"/>
      <c r="X773" s="322"/>
      <c r="Y773" s="322"/>
      <c r="Z773" s="322"/>
      <c r="AA773" s="322"/>
      <c r="AB773" s="322"/>
    </row>
    <row r="774" ht="15.75" customHeight="1">
      <c r="A774" s="322"/>
      <c r="B774" s="322"/>
      <c r="C774" s="322"/>
      <c r="D774" s="322"/>
      <c r="E774" s="330"/>
      <c r="F774" s="322"/>
      <c r="G774" s="322"/>
      <c r="H774" s="322"/>
      <c r="I774" s="322"/>
      <c r="J774" s="322"/>
      <c r="K774" s="322"/>
      <c r="L774" s="322"/>
      <c r="M774" s="322"/>
      <c r="N774" s="322"/>
      <c r="O774" s="322"/>
      <c r="P774" s="322"/>
      <c r="Q774" s="322"/>
      <c r="R774" s="322"/>
      <c r="S774" s="322"/>
      <c r="T774" s="322"/>
      <c r="U774" s="322"/>
      <c r="V774" s="322"/>
      <c r="W774" s="322"/>
      <c r="X774" s="322"/>
      <c r="Y774" s="322"/>
      <c r="Z774" s="322"/>
      <c r="AA774" s="322"/>
      <c r="AB774" s="322"/>
    </row>
    <row r="775" ht="15.75" customHeight="1">
      <c r="A775" s="322"/>
      <c r="B775" s="322"/>
      <c r="C775" s="322"/>
      <c r="D775" s="322"/>
      <c r="E775" s="330"/>
      <c r="F775" s="322"/>
      <c r="G775" s="322"/>
      <c r="H775" s="322"/>
      <c r="I775" s="322"/>
      <c r="J775" s="322"/>
      <c r="K775" s="322"/>
      <c r="L775" s="322"/>
      <c r="M775" s="322"/>
      <c r="N775" s="322"/>
      <c r="O775" s="322"/>
      <c r="P775" s="322"/>
      <c r="Q775" s="322"/>
      <c r="R775" s="322"/>
      <c r="S775" s="322"/>
      <c r="T775" s="322"/>
      <c r="U775" s="322"/>
      <c r="V775" s="322"/>
      <c r="W775" s="322"/>
      <c r="X775" s="322"/>
      <c r="Y775" s="322"/>
      <c r="Z775" s="322"/>
      <c r="AA775" s="322"/>
      <c r="AB775" s="322"/>
    </row>
    <row r="776" ht="15.75" customHeight="1">
      <c r="A776" s="322"/>
      <c r="B776" s="322"/>
      <c r="C776" s="322"/>
      <c r="D776" s="322"/>
      <c r="E776" s="330"/>
      <c r="F776" s="322"/>
      <c r="G776" s="322"/>
      <c r="H776" s="322"/>
      <c r="I776" s="322"/>
      <c r="J776" s="322"/>
      <c r="K776" s="322"/>
      <c r="L776" s="322"/>
      <c r="M776" s="322"/>
      <c r="N776" s="322"/>
      <c r="O776" s="322"/>
      <c r="P776" s="322"/>
      <c r="Q776" s="322"/>
      <c r="R776" s="322"/>
      <c r="S776" s="322"/>
      <c r="T776" s="322"/>
      <c r="U776" s="322"/>
      <c r="V776" s="322"/>
      <c r="W776" s="322"/>
      <c r="X776" s="322"/>
      <c r="Y776" s="322"/>
      <c r="Z776" s="322"/>
      <c r="AA776" s="322"/>
      <c r="AB776" s="322"/>
    </row>
    <row r="777" ht="15.75" customHeight="1">
      <c r="A777" s="322"/>
      <c r="B777" s="322"/>
      <c r="C777" s="322"/>
      <c r="D777" s="322"/>
      <c r="E777" s="330"/>
      <c r="F777" s="322"/>
      <c r="G777" s="322"/>
      <c r="H777" s="322"/>
      <c r="I777" s="322"/>
      <c r="J777" s="322"/>
      <c r="K777" s="322"/>
      <c r="L777" s="322"/>
      <c r="M777" s="322"/>
      <c r="N777" s="322"/>
      <c r="O777" s="322"/>
      <c r="P777" s="322"/>
      <c r="Q777" s="322"/>
      <c r="R777" s="322"/>
      <c r="S777" s="322"/>
      <c r="T777" s="322"/>
      <c r="U777" s="322"/>
      <c r="V777" s="322"/>
      <c r="W777" s="322"/>
      <c r="X777" s="322"/>
      <c r="Y777" s="322"/>
      <c r="Z777" s="322"/>
      <c r="AA777" s="322"/>
      <c r="AB777" s="322"/>
    </row>
    <row r="778" ht="15.75" customHeight="1">
      <c r="A778" s="322"/>
      <c r="B778" s="322"/>
      <c r="C778" s="322"/>
      <c r="D778" s="322"/>
      <c r="E778" s="330"/>
      <c r="F778" s="322"/>
      <c r="G778" s="322"/>
      <c r="H778" s="322"/>
      <c r="I778" s="322"/>
      <c r="J778" s="322"/>
      <c r="K778" s="322"/>
      <c r="L778" s="322"/>
      <c r="M778" s="322"/>
      <c r="N778" s="322"/>
      <c r="O778" s="322"/>
      <c r="P778" s="322"/>
      <c r="Q778" s="322"/>
      <c r="R778" s="322"/>
      <c r="S778" s="322"/>
      <c r="T778" s="322"/>
      <c r="U778" s="322"/>
      <c r="V778" s="322"/>
      <c r="W778" s="322"/>
      <c r="X778" s="322"/>
      <c r="Y778" s="322"/>
      <c r="Z778" s="322"/>
      <c r="AA778" s="322"/>
      <c r="AB778" s="322"/>
    </row>
    <row r="779" ht="15.75" customHeight="1">
      <c r="A779" s="322"/>
      <c r="B779" s="322"/>
      <c r="C779" s="322"/>
      <c r="D779" s="322"/>
      <c r="E779" s="330"/>
      <c r="F779" s="322"/>
      <c r="G779" s="322"/>
      <c r="H779" s="322"/>
      <c r="I779" s="322"/>
      <c r="J779" s="322"/>
      <c r="K779" s="322"/>
      <c r="L779" s="322"/>
      <c r="M779" s="322"/>
      <c r="N779" s="322"/>
      <c r="O779" s="322"/>
      <c r="P779" s="322"/>
      <c r="Q779" s="322"/>
      <c r="R779" s="322"/>
      <c r="S779" s="322"/>
      <c r="T779" s="322"/>
      <c r="U779" s="322"/>
      <c r="V779" s="322"/>
      <c r="W779" s="322"/>
      <c r="X779" s="322"/>
      <c r="Y779" s="322"/>
      <c r="Z779" s="322"/>
      <c r="AA779" s="322"/>
      <c r="AB779" s="322"/>
    </row>
    <row r="780" ht="15.75" customHeight="1">
      <c r="A780" s="322"/>
      <c r="B780" s="322"/>
      <c r="C780" s="322"/>
      <c r="D780" s="322"/>
      <c r="E780" s="330"/>
      <c r="F780" s="322"/>
      <c r="G780" s="322"/>
      <c r="H780" s="322"/>
      <c r="I780" s="322"/>
      <c r="J780" s="322"/>
      <c r="K780" s="322"/>
      <c r="L780" s="322"/>
      <c r="M780" s="322"/>
      <c r="N780" s="322"/>
      <c r="O780" s="322"/>
      <c r="P780" s="322"/>
      <c r="Q780" s="322"/>
      <c r="R780" s="322"/>
      <c r="S780" s="322"/>
      <c r="T780" s="322"/>
      <c r="U780" s="322"/>
      <c r="V780" s="322"/>
      <c r="W780" s="322"/>
      <c r="X780" s="322"/>
      <c r="Y780" s="322"/>
      <c r="Z780" s="322"/>
      <c r="AA780" s="322"/>
      <c r="AB780" s="322"/>
    </row>
    <row r="781" ht="15.75" customHeight="1">
      <c r="A781" s="322"/>
      <c r="B781" s="322"/>
      <c r="C781" s="322"/>
      <c r="D781" s="322"/>
      <c r="E781" s="330"/>
      <c r="F781" s="322"/>
      <c r="G781" s="322"/>
      <c r="H781" s="322"/>
      <c r="I781" s="322"/>
      <c r="J781" s="322"/>
      <c r="K781" s="322"/>
      <c r="L781" s="322"/>
      <c r="M781" s="322"/>
      <c r="N781" s="322"/>
      <c r="O781" s="322"/>
      <c r="P781" s="322"/>
      <c r="Q781" s="322"/>
      <c r="R781" s="322"/>
      <c r="S781" s="322"/>
      <c r="T781" s="322"/>
      <c r="U781" s="322"/>
      <c r="V781" s="322"/>
      <c r="W781" s="322"/>
      <c r="X781" s="322"/>
      <c r="Y781" s="322"/>
      <c r="Z781" s="322"/>
      <c r="AA781" s="322"/>
      <c r="AB781" s="322"/>
    </row>
    <row r="782" ht="15.75" customHeight="1">
      <c r="A782" s="322"/>
      <c r="B782" s="322"/>
      <c r="C782" s="322"/>
      <c r="D782" s="322"/>
      <c r="E782" s="330"/>
      <c r="F782" s="322"/>
      <c r="G782" s="322"/>
      <c r="H782" s="322"/>
      <c r="I782" s="322"/>
      <c r="J782" s="322"/>
      <c r="K782" s="322"/>
      <c r="L782" s="322"/>
      <c r="M782" s="322"/>
      <c r="N782" s="322"/>
      <c r="O782" s="322"/>
      <c r="P782" s="322"/>
      <c r="Q782" s="322"/>
      <c r="R782" s="322"/>
      <c r="S782" s="322"/>
      <c r="T782" s="322"/>
      <c r="U782" s="322"/>
      <c r="V782" s="322"/>
      <c r="W782" s="322"/>
      <c r="X782" s="322"/>
      <c r="Y782" s="322"/>
      <c r="Z782" s="322"/>
      <c r="AA782" s="322"/>
      <c r="AB782" s="322"/>
    </row>
    <row r="783" ht="15.75" customHeight="1">
      <c r="A783" s="322"/>
      <c r="B783" s="322"/>
      <c r="C783" s="322"/>
      <c r="D783" s="322"/>
      <c r="E783" s="330"/>
      <c r="F783" s="322"/>
      <c r="G783" s="322"/>
      <c r="H783" s="322"/>
      <c r="I783" s="322"/>
      <c r="J783" s="322"/>
      <c r="K783" s="322"/>
      <c r="L783" s="322"/>
      <c r="M783" s="322"/>
      <c r="N783" s="322"/>
      <c r="O783" s="322"/>
      <c r="P783" s="322"/>
      <c r="Q783" s="322"/>
      <c r="R783" s="322"/>
      <c r="S783" s="322"/>
      <c r="T783" s="322"/>
      <c r="U783" s="322"/>
      <c r="V783" s="322"/>
      <c r="W783" s="322"/>
      <c r="X783" s="322"/>
      <c r="Y783" s="322"/>
      <c r="Z783" s="322"/>
      <c r="AA783" s="322"/>
      <c r="AB783" s="322"/>
    </row>
    <row r="784" ht="15.75" customHeight="1">
      <c r="A784" s="322"/>
      <c r="B784" s="322"/>
      <c r="C784" s="322"/>
      <c r="D784" s="322"/>
      <c r="E784" s="330"/>
      <c r="F784" s="322"/>
      <c r="G784" s="322"/>
      <c r="H784" s="322"/>
      <c r="I784" s="322"/>
      <c r="J784" s="322"/>
      <c r="K784" s="322"/>
      <c r="L784" s="322"/>
      <c r="M784" s="322"/>
      <c r="N784" s="322"/>
      <c r="O784" s="322"/>
      <c r="P784" s="322"/>
      <c r="Q784" s="322"/>
      <c r="R784" s="322"/>
      <c r="S784" s="322"/>
      <c r="T784" s="322"/>
      <c r="U784" s="322"/>
      <c r="V784" s="322"/>
      <c r="W784" s="322"/>
      <c r="X784" s="322"/>
      <c r="Y784" s="322"/>
      <c r="Z784" s="322"/>
      <c r="AA784" s="322"/>
      <c r="AB784" s="322"/>
    </row>
    <row r="785" ht="15.75" customHeight="1">
      <c r="A785" s="322"/>
      <c r="B785" s="322"/>
      <c r="C785" s="322"/>
      <c r="D785" s="322"/>
      <c r="E785" s="330"/>
      <c r="F785" s="322"/>
      <c r="G785" s="322"/>
      <c r="H785" s="322"/>
      <c r="I785" s="322"/>
      <c r="J785" s="322"/>
      <c r="K785" s="322"/>
      <c r="L785" s="322"/>
      <c r="M785" s="322"/>
      <c r="N785" s="322"/>
      <c r="O785" s="322"/>
      <c r="P785" s="322"/>
      <c r="Q785" s="322"/>
      <c r="R785" s="322"/>
      <c r="S785" s="322"/>
      <c r="T785" s="322"/>
      <c r="U785" s="322"/>
      <c r="V785" s="322"/>
      <c r="W785" s="322"/>
      <c r="X785" s="322"/>
      <c r="Y785" s="322"/>
      <c r="Z785" s="322"/>
      <c r="AA785" s="322"/>
      <c r="AB785" s="322"/>
    </row>
    <row r="786" ht="15.75" customHeight="1">
      <c r="A786" s="322"/>
      <c r="B786" s="322"/>
      <c r="C786" s="322"/>
      <c r="D786" s="322"/>
      <c r="E786" s="330"/>
      <c r="F786" s="322"/>
      <c r="G786" s="322"/>
      <c r="H786" s="322"/>
      <c r="I786" s="322"/>
      <c r="J786" s="322"/>
      <c r="K786" s="322"/>
      <c r="L786" s="322"/>
      <c r="M786" s="322"/>
      <c r="N786" s="322"/>
      <c r="O786" s="322"/>
      <c r="P786" s="322"/>
      <c r="Q786" s="322"/>
      <c r="R786" s="322"/>
      <c r="S786" s="322"/>
      <c r="T786" s="322"/>
      <c r="U786" s="322"/>
      <c r="V786" s="322"/>
      <c r="W786" s="322"/>
      <c r="X786" s="322"/>
      <c r="Y786" s="322"/>
      <c r="Z786" s="322"/>
      <c r="AA786" s="322"/>
      <c r="AB786" s="322"/>
    </row>
    <row r="787" ht="15.75" customHeight="1">
      <c r="A787" s="322"/>
      <c r="B787" s="322"/>
      <c r="C787" s="322"/>
      <c r="D787" s="322"/>
      <c r="E787" s="330"/>
      <c r="F787" s="322"/>
      <c r="G787" s="322"/>
      <c r="H787" s="322"/>
      <c r="I787" s="322"/>
      <c r="J787" s="322"/>
      <c r="K787" s="322"/>
      <c r="L787" s="322"/>
      <c r="M787" s="322"/>
      <c r="N787" s="322"/>
      <c r="O787" s="322"/>
      <c r="P787" s="322"/>
      <c r="Q787" s="322"/>
      <c r="R787" s="322"/>
      <c r="S787" s="322"/>
      <c r="T787" s="322"/>
      <c r="U787" s="322"/>
      <c r="V787" s="322"/>
      <c r="W787" s="322"/>
      <c r="X787" s="322"/>
      <c r="Y787" s="322"/>
      <c r="Z787" s="322"/>
      <c r="AA787" s="322"/>
      <c r="AB787" s="322"/>
    </row>
    <row r="788" ht="15.75" customHeight="1">
      <c r="A788" s="322"/>
      <c r="B788" s="322"/>
      <c r="C788" s="322"/>
      <c r="D788" s="322"/>
      <c r="E788" s="330"/>
      <c r="F788" s="322"/>
      <c r="G788" s="322"/>
      <c r="H788" s="322"/>
      <c r="I788" s="322"/>
      <c r="J788" s="322"/>
      <c r="K788" s="322"/>
      <c r="L788" s="322"/>
      <c r="M788" s="322"/>
      <c r="N788" s="322"/>
      <c r="O788" s="322"/>
      <c r="P788" s="322"/>
      <c r="Q788" s="322"/>
      <c r="R788" s="322"/>
      <c r="S788" s="322"/>
      <c r="T788" s="322"/>
      <c r="U788" s="322"/>
      <c r="V788" s="322"/>
      <c r="W788" s="322"/>
      <c r="X788" s="322"/>
      <c r="Y788" s="322"/>
      <c r="Z788" s="322"/>
      <c r="AA788" s="322"/>
      <c r="AB788" s="322"/>
    </row>
    <row r="789" ht="15.75" customHeight="1">
      <c r="A789" s="322"/>
      <c r="B789" s="322"/>
      <c r="C789" s="322"/>
      <c r="D789" s="322"/>
      <c r="E789" s="330"/>
      <c r="F789" s="322"/>
      <c r="G789" s="322"/>
      <c r="H789" s="322"/>
      <c r="I789" s="322"/>
      <c r="J789" s="322"/>
      <c r="K789" s="322"/>
      <c r="L789" s="322"/>
      <c r="M789" s="322"/>
      <c r="N789" s="322"/>
      <c r="O789" s="322"/>
      <c r="P789" s="322"/>
      <c r="Q789" s="322"/>
      <c r="R789" s="322"/>
      <c r="S789" s="322"/>
      <c r="T789" s="322"/>
      <c r="U789" s="322"/>
      <c r="V789" s="322"/>
      <c r="W789" s="322"/>
      <c r="X789" s="322"/>
      <c r="Y789" s="322"/>
      <c r="Z789" s="322"/>
      <c r="AA789" s="322"/>
      <c r="AB789" s="322"/>
    </row>
    <row r="790" ht="15.75" customHeight="1">
      <c r="A790" s="322"/>
      <c r="B790" s="322"/>
      <c r="C790" s="322"/>
      <c r="D790" s="322"/>
      <c r="E790" s="330"/>
      <c r="F790" s="322"/>
      <c r="G790" s="322"/>
      <c r="H790" s="322"/>
      <c r="I790" s="322"/>
      <c r="J790" s="322"/>
      <c r="K790" s="322"/>
      <c r="L790" s="322"/>
      <c r="M790" s="322"/>
      <c r="N790" s="322"/>
      <c r="O790" s="322"/>
      <c r="P790" s="322"/>
      <c r="Q790" s="322"/>
      <c r="R790" s="322"/>
      <c r="S790" s="322"/>
      <c r="T790" s="322"/>
      <c r="U790" s="322"/>
      <c r="V790" s="322"/>
      <c r="W790" s="322"/>
      <c r="X790" s="322"/>
      <c r="Y790" s="322"/>
      <c r="Z790" s="322"/>
      <c r="AA790" s="322"/>
      <c r="AB790" s="322"/>
    </row>
    <row r="791" ht="15.75" customHeight="1">
      <c r="A791" s="322"/>
      <c r="B791" s="322"/>
      <c r="C791" s="322"/>
      <c r="D791" s="322"/>
      <c r="E791" s="330"/>
      <c r="F791" s="322"/>
      <c r="G791" s="322"/>
      <c r="H791" s="322"/>
      <c r="I791" s="322"/>
      <c r="J791" s="322"/>
      <c r="K791" s="322"/>
      <c r="L791" s="322"/>
      <c r="M791" s="322"/>
      <c r="N791" s="322"/>
      <c r="O791" s="322"/>
      <c r="P791" s="322"/>
      <c r="Q791" s="322"/>
      <c r="R791" s="322"/>
      <c r="S791" s="322"/>
      <c r="T791" s="322"/>
      <c r="U791" s="322"/>
      <c r="V791" s="322"/>
      <c r="W791" s="322"/>
      <c r="X791" s="322"/>
      <c r="Y791" s="322"/>
      <c r="Z791" s="322"/>
      <c r="AA791" s="322"/>
      <c r="AB791" s="322"/>
    </row>
    <row r="792" ht="15.75" customHeight="1">
      <c r="A792" s="322"/>
      <c r="B792" s="322"/>
      <c r="C792" s="322"/>
      <c r="D792" s="322"/>
      <c r="E792" s="330"/>
      <c r="F792" s="322"/>
      <c r="G792" s="322"/>
      <c r="H792" s="322"/>
      <c r="I792" s="322"/>
      <c r="J792" s="322"/>
      <c r="K792" s="322"/>
      <c r="L792" s="322"/>
      <c r="M792" s="322"/>
      <c r="N792" s="322"/>
      <c r="O792" s="322"/>
      <c r="P792" s="322"/>
      <c r="Q792" s="322"/>
      <c r="R792" s="322"/>
      <c r="S792" s="322"/>
      <c r="T792" s="322"/>
      <c r="U792" s="322"/>
      <c r="V792" s="322"/>
      <c r="W792" s="322"/>
      <c r="X792" s="322"/>
      <c r="Y792" s="322"/>
      <c r="Z792" s="322"/>
      <c r="AA792" s="322"/>
      <c r="AB792" s="322"/>
    </row>
    <row r="793" ht="15.75" customHeight="1">
      <c r="A793" s="322"/>
      <c r="B793" s="322"/>
      <c r="C793" s="322"/>
      <c r="D793" s="322"/>
      <c r="E793" s="330"/>
      <c r="F793" s="322"/>
      <c r="G793" s="322"/>
      <c r="H793" s="322"/>
      <c r="I793" s="322"/>
      <c r="J793" s="322"/>
      <c r="K793" s="322"/>
      <c r="L793" s="322"/>
      <c r="M793" s="322"/>
      <c r="N793" s="322"/>
      <c r="O793" s="322"/>
      <c r="P793" s="322"/>
      <c r="Q793" s="322"/>
      <c r="R793" s="322"/>
      <c r="S793" s="322"/>
      <c r="T793" s="322"/>
      <c r="U793" s="322"/>
      <c r="V793" s="322"/>
      <c r="W793" s="322"/>
      <c r="X793" s="322"/>
      <c r="Y793" s="322"/>
      <c r="Z793" s="322"/>
      <c r="AA793" s="322"/>
      <c r="AB793" s="322"/>
    </row>
    <row r="794" ht="15.75" customHeight="1">
      <c r="A794" s="322"/>
      <c r="B794" s="322"/>
      <c r="C794" s="322"/>
      <c r="D794" s="322"/>
      <c r="E794" s="330"/>
      <c r="F794" s="322"/>
      <c r="G794" s="322"/>
      <c r="H794" s="322"/>
      <c r="I794" s="322"/>
      <c r="J794" s="322"/>
      <c r="K794" s="322"/>
      <c r="L794" s="322"/>
      <c r="M794" s="322"/>
      <c r="N794" s="322"/>
      <c r="O794" s="322"/>
      <c r="P794" s="322"/>
      <c r="Q794" s="322"/>
      <c r="R794" s="322"/>
      <c r="S794" s="322"/>
      <c r="T794" s="322"/>
      <c r="U794" s="322"/>
      <c r="V794" s="322"/>
      <c r="W794" s="322"/>
      <c r="X794" s="322"/>
      <c r="Y794" s="322"/>
      <c r="Z794" s="322"/>
      <c r="AA794" s="322"/>
      <c r="AB794" s="322"/>
    </row>
    <row r="795" ht="15.75" customHeight="1">
      <c r="A795" s="322"/>
      <c r="B795" s="322"/>
      <c r="C795" s="322"/>
      <c r="D795" s="322"/>
      <c r="E795" s="330"/>
      <c r="F795" s="322"/>
      <c r="G795" s="322"/>
      <c r="H795" s="322"/>
      <c r="I795" s="322"/>
      <c r="J795" s="322"/>
      <c r="K795" s="322"/>
      <c r="L795" s="322"/>
      <c r="M795" s="322"/>
      <c r="N795" s="322"/>
      <c r="O795" s="322"/>
      <c r="P795" s="322"/>
      <c r="Q795" s="322"/>
      <c r="R795" s="322"/>
      <c r="S795" s="322"/>
      <c r="T795" s="322"/>
      <c r="U795" s="322"/>
      <c r="V795" s="322"/>
      <c r="W795" s="322"/>
      <c r="X795" s="322"/>
      <c r="Y795" s="322"/>
      <c r="Z795" s="322"/>
      <c r="AA795" s="322"/>
      <c r="AB795" s="322"/>
    </row>
    <row r="796" ht="15.75" customHeight="1">
      <c r="A796" s="322"/>
      <c r="B796" s="322"/>
      <c r="C796" s="322"/>
      <c r="D796" s="322"/>
      <c r="E796" s="330"/>
      <c r="F796" s="322"/>
      <c r="G796" s="322"/>
      <c r="H796" s="322"/>
      <c r="I796" s="322"/>
      <c r="J796" s="322"/>
      <c r="K796" s="322"/>
      <c r="L796" s="322"/>
      <c r="M796" s="322"/>
      <c r="N796" s="322"/>
      <c r="O796" s="322"/>
      <c r="P796" s="322"/>
      <c r="Q796" s="322"/>
      <c r="R796" s="322"/>
      <c r="S796" s="322"/>
      <c r="T796" s="322"/>
      <c r="U796" s="322"/>
      <c r="V796" s="322"/>
      <c r="W796" s="322"/>
      <c r="X796" s="322"/>
      <c r="Y796" s="322"/>
      <c r="Z796" s="322"/>
      <c r="AA796" s="322"/>
      <c r="AB796" s="322"/>
    </row>
    <row r="797" ht="15.75" customHeight="1">
      <c r="A797" s="322"/>
      <c r="B797" s="322"/>
      <c r="C797" s="322"/>
      <c r="D797" s="322"/>
      <c r="E797" s="330"/>
      <c r="F797" s="322"/>
      <c r="G797" s="322"/>
      <c r="H797" s="322"/>
      <c r="I797" s="322"/>
      <c r="J797" s="322"/>
      <c r="K797" s="322"/>
      <c r="L797" s="322"/>
      <c r="M797" s="322"/>
      <c r="N797" s="322"/>
      <c r="O797" s="322"/>
      <c r="P797" s="322"/>
      <c r="Q797" s="322"/>
      <c r="R797" s="322"/>
      <c r="S797" s="322"/>
      <c r="T797" s="322"/>
      <c r="U797" s="322"/>
      <c r="V797" s="322"/>
      <c r="W797" s="322"/>
      <c r="X797" s="322"/>
      <c r="Y797" s="322"/>
      <c r="Z797" s="322"/>
      <c r="AA797" s="322"/>
      <c r="AB797" s="322"/>
    </row>
    <row r="798" ht="15.75" customHeight="1">
      <c r="A798" s="322"/>
      <c r="B798" s="322"/>
      <c r="C798" s="322"/>
      <c r="D798" s="322"/>
      <c r="E798" s="330"/>
      <c r="F798" s="322"/>
      <c r="G798" s="322"/>
      <c r="H798" s="322"/>
      <c r="I798" s="322"/>
      <c r="J798" s="322"/>
      <c r="K798" s="322"/>
      <c r="L798" s="322"/>
      <c r="M798" s="322"/>
      <c r="N798" s="322"/>
      <c r="O798" s="322"/>
      <c r="P798" s="322"/>
      <c r="Q798" s="322"/>
      <c r="R798" s="322"/>
      <c r="S798" s="322"/>
      <c r="T798" s="322"/>
      <c r="U798" s="322"/>
      <c r="V798" s="322"/>
      <c r="W798" s="322"/>
      <c r="X798" s="322"/>
      <c r="Y798" s="322"/>
      <c r="Z798" s="322"/>
      <c r="AA798" s="322"/>
      <c r="AB798" s="322"/>
    </row>
    <row r="799" ht="15.75" customHeight="1">
      <c r="A799" s="322"/>
      <c r="B799" s="322"/>
      <c r="C799" s="322"/>
      <c r="D799" s="322"/>
      <c r="E799" s="330"/>
      <c r="F799" s="322"/>
      <c r="G799" s="322"/>
      <c r="H799" s="322"/>
      <c r="I799" s="322"/>
      <c r="J799" s="322"/>
      <c r="K799" s="322"/>
      <c r="L799" s="322"/>
      <c r="M799" s="322"/>
      <c r="N799" s="322"/>
      <c r="O799" s="322"/>
      <c r="P799" s="322"/>
      <c r="Q799" s="322"/>
      <c r="R799" s="322"/>
      <c r="S799" s="322"/>
      <c r="T799" s="322"/>
      <c r="U799" s="322"/>
      <c r="V799" s="322"/>
      <c r="W799" s="322"/>
      <c r="X799" s="322"/>
      <c r="Y799" s="322"/>
      <c r="Z799" s="322"/>
      <c r="AA799" s="322"/>
      <c r="AB799" s="322"/>
    </row>
    <row r="800" ht="15.75" customHeight="1">
      <c r="A800" s="322"/>
      <c r="B800" s="322"/>
      <c r="C800" s="322"/>
      <c r="D800" s="322"/>
      <c r="E800" s="330"/>
      <c r="F800" s="322"/>
      <c r="G800" s="322"/>
      <c r="H800" s="322"/>
      <c r="I800" s="322"/>
      <c r="J800" s="322"/>
      <c r="K800" s="322"/>
      <c r="L800" s="322"/>
      <c r="M800" s="322"/>
      <c r="N800" s="322"/>
      <c r="O800" s="322"/>
      <c r="P800" s="322"/>
      <c r="Q800" s="322"/>
      <c r="R800" s="322"/>
      <c r="S800" s="322"/>
      <c r="T800" s="322"/>
      <c r="U800" s="322"/>
      <c r="V800" s="322"/>
      <c r="W800" s="322"/>
      <c r="X800" s="322"/>
      <c r="Y800" s="322"/>
      <c r="Z800" s="322"/>
      <c r="AA800" s="322"/>
      <c r="AB800" s="322"/>
    </row>
    <row r="801" ht="15.75" customHeight="1">
      <c r="A801" s="322"/>
      <c r="B801" s="322"/>
      <c r="C801" s="322"/>
      <c r="D801" s="322"/>
      <c r="E801" s="330"/>
      <c r="F801" s="322"/>
      <c r="G801" s="322"/>
      <c r="H801" s="322"/>
      <c r="I801" s="322"/>
      <c r="J801" s="322"/>
      <c r="K801" s="322"/>
      <c r="L801" s="322"/>
      <c r="M801" s="322"/>
      <c r="N801" s="322"/>
      <c r="O801" s="322"/>
      <c r="P801" s="322"/>
      <c r="Q801" s="322"/>
      <c r="R801" s="322"/>
      <c r="S801" s="322"/>
      <c r="T801" s="322"/>
      <c r="U801" s="322"/>
      <c r="V801" s="322"/>
      <c r="W801" s="322"/>
      <c r="X801" s="322"/>
      <c r="Y801" s="322"/>
      <c r="Z801" s="322"/>
      <c r="AA801" s="322"/>
      <c r="AB801" s="322"/>
    </row>
    <row r="802" ht="15.75" customHeight="1">
      <c r="A802" s="322"/>
      <c r="B802" s="322"/>
      <c r="C802" s="322"/>
      <c r="D802" s="322"/>
      <c r="E802" s="330"/>
      <c r="F802" s="322"/>
      <c r="G802" s="322"/>
      <c r="H802" s="322"/>
      <c r="I802" s="322"/>
      <c r="J802" s="322"/>
      <c r="K802" s="322"/>
      <c r="L802" s="322"/>
      <c r="M802" s="322"/>
      <c r="N802" s="322"/>
      <c r="O802" s="322"/>
      <c r="P802" s="322"/>
      <c r="Q802" s="322"/>
      <c r="R802" s="322"/>
      <c r="S802" s="322"/>
      <c r="T802" s="322"/>
      <c r="U802" s="322"/>
      <c r="V802" s="322"/>
      <c r="W802" s="322"/>
      <c r="X802" s="322"/>
      <c r="Y802" s="322"/>
      <c r="Z802" s="322"/>
      <c r="AA802" s="322"/>
      <c r="AB802" s="322"/>
    </row>
    <row r="803" ht="15.75" customHeight="1">
      <c r="A803" s="322"/>
      <c r="B803" s="322"/>
      <c r="C803" s="322"/>
      <c r="D803" s="322"/>
      <c r="E803" s="330"/>
      <c r="F803" s="322"/>
      <c r="G803" s="322"/>
      <c r="H803" s="322"/>
      <c r="I803" s="322"/>
      <c r="J803" s="322"/>
      <c r="K803" s="322"/>
      <c r="L803" s="322"/>
      <c r="M803" s="322"/>
      <c r="N803" s="322"/>
      <c r="O803" s="322"/>
      <c r="P803" s="322"/>
      <c r="Q803" s="322"/>
      <c r="R803" s="322"/>
      <c r="S803" s="322"/>
      <c r="T803" s="322"/>
      <c r="U803" s="322"/>
      <c r="V803" s="322"/>
      <c r="W803" s="322"/>
      <c r="X803" s="322"/>
      <c r="Y803" s="322"/>
      <c r="Z803" s="322"/>
      <c r="AA803" s="322"/>
      <c r="AB803" s="322"/>
    </row>
    <row r="804" ht="15.75" customHeight="1">
      <c r="A804" s="322"/>
      <c r="B804" s="322"/>
      <c r="C804" s="322"/>
      <c r="D804" s="322"/>
      <c r="E804" s="330"/>
      <c r="F804" s="322"/>
      <c r="G804" s="322"/>
      <c r="H804" s="322"/>
      <c r="I804" s="322"/>
      <c r="J804" s="322"/>
      <c r="K804" s="322"/>
      <c r="L804" s="322"/>
      <c r="M804" s="322"/>
      <c r="N804" s="322"/>
      <c r="O804" s="322"/>
      <c r="P804" s="322"/>
      <c r="Q804" s="322"/>
      <c r="R804" s="322"/>
      <c r="S804" s="322"/>
      <c r="T804" s="322"/>
      <c r="U804" s="322"/>
      <c r="V804" s="322"/>
      <c r="W804" s="322"/>
      <c r="X804" s="322"/>
      <c r="Y804" s="322"/>
      <c r="Z804" s="322"/>
      <c r="AA804" s="322"/>
      <c r="AB804" s="322"/>
    </row>
    <row r="805" ht="15.75" customHeight="1">
      <c r="A805" s="322"/>
      <c r="B805" s="322"/>
      <c r="C805" s="322"/>
      <c r="D805" s="322"/>
      <c r="E805" s="330"/>
      <c r="F805" s="322"/>
      <c r="G805" s="322"/>
      <c r="H805" s="322"/>
      <c r="I805" s="322"/>
      <c r="J805" s="322"/>
      <c r="K805" s="322"/>
      <c r="L805" s="322"/>
      <c r="M805" s="322"/>
      <c r="N805" s="322"/>
      <c r="O805" s="322"/>
      <c r="P805" s="322"/>
      <c r="Q805" s="322"/>
      <c r="R805" s="322"/>
      <c r="S805" s="322"/>
      <c r="T805" s="322"/>
      <c r="U805" s="322"/>
      <c r="V805" s="322"/>
      <c r="W805" s="322"/>
      <c r="X805" s="322"/>
      <c r="Y805" s="322"/>
      <c r="Z805" s="322"/>
      <c r="AA805" s="322"/>
      <c r="AB805" s="322"/>
    </row>
    <row r="806" ht="15.75" customHeight="1">
      <c r="A806" s="322"/>
      <c r="B806" s="322"/>
      <c r="C806" s="322"/>
      <c r="D806" s="322"/>
      <c r="E806" s="330"/>
      <c r="F806" s="322"/>
      <c r="G806" s="322"/>
      <c r="H806" s="322"/>
      <c r="I806" s="322"/>
      <c r="J806" s="322"/>
      <c r="K806" s="322"/>
      <c r="L806" s="322"/>
      <c r="M806" s="322"/>
      <c r="N806" s="322"/>
      <c r="O806" s="322"/>
      <c r="P806" s="322"/>
      <c r="Q806" s="322"/>
      <c r="R806" s="322"/>
      <c r="S806" s="322"/>
      <c r="T806" s="322"/>
      <c r="U806" s="322"/>
      <c r="V806" s="322"/>
      <c r="W806" s="322"/>
      <c r="X806" s="322"/>
      <c r="Y806" s="322"/>
      <c r="Z806" s="322"/>
      <c r="AA806" s="322"/>
      <c r="AB806" s="322"/>
    </row>
    <row r="807" ht="15.75" customHeight="1">
      <c r="A807" s="322"/>
      <c r="B807" s="322"/>
      <c r="C807" s="322"/>
      <c r="D807" s="322"/>
      <c r="E807" s="330"/>
      <c r="F807" s="322"/>
      <c r="G807" s="322"/>
      <c r="H807" s="322"/>
      <c r="I807" s="322"/>
      <c r="J807" s="322"/>
      <c r="K807" s="322"/>
      <c r="L807" s="322"/>
      <c r="M807" s="322"/>
      <c r="N807" s="322"/>
      <c r="O807" s="322"/>
      <c r="P807" s="322"/>
      <c r="Q807" s="322"/>
      <c r="R807" s="322"/>
      <c r="S807" s="322"/>
      <c r="T807" s="322"/>
      <c r="U807" s="322"/>
      <c r="V807" s="322"/>
      <c r="W807" s="322"/>
      <c r="X807" s="322"/>
      <c r="Y807" s="322"/>
      <c r="Z807" s="322"/>
      <c r="AA807" s="322"/>
      <c r="AB807" s="322"/>
    </row>
    <row r="808" ht="15.75" customHeight="1">
      <c r="A808" s="322"/>
      <c r="B808" s="322"/>
      <c r="C808" s="322"/>
      <c r="D808" s="322"/>
      <c r="E808" s="330"/>
      <c r="F808" s="322"/>
      <c r="G808" s="322"/>
      <c r="H808" s="322"/>
      <c r="I808" s="322"/>
      <c r="J808" s="322"/>
      <c r="K808" s="322"/>
      <c r="L808" s="322"/>
      <c r="M808" s="322"/>
      <c r="N808" s="322"/>
      <c r="O808" s="322"/>
      <c r="P808" s="322"/>
      <c r="Q808" s="322"/>
      <c r="R808" s="322"/>
      <c r="S808" s="322"/>
      <c r="T808" s="322"/>
      <c r="U808" s="322"/>
      <c r="V808" s="322"/>
      <c r="W808" s="322"/>
      <c r="X808" s="322"/>
      <c r="Y808" s="322"/>
      <c r="Z808" s="322"/>
      <c r="AA808" s="322"/>
      <c r="AB808" s="322"/>
    </row>
    <row r="809" ht="15.75" customHeight="1">
      <c r="A809" s="322"/>
      <c r="B809" s="322"/>
      <c r="C809" s="322"/>
      <c r="D809" s="322"/>
      <c r="E809" s="330"/>
      <c r="F809" s="322"/>
      <c r="G809" s="322"/>
      <c r="H809" s="322"/>
      <c r="I809" s="322"/>
      <c r="J809" s="322"/>
      <c r="K809" s="322"/>
      <c r="L809" s="322"/>
      <c r="M809" s="322"/>
      <c r="N809" s="322"/>
      <c r="O809" s="322"/>
      <c r="P809" s="322"/>
      <c r="Q809" s="322"/>
      <c r="R809" s="322"/>
      <c r="S809" s="322"/>
      <c r="T809" s="322"/>
      <c r="U809" s="322"/>
      <c r="V809" s="322"/>
      <c r="W809" s="322"/>
      <c r="X809" s="322"/>
      <c r="Y809" s="322"/>
      <c r="Z809" s="322"/>
      <c r="AA809" s="322"/>
      <c r="AB809" s="322"/>
    </row>
    <row r="810" ht="15.75" customHeight="1">
      <c r="A810" s="322"/>
      <c r="B810" s="322"/>
      <c r="C810" s="322"/>
      <c r="D810" s="322"/>
      <c r="E810" s="330"/>
      <c r="F810" s="322"/>
      <c r="G810" s="322"/>
      <c r="H810" s="322"/>
      <c r="I810" s="322"/>
      <c r="J810" s="322"/>
      <c r="K810" s="322"/>
      <c r="L810" s="322"/>
      <c r="M810" s="322"/>
      <c r="N810" s="322"/>
      <c r="O810" s="322"/>
      <c r="P810" s="322"/>
      <c r="Q810" s="322"/>
      <c r="R810" s="322"/>
      <c r="S810" s="322"/>
      <c r="T810" s="322"/>
      <c r="U810" s="322"/>
      <c r="V810" s="322"/>
      <c r="W810" s="322"/>
      <c r="X810" s="322"/>
      <c r="Y810" s="322"/>
      <c r="Z810" s="322"/>
      <c r="AA810" s="322"/>
      <c r="AB810" s="322"/>
    </row>
    <row r="811" ht="15.75" customHeight="1">
      <c r="A811" s="322"/>
      <c r="B811" s="322"/>
      <c r="C811" s="322"/>
      <c r="D811" s="322"/>
      <c r="E811" s="330"/>
      <c r="F811" s="322"/>
      <c r="G811" s="322"/>
      <c r="H811" s="322"/>
      <c r="I811" s="322"/>
      <c r="J811" s="322"/>
      <c r="K811" s="322"/>
      <c r="L811" s="322"/>
      <c r="M811" s="322"/>
      <c r="N811" s="322"/>
      <c r="O811" s="322"/>
      <c r="P811" s="322"/>
      <c r="Q811" s="322"/>
      <c r="R811" s="322"/>
      <c r="S811" s="322"/>
      <c r="T811" s="322"/>
      <c r="U811" s="322"/>
      <c r="V811" s="322"/>
      <c r="W811" s="322"/>
      <c r="X811" s="322"/>
      <c r="Y811" s="322"/>
      <c r="Z811" s="322"/>
      <c r="AA811" s="322"/>
      <c r="AB811" s="322"/>
    </row>
    <row r="812" ht="15.75" customHeight="1">
      <c r="A812" s="322"/>
      <c r="B812" s="322"/>
      <c r="C812" s="322"/>
      <c r="D812" s="322"/>
      <c r="E812" s="330"/>
      <c r="F812" s="322"/>
      <c r="G812" s="322"/>
      <c r="H812" s="322"/>
      <c r="I812" s="322"/>
      <c r="J812" s="322"/>
      <c r="K812" s="322"/>
      <c r="L812" s="322"/>
      <c r="M812" s="322"/>
      <c r="N812" s="322"/>
      <c r="O812" s="322"/>
      <c r="P812" s="322"/>
      <c r="Q812" s="322"/>
      <c r="R812" s="322"/>
      <c r="S812" s="322"/>
      <c r="T812" s="322"/>
      <c r="U812" s="322"/>
      <c r="V812" s="322"/>
      <c r="W812" s="322"/>
      <c r="X812" s="322"/>
      <c r="Y812" s="322"/>
      <c r="Z812" s="322"/>
      <c r="AA812" s="322"/>
      <c r="AB812" s="322"/>
    </row>
    <row r="813" ht="15.75" customHeight="1">
      <c r="A813" s="322"/>
      <c r="B813" s="322"/>
      <c r="C813" s="322"/>
      <c r="D813" s="322"/>
      <c r="E813" s="330"/>
      <c r="F813" s="322"/>
      <c r="G813" s="322"/>
      <c r="H813" s="322"/>
      <c r="I813" s="322"/>
      <c r="J813" s="322"/>
      <c r="K813" s="322"/>
      <c r="L813" s="322"/>
      <c r="M813" s="322"/>
      <c r="N813" s="322"/>
      <c r="O813" s="322"/>
      <c r="P813" s="322"/>
      <c r="Q813" s="322"/>
      <c r="R813" s="322"/>
      <c r="S813" s="322"/>
      <c r="T813" s="322"/>
      <c r="U813" s="322"/>
      <c r="V813" s="322"/>
      <c r="W813" s="322"/>
      <c r="X813" s="322"/>
      <c r="Y813" s="322"/>
      <c r="Z813" s="322"/>
      <c r="AA813" s="322"/>
      <c r="AB813" s="322"/>
    </row>
    <row r="814" ht="15.75" customHeight="1">
      <c r="A814" s="322"/>
      <c r="B814" s="322"/>
      <c r="C814" s="322"/>
      <c r="D814" s="322"/>
      <c r="E814" s="330"/>
      <c r="F814" s="322"/>
      <c r="G814" s="322"/>
      <c r="H814" s="322"/>
      <c r="I814" s="322"/>
      <c r="J814" s="322"/>
      <c r="K814" s="322"/>
      <c r="L814" s="322"/>
      <c r="M814" s="322"/>
      <c r="N814" s="322"/>
      <c r="O814" s="322"/>
      <c r="P814" s="322"/>
      <c r="Q814" s="322"/>
      <c r="R814" s="322"/>
      <c r="S814" s="322"/>
      <c r="T814" s="322"/>
      <c r="U814" s="322"/>
      <c r="V814" s="322"/>
      <c r="W814" s="322"/>
      <c r="X814" s="322"/>
      <c r="Y814" s="322"/>
      <c r="Z814" s="322"/>
      <c r="AA814" s="322"/>
      <c r="AB814" s="322"/>
    </row>
    <row r="815" ht="15.75" customHeight="1">
      <c r="A815" s="322"/>
      <c r="B815" s="322"/>
      <c r="C815" s="322"/>
      <c r="D815" s="322"/>
      <c r="E815" s="330"/>
      <c r="F815" s="322"/>
      <c r="G815" s="322"/>
      <c r="H815" s="322"/>
      <c r="I815" s="322"/>
      <c r="J815" s="322"/>
      <c r="K815" s="322"/>
      <c r="L815" s="322"/>
      <c r="M815" s="322"/>
      <c r="N815" s="322"/>
      <c r="O815" s="322"/>
      <c r="P815" s="322"/>
      <c r="Q815" s="322"/>
      <c r="R815" s="322"/>
      <c r="S815" s="322"/>
      <c r="T815" s="322"/>
      <c r="U815" s="322"/>
      <c r="V815" s="322"/>
      <c r="W815" s="322"/>
      <c r="X815" s="322"/>
      <c r="Y815" s="322"/>
      <c r="Z815" s="322"/>
      <c r="AA815" s="322"/>
      <c r="AB815" s="322"/>
    </row>
    <row r="816" ht="15.75" customHeight="1">
      <c r="A816" s="322"/>
      <c r="B816" s="322"/>
      <c r="C816" s="322"/>
      <c r="D816" s="322"/>
      <c r="E816" s="330"/>
      <c r="F816" s="322"/>
      <c r="G816" s="322"/>
      <c r="H816" s="322"/>
      <c r="I816" s="322"/>
      <c r="J816" s="322"/>
      <c r="K816" s="322"/>
      <c r="L816" s="322"/>
      <c r="M816" s="322"/>
      <c r="N816" s="322"/>
      <c r="O816" s="322"/>
      <c r="P816" s="322"/>
      <c r="Q816" s="322"/>
      <c r="R816" s="322"/>
      <c r="S816" s="322"/>
      <c r="T816" s="322"/>
      <c r="U816" s="322"/>
      <c r="V816" s="322"/>
      <c r="W816" s="322"/>
      <c r="X816" s="322"/>
      <c r="Y816" s="322"/>
      <c r="Z816" s="322"/>
      <c r="AA816" s="322"/>
      <c r="AB816" s="322"/>
    </row>
    <row r="817" ht="15.75" customHeight="1">
      <c r="A817" s="322"/>
      <c r="B817" s="322"/>
      <c r="C817" s="322"/>
      <c r="D817" s="322"/>
      <c r="E817" s="330"/>
      <c r="F817" s="322"/>
      <c r="G817" s="322"/>
      <c r="H817" s="322"/>
      <c r="I817" s="322"/>
      <c r="J817" s="322"/>
      <c r="K817" s="322"/>
      <c r="L817" s="322"/>
      <c r="M817" s="322"/>
      <c r="N817" s="322"/>
      <c r="O817" s="322"/>
      <c r="P817" s="322"/>
      <c r="Q817" s="322"/>
      <c r="R817" s="322"/>
      <c r="S817" s="322"/>
      <c r="T817" s="322"/>
      <c r="U817" s="322"/>
      <c r="V817" s="322"/>
      <c r="W817" s="322"/>
      <c r="X817" s="322"/>
      <c r="Y817" s="322"/>
      <c r="Z817" s="322"/>
      <c r="AA817" s="322"/>
      <c r="AB817" s="322"/>
    </row>
    <row r="818" ht="15.75" customHeight="1">
      <c r="A818" s="322"/>
      <c r="B818" s="322"/>
      <c r="C818" s="322"/>
      <c r="D818" s="322"/>
      <c r="E818" s="330"/>
      <c r="F818" s="322"/>
      <c r="G818" s="322"/>
      <c r="H818" s="322"/>
      <c r="I818" s="322"/>
      <c r="J818" s="322"/>
      <c r="K818" s="322"/>
      <c r="L818" s="322"/>
      <c r="M818" s="322"/>
      <c r="N818" s="322"/>
      <c r="O818" s="322"/>
      <c r="P818" s="322"/>
      <c r="Q818" s="322"/>
      <c r="R818" s="322"/>
      <c r="S818" s="322"/>
      <c r="T818" s="322"/>
      <c r="U818" s="322"/>
      <c r="V818" s="322"/>
      <c r="W818" s="322"/>
      <c r="X818" s="322"/>
      <c r="Y818" s="322"/>
      <c r="Z818" s="322"/>
      <c r="AA818" s="322"/>
      <c r="AB818" s="322"/>
    </row>
    <row r="819" ht="15.75" customHeight="1">
      <c r="A819" s="322"/>
      <c r="B819" s="322"/>
      <c r="C819" s="322"/>
      <c r="D819" s="322"/>
      <c r="E819" s="330"/>
      <c r="F819" s="322"/>
      <c r="G819" s="322"/>
      <c r="H819" s="322"/>
      <c r="I819" s="322"/>
      <c r="J819" s="322"/>
      <c r="K819" s="322"/>
      <c r="L819" s="322"/>
      <c r="M819" s="322"/>
      <c r="N819" s="322"/>
      <c r="O819" s="322"/>
      <c r="P819" s="322"/>
      <c r="Q819" s="322"/>
      <c r="R819" s="322"/>
      <c r="S819" s="322"/>
      <c r="T819" s="322"/>
      <c r="U819" s="322"/>
      <c r="V819" s="322"/>
      <c r="W819" s="322"/>
      <c r="X819" s="322"/>
      <c r="Y819" s="322"/>
      <c r="Z819" s="322"/>
      <c r="AA819" s="322"/>
      <c r="AB819" s="322"/>
    </row>
    <row r="820" ht="15.75" customHeight="1">
      <c r="A820" s="322"/>
      <c r="B820" s="322"/>
      <c r="C820" s="322"/>
      <c r="D820" s="322"/>
      <c r="E820" s="330"/>
      <c r="F820" s="322"/>
      <c r="G820" s="322"/>
      <c r="H820" s="322"/>
      <c r="I820" s="322"/>
      <c r="J820" s="322"/>
      <c r="K820" s="322"/>
      <c r="L820" s="322"/>
      <c r="M820" s="322"/>
      <c r="N820" s="322"/>
      <c r="O820" s="322"/>
      <c r="P820" s="322"/>
      <c r="Q820" s="322"/>
      <c r="R820" s="322"/>
      <c r="S820" s="322"/>
      <c r="T820" s="322"/>
      <c r="U820" s="322"/>
      <c r="V820" s="322"/>
      <c r="W820" s="322"/>
      <c r="X820" s="322"/>
      <c r="Y820" s="322"/>
      <c r="Z820" s="322"/>
      <c r="AA820" s="322"/>
      <c r="AB820" s="322"/>
    </row>
    <row r="821" ht="15.75" customHeight="1">
      <c r="A821" s="322"/>
      <c r="B821" s="322"/>
      <c r="C821" s="322"/>
      <c r="D821" s="322"/>
      <c r="E821" s="330"/>
      <c r="F821" s="322"/>
      <c r="G821" s="322"/>
      <c r="H821" s="322"/>
      <c r="I821" s="322"/>
      <c r="J821" s="322"/>
      <c r="K821" s="322"/>
      <c r="L821" s="322"/>
      <c r="M821" s="322"/>
      <c r="N821" s="322"/>
      <c r="O821" s="322"/>
      <c r="P821" s="322"/>
      <c r="Q821" s="322"/>
      <c r="R821" s="322"/>
      <c r="S821" s="322"/>
      <c r="T821" s="322"/>
      <c r="U821" s="322"/>
      <c r="V821" s="322"/>
      <c r="W821" s="322"/>
      <c r="X821" s="322"/>
      <c r="Y821" s="322"/>
      <c r="Z821" s="322"/>
      <c r="AA821" s="322"/>
      <c r="AB821" s="322"/>
    </row>
    <row r="822" ht="15.75" customHeight="1">
      <c r="A822" s="322"/>
      <c r="B822" s="322"/>
      <c r="C822" s="322"/>
      <c r="D822" s="322"/>
      <c r="E822" s="330"/>
      <c r="F822" s="322"/>
      <c r="G822" s="322"/>
      <c r="H822" s="322"/>
      <c r="I822" s="322"/>
      <c r="J822" s="322"/>
      <c r="K822" s="322"/>
      <c r="L822" s="322"/>
      <c r="M822" s="322"/>
      <c r="N822" s="322"/>
      <c r="O822" s="322"/>
      <c r="P822" s="322"/>
      <c r="Q822" s="322"/>
      <c r="R822" s="322"/>
      <c r="S822" s="322"/>
      <c r="T822" s="322"/>
      <c r="U822" s="322"/>
      <c r="V822" s="322"/>
      <c r="W822" s="322"/>
      <c r="X822" s="322"/>
      <c r="Y822" s="322"/>
      <c r="Z822" s="322"/>
      <c r="AA822" s="322"/>
      <c r="AB822" s="322"/>
    </row>
    <row r="823" ht="15.75" customHeight="1">
      <c r="A823" s="322"/>
      <c r="B823" s="322"/>
      <c r="C823" s="322"/>
      <c r="D823" s="322"/>
      <c r="E823" s="330"/>
      <c r="F823" s="322"/>
      <c r="G823" s="322"/>
      <c r="H823" s="322"/>
      <c r="I823" s="322"/>
      <c r="J823" s="322"/>
      <c r="K823" s="322"/>
      <c r="L823" s="322"/>
      <c r="M823" s="322"/>
      <c r="N823" s="322"/>
      <c r="O823" s="322"/>
      <c r="P823" s="322"/>
      <c r="Q823" s="322"/>
      <c r="R823" s="322"/>
      <c r="S823" s="322"/>
      <c r="T823" s="322"/>
      <c r="U823" s="322"/>
      <c r="V823" s="322"/>
      <c r="W823" s="322"/>
      <c r="X823" s="322"/>
      <c r="Y823" s="322"/>
      <c r="Z823" s="322"/>
      <c r="AA823" s="322"/>
      <c r="AB823" s="322"/>
    </row>
    <row r="824" ht="15.75" customHeight="1">
      <c r="A824" s="322"/>
      <c r="B824" s="322"/>
      <c r="C824" s="322"/>
      <c r="D824" s="322"/>
      <c r="E824" s="330"/>
      <c r="F824" s="322"/>
      <c r="G824" s="322"/>
      <c r="H824" s="322"/>
      <c r="I824" s="322"/>
      <c r="J824" s="322"/>
      <c r="K824" s="322"/>
      <c r="L824" s="322"/>
      <c r="M824" s="322"/>
      <c r="N824" s="322"/>
      <c r="O824" s="322"/>
      <c r="P824" s="322"/>
      <c r="Q824" s="322"/>
      <c r="R824" s="322"/>
      <c r="S824" s="322"/>
      <c r="T824" s="322"/>
      <c r="U824" s="322"/>
      <c r="V824" s="322"/>
      <c r="W824" s="322"/>
      <c r="X824" s="322"/>
      <c r="Y824" s="322"/>
      <c r="Z824" s="322"/>
      <c r="AA824" s="322"/>
      <c r="AB824" s="322"/>
    </row>
    <row r="825" ht="15.75" customHeight="1">
      <c r="A825" s="322"/>
      <c r="B825" s="322"/>
      <c r="C825" s="322"/>
      <c r="D825" s="322"/>
      <c r="E825" s="330"/>
      <c r="F825" s="322"/>
      <c r="G825" s="322"/>
      <c r="H825" s="322"/>
      <c r="I825" s="322"/>
      <c r="J825" s="322"/>
      <c r="K825" s="322"/>
      <c r="L825" s="322"/>
      <c r="M825" s="322"/>
      <c r="N825" s="322"/>
      <c r="O825" s="322"/>
      <c r="P825" s="322"/>
      <c r="Q825" s="322"/>
      <c r="R825" s="322"/>
      <c r="S825" s="322"/>
      <c r="T825" s="322"/>
      <c r="U825" s="322"/>
      <c r="V825" s="322"/>
      <c r="W825" s="322"/>
      <c r="X825" s="322"/>
      <c r="Y825" s="322"/>
      <c r="Z825" s="322"/>
      <c r="AA825" s="322"/>
      <c r="AB825" s="322"/>
    </row>
    <row r="826" ht="15.75" customHeight="1">
      <c r="A826" s="322"/>
      <c r="B826" s="322"/>
      <c r="C826" s="322"/>
      <c r="D826" s="322"/>
      <c r="E826" s="330"/>
      <c r="F826" s="322"/>
      <c r="G826" s="322"/>
      <c r="H826" s="322"/>
      <c r="I826" s="322"/>
      <c r="J826" s="322"/>
      <c r="K826" s="322"/>
      <c r="L826" s="322"/>
      <c r="M826" s="322"/>
      <c r="N826" s="322"/>
      <c r="O826" s="322"/>
      <c r="P826" s="322"/>
      <c r="Q826" s="322"/>
      <c r="R826" s="322"/>
      <c r="S826" s="322"/>
      <c r="T826" s="322"/>
      <c r="U826" s="322"/>
      <c r="V826" s="322"/>
      <c r="W826" s="322"/>
      <c r="X826" s="322"/>
      <c r="Y826" s="322"/>
      <c r="Z826" s="322"/>
      <c r="AA826" s="322"/>
      <c r="AB826" s="322"/>
    </row>
    <row r="827" ht="15.75" customHeight="1">
      <c r="A827" s="322"/>
      <c r="B827" s="322"/>
      <c r="C827" s="322"/>
      <c r="D827" s="322"/>
      <c r="E827" s="330"/>
      <c r="F827" s="322"/>
      <c r="G827" s="322"/>
      <c r="H827" s="322"/>
      <c r="I827" s="322"/>
      <c r="J827" s="322"/>
      <c r="K827" s="322"/>
      <c r="L827" s="322"/>
      <c r="M827" s="322"/>
      <c r="N827" s="322"/>
      <c r="O827" s="322"/>
      <c r="P827" s="322"/>
      <c r="Q827" s="322"/>
      <c r="R827" s="322"/>
      <c r="S827" s="322"/>
      <c r="T827" s="322"/>
      <c r="U827" s="322"/>
      <c r="V827" s="322"/>
      <c r="W827" s="322"/>
      <c r="X827" s="322"/>
      <c r="Y827" s="322"/>
      <c r="Z827" s="322"/>
      <c r="AA827" s="322"/>
      <c r="AB827" s="322"/>
    </row>
    <row r="828" ht="15.75" customHeight="1">
      <c r="A828" s="322"/>
      <c r="B828" s="322"/>
      <c r="C828" s="322"/>
      <c r="D828" s="322"/>
      <c r="E828" s="330"/>
      <c r="F828" s="322"/>
      <c r="G828" s="322"/>
      <c r="H828" s="322"/>
      <c r="I828" s="322"/>
      <c r="J828" s="322"/>
      <c r="K828" s="322"/>
      <c r="L828" s="322"/>
      <c r="M828" s="322"/>
      <c r="N828" s="322"/>
      <c r="O828" s="322"/>
      <c r="P828" s="322"/>
      <c r="Q828" s="322"/>
      <c r="R828" s="322"/>
      <c r="S828" s="322"/>
      <c r="T828" s="322"/>
      <c r="U828" s="322"/>
      <c r="V828" s="322"/>
      <c r="W828" s="322"/>
      <c r="X828" s="322"/>
      <c r="Y828" s="322"/>
      <c r="Z828" s="322"/>
      <c r="AA828" s="322"/>
      <c r="AB828" s="322"/>
    </row>
    <row r="829" ht="15.75" customHeight="1">
      <c r="A829" s="322"/>
      <c r="B829" s="322"/>
      <c r="C829" s="322"/>
      <c r="D829" s="322"/>
      <c r="E829" s="330"/>
      <c r="F829" s="322"/>
      <c r="G829" s="322"/>
      <c r="H829" s="322"/>
      <c r="I829" s="322"/>
      <c r="J829" s="322"/>
      <c r="K829" s="322"/>
      <c r="L829" s="322"/>
      <c r="M829" s="322"/>
      <c r="N829" s="322"/>
      <c r="O829" s="322"/>
      <c r="P829" s="322"/>
      <c r="Q829" s="322"/>
      <c r="R829" s="322"/>
      <c r="S829" s="322"/>
      <c r="T829" s="322"/>
      <c r="U829" s="322"/>
      <c r="V829" s="322"/>
      <c r="W829" s="322"/>
      <c r="X829" s="322"/>
      <c r="Y829" s="322"/>
      <c r="Z829" s="322"/>
      <c r="AA829" s="322"/>
      <c r="AB829" s="322"/>
    </row>
    <row r="830" ht="15.75" customHeight="1">
      <c r="A830" s="322"/>
      <c r="B830" s="322"/>
      <c r="C830" s="322"/>
      <c r="D830" s="322"/>
      <c r="E830" s="330"/>
      <c r="F830" s="322"/>
      <c r="G830" s="322"/>
      <c r="H830" s="322"/>
      <c r="I830" s="322"/>
      <c r="J830" s="322"/>
      <c r="K830" s="322"/>
      <c r="L830" s="322"/>
      <c r="M830" s="322"/>
      <c r="N830" s="322"/>
      <c r="O830" s="322"/>
      <c r="P830" s="322"/>
      <c r="Q830" s="322"/>
      <c r="R830" s="322"/>
      <c r="S830" s="322"/>
      <c r="T830" s="322"/>
      <c r="U830" s="322"/>
      <c r="V830" s="322"/>
      <c r="W830" s="322"/>
      <c r="X830" s="322"/>
      <c r="Y830" s="322"/>
      <c r="Z830" s="322"/>
      <c r="AA830" s="322"/>
      <c r="AB830" s="322"/>
    </row>
    <row r="831" ht="15.75" customHeight="1">
      <c r="A831" s="322"/>
      <c r="B831" s="322"/>
      <c r="C831" s="322"/>
      <c r="D831" s="322"/>
      <c r="E831" s="330"/>
      <c r="F831" s="322"/>
      <c r="G831" s="322"/>
      <c r="H831" s="322"/>
      <c r="I831" s="322"/>
      <c r="J831" s="322"/>
      <c r="K831" s="322"/>
      <c r="L831" s="322"/>
      <c r="M831" s="322"/>
      <c r="N831" s="322"/>
      <c r="O831" s="322"/>
      <c r="P831" s="322"/>
      <c r="Q831" s="322"/>
      <c r="R831" s="322"/>
      <c r="S831" s="322"/>
      <c r="T831" s="322"/>
      <c r="U831" s="322"/>
      <c r="V831" s="322"/>
      <c r="W831" s="322"/>
      <c r="X831" s="322"/>
      <c r="Y831" s="322"/>
      <c r="Z831" s="322"/>
      <c r="AA831" s="322"/>
      <c r="AB831" s="322"/>
    </row>
    <row r="832" ht="15.75" customHeight="1">
      <c r="A832" s="322"/>
      <c r="B832" s="322"/>
      <c r="C832" s="322"/>
      <c r="D832" s="322"/>
      <c r="E832" s="330"/>
      <c r="F832" s="322"/>
      <c r="G832" s="322"/>
      <c r="H832" s="322"/>
      <c r="I832" s="322"/>
      <c r="J832" s="322"/>
      <c r="K832" s="322"/>
      <c r="L832" s="322"/>
      <c r="M832" s="322"/>
      <c r="N832" s="322"/>
      <c r="O832" s="322"/>
      <c r="P832" s="322"/>
      <c r="Q832" s="322"/>
      <c r="R832" s="322"/>
      <c r="S832" s="322"/>
      <c r="T832" s="322"/>
      <c r="U832" s="322"/>
      <c r="V832" s="322"/>
      <c r="W832" s="322"/>
      <c r="X832" s="322"/>
      <c r="Y832" s="322"/>
      <c r="Z832" s="322"/>
      <c r="AA832" s="322"/>
      <c r="AB832" s="322"/>
    </row>
    <row r="833" ht="15.75" customHeight="1">
      <c r="A833" s="322"/>
      <c r="B833" s="322"/>
      <c r="C833" s="322"/>
      <c r="D833" s="322"/>
      <c r="E833" s="330"/>
      <c r="F833" s="322"/>
      <c r="G833" s="322"/>
      <c r="H833" s="322"/>
      <c r="I833" s="322"/>
      <c r="J833" s="322"/>
      <c r="K833" s="322"/>
      <c r="L833" s="322"/>
      <c r="M833" s="322"/>
      <c r="N833" s="322"/>
      <c r="O833" s="322"/>
      <c r="P833" s="322"/>
      <c r="Q833" s="322"/>
      <c r="R833" s="322"/>
      <c r="S833" s="322"/>
      <c r="T833" s="322"/>
      <c r="U833" s="322"/>
      <c r="V833" s="322"/>
      <c r="W833" s="322"/>
      <c r="X833" s="322"/>
      <c r="Y833" s="322"/>
      <c r="Z833" s="322"/>
      <c r="AA833" s="322"/>
      <c r="AB833" s="322"/>
    </row>
    <row r="834" ht="15.75" customHeight="1">
      <c r="A834" s="322"/>
      <c r="B834" s="322"/>
      <c r="C834" s="322"/>
      <c r="D834" s="322"/>
      <c r="E834" s="330"/>
      <c r="F834" s="322"/>
      <c r="G834" s="322"/>
      <c r="H834" s="322"/>
      <c r="I834" s="322"/>
      <c r="J834" s="322"/>
      <c r="K834" s="322"/>
      <c r="L834" s="322"/>
      <c r="M834" s="322"/>
      <c r="N834" s="322"/>
      <c r="O834" s="322"/>
      <c r="P834" s="322"/>
      <c r="Q834" s="322"/>
      <c r="R834" s="322"/>
      <c r="S834" s="322"/>
      <c r="T834" s="322"/>
      <c r="U834" s="322"/>
      <c r="V834" s="322"/>
      <c r="W834" s="322"/>
      <c r="X834" s="322"/>
      <c r="Y834" s="322"/>
      <c r="Z834" s="322"/>
      <c r="AA834" s="322"/>
      <c r="AB834" s="322"/>
    </row>
    <row r="835" ht="15.75" customHeight="1">
      <c r="A835" s="322"/>
      <c r="B835" s="322"/>
      <c r="C835" s="322"/>
      <c r="D835" s="322"/>
      <c r="E835" s="330"/>
      <c r="F835" s="322"/>
      <c r="G835" s="322"/>
      <c r="H835" s="322"/>
      <c r="I835" s="322"/>
      <c r="J835" s="322"/>
      <c r="K835" s="322"/>
      <c r="L835" s="322"/>
      <c r="M835" s="322"/>
      <c r="N835" s="322"/>
      <c r="O835" s="322"/>
      <c r="P835" s="322"/>
      <c r="Q835" s="322"/>
      <c r="R835" s="322"/>
      <c r="S835" s="322"/>
      <c r="T835" s="322"/>
      <c r="U835" s="322"/>
      <c r="V835" s="322"/>
      <c r="W835" s="322"/>
      <c r="X835" s="322"/>
      <c r="Y835" s="322"/>
      <c r="Z835" s="322"/>
      <c r="AA835" s="322"/>
      <c r="AB835" s="322"/>
    </row>
    <row r="836" ht="15.75" customHeight="1">
      <c r="A836" s="322"/>
      <c r="B836" s="322"/>
      <c r="C836" s="322"/>
      <c r="D836" s="322"/>
      <c r="E836" s="330"/>
      <c r="F836" s="322"/>
      <c r="G836" s="322"/>
      <c r="H836" s="322"/>
      <c r="I836" s="322"/>
      <c r="J836" s="322"/>
      <c r="K836" s="322"/>
      <c r="L836" s="322"/>
      <c r="M836" s="322"/>
      <c r="N836" s="322"/>
      <c r="O836" s="322"/>
      <c r="P836" s="322"/>
      <c r="Q836" s="322"/>
      <c r="R836" s="322"/>
      <c r="S836" s="322"/>
      <c r="T836" s="322"/>
      <c r="U836" s="322"/>
      <c r="V836" s="322"/>
      <c r="W836" s="322"/>
      <c r="X836" s="322"/>
      <c r="Y836" s="322"/>
      <c r="Z836" s="322"/>
      <c r="AA836" s="322"/>
      <c r="AB836" s="322"/>
    </row>
    <row r="837" ht="15.75" customHeight="1">
      <c r="A837" s="322"/>
      <c r="B837" s="322"/>
      <c r="C837" s="322"/>
      <c r="D837" s="322"/>
      <c r="E837" s="330"/>
      <c r="F837" s="322"/>
      <c r="G837" s="322"/>
      <c r="H837" s="322"/>
      <c r="I837" s="322"/>
      <c r="J837" s="322"/>
      <c r="K837" s="322"/>
      <c r="L837" s="322"/>
      <c r="M837" s="322"/>
      <c r="N837" s="322"/>
      <c r="O837" s="322"/>
      <c r="P837" s="322"/>
      <c r="Q837" s="322"/>
      <c r="R837" s="322"/>
      <c r="S837" s="322"/>
      <c r="T837" s="322"/>
      <c r="U837" s="322"/>
      <c r="V837" s="322"/>
      <c r="W837" s="322"/>
      <c r="X837" s="322"/>
      <c r="Y837" s="322"/>
      <c r="Z837" s="322"/>
      <c r="AA837" s="322"/>
      <c r="AB837" s="322"/>
    </row>
    <row r="838" ht="15.75" customHeight="1">
      <c r="A838" s="322"/>
      <c r="B838" s="322"/>
      <c r="C838" s="322"/>
      <c r="D838" s="322"/>
      <c r="E838" s="330"/>
      <c r="F838" s="322"/>
      <c r="G838" s="322"/>
      <c r="H838" s="322"/>
      <c r="I838" s="322"/>
      <c r="J838" s="322"/>
      <c r="K838" s="322"/>
      <c r="L838" s="322"/>
      <c r="M838" s="322"/>
      <c r="N838" s="322"/>
      <c r="O838" s="322"/>
      <c r="P838" s="322"/>
      <c r="Q838" s="322"/>
      <c r="R838" s="322"/>
      <c r="S838" s="322"/>
      <c r="T838" s="322"/>
      <c r="U838" s="322"/>
      <c r="V838" s="322"/>
      <c r="W838" s="322"/>
      <c r="X838" s="322"/>
      <c r="Y838" s="322"/>
      <c r="Z838" s="322"/>
      <c r="AA838" s="322"/>
      <c r="AB838" s="322"/>
    </row>
    <row r="839" ht="15.75" customHeight="1">
      <c r="A839" s="322"/>
      <c r="B839" s="322"/>
      <c r="C839" s="322"/>
      <c r="D839" s="322"/>
      <c r="E839" s="330"/>
      <c r="F839" s="322"/>
      <c r="G839" s="322"/>
      <c r="H839" s="322"/>
      <c r="I839" s="322"/>
      <c r="J839" s="322"/>
      <c r="K839" s="322"/>
      <c r="L839" s="322"/>
      <c r="M839" s="322"/>
      <c r="N839" s="322"/>
      <c r="O839" s="322"/>
      <c r="P839" s="322"/>
      <c r="Q839" s="322"/>
      <c r="R839" s="322"/>
      <c r="S839" s="322"/>
      <c r="T839" s="322"/>
      <c r="U839" s="322"/>
      <c r="V839" s="322"/>
      <c r="W839" s="322"/>
      <c r="X839" s="322"/>
      <c r="Y839" s="322"/>
      <c r="Z839" s="322"/>
      <c r="AA839" s="322"/>
      <c r="AB839" s="322"/>
    </row>
    <row r="840" ht="15.75" customHeight="1">
      <c r="A840" s="322"/>
      <c r="B840" s="322"/>
      <c r="C840" s="322"/>
      <c r="D840" s="322"/>
      <c r="E840" s="330"/>
      <c r="F840" s="322"/>
      <c r="G840" s="322"/>
      <c r="H840" s="322"/>
      <c r="I840" s="322"/>
      <c r="J840" s="322"/>
      <c r="K840" s="322"/>
      <c r="L840" s="322"/>
      <c r="M840" s="322"/>
      <c r="N840" s="322"/>
      <c r="O840" s="322"/>
      <c r="P840" s="322"/>
      <c r="Q840" s="322"/>
      <c r="R840" s="322"/>
      <c r="S840" s="322"/>
      <c r="T840" s="322"/>
      <c r="U840" s="322"/>
      <c r="V840" s="322"/>
      <c r="W840" s="322"/>
      <c r="X840" s="322"/>
      <c r="Y840" s="322"/>
      <c r="Z840" s="322"/>
      <c r="AA840" s="322"/>
      <c r="AB840" s="322"/>
    </row>
    <row r="841" ht="15.75" customHeight="1">
      <c r="A841" s="322"/>
      <c r="B841" s="322"/>
      <c r="C841" s="322"/>
      <c r="D841" s="322"/>
      <c r="E841" s="330"/>
      <c r="F841" s="322"/>
      <c r="G841" s="322"/>
      <c r="H841" s="322"/>
      <c r="I841" s="322"/>
      <c r="J841" s="322"/>
      <c r="K841" s="322"/>
      <c r="L841" s="322"/>
      <c r="M841" s="322"/>
      <c r="N841" s="322"/>
      <c r="O841" s="322"/>
      <c r="P841" s="322"/>
      <c r="Q841" s="322"/>
      <c r="R841" s="322"/>
      <c r="S841" s="322"/>
      <c r="T841" s="322"/>
      <c r="U841" s="322"/>
      <c r="V841" s="322"/>
      <c r="W841" s="322"/>
      <c r="X841" s="322"/>
      <c r="Y841" s="322"/>
      <c r="Z841" s="322"/>
      <c r="AA841" s="322"/>
      <c r="AB841" s="322"/>
    </row>
    <row r="842" ht="15.75" customHeight="1">
      <c r="A842" s="322"/>
      <c r="B842" s="322"/>
      <c r="C842" s="322"/>
      <c r="D842" s="322"/>
      <c r="E842" s="330"/>
      <c r="F842" s="322"/>
      <c r="G842" s="322"/>
      <c r="H842" s="322"/>
      <c r="I842" s="322"/>
      <c r="J842" s="322"/>
      <c r="K842" s="322"/>
      <c r="L842" s="322"/>
      <c r="M842" s="322"/>
      <c r="N842" s="322"/>
      <c r="O842" s="322"/>
      <c r="P842" s="322"/>
      <c r="Q842" s="322"/>
      <c r="R842" s="322"/>
      <c r="S842" s="322"/>
      <c r="T842" s="322"/>
      <c r="U842" s="322"/>
      <c r="V842" s="322"/>
      <c r="W842" s="322"/>
      <c r="X842" s="322"/>
      <c r="Y842" s="322"/>
      <c r="Z842" s="322"/>
      <c r="AA842" s="322"/>
      <c r="AB842" s="322"/>
    </row>
    <row r="843" ht="15.75" customHeight="1">
      <c r="A843" s="322"/>
      <c r="B843" s="322"/>
      <c r="C843" s="322"/>
      <c r="D843" s="322"/>
      <c r="E843" s="330"/>
      <c r="F843" s="322"/>
      <c r="G843" s="322"/>
      <c r="H843" s="322"/>
      <c r="I843" s="322"/>
      <c r="J843" s="322"/>
      <c r="K843" s="322"/>
      <c r="L843" s="322"/>
      <c r="M843" s="322"/>
      <c r="N843" s="322"/>
      <c r="O843" s="322"/>
      <c r="P843" s="322"/>
      <c r="Q843" s="322"/>
      <c r="R843" s="322"/>
      <c r="S843" s="322"/>
      <c r="T843" s="322"/>
      <c r="U843" s="322"/>
      <c r="V843" s="322"/>
      <c r="W843" s="322"/>
      <c r="X843" s="322"/>
      <c r="Y843" s="322"/>
      <c r="Z843" s="322"/>
      <c r="AA843" s="322"/>
      <c r="AB843" s="322"/>
    </row>
    <row r="844" ht="15.75" customHeight="1">
      <c r="A844" s="322"/>
      <c r="B844" s="322"/>
      <c r="C844" s="322"/>
      <c r="D844" s="322"/>
      <c r="E844" s="330"/>
      <c r="F844" s="322"/>
      <c r="G844" s="322"/>
      <c r="H844" s="322"/>
      <c r="I844" s="322"/>
      <c r="J844" s="322"/>
      <c r="K844" s="322"/>
      <c r="L844" s="322"/>
      <c r="M844" s="322"/>
      <c r="N844" s="322"/>
      <c r="O844" s="322"/>
      <c r="P844" s="322"/>
      <c r="Q844" s="322"/>
      <c r="R844" s="322"/>
      <c r="S844" s="322"/>
      <c r="T844" s="322"/>
      <c r="U844" s="322"/>
      <c r="V844" s="322"/>
      <c r="W844" s="322"/>
      <c r="X844" s="322"/>
      <c r="Y844" s="322"/>
      <c r="Z844" s="322"/>
      <c r="AA844" s="322"/>
      <c r="AB844" s="322"/>
    </row>
    <row r="845" ht="15.75" customHeight="1">
      <c r="A845" s="322"/>
      <c r="B845" s="322"/>
      <c r="C845" s="322"/>
      <c r="D845" s="322"/>
      <c r="E845" s="330"/>
      <c r="F845" s="322"/>
      <c r="G845" s="322"/>
      <c r="H845" s="322"/>
      <c r="I845" s="322"/>
      <c r="J845" s="322"/>
      <c r="K845" s="322"/>
      <c r="L845" s="322"/>
      <c r="M845" s="322"/>
      <c r="N845" s="322"/>
      <c r="O845" s="322"/>
      <c r="P845" s="322"/>
      <c r="Q845" s="322"/>
      <c r="R845" s="322"/>
      <c r="S845" s="322"/>
      <c r="T845" s="322"/>
      <c r="U845" s="322"/>
      <c r="V845" s="322"/>
      <c r="W845" s="322"/>
      <c r="X845" s="322"/>
      <c r="Y845" s="322"/>
      <c r="Z845" s="322"/>
      <c r="AA845" s="322"/>
      <c r="AB845" s="322"/>
    </row>
    <row r="846" ht="15.75" customHeight="1">
      <c r="A846" s="322"/>
      <c r="B846" s="322"/>
      <c r="C846" s="322"/>
      <c r="D846" s="322"/>
      <c r="E846" s="330"/>
      <c r="F846" s="322"/>
      <c r="G846" s="322"/>
      <c r="H846" s="322"/>
      <c r="I846" s="322"/>
      <c r="J846" s="322"/>
      <c r="K846" s="322"/>
      <c r="L846" s="322"/>
      <c r="M846" s="322"/>
      <c r="N846" s="322"/>
      <c r="O846" s="322"/>
      <c r="P846" s="322"/>
      <c r="Q846" s="322"/>
      <c r="R846" s="322"/>
      <c r="S846" s="322"/>
      <c r="T846" s="322"/>
      <c r="U846" s="322"/>
      <c r="V846" s="322"/>
      <c r="W846" s="322"/>
      <c r="X846" s="322"/>
      <c r="Y846" s="322"/>
      <c r="Z846" s="322"/>
      <c r="AA846" s="322"/>
      <c r="AB846" s="322"/>
    </row>
    <row r="847" ht="15.75" customHeight="1">
      <c r="A847" s="322"/>
      <c r="B847" s="322"/>
      <c r="C847" s="322"/>
      <c r="D847" s="322"/>
      <c r="E847" s="330"/>
      <c r="F847" s="322"/>
      <c r="G847" s="322"/>
      <c r="H847" s="322"/>
      <c r="I847" s="322"/>
      <c r="J847" s="322"/>
      <c r="K847" s="322"/>
      <c r="L847" s="322"/>
      <c r="M847" s="322"/>
      <c r="N847" s="322"/>
      <c r="O847" s="322"/>
      <c r="P847" s="322"/>
      <c r="Q847" s="322"/>
      <c r="R847" s="322"/>
      <c r="S847" s="322"/>
      <c r="T847" s="322"/>
      <c r="U847" s="322"/>
      <c r="V847" s="322"/>
      <c r="W847" s="322"/>
      <c r="X847" s="322"/>
      <c r="Y847" s="322"/>
      <c r="Z847" s="322"/>
      <c r="AA847" s="322"/>
      <c r="AB847" s="322"/>
    </row>
    <row r="848" ht="15.75" customHeight="1">
      <c r="A848" s="322"/>
      <c r="B848" s="322"/>
      <c r="C848" s="322"/>
      <c r="D848" s="322"/>
      <c r="E848" s="330"/>
      <c r="F848" s="322"/>
      <c r="G848" s="322"/>
      <c r="H848" s="322"/>
      <c r="I848" s="322"/>
      <c r="J848" s="322"/>
      <c r="K848" s="322"/>
      <c r="L848" s="322"/>
      <c r="M848" s="322"/>
      <c r="N848" s="322"/>
      <c r="O848" s="322"/>
      <c r="P848" s="322"/>
      <c r="Q848" s="322"/>
      <c r="R848" s="322"/>
      <c r="S848" s="322"/>
      <c r="T848" s="322"/>
      <c r="U848" s="322"/>
      <c r="V848" s="322"/>
      <c r="W848" s="322"/>
      <c r="X848" s="322"/>
      <c r="Y848" s="322"/>
      <c r="Z848" s="322"/>
      <c r="AA848" s="322"/>
      <c r="AB848" s="322"/>
    </row>
    <row r="849" ht="15.75" customHeight="1">
      <c r="A849" s="322"/>
      <c r="B849" s="322"/>
      <c r="C849" s="322"/>
      <c r="D849" s="322"/>
      <c r="E849" s="330"/>
      <c r="F849" s="322"/>
      <c r="G849" s="322"/>
      <c r="H849" s="322"/>
      <c r="I849" s="322"/>
      <c r="J849" s="322"/>
      <c r="K849" s="322"/>
      <c r="L849" s="322"/>
      <c r="M849" s="322"/>
      <c r="N849" s="322"/>
      <c r="O849" s="322"/>
      <c r="P849" s="322"/>
      <c r="Q849" s="322"/>
      <c r="R849" s="322"/>
      <c r="S849" s="322"/>
      <c r="T849" s="322"/>
      <c r="U849" s="322"/>
      <c r="V849" s="322"/>
      <c r="W849" s="322"/>
      <c r="X849" s="322"/>
      <c r="Y849" s="322"/>
      <c r="Z849" s="322"/>
      <c r="AA849" s="322"/>
      <c r="AB849" s="322"/>
    </row>
    <row r="850" ht="15.75" customHeight="1">
      <c r="A850" s="322"/>
      <c r="B850" s="322"/>
      <c r="C850" s="322"/>
      <c r="D850" s="322"/>
      <c r="E850" s="330"/>
      <c r="F850" s="322"/>
      <c r="G850" s="322"/>
      <c r="H850" s="322"/>
      <c r="I850" s="322"/>
      <c r="J850" s="322"/>
      <c r="K850" s="322"/>
      <c r="L850" s="322"/>
      <c r="M850" s="322"/>
      <c r="N850" s="322"/>
      <c r="O850" s="322"/>
      <c r="P850" s="322"/>
      <c r="Q850" s="322"/>
      <c r="R850" s="322"/>
      <c r="S850" s="322"/>
      <c r="T850" s="322"/>
      <c r="U850" s="322"/>
      <c r="V850" s="322"/>
      <c r="W850" s="322"/>
      <c r="X850" s="322"/>
      <c r="Y850" s="322"/>
      <c r="Z850" s="322"/>
      <c r="AA850" s="322"/>
      <c r="AB850" s="322"/>
    </row>
    <row r="851" ht="15.75" customHeight="1">
      <c r="A851" s="322"/>
      <c r="B851" s="322"/>
      <c r="C851" s="322"/>
      <c r="D851" s="322"/>
      <c r="E851" s="330"/>
      <c r="F851" s="322"/>
      <c r="G851" s="322"/>
      <c r="H851" s="322"/>
      <c r="I851" s="322"/>
      <c r="J851" s="322"/>
      <c r="K851" s="322"/>
      <c r="L851" s="322"/>
      <c r="M851" s="322"/>
      <c r="N851" s="322"/>
      <c r="O851" s="322"/>
      <c r="P851" s="322"/>
      <c r="Q851" s="322"/>
      <c r="R851" s="322"/>
      <c r="S851" s="322"/>
      <c r="T851" s="322"/>
      <c r="U851" s="322"/>
      <c r="V851" s="322"/>
      <c r="W851" s="322"/>
      <c r="X851" s="322"/>
      <c r="Y851" s="322"/>
      <c r="Z851" s="322"/>
      <c r="AA851" s="322"/>
      <c r="AB851" s="322"/>
    </row>
    <row r="852" ht="15.75" customHeight="1">
      <c r="A852" s="322"/>
      <c r="B852" s="322"/>
      <c r="C852" s="322"/>
      <c r="D852" s="322"/>
      <c r="E852" s="330"/>
      <c r="F852" s="322"/>
      <c r="G852" s="322"/>
      <c r="H852" s="322"/>
      <c r="I852" s="322"/>
      <c r="J852" s="322"/>
      <c r="K852" s="322"/>
      <c r="L852" s="322"/>
      <c r="M852" s="322"/>
      <c r="N852" s="322"/>
      <c r="O852" s="322"/>
      <c r="P852" s="322"/>
      <c r="Q852" s="322"/>
      <c r="R852" s="322"/>
      <c r="S852" s="322"/>
      <c r="T852" s="322"/>
      <c r="U852" s="322"/>
      <c r="V852" s="322"/>
      <c r="W852" s="322"/>
      <c r="X852" s="322"/>
      <c r="Y852" s="322"/>
      <c r="Z852" s="322"/>
      <c r="AA852" s="322"/>
      <c r="AB852" s="322"/>
    </row>
    <row r="853" ht="15.75" customHeight="1">
      <c r="A853" s="322"/>
      <c r="B853" s="322"/>
      <c r="C853" s="322"/>
      <c r="D853" s="322"/>
      <c r="E853" s="330"/>
      <c r="F853" s="322"/>
      <c r="G853" s="322"/>
      <c r="H853" s="322"/>
      <c r="I853" s="322"/>
      <c r="J853" s="322"/>
      <c r="K853" s="322"/>
      <c r="L853" s="322"/>
      <c r="M853" s="322"/>
      <c r="N853" s="322"/>
      <c r="O853" s="322"/>
      <c r="P853" s="322"/>
      <c r="Q853" s="322"/>
      <c r="R853" s="322"/>
      <c r="S853" s="322"/>
      <c r="T853" s="322"/>
      <c r="U853" s="322"/>
      <c r="V853" s="322"/>
      <c r="W853" s="322"/>
      <c r="X853" s="322"/>
      <c r="Y853" s="322"/>
      <c r="Z853" s="322"/>
      <c r="AA853" s="322"/>
      <c r="AB853" s="322"/>
    </row>
    <row r="854" ht="15.75" customHeight="1">
      <c r="A854" s="322"/>
      <c r="B854" s="322"/>
      <c r="C854" s="322"/>
      <c r="D854" s="322"/>
      <c r="E854" s="330"/>
      <c r="F854" s="322"/>
      <c r="G854" s="322"/>
      <c r="H854" s="322"/>
      <c r="I854" s="322"/>
      <c r="J854" s="322"/>
      <c r="K854" s="322"/>
      <c r="L854" s="322"/>
      <c r="M854" s="322"/>
      <c r="N854" s="322"/>
      <c r="O854" s="322"/>
      <c r="P854" s="322"/>
      <c r="Q854" s="322"/>
      <c r="R854" s="322"/>
      <c r="S854" s="322"/>
      <c r="T854" s="322"/>
      <c r="U854" s="322"/>
      <c r="V854" s="322"/>
      <c r="W854" s="322"/>
      <c r="X854" s="322"/>
      <c r="Y854" s="322"/>
      <c r="Z854" s="322"/>
      <c r="AA854" s="322"/>
      <c r="AB854" s="322"/>
    </row>
    <row r="855" ht="15.75" customHeight="1">
      <c r="A855" s="322"/>
      <c r="B855" s="322"/>
      <c r="C855" s="322"/>
      <c r="D855" s="322"/>
      <c r="E855" s="330"/>
      <c r="F855" s="322"/>
      <c r="G855" s="322"/>
      <c r="H855" s="322"/>
      <c r="I855" s="322"/>
      <c r="J855" s="322"/>
      <c r="K855" s="322"/>
      <c r="L855" s="322"/>
      <c r="M855" s="322"/>
      <c r="N855" s="322"/>
      <c r="O855" s="322"/>
      <c r="P855" s="322"/>
      <c r="Q855" s="322"/>
      <c r="R855" s="322"/>
      <c r="S855" s="322"/>
      <c r="T855" s="322"/>
      <c r="U855" s="322"/>
      <c r="V855" s="322"/>
      <c r="W855" s="322"/>
      <c r="X855" s="322"/>
      <c r="Y855" s="322"/>
      <c r="Z855" s="322"/>
      <c r="AA855" s="322"/>
      <c r="AB855" s="322"/>
    </row>
    <row r="856" ht="15.75" customHeight="1">
      <c r="A856" s="322"/>
      <c r="B856" s="322"/>
      <c r="C856" s="322"/>
      <c r="D856" s="322"/>
      <c r="E856" s="330"/>
      <c r="F856" s="322"/>
      <c r="G856" s="322"/>
      <c r="H856" s="322"/>
      <c r="I856" s="322"/>
      <c r="J856" s="322"/>
      <c r="K856" s="322"/>
      <c r="L856" s="322"/>
      <c r="M856" s="322"/>
      <c r="N856" s="322"/>
      <c r="O856" s="322"/>
      <c r="P856" s="322"/>
      <c r="Q856" s="322"/>
      <c r="R856" s="322"/>
      <c r="S856" s="322"/>
      <c r="T856" s="322"/>
      <c r="U856" s="322"/>
      <c r="V856" s="322"/>
      <c r="W856" s="322"/>
      <c r="X856" s="322"/>
      <c r="Y856" s="322"/>
      <c r="Z856" s="322"/>
      <c r="AA856" s="322"/>
      <c r="AB856" s="322"/>
    </row>
    <row r="857" ht="15.75" customHeight="1">
      <c r="A857" s="322"/>
      <c r="B857" s="322"/>
      <c r="C857" s="322"/>
      <c r="D857" s="322"/>
      <c r="E857" s="330"/>
      <c r="F857" s="322"/>
      <c r="G857" s="322"/>
      <c r="H857" s="322"/>
      <c r="I857" s="322"/>
      <c r="J857" s="322"/>
      <c r="K857" s="322"/>
      <c r="L857" s="322"/>
      <c r="M857" s="322"/>
      <c r="N857" s="322"/>
      <c r="O857" s="322"/>
      <c r="P857" s="322"/>
      <c r="Q857" s="322"/>
      <c r="R857" s="322"/>
      <c r="S857" s="322"/>
      <c r="T857" s="322"/>
      <c r="U857" s="322"/>
      <c r="V857" s="322"/>
      <c r="W857" s="322"/>
      <c r="X857" s="322"/>
      <c r="Y857" s="322"/>
      <c r="Z857" s="322"/>
      <c r="AA857" s="322"/>
      <c r="AB857" s="322"/>
    </row>
    <row r="858" ht="15.75" customHeight="1">
      <c r="A858" s="322"/>
      <c r="B858" s="322"/>
      <c r="C858" s="322"/>
      <c r="D858" s="322"/>
      <c r="E858" s="330"/>
      <c r="F858" s="322"/>
      <c r="G858" s="322"/>
      <c r="H858" s="322"/>
      <c r="I858" s="322"/>
      <c r="J858" s="322"/>
      <c r="K858" s="322"/>
      <c r="L858" s="322"/>
      <c r="M858" s="322"/>
      <c r="N858" s="322"/>
      <c r="O858" s="322"/>
      <c r="P858" s="322"/>
      <c r="Q858" s="322"/>
      <c r="R858" s="322"/>
      <c r="S858" s="322"/>
      <c r="T858" s="322"/>
      <c r="U858" s="322"/>
      <c r="V858" s="322"/>
      <c r="W858" s="322"/>
      <c r="X858" s="322"/>
      <c r="Y858" s="322"/>
      <c r="Z858" s="322"/>
      <c r="AA858" s="322"/>
      <c r="AB858" s="322"/>
    </row>
    <row r="859" ht="15.75" customHeight="1">
      <c r="A859" s="322"/>
      <c r="B859" s="322"/>
      <c r="C859" s="322"/>
      <c r="D859" s="322"/>
      <c r="E859" s="330"/>
      <c r="F859" s="322"/>
      <c r="G859" s="322"/>
      <c r="H859" s="322"/>
      <c r="I859" s="322"/>
      <c r="J859" s="322"/>
      <c r="K859" s="322"/>
      <c r="L859" s="322"/>
      <c r="M859" s="322"/>
      <c r="N859" s="322"/>
      <c r="O859" s="322"/>
      <c r="P859" s="322"/>
      <c r="Q859" s="322"/>
      <c r="R859" s="322"/>
      <c r="S859" s="322"/>
      <c r="T859" s="322"/>
      <c r="U859" s="322"/>
      <c r="V859" s="322"/>
      <c r="W859" s="322"/>
      <c r="X859" s="322"/>
      <c r="Y859" s="322"/>
      <c r="Z859" s="322"/>
      <c r="AA859" s="322"/>
      <c r="AB859" s="322"/>
    </row>
    <row r="860" ht="15.75" customHeight="1">
      <c r="A860" s="322"/>
      <c r="B860" s="322"/>
      <c r="C860" s="322"/>
      <c r="D860" s="322"/>
      <c r="E860" s="330"/>
      <c r="F860" s="322"/>
      <c r="G860" s="322"/>
      <c r="H860" s="322"/>
      <c r="I860" s="322"/>
      <c r="J860" s="322"/>
      <c r="K860" s="322"/>
      <c r="L860" s="322"/>
      <c r="M860" s="322"/>
      <c r="N860" s="322"/>
      <c r="O860" s="322"/>
      <c r="P860" s="322"/>
      <c r="Q860" s="322"/>
      <c r="R860" s="322"/>
      <c r="S860" s="322"/>
      <c r="T860" s="322"/>
      <c r="U860" s="322"/>
      <c r="V860" s="322"/>
      <c r="W860" s="322"/>
      <c r="X860" s="322"/>
      <c r="Y860" s="322"/>
      <c r="Z860" s="322"/>
      <c r="AA860" s="322"/>
      <c r="AB860" s="322"/>
    </row>
    <row r="861" ht="15.75" customHeight="1">
      <c r="A861" s="322"/>
      <c r="B861" s="322"/>
      <c r="C861" s="322"/>
      <c r="D861" s="322"/>
      <c r="E861" s="330"/>
      <c r="F861" s="322"/>
      <c r="G861" s="322"/>
      <c r="H861" s="322"/>
      <c r="I861" s="322"/>
      <c r="J861" s="322"/>
      <c r="K861" s="322"/>
      <c r="L861" s="322"/>
      <c r="M861" s="322"/>
      <c r="N861" s="322"/>
      <c r="O861" s="322"/>
      <c r="P861" s="322"/>
      <c r="Q861" s="322"/>
      <c r="R861" s="322"/>
      <c r="S861" s="322"/>
      <c r="T861" s="322"/>
      <c r="U861" s="322"/>
      <c r="V861" s="322"/>
      <c r="W861" s="322"/>
      <c r="X861" s="322"/>
      <c r="Y861" s="322"/>
      <c r="Z861" s="322"/>
      <c r="AA861" s="322"/>
      <c r="AB861" s="322"/>
    </row>
    <row r="862" ht="15.75" customHeight="1">
      <c r="A862" s="322"/>
      <c r="B862" s="322"/>
      <c r="C862" s="322"/>
      <c r="D862" s="322"/>
      <c r="E862" s="330"/>
      <c r="F862" s="322"/>
      <c r="G862" s="322"/>
      <c r="H862" s="322"/>
      <c r="I862" s="322"/>
      <c r="J862" s="322"/>
      <c r="K862" s="322"/>
      <c r="L862" s="322"/>
      <c r="M862" s="322"/>
      <c r="N862" s="322"/>
      <c r="O862" s="322"/>
      <c r="P862" s="322"/>
      <c r="Q862" s="322"/>
      <c r="R862" s="322"/>
      <c r="S862" s="322"/>
      <c r="T862" s="322"/>
      <c r="U862" s="322"/>
      <c r="V862" s="322"/>
      <c r="W862" s="322"/>
      <c r="X862" s="322"/>
      <c r="Y862" s="322"/>
      <c r="Z862" s="322"/>
      <c r="AA862" s="322"/>
      <c r="AB862" s="322"/>
    </row>
    <row r="863" ht="15.75" customHeight="1">
      <c r="A863" s="322"/>
      <c r="B863" s="322"/>
      <c r="C863" s="322"/>
      <c r="D863" s="322"/>
      <c r="E863" s="330"/>
      <c r="F863" s="322"/>
      <c r="G863" s="322"/>
      <c r="H863" s="322"/>
      <c r="I863" s="322"/>
      <c r="J863" s="322"/>
      <c r="K863" s="322"/>
      <c r="L863" s="322"/>
      <c r="M863" s="322"/>
      <c r="N863" s="322"/>
      <c r="O863" s="322"/>
      <c r="P863" s="322"/>
      <c r="Q863" s="322"/>
      <c r="R863" s="322"/>
      <c r="S863" s="322"/>
      <c r="T863" s="322"/>
      <c r="U863" s="322"/>
      <c r="V863" s="322"/>
      <c r="W863" s="322"/>
      <c r="X863" s="322"/>
      <c r="Y863" s="322"/>
      <c r="Z863" s="322"/>
      <c r="AA863" s="322"/>
      <c r="AB863" s="322"/>
    </row>
    <row r="864" ht="15.75" customHeight="1">
      <c r="A864" s="322"/>
      <c r="B864" s="322"/>
      <c r="C864" s="322"/>
      <c r="D864" s="322"/>
      <c r="E864" s="330"/>
      <c r="F864" s="322"/>
      <c r="G864" s="322"/>
      <c r="H864" s="322"/>
      <c r="I864" s="322"/>
      <c r="J864" s="322"/>
      <c r="K864" s="322"/>
      <c r="L864" s="322"/>
      <c r="M864" s="322"/>
      <c r="N864" s="322"/>
      <c r="O864" s="322"/>
      <c r="P864" s="322"/>
      <c r="Q864" s="322"/>
      <c r="R864" s="322"/>
      <c r="S864" s="322"/>
      <c r="T864" s="322"/>
      <c r="U864" s="322"/>
      <c r="V864" s="322"/>
      <c r="W864" s="322"/>
      <c r="X864" s="322"/>
      <c r="Y864" s="322"/>
      <c r="Z864" s="322"/>
      <c r="AA864" s="322"/>
      <c r="AB864" s="322"/>
    </row>
    <row r="865" ht="15.75" customHeight="1">
      <c r="A865" s="322"/>
      <c r="B865" s="322"/>
      <c r="C865" s="322"/>
      <c r="D865" s="322"/>
      <c r="E865" s="330"/>
      <c r="F865" s="322"/>
      <c r="G865" s="322"/>
      <c r="H865" s="322"/>
      <c r="I865" s="322"/>
      <c r="J865" s="322"/>
      <c r="K865" s="322"/>
      <c r="L865" s="322"/>
      <c r="M865" s="322"/>
      <c r="N865" s="322"/>
      <c r="O865" s="322"/>
      <c r="P865" s="322"/>
      <c r="Q865" s="322"/>
      <c r="R865" s="322"/>
      <c r="S865" s="322"/>
      <c r="T865" s="322"/>
      <c r="U865" s="322"/>
      <c r="V865" s="322"/>
      <c r="W865" s="322"/>
      <c r="X865" s="322"/>
      <c r="Y865" s="322"/>
      <c r="Z865" s="322"/>
      <c r="AA865" s="322"/>
      <c r="AB865" s="322"/>
    </row>
    <row r="866" ht="15.75" customHeight="1">
      <c r="A866" s="322"/>
      <c r="B866" s="322"/>
      <c r="C866" s="322"/>
      <c r="D866" s="322"/>
      <c r="E866" s="330"/>
      <c r="F866" s="322"/>
      <c r="G866" s="322"/>
      <c r="H866" s="322"/>
      <c r="I866" s="322"/>
      <c r="J866" s="322"/>
      <c r="K866" s="322"/>
      <c r="L866" s="322"/>
      <c r="M866" s="322"/>
      <c r="N866" s="322"/>
      <c r="O866" s="322"/>
      <c r="P866" s="322"/>
      <c r="Q866" s="322"/>
      <c r="R866" s="322"/>
      <c r="S866" s="322"/>
      <c r="T866" s="322"/>
      <c r="U866" s="322"/>
      <c r="V866" s="322"/>
      <c r="W866" s="322"/>
      <c r="X866" s="322"/>
      <c r="Y866" s="322"/>
      <c r="Z866" s="322"/>
      <c r="AA866" s="322"/>
      <c r="AB866" s="322"/>
    </row>
    <row r="867" ht="15.75" customHeight="1">
      <c r="A867" s="322"/>
      <c r="B867" s="322"/>
      <c r="C867" s="322"/>
      <c r="D867" s="322"/>
      <c r="E867" s="330"/>
      <c r="F867" s="322"/>
      <c r="G867" s="322"/>
      <c r="H867" s="322"/>
      <c r="I867" s="322"/>
      <c r="J867" s="322"/>
      <c r="K867" s="322"/>
      <c r="L867" s="322"/>
      <c r="M867" s="322"/>
      <c r="N867" s="322"/>
      <c r="O867" s="322"/>
      <c r="P867" s="322"/>
      <c r="Q867" s="322"/>
      <c r="R867" s="322"/>
      <c r="S867" s="322"/>
      <c r="T867" s="322"/>
      <c r="U867" s="322"/>
      <c r="V867" s="322"/>
      <c r="W867" s="322"/>
      <c r="X867" s="322"/>
      <c r="Y867" s="322"/>
      <c r="Z867" s="322"/>
      <c r="AA867" s="322"/>
      <c r="AB867" s="322"/>
    </row>
    <row r="868" ht="15.75" customHeight="1">
      <c r="A868" s="322"/>
      <c r="B868" s="322"/>
      <c r="C868" s="322"/>
      <c r="D868" s="322"/>
      <c r="E868" s="330"/>
      <c r="F868" s="322"/>
      <c r="G868" s="322"/>
      <c r="H868" s="322"/>
      <c r="I868" s="322"/>
      <c r="J868" s="322"/>
      <c r="K868" s="322"/>
      <c r="L868" s="322"/>
      <c r="M868" s="322"/>
      <c r="N868" s="322"/>
      <c r="O868" s="322"/>
      <c r="P868" s="322"/>
      <c r="Q868" s="322"/>
      <c r="R868" s="322"/>
      <c r="S868" s="322"/>
      <c r="T868" s="322"/>
      <c r="U868" s="322"/>
      <c r="V868" s="322"/>
      <c r="W868" s="322"/>
      <c r="X868" s="322"/>
      <c r="Y868" s="322"/>
      <c r="Z868" s="322"/>
      <c r="AA868" s="322"/>
      <c r="AB868" s="322"/>
    </row>
    <row r="869" ht="15.75" customHeight="1">
      <c r="A869" s="322"/>
      <c r="B869" s="322"/>
      <c r="C869" s="322"/>
      <c r="D869" s="322"/>
      <c r="E869" s="330"/>
      <c r="F869" s="322"/>
      <c r="G869" s="322"/>
      <c r="H869" s="322"/>
      <c r="I869" s="322"/>
      <c r="J869" s="322"/>
      <c r="K869" s="322"/>
      <c r="L869" s="322"/>
      <c r="M869" s="322"/>
      <c r="N869" s="322"/>
      <c r="O869" s="322"/>
      <c r="P869" s="322"/>
      <c r="Q869" s="322"/>
      <c r="R869" s="322"/>
      <c r="S869" s="322"/>
      <c r="T869" s="322"/>
      <c r="U869" s="322"/>
      <c r="V869" s="322"/>
      <c r="W869" s="322"/>
      <c r="X869" s="322"/>
      <c r="Y869" s="322"/>
      <c r="Z869" s="322"/>
      <c r="AA869" s="322"/>
      <c r="AB869" s="322"/>
    </row>
    <row r="870" ht="15.75" customHeight="1">
      <c r="A870" s="322"/>
      <c r="B870" s="322"/>
      <c r="C870" s="322"/>
      <c r="D870" s="322"/>
      <c r="E870" s="330"/>
      <c r="F870" s="322"/>
      <c r="G870" s="322"/>
      <c r="H870" s="322"/>
      <c r="I870" s="322"/>
      <c r="J870" s="322"/>
      <c r="K870" s="322"/>
      <c r="L870" s="322"/>
      <c r="M870" s="322"/>
      <c r="N870" s="322"/>
      <c r="O870" s="322"/>
      <c r="P870" s="322"/>
      <c r="Q870" s="322"/>
      <c r="R870" s="322"/>
      <c r="S870" s="322"/>
      <c r="T870" s="322"/>
      <c r="U870" s="322"/>
      <c r="V870" s="322"/>
      <c r="W870" s="322"/>
      <c r="X870" s="322"/>
      <c r="Y870" s="322"/>
      <c r="Z870" s="322"/>
      <c r="AA870" s="322"/>
      <c r="AB870" s="322"/>
    </row>
    <row r="871" ht="15.75" customHeight="1">
      <c r="A871" s="322"/>
      <c r="B871" s="322"/>
      <c r="C871" s="322"/>
      <c r="D871" s="322"/>
      <c r="E871" s="330"/>
      <c r="F871" s="322"/>
      <c r="G871" s="322"/>
      <c r="H871" s="322"/>
      <c r="I871" s="322"/>
      <c r="J871" s="322"/>
      <c r="K871" s="322"/>
      <c r="L871" s="322"/>
      <c r="M871" s="322"/>
      <c r="N871" s="322"/>
      <c r="O871" s="322"/>
      <c r="P871" s="322"/>
      <c r="Q871" s="322"/>
      <c r="R871" s="322"/>
      <c r="S871" s="322"/>
      <c r="T871" s="322"/>
      <c r="U871" s="322"/>
      <c r="V871" s="322"/>
      <c r="W871" s="322"/>
      <c r="X871" s="322"/>
      <c r="Y871" s="322"/>
      <c r="Z871" s="322"/>
      <c r="AA871" s="322"/>
      <c r="AB871" s="322"/>
    </row>
    <row r="872" ht="15.75" customHeight="1">
      <c r="A872" s="322"/>
      <c r="B872" s="322"/>
      <c r="C872" s="322"/>
      <c r="D872" s="322"/>
      <c r="E872" s="330"/>
      <c r="F872" s="322"/>
      <c r="G872" s="322"/>
      <c r="H872" s="322"/>
      <c r="I872" s="322"/>
      <c r="J872" s="322"/>
      <c r="K872" s="322"/>
      <c r="L872" s="322"/>
      <c r="M872" s="322"/>
      <c r="N872" s="322"/>
      <c r="O872" s="322"/>
      <c r="P872" s="322"/>
      <c r="Q872" s="322"/>
      <c r="R872" s="322"/>
      <c r="S872" s="322"/>
      <c r="T872" s="322"/>
      <c r="U872" s="322"/>
      <c r="V872" s="322"/>
      <c r="W872" s="322"/>
      <c r="X872" s="322"/>
      <c r="Y872" s="322"/>
      <c r="Z872" s="322"/>
      <c r="AA872" s="322"/>
      <c r="AB872" s="322"/>
    </row>
    <row r="873" ht="15.75" customHeight="1">
      <c r="A873" s="322"/>
      <c r="B873" s="322"/>
      <c r="C873" s="322"/>
      <c r="D873" s="322"/>
      <c r="E873" s="330"/>
      <c r="F873" s="322"/>
      <c r="G873" s="322"/>
      <c r="H873" s="322"/>
      <c r="I873" s="322"/>
      <c r="J873" s="322"/>
      <c r="K873" s="322"/>
      <c r="L873" s="322"/>
      <c r="M873" s="322"/>
      <c r="N873" s="322"/>
      <c r="O873" s="322"/>
      <c r="P873" s="322"/>
      <c r="Q873" s="322"/>
      <c r="R873" s="322"/>
      <c r="S873" s="322"/>
      <c r="T873" s="322"/>
      <c r="U873" s="322"/>
      <c r="V873" s="322"/>
      <c r="W873" s="322"/>
      <c r="X873" s="322"/>
      <c r="Y873" s="322"/>
      <c r="Z873" s="322"/>
      <c r="AA873" s="322"/>
      <c r="AB873" s="322"/>
    </row>
    <row r="874" ht="15.75" customHeight="1">
      <c r="A874" s="322"/>
      <c r="B874" s="322"/>
      <c r="C874" s="322"/>
      <c r="D874" s="322"/>
      <c r="E874" s="330"/>
      <c r="F874" s="322"/>
      <c r="G874" s="322"/>
      <c r="H874" s="322"/>
      <c r="I874" s="322"/>
      <c r="J874" s="322"/>
      <c r="K874" s="322"/>
      <c r="L874" s="322"/>
      <c r="M874" s="322"/>
      <c r="N874" s="322"/>
      <c r="O874" s="322"/>
      <c r="P874" s="322"/>
      <c r="Q874" s="322"/>
      <c r="R874" s="322"/>
      <c r="S874" s="322"/>
      <c r="T874" s="322"/>
      <c r="U874" s="322"/>
      <c r="V874" s="322"/>
      <c r="W874" s="322"/>
      <c r="X874" s="322"/>
      <c r="Y874" s="322"/>
      <c r="Z874" s="322"/>
      <c r="AA874" s="322"/>
      <c r="AB874" s="322"/>
    </row>
    <row r="875" ht="15.75" customHeight="1">
      <c r="A875" s="322"/>
      <c r="B875" s="322"/>
      <c r="C875" s="322"/>
      <c r="D875" s="322"/>
      <c r="E875" s="330"/>
      <c r="F875" s="322"/>
      <c r="G875" s="322"/>
      <c r="H875" s="322"/>
      <c r="I875" s="322"/>
      <c r="J875" s="322"/>
      <c r="K875" s="322"/>
      <c r="L875" s="322"/>
      <c r="M875" s="322"/>
      <c r="N875" s="322"/>
      <c r="O875" s="322"/>
      <c r="P875" s="322"/>
      <c r="Q875" s="322"/>
      <c r="R875" s="322"/>
      <c r="S875" s="322"/>
      <c r="T875" s="322"/>
      <c r="U875" s="322"/>
      <c r="V875" s="322"/>
      <c r="W875" s="322"/>
      <c r="X875" s="322"/>
      <c r="Y875" s="322"/>
      <c r="Z875" s="322"/>
      <c r="AA875" s="322"/>
      <c r="AB875" s="322"/>
    </row>
    <row r="876" ht="15.75" customHeight="1">
      <c r="A876" s="322"/>
      <c r="B876" s="322"/>
      <c r="C876" s="322"/>
      <c r="D876" s="322"/>
      <c r="E876" s="330"/>
      <c r="F876" s="322"/>
      <c r="G876" s="322"/>
      <c r="H876" s="322"/>
      <c r="I876" s="322"/>
      <c r="J876" s="322"/>
      <c r="K876" s="322"/>
      <c r="L876" s="322"/>
      <c r="M876" s="322"/>
      <c r="N876" s="322"/>
      <c r="O876" s="322"/>
      <c r="P876" s="322"/>
      <c r="Q876" s="322"/>
      <c r="R876" s="322"/>
      <c r="S876" s="322"/>
      <c r="T876" s="322"/>
      <c r="U876" s="322"/>
      <c r="V876" s="322"/>
      <c r="W876" s="322"/>
      <c r="X876" s="322"/>
      <c r="Y876" s="322"/>
      <c r="Z876" s="322"/>
      <c r="AA876" s="322"/>
      <c r="AB876" s="322"/>
    </row>
    <row r="877" ht="15.75" customHeight="1">
      <c r="A877" s="322"/>
      <c r="B877" s="322"/>
      <c r="C877" s="322"/>
      <c r="D877" s="322"/>
      <c r="E877" s="330"/>
      <c r="F877" s="322"/>
      <c r="G877" s="322"/>
      <c r="H877" s="322"/>
      <c r="I877" s="322"/>
      <c r="J877" s="322"/>
      <c r="K877" s="322"/>
      <c r="L877" s="322"/>
      <c r="M877" s="322"/>
      <c r="N877" s="322"/>
      <c r="O877" s="322"/>
      <c r="P877" s="322"/>
      <c r="Q877" s="322"/>
      <c r="R877" s="322"/>
      <c r="S877" s="322"/>
      <c r="T877" s="322"/>
      <c r="U877" s="322"/>
      <c r="V877" s="322"/>
      <c r="W877" s="322"/>
      <c r="X877" s="322"/>
      <c r="Y877" s="322"/>
      <c r="Z877" s="322"/>
      <c r="AA877" s="322"/>
      <c r="AB877" s="322"/>
    </row>
    <row r="878" ht="15.75" customHeight="1">
      <c r="A878" s="322"/>
      <c r="B878" s="322"/>
      <c r="C878" s="322"/>
      <c r="D878" s="322"/>
      <c r="E878" s="330"/>
      <c r="F878" s="322"/>
      <c r="G878" s="322"/>
      <c r="H878" s="322"/>
      <c r="I878" s="322"/>
      <c r="J878" s="322"/>
      <c r="K878" s="322"/>
      <c r="L878" s="322"/>
      <c r="M878" s="322"/>
      <c r="N878" s="322"/>
      <c r="O878" s="322"/>
      <c r="P878" s="322"/>
      <c r="Q878" s="322"/>
      <c r="R878" s="322"/>
      <c r="S878" s="322"/>
      <c r="T878" s="322"/>
      <c r="U878" s="322"/>
      <c r="V878" s="322"/>
      <c r="W878" s="322"/>
      <c r="X878" s="322"/>
      <c r="Y878" s="322"/>
      <c r="Z878" s="322"/>
      <c r="AA878" s="322"/>
      <c r="AB878" s="322"/>
    </row>
    <row r="879" ht="15.75" customHeight="1">
      <c r="A879" s="322"/>
      <c r="B879" s="322"/>
      <c r="C879" s="322"/>
      <c r="D879" s="322"/>
      <c r="E879" s="330"/>
      <c r="F879" s="322"/>
      <c r="G879" s="322"/>
      <c r="H879" s="322"/>
      <c r="I879" s="322"/>
      <c r="J879" s="322"/>
      <c r="K879" s="322"/>
      <c r="L879" s="322"/>
      <c r="M879" s="322"/>
      <c r="N879" s="322"/>
      <c r="O879" s="322"/>
      <c r="P879" s="322"/>
      <c r="Q879" s="322"/>
      <c r="R879" s="322"/>
      <c r="S879" s="322"/>
      <c r="T879" s="322"/>
      <c r="U879" s="322"/>
      <c r="V879" s="322"/>
      <c r="W879" s="322"/>
      <c r="X879" s="322"/>
      <c r="Y879" s="322"/>
      <c r="Z879" s="322"/>
      <c r="AA879" s="322"/>
      <c r="AB879" s="322"/>
    </row>
    <row r="880" ht="15.75" customHeight="1">
      <c r="A880" s="322"/>
      <c r="B880" s="322"/>
      <c r="C880" s="322"/>
      <c r="D880" s="322"/>
      <c r="E880" s="330"/>
      <c r="F880" s="322"/>
      <c r="G880" s="322"/>
      <c r="H880" s="322"/>
      <c r="I880" s="322"/>
      <c r="J880" s="322"/>
      <c r="K880" s="322"/>
      <c r="L880" s="322"/>
      <c r="M880" s="322"/>
      <c r="N880" s="322"/>
      <c r="O880" s="322"/>
      <c r="P880" s="322"/>
      <c r="Q880" s="322"/>
      <c r="R880" s="322"/>
      <c r="S880" s="322"/>
      <c r="T880" s="322"/>
      <c r="U880" s="322"/>
      <c r="V880" s="322"/>
      <c r="W880" s="322"/>
      <c r="X880" s="322"/>
      <c r="Y880" s="322"/>
      <c r="Z880" s="322"/>
      <c r="AA880" s="322"/>
      <c r="AB880" s="322"/>
    </row>
    <row r="881" ht="15.75" customHeight="1">
      <c r="A881" s="322"/>
      <c r="B881" s="322"/>
      <c r="C881" s="322"/>
      <c r="D881" s="322"/>
      <c r="E881" s="330"/>
      <c r="F881" s="322"/>
      <c r="G881" s="322"/>
      <c r="H881" s="322"/>
      <c r="I881" s="322"/>
      <c r="J881" s="322"/>
      <c r="K881" s="322"/>
      <c r="L881" s="322"/>
      <c r="M881" s="322"/>
      <c r="N881" s="322"/>
      <c r="O881" s="322"/>
      <c r="P881" s="322"/>
      <c r="Q881" s="322"/>
      <c r="R881" s="322"/>
      <c r="S881" s="322"/>
      <c r="T881" s="322"/>
      <c r="U881" s="322"/>
      <c r="V881" s="322"/>
      <c r="W881" s="322"/>
      <c r="X881" s="322"/>
      <c r="Y881" s="322"/>
      <c r="Z881" s="322"/>
      <c r="AA881" s="322"/>
      <c r="AB881" s="322"/>
    </row>
    <row r="882" ht="15.75" customHeight="1">
      <c r="A882" s="322"/>
      <c r="B882" s="322"/>
      <c r="C882" s="322"/>
      <c r="D882" s="322"/>
      <c r="E882" s="330"/>
      <c r="F882" s="322"/>
      <c r="G882" s="322"/>
      <c r="H882" s="322"/>
      <c r="I882" s="322"/>
      <c r="J882" s="322"/>
      <c r="K882" s="322"/>
      <c r="L882" s="322"/>
      <c r="M882" s="322"/>
      <c r="N882" s="322"/>
      <c r="O882" s="322"/>
      <c r="P882" s="322"/>
      <c r="Q882" s="322"/>
      <c r="R882" s="322"/>
      <c r="S882" s="322"/>
      <c r="T882" s="322"/>
      <c r="U882" s="322"/>
      <c r="V882" s="322"/>
      <c r="W882" s="322"/>
      <c r="X882" s="322"/>
      <c r="Y882" s="322"/>
      <c r="Z882" s="322"/>
      <c r="AA882" s="322"/>
      <c r="AB882" s="322"/>
    </row>
    <row r="883" ht="15.75" customHeight="1">
      <c r="A883" s="322"/>
      <c r="B883" s="322"/>
      <c r="C883" s="322"/>
      <c r="D883" s="322"/>
      <c r="E883" s="330"/>
      <c r="F883" s="322"/>
      <c r="G883" s="322"/>
      <c r="H883" s="322"/>
      <c r="I883" s="322"/>
      <c r="J883" s="322"/>
      <c r="K883" s="322"/>
      <c r="L883" s="322"/>
      <c r="M883" s="322"/>
      <c r="N883" s="322"/>
      <c r="O883" s="322"/>
      <c r="P883" s="322"/>
      <c r="Q883" s="322"/>
      <c r="R883" s="322"/>
      <c r="S883" s="322"/>
      <c r="T883" s="322"/>
      <c r="U883" s="322"/>
      <c r="V883" s="322"/>
      <c r="W883" s="322"/>
      <c r="X883" s="322"/>
      <c r="Y883" s="322"/>
      <c r="Z883" s="322"/>
      <c r="AA883" s="322"/>
      <c r="AB883" s="322"/>
    </row>
    <row r="884" ht="15.75" customHeight="1">
      <c r="A884" s="322"/>
      <c r="B884" s="322"/>
      <c r="C884" s="322"/>
      <c r="D884" s="322"/>
      <c r="E884" s="330"/>
      <c r="F884" s="322"/>
      <c r="G884" s="322"/>
      <c r="H884" s="322"/>
      <c r="I884" s="322"/>
      <c r="J884" s="322"/>
      <c r="K884" s="322"/>
      <c r="L884" s="322"/>
      <c r="M884" s="322"/>
      <c r="N884" s="322"/>
      <c r="O884" s="322"/>
      <c r="P884" s="322"/>
      <c r="Q884" s="322"/>
      <c r="R884" s="322"/>
      <c r="S884" s="322"/>
      <c r="T884" s="322"/>
      <c r="U884" s="322"/>
      <c r="V884" s="322"/>
      <c r="W884" s="322"/>
      <c r="X884" s="322"/>
      <c r="Y884" s="322"/>
      <c r="Z884" s="322"/>
      <c r="AA884" s="322"/>
      <c r="AB884" s="322"/>
    </row>
    <row r="885" ht="15.75" customHeight="1">
      <c r="A885" s="322"/>
      <c r="B885" s="322"/>
      <c r="C885" s="322"/>
      <c r="D885" s="322"/>
      <c r="E885" s="330"/>
      <c r="F885" s="322"/>
      <c r="G885" s="322"/>
      <c r="H885" s="322"/>
      <c r="I885" s="322"/>
      <c r="J885" s="322"/>
      <c r="K885" s="322"/>
      <c r="L885" s="322"/>
      <c r="M885" s="322"/>
      <c r="N885" s="322"/>
      <c r="O885" s="322"/>
      <c r="P885" s="322"/>
      <c r="Q885" s="322"/>
      <c r="R885" s="322"/>
      <c r="S885" s="322"/>
      <c r="T885" s="322"/>
      <c r="U885" s="322"/>
      <c r="V885" s="322"/>
      <c r="W885" s="322"/>
      <c r="X885" s="322"/>
      <c r="Y885" s="322"/>
      <c r="Z885" s="322"/>
      <c r="AA885" s="322"/>
      <c r="AB885" s="322"/>
    </row>
    <row r="886" ht="15.75" customHeight="1">
      <c r="A886" s="322"/>
      <c r="B886" s="322"/>
      <c r="C886" s="322"/>
      <c r="D886" s="322"/>
      <c r="E886" s="330"/>
      <c r="F886" s="322"/>
      <c r="G886" s="322"/>
      <c r="H886" s="322"/>
      <c r="I886" s="322"/>
      <c r="J886" s="322"/>
      <c r="K886" s="322"/>
      <c r="L886" s="322"/>
      <c r="M886" s="322"/>
      <c r="N886" s="322"/>
      <c r="O886" s="322"/>
      <c r="P886" s="322"/>
      <c r="Q886" s="322"/>
      <c r="R886" s="322"/>
      <c r="S886" s="322"/>
      <c r="T886" s="322"/>
      <c r="U886" s="322"/>
      <c r="V886" s="322"/>
      <c r="W886" s="322"/>
      <c r="X886" s="322"/>
      <c r="Y886" s="322"/>
      <c r="Z886" s="322"/>
      <c r="AA886" s="322"/>
      <c r="AB886" s="322"/>
    </row>
    <row r="887" ht="15.75" customHeight="1">
      <c r="A887" s="322"/>
      <c r="B887" s="322"/>
      <c r="C887" s="322"/>
      <c r="D887" s="322"/>
      <c r="E887" s="330"/>
      <c r="F887" s="322"/>
      <c r="G887" s="322"/>
      <c r="H887" s="322"/>
      <c r="I887" s="322"/>
      <c r="J887" s="322"/>
      <c r="K887" s="322"/>
      <c r="L887" s="322"/>
      <c r="M887" s="322"/>
      <c r="N887" s="322"/>
      <c r="O887" s="322"/>
      <c r="P887" s="322"/>
      <c r="Q887" s="322"/>
      <c r="R887" s="322"/>
      <c r="S887" s="322"/>
      <c r="T887" s="322"/>
      <c r="U887" s="322"/>
      <c r="V887" s="322"/>
      <c r="W887" s="322"/>
      <c r="X887" s="322"/>
      <c r="Y887" s="322"/>
      <c r="Z887" s="322"/>
      <c r="AA887" s="322"/>
      <c r="AB887" s="322"/>
    </row>
    <row r="888" ht="15.75" customHeight="1">
      <c r="A888" s="322"/>
      <c r="B888" s="322"/>
      <c r="C888" s="322"/>
      <c r="D888" s="322"/>
      <c r="E888" s="330"/>
      <c r="F888" s="322"/>
      <c r="G888" s="322"/>
      <c r="H888" s="322"/>
      <c r="I888" s="322"/>
      <c r="J888" s="322"/>
      <c r="K888" s="322"/>
      <c r="L888" s="322"/>
      <c r="M888" s="322"/>
      <c r="N888" s="322"/>
      <c r="O888" s="322"/>
      <c r="P888" s="322"/>
      <c r="Q888" s="322"/>
      <c r="R888" s="322"/>
      <c r="S888" s="322"/>
      <c r="T888" s="322"/>
      <c r="U888" s="322"/>
      <c r="V888" s="322"/>
      <c r="W888" s="322"/>
      <c r="X888" s="322"/>
      <c r="Y888" s="322"/>
      <c r="Z888" s="322"/>
      <c r="AA888" s="322"/>
      <c r="AB888" s="322"/>
    </row>
    <row r="889" ht="15.75" customHeight="1">
      <c r="A889" s="322"/>
      <c r="B889" s="322"/>
      <c r="C889" s="322"/>
      <c r="D889" s="322"/>
      <c r="E889" s="330"/>
      <c r="F889" s="322"/>
      <c r="G889" s="322"/>
      <c r="H889" s="322"/>
      <c r="I889" s="322"/>
      <c r="J889" s="322"/>
      <c r="K889" s="322"/>
      <c r="L889" s="322"/>
      <c r="M889" s="322"/>
      <c r="N889" s="322"/>
      <c r="O889" s="322"/>
      <c r="P889" s="322"/>
      <c r="Q889" s="322"/>
      <c r="R889" s="322"/>
      <c r="S889" s="322"/>
      <c r="T889" s="322"/>
      <c r="U889" s="322"/>
      <c r="V889" s="322"/>
      <c r="W889" s="322"/>
      <c r="X889" s="322"/>
      <c r="Y889" s="322"/>
      <c r="Z889" s="322"/>
      <c r="AA889" s="322"/>
      <c r="AB889" s="322"/>
    </row>
    <row r="890" ht="15.75" customHeight="1">
      <c r="A890" s="322"/>
      <c r="B890" s="322"/>
      <c r="C890" s="322"/>
      <c r="D890" s="322"/>
      <c r="E890" s="330"/>
      <c r="F890" s="322"/>
      <c r="G890" s="322"/>
      <c r="H890" s="322"/>
      <c r="I890" s="322"/>
      <c r="J890" s="322"/>
      <c r="K890" s="322"/>
      <c r="L890" s="322"/>
      <c r="M890" s="322"/>
      <c r="N890" s="322"/>
      <c r="O890" s="322"/>
      <c r="P890" s="322"/>
      <c r="Q890" s="322"/>
      <c r="R890" s="322"/>
      <c r="S890" s="322"/>
      <c r="T890" s="322"/>
      <c r="U890" s="322"/>
      <c r="V890" s="322"/>
      <c r="W890" s="322"/>
      <c r="X890" s="322"/>
      <c r="Y890" s="322"/>
      <c r="Z890" s="322"/>
      <c r="AA890" s="322"/>
      <c r="AB890" s="322"/>
    </row>
    <row r="891" ht="15.75" customHeight="1">
      <c r="A891" s="322"/>
      <c r="B891" s="322"/>
      <c r="C891" s="322"/>
      <c r="D891" s="322"/>
      <c r="E891" s="330"/>
      <c r="F891" s="322"/>
      <c r="G891" s="322"/>
      <c r="H891" s="322"/>
      <c r="I891" s="322"/>
      <c r="J891" s="322"/>
      <c r="K891" s="322"/>
      <c r="L891" s="322"/>
      <c r="M891" s="322"/>
      <c r="N891" s="322"/>
      <c r="O891" s="322"/>
      <c r="P891" s="322"/>
      <c r="Q891" s="322"/>
      <c r="R891" s="322"/>
      <c r="S891" s="322"/>
      <c r="T891" s="322"/>
      <c r="U891" s="322"/>
      <c r="V891" s="322"/>
      <c r="W891" s="322"/>
      <c r="X891" s="322"/>
      <c r="Y891" s="322"/>
      <c r="Z891" s="322"/>
      <c r="AA891" s="322"/>
      <c r="AB891" s="322"/>
    </row>
    <row r="892" ht="15.75" customHeight="1">
      <c r="A892" s="322"/>
      <c r="B892" s="322"/>
      <c r="C892" s="322"/>
      <c r="D892" s="322"/>
      <c r="E892" s="330"/>
      <c r="F892" s="322"/>
      <c r="G892" s="322"/>
      <c r="H892" s="322"/>
      <c r="I892" s="322"/>
      <c r="J892" s="322"/>
      <c r="K892" s="322"/>
      <c r="L892" s="322"/>
      <c r="M892" s="322"/>
      <c r="N892" s="322"/>
      <c r="O892" s="322"/>
      <c r="P892" s="322"/>
      <c r="Q892" s="322"/>
      <c r="R892" s="322"/>
      <c r="S892" s="322"/>
      <c r="T892" s="322"/>
      <c r="U892" s="322"/>
      <c r="V892" s="322"/>
      <c r="W892" s="322"/>
      <c r="X892" s="322"/>
      <c r="Y892" s="322"/>
      <c r="Z892" s="322"/>
      <c r="AA892" s="322"/>
      <c r="AB892" s="322"/>
    </row>
    <row r="893" ht="15.75" customHeight="1">
      <c r="A893" s="322"/>
      <c r="B893" s="322"/>
      <c r="C893" s="322"/>
      <c r="D893" s="322"/>
      <c r="E893" s="330"/>
      <c r="F893" s="322"/>
      <c r="G893" s="322"/>
      <c r="H893" s="322"/>
      <c r="I893" s="322"/>
      <c r="J893" s="322"/>
      <c r="K893" s="322"/>
      <c r="L893" s="322"/>
      <c r="M893" s="322"/>
      <c r="N893" s="322"/>
      <c r="O893" s="322"/>
      <c r="P893" s="322"/>
      <c r="Q893" s="322"/>
      <c r="R893" s="322"/>
      <c r="S893" s="322"/>
      <c r="T893" s="322"/>
      <c r="U893" s="322"/>
      <c r="V893" s="322"/>
      <c r="W893" s="322"/>
      <c r="X893" s="322"/>
      <c r="Y893" s="322"/>
      <c r="Z893" s="322"/>
      <c r="AA893" s="322"/>
      <c r="AB893" s="322"/>
    </row>
    <row r="894" ht="15.75" customHeight="1">
      <c r="A894" s="322"/>
      <c r="B894" s="322"/>
      <c r="C894" s="322"/>
      <c r="D894" s="322"/>
      <c r="E894" s="330"/>
      <c r="F894" s="322"/>
      <c r="G894" s="322"/>
      <c r="H894" s="322"/>
      <c r="I894" s="322"/>
      <c r="J894" s="322"/>
      <c r="K894" s="322"/>
      <c r="L894" s="322"/>
      <c r="M894" s="322"/>
      <c r="N894" s="322"/>
      <c r="O894" s="322"/>
      <c r="P894" s="322"/>
      <c r="Q894" s="322"/>
      <c r="R894" s="322"/>
      <c r="S894" s="322"/>
      <c r="T894" s="322"/>
      <c r="U894" s="322"/>
      <c r="V894" s="322"/>
      <c r="W894" s="322"/>
      <c r="X894" s="322"/>
      <c r="Y894" s="322"/>
      <c r="Z894" s="322"/>
      <c r="AA894" s="322"/>
      <c r="AB894" s="322"/>
    </row>
    <row r="895" ht="15.75" customHeight="1">
      <c r="A895" s="322"/>
      <c r="B895" s="322"/>
      <c r="C895" s="322"/>
      <c r="D895" s="322"/>
      <c r="E895" s="330"/>
      <c r="F895" s="322"/>
      <c r="G895" s="322"/>
      <c r="H895" s="322"/>
      <c r="I895" s="322"/>
      <c r="J895" s="322"/>
      <c r="K895" s="322"/>
      <c r="L895" s="322"/>
      <c r="M895" s="322"/>
      <c r="N895" s="322"/>
      <c r="O895" s="322"/>
      <c r="P895" s="322"/>
      <c r="Q895" s="322"/>
      <c r="R895" s="322"/>
      <c r="S895" s="322"/>
      <c r="T895" s="322"/>
      <c r="U895" s="322"/>
      <c r="V895" s="322"/>
      <c r="W895" s="322"/>
      <c r="X895" s="322"/>
      <c r="Y895" s="322"/>
      <c r="Z895" s="322"/>
      <c r="AA895" s="322"/>
      <c r="AB895" s="322"/>
    </row>
    <row r="896" ht="15.75" customHeight="1">
      <c r="A896" s="322"/>
      <c r="B896" s="322"/>
      <c r="C896" s="322"/>
      <c r="D896" s="322"/>
      <c r="E896" s="330"/>
      <c r="F896" s="322"/>
      <c r="G896" s="322"/>
      <c r="H896" s="322"/>
      <c r="I896" s="322"/>
      <c r="J896" s="322"/>
      <c r="K896" s="322"/>
      <c r="L896" s="322"/>
      <c r="M896" s="322"/>
      <c r="N896" s="322"/>
      <c r="O896" s="322"/>
      <c r="P896" s="322"/>
      <c r="Q896" s="322"/>
      <c r="R896" s="322"/>
      <c r="S896" s="322"/>
      <c r="T896" s="322"/>
      <c r="U896" s="322"/>
      <c r="V896" s="322"/>
      <c r="W896" s="322"/>
      <c r="X896" s="322"/>
      <c r="Y896" s="322"/>
      <c r="Z896" s="322"/>
      <c r="AA896" s="322"/>
      <c r="AB896" s="322"/>
    </row>
    <row r="897" ht="15.75" customHeight="1">
      <c r="A897" s="322"/>
      <c r="B897" s="322"/>
      <c r="C897" s="322"/>
      <c r="D897" s="322"/>
      <c r="E897" s="330"/>
      <c r="F897" s="322"/>
      <c r="G897" s="322"/>
      <c r="H897" s="322"/>
      <c r="I897" s="322"/>
      <c r="J897" s="322"/>
      <c r="K897" s="322"/>
      <c r="L897" s="322"/>
      <c r="M897" s="322"/>
      <c r="N897" s="322"/>
      <c r="O897" s="322"/>
      <c r="P897" s="322"/>
      <c r="Q897" s="322"/>
      <c r="R897" s="322"/>
      <c r="S897" s="322"/>
      <c r="T897" s="322"/>
      <c r="U897" s="322"/>
      <c r="V897" s="322"/>
      <c r="W897" s="322"/>
      <c r="X897" s="322"/>
      <c r="Y897" s="322"/>
      <c r="Z897" s="322"/>
      <c r="AA897" s="322"/>
      <c r="AB897" s="322"/>
    </row>
    <row r="898" ht="15.75" customHeight="1">
      <c r="A898" s="322"/>
      <c r="B898" s="322"/>
      <c r="C898" s="322"/>
      <c r="D898" s="322"/>
      <c r="E898" s="330"/>
      <c r="F898" s="322"/>
      <c r="G898" s="322"/>
      <c r="H898" s="322"/>
      <c r="I898" s="322"/>
      <c r="J898" s="322"/>
      <c r="K898" s="322"/>
      <c r="L898" s="322"/>
      <c r="M898" s="322"/>
      <c r="N898" s="322"/>
      <c r="O898" s="322"/>
      <c r="P898" s="322"/>
      <c r="Q898" s="322"/>
      <c r="R898" s="322"/>
      <c r="S898" s="322"/>
      <c r="T898" s="322"/>
      <c r="U898" s="322"/>
      <c r="V898" s="322"/>
      <c r="W898" s="322"/>
      <c r="X898" s="322"/>
      <c r="Y898" s="322"/>
      <c r="Z898" s="322"/>
      <c r="AA898" s="322"/>
      <c r="AB898" s="322"/>
    </row>
    <row r="899" ht="15.75" customHeight="1">
      <c r="A899" s="322"/>
      <c r="B899" s="322"/>
      <c r="C899" s="322"/>
      <c r="D899" s="322"/>
      <c r="E899" s="330"/>
      <c r="F899" s="322"/>
      <c r="G899" s="322"/>
      <c r="H899" s="322"/>
      <c r="I899" s="322"/>
      <c r="J899" s="322"/>
      <c r="K899" s="322"/>
      <c r="L899" s="322"/>
      <c r="M899" s="322"/>
      <c r="N899" s="322"/>
      <c r="O899" s="322"/>
      <c r="P899" s="322"/>
      <c r="Q899" s="322"/>
      <c r="R899" s="322"/>
      <c r="S899" s="322"/>
      <c r="T899" s="322"/>
      <c r="U899" s="322"/>
      <c r="V899" s="322"/>
      <c r="W899" s="322"/>
      <c r="X899" s="322"/>
      <c r="Y899" s="322"/>
      <c r="Z899" s="322"/>
      <c r="AA899" s="322"/>
      <c r="AB899" s="322"/>
    </row>
    <row r="900" ht="15.75" customHeight="1">
      <c r="A900" s="322"/>
      <c r="B900" s="322"/>
      <c r="C900" s="322"/>
      <c r="D900" s="322"/>
      <c r="E900" s="330"/>
      <c r="F900" s="322"/>
      <c r="G900" s="322"/>
      <c r="H900" s="322"/>
      <c r="I900" s="322"/>
      <c r="J900" s="322"/>
      <c r="K900" s="322"/>
      <c r="L900" s="322"/>
      <c r="M900" s="322"/>
      <c r="N900" s="322"/>
      <c r="O900" s="322"/>
      <c r="P900" s="322"/>
      <c r="Q900" s="322"/>
      <c r="R900" s="322"/>
      <c r="S900" s="322"/>
      <c r="T900" s="322"/>
      <c r="U900" s="322"/>
      <c r="V900" s="322"/>
      <c r="W900" s="322"/>
      <c r="X900" s="322"/>
      <c r="Y900" s="322"/>
      <c r="Z900" s="322"/>
      <c r="AA900" s="322"/>
      <c r="AB900" s="322"/>
    </row>
    <row r="901" ht="15.75" customHeight="1">
      <c r="A901" s="322"/>
      <c r="B901" s="322"/>
      <c r="C901" s="322"/>
      <c r="D901" s="322"/>
      <c r="E901" s="330"/>
      <c r="F901" s="322"/>
      <c r="G901" s="322"/>
      <c r="H901" s="322"/>
      <c r="I901" s="322"/>
      <c r="J901" s="322"/>
      <c r="K901" s="322"/>
      <c r="L901" s="322"/>
      <c r="M901" s="322"/>
      <c r="N901" s="322"/>
      <c r="O901" s="322"/>
      <c r="P901" s="322"/>
      <c r="Q901" s="322"/>
      <c r="R901" s="322"/>
      <c r="S901" s="322"/>
      <c r="T901" s="322"/>
      <c r="U901" s="322"/>
      <c r="V901" s="322"/>
      <c r="W901" s="322"/>
      <c r="X901" s="322"/>
      <c r="Y901" s="322"/>
      <c r="Z901" s="322"/>
      <c r="AA901" s="322"/>
      <c r="AB901" s="322"/>
    </row>
    <row r="902" ht="15.75" customHeight="1">
      <c r="A902" s="322"/>
      <c r="B902" s="322"/>
      <c r="C902" s="322"/>
      <c r="D902" s="322"/>
      <c r="E902" s="330"/>
      <c r="F902" s="322"/>
      <c r="G902" s="322"/>
      <c r="H902" s="322"/>
      <c r="I902" s="322"/>
      <c r="J902" s="322"/>
      <c r="K902" s="322"/>
      <c r="L902" s="322"/>
      <c r="M902" s="322"/>
      <c r="N902" s="322"/>
      <c r="O902" s="322"/>
      <c r="P902" s="322"/>
      <c r="Q902" s="322"/>
      <c r="R902" s="322"/>
      <c r="S902" s="322"/>
      <c r="T902" s="322"/>
      <c r="U902" s="322"/>
      <c r="V902" s="322"/>
      <c r="W902" s="322"/>
      <c r="X902" s="322"/>
      <c r="Y902" s="322"/>
      <c r="Z902" s="322"/>
      <c r="AA902" s="322"/>
      <c r="AB902" s="322"/>
    </row>
    <row r="903" ht="15.75" customHeight="1">
      <c r="A903" s="322"/>
      <c r="B903" s="322"/>
      <c r="C903" s="322"/>
      <c r="D903" s="322"/>
      <c r="E903" s="330"/>
      <c r="F903" s="322"/>
      <c r="G903" s="322"/>
      <c r="H903" s="322"/>
      <c r="I903" s="322"/>
      <c r="J903" s="322"/>
      <c r="K903" s="322"/>
      <c r="L903" s="322"/>
      <c r="M903" s="322"/>
      <c r="N903" s="322"/>
      <c r="O903" s="322"/>
      <c r="P903" s="322"/>
      <c r="Q903" s="322"/>
      <c r="R903" s="322"/>
      <c r="S903" s="322"/>
      <c r="T903" s="322"/>
      <c r="U903" s="322"/>
      <c r="V903" s="322"/>
      <c r="W903" s="322"/>
      <c r="X903" s="322"/>
      <c r="Y903" s="322"/>
      <c r="Z903" s="322"/>
      <c r="AA903" s="322"/>
      <c r="AB903" s="322"/>
    </row>
    <row r="904" ht="15.75" customHeight="1">
      <c r="A904" s="322"/>
      <c r="B904" s="322"/>
      <c r="C904" s="322"/>
      <c r="D904" s="322"/>
      <c r="E904" s="330"/>
      <c r="F904" s="322"/>
      <c r="G904" s="322"/>
      <c r="H904" s="322"/>
      <c r="I904" s="322"/>
      <c r="J904" s="322"/>
      <c r="K904" s="322"/>
      <c r="L904" s="322"/>
      <c r="M904" s="322"/>
      <c r="N904" s="322"/>
      <c r="O904" s="322"/>
      <c r="P904" s="322"/>
      <c r="Q904" s="322"/>
      <c r="R904" s="322"/>
      <c r="S904" s="322"/>
      <c r="T904" s="322"/>
      <c r="U904" s="322"/>
      <c r="V904" s="322"/>
      <c r="W904" s="322"/>
      <c r="X904" s="322"/>
      <c r="Y904" s="322"/>
      <c r="Z904" s="322"/>
      <c r="AA904" s="322"/>
      <c r="AB904" s="322"/>
    </row>
    <row r="905" ht="15.75" customHeight="1">
      <c r="A905" s="322"/>
      <c r="B905" s="322"/>
      <c r="C905" s="322"/>
      <c r="D905" s="322"/>
      <c r="E905" s="330"/>
      <c r="F905" s="322"/>
      <c r="G905" s="322"/>
      <c r="H905" s="322"/>
      <c r="I905" s="322"/>
      <c r="J905" s="322"/>
      <c r="K905" s="322"/>
      <c r="L905" s="322"/>
      <c r="M905" s="322"/>
      <c r="N905" s="322"/>
      <c r="O905" s="322"/>
      <c r="P905" s="322"/>
      <c r="Q905" s="322"/>
      <c r="R905" s="322"/>
      <c r="S905" s="322"/>
      <c r="T905" s="322"/>
      <c r="U905" s="322"/>
      <c r="V905" s="322"/>
      <c r="W905" s="322"/>
      <c r="X905" s="322"/>
      <c r="Y905" s="322"/>
      <c r="Z905" s="322"/>
      <c r="AA905" s="322"/>
      <c r="AB905" s="322"/>
    </row>
    <row r="906" ht="15.75" customHeight="1">
      <c r="A906" s="322"/>
      <c r="B906" s="322"/>
      <c r="C906" s="322"/>
      <c r="D906" s="322"/>
      <c r="E906" s="330"/>
      <c r="F906" s="322"/>
      <c r="G906" s="322"/>
      <c r="H906" s="322"/>
      <c r="I906" s="322"/>
      <c r="J906" s="322"/>
      <c r="K906" s="322"/>
      <c r="L906" s="322"/>
      <c r="M906" s="322"/>
      <c r="N906" s="322"/>
      <c r="O906" s="322"/>
      <c r="P906" s="322"/>
      <c r="Q906" s="322"/>
      <c r="R906" s="322"/>
      <c r="S906" s="322"/>
      <c r="T906" s="322"/>
      <c r="U906" s="322"/>
      <c r="V906" s="322"/>
      <c r="W906" s="322"/>
      <c r="X906" s="322"/>
      <c r="Y906" s="322"/>
      <c r="Z906" s="322"/>
      <c r="AA906" s="322"/>
      <c r="AB906" s="322"/>
    </row>
    <row r="907" ht="15.75" customHeight="1">
      <c r="A907" s="322"/>
      <c r="B907" s="322"/>
      <c r="C907" s="322"/>
      <c r="D907" s="322"/>
      <c r="E907" s="330"/>
      <c r="F907" s="322"/>
      <c r="G907" s="322"/>
      <c r="H907" s="322"/>
      <c r="I907" s="322"/>
      <c r="J907" s="322"/>
      <c r="K907" s="322"/>
      <c r="L907" s="322"/>
      <c r="M907" s="322"/>
      <c r="N907" s="322"/>
      <c r="O907" s="322"/>
      <c r="P907" s="322"/>
      <c r="Q907" s="322"/>
      <c r="R907" s="322"/>
      <c r="S907" s="322"/>
      <c r="T907" s="322"/>
      <c r="U907" s="322"/>
      <c r="V907" s="322"/>
      <c r="W907" s="322"/>
      <c r="X907" s="322"/>
      <c r="Y907" s="322"/>
      <c r="Z907" s="322"/>
      <c r="AA907" s="322"/>
      <c r="AB907" s="322"/>
    </row>
    <row r="908" ht="15.75" customHeight="1">
      <c r="A908" s="322"/>
      <c r="B908" s="322"/>
      <c r="C908" s="322"/>
      <c r="D908" s="322"/>
      <c r="E908" s="330"/>
      <c r="F908" s="322"/>
      <c r="G908" s="322"/>
      <c r="H908" s="322"/>
      <c r="I908" s="322"/>
      <c r="J908" s="322"/>
      <c r="K908" s="322"/>
      <c r="L908" s="322"/>
      <c r="M908" s="322"/>
      <c r="N908" s="322"/>
      <c r="O908" s="322"/>
      <c r="P908" s="322"/>
      <c r="Q908" s="322"/>
      <c r="R908" s="322"/>
      <c r="S908" s="322"/>
      <c r="T908" s="322"/>
      <c r="U908" s="322"/>
      <c r="V908" s="322"/>
      <c r="W908" s="322"/>
      <c r="X908" s="322"/>
      <c r="Y908" s="322"/>
      <c r="Z908" s="322"/>
      <c r="AA908" s="322"/>
      <c r="AB908" s="322"/>
    </row>
    <row r="909" ht="15.75" customHeight="1">
      <c r="A909" s="322"/>
      <c r="B909" s="322"/>
      <c r="C909" s="322"/>
      <c r="D909" s="322"/>
      <c r="E909" s="330"/>
      <c r="F909" s="322"/>
      <c r="G909" s="322"/>
      <c r="H909" s="322"/>
      <c r="I909" s="322"/>
      <c r="J909" s="322"/>
      <c r="K909" s="322"/>
      <c r="L909" s="322"/>
      <c r="M909" s="322"/>
      <c r="N909" s="322"/>
      <c r="O909" s="322"/>
      <c r="P909" s="322"/>
      <c r="Q909" s="322"/>
      <c r="R909" s="322"/>
      <c r="S909" s="322"/>
      <c r="T909" s="322"/>
      <c r="U909" s="322"/>
      <c r="V909" s="322"/>
      <c r="W909" s="322"/>
      <c r="X909" s="322"/>
      <c r="Y909" s="322"/>
      <c r="Z909" s="322"/>
      <c r="AA909" s="322"/>
      <c r="AB909" s="322"/>
    </row>
    <row r="910" ht="15.75" customHeight="1">
      <c r="A910" s="322"/>
      <c r="B910" s="322"/>
      <c r="C910" s="322"/>
      <c r="D910" s="322"/>
      <c r="E910" s="330"/>
      <c r="F910" s="322"/>
      <c r="G910" s="322"/>
      <c r="H910" s="322"/>
      <c r="I910" s="322"/>
      <c r="J910" s="322"/>
      <c r="K910" s="322"/>
      <c r="L910" s="322"/>
      <c r="M910" s="322"/>
      <c r="N910" s="322"/>
      <c r="O910" s="322"/>
      <c r="P910" s="322"/>
      <c r="Q910" s="322"/>
      <c r="R910" s="322"/>
      <c r="S910" s="322"/>
      <c r="T910" s="322"/>
      <c r="U910" s="322"/>
      <c r="V910" s="322"/>
      <c r="W910" s="322"/>
      <c r="X910" s="322"/>
      <c r="Y910" s="322"/>
      <c r="Z910" s="322"/>
      <c r="AA910" s="322"/>
      <c r="AB910" s="322"/>
    </row>
    <row r="911" ht="15.75" customHeight="1">
      <c r="A911" s="322"/>
      <c r="B911" s="322"/>
      <c r="C911" s="322"/>
      <c r="D911" s="322"/>
      <c r="E911" s="330"/>
      <c r="F911" s="322"/>
      <c r="G911" s="322"/>
      <c r="H911" s="322"/>
      <c r="I911" s="322"/>
      <c r="J911" s="322"/>
      <c r="K911" s="322"/>
      <c r="L911" s="322"/>
      <c r="M911" s="322"/>
      <c r="N911" s="322"/>
      <c r="O911" s="322"/>
      <c r="P911" s="322"/>
      <c r="Q911" s="322"/>
      <c r="R911" s="322"/>
      <c r="S911" s="322"/>
      <c r="T911" s="322"/>
      <c r="U911" s="322"/>
      <c r="V911" s="322"/>
      <c r="W911" s="322"/>
      <c r="X911" s="322"/>
      <c r="Y911" s="322"/>
      <c r="Z911" s="322"/>
      <c r="AA911" s="322"/>
      <c r="AB911" s="322"/>
    </row>
    <row r="912" ht="15.75" customHeight="1">
      <c r="A912" s="322"/>
      <c r="B912" s="322"/>
      <c r="C912" s="322"/>
      <c r="D912" s="322"/>
      <c r="E912" s="330"/>
      <c r="F912" s="322"/>
      <c r="G912" s="322"/>
      <c r="H912" s="322"/>
      <c r="I912" s="322"/>
      <c r="J912" s="322"/>
      <c r="K912" s="322"/>
      <c r="L912" s="322"/>
      <c r="M912" s="322"/>
      <c r="N912" s="322"/>
      <c r="O912" s="322"/>
      <c r="P912" s="322"/>
      <c r="Q912" s="322"/>
      <c r="R912" s="322"/>
      <c r="S912" s="322"/>
      <c r="T912" s="322"/>
      <c r="U912" s="322"/>
      <c r="V912" s="322"/>
      <c r="W912" s="322"/>
      <c r="X912" s="322"/>
      <c r="Y912" s="322"/>
      <c r="Z912" s="322"/>
      <c r="AA912" s="322"/>
      <c r="AB912" s="322"/>
    </row>
    <row r="913" ht="15.75" customHeight="1">
      <c r="A913" s="322"/>
      <c r="B913" s="322"/>
      <c r="C913" s="322"/>
      <c r="D913" s="322"/>
      <c r="E913" s="330"/>
      <c r="F913" s="322"/>
      <c r="G913" s="322"/>
      <c r="H913" s="322"/>
      <c r="I913" s="322"/>
      <c r="J913" s="322"/>
      <c r="K913" s="322"/>
      <c r="L913" s="322"/>
      <c r="M913" s="322"/>
      <c r="N913" s="322"/>
      <c r="O913" s="322"/>
      <c r="P913" s="322"/>
      <c r="Q913" s="322"/>
      <c r="R913" s="322"/>
      <c r="S913" s="322"/>
      <c r="T913" s="322"/>
      <c r="U913" s="322"/>
      <c r="V913" s="322"/>
      <c r="W913" s="322"/>
      <c r="X913" s="322"/>
      <c r="Y913" s="322"/>
      <c r="Z913" s="322"/>
      <c r="AA913" s="322"/>
      <c r="AB913" s="322"/>
    </row>
    <row r="914" ht="15.75" customHeight="1">
      <c r="A914" s="322"/>
      <c r="B914" s="322"/>
      <c r="C914" s="322"/>
      <c r="D914" s="322"/>
      <c r="E914" s="330"/>
      <c r="F914" s="322"/>
      <c r="G914" s="322"/>
      <c r="H914" s="322"/>
      <c r="I914" s="322"/>
      <c r="J914" s="322"/>
      <c r="K914" s="322"/>
      <c r="L914" s="322"/>
      <c r="M914" s="322"/>
      <c r="N914" s="322"/>
      <c r="O914" s="322"/>
      <c r="P914" s="322"/>
      <c r="Q914" s="322"/>
      <c r="R914" s="322"/>
      <c r="S914" s="322"/>
      <c r="T914" s="322"/>
      <c r="U914" s="322"/>
      <c r="V914" s="322"/>
      <c r="W914" s="322"/>
      <c r="X914" s="322"/>
      <c r="Y914" s="322"/>
      <c r="Z914" s="322"/>
      <c r="AA914" s="322"/>
      <c r="AB914" s="322"/>
    </row>
    <row r="915" ht="15.75" customHeight="1">
      <c r="A915" s="322"/>
      <c r="B915" s="322"/>
      <c r="C915" s="322"/>
      <c r="D915" s="322"/>
      <c r="E915" s="330"/>
      <c r="F915" s="322"/>
      <c r="G915" s="322"/>
      <c r="H915" s="322"/>
      <c r="I915" s="322"/>
      <c r="J915" s="322"/>
      <c r="K915" s="322"/>
      <c r="L915" s="322"/>
      <c r="M915" s="322"/>
      <c r="N915" s="322"/>
      <c r="O915" s="322"/>
      <c r="P915" s="322"/>
      <c r="Q915" s="322"/>
      <c r="R915" s="322"/>
      <c r="S915" s="322"/>
      <c r="T915" s="322"/>
      <c r="U915" s="322"/>
      <c r="V915" s="322"/>
      <c r="W915" s="322"/>
      <c r="X915" s="322"/>
      <c r="Y915" s="322"/>
      <c r="Z915" s="322"/>
      <c r="AA915" s="322"/>
      <c r="AB915" s="322"/>
    </row>
    <row r="916" ht="15.75" customHeight="1">
      <c r="A916" s="322"/>
      <c r="B916" s="322"/>
      <c r="C916" s="322"/>
      <c r="D916" s="322"/>
      <c r="E916" s="330"/>
      <c r="F916" s="322"/>
      <c r="G916" s="322"/>
      <c r="H916" s="322"/>
      <c r="I916" s="322"/>
      <c r="J916" s="322"/>
      <c r="K916" s="322"/>
      <c r="L916" s="322"/>
      <c r="M916" s="322"/>
      <c r="N916" s="322"/>
      <c r="O916" s="322"/>
      <c r="P916" s="322"/>
      <c r="Q916" s="322"/>
      <c r="R916" s="322"/>
      <c r="S916" s="322"/>
      <c r="T916" s="322"/>
      <c r="U916" s="322"/>
      <c r="V916" s="322"/>
      <c r="W916" s="322"/>
      <c r="X916" s="322"/>
      <c r="Y916" s="322"/>
      <c r="Z916" s="322"/>
      <c r="AA916" s="322"/>
      <c r="AB916" s="322"/>
    </row>
    <row r="917" ht="15.75" customHeight="1">
      <c r="A917" s="322"/>
      <c r="B917" s="322"/>
      <c r="C917" s="322"/>
      <c r="D917" s="322"/>
      <c r="E917" s="330"/>
      <c r="F917" s="322"/>
      <c r="G917" s="322"/>
      <c r="H917" s="322"/>
      <c r="I917" s="322"/>
      <c r="J917" s="322"/>
      <c r="K917" s="322"/>
      <c r="L917" s="322"/>
      <c r="M917" s="322"/>
      <c r="N917" s="322"/>
      <c r="O917" s="322"/>
      <c r="P917" s="322"/>
      <c r="Q917" s="322"/>
      <c r="R917" s="322"/>
      <c r="S917" s="322"/>
      <c r="T917" s="322"/>
      <c r="U917" s="322"/>
      <c r="V917" s="322"/>
      <c r="W917" s="322"/>
      <c r="X917" s="322"/>
      <c r="Y917" s="322"/>
      <c r="Z917" s="322"/>
      <c r="AA917" s="322"/>
      <c r="AB917" s="322"/>
    </row>
    <row r="918" ht="15.75" customHeight="1">
      <c r="A918" s="322"/>
      <c r="B918" s="322"/>
      <c r="C918" s="322"/>
      <c r="D918" s="322"/>
      <c r="E918" s="330"/>
      <c r="F918" s="322"/>
      <c r="G918" s="322"/>
      <c r="H918" s="322"/>
      <c r="I918" s="322"/>
      <c r="J918" s="322"/>
      <c r="K918" s="322"/>
      <c r="L918" s="322"/>
      <c r="M918" s="322"/>
      <c r="N918" s="322"/>
      <c r="O918" s="322"/>
      <c r="P918" s="322"/>
      <c r="Q918" s="322"/>
      <c r="R918" s="322"/>
      <c r="S918" s="322"/>
      <c r="T918" s="322"/>
      <c r="U918" s="322"/>
      <c r="V918" s="322"/>
      <c r="W918" s="322"/>
      <c r="X918" s="322"/>
      <c r="Y918" s="322"/>
      <c r="Z918" s="322"/>
      <c r="AA918" s="322"/>
      <c r="AB918" s="322"/>
    </row>
    <row r="919" ht="15.75" customHeight="1">
      <c r="A919" s="322"/>
      <c r="B919" s="322"/>
      <c r="C919" s="322"/>
      <c r="D919" s="322"/>
      <c r="E919" s="330"/>
      <c r="F919" s="322"/>
      <c r="G919" s="322"/>
      <c r="H919" s="322"/>
      <c r="I919" s="322"/>
      <c r="J919" s="322"/>
      <c r="K919" s="322"/>
      <c r="L919" s="322"/>
      <c r="M919" s="322"/>
      <c r="N919" s="322"/>
      <c r="O919" s="322"/>
      <c r="P919" s="322"/>
      <c r="Q919" s="322"/>
      <c r="R919" s="322"/>
      <c r="S919" s="322"/>
      <c r="T919" s="322"/>
      <c r="U919" s="322"/>
      <c r="V919" s="322"/>
      <c r="W919" s="322"/>
      <c r="X919" s="322"/>
      <c r="Y919" s="322"/>
      <c r="Z919" s="322"/>
      <c r="AA919" s="322"/>
      <c r="AB919" s="322"/>
    </row>
    <row r="920" ht="15.75" customHeight="1">
      <c r="A920" s="322"/>
      <c r="B920" s="322"/>
      <c r="C920" s="322"/>
      <c r="D920" s="322"/>
      <c r="E920" s="330"/>
      <c r="F920" s="322"/>
      <c r="G920" s="322"/>
      <c r="H920" s="322"/>
      <c r="I920" s="322"/>
      <c r="J920" s="322"/>
      <c r="K920" s="322"/>
      <c r="L920" s="322"/>
      <c r="M920" s="322"/>
      <c r="N920" s="322"/>
      <c r="O920" s="322"/>
      <c r="P920" s="322"/>
      <c r="Q920" s="322"/>
      <c r="R920" s="322"/>
      <c r="S920" s="322"/>
      <c r="T920" s="322"/>
      <c r="U920" s="322"/>
      <c r="V920" s="322"/>
      <c r="W920" s="322"/>
      <c r="X920" s="322"/>
      <c r="Y920" s="322"/>
      <c r="Z920" s="322"/>
      <c r="AA920" s="322"/>
      <c r="AB920" s="322"/>
    </row>
    <row r="921" ht="15.75" customHeight="1">
      <c r="A921" s="322"/>
      <c r="B921" s="322"/>
      <c r="C921" s="322"/>
      <c r="D921" s="322"/>
      <c r="E921" s="330"/>
      <c r="F921" s="322"/>
      <c r="G921" s="322"/>
      <c r="H921" s="322"/>
      <c r="I921" s="322"/>
      <c r="J921" s="322"/>
      <c r="K921" s="322"/>
      <c r="L921" s="322"/>
      <c r="M921" s="322"/>
      <c r="N921" s="322"/>
      <c r="O921" s="322"/>
      <c r="P921" s="322"/>
      <c r="Q921" s="322"/>
      <c r="R921" s="322"/>
      <c r="S921" s="322"/>
      <c r="T921" s="322"/>
      <c r="U921" s="322"/>
      <c r="V921" s="322"/>
      <c r="W921" s="322"/>
      <c r="X921" s="322"/>
      <c r="Y921" s="322"/>
      <c r="Z921" s="322"/>
      <c r="AA921" s="322"/>
      <c r="AB921" s="322"/>
    </row>
    <row r="922" ht="15.75" customHeight="1">
      <c r="A922" s="322"/>
      <c r="B922" s="322"/>
      <c r="C922" s="322"/>
      <c r="D922" s="322"/>
      <c r="E922" s="330"/>
      <c r="F922" s="322"/>
      <c r="G922" s="322"/>
      <c r="H922" s="322"/>
      <c r="I922" s="322"/>
      <c r="J922" s="322"/>
      <c r="K922" s="322"/>
      <c r="L922" s="322"/>
      <c r="M922" s="322"/>
      <c r="N922" s="322"/>
      <c r="O922" s="322"/>
      <c r="P922" s="322"/>
      <c r="Q922" s="322"/>
      <c r="R922" s="322"/>
      <c r="S922" s="322"/>
      <c r="T922" s="322"/>
      <c r="U922" s="322"/>
      <c r="V922" s="322"/>
      <c r="W922" s="322"/>
      <c r="X922" s="322"/>
      <c r="Y922" s="322"/>
      <c r="Z922" s="322"/>
      <c r="AA922" s="322"/>
      <c r="AB922" s="322"/>
    </row>
    <row r="923" ht="15.75" customHeight="1">
      <c r="A923" s="322"/>
      <c r="B923" s="322"/>
      <c r="C923" s="322"/>
      <c r="D923" s="322"/>
      <c r="E923" s="330"/>
      <c r="F923" s="322"/>
      <c r="G923" s="322"/>
      <c r="H923" s="322"/>
      <c r="I923" s="322"/>
      <c r="J923" s="322"/>
      <c r="K923" s="322"/>
      <c r="L923" s="322"/>
      <c r="M923" s="322"/>
      <c r="N923" s="322"/>
      <c r="O923" s="322"/>
      <c r="P923" s="322"/>
      <c r="Q923" s="322"/>
      <c r="R923" s="322"/>
      <c r="S923" s="322"/>
      <c r="T923" s="322"/>
      <c r="U923" s="322"/>
      <c r="V923" s="322"/>
      <c r="W923" s="322"/>
      <c r="X923" s="322"/>
      <c r="Y923" s="322"/>
      <c r="Z923" s="322"/>
      <c r="AA923" s="322"/>
      <c r="AB923" s="322"/>
    </row>
    <row r="924" ht="15.75" customHeight="1">
      <c r="A924" s="322"/>
      <c r="B924" s="322"/>
      <c r="C924" s="322"/>
      <c r="D924" s="322"/>
      <c r="E924" s="330"/>
      <c r="F924" s="322"/>
      <c r="G924" s="322"/>
      <c r="H924" s="322"/>
      <c r="I924" s="322"/>
      <c r="J924" s="322"/>
      <c r="K924" s="322"/>
      <c r="L924" s="322"/>
      <c r="M924" s="322"/>
      <c r="N924" s="322"/>
      <c r="O924" s="322"/>
      <c r="P924" s="322"/>
      <c r="Q924" s="322"/>
      <c r="R924" s="322"/>
      <c r="S924" s="322"/>
      <c r="T924" s="322"/>
      <c r="U924" s="322"/>
      <c r="V924" s="322"/>
      <c r="W924" s="322"/>
      <c r="X924" s="322"/>
      <c r="Y924" s="322"/>
      <c r="Z924" s="322"/>
      <c r="AA924" s="322"/>
      <c r="AB924" s="322"/>
    </row>
    <row r="925" ht="15.75" customHeight="1">
      <c r="A925" s="322"/>
      <c r="B925" s="322"/>
      <c r="C925" s="322"/>
      <c r="D925" s="322"/>
      <c r="E925" s="330"/>
      <c r="F925" s="322"/>
      <c r="G925" s="322"/>
      <c r="H925" s="322"/>
      <c r="I925" s="322"/>
      <c r="J925" s="322"/>
      <c r="K925" s="322"/>
      <c r="L925" s="322"/>
      <c r="M925" s="322"/>
      <c r="N925" s="322"/>
      <c r="O925" s="322"/>
      <c r="P925" s="322"/>
      <c r="Q925" s="322"/>
      <c r="R925" s="322"/>
      <c r="S925" s="322"/>
      <c r="T925" s="322"/>
      <c r="U925" s="322"/>
      <c r="V925" s="322"/>
      <c r="W925" s="322"/>
      <c r="X925" s="322"/>
      <c r="Y925" s="322"/>
      <c r="Z925" s="322"/>
      <c r="AA925" s="322"/>
      <c r="AB925" s="322"/>
    </row>
    <row r="926" ht="15.75" customHeight="1">
      <c r="A926" s="322"/>
      <c r="B926" s="322"/>
      <c r="C926" s="322"/>
      <c r="D926" s="322"/>
      <c r="E926" s="330"/>
      <c r="F926" s="322"/>
      <c r="G926" s="322"/>
      <c r="H926" s="322"/>
      <c r="I926" s="322"/>
      <c r="J926" s="322"/>
      <c r="K926" s="322"/>
      <c r="L926" s="322"/>
      <c r="M926" s="322"/>
      <c r="N926" s="322"/>
      <c r="O926" s="322"/>
      <c r="P926" s="322"/>
      <c r="Q926" s="322"/>
      <c r="R926" s="322"/>
      <c r="S926" s="322"/>
      <c r="T926" s="322"/>
      <c r="U926" s="322"/>
      <c r="V926" s="322"/>
      <c r="W926" s="322"/>
      <c r="X926" s="322"/>
      <c r="Y926" s="322"/>
      <c r="Z926" s="322"/>
      <c r="AA926" s="322"/>
      <c r="AB926" s="322"/>
    </row>
    <row r="927" ht="15.75" customHeight="1">
      <c r="A927" s="322"/>
      <c r="B927" s="322"/>
      <c r="C927" s="322"/>
      <c r="D927" s="322"/>
      <c r="E927" s="330"/>
      <c r="F927" s="322"/>
      <c r="G927" s="322"/>
      <c r="H927" s="322"/>
      <c r="I927" s="322"/>
      <c r="J927" s="322"/>
      <c r="K927" s="322"/>
      <c r="L927" s="322"/>
      <c r="M927" s="322"/>
      <c r="N927" s="322"/>
      <c r="O927" s="322"/>
      <c r="P927" s="322"/>
      <c r="Q927" s="322"/>
      <c r="R927" s="322"/>
      <c r="S927" s="322"/>
      <c r="T927" s="322"/>
      <c r="U927" s="322"/>
      <c r="V927" s="322"/>
      <c r="W927" s="322"/>
      <c r="X927" s="322"/>
      <c r="Y927" s="322"/>
      <c r="Z927" s="322"/>
      <c r="AA927" s="322"/>
      <c r="AB927" s="322"/>
    </row>
    <row r="928" ht="15.75" customHeight="1">
      <c r="A928" s="322"/>
      <c r="B928" s="322"/>
      <c r="C928" s="322"/>
      <c r="D928" s="322"/>
      <c r="E928" s="330"/>
      <c r="F928" s="322"/>
      <c r="G928" s="322"/>
      <c r="H928" s="322"/>
      <c r="I928" s="322"/>
      <c r="J928" s="322"/>
      <c r="K928" s="322"/>
      <c r="L928" s="322"/>
      <c r="M928" s="322"/>
      <c r="N928" s="322"/>
      <c r="O928" s="322"/>
      <c r="P928" s="322"/>
      <c r="Q928" s="322"/>
      <c r="R928" s="322"/>
      <c r="S928" s="322"/>
      <c r="T928" s="322"/>
      <c r="U928" s="322"/>
      <c r="V928" s="322"/>
      <c r="W928" s="322"/>
      <c r="X928" s="322"/>
      <c r="Y928" s="322"/>
      <c r="Z928" s="322"/>
      <c r="AA928" s="322"/>
      <c r="AB928" s="322"/>
    </row>
    <row r="929" ht="15.75" customHeight="1">
      <c r="A929" s="322"/>
      <c r="B929" s="322"/>
      <c r="C929" s="322"/>
      <c r="D929" s="322"/>
      <c r="E929" s="330"/>
      <c r="F929" s="322"/>
      <c r="G929" s="322"/>
      <c r="H929" s="322"/>
      <c r="I929" s="322"/>
      <c r="J929" s="322"/>
      <c r="K929" s="322"/>
      <c r="L929" s="322"/>
      <c r="M929" s="322"/>
      <c r="N929" s="322"/>
      <c r="O929" s="322"/>
      <c r="P929" s="322"/>
      <c r="Q929" s="322"/>
      <c r="R929" s="322"/>
      <c r="S929" s="322"/>
      <c r="T929" s="322"/>
      <c r="U929" s="322"/>
      <c r="V929" s="322"/>
      <c r="W929" s="322"/>
      <c r="X929" s="322"/>
      <c r="Y929" s="322"/>
      <c r="Z929" s="322"/>
      <c r="AA929" s="322"/>
      <c r="AB929" s="322"/>
    </row>
    <row r="930" ht="15.75" customHeight="1">
      <c r="A930" s="322"/>
      <c r="B930" s="322"/>
      <c r="C930" s="322"/>
      <c r="D930" s="322"/>
      <c r="E930" s="330"/>
      <c r="F930" s="322"/>
      <c r="G930" s="322"/>
      <c r="H930" s="322"/>
      <c r="I930" s="322"/>
      <c r="J930" s="322"/>
      <c r="K930" s="322"/>
      <c r="L930" s="322"/>
      <c r="M930" s="322"/>
      <c r="N930" s="322"/>
      <c r="O930" s="322"/>
      <c r="P930" s="322"/>
      <c r="Q930" s="322"/>
      <c r="R930" s="322"/>
      <c r="S930" s="322"/>
      <c r="T930" s="322"/>
      <c r="U930" s="322"/>
      <c r="V930" s="322"/>
      <c r="W930" s="322"/>
      <c r="X930" s="322"/>
      <c r="Y930" s="322"/>
      <c r="Z930" s="322"/>
      <c r="AA930" s="322"/>
      <c r="AB930" s="322"/>
    </row>
    <row r="931" ht="15.75" customHeight="1">
      <c r="A931" s="322"/>
      <c r="B931" s="322"/>
      <c r="C931" s="322"/>
      <c r="D931" s="322"/>
      <c r="E931" s="330"/>
      <c r="F931" s="322"/>
      <c r="G931" s="322"/>
      <c r="H931" s="322"/>
      <c r="I931" s="322"/>
      <c r="J931" s="322"/>
      <c r="K931" s="322"/>
      <c r="L931" s="322"/>
      <c r="M931" s="322"/>
      <c r="N931" s="322"/>
      <c r="O931" s="322"/>
      <c r="P931" s="322"/>
      <c r="Q931" s="322"/>
      <c r="R931" s="322"/>
      <c r="S931" s="322"/>
      <c r="T931" s="322"/>
      <c r="U931" s="322"/>
      <c r="V931" s="322"/>
      <c r="W931" s="322"/>
      <c r="X931" s="322"/>
      <c r="Y931" s="322"/>
      <c r="Z931" s="322"/>
      <c r="AA931" s="322"/>
      <c r="AB931" s="322"/>
    </row>
    <row r="932" ht="15.75" customHeight="1">
      <c r="A932" s="322"/>
      <c r="B932" s="322"/>
      <c r="C932" s="322"/>
      <c r="D932" s="322"/>
      <c r="E932" s="330"/>
      <c r="F932" s="322"/>
      <c r="G932" s="322"/>
      <c r="H932" s="322"/>
      <c r="I932" s="322"/>
      <c r="J932" s="322"/>
      <c r="K932" s="322"/>
      <c r="L932" s="322"/>
      <c r="M932" s="322"/>
      <c r="N932" s="322"/>
      <c r="O932" s="322"/>
      <c r="P932" s="322"/>
      <c r="Q932" s="322"/>
      <c r="R932" s="322"/>
      <c r="S932" s="322"/>
      <c r="T932" s="322"/>
      <c r="U932" s="322"/>
      <c r="V932" s="322"/>
      <c r="W932" s="322"/>
      <c r="X932" s="322"/>
      <c r="Y932" s="322"/>
      <c r="Z932" s="322"/>
      <c r="AA932" s="322"/>
      <c r="AB932" s="322"/>
    </row>
    <row r="933" ht="15.75" customHeight="1">
      <c r="A933" s="322"/>
      <c r="B933" s="322"/>
      <c r="C933" s="322"/>
      <c r="D933" s="322"/>
      <c r="E933" s="330"/>
      <c r="F933" s="322"/>
      <c r="G933" s="322"/>
      <c r="H933" s="322"/>
      <c r="I933" s="322"/>
      <c r="J933" s="322"/>
      <c r="K933" s="322"/>
      <c r="L933" s="322"/>
      <c r="M933" s="322"/>
      <c r="N933" s="322"/>
      <c r="O933" s="322"/>
      <c r="P933" s="322"/>
      <c r="Q933" s="322"/>
      <c r="R933" s="322"/>
      <c r="S933" s="322"/>
      <c r="T933" s="322"/>
      <c r="U933" s="322"/>
      <c r="V933" s="322"/>
      <c r="W933" s="322"/>
      <c r="X933" s="322"/>
      <c r="Y933" s="322"/>
      <c r="Z933" s="322"/>
      <c r="AA933" s="322"/>
      <c r="AB933" s="322"/>
    </row>
    <row r="934" ht="15.75" customHeight="1">
      <c r="A934" s="322"/>
      <c r="B934" s="322"/>
      <c r="C934" s="322"/>
      <c r="D934" s="322"/>
      <c r="E934" s="330"/>
      <c r="F934" s="322"/>
      <c r="G934" s="322"/>
      <c r="H934" s="322"/>
      <c r="I934" s="322"/>
      <c r="J934" s="322"/>
      <c r="K934" s="322"/>
      <c r="L934" s="322"/>
      <c r="M934" s="322"/>
      <c r="N934" s="322"/>
      <c r="O934" s="322"/>
      <c r="P934" s="322"/>
      <c r="Q934" s="322"/>
      <c r="R934" s="322"/>
      <c r="S934" s="322"/>
      <c r="T934" s="322"/>
      <c r="U934" s="322"/>
      <c r="V934" s="322"/>
      <c r="W934" s="322"/>
      <c r="X934" s="322"/>
      <c r="Y934" s="322"/>
      <c r="Z934" s="322"/>
      <c r="AA934" s="322"/>
      <c r="AB934" s="322"/>
    </row>
    <row r="935" ht="15.75" customHeight="1">
      <c r="A935" s="322"/>
      <c r="B935" s="322"/>
      <c r="C935" s="322"/>
      <c r="D935" s="322"/>
      <c r="E935" s="330"/>
      <c r="F935" s="322"/>
      <c r="G935" s="322"/>
      <c r="H935" s="322"/>
      <c r="I935" s="322"/>
      <c r="J935" s="322"/>
      <c r="K935" s="322"/>
      <c r="L935" s="322"/>
      <c r="M935" s="322"/>
      <c r="N935" s="322"/>
      <c r="O935" s="322"/>
      <c r="P935" s="322"/>
      <c r="Q935" s="322"/>
      <c r="R935" s="322"/>
      <c r="S935" s="322"/>
      <c r="T935" s="322"/>
      <c r="U935" s="322"/>
      <c r="V935" s="322"/>
      <c r="W935" s="322"/>
      <c r="X935" s="322"/>
      <c r="Y935" s="322"/>
      <c r="Z935" s="322"/>
      <c r="AA935" s="322"/>
      <c r="AB935" s="322"/>
    </row>
    <row r="936" ht="15.75" customHeight="1">
      <c r="A936" s="322"/>
      <c r="B936" s="322"/>
      <c r="C936" s="322"/>
      <c r="D936" s="322"/>
      <c r="E936" s="330"/>
      <c r="F936" s="322"/>
      <c r="G936" s="322"/>
      <c r="H936" s="322"/>
      <c r="I936" s="322"/>
      <c r="J936" s="322"/>
      <c r="K936" s="322"/>
      <c r="L936" s="322"/>
      <c r="M936" s="322"/>
      <c r="N936" s="322"/>
      <c r="O936" s="322"/>
      <c r="P936" s="322"/>
      <c r="Q936" s="322"/>
      <c r="R936" s="322"/>
      <c r="S936" s="322"/>
      <c r="T936" s="322"/>
      <c r="U936" s="322"/>
      <c r="V936" s="322"/>
      <c r="W936" s="322"/>
      <c r="X936" s="322"/>
      <c r="Y936" s="322"/>
      <c r="Z936" s="322"/>
      <c r="AA936" s="322"/>
      <c r="AB936" s="322"/>
    </row>
    <row r="937" ht="15.75" customHeight="1">
      <c r="A937" s="322"/>
      <c r="B937" s="322"/>
      <c r="C937" s="322"/>
      <c r="D937" s="322"/>
      <c r="E937" s="330"/>
      <c r="F937" s="322"/>
      <c r="G937" s="322"/>
      <c r="H937" s="322"/>
      <c r="I937" s="322"/>
      <c r="J937" s="322"/>
      <c r="K937" s="322"/>
      <c r="L937" s="322"/>
      <c r="M937" s="322"/>
      <c r="N937" s="322"/>
      <c r="O937" s="322"/>
      <c r="P937" s="322"/>
      <c r="Q937" s="322"/>
      <c r="R937" s="322"/>
      <c r="S937" s="322"/>
      <c r="T937" s="322"/>
      <c r="U937" s="322"/>
      <c r="V937" s="322"/>
      <c r="W937" s="322"/>
      <c r="X937" s="322"/>
      <c r="Y937" s="322"/>
      <c r="Z937" s="322"/>
      <c r="AA937" s="322"/>
      <c r="AB937" s="322"/>
    </row>
    <row r="938" ht="15.75" customHeight="1">
      <c r="A938" s="322"/>
      <c r="B938" s="322"/>
      <c r="C938" s="322"/>
      <c r="D938" s="322"/>
      <c r="E938" s="330"/>
      <c r="F938" s="322"/>
      <c r="G938" s="322"/>
      <c r="H938" s="322"/>
      <c r="I938" s="322"/>
      <c r="J938" s="322"/>
      <c r="K938" s="322"/>
      <c r="L938" s="322"/>
      <c r="M938" s="322"/>
      <c r="N938" s="322"/>
      <c r="O938" s="322"/>
      <c r="P938" s="322"/>
      <c r="Q938" s="322"/>
      <c r="R938" s="322"/>
      <c r="S938" s="322"/>
      <c r="T938" s="322"/>
      <c r="U938" s="322"/>
      <c r="V938" s="322"/>
      <c r="W938" s="322"/>
      <c r="X938" s="322"/>
      <c r="Y938" s="322"/>
      <c r="Z938" s="322"/>
      <c r="AA938" s="322"/>
      <c r="AB938" s="322"/>
    </row>
    <row r="939" ht="15.75" customHeight="1">
      <c r="A939" s="322"/>
      <c r="B939" s="322"/>
      <c r="C939" s="322"/>
      <c r="D939" s="322"/>
      <c r="E939" s="330"/>
      <c r="F939" s="322"/>
      <c r="G939" s="322"/>
      <c r="H939" s="322"/>
      <c r="I939" s="322"/>
      <c r="J939" s="322"/>
      <c r="K939" s="322"/>
      <c r="L939" s="322"/>
      <c r="M939" s="322"/>
      <c r="N939" s="322"/>
      <c r="O939" s="322"/>
      <c r="P939" s="322"/>
      <c r="Q939" s="322"/>
      <c r="R939" s="322"/>
      <c r="S939" s="322"/>
      <c r="T939" s="322"/>
      <c r="U939" s="322"/>
      <c r="V939" s="322"/>
      <c r="W939" s="322"/>
      <c r="X939" s="322"/>
      <c r="Y939" s="322"/>
      <c r="Z939" s="322"/>
      <c r="AA939" s="322"/>
      <c r="AB939" s="322"/>
    </row>
    <row r="940" ht="15.75" customHeight="1">
      <c r="A940" s="322"/>
      <c r="B940" s="322"/>
      <c r="C940" s="322"/>
      <c r="D940" s="322"/>
      <c r="E940" s="330"/>
      <c r="F940" s="322"/>
      <c r="G940" s="322"/>
      <c r="H940" s="322"/>
      <c r="I940" s="322"/>
      <c r="J940" s="322"/>
      <c r="K940" s="322"/>
      <c r="L940" s="322"/>
      <c r="M940" s="322"/>
      <c r="N940" s="322"/>
      <c r="O940" s="322"/>
      <c r="P940" s="322"/>
      <c r="Q940" s="322"/>
      <c r="R940" s="322"/>
      <c r="S940" s="322"/>
      <c r="T940" s="322"/>
      <c r="U940" s="322"/>
      <c r="V940" s="322"/>
      <c r="W940" s="322"/>
      <c r="X940" s="322"/>
      <c r="Y940" s="322"/>
      <c r="Z940" s="322"/>
      <c r="AA940" s="322"/>
      <c r="AB940" s="322"/>
    </row>
    <row r="941" ht="15.75" customHeight="1">
      <c r="A941" s="322"/>
      <c r="B941" s="322"/>
      <c r="C941" s="322"/>
      <c r="D941" s="322"/>
      <c r="E941" s="330"/>
      <c r="F941" s="322"/>
      <c r="G941" s="322"/>
      <c r="H941" s="322"/>
      <c r="I941" s="322"/>
      <c r="J941" s="322"/>
      <c r="K941" s="322"/>
      <c r="L941" s="322"/>
      <c r="M941" s="322"/>
      <c r="N941" s="322"/>
      <c r="O941" s="322"/>
      <c r="P941" s="322"/>
      <c r="Q941" s="322"/>
      <c r="R941" s="322"/>
      <c r="S941" s="322"/>
      <c r="T941" s="322"/>
      <c r="U941" s="322"/>
      <c r="V941" s="322"/>
      <c r="W941" s="322"/>
      <c r="X941" s="322"/>
      <c r="Y941" s="322"/>
      <c r="Z941" s="322"/>
      <c r="AA941" s="322"/>
      <c r="AB941" s="322"/>
    </row>
    <row r="942" ht="15.75" customHeight="1">
      <c r="A942" s="322"/>
      <c r="B942" s="322"/>
      <c r="C942" s="322"/>
      <c r="D942" s="322"/>
      <c r="E942" s="330"/>
      <c r="F942" s="322"/>
      <c r="G942" s="322"/>
      <c r="H942" s="322"/>
      <c r="I942" s="322"/>
      <c r="J942" s="322"/>
      <c r="K942" s="322"/>
      <c r="L942" s="322"/>
      <c r="M942" s="322"/>
      <c r="N942" s="322"/>
      <c r="O942" s="322"/>
      <c r="P942" s="322"/>
      <c r="Q942" s="322"/>
      <c r="R942" s="322"/>
      <c r="S942" s="322"/>
      <c r="T942" s="322"/>
      <c r="U942" s="322"/>
      <c r="V942" s="322"/>
      <c r="W942" s="322"/>
      <c r="X942" s="322"/>
      <c r="Y942" s="322"/>
      <c r="Z942" s="322"/>
      <c r="AA942" s="322"/>
      <c r="AB942" s="322"/>
    </row>
    <row r="943" ht="15.75" customHeight="1">
      <c r="A943" s="322"/>
      <c r="B943" s="322"/>
      <c r="C943" s="322"/>
      <c r="D943" s="322"/>
      <c r="E943" s="330"/>
      <c r="F943" s="322"/>
      <c r="G943" s="322"/>
      <c r="H943" s="322"/>
      <c r="I943" s="322"/>
      <c r="J943" s="322"/>
      <c r="K943" s="322"/>
      <c r="L943" s="322"/>
      <c r="M943" s="322"/>
      <c r="N943" s="322"/>
      <c r="O943" s="322"/>
      <c r="P943" s="322"/>
      <c r="Q943" s="322"/>
      <c r="R943" s="322"/>
      <c r="S943" s="322"/>
      <c r="T943" s="322"/>
      <c r="U943" s="322"/>
      <c r="V943" s="322"/>
      <c r="W943" s="322"/>
      <c r="X943" s="322"/>
      <c r="Y943" s="322"/>
      <c r="Z943" s="322"/>
      <c r="AA943" s="322"/>
      <c r="AB943" s="322"/>
    </row>
    <row r="944" ht="15.75" customHeight="1">
      <c r="A944" s="322"/>
      <c r="B944" s="322"/>
      <c r="C944" s="322"/>
      <c r="D944" s="322"/>
      <c r="E944" s="330"/>
      <c r="F944" s="322"/>
      <c r="G944" s="322"/>
      <c r="H944" s="322"/>
      <c r="I944" s="322"/>
      <c r="J944" s="322"/>
      <c r="K944" s="322"/>
      <c r="L944" s="322"/>
      <c r="M944" s="322"/>
      <c r="N944" s="322"/>
      <c r="O944" s="322"/>
      <c r="P944" s="322"/>
      <c r="Q944" s="322"/>
      <c r="R944" s="322"/>
      <c r="S944" s="322"/>
      <c r="T944" s="322"/>
      <c r="U944" s="322"/>
      <c r="V944" s="322"/>
      <c r="W944" s="322"/>
      <c r="X944" s="322"/>
      <c r="Y944" s="322"/>
      <c r="Z944" s="322"/>
      <c r="AA944" s="322"/>
      <c r="AB944" s="322"/>
    </row>
    <row r="945" ht="15.75" customHeight="1">
      <c r="A945" s="322"/>
      <c r="B945" s="322"/>
      <c r="C945" s="322"/>
      <c r="D945" s="322"/>
      <c r="E945" s="330"/>
      <c r="F945" s="322"/>
      <c r="G945" s="322"/>
      <c r="H945" s="322"/>
      <c r="I945" s="322"/>
      <c r="J945" s="322"/>
      <c r="K945" s="322"/>
      <c r="L945" s="322"/>
      <c r="M945" s="322"/>
      <c r="N945" s="322"/>
      <c r="O945" s="322"/>
      <c r="P945" s="322"/>
      <c r="Q945" s="322"/>
      <c r="R945" s="322"/>
      <c r="S945" s="322"/>
      <c r="T945" s="322"/>
      <c r="U945" s="322"/>
      <c r="V945" s="322"/>
      <c r="W945" s="322"/>
      <c r="X945" s="322"/>
      <c r="Y945" s="322"/>
      <c r="Z945" s="322"/>
      <c r="AA945" s="322"/>
      <c r="AB945" s="322"/>
    </row>
    <row r="946" ht="15.75" customHeight="1">
      <c r="A946" s="322"/>
      <c r="B946" s="322"/>
      <c r="C946" s="322"/>
      <c r="D946" s="322"/>
      <c r="E946" s="330"/>
      <c r="F946" s="322"/>
      <c r="G946" s="322"/>
      <c r="H946" s="322"/>
      <c r="I946" s="322"/>
      <c r="J946" s="322"/>
      <c r="K946" s="322"/>
      <c r="L946" s="322"/>
      <c r="M946" s="322"/>
      <c r="N946" s="322"/>
      <c r="O946" s="322"/>
      <c r="P946" s="322"/>
      <c r="Q946" s="322"/>
      <c r="R946" s="322"/>
      <c r="S946" s="322"/>
      <c r="T946" s="322"/>
      <c r="U946" s="322"/>
      <c r="V946" s="322"/>
      <c r="W946" s="322"/>
      <c r="X946" s="322"/>
      <c r="Y946" s="322"/>
      <c r="Z946" s="322"/>
      <c r="AA946" s="322"/>
      <c r="AB946" s="322"/>
    </row>
    <row r="947" ht="15.75" customHeight="1">
      <c r="A947" s="322"/>
      <c r="B947" s="322"/>
      <c r="C947" s="322"/>
      <c r="D947" s="322"/>
      <c r="E947" s="330"/>
      <c r="F947" s="322"/>
      <c r="G947" s="322"/>
      <c r="H947" s="322"/>
      <c r="I947" s="322"/>
      <c r="J947" s="322"/>
      <c r="K947" s="322"/>
      <c r="L947" s="322"/>
      <c r="M947" s="322"/>
      <c r="N947" s="322"/>
      <c r="O947" s="322"/>
      <c r="P947" s="322"/>
      <c r="Q947" s="322"/>
      <c r="R947" s="322"/>
      <c r="S947" s="322"/>
      <c r="T947" s="322"/>
      <c r="U947" s="322"/>
      <c r="V947" s="322"/>
      <c r="W947" s="322"/>
      <c r="X947" s="322"/>
      <c r="Y947" s="322"/>
      <c r="Z947" s="322"/>
      <c r="AA947" s="322"/>
      <c r="AB947" s="322"/>
    </row>
    <row r="948" ht="15.75" customHeight="1">
      <c r="A948" s="322"/>
      <c r="B948" s="322"/>
      <c r="C948" s="322"/>
      <c r="D948" s="322"/>
      <c r="E948" s="330"/>
      <c r="F948" s="322"/>
      <c r="G948" s="322"/>
      <c r="H948" s="322"/>
      <c r="I948" s="322"/>
      <c r="J948" s="322"/>
      <c r="K948" s="322"/>
      <c r="L948" s="322"/>
      <c r="M948" s="322"/>
      <c r="N948" s="322"/>
      <c r="O948" s="322"/>
      <c r="P948" s="322"/>
      <c r="Q948" s="322"/>
      <c r="R948" s="322"/>
      <c r="S948" s="322"/>
      <c r="T948" s="322"/>
      <c r="U948" s="322"/>
      <c r="V948" s="322"/>
      <c r="W948" s="322"/>
      <c r="X948" s="322"/>
      <c r="Y948" s="322"/>
      <c r="Z948" s="322"/>
      <c r="AA948" s="322"/>
      <c r="AB948" s="322"/>
    </row>
    <row r="949" ht="15.75" customHeight="1">
      <c r="A949" s="322"/>
      <c r="B949" s="322"/>
      <c r="C949" s="322"/>
      <c r="D949" s="322"/>
      <c r="E949" s="330"/>
      <c r="F949" s="322"/>
      <c r="G949" s="322"/>
      <c r="H949" s="322"/>
      <c r="I949" s="322"/>
      <c r="J949" s="322"/>
      <c r="K949" s="322"/>
      <c r="L949" s="322"/>
      <c r="M949" s="322"/>
      <c r="N949" s="322"/>
      <c r="O949" s="322"/>
      <c r="P949" s="322"/>
      <c r="Q949" s="322"/>
      <c r="R949" s="322"/>
      <c r="S949" s="322"/>
      <c r="T949" s="322"/>
      <c r="U949" s="322"/>
      <c r="V949" s="322"/>
      <c r="W949" s="322"/>
      <c r="X949" s="322"/>
      <c r="Y949" s="322"/>
      <c r="Z949" s="322"/>
      <c r="AA949" s="322"/>
      <c r="AB949" s="322"/>
    </row>
    <row r="950" ht="15.75" customHeight="1">
      <c r="A950" s="322"/>
      <c r="B950" s="322"/>
      <c r="C950" s="322"/>
      <c r="D950" s="322"/>
      <c r="E950" s="330"/>
      <c r="F950" s="322"/>
      <c r="G950" s="322"/>
      <c r="H950" s="322"/>
      <c r="I950" s="322"/>
      <c r="J950" s="322"/>
      <c r="K950" s="322"/>
      <c r="L950" s="322"/>
      <c r="M950" s="322"/>
      <c r="N950" s="322"/>
      <c r="O950" s="322"/>
      <c r="P950" s="322"/>
      <c r="Q950" s="322"/>
      <c r="R950" s="322"/>
      <c r="S950" s="322"/>
      <c r="T950" s="322"/>
      <c r="U950" s="322"/>
      <c r="V950" s="322"/>
      <c r="W950" s="322"/>
      <c r="X950" s="322"/>
      <c r="Y950" s="322"/>
      <c r="Z950" s="322"/>
      <c r="AA950" s="322"/>
      <c r="AB950" s="322"/>
    </row>
    <row r="951" ht="15.75" customHeight="1">
      <c r="A951" s="322"/>
      <c r="B951" s="322"/>
      <c r="C951" s="322"/>
      <c r="D951" s="322"/>
      <c r="E951" s="330"/>
      <c r="F951" s="322"/>
      <c r="G951" s="322"/>
      <c r="H951" s="322"/>
      <c r="I951" s="322"/>
      <c r="J951" s="322"/>
      <c r="K951" s="322"/>
      <c r="L951" s="322"/>
      <c r="M951" s="322"/>
      <c r="N951" s="322"/>
      <c r="O951" s="322"/>
      <c r="P951" s="322"/>
      <c r="Q951" s="322"/>
      <c r="R951" s="322"/>
      <c r="S951" s="322"/>
      <c r="T951" s="322"/>
      <c r="U951" s="322"/>
      <c r="V951" s="322"/>
      <c r="W951" s="322"/>
      <c r="X951" s="322"/>
      <c r="Y951" s="322"/>
      <c r="Z951" s="322"/>
      <c r="AA951" s="322"/>
      <c r="AB951" s="322"/>
    </row>
    <row r="952" ht="15.75" customHeight="1">
      <c r="A952" s="322"/>
      <c r="B952" s="322"/>
      <c r="C952" s="322"/>
      <c r="D952" s="322"/>
      <c r="E952" s="330"/>
      <c r="F952" s="322"/>
      <c r="G952" s="322"/>
      <c r="H952" s="322"/>
      <c r="I952" s="322"/>
      <c r="J952" s="322"/>
      <c r="K952" s="322"/>
      <c r="L952" s="322"/>
      <c r="M952" s="322"/>
      <c r="N952" s="322"/>
      <c r="O952" s="322"/>
      <c r="P952" s="322"/>
      <c r="Q952" s="322"/>
      <c r="R952" s="322"/>
      <c r="S952" s="322"/>
      <c r="T952" s="322"/>
      <c r="U952" s="322"/>
      <c r="V952" s="322"/>
      <c r="W952" s="322"/>
      <c r="X952" s="322"/>
      <c r="Y952" s="322"/>
      <c r="Z952" s="322"/>
      <c r="AA952" s="322"/>
      <c r="AB952" s="322"/>
    </row>
    <row r="953" ht="15.75" customHeight="1">
      <c r="A953" s="322"/>
      <c r="B953" s="322"/>
      <c r="C953" s="322"/>
      <c r="D953" s="322"/>
      <c r="E953" s="330"/>
      <c r="F953" s="322"/>
      <c r="G953" s="322"/>
      <c r="H953" s="322"/>
      <c r="I953" s="322"/>
      <c r="J953" s="322"/>
      <c r="K953" s="322"/>
      <c r="L953" s="322"/>
      <c r="M953" s="322"/>
      <c r="N953" s="322"/>
      <c r="O953" s="322"/>
      <c r="P953" s="322"/>
      <c r="Q953" s="322"/>
      <c r="R953" s="322"/>
      <c r="S953" s="322"/>
      <c r="T953" s="322"/>
      <c r="U953" s="322"/>
      <c r="V953" s="322"/>
      <c r="W953" s="322"/>
      <c r="X953" s="322"/>
      <c r="Y953" s="322"/>
      <c r="Z953" s="322"/>
      <c r="AA953" s="322"/>
      <c r="AB953" s="322"/>
    </row>
    <row r="954" ht="15.75" customHeight="1">
      <c r="A954" s="322"/>
      <c r="B954" s="322"/>
      <c r="C954" s="322"/>
      <c r="D954" s="322"/>
      <c r="E954" s="330"/>
      <c r="F954" s="322"/>
      <c r="G954" s="322"/>
      <c r="H954" s="322"/>
      <c r="I954" s="322"/>
      <c r="J954" s="322"/>
      <c r="K954" s="322"/>
      <c r="L954" s="322"/>
      <c r="M954" s="322"/>
      <c r="N954" s="322"/>
      <c r="O954" s="322"/>
      <c r="P954" s="322"/>
      <c r="Q954" s="322"/>
      <c r="R954" s="322"/>
      <c r="S954" s="322"/>
      <c r="T954" s="322"/>
      <c r="U954" s="322"/>
      <c r="V954" s="322"/>
      <c r="W954" s="322"/>
      <c r="X954" s="322"/>
      <c r="Y954" s="322"/>
      <c r="Z954" s="322"/>
      <c r="AA954" s="322"/>
      <c r="AB954" s="322"/>
    </row>
    <row r="955" ht="15.75" customHeight="1">
      <c r="A955" s="322"/>
      <c r="B955" s="322"/>
      <c r="C955" s="322"/>
      <c r="D955" s="322"/>
      <c r="E955" s="330"/>
      <c r="F955" s="322"/>
      <c r="G955" s="322"/>
      <c r="H955" s="322"/>
      <c r="I955" s="322"/>
      <c r="J955" s="322"/>
      <c r="K955" s="322"/>
      <c r="L955" s="322"/>
      <c r="M955" s="322"/>
      <c r="N955" s="322"/>
      <c r="O955" s="322"/>
      <c r="P955" s="322"/>
      <c r="Q955" s="322"/>
      <c r="R955" s="322"/>
      <c r="S955" s="322"/>
      <c r="T955" s="322"/>
      <c r="U955" s="322"/>
      <c r="V955" s="322"/>
      <c r="W955" s="322"/>
      <c r="X955" s="322"/>
      <c r="Y955" s="322"/>
      <c r="Z955" s="322"/>
      <c r="AA955" s="322"/>
      <c r="AB955" s="322"/>
    </row>
    <row r="956" ht="15.75" customHeight="1">
      <c r="A956" s="322"/>
      <c r="B956" s="322"/>
      <c r="C956" s="322"/>
      <c r="D956" s="322"/>
      <c r="E956" s="330"/>
      <c r="F956" s="322"/>
      <c r="G956" s="322"/>
      <c r="H956" s="322"/>
      <c r="I956" s="322"/>
      <c r="J956" s="322"/>
      <c r="K956" s="322"/>
      <c r="L956" s="322"/>
      <c r="M956" s="322"/>
      <c r="N956" s="322"/>
      <c r="O956" s="322"/>
      <c r="P956" s="322"/>
      <c r="Q956" s="322"/>
      <c r="R956" s="322"/>
      <c r="S956" s="322"/>
      <c r="T956" s="322"/>
      <c r="U956" s="322"/>
      <c r="V956" s="322"/>
      <c r="W956" s="322"/>
      <c r="X956" s="322"/>
      <c r="Y956" s="322"/>
      <c r="Z956" s="322"/>
      <c r="AA956" s="322"/>
      <c r="AB956" s="322"/>
    </row>
    <row r="957" ht="15.75" customHeight="1">
      <c r="A957" s="322"/>
      <c r="B957" s="322"/>
      <c r="C957" s="322"/>
      <c r="D957" s="322"/>
      <c r="E957" s="330"/>
      <c r="F957" s="322"/>
      <c r="G957" s="322"/>
      <c r="H957" s="322"/>
      <c r="I957" s="322"/>
      <c r="J957" s="322"/>
      <c r="K957" s="322"/>
      <c r="L957" s="322"/>
      <c r="M957" s="322"/>
      <c r="N957" s="322"/>
      <c r="O957" s="322"/>
      <c r="P957" s="322"/>
      <c r="Q957" s="322"/>
      <c r="R957" s="322"/>
      <c r="S957" s="322"/>
      <c r="T957" s="322"/>
      <c r="U957" s="322"/>
      <c r="V957" s="322"/>
      <c r="W957" s="322"/>
      <c r="X957" s="322"/>
      <c r="Y957" s="322"/>
      <c r="Z957" s="322"/>
      <c r="AA957" s="322"/>
      <c r="AB957" s="322"/>
    </row>
    <row r="958" ht="15.75" customHeight="1">
      <c r="A958" s="322"/>
      <c r="B958" s="322"/>
      <c r="C958" s="322"/>
      <c r="D958" s="322"/>
      <c r="E958" s="330"/>
      <c r="F958" s="322"/>
      <c r="G958" s="322"/>
      <c r="H958" s="322"/>
      <c r="I958" s="322"/>
      <c r="J958" s="322"/>
      <c r="K958" s="322"/>
      <c r="L958" s="322"/>
      <c r="M958" s="322"/>
      <c r="N958" s="322"/>
      <c r="O958" s="322"/>
      <c r="P958" s="322"/>
      <c r="Q958" s="322"/>
      <c r="R958" s="322"/>
      <c r="S958" s="322"/>
      <c r="T958" s="322"/>
      <c r="U958" s="322"/>
      <c r="V958" s="322"/>
      <c r="W958" s="322"/>
      <c r="X958" s="322"/>
      <c r="Y958" s="322"/>
      <c r="Z958" s="322"/>
      <c r="AA958" s="322"/>
      <c r="AB958" s="322"/>
    </row>
    <row r="959" ht="15.75" customHeight="1">
      <c r="A959" s="322"/>
      <c r="B959" s="322"/>
      <c r="C959" s="322"/>
      <c r="D959" s="322"/>
      <c r="E959" s="330"/>
      <c r="F959" s="322"/>
      <c r="G959" s="322"/>
      <c r="H959" s="322"/>
      <c r="I959" s="322"/>
      <c r="J959" s="322"/>
      <c r="K959" s="322"/>
      <c r="L959" s="322"/>
      <c r="M959" s="322"/>
      <c r="N959" s="322"/>
      <c r="O959" s="322"/>
      <c r="P959" s="322"/>
      <c r="Q959" s="322"/>
      <c r="R959" s="322"/>
      <c r="S959" s="322"/>
      <c r="T959" s="322"/>
      <c r="U959" s="322"/>
      <c r="V959" s="322"/>
      <c r="W959" s="322"/>
      <c r="X959" s="322"/>
      <c r="Y959" s="322"/>
      <c r="Z959" s="322"/>
      <c r="AA959" s="322"/>
      <c r="AB959" s="322"/>
    </row>
    <row r="960" ht="15.75" customHeight="1">
      <c r="A960" s="322"/>
      <c r="B960" s="322"/>
      <c r="C960" s="322"/>
      <c r="D960" s="322"/>
      <c r="E960" s="330"/>
      <c r="F960" s="322"/>
      <c r="G960" s="322"/>
      <c r="H960" s="322"/>
      <c r="I960" s="322"/>
      <c r="J960" s="322"/>
      <c r="K960" s="322"/>
      <c r="L960" s="322"/>
      <c r="M960" s="322"/>
      <c r="N960" s="322"/>
      <c r="O960" s="322"/>
      <c r="P960" s="322"/>
      <c r="Q960" s="322"/>
      <c r="R960" s="322"/>
      <c r="S960" s="322"/>
      <c r="T960" s="322"/>
      <c r="U960" s="322"/>
      <c r="V960" s="322"/>
      <c r="W960" s="322"/>
      <c r="X960" s="322"/>
      <c r="Y960" s="322"/>
      <c r="Z960" s="322"/>
      <c r="AA960" s="322"/>
      <c r="AB960" s="322"/>
    </row>
    <row r="961" ht="15.75" customHeight="1">
      <c r="A961" s="322"/>
      <c r="B961" s="322"/>
      <c r="C961" s="322"/>
      <c r="D961" s="322"/>
      <c r="E961" s="330"/>
      <c r="F961" s="322"/>
      <c r="G961" s="322"/>
      <c r="H961" s="322"/>
      <c r="I961" s="322"/>
      <c r="J961" s="322"/>
      <c r="K961" s="322"/>
      <c r="L961" s="322"/>
      <c r="M961" s="322"/>
      <c r="N961" s="322"/>
      <c r="O961" s="322"/>
      <c r="P961" s="322"/>
      <c r="Q961" s="322"/>
      <c r="R961" s="322"/>
      <c r="S961" s="322"/>
      <c r="T961" s="322"/>
      <c r="U961" s="322"/>
      <c r="V961" s="322"/>
      <c r="W961" s="322"/>
      <c r="X961" s="322"/>
      <c r="Y961" s="322"/>
      <c r="Z961" s="322"/>
      <c r="AA961" s="322"/>
      <c r="AB961" s="322"/>
    </row>
    <row r="962" ht="15.75" customHeight="1">
      <c r="A962" s="322"/>
      <c r="B962" s="322"/>
      <c r="C962" s="322"/>
      <c r="D962" s="322"/>
      <c r="E962" s="330"/>
      <c r="F962" s="322"/>
      <c r="G962" s="322"/>
      <c r="H962" s="322"/>
      <c r="I962" s="322"/>
      <c r="J962" s="322"/>
      <c r="K962" s="322"/>
      <c r="L962" s="322"/>
      <c r="M962" s="322"/>
      <c r="N962" s="322"/>
      <c r="O962" s="322"/>
      <c r="P962" s="322"/>
      <c r="Q962" s="322"/>
      <c r="R962" s="322"/>
      <c r="S962" s="322"/>
      <c r="T962" s="322"/>
      <c r="U962" s="322"/>
      <c r="V962" s="322"/>
      <c r="W962" s="322"/>
      <c r="X962" s="322"/>
      <c r="Y962" s="322"/>
      <c r="Z962" s="322"/>
      <c r="AA962" s="322"/>
      <c r="AB962" s="322"/>
    </row>
    <row r="963" ht="15.75" customHeight="1">
      <c r="A963" s="322"/>
      <c r="B963" s="322"/>
      <c r="C963" s="322"/>
      <c r="D963" s="322"/>
      <c r="E963" s="330"/>
      <c r="F963" s="322"/>
      <c r="G963" s="322"/>
      <c r="H963" s="322"/>
      <c r="I963" s="322"/>
      <c r="J963" s="322"/>
      <c r="K963" s="322"/>
      <c r="L963" s="322"/>
      <c r="M963" s="322"/>
      <c r="N963" s="322"/>
      <c r="O963" s="322"/>
      <c r="P963" s="322"/>
      <c r="Q963" s="322"/>
      <c r="R963" s="322"/>
      <c r="S963" s="322"/>
      <c r="T963" s="322"/>
      <c r="U963" s="322"/>
      <c r="V963" s="322"/>
      <c r="W963" s="322"/>
      <c r="X963" s="322"/>
      <c r="Y963" s="322"/>
      <c r="Z963" s="322"/>
      <c r="AA963" s="322"/>
      <c r="AB963" s="322"/>
    </row>
    <row r="964" ht="15.75" customHeight="1">
      <c r="A964" s="322"/>
      <c r="B964" s="322"/>
      <c r="C964" s="322"/>
      <c r="D964" s="322"/>
      <c r="E964" s="330"/>
      <c r="F964" s="322"/>
      <c r="G964" s="322"/>
      <c r="H964" s="322"/>
      <c r="I964" s="322"/>
      <c r="J964" s="322"/>
      <c r="K964" s="322"/>
      <c r="L964" s="322"/>
      <c r="M964" s="322"/>
      <c r="N964" s="322"/>
      <c r="O964" s="322"/>
      <c r="P964" s="322"/>
      <c r="Q964" s="322"/>
      <c r="R964" s="322"/>
      <c r="S964" s="322"/>
      <c r="T964" s="322"/>
      <c r="U964" s="322"/>
      <c r="V964" s="322"/>
      <c r="W964" s="322"/>
      <c r="X964" s="322"/>
      <c r="Y964" s="322"/>
      <c r="Z964" s="322"/>
      <c r="AA964" s="322"/>
      <c r="AB964" s="322"/>
    </row>
    <row r="965" ht="15.75" customHeight="1">
      <c r="A965" s="322"/>
      <c r="B965" s="322"/>
      <c r="C965" s="322"/>
      <c r="D965" s="322"/>
      <c r="E965" s="330"/>
      <c r="F965" s="322"/>
      <c r="G965" s="322"/>
      <c r="H965" s="322"/>
      <c r="I965" s="322"/>
      <c r="J965" s="322"/>
      <c r="K965" s="322"/>
      <c r="L965" s="322"/>
      <c r="M965" s="322"/>
      <c r="N965" s="322"/>
      <c r="O965" s="322"/>
      <c r="P965" s="322"/>
      <c r="Q965" s="322"/>
      <c r="R965" s="322"/>
      <c r="S965" s="322"/>
      <c r="T965" s="322"/>
      <c r="U965" s="322"/>
      <c r="V965" s="322"/>
      <c r="W965" s="322"/>
      <c r="X965" s="322"/>
      <c r="Y965" s="322"/>
      <c r="Z965" s="322"/>
      <c r="AA965" s="322"/>
      <c r="AB965" s="322"/>
    </row>
    <row r="966" ht="15.75" customHeight="1">
      <c r="A966" s="322"/>
      <c r="B966" s="322"/>
      <c r="C966" s="322"/>
      <c r="D966" s="322"/>
      <c r="E966" s="330"/>
      <c r="F966" s="322"/>
      <c r="G966" s="322"/>
      <c r="H966" s="322"/>
      <c r="I966" s="322"/>
      <c r="J966" s="322"/>
      <c r="K966" s="322"/>
      <c r="L966" s="322"/>
      <c r="M966" s="322"/>
      <c r="N966" s="322"/>
      <c r="O966" s="322"/>
      <c r="P966" s="322"/>
      <c r="Q966" s="322"/>
      <c r="R966" s="322"/>
      <c r="S966" s="322"/>
      <c r="T966" s="322"/>
      <c r="U966" s="322"/>
      <c r="V966" s="322"/>
      <c r="W966" s="322"/>
      <c r="X966" s="322"/>
      <c r="Y966" s="322"/>
      <c r="Z966" s="322"/>
      <c r="AA966" s="322"/>
      <c r="AB966" s="322"/>
    </row>
    <row r="967" ht="15.75" customHeight="1">
      <c r="A967" s="322"/>
      <c r="B967" s="322"/>
      <c r="C967" s="322"/>
      <c r="D967" s="322"/>
      <c r="E967" s="330"/>
      <c r="F967" s="322"/>
      <c r="G967" s="322"/>
      <c r="H967" s="322"/>
      <c r="I967" s="322"/>
      <c r="J967" s="322"/>
      <c r="K967" s="322"/>
      <c r="L967" s="322"/>
      <c r="M967" s="322"/>
      <c r="N967" s="322"/>
      <c r="O967" s="322"/>
      <c r="P967" s="322"/>
      <c r="Q967" s="322"/>
      <c r="R967" s="322"/>
      <c r="S967" s="322"/>
      <c r="T967" s="322"/>
      <c r="U967" s="322"/>
      <c r="V967" s="322"/>
      <c r="W967" s="322"/>
      <c r="X967" s="322"/>
      <c r="Y967" s="322"/>
      <c r="Z967" s="322"/>
      <c r="AA967" s="322"/>
      <c r="AB967" s="322"/>
    </row>
    <row r="968" ht="15.75" customHeight="1">
      <c r="A968" s="322"/>
      <c r="B968" s="322"/>
      <c r="C968" s="322"/>
      <c r="D968" s="322"/>
      <c r="E968" s="330"/>
      <c r="F968" s="322"/>
      <c r="G968" s="322"/>
      <c r="H968" s="322"/>
      <c r="I968" s="322"/>
      <c r="J968" s="322"/>
      <c r="K968" s="322"/>
      <c r="L968" s="322"/>
      <c r="M968" s="322"/>
      <c r="N968" s="322"/>
      <c r="O968" s="322"/>
      <c r="P968" s="322"/>
      <c r="Q968" s="322"/>
      <c r="R968" s="322"/>
      <c r="S968" s="322"/>
      <c r="T968" s="322"/>
      <c r="U968" s="322"/>
      <c r="V968" s="322"/>
      <c r="W968" s="322"/>
      <c r="X968" s="322"/>
      <c r="Y968" s="322"/>
      <c r="Z968" s="322"/>
      <c r="AA968" s="322"/>
      <c r="AB968" s="322"/>
    </row>
    <row r="969" ht="15.75" customHeight="1">
      <c r="A969" s="322"/>
      <c r="B969" s="322"/>
      <c r="C969" s="322"/>
      <c r="D969" s="322"/>
      <c r="E969" s="330"/>
      <c r="F969" s="322"/>
      <c r="G969" s="322"/>
      <c r="H969" s="322"/>
      <c r="I969" s="322"/>
      <c r="J969" s="322"/>
      <c r="K969" s="322"/>
      <c r="L969" s="322"/>
      <c r="M969" s="322"/>
      <c r="N969" s="322"/>
      <c r="O969" s="322"/>
      <c r="P969" s="322"/>
      <c r="Q969" s="322"/>
      <c r="R969" s="322"/>
      <c r="S969" s="322"/>
      <c r="T969" s="322"/>
      <c r="U969" s="322"/>
      <c r="V969" s="322"/>
      <c r="W969" s="322"/>
      <c r="X969" s="322"/>
      <c r="Y969" s="322"/>
      <c r="Z969" s="322"/>
      <c r="AA969" s="322"/>
      <c r="AB969" s="322"/>
    </row>
    <row r="970" ht="15.75" customHeight="1">
      <c r="A970" s="322"/>
      <c r="B970" s="322"/>
      <c r="C970" s="322"/>
      <c r="D970" s="322"/>
      <c r="E970" s="330"/>
      <c r="F970" s="322"/>
      <c r="G970" s="322"/>
      <c r="H970" s="322"/>
      <c r="I970" s="322"/>
      <c r="J970" s="322"/>
      <c r="K970" s="322"/>
      <c r="L970" s="322"/>
      <c r="M970" s="322"/>
      <c r="N970" s="322"/>
      <c r="O970" s="322"/>
      <c r="P970" s="322"/>
      <c r="Q970" s="322"/>
      <c r="R970" s="322"/>
      <c r="S970" s="322"/>
      <c r="T970" s="322"/>
      <c r="U970" s="322"/>
      <c r="V970" s="322"/>
      <c r="W970" s="322"/>
      <c r="X970" s="322"/>
      <c r="Y970" s="322"/>
      <c r="Z970" s="322"/>
      <c r="AA970" s="322"/>
      <c r="AB970" s="322"/>
    </row>
    <row r="971" ht="15.75" customHeight="1">
      <c r="A971" s="322"/>
      <c r="B971" s="322"/>
      <c r="C971" s="322"/>
      <c r="D971" s="322"/>
      <c r="E971" s="330"/>
      <c r="F971" s="322"/>
      <c r="G971" s="322"/>
      <c r="H971" s="322"/>
      <c r="I971" s="322"/>
      <c r="J971" s="322"/>
      <c r="K971" s="322"/>
      <c r="L971" s="322"/>
      <c r="M971" s="322"/>
      <c r="N971" s="322"/>
      <c r="O971" s="322"/>
      <c r="P971" s="322"/>
      <c r="Q971" s="322"/>
      <c r="R971" s="322"/>
      <c r="S971" s="322"/>
      <c r="T971" s="322"/>
      <c r="U971" s="322"/>
      <c r="V971" s="322"/>
      <c r="W971" s="322"/>
      <c r="X971" s="322"/>
      <c r="Y971" s="322"/>
      <c r="Z971" s="322"/>
      <c r="AA971" s="322"/>
      <c r="AB971" s="322"/>
    </row>
    <row r="972" ht="15.75" customHeight="1">
      <c r="A972" s="322"/>
      <c r="B972" s="322"/>
      <c r="C972" s="322"/>
      <c r="D972" s="322"/>
      <c r="E972" s="330"/>
      <c r="F972" s="322"/>
      <c r="G972" s="322"/>
      <c r="H972" s="322"/>
      <c r="I972" s="322"/>
      <c r="J972" s="322"/>
      <c r="K972" s="322"/>
      <c r="L972" s="322"/>
      <c r="M972" s="322"/>
      <c r="N972" s="322"/>
      <c r="O972" s="322"/>
      <c r="P972" s="322"/>
      <c r="Q972" s="322"/>
      <c r="R972" s="322"/>
      <c r="S972" s="322"/>
      <c r="T972" s="322"/>
      <c r="U972" s="322"/>
      <c r="V972" s="322"/>
      <c r="W972" s="322"/>
      <c r="X972" s="322"/>
      <c r="Y972" s="322"/>
      <c r="Z972" s="322"/>
      <c r="AA972" s="322"/>
      <c r="AB972" s="322"/>
    </row>
    <row r="973" ht="15.75" customHeight="1">
      <c r="A973" s="322"/>
      <c r="B973" s="322"/>
      <c r="C973" s="322"/>
      <c r="D973" s="322"/>
      <c r="E973" s="330"/>
      <c r="F973" s="322"/>
      <c r="G973" s="322"/>
      <c r="H973" s="322"/>
      <c r="I973" s="322"/>
      <c r="J973" s="322"/>
      <c r="K973" s="322"/>
      <c r="L973" s="322"/>
      <c r="M973" s="322"/>
      <c r="N973" s="322"/>
      <c r="O973" s="322"/>
      <c r="P973" s="322"/>
      <c r="Q973" s="322"/>
      <c r="R973" s="322"/>
      <c r="S973" s="322"/>
      <c r="T973" s="322"/>
      <c r="U973" s="322"/>
      <c r="V973" s="322"/>
      <c r="W973" s="322"/>
      <c r="X973" s="322"/>
      <c r="Y973" s="322"/>
      <c r="Z973" s="322"/>
      <c r="AA973" s="322"/>
      <c r="AB973" s="322"/>
    </row>
    <row r="974" ht="15.75" customHeight="1">
      <c r="A974" s="322"/>
      <c r="B974" s="322"/>
      <c r="C974" s="322"/>
      <c r="D974" s="322"/>
      <c r="E974" s="330"/>
      <c r="F974" s="322"/>
      <c r="G974" s="322"/>
      <c r="H974" s="322"/>
      <c r="I974" s="322"/>
      <c r="J974" s="322"/>
      <c r="K974" s="322"/>
      <c r="L974" s="322"/>
      <c r="M974" s="322"/>
      <c r="N974" s="322"/>
      <c r="O974" s="322"/>
      <c r="P974" s="322"/>
      <c r="Q974" s="322"/>
      <c r="R974" s="322"/>
      <c r="S974" s="322"/>
      <c r="T974" s="322"/>
      <c r="U974" s="322"/>
      <c r="V974" s="322"/>
      <c r="W974" s="322"/>
      <c r="X974" s="322"/>
      <c r="Y974" s="322"/>
      <c r="Z974" s="322"/>
      <c r="AA974" s="322"/>
      <c r="AB974" s="322"/>
    </row>
    <row r="975" ht="15.75" customHeight="1">
      <c r="A975" s="322"/>
      <c r="B975" s="322"/>
      <c r="C975" s="322"/>
      <c r="D975" s="322"/>
      <c r="E975" s="330"/>
      <c r="F975" s="322"/>
      <c r="G975" s="322"/>
      <c r="H975" s="322"/>
      <c r="I975" s="322"/>
      <c r="J975" s="322"/>
      <c r="K975" s="322"/>
      <c r="L975" s="322"/>
      <c r="M975" s="322"/>
      <c r="N975" s="322"/>
      <c r="O975" s="322"/>
      <c r="P975" s="322"/>
      <c r="Q975" s="322"/>
      <c r="R975" s="322"/>
      <c r="S975" s="322"/>
      <c r="T975" s="322"/>
      <c r="U975" s="322"/>
      <c r="V975" s="322"/>
      <c r="W975" s="322"/>
      <c r="X975" s="322"/>
      <c r="Y975" s="322"/>
      <c r="Z975" s="322"/>
      <c r="AA975" s="322"/>
      <c r="AB975" s="322"/>
    </row>
    <row r="976" ht="15.75" customHeight="1">
      <c r="A976" s="322"/>
      <c r="B976" s="322"/>
      <c r="C976" s="322"/>
      <c r="D976" s="322"/>
      <c r="E976" s="330"/>
      <c r="F976" s="322"/>
      <c r="G976" s="322"/>
      <c r="H976" s="322"/>
      <c r="I976" s="322"/>
      <c r="J976" s="322"/>
      <c r="K976" s="322"/>
      <c r="L976" s="322"/>
      <c r="M976" s="322"/>
      <c r="N976" s="322"/>
      <c r="O976" s="322"/>
      <c r="P976" s="322"/>
      <c r="Q976" s="322"/>
      <c r="R976" s="322"/>
      <c r="S976" s="322"/>
      <c r="T976" s="322"/>
      <c r="U976" s="322"/>
      <c r="V976" s="322"/>
      <c r="W976" s="322"/>
      <c r="X976" s="322"/>
      <c r="Y976" s="322"/>
      <c r="Z976" s="322"/>
      <c r="AA976" s="322"/>
      <c r="AB976" s="322"/>
    </row>
    <row r="977" ht="15.75" customHeight="1">
      <c r="A977" s="322"/>
      <c r="B977" s="322"/>
      <c r="C977" s="322"/>
      <c r="D977" s="322"/>
      <c r="E977" s="330"/>
      <c r="F977" s="322"/>
      <c r="G977" s="322"/>
      <c r="H977" s="322"/>
      <c r="I977" s="322"/>
      <c r="J977" s="322"/>
      <c r="K977" s="322"/>
      <c r="L977" s="322"/>
      <c r="M977" s="322"/>
      <c r="N977" s="322"/>
      <c r="O977" s="322"/>
      <c r="P977" s="322"/>
      <c r="Q977" s="322"/>
      <c r="R977" s="322"/>
      <c r="S977" s="322"/>
      <c r="T977" s="322"/>
      <c r="U977" s="322"/>
      <c r="V977" s="322"/>
      <c r="W977" s="322"/>
      <c r="X977" s="322"/>
      <c r="Y977" s="322"/>
      <c r="Z977" s="322"/>
      <c r="AA977" s="322"/>
      <c r="AB977" s="322"/>
    </row>
    <row r="978" ht="15.75" customHeight="1">
      <c r="A978" s="322"/>
      <c r="B978" s="322"/>
      <c r="C978" s="322"/>
      <c r="D978" s="322"/>
      <c r="E978" s="330"/>
      <c r="F978" s="322"/>
      <c r="G978" s="322"/>
      <c r="H978" s="322"/>
      <c r="I978" s="322"/>
      <c r="J978" s="322"/>
      <c r="K978" s="322"/>
      <c r="L978" s="322"/>
      <c r="M978" s="322"/>
      <c r="N978" s="322"/>
      <c r="O978" s="322"/>
      <c r="P978" s="322"/>
      <c r="Q978" s="322"/>
      <c r="R978" s="322"/>
      <c r="S978" s="322"/>
      <c r="T978" s="322"/>
      <c r="U978" s="322"/>
      <c r="V978" s="322"/>
      <c r="W978" s="322"/>
      <c r="X978" s="322"/>
      <c r="Y978" s="322"/>
      <c r="Z978" s="322"/>
      <c r="AA978" s="322"/>
      <c r="AB978" s="322"/>
    </row>
    <row r="979" ht="15.75" customHeight="1">
      <c r="A979" s="322"/>
      <c r="B979" s="322"/>
      <c r="C979" s="322"/>
      <c r="D979" s="322"/>
      <c r="E979" s="330"/>
      <c r="F979" s="322"/>
      <c r="G979" s="322"/>
      <c r="H979" s="322"/>
      <c r="I979" s="322"/>
      <c r="J979" s="322"/>
      <c r="K979" s="322"/>
      <c r="L979" s="322"/>
      <c r="M979" s="322"/>
      <c r="N979" s="322"/>
      <c r="O979" s="322"/>
      <c r="P979" s="322"/>
      <c r="Q979" s="322"/>
      <c r="R979" s="322"/>
      <c r="S979" s="322"/>
      <c r="T979" s="322"/>
      <c r="U979" s="322"/>
      <c r="V979" s="322"/>
      <c r="W979" s="322"/>
      <c r="X979" s="322"/>
      <c r="Y979" s="322"/>
      <c r="Z979" s="322"/>
      <c r="AA979" s="322"/>
      <c r="AB979" s="322"/>
    </row>
    <row r="980" ht="15.75" customHeight="1">
      <c r="A980" s="322"/>
      <c r="B980" s="322"/>
      <c r="C980" s="322"/>
      <c r="D980" s="322"/>
      <c r="E980" s="330"/>
      <c r="F980" s="322"/>
      <c r="G980" s="322"/>
      <c r="H980" s="322"/>
      <c r="I980" s="322"/>
      <c r="J980" s="322"/>
      <c r="K980" s="322"/>
      <c r="L980" s="322"/>
      <c r="M980" s="322"/>
      <c r="N980" s="322"/>
      <c r="O980" s="322"/>
      <c r="P980" s="322"/>
      <c r="Q980" s="322"/>
      <c r="R980" s="322"/>
      <c r="S980" s="322"/>
      <c r="T980" s="322"/>
      <c r="U980" s="322"/>
      <c r="V980" s="322"/>
      <c r="W980" s="322"/>
      <c r="X980" s="322"/>
      <c r="Y980" s="322"/>
      <c r="Z980" s="322"/>
      <c r="AA980" s="322"/>
      <c r="AB980" s="322"/>
    </row>
    <row r="981" ht="15.75" customHeight="1">
      <c r="A981" s="322"/>
      <c r="B981" s="322"/>
      <c r="C981" s="322"/>
      <c r="D981" s="322"/>
      <c r="E981" s="330"/>
      <c r="F981" s="322"/>
      <c r="G981" s="322"/>
      <c r="H981" s="322"/>
      <c r="I981" s="322"/>
      <c r="J981" s="322"/>
      <c r="K981" s="322"/>
      <c r="L981" s="322"/>
      <c r="M981" s="322"/>
      <c r="N981" s="322"/>
      <c r="O981" s="322"/>
      <c r="P981" s="322"/>
      <c r="Q981" s="322"/>
      <c r="R981" s="322"/>
      <c r="S981" s="322"/>
      <c r="T981" s="322"/>
      <c r="U981" s="322"/>
      <c r="V981" s="322"/>
      <c r="W981" s="322"/>
      <c r="X981" s="322"/>
      <c r="Y981" s="322"/>
      <c r="Z981" s="322"/>
      <c r="AA981" s="322"/>
      <c r="AB981" s="322"/>
    </row>
    <row r="982" ht="15.75" customHeight="1">
      <c r="A982" s="322"/>
      <c r="B982" s="322"/>
      <c r="C982" s="322"/>
      <c r="D982" s="322"/>
      <c r="E982" s="330"/>
      <c r="F982" s="322"/>
      <c r="G982" s="322"/>
      <c r="H982" s="322"/>
      <c r="I982" s="322"/>
      <c r="J982" s="322"/>
      <c r="K982" s="322"/>
      <c r="L982" s="322"/>
      <c r="M982" s="322"/>
      <c r="N982" s="322"/>
      <c r="O982" s="322"/>
      <c r="P982" s="322"/>
      <c r="Q982" s="322"/>
      <c r="R982" s="322"/>
      <c r="S982" s="322"/>
      <c r="T982" s="322"/>
      <c r="U982" s="322"/>
      <c r="V982" s="322"/>
      <c r="W982" s="322"/>
      <c r="X982" s="322"/>
      <c r="Y982" s="322"/>
      <c r="Z982" s="322"/>
      <c r="AA982" s="322"/>
      <c r="AB982" s="322"/>
    </row>
    <row r="983" ht="15.75" customHeight="1">
      <c r="A983" s="322"/>
      <c r="B983" s="322"/>
      <c r="C983" s="322"/>
      <c r="D983" s="322"/>
      <c r="E983" s="330"/>
      <c r="F983" s="322"/>
      <c r="G983" s="322"/>
      <c r="H983" s="322"/>
      <c r="I983" s="322"/>
      <c r="J983" s="322"/>
      <c r="K983" s="322"/>
      <c r="L983" s="322"/>
      <c r="M983" s="322"/>
      <c r="N983" s="322"/>
      <c r="O983" s="322"/>
      <c r="P983" s="322"/>
      <c r="Q983" s="322"/>
      <c r="R983" s="322"/>
      <c r="S983" s="322"/>
      <c r="T983" s="322"/>
      <c r="U983" s="322"/>
      <c r="V983" s="322"/>
      <c r="W983" s="322"/>
      <c r="X983" s="322"/>
      <c r="Y983" s="322"/>
      <c r="Z983" s="322"/>
      <c r="AA983" s="322"/>
      <c r="AB983" s="322"/>
    </row>
    <row r="984" ht="15.75" customHeight="1">
      <c r="A984" s="322"/>
      <c r="B984" s="322"/>
      <c r="C984" s="322"/>
      <c r="D984" s="322"/>
      <c r="E984" s="330"/>
      <c r="F984" s="322"/>
      <c r="G984" s="322"/>
      <c r="H984" s="322"/>
      <c r="I984" s="322"/>
      <c r="J984" s="322"/>
      <c r="K984" s="322"/>
      <c r="L984" s="322"/>
      <c r="M984" s="322"/>
      <c r="N984" s="322"/>
      <c r="O984" s="322"/>
      <c r="P984" s="322"/>
      <c r="Q984" s="322"/>
      <c r="R984" s="322"/>
      <c r="S984" s="322"/>
      <c r="T984" s="322"/>
      <c r="U984" s="322"/>
      <c r="V984" s="322"/>
      <c r="W984" s="322"/>
      <c r="X984" s="322"/>
      <c r="Y984" s="322"/>
      <c r="Z984" s="322"/>
      <c r="AA984" s="322"/>
      <c r="AB984" s="322"/>
    </row>
    <row r="985" ht="15.75" customHeight="1">
      <c r="A985" s="322"/>
      <c r="B985" s="322"/>
      <c r="C985" s="322"/>
      <c r="D985" s="322"/>
      <c r="E985" s="330"/>
      <c r="F985" s="322"/>
      <c r="G985" s="322"/>
      <c r="H985" s="322"/>
      <c r="I985" s="322"/>
      <c r="J985" s="322"/>
      <c r="K985" s="322"/>
      <c r="L985" s="322"/>
      <c r="M985" s="322"/>
      <c r="N985" s="322"/>
      <c r="O985" s="322"/>
      <c r="P985" s="322"/>
      <c r="Q985" s="322"/>
      <c r="R985" s="322"/>
      <c r="S985" s="322"/>
      <c r="T985" s="322"/>
      <c r="U985" s="322"/>
      <c r="V985" s="322"/>
      <c r="W985" s="322"/>
      <c r="X985" s="322"/>
      <c r="Y985" s="322"/>
      <c r="Z985" s="322"/>
      <c r="AA985" s="322"/>
      <c r="AB985" s="322"/>
    </row>
    <row r="986" ht="15.75" customHeight="1">
      <c r="A986" s="322"/>
      <c r="B986" s="322"/>
      <c r="C986" s="322"/>
      <c r="D986" s="322"/>
      <c r="E986" s="330"/>
      <c r="F986" s="322"/>
      <c r="G986" s="322"/>
      <c r="H986" s="322"/>
      <c r="I986" s="322"/>
      <c r="J986" s="322"/>
      <c r="K986" s="322"/>
      <c r="L986" s="322"/>
      <c r="M986" s="322"/>
      <c r="N986" s="322"/>
      <c r="O986" s="322"/>
      <c r="P986" s="322"/>
      <c r="Q986" s="322"/>
      <c r="R986" s="322"/>
      <c r="S986" s="322"/>
      <c r="T986" s="322"/>
      <c r="U986" s="322"/>
      <c r="V986" s="322"/>
      <c r="W986" s="322"/>
      <c r="X986" s="322"/>
      <c r="Y986" s="322"/>
      <c r="Z986" s="322"/>
      <c r="AA986" s="322"/>
      <c r="AB986" s="322"/>
    </row>
    <row r="987" ht="15.75" customHeight="1">
      <c r="A987" s="322"/>
      <c r="B987" s="322"/>
      <c r="C987" s="322"/>
      <c r="D987" s="322"/>
      <c r="E987" s="330"/>
      <c r="F987" s="322"/>
      <c r="G987" s="322"/>
      <c r="H987" s="322"/>
      <c r="I987" s="322"/>
      <c r="J987" s="322"/>
      <c r="K987" s="322"/>
      <c r="L987" s="322"/>
      <c r="M987" s="322"/>
      <c r="N987" s="322"/>
      <c r="O987" s="322"/>
      <c r="P987" s="322"/>
      <c r="Q987" s="322"/>
      <c r="R987" s="322"/>
      <c r="S987" s="322"/>
      <c r="T987" s="322"/>
      <c r="U987" s="322"/>
      <c r="V987" s="322"/>
      <c r="W987" s="322"/>
      <c r="X987" s="322"/>
      <c r="Y987" s="322"/>
      <c r="Z987" s="322"/>
      <c r="AA987" s="322"/>
      <c r="AB987" s="322"/>
    </row>
    <row r="988" ht="15.75" customHeight="1">
      <c r="A988" s="322"/>
      <c r="B988" s="322"/>
      <c r="C988" s="322"/>
      <c r="D988" s="322"/>
      <c r="E988" s="330"/>
      <c r="F988" s="322"/>
      <c r="G988" s="322"/>
      <c r="H988" s="322"/>
      <c r="I988" s="322"/>
      <c r="J988" s="322"/>
      <c r="K988" s="322"/>
      <c r="L988" s="322"/>
      <c r="M988" s="322"/>
      <c r="N988" s="322"/>
      <c r="O988" s="322"/>
      <c r="P988" s="322"/>
      <c r="Q988" s="322"/>
      <c r="R988" s="322"/>
      <c r="S988" s="322"/>
      <c r="T988" s="322"/>
      <c r="U988" s="322"/>
      <c r="V988" s="322"/>
      <c r="W988" s="322"/>
      <c r="X988" s="322"/>
      <c r="Y988" s="322"/>
      <c r="Z988" s="322"/>
      <c r="AA988" s="322"/>
      <c r="AB988" s="322"/>
    </row>
    <row r="989" ht="15.75" customHeight="1">
      <c r="A989" s="322"/>
      <c r="B989" s="322"/>
      <c r="C989" s="322"/>
      <c r="D989" s="322"/>
      <c r="E989" s="330"/>
      <c r="F989" s="322"/>
      <c r="G989" s="322"/>
      <c r="H989" s="322"/>
      <c r="I989" s="322"/>
      <c r="J989" s="322"/>
      <c r="K989" s="322"/>
      <c r="L989" s="322"/>
      <c r="M989" s="322"/>
      <c r="N989" s="322"/>
      <c r="O989" s="322"/>
      <c r="P989" s="322"/>
      <c r="Q989" s="322"/>
      <c r="R989" s="322"/>
      <c r="S989" s="322"/>
      <c r="T989" s="322"/>
      <c r="U989" s="322"/>
      <c r="V989" s="322"/>
      <c r="W989" s="322"/>
      <c r="X989" s="322"/>
      <c r="Y989" s="322"/>
      <c r="Z989" s="322"/>
      <c r="AA989" s="322"/>
      <c r="AB989" s="322"/>
    </row>
    <row r="990" ht="15.75" customHeight="1">
      <c r="A990" s="322"/>
      <c r="B990" s="322"/>
      <c r="C990" s="322"/>
      <c r="D990" s="322"/>
      <c r="E990" s="330"/>
      <c r="F990" s="322"/>
      <c r="G990" s="322"/>
      <c r="H990" s="322"/>
      <c r="I990" s="322"/>
      <c r="J990" s="322"/>
      <c r="K990" s="322"/>
      <c r="L990" s="322"/>
      <c r="M990" s="322"/>
      <c r="N990" s="322"/>
      <c r="O990" s="322"/>
      <c r="P990" s="322"/>
      <c r="Q990" s="322"/>
      <c r="R990" s="322"/>
      <c r="S990" s="322"/>
      <c r="T990" s="322"/>
      <c r="U990" s="322"/>
      <c r="V990" s="322"/>
      <c r="W990" s="322"/>
      <c r="X990" s="322"/>
      <c r="Y990" s="322"/>
      <c r="Z990" s="322"/>
      <c r="AA990" s="322"/>
      <c r="AB990" s="322"/>
    </row>
    <row r="991" ht="15.75" customHeight="1">
      <c r="A991" s="322"/>
      <c r="B991" s="322"/>
      <c r="C991" s="322"/>
      <c r="D991" s="322"/>
      <c r="E991" s="330"/>
      <c r="F991" s="322"/>
      <c r="G991" s="322"/>
      <c r="H991" s="322"/>
      <c r="I991" s="322"/>
      <c r="J991" s="322"/>
      <c r="K991" s="322"/>
      <c r="L991" s="322"/>
      <c r="M991" s="322"/>
      <c r="N991" s="322"/>
      <c r="O991" s="322"/>
      <c r="P991" s="322"/>
      <c r="Q991" s="322"/>
      <c r="R991" s="322"/>
      <c r="S991" s="322"/>
      <c r="T991" s="322"/>
      <c r="U991" s="322"/>
      <c r="V991" s="322"/>
      <c r="W991" s="322"/>
      <c r="X991" s="322"/>
      <c r="Y991" s="322"/>
      <c r="Z991" s="322"/>
      <c r="AA991" s="322"/>
      <c r="AB991" s="322"/>
    </row>
    <row r="992" ht="15.75" customHeight="1">
      <c r="A992" s="322"/>
      <c r="B992" s="322"/>
      <c r="C992" s="322"/>
      <c r="D992" s="322"/>
      <c r="E992" s="330"/>
      <c r="F992" s="322"/>
      <c r="G992" s="322"/>
      <c r="H992" s="322"/>
      <c r="I992" s="322"/>
      <c r="J992" s="322"/>
      <c r="K992" s="322"/>
      <c r="L992" s="322"/>
      <c r="M992" s="322"/>
      <c r="N992" s="322"/>
      <c r="O992" s="322"/>
      <c r="P992" s="322"/>
      <c r="Q992" s="322"/>
      <c r="R992" s="322"/>
      <c r="S992" s="322"/>
      <c r="T992" s="322"/>
      <c r="U992" s="322"/>
      <c r="V992" s="322"/>
      <c r="W992" s="322"/>
      <c r="X992" s="322"/>
      <c r="Y992" s="322"/>
      <c r="Z992" s="322"/>
      <c r="AA992" s="322"/>
      <c r="AB992" s="322"/>
    </row>
    <row r="993" ht="15.75" customHeight="1">
      <c r="A993" s="322"/>
      <c r="B993" s="322"/>
      <c r="C993" s="322"/>
      <c r="D993" s="322"/>
      <c r="E993" s="330"/>
      <c r="F993" s="322"/>
      <c r="G993" s="322"/>
      <c r="H993" s="322"/>
      <c r="I993" s="322"/>
      <c r="J993" s="322"/>
      <c r="K993" s="322"/>
      <c r="L993" s="322"/>
      <c r="M993" s="322"/>
      <c r="N993" s="322"/>
      <c r="O993" s="322"/>
      <c r="P993" s="322"/>
      <c r="Q993" s="322"/>
      <c r="R993" s="322"/>
      <c r="S993" s="322"/>
      <c r="T993" s="322"/>
      <c r="U993" s="322"/>
      <c r="V993" s="322"/>
      <c r="W993" s="322"/>
      <c r="X993" s="322"/>
      <c r="Y993" s="322"/>
      <c r="Z993" s="322"/>
      <c r="AA993" s="322"/>
      <c r="AB993" s="322"/>
    </row>
    <row r="994" ht="15.75" customHeight="1">
      <c r="A994" s="322"/>
      <c r="B994" s="322"/>
      <c r="C994" s="322"/>
      <c r="D994" s="322"/>
      <c r="E994" s="330"/>
      <c r="F994" s="322"/>
      <c r="G994" s="322"/>
      <c r="H994" s="322"/>
      <c r="I994" s="322"/>
      <c r="J994" s="322"/>
      <c r="K994" s="322"/>
      <c r="L994" s="322"/>
      <c r="M994" s="322"/>
      <c r="N994" s="322"/>
      <c r="O994" s="322"/>
      <c r="P994" s="322"/>
      <c r="Q994" s="322"/>
      <c r="R994" s="322"/>
      <c r="S994" s="322"/>
      <c r="T994" s="322"/>
      <c r="U994" s="322"/>
      <c r="V994" s="322"/>
      <c r="W994" s="322"/>
      <c r="X994" s="322"/>
      <c r="Y994" s="322"/>
      <c r="Z994" s="322"/>
      <c r="AA994" s="322"/>
      <c r="AB994" s="322"/>
    </row>
    <row r="995" ht="15.75" customHeight="1">
      <c r="A995" s="322"/>
      <c r="B995" s="322"/>
      <c r="C995" s="322"/>
      <c r="D995" s="322"/>
      <c r="E995" s="330"/>
      <c r="F995" s="322"/>
      <c r="G995" s="322"/>
      <c r="H995" s="322"/>
      <c r="I995" s="322"/>
      <c r="J995" s="322"/>
      <c r="K995" s="322"/>
      <c r="L995" s="322"/>
      <c r="M995" s="322"/>
      <c r="N995" s="322"/>
      <c r="O995" s="322"/>
      <c r="P995" s="322"/>
      <c r="Q995" s="322"/>
      <c r="R995" s="322"/>
      <c r="S995" s="322"/>
      <c r="T995" s="322"/>
      <c r="U995" s="322"/>
      <c r="V995" s="322"/>
      <c r="W995" s="322"/>
      <c r="X995" s="322"/>
      <c r="Y995" s="322"/>
      <c r="Z995" s="322"/>
      <c r="AA995" s="322"/>
      <c r="AB995" s="322"/>
    </row>
    <row r="996" ht="15.75" customHeight="1">
      <c r="A996" s="322"/>
      <c r="B996" s="322"/>
      <c r="C996" s="322"/>
      <c r="D996" s="322"/>
      <c r="E996" s="330"/>
      <c r="F996" s="322"/>
      <c r="G996" s="322"/>
      <c r="H996" s="322"/>
      <c r="I996" s="322"/>
      <c r="J996" s="322"/>
      <c r="K996" s="322"/>
      <c r="L996" s="322"/>
      <c r="M996" s="322"/>
      <c r="N996" s="322"/>
      <c r="O996" s="322"/>
      <c r="P996" s="322"/>
      <c r="Q996" s="322"/>
      <c r="R996" s="322"/>
      <c r="S996" s="322"/>
      <c r="T996" s="322"/>
      <c r="U996" s="322"/>
      <c r="V996" s="322"/>
      <c r="W996" s="322"/>
      <c r="X996" s="322"/>
      <c r="Y996" s="322"/>
      <c r="Z996" s="322"/>
      <c r="AA996" s="322"/>
      <c r="AB996" s="322"/>
    </row>
    <row r="997" ht="15.75" customHeight="1">
      <c r="A997" s="322"/>
      <c r="B997" s="322"/>
      <c r="C997" s="322"/>
      <c r="D997" s="322"/>
      <c r="E997" s="330"/>
      <c r="F997" s="322"/>
      <c r="G997" s="322"/>
      <c r="H997" s="322"/>
      <c r="I997" s="322"/>
      <c r="J997" s="322"/>
      <c r="K997" s="322"/>
      <c r="L997" s="322"/>
      <c r="M997" s="322"/>
      <c r="N997" s="322"/>
      <c r="O997" s="322"/>
      <c r="P997" s="322"/>
      <c r="Q997" s="322"/>
      <c r="R997" s="322"/>
      <c r="S997" s="322"/>
      <c r="T997" s="322"/>
      <c r="U997" s="322"/>
      <c r="V997" s="322"/>
      <c r="W997" s="322"/>
      <c r="X997" s="322"/>
      <c r="Y997" s="322"/>
      <c r="Z997" s="322"/>
      <c r="AA997" s="322"/>
      <c r="AB997" s="322"/>
    </row>
    <row r="998" ht="15.75" customHeight="1">
      <c r="A998" s="322"/>
      <c r="B998" s="322"/>
      <c r="C998" s="322"/>
      <c r="D998" s="322"/>
      <c r="E998" s="330"/>
      <c r="F998" s="322"/>
      <c r="G998" s="322"/>
      <c r="H998" s="322"/>
      <c r="I998" s="322"/>
      <c r="J998" s="322"/>
      <c r="K998" s="322"/>
      <c r="L998" s="322"/>
      <c r="M998" s="322"/>
      <c r="N998" s="322"/>
      <c r="O998" s="322"/>
      <c r="P998" s="322"/>
      <c r="Q998" s="322"/>
      <c r="R998" s="322"/>
      <c r="S998" s="322"/>
      <c r="T998" s="322"/>
      <c r="U998" s="322"/>
      <c r="V998" s="322"/>
      <c r="W998" s="322"/>
      <c r="X998" s="322"/>
      <c r="Y998" s="322"/>
      <c r="Z998" s="322"/>
      <c r="AA998" s="322"/>
      <c r="AB998" s="322"/>
    </row>
    <row r="999" ht="15.75" customHeight="1">
      <c r="A999" s="322"/>
      <c r="B999" s="322"/>
      <c r="C999" s="322"/>
      <c r="D999" s="322"/>
      <c r="E999" s="330"/>
      <c r="F999" s="322"/>
      <c r="G999" s="322"/>
      <c r="H999" s="322"/>
      <c r="I999" s="322"/>
      <c r="J999" s="322"/>
      <c r="K999" s="322"/>
      <c r="L999" s="322"/>
      <c r="M999" s="322"/>
      <c r="N999" s="322"/>
      <c r="O999" s="322"/>
      <c r="P999" s="322"/>
      <c r="Q999" s="322"/>
      <c r="R999" s="322"/>
      <c r="S999" s="322"/>
      <c r="T999" s="322"/>
      <c r="U999" s="322"/>
      <c r="V999" s="322"/>
      <c r="W999" s="322"/>
      <c r="X999" s="322"/>
      <c r="Y999" s="322"/>
      <c r="Z999" s="322"/>
      <c r="AA999" s="322"/>
      <c r="AB999" s="322"/>
    </row>
    <row r="1000" ht="15.75" customHeight="1">
      <c r="A1000" s="322"/>
      <c r="B1000" s="322"/>
      <c r="C1000" s="322"/>
      <c r="D1000" s="322"/>
      <c r="E1000" s="330"/>
      <c r="F1000" s="322"/>
      <c r="G1000" s="322"/>
      <c r="H1000" s="322"/>
      <c r="I1000" s="322"/>
      <c r="J1000" s="322"/>
      <c r="K1000" s="322"/>
      <c r="L1000" s="322"/>
      <c r="M1000" s="322"/>
      <c r="N1000" s="322"/>
      <c r="O1000" s="322"/>
      <c r="P1000" s="322"/>
      <c r="Q1000" s="322"/>
      <c r="R1000" s="322"/>
      <c r="S1000" s="322"/>
      <c r="T1000" s="322"/>
      <c r="U1000" s="322"/>
      <c r="V1000" s="322"/>
      <c r="W1000" s="322"/>
      <c r="X1000" s="322"/>
      <c r="Y1000" s="322"/>
      <c r="Z1000" s="322"/>
      <c r="AA1000" s="322"/>
      <c r="AB1000" s="322"/>
    </row>
    <row r="1001" ht="15.75" customHeight="1">
      <c r="A1001" s="322"/>
      <c r="B1001" s="322"/>
      <c r="C1001" s="322"/>
      <c r="D1001" s="322"/>
      <c r="E1001" s="330"/>
      <c r="F1001" s="322"/>
      <c r="G1001" s="322"/>
      <c r="H1001" s="322"/>
      <c r="I1001" s="322"/>
      <c r="J1001" s="322"/>
      <c r="K1001" s="322"/>
      <c r="L1001" s="322"/>
      <c r="M1001" s="322"/>
      <c r="N1001" s="322"/>
      <c r="O1001" s="322"/>
      <c r="P1001" s="322"/>
      <c r="Q1001" s="322"/>
      <c r="R1001" s="322"/>
      <c r="S1001" s="322"/>
      <c r="T1001" s="322"/>
      <c r="U1001" s="322"/>
      <c r="V1001" s="322"/>
      <c r="W1001" s="322"/>
      <c r="X1001" s="322"/>
      <c r="Y1001" s="322"/>
      <c r="Z1001" s="322"/>
      <c r="AA1001" s="322"/>
      <c r="AB1001" s="322"/>
    </row>
    <row r="1002" ht="15.75" customHeight="1">
      <c r="A1002" s="322"/>
      <c r="B1002" s="322"/>
      <c r="C1002" s="322"/>
      <c r="D1002" s="322"/>
      <c r="E1002" s="330"/>
      <c r="F1002" s="322"/>
      <c r="G1002" s="322"/>
      <c r="H1002" s="322"/>
      <c r="I1002" s="322"/>
      <c r="J1002" s="322"/>
      <c r="K1002" s="322"/>
      <c r="L1002" s="322"/>
      <c r="M1002" s="322"/>
      <c r="N1002" s="322"/>
      <c r="O1002" s="322"/>
      <c r="P1002" s="322"/>
      <c r="Q1002" s="322"/>
      <c r="R1002" s="322"/>
      <c r="S1002" s="322"/>
      <c r="T1002" s="322"/>
      <c r="U1002" s="322"/>
      <c r="V1002" s="322"/>
      <c r="W1002" s="322"/>
      <c r="X1002" s="322"/>
      <c r="Y1002" s="322"/>
      <c r="Z1002" s="322"/>
      <c r="AA1002" s="322"/>
      <c r="AB1002" s="322"/>
    </row>
    <row r="1003" ht="15.75" customHeight="1">
      <c r="A1003" s="322"/>
      <c r="B1003" s="322"/>
      <c r="C1003" s="322"/>
      <c r="D1003" s="322"/>
      <c r="E1003" s="330"/>
      <c r="F1003" s="322"/>
      <c r="G1003" s="322"/>
      <c r="H1003" s="322"/>
      <c r="I1003" s="322"/>
      <c r="J1003" s="322"/>
      <c r="K1003" s="322"/>
      <c r="L1003" s="322"/>
      <c r="M1003" s="322"/>
      <c r="N1003" s="322"/>
      <c r="O1003" s="322"/>
      <c r="P1003" s="322"/>
      <c r="Q1003" s="322"/>
      <c r="R1003" s="322"/>
      <c r="S1003" s="322"/>
      <c r="T1003" s="322"/>
      <c r="U1003" s="322"/>
      <c r="V1003" s="322"/>
      <c r="W1003" s="322"/>
      <c r="X1003" s="322"/>
      <c r="Y1003" s="322"/>
      <c r="Z1003" s="322"/>
      <c r="AA1003" s="322"/>
      <c r="AB1003" s="322"/>
    </row>
    <row r="1004" ht="15.75" customHeight="1">
      <c r="A1004" s="322"/>
      <c r="B1004" s="322"/>
      <c r="C1004" s="322"/>
      <c r="D1004" s="322"/>
      <c r="E1004" s="330"/>
      <c r="F1004" s="322"/>
      <c r="G1004" s="322"/>
      <c r="H1004" s="322"/>
      <c r="I1004" s="322"/>
      <c r="J1004" s="322"/>
      <c r="K1004" s="322"/>
      <c r="L1004" s="322"/>
      <c r="M1004" s="322"/>
      <c r="N1004" s="322"/>
      <c r="O1004" s="322"/>
      <c r="P1004" s="322"/>
      <c r="Q1004" s="322"/>
      <c r="R1004" s="322"/>
      <c r="S1004" s="322"/>
      <c r="T1004" s="322"/>
      <c r="U1004" s="322"/>
      <c r="V1004" s="322"/>
      <c r="W1004" s="322"/>
      <c r="X1004" s="322"/>
      <c r="Y1004" s="322"/>
      <c r="Z1004" s="322"/>
      <c r="AA1004" s="322"/>
      <c r="AB1004" s="322"/>
    </row>
  </sheetData>
  <autoFilter ref="$A$2:$AB$154"/>
  <mergeCells count="1">
    <mergeCell ref="A1:I1"/>
  </mergeCell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sheetData>
    <row r="1">
      <c r="A1" t="s">
        <v>1273</v>
      </c>
    </row>
    <row r="2">
      <c r="A2" t="s">
        <v>1274</v>
      </c>
    </row>
    <row r="3">
      <c r="A3" t="s">
        <v>1275</v>
      </c>
    </row>
    <row r="4">
      <c r="A4" t="s">
        <v>1276</v>
      </c>
    </row>
  </sheetData>
</worksheet>
</file>

<file path=xl/worksheets/sheet12.xml><?xml version="1.0" encoding="utf-8"?>
<worksheet xmlns="http://schemas.openxmlformats.org/spreadsheetml/2006/main" xmlns:r="http://schemas.openxmlformats.org/officeDocument/2006/relationships">
  <sheetData>
    <row r="1">
      <c r="A1" t="s">
        <v>1277</v>
      </c>
      <c r="B1" t="s">
        <v>1278</v>
      </c>
      <c r="C1" t="s">
        <v>1279</v>
      </c>
      <c r="D1" t="s">
        <v>1280</v>
      </c>
      <c r="E1" t="s">
        <v>1281</v>
      </c>
    </row>
  </sheetData>
</worksheet>
</file>

<file path=xl/worksheets/sheet13.xml><?xml version="1.0" encoding="utf-8"?>
<worksheet xmlns="http://schemas.openxmlformats.org/spreadsheetml/2006/main" xmlns:r="http://schemas.openxmlformats.org/officeDocument/2006/relationships">
  <sheetData>
    <row r="1">
      <c r="A1" t="s">
        <v>1282</v>
      </c>
      <c r="B1" t="s">
        <v>1283</v>
      </c>
      <c r="C1" t="s">
        <v>1284</v>
      </c>
      <c r="D1" t="s">
        <v>1285</v>
      </c>
      <c r="E1" t="s">
        <v>1286</v>
      </c>
      <c r="F1" t="s">
        <v>1287</v>
      </c>
    </row>
  </sheetData>
</worksheet>
</file>

<file path=xl/worksheets/sheet14.xml><?xml version="1.0" encoding="utf-8"?>
<worksheet xmlns="http://schemas.openxmlformats.org/spreadsheetml/2006/main" xmlns:r="http://schemas.openxmlformats.org/officeDocument/2006/relationships">
  <sheetData>
    <row r="1">
      <c r="A1" t="s">
        <v>1288</v>
      </c>
    </row>
    <row r="2">
      <c r="A2" t="s">
        <v>1289</v>
      </c>
      <c r="B2" t="s">
        <v>1290</v>
      </c>
      <c r="C2" t="s">
        <v>1291</v>
      </c>
      <c r="D2" t="s">
        <v>1292</v>
      </c>
      <c r="E2" t="s">
        <v>1293</v>
      </c>
      <c r="F2" t="s">
        <v>1294</v>
      </c>
    </row>
  </sheetData>
</worksheet>
</file>

<file path=xl/worksheets/sheet15.xml><?xml version="1.0" encoding="utf-8"?>
<worksheet xmlns="http://schemas.openxmlformats.org/spreadsheetml/2006/main" xmlns:r="http://schemas.openxmlformats.org/officeDocument/2006/relationships">
  <sheetData>
    <row r="1">
      <c r="A1" t="s">
        <v>1295</v>
      </c>
      <c r="B1" t="s">
        <v>1296</v>
      </c>
      <c r="C1" t="s">
        <v>1297</v>
      </c>
      <c r="D1" t="s">
        <v>1298</v>
      </c>
    </row>
  </sheetData>
</worksheet>
</file>

<file path=xl/worksheets/sheet16.xml><?xml version="1.0" encoding="utf-8"?>
<worksheet xmlns="http://schemas.openxmlformats.org/spreadsheetml/2006/main" xmlns:r="http://schemas.openxmlformats.org/officeDocument/2006/relationships">
  <sheetData>
    <row r="1">
      <c r="A1" t="s">
        <v>1299</v>
      </c>
      <c r="B1" t="s">
        <v>1300</v>
      </c>
      <c r="C1" t="s">
        <v>1301</v>
      </c>
      <c r="D1" t="s">
        <v>1302</v>
      </c>
    </row>
  </sheetData>
</worksheet>
</file>

<file path=xl/worksheets/sheet17.xml><?xml version="1.0" encoding="utf-8"?>
<worksheet xmlns="http://schemas.openxmlformats.org/spreadsheetml/2006/main" xmlns:r="http://schemas.openxmlformats.org/officeDocument/2006/relationships">
  <sheetData>
    <row r="1">
      <c r="A1" t="s">
        <v>1303</v>
      </c>
      <c r="B1" t="s">
        <v>1304</v>
      </c>
      <c r="C1" t="s">
        <v>1305</v>
      </c>
      <c r="D1" t="s">
        <v>1306</v>
      </c>
      <c r="E1" t="s">
        <v>1307</v>
      </c>
    </row>
  </sheetData>
</worksheet>
</file>

<file path=xl/worksheets/sheet18.xml><?xml version="1.0" encoding="utf-8"?>
<worksheet xmlns="http://schemas.openxmlformats.org/spreadsheetml/2006/main" xmlns:r="http://schemas.openxmlformats.org/officeDocument/2006/relationships">
  <sheetData>
    <row r="1">
      <c r="A1" t="s">
        <v>1308</v>
      </c>
      <c r="B1" t="s">
        <v>1309</v>
      </c>
      <c r="C1" t="s">
        <v>1310</v>
      </c>
    </row>
    <row r="2">
      <c r="A2" t="s">
        <v>1311</v>
      </c>
      <c r="B2" t="s">
        <v>1312</v>
      </c>
      <c r="C2" t="s">
        <v>1313</v>
      </c>
    </row>
    <row r="3">
      <c r="A3" t="s">
        <v>1314</v>
      </c>
      <c r="B3" t="s">
        <v>1315</v>
      </c>
      <c r="C3" t="s">
        <v>1316</v>
      </c>
    </row>
    <row r="4">
      <c r="A4" t="s">
        <v>1317</v>
      </c>
      <c r="B4" t="s">
        <v>1318</v>
      </c>
      <c r="C4" t="s">
        <v>1319</v>
      </c>
    </row>
    <row r="5">
      <c r="A5" t="s">
        <v>1320</v>
      </c>
      <c r="B5" t="s">
        <v>1321</v>
      </c>
      <c r="C5" t="s">
        <v>1322</v>
      </c>
    </row>
  </sheetData>
</worksheet>
</file>

<file path=xl/worksheets/sheet19.xml><?xml version="1.0" encoding="utf-8"?>
<worksheet xmlns="http://schemas.openxmlformats.org/spreadsheetml/2006/main" xmlns:r="http://schemas.openxmlformats.org/officeDocument/2006/relationships">
  <sheetData>
    <row r="1">
      <c r="A1" t="s">
        <v>1323</v>
      </c>
      <c r="B1" t="s">
        <v>1324</v>
      </c>
      <c r="C1" t="s">
        <v>1325</v>
      </c>
    </row>
  </sheetData>
</worksheet>
</file>